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aoyamajp-my.sharepoint.com/personal/d1325003_aoyama_jp/Documents/"/>
    </mc:Choice>
  </mc:AlternateContent>
  <xr:revisionPtr revIDLastSave="2184" documentId="8_{E939ECC0-36BF-491A-BB84-90DF1F8CE5CD}" xr6:coauthVersionLast="47" xr6:coauthVersionMax="47" xr10:uidLastSave="{731680ED-53EB-499D-90AC-B4C831D06221}"/>
  <bookViews>
    <workbookView xWindow="28680" yWindow="-285" windowWidth="29040" windowHeight="15720" tabRatio="894" firstSheet="9" activeTab="12" xr2:uid="{00000000-000D-0000-FFFF-FFFF00000000}"/>
  </bookViews>
  <sheets>
    <sheet name="目次" sheetId="45" r:id="rId1"/>
    <sheet name="A1.年齢ごとジェンダー" sheetId="35" r:id="rId2"/>
    <sheet name="A2.ジェンダーごと年齢" sheetId="28" r:id="rId3"/>
    <sheet name="A3.ジェンダーとラベル選択数" sheetId="29" r:id="rId4"/>
    <sheet name="A4a.ジェンダーと一人称(選択式)" sheetId="38" r:id="rId5"/>
    <sheet name="A4b.ジェンダーと一人称 (自由記入式)" sheetId="52" r:id="rId6"/>
    <sheet name="A5a.ジェンダーと三人称 (日,選択式)" sheetId="39" r:id="rId7"/>
    <sheet name="A5b.ジェンダーと三人称 (日,記入式)" sheetId="55" r:id="rId8"/>
    <sheet name="A6.ジェンダーと三人称 (英)" sheetId="40" r:id="rId9"/>
    <sheet name="A7.三人称（日）と三人称 (英)" sheetId="48" r:id="rId10"/>
    <sheet name="A8.ジェンダーと敬称 (日)" sheetId="49" r:id="rId11"/>
    <sheet name="A9.ジェンダーと敬称 (英) " sheetId="50" r:id="rId12"/>
    <sheet name="A10.敬称（日）と敬称 (英)" sheetId="57" r:id="rId13"/>
    <sheet name="A11.ジェンダーと差別(選択式)" sheetId="58" r:id="rId14"/>
    <sheet name="A12.年齢層と差別(選択式)" sheetId="59" r:id="rId15"/>
    <sheet name="A13.ジェンダーとトランジション(希望+経験, 選択式)" sheetId="60" r:id="rId16"/>
    <sheet name="A14.年齢層とトランジション(希望+経験, 選択式)" sheetId="63" r:id="rId17"/>
    <sheet name="A15.ジェンダーとトランジション(経験,選択式) " sheetId="62" r:id="rId18"/>
    <sheet name="A16.年齢層とトランジション(経験, 選択式)" sheetId="65" r:id="rId19"/>
    <sheet name="A17.年齢層とトランジション(経験vs希望,選択式) " sheetId="67" r:id="rId20"/>
    <sheet name="集計用" sheetId="22" r:id="rId21"/>
    <sheet name="RAW (公開用)" sheetId="23" r:id="rId22"/>
    <sheet name="選んだジェンダー" sheetId="11" r:id="rId23"/>
  </sheets>
  <definedNames>
    <definedName name="_xlnm._FilterDatabase" localSheetId="12" hidden="1">'A10.敬称（日）と敬称 (英)'!$B$4:$L$6</definedName>
    <definedName name="_xlnm._FilterDatabase" localSheetId="13" hidden="1">'A11.ジェンダーと差別(選択式)'!$C$4:$AD$64</definedName>
    <definedName name="_xlnm._FilterDatabase" localSheetId="14" hidden="1">'A12.年齢層と差別(選択式)'!$B$4:$AC$64</definedName>
    <definedName name="_xlnm._FilterDatabase" localSheetId="15" hidden="1">'A13.ジェンダーとトランジション(希望+経験, 選択式)'!$C$4:$AA$64</definedName>
    <definedName name="_xlnm._FilterDatabase" localSheetId="16" hidden="1">'A14.年齢層とトランジション(希望+経験, 選択式)'!$B$4:$Z$64</definedName>
    <definedName name="_xlnm._FilterDatabase" localSheetId="17" hidden="1">'A15.ジェンダーとトランジション(経験,選択式) '!$C$4:$AA$64</definedName>
    <definedName name="_xlnm._FilterDatabase" localSheetId="18" hidden="1">'A16.年齢層とトランジション(経験, 選択式)'!$B$4:$Z$64</definedName>
    <definedName name="_xlnm._FilterDatabase" localSheetId="19" hidden="1">'A17.年齢層とトランジション(経験vs希望,選択式) '!$B$4:$Y$64</definedName>
    <definedName name="_xlnm._FilterDatabase" localSheetId="2" hidden="1">'A2.ジェンダーごと年齢'!$C$3:$P$63</definedName>
    <definedName name="_xlnm._FilterDatabase" localSheetId="3" hidden="1">'A3.ジェンダーとラベル選択数'!$C$3:$P$63</definedName>
    <definedName name="_xlnm._FilterDatabase" localSheetId="4" hidden="1">'A4a.ジェンダーと一人称(選択式)'!$C$4:$O$64</definedName>
    <definedName name="_xlnm._FilterDatabase" localSheetId="5" hidden="1">'A4b.ジェンダーと一人称 (自由記入式)'!$C$4:$C$64</definedName>
    <definedName name="_xlnm._FilterDatabase" localSheetId="6" hidden="1">'A5a.ジェンダーと三人称 (日,選択式)'!$C$4:$M$64</definedName>
    <definedName name="_xlnm._FilterDatabase" localSheetId="7" hidden="1">'A5b.ジェンダーと三人称 (日,記入式)'!$C$4:$C$64</definedName>
    <definedName name="_xlnm._FilterDatabase" localSheetId="8" hidden="1">'A6.ジェンダーと三人称 (英)'!$C$4:$M$64</definedName>
    <definedName name="_xlnm._FilterDatabase" localSheetId="9" hidden="1">'A7.三人称（日）と三人称 (英)'!$B$4:$L$6</definedName>
    <definedName name="_xlnm._FilterDatabase" localSheetId="10" hidden="1">'A8.ジェンダーと敬称 (日)'!$C$4:$M$64</definedName>
    <definedName name="_xlnm._FilterDatabase" localSheetId="11" hidden="1">'A9.ジェンダーと敬称 (英) '!$C$4:$AD$64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7" l="1"/>
  <c r="D3" i="57"/>
  <c r="E3" i="57"/>
  <c r="F3" i="57"/>
  <c r="G3" i="57"/>
  <c r="H3" i="57"/>
  <c r="I3" i="57"/>
  <c r="J3" i="57"/>
  <c r="K3" i="57"/>
  <c r="L3" i="57"/>
  <c r="M3" i="57"/>
  <c r="C3" i="57"/>
  <c r="B5" i="50"/>
  <c r="B6" i="50"/>
  <c r="B7" i="50"/>
  <c r="B8" i="50"/>
  <c r="B9" i="50"/>
  <c r="B10" i="50"/>
  <c r="B11" i="50"/>
  <c r="B12" i="50"/>
  <c r="B13" i="50"/>
  <c r="B14" i="50"/>
  <c r="B15" i="50"/>
  <c r="B16" i="50"/>
  <c r="B17" i="50"/>
  <c r="B18" i="50"/>
  <c r="B19" i="50"/>
  <c r="B20" i="50"/>
  <c r="B21" i="50"/>
  <c r="B22" i="50"/>
  <c r="B23" i="50"/>
  <c r="B24" i="50"/>
  <c r="B25" i="50"/>
  <c r="B26" i="50"/>
  <c r="B27" i="50"/>
  <c r="B28" i="50"/>
  <c r="B29" i="50"/>
  <c r="B30" i="50"/>
  <c r="B31" i="50"/>
  <c r="B32" i="50"/>
  <c r="B33" i="50"/>
  <c r="B34" i="50"/>
  <c r="B35" i="50"/>
  <c r="B36" i="50"/>
  <c r="B37" i="50"/>
  <c r="B38" i="50"/>
  <c r="B39" i="50"/>
  <c r="B40" i="50"/>
  <c r="B41" i="50"/>
  <c r="B42" i="50"/>
  <c r="B43" i="50"/>
  <c r="B44" i="50"/>
  <c r="B45" i="50"/>
  <c r="B46" i="50"/>
  <c r="B47" i="50"/>
  <c r="B48" i="50"/>
  <c r="B49" i="50"/>
  <c r="B50" i="50"/>
  <c r="B51" i="50"/>
  <c r="B52" i="50"/>
  <c r="B53" i="50"/>
  <c r="B54" i="50"/>
  <c r="B55" i="50"/>
  <c r="B56" i="50"/>
  <c r="B57" i="50"/>
  <c r="B58" i="50"/>
  <c r="B59" i="50"/>
  <c r="B60" i="50"/>
  <c r="B61" i="50"/>
  <c r="B62" i="50"/>
  <c r="B7" i="49"/>
  <c r="B8" i="49"/>
  <c r="B9" i="49"/>
  <c r="B10" i="49"/>
  <c r="B11" i="49"/>
  <c r="B12" i="49"/>
  <c r="B13" i="49"/>
  <c r="B14" i="49"/>
  <c r="B15" i="49"/>
  <c r="B16" i="49"/>
  <c r="B17" i="49"/>
  <c r="B18" i="49"/>
  <c r="B19" i="49"/>
  <c r="B20" i="49"/>
  <c r="B21" i="49"/>
  <c r="B22" i="49"/>
  <c r="B23" i="49"/>
  <c r="B24" i="49"/>
  <c r="B25" i="49"/>
  <c r="B26" i="49"/>
  <c r="B27" i="49"/>
  <c r="B28" i="49"/>
  <c r="B29" i="49"/>
  <c r="B30" i="49"/>
  <c r="B31" i="49"/>
  <c r="B32" i="49"/>
  <c r="B33" i="49"/>
  <c r="B34" i="49"/>
  <c r="B35" i="49"/>
  <c r="B36" i="49"/>
  <c r="B37" i="49"/>
  <c r="B38" i="49"/>
  <c r="B39" i="49"/>
  <c r="B40" i="49"/>
  <c r="B41" i="49"/>
  <c r="B42" i="49"/>
  <c r="B43" i="49"/>
  <c r="B44" i="49"/>
  <c r="B45" i="49"/>
  <c r="B46" i="49"/>
  <c r="B47" i="49"/>
  <c r="B48" i="49"/>
  <c r="B49" i="49"/>
  <c r="B50" i="49"/>
  <c r="B51" i="49"/>
  <c r="B52" i="49"/>
  <c r="B53" i="49"/>
  <c r="B54" i="49"/>
  <c r="B55" i="49"/>
  <c r="B56" i="49"/>
  <c r="B57" i="49"/>
  <c r="B58" i="49"/>
  <c r="B59" i="49"/>
  <c r="B60" i="49"/>
  <c r="B61" i="49"/>
  <c r="B62" i="49"/>
  <c r="B6" i="49"/>
  <c r="A32" i="45"/>
  <c r="A28" i="45"/>
  <c r="A31" i="45"/>
  <c r="A25" i="45"/>
  <c r="A24" i="45"/>
  <c r="A23" i="45"/>
  <c r="A22" i="45"/>
  <c r="A21" i="45"/>
  <c r="A19" i="45"/>
  <c r="A18" i="45"/>
  <c r="A16" i="45"/>
  <c r="A15" i="45"/>
  <c r="A14" i="45"/>
  <c r="A12" i="45"/>
  <c r="A11" i="45"/>
  <c r="A10" i="45"/>
  <c r="A9" i="45"/>
  <c r="A7" i="45"/>
  <c r="A6" i="45"/>
  <c r="A4" i="45"/>
  <c r="A3" i="45"/>
  <c r="A2" i="45"/>
  <c r="AC14" i="67"/>
  <c r="AB14" i="67"/>
  <c r="AA14" i="67"/>
  <c r="Z14" i="67"/>
  <c r="Y14" i="67"/>
  <c r="X14" i="67"/>
  <c r="W14" i="67"/>
  <c r="V14" i="67"/>
  <c r="U14" i="67"/>
  <c r="AC13" i="67"/>
  <c r="AB13" i="67"/>
  <c r="AA13" i="67"/>
  <c r="Z13" i="67"/>
  <c r="Y13" i="67"/>
  <c r="X13" i="67"/>
  <c r="W13" i="67"/>
  <c r="V13" i="67"/>
  <c r="U13" i="67"/>
  <c r="AC12" i="67"/>
  <c r="AB12" i="67"/>
  <c r="AA12" i="67"/>
  <c r="Z12" i="67"/>
  <c r="Y12" i="67"/>
  <c r="X12" i="67"/>
  <c r="W12" i="67"/>
  <c r="V12" i="67"/>
  <c r="U12" i="67"/>
  <c r="AC11" i="67"/>
  <c r="AB11" i="67"/>
  <c r="AA11" i="67"/>
  <c r="Z11" i="67"/>
  <c r="Y11" i="67"/>
  <c r="X11" i="67"/>
  <c r="W11" i="67"/>
  <c r="V11" i="67"/>
  <c r="U11" i="67"/>
  <c r="AC10" i="67"/>
  <c r="AB10" i="67"/>
  <c r="AA10" i="67"/>
  <c r="Z10" i="67"/>
  <c r="Y10" i="67"/>
  <c r="X10" i="67"/>
  <c r="W10" i="67"/>
  <c r="V10" i="67"/>
  <c r="U10" i="67"/>
  <c r="AC9" i="67"/>
  <c r="AB9" i="67"/>
  <c r="AA9" i="67"/>
  <c r="Z9" i="67"/>
  <c r="Y9" i="67"/>
  <c r="X9" i="67"/>
  <c r="W9" i="67"/>
  <c r="V9" i="67"/>
  <c r="U9" i="67"/>
  <c r="AC8" i="67"/>
  <c r="AB8" i="67"/>
  <c r="AA8" i="67"/>
  <c r="Z8" i="67"/>
  <c r="Y8" i="67"/>
  <c r="X8" i="67"/>
  <c r="W8" i="67"/>
  <c r="V8" i="67"/>
  <c r="U8" i="67"/>
  <c r="AC7" i="67"/>
  <c r="AB7" i="67"/>
  <c r="AA7" i="67"/>
  <c r="Z7" i="67"/>
  <c r="Y7" i="67"/>
  <c r="X7" i="67"/>
  <c r="W7" i="67"/>
  <c r="V7" i="67"/>
  <c r="U7" i="67"/>
  <c r="AC6" i="67"/>
  <c r="AB6" i="67"/>
  <c r="AA6" i="67"/>
  <c r="Z6" i="67"/>
  <c r="Y6" i="67"/>
  <c r="X6" i="67"/>
  <c r="W6" i="67"/>
  <c r="V6" i="67"/>
  <c r="U6" i="67"/>
  <c r="AC5" i="67"/>
  <c r="AB5" i="67"/>
  <c r="AA5" i="67"/>
  <c r="Z5" i="67"/>
  <c r="Y5" i="67"/>
  <c r="X5" i="67"/>
  <c r="W5" i="67"/>
  <c r="V5" i="67"/>
  <c r="U5" i="67"/>
  <c r="AC15" i="67"/>
  <c r="AB15" i="67"/>
  <c r="AA15" i="67"/>
  <c r="Z15" i="67"/>
  <c r="Y15" i="67"/>
  <c r="X15" i="67"/>
  <c r="W15" i="67"/>
  <c r="V15" i="67"/>
  <c r="U15" i="67"/>
  <c r="M5" i="67"/>
  <c r="N5" i="67"/>
  <c r="O5" i="67"/>
  <c r="P5" i="67"/>
  <c r="Q5" i="67"/>
  <c r="R5" i="67"/>
  <c r="S5" i="67"/>
  <c r="T5" i="67"/>
  <c r="M6" i="67"/>
  <c r="N6" i="67"/>
  <c r="O6" i="67"/>
  <c r="P6" i="67"/>
  <c r="Q6" i="67"/>
  <c r="R6" i="67"/>
  <c r="S6" i="67"/>
  <c r="T6" i="67"/>
  <c r="M7" i="67"/>
  <c r="N7" i="67"/>
  <c r="O7" i="67"/>
  <c r="P7" i="67"/>
  <c r="Q7" i="67"/>
  <c r="R7" i="67"/>
  <c r="S7" i="67"/>
  <c r="T7" i="67"/>
  <c r="M8" i="67"/>
  <c r="N8" i="67"/>
  <c r="O8" i="67"/>
  <c r="P8" i="67"/>
  <c r="G8" i="67" s="1"/>
  <c r="Q8" i="67"/>
  <c r="H8" i="67" s="1"/>
  <c r="R8" i="67"/>
  <c r="I8" i="67" s="1"/>
  <c r="S8" i="67"/>
  <c r="J8" i="67" s="1"/>
  <c r="T8" i="67"/>
  <c r="K8" i="67" s="1"/>
  <c r="M9" i="67"/>
  <c r="D9" i="67" s="1"/>
  <c r="N9" i="67"/>
  <c r="E9" i="67" s="1"/>
  <c r="O9" i="67"/>
  <c r="F9" i="67" s="1"/>
  <c r="P9" i="67"/>
  <c r="Q9" i="67"/>
  <c r="R9" i="67"/>
  <c r="S9" i="67"/>
  <c r="T9" i="67"/>
  <c r="K9" i="67" s="1"/>
  <c r="M10" i="67"/>
  <c r="D10" i="67" s="1"/>
  <c r="N10" i="67"/>
  <c r="O10" i="67"/>
  <c r="P10" i="67"/>
  <c r="Q10" i="67"/>
  <c r="R10" i="67"/>
  <c r="S10" i="67"/>
  <c r="T10" i="67"/>
  <c r="M11" i="67"/>
  <c r="D11" i="67" s="1"/>
  <c r="N11" i="67"/>
  <c r="E11" i="67" s="1"/>
  <c r="O11" i="67"/>
  <c r="F11" i="67" s="1"/>
  <c r="P11" i="67"/>
  <c r="G11" i="67" s="1"/>
  <c r="Q11" i="67"/>
  <c r="H11" i="67" s="1"/>
  <c r="R11" i="67"/>
  <c r="I11" i="67" s="1"/>
  <c r="S11" i="67"/>
  <c r="J11" i="67" s="1"/>
  <c r="T11" i="67"/>
  <c r="K11" i="67" s="1"/>
  <c r="M12" i="67"/>
  <c r="N12" i="67"/>
  <c r="E12" i="67" s="1"/>
  <c r="O12" i="67"/>
  <c r="P12" i="67"/>
  <c r="Q12" i="67"/>
  <c r="R12" i="67"/>
  <c r="S12" i="67"/>
  <c r="T12" i="67"/>
  <c r="M13" i="67"/>
  <c r="N13" i="67"/>
  <c r="E13" i="67" s="1"/>
  <c r="O13" i="67"/>
  <c r="F13" i="67" s="1"/>
  <c r="P13" i="67"/>
  <c r="Q13" i="67"/>
  <c r="R13" i="67"/>
  <c r="I13" i="67" s="1"/>
  <c r="S13" i="67"/>
  <c r="J13" i="67" s="1"/>
  <c r="T13" i="67"/>
  <c r="M14" i="67"/>
  <c r="D14" i="67" s="1"/>
  <c r="N14" i="67"/>
  <c r="E14" i="67" s="1"/>
  <c r="O14" i="67"/>
  <c r="F14" i="67" s="1"/>
  <c r="P14" i="67"/>
  <c r="G14" i="67" s="1"/>
  <c r="Q14" i="67"/>
  <c r="H14" i="67" s="1"/>
  <c r="R14" i="67"/>
  <c r="I14" i="67" s="1"/>
  <c r="S14" i="67"/>
  <c r="J14" i="67" s="1"/>
  <c r="T14" i="67"/>
  <c r="M15" i="67"/>
  <c r="N15" i="67"/>
  <c r="O15" i="67"/>
  <c r="P15" i="67"/>
  <c r="Q15" i="67"/>
  <c r="R15" i="67"/>
  <c r="S15" i="67"/>
  <c r="T15" i="67"/>
  <c r="L15" i="67"/>
  <c r="L14" i="67"/>
  <c r="C14" i="67" s="1"/>
  <c r="L13" i="67"/>
  <c r="L12" i="67"/>
  <c r="C12" i="67" s="1"/>
  <c r="L11" i="67"/>
  <c r="C11" i="67" s="1"/>
  <c r="L10" i="67"/>
  <c r="C10" i="67" s="1"/>
  <c r="L9" i="67"/>
  <c r="L8" i="67"/>
  <c r="C8" i="67" s="1"/>
  <c r="L7" i="67"/>
  <c r="L6" i="67"/>
  <c r="L5" i="67"/>
  <c r="C3" i="67"/>
  <c r="D3" i="67"/>
  <c r="E3" i="67"/>
  <c r="F3" i="67"/>
  <c r="G3" i="67"/>
  <c r="H3" i="67"/>
  <c r="I3" i="67"/>
  <c r="J3" i="67"/>
  <c r="K3" i="67"/>
  <c r="A5" i="67"/>
  <c r="A6" i="67"/>
  <c r="A7" i="67"/>
  <c r="A8" i="67"/>
  <c r="A9" i="67"/>
  <c r="A10" i="67"/>
  <c r="A11" i="67"/>
  <c r="A12" i="67"/>
  <c r="A13" i="67"/>
  <c r="A14" i="67"/>
  <c r="A15" i="67"/>
  <c r="A15" i="65"/>
  <c r="L15" i="65" s="1"/>
  <c r="A14" i="65"/>
  <c r="L14" i="65" s="1"/>
  <c r="A13" i="65"/>
  <c r="J13" i="65" s="1"/>
  <c r="A12" i="65"/>
  <c r="J12" i="65" s="1"/>
  <c r="A11" i="65"/>
  <c r="H11" i="65" s="1"/>
  <c r="A10" i="65"/>
  <c r="L10" i="65" s="1"/>
  <c r="A9" i="65"/>
  <c r="F9" i="65" s="1"/>
  <c r="A8" i="65"/>
  <c r="L8" i="65" s="1"/>
  <c r="A7" i="65"/>
  <c r="D7" i="65" s="1"/>
  <c r="A6" i="65"/>
  <c r="L6" i="65" s="1"/>
  <c r="A5" i="65"/>
  <c r="K5" i="65" s="1"/>
  <c r="L3" i="65"/>
  <c r="K3" i="65"/>
  <c r="J3" i="65"/>
  <c r="I3" i="65"/>
  <c r="H3" i="65"/>
  <c r="G3" i="65"/>
  <c r="F3" i="65"/>
  <c r="E3" i="65"/>
  <c r="D3" i="65"/>
  <c r="C3" i="65"/>
  <c r="N3" i="62"/>
  <c r="M3" i="62"/>
  <c r="L3" i="62"/>
  <c r="K3" i="62"/>
  <c r="J3" i="62"/>
  <c r="I3" i="62"/>
  <c r="H3" i="62"/>
  <c r="G3" i="62"/>
  <c r="F3" i="62"/>
  <c r="E3" i="62"/>
  <c r="D3" i="62"/>
  <c r="B8" i="62"/>
  <c r="N8" i="62" s="1"/>
  <c r="B9" i="62"/>
  <c r="N9" i="62" s="1"/>
  <c r="B5" i="62"/>
  <c r="N5" i="62" s="1"/>
  <c r="B6" i="62"/>
  <c r="N6" i="62" s="1"/>
  <c r="B7" i="62"/>
  <c r="N7" i="62" s="1"/>
  <c r="B14" i="62"/>
  <c r="N14" i="62" s="1"/>
  <c r="B13" i="62"/>
  <c r="N13" i="62" s="1"/>
  <c r="B12" i="62"/>
  <c r="N12" i="62" s="1"/>
  <c r="B11" i="62"/>
  <c r="N11" i="62" s="1"/>
  <c r="B10" i="62"/>
  <c r="N10" i="62" s="1"/>
  <c r="B24" i="62"/>
  <c r="N24" i="62" s="1"/>
  <c r="B27" i="62"/>
  <c r="N27" i="62" s="1"/>
  <c r="B23" i="62"/>
  <c r="N23" i="62" s="1"/>
  <c r="B29" i="62"/>
  <c r="N29" i="62" s="1"/>
  <c r="B18" i="62"/>
  <c r="N18" i="62" s="1"/>
  <c r="B28" i="62"/>
  <c r="N28" i="62" s="1"/>
  <c r="B25" i="62"/>
  <c r="N25" i="62" s="1"/>
  <c r="B26" i="62"/>
  <c r="N26" i="62" s="1"/>
  <c r="B20" i="62"/>
  <c r="N20" i="62" s="1"/>
  <c r="B21" i="62"/>
  <c r="N21" i="62" s="1"/>
  <c r="B16" i="62"/>
  <c r="N16" i="62" s="1"/>
  <c r="B19" i="62"/>
  <c r="N19" i="62" s="1"/>
  <c r="B22" i="62"/>
  <c r="N22" i="62" s="1"/>
  <c r="B17" i="62"/>
  <c r="N17" i="62" s="1"/>
  <c r="B15" i="62"/>
  <c r="N15" i="62" s="1"/>
  <c r="B48" i="62"/>
  <c r="N48" i="62" s="1"/>
  <c r="B43" i="62"/>
  <c r="N43" i="62" s="1"/>
  <c r="B47" i="62"/>
  <c r="N47" i="62" s="1"/>
  <c r="B36" i="62"/>
  <c r="N36" i="62" s="1"/>
  <c r="B38" i="62"/>
  <c r="N38" i="62" s="1"/>
  <c r="B46" i="62"/>
  <c r="N46" i="62" s="1"/>
  <c r="B39" i="62"/>
  <c r="N39" i="62" s="1"/>
  <c r="B34" i="62"/>
  <c r="N34" i="62" s="1"/>
  <c r="B45" i="62"/>
  <c r="N45" i="62" s="1"/>
  <c r="B41" i="62"/>
  <c r="N41" i="62" s="1"/>
  <c r="B44" i="62"/>
  <c r="N44" i="62" s="1"/>
  <c r="B42" i="62"/>
  <c r="N42" i="62" s="1"/>
  <c r="B37" i="62"/>
  <c r="N37" i="62" s="1"/>
  <c r="B31" i="62"/>
  <c r="N31" i="62" s="1"/>
  <c r="B40" i="62"/>
  <c r="N40" i="62" s="1"/>
  <c r="B33" i="62"/>
  <c r="N33" i="62" s="1"/>
  <c r="B35" i="62"/>
  <c r="N35" i="62" s="1"/>
  <c r="B32" i="62"/>
  <c r="N32" i="62" s="1"/>
  <c r="B30" i="62"/>
  <c r="N30" i="62" s="1"/>
  <c r="B50" i="62"/>
  <c r="N50" i="62" s="1"/>
  <c r="B49" i="62"/>
  <c r="N49" i="62" s="1"/>
  <c r="B51" i="62"/>
  <c r="N51" i="62" s="1"/>
  <c r="B53" i="62"/>
  <c r="N53" i="62" s="1"/>
  <c r="B54" i="62"/>
  <c r="N54" i="62" s="1"/>
  <c r="B52" i="62"/>
  <c r="N52" i="62" s="1"/>
  <c r="B56" i="62"/>
  <c r="N56" i="62" s="1"/>
  <c r="B55" i="62"/>
  <c r="N55" i="62" s="1"/>
  <c r="B59" i="62"/>
  <c r="N59" i="62" s="1"/>
  <c r="B61" i="62"/>
  <c r="N61" i="62" s="1"/>
  <c r="B57" i="62"/>
  <c r="N57" i="62" s="1"/>
  <c r="B58" i="62"/>
  <c r="N58" i="62" s="1"/>
  <c r="B60" i="62"/>
  <c r="N60" i="62" s="1"/>
  <c r="B62" i="62"/>
  <c r="N62" i="62" s="1"/>
  <c r="D3" i="63"/>
  <c r="E3" i="63"/>
  <c r="F3" i="63"/>
  <c r="G3" i="63"/>
  <c r="H3" i="63"/>
  <c r="I3" i="63"/>
  <c r="J3" i="63"/>
  <c r="K3" i="63"/>
  <c r="L3" i="63"/>
  <c r="C3" i="63"/>
  <c r="A15" i="63"/>
  <c r="A14" i="63"/>
  <c r="J14" i="63" s="1"/>
  <c r="A13" i="63"/>
  <c r="F13" i="63" s="1"/>
  <c r="A12" i="63"/>
  <c r="L12" i="63" s="1"/>
  <c r="A11" i="63"/>
  <c r="D11" i="63" s="1"/>
  <c r="A10" i="63"/>
  <c r="A9" i="63"/>
  <c r="L9" i="63" s="1"/>
  <c r="A8" i="63"/>
  <c r="F8" i="63" s="1"/>
  <c r="A7" i="63"/>
  <c r="G7" i="63" s="1"/>
  <c r="A6" i="63"/>
  <c r="A5" i="63"/>
  <c r="L5" i="63" s="1"/>
  <c r="N3" i="60"/>
  <c r="E3" i="60"/>
  <c r="F3" i="60"/>
  <c r="G3" i="60"/>
  <c r="H3" i="60"/>
  <c r="I3" i="60"/>
  <c r="J3" i="60"/>
  <c r="K3" i="60"/>
  <c r="L3" i="60"/>
  <c r="M3" i="60"/>
  <c r="D3" i="60"/>
  <c r="B62" i="60"/>
  <c r="M62" i="60" s="1"/>
  <c r="B58" i="60"/>
  <c r="M58" i="60" s="1"/>
  <c r="B59" i="60"/>
  <c r="I59" i="60" s="1"/>
  <c r="B61" i="60"/>
  <c r="M61" i="60" s="1"/>
  <c r="B60" i="60"/>
  <c r="E60" i="60" s="1"/>
  <c r="B57" i="60"/>
  <c r="M57" i="60" s="1"/>
  <c r="B56" i="60"/>
  <c r="L56" i="60" s="1"/>
  <c r="B54" i="60"/>
  <c r="K54" i="60" s="1"/>
  <c r="B55" i="60"/>
  <c r="M55" i="60" s="1"/>
  <c r="B53" i="60"/>
  <c r="G53" i="60" s="1"/>
  <c r="B49" i="60"/>
  <c r="M49" i="60" s="1"/>
  <c r="B45" i="60"/>
  <c r="M45" i="60" s="1"/>
  <c r="B47" i="60"/>
  <c r="M47" i="60" s="1"/>
  <c r="B46" i="60"/>
  <c r="M46" i="60" s="1"/>
  <c r="B48" i="60"/>
  <c r="I48" i="60" s="1"/>
  <c r="B44" i="60"/>
  <c r="M44" i="60" s="1"/>
  <c r="B43" i="60"/>
  <c r="E43" i="60" s="1"/>
  <c r="B41" i="60"/>
  <c r="M41" i="60" s="1"/>
  <c r="B50" i="60"/>
  <c r="L50" i="60" s="1"/>
  <c r="B42" i="60"/>
  <c r="K42" i="60" s="1"/>
  <c r="B40" i="60"/>
  <c r="M40" i="60" s="1"/>
  <c r="B52" i="60"/>
  <c r="G52" i="60" s="1"/>
  <c r="B51" i="60"/>
  <c r="M51" i="60" s="1"/>
  <c r="B39" i="60"/>
  <c r="M39" i="60" s="1"/>
  <c r="B38" i="60"/>
  <c r="M38" i="60" s="1"/>
  <c r="B32" i="60"/>
  <c r="M32" i="60" s="1"/>
  <c r="B23" i="60"/>
  <c r="I23" i="60" s="1"/>
  <c r="B37" i="60"/>
  <c r="M37" i="60" s="1"/>
  <c r="B28" i="60"/>
  <c r="E28" i="60" s="1"/>
  <c r="B31" i="60"/>
  <c r="M31" i="60" s="1"/>
  <c r="B25" i="60"/>
  <c r="L25" i="60" s="1"/>
  <c r="B36" i="60"/>
  <c r="K36" i="60" s="1"/>
  <c r="B21" i="60"/>
  <c r="I21" i="60" s="1"/>
  <c r="B29" i="60"/>
  <c r="G29" i="60" s="1"/>
  <c r="B30" i="60"/>
  <c r="M30" i="60" s="1"/>
  <c r="B20" i="60"/>
  <c r="M20" i="60" s="1"/>
  <c r="B33" i="60"/>
  <c r="M33" i="60" s="1"/>
  <c r="B26" i="60"/>
  <c r="M26" i="60" s="1"/>
  <c r="B35" i="60"/>
  <c r="I35" i="60" s="1"/>
  <c r="B27" i="60"/>
  <c r="M27" i="60" s="1"/>
  <c r="B24" i="60"/>
  <c r="E24" i="60" s="1"/>
  <c r="B22" i="60"/>
  <c r="M22" i="60" s="1"/>
  <c r="B19" i="60"/>
  <c r="L19" i="60" s="1"/>
  <c r="B34" i="60"/>
  <c r="K34" i="60" s="1"/>
  <c r="B16" i="60"/>
  <c r="M16" i="60" s="1"/>
  <c r="B17" i="60"/>
  <c r="G17" i="60" s="1"/>
  <c r="B18" i="60"/>
  <c r="M18" i="60" s="1"/>
  <c r="B14" i="60"/>
  <c r="M14" i="60" s="1"/>
  <c r="B13" i="60"/>
  <c r="M13" i="60" s="1"/>
  <c r="B15" i="60"/>
  <c r="M15" i="60" s="1"/>
  <c r="B11" i="60"/>
  <c r="I11" i="60" s="1"/>
  <c r="B12" i="60"/>
  <c r="M12" i="60" s="1"/>
  <c r="B10" i="60"/>
  <c r="E10" i="60" s="1"/>
  <c r="B8" i="60"/>
  <c r="M8" i="60" s="1"/>
  <c r="B7" i="60"/>
  <c r="L7" i="60" s="1"/>
  <c r="B9" i="60"/>
  <c r="K9" i="60" s="1"/>
  <c r="B6" i="60"/>
  <c r="I6" i="60" s="1"/>
  <c r="B5" i="60"/>
  <c r="N5" i="60" s="1"/>
  <c r="AD2"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AD53" i="22"/>
  <c r="AD54" i="22"/>
  <c r="AD55" i="22"/>
  <c r="AD56" i="22"/>
  <c r="AD57" i="22"/>
  <c r="AD58" i="22"/>
  <c r="AD59" i="22"/>
  <c r="AD60" i="22"/>
  <c r="AD61" i="22"/>
  <c r="AD62" i="22"/>
  <c r="AD63" i="22"/>
  <c r="AD64" i="22"/>
  <c r="AD65" i="22"/>
  <c r="AD66" i="22"/>
  <c r="AD67" i="22"/>
  <c r="AD68" i="22"/>
  <c r="AD69" i="22"/>
  <c r="AD70" i="22"/>
  <c r="AD71" i="22"/>
  <c r="AD72" i="22"/>
  <c r="AD73" i="22"/>
  <c r="AD74" i="22"/>
  <c r="AD75" i="22"/>
  <c r="AD76" i="22"/>
  <c r="AD77" i="22"/>
  <c r="AD78" i="22"/>
  <c r="AD79" i="22"/>
  <c r="AD80" i="22"/>
  <c r="AD81" i="22"/>
  <c r="AD82" i="22"/>
  <c r="AD83" i="22"/>
  <c r="AD84" i="22"/>
  <c r="AD85" i="22"/>
  <c r="AD86" i="22"/>
  <c r="AD87" i="22"/>
  <c r="AD88" i="22"/>
  <c r="AD89" i="22"/>
  <c r="AD90" i="22"/>
  <c r="AD91" i="22"/>
  <c r="AD92" i="22"/>
  <c r="AD93" i="22"/>
  <c r="AD94" i="22"/>
  <c r="AD95" i="22"/>
  <c r="AD96" i="22"/>
  <c r="AD97" i="22"/>
  <c r="AD98" i="22"/>
  <c r="AD99" i="22"/>
  <c r="AD100" i="22"/>
  <c r="AD101" i="22"/>
  <c r="AD102" i="22"/>
  <c r="AD103" i="22"/>
  <c r="AD104" i="22"/>
  <c r="AD105" i="22"/>
  <c r="AD106" i="22"/>
  <c r="AD107" i="22"/>
  <c r="AD108" i="22"/>
  <c r="AD109" i="22"/>
  <c r="AD110" i="22"/>
  <c r="AD111" i="22"/>
  <c r="AD112" i="22"/>
  <c r="AD113" i="22"/>
  <c r="AD114" i="22"/>
  <c r="AD115" i="22"/>
  <c r="AD116" i="22"/>
  <c r="AD117" i="22"/>
  <c r="AD118" i="22"/>
  <c r="AD119" i="22"/>
  <c r="AD120" i="22"/>
  <c r="AD121" i="22"/>
  <c r="AD122" i="22"/>
  <c r="AD123" i="22"/>
  <c r="AD124" i="22"/>
  <c r="AD125" i="22"/>
  <c r="AD126" i="22"/>
  <c r="AD127" i="22"/>
  <c r="AD128" i="22"/>
  <c r="AD129" i="22"/>
  <c r="AD130" i="22"/>
  <c r="AD131" i="22"/>
  <c r="AD132" i="22"/>
  <c r="AD133" i="22"/>
  <c r="AD134" i="22"/>
  <c r="AD135" i="22"/>
  <c r="AD136" i="22"/>
  <c r="AD137" i="22"/>
  <c r="AD138" i="22"/>
  <c r="AD139" i="22"/>
  <c r="AD140" i="22"/>
  <c r="AD141" i="22"/>
  <c r="AD142" i="22"/>
  <c r="AD143" i="22"/>
  <c r="AD144" i="22"/>
  <c r="AD145" i="22"/>
  <c r="AD146" i="22"/>
  <c r="AD147" i="22"/>
  <c r="AD148" i="22"/>
  <c r="AD149" i="22"/>
  <c r="AD150" i="22"/>
  <c r="AD151" i="22"/>
  <c r="AD152" i="22"/>
  <c r="AD153" i="22"/>
  <c r="AD154" i="22"/>
  <c r="AD155" i="22"/>
  <c r="AD156" i="22"/>
  <c r="AD157" i="22"/>
  <c r="AD158" i="22"/>
  <c r="AD159" i="22"/>
  <c r="AD160" i="22"/>
  <c r="AD161" i="22"/>
  <c r="AD162" i="22"/>
  <c r="AD163" i="22"/>
  <c r="AD164" i="22"/>
  <c r="AD165" i="22"/>
  <c r="AD166" i="22"/>
  <c r="AD167" i="22"/>
  <c r="AD168" i="22"/>
  <c r="AD169" i="22"/>
  <c r="AD170" i="22"/>
  <c r="AD171" i="22"/>
  <c r="AD172" i="22"/>
  <c r="AD173" i="22"/>
  <c r="AD174" i="22"/>
  <c r="AD175" i="22"/>
  <c r="AD176" i="22"/>
  <c r="AD177" i="22"/>
  <c r="AD178" i="22"/>
  <c r="AD179" i="22"/>
  <c r="AD180" i="22"/>
  <c r="AD181" i="22"/>
  <c r="AD182" i="22"/>
  <c r="AD183" i="22"/>
  <c r="AD184" i="22"/>
  <c r="AD185" i="22"/>
  <c r="AD186" i="22"/>
  <c r="AD187" i="22"/>
  <c r="AD188" i="22"/>
  <c r="AD189" i="22"/>
  <c r="AD190" i="22"/>
  <c r="AD191" i="22"/>
  <c r="AD192" i="22"/>
  <c r="AD193" i="22"/>
  <c r="AD194" i="22"/>
  <c r="AD195" i="22"/>
  <c r="AD196" i="22"/>
  <c r="AD197" i="22"/>
  <c r="AD198" i="22"/>
  <c r="AD199" i="22"/>
  <c r="AD200" i="22"/>
  <c r="AD201" i="22"/>
  <c r="AD202" i="22"/>
  <c r="AD203" i="22"/>
  <c r="AD204" i="22"/>
  <c r="AD205" i="22"/>
  <c r="AD206" i="22"/>
  <c r="AD207" i="22"/>
  <c r="AD208" i="22"/>
  <c r="AD209" i="22"/>
  <c r="AD210" i="22"/>
  <c r="AD211" i="22"/>
  <c r="AD212" i="22"/>
  <c r="AD213" i="22"/>
  <c r="AD214" i="22"/>
  <c r="AD215" i="22"/>
  <c r="AD216" i="22"/>
  <c r="AD217" i="22"/>
  <c r="AD218" i="22"/>
  <c r="AD219" i="22"/>
  <c r="AD220" i="22"/>
  <c r="AD221" i="22"/>
  <c r="AD222" i="22"/>
  <c r="AD223" i="22"/>
  <c r="AD224" i="22"/>
  <c r="AD225" i="22"/>
  <c r="AD226" i="22"/>
  <c r="AD227" i="22"/>
  <c r="AD228" i="22"/>
  <c r="AD229" i="22"/>
  <c r="AD230" i="22"/>
  <c r="AD231" i="22"/>
  <c r="AD232" i="22"/>
  <c r="AD233" i="22"/>
  <c r="AD234" i="22"/>
  <c r="AD235" i="22"/>
  <c r="AD236" i="22"/>
  <c r="AD237" i="22"/>
  <c r="AD238" i="22"/>
  <c r="AD239" i="22"/>
  <c r="AD240" i="22"/>
  <c r="AD241" i="22"/>
  <c r="AD242" i="22"/>
  <c r="AD243" i="22"/>
  <c r="AD244" i="22"/>
  <c r="AD245" i="22"/>
  <c r="AD246" i="22"/>
  <c r="AD247" i="22"/>
  <c r="AD248" i="22"/>
  <c r="AD249" i="22"/>
  <c r="AD250" i="22"/>
  <c r="AD251" i="22"/>
  <c r="AD252" i="22"/>
  <c r="AD253" i="22"/>
  <c r="AD254" i="22"/>
  <c r="AD255" i="22"/>
  <c r="AD256" i="22"/>
  <c r="AD257" i="22"/>
  <c r="AD258" i="22"/>
  <c r="AD259" i="22"/>
  <c r="AD260" i="22"/>
  <c r="AD261" i="22"/>
  <c r="AD262" i="22"/>
  <c r="AD263" i="22"/>
  <c r="AD264" i="22"/>
  <c r="AD265" i="22"/>
  <c r="AD266" i="22"/>
  <c r="AD267" i="22"/>
  <c r="AD268" i="22"/>
  <c r="AD269" i="22"/>
  <c r="AD270" i="22"/>
  <c r="AD271" i="22"/>
  <c r="AD272" i="22"/>
  <c r="AD273" i="22"/>
  <c r="AD274" i="22"/>
  <c r="AD275" i="22"/>
  <c r="AD276" i="22"/>
  <c r="AD277" i="22"/>
  <c r="AD278" i="22"/>
  <c r="AD279" i="22"/>
  <c r="AD280" i="22"/>
  <c r="AD281" i="22"/>
  <c r="AD282" i="22"/>
  <c r="AD283" i="22"/>
  <c r="AD284" i="22"/>
  <c r="AD285" i="22"/>
  <c r="AD286" i="22"/>
  <c r="AD287" i="22"/>
  <c r="AD288" i="22"/>
  <c r="AD289" i="22"/>
  <c r="AD290" i="22"/>
  <c r="AD291" i="22"/>
  <c r="AD292" i="22"/>
  <c r="AD293" i="22"/>
  <c r="AD294" i="22"/>
  <c r="AD295" i="22"/>
  <c r="AD296" i="22"/>
  <c r="AD297" i="22"/>
  <c r="AD298" i="22"/>
  <c r="AD299" i="22"/>
  <c r="AD300" i="22"/>
  <c r="AD301" i="22"/>
  <c r="AD302" i="22"/>
  <c r="AD303" i="22"/>
  <c r="AD304" i="22"/>
  <c r="AD305" i="22"/>
  <c r="AD306" i="22"/>
  <c r="AD307" i="22"/>
  <c r="AD308" i="22"/>
  <c r="AD309" i="22"/>
  <c r="AD310" i="22"/>
  <c r="AD311" i="22"/>
  <c r="AD312" i="22"/>
  <c r="AD313" i="22"/>
  <c r="AD314" i="22"/>
  <c r="AD315" i="22"/>
  <c r="AD316" i="22"/>
  <c r="AD317" i="22"/>
  <c r="AD318" i="22"/>
  <c r="AD319" i="22"/>
  <c r="AD320" i="22"/>
  <c r="AD321" i="22"/>
  <c r="AD322" i="22"/>
  <c r="AD323" i="22"/>
  <c r="AD324" i="22"/>
  <c r="AD325" i="22"/>
  <c r="AD326" i="22"/>
  <c r="AD327" i="22"/>
  <c r="AD328" i="22"/>
  <c r="AD329" i="22"/>
  <c r="AD330" i="22"/>
  <c r="AD331" i="22"/>
  <c r="AD332" i="22"/>
  <c r="AD333" i="22"/>
  <c r="AD334" i="22"/>
  <c r="AD335" i="22"/>
  <c r="AD336" i="22"/>
  <c r="AD337" i="22"/>
  <c r="AD338" i="22"/>
  <c r="AD339" i="22"/>
  <c r="AD340" i="22"/>
  <c r="AD341" i="22"/>
  <c r="AD342" i="22"/>
  <c r="AD343" i="22"/>
  <c r="AD344" i="22"/>
  <c r="AD345" i="22"/>
  <c r="AD346" i="22"/>
  <c r="AD347" i="22"/>
  <c r="AD348" i="22"/>
  <c r="AD349" i="22"/>
  <c r="AD350" i="22"/>
  <c r="AD351" i="22"/>
  <c r="AD352" i="22"/>
  <c r="AD353" i="22"/>
  <c r="AD354" i="22"/>
  <c r="AD355" i="22"/>
  <c r="AD356" i="22"/>
  <c r="AD357" i="22"/>
  <c r="AD358" i="22"/>
  <c r="AD359" i="22"/>
  <c r="AD360" i="22"/>
  <c r="AD361" i="22"/>
  <c r="AD362" i="22"/>
  <c r="AD363" i="22"/>
  <c r="AD364" i="22"/>
  <c r="AD365" i="22"/>
  <c r="AD366" i="22"/>
  <c r="AD367" i="22"/>
  <c r="AD368" i="22"/>
  <c r="AD369" i="22"/>
  <c r="AD370" i="22"/>
  <c r="AD371" i="22"/>
  <c r="AD372" i="22"/>
  <c r="AD373" i="22"/>
  <c r="AD374" i="22"/>
  <c r="AD375" i="22"/>
  <c r="AD376" i="22"/>
  <c r="AD377" i="22"/>
  <c r="AD378" i="22"/>
  <c r="AD379" i="22"/>
  <c r="AD380" i="22"/>
  <c r="AD381" i="22"/>
  <c r="AD382" i="22"/>
  <c r="AD383" i="22"/>
  <c r="AD384" i="22"/>
  <c r="AD385" i="22"/>
  <c r="AD386" i="22"/>
  <c r="AD387" i="22"/>
  <c r="AD388" i="22"/>
  <c r="AD389" i="22"/>
  <c r="AD390" i="22"/>
  <c r="AD391" i="22"/>
  <c r="AD392" i="22"/>
  <c r="AD393" i="22"/>
  <c r="AD394" i="22"/>
  <c r="AD395" i="22"/>
  <c r="AD396" i="22"/>
  <c r="AD397" i="22"/>
  <c r="AD398" i="22"/>
  <c r="AD399" i="22"/>
  <c r="AD400" i="22"/>
  <c r="AD401" i="22"/>
  <c r="AD402" i="22"/>
  <c r="AD403" i="22"/>
  <c r="AD404" i="22"/>
  <c r="AD405" i="22"/>
  <c r="AD406" i="22"/>
  <c r="AD407" i="22"/>
  <c r="AD408" i="22"/>
  <c r="AD409" i="22"/>
  <c r="AD410" i="22"/>
  <c r="AD411" i="22"/>
  <c r="AD412" i="22"/>
  <c r="AD413" i="22"/>
  <c r="AD414" i="22"/>
  <c r="AD415" i="22"/>
  <c r="AD416" i="22"/>
  <c r="AD417" i="22"/>
  <c r="AD418" i="22"/>
  <c r="AD419" i="22"/>
  <c r="AD420" i="22"/>
  <c r="AD421" i="22"/>
  <c r="AD422" i="22"/>
  <c r="AD423" i="22"/>
  <c r="AD424" i="22"/>
  <c r="AD425" i="22"/>
  <c r="AD426" i="22"/>
  <c r="AD427" i="22"/>
  <c r="AD428" i="22"/>
  <c r="AD429" i="22"/>
  <c r="AD430" i="22"/>
  <c r="AD431" i="22"/>
  <c r="AD432" i="22"/>
  <c r="AD433" i="22"/>
  <c r="AD434" i="22"/>
  <c r="AD435" i="22"/>
  <c r="AD436" i="22"/>
  <c r="AD437" i="22"/>
  <c r="AD438" i="22"/>
  <c r="AD439" i="22"/>
  <c r="AD440" i="22"/>
  <c r="AD441" i="22"/>
  <c r="AD442" i="22"/>
  <c r="AD443" i="22"/>
  <c r="AD444" i="22"/>
  <c r="R3" i="22"/>
  <c r="R5" i="22"/>
  <c r="R6" i="22"/>
  <c r="R7" i="22"/>
  <c r="R8" i="22"/>
  <c r="R9" i="22"/>
  <c r="T9" i="22" s="1"/>
  <c r="R10" i="22"/>
  <c r="R11" i="22"/>
  <c r="R12" i="22"/>
  <c r="R13" i="22"/>
  <c r="R14" i="22"/>
  <c r="R15" i="22"/>
  <c r="T15" i="22" s="1"/>
  <c r="R16" i="22"/>
  <c r="R17" i="22"/>
  <c r="R18" i="22"/>
  <c r="R19" i="22"/>
  <c r="R20" i="22"/>
  <c r="R21" i="22"/>
  <c r="R22" i="22"/>
  <c r="R23" i="22"/>
  <c r="T24" i="22"/>
  <c r="R25" i="22"/>
  <c r="R26" i="22"/>
  <c r="R27" i="22"/>
  <c r="R28" i="22"/>
  <c r="R29" i="22"/>
  <c r="T29" i="22" s="1"/>
  <c r="R30" i="22"/>
  <c r="R31" i="22"/>
  <c r="R32" i="22"/>
  <c r="R33" i="22"/>
  <c r="R34" i="22"/>
  <c r="T34" i="22" s="1"/>
  <c r="R35" i="22"/>
  <c r="R36" i="22"/>
  <c r="R37" i="22"/>
  <c r="R38" i="22"/>
  <c r="R39" i="22"/>
  <c r="R40" i="22"/>
  <c r="T40" i="22" s="1"/>
  <c r="R41" i="22"/>
  <c r="R42" i="22"/>
  <c r="R43" i="22"/>
  <c r="R44" i="22"/>
  <c r="R45" i="22"/>
  <c r="R46" i="22"/>
  <c r="R47" i="22"/>
  <c r="R48" i="22"/>
  <c r="R49" i="22"/>
  <c r="T49" i="22" s="1"/>
  <c r="R50" i="22"/>
  <c r="R51" i="22"/>
  <c r="R52" i="22"/>
  <c r="R53" i="22"/>
  <c r="R54" i="22"/>
  <c r="R55" i="22"/>
  <c r="R56" i="22"/>
  <c r="R58" i="22"/>
  <c r="R59" i="22"/>
  <c r="R60" i="22"/>
  <c r="R61" i="22"/>
  <c r="R62" i="22"/>
  <c r="R63" i="22"/>
  <c r="R64" i="22"/>
  <c r="R65" i="22"/>
  <c r="R66" i="22"/>
  <c r="R67" i="22"/>
  <c r="R68" i="22"/>
  <c r="R69" i="22"/>
  <c r="R70" i="22"/>
  <c r="R71" i="22"/>
  <c r="R72" i="22"/>
  <c r="R73" i="22"/>
  <c r="R74" i="22"/>
  <c r="R75" i="22"/>
  <c r="R76" i="22"/>
  <c r="R78" i="22"/>
  <c r="R79" i="22"/>
  <c r="R80" i="22"/>
  <c r="R81" i="22"/>
  <c r="R82" i="22"/>
  <c r="R83" i="22"/>
  <c r="R84" i="22"/>
  <c r="R85" i="22"/>
  <c r="R86" i="22"/>
  <c r="R87" i="22"/>
  <c r="R89" i="22"/>
  <c r="R90" i="22"/>
  <c r="R91" i="22"/>
  <c r="R92" i="22"/>
  <c r="R93" i="22"/>
  <c r="R94" i="22"/>
  <c r="R95" i="22"/>
  <c r="R96" i="22"/>
  <c r="R97" i="22"/>
  <c r="R98" i="22"/>
  <c r="R99" i="22"/>
  <c r="R100" i="22"/>
  <c r="R101" i="22"/>
  <c r="R102" i="22"/>
  <c r="R104" i="22"/>
  <c r="R105" i="22"/>
  <c r="R106" i="22"/>
  <c r="R107" i="22"/>
  <c r="R108" i="22"/>
  <c r="R109" i="22"/>
  <c r="R111" i="22"/>
  <c r="R112" i="22"/>
  <c r="R114" i="22"/>
  <c r="R115" i="22"/>
  <c r="R116" i="22"/>
  <c r="R117" i="22"/>
  <c r="R118" i="22"/>
  <c r="R119" i="22"/>
  <c r="R120" i="22"/>
  <c r="R121" i="22"/>
  <c r="R122" i="22"/>
  <c r="R123" i="22"/>
  <c r="R124" i="22"/>
  <c r="R125" i="22"/>
  <c r="R126" i="22"/>
  <c r="R127" i="22"/>
  <c r="R128" i="22"/>
  <c r="R129" i="22"/>
  <c r="R130" i="22"/>
  <c r="R131" i="22"/>
  <c r="R132" i="22"/>
  <c r="R133" i="22"/>
  <c r="R134" i="22"/>
  <c r="R135" i="22"/>
  <c r="R136" i="22"/>
  <c r="R137" i="22"/>
  <c r="R138" i="22"/>
  <c r="R139" i="22"/>
  <c r="R140" i="22"/>
  <c r="R141" i="22"/>
  <c r="R142" i="22"/>
  <c r="R143" i="22"/>
  <c r="R145" i="22"/>
  <c r="R146" i="22"/>
  <c r="R147" i="22"/>
  <c r="R148" i="22"/>
  <c r="R149" i="22"/>
  <c r="R150" i="22"/>
  <c r="R151" i="22"/>
  <c r="R152" i="22"/>
  <c r="R153" i="22"/>
  <c r="R154" i="22"/>
  <c r="R155" i="22"/>
  <c r="R157" i="22"/>
  <c r="R158" i="22"/>
  <c r="R159" i="22"/>
  <c r="R160" i="22"/>
  <c r="R161" i="22"/>
  <c r="R162" i="22"/>
  <c r="R163" i="22"/>
  <c r="R164" i="22"/>
  <c r="R165" i="22"/>
  <c r="R166" i="22"/>
  <c r="R167" i="22"/>
  <c r="R168" i="22"/>
  <c r="R169" i="22"/>
  <c r="R170" i="22"/>
  <c r="R171" i="22"/>
  <c r="R172" i="22"/>
  <c r="R173" i="22"/>
  <c r="R174" i="22"/>
  <c r="R175" i="22"/>
  <c r="R176" i="22"/>
  <c r="R177" i="22"/>
  <c r="R178" i="22"/>
  <c r="R179" i="22"/>
  <c r="R180" i="22"/>
  <c r="R181" i="22"/>
  <c r="R182" i="22"/>
  <c r="R183" i="22"/>
  <c r="R184" i="22"/>
  <c r="R185" i="22"/>
  <c r="R186" i="22"/>
  <c r="R187" i="22"/>
  <c r="R188" i="22"/>
  <c r="R189" i="22"/>
  <c r="R190" i="22"/>
  <c r="R191" i="22"/>
  <c r="R192" i="22"/>
  <c r="R193" i="22"/>
  <c r="R194" i="22"/>
  <c r="R195" i="22"/>
  <c r="R196" i="22"/>
  <c r="R197" i="22"/>
  <c r="R198" i="22"/>
  <c r="R199" i="22"/>
  <c r="R200" i="22"/>
  <c r="R201" i="22"/>
  <c r="R202" i="22"/>
  <c r="R203" i="22"/>
  <c r="R204" i="22"/>
  <c r="R205" i="22"/>
  <c r="R206" i="22"/>
  <c r="R207" i="22"/>
  <c r="R208" i="22"/>
  <c r="R209" i="22"/>
  <c r="R212" i="22"/>
  <c r="R213" i="22"/>
  <c r="R214" i="22"/>
  <c r="R215" i="22"/>
  <c r="R216" i="22"/>
  <c r="R217" i="22"/>
  <c r="R218" i="22"/>
  <c r="R219" i="22"/>
  <c r="R220" i="22"/>
  <c r="R221" i="22"/>
  <c r="R222" i="22"/>
  <c r="R223" i="22"/>
  <c r="R224" i="22"/>
  <c r="R225" i="22"/>
  <c r="R226" i="22"/>
  <c r="R227" i="22"/>
  <c r="R228" i="22"/>
  <c r="R230" i="22"/>
  <c r="R231" i="22"/>
  <c r="R232" i="22"/>
  <c r="R233" i="22"/>
  <c r="R234" i="22"/>
  <c r="R235" i="22"/>
  <c r="R236" i="22"/>
  <c r="R237" i="22"/>
  <c r="R238" i="22"/>
  <c r="R239" i="22"/>
  <c r="R240" i="22"/>
  <c r="R241" i="22"/>
  <c r="R242" i="22"/>
  <c r="R243" i="22"/>
  <c r="R244" i="22"/>
  <c r="R245" i="22"/>
  <c r="R246" i="22"/>
  <c r="R247" i="22"/>
  <c r="R248" i="22"/>
  <c r="R250" i="22"/>
  <c r="R251" i="22"/>
  <c r="R252" i="22"/>
  <c r="R253" i="22"/>
  <c r="R254" i="22"/>
  <c r="R255" i="22"/>
  <c r="R256" i="22"/>
  <c r="R257" i="22"/>
  <c r="R258" i="22"/>
  <c r="R259" i="22"/>
  <c r="R260" i="22"/>
  <c r="R261" i="22"/>
  <c r="R262" i="22"/>
  <c r="R263" i="22"/>
  <c r="R264" i="22"/>
  <c r="R265" i="22"/>
  <c r="R266" i="22"/>
  <c r="R267" i="22"/>
  <c r="R268" i="22"/>
  <c r="R269" i="22"/>
  <c r="R271" i="22"/>
  <c r="R272" i="22"/>
  <c r="R273" i="22"/>
  <c r="R274" i="22"/>
  <c r="R275" i="22"/>
  <c r="R276" i="22"/>
  <c r="R277" i="22"/>
  <c r="R278" i="22"/>
  <c r="R279" i="22"/>
  <c r="R280" i="22"/>
  <c r="R281" i="22"/>
  <c r="R282" i="22"/>
  <c r="R283" i="22"/>
  <c r="R285" i="22"/>
  <c r="R286" i="22"/>
  <c r="R287" i="22"/>
  <c r="R288" i="22"/>
  <c r="R289" i="22"/>
  <c r="R290" i="22"/>
  <c r="R291" i="22"/>
  <c r="R292" i="22"/>
  <c r="R293" i="22"/>
  <c r="R294" i="22"/>
  <c r="R295" i="22"/>
  <c r="R296" i="22"/>
  <c r="R297" i="22"/>
  <c r="R298" i="22"/>
  <c r="R299" i="22"/>
  <c r="R300" i="22"/>
  <c r="R301" i="22"/>
  <c r="R302" i="22"/>
  <c r="R303" i="22"/>
  <c r="R304" i="22"/>
  <c r="R305" i="22"/>
  <c r="R306" i="22"/>
  <c r="R307" i="22"/>
  <c r="R308" i="22"/>
  <c r="R309" i="22"/>
  <c r="R310" i="22"/>
  <c r="R311" i="22"/>
  <c r="R313" i="22"/>
  <c r="R314" i="22"/>
  <c r="R315" i="22"/>
  <c r="R316" i="22"/>
  <c r="R317" i="22"/>
  <c r="R318" i="22"/>
  <c r="R319" i="22"/>
  <c r="R320" i="22"/>
  <c r="R322" i="22"/>
  <c r="R323" i="22"/>
  <c r="R324" i="22"/>
  <c r="R325" i="22"/>
  <c r="R326" i="22"/>
  <c r="R327" i="22"/>
  <c r="R328" i="22"/>
  <c r="R329" i="22"/>
  <c r="R330" i="22"/>
  <c r="R331" i="22"/>
  <c r="R332" i="22"/>
  <c r="R333" i="22"/>
  <c r="T333" i="22" s="1"/>
  <c r="R335" i="22"/>
  <c r="R336" i="22"/>
  <c r="R337" i="22"/>
  <c r="R338" i="22"/>
  <c r="R339" i="22"/>
  <c r="R340" i="22"/>
  <c r="R341" i="22"/>
  <c r="R342" i="22"/>
  <c r="R343" i="22"/>
  <c r="R344" i="22"/>
  <c r="R345" i="22"/>
  <c r="R346" i="22"/>
  <c r="R347" i="22"/>
  <c r="R348" i="22"/>
  <c r="R349" i="22"/>
  <c r="R350" i="22"/>
  <c r="R351" i="22"/>
  <c r="R352" i="22"/>
  <c r="R353" i="22"/>
  <c r="R354" i="22"/>
  <c r="R355" i="22"/>
  <c r="R356" i="22"/>
  <c r="R357" i="22"/>
  <c r="R358" i="22"/>
  <c r="R359" i="22"/>
  <c r="R360" i="22"/>
  <c r="R361" i="22"/>
  <c r="R362" i="22"/>
  <c r="R363" i="22"/>
  <c r="R364" i="22"/>
  <c r="R365" i="22"/>
  <c r="R366" i="22"/>
  <c r="R368" i="22"/>
  <c r="R369" i="22"/>
  <c r="R370" i="22"/>
  <c r="R371" i="22"/>
  <c r="R372" i="22"/>
  <c r="R373" i="22"/>
  <c r="R374" i="22"/>
  <c r="R375" i="22"/>
  <c r="T375" i="22" s="1"/>
  <c r="R377" i="22"/>
  <c r="R378" i="22"/>
  <c r="R379" i="22"/>
  <c r="R380" i="22"/>
  <c r="R381" i="22"/>
  <c r="R382" i="22"/>
  <c r="R384" i="22"/>
  <c r="R385" i="22"/>
  <c r="R386" i="22"/>
  <c r="R387" i="22"/>
  <c r="R388" i="22"/>
  <c r="R389" i="22"/>
  <c r="R390" i="22"/>
  <c r="R391" i="22"/>
  <c r="R393" i="22"/>
  <c r="R394" i="22"/>
  <c r="R395" i="22"/>
  <c r="R396" i="22"/>
  <c r="R397" i="22"/>
  <c r="R398" i="22"/>
  <c r="R399" i="22"/>
  <c r="R400" i="22"/>
  <c r="R401" i="22"/>
  <c r="R402" i="22"/>
  <c r="R403" i="22"/>
  <c r="R404" i="22"/>
  <c r="R405" i="22"/>
  <c r="R406" i="22"/>
  <c r="R407" i="22"/>
  <c r="R408" i="22"/>
  <c r="R409" i="22"/>
  <c r="R410" i="22"/>
  <c r="R411" i="22"/>
  <c r="R413" i="22"/>
  <c r="R414" i="22"/>
  <c r="R415" i="22"/>
  <c r="R416" i="22"/>
  <c r="T416" i="22" s="1"/>
  <c r="R418" i="22"/>
  <c r="R419" i="22"/>
  <c r="R420" i="22"/>
  <c r="R421" i="22"/>
  <c r="R422" i="22"/>
  <c r="R423" i="22"/>
  <c r="R424" i="22"/>
  <c r="R425" i="22"/>
  <c r="R426" i="22"/>
  <c r="R427" i="22"/>
  <c r="R428" i="22"/>
  <c r="R429" i="22"/>
  <c r="R430" i="22"/>
  <c r="R431" i="22"/>
  <c r="R432" i="22"/>
  <c r="R433" i="22"/>
  <c r="R434" i="22"/>
  <c r="R435" i="22"/>
  <c r="R436" i="22"/>
  <c r="R437" i="22"/>
  <c r="R438" i="22"/>
  <c r="R439" i="22"/>
  <c r="R441" i="22"/>
  <c r="R442" i="22"/>
  <c r="R443" i="22"/>
  <c r="R444" i="22"/>
  <c r="Y41" i="22"/>
  <c r="Y55" i="22"/>
  <c r="Y74" i="22"/>
  <c r="Y116" i="22"/>
  <c r="Y118" i="22"/>
  <c r="Y143" i="22"/>
  <c r="Y159" i="22"/>
  <c r="Y187" i="22"/>
  <c r="Y188" i="22"/>
  <c r="Y206" i="22"/>
  <c r="Y224" i="22"/>
  <c r="Y232" i="22"/>
  <c r="Y238" i="22"/>
  <c r="Y243" i="22"/>
  <c r="Y271" i="22"/>
  <c r="Y294" i="22"/>
  <c r="Y305" i="22"/>
  <c r="Y315" i="22"/>
  <c r="Y321" i="22"/>
  <c r="Y333" i="22"/>
  <c r="Y341" i="22"/>
  <c r="Y347" i="22"/>
  <c r="Y351" i="22"/>
  <c r="Y356" i="22"/>
  <c r="Y386" i="22"/>
  <c r="Y402" i="22"/>
  <c r="Y420" i="22"/>
  <c r="Y442" i="22"/>
  <c r="AL3" i="52"/>
  <c r="AE3" i="38"/>
  <c r="AW3" i="52"/>
  <c r="W3" i="49"/>
  <c r="S3" i="49"/>
  <c r="L3" i="49"/>
  <c r="AI3" i="55"/>
  <c r="AH3" i="55"/>
  <c r="AG3" i="55"/>
  <c r="AF3" i="55"/>
  <c r="AE3" i="55"/>
  <c r="AD3" i="55"/>
  <c r="AB3" i="55"/>
  <c r="AA3" i="55"/>
  <c r="Z3" i="55"/>
  <c r="Y3" i="55"/>
  <c r="X3" i="55"/>
  <c r="W3" i="55"/>
  <c r="V3" i="55"/>
  <c r="U3" i="55"/>
  <c r="T3" i="55"/>
  <c r="S3" i="55"/>
  <c r="R3" i="55"/>
  <c r="Q3" i="55"/>
  <c r="P3" i="55"/>
  <c r="O3" i="55"/>
  <c r="N3" i="55"/>
  <c r="M3" i="55"/>
  <c r="L3" i="55"/>
  <c r="K3" i="55"/>
  <c r="J3" i="55"/>
  <c r="I3" i="55"/>
  <c r="H3" i="55"/>
  <c r="G3" i="55"/>
  <c r="F3" i="55"/>
  <c r="E3" i="55"/>
  <c r="D3" i="55"/>
  <c r="T8" i="22"/>
  <c r="T4" i="22"/>
  <c r="T37" i="22"/>
  <c r="T77" i="22"/>
  <c r="T38" i="22"/>
  <c r="T39" i="22"/>
  <c r="T60" i="22"/>
  <c r="T57" i="22"/>
  <c r="T46" i="22"/>
  <c r="T248" i="22"/>
  <c r="T28" i="22"/>
  <c r="T75" i="22"/>
  <c r="T12" i="22"/>
  <c r="T23" i="22"/>
  <c r="T56" i="22"/>
  <c r="T441" i="22"/>
  <c r="BB3" i="52"/>
  <c r="AY3" i="52"/>
  <c r="AD3" i="52"/>
  <c r="AA3" i="52"/>
  <c r="Z3" i="52"/>
  <c r="F3" i="52"/>
  <c r="D3" i="52"/>
  <c r="AD3" i="38"/>
  <c r="BT3" i="38"/>
  <c r="AN3" i="38"/>
  <c r="AO3" i="38"/>
  <c r="AQ3" i="38"/>
  <c r="AR3" i="38"/>
  <c r="AS3" i="38"/>
  <c r="AT3" i="38"/>
  <c r="AU3" i="38"/>
  <c r="BN3" i="38"/>
  <c r="BO3" i="38"/>
  <c r="BP3" i="38"/>
  <c r="BQ3" i="38"/>
  <c r="BR3" i="38"/>
  <c r="BS3" i="38"/>
  <c r="Q248" i="22"/>
  <c r="P3" i="49"/>
  <c r="Q3" i="49"/>
  <c r="R3" i="49"/>
  <c r="I15" i="67" l="1"/>
  <c r="I12" i="67"/>
  <c r="E15" i="67"/>
  <c r="F8" i="67"/>
  <c r="G10" i="67"/>
  <c r="G9" i="67"/>
  <c r="D15" i="67"/>
  <c r="D12" i="67"/>
  <c r="K14" i="67"/>
  <c r="F7" i="67"/>
  <c r="J5" i="63"/>
  <c r="E8" i="67"/>
  <c r="D8" i="67"/>
  <c r="K10" i="67"/>
  <c r="J10" i="67"/>
  <c r="H13" i="67"/>
  <c r="G13" i="67"/>
  <c r="D13" i="67"/>
  <c r="H12" i="67"/>
  <c r="H9" i="67"/>
  <c r="J15" i="67"/>
  <c r="J12" i="67"/>
  <c r="C5" i="67"/>
  <c r="J9" i="67"/>
  <c r="G12" i="67"/>
  <c r="G5" i="63"/>
  <c r="C15" i="67"/>
  <c r="J7" i="67"/>
  <c r="H14" i="63"/>
  <c r="F15" i="67"/>
  <c r="I9" i="67"/>
  <c r="F12" i="67"/>
  <c r="G15" i="67"/>
  <c r="H15" i="67"/>
  <c r="E7" i="67"/>
  <c r="K15" i="67"/>
  <c r="I5" i="65"/>
  <c r="E14" i="65"/>
  <c r="K13" i="67"/>
  <c r="K7" i="67"/>
  <c r="C9" i="67"/>
  <c r="H6" i="67"/>
  <c r="I10" i="67"/>
  <c r="I6" i="67"/>
  <c r="H10" i="67"/>
  <c r="G7" i="67"/>
  <c r="C7" i="67"/>
  <c r="D7" i="67"/>
  <c r="H7" i="67"/>
  <c r="E10" i="67"/>
  <c r="K12" i="67"/>
  <c r="I7" i="67"/>
  <c r="F10" i="67"/>
  <c r="C13" i="67"/>
  <c r="D5" i="67"/>
  <c r="E5" i="67"/>
  <c r="F5" i="67"/>
  <c r="G5" i="67"/>
  <c r="H5" i="67"/>
  <c r="C12" i="65"/>
  <c r="I5" i="67"/>
  <c r="J5" i="67"/>
  <c r="K5" i="67"/>
  <c r="C6" i="67"/>
  <c r="D6" i="67"/>
  <c r="E6" i="67"/>
  <c r="F6" i="67"/>
  <c r="D5" i="63"/>
  <c r="G6" i="67"/>
  <c r="J6" i="67"/>
  <c r="K6" i="67"/>
  <c r="C5" i="63"/>
  <c r="L9" i="65"/>
  <c r="E5" i="63"/>
  <c r="C10" i="65"/>
  <c r="F5" i="63"/>
  <c r="I10" i="65"/>
  <c r="J10" i="65"/>
  <c r="H5" i="63"/>
  <c r="I5" i="63"/>
  <c r="K5" i="63"/>
  <c r="F12" i="65"/>
  <c r="L12" i="65"/>
  <c r="D9" i="63"/>
  <c r="C15" i="65"/>
  <c r="H5" i="65"/>
  <c r="J5" i="65"/>
  <c r="J7" i="65"/>
  <c r="K7" i="65"/>
  <c r="C9" i="63"/>
  <c r="L7" i="65"/>
  <c r="E9" i="63"/>
  <c r="G9" i="63"/>
  <c r="L11" i="63"/>
  <c r="C11" i="63"/>
  <c r="J12" i="63"/>
  <c r="F14" i="63"/>
  <c r="I14" i="63"/>
  <c r="E12" i="65"/>
  <c r="K12" i="65"/>
  <c r="E6" i="65"/>
  <c r="G8" i="65"/>
  <c r="C5" i="65"/>
  <c r="E7" i="65"/>
  <c r="G9" i="65"/>
  <c r="I11" i="65"/>
  <c r="K13" i="65"/>
  <c r="D5" i="65"/>
  <c r="F7" i="65"/>
  <c r="H9" i="65"/>
  <c r="J11" i="65"/>
  <c r="L13" i="65"/>
  <c r="E5" i="65"/>
  <c r="G7" i="65"/>
  <c r="I9" i="65"/>
  <c r="K11" i="65"/>
  <c r="F5" i="65"/>
  <c r="H7" i="65"/>
  <c r="J9" i="65"/>
  <c r="L11" i="65"/>
  <c r="C14" i="65"/>
  <c r="F6" i="65"/>
  <c r="H8" i="65"/>
  <c r="G5" i="65"/>
  <c r="I7" i="65"/>
  <c r="K9" i="65"/>
  <c r="D14" i="65"/>
  <c r="D12" i="65"/>
  <c r="F14" i="65"/>
  <c r="H14" i="65"/>
  <c r="L5" i="65"/>
  <c r="C8" i="65"/>
  <c r="E10" i="65"/>
  <c r="G12" i="65"/>
  <c r="I14" i="65"/>
  <c r="D8" i="65"/>
  <c r="F10" i="65"/>
  <c r="H12" i="65"/>
  <c r="J14" i="65"/>
  <c r="C6" i="65"/>
  <c r="E8" i="65"/>
  <c r="G10" i="65"/>
  <c r="I12" i="65"/>
  <c r="K14" i="65"/>
  <c r="G14" i="65"/>
  <c r="D10" i="65"/>
  <c r="D6" i="65"/>
  <c r="F8" i="65"/>
  <c r="H10" i="65"/>
  <c r="G6" i="65"/>
  <c r="I8" i="65"/>
  <c r="K10" i="65"/>
  <c r="D15" i="65"/>
  <c r="H6" i="65"/>
  <c r="J8" i="65"/>
  <c r="C13" i="65"/>
  <c r="E15" i="65"/>
  <c r="I6" i="65"/>
  <c r="K8" i="65"/>
  <c r="D13" i="65"/>
  <c r="F15" i="65"/>
  <c r="J6" i="65"/>
  <c r="C11" i="65"/>
  <c r="E13" i="65"/>
  <c r="G15" i="65"/>
  <c r="K6" i="65"/>
  <c r="D11" i="65"/>
  <c r="F13" i="65"/>
  <c r="H15" i="65"/>
  <c r="C9" i="65"/>
  <c r="E11" i="65"/>
  <c r="G13" i="65"/>
  <c r="I15" i="65"/>
  <c r="D9" i="65"/>
  <c r="F11" i="65"/>
  <c r="H13" i="65"/>
  <c r="J15" i="65"/>
  <c r="C7" i="65"/>
  <c r="E9" i="65"/>
  <c r="G11" i="65"/>
  <c r="I13" i="65"/>
  <c r="K15" i="65"/>
  <c r="F62" i="62"/>
  <c r="F58" i="62"/>
  <c r="F61" i="62"/>
  <c r="F55" i="62"/>
  <c r="F52" i="62"/>
  <c r="F53" i="62"/>
  <c r="F49" i="62"/>
  <c r="F30" i="62"/>
  <c r="F35" i="62"/>
  <c r="F40" i="62"/>
  <c r="F37" i="62"/>
  <c r="F44" i="62"/>
  <c r="F45" i="62"/>
  <c r="F39" i="62"/>
  <c r="F38" i="62"/>
  <c r="F47" i="62"/>
  <c r="F48" i="62"/>
  <c r="F17" i="62"/>
  <c r="F19" i="62"/>
  <c r="F21" i="62"/>
  <c r="F26" i="62"/>
  <c r="F28" i="62"/>
  <c r="F29" i="62"/>
  <c r="F27" i="62"/>
  <c r="F10" i="62"/>
  <c r="F12" i="62"/>
  <c r="F14" i="62"/>
  <c r="F6" i="62"/>
  <c r="F9" i="62"/>
  <c r="E62" i="62"/>
  <c r="E58" i="62"/>
  <c r="E61" i="62"/>
  <c r="E55" i="62"/>
  <c r="E52" i="62"/>
  <c r="E53" i="62"/>
  <c r="E49" i="62"/>
  <c r="E30" i="62"/>
  <c r="E35" i="62"/>
  <c r="E40" i="62"/>
  <c r="E37" i="62"/>
  <c r="E44" i="62"/>
  <c r="E45" i="62"/>
  <c r="E39" i="62"/>
  <c r="E38" i="62"/>
  <c r="E47" i="62"/>
  <c r="E48" i="62"/>
  <c r="E17" i="62"/>
  <c r="E19" i="62"/>
  <c r="E21" i="62"/>
  <c r="E26" i="62"/>
  <c r="E28" i="62"/>
  <c r="E29" i="62"/>
  <c r="E27" i="62"/>
  <c r="E10" i="62"/>
  <c r="E12" i="62"/>
  <c r="E14" i="62"/>
  <c r="E6" i="62"/>
  <c r="E9" i="62"/>
  <c r="G62" i="62"/>
  <c r="G58" i="62"/>
  <c r="G61" i="62"/>
  <c r="G55" i="62"/>
  <c r="G52" i="62"/>
  <c r="G53" i="62"/>
  <c r="G49" i="62"/>
  <c r="G30" i="62"/>
  <c r="G35" i="62"/>
  <c r="G40" i="62"/>
  <c r="G37" i="62"/>
  <c r="G44" i="62"/>
  <c r="G45" i="62"/>
  <c r="G39" i="62"/>
  <c r="G38" i="62"/>
  <c r="G47" i="62"/>
  <c r="G48" i="62"/>
  <c r="G17" i="62"/>
  <c r="G19" i="62"/>
  <c r="G21" i="62"/>
  <c r="G26" i="62"/>
  <c r="G28" i="62"/>
  <c r="G29" i="62"/>
  <c r="G27" i="62"/>
  <c r="G10" i="62"/>
  <c r="G12" i="62"/>
  <c r="G14" i="62"/>
  <c r="G6" i="62"/>
  <c r="G9" i="62"/>
  <c r="J62" i="62"/>
  <c r="J58" i="62"/>
  <c r="J61" i="62"/>
  <c r="J55" i="62"/>
  <c r="J52" i="62"/>
  <c r="J53" i="62"/>
  <c r="J49" i="62"/>
  <c r="J30" i="62"/>
  <c r="J35" i="62"/>
  <c r="J40" i="62"/>
  <c r="J37" i="62"/>
  <c r="J44" i="62"/>
  <c r="J45" i="62"/>
  <c r="J39" i="62"/>
  <c r="J38" i="62"/>
  <c r="J47" i="62"/>
  <c r="J48" i="62"/>
  <c r="J17" i="62"/>
  <c r="J19" i="62"/>
  <c r="J21" i="62"/>
  <c r="J26" i="62"/>
  <c r="J28" i="62"/>
  <c r="J29" i="62"/>
  <c r="J27" i="62"/>
  <c r="J10" i="62"/>
  <c r="J12" i="62"/>
  <c r="J14" i="62"/>
  <c r="J6" i="62"/>
  <c r="J9" i="62"/>
  <c r="I62" i="62"/>
  <c r="I58" i="62"/>
  <c r="I61" i="62"/>
  <c r="I55" i="62"/>
  <c r="I52" i="62"/>
  <c r="I53" i="62"/>
  <c r="I49" i="62"/>
  <c r="I30" i="62"/>
  <c r="I35" i="62"/>
  <c r="I40" i="62"/>
  <c r="I37" i="62"/>
  <c r="I44" i="62"/>
  <c r="I45" i="62"/>
  <c r="I39" i="62"/>
  <c r="I38" i="62"/>
  <c r="I47" i="62"/>
  <c r="I48" i="62"/>
  <c r="I17" i="62"/>
  <c r="I19" i="62"/>
  <c r="I21" i="62"/>
  <c r="I26" i="62"/>
  <c r="I28" i="62"/>
  <c r="I29" i="62"/>
  <c r="I27" i="62"/>
  <c r="I10" i="62"/>
  <c r="I12" i="62"/>
  <c r="I14" i="62"/>
  <c r="I6" i="62"/>
  <c r="I9" i="62"/>
  <c r="L62" i="62"/>
  <c r="L58" i="62"/>
  <c r="L61" i="62"/>
  <c r="L55" i="62"/>
  <c r="L52" i="62"/>
  <c r="L53" i="62"/>
  <c r="L49" i="62"/>
  <c r="L30" i="62"/>
  <c r="L35" i="62"/>
  <c r="L40" i="62"/>
  <c r="L37" i="62"/>
  <c r="L44" i="62"/>
  <c r="L45" i="62"/>
  <c r="L39" i="62"/>
  <c r="L38" i="62"/>
  <c r="L47" i="62"/>
  <c r="L48" i="62"/>
  <c r="L17" i="62"/>
  <c r="L19" i="62"/>
  <c r="L21" i="62"/>
  <c r="L26" i="62"/>
  <c r="L28" i="62"/>
  <c r="L29" i="62"/>
  <c r="L27" i="62"/>
  <c r="L10" i="62"/>
  <c r="L12" i="62"/>
  <c r="L14" i="62"/>
  <c r="L6" i="62"/>
  <c r="L9" i="62"/>
  <c r="D62" i="62"/>
  <c r="D58" i="62"/>
  <c r="D61" i="62"/>
  <c r="D55" i="62"/>
  <c r="D52" i="62"/>
  <c r="D53" i="62"/>
  <c r="D49" i="62"/>
  <c r="D30" i="62"/>
  <c r="D35" i="62"/>
  <c r="D40" i="62"/>
  <c r="D37" i="62"/>
  <c r="D44" i="62"/>
  <c r="D45" i="62"/>
  <c r="D39" i="62"/>
  <c r="D38" i="62"/>
  <c r="D47" i="62"/>
  <c r="D48" i="62"/>
  <c r="D17" i="62"/>
  <c r="D19" i="62"/>
  <c r="D21" i="62"/>
  <c r="D26" i="62"/>
  <c r="D28" i="62"/>
  <c r="D29" i="62"/>
  <c r="D27" i="62"/>
  <c r="D10" i="62"/>
  <c r="D12" i="62"/>
  <c r="D14" i="62"/>
  <c r="D6" i="62"/>
  <c r="D9" i="62"/>
  <c r="H58" i="62"/>
  <c r="H55" i="62"/>
  <c r="H53" i="62"/>
  <c r="H30" i="62"/>
  <c r="H40" i="62"/>
  <c r="H44" i="62"/>
  <c r="H39" i="62"/>
  <c r="H48" i="62"/>
  <c r="H21" i="62"/>
  <c r="H29" i="62"/>
  <c r="H6" i="62"/>
  <c r="M62" i="62"/>
  <c r="M58" i="62"/>
  <c r="M61" i="62"/>
  <c r="M55" i="62"/>
  <c r="M52" i="62"/>
  <c r="M53" i="62"/>
  <c r="M49" i="62"/>
  <c r="M30" i="62"/>
  <c r="M35" i="62"/>
  <c r="M40" i="62"/>
  <c r="M37" i="62"/>
  <c r="M44" i="62"/>
  <c r="M45" i="62"/>
  <c r="M39" i="62"/>
  <c r="M38" i="62"/>
  <c r="M47" i="62"/>
  <c r="M48" i="62"/>
  <c r="M17" i="62"/>
  <c r="M19" i="62"/>
  <c r="M21" i="62"/>
  <c r="M26" i="62"/>
  <c r="M28" i="62"/>
  <c r="M29" i="62"/>
  <c r="M27" i="62"/>
  <c r="M10" i="62"/>
  <c r="M12" i="62"/>
  <c r="M14" i="62"/>
  <c r="M6" i="62"/>
  <c r="M9" i="62"/>
  <c r="H62" i="62"/>
  <c r="H61" i="62"/>
  <c r="H52" i="62"/>
  <c r="H49" i="62"/>
  <c r="H35" i="62"/>
  <c r="H37" i="62"/>
  <c r="H45" i="62"/>
  <c r="H38" i="62"/>
  <c r="H47" i="62"/>
  <c r="H17" i="62"/>
  <c r="H19" i="62"/>
  <c r="H26" i="62"/>
  <c r="H28" i="62"/>
  <c r="H27" i="62"/>
  <c r="H10" i="62"/>
  <c r="H12" i="62"/>
  <c r="H14" i="62"/>
  <c r="H9" i="62"/>
  <c r="K62" i="62"/>
  <c r="K58" i="62"/>
  <c r="K61" i="62"/>
  <c r="K55" i="62"/>
  <c r="K52" i="62"/>
  <c r="K53" i="62"/>
  <c r="K49" i="62"/>
  <c r="K30" i="62"/>
  <c r="K35" i="62"/>
  <c r="K40" i="62"/>
  <c r="K37" i="62"/>
  <c r="K44" i="62"/>
  <c r="K45" i="62"/>
  <c r="K39" i="62"/>
  <c r="K38" i="62"/>
  <c r="K47" i="62"/>
  <c r="K48" i="62"/>
  <c r="K17" i="62"/>
  <c r="K19" i="62"/>
  <c r="K21" i="62"/>
  <c r="K26" i="62"/>
  <c r="K28" i="62"/>
  <c r="K29" i="62"/>
  <c r="K27" i="62"/>
  <c r="K10" i="62"/>
  <c r="K12" i="62"/>
  <c r="K14" i="62"/>
  <c r="K6" i="62"/>
  <c r="K9" i="62"/>
  <c r="D60" i="62"/>
  <c r="D57" i="62"/>
  <c r="D59" i="62"/>
  <c r="D56" i="62"/>
  <c r="D54" i="62"/>
  <c r="D51" i="62"/>
  <c r="D50" i="62"/>
  <c r="D32" i="62"/>
  <c r="D33" i="62"/>
  <c r="D31" i="62"/>
  <c r="D42" i="62"/>
  <c r="D41" i="62"/>
  <c r="D34" i="62"/>
  <c r="D46" i="62"/>
  <c r="D36" i="62"/>
  <c r="D43" i="62"/>
  <c r="D15" i="62"/>
  <c r="D22" i="62"/>
  <c r="D16" i="62"/>
  <c r="D20" i="62"/>
  <c r="D25" i="62"/>
  <c r="D18" i="62"/>
  <c r="D23" i="62"/>
  <c r="D24" i="62"/>
  <c r="D11" i="62"/>
  <c r="D13" i="62"/>
  <c r="D7" i="62"/>
  <c r="D5" i="62"/>
  <c r="D8" i="62"/>
  <c r="E51" i="62"/>
  <c r="F60" i="62"/>
  <c r="F57" i="62"/>
  <c r="F59" i="62"/>
  <c r="F56" i="62"/>
  <c r="F54" i="62"/>
  <c r="F51" i="62"/>
  <c r="F50" i="62"/>
  <c r="F32" i="62"/>
  <c r="F33" i="62"/>
  <c r="F31" i="62"/>
  <c r="F42" i="62"/>
  <c r="F41" i="62"/>
  <c r="F34" i="62"/>
  <c r="F46" i="62"/>
  <c r="F36" i="62"/>
  <c r="F43" i="62"/>
  <c r="F15" i="62"/>
  <c r="F22" i="62"/>
  <c r="F16" i="62"/>
  <c r="F20" i="62"/>
  <c r="F25" i="62"/>
  <c r="F18" i="62"/>
  <c r="F23" i="62"/>
  <c r="F24" i="62"/>
  <c r="F11" i="62"/>
  <c r="F13" i="62"/>
  <c r="F7" i="62"/>
  <c r="F5" i="62"/>
  <c r="F8" i="62"/>
  <c r="E59" i="62"/>
  <c r="E41" i="62"/>
  <c r="E24" i="62"/>
  <c r="G24" i="62"/>
  <c r="H60" i="62"/>
  <c r="H57" i="62"/>
  <c r="H59" i="62"/>
  <c r="H56" i="62"/>
  <c r="H54" i="62"/>
  <c r="H51" i="62"/>
  <c r="H50" i="62"/>
  <c r="H32" i="62"/>
  <c r="H33" i="62"/>
  <c r="H31" i="62"/>
  <c r="H42" i="62"/>
  <c r="H41" i="62"/>
  <c r="H34" i="62"/>
  <c r="H46" i="62"/>
  <c r="H36" i="62"/>
  <c r="H43" i="62"/>
  <c r="H15" i="62"/>
  <c r="H22" i="62"/>
  <c r="H16" i="62"/>
  <c r="H20" i="62"/>
  <c r="H25" i="62"/>
  <c r="H18" i="62"/>
  <c r="H23" i="62"/>
  <c r="H24" i="62"/>
  <c r="H11" i="62"/>
  <c r="H13" i="62"/>
  <c r="H7" i="62"/>
  <c r="H5" i="62"/>
  <c r="H8" i="62"/>
  <c r="E23" i="62"/>
  <c r="G18" i="62"/>
  <c r="I60" i="62"/>
  <c r="I57" i="62"/>
  <c r="I59" i="62"/>
  <c r="I56" i="62"/>
  <c r="I54" i="62"/>
  <c r="I51" i="62"/>
  <c r="I50" i="62"/>
  <c r="I32" i="62"/>
  <c r="I33" i="62"/>
  <c r="I31" i="62"/>
  <c r="I42" i="62"/>
  <c r="I41" i="62"/>
  <c r="I34" i="62"/>
  <c r="I46" i="62"/>
  <c r="I36" i="62"/>
  <c r="I43" i="62"/>
  <c r="I15" i="62"/>
  <c r="I22" i="62"/>
  <c r="I16" i="62"/>
  <c r="I20" i="62"/>
  <c r="I25" i="62"/>
  <c r="I18" i="62"/>
  <c r="I23" i="62"/>
  <c r="I24" i="62"/>
  <c r="I11" i="62"/>
  <c r="I13" i="62"/>
  <c r="I7" i="62"/>
  <c r="I5" i="62"/>
  <c r="I8" i="62"/>
  <c r="E33" i="62"/>
  <c r="E15" i="62"/>
  <c r="E7" i="62"/>
  <c r="G11" i="62"/>
  <c r="J60" i="62"/>
  <c r="J57" i="62"/>
  <c r="J59" i="62"/>
  <c r="J56" i="62"/>
  <c r="J54" i="62"/>
  <c r="J51" i="62"/>
  <c r="J50" i="62"/>
  <c r="J32" i="62"/>
  <c r="J33" i="62"/>
  <c r="J31" i="62"/>
  <c r="J42" i="62"/>
  <c r="J41" i="62"/>
  <c r="J34" i="62"/>
  <c r="J46" i="62"/>
  <c r="J36" i="62"/>
  <c r="J43" i="62"/>
  <c r="J15" i="62"/>
  <c r="J22" i="62"/>
  <c r="J16" i="62"/>
  <c r="J20" i="62"/>
  <c r="J25" i="62"/>
  <c r="J18" i="62"/>
  <c r="J23" i="62"/>
  <c r="J24" i="62"/>
  <c r="J11" i="62"/>
  <c r="J13" i="62"/>
  <c r="J7" i="62"/>
  <c r="J5" i="62"/>
  <c r="J8" i="62"/>
  <c r="E60" i="62"/>
  <c r="E31" i="62"/>
  <c r="E22" i="62"/>
  <c r="E8" i="62"/>
  <c r="G56" i="62"/>
  <c r="G32" i="62"/>
  <c r="G41" i="62"/>
  <c r="G22" i="62"/>
  <c r="G8" i="62"/>
  <c r="K60" i="62"/>
  <c r="K57" i="62"/>
  <c r="K59" i="62"/>
  <c r="K56" i="62"/>
  <c r="K54" i="62"/>
  <c r="K51" i="62"/>
  <c r="K50" i="62"/>
  <c r="K32" i="62"/>
  <c r="K33" i="62"/>
  <c r="K31" i="62"/>
  <c r="K42" i="62"/>
  <c r="K41" i="62"/>
  <c r="K34" i="62"/>
  <c r="K46" i="62"/>
  <c r="K36" i="62"/>
  <c r="K43" i="62"/>
  <c r="K15" i="62"/>
  <c r="K22" i="62"/>
  <c r="K16" i="62"/>
  <c r="K20" i="62"/>
  <c r="K25" i="62"/>
  <c r="K18" i="62"/>
  <c r="K23" i="62"/>
  <c r="K24" i="62"/>
  <c r="K11" i="62"/>
  <c r="K13" i="62"/>
  <c r="K7" i="62"/>
  <c r="K5" i="62"/>
  <c r="K8" i="62"/>
  <c r="E54" i="62"/>
  <c r="E46" i="62"/>
  <c r="E11" i="62"/>
  <c r="G59" i="62"/>
  <c r="G50" i="62"/>
  <c r="G42" i="62"/>
  <c r="G36" i="62"/>
  <c r="G15" i="62"/>
  <c r="G25" i="62"/>
  <c r="G23" i="62"/>
  <c r="G7" i="62"/>
  <c r="L60" i="62"/>
  <c r="L57" i="62"/>
  <c r="L59" i="62"/>
  <c r="L56" i="62"/>
  <c r="L54" i="62"/>
  <c r="L50" i="62"/>
  <c r="L32" i="62"/>
  <c r="L33" i="62"/>
  <c r="L31" i="62"/>
  <c r="L42" i="62"/>
  <c r="L41" i="62"/>
  <c r="L34" i="62"/>
  <c r="L46" i="62"/>
  <c r="L36" i="62"/>
  <c r="L43" i="62"/>
  <c r="L15" i="62"/>
  <c r="L22" i="62"/>
  <c r="L16" i="62"/>
  <c r="L20" i="62"/>
  <c r="L25" i="62"/>
  <c r="L18" i="62"/>
  <c r="L23" i="62"/>
  <c r="L24" i="62"/>
  <c r="L13" i="62"/>
  <c r="L7" i="62"/>
  <c r="L5" i="62"/>
  <c r="L8" i="62"/>
  <c r="E32" i="62"/>
  <c r="E43" i="62"/>
  <c r="E5" i="62"/>
  <c r="G57" i="62"/>
  <c r="G51" i="62"/>
  <c r="G31" i="62"/>
  <c r="G34" i="62"/>
  <c r="G43" i="62"/>
  <c r="G20" i="62"/>
  <c r="G13" i="62"/>
  <c r="M60" i="62"/>
  <c r="M59" i="62"/>
  <c r="M54" i="62"/>
  <c r="M50" i="62"/>
  <c r="M32" i="62"/>
  <c r="M33" i="62"/>
  <c r="M31" i="62"/>
  <c r="M42" i="62"/>
  <c r="M41" i="62"/>
  <c r="M34" i="62"/>
  <c r="M36" i="62"/>
  <c r="M43" i="62"/>
  <c r="M15" i="62"/>
  <c r="M22" i="62"/>
  <c r="M16" i="62"/>
  <c r="M20" i="62"/>
  <c r="M25" i="62"/>
  <c r="M18" i="62"/>
  <c r="M23" i="62"/>
  <c r="M24" i="62"/>
  <c r="M11" i="62"/>
  <c r="M13" i="62"/>
  <c r="M7" i="62"/>
  <c r="M5" i="62"/>
  <c r="M8" i="62"/>
  <c r="E57" i="62"/>
  <c r="E56" i="62"/>
  <c r="E50" i="62"/>
  <c r="E42" i="62"/>
  <c r="E34" i="62"/>
  <c r="E36" i="62"/>
  <c r="E16" i="62"/>
  <c r="E20" i="62"/>
  <c r="E25" i="62"/>
  <c r="E18" i="62"/>
  <c r="E13" i="62"/>
  <c r="G60" i="62"/>
  <c r="G54" i="62"/>
  <c r="G33" i="62"/>
  <c r="G46" i="62"/>
  <c r="G16" i="62"/>
  <c r="G5" i="62"/>
  <c r="L51" i="62"/>
  <c r="L11" i="62"/>
  <c r="M57" i="62"/>
  <c r="M56" i="62"/>
  <c r="M51" i="62"/>
  <c r="M46" i="62"/>
  <c r="I12" i="63"/>
  <c r="E14" i="63"/>
  <c r="H9" i="63"/>
  <c r="I9" i="63"/>
  <c r="J9" i="63"/>
  <c r="K9" i="63"/>
  <c r="K12" i="63"/>
  <c r="H7" i="63"/>
  <c r="I7" i="63"/>
  <c r="J7" i="63"/>
  <c r="K7" i="63"/>
  <c r="G14" i="63"/>
  <c r="L7" i="63"/>
  <c r="K14" i="63"/>
  <c r="L14" i="63"/>
  <c r="F9" i="63"/>
  <c r="D6" i="63"/>
  <c r="E6" i="63"/>
  <c r="H11" i="63"/>
  <c r="D13" i="63"/>
  <c r="K11" i="63"/>
  <c r="G13" i="63"/>
  <c r="C15" i="63"/>
  <c r="G11" i="63"/>
  <c r="C13" i="63"/>
  <c r="K6" i="63"/>
  <c r="G8" i="63"/>
  <c r="C10" i="63"/>
  <c r="I13" i="63"/>
  <c r="E15" i="63"/>
  <c r="L6" i="63"/>
  <c r="H8" i="63"/>
  <c r="D10" i="63"/>
  <c r="J13" i="63"/>
  <c r="F15" i="63"/>
  <c r="L13" i="63"/>
  <c r="H15" i="63"/>
  <c r="K8" i="63"/>
  <c r="G10" i="63"/>
  <c r="C12" i="63"/>
  <c r="I15" i="63"/>
  <c r="G6" i="63"/>
  <c r="C8" i="63"/>
  <c r="E13" i="63"/>
  <c r="L8" i="63"/>
  <c r="H10" i="63"/>
  <c r="D12" i="63"/>
  <c r="J15" i="63"/>
  <c r="I8" i="63"/>
  <c r="G15" i="63"/>
  <c r="F10" i="63"/>
  <c r="C7" i="63"/>
  <c r="I10" i="63"/>
  <c r="E12" i="63"/>
  <c r="K15" i="63"/>
  <c r="C6" i="63"/>
  <c r="E11" i="63"/>
  <c r="D15" i="63"/>
  <c r="L15" i="63"/>
  <c r="H13" i="63"/>
  <c r="J8" i="63"/>
  <c r="D7" i="63"/>
  <c r="F12" i="63"/>
  <c r="E7" i="63"/>
  <c r="K10" i="63"/>
  <c r="G12" i="63"/>
  <c r="C14" i="63"/>
  <c r="F11" i="63"/>
  <c r="F6" i="63"/>
  <c r="I11" i="63"/>
  <c r="H6" i="63"/>
  <c r="J11" i="63"/>
  <c r="I6" i="63"/>
  <c r="J6" i="63"/>
  <c r="K13" i="63"/>
  <c r="F7" i="63"/>
  <c r="L10" i="63"/>
  <c r="H12" i="63"/>
  <c r="D14" i="63"/>
  <c r="D8" i="63"/>
  <c r="E8" i="63"/>
  <c r="E10" i="63"/>
  <c r="J10" i="63"/>
  <c r="N62" i="60"/>
  <c r="N60" i="60"/>
  <c r="N53" i="60"/>
  <c r="N29" i="60"/>
  <c r="N49" i="60"/>
  <c r="N30" i="60"/>
  <c r="N45" i="60"/>
  <c r="N20" i="60"/>
  <c r="N47" i="60"/>
  <c r="N33" i="60"/>
  <c r="N46" i="60"/>
  <c r="N26" i="60"/>
  <c r="N48" i="60"/>
  <c r="N35" i="60"/>
  <c r="N44" i="60"/>
  <c r="N27" i="60"/>
  <c r="N43" i="60"/>
  <c r="N24" i="60"/>
  <c r="N41" i="60"/>
  <c r="N22" i="60"/>
  <c r="N50" i="60"/>
  <c r="N19" i="60"/>
  <c r="N42" i="60"/>
  <c r="N34" i="60"/>
  <c r="N40" i="60"/>
  <c r="N16" i="60"/>
  <c r="N52" i="60"/>
  <c r="N17" i="60"/>
  <c r="N51" i="60"/>
  <c r="N18" i="60"/>
  <c r="N6" i="60"/>
  <c r="N39" i="60"/>
  <c r="N14" i="60"/>
  <c r="N38" i="60"/>
  <c r="N13" i="60"/>
  <c r="N58" i="60"/>
  <c r="N32" i="60"/>
  <c r="N15" i="60"/>
  <c r="N59" i="60"/>
  <c r="N23" i="60"/>
  <c r="N11" i="60"/>
  <c r="N61" i="60"/>
  <c r="N37" i="60"/>
  <c r="N12" i="60"/>
  <c r="N28" i="60"/>
  <c r="N10" i="60"/>
  <c r="N57" i="60"/>
  <c r="N31" i="60"/>
  <c r="N8" i="60"/>
  <c r="N56" i="60"/>
  <c r="N25" i="60"/>
  <c r="N7" i="60"/>
  <c r="N54" i="60"/>
  <c r="N36" i="60"/>
  <c r="N9" i="60"/>
  <c r="N55" i="60"/>
  <c r="N21" i="60"/>
  <c r="G61" i="60"/>
  <c r="J17" i="60"/>
  <c r="M56" i="60"/>
  <c r="I16" i="60"/>
  <c r="D19" i="60"/>
  <c r="M5" i="60"/>
  <c r="M19" i="60"/>
  <c r="D5" i="60"/>
  <c r="H24" i="60"/>
  <c r="E5" i="60"/>
  <c r="G27" i="60"/>
  <c r="F5" i="60"/>
  <c r="H27" i="60"/>
  <c r="G5" i="60"/>
  <c r="K26" i="60"/>
  <c r="H5" i="60"/>
  <c r="F20" i="60"/>
  <c r="I5" i="60"/>
  <c r="E30" i="60"/>
  <c r="J5" i="60"/>
  <c r="J29" i="60"/>
  <c r="K5" i="60"/>
  <c r="D25" i="60"/>
  <c r="L5" i="60"/>
  <c r="M25" i="60"/>
  <c r="D7" i="60"/>
  <c r="H28" i="60"/>
  <c r="G7" i="60"/>
  <c r="G37" i="60"/>
  <c r="M7" i="60"/>
  <c r="K32" i="60"/>
  <c r="D8" i="60"/>
  <c r="F39" i="60"/>
  <c r="H10" i="60"/>
  <c r="E51" i="60"/>
  <c r="G12" i="60"/>
  <c r="J52" i="60"/>
  <c r="H12" i="60"/>
  <c r="I40" i="60"/>
  <c r="L11" i="60"/>
  <c r="M50" i="60"/>
  <c r="K15" i="60"/>
  <c r="G44" i="60"/>
  <c r="F14" i="60"/>
  <c r="K46" i="60"/>
  <c r="E18" i="60"/>
  <c r="E49" i="60"/>
  <c r="M59" i="60"/>
  <c r="L9" i="60"/>
  <c r="F10" i="60"/>
  <c r="J11" i="60"/>
  <c r="D14" i="60"/>
  <c r="H17" i="60"/>
  <c r="L34" i="60"/>
  <c r="F24" i="60"/>
  <c r="J35" i="60"/>
  <c r="D20" i="60"/>
  <c r="H29" i="60"/>
  <c r="L36" i="60"/>
  <c r="F28" i="60"/>
  <c r="J23" i="60"/>
  <c r="D39" i="60"/>
  <c r="H52" i="60"/>
  <c r="L42" i="60"/>
  <c r="F43" i="60"/>
  <c r="J48" i="60"/>
  <c r="D45" i="60"/>
  <c r="H53" i="60"/>
  <c r="L54" i="60"/>
  <c r="F60" i="60"/>
  <c r="J59" i="60"/>
  <c r="M9" i="60"/>
  <c r="G10" i="60"/>
  <c r="K11" i="60"/>
  <c r="E14" i="60"/>
  <c r="I17" i="60"/>
  <c r="M34" i="60"/>
  <c r="G24" i="60"/>
  <c r="K35" i="60"/>
  <c r="E20" i="60"/>
  <c r="I29" i="60"/>
  <c r="M36" i="60"/>
  <c r="G28" i="60"/>
  <c r="K23" i="60"/>
  <c r="E39" i="60"/>
  <c r="I52" i="60"/>
  <c r="M42" i="60"/>
  <c r="G43" i="60"/>
  <c r="K48" i="60"/>
  <c r="E45" i="60"/>
  <c r="I53" i="60"/>
  <c r="M54" i="60"/>
  <c r="G60" i="60"/>
  <c r="K59" i="60"/>
  <c r="L35" i="60"/>
  <c r="L23" i="60"/>
  <c r="D50" i="60"/>
  <c r="H43" i="60"/>
  <c r="L48" i="60"/>
  <c r="F45" i="60"/>
  <c r="J53" i="60"/>
  <c r="D56" i="60"/>
  <c r="H60" i="60"/>
  <c r="L59" i="60"/>
  <c r="E7" i="60"/>
  <c r="I10" i="60"/>
  <c r="M11" i="60"/>
  <c r="G14" i="60"/>
  <c r="K17" i="60"/>
  <c r="E19" i="60"/>
  <c r="I24" i="60"/>
  <c r="M35" i="60"/>
  <c r="G20" i="60"/>
  <c r="K29" i="60"/>
  <c r="E25" i="60"/>
  <c r="I28" i="60"/>
  <c r="M23" i="60"/>
  <c r="G39" i="60"/>
  <c r="K52" i="60"/>
  <c r="E50" i="60"/>
  <c r="I43" i="60"/>
  <c r="M48" i="60"/>
  <c r="G45" i="60"/>
  <c r="K53" i="60"/>
  <c r="E56" i="60"/>
  <c r="I60" i="60"/>
  <c r="F7" i="60"/>
  <c r="J10" i="60"/>
  <c r="D15" i="60"/>
  <c r="H14" i="60"/>
  <c r="L17" i="60"/>
  <c r="F19" i="60"/>
  <c r="J24" i="60"/>
  <c r="D26" i="60"/>
  <c r="H20" i="60"/>
  <c r="L29" i="60"/>
  <c r="F25" i="60"/>
  <c r="J28" i="60"/>
  <c r="D32" i="60"/>
  <c r="H39" i="60"/>
  <c r="L52" i="60"/>
  <c r="F50" i="60"/>
  <c r="J43" i="60"/>
  <c r="D46" i="60"/>
  <c r="H45" i="60"/>
  <c r="L53" i="60"/>
  <c r="F56" i="60"/>
  <c r="J60" i="60"/>
  <c r="D58" i="60"/>
  <c r="K10" i="60"/>
  <c r="E15" i="60"/>
  <c r="I14" i="60"/>
  <c r="M17" i="60"/>
  <c r="G19" i="60"/>
  <c r="K24" i="60"/>
  <c r="E26" i="60"/>
  <c r="I20" i="60"/>
  <c r="M29" i="60"/>
  <c r="G25" i="60"/>
  <c r="K28" i="60"/>
  <c r="E32" i="60"/>
  <c r="I39" i="60"/>
  <c r="M52" i="60"/>
  <c r="G50" i="60"/>
  <c r="K43" i="60"/>
  <c r="E46" i="60"/>
  <c r="I45" i="60"/>
  <c r="M53" i="60"/>
  <c r="G56" i="60"/>
  <c r="K60" i="60"/>
  <c r="E58" i="60"/>
  <c r="D6" i="60"/>
  <c r="H7" i="60"/>
  <c r="L10" i="60"/>
  <c r="F15" i="60"/>
  <c r="J14" i="60"/>
  <c r="D16" i="60"/>
  <c r="H19" i="60"/>
  <c r="L24" i="60"/>
  <c r="F26" i="60"/>
  <c r="J20" i="60"/>
  <c r="D21" i="60"/>
  <c r="H25" i="60"/>
  <c r="L28" i="60"/>
  <c r="F32" i="60"/>
  <c r="J39" i="60"/>
  <c r="D40" i="60"/>
  <c r="H50" i="60"/>
  <c r="L43" i="60"/>
  <c r="F46" i="60"/>
  <c r="J45" i="60"/>
  <c r="D55" i="60"/>
  <c r="H56" i="60"/>
  <c r="L60" i="60"/>
  <c r="F58" i="60"/>
  <c r="E6" i="60"/>
  <c r="I7" i="60"/>
  <c r="M10" i="60"/>
  <c r="G15" i="60"/>
  <c r="K14" i="60"/>
  <c r="E16" i="60"/>
  <c r="I19" i="60"/>
  <c r="M24" i="60"/>
  <c r="G26" i="60"/>
  <c r="K20" i="60"/>
  <c r="E21" i="60"/>
  <c r="I25" i="60"/>
  <c r="M28" i="60"/>
  <c r="G32" i="60"/>
  <c r="K39" i="60"/>
  <c r="E40" i="60"/>
  <c r="I50" i="60"/>
  <c r="M43" i="60"/>
  <c r="G46" i="60"/>
  <c r="K45" i="60"/>
  <c r="E55" i="60"/>
  <c r="I56" i="60"/>
  <c r="M60" i="60"/>
  <c r="G58" i="60"/>
  <c r="F6" i="60"/>
  <c r="J7" i="60"/>
  <c r="D12" i="60"/>
  <c r="H15" i="60"/>
  <c r="L14" i="60"/>
  <c r="F16" i="60"/>
  <c r="J19" i="60"/>
  <c r="D27" i="60"/>
  <c r="H26" i="60"/>
  <c r="L20" i="60"/>
  <c r="F21" i="60"/>
  <c r="J25" i="60"/>
  <c r="D37" i="60"/>
  <c r="H32" i="60"/>
  <c r="L39" i="60"/>
  <c r="F40" i="60"/>
  <c r="J50" i="60"/>
  <c r="D44" i="60"/>
  <c r="H46" i="60"/>
  <c r="L45" i="60"/>
  <c r="F55" i="60"/>
  <c r="J56" i="60"/>
  <c r="D61" i="60"/>
  <c r="H58" i="60"/>
  <c r="G6" i="60"/>
  <c r="E12" i="60"/>
  <c r="I15" i="60"/>
  <c r="G16" i="60"/>
  <c r="K19" i="60"/>
  <c r="E27" i="60"/>
  <c r="I26" i="60"/>
  <c r="G21" i="60"/>
  <c r="K25" i="60"/>
  <c r="E37" i="60"/>
  <c r="I32" i="60"/>
  <c r="G40" i="60"/>
  <c r="K50" i="60"/>
  <c r="E44" i="60"/>
  <c r="I46" i="60"/>
  <c r="G55" i="60"/>
  <c r="K56" i="60"/>
  <c r="E61" i="60"/>
  <c r="I58" i="60"/>
  <c r="K7" i="60"/>
  <c r="H6" i="60"/>
  <c r="F12" i="60"/>
  <c r="J15" i="60"/>
  <c r="D18" i="60"/>
  <c r="H16" i="60"/>
  <c r="F27" i="60"/>
  <c r="J26" i="60"/>
  <c r="D30" i="60"/>
  <c r="H21" i="60"/>
  <c r="F37" i="60"/>
  <c r="J32" i="60"/>
  <c r="D51" i="60"/>
  <c r="H40" i="60"/>
  <c r="F44" i="60"/>
  <c r="J46" i="60"/>
  <c r="D49" i="60"/>
  <c r="H55" i="60"/>
  <c r="F61" i="60"/>
  <c r="J58" i="60"/>
  <c r="I55" i="60"/>
  <c r="K58" i="60"/>
  <c r="L26" i="60"/>
  <c r="F30" i="60"/>
  <c r="J21" i="60"/>
  <c r="D31" i="60"/>
  <c r="H37" i="60"/>
  <c r="L32" i="60"/>
  <c r="F51" i="60"/>
  <c r="J40" i="60"/>
  <c r="D41" i="60"/>
  <c r="H44" i="60"/>
  <c r="L46" i="60"/>
  <c r="F49" i="60"/>
  <c r="J55" i="60"/>
  <c r="D57" i="60"/>
  <c r="H61" i="60"/>
  <c r="L58" i="60"/>
  <c r="L15" i="60"/>
  <c r="J16" i="60"/>
  <c r="D22" i="60"/>
  <c r="K6" i="60"/>
  <c r="E8" i="60"/>
  <c r="I12" i="60"/>
  <c r="G18" i="60"/>
  <c r="K16" i="60"/>
  <c r="E22" i="60"/>
  <c r="I27" i="60"/>
  <c r="G30" i="60"/>
  <c r="K21" i="60"/>
  <c r="E31" i="60"/>
  <c r="I37" i="60"/>
  <c r="G51" i="60"/>
  <c r="K40" i="60"/>
  <c r="E41" i="60"/>
  <c r="I44" i="60"/>
  <c r="G49" i="60"/>
  <c r="K55" i="60"/>
  <c r="E57" i="60"/>
  <c r="I61" i="60"/>
  <c r="L6" i="60"/>
  <c r="F8" i="60"/>
  <c r="J12" i="60"/>
  <c r="D13" i="60"/>
  <c r="H18" i="60"/>
  <c r="L16" i="60"/>
  <c r="F22" i="60"/>
  <c r="J27" i="60"/>
  <c r="D33" i="60"/>
  <c r="H30" i="60"/>
  <c r="L21" i="60"/>
  <c r="F31" i="60"/>
  <c r="J37" i="60"/>
  <c r="D38" i="60"/>
  <c r="H51" i="60"/>
  <c r="L40" i="60"/>
  <c r="F41" i="60"/>
  <c r="J44" i="60"/>
  <c r="D47" i="60"/>
  <c r="H49" i="60"/>
  <c r="L55" i="60"/>
  <c r="F57" i="60"/>
  <c r="J61" i="60"/>
  <c r="D62" i="60"/>
  <c r="J6" i="60"/>
  <c r="M6" i="60"/>
  <c r="G8" i="60"/>
  <c r="K12" i="60"/>
  <c r="E13" i="60"/>
  <c r="I18" i="60"/>
  <c r="G22" i="60"/>
  <c r="K27" i="60"/>
  <c r="E33" i="60"/>
  <c r="I30" i="60"/>
  <c r="M21" i="60"/>
  <c r="G31" i="60"/>
  <c r="K37" i="60"/>
  <c r="E38" i="60"/>
  <c r="I51" i="60"/>
  <c r="G41" i="60"/>
  <c r="K44" i="60"/>
  <c r="E47" i="60"/>
  <c r="I49" i="60"/>
  <c r="G57" i="60"/>
  <c r="K61" i="60"/>
  <c r="E62" i="60"/>
  <c r="F18" i="60"/>
  <c r="D9" i="60"/>
  <c r="H8" i="60"/>
  <c r="L12" i="60"/>
  <c r="F13" i="60"/>
  <c r="J18" i="60"/>
  <c r="D34" i="60"/>
  <c r="H22" i="60"/>
  <c r="L27" i="60"/>
  <c r="F33" i="60"/>
  <c r="J30" i="60"/>
  <c r="D36" i="60"/>
  <c r="H31" i="60"/>
  <c r="L37" i="60"/>
  <c r="F38" i="60"/>
  <c r="J51" i="60"/>
  <c r="D42" i="60"/>
  <c r="H41" i="60"/>
  <c r="L44" i="60"/>
  <c r="F47" i="60"/>
  <c r="J49" i="60"/>
  <c r="D54" i="60"/>
  <c r="H57" i="60"/>
  <c r="L61" i="60"/>
  <c r="F62" i="60"/>
  <c r="E9" i="60"/>
  <c r="I8" i="60"/>
  <c r="G13" i="60"/>
  <c r="K18" i="60"/>
  <c r="E34" i="60"/>
  <c r="I22" i="60"/>
  <c r="G33" i="60"/>
  <c r="K30" i="60"/>
  <c r="E36" i="60"/>
  <c r="I31" i="60"/>
  <c r="G38" i="60"/>
  <c r="K51" i="60"/>
  <c r="E42" i="60"/>
  <c r="I41" i="60"/>
  <c r="G47" i="60"/>
  <c r="K49" i="60"/>
  <c r="E54" i="60"/>
  <c r="I57" i="60"/>
  <c r="G62" i="60"/>
  <c r="F9" i="60"/>
  <c r="J8" i="60"/>
  <c r="D11" i="60"/>
  <c r="H13" i="60"/>
  <c r="L18" i="60"/>
  <c r="F34" i="60"/>
  <c r="J22" i="60"/>
  <c r="D35" i="60"/>
  <c r="H33" i="60"/>
  <c r="L30" i="60"/>
  <c r="F36" i="60"/>
  <c r="J31" i="60"/>
  <c r="D23" i="60"/>
  <c r="H38" i="60"/>
  <c r="L51" i="60"/>
  <c r="F42" i="60"/>
  <c r="J41" i="60"/>
  <c r="D48" i="60"/>
  <c r="H47" i="60"/>
  <c r="L49" i="60"/>
  <c r="F54" i="60"/>
  <c r="J57" i="60"/>
  <c r="D59" i="60"/>
  <c r="H62" i="60"/>
  <c r="G9" i="60"/>
  <c r="E11" i="60"/>
  <c r="I13" i="60"/>
  <c r="G34" i="60"/>
  <c r="K22" i="60"/>
  <c r="E35" i="60"/>
  <c r="I33" i="60"/>
  <c r="G36" i="60"/>
  <c r="K31" i="60"/>
  <c r="E23" i="60"/>
  <c r="I38" i="60"/>
  <c r="G42" i="60"/>
  <c r="K41" i="60"/>
  <c r="E48" i="60"/>
  <c r="I47" i="60"/>
  <c r="G54" i="60"/>
  <c r="K57" i="60"/>
  <c r="E59" i="60"/>
  <c r="I62" i="60"/>
  <c r="K8" i="60"/>
  <c r="H9" i="60"/>
  <c r="L8" i="60"/>
  <c r="F11" i="60"/>
  <c r="J13" i="60"/>
  <c r="D17" i="60"/>
  <c r="H34" i="60"/>
  <c r="L22" i="60"/>
  <c r="F35" i="60"/>
  <c r="J33" i="60"/>
  <c r="D29" i="60"/>
  <c r="H36" i="60"/>
  <c r="L31" i="60"/>
  <c r="F23" i="60"/>
  <c r="J38" i="60"/>
  <c r="D52" i="60"/>
  <c r="H42" i="60"/>
  <c r="L41" i="60"/>
  <c r="F48" i="60"/>
  <c r="J47" i="60"/>
  <c r="D53" i="60"/>
  <c r="H54" i="60"/>
  <c r="L57" i="60"/>
  <c r="F59" i="60"/>
  <c r="J62" i="60"/>
  <c r="G11" i="60"/>
  <c r="K13" i="60"/>
  <c r="E17" i="60"/>
  <c r="I34" i="60"/>
  <c r="G35" i="60"/>
  <c r="K33" i="60"/>
  <c r="E29" i="60"/>
  <c r="I36" i="60"/>
  <c r="G23" i="60"/>
  <c r="K38" i="60"/>
  <c r="E52" i="60"/>
  <c r="I42" i="60"/>
  <c r="G48" i="60"/>
  <c r="K47" i="60"/>
  <c r="E53" i="60"/>
  <c r="I54" i="60"/>
  <c r="G59" i="60"/>
  <c r="K62" i="60"/>
  <c r="I9" i="60"/>
  <c r="J9" i="60"/>
  <c r="D10" i="60"/>
  <c r="H11" i="60"/>
  <c r="L13" i="60"/>
  <c r="F17" i="60"/>
  <c r="J34" i="60"/>
  <c r="D24" i="60"/>
  <c r="H35" i="60"/>
  <c r="L33" i="60"/>
  <c r="F29" i="60"/>
  <c r="J36" i="60"/>
  <c r="D28" i="60"/>
  <c r="H23" i="60"/>
  <c r="L38" i="60"/>
  <c r="F52" i="60"/>
  <c r="J42" i="60"/>
  <c r="D43" i="60"/>
  <c r="H48" i="60"/>
  <c r="L47" i="60"/>
  <c r="F53" i="60"/>
  <c r="J54" i="60"/>
  <c r="D60" i="60"/>
  <c r="H59" i="60"/>
  <c r="L62" i="60"/>
  <c r="AX3" i="52"/>
  <c r="AB3" i="52"/>
  <c r="AZ3" i="52"/>
  <c r="E3" i="52"/>
  <c r="AC3" i="52"/>
  <c r="BA3" i="52"/>
  <c r="G3" i="52"/>
  <c r="AE3" i="52"/>
  <c r="H3" i="52"/>
  <c r="AF3" i="52"/>
  <c r="L3" i="52"/>
  <c r="AJ3" i="52"/>
  <c r="K3" i="52"/>
  <c r="M3" i="52"/>
  <c r="AK3" i="52"/>
  <c r="AK3" i="38"/>
  <c r="AM3" i="52"/>
  <c r="J3" i="52"/>
  <c r="O3" i="52"/>
  <c r="BE3" i="38"/>
  <c r="AG3" i="38"/>
  <c r="P3" i="52"/>
  <c r="AN3" i="52"/>
  <c r="AH3" i="52"/>
  <c r="BG3" i="38"/>
  <c r="Q3" i="52"/>
  <c r="BB3" i="38"/>
  <c r="AC3" i="38"/>
  <c r="S3" i="52"/>
  <c r="AQ3" i="52"/>
  <c r="BM3" i="38"/>
  <c r="AL3" i="38"/>
  <c r="AI3" i="38"/>
  <c r="AH3" i="38"/>
  <c r="R3" i="52"/>
  <c r="BA3" i="38"/>
  <c r="W3" i="38"/>
  <c r="T3" i="52"/>
  <c r="AR3" i="52"/>
  <c r="I3" i="52"/>
  <c r="AI3" i="52"/>
  <c r="N3" i="52"/>
  <c r="AF3" i="38"/>
  <c r="AZ3" i="38"/>
  <c r="AB3" i="38"/>
  <c r="U3" i="52"/>
  <c r="AS3" i="52"/>
  <c r="AM3" i="38"/>
  <c r="BI3" i="38"/>
  <c r="BF3" i="38"/>
  <c r="AP3" i="52"/>
  <c r="V3" i="52"/>
  <c r="AT3" i="52"/>
  <c r="AG3" i="52"/>
  <c r="BH3" i="38"/>
  <c r="BD3" i="38"/>
  <c r="AA3" i="38"/>
  <c r="AX3" i="38"/>
  <c r="Z3" i="38"/>
  <c r="W3" i="52"/>
  <c r="AU3" i="52"/>
  <c r="AP3" i="38"/>
  <c r="BK3" i="38"/>
  <c r="AJ3" i="38"/>
  <c r="AO3" i="52"/>
  <c r="AY3" i="38"/>
  <c r="AW3" i="38"/>
  <c r="Y3" i="38"/>
  <c r="X3" i="52"/>
  <c r="AV3" i="52"/>
  <c r="BL3" i="38"/>
  <c r="BJ3" i="38"/>
  <c r="BC3" i="38"/>
  <c r="V3" i="38"/>
  <c r="AV3" i="38"/>
  <c r="X3" i="38"/>
  <c r="Y3" i="52"/>
  <c r="V3" i="49"/>
  <c r="T3" i="49"/>
  <c r="M3" i="49"/>
  <c r="O3" i="49"/>
  <c r="U3" i="49"/>
  <c r="N3" i="49"/>
  <c r="A13" i="35" l="1"/>
  <c r="A5" i="35"/>
  <c r="A7" i="35"/>
  <c r="A8" i="35"/>
  <c r="A9" i="35"/>
  <c r="A10" i="35"/>
  <c r="A11" i="35"/>
  <c r="A12" i="35"/>
  <c r="A14" i="35"/>
  <c r="A6" i="35"/>
  <c r="AB444" i="22" l="1"/>
  <c r="AA444" i="22"/>
  <c r="W444" i="22"/>
  <c r="Y444" i="22" s="1"/>
  <c r="U444" i="22"/>
  <c r="T444" i="22"/>
  <c r="O444" i="22"/>
  <c r="Q444" i="22" s="1"/>
  <c r="L444" i="22"/>
  <c r="N444" i="22" s="1"/>
  <c r="I444" i="22"/>
  <c r="K444" i="22" s="1"/>
  <c r="G444" i="22"/>
  <c r="AI444" i="22" s="1"/>
  <c r="W443" i="22"/>
  <c r="Y443" i="22" s="1"/>
  <c r="U443" i="22"/>
  <c r="T443" i="22"/>
  <c r="O443" i="22"/>
  <c r="Q443" i="22" s="1"/>
  <c r="L443" i="22"/>
  <c r="N443" i="22" s="1"/>
  <c r="I443" i="22"/>
  <c r="K443" i="22" s="1"/>
  <c r="G443" i="22"/>
  <c r="AZ445" i="11" s="1"/>
  <c r="U442" i="22"/>
  <c r="T442" i="22"/>
  <c r="O442" i="22"/>
  <c r="Q442" i="22" s="1"/>
  <c r="L442" i="22"/>
  <c r="N442" i="22" s="1"/>
  <c r="I442" i="22"/>
  <c r="K442" i="22" s="1"/>
  <c r="G442" i="22"/>
  <c r="AA441" i="22"/>
  <c r="W441" i="22"/>
  <c r="Y441" i="22" s="1"/>
  <c r="U441" i="22"/>
  <c r="O441" i="22"/>
  <c r="Q441" i="22" s="1"/>
  <c r="L441" i="22"/>
  <c r="N441" i="22" s="1"/>
  <c r="I441" i="22"/>
  <c r="K441" i="22" s="1"/>
  <c r="G441" i="22"/>
  <c r="BI447" i="11" s="1"/>
  <c r="AB440" i="22"/>
  <c r="AA440" i="22"/>
  <c r="W440" i="22"/>
  <c r="Y440" i="22" s="1"/>
  <c r="U440" i="22"/>
  <c r="T440" i="22"/>
  <c r="O440" i="22"/>
  <c r="Q440" i="22" s="1"/>
  <c r="L440" i="22"/>
  <c r="N440" i="22" s="1"/>
  <c r="I440" i="22"/>
  <c r="K440" i="22" s="1"/>
  <c r="G440" i="22"/>
  <c r="BE442" i="11" s="1"/>
  <c r="AB56" i="22"/>
  <c r="AA56" i="22"/>
  <c r="W56" i="22"/>
  <c r="Y56" i="22" s="1"/>
  <c r="U56" i="22"/>
  <c r="O56" i="22"/>
  <c r="Q56" i="22" s="1"/>
  <c r="L56" i="22"/>
  <c r="N56" i="22" s="1"/>
  <c r="I56" i="22"/>
  <c r="K56" i="22" s="1"/>
  <c r="G56" i="22"/>
  <c r="AB438" i="22"/>
  <c r="AA438" i="22"/>
  <c r="W438" i="22"/>
  <c r="Y438" i="22" s="1"/>
  <c r="U438" i="22"/>
  <c r="T438" i="22"/>
  <c r="O438" i="22"/>
  <c r="Q438" i="22" s="1"/>
  <c r="L438" i="22"/>
  <c r="N438" i="22" s="1"/>
  <c r="I438" i="22"/>
  <c r="K438" i="22" s="1"/>
  <c r="G438" i="22"/>
  <c r="AI438" i="22" s="1"/>
  <c r="AB83" i="22"/>
  <c r="AA83" i="22"/>
  <c r="W83" i="22"/>
  <c r="Y83" i="22" s="1"/>
  <c r="U83" i="22"/>
  <c r="T83" i="22"/>
  <c r="O83" i="22"/>
  <c r="Q83" i="22" s="1"/>
  <c r="L83" i="22"/>
  <c r="N83" i="22" s="1"/>
  <c r="I83" i="22"/>
  <c r="K83" i="22" s="1"/>
  <c r="G83" i="22"/>
  <c r="AI83" i="22" s="1"/>
  <c r="AB88" i="22"/>
  <c r="AA88" i="22"/>
  <c r="W88" i="22"/>
  <c r="Y88" i="22" s="1"/>
  <c r="U88" i="22"/>
  <c r="T88" i="22"/>
  <c r="O88" i="22"/>
  <c r="Q88" i="22" s="1"/>
  <c r="L88" i="22"/>
  <c r="N88" i="22" s="1"/>
  <c r="I88" i="22"/>
  <c r="K88" i="22" s="1"/>
  <c r="G88" i="22"/>
  <c r="AI88" i="22" s="1"/>
  <c r="AB435" i="22"/>
  <c r="AA435" i="22"/>
  <c r="W435" i="22"/>
  <c r="Y435" i="22" s="1"/>
  <c r="U435" i="22"/>
  <c r="T435" i="22"/>
  <c r="O435" i="22"/>
  <c r="Q435" i="22" s="1"/>
  <c r="L435" i="22"/>
  <c r="N435" i="22" s="1"/>
  <c r="I435" i="22"/>
  <c r="K435" i="22" s="1"/>
  <c r="G435" i="22"/>
  <c r="AI435" i="22" s="1"/>
  <c r="AB434" i="22"/>
  <c r="AA434" i="22"/>
  <c r="W434" i="22"/>
  <c r="Y434" i="22" s="1"/>
  <c r="U434" i="22"/>
  <c r="T434" i="22"/>
  <c r="O434" i="22"/>
  <c r="Q434" i="22" s="1"/>
  <c r="L434" i="22"/>
  <c r="N434" i="22" s="1"/>
  <c r="I434" i="22"/>
  <c r="K434" i="22" s="1"/>
  <c r="G434" i="22"/>
  <c r="AI434" i="22" s="1"/>
  <c r="W433" i="22"/>
  <c r="Y433" i="22" s="1"/>
  <c r="U433" i="22"/>
  <c r="T433" i="22"/>
  <c r="O433" i="22"/>
  <c r="Q433" i="22" s="1"/>
  <c r="L433" i="22"/>
  <c r="N433" i="22" s="1"/>
  <c r="I433" i="22"/>
  <c r="K433" i="22" s="1"/>
  <c r="G433" i="22"/>
  <c r="AB432" i="22"/>
  <c r="AA432" i="22"/>
  <c r="W432" i="22"/>
  <c r="Y432" i="22" s="1"/>
  <c r="U432" i="22"/>
  <c r="T432" i="22"/>
  <c r="O432" i="22"/>
  <c r="Q432" i="22" s="1"/>
  <c r="L432" i="22"/>
  <c r="N432" i="22" s="1"/>
  <c r="I432" i="22"/>
  <c r="K432" i="22" s="1"/>
  <c r="G432" i="22"/>
  <c r="AI432" i="22" s="1"/>
  <c r="AB431" i="22"/>
  <c r="AA431" i="22"/>
  <c r="W431" i="22"/>
  <c r="Y431" i="22" s="1"/>
  <c r="U431" i="22"/>
  <c r="T431" i="22"/>
  <c r="O431" i="22"/>
  <c r="Q431" i="22" s="1"/>
  <c r="L431" i="22"/>
  <c r="N431" i="22" s="1"/>
  <c r="I431" i="22"/>
  <c r="K431" i="22" s="1"/>
  <c r="G431" i="22"/>
  <c r="AB433" i="11" s="1"/>
  <c r="AB210" i="22"/>
  <c r="AA210" i="22"/>
  <c r="W210" i="22"/>
  <c r="Y210" i="22" s="1"/>
  <c r="U210" i="22"/>
  <c r="T210" i="22"/>
  <c r="O210" i="22"/>
  <c r="Q210" i="22" s="1"/>
  <c r="L210" i="22"/>
  <c r="N210" i="22" s="1"/>
  <c r="I210" i="22"/>
  <c r="K210" i="22" s="1"/>
  <c r="G210" i="22"/>
  <c r="AI210" i="22" s="1"/>
  <c r="AA429" i="22"/>
  <c r="W429" i="22"/>
  <c r="Y429" i="22" s="1"/>
  <c r="U429" i="22"/>
  <c r="T429" i="22"/>
  <c r="O429" i="22"/>
  <c r="Q429" i="22" s="1"/>
  <c r="L429" i="22"/>
  <c r="N429" i="22" s="1"/>
  <c r="I429" i="22"/>
  <c r="K429" i="22" s="1"/>
  <c r="G429" i="22"/>
  <c r="AI429" i="22" s="1"/>
  <c r="AB428" i="22"/>
  <c r="AA428" i="22"/>
  <c r="W428" i="22"/>
  <c r="Y428" i="22" s="1"/>
  <c r="U428" i="22"/>
  <c r="T428" i="22"/>
  <c r="O428" i="22"/>
  <c r="Q428" i="22" s="1"/>
  <c r="L428" i="22"/>
  <c r="N428" i="22" s="1"/>
  <c r="I428" i="22"/>
  <c r="K428" i="22" s="1"/>
  <c r="G428" i="22"/>
  <c r="AI428" i="22" s="1"/>
  <c r="AB344" i="22"/>
  <c r="AA344" i="22"/>
  <c r="W344" i="22"/>
  <c r="Y344" i="22" s="1"/>
  <c r="U344" i="22"/>
  <c r="T344" i="22"/>
  <c r="O344" i="22"/>
  <c r="Q344" i="22" s="1"/>
  <c r="L344" i="22"/>
  <c r="N344" i="22" s="1"/>
  <c r="I344" i="22"/>
  <c r="K344" i="22" s="1"/>
  <c r="G344" i="22"/>
  <c r="AB426" i="22"/>
  <c r="AA426" i="22"/>
  <c r="W426" i="22"/>
  <c r="Y426" i="22" s="1"/>
  <c r="U426" i="22"/>
  <c r="T426" i="22"/>
  <c r="O426" i="22"/>
  <c r="Q426" i="22" s="1"/>
  <c r="L426" i="22"/>
  <c r="N426" i="22" s="1"/>
  <c r="I426" i="22"/>
  <c r="K426" i="22" s="1"/>
  <c r="G426" i="22"/>
  <c r="AI426" i="22" s="1"/>
  <c r="AB155" i="22"/>
  <c r="AA155" i="22"/>
  <c r="W155" i="22"/>
  <c r="Y155" i="22" s="1"/>
  <c r="U155" i="22"/>
  <c r="T155" i="22"/>
  <c r="O155" i="22"/>
  <c r="Q155" i="22" s="1"/>
  <c r="L155" i="22"/>
  <c r="N155" i="22" s="1"/>
  <c r="I155" i="22"/>
  <c r="K155" i="22" s="1"/>
  <c r="G155" i="22"/>
  <c r="AB424" i="22"/>
  <c r="AA424" i="22"/>
  <c r="W424" i="22"/>
  <c r="Y424" i="22" s="1"/>
  <c r="U424" i="22"/>
  <c r="T424" i="22"/>
  <c r="O424" i="22"/>
  <c r="Q424" i="22" s="1"/>
  <c r="L424" i="22"/>
  <c r="N424" i="22" s="1"/>
  <c r="I424" i="22"/>
  <c r="K424" i="22" s="1"/>
  <c r="G424" i="22"/>
  <c r="AB423" i="22"/>
  <c r="AA423" i="22"/>
  <c r="W423" i="22"/>
  <c r="Y423" i="22" s="1"/>
  <c r="U423" i="22"/>
  <c r="T423" i="22"/>
  <c r="O423" i="22"/>
  <c r="Q423" i="22" s="1"/>
  <c r="L423" i="22"/>
  <c r="N423" i="22" s="1"/>
  <c r="I423" i="22"/>
  <c r="K423" i="22" s="1"/>
  <c r="G423" i="22"/>
  <c r="U425" i="11" s="1"/>
  <c r="AB422" i="22"/>
  <c r="AA422" i="22"/>
  <c r="W422" i="22"/>
  <c r="Y422" i="22" s="1"/>
  <c r="U422" i="22"/>
  <c r="T422" i="22"/>
  <c r="O422" i="22"/>
  <c r="Q422" i="22" s="1"/>
  <c r="L422" i="22"/>
  <c r="N422" i="22" s="1"/>
  <c r="I422" i="22"/>
  <c r="K422" i="22" s="1"/>
  <c r="G422" i="22"/>
  <c r="AB421" i="22"/>
  <c r="AA421" i="22"/>
  <c r="W421" i="22"/>
  <c r="Y421" i="22" s="1"/>
  <c r="U421" i="22"/>
  <c r="T421" i="22"/>
  <c r="O421" i="22"/>
  <c r="Q421" i="22" s="1"/>
  <c r="L421" i="22"/>
  <c r="N421" i="22" s="1"/>
  <c r="I421" i="22"/>
  <c r="K421" i="22" s="1"/>
  <c r="G421" i="22"/>
  <c r="AI421" i="22" s="1"/>
  <c r="U420" i="22"/>
  <c r="T420" i="22"/>
  <c r="O420" i="22"/>
  <c r="Q420" i="22" s="1"/>
  <c r="L420" i="22"/>
  <c r="N420" i="22" s="1"/>
  <c r="I420" i="22"/>
  <c r="K420" i="22" s="1"/>
  <c r="G420" i="22"/>
  <c r="BH422" i="11" s="1"/>
  <c r="AB419" i="22"/>
  <c r="AA419" i="22"/>
  <c r="W419" i="22"/>
  <c r="Y419" i="22" s="1"/>
  <c r="U419" i="22"/>
  <c r="T419" i="22"/>
  <c r="O419" i="22"/>
  <c r="Q419" i="22" s="1"/>
  <c r="L419" i="22"/>
  <c r="N419" i="22" s="1"/>
  <c r="I419" i="22"/>
  <c r="K419" i="22" s="1"/>
  <c r="G419" i="22"/>
  <c r="AI419" i="22" s="1"/>
  <c r="AB418" i="22"/>
  <c r="AA418" i="22"/>
  <c r="W418" i="22"/>
  <c r="Y418" i="22" s="1"/>
  <c r="U418" i="22"/>
  <c r="T418" i="22"/>
  <c r="O418" i="22"/>
  <c r="Q418" i="22" s="1"/>
  <c r="L418" i="22"/>
  <c r="N418" i="22" s="1"/>
  <c r="I418" i="22"/>
  <c r="K418" i="22" s="1"/>
  <c r="G418" i="22"/>
  <c r="AB365" i="22"/>
  <c r="AA365" i="22"/>
  <c r="W365" i="22"/>
  <c r="Y365" i="22" s="1"/>
  <c r="U365" i="22"/>
  <c r="T365" i="22"/>
  <c r="O365" i="22"/>
  <c r="Q365" i="22" s="1"/>
  <c r="L365" i="22"/>
  <c r="N365" i="22" s="1"/>
  <c r="I365" i="22"/>
  <c r="K365" i="22" s="1"/>
  <c r="G365" i="22"/>
  <c r="AB416" i="22"/>
  <c r="AA416" i="22"/>
  <c r="W416" i="22"/>
  <c r="Y416" i="22" s="1"/>
  <c r="U416" i="22"/>
  <c r="O416" i="22"/>
  <c r="Q416" i="22" s="1"/>
  <c r="L416" i="22"/>
  <c r="N416" i="22" s="1"/>
  <c r="I416" i="22"/>
  <c r="K416" i="22" s="1"/>
  <c r="G416" i="22"/>
  <c r="AI416" i="22" s="1"/>
  <c r="AB128" i="22"/>
  <c r="AA128" i="22"/>
  <c r="W128" i="22"/>
  <c r="Y128" i="22" s="1"/>
  <c r="U128" i="22"/>
  <c r="T128" i="22"/>
  <c r="O128" i="22"/>
  <c r="Q128" i="22" s="1"/>
  <c r="L128" i="22"/>
  <c r="N128" i="22" s="1"/>
  <c r="I128" i="22"/>
  <c r="K128" i="22" s="1"/>
  <c r="G128" i="22"/>
  <c r="AA114" i="22"/>
  <c r="W114" i="22"/>
  <c r="Y114" i="22" s="1"/>
  <c r="U114" i="22"/>
  <c r="T114" i="22"/>
  <c r="O114" i="22"/>
  <c r="Q114" i="22" s="1"/>
  <c r="L114" i="22"/>
  <c r="N114" i="22" s="1"/>
  <c r="I114" i="22"/>
  <c r="K114" i="22" s="1"/>
  <c r="G114" i="22"/>
  <c r="AZ116" i="11" s="1"/>
  <c r="AB413" i="22"/>
  <c r="AA413" i="22"/>
  <c r="W413" i="22"/>
  <c r="Y413" i="22" s="1"/>
  <c r="U413" i="22"/>
  <c r="T413" i="22"/>
  <c r="O413" i="22"/>
  <c r="Q413" i="22" s="1"/>
  <c r="L413" i="22"/>
  <c r="N413" i="22" s="1"/>
  <c r="I413" i="22"/>
  <c r="K413" i="22" s="1"/>
  <c r="G413" i="22"/>
  <c r="AB412" i="22"/>
  <c r="AA412" i="22"/>
  <c r="W412" i="22"/>
  <c r="Y412" i="22" s="1"/>
  <c r="U412" i="22"/>
  <c r="T412" i="22"/>
  <c r="O412" i="22"/>
  <c r="Q412" i="22" s="1"/>
  <c r="L412" i="22"/>
  <c r="N412" i="22" s="1"/>
  <c r="I412" i="22"/>
  <c r="K412" i="22" s="1"/>
  <c r="G412" i="22"/>
  <c r="AB23" i="22"/>
  <c r="AA23" i="22"/>
  <c r="W23" i="22"/>
  <c r="Y23" i="22" s="1"/>
  <c r="U23" i="22"/>
  <c r="O23" i="22"/>
  <c r="Q23" i="22" s="1"/>
  <c r="L23" i="22"/>
  <c r="N23" i="22" s="1"/>
  <c r="I23" i="22"/>
  <c r="K23" i="22" s="1"/>
  <c r="G23" i="22"/>
  <c r="AB410" i="22"/>
  <c r="AA410" i="22"/>
  <c r="W410" i="22"/>
  <c r="Y410" i="22" s="1"/>
  <c r="U410" i="22"/>
  <c r="T410" i="22"/>
  <c r="O410" i="22"/>
  <c r="Q410" i="22" s="1"/>
  <c r="L410" i="22"/>
  <c r="N410" i="22" s="1"/>
  <c r="I410" i="22"/>
  <c r="K410" i="22" s="1"/>
  <c r="G410" i="22"/>
  <c r="L412" i="11" s="1"/>
  <c r="AB409" i="22"/>
  <c r="AA409" i="22"/>
  <c r="W409" i="22"/>
  <c r="Y409" i="22" s="1"/>
  <c r="U409" i="22"/>
  <c r="T409" i="22"/>
  <c r="O409" i="22"/>
  <c r="Q409" i="22" s="1"/>
  <c r="L409" i="22"/>
  <c r="N409" i="22" s="1"/>
  <c r="I409" i="22"/>
  <c r="K409" i="22" s="1"/>
  <c r="G409" i="22"/>
  <c r="AI409" i="22" s="1"/>
  <c r="AB408" i="22"/>
  <c r="AA408" i="22"/>
  <c r="W408" i="22"/>
  <c r="Y408" i="22" s="1"/>
  <c r="U408" i="22"/>
  <c r="T408" i="22"/>
  <c r="O408" i="22"/>
  <c r="Q408" i="22" s="1"/>
  <c r="L408" i="22"/>
  <c r="N408" i="22" s="1"/>
  <c r="I408" i="22"/>
  <c r="K408" i="22" s="1"/>
  <c r="G408" i="22"/>
  <c r="AB407" i="22"/>
  <c r="AA407" i="22"/>
  <c r="W407" i="22"/>
  <c r="Y407" i="22" s="1"/>
  <c r="U407" i="22"/>
  <c r="T407" i="22"/>
  <c r="O407" i="22"/>
  <c r="Q407" i="22" s="1"/>
  <c r="L407" i="22"/>
  <c r="N407" i="22" s="1"/>
  <c r="I407" i="22"/>
  <c r="K407" i="22" s="1"/>
  <c r="G407" i="22"/>
  <c r="AI407" i="22" s="1"/>
  <c r="AB169" i="22"/>
  <c r="AA169" i="22"/>
  <c r="W169" i="22"/>
  <c r="Y169" i="22" s="1"/>
  <c r="U169" i="22"/>
  <c r="T169" i="22"/>
  <c r="O169" i="22"/>
  <c r="Q169" i="22" s="1"/>
  <c r="L169" i="22"/>
  <c r="N169" i="22" s="1"/>
  <c r="I169" i="22"/>
  <c r="K169" i="22" s="1"/>
  <c r="G169" i="22"/>
  <c r="AY171" i="11" s="1"/>
  <c r="AB100" i="22"/>
  <c r="AA100" i="22"/>
  <c r="W100" i="22"/>
  <c r="Y100" i="22" s="1"/>
  <c r="U100" i="22"/>
  <c r="T100" i="22"/>
  <c r="O100" i="22"/>
  <c r="Q100" i="22" s="1"/>
  <c r="L100" i="22"/>
  <c r="N100" i="22" s="1"/>
  <c r="I100" i="22"/>
  <c r="K100" i="22" s="1"/>
  <c r="G100" i="22"/>
  <c r="BE102" i="11" s="1"/>
  <c r="W404" i="22"/>
  <c r="Y404" i="22" s="1"/>
  <c r="U404" i="22"/>
  <c r="T404" i="22"/>
  <c r="O404" i="22"/>
  <c r="Q404" i="22" s="1"/>
  <c r="L404" i="22"/>
  <c r="N404" i="22" s="1"/>
  <c r="I404" i="22"/>
  <c r="K404" i="22" s="1"/>
  <c r="G404" i="22"/>
  <c r="AI404" i="22" s="1"/>
  <c r="W403" i="22"/>
  <c r="Y403" i="22" s="1"/>
  <c r="U403" i="22"/>
  <c r="T403" i="22"/>
  <c r="O403" i="22"/>
  <c r="Q403" i="22" s="1"/>
  <c r="L403" i="22"/>
  <c r="N403" i="22" s="1"/>
  <c r="I403" i="22"/>
  <c r="K403" i="22" s="1"/>
  <c r="G403" i="22"/>
  <c r="AB230" i="22"/>
  <c r="AA230" i="22"/>
  <c r="W230" i="22"/>
  <c r="Y230" i="22" s="1"/>
  <c r="U230" i="22"/>
  <c r="T230" i="22"/>
  <c r="O230" i="22"/>
  <c r="Q230" i="22" s="1"/>
  <c r="L230" i="22"/>
  <c r="N230" i="22" s="1"/>
  <c r="I230" i="22"/>
  <c r="K230" i="22" s="1"/>
  <c r="G230" i="22"/>
  <c r="AB401" i="22"/>
  <c r="AA401" i="22"/>
  <c r="W401" i="22"/>
  <c r="Y401" i="22" s="1"/>
  <c r="U401" i="22"/>
  <c r="T401" i="22"/>
  <c r="O401" i="22"/>
  <c r="Q401" i="22" s="1"/>
  <c r="L401" i="22"/>
  <c r="N401" i="22" s="1"/>
  <c r="I401" i="22"/>
  <c r="K401" i="22" s="1"/>
  <c r="G401" i="22"/>
  <c r="AB400" i="22"/>
  <c r="AA400" i="22"/>
  <c r="W400" i="22"/>
  <c r="Y400" i="22" s="1"/>
  <c r="U400" i="22"/>
  <c r="T400" i="22"/>
  <c r="O400" i="22"/>
  <c r="Q400" i="22" s="1"/>
  <c r="L400" i="22"/>
  <c r="N400" i="22" s="1"/>
  <c r="I400" i="22"/>
  <c r="K400" i="22" s="1"/>
  <c r="G400" i="22"/>
  <c r="AB399" i="22"/>
  <c r="AA399" i="22"/>
  <c r="W399" i="22"/>
  <c r="Y399" i="22" s="1"/>
  <c r="U399" i="22"/>
  <c r="T399" i="22"/>
  <c r="O399" i="22"/>
  <c r="Q399" i="22" s="1"/>
  <c r="L399" i="22"/>
  <c r="N399" i="22" s="1"/>
  <c r="I399" i="22"/>
  <c r="K399" i="22" s="1"/>
  <c r="G399" i="22"/>
  <c r="AF401" i="11" s="1"/>
  <c r="AB398" i="22"/>
  <c r="AA398" i="22"/>
  <c r="W398" i="22"/>
  <c r="Y398" i="22" s="1"/>
  <c r="U398" i="22"/>
  <c r="T398" i="22"/>
  <c r="O398" i="22"/>
  <c r="Q398" i="22" s="1"/>
  <c r="L398" i="22"/>
  <c r="N398" i="22" s="1"/>
  <c r="I398" i="22"/>
  <c r="K398" i="22" s="1"/>
  <c r="G398" i="22"/>
  <c r="AI398" i="22" s="1"/>
  <c r="AB397" i="22"/>
  <c r="AA397" i="22"/>
  <c r="W397" i="22"/>
  <c r="Y397" i="22" s="1"/>
  <c r="U397" i="22"/>
  <c r="T397" i="22"/>
  <c r="O397" i="22"/>
  <c r="Q397" i="22" s="1"/>
  <c r="L397" i="22"/>
  <c r="N397" i="22" s="1"/>
  <c r="I397" i="22"/>
  <c r="K397" i="22" s="1"/>
  <c r="G397" i="22"/>
  <c r="AB396" i="22"/>
  <c r="AA396" i="22"/>
  <c r="W396" i="22"/>
  <c r="Y396" i="22" s="1"/>
  <c r="U396" i="22"/>
  <c r="T396" i="22"/>
  <c r="O396" i="22"/>
  <c r="Q396" i="22" s="1"/>
  <c r="L396" i="22"/>
  <c r="N396" i="22" s="1"/>
  <c r="I396" i="22"/>
  <c r="K396" i="22" s="1"/>
  <c r="G396" i="22"/>
  <c r="AI396" i="22" s="1"/>
  <c r="AB395" i="22"/>
  <c r="AA395" i="22"/>
  <c r="W395" i="22"/>
  <c r="Y395" i="22" s="1"/>
  <c r="U395" i="22"/>
  <c r="T395" i="22"/>
  <c r="O395" i="22"/>
  <c r="Q395" i="22" s="1"/>
  <c r="L395" i="22"/>
  <c r="N395" i="22" s="1"/>
  <c r="I395" i="22"/>
  <c r="K395" i="22" s="1"/>
  <c r="G395" i="22"/>
  <c r="AB394" i="22"/>
  <c r="AA394" i="22"/>
  <c r="W394" i="22"/>
  <c r="Y394" i="22" s="1"/>
  <c r="U394" i="22"/>
  <c r="T394" i="22"/>
  <c r="O394" i="22"/>
  <c r="Q394" i="22" s="1"/>
  <c r="L394" i="22"/>
  <c r="N394" i="22" s="1"/>
  <c r="I394" i="22"/>
  <c r="K394" i="22" s="1"/>
  <c r="G394" i="22"/>
  <c r="AB393" i="22"/>
  <c r="AA393" i="22"/>
  <c r="W393" i="22"/>
  <c r="Y393" i="22" s="1"/>
  <c r="U393" i="22"/>
  <c r="T393" i="22"/>
  <c r="O393" i="22"/>
  <c r="Q393" i="22" s="1"/>
  <c r="L393" i="22"/>
  <c r="N393" i="22" s="1"/>
  <c r="I393" i="22"/>
  <c r="K393" i="22" s="1"/>
  <c r="G393" i="22"/>
  <c r="AI393" i="22" s="1"/>
  <c r="AB392" i="22"/>
  <c r="AA392" i="22"/>
  <c r="W392" i="22"/>
  <c r="Y392" i="22" s="1"/>
  <c r="U392" i="22"/>
  <c r="T392" i="22"/>
  <c r="O392" i="22"/>
  <c r="Q392" i="22" s="1"/>
  <c r="L392" i="22"/>
  <c r="N392" i="22" s="1"/>
  <c r="I392" i="22"/>
  <c r="K392" i="22" s="1"/>
  <c r="G392" i="22"/>
  <c r="AI392" i="22" s="1"/>
  <c r="AB4" i="22"/>
  <c r="AA4" i="22"/>
  <c r="W4" i="22"/>
  <c r="Y4" i="22" s="1"/>
  <c r="U4" i="22"/>
  <c r="O4" i="22"/>
  <c r="Q4" i="22" s="1"/>
  <c r="L4" i="22"/>
  <c r="N4" i="22" s="1"/>
  <c r="I4" i="22"/>
  <c r="K4" i="22" s="1"/>
  <c r="G4" i="22"/>
  <c r="AB390" i="22"/>
  <c r="AA390" i="22"/>
  <c r="W390" i="22"/>
  <c r="Y390" i="22" s="1"/>
  <c r="U390" i="22"/>
  <c r="T390" i="22"/>
  <c r="O390" i="22"/>
  <c r="Q390" i="22" s="1"/>
  <c r="L390" i="22"/>
  <c r="N390" i="22" s="1"/>
  <c r="I390" i="22"/>
  <c r="K390" i="22" s="1"/>
  <c r="G390" i="22"/>
  <c r="AB389" i="22"/>
  <c r="AA389" i="22"/>
  <c r="W389" i="22"/>
  <c r="Y389" i="22" s="1"/>
  <c r="U389" i="22"/>
  <c r="T389" i="22"/>
  <c r="O389" i="22"/>
  <c r="Q389" i="22" s="1"/>
  <c r="L389" i="22"/>
  <c r="N389" i="22" s="1"/>
  <c r="I389" i="22"/>
  <c r="K389" i="22" s="1"/>
  <c r="G389" i="22"/>
  <c r="AI389" i="22" s="1"/>
  <c r="AB290" i="22"/>
  <c r="AA290" i="22"/>
  <c r="W290" i="22"/>
  <c r="Y290" i="22" s="1"/>
  <c r="U290" i="22"/>
  <c r="T290" i="22"/>
  <c r="O290" i="22"/>
  <c r="Q290" i="22" s="1"/>
  <c r="L290" i="22"/>
  <c r="N290" i="22" s="1"/>
  <c r="I290" i="22"/>
  <c r="K290" i="22" s="1"/>
  <c r="G290" i="22"/>
  <c r="W387" i="22"/>
  <c r="Y387" i="22" s="1"/>
  <c r="U387" i="22"/>
  <c r="T387" i="22"/>
  <c r="O387" i="22"/>
  <c r="Q387" i="22" s="1"/>
  <c r="L387" i="22"/>
  <c r="N387" i="22" s="1"/>
  <c r="I387" i="22"/>
  <c r="K387" i="22" s="1"/>
  <c r="G387" i="22"/>
  <c r="U386" i="22"/>
  <c r="T386" i="22"/>
  <c r="O386" i="22"/>
  <c r="Q386" i="22" s="1"/>
  <c r="L386" i="22"/>
  <c r="N386" i="22" s="1"/>
  <c r="I386" i="22"/>
  <c r="K386" i="22" s="1"/>
  <c r="G386" i="22"/>
  <c r="AI386" i="22" s="1"/>
  <c r="AA385" i="22"/>
  <c r="W385" i="22"/>
  <c r="Y385" i="22" s="1"/>
  <c r="U385" i="22"/>
  <c r="T385" i="22"/>
  <c r="O385" i="22"/>
  <c r="Q385" i="22" s="1"/>
  <c r="L385" i="22"/>
  <c r="N385" i="22" s="1"/>
  <c r="I385" i="22"/>
  <c r="K385" i="22" s="1"/>
  <c r="G385" i="22"/>
  <c r="AI385" i="22" s="1"/>
  <c r="AB384" i="22"/>
  <c r="AA384" i="22"/>
  <c r="W384" i="22"/>
  <c r="Y384" i="22" s="1"/>
  <c r="U384" i="22"/>
  <c r="T384" i="22"/>
  <c r="O384" i="22"/>
  <c r="Q384" i="22" s="1"/>
  <c r="L384" i="22"/>
  <c r="N384" i="22" s="1"/>
  <c r="I384" i="22"/>
  <c r="K384" i="22" s="1"/>
  <c r="G384" i="22"/>
  <c r="AB383" i="22"/>
  <c r="AA383" i="22"/>
  <c r="W383" i="22"/>
  <c r="Y383" i="22" s="1"/>
  <c r="U383" i="22"/>
  <c r="T383" i="22"/>
  <c r="O383" i="22"/>
  <c r="Q383" i="22" s="1"/>
  <c r="L383" i="22"/>
  <c r="N383" i="22" s="1"/>
  <c r="I383" i="22"/>
  <c r="K383" i="22" s="1"/>
  <c r="G383" i="22"/>
  <c r="AI383" i="22" s="1"/>
  <c r="W12" i="22"/>
  <c r="Y12" i="22" s="1"/>
  <c r="U12" i="22"/>
  <c r="O12" i="22"/>
  <c r="Q12" i="22" s="1"/>
  <c r="L12" i="22"/>
  <c r="N12" i="22" s="1"/>
  <c r="I12" i="22"/>
  <c r="K12" i="22" s="1"/>
  <c r="G12" i="22"/>
  <c r="AB381" i="22"/>
  <c r="AA381" i="22"/>
  <c r="W381" i="22"/>
  <c r="Y381" i="22" s="1"/>
  <c r="U381" i="22"/>
  <c r="T381" i="22"/>
  <c r="O381" i="22"/>
  <c r="Q381" i="22" s="1"/>
  <c r="L381" i="22"/>
  <c r="N381" i="22" s="1"/>
  <c r="I381" i="22"/>
  <c r="K381" i="22" s="1"/>
  <c r="G381" i="22"/>
  <c r="AJ383" i="11" s="1"/>
  <c r="AB380" i="22"/>
  <c r="AA380" i="22"/>
  <c r="W380" i="22"/>
  <c r="Y380" i="22" s="1"/>
  <c r="U380" i="22"/>
  <c r="T380" i="22"/>
  <c r="O380" i="22"/>
  <c r="Q380" i="22" s="1"/>
  <c r="L380" i="22"/>
  <c r="N380" i="22" s="1"/>
  <c r="I380" i="22"/>
  <c r="K380" i="22" s="1"/>
  <c r="G380" i="22"/>
  <c r="AI380" i="22" s="1"/>
  <c r="AA405" i="22"/>
  <c r="W405" i="22"/>
  <c r="Y405" i="22" s="1"/>
  <c r="U405" i="22"/>
  <c r="T405" i="22"/>
  <c r="O405" i="22"/>
  <c r="Q405" i="22" s="1"/>
  <c r="L405" i="22"/>
  <c r="N405" i="22" s="1"/>
  <c r="I405" i="22"/>
  <c r="K405" i="22" s="1"/>
  <c r="G405" i="22"/>
  <c r="AY407" i="11" s="1"/>
  <c r="AB378" i="22"/>
  <c r="AA378" i="22"/>
  <c r="W378" i="22"/>
  <c r="Y378" i="22" s="1"/>
  <c r="U378" i="22"/>
  <c r="T378" i="22"/>
  <c r="O378" i="22"/>
  <c r="Q378" i="22" s="1"/>
  <c r="L378" i="22"/>
  <c r="N378" i="22" s="1"/>
  <c r="I378" i="22"/>
  <c r="K378" i="22" s="1"/>
  <c r="G378" i="22"/>
  <c r="S380" i="11" s="1"/>
  <c r="AB377" i="22"/>
  <c r="AA377" i="22"/>
  <c r="W377" i="22"/>
  <c r="Y377" i="22" s="1"/>
  <c r="U377" i="22"/>
  <c r="T377" i="22"/>
  <c r="O377" i="22"/>
  <c r="Q377" i="22" s="1"/>
  <c r="L377" i="22"/>
  <c r="N377" i="22" s="1"/>
  <c r="I377" i="22"/>
  <c r="K377" i="22" s="1"/>
  <c r="G377" i="22"/>
  <c r="AI377" i="22" s="1"/>
  <c r="AB376" i="22"/>
  <c r="AA376" i="22"/>
  <c r="W376" i="22"/>
  <c r="Y376" i="22" s="1"/>
  <c r="U376" i="22"/>
  <c r="T376" i="22"/>
  <c r="O376" i="22"/>
  <c r="Q376" i="22" s="1"/>
  <c r="L376" i="22"/>
  <c r="N376" i="22" s="1"/>
  <c r="I376" i="22"/>
  <c r="K376" i="22" s="1"/>
  <c r="G376" i="22"/>
  <c r="AI376" i="22" s="1"/>
  <c r="AB375" i="22"/>
  <c r="AA375" i="22"/>
  <c r="W375" i="22"/>
  <c r="Y375" i="22" s="1"/>
  <c r="U375" i="22"/>
  <c r="O375" i="22"/>
  <c r="Q375" i="22" s="1"/>
  <c r="L375" i="22"/>
  <c r="N375" i="22" s="1"/>
  <c r="I375" i="22"/>
  <c r="K375" i="22" s="1"/>
  <c r="G375" i="22"/>
  <c r="AP377" i="11" s="1"/>
  <c r="AB209" i="22"/>
  <c r="AA209" i="22"/>
  <c r="W209" i="22"/>
  <c r="Y209" i="22" s="1"/>
  <c r="U209" i="22"/>
  <c r="T209" i="22"/>
  <c r="O209" i="22"/>
  <c r="Q209" i="22" s="1"/>
  <c r="L209" i="22"/>
  <c r="N209" i="22" s="1"/>
  <c r="I209" i="22"/>
  <c r="K209" i="22" s="1"/>
  <c r="G209" i="22"/>
  <c r="AW211" i="11" s="1"/>
  <c r="AA373" i="22"/>
  <c r="W373" i="22"/>
  <c r="Y373" i="22" s="1"/>
  <c r="U373" i="22"/>
  <c r="T373" i="22"/>
  <c r="O373" i="22"/>
  <c r="Q373" i="22" s="1"/>
  <c r="L373" i="22"/>
  <c r="N373" i="22" s="1"/>
  <c r="I373" i="22"/>
  <c r="K373" i="22" s="1"/>
  <c r="G373" i="22"/>
  <c r="AI373" i="22" s="1"/>
  <c r="AB372" i="22"/>
  <c r="AA372" i="22"/>
  <c r="W372" i="22"/>
  <c r="Y372" i="22" s="1"/>
  <c r="U372" i="22"/>
  <c r="T372" i="22"/>
  <c r="O372" i="22"/>
  <c r="Q372" i="22" s="1"/>
  <c r="L372" i="22"/>
  <c r="N372" i="22" s="1"/>
  <c r="I372" i="22"/>
  <c r="K372" i="22" s="1"/>
  <c r="G372" i="22"/>
  <c r="AI372" i="22" s="1"/>
  <c r="AB371" i="22"/>
  <c r="AA371" i="22"/>
  <c r="W371" i="22"/>
  <c r="Y371" i="22" s="1"/>
  <c r="U371" i="22"/>
  <c r="T371" i="22"/>
  <c r="O371" i="22"/>
  <c r="Q371" i="22" s="1"/>
  <c r="L371" i="22"/>
  <c r="N371" i="22" s="1"/>
  <c r="I371" i="22"/>
  <c r="K371" i="22" s="1"/>
  <c r="G371" i="22"/>
  <c r="AI371" i="22" s="1"/>
  <c r="AB370" i="22"/>
  <c r="AA370" i="22"/>
  <c r="W370" i="22"/>
  <c r="Y370" i="22" s="1"/>
  <c r="U370" i="22"/>
  <c r="T370" i="22"/>
  <c r="O370" i="22"/>
  <c r="Q370" i="22" s="1"/>
  <c r="L370" i="22"/>
  <c r="N370" i="22" s="1"/>
  <c r="I370" i="22"/>
  <c r="K370" i="22" s="1"/>
  <c r="G370" i="22"/>
  <c r="AI370" i="22" s="1"/>
  <c r="W369" i="22"/>
  <c r="Y369" i="22" s="1"/>
  <c r="U369" i="22"/>
  <c r="T369" i="22"/>
  <c r="O369" i="22"/>
  <c r="Q369" i="22" s="1"/>
  <c r="L369" i="22"/>
  <c r="N369" i="22" s="1"/>
  <c r="I369" i="22"/>
  <c r="K369" i="22" s="1"/>
  <c r="G369" i="22"/>
  <c r="AI369" i="22" s="1"/>
  <c r="AB368" i="22"/>
  <c r="AA368" i="22"/>
  <c r="W368" i="22"/>
  <c r="Y368" i="22" s="1"/>
  <c r="U368" i="22"/>
  <c r="T368" i="22"/>
  <c r="O368" i="22"/>
  <c r="Q368" i="22" s="1"/>
  <c r="L368" i="22"/>
  <c r="N368" i="22" s="1"/>
  <c r="I368" i="22"/>
  <c r="K368" i="22" s="1"/>
  <c r="G368" i="22"/>
  <c r="AB367" i="22"/>
  <c r="AA367" i="22"/>
  <c r="W367" i="22"/>
  <c r="Y367" i="22" s="1"/>
  <c r="U367" i="22"/>
  <c r="T367" i="22"/>
  <c r="O367" i="22"/>
  <c r="Q367" i="22" s="1"/>
  <c r="L367" i="22"/>
  <c r="N367" i="22" s="1"/>
  <c r="I367" i="22"/>
  <c r="K367" i="22" s="1"/>
  <c r="G367" i="22"/>
  <c r="AB75" i="22"/>
  <c r="AA75" i="22"/>
  <c r="W75" i="22"/>
  <c r="Y75" i="22" s="1"/>
  <c r="U75" i="22"/>
  <c r="O75" i="22"/>
  <c r="Q75" i="22" s="1"/>
  <c r="L75" i="22"/>
  <c r="N75" i="22" s="1"/>
  <c r="I75" i="22"/>
  <c r="K75" i="22" s="1"/>
  <c r="G75" i="22"/>
  <c r="AI75" i="22" s="1"/>
  <c r="AB363" i="22"/>
  <c r="AA363" i="22"/>
  <c r="W363" i="22"/>
  <c r="Y363" i="22" s="1"/>
  <c r="U363" i="22"/>
  <c r="T363" i="22"/>
  <c r="O363" i="22"/>
  <c r="Q363" i="22" s="1"/>
  <c r="L363" i="22"/>
  <c r="N363" i="22" s="1"/>
  <c r="I363" i="22"/>
  <c r="K363" i="22" s="1"/>
  <c r="G363" i="22"/>
  <c r="AI363" i="22" s="1"/>
  <c r="AA262" i="22"/>
  <c r="W262" i="22"/>
  <c r="Y262" i="22" s="1"/>
  <c r="U262" i="22"/>
  <c r="T262" i="22"/>
  <c r="O262" i="22"/>
  <c r="Q262" i="22" s="1"/>
  <c r="L262" i="22"/>
  <c r="N262" i="22" s="1"/>
  <c r="I262" i="22"/>
  <c r="K262" i="22" s="1"/>
  <c r="G262" i="22"/>
  <c r="AM264" i="11" s="1"/>
  <c r="AB102" i="22"/>
  <c r="AA102" i="22"/>
  <c r="W102" i="22"/>
  <c r="Y102" i="22" s="1"/>
  <c r="U102" i="22"/>
  <c r="T102" i="22"/>
  <c r="O102" i="22"/>
  <c r="Q102" i="22" s="1"/>
  <c r="L102" i="22"/>
  <c r="N102" i="22" s="1"/>
  <c r="I102" i="22"/>
  <c r="K102" i="22" s="1"/>
  <c r="G102" i="22"/>
  <c r="W220" i="22"/>
  <c r="Y220" i="22" s="1"/>
  <c r="U220" i="22"/>
  <c r="T220" i="22"/>
  <c r="O220" i="22"/>
  <c r="Q220" i="22" s="1"/>
  <c r="L220" i="22"/>
  <c r="N220" i="22" s="1"/>
  <c r="I220" i="22"/>
  <c r="K220" i="22" s="1"/>
  <c r="G220" i="22"/>
  <c r="AI220" i="22" s="1"/>
  <c r="AB361" i="22"/>
  <c r="AA361" i="22"/>
  <c r="W361" i="22"/>
  <c r="Y361" i="22" s="1"/>
  <c r="U361" i="22"/>
  <c r="T361" i="22"/>
  <c r="O361" i="22"/>
  <c r="Q361" i="22" s="1"/>
  <c r="L361" i="22"/>
  <c r="N361" i="22" s="1"/>
  <c r="I361" i="22"/>
  <c r="K361" i="22" s="1"/>
  <c r="G361" i="22"/>
  <c r="AB360" i="22"/>
  <c r="AA360" i="22"/>
  <c r="W360" i="22"/>
  <c r="Y360" i="22" s="1"/>
  <c r="U360" i="22"/>
  <c r="T360" i="22"/>
  <c r="O360" i="22"/>
  <c r="Q360" i="22" s="1"/>
  <c r="L360" i="22"/>
  <c r="N360" i="22" s="1"/>
  <c r="I360" i="22"/>
  <c r="K360" i="22" s="1"/>
  <c r="G360" i="22"/>
  <c r="AI360" i="22" s="1"/>
  <c r="AB359" i="22"/>
  <c r="AA359" i="22"/>
  <c r="W359" i="22"/>
  <c r="Y359" i="22" s="1"/>
  <c r="U359" i="22"/>
  <c r="T359" i="22"/>
  <c r="O359" i="22"/>
  <c r="Q359" i="22" s="1"/>
  <c r="L359" i="22"/>
  <c r="N359" i="22" s="1"/>
  <c r="I359" i="22"/>
  <c r="K359" i="22" s="1"/>
  <c r="G359" i="22"/>
  <c r="AI359" i="22" s="1"/>
  <c r="AB358" i="22"/>
  <c r="AA358" i="22"/>
  <c r="W358" i="22"/>
  <c r="Y358" i="22" s="1"/>
  <c r="U358" i="22"/>
  <c r="T358" i="22"/>
  <c r="O358" i="22"/>
  <c r="Q358" i="22" s="1"/>
  <c r="L358" i="22"/>
  <c r="N358" i="22" s="1"/>
  <c r="I358" i="22"/>
  <c r="K358" i="22" s="1"/>
  <c r="G358" i="22"/>
  <c r="AG360" i="11" s="1"/>
  <c r="AB357" i="22"/>
  <c r="AA357" i="22"/>
  <c r="W357" i="22"/>
  <c r="Y357" i="22" s="1"/>
  <c r="U357" i="22"/>
  <c r="T357" i="22"/>
  <c r="O357" i="22"/>
  <c r="Q357" i="22" s="1"/>
  <c r="L357" i="22"/>
  <c r="N357" i="22" s="1"/>
  <c r="I357" i="22"/>
  <c r="K357" i="22" s="1"/>
  <c r="G357" i="22"/>
  <c r="AI357" i="22" s="1"/>
  <c r="AB197" i="22"/>
  <c r="AA197" i="22"/>
  <c r="W197" i="22"/>
  <c r="Y197" i="22" s="1"/>
  <c r="T197" i="22"/>
  <c r="O197" i="22"/>
  <c r="Q197" i="22" s="1"/>
  <c r="L197" i="22"/>
  <c r="N197" i="22" s="1"/>
  <c r="I197" i="22"/>
  <c r="K197" i="22" s="1"/>
  <c r="G197" i="22"/>
  <c r="AI197" i="22" s="1"/>
  <c r="AB355" i="22"/>
  <c r="AA355" i="22"/>
  <c r="W355" i="22"/>
  <c r="Y355" i="22" s="1"/>
  <c r="U355" i="22"/>
  <c r="T355" i="22"/>
  <c r="O355" i="22"/>
  <c r="Q355" i="22" s="1"/>
  <c r="L355" i="22"/>
  <c r="N355" i="22" s="1"/>
  <c r="I355" i="22"/>
  <c r="K355" i="22" s="1"/>
  <c r="G355" i="22"/>
  <c r="AI355" i="22" s="1"/>
  <c r="AB354" i="22"/>
  <c r="AA354" i="22"/>
  <c r="W354" i="22"/>
  <c r="Y354" i="22" s="1"/>
  <c r="U354" i="22"/>
  <c r="T354" i="22"/>
  <c r="O354" i="22"/>
  <c r="Q354" i="22" s="1"/>
  <c r="L354" i="22"/>
  <c r="N354" i="22" s="1"/>
  <c r="I354" i="22"/>
  <c r="K354" i="22" s="1"/>
  <c r="G354" i="22"/>
  <c r="M356" i="11" s="1"/>
  <c r="AB353" i="22"/>
  <c r="AA353" i="22"/>
  <c r="W353" i="22"/>
  <c r="Y353" i="22" s="1"/>
  <c r="U353" i="22"/>
  <c r="T353" i="22"/>
  <c r="O353" i="22"/>
  <c r="Q353" i="22" s="1"/>
  <c r="L353" i="22"/>
  <c r="N353" i="22" s="1"/>
  <c r="I353" i="22"/>
  <c r="K353" i="22" s="1"/>
  <c r="G353" i="22"/>
  <c r="AB300" i="22"/>
  <c r="AA300" i="22"/>
  <c r="W300" i="22"/>
  <c r="Y300" i="22" s="1"/>
  <c r="U300" i="22"/>
  <c r="T300" i="22"/>
  <c r="O300" i="22"/>
  <c r="Q300" i="22" s="1"/>
  <c r="L300" i="22"/>
  <c r="N300" i="22" s="1"/>
  <c r="I300" i="22"/>
  <c r="K300" i="22" s="1"/>
  <c r="G300" i="22"/>
  <c r="AB382" i="22"/>
  <c r="AA382" i="22"/>
  <c r="W382" i="22"/>
  <c r="Y382" i="22" s="1"/>
  <c r="U382" i="22"/>
  <c r="T382" i="22"/>
  <c r="O382" i="22"/>
  <c r="Q382" i="22" s="1"/>
  <c r="L382" i="22"/>
  <c r="N382" i="22" s="1"/>
  <c r="I382" i="22"/>
  <c r="K382" i="22" s="1"/>
  <c r="G382" i="22"/>
  <c r="AI382" i="22" s="1"/>
  <c r="AB350" i="22"/>
  <c r="AA350" i="22"/>
  <c r="W350" i="22"/>
  <c r="Y350" i="22" s="1"/>
  <c r="U350" i="22"/>
  <c r="T350" i="22"/>
  <c r="O350" i="22"/>
  <c r="Q350" i="22" s="1"/>
  <c r="L350" i="22"/>
  <c r="N350" i="22" s="1"/>
  <c r="I350" i="22"/>
  <c r="K350" i="22" s="1"/>
  <c r="G350" i="22"/>
  <c r="AI350" i="22" s="1"/>
  <c r="AB349" i="22"/>
  <c r="AA349" i="22"/>
  <c r="W349" i="22"/>
  <c r="Y349" i="22" s="1"/>
  <c r="U349" i="22"/>
  <c r="T349" i="22"/>
  <c r="O349" i="22"/>
  <c r="Q349" i="22" s="1"/>
  <c r="L349" i="22"/>
  <c r="N349" i="22" s="1"/>
  <c r="I349" i="22"/>
  <c r="K349" i="22" s="1"/>
  <c r="G349" i="22"/>
  <c r="W348" i="22"/>
  <c r="Y348" i="22" s="1"/>
  <c r="U348" i="22"/>
  <c r="T348" i="22"/>
  <c r="O348" i="22"/>
  <c r="Q348" i="22" s="1"/>
  <c r="L348" i="22"/>
  <c r="N348" i="22" s="1"/>
  <c r="I348" i="22"/>
  <c r="K348" i="22" s="1"/>
  <c r="G348" i="22"/>
  <c r="AR350" i="11" s="1"/>
  <c r="U347" i="22"/>
  <c r="T347" i="22"/>
  <c r="O347" i="22"/>
  <c r="Q347" i="22" s="1"/>
  <c r="L347" i="22"/>
  <c r="N347" i="22" s="1"/>
  <c r="I347" i="22"/>
  <c r="K347" i="22" s="1"/>
  <c r="G347" i="22"/>
  <c r="AI347" i="22" s="1"/>
  <c r="AB346" i="22"/>
  <c r="AA346" i="22"/>
  <c r="W346" i="22"/>
  <c r="Y346" i="22" s="1"/>
  <c r="U346" i="22"/>
  <c r="T346" i="22"/>
  <c r="O346" i="22"/>
  <c r="Q346" i="22" s="1"/>
  <c r="L346" i="22"/>
  <c r="N346" i="22" s="1"/>
  <c r="I346" i="22"/>
  <c r="K346" i="22" s="1"/>
  <c r="G346" i="22"/>
  <c r="AI346" i="22" s="1"/>
  <c r="AB345" i="22"/>
  <c r="AA345" i="22"/>
  <c r="W345" i="22"/>
  <c r="Y345" i="22" s="1"/>
  <c r="U345" i="22"/>
  <c r="T345" i="22"/>
  <c r="O345" i="22"/>
  <c r="Q345" i="22" s="1"/>
  <c r="L345" i="22"/>
  <c r="N345" i="22" s="1"/>
  <c r="I345" i="22"/>
  <c r="K345" i="22" s="1"/>
  <c r="G345" i="22"/>
  <c r="BA347" i="11" s="1"/>
  <c r="AB415" i="22"/>
  <c r="AA415" i="22"/>
  <c r="W415" i="22"/>
  <c r="Y415" i="22" s="1"/>
  <c r="U415" i="22"/>
  <c r="T415" i="22"/>
  <c r="O415" i="22"/>
  <c r="Q415" i="22" s="1"/>
  <c r="N415" i="22"/>
  <c r="K415" i="22"/>
  <c r="G415" i="22"/>
  <c r="AI415" i="22" s="1"/>
  <c r="AB343" i="22"/>
  <c r="AA343" i="22"/>
  <c r="W343" i="22"/>
  <c r="Y343" i="22" s="1"/>
  <c r="U343" i="22"/>
  <c r="T343" i="22"/>
  <c r="O343" i="22"/>
  <c r="Q343" i="22" s="1"/>
  <c r="L343" i="22"/>
  <c r="N343" i="22" s="1"/>
  <c r="I343" i="22"/>
  <c r="K343" i="22" s="1"/>
  <c r="G343" i="22"/>
  <c r="AI343" i="22" s="1"/>
  <c r="AB342" i="22"/>
  <c r="AA342" i="22"/>
  <c r="W342" i="22"/>
  <c r="Y342" i="22" s="1"/>
  <c r="U342" i="22"/>
  <c r="T342" i="22"/>
  <c r="O342" i="22"/>
  <c r="Q342" i="22" s="1"/>
  <c r="L342" i="22"/>
  <c r="N342" i="22" s="1"/>
  <c r="I342" i="22"/>
  <c r="K342" i="22" s="1"/>
  <c r="G342" i="22"/>
  <c r="AI342" i="22" s="1"/>
  <c r="U341" i="22"/>
  <c r="T341" i="22"/>
  <c r="O341" i="22"/>
  <c r="Q341" i="22" s="1"/>
  <c r="L341" i="22"/>
  <c r="N341" i="22" s="1"/>
  <c r="I341" i="22"/>
  <c r="K341" i="22" s="1"/>
  <c r="G341" i="22"/>
  <c r="AI341" i="22" s="1"/>
  <c r="AB177" i="22"/>
  <c r="AA177" i="22"/>
  <c r="W177" i="22"/>
  <c r="Y177" i="22" s="1"/>
  <c r="U177" i="22"/>
  <c r="T177" i="22"/>
  <c r="O177" i="22"/>
  <c r="Q177" i="22" s="1"/>
  <c r="L177" i="22"/>
  <c r="N177" i="22" s="1"/>
  <c r="I177" i="22"/>
  <c r="K177" i="22" s="1"/>
  <c r="G177" i="22"/>
  <c r="AI177" i="22" s="1"/>
  <c r="AB273" i="22"/>
  <c r="AA273" i="22"/>
  <c r="W273" i="22"/>
  <c r="Y273" i="22" s="1"/>
  <c r="U273" i="22"/>
  <c r="T273" i="22"/>
  <c r="O273" i="22"/>
  <c r="Q273" i="22" s="1"/>
  <c r="L273" i="22"/>
  <c r="N273" i="22" s="1"/>
  <c r="I273" i="22"/>
  <c r="K273" i="22" s="1"/>
  <c r="G273" i="22"/>
  <c r="AB338" i="22"/>
  <c r="AA338" i="22"/>
  <c r="W338" i="22"/>
  <c r="Y338" i="22" s="1"/>
  <c r="U338" i="22"/>
  <c r="T338" i="22"/>
  <c r="O338" i="22"/>
  <c r="Q338" i="22" s="1"/>
  <c r="L338" i="22"/>
  <c r="N338" i="22" s="1"/>
  <c r="I338" i="22"/>
  <c r="K338" i="22" s="1"/>
  <c r="G338" i="22"/>
  <c r="AI338" i="22" s="1"/>
  <c r="AB337" i="22"/>
  <c r="AA337" i="22"/>
  <c r="W337" i="22"/>
  <c r="Y337" i="22" s="1"/>
  <c r="U337" i="22"/>
  <c r="T337" i="22"/>
  <c r="O337" i="22"/>
  <c r="Q337" i="22" s="1"/>
  <c r="L337" i="22"/>
  <c r="N337" i="22" s="1"/>
  <c r="I337" i="22"/>
  <c r="K337" i="22" s="1"/>
  <c r="G337" i="22"/>
  <c r="AI337" i="22" s="1"/>
  <c r="AB336" i="22"/>
  <c r="AA336" i="22"/>
  <c r="W336" i="22"/>
  <c r="Y336" i="22" s="1"/>
  <c r="U336" i="22"/>
  <c r="T336" i="22"/>
  <c r="O336" i="22"/>
  <c r="Q336" i="22" s="1"/>
  <c r="L336" i="22"/>
  <c r="N336" i="22" s="1"/>
  <c r="I336" i="22"/>
  <c r="K336" i="22" s="1"/>
  <c r="G336" i="22"/>
  <c r="AI336" i="22" s="1"/>
  <c r="AB335" i="22"/>
  <c r="AA335" i="22"/>
  <c r="W335" i="22"/>
  <c r="Y335" i="22" s="1"/>
  <c r="U335" i="22"/>
  <c r="T335" i="22"/>
  <c r="O335" i="22"/>
  <c r="Q335" i="22" s="1"/>
  <c r="L335" i="22"/>
  <c r="N335" i="22" s="1"/>
  <c r="I335" i="22"/>
  <c r="K335" i="22" s="1"/>
  <c r="G335" i="22"/>
  <c r="AI335" i="22" s="1"/>
  <c r="AB439" i="22"/>
  <c r="AA439" i="22"/>
  <c r="W439" i="22"/>
  <c r="Y439" i="22" s="1"/>
  <c r="U439" i="22"/>
  <c r="T439" i="22"/>
  <c r="O439" i="22"/>
  <c r="Q439" i="22" s="1"/>
  <c r="L439" i="22"/>
  <c r="N439" i="22" s="1"/>
  <c r="I439" i="22"/>
  <c r="K439" i="22" s="1"/>
  <c r="G439" i="22"/>
  <c r="AI439" i="22" s="1"/>
  <c r="AB333" i="22"/>
  <c r="AA333" i="22"/>
  <c r="U333" i="22"/>
  <c r="O333" i="22"/>
  <c r="Q333" i="22" s="1"/>
  <c r="N333" i="22"/>
  <c r="I333" i="22"/>
  <c r="K333" i="22" s="1"/>
  <c r="G333" i="22"/>
  <c r="G335" i="11" s="1"/>
  <c r="AB332" i="22"/>
  <c r="AA332" i="22"/>
  <c r="W332" i="22"/>
  <c r="Y332" i="22" s="1"/>
  <c r="U332" i="22"/>
  <c r="T332" i="22"/>
  <c r="O332" i="22"/>
  <c r="Q332" i="22" s="1"/>
  <c r="L332" i="22"/>
  <c r="N332" i="22" s="1"/>
  <c r="I332" i="22"/>
  <c r="K332" i="22" s="1"/>
  <c r="G332" i="22"/>
  <c r="AI332" i="22" s="1"/>
  <c r="AB331" i="22"/>
  <c r="AA331" i="22"/>
  <c r="W331" i="22"/>
  <c r="Y331" i="22" s="1"/>
  <c r="U331" i="22"/>
  <c r="T331" i="22"/>
  <c r="O331" i="22"/>
  <c r="Q331" i="22" s="1"/>
  <c r="L331" i="22"/>
  <c r="N331" i="22" s="1"/>
  <c r="I331" i="22"/>
  <c r="K331" i="22" s="1"/>
  <c r="G331" i="22"/>
  <c r="AI331" i="22" s="1"/>
  <c r="W330" i="22"/>
  <c r="Y330" i="22" s="1"/>
  <c r="U330" i="22"/>
  <c r="T330" i="22"/>
  <c r="O330" i="22"/>
  <c r="Q330" i="22" s="1"/>
  <c r="L330" i="22"/>
  <c r="N330" i="22" s="1"/>
  <c r="I330" i="22"/>
  <c r="K330" i="22" s="1"/>
  <c r="G330" i="22"/>
  <c r="AI330" i="22" s="1"/>
  <c r="AA329" i="22"/>
  <c r="W329" i="22"/>
  <c r="Y329" i="22" s="1"/>
  <c r="U329" i="22"/>
  <c r="T329" i="22"/>
  <c r="O329" i="22"/>
  <c r="Q329" i="22" s="1"/>
  <c r="L329" i="22"/>
  <c r="N329" i="22" s="1"/>
  <c r="I329" i="22"/>
  <c r="K329" i="22" s="1"/>
  <c r="G329" i="22"/>
  <c r="AI329" i="22" s="1"/>
  <c r="AB328" i="22"/>
  <c r="AA328" i="22"/>
  <c r="W328" i="22"/>
  <c r="Y328" i="22" s="1"/>
  <c r="U328" i="22"/>
  <c r="T328" i="22"/>
  <c r="O328" i="22"/>
  <c r="Q328" i="22" s="1"/>
  <c r="L328" i="22"/>
  <c r="N328" i="22" s="1"/>
  <c r="I328" i="22"/>
  <c r="K328" i="22" s="1"/>
  <c r="G328" i="22"/>
  <c r="AI328" i="22" s="1"/>
  <c r="AB362" i="22"/>
  <c r="AA362" i="22"/>
  <c r="W362" i="22"/>
  <c r="Y362" i="22" s="1"/>
  <c r="U362" i="22"/>
  <c r="T362" i="22"/>
  <c r="O362" i="22"/>
  <c r="Q362" i="22" s="1"/>
  <c r="L362" i="22"/>
  <c r="N362" i="22" s="1"/>
  <c r="I362" i="22"/>
  <c r="K362" i="22" s="1"/>
  <c r="G362" i="22"/>
  <c r="AI362" i="22" s="1"/>
  <c r="AB326" i="22"/>
  <c r="AA326" i="22"/>
  <c r="W326" i="22"/>
  <c r="Y326" i="22" s="1"/>
  <c r="U326" i="22"/>
  <c r="T326" i="22"/>
  <c r="O326" i="22"/>
  <c r="Q326" i="22" s="1"/>
  <c r="L326" i="22"/>
  <c r="N326" i="22" s="1"/>
  <c r="I326" i="22"/>
  <c r="K326" i="22" s="1"/>
  <c r="G326" i="22"/>
  <c r="AY328" i="11" s="1"/>
  <c r="AB325" i="22"/>
  <c r="AA325" i="22"/>
  <c r="W325" i="22"/>
  <c r="Y325" i="22" s="1"/>
  <c r="U325" i="22"/>
  <c r="T325" i="22"/>
  <c r="O325" i="22"/>
  <c r="Q325" i="22" s="1"/>
  <c r="L325" i="22"/>
  <c r="N325" i="22" s="1"/>
  <c r="I325" i="22"/>
  <c r="K325" i="22" s="1"/>
  <c r="G325" i="22"/>
  <c r="BI327" i="11" s="1"/>
  <c r="AB324" i="22"/>
  <c r="AA324" i="22"/>
  <c r="W324" i="22"/>
  <c r="Y324" i="22" s="1"/>
  <c r="U324" i="22"/>
  <c r="T324" i="22"/>
  <c r="O324" i="22"/>
  <c r="Q324" i="22" s="1"/>
  <c r="L324" i="22"/>
  <c r="N324" i="22" s="1"/>
  <c r="I324" i="22"/>
  <c r="K324" i="22" s="1"/>
  <c r="G324" i="22"/>
  <c r="AI324" i="22" s="1"/>
  <c r="AB323" i="22"/>
  <c r="AA323" i="22"/>
  <c r="W323" i="22"/>
  <c r="Y323" i="22" s="1"/>
  <c r="U323" i="22"/>
  <c r="T323" i="22"/>
  <c r="O323" i="22"/>
  <c r="Q323" i="22" s="1"/>
  <c r="L323" i="22"/>
  <c r="N323" i="22" s="1"/>
  <c r="I323" i="22"/>
  <c r="K323" i="22" s="1"/>
  <c r="G323" i="22"/>
  <c r="AI323" i="22" s="1"/>
  <c r="AB322" i="22"/>
  <c r="AA322" i="22"/>
  <c r="W322" i="22"/>
  <c r="Y322" i="22" s="1"/>
  <c r="U322" i="22"/>
  <c r="T322" i="22"/>
  <c r="O322" i="22"/>
  <c r="Q322" i="22" s="1"/>
  <c r="L322" i="22"/>
  <c r="N322" i="22" s="1"/>
  <c r="I322" i="22"/>
  <c r="K322" i="22" s="1"/>
  <c r="G322" i="22"/>
  <c r="Y324" i="11" s="1"/>
  <c r="AB321" i="22"/>
  <c r="AA321" i="22"/>
  <c r="U321" i="22"/>
  <c r="T321" i="22"/>
  <c r="O321" i="22"/>
  <c r="Q321" i="22" s="1"/>
  <c r="L321" i="22"/>
  <c r="N321" i="22" s="1"/>
  <c r="I321" i="22"/>
  <c r="K321" i="22" s="1"/>
  <c r="G321" i="22"/>
  <c r="AI321" i="22" s="1"/>
  <c r="AB28" i="22"/>
  <c r="AA28" i="22"/>
  <c r="W28" i="22"/>
  <c r="Y28" i="22" s="1"/>
  <c r="U28" i="22"/>
  <c r="O28" i="22"/>
  <c r="Q28" i="22" s="1"/>
  <c r="L28" i="22"/>
  <c r="N28" i="22" s="1"/>
  <c r="I28" i="22"/>
  <c r="K28" i="22" s="1"/>
  <c r="G28" i="22"/>
  <c r="AI28" i="22" s="1"/>
  <c r="AB319" i="22"/>
  <c r="AA319" i="22"/>
  <c r="W319" i="22"/>
  <c r="Y319" i="22" s="1"/>
  <c r="U319" i="22"/>
  <c r="T319" i="22"/>
  <c r="O319" i="22"/>
  <c r="Q319" i="22" s="1"/>
  <c r="L319" i="22"/>
  <c r="N319" i="22" s="1"/>
  <c r="I319" i="22"/>
  <c r="K319" i="22" s="1"/>
  <c r="G319" i="22"/>
  <c r="AI319" i="22" s="1"/>
  <c r="AB318" i="22"/>
  <c r="AA318" i="22"/>
  <c r="W318" i="22"/>
  <c r="Y318" i="22" s="1"/>
  <c r="U318" i="22"/>
  <c r="T318" i="22"/>
  <c r="O318" i="22"/>
  <c r="Q318" i="22" s="1"/>
  <c r="L318" i="22"/>
  <c r="N318" i="22" s="1"/>
  <c r="I318" i="22"/>
  <c r="K318" i="22" s="1"/>
  <c r="G318" i="22"/>
  <c r="AB317" i="22"/>
  <c r="AA317" i="22"/>
  <c r="W317" i="22"/>
  <c r="Y317" i="22" s="1"/>
  <c r="U317" i="22"/>
  <c r="T317" i="22"/>
  <c r="O317" i="22"/>
  <c r="Q317" i="22" s="1"/>
  <c r="L317" i="22"/>
  <c r="N317" i="22" s="1"/>
  <c r="I317" i="22"/>
  <c r="K317" i="22" s="1"/>
  <c r="G317" i="22"/>
  <c r="T319" i="11" s="1"/>
  <c r="AA316" i="22"/>
  <c r="W316" i="22"/>
  <c r="Y316" i="22" s="1"/>
  <c r="U316" i="22"/>
  <c r="T316" i="22"/>
  <c r="O316" i="22"/>
  <c r="Q316" i="22" s="1"/>
  <c r="L316" i="22"/>
  <c r="N316" i="22" s="1"/>
  <c r="I316" i="22"/>
  <c r="K316" i="22" s="1"/>
  <c r="G316" i="22"/>
  <c r="AI316" i="22" s="1"/>
  <c r="AB315" i="22"/>
  <c r="AA315" i="22"/>
  <c r="U315" i="22"/>
  <c r="T315" i="22"/>
  <c r="O315" i="22"/>
  <c r="Q315" i="22" s="1"/>
  <c r="L315" i="22"/>
  <c r="N315" i="22" s="1"/>
  <c r="I315" i="22"/>
  <c r="K315" i="22" s="1"/>
  <c r="G315" i="22"/>
  <c r="BF317" i="11" s="1"/>
  <c r="AB314" i="22"/>
  <c r="AA314" i="22"/>
  <c r="W314" i="22"/>
  <c r="Y314" i="22" s="1"/>
  <c r="U314" i="22"/>
  <c r="T314" i="22"/>
  <c r="O314" i="22"/>
  <c r="Q314" i="22" s="1"/>
  <c r="L314" i="22"/>
  <c r="N314" i="22" s="1"/>
  <c r="I314" i="22"/>
  <c r="K314" i="22" s="1"/>
  <c r="G314" i="22"/>
  <c r="AO316" i="11" s="1"/>
  <c r="AB313" i="22"/>
  <c r="AA313" i="22"/>
  <c r="W313" i="22"/>
  <c r="Y313" i="22" s="1"/>
  <c r="U313" i="22"/>
  <c r="T313" i="22"/>
  <c r="O313" i="22"/>
  <c r="Q313" i="22" s="1"/>
  <c r="L313" i="22"/>
  <c r="N313" i="22" s="1"/>
  <c r="I313" i="22"/>
  <c r="K313" i="22" s="1"/>
  <c r="G313" i="22"/>
  <c r="AI313" i="22" s="1"/>
  <c r="AB312" i="22"/>
  <c r="AA312" i="22"/>
  <c r="W312" i="22"/>
  <c r="Y312" i="22" s="1"/>
  <c r="U312" i="22"/>
  <c r="T312" i="22"/>
  <c r="O312" i="22"/>
  <c r="Q312" i="22" s="1"/>
  <c r="L312" i="22"/>
  <c r="N312" i="22" s="1"/>
  <c r="I312" i="22"/>
  <c r="K312" i="22" s="1"/>
  <c r="G312" i="22"/>
  <c r="AI312" i="22" s="1"/>
  <c r="AB24" i="22"/>
  <c r="AA24" i="22"/>
  <c r="W24" i="22"/>
  <c r="Y24" i="22" s="1"/>
  <c r="U24" i="22"/>
  <c r="O24" i="22"/>
  <c r="Q24" i="22" s="1"/>
  <c r="L24" i="22"/>
  <c r="N24" i="22" s="1"/>
  <c r="I24" i="22"/>
  <c r="K24" i="22" s="1"/>
  <c r="G24" i="22"/>
  <c r="BB26" i="11" s="1"/>
  <c r="AB310" i="22"/>
  <c r="AA310" i="22"/>
  <c r="W310" i="22"/>
  <c r="Y310" i="22" s="1"/>
  <c r="U310" i="22"/>
  <c r="T310" i="22"/>
  <c r="O310" i="22"/>
  <c r="Q310" i="22" s="1"/>
  <c r="L310" i="22"/>
  <c r="N310" i="22" s="1"/>
  <c r="I310" i="22"/>
  <c r="K310" i="22" s="1"/>
  <c r="G310" i="22"/>
  <c r="AI310" i="22" s="1"/>
  <c r="AA309" i="22"/>
  <c r="W309" i="22"/>
  <c r="Y309" i="22" s="1"/>
  <c r="U309" i="22"/>
  <c r="T309" i="22"/>
  <c r="O309" i="22"/>
  <c r="Q309" i="22" s="1"/>
  <c r="L309" i="22"/>
  <c r="N309" i="22" s="1"/>
  <c r="I309" i="22"/>
  <c r="K309" i="22" s="1"/>
  <c r="G309" i="22"/>
  <c r="AI309" i="22" s="1"/>
  <c r="W308" i="22"/>
  <c r="Y308" i="22" s="1"/>
  <c r="U308" i="22"/>
  <c r="T308" i="22"/>
  <c r="O308" i="22"/>
  <c r="Q308" i="22" s="1"/>
  <c r="L308" i="22"/>
  <c r="N308" i="22" s="1"/>
  <c r="I308" i="22"/>
  <c r="K308" i="22" s="1"/>
  <c r="G308" i="22"/>
  <c r="BF310" i="11" s="1"/>
  <c r="AB307" i="22"/>
  <c r="AA307" i="22"/>
  <c r="W307" i="22"/>
  <c r="Y307" i="22" s="1"/>
  <c r="U307" i="22"/>
  <c r="T307" i="22"/>
  <c r="O307" i="22"/>
  <c r="Q307" i="22" s="1"/>
  <c r="L307" i="22"/>
  <c r="N307" i="22" s="1"/>
  <c r="I307" i="22"/>
  <c r="K307" i="22" s="1"/>
  <c r="G307" i="22"/>
  <c r="AB306" i="22"/>
  <c r="AA306" i="22"/>
  <c r="W306" i="22"/>
  <c r="Y306" i="22" s="1"/>
  <c r="U306" i="22"/>
  <c r="T306" i="22"/>
  <c r="O306" i="22"/>
  <c r="Q306" i="22" s="1"/>
  <c r="L306" i="22"/>
  <c r="N306" i="22" s="1"/>
  <c r="I306" i="22"/>
  <c r="K306" i="22" s="1"/>
  <c r="G306" i="22"/>
  <c r="AI306" i="22" s="1"/>
  <c r="AB305" i="22"/>
  <c r="AA305" i="22"/>
  <c r="U305" i="22"/>
  <c r="T305" i="22"/>
  <c r="O305" i="22"/>
  <c r="Q305" i="22" s="1"/>
  <c r="L305" i="22"/>
  <c r="N305" i="22" s="1"/>
  <c r="I305" i="22"/>
  <c r="K305" i="22" s="1"/>
  <c r="G305" i="22"/>
  <c r="AR307" i="11" s="1"/>
  <c r="AB228" i="22"/>
  <c r="AA228" i="22"/>
  <c r="W228" i="22"/>
  <c r="Y228" i="22" s="1"/>
  <c r="U228" i="22"/>
  <c r="T228" i="22"/>
  <c r="O228" i="22"/>
  <c r="Q228" i="22" s="1"/>
  <c r="L228" i="22"/>
  <c r="N228" i="22" s="1"/>
  <c r="I228" i="22"/>
  <c r="K228" i="22" s="1"/>
  <c r="G228" i="22"/>
  <c r="AB303" i="22"/>
  <c r="AA303" i="22"/>
  <c r="W303" i="22"/>
  <c r="Y303" i="22" s="1"/>
  <c r="U303" i="22"/>
  <c r="T303" i="22"/>
  <c r="O303" i="22"/>
  <c r="Q303" i="22" s="1"/>
  <c r="L303" i="22"/>
  <c r="N303" i="22" s="1"/>
  <c r="I303" i="22"/>
  <c r="K303" i="22" s="1"/>
  <c r="G303" i="22"/>
  <c r="BE305" i="11" s="1"/>
  <c r="AB302" i="22"/>
  <c r="AA302" i="22"/>
  <c r="W302" i="22"/>
  <c r="Y302" i="22" s="1"/>
  <c r="U302" i="22"/>
  <c r="T302" i="22"/>
  <c r="O302" i="22"/>
  <c r="Q302" i="22" s="1"/>
  <c r="L302" i="22"/>
  <c r="N302" i="22" s="1"/>
  <c r="I302" i="22"/>
  <c r="K302" i="22" s="1"/>
  <c r="G302" i="22"/>
  <c r="AI302" i="22" s="1"/>
  <c r="AB301" i="22"/>
  <c r="AA301" i="22"/>
  <c r="W301" i="22"/>
  <c r="Y301" i="22" s="1"/>
  <c r="U301" i="22"/>
  <c r="T301" i="22"/>
  <c r="O301" i="22"/>
  <c r="Q301" i="22" s="1"/>
  <c r="L301" i="22"/>
  <c r="N301" i="22" s="1"/>
  <c r="I301" i="22"/>
  <c r="K301" i="22" s="1"/>
  <c r="G301" i="22"/>
  <c r="AB249" i="22"/>
  <c r="AA249" i="22"/>
  <c r="W249" i="22"/>
  <c r="Y249" i="22" s="1"/>
  <c r="U249" i="22"/>
  <c r="T249" i="22"/>
  <c r="O249" i="22"/>
  <c r="Q249" i="22" s="1"/>
  <c r="L249" i="22"/>
  <c r="N249" i="22" s="1"/>
  <c r="I249" i="22"/>
  <c r="K249" i="22" s="1"/>
  <c r="G249" i="22"/>
  <c r="V251" i="11" s="1"/>
  <c r="AB299" i="22"/>
  <c r="AA299" i="22"/>
  <c r="W299" i="22"/>
  <c r="Y299" i="22" s="1"/>
  <c r="U299" i="22"/>
  <c r="T299" i="22"/>
  <c r="O299" i="22"/>
  <c r="Q299" i="22" s="1"/>
  <c r="L299" i="22"/>
  <c r="N299" i="22" s="1"/>
  <c r="I299" i="22"/>
  <c r="K299" i="22" s="1"/>
  <c r="G299" i="22"/>
  <c r="AI299" i="22" s="1"/>
  <c r="AB298" i="22"/>
  <c r="AA298" i="22"/>
  <c r="W298" i="22"/>
  <c r="Y298" i="22" s="1"/>
  <c r="U298" i="22"/>
  <c r="T298" i="22"/>
  <c r="O298" i="22"/>
  <c r="Q298" i="22" s="1"/>
  <c r="L298" i="22"/>
  <c r="N298" i="22" s="1"/>
  <c r="I298" i="22"/>
  <c r="K298" i="22" s="1"/>
  <c r="G298" i="22"/>
  <c r="AO300" i="11" s="1"/>
  <c r="W266" i="22"/>
  <c r="Y266" i="22" s="1"/>
  <c r="U266" i="22"/>
  <c r="T266" i="22"/>
  <c r="O266" i="22"/>
  <c r="Q266" i="22" s="1"/>
  <c r="L266" i="22"/>
  <c r="N266" i="22" s="1"/>
  <c r="I266" i="22"/>
  <c r="K266" i="22" s="1"/>
  <c r="G266" i="22"/>
  <c r="BD268" i="11" s="1"/>
  <c r="AB296" i="22"/>
  <c r="AA296" i="22"/>
  <c r="W296" i="22"/>
  <c r="Y296" i="22" s="1"/>
  <c r="U296" i="22"/>
  <c r="T296" i="22"/>
  <c r="O296" i="22"/>
  <c r="Q296" i="22" s="1"/>
  <c r="L296" i="22"/>
  <c r="N296" i="22" s="1"/>
  <c r="I296" i="22"/>
  <c r="K296" i="22" s="1"/>
  <c r="G296" i="22"/>
  <c r="AI296" i="22" s="1"/>
  <c r="AB295" i="22"/>
  <c r="AA295" i="22"/>
  <c r="W295" i="22"/>
  <c r="Y295" i="22" s="1"/>
  <c r="U295" i="22"/>
  <c r="T295" i="22"/>
  <c r="O295" i="22"/>
  <c r="Q295" i="22" s="1"/>
  <c r="L295" i="22"/>
  <c r="N295" i="22" s="1"/>
  <c r="I295" i="22"/>
  <c r="K295" i="22" s="1"/>
  <c r="G295" i="22"/>
  <c r="W297" i="11" s="1"/>
  <c r="AB294" i="22"/>
  <c r="AA294" i="22"/>
  <c r="U294" i="22"/>
  <c r="T294" i="22"/>
  <c r="O294" i="22"/>
  <c r="Q294" i="22" s="1"/>
  <c r="L294" i="22"/>
  <c r="N294" i="22" s="1"/>
  <c r="I294" i="22"/>
  <c r="K294" i="22" s="1"/>
  <c r="G294" i="22"/>
  <c r="AY296" i="11" s="1"/>
  <c r="AB293" i="22"/>
  <c r="AA293" i="22"/>
  <c r="W293" i="22"/>
  <c r="Y293" i="22" s="1"/>
  <c r="U293" i="22"/>
  <c r="T293" i="22"/>
  <c r="O293" i="22"/>
  <c r="Q293" i="22" s="1"/>
  <c r="L293" i="22"/>
  <c r="N293" i="22" s="1"/>
  <c r="I293" i="22"/>
  <c r="K293" i="22" s="1"/>
  <c r="G293" i="22"/>
  <c r="AI293" i="22" s="1"/>
  <c r="AB292" i="22"/>
  <c r="AA292" i="22"/>
  <c r="W292" i="22"/>
  <c r="Y292" i="22" s="1"/>
  <c r="U292" i="22"/>
  <c r="T292" i="22"/>
  <c r="O292" i="22"/>
  <c r="Q292" i="22" s="1"/>
  <c r="L292" i="22"/>
  <c r="N292" i="22" s="1"/>
  <c r="I292" i="22"/>
  <c r="K292" i="22" s="1"/>
  <c r="G292" i="22"/>
  <c r="AI292" i="22" s="1"/>
  <c r="AB291" i="22"/>
  <c r="AA291" i="22"/>
  <c r="W291" i="22"/>
  <c r="Y291" i="22" s="1"/>
  <c r="U291" i="22"/>
  <c r="T291" i="22"/>
  <c r="O291" i="22"/>
  <c r="Q291" i="22" s="1"/>
  <c r="L291" i="22"/>
  <c r="N291" i="22" s="1"/>
  <c r="I291" i="22"/>
  <c r="K291" i="22" s="1"/>
  <c r="G291" i="22"/>
  <c r="AI291" i="22" s="1"/>
  <c r="AB170" i="22"/>
  <c r="AA170" i="22"/>
  <c r="W170" i="22"/>
  <c r="Y170" i="22" s="1"/>
  <c r="U170" i="22"/>
  <c r="T170" i="22"/>
  <c r="O170" i="22"/>
  <c r="Q170" i="22" s="1"/>
  <c r="L170" i="22"/>
  <c r="N170" i="22" s="1"/>
  <c r="I170" i="22"/>
  <c r="K170" i="22" s="1"/>
  <c r="G170" i="22"/>
  <c r="AI170" i="22" s="1"/>
  <c r="AB289" i="22"/>
  <c r="AA289" i="22"/>
  <c r="W289" i="22"/>
  <c r="Y289" i="22" s="1"/>
  <c r="U289" i="22"/>
  <c r="T289" i="22"/>
  <c r="O289" i="22"/>
  <c r="Q289" i="22" s="1"/>
  <c r="L289" i="22"/>
  <c r="N289" i="22" s="1"/>
  <c r="I289" i="22"/>
  <c r="K289" i="22" s="1"/>
  <c r="G289" i="22"/>
  <c r="AB180" i="22"/>
  <c r="AA180" i="22"/>
  <c r="W180" i="22"/>
  <c r="Y180" i="22" s="1"/>
  <c r="U180" i="22"/>
  <c r="T180" i="22"/>
  <c r="O180" i="22"/>
  <c r="Q180" i="22" s="1"/>
  <c r="L180" i="22"/>
  <c r="N180" i="22" s="1"/>
  <c r="I180" i="22"/>
  <c r="K180" i="22" s="1"/>
  <c r="G180" i="22"/>
  <c r="AI180" i="22" s="1"/>
  <c r="AB356" i="22"/>
  <c r="AA356" i="22"/>
  <c r="U356" i="22"/>
  <c r="T356" i="22"/>
  <c r="O356" i="22"/>
  <c r="Q356" i="22" s="1"/>
  <c r="L356" i="22"/>
  <c r="N356" i="22" s="1"/>
  <c r="I356" i="22"/>
  <c r="K356" i="22" s="1"/>
  <c r="G356" i="22"/>
  <c r="BD358" i="11" s="1"/>
  <c r="AB286" i="22"/>
  <c r="AA286" i="22"/>
  <c r="W286" i="22"/>
  <c r="Y286" i="22" s="1"/>
  <c r="U286" i="22"/>
  <c r="T286" i="22"/>
  <c r="O286" i="22"/>
  <c r="Q286" i="22" s="1"/>
  <c r="L286" i="22"/>
  <c r="N286" i="22" s="1"/>
  <c r="I286" i="22"/>
  <c r="K286" i="22" s="1"/>
  <c r="G286" i="22"/>
  <c r="AI286" i="22" s="1"/>
  <c r="AB285" i="22"/>
  <c r="AA285" i="22"/>
  <c r="W285" i="22"/>
  <c r="Y285" i="22" s="1"/>
  <c r="U285" i="22"/>
  <c r="T285" i="22"/>
  <c r="O285" i="22"/>
  <c r="Q285" i="22" s="1"/>
  <c r="L285" i="22"/>
  <c r="N285" i="22" s="1"/>
  <c r="I285" i="22"/>
  <c r="K285" i="22" s="1"/>
  <c r="G285" i="22"/>
  <c r="BF287" i="11" s="1"/>
  <c r="W284" i="22"/>
  <c r="Y284" i="22" s="1"/>
  <c r="U284" i="22"/>
  <c r="T284" i="22"/>
  <c r="O284" i="22"/>
  <c r="Q284" i="22" s="1"/>
  <c r="L284" i="22"/>
  <c r="N284" i="22" s="1"/>
  <c r="I284" i="22"/>
  <c r="K284" i="22" s="1"/>
  <c r="G284" i="22"/>
  <c r="AP286" i="11" s="1"/>
  <c r="AB49" i="22"/>
  <c r="AA49" i="22"/>
  <c r="W49" i="22"/>
  <c r="Y49" i="22" s="1"/>
  <c r="U49" i="22"/>
  <c r="O49" i="22"/>
  <c r="Q49" i="22" s="1"/>
  <c r="L49" i="22"/>
  <c r="N49" i="22" s="1"/>
  <c r="I49" i="22"/>
  <c r="K49" i="22" s="1"/>
  <c r="G49" i="22"/>
  <c r="AI49" i="22" s="1"/>
  <c r="AB282" i="22"/>
  <c r="AA282" i="22"/>
  <c r="W282" i="22"/>
  <c r="Y282" i="22" s="1"/>
  <c r="U282" i="22"/>
  <c r="T282" i="22"/>
  <c r="O282" i="22"/>
  <c r="Q282" i="22" s="1"/>
  <c r="L282" i="22"/>
  <c r="N282" i="22" s="1"/>
  <c r="I282" i="22"/>
  <c r="K282" i="22" s="1"/>
  <c r="G282" i="22"/>
  <c r="AI282" i="22" s="1"/>
  <c r="AA281" i="22"/>
  <c r="W281" i="22"/>
  <c r="Y281" i="22" s="1"/>
  <c r="U281" i="22"/>
  <c r="T281" i="22"/>
  <c r="O281" i="22"/>
  <c r="Q281" i="22" s="1"/>
  <c r="L281" i="22"/>
  <c r="N281" i="22" s="1"/>
  <c r="I281" i="22"/>
  <c r="K281" i="22" s="1"/>
  <c r="G281" i="22"/>
  <c r="F283" i="11" s="1"/>
  <c r="AB280" i="22"/>
  <c r="AA280" i="22"/>
  <c r="W280" i="22"/>
  <c r="Y280" i="22" s="1"/>
  <c r="U280" i="22"/>
  <c r="T280" i="22"/>
  <c r="O280" i="22"/>
  <c r="Q280" i="22" s="1"/>
  <c r="L280" i="22"/>
  <c r="N280" i="22" s="1"/>
  <c r="I280" i="22"/>
  <c r="K280" i="22" s="1"/>
  <c r="G280" i="22"/>
  <c r="AI280" i="22" s="1"/>
  <c r="AB279" i="22"/>
  <c r="AA279" i="22"/>
  <c r="W279" i="22"/>
  <c r="Y279" i="22" s="1"/>
  <c r="U279" i="22"/>
  <c r="T279" i="22"/>
  <c r="O279" i="22"/>
  <c r="Q279" i="22" s="1"/>
  <c r="L279" i="22"/>
  <c r="N279" i="22" s="1"/>
  <c r="I279" i="22"/>
  <c r="K279" i="22" s="1"/>
  <c r="G279" i="22"/>
  <c r="AB278" i="22"/>
  <c r="AA278" i="22"/>
  <c r="W278" i="22"/>
  <c r="Y278" i="22" s="1"/>
  <c r="U278" i="22"/>
  <c r="T278" i="22"/>
  <c r="O278" i="22"/>
  <c r="Q278" i="22" s="1"/>
  <c r="L278" i="22"/>
  <c r="N278" i="22" s="1"/>
  <c r="I278" i="22"/>
  <c r="K278" i="22" s="1"/>
  <c r="G278" i="22"/>
  <c r="AI278" i="22" s="1"/>
  <c r="AB277" i="22"/>
  <c r="AA277" i="22"/>
  <c r="W277" i="22"/>
  <c r="Y277" i="22" s="1"/>
  <c r="U277" i="22"/>
  <c r="T277" i="22"/>
  <c r="O277" i="22"/>
  <c r="Q277" i="22" s="1"/>
  <c r="L277" i="22"/>
  <c r="N277" i="22" s="1"/>
  <c r="I277" i="22"/>
  <c r="K277" i="22" s="1"/>
  <c r="G277" i="22"/>
  <c r="AI277" i="22" s="1"/>
  <c r="AB276" i="22"/>
  <c r="AA276" i="22"/>
  <c r="W276" i="22"/>
  <c r="Y276" i="22" s="1"/>
  <c r="U276" i="22"/>
  <c r="T276" i="22"/>
  <c r="O276" i="22"/>
  <c r="Q276" i="22" s="1"/>
  <c r="L276" i="22"/>
  <c r="N276" i="22" s="1"/>
  <c r="I276" i="22"/>
  <c r="K276" i="22" s="1"/>
  <c r="G276" i="22"/>
  <c r="AB275" i="22"/>
  <c r="AA275" i="22"/>
  <c r="W275" i="22"/>
  <c r="Y275" i="22" s="1"/>
  <c r="U275" i="22"/>
  <c r="T275" i="22"/>
  <c r="O275" i="22"/>
  <c r="Q275" i="22" s="1"/>
  <c r="L275" i="22"/>
  <c r="N275" i="22" s="1"/>
  <c r="I275" i="22"/>
  <c r="K275" i="22" s="1"/>
  <c r="G275" i="22"/>
  <c r="AI275" i="22" s="1"/>
  <c r="AB274" i="22"/>
  <c r="AA274" i="22"/>
  <c r="W274" i="22"/>
  <c r="Y274" i="22" s="1"/>
  <c r="U274" i="22"/>
  <c r="T274" i="22"/>
  <c r="O274" i="22"/>
  <c r="Q274" i="22" s="1"/>
  <c r="L274" i="22"/>
  <c r="N274" i="22" s="1"/>
  <c r="I274" i="22"/>
  <c r="K274" i="22" s="1"/>
  <c r="G274" i="22"/>
  <c r="AB339" i="22"/>
  <c r="AA339" i="22"/>
  <c r="W339" i="22"/>
  <c r="Y339" i="22" s="1"/>
  <c r="U339" i="22"/>
  <c r="T339" i="22"/>
  <c r="O339" i="22"/>
  <c r="Q339" i="22" s="1"/>
  <c r="L339" i="22"/>
  <c r="N339" i="22" s="1"/>
  <c r="I339" i="22"/>
  <c r="K339" i="22" s="1"/>
  <c r="G339" i="22"/>
  <c r="AB110" i="22"/>
  <c r="AA110" i="22"/>
  <c r="W110" i="22"/>
  <c r="Y110" i="22" s="1"/>
  <c r="U110" i="22"/>
  <c r="T110" i="22"/>
  <c r="O110" i="22"/>
  <c r="Q110" i="22" s="1"/>
  <c r="L110" i="22"/>
  <c r="N110" i="22" s="1"/>
  <c r="I110" i="22"/>
  <c r="K110" i="22" s="1"/>
  <c r="G110" i="22"/>
  <c r="AI110" i="22" s="1"/>
  <c r="AB271" i="22"/>
  <c r="AA271" i="22"/>
  <c r="U271" i="22"/>
  <c r="T271" i="22"/>
  <c r="O271" i="22"/>
  <c r="Q271" i="22" s="1"/>
  <c r="L271" i="22"/>
  <c r="N271" i="22" s="1"/>
  <c r="I271" i="22"/>
  <c r="K271" i="22" s="1"/>
  <c r="G271" i="22"/>
  <c r="AI271" i="22" s="1"/>
  <c r="AB270" i="22"/>
  <c r="AA270" i="22"/>
  <c r="W270" i="22"/>
  <c r="Y270" i="22" s="1"/>
  <c r="U270" i="22"/>
  <c r="T270" i="22"/>
  <c r="O270" i="22"/>
  <c r="Q270" i="22" s="1"/>
  <c r="N270" i="22"/>
  <c r="I270" i="22"/>
  <c r="K270" i="22" s="1"/>
  <c r="G270" i="22"/>
  <c r="AI270" i="22" s="1"/>
  <c r="AB9" i="22"/>
  <c r="AA9" i="22"/>
  <c r="W9" i="22"/>
  <c r="Y9" i="22" s="1"/>
  <c r="U9" i="22"/>
  <c r="O9" i="22"/>
  <c r="Q9" i="22" s="1"/>
  <c r="L9" i="22"/>
  <c r="N9" i="22" s="1"/>
  <c r="K9" i="22"/>
  <c r="G9" i="22"/>
  <c r="AB268" i="22"/>
  <c r="AA268" i="22"/>
  <c r="W268" i="22"/>
  <c r="Y268" i="22" s="1"/>
  <c r="U268" i="22"/>
  <c r="T268" i="22"/>
  <c r="O268" i="22"/>
  <c r="Q268" i="22" s="1"/>
  <c r="L268" i="22"/>
  <c r="N268" i="22" s="1"/>
  <c r="I268" i="22"/>
  <c r="K268" i="22" s="1"/>
  <c r="G268" i="22"/>
  <c r="AI268" i="22" s="1"/>
  <c r="W267" i="22"/>
  <c r="Y267" i="22" s="1"/>
  <c r="T267" i="22"/>
  <c r="O267" i="22"/>
  <c r="Q267" i="22" s="1"/>
  <c r="N267" i="22"/>
  <c r="I267" i="22"/>
  <c r="K267" i="22" s="1"/>
  <c r="G267" i="22"/>
  <c r="AI267" i="22" s="1"/>
  <c r="AB340" i="22"/>
  <c r="AA340" i="22"/>
  <c r="W340" i="22"/>
  <c r="Y340" i="22" s="1"/>
  <c r="U340" i="22"/>
  <c r="T340" i="22"/>
  <c r="O340" i="22"/>
  <c r="Q340" i="22" s="1"/>
  <c r="L340" i="22"/>
  <c r="N340" i="22" s="1"/>
  <c r="I340" i="22"/>
  <c r="K340" i="22" s="1"/>
  <c r="G340" i="22"/>
  <c r="AI340" i="22" s="1"/>
  <c r="AB265" i="22"/>
  <c r="AA265" i="22"/>
  <c r="W265" i="22"/>
  <c r="Y265" i="22" s="1"/>
  <c r="U265" i="22"/>
  <c r="T265" i="22"/>
  <c r="O265" i="22"/>
  <c r="Q265" i="22" s="1"/>
  <c r="L265" i="22"/>
  <c r="N265" i="22" s="1"/>
  <c r="I265" i="22"/>
  <c r="K265" i="22" s="1"/>
  <c r="G265" i="22"/>
  <c r="AB379" i="22"/>
  <c r="AA379" i="22"/>
  <c r="W379" i="22"/>
  <c r="Y379" i="22" s="1"/>
  <c r="U379" i="22"/>
  <c r="T379" i="22"/>
  <c r="O379" i="22"/>
  <c r="Q379" i="22" s="1"/>
  <c r="L379" i="22"/>
  <c r="N379" i="22" s="1"/>
  <c r="I379" i="22"/>
  <c r="K379" i="22" s="1"/>
  <c r="G379" i="22"/>
  <c r="Y381" i="11" s="1"/>
  <c r="AB263" i="22"/>
  <c r="AA263" i="22"/>
  <c r="W263" i="22"/>
  <c r="Y263" i="22" s="1"/>
  <c r="U263" i="22"/>
  <c r="T263" i="22"/>
  <c r="O263" i="22"/>
  <c r="Q263" i="22" s="1"/>
  <c r="L263" i="22"/>
  <c r="N263" i="22" s="1"/>
  <c r="I263" i="22"/>
  <c r="K263" i="22" s="1"/>
  <c r="G263" i="22"/>
  <c r="AI263" i="22" s="1"/>
  <c r="AA73" i="22"/>
  <c r="W73" i="22"/>
  <c r="Y73" i="22" s="1"/>
  <c r="U73" i="22"/>
  <c r="T73" i="22"/>
  <c r="O73" i="22"/>
  <c r="Q73" i="22" s="1"/>
  <c r="L73" i="22"/>
  <c r="N73" i="22" s="1"/>
  <c r="I73" i="22"/>
  <c r="K73" i="22" s="1"/>
  <c r="G73" i="22"/>
  <c r="AA261" i="22"/>
  <c r="W261" i="22"/>
  <c r="Y261" i="22" s="1"/>
  <c r="U261" i="22"/>
  <c r="T261" i="22"/>
  <c r="O261" i="22"/>
  <c r="Q261" i="22" s="1"/>
  <c r="L261" i="22"/>
  <c r="N261" i="22" s="1"/>
  <c r="I261" i="22"/>
  <c r="K261" i="22" s="1"/>
  <c r="G261" i="22"/>
  <c r="AB366" i="22"/>
  <c r="AA366" i="22"/>
  <c r="W366" i="22"/>
  <c r="Y366" i="22" s="1"/>
  <c r="U366" i="22"/>
  <c r="T366" i="22"/>
  <c r="O366" i="22"/>
  <c r="Q366" i="22" s="1"/>
  <c r="L366" i="22"/>
  <c r="N366" i="22" s="1"/>
  <c r="I366" i="22"/>
  <c r="K366" i="22" s="1"/>
  <c r="G366" i="22"/>
  <c r="AB143" i="22"/>
  <c r="AA143" i="22"/>
  <c r="U143" i="22"/>
  <c r="T143" i="22"/>
  <c r="O143" i="22"/>
  <c r="Q143" i="22" s="1"/>
  <c r="L143" i="22"/>
  <c r="N143" i="22" s="1"/>
  <c r="I143" i="22"/>
  <c r="K143" i="22" s="1"/>
  <c r="G143" i="22"/>
  <c r="AU145" i="11" s="1"/>
  <c r="AB258" i="22"/>
  <c r="AA258" i="22"/>
  <c r="W258" i="22"/>
  <c r="Y258" i="22" s="1"/>
  <c r="U258" i="22"/>
  <c r="T258" i="22"/>
  <c r="O258" i="22"/>
  <c r="Q258" i="22" s="1"/>
  <c r="L258" i="22"/>
  <c r="N258" i="22" s="1"/>
  <c r="I258" i="22"/>
  <c r="K258" i="22" s="1"/>
  <c r="G258" i="22"/>
  <c r="AI258" i="22" s="1"/>
  <c r="AB257" i="22"/>
  <c r="AA257" i="22"/>
  <c r="W257" i="22"/>
  <c r="Y257" i="22" s="1"/>
  <c r="U257" i="22"/>
  <c r="T257" i="22"/>
  <c r="O257" i="22"/>
  <c r="Q257" i="22" s="1"/>
  <c r="L257" i="22"/>
  <c r="N257" i="22" s="1"/>
  <c r="I257" i="22"/>
  <c r="K257" i="22" s="1"/>
  <c r="G257" i="22"/>
  <c r="AI257" i="22" s="1"/>
  <c r="AB256" i="22"/>
  <c r="AA256" i="22"/>
  <c r="W256" i="22"/>
  <c r="Y256" i="22" s="1"/>
  <c r="U256" i="22"/>
  <c r="T256" i="22"/>
  <c r="O256" i="22"/>
  <c r="Q256" i="22" s="1"/>
  <c r="L256" i="22"/>
  <c r="N256" i="22" s="1"/>
  <c r="I256" i="22"/>
  <c r="K256" i="22" s="1"/>
  <c r="G256" i="22"/>
  <c r="AI256" i="22" s="1"/>
  <c r="AB255" i="22"/>
  <c r="AA255" i="22"/>
  <c r="W255" i="22"/>
  <c r="Y255" i="22" s="1"/>
  <c r="U255" i="22"/>
  <c r="T255" i="22"/>
  <c r="O255" i="22"/>
  <c r="Q255" i="22" s="1"/>
  <c r="L255" i="22"/>
  <c r="N255" i="22" s="1"/>
  <c r="I255" i="22"/>
  <c r="K255" i="22" s="1"/>
  <c r="G255" i="22"/>
  <c r="AU257" i="11" s="1"/>
  <c r="AB254" i="22"/>
  <c r="AA254" i="22"/>
  <c r="W254" i="22"/>
  <c r="Y254" i="22" s="1"/>
  <c r="U254" i="22"/>
  <c r="T254" i="22"/>
  <c r="O254" i="22"/>
  <c r="Q254" i="22" s="1"/>
  <c r="L254" i="22"/>
  <c r="N254" i="22" s="1"/>
  <c r="I254" i="22"/>
  <c r="K254" i="22" s="1"/>
  <c r="G254" i="22"/>
  <c r="AI254" i="22" s="1"/>
  <c r="AB253" i="22"/>
  <c r="AA253" i="22"/>
  <c r="W253" i="22"/>
  <c r="Y253" i="22" s="1"/>
  <c r="U253" i="22"/>
  <c r="T253" i="22"/>
  <c r="O253" i="22"/>
  <c r="Q253" i="22" s="1"/>
  <c r="L253" i="22"/>
  <c r="N253" i="22" s="1"/>
  <c r="I253" i="22"/>
  <c r="K253" i="22" s="1"/>
  <c r="G253" i="22"/>
  <c r="AI253" i="22" s="1"/>
  <c r="AB252" i="22"/>
  <c r="AA252" i="22"/>
  <c r="W252" i="22"/>
  <c r="Y252" i="22" s="1"/>
  <c r="U252" i="22"/>
  <c r="T252" i="22"/>
  <c r="O252" i="22"/>
  <c r="Q252" i="22" s="1"/>
  <c r="L252" i="22"/>
  <c r="N252" i="22" s="1"/>
  <c r="I252" i="22"/>
  <c r="K252" i="22" s="1"/>
  <c r="G252" i="22"/>
  <c r="W251" i="22"/>
  <c r="Y251" i="22" s="1"/>
  <c r="U251" i="22"/>
  <c r="T251" i="22"/>
  <c r="O251" i="22"/>
  <c r="Q251" i="22" s="1"/>
  <c r="L251" i="22"/>
  <c r="N251" i="22" s="1"/>
  <c r="I251" i="22"/>
  <c r="K251" i="22" s="1"/>
  <c r="G251" i="22"/>
  <c r="AB250" i="22"/>
  <c r="AA250" i="22"/>
  <c r="W250" i="22"/>
  <c r="Y250" i="22" s="1"/>
  <c r="U250" i="22"/>
  <c r="T250" i="22"/>
  <c r="O250" i="22"/>
  <c r="Q250" i="22" s="1"/>
  <c r="L250" i="22"/>
  <c r="N250" i="22" s="1"/>
  <c r="I250" i="22"/>
  <c r="K250" i="22" s="1"/>
  <c r="G250" i="22"/>
  <c r="AB84" i="22"/>
  <c r="AA84" i="22"/>
  <c r="W84" i="22"/>
  <c r="Y84" i="22" s="1"/>
  <c r="U84" i="22"/>
  <c r="T84" i="22"/>
  <c r="O84" i="22"/>
  <c r="Q84" i="22" s="1"/>
  <c r="L84" i="22"/>
  <c r="N84" i="22" s="1"/>
  <c r="I84" i="22"/>
  <c r="K84" i="22" s="1"/>
  <c r="G84" i="22"/>
  <c r="AI84" i="22" s="1"/>
  <c r="AB248" i="22"/>
  <c r="AA248" i="22"/>
  <c r="W248" i="22"/>
  <c r="Y248" i="22" s="1"/>
  <c r="U248" i="22"/>
  <c r="L248" i="22"/>
  <c r="N248" i="22" s="1"/>
  <c r="K248" i="22"/>
  <c r="G248" i="22"/>
  <c r="AK250" i="11" s="1"/>
  <c r="AB247" i="22"/>
  <c r="AA247" i="22"/>
  <c r="W247" i="22"/>
  <c r="Y247" i="22" s="1"/>
  <c r="U247" i="22"/>
  <c r="T247" i="22"/>
  <c r="O247" i="22"/>
  <c r="Q247" i="22" s="1"/>
  <c r="L247" i="22"/>
  <c r="N247" i="22" s="1"/>
  <c r="I247" i="22"/>
  <c r="K247" i="22" s="1"/>
  <c r="G247" i="22"/>
  <c r="AI247" i="22" s="1"/>
  <c r="AB246" i="22"/>
  <c r="AA246" i="22"/>
  <c r="W246" i="22"/>
  <c r="Y246" i="22" s="1"/>
  <c r="U246" i="22"/>
  <c r="T246" i="22"/>
  <c r="O246" i="22"/>
  <c r="Q246" i="22" s="1"/>
  <c r="L246" i="22"/>
  <c r="N246" i="22" s="1"/>
  <c r="I246" i="22"/>
  <c r="K246" i="22" s="1"/>
  <c r="G246" i="22"/>
  <c r="AI246" i="22" s="1"/>
  <c r="AB245" i="22"/>
  <c r="AA245" i="22"/>
  <c r="W245" i="22"/>
  <c r="Y245" i="22" s="1"/>
  <c r="U245" i="22"/>
  <c r="T245" i="22"/>
  <c r="O245" i="22"/>
  <c r="Q245" i="22" s="1"/>
  <c r="L245" i="22"/>
  <c r="N245" i="22" s="1"/>
  <c r="I245" i="22"/>
  <c r="K245" i="22" s="1"/>
  <c r="G245" i="22"/>
  <c r="AB244" i="22"/>
  <c r="AA244" i="22"/>
  <c r="W244" i="22"/>
  <c r="Y244" i="22" s="1"/>
  <c r="U244" i="22"/>
  <c r="T244" i="22"/>
  <c r="O244" i="22"/>
  <c r="Q244" i="22" s="1"/>
  <c r="L244" i="22"/>
  <c r="N244" i="22" s="1"/>
  <c r="I244" i="22"/>
  <c r="K244" i="22" s="1"/>
  <c r="G244" i="22"/>
  <c r="AI244" i="22" s="1"/>
  <c r="U243" i="22"/>
  <c r="T243" i="22"/>
  <c r="O243" i="22"/>
  <c r="Q243" i="22" s="1"/>
  <c r="L243" i="22"/>
  <c r="N243" i="22" s="1"/>
  <c r="I243" i="22"/>
  <c r="K243" i="22" s="1"/>
  <c r="G243" i="22"/>
  <c r="AI243" i="22" s="1"/>
  <c r="AB242" i="22"/>
  <c r="AA242" i="22"/>
  <c r="W242" i="22"/>
  <c r="Y242" i="22" s="1"/>
  <c r="U242" i="22"/>
  <c r="T242" i="22"/>
  <c r="O242" i="22"/>
  <c r="Q242" i="22" s="1"/>
  <c r="L242" i="22"/>
  <c r="N242" i="22" s="1"/>
  <c r="I242" i="22"/>
  <c r="K242" i="22" s="1"/>
  <c r="G242" i="22"/>
  <c r="AI242" i="22" s="1"/>
  <c r="AB241" i="22"/>
  <c r="AA241" i="22"/>
  <c r="W241" i="22"/>
  <c r="Y241" i="22" s="1"/>
  <c r="U241" i="22"/>
  <c r="T241" i="22"/>
  <c r="O241" i="22"/>
  <c r="Q241" i="22" s="1"/>
  <c r="L241" i="22"/>
  <c r="N241" i="22" s="1"/>
  <c r="I241" i="22"/>
  <c r="K241" i="22" s="1"/>
  <c r="G241" i="22"/>
  <c r="AI241" i="22" s="1"/>
  <c r="AB272" i="22"/>
  <c r="AA272" i="22"/>
  <c r="W272" i="22"/>
  <c r="Y272" i="22" s="1"/>
  <c r="U272" i="22"/>
  <c r="T272" i="22"/>
  <c r="O272" i="22"/>
  <c r="Q272" i="22" s="1"/>
  <c r="L272" i="22"/>
  <c r="N272" i="22" s="1"/>
  <c r="I272" i="22"/>
  <c r="K272" i="22" s="1"/>
  <c r="G272" i="22"/>
  <c r="AB20" i="22"/>
  <c r="AA20" i="22"/>
  <c r="W20" i="22"/>
  <c r="Y20" i="22" s="1"/>
  <c r="U20" i="22"/>
  <c r="T20" i="22"/>
  <c r="O20" i="22"/>
  <c r="Q20" i="22" s="1"/>
  <c r="L20" i="22"/>
  <c r="N20" i="22" s="1"/>
  <c r="I20" i="22"/>
  <c r="K20" i="22" s="1"/>
  <c r="G20" i="22"/>
  <c r="AB238" i="22"/>
  <c r="AA238" i="22"/>
  <c r="U238" i="22"/>
  <c r="T238" i="22"/>
  <c r="O238" i="22"/>
  <c r="Q238" i="22" s="1"/>
  <c r="L238" i="22"/>
  <c r="N238" i="22" s="1"/>
  <c r="I238" i="22"/>
  <c r="K238" i="22" s="1"/>
  <c r="G238" i="22"/>
  <c r="AO240" i="11" s="1"/>
  <c r="AB119" i="22"/>
  <c r="AA119" i="22"/>
  <c r="W119" i="22"/>
  <c r="Y119" i="22" s="1"/>
  <c r="U119" i="22"/>
  <c r="T119" i="22"/>
  <c r="O119" i="22"/>
  <c r="Q119" i="22" s="1"/>
  <c r="L119" i="22"/>
  <c r="N119" i="22" s="1"/>
  <c r="I119" i="22"/>
  <c r="K119" i="22" s="1"/>
  <c r="G119" i="22"/>
  <c r="AI119" i="22" s="1"/>
  <c r="AB269" i="22"/>
  <c r="AA269" i="22"/>
  <c r="W269" i="22"/>
  <c r="Y269" i="22" s="1"/>
  <c r="U269" i="22"/>
  <c r="T269" i="22"/>
  <c r="O269" i="22"/>
  <c r="Q269" i="22" s="1"/>
  <c r="L269" i="22"/>
  <c r="N269" i="22" s="1"/>
  <c r="I269" i="22"/>
  <c r="K269" i="22" s="1"/>
  <c r="G269" i="22"/>
  <c r="AI269" i="22" s="1"/>
  <c r="AB235" i="22"/>
  <c r="AA235" i="22"/>
  <c r="W235" i="22"/>
  <c r="Y235" i="22" s="1"/>
  <c r="U235" i="22"/>
  <c r="T235" i="22"/>
  <c r="O235" i="22"/>
  <c r="Q235" i="22" s="1"/>
  <c r="L235" i="22"/>
  <c r="N235" i="22" s="1"/>
  <c r="I235" i="22"/>
  <c r="K235" i="22" s="1"/>
  <c r="G235" i="22"/>
  <c r="AI235" i="22" s="1"/>
  <c r="AB234" i="22"/>
  <c r="AA234" i="22"/>
  <c r="W234" i="22"/>
  <c r="Y234" i="22" s="1"/>
  <c r="U234" i="22"/>
  <c r="T234" i="22"/>
  <c r="O234" i="22"/>
  <c r="Q234" i="22" s="1"/>
  <c r="L234" i="22"/>
  <c r="N234" i="22" s="1"/>
  <c r="I234" i="22"/>
  <c r="K234" i="22" s="1"/>
  <c r="G234" i="22"/>
  <c r="AI234" i="22" s="1"/>
  <c r="AB233" i="22"/>
  <c r="AA233" i="22"/>
  <c r="W233" i="22"/>
  <c r="Y233" i="22" s="1"/>
  <c r="U233" i="22"/>
  <c r="T233" i="22"/>
  <c r="O233" i="22"/>
  <c r="Q233" i="22" s="1"/>
  <c r="L233" i="22"/>
  <c r="N233" i="22" s="1"/>
  <c r="I233" i="22"/>
  <c r="K233" i="22" s="1"/>
  <c r="G233" i="22"/>
  <c r="U232" i="22"/>
  <c r="T232" i="22"/>
  <c r="O232" i="22"/>
  <c r="Q232" i="22" s="1"/>
  <c r="L232" i="22"/>
  <c r="N232" i="22" s="1"/>
  <c r="I232" i="22"/>
  <c r="K232" i="22" s="1"/>
  <c r="G232" i="22"/>
  <c r="AI232" i="22" s="1"/>
  <c r="AB231" i="22"/>
  <c r="AA231" i="22"/>
  <c r="W231" i="22"/>
  <c r="Y231" i="22" s="1"/>
  <c r="U231" i="22"/>
  <c r="T231" i="22"/>
  <c r="O231" i="22"/>
  <c r="Q231" i="22" s="1"/>
  <c r="L231" i="22"/>
  <c r="N231" i="22" s="1"/>
  <c r="I231" i="22"/>
  <c r="K231" i="22" s="1"/>
  <c r="G231" i="22"/>
  <c r="N48" i="29" s="1"/>
  <c r="AB145" i="22"/>
  <c r="AA145" i="22"/>
  <c r="W145" i="22"/>
  <c r="Y145" i="22" s="1"/>
  <c r="U145" i="22"/>
  <c r="T145" i="22"/>
  <c r="O145" i="22"/>
  <c r="Q145" i="22" s="1"/>
  <c r="L145" i="22"/>
  <c r="N145" i="22" s="1"/>
  <c r="I145" i="22"/>
  <c r="K145" i="22" s="1"/>
  <c r="G145" i="22"/>
  <c r="AB229" i="22"/>
  <c r="AA229" i="22"/>
  <c r="W229" i="22"/>
  <c r="Y229" i="22" s="1"/>
  <c r="U229" i="22"/>
  <c r="T229" i="22"/>
  <c r="O229" i="22"/>
  <c r="Q229" i="22" s="1"/>
  <c r="L229" i="22"/>
  <c r="N229" i="22" s="1"/>
  <c r="I229" i="22"/>
  <c r="K229" i="22" s="1"/>
  <c r="G229" i="22"/>
  <c r="AY231" i="11" s="1"/>
  <c r="AB46" i="22"/>
  <c r="AA46" i="22"/>
  <c r="W46" i="22"/>
  <c r="Y46" i="22" s="1"/>
  <c r="U46" i="22"/>
  <c r="O46" i="22"/>
  <c r="Q46" i="22" s="1"/>
  <c r="L46" i="22"/>
  <c r="N46" i="22" s="1"/>
  <c r="I46" i="22"/>
  <c r="K46" i="22" s="1"/>
  <c r="G46" i="22"/>
  <c r="AI46" i="22" s="1"/>
  <c r="AB227" i="22"/>
  <c r="AA227" i="22"/>
  <c r="W227" i="22"/>
  <c r="Y227" i="22" s="1"/>
  <c r="U227" i="22"/>
  <c r="T227" i="22"/>
  <c r="O227" i="22"/>
  <c r="Q227" i="22" s="1"/>
  <c r="L227" i="22"/>
  <c r="N227" i="22" s="1"/>
  <c r="I227" i="22"/>
  <c r="K227" i="22" s="1"/>
  <c r="G227" i="22"/>
  <c r="AT229" i="11" s="1"/>
  <c r="AB226" i="22"/>
  <c r="AA226" i="22"/>
  <c r="W226" i="22"/>
  <c r="Y226" i="22" s="1"/>
  <c r="U226" i="22"/>
  <c r="T226" i="22"/>
  <c r="O226" i="22"/>
  <c r="Q226" i="22" s="1"/>
  <c r="L226" i="22"/>
  <c r="N226" i="22" s="1"/>
  <c r="I226" i="22"/>
  <c r="K226" i="22" s="1"/>
  <c r="G226" i="22"/>
  <c r="AM228" i="11" s="1"/>
  <c r="AB225" i="22"/>
  <c r="AA225" i="22"/>
  <c r="W225" i="22"/>
  <c r="Y225" i="22" s="1"/>
  <c r="B58" i="58" s="1"/>
  <c r="U225" i="22"/>
  <c r="O225" i="22"/>
  <c r="Q225" i="22" s="1"/>
  <c r="L225" i="22"/>
  <c r="N225" i="22" s="1"/>
  <c r="I225" i="22"/>
  <c r="K225" i="22" s="1"/>
  <c r="G225" i="22"/>
  <c r="AI225" i="22" s="1"/>
  <c r="AB224" i="22"/>
  <c r="AA224" i="22"/>
  <c r="U224" i="22"/>
  <c r="T224" i="22"/>
  <c r="O224" i="22"/>
  <c r="Q224" i="22" s="1"/>
  <c r="L224" i="22"/>
  <c r="N224" i="22" s="1"/>
  <c r="I224" i="22"/>
  <c r="K224" i="22" s="1"/>
  <c r="G224" i="22"/>
  <c r="AI224" i="22" s="1"/>
  <c r="AB223" i="22"/>
  <c r="AA223" i="22"/>
  <c r="W223" i="22"/>
  <c r="Y223" i="22" s="1"/>
  <c r="U223" i="22"/>
  <c r="T223" i="22"/>
  <c r="O223" i="22"/>
  <c r="Q223" i="22" s="1"/>
  <c r="L223" i="22"/>
  <c r="N223" i="22" s="1"/>
  <c r="I223" i="22"/>
  <c r="K223" i="22" s="1"/>
  <c r="G223" i="22"/>
  <c r="AS225" i="11" s="1"/>
  <c r="AB222" i="22"/>
  <c r="AA222" i="22"/>
  <c r="W222" i="22"/>
  <c r="Y222" i="22" s="1"/>
  <c r="U222" i="22"/>
  <c r="T222" i="22"/>
  <c r="O222" i="22"/>
  <c r="Q222" i="22" s="1"/>
  <c r="L222" i="22"/>
  <c r="N222" i="22" s="1"/>
  <c r="I222" i="22"/>
  <c r="K222" i="22" s="1"/>
  <c r="G222" i="22"/>
  <c r="AI222" i="22" s="1"/>
  <c r="AB221" i="22"/>
  <c r="AA221" i="22"/>
  <c r="W221" i="22"/>
  <c r="Y221" i="22" s="1"/>
  <c r="U221" i="22"/>
  <c r="T221" i="22"/>
  <c r="O221" i="22"/>
  <c r="Q221" i="22" s="1"/>
  <c r="L221" i="22"/>
  <c r="N221" i="22" s="1"/>
  <c r="I221" i="22"/>
  <c r="K221" i="22" s="1"/>
  <c r="G221" i="22"/>
  <c r="AI221" i="22" s="1"/>
  <c r="U159" i="22"/>
  <c r="T159" i="22"/>
  <c r="O159" i="22"/>
  <c r="Q159" i="22" s="1"/>
  <c r="L159" i="22"/>
  <c r="N159" i="22" s="1"/>
  <c r="I159" i="22"/>
  <c r="K159" i="22" s="1"/>
  <c r="G159" i="22"/>
  <c r="AB304" i="22"/>
  <c r="AA304" i="22"/>
  <c r="W304" i="22"/>
  <c r="Y304" i="22" s="1"/>
  <c r="U304" i="22"/>
  <c r="T304" i="22"/>
  <c r="O304" i="22"/>
  <c r="Q304" i="22" s="1"/>
  <c r="L304" i="22"/>
  <c r="N304" i="22" s="1"/>
  <c r="I304" i="22"/>
  <c r="K304" i="22" s="1"/>
  <c r="G304" i="22"/>
  <c r="AB218" i="22"/>
  <c r="AA218" i="22"/>
  <c r="W218" i="22"/>
  <c r="Y218" i="22" s="1"/>
  <c r="U218" i="22"/>
  <c r="T218" i="22"/>
  <c r="O218" i="22"/>
  <c r="Q218" i="22" s="1"/>
  <c r="L218" i="22"/>
  <c r="N218" i="22" s="1"/>
  <c r="I218" i="22"/>
  <c r="K218" i="22" s="1"/>
  <c r="G218" i="22"/>
  <c r="AP220" i="11" s="1"/>
  <c r="AB406" i="22"/>
  <c r="AA406" i="22"/>
  <c r="W406" i="22"/>
  <c r="Y406" i="22" s="1"/>
  <c r="U406" i="22"/>
  <c r="T406" i="22"/>
  <c r="O406" i="22"/>
  <c r="Q406" i="22" s="1"/>
  <c r="L406" i="22"/>
  <c r="N406" i="22" s="1"/>
  <c r="I406" i="22"/>
  <c r="K406" i="22" s="1"/>
  <c r="G406" i="22"/>
  <c r="AR435" i="11" s="1"/>
  <c r="AB216" i="22"/>
  <c r="AA216" i="22"/>
  <c r="W216" i="22"/>
  <c r="Y216" i="22" s="1"/>
  <c r="U216" i="22"/>
  <c r="T216" i="22"/>
  <c r="O216" i="22"/>
  <c r="Q216" i="22" s="1"/>
  <c r="L216" i="22"/>
  <c r="N216" i="22" s="1"/>
  <c r="I216" i="22"/>
  <c r="K216" i="22" s="1"/>
  <c r="G216" i="22"/>
  <c r="AB215" i="22"/>
  <c r="AA215" i="22"/>
  <c r="W215" i="22"/>
  <c r="Y215" i="22" s="1"/>
  <c r="U215" i="22"/>
  <c r="T215" i="22"/>
  <c r="O215" i="22"/>
  <c r="Q215" i="22" s="1"/>
  <c r="L215" i="22"/>
  <c r="N215" i="22" s="1"/>
  <c r="I215" i="22"/>
  <c r="K215" i="22" s="1"/>
  <c r="G215" i="22"/>
  <c r="AI215" i="22" s="1"/>
  <c r="AB214" i="22"/>
  <c r="AA214" i="22"/>
  <c r="W214" i="22"/>
  <c r="Y214" i="22" s="1"/>
  <c r="U214" i="22"/>
  <c r="T214" i="22"/>
  <c r="O214" i="22"/>
  <c r="Q214" i="22" s="1"/>
  <c r="L214" i="22"/>
  <c r="N214" i="22" s="1"/>
  <c r="I214" i="22"/>
  <c r="K214" i="22" s="1"/>
  <c r="G214" i="22"/>
  <c r="AI214" i="22" s="1"/>
  <c r="AB364" i="22"/>
  <c r="AA364" i="22"/>
  <c r="W364" i="22"/>
  <c r="Y364" i="22" s="1"/>
  <c r="U364" i="22"/>
  <c r="T364" i="22"/>
  <c r="O364" i="22"/>
  <c r="Q364" i="22" s="1"/>
  <c r="L364" i="22"/>
  <c r="N364" i="22" s="1"/>
  <c r="I364" i="22"/>
  <c r="K364" i="22" s="1"/>
  <c r="G364" i="22"/>
  <c r="AI364" i="22" s="1"/>
  <c r="AB212" i="22"/>
  <c r="AA212" i="22"/>
  <c r="W212" i="22"/>
  <c r="Y212" i="22" s="1"/>
  <c r="U212" i="22"/>
  <c r="T212" i="22"/>
  <c r="O212" i="22"/>
  <c r="Q212" i="22" s="1"/>
  <c r="L212" i="22"/>
  <c r="N212" i="22" s="1"/>
  <c r="I212" i="22"/>
  <c r="K212" i="22" s="1"/>
  <c r="G212" i="22"/>
  <c r="AB211" i="22"/>
  <c r="AA211" i="22"/>
  <c r="W211" i="22"/>
  <c r="Y211" i="22" s="1"/>
  <c r="U211" i="22"/>
  <c r="T211" i="22"/>
  <c r="O211" i="22"/>
  <c r="Q211" i="22" s="1"/>
  <c r="L211" i="22"/>
  <c r="N211" i="22" s="1"/>
  <c r="I211" i="22"/>
  <c r="K211" i="22" s="1"/>
  <c r="G211" i="22"/>
  <c r="AB57" i="22"/>
  <c r="AA57" i="22"/>
  <c r="W57" i="22"/>
  <c r="Y57" i="22" s="1"/>
  <c r="U57" i="22"/>
  <c r="O57" i="22"/>
  <c r="Q57" i="22" s="1"/>
  <c r="L57" i="22"/>
  <c r="N57" i="22" s="1"/>
  <c r="I57" i="22"/>
  <c r="K57" i="22" s="1"/>
  <c r="G57" i="22"/>
  <c r="AI57" i="22" s="1"/>
  <c r="AB40" i="22"/>
  <c r="AA40" i="22"/>
  <c r="W40" i="22"/>
  <c r="Y40" i="22" s="1"/>
  <c r="U40" i="22"/>
  <c r="O40" i="22"/>
  <c r="Q40" i="22" s="1"/>
  <c r="L40" i="22"/>
  <c r="N40" i="22" s="1"/>
  <c r="I40" i="22"/>
  <c r="K40" i="22" s="1"/>
  <c r="G40" i="22"/>
  <c r="AI40" i="22" s="1"/>
  <c r="AB208" i="22"/>
  <c r="AA208" i="22"/>
  <c r="W208" i="22"/>
  <c r="Y208" i="22" s="1"/>
  <c r="U208" i="22"/>
  <c r="T208" i="22"/>
  <c r="O208" i="22"/>
  <c r="Q208" i="22" s="1"/>
  <c r="L208" i="22"/>
  <c r="N208" i="22" s="1"/>
  <c r="I208" i="22"/>
  <c r="K208" i="22" s="1"/>
  <c r="G208" i="22"/>
  <c r="AI208" i="22" s="1"/>
  <c r="AB207" i="22"/>
  <c r="AA207" i="22"/>
  <c r="W207" i="22"/>
  <c r="Y207" i="22" s="1"/>
  <c r="U207" i="22"/>
  <c r="T207" i="22"/>
  <c r="O207" i="22"/>
  <c r="Q207" i="22" s="1"/>
  <c r="L207" i="22"/>
  <c r="N207" i="22" s="1"/>
  <c r="I207" i="22"/>
  <c r="K207" i="22" s="1"/>
  <c r="G207" i="22"/>
  <c r="BA209" i="11" s="1"/>
  <c r="U206" i="22"/>
  <c r="T206" i="22"/>
  <c r="O206" i="22"/>
  <c r="Q206" i="22" s="1"/>
  <c r="L206" i="22"/>
  <c r="N206" i="22" s="1"/>
  <c r="I206" i="22"/>
  <c r="K206" i="22" s="1"/>
  <c r="G206" i="22"/>
  <c r="AB205" i="22"/>
  <c r="AA205" i="22"/>
  <c r="W205" i="22"/>
  <c r="Y205" i="22" s="1"/>
  <c r="U205" i="22"/>
  <c r="T205" i="22"/>
  <c r="O205" i="22"/>
  <c r="Q205" i="22" s="1"/>
  <c r="L205" i="22"/>
  <c r="N205" i="22" s="1"/>
  <c r="I205" i="22"/>
  <c r="K205" i="22" s="1"/>
  <c r="G205" i="22"/>
  <c r="AB204" i="22"/>
  <c r="AA204" i="22"/>
  <c r="W204" i="22"/>
  <c r="Y204" i="22" s="1"/>
  <c r="U204" i="22"/>
  <c r="T204" i="22"/>
  <c r="O204" i="22"/>
  <c r="Q204" i="22" s="1"/>
  <c r="L204" i="22"/>
  <c r="N204" i="22" s="1"/>
  <c r="I204" i="22"/>
  <c r="K204" i="22" s="1"/>
  <c r="G204" i="22"/>
  <c r="AP206" i="11" s="1"/>
  <c r="AB203" i="22"/>
  <c r="AA203" i="22"/>
  <c r="W203" i="22"/>
  <c r="Y203" i="22" s="1"/>
  <c r="U203" i="22"/>
  <c r="T203" i="22"/>
  <c r="O203" i="22"/>
  <c r="Q203" i="22" s="1"/>
  <c r="L203" i="22"/>
  <c r="N203" i="22" s="1"/>
  <c r="I203" i="22"/>
  <c r="K203" i="22" s="1"/>
  <c r="G203" i="22"/>
  <c r="AU205" i="11" s="1"/>
  <c r="AB219" i="22"/>
  <c r="AA219" i="22"/>
  <c r="W219" i="22"/>
  <c r="Y219" i="22" s="1"/>
  <c r="U219" i="22"/>
  <c r="T219" i="22"/>
  <c r="O219" i="22"/>
  <c r="Q219" i="22" s="1"/>
  <c r="L219" i="22"/>
  <c r="N219" i="22" s="1"/>
  <c r="I219" i="22"/>
  <c r="K219" i="22" s="1"/>
  <c r="G219" i="22"/>
  <c r="BA221" i="11" s="1"/>
  <c r="AB201" i="22"/>
  <c r="AA201" i="22"/>
  <c r="W201" i="22"/>
  <c r="Y201" i="22" s="1"/>
  <c r="U201" i="22"/>
  <c r="T201" i="22"/>
  <c r="O201" i="22"/>
  <c r="Q201" i="22" s="1"/>
  <c r="L201" i="22"/>
  <c r="N201" i="22" s="1"/>
  <c r="I201" i="22"/>
  <c r="K201" i="22" s="1"/>
  <c r="G201" i="22"/>
  <c r="AB200" i="22"/>
  <c r="AA200" i="22"/>
  <c r="W200" i="22"/>
  <c r="Y200" i="22" s="1"/>
  <c r="U200" i="22"/>
  <c r="T200" i="22"/>
  <c r="O200" i="22"/>
  <c r="Q200" i="22" s="1"/>
  <c r="L200" i="22"/>
  <c r="N200" i="22" s="1"/>
  <c r="I200" i="22"/>
  <c r="K200" i="22" s="1"/>
  <c r="G200" i="22"/>
  <c r="AI200" i="22" s="1"/>
  <c r="AB199" i="22"/>
  <c r="AA199" i="22"/>
  <c r="W199" i="22"/>
  <c r="Y199" i="22" s="1"/>
  <c r="U199" i="22"/>
  <c r="T199" i="22"/>
  <c r="O199" i="22"/>
  <c r="Q199" i="22" s="1"/>
  <c r="L199" i="22"/>
  <c r="N199" i="22" s="1"/>
  <c r="I199" i="22"/>
  <c r="K199" i="22" s="1"/>
  <c r="G199" i="22"/>
  <c r="AI199" i="22" s="1"/>
  <c r="AB106" i="22"/>
  <c r="AA106" i="22"/>
  <c r="W106" i="22"/>
  <c r="Y106" i="22" s="1"/>
  <c r="U106" i="22"/>
  <c r="T106" i="22"/>
  <c r="O106" i="22"/>
  <c r="Q106" i="22" s="1"/>
  <c r="L106" i="22"/>
  <c r="N106" i="22" s="1"/>
  <c r="I106" i="22"/>
  <c r="K106" i="22" s="1"/>
  <c r="G106" i="22"/>
  <c r="AZ108" i="11" s="1"/>
  <c r="AB154" i="22"/>
  <c r="AA154" i="22"/>
  <c r="W154" i="22"/>
  <c r="Y154" i="22" s="1"/>
  <c r="U154" i="22"/>
  <c r="T154" i="22"/>
  <c r="O154" i="22"/>
  <c r="Q154" i="22" s="1"/>
  <c r="L154" i="22"/>
  <c r="N154" i="22" s="1"/>
  <c r="I154" i="22"/>
  <c r="K154" i="22" s="1"/>
  <c r="G154" i="22"/>
  <c r="AB196" i="22"/>
  <c r="AA196" i="22"/>
  <c r="W196" i="22"/>
  <c r="Y196" i="22" s="1"/>
  <c r="U196" i="22"/>
  <c r="T196" i="22"/>
  <c r="O196" i="22"/>
  <c r="Q196" i="22" s="1"/>
  <c r="L196" i="22"/>
  <c r="N196" i="22" s="1"/>
  <c r="I196" i="22"/>
  <c r="K196" i="22" s="1"/>
  <c r="G196" i="22"/>
  <c r="AK198" i="11" s="1"/>
  <c r="AB195" i="22"/>
  <c r="AA195" i="22"/>
  <c r="W195" i="22"/>
  <c r="Y195" i="22" s="1"/>
  <c r="U195" i="22"/>
  <c r="T195" i="22"/>
  <c r="O195" i="22"/>
  <c r="Q195" i="22" s="1"/>
  <c r="L195" i="22"/>
  <c r="N195" i="22" s="1"/>
  <c r="I195" i="22"/>
  <c r="K195" i="22" s="1"/>
  <c r="G195" i="22"/>
  <c r="BG197" i="11" s="1"/>
  <c r="AB194" i="22"/>
  <c r="AA194" i="22"/>
  <c r="W194" i="22"/>
  <c r="Y194" i="22" s="1"/>
  <c r="U194" i="22"/>
  <c r="T194" i="22"/>
  <c r="O194" i="22"/>
  <c r="Q194" i="22" s="1"/>
  <c r="L194" i="22"/>
  <c r="N194" i="22" s="1"/>
  <c r="I194" i="22"/>
  <c r="K194" i="22" s="1"/>
  <c r="G194" i="22"/>
  <c r="AI194" i="22" s="1"/>
  <c r="AB193" i="22"/>
  <c r="AA193" i="22"/>
  <c r="W193" i="22"/>
  <c r="Y193" i="22" s="1"/>
  <c r="U193" i="22"/>
  <c r="T193" i="22"/>
  <c r="O193" i="22"/>
  <c r="Q193" i="22" s="1"/>
  <c r="L193" i="22"/>
  <c r="N193" i="22" s="1"/>
  <c r="I193" i="22"/>
  <c r="K193" i="22" s="1"/>
  <c r="G193" i="22"/>
  <c r="AB192" i="22"/>
  <c r="AA192" i="22"/>
  <c r="W192" i="22"/>
  <c r="Y192" i="22" s="1"/>
  <c r="U192" i="22"/>
  <c r="T192" i="22"/>
  <c r="O192" i="22"/>
  <c r="Q192" i="22" s="1"/>
  <c r="L192" i="22"/>
  <c r="N192" i="22" s="1"/>
  <c r="I192" i="22"/>
  <c r="K192" i="22" s="1"/>
  <c r="G192" i="22"/>
  <c r="AI192" i="22" s="1"/>
  <c r="AB191" i="22"/>
  <c r="AA191" i="22"/>
  <c r="W191" i="22"/>
  <c r="Y191" i="22" s="1"/>
  <c r="U191" i="22"/>
  <c r="T191" i="22"/>
  <c r="O191" i="22"/>
  <c r="Q191" i="22" s="1"/>
  <c r="L191" i="22"/>
  <c r="N191" i="22" s="1"/>
  <c r="I191" i="22"/>
  <c r="K191" i="22" s="1"/>
  <c r="G191" i="22"/>
  <c r="AB190" i="22"/>
  <c r="AA190" i="22"/>
  <c r="W190" i="22"/>
  <c r="Y190" i="22" s="1"/>
  <c r="U190" i="22"/>
  <c r="T190" i="22"/>
  <c r="O190" i="22"/>
  <c r="Q190" i="22" s="1"/>
  <c r="L190" i="22"/>
  <c r="N190" i="22" s="1"/>
  <c r="I190" i="22"/>
  <c r="K190" i="22" s="1"/>
  <c r="G190" i="22"/>
  <c r="AB189" i="22"/>
  <c r="AA189" i="22"/>
  <c r="W189" i="22"/>
  <c r="Y189" i="22" s="1"/>
  <c r="U189" i="22"/>
  <c r="T189" i="22"/>
  <c r="O189" i="22"/>
  <c r="Q189" i="22" s="1"/>
  <c r="L189" i="22"/>
  <c r="N189" i="22" s="1"/>
  <c r="I189" i="22"/>
  <c r="K189" i="22" s="1"/>
  <c r="G189" i="22"/>
  <c r="AB188" i="22"/>
  <c r="AA188" i="22"/>
  <c r="U188" i="22"/>
  <c r="T188" i="22"/>
  <c r="O188" i="22"/>
  <c r="Q188" i="22" s="1"/>
  <c r="L188" i="22"/>
  <c r="N188" i="22" s="1"/>
  <c r="I188" i="22"/>
  <c r="K188" i="22" s="1"/>
  <c r="G188" i="22"/>
  <c r="BI190" i="11" s="1"/>
  <c r="AB187" i="22"/>
  <c r="AA187" i="22"/>
  <c r="U187" i="22"/>
  <c r="T187" i="22"/>
  <c r="O187" i="22"/>
  <c r="Q187" i="22" s="1"/>
  <c r="L187" i="22"/>
  <c r="N187" i="22" s="1"/>
  <c r="I187" i="22"/>
  <c r="K187" i="22" s="1"/>
  <c r="G187" i="22"/>
  <c r="AR189" i="11" s="1"/>
  <c r="AA186" i="22"/>
  <c r="W186" i="22"/>
  <c r="Y186" i="22" s="1"/>
  <c r="U186" i="22"/>
  <c r="T186" i="22"/>
  <c r="O186" i="22"/>
  <c r="Q186" i="22" s="1"/>
  <c r="L186" i="22"/>
  <c r="N186" i="22" s="1"/>
  <c r="I186" i="22"/>
  <c r="K186" i="22" s="1"/>
  <c r="G186" i="22"/>
  <c r="AI186" i="22" s="1"/>
  <c r="AB185" i="22"/>
  <c r="AA185" i="22"/>
  <c r="W185" i="22"/>
  <c r="Y185" i="22" s="1"/>
  <c r="U185" i="22"/>
  <c r="T185" i="22"/>
  <c r="O185" i="22"/>
  <c r="Q185" i="22" s="1"/>
  <c r="L185" i="22"/>
  <c r="N185" i="22" s="1"/>
  <c r="I185" i="22"/>
  <c r="K185" i="22" s="1"/>
  <c r="G185" i="22"/>
  <c r="AI185" i="22" s="1"/>
  <c r="AB184" i="22"/>
  <c r="AA184" i="22"/>
  <c r="W184" i="22"/>
  <c r="Y184" i="22" s="1"/>
  <c r="U184" i="22"/>
  <c r="T184" i="22"/>
  <c r="O184" i="22"/>
  <c r="Q184" i="22" s="1"/>
  <c r="L184" i="22"/>
  <c r="N184" i="22" s="1"/>
  <c r="I184" i="22"/>
  <c r="K184" i="22" s="1"/>
  <c r="G184" i="22"/>
  <c r="AI184" i="22" s="1"/>
  <c r="AB183" i="22"/>
  <c r="AA183" i="22"/>
  <c r="W183" i="22"/>
  <c r="Y183" i="22" s="1"/>
  <c r="U183" i="22"/>
  <c r="T183" i="22"/>
  <c r="O183" i="22"/>
  <c r="Q183" i="22" s="1"/>
  <c r="L183" i="22"/>
  <c r="N183" i="22" s="1"/>
  <c r="I183" i="22"/>
  <c r="K183" i="22" s="1"/>
  <c r="G183" i="22"/>
  <c r="AI183" i="22" s="1"/>
  <c r="AB182" i="22"/>
  <c r="AA182" i="22"/>
  <c r="W182" i="22"/>
  <c r="Y182" i="22" s="1"/>
  <c r="U182" i="22"/>
  <c r="T182" i="22"/>
  <c r="O182" i="22"/>
  <c r="Q182" i="22" s="1"/>
  <c r="L182" i="22"/>
  <c r="N182" i="22" s="1"/>
  <c r="I182" i="22"/>
  <c r="K182" i="22" s="1"/>
  <c r="G182" i="22"/>
  <c r="AB181" i="22"/>
  <c r="AA181" i="22"/>
  <c r="W181" i="22"/>
  <c r="Y181" i="22" s="1"/>
  <c r="U181" i="22"/>
  <c r="T181" i="22"/>
  <c r="O181" i="22"/>
  <c r="Q181" i="22" s="1"/>
  <c r="L181" i="22"/>
  <c r="N181" i="22" s="1"/>
  <c r="I181" i="22"/>
  <c r="K181" i="22" s="1"/>
  <c r="G181" i="22"/>
  <c r="AI181" i="22" s="1"/>
  <c r="AB283" i="22"/>
  <c r="AA283" i="22"/>
  <c r="W283" i="22"/>
  <c r="Y283" i="22" s="1"/>
  <c r="U283" i="22"/>
  <c r="T283" i="22"/>
  <c r="O283" i="22"/>
  <c r="Q283" i="22" s="1"/>
  <c r="L283" i="22"/>
  <c r="N283" i="22" s="1"/>
  <c r="I283" i="22"/>
  <c r="K283" i="22" s="1"/>
  <c r="G283" i="22"/>
  <c r="AI283" i="22" s="1"/>
  <c r="AB179" i="22"/>
  <c r="AA179" i="22"/>
  <c r="W179" i="22"/>
  <c r="Y179" i="22" s="1"/>
  <c r="U179" i="22"/>
  <c r="T179" i="22"/>
  <c r="O179" i="22"/>
  <c r="Q179" i="22" s="1"/>
  <c r="L179" i="22"/>
  <c r="N179" i="22" s="1"/>
  <c r="I179" i="22"/>
  <c r="K179" i="22" s="1"/>
  <c r="G179" i="22"/>
  <c r="AI179" i="22" s="1"/>
  <c r="AB178" i="22"/>
  <c r="AA178" i="22"/>
  <c r="W178" i="22"/>
  <c r="Y178" i="22" s="1"/>
  <c r="U178" i="22"/>
  <c r="T178" i="22"/>
  <c r="O178" i="22"/>
  <c r="Q178" i="22" s="1"/>
  <c r="L178" i="22"/>
  <c r="N178" i="22" s="1"/>
  <c r="I178" i="22"/>
  <c r="K178" i="22" s="1"/>
  <c r="G178" i="22"/>
  <c r="AI178" i="22" s="1"/>
  <c r="AB260" i="22"/>
  <c r="AA260" i="22"/>
  <c r="W260" i="22"/>
  <c r="Y260" i="22" s="1"/>
  <c r="U260" i="22"/>
  <c r="T260" i="22"/>
  <c r="O260" i="22"/>
  <c r="Q260" i="22" s="1"/>
  <c r="L260" i="22"/>
  <c r="N260" i="22" s="1"/>
  <c r="I260" i="22"/>
  <c r="K260" i="22" s="1"/>
  <c r="G260" i="22"/>
  <c r="AI260" i="22" s="1"/>
  <c r="AB176" i="22"/>
  <c r="AA176" i="22"/>
  <c r="W176" i="22"/>
  <c r="Y176" i="22" s="1"/>
  <c r="U176" i="22"/>
  <c r="T176" i="22"/>
  <c r="O176" i="22"/>
  <c r="Q176" i="22" s="1"/>
  <c r="L176" i="22"/>
  <c r="N176" i="22" s="1"/>
  <c r="I176" i="22"/>
  <c r="K176" i="22" s="1"/>
  <c r="G176" i="22"/>
  <c r="AI176" i="22" s="1"/>
  <c r="AB175" i="22"/>
  <c r="AA175" i="22"/>
  <c r="W175" i="22"/>
  <c r="Y175" i="22" s="1"/>
  <c r="U175" i="22"/>
  <c r="T175" i="22"/>
  <c r="O175" i="22"/>
  <c r="Q175" i="22" s="1"/>
  <c r="L175" i="22"/>
  <c r="N175" i="22" s="1"/>
  <c r="I175" i="22"/>
  <c r="K175" i="22" s="1"/>
  <c r="G175" i="22"/>
  <c r="AI175" i="22" s="1"/>
  <c r="AB174" i="22"/>
  <c r="AA174" i="22"/>
  <c r="W174" i="22"/>
  <c r="Y174" i="22" s="1"/>
  <c r="U174" i="22"/>
  <c r="T174" i="22"/>
  <c r="O174" i="22"/>
  <c r="Q174" i="22" s="1"/>
  <c r="L174" i="22"/>
  <c r="N174" i="22" s="1"/>
  <c r="I174" i="22"/>
  <c r="K174" i="22" s="1"/>
  <c r="G174" i="22"/>
  <c r="AB173" i="22"/>
  <c r="AA173" i="22"/>
  <c r="W173" i="22"/>
  <c r="Y173" i="22" s="1"/>
  <c r="U173" i="22"/>
  <c r="T173" i="22"/>
  <c r="O173" i="22"/>
  <c r="Q173" i="22" s="1"/>
  <c r="L173" i="22"/>
  <c r="N173" i="22" s="1"/>
  <c r="I173" i="22"/>
  <c r="K173" i="22" s="1"/>
  <c r="G173" i="22"/>
  <c r="AI173" i="22" s="1"/>
  <c r="AB172" i="22"/>
  <c r="AA172" i="22"/>
  <c r="W172" i="22"/>
  <c r="Y172" i="22" s="1"/>
  <c r="U172" i="22"/>
  <c r="T172" i="22"/>
  <c r="O172" i="22"/>
  <c r="Q172" i="22" s="1"/>
  <c r="L172" i="22"/>
  <c r="N172" i="22" s="1"/>
  <c r="I172" i="22"/>
  <c r="K172" i="22" s="1"/>
  <c r="G172" i="22"/>
  <c r="AB171" i="22"/>
  <c r="AA171" i="22"/>
  <c r="W171" i="22"/>
  <c r="Y171" i="22" s="1"/>
  <c r="U171" i="22"/>
  <c r="T171" i="22"/>
  <c r="O171" i="22"/>
  <c r="Q171" i="22" s="1"/>
  <c r="L171" i="22"/>
  <c r="N171" i="22" s="1"/>
  <c r="I171" i="22"/>
  <c r="K171" i="22" s="1"/>
  <c r="G171" i="22"/>
  <c r="BB173" i="11" s="1"/>
  <c r="AB89" i="22"/>
  <c r="AA89" i="22"/>
  <c r="W89" i="22"/>
  <c r="Y89" i="22" s="1"/>
  <c r="U89" i="22"/>
  <c r="T89" i="22"/>
  <c r="O89" i="22"/>
  <c r="Q89" i="22" s="1"/>
  <c r="L89" i="22"/>
  <c r="N89" i="22" s="1"/>
  <c r="I89" i="22"/>
  <c r="K89" i="22" s="1"/>
  <c r="G89" i="22"/>
  <c r="AI89" i="22" s="1"/>
  <c r="AB351" i="22"/>
  <c r="AA351" i="22"/>
  <c r="U351" i="22"/>
  <c r="T351" i="22"/>
  <c r="O351" i="22"/>
  <c r="Q351" i="22" s="1"/>
  <c r="L351" i="22"/>
  <c r="N351" i="22" s="1"/>
  <c r="I351" i="22"/>
  <c r="K351" i="22" s="1"/>
  <c r="G351" i="22"/>
  <c r="AI351" i="22" s="1"/>
  <c r="AB168" i="22"/>
  <c r="AA168" i="22"/>
  <c r="W168" i="22"/>
  <c r="Y168" i="22" s="1"/>
  <c r="U168" i="22"/>
  <c r="T168" i="22"/>
  <c r="O168" i="22"/>
  <c r="Q168" i="22" s="1"/>
  <c r="L168" i="22"/>
  <c r="N168" i="22" s="1"/>
  <c r="I168" i="22"/>
  <c r="K168" i="22" s="1"/>
  <c r="G168" i="22"/>
  <c r="AI168" i="22" s="1"/>
  <c r="AB167" i="22"/>
  <c r="AA167" i="22"/>
  <c r="W167" i="22"/>
  <c r="Y167" i="22" s="1"/>
  <c r="U167" i="22"/>
  <c r="T167" i="22"/>
  <c r="O167" i="22"/>
  <c r="Q167" i="22" s="1"/>
  <c r="L167" i="22"/>
  <c r="N167" i="22" s="1"/>
  <c r="I167" i="22"/>
  <c r="K167" i="22" s="1"/>
  <c r="G167" i="22"/>
  <c r="AB166" i="22"/>
  <c r="AA166" i="22"/>
  <c r="W166" i="22"/>
  <c r="Y166" i="22" s="1"/>
  <c r="U166" i="22"/>
  <c r="T166" i="22"/>
  <c r="O166" i="22"/>
  <c r="Q166" i="22" s="1"/>
  <c r="L166" i="22"/>
  <c r="N166" i="22" s="1"/>
  <c r="I166" i="22"/>
  <c r="K166" i="22" s="1"/>
  <c r="G166" i="22"/>
  <c r="AI166" i="22" s="1"/>
  <c r="AB165" i="22"/>
  <c r="AA165" i="22"/>
  <c r="W165" i="22"/>
  <c r="Y165" i="22" s="1"/>
  <c r="U165" i="22"/>
  <c r="T165" i="22"/>
  <c r="O165" i="22"/>
  <c r="Q165" i="22" s="1"/>
  <c r="L165" i="22"/>
  <c r="N165" i="22" s="1"/>
  <c r="I165" i="22"/>
  <c r="K165" i="22" s="1"/>
  <c r="G165" i="22"/>
  <c r="AI165" i="22" s="1"/>
  <c r="AB164" i="22"/>
  <c r="AA164" i="22"/>
  <c r="W164" i="22"/>
  <c r="Y164" i="22" s="1"/>
  <c r="U164" i="22"/>
  <c r="T164" i="22"/>
  <c r="O164" i="22"/>
  <c r="Q164" i="22" s="1"/>
  <c r="L164" i="22"/>
  <c r="N164" i="22" s="1"/>
  <c r="I164" i="22"/>
  <c r="K164" i="22" s="1"/>
  <c r="G164" i="22"/>
  <c r="AI164" i="22" s="1"/>
  <c r="AB163" i="22"/>
  <c r="AA163" i="22"/>
  <c r="W163" i="22"/>
  <c r="Y163" i="22" s="1"/>
  <c r="U163" i="22"/>
  <c r="T163" i="22"/>
  <c r="O163" i="22"/>
  <c r="Q163" i="22" s="1"/>
  <c r="L163" i="22"/>
  <c r="N163" i="22" s="1"/>
  <c r="I163" i="22"/>
  <c r="K163" i="22" s="1"/>
  <c r="G163" i="22"/>
  <c r="W162" i="22"/>
  <c r="Y162" i="22" s="1"/>
  <c r="U162" i="22"/>
  <c r="T162" i="22"/>
  <c r="O162" i="22"/>
  <c r="Q162" i="22" s="1"/>
  <c r="L162" i="22"/>
  <c r="N162" i="22" s="1"/>
  <c r="I162" i="22"/>
  <c r="K162" i="22" s="1"/>
  <c r="G162" i="22"/>
  <c r="AB161" i="22"/>
  <c r="AA161" i="22"/>
  <c r="W161" i="22"/>
  <c r="Y161" i="22" s="1"/>
  <c r="U161" i="22"/>
  <c r="T161" i="22"/>
  <c r="O161" i="22"/>
  <c r="Q161" i="22" s="1"/>
  <c r="L161" i="22"/>
  <c r="N161" i="22" s="1"/>
  <c r="I161" i="22"/>
  <c r="K161" i="22" s="1"/>
  <c r="G161" i="22"/>
  <c r="AI161" i="22" s="1"/>
  <c r="AB160" i="22"/>
  <c r="AA160" i="22"/>
  <c r="W160" i="22"/>
  <c r="Y160" i="22" s="1"/>
  <c r="U160" i="22"/>
  <c r="T160" i="22"/>
  <c r="O160" i="22"/>
  <c r="Q160" i="22" s="1"/>
  <c r="L160" i="22"/>
  <c r="N160" i="22" s="1"/>
  <c r="I160" i="22"/>
  <c r="K160" i="22" s="1"/>
  <c r="G160" i="22"/>
  <c r="AI160" i="22" s="1"/>
  <c r="AB334" i="22"/>
  <c r="AA334" i="22"/>
  <c r="W334" i="22"/>
  <c r="Y334" i="22" s="1"/>
  <c r="U334" i="22"/>
  <c r="T334" i="22"/>
  <c r="O334" i="22"/>
  <c r="Q334" i="22" s="1"/>
  <c r="L334" i="22"/>
  <c r="N334" i="22" s="1"/>
  <c r="I334" i="22"/>
  <c r="K334" i="22" s="1"/>
  <c r="G334" i="22"/>
  <c r="AI334" i="22" s="1"/>
  <c r="AB158" i="22"/>
  <c r="AA158" i="22"/>
  <c r="W158" i="22"/>
  <c r="Y158" i="22" s="1"/>
  <c r="U158" i="22"/>
  <c r="T158" i="22"/>
  <c r="O158" i="22"/>
  <c r="Q158" i="22" s="1"/>
  <c r="L158" i="22"/>
  <c r="N158" i="22" s="1"/>
  <c r="I158" i="22"/>
  <c r="K158" i="22" s="1"/>
  <c r="G158" i="22"/>
  <c r="AI158" i="22" s="1"/>
  <c r="AB157" i="22"/>
  <c r="AA157" i="22"/>
  <c r="W157" i="22"/>
  <c r="Y157" i="22" s="1"/>
  <c r="U157" i="22"/>
  <c r="T157" i="22"/>
  <c r="O157" i="22"/>
  <c r="Q157" i="22" s="1"/>
  <c r="L157" i="22"/>
  <c r="N157" i="22" s="1"/>
  <c r="I157" i="22"/>
  <c r="K157" i="22" s="1"/>
  <c r="G157" i="22"/>
  <c r="AI157" i="22" s="1"/>
  <c r="AB156" i="22"/>
  <c r="AA156" i="22"/>
  <c r="W156" i="22"/>
  <c r="Y156" i="22" s="1"/>
  <c r="U156" i="22"/>
  <c r="T156" i="22"/>
  <c r="O156" i="22"/>
  <c r="Q156" i="22" s="1"/>
  <c r="L156" i="22"/>
  <c r="N156" i="22" s="1"/>
  <c r="I156" i="22"/>
  <c r="K156" i="22" s="1"/>
  <c r="G156" i="22"/>
  <c r="AI156" i="22" s="1"/>
  <c r="AB60" i="22"/>
  <c r="AA60" i="22"/>
  <c r="W60" i="22"/>
  <c r="Y60" i="22" s="1"/>
  <c r="U60" i="22"/>
  <c r="O60" i="22"/>
  <c r="Q60" i="22" s="1"/>
  <c r="L60" i="22"/>
  <c r="N60" i="22" s="1"/>
  <c r="I60" i="22"/>
  <c r="K60" i="22" s="1"/>
  <c r="G60" i="22"/>
  <c r="AI60" i="22" s="1"/>
  <c r="AB125" i="22"/>
  <c r="AA125" i="22"/>
  <c r="W125" i="22"/>
  <c r="Y125" i="22" s="1"/>
  <c r="U125" i="22"/>
  <c r="T125" i="22"/>
  <c r="O125" i="22"/>
  <c r="Q125" i="22" s="1"/>
  <c r="L125" i="22"/>
  <c r="N125" i="22" s="1"/>
  <c r="I125" i="22"/>
  <c r="K125" i="22" s="1"/>
  <c r="G125" i="22"/>
  <c r="AI125" i="22" s="1"/>
  <c r="AB153" i="22"/>
  <c r="AA153" i="22"/>
  <c r="W153" i="22"/>
  <c r="Y153" i="22" s="1"/>
  <c r="U153" i="22"/>
  <c r="T153" i="22"/>
  <c r="O153" i="22"/>
  <c r="Q153" i="22" s="1"/>
  <c r="L153" i="22"/>
  <c r="N153" i="22" s="1"/>
  <c r="I153" i="22"/>
  <c r="K153" i="22" s="1"/>
  <c r="G153" i="22"/>
  <c r="AI153" i="22" s="1"/>
  <c r="AB152" i="22"/>
  <c r="AA152" i="22"/>
  <c r="W152" i="22"/>
  <c r="Y152" i="22" s="1"/>
  <c r="U152" i="22"/>
  <c r="T152" i="22"/>
  <c r="O152" i="22"/>
  <c r="Q152" i="22" s="1"/>
  <c r="L152" i="22"/>
  <c r="N152" i="22" s="1"/>
  <c r="I152" i="22"/>
  <c r="K152" i="22" s="1"/>
  <c r="G152" i="22"/>
  <c r="AB151" i="22"/>
  <c r="AA151" i="22"/>
  <c r="W151" i="22"/>
  <c r="Y151" i="22" s="1"/>
  <c r="U151" i="22"/>
  <c r="T151" i="22"/>
  <c r="O151" i="22"/>
  <c r="Q151" i="22" s="1"/>
  <c r="L151" i="22"/>
  <c r="N151" i="22" s="1"/>
  <c r="I151" i="22"/>
  <c r="K151" i="22" s="1"/>
  <c r="G151" i="22"/>
  <c r="AI151" i="22" s="1"/>
  <c r="AB150" i="22"/>
  <c r="AA150" i="22"/>
  <c r="W150" i="22"/>
  <c r="Y150" i="22" s="1"/>
  <c r="U150" i="22"/>
  <c r="T150" i="22"/>
  <c r="O150" i="22"/>
  <c r="Q150" i="22" s="1"/>
  <c r="L150" i="22"/>
  <c r="N150" i="22" s="1"/>
  <c r="I150" i="22"/>
  <c r="K150" i="22" s="1"/>
  <c r="G150" i="22"/>
  <c r="AI150" i="22" s="1"/>
  <c r="AB149" i="22"/>
  <c r="AA149" i="22"/>
  <c r="W149" i="22"/>
  <c r="Y149" i="22" s="1"/>
  <c r="U149" i="22"/>
  <c r="T149" i="22"/>
  <c r="O149" i="22"/>
  <c r="Q149" i="22" s="1"/>
  <c r="L149" i="22"/>
  <c r="N149" i="22" s="1"/>
  <c r="I149" i="22"/>
  <c r="K149" i="22" s="1"/>
  <c r="G149" i="22"/>
  <c r="AI149" i="22" s="1"/>
  <c r="AB148" i="22"/>
  <c r="AA148" i="22"/>
  <c r="W148" i="22"/>
  <c r="Y148" i="22" s="1"/>
  <c r="U148" i="22"/>
  <c r="T148" i="22"/>
  <c r="O148" i="22"/>
  <c r="Q148" i="22" s="1"/>
  <c r="L148" i="22"/>
  <c r="N148" i="22" s="1"/>
  <c r="I148" i="22"/>
  <c r="K148" i="22" s="1"/>
  <c r="G148" i="22"/>
  <c r="AB147" i="22"/>
  <c r="AA147" i="22"/>
  <c r="W147" i="22"/>
  <c r="Y147" i="22" s="1"/>
  <c r="U147" i="22"/>
  <c r="T147" i="22"/>
  <c r="O147" i="22"/>
  <c r="Q147" i="22" s="1"/>
  <c r="L147" i="22"/>
  <c r="N147" i="22" s="1"/>
  <c r="I147" i="22"/>
  <c r="K147" i="22" s="1"/>
  <c r="G147" i="22"/>
  <c r="AI147" i="22" s="1"/>
  <c r="AB146" i="22"/>
  <c r="AA146" i="22"/>
  <c r="W146" i="22"/>
  <c r="Y146" i="22" s="1"/>
  <c r="U146" i="22"/>
  <c r="T146" i="22"/>
  <c r="O146" i="22"/>
  <c r="Q146" i="22" s="1"/>
  <c r="L146" i="22"/>
  <c r="N146" i="22" s="1"/>
  <c r="I146" i="22"/>
  <c r="K146" i="22" s="1"/>
  <c r="G146" i="22"/>
  <c r="AI146" i="22" s="1"/>
  <c r="AB213" i="22"/>
  <c r="AA213" i="22"/>
  <c r="W213" i="22"/>
  <c r="Y213" i="22" s="1"/>
  <c r="U213" i="22"/>
  <c r="T213" i="22"/>
  <c r="O213" i="22"/>
  <c r="Q213" i="22" s="1"/>
  <c r="L213" i="22"/>
  <c r="N213" i="22" s="1"/>
  <c r="I213" i="22"/>
  <c r="K213" i="22" s="1"/>
  <c r="G213" i="22"/>
  <c r="AI213" i="22" s="1"/>
  <c r="AB144" i="22"/>
  <c r="AA144" i="22"/>
  <c r="W144" i="22"/>
  <c r="Y144" i="22" s="1"/>
  <c r="U144" i="22"/>
  <c r="T144" i="22"/>
  <c r="O144" i="22"/>
  <c r="Q144" i="22" s="1"/>
  <c r="L144" i="22"/>
  <c r="N144" i="22" s="1"/>
  <c r="I144" i="22"/>
  <c r="K144" i="22" s="1"/>
  <c r="G144" i="22"/>
  <c r="AB39" i="22"/>
  <c r="AA39" i="22"/>
  <c r="W39" i="22"/>
  <c r="Y39" i="22" s="1"/>
  <c r="U39" i="22"/>
  <c r="O39" i="22"/>
  <c r="Q39" i="22" s="1"/>
  <c r="L39" i="22"/>
  <c r="N39" i="22" s="1"/>
  <c r="I39" i="22"/>
  <c r="K39" i="22" s="1"/>
  <c r="G39" i="22"/>
  <c r="AI39" i="22" s="1"/>
  <c r="AB142" i="22"/>
  <c r="AA142" i="22"/>
  <c r="W142" i="22"/>
  <c r="Y142" i="22" s="1"/>
  <c r="U142" i="22"/>
  <c r="T142" i="22"/>
  <c r="O142" i="22"/>
  <c r="Q142" i="22" s="1"/>
  <c r="L142" i="22"/>
  <c r="N142" i="22" s="1"/>
  <c r="I142" i="22"/>
  <c r="K142" i="22" s="1"/>
  <c r="G142" i="22"/>
  <c r="AI142" i="22" s="1"/>
  <c r="AB141" i="22"/>
  <c r="AA141" i="22"/>
  <c r="W141" i="22"/>
  <c r="Y141" i="22" s="1"/>
  <c r="U141" i="22"/>
  <c r="T141" i="22"/>
  <c r="O141" i="22"/>
  <c r="Q141" i="22" s="1"/>
  <c r="L141" i="22"/>
  <c r="N141" i="22" s="1"/>
  <c r="I141" i="22"/>
  <c r="K141" i="22" s="1"/>
  <c r="G141" i="22"/>
  <c r="AI141" i="22" s="1"/>
  <c r="W140" i="22"/>
  <c r="Y140" i="22" s="1"/>
  <c r="U140" i="22"/>
  <c r="T140" i="22"/>
  <c r="O140" i="22"/>
  <c r="Q140" i="22" s="1"/>
  <c r="L140" i="22"/>
  <c r="N140" i="22" s="1"/>
  <c r="I140" i="22"/>
  <c r="K140" i="22" s="1"/>
  <c r="G140" i="22"/>
  <c r="AI140" i="22" s="1"/>
  <c r="AB139" i="22"/>
  <c r="AA139" i="22"/>
  <c r="W139" i="22"/>
  <c r="Y139" i="22" s="1"/>
  <c r="U139" i="22"/>
  <c r="T139" i="22"/>
  <c r="O139" i="22"/>
  <c r="Q139" i="22" s="1"/>
  <c r="L139" i="22"/>
  <c r="N139" i="22" s="1"/>
  <c r="I139" i="22"/>
  <c r="K139" i="22" s="1"/>
  <c r="G139" i="22"/>
  <c r="AI139" i="22" s="1"/>
  <c r="AB138" i="22"/>
  <c r="AA138" i="22"/>
  <c r="W138" i="22"/>
  <c r="Y138" i="22" s="1"/>
  <c r="U138" i="22"/>
  <c r="T138" i="22"/>
  <c r="O138" i="22"/>
  <c r="Q138" i="22" s="1"/>
  <c r="L138" i="22"/>
  <c r="N138" i="22" s="1"/>
  <c r="I138" i="22"/>
  <c r="K138" i="22" s="1"/>
  <c r="G138" i="22"/>
  <c r="AI138" i="22" s="1"/>
  <c r="AB137" i="22"/>
  <c r="AA137" i="22"/>
  <c r="W137" i="22"/>
  <c r="Y137" i="22" s="1"/>
  <c r="U137" i="22"/>
  <c r="T137" i="22"/>
  <c r="O137" i="22"/>
  <c r="Q137" i="22" s="1"/>
  <c r="L137" i="22"/>
  <c r="N137" i="22" s="1"/>
  <c r="I137" i="22"/>
  <c r="K137" i="22" s="1"/>
  <c r="G137" i="22"/>
  <c r="AB136" i="22"/>
  <c r="AA136" i="22"/>
  <c r="W136" i="22"/>
  <c r="Y136" i="22" s="1"/>
  <c r="U136" i="22"/>
  <c r="T136" i="22"/>
  <c r="O136" i="22"/>
  <c r="Q136" i="22" s="1"/>
  <c r="L136" i="22"/>
  <c r="N136" i="22" s="1"/>
  <c r="I136" i="22"/>
  <c r="K136" i="22" s="1"/>
  <c r="G136" i="22"/>
  <c r="AI136" i="22" s="1"/>
  <c r="W135" i="22"/>
  <c r="Y135" i="22" s="1"/>
  <c r="U135" i="22"/>
  <c r="T135" i="22"/>
  <c r="O135" i="22"/>
  <c r="Q135" i="22" s="1"/>
  <c r="L135" i="22"/>
  <c r="N135" i="22" s="1"/>
  <c r="I135" i="22"/>
  <c r="K135" i="22" s="1"/>
  <c r="G135" i="22"/>
  <c r="AI135" i="22" s="1"/>
  <c r="W134" i="22"/>
  <c r="Y134" i="22" s="1"/>
  <c r="U134" i="22"/>
  <c r="T134" i="22"/>
  <c r="O134" i="22"/>
  <c r="Q134" i="22" s="1"/>
  <c r="L134" i="22"/>
  <c r="N134" i="22" s="1"/>
  <c r="I134" i="22"/>
  <c r="K134" i="22" s="1"/>
  <c r="G134" i="22"/>
  <c r="AI134" i="22" s="1"/>
  <c r="AB133" i="22"/>
  <c r="AA133" i="22"/>
  <c r="W133" i="22"/>
  <c r="Y133" i="22" s="1"/>
  <c r="U133" i="22"/>
  <c r="T133" i="22"/>
  <c r="O133" i="22"/>
  <c r="Q133" i="22" s="1"/>
  <c r="L133" i="22"/>
  <c r="N133" i="22" s="1"/>
  <c r="I133" i="22"/>
  <c r="K133" i="22" s="1"/>
  <c r="G133" i="22"/>
  <c r="AI133" i="22" s="1"/>
  <c r="AB132" i="22"/>
  <c r="AA132" i="22"/>
  <c r="W132" i="22"/>
  <c r="Y132" i="22" s="1"/>
  <c r="U132" i="22"/>
  <c r="T132" i="22"/>
  <c r="O132" i="22"/>
  <c r="Q132" i="22" s="1"/>
  <c r="L132" i="22"/>
  <c r="N132" i="22" s="1"/>
  <c r="I132" i="22"/>
  <c r="K132" i="22" s="1"/>
  <c r="G132" i="22"/>
  <c r="AI132" i="22" s="1"/>
  <c r="AB131" i="22"/>
  <c r="AA131" i="22"/>
  <c r="W131" i="22"/>
  <c r="Y131" i="22" s="1"/>
  <c r="U131" i="22"/>
  <c r="T131" i="22"/>
  <c r="O131" i="22"/>
  <c r="Q131" i="22" s="1"/>
  <c r="L131" i="22"/>
  <c r="N131" i="22" s="1"/>
  <c r="I131" i="22"/>
  <c r="K131" i="22" s="1"/>
  <c r="G131" i="22"/>
  <c r="AI131" i="22" s="1"/>
  <c r="AB130" i="22"/>
  <c r="AA130" i="22"/>
  <c r="W130" i="22"/>
  <c r="Y130" i="22" s="1"/>
  <c r="U130" i="22"/>
  <c r="T130" i="22"/>
  <c r="O130" i="22"/>
  <c r="Q130" i="22" s="1"/>
  <c r="L130" i="22"/>
  <c r="N130" i="22" s="1"/>
  <c r="I130" i="22"/>
  <c r="K130" i="22" s="1"/>
  <c r="G130" i="22"/>
  <c r="AI130" i="22" s="1"/>
  <c r="AB436" i="22"/>
  <c r="AA436" i="22"/>
  <c r="W436" i="22"/>
  <c r="Y436" i="22" s="1"/>
  <c r="U436" i="22"/>
  <c r="T436" i="22"/>
  <c r="O436" i="22"/>
  <c r="Q436" i="22" s="1"/>
  <c r="L436" i="22"/>
  <c r="N436" i="22" s="1"/>
  <c r="I436" i="22"/>
  <c r="K436" i="22" s="1"/>
  <c r="G436" i="22"/>
  <c r="AB80" i="22"/>
  <c r="AA80" i="22"/>
  <c r="W80" i="22"/>
  <c r="Y80" i="22" s="1"/>
  <c r="U80" i="22"/>
  <c r="T80" i="22"/>
  <c r="O80" i="22"/>
  <c r="Q80" i="22" s="1"/>
  <c r="N80" i="22"/>
  <c r="I80" i="22"/>
  <c r="K80" i="22" s="1"/>
  <c r="G80" i="22"/>
  <c r="AI80" i="22" s="1"/>
  <c r="AB127" i="22"/>
  <c r="AA127" i="22"/>
  <c r="W127" i="22"/>
  <c r="Y127" i="22" s="1"/>
  <c r="U127" i="22"/>
  <c r="T127" i="22"/>
  <c r="O127" i="22"/>
  <c r="Q127" i="22" s="1"/>
  <c r="L127" i="22"/>
  <c r="N127" i="22" s="1"/>
  <c r="I127" i="22"/>
  <c r="K127" i="22" s="1"/>
  <c r="G127" i="22"/>
  <c r="AI127" i="22" s="1"/>
  <c r="AB126" i="22"/>
  <c r="AA126" i="22"/>
  <c r="W126" i="22"/>
  <c r="Y126" i="22" s="1"/>
  <c r="U126" i="22"/>
  <c r="T126" i="22"/>
  <c r="O126" i="22"/>
  <c r="Q126" i="22" s="1"/>
  <c r="L126" i="22"/>
  <c r="N126" i="22" s="1"/>
  <c r="I126" i="22"/>
  <c r="K126" i="22" s="1"/>
  <c r="G126" i="22"/>
  <c r="AI126" i="22" s="1"/>
  <c r="AB327" i="22"/>
  <c r="AA327" i="22"/>
  <c r="W327" i="22"/>
  <c r="Y327" i="22" s="1"/>
  <c r="U327" i="22"/>
  <c r="T327" i="22"/>
  <c r="O327" i="22"/>
  <c r="Q327" i="22" s="1"/>
  <c r="L327" i="22"/>
  <c r="N327" i="22" s="1"/>
  <c r="I327" i="22"/>
  <c r="K327" i="22" s="1"/>
  <c r="G327" i="22"/>
  <c r="AI327" i="22" s="1"/>
  <c r="AB124" i="22"/>
  <c r="AA124" i="22"/>
  <c r="W124" i="22"/>
  <c r="Y124" i="22" s="1"/>
  <c r="U124" i="22"/>
  <c r="T124" i="22"/>
  <c r="O124" i="22"/>
  <c r="Q124" i="22" s="1"/>
  <c r="L124" i="22"/>
  <c r="N124" i="22" s="1"/>
  <c r="I124" i="22"/>
  <c r="K124" i="22" s="1"/>
  <c r="G124" i="22"/>
  <c r="AI124" i="22" s="1"/>
  <c r="AB123" i="22"/>
  <c r="AA123" i="22"/>
  <c r="W123" i="22"/>
  <c r="Y123" i="22" s="1"/>
  <c r="U123" i="22"/>
  <c r="T123" i="22"/>
  <c r="O123" i="22"/>
  <c r="Q123" i="22" s="1"/>
  <c r="L123" i="22"/>
  <c r="N123" i="22" s="1"/>
  <c r="I123" i="22"/>
  <c r="K123" i="22" s="1"/>
  <c r="G123" i="22"/>
  <c r="AI123" i="22" s="1"/>
  <c r="AB122" i="22"/>
  <c r="AA122" i="22"/>
  <c r="W122" i="22"/>
  <c r="Y122" i="22" s="1"/>
  <c r="U122" i="22"/>
  <c r="T122" i="22"/>
  <c r="O122" i="22"/>
  <c r="Q122" i="22" s="1"/>
  <c r="L122" i="22"/>
  <c r="N122" i="22" s="1"/>
  <c r="I122" i="22"/>
  <c r="K122" i="22" s="1"/>
  <c r="G122" i="22"/>
  <c r="AI122" i="22" s="1"/>
  <c r="AB103" i="22"/>
  <c r="AA103" i="22"/>
  <c r="W103" i="22"/>
  <c r="Y103" i="22" s="1"/>
  <c r="U103" i="22"/>
  <c r="T103" i="22"/>
  <c r="O103" i="22"/>
  <c r="Q103" i="22" s="1"/>
  <c r="L103" i="22"/>
  <c r="N103" i="22" s="1"/>
  <c r="I103" i="22"/>
  <c r="K103" i="22" s="1"/>
  <c r="G103" i="22"/>
  <c r="W120" i="22"/>
  <c r="Y120" i="22" s="1"/>
  <c r="U120" i="22"/>
  <c r="T120" i="22"/>
  <c r="O120" i="22"/>
  <c r="Q120" i="22" s="1"/>
  <c r="L120" i="22"/>
  <c r="N120" i="22" s="1"/>
  <c r="I120" i="22"/>
  <c r="K120" i="22" s="1"/>
  <c r="G120" i="22"/>
  <c r="AI120" i="22" s="1"/>
  <c r="AB411" i="22"/>
  <c r="AA411" i="22"/>
  <c r="W411" i="22"/>
  <c r="Y411" i="22" s="1"/>
  <c r="U411" i="22"/>
  <c r="T411" i="22"/>
  <c r="O411" i="22"/>
  <c r="Q411" i="22" s="1"/>
  <c r="L411" i="22"/>
  <c r="N411" i="22" s="1"/>
  <c r="I411" i="22"/>
  <c r="K411" i="22" s="1"/>
  <c r="G411" i="22"/>
  <c r="AB118" i="22"/>
  <c r="AA118" i="22"/>
  <c r="U118" i="22"/>
  <c r="T118" i="22"/>
  <c r="O118" i="22"/>
  <c r="Q118" i="22" s="1"/>
  <c r="L118" i="22"/>
  <c r="N118" i="22" s="1"/>
  <c r="I118" i="22"/>
  <c r="K118" i="22" s="1"/>
  <c r="G118" i="22"/>
  <c r="AB117" i="22"/>
  <c r="AA117" i="22"/>
  <c r="W117" i="22"/>
  <c r="Y117" i="22" s="1"/>
  <c r="U117" i="22"/>
  <c r="T117" i="22"/>
  <c r="O117" i="22"/>
  <c r="Q117" i="22" s="1"/>
  <c r="L117" i="22"/>
  <c r="N117" i="22" s="1"/>
  <c r="I117" i="22"/>
  <c r="K117" i="22" s="1"/>
  <c r="G117" i="22"/>
  <c r="AI117" i="22" s="1"/>
  <c r="U116" i="22"/>
  <c r="T116" i="22"/>
  <c r="O116" i="22"/>
  <c r="Q116" i="22" s="1"/>
  <c r="L116" i="22"/>
  <c r="N116" i="22" s="1"/>
  <c r="I116" i="22"/>
  <c r="K116" i="22" s="1"/>
  <c r="G116" i="22"/>
  <c r="AI116" i="22" s="1"/>
  <c r="AB115" i="22"/>
  <c r="AA115" i="22"/>
  <c r="W115" i="22"/>
  <c r="Y115" i="22" s="1"/>
  <c r="U115" i="22"/>
  <c r="T115" i="22"/>
  <c r="O115" i="22"/>
  <c r="Q115" i="22" s="1"/>
  <c r="L115" i="22"/>
  <c r="N115" i="22" s="1"/>
  <c r="I115" i="22"/>
  <c r="K115" i="22" s="1"/>
  <c r="G115" i="22"/>
  <c r="AI115" i="22" s="1"/>
  <c r="AB236" i="22"/>
  <c r="AA236" i="22"/>
  <c r="W236" i="22"/>
  <c r="Y236" i="22" s="1"/>
  <c r="U236" i="22"/>
  <c r="T236" i="22"/>
  <c r="O236" i="22"/>
  <c r="Q236" i="22" s="1"/>
  <c r="L236" i="22"/>
  <c r="N236" i="22" s="1"/>
  <c r="I236" i="22"/>
  <c r="K236" i="22" s="1"/>
  <c r="G236" i="22"/>
  <c r="AB113" i="22"/>
  <c r="AA113" i="22"/>
  <c r="W113" i="22"/>
  <c r="Y113" i="22" s="1"/>
  <c r="U113" i="22"/>
  <c r="T113" i="22"/>
  <c r="O113" i="22"/>
  <c r="Q113" i="22" s="1"/>
  <c r="L113" i="22"/>
  <c r="N113" i="22" s="1"/>
  <c r="I113" i="22"/>
  <c r="K113" i="22" s="1"/>
  <c r="G113" i="22"/>
  <c r="AI113" i="22" s="1"/>
  <c r="AB112" i="22"/>
  <c r="AA112" i="22"/>
  <c r="W112" i="22"/>
  <c r="Y112" i="22" s="1"/>
  <c r="U112" i="22"/>
  <c r="T112" i="22"/>
  <c r="O112" i="22"/>
  <c r="Q112" i="22" s="1"/>
  <c r="L112" i="22"/>
  <c r="N112" i="22" s="1"/>
  <c r="I112" i="22"/>
  <c r="K112" i="22" s="1"/>
  <c r="G112" i="22"/>
  <c r="AI112" i="22" s="1"/>
  <c r="AB111" i="22"/>
  <c r="AA111" i="22"/>
  <c r="W111" i="22"/>
  <c r="Y111" i="22" s="1"/>
  <c r="U111" i="22"/>
  <c r="T111" i="22"/>
  <c r="O111" i="22"/>
  <c r="Q111" i="22" s="1"/>
  <c r="L111" i="22"/>
  <c r="N111" i="22" s="1"/>
  <c r="I111" i="22"/>
  <c r="K111" i="22" s="1"/>
  <c r="G111" i="22"/>
  <c r="AB8" i="22"/>
  <c r="AA8" i="22"/>
  <c r="W8" i="22"/>
  <c r="Y8" i="22" s="1"/>
  <c r="U8" i="22"/>
  <c r="O8" i="22"/>
  <c r="Q8" i="22" s="1"/>
  <c r="L8" i="22"/>
  <c r="N8" i="22" s="1"/>
  <c r="I8" i="22"/>
  <c r="K8" i="22" s="1"/>
  <c r="G8" i="22"/>
  <c r="AI8" i="22" s="1"/>
  <c r="W109" i="22"/>
  <c r="Y109" i="22" s="1"/>
  <c r="U109" i="22"/>
  <c r="T109" i="22"/>
  <c r="O109" i="22"/>
  <c r="Q109" i="22" s="1"/>
  <c r="L109" i="22"/>
  <c r="N109" i="22" s="1"/>
  <c r="I109" i="22"/>
  <c r="K109" i="22" s="1"/>
  <c r="G109" i="22"/>
  <c r="AI109" i="22" s="1"/>
  <c r="AB108" i="22"/>
  <c r="AA108" i="22"/>
  <c r="W108" i="22"/>
  <c r="Y108" i="22" s="1"/>
  <c r="U108" i="22"/>
  <c r="T108" i="22"/>
  <c r="O108" i="22"/>
  <c r="Q108" i="22" s="1"/>
  <c r="L108" i="22"/>
  <c r="N108" i="22" s="1"/>
  <c r="I108" i="22"/>
  <c r="K108" i="22" s="1"/>
  <c r="G108" i="22"/>
  <c r="AI108" i="22" s="1"/>
  <c r="AB107" i="22"/>
  <c r="AA107" i="22"/>
  <c r="W107" i="22"/>
  <c r="Y107" i="22" s="1"/>
  <c r="U107" i="22"/>
  <c r="T107" i="22"/>
  <c r="O107" i="22"/>
  <c r="Q107" i="22" s="1"/>
  <c r="L107" i="22"/>
  <c r="N107" i="22" s="1"/>
  <c r="I107" i="22"/>
  <c r="K107" i="22" s="1"/>
  <c r="G107" i="22"/>
  <c r="AI107" i="22" s="1"/>
  <c r="AB240" i="22"/>
  <c r="AA240" i="22"/>
  <c r="W240" i="22"/>
  <c r="Y240" i="22" s="1"/>
  <c r="U240" i="22"/>
  <c r="T240" i="22"/>
  <c r="O240" i="22"/>
  <c r="Q240" i="22" s="1"/>
  <c r="L240" i="22"/>
  <c r="N240" i="22" s="1"/>
  <c r="I240" i="22"/>
  <c r="K240" i="22" s="1"/>
  <c r="G240" i="22"/>
  <c r="AI240" i="22" s="1"/>
  <c r="AA105" i="22"/>
  <c r="W105" i="22"/>
  <c r="Y105" i="22" s="1"/>
  <c r="U105" i="22"/>
  <c r="T105" i="22"/>
  <c r="O105" i="22"/>
  <c r="Q105" i="22" s="1"/>
  <c r="L105" i="22"/>
  <c r="N105" i="22" s="1"/>
  <c r="I105" i="22"/>
  <c r="K105" i="22" s="1"/>
  <c r="G105" i="22"/>
  <c r="AB104" i="22"/>
  <c r="AA104" i="22"/>
  <c r="W104" i="22"/>
  <c r="Y104" i="22" s="1"/>
  <c r="U104" i="22"/>
  <c r="T104" i="22"/>
  <c r="O104" i="22"/>
  <c r="Q104" i="22" s="1"/>
  <c r="L104" i="22"/>
  <c r="N104" i="22" s="1"/>
  <c r="I104" i="22"/>
  <c r="K104" i="22" s="1"/>
  <c r="G104" i="22"/>
  <c r="AB29" i="22"/>
  <c r="AA29" i="22"/>
  <c r="W29" i="22"/>
  <c r="Y29" i="22" s="1"/>
  <c r="U29" i="22"/>
  <c r="O29" i="22"/>
  <c r="Q29" i="22" s="1"/>
  <c r="L29" i="22"/>
  <c r="N29" i="22" s="1"/>
  <c r="I29" i="22"/>
  <c r="K29" i="22" s="1"/>
  <c r="G29" i="22"/>
  <c r="AI29" i="22" s="1"/>
  <c r="AB437" i="22"/>
  <c r="AA437" i="22"/>
  <c r="W437" i="22"/>
  <c r="Y437" i="22" s="1"/>
  <c r="U437" i="22"/>
  <c r="T437" i="22"/>
  <c r="O437" i="22"/>
  <c r="Q437" i="22" s="1"/>
  <c r="L437" i="22"/>
  <c r="N437" i="22" s="1"/>
  <c r="I437" i="22"/>
  <c r="K437" i="22" s="1"/>
  <c r="G437" i="22"/>
  <c r="AI437" i="22" s="1"/>
  <c r="AB101" i="22"/>
  <c r="AA101" i="22"/>
  <c r="W101" i="22"/>
  <c r="Y101" i="22" s="1"/>
  <c r="U101" i="22"/>
  <c r="T101" i="22"/>
  <c r="O101" i="22"/>
  <c r="Q101" i="22" s="1"/>
  <c r="L101" i="22"/>
  <c r="N101" i="22" s="1"/>
  <c r="I101" i="22"/>
  <c r="K101" i="22" s="1"/>
  <c r="G101" i="22"/>
  <c r="AI101" i="22" s="1"/>
  <c r="AB320" i="22"/>
  <c r="AA320" i="22"/>
  <c r="W320" i="22"/>
  <c r="Y320" i="22" s="1"/>
  <c r="U320" i="22"/>
  <c r="T320" i="22"/>
  <c r="O320" i="22"/>
  <c r="Q320" i="22" s="1"/>
  <c r="L320" i="22"/>
  <c r="N320" i="22" s="1"/>
  <c r="I320" i="22"/>
  <c r="K320" i="22" s="1"/>
  <c r="G320" i="22"/>
  <c r="AI320" i="22" s="1"/>
  <c r="AB99" i="22"/>
  <c r="AA99" i="22"/>
  <c r="W99" i="22"/>
  <c r="Y99" i="22" s="1"/>
  <c r="U99" i="22"/>
  <c r="T99" i="22"/>
  <c r="O99" i="22"/>
  <c r="Q99" i="22" s="1"/>
  <c r="L99" i="22"/>
  <c r="N99" i="22" s="1"/>
  <c r="I99" i="22"/>
  <c r="K99" i="22" s="1"/>
  <c r="G99" i="22"/>
  <c r="AI99" i="22" s="1"/>
  <c r="AB98" i="22"/>
  <c r="AA98" i="22"/>
  <c r="W98" i="22"/>
  <c r="Y98" i="22" s="1"/>
  <c r="U98" i="22"/>
  <c r="T98" i="22"/>
  <c r="O98" i="22"/>
  <c r="Q98" i="22" s="1"/>
  <c r="L98" i="22"/>
  <c r="N98" i="22" s="1"/>
  <c r="I98" i="22"/>
  <c r="K98" i="22" s="1"/>
  <c r="G98" i="22"/>
  <c r="AB97" i="22"/>
  <c r="AA97" i="22"/>
  <c r="W97" i="22"/>
  <c r="Y97" i="22" s="1"/>
  <c r="U97" i="22"/>
  <c r="T97" i="22"/>
  <c r="O97" i="22"/>
  <c r="Q97" i="22" s="1"/>
  <c r="L97" i="22"/>
  <c r="N97" i="22" s="1"/>
  <c r="I97" i="22"/>
  <c r="K97" i="22" s="1"/>
  <c r="G97" i="22"/>
  <c r="AI97" i="22" s="1"/>
  <c r="AB96" i="22"/>
  <c r="AA96" i="22"/>
  <c r="W96" i="22"/>
  <c r="Y96" i="22" s="1"/>
  <c r="U96" i="22"/>
  <c r="T96" i="22"/>
  <c r="O96" i="22"/>
  <c r="Q96" i="22" s="1"/>
  <c r="L96" i="22"/>
  <c r="N96" i="22" s="1"/>
  <c r="I96" i="22"/>
  <c r="K96" i="22" s="1"/>
  <c r="G96" i="22"/>
  <c r="AB95" i="22"/>
  <c r="AA95" i="22"/>
  <c r="W95" i="22"/>
  <c r="Y95" i="22" s="1"/>
  <c r="U95" i="22"/>
  <c r="T95" i="22"/>
  <c r="O95" i="22"/>
  <c r="Q95" i="22" s="1"/>
  <c r="L95" i="22"/>
  <c r="N95" i="22" s="1"/>
  <c r="I95" i="22"/>
  <c r="K95" i="22" s="1"/>
  <c r="G95" i="22"/>
  <c r="AI95" i="22" s="1"/>
  <c r="AB94" i="22"/>
  <c r="AA94" i="22"/>
  <c r="W94" i="22"/>
  <c r="Y94" i="22" s="1"/>
  <c r="U94" i="22"/>
  <c r="T94" i="22"/>
  <c r="O94" i="22"/>
  <c r="Q94" i="22" s="1"/>
  <c r="L94" i="22"/>
  <c r="N94" i="22" s="1"/>
  <c r="I94" i="22"/>
  <c r="K94" i="22" s="1"/>
  <c r="G94" i="22"/>
  <c r="AI94" i="22" s="1"/>
  <c r="AB93" i="22"/>
  <c r="AA93" i="22"/>
  <c r="W93" i="22"/>
  <c r="Y93" i="22" s="1"/>
  <c r="U93" i="22"/>
  <c r="T93" i="22"/>
  <c r="O93" i="22"/>
  <c r="Q93" i="22" s="1"/>
  <c r="L93" i="22"/>
  <c r="N93" i="22" s="1"/>
  <c r="I93" i="22"/>
  <c r="K93" i="22" s="1"/>
  <c r="G93" i="22"/>
  <c r="AR95" i="11" s="1"/>
  <c r="AB239" i="22"/>
  <c r="AA239" i="22"/>
  <c r="W239" i="22"/>
  <c r="Y239" i="22" s="1"/>
  <c r="U239" i="22"/>
  <c r="T239" i="22"/>
  <c r="O239" i="22"/>
  <c r="Q239" i="22" s="1"/>
  <c r="L239" i="22"/>
  <c r="N239" i="22" s="1"/>
  <c r="I239" i="22"/>
  <c r="K239" i="22" s="1"/>
  <c r="G239" i="22"/>
  <c r="AI239" i="22" s="1"/>
  <c r="AB91" i="22"/>
  <c r="AA91" i="22"/>
  <c r="W91" i="22"/>
  <c r="Y91" i="22" s="1"/>
  <c r="U91" i="22"/>
  <c r="T91" i="22"/>
  <c r="O91" i="22"/>
  <c r="Q91" i="22" s="1"/>
  <c r="L91" i="22"/>
  <c r="N91" i="22" s="1"/>
  <c r="I91" i="22"/>
  <c r="K91" i="22" s="1"/>
  <c r="G91" i="22"/>
  <c r="AI91" i="22" s="1"/>
  <c r="AB90" i="22"/>
  <c r="AA90" i="22"/>
  <c r="W90" i="22"/>
  <c r="Y90" i="22" s="1"/>
  <c r="U90" i="22"/>
  <c r="T90" i="22"/>
  <c r="O90" i="22"/>
  <c r="Q90" i="22" s="1"/>
  <c r="L90" i="22"/>
  <c r="N90" i="22" s="1"/>
  <c r="I90" i="22"/>
  <c r="K90" i="22" s="1"/>
  <c r="G90" i="22"/>
  <c r="AI90" i="22" s="1"/>
  <c r="AB427" i="22"/>
  <c r="AA427" i="22"/>
  <c r="W427" i="22"/>
  <c r="Y427" i="22" s="1"/>
  <c r="U427" i="22"/>
  <c r="T427" i="22"/>
  <c r="O427" i="22"/>
  <c r="Q427" i="22" s="1"/>
  <c r="L427" i="22"/>
  <c r="N427" i="22" s="1"/>
  <c r="I427" i="22"/>
  <c r="K427" i="22" s="1"/>
  <c r="G427" i="22"/>
  <c r="AI427" i="22" s="1"/>
  <c r="AB38" i="22"/>
  <c r="AA38" i="22"/>
  <c r="W38" i="22"/>
  <c r="Y38" i="22" s="1"/>
  <c r="U38" i="22"/>
  <c r="O38" i="22"/>
  <c r="Q38" i="22" s="1"/>
  <c r="L38" i="22"/>
  <c r="N38" i="22" s="1"/>
  <c r="I38" i="22"/>
  <c r="K38" i="22" s="1"/>
  <c r="G38" i="22"/>
  <c r="AI38" i="22" s="1"/>
  <c r="AB87" i="22"/>
  <c r="AA87" i="22"/>
  <c r="W87" i="22"/>
  <c r="Y87" i="22" s="1"/>
  <c r="U87" i="22"/>
  <c r="T87" i="22"/>
  <c r="O87" i="22"/>
  <c r="Q87" i="22" s="1"/>
  <c r="L87" i="22"/>
  <c r="N87" i="22" s="1"/>
  <c r="I87" i="22"/>
  <c r="K87" i="22" s="1"/>
  <c r="G87" i="22"/>
  <c r="AI87" i="22" s="1"/>
  <c r="AB86" i="22"/>
  <c r="AA86" i="22"/>
  <c r="W86" i="22"/>
  <c r="Y86" i="22" s="1"/>
  <c r="U86" i="22"/>
  <c r="T86" i="22"/>
  <c r="O86" i="22"/>
  <c r="Q86" i="22" s="1"/>
  <c r="L86" i="22"/>
  <c r="N86" i="22" s="1"/>
  <c r="I86" i="22"/>
  <c r="K86" i="22" s="1"/>
  <c r="G86" i="22"/>
  <c r="AI86" i="22" s="1"/>
  <c r="AB85" i="22"/>
  <c r="AA85" i="22"/>
  <c r="W85" i="22"/>
  <c r="Y85" i="22" s="1"/>
  <c r="U85" i="22"/>
  <c r="T85" i="22"/>
  <c r="O85" i="22"/>
  <c r="Q85" i="22" s="1"/>
  <c r="L85" i="22"/>
  <c r="N85" i="22" s="1"/>
  <c r="I85" i="22"/>
  <c r="K85" i="22" s="1"/>
  <c r="G85" i="22"/>
  <c r="AI85" i="22" s="1"/>
  <c r="AB430" i="22"/>
  <c r="AA430" i="22"/>
  <c r="W430" i="22"/>
  <c r="Y430" i="22" s="1"/>
  <c r="U430" i="22"/>
  <c r="T430" i="22"/>
  <c r="O430" i="22"/>
  <c r="Q430" i="22" s="1"/>
  <c r="L430" i="22"/>
  <c r="N430" i="22" s="1"/>
  <c r="I430" i="22"/>
  <c r="K430" i="22" s="1"/>
  <c r="G430" i="22"/>
  <c r="AI430" i="22" s="1"/>
  <c r="AB35" i="22"/>
  <c r="AA35" i="22"/>
  <c r="W35" i="22"/>
  <c r="Y35" i="22" s="1"/>
  <c r="U35" i="22"/>
  <c r="T35" i="22"/>
  <c r="O35" i="22"/>
  <c r="Q35" i="22" s="1"/>
  <c r="L35" i="22"/>
  <c r="N35" i="22" s="1"/>
  <c r="I35" i="22"/>
  <c r="K35" i="22" s="1"/>
  <c r="G35" i="22"/>
  <c r="AB82" i="22"/>
  <c r="AA82" i="22"/>
  <c r="W82" i="22"/>
  <c r="Y82" i="22" s="1"/>
  <c r="U82" i="22"/>
  <c r="T82" i="22"/>
  <c r="O82" i="22"/>
  <c r="Q82" i="22" s="1"/>
  <c r="L82" i="22"/>
  <c r="N82" i="22" s="1"/>
  <c r="I82" i="22"/>
  <c r="K82" i="22" s="1"/>
  <c r="G82" i="22"/>
  <c r="AI82" i="22" s="1"/>
  <c r="AB81" i="22"/>
  <c r="AA81" i="22"/>
  <c r="W81" i="22"/>
  <c r="Y81" i="22" s="1"/>
  <c r="U81" i="22"/>
  <c r="T81" i="22"/>
  <c r="O81" i="22"/>
  <c r="Q81" i="22" s="1"/>
  <c r="L81" i="22"/>
  <c r="N81" i="22" s="1"/>
  <c r="I81" i="22"/>
  <c r="K81" i="22" s="1"/>
  <c r="G81" i="22"/>
  <c r="AI81" i="22" s="1"/>
  <c r="AB14" i="22"/>
  <c r="AA14" i="22"/>
  <c r="W14" i="22"/>
  <c r="Y14" i="22" s="1"/>
  <c r="U14" i="22"/>
  <c r="T14" i="22"/>
  <c r="O14" i="22"/>
  <c r="Q14" i="22" s="1"/>
  <c r="L14" i="22"/>
  <c r="N14" i="22" s="1"/>
  <c r="I14" i="22"/>
  <c r="K14" i="22" s="1"/>
  <c r="G14" i="22"/>
  <c r="AB79" i="22"/>
  <c r="AA79" i="22"/>
  <c r="W79" i="22"/>
  <c r="Y79" i="22" s="1"/>
  <c r="U79" i="22"/>
  <c r="T79" i="22"/>
  <c r="O79" i="22"/>
  <c r="Q79" i="22" s="1"/>
  <c r="L79" i="22"/>
  <c r="N79" i="22" s="1"/>
  <c r="I79" i="22"/>
  <c r="K79" i="22" s="1"/>
  <c r="G79" i="22"/>
  <c r="AI79" i="22" s="1"/>
  <c r="AB78" i="22"/>
  <c r="AA78" i="22"/>
  <c r="W78" i="22"/>
  <c r="Y78" i="22" s="1"/>
  <c r="U78" i="22"/>
  <c r="T78" i="22"/>
  <c r="O78" i="22"/>
  <c r="Q78" i="22" s="1"/>
  <c r="L78" i="22"/>
  <c r="N78" i="22" s="1"/>
  <c r="I78" i="22"/>
  <c r="K78" i="22" s="1"/>
  <c r="G78" i="22"/>
  <c r="AI78" i="22" s="1"/>
  <c r="AB77" i="22"/>
  <c r="AA77" i="22"/>
  <c r="W77" i="22"/>
  <c r="Y77" i="22" s="1"/>
  <c r="O77" i="22"/>
  <c r="Q77" i="22" s="1"/>
  <c r="L77" i="22"/>
  <c r="N77" i="22" s="1"/>
  <c r="I77" i="22"/>
  <c r="K77" i="22" s="1"/>
  <c r="G77" i="22"/>
  <c r="AI77" i="22" s="1"/>
  <c r="AB76" i="22"/>
  <c r="AA76" i="22"/>
  <c r="W76" i="22"/>
  <c r="Y76" i="22" s="1"/>
  <c r="U76" i="22"/>
  <c r="T76" i="22"/>
  <c r="O76" i="22"/>
  <c r="Q76" i="22" s="1"/>
  <c r="L76" i="22"/>
  <c r="N76" i="22" s="1"/>
  <c r="I76" i="22"/>
  <c r="K76" i="22" s="1"/>
  <c r="G76" i="22"/>
  <c r="AI76" i="22" s="1"/>
  <c r="AB129" i="22"/>
  <c r="AA129" i="22"/>
  <c r="W129" i="22"/>
  <c r="Y129" i="22" s="1"/>
  <c r="U129" i="22"/>
  <c r="T129" i="22"/>
  <c r="O129" i="22"/>
  <c r="Q129" i="22" s="1"/>
  <c r="L129" i="22"/>
  <c r="N129" i="22" s="1"/>
  <c r="I129" i="22"/>
  <c r="K129" i="22" s="1"/>
  <c r="G129" i="22"/>
  <c r="AB74" i="22"/>
  <c r="AA74" i="22"/>
  <c r="U74" i="22"/>
  <c r="T74" i="22"/>
  <c r="O74" i="22"/>
  <c r="Q74" i="22" s="1"/>
  <c r="L74" i="22"/>
  <c r="N74" i="22" s="1"/>
  <c r="I74" i="22"/>
  <c r="K74" i="22" s="1"/>
  <c r="G74" i="22"/>
  <c r="AI74" i="22" s="1"/>
  <c r="AB217" i="22"/>
  <c r="AA217" i="22"/>
  <c r="W217" i="22"/>
  <c r="Y217" i="22" s="1"/>
  <c r="U217" i="22"/>
  <c r="T217" i="22"/>
  <c r="O217" i="22"/>
  <c r="Q217" i="22" s="1"/>
  <c r="L217" i="22"/>
  <c r="N217" i="22" s="1"/>
  <c r="I217" i="22"/>
  <c r="K217" i="22" s="1"/>
  <c r="G217" i="22"/>
  <c r="AB72" i="22"/>
  <c r="AA72" i="22"/>
  <c r="W72" i="22"/>
  <c r="Y72" i="22" s="1"/>
  <c r="U72" i="22"/>
  <c r="T72" i="22"/>
  <c r="O72" i="22"/>
  <c r="Q72" i="22" s="1"/>
  <c r="L72" i="22"/>
  <c r="N72" i="22" s="1"/>
  <c r="I72" i="22"/>
  <c r="K72" i="22" s="1"/>
  <c r="G72" i="22"/>
  <c r="AI72" i="22" s="1"/>
  <c r="AB71" i="22"/>
  <c r="AA71" i="22"/>
  <c r="W71" i="22"/>
  <c r="Y71" i="22" s="1"/>
  <c r="U71" i="22"/>
  <c r="T71" i="22"/>
  <c r="O71" i="22"/>
  <c r="Q71" i="22" s="1"/>
  <c r="L71" i="22"/>
  <c r="N71" i="22" s="1"/>
  <c r="I71" i="22"/>
  <c r="K71" i="22" s="1"/>
  <c r="G71" i="22"/>
  <c r="AI71" i="22" s="1"/>
  <c r="AB70" i="22"/>
  <c r="AA70" i="22"/>
  <c r="W70" i="22"/>
  <c r="Y70" i="22" s="1"/>
  <c r="U70" i="22"/>
  <c r="T70" i="22"/>
  <c r="O70" i="22"/>
  <c r="Q70" i="22" s="1"/>
  <c r="L70" i="22"/>
  <c r="N70" i="22" s="1"/>
  <c r="I70" i="22"/>
  <c r="K70" i="22" s="1"/>
  <c r="G70" i="22"/>
  <c r="AI70" i="22" s="1"/>
  <c r="AB69" i="22"/>
  <c r="AA69" i="22"/>
  <c r="W69" i="22"/>
  <c r="Y69" i="22" s="1"/>
  <c r="U69" i="22"/>
  <c r="T69" i="22"/>
  <c r="O69" i="22"/>
  <c r="Q69" i="22" s="1"/>
  <c r="L69" i="22"/>
  <c r="N69" i="22" s="1"/>
  <c r="I69" i="22"/>
  <c r="K69" i="22" s="1"/>
  <c r="G69" i="22"/>
  <c r="AB68" i="22"/>
  <c r="AA68" i="22"/>
  <c r="W68" i="22"/>
  <c r="Y68" i="22" s="1"/>
  <c r="U68" i="22"/>
  <c r="T68" i="22"/>
  <c r="O68" i="22"/>
  <c r="Q68" i="22" s="1"/>
  <c r="L68" i="22"/>
  <c r="N68" i="22" s="1"/>
  <c r="I68" i="22"/>
  <c r="K68" i="22" s="1"/>
  <c r="G68" i="22"/>
  <c r="AP431" i="11" s="1"/>
  <c r="W67" i="22"/>
  <c r="Y67" i="22" s="1"/>
  <c r="U67" i="22"/>
  <c r="T67" i="22"/>
  <c r="O67" i="22"/>
  <c r="Q67" i="22" s="1"/>
  <c r="L67" i="22"/>
  <c r="N67" i="22" s="1"/>
  <c r="I67" i="22"/>
  <c r="K67" i="22" s="1"/>
  <c r="G67" i="22"/>
  <c r="AB66" i="22"/>
  <c r="AA66" i="22"/>
  <c r="W66" i="22"/>
  <c r="Y66" i="22" s="1"/>
  <c r="U66" i="22"/>
  <c r="T66" i="22"/>
  <c r="O66" i="22"/>
  <c r="Q66" i="22" s="1"/>
  <c r="L66" i="22"/>
  <c r="N66" i="22" s="1"/>
  <c r="I66" i="22"/>
  <c r="K66" i="22" s="1"/>
  <c r="G66" i="22"/>
  <c r="AI66" i="22" s="1"/>
  <c r="AB65" i="22"/>
  <c r="AA65" i="22"/>
  <c r="W65" i="22"/>
  <c r="Y65" i="22" s="1"/>
  <c r="U65" i="22"/>
  <c r="T65" i="22"/>
  <c r="O65" i="22"/>
  <c r="Q65" i="22" s="1"/>
  <c r="L65" i="22"/>
  <c r="N65" i="22" s="1"/>
  <c r="I65" i="22"/>
  <c r="K65" i="22" s="1"/>
  <c r="G65" i="22"/>
  <c r="AI65" i="22" s="1"/>
  <c r="W64" i="22"/>
  <c r="Y64" i="22" s="1"/>
  <c r="U64" i="22"/>
  <c r="T64" i="22"/>
  <c r="O64" i="22"/>
  <c r="Q64" i="22" s="1"/>
  <c r="L64" i="22"/>
  <c r="N64" i="22" s="1"/>
  <c r="I64" i="22"/>
  <c r="K64" i="22" s="1"/>
  <c r="G64" i="22"/>
  <c r="AI64" i="22" s="1"/>
  <c r="AB63" i="22"/>
  <c r="AA63" i="22"/>
  <c r="W63" i="22"/>
  <c r="Y63" i="22" s="1"/>
  <c r="U63" i="22"/>
  <c r="T63" i="22"/>
  <c r="O63" i="22"/>
  <c r="Q63" i="22" s="1"/>
  <c r="L63" i="22"/>
  <c r="N63" i="22" s="1"/>
  <c r="I63" i="22"/>
  <c r="K63" i="22" s="1"/>
  <c r="G63" i="22"/>
  <c r="AI63" i="22" s="1"/>
  <c r="AB62" i="22"/>
  <c r="AA62" i="22"/>
  <c r="W62" i="22"/>
  <c r="Y62" i="22" s="1"/>
  <c r="U62" i="22"/>
  <c r="T62" i="22"/>
  <c r="O62" i="22"/>
  <c r="Q62" i="22" s="1"/>
  <c r="L62" i="22"/>
  <c r="N62" i="22" s="1"/>
  <c r="I62" i="22"/>
  <c r="K62" i="22" s="1"/>
  <c r="G62" i="22"/>
  <c r="AI62" i="22" s="1"/>
  <c r="AB61" i="22"/>
  <c r="AA61" i="22"/>
  <c r="W61" i="22"/>
  <c r="Y61" i="22" s="1"/>
  <c r="U61" i="22"/>
  <c r="T61" i="22"/>
  <c r="O61" i="22"/>
  <c r="Q61" i="22" s="1"/>
  <c r="L61" i="22"/>
  <c r="N61" i="22" s="1"/>
  <c r="I61" i="22"/>
  <c r="K61" i="22" s="1"/>
  <c r="G61" i="22"/>
  <c r="AI61" i="22" s="1"/>
  <c r="AB311" i="22"/>
  <c r="AA311" i="22"/>
  <c r="W311" i="22"/>
  <c r="Y311" i="22" s="1"/>
  <c r="U311" i="22"/>
  <c r="T311" i="22"/>
  <c r="O311" i="22"/>
  <c r="Q311" i="22" s="1"/>
  <c r="L311" i="22"/>
  <c r="N311" i="22" s="1"/>
  <c r="I311" i="22"/>
  <c r="K311" i="22" s="1"/>
  <c r="G311" i="22"/>
  <c r="AI311" i="22" s="1"/>
  <c r="AB59" i="22"/>
  <c r="AA59" i="22"/>
  <c r="W59" i="22"/>
  <c r="Y59" i="22" s="1"/>
  <c r="U59" i="22"/>
  <c r="T59" i="22"/>
  <c r="O59" i="22"/>
  <c r="Q59" i="22" s="1"/>
  <c r="L59" i="22"/>
  <c r="N59" i="22" s="1"/>
  <c r="I59" i="22"/>
  <c r="K59" i="22" s="1"/>
  <c r="G59" i="22"/>
  <c r="AI59" i="22" s="1"/>
  <c r="W58" i="22"/>
  <c r="Y58" i="22" s="1"/>
  <c r="U58" i="22"/>
  <c r="T58" i="22"/>
  <c r="O58" i="22"/>
  <c r="Q58" i="22" s="1"/>
  <c r="L58" i="22"/>
  <c r="N58" i="22" s="1"/>
  <c r="I58" i="22"/>
  <c r="K58" i="22" s="1"/>
  <c r="G58" i="22"/>
  <c r="AI58" i="22" s="1"/>
  <c r="AB37" i="22"/>
  <c r="AA37" i="22"/>
  <c r="W37" i="22"/>
  <c r="Y37" i="22" s="1"/>
  <c r="U37" i="22"/>
  <c r="O37" i="22"/>
  <c r="Q37" i="22" s="1"/>
  <c r="L37" i="22"/>
  <c r="N37" i="22" s="1"/>
  <c r="I37" i="22"/>
  <c r="K37" i="22" s="1"/>
  <c r="G37" i="22"/>
  <c r="AI37" i="22" s="1"/>
  <c r="AB198" i="22"/>
  <c r="AA198" i="22"/>
  <c r="W198" i="22"/>
  <c r="Y198" i="22" s="1"/>
  <c r="U198" i="22"/>
  <c r="T198" i="22"/>
  <c r="O198" i="22"/>
  <c r="Q198" i="22" s="1"/>
  <c r="L198" i="22"/>
  <c r="N198" i="22" s="1"/>
  <c r="I198" i="22"/>
  <c r="K198" i="22" s="1"/>
  <c r="G198" i="22"/>
  <c r="BD387" i="11" s="1"/>
  <c r="AB55" i="22"/>
  <c r="AA55" i="22"/>
  <c r="U55" i="22"/>
  <c r="T55" i="22"/>
  <c r="O55" i="22"/>
  <c r="Q55" i="22" s="1"/>
  <c r="L55" i="22"/>
  <c r="N55" i="22" s="1"/>
  <c r="I55" i="22"/>
  <c r="K55" i="22" s="1"/>
  <c r="G55" i="22"/>
  <c r="AI55" i="22" s="1"/>
  <c r="AB54" i="22"/>
  <c r="AA54" i="22"/>
  <c r="W54" i="22"/>
  <c r="Y54" i="22" s="1"/>
  <c r="U54" i="22"/>
  <c r="T54" i="22"/>
  <c r="O54" i="22"/>
  <c r="Q54" i="22" s="1"/>
  <c r="L54" i="22"/>
  <c r="N54" i="22" s="1"/>
  <c r="I54" i="22"/>
  <c r="K54" i="22" s="1"/>
  <c r="G54" i="22"/>
  <c r="AI54" i="22" s="1"/>
  <c r="AB53" i="22"/>
  <c r="AA53" i="22"/>
  <c r="W53" i="22"/>
  <c r="Y53" i="22" s="1"/>
  <c r="U53" i="22"/>
  <c r="T53" i="22"/>
  <c r="O53" i="22"/>
  <c r="Q53" i="22" s="1"/>
  <c r="L53" i="22"/>
  <c r="N53" i="22" s="1"/>
  <c r="I53" i="22"/>
  <c r="K53" i="22" s="1"/>
  <c r="G53" i="22"/>
  <c r="AB52" i="22"/>
  <c r="AA52" i="22"/>
  <c r="W52" i="22"/>
  <c r="Y52" i="22" s="1"/>
  <c r="U52" i="22"/>
  <c r="T52" i="22"/>
  <c r="O52" i="22"/>
  <c r="Q52" i="22" s="1"/>
  <c r="L52" i="22"/>
  <c r="N52" i="22" s="1"/>
  <c r="I52" i="22"/>
  <c r="K52" i="22" s="1"/>
  <c r="G52" i="22"/>
  <c r="AI52" i="22" s="1"/>
  <c r="AB51" i="22"/>
  <c r="AA51" i="22"/>
  <c r="W51" i="22"/>
  <c r="Y51" i="22" s="1"/>
  <c r="U51" i="22"/>
  <c r="T51" i="22"/>
  <c r="O51" i="22"/>
  <c r="Q51" i="22" s="1"/>
  <c r="L51" i="22"/>
  <c r="N51" i="22" s="1"/>
  <c r="I51" i="22"/>
  <c r="K51" i="22" s="1"/>
  <c r="G51" i="22"/>
  <c r="AI51" i="22" s="1"/>
  <c r="AB50" i="22"/>
  <c r="AA50" i="22"/>
  <c r="W50" i="22"/>
  <c r="Y50" i="22" s="1"/>
  <c r="U50" i="22"/>
  <c r="T50" i="22"/>
  <c r="O50" i="22"/>
  <c r="Q50" i="22" s="1"/>
  <c r="L50" i="22"/>
  <c r="N50" i="22" s="1"/>
  <c r="I50" i="22"/>
  <c r="K50" i="22" s="1"/>
  <c r="G50" i="22"/>
  <c r="AI50" i="22" s="1"/>
  <c r="AB425" i="22"/>
  <c r="AA425" i="22"/>
  <c r="W425" i="22"/>
  <c r="Y425" i="22" s="1"/>
  <c r="U425" i="22"/>
  <c r="T425" i="22"/>
  <c r="O425" i="22"/>
  <c r="Q425" i="22" s="1"/>
  <c r="L425" i="22"/>
  <c r="N425" i="22" s="1"/>
  <c r="I425" i="22"/>
  <c r="K425" i="22" s="1"/>
  <c r="G425" i="22"/>
  <c r="AI425" i="22" s="1"/>
  <c r="AB48" i="22"/>
  <c r="AA48" i="22"/>
  <c r="W48" i="22"/>
  <c r="Y48" i="22" s="1"/>
  <c r="U48" i="22"/>
  <c r="T48" i="22"/>
  <c r="O48" i="22"/>
  <c r="Q48" i="22" s="1"/>
  <c r="L48" i="22"/>
  <c r="N48" i="22" s="1"/>
  <c r="I48" i="22"/>
  <c r="K48" i="22" s="1"/>
  <c r="G48" i="22"/>
  <c r="AI48" i="22" s="1"/>
  <c r="AB47" i="22"/>
  <c r="AA47" i="22"/>
  <c r="W47" i="22"/>
  <c r="Y47" i="22" s="1"/>
  <c r="U47" i="22"/>
  <c r="T47" i="22"/>
  <c r="O47" i="22"/>
  <c r="Q47" i="22" s="1"/>
  <c r="L47" i="22"/>
  <c r="N47" i="22" s="1"/>
  <c r="I47" i="22"/>
  <c r="K47" i="22" s="1"/>
  <c r="G47" i="22"/>
  <c r="AI47" i="22" s="1"/>
  <c r="AB352" i="22"/>
  <c r="AA352" i="22"/>
  <c r="W352" i="22"/>
  <c r="Y352" i="22" s="1"/>
  <c r="U352" i="22"/>
  <c r="T352" i="22"/>
  <c r="O352" i="22"/>
  <c r="Q352" i="22" s="1"/>
  <c r="L352" i="22"/>
  <c r="N352" i="22" s="1"/>
  <c r="I352" i="22"/>
  <c r="K352" i="22" s="1"/>
  <c r="G352" i="22"/>
  <c r="AB45" i="22"/>
  <c r="AA45" i="22"/>
  <c r="W45" i="22"/>
  <c r="Y45" i="22" s="1"/>
  <c r="U45" i="22"/>
  <c r="T45" i="22"/>
  <c r="O45" i="22"/>
  <c r="Q45" i="22" s="1"/>
  <c r="L45" i="22"/>
  <c r="N45" i="22" s="1"/>
  <c r="I45" i="22"/>
  <c r="K45" i="22" s="1"/>
  <c r="G45" i="22"/>
  <c r="AI45" i="22" s="1"/>
  <c r="AB44" i="22"/>
  <c r="AA44" i="22"/>
  <c r="W44" i="22"/>
  <c r="Y44" i="22" s="1"/>
  <c r="U44" i="22"/>
  <c r="T44" i="22"/>
  <c r="O44" i="22"/>
  <c r="Q44" i="22" s="1"/>
  <c r="L44" i="22"/>
  <c r="N44" i="22" s="1"/>
  <c r="I44" i="22"/>
  <c r="K44" i="22" s="1"/>
  <c r="G44" i="22"/>
  <c r="AI44" i="22" s="1"/>
  <c r="AB43" i="22"/>
  <c r="AA43" i="22"/>
  <c r="W43" i="22"/>
  <c r="Y43" i="22" s="1"/>
  <c r="U43" i="22"/>
  <c r="T43" i="22"/>
  <c r="O43" i="22"/>
  <c r="Q43" i="22" s="1"/>
  <c r="L43" i="22"/>
  <c r="N43" i="22" s="1"/>
  <c r="I43" i="22"/>
  <c r="K43" i="22" s="1"/>
  <c r="G43" i="22"/>
  <c r="AG45" i="11" s="1"/>
  <c r="W42" i="22"/>
  <c r="Y42" i="22" s="1"/>
  <c r="U42" i="22"/>
  <c r="T42" i="22"/>
  <c r="O42" i="22"/>
  <c r="Q42" i="22" s="1"/>
  <c r="L42" i="22"/>
  <c r="N42" i="22" s="1"/>
  <c r="I42" i="22"/>
  <c r="K42" i="22" s="1"/>
  <c r="G42" i="22"/>
  <c r="AI42" i="22" s="1"/>
  <c r="U41" i="22"/>
  <c r="T41" i="22"/>
  <c r="O41" i="22"/>
  <c r="Q41" i="22" s="1"/>
  <c r="L41" i="22"/>
  <c r="N41" i="22" s="1"/>
  <c r="I41" i="22"/>
  <c r="K41" i="22" s="1"/>
  <c r="G41" i="22"/>
  <c r="AB288" i="22"/>
  <c r="AA288" i="22"/>
  <c r="W288" i="22"/>
  <c r="Y288" i="22" s="1"/>
  <c r="U288" i="22"/>
  <c r="T288" i="22"/>
  <c r="O288" i="22"/>
  <c r="Q288" i="22" s="1"/>
  <c r="L288" i="22"/>
  <c r="N288" i="22" s="1"/>
  <c r="I288" i="22"/>
  <c r="K288" i="22" s="1"/>
  <c r="G288" i="22"/>
  <c r="AI288" i="22" s="1"/>
  <c r="AB402" i="22"/>
  <c r="AA402" i="22"/>
  <c r="U402" i="22"/>
  <c r="T402" i="22"/>
  <c r="O402" i="22"/>
  <c r="Q402" i="22" s="1"/>
  <c r="L402" i="22"/>
  <c r="N402" i="22" s="1"/>
  <c r="I402" i="22"/>
  <c r="K402" i="22" s="1"/>
  <c r="G402" i="22"/>
  <c r="AI402" i="22" s="1"/>
  <c r="AB417" i="22"/>
  <c r="AA417" i="22"/>
  <c r="W417" i="22"/>
  <c r="Y417" i="22" s="1"/>
  <c r="U417" i="22"/>
  <c r="T417" i="22"/>
  <c r="O417" i="22"/>
  <c r="Q417" i="22" s="1"/>
  <c r="L417" i="22"/>
  <c r="N417" i="22" s="1"/>
  <c r="I417" i="22"/>
  <c r="K417" i="22" s="1"/>
  <c r="G417" i="22"/>
  <c r="AB414" i="22"/>
  <c r="AA414" i="22"/>
  <c r="W414" i="22"/>
  <c r="Y414" i="22" s="1"/>
  <c r="U414" i="22"/>
  <c r="T414" i="22"/>
  <c r="O414" i="22"/>
  <c r="Q414" i="22" s="1"/>
  <c r="L414" i="22"/>
  <c r="N414" i="22" s="1"/>
  <c r="I414" i="22"/>
  <c r="K414" i="22" s="1"/>
  <c r="G414" i="22"/>
  <c r="AI414" i="22" s="1"/>
  <c r="AB36" i="22"/>
  <c r="AA36" i="22"/>
  <c r="W36" i="22"/>
  <c r="Y36" i="22" s="1"/>
  <c r="U36" i="22"/>
  <c r="T36" i="22"/>
  <c r="O36" i="22"/>
  <c r="Q36" i="22" s="1"/>
  <c r="L36" i="22"/>
  <c r="N36" i="22" s="1"/>
  <c r="I36" i="22"/>
  <c r="K36" i="22" s="1"/>
  <c r="G36" i="22"/>
  <c r="BD38" i="11" s="1"/>
  <c r="W121" i="22"/>
  <c r="Y121" i="22" s="1"/>
  <c r="U121" i="22"/>
  <c r="T121" i="22"/>
  <c r="O121" i="22"/>
  <c r="Q121" i="22" s="1"/>
  <c r="L121" i="22"/>
  <c r="N121" i="22" s="1"/>
  <c r="I121" i="22"/>
  <c r="K121" i="22" s="1"/>
  <c r="G121" i="22"/>
  <c r="AB202" i="22"/>
  <c r="AA202" i="22"/>
  <c r="W202" i="22"/>
  <c r="Y202" i="22" s="1"/>
  <c r="U202" i="22"/>
  <c r="T202" i="22"/>
  <c r="O202" i="22"/>
  <c r="Q202" i="22" s="1"/>
  <c r="L202" i="22"/>
  <c r="N202" i="22" s="1"/>
  <c r="I202" i="22"/>
  <c r="K202" i="22" s="1"/>
  <c r="G202" i="22"/>
  <c r="AB33" i="22"/>
  <c r="AA33" i="22"/>
  <c r="W33" i="22"/>
  <c r="Y33" i="22" s="1"/>
  <c r="U33" i="22"/>
  <c r="T33" i="22"/>
  <c r="O33" i="22"/>
  <c r="Q33" i="22" s="1"/>
  <c r="L33" i="22"/>
  <c r="N33" i="22" s="1"/>
  <c r="I33" i="22"/>
  <c r="K33" i="22" s="1"/>
  <c r="G33" i="22"/>
  <c r="AI33" i="22" s="1"/>
  <c r="AB32" i="22"/>
  <c r="AA32" i="22"/>
  <c r="W32" i="22"/>
  <c r="Y32" i="22" s="1"/>
  <c r="U32" i="22"/>
  <c r="T32" i="22"/>
  <c r="O32" i="22"/>
  <c r="Q32" i="22" s="1"/>
  <c r="L32" i="22"/>
  <c r="N32" i="22" s="1"/>
  <c r="I32" i="22"/>
  <c r="K32" i="22" s="1"/>
  <c r="G32" i="22"/>
  <c r="AI32" i="22" s="1"/>
  <c r="AB31" i="22"/>
  <c r="AA31" i="22"/>
  <c r="W31" i="22"/>
  <c r="Y31" i="22" s="1"/>
  <c r="U31" i="22"/>
  <c r="T31" i="22"/>
  <c r="O31" i="22"/>
  <c r="Q31" i="22" s="1"/>
  <c r="L31" i="22"/>
  <c r="N31" i="22" s="1"/>
  <c r="I31" i="22"/>
  <c r="K31" i="22" s="1"/>
  <c r="G31" i="22"/>
  <c r="AI31" i="22" s="1"/>
  <c r="AB30" i="22"/>
  <c r="AA30" i="22"/>
  <c r="W30" i="22"/>
  <c r="Y30" i="22" s="1"/>
  <c r="U30" i="22"/>
  <c r="T30" i="22"/>
  <c r="O30" i="22"/>
  <c r="Q30" i="22" s="1"/>
  <c r="L30" i="22"/>
  <c r="N30" i="22" s="1"/>
  <c r="I30" i="22"/>
  <c r="K30" i="22" s="1"/>
  <c r="G30" i="22"/>
  <c r="AB92" i="22"/>
  <c r="AA92" i="22"/>
  <c r="W92" i="22"/>
  <c r="Y92" i="22" s="1"/>
  <c r="U92" i="22"/>
  <c r="T92" i="22"/>
  <c r="O92" i="22"/>
  <c r="Q92" i="22" s="1"/>
  <c r="L92" i="22"/>
  <c r="N92" i="22" s="1"/>
  <c r="I92" i="22"/>
  <c r="K92" i="22" s="1"/>
  <c r="G92" i="22"/>
  <c r="BA94" i="11" s="1"/>
  <c r="AB388" i="22"/>
  <c r="AA388" i="22"/>
  <c r="W388" i="22"/>
  <c r="Y388" i="22" s="1"/>
  <c r="U388" i="22"/>
  <c r="T388" i="22"/>
  <c r="O388" i="22"/>
  <c r="Q388" i="22" s="1"/>
  <c r="L388" i="22"/>
  <c r="N388" i="22" s="1"/>
  <c r="I388" i="22"/>
  <c r="K388" i="22" s="1"/>
  <c r="G388" i="22"/>
  <c r="AB27" i="22"/>
  <c r="AA27" i="22"/>
  <c r="W27" i="22"/>
  <c r="Y27" i="22" s="1"/>
  <c r="U27" i="22"/>
  <c r="T27" i="22"/>
  <c r="O27" i="22"/>
  <c r="Q27" i="22" s="1"/>
  <c r="L27" i="22"/>
  <c r="N27" i="22" s="1"/>
  <c r="I27" i="22"/>
  <c r="K27" i="22" s="1"/>
  <c r="G27" i="22"/>
  <c r="AI27" i="22" s="1"/>
  <c r="AA26" i="22"/>
  <c r="W26" i="22"/>
  <c r="Y26" i="22" s="1"/>
  <c r="U26" i="22"/>
  <c r="T26" i="22"/>
  <c r="O26" i="22"/>
  <c r="Q26" i="22" s="1"/>
  <c r="L26" i="22"/>
  <c r="N26" i="22" s="1"/>
  <c r="I26" i="22"/>
  <c r="K26" i="22" s="1"/>
  <c r="G26" i="22"/>
  <c r="AI26" i="22" s="1"/>
  <c r="AB25" i="22"/>
  <c r="AA25" i="22"/>
  <c r="W25" i="22"/>
  <c r="Y25" i="22" s="1"/>
  <c r="U25" i="22"/>
  <c r="T25" i="22"/>
  <c r="O25" i="22"/>
  <c r="Q25" i="22" s="1"/>
  <c r="L25" i="22"/>
  <c r="N25" i="22" s="1"/>
  <c r="I25" i="22"/>
  <c r="K25" i="22" s="1"/>
  <c r="G25" i="22"/>
  <c r="AI25" i="22" s="1"/>
  <c r="W34" i="22"/>
  <c r="Y34" i="22" s="1"/>
  <c r="U34" i="22"/>
  <c r="O34" i="22"/>
  <c r="Q34" i="22" s="1"/>
  <c r="L34" i="22"/>
  <c r="N34" i="22" s="1"/>
  <c r="I34" i="22"/>
  <c r="K34" i="22" s="1"/>
  <c r="G34" i="22"/>
  <c r="AA374" i="22"/>
  <c r="W374" i="22"/>
  <c r="Y374" i="22" s="1"/>
  <c r="U374" i="22"/>
  <c r="T374" i="22"/>
  <c r="O374" i="22"/>
  <c r="Q374" i="22" s="1"/>
  <c r="L374" i="22"/>
  <c r="N374" i="22" s="1"/>
  <c r="I374" i="22"/>
  <c r="K374" i="22" s="1"/>
  <c r="G374" i="22"/>
  <c r="AU25" i="11" s="1"/>
  <c r="AB22" i="22"/>
  <c r="AA22" i="22"/>
  <c r="W22" i="22"/>
  <c r="Y22" i="22" s="1"/>
  <c r="U22" i="22"/>
  <c r="T22" i="22"/>
  <c r="O22" i="22"/>
  <c r="Q22" i="22" s="1"/>
  <c r="L22" i="22"/>
  <c r="N22" i="22" s="1"/>
  <c r="I22" i="22"/>
  <c r="K22" i="22" s="1"/>
  <c r="G22" i="22"/>
  <c r="AI22" i="22" s="1"/>
  <c r="AB21" i="22"/>
  <c r="AA21" i="22"/>
  <c r="W21" i="22"/>
  <c r="Y21" i="22" s="1"/>
  <c r="U21" i="22"/>
  <c r="T21" i="22"/>
  <c r="O21" i="22"/>
  <c r="Q21" i="22" s="1"/>
  <c r="L21" i="22"/>
  <c r="N21" i="22" s="1"/>
  <c r="I21" i="22"/>
  <c r="K21" i="22" s="1"/>
  <c r="G21" i="22"/>
  <c r="AI21" i="22" s="1"/>
  <c r="AB391" i="22"/>
  <c r="AA391" i="22"/>
  <c r="W391" i="22"/>
  <c r="Y391" i="22" s="1"/>
  <c r="U391" i="22"/>
  <c r="T391" i="22"/>
  <c r="O391" i="22"/>
  <c r="Q391" i="22" s="1"/>
  <c r="L391" i="22"/>
  <c r="N391" i="22" s="1"/>
  <c r="I391" i="22"/>
  <c r="K391" i="22" s="1"/>
  <c r="G391" i="22"/>
  <c r="K393" i="11" s="1"/>
  <c r="W19" i="22"/>
  <c r="Y19" i="22" s="1"/>
  <c r="U19" i="22"/>
  <c r="T19" i="22"/>
  <c r="O19" i="22"/>
  <c r="Q19" i="22" s="1"/>
  <c r="L19" i="22"/>
  <c r="N19" i="22" s="1"/>
  <c r="I19" i="22"/>
  <c r="K19" i="22" s="1"/>
  <c r="G19" i="22"/>
  <c r="AI19" i="22" s="1"/>
  <c r="AB18" i="22"/>
  <c r="AA18" i="22"/>
  <c r="W18" i="22"/>
  <c r="Y18" i="22" s="1"/>
  <c r="U18" i="22"/>
  <c r="T18" i="22"/>
  <c r="O18" i="22"/>
  <c r="Q18" i="22" s="1"/>
  <c r="L18" i="22"/>
  <c r="N18" i="22" s="1"/>
  <c r="I18" i="22"/>
  <c r="K18" i="22" s="1"/>
  <c r="G18" i="22"/>
  <c r="AI18" i="22" s="1"/>
  <c r="AB17" i="22"/>
  <c r="AA17" i="22"/>
  <c r="W17" i="22"/>
  <c r="Y17" i="22" s="1"/>
  <c r="U17" i="22"/>
  <c r="T17" i="22"/>
  <c r="O17" i="22"/>
  <c r="Q17" i="22" s="1"/>
  <c r="L17" i="22"/>
  <c r="N17" i="22" s="1"/>
  <c r="I17" i="22"/>
  <c r="K17" i="22" s="1"/>
  <c r="G17" i="22"/>
  <c r="W16" i="22"/>
  <c r="Y16" i="22" s="1"/>
  <c r="U16" i="22"/>
  <c r="T16" i="22"/>
  <c r="O16" i="22"/>
  <c r="Q16" i="22" s="1"/>
  <c r="L16" i="22"/>
  <c r="N16" i="22" s="1"/>
  <c r="I16" i="22"/>
  <c r="K16" i="22" s="1"/>
  <c r="G16" i="22"/>
  <c r="BB18" i="11" s="1"/>
  <c r="AB259" i="22"/>
  <c r="AA259" i="22"/>
  <c r="W259" i="22"/>
  <c r="Y259" i="22" s="1"/>
  <c r="U259" i="22"/>
  <c r="T259" i="22"/>
  <c r="O259" i="22"/>
  <c r="Q259" i="22" s="1"/>
  <c r="L259" i="22"/>
  <c r="N259" i="22" s="1"/>
  <c r="I259" i="22"/>
  <c r="K259" i="22" s="1"/>
  <c r="G259" i="22"/>
  <c r="W287" i="22"/>
  <c r="Y287" i="22" s="1"/>
  <c r="U287" i="22"/>
  <c r="T287" i="22"/>
  <c r="O287" i="22"/>
  <c r="Q287" i="22" s="1"/>
  <c r="L287" i="22"/>
  <c r="N287" i="22" s="1"/>
  <c r="I287" i="22"/>
  <c r="K287" i="22" s="1"/>
  <c r="G287" i="22"/>
  <c r="AB13" i="22"/>
  <c r="AA13" i="22"/>
  <c r="W13" i="22"/>
  <c r="Y13" i="22" s="1"/>
  <c r="U13" i="22"/>
  <c r="T13" i="22"/>
  <c r="O13" i="22"/>
  <c r="Q13" i="22" s="1"/>
  <c r="L13" i="22"/>
  <c r="N13" i="22" s="1"/>
  <c r="I13" i="22"/>
  <c r="K13" i="22" s="1"/>
  <c r="G13" i="22"/>
  <c r="AR15" i="11" s="1"/>
  <c r="AB237" i="22"/>
  <c r="AA237" i="22"/>
  <c r="W237" i="22"/>
  <c r="Y237" i="22" s="1"/>
  <c r="U237" i="22"/>
  <c r="T237" i="22"/>
  <c r="O237" i="22"/>
  <c r="Q237" i="22" s="1"/>
  <c r="L237" i="22"/>
  <c r="N237" i="22" s="1"/>
  <c r="I237" i="22"/>
  <c r="K237" i="22" s="1"/>
  <c r="G237" i="22"/>
  <c r="AI237" i="22" s="1"/>
  <c r="AB11" i="22"/>
  <c r="AA11" i="22"/>
  <c r="W11" i="22"/>
  <c r="Y11" i="22" s="1"/>
  <c r="U11" i="22"/>
  <c r="T11" i="22"/>
  <c r="O11" i="22"/>
  <c r="Q11" i="22" s="1"/>
  <c r="L11" i="22"/>
  <c r="N11" i="22" s="1"/>
  <c r="I11" i="22"/>
  <c r="K11" i="22" s="1"/>
  <c r="G11" i="22"/>
  <c r="AI11" i="22" s="1"/>
  <c r="W10" i="22"/>
  <c r="Y10" i="22" s="1"/>
  <c r="U10" i="22"/>
  <c r="T10" i="22"/>
  <c r="O10" i="22"/>
  <c r="Q10" i="22" s="1"/>
  <c r="L10" i="22"/>
  <c r="N10" i="22" s="1"/>
  <c r="I10" i="22"/>
  <c r="K10" i="22" s="1"/>
  <c r="G10" i="22"/>
  <c r="AI10" i="22" s="1"/>
  <c r="AB297" i="22"/>
  <c r="AA297" i="22"/>
  <c r="W297" i="22"/>
  <c r="Y297" i="22" s="1"/>
  <c r="U297" i="22"/>
  <c r="T297" i="22"/>
  <c r="O297" i="22"/>
  <c r="Q297" i="22" s="1"/>
  <c r="L297" i="22"/>
  <c r="N297" i="22" s="1"/>
  <c r="I297" i="22"/>
  <c r="K297" i="22" s="1"/>
  <c r="G297" i="22"/>
  <c r="AA264" i="22"/>
  <c r="W264" i="22"/>
  <c r="Y264" i="22" s="1"/>
  <c r="U264" i="22"/>
  <c r="T264" i="22"/>
  <c r="O264" i="22"/>
  <c r="Q264" i="22" s="1"/>
  <c r="L264" i="22"/>
  <c r="N264" i="22" s="1"/>
  <c r="I264" i="22"/>
  <c r="K264" i="22" s="1"/>
  <c r="G264" i="22"/>
  <c r="AB7" i="22"/>
  <c r="AA7" i="22"/>
  <c r="W7" i="22"/>
  <c r="Y7" i="22" s="1"/>
  <c r="U7" i="22"/>
  <c r="T7" i="22"/>
  <c r="O7" i="22"/>
  <c r="Q7" i="22" s="1"/>
  <c r="L7" i="22"/>
  <c r="N7" i="22" s="1"/>
  <c r="I7" i="22"/>
  <c r="K7" i="22" s="1"/>
  <c r="G7" i="22"/>
  <c r="AI7" i="22" s="1"/>
  <c r="AB6" i="22"/>
  <c r="AA6" i="22"/>
  <c r="W6" i="22"/>
  <c r="Y6" i="22" s="1"/>
  <c r="U6" i="22"/>
  <c r="T6" i="22"/>
  <c r="O6" i="22"/>
  <c r="Q6" i="22" s="1"/>
  <c r="L6" i="22"/>
  <c r="N6" i="22" s="1"/>
  <c r="I6" i="22"/>
  <c r="K6" i="22" s="1"/>
  <c r="G6" i="22"/>
  <c r="AI6" i="22" s="1"/>
  <c r="AB5" i="22"/>
  <c r="AA5" i="22"/>
  <c r="W5" i="22"/>
  <c r="Y5" i="22" s="1"/>
  <c r="U5" i="22"/>
  <c r="O5" i="22"/>
  <c r="Q5" i="22" s="1"/>
  <c r="L5" i="22"/>
  <c r="N5" i="22" s="1"/>
  <c r="I5" i="22"/>
  <c r="K5" i="22" s="1"/>
  <c r="G5" i="22"/>
  <c r="AB15" i="22"/>
  <c r="AA15" i="22"/>
  <c r="W15" i="22"/>
  <c r="Y15" i="22" s="1"/>
  <c r="U15" i="22"/>
  <c r="O15" i="22"/>
  <c r="Q15" i="22" s="1"/>
  <c r="L15" i="22"/>
  <c r="N15" i="22" s="1"/>
  <c r="I15" i="22"/>
  <c r="K15" i="22" s="1"/>
  <c r="G15" i="22"/>
  <c r="AB3" i="22"/>
  <c r="AA3" i="22"/>
  <c r="W3" i="22"/>
  <c r="Y3" i="22" s="1"/>
  <c r="U3" i="22"/>
  <c r="T3" i="22"/>
  <c r="O3" i="22"/>
  <c r="Q3" i="22" s="1"/>
  <c r="L3" i="22"/>
  <c r="N3" i="22" s="1"/>
  <c r="I3" i="22"/>
  <c r="K3" i="22" s="1"/>
  <c r="G3" i="22"/>
  <c r="AB2" i="22"/>
  <c r="AA2" i="22"/>
  <c r="W2" i="22"/>
  <c r="Y2" i="22" s="1"/>
  <c r="U2" i="22"/>
  <c r="R2" i="22"/>
  <c r="T2" i="22" s="1"/>
  <c r="O2" i="22"/>
  <c r="Q2" i="22" s="1"/>
  <c r="L2" i="22"/>
  <c r="N2" i="22" s="1"/>
  <c r="I2" i="22"/>
  <c r="K2" i="22" s="1"/>
  <c r="G2" i="22"/>
  <c r="BI4" i="11" s="1"/>
  <c r="BJ447" i="11"/>
  <c r="AQ447" i="11"/>
  <c r="AO447" i="11"/>
  <c r="AN447" i="11"/>
  <c r="AL447" i="11"/>
  <c r="AB447" i="11"/>
  <c r="AA447" i="11"/>
  <c r="M447" i="11"/>
  <c r="K447" i="11"/>
  <c r="J447" i="11"/>
  <c r="BJ446" i="11"/>
  <c r="BJ445" i="11"/>
  <c r="T445" i="11"/>
  <c r="BJ444" i="11"/>
  <c r="BJ443" i="11"/>
  <c r="BH443" i="11"/>
  <c r="BE443" i="11"/>
  <c r="BC443" i="11"/>
  <c r="BA443" i="11"/>
  <c r="AX443" i="11"/>
  <c r="AP443" i="11"/>
  <c r="AG443" i="11"/>
  <c r="AF443" i="11"/>
  <c r="AC443" i="11"/>
  <c r="V443" i="11"/>
  <c r="L443" i="11"/>
  <c r="J443" i="11"/>
  <c r="E443" i="11"/>
  <c r="BJ442" i="11"/>
  <c r="AO442" i="11"/>
  <c r="AB442" i="11"/>
  <c r="Q442" i="11"/>
  <c r="G442" i="11"/>
  <c r="E442" i="11"/>
  <c r="BJ441" i="11"/>
  <c r="BJ440" i="11"/>
  <c r="BI440" i="11"/>
  <c r="BJ439" i="11"/>
  <c r="BJ438" i="11"/>
  <c r="BJ437" i="11"/>
  <c r="W437" i="11"/>
  <c r="BJ436" i="11"/>
  <c r="BJ435" i="11"/>
  <c r="BI435" i="11"/>
  <c r="BC435" i="11"/>
  <c r="BB435" i="11"/>
  <c r="BA435" i="11"/>
  <c r="AZ435" i="11"/>
  <c r="AY435" i="11"/>
  <c r="AX435" i="11"/>
  <c r="AT435" i="11"/>
  <c r="AS435" i="11"/>
  <c r="AJ435" i="11"/>
  <c r="AD435" i="11"/>
  <c r="AC435" i="11"/>
  <c r="AB435" i="11"/>
  <c r="AA435" i="11"/>
  <c r="Z435" i="11"/>
  <c r="Y435" i="11"/>
  <c r="V435" i="11"/>
  <c r="U435" i="11"/>
  <c r="T435" i="11"/>
  <c r="K435" i="11"/>
  <c r="E435" i="11"/>
  <c r="BJ434" i="11"/>
  <c r="AE434" i="11"/>
  <c r="BJ433" i="11"/>
  <c r="BJ432" i="11"/>
  <c r="BJ431" i="11"/>
  <c r="BJ430" i="11"/>
  <c r="BJ429" i="11"/>
  <c r="AU429" i="11"/>
  <c r="AD429" i="11"/>
  <c r="AA429" i="11"/>
  <c r="Z429" i="11"/>
  <c r="U429" i="11"/>
  <c r="O429" i="11"/>
  <c r="BJ428" i="11"/>
  <c r="BC428" i="11"/>
  <c r="BJ427" i="11"/>
  <c r="BJ426" i="11"/>
  <c r="BI426" i="11"/>
  <c r="AX426" i="11"/>
  <c r="AV426" i="11"/>
  <c r="AU426" i="11"/>
  <c r="AP426" i="11"/>
  <c r="AJ426" i="11"/>
  <c r="AI426" i="11"/>
  <c r="AF426" i="11"/>
  <c r="AB426" i="11"/>
  <c r="P426" i="11"/>
  <c r="K426" i="11"/>
  <c r="BJ425" i="11"/>
  <c r="V425" i="11"/>
  <c r="BJ424" i="11"/>
  <c r="BI424" i="11"/>
  <c r="BH424" i="11"/>
  <c r="BG424" i="11"/>
  <c r="BF424" i="11"/>
  <c r="BE424" i="11"/>
  <c r="BD424" i="11"/>
  <c r="BC424" i="11"/>
  <c r="BB424" i="11"/>
  <c r="BA424" i="11"/>
  <c r="AZ424" i="11"/>
  <c r="AY424" i="11"/>
  <c r="AX424" i="11"/>
  <c r="AW424" i="11"/>
  <c r="AV424" i="11"/>
  <c r="AU424" i="11"/>
  <c r="AT424" i="11"/>
  <c r="AS424" i="11"/>
  <c r="AR424" i="11"/>
  <c r="AQ424" i="11"/>
  <c r="AP424" i="11"/>
  <c r="AO424" i="11"/>
  <c r="AN424" i="11"/>
  <c r="AM424" i="11"/>
  <c r="AL424" i="11"/>
  <c r="AK424" i="11"/>
  <c r="AJ424" i="11"/>
  <c r="AI424" i="11"/>
  <c r="AH424" i="11"/>
  <c r="AG424" i="11"/>
  <c r="AF424" i="11"/>
  <c r="AE424" i="11"/>
  <c r="AD424" i="11"/>
  <c r="AC424" i="11"/>
  <c r="AB424" i="11"/>
  <c r="AA424" i="11"/>
  <c r="Z424" i="11"/>
  <c r="Y424" i="11"/>
  <c r="X424" i="11"/>
  <c r="W424" i="11"/>
  <c r="V424" i="11"/>
  <c r="U424" i="11"/>
  <c r="T424" i="11"/>
  <c r="S424" i="11"/>
  <c r="R424" i="11"/>
  <c r="Q424" i="11"/>
  <c r="P424" i="11"/>
  <c r="O424" i="11"/>
  <c r="N424" i="11"/>
  <c r="M424" i="11"/>
  <c r="L424" i="11"/>
  <c r="K424" i="11"/>
  <c r="J424" i="11"/>
  <c r="I424" i="11"/>
  <c r="H424" i="11"/>
  <c r="G424" i="11"/>
  <c r="F424" i="11"/>
  <c r="E424" i="11"/>
  <c r="BJ423" i="11"/>
  <c r="BJ422" i="11"/>
  <c r="BJ421" i="11"/>
  <c r="BF421" i="11"/>
  <c r="BB421" i="11"/>
  <c r="AC421" i="11"/>
  <c r="Y421" i="11"/>
  <c r="BJ420" i="11"/>
  <c r="BI420" i="11"/>
  <c r="BH420" i="11"/>
  <c r="BE420" i="11"/>
  <c r="BB420" i="11"/>
  <c r="AZ420" i="11"/>
  <c r="AX420" i="11"/>
  <c r="AW420" i="11"/>
  <c r="AV420" i="11"/>
  <c r="AT420" i="11"/>
  <c r="AS420" i="11"/>
  <c r="AR420" i="11"/>
  <c r="AQ420" i="11"/>
  <c r="AP420" i="11"/>
  <c r="AO420" i="11"/>
  <c r="AN420" i="11"/>
  <c r="AM420" i="11"/>
  <c r="AL420" i="11"/>
  <c r="AK420" i="11"/>
  <c r="AJ420" i="11"/>
  <c r="AI420" i="11"/>
  <c r="AH420" i="11"/>
  <c r="AG420" i="11"/>
  <c r="AB420" i="11"/>
  <c r="Y420" i="11"/>
  <c r="X420" i="11"/>
  <c r="W420" i="11"/>
  <c r="V420" i="11"/>
  <c r="U420" i="11"/>
  <c r="S420" i="11"/>
  <c r="R420" i="11"/>
  <c r="Q420" i="11"/>
  <c r="P420" i="11"/>
  <c r="O420" i="11"/>
  <c r="N420" i="11"/>
  <c r="M420" i="11"/>
  <c r="L420" i="11"/>
  <c r="K420" i="11"/>
  <c r="J420" i="11"/>
  <c r="I420" i="11"/>
  <c r="H420" i="11"/>
  <c r="F420" i="11"/>
  <c r="BJ419" i="11"/>
  <c r="BJ418" i="11"/>
  <c r="BG418" i="11"/>
  <c r="BE418" i="11"/>
  <c r="BC418" i="11"/>
  <c r="BA418" i="11"/>
  <c r="AP418" i="11"/>
  <c r="AN418" i="11"/>
  <c r="AJ418" i="11"/>
  <c r="AI418" i="11"/>
  <c r="AF418" i="11"/>
  <c r="AD418" i="11"/>
  <c r="AB418" i="11"/>
  <c r="X418" i="11"/>
  <c r="M418" i="11"/>
  <c r="I418" i="11"/>
  <c r="H418" i="11"/>
  <c r="E418" i="11"/>
  <c r="BJ417" i="11"/>
  <c r="BJ416" i="11"/>
  <c r="BJ415" i="11"/>
  <c r="BI415" i="11"/>
  <c r="BH415" i="11"/>
  <c r="BG415" i="11"/>
  <c r="BF415" i="11"/>
  <c r="BD415" i="11"/>
  <c r="BC415" i="11"/>
  <c r="BB415" i="11"/>
  <c r="BA415" i="11"/>
  <c r="AZ415" i="11"/>
  <c r="AY415" i="11"/>
  <c r="AX415" i="11"/>
  <c r="AW415" i="11"/>
  <c r="AV415" i="11"/>
  <c r="AU415" i="11"/>
  <c r="AT415" i="11"/>
  <c r="AS415" i="11"/>
  <c r="AR415" i="11"/>
  <c r="AQ415" i="11"/>
  <c r="AP415" i="11"/>
  <c r="AO415" i="11"/>
  <c r="AN415" i="11"/>
  <c r="AM415" i="11"/>
  <c r="AL415" i="11"/>
  <c r="AK415" i="11"/>
  <c r="AJ415" i="11"/>
  <c r="AI415" i="11"/>
  <c r="AH415" i="11"/>
  <c r="AF415" i="11"/>
  <c r="AE415" i="11"/>
  <c r="AD415" i="11"/>
  <c r="AC415" i="11"/>
  <c r="AB415" i="11"/>
  <c r="AA415" i="11"/>
  <c r="Z415" i="11"/>
  <c r="Y415" i="11"/>
  <c r="X415" i="11"/>
  <c r="W415" i="11"/>
  <c r="V415" i="11"/>
  <c r="U415" i="11"/>
  <c r="T415" i="11"/>
  <c r="S415" i="11"/>
  <c r="R415" i="11"/>
  <c r="Q415" i="11"/>
  <c r="P415" i="11"/>
  <c r="O415" i="11"/>
  <c r="N415" i="11"/>
  <c r="M415" i="11"/>
  <c r="L415" i="11"/>
  <c r="K415" i="11"/>
  <c r="J415" i="11"/>
  <c r="H415" i="11"/>
  <c r="G415" i="11"/>
  <c r="F415" i="11"/>
  <c r="E415" i="11"/>
  <c r="BJ414" i="11"/>
  <c r="BA414" i="11"/>
  <c r="AB414" i="11"/>
  <c r="BJ413" i="11"/>
  <c r="BJ412" i="11"/>
  <c r="AK412" i="11"/>
  <c r="BJ411" i="11"/>
  <c r="BJ410" i="11"/>
  <c r="BJ409" i="11"/>
  <c r="BI409" i="11"/>
  <c r="BH409" i="11"/>
  <c r="BF409" i="11"/>
  <c r="BE409" i="11"/>
  <c r="BC409" i="11"/>
  <c r="AY409" i="11"/>
  <c r="AX409" i="11"/>
  <c r="AW409" i="11"/>
  <c r="AU409" i="11"/>
  <c r="AT409" i="11"/>
  <c r="AQ409" i="11"/>
  <c r="AK409" i="11"/>
  <c r="AJ409" i="11"/>
  <c r="AH409" i="11"/>
  <c r="AG409" i="11"/>
  <c r="AE409" i="11"/>
  <c r="AA409" i="11"/>
  <c r="Z409" i="11"/>
  <c r="Y409" i="11"/>
  <c r="W409" i="11"/>
  <c r="V409" i="11"/>
  <c r="S409" i="11"/>
  <c r="M409" i="11"/>
  <c r="L409" i="11"/>
  <c r="J409" i="11"/>
  <c r="I409" i="11"/>
  <c r="G409" i="11"/>
  <c r="BJ408" i="11"/>
  <c r="BJ407" i="11"/>
  <c r="BJ406" i="11"/>
  <c r="BJ405" i="11"/>
  <c r="BJ404" i="11"/>
  <c r="BF404" i="11"/>
  <c r="AM404" i="11"/>
  <c r="AH404" i="11"/>
  <c r="BJ403" i="11"/>
  <c r="BJ402" i="11"/>
  <c r="BJ401" i="11"/>
  <c r="BJ400" i="11"/>
  <c r="BJ399" i="11"/>
  <c r="BI399" i="11"/>
  <c r="BH399" i="11"/>
  <c r="BF399" i="11"/>
  <c r="BE399" i="11"/>
  <c r="BD399" i="11"/>
  <c r="BC399" i="11"/>
  <c r="BA399" i="11"/>
  <c r="AX399" i="11"/>
  <c r="AW399" i="11"/>
  <c r="AV399" i="11"/>
  <c r="AT399" i="11"/>
  <c r="AS399" i="11"/>
  <c r="AR399" i="11"/>
  <c r="AQ399" i="11"/>
  <c r="AP399" i="11"/>
  <c r="AO399" i="11"/>
  <c r="AL399" i="11"/>
  <c r="AK399" i="11"/>
  <c r="AJ399" i="11"/>
  <c r="AH399" i="11"/>
  <c r="AG399" i="11"/>
  <c r="AF399" i="11"/>
  <c r="AE399" i="11"/>
  <c r="AC399" i="11"/>
  <c r="Z399" i="11"/>
  <c r="Y399" i="11"/>
  <c r="X399" i="11"/>
  <c r="V399" i="11"/>
  <c r="U399" i="11"/>
  <c r="T399" i="11"/>
  <c r="S399" i="11"/>
  <c r="R399" i="11"/>
  <c r="Q399" i="11"/>
  <c r="N399" i="11"/>
  <c r="M399" i="11"/>
  <c r="L399" i="11"/>
  <c r="J399" i="11"/>
  <c r="I399" i="11"/>
  <c r="H399" i="11"/>
  <c r="G399" i="11"/>
  <c r="E399" i="11"/>
  <c r="BJ398" i="11"/>
  <c r="AK398" i="11"/>
  <c r="M398" i="11"/>
  <c r="L398" i="11"/>
  <c r="BJ397" i="11"/>
  <c r="BJ396" i="11"/>
  <c r="BH396" i="11"/>
  <c r="BG396" i="11"/>
  <c r="BE396" i="11"/>
  <c r="BD396" i="11"/>
  <c r="BC396" i="11"/>
  <c r="BB396" i="11"/>
  <c r="BA396" i="11"/>
  <c r="AZ396" i="11"/>
  <c r="AY396" i="11"/>
  <c r="AX396" i="11"/>
  <c r="AW396" i="11"/>
  <c r="AV396" i="11"/>
  <c r="AT396" i="11"/>
  <c r="AS396" i="11"/>
  <c r="AQ396" i="11"/>
  <c r="AP396" i="11"/>
  <c r="AJ396" i="11"/>
  <c r="AI396" i="11"/>
  <c r="AG396" i="11"/>
  <c r="AF396" i="11"/>
  <c r="AE396" i="11"/>
  <c r="AD396" i="11"/>
  <c r="AC396" i="11"/>
  <c r="AB396" i="11"/>
  <c r="AA396" i="11"/>
  <c r="Z396" i="11"/>
  <c r="Y396" i="11"/>
  <c r="X396" i="11"/>
  <c r="V396" i="11"/>
  <c r="U396" i="11"/>
  <c r="S396" i="11"/>
  <c r="R396" i="11"/>
  <c r="L396" i="11"/>
  <c r="K396" i="11"/>
  <c r="I396" i="11"/>
  <c r="H396" i="11"/>
  <c r="G396" i="11"/>
  <c r="F396" i="11"/>
  <c r="E396" i="11"/>
  <c r="BJ395" i="11"/>
  <c r="AN395" i="11"/>
  <c r="AI395" i="11"/>
  <c r="BJ394" i="11"/>
  <c r="U394" i="11"/>
  <c r="BJ393" i="11"/>
  <c r="AV393" i="11"/>
  <c r="AT393" i="11"/>
  <c r="AO393" i="11"/>
  <c r="AM393" i="11"/>
  <c r="AB393" i="11"/>
  <c r="Q393" i="11"/>
  <c r="O393" i="11"/>
  <c r="L393" i="11"/>
  <c r="J393" i="11"/>
  <c r="F393" i="11"/>
  <c r="BJ392" i="11"/>
  <c r="BJ391" i="11"/>
  <c r="AS391" i="11"/>
  <c r="U391" i="11"/>
  <c r="BJ390" i="11"/>
  <c r="BG390" i="11"/>
  <c r="BC390" i="11"/>
  <c r="BB390" i="11"/>
  <c r="AY390" i="11"/>
  <c r="AR390" i="11"/>
  <c r="AJ390" i="11"/>
  <c r="K390" i="11"/>
  <c r="BJ389" i="11"/>
  <c r="AX389" i="11"/>
  <c r="BJ388" i="11"/>
  <c r="BJ387" i="11"/>
  <c r="BI387" i="11"/>
  <c r="BG387" i="11"/>
  <c r="BF387" i="11"/>
  <c r="BE387" i="11"/>
  <c r="AZ387" i="11"/>
  <c r="AY387" i="11"/>
  <c r="AW387" i="11"/>
  <c r="AV387" i="11"/>
  <c r="AU387" i="11"/>
  <c r="AT387" i="11"/>
  <c r="AS387" i="11"/>
  <c r="AR387" i="11"/>
  <c r="AQ387" i="11"/>
  <c r="AP387" i="11"/>
  <c r="AO387" i="11"/>
  <c r="AN387" i="11"/>
  <c r="AM387" i="11"/>
  <c r="AL387" i="11"/>
  <c r="AK387" i="11"/>
  <c r="AI387" i="11"/>
  <c r="AH387" i="11"/>
  <c r="AG387" i="11"/>
  <c r="AB387" i="11"/>
  <c r="AA387" i="11"/>
  <c r="Y387" i="11"/>
  <c r="X387" i="11"/>
  <c r="W387" i="11"/>
  <c r="V387" i="11"/>
  <c r="U387" i="11"/>
  <c r="T387" i="11"/>
  <c r="S387" i="11"/>
  <c r="R387" i="11"/>
  <c r="Q387" i="11"/>
  <c r="P387" i="11"/>
  <c r="O387" i="11"/>
  <c r="N387" i="11"/>
  <c r="M387" i="11"/>
  <c r="K387" i="11"/>
  <c r="J387" i="11"/>
  <c r="I387" i="11"/>
  <c r="BJ386" i="11"/>
  <c r="BJ385" i="11"/>
  <c r="BI385" i="11"/>
  <c r="BH385" i="11"/>
  <c r="BG385" i="11"/>
  <c r="BF385" i="11"/>
  <c r="BE385" i="11"/>
  <c r="BD385" i="11"/>
  <c r="BC385" i="11"/>
  <c r="BB385" i="11"/>
  <c r="BA385" i="11"/>
  <c r="AZ385" i="11"/>
  <c r="AY385" i="11"/>
  <c r="AX385" i="11"/>
  <c r="AW385" i="11"/>
  <c r="AV385" i="11"/>
  <c r="AU385" i="11"/>
  <c r="AT385" i="11"/>
  <c r="AR385" i="11"/>
  <c r="AQ385" i="11"/>
  <c r="AP385" i="11"/>
  <c r="AO385" i="11"/>
  <c r="AN385" i="11"/>
  <c r="AM385" i="11"/>
  <c r="AL385" i="11"/>
  <c r="AK385" i="11"/>
  <c r="AJ385" i="11"/>
  <c r="AI385" i="11"/>
  <c r="AH385" i="11"/>
  <c r="AG385" i="11"/>
  <c r="AF385" i="11"/>
  <c r="AE385" i="11"/>
  <c r="AD385" i="11"/>
  <c r="AC385" i="11"/>
  <c r="AB385" i="11"/>
  <c r="AA385" i="11"/>
  <c r="Z385" i="11"/>
  <c r="Y385" i="11"/>
  <c r="X385" i="11"/>
  <c r="W385" i="11"/>
  <c r="V385" i="11"/>
  <c r="T385" i="11"/>
  <c r="S385" i="11"/>
  <c r="R385" i="11"/>
  <c r="Q385" i="11"/>
  <c r="P385" i="11"/>
  <c r="O385" i="11"/>
  <c r="N385" i="11"/>
  <c r="M385" i="11"/>
  <c r="L385" i="11"/>
  <c r="K385" i="11"/>
  <c r="J385" i="11"/>
  <c r="I385" i="11"/>
  <c r="H385" i="11"/>
  <c r="G385" i="11"/>
  <c r="F385" i="11"/>
  <c r="E385" i="11"/>
  <c r="BJ384" i="11"/>
  <c r="BI384" i="11"/>
  <c r="BD384" i="11"/>
  <c r="BC384" i="11"/>
  <c r="BA384" i="11"/>
  <c r="AZ384" i="11"/>
  <c r="AY384" i="11"/>
  <c r="AX384" i="11"/>
  <c r="AW384" i="11"/>
  <c r="AV384" i="11"/>
  <c r="AU384" i="11"/>
  <c r="AT384" i="11"/>
  <c r="AS384" i="11"/>
  <c r="AR384" i="11"/>
  <c r="AQ384" i="11"/>
  <c r="AP384" i="11"/>
  <c r="AO384" i="11"/>
  <c r="AN384" i="11"/>
  <c r="AM384" i="11"/>
  <c r="AL384" i="11"/>
  <c r="AK384" i="11"/>
  <c r="AF384" i="11"/>
  <c r="AE384" i="11"/>
  <c r="AC384" i="11"/>
  <c r="AB384" i="11"/>
  <c r="AA384" i="11"/>
  <c r="Z384" i="11"/>
  <c r="Y384" i="11"/>
  <c r="X384" i="11"/>
  <c r="W384" i="11"/>
  <c r="V384" i="11"/>
  <c r="U384" i="11"/>
  <c r="T384" i="11"/>
  <c r="S384" i="11"/>
  <c r="R384" i="11"/>
  <c r="Q384" i="11"/>
  <c r="P384" i="11"/>
  <c r="O384" i="11"/>
  <c r="N384" i="11"/>
  <c r="M384" i="11"/>
  <c r="H384" i="11"/>
  <c r="G384" i="11"/>
  <c r="E384" i="11"/>
  <c r="BJ383" i="11"/>
  <c r="AP383" i="11"/>
  <c r="AO383" i="11"/>
  <c r="AC383" i="11"/>
  <c r="AA383" i="11"/>
  <c r="Z383" i="11"/>
  <c r="BJ382" i="11"/>
  <c r="AO382" i="11"/>
  <c r="BJ381" i="11"/>
  <c r="BC381" i="11"/>
  <c r="BB381" i="11"/>
  <c r="AB381" i="11"/>
  <c r="Z381" i="11"/>
  <c r="J381" i="11"/>
  <c r="H381" i="11"/>
  <c r="G381" i="11"/>
  <c r="BJ380" i="11"/>
  <c r="BJ379" i="11"/>
  <c r="BI379" i="11"/>
  <c r="BH379" i="11"/>
  <c r="BG379" i="11"/>
  <c r="BF379" i="11"/>
  <c r="BE379" i="11"/>
  <c r="BD379" i="11"/>
  <c r="BC379" i="11"/>
  <c r="BB379" i="11"/>
  <c r="BA379" i="11"/>
  <c r="AZ379" i="11"/>
  <c r="AY379" i="11"/>
  <c r="AX379" i="11"/>
  <c r="AW379" i="11"/>
  <c r="AV379" i="11"/>
  <c r="AU379" i="11"/>
  <c r="AT379" i="11"/>
  <c r="AS379" i="11"/>
  <c r="AR379" i="11"/>
  <c r="AQ379" i="11"/>
  <c r="AP379" i="11"/>
  <c r="AO379" i="11"/>
  <c r="AN379" i="11"/>
  <c r="AM379" i="11"/>
  <c r="AL379" i="11"/>
  <c r="AK379" i="11"/>
  <c r="AJ379" i="11"/>
  <c r="AI379" i="11"/>
  <c r="AH379" i="11"/>
  <c r="AG379" i="11"/>
  <c r="AF379" i="11"/>
  <c r="AE379" i="11"/>
  <c r="AD379" i="11"/>
  <c r="AC379" i="11"/>
  <c r="AB379" i="11"/>
  <c r="AA379" i="11"/>
  <c r="Z379" i="11"/>
  <c r="Y379" i="11"/>
  <c r="X379" i="11"/>
  <c r="W379" i="11"/>
  <c r="V379" i="11"/>
  <c r="U379" i="11"/>
  <c r="T379" i="11"/>
  <c r="S379" i="11"/>
  <c r="R379" i="11"/>
  <c r="Q379" i="11"/>
  <c r="P379" i="11"/>
  <c r="O379" i="11"/>
  <c r="N379" i="11"/>
  <c r="M379" i="11"/>
  <c r="L379" i="11"/>
  <c r="K379" i="11"/>
  <c r="J379" i="11"/>
  <c r="I379" i="11"/>
  <c r="H379" i="11"/>
  <c r="G379" i="11"/>
  <c r="F379" i="11"/>
  <c r="E379" i="11"/>
  <c r="BJ378" i="11"/>
  <c r="BJ377" i="11"/>
  <c r="BJ376" i="11"/>
  <c r="BJ375" i="11"/>
  <c r="BJ374" i="11"/>
  <c r="AR374" i="11"/>
  <c r="BJ373" i="11"/>
  <c r="BI373" i="11"/>
  <c r="BH373" i="11"/>
  <c r="BG373" i="11"/>
  <c r="BF373" i="11"/>
  <c r="BE373" i="11"/>
  <c r="BD373" i="11"/>
  <c r="BC373" i="11"/>
  <c r="BB373" i="11"/>
  <c r="BA373" i="11"/>
  <c r="AZ373" i="11"/>
  <c r="AY373" i="11"/>
  <c r="AX373" i="11"/>
  <c r="AW373" i="11"/>
  <c r="AV373" i="11"/>
  <c r="AU373" i="11"/>
  <c r="AT373" i="11"/>
  <c r="AS373" i="11"/>
  <c r="AR373" i="11"/>
  <c r="AQ373" i="11"/>
  <c r="AP373" i="11"/>
  <c r="AO373" i="11"/>
  <c r="AN373" i="11"/>
  <c r="AM373" i="11"/>
  <c r="AL373" i="11"/>
  <c r="AK373" i="11"/>
  <c r="AJ373" i="11"/>
  <c r="AI373" i="11"/>
  <c r="AH373" i="11"/>
  <c r="AG373" i="11"/>
  <c r="AF373" i="11"/>
  <c r="AE373" i="11"/>
  <c r="AD373" i="11"/>
  <c r="AC373" i="11"/>
  <c r="AB373" i="11"/>
  <c r="AA373" i="11"/>
  <c r="Z373" i="11"/>
  <c r="Y373" i="11"/>
  <c r="X373" i="11"/>
  <c r="W373" i="11"/>
  <c r="V373" i="11"/>
  <c r="U373" i="11"/>
  <c r="T373" i="11"/>
  <c r="S373" i="11"/>
  <c r="R373" i="11"/>
  <c r="Q373" i="11"/>
  <c r="P373" i="11"/>
  <c r="O373" i="11"/>
  <c r="N373" i="11"/>
  <c r="M373" i="11"/>
  <c r="L373" i="11"/>
  <c r="K373" i="11"/>
  <c r="J373" i="11"/>
  <c r="I373" i="11"/>
  <c r="H373" i="11"/>
  <c r="G373" i="11"/>
  <c r="F373" i="11"/>
  <c r="E373" i="11"/>
  <c r="BJ372" i="11"/>
  <c r="BJ371" i="11"/>
  <c r="BD371" i="11"/>
  <c r="AF371" i="11"/>
  <c r="S371" i="11"/>
  <c r="H371" i="11"/>
  <c r="BJ370" i="11"/>
  <c r="BH370" i="11"/>
  <c r="BJ369" i="11"/>
  <c r="BJ368" i="11"/>
  <c r="AR368" i="11"/>
  <c r="O368" i="11"/>
  <c r="BJ367" i="11"/>
  <c r="BJ366" i="11"/>
  <c r="BJ365" i="11"/>
  <c r="AR365" i="11"/>
  <c r="T365" i="11"/>
  <c r="BJ364" i="11"/>
  <c r="BF364" i="11"/>
  <c r="Q364" i="11"/>
  <c r="F364" i="11"/>
  <c r="BJ363" i="11"/>
  <c r="BJ362" i="11"/>
  <c r="BH362" i="11"/>
  <c r="BG362" i="11"/>
  <c r="BF362" i="11"/>
  <c r="BE362" i="11"/>
  <c r="BD362" i="11"/>
  <c r="BC362" i="11"/>
  <c r="BB362" i="11"/>
  <c r="AZ362" i="11"/>
  <c r="AW362" i="11"/>
  <c r="AV362" i="11"/>
  <c r="AT362" i="11"/>
  <c r="AS362" i="11"/>
  <c r="AQ362" i="11"/>
  <c r="AP362" i="11"/>
  <c r="AN362" i="11"/>
  <c r="AM362" i="11"/>
  <c r="AL362" i="11"/>
  <c r="AJ362" i="11"/>
  <c r="AI362" i="11"/>
  <c r="AH362" i="11"/>
  <c r="AG362" i="11"/>
  <c r="AF362" i="11"/>
  <c r="AE362" i="11"/>
  <c r="AD362" i="11"/>
  <c r="AB362" i="11"/>
  <c r="Y362" i="11"/>
  <c r="X362" i="11"/>
  <c r="V362" i="11"/>
  <c r="U362" i="11"/>
  <c r="S362" i="11"/>
  <c r="R362" i="11"/>
  <c r="P362" i="11"/>
  <c r="O362" i="11"/>
  <c r="N362" i="11"/>
  <c r="L362" i="11"/>
  <c r="K362" i="11"/>
  <c r="J362" i="11"/>
  <c r="I362" i="11"/>
  <c r="H362" i="11"/>
  <c r="G362" i="11"/>
  <c r="F362" i="11"/>
  <c r="BJ361" i="11"/>
  <c r="AV361" i="11"/>
  <c r="AS361" i="11"/>
  <c r="AR361" i="11"/>
  <c r="AQ361" i="11"/>
  <c r="AL361" i="11"/>
  <c r="AK361" i="11"/>
  <c r="AE361" i="11"/>
  <c r="BJ360" i="11"/>
  <c r="AM360" i="11"/>
  <c r="AI360" i="11"/>
  <c r="J360" i="11"/>
  <c r="F360" i="11"/>
  <c r="BJ359" i="11"/>
  <c r="BI359" i="11"/>
  <c r="BH359" i="11"/>
  <c r="BG359" i="11"/>
  <c r="BF359" i="11"/>
  <c r="BE359" i="11"/>
  <c r="BD359" i="11"/>
  <c r="BC359" i="11"/>
  <c r="BB359" i="11"/>
  <c r="BA359" i="11"/>
  <c r="AZ359" i="11"/>
  <c r="AY359" i="11"/>
  <c r="AX359" i="11"/>
  <c r="AW359" i="11"/>
  <c r="AV359" i="11"/>
  <c r="AU359" i="11"/>
  <c r="AT359" i="11"/>
  <c r="AS359" i="11"/>
  <c r="AR359" i="11"/>
  <c r="AQ359" i="11"/>
  <c r="AP359" i="11"/>
  <c r="AO359" i="11"/>
  <c r="AN359" i="11"/>
  <c r="AM359" i="11"/>
  <c r="AL359" i="11"/>
  <c r="AK359" i="11"/>
  <c r="AJ359" i="11"/>
  <c r="AI359" i="11"/>
  <c r="AH359" i="11"/>
  <c r="AG359" i="11"/>
  <c r="AF359" i="11"/>
  <c r="AE359" i="11"/>
  <c r="AD359" i="11"/>
  <c r="AC359" i="11"/>
  <c r="AB359" i="11"/>
  <c r="AA359" i="11"/>
  <c r="Z359" i="11"/>
  <c r="Y359" i="11"/>
  <c r="X359" i="11"/>
  <c r="W359" i="11"/>
  <c r="V359" i="11"/>
  <c r="U359" i="11"/>
  <c r="T359" i="11"/>
  <c r="S359" i="11"/>
  <c r="R359" i="11"/>
  <c r="Q359" i="11"/>
  <c r="P359" i="11"/>
  <c r="O359" i="11"/>
  <c r="N359" i="11"/>
  <c r="M359" i="11"/>
  <c r="L359" i="11"/>
  <c r="K359" i="11"/>
  <c r="J359" i="11"/>
  <c r="I359" i="11"/>
  <c r="H359" i="11"/>
  <c r="G359" i="11"/>
  <c r="F359" i="11"/>
  <c r="E359" i="11"/>
  <c r="BJ358" i="11"/>
  <c r="BI358" i="11"/>
  <c r="BH358" i="11"/>
  <c r="BF358" i="11"/>
  <c r="BE358" i="11"/>
  <c r="AS358" i="11"/>
  <c r="AR358" i="11"/>
  <c r="AQ358" i="11"/>
  <c r="AK358" i="11"/>
  <c r="AJ358" i="11"/>
  <c r="AH358" i="11"/>
  <c r="AG358" i="11"/>
  <c r="AF358" i="11"/>
  <c r="AC358" i="11"/>
  <c r="AB358" i="11"/>
  <c r="Z358" i="11"/>
  <c r="X358" i="11"/>
  <c r="V358" i="11"/>
  <c r="U358" i="11"/>
  <c r="M358" i="11"/>
  <c r="L358" i="11"/>
  <c r="J358" i="11"/>
  <c r="BJ357" i="11"/>
  <c r="BE357" i="11"/>
  <c r="AP357" i="11"/>
  <c r="AG357" i="11"/>
  <c r="R357" i="11"/>
  <c r="I357" i="11"/>
  <c r="BJ356" i="11"/>
  <c r="BI356" i="11"/>
  <c r="BA356" i="11"/>
  <c r="AX356" i="11"/>
  <c r="AF356" i="11"/>
  <c r="R356" i="11"/>
  <c r="N356" i="11"/>
  <c r="H356" i="11"/>
  <c r="BJ355" i="11"/>
  <c r="BJ354" i="11"/>
  <c r="H354" i="11"/>
  <c r="BJ353" i="11"/>
  <c r="BI353" i="11"/>
  <c r="BH353" i="11"/>
  <c r="BG353" i="11"/>
  <c r="BF353" i="11"/>
  <c r="BE353" i="11"/>
  <c r="BD353" i="11"/>
  <c r="BC353" i="11"/>
  <c r="BB353" i="11"/>
  <c r="BA353" i="11"/>
  <c r="AZ353" i="11"/>
  <c r="AY353" i="11"/>
  <c r="AX353" i="11"/>
  <c r="AW353" i="11"/>
  <c r="AV353" i="11"/>
  <c r="AU353" i="11"/>
  <c r="AT353" i="11"/>
  <c r="AS353" i="11"/>
  <c r="AR353" i="11"/>
  <c r="AQ353" i="11"/>
  <c r="AP353" i="11"/>
  <c r="AO353" i="11"/>
  <c r="AN353" i="11"/>
  <c r="AM353" i="11"/>
  <c r="AL353" i="11"/>
  <c r="AK353" i="11"/>
  <c r="AJ353" i="11"/>
  <c r="AI353" i="11"/>
  <c r="AH353" i="11"/>
  <c r="AG353" i="11"/>
  <c r="AF353" i="11"/>
  <c r="AE353" i="11"/>
  <c r="AD353" i="11"/>
  <c r="AC353" i="11"/>
  <c r="AB353" i="11"/>
  <c r="AA353" i="11"/>
  <c r="Z353" i="11"/>
  <c r="Y353" i="11"/>
  <c r="X353" i="11"/>
  <c r="W353" i="11"/>
  <c r="V353" i="11"/>
  <c r="U353" i="11"/>
  <c r="T353" i="11"/>
  <c r="S353" i="11"/>
  <c r="R353" i="11"/>
  <c r="Q353" i="11"/>
  <c r="P353" i="11"/>
  <c r="O353" i="11"/>
  <c r="N353" i="11"/>
  <c r="M353" i="11"/>
  <c r="L353" i="11"/>
  <c r="K353" i="11"/>
  <c r="J353" i="11"/>
  <c r="I353" i="11"/>
  <c r="H353" i="11"/>
  <c r="G353" i="11"/>
  <c r="F353" i="11"/>
  <c r="E353" i="11"/>
  <c r="BJ352" i="11"/>
  <c r="BB352" i="11"/>
  <c r="BJ351" i="11"/>
  <c r="BJ350" i="11"/>
  <c r="BC350" i="11"/>
  <c r="BB350" i="11"/>
  <c r="BA350" i="11"/>
  <c r="AZ350" i="11"/>
  <c r="AP350" i="11"/>
  <c r="AO350" i="11"/>
  <c r="AM350" i="11"/>
  <c r="Y350" i="11"/>
  <c r="X350" i="11"/>
  <c r="V350" i="11"/>
  <c r="U350" i="11"/>
  <c r="R350" i="11"/>
  <c r="BJ349" i="11"/>
  <c r="BJ348" i="11"/>
  <c r="BC348" i="11"/>
  <c r="AE348" i="11"/>
  <c r="G348" i="11"/>
  <c r="BJ347" i="11"/>
  <c r="BF347" i="11"/>
  <c r="AR347" i="11"/>
  <c r="AH347" i="11"/>
  <c r="BJ346" i="11"/>
  <c r="BC346" i="11"/>
  <c r="BA346" i="11"/>
  <c r="AZ346" i="11"/>
  <c r="AS346" i="11"/>
  <c r="AO346" i="11"/>
  <c r="AN346" i="11"/>
  <c r="AL346" i="11"/>
  <c r="AK346" i="11"/>
  <c r="AH346" i="11"/>
  <c r="AA346" i="11"/>
  <c r="Y346" i="11"/>
  <c r="U346" i="11"/>
  <c r="P346" i="11"/>
  <c r="M346" i="11"/>
  <c r="L346" i="11"/>
  <c r="J346" i="11"/>
  <c r="I346" i="11"/>
  <c r="F346" i="11"/>
  <c r="BJ345" i="11"/>
  <c r="BI345" i="11"/>
  <c r="BH345" i="11"/>
  <c r="BC345" i="11"/>
  <c r="BB345" i="11"/>
  <c r="AZ345" i="11"/>
  <c r="AY345" i="11"/>
  <c r="AX345" i="11"/>
  <c r="AW345" i="11"/>
  <c r="AV345" i="11"/>
  <c r="AU345" i="11"/>
  <c r="AT345" i="11"/>
  <c r="AS345" i="11"/>
  <c r="AR345" i="11"/>
  <c r="AQ345" i="11"/>
  <c r="AP345" i="11"/>
  <c r="AO345" i="11"/>
  <c r="AN345" i="11"/>
  <c r="AM345" i="11"/>
  <c r="AL345" i="11"/>
  <c r="AK345" i="11"/>
  <c r="AJ345" i="11"/>
  <c r="AE345" i="11"/>
  <c r="AD345" i="11"/>
  <c r="AB345" i="11"/>
  <c r="AA345" i="11"/>
  <c r="Z345" i="11"/>
  <c r="Y345" i="11"/>
  <c r="X345" i="11"/>
  <c r="W345" i="11"/>
  <c r="V345" i="11"/>
  <c r="U345" i="11"/>
  <c r="T345" i="11"/>
  <c r="S345" i="11"/>
  <c r="R345" i="11"/>
  <c r="Q345" i="11"/>
  <c r="P345" i="11"/>
  <c r="O345" i="11"/>
  <c r="N345" i="11"/>
  <c r="M345" i="11"/>
  <c r="L345" i="11"/>
  <c r="G345" i="11"/>
  <c r="F345" i="11"/>
  <c r="BJ344" i="11"/>
  <c r="BJ343" i="11"/>
  <c r="BI343" i="11"/>
  <c r="AO343" i="11"/>
  <c r="AK343" i="11"/>
  <c r="Q343" i="11"/>
  <c r="M343" i="11"/>
  <c r="BJ342" i="11"/>
  <c r="AY342" i="11"/>
  <c r="AU342" i="11"/>
  <c r="AA342" i="11"/>
  <c r="W342" i="11"/>
  <c r="BJ341" i="11"/>
  <c r="BJ340" i="11"/>
  <c r="BI340" i="11"/>
  <c r="BH340" i="11"/>
  <c r="BG340" i="11"/>
  <c r="BF340" i="11"/>
  <c r="BE340" i="11"/>
  <c r="BD340" i="11"/>
  <c r="BC340" i="11"/>
  <c r="BB340" i="11"/>
  <c r="BA340" i="11"/>
  <c r="AZ340" i="11"/>
  <c r="AY340" i="11"/>
  <c r="AX340" i="11"/>
  <c r="AW340" i="11"/>
  <c r="AV340" i="11"/>
  <c r="AU340" i="11"/>
  <c r="AT340" i="11"/>
  <c r="AS340" i="11"/>
  <c r="AP340" i="11"/>
  <c r="AO340" i="11"/>
  <c r="AN340" i="11"/>
  <c r="AM340" i="11"/>
  <c r="AL340" i="11"/>
  <c r="AK340" i="11"/>
  <c r="AJ340" i="11"/>
  <c r="AI340" i="11"/>
  <c r="AH340" i="11"/>
  <c r="AG340" i="11"/>
  <c r="AF340" i="11"/>
  <c r="AE340" i="11"/>
  <c r="AD340" i="11"/>
  <c r="AC340" i="11"/>
  <c r="AB340" i="11"/>
  <c r="AA340" i="11"/>
  <c r="Z340" i="11"/>
  <c r="Y340" i="11"/>
  <c r="X340" i="11"/>
  <c r="W340" i="11"/>
  <c r="V340" i="11"/>
  <c r="U340" i="11"/>
  <c r="R340" i="11"/>
  <c r="Q340" i="11"/>
  <c r="P340" i="11"/>
  <c r="O340" i="11"/>
  <c r="N340" i="11"/>
  <c r="M340" i="11"/>
  <c r="L340" i="11"/>
  <c r="K340" i="11"/>
  <c r="J340" i="11"/>
  <c r="I340" i="11"/>
  <c r="H340" i="11"/>
  <c r="G340" i="11"/>
  <c r="F340" i="11"/>
  <c r="E340" i="11"/>
  <c r="BJ339" i="11"/>
  <c r="BG339" i="11"/>
  <c r="BF339" i="11"/>
  <c r="BE339" i="11"/>
  <c r="BD339" i="11"/>
  <c r="BB339" i="11"/>
  <c r="BA339" i="11"/>
  <c r="AZ339" i="11"/>
  <c r="AY339" i="11"/>
  <c r="AX339" i="11"/>
  <c r="AW339" i="11"/>
  <c r="AV339" i="11"/>
  <c r="AU339" i="11"/>
  <c r="AS339" i="11"/>
  <c r="AR339" i="11"/>
  <c r="AQ339" i="11"/>
  <c r="AO339" i="11"/>
  <c r="AM339" i="11"/>
  <c r="AL339" i="11"/>
  <c r="AF339" i="11"/>
  <c r="AE339" i="11"/>
  <c r="AD339" i="11"/>
  <c r="AC339" i="11"/>
  <c r="AA339" i="11"/>
  <c r="Z339" i="11"/>
  <c r="Y339" i="11"/>
  <c r="X339" i="11"/>
  <c r="W339" i="11"/>
  <c r="U339" i="11"/>
  <c r="T339" i="11"/>
  <c r="S339" i="11"/>
  <c r="Q339" i="11"/>
  <c r="O339" i="11"/>
  <c r="N339" i="11"/>
  <c r="M339" i="11"/>
  <c r="L339" i="11"/>
  <c r="K339" i="11"/>
  <c r="E339" i="11"/>
  <c r="BJ338" i="11"/>
  <c r="AP338" i="11"/>
  <c r="R338" i="11"/>
  <c r="O338" i="11"/>
  <c r="BJ337" i="11"/>
  <c r="BI337" i="11"/>
  <c r="BH337" i="11"/>
  <c r="BG337" i="11"/>
  <c r="BF337" i="11"/>
  <c r="BE337" i="11"/>
  <c r="BD337" i="11"/>
  <c r="BC337" i="11"/>
  <c r="BB337" i="11"/>
  <c r="BA337" i="11"/>
  <c r="AZ337" i="11"/>
  <c r="AY337" i="11"/>
  <c r="AX337" i="11"/>
  <c r="AW337" i="11"/>
  <c r="AV337" i="11"/>
  <c r="AS337" i="11"/>
  <c r="AR337" i="11"/>
  <c r="AQ337" i="11"/>
  <c r="AP337" i="11"/>
  <c r="AO337" i="11"/>
  <c r="AN337" i="11"/>
  <c r="AM337" i="11"/>
  <c r="AL337" i="11"/>
  <c r="AK337" i="11"/>
  <c r="AJ337" i="11"/>
  <c r="AI337" i="11"/>
  <c r="AH337" i="11"/>
  <c r="AG337" i="11"/>
  <c r="AF337" i="11"/>
  <c r="AE337" i="11"/>
  <c r="AD337" i="11"/>
  <c r="AC337" i="11"/>
  <c r="AB337" i="11"/>
  <c r="AA337" i="11"/>
  <c r="Z337" i="11"/>
  <c r="Y337" i="11"/>
  <c r="X337" i="11"/>
  <c r="U337" i="11"/>
  <c r="T337" i="11"/>
  <c r="S337" i="11"/>
  <c r="R337" i="11"/>
  <c r="Q337" i="11"/>
  <c r="P337" i="11"/>
  <c r="O337" i="11"/>
  <c r="N337" i="11"/>
  <c r="M337" i="11"/>
  <c r="L337" i="11"/>
  <c r="K337" i="11"/>
  <c r="J337" i="11"/>
  <c r="I337" i="11"/>
  <c r="H337" i="11"/>
  <c r="G337" i="11"/>
  <c r="F337" i="11"/>
  <c r="E337" i="11"/>
  <c r="BJ336" i="11"/>
  <c r="BG336" i="11"/>
  <c r="AO336" i="11"/>
  <c r="AH336" i="11"/>
  <c r="X336" i="11"/>
  <c r="K336" i="11"/>
  <c r="BJ335" i="11"/>
  <c r="AK335" i="11"/>
  <c r="AB335" i="11"/>
  <c r="W335" i="11"/>
  <c r="BJ334" i="11"/>
  <c r="BF334" i="11"/>
  <c r="BD334" i="11"/>
  <c r="BC334" i="11"/>
  <c r="BB334" i="11"/>
  <c r="AH334" i="11"/>
  <c r="AF334" i="11"/>
  <c r="AE334" i="11"/>
  <c r="AD334" i="11"/>
  <c r="G334" i="11"/>
  <c r="F334" i="11"/>
  <c r="BJ333" i="11"/>
  <c r="BF333" i="11"/>
  <c r="T333" i="11"/>
  <c r="BJ332" i="11"/>
  <c r="BH332" i="11"/>
  <c r="BG332" i="11"/>
  <c r="BF332" i="11"/>
  <c r="BE332" i="11"/>
  <c r="BB332" i="11"/>
  <c r="BA332" i="11"/>
  <c r="AV332" i="11"/>
  <c r="AT332" i="11"/>
  <c r="AR332" i="11"/>
  <c r="AQ332" i="11"/>
  <c r="AP332" i="11"/>
  <c r="AN332" i="11"/>
  <c r="AF332" i="11"/>
  <c r="AE332" i="11"/>
  <c r="AD332" i="11"/>
  <c r="AC332" i="11"/>
  <c r="X332" i="11"/>
  <c r="V332" i="11"/>
  <c r="S332" i="11"/>
  <c r="R332" i="11"/>
  <c r="O332" i="11"/>
  <c r="N332" i="11"/>
  <c r="M332" i="11"/>
  <c r="L332" i="11"/>
  <c r="BJ331" i="11"/>
  <c r="AK331" i="11"/>
  <c r="BJ330" i="11"/>
  <c r="U330" i="11"/>
  <c r="M330" i="11"/>
  <c r="L330" i="11"/>
  <c r="BJ329" i="11"/>
  <c r="BI329" i="11"/>
  <c r="BH329" i="11"/>
  <c r="BG329" i="11"/>
  <c r="BF329" i="11"/>
  <c r="BE329" i="11"/>
  <c r="BD329" i="11"/>
  <c r="BC329" i="11"/>
  <c r="BB329" i="11"/>
  <c r="BA329" i="11"/>
  <c r="AZ329" i="11"/>
  <c r="AY329" i="11"/>
  <c r="AX329" i="11"/>
  <c r="AW329" i="11"/>
  <c r="AV329" i="11"/>
  <c r="AU329" i="11"/>
  <c r="AT329" i="11"/>
  <c r="AS329" i="11"/>
  <c r="AR329" i="11"/>
  <c r="AQ329" i="11"/>
  <c r="AP329" i="11"/>
  <c r="AO329" i="11"/>
  <c r="AN329" i="11"/>
  <c r="AM329" i="11"/>
  <c r="AL329" i="11"/>
  <c r="AK329" i="11"/>
  <c r="AJ329" i="11"/>
  <c r="AI329" i="11"/>
  <c r="AH329" i="11"/>
  <c r="AG329" i="11"/>
  <c r="AF329" i="11"/>
  <c r="AE329" i="11"/>
  <c r="AD329" i="11"/>
  <c r="AC329" i="11"/>
  <c r="AB329" i="11"/>
  <c r="AA329" i="11"/>
  <c r="Z329" i="11"/>
  <c r="Y329" i="11"/>
  <c r="X329" i="11"/>
  <c r="W329" i="11"/>
  <c r="V329" i="11"/>
  <c r="U329" i="11"/>
  <c r="T329" i="11"/>
  <c r="S329" i="11"/>
  <c r="R329" i="11"/>
  <c r="Q329" i="11"/>
  <c r="P329" i="11"/>
  <c r="O329" i="11"/>
  <c r="N329" i="11"/>
  <c r="M329" i="11"/>
  <c r="L329" i="11"/>
  <c r="K329" i="11"/>
  <c r="J329" i="11"/>
  <c r="I329" i="11"/>
  <c r="H329" i="11"/>
  <c r="G329" i="11"/>
  <c r="F329" i="11"/>
  <c r="E329" i="11"/>
  <c r="BJ328" i="11"/>
  <c r="BH328" i="11"/>
  <c r="BA328" i="11"/>
  <c r="AX328" i="11"/>
  <c r="AP328" i="11"/>
  <c r="AN328" i="11"/>
  <c r="AM328" i="11"/>
  <c r="AJ328" i="11"/>
  <c r="AC328" i="11"/>
  <c r="AA328" i="11"/>
  <c r="Z328" i="11"/>
  <c r="V328" i="11"/>
  <c r="S328" i="11"/>
  <c r="R328" i="11"/>
  <c r="BJ327" i="11"/>
  <c r="BJ326" i="11"/>
  <c r="AO326" i="11"/>
  <c r="Q326" i="11"/>
  <c r="BJ325" i="11"/>
  <c r="BJ324" i="11"/>
  <c r="AO324" i="11"/>
  <c r="AM324" i="11"/>
  <c r="AL324" i="11"/>
  <c r="AE324" i="11"/>
  <c r="AD324" i="11"/>
  <c r="Z324" i="11"/>
  <c r="BJ323" i="11"/>
  <c r="BH323" i="11"/>
  <c r="BG323" i="11"/>
  <c r="BE323" i="11"/>
  <c r="BD323" i="11"/>
  <c r="BC323" i="11"/>
  <c r="BB323" i="11"/>
  <c r="BA323" i="11"/>
  <c r="AZ323" i="11"/>
  <c r="AY323" i="11"/>
  <c r="AX323" i="11"/>
  <c r="AW323" i="11"/>
  <c r="AV323" i="11"/>
  <c r="AU323" i="11"/>
  <c r="AT323" i="11"/>
  <c r="AS323" i="11"/>
  <c r="AR323" i="11"/>
  <c r="AQ323" i="11"/>
  <c r="AP323" i="11"/>
  <c r="AO323" i="11"/>
  <c r="AN323" i="11"/>
  <c r="AM323" i="11"/>
  <c r="AJ323" i="11"/>
  <c r="AI323" i="11"/>
  <c r="AG323" i="11"/>
  <c r="AF323" i="11"/>
  <c r="AE323" i="11"/>
  <c r="AD323" i="11"/>
  <c r="AC323" i="11"/>
  <c r="AB323" i="11"/>
  <c r="AA323" i="11"/>
  <c r="Z323" i="11"/>
  <c r="Y323" i="11"/>
  <c r="X323" i="11"/>
  <c r="W323" i="11"/>
  <c r="V323" i="11"/>
  <c r="U323" i="11"/>
  <c r="T323" i="11"/>
  <c r="S323" i="11"/>
  <c r="R323" i="11"/>
  <c r="Q323" i="11"/>
  <c r="P323" i="11"/>
  <c r="O323" i="11"/>
  <c r="L323" i="11"/>
  <c r="K323" i="11"/>
  <c r="I323" i="11"/>
  <c r="H323" i="11"/>
  <c r="G323" i="11"/>
  <c r="F323" i="11"/>
  <c r="E323" i="11"/>
  <c r="BJ322" i="11"/>
  <c r="AV322" i="11"/>
  <c r="X322" i="11"/>
  <c r="BJ321" i="11"/>
  <c r="Y321" i="11"/>
  <c r="E321" i="11"/>
  <c r="BJ320" i="11"/>
  <c r="AJ320" i="11"/>
  <c r="O320" i="11"/>
  <c r="M320" i="11"/>
  <c r="BJ319" i="11"/>
  <c r="BJ318" i="11"/>
  <c r="AP318" i="11"/>
  <c r="AE318" i="11"/>
  <c r="R318" i="11"/>
  <c r="G318" i="11"/>
  <c r="BJ317" i="11"/>
  <c r="BI317" i="11"/>
  <c r="BH317" i="11"/>
  <c r="BG317" i="11"/>
  <c r="BE317" i="11"/>
  <c r="BD317" i="11"/>
  <c r="BC317" i="11"/>
  <c r="AU317" i="11"/>
  <c r="AT317" i="11"/>
  <c r="AS317" i="11"/>
  <c r="AR317" i="11"/>
  <c r="AQ317" i="11"/>
  <c r="AP317" i="11"/>
  <c r="AO317" i="11"/>
  <c r="AN317" i="11"/>
  <c r="AM317" i="11"/>
  <c r="AL317" i="11"/>
  <c r="AK317" i="11"/>
  <c r="AJ317" i="11"/>
  <c r="AI317" i="11"/>
  <c r="AG317" i="11"/>
  <c r="AF317" i="11"/>
  <c r="AE317" i="11"/>
  <c r="AC317" i="11"/>
  <c r="AA317" i="11"/>
  <c r="Z317" i="11"/>
  <c r="T317" i="11"/>
  <c r="S317" i="11"/>
  <c r="R317" i="11"/>
  <c r="Q317" i="11"/>
  <c r="P317" i="11"/>
  <c r="O317" i="11"/>
  <c r="N317" i="11"/>
  <c r="M317" i="11"/>
  <c r="L317" i="11"/>
  <c r="K317" i="11"/>
  <c r="I317" i="11"/>
  <c r="H317" i="11"/>
  <c r="G317" i="11"/>
  <c r="E317" i="11"/>
  <c r="BJ316" i="11"/>
  <c r="BH316" i="11"/>
  <c r="BE316" i="11"/>
  <c r="BD316" i="11"/>
  <c r="BB316" i="11"/>
  <c r="BA316" i="11"/>
  <c r="AX316" i="11"/>
  <c r="AQ316" i="11"/>
  <c r="Z316" i="11"/>
  <c r="Q316" i="11"/>
  <c r="P316" i="11"/>
  <c r="E316" i="11"/>
  <c r="BJ315" i="11"/>
  <c r="AV315" i="11"/>
  <c r="X315" i="11"/>
  <c r="BJ314" i="11"/>
  <c r="BI314" i="11"/>
  <c r="BH314" i="11"/>
  <c r="BG314" i="11"/>
  <c r="BE314" i="11"/>
  <c r="BD314" i="11"/>
  <c r="BC314" i="11"/>
  <c r="BB314" i="11"/>
  <c r="BA314" i="11"/>
  <c r="AZ314" i="11"/>
  <c r="AY314" i="11"/>
  <c r="AX314" i="11"/>
  <c r="AW314" i="11"/>
  <c r="AV314" i="11"/>
  <c r="AU314" i="11"/>
  <c r="AN314" i="11"/>
  <c r="AK314" i="11"/>
  <c r="AJ314" i="11"/>
  <c r="AG314" i="11"/>
  <c r="AF314" i="11"/>
  <c r="AE314" i="11"/>
  <c r="AD314" i="11"/>
  <c r="AB314" i="11"/>
  <c r="AA314" i="11"/>
  <c r="Z314" i="11"/>
  <c r="Y314" i="11"/>
  <c r="X314" i="11"/>
  <c r="W314" i="11"/>
  <c r="Q314" i="11"/>
  <c r="P314" i="11"/>
  <c r="O314" i="11"/>
  <c r="N314" i="11"/>
  <c r="M314" i="11"/>
  <c r="K314" i="11"/>
  <c r="H314" i="11"/>
  <c r="G314" i="11"/>
  <c r="BJ313" i="11"/>
  <c r="BI313" i="11"/>
  <c r="BB313" i="11"/>
  <c r="AW313" i="11"/>
  <c r="AK313" i="11"/>
  <c r="AD313" i="11"/>
  <c r="Y313" i="11"/>
  <c r="M313" i="11"/>
  <c r="F313" i="11"/>
  <c r="BJ312" i="11"/>
  <c r="BI312" i="11"/>
  <c r="BH312" i="11"/>
  <c r="BG312" i="11"/>
  <c r="BF312" i="11"/>
  <c r="BE312" i="11"/>
  <c r="BD312" i="11"/>
  <c r="BC312" i="11"/>
  <c r="BB312" i="11"/>
  <c r="BA312" i="11"/>
  <c r="AZ312" i="11"/>
  <c r="AY312" i="11"/>
  <c r="AX312" i="11"/>
  <c r="AW312" i="11"/>
  <c r="AV312" i="11"/>
  <c r="AU312" i="11"/>
  <c r="AT312" i="11"/>
  <c r="AS312" i="11"/>
  <c r="AR312" i="11"/>
  <c r="AQ312" i="11"/>
  <c r="AP312" i="11"/>
  <c r="AO312" i="11"/>
  <c r="AN312" i="11"/>
  <c r="AM312" i="11"/>
  <c r="AL312" i="11"/>
  <c r="AK312" i="11"/>
  <c r="AJ312" i="11"/>
  <c r="AI312" i="11"/>
  <c r="AH312" i="11"/>
  <c r="AG312" i="11"/>
  <c r="AF312" i="11"/>
  <c r="AE312" i="11"/>
  <c r="AD312" i="11"/>
  <c r="AC312" i="11"/>
  <c r="AB312" i="11"/>
  <c r="AA312" i="11"/>
  <c r="Z312" i="11"/>
  <c r="Y312" i="11"/>
  <c r="X312" i="11"/>
  <c r="W312" i="11"/>
  <c r="V312" i="11"/>
  <c r="U312" i="11"/>
  <c r="T312" i="11"/>
  <c r="S312" i="11"/>
  <c r="R312" i="11"/>
  <c r="Q312" i="11"/>
  <c r="P312" i="11"/>
  <c r="O312" i="11"/>
  <c r="N312" i="11"/>
  <c r="M312" i="11"/>
  <c r="L312" i="11"/>
  <c r="K312" i="11"/>
  <c r="J312" i="11"/>
  <c r="I312" i="11"/>
  <c r="H312" i="11"/>
  <c r="G312" i="11"/>
  <c r="F312" i="11"/>
  <c r="E312" i="11"/>
  <c r="BJ311" i="11"/>
  <c r="BI311" i="11"/>
  <c r="BH311" i="11"/>
  <c r="BG311" i="11"/>
  <c r="BF311" i="11"/>
  <c r="BE311" i="11"/>
  <c r="BD311" i="11"/>
  <c r="BC311" i="11"/>
  <c r="BB311" i="11"/>
  <c r="BA311" i="11"/>
  <c r="AZ311" i="11"/>
  <c r="AY311" i="11"/>
  <c r="AX311" i="11"/>
  <c r="AW311" i="11"/>
  <c r="AV311" i="11"/>
  <c r="AU311" i="11"/>
  <c r="AT311" i="11"/>
  <c r="AS311" i="11"/>
  <c r="AR311" i="11"/>
  <c r="AQ311" i="11"/>
  <c r="AP311" i="11"/>
  <c r="AO311" i="11"/>
  <c r="AN311" i="11"/>
  <c r="AM311" i="11"/>
  <c r="AL311" i="11"/>
  <c r="AK311" i="11"/>
  <c r="AJ311" i="11"/>
  <c r="AI311" i="11"/>
  <c r="AH311" i="11"/>
  <c r="AG311" i="11"/>
  <c r="AF311" i="11"/>
  <c r="AE311" i="11"/>
  <c r="AD311" i="11"/>
  <c r="AC311" i="11"/>
  <c r="AB311" i="11"/>
  <c r="AA311" i="11"/>
  <c r="Z311" i="11"/>
  <c r="Y311" i="11"/>
  <c r="X311" i="11"/>
  <c r="W311" i="11"/>
  <c r="V311" i="11"/>
  <c r="U311" i="11"/>
  <c r="T311" i="11"/>
  <c r="S311" i="11"/>
  <c r="R311" i="11"/>
  <c r="Q311" i="11"/>
  <c r="P311" i="11"/>
  <c r="O311" i="11"/>
  <c r="N311" i="11"/>
  <c r="M311" i="11"/>
  <c r="L311" i="11"/>
  <c r="K311" i="11"/>
  <c r="J311" i="11"/>
  <c r="I311" i="11"/>
  <c r="H311" i="11"/>
  <c r="G311" i="11"/>
  <c r="F311" i="11"/>
  <c r="E311" i="11"/>
  <c r="BJ310" i="11"/>
  <c r="BJ309" i="11"/>
  <c r="BI309" i="11"/>
  <c r="BH309" i="11"/>
  <c r="BG309" i="11"/>
  <c r="BF309" i="11"/>
  <c r="BE309" i="11"/>
  <c r="BD309" i="11"/>
  <c r="BC309" i="11"/>
  <c r="BB309" i="11"/>
  <c r="BA309" i="11"/>
  <c r="AZ309" i="11"/>
  <c r="AY309" i="11"/>
  <c r="AX309" i="11"/>
  <c r="AW309" i="11"/>
  <c r="AV309" i="11"/>
  <c r="AU309" i="11"/>
  <c r="AT309" i="11"/>
  <c r="AS309" i="11"/>
  <c r="AR309" i="11"/>
  <c r="AQ309" i="11"/>
  <c r="AP309" i="11"/>
  <c r="AM309" i="11"/>
  <c r="AK309" i="11"/>
  <c r="AJ309" i="11"/>
  <c r="AI309" i="11"/>
  <c r="AH309" i="11"/>
  <c r="AG309" i="11"/>
  <c r="AF309" i="11"/>
  <c r="AE309" i="11"/>
  <c r="AD309" i="11"/>
  <c r="AC309" i="11"/>
  <c r="AB309" i="11"/>
  <c r="AA309" i="11"/>
  <c r="Z309" i="11"/>
  <c r="Y309" i="11"/>
  <c r="X309" i="11"/>
  <c r="W309" i="11"/>
  <c r="V309" i="11"/>
  <c r="U309" i="11"/>
  <c r="T309" i="11"/>
  <c r="S309" i="11"/>
  <c r="R309" i="11"/>
  <c r="O309" i="11"/>
  <c r="M309" i="11"/>
  <c r="L309" i="11"/>
  <c r="K309" i="11"/>
  <c r="J309" i="11"/>
  <c r="I309" i="11"/>
  <c r="H309" i="11"/>
  <c r="G309" i="11"/>
  <c r="F309" i="11"/>
  <c r="E309" i="11"/>
  <c r="BJ308" i="11"/>
  <c r="BJ307" i="11"/>
  <c r="BC307" i="11"/>
  <c r="AZ307" i="11"/>
  <c r="AV307" i="11"/>
  <c r="AS307" i="11"/>
  <c r="X307" i="11"/>
  <c r="T307" i="11"/>
  <c r="R307" i="11"/>
  <c r="BJ306" i="11"/>
  <c r="BJ305" i="11"/>
  <c r="BJ304" i="11"/>
  <c r="BJ303" i="11"/>
  <c r="AN303" i="11"/>
  <c r="AI303" i="11"/>
  <c r="K303" i="11"/>
  <c r="F303" i="11"/>
  <c r="BJ302" i="11"/>
  <c r="BI302" i="11"/>
  <c r="BH302" i="11"/>
  <c r="BG302" i="11"/>
  <c r="BF302" i="11"/>
  <c r="BE302" i="11"/>
  <c r="BD302" i="11"/>
  <c r="BC302" i="11"/>
  <c r="BB302" i="11"/>
  <c r="BA302" i="11"/>
  <c r="AZ302" i="11"/>
  <c r="AY302" i="11"/>
  <c r="AX302" i="11"/>
  <c r="AW302" i="11"/>
  <c r="AV302" i="11"/>
  <c r="AU302" i="11"/>
  <c r="AT302" i="11"/>
  <c r="AS302" i="11"/>
  <c r="AR302" i="11"/>
  <c r="AQ302" i="11"/>
  <c r="AP302" i="11"/>
  <c r="AO302" i="11"/>
  <c r="AN302" i="11"/>
  <c r="AM302" i="11"/>
  <c r="AL302" i="11"/>
  <c r="AK302" i="11"/>
  <c r="AJ302" i="11"/>
  <c r="AI302" i="11"/>
  <c r="AH302" i="11"/>
  <c r="AG302" i="11"/>
  <c r="AF302" i="11"/>
  <c r="AE302" i="11"/>
  <c r="AD302" i="11"/>
  <c r="AC302" i="11"/>
  <c r="AB302" i="11"/>
  <c r="AA302" i="11"/>
  <c r="Z302" i="11"/>
  <c r="Y302" i="11"/>
  <c r="X302" i="11"/>
  <c r="W302" i="11"/>
  <c r="V302" i="11"/>
  <c r="U302" i="11"/>
  <c r="T302" i="11"/>
  <c r="S302" i="11"/>
  <c r="R302" i="11"/>
  <c r="Q302" i="11"/>
  <c r="P302" i="11"/>
  <c r="O302" i="11"/>
  <c r="N302" i="11"/>
  <c r="M302" i="11"/>
  <c r="L302" i="11"/>
  <c r="K302" i="11"/>
  <c r="J302" i="11"/>
  <c r="I302" i="11"/>
  <c r="H302" i="11"/>
  <c r="G302" i="11"/>
  <c r="F302" i="11"/>
  <c r="E302" i="11"/>
  <c r="BJ301" i="11"/>
  <c r="BI301" i="11"/>
  <c r="BH301" i="11"/>
  <c r="BG301" i="11"/>
  <c r="BF301" i="11"/>
  <c r="BE301" i="11"/>
  <c r="BD301" i="11"/>
  <c r="BC301" i="11"/>
  <c r="BB301" i="11"/>
  <c r="BA301" i="11"/>
  <c r="AZ301" i="11"/>
  <c r="AY301" i="11"/>
  <c r="AX301" i="11"/>
  <c r="AW301" i="11"/>
  <c r="AV301" i="11"/>
  <c r="AU301" i="11"/>
  <c r="AT301" i="11"/>
  <c r="AS301" i="11"/>
  <c r="AR301" i="11"/>
  <c r="AQ301" i="11"/>
  <c r="AP301" i="11"/>
  <c r="AO301" i="11"/>
  <c r="AN301" i="11"/>
  <c r="AM301" i="11"/>
  <c r="AL301" i="11"/>
  <c r="AK301" i="11"/>
  <c r="AJ301" i="11"/>
  <c r="AI301" i="11"/>
  <c r="AH301" i="11"/>
  <c r="AG301" i="11"/>
  <c r="AF301" i="11"/>
  <c r="AE301" i="11"/>
  <c r="AD301" i="11"/>
  <c r="AC301" i="11"/>
  <c r="AB301" i="11"/>
  <c r="AA301" i="11"/>
  <c r="Z301" i="11"/>
  <c r="Y301" i="11"/>
  <c r="X301" i="11"/>
  <c r="W301" i="11"/>
  <c r="V301" i="11"/>
  <c r="U301" i="11"/>
  <c r="T301" i="11"/>
  <c r="S301" i="11"/>
  <c r="R301" i="11"/>
  <c r="Q301" i="11"/>
  <c r="P301" i="11"/>
  <c r="O301" i="11"/>
  <c r="N301" i="11"/>
  <c r="M301" i="11"/>
  <c r="L301" i="11"/>
  <c r="K301" i="11"/>
  <c r="J301" i="11"/>
  <c r="I301" i="11"/>
  <c r="H301" i="11"/>
  <c r="G301" i="11"/>
  <c r="F301" i="11"/>
  <c r="E301" i="11"/>
  <c r="BJ300" i="11"/>
  <c r="BD300" i="11"/>
  <c r="AN300" i="11"/>
  <c r="AI300" i="11"/>
  <c r="AH300" i="11"/>
  <c r="AA300" i="11"/>
  <c r="H300" i="11"/>
  <c r="F300" i="11"/>
  <c r="E300" i="11"/>
  <c r="BJ299" i="11"/>
  <c r="BJ298" i="11"/>
  <c r="BI298" i="11"/>
  <c r="BH298" i="11"/>
  <c r="BG298" i="11"/>
  <c r="BF298" i="11"/>
  <c r="BE298" i="11"/>
  <c r="BD298" i="11"/>
  <c r="BC298" i="11"/>
  <c r="BB298" i="11"/>
  <c r="BA298" i="11"/>
  <c r="AZ298" i="11"/>
  <c r="AY298" i="11"/>
  <c r="AX298" i="11"/>
  <c r="AW298" i="11"/>
  <c r="AV298" i="11"/>
  <c r="AU298" i="11"/>
  <c r="AT298" i="11"/>
  <c r="AS298" i="11"/>
  <c r="AR298" i="11"/>
  <c r="AQ298" i="11"/>
  <c r="AP298" i="11"/>
  <c r="AO298" i="11"/>
  <c r="AN298" i="11"/>
  <c r="AM298" i="11"/>
  <c r="AL298" i="11"/>
  <c r="AK298" i="11"/>
  <c r="AJ298" i="11"/>
  <c r="AI298" i="11"/>
  <c r="AH298" i="11"/>
  <c r="AG298" i="11"/>
  <c r="AF298" i="11"/>
  <c r="AE298" i="11"/>
  <c r="AD298" i="11"/>
  <c r="AC298" i="11"/>
  <c r="AB298" i="11"/>
  <c r="AA298" i="11"/>
  <c r="Z298" i="11"/>
  <c r="Y298" i="11"/>
  <c r="X298" i="11"/>
  <c r="W298" i="11"/>
  <c r="V298" i="11"/>
  <c r="U298" i="11"/>
  <c r="T298" i="11"/>
  <c r="S298" i="11"/>
  <c r="R298" i="11"/>
  <c r="Q298" i="11"/>
  <c r="P298" i="11"/>
  <c r="O298" i="11"/>
  <c r="N298" i="11"/>
  <c r="M298" i="11"/>
  <c r="L298" i="11"/>
  <c r="K298" i="11"/>
  <c r="J298" i="11"/>
  <c r="I298" i="11"/>
  <c r="H298" i="11"/>
  <c r="G298" i="11"/>
  <c r="F298" i="11"/>
  <c r="E298" i="11"/>
  <c r="BJ297" i="11"/>
  <c r="BC297" i="11"/>
  <c r="AP297" i="11"/>
  <c r="AN297" i="11"/>
  <c r="AM297" i="11"/>
  <c r="AE297" i="11"/>
  <c r="BJ296" i="11"/>
  <c r="BI296" i="11"/>
  <c r="BF296" i="11"/>
  <c r="AK296" i="11"/>
  <c r="AA296" i="11"/>
  <c r="Y296" i="11"/>
  <c r="N296" i="11"/>
  <c r="J296" i="11"/>
  <c r="BJ295" i="11"/>
  <c r="BI295" i="11"/>
  <c r="BH295" i="11"/>
  <c r="BG295" i="11"/>
  <c r="AY295" i="11"/>
  <c r="AX295" i="11"/>
  <c r="AW295" i="11"/>
  <c r="AV295" i="11"/>
  <c r="AU295" i="11"/>
  <c r="AT295" i="11"/>
  <c r="AS295" i="11"/>
  <c r="AR295" i="11"/>
  <c r="AQ295" i="11"/>
  <c r="AP295" i="11"/>
  <c r="AO295" i="11"/>
  <c r="AN295" i="11"/>
  <c r="AM295" i="11"/>
  <c r="AL295" i="11"/>
  <c r="AK295" i="11"/>
  <c r="AJ295" i="11"/>
  <c r="AI295" i="11"/>
  <c r="AG295" i="11"/>
  <c r="AF295" i="11"/>
  <c r="Y295" i="11"/>
  <c r="X295" i="11"/>
  <c r="W295" i="11"/>
  <c r="V295" i="11"/>
  <c r="U295" i="11"/>
  <c r="T295" i="11"/>
  <c r="S295" i="11"/>
  <c r="R295" i="11"/>
  <c r="Q295" i="11"/>
  <c r="P295" i="11"/>
  <c r="O295" i="11"/>
  <c r="N295" i="11"/>
  <c r="M295" i="11"/>
  <c r="L295" i="11"/>
  <c r="K295" i="11"/>
  <c r="I295" i="11"/>
  <c r="H295" i="11"/>
  <c r="G295" i="11"/>
  <c r="E295" i="11"/>
  <c r="BJ294" i="11"/>
  <c r="BI294" i="11"/>
  <c r="BH294" i="11"/>
  <c r="BG294" i="11"/>
  <c r="BF294" i="11"/>
  <c r="BE294" i="11"/>
  <c r="BD294" i="11"/>
  <c r="BC294" i="11"/>
  <c r="BB294" i="11"/>
  <c r="BA294" i="11"/>
  <c r="AZ294" i="11"/>
  <c r="AY294" i="11"/>
  <c r="AX294" i="11"/>
  <c r="AW294" i="11"/>
  <c r="AV294" i="11"/>
  <c r="AU294" i="11"/>
  <c r="AT294" i="11"/>
  <c r="AS294" i="11"/>
  <c r="AR294" i="11"/>
  <c r="AQ294" i="11"/>
  <c r="AP294" i="11"/>
  <c r="AO294" i="11"/>
  <c r="AN294" i="11"/>
  <c r="AM294" i="11"/>
  <c r="AL294" i="11"/>
  <c r="AK294" i="11"/>
  <c r="AJ294" i="11"/>
  <c r="AI294" i="11"/>
  <c r="AH294" i="11"/>
  <c r="AG294" i="11"/>
  <c r="AF294" i="11"/>
  <c r="AE294" i="11"/>
  <c r="AD294" i="11"/>
  <c r="AC294" i="11"/>
  <c r="AB294" i="11"/>
  <c r="AA294" i="11"/>
  <c r="Z294" i="11"/>
  <c r="Y294" i="11"/>
  <c r="X294" i="11"/>
  <c r="W294" i="11"/>
  <c r="V294" i="11"/>
  <c r="U294" i="11"/>
  <c r="T294" i="11"/>
  <c r="S294" i="11"/>
  <c r="R294" i="11"/>
  <c r="Q294" i="11"/>
  <c r="P294" i="11"/>
  <c r="O294" i="11"/>
  <c r="N294" i="11"/>
  <c r="M294" i="11"/>
  <c r="L294" i="11"/>
  <c r="K294" i="11"/>
  <c r="J294" i="11"/>
  <c r="I294" i="11"/>
  <c r="H294" i="11"/>
  <c r="G294" i="11"/>
  <c r="F294" i="11"/>
  <c r="E294" i="11"/>
  <c r="BJ293" i="11"/>
  <c r="BB293" i="11"/>
  <c r="AQ293" i="11"/>
  <c r="S293" i="11"/>
  <c r="F293" i="11"/>
  <c r="BJ292" i="11"/>
  <c r="BI292" i="11"/>
  <c r="BH292" i="11"/>
  <c r="BG292" i="11"/>
  <c r="BF292" i="11"/>
  <c r="BE292" i="11"/>
  <c r="BD292" i="11"/>
  <c r="BC292" i="11"/>
  <c r="BB292" i="11"/>
  <c r="BA292" i="11"/>
  <c r="AZ292" i="11"/>
  <c r="AY292" i="11"/>
  <c r="AX292" i="11"/>
  <c r="AW292" i="11"/>
  <c r="AV292" i="11"/>
  <c r="AU292" i="11"/>
  <c r="AT292" i="11"/>
  <c r="AS292" i="11"/>
  <c r="AR292" i="11"/>
  <c r="AQ292" i="11"/>
  <c r="AP292" i="11"/>
  <c r="AO292" i="11"/>
  <c r="AN292" i="11"/>
  <c r="AM292" i="11"/>
  <c r="AL292" i="11"/>
  <c r="AK292" i="11"/>
  <c r="AJ292" i="11"/>
  <c r="AI292" i="11"/>
  <c r="AH292" i="11"/>
  <c r="AG292" i="11"/>
  <c r="AF292" i="11"/>
  <c r="AE292" i="11"/>
  <c r="AD292" i="11"/>
  <c r="AC292" i="11"/>
  <c r="AB292" i="11"/>
  <c r="AA292" i="11"/>
  <c r="Z292" i="11"/>
  <c r="Y292" i="11"/>
  <c r="X292" i="11"/>
  <c r="W292" i="11"/>
  <c r="V292" i="11"/>
  <c r="U292" i="11"/>
  <c r="T292" i="11"/>
  <c r="S292" i="11"/>
  <c r="R292" i="11"/>
  <c r="Q292" i="11"/>
  <c r="P292" i="11"/>
  <c r="O292" i="11"/>
  <c r="N292" i="11"/>
  <c r="M292" i="11"/>
  <c r="L292" i="11"/>
  <c r="K292" i="11"/>
  <c r="J292" i="11"/>
  <c r="I292" i="11"/>
  <c r="H292" i="11"/>
  <c r="G292" i="11"/>
  <c r="F292" i="11"/>
  <c r="E292" i="11"/>
  <c r="BJ291" i="11"/>
  <c r="BJ290" i="11"/>
  <c r="BH290" i="11"/>
  <c r="BD290" i="11"/>
  <c r="AJ290" i="11"/>
  <c r="AF290" i="11"/>
  <c r="L290" i="11"/>
  <c r="H290" i="11"/>
  <c r="BJ289" i="11"/>
  <c r="X289" i="11"/>
  <c r="O289" i="11"/>
  <c r="G289" i="11"/>
  <c r="F289" i="11"/>
  <c r="BJ288" i="11"/>
  <c r="BF288" i="11"/>
  <c r="BD288" i="11"/>
  <c r="BC288" i="11"/>
  <c r="AY288" i="11"/>
  <c r="AV288" i="11"/>
  <c r="AU288" i="11"/>
  <c r="AS288" i="11"/>
  <c r="AR288" i="11"/>
  <c r="AQ288" i="11"/>
  <c r="AO288" i="11"/>
  <c r="AG288" i="11"/>
  <c r="AE288" i="11"/>
  <c r="AD288" i="11"/>
  <c r="Z288" i="11"/>
  <c r="W288" i="11"/>
  <c r="V288" i="11"/>
  <c r="T288" i="11"/>
  <c r="S288" i="11"/>
  <c r="R288" i="11"/>
  <c r="P288" i="11"/>
  <c r="H288" i="11"/>
  <c r="F288" i="11"/>
  <c r="E288" i="11"/>
  <c r="BJ287" i="11"/>
  <c r="BI287" i="11"/>
  <c r="BH287" i="11"/>
  <c r="BG287" i="11"/>
  <c r="BE287" i="11"/>
  <c r="BD287" i="11"/>
  <c r="BC287" i="11"/>
  <c r="BB287" i="11"/>
  <c r="BA287" i="11"/>
  <c r="AZ287" i="11"/>
  <c r="AT287" i="11"/>
  <c r="AS287" i="11"/>
  <c r="AR287" i="11"/>
  <c r="AQ287" i="11"/>
  <c r="AP287" i="11"/>
  <c r="AO287" i="11"/>
  <c r="AN287" i="11"/>
  <c r="AM287" i="11"/>
  <c r="AL287" i="11"/>
  <c r="AK287" i="11"/>
  <c r="AJ287" i="11"/>
  <c r="AI287" i="11"/>
  <c r="AG287" i="11"/>
  <c r="AF287" i="11"/>
  <c r="AE287" i="11"/>
  <c r="AD287" i="11"/>
  <c r="AC287" i="11"/>
  <c r="AB287" i="11"/>
  <c r="AA287" i="11"/>
  <c r="U287" i="11"/>
  <c r="T287" i="11"/>
  <c r="S287" i="11"/>
  <c r="R287" i="11"/>
  <c r="Q287" i="11"/>
  <c r="P287" i="11"/>
  <c r="O287" i="11"/>
  <c r="N287" i="11"/>
  <c r="M287" i="11"/>
  <c r="L287" i="11"/>
  <c r="K287" i="11"/>
  <c r="I287" i="11"/>
  <c r="H287" i="11"/>
  <c r="G287" i="11"/>
  <c r="F287" i="11"/>
  <c r="E287" i="11"/>
  <c r="BJ286" i="11"/>
  <c r="BJ285" i="11"/>
  <c r="AV285" i="11"/>
  <c r="AO285" i="11"/>
  <c r="Q285" i="11"/>
  <c r="BJ284" i="11"/>
  <c r="BI284" i="11"/>
  <c r="BC284" i="11"/>
  <c r="AY284" i="11"/>
  <c r="AT284" i="11"/>
  <c r="AS284" i="11"/>
  <c r="AQ284" i="11"/>
  <c r="AP284" i="11"/>
  <c r="AO284" i="11"/>
  <c r="AN284" i="11"/>
  <c r="AL284" i="11"/>
  <c r="AK284" i="11"/>
  <c r="AJ284" i="11"/>
  <c r="AE284" i="11"/>
  <c r="AA284" i="11"/>
  <c r="V284" i="11"/>
  <c r="N284" i="11"/>
  <c r="M284" i="11"/>
  <c r="L284" i="11"/>
  <c r="G284" i="11"/>
  <c r="BJ283" i="11"/>
  <c r="BJ282" i="11"/>
  <c r="BJ281" i="11"/>
  <c r="AI281" i="11"/>
  <c r="G281" i="11"/>
  <c r="BJ280" i="11"/>
  <c r="BI280" i="11"/>
  <c r="BH280" i="11"/>
  <c r="BG280" i="11"/>
  <c r="BF280" i="11"/>
  <c r="BE280" i="11"/>
  <c r="BD280" i="11"/>
  <c r="BC280" i="11"/>
  <c r="BB280" i="11"/>
  <c r="BA280" i="11"/>
  <c r="AZ280" i="11"/>
  <c r="AY280" i="11"/>
  <c r="AX280" i="11"/>
  <c r="AW280" i="11"/>
  <c r="AV280" i="11"/>
  <c r="AU280" i="11"/>
  <c r="AT280" i="11"/>
  <c r="AS280" i="11"/>
  <c r="AR280" i="11"/>
  <c r="AQ280" i="11"/>
  <c r="AP280" i="11"/>
  <c r="AO280" i="11"/>
  <c r="AN280" i="11"/>
  <c r="AM280" i="11"/>
  <c r="AL280" i="11"/>
  <c r="AK280" i="11"/>
  <c r="AJ280" i="11"/>
  <c r="AI280" i="11"/>
  <c r="AH280" i="11"/>
  <c r="AG280" i="11"/>
  <c r="AF280" i="11"/>
  <c r="AE280" i="11"/>
  <c r="AD280" i="11"/>
  <c r="AC280" i="11"/>
  <c r="AB280" i="11"/>
  <c r="AA280" i="11"/>
  <c r="Z280" i="11"/>
  <c r="Y280" i="11"/>
  <c r="X280" i="11"/>
  <c r="W280" i="11"/>
  <c r="V280" i="11"/>
  <c r="U280" i="11"/>
  <c r="T280" i="11"/>
  <c r="S280" i="11"/>
  <c r="R280" i="11"/>
  <c r="Q280" i="11"/>
  <c r="P280" i="11"/>
  <c r="O280" i="11"/>
  <c r="N280" i="11"/>
  <c r="M280" i="11"/>
  <c r="L280" i="11"/>
  <c r="K280" i="11"/>
  <c r="J280" i="11"/>
  <c r="I280" i="11"/>
  <c r="H280" i="11"/>
  <c r="G280" i="11"/>
  <c r="F280" i="11"/>
  <c r="E280" i="11"/>
  <c r="BJ279" i="11"/>
  <c r="BI279" i="11"/>
  <c r="BH279" i="11"/>
  <c r="BG279" i="11"/>
  <c r="BF279" i="11"/>
  <c r="BE279" i="11"/>
  <c r="BD279" i="11"/>
  <c r="BC279" i="11"/>
  <c r="BB279" i="11"/>
  <c r="BA279" i="11"/>
  <c r="AZ279" i="11"/>
  <c r="AY279" i="11"/>
  <c r="AX279" i="11"/>
  <c r="AW279" i="11"/>
  <c r="AV279" i="11"/>
  <c r="AU279" i="11"/>
  <c r="AT279" i="11"/>
  <c r="AS279" i="11"/>
  <c r="AR279" i="11"/>
  <c r="AQ279" i="11"/>
  <c r="AP279" i="11"/>
  <c r="AO279" i="11"/>
  <c r="AN279" i="11"/>
  <c r="AM279" i="11"/>
  <c r="AL279" i="11"/>
  <c r="AK279" i="11"/>
  <c r="AJ279" i="11"/>
  <c r="AI279" i="11"/>
  <c r="AH279" i="11"/>
  <c r="AG279" i="11"/>
  <c r="AF279" i="11"/>
  <c r="AE279" i="11"/>
  <c r="AD279" i="11"/>
  <c r="AC279" i="11"/>
  <c r="AB279" i="11"/>
  <c r="AA279" i="11"/>
  <c r="Z279" i="11"/>
  <c r="Y279" i="11"/>
  <c r="X279" i="11"/>
  <c r="W279" i="11"/>
  <c r="V279" i="11"/>
  <c r="U279" i="11"/>
  <c r="T279" i="11"/>
  <c r="S279" i="11"/>
  <c r="R279" i="11"/>
  <c r="Q279" i="11"/>
  <c r="P279" i="11"/>
  <c r="O279" i="11"/>
  <c r="N279" i="11"/>
  <c r="M279" i="11"/>
  <c r="L279" i="11"/>
  <c r="K279" i="11"/>
  <c r="J279" i="11"/>
  <c r="I279" i="11"/>
  <c r="H279" i="11"/>
  <c r="G279" i="11"/>
  <c r="F279" i="11"/>
  <c r="E279" i="11"/>
  <c r="BJ278" i="11"/>
  <c r="BJ277" i="11"/>
  <c r="AO277" i="11"/>
  <c r="Q277" i="11"/>
  <c r="BJ276" i="11"/>
  <c r="BI276" i="11"/>
  <c r="BH276" i="11"/>
  <c r="BG276" i="11"/>
  <c r="BF276" i="11"/>
  <c r="BE276" i="11"/>
  <c r="BD276" i="11"/>
  <c r="BC276" i="11"/>
  <c r="BB276" i="11"/>
  <c r="BA276" i="11"/>
  <c r="AZ276" i="11"/>
  <c r="AY276" i="11"/>
  <c r="AX276" i="11"/>
  <c r="AW276" i="11"/>
  <c r="AV276" i="11"/>
  <c r="AU276" i="11"/>
  <c r="AT276" i="11"/>
  <c r="AS276" i="11"/>
  <c r="AR276" i="11"/>
  <c r="AQ276" i="11"/>
  <c r="AP276" i="11"/>
  <c r="AO276" i="11"/>
  <c r="AN276" i="11"/>
  <c r="AM276" i="11"/>
  <c r="AL276" i="11"/>
  <c r="AK276" i="11"/>
  <c r="AJ276" i="11"/>
  <c r="AI276" i="11"/>
  <c r="AH276" i="11"/>
  <c r="AG276" i="11"/>
  <c r="AF276" i="11"/>
  <c r="AE276" i="11"/>
  <c r="AD276" i="11"/>
  <c r="AC276" i="11"/>
  <c r="AB276" i="11"/>
  <c r="AA276" i="11"/>
  <c r="Z276" i="11"/>
  <c r="Y276" i="11"/>
  <c r="X276" i="11"/>
  <c r="W276" i="11"/>
  <c r="V276" i="11"/>
  <c r="U276" i="11"/>
  <c r="T276" i="11"/>
  <c r="S276" i="11"/>
  <c r="R276" i="11"/>
  <c r="Q276" i="11"/>
  <c r="P276" i="11"/>
  <c r="O276" i="11"/>
  <c r="N276" i="11"/>
  <c r="M276" i="11"/>
  <c r="L276" i="11"/>
  <c r="K276" i="11"/>
  <c r="J276" i="11"/>
  <c r="I276" i="11"/>
  <c r="H276" i="11"/>
  <c r="G276" i="11"/>
  <c r="F276" i="11"/>
  <c r="E276" i="11"/>
  <c r="BJ275" i="11"/>
  <c r="AO275" i="11"/>
  <c r="AG275" i="11"/>
  <c r="BJ274" i="11"/>
  <c r="AT274" i="11"/>
  <c r="AM274" i="11"/>
  <c r="W274" i="11"/>
  <c r="V274" i="11"/>
  <c r="BJ273" i="11"/>
  <c r="BD273" i="11"/>
  <c r="AX273" i="11"/>
  <c r="AL273" i="11"/>
  <c r="AB273" i="11"/>
  <c r="W273" i="11"/>
  <c r="J273" i="11"/>
  <c r="BJ272" i="11"/>
  <c r="BI272" i="11"/>
  <c r="BH272" i="11"/>
  <c r="BG272" i="11"/>
  <c r="BF272" i="11"/>
  <c r="BE272" i="11"/>
  <c r="BD272" i="11"/>
  <c r="BC272" i="11"/>
  <c r="BB272" i="11"/>
  <c r="BA272" i="11"/>
  <c r="AZ272" i="11"/>
  <c r="AY272" i="11"/>
  <c r="AX272" i="11"/>
  <c r="AW272" i="11"/>
  <c r="AV272" i="11"/>
  <c r="AU272" i="11"/>
  <c r="AT272" i="11"/>
  <c r="AS272" i="11"/>
  <c r="AR272" i="11"/>
  <c r="AQ272" i="11"/>
  <c r="AP272" i="11"/>
  <c r="AO272" i="11"/>
  <c r="AN272" i="11"/>
  <c r="AM272" i="11"/>
  <c r="AL272" i="11"/>
  <c r="AK272" i="11"/>
  <c r="AJ272" i="11"/>
  <c r="AI272" i="11"/>
  <c r="AH272" i="11"/>
  <c r="AG272" i="11"/>
  <c r="AF272" i="11"/>
  <c r="AE272" i="11"/>
  <c r="AD272" i="11"/>
  <c r="AC272" i="11"/>
  <c r="AB272" i="11"/>
  <c r="AA272" i="11"/>
  <c r="Z272" i="11"/>
  <c r="Y272" i="11"/>
  <c r="X272" i="11"/>
  <c r="W272" i="11"/>
  <c r="V272" i="11"/>
  <c r="U272" i="11"/>
  <c r="T272" i="11"/>
  <c r="S272" i="11"/>
  <c r="R272" i="11"/>
  <c r="Q272" i="11"/>
  <c r="P272" i="11"/>
  <c r="O272" i="11"/>
  <c r="N272" i="11"/>
  <c r="M272" i="11"/>
  <c r="L272" i="11"/>
  <c r="K272" i="11"/>
  <c r="J272" i="11"/>
  <c r="I272" i="11"/>
  <c r="H272" i="11"/>
  <c r="G272" i="11"/>
  <c r="F272" i="11"/>
  <c r="E272" i="11"/>
  <c r="BJ271" i="11"/>
  <c r="BJ270" i="11"/>
  <c r="AX270" i="11"/>
  <c r="Z270" i="11"/>
  <c r="BJ269" i="11"/>
  <c r="BI269" i="11"/>
  <c r="BH269" i="11"/>
  <c r="BG269" i="11"/>
  <c r="BF269" i="11"/>
  <c r="BB269" i="11"/>
  <c r="AZ269" i="11"/>
  <c r="AY269" i="11"/>
  <c r="AW269" i="11"/>
  <c r="AV269" i="11"/>
  <c r="AU269" i="11"/>
  <c r="AT269" i="11"/>
  <c r="AR269" i="11"/>
  <c r="AQ269" i="11"/>
  <c r="AP269" i="11"/>
  <c r="AO269" i="11"/>
  <c r="AN269" i="11"/>
  <c r="AM269" i="11"/>
  <c r="AL269" i="11"/>
  <c r="AK269" i="11"/>
  <c r="AJ269" i="11"/>
  <c r="AI269" i="11"/>
  <c r="AH269" i="11"/>
  <c r="AD269" i="11"/>
  <c r="AB269" i="11"/>
  <c r="AA269" i="11"/>
  <c r="Y269" i="11"/>
  <c r="X269" i="11"/>
  <c r="W269" i="11"/>
  <c r="V269" i="11"/>
  <c r="T269" i="11"/>
  <c r="S269" i="11"/>
  <c r="R269" i="11"/>
  <c r="Q269" i="11"/>
  <c r="P269" i="11"/>
  <c r="O269" i="11"/>
  <c r="N269" i="11"/>
  <c r="M269" i="11"/>
  <c r="L269" i="11"/>
  <c r="K269" i="11"/>
  <c r="J269" i="11"/>
  <c r="F269" i="11"/>
  <c r="BJ268" i="11"/>
  <c r="BF268" i="11"/>
  <c r="AL268" i="11"/>
  <c r="N268" i="11"/>
  <c r="BJ267" i="11"/>
  <c r="BI267" i="11"/>
  <c r="BH267" i="11"/>
  <c r="BG267" i="11"/>
  <c r="BF267" i="11"/>
  <c r="BE267" i="11"/>
  <c r="BD267" i="11"/>
  <c r="BC267" i="11"/>
  <c r="BB267" i="11"/>
  <c r="BA267" i="11"/>
  <c r="AZ267" i="11"/>
  <c r="AY267" i="11"/>
  <c r="AX267" i="11"/>
  <c r="AW267" i="11"/>
  <c r="AV267" i="11"/>
  <c r="AU267" i="11"/>
  <c r="AT267" i="11"/>
  <c r="AS267" i="11"/>
  <c r="AR267" i="11"/>
  <c r="AQ267" i="11"/>
  <c r="AP267" i="11"/>
  <c r="AO267" i="11"/>
  <c r="AN267" i="11"/>
  <c r="AM267" i="11"/>
  <c r="AL267" i="11"/>
  <c r="AK267" i="11"/>
  <c r="AJ267" i="11"/>
  <c r="AI267" i="11"/>
  <c r="AH267" i="11"/>
  <c r="AG267" i="11"/>
  <c r="AF267" i="11"/>
  <c r="AE267" i="11"/>
  <c r="AD267" i="11"/>
  <c r="AC267" i="11"/>
  <c r="AB267" i="11"/>
  <c r="AA267" i="11"/>
  <c r="Z267" i="11"/>
  <c r="Y267" i="11"/>
  <c r="X267" i="11"/>
  <c r="W267" i="11"/>
  <c r="V267" i="11"/>
  <c r="U267" i="11"/>
  <c r="T267" i="11"/>
  <c r="S267" i="11"/>
  <c r="R267" i="11"/>
  <c r="Q267" i="11"/>
  <c r="P267" i="11"/>
  <c r="O267" i="11"/>
  <c r="N267" i="11"/>
  <c r="M267" i="11"/>
  <c r="L267" i="11"/>
  <c r="K267" i="11"/>
  <c r="J267" i="11"/>
  <c r="I267" i="11"/>
  <c r="H267" i="11"/>
  <c r="G267" i="11"/>
  <c r="F267" i="11"/>
  <c r="E267" i="11"/>
  <c r="BJ266" i="11"/>
  <c r="BI266" i="11"/>
  <c r="BH266" i="11"/>
  <c r="BG266" i="11"/>
  <c r="BF266" i="11"/>
  <c r="BE266" i="11"/>
  <c r="BD266" i="11"/>
  <c r="BC266" i="11"/>
  <c r="BB266" i="11"/>
  <c r="BA266" i="11"/>
  <c r="AZ266" i="11"/>
  <c r="AY266" i="11"/>
  <c r="AX266" i="11"/>
  <c r="AW266" i="11"/>
  <c r="AV266" i="11"/>
  <c r="AU266" i="11"/>
  <c r="AT266" i="11"/>
  <c r="AS266" i="11"/>
  <c r="AR266" i="11"/>
  <c r="AQ266" i="11"/>
  <c r="AP266" i="11"/>
  <c r="AO266" i="11"/>
  <c r="AN266" i="11"/>
  <c r="AM266" i="11"/>
  <c r="AL266" i="11"/>
  <c r="AK266" i="11"/>
  <c r="AJ266" i="11"/>
  <c r="AI266" i="11"/>
  <c r="AH266" i="11"/>
  <c r="AG266" i="11"/>
  <c r="AF266" i="11"/>
  <c r="AE266" i="11"/>
  <c r="AD266" i="11"/>
  <c r="AC266" i="11"/>
  <c r="AB266" i="11"/>
  <c r="AA266" i="11"/>
  <c r="Z266" i="11"/>
  <c r="Y266" i="11"/>
  <c r="X266" i="11"/>
  <c r="W266" i="11"/>
  <c r="V266" i="11"/>
  <c r="U266" i="11"/>
  <c r="T266" i="11"/>
  <c r="S266" i="11"/>
  <c r="R266" i="11"/>
  <c r="Q266" i="11"/>
  <c r="P266" i="11"/>
  <c r="O266" i="11"/>
  <c r="N266" i="11"/>
  <c r="M266" i="11"/>
  <c r="L266" i="11"/>
  <c r="K266" i="11"/>
  <c r="J266" i="11"/>
  <c r="I266" i="11"/>
  <c r="H266" i="11"/>
  <c r="G266" i="11"/>
  <c r="F266" i="11"/>
  <c r="E266" i="11"/>
  <c r="BJ265" i="11"/>
  <c r="BI265" i="11"/>
  <c r="BH265" i="11"/>
  <c r="BG265" i="11"/>
  <c r="BF265" i="11"/>
  <c r="BE265" i="11"/>
  <c r="BD265" i="11"/>
  <c r="BC265" i="11"/>
  <c r="BB265" i="11"/>
  <c r="BA265" i="11"/>
  <c r="AZ265" i="11"/>
  <c r="AY265" i="11"/>
  <c r="AX265" i="11"/>
  <c r="AW265" i="11"/>
  <c r="AV265" i="11"/>
  <c r="AU265" i="11"/>
  <c r="AT265" i="11"/>
  <c r="AS265" i="11"/>
  <c r="AR265" i="11"/>
  <c r="AQ265" i="11"/>
  <c r="AP265" i="11"/>
  <c r="AO265" i="11"/>
  <c r="AN265" i="11"/>
  <c r="AM265" i="11"/>
  <c r="AL265" i="11"/>
  <c r="AK265" i="11"/>
  <c r="AJ265" i="11"/>
  <c r="AI265" i="11"/>
  <c r="AH265" i="11"/>
  <c r="AG265" i="11"/>
  <c r="AF265" i="11"/>
  <c r="AE265" i="11"/>
  <c r="AD265" i="11"/>
  <c r="AC265" i="11"/>
  <c r="AB265" i="11"/>
  <c r="AA265" i="11"/>
  <c r="Z265" i="11"/>
  <c r="Y265" i="11"/>
  <c r="X265" i="11"/>
  <c r="W265" i="11"/>
  <c r="V265" i="11"/>
  <c r="U265" i="11"/>
  <c r="T265" i="11"/>
  <c r="S265" i="11"/>
  <c r="R265" i="11"/>
  <c r="Q265" i="11"/>
  <c r="P265" i="11"/>
  <c r="O265" i="11"/>
  <c r="N265" i="11"/>
  <c r="M265" i="11"/>
  <c r="L265" i="11"/>
  <c r="K265" i="11"/>
  <c r="J265" i="11"/>
  <c r="I265" i="11"/>
  <c r="H265" i="11"/>
  <c r="G265" i="11"/>
  <c r="F265" i="11"/>
  <c r="E265" i="11"/>
  <c r="BJ264" i="11"/>
  <c r="BJ263" i="11"/>
  <c r="BD263" i="11"/>
  <c r="BJ262" i="11"/>
  <c r="BI262" i="11"/>
  <c r="BH262" i="11"/>
  <c r="BG262" i="11"/>
  <c r="BF262" i="11"/>
  <c r="BE262" i="11"/>
  <c r="BD262" i="11"/>
  <c r="BC262" i="11"/>
  <c r="BB262" i="11"/>
  <c r="BA262" i="11"/>
  <c r="AZ262" i="11"/>
  <c r="AY262" i="11"/>
  <c r="AX262" i="11"/>
  <c r="AW262" i="11"/>
  <c r="AV262" i="11"/>
  <c r="AU262" i="11"/>
  <c r="AT262" i="11"/>
  <c r="AS262" i="11"/>
  <c r="AR262" i="11"/>
  <c r="AQ262" i="11"/>
  <c r="AP262" i="11"/>
  <c r="AO262" i="11"/>
  <c r="AN262" i="11"/>
  <c r="AM262" i="11"/>
  <c r="AL262" i="11"/>
  <c r="AK262" i="11"/>
  <c r="AJ262" i="11"/>
  <c r="AI262" i="11"/>
  <c r="AH262" i="11"/>
  <c r="AG262" i="11"/>
  <c r="AF262" i="11"/>
  <c r="AE262" i="11"/>
  <c r="AD262" i="11"/>
  <c r="AC262" i="11"/>
  <c r="AB262" i="11"/>
  <c r="AA262" i="11"/>
  <c r="Z262" i="11"/>
  <c r="Y262" i="11"/>
  <c r="X262" i="11"/>
  <c r="W262" i="11"/>
  <c r="V262" i="11"/>
  <c r="U262" i="11"/>
  <c r="T262" i="11"/>
  <c r="S262" i="11"/>
  <c r="R262" i="11"/>
  <c r="Q262" i="11"/>
  <c r="P262" i="11"/>
  <c r="O262" i="11"/>
  <c r="N262" i="11"/>
  <c r="M262" i="11"/>
  <c r="L262" i="11"/>
  <c r="K262" i="11"/>
  <c r="J262" i="11"/>
  <c r="I262" i="11"/>
  <c r="H262" i="11"/>
  <c r="G262" i="11"/>
  <c r="F262" i="11"/>
  <c r="E262" i="11"/>
  <c r="BJ261" i="11"/>
  <c r="BJ260" i="11"/>
  <c r="BJ259" i="11"/>
  <c r="BI259" i="11"/>
  <c r="AW259" i="11"/>
  <c r="AP259" i="11"/>
  <c r="AK259" i="11"/>
  <c r="Y259" i="11"/>
  <c r="R259" i="11"/>
  <c r="M259" i="11"/>
  <c r="BJ258" i="11"/>
  <c r="BI258" i="11"/>
  <c r="BH258" i="11"/>
  <c r="BG258" i="11"/>
  <c r="BF258" i="11"/>
  <c r="BE258" i="11"/>
  <c r="BD258" i="11"/>
  <c r="BC258" i="11"/>
  <c r="BB258" i="11"/>
  <c r="BA258" i="11"/>
  <c r="AZ258" i="11"/>
  <c r="AY258" i="11"/>
  <c r="AU258" i="11"/>
  <c r="AS258" i="11"/>
  <c r="AR258" i="11"/>
  <c r="AP258" i="11"/>
  <c r="AO258" i="11"/>
  <c r="AN258" i="11"/>
  <c r="AM258" i="11"/>
  <c r="AK258" i="11"/>
  <c r="AJ258" i="11"/>
  <c r="AI258" i="11"/>
  <c r="AH258" i="11"/>
  <c r="AG258" i="11"/>
  <c r="AF258" i="11"/>
  <c r="AE258" i="11"/>
  <c r="AD258" i="11"/>
  <c r="AC258" i="11"/>
  <c r="AB258" i="11"/>
  <c r="AA258" i="11"/>
  <c r="W258" i="11"/>
  <c r="U258" i="11"/>
  <c r="T258" i="11"/>
  <c r="R258" i="11"/>
  <c r="Q258" i="11"/>
  <c r="P258" i="11"/>
  <c r="O258" i="11"/>
  <c r="M258" i="11"/>
  <c r="L258" i="11"/>
  <c r="K258" i="11"/>
  <c r="J258" i="11"/>
  <c r="I258" i="11"/>
  <c r="H258" i="11"/>
  <c r="G258" i="11"/>
  <c r="F258" i="11"/>
  <c r="E258" i="11"/>
  <c r="BJ257" i="11"/>
  <c r="BA257" i="11"/>
  <c r="AW257" i="11"/>
  <c r="AC257" i="11"/>
  <c r="Y257" i="11"/>
  <c r="E257" i="11"/>
  <c r="BJ256" i="11"/>
  <c r="AU256" i="11"/>
  <c r="AS256" i="11"/>
  <c r="AR256" i="11"/>
  <c r="AO256" i="11"/>
  <c r="AH256" i="11"/>
  <c r="O256" i="11"/>
  <c r="M256" i="11"/>
  <c r="L256" i="11"/>
  <c r="K256" i="11"/>
  <c r="E256" i="11"/>
  <c r="BJ255" i="11"/>
  <c r="BJ254" i="11"/>
  <c r="BI254" i="11"/>
  <c r="BH254" i="11"/>
  <c r="BG254" i="11"/>
  <c r="BF254" i="11"/>
  <c r="BE254" i="11"/>
  <c r="BD254" i="11"/>
  <c r="BC254" i="11"/>
  <c r="BB254" i="11"/>
  <c r="BA254" i="11"/>
  <c r="AZ254" i="11"/>
  <c r="AY254" i="11"/>
  <c r="AX254" i="11"/>
  <c r="AW254" i="11"/>
  <c r="AV254" i="11"/>
  <c r="AU254" i="11"/>
  <c r="AT254" i="11"/>
  <c r="AS254" i="11"/>
  <c r="AR254" i="11"/>
  <c r="AQ254" i="11"/>
  <c r="AP254" i="11"/>
  <c r="AO254" i="11"/>
  <c r="AN254" i="11"/>
  <c r="AM254" i="11"/>
  <c r="AK254" i="11"/>
  <c r="AJ254" i="11"/>
  <c r="AI254" i="11"/>
  <c r="AH254" i="11"/>
  <c r="AG254" i="11"/>
  <c r="AF254" i="11"/>
  <c r="AE254" i="11"/>
  <c r="AD254" i="11"/>
  <c r="AC254" i="11"/>
  <c r="AB254" i="11"/>
  <c r="AA254" i="11"/>
  <c r="Z254" i="11"/>
  <c r="Y254" i="11"/>
  <c r="X254" i="11"/>
  <c r="W254" i="11"/>
  <c r="V254" i="11"/>
  <c r="U254" i="11"/>
  <c r="T254" i="11"/>
  <c r="S254" i="11"/>
  <c r="R254" i="11"/>
  <c r="Q254" i="11"/>
  <c r="P254" i="11"/>
  <c r="O254" i="11"/>
  <c r="M254" i="11"/>
  <c r="L254" i="11"/>
  <c r="K254" i="11"/>
  <c r="J254" i="11"/>
  <c r="I254" i="11"/>
  <c r="H254" i="11"/>
  <c r="G254" i="11"/>
  <c r="F254" i="11"/>
  <c r="E254" i="11"/>
  <c r="BJ253" i="11"/>
  <c r="AI253" i="11"/>
  <c r="AG253" i="11"/>
  <c r="K253" i="11"/>
  <c r="BJ252" i="11"/>
  <c r="BJ251" i="11"/>
  <c r="BJ250" i="11"/>
  <c r="BJ249" i="11"/>
  <c r="BA249" i="11"/>
  <c r="AW249" i="11"/>
  <c r="AC249" i="11"/>
  <c r="Y249" i="11"/>
  <c r="E249" i="11"/>
  <c r="BJ248" i="11"/>
  <c r="BI248" i="11"/>
  <c r="BH248" i="11"/>
  <c r="BG248" i="11"/>
  <c r="BF248" i="11"/>
  <c r="BE248" i="11"/>
  <c r="BD248" i="11"/>
  <c r="BC248" i="11"/>
  <c r="BB248" i="11"/>
  <c r="BA248" i="11"/>
  <c r="AZ248" i="11"/>
  <c r="AY248" i="11"/>
  <c r="AX248" i="11"/>
  <c r="AW248" i="11"/>
  <c r="AV248" i="11"/>
  <c r="AU248" i="11"/>
  <c r="AT248" i="11"/>
  <c r="AS248" i="11"/>
  <c r="AR248" i="11"/>
  <c r="AQ248" i="11"/>
  <c r="AP248" i="11"/>
  <c r="AO248" i="11"/>
  <c r="AN248" i="11"/>
  <c r="AM248" i="11"/>
  <c r="AL248" i="11"/>
  <c r="AK248" i="11"/>
  <c r="AJ248" i="11"/>
  <c r="AI248" i="11"/>
  <c r="AH248" i="11"/>
  <c r="AG248" i="11"/>
  <c r="AF248" i="11"/>
  <c r="AE248" i="11"/>
  <c r="AD248" i="11"/>
  <c r="AC248" i="11"/>
  <c r="AB248" i="11"/>
  <c r="AA248" i="11"/>
  <c r="Z248" i="11"/>
  <c r="Y248" i="11"/>
  <c r="X248" i="11"/>
  <c r="W248" i="11"/>
  <c r="V248" i="11"/>
  <c r="U248" i="11"/>
  <c r="T248" i="11"/>
  <c r="S248" i="11"/>
  <c r="R248" i="11"/>
  <c r="Q248" i="11"/>
  <c r="P248" i="11"/>
  <c r="O248" i="11"/>
  <c r="N248" i="11"/>
  <c r="M248" i="11"/>
  <c r="L248" i="11"/>
  <c r="K248" i="11"/>
  <c r="J248" i="11"/>
  <c r="I248" i="11"/>
  <c r="H248" i="11"/>
  <c r="G248" i="11"/>
  <c r="F248" i="11"/>
  <c r="E248" i="11"/>
  <c r="BJ247" i="11"/>
  <c r="BI247" i="11"/>
  <c r="BH247" i="11"/>
  <c r="BG247" i="11"/>
  <c r="BF247" i="11"/>
  <c r="BE247" i="11"/>
  <c r="BD247" i="11"/>
  <c r="BC247" i="11"/>
  <c r="BB247" i="11"/>
  <c r="BA247" i="11"/>
  <c r="AZ247" i="11"/>
  <c r="AY247" i="11"/>
  <c r="AX247" i="11"/>
  <c r="AW247" i="11"/>
  <c r="AV247" i="11"/>
  <c r="AU247" i="11"/>
  <c r="AT247" i="11"/>
  <c r="AS247" i="11"/>
  <c r="AR247" i="11"/>
  <c r="AQ247" i="11"/>
  <c r="AP247" i="11"/>
  <c r="AO247" i="11"/>
  <c r="AN247" i="11"/>
  <c r="AM247" i="11"/>
  <c r="AL247" i="11"/>
  <c r="AK247" i="11"/>
  <c r="AJ247" i="11"/>
  <c r="AI247" i="11"/>
  <c r="AH247" i="11"/>
  <c r="AG247" i="11"/>
  <c r="AF247" i="11"/>
  <c r="AE247" i="11"/>
  <c r="AD247" i="11"/>
  <c r="AC247" i="11"/>
  <c r="AB247" i="11"/>
  <c r="AA247" i="11"/>
  <c r="Z247" i="11"/>
  <c r="Y247" i="11"/>
  <c r="X247" i="11"/>
  <c r="W247" i="11"/>
  <c r="V247" i="11"/>
  <c r="U247" i="11"/>
  <c r="T247" i="11"/>
  <c r="S247" i="11"/>
  <c r="R247" i="11"/>
  <c r="Q247" i="11"/>
  <c r="P247" i="11"/>
  <c r="O247" i="11"/>
  <c r="N247" i="11"/>
  <c r="M247" i="11"/>
  <c r="L247" i="11"/>
  <c r="K247" i="11"/>
  <c r="J247" i="11"/>
  <c r="I247" i="11"/>
  <c r="H247" i="11"/>
  <c r="G247" i="11"/>
  <c r="F247" i="11"/>
  <c r="E247" i="11"/>
  <c r="BJ246" i="11"/>
  <c r="BI246" i="11"/>
  <c r="BH246" i="11"/>
  <c r="BG246" i="11"/>
  <c r="BF246" i="11"/>
  <c r="BE246" i="11"/>
  <c r="BD246" i="11"/>
  <c r="BC246" i="11"/>
  <c r="BB246" i="11"/>
  <c r="BA246" i="11"/>
  <c r="AZ246" i="11"/>
  <c r="AY246" i="11"/>
  <c r="AX246" i="11"/>
  <c r="AW246" i="11"/>
  <c r="AV246" i="11"/>
  <c r="AU246" i="11"/>
  <c r="AT246" i="11"/>
  <c r="AS246" i="11"/>
  <c r="AR246" i="11"/>
  <c r="AQ246" i="11"/>
  <c r="AP246" i="11"/>
  <c r="AO246" i="11"/>
  <c r="AN246" i="11"/>
  <c r="AM246" i="11"/>
  <c r="AL246" i="11"/>
  <c r="AK246" i="11"/>
  <c r="AJ246" i="11"/>
  <c r="AI246" i="11"/>
  <c r="AH246" i="11"/>
  <c r="AG246" i="11"/>
  <c r="AF246" i="11"/>
  <c r="AE246" i="11"/>
  <c r="AD246" i="11"/>
  <c r="AC246" i="11"/>
  <c r="AB246" i="11"/>
  <c r="AA246" i="11"/>
  <c r="Z246" i="11"/>
  <c r="Y246" i="11"/>
  <c r="X246" i="11"/>
  <c r="W246" i="11"/>
  <c r="V246" i="11"/>
  <c r="U246" i="11"/>
  <c r="T246" i="11"/>
  <c r="S246" i="11"/>
  <c r="R246" i="11"/>
  <c r="Q246" i="11"/>
  <c r="P246" i="11"/>
  <c r="O246" i="11"/>
  <c r="N246" i="11"/>
  <c r="M246" i="11"/>
  <c r="L246" i="11"/>
  <c r="K246" i="11"/>
  <c r="J246" i="11"/>
  <c r="I246" i="11"/>
  <c r="H246" i="11"/>
  <c r="G246" i="11"/>
  <c r="F246" i="11"/>
  <c r="E246" i="11"/>
  <c r="BJ245" i="11"/>
  <c r="BI245" i="11"/>
  <c r="BB245" i="11"/>
  <c r="AW245" i="11"/>
  <c r="AK245" i="11"/>
  <c r="AD245" i="11"/>
  <c r="Y245" i="11"/>
  <c r="M245" i="11"/>
  <c r="F245" i="11"/>
  <c r="BJ244" i="11"/>
  <c r="BI244" i="11"/>
  <c r="BH244" i="11"/>
  <c r="BG244" i="11"/>
  <c r="BF244" i="11"/>
  <c r="BE244" i="11"/>
  <c r="BD244" i="11"/>
  <c r="BC244" i="11"/>
  <c r="BB244" i="11"/>
  <c r="BA244" i="11"/>
  <c r="AZ244" i="11"/>
  <c r="AY244" i="11"/>
  <c r="AX244" i="11"/>
  <c r="AW244" i="11"/>
  <c r="AV244" i="11"/>
  <c r="AU244" i="11"/>
  <c r="AT244" i="11"/>
  <c r="AS244" i="11"/>
  <c r="AR244" i="11"/>
  <c r="AQ244" i="11"/>
  <c r="AP244" i="11"/>
  <c r="AO244" i="11"/>
  <c r="AN244" i="11"/>
  <c r="AM244" i="11"/>
  <c r="AL244" i="11"/>
  <c r="AK244" i="11"/>
  <c r="AJ244" i="11"/>
  <c r="AI244" i="11"/>
  <c r="AH244" i="11"/>
  <c r="AG244" i="11"/>
  <c r="AF244" i="11"/>
  <c r="AE244" i="11"/>
  <c r="AD244" i="11"/>
  <c r="AC244" i="11"/>
  <c r="AB244" i="11"/>
  <c r="AA244" i="11"/>
  <c r="Z244" i="11"/>
  <c r="Y244" i="11"/>
  <c r="X244" i="11"/>
  <c r="W244" i="11"/>
  <c r="V244" i="11"/>
  <c r="U244" i="11"/>
  <c r="T244" i="11"/>
  <c r="S244" i="11"/>
  <c r="R244" i="11"/>
  <c r="Q244" i="11"/>
  <c r="P244" i="11"/>
  <c r="O244" i="11"/>
  <c r="N244" i="11"/>
  <c r="M244" i="11"/>
  <c r="L244" i="11"/>
  <c r="K244" i="11"/>
  <c r="J244" i="11"/>
  <c r="I244" i="11"/>
  <c r="H244" i="11"/>
  <c r="G244" i="11"/>
  <c r="F244" i="11"/>
  <c r="E244" i="11"/>
  <c r="BJ243" i="11"/>
  <c r="BI243" i="11"/>
  <c r="BH243" i="11"/>
  <c r="BG243" i="11"/>
  <c r="BF243" i="11"/>
  <c r="BE243" i="11"/>
  <c r="BD243" i="11"/>
  <c r="BC243" i="11"/>
  <c r="BB243" i="11"/>
  <c r="BA243" i="11"/>
  <c r="AZ243" i="11"/>
  <c r="AY243" i="11"/>
  <c r="AX243" i="11"/>
  <c r="AW243" i="11"/>
  <c r="AV243" i="11"/>
  <c r="AU243" i="11"/>
  <c r="AT243" i="11"/>
  <c r="AS243" i="11"/>
  <c r="AR243" i="11"/>
  <c r="AQ243" i="11"/>
  <c r="AP243" i="11"/>
  <c r="AO243" i="11"/>
  <c r="AN243" i="11"/>
  <c r="AM243" i="11"/>
  <c r="AL243" i="11"/>
  <c r="AK243" i="11"/>
  <c r="AJ243" i="11"/>
  <c r="AI243" i="11"/>
  <c r="AH243" i="11"/>
  <c r="AG243" i="11"/>
  <c r="AF243" i="11"/>
  <c r="AE243" i="11"/>
  <c r="AD243" i="11"/>
  <c r="AC243" i="11"/>
  <c r="AB243" i="11"/>
  <c r="AA243" i="11"/>
  <c r="Z243" i="11"/>
  <c r="Y243" i="11"/>
  <c r="X243" i="11"/>
  <c r="W243" i="11"/>
  <c r="V243" i="11"/>
  <c r="U243" i="11"/>
  <c r="T243" i="11"/>
  <c r="S243" i="11"/>
  <c r="R243" i="11"/>
  <c r="Q243" i="11"/>
  <c r="P243" i="11"/>
  <c r="O243" i="11"/>
  <c r="N243" i="11"/>
  <c r="M243" i="11"/>
  <c r="L243" i="11"/>
  <c r="K243" i="11"/>
  <c r="J243" i="11"/>
  <c r="I243" i="11"/>
  <c r="H243" i="11"/>
  <c r="G243" i="11"/>
  <c r="F243" i="11"/>
  <c r="E243" i="11"/>
  <c r="BJ242" i="11"/>
  <c r="AW242" i="11"/>
  <c r="AK242" i="11"/>
  <c r="W242" i="11"/>
  <c r="K242" i="11"/>
  <c r="BJ241" i="11"/>
  <c r="BI241" i="11"/>
  <c r="BH241" i="11"/>
  <c r="BG241" i="11"/>
  <c r="BF241" i="11"/>
  <c r="BE241" i="11"/>
  <c r="BD241" i="11"/>
  <c r="BC241" i="11"/>
  <c r="BB241" i="11"/>
  <c r="BA241" i="11"/>
  <c r="AZ241" i="11"/>
  <c r="AY241" i="11"/>
  <c r="AX241" i="11"/>
  <c r="AW241" i="11"/>
  <c r="AV241" i="11"/>
  <c r="AU241" i="11"/>
  <c r="AT241" i="11"/>
  <c r="AS241" i="11"/>
  <c r="AR241" i="11"/>
  <c r="AQ241" i="11"/>
  <c r="AP241" i="11"/>
  <c r="AO241" i="11"/>
  <c r="AN241" i="11"/>
  <c r="AM241" i="11"/>
  <c r="AL241" i="11"/>
  <c r="AK241" i="11"/>
  <c r="AJ241" i="11"/>
  <c r="AI241" i="11"/>
  <c r="AH241" i="11"/>
  <c r="AG241" i="11"/>
  <c r="AF241" i="11"/>
  <c r="AE241" i="11"/>
  <c r="AD241" i="11"/>
  <c r="AC241" i="11"/>
  <c r="AB241" i="11"/>
  <c r="AA241" i="11"/>
  <c r="Z241" i="11"/>
  <c r="Y241" i="11"/>
  <c r="X241" i="11"/>
  <c r="W241" i="11"/>
  <c r="V241" i="11"/>
  <c r="U241" i="11"/>
  <c r="T241" i="11"/>
  <c r="S241" i="11"/>
  <c r="R241" i="11"/>
  <c r="Q241" i="11"/>
  <c r="P241" i="11"/>
  <c r="O241" i="11"/>
  <c r="N241" i="11"/>
  <c r="M241" i="11"/>
  <c r="L241" i="11"/>
  <c r="K241" i="11"/>
  <c r="J241" i="11"/>
  <c r="I241" i="11"/>
  <c r="H241" i="11"/>
  <c r="G241" i="11"/>
  <c r="F241" i="11"/>
  <c r="E241" i="11"/>
  <c r="BJ240" i="11"/>
  <c r="BC240" i="11"/>
  <c r="AE240" i="11"/>
  <c r="R240" i="11"/>
  <c r="BJ239" i="11"/>
  <c r="BJ238" i="11"/>
  <c r="BI238" i="11"/>
  <c r="BH238" i="11"/>
  <c r="BG238" i="11"/>
  <c r="BF238" i="11"/>
  <c r="BE238" i="11"/>
  <c r="BD238" i="11"/>
  <c r="BC238" i="11"/>
  <c r="BB238" i="11"/>
  <c r="BA238" i="11"/>
  <c r="AZ238" i="11"/>
  <c r="AY238" i="11"/>
  <c r="AX238" i="11"/>
  <c r="AW238" i="11"/>
  <c r="AV238" i="11"/>
  <c r="AU238" i="11"/>
  <c r="AT238" i="11"/>
  <c r="AS238" i="11"/>
  <c r="AR238" i="11"/>
  <c r="AQ238" i="11"/>
  <c r="AP238" i="11"/>
  <c r="AO238" i="11"/>
  <c r="AN238" i="11"/>
  <c r="AM238" i="11"/>
  <c r="AL238" i="11"/>
  <c r="AK238" i="11"/>
  <c r="AJ238" i="11"/>
  <c r="AI238" i="11"/>
  <c r="AH238" i="11"/>
  <c r="AG238" i="11"/>
  <c r="AF238" i="11"/>
  <c r="AE238" i="11"/>
  <c r="AD238" i="11"/>
  <c r="AC238" i="11"/>
  <c r="AB238" i="11"/>
  <c r="AA238" i="11"/>
  <c r="Z238" i="11"/>
  <c r="Y238" i="11"/>
  <c r="X238" i="11"/>
  <c r="W238" i="11"/>
  <c r="V238" i="11"/>
  <c r="U238" i="11"/>
  <c r="T238" i="11"/>
  <c r="S238" i="11"/>
  <c r="R238" i="11"/>
  <c r="Q238" i="11"/>
  <c r="P238" i="11"/>
  <c r="O238" i="11"/>
  <c r="N238" i="11"/>
  <c r="M238" i="11"/>
  <c r="L238" i="11"/>
  <c r="K238" i="11"/>
  <c r="J238" i="11"/>
  <c r="I238" i="11"/>
  <c r="H238" i="11"/>
  <c r="G238" i="11"/>
  <c r="F238" i="11"/>
  <c r="E238" i="11"/>
  <c r="BJ237" i="11"/>
  <c r="BD237" i="11"/>
  <c r="AW237" i="11"/>
  <c r="AR237" i="11"/>
  <c r="AF237" i="11"/>
  <c r="Y237" i="11"/>
  <c r="T237" i="11"/>
  <c r="H237" i="11"/>
  <c r="BJ236" i="11"/>
  <c r="BI236" i="11"/>
  <c r="BH236" i="11"/>
  <c r="BG236" i="11"/>
  <c r="BF236" i="11"/>
  <c r="BE236" i="11"/>
  <c r="BD236" i="11"/>
  <c r="BC236" i="11"/>
  <c r="BB236" i="11"/>
  <c r="BA236" i="11"/>
  <c r="AZ236" i="11"/>
  <c r="AY236" i="11"/>
  <c r="AX236" i="11"/>
  <c r="AW236" i="11"/>
  <c r="AV236" i="11"/>
  <c r="AU236" i="11"/>
  <c r="AT236" i="11"/>
  <c r="AS236" i="11"/>
  <c r="AR236" i="11"/>
  <c r="AQ236" i="11"/>
  <c r="AP236" i="11"/>
  <c r="AO236" i="11"/>
  <c r="AN236" i="11"/>
  <c r="AM236" i="11"/>
  <c r="AL236" i="11"/>
  <c r="AK236" i="11"/>
  <c r="AJ236" i="11"/>
  <c r="AI236" i="11"/>
  <c r="AH236" i="11"/>
  <c r="AG236" i="11"/>
  <c r="AF236" i="11"/>
  <c r="AE236" i="11"/>
  <c r="AD236" i="11"/>
  <c r="AC236" i="11"/>
  <c r="AB236" i="11"/>
  <c r="AA236" i="11"/>
  <c r="Z236" i="11"/>
  <c r="Y236" i="11"/>
  <c r="X236" i="11"/>
  <c r="W236" i="11"/>
  <c r="V236" i="11"/>
  <c r="U236" i="11"/>
  <c r="T236" i="11"/>
  <c r="S236" i="11"/>
  <c r="R236" i="11"/>
  <c r="Q236" i="11"/>
  <c r="P236" i="11"/>
  <c r="O236" i="11"/>
  <c r="N236" i="11"/>
  <c r="M236" i="11"/>
  <c r="L236" i="11"/>
  <c r="K236" i="11"/>
  <c r="J236" i="11"/>
  <c r="I236" i="11"/>
  <c r="H236" i="11"/>
  <c r="G236" i="11"/>
  <c r="F236" i="11"/>
  <c r="E236" i="11"/>
  <c r="BJ235" i="11"/>
  <c r="BG235" i="11"/>
  <c r="BF235" i="11"/>
  <c r="BE235" i="11"/>
  <c r="BD235" i="11"/>
  <c r="BC235" i="11"/>
  <c r="BB235" i="11"/>
  <c r="BA235" i="11"/>
  <c r="AZ235" i="11"/>
  <c r="AS235" i="11"/>
  <c r="AQ235" i="11"/>
  <c r="AP235" i="11"/>
  <c r="AE235" i="11"/>
  <c r="AC235" i="11"/>
  <c r="AB235" i="11"/>
  <c r="U235" i="11"/>
  <c r="S235" i="11"/>
  <c r="Q235" i="11"/>
  <c r="N235" i="11"/>
  <c r="K235" i="11"/>
  <c r="J235" i="11"/>
  <c r="I235" i="11"/>
  <c r="H235" i="11"/>
  <c r="G235" i="11"/>
  <c r="F235" i="11"/>
  <c r="E235" i="11"/>
  <c r="BJ234" i="11"/>
  <c r="BD234" i="11"/>
  <c r="AR234" i="11"/>
  <c r="AF234" i="11"/>
  <c r="T234" i="11"/>
  <c r="H234" i="11"/>
  <c r="BJ233" i="11"/>
  <c r="BI233" i="11"/>
  <c r="BH233" i="11"/>
  <c r="BG233" i="11"/>
  <c r="BF233" i="11"/>
  <c r="BE233" i="11"/>
  <c r="BD233" i="11"/>
  <c r="BC233" i="11"/>
  <c r="BB233" i="11"/>
  <c r="BA233" i="11"/>
  <c r="AZ233" i="11"/>
  <c r="AY233" i="11"/>
  <c r="AX233" i="11"/>
  <c r="AW233" i="11"/>
  <c r="AV233" i="11"/>
  <c r="AU233" i="11"/>
  <c r="AT233" i="11"/>
  <c r="AS233" i="11"/>
  <c r="AR233" i="11"/>
  <c r="AQ233" i="11"/>
  <c r="AP233" i="11"/>
  <c r="AO233" i="11"/>
  <c r="AN233" i="11"/>
  <c r="AM233" i="11"/>
  <c r="AL233" i="11"/>
  <c r="AK233" i="11"/>
  <c r="AJ233" i="11"/>
  <c r="AI233" i="11"/>
  <c r="AH233" i="11"/>
  <c r="AG233" i="11"/>
  <c r="AF233" i="11"/>
  <c r="AE233" i="11"/>
  <c r="AD233" i="11"/>
  <c r="AC233" i="11"/>
  <c r="AB233" i="11"/>
  <c r="AA233" i="11"/>
  <c r="Z233" i="11"/>
  <c r="Y233" i="11"/>
  <c r="X233" i="11"/>
  <c r="W233" i="11"/>
  <c r="V233" i="11"/>
  <c r="U233" i="11"/>
  <c r="T233" i="11"/>
  <c r="S233" i="11"/>
  <c r="R233" i="11"/>
  <c r="Q233" i="11"/>
  <c r="P233" i="11"/>
  <c r="O233" i="11"/>
  <c r="N233" i="11"/>
  <c r="M233" i="11"/>
  <c r="L233" i="11"/>
  <c r="K233" i="11"/>
  <c r="J233" i="11"/>
  <c r="I233" i="11"/>
  <c r="H233" i="11"/>
  <c r="G233" i="11"/>
  <c r="F233" i="11"/>
  <c r="E233" i="11"/>
  <c r="BJ232" i="11"/>
  <c r="BE232" i="11"/>
  <c r="AG232" i="11"/>
  <c r="I232" i="11"/>
  <c r="BJ231" i="11"/>
  <c r="BF231" i="11"/>
  <c r="BD231" i="11"/>
  <c r="BB231" i="11"/>
  <c r="BA231" i="11"/>
  <c r="AZ231" i="11"/>
  <c r="AE231" i="11"/>
  <c r="AC231" i="11"/>
  <c r="AA231" i="11"/>
  <c r="Z231" i="11"/>
  <c r="Y231" i="11"/>
  <c r="BJ230" i="11"/>
  <c r="BI230" i="11"/>
  <c r="BH230" i="11"/>
  <c r="BG230" i="11"/>
  <c r="BF230" i="11"/>
  <c r="BE230" i="11"/>
  <c r="BD230" i="11"/>
  <c r="BC230" i="11"/>
  <c r="BB230" i="11"/>
  <c r="BA230" i="11"/>
  <c r="AZ230" i="11"/>
  <c r="AY230" i="11"/>
  <c r="AX230" i="11"/>
  <c r="AW230" i="11"/>
  <c r="AV230" i="11"/>
  <c r="AU230" i="11"/>
  <c r="AT230" i="11"/>
  <c r="AS230" i="11"/>
  <c r="AR230" i="11"/>
  <c r="AQ230" i="11"/>
  <c r="AP230" i="11"/>
  <c r="AO230" i="11"/>
  <c r="AN230" i="11"/>
  <c r="AM230" i="11"/>
  <c r="AL230" i="11"/>
  <c r="AK230" i="11"/>
  <c r="AJ230" i="11"/>
  <c r="AI230" i="11"/>
  <c r="AH230" i="11"/>
  <c r="AG230" i="11"/>
  <c r="AF230" i="11"/>
  <c r="AE230" i="11"/>
  <c r="AD230" i="11"/>
  <c r="AC230" i="11"/>
  <c r="AB230" i="11"/>
  <c r="AA230" i="11"/>
  <c r="Z230" i="11"/>
  <c r="Y230" i="11"/>
  <c r="X230" i="11"/>
  <c r="W230" i="11"/>
  <c r="V230" i="11"/>
  <c r="U230" i="11"/>
  <c r="T230" i="11"/>
  <c r="S230" i="11"/>
  <c r="R230" i="11"/>
  <c r="Q230" i="11"/>
  <c r="P230" i="11"/>
  <c r="O230" i="11"/>
  <c r="N230" i="11"/>
  <c r="M230" i="11"/>
  <c r="L230" i="11"/>
  <c r="K230" i="11"/>
  <c r="J230" i="11"/>
  <c r="I230" i="11"/>
  <c r="H230" i="11"/>
  <c r="G230" i="11"/>
  <c r="F230" i="11"/>
  <c r="E230" i="11"/>
  <c r="BJ229" i="11"/>
  <c r="BJ228" i="11"/>
  <c r="BJ227" i="11"/>
  <c r="AR227" i="11"/>
  <c r="T227" i="11"/>
  <c r="BJ226" i="11"/>
  <c r="BE226" i="11"/>
  <c r="AS226" i="11"/>
  <c r="N226" i="11"/>
  <c r="BJ225" i="11"/>
  <c r="BG225" i="11"/>
  <c r="BE225" i="11"/>
  <c r="AY225" i="11"/>
  <c r="AX225" i="11"/>
  <c r="AW225" i="11"/>
  <c r="AV225" i="11"/>
  <c r="AU225" i="11"/>
  <c r="AT225" i="11"/>
  <c r="AR225" i="11"/>
  <c r="AK225" i="11"/>
  <c r="AI225" i="11"/>
  <c r="AH225" i="11"/>
  <c r="AG225" i="11"/>
  <c r="AD225" i="11"/>
  <c r="AA225" i="11"/>
  <c r="Z225" i="11"/>
  <c r="Y225" i="11"/>
  <c r="X225" i="11"/>
  <c r="W225" i="11"/>
  <c r="V225" i="11"/>
  <c r="T225" i="11"/>
  <c r="K225" i="11"/>
  <c r="I225" i="11"/>
  <c r="F225" i="11"/>
  <c r="BJ224" i="11"/>
  <c r="BD224" i="11"/>
  <c r="BJ223" i="11"/>
  <c r="BH223" i="11"/>
  <c r="BG223" i="11"/>
  <c r="BF223" i="11"/>
  <c r="AZ223" i="11"/>
  <c r="AY223" i="11"/>
  <c r="AX223" i="11"/>
  <c r="AW223" i="11"/>
  <c r="AV223" i="11"/>
  <c r="AU223" i="11"/>
  <c r="AT223" i="11"/>
  <c r="AS223" i="11"/>
  <c r="AR223" i="11"/>
  <c r="AL223" i="11"/>
  <c r="AJ223" i="11"/>
  <c r="AI223" i="11"/>
  <c r="AH223" i="11"/>
  <c r="AB223" i="11"/>
  <c r="AA223" i="11"/>
  <c r="Z223" i="11"/>
  <c r="Y223" i="11"/>
  <c r="X223" i="11"/>
  <c r="W223" i="11"/>
  <c r="V223" i="11"/>
  <c r="U223" i="11"/>
  <c r="T223" i="11"/>
  <c r="N223" i="11"/>
  <c r="L223" i="11"/>
  <c r="K223" i="11"/>
  <c r="J223" i="11"/>
  <c r="BJ222" i="11"/>
  <c r="BI222" i="11"/>
  <c r="BH222" i="11"/>
  <c r="BG222" i="11"/>
  <c r="BF222" i="11"/>
  <c r="BE222" i="11"/>
  <c r="BD222" i="11"/>
  <c r="BC222" i="11"/>
  <c r="BB222" i="11"/>
  <c r="BA222" i="11"/>
  <c r="AZ222" i="11"/>
  <c r="AY222" i="11"/>
  <c r="AX222" i="11"/>
  <c r="AW222" i="11"/>
  <c r="AV222" i="11"/>
  <c r="AU222" i="11"/>
  <c r="AT222" i="11"/>
  <c r="AS222" i="11"/>
  <c r="AR222" i="11"/>
  <c r="AQ222" i="11"/>
  <c r="AP222" i="11"/>
  <c r="AO222" i="11"/>
  <c r="AN222" i="11"/>
  <c r="AM222" i="11"/>
  <c r="AL222" i="11"/>
  <c r="AK222" i="11"/>
  <c r="AJ222" i="11"/>
  <c r="AI222" i="11"/>
  <c r="AH222" i="11"/>
  <c r="AG222" i="11"/>
  <c r="AF222" i="11"/>
  <c r="AE222" i="11"/>
  <c r="AD222" i="11"/>
  <c r="AC222" i="11"/>
  <c r="AB222" i="11"/>
  <c r="AA222" i="11"/>
  <c r="Z222" i="11"/>
  <c r="Y222" i="11"/>
  <c r="X222" i="11"/>
  <c r="W222" i="11"/>
  <c r="V222" i="11"/>
  <c r="U222" i="11"/>
  <c r="T222" i="11"/>
  <c r="S222" i="11"/>
  <c r="R222" i="11"/>
  <c r="Q222" i="11"/>
  <c r="P222" i="11"/>
  <c r="O222" i="11"/>
  <c r="N222" i="11"/>
  <c r="M222" i="11"/>
  <c r="L222" i="11"/>
  <c r="K222" i="11"/>
  <c r="J222" i="11"/>
  <c r="I222" i="11"/>
  <c r="H222" i="11"/>
  <c r="G222" i="11"/>
  <c r="F222" i="11"/>
  <c r="E222" i="11"/>
  <c r="BJ221" i="11"/>
  <c r="AQ221" i="11"/>
  <c r="AJ221" i="11"/>
  <c r="G221" i="11"/>
  <c r="BJ220" i="11"/>
  <c r="AY220" i="11"/>
  <c r="AW220" i="11"/>
  <c r="AU220" i="11"/>
  <c r="AT220" i="11"/>
  <c r="AS220" i="11"/>
  <c r="Y220" i="11"/>
  <c r="W220" i="11"/>
  <c r="U220" i="11"/>
  <c r="R220" i="11"/>
  <c r="Q220" i="11"/>
  <c r="BJ219" i="11"/>
  <c r="BI219" i="11"/>
  <c r="BH219" i="11"/>
  <c r="BG219" i="11"/>
  <c r="BF219" i="11"/>
  <c r="BE219" i="11"/>
  <c r="BD219" i="11"/>
  <c r="BC219" i="11"/>
  <c r="BB219" i="11"/>
  <c r="BA219" i="11"/>
  <c r="AZ219" i="11"/>
  <c r="AY219" i="11"/>
  <c r="AX219" i="11"/>
  <c r="AW219" i="11"/>
  <c r="AV219" i="11"/>
  <c r="AU219" i="11"/>
  <c r="AT219" i="11"/>
  <c r="AS219" i="11"/>
  <c r="AR219" i="11"/>
  <c r="AQ219" i="11"/>
  <c r="AP219" i="11"/>
  <c r="AO219" i="11"/>
  <c r="AN219" i="11"/>
  <c r="AM219" i="11"/>
  <c r="AL219" i="11"/>
  <c r="AK219" i="11"/>
  <c r="AJ219" i="11"/>
  <c r="AI219" i="11"/>
  <c r="AH219" i="11"/>
  <c r="AG219" i="11"/>
  <c r="AF219" i="11"/>
  <c r="AE219" i="11"/>
  <c r="AD219" i="11"/>
  <c r="AC219" i="11"/>
  <c r="AB219" i="11"/>
  <c r="AA219" i="11"/>
  <c r="Z219" i="11"/>
  <c r="Y219" i="11"/>
  <c r="X219" i="11"/>
  <c r="W219" i="11"/>
  <c r="V219" i="11"/>
  <c r="U219" i="11"/>
  <c r="T219" i="11"/>
  <c r="S219" i="11"/>
  <c r="R219" i="11"/>
  <c r="Q219" i="11"/>
  <c r="P219" i="11"/>
  <c r="O219" i="11"/>
  <c r="N219" i="11"/>
  <c r="M219" i="11"/>
  <c r="L219" i="11"/>
  <c r="K219" i="11"/>
  <c r="J219" i="11"/>
  <c r="I219" i="11"/>
  <c r="H219" i="11"/>
  <c r="G219" i="11"/>
  <c r="F219" i="11"/>
  <c r="E219" i="11"/>
  <c r="BJ218" i="11"/>
  <c r="BI218" i="11"/>
  <c r="BH218" i="11"/>
  <c r="BG218" i="11"/>
  <c r="BF218" i="11"/>
  <c r="BD218" i="11"/>
  <c r="BC218" i="11"/>
  <c r="BB218" i="11"/>
  <c r="BA218" i="11"/>
  <c r="AT218" i="11"/>
  <c r="AR218" i="11"/>
  <c r="AQ218" i="11"/>
  <c r="AP218" i="11"/>
  <c r="AO218" i="11"/>
  <c r="AM218" i="11"/>
  <c r="AK218" i="11"/>
  <c r="AJ218" i="11"/>
  <c r="AD218" i="11"/>
  <c r="V218" i="11"/>
  <c r="T218" i="11"/>
  <c r="S218" i="11"/>
  <c r="R218" i="11"/>
  <c r="O218" i="11"/>
  <c r="M218" i="11"/>
  <c r="L218" i="11"/>
  <c r="K218" i="11"/>
  <c r="J218" i="11"/>
  <c r="I218" i="11"/>
  <c r="H218" i="11"/>
  <c r="G218" i="11"/>
  <c r="F218" i="11"/>
  <c r="E218" i="11"/>
  <c r="BJ217" i="11"/>
  <c r="BI217" i="11"/>
  <c r="BH217" i="11"/>
  <c r="BG217" i="11"/>
  <c r="BF217" i="11"/>
  <c r="BE217" i="11"/>
  <c r="BD217" i="11"/>
  <c r="BC217" i="11"/>
  <c r="BB217" i="11"/>
  <c r="BA217" i="11"/>
  <c r="AZ217" i="11"/>
  <c r="AY217" i="11"/>
  <c r="AX217" i="11"/>
  <c r="AW217" i="11"/>
  <c r="AV217" i="11"/>
  <c r="AU217" i="11"/>
  <c r="AT217" i="11"/>
  <c r="AS217" i="11"/>
  <c r="AR217" i="11"/>
  <c r="AQ217" i="11"/>
  <c r="AP217" i="11"/>
  <c r="AO217" i="11"/>
  <c r="AN217" i="11"/>
  <c r="AM217" i="11"/>
  <c r="AL217" i="11"/>
  <c r="AK217" i="11"/>
  <c r="AJ217" i="11"/>
  <c r="AI217" i="11"/>
  <c r="AH217" i="11"/>
  <c r="AG217" i="11"/>
  <c r="AF217" i="11"/>
  <c r="AE217" i="11"/>
  <c r="AD217" i="11"/>
  <c r="AC217" i="11"/>
  <c r="AB217" i="11"/>
  <c r="AA217" i="11"/>
  <c r="Z217" i="11"/>
  <c r="Y217" i="11"/>
  <c r="X217" i="11"/>
  <c r="W217" i="11"/>
  <c r="V217" i="11"/>
  <c r="U217" i="11"/>
  <c r="T217" i="11"/>
  <c r="S217" i="11"/>
  <c r="R217" i="11"/>
  <c r="Q217" i="11"/>
  <c r="P217" i="11"/>
  <c r="O217" i="11"/>
  <c r="N217" i="11"/>
  <c r="M217" i="11"/>
  <c r="L217" i="11"/>
  <c r="K217" i="11"/>
  <c r="J217" i="11"/>
  <c r="I217" i="11"/>
  <c r="H217" i="11"/>
  <c r="G217" i="11"/>
  <c r="F217" i="11"/>
  <c r="E217" i="11"/>
  <c r="BJ216" i="11"/>
  <c r="BI216" i="11"/>
  <c r="BH216" i="11"/>
  <c r="BG216" i="11"/>
  <c r="BF216" i="11"/>
  <c r="BE216" i="11"/>
  <c r="BD216" i="11"/>
  <c r="BC216" i="11"/>
  <c r="BB216" i="11"/>
  <c r="BA216" i="11"/>
  <c r="AZ216" i="11"/>
  <c r="AY216" i="11"/>
  <c r="AX216" i="11"/>
  <c r="AW216" i="11"/>
  <c r="AV216" i="11"/>
  <c r="AU216" i="11"/>
  <c r="AT216" i="11"/>
  <c r="AS216" i="11"/>
  <c r="AR216" i="11"/>
  <c r="AQ216" i="11"/>
  <c r="AP216" i="11"/>
  <c r="AO216" i="11"/>
  <c r="AN216" i="11"/>
  <c r="AM216" i="11"/>
  <c r="AL216" i="11"/>
  <c r="AK216" i="11"/>
  <c r="AJ216" i="11"/>
  <c r="AI216" i="11"/>
  <c r="AH216" i="11"/>
  <c r="AG216" i="11"/>
  <c r="AF216" i="11"/>
  <c r="AE216" i="11"/>
  <c r="AD216" i="11"/>
  <c r="AC216" i="11"/>
  <c r="AB216" i="11"/>
  <c r="AA216" i="11"/>
  <c r="Z216" i="11"/>
  <c r="Y216" i="11"/>
  <c r="X216" i="11"/>
  <c r="W216" i="11"/>
  <c r="V216" i="11"/>
  <c r="U216" i="11"/>
  <c r="T216" i="11"/>
  <c r="S216" i="11"/>
  <c r="R216" i="11"/>
  <c r="Q216" i="11"/>
  <c r="P216" i="11"/>
  <c r="O216" i="11"/>
  <c r="N216" i="11"/>
  <c r="M216" i="11"/>
  <c r="L216" i="11"/>
  <c r="K216" i="11"/>
  <c r="J216" i="11"/>
  <c r="I216" i="11"/>
  <c r="H216" i="11"/>
  <c r="G216" i="11"/>
  <c r="F216" i="11"/>
  <c r="E216" i="11"/>
  <c r="BJ215" i="11"/>
  <c r="AE215" i="11"/>
  <c r="BJ214" i="11"/>
  <c r="BB214" i="11"/>
  <c r="BJ213" i="11"/>
  <c r="BJ212" i="11"/>
  <c r="BJ211" i="11"/>
  <c r="BC211" i="11"/>
  <c r="AE211" i="11"/>
  <c r="G211" i="11"/>
  <c r="BJ210" i="11"/>
  <c r="BI210" i="11"/>
  <c r="BH210" i="11"/>
  <c r="BG210" i="11"/>
  <c r="BF210" i="11"/>
  <c r="BE210" i="11"/>
  <c r="BD210" i="11"/>
  <c r="BC210" i="11"/>
  <c r="BB210" i="11"/>
  <c r="BA210" i="11"/>
  <c r="AZ210" i="11"/>
  <c r="AY210" i="11"/>
  <c r="AX210" i="11"/>
  <c r="AW210" i="11"/>
  <c r="AV210" i="11"/>
  <c r="AU210" i="11"/>
  <c r="AT210" i="11"/>
  <c r="AS210" i="11"/>
  <c r="AR210" i="11"/>
  <c r="AQ210" i="11"/>
  <c r="AP210" i="11"/>
  <c r="AO210" i="11"/>
  <c r="AN210" i="11"/>
  <c r="AM210" i="11"/>
  <c r="AL210" i="11"/>
  <c r="AK210" i="11"/>
  <c r="AJ210" i="11"/>
  <c r="AI210" i="11"/>
  <c r="AH210" i="11"/>
  <c r="AG210" i="11"/>
  <c r="AF210" i="11"/>
  <c r="AE210" i="11"/>
  <c r="AD210" i="11"/>
  <c r="AC210" i="11"/>
  <c r="AB210" i="11"/>
  <c r="AA210" i="11"/>
  <c r="Z210" i="11"/>
  <c r="Y210" i="11"/>
  <c r="X210" i="11"/>
  <c r="W210" i="11"/>
  <c r="V210" i="11"/>
  <c r="U210" i="11"/>
  <c r="T210" i="11"/>
  <c r="S210" i="11"/>
  <c r="R210" i="11"/>
  <c r="Q210" i="11"/>
  <c r="P210" i="11"/>
  <c r="O210" i="11"/>
  <c r="N210" i="11"/>
  <c r="M210" i="11"/>
  <c r="L210" i="11"/>
  <c r="K210" i="11"/>
  <c r="J210" i="11"/>
  <c r="I210" i="11"/>
  <c r="H210" i="11"/>
  <c r="G210" i="11"/>
  <c r="F210" i="11"/>
  <c r="E210" i="11"/>
  <c r="BJ209" i="11"/>
  <c r="BD209" i="11"/>
  <c r="BB209" i="11"/>
  <c r="AF209" i="11"/>
  <c r="AD209" i="11"/>
  <c r="BJ208" i="11"/>
  <c r="BJ207" i="11"/>
  <c r="BI207" i="11"/>
  <c r="BH207" i="11"/>
  <c r="BG207" i="11"/>
  <c r="BF207" i="11"/>
  <c r="BE207" i="11"/>
  <c r="BD207" i="11"/>
  <c r="BC207" i="11"/>
  <c r="BB207" i="11"/>
  <c r="BA207" i="11"/>
  <c r="AZ207" i="11"/>
  <c r="AY207" i="11"/>
  <c r="AX207" i="11"/>
  <c r="AW207" i="11"/>
  <c r="AV207" i="11"/>
  <c r="AU207" i="11"/>
  <c r="AT207" i="11"/>
  <c r="AS207" i="11"/>
  <c r="AR207" i="11"/>
  <c r="AQ207" i="11"/>
  <c r="AP207" i="11"/>
  <c r="AO207" i="11"/>
  <c r="AN207" i="11"/>
  <c r="AM207" i="11"/>
  <c r="AL207" i="11"/>
  <c r="AK207" i="11"/>
  <c r="AJ207" i="11"/>
  <c r="AI207" i="11"/>
  <c r="AH207" i="11"/>
  <c r="AG207" i="11"/>
  <c r="AF207" i="11"/>
  <c r="AE207" i="11"/>
  <c r="AD207" i="11"/>
  <c r="AC207" i="11"/>
  <c r="AB207" i="11"/>
  <c r="AA207" i="11"/>
  <c r="Z207" i="11"/>
  <c r="Y207" i="11"/>
  <c r="X207" i="11"/>
  <c r="W207" i="11"/>
  <c r="V207" i="11"/>
  <c r="U207" i="11"/>
  <c r="T207" i="11"/>
  <c r="S207" i="11"/>
  <c r="R207" i="11"/>
  <c r="Q207" i="11"/>
  <c r="P207" i="11"/>
  <c r="O207" i="11"/>
  <c r="N207" i="11"/>
  <c r="M207" i="11"/>
  <c r="L207" i="11"/>
  <c r="K207" i="11"/>
  <c r="J207" i="11"/>
  <c r="I207" i="11"/>
  <c r="H207" i="11"/>
  <c r="G207" i="11"/>
  <c r="F207" i="11"/>
  <c r="E207" i="11"/>
  <c r="BJ206" i="11"/>
  <c r="BJ205" i="11"/>
  <c r="BA205" i="11"/>
  <c r="AC205" i="11"/>
  <c r="E205" i="11"/>
  <c r="BJ204" i="11"/>
  <c r="BI204" i="11"/>
  <c r="BH204" i="11"/>
  <c r="BG204" i="11"/>
  <c r="BF204" i="11"/>
  <c r="BE204" i="11"/>
  <c r="BD204" i="11"/>
  <c r="BC204" i="11"/>
  <c r="BB204" i="11"/>
  <c r="BA204" i="11"/>
  <c r="AZ204" i="11"/>
  <c r="AY204" i="11"/>
  <c r="AX204" i="11"/>
  <c r="AW204" i="11"/>
  <c r="AV204" i="11"/>
  <c r="AU204" i="11"/>
  <c r="AT204" i="11"/>
  <c r="AS204" i="11"/>
  <c r="AR204" i="11"/>
  <c r="AQ204" i="11"/>
  <c r="AP204" i="11"/>
  <c r="AO204" i="11"/>
  <c r="AN204" i="11"/>
  <c r="AM204" i="11"/>
  <c r="AL204" i="11"/>
  <c r="AK204" i="11"/>
  <c r="AJ204" i="11"/>
  <c r="AI204" i="11"/>
  <c r="AH204" i="11"/>
  <c r="AG204" i="11"/>
  <c r="AF204" i="11"/>
  <c r="AE204" i="11"/>
  <c r="AD204" i="11"/>
  <c r="AC204" i="11"/>
  <c r="AB204" i="11"/>
  <c r="AA204" i="11"/>
  <c r="Z204" i="11"/>
  <c r="Y204" i="11"/>
  <c r="X204" i="11"/>
  <c r="W204" i="11"/>
  <c r="V204" i="11"/>
  <c r="U204" i="11"/>
  <c r="T204" i="11"/>
  <c r="S204" i="11"/>
  <c r="R204" i="11"/>
  <c r="Q204" i="11"/>
  <c r="P204" i="11"/>
  <c r="O204" i="11"/>
  <c r="N204" i="11"/>
  <c r="M204" i="11"/>
  <c r="L204" i="11"/>
  <c r="K204" i="11"/>
  <c r="J204" i="11"/>
  <c r="I204" i="11"/>
  <c r="H204" i="11"/>
  <c r="G204" i="11"/>
  <c r="F204" i="11"/>
  <c r="E204" i="11"/>
  <c r="BJ203" i="11"/>
  <c r="BI203" i="11"/>
  <c r="BH203" i="11"/>
  <c r="BG203" i="11"/>
  <c r="BF203" i="11"/>
  <c r="BD203" i="11"/>
  <c r="BC203" i="11"/>
  <c r="BB203" i="11"/>
  <c r="BA203" i="11"/>
  <c r="AZ203" i="11"/>
  <c r="AY203" i="11"/>
  <c r="AX203" i="11"/>
  <c r="AW203" i="11"/>
  <c r="AV203" i="11"/>
  <c r="AU203" i="11"/>
  <c r="AT203" i="11"/>
  <c r="AM203" i="11"/>
  <c r="AK203" i="11"/>
  <c r="AJ203" i="11"/>
  <c r="AI203" i="11"/>
  <c r="AH203" i="11"/>
  <c r="AF203" i="11"/>
  <c r="AE203" i="11"/>
  <c r="AD203" i="11"/>
  <c r="AC203" i="11"/>
  <c r="AB203" i="11"/>
  <c r="AA203" i="11"/>
  <c r="Z203" i="11"/>
  <c r="Y203" i="11"/>
  <c r="X203" i="11"/>
  <c r="W203" i="11"/>
  <c r="V203" i="11"/>
  <c r="O203" i="11"/>
  <c r="M203" i="11"/>
  <c r="L203" i="11"/>
  <c r="K203" i="11"/>
  <c r="J203" i="11"/>
  <c r="H203" i="11"/>
  <c r="G203" i="11"/>
  <c r="F203" i="11"/>
  <c r="E203" i="11"/>
  <c r="BJ202" i="11"/>
  <c r="BI202" i="11"/>
  <c r="BH202" i="11"/>
  <c r="BG202" i="11"/>
  <c r="BF202" i="11"/>
  <c r="BE202" i="11"/>
  <c r="BD202" i="11"/>
  <c r="BC202" i="11"/>
  <c r="BB202" i="11"/>
  <c r="BA202" i="11"/>
  <c r="AZ202" i="11"/>
  <c r="AY202" i="11"/>
  <c r="AX202" i="11"/>
  <c r="AW202" i="11"/>
  <c r="AV202" i="11"/>
  <c r="AU202" i="11"/>
  <c r="AT202" i="11"/>
  <c r="AS202" i="11"/>
  <c r="AR202" i="11"/>
  <c r="AQ202" i="11"/>
  <c r="AP202" i="11"/>
  <c r="AO202" i="11"/>
  <c r="AN202" i="11"/>
  <c r="AM202" i="11"/>
  <c r="AL202" i="11"/>
  <c r="AK202" i="11"/>
  <c r="AJ202" i="11"/>
  <c r="AI202" i="11"/>
  <c r="AH202" i="11"/>
  <c r="AG202" i="11"/>
  <c r="AF202" i="11"/>
  <c r="AE202" i="11"/>
  <c r="AD202" i="11"/>
  <c r="AC202" i="11"/>
  <c r="AB202" i="11"/>
  <c r="AA202" i="11"/>
  <c r="Z202" i="11"/>
  <c r="Y202" i="11"/>
  <c r="X202" i="11"/>
  <c r="W202" i="11"/>
  <c r="V202" i="11"/>
  <c r="U202" i="11"/>
  <c r="T202" i="11"/>
  <c r="S202" i="11"/>
  <c r="R202" i="11"/>
  <c r="Q202" i="11"/>
  <c r="P202" i="11"/>
  <c r="O202" i="11"/>
  <c r="N202" i="11"/>
  <c r="M202" i="11"/>
  <c r="L202" i="11"/>
  <c r="K202" i="11"/>
  <c r="J202" i="11"/>
  <c r="I202" i="11"/>
  <c r="H202" i="11"/>
  <c r="G202" i="11"/>
  <c r="F202" i="11"/>
  <c r="E202" i="11"/>
  <c r="BJ201" i="11"/>
  <c r="BI201" i="11"/>
  <c r="BH201" i="11"/>
  <c r="BG201" i="11"/>
  <c r="BF201" i="11"/>
  <c r="BE201" i="11"/>
  <c r="BD201" i="11"/>
  <c r="BC201" i="11"/>
  <c r="BB201" i="11"/>
  <c r="BA201" i="11"/>
  <c r="AZ201" i="11"/>
  <c r="AY201" i="11"/>
  <c r="AV201" i="11"/>
  <c r="AU201" i="11"/>
  <c r="AT201" i="11"/>
  <c r="AS201" i="11"/>
  <c r="AR201" i="11"/>
  <c r="AQ201" i="11"/>
  <c r="AP201" i="11"/>
  <c r="AO201" i="11"/>
  <c r="AN201" i="11"/>
  <c r="AM201" i="11"/>
  <c r="AL201" i="11"/>
  <c r="AK201" i="11"/>
  <c r="AJ201" i="11"/>
  <c r="AI201" i="11"/>
  <c r="AH201" i="11"/>
  <c r="AG201" i="11"/>
  <c r="AF201" i="11"/>
  <c r="AE201" i="11"/>
  <c r="AD201" i="11"/>
  <c r="AC201" i="11"/>
  <c r="AB201" i="11"/>
  <c r="AA201" i="11"/>
  <c r="X201" i="11"/>
  <c r="W201" i="11"/>
  <c r="V201" i="11"/>
  <c r="U201" i="11"/>
  <c r="T201" i="11"/>
  <c r="S201" i="11"/>
  <c r="R201" i="11"/>
  <c r="Q201" i="11"/>
  <c r="P201" i="11"/>
  <c r="O201" i="11"/>
  <c r="N201" i="11"/>
  <c r="M201" i="11"/>
  <c r="L201" i="11"/>
  <c r="K201" i="11"/>
  <c r="J201" i="11"/>
  <c r="I201" i="11"/>
  <c r="H201" i="11"/>
  <c r="G201" i="11"/>
  <c r="F201" i="11"/>
  <c r="E201" i="11"/>
  <c r="BJ200" i="11"/>
  <c r="AV200" i="11"/>
  <c r="X200" i="11"/>
  <c r="BJ199" i="11"/>
  <c r="BI199" i="11"/>
  <c r="BH199" i="11"/>
  <c r="BG199" i="11"/>
  <c r="BF199" i="11"/>
  <c r="BE199" i="11"/>
  <c r="BD199" i="11"/>
  <c r="BC199" i="11"/>
  <c r="BB199" i="11"/>
  <c r="BA199" i="11"/>
  <c r="AZ199" i="11"/>
  <c r="AY199" i="11"/>
  <c r="AX199" i="11"/>
  <c r="AW199" i="11"/>
  <c r="AV199" i="11"/>
  <c r="AU199" i="11"/>
  <c r="AT199" i="11"/>
  <c r="AS199" i="11"/>
  <c r="AR199" i="11"/>
  <c r="AQ199" i="11"/>
  <c r="AP199" i="11"/>
  <c r="AO199" i="11"/>
  <c r="AN199" i="11"/>
  <c r="AM199" i="11"/>
  <c r="AL199" i="11"/>
  <c r="AK199" i="11"/>
  <c r="AJ199" i="11"/>
  <c r="AI199" i="11"/>
  <c r="AH199" i="11"/>
  <c r="AG199" i="11"/>
  <c r="AF199" i="11"/>
  <c r="AE199" i="11"/>
  <c r="AD199" i="11"/>
  <c r="AC199" i="11"/>
  <c r="AB199" i="11"/>
  <c r="AA199" i="11"/>
  <c r="Z199" i="11"/>
  <c r="Y199" i="11"/>
  <c r="X199" i="11"/>
  <c r="W199" i="11"/>
  <c r="V199" i="11"/>
  <c r="U199" i="11"/>
  <c r="T199" i="11"/>
  <c r="S199" i="11"/>
  <c r="R199" i="11"/>
  <c r="Q199" i="11"/>
  <c r="P199" i="11"/>
  <c r="O199" i="11"/>
  <c r="N199" i="11"/>
  <c r="M199" i="11"/>
  <c r="L199" i="11"/>
  <c r="K199" i="11"/>
  <c r="J199" i="11"/>
  <c r="I199" i="11"/>
  <c r="H199" i="11"/>
  <c r="G199" i="11"/>
  <c r="F199" i="11"/>
  <c r="E199" i="11"/>
  <c r="BJ198" i="11"/>
  <c r="BJ197" i="11"/>
  <c r="AO197" i="11"/>
  <c r="Q197" i="11"/>
  <c r="BJ196" i="11"/>
  <c r="AG196" i="11"/>
  <c r="U196" i="11"/>
  <c r="BJ195" i="11"/>
  <c r="BI195" i="11"/>
  <c r="BG195" i="11"/>
  <c r="BF195" i="11"/>
  <c r="BE195" i="11"/>
  <c r="BD195" i="11"/>
  <c r="BB195" i="11"/>
  <c r="BA195" i="11"/>
  <c r="AZ195" i="11"/>
  <c r="AY195" i="11"/>
  <c r="AX195" i="11"/>
  <c r="AW195" i="11"/>
  <c r="AV195" i="11"/>
  <c r="AU195" i="11"/>
  <c r="AT195" i="11"/>
  <c r="AS195" i="11"/>
  <c r="AR195" i="11"/>
  <c r="AK195" i="11"/>
  <c r="AI195" i="11"/>
  <c r="AH195" i="11"/>
  <c r="AG195" i="11"/>
  <c r="AF195" i="11"/>
  <c r="AD195" i="11"/>
  <c r="AC195" i="11"/>
  <c r="AB195" i="11"/>
  <c r="AA195" i="11"/>
  <c r="Z195" i="11"/>
  <c r="Y195" i="11"/>
  <c r="X195" i="11"/>
  <c r="W195" i="11"/>
  <c r="V195" i="11"/>
  <c r="U195" i="11"/>
  <c r="T195" i="11"/>
  <c r="M195" i="11"/>
  <c r="K195" i="11"/>
  <c r="J195" i="11"/>
  <c r="I195" i="11"/>
  <c r="H195" i="11"/>
  <c r="F195" i="11"/>
  <c r="E195" i="11"/>
  <c r="BJ194" i="11"/>
  <c r="BH194" i="11"/>
  <c r="AJ194" i="11"/>
  <c r="L194" i="11"/>
  <c r="BJ193" i="11"/>
  <c r="BI193" i="11"/>
  <c r="BF193" i="11"/>
  <c r="BE193" i="11"/>
  <c r="BD193" i="11"/>
  <c r="BC193" i="11"/>
  <c r="BB193" i="11"/>
  <c r="BA193" i="11"/>
  <c r="AZ193" i="11"/>
  <c r="AY193" i="11"/>
  <c r="AX193" i="11"/>
  <c r="AW193" i="11"/>
  <c r="AV193" i="11"/>
  <c r="AU193" i="11"/>
  <c r="AT193" i="11"/>
  <c r="AS193" i="11"/>
  <c r="AR193" i="11"/>
  <c r="AQ193" i="11"/>
  <c r="AP193" i="11"/>
  <c r="AO193" i="11"/>
  <c r="AN193" i="11"/>
  <c r="AM193" i="11"/>
  <c r="AL193" i="11"/>
  <c r="AK193" i="11"/>
  <c r="AH193" i="11"/>
  <c r="AG193" i="11"/>
  <c r="AF193" i="11"/>
  <c r="AE193" i="11"/>
  <c r="AD193" i="11"/>
  <c r="AC193" i="11"/>
  <c r="AB193" i="11"/>
  <c r="AA193" i="11"/>
  <c r="Z193" i="11"/>
  <c r="Y193" i="11"/>
  <c r="X193" i="11"/>
  <c r="W193" i="11"/>
  <c r="V193" i="11"/>
  <c r="U193" i="11"/>
  <c r="T193" i="11"/>
  <c r="S193" i="11"/>
  <c r="R193" i="11"/>
  <c r="Q193" i="11"/>
  <c r="P193" i="11"/>
  <c r="O193" i="11"/>
  <c r="N193" i="11"/>
  <c r="M193" i="11"/>
  <c r="J193" i="11"/>
  <c r="I193" i="11"/>
  <c r="H193" i="11"/>
  <c r="G193" i="11"/>
  <c r="F193" i="11"/>
  <c r="E193" i="11"/>
  <c r="BJ192" i="11"/>
  <c r="BJ191" i="11"/>
  <c r="BI191" i="11"/>
  <c r="BH191" i="11"/>
  <c r="BG191" i="11"/>
  <c r="BF191" i="11"/>
  <c r="BE191" i="11"/>
  <c r="BD191" i="11"/>
  <c r="BC191" i="11"/>
  <c r="BB191" i="11"/>
  <c r="BA191" i="11"/>
  <c r="AZ191" i="11"/>
  <c r="AY191" i="11"/>
  <c r="AX191" i="11"/>
  <c r="AW191" i="11"/>
  <c r="AV191" i="11"/>
  <c r="AU191" i="11"/>
  <c r="AT191" i="11"/>
  <c r="AS191" i="11"/>
  <c r="AR191" i="11"/>
  <c r="AQ191" i="11"/>
  <c r="AP191" i="11"/>
  <c r="AO191" i="11"/>
  <c r="AN191" i="11"/>
  <c r="AM191" i="11"/>
  <c r="AL191" i="11"/>
  <c r="AK191" i="11"/>
  <c r="AJ191" i="11"/>
  <c r="AI191" i="11"/>
  <c r="AH191" i="11"/>
  <c r="AG191" i="11"/>
  <c r="AF191" i="11"/>
  <c r="AE191" i="11"/>
  <c r="AD191" i="11"/>
  <c r="AC191" i="11"/>
  <c r="AB191" i="11"/>
  <c r="AA191" i="11"/>
  <c r="Z191" i="11"/>
  <c r="Y191" i="11"/>
  <c r="X191" i="11"/>
  <c r="W191" i="11"/>
  <c r="V191" i="11"/>
  <c r="U191" i="11"/>
  <c r="T191" i="11"/>
  <c r="S191" i="11"/>
  <c r="R191" i="11"/>
  <c r="Q191" i="11"/>
  <c r="P191" i="11"/>
  <c r="O191" i="11"/>
  <c r="N191" i="11"/>
  <c r="M191" i="11"/>
  <c r="L191" i="11"/>
  <c r="K191" i="11"/>
  <c r="J191" i="11"/>
  <c r="I191" i="11"/>
  <c r="H191" i="11"/>
  <c r="G191" i="11"/>
  <c r="F191" i="11"/>
  <c r="E191" i="11"/>
  <c r="BJ190" i="11"/>
  <c r="BJ189" i="11"/>
  <c r="AX189" i="11"/>
  <c r="Z189" i="11"/>
  <c r="BJ188" i="11"/>
  <c r="BI188" i="11"/>
  <c r="BH188" i="11"/>
  <c r="BG188" i="11"/>
  <c r="BF188" i="11"/>
  <c r="BE188" i="11"/>
  <c r="BD188" i="11"/>
  <c r="BC188" i="11"/>
  <c r="BB188" i="11"/>
  <c r="BA188" i="11"/>
  <c r="AZ188" i="11"/>
  <c r="AY188" i="11"/>
  <c r="AX188" i="11"/>
  <c r="AW188" i="11"/>
  <c r="AV188" i="11"/>
  <c r="AU188" i="11"/>
  <c r="AT188" i="11"/>
  <c r="AS188" i="11"/>
  <c r="AR188" i="11"/>
  <c r="AQ188" i="11"/>
  <c r="AP188" i="11"/>
  <c r="AO188" i="11"/>
  <c r="AN188" i="11"/>
  <c r="AM188" i="11"/>
  <c r="AL188" i="11"/>
  <c r="AK188" i="11"/>
  <c r="AJ188" i="11"/>
  <c r="AI188" i="11"/>
  <c r="AH188" i="11"/>
  <c r="AG188" i="11"/>
  <c r="AF188" i="11"/>
  <c r="AE188" i="11"/>
  <c r="AD188" i="11"/>
  <c r="AC188" i="11"/>
  <c r="AB188" i="11"/>
  <c r="AA188" i="11"/>
  <c r="Z188" i="11"/>
  <c r="Y188" i="11"/>
  <c r="X188" i="11"/>
  <c r="W188" i="11"/>
  <c r="V188" i="11"/>
  <c r="U188" i="11"/>
  <c r="T188" i="11"/>
  <c r="S188" i="11"/>
  <c r="R188" i="11"/>
  <c r="Q188" i="11"/>
  <c r="P188" i="11"/>
  <c r="O188" i="11"/>
  <c r="N188" i="11"/>
  <c r="M188" i="11"/>
  <c r="L188" i="11"/>
  <c r="K188" i="11"/>
  <c r="J188" i="11"/>
  <c r="I188" i="11"/>
  <c r="H188" i="11"/>
  <c r="G188" i="11"/>
  <c r="F188" i="11"/>
  <c r="E188" i="11"/>
  <c r="BJ187" i="11"/>
  <c r="BI187" i="11"/>
  <c r="BH187" i="11"/>
  <c r="BG187" i="11"/>
  <c r="BF187" i="11"/>
  <c r="BE187" i="11"/>
  <c r="BD187" i="11"/>
  <c r="BC187" i="11"/>
  <c r="BB187" i="11"/>
  <c r="BA187" i="11"/>
  <c r="AZ187" i="11"/>
  <c r="AY187" i="11"/>
  <c r="AX187" i="11"/>
  <c r="AW187" i="11"/>
  <c r="AV187" i="11"/>
  <c r="AU187" i="11"/>
  <c r="AT187" i="11"/>
  <c r="AS187" i="11"/>
  <c r="AR187" i="11"/>
  <c r="AQ187" i="11"/>
  <c r="AP187" i="11"/>
  <c r="AO187" i="11"/>
  <c r="AN187" i="11"/>
  <c r="AM187" i="11"/>
  <c r="AL187" i="11"/>
  <c r="AK187" i="11"/>
  <c r="AJ187" i="11"/>
  <c r="AI187" i="11"/>
  <c r="AH187" i="11"/>
  <c r="AG187" i="11"/>
  <c r="AF187" i="11"/>
  <c r="AE187" i="11"/>
  <c r="AD187" i="11"/>
  <c r="AC187" i="11"/>
  <c r="AB187" i="11"/>
  <c r="AA187" i="11"/>
  <c r="Z187" i="11"/>
  <c r="Y187" i="11"/>
  <c r="X187" i="11"/>
  <c r="W187" i="11"/>
  <c r="V187" i="11"/>
  <c r="U187" i="11"/>
  <c r="T187" i="11"/>
  <c r="S187" i="11"/>
  <c r="R187" i="11"/>
  <c r="Q187" i="11"/>
  <c r="P187" i="11"/>
  <c r="O187" i="11"/>
  <c r="N187" i="11"/>
  <c r="M187" i="11"/>
  <c r="L187" i="11"/>
  <c r="K187" i="11"/>
  <c r="J187" i="11"/>
  <c r="I187" i="11"/>
  <c r="H187" i="11"/>
  <c r="G187" i="11"/>
  <c r="F187" i="11"/>
  <c r="E187" i="11"/>
  <c r="BJ186" i="11"/>
  <c r="BI186" i="11"/>
  <c r="BH186" i="11"/>
  <c r="BG186" i="11"/>
  <c r="BF186" i="11"/>
  <c r="BE186" i="11"/>
  <c r="BD186" i="11"/>
  <c r="BC186" i="11"/>
  <c r="BB186" i="11"/>
  <c r="BA186" i="11"/>
  <c r="AZ186" i="11"/>
  <c r="AY186" i="11"/>
  <c r="AX186" i="11"/>
  <c r="AW186" i="11"/>
  <c r="AV186" i="11"/>
  <c r="AU186" i="11"/>
  <c r="AT186" i="11"/>
  <c r="AS186" i="11"/>
  <c r="AR186" i="11"/>
  <c r="AQ186" i="11"/>
  <c r="AP186" i="11"/>
  <c r="AO186" i="11"/>
  <c r="AN186" i="11"/>
  <c r="AM186" i="11"/>
  <c r="AL186" i="11"/>
  <c r="AK186" i="11"/>
  <c r="AJ186" i="11"/>
  <c r="AI186" i="11"/>
  <c r="AH186" i="11"/>
  <c r="AG186" i="11"/>
  <c r="AF186" i="11"/>
  <c r="AE186" i="11"/>
  <c r="AD186" i="11"/>
  <c r="AC186" i="11"/>
  <c r="AB186" i="11"/>
  <c r="AA186" i="11"/>
  <c r="Z186" i="11"/>
  <c r="Y186" i="11"/>
  <c r="X186" i="11"/>
  <c r="W186" i="11"/>
  <c r="V186" i="11"/>
  <c r="U186" i="11"/>
  <c r="T186" i="11"/>
  <c r="S186" i="11"/>
  <c r="R186" i="11"/>
  <c r="Q186" i="11"/>
  <c r="P186" i="11"/>
  <c r="O186" i="11"/>
  <c r="N186" i="11"/>
  <c r="M186" i="11"/>
  <c r="L186" i="11"/>
  <c r="K186" i="11"/>
  <c r="J186" i="11"/>
  <c r="I186" i="11"/>
  <c r="H186" i="11"/>
  <c r="G186" i="11"/>
  <c r="F186" i="11"/>
  <c r="E186" i="11"/>
  <c r="BJ185" i="11"/>
  <c r="AD185" i="11"/>
  <c r="I185" i="11"/>
  <c r="BJ184" i="11"/>
  <c r="BJ183" i="11"/>
  <c r="BI183" i="11"/>
  <c r="BH183" i="11"/>
  <c r="BG183" i="11"/>
  <c r="BF183" i="11"/>
  <c r="BE183" i="11"/>
  <c r="BD183" i="11"/>
  <c r="BC183" i="11"/>
  <c r="BB183" i="11"/>
  <c r="BA183" i="11"/>
  <c r="AZ183" i="11"/>
  <c r="AY183" i="11"/>
  <c r="AX183" i="11"/>
  <c r="AW183" i="11"/>
  <c r="AV183" i="11"/>
  <c r="AU183" i="11"/>
  <c r="AT183" i="11"/>
  <c r="AS183" i="11"/>
  <c r="AR183" i="11"/>
  <c r="AQ183" i="11"/>
  <c r="AP183" i="11"/>
  <c r="AO183" i="11"/>
  <c r="AN183" i="11"/>
  <c r="AM183" i="11"/>
  <c r="AL183" i="11"/>
  <c r="AK183" i="11"/>
  <c r="AJ183" i="11"/>
  <c r="AI183" i="11"/>
  <c r="AH183" i="11"/>
  <c r="AG183" i="11"/>
  <c r="AF183" i="11"/>
  <c r="AE183" i="11"/>
  <c r="AD183" i="11"/>
  <c r="AC183" i="11"/>
  <c r="AB183" i="11"/>
  <c r="AA183" i="11"/>
  <c r="Z183" i="11"/>
  <c r="Y183" i="11"/>
  <c r="X183" i="11"/>
  <c r="W183" i="11"/>
  <c r="V183" i="11"/>
  <c r="U183" i="11"/>
  <c r="T183" i="11"/>
  <c r="S183" i="11"/>
  <c r="R183" i="11"/>
  <c r="Q183" i="11"/>
  <c r="P183" i="11"/>
  <c r="O183" i="11"/>
  <c r="N183" i="11"/>
  <c r="M183" i="11"/>
  <c r="L183" i="11"/>
  <c r="K183" i="11"/>
  <c r="J183" i="11"/>
  <c r="I183" i="11"/>
  <c r="H183" i="11"/>
  <c r="G183" i="11"/>
  <c r="F183" i="11"/>
  <c r="E183" i="11"/>
  <c r="BJ182" i="11"/>
  <c r="BJ181" i="11"/>
  <c r="BI181" i="11"/>
  <c r="AK181" i="11"/>
  <c r="M181" i="11"/>
  <c r="BJ180" i="11"/>
  <c r="BI180" i="11"/>
  <c r="BH180" i="11"/>
  <c r="BG180" i="11"/>
  <c r="BF180" i="11"/>
  <c r="BE180" i="11"/>
  <c r="BD180" i="11"/>
  <c r="BC180" i="11"/>
  <c r="BB180" i="11"/>
  <c r="BA180" i="11"/>
  <c r="AZ180" i="11"/>
  <c r="AY180" i="11"/>
  <c r="AX180" i="11"/>
  <c r="AW180" i="11"/>
  <c r="AV180" i="11"/>
  <c r="AU180" i="11"/>
  <c r="AT180" i="11"/>
  <c r="AS180" i="11"/>
  <c r="AR180" i="11"/>
  <c r="AQ180" i="11"/>
  <c r="AP180" i="11"/>
  <c r="AO180" i="11"/>
  <c r="AN180" i="11"/>
  <c r="AM180" i="11"/>
  <c r="AL180" i="11"/>
  <c r="AK180" i="11"/>
  <c r="AJ180" i="11"/>
  <c r="AI180" i="11"/>
  <c r="AH180" i="11"/>
  <c r="AG180" i="11"/>
  <c r="AF180" i="11"/>
  <c r="AE180" i="11"/>
  <c r="AD180" i="11"/>
  <c r="AC180" i="11"/>
  <c r="AB180" i="11"/>
  <c r="AA180" i="11"/>
  <c r="Z180" i="11"/>
  <c r="Y180" i="11"/>
  <c r="X180" i="11"/>
  <c r="W180" i="11"/>
  <c r="V180" i="11"/>
  <c r="U180" i="11"/>
  <c r="T180" i="11"/>
  <c r="S180" i="11"/>
  <c r="R180" i="11"/>
  <c r="Q180" i="11"/>
  <c r="P180" i="11"/>
  <c r="O180" i="11"/>
  <c r="N180" i="11"/>
  <c r="M180" i="11"/>
  <c r="L180" i="11"/>
  <c r="K180" i="11"/>
  <c r="J180" i="11"/>
  <c r="I180" i="11"/>
  <c r="H180" i="11"/>
  <c r="G180" i="11"/>
  <c r="F180" i="11"/>
  <c r="E180" i="11"/>
  <c r="BJ179" i="11"/>
  <c r="BI179" i="11"/>
  <c r="BH179" i="11"/>
  <c r="BG179" i="11"/>
  <c r="BF179" i="11"/>
  <c r="BE179" i="11"/>
  <c r="BD179" i="11"/>
  <c r="BC179" i="11"/>
  <c r="BB179" i="11"/>
  <c r="BA179" i="11"/>
  <c r="AZ179" i="11"/>
  <c r="AY179" i="11"/>
  <c r="AX179" i="11"/>
  <c r="AW179" i="11"/>
  <c r="AV179" i="11"/>
  <c r="AU179" i="11"/>
  <c r="AT179" i="11"/>
  <c r="AS179" i="11"/>
  <c r="AR179" i="11"/>
  <c r="AQ179" i="11"/>
  <c r="AP179" i="11"/>
  <c r="AO179" i="11"/>
  <c r="AN179" i="11"/>
  <c r="AM179" i="11"/>
  <c r="AL179" i="11"/>
  <c r="AK179" i="11"/>
  <c r="AJ179" i="11"/>
  <c r="AI179" i="11"/>
  <c r="AH179" i="11"/>
  <c r="AG179" i="11"/>
  <c r="AF179" i="11"/>
  <c r="AE179" i="11"/>
  <c r="AD179" i="11"/>
  <c r="AC179" i="11"/>
  <c r="AB179" i="11"/>
  <c r="AA179" i="11"/>
  <c r="Z179" i="11"/>
  <c r="Y179" i="11"/>
  <c r="X179" i="11"/>
  <c r="W179" i="11"/>
  <c r="V179" i="11"/>
  <c r="U179" i="11"/>
  <c r="T179" i="11"/>
  <c r="S179" i="11"/>
  <c r="R179" i="11"/>
  <c r="Q179" i="11"/>
  <c r="P179" i="11"/>
  <c r="O179" i="11"/>
  <c r="N179" i="11"/>
  <c r="M179" i="11"/>
  <c r="L179" i="11"/>
  <c r="K179" i="11"/>
  <c r="J179" i="11"/>
  <c r="I179" i="11"/>
  <c r="H179" i="11"/>
  <c r="G179" i="11"/>
  <c r="F179" i="11"/>
  <c r="E179" i="11"/>
  <c r="BJ178" i="11"/>
  <c r="BI178" i="11"/>
  <c r="BH178" i="11"/>
  <c r="BG178" i="11"/>
  <c r="BF178" i="11"/>
  <c r="BE178" i="11"/>
  <c r="BD178" i="11"/>
  <c r="BC178" i="11"/>
  <c r="BB178" i="11"/>
  <c r="BA178" i="11"/>
  <c r="AZ178" i="11"/>
  <c r="AY178" i="11"/>
  <c r="AX178" i="11"/>
  <c r="AW178" i="11"/>
  <c r="AV178" i="11"/>
  <c r="AU178" i="11"/>
  <c r="AT178" i="11"/>
  <c r="AS178" i="11"/>
  <c r="AR178" i="11"/>
  <c r="AQ178" i="11"/>
  <c r="AP178" i="11"/>
  <c r="AO178" i="11"/>
  <c r="AN178" i="11"/>
  <c r="AM178" i="11"/>
  <c r="AL178" i="11"/>
  <c r="AK178" i="11"/>
  <c r="AJ178" i="11"/>
  <c r="AI178" i="11"/>
  <c r="AH178" i="11"/>
  <c r="AG178" i="11"/>
  <c r="AF178" i="11"/>
  <c r="AE178" i="11"/>
  <c r="AD178" i="11"/>
  <c r="AC178" i="11"/>
  <c r="AB178" i="11"/>
  <c r="AA178" i="11"/>
  <c r="Z178" i="11"/>
  <c r="Y178" i="11"/>
  <c r="X178" i="11"/>
  <c r="W178" i="11"/>
  <c r="V178" i="11"/>
  <c r="U178" i="11"/>
  <c r="T178" i="11"/>
  <c r="S178" i="11"/>
  <c r="R178" i="11"/>
  <c r="Q178" i="11"/>
  <c r="P178" i="11"/>
  <c r="O178" i="11"/>
  <c r="N178" i="11"/>
  <c r="M178" i="11"/>
  <c r="L178" i="11"/>
  <c r="K178" i="11"/>
  <c r="J178" i="11"/>
  <c r="I178" i="11"/>
  <c r="H178" i="11"/>
  <c r="G178" i="11"/>
  <c r="F178" i="11"/>
  <c r="E178" i="11"/>
  <c r="BJ177" i="11"/>
  <c r="BH177" i="11"/>
  <c r="AZ177" i="11"/>
  <c r="AO177" i="11"/>
  <c r="AN177" i="11"/>
  <c r="AJ177" i="11"/>
  <c r="AB177" i="11"/>
  <c r="Q177" i="11"/>
  <c r="P177" i="11"/>
  <c r="L177" i="11"/>
  <c r="BJ176" i="11"/>
  <c r="BI176" i="11"/>
  <c r="BH176" i="11"/>
  <c r="BF176" i="11"/>
  <c r="BE176" i="11"/>
  <c r="BB176" i="11"/>
  <c r="AY176" i="11"/>
  <c r="AX176" i="11"/>
  <c r="AW176" i="11"/>
  <c r="AU176" i="11"/>
  <c r="AT176" i="11"/>
  <c r="AS176" i="11"/>
  <c r="AA176" i="11"/>
  <c r="Y176" i="11"/>
  <c r="W176" i="11"/>
  <c r="V176" i="11"/>
  <c r="U176" i="11"/>
  <c r="M176" i="11"/>
  <c r="L176" i="11"/>
  <c r="J176" i="11"/>
  <c r="I176" i="11"/>
  <c r="F176" i="11"/>
  <c r="BJ175" i="11"/>
  <c r="BI175" i="11"/>
  <c r="BH175" i="11"/>
  <c r="BG175" i="11"/>
  <c r="BF175" i="11"/>
  <c r="BE175" i="11"/>
  <c r="BD175" i="11"/>
  <c r="BC175" i="11"/>
  <c r="BB175" i="11"/>
  <c r="BA175" i="11"/>
  <c r="AZ175" i="11"/>
  <c r="AY175" i="11"/>
  <c r="AX175" i="11"/>
  <c r="AW175" i="11"/>
  <c r="AV175" i="11"/>
  <c r="AU175" i="11"/>
  <c r="AT175" i="11"/>
  <c r="AS175" i="11"/>
  <c r="AR175" i="11"/>
  <c r="AQ175" i="11"/>
  <c r="AP175" i="11"/>
  <c r="AO175" i="11"/>
  <c r="AN175" i="11"/>
  <c r="AM175" i="11"/>
  <c r="AL175" i="11"/>
  <c r="AK175" i="11"/>
  <c r="AJ175" i="11"/>
  <c r="AI175" i="11"/>
  <c r="AH175" i="11"/>
  <c r="AG175" i="11"/>
  <c r="AF175" i="11"/>
  <c r="AE175" i="11"/>
  <c r="AD175" i="11"/>
  <c r="AC175" i="11"/>
  <c r="AB175" i="11"/>
  <c r="AA175" i="11"/>
  <c r="Z175" i="11"/>
  <c r="Y175" i="11"/>
  <c r="X175" i="11"/>
  <c r="W175" i="11"/>
  <c r="V175" i="11"/>
  <c r="U175" i="11"/>
  <c r="T175" i="11"/>
  <c r="S175" i="11"/>
  <c r="R175" i="11"/>
  <c r="Q175" i="11"/>
  <c r="P175" i="11"/>
  <c r="O175" i="11"/>
  <c r="N175" i="11"/>
  <c r="M175" i="11"/>
  <c r="L175" i="11"/>
  <c r="K175" i="11"/>
  <c r="J175" i="11"/>
  <c r="I175" i="11"/>
  <c r="H175" i="11"/>
  <c r="G175" i="11"/>
  <c r="F175" i="11"/>
  <c r="E175" i="11"/>
  <c r="BJ174" i="11"/>
  <c r="AW174" i="11"/>
  <c r="AU174" i="11"/>
  <c r="AS174" i="11"/>
  <c r="AR174" i="11"/>
  <c r="AQ174" i="11"/>
  <c r="AP174" i="11"/>
  <c r="X174" i="11"/>
  <c r="V174" i="11"/>
  <c r="T174" i="11"/>
  <c r="S174" i="11"/>
  <c r="R174" i="11"/>
  <c r="Q174" i="11"/>
  <c r="BJ173" i="11"/>
  <c r="AR173" i="11"/>
  <c r="T173" i="11"/>
  <c r="BJ172" i="11"/>
  <c r="BA172" i="11"/>
  <c r="AC172" i="11"/>
  <c r="E172" i="11"/>
  <c r="BJ171" i="11"/>
  <c r="BI171" i="11"/>
  <c r="BH171" i="11"/>
  <c r="BG171" i="11"/>
  <c r="BF171" i="11"/>
  <c r="BE171" i="11"/>
  <c r="BD171" i="11"/>
  <c r="BC171" i="11"/>
  <c r="BB171" i="11"/>
  <c r="BA171" i="11"/>
  <c r="AZ171" i="11"/>
  <c r="AW171" i="11"/>
  <c r="AV171" i="11"/>
  <c r="AU171" i="11"/>
  <c r="AT171" i="11"/>
  <c r="AS171" i="11"/>
  <c r="AR171" i="11"/>
  <c r="AQ171" i="11"/>
  <c r="AP171" i="11"/>
  <c r="AO171" i="11"/>
  <c r="AN171" i="11"/>
  <c r="AM171" i="11"/>
  <c r="AL171" i="11"/>
  <c r="AK171" i="11"/>
  <c r="AJ171" i="11"/>
  <c r="AI171" i="11"/>
  <c r="AH171" i="11"/>
  <c r="AG171" i="11"/>
  <c r="AF171" i="11"/>
  <c r="AE171" i="11"/>
  <c r="AD171" i="11"/>
  <c r="AC171" i="11"/>
  <c r="AB171" i="11"/>
  <c r="Y171" i="11"/>
  <c r="X171" i="11"/>
  <c r="W171" i="11"/>
  <c r="V171" i="11"/>
  <c r="U171" i="11"/>
  <c r="T171" i="11"/>
  <c r="S171" i="11"/>
  <c r="R171" i="11"/>
  <c r="Q171" i="11"/>
  <c r="P171" i="11"/>
  <c r="O171" i="11"/>
  <c r="N171" i="11"/>
  <c r="M171" i="11"/>
  <c r="L171" i="11"/>
  <c r="K171" i="11"/>
  <c r="J171" i="11"/>
  <c r="I171" i="11"/>
  <c r="H171" i="11"/>
  <c r="G171" i="11"/>
  <c r="F171" i="11"/>
  <c r="E171" i="11"/>
  <c r="BJ170" i="11"/>
  <c r="BI170" i="11"/>
  <c r="BH170" i="11"/>
  <c r="BG170" i="11"/>
  <c r="BF170" i="11"/>
  <c r="BE170" i="11"/>
  <c r="BD170" i="11"/>
  <c r="BC170" i="11"/>
  <c r="BB170" i="11"/>
  <c r="BA170" i="11"/>
  <c r="AZ170" i="11"/>
  <c r="AY170" i="11"/>
  <c r="AX170" i="11"/>
  <c r="AW170" i="11"/>
  <c r="AV170" i="11"/>
  <c r="AU170" i="11"/>
  <c r="AT170" i="11"/>
  <c r="AS170" i="11"/>
  <c r="AR170" i="11"/>
  <c r="AQ170" i="11"/>
  <c r="AP170" i="11"/>
  <c r="AO170" i="11"/>
  <c r="AN170" i="11"/>
  <c r="AM170" i="11"/>
  <c r="AL170" i="11"/>
  <c r="AK170" i="11"/>
  <c r="AJ170" i="11"/>
  <c r="AI170" i="11"/>
  <c r="AH170" i="11"/>
  <c r="AG170" i="11"/>
  <c r="AF170" i="11"/>
  <c r="AE170" i="11"/>
  <c r="AD170" i="11"/>
  <c r="AC170" i="11"/>
  <c r="AB170" i="11"/>
  <c r="AA170" i="11"/>
  <c r="Z170" i="11"/>
  <c r="Y170" i="11"/>
  <c r="X170" i="11"/>
  <c r="W170" i="11"/>
  <c r="V170" i="11"/>
  <c r="U170" i="11"/>
  <c r="T170" i="11"/>
  <c r="S170" i="11"/>
  <c r="R170" i="11"/>
  <c r="Q170" i="11"/>
  <c r="P170" i="11"/>
  <c r="O170" i="11"/>
  <c r="N170" i="11"/>
  <c r="M170" i="11"/>
  <c r="L170" i="11"/>
  <c r="K170" i="11"/>
  <c r="J170" i="11"/>
  <c r="I170" i="11"/>
  <c r="H170" i="11"/>
  <c r="G170" i="11"/>
  <c r="F170" i="11"/>
  <c r="E170" i="11"/>
  <c r="BJ169" i="11"/>
  <c r="BI169" i="11"/>
  <c r="BH169" i="11"/>
  <c r="BG169" i="11"/>
  <c r="BF169" i="11"/>
  <c r="BE169" i="11"/>
  <c r="BD169" i="11"/>
  <c r="BC169" i="11"/>
  <c r="AW169" i="11"/>
  <c r="AV169" i="11"/>
  <c r="AT169" i="11"/>
  <c r="AS169" i="11"/>
  <c r="AR169" i="11"/>
  <c r="AQ169" i="11"/>
  <c r="AO169" i="11"/>
  <c r="AN169" i="11"/>
  <c r="AM169" i="11"/>
  <c r="AK169" i="11"/>
  <c r="AJ169" i="11"/>
  <c r="AI169" i="11"/>
  <c r="AG169" i="11"/>
  <c r="AE169" i="11"/>
  <c r="Y169" i="11"/>
  <c r="X169" i="11"/>
  <c r="V169" i="11"/>
  <c r="U169" i="11"/>
  <c r="T169" i="11"/>
  <c r="S169" i="11"/>
  <c r="Q169" i="11"/>
  <c r="P169" i="11"/>
  <c r="O169" i="11"/>
  <c r="N169" i="11"/>
  <c r="M169" i="11"/>
  <c r="L169" i="11"/>
  <c r="K169" i="11"/>
  <c r="J169" i="11"/>
  <c r="I169" i="11"/>
  <c r="H169" i="11"/>
  <c r="BJ168" i="11"/>
  <c r="BI168" i="11"/>
  <c r="BH168" i="11"/>
  <c r="BG168" i="11"/>
  <c r="BF168" i="11"/>
  <c r="BE168" i="11"/>
  <c r="BD168" i="11"/>
  <c r="BC168" i="11"/>
  <c r="BB168" i="11"/>
  <c r="BA168" i="11"/>
  <c r="AZ168" i="11"/>
  <c r="AY168" i="11"/>
  <c r="AX168" i="11"/>
  <c r="AW168" i="11"/>
  <c r="AV168" i="11"/>
  <c r="AU168" i="11"/>
  <c r="AT168" i="11"/>
  <c r="AS168" i="11"/>
  <c r="AR168" i="11"/>
  <c r="AQ168" i="11"/>
  <c r="AP168" i="11"/>
  <c r="AO168" i="11"/>
  <c r="AN168" i="11"/>
  <c r="AM168" i="11"/>
  <c r="AL168" i="11"/>
  <c r="AK168" i="11"/>
  <c r="AJ168" i="11"/>
  <c r="AI168" i="11"/>
  <c r="AH168" i="11"/>
  <c r="AG168" i="11"/>
  <c r="AF168" i="11"/>
  <c r="AE168" i="11"/>
  <c r="AD168" i="11"/>
  <c r="AC168" i="11"/>
  <c r="AB168" i="11"/>
  <c r="AA168" i="11"/>
  <c r="Z168" i="11"/>
  <c r="Y168" i="11"/>
  <c r="X168" i="11"/>
  <c r="W168" i="11"/>
  <c r="V168" i="11"/>
  <c r="U168" i="11"/>
  <c r="T168" i="11"/>
  <c r="S168" i="11"/>
  <c r="R168" i="11"/>
  <c r="Q168" i="11"/>
  <c r="P168" i="11"/>
  <c r="O168" i="11"/>
  <c r="N168" i="11"/>
  <c r="M168" i="11"/>
  <c r="L168" i="11"/>
  <c r="K168" i="11"/>
  <c r="J168" i="11"/>
  <c r="I168" i="11"/>
  <c r="H168" i="11"/>
  <c r="G168" i="11"/>
  <c r="F168" i="11"/>
  <c r="E168" i="11"/>
  <c r="BJ167" i="11"/>
  <c r="BI167" i="11"/>
  <c r="BH167" i="11"/>
  <c r="BG167" i="11"/>
  <c r="BF167" i="11"/>
  <c r="BE167" i="11"/>
  <c r="BD167" i="11"/>
  <c r="BC167" i="11"/>
  <c r="BB167" i="11"/>
  <c r="BA167" i="11"/>
  <c r="AZ167" i="11"/>
  <c r="AY167" i="11"/>
  <c r="AX167" i="11"/>
  <c r="AW167" i="11"/>
  <c r="AV167" i="11"/>
  <c r="AU167" i="11"/>
  <c r="AT167" i="11"/>
  <c r="AS167" i="11"/>
  <c r="AR167" i="11"/>
  <c r="AQ167" i="11"/>
  <c r="AP167" i="11"/>
  <c r="AO167" i="11"/>
  <c r="AN167" i="11"/>
  <c r="AM167" i="11"/>
  <c r="AL167" i="11"/>
  <c r="AK167" i="11"/>
  <c r="AJ167" i="11"/>
  <c r="AI167" i="11"/>
  <c r="AH167" i="11"/>
  <c r="AG167" i="11"/>
  <c r="AF167" i="11"/>
  <c r="AE167" i="11"/>
  <c r="AD167" i="11"/>
  <c r="AC167" i="11"/>
  <c r="AB167" i="11"/>
  <c r="AA167" i="11"/>
  <c r="Z167" i="11"/>
  <c r="Y167" i="11"/>
  <c r="X167" i="11"/>
  <c r="W167" i="11"/>
  <c r="V167" i="11"/>
  <c r="U167" i="11"/>
  <c r="T167" i="11"/>
  <c r="S167" i="11"/>
  <c r="R167" i="11"/>
  <c r="Q167" i="11"/>
  <c r="P167" i="11"/>
  <c r="O167" i="11"/>
  <c r="N167" i="11"/>
  <c r="M167" i="11"/>
  <c r="L167" i="11"/>
  <c r="K167" i="11"/>
  <c r="J167" i="11"/>
  <c r="I167" i="11"/>
  <c r="H167" i="11"/>
  <c r="G167" i="11"/>
  <c r="F167" i="11"/>
  <c r="E167" i="11"/>
  <c r="BJ166" i="11"/>
  <c r="BJ165" i="11"/>
  <c r="BD165" i="11"/>
  <c r="BC165" i="11"/>
  <c r="BA165" i="11"/>
  <c r="AZ165" i="11"/>
  <c r="AY165" i="11"/>
  <c r="AX165" i="11"/>
  <c r="AV165" i="11"/>
  <c r="AU165" i="11"/>
  <c r="AT165" i="11"/>
  <c r="AS165" i="11"/>
  <c r="AR165" i="11"/>
  <c r="AQ165" i="11"/>
  <c r="AP165" i="11"/>
  <c r="AO165" i="11"/>
  <c r="AN165" i="11"/>
  <c r="AM165" i="11"/>
  <c r="AL165" i="11"/>
  <c r="AF165" i="11"/>
  <c r="AE165" i="11"/>
  <c r="AC165" i="11"/>
  <c r="AB165" i="11"/>
  <c r="AA165" i="11"/>
  <c r="Z165" i="11"/>
  <c r="X165" i="11"/>
  <c r="W165" i="11"/>
  <c r="V165" i="11"/>
  <c r="U165" i="11"/>
  <c r="T165" i="11"/>
  <c r="S165" i="11"/>
  <c r="R165" i="11"/>
  <c r="Q165" i="11"/>
  <c r="P165" i="11"/>
  <c r="O165" i="11"/>
  <c r="N165" i="11"/>
  <c r="H165" i="11"/>
  <c r="G165" i="11"/>
  <c r="E165" i="11"/>
  <c r="BJ164" i="11"/>
  <c r="BI164" i="11"/>
  <c r="BH164" i="11"/>
  <c r="BG164" i="11"/>
  <c r="BF164" i="11"/>
  <c r="BE164" i="11"/>
  <c r="BD164" i="11"/>
  <c r="BC164" i="11"/>
  <c r="BB164" i="11"/>
  <c r="BA164" i="11"/>
  <c r="AZ164" i="11"/>
  <c r="AY164" i="11"/>
  <c r="AX164" i="11"/>
  <c r="AW164" i="11"/>
  <c r="AV164" i="11"/>
  <c r="AU164" i="11"/>
  <c r="AT164" i="11"/>
  <c r="AS164" i="11"/>
  <c r="AR164" i="11"/>
  <c r="AQ164" i="11"/>
  <c r="AP164" i="11"/>
  <c r="AO164" i="11"/>
  <c r="AN164" i="11"/>
  <c r="AM164" i="11"/>
  <c r="AL164" i="11"/>
  <c r="AK164" i="11"/>
  <c r="AJ164" i="11"/>
  <c r="AI164" i="11"/>
  <c r="AH164" i="11"/>
  <c r="AG164" i="11"/>
  <c r="AF164" i="11"/>
  <c r="AE164" i="11"/>
  <c r="AD164" i="11"/>
  <c r="AC164" i="11"/>
  <c r="AB164" i="11"/>
  <c r="AA164" i="11"/>
  <c r="Z164" i="11"/>
  <c r="Y164" i="11"/>
  <c r="X164" i="11"/>
  <c r="W164" i="11"/>
  <c r="V164" i="11"/>
  <c r="U164" i="11"/>
  <c r="T164" i="11"/>
  <c r="S164" i="11"/>
  <c r="R164" i="11"/>
  <c r="Q164" i="11"/>
  <c r="P164" i="11"/>
  <c r="O164" i="11"/>
  <c r="N164" i="11"/>
  <c r="M164" i="11"/>
  <c r="L164" i="11"/>
  <c r="K164" i="11"/>
  <c r="J164" i="11"/>
  <c r="I164" i="11"/>
  <c r="H164" i="11"/>
  <c r="G164" i="11"/>
  <c r="F164" i="11"/>
  <c r="E164" i="11"/>
  <c r="BJ163" i="11"/>
  <c r="BJ162" i="11"/>
  <c r="BJ161" i="11"/>
  <c r="BI161" i="11"/>
  <c r="BH161" i="11"/>
  <c r="BB161" i="11"/>
  <c r="BA161" i="11"/>
  <c r="AY161" i="11"/>
  <c r="AX161" i="11"/>
  <c r="AW161" i="11"/>
  <c r="AV161" i="11"/>
  <c r="AT161" i="11"/>
  <c r="AS161" i="11"/>
  <c r="AR161" i="11"/>
  <c r="AQ161" i="11"/>
  <c r="AP161" i="11"/>
  <c r="AO161" i="11"/>
  <c r="AN161" i="11"/>
  <c r="AM161" i="11"/>
  <c r="AL161" i="11"/>
  <c r="AK161" i="11"/>
  <c r="AJ161" i="11"/>
  <c r="AD161" i="11"/>
  <c r="AC161" i="11"/>
  <c r="AA161" i="11"/>
  <c r="Z161" i="11"/>
  <c r="Y161" i="11"/>
  <c r="X161" i="11"/>
  <c r="V161" i="11"/>
  <c r="U161" i="11"/>
  <c r="T161" i="11"/>
  <c r="S161" i="11"/>
  <c r="R161" i="11"/>
  <c r="Q161" i="11"/>
  <c r="P161" i="11"/>
  <c r="O161" i="11"/>
  <c r="N161" i="11"/>
  <c r="M161" i="11"/>
  <c r="L161" i="11"/>
  <c r="F161" i="11"/>
  <c r="E161" i="11"/>
  <c r="BJ160" i="11"/>
  <c r="BH160" i="11"/>
  <c r="BE160" i="11"/>
  <c r="BC160" i="11"/>
  <c r="BB160" i="11"/>
  <c r="AZ160" i="11"/>
  <c r="AX160" i="11"/>
  <c r="AW160" i="11"/>
  <c r="AV160" i="11"/>
  <c r="AT160" i="11"/>
  <c r="AP160" i="11"/>
  <c r="AN160" i="11"/>
  <c r="AM160" i="11"/>
  <c r="AJ160" i="11"/>
  <c r="AG160" i="11"/>
  <c r="AE160" i="11"/>
  <c r="AD160" i="11"/>
  <c r="AB160" i="11"/>
  <c r="Z160" i="11"/>
  <c r="Y160" i="11"/>
  <c r="X160" i="11"/>
  <c r="V160" i="11"/>
  <c r="R160" i="11"/>
  <c r="P160" i="11"/>
  <c r="O160" i="11"/>
  <c r="L160" i="11"/>
  <c r="I160" i="11"/>
  <c r="G160" i="11"/>
  <c r="F160" i="11"/>
  <c r="BJ159" i="11"/>
  <c r="BI159" i="11"/>
  <c r="BH159" i="11"/>
  <c r="BG159" i="11"/>
  <c r="BF159" i="11"/>
  <c r="BE159" i="11"/>
  <c r="BD159" i="11"/>
  <c r="BC159" i="11"/>
  <c r="BB159" i="11"/>
  <c r="BA159" i="11"/>
  <c r="AZ159" i="11"/>
  <c r="AY159" i="11"/>
  <c r="AX159" i="11"/>
  <c r="AW159" i="11"/>
  <c r="AV159" i="11"/>
  <c r="AU159" i="11"/>
  <c r="AT159" i="11"/>
  <c r="AS159" i="11"/>
  <c r="AR159" i="11"/>
  <c r="AQ159" i="11"/>
  <c r="AP159" i="11"/>
  <c r="AO159" i="11"/>
  <c r="AN159" i="11"/>
  <c r="AM159" i="11"/>
  <c r="AL159" i="11"/>
  <c r="AK159" i="11"/>
  <c r="AJ159" i="11"/>
  <c r="AI159" i="11"/>
  <c r="AH159" i="11"/>
  <c r="AG159" i="11"/>
  <c r="AF159" i="11"/>
  <c r="AE159" i="11"/>
  <c r="AD159" i="11"/>
  <c r="AC159" i="11"/>
  <c r="AB159" i="11"/>
  <c r="AA159" i="11"/>
  <c r="Z159" i="11"/>
  <c r="Y159" i="11"/>
  <c r="X159" i="11"/>
  <c r="W159" i="11"/>
  <c r="V159" i="11"/>
  <c r="U159" i="11"/>
  <c r="T159" i="11"/>
  <c r="S159" i="11"/>
  <c r="R159" i="11"/>
  <c r="Q159" i="11"/>
  <c r="P159" i="11"/>
  <c r="O159" i="11"/>
  <c r="N159" i="11"/>
  <c r="M159" i="11"/>
  <c r="L159" i="11"/>
  <c r="K159" i="11"/>
  <c r="J159" i="11"/>
  <c r="I159" i="11"/>
  <c r="H159" i="11"/>
  <c r="G159" i="11"/>
  <c r="F159" i="11"/>
  <c r="E159" i="11"/>
  <c r="BJ158" i="11"/>
  <c r="BH158" i="11"/>
  <c r="BG158" i="11"/>
  <c r="BD158" i="11"/>
  <c r="BC158" i="11"/>
  <c r="AU158" i="11"/>
  <c r="AJ158" i="11"/>
  <c r="AH158" i="11"/>
  <c r="AG158" i="11"/>
  <c r="AD158" i="11"/>
  <c r="AC158" i="11"/>
  <c r="U158" i="11"/>
  <c r="J158" i="11"/>
  <c r="H158" i="11"/>
  <c r="G158" i="11"/>
  <c r="BJ157" i="11"/>
  <c r="BF157" i="11"/>
  <c r="J157" i="11"/>
  <c r="I157" i="11"/>
  <c r="BJ156" i="11"/>
  <c r="BI156" i="11"/>
  <c r="BH156" i="11"/>
  <c r="BG156" i="11"/>
  <c r="BF156" i="11"/>
  <c r="BE156" i="11"/>
  <c r="BD156" i="11"/>
  <c r="BC156" i="11"/>
  <c r="BB156" i="11"/>
  <c r="BA156" i="11"/>
  <c r="AZ156" i="11"/>
  <c r="AY156" i="11"/>
  <c r="AX156" i="11"/>
  <c r="AW156" i="11"/>
  <c r="AV156" i="11"/>
  <c r="AU156" i="11"/>
  <c r="AT156" i="11"/>
  <c r="AS156" i="11"/>
  <c r="AR156" i="11"/>
  <c r="AQ156" i="11"/>
  <c r="AP156" i="11"/>
  <c r="AO156" i="11"/>
  <c r="AN156" i="11"/>
  <c r="AM156" i="11"/>
  <c r="AL156" i="11"/>
  <c r="AK156" i="11"/>
  <c r="AJ156" i="11"/>
  <c r="AI156" i="11"/>
  <c r="AH156" i="11"/>
  <c r="AG156" i="11"/>
  <c r="AF156" i="11"/>
  <c r="AE156" i="11"/>
  <c r="AD156" i="11"/>
  <c r="AC156" i="11"/>
  <c r="AB156" i="11"/>
  <c r="AA156" i="11"/>
  <c r="Z156" i="11"/>
  <c r="Y156" i="11"/>
  <c r="X156" i="11"/>
  <c r="W156" i="11"/>
  <c r="V156" i="11"/>
  <c r="U156" i="11"/>
  <c r="T156" i="11"/>
  <c r="S156" i="11"/>
  <c r="R156" i="11"/>
  <c r="Q156" i="11"/>
  <c r="P156" i="11"/>
  <c r="O156" i="11"/>
  <c r="N156" i="11"/>
  <c r="M156" i="11"/>
  <c r="L156" i="11"/>
  <c r="K156" i="11"/>
  <c r="J156" i="11"/>
  <c r="I156" i="11"/>
  <c r="H156" i="11"/>
  <c r="G156" i="11"/>
  <c r="F156" i="11"/>
  <c r="E156" i="11"/>
  <c r="BJ155" i="11"/>
  <c r="BG155" i="11"/>
  <c r="BF155" i="11"/>
  <c r="BD155" i="11"/>
  <c r="BC155" i="11"/>
  <c r="BB155" i="11"/>
  <c r="BA155" i="11"/>
  <c r="AT155" i="11"/>
  <c r="AS155" i="11"/>
  <c r="AR155" i="11"/>
  <c r="AL155" i="11"/>
  <c r="AJ155" i="11"/>
  <c r="AI155" i="11"/>
  <c r="AH155" i="11"/>
  <c r="AF155" i="11"/>
  <c r="AE155" i="11"/>
  <c r="AD155" i="11"/>
  <c r="AC155" i="11"/>
  <c r="V155" i="11"/>
  <c r="U155" i="11"/>
  <c r="T155" i="11"/>
  <c r="L155" i="11"/>
  <c r="K155" i="11"/>
  <c r="G155" i="11"/>
  <c r="F155" i="11"/>
  <c r="E155" i="11"/>
  <c r="BJ154" i="11"/>
  <c r="BI154" i="11"/>
  <c r="BG154" i="11"/>
  <c r="BF154" i="11"/>
  <c r="BE154" i="11"/>
  <c r="BD154" i="11"/>
  <c r="BC154" i="11"/>
  <c r="BB154" i="11"/>
  <c r="BA154" i="11"/>
  <c r="AZ154" i="11"/>
  <c r="AY154" i="11"/>
  <c r="AX154" i="11"/>
  <c r="AW154" i="11"/>
  <c r="AV154" i="11"/>
  <c r="AU154" i="11"/>
  <c r="AT154" i="11"/>
  <c r="AS154" i="11"/>
  <c r="AR154" i="11"/>
  <c r="AL154" i="11"/>
  <c r="AK154" i="11"/>
  <c r="AI154" i="11"/>
  <c r="AH154" i="11"/>
  <c r="AG154" i="11"/>
  <c r="AF154" i="11"/>
  <c r="AE154" i="11"/>
  <c r="AD154" i="11"/>
  <c r="AC154" i="11"/>
  <c r="AB154" i="11"/>
  <c r="AA154" i="11"/>
  <c r="Z154" i="11"/>
  <c r="Y154" i="11"/>
  <c r="X154" i="11"/>
  <c r="W154" i="11"/>
  <c r="V154" i="11"/>
  <c r="U154" i="11"/>
  <c r="T154" i="11"/>
  <c r="N154" i="11"/>
  <c r="M154" i="11"/>
  <c r="K154" i="11"/>
  <c r="J154" i="11"/>
  <c r="I154" i="11"/>
  <c r="H154" i="11"/>
  <c r="G154" i="11"/>
  <c r="F154" i="11"/>
  <c r="E154" i="11"/>
  <c r="BJ153" i="11"/>
  <c r="AM153" i="11"/>
  <c r="S153" i="11"/>
  <c r="O153" i="11"/>
  <c r="BJ152" i="11"/>
  <c r="BI152" i="11"/>
  <c r="BH152" i="11"/>
  <c r="BG152" i="11"/>
  <c r="BF152" i="11"/>
  <c r="BE152" i="11"/>
  <c r="BD152" i="11"/>
  <c r="BC152" i="11"/>
  <c r="BB152" i="11"/>
  <c r="BA152" i="11"/>
  <c r="AZ152" i="11"/>
  <c r="AY152" i="11"/>
  <c r="AX152" i="11"/>
  <c r="AW152" i="11"/>
  <c r="AV152" i="11"/>
  <c r="AU152" i="11"/>
  <c r="AT152" i="11"/>
  <c r="AS152" i="11"/>
  <c r="AR152" i="11"/>
  <c r="AQ152" i="11"/>
  <c r="AP152" i="11"/>
  <c r="AO152" i="11"/>
  <c r="AN152" i="11"/>
  <c r="AM152" i="11"/>
  <c r="AL152" i="11"/>
  <c r="AK152" i="11"/>
  <c r="AJ152" i="11"/>
  <c r="AI152" i="11"/>
  <c r="AH152" i="11"/>
  <c r="AG152" i="11"/>
  <c r="AF152" i="11"/>
  <c r="AE152" i="11"/>
  <c r="AD152" i="11"/>
  <c r="AC152" i="11"/>
  <c r="AB152" i="11"/>
  <c r="AA152" i="11"/>
  <c r="Z152" i="11"/>
  <c r="Y152" i="11"/>
  <c r="X152" i="11"/>
  <c r="W152" i="11"/>
  <c r="V152" i="11"/>
  <c r="U152" i="11"/>
  <c r="T152" i="11"/>
  <c r="S152" i="11"/>
  <c r="R152" i="11"/>
  <c r="Q152" i="11"/>
  <c r="P152" i="11"/>
  <c r="O152" i="11"/>
  <c r="N152" i="11"/>
  <c r="M152" i="11"/>
  <c r="L152" i="11"/>
  <c r="K152" i="11"/>
  <c r="J152" i="11"/>
  <c r="I152" i="11"/>
  <c r="H152" i="11"/>
  <c r="G152" i="11"/>
  <c r="F152" i="11"/>
  <c r="E152" i="11"/>
  <c r="BJ151" i="11"/>
  <c r="AS151" i="11"/>
  <c r="V151" i="11"/>
  <c r="U151" i="11"/>
  <c r="BJ150" i="11"/>
  <c r="BI150" i="11"/>
  <c r="BH150" i="11"/>
  <c r="BG150" i="11"/>
  <c r="BF150" i="11"/>
  <c r="BE150" i="11"/>
  <c r="BD150" i="11"/>
  <c r="BC150" i="11"/>
  <c r="BB150" i="11"/>
  <c r="BA150" i="11"/>
  <c r="AZ150" i="11"/>
  <c r="AY150" i="11"/>
  <c r="AX150" i="11"/>
  <c r="AW150" i="11"/>
  <c r="AQ150" i="11"/>
  <c r="AP150" i="11"/>
  <c r="AN150" i="11"/>
  <c r="AM150" i="11"/>
  <c r="AL150" i="11"/>
  <c r="AK150" i="11"/>
  <c r="AJ150" i="11"/>
  <c r="AI150" i="11"/>
  <c r="AH150" i="11"/>
  <c r="AG150" i="11"/>
  <c r="AF150" i="11"/>
  <c r="AE150" i="11"/>
  <c r="AD150" i="11"/>
  <c r="AC150" i="11"/>
  <c r="AB150" i="11"/>
  <c r="AA150" i="11"/>
  <c r="Z150" i="11"/>
  <c r="Y150" i="11"/>
  <c r="S150" i="11"/>
  <c r="R150" i="11"/>
  <c r="P150" i="11"/>
  <c r="O150" i="11"/>
  <c r="N150" i="11"/>
  <c r="M150" i="11"/>
  <c r="L150" i="11"/>
  <c r="K150" i="11"/>
  <c r="J150" i="11"/>
  <c r="I150" i="11"/>
  <c r="H150" i="11"/>
  <c r="G150" i="11"/>
  <c r="F150" i="11"/>
  <c r="E150" i="11"/>
  <c r="BJ149" i="11"/>
  <c r="BI149" i="11"/>
  <c r="BH149" i="11"/>
  <c r="BG149" i="11"/>
  <c r="BF149" i="11"/>
  <c r="BE149" i="11"/>
  <c r="BD149" i="11"/>
  <c r="BC149" i="11"/>
  <c r="BB149" i="11"/>
  <c r="BA149" i="11"/>
  <c r="AZ149" i="11"/>
  <c r="AY149" i="11"/>
  <c r="AX149" i="11"/>
  <c r="AW149" i="11"/>
  <c r="AV149" i="11"/>
  <c r="AU149" i="11"/>
  <c r="AT149" i="11"/>
  <c r="AS149" i="11"/>
  <c r="AR149" i="11"/>
  <c r="AQ149" i="11"/>
  <c r="AP149" i="11"/>
  <c r="AO149" i="11"/>
  <c r="AN149" i="11"/>
  <c r="AM149" i="11"/>
  <c r="AL149" i="11"/>
  <c r="AK149" i="11"/>
  <c r="AJ149" i="11"/>
  <c r="AI149" i="11"/>
  <c r="AH149" i="11"/>
  <c r="AG149" i="11"/>
  <c r="AF149" i="11"/>
  <c r="AE149" i="11"/>
  <c r="AD149" i="11"/>
  <c r="AC149" i="11"/>
  <c r="AB149" i="11"/>
  <c r="AA149" i="11"/>
  <c r="Z149" i="11"/>
  <c r="Y149" i="11"/>
  <c r="X149" i="11"/>
  <c r="W149" i="11"/>
  <c r="V149" i="11"/>
  <c r="U149" i="11"/>
  <c r="T149" i="11"/>
  <c r="S149" i="11"/>
  <c r="R149" i="11"/>
  <c r="Q149" i="11"/>
  <c r="P149" i="11"/>
  <c r="O149" i="11"/>
  <c r="N149" i="11"/>
  <c r="M149" i="11"/>
  <c r="L149" i="11"/>
  <c r="K149" i="11"/>
  <c r="J149" i="11"/>
  <c r="I149" i="11"/>
  <c r="H149" i="11"/>
  <c r="G149" i="11"/>
  <c r="F149" i="11"/>
  <c r="E149" i="11"/>
  <c r="BJ148" i="11"/>
  <c r="BI148" i="11"/>
  <c r="BH148" i="11"/>
  <c r="BG148" i="11"/>
  <c r="BF148" i="11"/>
  <c r="BE148" i="11"/>
  <c r="BD148" i="11"/>
  <c r="BC148" i="11"/>
  <c r="BB148" i="11"/>
  <c r="BA148" i="11"/>
  <c r="AZ148" i="11"/>
  <c r="AY148" i="11"/>
  <c r="AX148" i="11"/>
  <c r="AW148" i="11"/>
  <c r="AV148" i="11"/>
  <c r="AU148" i="11"/>
  <c r="AT148" i="11"/>
  <c r="AS148" i="11"/>
  <c r="AR148" i="11"/>
  <c r="AQ148" i="11"/>
  <c r="AP148" i="11"/>
  <c r="AO148" i="11"/>
  <c r="AN148" i="11"/>
  <c r="AM148" i="11"/>
  <c r="AL148" i="11"/>
  <c r="AK148" i="11"/>
  <c r="AJ148" i="11"/>
  <c r="AI148" i="11"/>
  <c r="AH148" i="11"/>
  <c r="AG148" i="11"/>
  <c r="AF148" i="11"/>
  <c r="AE148" i="11"/>
  <c r="AD148" i="11"/>
  <c r="AC148" i="11"/>
  <c r="AB148" i="11"/>
  <c r="AA148" i="11"/>
  <c r="Z148" i="11"/>
  <c r="Y148" i="11"/>
  <c r="X148" i="11"/>
  <c r="W148" i="11"/>
  <c r="V148" i="11"/>
  <c r="U148" i="11"/>
  <c r="T148" i="11"/>
  <c r="S148" i="11"/>
  <c r="R148" i="11"/>
  <c r="Q148" i="11"/>
  <c r="P148" i="11"/>
  <c r="O148" i="11"/>
  <c r="N148" i="11"/>
  <c r="M148" i="11"/>
  <c r="L148" i="11"/>
  <c r="K148" i="11"/>
  <c r="J148" i="11"/>
  <c r="I148" i="11"/>
  <c r="H148" i="11"/>
  <c r="G148" i="11"/>
  <c r="F148" i="11"/>
  <c r="E148" i="11"/>
  <c r="BJ147" i="11"/>
  <c r="BI147" i="11"/>
  <c r="BH147" i="11"/>
  <c r="BF147" i="11"/>
  <c r="BE147" i="11"/>
  <c r="BD147" i="11"/>
  <c r="BC147" i="11"/>
  <c r="AV147" i="11"/>
  <c r="AJ147" i="11"/>
  <c r="AH147" i="11"/>
  <c r="AF147" i="11"/>
  <c r="AE147" i="11"/>
  <c r="X147" i="11"/>
  <c r="W147" i="11"/>
  <c r="V147" i="11"/>
  <c r="P147" i="11"/>
  <c r="N147" i="11"/>
  <c r="M147" i="11"/>
  <c r="L147" i="11"/>
  <c r="J147" i="11"/>
  <c r="I147" i="11"/>
  <c r="H147" i="11"/>
  <c r="G147" i="11"/>
  <c r="BJ146" i="11"/>
  <c r="BI146" i="11"/>
  <c r="BH146" i="11"/>
  <c r="BB146" i="11"/>
  <c r="BA146" i="11"/>
  <c r="AY146" i="11"/>
  <c r="AX146" i="11"/>
  <c r="AW146" i="11"/>
  <c r="AV146" i="11"/>
  <c r="AU146" i="11"/>
  <c r="AT146" i="11"/>
  <c r="AS146" i="11"/>
  <c r="AR146" i="11"/>
  <c r="AQ146" i="11"/>
  <c r="AP146" i="11"/>
  <c r="AO146" i="11"/>
  <c r="AN146" i="11"/>
  <c r="AM146" i="11"/>
  <c r="AL146" i="11"/>
  <c r="AK146" i="11"/>
  <c r="AJ146" i="11"/>
  <c r="AD146" i="11"/>
  <c r="AC146" i="11"/>
  <c r="AA146" i="11"/>
  <c r="Z146" i="11"/>
  <c r="Y146" i="11"/>
  <c r="X146" i="11"/>
  <c r="W146" i="11"/>
  <c r="V146" i="11"/>
  <c r="U146" i="11"/>
  <c r="T146" i="11"/>
  <c r="S146" i="11"/>
  <c r="R146" i="11"/>
  <c r="Q146" i="11"/>
  <c r="P146" i="11"/>
  <c r="O146" i="11"/>
  <c r="N146" i="11"/>
  <c r="M146" i="11"/>
  <c r="L146" i="11"/>
  <c r="F146" i="11"/>
  <c r="E146" i="11"/>
  <c r="BJ145" i="11"/>
  <c r="AK145" i="11"/>
  <c r="K145" i="11"/>
  <c r="BJ144" i="11"/>
  <c r="BI144" i="11"/>
  <c r="BH144" i="11"/>
  <c r="BG144" i="11"/>
  <c r="BF144" i="11"/>
  <c r="BE144" i="11"/>
  <c r="BD144" i="11"/>
  <c r="BC144" i="11"/>
  <c r="BB144" i="11"/>
  <c r="BA144" i="11"/>
  <c r="AZ144" i="11"/>
  <c r="AY144" i="11"/>
  <c r="AX144" i="11"/>
  <c r="AW144" i="11"/>
  <c r="AV144" i="11"/>
  <c r="AU144" i="11"/>
  <c r="AT144" i="11"/>
  <c r="AS144" i="11"/>
  <c r="AR144" i="11"/>
  <c r="AQ144" i="11"/>
  <c r="AP144" i="11"/>
  <c r="AO144" i="11"/>
  <c r="AN144" i="11"/>
  <c r="AM144" i="11"/>
  <c r="AL144" i="11"/>
  <c r="AK144" i="11"/>
  <c r="AJ144" i="11"/>
  <c r="AI144" i="11"/>
  <c r="AH144" i="11"/>
  <c r="AG144" i="11"/>
  <c r="AF144" i="11"/>
  <c r="AE144" i="11"/>
  <c r="AD144" i="11"/>
  <c r="AC144" i="11"/>
  <c r="AB144" i="11"/>
  <c r="AA144" i="11"/>
  <c r="Z144" i="11"/>
  <c r="Y144" i="11"/>
  <c r="X144" i="11"/>
  <c r="W144" i="11"/>
  <c r="V144" i="11"/>
  <c r="U144" i="11"/>
  <c r="T144" i="11"/>
  <c r="S144" i="11"/>
  <c r="R144" i="11"/>
  <c r="Q144" i="11"/>
  <c r="P144" i="11"/>
  <c r="O144" i="11"/>
  <c r="N144" i="11"/>
  <c r="M144" i="11"/>
  <c r="L144" i="11"/>
  <c r="K144" i="11"/>
  <c r="J144" i="11"/>
  <c r="I144" i="11"/>
  <c r="H144" i="11"/>
  <c r="G144" i="11"/>
  <c r="F144" i="11"/>
  <c r="E144" i="11"/>
  <c r="BJ143" i="11"/>
  <c r="BI143" i="11"/>
  <c r="BH143" i="11"/>
  <c r="BG143" i="11"/>
  <c r="BF143" i="11"/>
  <c r="BE143" i="11"/>
  <c r="BD143" i="11"/>
  <c r="BC143" i="11"/>
  <c r="BB143" i="11"/>
  <c r="BA143" i="11"/>
  <c r="AZ143" i="11"/>
  <c r="AY143" i="11"/>
  <c r="AX143" i="11"/>
  <c r="AW143" i="11"/>
  <c r="AV143" i="11"/>
  <c r="AU143" i="11"/>
  <c r="AT143" i="11"/>
  <c r="AS143" i="11"/>
  <c r="AR143" i="11"/>
  <c r="AQ143" i="11"/>
  <c r="AP143" i="11"/>
  <c r="AO143" i="11"/>
  <c r="AN143" i="11"/>
  <c r="AM143" i="11"/>
  <c r="AL143" i="11"/>
  <c r="AK143" i="11"/>
  <c r="AJ143" i="11"/>
  <c r="AI143" i="11"/>
  <c r="AH143" i="11"/>
  <c r="AG143" i="11"/>
  <c r="AF143" i="11"/>
  <c r="AE143" i="11"/>
  <c r="AD143" i="11"/>
  <c r="AC143" i="11"/>
  <c r="AB143" i="11"/>
  <c r="AA143" i="11"/>
  <c r="Z143" i="11"/>
  <c r="Y143" i="11"/>
  <c r="X143" i="11"/>
  <c r="W143" i="11"/>
  <c r="V143" i="11"/>
  <c r="U143" i="11"/>
  <c r="T143" i="11"/>
  <c r="S143" i="11"/>
  <c r="R143" i="11"/>
  <c r="Q143" i="11"/>
  <c r="P143" i="11"/>
  <c r="O143" i="11"/>
  <c r="N143" i="11"/>
  <c r="M143" i="11"/>
  <c r="L143" i="11"/>
  <c r="K143" i="11"/>
  <c r="J143" i="11"/>
  <c r="I143" i="11"/>
  <c r="H143" i="11"/>
  <c r="G143" i="11"/>
  <c r="F143" i="11"/>
  <c r="E143" i="11"/>
  <c r="BJ142" i="11"/>
  <c r="BJ141" i="11"/>
  <c r="BI141" i="11"/>
  <c r="BH141" i="11"/>
  <c r="BG141" i="11"/>
  <c r="BF141" i="11"/>
  <c r="BE141" i="11"/>
  <c r="BD141" i="11"/>
  <c r="BC141" i="11"/>
  <c r="BB141" i="11"/>
  <c r="BA141" i="11"/>
  <c r="AZ141" i="11"/>
  <c r="AY141" i="11"/>
  <c r="AX141" i="11"/>
  <c r="AW141" i="11"/>
  <c r="AV141" i="11"/>
  <c r="AU141" i="11"/>
  <c r="AT141" i="11"/>
  <c r="AS141" i="11"/>
  <c r="AR141" i="11"/>
  <c r="AQ141" i="11"/>
  <c r="AP141" i="11"/>
  <c r="AO141" i="11"/>
  <c r="AN141" i="11"/>
  <c r="AM141" i="11"/>
  <c r="AL141" i="11"/>
  <c r="AK141" i="11"/>
  <c r="AJ141" i="11"/>
  <c r="AI141" i="11"/>
  <c r="AH141" i="11"/>
  <c r="AG141" i="11"/>
  <c r="AF141" i="11"/>
  <c r="AE141" i="11"/>
  <c r="AD141" i="11"/>
  <c r="AC141" i="11"/>
  <c r="AB141" i="11"/>
  <c r="AA141" i="11"/>
  <c r="Z141" i="11"/>
  <c r="Y141" i="11"/>
  <c r="X141" i="11"/>
  <c r="W141" i="11"/>
  <c r="V141" i="11"/>
  <c r="U141" i="11"/>
  <c r="T141" i="11"/>
  <c r="S141" i="11"/>
  <c r="R141" i="11"/>
  <c r="Q141" i="11"/>
  <c r="P141" i="11"/>
  <c r="O141" i="11"/>
  <c r="N141" i="11"/>
  <c r="M141" i="11"/>
  <c r="L141" i="11"/>
  <c r="K141" i="11"/>
  <c r="J141" i="11"/>
  <c r="I141" i="11"/>
  <c r="H141" i="11"/>
  <c r="G141" i="11"/>
  <c r="F141" i="11"/>
  <c r="E141" i="11"/>
  <c r="BJ140" i="11"/>
  <c r="BI140" i="11"/>
  <c r="BH140" i="11"/>
  <c r="BG140" i="11"/>
  <c r="BF140" i="11"/>
  <c r="BE140" i="11"/>
  <c r="BD140" i="11"/>
  <c r="BC140" i="11"/>
  <c r="BB140" i="11"/>
  <c r="BA140" i="11"/>
  <c r="AZ140" i="11"/>
  <c r="AY140" i="11"/>
  <c r="AX140" i="11"/>
  <c r="AW140" i="11"/>
  <c r="AV140" i="11"/>
  <c r="AU140" i="11"/>
  <c r="AT140" i="11"/>
  <c r="AS140" i="11"/>
  <c r="AR140" i="11"/>
  <c r="AQ140" i="11"/>
  <c r="AP140" i="11"/>
  <c r="AO140" i="11"/>
  <c r="AN140" i="11"/>
  <c r="AM140" i="11"/>
  <c r="AL140" i="11"/>
  <c r="AK140" i="11"/>
  <c r="AJ140" i="11"/>
  <c r="AI140" i="11"/>
  <c r="AH140" i="11"/>
  <c r="AG140" i="11"/>
  <c r="AF140" i="11"/>
  <c r="AE140" i="11"/>
  <c r="AD140" i="11"/>
  <c r="AC140" i="11"/>
  <c r="AB140" i="11"/>
  <c r="AA140" i="11"/>
  <c r="Z140" i="11"/>
  <c r="Y140" i="11"/>
  <c r="X140" i="11"/>
  <c r="W140" i="11"/>
  <c r="V140" i="11"/>
  <c r="U140" i="11"/>
  <c r="T140" i="11"/>
  <c r="S140" i="11"/>
  <c r="R140" i="11"/>
  <c r="Q140" i="11"/>
  <c r="P140" i="11"/>
  <c r="O140" i="11"/>
  <c r="N140" i="11"/>
  <c r="M140" i="11"/>
  <c r="L140" i="11"/>
  <c r="K140" i="11"/>
  <c r="J140" i="11"/>
  <c r="I140" i="11"/>
  <c r="H140" i="11"/>
  <c r="G140" i="11"/>
  <c r="F140" i="11"/>
  <c r="E140" i="11"/>
  <c r="BJ139" i="11"/>
  <c r="BH139" i="11"/>
  <c r="BG139" i="11"/>
  <c r="BE139" i="11"/>
  <c r="BD139" i="11"/>
  <c r="BC139" i="11"/>
  <c r="BB139" i="11"/>
  <c r="BA139" i="11"/>
  <c r="AZ139" i="11"/>
  <c r="AY139" i="11"/>
  <c r="AX139" i="11"/>
  <c r="AW139" i="11"/>
  <c r="AV139" i="11"/>
  <c r="AU139" i="11"/>
  <c r="AT139" i="11"/>
  <c r="AS139" i="11"/>
  <c r="AR139" i="11"/>
  <c r="AQ139" i="11"/>
  <c r="AP139" i="11"/>
  <c r="AO139" i="11"/>
  <c r="AJ139" i="11"/>
  <c r="AI139" i="11"/>
  <c r="AG139" i="11"/>
  <c r="AF139" i="11"/>
  <c r="AE139" i="11"/>
  <c r="AD139" i="11"/>
  <c r="AC139" i="11"/>
  <c r="AB139" i="11"/>
  <c r="AA139" i="11"/>
  <c r="Z139" i="11"/>
  <c r="Y139" i="11"/>
  <c r="X139" i="11"/>
  <c r="W139" i="11"/>
  <c r="V139" i="11"/>
  <c r="U139" i="11"/>
  <c r="T139" i="11"/>
  <c r="S139" i="11"/>
  <c r="R139" i="11"/>
  <c r="Q139" i="11"/>
  <c r="L139" i="11"/>
  <c r="K139" i="11"/>
  <c r="I139" i="11"/>
  <c r="H139" i="11"/>
  <c r="G139" i="11"/>
  <c r="F139" i="11"/>
  <c r="E139" i="11"/>
  <c r="BJ138" i="11"/>
  <c r="BI138" i="11"/>
  <c r="BH138" i="11"/>
  <c r="BG138" i="11"/>
  <c r="BF138" i="11"/>
  <c r="BE138" i="11"/>
  <c r="BD138" i="11"/>
  <c r="BC138" i="11"/>
  <c r="BB138" i="11"/>
  <c r="BA138" i="11"/>
  <c r="AZ138" i="11"/>
  <c r="AY138" i="11"/>
  <c r="AX138" i="11"/>
  <c r="AW138" i="11"/>
  <c r="AV138" i="11"/>
  <c r="AU138" i="11"/>
  <c r="AT138" i="11"/>
  <c r="AS138" i="11"/>
  <c r="AR138" i="11"/>
  <c r="AQ138" i="11"/>
  <c r="AP138" i="11"/>
  <c r="AO138" i="11"/>
  <c r="AN138" i="11"/>
  <c r="AM138" i="11"/>
  <c r="AL138" i="11"/>
  <c r="AK138" i="11"/>
  <c r="AJ138" i="11"/>
  <c r="AI138" i="11"/>
  <c r="AH138" i="11"/>
  <c r="AG138" i="11"/>
  <c r="AF138" i="11"/>
  <c r="AE138" i="11"/>
  <c r="AD138" i="11"/>
  <c r="AC138" i="11"/>
  <c r="AB138" i="11"/>
  <c r="AA138" i="11"/>
  <c r="Z138" i="11"/>
  <c r="Y138" i="11"/>
  <c r="X138" i="11"/>
  <c r="W138" i="11"/>
  <c r="V138" i="11"/>
  <c r="U138" i="11"/>
  <c r="T138" i="11"/>
  <c r="S138" i="11"/>
  <c r="R138" i="11"/>
  <c r="Q138" i="11"/>
  <c r="P138" i="11"/>
  <c r="O138" i="11"/>
  <c r="N138" i="11"/>
  <c r="M138" i="11"/>
  <c r="L138" i="11"/>
  <c r="K138" i="11"/>
  <c r="J138" i="11"/>
  <c r="I138" i="11"/>
  <c r="H138" i="11"/>
  <c r="G138" i="11"/>
  <c r="F138" i="11"/>
  <c r="E138" i="11"/>
  <c r="BJ137" i="11"/>
  <c r="BI137" i="11"/>
  <c r="BH137" i="11"/>
  <c r="BG137" i="11"/>
  <c r="BF137" i="11"/>
  <c r="BE137" i="11"/>
  <c r="BD137" i="11"/>
  <c r="BC137" i="11"/>
  <c r="BB137" i="11"/>
  <c r="BA137" i="11"/>
  <c r="AZ137" i="11"/>
  <c r="AY137" i="11"/>
  <c r="AX137" i="11"/>
  <c r="AW137" i="11"/>
  <c r="AV137" i="11"/>
  <c r="AU137" i="11"/>
  <c r="AT137" i="11"/>
  <c r="AS137" i="11"/>
  <c r="AR137" i="11"/>
  <c r="AQ137" i="11"/>
  <c r="AP137" i="11"/>
  <c r="AO137" i="11"/>
  <c r="AN137" i="11"/>
  <c r="AM137" i="11"/>
  <c r="AL137" i="11"/>
  <c r="AK137" i="11"/>
  <c r="AJ137" i="11"/>
  <c r="AI137" i="11"/>
  <c r="AH137" i="11"/>
  <c r="AG137" i="11"/>
  <c r="AF137" i="11"/>
  <c r="AE137" i="11"/>
  <c r="AD137" i="11"/>
  <c r="AC137" i="11"/>
  <c r="AB137" i="11"/>
  <c r="AA137" i="11"/>
  <c r="Z137" i="11"/>
  <c r="Y137" i="11"/>
  <c r="X137" i="11"/>
  <c r="W137" i="11"/>
  <c r="V137" i="11"/>
  <c r="U137" i="11"/>
  <c r="T137" i="11"/>
  <c r="S137" i="11"/>
  <c r="R137" i="11"/>
  <c r="Q137" i="11"/>
  <c r="P137" i="11"/>
  <c r="O137" i="11"/>
  <c r="N137" i="11"/>
  <c r="M137" i="11"/>
  <c r="L137" i="11"/>
  <c r="K137" i="11"/>
  <c r="J137" i="11"/>
  <c r="I137" i="11"/>
  <c r="H137" i="11"/>
  <c r="G137" i="11"/>
  <c r="F137" i="11"/>
  <c r="E137" i="11"/>
  <c r="BJ136" i="11"/>
  <c r="BI136" i="11"/>
  <c r="BH136" i="11"/>
  <c r="BG136" i="11"/>
  <c r="BF136" i="11"/>
  <c r="BE136" i="11"/>
  <c r="BD136" i="11"/>
  <c r="BC136" i="11"/>
  <c r="BB136" i="11"/>
  <c r="BA136" i="11"/>
  <c r="AZ136" i="11"/>
  <c r="AY136" i="11"/>
  <c r="AX136" i="11"/>
  <c r="AW136" i="11"/>
  <c r="AV136" i="11"/>
  <c r="AU136" i="11"/>
  <c r="AT136" i="11"/>
  <c r="AS136" i="11"/>
  <c r="AR136" i="11"/>
  <c r="AQ136" i="11"/>
  <c r="AP136" i="11"/>
  <c r="AO136" i="11"/>
  <c r="AN136" i="11"/>
  <c r="AM136" i="11"/>
  <c r="AL136" i="11"/>
  <c r="AK136" i="11"/>
  <c r="AJ136" i="11"/>
  <c r="AI136" i="11"/>
  <c r="AH136" i="11"/>
  <c r="AG136" i="11"/>
  <c r="AF136" i="11"/>
  <c r="AE136" i="11"/>
  <c r="AD136" i="11"/>
  <c r="AC136" i="11"/>
  <c r="AB136" i="11"/>
  <c r="AA136" i="11"/>
  <c r="Z136" i="11"/>
  <c r="Y136" i="11"/>
  <c r="X136" i="11"/>
  <c r="W136" i="11"/>
  <c r="V136" i="11"/>
  <c r="U136" i="11"/>
  <c r="T136" i="11"/>
  <c r="S136" i="11"/>
  <c r="R136" i="11"/>
  <c r="Q136" i="11"/>
  <c r="P136" i="11"/>
  <c r="O136" i="11"/>
  <c r="N136" i="11"/>
  <c r="M136" i="11"/>
  <c r="L136" i="11"/>
  <c r="K136" i="11"/>
  <c r="J136" i="11"/>
  <c r="I136" i="11"/>
  <c r="H136" i="11"/>
  <c r="G136" i="11"/>
  <c r="F136" i="11"/>
  <c r="E136" i="11"/>
  <c r="BJ135" i="11"/>
  <c r="BI135" i="11"/>
  <c r="BH135" i="11"/>
  <c r="BG135" i="11"/>
  <c r="BF135" i="11"/>
  <c r="BE135" i="11"/>
  <c r="BD135" i="11"/>
  <c r="BC135" i="11"/>
  <c r="BB135" i="11"/>
  <c r="BA135" i="11"/>
  <c r="AZ135" i="11"/>
  <c r="AY135" i="11"/>
  <c r="AX135" i="11"/>
  <c r="AW135" i="11"/>
  <c r="AV135" i="11"/>
  <c r="AU135" i="11"/>
  <c r="AT135" i="11"/>
  <c r="AS135" i="11"/>
  <c r="AR135" i="11"/>
  <c r="AQ135" i="11"/>
  <c r="AP135" i="11"/>
  <c r="AO135" i="11"/>
  <c r="AN135" i="11"/>
  <c r="AM135" i="11"/>
  <c r="AL135" i="11"/>
  <c r="AK135" i="11"/>
  <c r="AJ135" i="11"/>
  <c r="AI135" i="11"/>
  <c r="AH135" i="11"/>
  <c r="AG135" i="11"/>
  <c r="AF135" i="11"/>
  <c r="AE135" i="11"/>
  <c r="AD135" i="11"/>
  <c r="AC135" i="11"/>
  <c r="AB135" i="11"/>
  <c r="AA135" i="11"/>
  <c r="Z135" i="11"/>
  <c r="Y135" i="11"/>
  <c r="X135" i="11"/>
  <c r="W135" i="11"/>
  <c r="V135" i="11"/>
  <c r="U135" i="11"/>
  <c r="T135" i="11"/>
  <c r="S135" i="11"/>
  <c r="R135" i="11"/>
  <c r="Q135" i="11"/>
  <c r="P135" i="11"/>
  <c r="O135" i="11"/>
  <c r="N135" i="11"/>
  <c r="M135" i="11"/>
  <c r="L135" i="11"/>
  <c r="K135" i="11"/>
  <c r="J135" i="11"/>
  <c r="I135" i="11"/>
  <c r="H135" i="11"/>
  <c r="G135" i="11"/>
  <c r="F135" i="11"/>
  <c r="E135" i="11"/>
  <c r="BJ134" i="11"/>
  <c r="BI134" i="11"/>
  <c r="BH134" i="11"/>
  <c r="BG134" i="11"/>
  <c r="BF134" i="11"/>
  <c r="BE134" i="11"/>
  <c r="BD134" i="11"/>
  <c r="BC134" i="11"/>
  <c r="BB134" i="11"/>
  <c r="BA134" i="11"/>
  <c r="AZ134" i="11"/>
  <c r="AY134" i="11"/>
  <c r="AX134" i="11"/>
  <c r="AW134" i="11"/>
  <c r="AV134" i="11"/>
  <c r="AU134" i="11"/>
  <c r="AT134" i="11"/>
  <c r="AS134" i="11"/>
  <c r="AR134" i="11"/>
  <c r="AQ134" i="11"/>
  <c r="AP134" i="11"/>
  <c r="AO134" i="11"/>
  <c r="AN134" i="11"/>
  <c r="AM134" i="11"/>
  <c r="AL134" i="11"/>
  <c r="AK134" i="11"/>
  <c r="AJ134" i="11"/>
  <c r="AI134" i="11"/>
  <c r="AH134" i="11"/>
  <c r="AG134" i="11"/>
  <c r="AF134" i="11"/>
  <c r="AE134" i="11"/>
  <c r="AD134" i="11"/>
  <c r="AC134" i="11"/>
  <c r="AB134" i="11"/>
  <c r="AA134" i="11"/>
  <c r="Z134" i="11"/>
  <c r="Y134" i="11"/>
  <c r="X134" i="11"/>
  <c r="W134" i="11"/>
  <c r="V134" i="11"/>
  <c r="U134" i="11"/>
  <c r="T134" i="11"/>
  <c r="S134" i="11"/>
  <c r="R134" i="11"/>
  <c r="Q134" i="11"/>
  <c r="P134" i="11"/>
  <c r="O134" i="11"/>
  <c r="N134" i="11"/>
  <c r="M134" i="11"/>
  <c r="L134" i="11"/>
  <c r="K134" i="11"/>
  <c r="J134" i="11"/>
  <c r="I134" i="11"/>
  <c r="H134" i="11"/>
  <c r="G134" i="11"/>
  <c r="F134" i="11"/>
  <c r="E134" i="11"/>
  <c r="BJ133" i="11"/>
  <c r="AV133" i="11"/>
  <c r="AA133" i="11"/>
  <c r="J133" i="11"/>
  <c r="BJ132" i="11"/>
  <c r="BI132" i="11"/>
  <c r="BH132" i="11"/>
  <c r="BG132" i="11"/>
  <c r="BF132" i="11"/>
  <c r="BE132" i="11"/>
  <c r="BD132" i="11"/>
  <c r="BC132" i="11"/>
  <c r="BB132" i="11"/>
  <c r="BA132" i="11"/>
  <c r="AZ132" i="11"/>
  <c r="AY132" i="11"/>
  <c r="AX132" i="11"/>
  <c r="AW132" i="11"/>
  <c r="AV132" i="11"/>
  <c r="AU132" i="11"/>
  <c r="AT132" i="11"/>
  <c r="AS132" i="11"/>
  <c r="AR132" i="11"/>
  <c r="AQ132" i="11"/>
  <c r="AP132" i="11"/>
  <c r="AO132" i="11"/>
  <c r="AN132" i="11"/>
  <c r="AM132" i="11"/>
  <c r="AL132" i="11"/>
  <c r="AK132" i="11"/>
  <c r="AJ132" i="11"/>
  <c r="AI132" i="11"/>
  <c r="AH132" i="11"/>
  <c r="AG132" i="11"/>
  <c r="AF132" i="11"/>
  <c r="AE132" i="11"/>
  <c r="AD132" i="11"/>
  <c r="AC132" i="11"/>
  <c r="AB132" i="11"/>
  <c r="AA132" i="11"/>
  <c r="Z132" i="11"/>
  <c r="Y132" i="11"/>
  <c r="X132" i="11"/>
  <c r="W132" i="11"/>
  <c r="V132" i="11"/>
  <c r="U132" i="11"/>
  <c r="T132" i="11"/>
  <c r="S132" i="11"/>
  <c r="R132" i="11"/>
  <c r="Q132" i="11"/>
  <c r="P132" i="11"/>
  <c r="O132" i="11"/>
  <c r="N132" i="11"/>
  <c r="M132" i="11"/>
  <c r="L132" i="11"/>
  <c r="K132" i="11"/>
  <c r="J132" i="11"/>
  <c r="I132" i="11"/>
  <c r="H132" i="11"/>
  <c r="G132" i="11"/>
  <c r="F132" i="11"/>
  <c r="E132" i="11"/>
  <c r="BJ131" i="11"/>
  <c r="BD131" i="11"/>
  <c r="H131" i="11"/>
  <c r="BJ130" i="11"/>
  <c r="BI130" i="11"/>
  <c r="BH130" i="11"/>
  <c r="BG130" i="11"/>
  <c r="BF130" i="11"/>
  <c r="BE130" i="11"/>
  <c r="BD130" i="11"/>
  <c r="BC130" i="11"/>
  <c r="BB130" i="11"/>
  <c r="BA130" i="11"/>
  <c r="AZ130" i="11"/>
  <c r="AY130" i="11"/>
  <c r="AX130" i="11"/>
  <c r="AW130" i="11"/>
  <c r="AV130" i="11"/>
  <c r="AU130" i="11"/>
  <c r="AT130" i="11"/>
  <c r="AS130" i="11"/>
  <c r="AR130" i="11"/>
  <c r="AQ130" i="11"/>
  <c r="AP130" i="11"/>
  <c r="AO130" i="11"/>
  <c r="AN130" i="11"/>
  <c r="AM130" i="11"/>
  <c r="AL130" i="11"/>
  <c r="AK130" i="11"/>
  <c r="AJ130" i="11"/>
  <c r="AI130" i="11"/>
  <c r="AH130" i="11"/>
  <c r="AG130" i="11"/>
  <c r="AF130" i="11"/>
  <c r="AE130" i="11"/>
  <c r="AD130" i="11"/>
  <c r="AC130" i="11"/>
  <c r="AB130" i="11"/>
  <c r="AA130" i="11"/>
  <c r="Z130" i="11"/>
  <c r="Y130" i="11"/>
  <c r="X130" i="11"/>
  <c r="W130" i="11"/>
  <c r="V130" i="11"/>
  <c r="U130" i="11"/>
  <c r="T130" i="11"/>
  <c r="S130" i="11"/>
  <c r="R130" i="11"/>
  <c r="Q130" i="11"/>
  <c r="P130" i="11"/>
  <c r="O130" i="11"/>
  <c r="N130" i="11"/>
  <c r="M130" i="11"/>
  <c r="L130" i="11"/>
  <c r="K130" i="11"/>
  <c r="J130" i="11"/>
  <c r="I130" i="11"/>
  <c r="H130" i="11"/>
  <c r="G130" i="11"/>
  <c r="F130" i="11"/>
  <c r="E130" i="11"/>
  <c r="BJ129" i="11"/>
  <c r="BI129" i="11"/>
  <c r="BH129" i="11"/>
  <c r="BG129" i="11"/>
  <c r="BF129" i="11"/>
  <c r="BE129" i="11"/>
  <c r="BD129" i="11"/>
  <c r="BC129" i="11"/>
  <c r="BB129" i="11"/>
  <c r="BA129" i="11"/>
  <c r="AZ129" i="11"/>
  <c r="AY129" i="11"/>
  <c r="AX129" i="11"/>
  <c r="AW129" i="11"/>
  <c r="AV129" i="11"/>
  <c r="AU129" i="11"/>
  <c r="AT129" i="11"/>
  <c r="AS129" i="11"/>
  <c r="AR129" i="11"/>
  <c r="AQ129" i="11"/>
  <c r="AP129" i="11"/>
  <c r="AO129" i="11"/>
  <c r="AN129" i="11"/>
  <c r="AM129" i="11"/>
  <c r="AL129" i="11"/>
  <c r="AK129" i="11"/>
  <c r="AJ129" i="11"/>
  <c r="AI129" i="11"/>
  <c r="AH129" i="11"/>
  <c r="AG129" i="11"/>
  <c r="AF129" i="11"/>
  <c r="AE129" i="11"/>
  <c r="AD129" i="11"/>
  <c r="AC129" i="11"/>
  <c r="AB129" i="11"/>
  <c r="AA129" i="11"/>
  <c r="Z129" i="11"/>
  <c r="Y129" i="11"/>
  <c r="X129" i="11"/>
  <c r="W129" i="11"/>
  <c r="V129" i="11"/>
  <c r="U129" i="11"/>
  <c r="T129" i="11"/>
  <c r="S129" i="11"/>
  <c r="R129" i="11"/>
  <c r="Q129" i="11"/>
  <c r="P129" i="11"/>
  <c r="O129" i="11"/>
  <c r="N129" i="11"/>
  <c r="M129" i="11"/>
  <c r="L129" i="11"/>
  <c r="K129" i="11"/>
  <c r="J129" i="11"/>
  <c r="I129" i="11"/>
  <c r="H129" i="11"/>
  <c r="G129" i="11"/>
  <c r="F129" i="11"/>
  <c r="E129" i="11"/>
  <c r="BJ128" i="11"/>
  <c r="BI128" i="11"/>
  <c r="BH128" i="11"/>
  <c r="BG128" i="11"/>
  <c r="BF128" i="11"/>
  <c r="BE128" i="11"/>
  <c r="BD128" i="11"/>
  <c r="BC128" i="11"/>
  <c r="BB128" i="11"/>
  <c r="BA128" i="11"/>
  <c r="AZ128" i="11"/>
  <c r="AY128" i="11"/>
  <c r="AX128" i="11"/>
  <c r="AW128" i="11"/>
  <c r="AV128" i="11"/>
  <c r="AU128" i="11"/>
  <c r="AT128" i="11"/>
  <c r="AS128" i="11"/>
  <c r="AR128" i="11"/>
  <c r="AQ128" i="11"/>
  <c r="AP128" i="11"/>
  <c r="AO128" i="11"/>
  <c r="AN128" i="11"/>
  <c r="AM128" i="11"/>
  <c r="AL128" i="11"/>
  <c r="AK128" i="11"/>
  <c r="AJ128" i="11"/>
  <c r="AI128" i="11"/>
  <c r="AH128" i="11"/>
  <c r="AG128" i="11"/>
  <c r="AF128" i="11"/>
  <c r="AE128" i="11"/>
  <c r="AD128" i="11"/>
  <c r="AC128" i="11"/>
  <c r="AB128" i="11"/>
  <c r="AA128" i="11"/>
  <c r="Z128" i="11"/>
  <c r="Y128" i="11"/>
  <c r="X128" i="11"/>
  <c r="W128" i="11"/>
  <c r="V128" i="11"/>
  <c r="U128" i="11"/>
  <c r="T128" i="11"/>
  <c r="S128" i="11"/>
  <c r="R128" i="11"/>
  <c r="Q128" i="11"/>
  <c r="P128" i="11"/>
  <c r="O128" i="11"/>
  <c r="N128" i="11"/>
  <c r="M128" i="11"/>
  <c r="L128" i="11"/>
  <c r="K128" i="11"/>
  <c r="J128" i="11"/>
  <c r="I128" i="11"/>
  <c r="H128" i="11"/>
  <c r="G128" i="11"/>
  <c r="F128" i="11"/>
  <c r="E128" i="11"/>
  <c r="BJ127" i="11"/>
  <c r="AU127" i="11"/>
  <c r="W127" i="11"/>
  <c r="BJ126" i="11"/>
  <c r="BI126" i="11"/>
  <c r="BH126" i="11"/>
  <c r="BG126" i="11"/>
  <c r="BF126" i="11"/>
  <c r="BE126" i="11"/>
  <c r="BD126" i="11"/>
  <c r="BC126" i="11"/>
  <c r="BB126" i="11"/>
  <c r="BA126" i="11"/>
  <c r="AZ126" i="11"/>
  <c r="AY126" i="11"/>
  <c r="AX126" i="11"/>
  <c r="AW126" i="11"/>
  <c r="AV126" i="11"/>
  <c r="AU126" i="11"/>
  <c r="AT126" i="11"/>
  <c r="AS126" i="11"/>
  <c r="AR126" i="11"/>
  <c r="AQ126" i="11"/>
  <c r="AP126" i="11"/>
  <c r="AO126" i="11"/>
  <c r="AN126" i="11"/>
  <c r="AM126" i="11"/>
  <c r="AL126" i="11"/>
  <c r="AK126" i="11"/>
  <c r="AJ126" i="11"/>
  <c r="AI126" i="11"/>
  <c r="AH126" i="11"/>
  <c r="AG126" i="11"/>
  <c r="AF126" i="11"/>
  <c r="AE126" i="11"/>
  <c r="AD126" i="11"/>
  <c r="AC126" i="11"/>
  <c r="AB126" i="11"/>
  <c r="AA126" i="11"/>
  <c r="Z126" i="11"/>
  <c r="Y126" i="11"/>
  <c r="X126" i="11"/>
  <c r="W126" i="11"/>
  <c r="V126" i="11"/>
  <c r="U126" i="11"/>
  <c r="T126" i="11"/>
  <c r="S126" i="11"/>
  <c r="R126" i="11"/>
  <c r="Q126" i="11"/>
  <c r="P126" i="11"/>
  <c r="O126" i="11"/>
  <c r="N126" i="11"/>
  <c r="M126" i="11"/>
  <c r="L126" i="11"/>
  <c r="K126" i="11"/>
  <c r="J126" i="11"/>
  <c r="I126" i="11"/>
  <c r="H126" i="11"/>
  <c r="G126" i="11"/>
  <c r="F126" i="11"/>
  <c r="E126" i="11"/>
  <c r="BJ125" i="11"/>
  <c r="BC125" i="11"/>
  <c r="AR125" i="11"/>
  <c r="X125" i="11"/>
  <c r="V125" i="11"/>
  <c r="J125" i="11"/>
  <c r="BJ124" i="11"/>
  <c r="BI124" i="11"/>
  <c r="BH124" i="11"/>
  <c r="BG124" i="11"/>
  <c r="BF124" i="11"/>
  <c r="BE124" i="11"/>
  <c r="BD124" i="11"/>
  <c r="BC124" i="11"/>
  <c r="BB124" i="11"/>
  <c r="BA124" i="11"/>
  <c r="AZ124" i="11"/>
  <c r="AY124" i="11"/>
  <c r="AX124" i="11"/>
  <c r="AW124" i="11"/>
  <c r="AV124" i="11"/>
  <c r="AU124" i="11"/>
  <c r="AT124" i="11"/>
  <c r="AS124" i="11"/>
  <c r="AR124" i="11"/>
  <c r="AQ124" i="11"/>
  <c r="AP124" i="11"/>
  <c r="AO124" i="11"/>
  <c r="AN124" i="11"/>
  <c r="AM124" i="11"/>
  <c r="AL124" i="11"/>
  <c r="AK124" i="11"/>
  <c r="AJ124" i="11"/>
  <c r="AI124" i="11"/>
  <c r="AH124" i="11"/>
  <c r="AG124" i="11"/>
  <c r="AF124" i="11"/>
  <c r="AE124" i="11"/>
  <c r="AD124" i="11"/>
  <c r="AC124" i="11"/>
  <c r="AB124" i="11"/>
  <c r="AA124" i="11"/>
  <c r="Z124" i="11"/>
  <c r="Y124" i="11"/>
  <c r="X124" i="11"/>
  <c r="W124" i="11"/>
  <c r="V124" i="11"/>
  <c r="U124" i="11"/>
  <c r="T124" i="11"/>
  <c r="S124" i="11"/>
  <c r="R124" i="11"/>
  <c r="Q124" i="11"/>
  <c r="P124" i="11"/>
  <c r="O124" i="11"/>
  <c r="N124" i="11"/>
  <c r="M124" i="11"/>
  <c r="L124" i="11"/>
  <c r="K124" i="11"/>
  <c r="J124" i="11"/>
  <c r="I124" i="11"/>
  <c r="H124" i="11"/>
  <c r="G124" i="11"/>
  <c r="F124" i="11"/>
  <c r="E124" i="11"/>
  <c r="BJ123" i="11"/>
  <c r="BI123" i="11"/>
  <c r="BH123" i="11"/>
  <c r="BG123" i="11"/>
  <c r="BF123" i="11"/>
  <c r="BE123" i="11"/>
  <c r="BD123" i="11"/>
  <c r="BC123" i="11"/>
  <c r="BB123" i="11"/>
  <c r="BA123" i="11"/>
  <c r="AZ123" i="11"/>
  <c r="AY123" i="11"/>
  <c r="AX123" i="11"/>
  <c r="AW123" i="11"/>
  <c r="AV123" i="11"/>
  <c r="AU123" i="11"/>
  <c r="AT123" i="11"/>
  <c r="AS123" i="11"/>
  <c r="AR123" i="11"/>
  <c r="AQ123" i="11"/>
  <c r="AP123" i="11"/>
  <c r="AO123" i="11"/>
  <c r="AN123" i="11"/>
  <c r="AM123" i="11"/>
  <c r="AL123" i="11"/>
  <c r="AK123" i="11"/>
  <c r="AJ123" i="11"/>
  <c r="AI123" i="11"/>
  <c r="AH123" i="11"/>
  <c r="AG123" i="11"/>
  <c r="AF123" i="11"/>
  <c r="AE123" i="11"/>
  <c r="AD123" i="11"/>
  <c r="AC123" i="11"/>
  <c r="AB123" i="11"/>
  <c r="AA123" i="11"/>
  <c r="Z123" i="11"/>
  <c r="Y123" i="11"/>
  <c r="X123" i="11"/>
  <c r="W123" i="11"/>
  <c r="V123" i="11"/>
  <c r="U123" i="11"/>
  <c r="T123" i="11"/>
  <c r="S123" i="11"/>
  <c r="R123" i="11"/>
  <c r="Q123" i="11"/>
  <c r="P123" i="11"/>
  <c r="O123" i="11"/>
  <c r="N123" i="11"/>
  <c r="M123" i="11"/>
  <c r="L123" i="11"/>
  <c r="K123" i="11"/>
  <c r="J123" i="11"/>
  <c r="I123" i="11"/>
  <c r="H123" i="11"/>
  <c r="G123" i="11"/>
  <c r="F123" i="11"/>
  <c r="E123" i="11"/>
  <c r="BJ122" i="11"/>
  <c r="AP122" i="11"/>
  <c r="AO122" i="11"/>
  <c r="R122" i="11"/>
  <c r="BJ121" i="11"/>
  <c r="AA121" i="11"/>
  <c r="X121" i="11"/>
  <c r="BJ120" i="11"/>
  <c r="BI120" i="11"/>
  <c r="BH120" i="11"/>
  <c r="BG120" i="11"/>
  <c r="BF120" i="11"/>
  <c r="BE120" i="11"/>
  <c r="BD120" i="11"/>
  <c r="BC120" i="11"/>
  <c r="BB120" i="11"/>
  <c r="BA120" i="11"/>
  <c r="AZ120" i="11"/>
  <c r="AY120" i="11"/>
  <c r="AT120" i="11"/>
  <c r="AS120" i="11"/>
  <c r="AQ120" i="11"/>
  <c r="AP120" i="11"/>
  <c r="AO120" i="11"/>
  <c r="AN120" i="11"/>
  <c r="AM120" i="11"/>
  <c r="AL120" i="11"/>
  <c r="AK120" i="11"/>
  <c r="AJ120" i="11"/>
  <c r="AI120" i="11"/>
  <c r="AH120" i="11"/>
  <c r="AG120" i="11"/>
  <c r="AF120" i="11"/>
  <c r="AE120" i="11"/>
  <c r="AD120" i="11"/>
  <c r="AC120" i="11"/>
  <c r="AB120" i="11"/>
  <c r="AA120" i="11"/>
  <c r="V120" i="11"/>
  <c r="U120" i="11"/>
  <c r="S120" i="11"/>
  <c r="R120" i="11"/>
  <c r="Q120" i="11"/>
  <c r="P120" i="11"/>
  <c r="O120" i="11"/>
  <c r="N120" i="11"/>
  <c r="M120" i="11"/>
  <c r="L120" i="11"/>
  <c r="K120" i="11"/>
  <c r="J120" i="11"/>
  <c r="I120" i="11"/>
  <c r="H120" i="11"/>
  <c r="G120" i="11"/>
  <c r="F120" i="11"/>
  <c r="E120" i="11"/>
  <c r="BJ119" i="11"/>
  <c r="BI119" i="11"/>
  <c r="BH119" i="11"/>
  <c r="BG119" i="11"/>
  <c r="BF119" i="11"/>
  <c r="BE119" i="11"/>
  <c r="BD119" i="11"/>
  <c r="BC119" i="11"/>
  <c r="BB119" i="11"/>
  <c r="BA119" i="11"/>
  <c r="AZ119" i="11"/>
  <c r="AY119" i="11"/>
  <c r="AX119" i="11"/>
  <c r="AW119" i="11"/>
  <c r="AV119" i="11"/>
  <c r="AU119" i="11"/>
  <c r="AT119" i="11"/>
  <c r="AS119" i="11"/>
  <c r="AR119" i="11"/>
  <c r="AQ119" i="11"/>
  <c r="AP119" i="11"/>
  <c r="AO119" i="11"/>
  <c r="AN119" i="11"/>
  <c r="AM119" i="11"/>
  <c r="AL119" i="11"/>
  <c r="AK119" i="11"/>
  <c r="AJ119" i="11"/>
  <c r="AI119" i="11"/>
  <c r="AH119" i="11"/>
  <c r="AG119" i="11"/>
  <c r="AF119" i="11"/>
  <c r="AE119" i="11"/>
  <c r="AD119" i="11"/>
  <c r="AC119" i="11"/>
  <c r="AB119" i="11"/>
  <c r="AA119" i="11"/>
  <c r="Z119" i="11"/>
  <c r="Y119" i="11"/>
  <c r="X119" i="11"/>
  <c r="W119" i="11"/>
  <c r="V119" i="11"/>
  <c r="U119" i="11"/>
  <c r="T119" i="11"/>
  <c r="S119" i="11"/>
  <c r="R119" i="11"/>
  <c r="Q119" i="11"/>
  <c r="P119" i="11"/>
  <c r="O119" i="11"/>
  <c r="N119" i="11"/>
  <c r="M119" i="11"/>
  <c r="L119" i="11"/>
  <c r="K119" i="11"/>
  <c r="J119" i="11"/>
  <c r="I119" i="11"/>
  <c r="H119" i="11"/>
  <c r="G119" i="11"/>
  <c r="F119" i="11"/>
  <c r="E119" i="11"/>
  <c r="BJ118" i="11"/>
  <c r="BI118" i="11"/>
  <c r="BH118" i="11"/>
  <c r="BG118" i="11"/>
  <c r="BF118" i="11"/>
  <c r="BE118" i="11"/>
  <c r="BD118" i="11"/>
  <c r="BC118" i="11"/>
  <c r="BB118" i="11"/>
  <c r="BA118" i="11"/>
  <c r="AZ118" i="11"/>
  <c r="AY118" i="11"/>
  <c r="AX118" i="11"/>
  <c r="AW118" i="11"/>
  <c r="AV118" i="11"/>
  <c r="AU118" i="11"/>
  <c r="AT118" i="11"/>
  <c r="AS118" i="11"/>
  <c r="AR118" i="11"/>
  <c r="AQ118" i="11"/>
  <c r="AP118" i="11"/>
  <c r="AO118" i="11"/>
  <c r="AN118" i="11"/>
  <c r="AM118" i="11"/>
  <c r="AL118" i="11"/>
  <c r="AK118" i="11"/>
  <c r="AJ118" i="11"/>
  <c r="AI118" i="11"/>
  <c r="AH118" i="11"/>
  <c r="AG118" i="11"/>
  <c r="AF118" i="11"/>
  <c r="AE118" i="11"/>
  <c r="AD118" i="11"/>
  <c r="AC118" i="11"/>
  <c r="AB118" i="11"/>
  <c r="AA118" i="11"/>
  <c r="Z118" i="11"/>
  <c r="Y118" i="11"/>
  <c r="X118" i="11"/>
  <c r="W118" i="11"/>
  <c r="V118" i="11"/>
  <c r="U118" i="11"/>
  <c r="T118" i="11"/>
  <c r="S118" i="11"/>
  <c r="R118" i="11"/>
  <c r="Q118" i="11"/>
  <c r="P118" i="11"/>
  <c r="O118" i="11"/>
  <c r="N118" i="11"/>
  <c r="M118" i="11"/>
  <c r="L118" i="11"/>
  <c r="K118" i="11"/>
  <c r="J118" i="11"/>
  <c r="I118" i="11"/>
  <c r="H118" i="11"/>
  <c r="G118" i="11"/>
  <c r="F118" i="11"/>
  <c r="E118" i="11"/>
  <c r="BJ117" i="11"/>
  <c r="BH117" i="11"/>
  <c r="AK117" i="11"/>
  <c r="AJ117" i="11"/>
  <c r="M117" i="11"/>
  <c r="L117" i="11"/>
  <c r="BJ116" i="11"/>
  <c r="BH116" i="11"/>
  <c r="BG116" i="11"/>
  <c r="BD116" i="11"/>
  <c r="BC116" i="11"/>
  <c r="BA116" i="11"/>
  <c r="AY116" i="11"/>
  <c r="AV116" i="11"/>
  <c r="AU116" i="11"/>
  <c r="AT116" i="11"/>
  <c r="AL116" i="11"/>
  <c r="AJ116" i="11"/>
  <c r="AI116" i="11"/>
  <c r="AF116" i="11"/>
  <c r="AE116" i="11"/>
  <c r="AC116" i="11"/>
  <c r="AA116" i="11"/>
  <c r="X116" i="11"/>
  <c r="W116" i="11"/>
  <c r="V116" i="11"/>
  <c r="N116" i="11"/>
  <c r="L116" i="11"/>
  <c r="K116" i="11"/>
  <c r="H116" i="11"/>
  <c r="G116" i="11"/>
  <c r="E116" i="11"/>
  <c r="BI115" i="11"/>
  <c r="BH115" i="11"/>
  <c r="BG115" i="11"/>
  <c r="BF115" i="11"/>
  <c r="BE115" i="11"/>
  <c r="BD115" i="11"/>
  <c r="BC115" i="11"/>
  <c r="BB115" i="11"/>
  <c r="BA115" i="11"/>
  <c r="AZ115" i="11"/>
  <c r="AY115" i="11"/>
  <c r="AX115" i="11"/>
  <c r="AW115" i="11"/>
  <c r="AV115" i="11"/>
  <c r="AU115" i="11"/>
  <c r="AT115" i="11"/>
  <c r="AS115" i="11"/>
  <c r="AR115" i="11"/>
  <c r="AQ115" i="11"/>
  <c r="AP115" i="11"/>
  <c r="AO115" i="11"/>
  <c r="AN115" i="11"/>
  <c r="AM115" i="11"/>
  <c r="AL115" i="11"/>
  <c r="AK115" i="11"/>
  <c r="AJ115" i="11"/>
  <c r="AI115" i="11"/>
  <c r="AH115" i="11"/>
  <c r="AG115" i="11"/>
  <c r="AF115" i="11"/>
  <c r="AE115" i="11"/>
  <c r="AD115" i="11"/>
  <c r="AC115" i="11"/>
  <c r="AB115" i="11"/>
  <c r="AA115" i="11"/>
  <c r="Z115" i="11"/>
  <c r="Y115" i="11"/>
  <c r="X115" i="11"/>
  <c r="W115" i="11"/>
  <c r="V115" i="11"/>
  <c r="U115" i="11"/>
  <c r="T115" i="11"/>
  <c r="S115" i="11"/>
  <c r="R115" i="11"/>
  <c r="Q115" i="11"/>
  <c r="P115" i="11"/>
  <c r="O115" i="11"/>
  <c r="N115" i="11"/>
  <c r="M115" i="11"/>
  <c r="L115" i="11"/>
  <c r="K115" i="11"/>
  <c r="J115" i="11"/>
  <c r="I115" i="11"/>
  <c r="H115" i="11"/>
  <c r="G115" i="11"/>
  <c r="F115" i="11"/>
  <c r="E115" i="11"/>
  <c r="BJ114" i="11"/>
  <c r="AW114" i="11"/>
  <c r="AV114" i="11"/>
  <c r="AS114" i="11"/>
  <c r="Y114" i="11"/>
  <c r="X114" i="11"/>
  <c r="U114" i="11"/>
  <c r="BJ113" i="11"/>
  <c r="BI113" i="11"/>
  <c r="BH113" i="11"/>
  <c r="BG113" i="11"/>
  <c r="BF113" i="11"/>
  <c r="BE113" i="11"/>
  <c r="BD113" i="11"/>
  <c r="BC113" i="11"/>
  <c r="BB113" i="11"/>
  <c r="BA113" i="11"/>
  <c r="AZ113" i="11"/>
  <c r="AY113" i="11"/>
  <c r="AX113" i="11"/>
  <c r="AW113" i="11"/>
  <c r="AV113" i="11"/>
  <c r="AU113" i="11"/>
  <c r="AT113" i="11"/>
  <c r="AS113" i="11"/>
  <c r="AR113" i="11"/>
  <c r="AQ113" i="11"/>
  <c r="AP113" i="11"/>
  <c r="AO113" i="11"/>
  <c r="AN113" i="11"/>
  <c r="AM113" i="11"/>
  <c r="AL113" i="11"/>
  <c r="AK113" i="11"/>
  <c r="AJ113" i="11"/>
  <c r="AI113" i="11"/>
  <c r="AH113" i="11"/>
  <c r="AG113" i="11"/>
  <c r="AF113" i="11"/>
  <c r="AE113" i="11"/>
  <c r="AD113" i="11"/>
  <c r="AC113" i="11"/>
  <c r="AB113" i="11"/>
  <c r="AA113" i="11"/>
  <c r="Z113" i="11"/>
  <c r="Y113" i="11"/>
  <c r="X113" i="11"/>
  <c r="W113" i="11"/>
  <c r="V113" i="11"/>
  <c r="U113" i="11"/>
  <c r="T113" i="11"/>
  <c r="S113" i="11"/>
  <c r="R113" i="11"/>
  <c r="Q113" i="11"/>
  <c r="P113" i="11"/>
  <c r="O113" i="11"/>
  <c r="N113" i="11"/>
  <c r="M113" i="11"/>
  <c r="L113" i="11"/>
  <c r="K113" i="11"/>
  <c r="J113" i="11"/>
  <c r="I113" i="11"/>
  <c r="H113" i="11"/>
  <c r="G113" i="11"/>
  <c r="F113" i="11"/>
  <c r="E113" i="11"/>
  <c r="BJ112" i="11"/>
  <c r="AY112" i="11"/>
  <c r="AA112" i="11"/>
  <c r="BJ111" i="11"/>
  <c r="BI111" i="11"/>
  <c r="BH111" i="11"/>
  <c r="BG111" i="11"/>
  <c r="BF111" i="11"/>
  <c r="BE111" i="11"/>
  <c r="BD111" i="11"/>
  <c r="BC111" i="11"/>
  <c r="BB111" i="11"/>
  <c r="BA111" i="11"/>
  <c r="AZ111" i="11"/>
  <c r="AY111" i="11"/>
  <c r="AX111" i="11"/>
  <c r="AW111" i="11"/>
  <c r="AV111" i="11"/>
  <c r="AU111" i="11"/>
  <c r="AT111" i="11"/>
  <c r="AS111" i="11"/>
  <c r="AR111" i="11"/>
  <c r="AQ111" i="11"/>
  <c r="AP111" i="11"/>
  <c r="AO111" i="11"/>
  <c r="AN111" i="11"/>
  <c r="AM111" i="11"/>
  <c r="AL111" i="11"/>
  <c r="AK111" i="11"/>
  <c r="AJ111" i="11"/>
  <c r="AI111" i="11"/>
  <c r="AH111" i="11"/>
  <c r="AG111" i="11"/>
  <c r="AF111" i="11"/>
  <c r="AE111" i="11"/>
  <c r="AD111" i="11"/>
  <c r="AC111" i="11"/>
  <c r="AB111" i="11"/>
  <c r="AA111" i="11"/>
  <c r="Z111" i="11"/>
  <c r="Y111" i="11"/>
  <c r="X111" i="11"/>
  <c r="W111" i="11"/>
  <c r="V111" i="11"/>
  <c r="U111" i="11"/>
  <c r="T111" i="11"/>
  <c r="S111" i="11"/>
  <c r="R111" i="11"/>
  <c r="Q111" i="11"/>
  <c r="P111" i="11"/>
  <c r="O111" i="11"/>
  <c r="N111" i="11"/>
  <c r="M111" i="11"/>
  <c r="L111" i="11"/>
  <c r="K111" i="11"/>
  <c r="J111" i="11"/>
  <c r="I111" i="11"/>
  <c r="H111" i="11"/>
  <c r="G111" i="11"/>
  <c r="F111" i="11"/>
  <c r="E111" i="11"/>
  <c r="BJ110" i="11"/>
  <c r="AZ110" i="11"/>
  <c r="AB110" i="11"/>
  <c r="BJ109" i="11"/>
  <c r="BI109" i="11"/>
  <c r="BH109" i="11"/>
  <c r="BG109" i="11"/>
  <c r="BF109" i="11"/>
  <c r="BE109" i="11"/>
  <c r="BD109" i="11"/>
  <c r="BC109" i="11"/>
  <c r="BB109" i="11"/>
  <c r="BA109" i="11"/>
  <c r="AZ109" i="11"/>
  <c r="AY109" i="11"/>
  <c r="AX109" i="11"/>
  <c r="AW109" i="11"/>
  <c r="AV109" i="11"/>
  <c r="AU109" i="11"/>
  <c r="AT109" i="11"/>
  <c r="AS109" i="11"/>
  <c r="AR109" i="11"/>
  <c r="AQ109" i="11"/>
  <c r="AP109" i="11"/>
  <c r="AO109" i="11"/>
  <c r="AN109" i="11"/>
  <c r="AM109" i="11"/>
  <c r="AL109" i="11"/>
  <c r="AK109" i="11"/>
  <c r="AJ109" i="11"/>
  <c r="AI109" i="11"/>
  <c r="AH109" i="11"/>
  <c r="AG109" i="11"/>
  <c r="AF109" i="11"/>
  <c r="AE109" i="11"/>
  <c r="AD109" i="11"/>
  <c r="AC109" i="11"/>
  <c r="AB109" i="11"/>
  <c r="AA109" i="11"/>
  <c r="Z109" i="11"/>
  <c r="Y109" i="11"/>
  <c r="X109" i="11"/>
  <c r="W109" i="11"/>
  <c r="V109" i="11"/>
  <c r="U109" i="11"/>
  <c r="T109" i="11"/>
  <c r="S109" i="11"/>
  <c r="R109" i="11"/>
  <c r="Q109" i="11"/>
  <c r="P109" i="11"/>
  <c r="O109" i="11"/>
  <c r="N109" i="11"/>
  <c r="M109" i="11"/>
  <c r="L109" i="11"/>
  <c r="K109" i="11"/>
  <c r="J109" i="11"/>
  <c r="I109" i="11"/>
  <c r="H109" i="11"/>
  <c r="G109" i="11"/>
  <c r="F109" i="11"/>
  <c r="E109" i="11"/>
  <c r="BJ108" i="11"/>
  <c r="AP108" i="11"/>
  <c r="M108" i="11"/>
  <c r="BJ107" i="11"/>
  <c r="BI107" i="11"/>
  <c r="BH107" i="11"/>
  <c r="BG107" i="11"/>
  <c r="BF107" i="11"/>
  <c r="BE107" i="11"/>
  <c r="BD107" i="11"/>
  <c r="BC107" i="11"/>
  <c r="BB107" i="11"/>
  <c r="BA107" i="11"/>
  <c r="AZ107" i="11"/>
  <c r="AY107" i="11"/>
  <c r="AX107" i="11"/>
  <c r="AW107" i="11"/>
  <c r="AV107" i="11"/>
  <c r="AS107" i="11"/>
  <c r="AQ107" i="11"/>
  <c r="AP107" i="11"/>
  <c r="AN107" i="11"/>
  <c r="AM107" i="11"/>
  <c r="AL107" i="11"/>
  <c r="AK107" i="11"/>
  <c r="AJ107" i="11"/>
  <c r="AI107" i="11"/>
  <c r="AH107" i="11"/>
  <c r="AG107" i="11"/>
  <c r="AF107" i="11"/>
  <c r="AE107" i="11"/>
  <c r="AD107" i="11"/>
  <c r="AC107" i="11"/>
  <c r="AB107" i="11"/>
  <c r="AA107" i="11"/>
  <c r="Z107" i="11"/>
  <c r="Y107" i="11"/>
  <c r="X107" i="11"/>
  <c r="U107" i="11"/>
  <c r="S107" i="11"/>
  <c r="R107" i="11"/>
  <c r="P107" i="11"/>
  <c r="O107" i="11"/>
  <c r="N107" i="11"/>
  <c r="M107" i="11"/>
  <c r="L107" i="11"/>
  <c r="K107" i="11"/>
  <c r="J107" i="11"/>
  <c r="I107" i="11"/>
  <c r="H107" i="11"/>
  <c r="G107" i="11"/>
  <c r="F107" i="11"/>
  <c r="E107" i="11"/>
  <c r="BJ106" i="11"/>
  <c r="BI106" i="11"/>
  <c r="BH106" i="11"/>
  <c r="BG106" i="11"/>
  <c r="BF106" i="11"/>
  <c r="BE106" i="11"/>
  <c r="BD106" i="11"/>
  <c r="BC106" i="11"/>
  <c r="BB106" i="11"/>
  <c r="BA106" i="11"/>
  <c r="AZ106" i="11"/>
  <c r="AY106" i="11"/>
  <c r="AX106" i="11"/>
  <c r="AW106" i="11"/>
  <c r="AV106" i="11"/>
  <c r="AU106" i="11"/>
  <c r="AT106" i="11"/>
  <c r="AS106" i="11"/>
  <c r="AR106" i="11"/>
  <c r="AQ106" i="11"/>
  <c r="AP106" i="11"/>
  <c r="AO106" i="11"/>
  <c r="AN106" i="11"/>
  <c r="AM106" i="11"/>
  <c r="AL106" i="11"/>
  <c r="AK106" i="11"/>
  <c r="AJ106" i="11"/>
  <c r="AI106" i="11"/>
  <c r="AH106" i="11"/>
  <c r="AG106" i="11"/>
  <c r="AF106" i="11"/>
  <c r="AE106" i="11"/>
  <c r="AD106" i="11"/>
  <c r="AC106" i="11"/>
  <c r="AB106" i="11"/>
  <c r="AA106" i="11"/>
  <c r="Z106" i="11"/>
  <c r="Y106" i="11"/>
  <c r="X106" i="11"/>
  <c r="W106" i="11"/>
  <c r="V106" i="11"/>
  <c r="U106" i="11"/>
  <c r="T106" i="11"/>
  <c r="S106" i="11"/>
  <c r="R106" i="11"/>
  <c r="Q106" i="11"/>
  <c r="P106" i="11"/>
  <c r="O106" i="11"/>
  <c r="N106" i="11"/>
  <c r="M106" i="11"/>
  <c r="L106" i="11"/>
  <c r="K106" i="11"/>
  <c r="J106" i="11"/>
  <c r="I106" i="11"/>
  <c r="H106" i="11"/>
  <c r="G106" i="11"/>
  <c r="F106" i="11"/>
  <c r="E106" i="11"/>
  <c r="BJ105" i="11"/>
  <c r="BF105" i="11"/>
  <c r="BE105" i="11"/>
  <c r="BD105" i="11"/>
  <c r="BC105" i="11"/>
  <c r="BB105" i="11"/>
  <c r="BA105" i="11"/>
  <c r="AZ105" i="11"/>
  <c r="AY105" i="11"/>
  <c r="AX105" i="11"/>
  <c r="AW105" i="11"/>
  <c r="AV105" i="11"/>
  <c r="AU105" i="11"/>
  <c r="AT105" i="11"/>
  <c r="AS105" i="11"/>
  <c r="AR105" i="11"/>
  <c r="AQ105" i="11"/>
  <c r="AP105" i="11"/>
  <c r="AH105" i="11"/>
  <c r="AF105" i="11"/>
  <c r="AE105" i="11"/>
  <c r="AC105" i="11"/>
  <c r="AB105" i="11"/>
  <c r="AA105" i="11"/>
  <c r="Z105" i="11"/>
  <c r="Y105" i="11"/>
  <c r="X105" i="11"/>
  <c r="W105" i="11"/>
  <c r="V105" i="11"/>
  <c r="U105" i="11"/>
  <c r="T105" i="11"/>
  <c r="S105" i="11"/>
  <c r="R105" i="11"/>
  <c r="N105" i="11"/>
  <c r="K105" i="11"/>
  <c r="J105" i="11"/>
  <c r="I105" i="11"/>
  <c r="H105" i="11"/>
  <c r="E105" i="11"/>
  <c r="BJ104" i="11"/>
  <c r="AN104" i="11"/>
  <c r="P104" i="11"/>
  <c r="BJ103" i="11"/>
  <c r="BJ102" i="11"/>
  <c r="AM102" i="11"/>
  <c r="O102" i="11"/>
  <c r="BJ101" i="11"/>
  <c r="BI101" i="11"/>
  <c r="BH101" i="11"/>
  <c r="BG101" i="11"/>
  <c r="BF101" i="11"/>
  <c r="BE101" i="11"/>
  <c r="BD101" i="11"/>
  <c r="BC101" i="11"/>
  <c r="BB101" i="11"/>
  <c r="BA101" i="11"/>
  <c r="AZ101" i="11"/>
  <c r="AY101" i="11"/>
  <c r="AX101" i="11"/>
  <c r="AW101" i="11"/>
  <c r="AV101" i="11"/>
  <c r="AU101" i="11"/>
  <c r="AT101" i="11"/>
  <c r="AS101" i="11"/>
  <c r="AR101" i="11"/>
  <c r="AQ101" i="11"/>
  <c r="AP101" i="11"/>
  <c r="AO101" i="11"/>
  <c r="AN101" i="11"/>
  <c r="AM101" i="11"/>
  <c r="AL101" i="11"/>
  <c r="AK101" i="11"/>
  <c r="AJ101" i="11"/>
  <c r="AI101" i="11"/>
  <c r="AH101" i="11"/>
  <c r="AG101" i="11"/>
  <c r="AF101" i="11"/>
  <c r="AE101" i="11"/>
  <c r="AD101" i="11"/>
  <c r="AC101" i="11"/>
  <c r="AB101" i="11"/>
  <c r="AA101" i="11"/>
  <c r="Z101" i="11"/>
  <c r="Y101" i="11"/>
  <c r="X101" i="11"/>
  <c r="W101" i="11"/>
  <c r="V101" i="11"/>
  <c r="U101" i="11"/>
  <c r="T101" i="11"/>
  <c r="S101" i="11"/>
  <c r="R101" i="11"/>
  <c r="Q101" i="11"/>
  <c r="P101" i="11"/>
  <c r="O101" i="11"/>
  <c r="N101" i="11"/>
  <c r="M101" i="11"/>
  <c r="L101" i="11"/>
  <c r="K101" i="11"/>
  <c r="J101" i="11"/>
  <c r="I101" i="11"/>
  <c r="H101" i="11"/>
  <c r="G101" i="11"/>
  <c r="F101" i="11"/>
  <c r="E101" i="11"/>
  <c r="BJ100" i="11"/>
  <c r="BI100" i="11"/>
  <c r="BH100" i="11"/>
  <c r="BG100" i="11"/>
  <c r="BF100" i="11"/>
  <c r="BE100" i="11"/>
  <c r="BD100" i="11"/>
  <c r="BB100" i="11"/>
  <c r="BA100" i="11"/>
  <c r="AZ100" i="11"/>
  <c r="AY100" i="11"/>
  <c r="AX100" i="11"/>
  <c r="AW100" i="11"/>
  <c r="AV100" i="11"/>
  <c r="AU100" i="11"/>
  <c r="AT100" i="11"/>
  <c r="AS100" i="11"/>
  <c r="AR100" i="11"/>
  <c r="AQ100" i="11"/>
  <c r="AP100" i="11"/>
  <c r="AO100" i="11"/>
  <c r="AN100" i="11"/>
  <c r="AM100" i="11"/>
  <c r="AL100" i="11"/>
  <c r="AK100" i="11"/>
  <c r="AJ100" i="11"/>
  <c r="AI100" i="11"/>
  <c r="AH100" i="11"/>
  <c r="AG100" i="11"/>
  <c r="AF100" i="11"/>
  <c r="AD100" i="11"/>
  <c r="AC100" i="11"/>
  <c r="AB100" i="11"/>
  <c r="AA100" i="11"/>
  <c r="Z100" i="11"/>
  <c r="Y100" i="11"/>
  <c r="X100" i="11"/>
  <c r="W100" i="11"/>
  <c r="V100" i="11"/>
  <c r="U100" i="11"/>
  <c r="T100" i="11"/>
  <c r="S100" i="11"/>
  <c r="R100" i="11"/>
  <c r="Q100" i="11"/>
  <c r="P100" i="11"/>
  <c r="O100" i="11"/>
  <c r="N100" i="11"/>
  <c r="M100" i="11"/>
  <c r="L100" i="11"/>
  <c r="K100" i="11"/>
  <c r="J100" i="11"/>
  <c r="I100" i="11"/>
  <c r="H100" i="11"/>
  <c r="G100" i="11"/>
  <c r="F100" i="11"/>
  <c r="E100" i="11"/>
  <c r="BJ99" i="11"/>
  <c r="AQ99" i="11"/>
  <c r="S99" i="11"/>
  <c r="BJ98" i="11"/>
  <c r="AE98" i="11"/>
  <c r="H98" i="11"/>
  <c r="G98" i="11"/>
  <c r="BJ97" i="11"/>
  <c r="BI97" i="11"/>
  <c r="BH97" i="11"/>
  <c r="BG97" i="11"/>
  <c r="BF97" i="11"/>
  <c r="BE97" i="11"/>
  <c r="BD97" i="11"/>
  <c r="BC97" i="11"/>
  <c r="AY97" i="11"/>
  <c r="AV97" i="11"/>
  <c r="AU97" i="11"/>
  <c r="AT97" i="11"/>
  <c r="AS97" i="11"/>
  <c r="AR97" i="11"/>
  <c r="AQ97" i="11"/>
  <c r="AP97" i="11"/>
  <c r="AO97" i="11"/>
  <c r="AN97" i="11"/>
  <c r="AM97" i="11"/>
  <c r="AL97" i="11"/>
  <c r="AK97" i="11"/>
  <c r="AJ97" i="11"/>
  <c r="AI97" i="11"/>
  <c r="AH97" i="11"/>
  <c r="AG97" i="11"/>
  <c r="AF97" i="11"/>
  <c r="AE97" i="11"/>
  <c r="AA97" i="11"/>
  <c r="X97" i="11"/>
  <c r="W97" i="11"/>
  <c r="V97" i="11"/>
  <c r="U97" i="11"/>
  <c r="T97" i="11"/>
  <c r="S97" i="11"/>
  <c r="R97" i="11"/>
  <c r="Q97" i="11"/>
  <c r="P97" i="11"/>
  <c r="O97" i="11"/>
  <c r="N97" i="11"/>
  <c r="M97" i="11"/>
  <c r="L97" i="11"/>
  <c r="K97" i="11"/>
  <c r="J97" i="11"/>
  <c r="I97" i="11"/>
  <c r="H97" i="11"/>
  <c r="G97" i="11"/>
  <c r="BJ96" i="11"/>
  <c r="BI96" i="11"/>
  <c r="BH96" i="11"/>
  <c r="BG96" i="11"/>
  <c r="BF96" i="11"/>
  <c r="BE96" i="11"/>
  <c r="BD96" i="11"/>
  <c r="BC96" i="11"/>
  <c r="BB96" i="11"/>
  <c r="BA96" i="11"/>
  <c r="AZ96" i="11"/>
  <c r="AY96" i="11"/>
  <c r="AX96" i="11"/>
  <c r="AW96" i="11"/>
  <c r="AV96" i="11"/>
  <c r="AU96" i="11"/>
  <c r="AT96" i="11"/>
  <c r="AS96" i="11"/>
  <c r="AR96" i="11"/>
  <c r="AQ96" i="11"/>
  <c r="AP96" i="11"/>
  <c r="AO96" i="11"/>
  <c r="AN96" i="11"/>
  <c r="AM96" i="11"/>
  <c r="AL96" i="11"/>
  <c r="AK96" i="11"/>
  <c r="AJ96" i="11"/>
  <c r="AI96" i="11"/>
  <c r="AH96" i="11"/>
  <c r="AG96" i="11"/>
  <c r="AF96" i="11"/>
  <c r="AE96" i="11"/>
  <c r="AD96" i="11"/>
  <c r="AC96" i="11"/>
  <c r="AB96" i="11"/>
  <c r="AA96" i="11"/>
  <c r="Z96" i="11"/>
  <c r="Y96" i="11"/>
  <c r="X96" i="11"/>
  <c r="W96" i="11"/>
  <c r="V96" i="11"/>
  <c r="U96" i="11"/>
  <c r="T96" i="11"/>
  <c r="S96" i="11"/>
  <c r="R96" i="11"/>
  <c r="Q96" i="11"/>
  <c r="P96" i="11"/>
  <c r="O96" i="11"/>
  <c r="N96" i="11"/>
  <c r="M96" i="11"/>
  <c r="L96" i="11"/>
  <c r="K96" i="11"/>
  <c r="J96" i="11"/>
  <c r="I96" i="11"/>
  <c r="H96" i="11"/>
  <c r="G96" i="11"/>
  <c r="F96" i="11"/>
  <c r="E96" i="11"/>
  <c r="BJ95" i="11"/>
  <c r="AX95" i="11"/>
  <c r="AT95" i="11"/>
  <c r="AL95" i="11"/>
  <c r="Z95" i="11"/>
  <c r="V95" i="11"/>
  <c r="N95" i="11"/>
  <c r="BJ94" i="11"/>
  <c r="BI94" i="11"/>
  <c r="BH94" i="11"/>
  <c r="BE94" i="11"/>
  <c r="BD94" i="11"/>
  <c r="BB94" i="11"/>
  <c r="AZ94" i="11"/>
  <c r="AW94" i="11"/>
  <c r="AV94" i="11"/>
  <c r="AU94" i="11"/>
  <c r="AM94" i="11"/>
  <c r="AK94" i="11"/>
  <c r="AJ94" i="11"/>
  <c r="AG94" i="11"/>
  <c r="AF94" i="11"/>
  <c r="AD94" i="11"/>
  <c r="AB94" i="11"/>
  <c r="Y94" i="11"/>
  <c r="X94" i="11"/>
  <c r="W94" i="11"/>
  <c r="O94" i="11"/>
  <c r="M94" i="11"/>
  <c r="L94" i="11"/>
  <c r="I94" i="11"/>
  <c r="H94" i="11"/>
  <c r="F94" i="11"/>
  <c r="BJ93" i="11"/>
  <c r="BI93" i="11"/>
  <c r="BH93" i="11"/>
  <c r="BG93" i="11"/>
  <c r="BF93" i="11"/>
  <c r="BE93" i="11"/>
  <c r="BD93" i="11"/>
  <c r="BC93" i="11"/>
  <c r="BB93" i="11"/>
  <c r="BA93" i="11"/>
  <c r="AZ93" i="11"/>
  <c r="AY93" i="11"/>
  <c r="AX93" i="11"/>
  <c r="AW93" i="11"/>
  <c r="AV93" i="11"/>
  <c r="AU93" i="11"/>
  <c r="AT93" i="11"/>
  <c r="AS93" i="11"/>
  <c r="AR93" i="11"/>
  <c r="AQ93" i="11"/>
  <c r="AP93" i="11"/>
  <c r="AO93" i="11"/>
  <c r="AN93" i="11"/>
  <c r="AM93" i="11"/>
  <c r="AL93" i="11"/>
  <c r="AK93" i="11"/>
  <c r="AJ93" i="11"/>
  <c r="AI93" i="11"/>
  <c r="AH93" i="11"/>
  <c r="AG93" i="11"/>
  <c r="AF93" i="11"/>
  <c r="AE93" i="11"/>
  <c r="AD93" i="11"/>
  <c r="AC93" i="11"/>
  <c r="AB93" i="11"/>
  <c r="AA93" i="11"/>
  <c r="Z93" i="11"/>
  <c r="Y93" i="11"/>
  <c r="X93" i="11"/>
  <c r="W93" i="11"/>
  <c r="V93" i="11"/>
  <c r="U93" i="11"/>
  <c r="T93" i="11"/>
  <c r="S93" i="11"/>
  <c r="R93" i="11"/>
  <c r="Q93" i="11"/>
  <c r="P93" i="11"/>
  <c r="O93" i="11"/>
  <c r="N93" i="11"/>
  <c r="M93" i="11"/>
  <c r="L93" i="11"/>
  <c r="K93" i="11"/>
  <c r="J93" i="11"/>
  <c r="I93" i="11"/>
  <c r="H93" i="11"/>
  <c r="G93" i="11"/>
  <c r="F93" i="11"/>
  <c r="E93" i="11"/>
  <c r="BJ92" i="11"/>
  <c r="BD92" i="11"/>
  <c r="AZ92" i="11"/>
  <c r="AY92" i="11"/>
  <c r="AU92" i="11"/>
  <c r="AT92" i="11"/>
  <c r="AQ92" i="11"/>
  <c r="AO92" i="11"/>
  <c r="AF92" i="11"/>
  <c r="AB92" i="11"/>
  <c r="AA92" i="11"/>
  <c r="W92" i="11"/>
  <c r="V92" i="11"/>
  <c r="S92" i="11"/>
  <c r="Q92" i="11"/>
  <c r="H92" i="11"/>
  <c r="BJ91" i="11"/>
  <c r="BI91" i="11"/>
  <c r="BH91" i="11"/>
  <c r="BG91" i="11"/>
  <c r="BF91" i="11"/>
  <c r="BE91" i="11"/>
  <c r="BD91" i="11"/>
  <c r="BC91" i="11"/>
  <c r="BB91" i="11"/>
  <c r="BA91" i="11"/>
  <c r="AZ91" i="11"/>
  <c r="AY91" i="11"/>
  <c r="AX91" i="11"/>
  <c r="AW91" i="11"/>
  <c r="AV91" i="11"/>
  <c r="AU91" i="11"/>
  <c r="AT91" i="11"/>
  <c r="AS91" i="11"/>
  <c r="AR91" i="11"/>
  <c r="AQ91" i="11"/>
  <c r="AP91" i="11"/>
  <c r="AO91" i="11"/>
  <c r="AN91" i="11"/>
  <c r="AM91" i="11"/>
  <c r="AL91" i="11"/>
  <c r="AK91" i="11"/>
  <c r="AJ91" i="11"/>
  <c r="AI91" i="11"/>
  <c r="AH91" i="11"/>
  <c r="AG91" i="11"/>
  <c r="AF91" i="11"/>
  <c r="AE91" i="11"/>
  <c r="AD91" i="11"/>
  <c r="AC91" i="11"/>
  <c r="AB91" i="11"/>
  <c r="AA91" i="11"/>
  <c r="Z91" i="11"/>
  <c r="Y91" i="11"/>
  <c r="X91" i="11"/>
  <c r="W91" i="11"/>
  <c r="V91" i="11"/>
  <c r="U91" i="11"/>
  <c r="T91" i="11"/>
  <c r="S91" i="11"/>
  <c r="R91" i="11"/>
  <c r="Q91" i="11"/>
  <c r="P91" i="11"/>
  <c r="O91" i="11"/>
  <c r="N91" i="11"/>
  <c r="M91" i="11"/>
  <c r="L91" i="11"/>
  <c r="K91" i="11"/>
  <c r="J91" i="11"/>
  <c r="I91" i="11"/>
  <c r="H91" i="11"/>
  <c r="G91" i="11"/>
  <c r="F91" i="11"/>
  <c r="E91" i="11"/>
  <c r="BJ90" i="11"/>
  <c r="BI90" i="11"/>
  <c r="BH90" i="11"/>
  <c r="BG90" i="11"/>
  <c r="BF90" i="11"/>
  <c r="BE90" i="11"/>
  <c r="BD90" i="11"/>
  <c r="BC90" i="11"/>
  <c r="BB90" i="11"/>
  <c r="BA90" i="11"/>
  <c r="AZ90" i="11"/>
  <c r="AY90" i="11"/>
  <c r="AX90" i="11"/>
  <c r="AW90" i="11"/>
  <c r="AV90" i="11"/>
  <c r="AU90" i="11"/>
  <c r="AT90" i="11"/>
  <c r="AS90" i="11"/>
  <c r="AR90" i="11"/>
  <c r="AQ90" i="11"/>
  <c r="AP90" i="11"/>
  <c r="AO90" i="11"/>
  <c r="AN90" i="11"/>
  <c r="AM90" i="11"/>
  <c r="AL90" i="11"/>
  <c r="AK90" i="11"/>
  <c r="AJ90" i="11"/>
  <c r="AI90" i="11"/>
  <c r="AH90" i="11"/>
  <c r="AG90" i="11"/>
  <c r="AF90" i="11"/>
  <c r="AE90" i="11"/>
  <c r="AD90" i="11"/>
  <c r="AC90" i="11"/>
  <c r="AB90" i="11"/>
  <c r="AA90" i="11"/>
  <c r="Z90" i="11"/>
  <c r="Y90" i="11"/>
  <c r="X90" i="11"/>
  <c r="W90" i="11"/>
  <c r="V90" i="11"/>
  <c r="U90" i="11"/>
  <c r="T90" i="11"/>
  <c r="S90" i="11"/>
  <c r="R90" i="11"/>
  <c r="Q90" i="11"/>
  <c r="P90" i="11"/>
  <c r="O90" i="11"/>
  <c r="N90" i="11"/>
  <c r="M90" i="11"/>
  <c r="L90" i="11"/>
  <c r="K90" i="11"/>
  <c r="J90" i="11"/>
  <c r="I90" i="11"/>
  <c r="H90" i="11"/>
  <c r="G90" i="11"/>
  <c r="F90" i="11"/>
  <c r="E90" i="11"/>
  <c r="BJ89" i="11"/>
  <c r="BF89" i="11"/>
  <c r="AT89" i="11"/>
  <c r="AS89" i="11"/>
  <c r="AL89" i="11"/>
  <c r="AH89" i="11"/>
  <c r="AC89" i="11"/>
  <c r="L89" i="11"/>
  <c r="K89" i="11"/>
  <c r="I89" i="11"/>
  <c r="E89" i="11"/>
  <c r="BJ88" i="11"/>
  <c r="BI88" i="11"/>
  <c r="BH88" i="11"/>
  <c r="BG88" i="11"/>
  <c r="BF88" i="11"/>
  <c r="BE88" i="11"/>
  <c r="BD88" i="11"/>
  <c r="BC88" i="11"/>
  <c r="BB88" i="11"/>
  <c r="BA88" i="11"/>
  <c r="AZ88" i="11"/>
  <c r="AY88" i="11"/>
  <c r="AX88" i="11"/>
  <c r="AW88" i="11"/>
  <c r="AV88" i="11"/>
  <c r="AU88" i="11"/>
  <c r="AT88" i="11"/>
  <c r="AS88" i="11"/>
  <c r="AR88" i="11"/>
  <c r="AQ88" i="11"/>
  <c r="AP88" i="11"/>
  <c r="AO88" i="11"/>
  <c r="AN88" i="11"/>
  <c r="AM88" i="11"/>
  <c r="AL88" i="11"/>
  <c r="AK88" i="11"/>
  <c r="AJ88" i="11"/>
  <c r="AI88" i="11"/>
  <c r="AH88" i="11"/>
  <c r="AG88" i="11"/>
  <c r="AF88" i="11"/>
  <c r="AE88" i="11"/>
  <c r="AD88" i="11"/>
  <c r="AC88" i="11"/>
  <c r="AB88" i="11"/>
  <c r="AA88" i="11"/>
  <c r="Z88" i="11"/>
  <c r="Y88" i="11"/>
  <c r="X88" i="11"/>
  <c r="W88" i="11"/>
  <c r="V88" i="11"/>
  <c r="U88" i="11"/>
  <c r="T88" i="11"/>
  <c r="S88" i="11"/>
  <c r="R88" i="11"/>
  <c r="Q88" i="11"/>
  <c r="P88" i="11"/>
  <c r="O88" i="11"/>
  <c r="N88" i="11"/>
  <c r="M88" i="11"/>
  <c r="L88" i="11"/>
  <c r="K88" i="11"/>
  <c r="J88" i="11"/>
  <c r="I88" i="11"/>
  <c r="H88" i="11"/>
  <c r="G88" i="11"/>
  <c r="F88" i="11"/>
  <c r="E88" i="11"/>
  <c r="BJ87" i="11"/>
  <c r="BI87" i="11"/>
  <c r="BH87" i="11"/>
  <c r="BG87" i="11"/>
  <c r="BF87" i="11"/>
  <c r="BE87" i="11"/>
  <c r="BD87" i="11"/>
  <c r="BC87" i="11"/>
  <c r="BB87" i="11"/>
  <c r="BA87" i="11"/>
  <c r="AZ87" i="11"/>
  <c r="AY87" i="11"/>
  <c r="AX87" i="11"/>
  <c r="AW87" i="11"/>
  <c r="AV87" i="11"/>
  <c r="AU87" i="11"/>
  <c r="AT87" i="11"/>
  <c r="AS87" i="11"/>
  <c r="AR87" i="11"/>
  <c r="AQ87" i="11"/>
  <c r="AP87" i="11"/>
  <c r="AO87" i="11"/>
  <c r="AN87" i="11"/>
  <c r="AM87" i="11"/>
  <c r="AL87" i="11"/>
  <c r="AK87" i="11"/>
  <c r="AJ87" i="11"/>
  <c r="AI87" i="11"/>
  <c r="AH87" i="11"/>
  <c r="AG87" i="11"/>
  <c r="AF87" i="11"/>
  <c r="AE87" i="11"/>
  <c r="AD87" i="11"/>
  <c r="AC87" i="11"/>
  <c r="AB87" i="11"/>
  <c r="AA87" i="11"/>
  <c r="Z87" i="11"/>
  <c r="Y87" i="11"/>
  <c r="X87" i="11"/>
  <c r="W87" i="11"/>
  <c r="V87" i="11"/>
  <c r="U87" i="11"/>
  <c r="T87" i="11"/>
  <c r="S87" i="11"/>
  <c r="R87" i="11"/>
  <c r="Q87" i="11"/>
  <c r="P87" i="11"/>
  <c r="O87" i="11"/>
  <c r="N87" i="11"/>
  <c r="M87" i="11"/>
  <c r="L87" i="11"/>
  <c r="K87" i="11"/>
  <c r="J87" i="11"/>
  <c r="I87" i="11"/>
  <c r="H87" i="11"/>
  <c r="G87" i="11"/>
  <c r="F87" i="11"/>
  <c r="E87" i="11"/>
  <c r="BJ86" i="11"/>
  <c r="BG86" i="11"/>
  <c r="BF86" i="11"/>
  <c r="BC86" i="11"/>
  <c r="BA86" i="11"/>
  <c r="AR86" i="11"/>
  <c r="AN86" i="11"/>
  <c r="AM86" i="11"/>
  <c r="AI86" i="11"/>
  <c r="AH86" i="11"/>
  <c r="AE86" i="11"/>
  <c r="AC86" i="11"/>
  <c r="T86" i="11"/>
  <c r="P86" i="11"/>
  <c r="O86" i="11"/>
  <c r="K86" i="11"/>
  <c r="J86" i="11"/>
  <c r="G86" i="11"/>
  <c r="E86" i="11"/>
  <c r="BJ85" i="11"/>
  <c r="BI85" i="11"/>
  <c r="BH85" i="11"/>
  <c r="BG85" i="11"/>
  <c r="BF85" i="11"/>
  <c r="BE85" i="11"/>
  <c r="BD85" i="11"/>
  <c r="BC85" i="11"/>
  <c r="BB85" i="11"/>
  <c r="BA85" i="11"/>
  <c r="AZ85" i="11"/>
  <c r="AY85" i="11"/>
  <c r="AX85" i="11"/>
  <c r="AW85" i="11"/>
  <c r="AV85" i="11"/>
  <c r="AU85" i="11"/>
  <c r="AT85" i="11"/>
  <c r="AS85" i="11"/>
  <c r="AR85" i="11"/>
  <c r="AQ85" i="11"/>
  <c r="AP85" i="11"/>
  <c r="AO85" i="11"/>
  <c r="AN85" i="11"/>
  <c r="AM85" i="11"/>
  <c r="AL85" i="11"/>
  <c r="AK85" i="11"/>
  <c r="AJ85" i="11"/>
  <c r="AI85" i="11"/>
  <c r="AH85" i="11"/>
  <c r="AG85" i="11"/>
  <c r="AF85" i="11"/>
  <c r="AE85" i="11"/>
  <c r="AD85" i="11"/>
  <c r="AC85" i="11"/>
  <c r="AB85" i="11"/>
  <c r="AA85" i="11"/>
  <c r="Z85" i="11"/>
  <c r="Y85" i="11"/>
  <c r="X85" i="11"/>
  <c r="W85" i="11"/>
  <c r="V85" i="11"/>
  <c r="U85" i="11"/>
  <c r="T85" i="11"/>
  <c r="S85" i="11"/>
  <c r="R85" i="11"/>
  <c r="Q85" i="11"/>
  <c r="P85" i="11"/>
  <c r="O85" i="11"/>
  <c r="N85" i="11"/>
  <c r="M85" i="11"/>
  <c r="L85" i="11"/>
  <c r="K85" i="11"/>
  <c r="J85" i="11"/>
  <c r="I85" i="11"/>
  <c r="H85" i="11"/>
  <c r="G85" i="11"/>
  <c r="F85" i="11"/>
  <c r="E85" i="11"/>
  <c r="BJ84" i="11"/>
  <c r="BI84" i="11"/>
  <c r="BH84" i="11"/>
  <c r="BG84" i="11"/>
  <c r="BF84" i="11"/>
  <c r="BE84" i="11"/>
  <c r="BD84" i="11"/>
  <c r="BC84" i="11"/>
  <c r="BB84" i="11"/>
  <c r="BA84" i="11"/>
  <c r="AZ84" i="11"/>
  <c r="AY84" i="11"/>
  <c r="AX84" i="11"/>
  <c r="AW84" i="11"/>
  <c r="AV84" i="11"/>
  <c r="AU84" i="11"/>
  <c r="AT84" i="11"/>
  <c r="AS84" i="11"/>
  <c r="AR84" i="11"/>
  <c r="AQ84" i="11"/>
  <c r="AP84" i="11"/>
  <c r="AO84" i="11"/>
  <c r="AN84" i="11"/>
  <c r="AM84" i="11"/>
  <c r="AL84" i="11"/>
  <c r="AK84" i="11"/>
  <c r="AJ84" i="11"/>
  <c r="AI84" i="11"/>
  <c r="AH84" i="11"/>
  <c r="AG84" i="11"/>
  <c r="AF84" i="11"/>
  <c r="AE84" i="11"/>
  <c r="AD84" i="11"/>
  <c r="AC84" i="11"/>
  <c r="AB84" i="11"/>
  <c r="AA84" i="11"/>
  <c r="Z84" i="11"/>
  <c r="Y84" i="11"/>
  <c r="X84" i="11"/>
  <c r="W84" i="11"/>
  <c r="V84" i="11"/>
  <c r="U84" i="11"/>
  <c r="T84" i="11"/>
  <c r="S84" i="11"/>
  <c r="R84" i="11"/>
  <c r="Q84" i="11"/>
  <c r="P84" i="11"/>
  <c r="O84" i="11"/>
  <c r="N84" i="11"/>
  <c r="M84" i="11"/>
  <c r="L84" i="11"/>
  <c r="K84" i="11"/>
  <c r="J84" i="11"/>
  <c r="I84" i="11"/>
  <c r="H84" i="11"/>
  <c r="G84" i="11"/>
  <c r="F84" i="11"/>
  <c r="E84" i="11"/>
  <c r="BJ83" i="11"/>
  <c r="BI83" i="11"/>
  <c r="BH83" i="11"/>
  <c r="BG83" i="11"/>
  <c r="BF83" i="11"/>
  <c r="BE83" i="11"/>
  <c r="BD83" i="11"/>
  <c r="BC83" i="11"/>
  <c r="BB83" i="11"/>
  <c r="BA83" i="11"/>
  <c r="AZ83" i="11"/>
  <c r="AY83" i="11"/>
  <c r="AX83" i="11"/>
  <c r="AW83" i="11"/>
  <c r="AV83" i="11"/>
  <c r="AU83" i="11"/>
  <c r="AT83" i="11"/>
  <c r="AS83" i="11"/>
  <c r="AR83" i="11"/>
  <c r="AQ83" i="11"/>
  <c r="AP83" i="11"/>
  <c r="AO83" i="11"/>
  <c r="AN83" i="11"/>
  <c r="AM83" i="11"/>
  <c r="AL83" i="11"/>
  <c r="AK83" i="11"/>
  <c r="AJ83" i="11"/>
  <c r="AI83" i="11"/>
  <c r="AH83" i="11"/>
  <c r="AG83" i="11"/>
  <c r="AF83" i="11"/>
  <c r="AE83" i="11"/>
  <c r="AD83" i="11"/>
  <c r="AC83" i="11"/>
  <c r="AB83" i="11"/>
  <c r="AA83" i="11"/>
  <c r="Z83" i="11"/>
  <c r="Y83" i="11"/>
  <c r="X83" i="11"/>
  <c r="W83" i="11"/>
  <c r="V83" i="11"/>
  <c r="U83" i="11"/>
  <c r="T83" i="11"/>
  <c r="S83" i="11"/>
  <c r="R83" i="11"/>
  <c r="Q83" i="11"/>
  <c r="P83" i="11"/>
  <c r="O83" i="11"/>
  <c r="N83" i="11"/>
  <c r="M83" i="11"/>
  <c r="L83" i="11"/>
  <c r="K83" i="11"/>
  <c r="J83" i="11"/>
  <c r="I83" i="11"/>
  <c r="H83" i="11"/>
  <c r="G83" i="11"/>
  <c r="F83" i="11"/>
  <c r="E83" i="11"/>
  <c r="BJ82" i="11"/>
  <c r="BI82" i="11"/>
  <c r="BH82" i="11"/>
  <c r="BG82" i="11"/>
  <c r="BF82" i="11"/>
  <c r="BE82" i="11"/>
  <c r="BD82" i="11"/>
  <c r="BC82" i="11"/>
  <c r="BB82" i="11"/>
  <c r="BA82" i="11"/>
  <c r="AZ82" i="11"/>
  <c r="AY82" i="11"/>
  <c r="AX82" i="11"/>
  <c r="AW82" i="11"/>
  <c r="AV82" i="11"/>
  <c r="AU82" i="11"/>
  <c r="AT82" i="11"/>
  <c r="AS82" i="11"/>
  <c r="AR82" i="11"/>
  <c r="AQ82" i="11"/>
  <c r="AP82" i="11"/>
  <c r="AO82" i="11"/>
  <c r="AN82" i="11"/>
  <c r="AM82" i="11"/>
  <c r="AL82" i="11"/>
  <c r="AK82" i="11"/>
  <c r="AJ82" i="11"/>
  <c r="AI82" i="11"/>
  <c r="AH82" i="11"/>
  <c r="AG82" i="11"/>
  <c r="AF82" i="11"/>
  <c r="AE82" i="11"/>
  <c r="AD82" i="11"/>
  <c r="AC82" i="11"/>
  <c r="AB82" i="11"/>
  <c r="AA82" i="11"/>
  <c r="Z82" i="11"/>
  <c r="Y82" i="11"/>
  <c r="X82" i="11"/>
  <c r="W82" i="11"/>
  <c r="V82" i="11"/>
  <c r="U82" i="11"/>
  <c r="T82" i="11"/>
  <c r="S82" i="11"/>
  <c r="R82" i="11"/>
  <c r="Q82" i="11"/>
  <c r="P82" i="11"/>
  <c r="O82" i="11"/>
  <c r="N82" i="11"/>
  <c r="M82" i="11"/>
  <c r="L82" i="11"/>
  <c r="K82" i="11"/>
  <c r="J82" i="11"/>
  <c r="I82" i="11"/>
  <c r="H82" i="11"/>
  <c r="G82" i="11"/>
  <c r="F82" i="11"/>
  <c r="E82" i="11"/>
  <c r="BJ81" i="11"/>
  <c r="J81" i="11"/>
  <c r="BJ80" i="11"/>
  <c r="BI80" i="11"/>
  <c r="BH80" i="11"/>
  <c r="BG80" i="11"/>
  <c r="BF80" i="11"/>
  <c r="BE80" i="11"/>
  <c r="BD80" i="11"/>
  <c r="BC80" i="11"/>
  <c r="BB80" i="11"/>
  <c r="BA80" i="11"/>
  <c r="AZ80" i="11"/>
  <c r="AY80" i="11"/>
  <c r="AX80" i="11"/>
  <c r="AW80" i="11"/>
  <c r="AV80" i="11"/>
  <c r="AU80" i="11"/>
  <c r="AT80" i="11"/>
  <c r="AS80" i="11"/>
  <c r="AR80" i="11"/>
  <c r="AQ80" i="11"/>
  <c r="AP80" i="11"/>
  <c r="AO80" i="11"/>
  <c r="AN80" i="11"/>
  <c r="AM80" i="11"/>
  <c r="AL80" i="11"/>
  <c r="AK80" i="11"/>
  <c r="AJ80" i="11"/>
  <c r="AI80" i="11"/>
  <c r="AH80" i="11"/>
  <c r="AG80" i="11"/>
  <c r="AF80" i="11"/>
  <c r="AE80" i="11"/>
  <c r="AD80" i="11"/>
  <c r="AC80" i="11"/>
  <c r="AB80" i="11"/>
  <c r="AA80" i="11"/>
  <c r="Z80" i="11"/>
  <c r="Y80" i="11"/>
  <c r="X80" i="11"/>
  <c r="W80" i="11"/>
  <c r="V80" i="11"/>
  <c r="U80" i="11"/>
  <c r="T80" i="11"/>
  <c r="S80" i="11"/>
  <c r="R80" i="11"/>
  <c r="Q80" i="11"/>
  <c r="P80" i="11"/>
  <c r="O80" i="11"/>
  <c r="N80" i="11"/>
  <c r="M80" i="11"/>
  <c r="L80" i="11"/>
  <c r="K80" i="11"/>
  <c r="J80" i="11"/>
  <c r="I80" i="11"/>
  <c r="H80" i="11"/>
  <c r="G80" i="11"/>
  <c r="F80" i="11"/>
  <c r="E80" i="11"/>
  <c r="BJ79" i="11"/>
  <c r="BI79" i="11"/>
  <c r="BH79" i="11"/>
  <c r="BG79" i="11"/>
  <c r="BF79" i="11"/>
  <c r="BE79" i="11"/>
  <c r="BD79" i="11"/>
  <c r="BC79" i="11"/>
  <c r="BB79" i="11"/>
  <c r="BA79" i="11"/>
  <c r="AZ79" i="11"/>
  <c r="AY79" i="11"/>
  <c r="AX79" i="11"/>
  <c r="AW79" i="11"/>
  <c r="AV79" i="11"/>
  <c r="AU79" i="11"/>
  <c r="AT79" i="11"/>
  <c r="AS79" i="11"/>
  <c r="AR79" i="11"/>
  <c r="AQ79" i="11"/>
  <c r="AP79" i="11"/>
  <c r="AO79" i="11"/>
  <c r="AN79" i="11"/>
  <c r="AM79" i="11"/>
  <c r="AL79" i="11"/>
  <c r="AK79" i="11"/>
  <c r="AJ79" i="11"/>
  <c r="AI79" i="11"/>
  <c r="AH79" i="11"/>
  <c r="AG79" i="11"/>
  <c r="AF79" i="11"/>
  <c r="AE79" i="11"/>
  <c r="AD79" i="11"/>
  <c r="AC79" i="11"/>
  <c r="AB79" i="11"/>
  <c r="AA79" i="11"/>
  <c r="Z79" i="11"/>
  <c r="Y79" i="11"/>
  <c r="X79" i="11"/>
  <c r="W79" i="11"/>
  <c r="V79" i="11"/>
  <c r="U79" i="11"/>
  <c r="T79" i="11"/>
  <c r="S79" i="11"/>
  <c r="R79" i="11"/>
  <c r="Q79" i="11"/>
  <c r="P79" i="11"/>
  <c r="O79" i="11"/>
  <c r="N79" i="11"/>
  <c r="M79" i="11"/>
  <c r="L79" i="11"/>
  <c r="K79" i="11"/>
  <c r="J79" i="11"/>
  <c r="I79" i="11"/>
  <c r="H79" i="11"/>
  <c r="G79" i="11"/>
  <c r="F79" i="11"/>
  <c r="E79" i="11"/>
  <c r="BJ78" i="11"/>
  <c r="BH78" i="11"/>
  <c r="BG78" i="11"/>
  <c r="BF78" i="11"/>
  <c r="BE78" i="11"/>
  <c r="BD78" i="11"/>
  <c r="BC78" i="11"/>
  <c r="BB78" i="11"/>
  <c r="BA78" i="11"/>
  <c r="AZ78" i="11"/>
  <c r="AY78" i="11"/>
  <c r="AX78" i="11"/>
  <c r="AW78" i="11"/>
  <c r="AV78" i="11"/>
  <c r="AU78" i="11"/>
  <c r="AT78" i="11"/>
  <c r="AS78" i="11"/>
  <c r="AR78" i="11"/>
  <c r="AQ78" i="11"/>
  <c r="AM78" i="11"/>
  <c r="AJ78" i="11"/>
  <c r="AI78" i="11"/>
  <c r="AH78" i="11"/>
  <c r="AG78" i="11"/>
  <c r="AF78" i="11"/>
  <c r="AE78" i="11"/>
  <c r="AD78" i="11"/>
  <c r="AC78" i="11"/>
  <c r="AB78" i="11"/>
  <c r="AA78" i="11"/>
  <c r="Z78" i="11"/>
  <c r="Y78" i="11"/>
  <c r="X78" i="11"/>
  <c r="W78" i="11"/>
  <c r="V78" i="11"/>
  <c r="U78" i="11"/>
  <c r="T78" i="11"/>
  <c r="S78" i="11"/>
  <c r="O78" i="11"/>
  <c r="L78" i="11"/>
  <c r="K78" i="11"/>
  <c r="J78" i="11"/>
  <c r="I78" i="11"/>
  <c r="H78" i="11"/>
  <c r="G78" i="11"/>
  <c r="F78" i="11"/>
  <c r="E78" i="11"/>
  <c r="BJ77" i="11"/>
  <c r="BI77" i="11"/>
  <c r="BH77" i="11"/>
  <c r="BG77" i="11"/>
  <c r="BF77" i="11"/>
  <c r="BE77" i="11"/>
  <c r="BD77" i="11"/>
  <c r="BC77" i="11"/>
  <c r="BB77" i="11"/>
  <c r="BA77" i="11"/>
  <c r="AZ77" i="11"/>
  <c r="AY77" i="11"/>
  <c r="AX77" i="11"/>
  <c r="AW77" i="11"/>
  <c r="AV77" i="11"/>
  <c r="AU77" i="11"/>
  <c r="AT77" i="11"/>
  <c r="AS77" i="11"/>
  <c r="AR77" i="11"/>
  <c r="AQ77" i="11"/>
  <c r="AP77" i="11"/>
  <c r="AO77" i="11"/>
  <c r="AN77" i="11"/>
  <c r="AM77" i="11"/>
  <c r="AL77" i="11"/>
  <c r="AK77" i="11"/>
  <c r="AJ77" i="11"/>
  <c r="AI77" i="11"/>
  <c r="AH77" i="11"/>
  <c r="AG77" i="11"/>
  <c r="AF77" i="11"/>
  <c r="AE77" i="11"/>
  <c r="AD77" i="11"/>
  <c r="AC77" i="11"/>
  <c r="AB77" i="11"/>
  <c r="AA77" i="11"/>
  <c r="Z77" i="11"/>
  <c r="Y77" i="11"/>
  <c r="X77" i="11"/>
  <c r="W77" i="11"/>
  <c r="V77" i="11"/>
  <c r="U77" i="11"/>
  <c r="T77" i="11"/>
  <c r="S77" i="11"/>
  <c r="R77" i="11"/>
  <c r="Q77" i="11"/>
  <c r="P77" i="11"/>
  <c r="O77" i="11"/>
  <c r="N77" i="11"/>
  <c r="M77" i="11"/>
  <c r="L77" i="11"/>
  <c r="K77" i="11"/>
  <c r="J77" i="11"/>
  <c r="I77" i="11"/>
  <c r="H77" i="11"/>
  <c r="G77" i="11"/>
  <c r="F77" i="11"/>
  <c r="E77" i="11"/>
  <c r="BJ76" i="11"/>
  <c r="BI76" i="11"/>
  <c r="BH76" i="11"/>
  <c r="BG76" i="11"/>
  <c r="BF76" i="11"/>
  <c r="BE76" i="11"/>
  <c r="BD76" i="11"/>
  <c r="BC76" i="11"/>
  <c r="BB76" i="11"/>
  <c r="BA76" i="11"/>
  <c r="AZ76" i="11"/>
  <c r="AY76" i="11"/>
  <c r="AX76" i="11"/>
  <c r="AW76" i="11"/>
  <c r="AV76" i="11"/>
  <c r="AU76" i="11"/>
  <c r="AT76" i="11"/>
  <c r="AS76" i="11"/>
  <c r="AR76" i="11"/>
  <c r="AQ76" i="11"/>
  <c r="AP76" i="11"/>
  <c r="AO76" i="11"/>
  <c r="AN76" i="11"/>
  <c r="AM76" i="11"/>
  <c r="AL76" i="11"/>
  <c r="AK76" i="11"/>
  <c r="AJ76" i="11"/>
  <c r="AI76" i="11"/>
  <c r="AH76" i="11"/>
  <c r="AG76" i="11"/>
  <c r="AF76" i="11"/>
  <c r="AE76" i="11"/>
  <c r="AD76" i="11"/>
  <c r="AC76" i="11"/>
  <c r="AB76" i="11"/>
  <c r="AA76" i="11"/>
  <c r="Z76" i="11"/>
  <c r="Y76" i="11"/>
  <c r="X76" i="11"/>
  <c r="W76" i="11"/>
  <c r="V76" i="11"/>
  <c r="U76" i="11"/>
  <c r="T76" i="11"/>
  <c r="S76" i="11"/>
  <c r="R76" i="11"/>
  <c r="Q76" i="11"/>
  <c r="P76" i="11"/>
  <c r="O76" i="11"/>
  <c r="N76" i="11"/>
  <c r="M76" i="11"/>
  <c r="L76" i="11"/>
  <c r="K76" i="11"/>
  <c r="J76" i="11"/>
  <c r="I76" i="11"/>
  <c r="H76" i="11"/>
  <c r="G76" i="11"/>
  <c r="F76" i="11"/>
  <c r="E76" i="11"/>
  <c r="BJ75" i="11"/>
  <c r="BI75" i="11"/>
  <c r="BH75" i="11"/>
  <c r="BG75" i="11"/>
  <c r="BF75" i="11"/>
  <c r="BE75" i="11"/>
  <c r="BD75" i="11"/>
  <c r="BC75" i="11"/>
  <c r="BB75" i="11"/>
  <c r="BA75" i="11"/>
  <c r="AZ75" i="11"/>
  <c r="AY75" i="11"/>
  <c r="AX75" i="11"/>
  <c r="AW75" i="11"/>
  <c r="AV75" i="11"/>
  <c r="AU75" i="11"/>
  <c r="AT75" i="11"/>
  <c r="AS75" i="11"/>
  <c r="AR75" i="11"/>
  <c r="AQ75" i="11"/>
  <c r="AP75" i="11"/>
  <c r="AO75" i="11"/>
  <c r="AN75" i="11"/>
  <c r="AM75" i="11"/>
  <c r="AL75" i="11"/>
  <c r="AK75" i="11"/>
  <c r="AJ75" i="11"/>
  <c r="AI75" i="11"/>
  <c r="AH75" i="11"/>
  <c r="AG75" i="11"/>
  <c r="AF75" i="11"/>
  <c r="AE75" i="11"/>
  <c r="AD75" i="11"/>
  <c r="AC75" i="11"/>
  <c r="AB75" i="11"/>
  <c r="AA75" i="11"/>
  <c r="Z75" i="11"/>
  <c r="Y75" i="11"/>
  <c r="X75" i="11"/>
  <c r="W75" i="11"/>
  <c r="V75" i="11"/>
  <c r="U75" i="11"/>
  <c r="T75" i="11"/>
  <c r="S75" i="11"/>
  <c r="R75" i="11"/>
  <c r="Q75" i="11"/>
  <c r="P75" i="11"/>
  <c r="O75" i="11"/>
  <c r="N75" i="11"/>
  <c r="M75" i="11"/>
  <c r="L75" i="11"/>
  <c r="K75" i="11"/>
  <c r="J75" i="11"/>
  <c r="I75" i="11"/>
  <c r="H75" i="11"/>
  <c r="G75" i="11"/>
  <c r="F75" i="11"/>
  <c r="E75" i="11"/>
  <c r="BJ74" i="11"/>
  <c r="BI74" i="11"/>
  <c r="BH74" i="11"/>
  <c r="BG74" i="11"/>
  <c r="BF74" i="11"/>
  <c r="BE74" i="11"/>
  <c r="BD74" i="11"/>
  <c r="BC74" i="11"/>
  <c r="BB74" i="11"/>
  <c r="BA74" i="11"/>
  <c r="AZ74" i="11"/>
  <c r="AY74" i="11"/>
  <c r="AX74" i="11"/>
  <c r="AW74" i="11"/>
  <c r="AV74" i="11"/>
  <c r="AU74" i="11"/>
  <c r="AT74" i="11"/>
  <c r="AS74" i="11"/>
  <c r="AR74" i="11"/>
  <c r="AQ74" i="11"/>
  <c r="AP74" i="11"/>
  <c r="AO74" i="11"/>
  <c r="AN74" i="11"/>
  <c r="AM74" i="11"/>
  <c r="AL74" i="11"/>
  <c r="AK74" i="11"/>
  <c r="AJ74" i="11"/>
  <c r="AI74" i="11"/>
  <c r="AH74" i="11"/>
  <c r="AG74" i="11"/>
  <c r="AF74" i="11"/>
  <c r="AE74" i="11"/>
  <c r="AD74" i="11"/>
  <c r="AC74" i="11"/>
  <c r="AB74" i="11"/>
  <c r="AA74" i="11"/>
  <c r="Z74" i="11"/>
  <c r="Y74" i="11"/>
  <c r="X74" i="11"/>
  <c r="W74" i="11"/>
  <c r="V74" i="11"/>
  <c r="U74" i="11"/>
  <c r="T74" i="11"/>
  <c r="S74" i="11"/>
  <c r="R74" i="11"/>
  <c r="Q74" i="11"/>
  <c r="P74" i="11"/>
  <c r="O74" i="11"/>
  <c r="N74" i="11"/>
  <c r="M74" i="11"/>
  <c r="L74" i="11"/>
  <c r="K74" i="11"/>
  <c r="J74" i="11"/>
  <c r="I74" i="11"/>
  <c r="H74" i="11"/>
  <c r="G74" i="11"/>
  <c r="F74" i="11"/>
  <c r="E74" i="11"/>
  <c r="BJ73" i="11"/>
  <c r="BI73" i="11"/>
  <c r="BH73" i="11"/>
  <c r="BG73" i="11"/>
  <c r="BF73" i="11"/>
  <c r="BE73" i="11"/>
  <c r="BD73" i="11"/>
  <c r="BC73" i="11"/>
  <c r="BB73" i="11"/>
  <c r="BA73" i="11"/>
  <c r="AZ73" i="11"/>
  <c r="AY73" i="11"/>
  <c r="AX73" i="11"/>
  <c r="AW73" i="11"/>
  <c r="AV73" i="11"/>
  <c r="AU73" i="11"/>
  <c r="AT73" i="11"/>
  <c r="AS73" i="11"/>
  <c r="AR73" i="11"/>
  <c r="AQ73" i="11"/>
  <c r="AP73" i="11"/>
  <c r="AO73" i="11"/>
  <c r="AN73" i="11"/>
  <c r="AM73" i="11"/>
  <c r="AL73" i="11"/>
  <c r="AK73" i="11"/>
  <c r="AJ73" i="11"/>
  <c r="AI73" i="11"/>
  <c r="AH73" i="11"/>
  <c r="AG73" i="11"/>
  <c r="AF73" i="11"/>
  <c r="AE73" i="11"/>
  <c r="AD73" i="11"/>
  <c r="AC73" i="11"/>
  <c r="AB73" i="11"/>
  <c r="AA73" i="11"/>
  <c r="Z73" i="11"/>
  <c r="Y73" i="11"/>
  <c r="X73" i="11"/>
  <c r="W73" i="11"/>
  <c r="V73" i="11"/>
  <c r="U73" i="11"/>
  <c r="T73" i="11"/>
  <c r="S73" i="11"/>
  <c r="R73" i="11"/>
  <c r="Q73" i="11"/>
  <c r="P73" i="11"/>
  <c r="O73" i="11"/>
  <c r="N73" i="11"/>
  <c r="M73" i="11"/>
  <c r="L73" i="11"/>
  <c r="K73" i="11"/>
  <c r="J73" i="11"/>
  <c r="I73" i="11"/>
  <c r="H73" i="11"/>
  <c r="G73" i="11"/>
  <c r="F73" i="11"/>
  <c r="E73" i="11"/>
  <c r="BJ72" i="11"/>
  <c r="BH72" i="11"/>
  <c r="BG72" i="11"/>
  <c r="BF72" i="11"/>
  <c r="BD72" i="11"/>
  <c r="AJ72" i="11"/>
  <c r="AI72" i="11"/>
  <c r="AH72" i="11"/>
  <c r="AF72" i="11"/>
  <c r="L72" i="11"/>
  <c r="K72" i="11"/>
  <c r="J72" i="11"/>
  <c r="H72" i="11"/>
  <c r="BJ71" i="11"/>
  <c r="BI71" i="11"/>
  <c r="BH71" i="11"/>
  <c r="BG71" i="11"/>
  <c r="BF71" i="11"/>
  <c r="BE71" i="11"/>
  <c r="BD71" i="11"/>
  <c r="BC71" i="11"/>
  <c r="BB71" i="11"/>
  <c r="BA71" i="11"/>
  <c r="AZ71" i="11"/>
  <c r="AY71" i="11"/>
  <c r="AX71" i="11"/>
  <c r="AW71" i="11"/>
  <c r="AV71" i="11"/>
  <c r="AU71" i="11"/>
  <c r="AT71" i="11"/>
  <c r="AS71" i="11"/>
  <c r="AR71" i="11"/>
  <c r="AQ71" i="11"/>
  <c r="AP71" i="11"/>
  <c r="AO71" i="11"/>
  <c r="AN71" i="11"/>
  <c r="AM71" i="11"/>
  <c r="AL71" i="11"/>
  <c r="AK71" i="11"/>
  <c r="AJ71" i="11"/>
  <c r="AI71" i="11"/>
  <c r="AH71" i="11"/>
  <c r="AG71" i="11"/>
  <c r="AF71" i="11"/>
  <c r="AE71" i="11"/>
  <c r="AD71" i="11"/>
  <c r="AC71" i="11"/>
  <c r="AB71" i="11"/>
  <c r="AA71" i="11"/>
  <c r="Z71" i="11"/>
  <c r="Y71" i="11"/>
  <c r="X71" i="11"/>
  <c r="W71" i="11"/>
  <c r="V71" i="11"/>
  <c r="U71" i="11"/>
  <c r="T71" i="11"/>
  <c r="S71" i="11"/>
  <c r="R71" i="11"/>
  <c r="Q71" i="11"/>
  <c r="P71" i="11"/>
  <c r="O71" i="11"/>
  <c r="N71" i="11"/>
  <c r="M71" i="11"/>
  <c r="L71" i="11"/>
  <c r="K71" i="11"/>
  <c r="J71" i="11"/>
  <c r="I71" i="11"/>
  <c r="H71" i="11"/>
  <c r="G71" i="11"/>
  <c r="F71" i="11"/>
  <c r="E71" i="11"/>
  <c r="BJ70" i="11"/>
  <c r="BE70" i="11"/>
  <c r="Y70" i="11"/>
  <c r="J70" i="11"/>
  <c r="E70" i="11"/>
  <c r="BJ69" i="11"/>
  <c r="BI69" i="11"/>
  <c r="BH69" i="11"/>
  <c r="BG69" i="11"/>
  <c r="BF69" i="11"/>
  <c r="BE69" i="11"/>
  <c r="BD69" i="11"/>
  <c r="BC69" i="11"/>
  <c r="BB69" i="11"/>
  <c r="BA69" i="11"/>
  <c r="AZ69" i="11"/>
  <c r="AY69" i="11"/>
  <c r="AX69" i="11"/>
  <c r="AW69" i="11"/>
  <c r="AV69" i="11"/>
  <c r="AU69" i="11"/>
  <c r="AT69" i="11"/>
  <c r="AS69" i="11"/>
  <c r="AR69" i="11"/>
  <c r="AQ69" i="11"/>
  <c r="AP69" i="11"/>
  <c r="AO69" i="11"/>
  <c r="AN69" i="11"/>
  <c r="AM69" i="11"/>
  <c r="AL69" i="11"/>
  <c r="AK69" i="11"/>
  <c r="AJ69" i="11"/>
  <c r="AI69" i="11"/>
  <c r="AH69" i="11"/>
  <c r="AG69" i="11"/>
  <c r="AF69" i="11"/>
  <c r="AE69" i="11"/>
  <c r="AD69" i="11"/>
  <c r="AC69" i="11"/>
  <c r="AB69" i="11"/>
  <c r="AA69" i="11"/>
  <c r="Z69" i="11"/>
  <c r="Y69" i="11"/>
  <c r="X69" i="11"/>
  <c r="W69" i="11"/>
  <c r="V69" i="11"/>
  <c r="U69" i="11"/>
  <c r="T69" i="11"/>
  <c r="S69" i="11"/>
  <c r="R69" i="11"/>
  <c r="Q69" i="11"/>
  <c r="P69" i="11"/>
  <c r="O69" i="11"/>
  <c r="N69" i="11"/>
  <c r="M69" i="11"/>
  <c r="L69" i="11"/>
  <c r="K69" i="11"/>
  <c r="J69" i="11"/>
  <c r="I69" i="11"/>
  <c r="H69" i="11"/>
  <c r="G69" i="11"/>
  <c r="F69" i="11"/>
  <c r="E69" i="11"/>
  <c r="BJ68" i="11"/>
  <c r="BH68" i="11"/>
  <c r="AJ68" i="11"/>
  <c r="L68" i="11"/>
  <c r="BJ67" i="11"/>
  <c r="BF67" i="11"/>
  <c r="BC67" i="11"/>
  <c r="BB67" i="11"/>
  <c r="BA67" i="11"/>
  <c r="AZ67" i="11"/>
  <c r="AY67" i="11"/>
  <c r="AX67" i="11"/>
  <c r="AW67" i="11"/>
  <c r="AV67" i="11"/>
  <c r="AU67" i="11"/>
  <c r="AT67" i="11"/>
  <c r="AS67" i="11"/>
  <c r="AR67" i="11"/>
  <c r="AQ67" i="11"/>
  <c r="AP67" i="11"/>
  <c r="AO67" i="11"/>
  <c r="AN67" i="11"/>
  <c r="AM67" i="11"/>
  <c r="AL67" i="11"/>
  <c r="AH67" i="11"/>
  <c r="AE67" i="11"/>
  <c r="AD67" i="11"/>
  <c r="AC67" i="11"/>
  <c r="AB67" i="11"/>
  <c r="AA67" i="11"/>
  <c r="Z67" i="11"/>
  <c r="Y67" i="11"/>
  <c r="X67" i="11"/>
  <c r="W67" i="11"/>
  <c r="V67" i="11"/>
  <c r="U67" i="11"/>
  <c r="T67" i="11"/>
  <c r="S67" i="11"/>
  <c r="R67" i="11"/>
  <c r="Q67" i="11"/>
  <c r="P67" i="11"/>
  <c r="O67" i="11"/>
  <c r="N67" i="11"/>
  <c r="J67" i="11"/>
  <c r="G67" i="11"/>
  <c r="F67" i="11"/>
  <c r="E67" i="11"/>
  <c r="BJ66" i="11"/>
  <c r="AP66" i="11"/>
  <c r="R66" i="11"/>
  <c r="Q66" i="11"/>
  <c r="BJ65" i="11"/>
  <c r="BI65" i="11"/>
  <c r="BH65" i="11"/>
  <c r="BG65" i="11"/>
  <c r="BF65" i="11"/>
  <c r="BE65" i="11"/>
  <c r="BD65" i="11"/>
  <c r="BC65" i="11"/>
  <c r="BB65" i="11"/>
  <c r="BA65" i="11"/>
  <c r="AZ65" i="11"/>
  <c r="AY65" i="11"/>
  <c r="AX65" i="11"/>
  <c r="AW65" i="11"/>
  <c r="AV65" i="11"/>
  <c r="AU65" i="11"/>
  <c r="AT65" i="11"/>
  <c r="AS65" i="11"/>
  <c r="AR65" i="11"/>
  <c r="AQ65" i="11"/>
  <c r="AP65" i="11"/>
  <c r="AO65" i="11"/>
  <c r="AN65" i="11"/>
  <c r="AM65" i="11"/>
  <c r="AL65" i="11"/>
  <c r="AK65" i="11"/>
  <c r="AJ65" i="11"/>
  <c r="AI65" i="11"/>
  <c r="AH65" i="11"/>
  <c r="AG65" i="11"/>
  <c r="AF65" i="11"/>
  <c r="AE65" i="11"/>
  <c r="AD65" i="11"/>
  <c r="AC65" i="11"/>
  <c r="AB65" i="11"/>
  <c r="AA65" i="11"/>
  <c r="Z65" i="11"/>
  <c r="Y65" i="11"/>
  <c r="X65" i="11"/>
  <c r="W65" i="11"/>
  <c r="V65" i="11"/>
  <c r="U65" i="11"/>
  <c r="T65" i="11"/>
  <c r="S65" i="11"/>
  <c r="R65" i="11"/>
  <c r="Q65" i="11"/>
  <c r="P65" i="11"/>
  <c r="O65" i="11"/>
  <c r="N65" i="11"/>
  <c r="M65" i="11"/>
  <c r="L65" i="11"/>
  <c r="K65" i="11"/>
  <c r="J65" i="11"/>
  <c r="I65" i="11"/>
  <c r="H65" i="11"/>
  <c r="G65" i="11"/>
  <c r="F65" i="11"/>
  <c r="E65" i="11"/>
  <c r="BJ64" i="11"/>
  <c r="AZ64" i="11"/>
  <c r="AM64" i="11"/>
  <c r="AB64" i="11"/>
  <c r="Y64" i="11"/>
  <c r="Q64" i="11"/>
  <c r="P64" i="11"/>
  <c r="O64" i="11"/>
  <c r="BJ63" i="11"/>
  <c r="BE63" i="11"/>
  <c r="BJ62" i="11"/>
  <c r="BI62" i="11"/>
  <c r="BH62" i="11"/>
  <c r="BG62" i="11"/>
  <c r="BF62" i="11"/>
  <c r="BE62" i="11"/>
  <c r="BD62" i="11"/>
  <c r="BC62" i="11"/>
  <c r="BB62" i="11"/>
  <c r="BA62" i="11"/>
  <c r="AZ62" i="11"/>
  <c r="AY62" i="11"/>
  <c r="AX62" i="11"/>
  <c r="AW62" i="11"/>
  <c r="AV62" i="11"/>
  <c r="AU62" i="11"/>
  <c r="AT62" i="11"/>
  <c r="AS62" i="11"/>
  <c r="AR62" i="11"/>
  <c r="AQ62" i="11"/>
  <c r="AP62" i="11"/>
  <c r="AO62" i="11"/>
  <c r="AN62" i="11"/>
  <c r="AM62" i="11"/>
  <c r="AL62" i="11"/>
  <c r="AK62" i="11"/>
  <c r="AJ62" i="11"/>
  <c r="AI62" i="11"/>
  <c r="AH62" i="11"/>
  <c r="AG62" i="11"/>
  <c r="AF62" i="11"/>
  <c r="AE62" i="11"/>
  <c r="AD62" i="11"/>
  <c r="AC62" i="11"/>
  <c r="AB62" i="11"/>
  <c r="AA62" i="11"/>
  <c r="Z62" i="11"/>
  <c r="Y62" i="11"/>
  <c r="X62" i="11"/>
  <c r="W62" i="11"/>
  <c r="V62" i="11"/>
  <c r="U62" i="11"/>
  <c r="T62" i="11"/>
  <c r="S62" i="11"/>
  <c r="R62" i="11"/>
  <c r="Q62" i="11"/>
  <c r="P62" i="11"/>
  <c r="O62" i="11"/>
  <c r="N62" i="11"/>
  <c r="M62" i="11"/>
  <c r="L62" i="11"/>
  <c r="K62" i="11"/>
  <c r="J62" i="11"/>
  <c r="I62" i="11"/>
  <c r="H62" i="11"/>
  <c r="G62" i="11"/>
  <c r="F62" i="11"/>
  <c r="E62" i="11"/>
  <c r="BJ61" i="11"/>
  <c r="BI61" i="11"/>
  <c r="BH61" i="11"/>
  <c r="BG61" i="11"/>
  <c r="BF61" i="11"/>
  <c r="BE61" i="11"/>
  <c r="BD61" i="11"/>
  <c r="BC61" i="11"/>
  <c r="BB61" i="11"/>
  <c r="BA61" i="11"/>
  <c r="AZ61" i="11"/>
  <c r="AY61" i="11"/>
  <c r="AX61" i="11"/>
  <c r="AW61" i="11"/>
  <c r="AV61" i="11"/>
  <c r="AU61" i="11"/>
  <c r="AT61" i="11"/>
  <c r="AS61" i="11"/>
  <c r="AR61" i="11"/>
  <c r="AQ61" i="11"/>
  <c r="AP61" i="11"/>
  <c r="AO61" i="11"/>
  <c r="AN61" i="11"/>
  <c r="AM61" i="11"/>
  <c r="AL61" i="11"/>
  <c r="AK61" i="11"/>
  <c r="AJ61" i="11"/>
  <c r="AI61" i="11"/>
  <c r="AH61" i="11"/>
  <c r="AG61" i="11"/>
  <c r="AF61" i="11"/>
  <c r="AE61" i="11"/>
  <c r="AD61" i="11"/>
  <c r="AC61" i="11"/>
  <c r="AB61" i="11"/>
  <c r="AA61" i="11"/>
  <c r="Z61" i="11"/>
  <c r="Y61" i="11"/>
  <c r="X61" i="11"/>
  <c r="W61" i="11"/>
  <c r="V61" i="11"/>
  <c r="U61" i="11"/>
  <c r="T61" i="11"/>
  <c r="S61" i="11"/>
  <c r="R61" i="11"/>
  <c r="Q61" i="11"/>
  <c r="P61" i="11"/>
  <c r="O61" i="11"/>
  <c r="N61" i="11"/>
  <c r="M61" i="11"/>
  <c r="L61" i="11"/>
  <c r="K61" i="11"/>
  <c r="J61" i="11"/>
  <c r="I61" i="11"/>
  <c r="H61" i="11"/>
  <c r="G61" i="11"/>
  <c r="F61" i="11"/>
  <c r="E61" i="11"/>
  <c r="BJ60" i="11"/>
  <c r="BH60" i="11"/>
  <c r="BD60" i="11"/>
  <c r="BC60" i="11"/>
  <c r="AY60" i="11"/>
  <c r="AX60" i="11"/>
  <c r="AU60" i="11"/>
  <c r="AS60" i="11"/>
  <c r="AJ60" i="11"/>
  <c r="AF60" i="11"/>
  <c r="AE60" i="11"/>
  <c r="AA60" i="11"/>
  <c r="Z60" i="11"/>
  <c r="W60" i="11"/>
  <c r="U60" i="11"/>
  <c r="L60" i="11"/>
  <c r="H60" i="11"/>
  <c r="G60" i="11"/>
  <c r="BJ59" i="11"/>
  <c r="BD59" i="11"/>
  <c r="AF59" i="11"/>
  <c r="H59" i="11"/>
  <c r="BJ58" i="11"/>
  <c r="AV58" i="11"/>
  <c r="AU58" i="11"/>
  <c r="AO58" i="11"/>
  <c r="AL58" i="11"/>
  <c r="X58" i="11"/>
  <c r="W58" i="11"/>
  <c r="Q58" i="11"/>
  <c r="N58" i="11"/>
  <c r="BJ57" i="11"/>
  <c r="BI57" i="11"/>
  <c r="BH57" i="11"/>
  <c r="BG57" i="11"/>
  <c r="BF57" i="11"/>
  <c r="BE57" i="11"/>
  <c r="BD57" i="11"/>
  <c r="BC57" i="11"/>
  <c r="BB57" i="11"/>
  <c r="BA57" i="11"/>
  <c r="AZ57" i="11"/>
  <c r="AY57" i="11"/>
  <c r="AX57" i="11"/>
  <c r="AW57" i="11"/>
  <c r="AV57" i="11"/>
  <c r="AU57" i="11"/>
  <c r="AT57" i="11"/>
  <c r="AS57" i="11"/>
  <c r="AR57" i="11"/>
  <c r="AQ57" i="11"/>
  <c r="AP57" i="11"/>
  <c r="AO57" i="11"/>
  <c r="AN57" i="11"/>
  <c r="AM57" i="11"/>
  <c r="AL57" i="11"/>
  <c r="AK57" i="11"/>
  <c r="AJ57" i="11"/>
  <c r="AI57" i="11"/>
  <c r="AH57" i="11"/>
  <c r="AG57" i="11"/>
  <c r="AF57" i="11"/>
  <c r="AE57" i="11"/>
  <c r="AD57" i="11"/>
  <c r="AC57" i="11"/>
  <c r="AB57" i="11"/>
  <c r="AA57" i="11"/>
  <c r="Z57" i="11"/>
  <c r="Y57" i="11"/>
  <c r="X57" i="11"/>
  <c r="W57" i="11"/>
  <c r="V57" i="11"/>
  <c r="U57" i="11"/>
  <c r="T57" i="11"/>
  <c r="S57" i="11"/>
  <c r="R57" i="11"/>
  <c r="Q57" i="11"/>
  <c r="P57" i="11"/>
  <c r="O57" i="11"/>
  <c r="N57" i="11"/>
  <c r="M57" i="11"/>
  <c r="L57" i="11"/>
  <c r="K57" i="11"/>
  <c r="J57" i="11"/>
  <c r="I57" i="11"/>
  <c r="H57" i="11"/>
  <c r="G57" i="11"/>
  <c r="F57" i="11"/>
  <c r="E57" i="11"/>
  <c r="BJ56" i="11"/>
  <c r="BI56" i="11"/>
  <c r="BH56" i="11"/>
  <c r="BG56" i="11"/>
  <c r="BF56" i="11"/>
  <c r="BE56" i="11"/>
  <c r="BD56" i="11"/>
  <c r="BC56" i="11"/>
  <c r="BB56" i="11"/>
  <c r="BA56" i="11"/>
  <c r="AZ56" i="11"/>
  <c r="AY56" i="11"/>
  <c r="AX56" i="11"/>
  <c r="AW56" i="11"/>
  <c r="AV56" i="11"/>
  <c r="AU56" i="11"/>
  <c r="AR56" i="11"/>
  <c r="AQ56" i="11"/>
  <c r="AN56" i="11"/>
  <c r="AM56" i="11"/>
  <c r="AL56" i="11"/>
  <c r="AK56" i="11"/>
  <c r="AJ56" i="11"/>
  <c r="AI56" i="11"/>
  <c r="AH56" i="11"/>
  <c r="AG56" i="11"/>
  <c r="AF56" i="11"/>
  <c r="AE56" i="11"/>
  <c r="AD56" i="11"/>
  <c r="AC56" i="11"/>
  <c r="AB56" i="11"/>
  <c r="AA56" i="11"/>
  <c r="Z56" i="11"/>
  <c r="Y56" i="11"/>
  <c r="X56" i="11"/>
  <c r="W56" i="11"/>
  <c r="T56" i="11"/>
  <c r="S56" i="11"/>
  <c r="P56" i="11"/>
  <c r="O56" i="11"/>
  <c r="N56" i="11"/>
  <c r="M56" i="11"/>
  <c r="L56" i="11"/>
  <c r="K56" i="11"/>
  <c r="J56" i="11"/>
  <c r="I56" i="11"/>
  <c r="H56" i="11"/>
  <c r="G56" i="11"/>
  <c r="F56" i="11"/>
  <c r="E56" i="11"/>
  <c r="BJ55" i="11"/>
  <c r="BI55" i="11"/>
  <c r="BH55" i="11"/>
  <c r="BG55" i="11"/>
  <c r="BF55" i="11"/>
  <c r="BE55" i="11"/>
  <c r="BD55" i="11"/>
  <c r="BC55" i="11"/>
  <c r="BB55" i="11"/>
  <c r="BA55" i="11"/>
  <c r="AZ55" i="11"/>
  <c r="AY55" i="11"/>
  <c r="AX55" i="11"/>
  <c r="AW55" i="11"/>
  <c r="AV55" i="11"/>
  <c r="AU55" i="11"/>
  <c r="AT55" i="11"/>
  <c r="AS55" i="11"/>
  <c r="AR55" i="11"/>
  <c r="AQ55" i="11"/>
  <c r="AP55" i="11"/>
  <c r="AO55" i="11"/>
  <c r="AN55" i="11"/>
  <c r="AM55" i="11"/>
  <c r="AL55" i="11"/>
  <c r="AK55" i="11"/>
  <c r="AJ55" i="11"/>
  <c r="AI55" i="11"/>
  <c r="AH55" i="11"/>
  <c r="AG55" i="11"/>
  <c r="AF55" i="11"/>
  <c r="AE55" i="11"/>
  <c r="AD55" i="11"/>
  <c r="AC55" i="11"/>
  <c r="AB55" i="11"/>
  <c r="AA55" i="11"/>
  <c r="Z55" i="11"/>
  <c r="Y55" i="11"/>
  <c r="X55" i="11"/>
  <c r="W55" i="11"/>
  <c r="V55" i="11"/>
  <c r="U55" i="11"/>
  <c r="T55" i="11"/>
  <c r="S55" i="11"/>
  <c r="R55" i="11"/>
  <c r="Q55" i="11"/>
  <c r="P55" i="11"/>
  <c r="O55" i="11"/>
  <c r="N55" i="11"/>
  <c r="M55" i="11"/>
  <c r="L55" i="11"/>
  <c r="K55" i="11"/>
  <c r="J55" i="11"/>
  <c r="I55" i="11"/>
  <c r="H55" i="11"/>
  <c r="G55" i="11"/>
  <c r="F55" i="11"/>
  <c r="E55" i="11"/>
  <c r="BJ54" i="11"/>
  <c r="BI54" i="11"/>
  <c r="BH54" i="11"/>
  <c r="BG54" i="11"/>
  <c r="BF54" i="11"/>
  <c r="BE54" i="11"/>
  <c r="BD54" i="11"/>
  <c r="BC54" i="11"/>
  <c r="BB54" i="11"/>
  <c r="BA54" i="11"/>
  <c r="AZ54" i="11"/>
  <c r="AY54" i="11"/>
  <c r="AX54" i="11"/>
  <c r="AW54" i="11"/>
  <c r="AV54" i="11"/>
  <c r="AU54" i="11"/>
  <c r="AT54" i="11"/>
  <c r="AS54" i="11"/>
  <c r="AR54" i="11"/>
  <c r="AQ54" i="11"/>
  <c r="AP54" i="11"/>
  <c r="AO54" i="11"/>
  <c r="AN54" i="11"/>
  <c r="AM54" i="11"/>
  <c r="AL54" i="11"/>
  <c r="AK54" i="11"/>
  <c r="AJ54" i="11"/>
  <c r="AI54" i="11"/>
  <c r="AH54" i="11"/>
  <c r="AG54" i="11"/>
  <c r="AF54" i="11"/>
  <c r="AE54" i="11"/>
  <c r="AD54" i="11"/>
  <c r="AC54" i="11"/>
  <c r="AB54" i="11"/>
  <c r="AA54" i="11"/>
  <c r="Z54" i="11"/>
  <c r="Y54" i="11"/>
  <c r="X54" i="11"/>
  <c r="W54" i="11"/>
  <c r="V54" i="11"/>
  <c r="U54" i="11"/>
  <c r="T54" i="11"/>
  <c r="S54" i="11"/>
  <c r="R54" i="11"/>
  <c r="Q54" i="11"/>
  <c r="P54" i="11"/>
  <c r="O54" i="11"/>
  <c r="N54" i="11"/>
  <c r="M54" i="11"/>
  <c r="L54" i="11"/>
  <c r="K54" i="11"/>
  <c r="J54" i="11"/>
  <c r="I54" i="11"/>
  <c r="H54" i="11"/>
  <c r="G54" i="11"/>
  <c r="F54" i="11"/>
  <c r="E54" i="11"/>
  <c r="BJ53" i="11"/>
  <c r="BG53" i="11"/>
  <c r="BD53" i="11"/>
  <c r="BC53" i="11"/>
  <c r="BB53" i="11"/>
  <c r="BA53" i="11"/>
  <c r="AZ53" i="11"/>
  <c r="AY53" i="11"/>
  <c r="AV53" i="11"/>
  <c r="AU53" i="11"/>
  <c r="AT53" i="11"/>
  <c r="AS53" i="11"/>
  <c r="AA53" i="11"/>
  <c r="X53" i="11"/>
  <c r="W53" i="11"/>
  <c r="V53" i="11"/>
  <c r="H53" i="11"/>
  <c r="G53" i="11"/>
  <c r="F53" i="11"/>
  <c r="E53" i="11"/>
  <c r="BJ52" i="11"/>
  <c r="AX52" i="11"/>
  <c r="Z52" i="11"/>
  <c r="BJ51" i="11"/>
  <c r="BI51" i="11"/>
  <c r="BH51" i="11"/>
  <c r="BG51" i="11"/>
  <c r="BF51" i="11"/>
  <c r="BE51" i="11"/>
  <c r="BD51" i="11"/>
  <c r="BC51" i="11"/>
  <c r="BB51" i="11"/>
  <c r="BA51" i="11"/>
  <c r="AZ51" i="11"/>
  <c r="AY51" i="11"/>
  <c r="AX51" i="11"/>
  <c r="AW51" i="11"/>
  <c r="AV51" i="11"/>
  <c r="AU51" i="11"/>
  <c r="AT51" i="11"/>
  <c r="AS51" i="11"/>
  <c r="AR51" i="11"/>
  <c r="AQ51" i="11"/>
  <c r="AP51" i="11"/>
  <c r="AO51" i="11"/>
  <c r="AN51" i="11"/>
  <c r="AM51" i="11"/>
  <c r="AL51" i="11"/>
  <c r="AK51" i="11"/>
  <c r="AJ51" i="11"/>
  <c r="AI51" i="11"/>
  <c r="AH51" i="11"/>
  <c r="AG51" i="11"/>
  <c r="AF51" i="11"/>
  <c r="AE51" i="11"/>
  <c r="AD51" i="11"/>
  <c r="AC51" i="11"/>
  <c r="AB51" i="11"/>
  <c r="AA51" i="11"/>
  <c r="Z51" i="11"/>
  <c r="Y51" i="11"/>
  <c r="X51" i="11"/>
  <c r="W51" i="11"/>
  <c r="V51" i="11"/>
  <c r="U51" i="11"/>
  <c r="T51" i="11"/>
  <c r="S51" i="11"/>
  <c r="R51" i="11"/>
  <c r="Q51" i="11"/>
  <c r="P51" i="11"/>
  <c r="O51" i="11"/>
  <c r="N51" i="11"/>
  <c r="M51" i="11"/>
  <c r="L51" i="11"/>
  <c r="K51" i="11"/>
  <c r="J51" i="11"/>
  <c r="I51" i="11"/>
  <c r="H51" i="11"/>
  <c r="G51" i="11"/>
  <c r="F51" i="11"/>
  <c r="E51" i="11"/>
  <c r="BJ50" i="11"/>
  <c r="BI50" i="11"/>
  <c r="BH50" i="11"/>
  <c r="BG50" i="11"/>
  <c r="BF50" i="11"/>
  <c r="BE50" i="11"/>
  <c r="BD50" i="11"/>
  <c r="BC50" i="11"/>
  <c r="BB50" i="11"/>
  <c r="BA50" i="11"/>
  <c r="AZ50" i="11"/>
  <c r="AY50" i="11"/>
  <c r="AX50" i="11"/>
  <c r="AW50" i="11"/>
  <c r="AV50" i="11"/>
  <c r="AU50" i="11"/>
  <c r="AT50" i="11"/>
  <c r="AS50" i="11"/>
  <c r="AR50" i="11"/>
  <c r="AQ50" i="11"/>
  <c r="AP50" i="11"/>
  <c r="AO50" i="11"/>
  <c r="AN50" i="11"/>
  <c r="AM50" i="11"/>
  <c r="AL50" i="11"/>
  <c r="AK50" i="11"/>
  <c r="AJ50" i="11"/>
  <c r="AI50" i="11"/>
  <c r="AH50" i="11"/>
  <c r="AG50" i="11"/>
  <c r="AF50" i="11"/>
  <c r="AE50" i="11"/>
  <c r="AD50" i="11"/>
  <c r="AC50" i="11"/>
  <c r="AB50" i="11"/>
  <c r="AA50" i="11"/>
  <c r="Z50" i="11"/>
  <c r="Y50" i="11"/>
  <c r="X50" i="11"/>
  <c r="W50" i="11"/>
  <c r="V50" i="11"/>
  <c r="U50" i="11"/>
  <c r="T50" i="11"/>
  <c r="S50" i="11"/>
  <c r="R50" i="11"/>
  <c r="Q50" i="11"/>
  <c r="P50" i="11"/>
  <c r="O50" i="11"/>
  <c r="N50" i="11"/>
  <c r="M50" i="11"/>
  <c r="L50" i="11"/>
  <c r="K50" i="11"/>
  <c r="J50" i="11"/>
  <c r="I50" i="11"/>
  <c r="H50" i="11"/>
  <c r="G50" i="11"/>
  <c r="F50" i="11"/>
  <c r="E50" i="11"/>
  <c r="BJ49" i="11"/>
  <c r="BI49" i="11"/>
  <c r="BH49" i="11"/>
  <c r="BG49" i="11"/>
  <c r="BF49" i="11"/>
  <c r="BE49" i="11"/>
  <c r="BD49" i="11"/>
  <c r="BC49" i="11"/>
  <c r="BB49" i="11"/>
  <c r="BA49" i="11"/>
  <c r="AZ49" i="11"/>
  <c r="AY49" i="11"/>
  <c r="AX49" i="11"/>
  <c r="AW49" i="11"/>
  <c r="AV49" i="11"/>
  <c r="AU49" i="11"/>
  <c r="AT49" i="11"/>
  <c r="AS49" i="11"/>
  <c r="AR49" i="11"/>
  <c r="AQ49" i="11"/>
  <c r="AP49" i="11"/>
  <c r="AO49" i="11"/>
  <c r="AN49" i="11"/>
  <c r="AM49" i="11"/>
  <c r="AL49" i="11"/>
  <c r="AK49" i="11"/>
  <c r="AJ49" i="11"/>
  <c r="AI49" i="11"/>
  <c r="AH49" i="11"/>
  <c r="AG49" i="11"/>
  <c r="AF49" i="11"/>
  <c r="AE49" i="11"/>
  <c r="AD49" i="11"/>
  <c r="AC49" i="11"/>
  <c r="AB49" i="11"/>
  <c r="AA49" i="11"/>
  <c r="Z49" i="11"/>
  <c r="Y49" i="11"/>
  <c r="X49" i="11"/>
  <c r="W49" i="11"/>
  <c r="V49" i="11"/>
  <c r="U49" i="11"/>
  <c r="T49" i="11"/>
  <c r="S49" i="11"/>
  <c r="R49" i="11"/>
  <c r="Q49" i="11"/>
  <c r="P49" i="11"/>
  <c r="O49" i="11"/>
  <c r="N49" i="11"/>
  <c r="M49" i="11"/>
  <c r="L49" i="11"/>
  <c r="K49" i="11"/>
  <c r="J49" i="11"/>
  <c r="I49" i="11"/>
  <c r="H49" i="11"/>
  <c r="G49" i="11"/>
  <c r="F49" i="11"/>
  <c r="E49" i="11"/>
  <c r="BJ48" i="11"/>
  <c r="BI48" i="11"/>
  <c r="BH48" i="11"/>
  <c r="BG48" i="11"/>
  <c r="BF48" i="11"/>
  <c r="BE48" i="11"/>
  <c r="BD48" i="11"/>
  <c r="BC48" i="11"/>
  <c r="BB48" i="11"/>
  <c r="BA48" i="11"/>
  <c r="AZ48" i="11"/>
  <c r="AY48" i="11"/>
  <c r="AX48" i="11"/>
  <c r="AV48" i="11"/>
  <c r="AU48" i="11"/>
  <c r="AT48" i="11"/>
  <c r="AS48" i="11"/>
  <c r="AR48" i="11"/>
  <c r="AQ48" i="11"/>
  <c r="AP48" i="11"/>
  <c r="AO48" i="11"/>
  <c r="AN48" i="11"/>
  <c r="AM48" i="11"/>
  <c r="AL48" i="11"/>
  <c r="AK48" i="11"/>
  <c r="AJ48" i="11"/>
  <c r="AI48" i="11"/>
  <c r="AH48" i="11"/>
  <c r="AG48" i="11"/>
  <c r="AF48" i="11"/>
  <c r="AE48" i="11"/>
  <c r="AD48" i="11"/>
  <c r="AC48" i="11"/>
  <c r="AB48" i="11"/>
  <c r="AA48" i="11"/>
  <c r="Z48" i="11"/>
  <c r="X48" i="11"/>
  <c r="W48" i="11"/>
  <c r="V48" i="11"/>
  <c r="U48" i="11"/>
  <c r="T48" i="11"/>
  <c r="S48" i="11"/>
  <c r="R48" i="11"/>
  <c r="Q48" i="11"/>
  <c r="P48" i="11"/>
  <c r="O48" i="11"/>
  <c r="N48" i="11"/>
  <c r="M48" i="11"/>
  <c r="L48" i="11"/>
  <c r="K48" i="11"/>
  <c r="J48" i="11"/>
  <c r="I48" i="11"/>
  <c r="H48" i="11"/>
  <c r="G48" i="11"/>
  <c r="F48" i="11"/>
  <c r="E48" i="11"/>
  <c r="BJ47" i="11"/>
  <c r="BI47" i="11"/>
  <c r="BH47" i="11"/>
  <c r="BG47" i="11"/>
  <c r="BF47" i="11"/>
  <c r="BE47" i="11"/>
  <c r="BD47" i="11"/>
  <c r="BC47" i="11"/>
  <c r="BB47" i="11"/>
  <c r="BA47" i="11"/>
  <c r="AZ47" i="11"/>
  <c r="AY47" i="11"/>
  <c r="AX47" i="11"/>
  <c r="AW47" i="11"/>
  <c r="AV47" i="11"/>
  <c r="AU47" i="11"/>
  <c r="AT47" i="11"/>
  <c r="AS47" i="11"/>
  <c r="AR47" i="11"/>
  <c r="AQ47" i="11"/>
  <c r="AP47" i="11"/>
  <c r="AO47" i="11"/>
  <c r="AN47" i="11"/>
  <c r="AM47" i="11"/>
  <c r="AL47" i="11"/>
  <c r="AK47" i="11"/>
  <c r="AJ47" i="11"/>
  <c r="AI47" i="11"/>
  <c r="AH47" i="11"/>
  <c r="AG47" i="11"/>
  <c r="AF47" i="11"/>
  <c r="AE47" i="11"/>
  <c r="AD47" i="11"/>
  <c r="AC47" i="11"/>
  <c r="AB47" i="11"/>
  <c r="AA47" i="11"/>
  <c r="Z47" i="11"/>
  <c r="Y47" i="11"/>
  <c r="X47" i="11"/>
  <c r="W47" i="11"/>
  <c r="V47" i="11"/>
  <c r="U47" i="11"/>
  <c r="T47" i="11"/>
  <c r="S47" i="11"/>
  <c r="R47" i="11"/>
  <c r="Q47" i="11"/>
  <c r="P47" i="11"/>
  <c r="O47" i="11"/>
  <c r="N47" i="11"/>
  <c r="M47" i="11"/>
  <c r="L47" i="11"/>
  <c r="K47" i="11"/>
  <c r="J47" i="11"/>
  <c r="I47" i="11"/>
  <c r="H47" i="11"/>
  <c r="G47" i="11"/>
  <c r="F47" i="11"/>
  <c r="E47" i="11"/>
  <c r="BJ46" i="11"/>
  <c r="BI46" i="11"/>
  <c r="BH46" i="11"/>
  <c r="BG46" i="11"/>
  <c r="BF46" i="11"/>
  <c r="BE46" i="11"/>
  <c r="BD46" i="11"/>
  <c r="BC46" i="11"/>
  <c r="BB46" i="11"/>
  <c r="BA46" i="11"/>
  <c r="AZ46" i="11"/>
  <c r="AY46" i="11"/>
  <c r="AX46" i="11"/>
  <c r="AW46" i="11"/>
  <c r="AV46" i="11"/>
  <c r="AU46" i="11"/>
  <c r="AT46" i="11"/>
  <c r="AS46" i="11"/>
  <c r="AR46" i="11"/>
  <c r="AQ46" i="11"/>
  <c r="AP46" i="11"/>
  <c r="AO46" i="11"/>
  <c r="AN46" i="11"/>
  <c r="AM46" i="11"/>
  <c r="AL46" i="11"/>
  <c r="AK46" i="11"/>
  <c r="AJ46" i="11"/>
  <c r="AI46" i="11"/>
  <c r="AH46" i="11"/>
  <c r="AG46" i="11"/>
  <c r="AF46" i="11"/>
  <c r="AE46" i="11"/>
  <c r="AD46" i="11"/>
  <c r="AC46" i="11"/>
  <c r="AB46" i="11"/>
  <c r="AA46" i="11"/>
  <c r="Z46" i="11"/>
  <c r="Y46" i="11"/>
  <c r="X46" i="11"/>
  <c r="W46" i="11"/>
  <c r="V46" i="11"/>
  <c r="U46" i="11"/>
  <c r="T46" i="11"/>
  <c r="S46" i="11"/>
  <c r="R46" i="11"/>
  <c r="Q46" i="11"/>
  <c r="P46" i="11"/>
  <c r="O46" i="11"/>
  <c r="N46" i="11"/>
  <c r="M46" i="11"/>
  <c r="L46" i="11"/>
  <c r="K46" i="11"/>
  <c r="J46" i="11"/>
  <c r="I46" i="11"/>
  <c r="H46" i="11"/>
  <c r="G46" i="11"/>
  <c r="F46" i="11"/>
  <c r="E46" i="11"/>
  <c r="BJ45" i="11"/>
  <c r="BF45" i="11"/>
  <c r="BE45" i="11"/>
  <c r="AY45" i="11"/>
  <c r="AV45" i="11"/>
  <c r="AH45" i="11"/>
  <c r="X45" i="11"/>
  <c r="J45" i="11"/>
  <c r="I45" i="11"/>
  <c r="BJ44" i="11"/>
  <c r="BJ43" i="11"/>
  <c r="BI43" i="11"/>
  <c r="BH43" i="11"/>
  <c r="BG43" i="11"/>
  <c r="BF43" i="11"/>
  <c r="BE43" i="11"/>
  <c r="BD43" i="11"/>
  <c r="BC43" i="11"/>
  <c r="BB43" i="11"/>
  <c r="BA43" i="11"/>
  <c r="AZ43" i="11"/>
  <c r="AY43" i="11"/>
  <c r="AX43" i="11"/>
  <c r="AW43" i="11"/>
  <c r="AV43" i="11"/>
  <c r="AU43" i="11"/>
  <c r="AT43" i="11"/>
  <c r="AS43" i="11"/>
  <c r="AR43" i="11"/>
  <c r="AQ43" i="11"/>
  <c r="AP43" i="11"/>
  <c r="AO43" i="11"/>
  <c r="AN43" i="11"/>
  <c r="AM43" i="11"/>
  <c r="AL43" i="11"/>
  <c r="AK43" i="11"/>
  <c r="AJ43" i="11"/>
  <c r="AI43" i="11"/>
  <c r="AH43" i="11"/>
  <c r="AG43" i="11"/>
  <c r="AF43" i="11"/>
  <c r="AE43" i="11"/>
  <c r="AD43" i="11"/>
  <c r="AC43" i="11"/>
  <c r="AB43" i="11"/>
  <c r="AA43" i="11"/>
  <c r="Z43" i="11"/>
  <c r="Y43" i="11"/>
  <c r="X43" i="11"/>
  <c r="W43" i="11"/>
  <c r="V43" i="11"/>
  <c r="U43" i="11"/>
  <c r="T43" i="11"/>
  <c r="S43" i="11"/>
  <c r="R43" i="11"/>
  <c r="Q43" i="11"/>
  <c r="P43" i="11"/>
  <c r="O43" i="11"/>
  <c r="N43" i="11"/>
  <c r="M43" i="11"/>
  <c r="L43" i="11"/>
  <c r="K43" i="11"/>
  <c r="J43" i="11"/>
  <c r="I43" i="11"/>
  <c r="H43" i="11"/>
  <c r="G43" i="11"/>
  <c r="F43" i="11"/>
  <c r="E43" i="11"/>
  <c r="BJ42" i="11"/>
  <c r="BE42" i="11"/>
  <c r="AQ42" i="11"/>
  <c r="AF42" i="11"/>
  <c r="R42" i="11"/>
  <c r="G42" i="11"/>
  <c r="BJ41" i="11"/>
  <c r="BI41" i="11"/>
  <c r="BH41" i="11"/>
  <c r="BG41" i="11"/>
  <c r="BF41" i="11"/>
  <c r="BE41" i="11"/>
  <c r="BD41" i="11"/>
  <c r="BC41" i="11"/>
  <c r="BB41" i="11"/>
  <c r="BA41" i="11"/>
  <c r="AZ41" i="11"/>
  <c r="AY41" i="11"/>
  <c r="AX41" i="11"/>
  <c r="AW41" i="11"/>
  <c r="AV41" i="11"/>
  <c r="AU41" i="11"/>
  <c r="AT41" i="11"/>
  <c r="AS41" i="11"/>
  <c r="AR41" i="11"/>
  <c r="AQ41" i="11"/>
  <c r="AP41" i="11"/>
  <c r="AO41" i="11"/>
  <c r="AN41" i="11"/>
  <c r="AM41" i="11"/>
  <c r="AL41" i="11"/>
  <c r="AK41" i="11"/>
  <c r="AJ41" i="11"/>
  <c r="AI41" i="11"/>
  <c r="AH41" i="11"/>
  <c r="AG41" i="11"/>
  <c r="AF41" i="11"/>
  <c r="AE41" i="11"/>
  <c r="AD41" i="11"/>
  <c r="AC41" i="11"/>
  <c r="AB41" i="11"/>
  <c r="AA41" i="11"/>
  <c r="Z41" i="11"/>
  <c r="Y41" i="11"/>
  <c r="X41" i="11"/>
  <c r="W41" i="11"/>
  <c r="V41" i="11"/>
  <c r="U41" i="11"/>
  <c r="T41" i="11"/>
  <c r="S41" i="11"/>
  <c r="R41" i="11"/>
  <c r="Q41" i="11"/>
  <c r="P41" i="11"/>
  <c r="O41" i="11"/>
  <c r="N41" i="11"/>
  <c r="M41" i="11"/>
  <c r="L41" i="11"/>
  <c r="K41" i="11"/>
  <c r="J41" i="11"/>
  <c r="I41" i="11"/>
  <c r="H41" i="11"/>
  <c r="G41" i="11"/>
  <c r="F41" i="11"/>
  <c r="E41" i="11"/>
  <c r="BJ40" i="11"/>
  <c r="BI40" i="11"/>
  <c r="BH40" i="11"/>
  <c r="BG40" i="11"/>
  <c r="BF40" i="11"/>
  <c r="BE40" i="11"/>
  <c r="BD40" i="11"/>
  <c r="BC40" i="11"/>
  <c r="BB40" i="11"/>
  <c r="BA40" i="11"/>
  <c r="AZ40" i="11"/>
  <c r="AY40" i="11"/>
  <c r="AX40" i="11"/>
  <c r="AW40" i="11"/>
  <c r="AV40" i="11"/>
  <c r="AU40" i="11"/>
  <c r="AT40" i="11"/>
  <c r="AS40" i="11"/>
  <c r="AR40" i="11"/>
  <c r="AQ40" i="11"/>
  <c r="AP40" i="11"/>
  <c r="AO40" i="11"/>
  <c r="AN40" i="11"/>
  <c r="AM40" i="11"/>
  <c r="AL40" i="11"/>
  <c r="AK40" i="11"/>
  <c r="AJ40" i="11"/>
  <c r="AI40" i="11"/>
  <c r="AH40" i="11"/>
  <c r="AG40" i="11"/>
  <c r="AF40" i="11"/>
  <c r="AE40" i="11"/>
  <c r="AD40" i="11"/>
  <c r="AC40" i="11"/>
  <c r="AB40" i="11"/>
  <c r="AA40" i="11"/>
  <c r="Z40" i="11"/>
  <c r="Y40" i="11"/>
  <c r="X40" i="11"/>
  <c r="W40" i="11"/>
  <c r="V40" i="11"/>
  <c r="U40" i="11"/>
  <c r="T40" i="11"/>
  <c r="S40" i="11"/>
  <c r="R40" i="11"/>
  <c r="Q40" i="11"/>
  <c r="P40" i="11"/>
  <c r="O40" i="11"/>
  <c r="N40" i="11"/>
  <c r="M40" i="11"/>
  <c r="L40" i="11"/>
  <c r="K40" i="11"/>
  <c r="J40" i="11"/>
  <c r="I40" i="11"/>
  <c r="H40" i="11"/>
  <c r="G40" i="11"/>
  <c r="F40" i="11"/>
  <c r="E40" i="11"/>
  <c r="BJ39" i="11"/>
  <c r="BJ38" i="11"/>
  <c r="BJ37" i="11"/>
  <c r="BI37" i="11"/>
  <c r="BH37" i="11"/>
  <c r="BG37" i="11"/>
  <c r="BF37" i="11"/>
  <c r="BE37" i="11"/>
  <c r="BD37" i="11"/>
  <c r="BC37" i="11"/>
  <c r="BB37" i="11"/>
  <c r="BA37" i="11"/>
  <c r="AZ37" i="11"/>
  <c r="AY37" i="11"/>
  <c r="AX37" i="11"/>
  <c r="AW37" i="11"/>
  <c r="AV37" i="11"/>
  <c r="AU37" i="11"/>
  <c r="AT37" i="11"/>
  <c r="AS37" i="11"/>
  <c r="AR37" i="11"/>
  <c r="AQ37" i="11"/>
  <c r="AP37" i="11"/>
  <c r="AO37" i="11"/>
  <c r="AN37" i="11"/>
  <c r="AM37" i="11"/>
  <c r="AL37" i="11"/>
  <c r="AK37" i="11"/>
  <c r="AJ37" i="11"/>
  <c r="AI37"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G37" i="11"/>
  <c r="F37" i="11"/>
  <c r="E37" i="11"/>
  <c r="BJ36" i="11"/>
  <c r="BI36" i="11"/>
  <c r="BH36" i="11"/>
  <c r="BG36" i="11"/>
  <c r="BF36" i="11"/>
  <c r="BE36" i="11"/>
  <c r="BD36" i="11"/>
  <c r="BC36" i="11"/>
  <c r="BB36" i="11"/>
  <c r="BA36" i="11"/>
  <c r="AZ36" i="11"/>
  <c r="AY36" i="11"/>
  <c r="AX36" i="11"/>
  <c r="AW36" i="11"/>
  <c r="AV36" i="11"/>
  <c r="AU36" i="11"/>
  <c r="AT36" i="11"/>
  <c r="AS36" i="11"/>
  <c r="AR36" i="11"/>
  <c r="AQ36" i="11"/>
  <c r="AP36" i="11"/>
  <c r="AO36" i="11"/>
  <c r="AN36"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G36" i="11"/>
  <c r="F36" i="11"/>
  <c r="E36" i="11"/>
  <c r="BJ35" i="11"/>
  <c r="BF35" i="11"/>
  <c r="AS35" i="11"/>
  <c r="AH35" i="11"/>
  <c r="U35" i="11"/>
  <c r="J35" i="11"/>
  <c r="BJ34" i="11"/>
  <c r="BI34" i="11"/>
  <c r="BH34" i="11"/>
  <c r="BG34" i="11"/>
  <c r="BF34" i="11"/>
  <c r="BE34" i="11"/>
  <c r="BD34" i="11"/>
  <c r="BC34" i="11"/>
  <c r="BB34" i="11"/>
  <c r="BA34" i="11"/>
  <c r="AZ34" i="11"/>
  <c r="AY34" i="11"/>
  <c r="AX34" i="11"/>
  <c r="AW34" i="11"/>
  <c r="AV34" i="11"/>
  <c r="AU34" i="11"/>
  <c r="AT34" i="11"/>
  <c r="AS34" i="11"/>
  <c r="AR34" i="11"/>
  <c r="AQ34" i="11"/>
  <c r="AP34" i="11"/>
  <c r="AO34" i="11"/>
  <c r="AN34" i="11"/>
  <c r="AM34" i="11"/>
  <c r="AL34" i="11"/>
  <c r="AK34" i="11"/>
  <c r="AJ34" i="11"/>
  <c r="AI34" i="11"/>
  <c r="AH34" i="11"/>
  <c r="AG34" i="11"/>
  <c r="AF34" i="11"/>
  <c r="AE34" i="11"/>
  <c r="AD34" i="11"/>
  <c r="AC34" i="11"/>
  <c r="AB34" i="11"/>
  <c r="AA34" i="11"/>
  <c r="Z34" i="11"/>
  <c r="Y34" i="11"/>
  <c r="X34" i="11"/>
  <c r="W34" i="11"/>
  <c r="V34" i="11"/>
  <c r="U34" i="11"/>
  <c r="T34" i="11"/>
  <c r="S34" i="11"/>
  <c r="R34" i="11"/>
  <c r="Q34" i="11"/>
  <c r="P34" i="11"/>
  <c r="O34" i="11"/>
  <c r="N34" i="11"/>
  <c r="M34" i="11"/>
  <c r="L34" i="11"/>
  <c r="K34" i="11"/>
  <c r="J34" i="11"/>
  <c r="I34" i="11"/>
  <c r="H34" i="11"/>
  <c r="G34" i="11"/>
  <c r="F34" i="11"/>
  <c r="E34" i="11"/>
  <c r="BJ33" i="11"/>
  <c r="BI33" i="11"/>
  <c r="BH33" i="11"/>
  <c r="BG33" i="11"/>
  <c r="BF33" i="11"/>
  <c r="BE33" i="11"/>
  <c r="BD33" i="11"/>
  <c r="BC33" i="11"/>
  <c r="BB33" i="11"/>
  <c r="BA33" i="11"/>
  <c r="AZ33" i="11"/>
  <c r="AY33" i="11"/>
  <c r="AX33" i="11"/>
  <c r="AW33" i="11"/>
  <c r="AV33" i="11"/>
  <c r="AU33" i="11"/>
  <c r="AT33" i="11"/>
  <c r="AS33" i="11"/>
  <c r="AR33" i="11"/>
  <c r="AQ33" i="11"/>
  <c r="AP33" i="11"/>
  <c r="AO33" i="11"/>
  <c r="AN33" i="11"/>
  <c r="AM33" i="11"/>
  <c r="AL33" i="11"/>
  <c r="AK33" i="11"/>
  <c r="AJ33" i="11"/>
  <c r="AI33" i="11"/>
  <c r="AH33" i="11"/>
  <c r="AG33" i="11"/>
  <c r="AF33" i="11"/>
  <c r="AE33" i="11"/>
  <c r="AD33" i="11"/>
  <c r="AC33" i="11"/>
  <c r="AB33" i="11"/>
  <c r="AA33" i="11"/>
  <c r="Z33" i="11"/>
  <c r="Y33" i="11"/>
  <c r="X33" i="11"/>
  <c r="W33" i="11"/>
  <c r="V33" i="11"/>
  <c r="U33" i="11"/>
  <c r="T33" i="11"/>
  <c r="S33" i="11"/>
  <c r="R33" i="11"/>
  <c r="Q33" i="11"/>
  <c r="P33" i="11"/>
  <c r="O33" i="11"/>
  <c r="N33" i="11"/>
  <c r="M33" i="11"/>
  <c r="L33" i="11"/>
  <c r="K33" i="11"/>
  <c r="J33" i="11"/>
  <c r="I33" i="11"/>
  <c r="H33" i="11"/>
  <c r="G33" i="11"/>
  <c r="F33" i="11"/>
  <c r="E33" i="11"/>
  <c r="BJ32" i="11"/>
  <c r="BI32" i="11"/>
  <c r="BH32" i="11"/>
  <c r="BG32" i="11"/>
  <c r="BF32" i="11"/>
  <c r="BE32" i="11"/>
  <c r="BD32" i="11"/>
  <c r="BC32" i="11"/>
  <c r="BB32" i="11"/>
  <c r="BA32" i="11"/>
  <c r="AZ32" i="11"/>
  <c r="AY32" i="11"/>
  <c r="AX32" i="11"/>
  <c r="AW32" i="11"/>
  <c r="AV32" i="11"/>
  <c r="AU32" i="11"/>
  <c r="AT32" i="11"/>
  <c r="AS32" i="11"/>
  <c r="AR32" i="11"/>
  <c r="AQ32" i="11"/>
  <c r="AP32" i="11"/>
  <c r="AO32" i="11"/>
  <c r="AN32" i="11"/>
  <c r="AM32" i="11"/>
  <c r="AL32" i="11"/>
  <c r="AK32" i="11"/>
  <c r="AJ32" i="11"/>
  <c r="AI32" i="11"/>
  <c r="AH32" i="11"/>
  <c r="AG32" i="11"/>
  <c r="AF32" i="11"/>
  <c r="AE32" i="11"/>
  <c r="AD32" i="11"/>
  <c r="AC32" i="11"/>
  <c r="AB32" i="11"/>
  <c r="AA32" i="11"/>
  <c r="Z32" i="11"/>
  <c r="Y32" i="11"/>
  <c r="X32" i="11"/>
  <c r="W32" i="11"/>
  <c r="V32" i="11"/>
  <c r="U32" i="11"/>
  <c r="T32" i="11"/>
  <c r="S32" i="11"/>
  <c r="R32" i="11"/>
  <c r="Q32" i="11"/>
  <c r="P32" i="11"/>
  <c r="O32" i="11"/>
  <c r="N32" i="11"/>
  <c r="M32" i="11"/>
  <c r="L32" i="11"/>
  <c r="K32" i="11"/>
  <c r="J32" i="11"/>
  <c r="I32" i="11"/>
  <c r="H32" i="11"/>
  <c r="G32" i="11"/>
  <c r="F32" i="11"/>
  <c r="E32" i="11"/>
  <c r="BJ31" i="11"/>
  <c r="BI31" i="11"/>
  <c r="BH31" i="11"/>
  <c r="BF31" i="11"/>
  <c r="BE31" i="11"/>
  <c r="BD31" i="11"/>
  <c r="BC31" i="11"/>
  <c r="BB31" i="11"/>
  <c r="BA31" i="11"/>
  <c r="AZ31" i="11"/>
  <c r="AY31" i="11"/>
  <c r="AX31" i="11"/>
  <c r="AW31" i="11"/>
  <c r="AV31" i="11"/>
  <c r="AU31" i="11"/>
  <c r="AT31" i="11"/>
  <c r="AS31" i="11"/>
  <c r="AR31" i="11"/>
  <c r="AQ31" i="11"/>
  <c r="AP31" i="11"/>
  <c r="AO31" i="11"/>
  <c r="AN31" i="11"/>
  <c r="AM31" i="11"/>
  <c r="AL31" i="11"/>
  <c r="AK31" i="11"/>
  <c r="AJ31" i="11"/>
  <c r="AH31" i="11"/>
  <c r="AG31" i="11"/>
  <c r="AF31" i="11"/>
  <c r="AE31" i="11"/>
  <c r="AD31" i="11"/>
  <c r="AC31" i="11"/>
  <c r="AB31" i="11"/>
  <c r="AA31" i="11"/>
  <c r="Z31" i="11"/>
  <c r="Y31" i="11"/>
  <c r="X31" i="11"/>
  <c r="W31" i="11"/>
  <c r="V31" i="11"/>
  <c r="U31" i="11"/>
  <c r="T31" i="11"/>
  <c r="S31" i="11"/>
  <c r="R31" i="11"/>
  <c r="Q31" i="11"/>
  <c r="P31" i="11"/>
  <c r="O31" i="11"/>
  <c r="N31" i="11"/>
  <c r="M31" i="11"/>
  <c r="L31" i="11"/>
  <c r="J31" i="11"/>
  <c r="I31" i="11"/>
  <c r="H31" i="11"/>
  <c r="G31" i="11"/>
  <c r="F31" i="11"/>
  <c r="E31" i="11"/>
  <c r="BJ30" i="11"/>
  <c r="BI30" i="11"/>
  <c r="BH30" i="11"/>
  <c r="BG30" i="11"/>
  <c r="BF30" i="11"/>
  <c r="BE30" i="11"/>
  <c r="BD30" i="11"/>
  <c r="BC30" i="11"/>
  <c r="BB30" i="11"/>
  <c r="BA30" i="11"/>
  <c r="AZ30" i="11"/>
  <c r="AY30" i="11"/>
  <c r="AX30" i="11"/>
  <c r="AW30" i="11"/>
  <c r="AV30" i="11"/>
  <c r="AU30" i="11"/>
  <c r="AT30" i="11"/>
  <c r="AS30" i="11"/>
  <c r="AR30" i="11"/>
  <c r="AQ30" i="11"/>
  <c r="AP30" i="11"/>
  <c r="AO30" i="11"/>
  <c r="AN30" i="11"/>
  <c r="AM30" i="11"/>
  <c r="AL30" i="11"/>
  <c r="AK30" i="11"/>
  <c r="AJ30" i="11"/>
  <c r="AI30"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G30" i="11"/>
  <c r="F30" i="11"/>
  <c r="E30" i="11"/>
  <c r="BJ29" i="11"/>
  <c r="BI29" i="11"/>
  <c r="BH29" i="11"/>
  <c r="BG29" i="11"/>
  <c r="BF29" i="11"/>
  <c r="BE29" i="11"/>
  <c r="BD29" i="11"/>
  <c r="BC29" i="11"/>
  <c r="BB29" i="11"/>
  <c r="BA29" i="11"/>
  <c r="AZ29" i="11"/>
  <c r="AY29" i="11"/>
  <c r="AX29" i="11"/>
  <c r="AW29" i="11"/>
  <c r="AV29" i="11"/>
  <c r="AU29" i="11"/>
  <c r="AT29" i="11"/>
  <c r="AS29" i="11"/>
  <c r="AR29" i="11"/>
  <c r="AQ29" i="11"/>
  <c r="AP29" i="11"/>
  <c r="AO29" i="11"/>
  <c r="AN29" i="11"/>
  <c r="AM29" i="11"/>
  <c r="AL29" i="11"/>
  <c r="AK29" i="11"/>
  <c r="AJ29" i="11"/>
  <c r="AI29" i="11"/>
  <c r="AH29" i="11"/>
  <c r="AG29" i="11"/>
  <c r="AF29" i="11"/>
  <c r="AE29" i="11"/>
  <c r="AD29" i="11"/>
  <c r="AC29" i="11"/>
  <c r="AB29" i="11"/>
  <c r="AA29" i="11"/>
  <c r="Z29" i="11"/>
  <c r="Y29" i="11"/>
  <c r="X29" i="11"/>
  <c r="W29" i="11"/>
  <c r="V29" i="11"/>
  <c r="U29" i="11"/>
  <c r="T29" i="11"/>
  <c r="S29" i="11"/>
  <c r="R29" i="11"/>
  <c r="Q29" i="11"/>
  <c r="P29" i="11"/>
  <c r="O29" i="11"/>
  <c r="N29" i="11"/>
  <c r="M29" i="11"/>
  <c r="L29" i="11"/>
  <c r="K29" i="11"/>
  <c r="J29" i="11"/>
  <c r="I29" i="11"/>
  <c r="H29" i="11"/>
  <c r="G29" i="11"/>
  <c r="F29" i="11"/>
  <c r="E29" i="11"/>
  <c r="BJ28" i="11"/>
  <c r="BI28" i="11"/>
  <c r="BF28" i="11"/>
  <c r="BE28" i="11"/>
  <c r="BD28" i="11"/>
  <c r="BC28" i="11"/>
  <c r="AT28" i="11"/>
  <c r="AS28" i="11"/>
  <c r="AP28" i="11"/>
  <c r="AO28" i="11"/>
  <c r="AN28" i="11"/>
  <c r="AF28" i="11"/>
  <c r="AE28" i="11"/>
  <c r="V28" i="11"/>
  <c r="U28" i="11"/>
  <c r="R28" i="11"/>
  <c r="Q28" i="11"/>
  <c r="P28" i="11"/>
  <c r="O28" i="11"/>
  <c r="N28" i="11"/>
  <c r="M28" i="11"/>
  <c r="J28" i="11"/>
  <c r="I28" i="11"/>
  <c r="H28" i="11"/>
  <c r="G28" i="11"/>
  <c r="BJ27" i="11"/>
  <c r="AW27" i="11"/>
  <c r="Y27" i="11"/>
  <c r="BJ26" i="11"/>
  <c r="BI26" i="11"/>
  <c r="BE26" i="11"/>
  <c r="BC26" i="11"/>
  <c r="BA26" i="11"/>
  <c r="AW26" i="11"/>
  <c r="AV26" i="11"/>
  <c r="AK26" i="11"/>
  <c r="AG26" i="11"/>
  <c r="AE26" i="11"/>
  <c r="AC26" i="11"/>
  <c r="Y26" i="11"/>
  <c r="X26" i="11"/>
  <c r="M26" i="11"/>
  <c r="I26" i="11"/>
  <c r="G26" i="11"/>
  <c r="E26" i="11"/>
  <c r="BJ25" i="11"/>
  <c r="BI25" i="11"/>
  <c r="BH25" i="11"/>
  <c r="BG25" i="11"/>
  <c r="BF25" i="11"/>
  <c r="BE25" i="11"/>
  <c r="BD25" i="11"/>
  <c r="BC25" i="11"/>
  <c r="BB25" i="11"/>
  <c r="BA25" i="11"/>
  <c r="AZ25" i="11"/>
  <c r="AY25" i="11"/>
  <c r="AX25" i="11"/>
  <c r="AW25" i="11"/>
  <c r="AV25" i="11"/>
  <c r="AT25" i="11"/>
  <c r="AS25" i="11"/>
  <c r="AR25" i="11"/>
  <c r="AQ25" i="11"/>
  <c r="AP25" i="11"/>
  <c r="AO25" i="11"/>
  <c r="AN25" i="11"/>
  <c r="AM25" i="11"/>
  <c r="AL25" i="11"/>
  <c r="AK25" i="11"/>
  <c r="AJ25" i="11"/>
  <c r="AI25" i="11"/>
  <c r="AH25" i="11"/>
  <c r="AG25" i="11"/>
  <c r="AF25" i="11"/>
  <c r="AE25" i="11"/>
  <c r="AD25" i="11"/>
  <c r="AC25" i="11"/>
  <c r="AB25" i="11"/>
  <c r="AA25" i="11"/>
  <c r="Z25" i="11"/>
  <c r="Y25" i="11"/>
  <c r="X25" i="11"/>
  <c r="V25" i="11"/>
  <c r="U25" i="11"/>
  <c r="T25" i="11"/>
  <c r="S25" i="11"/>
  <c r="R25" i="11"/>
  <c r="Q25" i="11"/>
  <c r="P25" i="11"/>
  <c r="O25" i="11"/>
  <c r="N25" i="11"/>
  <c r="M25" i="11"/>
  <c r="L25" i="11"/>
  <c r="K25" i="11"/>
  <c r="J25" i="11"/>
  <c r="I25" i="11"/>
  <c r="H25" i="11"/>
  <c r="G25" i="11"/>
  <c r="F25" i="11"/>
  <c r="E25" i="11"/>
  <c r="BJ24" i="11"/>
  <c r="BI24" i="11"/>
  <c r="BH24" i="11"/>
  <c r="BG24" i="11"/>
  <c r="BE24" i="11"/>
  <c r="BD24" i="11"/>
  <c r="BC24" i="11"/>
  <c r="AK24" i="11"/>
  <c r="AJ24" i="11"/>
  <c r="AI24" i="11"/>
  <c r="AG24" i="11"/>
  <c r="AF24" i="11"/>
  <c r="AE24" i="11"/>
  <c r="M24" i="11"/>
  <c r="L24" i="11"/>
  <c r="K24" i="11"/>
  <c r="I24" i="11"/>
  <c r="H24" i="11"/>
  <c r="G24" i="11"/>
  <c r="BJ23" i="11"/>
  <c r="BI23" i="11"/>
  <c r="BH23" i="11"/>
  <c r="BG23" i="11"/>
  <c r="BF23" i="11"/>
  <c r="BE23" i="11"/>
  <c r="BD23" i="11"/>
  <c r="BC23" i="11"/>
  <c r="BB23" i="11"/>
  <c r="BA23" i="11"/>
  <c r="AZ23" i="11"/>
  <c r="AY23" i="11"/>
  <c r="AX23" i="11"/>
  <c r="AW23" i="11"/>
  <c r="AV23" i="11"/>
  <c r="AU23" i="11"/>
  <c r="AT23" i="11"/>
  <c r="AS23" i="11"/>
  <c r="AR23" i="11"/>
  <c r="AQ23" i="11"/>
  <c r="AP23" i="11"/>
  <c r="AO23" i="11"/>
  <c r="AN23" i="11"/>
  <c r="AM23" i="11"/>
  <c r="AL23" i="11"/>
  <c r="AK23" i="11"/>
  <c r="AJ23" i="11"/>
  <c r="AI23" i="11"/>
  <c r="AH23" i="11"/>
  <c r="AG23" i="11"/>
  <c r="AF23" i="11"/>
  <c r="AE23" i="11"/>
  <c r="AD23" i="11"/>
  <c r="AC23" i="11"/>
  <c r="AB23" i="11"/>
  <c r="AA23" i="11"/>
  <c r="Z23" i="11"/>
  <c r="Y23" i="11"/>
  <c r="X23" i="11"/>
  <c r="W23" i="11"/>
  <c r="V23" i="11"/>
  <c r="U23" i="11"/>
  <c r="T23" i="11"/>
  <c r="S23" i="11"/>
  <c r="R23" i="11"/>
  <c r="Q23" i="11"/>
  <c r="P23" i="11"/>
  <c r="O23" i="11"/>
  <c r="N23" i="11"/>
  <c r="M23" i="11"/>
  <c r="L23" i="11"/>
  <c r="K23" i="11"/>
  <c r="J23" i="11"/>
  <c r="I23" i="11"/>
  <c r="H23" i="11"/>
  <c r="G23" i="11"/>
  <c r="F23" i="11"/>
  <c r="E23" i="11"/>
  <c r="BJ22" i="11"/>
  <c r="BI22" i="11"/>
  <c r="BH22" i="11"/>
  <c r="BG22" i="11"/>
  <c r="BF22" i="11"/>
  <c r="BE22" i="11"/>
  <c r="BD22" i="11"/>
  <c r="BC22" i="11"/>
  <c r="BB22" i="11"/>
  <c r="BA22" i="11"/>
  <c r="AZ22" i="11"/>
  <c r="AY22" i="11"/>
  <c r="AX22" i="11"/>
  <c r="AW22" i="11"/>
  <c r="AV22" i="11"/>
  <c r="AU22" i="11"/>
  <c r="AT22" i="11"/>
  <c r="AS22" i="11"/>
  <c r="AR22" i="11"/>
  <c r="AQ22" i="11"/>
  <c r="AP22" i="11"/>
  <c r="AO22" i="11"/>
  <c r="AN22" i="11"/>
  <c r="AM22" i="11"/>
  <c r="AL22" i="11"/>
  <c r="AK22" i="11"/>
  <c r="AJ22" i="11"/>
  <c r="AI22" i="11"/>
  <c r="AH22" i="11"/>
  <c r="AG22" i="11"/>
  <c r="AF22" i="11"/>
  <c r="AE22" i="11"/>
  <c r="AD22" i="11"/>
  <c r="AC22" i="11"/>
  <c r="AB22" i="11"/>
  <c r="AA22" i="11"/>
  <c r="Z22" i="11"/>
  <c r="Y22" i="11"/>
  <c r="X22" i="11"/>
  <c r="W22" i="11"/>
  <c r="V22" i="11"/>
  <c r="U22" i="11"/>
  <c r="T22" i="11"/>
  <c r="S22" i="11"/>
  <c r="R22" i="11"/>
  <c r="Q22" i="11"/>
  <c r="P22" i="11"/>
  <c r="O22" i="11"/>
  <c r="N22" i="11"/>
  <c r="M22" i="11"/>
  <c r="L22" i="11"/>
  <c r="K22" i="11"/>
  <c r="J22" i="11"/>
  <c r="I22" i="11"/>
  <c r="H22" i="11"/>
  <c r="G22" i="11"/>
  <c r="F22" i="11"/>
  <c r="E22" i="11"/>
  <c r="BJ21" i="11"/>
  <c r="AR21" i="11"/>
  <c r="T21" i="11"/>
  <c r="BJ20" i="11"/>
  <c r="BG20" i="11"/>
  <c r="BF20" i="11"/>
  <c r="AN20" i="11"/>
  <c r="AH20" i="11"/>
  <c r="AE20" i="11"/>
  <c r="AC20" i="11"/>
  <c r="T20" i="11"/>
  <c r="S20" i="11"/>
  <c r="BJ19" i="11"/>
  <c r="BI19" i="11"/>
  <c r="BH19" i="11"/>
  <c r="BG19" i="11"/>
  <c r="BF19" i="11"/>
  <c r="BE19" i="11"/>
  <c r="BD19" i="11"/>
  <c r="BC19" i="11"/>
  <c r="BB19" i="11"/>
  <c r="BA19" i="11"/>
  <c r="AZ19" i="11"/>
  <c r="AY19" i="11"/>
  <c r="AX19" i="11"/>
  <c r="AW19" i="11"/>
  <c r="AV19" i="11"/>
  <c r="AU19" i="11"/>
  <c r="AT19" i="11"/>
  <c r="AS19" i="11"/>
  <c r="AR19" i="11"/>
  <c r="AQ19" i="11"/>
  <c r="AP19" i="11"/>
  <c r="AO19" i="11"/>
  <c r="AN19" i="11"/>
  <c r="AM19" i="11"/>
  <c r="AL19" i="11"/>
  <c r="AK19" i="11"/>
  <c r="AJ19" i="11"/>
  <c r="AI19" i="11"/>
  <c r="AH19" i="11"/>
  <c r="AG19" i="11"/>
  <c r="AF19" i="11"/>
  <c r="AE19" i="11"/>
  <c r="AD19" i="11"/>
  <c r="AC19" i="11"/>
  <c r="AB19" i="11"/>
  <c r="AA19" i="11"/>
  <c r="Z19" i="11"/>
  <c r="Y19" i="11"/>
  <c r="X19" i="11"/>
  <c r="W19" i="11"/>
  <c r="V19" i="11"/>
  <c r="U19" i="11"/>
  <c r="T19" i="11"/>
  <c r="S19" i="11"/>
  <c r="R19" i="11"/>
  <c r="Q19" i="11"/>
  <c r="P19" i="11"/>
  <c r="O19" i="11"/>
  <c r="N19" i="11"/>
  <c r="M19" i="11"/>
  <c r="L19" i="11"/>
  <c r="K19" i="11"/>
  <c r="J19" i="11"/>
  <c r="I19" i="11"/>
  <c r="H19" i="11"/>
  <c r="G19" i="11"/>
  <c r="F19" i="11"/>
  <c r="E19" i="11"/>
  <c r="BJ18" i="11"/>
  <c r="BC18" i="11"/>
  <c r="AR18" i="11"/>
  <c r="AE18" i="11"/>
  <c r="T18" i="11"/>
  <c r="G18" i="11"/>
  <c r="BJ17" i="11"/>
  <c r="BI17" i="11"/>
  <c r="BH17" i="11"/>
  <c r="BG17" i="11"/>
  <c r="BF17" i="11"/>
  <c r="BE17" i="11"/>
  <c r="BD17" i="11"/>
  <c r="BC17" i="11"/>
  <c r="BB17" i="11"/>
  <c r="BA17" i="11"/>
  <c r="AZ17" i="11"/>
  <c r="AY17" i="11"/>
  <c r="AX17" i="11"/>
  <c r="AW17" i="11"/>
  <c r="AV17" i="11"/>
  <c r="AU17" i="11"/>
  <c r="AT17" i="11"/>
  <c r="AS17" i="11"/>
  <c r="AR17" i="11"/>
  <c r="AQ17" i="11"/>
  <c r="AP17" i="11"/>
  <c r="AO17" i="11"/>
  <c r="AN17" i="11"/>
  <c r="AM17" i="11"/>
  <c r="AL17" i="11"/>
  <c r="AK17" i="11"/>
  <c r="AJ17" i="11"/>
  <c r="AI17" i="11"/>
  <c r="AH17" i="11"/>
  <c r="AG17" i="11"/>
  <c r="AF17" i="11"/>
  <c r="AE17" i="11"/>
  <c r="AD17" i="11"/>
  <c r="AC17" i="11"/>
  <c r="AB17" i="11"/>
  <c r="AA17" i="11"/>
  <c r="Z17" i="11"/>
  <c r="Y17" i="11"/>
  <c r="X17" i="11"/>
  <c r="W17" i="11"/>
  <c r="V17" i="11"/>
  <c r="U17" i="11"/>
  <c r="T17" i="11"/>
  <c r="S17" i="11"/>
  <c r="R17" i="11"/>
  <c r="Q17" i="11"/>
  <c r="P17" i="11"/>
  <c r="O17" i="11"/>
  <c r="N17" i="11"/>
  <c r="M17" i="11"/>
  <c r="L17" i="11"/>
  <c r="K17" i="11"/>
  <c r="J17" i="11"/>
  <c r="I17" i="11"/>
  <c r="H17" i="11"/>
  <c r="G17" i="11"/>
  <c r="F17" i="11"/>
  <c r="E17" i="11"/>
  <c r="BJ16" i="11"/>
  <c r="BH16" i="11"/>
  <c r="BG16" i="11"/>
  <c r="BF16" i="11"/>
  <c r="BD16" i="11"/>
  <c r="BC16" i="11"/>
  <c r="BB16" i="11"/>
  <c r="AY16" i="11"/>
  <c r="AX16" i="11"/>
  <c r="AV16" i="11"/>
  <c r="AU16" i="11"/>
  <c r="AT16" i="11"/>
  <c r="AS16" i="11"/>
  <c r="AQ16" i="11"/>
  <c r="AM16" i="11"/>
  <c r="AL16" i="11"/>
  <c r="AJ16" i="11"/>
  <c r="AI16" i="11"/>
  <c r="AH16" i="11"/>
  <c r="AF16" i="11"/>
  <c r="AE16" i="11"/>
  <c r="AD16" i="11"/>
  <c r="AA16" i="11"/>
  <c r="Z16" i="11"/>
  <c r="X16" i="11"/>
  <c r="W16" i="11"/>
  <c r="V16" i="11"/>
  <c r="U16" i="11"/>
  <c r="S16" i="11"/>
  <c r="O16" i="11"/>
  <c r="N16" i="11"/>
  <c r="L16" i="11"/>
  <c r="K16" i="11"/>
  <c r="J16" i="11"/>
  <c r="H16" i="11"/>
  <c r="G16" i="11"/>
  <c r="F16" i="11"/>
  <c r="BJ15" i="11"/>
  <c r="BJ14" i="11"/>
  <c r="BI14" i="11"/>
  <c r="BH14" i="11"/>
  <c r="BG14" i="11"/>
  <c r="BF14" i="11"/>
  <c r="BE14" i="11"/>
  <c r="BD14" i="11"/>
  <c r="BC14" i="11"/>
  <c r="BB14" i="11"/>
  <c r="BA14" i="11"/>
  <c r="AZ14" i="11"/>
  <c r="AY14" i="11"/>
  <c r="AX14" i="11"/>
  <c r="AW14" i="11"/>
  <c r="AV14" i="11"/>
  <c r="AU14" i="11"/>
  <c r="AT14" i="11"/>
  <c r="AS14" i="11"/>
  <c r="AR14" i="11"/>
  <c r="AQ14" i="11"/>
  <c r="AP14" i="11"/>
  <c r="AO14" i="11"/>
  <c r="AN14" i="11"/>
  <c r="AM14" i="11"/>
  <c r="AL14" i="11"/>
  <c r="AK14" i="11"/>
  <c r="AJ14" i="11"/>
  <c r="AI14" i="11"/>
  <c r="AH14" i="11"/>
  <c r="AG14" i="11"/>
  <c r="AF14" i="11"/>
  <c r="AE14" i="11"/>
  <c r="AD14" i="11"/>
  <c r="AC14" i="11"/>
  <c r="AB14" i="11"/>
  <c r="AA14" i="11"/>
  <c r="Z14" i="11"/>
  <c r="Y14" i="11"/>
  <c r="X14" i="11"/>
  <c r="W14" i="11"/>
  <c r="V14" i="11"/>
  <c r="U14" i="11"/>
  <c r="T14" i="11"/>
  <c r="S14" i="11"/>
  <c r="R14" i="11"/>
  <c r="Q14" i="11"/>
  <c r="P14" i="11"/>
  <c r="O14" i="11"/>
  <c r="N14" i="11"/>
  <c r="M14" i="11"/>
  <c r="L14" i="11"/>
  <c r="K14" i="11"/>
  <c r="J14" i="11"/>
  <c r="I14" i="11"/>
  <c r="H14" i="11"/>
  <c r="G14" i="11"/>
  <c r="F14" i="11"/>
  <c r="E14" i="11"/>
  <c r="BJ13" i="11"/>
  <c r="BI13" i="11"/>
  <c r="BH13" i="11"/>
  <c r="BG13" i="11"/>
  <c r="BF13" i="11"/>
  <c r="BE13" i="11"/>
  <c r="BD13" i="11"/>
  <c r="BC13" i="11"/>
  <c r="BB13" i="11"/>
  <c r="BA13" i="11"/>
  <c r="AZ13" i="11"/>
  <c r="AY13" i="11"/>
  <c r="AX13" i="11"/>
  <c r="AW13" i="11"/>
  <c r="AV13" i="11"/>
  <c r="AU13" i="11"/>
  <c r="AT13" i="11"/>
  <c r="AS13" i="11"/>
  <c r="AR13" i="11"/>
  <c r="AQ13" i="11"/>
  <c r="AP13" i="11"/>
  <c r="AO13" i="11"/>
  <c r="AN13" i="11"/>
  <c r="AM13" i="11"/>
  <c r="AL13" i="11"/>
  <c r="AK13" i="11"/>
  <c r="AJ13" i="11"/>
  <c r="AI13" i="11"/>
  <c r="AH13" i="11"/>
  <c r="AG13" i="11"/>
  <c r="AF13" i="11"/>
  <c r="AE13" i="11"/>
  <c r="AD13" i="11"/>
  <c r="AC13" i="11"/>
  <c r="AB13" i="11"/>
  <c r="AA13" i="11"/>
  <c r="Z13" i="11"/>
  <c r="Y13" i="11"/>
  <c r="X13" i="11"/>
  <c r="W13" i="11"/>
  <c r="V13" i="11"/>
  <c r="U13" i="11"/>
  <c r="T13" i="11"/>
  <c r="S13" i="11"/>
  <c r="R13" i="11"/>
  <c r="Q13" i="11"/>
  <c r="P13" i="11"/>
  <c r="O13" i="11"/>
  <c r="N13" i="11"/>
  <c r="M13" i="11"/>
  <c r="L13" i="11"/>
  <c r="K13" i="11"/>
  <c r="J13" i="11"/>
  <c r="I13" i="11"/>
  <c r="H13" i="11"/>
  <c r="G13" i="11"/>
  <c r="F13" i="11"/>
  <c r="E13" i="11"/>
  <c r="BJ12" i="11"/>
  <c r="BA12" i="11"/>
  <c r="AZ12" i="11"/>
  <c r="AY12" i="11"/>
  <c r="AX12" i="11"/>
  <c r="AW12" i="11"/>
  <c r="AS12" i="11"/>
  <c r="AP12" i="11"/>
  <c r="AN12" i="11"/>
  <c r="AC12" i="11"/>
  <c r="AB12" i="11"/>
  <c r="AA12" i="11"/>
  <c r="Z12" i="11"/>
  <c r="Y12" i="11"/>
  <c r="U12" i="11"/>
  <c r="R12" i="11"/>
  <c r="P12" i="11"/>
  <c r="E12" i="11"/>
  <c r="BJ11" i="11"/>
  <c r="BI11" i="11"/>
  <c r="BH11" i="11"/>
  <c r="BG11" i="11"/>
  <c r="BF11" i="11"/>
  <c r="BE11" i="11"/>
  <c r="BD11" i="11"/>
  <c r="BC11" i="11"/>
  <c r="BB11" i="11"/>
  <c r="BA11" i="11"/>
  <c r="AZ11" i="11"/>
  <c r="AY11" i="11"/>
  <c r="AX11" i="11"/>
  <c r="AW11" i="11"/>
  <c r="AV11" i="11"/>
  <c r="AU11" i="11"/>
  <c r="AT11" i="11"/>
  <c r="AS11" i="11"/>
  <c r="AR11" i="11"/>
  <c r="AQ11" i="11"/>
  <c r="AP11" i="11"/>
  <c r="AO11" i="11"/>
  <c r="AN11" i="11"/>
  <c r="AM11" i="11"/>
  <c r="AL11" i="11"/>
  <c r="AK11" i="11"/>
  <c r="AJ11" i="11"/>
  <c r="AI11" i="11"/>
  <c r="AH11" i="11"/>
  <c r="AG11" i="11"/>
  <c r="AF11" i="11"/>
  <c r="AE11" i="11"/>
  <c r="AD11" i="11"/>
  <c r="AC11" i="11"/>
  <c r="AB11" i="11"/>
  <c r="AA11" i="11"/>
  <c r="Z11" i="11"/>
  <c r="Y11" i="11"/>
  <c r="X11" i="11"/>
  <c r="W11" i="11"/>
  <c r="V11" i="11"/>
  <c r="U11" i="11"/>
  <c r="T11" i="11"/>
  <c r="S11" i="11"/>
  <c r="R11" i="11"/>
  <c r="Q11" i="11"/>
  <c r="P11" i="11"/>
  <c r="O11" i="11"/>
  <c r="N11" i="11"/>
  <c r="M11" i="11"/>
  <c r="L11" i="11"/>
  <c r="K11" i="11"/>
  <c r="J11" i="11"/>
  <c r="I11" i="11"/>
  <c r="H11" i="11"/>
  <c r="G11" i="11"/>
  <c r="F11" i="11"/>
  <c r="E11" i="11"/>
  <c r="BJ10" i="11"/>
  <c r="BI10" i="11"/>
  <c r="BH10" i="11"/>
  <c r="BG10" i="11"/>
  <c r="BF10" i="11"/>
  <c r="BE10" i="11"/>
  <c r="BD10" i="11"/>
  <c r="BC10" i="11"/>
  <c r="BB10" i="11"/>
  <c r="BA10" i="11"/>
  <c r="AZ10" i="11"/>
  <c r="AY10" i="11"/>
  <c r="AX10" i="11"/>
  <c r="AW10" i="11"/>
  <c r="AV10" i="11"/>
  <c r="AU10" i="11"/>
  <c r="AT10" i="11"/>
  <c r="AS10" i="11"/>
  <c r="AR10" i="11"/>
  <c r="AQ10" i="11"/>
  <c r="AP10" i="11"/>
  <c r="AO10" i="11"/>
  <c r="AN10" i="11"/>
  <c r="AM10" i="11"/>
  <c r="AL10" i="11"/>
  <c r="AK10" i="11"/>
  <c r="AJ10" i="11"/>
  <c r="AI10" i="11"/>
  <c r="AH10" i="11"/>
  <c r="AG10" i="11"/>
  <c r="AF10" i="11"/>
  <c r="AE10" i="11"/>
  <c r="AD10" i="11"/>
  <c r="AC10" i="11"/>
  <c r="AB10" i="11"/>
  <c r="AA10" i="11"/>
  <c r="Z10" i="11"/>
  <c r="Y10" i="11"/>
  <c r="X10" i="11"/>
  <c r="W10" i="11"/>
  <c r="V10" i="11"/>
  <c r="U10" i="11"/>
  <c r="T10" i="11"/>
  <c r="S10" i="11"/>
  <c r="R10" i="11"/>
  <c r="Q10" i="11"/>
  <c r="P10" i="11"/>
  <c r="O10" i="11"/>
  <c r="N10" i="11"/>
  <c r="M10" i="11"/>
  <c r="L10" i="11"/>
  <c r="K10" i="11"/>
  <c r="J10" i="11"/>
  <c r="I10" i="11"/>
  <c r="H10" i="11"/>
  <c r="G10" i="11"/>
  <c r="F10" i="11"/>
  <c r="E10" i="11"/>
  <c r="BJ9" i="11"/>
  <c r="BG9" i="11"/>
  <c r="BF9" i="11"/>
  <c r="BE9" i="11"/>
  <c r="BD9" i="11"/>
  <c r="BC9" i="11"/>
  <c r="AY9" i="11"/>
  <c r="AV9" i="11"/>
  <c r="AT9" i="11"/>
  <c r="AI9" i="11"/>
  <c r="AH9" i="11"/>
  <c r="AG9" i="11"/>
  <c r="AF9" i="11"/>
  <c r="AE9" i="11"/>
  <c r="AA9" i="11"/>
  <c r="X9" i="11"/>
  <c r="V9" i="11"/>
  <c r="K9" i="11"/>
  <c r="J9" i="11"/>
  <c r="I9" i="11"/>
  <c r="H9" i="11"/>
  <c r="G9" i="11"/>
  <c r="BJ8" i="11"/>
  <c r="BI8" i="11"/>
  <c r="BH8" i="11"/>
  <c r="BG8" i="11"/>
  <c r="BF8" i="11"/>
  <c r="BE8" i="11"/>
  <c r="BD8" i="11"/>
  <c r="BC8" i="11"/>
  <c r="BB8" i="11"/>
  <c r="BA8" i="11"/>
  <c r="AZ8" i="11"/>
  <c r="AY8" i="11"/>
  <c r="AX8" i="11"/>
  <c r="AW8" i="11"/>
  <c r="AV8" i="11"/>
  <c r="AU8" i="11"/>
  <c r="AT8" i="11"/>
  <c r="AS8" i="11"/>
  <c r="AR8" i="11"/>
  <c r="AQ8" i="11"/>
  <c r="AP8" i="11"/>
  <c r="AO8" i="11"/>
  <c r="AN8" i="11"/>
  <c r="AM8" i="11"/>
  <c r="AL8" i="11"/>
  <c r="AK8" i="11"/>
  <c r="AJ8" i="11"/>
  <c r="AI8" i="11"/>
  <c r="AH8" i="11"/>
  <c r="AG8" i="11"/>
  <c r="AF8" i="11"/>
  <c r="AE8" i="11"/>
  <c r="AD8" i="11"/>
  <c r="AC8" i="11"/>
  <c r="AB8" i="11"/>
  <c r="AA8" i="11"/>
  <c r="Z8" i="11"/>
  <c r="Y8" i="11"/>
  <c r="X8" i="11"/>
  <c r="W8" i="11"/>
  <c r="V8" i="11"/>
  <c r="U8" i="11"/>
  <c r="T8" i="11"/>
  <c r="S8" i="11"/>
  <c r="R8" i="11"/>
  <c r="Q8" i="11"/>
  <c r="P8" i="11"/>
  <c r="O8" i="11"/>
  <c r="N8" i="11"/>
  <c r="M8" i="11"/>
  <c r="L8" i="11"/>
  <c r="K8" i="11"/>
  <c r="J8" i="11"/>
  <c r="I8" i="11"/>
  <c r="H8" i="11"/>
  <c r="G8" i="11"/>
  <c r="F8" i="11"/>
  <c r="E8" i="11"/>
  <c r="BJ7" i="11"/>
  <c r="BI7" i="11"/>
  <c r="BH7" i="11"/>
  <c r="BG7" i="11"/>
  <c r="BF7" i="11"/>
  <c r="BE7" i="11"/>
  <c r="BD7" i="11"/>
  <c r="BC7" i="11"/>
  <c r="BB7" i="11"/>
  <c r="BA7" i="11"/>
  <c r="AZ7" i="11"/>
  <c r="AY7" i="11"/>
  <c r="AX7" i="11"/>
  <c r="AW7" i="11"/>
  <c r="AV7" i="11"/>
  <c r="AU7" i="11"/>
  <c r="AT7" i="11"/>
  <c r="AS7" i="11"/>
  <c r="AR7" i="11"/>
  <c r="AQ7" i="11"/>
  <c r="AP7" i="11"/>
  <c r="AO7" i="11"/>
  <c r="AN7" i="11"/>
  <c r="AM7" i="11"/>
  <c r="AL7" i="11"/>
  <c r="AK7" i="11"/>
  <c r="AJ7" i="11"/>
  <c r="AI7" i="11"/>
  <c r="AH7" i="11"/>
  <c r="AG7" i="11"/>
  <c r="AF7" i="11"/>
  <c r="AE7" i="11"/>
  <c r="AD7" i="11"/>
  <c r="AC7" i="11"/>
  <c r="AB7" i="11"/>
  <c r="AA7" i="11"/>
  <c r="Z7" i="11"/>
  <c r="Y7" i="11"/>
  <c r="X7" i="11"/>
  <c r="W7" i="11"/>
  <c r="V7" i="11"/>
  <c r="U7" i="11"/>
  <c r="T7" i="11"/>
  <c r="S7" i="11"/>
  <c r="R7" i="11"/>
  <c r="Q7" i="11"/>
  <c r="P7" i="11"/>
  <c r="O7" i="11"/>
  <c r="N7" i="11"/>
  <c r="M7" i="11"/>
  <c r="L7" i="11"/>
  <c r="K7" i="11"/>
  <c r="J7" i="11"/>
  <c r="I7" i="11"/>
  <c r="H7" i="11"/>
  <c r="G7" i="11"/>
  <c r="F7" i="11"/>
  <c r="E7" i="11"/>
  <c r="BJ6" i="11"/>
  <c r="BI6" i="11"/>
  <c r="BH6" i="11"/>
  <c r="BG6" i="11"/>
  <c r="BF6" i="11"/>
  <c r="BE6" i="11"/>
  <c r="BD6" i="11"/>
  <c r="BC6" i="11"/>
  <c r="BB6" i="11"/>
  <c r="BA6" i="11"/>
  <c r="AZ6" i="11"/>
  <c r="AY6" i="11"/>
  <c r="AX6" i="11"/>
  <c r="AW6" i="11"/>
  <c r="AV6" i="11"/>
  <c r="AU6" i="11"/>
  <c r="AT6" i="11"/>
  <c r="AS6" i="11"/>
  <c r="AR6" i="11"/>
  <c r="AQ6" i="11"/>
  <c r="AP6" i="11"/>
  <c r="AO6" i="11"/>
  <c r="AN6" i="11"/>
  <c r="AM6" i="11"/>
  <c r="AL6" i="11"/>
  <c r="AK6" i="11"/>
  <c r="AJ6" i="11"/>
  <c r="AI6" i="11"/>
  <c r="AH6" i="11"/>
  <c r="AG6" i="11"/>
  <c r="AF6" i="11"/>
  <c r="AE6" i="11"/>
  <c r="AD6" i="11"/>
  <c r="AC6" i="11"/>
  <c r="AB6" i="11"/>
  <c r="AA6" i="11"/>
  <c r="Z6" i="11"/>
  <c r="Y6" i="11"/>
  <c r="X6" i="11"/>
  <c r="W6" i="11"/>
  <c r="V6" i="11"/>
  <c r="U6" i="11"/>
  <c r="T6" i="11"/>
  <c r="S6" i="11"/>
  <c r="R6" i="11"/>
  <c r="Q6" i="11"/>
  <c r="P6" i="11"/>
  <c r="O6" i="11"/>
  <c r="N6" i="11"/>
  <c r="M6" i="11"/>
  <c r="L6" i="11"/>
  <c r="K6" i="11"/>
  <c r="J6" i="11"/>
  <c r="I6" i="11"/>
  <c r="H6" i="11"/>
  <c r="G6" i="11"/>
  <c r="F6" i="11"/>
  <c r="E6" i="11"/>
  <c r="BJ5" i="11"/>
  <c r="BI5" i="11"/>
  <c r="BH5" i="11"/>
  <c r="BF5" i="11"/>
  <c r="BE5" i="11"/>
  <c r="BD5" i="11"/>
  <c r="BC5" i="11"/>
  <c r="BA5" i="11"/>
  <c r="AW5" i="11"/>
  <c r="AV5" i="11"/>
  <c r="AT5" i="11"/>
  <c r="AS5" i="11"/>
  <c r="AR5" i="11"/>
  <c r="AQ5" i="11"/>
  <c r="AP5" i="11"/>
  <c r="AO5" i="11"/>
  <c r="AN5" i="11"/>
  <c r="AK5" i="11"/>
  <c r="AJ5" i="11"/>
  <c r="AH5" i="11"/>
  <c r="AG5" i="11"/>
  <c r="AF5" i="11"/>
  <c r="AE5" i="11"/>
  <c r="AC5" i="11"/>
  <c r="Y5" i="11"/>
  <c r="X5" i="11"/>
  <c r="V5" i="11"/>
  <c r="U5" i="11"/>
  <c r="T5" i="11"/>
  <c r="S5" i="11"/>
  <c r="R5" i="11"/>
  <c r="Q5" i="11"/>
  <c r="P5" i="11"/>
  <c r="M5" i="11"/>
  <c r="L5" i="11"/>
  <c r="J5" i="11"/>
  <c r="I5" i="11"/>
  <c r="H5" i="11"/>
  <c r="G5" i="11"/>
  <c r="E5" i="11"/>
  <c r="BJ4" i="11"/>
  <c r="BH4" i="11"/>
  <c r="BG4" i="11"/>
  <c r="AU4" i="11"/>
  <c r="AS4" i="11"/>
  <c r="AJ4" i="11"/>
  <c r="AI4" i="11"/>
  <c r="W4" i="11"/>
  <c r="U4" i="11"/>
  <c r="L4" i="11"/>
  <c r="K4" i="11"/>
  <c r="B5" i="49" l="1"/>
  <c r="A7" i="57"/>
  <c r="A8" i="57"/>
  <c r="A9" i="57"/>
  <c r="I9" i="57" s="1"/>
  <c r="A10" i="57"/>
  <c r="E10" i="57" s="1"/>
  <c r="A11" i="57"/>
  <c r="G11" i="57" s="1"/>
  <c r="A12" i="57"/>
  <c r="M12" i="57" s="1"/>
  <c r="A13" i="57"/>
  <c r="D13" i="57" s="1"/>
  <c r="A14" i="57"/>
  <c r="M14" i="57" s="1"/>
  <c r="A15" i="57"/>
  <c r="C15" i="57" s="1"/>
  <c r="A16" i="57"/>
  <c r="A17" i="57"/>
  <c r="A18" i="57"/>
  <c r="F18" i="57" s="1"/>
  <c r="A19" i="57"/>
  <c r="K19" i="57" s="1"/>
  <c r="A6" i="57"/>
  <c r="S15" i="50"/>
  <c r="M17" i="50"/>
  <c r="R20" i="50"/>
  <c r="W46" i="50"/>
  <c r="J51" i="50"/>
  <c r="D31" i="50"/>
  <c r="O55" i="50"/>
  <c r="J58" i="50"/>
  <c r="T12" i="50"/>
  <c r="A14" i="59"/>
  <c r="H14" i="59" s="1"/>
  <c r="A9" i="59"/>
  <c r="M9" i="59" s="1"/>
  <c r="B41" i="58"/>
  <c r="H9" i="59"/>
  <c r="B49" i="58"/>
  <c r="A13" i="59"/>
  <c r="J13" i="59" s="1"/>
  <c r="A6" i="59"/>
  <c r="C6" i="59" s="1"/>
  <c r="D58" i="58"/>
  <c r="K58" i="58"/>
  <c r="N58" i="58"/>
  <c r="J58" i="58"/>
  <c r="F58" i="58"/>
  <c r="M58" i="58"/>
  <c r="E58" i="58"/>
  <c r="P58" i="58"/>
  <c r="I58" i="58"/>
  <c r="L58" i="58"/>
  <c r="O58" i="58"/>
  <c r="H58" i="58"/>
  <c r="G58" i="58"/>
  <c r="A15" i="59"/>
  <c r="F15" i="59" s="1"/>
  <c r="A12" i="59"/>
  <c r="F12" i="59" s="1"/>
  <c r="A11" i="59"/>
  <c r="E11" i="59" s="1"/>
  <c r="E3" i="58"/>
  <c r="J3" i="58"/>
  <c r="G3" i="58"/>
  <c r="H3" i="58"/>
  <c r="I3" i="58"/>
  <c r="B18" i="58"/>
  <c r="K3" i="58"/>
  <c r="L3" i="58"/>
  <c r="A5" i="59"/>
  <c r="G5" i="59" s="1"/>
  <c r="N3" i="58"/>
  <c r="P3" i="58"/>
  <c r="I3" i="59"/>
  <c r="F3" i="58"/>
  <c r="H3" i="59"/>
  <c r="G3" i="59"/>
  <c r="D3" i="59"/>
  <c r="B5" i="58"/>
  <c r="M3" i="58"/>
  <c r="B30" i="58"/>
  <c r="C3" i="59"/>
  <c r="O3" i="58"/>
  <c r="B16" i="58"/>
  <c r="O3" i="59"/>
  <c r="F3" i="59"/>
  <c r="E3" i="59"/>
  <c r="B7" i="58"/>
  <c r="B23" i="58"/>
  <c r="N3" i="59"/>
  <c r="D3" i="58"/>
  <c r="B34" i="58"/>
  <c r="M3" i="59"/>
  <c r="B8" i="58"/>
  <c r="K3" i="59"/>
  <c r="B10" i="58"/>
  <c r="J3" i="59"/>
  <c r="L3" i="59"/>
  <c r="B6" i="58"/>
  <c r="A8" i="59"/>
  <c r="H8" i="59" s="1"/>
  <c r="A10" i="59"/>
  <c r="H10" i="59" s="1"/>
  <c r="B21" i="58"/>
  <c r="B14" i="58"/>
  <c r="B9" i="58"/>
  <c r="B44" i="58"/>
  <c r="B15" i="58"/>
  <c r="B13" i="58"/>
  <c r="B56" i="58"/>
  <c r="B43" i="58"/>
  <c r="B55" i="58"/>
  <c r="B26" i="58"/>
  <c r="B45" i="58"/>
  <c r="B53" i="58"/>
  <c r="B33" i="58"/>
  <c r="B61" i="58"/>
  <c r="B12" i="58"/>
  <c r="B50" i="58"/>
  <c r="B25" i="58"/>
  <c r="B31" i="58"/>
  <c r="B36" i="58"/>
  <c r="B17" i="58"/>
  <c r="B54" i="58"/>
  <c r="B32" i="58"/>
  <c r="B47" i="58"/>
  <c r="B20" i="58"/>
  <c r="B57" i="58"/>
  <c r="B48" i="58"/>
  <c r="A7" i="59"/>
  <c r="K7" i="59" s="1"/>
  <c r="B28" i="58"/>
  <c r="B35" i="58"/>
  <c r="B42" i="58"/>
  <c r="B46" i="58"/>
  <c r="B52" i="58"/>
  <c r="B24" i="58"/>
  <c r="B22" i="58"/>
  <c r="B39" i="58"/>
  <c r="B59" i="58"/>
  <c r="B37" i="58"/>
  <c r="B27" i="58"/>
  <c r="B19" i="58"/>
  <c r="B62" i="58"/>
  <c r="B51" i="58"/>
  <c r="B60" i="58"/>
  <c r="B38" i="58"/>
  <c r="B29" i="58"/>
  <c r="B11" i="58"/>
  <c r="B40" i="58"/>
  <c r="W383" i="11"/>
  <c r="BC354" i="11"/>
  <c r="F354" i="11"/>
  <c r="AI98" i="22"/>
  <c r="BC100" i="11"/>
  <c r="AE100" i="11"/>
  <c r="AI137" i="22"/>
  <c r="AN139" i="11"/>
  <c r="P139" i="11"/>
  <c r="AM139" i="11"/>
  <c r="O139" i="11"/>
  <c r="AL139" i="11"/>
  <c r="N139" i="11"/>
  <c r="BI139" i="11"/>
  <c r="AK139" i="11"/>
  <c r="M139" i="11"/>
  <c r="BF139" i="11"/>
  <c r="AH139" i="11"/>
  <c r="J139" i="11"/>
  <c r="AI148" i="22"/>
  <c r="AV150" i="11"/>
  <c r="X150" i="11"/>
  <c r="AU150" i="11"/>
  <c r="W150" i="11"/>
  <c r="AT150" i="11"/>
  <c r="V150" i="11"/>
  <c r="AS150" i="11"/>
  <c r="U150" i="11"/>
  <c r="AR150" i="11"/>
  <c r="T150" i="11"/>
  <c r="AO150" i="11"/>
  <c r="Q150" i="11"/>
  <c r="AI167" i="22"/>
  <c r="BB169" i="11"/>
  <c r="AD169" i="11"/>
  <c r="F169" i="11"/>
  <c r="BA169" i="11"/>
  <c r="AC169" i="11"/>
  <c r="E169" i="11"/>
  <c r="AZ169" i="11"/>
  <c r="AB169" i="11"/>
  <c r="AY169" i="11"/>
  <c r="AA169" i="11"/>
  <c r="AX169" i="11"/>
  <c r="Z169" i="11"/>
  <c r="AU169" i="11"/>
  <c r="W169" i="11"/>
  <c r="AP169" i="11"/>
  <c r="R169" i="11"/>
  <c r="AI216" i="22"/>
  <c r="AZ218" i="11"/>
  <c r="AB218" i="11"/>
  <c r="AY218" i="11"/>
  <c r="AA218" i="11"/>
  <c r="AX218" i="11"/>
  <c r="Z218" i="11"/>
  <c r="AW218" i="11"/>
  <c r="Y218" i="11"/>
  <c r="AV218" i="11"/>
  <c r="X218" i="11"/>
  <c r="AU218" i="11"/>
  <c r="W218" i="11"/>
  <c r="AS218" i="11"/>
  <c r="U218" i="11"/>
  <c r="AN218" i="11"/>
  <c r="P218" i="11"/>
  <c r="AL218" i="11"/>
  <c r="N218" i="11"/>
  <c r="AI145" i="22"/>
  <c r="AU147" i="11"/>
  <c r="AT147" i="11"/>
  <c r="AN147" i="11"/>
  <c r="AL147" i="11"/>
  <c r="AK147" i="11"/>
  <c r="AG147" i="11"/>
  <c r="AI233" i="22"/>
  <c r="AY235" i="11"/>
  <c r="AA235" i="11"/>
  <c r="AX235" i="11"/>
  <c r="Z235" i="11"/>
  <c r="AW235" i="11"/>
  <c r="Y235" i="11"/>
  <c r="AV235" i="11"/>
  <c r="X235" i="11"/>
  <c r="AU235" i="11"/>
  <c r="W235" i="11"/>
  <c r="AT235" i="11"/>
  <c r="V235" i="11"/>
  <c r="AR235" i="11"/>
  <c r="T235" i="11"/>
  <c r="AO235" i="11"/>
  <c r="AN235" i="11"/>
  <c r="P235" i="11"/>
  <c r="AM235" i="11"/>
  <c r="O235" i="11"/>
  <c r="BI235" i="11"/>
  <c r="AK235" i="11"/>
  <c r="M235" i="11"/>
  <c r="BH235" i="11"/>
  <c r="AJ235" i="11"/>
  <c r="L235" i="11"/>
  <c r="AI294" i="22"/>
  <c r="BE296" i="11"/>
  <c r="AG296" i="11"/>
  <c r="I296" i="11"/>
  <c r="BD296" i="11"/>
  <c r="AF296" i="11"/>
  <c r="H296" i="11"/>
  <c r="BC296" i="11"/>
  <c r="AE296" i="11"/>
  <c r="G296" i="11"/>
  <c r="BB296" i="11"/>
  <c r="AD296" i="11"/>
  <c r="F296" i="11"/>
  <c r="BA296" i="11"/>
  <c r="AC296" i="11"/>
  <c r="E296" i="11"/>
  <c r="AZ296" i="11"/>
  <c r="AB296" i="11"/>
  <c r="AX296" i="11"/>
  <c r="Z296" i="11"/>
  <c r="AU296" i="11"/>
  <c r="W296" i="11"/>
  <c r="AT296" i="11"/>
  <c r="V296" i="11"/>
  <c r="AS296" i="11"/>
  <c r="U296" i="11"/>
  <c r="AQ296" i="11"/>
  <c r="S296" i="11"/>
  <c r="AP296" i="11"/>
  <c r="R296" i="11"/>
  <c r="AM296" i="11"/>
  <c r="O296" i="11"/>
  <c r="BH296" i="11"/>
  <c r="AJ296" i="11"/>
  <c r="L296" i="11"/>
  <c r="BG296" i="11"/>
  <c r="AI296" i="11"/>
  <c r="K296" i="11"/>
  <c r="AI305" i="22"/>
  <c r="BI307" i="11"/>
  <c r="AK307" i="11"/>
  <c r="M307" i="11"/>
  <c r="BH307" i="11"/>
  <c r="AJ307" i="11"/>
  <c r="L307" i="11"/>
  <c r="BG307" i="11"/>
  <c r="AI307" i="11"/>
  <c r="K307" i="11"/>
  <c r="BF307" i="11"/>
  <c r="AH307" i="11"/>
  <c r="J307" i="11"/>
  <c r="BE307" i="11"/>
  <c r="AG307" i="11"/>
  <c r="I307" i="11"/>
  <c r="BD307" i="11"/>
  <c r="AF307" i="11"/>
  <c r="H307" i="11"/>
  <c r="BB307" i="11"/>
  <c r="AD307" i="11"/>
  <c r="F307" i="11"/>
  <c r="AY307" i="11"/>
  <c r="AA307" i="11"/>
  <c r="AX307" i="11"/>
  <c r="Z307" i="11"/>
  <c r="AW307" i="11"/>
  <c r="Y307" i="11"/>
  <c r="AU307" i="11"/>
  <c r="W307" i="11"/>
  <c r="AT307" i="11"/>
  <c r="V307" i="11"/>
  <c r="AQ307" i="11"/>
  <c r="S307" i="11"/>
  <c r="AN307" i="11"/>
  <c r="P307" i="11"/>
  <c r="AM307" i="11"/>
  <c r="O307" i="11"/>
  <c r="AI322" i="22"/>
  <c r="AU324" i="11"/>
  <c r="T324" i="11"/>
  <c r="AT324" i="11"/>
  <c r="S324" i="11"/>
  <c r="AS324" i="11"/>
  <c r="R324" i="11"/>
  <c r="AR324" i="11"/>
  <c r="Q324" i="11"/>
  <c r="AQ324" i="11"/>
  <c r="P324" i="11"/>
  <c r="AP324" i="11"/>
  <c r="O324" i="11"/>
  <c r="AN324" i="11"/>
  <c r="M324" i="11"/>
  <c r="AK324" i="11"/>
  <c r="J324" i="11"/>
  <c r="AJ324" i="11"/>
  <c r="I324" i="11"/>
  <c r="AI324" i="11"/>
  <c r="H324" i="11"/>
  <c r="BH324" i="11"/>
  <c r="AG324" i="11"/>
  <c r="F324" i="11"/>
  <c r="BG324" i="11"/>
  <c r="AF324" i="11"/>
  <c r="E324" i="11"/>
  <c r="BD324" i="11"/>
  <c r="AC324" i="11"/>
  <c r="BA324" i="11"/>
  <c r="W324" i="11"/>
  <c r="AX324" i="11"/>
  <c r="V324" i="11"/>
  <c r="AI333" i="22"/>
  <c r="BI335" i="11"/>
  <c r="BC335" i="11"/>
  <c r="AZ335" i="11"/>
  <c r="AU335" i="11"/>
  <c r="AQ335" i="11"/>
  <c r="AP335" i="11"/>
  <c r="AE335" i="11"/>
  <c r="S335" i="11"/>
  <c r="R335" i="11"/>
  <c r="M335" i="11"/>
  <c r="BA307" i="11"/>
  <c r="AH324" i="11"/>
  <c r="V381" i="11"/>
  <c r="AD383" i="11"/>
  <c r="AI211" i="22"/>
  <c r="AZ213" i="11"/>
  <c r="AV213" i="11"/>
  <c r="AB213" i="11"/>
  <c r="AI304" i="22"/>
  <c r="AY306" i="11"/>
  <c r="AA306" i="11"/>
  <c r="AI261" i="22"/>
  <c r="AU263" i="11"/>
  <c r="AM263" i="11"/>
  <c r="AK263" i="11"/>
  <c r="AJ263" i="11"/>
  <c r="AG263" i="11"/>
  <c r="AF263" i="11"/>
  <c r="Y263" i="11"/>
  <c r="O263" i="11"/>
  <c r="M263" i="11"/>
  <c r="L263" i="11"/>
  <c r="H263" i="11"/>
  <c r="BH263" i="11"/>
  <c r="AZ263" i="11"/>
  <c r="AW263" i="11"/>
  <c r="AI289" i="22"/>
  <c r="BA291" i="11"/>
  <c r="AY291" i="11"/>
  <c r="AX291" i="11"/>
  <c r="AT291" i="11"/>
  <c r="AL291" i="11"/>
  <c r="Z291" i="11"/>
  <c r="V291" i="11"/>
  <c r="R291" i="11"/>
  <c r="E291" i="11"/>
  <c r="AI249" i="22"/>
  <c r="AT251" i="11"/>
  <c r="AI367" i="22"/>
  <c r="AH369" i="11"/>
  <c r="AI387" i="22"/>
  <c r="AW389" i="11"/>
  <c r="V389" i="11"/>
  <c r="U389" i="11"/>
  <c r="Q389" i="11"/>
  <c r="N291" i="11"/>
  <c r="AI118" i="22"/>
  <c r="AX120" i="11"/>
  <c r="Z120" i="11"/>
  <c r="AW120" i="11"/>
  <c r="Y120" i="11"/>
  <c r="AV120" i="11"/>
  <c r="X120" i="11"/>
  <c r="AU120" i="11"/>
  <c r="W120" i="11"/>
  <c r="AR120" i="11"/>
  <c r="T120" i="11"/>
  <c r="AI103" i="22"/>
  <c r="AL105" i="11"/>
  <c r="G105" i="11"/>
  <c r="AI105" i="11"/>
  <c r="F105" i="11"/>
  <c r="AG105" i="11"/>
  <c r="BG105" i="11"/>
  <c r="AD105" i="11"/>
  <c r="AI436" i="22"/>
  <c r="AS438" i="11"/>
  <c r="AN438" i="11"/>
  <c r="AF438" i="11"/>
  <c r="AI379" i="22"/>
  <c r="AX381" i="11"/>
  <c r="U381" i="11"/>
  <c r="AW381" i="11"/>
  <c r="T381" i="11"/>
  <c r="AV381" i="11"/>
  <c r="S381" i="11"/>
  <c r="AU381" i="11"/>
  <c r="N381" i="11"/>
  <c r="AT381" i="11"/>
  <c r="M381" i="11"/>
  <c r="AS381" i="11"/>
  <c r="K381" i="11"/>
  <c r="AQ381" i="11"/>
  <c r="I381" i="11"/>
  <c r="AI381" i="11"/>
  <c r="F381" i="11"/>
  <c r="AH381" i="11"/>
  <c r="E381" i="11"/>
  <c r="AG381" i="11"/>
  <c r="BI381" i="11"/>
  <c r="AE381" i="11"/>
  <c r="BG381" i="11"/>
  <c r="AD381" i="11"/>
  <c r="BD381" i="11"/>
  <c r="AA381" i="11"/>
  <c r="BA381" i="11"/>
  <c r="X381" i="11"/>
  <c r="AZ381" i="11"/>
  <c r="W381" i="11"/>
  <c r="AI314" i="22"/>
  <c r="AW316" i="11"/>
  <c r="Y316" i="11"/>
  <c r="AV316" i="11"/>
  <c r="X316" i="11"/>
  <c r="AU316" i="11"/>
  <c r="W316" i="11"/>
  <c r="AT316" i="11"/>
  <c r="V316" i="11"/>
  <c r="AS316" i="11"/>
  <c r="U316" i="11"/>
  <c r="AR316" i="11"/>
  <c r="T316" i="11"/>
  <c r="AP316" i="11"/>
  <c r="R316" i="11"/>
  <c r="AM316" i="11"/>
  <c r="O316" i="11"/>
  <c r="AL316" i="11"/>
  <c r="N316" i="11"/>
  <c r="BI316" i="11"/>
  <c r="AK316" i="11"/>
  <c r="M316" i="11"/>
  <c r="BG316" i="11"/>
  <c r="AI316" i="11"/>
  <c r="K316" i="11"/>
  <c r="BF316" i="11"/>
  <c r="AH316" i="11"/>
  <c r="J316" i="11"/>
  <c r="BC316" i="11"/>
  <c r="AE316" i="11"/>
  <c r="G316" i="11"/>
  <c r="AZ316" i="11"/>
  <c r="AB316" i="11"/>
  <c r="AY316" i="11"/>
  <c r="AA316" i="11"/>
  <c r="AP275" i="11"/>
  <c r="W275" i="11"/>
  <c r="R275" i="11"/>
  <c r="I275" i="11"/>
  <c r="AI381" i="22"/>
  <c r="BB383" i="11"/>
  <c r="R383" i="11"/>
  <c r="BA383" i="11"/>
  <c r="Q383" i="11"/>
  <c r="AZ383" i="11"/>
  <c r="O383" i="11"/>
  <c r="AY383" i="11"/>
  <c r="N383" i="11"/>
  <c r="AX383" i="11"/>
  <c r="M383" i="11"/>
  <c r="AW383" i="11"/>
  <c r="L383" i="11"/>
  <c r="AU383" i="11"/>
  <c r="J383" i="11"/>
  <c r="AM383" i="11"/>
  <c r="G383" i="11"/>
  <c r="AL383" i="11"/>
  <c r="AK383" i="11"/>
  <c r="AG383" i="11"/>
  <c r="AE383" i="11"/>
  <c r="BH383" i="11"/>
  <c r="AB383" i="11"/>
  <c r="BE383" i="11"/>
  <c r="Y383" i="11"/>
  <c r="BD383" i="11"/>
  <c r="X383" i="11"/>
  <c r="AI384" i="22"/>
  <c r="AY386" i="11"/>
  <c r="AX386" i="11"/>
  <c r="AA386" i="11"/>
  <c r="BI392" i="11"/>
  <c r="AV392" i="11"/>
  <c r="AK392" i="11"/>
  <c r="AI392" i="11"/>
  <c r="AA414" i="11"/>
  <c r="AV414" i="11"/>
  <c r="AU414" i="11"/>
  <c r="AD414" i="11"/>
  <c r="G414" i="11"/>
  <c r="AA291" i="11"/>
  <c r="M296" i="11"/>
  <c r="AW324" i="11"/>
  <c r="AD354" i="11"/>
  <c r="AC381" i="11"/>
  <c r="AV383" i="11"/>
  <c r="AC291" i="11"/>
  <c r="BB324" i="11"/>
  <c r="AF381" i="11"/>
  <c r="BC383" i="11"/>
  <c r="H224" i="11"/>
  <c r="I263" i="11"/>
  <c r="AP291" i="11"/>
  <c r="P296" i="11"/>
  <c r="E307" i="11"/>
  <c r="F316" i="11"/>
  <c r="BC324" i="11"/>
  <c r="AQ328" i="11"/>
  <c r="AK381" i="11"/>
  <c r="BF383" i="11"/>
  <c r="W392" i="11"/>
  <c r="AQ153" i="11"/>
  <c r="Q218" i="11"/>
  <c r="BE218" i="11"/>
  <c r="AB224" i="11"/>
  <c r="R235" i="11"/>
  <c r="W263" i="11"/>
  <c r="Q296" i="11"/>
  <c r="G307" i="11"/>
  <c r="H316" i="11"/>
  <c r="BE324" i="11"/>
  <c r="AT328" i="11"/>
  <c r="E356" i="11"/>
  <c r="AL381" i="11"/>
  <c r="BG383" i="11"/>
  <c r="AF224" i="11"/>
  <c r="X263" i="11"/>
  <c r="T296" i="11"/>
  <c r="N307" i="11"/>
  <c r="I316" i="11"/>
  <c r="BF324" i="11"/>
  <c r="AR381" i="11"/>
  <c r="E389" i="11"/>
  <c r="AZ224" i="11"/>
  <c r="AB263" i="11"/>
  <c r="X296" i="11"/>
  <c r="Q307" i="11"/>
  <c r="L316" i="11"/>
  <c r="BI324" i="11"/>
  <c r="AY381" i="11"/>
  <c r="AH389" i="11"/>
  <c r="AV263" i="11"/>
  <c r="AS389" i="11"/>
  <c r="AI190" i="22"/>
  <c r="BH192" i="11"/>
  <c r="AJ192" i="11"/>
  <c r="L192" i="11"/>
  <c r="AI206" i="22"/>
  <c r="AZ208" i="11"/>
  <c r="AB208" i="11"/>
  <c r="AA278" i="11"/>
  <c r="AY278" i="11"/>
  <c r="AJ278" i="11"/>
  <c r="AI354" i="22"/>
  <c r="BH356" i="11"/>
  <c r="AB356" i="11"/>
  <c r="BG356" i="11"/>
  <c r="Z356" i="11"/>
  <c r="BE356" i="11"/>
  <c r="Y356" i="11"/>
  <c r="BD356" i="11"/>
  <c r="X356" i="11"/>
  <c r="BC356" i="11"/>
  <c r="U356" i="11"/>
  <c r="BB356" i="11"/>
  <c r="T356" i="11"/>
  <c r="AZ356" i="11"/>
  <c r="P356" i="11"/>
  <c r="AV356" i="11"/>
  <c r="L356" i="11"/>
  <c r="AS356" i="11"/>
  <c r="K356" i="11"/>
  <c r="AR356" i="11"/>
  <c r="I356" i="11"/>
  <c r="AN356" i="11"/>
  <c r="G356" i="11"/>
  <c r="AL356" i="11"/>
  <c r="F356" i="11"/>
  <c r="AI356" i="11"/>
  <c r="AE356" i="11"/>
  <c r="AD356" i="11"/>
  <c r="AI424" i="22"/>
  <c r="BG426" i="11"/>
  <c r="AA426" i="11"/>
  <c r="BF426" i="11"/>
  <c r="Y426" i="11"/>
  <c r="BE426" i="11"/>
  <c r="W426" i="11"/>
  <c r="BD426" i="11"/>
  <c r="U426" i="11"/>
  <c r="BB426" i="11"/>
  <c r="T426" i="11"/>
  <c r="BA426" i="11"/>
  <c r="R426" i="11"/>
  <c r="AW426" i="11"/>
  <c r="M426" i="11"/>
  <c r="AT426" i="11"/>
  <c r="J426" i="11"/>
  <c r="AS426" i="11"/>
  <c r="I426" i="11"/>
  <c r="AR426" i="11"/>
  <c r="H426" i="11"/>
  <c r="AN426" i="11"/>
  <c r="F426" i="11"/>
  <c r="AK426" i="11"/>
  <c r="E426" i="11"/>
  <c r="AH426" i="11"/>
  <c r="AG426" i="11"/>
  <c r="AE426" i="11"/>
  <c r="AD426" i="11"/>
  <c r="AI129" i="22"/>
  <c r="AF131" i="11"/>
  <c r="AI411" i="22"/>
  <c r="AT413" i="11"/>
  <c r="AR413" i="11"/>
  <c r="AN413" i="11"/>
  <c r="AH413" i="11"/>
  <c r="AG413" i="11"/>
  <c r="AF413" i="11"/>
  <c r="X413" i="11"/>
  <c r="T413" i="11"/>
  <c r="S413" i="11"/>
  <c r="Q413" i="11"/>
  <c r="G413" i="11"/>
  <c r="F413" i="11"/>
  <c r="BG413" i="11"/>
  <c r="BC413" i="11"/>
  <c r="AX413" i="11"/>
  <c r="AV413" i="11"/>
  <c r="AI144" i="22"/>
  <c r="BG146" i="11"/>
  <c r="AI146" i="11"/>
  <c r="K146" i="11"/>
  <c r="BF146" i="11"/>
  <c r="AH146" i="11"/>
  <c r="J146" i="11"/>
  <c r="BE146" i="11"/>
  <c r="AG146" i="11"/>
  <c r="I146" i="11"/>
  <c r="BD146" i="11"/>
  <c r="AF146" i="11"/>
  <c r="H146" i="11"/>
  <c r="BC146" i="11"/>
  <c r="AE146" i="11"/>
  <c r="G146" i="11"/>
  <c r="AZ146" i="11"/>
  <c r="AB146" i="11"/>
  <c r="AI152" i="22"/>
  <c r="AQ154" i="11"/>
  <c r="S154" i="11"/>
  <c r="AP154" i="11"/>
  <c r="R154" i="11"/>
  <c r="AO154" i="11"/>
  <c r="Q154" i="11"/>
  <c r="AN154" i="11"/>
  <c r="P154" i="11"/>
  <c r="AM154" i="11"/>
  <c r="O154" i="11"/>
  <c r="BH154" i="11"/>
  <c r="AJ154" i="11"/>
  <c r="L154" i="11"/>
  <c r="AI163" i="22"/>
  <c r="BI165" i="11"/>
  <c r="AK165" i="11"/>
  <c r="M165" i="11"/>
  <c r="BH165" i="11"/>
  <c r="AJ165" i="11"/>
  <c r="L165" i="11"/>
  <c r="BG165" i="11"/>
  <c r="AI165" i="11"/>
  <c r="K165" i="11"/>
  <c r="BF165" i="11"/>
  <c r="AH165" i="11"/>
  <c r="J165" i="11"/>
  <c r="BE165" i="11"/>
  <c r="AG165" i="11"/>
  <c r="I165" i="11"/>
  <c r="BB165" i="11"/>
  <c r="AD165" i="11"/>
  <c r="F165" i="11"/>
  <c r="AW165" i="11"/>
  <c r="Y165" i="11"/>
  <c r="AI212" i="22"/>
  <c r="AD214" i="11"/>
  <c r="F214" i="11"/>
  <c r="BG161" i="11"/>
  <c r="AI161" i="11"/>
  <c r="K161" i="11"/>
  <c r="BF161" i="11"/>
  <c r="AH161" i="11"/>
  <c r="J161" i="11"/>
  <c r="BE161" i="11"/>
  <c r="AG161" i="11"/>
  <c r="I161" i="11"/>
  <c r="BD161" i="11"/>
  <c r="AF161" i="11"/>
  <c r="H161" i="11"/>
  <c r="BC161" i="11"/>
  <c r="AE161" i="11"/>
  <c r="G161" i="11"/>
  <c r="AZ161" i="11"/>
  <c r="AB161" i="11"/>
  <c r="AU161" i="11"/>
  <c r="W161" i="11"/>
  <c r="AI223" i="22"/>
  <c r="AQ225" i="11"/>
  <c r="S225" i="11"/>
  <c r="AP225" i="11"/>
  <c r="R225" i="11"/>
  <c r="AO225" i="11"/>
  <c r="Q225" i="11"/>
  <c r="AN225" i="11"/>
  <c r="P225" i="11"/>
  <c r="AM225" i="11"/>
  <c r="O225" i="11"/>
  <c r="AL225" i="11"/>
  <c r="N225" i="11"/>
  <c r="BH225" i="11"/>
  <c r="AJ225" i="11"/>
  <c r="L225" i="11"/>
  <c r="BD225" i="11"/>
  <c r="AF225" i="11"/>
  <c r="H225" i="11"/>
  <c r="BC225" i="11"/>
  <c r="AE225" i="11"/>
  <c r="G225" i="11"/>
  <c r="BA225" i="11"/>
  <c r="AC225" i="11"/>
  <c r="E225" i="11"/>
  <c r="AZ225" i="11"/>
  <c r="AB225" i="11"/>
  <c r="BH253" i="11"/>
  <c r="BI253" i="11"/>
  <c r="AM253" i="11"/>
  <c r="AK253" i="11"/>
  <c r="AH253" i="11"/>
  <c r="I253" i="11"/>
  <c r="G253" i="11"/>
  <c r="F253" i="11"/>
  <c r="AI301" i="22"/>
  <c r="AZ303" i="11"/>
  <c r="R303" i="11"/>
  <c r="AI326" i="22"/>
  <c r="BG328" i="11"/>
  <c r="AI328" i="11"/>
  <c r="K328" i="11"/>
  <c r="BF328" i="11"/>
  <c r="AH328" i="11"/>
  <c r="J328" i="11"/>
  <c r="BE328" i="11"/>
  <c r="AG328" i="11"/>
  <c r="I328" i="11"/>
  <c r="BD328" i="11"/>
  <c r="AF328" i="11"/>
  <c r="H328" i="11"/>
  <c r="BC328" i="11"/>
  <c r="AE328" i="11"/>
  <c r="G328" i="11"/>
  <c r="BB328" i="11"/>
  <c r="AD328" i="11"/>
  <c r="F328" i="11"/>
  <c r="AZ328" i="11"/>
  <c r="AB328" i="11"/>
  <c r="AW328" i="11"/>
  <c r="Y328" i="11"/>
  <c r="AV328" i="11"/>
  <c r="X328" i="11"/>
  <c r="AU328" i="11"/>
  <c r="W328" i="11"/>
  <c r="AS328" i="11"/>
  <c r="U328" i="11"/>
  <c r="AR328" i="11"/>
  <c r="T328" i="11"/>
  <c r="AO328" i="11"/>
  <c r="Q328" i="11"/>
  <c r="AL328" i="11"/>
  <c r="N328" i="11"/>
  <c r="BI328" i="11"/>
  <c r="AK328" i="11"/>
  <c r="M328" i="11"/>
  <c r="AI368" i="22"/>
  <c r="AJ370" i="11"/>
  <c r="L370" i="11"/>
  <c r="AF169" i="11"/>
  <c r="AC218" i="11"/>
  <c r="AD235" i="11"/>
  <c r="BE263" i="11"/>
  <c r="AH296" i="11"/>
  <c r="U307" i="11"/>
  <c r="S316" i="11"/>
  <c r="AC356" i="11"/>
  <c r="BE381" i="11"/>
  <c r="Z386" i="11"/>
  <c r="M413" i="11"/>
  <c r="BI263" i="11"/>
  <c r="BF381" i="11"/>
  <c r="U413" i="11"/>
  <c r="A13" i="48"/>
  <c r="G13" i="48" s="1"/>
  <c r="AP390" i="11"/>
  <c r="J390" i="11"/>
  <c r="AO390" i="11"/>
  <c r="I390" i="11"/>
  <c r="AN390" i="11"/>
  <c r="G390" i="11"/>
  <c r="AM390" i="11"/>
  <c r="F390" i="11"/>
  <c r="AL390" i="11"/>
  <c r="E390" i="11"/>
  <c r="AK390" i="11"/>
  <c r="AF390" i="11"/>
  <c r="AC390" i="11"/>
  <c r="BI390" i="11"/>
  <c r="AB390" i="11"/>
  <c r="BH390" i="11"/>
  <c r="AA390" i="11"/>
  <c r="BE390" i="11"/>
  <c r="Y390" i="11"/>
  <c r="BD390" i="11"/>
  <c r="U390" i="11"/>
  <c r="BA390" i="11"/>
  <c r="P390" i="11"/>
  <c r="AZ390" i="11"/>
  <c r="O390" i="11"/>
  <c r="AU390" i="11"/>
  <c r="M390" i="11"/>
  <c r="AS390" i="11"/>
  <c r="L390" i="11"/>
  <c r="AI105" i="22"/>
  <c r="AU107" i="11"/>
  <c r="W107" i="11"/>
  <c r="AT107" i="11"/>
  <c r="V107" i="11"/>
  <c r="AR107" i="11"/>
  <c r="T107" i="11"/>
  <c r="AO107" i="11"/>
  <c r="Q107" i="11"/>
  <c r="AI174" i="22"/>
  <c r="AQ176" i="11"/>
  <c r="AK176" i="11"/>
  <c r="AJ176" i="11"/>
  <c r="AH176" i="11"/>
  <c r="AG176" i="11"/>
  <c r="AD176" i="11"/>
  <c r="Z176" i="11"/>
  <c r="S176" i="11"/>
  <c r="AI182" i="22"/>
  <c r="AM184" i="11"/>
  <c r="O184" i="11"/>
  <c r="AI193" i="22"/>
  <c r="AQ195" i="11"/>
  <c r="S195" i="11"/>
  <c r="AP195" i="11"/>
  <c r="R195" i="11"/>
  <c r="AO195" i="11"/>
  <c r="Q195" i="11"/>
  <c r="AN195" i="11"/>
  <c r="P195" i="11"/>
  <c r="AM195" i="11"/>
  <c r="O195" i="11"/>
  <c r="AL195" i="11"/>
  <c r="N195" i="11"/>
  <c r="BH195" i="11"/>
  <c r="AJ195" i="11"/>
  <c r="L195" i="11"/>
  <c r="BC195" i="11"/>
  <c r="AE195" i="11"/>
  <c r="G195" i="11"/>
  <c r="AI201" i="22"/>
  <c r="AS203" i="11"/>
  <c r="U203" i="11"/>
  <c r="AR203" i="11"/>
  <c r="T203" i="11"/>
  <c r="AQ203" i="11"/>
  <c r="S203" i="11"/>
  <c r="AP203" i="11"/>
  <c r="R203" i="11"/>
  <c r="AO203" i="11"/>
  <c r="Q203" i="11"/>
  <c r="AN203" i="11"/>
  <c r="P203" i="11"/>
  <c r="AL203" i="11"/>
  <c r="N203" i="11"/>
  <c r="BE203" i="11"/>
  <c r="AG203" i="11"/>
  <c r="I203" i="11"/>
  <c r="AV274" i="11"/>
  <c r="AW274" i="11"/>
  <c r="AU274" i="11"/>
  <c r="Y274" i="11"/>
  <c r="O274" i="11"/>
  <c r="AI279" i="22"/>
  <c r="AU281" i="11"/>
  <c r="AN281" i="11"/>
  <c r="S281" i="11"/>
  <c r="L281" i="11"/>
  <c r="AO440" i="11"/>
  <c r="BI320" i="11"/>
  <c r="BH320" i="11"/>
  <c r="BG320" i="11"/>
  <c r="AM320" i="11"/>
  <c r="AK320" i="11"/>
  <c r="AI320" i="11"/>
  <c r="L320" i="11"/>
  <c r="K320" i="11"/>
  <c r="AI349" i="22"/>
  <c r="AX351" i="11"/>
  <c r="W351" i="11"/>
  <c r="BI346" i="11"/>
  <c r="AG346" i="11"/>
  <c r="E346" i="11"/>
  <c r="BH346" i="11"/>
  <c r="AF346" i="11"/>
  <c r="BG346" i="11"/>
  <c r="AE346" i="11"/>
  <c r="BF346" i="11"/>
  <c r="AD346" i="11"/>
  <c r="BE346" i="11"/>
  <c r="AC346" i="11"/>
  <c r="BD346" i="11"/>
  <c r="AB346" i="11"/>
  <c r="BB346" i="11"/>
  <c r="Z346" i="11"/>
  <c r="AY346" i="11"/>
  <c r="T346" i="11"/>
  <c r="AX346" i="11"/>
  <c r="R346" i="11"/>
  <c r="AW346" i="11"/>
  <c r="Q346" i="11"/>
  <c r="AR346" i="11"/>
  <c r="O346" i="11"/>
  <c r="AP346" i="11"/>
  <c r="N346" i="11"/>
  <c r="AM346" i="11"/>
  <c r="K346" i="11"/>
  <c r="AJ346" i="11"/>
  <c r="H346" i="11"/>
  <c r="AI346" i="11"/>
  <c r="G346" i="11"/>
  <c r="AH169" i="11"/>
  <c r="AE218" i="11"/>
  <c r="J225" i="11"/>
  <c r="BB225" i="11"/>
  <c r="AF235" i="11"/>
  <c r="AI278" i="11"/>
  <c r="AL296" i="11"/>
  <c r="AB307" i="11"/>
  <c r="AC316" i="11"/>
  <c r="AG356" i="11"/>
  <c r="N390" i="11"/>
  <c r="V413" i="11"/>
  <c r="AF218" i="11"/>
  <c r="AG235" i="11"/>
  <c r="AN296" i="11"/>
  <c r="AC307" i="11"/>
  <c r="AD316" i="11"/>
  <c r="G324" i="11"/>
  <c r="AJ356" i="11"/>
  <c r="Q390" i="11"/>
  <c r="Z413" i="11"/>
  <c r="AG218" i="11"/>
  <c r="M225" i="11"/>
  <c r="BF225" i="11"/>
  <c r="AH235" i="11"/>
  <c r="AB255" i="11"/>
  <c r="AO296" i="11"/>
  <c r="AE307" i="11"/>
  <c r="AF316" i="11"/>
  <c r="K324" i="11"/>
  <c r="E328" i="11"/>
  <c r="AK356" i="11"/>
  <c r="R390" i="11"/>
  <c r="AU413" i="11"/>
  <c r="G426" i="11"/>
  <c r="AH218" i="11"/>
  <c r="AI235" i="11"/>
  <c r="AZ255" i="11"/>
  <c r="AR296" i="11"/>
  <c r="AL307" i="11"/>
  <c r="AG316" i="11"/>
  <c r="L324" i="11"/>
  <c r="L328" i="11"/>
  <c r="AP356" i="11"/>
  <c r="H383" i="11"/>
  <c r="Z390" i="11"/>
  <c r="BB413" i="11"/>
  <c r="G169" i="11"/>
  <c r="AL169" i="11"/>
  <c r="AI218" i="11"/>
  <c r="U225" i="11"/>
  <c r="BI225" i="11"/>
  <c r="AL235" i="11"/>
  <c r="AV296" i="11"/>
  <c r="AO307" i="11"/>
  <c r="AJ316" i="11"/>
  <c r="N324" i="11"/>
  <c r="O328" i="11"/>
  <c r="AW356" i="11"/>
  <c r="I383" i="11"/>
  <c r="AD390" i="11"/>
  <c r="BH413" i="11"/>
  <c r="L426" i="11"/>
  <c r="X213" i="11"/>
  <c r="AW296" i="11"/>
  <c r="AP307" i="11"/>
  <c r="AN316" i="11"/>
  <c r="U324" i="11"/>
  <c r="P328" i="11"/>
  <c r="K383" i="11"/>
  <c r="AE390" i="11"/>
  <c r="BI413" i="11"/>
  <c r="Q288" i="11"/>
  <c r="AP288" i="11"/>
  <c r="K347" i="11"/>
  <c r="AN350" i="11"/>
  <c r="AI361" i="11"/>
  <c r="U288" i="11"/>
  <c r="AT288" i="11"/>
  <c r="AQ371" i="11"/>
  <c r="H442" i="11"/>
  <c r="X288" i="11"/>
  <c r="AW288" i="11"/>
  <c r="BG350" i="11"/>
  <c r="AX361" i="11"/>
  <c r="AF364" i="11"/>
  <c r="X388" i="11"/>
  <c r="AH442" i="11"/>
  <c r="Y288" i="11"/>
  <c r="AX288" i="11"/>
  <c r="BC318" i="11"/>
  <c r="BI350" i="11"/>
  <c r="BG361" i="11"/>
  <c r="AQ364" i="11"/>
  <c r="J394" i="11"/>
  <c r="AN442" i="11"/>
  <c r="N258" i="11"/>
  <c r="AL258" i="11"/>
  <c r="U269" i="11"/>
  <c r="AS269" i="11"/>
  <c r="AA288" i="11"/>
  <c r="AZ288" i="11"/>
  <c r="AD293" i="11"/>
  <c r="E350" i="11"/>
  <c r="AH394" i="11"/>
  <c r="AT442" i="11"/>
  <c r="AB288" i="11"/>
  <c r="BA288" i="11"/>
  <c r="Q350" i="11"/>
  <c r="AS394" i="11"/>
  <c r="AC288" i="11"/>
  <c r="BB288" i="11"/>
  <c r="N338" i="11"/>
  <c r="BF394" i="11"/>
  <c r="A15" i="48"/>
  <c r="G15" i="48" s="1"/>
  <c r="G240" i="11"/>
  <c r="S258" i="11"/>
  <c r="AQ258" i="11"/>
  <c r="Z269" i="11"/>
  <c r="AX269" i="11"/>
  <c r="G288" i="11"/>
  <c r="AF288" i="11"/>
  <c r="BE288" i="11"/>
  <c r="AL338" i="11"/>
  <c r="W350" i="11"/>
  <c r="I288" i="11"/>
  <c r="AH288" i="11"/>
  <c r="BH288" i="11"/>
  <c r="I226" i="11"/>
  <c r="AP240" i="11"/>
  <c r="V258" i="11"/>
  <c r="AT258" i="11"/>
  <c r="E269" i="11"/>
  <c r="AC269" i="11"/>
  <c r="BA269" i="11"/>
  <c r="J288" i="11"/>
  <c r="AJ288" i="11"/>
  <c r="BI288" i="11"/>
  <c r="Z350" i="11"/>
  <c r="A16" i="48"/>
  <c r="G16" i="48" s="1"/>
  <c r="N260" i="11"/>
  <c r="L288" i="11"/>
  <c r="AK288" i="11"/>
  <c r="AB350" i="11"/>
  <c r="G3" i="48"/>
  <c r="A17" i="48"/>
  <c r="D17" i="48" s="1"/>
  <c r="A6" i="48"/>
  <c r="G6" i="48" s="1"/>
  <c r="A18" i="48"/>
  <c r="D18" i="48" s="1"/>
  <c r="B5" i="40"/>
  <c r="A19" i="48"/>
  <c r="C19" i="48" s="1"/>
  <c r="A20" i="48"/>
  <c r="D20" i="48" s="1"/>
  <c r="U226" i="11"/>
  <c r="X258" i="11"/>
  <c r="AV258" i="11"/>
  <c r="G269" i="11"/>
  <c r="AE269" i="11"/>
  <c r="BC269" i="11"/>
  <c r="M288" i="11"/>
  <c r="AL288" i="11"/>
  <c r="AC350" i="11"/>
  <c r="E361" i="11"/>
  <c r="AG226" i="11"/>
  <c r="Y258" i="11"/>
  <c r="AW258" i="11"/>
  <c r="H269" i="11"/>
  <c r="AF269" i="11"/>
  <c r="BD269" i="11"/>
  <c r="N288" i="11"/>
  <c r="AM288" i="11"/>
  <c r="AD350" i="11"/>
  <c r="F361" i="11"/>
  <c r="AL226" i="11"/>
  <c r="Z258" i="11"/>
  <c r="AX258" i="11"/>
  <c r="I269" i="11"/>
  <c r="AG269" i="11"/>
  <c r="BE269" i="11"/>
  <c r="O288" i="11"/>
  <c r="AN288" i="11"/>
  <c r="AE350" i="11"/>
  <c r="G361" i="11"/>
  <c r="H401" i="11"/>
  <c r="A8" i="48"/>
  <c r="G8" i="48" s="1"/>
  <c r="A11" i="48"/>
  <c r="G11" i="48" s="1"/>
  <c r="A9" i="48"/>
  <c r="G9" i="48" s="1"/>
  <c r="A14" i="48"/>
  <c r="G14" i="48" s="1"/>
  <c r="A7" i="48"/>
  <c r="G7" i="48" s="1"/>
  <c r="A10" i="48"/>
  <c r="G10" i="48" s="1"/>
  <c r="A12" i="48"/>
  <c r="G12" i="48" s="1"/>
  <c r="G16" i="57"/>
  <c r="D5" i="57"/>
  <c r="D6" i="57"/>
  <c r="K7" i="57"/>
  <c r="S5" i="50"/>
  <c r="AF20" i="11"/>
  <c r="H26" i="11"/>
  <c r="AF26" i="11"/>
  <c r="BD26" i="11"/>
  <c r="G94" i="11"/>
  <c r="AE94" i="11"/>
  <c r="BC94" i="11"/>
  <c r="U95" i="11"/>
  <c r="AS95" i="11"/>
  <c r="F116" i="11"/>
  <c r="AD116" i="11"/>
  <c r="BB116" i="11"/>
  <c r="N153" i="11"/>
  <c r="AL153" i="11"/>
  <c r="AB158" i="11"/>
  <c r="BB158" i="11"/>
  <c r="K177" i="11"/>
  <c r="AI177" i="11"/>
  <c r="BG177" i="11"/>
  <c r="W213" i="11"/>
  <c r="AU213" i="11"/>
  <c r="AA224" i="11"/>
  <c r="AY224" i="11"/>
  <c r="X249" i="11"/>
  <c r="AV249" i="11"/>
  <c r="X257" i="11"/>
  <c r="AV257" i="11"/>
  <c r="G263" i="11"/>
  <c r="AE263" i="11"/>
  <c r="BC263" i="11"/>
  <c r="I268" i="11"/>
  <c r="AG268" i="11"/>
  <c r="BE268" i="11"/>
  <c r="L277" i="11"/>
  <c r="AJ277" i="11"/>
  <c r="BH277" i="11"/>
  <c r="G290" i="11"/>
  <c r="AE290" i="11"/>
  <c r="BC290" i="11"/>
  <c r="U291" i="11"/>
  <c r="AS291" i="11"/>
  <c r="V306" i="11"/>
  <c r="AT306" i="11"/>
  <c r="U332" i="11"/>
  <c r="AZ332" i="11"/>
  <c r="V342" i="11"/>
  <c r="AT342" i="11"/>
  <c r="L343" i="11"/>
  <c r="AJ343" i="11"/>
  <c r="BH343" i="11"/>
  <c r="E360" i="11"/>
  <c r="AH360" i="11"/>
  <c r="Y369" i="11"/>
  <c r="T374" i="11"/>
  <c r="P389" i="11"/>
  <c r="AR389" i="11"/>
  <c r="AB404" i="11"/>
  <c r="M429" i="11"/>
  <c r="BI429" i="11"/>
  <c r="AE438" i="11"/>
  <c r="J268" i="11"/>
  <c r="AH268" i="11"/>
  <c r="M277" i="11"/>
  <c r="AK277" i="11"/>
  <c r="BI277" i="11"/>
  <c r="W306" i="11"/>
  <c r="AU306" i="11"/>
  <c r="G425" i="11"/>
  <c r="AH26" i="11"/>
  <c r="W95" i="11"/>
  <c r="P153" i="11"/>
  <c r="AN153" i="11"/>
  <c r="M177" i="11"/>
  <c r="AK177" i="11"/>
  <c r="BI177" i="11"/>
  <c r="Y213" i="11"/>
  <c r="AW213" i="11"/>
  <c r="L221" i="11"/>
  <c r="E224" i="11"/>
  <c r="AC224" i="11"/>
  <c r="BA224" i="11"/>
  <c r="Z249" i="11"/>
  <c r="AX249" i="11"/>
  <c r="Z257" i="11"/>
  <c r="AX257" i="11"/>
  <c r="K268" i="11"/>
  <c r="AI268" i="11"/>
  <c r="BG268" i="11"/>
  <c r="N277" i="11"/>
  <c r="AL277" i="11"/>
  <c r="I290" i="11"/>
  <c r="AG290" i="11"/>
  <c r="BE290" i="11"/>
  <c r="W291" i="11"/>
  <c r="AU291" i="11"/>
  <c r="X306" i="11"/>
  <c r="AV306" i="11"/>
  <c r="X342" i="11"/>
  <c r="AV342" i="11"/>
  <c r="N343" i="11"/>
  <c r="AL343" i="11"/>
  <c r="G360" i="11"/>
  <c r="AJ360" i="11"/>
  <c r="R389" i="11"/>
  <c r="AT389" i="11"/>
  <c r="H425" i="11"/>
  <c r="AG438" i="11"/>
  <c r="AU95" i="11"/>
  <c r="J94" i="11"/>
  <c r="AH94" i="11"/>
  <c r="BF94" i="11"/>
  <c r="X95" i="11"/>
  <c r="AV95" i="11"/>
  <c r="I116" i="11"/>
  <c r="AG116" i="11"/>
  <c r="BE116" i="11"/>
  <c r="P142" i="11"/>
  <c r="Q153" i="11"/>
  <c r="AO153" i="11"/>
  <c r="E158" i="11"/>
  <c r="AE158" i="11"/>
  <c r="BE158" i="11"/>
  <c r="N177" i="11"/>
  <c r="AL177" i="11"/>
  <c r="I196" i="11"/>
  <c r="Z213" i="11"/>
  <c r="AX213" i="11"/>
  <c r="S221" i="11"/>
  <c r="F224" i="11"/>
  <c r="AD224" i="11"/>
  <c r="BB224" i="11"/>
  <c r="AA249" i="11"/>
  <c r="AY249" i="11"/>
  <c r="AA257" i="11"/>
  <c r="AY257" i="11"/>
  <c r="J263" i="11"/>
  <c r="AH263" i="11"/>
  <c r="BF263" i="11"/>
  <c r="L268" i="11"/>
  <c r="AJ268" i="11"/>
  <c r="BH268" i="11"/>
  <c r="O277" i="11"/>
  <c r="AM277" i="11"/>
  <c r="J290" i="11"/>
  <c r="AH290" i="11"/>
  <c r="BF290" i="11"/>
  <c r="X291" i="11"/>
  <c r="AV291" i="11"/>
  <c r="Y306" i="11"/>
  <c r="AW306" i="11"/>
  <c r="AA332" i="11"/>
  <c r="BC332" i="11"/>
  <c r="Y342" i="11"/>
  <c r="AW342" i="11"/>
  <c r="O343" i="11"/>
  <c r="AM343" i="11"/>
  <c r="H360" i="11"/>
  <c r="AK360" i="11"/>
  <c r="S389" i="11"/>
  <c r="AU389" i="11"/>
  <c r="AR404" i="11"/>
  <c r="M425" i="11"/>
  <c r="W429" i="11"/>
  <c r="AH438" i="11"/>
  <c r="AI20" i="11"/>
  <c r="J26" i="11"/>
  <c r="BF26" i="11"/>
  <c r="AL20" i="11"/>
  <c r="K26" i="11"/>
  <c r="AI26" i="11"/>
  <c r="BG26" i="11"/>
  <c r="AM20" i="11"/>
  <c r="L26" i="11"/>
  <c r="AJ26" i="11"/>
  <c r="BH26" i="11"/>
  <c r="K94" i="11"/>
  <c r="AI94" i="11"/>
  <c r="BG94" i="11"/>
  <c r="Y95" i="11"/>
  <c r="AW95" i="11"/>
  <c r="J116" i="11"/>
  <c r="AH116" i="11"/>
  <c r="BF116" i="11"/>
  <c r="R153" i="11"/>
  <c r="AP153" i="11"/>
  <c r="F158" i="11"/>
  <c r="AF158" i="11"/>
  <c r="BF158" i="11"/>
  <c r="O177" i="11"/>
  <c r="AM177" i="11"/>
  <c r="F185" i="11"/>
  <c r="N196" i="11"/>
  <c r="AA213" i="11"/>
  <c r="AY213" i="11"/>
  <c r="AE221" i="11"/>
  <c r="G224" i="11"/>
  <c r="AE224" i="11"/>
  <c r="BC224" i="11"/>
  <c r="AB249" i="11"/>
  <c r="AZ249" i="11"/>
  <c r="AB257" i="11"/>
  <c r="AZ257" i="11"/>
  <c r="K263" i="11"/>
  <c r="AI263" i="11"/>
  <c r="BG263" i="11"/>
  <c r="M268" i="11"/>
  <c r="AK268" i="11"/>
  <c r="BI268" i="11"/>
  <c r="P277" i="11"/>
  <c r="AN277" i="11"/>
  <c r="K290" i="11"/>
  <c r="AI290" i="11"/>
  <c r="BG290" i="11"/>
  <c r="Y291" i="11"/>
  <c r="AW291" i="11"/>
  <c r="Z306" i="11"/>
  <c r="AX306" i="11"/>
  <c r="AB332" i="11"/>
  <c r="BD332" i="11"/>
  <c r="Z342" i="11"/>
  <c r="AX342" i="11"/>
  <c r="P343" i="11"/>
  <c r="AN343" i="11"/>
  <c r="E354" i="11"/>
  <c r="I360" i="11"/>
  <c r="AL360" i="11"/>
  <c r="T389" i="11"/>
  <c r="AV389" i="11"/>
  <c r="AJ393" i="11"/>
  <c r="AW404" i="11"/>
  <c r="R425" i="11"/>
  <c r="Y429" i="11"/>
  <c r="AI438" i="11"/>
  <c r="T153" i="11"/>
  <c r="AR153" i="11"/>
  <c r="E213" i="11"/>
  <c r="AC213" i="11"/>
  <c r="BA213" i="11"/>
  <c r="I224" i="11"/>
  <c r="AG224" i="11"/>
  <c r="BE224" i="11"/>
  <c r="F249" i="11"/>
  <c r="AD249" i="11"/>
  <c r="BB249" i="11"/>
  <c r="F257" i="11"/>
  <c r="AD257" i="11"/>
  <c r="BB257" i="11"/>
  <c r="O268" i="11"/>
  <c r="AM268" i="11"/>
  <c r="R277" i="11"/>
  <c r="AP277" i="11"/>
  <c r="M290" i="11"/>
  <c r="AK290" i="11"/>
  <c r="BI290" i="11"/>
  <c r="AB306" i="11"/>
  <c r="AZ306" i="11"/>
  <c r="AB342" i="11"/>
  <c r="AZ342" i="11"/>
  <c r="R343" i="11"/>
  <c r="AP343" i="11"/>
  <c r="K360" i="11"/>
  <c r="AN360" i="11"/>
  <c r="W425" i="11"/>
  <c r="AQ20" i="11"/>
  <c r="O26" i="11"/>
  <c r="AM26" i="11"/>
  <c r="N94" i="11"/>
  <c r="AL94" i="11"/>
  <c r="AB95" i="11"/>
  <c r="AZ95" i="11"/>
  <c r="M116" i="11"/>
  <c r="AK116" i="11"/>
  <c r="BI116" i="11"/>
  <c r="U153" i="11"/>
  <c r="AS153" i="11"/>
  <c r="I158" i="11"/>
  <c r="AI158" i="11"/>
  <c r="R177" i="11"/>
  <c r="AP177" i="11"/>
  <c r="BE185" i="11"/>
  <c r="AL196" i="11"/>
  <c r="F213" i="11"/>
  <c r="AD213" i="11"/>
  <c r="BB213" i="11"/>
  <c r="BC221" i="11"/>
  <c r="J224" i="11"/>
  <c r="AH224" i="11"/>
  <c r="BF224" i="11"/>
  <c r="G249" i="11"/>
  <c r="AE249" i="11"/>
  <c r="BC249" i="11"/>
  <c r="G257" i="11"/>
  <c r="AE257" i="11"/>
  <c r="BC257" i="11"/>
  <c r="N263" i="11"/>
  <c r="AL263" i="11"/>
  <c r="P268" i="11"/>
  <c r="AN268" i="11"/>
  <c r="S277" i="11"/>
  <c r="AQ277" i="11"/>
  <c r="N290" i="11"/>
  <c r="AL290" i="11"/>
  <c r="AB291" i="11"/>
  <c r="AZ291" i="11"/>
  <c r="E306" i="11"/>
  <c r="AC306" i="11"/>
  <c r="BA306" i="11"/>
  <c r="E342" i="11"/>
  <c r="AC342" i="11"/>
  <c r="BA342" i="11"/>
  <c r="S343" i="11"/>
  <c r="AQ343" i="11"/>
  <c r="AC354" i="11"/>
  <c r="L360" i="11"/>
  <c r="AO360" i="11"/>
  <c r="W389" i="11"/>
  <c r="AY389" i="11"/>
  <c r="AR393" i="11"/>
  <c r="AD425" i="11"/>
  <c r="AB429" i="11"/>
  <c r="AT438" i="11"/>
  <c r="V153" i="11"/>
  <c r="AT153" i="11"/>
  <c r="S177" i="11"/>
  <c r="AQ177" i="11"/>
  <c r="AS196" i="11"/>
  <c r="G213" i="11"/>
  <c r="AE213" i="11"/>
  <c r="BC213" i="11"/>
  <c r="BH221" i="11"/>
  <c r="K224" i="11"/>
  <c r="AI224" i="11"/>
  <c r="BG224" i="11"/>
  <c r="H249" i="11"/>
  <c r="AF249" i="11"/>
  <c r="BD249" i="11"/>
  <c r="H257" i="11"/>
  <c r="AF257" i="11"/>
  <c r="BD257" i="11"/>
  <c r="Z264" i="11"/>
  <c r="Q268" i="11"/>
  <c r="AO268" i="11"/>
  <c r="T277" i="11"/>
  <c r="AR277" i="11"/>
  <c r="O290" i="11"/>
  <c r="AM290" i="11"/>
  <c r="F306" i="11"/>
  <c r="AD306" i="11"/>
  <c r="BB306" i="11"/>
  <c r="J310" i="11"/>
  <c r="F342" i="11"/>
  <c r="AD342" i="11"/>
  <c r="BB342" i="11"/>
  <c r="T343" i="11"/>
  <c r="AR343" i="11"/>
  <c r="M360" i="11"/>
  <c r="AP360" i="11"/>
  <c r="X389" i="11"/>
  <c r="AZ389" i="11"/>
  <c r="AG425" i="11"/>
  <c r="AU438" i="11"/>
  <c r="E20" i="11"/>
  <c r="AR20" i="11"/>
  <c r="H20" i="11"/>
  <c r="Q26" i="11"/>
  <c r="AO26" i="11"/>
  <c r="P94" i="11"/>
  <c r="AN94" i="11"/>
  <c r="F95" i="11"/>
  <c r="AD95" i="11"/>
  <c r="BB95" i="11"/>
  <c r="M103" i="11"/>
  <c r="O116" i="11"/>
  <c r="AM116" i="11"/>
  <c r="W153" i="11"/>
  <c r="AU153" i="11"/>
  <c r="K158" i="11"/>
  <c r="AM158" i="11"/>
  <c r="T177" i="11"/>
  <c r="AR177" i="11"/>
  <c r="BE196" i="11"/>
  <c r="H213" i="11"/>
  <c r="AF213" i="11"/>
  <c r="BD213" i="11"/>
  <c r="L224" i="11"/>
  <c r="AJ224" i="11"/>
  <c r="BH224" i="11"/>
  <c r="I249" i="11"/>
  <c r="AG249" i="11"/>
  <c r="BE249" i="11"/>
  <c r="I257" i="11"/>
  <c r="AG257" i="11"/>
  <c r="BE257" i="11"/>
  <c r="P263" i="11"/>
  <c r="AN263" i="11"/>
  <c r="AG264" i="11"/>
  <c r="R268" i="11"/>
  <c r="AP268" i="11"/>
  <c r="U277" i="11"/>
  <c r="AS277" i="11"/>
  <c r="P290" i="11"/>
  <c r="AN290" i="11"/>
  <c r="F291" i="11"/>
  <c r="AD291" i="11"/>
  <c r="BB291" i="11"/>
  <c r="G306" i="11"/>
  <c r="AE306" i="11"/>
  <c r="BC306" i="11"/>
  <c r="S310" i="11"/>
  <c r="Z321" i="11"/>
  <c r="E332" i="11"/>
  <c r="AG332" i="11"/>
  <c r="BI332" i="11"/>
  <c r="G342" i="11"/>
  <c r="AE342" i="11"/>
  <c r="BC342" i="11"/>
  <c r="U343" i="11"/>
  <c r="AS343" i="11"/>
  <c r="AF354" i="11"/>
  <c r="N360" i="11"/>
  <c r="AQ360" i="11"/>
  <c r="Y389" i="11"/>
  <c r="BA389" i="11"/>
  <c r="AU393" i="11"/>
  <c r="AH425" i="11"/>
  <c r="AE429" i="11"/>
  <c r="E438" i="11"/>
  <c r="AV438" i="11"/>
  <c r="AX432" i="11"/>
  <c r="AL26" i="11"/>
  <c r="Q94" i="11"/>
  <c r="AO94" i="11"/>
  <c r="G95" i="11"/>
  <c r="AE95" i="11"/>
  <c r="BC95" i="11"/>
  <c r="N103" i="11"/>
  <c r="P116" i="11"/>
  <c r="AN116" i="11"/>
  <c r="X153" i="11"/>
  <c r="AV153" i="11"/>
  <c r="L158" i="11"/>
  <c r="AN158" i="11"/>
  <c r="U177" i="11"/>
  <c r="AS177" i="11"/>
  <c r="I213" i="11"/>
  <c r="AG213" i="11"/>
  <c r="BE213" i="11"/>
  <c r="M224" i="11"/>
  <c r="AK224" i="11"/>
  <c r="BI224" i="11"/>
  <c r="V229" i="11"/>
  <c r="J249" i="11"/>
  <c r="AH249" i="11"/>
  <c r="BF249" i="11"/>
  <c r="J257" i="11"/>
  <c r="AH257" i="11"/>
  <c r="BF257" i="11"/>
  <c r="Q263" i="11"/>
  <c r="AO263" i="11"/>
  <c r="AH264" i="11"/>
  <c r="S268" i="11"/>
  <c r="AQ268" i="11"/>
  <c r="V277" i="11"/>
  <c r="AT277" i="11"/>
  <c r="Q290" i="11"/>
  <c r="AO290" i="11"/>
  <c r="G291" i="11"/>
  <c r="AE291" i="11"/>
  <c r="BC291" i="11"/>
  <c r="H306" i="11"/>
  <c r="AF306" i="11"/>
  <c r="BD306" i="11"/>
  <c r="AH310" i="11"/>
  <c r="AA321" i="11"/>
  <c r="F332" i="11"/>
  <c r="AH332" i="11"/>
  <c r="H342" i="11"/>
  <c r="AF342" i="11"/>
  <c r="BD342" i="11"/>
  <c r="V343" i="11"/>
  <c r="AT343" i="11"/>
  <c r="BA354" i="11"/>
  <c r="O360" i="11"/>
  <c r="AR360" i="11"/>
  <c r="Z389" i="11"/>
  <c r="BB389" i="11"/>
  <c r="AI425" i="11"/>
  <c r="AF429" i="11"/>
  <c r="F438" i="11"/>
  <c r="AX438" i="11"/>
  <c r="AY95" i="11"/>
  <c r="G20" i="11"/>
  <c r="P26" i="11"/>
  <c r="J20" i="11"/>
  <c r="AU20" i="11"/>
  <c r="R26" i="11"/>
  <c r="AP26" i="11"/>
  <c r="K20" i="11"/>
  <c r="AY20" i="11"/>
  <c r="S26" i="11"/>
  <c r="AQ26" i="11"/>
  <c r="R94" i="11"/>
  <c r="AP94" i="11"/>
  <c r="H95" i="11"/>
  <c r="AF95" i="11"/>
  <c r="BD95" i="11"/>
  <c r="O103" i="11"/>
  <c r="Q116" i="11"/>
  <c r="AO116" i="11"/>
  <c r="Y153" i="11"/>
  <c r="AW153" i="11"/>
  <c r="O158" i="11"/>
  <c r="AO158" i="11"/>
  <c r="V177" i="11"/>
  <c r="AT177" i="11"/>
  <c r="J213" i="11"/>
  <c r="AH213" i="11"/>
  <c r="BF213" i="11"/>
  <c r="N224" i="11"/>
  <c r="AL224" i="11"/>
  <c r="K249" i="11"/>
  <c r="AI249" i="11"/>
  <c r="BG249" i="11"/>
  <c r="K257" i="11"/>
  <c r="AI257" i="11"/>
  <c r="BG257" i="11"/>
  <c r="R263" i="11"/>
  <c r="AP263" i="11"/>
  <c r="AJ264" i="11"/>
  <c r="T268" i="11"/>
  <c r="AR268" i="11"/>
  <c r="W277" i="11"/>
  <c r="AU277" i="11"/>
  <c r="R290" i="11"/>
  <c r="AP290" i="11"/>
  <c r="H291" i="11"/>
  <c r="AF291" i="11"/>
  <c r="BD291" i="11"/>
  <c r="I306" i="11"/>
  <c r="AG306" i="11"/>
  <c r="BE306" i="11"/>
  <c r="AQ310" i="11"/>
  <c r="AC321" i="11"/>
  <c r="G332" i="11"/>
  <c r="AI332" i="11"/>
  <c r="I342" i="11"/>
  <c r="AG342" i="11"/>
  <c r="BE342" i="11"/>
  <c r="W343" i="11"/>
  <c r="AU343" i="11"/>
  <c r="BB354" i="11"/>
  <c r="P360" i="11"/>
  <c r="AS360" i="11"/>
  <c r="AA389" i="11"/>
  <c r="BD389" i="11"/>
  <c r="AY393" i="11"/>
  <c r="AJ425" i="11"/>
  <c r="AH429" i="11"/>
  <c r="I438" i="11"/>
  <c r="AZ438" i="11"/>
  <c r="N26" i="11"/>
  <c r="AA95" i="11"/>
  <c r="K103" i="11"/>
  <c r="AT20" i="11"/>
  <c r="N20" i="11"/>
  <c r="BA20" i="11"/>
  <c r="T26" i="11"/>
  <c r="AR26" i="11"/>
  <c r="S94" i="11"/>
  <c r="AQ94" i="11"/>
  <c r="I95" i="11"/>
  <c r="AG95" i="11"/>
  <c r="BE95" i="11"/>
  <c r="AI103" i="11"/>
  <c r="R116" i="11"/>
  <c r="AP116" i="11"/>
  <c r="Z153" i="11"/>
  <c r="AX153" i="11"/>
  <c r="P158" i="11"/>
  <c r="AP158" i="11"/>
  <c r="W177" i="11"/>
  <c r="AU177" i="11"/>
  <c r="K213" i="11"/>
  <c r="AI213" i="11"/>
  <c r="BG213" i="11"/>
  <c r="O224" i="11"/>
  <c r="AM224" i="11"/>
  <c r="L249" i="11"/>
  <c r="AJ249" i="11"/>
  <c r="BH249" i="11"/>
  <c r="L257" i="11"/>
  <c r="AJ257" i="11"/>
  <c r="BH257" i="11"/>
  <c r="S263" i="11"/>
  <c r="AQ263" i="11"/>
  <c r="U268" i="11"/>
  <c r="AS268" i="11"/>
  <c r="X277" i="11"/>
  <c r="AV277" i="11"/>
  <c r="S290" i="11"/>
  <c r="AQ290" i="11"/>
  <c r="I291" i="11"/>
  <c r="AG291" i="11"/>
  <c r="BE291" i="11"/>
  <c r="J306" i="11"/>
  <c r="AH306" i="11"/>
  <c r="BF306" i="11"/>
  <c r="AW321" i="11"/>
  <c r="H332" i="11"/>
  <c r="AJ332" i="11"/>
  <c r="J342" i="11"/>
  <c r="AH342" i="11"/>
  <c r="BF342" i="11"/>
  <c r="X343" i="11"/>
  <c r="AV343" i="11"/>
  <c r="BD354" i="11"/>
  <c r="Q360" i="11"/>
  <c r="AU360" i="11"/>
  <c r="AB389" i="11"/>
  <c r="BE389" i="11"/>
  <c r="AM425" i="11"/>
  <c r="N427" i="11"/>
  <c r="AI429" i="11"/>
  <c r="M438" i="11"/>
  <c r="BA438" i="11"/>
  <c r="BA95" i="11"/>
  <c r="O20" i="11"/>
  <c r="BB20" i="11"/>
  <c r="U26" i="11"/>
  <c r="T94" i="11"/>
  <c r="AR94" i="11"/>
  <c r="J95" i="11"/>
  <c r="AH95" i="11"/>
  <c r="BF95" i="11"/>
  <c r="AK103" i="11"/>
  <c r="S116" i="11"/>
  <c r="AQ116" i="11"/>
  <c r="AA153" i="11"/>
  <c r="AY153" i="11"/>
  <c r="Q158" i="11"/>
  <c r="AQ158" i="11"/>
  <c r="X177" i="11"/>
  <c r="AV177" i="11"/>
  <c r="L213" i="11"/>
  <c r="AJ213" i="11"/>
  <c r="BH213" i="11"/>
  <c r="P224" i="11"/>
  <c r="AN224" i="11"/>
  <c r="M249" i="11"/>
  <c r="AK249" i="11"/>
  <c r="BI249" i="11"/>
  <c r="M257" i="11"/>
  <c r="AK257" i="11"/>
  <c r="BI257" i="11"/>
  <c r="T263" i="11"/>
  <c r="AR263" i="11"/>
  <c r="V268" i="11"/>
  <c r="AT268" i="11"/>
  <c r="Y277" i="11"/>
  <c r="AW277" i="11"/>
  <c r="T290" i="11"/>
  <c r="AR290" i="11"/>
  <c r="J291" i="11"/>
  <c r="AH291" i="11"/>
  <c r="BF291" i="11"/>
  <c r="K306" i="11"/>
  <c r="AI306" i="11"/>
  <c r="BG306" i="11"/>
  <c r="AX321" i="11"/>
  <c r="I332" i="11"/>
  <c r="AK332" i="11"/>
  <c r="K342" i="11"/>
  <c r="AI342" i="11"/>
  <c r="BG342" i="11"/>
  <c r="Y343" i="11"/>
  <c r="AW343" i="11"/>
  <c r="R360" i="11"/>
  <c r="AV360" i="11"/>
  <c r="AC389" i="11"/>
  <c r="BF389" i="11"/>
  <c r="AB400" i="11"/>
  <c r="L417" i="11"/>
  <c r="AN425" i="11"/>
  <c r="U427" i="11"/>
  <c r="AM429" i="11"/>
  <c r="N438" i="11"/>
  <c r="BC438" i="11"/>
  <c r="AP20" i="11"/>
  <c r="F20" i="11"/>
  <c r="AN26" i="11"/>
  <c r="E95" i="11"/>
  <c r="AS26" i="11"/>
  <c r="P20" i="11"/>
  <c r="BC20" i="11"/>
  <c r="V26" i="11"/>
  <c r="AT26" i="11"/>
  <c r="U94" i="11"/>
  <c r="AS94" i="11"/>
  <c r="K95" i="11"/>
  <c r="AI95" i="11"/>
  <c r="BG95" i="11"/>
  <c r="AL103" i="11"/>
  <c r="T116" i="11"/>
  <c r="AR116" i="11"/>
  <c r="AB153" i="11"/>
  <c r="AZ153" i="11"/>
  <c r="R158" i="11"/>
  <c r="AR158" i="11"/>
  <c r="Y177" i="11"/>
  <c r="AW177" i="11"/>
  <c r="M213" i="11"/>
  <c r="AK213" i="11"/>
  <c r="BI213" i="11"/>
  <c r="Q224" i="11"/>
  <c r="AO224" i="11"/>
  <c r="N249" i="11"/>
  <c r="AL249" i="11"/>
  <c r="N257" i="11"/>
  <c r="AL257" i="11"/>
  <c r="U263" i="11"/>
  <c r="AS263" i="11"/>
  <c r="W268" i="11"/>
  <c r="AU268" i="11"/>
  <c r="Z277" i="11"/>
  <c r="AX277" i="11"/>
  <c r="U290" i="11"/>
  <c r="AS290" i="11"/>
  <c r="K291" i="11"/>
  <c r="AI291" i="11"/>
  <c r="BG291" i="11"/>
  <c r="L306" i="11"/>
  <c r="AJ306" i="11"/>
  <c r="BH306" i="11"/>
  <c r="AY321" i="11"/>
  <c r="J332" i="11"/>
  <c r="AL332" i="11"/>
  <c r="L342" i="11"/>
  <c r="AJ342" i="11"/>
  <c r="BH342" i="11"/>
  <c r="Z343" i="11"/>
  <c r="AX343" i="11"/>
  <c r="F352" i="11"/>
  <c r="S360" i="11"/>
  <c r="BA360" i="11"/>
  <c r="AD389" i="11"/>
  <c r="BG389" i="11"/>
  <c r="BA400" i="11"/>
  <c r="O417" i="11"/>
  <c r="BB425" i="11"/>
  <c r="AO427" i="11"/>
  <c r="AN429" i="11"/>
  <c r="R438" i="11"/>
  <c r="BD438" i="11"/>
  <c r="AC95" i="11"/>
  <c r="R20" i="11"/>
  <c r="BD20" i="11"/>
  <c r="W26" i="11"/>
  <c r="AU26" i="11"/>
  <c r="V94" i="11"/>
  <c r="AT94" i="11"/>
  <c r="L95" i="11"/>
  <c r="AJ95" i="11"/>
  <c r="BH95" i="11"/>
  <c r="AM103" i="11"/>
  <c r="U116" i="11"/>
  <c r="AS116" i="11"/>
  <c r="E153" i="11"/>
  <c r="AC153" i="11"/>
  <c r="BA153" i="11"/>
  <c r="S158" i="11"/>
  <c r="AS158" i="11"/>
  <c r="Z177" i="11"/>
  <c r="AX177" i="11"/>
  <c r="N213" i="11"/>
  <c r="AL213" i="11"/>
  <c r="R224" i="11"/>
  <c r="AP224" i="11"/>
  <c r="O249" i="11"/>
  <c r="AM249" i="11"/>
  <c r="O257" i="11"/>
  <c r="AM257" i="11"/>
  <c r="V263" i="11"/>
  <c r="AT263" i="11"/>
  <c r="X268" i="11"/>
  <c r="AV268" i="11"/>
  <c r="AA277" i="11"/>
  <c r="AY277" i="11"/>
  <c r="V290" i="11"/>
  <c r="AT290" i="11"/>
  <c r="L291" i="11"/>
  <c r="AJ291" i="11"/>
  <c r="BH291" i="11"/>
  <c r="M306" i="11"/>
  <c r="AK306" i="11"/>
  <c r="BI306" i="11"/>
  <c r="BA321" i="11"/>
  <c r="K332" i="11"/>
  <c r="AM332" i="11"/>
  <c r="M342" i="11"/>
  <c r="AK342" i="11"/>
  <c r="BI342" i="11"/>
  <c r="AA343" i="11"/>
  <c r="AY343" i="11"/>
  <c r="AD352" i="11"/>
  <c r="T360" i="11"/>
  <c r="BB360" i="11"/>
  <c r="AF389" i="11"/>
  <c r="BI389" i="11"/>
  <c r="T417" i="11"/>
  <c r="BC425" i="11"/>
  <c r="AV427" i="11"/>
  <c r="AO429" i="11"/>
  <c r="U438" i="11"/>
  <c r="BE438" i="11"/>
  <c r="M95" i="11"/>
  <c r="AK95" i="11"/>
  <c r="BI95" i="11"/>
  <c r="BG103" i="11"/>
  <c r="F153" i="11"/>
  <c r="AD153" i="11"/>
  <c r="BB153" i="11"/>
  <c r="T158" i="11"/>
  <c r="AT158" i="11"/>
  <c r="AA177" i="11"/>
  <c r="AY177" i="11"/>
  <c r="O213" i="11"/>
  <c r="AM213" i="11"/>
  <c r="S224" i="11"/>
  <c r="AQ224" i="11"/>
  <c r="P249" i="11"/>
  <c r="AN249" i="11"/>
  <c r="P257" i="11"/>
  <c r="AN257" i="11"/>
  <c r="Y268" i="11"/>
  <c r="AW268" i="11"/>
  <c r="AB277" i="11"/>
  <c r="AZ277" i="11"/>
  <c r="W290" i="11"/>
  <c r="AU290" i="11"/>
  <c r="M291" i="11"/>
  <c r="AK291" i="11"/>
  <c r="BI291" i="11"/>
  <c r="N306" i="11"/>
  <c r="AL306" i="11"/>
  <c r="N342" i="11"/>
  <c r="AL342" i="11"/>
  <c r="AB343" i="11"/>
  <c r="AZ343" i="11"/>
  <c r="U360" i="11"/>
  <c r="BC360" i="11"/>
  <c r="AG389" i="11"/>
  <c r="AB417" i="11"/>
  <c r="BF425" i="11"/>
  <c r="AP429" i="11"/>
  <c r="V438" i="11"/>
  <c r="BF438" i="11"/>
  <c r="BI103" i="11"/>
  <c r="G153" i="11"/>
  <c r="AE153" i="11"/>
  <c r="BC153" i="11"/>
  <c r="P213" i="11"/>
  <c r="AN213" i="11"/>
  <c r="T224" i="11"/>
  <c r="AR224" i="11"/>
  <c r="Q249" i="11"/>
  <c r="AO249" i="11"/>
  <c r="Q257" i="11"/>
  <c r="AO257" i="11"/>
  <c r="Z268" i="11"/>
  <c r="AX268" i="11"/>
  <c r="E277" i="11"/>
  <c r="AC277" i="11"/>
  <c r="BA277" i="11"/>
  <c r="X290" i="11"/>
  <c r="AV290" i="11"/>
  <c r="O306" i="11"/>
  <c r="AM306" i="11"/>
  <c r="O342" i="11"/>
  <c r="AM342" i="11"/>
  <c r="E343" i="11"/>
  <c r="AC343" i="11"/>
  <c r="BA343" i="11"/>
  <c r="W360" i="11"/>
  <c r="BD360" i="11"/>
  <c r="AS380" i="11"/>
  <c r="AH417" i="11"/>
  <c r="W438" i="11"/>
  <c r="BG438" i="11"/>
  <c r="Z26" i="11"/>
  <c r="H153" i="11"/>
  <c r="AF153" i="11"/>
  <c r="BD153" i="11"/>
  <c r="V158" i="11"/>
  <c r="AV158" i="11"/>
  <c r="E177" i="11"/>
  <c r="AC177" i="11"/>
  <c r="BA177" i="11"/>
  <c r="Q213" i="11"/>
  <c r="AO213" i="11"/>
  <c r="U224" i="11"/>
  <c r="AS224" i="11"/>
  <c r="R249" i="11"/>
  <c r="AP249" i="11"/>
  <c r="R257" i="11"/>
  <c r="AP257" i="11"/>
  <c r="AA268" i="11"/>
  <c r="AY268" i="11"/>
  <c r="F277" i="11"/>
  <c r="AD277" i="11"/>
  <c r="BB277" i="11"/>
  <c r="Y290" i="11"/>
  <c r="AW290" i="11"/>
  <c r="O291" i="11"/>
  <c r="AM291" i="11"/>
  <c r="P306" i="11"/>
  <c r="AN306" i="11"/>
  <c r="P342" i="11"/>
  <c r="AN342" i="11"/>
  <c r="F343" i="11"/>
  <c r="AD343" i="11"/>
  <c r="BB343" i="11"/>
  <c r="X360" i="11"/>
  <c r="BE360" i="11"/>
  <c r="F389" i="11"/>
  <c r="AI389" i="11"/>
  <c r="AJ417" i="11"/>
  <c r="AW429" i="11"/>
  <c r="Y438" i="11"/>
  <c r="BH438" i="11"/>
  <c r="AX26" i="11"/>
  <c r="AM95" i="11"/>
  <c r="W20" i="11"/>
  <c r="Z94" i="11"/>
  <c r="AX94" i="11"/>
  <c r="P95" i="11"/>
  <c r="AN95" i="11"/>
  <c r="Y116" i="11"/>
  <c r="AW116" i="11"/>
  <c r="I153" i="11"/>
  <c r="AG153" i="11"/>
  <c r="BE153" i="11"/>
  <c r="W158" i="11"/>
  <c r="AW158" i="11"/>
  <c r="F177" i="11"/>
  <c r="AD177" i="11"/>
  <c r="BB177" i="11"/>
  <c r="R213" i="11"/>
  <c r="AP213" i="11"/>
  <c r="V224" i="11"/>
  <c r="AT224" i="11"/>
  <c r="S249" i="11"/>
  <c r="AQ249" i="11"/>
  <c r="S257" i="11"/>
  <c r="AQ257" i="11"/>
  <c r="Z263" i="11"/>
  <c r="AX263" i="11"/>
  <c r="AB268" i="11"/>
  <c r="AZ268" i="11"/>
  <c r="R271" i="11"/>
  <c r="G277" i="11"/>
  <c r="AE277" i="11"/>
  <c r="BC277" i="11"/>
  <c r="Z290" i="11"/>
  <c r="AX290" i="11"/>
  <c r="P291" i="11"/>
  <c r="AN291" i="11"/>
  <c r="Q306" i="11"/>
  <c r="AO306" i="11"/>
  <c r="Q342" i="11"/>
  <c r="AO342" i="11"/>
  <c r="G343" i="11"/>
  <c r="AE343" i="11"/>
  <c r="BC343" i="11"/>
  <c r="AC360" i="11"/>
  <c r="BF360" i="11"/>
  <c r="H389" i="11"/>
  <c r="AK389" i="11"/>
  <c r="E429" i="11"/>
  <c r="AY429" i="11"/>
  <c r="Z438" i="11"/>
  <c r="BI438" i="11"/>
  <c r="V20" i="11"/>
  <c r="O95" i="11"/>
  <c r="AA26" i="11"/>
  <c r="AY26" i="11"/>
  <c r="AA20" i="11"/>
  <c r="AB26" i="11"/>
  <c r="AZ26" i="11"/>
  <c r="AA94" i="11"/>
  <c r="AY94" i="11"/>
  <c r="Q95" i="11"/>
  <c r="AO95" i="11"/>
  <c r="Z116" i="11"/>
  <c r="AX116" i="11"/>
  <c r="J153" i="11"/>
  <c r="AH153" i="11"/>
  <c r="BF153" i="11"/>
  <c r="X158" i="11"/>
  <c r="AX158" i="11"/>
  <c r="G177" i="11"/>
  <c r="AE177" i="11"/>
  <c r="BC177" i="11"/>
  <c r="S213" i="11"/>
  <c r="AQ213" i="11"/>
  <c r="W224" i="11"/>
  <c r="AU224" i="11"/>
  <c r="T249" i="11"/>
  <c r="AR249" i="11"/>
  <c r="T257" i="11"/>
  <c r="AR257" i="11"/>
  <c r="AA263" i="11"/>
  <c r="AY263" i="11"/>
  <c r="E268" i="11"/>
  <c r="AC268" i="11"/>
  <c r="BA268" i="11"/>
  <c r="AP271" i="11"/>
  <c r="H277" i="11"/>
  <c r="AF277" i="11"/>
  <c r="BD277" i="11"/>
  <c r="AA290" i="11"/>
  <c r="AY290" i="11"/>
  <c r="Q291" i="11"/>
  <c r="AO291" i="11"/>
  <c r="R306" i="11"/>
  <c r="AP306" i="11"/>
  <c r="P332" i="11"/>
  <c r="AS332" i="11"/>
  <c r="R342" i="11"/>
  <c r="AP342" i="11"/>
  <c r="H343" i="11"/>
  <c r="AF343" i="11"/>
  <c r="BD343" i="11"/>
  <c r="AD360" i="11"/>
  <c r="BG360" i="11"/>
  <c r="I389" i="11"/>
  <c r="AN389" i="11"/>
  <c r="E393" i="11"/>
  <c r="I404" i="11"/>
  <c r="F429" i="11"/>
  <c r="BD429" i="11"/>
  <c r="AA438" i="11"/>
  <c r="R95" i="11"/>
  <c r="AP95" i="11"/>
  <c r="K153" i="11"/>
  <c r="AI153" i="11"/>
  <c r="BG153" i="11"/>
  <c r="Y158" i="11"/>
  <c r="AY158" i="11"/>
  <c r="H177" i="11"/>
  <c r="AF177" i="11"/>
  <c r="BD177" i="11"/>
  <c r="T213" i="11"/>
  <c r="AR213" i="11"/>
  <c r="X224" i="11"/>
  <c r="AV224" i="11"/>
  <c r="U249" i="11"/>
  <c r="AS249" i="11"/>
  <c r="U257" i="11"/>
  <c r="AS257" i="11"/>
  <c r="F268" i="11"/>
  <c r="AD268" i="11"/>
  <c r="BB268" i="11"/>
  <c r="I277" i="11"/>
  <c r="AG277" i="11"/>
  <c r="BE277" i="11"/>
  <c r="AB290" i="11"/>
  <c r="AZ290" i="11"/>
  <c r="S306" i="11"/>
  <c r="AQ306" i="11"/>
  <c r="S342" i="11"/>
  <c r="AQ342" i="11"/>
  <c r="I343" i="11"/>
  <c r="AG343" i="11"/>
  <c r="BE343" i="11"/>
  <c r="AE360" i="11"/>
  <c r="BH360" i="11"/>
  <c r="J389" i="11"/>
  <c r="AO389" i="11"/>
  <c r="P404" i="11"/>
  <c r="G429" i="11"/>
  <c r="BE429" i="11"/>
  <c r="AB438" i="11"/>
  <c r="AD20" i="11"/>
  <c r="F26" i="11"/>
  <c r="AD26" i="11"/>
  <c r="E94" i="11"/>
  <c r="AC94" i="11"/>
  <c r="S95" i="11"/>
  <c r="AQ95" i="11"/>
  <c r="AB116" i="11"/>
  <c r="L153" i="11"/>
  <c r="AJ153" i="11"/>
  <c r="BH153" i="11"/>
  <c r="Z158" i="11"/>
  <c r="AZ158" i="11"/>
  <c r="I177" i="11"/>
  <c r="AG177" i="11"/>
  <c r="BE177" i="11"/>
  <c r="U213" i="11"/>
  <c r="AS213" i="11"/>
  <c r="Y224" i="11"/>
  <c r="AW224" i="11"/>
  <c r="V249" i="11"/>
  <c r="AT249" i="11"/>
  <c r="V257" i="11"/>
  <c r="AT257" i="11"/>
  <c r="E263" i="11"/>
  <c r="AC263" i="11"/>
  <c r="BA263" i="11"/>
  <c r="G268" i="11"/>
  <c r="AE268" i="11"/>
  <c r="BC268" i="11"/>
  <c r="J277" i="11"/>
  <c r="AH277" i="11"/>
  <c r="BF277" i="11"/>
  <c r="E290" i="11"/>
  <c r="AC290" i="11"/>
  <c r="BA290" i="11"/>
  <c r="S291" i="11"/>
  <c r="AQ291" i="11"/>
  <c r="T306" i="11"/>
  <c r="AR306" i="11"/>
  <c r="T342" i="11"/>
  <c r="AR342" i="11"/>
  <c r="J343" i="11"/>
  <c r="AH343" i="11"/>
  <c r="BF343" i="11"/>
  <c r="AF360" i="11"/>
  <c r="BI360" i="11"/>
  <c r="K389" i="11"/>
  <c r="AP389" i="11"/>
  <c r="V404" i="11"/>
  <c r="I429" i="11"/>
  <c r="BF429" i="11"/>
  <c r="AC438" i="11"/>
  <c r="T95" i="11"/>
  <c r="M153" i="11"/>
  <c r="AK153" i="11"/>
  <c r="BI153" i="11"/>
  <c r="AA158" i="11"/>
  <c r="BA158" i="11"/>
  <c r="J177" i="11"/>
  <c r="AH177" i="11"/>
  <c r="BF177" i="11"/>
  <c r="V213" i="11"/>
  <c r="AT213" i="11"/>
  <c r="Z224" i="11"/>
  <c r="AX224" i="11"/>
  <c r="W249" i="11"/>
  <c r="AU249" i="11"/>
  <c r="W257" i="11"/>
  <c r="F263" i="11"/>
  <c r="AD263" i="11"/>
  <c r="BB263" i="11"/>
  <c r="H268" i="11"/>
  <c r="AF268" i="11"/>
  <c r="K277" i="11"/>
  <c r="AI277" i="11"/>
  <c r="BG277" i="11"/>
  <c r="F290" i="11"/>
  <c r="AD290" i="11"/>
  <c r="BB290" i="11"/>
  <c r="T291" i="11"/>
  <c r="AR291" i="11"/>
  <c r="U306" i="11"/>
  <c r="AS306" i="11"/>
  <c r="T332" i="11"/>
  <c r="AY332" i="11"/>
  <c r="U342" i="11"/>
  <c r="AS342" i="11"/>
  <c r="K343" i="11"/>
  <c r="AI343" i="11"/>
  <c r="BG343" i="11"/>
  <c r="Q369" i="11"/>
  <c r="M389" i="11"/>
  <c r="AQ389" i="11"/>
  <c r="X404" i="11"/>
  <c r="L429" i="11"/>
  <c r="BH429" i="11"/>
  <c r="AD438" i="11"/>
  <c r="O208" i="11"/>
  <c r="AV4" i="11"/>
  <c r="Y108" i="11"/>
  <c r="BD108" i="11"/>
  <c r="Y125" i="11"/>
  <c r="AB133" i="11"/>
  <c r="W145" i="11"/>
  <c r="AY145" i="11"/>
  <c r="H173" i="11"/>
  <c r="AF173" i="11"/>
  <c r="BD173" i="11"/>
  <c r="Y181" i="11"/>
  <c r="AW181" i="11"/>
  <c r="X192" i="11"/>
  <c r="AV192" i="11"/>
  <c r="P208" i="11"/>
  <c r="AN208" i="11"/>
  <c r="S240" i="11"/>
  <c r="AQ240" i="11"/>
  <c r="X242" i="11"/>
  <c r="AX242" i="11"/>
  <c r="G293" i="11"/>
  <c r="AE293" i="11"/>
  <c r="BC293" i="11"/>
  <c r="S318" i="11"/>
  <c r="AQ318" i="11"/>
  <c r="R364" i="11"/>
  <c r="AR364" i="11"/>
  <c r="T371" i="11"/>
  <c r="AR371" i="11"/>
  <c r="Y388" i="11"/>
  <c r="V394" i="11"/>
  <c r="AT394" i="11"/>
  <c r="X4" i="11"/>
  <c r="BD18" i="11"/>
  <c r="V35" i="11"/>
  <c r="I18" i="11"/>
  <c r="BE18" i="11"/>
  <c r="W35" i="11"/>
  <c r="AU35" i="11"/>
  <c r="T42" i="11"/>
  <c r="AS42" i="11"/>
  <c r="AH70" i="11"/>
  <c r="M89" i="11"/>
  <c r="AU89" i="11"/>
  <c r="Z108" i="11"/>
  <c r="BH108" i="11"/>
  <c r="Z125" i="11"/>
  <c r="AC133" i="11"/>
  <c r="X145" i="11"/>
  <c r="AZ145" i="11"/>
  <c r="I173" i="11"/>
  <c r="AG173" i="11"/>
  <c r="BE173" i="11"/>
  <c r="Z181" i="11"/>
  <c r="AX181" i="11"/>
  <c r="Y192" i="11"/>
  <c r="AW192" i="11"/>
  <c r="Q208" i="11"/>
  <c r="AO208" i="11"/>
  <c r="T240" i="11"/>
  <c r="AR240" i="11"/>
  <c r="Y242" i="11"/>
  <c r="AZ242" i="11"/>
  <c r="H293" i="11"/>
  <c r="AF293" i="11"/>
  <c r="BD293" i="11"/>
  <c r="T318" i="11"/>
  <c r="AR318" i="11"/>
  <c r="S364" i="11"/>
  <c r="AS364" i="11"/>
  <c r="U371" i="11"/>
  <c r="AS371" i="11"/>
  <c r="AB388" i="11"/>
  <c r="W394" i="11"/>
  <c r="AU394" i="11"/>
  <c r="AG18" i="11"/>
  <c r="Z4" i="11"/>
  <c r="AX4" i="11"/>
  <c r="J18" i="11"/>
  <c r="AH18" i="11"/>
  <c r="BF18" i="11"/>
  <c r="X35" i="11"/>
  <c r="AV35" i="11"/>
  <c r="U42" i="11"/>
  <c r="AT42" i="11"/>
  <c r="AL70" i="11"/>
  <c r="N89" i="11"/>
  <c r="AV89" i="11"/>
  <c r="AA108" i="11"/>
  <c r="BI108" i="11"/>
  <c r="AC125" i="11"/>
  <c r="AD133" i="11"/>
  <c r="AA145" i="11"/>
  <c r="BA145" i="11"/>
  <c r="J173" i="11"/>
  <c r="AH173" i="11"/>
  <c r="BF173" i="11"/>
  <c r="AA181" i="11"/>
  <c r="AY181" i="11"/>
  <c r="Z192" i="11"/>
  <c r="AX192" i="11"/>
  <c r="R208" i="11"/>
  <c r="AP208" i="11"/>
  <c r="U240" i="11"/>
  <c r="AS240" i="11"/>
  <c r="Z242" i="11"/>
  <c r="BA242" i="11"/>
  <c r="I293" i="11"/>
  <c r="AG293" i="11"/>
  <c r="BE293" i="11"/>
  <c r="U318" i="11"/>
  <c r="AS318" i="11"/>
  <c r="T364" i="11"/>
  <c r="AT364" i="11"/>
  <c r="V371" i="11"/>
  <c r="AT371" i="11"/>
  <c r="AI388" i="11"/>
  <c r="X394" i="11"/>
  <c r="AV394" i="11"/>
  <c r="AE173" i="11"/>
  <c r="AV181" i="11"/>
  <c r="S42" i="11"/>
  <c r="AW4" i="11"/>
  <c r="AA4" i="11"/>
  <c r="AY4" i="11"/>
  <c r="K18" i="11"/>
  <c r="AI18" i="11"/>
  <c r="BG18" i="11"/>
  <c r="Y35" i="11"/>
  <c r="AW35" i="11"/>
  <c r="V42" i="11"/>
  <c r="AU42" i="11"/>
  <c r="AU70" i="11"/>
  <c r="Q89" i="11"/>
  <c r="AW89" i="11"/>
  <c r="AB108" i="11"/>
  <c r="AD125" i="11"/>
  <c r="AE133" i="11"/>
  <c r="AB145" i="11"/>
  <c r="BB145" i="11"/>
  <c r="K173" i="11"/>
  <c r="AI173" i="11"/>
  <c r="BG173" i="11"/>
  <c r="AB181" i="11"/>
  <c r="AZ181" i="11"/>
  <c r="AA192" i="11"/>
  <c r="AY192" i="11"/>
  <c r="S208" i="11"/>
  <c r="AQ208" i="11"/>
  <c r="V240" i="11"/>
  <c r="AT240" i="11"/>
  <c r="AB242" i="11"/>
  <c r="BB242" i="11"/>
  <c r="J293" i="11"/>
  <c r="AH293" i="11"/>
  <c r="BF293" i="11"/>
  <c r="V318" i="11"/>
  <c r="AT318" i="11"/>
  <c r="U364" i="11"/>
  <c r="AU364" i="11"/>
  <c r="W371" i="11"/>
  <c r="AU371" i="11"/>
  <c r="AM388" i="11"/>
  <c r="Y394" i="11"/>
  <c r="AW394" i="11"/>
  <c r="AT35" i="11"/>
  <c r="AR42" i="11"/>
  <c r="Y4" i="11"/>
  <c r="AB4" i="11"/>
  <c r="AZ4" i="11"/>
  <c r="L18" i="11"/>
  <c r="AJ18" i="11"/>
  <c r="BH18" i="11"/>
  <c r="Z35" i="11"/>
  <c r="AX35" i="11"/>
  <c r="W42" i="11"/>
  <c r="AV42" i="11"/>
  <c r="AW70" i="11"/>
  <c r="U89" i="11"/>
  <c r="AX89" i="11"/>
  <c r="AC108" i="11"/>
  <c r="AE125" i="11"/>
  <c r="AH133" i="11"/>
  <c r="AC145" i="11"/>
  <c r="BC145" i="11"/>
  <c r="L173" i="11"/>
  <c r="AJ173" i="11"/>
  <c r="BH173" i="11"/>
  <c r="E181" i="11"/>
  <c r="AC181" i="11"/>
  <c r="BA181" i="11"/>
  <c r="AB192" i="11"/>
  <c r="AZ192" i="11"/>
  <c r="T208" i="11"/>
  <c r="AR208" i="11"/>
  <c r="W240" i="11"/>
  <c r="AU240" i="11"/>
  <c r="AC242" i="11"/>
  <c r="BC242" i="11"/>
  <c r="K293" i="11"/>
  <c r="AI293" i="11"/>
  <c r="BG293" i="11"/>
  <c r="W318" i="11"/>
  <c r="AU318" i="11"/>
  <c r="V364" i="11"/>
  <c r="AV364" i="11"/>
  <c r="X371" i="11"/>
  <c r="AV371" i="11"/>
  <c r="AS388" i="11"/>
  <c r="Z394" i="11"/>
  <c r="AX394" i="11"/>
  <c r="X181" i="11"/>
  <c r="W192" i="11"/>
  <c r="H18" i="11"/>
  <c r="AK18" i="11"/>
  <c r="AA35" i="11"/>
  <c r="X42" i="11"/>
  <c r="AZ70" i="11"/>
  <c r="V89" i="11"/>
  <c r="AY89" i="11"/>
  <c r="AF108" i="11"/>
  <c r="AH125" i="11"/>
  <c r="AI133" i="11"/>
  <c r="AD145" i="11"/>
  <c r="BD145" i="11"/>
  <c r="M173" i="11"/>
  <c r="AK173" i="11"/>
  <c r="BI173" i="11"/>
  <c r="F181" i="11"/>
  <c r="AD181" i="11"/>
  <c r="BB181" i="11"/>
  <c r="E192" i="11"/>
  <c r="AC192" i="11"/>
  <c r="BA192" i="11"/>
  <c r="U208" i="11"/>
  <c r="AS208" i="11"/>
  <c r="X240" i="11"/>
  <c r="AV240" i="11"/>
  <c r="AD242" i="11"/>
  <c r="BD242" i="11"/>
  <c r="L293" i="11"/>
  <c r="AJ293" i="11"/>
  <c r="BH293" i="11"/>
  <c r="X318" i="11"/>
  <c r="AV318" i="11"/>
  <c r="W364" i="11"/>
  <c r="AW364" i="11"/>
  <c r="Y371" i="11"/>
  <c r="AW371" i="11"/>
  <c r="AU388" i="11"/>
  <c r="AA394" i="11"/>
  <c r="AY394" i="11"/>
  <c r="BC173" i="11"/>
  <c r="AF18" i="11"/>
  <c r="E4" i="11"/>
  <c r="AC4" i="11"/>
  <c r="BA4" i="11"/>
  <c r="M18" i="11"/>
  <c r="BI18" i="11"/>
  <c r="AY35" i="11"/>
  <c r="AW42" i="11"/>
  <c r="F4" i="11"/>
  <c r="AD4" i="11"/>
  <c r="BB4" i="11"/>
  <c r="N18" i="11"/>
  <c r="AL18" i="11"/>
  <c r="AB35" i="11"/>
  <c r="AZ35" i="11"/>
  <c r="Y42" i="11"/>
  <c r="AX42" i="11"/>
  <c r="BA70" i="11"/>
  <c r="I81" i="11"/>
  <c r="W89" i="11"/>
  <c r="AZ89" i="11"/>
  <c r="AJ108" i="11"/>
  <c r="AL125" i="11"/>
  <c r="AJ133" i="11"/>
  <c r="E145" i="11"/>
  <c r="AE145" i="11"/>
  <c r="BE145" i="11"/>
  <c r="N173" i="11"/>
  <c r="AL173" i="11"/>
  <c r="G181" i="11"/>
  <c r="AE181" i="11"/>
  <c r="BC181" i="11"/>
  <c r="F192" i="11"/>
  <c r="AD192" i="11"/>
  <c r="BB192" i="11"/>
  <c r="V208" i="11"/>
  <c r="AT208" i="11"/>
  <c r="Y240" i="11"/>
  <c r="AW240" i="11"/>
  <c r="E242" i="11"/>
  <c r="AE242" i="11"/>
  <c r="BE242" i="11"/>
  <c r="M293" i="11"/>
  <c r="AK293" i="11"/>
  <c r="BI293" i="11"/>
  <c r="Y318" i="11"/>
  <c r="AW318" i="11"/>
  <c r="X364" i="11"/>
  <c r="AZ364" i="11"/>
  <c r="Z371" i="11"/>
  <c r="AX371" i="11"/>
  <c r="AV388" i="11"/>
  <c r="AB394" i="11"/>
  <c r="AZ394" i="11"/>
  <c r="AM208" i="11"/>
  <c r="AE4" i="11"/>
  <c r="BC4" i="11"/>
  <c r="O18" i="11"/>
  <c r="E35" i="11"/>
  <c r="BA35" i="11"/>
  <c r="Z42" i="11"/>
  <c r="AY42" i="11"/>
  <c r="X89" i="11"/>
  <c r="BA89" i="11"/>
  <c r="AK108" i="11"/>
  <c r="AM125" i="11"/>
  <c r="AM133" i="11"/>
  <c r="F145" i="11"/>
  <c r="AF145" i="11"/>
  <c r="BF145" i="11"/>
  <c r="O173" i="11"/>
  <c r="AM173" i="11"/>
  <c r="H181" i="11"/>
  <c r="AF181" i="11"/>
  <c r="BD181" i="11"/>
  <c r="G192" i="11"/>
  <c r="AE192" i="11"/>
  <c r="BC192" i="11"/>
  <c r="W208" i="11"/>
  <c r="AU208" i="11"/>
  <c r="Z240" i="11"/>
  <c r="AX240" i="11"/>
  <c r="F242" i="11"/>
  <c r="AF242" i="11"/>
  <c r="BF242" i="11"/>
  <c r="N293" i="11"/>
  <c r="AL293" i="11"/>
  <c r="Z318" i="11"/>
  <c r="AX318" i="11"/>
  <c r="Y364" i="11"/>
  <c r="BA364" i="11"/>
  <c r="AA371" i="11"/>
  <c r="AY371" i="11"/>
  <c r="AW388" i="11"/>
  <c r="E394" i="11"/>
  <c r="AC394" i="11"/>
  <c r="BA394" i="11"/>
  <c r="V145" i="11"/>
  <c r="G173" i="11"/>
  <c r="AU192" i="11"/>
  <c r="AM18" i="11"/>
  <c r="H4" i="11"/>
  <c r="BD4" i="11"/>
  <c r="P18" i="11"/>
  <c r="AN18" i="11"/>
  <c r="F35" i="11"/>
  <c r="AA42" i="11"/>
  <c r="AZ42" i="11"/>
  <c r="BF70" i="11"/>
  <c r="AH81" i="11"/>
  <c r="Y89" i="11"/>
  <c r="BB89" i="11"/>
  <c r="AL108" i="11"/>
  <c r="AN125" i="11"/>
  <c r="AQ133" i="11"/>
  <c r="G145" i="11"/>
  <c r="AG145" i="11"/>
  <c r="BG145" i="11"/>
  <c r="P173" i="11"/>
  <c r="AN173" i="11"/>
  <c r="I181" i="11"/>
  <c r="AG181" i="11"/>
  <c r="BE181" i="11"/>
  <c r="H192" i="11"/>
  <c r="AF192" i="11"/>
  <c r="BD192" i="11"/>
  <c r="X208" i="11"/>
  <c r="AV208" i="11"/>
  <c r="AA240" i="11"/>
  <c r="AY240" i="11"/>
  <c r="G242" i="11"/>
  <c r="AG242" i="11"/>
  <c r="BG242" i="11"/>
  <c r="O293" i="11"/>
  <c r="AM293" i="11"/>
  <c r="AA318" i="11"/>
  <c r="AY318" i="11"/>
  <c r="AB364" i="11"/>
  <c r="BB364" i="11"/>
  <c r="AB371" i="11"/>
  <c r="AZ371" i="11"/>
  <c r="BA388" i="11"/>
  <c r="F394" i="11"/>
  <c r="AD394" i="11"/>
  <c r="BB394" i="11"/>
  <c r="BA108" i="11"/>
  <c r="G4" i="11"/>
  <c r="AC35" i="11"/>
  <c r="AF4" i="11"/>
  <c r="AD35" i="11"/>
  <c r="BB35" i="11"/>
  <c r="I4" i="11"/>
  <c r="AG4" i="11"/>
  <c r="BE4" i="11"/>
  <c r="Q18" i="11"/>
  <c r="AO18" i="11"/>
  <c r="G35" i="11"/>
  <c r="AE35" i="11"/>
  <c r="BC35" i="11"/>
  <c r="AB42" i="11"/>
  <c r="BB42" i="11"/>
  <c r="Z89" i="11"/>
  <c r="BC89" i="11"/>
  <c r="E108" i="11"/>
  <c r="AM108" i="11"/>
  <c r="E125" i="11"/>
  <c r="AO125" i="11"/>
  <c r="E133" i="11"/>
  <c r="AR133" i="11"/>
  <c r="H145" i="11"/>
  <c r="AH145" i="11"/>
  <c r="BH145" i="11"/>
  <c r="Q173" i="11"/>
  <c r="AO173" i="11"/>
  <c r="J181" i="11"/>
  <c r="AH181" i="11"/>
  <c r="BF181" i="11"/>
  <c r="I192" i="11"/>
  <c r="AG192" i="11"/>
  <c r="BE192" i="11"/>
  <c r="Y208" i="11"/>
  <c r="AW208" i="11"/>
  <c r="AB240" i="11"/>
  <c r="AZ240" i="11"/>
  <c r="H242" i="11"/>
  <c r="AH242" i="11"/>
  <c r="BH242" i="11"/>
  <c r="P293" i="11"/>
  <c r="AN293" i="11"/>
  <c r="AB318" i="11"/>
  <c r="AZ318" i="11"/>
  <c r="AC364" i="11"/>
  <c r="BC364" i="11"/>
  <c r="E371" i="11"/>
  <c r="AC371" i="11"/>
  <c r="BA371" i="11"/>
  <c r="BG388" i="11"/>
  <c r="G394" i="11"/>
  <c r="AE394" i="11"/>
  <c r="BC394" i="11"/>
  <c r="X108" i="11"/>
  <c r="AV145" i="11"/>
  <c r="J4" i="11"/>
  <c r="AH4" i="11"/>
  <c r="BF4" i="11"/>
  <c r="R18" i="11"/>
  <c r="AP18" i="11"/>
  <c r="H35" i="11"/>
  <c r="AF35" i="11"/>
  <c r="BD35" i="11"/>
  <c r="AD42" i="11"/>
  <c r="BC42" i="11"/>
  <c r="I63" i="11"/>
  <c r="AA89" i="11"/>
  <c r="BD89" i="11"/>
  <c r="H108" i="11"/>
  <c r="AN108" i="11"/>
  <c r="F125" i="11"/>
  <c r="AP125" i="11"/>
  <c r="F133" i="11"/>
  <c r="AS133" i="11"/>
  <c r="I145" i="11"/>
  <c r="AI145" i="11"/>
  <c r="BI145" i="11"/>
  <c r="R173" i="11"/>
  <c r="AP173" i="11"/>
  <c r="K181" i="11"/>
  <c r="AI181" i="11"/>
  <c r="BG181" i="11"/>
  <c r="J192" i="11"/>
  <c r="AH192" i="11"/>
  <c r="BF192" i="11"/>
  <c r="Z208" i="11"/>
  <c r="AX208" i="11"/>
  <c r="E240" i="11"/>
  <c r="AC240" i="11"/>
  <c r="BA240" i="11"/>
  <c r="I242" i="11"/>
  <c r="AI242" i="11"/>
  <c r="BI242" i="11"/>
  <c r="Q293" i="11"/>
  <c r="AO293" i="11"/>
  <c r="E318" i="11"/>
  <c r="AC318" i="11"/>
  <c r="BA318" i="11"/>
  <c r="AD364" i="11"/>
  <c r="BD364" i="11"/>
  <c r="F371" i="11"/>
  <c r="AD371" i="11"/>
  <c r="BB371" i="11"/>
  <c r="H394" i="11"/>
  <c r="AF394" i="11"/>
  <c r="BD394" i="11"/>
  <c r="S18" i="11"/>
  <c r="AQ18" i="11"/>
  <c r="I35" i="11"/>
  <c r="AG35" i="11"/>
  <c r="BE35" i="11"/>
  <c r="F42" i="11"/>
  <c r="AE42" i="11"/>
  <c r="BD42" i="11"/>
  <c r="AG63" i="11"/>
  <c r="AB89" i="11"/>
  <c r="BE89" i="11"/>
  <c r="L108" i="11"/>
  <c r="AO108" i="11"/>
  <c r="G125" i="11"/>
  <c r="AQ125" i="11"/>
  <c r="G133" i="11"/>
  <c r="AT133" i="11"/>
  <c r="J145" i="11"/>
  <c r="AJ145" i="11"/>
  <c r="S173" i="11"/>
  <c r="AQ173" i="11"/>
  <c r="L181" i="11"/>
  <c r="AJ181" i="11"/>
  <c r="BH181" i="11"/>
  <c r="K192" i="11"/>
  <c r="AI192" i="11"/>
  <c r="BG192" i="11"/>
  <c r="AA208" i="11"/>
  <c r="AY208" i="11"/>
  <c r="F240" i="11"/>
  <c r="AD240" i="11"/>
  <c r="BB240" i="11"/>
  <c r="J242" i="11"/>
  <c r="AJ242" i="11"/>
  <c r="R293" i="11"/>
  <c r="AP293" i="11"/>
  <c r="F318" i="11"/>
  <c r="AD318" i="11"/>
  <c r="BB318" i="11"/>
  <c r="E364" i="11"/>
  <c r="AE364" i="11"/>
  <c r="BE364" i="11"/>
  <c r="G371" i="11"/>
  <c r="AE371" i="11"/>
  <c r="BC371" i="11"/>
  <c r="I394" i="11"/>
  <c r="AG394" i="11"/>
  <c r="BE394" i="11"/>
  <c r="U18" i="11"/>
  <c r="AS18" i="11"/>
  <c r="K35" i="11"/>
  <c r="AI35" i="11"/>
  <c r="BG35" i="11"/>
  <c r="H42" i="11"/>
  <c r="AG42" i="11"/>
  <c r="BF42" i="11"/>
  <c r="AD89" i="11"/>
  <c r="BG89" i="11"/>
  <c r="N108" i="11"/>
  <c r="AQ108" i="11"/>
  <c r="N125" i="11"/>
  <c r="AS125" i="11"/>
  <c r="K133" i="11"/>
  <c r="AW133" i="11"/>
  <c r="L145" i="11"/>
  <c r="AL145" i="11"/>
  <c r="U173" i="11"/>
  <c r="AS173" i="11"/>
  <c r="N181" i="11"/>
  <c r="AL181" i="11"/>
  <c r="M192" i="11"/>
  <c r="AK192" i="11"/>
  <c r="BI192" i="11"/>
  <c r="E208" i="11"/>
  <c r="AC208" i="11"/>
  <c r="BA208" i="11"/>
  <c r="H240" i="11"/>
  <c r="AF240" i="11"/>
  <c r="BD240" i="11"/>
  <c r="L242" i="11"/>
  <c r="AL242" i="11"/>
  <c r="T293" i="11"/>
  <c r="AR293" i="11"/>
  <c r="H318" i="11"/>
  <c r="AF318" i="11"/>
  <c r="BD318" i="11"/>
  <c r="G364" i="11"/>
  <c r="AG364" i="11"/>
  <c r="BG364" i="11"/>
  <c r="I371" i="11"/>
  <c r="AG371" i="11"/>
  <c r="BE371" i="11"/>
  <c r="K394" i="11"/>
  <c r="AI394" i="11"/>
  <c r="BG394" i="11"/>
  <c r="N4" i="11"/>
  <c r="AL4" i="11"/>
  <c r="V18" i="11"/>
  <c r="AT18" i="11"/>
  <c r="L35" i="11"/>
  <c r="AJ35" i="11"/>
  <c r="BH35" i="11"/>
  <c r="I42" i="11"/>
  <c r="AH42" i="11"/>
  <c r="BG42" i="11"/>
  <c r="AE89" i="11"/>
  <c r="BH89" i="11"/>
  <c r="O108" i="11"/>
  <c r="AR108" i="11"/>
  <c r="O125" i="11"/>
  <c r="AT125" i="11"/>
  <c r="L133" i="11"/>
  <c r="AX133" i="11"/>
  <c r="M145" i="11"/>
  <c r="AM145" i="11"/>
  <c r="V173" i="11"/>
  <c r="AT173" i="11"/>
  <c r="O181" i="11"/>
  <c r="AM181" i="11"/>
  <c r="N192" i="11"/>
  <c r="AL192" i="11"/>
  <c r="F208" i="11"/>
  <c r="AD208" i="11"/>
  <c r="BB208" i="11"/>
  <c r="I240" i="11"/>
  <c r="AG240" i="11"/>
  <c r="BE240" i="11"/>
  <c r="M242" i="11"/>
  <c r="AM242" i="11"/>
  <c r="U293" i="11"/>
  <c r="AS293" i="11"/>
  <c r="I318" i="11"/>
  <c r="AG318" i="11"/>
  <c r="BE318" i="11"/>
  <c r="H364" i="11"/>
  <c r="AH364" i="11"/>
  <c r="BH364" i="11"/>
  <c r="J371" i="11"/>
  <c r="AH371" i="11"/>
  <c r="BF371" i="11"/>
  <c r="L394" i="11"/>
  <c r="AJ394" i="11"/>
  <c r="BH394" i="11"/>
  <c r="X417" i="11"/>
  <c r="AM4" i="11"/>
  <c r="M35" i="11"/>
  <c r="J42" i="11"/>
  <c r="AI42" i="11"/>
  <c r="BH42" i="11"/>
  <c r="AF89" i="11"/>
  <c r="BI89" i="11"/>
  <c r="P108" i="11"/>
  <c r="AS108" i="11"/>
  <c r="P125" i="11"/>
  <c r="AU125" i="11"/>
  <c r="O133" i="11"/>
  <c r="AY133" i="11"/>
  <c r="N145" i="11"/>
  <c r="AN145" i="11"/>
  <c r="W173" i="11"/>
  <c r="AU173" i="11"/>
  <c r="P181" i="11"/>
  <c r="AN181" i="11"/>
  <c r="O192" i="11"/>
  <c r="AM192" i="11"/>
  <c r="G208" i="11"/>
  <c r="AE208" i="11"/>
  <c r="BC208" i="11"/>
  <c r="J240" i="11"/>
  <c r="AH240" i="11"/>
  <c r="BF240" i="11"/>
  <c r="N242" i="11"/>
  <c r="AN242" i="11"/>
  <c r="V293" i="11"/>
  <c r="AT293" i="11"/>
  <c r="J318" i="11"/>
  <c r="AH318" i="11"/>
  <c r="BF318" i="11"/>
  <c r="I364" i="11"/>
  <c r="AI364" i="11"/>
  <c r="BI364" i="11"/>
  <c r="K371" i="11"/>
  <c r="AI371" i="11"/>
  <c r="BG371" i="11"/>
  <c r="M394" i="11"/>
  <c r="AK394" i="11"/>
  <c r="BI394" i="11"/>
  <c r="O4" i="11"/>
  <c r="W18" i="11"/>
  <c r="AU18" i="11"/>
  <c r="AK35" i="11"/>
  <c r="BI35" i="11"/>
  <c r="P4" i="11"/>
  <c r="AN4" i="11"/>
  <c r="X18" i="11"/>
  <c r="AV18" i="11"/>
  <c r="N35" i="11"/>
  <c r="AL35" i="11"/>
  <c r="K42" i="11"/>
  <c r="AJ42" i="11"/>
  <c r="BI42" i="11"/>
  <c r="AG89" i="11"/>
  <c r="Q108" i="11"/>
  <c r="AT108" i="11"/>
  <c r="Q125" i="11"/>
  <c r="AV125" i="11"/>
  <c r="S133" i="11"/>
  <c r="AZ133" i="11"/>
  <c r="O145" i="11"/>
  <c r="AO145" i="11"/>
  <c r="X173" i="11"/>
  <c r="AV173" i="11"/>
  <c r="Q181" i="11"/>
  <c r="AO181" i="11"/>
  <c r="P192" i="11"/>
  <c r="AN192" i="11"/>
  <c r="H208" i="11"/>
  <c r="AF208" i="11"/>
  <c r="BD208" i="11"/>
  <c r="K240" i="11"/>
  <c r="AI240" i="11"/>
  <c r="BG240" i="11"/>
  <c r="O242" i="11"/>
  <c r="AO242" i="11"/>
  <c r="W293" i="11"/>
  <c r="AU293" i="11"/>
  <c r="K318" i="11"/>
  <c r="AI318" i="11"/>
  <c r="BG318" i="11"/>
  <c r="J364" i="11"/>
  <c r="AJ364" i="11"/>
  <c r="L371" i="11"/>
  <c r="AJ371" i="11"/>
  <c r="BH371" i="11"/>
  <c r="N394" i="11"/>
  <c r="AL394" i="11"/>
  <c r="R108" i="11"/>
  <c r="AU108" i="11"/>
  <c r="R125" i="11"/>
  <c r="AW125" i="11"/>
  <c r="T133" i="11"/>
  <c r="BA133" i="11"/>
  <c r="P145" i="11"/>
  <c r="AP145" i="11"/>
  <c r="F162" i="11"/>
  <c r="Y173" i="11"/>
  <c r="AW173" i="11"/>
  <c r="R181" i="11"/>
  <c r="AP181" i="11"/>
  <c r="Q192" i="11"/>
  <c r="AO192" i="11"/>
  <c r="I208" i="11"/>
  <c r="AG208" i="11"/>
  <c r="BE208" i="11"/>
  <c r="L240" i="11"/>
  <c r="AJ240" i="11"/>
  <c r="BH240" i="11"/>
  <c r="P242" i="11"/>
  <c r="AP242" i="11"/>
  <c r="X293" i="11"/>
  <c r="AV293" i="11"/>
  <c r="L318" i="11"/>
  <c r="AJ318" i="11"/>
  <c r="BH318" i="11"/>
  <c r="K364" i="11"/>
  <c r="AK364" i="11"/>
  <c r="M371" i="11"/>
  <c r="AK371" i="11"/>
  <c r="BI371" i="11"/>
  <c r="O394" i="11"/>
  <c r="AM394" i="11"/>
  <c r="AM35" i="11"/>
  <c r="L42" i="11"/>
  <c r="AK42" i="11"/>
  <c r="R4" i="11"/>
  <c r="AP4" i="11"/>
  <c r="Z18" i="11"/>
  <c r="AX18" i="11"/>
  <c r="P35" i="11"/>
  <c r="AN35" i="11"/>
  <c r="M42" i="11"/>
  <c r="AL42" i="11"/>
  <c r="F89" i="11"/>
  <c r="AI89" i="11"/>
  <c r="S108" i="11"/>
  <c r="AV108" i="11"/>
  <c r="S125" i="11"/>
  <c r="AX125" i="11"/>
  <c r="U133" i="11"/>
  <c r="BB133" i="11"/>
  <c r="Q145" i="11"/>
  <c r="AQ145" i="11"/>
  <c r="AD162" i="11"/>
  <c r="Z173" i="11"/>
  <c r="AX173" i="11"/>
  <c r="S181" i="11"/>
  <c r="AQ181" i="11"/>
  <c r="R192" i="11"/>
  <c r="AP192" i="11"/>
  <c r="J208" i="11"/>
  <c r="AH208" i="11"/>
  <c r="BF208" i="11"/>
  <c r="M240" i="11"/>
  <c r="AK240" i="11"/>
  <c r="BI240" i="11"/>
  <c r="Q242" i="11"/>
  <c r="AR242" i="11"/>
  <c r="Y293" i="11"/>
  <c r="AW293" i="11"/>
  <c r="M318" i="11"/>
  <c r="AK318" i="11"/>
  <c r="BI318" i="11"/>
  <c r="L364" i="11"/>
  <c r="AL364" i="11"/>
  <c r="N371" i="11"/>
  <c r="AL371" i="11"/>
  <c r="P394" i="11"/>
  <c r="AN394" i="11"/>
  <c r="Q4" i="11"/>
  <c r="Y18" i="11"/>
  <c r="AW18" i="11"/>
  <c r="S4" i="11"/>
  <c r="AA18" i="11"/>
  <c r="AY18" i="11"/>
  <c r="Q35" i="11"/>
  <c r="AO35" i="11"/>
  <c r="N42" i="11"/>
  <c r="AM42" i="11"/>
  <c r="G89" i="11"/>
  <c r="AJ89" i="11"/>
  <c r="T108" i="11"/>
  <c r="AW108" i="11"/>
  <c r="T125" i="11"/>
  <c r="BA125" i="11"/>
  <c r="V133" i="11"/>
  <c r="BC133" i="11"/>
  <c r="R145" i="11"/>
  <c r="AR145" i="11"/>
  <c r="BB162" i="11"/>
  <c r="AA173" i="11"/>
  <c r="AY173" i="11"/>
  <c r="T181" i="11"/>
  <c r="AR181" i="11"/>
  <c r="S192" i="11"/>
  <c r="AQ192" i="11"/>
  <c r="K208" i="11"/>
  <c r="AI208" i="11"/>
  <c r="BG208" i="11"/>
  <c r="N240" i="11"/>
  <c r="AL240" i="11"/>
  <c r="S242" i="11"/>
  <c r="AS242" i="11"/>
  <c r="Z293" i="11"/>
  <c r="AX293" i="11"/>
  <c r="N318" i="11"/>
  <c r="AL318" i="11"/>
  <c r="M364" i="11"/>
  <c r="AM364" i="11"/>
  <c r="O371" i="11"/>
  <c r="AM371" i="11"/>
  <c r="Q394" i="11"/>
  <c r="AO394" i="11"/>
  <c r="M4" i="11"/>
  <c r="AK4" i="11"/>
  <c r="AO4" i="11"/>
  <c r="O35" i="11"/>
  <c r="AQ4" i="11"/>
  <c r="T4" i="11"/>
  <c r="AR4" i="11"/>
  <c r="AB18" i="11"/>
  <c r="AZ18" i="11"/>
  <c r="R35" i="11"/>
  <c r="AP35" i="11"/>
  <c r="O42" i="11"/>
  <c r="AN42" i="11"/>
  <c r="H89" i="11"/>
  <c r="AK89" i="11"/>
  <c r="U108" i="11"/>
  <c r="AX108" i="11"/>
  <c r="U125" i="11"/>
  <c r="BB125" i="11"/>
  <c r="X133" i="11"/>
  <c r="BF133" i="11"/>
  <c r="S145" i="11"/>
  <c r="AS145" i="11"/>
  <c r="AB173" i="11"/>
  <c r="AZ173" i="11"/>
  <c r="U181" i="11"/>
  <c r="AS181" i="11"/>
  <c r="T192" i="11"/>
  <c r="AR192" i="11"/>
  <c r="L208" i="11"/>
  <c r="AJ208" i="11"/>
  <c r="BH208" i="11"/>
  <c r="O240" i="11"/>
  <c r="AM240" i="11"/>
  <c r="T242" i="11"/>
  <c r="AT242" i="11"/>
  <c r="AA293" i="11"/>
  <c r="AY293" i="11"/>
  <c r="O318" i="11"/>
  <c r="AM318" i="11"/>
  <c r="N364" i="11"/>
  <c r="AN364" i="11"/>
  <c r="P371" i="11"/>
  <c r="AN371" i="11"/>
  <c r="R394" i="11"/>
  <c r="AP394" i="11"/>
  <c r="AC18" i="11"/>
  <c r="BA18" i="11"/>
  <c r="S35" i="11"/>
  <c r="P42" i="11"/>
  <c r="V108" i="11"/>
  <c r="AY108" i="11"/>
  <c r="Y133" i="11"/>
  <c r="BG133" i="11"/>
  <c r="T145" i="11"/>
  <c r="AT145" i="11"/>
  <c r="E173" i="11"/>
  <c r="AC173" i="11"/>
  <c r="BA173" i="11"/>
  <c r="V181" i="11"/>
  <c r="AT181" i="11"/>
  <c r="U192" i="11"/>
  <c r="AS192" i="11"/>
  <c r="M208" i="11"/>
  <c r="AK208" i="11"/>
  <c r="BI208" i="11"/>
  <c r="P240" i="11"/>
  <c r="AN240" i="11"/>
  <c r="U242" i="11"/>
  <c r="AU242" i="11"/>
  <c r="AB293" i="11"/>
  <c r="AZ293" i="11"/>
  <c r="P318" i="11"/>
  <c r="AN318" i="11"/>
  <c r="O364" i="11"/>
  <c r="AO364" i="11"/>
  <c r="Q371" i="11"/>
  <c r="AO371" i="11"/>
  <c r="K388" i="11"/>
  <c r="S394" i="11"/>
  <c r="AQ394" i="11"/>
  <c r="AV270" i="11"/>
  <c r="E18" i="11"/>
  <c r="AQ35" i="11"/>
  <c r="AO42" i="11"/>
  <c r="V4" i="11"/>
  <c r="AT4" i="11"/>
  <c r="F18" i="11"/>
  <c r="AD18" i="11"/>
  <c r="T35" i="11"/>
  <c r="AR35" i="11"/>
  <c r="Q42" i="11"/>
  <c r="AP42" i="11"/>
  <c r="I70" i="11"/>
  <c r="J89" i="11"/>
  <c r="AO89" i="11"/>
  <c r="W108" i="11"/>
  <c r="W125" i="11"/>
  <c r="BF125" i="11"/>
  <c r="Z133" i="11"/>
  <c r="BH133" i="11"/>
  <c r="U145" i="11"/>
  <c r="F173" i="11"/>
  <c r="AD173" i="11"/>
  <c r="W181" i="11"/>
  <c r="AU181" i="11"/>
  <c r="V192" i="11"/>
  <c r="AT192" i="11"/>
  <c r="N208" i="11"/>
  <c r="AL208" i="11"/>
  <c r="Q240" i="11"/>
  <c r="V242" i="11"/>
  <c r="AV242" i="11"/>
  <c r="E293" i="11"/>
  <c r="AC293" i="11"/>
  <c r="BA293" i="11"/>
  <c r="Q318" i="11"/>
  <c r="AO318" i="11"/>
  <c r="P364" i="11"/>
  <c r="AP364" i="11"/>
  <c r="R371" i="11"/>
  <c r="AP371" i="11"/>
  <c r="O388" i="11"/>
  <c r="T394" i="11"/>
  <c r="AR394" i="11"/>
  <c r="J3" i="49"/>
  <c r="W21" i="11"/>
  <c r="AM63" i="11"/>
  <c r="N21" i="11"/>
  <c r="AA63" i="11"/>
  <c r="O21" i="11"/>
  <c r="AM21" i="11"/>
  <c r="T27" i="11"/>
  <c r="AR27" i="11"/>
  <c r="U52" i="11"/>
  <c r="AS52" i="11"/>
  <c r="AB63" i="11"/>
  <c r="AZ63" i="11"/>
  <c r="J102" i="11"/>
  <c r="AH102" i="11"/>
  <c r="BF102" i="11"/>
  <c r="V112" i="11"/>
  <c r="AT112" i="11"/>
  <c r="Y162" i="11"/>
  <c r="AW162" i="11"/>
  <c r="U189" i="11"/>
  <c r="AS189" i="11"/>
  <c r="L197" i="11"/>
  <c r="AJ197" i="11"/>
  <c r="BH197" i="11"/>
  <c r="X205" i="11"/>
  <c r="AV205" i="11"/>
  <c r="Z211" i="11"/>
  <c r="AX211" i="11"/>
  <c r="O227" i="11"/>
  <c r="AM227" i="11"/>
  <c r="M271" i="11"/>
  <c r="AK271" i="11"/>
  <c r="BI271" i="11"/>
  <c r="L326" i="11"/>
  <c r="AJ326" i="11"/>
  <c r="BH326" i="11"/>
  <c r="Z348" i="11"/>
  <c r="AX348" i="11"/>
  <c r="Q404" i="11"/>
  <c r="BG404" i="11"/>
  <c r="N413" i="11"/>
  <c r="AO413" i="11"/>
  <c r="AX21" i="11"/>
  <c r="AL21" i="11"/>
  <c r="P21" i="11"/>
  <c r="AN21" i="11"/>
  <c r="U27" i="11"/>
  <c r="AS27" i="11"/>
  <c r="V52" i="11"/>
  <c r="AT52" i="11"/>
  <c r="E63" i="11"/>
  <c r="AC63" i="11"/>
  <c r="BA63" i="11"/>
  <c r="K102" i="11"/>
  <c r="AI102" i="11"/>
  <c r="BG102" i="11"/>
  <c r="W112" i="11"/>
  <c r="AU112" i="11"/>
  <c r="Z162" i="11"/>
  <c r="AX162" i="11"/>
  <c r="V189" i="11"/>
  <c r="AT189" i="11"/>
  <c r="M197" i="11"/>
  <c r="AK197" i="11"/>
  <c r="BI197" i="11"/>
  <c r="Y205" i="11"/>
  <c r="AW205" i="11"/>
  <c r="AA211" i="11"/>
  <c r="AY211" i="11"/>
  <c r="P227" i="11"/>
  <c r="AN227" i="11"/>
  <c r="N271" i="11"/>
  <c r="AL271" i="11"/>
  <c r="M326" i="11"/>
  <c r="AK326" i="11"/>
  <c r="BI326" i="11"/>
  <c r="AA348" i="11"/>
  <c r="AY348" i="11"/>
  <c r="R404" i="11"/>
  <c r="O413" i="11"/>
  <c r="AP413" i="11"/>
  <c r="V446" i="11"/>
  <c r="G52" i="11"/>
  <c r="S27" i="11"/>
  <c r="AQ27" i="11"/>
  <c r="T52" i="11"/>
  <c r="AR52" i="11"/>
  <c r="Q21" i="11"/>
  <c r="AO21" i="11"/>
  <c r="V27" i="11"/>
  <c r="AT27" i="11"/>
  <c r="W52" i="11"/>
  <c r="AU52" i="11"/>
  <c r="F63" i="11"/>
  <c r="AD63" i="11"/>
  <c r="BB63" i="11"/>
  <c r="L102" i="11"/>
  <c r="AJ102" i="11"/>
  <c r="BH102" i="11"/>
  <c r="X112" i="11"/>
  <c r="AV112" i="11"/>
  <c r="AA162" i="11"/>
  <c r="AY162" i="11"/>
  <c r="W189" i="11"/>
  <c r="AU189" i="11"/>
  <c r="N197" i="11"/>
  <c r="AL197" i="11"/>
  <c r="Z205" i="11"/>
  <c r="AX205" i="11"/>
  <c r="AB211" i="11"/>
  <c r="AZ211" i="11"/>
  <c r="Q227" i="11"/>
  <c r="AO227" i="11"/>
  <c r="O271" i="11"/>
  <c r="AM271" i="11"/>
  <c r="N326" i="11"/>
  <c r="AL326" i="11"/>
  <c r="AB348" i="11"/>
  <c r="AZ348" i="11"/>
  <c r="S404" i="11"/>
  <c r="P413" i="11"/>
  <c r="AQ413" i="11"/>
  <c r="T429" i="11"/>
  <c r="BG429" i="11"/>
  <c r="BA440" i="11"/>
  <c r="AL443" i="11"/>
  <c r="R21" i="11"/>
  <c r="AP21" i="11"/>
  <c r="W27" i="11"/>
  <c r="AU27" i="11"/>
  <c r="X52" i="11"/>
  <c r="AV52" i="11"/>
  <c r="G63" i="11"/>
  <c r="AE63" i="11"/>
  <c r="BC63" i="11"/>
  <c r="M102" i="11"/>
  <c r="AK102" i="11"/>
  <c r="BI102" i="11"/>
  <c r="Y112" i="11"/>
  <c r="AW112" i="11"/>
  <c r="AB162" i="11"/>
  <c r="AZ162" i="11"/>
  <c r="X189" i="11"/>
  <c r="AV189" i="11"/>
  <c r="O197" i="11"/>
  <c r="AM197" i="11"/>
  <c r="AA205" i="11"/>
  <c r="AY205" i="11"/>
  <c r="E211" i="11"/>
  <c r="AC211" i="11"/>
  <c r="BA211" i="11"/>
  <c r="R227" i="11"/>
  <c r="AP227" i="11"/>
  <c r="P271" i="11"/>
  <c r="AN271" i="11"/>
  <c r="O326" i="11"/>
  <c r="AM326" i="11"/>
  <c r="E348" i="11"/>
  <c r="AC348" i="11"/>
  <c r="BA348" i="11"/>
  <c r="T404" i="11"/>
  <c r="S21" i="11"/>
  <c r="AQ21" i="11"/>
  <c r="X27" i="11"/>
  <c r="AV27" i="11"/>
  <c r="Y52" i="11"/>
  <c r="AW52" i="11"/>
  <c r="H63" i="11"/>
  <c r="AF63" i="11"/>
  <c r="BD63" i="11"/>
  <c r="N102" i="11"/>
  <c r="AL102" i="11"/>
  <c r="Z112" i="11"/>
  <c r="AX112" i="11"/>
  <c r="E162" i="11"/>
  <c r="AC162" i="11"/>
  <c r="BA162" i="11"/>
  <c r="Y189" i="11"/>
  <c r="AW189" i="11"/>
  <c r="P197" i="11"/>
  <c r="AN197" i="11"/>
  <c r="AB205" i="11"/>
  <c r="AZ205" i="11"/>
  <c r="F211" i="11"/>
  <c r="AD211" i="11"/>
  <c r="BB211" i="11"/>
  <c r="S227" i="11"/>
  <c r="AQ227" i="11"/>
  <c r="Q271" i="11"/>
  <c r="AO271" i="11"/>
  <c r="P326" i="11"/>
  <c r="AN326" i="11"/>
  <c r="F348" i="11"/>
  <c r="AD348" i="11"/>
  <c r="BB348" i="11"/>
  <c r="U404" i="11"/>
  <c r="R413" i="11"/>
  <c r="AS413" i="11"/>
  <c r="AI2" i="22"/>
  <c r="D49" i="50"/>
  <c r="A4" i="35"/>
  <c r="D7" i="50"/>
  <c r="D28" i="50"/>
  <c r="D57" i="50"/>
  <c r="H8" i="50"/>
  <c r="G26" i="50"/>
  <c r="J10" i="50"/>
  <c r="W36" i="50"/>
  <c r="J54" i="50"/>
  <c r="T9" i="50"/>
  <c r="T50" i="50"/>
  <c r="F61" i="50"/>
  <c r="N33" i="50"/>
  <c r="N59" i="50"/>
  <c r="D16" i="50"/>
  <c r="V14" i="50"/>
  <c r="V35" i="50"/>
  <c r="V48" i="50"/>
  <c r="I34" i="50"/>
  <c r="L37" i="50"/>
  <c r="D62" i="50"/>
  <c r="T13" i="50"/>
  <c r="D29" i="50"/>
  <c r="F6" i="50"/>
  <c r="G19" i="50"/>
  <c r="G38" i="50"/>
  <c r="U18" i="50"/>
  <c r="V44" i="50"/>
  <c r="O11" i="50"/>
  <c r="T39" i="50"/>
  <c r="W45" i="50"/>
  <c r="T21" i="50"/>
  <c r="F52" i="50"/>
  <c r="P22" i="50"/>
  <c r="D30" i="50"/>
  <c r="V40" i="50"/>
  <c r="J24" i="50"/>
  <c r="G42" i="50"/>
  <c r="J32" i="50"/>
  <c r="J60" i="50"/>
  <c r="O56" i="50"/>
  <c r="T23" i="50"/>
  <c r="T43" i="50"/>
  <c r="N25" i="50"/>
  <c r="V41" i="50"/>
  <c r="V53" i="50"/>
  <c r="Q27" i="50"/>
  <c r="Q47" i="50"/>
  <c r="U21" i="11"/>
  <c r="AS21" i="11"/>
  <c r="Z27" i="11"/>
  <c r="AX27" i="11"/>
  <c r="AA52" i="11"/>
  <c r="AY52" i="11"/>
  <c r="J63" i="11"/>
  <c r="AH63" i="11"/>
  <c r="BF63" i="11"/>
  <c r="P102" i="11"/>
  <c r="AN102" i="11"/>
  <c r="AB112" i="11"/>
  <c r="AZ112" i="11"/>
  <c r="G162" i="11"/>
  <c r="AE162" i="11"/>
  <c r="BC162" i="11"/>
  <c r="AA189" i="11"/>
  <c r="AY189" i="11"/>
  <c r="R197" i="11"/>
  <c r="AP197" i="11"/>
  <c r="F205" i="11"/>
  <c r="AD205" i="11"/>
  <c r="BB205" i="11"/>
  <c r="H211" i="11"/>
  <c r="AF211" i="11"/>
  <c r="BD211" i="11"/>
  <c r="U227" i="11"/>
  <c r="AS227" i="11"/>
  <c r="AL260" i="11"/>
  <c r="S271" i="11"/>
  <c r="AQ271" i="11"/>
  <c r="R326" i="11"/>
  <c r="AP326" i="11"/>
  <c r="H348" i="11"/>
  <c r="AF348" i="11"/>
  <c r="BD348" i="11"/>
  <c r="L17" i="57"/>
  <c r="S3" i="50"/>
  <c r="J36" i="50"/>
  <c r="Q12" i="50"/>
  <c r="M8" i="57"/>
  <c r="E8" i="50"/>
  <c r="N35" i="50"/>
  <c r="R37" i="50"/>
  <c r="K48" i="50"/>
  <c r="V8" i="50"/>
  <c r="U9" i="50"/>
  <c r="D33" i="50"/>
  <c r="V50" i="50"/>
  <c r="K26" i="50"/>
  <c r="U8" i="50"/>
  <c r="N36" i="50"/>
  <c r="J6" i="50"/>
  <c r="L8" i="50"/>
  <c r="G36" i="50"/>
  <c r="O58" i="50"/>
  <c r="V26" i="50"/>
  <c r="P50" i="50"/>
  <c r="Q59" i="50"/>
  <c r="T26" i="50"/>
  <c r="U50" i="50"/>
  <c r="I42" i="50"/>
  <c r="W57" i="50"/>
  <c r="L11" i="50"/>
  <c r="T59" i="50"/>
  <c r="D26" i="50"/>
  <c r="Q19" i="50"/>
  <c r="I22" i="50"/>
  <c r="D59" i="50"/>
  <c r="R36" i="50"/>
  <c r="E14" i="50"/>
  <c r="Q9" i="50"/>
  <c r="M36" i="50"/>
  <c r="M48" i="50"/>
  <c r="F36" i="50"/>
  <c r="W48" i="50"/>
  <c r="K53" i="50"/>
  <c r="E33" i="50"/>
  <c r="Q54" i="50"/>
  <c r="F48" i="50"/>
  <c r="U26" i="50"/>
  <c r="O9" i="50"/>
  <c r="W26" i="50"/>
  <c r="R59" i="50"/>
  <c r="L26" i="50"/>
  <c r="G50" i="50"/>
  <c r="M11" i="50"/>
  <c r="H38" i="50"/>
  <c r="N39" i="50"/>
  <c r="R14" i="50"/>
  <c r="S42" i="50"/>
  <c r="T14" i="50"/>
  <c r="F19" i="50"/>
  <c r="G54" i="50"/>
  <c r="L59" i="50"/>
  <c r="P28" i="50"/>
  <c r="K59" i="50"/>
  <c r="W22" i="50"/>
  <c r="O36" i="50"/>
  <c r="M28" i="50"/>
  <c r="D35" i="50"/>
  <c r="N8" i="50"/>
  <c r="R9" i="50"/>
  <c r="I28" i="50"/>
  <c r="I6" i="50"/>
  <c r="J42" i="50"/>
  <c r="S53" i="50"/>
  <c r="G23" i="50"/>
  <c r="L39" i="50"/>
  <c r="U16" i="50"/>
  <c r="Q38" i="50"/>
  <c r="I46" i="50"/>
  <c r="R19" i="50"/>
  <c r="N57" i="50"/>
  <c r="R54" i="50"/>
  <c r="Q50" i="50"/>
  <c r="T7" i="50"/>
  <c r="U10" i="50"/>
  <c r="J57" i="50"/>
  <c r="M54" i="50"/>
  <c r="F31" i="50"/>
  <c r="G13" i="50"/>
  <c r="I19" i="50"/>
  <c r="M57" i="50"/>
  <c r="R50" i="50"/>
  <c r="I57" i="50"/>
  <c r="W54" i="50"/>
  <c r="K36" i="50"/>
  <c r="L42" i="50"/>
  <c r="S40" i="50"/>
  <c r="S48" i="50"/>
  <c r="I44" i="50"/>
  <c r="H36" i="50"/>
  <c r="U27" i="50"/>
  <c r="E54" i="50"/>
  <c r="H11" i="50"/>
  <c r="E9" i="50"/>
  <c r="J14" i="50"/>
  <c r="T49" i="50"/>
  <c r="G55" i="50"/>
  <c r="V36" i="50"/>
  <c r="T6" i="50"/>
  <c r="M8" i="50"/>
  <c r="V23" i="50"/>
  <c r="L58" i="50"/>
  <c r="O48" i="50"/>
  <c r="E16" i="50"/>
  <c r="Q14" i="50"/>
  <c r="M39" i="50"/>
  <c r="F13" i="50"/>
  <c r="W50" i="50"/>
  <c r="O39" i="50"/>
  <c r="N26" i="50"/>
  <c r="R25" i="50"/>
  <c r="O22" i="50"/>
  <c r="L44" i="50"/>
  <c r="V11" i="50"/>
  <c r="S30" i="50"/>
  <c r="S35" i="50"/>
  <c r="Q55" i="50"/>
  <c r="J15" i="50"/>
  <c r="F38" i="50"/>
  <c r="U14" i="50"/>
  <c r="E26" i="50"/>
  <c r="J23" i="50"/>
  <c r="P57" i="50"/>
  <c r="O57" i="50"/>
  <c r="R40" i="50"/>
  <c r="L22" i="50"/>
  <c r="W52" i="50"/>
  <c r="O8" i="50"/>
  <c r="N37" i="50"/>
  <c r="P44" i="50"/>
  <c r="F41" i="50"/>
  <c r="I62" i="50"/>
  <c r="U42" i="50"/>
  <c r="W19" i="50"/>
  <c r="S14" i="50"/>
  <c r="D44" i="50"/>
  <c r="P37" i="50"/>
  <c r="O31" i="50"/>
  <c r="R49" i="50"/>
  <c r="W53" i="50"/>
  <c r="O13" i="50"/>
  <c r="K46" i="50"/>
  <c r="T22" i="50"/>
  <c r="T34" i="50"/>
  <c r="D9" i="50"/>
  <c r="R38" i="50"/>
  <c r="E25" i="50"/>
  <c r="G53" i="50"/>
  <c r="V24" i="50"/>
  <c r="L49" i="50"/>
  <c r="P23" i="50"/>
  <c r="W29" i="50"/>
  <c r="F55" i="50"/>
  <c r="U36" i="50"/>
  <c r="L6" i="50"/>
  <c r="S16" i="50"/>
  <c r="S59" i="50"/>
  <c r="N55" i="50"/>
  <c r="V16" i="50"/>
  <c r="L9" i="50"/>
  <c r="D24" i="50"/>
  <c r="I23" i="50"/>
  <c r="W14" i="50"/>
  <c r="M52" i="50"/>
  <c r="D10" i="50"/>
  <c r="J35" i="50"/>
  <c r="Q8" i="50"/>
  <c r="U29" i="50"/>
  <c r="I14" i="50"/>
  <c r="N30" i="50"/>
  <c r="K37" i="50"/>
  <c r="V54" i="50"/>
  <c r="P59" i="50"/>
  <c r="M26" i="50"/>
  <c r="H62" i="50"/>
  <c r="K30" i="50"/>
  <c r="J30" i="50"/>
  <c r="H57" i="50"/>
  <c r="K19" i="50"/>
  <c r="T44" i="50"/>
  <c r="T10" i="50"/>
  <c r="F29" i="50"/>
  <c r="E28" i="50"/>
  <c r="G27" i="50"/>
  <c r="R61" i="50"/>
  <c r="L28" i="50"/>
  <c r="E55" i="50"/>
  <c r="N60" i="50"/>
  <c r="R51" i="50"/>
  <c r="E49" i="50"/>
  <c r="J38" i="50"/>
  <c r="S33" i="50"/>
  <c r="Q29" i="50"/>
  <c r="Q7" i="50"/>
  <c r="U35" i="50"/>
  <c r="I10" i="50"/>
  <c r="K23" i="50"/>
  <c r="Q16" i="50"/>
  <c r="M53" i="50"/>
  <c r="P19" i="50"/>
  <c r="E39" i="50"/>
  <c r="N62" i="50"/>
  <c r="G33" i="50"/>
  <c r="V7" i="50"/>
  <c r="M37" i="50"/>
  <c r="W16" i="50"/>
  <c r="Q60" i="50"/>
  <c r="T16" i="50"/>
  <c r="H16" i="50"/>
  <c r="G16" i="50"/>
  <c r="L24" i="50"/>
  <c r="H13" i="50"/>
  <c r="J8" i="50"/>
  <c r="M9" i="50"/>
  <c r="O27" i="50"/>
  <c r="S21" i="50"/>
  <c r="K55" i="50"/>
  <c r="N21" i="50"/>
  <c r="P62" i="50"/>
  <c r="M33" i="50"/>
  <c r="F8" i="50"/>
  <c r="G60" i="50"/>
  <c r="V21" i="50"/>
  <c r="P30" i="50"/>
  <c r="E60" i="50"/>
  <c r="H9" i="50"/>
  <c r="I45" i="50"/>
  <c r="R13" i="50"/>
  <c r="O38" i="50"/>
  <c r="D50" i="50"/>
  <c r="T41" i="50"/>
  <c r="L34" i="50"/>
  <c r="P10" i="50"/>
  <c r="K21" i="50"/>
  <c r="V42" i="50"/>
  <c r="J21" i="50"/>
  <c r="M30" i="50"/>
  <c r="E35" i="50"/>
  <c r="T57" i="50"/>
  <c r="D41" i="50"/>
  <c r="U54" i="50"/>
  <c r="I31" i="50"/>
  <c r="O59" i="50"/>
  <c r="E21" i="50"/>
  <c r="T42" i="50"/>
  <c r="D21" i="50"/>
  <c r="U43" i="50"/>
  <c r="I30" i="50"/>
  <c r="O53" i="50"/>
  <c r="E17" i="50"/>
  <c r="G29" i="50"/>
  <c r="R35" i="50"/>
  <c r="L10" i="50"/>
  <c r="W23" i="50"/>
  <c r="K42" i="50"/>
  <c r="V37" i="50"/>
  <c r="R55" i="50"/>
  <c r="L50" i="50"/>
  <c r="O62" i="50"/>
  <c r="E24" i="50"/>
  <c r="D42" i="50"/>
  <c r="N22" i="50"/>
  <c r="R16" i="50"/>
  <c r="O40" i="50"/>
  <c r="E10" i="50"/>
  <c r="F39" i="50"/>
  <c r="U17" i="50"/>
  <c r="W34" i="50"/>
  <c r="J48" i="50"/>
  <c r="Q26" i="50"/>
  <c r="V6" i="50"/>
  <c r="I35" i="50"/>
  <c r="R8" i="50"/>
  <c r="H22" i="50"/>
  <c r="N40" i="50"/>
  <c r="G22" i="50"/>
  <c r="L16" i="50"/>
  <c r="O50" i="50"/>
  <c r="J49" i="50"/>
  <c r="Q23" i="50"/>
  <c r="F27" i="50"/>
  <c r="O20" i="50"/>
  <c r="J40" i="50"/>
  <c r="M60" i="50"/>
  <c r="F16" i="50"/>
  <c r="W60" i="50"/>
  <c r="O14" i="50"/>
  <c r="Q35" i="50"/>
  <c r="G6" i="50"/>
  <c r="U33" i="50"/>
  <c r="I8" i="50"/>
  <c r="L57" i="50"/>
  <c r="S22" i="50"/>
  <c r="S50" i="50"/>
  <c r="H55" i="50"/>
  <c r="J20" i="50"/>
  <c r="U48" i="50"/>
  <c r="I36" i="50"/>
  <c r="W59" i="50"/>
  <c r="O16" i="50"/>
  <c r="T20" i="50"/>
  <c r="F60" i="50"/>
  <c r="U21" i="50"/>
  <c r="O7" i="50"/>
  <c r="P38" i="50"/>
  <c r="K35" i="50"/>
  <c r="G59" i="50"/>
  <c r="V28" i="50"/>
  <c r="M62" i="50"/>
  <c r="F33" i="50"/>
  <c r="U7" i="50"/>
  <c r="E20" i="50"/>
  <c r="I21" i="50"/>
  <c r="K57" i="50"/>
  <c r="S9" i="50"/>
  <c r="N34" i="50"/>
  <c r="M59" i="50"/>
  <c r="F26" i="50"/>
  <c r="K61" i="50"/>
  <c r="W20" i="50"/>
  <c r="V52" i="50"/>
  <c r="J11" i="50"/>
  <c r="P40" i="50"/>
  <c r="M22" i="50"/>
  <c r="K45" i="50"/>
  <c r="G61" i="50"/>
  <c r="R29" i="50"/>
  <c r="L14" i="50"/>
  <c r="H33" i="50"/>
  <c r="D61" i="50"/>
  <c r="L55" i="50"/>
  <c r="P36" i="50"/>
  <c r="H48" i="50"/>
  <c r="O18" i="50"/>
  <c r="J52" i="50"/>
  <c r="Q18" i="50"/>
  <c r="M40" i="50"/>
  <c r="F22" i="50"/>
  <c r="K31" i="50"/>
  <c r="D53" i="50"/>
  <c r="N24" i="50"/>
  <c r="I49" i="50"/>
  <c r="R23" i="50"/>
  <c r="H49" i="50"/>
  <c r="K13" i="50"/>
  <c r="D52" i="50"/>
  <c r="N18" i="50"/>
  <c r="I40" i="50"/>
  <c r="H40" i="50"/>
  <c r="K8" i="50"/>
  <c r="N50" i="50"/>
  <c r="R48" i="50"/>
  <c r="L36" i="50"/>
  <c r="O61" i="50"/>
  <c r="E30" i="50"/>
  <c r="S20" i="50"/>
  <c r="S54" i="50"/>
  <c r="T48" i="50"/>
  <c r="G11" i="50"/>
  <c r="L61" i="50"/>
  <c r="P31" i="50"/>
  <c r="H54" i="50"/>
  <c r="K11" i="50"/>
  <c r="N46" i="50"/>
  <c r="G18" i="50"/>
  <c r="R56" i="50"/>
  <c r="L20" i="50"/>
  <c r="H39" i="50"/>
  <c r="G39" i="50"/>
  <c r="U37" i="50"/>
  <c r="I15" i="50"/>
  <c r="E50" i="50"/>
  <c r="Q58" i="50"/>
  <c r="T27" i="50"/>
  <c r="I48" i="50"/>
  <c r="R26" i="50"/>
  <c r="O54" i="50"/>
  <c r="W17" i="50"/>
  <c r="G46" i="50"/>
  <c r="V19" i="50"/>
  <c r="P11" i="50"/>
  <c r="H27" i="50"/>
  <c r="Q43" i="50"/>
  <c r="T30" i="50"/>
  <c r="F47" i="50"/>
  <c r="U32" i="50"/>
  <c r="E47" i="50"/>
  <c r="H17" i="50"/>
  <c r="Q45" i="50"/>
  <c r="T19" i="50"/>
  <c r="F56" i="50"/>
  <c r="U11" i="50"/>
  <c r="E56" i="50"/>
  <c r="H7" i="50"/>
  <c r="T36" i="50"/>
  <c r="U59" i="50"/>
  <c r="I26" i="50"/>
  <c r="W61" i="50"/>
  <c r="O21" i="50"/>
  <c r="S39" i="50"/>
  <c r="S36" i="50"/>
  <c r="T35" i="50"/>
  <c r="O6" i="50"/>
  <c r="I54" i="50"/>
  <c r="R27" i="50"/>
  <c r="E58" i="50"/>
  <c r="H18" i="50"/>
  <c r="D19" i="50"/>
  <c r="U52" i="50"/>
  <c r="I11" i="50"/>
  <c r="S11" i="50"/>
  <c r="S10" i="50"/>
  <c r="E48" i="50"/>
  <c r="D18" i="50"/>
  <c r="F58" i="50"/>
  <c r="U41" i="50"/>
  <c r="O49" i="50"/>
  <c r="E19" i="50"/>
  <c r="J39" i="50"/>
  <c r="M46" i="50"/>
  <c r="F18" i="50"/>
  <c r="O29" i="50"/>
  <c r="Q6" i="50"/>
  <c r="L35" i="50"/>
  <c r="P8" i="50"/>
  <c r="W27" i="50"/>
  <c r="N49" i="50"/>
  <c r="G25" i="50"/>
  <c r="P54" i="50"/>
  <c r="E51" i="50"/>
  <c r="H14" i="50"/>
  <c r="Q44" i="50"/>
  <c r="T17" i="50"/>
  <c r="F46" i="50"/>
  <c r="U19" i="50"/>
  <c r="O23" i="50"/>
  <c r="N42" i="50"/>
  <c r="G21" i="50"/>
  <c r="R43" i="50"/>
  <c r="L30" i="50"/>
  <c r="W42" i="50"/>
  <c r="O15" i="50"/>
  <c r="N44" i="50"/>
  <c r="G17" i="50"/>
  <c r="R45" i="50"/>
  <c r="L19" i="50"/>
  <c r="W44" i="50"/>
  <c r="H6" i="50"/>
  <c r="G28" i="50"/>
  <c r="L54" i="50"/>
  <c r="P27" i="50"/>
  <c r="H58" i="50"/>
  <c r="K18" i="50"/>
  <c r="S44" i="50"/>
  <c r="S58" i="50"/>
  <c r="J33" i="50"/>
  <c r="U6" i="50"/>
  <c r="P49" i="50"/>
  <c r="M25" i="50"/>
  <c r="W51" i="50"/>
  <c r="O17" i="50"/>
  <c r="G44" i="50"/>
  <c r="V12" i="50"/>
  <c r="L45" i="50"/>
  <c r="P13" i="50"/>
  <c r="W35" i="50"/>
  <c r="U62" i="50"/>
  <c r="I33" i="50"/>
  <c r="R7" i="50"/>
  <c r="K41" i="50"/>
  <c r="T47" i="50"/>
  <c r="D23" i="50"/>
  <c r="R58" i="50"/>
  <c r="L27" i="50"/>
  <c r="O60" i="50"/>
  <c r="E15" i="50"/>
  <c r="V38" i="50"/>
  <c r="J12" i="50"/>
  <c r="P39" i="50"/>
  <c r="M13" i="50"/>
  <c r="W30" i="50"/>
  <c r="T40" i="50"/>
  <c r="D22" i="50"/>
  <c r="U60" i="50"/>
  <c r="I16" i="50"/>
  <c r="K40" i="50"/>
  <c r="W8" i="50"/>
  <c r="T38" i="50"/>
  <c r="D12" i="50"/>
  <c r="U39" i="50"/>
  <c r="I13" i="50"/>
  <c r="K38" i="50"/>
  <c r="Q48" i="50"/>
  <c r="Q41" i="50"/>
  <c r="R41" i="50"/>
  <c r="E57" i="50"/>
  <c r="H19" i="50"/>
  <c r="S18" i="50"/>
  <c r="S26" i="50"/>
  <c r="J59" i="50"/>
  <c r="D60" i="50"/>
  <c r="R47" i="50"/>
  <c r="L23" i="50"/>
  <c r="K43" i="50"/>
  <c r="W15" i="50"/>
  <c r="D38" i="50"/>
  <c r="N14" i="50"/>
  <c r="I39" i="50"/>
  <c r="R17" i="50"/>
  <c r="K33" i="50"/>
  <c r="M55" i="50"/>
  <c r="F50" i="50"/>
  <c r="Q30" i="50"/>
  <c r="H25" i="50"/>
  <c r="J53" i="50"/>
  <c r="Q24" i="50"/>
  <c r="U57" i="50"/>
  <c r="I41" i="50"/>
  <c r="W56" i="50"/>
  <c r="O10" i="50"/>
  <c r="N29" i="50"/>
  <c r="G14" i="50"/>
  <c r="R44" i="50"/>
  <c r="K16" i="50"/>
  <c r="J56" i="50"/>
  <c r="Q11" i="50"/>
  <c r="M42" i="50"/>
  <c r="F21" i="50"/>
  <c r="H56" i="50"/>
  <c r="K7" i="50"/>
  <c r="J29" i="50"/>
  <c r="Q15" i="50"/>
  <c r="M44" i="50"/>
  <c r="F17" i="50"/>
  <c r="H29" i="50"/>
  <c r="V59" i="50"/>
  <c r="V25" i="50"/>
  <c r="F57" i="50"/>
  <c r="U25" i="50"/>
  <c r="O47" i="50"/>
  <c r="E13" i="50"/>
  <c r="S38" i="50"/>
  <c r="S8" i="50"/>
  <c r="D36" i="50"/>
  <c r="Q13" i="50"/>
  <c r="U53" i="50"/>
  <c r="I32" i="50"/>
  <c r="H60" i="50"/>
  <c r="K9" i="50"/>
  <c r="Q37" i="50"/>
  <c r="T15" i="50"/>
  <c r="F44" i="50"/>
  <c r="U12" i="50"/>
  <c r="H50" i="50"/>
  <c r="L48" i="50"/>
  <c r="P26" i="50"/>
  <c r="R6" i="50"/>
  <c r="E23" i="50"/>
  <c r="G51" i="50"/>
  <c r="V30" i="50"/>
  <c r="M49" i="50"/>
  <c r="F25" i="50"/>
  <c r="K52" i="50"/>
  <c r="E59" i="50"/>
  <c r="T37" i="50"/>
  <c r="D15" i="50"/>
  <c r="U38" i="50"/>
  <c r="I12" i="50"/>
  <c r="H21" i="50"/>
  <c r="G52" i="50"/>
  <c r="V18" i="50"/>
  <c r="L40" i="50"/>
  <c r="P20" i="50"/>
  <c r="E52" i="50"/>
  <c r="Q40" i="50"/>
  <c r="G37" i="50"/>
  <c r="V9" i="50"/>
  <c r="L38" i="50"/>
  <c r="P14" i="50"/>
  <c r="S19" i="50"/>
  <c r="S57" i="50"/>
  <c r="D54" i="50"/>
  <c r="M6" i="50"/>
  <c r="M51" i="50"/>
  <c r="F24" i="50"/>
  <c r="E42" i="50"/>
  <c r="H10" i="50"/>
  <c r="V34" i="50"/>
  <c r="J9" i="50"/>
  <c r="P29" i="50"/>
  <c r="M14" i="50"/>
  <c r="E36" i="50"/>
  <c r="I59" i="50"/>
  <c r="R28" i="50"/>
  <c r="W55" i="50"/>
  <c r="O24" i="50"/>
  <c r="N16" i="50"/>
  <c r="L47" i="50"/>
  <c r="P32" i="50"/>
  <c r="H46" i="50"/>
  <c r="W49" i="50"/>
  <c r="J34" i="50"/>
  <c r="Q10" i="50"/>
  <c r="M29" i="50"/>
  <c r="F14" i="50"/>
  <c r="E22" i="50"/>
  <c r="D46" i="50"/>
  <c r="N19" i="50"/>
  <c r="I56" i="50"/>
  <c r="R11" i="50"/>
  <c r="O45" i="50"/>
  <c r="W6" i="50"/>
  <c r="D34" i="50"/>
  <c r="N10" i="50"/>
  <c r="I29" i="50"/>
  <c r="R15" i="50"/>
  <c r="O35" i="50"/>
  <c r="T54" i="50"/>
  <c r="T32" i="50"/>
  <c r="R53" i="50"/>
  <c r="L32" i="50"/>
  <c r="K60" i="50"/>
  <c r="W9" i="50"/>
  <c r="E44" i="50"/>
  <c r="P46" i="50"/>
  <c r="G9" i="50"/>
  <c r="M18" i="50"/>
  <c r="E12" i="50"/>
  <c r="M34" i="50"/>
  <c r="O46" i="50"/>
  <c r="F9" i="50"/>
  <c r="E37" i="50"/>
  <c r="O12" i="50"/>
  <c r="O26" i="50"/>
  <c r="W10" i="50"/>
  <c r="E53" i="50"/>
  <c r="N61" i="50"/>
  <c r="V57" i="50"/>
  <c r="J41" i="50"/>
  <c r="F59" i="50"/>
  <c r="V33" i="50"/>
  <c r="W43" i="50"/>
  <c r="U28" i="50"/>
  <c r="J26" i="50"/>
  <c r="K47" i="50"/>
  <c r="N23" i="50"/>
  <c r="K12" i="50"/>
  <c r="P55" i="50"/>
  <c r="P47" i="50"/>
  <c r="F28" i="50"/>
  <c r="F7" i="50"/>
  <c r="J16" i="50"/>
  <c r="K54" i="50"/>
  <c r="P51" i="50"/>
  <c r="D45" i="50"/>
  <c r="M61" i="50"/>
  <c r="M50" i="50"/>
  <c r="M23" i="50"/>
  <c r="N13" i="50"/>
  <c r="R18" i="50"/>
  <c r="V60" i="50"/>
  <c r="I52" i="50"/>
  <c r="E41" i="50"/>
  <c r="V39" i="50"/>
  <c r="M24" i="50"/>
  <c r="H24" i="50"/>
  <c r="O51" i="50"/>
  <c r="W11" i="50"/>
  <c r="J13" i="50"/>
  <c r="V21" i="11"/>
  <c r="AT21" i="11"/>
  <c r="AA27" i="11"/>
  <c r="AY27" i="11"/>
  <c r="AB52" i="11"/>
  <c r="AZ52" i="11"/>
  <c r="K63" i="11"/>
  <c r="AI63" i="11"/>
  <c r="BG63" i="11"/>
  <c r="Q102" i="11"/>
  <c r="AO102" i="11"/>
  <c r="E112" i="11"/>
  <c r="AC112" i="11"/>
  <c r="BA112" i="11"/>
  <c r="H162" i="11"/>
  <c r="AF162" i="11"/>
  <c r="BD162" i="11"/>
  <c r="AB189" i="11"/>
  <c r="AZ189" i="11"/>
  <c r="S197" i="11"/>
  <c r="AQ197" i="11"/>
  <c r="G205" i="11"/>
  <c r="AE205" i="11"/>
  <c r="BC205" i="11"/>
  <c r="I211" i="11"/>
  <c r="AG211" i="11"/>
  <c r="BE211" i="11"/>
  <c r="V227" i="11"/>
  <c r="AT227" i="11"/>
  <c r="T271" i="11"/>
  <c r="AR271" i="11"/>
  <c r="S326" i="11"/>
  <c r="AQ326" i="11"/>
  <c r="I348" i="11"/>
  <c r="AG348" i="11"/>
  <c r="BE348" i="11"/>
  <c r="AA404" i="11"/>
  <c r="AB27" i="11"/>
  <c r="AZ27" i="11"/>
  <c r="E52" i="11"/>
  <c r="AC52" i="11"/>
  <c r="BA52" i="11"/>
  <c r="L63" i="11"/>
  <c r="AJ63" i="11"/>
  <c r="BH63" i="11"/>
  <c r="R102" i="11"/>
  <c r="AP102" i="11"/>
  <c r="F112" i="11"/>
  <c r="AD112" i="11"/>
  <c r="BB112" i="11"/>
  <c r="I162" i="11"/>
  <c r="AG162" i="11"/>
  <c r="BE162" i="11"/>
  <c r="E189" i="11"/>
  <c r="AC189" i="11"/>
  <c r="BA189" i="11"/>
  <c r="T197" i="11"/>
  <c r="AR197" i="11"/>
  <c r="H205" i="11"/>
  <c r="AF205" i="11"/>
  <c r="BD205" i="11"/>
  <c r="J211" i="11"/>
  <c r="AH211" i="11"/>
  <c r="BF211" i="11"/>
  <c r="W227" i="11"/>
  <c r="AU227" i="11"/>
  <c r="U271" i="11"/>
  <c r="AS271" i="11"/>
  <c r="T326" i="11"/>
  <c r="AR326" i="11"/>
  <c r="J348" i="11"/>
  <c r="AH348" i="11"/>
  <c r="BF348" i="11"/>
  <c r="X21" i="11"/>
  <c r="AV21" i="11"/>
  <c r="E27" i="11"/>
  <c r="AC27" i="11"/>
  <c r="BA27" i="11"/>
  <c r="F52" i="11"/>
  <c r="AD52" i="11"/>
  <c r="BB52" i="11"/>
  <c r="M63" i="11"/>
  <c r="AK63" i="11"/>
  <c r="BI63" i="11"/>
  <c r="S102" i="11"/>
  <c r="AQ102" i="11"/>
  <c r="G112" i="11"/>
  <c r="AE112" i="11"/>
  <c r="BC112" i="11"/>
  <c r="J162" i="11"/>
  <c r="AH162" i="11"/>
  <c r="BF162" i="11"/>
  <c r="F189" i="11"/>
  <c r="AD189" i="11"/>
  <c r="BB189" i="11"/>
  <c r="U197" i="11"/>
  <c r="AS197" i="11"/>
  <c r="I205" i="11"/>
  <c r="AG205" i="11"/>
  <c r="BE205" i="11"/>
  <c r="K211" i="11"/>
  <c r="AI211" i="11"/>
  <c r="BG211" i="11"/>
  <c r="X227" i="11"/>
  <c r="AV227" i="11"/>
  <c r="V271" i="11"/>
  <c r="AT271" i="11"/>
  <c r="U326" i="11"/>
  <c r="AS326" i="11"/>
  <c r="K348" i="11"/>
  <c r="AI348" i="11"/>
  <c r="BG348" i="11"/>
  <c r="AG404" i="11"/>
  <c r="W413" i="11"/>
  <c r="AZ413" i="11"/>
  <c r="T102" i="11"/>
  <c r="AR102" i="11"/>
  <c r="H112" i="11"/>
  <c r="AF112" i="11"/>
  <c r="BD112" i="11"/>
  <c r="K162" i="11"/>
  <c r="AI162" i="11"/>
  <c r="BG162" i="11"/>
  <c r="G189" i="11"/>
  <c r="AE189" i="11"/>
  <c r="BC189" i="11"/>
  <c r="V197" i="11"/>
  <c r="AT197" i="11"/>
  <c r="J205" i="11"/>
  <c r="AH205" i="11"/>
  <c r="BF205" i="11"/>
  <c r="L211" i="11"/>
  <c r="AJ211" i="11"/>
  <c r="BH211" i="11"/>
  <c r="Y227" i="11"/>
  <c r="AW227" i="11"/>
  <c r="W271" i="11"/>
  <c r="AU271" i="11"/>
  <c r="V326" i="11"/>
  <c r="AT326" i="11"/>
  <c r="L348" i="11"/>
  <c r="AJ348" i="11"/>
  <c r="BH348" i="11"/>
  <c r="AD27" i="11"/>
  <c r="BE112" i="11"/>
  <c r="L162" i="11"/>
  <c r="AJ162" i="11"/>
  <c r="BH162" i="11"/>
  <c r="H189" i="11"/>
  <c r="AF189" i="11"/>
  <c r="BD189" i="11"/>
  <c r="W197" i="11"/>
  <c r="AU197" i="11"/>
  <c r="K205" i="11"/>
  <c r="AI205" i="11"/>
  <c r="BG205" i="11"/>
  <c r="M211" i="11"/>
  <c r="AK211" i="11"/>
  <c r="BI211" i="11"/>
  <c r="Z227" i="11"/>
  <c r="AX227" i="11"/>
  <c r="X271" i="11"/>
  <c r="AV271" i="11"/>
  <c r="W326" i="11"/>
  <c r="AU326" i="11"/>
  <c r="M348" i="11"/>
  <c r="AK348" i="11"/>
  <c r="BI348" i="11"/>
  <c r="AL63" i="11"/>
  <c r="G27" i="11"/>
  <c r="G38" i="11"/>
  <c r="U102" i="11"/>
  <c r="AS102" i="11"/>
  <c r="I112" i="11"/>
  <c r="AG112" i="11"/>
  <c r="AA21" i="11"/>
  <c r="AY21" i="11"/>
  <c r="H27" i="11"/>
  <c r="AF27" i="11"/>
  <c r="BD27" i="11"/>
  <c r="H38" i="11"/>
  <c r="I52" i="11"/>
  <c r="AG52" i="11"/>
  <c r="BE52" i="11"/>
  <c r="P63" i="11"/>
  <c r="AN63" i="11"/>
  <c r="V102" i="11"/>
  <c r="AT102" i="11"/>
  <c r="J112" i="11"/>
  <c r="AH112" i="11"/>
  <c r="BF112" i="11"/>
  <c r="M162" i="11"/>
  <c r="AK162" i="11"/>
  <c r="BI162" i="11"/>
  <c r="I189" i="11"/>
  <c r="AG189" i="11"/>
  <c r="BE189" i="11"/>
  <c r="X197" i="11"/>
  <c r="AV197" i="11"/>
  <c r="L205" i="11"/>
  <c r="AJ205" i="11"/>
  <c r="BH205" i="11"/>
  <c r="N211" i="11"/>
  <c r="AL211" i="11"/>
  <c r="AA227" i="11"/>
  <c r="AY227" i="11"/>
  <c r="Y271" i="11"/>
  <c r="AW271" i="11"/>
  <c r="X326" i="11"/>
  <c r="AV326" i="11"/>
  <c r="N348" i="11"/>
  <c r="AL348" i="11"/>
  <c r="AN404" i="11"/>
  <c r="AB413" i="11"/>
  <c r="BD413" i="11"/>
  <c r="AE27" i="11"/>
  <c r="BD52" i="11"/>
  <c r="AB21" i="11"/>
  <c r="AZ21" i="11"/>
  <c r="I27" i="11"/>
  <c r="AG27" i="11"/>
  <c r="BE27" i="11"/>
  <c r="V38" i="11"/>
  <c r="J52" i="11"/>
  <c r="AH52" i="11"/>
  <c r="BF52" i="11"/>
  <c r="Q63" i="11"/>
  <c r="AO63" i="11"/>
  <c r="W102" i="11"/>
  <c r="AU102" i="11"/>
  <c r="K112" i="11"/>
  <c r="AI112" i="11"/>
  <c r="BG112" i="11"/>
  <c r="N162" i="11"/>
  <c r="AL162" i="11"/>
  <c r="J189" i="11"/>
  <c r="AH189" i="11"/>
  <c r="BF189" i="11"/>
  <c r="Y197" i="11"/>
  <c r="AW197" i="11"/>
  <c r="M205" i="11"/>
  <c r="AK205" i="11"/>
  <c r="BI205" i="11"/>
  <c r="O211" i="11"/>
  <c r="AM211" i="11"/>
  <c r="AB227" i="11"/>
  <c r="AZ227" i="11"/>
  <c r="Z271" i="11"/>
  <c r="AX271" i="11"/>
  <c r="Y326" i="11"/>
  <c r="AW326" i="11"/>
  <c r="O348" i="11"/>
  <c r="AM348" i="11"/>
  <c r="AO404" i="11"/>
  <c r="AD413" i="11"/>
  <c r="BE413" i="11"/>
  <c r="T446" i="11"/>
  <c r="H52" i="11"/>
  <c r="E21" i="11"/>
  <c r="AC21" i="11"/>
  <c r="BA21" i="11"/>
  <c r="J27" i="11"/>
  <c r="AH27" i="11"/>
  <c r="BF27" i="11"/>
  <c r="Y38" i="11"/>
  <c r="K52" i="11"/>
  <c r="AI52" i="11"/>
  <c r="BG52" i="11"/>
  <c r="R63" i="11"/>
  <c r="AP63" i="11"/>
  <c r="X102" i="11"/>
  <c r="AV102" i="11"/>
  <c r="L112" i="11"/>
  <c r="AJ112" i="11"/>
  <c r="BH112" i="11"/>
  <c r="O162" i="11"/>
  <c r="AM162" i="11"/>
  <c r="K189" i="11"/>
  <c r="AI189" i="11"/>
  <c r="BG189" i="11"/>
  <c r="Z197" i="11"/>
  <c r="AX197" i="11"/>
  <c r="N205" i="11"/>
  <c r="AL205" i="11"/>
  <c r="P211" i="11"/>
  <c r="AN211" i="11"/>
  <c r="E227" i="11"/>
  <c r="AC227" i="11"/>
  <c r="BA227" i="11"/>
  <c r="AA271" i="11"/>
  <c r="AY271" i="11"/>
  <c r="Z282" i="11"/>
  <c r="Z326" i="11"/>
  <c r="AX326" i="11"/>
  <c r="P348" i="11"/>
  <c r="AN348" i="11"/>
  <c r="AP404" i="11"/>
  <c r="AE413" i="11"/>
  <c r="BF413" i="11"/>
  <c r="U446" i="11"/>
  <c r="Z21" i="11"/>
  <c r="O63" i="11"/>
  <c r="F21" i="11"/>
  <c r="K27" i="11"/>
  <c r="AI27" i="11"/>
  <c r="BG27" i="11"/>
  <c r="AE38" i="11"/>
  <c r="L52" i="11"/>
  <c r="AJ52" i="11"/>
  <c r="BH52" i="11"/>
  <c r="S63" i="11"/>
  <c r="AQ63" i="11"/>
  <c r="Y102" i="11"/>
  <c r="AW102" i="11"/>
  <c r="M112" i="11"/>
  <c r="AK112" i="11"/>
  <c r="BI112" i="11"/>
  <c r="P162" i="11"/>
  <c r="AN162" i="11"/>
  <c r="L189" i="11"/>
  <c r="AJ189" i="11"/>
  <c r="BH189" i="11"/>
  <c r="AA197" i="11"/>
  <c r="AY197" i="11"/>
  <c r="O205" i="11"/>
  <c r="AM205" i="11"/>
  <c r="Q211" i="11"/>
  <c r="AO211" i="11"/>
  <c r="F227" i="11"/>
  <c r="AD227" i="11"/>
  <c r="BB227" i="11"/>
  <c r="AB271" i="11"/>
  <c r="AZ271" i="11"/>
  <c r="AX282" i="11"/>
  <c r="AA326" i="11"/>
  <c r="AY326" i="11"/>
  <c r="Q348" i="11"/>
  <c r="AO348" i="11"/>
  <c r="AQ404" i="11"/>
  <c r="AL446" i="11"/>
  <c r="AW21" i="11"/>
  <c r="Z102" i="11"/>
  <c r="N112" i="11"/>
  <c r="AL112" i="11"/>
  <c r="Q162" i="11"/>
  <c r="AO162" i="11"/>
  <c r="M189" i="11"/>
  <c r="AK189" i="11"/>
  <c r="BI189" i="11"/>
  <c r="AB197" i="11"/>
  <c r="AZ197" i="11"/>
  <c r="P205" i="11"/>
  <c r="AN205" i="11"/>
  <c r="R211" i="11"/>
  <c r="AP211" i="11"/>
  <c r="G227" i="11"/>
  <c r="AE227" i="11"/>
  <c r="BC227" i="11"/>
  <c r="E271" i="11"/>
  <c r="AC271" i="11"/>
  <c r="BA271" i="11"/>
  <c r="AB326" i="11"/>
  <c r="AZ326" i="11"/>
  <c r="R348" i="11"/>
  <c r="AP348" i="11"/>
  <c r="AM446" i="11"/>
  <c r="AU21" i="11"/>
  <c r="AE52" i="11"/>
  <c r="G21" i="11"/>
  <c r="L27" i="11"/>
  <c r="AK52" i="11"/>
  <c r="H21" i="11"/>
  <c r="AF21" i="11"/>
  <c r="BD21" i="11"/>
  <c r="M27" i="11"/>
  <c r="AK27" i="11"/>
  <c r="BI27" i="11"/>
  <c r="AT38" i="11"/>
  <c r="N52" i="11"/>
  <c r="AL52" i="11"/>
  <c r="U63" i="11"/>
  <c r="AS63" i="11"/>
  <c r="AA102" i="11"/>
  <c r="AY102" i="11"/>
  <c r="O112" i="11"/>
  <c r="AM112" i="11"/>
  <c r="R162" i="11"/>
  <c r="AP162" i="11"/>
  <c r="N189" i="11"/>
  <c r="AL189" i="11"/>
  <c r="E197" i="11"/>
  <c r="AC197" i="11"/>
  <c r="BA197" i="11"/>
  <c r="Q205" i="11"/>
  <c r="AO205" i="11"/>
  <c r="S211" i="11"/>
  <c r="AQ211" i="11"/>
  <c r="H227" i="11"/>
  <c r="AF227" i="11"/>
  <c r="BD227" i="11"/>
  <c r="F271" i="11"/>
  <c r="AD271" i="11"/>
  <c r="BB271" i="11"/>
  <c r="E326" i="11"/>
  <c r="AC326" i="11"/>
  <c r="BA326" i="11"/>
  <c r="S348" i="11"/>
  <c r="AQ348" i="11"/>
  <c r="AS404" i="11"/>
  <c r="AP446" i="11"/>
  <c r="N63" i="11"/>
  <c r="AE21" i="11"/>
  <c r="AF38" i="11"/>
  <c r="M52" i="11"/>
  <c r="T63" i="11"/>
  <c r="I21" i="11"/>
  <c r="AG21" i="11"/>
  <c r="BE21" i="11"/>
  <c r="N27" i="11"/>
  <c r="AL27" i="11"/>
  <c r="AW38" i="11"/>
  <c r="O52" i="11"/>
  <c r="AM52" i="11"/>
  <c r="V63" i="11"/>
  <c r="AT63" i="11"/>
  <c r="AB102" i="11"/>
  <c r="AZ102" i="11"/>
  <c r="P112" i="11"/>
  <c r="AN112" i="11"/>
  <c r="S162" i="11"/>
  <c r="AQ162" i="11"/>
  <c r="O189" i="11"/>
  <c r="AM189" i="11"/>
  <c r="F197" i="11"/>
  <c r="AD197" i="11"/>
  <c r="BB197" i="11"/>
  <c r="R205" i="11"/>
  <c r="AP205" i="11"/>
  <c r="T211" i="11"/>
  <c r="AR211" i="11"/>
  <c r="I227" i="11"/>
  <c r="AG227" i="11"/>
  <c r="BE227" i="11"/>
  <c r="G271" i="11"/>
  <c r="AE271" i="11"/>
  <c r="BC271" i="11"/>
  <c r="F326" i="11"/>
  <c r="AD326" i="11"/>
  <c r="BB326" i="11"/>
  <c r="T348" i="11"/>
  <c r="AR348" i="11"/>
  <c r="AT404" i="11"/>
  <c r="H413" i="11"/>
  <c r="AI413" i="11"/>
  <c r="AS446" i="11"/>
  <c r="BB27" i="11"/>
  <c r="BC27" i="11"/>
  <c r="BH27" i="11"/>
  <c r="BI52" i="11"/>
  <c r="AR63" i="11"/>
  <c r="AX102" i="11"/>
  <c r="J21" i="11"/>
  <c r="AH21" i="11"/>
  <c r="BF21" i="11"/>
  <c r="O27" i="11"/>
  <c r="AM27" i="11"/>
  <c r="BC38" i="11"/>
  <c r="P52" i="11"/>
  <c r="AN52" i="11"/>
  <c r="W63" i="11"/>
  <c r="AU63" i="11"/>
  <c r="E102" i="11"/>
  <c r="AC102" i="11"/>
  <c r="BA102" i="11"/>
  <c r="Q112" i="11"/>
  <c r="AO112" i="11"/>
  <c r="T162" i="11"/>
  <c r="AR162" i="11"/>
  <c r="P189" i="11"/>
  <c r="AN189" i="11"/>
  <c r="G197" i="11"/>
  <c r="AE197" i="11"/>
  <c r="BC197" i="11"/>
  <c r="S205" i="11"/>
  <c r="AQ205" i="11"/>
  <c r="U211" i="11"/>
  <c r="AS211" i="11"/>
  <c r="J227" i="11"/>
  <c r="AH227" i="11"/>
  <c r="BF227" i="11"/>
  <c r="H271" i="11"/>
  <c r="AF271" i="11"/>
  <c r="BD271" i="11"/>
  <c r="G326" i="11"/>
  <c r="AE326" i="11"/>
  <c r="BC326" i="11"/>
  <c r="U348" i="11"/>
  <c r="AS348" i="11"/>
  <c r="H404" i="11"/>
  <c r="AU404" i="11"/>
  <c r="I413" i="11"/>
  <c r="AJ413" i="11"/>
  <c r="F27" i="11"/>
  <c r="BC52" i="11"/>
  <c r="BB21" i="11"/>
  <c r="AI21" i="11"/>
  <c r="BG21" i="11"/>
  <c r="AN27" i="11"/>
  <c r="X63" i="11"/>
  <c r="AV63" i="11"/>
  <c r="F102" i="11"/>
  <c r="AD102" i="11"/>
  <c r="BB102" i="11"/>
  <c r="R112" i="11"/>
  <c r="AP112" i="11"/>
  <c r="U162" i="11"/>
  <c r="AS162" i="11"/>
  <c r="Q189" i="11"/>
  <c r="AO189" i="11"/>
  <c r="H197" i="11"/>
  <c r="AF197" i="11"/>
  <c r="BD197" i="11"/>
  <c r="T205" i="11"/>
  <c r="AR205" i="11"/>
  <c r="V211" i="11"/>
  <c r="AT211" i="11"/>
  <c r="K227" i="11"/>
  <c r="AI227" i="11"/>
  <c r="BG227" i="11"/>
  <c r="I271" i="11"/>
  <c r="AG271" i="11"/>
  <c r="BE271" i="11"/>
  <c r="H326" i="11"/>
  <c r="AF326" i="11"/>
  <c r="BD326" i="11"/>
  <c r="V348" i="11"/>
  <c r="AT348" i="11"/>
  <c r="J413" i="11"/>
  <c r="AK413" i="11"/>
  <c r="BC21" i="11"/>
  <c r="AJ27" i="11"/>
  <c r="Q52" i="11"/>
  <c r="L21" i="11"/>
  <c r="AJ21" i="11"/>
  <c r="BH21" i="11"/>
  <c r="Q27" i="11"/>
  <c r="AO27" i="11"/>
  <c r="R52" i="11"/>
  <c r="AP52" i="11"/>
  <c r="Y63" i="11"/>
  <c r="AW63" i="11"/>
  <c r="G102" i="11"/>
  <c r="AE102" i="11"/>
  <c r="BC102" i="11"/>
  <c r="S112" i="11"/>
  <c r="AQ112" i="11"/>
  <c r="V162" i="11"/>
  <c r="AT162" i="11"/>
  <c r="R189" i="11"/>
  <c r="AP189" i="11"/>
  <c r="I197" i="11"/>
  <c r="AG197" i="11"/>
  <c r="BE197" i="11"/>
  <c r="U205" i="11"/>
  <c r="AS205" i="11"/>
  <c r="W211" i="11"/>
  <c r="AU211" i="11"/>
  <c r="L227" i="11"/>
  <c r="AJ227" i="11"/>
  <c r="BH227" i="11"/>
  <c r="J271" i="11"/>
  <c r="AH271" i="11"/>
  <c r="BF271" i="11"/>
  <c r="I326" i="11"/>
  <c r="AG326" i="11"/>
  <c r="BE326" i="11"/>
  <c r="W348" i="11"/>
  <c r="AU348" i="11"/>
  <c r="N404" i="11"/>
  <c r="AZ404" i="11"/>
  <c r="K413" i="11"/>
  <c r="AL413" i="11"/>
  <c r="AZ429" i="11"/>
  <c r="X443" i="11"/>
  <c r="K21" i="11"/>
  <c r="P27" i="11"/>
  <c r="AO52" i="11"/>
  <c r="M21" i="11"/>
  <c r="AK21" i="11"/>
  <c r="BI21" i="11"/>
  <c r="R27" i="11"/>
  <c r="AP27" i="11"/>
  <c r="S52" i="11"/>
  <c r="AQ52" i="11"/>
  <c r="Z63" i="11"/>
  <c r="AX63" i="11"/>
  <c r="H102" i="11"/>
  <c r="AF102" i="11"/>
  <c r="BD102" i="11"/>
  <c r="T112" i="11"/>
  <c r="AR112" i="11"/>
  <c r="W162" i="11"/>
  <c r="AU162" i="11"/>
  <c r="S189" i="11"/>
  <c r="AQ189" i="11"/>
  <c r="J197" i="11"/>
  <c r="AH197" i="11"/>
  <c r="BF197" i="11"/>
  <c r="V205" i="11"/>
  <c r="AT205" i="11"/>
  <c r="X211" i="11"/>
  <c r="AV211" i="11"/>
  <c r="M227" i="11"/>
  <c r="AK227" i="11"/>
  <c r="BI227" i="11"/>
  <c r="K271" i="11"/>
  <c r="AI271" i="11"/>
  <c r="BG271" i="11"/>
  <c r="J326" i="11"/>
  <c r="AH326" i="11"/>
  <c r="BF326" i="11"/>
  <c r="X348" i="11"/>
  <c r="AV348" i="11"/>
  <c r="O404" i="11"/>
  <c r="BA404" i="11"/>
  <c r="L413" i="11"/>
  <c r="AM413" i="11"/>
  <c r="O418" i="11"/>
  <c r="J429" i="11"/>
  <c r="BA429" i="11"/>
  <c r="AA443" i="11"/>
  <c r="Y21" i="11"/>
  <c r="AF52" i="11"/>
  <c r="AD21" i="11"/>
  <c r="AY63" i="11"/>
  <c r="I102" i="11"/>
  <c r="AG102" i="11"/>
  <c r="U112" i="11"/>
  <c r="AS112" i="11"/>
  <c r="X162" i="11"/>
  <c r="AV162" i="11"/>
  <c r="T189" i="11"/>
  <c r="K197" i="11"/>
  <c r="AI197" i="11"/>
  <c r="W205" i="11"/>
  <c r="Y211" i="11"/>
  <c r="N227" i="11"/>
  <c r="AL227" i="11"/>
  <c r="L271" i="11"/>
  <c r="AJ271" i="11"/>
  <c r="BH271" i="11"/>
  <c r="K326" i="11"/>
  <c r="AI326" i="11"/>
  <c r="BG326" i="11"/>
  <c r="Y348" i="11"/>
  <c r="AW348" i="11"/>
  <c r="E3" i="50"/>
  <c r="F3" i="50"/>
  <c r="G3" i="50"/>
  <c r="H3" i="50"/>
  <c r="I3" i="50"/>
  <c r="J3" i="50"/>
  <c r="K3" i="50"/>
  <c r="R3" i="50"/>
  <c r="L3" i="50"/>
  <c r="T3" i="50"/>
  <c r="W3" i="50"/>
  <c r="M3" i="50"/>
  <c r="N3" i="50"/>
  <c r="U3" i="50"/>
  <c r="O3" i="50"/>
  <c r="V3" i="50"/>
  <c r="Q3" i="50"/>
  <c r="P3" i="50"/>
  <c r="D3" i="50"/>
  <c r="K3" i="49"/>
  <c r="I3" i="49"/>
  <c r="H3" i="49"/>
  <c r="G3" i="49"/>
  <c r="F3" i="49"/>
  <c r="E3" i="49"/>
  <c r="D3" i="49"/>
  <c r="J5" i="49"/>
  <c r="H3" i="48"/>
  <c r="F3" i="48"/>
  <c r="I3" i="48"/>
  <c r="J3" i="48"/>
  <c r="L3" i="48"/>
  <c r="K3" i="48"/>
  <c r="E3" i="48"/>
  <c r="M3" i="48"/>
  <c r="N3" i="48"/>
  <c r="O3" i="48"/>
  <c r="C3" i="48"/>
  <c r="D3" i="48"/>
  <c r="G5" i="50"/>
  <c r="M5" i="50"/>
  <c r="H196" i="11"/>
  <c r="AF196" i="11"/>
  <c r="BD196" i="11"/>
  <c r="F221" i="11"/>
  <c r="AD221" i="11"/>
  <c r="BB221" i="11"/>
  <c r="H226" i="11"/>
  <c r="AF226" i="11"/>
  <c r="BD226" i="11"/>
  <c r="S237" i="11"/>
  <c r="AQ237" i="11"/>
  <c r="X245" i="11"/>
  <c r="AV245" i="11"/>
  <c r="L259" i="11"/>
  <c r="AJ259" i="11"/>
  <c r="BH259" i="11"/>
  <c r="V273" i="11"/>
  <c r="AW273" i="11"/>
  <c r="F281" i="11"/>
  <c r="AH281" i="11"/>
  <c r="E303" i="11"/>
  <c r="AH303" i="11"/>
  <c r="X313" i="11"/>
  <c r="AV313" i="11"/>
  <c r="V336" i="11"/>
  <c r="BF336" i="11"/>
  <c r="AF347" i="11"/>
  <c r="P392" i="11"/>
  <c r="AC414" i="11"/>
  <c r="G427" i="11"/>
  <c r="AI427" i="11"/>
  <c r="AB261" i="11"/>
  <c r="AY15" i="11"/>
  <c r="U15" i="11"/>
  <c r="V15" i="11"/>
  <c r="H427" i="11"/>
  <c r="AJ427" i="11"/>
  <c r="W15" i="11"/>
  <c r="AU15" i="11"/>
  <c r="J196" i="11"/>
  <c r="AH196" i="11"/>
  <c r="BF196" i="11"/>
  <c r="H221" i="11"/>
  <c r="AF221" i="11"/>
  <c r="BD221" i="11"/>
  <c r="J226" i="11"/>
  <c r="AH226" i="11"/>
  <c r="BF226" i="11"/>
  <c r="U237" i="11"/>
  <c r="AS237" i="11"/>
  <c r="Z245" i="11"/>
  <c r="AX245" i="11"/>
  <c r="N259" i="11"/>
  <c r="AL259" i="11"/>
  <c r="X273" i="11"/>
  <c r="AY273" i="11"/>
  <c r="H281" i="11"/>
  <c r="AJ281" i="11"/>
  <c r="X285" i="11"/>
  <c r="G303" i="11"/>
  <c r="AJ303" i="11"/>
  <c r="Z313" i="11"/>
  <c r="AX313" i="11"/>
  <c r="Y336" i="11"/>
  <c r="BH336" i="11"/>
  <c r="AI347" i="11"/>
  <c r="X392" i="11"/>
  <c r="AE414" i="11"/>
  <c r="J427" i="11"/>
  <c r="AK427" i="11"/>
  <c r="AS15" i="11"/>
  <c r="X15" i="11"/>
  <c r="AV15" i="11"/>
  <c r="K196" i="11"/>
  <c r="AI196" i="11"/>
  <c r="BG196" i="11"/>
  <c r="I221" i="11"/>
  <c r="AG221" i="11"/>
  <c r="BE221" i="11"/>
  <c r="K226" i="11"/>
  <c r="AI226" i="11"/>
  <c r="BG226" i="11"/>
  <c r="V237" i="11"/>
  <c r="AT237" i="11"/>
  <c r="AA245" i="11"/>
  <c r="AY245" i="11"/>
  <c r="O259" i="11"/>
  <c r="AM259" i="11"/>
  <c r="Y273" i="11"/>
  <c r="AZ273" i="11"/>
  <c r="I281" i="11"/>
  <c r="AK281" i="11"/>
  <c r="Y285" i="11"/>
  <c r="H303" i="11"/>
  <c r="AK303" i="11"/>
  <c r="AA313" i="11"/>
  <c r="AY313" i="11"/>
  <c r="Z336" i="11"/>
  <c r="BI336" i="11"/>
  <c r="AM347" i="11"/>
  <c r="Y392" i="11"/>
  <c r="AM414" i="11"/>
  <c r="K427" i="11"/>
  <c r="AL427" i="11"/>
  <c r="AT15" i="11"/>
  <c r="Y15" i="11"/>
  <c r="AW15" i="11"/>
  <c r="L196" i="11"/>
  <c r="AJ196" i="11"/>
  <c r="BH196" i="11"/>
  <c r="J221" i="11"/>
  <c r="AH221" i="11"/>
  <c r="BF221" i="11"/>
  <c r="L226" i="11"/>
  <c r="AJ226" i="11"/>
  <c r="BH226" i="11"/>
  <c r="W237" i="11"/>
  <c r="AU237" i="11"/>
  <c r="AB245" i="11"/>
  <c r="AZ245" i="11"/>
  <c r="P259" i="11"/>
  <c r="AN259" i="11"/>
  <c r="Z273" i="11"/>
  <c r="BA273" i="11"/>
  <c r="J281" i="11"/>
  <c r="AL281" i="11"/>
  <c r="AA285" i="11"/>
  <c r="I303" i="11"/>
  <c r="AL303" i="11"/>
  <c r="AB313" i="11"/>
  <c r="AZ313" i="11"/>
  <c r="AA336" i="11"/>
  <c r="AN347" i="11"/>
  <c r="AH392" i="11"/>
  <c r="AT414" i="11"/>
  <c r="L427" i="11"/>
  <c r="AM427" i="11"/>
  <c r="M196" i="11"/>
  <c r="AK196" i="11"/>
  <c r="BI196" i="11"/>
  <c r="K221" i="11"/>
  <c r="AI221" i="11"/>
  <c r="BG221" i="11"/>
  <c r="M226" i="11"/>
  <c r="AK226" i="11"/>
  <c r="BI226" i="11"/>
  <c r="X237" i="11"/>
  <c r="AV237" i="11"/>
  <c r="E245" i="11"/>
  <c r="AC245" i="11"/>
  <c r="BA245" i="11"/>
  <c r="Q259" i="11"/>
  <c r="AO259" i="11"/>
  <c r="AA273" i="11"/>
  <c r="BB273" i="11"/>
  <c r="K281" i="11"/>
  <c r="AM281" i="11"/>
  <c r="J303" i="11"/>
  <c r="AM303" i="11"/>
  <c r="E313" i="11"/>
  <c r="AC313" i="11"/>
  <c r="BA313" i="11"/>
  <c r="AG336" i="11"/>
  <c r="AO347" i="11"/>
  <c r="M427" i="11"/>
  <c r="AN427" i="11"/>
  <c r="AB15" i="11"/>
  <c r="AZ15" i="11"/>
  <c r="O196" i="11"/>
  <c r="AM196" i="11"/>
  <c r="M221" i="11"/>
  <c r="AK221" i="11"/>
  <c r="BI221" i="11"/>
  <c r="O226" i="11"/>
  <c r="AM226" i="11"/>
  <c r="Z237" i="11"/>
  <c r="AX237" i="11"/>
  <c r="G245" i="11"/>
  <c r="AE245" i="11"/>
  <c r="BC245" i="11"/>
  <c r="S259" i="11"/>
  <c r="AQ259" i="11"/>
  <c r="AC273" i="11"/>
  <c r="BF273" i="11"/>
  <c r="M281" i="11"/>
  <c r="AO281" i="11"/>
  <c r="AW285" i="11"/>
  <c r="L303" i="11"/>
  <c r="AO303" i="11"/>
  <c r="G313" i="11"/>
  <c r="AE313" i="11"/>
  <c r="BC313" i="11"/>
  <c r="AI336" i="11"/>
  <c r="AS347" i="11"/>
  <c r="AL392" i="11"/>
  <c r="AY414" i="11"/>
  <c r="O427" i="11"/>
  <c r="AP427" i="11"/>
  <c r="AX15" i="11"/>
  <c r="E15" i="11"/>
  <c r="AC15" i="11"/>
  <c r="BA15" i="11"/>
  <c r="P196" i="11"/>
  <c r="AN196" i="11"/>
  <c r="N221" i="11"/>
  <c r="AL221" i="11"/>
  <c r="P226" i="11"/>
  <c r="AN226" i="11"/>
  <c r="AA237" i="11"/>
  <c r="AY237" i="11"/>
  <c r="H245" i="11"/>
  <c r="AF245" i="11"/>
  <c r="BD245" i="11"/>
  <c r="T259" i="11"/>
  <c r="AR259" i="11"/>
  <c r="AD273" i="11"/>
  <c r="BH273" i="11"/>
  <c r="N281" i="11"/>
  <c r="AP281" i="11"/>
  <c r="AY285" i="11"/>
  <c r="M303" i="11"/>
  <c r="AP303" i="11"/>
  <c r="H313" i="11"/>
  <c r="AF313" i="11"/>
  <c r="BD313" i="11"/>
  <c r="AJ336" i="11"/>
  <c r="E347" i="11"/>
  <c r="AT347" i="11"/>
  <c r="AN392" i="11"/>
  <c r="W404" i="11"/>
  <c r="AV404" i="11"/>
  <c r="AZ414" i="11"/>
  <c r="P427" i="11"/>
  <c r="AQ427" i="11"/>
  <c r="F15" i="11"/>
  <c r="BB15" i="11"/>
  <c r="Q196" i="11"/>
  <c r="AO196" i="11"/>
  <c r="O221" i="11"/>
  <c r="AM221" i="11"/>
  <c r="Q226" i="11"/>
  <c r="AO226" i="11"/>
  <c r="AB237" i="11"/>
  <c r="AZ237" i="11"/>
  <c r="I245" i="11"/>
  <c r="AG245" i="11"/>
  <c r="BE245" i="11"/>
  <c r="U259" i="11"/>
  <c r="AS259" i="11"/>
  <c r="AF273" i="11"/>
  <c r="BI273" i="11"/>
  <c r="O281" i="11"/>
  <c r="AQ281" i="11"/>
  <c r="N303" i="11"/>
  <c r="AQ303" i="11"/>
  <c r="I313" i="11"/>
  <c r="AG313" i="11"/>
  <c r="BE313" i="11"/>
  <c r="AK336" i="11"/>
  <c r="F347" i="11"/>
  <c r="AU347" i="11"/>
  <c r="Q427" i="11"/>
  <c r="AR427" i="11"/>
  <c r="G15" i="11"/>
  <c r="R196" i="11"/>
  <c r="AP196" i="11"/>
  <c r="P221" i="11"/>
  <c r="AN221" i="11"/>
  <c r="R226" i="11"/>
  <c r="AP226" i="11"/>
  <c r="E237" i="11"/>
  <c r="AC237" i="11"/>
  <c r="BA237" i="11"/>
  <c r="J245" i="11"/>
  <c r="AH245" i="11"/>
  <c r="BF245" i="11"/>
  <c r="V259" i="11"/>
  <c r="AT259" i="11"/>
  <c r="E273" i="11"/>
  <c r="AH273" i="11"/>
  <c r="P281" i="11"/>
  <c r="AR281" i="11"/>
  <c r="O303" i="11"/>
  <c r="AR303" i="11"/>
  <c r="J313" i="11"/>
  <c r="AH313" i="11"/>
  <c r="BF313" i="11"/>
  <c r="AC314" i="11"/>
  <c r="BF314" i="11"/>
  <c r="AL336" i="11"/>
  <c r="G347" i="11"/>
  <c r="BB347" i="11"/>
  <c r="M366" i="11"/>
  <c r="Y404" i="11"/>
  <c r="AX404" i="11"/>
  <c r="BB414" i="11"/>
  <c r="R427" i="11"/>
  <c r="AS427" i="11"/>
  <c r="AD15" i="11"/>
  <c r="AF15" i="11"/>
  <c r="BD15" i="11"/>
  <c r="S196" i="11"/>
  <c r="AQ196" i="11"/>
  <c r="Q221" i="11"/>
  <c r="AO221" i="11"/>
  <c r="S226" i="11"/>
  <c r="AQ226" i="11"/>
  <c r="F237" i="11"/>
  <c r="AD237" i="11"/>
  <c r="BB237" i="11"/>
  <c r="K245" i="11"/>
  <c r="AI245" i="11"/>
  <c r="BG245" i="11"/>
  <c r="W259" i="11"/>
  <c r="AU259" i="11"/>
  <c r="F273" i="11"/>
  <c r="AJ273" i="11"/>
  <c r="Q281" i="11"/>
  <c r="AS281" i="11"/>
  <c r="P303" i="11"/>
  <c r="AS303" i="11"/>
  <c r="K313" i="11"/>
  <c r="AI313" i="11"/>
  <c r="BG313" i="11"/>
  <c r="I336" i="11"/>
  <c r="AM336" i="11"/>
  <c r="H347" i="11"/>
  <c r="BC347" i="11"/>
  <c r="Z404" i="11"/>
  <c r="AY404" i="11"/>
  <c r="BC414" i="11"/>
  <c r="S427" i="11"/>
  <c r="AT427" i="11"/>
  <c r="AE15" i="11"/>
  <c r="BC15" i="11"/>
  <c r="H15" i="11"/>
  <c r="I15" i="11"/>
  <c r="AG15" i="11"/>
  <c r="BE15" i="11"/>
  <c r="T196" i="11"/>
  <c r="AR196" i="11"/>
  <c r="R221" i="11"/>
  <c r="AP221" i="11"/>
  <c r="T226" i="11"/>
  <c r="AR226" i="11"/>
  <c r="G237" i="11"/>
  <c r="AE237" i="11"/>
  <c r="BC237" i="11"/>
  <c r="L245" i="11"/>
  <c r="AJ245" i="11"/>
  <c r="BH245" i="11"/>
  <c r="X259" i="11"/>
  <c r="AV259" i="11"/>
  <c r="H273" i="11"/>
  <c r="AK273" i="11"/>
  <c r="R281" i="11"/>
  <c r="AT281" i="11"/>
  <c r="Q303" i="11"/>
  <c r="AT303" i="11"/>
  <c r="L313" i="11"/>
  <c r="AJ313" i="11"/>
  <c r="BH313" i="11"/>
  <c r="J336" i="11"/>
  <c r="AN336" i="11"/>
  <c r="J347" i="11"/>
  <c r="BD347" i="11"/>
  <c r="T427" i="11"/>
  <c r="AU427" i="11"/>
  <c r="V196" i="11"/>
  <c r="AT196" i="11"/>
  <c r="T221" i="11"/>
  <c r="AR221" i="11"/>
  <c r="V226" i="11"/>
  <c r="AT226" i="11"/>
  <c r="I237" i="11"/>
  <c r="AG237" i="11"/>
  <c r="BE237" i="11"/>
  <c r="N245" i="11"/>
  <c r="AL245" i="11"/>
  <c r="Z259" i="11"/>
  <c r="AX259" i="11"/>
  <c r="L273" i="11"/>
  <c r="AM273" i="11"/>
  <c r="T281" i="11"/>
  <c r="AW281" i="11"/>
  <c r="S303" i="11"/>
  <c r="BA303" i="11"/>
  <c r="N313" i="11"/>
  <c r="AL313" i="11"/>
  <c r="L336" i="11"/>
  <c r="AP336" i="11"/>
  <c r="P347" i="11"/>
  <c r="BG347" i="11"/>
  <c r="AC404" i="11"/>
  <c r="BC404" i="11"/>
  <c r="V427" i="11"/>
  <c r="AY427" i="11"/>
  <c r="L441" i="11"/>
  <c r="AA15" i="11"/>
  <c r="K15" i="11"/>
  <c r="BG15" i="11"/>
  <c r="L15" i="11"/>
  <c r="AJ15" i="11"/>
  <c r="BH15" i="11"/>
  <c r="W196" i="11"/>
  <c r="AU196" i="11"/>
  <c r="U221" i="11"/>
  <c r="AS221" i="11"/>
  <c r="W226" i="11"/>
  <c r="AU226" i="11"/>
  <c r="J237" i="11"/>
  <c r="AH237" i="11"/>
  <c r="BF237" i="11"/>
  <c r="O245" i="11"/>
  <c r="AM245" i="11"/>
  <c r="AA259" i="11"/>
  <c r="AY259" i="11"/>
  <c r="M273" i="11"/>
  <c r="AN273" i="11"/>
  <c r="U281" i="11"/>
  <c r="BA281" i="11"/>
  <c r="T303" i="11"/>
  <c r="BB303" i="11"/>
  <c r="O313" i="11"/>
  <c r="AM313" i="11"/>
  <c r="E314" i="11"/>
  <c r="AH314" i="11"/>
  <c r="M336" i="11"/>
  <c r="AQ336" i="11"/>
  <c r="Q347" i="11"/>
  <c r="E404" i="11"/>
  <c r="AE404" i="11"/>
  <c r="BD404" i="11"/>
  <c r="E414" i="11"/>
  <c r="W427" i="11"/>
  <c r="AZ427" i="11"/>
  <c r="AH15" i="11"/>
  <c r="AI15" i="11"/>
  <c r="M15" i="11"/>
  <c r="AK15" i="11"/>
  <c r="BI15" i="11"/>
  <c r="X196" i="11"/>
  <c r="AV196" i="11"/>
  <c r="V221" i="11"/>
  <c r="AT221" i="11"/>
  <c r="X226" i="11"/>
  <c r="AV226" i="11"/>
  <c r="K237" i="11"/>
  <c r="AI237" i="11"/>
  <c r="BG237" i="11"/>
  <c r="P245" i="11"/>
  <c r="AN245" i="11"/>
  <c r="AB259" i="11"/>
  <c r="AZ259" i="11"/>
  <c r="N273" i="11"/>
  <c r="AO273" i="11"/>
  <c r="V281" i="11"/>
  <c r="BB281" i="11"/>
  <c r="U303" i="11"/>
  <c r="BC303" i="11"/>
  <c r="P313" i="11"/>
  <c r="AN313" i="11"/>
  <c r="F314" i="11"/>
  <c r="AI314" i="11"/>
  <c r="N336" i="11"/>
  <c r="AR336" i="11"/>
  <c r="R347" i="11"/>
  <c r="G404" i="11"/>
  <c r="AF404" i="11"/>
  <c r="BE404" i="11"/>
  <c r="F414" i="11"/>
  <c r="X427" i="11"/>
  <c r="BA427" i="11"/>
  <c r="Y196" i="11"/>
  <c r="AW196" i="11"/>
  <c r="W221" i="11"/>
  <c r="AU221" i="11"/>
  <c r="Y226" i="11"/>
  <c r="AW226" i="11"/>
  <c r="L237" i="11"/>
  <c r="AJ237" i="11"/>
  <c r="BH237" i="11"/>
  <c r="Q245" i="11"/>
  <c r="AO245" i="11"/>
  <c r="E259" i="11"/>
  <c r="AC259" i="11"/>
  <c r="BA259" i="11"/>
  <c r="O273" i="11"/>
  <c r="AP273" i="11"/>
  <c r="W281" i="11"/>
  <c r="BC281" i="11"/>
  <c r="V303" i="11"/>
  <c r="BD303" i="11"/>
  <c r="Q313" i="11"/>
  <c r="AO313" i="11"/>
  <c r="O336" i="11"/>
  <c r="AS336" i="11"/>
  <c r="S347" i="11"/>
  <c r="AA427" i="11"/>
  <c r="BB427" i="11"/>
  <c r="AW438" i="11"/>
  <c r="Z196" i="11"/>
  <c r="AX196" i="11"/>
  <c r="X221" i="11"/>
  <c r="AV221" i="11"/>
  <c r="Z226" i="11"/>
  <c r="AX226" i="11"/>
  <c r="M237" i="11"/>
  <c r="AK237" i="11"/>
  <c r="BI237" i="11"/>
  <c r="R245" i="11"/>
  <c r="AP245" i="11"/>
  <c r="F259" i="11"/>
  <c r="AD259" i="11"/>
  <c r="BB259" i="11"/>
  <c r="P273" i="11"/>
  <c r="AQ273" i="11"/>
  <c r="Y281" i="11"/>
  <c r="BD281" i="11"/>
  <c r="AB303" i="11"/>
  <c r="BE303" i="11"/>
  <c r="R313" i="11"/>
  <c r="AP313" i="11"/>
  <c r="P336" i="11"/>
  <c r="AT336" i="11"/>
  <c r="Z347" i="11"/>
  <c r="O414" i="11"/>
  <c r="AB427" i="11"/>
  <c r="BC427" i="11"/>
  <c r="Z15" i="11"/>
  <c r="N15" i="11"/>
  <c r="O15" i="11"/>
  <c r="P15" i="11"/>
  <c r="AN15" i="11"/>
  <c r="AA196" i="11"/>
  <c r="AY196" i="11"/>
  <c r="Y221" i="11"/>
  <c r="AW221" i="11"/>
  <c r="AA226" i="11"/>
  <c r="AY226" i="11"/>
  <c r="N237" i="11"/>
  <c r="AL237" i="11"/>
  <c r="S245" i="11"/>
  <c r="AQ245" i="11"/>
  <c r="G259" i="11"/>
  <c r="AE259" i="11"/>
  <c r="BC259" i="11"/>
  <c r="Q273" i="11"/>
  <c r="AR273" i="11"/>
  <c r="AC281" i="11"/>
  <c r="BE281" i="11"/>
  <c r="AC303" i="11"/>
  <c r="BF303" i="11"/>
  <c r="S313" i="11"/>
  <c r="AQ313" i="11"/>
  <c r="I314" i="11"/>
  <c r="AL314" i="11"/>
  <c r="Q336" i="11"/>
  <c r="AV336" i="11"/>
  <c r="AA347" i="11"/>
  <c r="J404" i="11"/>
  <c r="AI404" i="11"/>
  <c r="BH404" i="11"/>
  <c r="V414" i="11"/>
  <c r="AC427" i="11"/>
  <c r="BD427" i="11"/>
  <c r="J15" i="11"/>
  <c r="Q15" i="11"/>
  <c r="AO15" i="11"/>
  <c r="AB196" i="11"/>
  <c r="AZ196" i="11"/>
  <c r="Z221" i="11"/>
  <c r="AX221" i="11"/>
  <c r="AB226" i="11"/>
  <c r="AZ226" i="11"/>
  <c r="O237" i="11"/>
  <c r="AM237" i="11"/>
  <c r="T245" i="11"/>
  <c r="AR245" i="11"/>
  <c r="H259" i="11"/>
  <c r="AF259" i="11"/>
  <c r="BD259" i="11"/>
  <c r="R273" i="11"/>
  <c r="AS273" i="11"/>
  <c r="AD281" i="11"/>
  <c r="BF281" i="11"/>
  <c r="AD303" i="11"/>
  <c r="BG303" i="11"/>
  <c r="T313" i="11"/>
  <c r="AR313" i="11"/>
  <c r="J314" i="11"/>
  <c r="AM314" i="11"/>
  <c r="R336" i="11"/>
  <c r="AW336" i="11"/>
  <c r="AB347" i="11"/>
  <c r="K404" i="11"/>
  <c r="AJ404" i="11"/>
  <c r="BI404" i="11"/>
  <c r="W414" i="11"/>
  <c r="AD427" i="11"/>
  <c r="BF427" i="11"/>
  <c r="BF15" i="11"/>
  <c r="AL15" i="11"/>
  <c r="R15" i="11"/>
  <c r="AP15" i="11"/>
  <c r="E196" i="11"/>
  <c r="AC196" i="11"/>
  <c r="BA196" i="11"/>
  <c r="AA221" i="11"/>
  <c r="AY221" i="11"/>
  <c r="E226" i="11"/>
  <c r="AC226" i="11"/>
  <c r="BA226" i="11"/>
  <c r="P237" i="11"/>
  <c r="AN237" i="11"/>
  <c r="U245" i="11"/>
  <c r="AS245" i="11"/>
  <c r="I259" i="11"/>
  <c r="AG259" i="11"/>
  <c r="BE259" i="11"/>
  <c r="S273" i="11"/>
  <c r="AT273" i="11"/>
  <c r="AE281" i="11"/>
  <c r="BG281" i="11"/>
  <c r="AE303" i="11"/>
  <c r="BH303" i="11"/>
  <c r="U313" i="11"/>
  <c r="AS313" i="11"/>
  <c r="S336" i="11"/>
  <c r="AX336" i="11"/>
  <c r="AC347" i="11"/>
  <c r="L404" i="11"/>
  <c r="AK404" i="11"/>
  <c r="X414" i="11"/>
  <c r="AE427" i="11"/>
  <c r="BG427" i="11"/>
  <c r="AM15" i="11"/>
  <c r="S15" i="11"/>
  <c r="AQ15" i="11"/>
  <c r="F196" i="11"/>
  <c r="AD196" i="11"/>
  <c r="BB196" i="11"/>
  <c r="AB221" i="11"/>
  <c r="AZ221" i="11"/>
  <c r="F226" i="11"/>
  <c r="AD226" i="11"/>
  <c r="BB226" i="11"/>
  <c r="Q237" i="11"/>
  <c r="AO237" i="11"/>
  <c r="V245" i="11"/>
  <c r="AT245" i="11"/>
  <c r="J259" i="11"/>
  <c r="AH259" i="11"/>
  <c r="BF259" i="11"/>
  <c r="T273" i="11"/>
  <c r="AU273" i="11"/>
  <c r="AF281" i="11"/>
  <c r="BH281" i="11"/>
  <c r="AF303" i="11"/>
  <c r="BI303" i="11"/>
  <c r="V313" i="11"/>
  <c r="AT313" i="11"/>
  <c r="L314" i="11"/>
  <c r="AO314" i="11"/>
  <c r="T336" i="11"/>
  <c r="AY336" i="11"/>
  <c r="AD347" i="11"/>
  <c r="M404" i="11"/>
  <c r="AL404" i="11"/>
  <c r="E427" i="11"/>
  <c r="AF427" i="11"/>
  <c r="BH427" i="11"/>
  <c r="T15" i="11"/>
  <c r="G196" i="11"/>
  <c r="AE196" i="11"/>
  <c r="BC196" i="11"/>
  <c r="E221" i="11"/>
  <c r="AC221" i="11"/>
  <c r="G226" i="11"/>
  <c r="AE226" i="11"/>
  <c r="BC226" i="11"/>
  <c r="R237" i="11"/>
  <c r="AP237" i="11"/>
  <c r="W245" i="11"/>
  <c r="AU245" i="11"/>
  <c r="K259" i="11"/>
  <c r="AI259" i="11"/>
  <c r="BG259" i="11"/>
  <c r="U273" i="11"/>
  <c r="AV273" i="11"/>
  <c r="E281" i="11"/>
  <c r="AG281" i="11"/>
  <c r="BI281" i="11"/>
  <c r="AG303" i="11"/>
  <c r="W313" i="11"/>
  <c r="AU313" i="11"/>
  <c r="U336" i="11"/>
  <c r="BE336" i="11"/>
  <c r="AE347" i="11"/>
  <c r="F427" i="11"/>
  <c r="AH427" i="11"/>
  <c r="BI427" i="11"/>
  <c r="BC209" i="11"/>
  <c r="M223" i="11"/>
  <c r="AK223" i="11"/>
  <c r="BI223" i="11"/>
  <c r="N256" i="11"/>
  <c r="AT256" i="11"/>
  <c r="X274" i="11"/>
  <c r="AO278" i="11"/>
  <c r="Z285" i="11"/>
  <c r="AX285" i="11"/>
  <c r="G300" i="11"/>
  <c r="AK300" i="11"/>
  <c r="N330" i="11"/>
  <c r="AZ333" i="11"/>
  <c r="G354" i="11"/>
  <c r="AE354" i="11"/>
  <c r="AG369" i="11"/>
  <c r="AI92" i="22"/>
  <c r="AI273" i="22"/>
  <c r="AO388" i="11"/>
  <c r="AI352" i="22"/>
  <c r="AI272" i="22"/>
  <c r="BH209" i="11"/>
  <c r="O223" i="11"/>
  <c r="AM223" i="11"/>
  <c r="Q256" i="11"/>
  <c r="AV256" i="11"/>
  <c r="Z274" i="11"/>
  <c r="AX274" i="11"/>
  <c r="BG278" i="11"/>
  <c r="AB285" i="11"/>
  <c r="AZ285" i="11"/>
  <c r="I300" i="11"/>
  <c r="AP300" i="11"/>
  <c r="V330" i="11"/>
  <c r="I354" i="11"/>
  <c r="AG354" i="11"/>
  <c r="BE354" i="11"/>
  <c r="AI369" i="11"/>
  <c r="P223" i="11"/>
  <c r="AN223" i="11"/>
  <c r="T256" i="11"/>
  <c r="AW256" i="11"/>
  <c r="AA274" i="11"/>
  <c r="AY274" i="11"/>
  <c r="BH278" i="11"/>
  <c r="E285" i="11"/>
  <c r="AC285" i="11"/>
  <c r="BA285" i="11"/>
  <c r="J300" i="11"/>
  <c r="AQ300" i="11"/>
  <c r="AD330" i="11"/>
  <c r="J354" i="11"/>
  <c r="AH354" i="11"/>
  <c r="BF354" i="11"/>
  <c r="AJ369" i="11"/>
  <c r="AG411" i="11"/>
  <c r="AY400" i="11"/>
  <c r="H252" i="11"/>
  <c r="Q223" i="11"/>
  <c r="AO223" i="11"/>
  <c r="U256" i="11"/>
  <c r="AX256" i="11"/>
  <c r="AB274" i="11"/>
  <c r="AZ274" i="11"/>
  <c r="F285" i="11"/>
  <c r="AD285" i="11"/>
  <c r="BB285" i="11"/>
  <c r="K300" i="11"/>
  <c r="AR300" i="11"/>
  <c r="AE330" i="11"/>
  <c r="E344" i="11"/>
  <c r="K354" i="11"/>
  <c r="AI354" i="11"/>
  <c r="BG354" i="11"/>
  <c r="AO369" i="11"/>
  <c r="AI219" i="22"/>
  <c r="R223" i="11"/>
  <c r="AP223" i="11"/>
  <c r="V256" i="11"/>
  <c r="AY256" i="11"/>
  <c r="E274" i="11"/>
  <c r="AC274" i="11"/>
  <c r="BA274" i="11"/>
  <c r="G285" i="11"/>
  <c r="AE285" i="11"/>
  <c r="BC285" i="11"/>
  <c r="M300" i="11"/>
  <c r="AS300" i="11"/>
  <c r="AF330" i="11"/>
  <c r="U344" i="11"/>
  <c r="L354" i="11"/>
  <c r="AJ354" i="11"/>
  <c r="BH354" i="11"/>
  <c r="AW369" i="11"/>
  <c r="BB398" i="11"/>
  <c r="AL254" i="11"/>
  <c r="S223" i="11"/>
  <c r="AQ223" i="11"/>
  <c r="W256" i="11"/>
  <c r="AZ256" i="11"/>
  <c r="F274" i="11"/>
  <c r="AD274" i="11"/>
  <c r="BB274" i="11"/>
  <c r="H285" i="11"/>
  <c r="AF285" i="11"/>
  <c r="BD285" i="11"/>
  <c r="P300" i="11"/>
  <c r="AU300" i="11"/>
  <c r="AG330" i="11"/>
  <c r="AA344" i="11"/>
  <c r="M354" i="11"/>
  <c r="AK354" i="11"/>
  <c r="BI354" i="11"/>
  <c r="BE369" i="11"/>
  <c r="AI121" i="22"/>
  <c r="X256" i="11"/>
  <c r="BA256" i="11"/>
  <c r="G274" i="11"/>
  <c r="AE274" i="11"/>
  <c r="BC274" i="11"/>
  <c r="I285" i="11"/>
  <c r="AG285" i="11"/>
  <c r="BE285" i="11"/>
  <c r="R300" i="11"/>
  <c r="AV300" i="11"/>
  <c r="AJ330" i="11"/>
  <c r="AB344" i="11"/>
  <c r="N354" i="11"/>
  <c r="AL354" i="11"/>
  <c r="BF369" i="11"/>
  <c r="BE415" i="11"/>
  <c r="G250" i="11"/>
  <c r="Y256" i="11"/>
  <c r="BD256" i="11"/>
  <c r="H274" i="11"/>
  <c r="AF274" i="11"/>
  <c r="BD274" i="11"/>
  <c r="J285" i="11"/>
  <c r="AH285" i="11"/>
  <c r="BF285" i="11"/>
  <c r="S300" i="11"/>
  <c r="AW300" i="11"/>
  <c r="AK330" i="11"/>
  <c r="AC344" i="11"/>
  <c r="O354" i="11"/>
  <c r="AM354" i="11"/>
  <c r="BG369" i="11"/>
  <c r="H250" i="11"/>
  <c r="Z256" i="11"/>
  <c r="BE256" i="11"/>
  <c r="I274" i="11"/>
  <c r="AG274" i="11"/>
  <c r="BE274" i="11"/>
  <c r="K285" i="11"/>
  <c r="AI285" i="11"/>
  <c r="BG285" i="11"/>
  <c r="T300" i="11"/>
  <c r="AX300" i="11"/>
  <c r="AL330" i="11"/>
  <c r="AJ344" i="11"/>
  <c r="P354" i="11"/>
  <c r="AN354" i="11"/>
  <c r="BH369" i="11"/>
  <c r="BI331" i="11"/>
  <c r="AI290" i="22"/>
  <c r="P250" i="11"/>
  <c r="AC256" i="11"/>
  <c r="BF256" i="11"/>
  <c r="J274" i="11"/>
  <c r="AH274" i="11"/>
  <c r="BF274" i="11"/>
  <c r="L285" i="11"/>
  <c r="AJ285" i="11"/>
  <c r="BH285" i="11"/>
  <c r="U300" i="11"/>
  <c r="AY300" i="11"/>
  <c r="AS330" i="11"/>
  <c r="AP344" i="11"/>
  <c r="Q354" i="11"/>
  <c r="AO354" i="11"/>
  <c r="AM250" i="11"/>
  <c r="AD256" i="11"/>
  <c r="BG256" i="11"/>
  <c r="K274" i="11"/>
  <c r="AI274" i="11"/>
  <c r="BG274" i="11"/>
  <c r="M285" i="11"/>
  <c r="AK285" i="11"/>
  <c r="BI285" i="11"/>
  <c r="W300" i="11"/>
  <c r="AZ300" i="11"/>
  <c r="AT330" i="11"/>
  <c r="BE344" i="11"/>
  <c r="R354" i="11"/>
  <c r="AP354" i="11"/>
  <c r="AE256" i="11"/>
  <c r="BH256" i="11"/>
  <c r="L274" i="11"/>
  <c r="AJ274" i="11"/>
  <c r="BH274" i="11"/>
  <c r="N285" i="11"/>
  <c r="AL285" i="11"/>
  <c r="X300" i="11"/>
  <c r="BA300" i="11"/>
  <c r="BB330" i="11"/>
  <c r="S354" i="11"/>
  <c r="AQ354" i="11"/>
  <c r="AI35" i="22"/>
  <c r="B45" i="52"/>
  <c r="BA45" i="52" s="1"/>
  <c r="B26" i="52"/>
  <c r="W26" i="52" s="1"/>
  <c r="B25" i="52"/>
  <c r="AD25" i="52" s="1"/>
  <c r="B34" i="52"/>
  <c r="S34" i="52" s="1"/>
  <c r="B33" i="52"/>
  <c r="I33" i="52" s="1"/>
  <c r="B20" i="52"/>
  <c r="T20" i="52" s="1"/>
  <c r="B16" i="52"/>
  <c r="AA16" i="52" s="1"/>
  <c r="B61" i="52"/>
  <c r="I61" i="52" s="1"/>
  <c r="B56" i="52"/>
  <c r="AS56" i="52" s="1"/>
  <c r="B32" i="52"/>
  <c r="AU32" i="52" s="1"/>
  <c r="B23" i="52"/>
  <c r="AJ23" i="52" s="1"/>
  <c r="B21" i="52"/>
  <c r="E21" i="52" s="1"/>
  <c r="B54" i="52"/>
  <c r="AT54" i="52" s="1"/>
  <c r="B22" i="52"/>
  <c r="BA22" i="52" s="1"/>
  <c r="B14" i="52"/>
  <c r="AK14" i="52" s="1"/>
  <c r="B53" i="52"/>
  <c r="Z53" i="52" s="1"/>
  <c r="B55" i="52"/>
  <c r="Q55" i="52" s="1"/>
  <c r="B43" i="52"/>
  <c r="T43" i="52" s="1"/>
  <c r="B42" i="52"/>
  <c r="Z42" i="52" s="1"/>
  <c r="B31" i="52"/>
  <c r="AN31" i="52" s="1"/>
  <c r="B7" i="52"/>
  <c r="AU7" i="52" s="1"/>
  <c r="B40" i="52"/>
  <c r="Q40" i="52" s="1"/>
  <c r="B28" i="52"/>
  <c r="O28" i="52" s="1"/>
  <c r="B13" i="52"/>
  <c r="I13" i="52" s="1"/>
  <c r="B52" i="52"/>
  <c r="L52" i="52" s="1"/>
  <c r="B6" i="52"/>
  <c r="AC6" i="52" s="1"/>
  <c r="B12" i="52"/>
  <c r="U12" i="52" s="1"/>
  <c r="B46" i="52"/>
  <c r="E46" i="52" s="1"/>
  <c r="B29" i="52"/>
  <c r="AX29" i="52" s="1"/>
  <c r="B11" i="52"/>
  <c r="R11" i="52" s="1"/>
  <c r="B51" i="52"/>
  <c r="S51" i="52" s="1"/>
  <c r="B9" i="52"/>
  <c r="L9" i="52" s="1"/>
  <c r="B19" i="52"/>
  <c r="AU19" i="52" s="1"/>
  <c r="B24" i="52"/>
  <c r="AO24" i="52" s="1"/>
  <c r="B50" i="52"/>
  <c r="AU50" i="52" s="1"/>
  <c r="B57" i="52"/>
  <c r="BB57" i="52" s="1"/>
  <c r="B30" i="52"/>
  <c r="O30" i="52" s="1"/>
  <c r="B41" i="52"/>
  <c r="AE41" i="52" s="1"/>
  <c r="B47" i="52"/>
  <c r="AU47" i="52" s="1"/>
  <c r="B17" i="52"/>
  <c r="AN17" i="52" s="1"/>
  <c r="B10" i="52"/>
  <c r="R10" i="52" s="1"/>
  <c r="B37" i="52"/>
  <c r="AZ37" i="52" s="1"/>
  <c r="B18" i="52"/>
  <c r="I18" i="52" s="1"/>
  <c r="B15" i="52"/>
  <c r="P15" i="52" s="1"/>
  <c r="B60" i="52"/>
  <c r="AW60" i="52" s="1"/>
  <c r="B49" i="52"/>
  <c r="H49" i="52" s="1"/>
  <c r="B59" i="52"/>
  <c r="M59" i="52" s="1"/>
  <c r="B38" i="52"/>
  <c r="O38" i="52" s="1"/>
  <c r="B44" i="52"/>
  <c r="P44" i="52" s="1"/>
  <c r="B36" i="52"/>
  <c r="F36" i="52" s="1"/>
  <c r="B48" i="52"/>
  <c r="J48" i="52" s="1"/>
  <c r="B27" i="52"/>
  <c r="AW27" i="52" s="1"/>
  <c r="B35" i="52"/>
  <c r="V35" i="52" s="1"/>
  <c r="B8" i="52"/>
  <c r="U8" i="52" s="1"/>
  <c r="B58" i="52"/>
  <c r="L58" i="52" s="1"/>
  <c r="AF256" i="11"/>
  <c r="BI256" i="11"/>
  <c r="M274" i="11"/>
  <c r="AK274" i="11"/>
  <c r="BI274" i="11"/>
  <c r="O285" i="11"/>
  <c r="AM285" i="11"/>
  <c r="Y300" i="11"/>
  <c r="BB300" i="11"/>
  <c r="BC330" i="11"/>
  <c r="T354" i="11"/>
  <c r="AR354" i="11"/>
  <c r="AI209" i="22"/>
  <c r="AI100" i="22"/>
  <c r="AG256" i="11"/>
  <c r="N274" i="11"/>
  <c r="AL274" i="11"/>
  <c r="P285" i="11"/>
  <c r="AN285" i="11"/>
  <c r="Z300" i="11"/>
  <c r="BC300" i="11"/>
  <c r="R308" i="11"/>
  <c r="BD330" i="11"/>
  <c r="U354" i="11"/>
  <c r="AS354" i="11"/>
  <c r="AP308" i="11"/>
  <c r="BE330" i="11"/>
  <c r="V354" i="11"/>
  <c r="AT354" i="11"/>
  <c r="AX390" i="11"/>
  <c r="AI300" i="22"/>
  <c r="E223" i="11"/>
  <c r="AC223" i="11"/>
  <c r="BA223" i="11"/>
  <c r="F256" i="11"/>
  <c r="AI256" i="11"/>
  <c r="P274" i="11"/>
  <c r="AN274" i="11"/>
  <c r="R285" i="11"/>
  <c r="AP285" i="11"/>
  <c r="AB300" i="11"/>
  <c r="BE300" i="11"/>
  <c r="AX308" i="11"/>
  <c r="BH330" i="11"/>
  <c r="W354" i="11"/>
  <c r="AU354" i="11"/>
  <c r="BA376" i="11"/>
  <c r="AI106" i="22"/>
  <c r="B62" i="52"/>
  <c r="BB62" i="52" s="1"/>
  <c r="AI20" i="22"/>
  <c r="X64" i="11"/>
  <c r="Y145" i="11"/>
  <c r="AW145" i="11"/>
  <c r="H155" i="11"/>
  <c r="BH155" i="11"/>
  <c r="M158" i="11"/>
  <c r="AK158" i="11"/>
  <c r="BI158" i="11"/>
  <c r="Z171" i="11"/>
  <c r="AX171" i="11"/>
  <c r="K193" i="11"/>
  <c r="AI193" i="11"/>
  <c r="BG193" i="11"/>
  <c r="Y201" i="11"/>
  <c r="AW201" i="11"/>
  <c r="F223" i="11"/>
  <c r="AD223" i="11"/>
  <c r="BB223" i="11"/>
  <c r="G256" i="11"/>
  <c r="AJ256" i="11"/>
  <c r="Q274" i="11"/>
  <c r="AO274" i="11"/>
  <c r="S285" i="11"/>
  <c r="AQ285" i="11"/>
  <c r="AC300" i="11"/>
  <c r="BF300" i="11"/>
  <c r="AY308" i="11"/>
  <c r="BI330" i="11"/>
  <c r="X354" i="11"/>
  <c r="AV354" i="11"/>
  <c r="BB376" i="11"/>
  <c r="AH390" i="11"/>
  <c r="B39" i="52"/>
  <c r="AM39" i="52" s="1"/>
  <c r="AI264" i="22"/>
  <c r="T225" i="22"/>
  <c r="B62" i="55" s="1"/>
  <c r="Z145" i="11"/>
  <c r="AX145" i="11"/>
  <c r="J155" i="11"/>
  <c r="N158" i="11"/>
  <c r="AL158" i="11"/>
  <c r="AA171" i="11"/>
  <c r="L193" i="11"/>
  <c r="AJ193" i="11"/>
  <c r="BH193" i="11"/>
  <c r="Z201" i="11"/>
  <c r="AX201" i="11"/>
  <c r="G223" i="11"/>
  <c r="AE223" i="11"/>
  <c r="BC223" i="11"/>
  <c r="H256" i="11"/>
  <c r="AK256" i="11"/>
  <c r="R274" i="11"/>
  <c r="AP274" i="11"/>
  <c r="K278" i="11"/>
  <c r="T285" i="11"/>
  <c r="AR285" i="11"/>
  <c r="AD300" i="11"/>
  <c r="BG300" i="11"/>
  <c r="F330" i="11"/>
  <c r="Y354" i="11"/>
  <c r="AW354" i="11"/>
  <c r="I369" i="11"/>
  <c r="AI390" i="11"/>
  <c r="L3" i="39"/>
  <c r="M3" i="39"/>
  <c r="D3" i="39"/>
  <c r="E3" i="39"/>
  <c r="F3" i="39"/>
  <c r="G3" i="39"/>
  <c r="H3" i="39"/>
  <c r="I3" i="39"/>
  <c r="K3" i="39"/>
  <c r="J3" i="39"/>
  <c r="T5" i="22"/>
  <c r="AI159" i="22"/>
  <c r="AI266" i="22"/>
  <c r="H223" i="11"/>
  <c r="AF223" i="11"/>
  <c r="BD223" i="11"/>
  <c r="I256" i="11"/>
  <c r="AL256" i="11"/>
  <c r="S274" i="11"/>
  <c r="AQ274" i="11"/>
  <c r="L278" i="11"/>
  <c r="U285" i="11"/>
  <c r="AS285" i="11"/>
  <c r="AE300" i="11"/>
  <c r="G330" i="11"/>
  <c r="Z354" i="11"/>
  <c r="AX354" i="11"/>
  <c r="J369" i="11"/>
  <c r="L422" i="11"/>
  <c r="AI24" i="22"/>
  <c r="AC209" i="11"/>
  <c r="I223" i="11"/>
  <c r="AG223" i="11"/>
  <c r="BE223" i="11"/>
  <c r="J256" i="11"/>
  <c r="AM256" i="11"/>
  <c r="T274" i="11"/>
  <c r="AR274" i="11"/>
  <c r="Q278" i="11"/>
  <c r="V285" i="11"/>
  <c r="AT285" i="11"/>
  <c r="AF300" i="11"/>
  <c r="H330" i="11"/>
  <c r="AA354" i="11"/>
  <c r="AY354" i="11"/>
  <c r="K369" i="11"/>
  <c r="AI287" i="22"/>
  <c r="AI391" i="22"/>
  <c r="U274" i="11"/>
  <c r="AS274" i="11"/>
  <c r="W285" i="11"/>
  <c r="AU285" i="11"/>
  <c r="AG300" i="11"/>
  <c r="I330" i="11"/>
  <c r="AB354" i="11"/>
  <c r="AZ354" i="11"/>
  <c r="L369" i="11"/>
  <c r="M32" i="52"/>
  <c r="B5" i="52"/>
  <c r="M228" i="11"/>
  <c r="AA392" i="11"/>
  <c r="G393" i="11"/>
  <c r="AP393" i="11"/>
  <c r="Y414" i="11"/>
  <c r="AW414" i="11"/>
  <c r="P417" i="11"/>
  <c r="F439" i="11"/>
  <c r="AN228" i="11"/>
  <c r="AB392" i="11"/>
  <c r="H393" i="11"/>
  <c r="AQ393" i="11"/>
  <c r="AH395" i="11"/>
  <c r="Z414" i="11"/>
  <c r="AX414" i="11"/>
  <c r="S417" i="11"/>
  <c r="O206" i="11"/>
  <c r="AQ206" i="11"/>
  <c r="AO392" i="11"/>
  <c r="R393" i="11"/>
  <c r="AZ393" i="11"/>
  <c r="H414" i="11"/>
  <c r="AF414" i="11"/>
  <c r="BD414" i="11"/>
  <c r="AK417" i="11"/>
  <c r="AC261" i="11"/>
  <c r="AL358" i="11"/>
  <c r="AP392" i="11"/>
  <c r="S393" i="11"/>
  <c r="BB393" i="11"/>
  <c r="I414" i="11"/>
  <c r="AG414" i="11"/>
  <c r="BE414" i="11"/>
  <c r="BA417" i="11"/>
  <c r="AS44" i="11"/>
  <c r="K53" i="11"/>
  <c r="T64" i="11"/>
  <c r="L198" i="11"/>
  <c r="G283" i="11"/>
  <c r="N347" i="11"/>
  <c r="AP347" i="11"/>
  <c r="AI350" i="11"/>
  <c r="E358" i="11"/>
  <c r="AM358" i="11"/>
  <c r="AQ392" i="11"/>
  <c r="T393" i="11"/>
  <c r="BC393" i="11"/>
  <c r="J414" i="11"/>
  <c r="AH414" i="11"/>
  <c r="BF414" i="11"/>
  <c r="BG417" i="11"/>
  <c r="U53" i="11"/>
  <c r="U64" i="11"/>
  <c r="AL198" i="11"/>
  <c r="W336" i="11"/>
  <c r="AU336" i="11"/>
  <c r="AB339" i="11"/>
  <c r="BC339" i="11"/>
  <c r="O347" i="11"/>
  <c r="AQ347" i="11"/>
  <c r="AK350" i="11"/>
  <c r="H358" i="11"/>
  <c r="AN358" i="11"/>
  <c r="J392" i="11"/>
  <c r="AR392" i="11"/>
  <c r="V393" i="11"/>
  <c r="BD393" i="11"/>
  <c r="K414" i="11"/>
  <c r="AI414" i="11"/>
  <c r="BG414" i="11"/>
  <c r="BI417" i="11"/>
  <c r="V428" i="11"/>
  <c r="AK445" i="11"/>
  <c r="I358" i="11"/>
  <c r="AO358" i="11"/>
  <c r="K392" i="11"/>
  <c r="AS392" i="11"/>
  <c r="W393" i="11"/>
  <c r="BF393" i="11"/>
  <c r="L414" i="11"/>
  <c r="AJ414" i="11"/>
  <c r="BH414" i="11"/>
  <c r="X428" i="11"/>
  <c r="AQ380" i="11"/>
  <c r="M392" i="11"/>
  <c r="AT392" i="11"/>
  <c r="X393" i="11"/>
  <c r="BG393" i="11"/>
  <c r="M414" i="11"/>
  <c r="AK414" i="11"/>
  <c r="BI414" i="11"/>
  <c r="AB428" i="11"/>
  <c r="L445" i="11"/>
  <c r="AR380" i="11"/>
  <c r="N392" i="11"/>
  <c r="AU392" i="11"/>
  <c r="AA393" i="11"/>
  <c r="BH393" i="11"/>
  <c r="N414" i="11"/>
  <c r="AL414" i="11"/>
  <c r="BB428" i="11"/>
  <c r="M445" i="11"/>
  <c r="L190" i="11"/>
  <c r="AG28" i="11"/>
  <c r="AB53" i="11"/>
  <c r="AN64" i="11"/>
  <c r="AK190" i="11"/>
  <c r="G273" i="11"/>
  <c r="AE273" i="11"/>
  <c r="BC273" i="11"/>
  <c r="AU275" i="11"/>
  <c r="X281" i="11"/>
  <c r="AV281" i="11"/>
  <c r="P284" i="11"/>
  <c r="V287" i="11"/>
  <c r="AU287" i="11"/>
  <c r="Z295" i="11"/>
  <c r="AZ295" i="11"/>
  <c r="W303" i="11"/>
  <c r="AU303" i="11"/>
  <c r="R314" i="11"/>
  <c r="AP314" i="11"/>
  <c r="U317" i="11"/>
  <c r="AV317" i="11"/>
  <c r="AB336" i="11"/>
  <c r="AZ336" i="11"/>
  <c r="F339" i="11"/>
  <c r="AG339" i="11"/>
  <c r="BH339" i="11"/>
  <c r="T347" i="11"/>
  <c r="AV347" i="11"/>
  <c r="F350" i="11"/>
  <c r="AS350" i="11"/>
  <c r="N358" i="11"/>
  <c r="AT358" i="11"/>
  <c r="H361" i="11"/>
  <c r="K375" i="11"/>
  <c r="T390" i="11"/>
  <c r="AT390" i="11"/>
  <c r="Q392" i="11"/>
  <c r="AW392" i="11"/>
  <c r="AC393" i="11"/>
  <c r="P414" i="11"/>
  <c r="AN414" i="11"/>
  <c r="BE428" i="11"/>
  <c r="AM445" i="11"/>
  <c r="AH28" i="11"/>
  <c r="AC53" i="11"/>
  <c r="AO64" i="11"/>
  <c r="Q284" i="11"/>
  <c r="W287" i="11"/>
  <c r="AV287" i="11"/>
  <c r="AA295" i="11"/>
  <c r="BA295" i="11"/>
  <c r="X303" i="11"/>
  <c r="AV303" i="11"/>
  <c r="S314" i="11"/>
  <c r="AQ314" i="11"/>
  <c r="V317" i="11"/>
  <c r="AW317" i="11"/>
  <c r="E336" i="11"/>
  <c r="AC336" i="11"/>
  <c r="BA336" i="11"/>
  <c r="G339" i="11"/>
  <c r="AH339" i="11"/>
  <c r="BI339" i="11"/>
  <c r="U347" i="11"/>
  <c r="AW347" i="11"/>
  <c r="G350" i="11"/>
  <c r="AT350" i="11"/>
  <c r="O358" i="11"/>
  <c r="AV358" i="11"/>
  <c r="K361" i="11"/>
  <c r="N375" i="11"/>
  <c r="R392" i="11"/>
  <c r="AY392" i="11"/>
  <c r="AD393" i="11"/>
  <c r="Q414" i="11"/>
  <c r="AO414" i="11"/>
  <c r="AO445" i="11"/>
  <c r="AK28" i="11"/>
  <c r="AD53" i="11"/>
  <c r="AR64" i="11"/>
  <c r="I273" i="11"/>
  <c r="AG273" i="11"/>
  <c r="BE273" i="11"/>
  <c r="Z281" i="11"/>
  <c r="AX281" i="11"/>
  <c r="R284" i="11"/>
  <c r="X287" i="11"/>
  <c r="AW287" i="11"/>
  <c r="AB295" i="11"/>
  <c r="BC295" i="11"/>
  <c r="Y303" i="11"/>
  <c r="AW303" i="11"/>
  <c r="T314" i="11"/>
  <c r="AR314" i="11"/>
  <c r="W317" i="11"/>
  <c r="AX317" i="11"/>
  <c r="F336" i="11"/>
  <c r="AD336" i="11"/>
  <c r="BB336" i="11"/>
  <c r="H339" i="11"/>
  <c r="AI339" i="11"/>
  <c r="V347" i="11"/>
  <c r="AX347" i="11"/>
  <c r="K350" i="11"/>
  <c r="AU350" i="11"/>
  <c r="P358" i="11"/>
  <c r="AX358" i="11"/>
  <c r="N361" i="11"/>
  <c r="AI375" i="11"/>
  <c r="V390" i="11"/>
  <c r="AV390" i="11"/>
  <c r="S392" i="11"/>
  <c r="AZ392" i="11"/>
  <c r="AE393" i="11"/>
  <c r="R414" i="11"/>
  <c r="AP414" i="11"/>
  <c r="AQ445" i="11"/>
  <c r="AL28" i="11"/>
  <c r="AE53" i="11"/>
  <c r="AS64" i="11"/>
  <c r="AA281" i="11"/>
  <c r="AY281" i="11"/>
  <c r="S284" i="11"/>
  <c r="Y287" i="11"/>
  <c r="AX287" i="11"/>
  <c r="AC295" i="11"/>
  <c r="BD295" i="11"/>
  <c r="Z303" i="11"/>
  <c r="AX303" i="11"/>
  <c r="U314" i="11"/>
  <c r="AS314" i="11"/>
  <c r="X317" i="11"/>
  <c r="AY317" i="11"/>
  <c r="G336" i="11"/>
  <c r="AE336" i="11"/>
  <c r="BC336" i="11"/>
  <c r="I339" i="11"/>
  <c r="AJ339" i="11"/>
  <c r="W347" i="11"/>
  <c r="AY347" i="11"/>
  <c r="M350" i="11"/>
  <c r="AV350" i="11"/>
  <c r="Q358" i="11"/>
  <c r="AZ358" i="11"/>
  <c r="Y361" i="11"/>
  <c r="W390" i="11"/>
  <c r="AW390" i="11"/>
  <c r="T392" i="11"/>
  <c r="BF392" i="11"/>
  <c r="AF393" i="11"/>
  <c r="S414" i="11"/>
  <c r="AQ414" i="11"/>
  <c r="AM28" i="11"/>
  <c r="AF53" i="11"/>
  <c r="AV64" i="11"/>
  <c r="K273" i="11"/>
  <c r="AI273" i="11"/>
  <c r="BG273" i="11"/>
  <c r="AB281" i="11"/>
  <c r="AZ281" i="11"/>
  <c r="U284" i="11"/>
  <c r="Z287" i="11"/>
  <c r="AY287" i="11"/>
  <c r="AE295" i="11"/>
  <c r="BE295" i="11"/>
  <c r="AA303" i="11"/>
  <c r="AY303" i="11"/>
  <c r="V314" i="11"/>
  <c r="AT314" i="11"/>
  <c r="Y317" i="11"/>
  <c r="BA317" i="11"/>
  <c r="H336" i="11"/>
  <c r="AF336" i="11"/>
  <c r="BD336" i="11"/>
  <c r="J339" i="11"/>
  <c r="AK339" i="11"/>
  <c r="X347" i="11"/>
  <c r="AZ347" i="11"/>
  <c r="O350" i="11"/>
  <c r="AW350" i="11"/>
  <c r="S358" i="11"/>
  <c r="BA358" i="11"/>
  <c r="AC361" i="11"/>
  <c r="M376" i="11"/>
  <c r="X390" i="11"/>
  <c r="U392" i="11"/>
  <c r="BG392" i="11"/>
  <c r="AH393" i="11"/>
  <c r="T414" i="11"/>
  <c r="AR414" i="11"/>
  <c r="AI53" i="11"/>
  <c r="AW64" i="11"/>
  <c r="Y347" i="11"/>
  <c r="P350" i="11"/>
  <c r="AX350" i="11"/>
  <c r="T358" i="11"/>
  <c r="AD361" i="11"/>
  <c r="O376" i="11"/>
  <c r="V392" i="11"/>
  <c r="AI393" i="11"/>
  <c r="U414" i="11"/>
  <c r="AS414" i="11"/>
  <c r="BC367" i="11"/>
  <c r="M190" i="11"/>
  <c r="AL190" i="11"/>
  <c r="M198" i="11"/>
  <c r="AM198" i="11"/>
  <c r="R206" i="11"/>
  <c r="AR206" i="11"/>
  <c r="N228" i="11"/>
  <c r="AO228" i="11"/>
  <c r="AD261" i="11"/>
  <c r="O283" i="11"/>
  <c r="N190" i="11"/>
  <c r="AM190" i="11"/>
  <c r="N198" i="11"/>
  <c r="AN198" i="11"/>
  <c r="S206" i="11"/>
  <c r="AS206" i="11"/>
  <c r="O228" i="11"/>
  <c r="AP228" i="11"/>
  <c r="AE261" i="11"/>
  <c r="P283" i="11"/>
  <c r="AF361" i="11"/>
  <c r="P376" i="11"/>
  <c r="BC376" i="11"/>
  <c r="AP395" i="11"/>
  <c r="AC428" i="11"/>
  <c r="Y439" i="11"/>
  <c r="Y264" i="11"/>
  <c r="K28" i="11"/>
  <c r="AI28" i="11"/>
  <c r="BG28" i="11"/>
  <c r="AA45" i="11"/>
  <c r="Y53" i="11"/>
  <c r="AW53" i="11"/>
  <c r="R64" i="11"/>
  <c r="AP64" i="11"/>
  <c r="O190" i="11"/>
  <c r="AN190" i="11"/>
  <c r="O198" i="11"/>
  <c r="AQ198" i="11"/>
  <c r="T206" i="11"/>
  <c r="AT206" i="11"/>
  <c r="P228" i="11"/>
  <c r="AR228" i="11"/>
  <c r="AF261" i="11"/>
  <c r="Q283" i="11"/>
  <c r="S350" i="11"/>
  <c r="AQ350" i="11"/>
  <c r="AG361" i="11"/>
  <c r="V376" i="11"/>
  <c r="BD376" i="11"/>
  <c r="AQ395" i="11"/>
  <c r="AM428" i="11"/>
  <c r="AD439" i="11"/>
  <c r="L28" i="11"/>
  <c r="AJ28" i="11"/>
  <c r="BH28" i="11"/>
  <c r="Z53" i="11"/>
  <c r="AX53" i="11"/>
  <c r="S64" i="11"/>
  <c r="AQ64" i="11"/>
  <c r="P190" i="11"/>
  <c r="AO190" i="11"/>
  <c r="P198" i="11"/>
  <c r="AR198" i="11"/>
  <c r="U206" i="11"/>
  <c r="AU206" i="11"/>
  <c r="Q228" i="11"/>
  <c r="AS228" i="11"/>
  <c r="AK261" i="11"/>
  <c r="X283" i="11"/>
  <c r="T350" i="11"/>
  <c r="AH361" i="11"/>
  <c r="W376" i="11"/>
  <c r="BE376" i="11"/>
  <c r="AS395" i="11"/>
  <c r="AN428" i="11"/>
  <c r="AW16" i="11"/>
  <c r="Q190" i="11"/>
  <c r="AP190" i="11"/>
  <c r="S198" i="11"/>
  <c r="AS198" i="11"/>
  <c r="V206" i="11"/>
  <c r="AV206" i="11"/>
  <c r="R228" i="11"/>
  <c r="AT228" i="11"/>
  <c r="AM261" i="11"/>
  <c r="Y283" i="11"/>
  <c r="Y376" i="11"/>
  <c r="BF376" i="11"/>
  <c r="BF395" i="11"/>
  <c r="R403" i="11"/>
  <c r="AO428" i="11"/>
  <c r="R190" i="11"/>
  <c r="AQ190" i="11"/>
  <c r="T198" i="11"/>
  <c r="AT198" i="11"/>
  <c r="W206" i="11"/>
  <c r="AW206" i="11"/>
  <c r="T228" i="11"/>
  <c r="AU228" i="11"/>
  <c r="AN261" i="11"/>
  <c r="Z283" i="11"/>
  <c r="Z376" i="11"/>
  <c r="BG376" i="11"/>
  <c r="BG395" i="11"/>
  <c r="AZ428" i="11"/>
  <c r="V64" i="11"/>
  <c r="AT64" i="11"/>
  <c r="S190" i="11"/>
  <c r="AS190" i="11"/>
  <c r="U198" i="11"/>
  <c r="AU198" i="11"/>
  <c r="X206" i="11"/>
  <c r="AX206" i="11"/>
  <c r="U228" i="11"/>
  <c r="AV228" i="11"/>
  <c r="E261" i="11"/>
  <c r="AO261" i="11"/>
  <c r="AA283" i="11"/>
  <c r="AB376" i="11"/>
  <c r="BH376" i="11"/>
  <c r="BF215" i="11"/>
  <c r="W64" i="11"/>
  <c r="AU64" i="11"/>
  <c r="AX163" i="11"/>
  <c r="U190" i="11"/>
  <c r="AT190" i="11"/>
  <c r="V198" i="11"/>
  <c r="AV198" i="11"/>
  <c r="Y206" i="11"/>
  <c r="AY206" i="11"/>
  <c r="V228" i="11"/>
  <c r="AW228" i="11"/>
  <c r="F261" i="11"/>
  <c r="AP261" i="11"/>
  <c r="AC283" i="11"/>
  <c r="AC376" i="11"/>
  <c r="BI376" i="11"/>
  <c r="V190" i="11"/>
  <c r="AU190" i="11"/>
  <c r="W198" i="11"/>
  <c r="AW198" i="11"/>
  <c r="Z206" i="11"/>
  <c r="AZ206" i="11"/>
  <c r="W228" i="11"/>
  <c r="AX228" i="11"/>
  <c r="G261" i="11"/>
  <c r="AR261" i="11"/>
  <c r="AD283" i="11"/>
  <c r="L327" i="11"/>
  <c r="AD376" i="11"/>
  <c r="W190" i="11"/>
  <c r="AV190" i="11"/>
  <c r="X198" i="11"/>
  <c r="AX198" i="11"/>
  <c r="AA206" i="11"/>
  <c r="BA206" i="11"/>
  <c r="X228" i="11"/>
  <c r="AY228" i="11"/>
  <c r="H261" i="11"/>
  <c r="AS261" i="11"/>
  <c r="AE283" i="11"/>
  <c r="M327" i="11"/>
  <c r="AA349" i="11"/>
  <c r="AL375" i="11"/>
  <c r="AE376" i="11"/>
  <c r="AM377" i="11"/>
  <c r="BF428" i="11"/>
  <c r="S28" i="11"/>
  <c r="AQ28" i="11"/>
  <c r="I53" i="11"/>
  <c r="AG53" i="11"/>
  <c r="BE53" i="11"/>
  <c r="Z64" i="11"/>
  <c r="AX64" i="11"/>
  <c r="X190" i="11"/>
  <c r="AW190" i="11"/>
  <c r="Y198" i="11"/>
  <c r="AY198" i="11"/>
  <c r="AB206" i="11"/>
  <c r="BB206" i="11"/>
  <c r="Y228" i="11"/>
  <c r="AZ228" i="11"/>
  <c r="J250" i="11"/>
  <c r="M261" i="11"/>
  <c r="AT261" i="11"/>
  <c r="AF283" i="11"/>
  <c r="AX286" i="11"/>
  <c r="I305" i="11"/>
  <c r="N327" i="11"/>
  <c r="BF349" i="11"/>
  <c r="AA350" i="11"/>
  <c r="AY350" i="11"/>
  <c r="I361" i="11"/>
  <c r="AT361" i="11"/>
  <c r="AS375" i="11"/>
  <c r="AF376" i="11"/>
  <c r="AN377" i="11"/>
  <c r="BG428" i="11"/>
  <c r="AJ429" i="11"/>
  <c r="T28" i="11"/>
  <c r="AR28" i="11"/>
  <c r="J53" i="11"/>
  <c r="AH53" i="11"/>
  <c r="BF53" i="11"/>
  <c r="AA64" i="11"/>
  <c r="AY64" i="11"/>
  <c r="Y190" i="11"/>
  <c r="AX190" i="11"/>
  <c r="Z198" i="11"/>
  <c r="AZ198" i="11"/>
  <c r="AC206" i="11"/>
  <c r="BC206" i="11"/>
  <c r="Z228" i="11"/>
  <c r="BA228" i="11"/>
  <c r="N250" i="11"/>
  <c r="O261" i="11"/>
  <c r="AU261" i="11"/>
  <c r="AM283" i="11"/>
  <c r="AY286" i="11"/>
  <c r="Q305" i="11"/>
  <c r="O327" i="11"/>
  <c r="J361" i="11"/>
  <c r="AU361" i="11"/>
  <c r="AT375" i="11"/>
  <c r="AG376" i="11"/>
  <c r="AO377" i="11"/>
  <c r="Z190" i="11"/>
  <c r="AY190" i="11"/>
  <c r="AA198" i="11"/>
  <c r="BA198" i="11"/>
  <c r="AD206" i="11"/>
  <c r="BD206" i="11"/>
  <c r="AA228" i="11"/>
  <c r="BB228" i="11"/>
  <c r="P261" i="11"/>
  <c r="AV261" i="11"/>
  <c r="AN283" i="11"/>
  <c r="AZ286" i="11"/>
  <c r="Y305" i="11"/>
  <c r="T327" i="11"/>
  <c r="AU375" i="11"/>
  <c r="AH376" i="11"/>
  <c r="AJ53" i="11"/>
  <c r="E64" i="11"/>
  <c r="AC64" i="11"/>
  <c r="BA64" i="11"/>
  <c r="AA190" i="11"/>
  <c r="AZ190" i="11"/>
  <c r="AB198" i="11"/>
  <c r="BB198" i="11"/>
  <c r="E206" i="11"/>
  <c r="AE206" i="11"/>
  <c r="BE206" i="11"/>
  <c r="AB228" i="11"/>
  <c r="BC228" i="11"/>
  <c r="AL250" i="11"/>
  <c r="Q261" i="11"/>
  <c r="AW261" i="11"/>
  <c r="AO283" i="11"/>
  <c r="BD286" i="11"/>
  <c r="Z305" i="11"/>
  <c r="AB327" i="11"/>
  <c r="M361" i="11"/>
  <c r="AW361" i="11"/>
  <c r="BC375" i="11"/>
  <c r="AI376" i="11"/>
  <c r="BB64" i="11"/>
  <c r="AB190" i="11"/>
  <c r="BA190" i="11"/>
  <c r="AC198" i="11"/>
  <c r="BC198" i="11"/>
  <c r="F206" i="11"/>
  <c r="AF206" i="11"/>
  <c r="BF206" i="11"/>
  <c r="AC228" i="11"/>
  <c r="BD228" i="11"/>
  <c r="R261" i="11"/>
  <c r="AY261" i="11"/>
  <c r="AV283" i="11"/>
  <c r="BF286" i="11"/>
  <c r="AA305" i="11"/>
  <c r="AJ327" i="11"/>
  <c r="AJ376" i="11"/>
  <c r="K378" i="11"/>
  <c r="T406" i="11"/>
  <c r="F64" i="11"/>
  <c r="AD64" i="11"/>
  <c r="N53" i="11"/>
  <c r="AL53" i="11"/>
  <c r="G64" i="11"/>
  <c r="AE64" i="11"/>
  <c r="BC64" i="11"/>
  <c r="AC190" i="11"/>
  <c r="BB190" i="11"/>
  <c r="AD198" i="11"/>
  <c r="BD198" i="11"/>
  <c r="G206" i="11"/>
  <c r="AG206" i="11"/>
  <c r="BG206" i="11"/>
  <c r="F209" i="11"/>
  <c r="AD228" i="11"/>
  <c r="BE228" i="11"/>
  <c r="AN250" i="11"/>
  <c r="T261" i="11"/>
  <c r="AZ261" i="11"/>
  <c r="AX283" i="11"/>
  <c r="AB305" i="11"/>
  <c r="AB317" i="11"/>
  <c r="AZ317" i="11"/>
  <c r="AK327" i="11"/>
  <c r="P339" i="11"/>
  <c r="AN339" i="11"/>
  <c r="H350" i="11"/>
  <c r="AF350" i="11"/>
  <c r="BD350" i="11"/>
  <c r="S361" i="11"/>
  <c r="AY361" i="11"/>
  <c r="E376" i="11"/>
  <c r="AK376" i="11"/>
  <c r="O378" i="11"/>
  <c r="U406" i="11"/>
  <c r="H429" i="11"/>
  <c r="AT429" i="11"/>
  <c r="W28" i="11"/>
  <c r="AU28" i="11"/>
  <c r="AK53" i="11"/>
  <c r="BI53" i="11"/>
  <c r="X28" i="11"/>
  <c r="AV28" i="11"/>
  <c r="Y28" i="11"/>
  <c r="AW28" i="11"/>
  <c r="O53" i="11"/>
  <c r="AM53" i="11"/>
  <c r="H64" i="11"/>
  <c r="AF64" i="11"/>
  <c r="BD64" i="11"/>
  <c r="E190" i="11"/>
  <c r="AD190" i="11"/>
  <c r="BC190" i="11"/>
  <c r="E198" i="11"/>
  <c r="AE198" i="11"/>
  <c r="BE198" i="11"/>
  <c r="H206" i="11"/>
  <c r="AH206" i="11"/>
  <c r="BH206" i="11"/>
  <c r="H209" i="11"/>
  <c r="AE228" i="11"/>
  <c r="BF228" i="11"/>
  <c r="AP250" i="11"/>
  <c r="U261" i="11"/>
  <c r="BA261" i="11"/>
  <c r="AY283" i="11"/>
  <c r="AG305" i="11"/>
  <c r="AL327" i="11"/>
  <c r="I350" i="11"/>
  <c r="AG350" i="11"/>
  <c r="BE350" i="11"/>
  <c r="T361" i="11"/>
  <c r="AZ361" i="11"/>
  <c r="F376" i="11"/>
  <c r="AM376" i="11"/>
  <c r="AI378" i="11"/>
  <c r="AR406" i="11"/>
  <c r="AS38" i="11"/>
  <c r="M53" i="11"/>
  <c r="Z28" i="11"/>
  <c r="AX28" i="11"/>
  <c r="P53" i="11"/>
  <c r="AN53" i="11"/>
  <c r="I64" i="11"/>
  <c r="AG64" i="11"/>
  <c r="BE64" i="11"/>
  <c r="F190" i="11"/>
  <c r="AE190" i="11"/>
  <c r="BD190" i="11"/>
  <c r="F198" i="11"/>
  <c r="AF198" i="11"/>
  <c r="BF198" i="11"/>
  <c r="I206" i="11"/>
  <c r="AI206" i="11"/>
  <c r="BI206" i="11"/>
  <c r="AB209" i="11"/>
  <c r="E228" i="11"/>
  <c r="AF228" i="11"/>
  <c r="BI228" i="11"/>
  <c r="AS250" i="11"/>
  <c r="V261" i="11"/>
  <c r="BB261" i="11"/>
  <c r="BA283" i="11"/>
  <c r="F295" i="11"/>
  <c r="AD295" i="11"/>
  <c r="BB295" i="11"/>
  <c r="AO305" i="11"/>
  <c r="F317" i="11"/>
  <c r="AD317" i="11"/>
  <c r="BB317" i="11"/>
  <c r="AM327" i="11"/>
  <c r="R339" i="11"/>
  <c r="AP339" i="11"/>
  <c r="J350" i="11"/>
  <c r="AH350" i="11"/>
  <c r="BF350" i="11"/>
  <c r="U361" i="11"/>
  <c r="BB361" i="11"/>
  <c r="G376" i="11"/>
  <c r="AN376" i="11"/>
  <c r="AM378" i="11"/>
  <c r="AS406" i="11"/>
  <c r="F428" i="11"/>
  <c r="AQ429" i="11"/>
  <c r="B62" i="38"/>
  <c r="Q53" i="11"/>
  <c r="AO53" i="11"/>
  <c r="J64" i="11"/>
  <c r="AH64" i="11"/>
  <c r="BF64" i="11"/>
  <c r="G190" i="11"/>
  <c r="AF190" i="11"/>
  <c r="BE190" i="11"/>
  <c r="G198" i="11"/>
  <c r="AG198" i="11"/>
  <c r="BG198" i="11"/>
  <c r="J206" i="11"/>
  <c r="AJ206" i="11"/>
  <c r="F228" i="11"/>
  <c r="AG228" i="11"/>
  <c r="W261" i="11"/>
  <c r="BC261" i="11"/>
  <c r="BB283" i="11"/>
  <c r="AW305" i="11"/>
  <c r="AR327" i="11"/>
  <c r="V361" i="11"/>
  <c r="BE361" i="11"/>
  <c r="H376" i="11"/>
  <c r="AT376" i="11"/>
  <c r="BG378" i="11"/>
  <c r="N428" i="11"/>
  <c r="BH53" i="11"/>
  <c r="AA28" i="11"/>
  <c r="AB28" i="11"/>
  <c r="R53" i="11"/>
  <c r="AP53" i="11"/>
  <c r="K64" i="11"/>
  <c r="AI64" i="11"/>
  <c r="BG64" i="11"/>
  <c r="H190" i="11"/>
  <c r="AG190" i="11"/>
  <c r="BF190" i="11"/>
  <c r="H198" i="11"/>
  <c r="AH198" i="11"/>
  <c r="BH198" i="11"/>
  <c r="K206" i="11"/>
  <c r="AK206" i="11"/>
  <c r="G228" i="11"/>
  <c r="AH228" i="11"/>
  <c r="X261" i="11"/>
  <c r="BD261" i="11"/>
  <c r="BC283" i="11"/>
  <c r="AX305" i="11"/>
  <c r="AZ327" i="11"/>
  <c r="L350" i="11"/>
  <c r="AJ350" i="11"/>
  <c r="BH350" i="11"/>
  <c r="W361" i="11"/>
  <c r="BF361" i="11"/>
  <c r="I376" i="11"/>
  <c r="AU376" i="11"/>
  <c r="P395" i="11"/>
  <c r="P428" i="11"/>
  <c r="E28" i="11"/>
  <c r="L64" i="11"/>
  <c r="BH64" i="11"/>
  <c r="I190" i="11"/>
  <c r="AH190" i="11"/>
  <c r="BG190" i="11"/>
  <c r="I198" i="11"/>
  <c r="AI198" i="11"/>
  <c r="BI198" i="11"/>
  <c r="L206" i="11"/>
  <c r="AL206" i="11"/>
  <c r="H228" i="11"/>
  <c r="AK228" i="11"/>
  <c r="Y261" i="11"/>
  <c r="BI261" i="11"/>
  <c r="BD283" i="11"/>
  <c r="AY305" i="11"/>
  <c r="BH327" i="11"/>
  <c r="J376" i="11"/>
  <c r="AW376" i="11"/>
  <c r="S395" i="11"/>
  <c r="Q428" i="11"/>
  <c r="L53" i="11"/>
  <c r="AY28" i="11"/>
  <c r="AZ28" i="11"/>
  <c r="AC28" i="11"/>
  <c r="BA28" i="11"/>
  <c r="S53" i="11"/>
  <c r="AQ53" i="11"/>
  <c r="AJ64" i="11"/>
  <c r="F28" i="11"/>
  <c r="AD28" i="11"/>
  <c r="BB28" i="11"/>
  <c r="T53" i="11"/>
  <c r="AR53" i="11"/>
  <c r="M64" i="11"/>
  <c r="AK64" i="11"/>
  <c r="BI64" i="11"/>
  <c r="N155" i="11"/>
  <c r="J190" i="11"/>
  <c r="AI190" i="11"/>
  <c r="BH190" i="11"/>
  <c r="J198" i="11"/>
  <c r="AJ198" i="11"/>
  <c r="M206" i="11"/>
  <c r="AM206" i="11"/>
  <c r="AJ209" i="11"/>
  <c r="I228" i="11"/>
  <c r="AL228" i="11"/>
  <c r="AA261" i="11"/>
  <c r="E283" i="11"/>
  <c r="BH284" i="11"/>
  <c r="J287" i="11"/>
  <c r="AH287" i="11"/>
  <c r="J295" i="11"/>
  <c r="AH295" i="11"/>
  <c r="BF295" i="11"/>
  <c r="AZ305" i="11"/>
  <c r="J317" i="11"/>
  <c r="AH317" i="11"/>
  <c r="V339" i="11"/>
  <c r="AT339" i="11"/>
  <c r="N350" i="11"/>
  <c r="AL350" i="11"/>
  <c r="AB361" i="11"/>
  <c r="BI361" i="11"/>
  <c r="K376" i="11"/>
  <c r="AX376" i="11"/>
  <c r="U395" i="11"/>
  <c r="T428" i="11"/>
  <c r="P429" i="11"/>
  <c r="BB429" i="11"/>
  <c r="N64" i="11"/>
  <c r="AL64" i="11"/>
  <c r="K190" i="11"/>
  <c r="AJ190" i="11"/>
  <c r="K198" i="11"/>
  <c r="N206" i="11"/>
  <c r="J228" i="11"/>
  <c r="L376" i="11"/>
  <c r="AZ376" i="11"/>
  <c r="B45" i="38"/>
  <c r="B29" i="38"/>
  <c r="B28" i="38"/>
  <c r="B31" i="38"/>
  <c r="B12" i="38"/>
  <c r="B13" i="38"/>
  <c r="B14" i="38"/>
  <c r="B43" i="38"/>
  <c r="B21" i="38"/>
  <c r="B24" i="38"/>
  <c r="B9" i="38"/>
  <c r="B11" i="38"/>
  <c r="B37" i="38"/>
  <c r="B61" i="38"/>
  <c r="B42" i="38"/>
  <c r="B30" i="38"/>
  <c r="B38" i="38"/>
  <c r="B39" i="38"/>
  <c r="B18" i="38"/>
  <c r="B10" i="38"/>
  <c r="B15" i="38"/>
  <c r="B40" i="38"/>
  <c r="B41" i="38"/>
  <c r="B26" i="38"/>
  <c r="B17" i="38"/>
  <c r="B36" i="38"/>
  <c r="B50" i="38"/>
  <c r="B19" i="38"/>
  <c r="B54" i="38"/>
  <c r="B20" i="38"/>
  <c r="B44" i="38"/>
  <c r="B51" i="38"/>
  <c r="B59" i="38"/>
  <c r="B22" i="38"/>
  <c r="B46" i="38"/>
  <c r="B23" i="38"/>
  <c r="B47" i="38"/>
  <c r="B48" i="38"/>
  <c r="B49" i="38"/>
  <c r="B25" i="38"/>
  <c r="B27" i="38"/>
  <c r="B52" i="38"/>
  <c r="B35" i="38"/>
  <c r="B53" i="38"/>
  <c r="B55" i="38"/>
  <c r="B32" i="38"/>
  <c r="B56" i="38"/>
  <c r="B33" i="38"/>
  <c r="B8" i="38"/>
  <c r="B57" i="38"/>
  <c r="B60" i="38"/>
  <c r="B34" i="38"/>
  <c r="B58" i="38"/>
  <c r="I3" i="38"/>
  <c r="J3" i="38"/>
  <c r="K3" i="38"/>
  <c r="L3" i="38"/>
  <c r="M3" i="38"/>
  <c r="N3" i="38"/>
  <c r="O3" i="38"/>
  <c r="B7" i="38"/>
  <c r="P3" i="38"/>
  <c r="Q3" i="38"/>
  <c r="R3" i="38"/>
  <c r="S3" i="38"/>
  <c r="T3" i="38"/>
  <c r="B6" i="38"/>
  <c r="D3" i="38"/>
  <c r="B16" i="38"/>
  <c r="B5" i="38"/>
  <c r="E3" i="38"/>
  <c r="F3" i="38"/>
  <c r="G3" i="38"/>
  <c r="H3" i="38"/>
  <c r="AA209" i="11"/>
  <c r="P220" i="11"/>
  <c r="X231" i="11"/>
  <c r="F250" i="11"/>
  <c r="AF253" i="11"/>
  <c r="AI188" i="22"/>
  <c r="AR190" i="11"/>
  <c r="T190" i="11"/>
  <c r="AI196" i="22"/>
  <c r="AP198" i="11"/>
  <c r="R198" i="11"/>
  <c r="AO198" i="11"/>
  <c r="Q198" i="11"/>
  <c r="AI204" i="22"/>
  <c r="AO206" i="11"/>
  <c r="Q206" i="11"/>
  <c r="AN206" i="11"/>
  <c r="P206" i="11"/>
  <c r="AI226" i="22"/>
  <c r="BH228" i="11"/>
  <c r="AJ228" i="11"/>
  <c r="L228" i="11"/>
  <c r="BG228" i="11"/>
  <c r="AI228" i="11"/>
  <c r="K228" i="11"/>
  <c r="AQ228" i="11"/>
  <c r="S228" i="11"/>
  <c r="AI143" i="22"/>
  <c r="AL261" i="11"/>
  <c r="N261" i="11"/>
  <c r="BH261" i="11"/>
  <c r="AJ261" i="11"/>
  <c r="L261" i="11"/>
  <c r="BG261" i="11"/>
  <c r="AI261" i="11"/>
  <c r="K261" i="11"/>
  <c r="BF261" i="11"/>
  <c r="AH261" i="11"/>
  <c r="J261" i="11"/>
  <c r="BE261" i="11"/>
  <c r="AG261" i="11"/>
  <c r="I261" i="11"/>
  <c r="AX261" i="11"/>
  <c r="Z261" i="11"/>
  <c r="AQ261" i="11"/>
  <c r="S261" i="11"/>
  <c r="AI339" i="22"/>
  <c r="BE275" i="11"/>
  <c r="Q275" i="11"/>
  <c r="AI281" i="22"/>
  <c r="AU283" i="11"/>
  <c r="W283" i="11"/>
  <c r="AT283" i="11"/>
  <c r="V283" i="11"/>
  <c r="AS283" i="11"/>
  <c r="U283" i="11"/>
  <c r="AR283" i="11"/>
  <c r="T283" i="11"/>
  <c r="AQ283" i="11"/>
  <c r="S283" i="11"/>
  <c r="AP283" i="11"/>
  <c r="R283" i="11"/>
  <c r="AL283" i="11"/>
  <c r="N283" i="11"/>
  <c r="BI283" i="11"/>
  <c r="AK283" i="11"/>
  <c r="M283" i="11"/>
  <c r="BH283" i="11"/>
  <c r="AJ283" i="11"/>
  <c r="L283" i="11"/>
  <c r="BG283" i="11"/>
  <c r="AI283" i="11"/>
  <c r="K283" i="11"/>
  <c r="BF283" i="11"/>
  <c r="AH283" i="11"/>
  <c r="J283" i="11"/>
  <c r="BE283" i="11"/>
  <c r="AG283" i="11"/>
  <c r="I283" i="11"/>
  <c r="AZ283" i="11"/>
  <c r="AB283" i="11"/>
  <c r="AI303" i="22"/>
  <c r="AV305" i="11"/>
  <c r="X305" i="11"/>
  <c r="AU305" i="11"/>
  <c r="W305" i="11"/>
  <c r="AT305" i="11"/>
  <c r="V305" i="11"/>
  <c r="AS305" i="11"/>
  <c r="U305" i="11"/>
  <c r="AR305" i="11"/>
  <c r="T305" i="11"/>
  <c r="AQ305" i="11"/>
  <c r="S305" i="11"/>
  <c r="AP305" i="11"/>
  <c r="R305" i="11"/>
  <c r="AN305" i="11"/>
  <c r="P305" i="11"/>
  <c r="AM305" i="11"/>
  <c r="O305" i="11"/>
  <c r="AL305" i="11"/>
  <c r="N305" i="11"/>
  <c r="BI305" i="11"/>
  <c r="AK305" i="11"/>
  <c r="M305" i="11"/>
  <c r="BH305" i="11"/>
  <c r="AJ305" i="11"/>
  <c r="L305" i="11"/>
  <c r="BG305" i="11"/>
  <c r="AI305" i="11"/>
  <c r="K305" i="11"/>
  <c r="BF305" i="11"/>
  <c r="AH305" i="11"/>
  <c r="J305" i="11"/>
  <c r="BD305" i="11"/>
  <c r="AF305" i="11"/>
  <c r="H305" i="11"/>
  <c r="BC305" i="11"/>
  <c r="AE305" i="11"/>
  <c r="G305" i="11"/>
  <c r="BB305" i="11"/>
  <c r="AD305" i="11"/>
  <c r="F305" i="11"/>
  <c r="BA305" i="11"/>
  <c r="AC305" i="11"/>
  <c r="E305" i="11"/>
  <c r="AI325" i="22"/>
  <c r="BG327" i="11"/>
  <c r="AI327" i="11"/>
  <c r="K327" i="11"/>
  <c r="BF327" i="11"/>
  <c r="AH327" i="11"/>
  <c r="J327" i="11"/>
  <c r="BE327" i="11"/>
  <c r="AG327" i="11"/>
  <c r="I327" i="11"/>
  <c r="BD327" i="11"/>
  <c r="AF327" i="11"/>
  <c r="H327" i="11"/>
  <c r="BC327" i="11"/>
  <c r="AE327" i="11"/>
  <c r="G327" i="11"/>
  <c r="BB327" i="11"/>
  <c r="AD327" i="11"/>
  <c r="F327" i="11"/>
  <c r="BA327" i="11"/>
  <c r="AC327" i="11"/>
  <c r="E327" i="11"/>
  <c r="AY327" i="11"/>
  <c r="AA327" i="11"/>
  <c r="AX327" i="11"/>
  <c r="Z327" i="11"/>
  <c r="AW327" i="11"/>
  <c r="Y327" i="11"/>
  <c r="AV327" i="11"/>
  <c r="X327" i="11"/>
  <c r="AU327" i="11"/>
  <c r="W327" i="11"/>
  <c r="AT327" i="11"/>
  <c r="V327" i="11"/>
  <c r="AS327" i="11"/>
  <c r="U327" i="11"/>
  <c r="AQ327" i="11"/>
  <c r="S327" i="11"/>
  <c r="AP327" i="11"/>
  <c r="R327" i="11"/>
  <c r="AO327" i="11"/>
  <c r="Q327" i="11"/>
  <c r="AN327" i="11"/>
  <c r="P327" i="11"/>
  <c r="AI375" i="22"/>
  <c r="AL377" i="11"/>
  <c r="N377" i="11"/>
  <c r="BI377" i="11"/>
  <c r="AK377" i="11"/>
  <c r="M377" i="11"/>
  <c r="BH377" i="11"/>
  <c r="AJ377" i="11"/>
  <c r="L377" i="11"/>
  <c r="BG377" i="11"/>
  <c r="AI377" i="11"/>
  <c r="K377" i="11"/>
  <c r="BF377" i="11"/>
  <c r="AH377" i="11"/>
  <c r="J377" i="11"/>
  <c r="BE377" i="11"/>
  <c r="AG377" i="11"/>
  <c r="I377" i="11"/>
  <c r="BD377" i="11"/>
  <c r="AF377" i="11"/>
  <c r="H377" i="11"/>
  <c r="BC377" i="11"/>
  <c r="AE377" i="11"/>
  <c r="G377" i="11"/>
  <c r="BB377" i="11"/>
  <c r="AD377" i="11"/>
  <c r="F377" i="11"/>
  <c r="BA377" i="11"/>
  <c r="AC377" i="11"/>
  <c r="E377" i="11"/>
  <c r="AZ377" i="11"/>
  <c r="AB377" i="11"/>
  <c r="AY377" i="11"/>
  <c r="AA377" i="11"/>
  <c r="AX377" i="11"/>
  <c r="Z377" i="11"/>
  <c r="AW377" i="11"/>
  <c r="Y377" i="11"/>
  <c r="AV377" i="11"/>
  <c r="X377" i="11"/>
  <c r="AU377" i="11"/>
  <c r="W377" i="11"/>
  <c r="AT377" i="11"/>
  <c r="V377" i="11"/>
  <c r="AS377" i="11"/>
  <c r="U377" i="11"/>
  <c r="AR377" i="11"/>
  <c r="T377" i="11"/>
  <c r="AQ377" i="11"/>
  <c r="S377" i="11"/>
  <c r="AI169" i="22"/>
  <c r="AV408" i="11"/>
  <c r="AY255" i="11"/>
  <c r="BE419" i="11"/>
  <c r="BC419" i="11"/>
  <c r="BB419" i="11"/>
  <c r="AZ419" i="11"/>
  <c r="AU419" i="11"/>
  <c r="AT419" i="11"/>
  <c r="AB419" i="11"/>
  <c r="Z419" i="11"/>
  <c r="Y419" i="11"/>
  <c r="W419" i="11"/>
  <c r="N419" i="11"/>
  <c r="AI172" i="22"/>
  <c r="AL174" i="11"/>
  <c r="AI207" i="22"/>
  <c r="BG209" i="11"/>
  <c r="AI209" i="11"/>
  <c r="K209" i="11"/>
  <c r="BF209" i="11"/>
  <c r="AH209" i="11"/>
  <c r="J209" i="11"/>
  <c r="AI248" i="22"/>
  <c r="BH250" i="11"/>
  <c r="AJ250" i="11"/>
  <c r="L250" i="11"/>
  <c r="BG250" i="11"/>
  <c r="AI250" i="11"/>
  <c r="K250" i="11"/>
  <c r="BE250" i="11"/>
  <c r="AG250" i="11"/>
  <c r="I250" i="11"/>
  <c r="AQ250" i="11"/>
  <c r="S250" i="11"/>
  <c r="AI284" i="22"/>
  <c r="AW286" i="11"/>
  <c r="Y286" i="11"/>
  <c r="AV286" i="11"/>
  <c r="X286" i="11"/>
  <c r="AU286" i="11"/>
  <c r="W286" i="11"/>
  <c r="AT286" i="11"/>
  <c r="V286" i="11"/>
  <c r="AS286" i="11"/>
  <c r="U286" i="11"/>
  <c r="AR286" i="11"/>
  <c r="T286" i="11"/>
  <c r="AQ286" i="11"/>
  <c r="S286" i="11"/>
  <c r="AN286" i="11"/>
  <c r="P286" i="11"/>
  <c r="AM286" i="11"/>
  <c r="O286" i="11"/>
  <c r="AL286" i="11"/>
  <c r="N286" i="11"/>
  <c r="BI286" i="11"/>
  <c r="AK286" i="11"/>
  <c r="M286" i="11"/>
  <c r="BH286" i="11"/>
  <c r="AJ286" i="11"/>
  <c r="L286" i="11"/>
  <c r="BG286" i="11"/>
  <c r="AI286" i="11"/>
  <c r="K286" i="11"/>
  <c r="BC286" i="11"/>
  <c r="AE286" i="11"/>
  <c r="G286" i="11"/>
  <c r="BB286" i="11"/>
  <c r="AD286" i="11"/>
  <c r="F286" i="11"/>
  <c r="AI317" i="22"/>
  <c r="BH319" i="11"/>
  <c r="BF319" i="11"/>
  <c r="AZ319" i="11"/>
  <c r="AW319" i="11"/>
  <c r="AS319" i="11"/>
  <c r="AN319" i="11"/>
  <c r="AM319" i="11"/>
  <c r="AJ319" i="11"/>
  <c r="AH319" i="11"/>
  <c r="AB319" i="11"/>
  <c r="Y319" i="11"/>
  <c r="U319" i="11"/>
  <c r="P319" i="11"/>
  <c r="O319" i="11"/>
  <c r="L319" i="11"/>
  <c r="J319" i="11"/>
  <c r="AI361" i="22"/>
  <c r="BC363" i="11"/>
  <c r="AE363" i="11"/>
  <c r="G363" i="11"/>
  <c r="BB363" i="11"/>
  <c r="AD363" i="11"/>
  <c r="F363" i="11"/>
  <c r="BA363" i="11"/>
  <c r="AC363" i="11"/>
  <c r="E363" i="11"/>
  <c r="AZ363" i="11"/>
  <c r="AB363" i="11"/>
  <c r="AY363" i="11"/>
  <c r="AA363" i="11"/>
  <c r="AX363" i="11"/>
  <c r="Z363" i="11"/>
  <c r="AW363" i="11"/>
  <c r="Y363" i="11"/>
  <c r="AV363" i="11"/>
  <c r="X363" i="11"/>
  <c r="AU363" i="11"/>
  <c r="W363" i="11"/>
  <c r="AT363" i="11"/>
  <c r="V363" i="11"/>
  <c r="AS363" i="11"/>
  <c r="U363" i="11"/>
  <c r="AR363" i="11"/>
  <c r="T363" i="11"/>
  <c r="AQ363" i="11"/>
  <c r="S363" i="11"/>
  <c r="AP363" i="11"/>
  <c r="R363" i="11"/>
  <c r="AO363" i="11"/>
  <c r="Q363" i="11"/>
  <c r="AN363" i="11"/>
  <c r="P363" i="11"/>
  <c r="AM363" i="11"/>
  <c r="O363" i="11"/>
  <c r="AL363" i="11"/>
  <c r="N363" i="11"/>
  <c r="BI363" i="11"/>
  <c r="AK363" i="11"/>
  <c r="M363" i="11"/>
  <c r="BH363" i="11"/>
  <c r="AJ363" i="11"/>
  <c r="L363" i="11"/>
  <c r="AI395" i="22"/>
  <c r="BC397" i="11"/>
  <c r="AY397" i="11"/>
  <c r="AI403" i="22"/>
  <c r="Q405" i="11"/>
  <c r="AI56" i="22"/>
  <c r="AK441" i="11"/>
  <c r="J441" i="11"/>
  <c r="AJ441" i="11"/>
  <c r="I441" i="11"/>
  <c r="BI441" i="11"/>
  <c r="AH441" i="11"/>
  <c r="H441" i="11"/>
  <c r="BH441" i="11"/>
  <c r="AG441" i="11"/>
  <c r="G441" i="11"/>
  <c r="BF441" i="11"/>
  <c r="AF441" i="11"/>
  <c r="F441" i="11"/>
  <c r="BE441" i="11"/>
  <c r="AE441" i="11"/>
  <c r="E441" i="11"/>
  <c r="BD441" i="11"/>
  <c r="AD441" i="11"/>
  <c r="BC441" i="11"/>
  <c r="AC441" i="11"/>
  <c r="BB441" i="11"/>
  <c r="AB441" i="11"/>
  <c r="BA441" i="11"/>
  <c r="AA441" i="11"/>
  <c r="AZ441" i="11"/>
  <c r="Z441" i="11"/>
  <c r="AY441" i="11"/>
  <c r="Y441" i="11"/>
  <c r="AX441" i="11"/>
  <c r="X441" i="11"/>
  <c r="AW441" i="11"/>
  <c r="W441" i="11"/>
  <c r="AV441" i="11"/>
  <c r="V441" i="11"/>
  <c r="AU441" i="11"/>
  <c r="T441" i="11"/>
  <c r="AT441" i="11"/>
  <c r="S441" i="11"/>
  <c r="AR441" i="11"/>
  <c r="R441" i="11"/>
  <c r="AQ441" i="11"/>
  <c r="Q441" i="11"/>
  <c r="AP441" i="11"/>
  <c r="P441" i="11"/>
  <c r="AO441" i="11"/>
  <c r="O441" i="11"/>
  <c r="AI442" i="22"/>
  <c r="BH444" i="11"/>
  <c r="BG444" i="11"/>
  <c r="AV444" i="11"/>
  <c r="AU444" i="11"/>
  <c r="AS444" i="11"/>
  <c r="AL444" i="11"/>
  <c r="X444" i="11"/>
  <c r="O444" i="11"/>
  <c r="N444" i="11"/>
  <c r="J444" i="11"/>
  <c r="AI218" i="22"/>
  <c r="AR220" i="11"/>
  <c r="T220" i="11"/>
  <c r="AQ220" i="11"/>
  <c r="S220" i="11"/>
  <c r="AI229" i="22"/>
  <c r="BI231" i="11"/>
  <c r="AK231" i="11"/>
  <c r="M231" i="11"/>
  <c r="BH231" i="11"/>
  <c r="AJ231" i="11"/>
  <c r="L231" i="11"/>
  <c r="AR231" i="11"/>
  <c r="T231" i="11"/>
  <c r="AI251" i="22"/>
  <c r="AT253" i="11"/>
  <c r="V253" i="11"/>
  <c r="AS253" i="11"/>
  <c r="U253" i="11"/>
  <c r="AQ253" i="11"/>
  <c r="S253" i="11"/>
  <c r="BA253" i="11"/>
  <c r="AC253" i="11"/>
  <c r="E253" i="11"/>
  <c r="BI443" i="11"/>
  <c r="BD264" i="11"/>
  <c r="AF264" i="11"/>
  <c r="H264" i="11"/>
  <c r="BC264" i="11"/>
  <c r="AE264" i="11"/>
  <c r="G264" i="11"/>
  <c r="BB264" i="11"/>
  <c r="AD264" i="11"/>
  <c r="F264" i="11"/>
  <c r="BA264" i="11"/>
  <c r="AC264" i="11"/>
  <c r="E264" i="11"/>
  <c r="AZ264" i="11"/>
  <c r="AB264" i="11"/>
  <c r="AY264" i="11"/>
  <c r="AA264" i="11"/>
  <c r="AS264" i="11"/>
  <c r="U264" i="11"/>
  <c r="AR264" i="11"/>
  <c r="T264" i="11"/>
  <c r="BI264" i="11"/>
  <c r="AK264" i="11"/>
  <c r="M264" i="11"/>
  <c r="AI356" i="22"/>
  <c r="AT289" i="11"/>
  <c r="V289" i="11"/>
  <c r="AS289" i="11"/>
  <c r="U289" i="11"/>
  <c r="AR289" i="11"/>
  <c r="T289" i="11"/>
  <c r="AQ289" i="11"/>
  <c r="S289" i="11"/>
  <c r="AP289" i="11"/>
  <c r="R289" i="11"/>
  <c r="AO289" i="11"/>
  <c r="Q289" i="11"/>
  <c r="AN289" i="11"/>
  <c r="P289" i="11"/>
  <c r="BI289" i="11"/>
  <c r="AK289" i="11"/>
  <c r="M289" i="11"/>
  <c r="BH289" i="11"/>
  <c r="AJ289" i="11"/>
  <c r="L289" i="11"/>
  <c r="BG289" i="11"/>
  <c r="AI289" i="11"/>
  <c r="K289" i="11"/>
  <c r="BF289" i="11"/>
  <c r="AH289" i="11"/>
  <c r="J289" i="11"/>
  <c r="BE289" i="11"/>
  <c r="AG289" i="11"/>
  <c r="I289" i="11"/>
  <c r="BD289" i="11"/>
  <c r="AF289" i="11"/>
  <c r="H289" i="11"/>
  <c r="BA289" i="11"/>
  <c r="AC289" i="11"/>
  <c r="E289" i="11"/>
  <c r="AZ289" i="11"/>
  <c r="AB289" i="11"/>
  <c r="AY289" i="11"/>
  <c r="AA289" i="11"/>
  <c r="AI295" i="22"/>
  <c r="AL297" i="11"/>
  <c r="N297" i="11"/>
  <c r="BI297" i="11"/>
  <c r="AK297" i="11"/>
  <c r="M297" i="11"/>
  <c r="BH297" i="11"/>
  <c r="AJ297" i="11"/>
  <c r="L297" i="11"/>
  <c r="BG297" i="11"/>
  <c r="AI297" i="11"/>
  <c r="K297" i="11"/>
  <c r="BF297" i="11"/>
  <c r="AH297" i="11"/>
  <c r="J297" i="11"/>
  <c r="BE297" i="11"/>
  <c r="AG297" i="11"/>
  <c r="I297" i="11"/>
  <c r="BD297" i="11"/>
  <c r="AF297" i="11"/>
  <c r="H297" i="11"/>
  <c r="BB297" i="11"/>
  <c r="AD297" i="11"/>
  <c r="F297" i="11"/>
  <c r="BA297" i="11"/>
  <c r="AC297" i="11"/>
  <c r="E297" i="11"/>
  <c r="AZ297" i="11"/>
  <c r="AB297" i="11"/>
  <c r="AY297" i="11"/>
  <c r="AA297" i="11"/>
  <c r="AX297" i="11"/>
  <c r="Z297" i="11"/>
  <c r="AW297" i="11"/>
  <c r="Y297" i="11"/>
  <c r="AV297" i="11"/>
  <c r="X297" i="11"/>
  <c r="AT297" i="11"/>
  <c r="V297" i="11"/>
  <c r="AS297" i="11"/>
  <c r="U297" i="11"/>
  <c r="AR297" i="11"/>
  <c r="T297" i="11"/>
  <c r="AQ297" i="11"/>
  <c r="S297" i="11"/>
  <c r="AI353" i="22"/>
  <c r="BA355" i="11"/>
  <c r="AL355" i="11"/>
  <c r="AC355" i="11"/>
  <c r="N355" i="11"/>
  <c r="E355" i="11"/>
  <c r="AI262" i="22"/>
  <c r="AP366" i="11"/>
  <c r="L366" i="11"/>
  <c r="AN366" i="11"/>
  <c r="K366" i="11"/>
  <c r="AM366" i="11"/>
  <c r="J366" i="11"/>
  <c r="AL366" i="11"/>
  <c r="I366" i="11"/>
  <c r="AK366" i="11"/>
  <c r="H366" i="11"/>
  <c r="AJ366" i="11"/>
  <c r="G366" i="11"/>
  <c r="AI366" i="11"/>
  <c r="F366" i="11"/>
  <c r="AH366" i="11"/>
  <c r="E366" i="11"/>
  <c r="AG366" i="11"/>
  <c r="BI366" i="11"/>
  <c r="AF366" i="11"/>
  <c r="BH366" i="11"/>
  <c r="AE366" i="11"/>
  <c r="BG366" i="11"/>
  <c r="AD366" i="11"/>
  <c r="BF366" i="11"/>
  <c r="AC366" i="11"/>
  <c r="BE366" i="11"/>
  <c r="AB366" i="11"/>
  <c r="BD366" i="11"/>
  <c r="AA366" i="11"/>
  <c r="BC366" i="11"/>
  <c r="Z366" i="11"/>
  <c r="BB366" i="11"/>
  <c r="Y366" i="11"/>
  <c r="BA366" i="11"/>
  <c r="X366" i="11"/>
  <c r="AZ366" i="11"/>
  <c r="S366" i="11"/>
  <c r="AY366" i="11"/>
  <c r="R366" i="11"/>
  <c r="AI378" i="22"/>
  <c r="AN380" i="11"/>
  <c r="M380" i="11"/>
  <c r="AM380" i="11"/>
  <c r="L380" i="11"/>
  <c r="AL380" i="11"/>
  <c r="K380" i="11"/>
  <c r="AK380" i="11"/>
  <c r="J380" i="11"/>
  <c r="AJ380" i="11"/>
  <c r="I380" i="11"/>
  <c r="AI380" i="11"/>
  <c r="H380" i="11"/>
  <c r="BI380" i="11"/>
  <c r="AH380" i="11"/>
  <c r="G380" i="11"/>
  <c r="BH380" i="11"/>
  <c r="AG380" i="11"/>
  <c r="E380" i="11"/>
  <c r="BG380" i="11"/>
  <c r="AF380" i="11"/>
  <c r="BF380" i="11"/>
  <c r="AE380" i="11"/>
  <c r="BE380" i="11"/>
  <c r="AC380" i="11"/>
  <c r="BD380" i="11"/>
  <c r="AB380" i="11"/>
  <c r="BC380" i="11"/>
  <c r="AA380" i="11"/>
  <c r="BA380" i="11"/>
  <c r="Z380" i="11"/>
  <c r="AZ380" i="11"/>
  <c r="Y380" i="11"/>
  <c r="AY380" i="11"/>
  <c r="X380" i="11"/>
  <c r="AX380" i="11"/>
  <c r="W380" i="11"/>
  <c r="AW380" i="11"/>
  <c r="V380" i="11"/>
  <c r="AV380" i="11"/>
  <c r="U380" i="11"/>
  <c r="AU380" i="11"/>
  <c r="T380" i="11"/>
  <c r="W133" i="11"/>
  <c r="AU133" i="11"/>
  <c r="K147" i="11"/>
  <c r="AI147" i="11"/>
  <c r="BG147" i="11"/>
  <c r="I155" i="11"/>
  <c r="AG155" i="11"/>
  <c r="BE155" i="11"/>
  <c r="U174" i="11"/>
  <c r="AT174" i="11"/>
  <c r="E209" i="11"/>
  <c r="AE209" i="11"/>
  <c r="BE209" i="11"/>
  <c r="V220" i="11"/>
  <c r="AV220" i="11"/>
  <c r="AB231" i="11"/>
  <c r="BC231" i="11"/>
  <c r="M250" i="11"/>
  <c r="AO250" i="11"/>
  <c r="H253" i="11"/>
  <c r="AJ253" i="11"/>
  <c r="AI264" i="11"/>
  <c r="BA286" i="11"/>
  <c r="N289" i="11"/>
  <c r="AO297" i="11"/>
  <c r="AR319" i="11"/>
  <c r="AT380" i="11"/>
  <c r="M441" i="11"/>
  <c r="N441" i="11"/>
  <c r="W174" i="11"/>
  <c r="AV174" i="11"/>
  <c r="G209" i="11"/>
  <c r="AG209" i="11"/>
  <c r="BI209" i="11"/>
  <c r="X220" i="11"/>
  <c r="AX220" i="11"/>
  <c r="AD231" i="11"/>
  <c r="BE231" i="11"/>
  <c r="O250" i="11"/>
  <c r="AR250" i="11"/>
  <c r="J253" i="11"/>
  <c r="AL253" i="11"/>
  <c r="AL264" i="11"/>
  <c r="BE286" i="11"/>
  <c r="W289" i="11"/>
  <c r="AU297" i="11"/>
  <c r="AL441" i="11"/>
  <c r="AM441" i="11"/>
  <c r="O147" i="11"/>
  <c r="AM147" i="11"/>
  <c r="M155" i="11"/>
  <c r="AK155" i="11"/>
  <c r="BI155" i="11"/>
  <c r="Y174" i="11"/>
  <c r="AX174" i="11"/>
  <c r="I209" i="11"/>
  <c r="AK209" i="11"/>
  <c r="Z220" i="11"/>
  <c r="AZ220" i="11"/>
  <c r="E231" i="11"/>
  <c r="AF231" i="11"/>
  <c r="BG231" i="11"/>
  <c r="Q250" i="11"/>
  <c r="AT250" i="11"/>
  <c r="L253" i="11"/>
  <c r="AN253" i="11"/>
  <c r="AN264" i="11"/>
  <c r="Y289" i="11"/>
  <c r="N366" i="11"/>
  <c r="AN441" i="11"/>
  <c r="Z174" i="11"/>
  <c r="AY174" i="11"/>
  <c r="L209" i="11"/>
  <c r="AL209" i="11"/>
  <c r="AA220" i="11"/>
  <c r="BA220" i="11"/>
  <c r="F231" i="11"/>
  <c r="AG231" i="11"/>
  <c r="R250" i="11"/>
  <c r="AU250" i="11"/>
  <c r="M253" i="11"/>
  <c r="AO253" i="11"/>
  <c r="AO264" i="11"/>
  <c r="Z289" i="11"/>
  <c r="H363" i="11"/>
  <c r="O366" i="11"/>
  <c r="Q147" i="11"/>
  <c r="AO147" i="11"/>
  <c r="O155" i="11"/>
  <c r="AM155" i="11"/>
  <c r="AA174" i="11"/>
  <c r="AZ174" i="11"/>
  <c r="M209" i="11"/>
  <c r="AM209" i="11"/>
  <c r="AB220" i="11"/>
  <c r="BB220" i="11"/>
  <c r="G231" i="11"/>
  <c r="AH231" i="11"/>
  <c r="T250" i="11"/>
  <c r="AV250" i="11"/>
  <c r="N253" i="11"/>
  <c r="AP253" i="11"/>
  <c r="AP264" i="11"/>
  <c r="E286" i="11"/>
  <c r="AD289" i="11"/>
  <c r="I363" i="11"/>
  <c r="P366" i="11"/>
  <c r="R147" i="11"/>
  <c r="AP147" i="11"/>
  <c r="P155" i="11"/>
  <c r="AN155" i="11"/>
  <c r="AB174" i="11"/>
  <c r="BA174" i="11"/>
  <c r="N209" i="11"/>
  <c r="AN209" i="11"/>
  <c r="AC220" i="11"/>
  <c r="BC220" i="11"/>
  <c r="H231" i="11"/>
  <c r="AI231" i="11"/>
  <c r="U250" i="11"/>
  <c r="AW250" i="11"/>
  <c r="O253" i="11"/>
  <c r="AR253" i="11"/>
  <c r="I264" i="11"/>
  <c r="AQ264" i="11"/>
  <c r="H286" i="11"/>
  <c r="AE289" i="11"/>
  <c r="J363" i="11"/>
  <c r="AQ366" i="11"/>
  <c r="S147" i="11"/>
  <c r="AQ147" i="11"/>
  <c r="Q155" i="11"/>
  <c r="AO155" i="11"/>
  <c r="E174" i="11"/>
  <c r="AC174" i="11"/>
  <c r="BB174" i="11"/>
  <c r="O209" i="11"/>
  <c r="AO209" i="11"/>
  <c r="AD220" i="11"/>
  <c r="BD220" i="11"/>
  <c r="I231" i="11"/>
  <c r="AL231" i="11"/>
  <c r="V250" i="11"/>
  <c r="AX250" i="11"/>
  <c r="P253" i="11"/>
  <c r="AU253" i="11"/>
  <c r="J264" i="11"/>
  <c r="AT264" i="11"/>
  <c r="I286" i="11"/>
  <c r="AL289" i="11"/>
  <c r="K363" i="11"/>
  <c r="AV366" i="11"/>
  <c r="AA125" i="11"/>
  <c r="AY125" i="11"/>
  <c r="H133" i="11"/>
  <c r="AF133" i="11"/>
  <c r="BD133" i="11"/>
  <c r="T147" i="11"/>
  <c r="AR147" i="11"/>
  <c r="R155" i="11"/>
  <c r="AP155" i="11"/>
  <c r="F174" i="11"/>
  <c r="AD174" i="11"/>
  <c r="BC174" i="11"/>
  <c r="P209" i="11"/>
  <c r="AP209" i="11"/>
  <c r="E220" i="11"/>
  <c r="AE220" i="11"/>
  <c r="BE220" i="11"/>
  <c r="J231" i="11"/>
  <c r="AM231" i="11"/>
  <c r="W250" i="11"/>
  <c r="AY250" i="11"/>
  <c r="Q253" i="11"/>
  <c r="AV253" i="11"/>
  <c r="K264" i="11"/>
  <c r="AU264" i="11"/>
  <c r="J286" i="11"/>
  <c r="AM289" i="11"/>
  <c r="AF363" i="11"/>
  <c r="AW366" i="11"/>
  <c r="AB125" i="11"/>
  <c r="AZ125" i="11"/>
  <c r="I133" i="11"/>
  <c r="AG133" i="11"/>
  <c r="BE133" i="11"/>
  <c r="U147" i="11"/>
  <c r="AS147" i="11"/>
  <c r="S155" i="11"/>
  <c r="AQ155" i="11"/>
  <c r="G174" i="11"/>
  <c r="AE174" i="11"/>
  <c r="BD174" i="11"/>
  <c r="Q209" i="11"/>
  <c r="AQ209" i="11"/>
  <c r="F220" i="11"/>
  <c r="AF220" i="11"/>
  <c r="BF220" i="11"/>
  <c r="K231" i="11"/>
  <c r="AN231" i="11"/>
  <c r="X250" i="11"/>
  <c r="AZ250" i="11"/>
  <c r="R253" i="11"/>
  <c r="AW253" i="11"/>
  <c r="L264" i="11"/>
  <c r="AV264" i="11"/>
  <c r="AW283" i="11"/>
  <c r="Q286" i="11"/>
  <c r="AU289" i="11"/>
  <c r="AG363" i="11"/>
  <c r="AX366" i="11"/>
  <c r="H174" i="11"/>
  <c r="AF174" i="11"/>
  <c r="BE174" i="11"/>
  <c r="L182" i="11"/>
  <c r="R209" i="11"/>
  <c r="AR209" i="11"/>
  <c r="G220" i="11"/>
  <c r="AG220" i="11"/>
  <c r="BG220" i="11"/>
  <c r="N231" i="11"/>
  <c r="AO231" i="11"/>
  <c r="Y250" i="11"/>
  <c r="BA250" i="11"/>
  <c r="T253" i="11"/>
  <c r="AX253" i="11"/>
  <c r="N264" i="11"/>
  <c r="AW264" i="11"/>
  <c r="R286" i="11"/>
  <c r="AV289" i="11"/>
  <c r="AH363" i="11"/>
  <c r="I174" i="11"/>
  <c r="AG174" i="11"/>
  <c r="BF174" i="11"/>
  <c r="AJ182" i="11"/>
  <c r="S209" i="11"/>
  <c r="AS209" i="11"/>
  <c r="H220" i="11"/>
  <c r="AH220" i="11"/>
  <c r="BH220" i="11"/>
  <c r="O231" i="11"/>
  <c r="AP231" i="11"/>
  <c r="Z250" i="11"/>
  <c r="BB250" i="11"/>
  <c r="W253" i="11"/>
  <c r="AY253" i="11"/>
  <c r="O264" i="11"/>
  <c r="AX264" i="11"/>
  <c r="Z286" i="11"/>
  <c r="AW289" i="11"/>
  <c r="AI363" i="11"/>
  <c r="J174" i="11"/>
  <c r="AH174" i="11"/>
  <c r="BG174" i="11"/>
  <c r="BH182" i="11"/>
  <c r="T209" i="11"/>
  <c r="AT209" i="11"/>
  <c r="I220" i="11"/>
  <c r="AI220" i="11"/>
  <c r="BI220" i="11"/>
  <c r="P231" i="11"/>
  <c r="AQ231" i="11"/>
  <c r="AA250" i="11"/>
  <c r="BC250" i="11"/>
  <c r="X253" i="11"/>
  <c r="AZ253" i="11"/>
  <c r="P264" i="11"/>
  <c r="BE264" i="11"/>
  <c r="AA286" i="11"/>
  <c r="AX289" i="11"/>
  <c r="BD363" i="11"/>
  <c r="W25" i="11"/>
  <c r="K31" i="11"/>
  <c r="AI31" i="11"/>
  <c r="BG31" i="11"/>
  <c r="E42" i="11"/>
  <c r="AC42" i="11"/>
  <c r="BA42" i="11"/>
  <c r="Y48" i="11"/>
  <c r="AW48" i="11"/>
  <c r="Q56" i="11"/>
  <c r="AO56" i="11"/>
  <c r="H67" i="11"/>
  <c r="AF67" i="11"/>
  <c r="BD67" i="11"/>
  <c r="N70" i="11"/>
  <c r="M78" i="11"/>
  <c r="AK78" i="11"/>
  <c r="BI78" i="11"/>
  <c r="AA81" i="11"/>
  <c r="O89" i="11"/>
  <c r="AM89" i="11"/>
  <c r="Y97" i="11"/>
  <c r="AW97" i="11"/>
  <c r="L105" i="11"/>
  <c r="AJ105" i="11"/>
  <c r="BH105" i="11"/>
  <c r="F108" i="11"/>
  <c r="AD108" i="11"/>
  <c r="BB108" i="11"/>
  <c r="H125" i="11"/>
  <c r="AF125" i="11"/>
  <c r="BD125" i="11"/>
  <c r="M133" i="11"/>
  <c r="AK133" i="11"/>
  <c r="BI133" i="11"/>
  <c r="Y147" i="11"/>
  <c r="AW147" i="11"/>
  <c r="W155" i="11"/>
  <c r="AU155" i="11"/>
  <c r="K174" i="11"/>
  <c r="AI174" i="11"/>
  <c r="BH174" i="11"/>
  <c r="U209" i="11"/>
  <c r="AU209" i="11"/>
  <c r="J220" i="11"/>
  <c r="AJ220" i="11"/>
  <c r="Q231" i="11"/>
  <c r="AS231" i="11"/>
  <c r="AB250" i="11"/>
  <c r="BD250" i="11"/>
  <c r="Y253" i="11"/>
  <c r="BB253" i="11"/>
  <c r="Q264" i="11"/>
  <c r="BF264" i="11"/>
  <c r="AB286" i="11"/>
  <c r="BB289" i="11"/>
  <c r="BE363" i="11"/>
  <c r="R56" i="11"/>
  <c r="AP56" i="11"/>
  <c r="I67" i="11"/>
  <c r="AG67" i="11"/>
  <c r="BE67" i="11"/>
  <c r="W70" i="11"/>
  <c r="N78" i="11"/>
  <c r="AL78" i="11"/>
  <c r="AG81" i="11"/>
  <c r="P89" i="11"/>
  <c r="AN89" i="11"/>
  <c r="Z97" i="11"/>
  <c r="AX97" i="11"/>
  <c r="M105" i="11"/>
  <c r="AK105" i="11"/>
  <c r="BI105" i="11"/>
  <c r="G108" i="11"/>
  <c r="AE108" i="11"/>
  <c r="BC108" i="11"/>
  <c r="I125" i="11"/>
  <c r="AG125" i="11"/>
  <c r="BE125" i="11"/>
  <c r="N133" i="11"/>
  <c r="AL133" i="11"/>
  <c r="Z147" i="11"/>
  <c r="AX147" i="11"/>
  <c r="X155" i="11"/>
  <c r="AV155" i="11"/>
  <c r="L174" i="11"/>
  <c r="AJ174" i="11"/>
  <c r="BI174" i="11"/>
  <c r="V209" i="11"/>
  <c r="AV209" i="11"/>
  <c r="K220" i="11"/>
  <c r="AK220" i="11"/>
  <c r="R231" i="11"/>
  <c r="AT231" i="11"/>
  <c r="AC250" i="11"/>
  <c r="BF250" i="11"/>
  <c r="Z253" i="11"/>
  <c r="BC253" i="11"/>
  <c r="R264" i="11"/>
  <c r="BG264" i="11"/>
  <c r="AC286" i="11"/>
  <c r="BC289" i="11"/>
  <c r="G297" i="11"/>
  <c r="BF363" i="11"/>
  <c r="AA147" i="11"/>
  <c r="AY147" i="11"/>
  <c r="Y155" i="11"/>
  <c r="AW155" i="11"/>
  <c r="M174" i="11"/>
  <c r="AK174" i="11"/>
  <c r="W209" i="11"/>
  <c r="AW209" i="11"/>
  <c r="L220" i="11"/>
  <c r="AL220" i="11"/>
  <c r="S231" i="11"/>
  <c r="AU231" i="11"/>
  <c r="AD250" i="11"/>
  <c r="BI250" i="11"/>
  <c r="AA253" i="11"/>
  <c r="BD253" i="11"/>
  <c r="S264" i="11"/>
  <c r="BH264" i="11"/>
  <c r="AF286" i="11"/>
  <c r="O297" i="11"/>
  <c r="BG363" i="11"/>
  <c r="O377" i="11"/>
  <c r="K67" i="11"/>
  <c r="AI67" i="11"/>
  <c r="BG67" i="11"/>
  <c r="AB70" i="11"/>
  <c r="P78" i="11"/>
  <c r="AN78" i="11"/>
  <c r="AY81" i="11"/>
  <c r="R89" i="11"/>
  <c r="AP89" i="11"/>
  <c r="AB97" i="11"/>
  <c r="AZ97" i="11"/>
  <c r="O105" i="11"/>
  <c r="AM105" i="11"/>
  <c r="I108" i="11"/>
  <c r="AG108" i="11"/>
  <c r="BE108" i="11"/>
  <c r="K125" i="11"/>
  <c r="AI125" i="11"/>
  <c r="BG125" i="11"/>
  <c r="P133" i="11"/>
  <c r="AN133" i="11"/>
  <c r="AB147" i="11"/>
  <c r="AZ147" i="11"/>
  <c r="Z155" i="11"/>
  <c r="AX155" i="11"/>
  <c r="N174" i="11"/>
  <c r="AM174" i="11"/>
  <c r="X209" i="11"/>
  <c r="AX209" i="11"/>
  <c r="M220" i="11"/>
  <c r="AM220" i="11"/>
  <c r="U231" i="11"/>
  <c r="AV231" i="11"/>
  <c r="AE250" i="11"/>
  <c r="AB253" i="11"/>
  <c r="BE253" i="11"/>
  <c r="V264" i="11"/>
  <c r="AG286" i="11"/>
  <c r="P297" i="11"/>
  <c r="P377" i="11"/>
  <c r="N380" i="11"/>
  <c r="U56" i="11"/>
  <c r="AS56" i="11"/>
  <c r="L67" i="11"/>
  <c r="AJ67" i="11"/>
  <c r="BH67" i="11"/>
  <c r="AC70" i="11"/>
  <c r="Q78" i="11"/>
  <c r="AO78" i="11"/>
  <c r="BE81" i="11"/>
  <c r="S89" i="11"/>
  <c r="AQ89" i="11"/>
  <c r="E97" i="11"/>
  <c r="AC97" i="11"/>
  <c r="BA97" i="11"/>
  <c r="P105" i="11"/>
  <c r="AN105" i="11"/>
  <c r="J108" i="11"/>
  <c r="AH108" i="11"/>
  <c r="BF108" i="11"/>
  <c r="L125" i="11"/>
  <c r="AJ125" i="11"/>
  <c r="BH125" i="11"/>
  <c r="Q133" i="11"/>
  <c r="AO133" i="11"/>
  <c r="E147" i="11"/>
  <c r="AC147" i="11"/>
  <c r="BA147" i="11"/>
  <c r="AA155" i="11"/>
  <c r="AY155" i="11"/>
  <c r="O174" i="11"/>
  <c r="AN174" i="11"/>
  <c r="Y209" i="11"/>
  <c r="AY209" i="11"/>
  <c r="N220" i="11"/>
  <c r="AN220" i="11"/>
  <c r="V231" i="11"/>
  <c r="AW231" i="11"/>
  <c r="AF250" i="11"/>
  <c r="AD253" i="11"/>
  <c r="BF253" i="11"/>
  <c r="W264" i="11"/>
  <c r="H283" i="11"/>
  <c r="AH286" i="11"/>
  <c r="Q297" i="11"/>
  <c r="Q377" i="11"/>
  <c r="O380" i="11"/>
  <c r="V56" i="11"/>
  <c r="AT56" i="11"/>
  <c r="M67" i="11"/>
  <c r="AK67" i="11"/>
  <c r="BI67" i="11"/>
  <c r="AG70" i="11"/>
  <c r="R78" i="11"/>
  <c r="AP78" i="11"/>
  <c r="BF81" i="11"/>
  <c r="T89" i="11"/>
  <c r="AR89" i="11"/>
  <c r="F97" i="11"/>
  <c r="AD97" i="11"/>
  <c r="BB97" i="11"/>
  <c r="Q105" i="11"/>
  <c r="AO105" i="11"/>
  <c r="K108" i="11"/>
  <c r="AI108" i="11"/>
  <c r="BG108" i="11"/>
  <c r="M125" i="11"/>
  <c r="AK125" i="11"/>
  <c r="BI125" i="11"/>
  <c r="R133" i="11"/>
  <c r="AP133" i="11"/>
  <c r="F147" i="11"/>
  <c r="AD147" i="11"/>
  <c r="BB147" i="11"/>
  <c r="AB155" i="11"/>
  <c r="AZ155" i="11"/>
  <c r="P174" i="11"/>
  <c r="AO174" i="11"/>
  <c r="Z209" i="11"/>
  <c r="AZ209" i="11"/>
  <c r="O220" i="11"/>
  <c r="AO220" i="11"/>
  <c r="W231" i="11"/>
  <c r="AX231" i="11"/>
  <c r="E250" i="11"/>
  <c r="AH250" i="11"/>
  <c r="AE253" i="11"/>
  <c r="BG253" i="11"/>
  <c r="X264" i="11"/>
  <c r="AO286" i="11"/>
  <c r="R297" i="11"/>
  <c r="R377" i="11"/>
  <c r="P380" i="11"/>
  <c r="AR444" i="11"/>
  <c r="V300" i="11"/>
  <c r="AT300" i="11"/>
  <c r="J330" i="11"/>
  <c r="AH330" i="11"/>
  <c r="BF330" i="11"/>
  <c r="AD344" i="11"/>
  <c r="M369" i="11"/>
  <c r="AK369" i="11"/>
  <c r="BI369" i="11"/>
  <c r="K433" i="11"/>
  <c r="K330" i="11"/>
  <c r="AI330" i="11"/>
  <c r="BG330" i="11"/>
  <c r="AE344" i="11"/>
  <c r="N369" i="11"/>
  <c r="AL369" i="11"/>
  <c r="Y428" i="11"/>
  <c r="BH428" i="11"/>
  <c r="L433" i="11"/>
  <c r="J439" i="11"/>
  <c r="AD239" i="11"/>
  <c r="AG344" i="11"/>
  <c r="O369" i="11"/>
  <c r="AM369" i="11"/>
  <c r="Z428" i="11"/>
  <c r="BI428" i="11"/>
  <c r="V433" i="11"/>
  <c r="M439" i="11"/>
  <c r="BD433" i="11"/>
  <c r="AS212" i="11"/>
  <c r="P369" i="11"/>
  <c r="AN369" i="11"/>
  <c r="AL319" i="11"/>
  <c r="AW325" i="11"/>
  <c r="AN372" i="11"/>
  <c r="AU366" i="11"/>
  <c r="O330" i="11"/>
  <c r="AM330" i="11"/>
  <c r="AQ344" i="11"/>
  <c r="R369" i="11"/>
  <c r="AP369" i="11"/>
  <c r="AM417" i="11"/>
  <c r="AO425" i="11"/>
  <c r="AD428" i="11"/>
  <c r="W436" i="11"/>
  <c r="AU439" i="11"/>
  <c r="P330" i="11"/>
  <c r="AN330" i="11"/>
  <c r="AR344" i="11"/>
  <c r="S369" i="11"/>
  <c r="AQ369" i="11"/>
  <c r="AN417" i="11"/>
  <c r="AP425" i="11"/>
  <c r="AE428" i="11"/>
  <c r="X436" i="11"/>
  <c r="AW439" i="11"/>
  <c r="Z308" i="11"/>
  <c r="Q330" i="11"/>
  <c r="AO330" i="11"/>
  <c r="AS344" i="11"/>
  <c r="T369" i="11"/>
  <c r="AR369" i="11"/>
  <c r="X403" i="11"/>
  <c r="AO417" i="11"/>
  <c r="AQ425" i="11"/>
  <c r="AF428" i="11"/>
  <c r="AS436" i="11"/>
  <c r="AX439" i="11"/>
  <c r="AA308" i="11"/>
  <c r="R330" i="11"/>
  <c r="AP330" i="11"/>
  <c r="AY344" i="11"/>
  <c r="U369" i="11"/>
  <c r="AS369" i="11"/>
  <c r="AF403" i="11"/>
  <c r="AR417" i="11"/>
  <c r="AR425" i="11"/>
  <c r="AH428" i="11"/>
  <c r="BB436" i="11"/>
  <c r="AY439" i="11"/>
  <c r="BD439" i="11"/>
  <c r="S330" i="11"/>
  <c r="AQ330" i="11"/>
  <c r="J333" i="11"/>
  <c r="AZ344" i="11"/>
  <c r="V369" i="11"/>
  <c r="AT369" i="11"/>
  <c r="G389" i="11"/>
  <c r="AE389" i="11"/>
  <c r="BC389" i="11"/>
  <c r="AW403" i="11"/>
  <c r="AS417" i="11"/>
  <c r="AS425" i="11"/>
  <c r="AK428" i="11"/>
  <c r="BA439" i="11"/>
  <c r="T330" i="11"/>
  <c r="AR330" i="11"/>
  <c r="O333" i="11"/>
  <c r="BA344" i="11"/>
  <c r="W369" i="11"/>
  <c r="AU369" i="11"/>
  <c r="F411" i="11"/>
  <c r="AW417" i="11"/>
  <c r="F425" i="11"/>
  <c r="AZ425" i="11"/>
  <c r="AL428" i="11"/>
  <c r="AX395" i="11"/>
  <c r="P333" i="11"/>
  <c r="BC344" i="11"/>
  <c r="X369" i="11"/>
  <c r="AV369" i="11"/>
  <c r="AC411" i="11"/>
  <c r="X408" i="11"/>
  <c r="BG260" i="11"/>
  <c r="W330" i="11"/>
  <c r="AU330" i="11"/>
  <c r="Y333" i="11"/>
  <c r="F344" i="11"/>
  <c r="BH344" i="11"/>
  <c r="Z369" i="11"/>
  <c r="AX369" i="11"/>
  <c r="BD411" i="11"/>
  <c r="L300" i="11"/>
  <c r="AJ300" i="11"/>
  <c r="BH300" i="11"/>
  <c r="X330" i="11"/>
  <c r="AV330" i="11"/>
  <c r="AB333" i="11"/>
  <c r="G344" i="11"/>
  <c r="X361" i="11"/>
  <c r="BA361" i="11"/>
  <c r="AA369" i="11"/>
  <c r="AY369" i="11"/>
  <c r="BG375" i="11"/>
  <c r="AF383" i="11"/>
  <c r="BI383" i="11"/>
  <c r="L389" i="11"/>
  <c r="AJ389" i="11"/>
  <c r="BH389" i="11"/>
  <c r="BH411" i="11"/>
  <c r="N425" i="11"/>
  <c r="BI425" i="11"/>
  <c r="I428" i="11"/>
  <c r="AT428" i="11"/>
  <c r="AQ251" i="11"/>
  <c r="BI300" i="11"/>
  <c r="Y330" i="11"/>
  <c r="AW330" i="11"/>
  <c r="AH333" i="11"/>
  <c r="I344" i="11"/>
  <c r="AB369" i="11"/>
  <c r="AZ369" i="11"/>
  <c r="O425" i="11"/>
  <c r="K428" i="11"/>
  <c r="AW428" i="11"/>
  <c r="AA256" i="11"/>
  <c r="BB256" i="11"/>
  <c r="N300" i="11"/>
  <c r="AL300" i="11"/>
  <c r="Z330" i="11"/>
  <c r="AX330" i="11"/>
  <c r="AM333" i="11"/>
  <c r="L344" i="11"/>
  <c r="Z361" i="11"/>
  <c r="BC361" i="11"/>
  <c r="E369" i="11"/>
  <c r="AC369" i="11"/>
  <c r="BA369" i="11"/>
  <c r="E383" i="11"/>
  <c r="AH383" i="11"/>
  <c r="N389" i="11"/>
  <c r="AL389" i="11"/>
  <c r="J395" i="11"/>
  <c r="I417" i="11"/>
  <c r="P425" i="11"/>
  <c r="L428" i="11"/>
  <c r="AX428" i="11"/>
  <c r="R242" i="11"/>
  <c r="AQ242" i="11"/>
  <c r="AB256" i="11"/>
  <c r="BC256" i="11"/>
  <c r="O300" i="11"/>
  <c r="AM300" i="11"/>
  <c r="AA330" i="11"/>
  <c r="AY330" i="11"/>
  <c r="AN333" i="11"/>
  <c r="R344" i="11"/>
  <c r="AA361" i="11"/>
  <c r="BD361" i="11"/>
  <c r="F369" i="11"/>
  <c r="AD369" i="11"/>
  <c r="BB369" i="11"/>
  <c r="F383" i="11"/>
  <c r="AI383" i="11"/>
  <c r="O389" i="11"/>
  <c r="AM389" i="11"/>
  <c r="K395" i="11"/>
  <c r="K417" i="11"/>
  <c r="Q425" i="11"/>
  <c r="M428" i="11"/>
  <c r="AY428" i="11"/>
  <c r="AU337" i="11"/>
  <c r="AM442" i="11"/>
  <c r="AB330" i="11"/>
  <c r="AZ330" i="11"/>
  <c r="AR333" i="11"/>
  <c r="S344" i="11"/>
  <c r="G369" i="11"/>
  <c r="AE369" i="11"/>
  <c r="BC369" i="11"/>
  <c r="BA436" i="11"/>
  <c r="AU362" i="11"/>
  <c r="Q300" i="11"/>
  <c r="E330" i="11"/>
  <c r="AC330" i="11"/>
  <c r="BA330" i="11"/>
  <c r="AW333" i="11"/>
  <c r="T344" i="11"/>
  <c r="H369" i="11"/>
  <c r="AF369" i="11"/>
  <c r="BD369" i="11"/>
  <c r="R395" i="11"/>
  <c r="N417" i="11"/>
  <c r="O428" i="11"/>
  <c r="BA428" i="11"/>
  <c r="AX430" i="11"/>
  <c r="I59" i="11"/>
  <c r="AK68" i="11"/>
  <c r="BI68" i="11"/>
  <c r="X127" i="11"/>
  <c r="AV127" i="11"/>
  <c r="F172" i="11"/>
  <c r="AD172" i="11"/>
  <c r="BB172" i="11"/>
  <c r="P184" i="11"/>
  <c r="AN184" i="11"/>
  <c r="G214" i="11"/>
  <c r="AE214" i="11"/>
  <c r="BC214" i="11"/>
  <c r="J232" i="11"/>
  <c r="AH232" i="11"/>
  <c r="BF232" i="11"/>
  <c r="E255" i="11"/>
  <c r="AC255" i="11"/>
  <c r="BA255" i="11"/>
  <c r="Y315" i="11"/>
  <c r="AW315" i="11"/>
  <c r="X351" i="11"/>
  <c r="AY351" i="11"/>
  <c r="P368" i="11"/>
  <c r="AS368" i="11"/>
  <c r="AR382" i="11"/>
  <c r="E402" i="11"/>
  <c r="AA405" i="11"/>
  <c r="AZ407" i="11"/>
  <c r="M412" i="11"/>
  <c r="AL412" i="11"/>
  <c r="Y437" i="11"/>
  <c r="AG59" i="11"/>
  <c r="BE59" i="11"/>
  <c r="M68" i="11"/>
  <c r="T99" i="11"/>
  <c r="AR99" i="11"/>
  <c r="Q104" i="11"/>
  <c r="AO104" i="11"/>
  <c r="E110" i="11"/>
  <c r="AC110" i="11"/>
  <c r="BA110" i="11"/>
  <c r="J59" i="11"/>
  <c r="AH59" i="11"/>
  <c r="BF59" i="11"/>
  <c r="N68" i="11"/>
  <c r="AL68" i="11"/>
  <c r="U99" i="11"/>
  <c r="AS99" i="11"/>
  <c r="R104" i="11"/>
  <c r="AP104" i="11"/>
  <c r="F110" i="11"/>
  <c r="AD110" i="11"/>
  <c r="BB110" i="11"/>
  <c r="Y127" i="11"/>
  <c r="AW127" i="11"/>
  <c r="G172" i="11"/>
  <c r="AE172" i="11"/>
  <c r="BC172" i="11"/>
  <c r="Q184" i="11"/>
  <c r="AO184" i="11"/>
  <c r="H214" i="11"/>
  <c r="AF214" i="11"/>
  <c r="BD214" i="11"/>
  <c r="K232" i="11"/>
  <c r="AI232" i="11"/>
  <c r="BG232" i="11"/>
  <c r="F255" i="11"/>
  <c r="AD255" i="11"/>
  <c r="BB255" i="11"/>
  <c r="Z315" i="11"/>
  <c r="AX315" i="11"/>
  <c r="Y351" i="11"/>
  <c r="AZ351" i="11"/>
  <c r="Q368" i="11"/>
  <c r="AT368" i="11"/>
  <c r="AS382" i="11"/>
  <c r="L402" i="11"/>
  <c r="Z403" i="11"/>
  <c r="AH405" i="11"/>
  <c r="BD407" i="11"/>
  <c r="N412" i="11"/>
  <c r="AM412" i="11"/>
  <c r="J418" i="11"/>
  <c r="AK418" i="11"/>
  <c r="M433" i="11"/>
  <c r="Z437" i="11"/>
  <c r="F443" i="11"/>
  <c r="AI443" i="11"/>
  <c r="AE255" i="11"/>
  <c r="AY382" i="11"/>
  <c r="O402" i="11"/>
  <c r="AA403" i="11"/>
  <c r="AL405" i="11"/>
  <c r="O412" i="11"/>
  <c r="AN412" i="11"/>
  <c r="K418" i="11"/>
  <c r="AL418" i="11"/>
  <c r="O433" i="11"/>
  <c r="AO437" i="11"/>
  <c r="H443" i="11"/>
  <c r="AJ443" i="11"/>
  <c r="BG59" i="11"/>
  <c r="S104" i="11"/>
  <c r="G110" i="11"/>
  <c r="Z127" i="11"/>
  <c r="BA351" i="11"/>
  <c r="L59" i="11"/>
  <c r="AJ59" i="11"/>
  <c r="BH59" i="11"/>
  <c r="P68" i="11"/>
  <c r="AN68" i="11"/>
  <c r="W99" i="11"/>
  <c r="AU99" i="11"/>
  <c r="T104" i="11"/>
  <c r="AR104" i="11"/>
  <c r="H110" i="11"/>
  <c r="AF110" i="11"/>
  <c r="BD110" i="11"/>
  <c r="AA127" i="11"/>
  <c r="AY127" i="11"/>
  <c r="I172" i="11"/>
  <c r="AG172" i="11"/>
  <c r="BE172" i="11"/>
  <c r="S184" i="11"/>
  <c r="AQ184" i="11"/>
  <c r="J214" i="11"/>
  <c r="AH214" i="11"/>
  <c r="BF214" i="11"/>
  <c r="M232" i="11"/>
  <c r="AK232" i="11"/>
  <c r="BI232" i="11"/>
  <c r="H255" i="11"/>
  <c r="AF255" i="11"/>
  <c r="BD255" i="11"/>
  <c r="AB315" i="11"/>
  <c r="AZ315" i="11"/>
  <c r="AA351" i="11"/>
  <c r="BB351" i="11"/>
  <c r="O356" i="11"/>
  <c r="AM356" i="11"/>
  <c r="W358" i="11"/>
  <c r="AU358" i="11"/>
  <c r="S368" i="11"/>
  <c r="AV368" i="11"/>
  <c r="BC382" i="11"/>
  <c r="P402" i="11"/>
  <c r="AB403" i="11"/>
  <c r="AM405" i="11"/>
  <c r="P412" i="11"/>
  <c r="AO412" i="11"/>
  <c r="L418" i="11"/>
  <c r="AM418" i="11"/>
  <c r="S433" i="11"/>
  <c r="AU437" i="11"/>
  <c r="I443" i="11"/>
  <c r="AK443" i="11"/>
  <c r="O68" i="11"/>
  <c r="Z351" i="11"/>
  <c r="R368" i="11"/>
  <c r="AU368" i="11"/>
  <c r="M59" i="11"/>
  <c r="AK59" i="11"/>
  <c r="BI59" i="11"/>
  <c r="Q68" i="11"/>
  <c r="AO68" i="11"/>
  <c r="X99" i="11"/>
  <c r="AV99" i="11"/>
  <c r="U104" i="11"/>
  <c r="AS104" i="11"/>
  <c r="I110" i="11"/>
  <c r="AG110" i="11"/>
  <c r="BE110" i="11"/>
  <c r="AB127" i="11"/>
  <c r="AZ127" i="11"/>
  <c r="J172" i="11"/>
  <c r="AH172" i="11"/>
  <c r="BF172" i="11"/>
  <c r="T184" i="11"/>
  <c r="AR184" i="11"/>
  <c r="K214" i="11"/>
  <c r="AI214" i="11"/>
  <c r="BG214" i="11"/>
  <c r="N232" i="11"/>
  <c r="AL232" i="11"/>
  <c r="I255" i="11"/>
  <c r="AG255" i="11"/>
  <c r="BE255" i="11"/>
  <c r="E315" i="11"/>
  <c r="AC315" i="11"/>
  <c r="BA315" i="11"/>
  <c r="AB351" i="11"/>
  <c r="BC351" i="11"/>
  <c r="T368" i="11"/>
  <c r="AW368" i="11"/>
  <c r="BI382" i="11"/>
  <c r="R402" i="11"/>
  <c r="AN405" i="11"/>
  <c r="Q412" i="11"/>
  <c r="AP412" i="11"/>
  <c r="AW437" i="11"/>
  <c r="AI59" i="11"/>
  <c r="G255" i="11"/>
  <c r="AA315" i="11"/>
  <c r="AY315" i="11"/>
  <c r="N59" i="11"/>
  <c r="AL59" i="11"/>
  <c r="R68" i="11"/>
  <c r="AP68" i="11"/>
  <c r="Y99" i="11"/>
  <c r="AW99" i="11"/>
  <c r="V104" i="11"/>
  <c r="AT104" i="11"/>
  <c r="J110" i="11"/>
  <c r="AH110" i="11"/>
  <c r="BF110" i="11"/>
  <c r="E127" i="11"/>
  <c r="AC127" i="11"/>
  <c r="BA127" i="11"/>
  <c r="K172" i="11"/>
  <c r="AI172" i="11"/>
  <c r="BG172" i="11"/>
  <c r="U184" i="11"/>
  <c r="AS184" i="11"/>
  <c r="L214" i="11"/>
  <c r="AJ214" i="11"/>
  <c r="BH214" i="11"/>
  <c r="O232" i="11"/>
  <c r="AM232" i="11"/>
  <c r="J255" i="11"/>
  <c r="AH255" i="11"/>
  <c r="BF255" i="11"/>
  <c r="F315" i="11"/>
  <c r="AD315" i="11"/>
  <c r="BB315" i="11"/>
  <c r="AC351" i="11"/>
  <c r="BD351" i="11"/>
  <c r="Q356" i="11"/>
  <c r="AO356" i="11"/>
  <c r="Y358" i="11"/>
  <c r="AW358" i="11"/>
  <c r="U368" i="11"/>
  <c r="AX368" i="11"/>
  <c r="T402" i="11"/>
  <c r="AQ403" i="11"/>
  <c r="AR405" i="11"/>
  <c r="R412" i="11"/>
  <c r="AQ412" i="11"/>
  <c r="N418" i="11"/>
  <c r="AO418" i="11"/>
  <c r="Y433" i="11"/>
  <c r="K443" i="11"/>
  <c r="AM443" i="11"/>
  <c r="AE110" i="11"/>
  <c r="AF172" i="11"/>
  <c r="O59" i="11"/>
  <c r="AM59" i="11"/>
  <c r="K110" i="11"/>
  <c r="AI110" i="11"/>
  <c r="BG110" i="11"/>
  <c r="F127" i="11"/>
  <c r="AD127" i="11"/>
  <c r="BB127" i="11"/>
  <c r="L172" i="11"/>
  <c r="AJ172" i="11"/>
  <c r="BH172" i="11"/>
  <c r="V184" i="11"/>
  <c r="AT184" i="11"/>
  <c r="M214" i="11"/>
  <c r="AK214" i="11"/>
  <c r="BI214" i="11"/>
  <c r="P232" i="11"/>
  <c r="AN232" i="11"/>
  <c r="K255" i="11"/>
  <c r="AI255" i="11"/>
  <c r="BG255" i="11"/>
  <c r="G315" i="11"/>
  <c r="AE315" i="11"/>
  <c r="BC315" i="11"/>
  <c r="AD351" i="11"/>
  <c r="BE351" i="11"/>
  <c r="V368" i="11"/>
  <c r="AY368" i="11"/>
  <c r="U402" i="11"/>
  <c r="BB405" i="11"/>
  <c r="S412" i="11"/>
  <c r="AR412" i="11"/>
  <c r="AT99" i="11"/>
  <c r="I214" i="11"/>
  <c r="BE214" i="11"/>
  <c r="L232" i="11"/>
  <c r="S68" i="11"/>
  <c r="AQ68" i="11"/>
  <c r="Z99" i="11"/>
  <c r="AX99" i="11"/>
  <c r="W104" i="11"/>
  <c r="AU104" i="11"/>
  <c r="P59" i="11"/>
  <c r="AN59" i="11"/>
  <c r="T68" i="11"/>
  <c r="AR68" i="11"/>
  <c r="AA99" i="11"/>
  <c r="AY99" i="11"/>
  <c r="X104" i="11"/>
  <c r="AV104" i="11"/>
  <c r="L110" i="11"/>
  <c r="AJ110" i="11"/>
  <c r="BH110" i="11"/>
  <c r="G127" i="11"/>
  <c r="AE127" i="11"/>
  <c r="BC127" i="11"/>
  <c r="M172" i="11"/>
  <c r="AK172" i="11"/>
  <c r="BI172" i="11"/>
  <c r="W184" i="11"/>
  <c r="AU184" i="11"/>
  <c r="N214" i="11"/>
  <c r="AL214" i="11"/>
  <c r="Q232" i="11"/>
  <c r="AO232" i="11"/>
  <c r="L255" i="11"/>
  <c r="AJ255" i="11"/>
  <c r="BH255" i="11"/>
  <c r="H315" i="11"/>
  <c r="AF315" i="11"/>
  <c r="BD315" i="11"/>
  <c r="AE351" i="11"/>
  <c r="BG351" i="11"/>
  <c r="S356" i="11"/>
  <c r="AQ356" i="11"/>
  <c r="AA358" i="11"/>
  <c r="AY358" i="11"/>
  <c r="W368" i="11"/>
  <c r="AZ368" i="11"/>
  <c r="E388" i="11"/>
  <c r="Y402" i="11"/>
  <c r="AY403" i="11"/>
  <c r="T412" i="11"/>
  <c r="AS412" i="11"/>
  <c r="P418" i="11"/>
  <c r="AQ418" i="11"/>
  <c r="AC433" i="11"/>
  <c r="M443" i="11"/>
  <c r="AQ443" i="11"/>
  <c r="V99" i="11"/>
  <c r="AP184" i="11"/>
  <c r="BC255" i="11"/>
  <c r="Q59" i="11"/>
  <c r="AO59" i="11"/>
  <c r="U68" i="11"/>
  <c r="AS68" i="11"/>
  <c r="AB99" i="11"/>
  <c r="AZ99" i="11"/>
  <c r="Y104" i="11"/>
  <c r="AW104" i="11"/>
  <c r="M110" i="11"/>
  <c r="AK110" i="11"/>
  <c r="BI110" i="11"/>
  <c r="H127" i="11"/>
  <c r="AF127" i="11"/>
  <c r="BD127" i="11"/>
  <c r="N172" i="11"/>
  <c r="AL172" i="11"/>
  <c r="X184" i="11"/>
  <c r="AV184" i="11"/>
  <c r="O214" i="11"/>
  <c r="AM214" i="11"/>
  <c r="R232" i="11"/>
  <c r="AP232" i="11"/>
  <c r="M255" i="11"/>
  <c r="AK255" i="11"/>
  <c r="BI255" i="11"/>
  <c r="I315" i="11"/>
  <c r="AG315" i="11"/>
  <c r="BE315" i="11"/>
  <c r="E351" i="11"/>
  <c r="AF351" i="11"/>
  <c r="BH351" i="11"/>
  <c r="X368" i="11"/>
  <c r="BA368" i="11"/>
  <c r="AA402" i="11"/>
  <c r="AZ403" i="11"/>
  <c r="U412" i="11"/>
  <c r="AT412" i="11"/>
  <c r="Q418" i="11"/>
  <c r="AR418" i="11"/>
  <c r="AE433" i="11"/>
  <c r="N443" i="11"/>
  <c r="AR443" i="11"/>
  <c r="R184" i="11"/>
  <c r="R59" i="11"/>
  <c r="AP59" i="11"/>
  <c r="V68" i="11"/>
  <c r="AT68" i="11"/>
  <c r="E99" i="11"/>
  <c r="AC99" i="11"/>
  <c r="BA99" i="11"/>
  <c r="Z104" i="11"/>
  <c r="AX104" i="11"/>
  <c r="N110" i="11"/>
  <c r="AL110" i="11"/>
  <c r="I127" i="11"/>
  <c r="AG127" i="11"/>
  <c r="BE127" i="11"/>
  <c r="O172" i="11"/>
  <c r="AM172" i="11"/>
  <c r="Y184" i="11"/>
  <c r="AW184" i="11"/>
  <c r="P214" i="11"/>
  <c r="AN214" i="11"/>
  <c r="S232" i="11"/>
  <c r="AQ232" i="11"/>
  <c r="N255" i="11"/>
  <c r="AL255" i="11"/>
  <c r="J315" i="11"/>
  <c r="AH315" i="11"/>
  <c r="BF315" i="11"/>
  <c r="F351" i="11"/>
  <c r="AG351" i="11"/>
  <c r="BI351" i="11"/>
  <c r="Y368" i="11"/>
  <c r="BC368" i="11"/>
  <c r="AB402" i="11"/>
  <c r="BA403" i="11"/>
  <c r="V412" i="11"/>
  <c r="AU412" i="11"/>
  <c r="R418" i="11"/>
  <c r="AS418" i="11"/>
  <c r="AJ433" i="11"/>
  <c r="P443" i="11"/>
  <c r="AS443" i="11"/>
  <c r="BC110" i="11"/>
  <c r="BH232" i="11"/>
  <c r="S59" i="11"/>
  <c r="AQ59" i="11"/>
  <c r="AU68" i="11"/>
  <c r="F99" i="11"/>
  <c r="AD99" i="11"/>
  <c r="BB99" i="11"/>
  <c r="AA104" i="11"/>
  <c r="AY104" i="11"/>
  <c r="O110" i="11"/>
  <c r="AM110" i="11"/>
  <c r="J127" i="11"/>
  <c r="AH127" i="11"/>
  <c r="BF127" i="11"/>
  <c r="P172" i="11"/>
  <c r="AN172" i="11"/>
  <c r="Z184" i="11"/>
  <c r="AX184" i="11"/>
  <c r="Q214" i="11"/>
  <c r="AO214" i="11"/>
  <c r="T232" i="11"/>
  <c r="AR232" i="11"/>
  <c r="O255" i="11"/>
  <c r="AM255" i="11"/>
  <c r="K315" i="11"/>
  <c r="AI315" i="11"/>
  <c r="BG315" i="11"/>
  <c r="G351" i="11"/>
  <c r="AI351" i="11"/>
  <c r="V356" i="11"/>
  <c r="AT356" i="11"/>
  <c r="F358" i="11"/>
  <c r="AD358" i="11"/>
  <c r="BB358" i="11"/>
  <c r="Z368" i="11"/>
  <c r="BD368" i="11"/>
  <c r="U388" i="11"/>
  <c r="AD402" i="11"/>
  <c r="BF403" i="11"/>
  <c r="W412" i="11"/>
  <c r="AV412" i="11"/>
  <c r="S418" i="11"/>
  <c r="AT418" i="11"/>
  <c r="AL433" i="11"/>
  <c r="R443" i="11"/>
  <c r="AT443" i="11"/>
  <c r="AX127" i="11"/>
  <c r="BD172" i="11"/>
  <c r="AG214" i="11"/>
  <c r="W68" i="11"/>
  <c r="T59" i="11"/>
  <c r="AR59" i="11"/>
  <c r="X68" i="11"/>
  <c r="AV68" i="11"/>
  <c r="G99" i="11"/>
  <c r="AE99" i="11"/>
  <c r="BC99" i="11"/>
  <c r="AB104" i="11"/>
  <c r="AZ104" i="11"/>
  <c r="P110" i="11"/>
  <c r="AN110" i="11"/>
  <c r="K127" i="11"/>
  <c r="AI127" i="11"/>
  <c r="BG127" i="11"/>
  <c r="Q172" i="11"/>
  <c r="AO172" i="11"/>
  <c r="AA184" i="11"/>
  <c r="AY184" i="11"/>
  <c r="R214" i="11"/>
  <c r="AP214" i="11"/>
  <c r="U232" i="11"/>
  <c r="AS232" i="11"/>
  <c r="P255" i="11"/>
  <c r="AN255" i="11"/>
  <c r="L315" i="11"/>
  <c r="AJ315" i="11"/>
  <c r="BH315" i="11"/>
  <c r="K341" i="11"/>
  <c r="H351" i="11"/>
  <c r="AJ351" i="11"/>
  <c r="W356" i="11"/>
  <c r="AU356" i="11"/>
  <c r="G358" i="11"/>
  <c r="AE358" i="11"/>
  <c r="BC358" i="11"/>
  <c r="AA368" i="11"/>
  <c r="BI368" i="11"/>
  <c r="G382" i="11"/>
  <c r="W388" i="11"/>
  <c r="AE402" i="11"/>
  <c r="X412" i="11"/>
  <c r="AX412" i="11"/>
  <c r="T418" i="11"/>
  <c r="AV418" i="11"/>
  <c r="AM433" i="11"/>
  <c r="S443" i="11"/>
  <c r="AU443" i="11"/>
  <c r="AQ104" i="11"/>
  <c r="H172" i="11"/>
  <c r="AJ232" i="11"/>
  <c r="U59" i="11"/>
  <c r="AS59" i="11"/>
  <c r="Y68" i="11"/>
  <c r="AW68" i="11"/>
  <c r="H99" i="11"/>
  <c r="AF99" i="11"/>
  <c r="BD99" i="11"/>
  <c r="E104" i="11"/>
  <c r="AC104" i="11"/>
  <c r="BA104" i="11"/>
  <c r="Q110" i="11"/>
  <c r="AO110" i="11"/>
  <c r="L127" i="11"/>
  <c r="AJ127" i="11"/>
  <c r="BH127" i="11"/>
  <c r="R172" i="11"/>
  <c r="AP172" i="11"/>
  <c r="AB184" i="11"/>
  <c r="AZ184" i="11"/>
  <c r="S214" i="11"/>
  <c r="AQ214" i="11"/>
  <c r="V232" i="11"/>
  <c r="AT232" i="11"/>
  <c r="Q255" i="11"/>
  <c r="AO255" i="11"/>
  <c r="M315" i="11"/>
  <c r="AK315" i="11"/>
  <c r="BI315" i="11"/>
  <c r="I351" i="11"/>
  <c r="AK351" i="11"/>
  <c r="AB368" i="11"/>
  <c r="M382" i="11"/>
  <c r="AL402" i="11"/>
  <c r="Z412" i="11"/>
  <c r="AY412" i="11"/>
  <c r="U418" i="11"/>
  <c r="AX418" i="11"/>
  <c r="AU433" i="11"/>
  <c r="T443" i="11"/>
  <c r="AV443" i="11"/>
  <c r="V59" i="11"/>
  <c r="I99" i="11"/>
  <c r="BE99" i="11"/>
  <c r="F104" i="11"/>
  <c r="AD104" i="11"/>
  <c r="BB104" i="11"/>
  <c r="AP110" i="11"/>
  <c r="M127" i="11"/>
  <c r="AK127" i="11"/>
  <c r="BI127" i="11"/>
  <c r="S172" i="11"/>
  <c r="AQ172" i="11"/>
  <c r="E184" i="11"/>
  <c r="AC184" i="11"/>
  <c r="BA184" i="11"/>
  <c r="T214" i="11"/>
  <c r="AR214" i="11"/>
  <c r="W232" i="11"/>
  <c r="AU232" i="11"/>
  <c r="R255" i="11"/>
  <c r="AP255" i="11"/>
  <c r="N315" i="11"/>
  <c r="AL315" i="11"/>
  <c r="K351" i="11"/>
  <c r="AM351" i="11"/>
  <c r="AC368" i="11"/>
  <c r="O382" i="11"/>
  <c r="AO402" i="11"/>
  <c r="H407" i="11"/>
  <c r="AA412" i="11"/>
  <c r="AZ412" i="11"/>
  <c r="V418" i="11"/>
  <c r="AZ418" i="11"/>
  <c r="X431" i="11"/>
  <c r="AW433" i="11"/>
  <c r="U443" i="11"/>
  <c r="AW443" i="11"/>
  <c r="K59" i="11"/>
  <c r="AT59" i="11"/>
  <c r="Z68" i="11"/>
  <c r="AX68" i="11"/>
  <c r="AG99" i="11"/>
  <c r="W59" i="11"/>
  <c r="AU59" i="11"/>
  <c r="AA68" i="11"/>
  <c r="AY68" i="11"/>
  <c r="J99" i="11"/>
  <c r="AH99" i="11"/>
  <c r="BF99" i="11"/>
  <c r="G104" i="11"/>
  <c r="AE104" i="11"/>
  <c r="BC104" i="11"/>
  <c r="S110" i="11"/>
  <c r="AQ110" i="11"/>
  <c r="N127" i="11"/>
  <c r="AL127" i="11"/>
  <c r="T172" i="11"/>
  <c r="AR172" i="11"/>
  <c r="F184" i="11"/>
  <c r="AD184" i="11"/>
  <c r="BB184" i="11"/>
  <c r="U214" i="11"/>
  <c r="AS214" i="11"/>
  <c r="X232" i="11"/>
  <c r="AV232" i="11"/>
  <c r="S255" i="11"/>
  <c r="AQ255" i="11"/>
  <c r="O315" i="11"/>
  <c r="AM315" i="11"/>
  <c r="L351" i="11"/>
  <c r="AO351" i="11"/>
  <c r="AE368" i="11"/>
  <c r="P382" i="11"/>
  <c r="AT402" i="11"/>
  <c r="R407" i="11"/>
  <c r="AB412" i="11"/>
  <c r="BA412" i="11"/>
  <c r="Z431" i="11"/>
  <c r="BC433" i="11"/>
  <c r="AM68" i="11"/>
  <c r="R110" i="11"/>
  <c r="X59" i="11"/>
  <c r="AV59" i="11"/>
  <c r="AB68" i="11"/>
  <c r="AZ68" i="11"/>
  <c r="K99" i="11"/>
  <c r="AI99" i="11"/>
  <c r="BG99" i="11"/>
  <c r="H104" i="11"/>
  <c r="AF104" i="11"/>
  <c r="BD104" i="11"/>
  <c r="T110" i="11"/>
  <c r="AR110" i="11"/>
  <c r="O127" i="11"/>
  <c r="AM127" i="11"/>
  <c r="U172" i="11"/>
  <c r="AS172" i="11"/>
  <c r="G184" i="11"/>
  <c r="AE184" i="11"/>
  <c r="BC184" i="11"/>
  <c r="V214" i="11"/>
  <c r="AT214" i="11"/>
  <c r="Y232" i="11"/>
  <c r="AW232" i="11"/>
  <c r="T255" i="11"/>
  <c r="AR255" i="11"/>
  <c r="P315" i="11"/>
  <c r="AN315" i="11"/>
  <c r="M351" i="11"/>
  <c r="AP351" i="11"/>
  <c r="AA356" i="11"/>
  <c r="AY356" i="11"/>
  <c r="K358" i="11"/>
  <c r="AI358" i="11"/>
  <c r="BG358" i="11"/>
  <c r="AF368" i="11"/>
  <c r="Q382" i="11"/>
  <c r="AC388" i="11"/>
  <c r="AU402" i="11"/>
  <c r="X407" i="11"/>
  <c r="AC412" i="11"/>
  <c r="BB412" i="11"/>
  <c r="Z418" i="11"/>
  <c r="BB418" i="11"/>
  <c r="AA431" i="11"/>
  <c r="BF433" i="11"/>
  <c r="W443" i="11"/>
  <c r="AZ443" i="11"/>
  <c r="BH99" i="11"/>
  <c r="I104" i="11"/>
  <c r="BE104" i="11"/>
  <c r="U110" i="11"/>
  <c r="AS110" i="11"/>
  <c r="P127" i="11"/>
  <c r="AN127" i="11"/>
  <c r="V172" i="11"/>
  <c r="AT172" i="11"/>
  <c r="H184" i="11"/>
  <c r="AF184" i="11"/>
  <c r="BD184" i="11"/>
  <c r="W214" i="11"/>
  <c r="AU214" i="11"/>
  <c r="Z232" i="11"/>
  <c r="AX232" i="11"/>
  <c r="U255" i="11"/>
  <c r="AS255" i="11"/>
  <c r="Q315" i="11"/>
  <c r="AO315" i="11"/>
  <c r="O351" i="11"/>
  <c r="AQ351" i="11"/>
  <c r="AK368" i="11"/>
  <c r="T382" i="11"/>
  <c r="AY402" i="11"/>
  <c r="Z407" i="11"/>
  <c r="E412" i="11"/>
  <c r="AD412" i="11"/>
  <c r="BC412" i="11"/>
  <c r="AW431" i="11"/>
  <c r="Z59" i="11"/>
  <c r="AX59" i="11"/>
  <c r="F68" i="11"/>
  <c r="AD68" i="11"/>
  <c r="BB68" i="11"/>
  <c r="M99" i="11"/>
  <c r="AK99" i="11"/>
  <c r="BI99" i="11"/>
  <c r="J104" i="11"/>
  <c r="AH104" i="11"/>
  <c r="BF104" i="11"/>
  <c r="V110" i="11"/>
  <c r="AT110" i="11"/>
  <c r="Q127" i="11"/>
  <c r="AO127" i="11"/>
  <c r="W172" i="11"/>
  <c r="AU172" i="11"/>
  <c r="I184" i="11"/>
  <c r="AG184" i="11"/>
  <c r="BE184" i="11"/>
  <c r="X214" i="11"/>
  <c r="AV214" i="11"/>
  <c r="AA232" i="11"/>
  <c r="AY232" i="11"/>
  <c r="V255" i="11"/>
  <c r="AT255" i="11"/>
  <c r="R315" i="11"/>
  <c r="AP315" i="11"/>
  <c r="Q351" i="11"/>
  <c r="AR351" i="11"/>
  <c r="AL368" i="11"/>
  <c r="U382" i="11"/>
  <c r="BA402" i="11"/>
  <c r="AA407" i="11"/>
  <c r="F412" i="11"/>
  <c r="AE412" i="11"/>
  <c r="BD412" i="11"/>
  <c r="AC418" i="11"/>
  <c r="BD418" i="11"/>
  <c r="AX431" i="11"/>
  <c r="Y443" i="11"/>
  <c r="BB443" i="11"/>
  <c r="BG104" i="11"/>
  <c r="X172" i="11"/>
  <c r="AV172" i="11"/>
  <c r="J184" i="11"/>
  <c r="AH184" i="11"/>
  <c r="BF184" i="11"/>
  <c r="Y214" i="11"/>
  <c r="AW214" i="11"/>
  <c r="AB232" i="11"/>
  <c r="AZ232" i="11"/>
  <c r="W255" i="11"/>
  <c r="AU255" i="11"/>
  <c r="S315" i="11"/>
  <c r="AQ315" i="11"/>
  <c r="R351" i="11"/>
  <c r="AS351" i="11"/>
  <c r="E368" i="11"/>
  <c r="AM368" i="11"/>
  <c r="AA382" i="11"/>
  <c r="BB402" i="11"/>
  <c r="AB407" i="11"/>
  <c r="G412" i="11"/>
  <c r="AF412" i="11"/>
  <c r="BE412" i="11"/>
  <c r="BG431" i="11"/>
  <c r="Y59" i="11"/>
  <c r="BA68" i="11"/>
  <c r="AJ99" i="11"/>
  <c r="AA59" i="11"/>
  <c r="AY59" i="11"/>
  <c r="G68" i="11"/>
  <c r="AU110" i="11"/>
  <c r="AB59" i="11"/>
  <c r="AZ59" i="11"/>
  <c r="H68" i="11"/>
  <c r="AF68" i="11"/>
  <c r="BD68" i="11"/>
  <c r="O99" i="11"/>
  <c r="AM99" i="11"/>
  <c r="L104" i="11"/>
  <c r="AJ104" i="11"/>
  <c r="BH104" i="11"/>
  <c r="X110" i="11"/>
  <c r="AV110" i="11"/>
  <c r="S127" i="11"/>
  <c r="AQ127" i="11"/>
  <c r="Y172" i="11"/>
  <c r="AW172" i="11"/>
  <c r="K184" i="11"/>
  <c r="AI184" i="11"/>
  <c r="BG184" i="11"/>
  <c r="Z214" i="11"/>
  <c r="AX214" i="11"/>
  <c r="E232" i="11"/>
  <c r="AC232" i="11"/>
  <c r="BA232" i="11"/>
  <c r="X255" i="11"/>
  <c r="AV255" i="11"/>
  <c r="T315" i="11"/>
  <c r="AR315" i="11"/>
  <c r="S351" i="11"/>
  <c r="AT351" i="11"/>
  <c r="G368" i="11"/>
  <c r="AN368" i="11"/>
  <c r="AE382" i="11"/>
  <c r="BD402" i="11"/>
  <c r="F405" i="11"/>
  <c r="AF407" i="11"/>
  <c r="H412" i="11"/>
  <c r="AG412" i="11"/>
  <c r="BF412" i="11"/>
  <c r="AE418" i="11"/>
  <c r="BF418" i="11"/>
  <c r="BH431" i="11"/>
  <c r="AB443" i="11"/>
  <c r="BD443" i="11"/>
  <c r="AW59" i="11"/>
  <c r="E68" i="11"/>
  <c r="AE68" i="11"/>
  <c r="BC68" i="11"/>
  <c r="N99" i="11"/>
  <c r="W110" i="11"/>
  <c r="AP127" i="11"/>
  <c r="E59" i="11"/>
  <c r="AC59" i="11"/>
  <c r="BA59" i="11"/>
  <c r="I68" i="11"/>
  <c r="AG68" i="11"/>
  <c r="BE68" i="11"/>
  <c r="P99" i="11"/>
  <c r="AN99" i="11"/>
  <c r="M104" i="11"/>
  <c r="AK104" i="11"/>
  <c r="BI104" i="11"/>
  <c r="Y110" i="11"/>
  <c r="AW110" i="11"/>
  <c r="T127" i="11"/>
  <c r="AR127" i="11"/>
  <c r="Z172" i="11"/>
  <c r="AX172" i="11"/>
  <c r="L184" i="11"/>
  <c r="AJ184" i="11"/>
  <c r="BH184" i="11"/>
  <c r="AA214" i="11"/>
  <c r="AY214" i="11"/>
  <c r="F232" i="11"/>
  <c r="AD232" i="11"/>
  <c r="BB232" i="11"/>
  <c r="Y255" i="11"/>
  <c r="AW255" i="11"/>
  <c r="U315" i="11"/>
  <c r="AS315" i="11"/>
  <c r="T351" i="11"/>
  <c r="AU351" i="11"/>
  <c r="H368" i="11"/>
  <c r="AO368" i="11"/>
  <c r="AK382" i="11"/>
  <c r="BE402" i="11"/>
  <c r="H405" i="11"/>
  <c r="AP407" i="11"/>
  <c r="I412" i="11"/>
  <c r="AH412" i="11"/>
  <c r="BG412" i="11"/>
  <c r="AC68" i="11"/>
  <c r="AG104" i="11"/>
  <c r="AL99" i="11"/>
  <c r="K104" i="11"/>
  <c r="AI104" i="11"/>
  <c r="R127" i="11"/>
  <c r="F59" i="11"/>
  <c r="AD59" i="11"/>
  <c r="BB59" i="11"/>
  <c r="J68" i="11"/>
  <c r="AH68" i="11"/>
  <c r="BF68" i="11"/>
  <c r="Q99" i="11"/>
  <c r="AO99" i="11"/>
  <c r="N104" i="11"/>
  <c r="AL104" i="11"/>
  <c r="Z110" i="11"/>
  <c r="AX110" i="11"/>
  <c r="U127" i="11"/>
  <c r="AS127" i="11"/>
  <c r="AA172" i="11"/>
  <c r="AY172" i="11"/>
  <c r="M184" i="11"/>
  <c r="AK184" i="11"/>
  <c r="BI184" i="11"/>
  <c r="AB214" i="11"/>
  <c r="AZ214" i="11"/>
  <c r="G232" i="11"/>
  <c r="AE232" i="11"/>
  <c r="BC232" i="11"/>
  <c r="Z255" i="11"/>
  <c r="AX255" i="11"/>
  <c r="V315" i="11"/>
  <c r="AT315" i="11"/>
  <c r="U351" i="11"/>
  <c r="AV351" i="11"/>
  <c r="M368" i="11"/>
  <c r="AP368" i="11"/>
  <c r="AM382" i="11"/>
  <c r="J405" i="11"/>
  <c r="AV407" i="11"/>
  <c r="J412" i="11"/>
  <c r="AI412" i="11"/>
  <c r="BH412" i="11"/>
  <c r="F418" i="11"/>
  <c r="AG418" i="11"/>
  <c r="BH418" i="11"/>
  <c r="AD443" i="11"/>
  <c r="BF443" i="11"/>
  <c r="L99" i="11"/>
  <c r="G59" i="11"/>
  <c r="AE59" i="11"/>
  <c r="BC59" i="11"/>
  <c r="K68" i="11"/>
  <c r="AI68" i="11"/>
  <c r="BG68" i="11"/>
  <c r="R99" i="11"/>
  <c r="AP99" i="11"/>
  <c r="O104" i="11"/>
  <c r="AM104" i="11"/>
  <c r="AA110" i="11"/>
  <c r="AY110" i="11"/>
  <c r="V127" i="11"/>
  <c r="AT127" i="11"/>
  <c r="AB172" i="11"/>
  <c r="AZ172" i="11"/>
  <c r="N184" i="11"/>
  <c r="AL184" i="11"/>
  <c r="E214" i="11"/>
  <c r="AC214" i="11"/>
  <c r="BA214" i="11"/>
  <c r="H232" i="11"/>
  <c r="AF232" i="11"/>
  <c r="BD232" i="11"/>
  <c r="AA255" i="11"/>
  <c r="W315" i="11"/>
  <c r="AU315" i="11"/>
  <c r="V351" i="11"/>
  <c r="AW351" i="11"/>
  <c r="J356" i="11"/>
  <c r="AH356" i="11"/>
  <c r="BF356" i="11"/>
  <c r="R358" i="11"/>
  <c r="AP358" i="11"/>
  <c r="N368" i="11"/>
  <c r="AQ368" i="11"/>
  <c r="AN382" i="11"/>
  <c r="AZ388" i="11"/>
  <c r="G403" i="11"/>
  <c r="L405" i="11"/>
  <c r="AX407" i="11"/>
  <c r="K412" i="11"/>
  <c r="AJ412" i="11"/>
  <c r="BI412" i="11"/>
  <c r="G418" i="11"/>
  <c r="AH418" i="11"/>
  <c r="BI418" i="11"/>
  <c r="I433" i="11"/>
  <c r="Q437" i="11"/>
  <c r="AE443" i="11"/>
  <c r="BG443" i="11"/>
  <c r="I310" i="11"/>
  <c r="AG310" i="11"/>
  <c r="BE310" i="11"/>
  <c r="S349" i="11"/>
  <c r="AB355" i="11"/>
  <c r="AZ355" i="11"/>
  <c r="H357" i="11"/>
  <c r="AF357" i="11"/>
  <c r="BD357" i="11"/>
  <c r="J378" i="11"/>
  <c r="AH378" i="11"/>
  <c r="BF378" i="11"/>
  <c r="T391" i="11"/>
  <c r="AR391" i="11"/>
  <c r="AA400" i="11"/>
  <c r="AZ400" i="11"/>
  <c r="AB411" i="11"/>
  <c r="BC411" i="11"/>
  <c r="X421" i="11"/>
  <c r="BA421" i="11"/>
  <c r="AZ16" i="11"/>
  <c r="L20" i="11"/>
  <c r="AB60" i="11"/>
  <c r="AZ60" i="11"/>
  <c r="F70" i="11"/>
  <c r="AD70" i="11"/>
  <c r="BB70" i="11"/>
  <c r="L86" i="11"/>
  <c r="AJ86" i="11"/>
  <c r="BH86" i="11"/>
  <c r="X92" i="11"/>
  <c r="AV92" i="11"/>
  <c r="K310" i="11"/>
  <c r="AI310" i="11"/>
  <c r="BG310" i="11"/>
  <c r="Q319" i="11"/>
  <c r="AO319" i="11"/>
  <c r="Q333" i="11"/>
  <c r="AO333" i="11"/>
  <c r="T335" i="11"/>
  <c r="AR335" i="11"/>
  <c r="AE349" i="11"/>
  <c r="F355" i="11"/>
  <c r="AD355" i="11"/>
  <c r="BB355" i="11"/>
  <c r="J357" i="11"/>
  <c r="AH357" i="11"/>
  <c r="BF357" i="11"/>
  <c r="L378" i="11"/>
  <c r="AJ378" i="11"/>
  <c r="BH378" i="11"/>
  <c r="V391" i="11"/>
  <c r="AT391" i="11"/>
  <c r="AC400" i="11"/>
  <c r="BB400" i="11"/>
  <c r="AD411" i="11"/>
  <c r="BE411" i="11"/>
  <c r="Z421" i="11"/>
  <c r="BC421" i="11"/>
  <c r="N5" i="11"/>
  <c r="AL5" i="11"/>
  <c r="AB16" i="11"/>
  <c r="AJ20" i="11"/>
  <c r="BH20" i="11"/>
  <c r="O5" i="11"/>
  <c r="AM5" i="11"/>
  <c r="E16" i="11"/>
  <c r="AC16" i="11"/>
  <c r="BA16" i="11"/>
  <c r="M20" i="11"/>
  <c r="AK20" i="11"/>
  <c r="BI20" i="11"/>
  <c r="E60" i="11"/>
  <c r="AC60" i="11"/>
  <c r="BA60" i="11"/>
  <c r="G70" i="11"/>
  <c r="AE70" i="11"/>
  <c r="BC70" i="11"/>
  <c r="M86" i="11"/>
  <c r="AK86" i="11"/>
  <c r="BI86" i="11"/>
  <c r="Y92" i="11"/>
  <c r="AW92" i="11"/>
  <c r="L310" i="11"/>
  <c r="AJ310" i="11"/>
  <c r="BH310" i="11"/>
  <c r="R319" i="11"/>
  <c r="AP319" i="11"/>
  <c r="R333" i="11"/>
  <c r="AP333" i="11"/>
  <c r="U335" i="11"/>
  <c r="AS335" i="11"/>
  <c r="AH349" i="11"/>
  <c r="G355" i="11"/>
  <c r="AE355" i="11"/>
  <c r="BC355" i="11"/>
  <c r="K357" i="11"/>
  <c r="AI357" i="11"/>
  <c r="BG357" i="11"/>
  <c r="Z364" i="11"/>
  <c r="AX364" i="11"/>
  <c r="M378" i="11"/>
  <c r="AK378" i="11"/>
  <c r="BI378" i="11"/>
  <c r="Q380" i="11"/>
  <c r="AO380" i="11"/>
  <c r="W391" i="11"/>
  <c r="AU391" i="11"/>
  <c r="Y393" i="11"/>
  <c r="AW393" i="11"/>
  <c r="O399" i="11"/>
  <c r="AM399" i="11"/>
  <c r="E400" i="11"/>
  <c r="AD400" i="11"/>
  <c r="BC400" i="11"/>
  <c r="AP402" i="11"/>
  <c r="AE411" i="11"/>
  <c r="BF411" i="11"/>
  <c r="Q417" i="11"/>
  <c r="AP417" i="11"/>
  <c r="AA421" i="11"/>
  <c r="BD421" i="11"/>
  <c r="K425" i="11"/>
  <c r="AT425" i="11"/>
  <c r="Y427" i="11"/>
  <c r="AW427" i="11"/>
  <c r="P431" i="11"/>
  <c r="AX437" i="11"/>
  <c r="K444" i="11"/>
  <c r="AZ444" i="11"/>
  <c r="F60" i="11"/>
  <c r="AD60" i="11"/>
  <c r="BB60" i="11"/>
  <c r="H70" i="11"/>
  <c r="AF70" i="11"/>
  <c r="BD70" i="11"/>
  <c r="N86" i="11"/>
  <c r="AL86" i="11"/>
  <c r="Z92" i="11"/>
  <c r="AX92" i="11"/>
  <c r="M310" i="11"/>
  <c r="AK310" i="11"/>
  <c r="BI310" i="11"/>
  <c r="S319" i="11"/>
  <c r="AQ319" i="11"/>
  <c r="S333" i="11"/>
  <c r="AQ333" i="11"/>
  <c r="V335" i="11"/>
  <c r="AT335" i="11"/>
  <c r="AN349" i="11"/>
  <c r="H355" i="11"/>
  <c r="AF355" i="11"/>
  <c r="BD355" i="11"/>
  <c r="L357" i="11"/>
  <c r="AJ357" i="11"/>
  <c r="BH357" i="11"/>
  <c r="AA364" i="11"/>
  <c r="AY364" i="11"/>
  <c r="N378" i="11"/>
  <c r="AL378" i="11"/>
  <c r="R380" i="11"/>
  <c r="AP380" i="11"/>
  <c r="H390" i="11"/>
  <c r="AG390" i="11"/>
  <c r="BF390" i="11"/>
  <c r="X391" i="11"/>
  <c r="AV391" i="11"/>
  <c r="Z393" i="11"/>
  <c r="AX393" i="11"/>
  <c r="P399" i="11"/>
  <c r="AN399" i="11"/>
  <c r="F400" i="11"/>
  <c r="AE400" i="11"/>
  <c r="BD400" i="11"/>
  <c r="AS402" i="11"/>
  <c r="F404" i="11"/>
  <c r="AD404" i="11"/>
  <c r="BB404" i="11"/>
  <c r="E411" i="11"/>
  <c r="AF411" i="11"/>
  <c r="BG411" i="11"/>
  <c r="Y412" i="11"/>
  <c r="AW412" i="11"/>
  <c r="R417" i="11"/>
  <c r="AQ417" i="11"/>
  <c r="Q419" i="11"/>
  <c r="AB421" i="11"/>
  <c r="BE421" i="11"/>
  <c r="L425" i="11"/>
  <c r="AX425" i="11"/>
  <c r="AC426" i="11"/>
  <c r="BH426" i="11"/>
  <c r="Z427" i="11"/>
  <c r="AX427" i="11"/>
  <c r="AG429" i="11"/>
  <c r="R431" i="11"/>
  <c r="AU435" i="11"/>
  <c r="BC437" i="11"/>
  <c r="BE439" i="11"/>
  <c r="M444" i="11"/>
  <c r="BF444" i="11"/>
  <c r="N310" i="11"/>
  <c r="AL310" i="11"/>
  <c r="AO349" i="11"/>
  <c r="I355" i="11"/>
  <c r="AG355" i="11"/>
  <c r="BE355" i="11"/>
  <c r="M357" i="11"/>
  <c r="AK357" i="11"/>
  <c r="BI357" i="11"/>
  <c r="Y391" i="11"/>
  <c r="AW391" i="11"/>
  <c r="G400" i="11"/>
  <c r="AF400" i="11"/>
  <c r="BE400" i="11"/>
  <c r="O310" i="11"/>
  <c r="AM310" i="11"/>
  <c r="U333" i="11"/>
  <c r="AS333" i="11"/>
  <c r="X335" i="11"/>
  <c r="AV335" i="11"/>
  <c r="AP349" i="11"/>
  <c r="J355" i="11"/>
  <c r="AH355" i="11"/>
  <c r="BF355" i="11"/>
  <c r="N357" i="11"/>
  <c r="AL357" i="11"/>
  <c r="P378" i="11"/>
  <c r="AN378" i="11"/>
  <c r="Z391" i="11"/>
  <c r="AX391" i="11"/>
  <c r="H400" i="11"/>
  <c r="AG400" i="11"/>
  <c r="BF400" i="11"/>
  <c r="G411" i="11"/>
  <c r="AH411" i="11"/>
  <c r="BI411" i="11"/>
  <c r="AD421" i="11"/>
  <c r="BG421" i="11"/>
  <c r="AI358" i="22"/>
  <c r="I16" i="11"/>
  <c r="AG16" i="11"/>
  <c r="BE16" i="11"/>
  <c r="Q20" i="11"/>
  <c r="AO20" i="11"/>
  <c r="I60" i="11"/>
  <c r="AG60" i="11"/>
  <c r="BE60" i="11"/>
  <c r="K70" i="11"/>
  <c r="AI70" i="11"/>
  <c r="BG70" i="11"/>
  <c r="Q86" i="11"/>
  <c r="AO86" i="11"/>
  <c r="E92" i="11"/>
  <c r="AC92" i="11"/>
  <c r="BA92" i="11"/>
  <c r="P310" i="11"/>
  <c r="AN310" i="11"/>
  <c r="V319" i="11"/>
  <c r="AT319" i="11"/>
  <c r="V333" i="11"/>
  <c r="AT333" i="11"/>
  <c r="Y335" i="11"/>
  <c r="AW335" i="11"/>
  <c r="AQ349" i="11"/>
  <c r="K355" i="11"/>
  <c r="AI355" i="11"/>
  <c r="BG355" i="11"/>
  <c r="O357" i="11"/>
  <c r="AM357" i="11"/>
  <c r="Q378" i="11"/>
  <c r="AO378" i="11"/>
  <c r="AA391" i="11"/>
  <c r="AY391" i="11"/>
  <c r="BA393" i="11"/>
  <c r="I400" i="11"/>
  <c r="AH400" i="11"/>
  <c r="BG400" i="11"/>
  <c r="H411" i="11"/>
  <c r="AI411" i="11"/>
  <c r="U417" i="11"/>
  <c r="AT417" i="11"/>
  <c r="AE421" i="11"/>
  <c r="BH421" i="11"/>
  <c r="P444" i="11"/>
  <c r="J60" i="11"/>
  <c r="AH60" i="11"/>
  <c r="BF60" i="11"/>
  <c r="L70" i="11"/>
  <c r="AJ70" i="11"/>
  <c r="BH70" i="11"/>
  <c r="R86" i="11"/>
  <c r="AP86" i="11"/>
  <c r="F92" i="11"/>
  <c r="AD92" i="11"/>
  <c r="BB92" i="11"/>
  <c r="Q310" i="11"/>
  <c r="AO310" i="11"/>
  <c r="W319" i="11"/>
  <c r="AU319" i="11"/>
  <c r="W333" i="11"/>
  <c r="AU333" i="11"/>
  <c r="Z335" i="11"/>
  <c r="AX335" i="11"/>
  <c r="AY349" i="11"/>
  <c r="L355" i="11"/>
  <c r="AJ355" i="11"/>
  <c r="BH355" i="11"/>
  <c r="P357" i="11"/>
  <c r="AN357" i="11"/>
  <c r="R378" i="11"/>
  <c r="AP378" i="11"/>
  <c r="AB391" i="11"/>
  <c r="AZ391" i="11"/>
  <c r="J400" i="11"/>
  <c r="AI400" i="11"/>
  <c r="BH400" i="11"/>
  <c r="I411" i="11"/>
  <c r="AJ411" i="11"/>
  <c r="V417" i="11"/>
  <c r="AU417" i="11"/>
  <c r="AF421" i="11"/>
  <c r="BI421" i="11"/>
  <c r="AD431" i="11"/>
  <c r="Q444" i="11"/>
  <c r="K60" i="11"/>
  <c r="AI60" i="11"/>
  <c r="BG60" i="11"/>
  <c r="M70" i="11"/>
  <c r="AK70" i="11"/>
  <c r="BI70" i="11"/>
  <c r="S86" i="11"/>
  <c r="AQ86" i="11"/>
  <c r="G92" i="11"/>
  <c r="AE92" i="11"/>
  <c r="BC92" i="11"/>
  <c r="R310" i="11"/>
  <c r="AP310" i="11"/>
  <c r="X319" i="11"/>
  <c r="AV319" i="11"/>
  <c r="X333" i="11"/>
  <c r="AV333" i="11"/>
  <c r="AA335" i="11"/>
  <c r="AY335" i="11"/>
  <c r="BC349" i="11"/>
  <c r="M355" i="11"/>
  <c r="AK355" i="11"/>
  <c r="BI355" i="11"/>
  <c r="Q357" i="11"/>
  <c r="AO357" i="11"/>
  <c r="S378" i="11"/>
  <c r="AQ378" i="11"/>
  <c r="E391" i="11"/>
  <c r="AC391" i="11"/>
  <c r="BA391" i="11"/>
  <c r="K400" i="11"/>
  <c r="AJ400" i="11"/>
  <c r="BI400" i="11"/>
  <c r="J411" i="11"/>
  <c r="AK411" i="11"/>
  <c r="W417" i="11"/>
  <c r="AV417" i="11"/>
  <c r="AG421" i="11"/>
  <c r="R444" i="11"/>
  <c r="T378" i="11"/>
  <c r="AR378" i="11"/>
  <c r="F391" i="11"/>
  <c r="AD391" i="11"/>
  <c r="BB391" i="11"/>
  <c r="L400" i="11"/>
  <c r="AK400" i="11"/>
  <c r="K411" i="11"/>
  <c r="AL411" i="11"/>
  <c r="E421" i="11"/>
  <c r="AH421" i="11"/>
  <c r="T444" i="11"/>
  <c r="W5" i="11"/>
  <c r="AU5" i="11"/>
  <c r="M16" i="11"/>
  <c r="AK16" i="11"/>
  <c r="BI16" i="11"/>
  <c r="U20" i="11"/>
  <c r="AS20" i="11"/>
  <c r="M60" i="11"/>
  <c r="AK60" i="11"/>
  <c r="BI60" i="11"/>
  <c r="O70" i="11"/>
  <c r="AM70" i="11"/>
  <c r="U86" i="11"/>
  <c r="AS86" i="11"/>
  <c r="I92" i="11"/>
  <c r="AG92" i="11"/>
  <c r="BE92" i="11"/>
  <c r="T310" i="11"/>
  <c r="AR310" i="11"/>
  <c r="Z319" i="11"/>
  <c r="AX319" i="11"/>
  <c r="Z333" i="11"/>
  <c r="AX333" i="11"/>
  <c r="E335" i="11"/>
  <c r="AC335" i="11"/>
  <c r="BA335" i="11"/>
  <c r="O355" i="11"/>
  <c r="AM355" i="11"/>
  <c r="S357" i="11"/>
  <c r="AQ357" i="11"/>
  <c r="U378" i="11"/>
  <c r="AS378" i="11"/>
  <c r="G391" i="11"/>
  <c r="AE391" i="11"/>
  <c r="BC391" i="11"/>
  <c r="I393" i="11"/>
  <c r="AG393" i="11"/>
  <c r="BE393" i="11"/>
  <c r="W399" i="11"/>
  <c r="AU399" i="11"/>
  <c r="M400" i="11"/>
  <c r="AL400" i="11"/>
  <c r="L411" i="11"/>
  <c r="AM411" i="11"/>
  <c r="Y417" i="11"/>
  <c r="AY417" i="11"/>
  <c r="F421" i="11"/>
  <c r="AI421" i="11"/>
  <c r="T425" i="11"/>
  <c r="I427" i="11"/>
  <c r="AG427" i="11"/>
  <c r="BE427" i="11"/>
  <c r="BE431" i="11"/>
  <c r="AD434" i="11"/>
  <c r="U444" i="11"/>
  <c r="Z445" i="11"/>
  <c r="N60" i="11"/>
  <c r="AL60" i="11"/>
  <c r="P70" i="11"/>
  <c r="AN70" i="11"/>
  <c r="V86" i="11"/>
  <c r="AT86" i="11"/>
  <c r="J92" i="11"/>
  <c r="AH92" i="11"/>
  <c r="BF92" i="11"/>
  <c r="U310" i="11"/>
  <c r="AS310" i="11"/>
  <c r="AA319" i="11"/>
  <c r="AY319" i="11"/>
  <c r="AA333" i="11"/>
  <c r="AY333" i="11"/>
  <c r="F335" i="11"/>
  <c r="AD335" i="11"/>
  <c r="BB335" i="11"/>
  <c r="P355" i="11"/>
  <c r="AN355" i="11"/>
  <c r="T357" i="11"/>
  <c r="AR357" i="11"/>
  <c r="V378" i="11"/>
  <c r="AT378" i="11"/>
  <c r="H391" i="11"/>
  <c r="AF391" i="11"/>
  <c r="BD391" i="11"/>
  <c r="N400" i="11"/>
  <c r="AN400" i="11"/>
  <c r="M411" i="11"/>
  <c r="AN411" i="11"/>
  <c r="AA417" i="11"/>
  <c r="AZ417" i="11"/>
  <c r="G421" i="11"/>
  <c r="AJ421" i="11"/>
  <c r="V444" i="11"/>
  <c r="AM60" i="11"/>
  <c r="Q70" i="11"/>
  <c r="AO70" i="11"/>
  <c r="W86" i="11"/>
  <c r="AU86" i="11"/>
  <c r="K92" i="11"/>
  <c r="AI92" i="11"/>
  <c r="BG92" i="11"/>
  <c r="V310" i="11"/>
  <c r="AT310" i="11"/>
  <c r="Q355" i="11"/>
  <c r="AO355" i="11"/>
  <c r="U357" i="11"/>
  <c r="AS357" i="11"/>
  <c r="W378" i="11"/>
  <c r="AU378" i="11"/>
  <c r="I391" i="11"/>
  <c r="AG391" i="11"/>
  <c r="BE391" i="11"/>
  <c r="P400" i="11"/>
  <c r="AO400" i="11"/>
  <c r="N411" i="11"/>
  <c r="AO411" i="11"/>
  <c r="H421" i="11"/>
  <c r="AL421" i="11"/>
  <c r="AN16" i="11"/>
  <c r="AV20" i="11"/>
  <c r="P60" i="11"/>
  <c r="AN60" i="11"/>
  <c r="R70" i="11"/>
  <c r="AP70" i="11"/>
  <c r="X86" i="11"/>
  <c r="AV86" i="11"/>
  <c r="L92" i="11"/>
  <c r="AJ92" i="11"/>
  <c r="BH92" i="11"/>
  <c r="W310" i="11"/>
  <c r="AU310" i="11"/>
  <c r="E319" i="11"/>
  <c r="AC319" i="11"/>
  <c r="BA319" i="11"/>
  <c r="E333" i="11"/>
  <c r="AC333" i="11"/>
  <c r="BA333" i="11"/>
  <c r="H335" i="11"/>
  <c r="AF335" i="11"/>
  <c r="BD335" i="11"/>
  <c r="R355" i="11"/>
  <c r="AP355" i="11"/>
  <c r="V357" i="11"/>
  <c r="AT357" i="11"/>
  <c r="X378" i="11"/>
  <c r="AV378" i="11"/>
  <c r="J391" i="11"/>
  <c r="AH391" i="11"/>
  <c r="BF391" i="11"/>
  <c r="Q400" i="11"/>
  <c r="AP400" i="11"/>
  <c r="O411" i="11"/>
  <c r="AP411" i="11"/>
  <c r="AC417" i="11"/>
  <c r="BB417" i="11"/>
  <c r="I421" i="11"/>
  <c r="AM421" i="11"/>
  <c r="AB444" i="11"/>
  <c r="O60" i="11"/>
  <c r="AX5" i="11"/>
  <c r="P16" i="11"/>
  <c r="X20" i="11"/>
  <c r="AA5" i="11"/>
  <c r="AY5" i="11"/>
  <c r="Q16" i="11"/>
  <c r="AO16" i="11"/>
  <c r="Y20" i="11"/>
  <c r="AW20" i="11"/>
  <c r="Q60" i="11"/>
  <c r="AO60" i="11"/>
  <c r="S70" i="11"/>
  <c r="AQ70" i="11"/>
  <c r="Y86" i="11"/>
  <c r="AW86" i="11"/>
  <c r="M92" i="11"/>
  <c r="AK92" i="11"/>
  <c r="BI92" i="11"/>
  <c r="X310" i="11"/>
  <c r="AV310" i="11"/>
  <c r="F319" i="11"/>
  <c r="AD319" i="11"/>
  <c r="BB319" i="11"/>
  <c r="F333" i="11"/>
  <c r="AD333" i="11"/>
  <c r="BB333" i="11"/>
  <c r="I335" i="11"/>
  <c r="AG335" i="11"/>
  <c r="BE335" i="11"/>
  <c r="S355" i="11"/>
  <c r="AQ355" i="11"/>
  <c r="W357" i="11"/>
  <c r="AU357" i="11"/>
  <c r="Y378" i="11"/>
  <c r="AW378" i="11"/>
  <c r="K391" i="11"/>
  <c r="AI391" i="11"/>
  <c r="BG391" i="11"/>
  <c r="M393" i="11"/>
  <c r="AK393" i="11"/>
  <c r="BI393" i="11"/>
  <c r="AA399" i="11"/>
  <c r="AY399" i="11"/>
  <c r="R400" i="11"/>
  <c r="AQ400" i="11"/>
  <c r="P411" i="11"/>
  <c r="AQ411" i="11"/>
  <c r="E417" i="11"/>
  <c r="AD417" i="11"/>
  <c r="BC417" i="11"/>
  <c r="K421" i="11"/>
  <c r="AP421" i="11"/>
  <c r="AH444" i="11"/>
  <c r="AU445" i="11"/>
  <c r="Z5" i="11"/>
  <c r="AB5" i="11"/>
  <c r="AZ5" i="11"/>
  <c r="R16" i="11"/>
  <c r="AP16" i="11"/>
  <c r="Z20" i="11"/>
  <c r="AX20" i="11"/>
  <c r="R60" i="11"/>
  <c r="AP60" i="11"/>
  <c r="T70" i="11"/>
  <c r="AR70" i="11"/>
  <c r="Z86" i="11"/>
  <c r="AX86" i="11"/>
  <c r="N92" i="11"/>
  <c r="AL92" i="11"/>
  <c r="Y310" i="11"/>
  <c r="AW310" i="11"/>
  <c r="G319" i="11"/>
  <c r="AE319" i="11"/>
  <c r="BC319" i="11"/>
  <c r="G333" i="11"/>
  <c r="AE333" i="11"/>
  <c r="BC333" i="11"/>
  <c r="J335" i="11"/>
  <c r="AH335" i="11"/>
  <c r="BF335" i="11"/>
  <c r="T355" i="11"/>
  <c r="AR355" i="11"/>
  <c r="X357" i="11"/>
  <c r="AV357" i="11"/>
  <c r="Z378" i="11"/>
  <c r="AX378" i="11"/>
  <c r="F380" i="11"/>
  <c r="AD380" i="11"/>
  <c r="BB380" i="11"/>
  <c r="L391" i="11"/>
  <c r="AJ391" i="11"/>
  <c r="BH391" i="11"/>
  <c r="N393" i="11"/>
  <c r="AL393" i="11"/>
  <c r="AB399" i="11"/>
  <c r="AZ399" i="11"/>
  <c r="S400" i="11"/>
  <c r="AR400" i="11"/>
  <c r="Q411" i="11"/>
  <c r="AR411" i="11"/>
  <c r="F417" i="11"/>
  <c r="AE417" i="11"/>
  <c r="BD417" i="11"/>
  <c r="L421" i="11"/>
  <c r="AR421" i="11"/>
  <c r="AI444" i="11"/>
  <c r="AX445" i="11"/>
  <c r="S60" i="11"/>
  <c r="AQ60" i="11"/>
  <c r="U70" i="11"/>
  <c r="AS70" i="11"/>
  <c r="AA86" i="11"/>
  <c r="AY86" i="11"/>
  <c r="O92" i="11"/>
  <c r="AM92" i="11"/>
  <c r="Z310" i="11"/>
  <c r="AX310" i="11"/>
  <c r="H319" i="11"/>
  <c r="AF319" i="11"/>
  <c r="BD319" i="11"/>
  <c r="H333" i="11"/>
  <c r="AF333" i="11"/>
  <c r="BD333" i="11"/>
  <c r="K335" i="11"/>
  <c r="AI335" i="11"/>
  <c r="BG335" i="11"/>
  <c r="U355" i="11"/>
  <c r="AS355" i="11"/>
  <c r="Y357" i="11"/>
  <c r="AW357" i="11"/>
  <c r="AA378" i="11"/>
  <c r="AY378" i="11"/>
  <c r="M391" i="11"/>
  <c r="AK391" i="11"/>
  <c r="BI391" i="11"/>
  <c r="T400" i="11"/>
  <c r="AS400" i="11"/>
  <c r="R411" i="11"/>
  <c r="AT411" i="11"/>
  <c r="G417" i="11"/>
  <c r="AF417" i="11"/>
  <c r="BE417" i="11"/>
  <c r="N421" i="11"/>
  <c r="AT421" i="11"/>
  <c r="AJ444" i="11"/>
  <c r="F5" i="11"/>
  <c r="AD5" i="11"/>
  <c r="BB5" i="11"/>
  <c r="T16" i="11"/>
  <c r="AR16" i="11"/>
  <c r="AB20" i="11"/>
  <c r="AZ20" i="11"/>
  <c r="T60" i="11"/>
  <c r="AR60" i="11"/>
  <c r="V70" i="11"/>
  <c r="AT70" i="11"/>
  <c r="AB86" i="11"/>
  <c r="AZ86" i="11"/>
  <c r="P92" i="11"/>
  <c r="AN92" i="11"/>
  <c r="AA310" i="11"/>
  <c r="AY310" i="11"/>
  <c r="I319" i="11"/>
  <c r="AG319" i="11"/>
  <c r="BE319" i="11"/>
  <c r="I333" i="11"/>
  <c r="AG333" i="11"/>
  <c r="BE333" i="11"/>
  <c r="L335" i="11"/>
  <c r="AJ335" i="11"/>
  <c r="BH335" i="11"/>
  <c r="V355" i="11"/>
  <c r="AT355" i="11"/>
  <c r="Z357" i="11"/>
  <c r="AX357" i="11"/>
  <c r="AB378" i="11"/>
  <c r="AZ378" i="11"/>
  <c r="N391" i="11"/>
  <c r="AL391" i="11"/>
  <c r="P393" i="11"/>
  <c r="AN393" i="11"/>
  <c r="F399" i="11"/>
  <c r="AD399" i="11"/>
  <c r="BB399" i="11"/>
  <c r="U400" i="11"/>
  <c r="AT400" i="11"/>
  <c r="S411" i="11"/>
  <c r="AV411" i="11"/>
  <c r="H417" i="11"/>
  <c r="AG417" i="11"/>
  <c r="BF417" i="11"/>
  <c r="O421" i="11"/>
  <c r="AU421" i="11"/>
  <c r="G437" i="11"/>
  <c r="AK444" i="11"/>
  <c r="AB310" i="11"/>
  <c r="AZ310" i="11"/>
  <c r="G349" i="11"/>
  <c r="W355" i="11"/>
  <c r="AU355" i="11"/>
  <c r="AA357" i="11"/>
  <c r="AY357" i="11"/>
  <c r="E378" i="11"/>
  <c r="AC378" i="11"/>
  <c r="BA378" i="11"/>
  <c r="O391" i="11"/>
  <c r="AM391" i="11"/>
  <c r="V400" i="11"/>
  <c r="AU400" i="11"/>
  <c r="T411" i="11"/>
  <c r="AX411" i="11"/>
  <c r="P421" i="11"/>
  <c r="AV421" i="11"/>
  <c r="V60" i="11"/>
  <c r="AT60" i="11"/>
  <c r="X70" i="11"/>
  <c r="AV70" i="11"/>
  <c r="F86" i="11"/>
  <c r="AD86" i="11"/>
  <c r="BB86" i="11"/>
  <c r="R92" i="11"/>
  <c r="AP92" i="11"/>
  <c r="E310" i="11"/>
  <c r="AC310" i="11"/>
  <c r="BA310" i="11"/>
  <c r="K319" i="11"/>
  <c r="AI319" i="11"/>
  <c r="BG319" i="11"/>
  <c r="K333" i="11"/>
  <c r="AI333" i="11"/>
  <c r="BG333" i="11"/>
  <c r="N335" i="11"/>
  <c r="AL335" i="11"/>
  <c r="J349" i="11"/>
  <c r="X355" i="11"/>
  <c r="AV355" i="11"/>
  <c r="AB357" i="11"/>
  <c r="AZ357" i="11"/>
  <c r="F378" i="11"/>
  <c r="AD378" i="11"/>
  <c r="BB378" i="11"/>
  <c r="P391" i="11"/>
  <c r="AN391" i="11"/>
  <c r="W400" i="11"/>
  <c r="AV400" i="11"/>
  <c r="V411" i="11"/>
  <c r="AY411" i="11"/>
  <c r="J417" i="11"/>
  <c r="AI417" i="11"/>
  <c r="BH417" i="11"/>
  <c r="R421" i="11"/>
  <c r="AW421" i="11"/>
  <c r="AM444" i="11"/>
  <c r="F310" i="11"/>
  <c r="AD310" i="11"/>
  <c r="BB310" i="11"/>
  <c r="L333" i="11"/>
  <c r="AJ333" i="11"/>
  <c r="BH333" i="11"/>
  <c r="O335" i="11"/>
  <c r="AM335" i="11"/>
  <c r="P349" i="11"/>
  <c r="Y355" i="11"/>
  <c r="AW355" i="11"/>
  <c r="E357" i="11"/>
  <c r="AC357" i="11"/>
  <c r="BA357" i="11"/>
  <c r="G378" i="11"/>
  <c r="AE378" i="11"/>
  <c r="BC378" i="11"/>
  <c r="Q391" i="11"/>
  <c r="AO391" i="11"/>
  <c r="X400" i="11"/>
  <c r="AW400" i="11"/>
  <c r="X411" i="11"/>
  <c r="AZ411" i="11"/>
  <c r="T421" i="11"/>
  <c r="AX421" i="11"/>
  <c r="AN444" i="11"/>
  <c r="AV60" i="11"/>
  <c r="Z70" i="11"/>
  <c r="AX70" i="11"/>
  <c r="H86" i="11"/>
  <c r="AF86" i="11"/>
  <c r="BD86" i="11"/>
  <c r="T92" i="11"/>
  <c r="AR92" i="11"/>
  <c r="G310" i="11"/>
  <c r="AE310" i="11"/>
  <c r="BC310" i="11"/>
  <c r="M319" i="11"/>
  <c r="AK319" i="11"/>
  <c r="BI319" i="11"/>
  <c r="M333" i="11"/>
  <c r="AK333" i="11"/>
  <c r="BI333" i="11"/>
  <c r="P335" i="11"/>
  <c r="AN335" i="11"/>
  <c r="Q349" i="11"/>
  <c r="Z355" i="11"/>
  <c r="AX355" i="11"/>
  <c r="F357" i="11"/>
  <c r="AD357" i="11"/>
  <c r="BB357" i="11"/>
  <c r="H378" i="11"/>
  <c r="AF378" i="11"/>
  <c r="BD378" i="11"/>
  <c r="R391" i="11"/>
  <c r="AP391" i="11"/>
  <c r="Y400" i="11"/>
  <c r="AX400" i="11"/>
  <c r="Z411" i="11"/>
  <c r="BA411" i="11"/>
  <c r="V421" i="11"/>
  <c r="AY421" i="11"/>
  <c r="AO444" i="11"/>
  <c r="X60" i="11"/>
  <c r="K5" i="11"/>
  <c r="AI5" i="11"/>
  <c r="BG5" i="11"/>
  <c r="Y16" i="11"/>
  <c r="I20" i="11"/>
  <c r="AG20" i="11"/>
  <c r="BE20" i="11"/>
  <c r="Y60" i="11"/>
  <c r="AW60" i="11"/>
  <c r="AA70" i="11"/>
  <c r="AY70" i="11"/>
  <c r="I86" i="11"/>
  <c r="AG86" i="11"/>
  <c r="BE86" i="11"/>
  <c r="U92" i="11"/>
  <c r="AS92" i="11"/>
  <c r="H310" i="11"/>
  <c r="AF310" i="11"/>
  <c r="BD310" i="11"/>
  <c r="N319" i="11"/>
  <c r="N333" i="11"/>
  <c r="AL333" i="11"/>
  <c r="Q335" i="11"/>
  <c r="AO335" i="11"/>
  <c r="R349" i="11"/>
  <c r="AA355" i="11"/>
  <c r="AY355" i="11"/>
  <c r="G357" i="11"/>
  <c r="AE357" i="11"/>
  <c r="BC357" i="11"/>
  <c r="I378" i="11"/>
  <c r="AG378" i="11"/>
  <c r="BE378" i="11"/>
  <c r="S391" i="11"/>
  <c r="AQ391" i="11"/>
  <c r="U393" i="11"/>
  <c r="AS393" i="11"/>
  <c r="K399" i="11"/>
  <c r="AI399" i="11"/>
  <c r="BG399" i="11"/>
  <c r="Z400" i="11"/>
  <c r="AA411" i="11"/>
  <c r="BB411" i="11"/>
  <c r="M417" i="11"/>
  <c r="AL417" i="11"/>
  <c r="W421" i="11"/>
  <c r="AZ421" i="11"/>
  <c r="AE437" i="11"/>
  <c r="AP444" i="11"/>
  <c r="Y325" i="11"/>
  <c r="M331" i="11"/>
  <c r="AI96" i="22"/>
  <c r="BG66" i="11"/>
  <c r="AI66" i="11"/>
  <c r="K66" i="11"/>
  <c r="BE66" i="11"/>
  <c r="BF66" i="11"/>
  <c r="AH66" i="11"/>
  <c r="J66" i="11"/>
  <c r="BD66" i="11"/>
  <c r="AF66" i="11"/>
  <c r="H66" i="11"/>
  <c r="BC66" i="11"/>
  <c r="AE66" i="11"/>
  <c r="G66" i="11"/>
  <c r="BB66" i="11"/>
  <c r="AD66" i="11"/>
  <c r="F66" i="11"/>
  <c r="BA66" i="11"/>
  <c r="AC66" i="11"/>
  <c r="E66" i="11"/>
  <c r="AU66" i="11"/>
  <c r="AZ66" i="11"/>
  <c r="AB66" i="11"/>
  <c r="V66" i="11"/>
  <c r="AY66" i="11"/>
  <c r="AA66" i="11"/>
  <c r="AT66" i="11"/>
  <c r="AX66" i="11"/>
  <c r="Z66" i="11"/>
  <c r="AW66" i="11"/>
  <c r="Y66" i="11"/>
  <c r="W66" i="11"/>
  <c r="AV66" i="11"/>
  <c r="X66" i="11"/>
  <c r="AS66" i="11"/>
  <c r="U66" i="11"/>
  <c r="AR66" i="11"/>
  <c r="T66" i="11"/>
  <c r="AQ66" i="11"/>
  <c r="S66" i="11"/>
  <c r="AN66" i="11"/>
  <c r="P66" i="11"/>
  <c r="AG66" i="11"/>
  <c r="AM66" i="11"/>
  <c r="O66" i="11"/>
  <c r="AL66" i="11"/>
  <c r="N66" i="11"/>
  <c r="BI66" i="11"/>
  <c r="AK66" i="11"/>
  <c r="M66" i="11"/>
  <c r="I66" i="11"/>
  <c r="BH66" i="11"/>
  <c r="AJ66" i="11"/>
  <c r="L66" i="11"/>
  <c r="AI162" i="22"/>
  <c r="AW98" i="11"/>
  <c r="Y98" i="11"/>
  <c r="AV98" i="11"/>
  <c r="X98" i="11"/>
  <c r="AU98" i="11"/>
  <c r="AT98" i="11"/>
  <c r="V98" i="11"/>
  <c r="AS98" i="11"/>
  <c r="U98" i="11"/>
  <c r="AR98" i="11"/>
  <c r="T98" i="11"/>
  <c r="AQ98" i="11"/>
  <c r="S98" i="11"/>
  <c r="AP98" i="11"/>
  <c r="R98" i="11"/>
  <c r="BI98" i="11"/>
  <c r="M98" i="11"/>
  <c r="AO98" i="11"/>
  <c r="Q98" i="11"/>
  <c r="AK98" i="11"/>
  <c r="AN98" i="11"/>
  <c r="P98" i="11"/>
  <c r="AM98" i="11"/>
  <c r="O98" i="11"/>
  <c r="AL98" i="11"/>
  <c r="N98" i="11"/>
  <c r="BH98" i="11"/>
  <c r="AJ98" i="11"/>
  <c r="L98" i="11"/>
  <c r="BG98" i="11"/>
  <c r="AI98" i="11"/>
  <c r="K98" i="11"/>
  <c r="BF98" i="11"/>
  <c r="AH98" i="11"/>
  <c r="J98" i="11"/>
  <c r="BE98" i="11"/>
  <c r="AG98" i="11"/>
  <c r="I98" i="11"/>
  <c r="BB98" i="11"/>
  <c r="AD98" i="11"/>
  <c r="F98" i="11"/>
  <c r="BA98" i="11"/>
  <c r="AC98" i="11"/>
  <c r="E98" i="11"/>
  <c r="AZ98" i="11"/>
  <c r="AB98" i="11"/>
  <c r="W98" i="11"/>
  <c r="AY98" i="11"/>
  <c r="AA98" i="11"/>
  <c r="AX98" i="11"/>
  <c r="Z98" i="11"/>
  <c r="AI189" i="22"/>
  <c r="BB117" i="11"/>
  <c r="AD117" i="11"/>
  <c r="F117" i="11"/>
  <c r="AB117" i="11"/>
  <c r="BA117" i="11"/>
  <c r="AC117" i="11"/>
  <c r="E117" i="11"/>
  <c r="AY117" i="11"/>
  <c r="AA117" i="11"/>
  <c r="AX117" i="11"/>
  <c r="Z117" i="11"/>
  <c r="AW117" i="11"/>
  <c r="Y117" i="11"/>
  <c r="AV117" i="11"/>
  <c r="X117" i="11"/>
  <c r="AU117" i="11"/>
  <c r="W117" i="11"/>
  <c r="AT117" i="11"/>
  <c r="V117" i="11"/>
  <c r="AS117" i="11"/>
  <c r="U117" i="11"/>
  <c r="AR117" i="11"/>
  <c r="T117" i="11"/>
  <c r="R117" i="11"/>
  <c r="AQ117" i="11"/>
  <c r="S117" i="11"/>
  <c r="AP117" i="11"/>
  <c r="AO117" i="11"/>
  <c r="Q117" i="11"/>
  <c r="AN117" i="11"/>
  <c r="P117" i="11"/>
  <c r="AM117" i="11"/>
  <c r="O117" i="11"/>
  <c r="AL117" i="11"/>
  <c r="N117" i="11"/>
  <c r="BG117" i="11"/>
  <c r="AI117" i="11"/>
  <c r="K117" i="11"/>
  <c r="BF117" i="11"/>
  <c r="AH117" i="11"/>
  <c r="J117" i="11"/>
  <c r="BE117" i="11"/>
  <c r="AG117" i="11"/>
  <c r="I117" i="11"/>
  <c r="BD117" i="11"/>
  <c r="AF117" i="11"/>
  <c r="H117" i="11"/>
  <c r="AZ117" i="11"/>
  <c r="BC117" i="11"/>
  <c r="AE117" i="11"/>
  <c r="G117" i="11"/>
  <c r="AI154" i="22"/>
  <c r="BG122" i="11"/>
  <c r="AI122" i="11"/>
  <c r="K122" i="11"/>
  <c r="I122" i="11"/>
  <c r="BF122" i="11"/>
  <c r="AH122" i="11"/>
  <c r="J122" i="11"/>
  <c r="BD122" i="11"/>
  <c r="AF122" i="11"/>
  <c r="H122" i="11"/>
  <c r="BC122" i="11"/>
  <c r="AE122" i="11"/>
  <c r="G122" i="11"/>
  <c r="BB122" i="11"/>
  <c r="AD122" i="11"/>
  <c r="F122" i="11"/>
  <c r="BA122" i="11"/>
  <c r="AC122" i="11"/>
  <c r="E122" i="11"/>
  <c r="AZ122" i="11"/>
  <c r="AB122" i="11"/>
  <c r="AY122" i="11"/>
  <c r="AA122" i="11"/>
  <c r="AU122" i="11"/>
  <c r="AX122" i="11"/>
  <c r="Z122" i="11"/>
  <c r="AW122" i="11"/>
  <c r="Y122" i="11"/>
  <c r="W122" i="11"/>
  <c r="AV122" i="11"/>
  <c r="X122" i="11"/>
  <c r="AT122" i="11"/>
  <c r="V122" i="11"/>
  <c r="AS122" i="11"/>
  <c r="U122" i="11"/>
  <c r="AR122" i="11"/>
  <c r="T122" i="11"/>
  <c r="AQ122" i="11"/>
  <c r="S122" i="11"/>
  <c r="AN122" i="11"/>
  <c r="P122" i="11"/>
  <c r="AM122" i="11"/>
  <c r="O122" i="11"/>
  <c r="AL122" i="11"/>
  <c r="N122" i="11"/>
  <c r="BE122" i="11"/>
  <c r="BI122" i="11"/>
  <c r="AK122" i="11"/>
  <c r="M122" i="11"/>
  <c r="BH122" i="11"/>
  <c r="AJ122" i="11"/>
  <c r="L122" i="11"/>
  <c r="AG122" i="11"/>
  <c r="AI205" i="22"/>
  <c r="BH304" i="11"/>
  <c r="AJ304" i="11"/>
  <c r="L304" i="11"/>
  <c r="BG304" i="11"/>
  <c r="AI304" i="11"/>
  <c r="K304" i="11"/>
  <c r="BF304" i="11"/>
  <c r="AH304" i="11"/>
  <c r="J304" i="11"/>
  <c r="BE304" i="11"/>
  <c r="AG304" i="11"/>
  <c r="I304" i="11"/>
  <c r="BD304" i="11"/>
  <c r="AF304" i="11"/>
  <c r="H304" i="11"/>
  <c r="BC304" i="11"/>
  <c r="AE304" i="11"/>
  <c r="G304" i="11"/>
  <c r="BB304" i="11"/>
  <c r="AD304" i="11"/>
  <c r="F304" i="11"/>
  <c r="BA304" i="11"/>
  <c r="AC304" i="11"/>
  <c r="E304" i="11"/>
  <c r="AZ304" i="11"/>
  <c r="AB304" i="11"/>
  <c r="AY304" i="11"/>
  <c r="AA304" i="11"/>
  <c r="AX304" i="11"/>
  <c r="Z304" i="11"/>
  <c r="AW304" i="11"/>
  <c r="Y304" i="11"/>
  <c r="AV304" i="11"/>
  <c r="X304" i="11"/>
  <c r="AU304" i="11"/>
  <c r="W304" i="11"/>
  <c r="AT304" i="11"/>
  <c r="V304" i="11"/>
  <c r="AS304" i="11"/>
  <c r="U304" i="11"/>
  <c r="AR304" i="11"/>
  <c r="T304" i="11"/>
  <c r="AQ304" i="11"/>
  <c r="S304" i="11"/>
  <c r="AO304" i="11"/>
  <c r="Q304" i="11"/>
  <c r="AN304" i="11"/>
  <c r="P304" i="11"/>
  <c r="AM304" i="11"/>
  <c r="O304" i="11"/>
  <c r="AL304" i="11"/>
  <c r="N304" i="11"/>
  <c r="BI304" i="11"/>
  <c r="AK304" i="11"/>
  <c r="M304" i="11"/>
  <c r="AI227" i="22"/>
  <c r="BE142" i="11"/>
  <c r="AG142" i="11"/>
  <c r="I142" i="11"/>
  <c r="BD142" i="11"/>
  <c r="AF142" i="11"/>
  <c r="H142" i="11"/>
  <c r="BB142" i="11"/>
  <c r="AD142" i="11"/>
  <c r="F142" i="11"/>
  <c r="BA142" i="11"/>
  <c r="AC142" i="11"/>
  <c r="E142" i="11"/>
  <c r="AZ142" i="11"/>
  <c r="AB142" i="11"/>
  <c r="AY142" i="11"/>
  <c r="AA142" i="11"/>
  <c r="AX142" i="11"/>
  <c r="Z142" i="11"/>
  <c r="AW142" i="11"/>
  <c r="Y142" i="11"/>
  <c r="AV142" i="11"/>
  <c r="X142" i="11"/>
  <c r="AU142" i="11"/>
  <c r="W142" i="11"/>
  <c r="AT142" i="11"/>
  <c r="V142" i="11"/>
  <c r="AS142" i="11"/>
  <c r="U142" i="11"/>
  <c r="AR142" i="11"/>
  <c r="T142" i="11"/>
  <c r="AQ142" i="11"/>
  <c r="S142" i="11"/>
  <c r="AP142" i="11"/>
  <c r="R142" i="11"/>
  <c r="AO142" i="11"/>
  <c r="Q142" i="11"/>
  <c r="AL142" i="11"/>
  <c r="N142" i="11"/>
  <c r="BI142" i="11"/>
  <c r="AK142" i="11"/>
  <c r="M142" i="11"/>
  <c r="BH142" i="11"/>
  <c r="AJ142" i="11"/>
  <c r="L142" i="11"/>
  <c r="BC142" i="11"/>
  <c r="AE142" i="11"/>
  <c r="BG142" i="11"/>
  <c r="AI142" i="11"/>
  <c r="K142" i="11"/>
  <c r="G142" i="11"/>
  <c r="BF142" i="11"/>
  <c r="AH142" i="11"/>
  <c r="J142" i="11"/>
  <c r="AI238" i="22"/>
  <c r="AM151" i="11"/>
  <c r="O151" i="11"/>
  <c r="AL151" i="11"/>
  <c r="N151" i="11"/>
  <c r="BH151" i="11"/>
  <c r="AJ151" i="11"/>
  <c r="L151" i="11"/>
  <c r="BG151" i="11"/>
  <c r="AI151" i="11"/>
  <c r="K151" i="11"/>
  <c r="BF151" i="11"/>
  <c r="AH151" i="11"/>
  <c r="J151" i="11"/>
  <c r="BE151" i="11"/>
  <c r="AG151" i="11"/>
  <c r="I151" i="11"/>
  <c r="BD151" i="11"/>
  <c r="AF151" i="11"/>
  <c r="H151" i="11"/>
  <c r="BC151" i="11"/>
  <c r="AE151" i="11"/>
  <c r="G151" i="11"/>
  <c r="BB151" i="11"/>
  <c r="AD151" i="11"/>
  <c r="F151" i="11"/>
  <c r="BA151" i="11"/>
  <c r="AC151" i="11"/>
  <c r="E151" i="11"/>
  <c r="AZ151" i="11"/>
  <c r="AB151" i="11"/>
  <c r="AY151" i="11"/>
  <c r="AA151" i="11"/>
  <c r="AX151" i="11"/>
  <c r="Z151" i="11"/>
  <c r="AW151" i="11"/>
  <c r="Y151" i="11"/>
  <c r="AV151" i="11"/>
  <c r="X151" i="11"/>
  <c r="AU151" i="11"/>
  <c r="W151" i="11"/>
  <c r="AR151" i="11"/>
  <c r="T151" i="11"/>
  <c r="AQ151" i="11"/>
  <c r="S151" i="11"/>
  <c r="AP151" i="11"/>
  <c r="R151" i="11"/>
  <c r="AK151" i="11"/>
  <c r="AO151" i="11"/>
  <c r="Q151" i="11"/>
  <c r="BI151" i="11"/>
  <c r="AN151" i="11"/>
  <c r="P151" i="11"/>
  <c r="M151" i="11"/>
  <c r="AI252" i="22"/>
  <c r="AY157" i="11"/>
  <c r="AA157" i="11"/>
  <c r="AX157" i="11"/>
  <c r="Z157" i="11"/>
  <c r="Y157" i="11"/>
  <c r="AV157" i="11"/>
  <c r="X157" i="11"/>
  <c r="AU157" i="11"/>
  <c r="W157" i="11"/>
  <c r="AT157" i="11"/>
  <c r="V157" i="11"/>
  <c r="AS157" i="11"/>
  <c r="U157" i="11"/>
  <c r="AR157" i="11"/>
  <c r="T157" i="11"/>
  <c r="AQ157" i="11"/>
  <c r="S157" i="11"/>
  <c r="AP157" i="11"/>
  <c r="R157" i="11"/>
  <c r="AO157" i="11"/>
  <c r="Q157" i="11"/>
  <c r="AN157" i="11"/>
  <c r="P157" i="11"/>
  <c r="AM157" i="11"/>
  <c r="O157" i="11"/>
  <c r="AL157" i="11"/>
  <c r="N157" i="11"/>
  <c r="BI157" i="11"/>
  <c r="AK157" i="11"/>
  <c r="M157" i="11"/>
  <c r="BH157" i="11"/>
  <c r="AJ157" i="11"/>
  <c r="L157" i="11"/>
  <c r="BG157" i="11"/>
  <c r="AI157" i="11"/>
  <c r="K157" i="11"/>
  <c r="BD157" i="11"/>
  <c r="AF157" i="11"/>
  <c r="H157" i="11"/>
  <c r="BC157" i="11"/>
  <c r="AE157" i="11"/>
  <c r="G157" i="11"/>
  <c r="BB157" i="11"/>
  <c r="AD157" i="11"/>
  <c r="F157" i="11"/>
  <c r="BA157" i="11"/>
  <c r="AC157" i="11"/>
  <c r="E157" i="11"/>
  <c r="AZ157" i="11"/>
  <c r="AB157" i="11"/>
  <c r="AW157" i="11"/>
  <c r="AI366" i="22"/>
  <c r="AR163" i="11"/>
  <c r="T163" i="11"/>
  <c r="AQ163" i="11"/>
  <c r="S163" i="11"/>
  <c r="AP163" i="11"/>
  <c r="AO163" i="11"/>
  <c r="Q163" i="11"/>
  <c r="AN163" i="11"/>
  <c r="P163" i="11"/>
  <c r="AM163" i="11"/>
  <c r="O163" i="11"/>
  <c r="AL163" i="11"/>
  <c r="N163" i="11"/>
  <c r="BI163" i="11"/>
  <c r="AK163" i="11"/>
  <c r="M163" i="11"/>
  <c r="AA163" i="11"/>
  <c r="BH163" i="11"/>
  <c r="AJ163" i="11"/>
  <c r="L163" i="11"/>
  <c r="BG163" i="11"/>
  <c r="AI163" i="11"/>
  <c r="K163" i="11"/>
  <c r="BF163" i="11"/>
  <c r="AH163" i="11"/>
  <c r="J163" i="11"/>
  <c r="BE163" i="11"/>
  <c r="AG163" i="11"/>
  <c r="I163" i="11"/>
  <c r="AF163" i="11"/>
  <c r="AY163" i="11"/>
  <c r="BD163" i="11"/>
  <c r="H163" i="11"/>
  <c r="BC163" i="11"/>
  <c r="AE163" i="11"/>
  <c r="G163" i="11"/>
  <c r="BB163" i="11"/>
  <c r="AD163" i="11"/>
  <c r="F163" i="11"/>
  <c r="BA163" i="11"/>
  <c r="AC163" i="11"/>
  <c r="E163" i="11"/>
  <c r="AZ163" i="11"/>
  <c r="AB163" i="11"/>
  <c r="AW163" i="11"/>
  <c r="Y163" i="11"/>
  <c r="AV163" i="11"/>
  <c r="X163" i="11"/>
  <c r="AU163" i="11"/>
  <c r="W163" i="11"/>
  <c r="AT163" i="11"/>
  <c r="V163" i="11"/>
  <c r="R163" i="11"/>
  <c r="AS163" i="11"/>
  <c r="U163" i="11"/>
  <c r="AI274" i="22"/>
  <c r="X166" i="11"/>
  <c r="U166" i="11"/>
  <c r="S166" i="11"/>
  <c r="R166" i="11"/>
  <c r="P166" i="11"/>
  <c r="N166" i="11"/>
  <c r="BI166" i="11"/>
  <c r="M166" i="11"/>
  <c r="BH166" i="11"/>
  <c r="L166" i="11"/>
  <c r="BF166" i="11"/>
  <c r="J166" i="11"/>
  <c r="BB166" i="11"/>
  <c r="F166" i="11"/>
  <c r="AZ166" i="11"/>
  <c r="AY166" i="11"/>
  <c r="AV166" i="11"/>
  <c r="AL166" i="11"/>
  <c r="AS166" i="11"/>
  <c r="AQ166" i="11"/>
  <c r="AP166" i="11"/>
  <c r="AN166" i="11"/>
  <c r="AJ166" i="11"/>
  <c r="AH166" i="11"/>
  <c r="AD166" i="11"/>
  <c r="AB166" i="11"/>
  <c r="AA166" i="11"/>
  <c r="U212" i="11"/>
  <c r="U44" i="11"/>
  <c r="V44" i="11"/>
  <c r="AO66" i="11"/>
  <c r="BI117" i="11"/>
  <c r="AT151" i="11"/>
  <c r="AI412" i="22"/>
  <c r="BD252" i="11"/>
  <c r="AR252" i="11"/>
  <c r="AF252" i="11"/>
  <c r="T252" i="11"/>
  <c r="X432" i="11"/>
  <c r="BB239" i="11"/>
  <c r="AI30" i="22"/>
  <c r="AO39" i="11"/>
  <c r="Q39" i="11"/>
  <c r="AN39" i="11"/>
  <c r="P39" i="11"/>
  <c r="AL39" i="11"/>
  <c r="N39" i="11"/>
  <c r="BI39" i="11"/>
  <c r="AK39" i="11"/>
  <c r="M39" i="11"/>
  <c r="BH39" i="11"/>
  <c r="AJ39" i="11"/>
  <c r="L39" i="11"/>
  <c r="BG39" i="11"/>
  <c r="AI39" i="11"/>
  <c r="K39" i="11"/>
  <c r="BF39" i="11"/>
  <c r="AH39" i="11"/>
  <c r="J39" i="11"/>
  <c r="BD39" i="11"/>
  <c r="AF39" i="11"/>
  <c r="H39" i="11"/>
  <c r="BE39" i="11"/>
  <c r="AG39" i="11"/>
  <c r="I39" i="11"/>
  <c r="BA39" i="11"/>
  <c r="BC39" i="11"/>
  <c r="AE39" i="11"/>
  <c r="G39" i="11"/>
  <c r="BB39" i="11"/>
  <c r="AD39" i="11"/>
  <c r="F39" i="11"/>
  <c r="AC39" i="11"/>
  <c r="E39" i="11"/>
  <c r="AY39" i="11"/>
  <c r="AA39" i="11"/>
  <c r="AX39" i="11"/>
  <c r="Z39" i="11"/>
  <c r="AW39" i="11"/>
  <c r="Y39" i="11"/>
  <c r="AT39" i="11"/>
  <c r="V39" i="11"/>
  <c r="AS39" i="11"/>
  <c r="U39" i="11"/>
  <c r="AZ39" i="11"/>
  <c r="AM39" i="11"/>
  <c r="AR39" i="11"/>
  <c r="T39" i="11"/>
  <c r="AQ39" i="11"/>
  <c r="S39" i="11"/>
  <c r="O39" i="11"/>
  <c r="AB39" i="11"/>
  <c r="AP39" i="11"/>
  <c r="R39" i="11"/>
  <c r="AF98" i="11"/>
  <c r="AG157" i="11"/>
  <c r="R304" i="11"/>
  <c r="BC98" i="11"/>
  <c r="AH157" i="11"/>
  <c r="AK166" i="11"/>
  <c r="AP304" i="11"/>
  <c r="W39" i="11"/>
  <c r="AV39" i="11"/>
  <c r="BD98" i="11"/>
  <c r="O142" i="11"/>
  <c r="BE157" i="11"/>
  <c r="Z163" i="11"/>
  <c r="AI390" i="22"/>
  <c r="AV239" i="11"/>
  <c r="X239" i="11"/>
  <c r="AU239" i="11"/>
  <c r="W239" i="11"/>
  <c r="AT239" i="11"/>
  <c r="V239" i="11"/>
  <c r="AS239" i="11"/>
  <c r="U239" i="11"/>
  <c r="AR239" i="11"/>
  <c r="T239" i="11"/>
  <c r="AQ239" i="11"/>
  <c r="S239" i="11"/>
  <c r="AP239" i="11"/>
  <c r="R239" i="11"/>
  <c r="AO239" i="11"/>
  <c r="Q239" i="11"/>
  <c r="AN239" i="11"/>
  <c r="P239" i="11"/>
  <c r="AM239" i="11"/>
  <c r="O239" i="11"/>
  <c r="AL239" i="11"/>
  <c r="N239" i="11"/>
  <c r="BI239" i="11"/>
  <c r="AK239" i="11"/>
  <c r="M239" i="11"/>
  <c r="BH239" i="11"/>
  <c r="AJ239" i="11"/>
  <c r="L239" i="11"/>
  <c r="BG239" i="11"/>
  <c r="AI239" i="11"/>
  <c r="K239" i="11"/>
  <c r="BF239" i="11"/>
  <c r="AH239" i="11"/>
  <c r="J239" i="11"/>
  <c r="BE239" i="11"/>
  <c r="AG239" i="11"/>
  <c r="I239" i="11"/>
  <c r="BD239" i="11"/>
  <c r="AF239" i="11"/>
  <c r="H239" i="11"/>
  <c r="BC239" i="11"/>
  <c r="AE239" i="11"/>
  <c r="G239" i="11"/>
  <c r="BA239" i="11"/>
  <c r="AC239" i="11"/>
  <c r="E239" i="11"/>
  <c r="AZ239" i="11"/>
  <c r="AB239" i="11"/>
  <c r="AY239" i="11"/>
  <c r="AA239" i="11"/>
  <c r="AX239" i="11"/>
  <c r="Z239" i="11"/>
  <c r="AW239" i="11"/>
  <c r="Y239" i="11"/>
  <c r="F239" i="11"/>
  <c r="AI345" i="22"/>
  <c r="AM212" i="11"/>
  <c r="O212" i="11"/>
  <c r="AL212" i="11"/>
  <c r="N212" i="11"/>
  <c r="BI212" i="11"/>
  <c r="AK212" i="11"/>
  <c r="M212" i="11"/>
  <c r="BH212" i="11"/>
  <c r="AJ212" i="11"/>
  <c r="L212" i="11"/>
  <c r="BG212" i="11"/>
  <c r="AI212" i="11"/>
  <c r="K212" i="11"/>
  <c r="BF212" i="11"/>
  <c r="AH212" i="11"/>
  <c r="J212" i="11"/>
  <c r="BE212" i="11"/>
  <c r="AG212" i="11"/>
  <c r="I212" i="11"/>
  <c r="BD212" i="11"/>
  <c r="AF212" i="11"/>
  <c r="H212" i="11"/>
  <c r="BC212" i="11"/>
  <c r="AE212" i="11"/>
  <c r="G212" i="11"/>
  <c r="BB212" i="11"/>
  <c r="AD212" i="11"/>
  <c r="F212" i="11"/>
  <c r="BA212" i="11"/>
  <c r="AC212" i="11"/>
  <c r="E212" i="11"/>
  <c r="AZ212" i="11"/>
  <c r="AB212" i="11"/>
  <c r="AY212" i="11"/>
  <c r="AA212" i="11"/>
  <c r="AX212" i="11"/>
  <c r="Z212" i="11"/>
  <c r="AT212" i="11"/>
  <c r="AW212" i="11"/>
  <c r="Y212" i="11"/>
  <c r="V212" i="11"/>
  <c r="AV212" i="11"/>
  <c r="X212" i="11"/>
  <c r="AU212" i="11"/>
  <c r="W212" i="11"/>
  <c r="AR212" i="11"/>
  <c r="T212" i="11"/>
  <c r="AQ212" i="11"/>
  <c r="S212" i="11"/>
  <c r="AP212" i="11"/>
  <c r="R212" i="11"/>
  <c r="AO212" i="11"/>
  <c r="Q212" i="11"/>
  <c r="AN212" i="11"/>
  <c r="P212" i="11"/>
  <c r="AM142" i="11"/>
  <c r="AI285" i="22"/>
  <c r="AQ325" i="11"/>
  <c r="S325" i="11"/>
  <c r="AP325" i="11"/>
  <c r="R325" i="11"/>
  <c r="AO325" i="11"/>
  <c r="Q325" i="11"/>
  <c r="AN325" i="11"/>
  <c r="P325" i="11"/>
  <c r="AM325" i="11"/>
  <c r="O325" i="11"/>
  <c r="AL325" i="11"/>
  <c r="N325" i="11"/>
  <c r="BI325" i="11"/>
  <c r="AK325" i="11"/>
  <c r="M325" i="11"/>
  <c r="BH325" i="11"/>
  <c r="AJ325" i="11"/>
  <c r="L325" i="11"/>
  <c r="BG325" i="11"/>
  <c r="AI325" i="11"/>
  <c r="K325" i="11"/>
  <c r="BF325" i="11"/>
  <c r="AH325" i="11"/>
  <c r="J325" i="11"/>
  <c r="BE325" i="11"/>
  <c r="AG325" i="11"/>
  <c r="I325" i="11"/>
  <c r="BD325" i="11"/>
  <c r="AF325" i="11"/>
  <c r="H325" i="11"/>
  <c r="BC325" i="11"/>
  <c r="AE325" i="11"/>
  <c r="G325" i="11"/>
  <c r="BB325" i="11"/>
  <c r="AD325" i="11"/>
  <c r="F325" i="11"/>
  <c r="BA325" i="11"/>
  <c r="AC325" i="11"/>
  <c r="E325" i="11"/>
  <c r="AZ325" i="11"/>
  <c r="AB325" i="11"/>
  <c r="AY325" i="11"/>
  <c r="AA325" i="11"/>
  <c r="AX325" i="11"/>
  <c r="Z325" i="11"/>
  <c r="AV325" i="11"/>
  <c r="X325" i="11"/>
  <c r="AU325" i="11"/>
  <c r="W325" i="11"/>
  <c r="AT325" i="11"/>
  <c r="V325" i="11"/>
  <c r="AS325" i="11"/>
  <c r="U325" i="11"/>
  <c r="AR325" i="11"/>
  <c r="T325" i="11"/>
  <c r="AM44" i="11"/>
  <c r="O44" i="11"/>
  <c r="BI44" i="11"/>
  <c r="AK44" i="11"/>
  <c r="AL44" i="11"/>
  <c r="N44" i="11"/>
  <c r="BH44" i="11"/>
  <c r="AJ44" i="11"/>
  <c r="L44" i="11"/>
  <c r="BG44" i="11"/>
  <c r="AI44" i="11"/>
  <c r="K44" i="11"/>
  <c r="BF44" i="11"/>
  <c r="AH44" i="11"/>
  <c r="J44" i="11"/>
  <c r="BE44" i="11"/>
  <c r="AG44" i="11"/>
  <c r="I44" i="11"/>
  <c r="AY44" i="11"/>
  <c r="BD44" i="11"/>
  <c r="AF44" i="11"/>
  <c r="H44" i="11"/>
  <c r="BB44" i="11"/>
  <c r="BC44" i="11"/>
  <c r="AE44" i="11"/>
  <c r="G44" i="11"/>
  <c r="F44" i="11"/>
  <c r="AD44" i="11"/>
  <c r="AX44" i="11"/>
  <c r="BA44" i="11"/>
  <c r="AC44" i="11"/>
  <c r="E44" i="11"/>
  <c r="AZ44" i="11"/>
  <c r="AB44" i="11"/>
  <c r="AA44" i="11"/>
  <c r="Z44" i="11"/>
  <c r="AW44" i="11"/>
  <c r="Y44" i="11"/>
  <c r="AV44" i="11"/>
  <c r="X44" i="11"/>
  <c r="AU44" i="11"/>
  <c r="W44" i="11"/>
  <c r="AR44" i="11"/>
  <c r="T44" i="11"/>
  <c r="AQ44" i="11"/>
  <c r="S44" i="11"/>
  <c r="M44" i="11"/>
  <c r="AP44" i="11"/>
  <c r="R44" i="11"/>
  <c r="AO44" i="11"/>
  <c r="Q44" i="11"/>
  <c r="AN44" i="11"/>
  <c r="P44" i="11"/>
  <c r="BE432" i="11"/>
  <c r="AR432" i="11"/>
  <c r="Q432" i="11"/>
  <c r="AQ432" i="11"/>
  <c r="P432" i="11"/>
  <c r="AO432" i="11"/>
  <c r="O432" i="11"/>
  <c r="AN432" i="11"/>
  <c r="N432" i="11"/>
  <c r="AM432" i="11"/>
  <c r="M432" i="11"/>
  <c r="AL432" i="11"/>
  <c r="L432" i="11"/>
  <c r="AK432" i="11"/>
  <c r="K432" i="11"/>
  <c r="AJ432" i="11"/>
  <c r="J432" i="11"/>
  <c r="BI432" i="11"/>
  <c r="AI432" i="11"/>
  <c r="I432" i="11"/>
  <c r="BH432" i="11"/>
  <c r="AH432" i="11"/>
  <c r="H432" i="11"/>
  <c r="BG432" i="11"/>
  <c r="AG432" i="11"/>
  <c r="F432" i="11"/>
  <c r="BF432" i="11"/>
  <c r="AE432" i="11"/>
  <c r="E432" i="11"/>
  <c r="BD432" i="11"/>
  <c r="AD432" i="11"/>
  <c r="BC432" i="11"/>
  <c r="AC432" i="11"/>
  <c r="BB432" i="11"/>
  <c r="AB432" i="11"/>
  <c r="BA432" i="11"/>
  <c r="AA432" i="11"/>
  <c r="AZ432" i="11"/>
  <c r="Z432" i="11"/>
  <c r="AY432" i="11"/>
  <c r="Y432" i="11"/>
  <c r="AW432" i="11"/>
  <c r="W432" i="11"/>
  <c r="AV432" i="11"/>
  <c r="V432" i="11"/>
  <c r="AU432" i="11"/>
  <c r="U432" i="11"/>
  <c r="AT432" i="11"/>
  <c r="T432" i="11"/>
  <c r="AS432" i="11"/>
  <c r="S432" i="11"/>
  <c r="BC331" i="11"/>
  <c r="AE331" i="11"/>
  <c r="G331" i="11"/>
  <c r="BB331" i="11"/>
  <c r="AD331" i="11"/>
  <c r="F331" i="11"/>
  <c r="BA331" i="11"/>
  <c r="AC331" i="11"/>
  <c r="E331" i="11"/>
  <c r="AZ331" i="11"/>
  <c r="AB331" i="11"/>
  <c r="AY331" i="11"/>
  <c r="AA331" i="11"/>
  <c r="AX331" i="11"/>
  <c r="Z331" i="11"/>
  <c r="AW331" i="11"/>
  <c r="Y331" i="11"/>
  <c r="AV331" i="11"/>
  <c r="X331" i="11"/>
  <c r="AU331" i="11"/>
  <c r="W331" i="11"/>
  <c r="AT331" i="11"/>
  <c r="V331" i="11"/>
  <c r="AS331" i="11"/>
  <c r="U331" i="11"/>
  <c r="AR331" i="11"/>
  <c r="T331" i="11"/>
  <c r="AQ331" i="11"/>
  <c r="S331" i="11"/>
  <c r="AP331" i="11"/>
  <c r="R331" i="11"/>
  <c r="AO331" i="11"/>
  <c r="Q331" i="11"/>
  <c r="AN331" i="11"/>
  <c r="P331" i="11"/>
  <c r="AM331" i="11"/>
  <c r="O331" i="11"/>
  <c r="AL331" i="11"/>
  <c r="N331" i="11"/>
  <c r="BH331" i="11"/>
  <c r="AJ331" i="11"/>
  <c r="L331" i="11"/>
  <c r="BG331" i="11"/>
  <c r="AI331" i="11"/>
  <c r="K331" i="11"/>
  <c r="BF331" i="11"/>
  <c r="AH331" i="11"/>
  <c r="J331" i="11"/>
  <c r="BE331" i="11"/>
  <c r="AG331" i="11"/>
  <c r="I331" i="11"/>
  <c r="BD331" i="11"/>
  <c r="AF331" i="11"/>
  <c r="H331" i="11"/>
  <c r="AT44" i="11"/>
  <c r="X39" i="11"/>
  <c r="AU39" i="11"/>
  <c r="Q122" i="11"/>
  <c r="AN142" i="11"/>
  <c r="P176" i="11"/>
  <c r="AN176" i="11"/>
  <c r="L275" i="11"/>
  <c r="AJ275" i="11"/>
  <c r="BH275" i="11"/>
  <c r="F278" i="11"/>
  <c r="AD278" i="11"/>
  <c r="BB278" i="11"/>
  <c r="U308" i="11"/>
  <c r="AS308" i="11"/>
  <c r="J382" i="11"/>
  <c r="AH382" i="11"/>
  <c r="BF382" i="11"/>
  <c r="U386" i="11"/>
  <c r="AS386" i="11"/>
  <c r="R388" i="11"/>
  <c r="AP388" i="11"/>
  <c r="AH397" i="11"/>
  <c r="U403" i="11"/>
  <c r="AT403" i="11"/>
  <c r="AD405" i="11"/>
  <c r="BF405" i="11"/>
  <c r="U407" i="11"/>
  <c r="AS407" i="11"/>
  <c r="V434" i="11"/>
  <c r="BF434" i="11"/>
  <c r="T437" i="11"/>
  <c r="AR437" i="11"/>
  <c r="AE442" i="11"/>
  <c r="BI442" i="11"/>
  <c r="AG445" i="11"/>
  <c r="Q176" i="11"/>
  <c r="AO176" i="11"/>
  <c r="M275" i="11"/>
  <c r="AK275" i="11"/>
  <c r="BI275" i="11"/>
  <c r="G278" i="11"/>
  <c r="AE278" i="11"/>
  <c r="BC278" i="11"/>
  <c r="V308" i="11"/>
  <c r="AT308" i="11"/>
  <c r="Z362" i="11"/>
  <c r="AX362" i="11"/>
  <c r="K382" i="11"/>
  <c r="AI382" i="11"/>
  <c r="BG382" i="11"/>
  <c r="V386" i="11"/>
  <c r="AT386" i="11"/>
  <c r="S388" i="11"/>
  <c r="AQ388" i="11"/>
  <c r="AN397" i="11"/>
  <c r="V403" i="11"/>
  <c r="AU403" i="11"/>
  <c r="AE405" i="11"/>
  <c r="BH405" i="11"/>
  <c r="V407" i="11"/>
  <c r="AT407" i="11"/>
  <c r="W434" i="11"/>
  <c r="BG434" i="11"/>
  <c r="U437" i="11"/>
  <c r="AS437" i="11"/>
  <c r="AF442" i="11"/>
  <c r="AH445" i="11"/>
  <c r="R176" i="11"/>
  <c r="AP176" i="11"/>
  <c r="N275" i="11"/>
  <c r="AL275" i="11"/>
  <c r="H278" i="11"/>
  <c r="AF278" i="11"/>
  <c r="BD278" i="11"/>
  <c r="W308" i="11"/>
  <c r="AU308" i="11"/>
  <c r="N351" i="11"/>
  <c r="AL351" i="11"/>
  <c r="AA362" i="11"/>
  <c r="AY362" i="11"/>
  <c r="L382" i="11"/>
  <c r="AJ382" i="11"/>
  <c r="BH382" i="11"/>
  <c r="W386" i="11"/>
  <c r="AU386" i="11"/>
  <c r="T388" i="11"/>
  <c r="AR388" i="11"/>
  <c r="AO397" i="11"/>
  <c r="W403" i="11"/>
  <c r="AV403" i="11"/>
  <c r="E405" i="11"/>
  <c r="AF405" i="11"/>
  <c r="W407" i="11"/>
  <c r="AU407" i="11"/>
  <c r="Y434" i="11"/>
  <c r="BH434" i="11"/>
  <c r="V437" i="11"/>
  <c r="AT437" i="11"/>
  <c r="AG442" i="11"/>
  <c r="AL445" i="11"/>
  <c r="O275" i="11"/>
  <c r="AM275" i="11"/>
  <c r="I278" i="11"/>
  <c r="AG278" i="11"/>
  <c r="BE278" i="11"/>
  <c r="X308" i="11"/>
  <c r="AV308" i="11"/>
  <c r="X386" i="11"/>
  <c r="AV386" i="11"/>
  <c r="AP397" i="11"/>
  <c r="AB434" i="11"/>
  <c r="BI434" i="11"/>
  <c r="T176" i="11"/>
  <c r="AR176" i="11"/>
  <c r="P275" i="11"/>
  <c r="AN275" i="11"/>
  <c r="J278" i="11"/>
  <c r="AH278" i="11"/>
  <c r="BF278" i="11"/>
  <c r="Y308" i="11"/>
  <c r="AW308" i="11"/>
  <c r="P351" i="11"/>
  <c r="AN351" i="11"/>
  <c r="E362" i="11"/>
  <c r="AC362" i="11"/>
  <c r="BA362" i="11"/>
  <c r="N382" i="11"/>
  <c r="AL382" i="11"/>
  <c r="Y386" i="11"/>
  <c r="AW386" i="11"/>
  <c r="V388" i="11"/>
  <c r="AT388" i="11"/>
  <c r="AQ397" i="11"/>
  <c r="Y403" i="11"/>
  <c r="AX403" i="11"/>
  <c r="G405" i="11"/>
  <c r="AJ405" i="11"/>
  <c r="Y407" i="11"/>
  <c r="AW407" i="11"/>
  <c r="AC434" i="11"/>
  <c r="X437" i="11"/>
  <c r="AV437" i="11"/>
  <c r="F442" i="11"/>
  <c r="AK442" i="11"/>
  <c r="AN445" i="11"/>
  <c r="S275" i="11"/>
  <c r="AQ275" i="11"/>
  <c r="M278" i="11"/>
  <c r="AK278" i="11"/>
  <c r="BI278" i="11"/>
  <c r="AB308" i="11"/>
  <c r="AZ308" i="11"/>
  <c r="AB386" i="11"/>
  <c r="AZ386" i="11"/>
  <c r="BF397" i="11"/>
  <c r="AG434" i="11"/>
  <c r="AA437" i="11"/>
  <c r="AY437" i="11"/>
  <c r="J442" i="11"/>
  <c r="AP442" i="11"/>
  <c r="X176" i="11"/>
  <c r="AV176" i="11"/>
  <c r="T275" i="11"/>
  <c r="AR275" i="11"/>
  <c r="N278" i="11"/>
  <c r="AL278" i="11"/>
  <c r="E308" i="11"/>
  <c r="AC308" i="11"/>
  <c r="BA308" i="11"/>
  <c r="R382" i="11"/>
  <c r="AP382" i="11"/>
  <c r="E386" i="11"/>
  <c r="AC386" i="11"/>
  <c r="BA386" i="11"/>
  <c r="Z388" i="11"/>
  <c r="AX388" i="11"/>
  <c r="AC403" i="11"/>
  <c r="BB403" i="11"/>
  <c r="N405" i="11"/>
  <c r="AO405" i="11"/>
  <c r="E407" i="11"/>
  <c r="AC407" i="11"/>
  <c r="BA407" i="11"/>
  <c r="AH434" i="11"/>
  <c r="AB437" i="11"/>
  <c r="AZ437" i="11"/>
  <c r="N442" i="11"/>
  <c r="AQ442" i="11"/>
  <c r="AV445" i="11"/>
  <c r="U275" i="11"/>
  <c r="AS275" i="11"/>
  <c r="O278" i="11"/>
  <c r="AM278" i="11"/>
  <c r="F308" i="11"/>
  <c r="AD308" i="11"/>
  <c r="BB308" i="11"/>
  <c r="S382" i="11"/>
  <c r="AQ382" i="11"/>
  <c r="F386" i="11"/>
  <c r="AD386" i="11"/>
  <c r="BB386" i="11"/>
  <c r="AA388" i="11"/>
  <c r="AY388" i="11"/>
  <c r="E403" i="11"/>
  <c r="AD403" i="11"/>
  <c r="BC403" i="11"/>
  <c r="O405" i="11"/>
  <c r="AP405" i="11"/>
  <c r="F407" i="11"/>
  <c r="AD407" i="11"/>
  <c r="BB407" i="11"/>
  <c r="AI434" i="11"/>
  <c r="E437" i="11"/>
  <c r="AC437" i="11"/>
  <c r="BA437" i="11"/>
  <c r="O442" i="11"/>
  <c r="AR442" i="11"/>
  <c r="H445" i="11"/>
  <c r="AW445" i="11"/>
  <c r="V275" i="11"/>
  <c r="AT275" i="11"/>
  <c r="P278" i="11"/>
  <c r="AN278" i="11"/>
  <c r="G308" i="11"/>
  <c r="AE308" i="11"/>
  <c r="BC308" i="11"/>
  <c r="G386" i="11"/>
  <c r="AE386" i="11"/>
  <c r="BC386" i="11"/>
  <c r="F403" i="11"/>
  <c r="AE403" i="11"/>
  <c r="BD403" i="11"/>
  <c r="P405" i="11"/>
  <c r="AQ405" i="11"/>
  <c r="G407" i="11"/>
  <c r="AE407" i="11"/>
  <c r="BC407" i="11"/>
  <c r="AJ434" i="11"/>
  <c r="F437" i="11"/>
  <c r="AD437" i="11"/>
  <c r="BB437" i="11"/>
  <c r="P442" i="11"/>
  <c r="AS442" i="11"/>
  <c r="H308" i="11"/>
  <c r="AF308" i="11"/>
  <c r="BD308" i="11"/>
  <c r="H386" i="11"/>
  <c r="AF386" i="11"/>
  <c r="BD386" i="11"/>
  <c r="AK434" i="11"/>
  <c r="AB176" i="11"/>
  <c r="AZ176" i="11"/>
  <c r="X275" i="11"/>
  <c r="AV275" i="11"/>
  <c r="R278" i="11"/>
  <c r="AP278" i="11"/>
  <c r="I308" i="11"/>
  <c r="AG308" i="11"/>
  <c r="BE308" i="11"/>
  <c r="M362" i="11"/>
  <c r="AK362" i="11"/>
  <c r="BI362" i="11"/>
  <c r="V382" i="11"/>
  <c r="AT382" i="11"/>
  <c r="I386" i="11"/>
  <c r="AG386" i="11"/>
  <c r="BE386" i="11"/>
  <c r="F388" i="11"/>
  <c r="AD388" i="11"/>
  <c r="BB388" i="11"/>
  <c r="H403" i="11"/>
  <c r="AH403" i="11"/>
  <c r="BG403" i="11"/>
  <c r="R405" i="11"/>
  <c r="AS405" i="11"/>
  <c r="I407" i="11"/>
  <c r="AG407" i="11"/>
  <c r="BE407" i="11"/>
  <c r="E434" i="11"/>
  <c r="AL434" i="11"/>
  <c r="H437" i="11"/>
  <c r="AF437" i="11"/>
  <c r="BD437" i="11"/>
  <c r="R442" i="11"/>
  <c r="AU442" i="11"/>
  <c r="N445" i="11"/>
  <c r="BA445" i="11"/>
  <c r="E176" i="11"/>
  <c r="AC176" i="11"/>
  <c r="BA176" i="11"/>
  <c r="Y275" i="11"/>
  <c r="AW275" i="11"/>
  <c r="S278" i="11"/>
  <c r="AQ278" i="11"/>
  <c r="J308" i="11"/>
  <c r="AH308" i="11"/>
  <c r="BF308" i="11"/>
  <c r="W382" i="11"/>
  <c r="AU382" i="11"/>
  <c r="J386" i="11"/>
  <c r="AH386" i="11"/>
  <c r="BF386" i="11"/>
  <c r="G388" i="11"/>
  <c r="AE388" i="11"/>
  <c r="BC388" i="11"/>
  <c r="J403" i="11"/>
  <c r="AI403" i="11"/>
  <c r="BH403" i="11"/>
  <c r="S405" i="11"/>
  <c r="AT405" i="11"/>
  <c r="J407" i="11"/>
  <c r="AH407" i="11"/>
  <c r="BF407" i="11"/>
  <c r="F434" i="11"/>
  <c r="AM434" i="11"/>
  <c r="I437" i="11"/>
  <c r="AG437" i="11"/>
  <c r="BE437" i="11"/>
  <c r="S442" i="11"/>
  <c r="AV442" i="11"/>
  <c r="O445" i="11"/>
  <c r="BD445" i="11"/>
  <c r="Z275" i="11"/>
  <c r="AX275" i="11"/>
  <c r="T278" i="11"/>
  <c r="AR278" i="11"/>
  <c r="K308" i="11"/>
  <c r="AI308" i="11"/>
  <c r="BG308" i="11"/>
  <c r="X382" i="11"/>
  <c r="AV382" i="11"/>
  <c r="K386" i="11"/>
  <c r="AI386" i="11"/>
  <c r="BG386" i="11"/>
  <c r="H388" i="11"/>
  <c r="AF388" i="11"/>
  <c r="BD388" i="11"/>
  <c r="K403" i="11"/>
  <c r="AJ403" i="11"/>
  <c r="BI403" i="11"/>
  <c r="T405" i="11"/>
  <c r="AU405" i="11"/>
  <c r="K407" i="11"/>
  <c r="AI407" i="11"/>
  <c r="BG407" i="11"/>
  <c r="H434" i="11"/>
  <c r="AO434" i="11"/>
  <c r="J437" i="11"/>
  <c r="AH437" i="11"/>
  <c r="BF437" i="11"/>
  <c r="T442" i="11"/>
  <c r="AX442" i="11"/>
  <c r="Q445" i="11"/>
  <c r="BG445" i="11"/>
  <c r="G176" i="11"/>
  <c r="AE176" i="11"/>
  <c r="BC176" i="11"/>
  <c r="AA275" i="11"/>
  <c r="AY275" i="11"/>
  <c r="U278" i="11"/>
  <c r="AS278" i="11"/>
  <c r="L308" i="11"/>
  <c r="AJ308" i="11"/>
  <c r="BH308" i="11"/>
  <c r="Y382" i="11"/>
  <c r="AW382" i="11"/>
  <c r="L386" i="11"/>
  <c r="AJ386" i="11"/>
  <c r="BH386" i="11"/>
  <c r="I388" i="11"/>
  <c r="AG388" i="11"/>
  <c r="BE388" i="11"/>
  <c r="L403" i="11"/>
  <c r="AK403" i="11"/>
  <c r="U405" i="11"/>
  <c r="AV405" i="11"/>
  <c r="L407" i="11"/>
  <c r="AJ407" i="11"/>
  <c r="BH407" i="11"/>
  <c r="I434" i="11"/>
  <c r="AP434" i="11"/>
  <c r="K437" i="11"/>
  <c r="AI437" i="11"/>
  <c r="BG437" i="11"/>
  <c r="U442" i="11"/>
  <c r="AY442" i="11"/>
  <c r="R445" i="11"/>
  <c r="BH445" i="11"/>
  <c r="H176" i="11"/>
  <c r="AF176" i="11"/>
  <c r="BD176" i="11"/>
  <c r="AB275" i="11"/>
  <c r="AZ275" i="11"/>
  <c r="V278" i="11"/>
  <c r="AT278" i="11"/>
  <c r="M308" i="11"/>
  <c r="AK308" i="11"/>
  <c r="BI308" i="11"/>
  <c r="Q362" i="11"/>
  <c r="AO362" i="11"/>
  <c r="Z382" i="11"/>
  <c r="AX382" i="11"/>
  <c r="M386" i="11"/>
  <c r="AK386" i="11"/>
  <c r="BI386" i="11"/>
  <c r="J388" i="11"/>
  <c r="AH388" i="11"/>
  <c r="BF388" i="11"/>
  <c r="G397" i="11"/>
  <c r="M403" i="11"/>
  <c r="AL403" i="11"/>
  <c r="V405" i="11"/>
  <c r="AW405" i="11"/>
  <c r="M407" i="11"/>
  <c r="AK407" i="11"/>
  <c r="BI407" i="11"/>
  <c r="J434" i="11"/>
  <c r="AR434" i="11"/>
  <c r="L437" i="11"/>
  <c r="AJ437" i="11"/>
  <c r="BH437" i="11"/>
  <c r="V442" i="11"/>
  <c r="AZ442" i="11"/>
  <c r="S445" i="11"/>
  <c r="E275" i="11"/>
  <c r="AC275" i="11"/>
  <c r="BA275" i="11"/>
  <c r="W278" i="11"/>
  <c r="AU278" i="11"/>
  <c r="N308" i="11"/>
  <c r="AL308" i="11"/>
  <c r="N386" i="11"/>
  <c r="AL386" i="11"/>
  <c r="J397" i="11"/>
  <c r="N403" i="11"/>
  <c r="AM403" i="11"/>
  <c r="W405" i="11"/>
  <c r="AX405" i="11"/>
  <c r="N407" i="11"/>
  <c r="AL407" i="11"/>
  <c r="K434" i="11"/>
  <c r="AU434" i="11"/>
  <c r="M437" i="11"/>
  <c r="AK437" i="11"/>
  <c r="BI437" i="11"/>
  <c r="W442" i="11"/>
  <c r="BA442" i="11"/>
  <c r="F275" i="11"/>
  <c r="AD275" i="11"/>
  <c r="BB275" i="11"/>
  <c r="X278" i="11"/>
  <c r="AV278" i="11"/>
  <c r="O308" i="11"/>
  <c r="AM308" i="11"/>
  <c r="AB382" i="11"/>
  <c r="AZ382" i="11"/>
  <c r="O386" i="11"/>
  <c r="AM386" i="11"/>
  <c r="L388" i="11"/>
  <c r="AJ388" i="11"/>
  <c r="BH388" i="11"/>
  <c r="P397" i="11"/>
  <c r="O403" i="11"/>
  <c r="AN403" i="11"/>
  <c r="X405" i="11"/>
  <c r="AY405" i="11"/>
  <c r="O407" i="11"/>
  <c r="AM407" i="11"/>
  <c r="L434" i="11"/>
  <c r="AV434" i="11"/>
  <c r="N437" i="11"/>
  <c r="AL437" i="11"/>
  <c r="X442" i="11"/>
  <c r="BB442" i="11"/>
  <c r="V445" i="11"/>
  <c r="K176" i="11"/>
  <c r="AI176" i="11"/>
  <c r="BG176" i="11"/>
  <c r="G215" i="11"/>
  <c r="G275" i="11"/>
  <c r="AE275" i="11"/>
  <c r="BC275" i="11"/>
  <c r="Y278" i="11"/>
  <c r="AW278" i="11"/>
  <c r="P308" i="11"/>
  <c r="AN308" i="11"/>
  <c r="T362" i="11"/>
  <c r="AR362" i="11"/>
  <c r="E382" i="11"/>
  <c r="AC382" i="11"/>
  <c r="BA382" i="11"/>
  <c r="P386" i="11"/>
  <c r="AN386" i="11"/>
  <c r="M388" i="11"/>
  <c r="AK388" i="11"/>
  <c r="BI388" i="11"/>
  <c r="Q397" i="11"/>
  <c r="P403" i="11"/>
  <c r="AO403" i="11"/>
  <c r="Y405" i="11"/>
  <c r="AZ405" i="11"/>
  <c r="P407" i="11"/>
  <c r="AN407" i="11"/>
  <c r="M434" i="11"/>
  <c r="AY434" i="11"/>
  <c r="O437" i="11"/>
  <c r="AM437" i="11"/>
  <c r="Z442" i="11"/>
  <c r="BC442" i="11"/>
  <c r="W445" i="11"/>
  <c r="J215" i="11"/>
  <c r="H275" i="11"/>
  <c r="AF275" i="11"/>
  <c r="BD275" i="11"/>
  <c r="Z278" i="11"/>
  <c r="AX278" i="11"/>
  <c r="Q308" i="11"/>
  <c r="AO308" i="11"/>
  <c r="F382" i="11"/>
  <c r="AD382" i="11"/>
  <c r="BB382" i="11"/>
  <c r="Q386" i="11"/>
  <c r="AO386" i="11"/>
  <c r="N388" i="11"/>
  <c r="AL388" i="11"/>
  <c r="R397" i="11"/>
  <c r="Q403" i="11"/>
  <c r="AP403" i="11"/>
  <c r="Z405" i="11"/>
  <c r="BA405" i="11"/>
  <c r="Q407" i="11"/>
  <c r="AO407" i="11"/>
  <c r="N434" i="11"/>
  <c r="BA434" i="11"/>
  <c r="P437" i="11"/>
  <c r="AN437" i="11"/>
  <c r="AA442" i="11"/>
  <c r="BD442" i="11"/>
  <c r="X445" i="11"/>
  <c r="R386" i="11"/>
  <c r="AP386" i="11"/>
  <c r="S397" i="11"/>
  <c r="P434" i="11"/>
  <c r="BB434" i="11"/>
  <c r="N176" i="11"/>
  <c r="AL176" i="11"/>
  <c r="AH215" i="11"/>
  <c r="J275" i="11"/>
  <c r="AH275" i="11"/>
  <c r="BF275" i="11"/>
  <c r="AB278" i="11"/>
  <c r="AZ278" i="11"/>
  <c r="S308" i="11"/>
  <c r="AQ308" i="11"/>
  <c r="J351" i="11"/>
  <c r="AH351" i="11"/>
  <c r="BF351" i="11"/>
  <c r="W362" i="11"/>
  <c r="H382" i="11"/>
  <c r="AF382" i="11"/>
  <c r="BD382" i="11"/>
  <c r="S386" i="11"/>
  <c r="AQ386" i="11"/>
  <c r="P388" i="11"/>
  <c r="AN388" i="11"/>
  <c r="AA397" i="11"/>
  <c r="S403" i="11"/>
  <c r="AR403" i="11"/>
  <c r="AB405" i="11"/>
  <c r="BC405" i="11"/>
  <c r="S407" i="11"/>
  <c r="AQ407" i="11"/>
  <c r="Q434" i="11"/>
  <c r="BC434" i="11"/>
  <c r="R437" i="11"/>
  <c r="AP437" i="11"/>
  <c r="AC442" i="11"/>
  <c r="BF442" i="11"/>
  <c r="AA445" i="11"/>
  <c r="O176" i="11"/>
  <c r="AM176" i="11"/>
  <c r="BC215" i="11"/>
  <c r="K275" i="11"/>
  <c r="AI275" i="11"/>
  <c r="BG275" i="11"/>
  <c r="E278" i="11"/>
  <c r="AC278" i="11"/>
  <c r="BA278" i="11"/>
  <c r="T308" i="11"/>
  <c r="AR308" i="11"/>
  <c r="I382" i="11"/>
  <c r="AG382" i="11"/>
  <c r="BE382" i="11"/>
  <c r="T386" i="11"/>
  <c r="AR386" i="11"/>
  <c r="Q388" i="11"/>
  <c r="AE397" i="11"/>
  <c r="T403" i="11"/>
  <c r="AS403" i="11"/>
  <c r="AC405" i="11"/>
  <c r="BD405" i="11"/>
  <c r="T407" i="11"/>
  <c r="AR407" i="11"/>
  <c r="S434" i="11"/>
  <c r="BD434" i="11"/>
  <c r="S437" i="11"/>
  <c r="AQ437" i="11"/>
  <c r="AD442" i="11"/>
  <c r="BH442" i="11"/>
  <c r="AC445" i="11"/>
  <c r="U376" i="11"/>
  <c r="AS376" i="11"/>
  <c r="I392" i="11"/>
  <c r="AG392" i="11"/>
  <c r="BE392" i="11"/>
  <c r="AA395" i="11"/>
  <c r="AY395" i="11"/>
  <c r="Q396" i="11"/>
  <c r="AO396" i="11"/>
  <c r="K402" i="11"/>
  <c r="AK402" i="11"/>
  <c r="R409" i="11"/>
  <c r="AP409" i="11"/>
  <c r="E419" i="11"/>
  <c r="AH419" i="11"/>
  <c r="AF423" i="11"/>
  <c r="E431" i="11"/>
  <c r="AM431" i="11"/>
  <c r="S447" i="11"/>
  <c r="AX447" i="11"/>
  <c r="AB395" i="11"/>
  <c r="AZ395" i="11"/>
  <c r="F419" i="11"/>
  <c r="AI419" i="11"/>
  <c r="AG423" i="11"/>
  <c r="G431" i="11"/>
  <c r="AO431" i="11"/>
  <c r="T447" i="11"/>
  <c r="AY447" i="11"/>
  <c r="AI308" i="22"/>
  <c r="E395" i="11"/>
  <c r="AC395" i="11"/>
  <c r="BA395" i="11"/>
  <c r="M402" i="11"/>
  <c r="AM402" i="11"/>
  <c r="T409" i="11"/>
  <c r="AR409" i="11"/>
  <c r="G419" i="11"/>
  <c r="AL419" i="11"/>
  <c r="AT423" i="11"/>
  <c r="H431" i="11"/>
  <c r="AQ431" i="11"/>
  <c r="U447" i="11"/>
  <c r="AZ447" i="11"/>
  <c r="X376" i="11"/>
  <c r="AV376" i="11"/>
  <c r="L387" i="11"/>
  <c r="AJ387" i="11"/>
  <c r="BH387" i="11"/>
  <c r="L392" i="11"/>
  <c r="AJ392" i="11"/>
  <c r="BH392" i="11"/>
  <c r="F395" i="11"/>
  <c r="AD395" i="11"/>
  <c r="BB395" i="11"/>
  <c r="T396" i="11"/>
  <c r="AR396" i="11"/>
  <c r="N402" i="11"/>
  <c r="AN402" i="11"/>
  <c r="U409" i="11"/>
  <c r="AS409" i="11"/>
  <c r="H419" i="11"/>
  <c r="AM419" i="11"/>
  <c r="AY423" i="11"/>
  <c r="I431" i="11"/>
  <c r="AR431" i="11"/>
  <c r="V447" i="11"/>
  <c r="BA447" i="11"/>
  <c r="G395" i="11"/>
  <c r="AE395" i="11"/>
  <c r="BC395" i="11"/>
  <c r="I419" i="11"/>
  <c r="AP419" i="11"/>
  <c r="BG423" i="11"/>
  <c r="J431" i="11"/>
  <c r="AS431" i="11"/>
  <c r="K440" i="11"/>
  <c r="X447" i="11"/>
  <c r="BB447" i="11"/>
  <c r="H395" i="11"/>
  <c r="AF395" i="11"/>
  <c r="BD395" i="11"/>
  <c r="J419" i="11"/>
  <c r="AR419" i="11"/>
  <c r="BH423" i="11"/>
  <c r="M431" i="11"/>
  <c r="AT431" i="11"/>
  <c r="AY440" i="11"/>
  <c r="Y447" i="11"/>
  <c r="BC447" i="11"/>
  <c r="AA376" i="11"/>
  <c r="AY376" i="11"/>
  <c r="O392" i="11"/>
  <c r="AM392" i="11"/>
  <c r="I395" i="11"/>
  <c r="AG395" i="11"/>
  <c r="BE395" i="11"/>
  <c r="W396" i="11"/>
  <c r="AU396" i="11"/>
  <c r="Q402" i="11"/>
  <c r="AR402" i="11"/>
  <c r="X409" i="11"/>
  <c r="AV409" i="11"/>
  <c r="M419" i="11"/>
  <c r="AS419" i="11"/>
  <c r="N431" i="11"/>
  <c r="AV431" i="11"/>
  <c r="AZ440" i="11"/>
  <c r="Z447" i="11"/>
  <c r="BD447" i="11"/>
  <c r="L395" i="11"/>
  <c r="AJ395" i="11"/>
  <c r="BH395" i="11"/>
  <c r="Z416" i="11"/>
  <c r="S419" i="11"/>
  <c r="AV419" i="11"/>
  <c r="S431" i="11"/>
  <c r="AY431" i="11"/>
  <c r="AC447" i="11"/>
  <c r="M395" i="11"/>
  <c r="AK395" i="11"/>
  <c r="BI395" i="11"/>
  <c r="V402" i="11"/>
  <c r="AV402" i="11"/>
  <c r="AB409" i="11"/>
  <c r="AZ409" i="11"/>
  <c r="AA416" i="11"/>
  <c r="T419" i="11"/>
  <c r="AW419" i="11"/>
  <c r="T431" i="11"/>
  <c r="BA431" i="11"/>
  <c r="AD447" i="11"/>
  <c r="N395" i="11"/>
  <c r="AL395" i="11"/>
  <c r="W402" i="11"/>
  <c r="AW402" i="11"/>
  <c r="E409" i="11"/>
  <c r="AC409" i="11"/>
  <c r="BA409" i="11"/>
  <c r="U419" i="11"/>
  <c r="AX419" i="11"/>
  <c r="U431" i="11"/>
  <c r="BB431" i="11"/>
  <c r="AJ447" i="11"/>
  <c r="O395" i="11"/>
  <c r="AM395" i="11"/>
  <c r="X402" i="11"/>
  <c r="AX402" i="11"/>
  <c r="F409" i="11"/>
  <c r="AD409" i="11"/>
  <c r="BB409" i="11"/>
  <c r="V419" i="11"/>
  <c r="AY419" i="11"/>
  <c r="W431" i="11"/>
  <c r="BC431" i="11"/>
  <c r="AK447" i="11"/>
  <c r="Q395" i="11"/>
  <c r="AO395" i="11"/>
  <c r="Z402" i="11"/>
  <c r="AZ402" i="11"/>
  <c r="H409" i="11"/>
  <c r="AF409" i="11"/>
  <c r="BD409" i="11"/>
  <c r="X419" i="11"/>
  <c r="BA419" i="11"/>
  <c r="Y431" i="11"/>
  <c r="BF431" i="11"/>
  <c r="AM447" i="11"/>
  <c r="J323" i="11"/>
  <c r="AH323" i="11"/>
  <c r="BF323" i="11"/>
  <c r="X324" i="11"/>
  <c r="AV324" i="11"/>
  <c r="AM338" i="11"/>
  <c r="E345" i="11"/>
  <c r="AC345" i="11"/>
  <c r="BA345" i="11"/>
  <c r="S346" i="11"/>
  <c r="AQ346" i="11"/>
  <c r="I347" i="11"/>
  <c r="AG347" i="11"/>
  <c r="BE347" i="11"/>
  <c r="V360" i="11"/>
  <c r="AT360" i="11"/>
  <c r="L361" i="11"/>
  <c r="AJ361" i="11"/>
  <c r="BH361" i="11"/>
  <c r="Q366" i="11"/>
  <c r="AO366" i="11"/>
  <c r="F368" i="11"/>
  <c r="AD368" i="11"/>
  <c r="BB368" i="11"/>
  <c r="G375" i="11"/>
  <c r="N376" i="11"/>
  <c r="AL376" i="11"/>
  <c r="L381" i="11"/>
  <c r="AJ381" i="11"/>
  <c r="BH381" i="11"/>
  <c r="P383" i="11"/>
  <c r="AN383" i="11"/>
  <c r="F384" i="11"/>
  <c r="AD384" i="11"/>
  <c r="BB384" i="11"/>
  <c r="Z387" i="11"/>
  <c r="AX387" i="11"/>
  <c r="Z392" i="11"/>
  <c r="AX392" i="11"/>
  <c r="T395" i="11"/>
  <c r="AR395" i="11"/>
  <c r="J396" i="11"/>
  <c r="AH396" i="11"/>
  <c r="BF396" i="11"/>
  <c r="AJ398" i="11"/>
  <c r="BD401" i="11"/>
  <c r="AC402" i="11"/>
  <c r="BC402" i="11"/>
  <c r="K409" i="11"/>
  <c r="AI409" i="11"/>
  <c r="BG409" i="11"/>
  <c r="AA419" i="11"/>
  <c r="BD419" i="11"/>
  <c r="AC431" i="11"/>
  <c r="L447" i="11"/>
  <c r="AP447" i="11"/>
  <c r="V395" i="11"/>
  <c r="AT395" i="11"/>
  <c r="BH398" i="11"/>
  <c r="AC419" i="11"/>
  <c r="BF419" i="11"/>
  <c r="Z430" i="11"/>
  <c r="AF431" i="11"/>
  <c r="N447" i="11"/>
  <c r="AR447" i="11"/>
  <c r="M323" i="11"/>
  <c r="AK323" i="11"/>
  <c r="BI323" i="11"/>
  <c r="AA324" i="11"/>
  <c r="AY324" i="11"/>
  <c r="H334" i="11"/>
  <c r="V337" i="11"/>
  <c r="AT337" i="11"/>
  <c r="S340" i="11"/>
  <c r="AQ340" i="11"/>
  <c r="H345" i="11"/>
  <c r="AF345" i="11"/>
  <c r="BD345" i="11"/>
  <c r="V346" i="11"/>
  <c r="AT346" i="11"/>
  <c r="L347" i="11"/>
  <c r="AJ347" i="11"/>
  <c r="BH347" i="11"/>
  <c r="Y360" i="11"/>
  <c r="AW360" i="11"/>
  <c r="O361" i="11"/>
  <c r="AM361" i="11"/>
  <c r="T366" i="11"/>
  <c r="AR366" i="11"/>
  <c r="I368" i="11"/>
  <c r="AG368" i="11"/>
  <c r="BE368" i="11"/>
  <c r="U375" i="11"/>
  <c r="Q376" i="11"/>
  <c r="AO376" i="11"/>
  <c r="O381" i="11"/>
  <c r="AM381" i="11"/>
  <c r="S383" i="11"/>
  <c r="AQ383" i="11"/>
  <c r="I384" i="11"/>
  <c r="AG384" i="11"/>
  <c r="BE384" i="11"/>
  <c r="E387" i="11"/>
  <c r="AC387" i="11"/>
  <c r="BA387" i="11"/>
  <c r="E392" i="11"/>
  <c r="AC392" i="11"/>
  <c r="BA392" i="11"/>
  <c r="W395" i="11"/>
  <c r="AU395" i="11"/>
  <c r="M396" i="11"/>
  <c r="AK396" i="11"/>
  <c r="BI396" i="11"/>
  <c r="BI398" i="11"/>
  <c r="F402" i="11"/>
  <c r="AF402" i="11"/>
  <c r="BF402" i="11"/>
  <c r="N409" i="11"/>
  <c r="AL409" i="11"/>
  <c r="AD419" i="11"/>
  <c r="BG419" i="11"/>
  <c r="E423" i="11"/>
  <c r="AC430" i="11"/>
  <c r="AG431" i="11"/>
  <c r="G432" i="11"/>
  <c r="AF432" i="11"/>
  <c r="AR445" i="11"/>
  <c r="O447" i="11"/>
  <c r="AS447" i="11"/>
  <c r="N323" i="11"/>
  <c r="AL323" i="11"/>
  <c r="AB324" i="11"/>
  <c r="AZ324" i="11"/>
  <c r="J334" i="11"/>
  <c r="W337" i="11"/>
  <c r="T340" i="11"/>
  <c r="AR340" i="11"/>
  <c r="I345" i="11"/>
  <c r="AG345" i="11"/>
  <c r="BE345" i="11"/>
  <c r="W346" i="11"/>
  <c r="AU346" i="11"/>
  <c r="M347" i="11"/>
  <c r="AK347" i="11"/>
  <c r="BI347" i="11"/>
  <c r="Z360" i="11"/>
  <c r="AX360" i="11"/>
  <c r="P361" i="11"/>
  <c r="AN361" i="11"/>
  <c r="U366" i="11"/>
  <c r="AS366" i="11"/>
  <c r="J368" i="11"/>
  <c r="AH368" i="11"/>
  <c r="BF368" i="11"/>
  <c r="V375" i="11"/>
  <c r="R376" i="11"/>
  <c r="AP376" i="11"/>
  <c r="P381" i="11"/>
  <c r="AN381" i="11"/>
  <c r="T383" i="11"/>
  <c r="AR383" i="11"/>
  <c r="J384" i="11"/>
  <c r="AH384" i="11"/>
  <c r="BF384" i="11"/>
  <c r="F387" i="11"/>
  <c r="AD387" i="11"/>
  <c r="BB387" i="11"/>
  <c r="F392" i="11"/>
  <c r="AD392" i="11"/>
  <c r="BB392" i="11"/>
  <c r="X395" i="11"/>
  <c r="AV395" i="11"/>
  <c r="N396" i="11"/>
  <c r="AL396" i="11"/>
  <c r="G402" i="11"/>
  <c r="AG402" i="11"/>
  <c r="BG402" i="11"/>
  <c r="O409" i="11"/>
  <c r="AM409" i="11"/>
  <c r="F410" i="11"/>
  <c r="AE419" i="11"/>
  <c r="BH419" i="11"/>
  <c r="F423" i="11"/>
  <c r="BF430" i="11"/>
  <c r="AH431" i="11"/>
  <c r="F445" i="11"/>
  <c r="AT445" i="11"/>
  <c r="P447" i="11"/>
  <c r="AT447" i="11"/>
  <c r="J345" i="11"/>
  <c r="AH345" i="11"/>
  <c r="BF345" i="11"/>
  <c r="X346" i="11"/>
  <c r="AV346" i="11"/>
  <c r="AL347" i="11"/>
  <c r="AA360" i="11"/>
  <c r="AY360" i="11"/>
  <c r="Q361" i="11"/>
  <c r="AO361" i="11"/>
  <c r="V366" i="11"/>
  <c r="AT366" i="11"/>
  <c r="K368" i="11"/>
  <c r="AI368" i="11"/>
  <c r="BG368" i="11"/>
  <c r="W375" i="11"/>
  <c r="S376" i="11"/>
  <c r="AQ376" i="11"/>
  <c r="Q381" i="11"/>
  <c r="AO381" i="11"/>
  <c r="U383" i="11"/>
  <c r="AS383" i="11"/>
  <c r="K384" i="11"/>
  <c r="AI384" i="11"/>
  <c r="BG384" i="11"/>
  <c r="G387" i="11"/>
  <c r="AE387" i="11"/>
  <c r="BC387" i="11"/>
  <c r="G392" i="11"/>
  <c r="AE392" i="11"/>
  <c r="BC392" i="11"/>
  <c r="Y395" i="11"/>
  <c r="AW395" i="11"/>
  <c r="O396" i="11"/>
  <c r="AM396" i="11"/>
  <c r="H402" i="11"/>
  <c r="AH402" i="11"/>
  <c r="BI402" i="11"/>
  <c r="P409" i="11"/>
  <c r="AN409" i="11"/>
  <c r="AF419" i="11"/>
  <c r="R423" i="11"/>
  <c r="BG430" i="11"/>
  <c r="AI431" i="11"/>
  <c r="Q447" i="11"/>
  <c r="AV447" i="11"/>
  <c r="K345" i="11"/>
  <c r="AI345" i="11"/>
  <c r="BG345" i="11"/>
  <c r="AB360" i="11"/>
  <c r="AZ360" i="11"/>
  <c r="R361" i="11"/>
  <c r="AP361" i="11"/>
  <c r="W366" i="11"/>
  <c r="L368" i="11"/>
  <c r="AJ368" i="11"/>
  <c r="BH368" i="11"/>
  <c r="AE375" i="11"/>
  <c r="T376" i="11"/>
  <c r="AR376" i="11"/>
  <c r="R381" i="11"/>
  <c r="AP381" i="11"/>
  <c r="V383" i="11"/>
  <c r="AT383" i="11"/>
  <c r="L384" i="11"/>
  <c r="AJ384" i="11"/>
  <c r="BH384" i="11"/>
  <c r="H387" i="11"/>
  <c r="AF387" i="11"/>
  <c r="H392" i="11"/>
  <c r="AF392" i="11"/>
  <c r="BD392" i="11"/>
  <c r="Z395" i="11"/>
  <c r="P396" i="11"/>
  <c r="AN396" i="11"/>
  <c r="I402" i="11"/>
  <c r="AJ402" i="11"/>
  <c r="Q409" i="11"/>
  <c r="AO409" i="11"/>
  <c r="AG419" i="11"/>
  <c r="V423" i="11"/>
  <c r="AL431" i="11"/>
  <c r="R447" i="11"/>
  <c r="AW447" i="11"/>
  <c r="AY185" i="11"/>
  <c r="AA185" i="11"/>
  <c r="AX185" i="11"/>
  <c r="Z185" i="11"/>
  <c r="AW185" i="11"/>
  <c r="Y185" i="11"/>
  <c r="AV185" i="11"/>
  <c r="X185" i="11"/>
  <c r="AU185" i="11"/>
  <c r="W185" i="11"/>
  <c r="AT185" i="11"/>
  <c r="V185" i="11"/>
  <c r="AS185" i="11"/>
  <c r="U185" i="11"/>
  <c r="AR185" i="11"/>
  <c r="T185" i="11"/>
  <c r="AQ185" i="11"/>
  <c r="S185" i="11"/>
  <c r="AP185" i="11"/>
  <c r="R185" i="11"/>
  <c r="AO185" i="11"/>
  <c r="Q185" i="11"/>
  <c r="AN185" i="11"/>
  <c r="P185" i="11"/>
  <c r="AM185" i="11"/>
  <c r="O185" i="11"/>
  <c r="AL185" i="11"/>
  <c r="N185" i="11"/>
  <c r="BI185" i="11"/>
  <c r="AK185" i="11"/>
  <c r="M185" i="11"/>
  <c r="BH185" i="11"/>
  <c r="AJ185" i="11"/>
  <c r="L185" i="11"/>
  <c r="BG185" i="11"/>
  <c r="AI185" i="11"/>
  <c r="K185" i="11"/>
  <c r="BF185" i="11"/>
  <c r="AH185" i="11"/>
  <c r="J185" i="11"/>
  <c r="BD185" i="11"/>
  <c r="AF185" i="11"/>
  <c r="H185" i="11"/>
  <c r="BC185" i="11"/>
  <c r="AE185" i="11"/>
  <c r="G185" i="11"/>
  <c r="BA185" i="11"/>
  <c r="AC185" i="11"/>
  <c r="E185" i="11"/>
  <c r="AZ185" i="11"/>
  <c r="AB185" i="11"/>
  <c r="AI315" i="22"/>
  <c r="BF372" i="11"/>
  <c r="AH372" i="11"/>
  <c r="J372" i="11"/>
  <c r="BE372" i="11"/>
  <c r="AG372" i="11"/>
  <c r="I372" i="11"/>
  <c r="BD372" i="11"/>
  <c r="AF372" i="11"/>
  <c r="H372" i="11"/>
  <c r="BC372" i="11"/>
  <c r="AE372" i="11"/>
  <c r="G372" i="11"/>
  <c r="BB372" i="11"/>
  <c r="AD372" i="11"/>
  <c r="F372" i="11"/>
  <c r="BA372" i="11"/>
  <c r="AC372" i="11"/>
  <c r="E372" i="11"/>
  <c r="AZ372" i="11"/>
  <c r="AB372" i="11"/>
  <c r="AY372" i="11"/>
  <c r="AA372" i="11"/>
  <c r="AX372" i="11"/>
  <c r="Z372" i="11"/>
  <c r="AW372" i="11"/>
  <c r="Y372" i="11"/>
  <c r="AV372" i="11"/>
  <c r="X372" i="11"/>
  <c r="AU372" i="11"/>
  <c r="W372" i="11"/>
  <c r="AT372" i="11"/>
  <c r="V372" i="11"/>
  <c r="AS372" i="11"/>
  <c r="U372" i="11"/>
  <c r="AR372" i="11"/>
  <c r="T372" i="11"/>
  <c r="AQ372" i="11"/>
  <c r="S372" i="11"/>
  <c r="AP372" i="11"/>
  <c r="R372" i="11"/>
  <c r="AO372" i="11"/>
  <c r="Q372" i="11"/>
  <c r="AM372" i="11"/>
  <c r="O372" i="11"/>
  <c r="AL372" i="11"/>
  <c r="N372" i="11"/>
  <c r="BI372" i="11"/>
  <c r="AK372" i="11"/>
  <c r="M372" i="11"/>
  <c r="BH372" i="11"/>
  <c r="AJ372" i="11"/>
  <c r="L372" i="11"/>
  <c r="BG372" i="11"/>
  <c r="AI372" i="11"/>
  <c r="K372" i="11"/>
  <c r="AI348" i="22"/>
  <c r="AZ215" i="11"/>
  <c r="AB215" i="11"/>
  <c r="AY215" i="11"/>
  <c r="AA215" i="11"/>
  <c r="AX215" i="11"/>
  <c r="Z215" i="11"/>
  <c r="AW215" i="11"/>
  <c r="Y215" i="11"/>
  <c r="AV215" i="11"/>
  <c r="X215" i="11"/>
  <c r="AU215" i="11"/>
  <c r="W215" i="11"/>
  <c r="AT215" i="11"/>
  <c r="V215" i="11"/>
  <c r="AS215" i="11"/>
  <c r="U215" i="11"/>
  <c r="AR215" i="11"/>
  <c r="T215" i="11"/>
  <c r="AQ215" i="11"/>
  <c r="S215" i="11"/>
  <c r="AP215" i="11"/>
  <c r="R215" i="11"/>
  <c r="AO215" i="11"/>
  <c r="Q215" i="11"/>
  <c r="AN215" i="11"/>
  <c r="P215" i="11"/>
  <c r="AM215" i="11"/>
  <c r="O215" i="11"/>
  <c r="AL215" i="11"/>
  <c r="N215" i="11"/>
  <c r="BI215" i="11"/>
  <c r="AK215" i="11"/>
  <c r="M215" i="11"/>
  <c r="BH215" i="11"/>
  <c r="AJ215" i="11"/>
  <c r="L215" i="11"/>
  <c r="BG215" i="11"/>
  <c r="AI215" i="11"/>
  <c r="K215" i="11"/>
  <c r="BE215" i="11"/>
  <c r="AG215" i="11"/>
  <c r="I215" i="11"/>
  <c r="BD215" i="11"/>
  <c r="AF215" i="11"/>
  <c r="H215" i="11"/>
  <c r="BB215" i="11"/>
  <c r="AD215" i="11"/>
  <c r="F215" i="11"/>
  <c r="BA215" i="11"/>
  <c r="AC215" i="11"/>
  <c r="E215" i="11"/>
  <c r="AG185" i="11"/>
  <c r="AI255" i="22"/>
  <c r="AL374" i="11"/>
  <c r="N374" i="11"/>
  <c r="BI374" i="11"/>
  <c r="AK374" i="11"/>
  <c r="M374" i="11"/>
  <c r="BH374" i="11"/>
  <c r="AJ374" i="11"/>
  <c r="L374" i="11"/>
  <c r="BG374" i="11"/>
  <c r="AI374" i="11"/>
  <c r="K374" i="11"/>
  <c r="BF374" i="11"/>
  <c r="AH374" i="11"/>
  <c r="J374" i="11"/>
  <c r="BE374" i="11"/>
  <c r="AG374" i="11"/>
  <c r="I374" i="11"/>
  <c r="BD374" i="11"/>
  <c r="AF374" i="11"/>
  <c r="H374" i="11"/>
  <c r="BC374" i="11"/>
  <c r="AE374" i="11"/>
  <c r="G374" i="11"/>
  <c r="BB374" i="11"/>
  <c r="AD374" i="11"/>
  <c r="F374" i="11"/>
  <c r="BA374" i="11"/>
  <c r="AC374" i="11"/>
  <c r="E374" i="11"/>
  <c r="AZ374" i="11"/>
  <c r="AB374" i="11"/>
  <c r="AY374" i="11"/>
  <c r="AA374" i="11"/>
  <c r="AX374" i="11"/>
  <c r="Z374" i="11"/>
  <c r="AW374" i="11"/>
  <c r="Y374" i="11"/>
  <c r="AV374" i="11"/>
  <c r="X374" i="11"/>
  <c r="AU374" i="11"/>
  <c r="W374" i="11"/>
  <c r="AT374" i="11"/>
  <c r="V374" i="11"/>
  <c r="AS374" i="11"/>
  <c r="U374" i="11"/>
  <c r="AQ374" i="11"/>
  <c r="S374" i="11"/>
  <c r="AP374" i="11"/>
  <c r="R374" i="11"/>
  <c r="AO374" i="11"/>
  <c r="Q374" i="11"/>
  <c r="AN374" i="11"/>
  <c r="P374" i="11"/>
  <c r="AM374" i="11"/>
  <c r="O374" i="11"/>
  <c r="BB185" i="11"/>
  <c r="AI187" i="22"/>
  <c r="AP114" i="11"/>
  <c r="R114" i="11"/>
  <c r="AO114" i="11"/>
  <c r="Q114" i="11"/>
  <c r="AN114" i="11"/>
  <c r="P114" i="11"/>
  <c r="AM114" i="11"/>
  <c r="O114" i="11"/>
  <c r="AL114" i="11"/>
  <c r="N114" i="11"/>
  <c r="BI114" i="11"/>
  <c r="AK114" i="11"/>
  <c r="M114" i="11"/>
  <c r="BH114" i="11"/>
  <c r="AJ114" i="11"/>
  <c r="L114" i="11"/>
  <c r="BG114" i="11"/>
  <c r="AI114" i="11"/>
  <c r="K114" i="11"/>
  <c r="BF114" i="11"/>
  <c r="AH114" i="11"/>
  <c r="J114" i="11"/>
  <c r="BE114" i="11"/>
  <c r="AG114" i="11"/>
  <c r="I114" i="11"/>
  <c r="BD114" i="11"/>
  <c r="AF114" i="11"/>
  <c r="H114" i="11"/>
  <c r="AZ114" i="11"/>
  <c r="BC114" i="11"/>
  <c r="AE114" i="11"/>
  <c r="G114" i="11"/>
  <c r="AB114" i="11"/>
  <c r="BB114" i="11"/>
  <c r="AD114" i="11"/>
  <c r="F114" i="11"/>
  <c r="BA114" i="11"/>
  <c r="AC114" i="11"/>
  <c r="E114" i="11"/>
  <c r="AY114" i="11"/>
  <c r="AA114" i="11"/>
  <c r="Z114" i="11"/>
  <c r="AX114" i="11"/>
  <c r="AU114" i="11"/>
  <c r="W114" i="11"/>
  <c r="AT114" i="11"/>
  <c r="V114" i="11"/>
  <c r="AR114" i="11"/>
  <c r="T114" i="11"/>
  <c r="AQ114" i="11"/>
  <c r="S114" i="11"/>
  <c r="AI195" i="22"/>
  <c r="AS121" i="11"/>
  <c r="U121" i="11"/>
  <c r="AR121" i="11"/>
  <c r="T121" i="11"/>
  <c r="AQ121" i="11"/>
  <c r="S121" i="11"/>
  <c r="AP121" i="11"/>
  <c r="R121" i="11"/>
  <c r="AO121" i="11"/>
  <c r="Q121" i="11"/>
  <c r="AN121" i="11"/>
  <c r="P121" i="11"/>
  <c r="AM121" i="11"/>
  <c r="O121" i="11"/>
  <c r="AE121" i="11"/>
  <c r="AZ121" i="11"/>
  <c r="AL121" i="11"/>
  <c r="N121" i="11"/>
  <c r="BI121" i="11"/>
  <c r="AK121" i="11"/>
  <c r="M121" i="11"/>
  <c r="G121" i="11"/>
  <c r="AB121" i="11"/>
  <c r="BH121" i="11"/>
  <c r="AJ121" i="11"/>
  <c r="L121" i="11"/>
  <c r="BC121" i="11"/>
  <c r="BG121" i="11"/>
  <c r="AI121" i="11"/>
  <c r="K121" i="11"/>
  <c r="BF121" i="11"/>
  <c r="AH121" i="11"/>
  <c r="J121" i="11"/>
  <c r="BE121" i="11"/>
  <c r="AG121" i="11"/>
  <c r="I121" i="11"/>
  <c r="BD121" i="11"/>
  <c r="AF121" i="11"/>
  <c r="H121" i="11"/>
  <c r="BB121" i="11"/>
  <c r="AD121" i="11"/>
  <c r="F121" i="11"/>
  <c r="AC121" i="11"/>
  <c r="BA121" i="11"/>
  <c r="E121" i="11"/>
  <c r="AX121" i="11"/>
  <c r="Z121" i="11"/>
  <c r="AW121" i="11"/>
  <c r="Y121" i="11"/>
  <c r="AU121" i="11"/>
  <c r="W121" i="11"/>
  <c r="AT121" i="11"/>
  <c r="V121" i="11"/>
  <c r="AI203" i="22"/>
  <c r="AP408" i="11"/>
  <c r="R408" i="11"/>
  <c r="AO408" i="11"/>
  <c r="Q408" i="11"/>
  <c r="AN408" i="11"/>
  <c r="P408" i="11"/>
  <c r="AM408" i="11"/>
  <c r="O408" i="11"/>
  <c r="AL408" i="11"/>
  <c r="N408" i="11"/>
  <c r="BI408" i="11"/>
  <c r="AK408" i="11"/>
  <c r="M408" i="11"/>
  <c r="BH408" i="11"/>
  <c r="AJ408" i="11"/>
  <c r="L408" i="11"/>
  <c r="BG408" i="11"/>
  <c r="AI408" i="11"/>
  <c r="K408" i="11"/>
  <c r="BF408" i="11"/>
  <c r="AH408" i="11"/>
  <c r="J408" i="11"/>
  <c r="BE408" i="11"/>
  <c r="AG408" i="11"/>
  <c r="I408" i="11"/>
  <c r="BD408" i="11"/>
  <c r="AF408" i="11"/>
  <c r="H408" i="11"/>
  <c r="BC408" i="11"/>
  <c r="AE408" i="11"/>
  <c r="G408" i="11"/>
  <c r="BB408" i="11"/>
  <c r="AD408" i="11"/>
  <c r="F408" i="11"/>
  <c r="BA408" i="11"/>
  <c r="AC408" i="11"/>
  <c r="E408" i="11"/>
  <c r="AZ408" i="11"/>
  <c r="AB408" i="11"/>
  <c r="AY408" i="11"/>
  <c r="AA408" i="11"/>
  <c r="AX408" i="11"/>
  <c r="Z408" i="11"/>
  <c r="AW408" i="11"/>
  <c r="Y408" i="11"/>
  <c r="AU408" i="11"/>
  <c r="W408" i="11"/>
  <c r="AT408" i="11"/>
  <c r="V408" i="11"/>
  <c r="AS408" i="11"/>
  <c r="U408" i="11"/>
  <c r="AR408" i="11"/>
  <c r="T408" i="11"/>
  <c r="AQ408" i="11"/>
  <c r="S408" i="11"/>
  <c r="BD103" i="11"/>
  <c r="AF103" i="11"/>
  <c r="H103" i="11"/>
  <c r="BC103" i="11"/>
  <c r="AE103" i="11"/>
  <c r="G103" i="11"/>
  <c r="BB103" i="11"/>
  <c r="AD103" i="11"/>
  <c r="F103" i="11"/>
  <c r="BA103" i="11"/>
  <c r="AC103" i="11"/>
  <c r="E103" i="11"/>
  <c r="AZ103" i="11"/>
  <c r="AB103" i="11"/>
  <c r="AY103" i="11"/>
  <c r="AA103" i="11"/>
  <c r="AX103" i="11"/>
  <c r="Z103" i="11"/>
  <c r="AW103" i="11"/>
  <c r="Y103" i="11"/>
  <c r="AP103" i="11"/>
  <c r="AV103" i="11"/>
  <c r="X103" i="11"/>
  <c r="AI171" i="22"/>
  <c r="AU103" i="11"/>
  <c r="W103" i="11"/>
  <c r="AT103" i="11"/>
  <c r="V103" i="11"/>
  <c r="AS103" i="11"/>
  <c r="U103" i="11"/>
  <c r="AR103" i="11"/>
  <c r="T103" i="11"/>
  <c r="R103" i="11"/>
  <c r="AQ103" i="11"/>
  <c r="S103" i="11"/>
  <c r="AO103" i="11"/>
  <c r="Q103" i="11"/>
  <c r="AN103" i="11"/>
  <c r="P103" i="11"/>
  <c r="BH103" i="11"/>
  <c r="AJ103" i="11"/>
  <c r="L103" i="11"/>
  <c r="BF103" i="11"/>
  <c r="AH103" i="11"/>
  <c r="J103" i="11"/>
  <c r="BE103" i="11"/>
  <c r="AG103" i="11"/>
  <c r="I103" i="11"/>
  <c r="AI111" i="22"/>
  <c r="BA72" i="11"/>
  <c r="AC72" i="11"/>
  <c r="E72" i="11"/>
  <c r="AZ72" i="11"/>
  <c r="AB72" i="11"/>
  <c r="AY72" i="11"/>
  <c r="AA72" i="11"/>
  <c r="AX72" i="11"/>
  <c r="Z72" i="11"/>
  <c r="Y72" i="11"/>
  <c r="AW72" i="11"/>
  <c r="AV72" i="11"/>
  <c r="X72" i="11"/>
  <c r="AU72" i="11"/>
  <c r="W72" i="11"/>
  <c r="AT72" i="11"/>
  <c r="V72" i="11"/>
  <c r="U72" i="11"/>
  <c r="AM72" i="11"/>
  <c r="AS72" i="11"/>
  <c r="AR72" i="11"/>
  <c r="T72" i="11"/>
  <c r="AK72" i="11"/>
  <c r="AQ72" i="11"/>
  <c r="S72" i="11"/>
  <c r="AP72" i="11"/>
  <c r="R72" i="11"/>
  <c r="M72" i="11"/>
  <c r="AO72" i="11"/>
  <c r="Q72" i="11"/>
  <c r="O72" i="11"/>
  <c r="BI72" i="11"/>
  <c r="AN72" i="11"/>
  <c r="P72" i="11"/>
  <c r="AL72" i="11"/>
  <c r="N72" i="11"/>
  <c r="BE72" i="11"/>
  <c r="AG72" i="11"/>
  <c r="I72" i="11"/>
  <c r="BC72" i="11"/>
  <c r="AE72" i="11"/>
  <c r="G72" i="11"/>
  <c r="BB72" i="11"/>
  <c r="AD72" i="11"/>
  <c r="F72" i="11"/>
  <c r="AI3" i="22"/>
  <c r="BB24" i="11"/>
  <c r="AD24" i="11"/>
  <c r="F24" i="11"/>
  <c r="Y24" i="11"/>
  <c r="BA24" i="11"/>
  <c r="AC24" i="11"/>
  <c r="E24" i="11"/>
  <c r="AW24" i="11"/>
  <c r="AZ24" i="11"/>
  <c r="AB24" i="11"/>
  <c r="Z24" i="11"/>
  <c r="AY24" i="11"/>
  <c r="AA24" i="11"/>
  <c r="AX24" i="11"/>
  <c r="AV24" i="11"/>
  <c r="X24" i="11"/>
  <c r="AT24" i="11"/>
  <c r="V24" i="11"/>
  <c r="AR24" i="11"/>
  <c r="AU24" i="11"/>
  <c r="W24" i="11"/>
  <c r="AN24" i="11"/>
  <c r="AS24" i="11"/>
  <c r="U24" i="11"/>
  <c r="T24" i="11"/>
  <c r="P24" i="11"/>
  <c r="N24" i="11"/>
  <c r="AQ24" i="11"/>
  <c r="S24" i="11"/>
  <c r="AO24" i="11"/>
  <c r="Q24" i="11"/>
  <c r="AP24" i="11"/>
  <c r="R24" i="11"/>
  <c r="AL24" i="11"/>
  <c r="AM24" i="11"/>
  <c r="O24" i="11"/>
  <c r="BF24" i="11"/>
  <c r="AH24" i="11"/>
  <c r="J24" i="11"/>
  <c r="AI202" i="22"/>
  <c r="AX401" i="11"/>
  <c r="Z401" i="11"/>
  <c r="AW401" i="11"/>
  <c r="Y401" i="11"/>
  <c r="AV401" i="11"/>
  <c r="X401" i="11"/>
  <c r="AU401" i="11"/>
  <c r="W401" i="11"/>
  <c r="AT401" i="11"/>
  <c r="V401" i="11"/>
  <c r="AS401" i="11"/>
  <c r="U401" i="11"/>
  <c r="AR401" i="11"/>
  <c r="T401" i="11"/>
  <c r="AQ401" i="11"/>
  <c r="S401" i="11"/>
  <c r="AP401" i="11"/>
  <c r="R401" i="11"/>
  <c r="AO401" i="11"/>
  <c r="Q401" i="11"/>
  <c r="AN401" i="11"/>
  <c r="P401" i="11"/>
  <c r="AM401" i="11"/>
  <c r="O401" i="11"/>
  <c r="AL401" i="11"/>
  <c r="N401" i="11"/>
  <c r="BI401" i="11"/>
  <c r="AK401" i="11"/>
  <c r="M401" i="11"/>
  <c r="BH401" i="11"/>
  <c r="AJ401" i="11"/>
  <c r="L401" i="11"/>
  <c r="BG401" i="11"/>
  <c r="AI401" i="11"/>
  <c r="K401" i="11"/>
  <c r="BF401" i="11"/>
  <c r="AH401" i="11"/>
  <c r="J401" i="11"/>
  <c r="BE401" i="11"/>
  <c r="AG401" i="11"/>
  <c r="I401" i="11"/>
  <c r="BC401" i="11"/>
  <c r="AE401" i="11"/>
  <c r="G401" i="11"/>
  <c r="BB401" i="11"/>
  <c r="AD401" i="11"/>
  <c r="F401" i="11"/>
  <c r="BA401" i="11"/>
  <c r="AC401" i="11"/>
  <c r="E401" i="11"/>
  <c r="AZ401" i="11"/>
  <c r="AB401" i="11"/>
  <c r="AY401" i="11"/>
  <c r="AA401" i="11"/>
  <c r="AI217" i="22"/>
  <c r="BB370" i="11"/>
  <c r="AD370" i="11"/>
  <c r="F370" i="11"/>
  <c r="BA370" i="11"/>
  <c r="AC370" i="11"/>
  <c r="E370" i="11"/>
  <c r="AZ370" i="11"/>
  <c r="AB370" i="11"/>
  <c r="AY370" i="11"/>
  <c r="AA370" i="11"/>
  <c r="AX370" i="11"/>
  <c r="Z370" i="11"/>
  <c r="AW370" i="11"/>
  <c r="Y370" i="11"/>
  <c r="AV370" i="11"/>
  <c r="X370" i="11"/>
  <c r="AU370" i="11"/>
  <c r="W370" i="11"/>
  <c r="AT370" i="11"/>
  <c r="V370" i="11"/>
  <c r="AS370" i="11"/>
  <c r="U370" i="11"/>
  <c r="AR370" i="11"/>
  <c r="T370" i="11"/>
  <c r="AQ370" i="11"/>
  <c r="S370" i="11"/>
  <c r="AP370" i="11"/>
  <c r="R370" i="11"/>
  <c r="AO370" i="11"/>
  <c r="Q370" i="11"/>
  <c r="AN370" i="11"/>
  <c r="P370" i="11"/>
  <c r="AM370" i="11"/>
  <c r="O370" i="11"/>
  <c r="AL370" i="11"/>
  <c r="N370" i="11"/>
  <c r="BI370" i="11"/>
  <c r="AK370" i="11"/>
  <c r="M370" i="11"/>
  <c r="BG370" i="11"/>
  <c r="AI370" i="11"/>
  <c r="K370" i="11"/>
  <c r="BF370" i="11"/>
  <c r="AH370" i="11"/>
  <c r="J370" i="11"/>
  <c r="BE370" i="11"/>
  <c r="AG370" i="11"/>
  <c r="I370" i="11"/>
  <c r="BD370" i="11"/>
  <c r="AF370" i="11"/>
  <c r="H370" i="11"/>
  <c r="BC370" i="11"/>
  <c r="AE370" i="11"/>
  <c r="G370" i="11"/>
  <c r="AV121" i="11"/>
  <c r="AY121" i="11"/>
  <c r="P372" i="11"/>
  <c r="F320" i="11"/>
  <c r="AD320" i="11"/>
  <c r="BB320" i="11"/>
  <c r="T321" i="11"/>
  <c r="AR321" i="11"/>
  <c r="Y334" i="11"/>
  <c r="AW334" i="11"/>
  <c r="I338" i="11"/>
  <c r="AG338" i="11"/>
  <c r="BE338" i="11"/>
  <c r="G398" i="11"/>
  <c r="AE398" i="11"/>
  <c r="BC398" i="11"/>
  <c r="O406" i="11"/>
  <c r="AM406" i="11"/>
  <c r="I416" i="11"/>
  <c r="R430" i="11"/>
  <c r="BA430" i="11"/>
  <c r="G320" i="11"/>
  <c r="AE320" i="11"/>
  <c r="BC320" i="11"/>
  <c r="U321" i="11"/>
  <c r="AS321" i="11"/>
  <c r="Z334" i="11"/>
  <c r="AX334" i="11"/>
  <c r="J338" i="11"/>
  <c r="AH338" i="11"/>
  <c r="BF338" i="11"/>
  <c r="H398" i="11"/>
  <c r="AF398" i="11"/>
  <c r="BD398" i="11"/>
  <c r="P406" i="11"/>
  <c r="AN406" i="11"/>
  <c r="J416" i="11"/>
  <c r="S430" i="11"/>
  <c r="BB430" i="11"/>
  <c r="H320" i="11"/>
  <c r="AF320" i="11"/>
  <c r="BD320" i="11"/>
  <c r="V321" i="11"/>
  <c r="AT321" i="11"/>
  <c r="AA334" i="11"/>
  <c r="AY334" i="11"/>
  <c r="K338" i="11"/>
  <c r="AI338" i="11"/>
  <c r="BG338" i="11"/>
  <c r="I398" i="11"/>
  <c r="AG398" i="11"/>
  <c r="BE398" i="11"/>
  <c r="Q406" i="11"/>
  <c r="AO406" i="11"/>
  <c r="L416" i="11"/>
  <c r="T430" i="11"/>
  <c r="BC430" i="11"/>
  <c r="W435" i="11"/>
  <c r="AV435" i="11"/>
  <c r="BE440" i="11"/>
  <c r="O284" i="11"/>
  <c r="AM284" i="11"/>
  <c r="I320" i="11"/>
  <c r="AG320" i="11"/>
  <c r="BE320" i="11"/>
  <c r="W321" i="11"/>
  <c r="AU321" i="11"/>
  <c r="AB334" i="11"/>
  <c r="AZ334" i="11"/>
  <c r="L338" i="11"/>
  <c r="AJ338" i="11"/>
  <c r="BH338" i="11"/>
  <c r="J398" i="11"/>
  <c r="AH398" i="11"/>
  <c r="BF398" i="11"/>
  <c r="R406" i="11"/>
  <c r="AP406" i="11"/>
  <c r="N416" i="11"/>
  <c r="AC429" i="11"/>
  <c r="BC429" i="11"/>
  <c r="U430" i="11"/>
  <c r="BD430" i="11"/>
  <c r="V431" i="11"/>
  <c r="AU431" i="11"/>
  <c r="G434" i="11"/>
  <c r="AF434" i="11"/>
  <c r="BE434" i="11"/>
  <c r="X435" i="11"/>
  <c r="AW435" i="11"/>
  <c r="AA439" i="11"/>
  <c r="BH440" i="11"/>
  <c r="P445" i="11"/>
  <c r="AP445" i="11"/>
  <c r="J320" i="11"/>
  <c r="AH320" i="11"/>
  <c r="BF320" i="11"/>
  <c r="X321" i="11"/>
  <c r="AV321" i="11"/>
  <c r="E334" i="11"/>
  <c r="AC334" i="11"/>
  <c r="BA334" i="11"/>
  <c r="M338" i="11"/>
  <c r="AK338" i="11"/>
  <c r="BI338" i="11"/>
  <c r="K398" i="11"/>
  <c r="AI398" i="11"/>
  <c r="BG398" i="11"/>
  <c r="S406" i="11"/>
  <c r="AQ406" i="11"/>
  <c r="Q416" i="11"/>
  <c r="X430" i="11"/>
  <c r="BE430" i="11"/>
  <c r="P338" i="11"/>
  <c r="AN338" i="11"/>
  <c r="N398" i="11"/>
  <c r="AL398" i="11"/>
  <c r="V406" i="11"/>
  <c r="AT406" i="11"/>
  <c r="AD410" i="11"/>
  <c r="AB416" i="11"/>
  <c r="AD430" i="11"/>
  <c r="BH430" i="11"/>
  <c r="T284" i="11"/>
  <c r="AR284" i="11"/>
  <c r="N320" i="11"/>
  <c r="AL320" i="11"/>
  <c r="AB321" i="11"/>
  <c r="AZ321" i="11"/>
  <c r="I334" i="11"/>
  <c r="AG334" i="11"/>
  <c r="BE334" i="11"/>
  <c r="Q338" i="11"/>
  <c r="AO338" i="11"/>
  <c r="O398" i="11"/>
  <c r="AM398" i="11"/>
  <c r="W406" i="11"/>
  <c r="AU406" i="11"/>
  <c r="BB410" i="11"/>
  <c r="AC416" i="11"/>
  <c r="AE430" i="11"/>
  <c r="BI430" i="11"/>
  <c r="P398" i="11"/>
  <c r="AN398" i="11"/>
  <c r="X406" i="11"/>
  <c r="AV406" i="11"/>
  <c r="AI416" i="11"/>
  <c r="AF430" i="11"/>
  <c r="P320" i="11"/>
  <c r="AN320" i="11"/>
  <c r="F321" i="11"/>
  <c r="AD321" i="11"/>
  <c r="BB321" i="11"/>
  <c r="K334" i="11"/>
  <c r="AI334" i="11"/>
  <c r="BG334" i="11"/>
  <c r="S338" i="11"/>
  <c r="AQ338" i="11"/>
  <c r="Q398" i="11"/>
  <c r="AO398" i="11"/>
  <c r="Y406" i="11"/>
  <c r="AW406" i="11"/>
  <c r="AJ416" i="11"/>
  <c r="AH430" i="11"/>
  <c r="F435" i="11"/>
  <c r="AE435" i="11"/>
  <c r="BD435" i="11"/>
  <c r="W284" i="11"/>
  <c r="AU284" i="11"/>
  <c r="Q320" i="11"/>
  <c r="AO320" i="11"/>
  <c r="G321" i="11"/>
  <c r="AE321" i="11"/>
  <c r="BC321" i="11"/>
  <c r="L334" i="11"/>
  <c r="AJ334" i="11"/>
  <c r="BH334" i="11"/>
  <c r="T338" i="11"/>
  <c r="AR338" i="11"/>
  <c r="R398" i="11"/>
  <c r="AP398" i="11"/>
  <c r="Z406" i="11"/>
  <c r="AX406" i="11"/>
  <c r="AK416" i="11"/>
  <c r="K429" i="11"/>
  <c r="AK429" i="11"/>
  <c r="E430" i="11"/>
  <c r="AI430" i="11"/>
  <c r="F431" i="11"/>
  <c r="AE431" i="11"/>
  <c r="BD431" i="11"/>
  <c r="O434" i="11"/>
  <c r="AN434" i="11"/>
  <c r="G435" i="11"/>
  <c r="AF435" i="11"/>
  <c r="BE435" i="11"/>
  <c r="BG439" i="11"/>
  <c r="Y445" i="11"/>
  <c r="AY445" i="11"/>
  <c r="X284" i="11"/>
  <c r="AV284" i="11"/>
  <c r="R320" i="11"/>
  <c r="AP320" i="11"/>
  <c r="H321" i="11"/>
  <c r="AF321" i="11"/>
  <c r="BD321" i="11"/>
  <c r="M334" i="11"/>
  <c r="AK334" i="11"/>
  <c r="BI334" i="11"/>
  <c r="U338" i="11"/>
  <c r="AS338" i="11"/>
  <c r="S398" i="11"/>
  <c r="AQ398" i="11"/>
  <c r="AA406" i="11"/>
  <c r="AY406" i="11"/>
  <c r="AM416" i="11"/>
  <c r="F430" i="11"/>
  <c r="AJ430" i="11"/>
  <c r="H435" i="11"/>
  <c r="AG435" i="11"/>
  <c r="BF435" i="11"/>
  <c r="Y284" i="11"/>
  <c r="AW284" i="11"/>
  <c r="S320" i="11"/>
  <c r="AQ320" i="11"/>
  <c r="I321" i="11"/>
  <c r="AG321" i="11"/>
  <c r="BE321" i="11"/>
  <c r="N334" i="11"/>
  <c r="AL334" i="11"/>
  <c r="V338" i="11"/>
  <c r="AT338" i="11"/>
  <c r="T398" i="11"/>
  <c r="AR398" i="11"/>
  <c r="AB406" i="11"/>
  <c r="AZ406" i="11"/>
  <c r="AO416" i="11"/>
  <c r="G430" i="11"/>
  <c r="AK430" i="11"/>
  <c r="I435" i="11"/>
  <c r="AH435" i="11"/>
  <c r="BG435" i="11"/>
  <c r="H440" i="11"/>
  <c r="Z284" i="11"/>
  <c r="AX284" i="11"/>
  <c r="T320" i="11"/>
  <c r="AR320" i="11"/>
  <c r="J321" i="11"/>
  <c r="AH321" i="11"/>
  <c r="BF321" i="11"/>
  <c r="O334" i="11"/>
  <c r="AM334" i="11"/>
  <c r="W338" i="11"/>
  <c r="AU338" i="11"/>
  <c r="U398" i="11"/>
  <c r="AS398" i="11"/>
  <c r="E406" i="11"/>
  <c r="AC406" i="11"/>
  <c r="BA406" i="11"/>
  <c r="AT416" i="11"/>
  <c r="H430" i="11"/>
  <c r="AL430" i="11"/>
  <c r="R434" i="11"/>
  <c r="AQ434" i="11"/>
  <c r="J435" i="11"/>
  <c r="AI435" i="11"/>
  <c r="BH435" i="11"/>
  <c r="I440" i="11"/>
  <c r="AB445" i="11"/>
  <c r="BB445" i="11"/>
  <c r="U320" i="11"/>
  <c r="AS320" i="11"/>
  <c r="K321" i="11"/>
  <c r="AI321" i="11"/>
  <c r="BG321" i="11"/>
  <c r="P334" i="11"/>
  <c r="AN334" i="11"/>
  <c r="X338" i="11"/>
  <c r="AV338" i="11"/>
  <c r="V398" i="11"/>
  <c r="AT398" i="11"/>
  <c r="F406" i="11"/>
  <c r="AD406" i="11"/>
  <c r="BB406" i="11"/>
  <c r="BA416" i="11"/>
  <c r="I430" i="11"/>
  <c r="AM430" i="11"/>
  <c r="AB284" i="11"/>
  <c r="AZ284" i="11"/>
  <c r="V320" i="11"/>
  <c r="AT320" i="11"/>
  <c r="L321" i="11"/>
  <c r="AJ321" i="11"/>
  <c r="BH321" i="11"/>
  <c r="Q334" i="11"/>
  <c r="AO334" i="11"/>
  <c r="Y338" i="11"/>
  <c r="AW338" i="11"/>
  <c r="W398" i="11"/>
  <c r="AU398" i="11"/>
  <c r="G406" i="11"/>
  <c r="AE406" i="11"/>
  <c r="BC406" i="11"/>
  <c r="BB416" i="11"/>
  <c r="K419" i="11"/>
  <c r="AJ419" i="11"/>
  <c r="BI419" i="11"/>
  <c r="Q429" i="11"/>
  <c r="AR429" i="11"/>
  <c r="J430" i="11"/>
  <c r="AN430" i="11"/>
  <c r="K431" i="11"/>
  <c r="AJ431" i="11"/>
  <c r="BI431" i="11"/>
  <c r="AN433" i="11"/>
  <c r="T434" i="11"/>
  <c r="AS434" i="11"/>
  <c r="L435" i="11"/>
  <c r="AK435" i="11"/>
  <c r="Y440" i="11"/>
  <c r="AD445" i="11"/>
  <c r="BE445" i="11"/>
  <c r="AI406" i="22"/>
  <c r="AA242" i="11"/>
  <c r="AY242" i="11"/>
  <c r="N254" i="11"/>
  <c r="E284" i="11"/>
  <c r="AC284" i="11"/>
  <c r="BA284" i="11"/>
  <c r="W320" i="11"/>
  <c r="AU320" i="11"/>
  <c r="M321" i="11"/>
  <c r="AK321" i="11"/>
  <c r="BI321" i="11"/>
  <c r="R334" i="11"/>
  <c r="AP334" i="11"/>
  <c r="Z338" i="11"/>
  <c r="AX338" i="11"/>
  <c r="X398" i="11"/>
  <c r="AV398" i="11"/>
  <c r="J402" i="11"/>
  <c r="AI402" i="11"/>
  <c r="BH402" i="11"/>
  <c r="H406" i="11"/>
  <c r="AF406" i="11"/>
  <c r="BD406" i="11"/>
  <c r="I415" i="11"/>
  <c r="AG415" i="11"/>
  <c r="BC416" i="11"/>
  <c r="Z417" i="11"/>
  <c r="AX417" i="11"/>
  <c r="L419" i="11"/>
  <c r="AK419" i="11"/>
  <c r="J421" i="11"/>
  <c r="AK421" i="11"/>
  <c r="AJ422" i="11"/>
  <c r="V426" i="11"/>
  <c r="AY426" i="11"/>
  <c r="S429" i="11"/>
  <c r="AS429" i="11"/>
  <c r="K430" i="11"/>
  <c r="AO430" i="11"/>
  <c r="L431" i="11"/>
  <c r="AK431" i="11"/>
  <c r="AQ433" i="11"/>
  <c r="U434" i="11"/>
  <c r="AT434" i="11"/>
  <c r="M435" i="11"/>
  <c r="AL435" i="11"/>
  <c r="F436" i="11"/>
  <c r="Z440" i="11"/>
  <c r="E445" i="11"/>
  <c r="AF445" i="11"/>
  <c r="BF445" i="11"/>
  <c r="F284" i="11"/>
  <c r="AD284" i="11"/>
  <c r="BB284" i="11"/>
  <c r="X320" i="11"/>
  <c r="AV320" i="11"/>
  <c r="N321" i="11"/>
  <c r="AL321" i="11"/>
  <c r="S334" i="11"/>
  <c r="AQ334" i="11"/>
  <c r="AA338" i="11"/>
  <c r="AY338" i="11"/>
  <c r="Y398" i="11"/>
  <c r="AW398" i="11"/>
  <c r="I406" i="11"/>
  <c r="AG406" i="11"/>
  <c r="BE406" i="11"/>
  <c r="BD416" i="11"/>
  <c r="L430" i="11"/>
  <c r="AP430" i="11"/>
  <c r="N435" i="11"/>
  <c r="AM435" i="11"/>
  <c r="AA440" i="11"/>
  <c r="Y320" i="11"/>
  <c r="AW320" i="11"/>
  <c r="O321" i="11"/>
  <c r="AM321" i="11"/>
  <c r="T334" i="11"/>
  <c r="AR334" i="11"/>
  <c r="AB338" i="11"/>
  <c r="AZ338" i="11"/>
  <c r="Z398" i="11"/>
  <c r="AX398" i="11"/>
  <c r="J406" i="11"/>
  <c r="AH406" i="11"/>
  <c r="BF406" i="11"/>
  <c r="M430" i="11"/>
  <c r="AQ430" i="11"/>
  <c r="O435" i="11"/>
  <c r="AO435" i="11"/>
  <c r="AQ440" i="11"/>
  <c r="H284" i="11"/>
  <c r="AF284" i="11"/>
  <c r="BD284" i="11"/>
  <c r="Z320" i="11"/>
  <c r="AX320" i="11"/>
  <c r="P321" i="11"/>
  <c r="AN321" i="11"/>
  <c r="U334" i="11"/>
  <c r="AS334" i="11"/>
  <c r="E338" i="11"/>
  <c r="AC338" i="11"/>
  <c r="BA338" i="11"/>
  <c r="AA398" i="11"/>
  <c r="AY398" i="11"/>
  <c r="K406" i="11"/>
  <c r="AI406" i="11"/>
  <c r="BG406" i="11"/>
  <c r="O419" i="11"/>
  <c r="AO419" i="11"/>
  <c r="M421" i="11"/>
  <c r="AN421" i="11"/>
  <c r="Z426" i="11"/>
  <c r="BC426" i="11"/>
  <c r="V429" i="11"/>
  <c r="AV429" i="11"/>
  <c r="N430" i="11"/>
  <c r="AR430" i="11"/>
  <c r="O431" i="11"/>
  <c r="AN431" i="11"/>
  <c r="AZ433" i="11"/>
  <c r="X434" i="11"/>
  <c r="AW434" i="11"/>
  <c r="Q435" i="11"/>
  <c r="AP435" i="11"/>
  <c r="AP436" i="11"/>
  <c r="AR440" i="11"/>
  <c r="I445" i="11"/>
  <c r="AI445" i="11"/>
  <c r="BI445" i="11"/>
  <c r="AZ436" i="11"/>
  <c r="I284" i="11"/>
  <c r="AG284" i="11"/>
  <c r="BE284" i="11"/>
  <c r="AA320" i="11"/>
  <c r="AY320" i="11"/>
  <c r="Q321" i="11"/>
  <c r="AO321" i="11"/>
  <c r="V334" i="11"/>
  <c r="AT334" i="11"/>
  <c r="F338" i="11"/>
  <c r="AD338" i="11"/>
  <c r="BB338" i="11"/>
  <c r="AB398" i="11"/>
  <c r="AZ398" i="11"/>
  <c r="L406" i="11"/>
  <c r="AJ406" i="11"/>
  <c r="BH406" i="11"/>
  <c r="O430" i="11"/>
  <c r="AS430" i="11"/>
  <c r="R435" i="11"/>
  <c r="AQ435" i="11"/>
  <c r="AT440" i="11"/>
  <c r="J445" i="11"/>
  <c r="AJ445" i="11"/>
  <c r="BD428" i="11"/>
  <c r="J284" i="11"/>
  <c r="AH284" i="11"/>
  <c r="BF284" i="11"/>
  <c r="AB320" i="11"/>
  <c r="AZ320" i="11"/>
  <c r="R321" i="11"/>
  <c r="AP321" i="11"/>
  <c r="W334" i="11"/>
  <c r="AU334" i="11"/>
  <c r="G338" i="11"/>
  <c r="AE338" i="11"/>
  <c r="BC338" i="11"/>
  <c r="E398" i="11"/>
  <c r="AC398" i="11"/>
  <c r="BA398" i="11"/>
  <c r="M406" i="11"/>
  <c r="AK406" i="11"/>
  <c r="BI406" i="11"/>
  <c r="R419" i="11"/>
  <c r="AQ419" i="11"/>
  <c r="X429" i="11"/>
  <c r="AX429" i="11"/>
  <c r="P430" i="11"/>
  <c r="AV430" i="11"/>
  <c r="Q431" i="11"/>
  <c r="AA434" i="11"/>
  <c r="AZ434" i="11"/>
  <c r="S435" i="11"/>
  <c r="AV440" i="11"/>
  <c r="K445" i="11"/>
  <c r="K284" i="11"/>
  <c r="AI284" i="11"/>
  <c r="BG284" i="11"/>
  <c r="E320" i="11"/>
  <c r="AC320" i="11"/>
  <c r="BA320" i="11"/>
  <c r="S321" i="11"/>
  <c r="AQ321" i="11"/>
  <c r="X334" i="11"/>
  <c r="AV334" i="11"/>
  <c r="H338" i="11"/>
  <c r="AF338" i="11"/>
  <c r="BD338" i="11"/>
  <c r="F398" i="11"/>
  <c r="AD398" i="11"/>
  <c r="N406" i="11"/>
  <c r="AL406" i="11"/>
  <c r="H416" i="11"/>
  <c r="Q430" i="11"/>
  <c r="AV81" i="11"/>
  <c r="S12" i="11"/>
  <c r="AQ12" i="11"/>
  <c r="W38" i="11"/>
  <c r="AU38" i="11"/>
  <c r="Y45" i="11"/>
  <c r="AW45" i="11"/>
  <c r="O58" i="11"/>
  <c r="AM58" i="11"/>
  <c r="Y81" i="11"/>
  <c r="AW81" i="11"/>
  <c r="F131" i="11"/>
  <c r="AD131" i="11"/>
  <c r="BB131" i="11"/>
  <c r="J182" i="11"/>
  <c r="AH182" i="11"/>
  <c r="BF182" i="11"/>
  <c r="J194" i="11"/>
  <c r="AH194" i="11"/>
  <c r="BF194" i="11"/>
  <c r="V200" i="11"/>
  <c r="AT200" i="11"/>
  <c r="T229" i="11"/>
  <c r="AR229" i="11"/>
  <c r="T251" i="11"/>
  <c r="AR251" i="11"/>
  <c r="L260" i="11"/>
  <c r="AJ260" i="11"/>
  <c r="BH260" i="11"/>
  <c r="V322" i="11"/>
  <c r="AT322" i="11"/>
  <c r="AB410" i="11"/>
  <c r="AZ410" i="11"/>
  <c r="AI36" i="22"/>
  <c r="X81" i="11"/>
  <c r="Y9" i="11"/>
  <c r="AW9" i="11"/>
  <c r="Z9" i="11"/>
  <c r="AX9" i="11"/>
  <c r="T12" i="11"/>
  <c r="AR12" i="11"/>
  <c r="X38" i="11"/>
  <c r="AV38" i="11"/>
  <c r="Z45" i="11"/>
  <c r="AX45" i="11"/>
  <c r="P58" i="11"/>
  <c r="AN58" i="11"/>
  <c r="Z81" i="11"/>
  <c r="AX81" i="11"/>
  <c r="G131" i="11"/>
  <c r="AE131" i="11"/>
  <c r="BC131" i="11"/>
  <c r="K182" i="11"/>
  <c r="AI182" i="11"/>
  <c r="BG182" i="11"/>
  <c r="K194" i="11"/>
  <c r="AI194" i="11"/>
  <c r="BG194" i="11"/>
  <c r="W200" i="11"/>
  <c r="AU200" i="11"/>
  <c r="U229" i="11"/>
  <c r="AS229" i="11"/>
  <c r="U251" i="11"/>
  <c r="AS251" i="11"/>
  <c r="M260" i="11"/>
  <c r="AK260" i="11"/>
  <c r="BI260" i="11"/>
  <c r="W322" i="11"/>
  <c r="AU322" i="11"/>
  <c r="E410" i="11"/>
  <c r="AC410" i="11"/>
  <c r="BA410" i="11"/>
  <c r="V12" i="11"/>
  <c r="AT12" i="11"/>
  <c r="Z38" i="11"/>
  <c r="AX38" i="11"/>
  <c r="AB45" i="11"/>
  <c r="AZ45" i="11"/>
  <c r="R58" i="11"/>
  <c r="AP58" i="11"/>
  <c r="AB81" i="11"/>
  <c r="AZ81" i="11"/>
  <c r="I131" i="11"/>
  <c r="AG131" i="11"/>
  <c r="BE131" i="11"/>
  <c r="M182" i="11"/>
  <c r="AK182" i="11"/>
  <c r="BI182" i="11"/>
  <c r="M194" i="11"/>
  <c r="AK194" i="11"/>
  <c r="BI194" i="11"/>
  <c r="Y200" i="11"/>
  <c r="AW200" i="11"/>
  <c r="W229" i="11"/>
  <c r="AU229" i="11"/>
  <c r="W251" i="11"/>
  <c r="AU251" i="11"/>
  <c r="O260" i="11"/>
  <c r="AM260" i="11"/>
  <c r="Y322" i="11"/>
  <c r="AW322" i="11"/>
  <c r="G410" i="11"/>
  <c r="AE410" i="11"/>
  <c r="BC410" i="11"/>
  <c r="AB9" i="11"/>
  <c r="AZ9" i="11"/>
  <c r="E9" i="11"/>
  <c r="AC9" i="11"/>
  <c r="BA9" i="11"/>
  <c r="W12" i="11"/>
  <c r="AU12" i="11"/>
  <c r="AA38" i="11"/>
  <c r="AY38" i="11"/>
  <c r="E45" i="11"/>
  <c r="AC45" i="11"/>
  <c r="BA45" i="11"/>
  <c r="S58" i="11"/>
  <c r="AQ58" i="11"/>
  <c r="E81" i="11"/>
  <c r="AC81" i="11"/>
  <c r="BA81" i="11"/>
  <c r="J131" i="11"/>
  <c r="AH131" i="11"/>
  <c r="BF131" i="11"/>
  <c r="N182" i="11"/>
  <c r="AL182" i="11"/>
  <c r="N194" i="11"/>
  <c r="AL194" i="11"/>
  <c r="Z200" i="11"/>
  <c r="AX200" i="11"/>
  <c r="X229" i="11"/>
  <c r="AV229" i="11"/>
  <c r="X251" i="11"/>
  <c r="AV251" i="11"/>
  <c r="P260" i="11"/>
  <c r="AN260" i="11"/>
  <c r="Z322" i="11"/>
  <c r="AX322" i="11"/>
  <c r="H410" i="11"/>
  <c r="AF410" i="11"/>
  <c r="BD410" i="11"/>
  <c r="F9" i="11"/>
  <c r="AD9" i="11"/>
  <c r="BB9" i="11"/>
  <c r="X12" i="11"/>
  <c r="AV12" i="11"/>
  <c r="AB38" i="11"/>
  <c r="AZ38" i="11"/>
  <c r="F45" i="11"/>
  <c r="AD45" i="11"/>
  <c r="BB45" i="11"/>
  <c r="T58" i="11"/>
  <c r="AR58" i="11"/>
  <c r="F81" i="11"/>
  <c r="AD81" i="11"/>
  <c r="BB81" i="11"/>
  <c r="K131" i="11"/>
  <c r="AI131" i="11"/>
  <c r="BG131" i="11"/>
  <c r="O182" i="11"/>
  <c r="AM182" i="11"/>
  <c r="O194" i="11"/>
  <c r="AM194" i="11"/>
  <c r="AA200" i="11"/>
  <c r="AY200" i="11"/>
  <c r="Y229" i="11"/>
  <c r="AW229" i="11"/>
  <c r="Y251" i="11"/>
  <c r="AW251" i="11"/>
  <c r="Q260" i="11"/>
  <c r="AO260" i="11"/>
  <c r="AA322" i="11"/>
  <c r="AY322" i="11"/>
  <c r="I410" i="11"/>
  <c r="AG410" i="11"/>
  <c r="BE410" i="11"/>
  <c r="AI228" i="22"/>
  <c r="E38" i="11"/>
  <c r="AC38" i="11"/>
  <c r="BA38" i="11"/>
  <c r="G45" i="11"/>
  <c r="AE45" i="11"/>
  <c r="BC45" i="11"/>
  <c r="U58" i="11"/>
  <c r="AS58" i="11"/>
  <c r="G81" i="11"/>
  <c r="AE81" i="11"/>
  <c r="BC81" i="11"/>
  <c r="L131" i="11"/>
  <c r="AJ131" i="11"/>
  <c r="BH131" i="11"/>
  <c r="P182" i="11"/>
  <c r="AN182" i="11"/>
  <c r="P194" i="11"/>
  <c r="AN194" i="11"/>
  <c r="AB200" i="11"/>
  <c r="AZ200" i="11"/>
  <c r="Z229" i="11"/>
  <c r="AX229" i="11"/>
  <c r="Z251" i="11"/>
  <c r="AX251" i="11"/>
  <c r="R260" i="11"/>
  <c r="AP260" i="11"/>
  <c r="AA299" i="11"/>
  <c r="AB322" i="11"/>
  <c r="AZ322" i="11"/>
  <c r="J410" i="11"/>
  <c r="AH410" i="11"/>
  <c r="BF410" i="11"/>
  <c r="L44" i="29"/>
  <c r="AI198" i="22"/>
  <c r="F38" i="11"/>
  <c r="AD38" i="11"/>
  <c r="BB38" i="11"/>
  <c r="H45" i="11"/>
  <c r="AF45" i="11"/>
  <c r="BD45" i="11"/>
  <c r="V58" i="11"/>
  <c r="AT58" i="11"/>
  <c r="H81" i="11"/>
  <c r="AF81" i="11"/>
  <c r="BD81" i="11"/>
  <c r="M131" i="11"/>
  <c r="AK131" i="11"/>
  <c r="BI131" i="11"/>
  <c r="Q182" i="11"/>
  <c r="AO182" i="11"/>
  <c r="Q194" i="11"/>
  <c r="AO194" i="11"/>
  <c r="E200" i="11"/>
  <c r="AC200" i="11"/>
  <c r="BA200" i="11"/>
  <c r="AA229" i="11"/>
  <c r="AY229" i="11"/>
  <c r="AA251" i="11"/>
  <c r="AY251" i="11"/>
  <c r="S260" i="11"/>
  <c r="AQ260" i="11"/>
  <c r="AY299" i="11"/>
  <c r="E322" i="11"/>
  <c r="AC322" i="11"/>
  <c r="BA322" i="11"/>
  <c r="K410" i="11"/>
  <c r="AI410" i="11"/>
  <c r="BG410" i="11"/>
  <c r="N131" i="11"/>
  <c r="AL131" i="11"/>
  <c r="R182" i="11"/>
  <c r="AP182" i="11"/>
  <c r="R194" i="11"/>
  <c r="AP194" i="11"/>
  <c r="F200" i="11"/>
  <c r="AD200" i="11"/>
  <c r="BB200" i="11"/>
  <c r="AB229" i="11"/>
  <c r="AZ229" i="11"/>
  <c r="AB251" i="11"/>
  <c r="AZ251" i="11"/>
  <c r="T260" i="11"/>
  <c r="AR260" i="11"/>
  <c r="F322" i="11"/>
  <c r="AD322" i="11"/>
  <c r="BB322" i="11"/>
  <c r="L410" i="11"/>
  <c r="AJ410" i="11"/>
  <c r="BH410" i="11"/>
  <c r="O131" i="11"/>
  <c r="AM131" i="11"/>
  <c r="S182" i="11"/>
  <c r="AQ182" i="11"/>
  <c r="S194" i="11"/>
  <c r="AQ194" i="11"/>
  <c r="G200" i="11"/>
  <c r="AE200" i="11"/>
  <c r="BC200" i="11"/>
  <c r="E229" i="11"/>
  <c r="AC229" i="11"/>
  <c r="BA229" i="11"/>
  <c r="E251" i="11"/>
  <c r="AC251" i="11"/>
  <c r="BA251" i="11"/>
  <c r="U260" i="11"/>
  <c r="AS260" i="11"/>
  <c r="G322" i="11"/>
  <c r="AE322" i="11"/>
  <c r="BC322" i="11"/>
  <c r="M410" i="11"/>
  <c r="AK410" i="11"/>
  <c r="BI410" i="11"/>
  <c r="AI114" i="22"/>
  <c r="BE38" i="11"/>
  <c r="K45" i="11"/>
  <c r="AI81" i="11"/>
  <c r="T182" i="11"/>
  <c r="T194" i="11"/>
  <c r="AR194" i="11"/>
  <c r="H200" i="11"/>
  <c r="AF200" i="11"/>
  <c r="BD200" i="11"/>
  <c r="F229" i="11"/>
  <c r="AD229" i="11"/>
  <c r="BB229" i="11"/>
  <c r="F251" i="11"/>
  <c r="AD251" i="11"/>
  <c r="BB251" i="11"/>
  <c r="V260" i="11"/>
  <c r="AT260" i="11"/>
  <c r="H322" i="11"/>
  <c r="AF322" i="11"/>
  <c r="BD322" i="11"/>
  <c r="N410" i="11"/>
  <c r="AL410" i="11"/>
  <c r="AI374" i="22"/>
  <c r="AW58" i="11"/>
  <c r="BB12" i="11"/>
  <c r="J38" i="11"/>
  <c r="AH38" i="11"/>
  <c r="BF38" i="11"/>
  <c r="L45" i="11"/>
  <c r="AJ45" i="11"/>
  <c r="BH45" i="11"/>
  <c r="Z58" i="11"/>
  <c r="AX58" i="11"/>
  <c r="L81" i="11"/>
  <c r="AJ81" i="11"/>
  <c r="BH81" i="11"/>
  <c r="Q131" i="11"/>
  <c r="AO131" i="11"/>
  <c r="U182" i="11"/>
  <c r="AS182" i="11"/>
  <c r="U194" i="11"/>
  <c r="AS194" i="11"/>
  <c r="I200" i="11"/>
  <c r="AG200" i="11"/>
  <c r="BE200" i="11"/>
  <c r="G229" i="11"/>
  <c r="AE229" i="11"/>
  <c r="BC229" i="11"/>
  <c r="G251" i="11"/>
  <c r="AE251" i="11"/>
  <c r="BC251" i="11"/>
  <c r="W260" i="11"/>
  <c r="AU260" i="11"/>
  <c r="I322" i="11"/>
  <c r="AG322" i="11"/>
  <c r="BE322" i="11"/>
  <c r="O410" i="11"/>
  <c r="AM410" i="11"/>
  <c r="N439" i="11"/>
  <c r="O440" i="11"/>
  <c r="AI9" i="22"/>
  <c r="I38" i="11"/>
  <c r="AI45" i="11"/>
  <c r="BG45" i="11"/>
  <c r="AD12" i="11"/>
  <c r="M9" i="11"/>
  <c r="AK9" i="11"/>
  <c r="BI9" i="11"/>
  <c r="G12" i="11"/>
  <c r="AE12" i="11"/>
  <c r="BC12" i="11"/>
  <c r="K38" i="11"/>
  <c r="AI38" i="11"/>
  <c r="BG38" i="11"/>
  <c r="M45" i="11"/>
  <c r="AK45" i="11"/>
  <c r="BI45" i="11"/>
  <c r="AA58" i="11"/>
  <c r="AY58" i="11"/>
  <c r="M81" i="11"/>
  <c r="AK81" i="11"/>
  <c r="BI81" i="11"/>
  <c r="R131" i="11"/>
  <c r="AP131" i="11"/>
  <c r="V182" i="11"/>
  <c r="AT182" i="11"/>
  <c r="V194" i="11"/>
  <c r="AT194" i="11"/>
  <c r="J200" i="11"/>
  <c r="AH200" i="11"/>
  <c r="BF200" i="11"/>
  <c r="H229" i="11"/>
  <c r="AF229" i="11"/>
  <c r="BD229" i="11"/>
  <c r="H251" i="11"/>
  <c r="AF251" i="11"/>
  <c r="BD251" i="11"/>
  <c r="X260" i="11"/>
  <c r="AV260" i="11"/>
  <c r="J322" i="11"/>
  <c r="AH322" i="11"/>
  <c r="BF322" i="11"/>
  <c r="P410" i="11"/>
  <c r="AN410" i="11"/>
  <c r="P439" i="11"/>
  <c r="Q440" i="11"/>
  <c r="BH9" i="11"/>
  <c r="N9" i="11"/>
  <c r="AL9" i="11"/>
  <c r="H12" i="11"/>
  <c r="AF12" i="11"/>
  <c r="BD12" i="11"/>
  <c r="L38" i="11"/>
  <c r="AJ38" i="11"/>
  <c r="BH38" i="11"/>
  <c r="N45" i="11"/>
  <c r="AL45" i="11"/>
  <c r="AB58" i="11"/>
  <c r="AZ58" i="11"/>
  <c r="N81" i="11"/>
  <c r="AL81" i="11"/>
  <c r="S131" i="11"/>
  <c r="AQ131" i="11"/>
  <c r="W182" i="11"/>
  <c r="AU182" i="11"/>
  <c r="W194" i="11"/>
  <c r="AU194" i="11"/>
  <c r="K200" i="11"/>
  <c r="AI200" i="11"/>
  <c r="BG200" i="11"/>
  <c r="I229" i="11"/>
  <c r="AG229" i="11"/>
  <c r="BE229" i="11"/>
  <c r="I251" i="11"/>
  <c r="AG251" i="11"/>
  <c r="BE251" i="11"/>
  <c r="Y260" i="11"/>
  <c r="AW260" i="11"/>
  <c r="K322" i="11"/>
  <c r="AI322" i="11"/>
  <c r="BG322" i="11"/>
  <c r="Q410" i="11"/>
  <c r="AO410" i="11"/>
  <c r="U439" i="11"/>
  <c r="R440" i="11"/>
  <c r="AI401" i="22"/>
  <c r="AI53" i="22"/>
  <c r="AG38" i="11"/>
  <c r="BG81" i="11"/>
  <c r="AJ9" i="11"/>
  <c r="F12" i="11"/>
  <c r="O9" i="11"/>
  <c r="AM9" i="11"/>
  <c r="I12" i="11"/>
  <c r="AG12" i="11"/>
  <c r="BE12" i="11"/>
  <c r="M38" i="11"/>
  <c r="AK38" i="11"/>
  <c r="BI38" i="11"/>
  <c r="O45" i="11"/>
  <c r="AM45" i="11"/>
  <c r="E58" i="11"/>
  <c r="AC58" i="11"/>
  <c r="BA58" i="11"/>
  <c r="O81" i="11"/>
  <c r="AM81" i="11"/>
  <c r="T131" i="11"/>
  <c r="AR131" i="11"/>
  <c r="X182" i="11"/>
  <c r="AV182" i="11"/>
  <c r="X194" i="11"/>
  <c r="AV194" i="11"/>
  <c r="L200" i="11"/>
  <c r="AJ200" i="11"/>
  <c r="BH200" i="11"/>
  <c r="J229" i="11"/>
  <c r="AH229" i="11"/>
  <c r="BF229" i="11"/>
  <c r="J251" i="11"/>
  <c r="AH251" i="11"/>
  <c r="BF251" i="11"/>
  <c r="Z260" i="11"/>
  <c r="AX260" i="11"/>
  <c r="L322" i="11"/>
  <c r="AJ322" i="11"/>
  <c r="BH322" i="11"/>
  <c r="R410" i="11"/>
  <c r="AP410" i="11"/>
  <c r="W439" i="11"/>
  <c r="S440" i="11"/>
  <c r="AI23" i="22"/>
  <c r="Y58" i="11"/>
  <c r="K81" i="11"/>
  <c r="P131" i="11"/>
  <c r="AN131" i="11"/>
  <c r="AR182" i="11"/>
  <c r="L9" i="11"/>
  <c r="P9" i="11"/>
  <c r="AN9" i="11"/>
  <c r="J12" i="11"/>
  <c r="AH12" i="11"/>
  <c r="BF12" i="11"/>
  <c r="N38" i="11"/>
  <c r="AL38" i="11"/>
  <c r="P45" i="11"/>
  <c r="AN45" i="11"/>
  <c r="F58" i="11"/>
  <c r="AD58" i="11"/>
  <c r="BB58" i="11"/>
  <c r="P81" i="11"/>
  <c r="AN81" i="11"/>
  <c r="U131" i="11"/>
  <c r="AS131" i="11"/>
  <c r="Y182" i="11"/>
  <c r="AW182" i="11"/>
  <c r="Y194" i="11"/>
  <c r="AW194" i="11"/>
  <c r="M200" i="11"/>
  <c r="AK200" i="11"/>
  <c r="BI200" i="11"/>
  <c r="K229" i="11"/>
  <c r="AI229" i="11"/>
  <c r="BG229" i="11"/>
  <c r="K251" i="11"/>
  <c r="AI251" i="11"/>
  <c r="BG251" i="11"/>
  <c r="AA260" i="11"/>
  <c r="AY260" i="11"/>
  <c r="M322" i="11"/>
  <c r="AK322" i="11"/>
  <c r="BI322" i="11"/>
  <c r="S410" i="11"/>
  <c r="AQ410" i="11"/>
  <c r="X439" i="11"/>
  <c r="V440" i="11"/>
  <c r="AI388" i="22"/>
  <c r="G58" i="11"/>
  <c r="AE58" i="11"/>
  <c r="BC58" i="11"/>
  <c r="Q81" i="11"/>
  <c r="AO81" i="11"/>
  <c r="V131" i="11"/>
  <c r="AT131" i="11"/>
  <c r="Z182" i="11"/>
  <c r="AX182" i="11"/>
  <c r="Z194" i="11"/>
  <c r="AX194" i="11"/>
  <c r="N200" i="11"/>
  <c r="AL200" i="11"/>
  <c r="L229" i="11"/>
  <c r="AJ229" i="11"/>
  <c r="BH229" i="11"/>
  <c r="L251" i="11"/>
  <c r="AJ251" i="11"/>
  <c r="BH251" i="11"/>
  <c r="AB260" i="11"/>
  <c r="AZ260" i="11"/>
  <c r="N322" i="11"/>
  <c r="AL322" i="11"/>
  <c r="T410" i="11"/>
  <c r="AR410" i="11"/>
  <c r="AO9" i="11"/>
  <c r="K12" i="11"/>
  <c r="AM38" i="11"/>
  <c r="BH12" i="11"/>
  <c r="P38" i="11"/>
  <c r="BD58" i="11"/>
  <c r="R81" i="11"/>
  <c r="AP81" i="11"/>
  <c r="W131" i="11"/>
  <c r="AU131" i="11"/>
  <c r="AA182" i="11"/>
  <c r="AY182" i="11"/>
  <c r="AA194" i="11"/>
  <c r="AY194" i="11"/>
  <c r="O200" i="11"/>
  <c r="AM200" i="11"/>
  <c r="M229" i="11"/>
  <c r="AK229" i="11"/>
  <c r="BI229" i="11"/>
  <c r="M251" i="11"/>
  <c r="AK251" i="11"/>
  <c r="BI251" i="11"/>
  <c r="E260" i="11"/>
  <c r="AC260" i="11"/>
  <c r="BA260" i="11"/>
  <c r="O322" i="11"/>
  <c r="AM322" i="11"/>
  <c r="U410" i="11"/>
  <c r="AS410" i="11"/>
  <c r="BB10" i="35"/>
  <c r="AI12" i="11"/>
  <c r="BG12" i="11"/>
  <c r="R9" i="11"/>
  <c r="R45" i="11"/>
  <c r="AQ9" i="11"/>
  <c r="Q38" i="11"/>
  <c r="AO38" i="11"/>
  <c r="S45" i="11"/>
  <c r="AQ45" i="11"/>
  <c r="I58" i="11"/>
  <c r="AG58" i="11"/>
  <c r="BE58" i="11"/>
  <c r="S81" i="11"/>
  <c r="AQ81" i="11"/>
  <c r="X131" i="11"/>
  <c r="AV131" i="11"/>
  <c r="AB182" i="11"/>
  <c r="AZ182" i="11"/>
  <c r="AB194" i="11"/>
  <c r="AZ194" i="11"/>
  <c r="P200" i="11"/>
  <c r="AN200" i="11"/>
  <c r="N229" i="11"/>
  <c r="AL229" i="11"/>
  <c r="N251" i="11"/>
  <c r="AL251" i="11"/>
  <c r="F260" i="11"/>
  <c r="AD260" i="11"/>
  <c r="BB260" i="11"/>
  <c r="P322" i="11"/>
  <c r="AN322" i="11"/>
  <c r="V410" i="11"/>
  <c r="AT410" i="11"/>
  <c r="N6" i="29"/>
  <c r="Q9" i="11"/>
  <c r="O38" i="11"/>
  <c r="AJ12" i="11"/>
  <c r="H58" i="11"/>
  <c r="AK12" i="11"/>
  <c r="BI12" i="11"/>
  <c r="AR9" i="11"/>
  <c r="N12" i="11"/>
  <c r="R38" i="11"/>
  <c r="AP38" i="11"/>
  <c r="T45" i="11"/>
  <c r="AR45" i="11"/>
  <c r="J58" i="11"/>
  <c r="AH58" i="11"/>
  <c r="BF58" i="11"/>
  <c r="T81" i="11"/>
  <c r="AR81" i="11"/>
  <c r="Y131" i="11"/>
  <c r="AW131" i="11"/>
  <c r="E182" i="11"/>
  <c r="AC182" i="11"/>
  <c r="BA182" i="11"/>
  <c r="E194" i="11"/>
  <c r="AC194" i="11"/>
  <c r="BA194" i="11"/>
  <c r="Q200" i="11"/>
  <c r="AO200" i="11"/>
  <c r="O229" i="11"/>
  <c r="AM229" i="11"/>
  <c r="O251" i="11"/>
  <c r="AM251" i="11"/>
  <c r="G260" i="11"/>
  <c r="AE260" i="11"/>
  <c r="BC260" i="11"/>
  <c r="Q322" i="11"/>
  <c r="AO322" i="11"/>
  <c r="W410" i="11"/>
  <c r="AU410" i="11"/>
  <c r="AG439" i="11"/>
  <c r="AD440" i="11"/>
  <c r="N13" i="29"/>
  <c r="Q45" i="11"/>
  <c r="AO45" i="11"/>
  <c r="AP9" i="11"/>
  <c r="L12" i="11"/>
  <c r="AN38" i="11"/>
  <c r="AP45" i="11"/>
  <c r="AF58" i="11"/>
  <c r="S9" i="11"/>
  <c r="M12" i="11"/>
  <c r="T9" i="11"/>
  <c r="AL12" i="11"/>
  <c r="U9" i="11"/>
  <c r="AS9" i="11"/>
  <c r="O12" i="11"/>
  <c r="AM12" i="11"/>
  <c r="S38" i="11"/>
  <c r="AQ38" i="11"/>
  <c r="U45" i="11"/>
  <c r="AS45" i="11"/>
  <c r="K58" i="11"/>
  <c r="AI58" i="11"/>
  <c r="BG58" i="11"/>
  <c r="U81" i="11"/>
  <c r="AS81" i="11"/>
  <c r="Z131" i="11"/>
  <c r="AX131" i="11"/>
  <c r="F182" i="11"/>
  <c r="AD182" i="11"/>
  <c r="BB182" i="11"/>
  <c r="F194" i="11"/>
  <c r="AD194" i="11"/>
  <c r="BB194" i="11"/>
  <c r="R200" i="11"/>
  <c r="AP200" i="11"/>
  <c r="P229" i="11"/>
  <c r="AN229" i="11"/>
  <c r="P251" i="11"/>
  <c r="AN251" i="11"/>
  <c r="H260" i="11"/>
  <c r="AF260" i="11"/>
  <c r="BD260" i="11"/>
  <c r="R322" i="11"/>
  <c r="AP322" i="11"/>
  <c r="X410" i="11"/>
  <c r="AV410" i="11"/>
  <c r="AJ439" i="11"/>
  <c r="AH440" i="11"/>
  <c r="I442" i="11"/>
  <c r="AJ442" i="11"/>
  <c r="E447" i="11"/>
  <c r="AE447" i="11"/>
  <c r="BF447" i="11"/>
  <c r="AI14" i="22"/>
  <c r="AI4" i="22"/>
  <c r="N21" i="29"/>
  <c r="AR38" i="11"/>
  <c r="AT45" i="11"/>
  <c r="AJ58" i="11"/>
  <c r="BH58" i="11"/>
  <c r="V81" i="11"/>
  <c r="AT81" i="11"/>
  <c r="AA131" i="11"/>
  <c r="AY131" i="11"/>
  <c r="G182" i="11"/>
  <c r="AE182" i="11"/>
  <c r="BC182" i="11"/>
  <c r="G194" i="11"/>
  <c r="AE194" i="11"/>
  <c r="BC194" i="11"/>
  <c r="S200" i="11"/>
  <c r="AQ200" i="11"/>
  <c r="Q229" i="11"/>
  <c r="AO229" i="11"/>
  <c r="Q251" i="11"/>
  <c r="AO251" i="11"/>
  <c r="I260" i="11"/>
  <c r="AG260" i="11"/>
  <c r="BE260" i="11"/>
  <c r="S322" i="11"/>
  <c r="AQ322" i="11"/>
  <c r="Y410" i="11"/>
  <c r="AW410" i="11"/>
  <c r="AM439" i="11"/>
  <c r="AI440" i="11"/>
  <c r="F447" i="11"/>
  <c r="AF447" i="11"/>
  <c r="BG447" i="11"/>
  <c r="N23" i="49"/>
  <c r="U47" i="49"/>
  <c r="Q24" i="49"/>
  <c r="R48" i="49"/>
  <c r="B9" i="40"/>
  <c r="B33" i="40"/>
  <c r="B57" i="40"/>
  <c r="P26" i="49"/>
  <c r="B35" i="40"/>
  <c r="B36" i="40"/>
  <c r="S25" i="49"/>
  <c r="R49" i="49"/>
  <c r="B10" i="40"/>
  <c r="P10" i="40" s="1"/>
  <c r="B34" i="40"/>
  <c r="D34" i="40" s="1"/>
  <c r="B58" i="40"/>
  <c r="L50" i="49"/>
  <c r="B59" i="40"/>
  <c r="B12" i="40"/>
  <c r="J12" i="40" s="1"/>
  <c r="B60" i="40"/>
  <c r="E60" i="40" s="1"/>
  <c r="B11" i="40"/>
  <c r="Q27" i="49"/>
  <c r="R51" i="49"/>
  <c r="T9" i="49"/>
  <c r="P33" i="49"/>
  <c r="N62" i="49"/>
  <c r="B37" i="40"/>
  <c r="D37" i="40" s="1"/>
  <c r="O34" i="49"/>
  <c r="B38" i="40"/>
  <c r="L38" i="40" s="1"/>
  <c r="B6" i="40"/>
  <c r="O6" i="40" s="1"/>
  <c r="T6" i="49"/>
  <c r="P35" i="49"/>
  <c r="B7" i="40"/>
  <c r="M7" i="40" s="1"/>
  <c r="B39" i="40"/>
  <c r="D39" i="40" s="1"/>
  <c r="B40" i="40"/>
  <c r="D40" i="40" s="1"/>
  <c r="P37" i="49"/>
  <c r="B13" i="40"/>
  <c r="D13" i="40" s="1"/>
  <c r="B14" i="40"/>
  <c r="D14" i="40" s="1"/>
  <c r="B24" i="40"/>
  <c r="D24" i="40" s="1"/>
  <c r="B61" i="40"/>
  <c r="E61" i="40" s="1"/>
  <c r="B31" i="40"/>
  <c r="F31" i="40" s="1"/>
  <c r="L36" i="49"/>
  <c r="B8" i="40"/>
  <c r="D8" i="40" s="1"/>
  <c r="B41" i="40"/>
  <c r="L41" i="40" s="1"/>
  <c r="L38" i="49"/>
  <c r="B43" i="40"/>
  <c r="D43" i="40" s="1"/>
  <c r="U20" i="49"/>
  <c r="B62" i="40"/>
  <c r="M62" i="40" s="1"/>
  <c r="T7" i="49"/>
  <c r="B42" i="40"/>
  <c r="D42" i="40" s="1"/>
  <c r="L42" i="49"/>
  <c r="N54" i="49"/>
  <c r="Q29" i="49"/>
  <c r="M59" i="49"/>
  <c r="T8" i="49"/>
  <c r="B45" i="40"/>
  <c r="D45" i="40" s="1"/>
  <c r="B50" i="40"/>
  <c r="L50" i="40" s="1"/>
  <c r="B54" i="40"/>
  <c r="D54" i="40" s="1"/>
  <c r="B30" i="40"/>
  <c r="D30" i="40" s="1"/>
  <c r="T10" i="49"/>
  <c r="P39" i="49"/>
  <c r="B15" i="40"/>
  <c r="D15" i="40" s="1"/>
  <c r="N13" i="49"/>
  <c r="B18" i="40"/>
  <c r="D18" i="40" s="1"/>
  <c r="B22" i="40"/>
  <c r="D22" i="40" s="1"/>
  <c r="N21" i="49"/>
  <c r="N58" i="49"/>
  <c r="R60" i="49"/>
  <c r="M11" i="49"/>
  <c r="R40" i="49"/>
  <c r="B16" i="40"/>
  <c r="D16" i="40" s="1"/>
  <c r="B44" i="40"/>
  <c r="L44" i="40" s="1"/>
  <c r="U12" i="49"/>
  <c r="P41" i="49"/>
  <c r="B17" i="40"/>
  <c r="R17" i="40" s="1"/>
  <c r="R55" i="49"/>
  <c r="B55" i="40"/>
  <c r="D55" i="40" s="1"/>
  <c r="B29" i="40"/>
  <c r="L29" i="40" s="1"/>
  <c r="B46" i="40"/>
  <c r="D46" i="40" s="1"/>
  <c r="B51" i="40"/>
  <c r="N51" i="40" s="1"/>
  <c r="B25" i="40"/>
  <c r="D25" i="40" s="1"/>
  <c r="T14" i="49"/>
  <c r="U43" i="49"/>
  <c r="B19" i="40"/>
  <c r="D19" i="40" s="1"/>
  <c r="B47" i="40"/>
  <c r="L47" i="40" s="1"/>
  <c r="B48" i="40"/>
  <c r="E48" i="40" s="1"/>
  <c r="N17" i="49"/>
  <c r="N15" i="49"/>
  <c r="G44" i="49"/>
  <c r="B20" i="40"/>
  <c r="M20" i="40" s="1"/>
  <c r="B21" i="40"/>
  <c r="D21" i="40" s="1"/>
  <c r="B49" i="40"/>
  <c r="D49" i="40" s="1"/>
  <c r="L46" i="49"/>
  <c r="B23" i="40"/>
  <c r="E23" i="40" s="1"/>
  <c r="B26" i="40"/>
  <c r="L26" i="40" s="1"/>
  <c r="P30" i="49"/>
  <c r="V16" i="49"/>
  <c r="L45" i="49"/>
  <c r="O18" i="49"/>
  <c r="M52" i="49"/>
  <c r="U19" i="49"/>
  <c r="R53" i="49"/>
  <c r="B52" i="40"/>
  <c r="D52" i="40" s="1"/>
  <c r="B53" i="40"/>
  <c r="M53" i="40" s="1"/>
  <c r="B32" i="40"/>
  <c r="L32" i="40" s="1"/>
  <c r="T22" i="49"/>
  <c r="N56" i="49"/>
  <c r="B27" i="40"/>
  <c r="D27" i="40" s="1"/>
  <c r="P28" i="49"/>
  <c r="J57" i="49"/>
  <c r="B28" i="40"/>
  <c r="D28" i="40" s="1"/>
  <c r="B56" i="40"/>
  <c r="K56" i="40" s="1"/>
  <c r="Q31" i="49"/>
  <c r="F32" i="49"/>
  <c r="N61" i="49"/>
  <c r="N33" i="29"/>
  <c r="T38" i="11"/>
  <c r="V45" i="11"/>
  <c r="L58" i="11"/>
  <c r="W9" i="11"/>
  <c r="AU9" i="11"/>
  <c r="Q12" i="11"/>
  <c r="AO12" i="11"/>
  <c r="U38" i="11"/>
  <c r="W45" i="11"/>
  <c r="AU45" i="11"/>
  <c r="M58" i="11"/>
  <c r="AK58" i="11"/>
  <c r="BI58" i="11"/>
  <c r="W81" i="11"/>
  <c r="AU81" i="11"/>
  <c r="AB131" i="11"/>
  <c r="AZ131" i="11"/>
  <c r="H182" i="11"/>
  <c r="AF182" i="11"/>
  <c r="BD182" i="11"/>
  <c r="H194" i="11"/>
  <c r="AF194" i="11"/>
  <c r="BD194" i="11"/>
  <c r="T200" i="11"/>
  <c r="AR200" i="11"/>
  <c r="R229" i="11"/>
  <c r="AP229" i="11"/>
  <c r="R251" i="11"/>
  <c r="AP251" i="11"/>
  <c r="J260" i="11"/>
  <c r="AH260" i="11"/>
  <c r="BF260" i="11"/>
  <c r="T322" i="11"/>
  <c r="AR322" i="11"/>
  <c r="Z410" i="11"/>
  <c r="AX410" i="11"/>
  <c r="P419" i="11"/>
  <c r="AN419" i="11"/>
  <c r="X426" i="11"/>
  <c r="AZ426" i="11"/>
  <c r="R429" i="11"/>
  <c r="AN439" i="11"/>
  <c r="AK440" i="11"/>
  <c r="L442" i="11"/>
  <c r="AL442" i="11"/>
  <c r="G447" i="11"/>
  <c r="AH447" i="11"/>
  <c r="BH447" i="11"/>
  <c r="AI73" i="22"/>
  <c r="N29" i="29"/>
  <c r="E131" i="11"/>
  <c r="AC131" i="11"/>
  <c r="BA131" i="11"/>
  <c r="I182" i="11"/>
  <c r="AG182" i="11"/>
  <c r="BE182" i="11"/>
  <c r="I194" i="11"/>
  <c r="AG194" i="11"/>
  <c r="BE194" i="11"/>
  <c r="U200" i="11"/>
  <c r="AS200" i="11"/>
  <c r="S229" i="11"/>
  <c r="AQ229" i="11"/>
  <c r="S251" i="11"/>
  <c r="K260" i="11"/>
  <c r="AI260" i="11"/>
  <c r="U322" i="11"/>
  <c r="AS322" i="11"/>
  <c r="AA410" i="11"/>
  <c r="AY410" i="11"/>
  <c r="P438" i="11"/>
  <c r="BB438" i="11"/>
  <c r="AQ439" i="11"/>
  <c r="M442" i="11"/>
  <c r="G443" i="11"/>
  <c r="AH443" i="11"/>
  <c r="H447" i="11"/>
  <c r="AI447" i="11"/>
  <c r="W23" i="49"/>
  <c r="W24" i="49"/>
  <c r="W26" i="49"/>
  <c r="W50" i="49"/>
  <c r="N55" i="29"/>
  <c r="S234" i="11"/>
  <c r="AQ234" i="11"/>
  <c r="G252" i="11"/>
  <c r="AE252" i="11"/>
  <c r="BC252" i="11"/>
  <c r="Y270" i="11"/>
  <c r="AW270" i="11"/>
  <c r="Y282" i="11"/>
  <c r="AW282" i="11"/>
  <c r="Z299" i="11"/>
  <c r="AX299" i="11"/>
  <c r="E352" i="11"/>
  <c r="AC352" i="11"/>
  <c r="BA352" i="11"/>
  <c r="S365" i="11"/>
  <c r="AQ365" i="11"/>
  <c r="K422" i="11"/>
  <c r="AI422" i="11"/>
  <c r="BG422" i="11"/>
  <c r="BH433" i="11"/>
  <c r="AH433" i="11"/>
  <c r="H433" i="11"/>
  <c r="M45" i="29"/>
  <c r="AI318" i="22"/>
  <c r="BC440" i="11"/>
  <c r="AE440" i="11"/>
  <c r="G440" i="11"/>
  <c r="AS440" i="11"/>
  <c r="U440" i="11"/>
  <c r="Q160" i="11"/>
  <c r="AO160" i="11"/>
  <c r="E166" i="11"/>
  <c r="AC166" i="11"/>
  <c r="BA166" i="11"/>
  <c r="U234" i="11"/>
  <c r="AS234" i="11"/>
  <c r="I252" i="11"/>
  <c r="AG252" i="11"/>
  <c r="BE252" i="11"/>
  <c r="AA270" i="11"/>
  <c r="AY270" i="11"/>
  <c r="AA282" i="11"/>
  <c r="AY282" i="11"/>
  <c r="AB299" i="11"/>
  <c r="AZ299" i="11"/>
  <c r="M341" i="11"/>
  <c r="G352" i="11"/>
  <c r="AE352" i="11"/>
  <c r="BC352" i="11"/>
  <c r="U365" i="11"/>
  <c r="AS365" i="11"/>
  <c r="M422" i="11"/>
  <c r="AK422" i="11"/>
  <c r="BI422" i="11"/>
  <c r="AD433" i="11"/>
  <c r="BE433" i="11"/>
  <c r="O439" i="11"/>
  <c r="AP439" i="11"/>
  <c r="J440" i="11"/>
  <c r="AJ440" i="11"/>
  <c r="AW397" i="11"/>
  <c r="BF423" i="11"/>
  <c r="N12" i="29"/>
  <c r="N25" i="29"/>
  <c r="V234" i="11"/>
  <c r="AT234" i="11"/>
  <c r="J252" i="11"/>
  <c r="AH252" i="11"/>
  <c r="BF252" i="11"/>
  <c r="AB270" i="11"/>
  <c r="AZ270" i="11"/>
  <c r="AB282" i="11"/>
  <c r="AZ282" i="11"/>
  <c r="E299" i="11"/>
  <c r="AC299" i="11"/>
  <c r="BA299" i="11"/>
  <c r="O341" i="11"/>
  <c r="H352" i="11"/>
  <c r="AF352" i="11"/>
  <c r="BD352" i="11"/>
  <c r="V365" i="11"/>
  <c r="AT365" i="11"/>
  <c r="N422" i="11"/>
  <c r="AL422" i="11"/>
  <c r="AI43" i="22"/>
  <c r="AG430" i="11"/>
  <c r="M37" i="29"/>
  <c r="N17" i="29"/>
  <c r="N36" i="29"/>
  <c r="S160" i="11"/>
  <c r="AQ160" i="11"/>
  <c r="G166" i="11"/>
  <c r="AE166" i="11"/>
  <c r="BC166" i="11"/>
  <c r="W234" i="11"/>
  <c r="AU234" i="11"/>
  <c r="K252" i="11"/>
  <c r="AI252" i="11"/>
  <c r="BG252" i="11"/>
  <c r="E270" i="11"/>
  <c r="AC270" i="11"/>
  <c r="BA270" i="11"/>
  <c r="E282" i="11"/>
  <c r="AC282" i="11"/>
  <c r="BA282" i="11"/>
  <c r="F299" i="11"/>
  <c r="AD299" i="11"/>
  <c r="BB299" i="11"/>
  <c r="R341" i="11"/>
  <c r="I352" i="11"/>
  <c r="AG352" i="11"/>
  <c r="BE352" i="11"/>
  <c r="W365" i="11"/>
  <c r="AU365" i="11"/>
  <c r="O422" i="11"/>
  <c r="AM422" i="11"/>
  <c r="I425" i="11"/>
  <c r="AK425" i="11"/>
  <c r="E433" i="11"/>
  <c r="AF433" i="11"/>
  <c r="BG433" i="11"/>
  <c r="T438" i="11"/>
  <c r="R439" i="11"/>
  <c r="AR439" i="11"/>
  <c r="L440" i="11"/>
  <c r="AL440" i="11"/>
  <c r="AX434" i="11"/>
  <c r="Z434" i="11"/>
  <c r="AF13" i="35"/>
  <c r="BE447" i="11"/>
  <c r="AG447" i="11"/>
  <c r="I447" i="11"/>
  <c r="AU447" i="11"/>
  <c r="W447" i="11"/>
  <c r="N20" i="29"/>
  <c r="N35" i="29"/>
  <c r="T160" i="11"/>
  <c r="AR160" i="11"/>
  <c r="H166" i="11"/>
  <c r="AF166" i="11"/>
  <c r="BD166" i="11"/>
  <c r="X234" i="11"/>
  <c r="AV234" i="11"/>
  <c r="L252" i="11"/>
  <c r="AJ252" i="11"/>
  <c r="BH252" i="11"/>
  <c r="F270" i="11"/>
  <c r="AD270" i="11"/>
  <c r="BB270" i="11"/>
  <c r="F282" i="11"/>
  <c r="AD282" i="11"/>
  <c r="BB282" i="11"/>
  <c r="G299" i="11"/>
  <c r="AE299" i="11"/>
  <c r="BC299" i="11"/>
  <c r="X341" i="11"/>
  <c r="J352" i="11"/>
  <c r="AH352" i="11"/>
  <c r="BF352" i="11"/>
  <c r="X365" i="11"/>
  <c r="AV365" i="11"/>
  <c r="P422" i="11"/>
  <c r="AN422" i="11"/>
  <c r="J425" i="11"/>
  <c r="AL425" i="11"/>
  <c r="F433" i="11"/>
  <c r="AG433" i="11"/>
  <c r="BI433" i="11"/>
  <c r="S439" i="11"/>
  <c r="AS439" i="11"/>
  <c r="M440" i="11"/>
  <c r="AM440" i="11"/>
  <c r="S446" i="11"/>
  <c r="AI104" i="22"/>
  <c r="I10" i="35"/>
  <c r="AZ11" i="35"/>
  <c r="AN12" i="35"/>
  <c r="BE14" i="35"/>
  <c r="B28" i="28"/>
  <c r="H28" i="28" s="1"/>
  <c r="B39" i="28"/>
  <c r="E39" i="28" s="1"/>
  <c r="B14" i="28"/>
  <c r="B42" i="29"/>
  <c r="B17" i="29"/>
  <c r="B9" i="29"/>
  <c r="B54" i="29"/>
  <c r="B40" i="28"/>
  <c r="B60" i="28"/>
  <c r="K60" i="28" s="1"/>
  <c r="B19" i="29"/>
  <c r="K10" i="35"/>
  <c r="BE11" i="35"/>
  <c r="AO12" i="35"/>
  <c r="BG14" i="35"/>
  <c r="B54" i="28"/>
  <c r="E54" i="28" s="1"/>
  <c r="B15" i="28"/>
  <c r="B30" i="28"/>
  <c r="B38" i="29"/>
  <c r="B16" i="29"/>
  <c r="AR12" i="35"/>
  <c r="B52" i="28"/>
  <c r="H52" i="28" s="1"/>
  <c r="B40" i="29"/>
  <c r="D9" i="35"/>
  <c r="B35" i="29"/>
  <c r="X10" i="35"/>
  <c r="B17" i="28"/>
  <c r="B60" i="29"/>
  <c r="B42" i="28"/>
  <c r="AQ7" i="35"/>
  <c r="B45" i="28"/>
  <c r="B8" i="29"/>
  <c r="B4" i="28"/>
  <c r="D4" i="28" s="1"/>
  <c r="B55" i="29"/>
  <c r="B51" i="28"/>
  <c r="E51" i="28" s="1"/>
  <c r="B53" i="29"/>
  <c r="AB4" i="35"/>
  <c r="B37" i="28"/>
  <c r="H37" i="28" s="1"/>
  <c r="B23" i="29"/>
  <c r="B33" i="28"/>
  <c r="B12" i="28"/>
  <c r="H12" i="28" s="1"/>
  <c r="P10" i="35"/>
  <c r="BG11" i="35"/>
  <c r="AQ12" i="35"/>
  <c r="BH14" i="35"/>
  <c r="B44" i="28"/>
  <c r="K44" i="28" s="1"/>
  <c r="B22" i="28"/>
  <c r="K22" i="28" s="1"/>
  <c r="B13" i="28"/>
  <c r="F13" i="28" s="1"/>
  <c r="B39" i="29"/>
  <c r="B15" i="29"/>
  <c r="D6" i="35"/>
  <c r="B10" i="28"/>
  <c r="H10" i="28" s="1"/>
  <c r="B14" i="29"/>
  <c r="B41" i="28"/>
  <c r="B13" i="29"/>
  <c r="H12" i="35"/>
  <c r="B35" i="28"/>
  <c r="K35" i="28" s="1"/>
  <c r="B36" i="29"/>
  <c r="B58" i="29"/>
  <c r="M60" i="29"/>
  <c r="S10" i="35"/>
  <c r="BH11" i="35"/>
  <c r="B21" i="28"/>
  <c r="B56" i="28"/>
  <c r="D12" i="35"/>
  <c r="B29" i="28"/>
  <c r="AJ10" i="35"/>
  <c r="B57" i="28"/>
  <c r="B32" i="29"/>
  <c r="B56" i="29"/>
  <c r="B11" i="28"/>
  <c r="H11" i="28" s="1"/>
  <c r="B49" i="29"/>
  <c r="B44" i="29"/>
  <c r="B43" i="28"/>
  <c r="K43" i="28" s="1"/>
  <c r="K6" i="35"/>
  <c r="T10" i="35"/>
  <c r="E12" i="35"/>
  <c r="AT12" i="35"/>
  <c r="B61" i="29"/>
  <c r="AV12" i="35"/>
  <c r="B12" i="29"/>
  <c r="B10" i="29"/>
  <c r="AZ12" i="35"/>
  <c r="B31" i="29"/>
  <c r="B36" i="28"/>
  <c r="B61" i="28"/>
  <c r="AI6" i="35"/>
  <c r="B34" i="29"/>
  <c r="B4" i="29"/>
  <c r="AB7" i="35"/>
  <c r="AA10" i="35"/>
  <c r="K12" i="35"/>
  <c r="AW12" i="35"/>
  <c r="D5" i="35"/>
  <c r="B49" i="28"/>
  <c r="B32" i="28"/>
  <c r="B59" i="29"/>
  <c r="B37" i="29"/>
  <c r="B11" i="29"/>
  <c r="AI7" i="35"/>
  <c r="AB10" i="35"/>
  <c r="AY12" i="35"/>
  <c r="B58" i="28"/>
  <c r="B6" i="29"/>
  <c r="B26" i="29"/>
  <c r="B24" i="29"/>
  <c r="G9" i="40"/>
  <c r="B43" i="29"/>
  <c r="L12" i="35"/>
  <c r="B33" i="29"/>
  <c r="B57" i="29"/>
  <c r="B52" i="29"/>
  <c r="B25" i="28"/>
  <c r="M12" i="35"/>
  <c r="B7" i="29"/>
  <c r="B38" i="28"/>
  <c r="BG7" i="35"/>
  <c r="AR10" i="35"/>
  <c r="B53" i="28"/>
  <c r="B5" i="29"/>
  <c r="B27" i="29"/>
  <c r="B59" i="28"/>
  <c r="D33" i="40"/>
  <c r="B29" i="29"/>
  <c r="B20" i="28"/>
  <c r="S8" i="35"/>
  <c r="BD10" i="35"/>
  <c r="S12" i="35"/>
  <c r="BH12" i="35"/>
  <c r="B46" i="28"/>
  <c r="B31" i="28"/>
  <c r="B27" i="28"/>
  <c r="B8" i="28"/>
  <c r="B41" i="29"/>
  <c r="T8" i="35"/>
  <c r="BE10" i="35"/>
  <c r="T12" i="35"/>
  <c r="I14" i="35"/>
  <c r="B50" i="28"/>
  <c r="B24" i="28"/>
  <c r="B30" i="29"/>
  <c r="F17" i="40"/>
  <c r="G5" i="40"/>
  <c r="L35" i="40"/>
  <c r="D57" i="40"/>
  <c r="B50" i="29"/>
  <c r="D36" i="40"/>
  <c r="D58" i="40"/>
  <c r="AR8" i="35"/>
  <c r="K11" i="35"/>
  <c r="Y12" i="35"/>
  <c r="S14" i="35"/>
  <c r="B18" i="28"/>
  <c r="B47" i="28"/>
  <c r="B51" i="29"/>
  <c r="B28" i="29"/>
  <c r="B48" i="28"/>
  <c r="B21" i="29"/>
  <c r="B19" i="28"/>
  <c r="B16" i="28"/>
  <c r="BG8" i="35"/>
  <c r="L11" i="35"/>
  <c r="AA12" i="35"/>
  <c r="T14" i="35"/>
  <c r="B5" i="28"/>
  <c r="B23" i="28"/>
  <c r="B47" i="29"/>
  <c r="B25" i="29"/>
  <c r="B48" i="29"/>
  <c r="B46" i="29"/>
  <c r="B18" i="29"/>
  <c r="K59" i="40"/>
  <c r="D11" i="40"/>
  <c r="B20" i="29"/>
  <c r="B34" i="28"/>
  <c r="AE9" i="35"/>
  <c r="AI11" i="35"/>
  <c r="AF12" i="35"/>
  <c r="AA14" i="35"/>
  <c r="B9" i="28"/>
  <c r="B26" i="28"/>
  <c r="B6" i="28"/>
  <c r="B45" i="29"/>
  <c r="B22" i="29"/>
  <c r="B55" i="28"/>
  <c r="B7" i="28"/>
  <c r="L6" i="35"/>
  <c r="S5" i="35"/>
  <c r="T5" i="35"/>
  <c r="BG6" i="35"/>
  <c r="AE6" i="35"/>
  <c r="AQ5" i="35"/>
  <c r="AA4" i="35"/>
  <c r="R5" i="35"/>
  <c r="AW4" i="35"/>
  <c r="Y4" i="35"/>
  <c r="BD6" i="35"/>
  <c r="AX6" i="35"/>
  <c r="AQ6" i="35"/>
  <c r="AK6" i="35"/>
  <c r="AF6" i="35"/>
  <c r="Z6" i="35"/>
  <c r="S6" i="35"/>
  <c r="AM6" i="35"/>
  <c r="M6" i="35"/>
  <c r="H6" i="35"/>
  <c r="AZ6" i="35"/>
  <c r="BF5" i="35"/>
  <c r="AY5" i="35"/>
  <c r="O6" i="35"/>
  <c r="AS5" i="35"/>
  <c r="AN5" i="35"/>
  <c r="AB6" i="35"/>
  <c r="AH5" i="35"/>
  <c r="AW6" i="35"/>
  <c r="AU6" i="35"/>
  <c r="AA5" i="35"/>
  <c r="AU5" i="35"/>
  <c r="U5" i="35"/>
  <c r="P5" i="35"/>
  <c r="BH5" i="35"/>
  <c r="J5" i="35"/>
  <c r="Y6" i="35"/>
  <c r="W6" i="35"/>
  <c r="BG4" i="35"/>
  <c r="W5" i="35"/>
  <c r="AJ5" i="35"/>
  <c r="AP4" i="35"/>
  <c r="BE5" i="35"/>
  <c r="BC5" i="35"/>
  <c r="AI4" i="35"/>
  <c r="AC4" i="35"/>
  <c r="L5" i="35"/>
  <c r="AG5" i="35"/>
  <c r="AE5" i="35"/>
  <c r="AN6" i="35"/>
  <c r="AE4" i="35"/>
  <c r="E4" i="35"/>
  <c r="G6" i="35"/>
  <c r="AR4" i="35"/>
  <c r="I5" i="35"/>
  <c r="G5" i="35"/>
  <c r="P6" i="35"/>
  <c r="G4" i="35"/>
  <c r="AL6" i="35"/>
  <c r="BH6" i="35"/>
  <c r="O5" i="35"/>
  <c r="BB6" i="35"/>
  <c r="T4" i="35"/>
  <c r="AO4" i="35"/>
  <c r="AT6" i="35"/>
  <c r="AS6" i="35"/>
  <c r="AD6" i="35"/>
  <c r="V6" i="35"/>
  <c r="U6" i="35"/>
  <c r="X5" i="35"/>
  <c r="AT5" i="35"/>
  <c r="AR5" i="35"/>
  <c r="W4" i="35"/>
  <c r="F6" i="35"/>
  <c r="BB5" i="35"/>
  <c r="BA5" i="35"/>
  <c r="BD4" i="35"/>
  <c r="V5" i="35"/>
  <c r="AZ4" i="35"/>
  <c r="AL5" i="35"/>
  <c r="BA6" i="35"/>
  <c r="AY6" i="35"/>
  <c r="AD5" i="35"/>
  <c r="AC5" i="35"/>
  <c r="AM5" i="35"/>
  <c r="N5" i="35"/>
  <c r="AC6" i="35"/>
  <c r="AA6" i="35"/>
  <c r="F5" i="35"/>
  <c r="E5" i="35"/>
  <c r="E6" i="35"/>
  <c r="BG5" i="35"/>
  <c r="AL4" i="35"/>
  <c r="AK4" i="35"/>
  <c r="F4" i="35"/>
  <c r="V4" i="35"/>
  <c r="AK5" i="35"/>
  <c r="AI5" i="35"/>
  <c r="N4" i="35"/>
  <c r="M4" i="35"/>
  <c r="BC6" i="35"/>
  <c r="M5" i="35"/>
  <c r="K5" i="35"/>
  <c r="AV6" i="35"/>
  <c r="R6" i="35"/>
  <c r="BE6" i="35"/>
  <c r="AS4" i="35"/>
  <c r="X6" i="35"/>
  <c r="AR6" i="35"/>
  <c r="AX5" i="35"/>
  <c r="AP5" i="35"/>
  <c r="Q5" i="35"/>
  <c r="Y5" i="35"/>
  <c r="AG6" i="35"/>
  <c r="AF4" i="35"/>
  <c r="I6" i="35"/>
  <c r="H4" i="35"/>
  <c r="AO5" i="35"/>
  <c r="BA4" i="35"/>
  <c r="AJ6" i="35"/>
  <c r="T6" i="35"/>
  <c r="D4" i="35"/>
  <c r="AZ5" i="35"/>
  <c r="AB5" i="35"/>
  <c r="U4" i="35"/>
  <c r="AP6" i="35"/>
  <c r="Z5" i="35"/>
  <c r="AH4" i="35"/>
  <c r="N6" i="35"/>
  <c r="BB4" i="35"/>
  <c r="AD4" i="35"/>
  <c r="AO6" i="35"/>
  <c r="BF6" i="35"/>
  <c r="BD5" i="35"/>
  <c r="Q6" i="35"/>
  <c r="AS441" i="11"/>
  <c r="U441" i="11"/>
  <c r="BG441" i="11"/>
  <c r="AI441" i="11"/>
  <c r="K441" i="11"/>
  <c r="N8" i="29"/>
  <c r="N41" i="29"/>
  <c r="U160" i="11"/>
  <c r="AS160" i="11"/>
  <c r="I166" i="11"/>
  <c r="AG166" i="11"/>
  <c r="BE166" i="11"/>
  <c r="Y234" i="11"/>
  <c r="AW234" i="11"/>
  <c r="M252" i="11"/>
  <c r="AK252" i="11"/>
  <c r="BI252" i="11"/>
  <c r="G270" i="11"/>
  <c r="AE270" i="11"/>
  <c r="BC270" i="11"/>
  <c r="G282" i="11"/>
  <c r="AE282" i="11"/>
  <c r="BC282" i="11"/>
  <c r="H299" i="11"/>
  <c r="AF299" i="11"/>
  <c r="BD299" i="11"/>
  <c r="Y341" i="11"/>
  <c r="K352" i="11"/>
  <c r="AI352" i="11"/>
  <c r="BG352" i="11"/>
  <c r="Y365" i="11"/>
  <c r="AW365" i="11"/>
  <c r="E367" i="11"/>
  <c r="Q422" i="11"/>
  <c r="AO422" i="11"/>
  <c r="G433" i="11"/>
  <c r="AI433" i="11"/>
  <c r="T439" i="11"/>
  <c r="AT439" i="11"/>
  <c r="N440" i="11"/>
  <c r="AN440" i="11"/>
  <c r="AI417" i="22"/>
  <c r="AK11" i="35"/>
  <c r="AW11" i="35"/>
  <c r="M11" i="35"/>
  <c r="H11" i="35"/>
  <c r="AS11" i="35"/>
  <c r="AV11" i="35"/>
  <c r="S11" i="35"/>
  <c r="AF11" i="35"/>
  <c r="AY11" i="35"/>
  <c r="AQ11" i="35"/>
  <c r="V11" i="35"/>
  <c r="P11" i="35"/>
  <c r="AB11" i="35"/>
  <c r="AR11" i="35"/>
  <c r="AN11" i="35"/>
  <c r="T11" i="35"/>
  <c r="AJ11" i="35"/>
  <c r="Y11" i="35"/>
  <c r="BD11" i="35"/>
  <c r="AG11" i="35"/>
  <c r="I11" i="35"/>
  <c r="U11" i="35"/>
  <c r="AA11" i="35"/>
  <c r="AM11" i="35"/>
  <c r="AE11" i="35"/>
  <c r="AD11" i="35"/>
  <c r="O11" i="35"/>
  <c r="G11" i="35"/>
  <c r="F11" i="35"/>
  <c r="D11" i="35"/>
  <c r="AL11" i="35"/>
  <c r="N11" i="35"/>
  <c r="BA11" i="35"/>
  <c r="AP11" i="35"/>
  <c r="AC11" i="35"/>
  <c r="AX11" i="35"/>
  <c r="R11" i="35"/>
  <c r="E11" i="35"/>
  <c r="Z11" i="35"/>
  <c r="X11" i="35"/>
  <c r="AO11" i="35"/>
  <c r="Q11" i="35"/>
  <c r="BF11" i="35"/>
  <c r="K40" i="28"/>
  <c r="AH11" i="35"/>
  <c r="BC11" i="35"/>
  <c r="BB11" i="35"/>
  <c r="K42" i="28"/>
  <c r="AU11" i="35"/>
  <c r="W11" i="35"/>
  <c r="J11" i="35"/>
  <c r="AT11" i="35"/>
  <c r="AI298" i="22"/>
  <c r="AQ8" i="35"/>
  <c r="O8" i="35"/>
  <c r="AA8" i="35"/>
  <c r="U8" i="35"/>
  <c r="AY8" i="35"/>
  <c r="AI8" i="35"/>
  <c r="AM8" i="35"/>
  <c r="P8" i="35"/>
  <c r="BH8" i="35"/>
  <c r="J8" i="35"/>
  <c r="AX8" i="35"/>
  <c r="W8" i="35"/>
  <c r="AS8" i="35"/>
  <c r="H54" i="28"/>
  <c r="AJ8" i="35"/>
  <c r="BE8" i="35"/>
  <c r="L8" i="35"/>
  <c r="AG8" i="35"/>
  <c r="AE8" i="35"/>
  <c r="I8" i="35"/>
  <c r="G8" i="35"/>
  <c r="AV8" i="35"/>
  <c r="X8" i="35"/>
  <c r="AT8" i="35"/>
  <c r="BB8" i="35"/>
  <c r="BA8" i="35"/>
  <c r="V8" i="35"/>
  <c r="AL8" i="35"/>
  <c r="AD8" i="35"/>
  <c r="AC8" i="35"/>
  <c r="N8" i="35"/>
  <c r="F8" i="35"/>
  <c r="E8" i="35"/>
  <c r="AK8" i="35"/>
  <c r="BF8" i="35"/>
  <c r="M8" i="35"/>
  <c r="K8" i="35"/>
  <c r="BD8" i="35"/>
  <c r="Z8" i="35"/>
  <c r="AF8" i="35"/>
  <c r="AZ8" i="35"/>
  <c r="AO8" i="35"/>
  <c r="H8" i="35"/>
  <c r="BC8" i="35"/>
  <c r="AB8" i="35"/>
  <c r="AP8" i="35"/>
  <c r="Q8" i="35"/>
  <c r="D8" i="35"/>
  <c r="Y8" i="35"/>
  <c r="R8" i="35"/>
  <c r="AN8" i="35"/>
  <c r="AH8" i="35"/>
  <c r="AU8" i="35"/>
  <c r="H51" i="28"/>
  <c r="AW8" i="35"/>
  <c r="H15" i="28"/>
  <c r="N16" i="29"/>
  <c r="N52" i="29"/>
  <c r="Z234" i="11"/>
  <c r="AX234" i="11"/>
  <c r="N252" i="11"/>
  <c r="AL252" i="11"/>
  <c r="H270" i="11"/>
  <c r="AF270" i="11"/>
  <c r="BD270" i="11"/>
  <c r="H282" i="11"/>
  <c r="AF282" i="11"/>
  <c r="BD282" i="11"/>
  <c r="I299" i="11"/>
  <c r="AG299" i="11"/>
  <c r="BE299" i="11"/>
  <c r="Z341" i="11"/>
  <c r="L352" i="11"/>
  <c r="AJ352" i="11"/>
  <c r="BH352" i="11"/>
  <c r="Z365" i="11"/>
  <c r="AX365" i="11"/>
  <c r="F367" i="11"/>
  <c r="R422" i="11"/>
  <c r="AP422" i="11"/>
  <c r="AI431" i="22"/>
  <c r="AR428" i="11"/>
  <c r="J428" i="11"/>
  <c r="N18" i="29"/>
  <c r="N49" i="29"/>
  <c r="M40" i="28"/>
  <c r="W160" i="11"/>
  <c r="AU160" i="11"/>
  <c r="K166" i="11"/>
  <c r="AI166" i="11"/>
  <c r="BG166" i="11"/>
  <c r="AA234" i="11"/>
  <c r="AY234" i="11"/>
  <c r="O252" i="11"/>
  <c r="AM252" i="11"/>
  <c r="I270" i="11"/>
  <c r="AG270" i="11"/>
  <c r="BE270" i="11"/>
  <c r="I282" i="11"/>
  <c r="AG282" i="11"/>
  <c r="BE282" i="11"/>
  <c r="J299" i="11"/>
  <c r="AH299" i="11"/>
  <c r="BF299" i="11"/>
  <c r="AA341" i="11"/>
  <c r="M352" i="11"/>
  <c r="AK352" i="11"/>
  <c r="BI352" i="11"/>
  <c r="AA365" i="11"/>
  <c r="AY365" i="11"/>
  <c r="G367" i="11"/>
  <c r="S422" i="11"/>
  <c r="AQ422" i="11"/>
  <c r="J433" i="11"/>
  <c r="AK433" i="11"/>
  <c r="V439" i="11"/>
  <c r="AV439" i="11"/>
  <c r="P440" i="11"/>
  <c r="AP440" i="11"/>
  <c r="AY443" i="11"/>
  <c r="Z443" i="11"/>
  <c r="AN443" i="11"/>
  <c r="O443" i="11"/>
  <c r="N10" i="29"/>
  <c r="N43" i="29"/>
  <c r="AB234" i="11"/>
  <c r="AZ234" i="11"/>
  <c r="P252" i="11"/>
  <c r="AN252" i="11"/>
  <c r="J270" i="11"/>
  <c r="AH270" i="11"/>
  <c r="BF270" i="11"/>
  <c r="J282" i="11"/>
  <c r="AH282" i="11"/>
  <c r="BF282" i="11"/>
  <c r="K299" i="11"/>
  <c r="AI299" i="11"/>
  <c r="BG299" i="11"/>
  <c r="AI341" i="11"/>
  <c r="N352" i="11"/>
  <c r="AL352" i="11"/>
  <c r="AB365" i="11"/>
  <c r="AZ365" i="11"/>
  <c r="S367" i="11"/>
  <c r="T422" i="11"/>
  <c r="AR422" i="11"/>
  <c r="M51" i="29"/>
  <c r="AI93" i="22"/>
  <c r="N11" i="29"/>
  <c r="N51" i="29"/>
  <c r="E234" i="11"/>
  <c r="AC234" i="11"/>
  <c r="BA234" i="11"/>
  <c r="Q252" i="11"/>
  <c r="AO252" i="11"/>
  <c r="K270" i="11"/>
  <c r="AI270" i="11"/>
  <c r="BG270" i="11"/>
  <c r="K282" i="11"/>
  <c r="AI282" i="11"/>
  <c r="BG282" i="11"/>
  <c r="L299" i="11"/>
  <c r="AJ299" i="11"/>
  <c r="BH299" i="11"/>
  <c r="AK341" i="11"/>
  <c r="O352" i="11"/>
  <c r="AM352" i="11"/>
  <c r="E365" i="11"/>
  <c r="AC365" i="11"/>
  <c r="BA365" i="11"/>
  <c r="V367" i="11"/>
  <c r="U422" i="11"/>
  <c r="AS422" i="11"/>
  <c r="O18" i="40"/>
  <c r="N40" i="40"/>
  <c r="F60" i="40"/>
  <c r="D61" i="40"/>
  <c r="F19" i="40"/>
  <c r="K41" i="40"/>
  <c r="I61" i="40"/>
  <c r="F54" i="40"/>
  <c r="F43" i="40"/>
  <c r="I54" i="40"/>
  <c r="N61" i="40"/>
  <c r="L54" i="40"/>
  <c r="N38" i="40"/>
  <c r="F22" i="40"/>
  <c r="Q54" i="40"/>
  <c r="I22" i="40"/>
  <c r="K22" i="40"/>
  <c r="Q32" i="40"/>
  <c r="I5" i="40"/>
  <c r="N22" i="40"/>
  <c r="L5" i="40"/>
  <c r="N33" i="40"/>
  <c r="F46" i="40"/>
  <c r="O5" i="40"/>
  <c r="Q5" i="40"/>
  <c r="N46" i="40"/>
  <c r="Q47" i="40"/>
  <c r="F36" i="40"/>
  <c r="I58" i="40"/>
  <c r="Q60" i="40"/>
  <c r="L36" i="40"/>
  <c r="I25" i="40"/>
  <c r="F49" i="40"/>
  <c r="F59" i="40"/>
  <c r="N50" i="40"/>
  <c r="L59" i="40"/>
  <c r="N26" i="40"/>
  <c r="K38" i="40"/>
  <c r="D50" i="40"/>
  <c r="Q26" i="40"/>
  <c r="L60" i="40"/>
  <c r="K35" i="40"/>
  <c r="K47" i="40"/>
  <c r="I50" i="40"/>
  <c r="R39" i="40"/>
  <c r="I38" i="40"/>
  <c r="G59" i="40"/>
  <c r="E59" i="40"/>
  <c r="Q58" i="40"/>
  <c r="H27" i="40"/>
  <c r="O40" i="40"/>
  <c r="L58" i="40"/>
  <c r="J61" i="40"/>
  <c r="H55" i="40"/>
  <c r="H19" i="40"/>
  <c r="O29" i="40"/>
  <c r="E40" i="40"/>
  <c r="I15" i="40"/>
  <c r="L10" i="40"/>
  <c r="H10" i="40"/>
  <c r="F13" i="40"/>
  <c r="P12" i="40"/>
  <c r="E14" i="40"/>
  <c r="N47" i="40"/>
  <c r="K33" i="40"/>
  <c r="N43" i="40"/>
  <c r="J38" i="40"/>
  <c r="Q36" i="40"/>
  <c r="H47" i="40"/>
  <c r="O57" i="40"/>
  <c r="G17" i="40"/>
  <c r="M57" i="40"/>
  <c r="I48" i="40"/>
  <c r="P61" i="40"/>
  <c r="P25" i="40"/>
  <c r="G39" i="40"/>
  <c r="M49" i="40"/>
  <c r="L55" i="40"/>
  <c r="R59" i="40"/>
  <c r="R23" i="40"/>
  <c r="P53" i="40"/>
  <c r="H16" i="40"/>
  <c r="M38" i="40"/>
  <c r="F15" i="40"/>
  <c r="N8" i="40"/>
  <c r="L11" i="40"/>
  <c r="G11" i="40"/>
  <c r="K12" i="40"/>
  <c r="F16" i="40"/>
  <c r="F40" i="40"/>
  <c r="L27" i="40"/>
  <c r="D56" i="40"/>
  <c r="F39" i="40"/>
  <c r="I55" i="40"/>
  <c r="K17" i="40"/>
  <c r="K30" i="40"/>
  <c r="R36" i="40"/>
  <c r="I35" i="40"/>
  <c r="P45" i="40"/>
  <c r="G56" i="40"/>
  <c r="F62" i="40"/>
  <c r="E56" i="40"/>
  <c r="L48" i="40"/>
  <c r="J48" i="40"/>
  <c r="Q46" i="40"/>
  <c r="H60" i="40"/>
  <c r="O37" i="40"/>
  <c r="L52" i="40"/>
  <c r="J58" i="40"/>
  <c r="J22" i="40"/>
  <c r="H52" i="40"/>
  <c r="O62" i="40"/>
  <c r="O26" i="40"/>
  <c r="E37" i="40"/>
  <c r="F14" i="40"/>
  <c r="I7" i="40"/>
  <c r="E7" i="40"/>
  <c r="R9" i="40"/>
  <c r="M9" i="40"/>
  <c r="Q10" i="40"/>
  <c r="L62" i="40"/>
  <c r="L33" i="40"/>
  <c r="L18" i="40"/>
  <c r="I52" i="40"/>
  <c r="I51" i="40"/>
  <c r="N20" i="40"/>
  <c r="J35" i="40"/>
  <c r="Q33" i="40"/>
  <c r="O54" i="40"/>
  <c r="N60" i="40"/>
  <c r="M54" i="40"/>
  <c r="D47" i="40"/>
  <c r="R46" i="40"/>
  <c r="I45" i="40"/>
  <c r="P58" i="40"/>
  <c r="P22" i="40"/>
  <c r="G36" i="40"/>
  <c r="M46" i="40"/>
  <c r="L49" i="40"/>
  <c r="R56" i="40"/>
  <c r="R20" i="40"/>
  <c r="P50" i="40"/>
  <c r="G61" i="40"/>
  <c r="G25" i="40"/>
  <c r="M35" i="40"/>
  <c r="H12" i="40"/>
  <c r="Q13" i="40"/>
  <c r="Q57" i="40"/>
  <c r="N27" i="40"/>
  <c r="K26" i="40"/>
  <c r="E17" i="40"/>
  <c r="R33" i="40"/>
  <c r="P42" i="40"/>
  <c r="N57" i="40"/>
  <c r="L45" i="40"/>
  <c r="J45" i="40"/>
  <c r="Q43" i="40"/>
  <c r="H57" i="40"/>
  <c r="H21" i="40"/>
  <c r="E45" i="40"/>
  <c r="L46" i="40"/>
  <c r="J55" i="40"/>
  <c r="J19" i="40"/>
  <c r="O59" i="40"/>
  <c r="O23" i="40"/>
  <c r="M5" i="40"/>
  <c r="H15" i="40"/>
  <c r="P11" i="40"/>
  <c r="I57" i="40"/>
  <c r="F48" i="40"/>
  <c r="D23" i="40"/>
  <c r="L39" i="40"/>
  <c r="O21" i="40"/>
  <c r="N37" i="40"/>
  <c r="J32" i="40"/>
  <c r="Q30" i="40"/>
  <c r="H41" i="40"/>
  <c r="O51" i="40"/>
  <c r="N54" i="40"/>
  <c r="M51" i="40"/>
  <c r="D44" i="40"/>
  <c r="R43" i="40"/>
  <c r="I42" i="40"/>
  <c r="P55" i="40"/>
  <c r="P19" i="40"/>
  <c r="G33" i="40"/>
  <c r="M43" i="40"/>
  <c r="L43" i="40"/>
  <c r="J16" i="40"/>
  <c r="P47" i="40"/>
  <c r="G58" i="40"/>
  <c r="G22" i="40"/>
  <c r="M32" i="40"/>
  <c r="J5" i="40"/>
  <c r="N13" i="40"/>
  <c r="G10" i="40"/>
  <c r="E13" i="40"/>
  <c r="F11" i="40"/>
  <c r="I6" i="40"/>
  <c r="N49" i="40"/>
  <c r="M18" i="40"/>
  <c r="F33" i="40"/>
  <c r="P17" i="40"/>
  <c r="K21" i="40"/>
  <c r="R30" i="40"/>
  <c r="I29" i="40"/>
  <c r="P39" i="40"/>
  <c r="G50" i="40"/>
  <c r="N45" i="40"/>
  <c r="E50" i="40"/>
  <c r="L42" i="40"/>
  <c r="J42" i="40"/>
  <c r="Q40" i="40"/>
  <c r="H54" i="40"/>
  <c r="H18" i="40"/>
  <c r="O31" i="40"/>
  <c r="E42" i="40"/>
  <c r="L40" i="40"/>
  <c r="J52" i="40"/>
  <c r="I49" i="40"/>
  <c r="K42" i="40"/>
  <c r="N19" i="40"/>
  <c r="K27" i="40"/>
  <c r="D60" i="40"/>
  <c r="N17" i="40"/>
  <c r="J29" i="40"/>
  <c r="Q27" i="40"/>
  <c r="H38" i="40"/>
  <c r="O48" i="40"/>
  <c r="F44" i="40"/>
  <c r="M48" i="40"/>
  <c r="D41" i="40"/>
  <c r="R40" i="40"/>
  <c r="I39" i="40"/>
  <c r="P52" i="40"/>
  <c r="P16" i="40"/>
  <c r="G30" i="40"/>
  <c r="M40" i="40"/>
  <c r="L37" i="40"/>
  <c r="R50" i="40"/>
  <c r="I46" i="40"/>
  <c r="P44" i="40"/>
  <c r="G55" i="40"/>
  <c r="G19" i="40"/>
  <c r="M29" i="40"/>
  <c r="H5" i="40"/>
  <c r="K10" i="40"/>
  <c r="D7" i="40"/>
  <c r="Q9" i="40"/>
  <c r="R7" i="40"/>
  <c r="H6" i="40"/>
  <c r="N35" i="40"/>
  <c r="K18" i="40"/>
  <c r="K55" i="40"/>
  <c r="K62" i="40"/>
  <c r="R27" i="40"/>
  <c r="I26" i="40"/>
  <c r="P36" i="40"/>
  <c r="G47" i="40"/>
  <c r="N42" i="40"/>
  <c r="E47" i="40"/>
  <c r="D38" i="40"/>
  <c r="J39" i="40"/>
  <c r="Q37" i="40"/>
  <c r="H51" i="40"/>
  <c r="D62" i="40"/>
  <c r="E39" i="40"/>
  <c r="J49" i="40"/>
  <c r="Q44" i="40"/>
  <c r="H43" i="40"/>
  <c r="O53" i="40"/>
  <c r="N53" i="40"/>
  <c r="N29" i="40"/>
  <c r="F57" i="40"/>
  <c r="L51" i="40"/>
  <c r="J62" i="40"/>
  <c r="J26" i="40"/>
  <c r="H35" i="40"/>
  <c r="O45" i="40"/>
  <c r="F41" i="40"/>
  <c r="M45" i="40"/>
  <c r="D35" i="40"/>
  <c r="R37" i="40"/>
  <c r="I36" i="40"/>
  <c r="P49" i="40"/>
  <c r="I60" i="40"/>
  <c r="G27" i="40"/>
  <c r="M37" i="40"/>
  <c r="L31" i="40"/>
  <c r="R47" i="40"/>
  <c r="I43" i="40"/>
  <c r="P41" i="40"/>
  <c r="G52" i="40"/>
  <c r="N62" i="40"/>
  <c r="M26" i="40"/>
  <c r="I12" i="40"/>
  <c r="H7" i="40"/>
  <c r="I13" i="40"/>
  <c r="M14" i="40"/>
  <c r="N12" i="40"/>
  <c r="E6" i="40"/>
  <c r="Q29" i="40"/>
  <c r="K24" i="40"/>
  <c r="F53" i="40"/>
  <c r="Q17" i="40"/>
  <c r="F5" i="40"/>
  <c r="R60" i="40"/>
  <c r="I23" i="40"/>
  <c r="P33" i="40"/>
  <c r="G44" i="40"/>
  <c r="N39" i="40"/>
  <c r="E44" i="40"/>
  <c r="D32" i="40"/>
  <c r="J36" i="40"/>
  <c r="H48" i="40"/>
  <c r="O61" i="40"/>
  <c r="O25" i="40"/>
  <c r="E36" i="40"/>
  <c r="J46" i="40"/>
  <c r="Q41" i="40"/>
  <c r="H40" i="40"/>
  <c r="O50" i="40"/>
  <c r="F58" i="40"/>
  <c r="E25" i="40"/>
  <c r="O10" i="40"/>
  <c r="G15" i="40"/>
  <c r="O11" i="40"/>
  <c r="J11" i="40"/>
  <c r="E11" i="40"/>
  <c r="D6" i="40"/>
  <c r="D20" i="40"/>
  <c r="N41" i="40"/>
  <c r="P5" i="40"/>
  <c r="N58" i="40"/>
  <c r="J59" i="40"/>
  <c r="J23" i="40"/>
  <c r="Q21" i="40"/>
  <c r="H32" i="40"/>
  <c r="O42" i="40"/>
  <c r="F38" i="40"/>
  <c r="M42" i="40"/>
  <c r="K51" i="40"/>
  <c r="R34" i="40"/>
  <c r="I33" i="40"/>
  <c r="P46" i="40"/>
  <c r="G60" i="40"/>
  <c r="G24" i="40"/>
  <c r="M34" i="40"/>
  <c r="L25" i="40"/>
  <c r="R44" i="40"/>
  <c r="I40" i="40"/>
  <c r="P38" i="40"/>
  <c r="G49" i="40"/>
  <c r="N59" i="40"/>
  <c r="E22" i="40"/>
  <c r="F9" i="40"/>
  <c r="M13" i="40"/>
  <c r="F10" i="40"/>
  <c r="P9" i="40"/>
  <c r="K9" i="40"/>
  <c r="P6" i="40"/>
  <c r="E20" i="40"/>
  <c r="I16" i="40"/>
  <c r="N34" i="40"/>
  <c r="Q59" i="40"/>
  <c r="F50" i="40"/>
  <c r="R57" i="40"/>
  <c r="R21" i="40"/>
  <c r="I20" i="40"/>
  <c r="P30" i="40"/>
  <c r="G41" i="40"/>
  <c r="F35" i="40"/>
  <c r="E41" i="40"/>
  <c r="K60" i="40"/>
  <c r="J33" i="40"/>
  <c r="Q31" i="40"/>
  <c r="H45" i="40"/>
  <c r="O58" i="40"/>
  <c r="O22" i="40"/>
  <c r="E33" i="40"/>
  <c r="L22" i="40"/>
  <c r="J43" i="40"/>
  <c r="Q38" i="40"/>
  <c r="H37" i="40"/>
  <c r="O47" i="40"/>
  <c r="M59" i="40"/>
  <c r="E19" i="40"/>
  <c r="L7" i="40"/>
  <c r="D12" i="40"/>
  <c r="L8" i="40"/>
  <c r="G8" i="40"/>
  <c r="Q7" i="40"/>
  <c r="Q6" i="40"/>
  <c r="K16" i="40"/>
  <c r="Q23" i="40"/>
  <c r="F55" i="40"/>
  <c r="N30" i="40"/>
  <c r="K43" i="40"/>
  <c r="J56" i="40"/>
  <c r="J20" i="40"/>
  <c r="Q18" i="40"/>
  <c r="H29" i="40"/>
  <c r="O39" i="40"/>
  <c r="F32" i="40"/>
  <c r="M39" i="40"/>
  <c r="K57" i="40"/>
  <c r="R31" i="40"/>
  <c r="I30" i="40"/>
  <c r="P43" i="40"/>
  <c r="G57" i="40"/>
  <c r="G21" i="40"/>
  <c r="M31" i="40"/>
  <c r="L19" i="40"/>
  <c r="I19" i="40"/>
  <c r="F51" i="40"/>
  <c r="L17" i="40"/>
  <c r="K36" i="40"/>
  <c r="R54" i="40"/>
  <c r="R18" i="40"/>
  <c r="I17" i="40"/>
  <c r="P27" i="40"/>
  <c r="G38" i="40"/>
  <c r="F29" i="40"/>
  <c r="E38" i="40"/>
  <c r="K54" i="40"/>
  <c r="J30" i="40"/>
  <c r="H42" i="40"/>
  <c r="O55" i="40"/>
  <c r="O19" i="40"/>
  <c r="E30" i="40"/>
  <c r="L16" i="40"/>
  <c r="F45" i="40"/>
  <c r="F30" i="40"/>
  <c r="J53" i="40"/>
  <c r="J17" i="40"/>
  <c r="H62" i="40"/>
  <c r="H26" i="40"/>
  <c r="O36" i="40"/>
  <c r="F26" i="40"/>
  <c r="M36" i="40"/>
  <c r="K48" i="40"/>
  <c r="R28" i="40"/>
  <c r="I27" i="40"/>
  <c r="P40" i="40"/>
  <c r="G54" i="40"/>
  <c r="G18" i="40"/>
  <c r="K58" i="40"/>
  <c r="R38" i="40"/>
  <c r="I34" i="40"/>
  <c r="N31" i="40"/>
  <c r="O24" i="40"/>
  <c r="R51" i="40"/>
  <c r="Q51" i="40"/>
  <c r="P60" i="40"/>
  <c r="P24" i="40"/>
  <c r="G35" i="40"/>
  <c r="F23" i="40"/>
  <c r="E35" i="40"/>
  <c r="K45" i="40"/>
  <c r="J27" i="40"/>
  <c r="Q25" i="40"/>
  <c r="H39" i="40"/>
  <c r="O52" i="40"/>
  <c r="O16" i="40"/>
  <c r="E27" i="40"/>
  <c r="K40" i="40"/>
  <c r="J37" i="40"/>
  <c r="I31" i="40"/>
  <c r="H31" i="40"/>
  <c r="O41" i="40"/>
  <c r="E52" i="40"/>
  <c r="N15" i="40"/>
  <c r="J15" i="40"/>
  <c r="L13" i="40"/>
  <c r="E10" i="40"/>
  <c r="O9" i="40"/>
  <c r="J9" i="40"/>
  <c r="F52" i="40"/>
  <c r="D26" i="40"/>
  <c r="N5" i="40"/>
  <c r="L20" i="40"/>
  <c r="J50" i="40"/>
  <c r="Q48" i="40"/>
  <c r="H59" i="40"/>
  <c r="H23" i="40"/>
  <c r="O33" i="40"/>
  <c r="N21" i="40"/>
  <c r="M33" i="40"/>
  <c r="R61" i="40"/>
  <c r="R25" i="40"/>
  <c r="I24" i="40"/>
  <c r="P37" i="40"/>
  <c r="G51" i="40"/>
  <c r="N16" i="40"/>
  <c r="M25" i="40"/>
  <c r="K37" i="40"/>
  <c r="R35" i="40"/>
  <c r="P29" i="40"/>
  <c r="G40" i="40"/>
  <c r="M50" i="40"/>
  <c r="D5" i="40"/>
  <c r="P13" i="40"/>
  <c r="R11" i="40"/>
  <c r="K8" i="40"/>
  <c r="F8" i="40"/>
  <c r="P7" i="40"/>
  <c r="K39" i="40"/>
  <c r="L21" i="40"/>
  <c r="I59" i="40"/>
  <c r="D17" i="40"/>
  <c r="R48" i="40"/>
  <c r="I47" i="40"/>
  <c r="P57" i="40"/>
  <c r="P21" i="40"/>
  <c r="G32" i="40"/>
  <c r="F20" i="40"/>
  <c r="E32" i="40"/>
  <c r="J60" i="40"/>
  <c r="J24" i="40"/>
  <c r="Q22" i="40"/>
  <c r="H36" i="40"/>
  <c r="O49" i="40"/>
  <c r="M61" i="40"/>
  <c r="K34" i="40"/>
  <c r="J34" i="40"/>
  <c r="Q62" i="40"/>
  <c r="H28" i="40"/>
  <c r="O38" i="40"/>
  <c r="E49" i="40"/>
  <c r="R15" i="40"/>
  <c r="G12" i="40"/>
  <c r="I10" i="40"/>
  <c r="P14" i="40"/>
  <c r="K14" i="40"/>
  <c r="K6" i="40"/>
  <c r="I62" i="40"/>
  <c r="F28" i="40"/>
  <c r="F27" i="40"/>
  <c r="O17" i="40"/>
  <c r="Q50" i="40"/>
  <c r="K5" i="40"/>
  <c r="J47" i="40"/>
  <c r="Q45" i="40"/>
  <c r="H56" i="40"/>
  <c r="H20" i="40"/>
  <c r="O30" i="40"/>
  <c r="N18" i="40"/>
  <c r="M30" i="40"/>
  <c r="R58" i="40"/>
  <c r="R22" i="40"/>
  <c r="I21" i="40"/>
  <c r="P34" i="40"/>
  <c r="G48" i="40"/>
  <c r="M58" i="40"/>
  <c r="M22" i="40"/>
  <c r="K31" i="40"/>
  <c r="R32" i="40"/>
  <c r="P62" i="40"/>
  <c r="P26" i="40"/>
  <c r="G37" i="40"/>
  <c r="M47" i="40"/>
  <c r="Q15" i="40"/>
  <c r="M10" i="40"/>
  <c r="O8" i="40"/>
  <c r="G13" i="40"/>
  <c r="Q12" i="40"/>
  <c r="L12" i="40"/>
  <c r="L57" i="40"/>
  <c r="F18" i="40"/>
  <c r="F37" i="40"/>
  <c r="D59" i="40"/>
  <c r="R45" i="40"/>
  <c r="I44" i="40"/>
  <c r="P54" i="40"/>
  <c r="P18" i="40"/>
  <c r="G29" i="40"/>
  <c r="F56" i="40"/>
  <c r="E29" i="40"/>
  <c r="J57" i="40"/>
  <c r="J21" i="40"/>
  <c r="Q19" i="40"/>
  <c r="H33" i="40"/>
  <c r="O46" i="40"/>
  <c r="E57" i="40"/>
  <c r="E21" i="40"/>
  <c r="K28" i="40"/>
  <c r="J31" i="40"/>
  <c r="H61" i="40"/>
  <c r="H25" i="40"/>
  <c r="O35" i="40"/>
  <c r="E46" i="40"/>
  <c r="P15" i="40"/>
  <c r="D9" i="40"/>
  <c r="F7" i="40"/>
  <c r="M11" i="40"/>
  <c r="H11" i="40"/>
  <c r="R10" i="40"/>
  <c r="K53" i="40"/>
  <c r="N25" i="40"/>
  <c r="K50" i="40"/>
  <c r="J44" i="40"/>
  <c r="Q42" i="40"/>
  <c r="H53" i="40"/>
  <c r="H17" i="40"/>
  <c r="O27" i="40"/>
  <c r="N48" i="40"/>
  <c r="M27" i="40"/>
  <c r="R55" i="40"/>
  <c r="R19" i="40"/>
  <c r="I18" i="40"/>
  <c r="P31" i="40"/>
  <c r="G45" i="40"/>
  <c r="M55" i="40"/>
  <c r="M19" i="40"/>
  <c r="K25" i="40"/>
  <c r="R29" i="40"/>
  <c r="P59" i="40"/>
  <c r="P23" i="40"/>
  <c r="G34" i="40"/>
  <c r="M44" i="40"/>
  <c r="M15" i="40"/>
  <c r="J7" i="40"/>
  <c r="E15" i="40"/>
  <c r="D10" i="40"/>
  <c r="N9" i="40"/>
  <c r="I9" i="40"/>
  <c r="K49" i="40"/>
  <c r="F61" i="40"/>
  <c r="I56" i="40"/>
  <c r="F21" i="40"/>
  <c r="N36" i="40"/>
  <c r="R42" i="40"/>
  <c r="I41" i="40"/>
  <c r="P51" i="40"/>
  <c r="G62" i="40"/>
  <c r="G26" i="40"/>
  <c r="E62" i="40"/>
  <c r="E26" i="40"/>
  <c r="J54" i="40"/>
  <c r="J18" i="40"/>
  <c r="Q16" i="40"/>
  <c r="H30" i="40"/>
  <c r="O43" i="40"/>
  <c r="E54" i="40"/>
  <c r="E18" i="40"/>
  <c r="K19" i="40"/>
  <c r="J28" i="40"/>
  <c r="H58" i="40"/>
  <c r="H22" i="40"/>
  <c r="O32" i="40"/>
  <c r="E43" i="40"/>
  <c r="L15" i="40"/>
  <c r="O13" i="40"/>
  <c r="K13" i="40"/>
  <c r="J8" i="40"/>
  <c r="E8" i="40"/>
  <c r="F42" i="40"/>
  <c r="L56" i="40"/>
  <c r="K52" i="40"/>
  <c r="M17" i="40"/>
  <c r="L30" i="40"/>
  <c r="Q53" i="40"/>
  <c r="J41" i="40"/>
  <c r="Q39" i="40"/>
  <c r="H50" i="40"/>
  <c r="O60" i="40"/>
  <c r="G23" i="40"/>
  <c r="M60" i="40"/>
  <c r="M24" i="40"/>
  <c r="R52" i="40"/>
  <c r="R16" i="40"/>
  <c r="Q61" i="40"/>
  <c r="P28" i="40"/>
  <c r="G42" i="40"/>
  <c r="M52" i="40"/>
  <c r="M16" i="40"/>
  <c r="R62" i="40"/>
  <c r="R26" i="40"/>
  <c r="P56" i="40"/>
  <c r="P20" i="40"/>
  <c r="G31" i="40"/>
  <c r="R41" i="40"/>
  <c r="O15" i="40"/>
  <c r="R12" i="40"/>
  <c r="J40" i="40"/>
  <c r="R13" i="40"/>
  <c r="I11" i="40"/>
  <c r="I37" i="40"/>
  <c r="N10" i="40"/>
  <c r="J14" i="40"/>
  <c r="Q35" i="40"/>
  <c r="E9" i="40"/>
  <c r="I14" i="40"/>
  <c r="H46" i="40"/>
  <c r="K7" i="40"/>
  <c r="O12" i="40"/>
  <c r="P35" i="40"/>
  <c r="F12" i="40"/>
  <c r="L9" i="40"/>
  <c r="H34" i="40"/>
  <c r="E12" i="40"/>
  <c r="H14" i="40"/>
  <c r="P32" i="40"/>
  <c r="Q8" i="40"/>
  <c r="L6" i="40"/>
  <c r="O56" i="40"/>
  <c r="J10" i="40"/>
  <c r="G14" i="40"/>
  <c r="G46" i="40"/>
  <c r="P8" i="40"/>
  <c r="M12" i="40"/>
  <c r="O44" i="40"/>
  <c r="G7" i="40"/>
  <c r="O7" i="40"/>
  <c r="G43" i="40"/>
  <c r="Q11" i="40"/>
  <c r="J6" i="40"/>
  <c r="O20" i="40"/>
  <c r="J13" i="40"/>
  <c r="H9" i="40"/>
  <c r="G16" i="40"/>
  <c r="M8" i="40"/>
  <c r="N7" i="40"/>
  <c r="E58" i="40"/>
  <c r="R14" i="40"/>
  <c r="F6" i="40"/>
  <c r="M56" i="40"/>
  <c r="Q14" i="40"/>
  <c r="G6" i="40"/>
  <c r="E55" i="40"/>
  <c r="H13" i="40"/>
  <c r="M6" i="40"/>
  <c r="M41" i="40"/>
  <c r="N11" i="40"/>
  <c r="R6" i="40"/>
  <c r="E31" i="40"/>
  <c r="O14" i="40"/>
  <c r="N6" i="40"/>
  <c r="I8" i="40"/>
  <c r="K15" i="40"/>
  <c r="L14" i="40"/>
  <c r="E16" i="40"/>
  <c r="R5" i="40"/>
  <c r="E5" i="40"/>
  <c r="N14" i="40"/>
  <c r="K11" i="40"/>
  <c r="H8" i="40"/>
  <c r="AI236" i="22"/>
  <c r="AI191" i="22"/>
  <c r="H11" i="29" s="1"/>
  <c r="AI405" i="22"/>
  <c r="J10" i="29" s="1"/>
  <c r="AN446" i="11"/>
  <c r="N61" i="29"/>
  <c r="AD10" i="35"/>
  <c r="F234" i="11"/>
  <c r="AD234" i="11"/>
  <c r="BB234" i="11"/>
  <c r="R252" i="11"/>
  <c r="AP252" i="11"/>
  <c r="L270" i="11"/>
  <c r="AJ270" i="11"/>
  <c r="BH270" i="11"/>
  <c r="L282" i="11"/>
  <c r="AJ282" i="11"/>
  <c r="BH282" i="11"/>
  <c r="M299" i="11"/>
  <c r="AK299" i="11"/>
  <c r="BI299" i="11"/>
  <c r="AM341" i="11"/>
  <c r="P352" i="11"/>
  <c r="AN352" i="11"/>
  <c r="F365" i="11"/>
  <c r="AD365" i="11"/>
  <c r="BB365" i="11"/>
  <c r="AC367" i="11"/>
  <c r="V422" i="11"/>
  <c r="AT422" i="11"/>
  <c r="U14" i="35"/>
  <c r="K14" i="35"/>
  <c r="AI14" i="35"/>
  <c r="AR14" i="35"/>
  <c r="Y14" i="35"/>
  <c r="AW14" i="35"/>
  <c r="M14" i="35"/>
  <c r="AJ14" i="35"/>
  <c r="V14" i="35"/>
  <c r="AN14" i="35"/>
  <c r="L14" i="35"/>
  <c r="AK14" i="35"/>
  <c r="AY14" i="35"/>
  <c r="AZ14" i="35"/>
  <c r="AS14" i="35"/>
  <c r="AB14" i="35"/>
  <c r="D14" i="35"/>
  <c r="P14" i="35"/>
  <c r="AQ14" i="35"/>
  <c r="AG14" i="35"/>
  <c r="BA14" i="35"/>
  <c r="N57" i="28"/>
  <c r="AC14" i="35"/>
  <c r="AX14" i="35"/>
  <c r="E14" i="35"/>
  <c r="Z14" i="35"/>
  <c r="AP14" i="35"/>
  <c r="N10" i="28"/>
  <c r="N60" i="28"/>
  <c r="N46" i="28"/>
  <c r="N34" i="28"/>
  <c r="R14" i="35"/>
  <c r="N22" i="28"/>
  <c r="AO14" i="35"/>
  <c r="N15" i="28"/>
  <c r="N5" i="28"/>
  <c r="Q14" i="35"/>
  <c r="N59" i="28"/>
  <c r="BF14" i="35"/>
  <c r="AH14" i="35"/>
  <c r="J14" i="35"/>
  <c r="N44" i="28"/>
  <c r="N6" i="28"/>
  <c r="AF14" i="35"/>
  <c r="BC14" i="35"/>
  <c r="AU14" i="35"/>
  <c r="AM14" i="35"/>
  <c r="AE14" i="35"/>
  <c r="O14" i="35"/>
  <c r="G14" i="35"/>
  <c r="AV14" i="35"/>
  <c r="N33" i="28"/>
  <c r="N51" i="28"/>
  <c r="BB14" i="35"/>
  <c r="N42" i="28"/>
  <c r="N39" i="28"/>
  <c r="N43" i="28"/>
  <c r="N53" i="29"/>
  <c r="N44" i="29"/>
  <c r="N5" i="29"/>
  <c r="AD14" i="35"/>
  <c r="X14" i="35"/>
  <c r="N47" i="29"/>
  <c r="F14" i="35"/>
  <c r="N50" i="29"/>
  <c r="N48" i="28"/>
  <c r="BD14" i="35"/>
  <c r="H14" i="35"/>
  <c r="AL14" i="35"/>
  <c r="N38" i="29"/>
  <c r="N19" i="29"/>
  <c r="N14" i="35"/>
  <c r="W14" i="35"/>
  <c r="N46" i="29"/>
  <c r="N28" i="29"/>
  <c r="N42" i="29"/>
  <c r="N52" i="28"/>
  <c r="N39" i="29"/>
  <c r="AT14" i="35"/>
  <c r="N13" i="28"/>
  <c r="N30" i="28"/>
  <c r="L36" i="29"/>
  <c r="N30" i="29"/>
  <c r="N54" i="29"/>
  <c r="AA160" i="11"/>
  <c r="AY160" i="11"/>
  <c r="O166" i="11"/>
  <c r="AM166" i="11"/>
  <c r="G234" i="11"/>
  <c r="AE234" i="11"/>
  <c r="BC234" i="11"/>
  <c r="S252" i="11"/>
  <c r="AQ252" i="11"/>
  <c r="M270" i="11"/>
  <c r="AK270" i="11"/>
  <c r="BI270" i="11"/>
  <c r="M282" i="11"/>
  <c r="AK282" i="11"/>
  <c r="BI282" i="11"/>
  <c r="N299" i="11"/>
  <c r="AL299" i="11"/>
  <c r="AP341" i="11"/>
  <c r="Q352" i="11"/>
  <c r="AO352" i="11"/>
  <c r="G365" i="11"/>
  <c r="AE365" i="11"/>
  <c r="BC365" i="11"/>
  <c r="AD367" i="11"/>
  <c r="W422" i="11"/>
  <c r="AU422" i="11"/>
  <c r="N433" i="11"/>
  <c r="AP433" i="11"/>
  <c r="Z439" i="11"/>
  <c r="AZ439" i="11"/>
  <c r="T440" i="11"/>
  <c r="AU440" i="11"/>
  <c r="AQ446" i="11"/>
  <c r="L54" i="29"/>
  <c r="BD12" i="35"/>
  <c r="AB12" i="35"/>
  <c r="AJ12" i="35"/>
  <c r="AK12" i="35"/>
  <c r="BG12" i="35"/>
  <c r="Q12" i="35"/>
  <c r="AL12" i="35"/>
  <c r="X12" i="35"/>
  <c r="N12" i="35"/>
  <c r="AC12" i="35"/>
  <c r="AI12" i="35"/>
  <c r="V12" i="35"/>
  <c r="O12" i="35"/>
  <c r="BA12" i="35"/>
  <c r="P12" i="35"/>
  <c r="BB12" i="35"/>
  <c r="L36" i="28"/>
  <c r="AD12" i="35"/>
  <c r="F12" i="35"/>
  <c r="L29" i="28"/>
  <c r="L22" i="28"/>
  <c r="L52" i="28"/>
  <c r="L15" i="28"/>
  <c r="AS12" i="35"/>
  <c r="L30" i="28"/>
  <c r="BF12" i="35"/>
  <c r="U12" i="35"/>
  <c r="AP12" i="35"/>
  <c r="J12" i="35"/>
  <c r="AH12" i="35"/>
  <c r="R12" i="35"/>
  <c r="L39" i="28"/>
  <c r="L51" i="28"/>
  <c r="BE12" i="35"/>
  <c r="AG12" i="35"/>
  <c r="I12" i="35"/>
  <c r="AX12" i="35"/>
  <c r="L54" i="28"/>
  <c r="L42" i="28"/>
  <c r="L43" i="28"/>
  <c r="Z12" i="35"/>
  <c r="L48" i="28"/>
  <c r="G12" i="35"/>
  <c r="AU12" i="35"/>
  <c r="W12" i="35"/>
  <c r="L10" i="28"/>
  <c r="L46" i="28"/>
  <c r="L28" i="28"/>
  <c r="L33" i="28"/>
  <c r="BC12" i="35"/>
  <c r="AE12" i="35"/>
  <c r="AI15" i="22"/>
  <c r="L26" i="29" s="1"/>
  <c r="L44" i="28"/>
  <c r="AM12" i="35"/>
  <c r="L21" i="28"/>
  <c r="L13" i="28"/>
  <c r="L25" i="28"/>
  <c r="L57" i="28"/>
  <c r="L60" i="28"/>
  <c r="AI68" i="22"/>
  <c r="AZ431" i="11"/>
  <c r="AB431" i="11"/>
  <c r="AV10" i="35"/>
  <c r="BG10" i="35"/>
  <c r="E10" i="35"/>
  <c r="F10" i="35"/>
  <c r="AO10" i="35"/>
  <c r="BH10" i="35"/>
  <c r="L10" i="35"/>
  <c r="AZ10" i="35"/>
  <c r="AN10" i="35"/>
  <c r="BA10" i="35"/>
  <c r="AY10" i="35"/>
  <c r="AC10" i="35"/>
  <c r="AS10" i="35"/>
  <c r="AI10" i="35"/>
  <c r="AQ10" i="35"/>
  <c r="Q10" i="35"/>
  <c r="AG10" i="35"/>
  <c r="BC10" i="35"/>
  <c r="J41" i="28"/>
  <c r="J15" i="28"/>
  <c r="J38" i="28"/>
  <c r="J30" i="28"/>
  <c r="AE10" i="35"/>
  <c r="J12" i="28"/>
  <c r="AU10" i="35"/>
  <c r="AM10" i="35"/>
  <c r="AL10" i="35"/>
  <c r="G10" i="35"/>
  <c r="W10" i="35"/>
  <c r="O10" i="35"/>
  <c r="N10" i="35"/>
  <c r="J51" i="28"/>
  <c r="AT10" i="35"/>
  <c r="J54" i="28"/>
  <c r="J13" i="28"/>
  <c r="J31" i="28"/>
  <c r="J39" i="28"/>
  <c r="V10" i="35"/>
  <c r="D10" i="35"/>
  <c r="J42" i="28"/>
  <c r="AX10" i="35"/>
  <c r="AK10" i="35"/>
  <c r="BF10" i="35"/>
  <c r="J21" i="28"/>
  <c r="J57" i="28"/>
  <c r="Z10" i="35"/>
  <c r="M10" i="35"/>
  <c r="J10" i="35"/>
  <c r="AF10" i="35"/>
  <c r="AW10" i="35"/>
  <c r="Y10" i="35"/>
  <c r="J40" i="28"/>
  <c r="J22" i="28"/>
  <c r="H10" i="35"/>
  <c r="U10" i="35"/>
  <c r="J60" i="28"/>
  <c r="J25" i="28"/>
  <c r="J50" i="28"/>
  <c r="AH10" i="35"/>
  <c r="AP10" i="35"/>
  <c r="J29" i="28"/>
  <c r="R10" i="35"/>
  <c r="J10" i="28"/>
  <c r="N15" i="29"/>
  <c r="N45" i="29"/>
  <c r="AV5" i="35"/>
  <c r="N270" i="11"/>
  <c r="AL270" i="11"/>
  <c r="N282" i="11"/>
  <c r="AL282" i="11"/>
  <c r="O299" i="11"/>
  <c r="AM299" i="11"/>
  <c r="AV341" i="11"/>
  <c r="R352" i="11"/>
  <c r="AP352" i="11"/>
  <c r="H365" i="11"/>
  <c r="AF365" i="11"/>
  <c r="BD365" i="11"/>
  <c r="AE367" i="11"/>
  <c r="X422" i="11"/>
  <c r="AV422" i="11"/>
  <c r="AI12" i="22"/>
  <c r="BD9" i="35"/>
  <c r="BH9" i="35"/>
  <c r="AI9" i="35"/>
  <c r="K9" i="35"/>
  <c r="L9" i="35"/>
  <c r="AM9" i="35"/>
  <c r="AJ9" i="35"/>
  <c r="Y9" i="35"/>
  <c r="W9" i="35"/>
  <c r="AH9" i="35"/>
  <c r="I13" i="28"/>
  <c r="I37" i="28"/>
  <c r="I57" i="28"/>
  <c r="BG9" i="35"/>
  <c r="P9" i="35"/>
  <c r="AL9" i="35"/>
  <c r="J9" i="35"/>
  <c r="BC9" i="35"/>
  <c r="AU9" i="35"/>
  <c r="AT9" i="35"/>
  <c r="N9" i="35"/>
  <c r="I23" i="28"/>
  <c r="AD9" i="35"/>
  <c r="V9" i="35"/>
  <c r="U9" i="35"/>
  <c r="I42" i="28"/>
  <c r="I46" i="28"/>
  <c r="F9" i="35"/>
  <c r="BB9" i="35"/>
  <c r="AC9" i="35"/>
  <c r="E9" i="35"/>
  <c r="I48" i="28"/>
  <c r="I6" i="28"/>
  <c r="S9" i="35"/>
  <c r="AQ9" i="35"/>
  <c r="BF9" i="35"/>
  <c r="AS9" i="35"/>
  <c r="R9" i="35"/>
  <c r="I19" i="28"/>
  <c r="I59" i="28"/>
  <c r="AG9" i="35"/>
  <c r="AW9" i="35"/>
  <c r="T9" i="35"/>
  <c r="AP9" i="35"/>
  <c r="I29" i="28"/>
  <c r="I9" i="35"/>
  <c r="G9" i="35"/>
  <c r="Q9" i="35"/>
  <c r="AR9" i="35"/>
  <c r="I41" i="28"/>
  <c r="AZ9" i="35"/>
  <c r="AA9" i="35"/>
  <c r="X9" i="35"/>
  <c r="AB9" i="35"/>
  <c r="AX9" i="35"/>
  <c r="AK9" i="35"/>
  <c r="M9" i="35"/>
  <c r="I51" i="28"/>
  <c r="AO9" i="35"/>
  <c r="I39" i="28"/>
  <c r="BE9" i="35"/>
  <c r="AF9" i="35"/>
  <c r="H9" i="35"/>
  <c r="I10" i="28"/>
  <c r="I28" i="28"/>
  <c r="I52" i="28"/>
  <c r="O9" i="35"/>
  <c r="I22" i="28"/>
  <c r="AV9" i="35"/>
  <c r="AN9" i="35"/>
  <c r="I15" i="28"/>
  <c r="BA9" i="35"/>
  <c r="I54" i="28"/>
  <c r="AY9" i="35"/>
  <c r="I5" i="28"/>
  <c r="Z9" i="35"/>
  <c r="I44" i="28"/>
  <c r="I25" i="28"/>
  <c r="N37" i="29"/>
  <c r="N56" i="29"/>
  <c r="AW5" i="35"/>
  <c r="E160" i="11"/>
  <c r="AC160" i="11"/>
  <c r="BA160" i="11"/>
  <c r="Q166" i="11"/>
  <c r="AO166" i="11"/>
  <c r="I234" i="11"/>
  <c r="AG234" i="11"/>
  <c r="BE234" i="11"/>
  <c r="U252" i="11"/>
  <c r="AS252" i="11"/>
  <c r="O270" i="11"/>
  <c r="AM270" i="11"/>
  <c r="O282" i="11"/>
  <c r="AM282" i="11"/>
  <c r="P299" i="11"/>
  <c r="AN299" i="11"/>
  <c r="AW341" i="11"/>
  <c r="S352" i="11"/>
  <c r="AQ352" i="11"/>
  <c r="I365" i="11"/>
  <c r="AG365" i="11"/>
  <c r="BE365" i="11"/>
  <c r="AQ367" i="11"/>
  <c r="Y422" i="11"/>
  <c r="AW422" i="11"/>
  <c r="S425" i="11"/>
  <c r="AU425" i="11"/>
  <c r="P433" i="11"/>
  <c r="AR433" i="11"/>
  <c r="AB439" i="11"/>
  <c r="BB439" i="11"/>
  <c r="W440" i="11"/>
  <c r="AW440" i="11"/>
  <c r="AW446" i="11"/>
  <c r="AI102" i="22"/>
  <c r="N24" i="29"/>
  <c r="N58" i="29"/>
  <c r="K52" i="28"/>
  <c r="H5" i="35"/>
  <c r="J234" i="11"/>
  <c r="AH234" i="11"/>
  <c r="BF234" i="11"/>
  <c r="V252" i="11"/>
  <c r="AT252" i="11"/>
  <c r="P270" i="11"/>
  <c r="AN270" i="11"/>
  <c r="P282" i="11"/>
  <c r="AN282" i="11"/>
  <c r="Q299" i="11"/>
  <c r="AO299" i="11"/>
  <c r="AX341" i="11"/>
  <c r="T352" i="11"/>
  <c r="AR352" i="11"/>
  <c r="J365" i="11"/>
  <c r="AH365" i="11"/>
  <c r="BF365" i="11"/>
  <c r="AT367" i="11"/>
  <c r="Z422" i="11"/>
  <c r="AX422" i="11"/>
  <c r="R433" i="11"/>
  <c r="AT433" i="11"/>
  <c r="AC439" i="11"/>
  <c r="X440" i="11"/>
  <c r="AX440" i="11"/>
  <c r="BG442" i="11"/>
  <c r="AI442" i="11"/>
  <c r="K442" i="11"/>
  <c r="AW442" i="11"/>
  <c r="Y442" i="11"/>
  <c r="E7" i="35"/>
  <c r="AY7" i="35"/>
  <c r="AU7" i="35"/>
  <c r="W7" i="35"/>
  <c r="AA7" i="35"/>
  <c r="AZ7" i="35"/>
  <c r="G25" i="28"/>
  <c r="G43" i="28"/>
  <c r="G46" i="28"/>
  <c r="AV7" i="35"/>
  <c r="AP7" i="35"/>
  <c r="BC7" i="35"/>
  <c r="BA7" i="35"/>
  <c r="G57" i="28"/>
  <c r="X7" i="35"/>
  <c r="R7" i="35"/>
  <c r="K7" i="35"/>
  <c r="AE7" i="35"/>
  <c r="AC7" i="35"/>
  <c r="AR7" i="35"/>
  <c r="G7" i="35"/>
  <c r="G22" i="28"/>
  <c r="G59" i="28"/>
  <c r="T7" i="35"/>
  <c r="AO7" i="35"/>
  <c r="AM7" i="35"/>
  <c r="G52" i="28"/>
  <c r="G60" i="28"/>
  <c r="Q7" i="35"/>
  <c r="O7" i="35"/>
  <c r="G29" i="28"/>
  <c r="BD7" i="35"/>
  <c r="AF7" i="35"/>
  <c r="H7" i="35"/>
  <c r="AD7" i="35"/>
  <c r="AT7" i="35"/>
  <c r="AL7" i="35"/>
  <c r="AK7" i="35"/>
  <c r="F7" i="35"/>
  <c r="G13" i="28"/>
  <c r="V7" i="35"/>
  <c r="N7" i="35"/>
  <c r="M7" i="35"/>
  <c r="AS7" i="35"/>
  <c r="G40" i="28"/>
  <c r="G35" i="28"/>
  <c r="U7" i="35"/>
  <c r="S7" i="35"/>
  <c r="G39" i="28"/>
  <c r="G31" i="28"/>
  <c r="BF7" i="35"/>
  <c r="AN7" i="35"/>
  <c r="BH7" i="35"/>
  <c r="J7" i="35"/>
  <c r="G44" i="28"/>
  <c r="G51" i="28"/>
  <c r="AW7" i="35"/>
  <c r="P7" i="35"/>
  <c r="AJ7" i="35"/>
  <c r="AX7" i="35"/>
  <c r="Y7" i="35"/>
  <c r="L7" i="35"/>
  <c r="AG7" i="35"/>
  <c r="Z7" i="35"/>
  <c r="D7" i="35"/>
  <c r="I7" i="35"/>
  <c r="G10" i="28"/>
  <c r="G27" i="28"/>
  <c r="G19" i="28"/>
  <c r="G15" i="28"/>
  <c r="G28" i="28"/>
  <c r="G41" i="28"/>
  <c r="G33" i="28"/>
  <c r="G54" i="28"/>
  <c r="G30" i="28"/>
  <c r="AH7" i="35"/>
  <c r="BB7" i="35"/>
  <c r="G12" i="28"/>
  <c r="G5" i="28"/>
  <c r="G6" i="28"/>
  <c r="BE7" i="35"/>
  <c r="G42" i="28"/>
  <c r="N22" i="29"/>
  <c r="N57" i="29"/>
  <c r="I30" i="28"/>
  <c r="AF5" i="35"/>
  <c r="K234" i="11"/>
  <c r="AI234" i="11"/>
  <c r="BG234" i="11"/>
  <c r="W252" i="11"/>
  <c r="AU252" i="11"/>
  <c r="Q270" i="11"/>
  <c r="AO270" i="11"/>
  <c r="Q282" i="11"/>
  <c r="AO282" i="11"/>
  <c r="R299" i="11"/>
  <c r="AP299" i="11"/>
  <c r="AY341" i="11"/>
  <c r="U352" i="11"/>
  <c r="AS352" i="11"/>
  <c r="K365" i="11"/>
  <c r="AI365" i="11"/>
  <c r="BG365" i="11"/>
  <c r="BA367" i="11"/>
  <c r="AA422" i="11"/>
  <c r="AY422" i="11"/>
  <c r="AI307" i="22"/>
  <c r="G13" i="29" s="1"/>
  <c r="AO439" i="11"/>
  <c r="Q439" i="11"/>
  <c r="BC439" i="11"/>
  <c r="AE439" i="11"/>
  <c r="G439" i="11"/>
  <c r="J6" i="35"/>
  <c r="H160" i="11"/>
  <c r="AF160" i="11"/>
  <c r="BD160" i="11"/>
  <c r="T166" i="11"/>
  <c r="AR166" i="11"/>
  <c r="L234" i="11"/>
  <c r="AJ234" i="11"/>
  <c r="BH234" i="11"/>
  <c r="X252" i="11"/>
  <c r="AV252" i="11"/>
  <c r="R270" i="11"/>
  <c r="AP270" i="11"/>
  <c r="R282" i="11"/>
  <c r="AP282" i="11"/>
  <c r="S299" i="11"/>
  <c r="AQ299" i="11"/>
  <c r="BG341" i="11"/>
  <c r="V352" i="11"/>
  <c r="AT352" i="11"/>
  <c r="L365" i="11"/>
  <c r="AJ365" i="11"/>
  <c r="BH365" i="11"/>
  <c r="BB367" i="11"/>
  <c r="AB422" i="11"/>
  <c r="AZ422" i="11"/>
  <c r="T433" i="11"/>
  <c r="AV433" i="11"/>
  <c r="E439" i="11"/>
  <c r="AF439" i="11"/>
  <c r="BF439" i="11"/>
  <c r="M58" i="29"/>
  <c r="N34" i="29"/>
  <c r="N59" i="29"/>
  <c r="AH6" i="35"/>
  <c r="M234" i="11"/>
  <c r="AK234" i="11"/>
  <c r="BI234" i="11"/>
  <c r="Y252" i="11"/>
  <c r="AW252" i="11"/>
  <c r="S270" i="11"/>
  <c r="AQ270" i="11"/>
  <c r="S282" i="11"/>
  <c r="AQ282" i="11"/>
  <c r="T299" i="11"/>
  <c r="AR299" i="11"/>
  <c r="BI341" i="11"/>
  <c r="W352" i="11"/>
  <c r="AU352" i="11"/>
  <c r="M365" i="11"/>
  <c r="AK365" i="11"/>
  <c r="BI365" i="11"/>
  <c r="E422" i="11"/>
  <c r="AC422" i="11"/>
  <c r="BA422" i="11"/>
  <c r="AI250" i="22"/>
  <c r="AY438" i="11"/>
  <c r="X438" i="11"/>
  <c r="AL438" i="11"/>
  <c r="K438" i="11"/>
  <c r="N23" i="29"/>
  <c r="J160" i="11"/>
  <c r="AH160" i="11"/>
  <c r="BF160" i="11"/>
  <c r="V166" i="11"/>
  <c r="AT166" i="11"/>
  <c r="N234" i="11"/>
  <c r="AL234" i="11"/>
  <c r="Z252" i="11"/>
  <c r="AX252" i="11"/>
  <c r="T270" i="11"/>
  <c r="AR270" i="11"/>
  <c r="T282" i="11"/>
  <c r="AR282" i="11"/>
  <c r="U299" i="11"/>
  <c r="AS299" i="11"/>
  <c r="X352" i="11"/>
  <c r="AV352" i="11"/>
  <c r="N365" i="11"/>
  <c r="AL365" i="11"/>
  <c r="F422" i="11"/>
  <c r="AD422" i="11"/>
  <c r="BB422" i="11"/>
  <c r="Z425" i="11"/>
  <c r="BD425" i="11"/>
  <c r="W433" i="11"/>
  <c r="AX433" i="11"/>
  <c r="G438" i="11"/>
  <c r="AJ438" i="11"/>
  <c r="H439" i="11"/>
  <c r="AH439" i="11"/>
  <c r="BH439" i="11"/>
  <c r="AB440" i="11"/>
  <c r="BB440" i="11"/>
  <c r="AO443" i="11"/>
  <c r="AI440" i="22"/>
  <c r="L32" i="29"/>
  <c r="N31" i="29"/>
  <c r="J28" i="28"/>
  <c r="K160" i="11"/>
  <c r="AI160" i="11"/>
  <c r="BG160" i="11"/>
  <c r="W166" i="11"/>
  <c r="AU166" i="11"/>
  <c r="O234" i="11"/>
  <c r="AM234" i="11"/>
  <c r="AA252" i="11"/>
  <c r="AY252" i="11"/>
  <c r="U270" i="11"/>
  <c r="AS270" i="11"/>
  <c r="U282" i="11"/>
  <c r="AS282" i="11"/>
  <c r="V299" i="11"/>
  <c r="AT299" i="11"/>
  <c r="Y352" i="11"/>
  <c r="AW352" i="11"/>
  <c r="O365" i="11"/>
  <c r="AM365" i="11"/>
  <c r="G422" i="11"/>
  <c r="AE422" i="11"/>
  <c r="BC422" i="11"/>
  <c r="AB425" i="11"/>
  <c r="BE425" i="11"/>
  <c r="X433" i="11"/>
  <c r="AY433" i="11"/>
  <c r="H438" i="11"/>
  <c r="AK438" i="11"/>
  <c r="I439" i="11"/>
  <c r="AI439" i="11"/>
  <c r="BI439" i="11"/>
  <c r="AC440" i="11"/>
  <c r="BD440" i="11"/>
  <c r="AI231" i="22"/>
  <c r="N4" i="29" s="1"/>
  <c r="AI276" i="22"/>
  <c r="H12" i="29" s="1"/>
  <c r="W444" i="11"/>
  <c r="AT444" i="11"/>
  <c r="L444" i="11"/>
  <c r="AQ438" i="11"/>
  <c r="L24" i="29"/>
  <c r="N27" i="29"/>
  <c r="N25" i="28"/>
  <c r="P234" i="11"/>
  <c r="AN234" i="11"/>
  <c r="AB252" i="11"/>
  <c r="AZ252" i="11"/>
  <c r="V270" i="11"/>
  <c r="AT270" i="11"/>
  <c r="V282" i="11"/>
  <c r="AT282" i="11"/>
  <c r="W299" i="11"/>
  <c r="AU299" i="11"/>
  <c r="Z352" i="11"/>
  <c r="AX352" i="11"/>
  <c r="P365" i="11"/>
  <c r="AN365" i="11"/>
  <c r="H422" i="11"/>
  <c r="AF422" i="11"/>
  <c r="BD422" i="11"/>
  <c r="AI13" i="22"/>
  <c r="BC445" i="11"/>
  <c r="AE445" i="11"/>
  <c r="G445" i="11"/>
  <c r="AS445" i="11"/>
  <c r="U445" i="11"/>
  <c r="AL429" i="11"/>
  <c r="N429" i="11"/>
  <c r="H51" i="29"/>
  <c r="AP432" i="11"/>
  <c r="R432" i="11"/>
  <c r="AI245" i="22"/>
  <c r="I436" i="11"/>
  <c r="AI265" i="22"/>
  <c r="J8" i="29" s="1"/>
  <c r="N60" i="29"/>
  <c r="N32" i="29"/>
  <c r="M160" i="11"/>
  <c r="AK160" i="11"/>
  <c r="BI160" i="11"/>
  <c r="Y166" i="11"/>
  <c r="AW166" i="11"/>
  <c r="Q234" i="11"/>
  <c r="AO234" i="11"/>
  <c r="E252" i="11"/>
  <c r="AC252" i="11"/>
  <c r="BA252" i="11"/>
  <c r="W270" i="11"/>
  <c r="AU270" i="11"/>
  <c r="W282" i="11"/>
  <c r="AU282" i="11"/>
  <c r="X299" i="11"/>
  <c r="AV299" i="11"/>
  <c r="AA352" i="11"/>
  <c r="AY352" i="11"/>
  <c r="Q365" i="11"/>
  <c r="AO365" i="11"/>
  <c r="I422" i="11"/>
  <c r="AG422" i="11"/>
  <c r="BE422" i="11"/>
  <c r="AE425" i="11"/>
  <c r="BG425" i="11"/>
  <c r="Z433" i="11"/>
  <c r="BA433" i="11"/>
  <c r="J438" i="11"/>
  <c r="AP438" i="11"/>
  <c r="K439" i="11"/>
  <c r="AK439" i="11"/>
  <c r="E440" i="11"/>
  <c r="AF440" i="11"/>
  <c r="BF440" i="11"/>
  <c r="AN435" i="11"/>
  <c r="P435" i="11"/>
  <c r="N9" i="29"/>
  <c r="N26" i="29"/>
  <c r="N160" i="11"/>
  <c r="AL160" i="11"/>
  <c r="Z166" i="11"/>
  <c r="AX166" i="11"/>
  <c r="R234" i="11"/>
  <c r="AP234" i="11"/>
  <c r="F252" i="11"/>
  <c r="AD252" i="11"/>
  <c r="BB252" i="11"/>
  <c r="X270" i="11"/>
  <c r="X282" i="11"/>
  <c r="AV282" i="11"/>
  <c r="Y299" i="11"/>
  <c r="AW299" i="11"/>
  <c r="AB352" i="11"/>
  <c r="AZ352" i="11"/>
  <c r="R365" i="11"/>
  <c r="AP365" i="11"/>
  <c r="J422" i="11"/>
  <c r="AH422" i="11"/>
  <c r="BF422" i="11"/>
  <c r="AF425" i="11"/>
  <c r="BH425" i="11"/>
  <c r="AA433" i="11"/>
  <c r="BB433" i="11"/>
  <c r="L438" i="11"/>
  <c r="AR438" i="11"/>
  <c r="L439" i="11"/>
  <c r="AL439" i="11"/>
  <c r="F440" i="11"/>
  <c r="AG440" i="11"/>
  <c r="BG440" i="11"/>
  <c r="AU420" i="11"/>
  <c r="R446" i="11"/>
  <c r="N7" i="29"/>
  <c r="N40" i="29"/>
  <c r="I60" i="28"/>
  <c r="G13" i="35"/>
  <c r="AE13" i="35"/>
  <c r="AT13" i="35"/>
  <c r="AS433" i="11"/>
  <c r="H13" i="35"/>
  <c r="W13" i="35"/>
  <c r="N13" i="35"/>
  <c r="AZ13" i="35"/>
  <c r="AJ13" i="35"/>
  <c r="AV13" i="35"/>
  <c r="U13" i="35"/>
  <c r="F13" i="35"/>
  <c r="BH13" i="35"/>
  <c r="AS13" i="35"/>
  <c r="X13" i="35"/>
  <c r="Q13" i="35"/>
  <c r="AI13" i="35"/>
  <c r="D13" i="35"/>
  <c r="AB13" i="35"/>
  <c r="T13" i="35"/>
  <c r="BB13" i="35"/>
  <c r="AG13" i="35"/>
  <c r="BG13" i="35"/>
  <c r="I13" i="35"/>
  <c r="P13" i="35"/>
  <c r="BD13" i="35"/>
  <c r="BE13" i="35"/>
  <c r="K13" i="35"/>
  <c r="L13" i="35"/>
  <c r="BA13" i="35"/>
  <c r="AN13" i="35"/>
  <c r="E13" i="35"/>
  <c r="AQ13" i="35"/>
  <c r="AA13" i="35"/>
  <c r="AY13" i="35"/>
  <c r="AO13" i="35"/>
  <c r="S13" i="35"/>
  <c r="AC13" i="35"/>
  <c r="AR13" i="35"/>
  <c r="AK13" i="35"/>
  <c r="BF13" i="35"/>
  <c r="M13" i="35"/>
  <c r="AH13" i="35"/>
  <c r="AX13" i="35"/>
  <c r="J13" i="35"/>
  <c r="Z13" i="35"/>
  <c r="AW13" i="35"/>
  <c r="Y13" i="35"/>
  <c r="AP13" i="35"/>
  <c r="R13" i="35"/>
  <c r="BC13" i="35"/>
  <c r="AD13" i="35"/>
  <c r="AU13" i="35"/>
  <c r="AM13" i="35"/>
  <c r="V13" i="35"/>
  <c r="AL13" i="35"/>
  <c r="O13" i="35"/>
  <c r="D61" i="29"/>
  <c r="G53" i="29"/>
  <c r="C172" i="11"/>
  <c r="H56" i="29"/>
  <c r="H34" i="29"/>
  <c r="C316" i="11"/>
  <c r="J24" i="29"/>
  <c r="K24" i="29"/>
  <c r="I8" i="29"/>
  <c r="C39" i="11"/>
  <c r="J341" i="11"/>
  <c r="AH341" i="11"/>
  <c r="BF341" i="11"/>
  <c r="Z349" i="11"/>
  <c r="AX349" i="11"/>
  <c r="N367" i="11"/>
  <c r="AL367" i="11"/>
  <c r="F375" i="11"/>
  <c r="AD375" i="11"/>
  <c r="BB375" i="11"/>
  <c r="Z397" i="11"/>
  <c r="AX397" i="11"/>
  <c r="M423" i="11"/>
  <c r="AN423" i="11"/>
  <c r="AE436" i="11"/>
  <c r="I49" i="29"/>
  <c r="C80" i="11"/>
  <c r="O367" i="11"/>
  <c r="AM367" i="11"/>
  <c r="N423" i="11"/>
  <c r="AO423" i="11"/>
  <c r="AF436" i="11"/>
  <c r="AI394" i="22"/>
  <c r="G15" i="29" s="1"/>
  <c r="AI413" i="22"/>
  <c r="J26" i="29" s="1"/>
  <c r="AU416" i="11"/>
  <c r="W416" i="11"/>
  <c r="AS416" i="11"/>
  <c r="U416" i="11"/>
  <c r="AQ416" i="11"/>
  <c r="S416" i="11"/>
  <c r="J50" i="29"/>
  <c r="L341" i="11"/>
  <c r="AJ341" i="11"/>
  <c r="BH341" i="11"/>
  <c r="BB344" i="11"/>
  <c r="AB349" i="11"/>
  <c r="AZ349" i="11"/>
  <c r="P367" i="11"/>
  <c r="AN367" i="11"/>
  <c r="H375" i="11"/>
  <c r="AF375" i="11"/>
  <c r="BD375" i="11"/>
  <c r="AB397" i="11"/>
  <c r="AZ397" i="11"/>
  <c r="K416" i="11"/>
  <c r="AL416" i="11"/>
  <c r="O423" i="11"/>
  <c r="AP423" i="11"/>
  <c r="AG436" i="11"/>
  <c r="K57" i="29"/>
  <c r="J56" i="29"/>
  <c r="AI408" i="22"/>
  <c r="I7" i="29" s="1"/>
  <c r="AW411" i="11"/>
  <c r="Y411" i="11"/>
  <c r="AU411" i="11"/>
  <c r="W411" i="11"/>
  <c r="AS411" i="11"/>
  <c r="U411" i="11"/>
  <c r="H54" i="29"/>
  <c r="K36" i="29"/>
  <c r="L10" i="29"/>
  <c r="C97" i="11"/>
  <c r="E349" i="11"/>
  <c r="AC349" i="11"/>
  <c r="BA349" i="11"/>
  <c r="Q367" i="11"/>
  <c r="AO367" i="11"/>
  <c r="I375" i="11"/>
  <c r="AG375" i="11"/>
  <c r="BE375" i="11"/>
  <c r="E397" i="11"/>
  <c r="AC397" i="11"/>
  <c r="BA397" i="11"/>
  <c r="P423" i="11"/>
  <c r="AQ423" i="11"/>
  <c r="AJ436" i="11"/>
  <c r="G54" i="29"/>
  <c r="J36" i="29"/>
  <c r="N341" i="11"/>
  <c r="AL341" i="11"/>
  <c r="H344" i="11"/>
  <c r="AF344" i="11"/>
  <c r="BD344" i="11"/>
  <c r="F349" i="11"/>
  <c r="AD349" i="11"/>
  <c r="BB349" i="11"/>
  <c r="R367" i="11"/>
  <c r="AP367" i="11"/>
  <c r="J375" i="11"/>
  <c r="AH375" i="11"/>
  <c r="BF375" i="11"/>
  <c r="F397" i="11"/>
  <c r="AD397" i="11"/>
  <c r="BB397" i="11"/>
  <c r="M416" i="11"/>
  <c r="AN416" i="11"/>
  <c r="Q423" i="11"/>
  <c r="AR423" i="11"/>
  <c r="E436" i="11"/>
  <c r="AO436" i="11"/>
  <c r="AR446" i="11"/>
  <c r="G36" i="29"/>
  <c r="K31" i="29"/>
  <c r="C54" i="11"/>
  <c r="K23" i="29"/>
  <c r="P341" i="11"/>
  <c r="AN341" i="11"/>
  <c r="J344" i="11"/>
  <c r="AH344" i="11"/>
  <c r="BF344" i="11"/>
  <c r="H349" i="11"/>
  <c r="AF349" i="11"/>
  <c r="BD349" i="11"/>
  <c r="C366" i="11"/>
  <c r="T367" i="11"/>
  <c r="AR367" i="11"/>
  <c r="L375" i="11"/>
  <c r="AJ375" i="11"/>
  <c r="BH375" i="11"/>
  <c r="H397" i="11"/>
  <c r="AF397" i="11"/>
  <c r="BD397" i="11"/>
  <c r="O416" i="11"/>
  <c r="AP416" i="11"/>
  <c r="S423" i="11"/>
  <c r="AV423" i="11"/>
  <c r="G436" i="11"/>
  <c r="AQ436" i="11"/>
  <c r="AT446" i="11"/>
  <c r="L58" i="29"/>
  <c r="K25" i="29"/>
  <c r="K11" i="29"/>
  <c r="Q341" i="11"/>
  <c r="AO341" i="11"/>
  <c r="K344" i="11"/>
  <c r="AI344" i="11"/>
  <c r="BG344" i="11"/>
  <c r="C347" i="11"/>
  <c r="I349" i="11"/>
  <c r="AG349" i="11"/>
  <c r="BE349" i="11"/>
  <c r="U367" i="11"/>
  <c r="AS367" i="11"/>
  <c r="M375" i="11"/>
  <c r="AK375" i="11"/>
  <c r="BI375" i="11"/>
  <c r="I397" i="11"/>
  <c r="AG397" i="11"/>
  <c r="BE397" i="11"/>
  <c r="P416" i="11"/>
  <c r="AR416" i="11"/>
  <c r="T423" i="11"/>
  <c r="AX423" i="11"/>
  <c r="H436" i="11"/>
  <c r="AR436" i="11"/>
  <c r="AV446" i="11"/>
  <c r="K58" i="29"/>
  <c r="K42" i="29"/>
  <c r="C220" i="11"/>
  <c r="C268" i="11"/>
  <c r="C292" i="11"/>
  <c r="C335" i="11"/>
  <c r="I58" i="29"/>
  <c r="G25" i="29"/>
  <c r="J42" i="29"/>
  <c r="C244" i="11"/>
  <c r="S341" i="11"/>
  <c r="AQ341" i="11"/>
  <c r="M344" i="11"/>
  <c r="AK344" i="11"/>
  <c r="BI344" i="11"/>
  <c r="K349" i="11"/>
  <c r="AI349" i="11"/>
  <c r="BG349" i="11"/>
  <c r="W367" i="11"/>
  <c r="AU367" i="11"/>
  <c r="O375" i="11"/>
  <c r="AM375" i="11"/>
  <c r="C388" i="11"/>
  <c r="K397" i="11"/>
  <c r="AI397" i="11"/>
  <c r="BG397" i="11"/>
  <c r="R416" i="11"/>
  <c r="AV416" i="11"/>
  <c r="X423" i="11"/>
  <c r="AZ423" i="11"/>
  <c r="L436" i="11"/>
  <c r="AT436" i="11"/>
  <c r="H446" i="11"/>
  <c r="AX446" i="11"/>
  <c r="AI344" i="22"/>
  <c r="K30" i="29" s="1"/>
  <c r="AZ430" i="11"/>
  <c r="AB430" i="11"/>
  <c r="AY430" i="11"/>
  <c r="AA430" i="11"/>
  <c r="AW430" i="11"/>
  <c r="Y430" i="11"/>
  <c r="AU430" i="11"/>
  <c r="W430" i="11"/>
  <c r="AT430" i="11"/>
  <c r="V430" i="11"/>
  <c r="AI297" i="22"/>
  <c r="M17" i="29" s="1"/>
  <c r="G42" i="29"/>
  <c r="J12" i="29"/>
  <c r="C258" i="11"/>
  <c r="T341" i="11"/>
  <c r="AR341" i="11"/>
  <c r="N344" i="11"/>
  <c r="AL344" i="11"/>
  <c r="L349" i="11"/>
  <c r="AJ349" i="11"/>
  <c r="BH349" i="11"/>
  <c r="X367" i="11"/>
  <c r="AV367" i="11"/>
  <c r="P375" i="11"/>
  <c r="AN375" i="11"/>
  <c r="L397" i="11"/>
  <c r="AJ397" i="11"/>
  <c r="BH397" i="11"/>
  <c r="T416" i="11"/>
  <c r="AW416" i="11"/>
  <c r="Z423" i="11"/>
  <c r="BA423" i="11"/>
  <c r="Q436" i="11"/>
  <c r="AU436" i="11"/>
  <c r="N446" i="11"/>
  <c r="AY446" i="11"/>
  <c r="M20" i="29"/>
  <c r="U341" i="11"/>
  <c r="AS341" i="11"/>
  <c r="O344" i="11"/>
  <c r="AM344" i="11"/>
  <c r="M349" i="11"/>
  <c r="AK349" i="11"/>
  <c r="BI349" i="11"/>
  <c r="C364" i="11"/>
  <c r="Y367" i="11"/>
  <c r="AW367" i="11"/>
  <c r="Q375" i="11"/>
  <c r="AO375" i="11"/>
  <c r="M397" i="11"/>
  <c r="AK397" i="11"/>
  <c r="BI397" i="11"/>
  <c r="C412" i="11"/>
  <c r="V416" i="11"/>
  <c r="AX416" i="11"/>
  <c r="AA423" i="11"/>
  <c r="BB423" i="11"/>
  <c r="R436" i="11"/>
  <c r="AV436" i="11"/>
  <c r="O446" i="11"/>
  <c r="BD446" i="11"/>
  <c r="AI17" i="22"/>
  <c r="L42" i="29" s="1"/>
  <c r="L25" i="29"/>
  <c r="J40" i="29"/>
  <c r="J21" i="29"/>
  <c r="J49" i="29"/>
  <c r="J47" i="29"/>
  <c r="AI41" i="22"/>
  <c r="K13" i="29" s="1"/>
  <c r="K8" i="29"/>
  <c r="K33" i="29"/>
  <c r="AI5" i="22"/>
  <c r="F50" i="29" s="1"/>
  <c r="J20" i="29"/>
  <c r="H33" i="29"/>
  <c r="C196" i="11"/>
  <c r="C215" i="11"/>
  <c r="C218" i="11"/>
  <c r="C340" i="11"/>
  <c r="V341" i="11"/>
  <c r="AT341" i="11"/>
  <c r="P344" i="11"/>
  <c r="AN344" i="11"/>
  <c r="N349" i="11"/>
  <c r="AL349" i="11"/>
  <c r="Z367" i="11"/>
  <c r="AX367" i="11"/>
  <c r="R375" i="11"/>
  <c r="AP375" i="11"/>
  <c r="N397" i="11"/>
  <c r="AL397" i="11"/>
  <c r="X416" i="11"/>
  <c r="AY416" i="11"/>
  <c r="AB423" i="11"/>
  <c r="BC423" i="11"/>
  <c r="S436" i="11"/>
  <c r="AW436" i="11"/>
  <c r="P446" i="11"/>
  <c r="AI422" i="22"/>
  <c r="K14" i="29" s="1"/>
  <c r="BA425" i="11"/>
  <c r="AC425" i="11"/>
  <c r="E425" i="11"/>
  <c r="AY425" i="11"/>
  <c r="AA425" i="11"/>
  <c r="AW425" i="11"/>
  <c r="Y425" i="11"/>
  <c r="AV425" i="11"/>
  <c r="X425" i="11"/>
  <c r="L61" i="29"/>
  <c r="J45" i="29"/>
  <c r="G29" i="29"/>
  <c r="G33" i="29"/>
  <c r="C183" i="11"/>
  <c r="Q332" i="11"/>
  <c r="AO332" i="11"/>
  <c r="W341" i="11"/>
  <c r="AU341" i="11"/>
  <c r="Q344" i="11"/>
  <c r="AO344" i="11"/>
  <c r="O349" i="11"/>
  <c r="AM349" i="11"/>
  <c r="AA367" i="11"/>
  <c r="AY367" i="11"/>
  <c r="S375" i="11"/>
  <c r="AQ375" i="11"/>
  <c r="O397" i="11"/>
  <c r="AM397" i="11"/>
  <c r="Y416" i="11"/>
  <c r="AZ416" i="11"/>
  <c r="T420" i="11"/>
  <c r="AC423" i="11"/>
  <c r="BD423" i="11"/>
  <c r="AA428" i="11"/>
  <c r="T436" i="11"/>
  <c r="AX436" i="11"/>
  <c r="K61" i="29"/>
  <c r="I45" i="29"/>
  <c r="G34" i="29"/>
  <c r="C148" i="11"/>
  <c r="C163" i="11"/>
  <c r="C165" i="11"/>
  <c r="AB367" i="11"/>
  <c r="AZ367" i="11"/>
  <c r="T375" i="11"/>
  <c r="AR375" i="11"/>
  <c r="AD423" i="11"/>
  <c r="BE423" i="11"/>
  <c r="U436" i="11"/>
  <c r="AY436" i="11"/>
  <c r="H58" i="29"/>
  <c r="AQ402" i="11"/>
  <c r="S402" i="11"/>
  <c r="AI399" i="22"/>
  <c r="AI365" i="22"/>
  <c r="BC420" i="11"/>
  <c r="AE420" i="11"/>
  <c r="G420" i="11"/>
  <c r="BA420" i="11"/>
  <c r="AC420" i="11"/>
  <c r="E420" i="11"/>
  <c r="AY420" i="11"/>
  <c r="AA420" i="11"/>
  <c r="J61" i="29"/>
  <c r="M28" i="29"/>
  <c r="C124" i="11"/>
  <c r="AE423" i="11"/>
  <c r="V436" i="11"/>
  <c r="AV428" i="11"/>
  <c r="AU428" i="11"/>
  <c r="W428" i="11"/>
  <c r="AS428" i="11"/>
  <c r="U428" i="11"/>
  <c r="AQ428" i="11"/>
  <c r="S428" i="11"/>
  <c r="AP428" i="11"/>
  <c r="R428" i="11"/>
  <c r="AI155" i="22"/>
  <c r="AI443" i="22"/>
  <c r="BH446" i="11"/>
  <c r="AJ446" i="11"/>
  <c r="L446" i="11"/>
  <c r="BG446" i="11"/>
  <c r="AI446" i="11"/>
  <c r="K446" i="11"/>
  <c r="BF446" i="11"/>
  <c r="AH446" i="11"/>
  <c r="J446" i="11"/>
  <c r="BE446" i="11"/>
  <c r="AG446" i="11"/>
  <c r="I446" i="11"/>
  <c r="BC446" i="11"/>
  <c r="AE446" i="11"/>
  <c r="G446" i="11"/>
  <c r="BB446" i="11"/>
  <c r="AD446" i="11"/>
  <c r="F446" i="11"/>
  <c r="BA446" i="11"/>
  <c r="AC446" i="11"/>
  <c r="E446" i="11"/>
  <c r="AZ446" i="11"/>
  <c r="AB446" i="11"/>
  <c r="AU446" i="11"/>
  <c r="W446" i="11"/>
  <c r="AO446" i="11"/>
  <c r="Q446" i="11"/>
  <c r="BI446" i="11"/>
  <c r="AK446" i="11"/>
  <c r="M446" i="11"/>
  <c r="I61" i="29"/>
  <c r="G45" i="29"/>
  <c r="J28" i="29"/>
  <c r="C107" i="11"/>
  <c r="AN436" i="11"/>
  <c r="P436" i="11"/>
  <c r="AM436" i="11"/>
  <c r="O436" i="11"/>
  <c r="AL436" i="11"/>
  <c r="N436" i="11"/>
  <c r="BI436" i="11"/>
  <c r="AK436" i="11"/>
  <c r="M436" i="11"/>
  <c r="AI433" i="22"/>
  <c r="BG436" i="11"/>
  <c r="AI436" i="11"/>
  <c r="K436" i="11"/>
  <c r="BF436" i="11"/>
  <c r="AH436" i="11"/>
  <c r="J436" i="11"/>
  <c r="G61" i="29"/>
  <c r="J43" i="29"/>
  <c r="C96" i="11"/>
  <c r="I52" i="29"/>
  <c r="I60" i="29"/>
  <c r="I56" i="29"/>
  <c r="AI259" i="22"/>
  <c r="I48" i="29"/>
  <c r="I59" i="29"/>
  <c r="I44" i="29"/>
  <c r="I43" i="29"/>
  <c r="I28" i="29"/>
  <c r="I20" i="29"/>
  <c r="I50" i="29"/>
  <c r="I31" i="29"/>
  <c r="I55" i="29"/>
  <c r="I42" i="29"/>
  <c r="I36" i="29"/>
  <c r="I34" i="29"/>
  <c r="I33" i="29"/>
  <c r="I25" i="29"/>
  <c r="I53" i="29"/>
  <c r="I40" i="29"/>
  <c r="I21" i="29"/>
  <c r="I35" i="29"/>
  <c r="I37" i="29"/>
  <c r="I29" i="29"/>
  <c r="I54" i="29"/>
  <c r="AI420" i="22"/>
  <c r="H31" i="29" s="1"/>
  <c r="AW423" i="11"/>
  <c r="Y423" i="11"/>
  <c r="AU423" i="11"/>
  <c r="W423" i="11"/>
  <c r="AS423" i="11"/>
  <c r="U423" i="11"/>
  <c r="M9" i="29"/>
  <c r="AB341" i="11"/>
  <c r="AZ341" i="11"/>
  <c r="V344" i="11"/>
  <c r="AT344" i="11"/>
  <c r="T349" i="11"/>
  <c r="AR349" i="11"/>
  <c r="H367" i="11"/>
  <c r="AF367" i="11"/>
  <c r="BD367" i="11"/>
  <c r="X375" i="11"/>
  <c r="AV375" i="11"/>
  <c r="T397" i="11"/>
  <c r="AR397" i="11"/>
  <c r="AD416" i="11"/>
  <c r="BE416" i="11"/>
  <c r="G423" i="11"/>
  <c r="AH423" i="11"/>
  <c r="BI423" i="11"/>
  <c r="Y436" i="11"/>
  <c r="BC436" i="11"/>
  <c r="X446" i="11"/>
  <c r="AI230" i="22"/>
  <c r="BI405" i="11"/>
  <c r="AK405" i="11"/>
  <c r="M405" i="11"/>
  <c r="BG405" i="11"/>
  <c r="AI405" i="11"/>
  <c r="K405" i="11"/>
  <c r="BE405" i="11"/>
  <c r="AG405" i="11"/>
  <c r="I405" i="11"/>
  <c r="L53" i="29"/>
  <c r="I47" i="29"/>
  <c r="L27" i="29"/>
  <c r="L9" i="29"/>
  <c r="C45" i="11"/>
  <c r="P256" i="11"/>
  <c r="AN256" i="11"/>
  <c r="N309" i="11"/>
  <c r="AL309" i="11"/>
  <c r="W332" i="11"/>
  <c r="AU332" i="11"/>
  <c r="E341" i="11"/>
  <c r="AC341" i="11"/>
  <c r="BA341" i="11"/>
  <c r="W344" i="11"/>
  <c r="AU344" i="11"/>
  <c r="U349" i="11"/>
  <c r="AS349" i="11"/>
  <c r="I367" i="11"/>
  <c r="AG367" i="11"/>
  <c r="BE367" i="11"/>
  <c r="Y375" i="11"/>
  <c r="AW375" i="11"/>
  <c r="U385" i="11"/>
  <c r="AS385" i="11"/>
  <c r="S390" i="11"/>
  <c r="AQ390" i="11"/>
  <c r="U397" i="11"/>
  <c r="AS397" i="11"/>
  <c r="AE416" i="11"/>
  <c r="BF416" i="11"/>
  <c r="Z420" i="11"/>
  <c r="BD420" i="11"/>
  <c r="H423" i="11"/>
  <c r="AI423" i="11"/>
  <c r="E428" i="11"/>
  <c r="AG428" i="11"/>
  <c r="Z436" i="11"/>
  <c r="BD436" i="11"/>
  <c r="Y446" i="11"/>
  <c r="AI128" i="22"/>
  <c r="AY418" i="11"/>
  <c r="AA418" i="11"/>
  <c r="AW418" i="11"/>
  <c r="Y418" i="11"/>
  <c r="AU418" i="11"/>
  <c r="W418" i="11"/>
  <c r="K53" i="29"/>
  <c r="J51" i="29"/>
  <c r="I27" i="29"/>
  <c r="L30" i="29"/>
  <c r="F341" i="11"/>
  <c r="AD341" i="11"/>
  <c r="BB341" i="11"/>
  <c r="X344" i="11"/>
  <c r="AV344" i="11"/>
  <c r="V349" i="11"/>
  <c r="AT349" i="11"/>
  <c r="J367" i="11"/>
  <c r="AH367" i="11"/>
  <c r="BF367" i="11"/>
  <c r="Z375" i="11"/>
  <c r="AX375" i="11"/>
  <c r="V397" i="11"/>
  <c r="AT397" i="11"/>
  <c r="E416" i="11"/>
  <c r="AF416" i="11"/>
  <c r="BG416" i="11"/>
  <c r="I423" i="11"/>
  <c r="AJ423" i="11"/>
  <c r="AA436" i="11"/>
  <c r="BE436" i="11"/>
  <c r="Z446" i="11"/>
  <c r="AM400" i="11"/>
  <c r="O400" i="11"/>
  <c r="AI397" i="22"/>
  <c r="K9" i="29" s="1"/>
  <c r="AI441" i="22"/>
  <c r="BD444" i="11"/>
  <c r="AF444" i="11"/>
  <c r="H444" i="11"/>
  <c r="BC444" i="11"/>
  <c r="AE444" i="11"/>
  <c r="G444" i="11"/>
  <c r="BB444" i="11"/>
  <c r="AD444" i="11"/>
  <c r="F444" i="11"/>
  <c r="BA444" i="11"/>
  <c r="AC444" i="11"/>
  <c r="E444" i="11"/>
  <c r="AY444" i="11"/>
  <c r="AA444" i="11"/>
  <c r="AX444" i="11"/>
  <c r="Z444" i="11"/>
  <c r="AW444" i="11"/>
  <c r="Y444" i="11"/>
  <c r="AQ444" i="11"/>
  <c r="S444" i="11"/>
  <c r="BI444" i="11"/>
  <c r="BE444" i="11"/>
  <c r="AG444" i="11"/>
  <c r="I444" i="11"/>
  <c r="H53" i="29"/>
  <c r="I51" i="29"/>
  <c r="I30" i="29"/>
  <c r="J6" i="29"/>
  <c r="R256" i="11"/>
  <c r="AP256" i="11"/>
  <c r="P309" i="11"/>
  <c r="AN309" i="11"/>
  <c r="Y332" i="11"/>
  <c r="AW332" i="11"/>
  <c r="G341" i="11"/>
  <c r="AE341" i="11"/>
  <c r="BC341" i="11"/>
  <c r="Y344" i="11"/>
  <c r="AW344" i="11"/>
  <c r="W349" i="11"/>
  <c r="AU349" i="11"/>
  <c r="K367" i="11"/>
  <c r="AI367" i="11"/>
  <c r="BG367" i="11"/>
  <c r="AA375" i="11"/>
  <c r="AY375" i="11"/>
  <c r="W397" i="11"/>
  <c r="AU397" i="11"/>
  <c r="F416" i="11"/>
  <c r="AG416" i="11"/>
  <c r="BH416" i="11"/>
  <c r="AD420" i="11"/>
  <c r="BF420" i="11"/>
  <c r="J423" i="11"/>
  <c r="AK423" i="11"/>
  <c r="G428" i="11"/>
  <c r="AI428" i="11"/>
  <c r="AB436" i="11"/>
  <c r="BH436" i="11"/>
  <c r="AA446" i="11"/>
  <c r="AI410" i="22"/>
  <c r="BA413" i="11"/>
  <c r="AC413" i="11"/>
  <c r="E413" i="11"/>
  <c r="AY413" i="11"/>
  <c r="AA413" i="11"/>
  <c r="AW413" i="11"/>
  <c r="Y413" i="11"/>
  <c r="M55" i="29"/>
  <c r="AQ426" i="11"/>
  <c r="S426" i="11"/>
  <c r="AI423" i="22"/>
  <c r="AO426" i="11"/>
  <c r="Q426" i="11"/>
  <c r="AM426" i="11"/>
  <c r="O426" i="11"/>
  <c r="AL426" i="11"/>
  <c r="N426" i="11"/>
  <c r="S256" i="11"/>
  <c r="AQ256" i="11"/>
  <c r="K288" i="11"/>
  <c r="AI288" i="11"/>
  <c r="BG288" i="11"/>
  <c r="Q309" i="11"/>
  <c r="AO309" i="11"/>
  <c r="Z332" i="11"/>
  <c r="AX332" i="11"/>
  <c r="H341" i="11"/>
  <c r="AF341" i="11"/>
  <c r="BD341" i="11"/>
  <c r="Z344" i="11"/>
  <c r="AX344" i="11"/>
  <c r="X349" i="11"/>
  <c r="AV349" i="11"/>
  <c r="L367" i="11"/>
  <c r="AJ367" i="11"/>
  <c r="BH367" i="11"/>
  <c r="AB375" i="11"/>
  <c r="AZ375" i="11"/>
  <c r="X397" i="11"/>
  <c r="AV397" i="11"/>
  <c r="G416" i="11"/>
  <c r="AH416" i="11"/>
  <c r="BI416" i="11"/>
  <c r="AF420" i="11"/>
  <c r="BG420" i="11"/>
  <c r="K423" i="11"/>
  <c r="AL423" i="11"/>
  <c r="H428" i="11"/>
  <c r="AJ428" i="11"/>
  <c r="AC436" i="11"/>
  <c r="AF446" i="11"/>
  <c r="K55" i="29"/>
  <c r="I26" i="29"/>
  <c r="J19" i="29"/>
  <c r="I341" i="11"/>
  <c r="AG341" i="11"/>
  <c r="BE341" i="11"/>
  <c r="Y349" i="11"/>
  <c r="AW349" i="11"/>
  <c r="M367" i="11"/>
  <c r="AK367" i="11"/>
  <c r="BI367" i="11"/>
  <c r="E375" i="11"/>
  <c r="AC375" i="11"/>
  <c r="BA375" i="11"/>
  <c r="Y397" i="11"/>
  <c r="L423" i="11"/>
  <c r="AM423" i="11"/>
  <c r="AD436" i="11"/>
  <c r="F61" i="29"/>
  <c r="AI69" i="22"/>
  <c r="H29" i="29"/>
  <c r="AI400" i="22"/>
  <c r="BE403" i="11"/>
  <c r="AG403" i="11"/>
  <c r="I403" i="11"/>
  <c r="AS421" i="11"/>
  <c r="U421" i="11"/>
  <c r="AI418" i="22"/>
  <c r="AQ421" i="11"/>
  <c r="S421" i="11"/>
  <c r="AO421" i="11"/>
  <c r="Q421" i="11"/>
  <c r="H55" i="29"/>
  <c r="L46" i="29"/>
  <c r="I19" i="29"/>
  <c r="J54" i="29"/>
  <c r="L47" i="29"/>
  <c r="H38" i="29"/>
  <c r="J29" i="29"/>
  <c r="H57" i="29"/>
  <c r="J37" i="29"/>
  <c r="L21" i="29"/>
  <c r="H18" i="29"/>
  <c r="J35" i="29"/>
  <c r="L40" i="29"/>
  <c r="M53" i="29"/>
  <c r="K47" i="29"/>
  <c r="G38" i="29"/>
  <c r="M25" i="29"/>
  <c r="K49" i="29"/>
  <c r="G57" i="29"/>
  <c r="M33" i="29"/>
  <c r="K21" i="29"/>
  <c r="G18" i="29"/>
  <c r="M14" i="29"/>
  <c r="I17" i="29"/>
  <c r="L33" i="29"/>
  <c r="H37" i="29"/>
  <c r="L34" i="29"/>
  <c r="L14" i="29"/>
  <c r="G37" i="29"/>
  <c r="K34" i="29"/>
  <c r="G35" i="29"/>
  <c r="M19" i="29"/>
  <c r="G17" i="29"/>
  <c r="J53" i="29"/>
  <c r="L45" i="29"/>
  <c r="H47" i="29"/>
  <c r="J25" i="29"/>
  <c r="L51" i="29"/>
  <c r="H49" i="29"/>
  <c r="J33" i="29"/>
  <c r="L19" i="29"/>
  <c r="H40" i="29"/>
  <c r="J14" i="29"/>
  <c r="L6" i="29"/>
  <c r="M61" i="29"/>
  <c r="K45" i="29"/>
  <c r="G47" i="29"/>
  <c r="M36" i="29"/>
  <c r="K51" i="29"/>
  <c r="G49" i="29"/>
  <c r="M42" i="29"/>
  <c r="K26" i="29"/>
  <c r="G21" i="29"/>
  <c r="M12" i="29"/>
  <c r="K19" i="29"/>
  <c r="G40" i="29"/>
  <c r="G51" i="29"/>
  <c r="K27" i="29"/>
  <c r="G26" i="29"/>
  <c r="M23" i="29"/>
  <c r="I24" i="29"/>
  <c r="H61" i="29"/>
  <c r="J58" i="29"/>
  <c r="L55" i="29"/>
  <c r="H36" i="29"/>
  <c r="L31" i="29"/>
  <c r="H42" i="29"/>
  <c r="L11" i="29"/>
  <c r="AI34" i="22"/>
  <c r="L50" i="29"/>
  <c r="J55" i="29"/>
  <c r="L20" i="29"/>
  <c r="J31" i="29"/>
  <c r="L28" i="29"/>
  <c r="J23" i="29"/>
  <c r="L43" i="29"/>
  <c r="H30" i="29"/>
  <c r="J11" i="29"/>
  <c r="L16" i="29"/>
  <c r="K50" i="29"/>
  <c r="G58" i="29"/>
  <c r="M44" i="29"/>
  <c r="K20" i="29"/>
  <c r="K28" i="29"/>
  <c r="G27" i="29"/>
  <c r="M32" i="29"/>
  <c r="I23" i="29"/>
  <c r="G30" i="29"/>
  <c r="M10" i="29"/>
  <c r="M59" i="29"/>
  <c r="K44" i="29"/>
  <c r="G55" i="29"/>
  <c r="M48" i="29"/>
  <c r="K46" i="29"/>
  <c r="G31" i="29"/>
  <c r="M41" i="29"/>
  <c r="K32" i="29"/>
  <c r="K10" i="29"/>
  <c r="L59" i="29"/>
  <c r="H50" i="29"/>
  <c r="J44" i="29"/>
  <c r="L48" i="29"/>
  <c r="H20" i="29"/>
  <c r="J46" i="29"/>
  <c r="L41" i="29"/>
  <c r="H28" i="29"/>
  <c r="J32" i="29"/>
  <c r="L39" i="29"/>
  <c r="H43" i="29"/>
  <c r="L15" i="29"/>
  <c r="AI67" i="22"/>
  <c r="M46" i="29" s="1"/>
  <c r="K59" i="29"/>
  <c r="G50" i="29"/>
  <c r="M56" i="29"/>
  <c r="K48" i="29"/>
  <c r="I46" i="29"/>
  <c r="K41" i="29"/>
  <c r="G28" i="29"/>
  <c r="M52" i="29"/>
  <c r="I32" i="29"/>
  <c r="K39" i="29"/>
  <c r="G43" i="29"/>
  <c r="I10" i="29"/>
  <c r="G16" i="29"/>
  <c r="Q433" i="11"/>
  <c r="AO433" i="11"/>
  <c r="O438" i="11"/>
  <c r="AM438" i="11"/>
  <c r="J59" i="29"/>
  <c r="L56" i="29"/>
  <c r="H44" i="29"/>
  <c r="J48" i="29"/>
  <c r="L60" i="29"/>
  <c r="H46" i="29"/>
  <c r="J41" i="29"/>
  <c r="L52" i="29"/>
  <c r="H32" i="29"/>
  <c r="J39" i="29"/>
  <c r="L22" i="29"/>
  <c r="K56" i="29"/>
  <c r="G44" i="29"/>
  <c r="M38" i="29"/>
  <c r="K60" i="29"/>
  <c r="G46" i="29"/>
  <c r="M57" i="29"/>
  <c r="I41" i="29"/>
  <c r="K52" i="29"/>
  <c r="G32" i="29"/>
  <c r="I39" i="29"/>
  <c r="K22" i="29"/>
  <c r="I15" i="29"/>
  <c r="Q438" i="11"/>
  <c r="AO438" i="11"/>
  <c r="AI16" i="22"/>
  <c r="H59" i="29"/>
  <c r="L38" i="29"/>
  <c r="H48" i="29"/>
  <c r="J60" i="29"/>
  <c r="L57" i="29"/>
  <c r="J52" i="29"/>
  <c r="L18" i="29"/>
  <c r="H39" i="29"/>
  <c r="H15" i="29"/>
  <c r="G59" i="29"/>
  <c r="M54" i="29"/>
  <c r="K38" i="29"/>
  <c r="G48" i="29"/>
  <c r="M29" i="29"/>
  <c r="G41" i="29"/>
  <c r="K18" i="29"/>
  <c r="G39" i="29"/>
  <c r="M35" i="29"/>
  <c r="I22" i="29"/>
  <c r="U433" i="11"/>
  <c r="S438" i="11"/>
  <c r="Q443" i="11"/>
  <c r="J38" i="29"/>
  <c r="H60" i="29"/>
  <c r="J57" i="29"/>
  <c r="L37" i="29"/>
  <c r="H52" i="29"/>
  <c r="J18" i="29"/>
  <c r="L35" i="29"/>
  <c r="J13" i="29"/>
  <c r="L17" i="29"/>
  <c r="K54" i="29"/>
  <c r="G56" i="29"/>
  <c r="M47" i="29"/>
  <c r="I38" i="29"/>
  <c r="K29" i="29"/>
  <c r="G60" i="29"/>
  <c r="M49" i="29"/>
  <c r="I57" i="29"/>
  <c r="K37" i="29"/>
  <c r="G52" i="29"/>
  <c r="I18" i="29"/>
  <c r="K35" i="29"/>
  <c r="G22" i="29"/>
  <c r="I13" i="29"/>
  <c r="C10" i="11"/>
  <c r="C41" i="11"/>
  <c r="C44" i="11"/>
  <c r="C77" i="11"/>
  <c r="C132" i="11"/>
  <c r="C182" i="11"/>
  <c r="C189" i="11"/>
  <c r="C207" i="11"/>
  <c r="C239" i="11"/>
  <c r="C242" i="11"/>
  <c r="C359" i="11"/>
  <c r="C34" i="11"/>
  <c r="C68" i="11"/>
  <c r="C105" i="11"/>
  <c r="C156" i="11"/>
  <c r="C213" i="11"/>
  <c r="C263" i="11"/>
  <c r="C414" i="11"/>
  <c r="C137" i="11"/>
  <c r="C180" i="11"/>
  <c r="C230" i="11"/>
  <c r="C235" i="11"/>
  <c r="C237" i="11"/>
  <c r="C255" i="11"/>
  <c r="C280" i="11"/>
  <c r="C287" i="11"/>
  <c r="C290" i="11"/>
  <c r="C330" i="11"/>
  <c r="C407" i="11"/>
  <c r="C419" i="11"/>
  <c r="C27" i="11"/>
  <c r="C129" i="11"/>
  <c r="C161" i="11"/>
  <c r="C204" i="11"/>
  <c r="C254" i="11"/>
  <c r="C259" i="11"/>
  <c r="C261" i="11"/>
  <c r="C279" i="11"/>
  <c r="C304" i="11"/>
  <c r="C314" i="11"/>
  <c r="C354" i="11"/>
  <c r="C102" i="11"/>
  <c r="C125" i="11"/>
  <c r="C130" i="11"/>
  <c r="C153" i="11"/>
  <c r="C185" i="11"/>
  <c r="C228" i="11"/>
  <c r="C278" i="11"/>
  <c r="C285" i="11"/>
  <c r="C328" i="11"/>
  <c r="C338" i="11"/>
  <c r="C123" i="11"/>
  <c r="C127" i="11"/>
  <c r="C154" i="11"/>
  <c r="C177" i="11"/>
  <c r="C209" i="11"/>
  <c r="C302" i="11"/>
  <c r="C13" i="11"/>
  <c r="C111" i="11"/>
  <c r="C147" i="11"/>
  <c r="C149" i="11"/>
  <c r="C151" i="11"/>
  <c r="C178" i="11"/>
  <c r="C201" i="11"/>
  <c r="C233" i="11"/>
  <c r="C276" i="11"/>
  <c r="C283" i="11"/>
  <c r="C326" i="11"/>
  <c r="C333" i="11"/>
  <c r="C376" i="11"/>
  <c r="C386" i="11"/>
  <c r="BJ1" i="11"/>
  <c r="BJ2" i="11" s="1"/>
  <c r="C99" i="11"/>
  <c r="C175" i="11"/>
  <c r="C202" i="11"/>
  <c r="C225" i="11"/>
  <c r="C257" i="11"/>
  <c r="C300" i="11"/>
  <c r="C307" i="11"/>
  <c r="C325" i="11"/>
  <c r="C350" i="11"/>
  <c r="C357" i="11"/>
  <c r="C98" i="11"/>
  <c r="C199" i="11"/>
  <c r="C226" i="11"/>
  <c r="C249" i="11"/>
  <c r="C281" i="11"/>
  <c r="C324" i="11"/>
  <c r="C331" i="11"/>
  <c r="C374" i="11"/>
  <c r="C424" i="11"/>
  <c r="C32" i="11"/>
  <c r="C250" i="11"/>
  <c r="C305" i="11"/>
  <c r="C355" i="11"/>
  <c r="C23" i="11"/>
  <c r="C152" i="11"/>
  <c r="C274" i="11"/>
  <c r="C329" i="11"/>
  <c r="C379" i="11"/>
  <c r="C176" i="11"/>
  <c r="C303" i="11"/>
  <c r="C353" i="11"/>
  <c r="C16" i="11"/>
  <c r="C327" i="11"/>
  <c r="C377" i="11"/>
  <c r="C427" i="11"/>
  <c r="C126" i="11"/>
  <c r="C224" i="11"/>
  <c r="C351" i="11"/>
  <c r="C401" i="11"/>
  <c r="C150" i="11"/>
  <c r="C174" i="11"/>
  <c r="C399" i="11"/>
  <c r="C57" i="11"/>
  <c r="C179" i="11"/>
  <c r="C198" i="11"/>
  <c r="C248" i="11"/>
  <c r="C277" i="11"/>
  <c r="C289" i="11"/>
  <c r="C393" i="11"/>
  <c r="C203" i="11"/>
  <c r="C222" i="11"/>
  <c r="C272" i="11"/>
  <c r="C7" i="11"/>
  <c r="C50" i="11"/>
  <c r="C112" i="11"/>
  <c r="C138" i="11"/>
  <c r="C227" i="11"/>
  <c r="C246" i="11"/>
  <c r="C296" i="11"/>
  <c r="C380" i="11"/>
  <c r="C389" i="11"/>
  <c r="C441" i="11"/>
  <c r="C119" i="11"/>
  <c r="C122" i="11"/>
  <c r="C184" i="11"/>
  <c r="C251" i="11"/>
  <c r="C320" i="11"/>
  <c r="C361" i="11"/>
  <c r="C404" i="11"/>
  <c r="C415" i="11"/>
  <c r="C74" i="11"/>
  <c r="C110" i="11"/>
  <c r="C143" i="11"/>
  <c r="C146" i="11"/>
  <c r="C186" i="11"/>
  <c r="C275" i="11"/>
  <c r="C294" i="11"/>
  <c r="C301" i="11"/>
  <c r="C437" i="11"/>
  <c r="C48" i="11"/>
  <c r="C91" i="11"/>
  <c r="C117" i="11"/>
  <c r="C167" i="11"/>
  <c r="C210" i="11"/>
  <c r="C232" i="11"/>
  <c r="C318" i="11"/>
  <c r="C368" i="11"/>
  <c r="C17" i="11"/>
  <c r="C72" i="11"/>
  <c r="C83" i="11"/>
  <c r="C134" i="11"/>
  <c r="C139" i="11"/>
  <c r="C141" i="11"/>
  <c r="C191" i="11"/>
  <c r="C194" i="11"/>
  <c r="C311" i="11"/>
  <c r="C323" i="11"/>
  <c r="C342" i="11"/>
  <c r="C378" i="11"/>
  <c r="C392" i="11"/>
  <c r="C14" i="11"/>
  <c r="C28" i="11"/>
  <c r="C79" i="11"/>
  <c r="C190" i="11"/>
  <c r="C240" i="11"/>
  <c r="C6" i="11"/>
  <c r="C9" i="11"/>
  <c r="C21" i="11"/>
  <c r="C8" i="11"/>
  <c r="C20" i="11"/>
  <c r="C15" i="11"/>
  <c r="C18" i="11"/>
  <c r="C25" i="11"/>
  <c r="C11" i="11"/>
  <c r="C37" i="11"/>
  <c r="C30" i="11"/>
  <c r="BJ448" i="11"/>
  <c r="C47" i="11"/>
  <c r="C5" i="11"/>
  <c r="C12" i="11"/>
  <c r="C26" i="11"/>
  <c r="C40" i="11"/>
  <c r="C59" i="11"/>
  <c r="C387" i="11"/>
  <c r="C95" i="11"/>
  <c r="C337" i="11"/>
  <c r="C391" i="11"/>
  <c r="C46" i="11"/>
  <c r="C162" i="11"/>
  <c r="C53" i="11"/>
  <c r="C208" i="11"/>
  <c r="C58" i="11"/>
  <c r="C81" i="11"/>
  <c r="C65" i="11"/>
  <c r="C63" i="11"/>
  <c r="C33" i="11"/>
  <c r="C49" i="11"/>
  <c r="C56" i="11"/>
  <c r="C24" i="11"/>
  <c r="C38" i="11"/>
  <c r="C31" i="11"/>
  <c r="C73" i="11"/>
  <c r="C4" i="11"/>
  <c r="C29" i="11"/>
  <c r="C35" i="11"/>
  <c r="C52" i="11"/>
  <c r="C78" i="11"/>
  <c r="C36" i="11"/>
  <c r="C43" i="11"/>
  <c r="C71" i="11"/>
  <c r="C64" i="11"/>
  <c r="C70" i="11"/>
  <c r="C86" i="11"/>
  <c r="C136" i="11"/>
  <c r="C313" i="11"/>
  <c r="C356" i="11"/>
  <c r="C417" i="11"/>
  <c r="C61" i="11"/>
  <c r="C84" i="11"/>
  <c r="C158" i="11"/>
  <c r="C170" i="11"/>
  <c r="C409" i="11"/>
  <c r="C75" i="11"/>
  <c r="C103" i="11"/>
  <c r="C108" i="11"/>
  <c r="C187" i="11"/>
  <c r="C371" i="11"/>
  <c r="C66" i="11"/>
  <c r="C82" i="11"/>
  <c r="C89" i="11"/>
  <c r="C94" i="11"/>
  <c r="C101" i="11"/>
  <c r="C206" i="11"/>
  <c r="C211" i="11"/>
  <c r="C231" i="11"/>
  <c r="C266" i="11"/>
  <c r="C306" i="11"/>
  <c r="C383" i="11"/>
  <c r="C395" i="11"/>
  <c r="C87" i="11"/>
  <c r="C118" i="11"/>
  <c r="C113" i="11"/>
  <c r="C142" i="11"/>
  <c r="C192" i="11"/>
  <c r="C381" i="11"/>
  <c r="C106" i="11"/>
  <c r="C216" i="11"/>
  <c r="C362" i="11"/>
  <c r="C19" i="11"/>
  <c r="C55" i="11"/>
  <c r="C62" i="11"/>
  <c r="C69" i="11"/>
  <c r="C85" i="11"/>
  <c r="C116" i="11"/>
  <c r="C171" i="11"/>
  <c r="C214" i="11"/>
  <c r="C264" i="11"/>
  <c r="C410" i="11"/>
  <c r="C135" i="11"/>
  <c r="C140" i="11"/>
  <c r="C195" i="11"/>
  <c r="C238" i="11"/>
  <c r="C398" i="11"/>
  <c r="C434" i="11"/>
  <c r="C76" i="11"/>
  <c r="C104" i="11"/>
  <c r="C128" i="11"/>
  <c r="C159" i="11"/>
  <c r="C164" i="11"/>
  <c r="C173" i="11"/>
  <c r="C219" i="11"/>
  <c r="C223" i="11"/>
  <c r="C262" i="11"/>
  <c r="C273" i="11"/>
  <c r="C312" i="11"/>
  <c r="C336" i="11"/>
  <c r="C348" i="11"/>
  <c r="C67" i="11"/>
  <c r="C90" i="11"/>
  <c r="C109" i="11"/>
  <c r="C121" i="11"/>
  <c r="C133" i="11"/>
  <c r="C188" i="11"/>
  <c r="C197" i="11"/>
  <c r="C243" i="11"/>
  <c r="C247" i="11"/>
  <c r="C286" i="11"/>
  <c r="C297" i="11"/>
  <c r="C360" i="11"/>
  <c r="C372" i="11"/>
  <c r="C60" i="11"/>
  <c r="C92" i="11"/>
  <c r="C120" i="11"/>
  <c r="C145" i="11"/>
  <c r="C157" i="11"/>
  <c r="C212" i="11"/>
  <c r="C221" i="11"/>
  <c r="C267" i="11"/>
  <c r="C271" i="11"/>
  <c r="C298" i="11"/>
  <c r="C310" i="11"/>
  <c r="C321" i="11"/>
  <c r="C373" i="11"/>
  <c r="C384" i="11"/>
  <c r="C396" i="11"/>
  <c r="C144" i="11"/>
  <c r="C169" i="11"/>
  <c r="C181" i="11"/>
  <c r="C193" i="11"/>
  <c r="C200" i="11"/>
  <c r="C236" i="11"/>
  <c r="C245" i="11"/>
  <c r="C291" i="11"/>
  <c r="C295" i="11"/>
  <c r="C322" i="11"/>
  <c r="C334" i="11"/>
  <c r="C345" i="11"/>
  <c r="C408" i="11"/>
  <c r="C42" i="11"/>
  <c r="C51" i="11"/>
  <c r="C114" i="11"/>
  <c r="C168" i="11"/>
  <c r="C205" i="11"/>
  <c r="C217" i="11"/>
  <c r="C260" i="11"/>
  <c r="C269" i="11"/>
  <c r="C315" i="11"/>
  <c r="C319" i="11"/>
  <c r="C346" i="11"/>
  <c r="C358" i="11"/>
  <c r="C131" i="11"/>
  <c r="C229" i="11"/>
  <c r="C241" i="11"/>
  <c r="C284" i="11"/>
  <c r="C293" i="11"/>
  <c r="C339" i="11"/>
  <c r="C343" i="11"/>
  <c r="C370" i="11"/>
  <c r="C382" i="11"/>
  <c r="C22" i="11"/>
  <c r="C88" i="11"/>
  <c r="C93" i="11"/>
  <c r="C100" i="11"/>
  <c r="C155" i="11"/>
  <c r="C253" i="11"/>
  <c r="C265" i="11"/>
  <c r="C308" i="11"/>
  <c r="C317" i="11"/>
  <c r="C363" i="11"/>
  <c r="C369" i="11"/>
  <c r="C394" i="11"/>
  <c r="C406" i="11"/>
  <c r="C447" i="11"/>
  <c r="M58" i="50" l="1"/>
  <c r="G15" i="50"/>
  <c r="K20" i="50"/>
  <c r="N12" i="50"/>
  <c r="V15" i="50"/>
  <c r="R31" i="50"/>
  <c r="S46" i="50"/>
  <c r="D51" i="50"/>
  <c r="D58" i="50"/>
  <c r="L12" i="50"/>
  <c r="U31" i="50"/>
  <c r="V46" i="50"/>
  <c r="R46" i="50"/>
  <c r="F15" i="50"/>
  <c r="L15" i="50"/>
  <c r="N58" i="50"/>
  <c r="I20" i="50"/>
  <c r="N20" i="50"/>
  <c r="K51" i="50"/>
  <c r="T58" i="50"/>
  <c r="L17" i="50"/>
  <c r="M31" i="50"/>
  <c r="L51" i="50"/>
  <c r="U15" i="50"/>
  <c r="E46" i="50"/>
  <c r="H31" i="50"/>
  <c r="T31" i="50"/>
  <c r="L46" i="50"/>
  <c r="M15" i="50"/>
  <c r="G58" i="50"/>
  <c r="K15" i="50"/>
  <c r="L31" i="50"/>
  <c r="V58" i="50"/>
  <c r="W12" i="50"/>
  <c r="I58" i="50"/>
  <c r="N31" i="50"/>
  <c r="P12" i="50"/>
  <c r="N51" i="50"/>
  <c r="W31" i="50"/>
  <c r="G12" i="50"/>
  <c r="M12" i="50"/>
  <c r="Q20" i="50"/>
  <c r="R12" i="50"/>
  <c r="D17" i="50"/>
  <c r="Q17" i="50"/>
  <c r="W58" i="50"/>
  <c r="J31" i="50"/>
  <c r="C9" i="59"/>
  <c r="O9" i="59"/>
  <c r="N9" i="59"/>
  <c r="K9" i="59"/>
  <c r="C14" i="59"/>
  <c r="I14" i="59"/>
  <c r="D9" i="59"/>
  <c r="K14" i="59"/>
  <c r="N14" i="59"/>
  <c r="L14" i="59"/>
  <c r="M14" i="59"/>
  <c r="L9" i="59"/>
  <c r="L7" i="50"/>
  <c r="H52" i="50"/>
  <c r="E38" i="50"/>
  <c r="J9" i="59"/>
  <c r="I9" i="59"/>
  <c r="G9" i="59"/>
  <c r="I43" i="50"/>
  <c r="W7" i="50"/>
  <c r="F9" i="59"/>
  <c r="E9" i="59"/>
  <c r="F14" i="59"/>
  <c r="D14" i="59"/>
  <c r="L5" i="59"/>
  <c r="J14" i="59"/>
  <c r="P43" i="50"/>
  <c r="J43" i="50"/>
  <c r="O43" i="50"/>
  <c r="L25" i="50"/>
  <c r="E27" i="50"/>
  <c r="S31" i="50"/>
  <c r="O5" i="59"/>
  <c r="J5" i="59"/>
  <c r="M32" i="50"/>
  <c r="H5" i="59"/>
  <c r="O13" i="59"/>
  <c r="D43" i="50"/>
  <c r="G43" i="50"/>
  <c r="R60" i="50"/>
  <c r="P53" i="50"/>
  <c r="N53" i="50"/>
  <c r="P33" i="50"/>
  <c r="K50" i="50"/>
  <c r="W33" i="50"/>
  <c r="Q31" i="50"/>
  <c r="R33" i="50"/>
  <c r="F13" i="59"/>
  <c r="W62" i="50"/>
  <c r="K62" i="50"/>
  <c r="C6" i="48"/>
  <c r="K23" i="40"/>
  <c r="L56" i="50"/>
  <c r="D20" i="50"/>
  <c r="K32" i="50"/>
  <c r="G7" i="50"/>
  <c r="T55" i="50"/>
  <c r="U24" i="50"/>
  <c r="S52" i="50"/>
  <c r="T28" i="50"/>
  <c r="U58" i="50"/>
  <c r="Q25" i="50"/>
  <c r="S12" i="50"/>
  <c r="N28" i="50"/>
  <c r="R57" i="50"/>
  <c r="D5" i="59"/>
  <c r="F53" i="50"/>
  <c r="P34" i="50"/>
  <c r="Q61" i="50"/>
  <c r="D25" i="50"/>
  <c r="S24" i="50"/>
  <c r="K58" i="50"/>
  <c r="J50" i="50"/>
  <c r="S56" i="50"/>
  <c r="W28" i="50"/>
  <c r="F6" i="48"/>
  <c r="E11" i="48"/>
  <c r="F11" i="50"/>
  <c r="F54" i="50"/>
  <c r="K28" i="50"/>
  <c r="Q57" i="50"/>
  <c r="I37" i="50"/>
  <c r="G31" i="50"/>
  <c r="H26" i="50"/>
  <c r="G11" i="59"/>
  <c r="N54" i="50"/>
  <c r="N32" i="50"/>
  <c r="V29" i="50"/>
  <c r="J37" i="50"/>
  <c r="K49" i="50"/>
  <c r="N5" i="59"/>
  <c r="N17" i="50"/>
  <c r="D48" i="50"/>
  <c r="E31" i="50"/>
  <c r="I9" i="50"/>
  <c r="H43" i="50"/>
  <c r="H35" i="50"/>
  <c r="M35" i="50"/>
  <c r="T56" i="50"/>
  <c r="F49" i="50"/>
  <c r="T46" i="50"/>
  <c r="C5" i="59"/>
  <c r="G49" i="50"/>
  <c r="W24" i="50"/>
  <c r="G48" i="50"/>
  <c r="V32" i="50"/>
  <c r="D11" i="50"/>
  <c r="U49" i="50"/>
  <c r="I55" i="50"/>
  <c r="P17" i="50"/>
  <c r="Q56" i="50"/>
  <c r="S17" i="50"/>
  <c r="S49" i="50"/>
  <c r="G56" i="50"/>
  <c r="V49" i="50"/>
  <c r="Q49" i="50"/>
  <c r="P24" i="50"/>
  <c r="T51" i="50"/>
  <c r="U56" i="50"/>
  <c r="Q46" i="50"/>
  <c r="J62" i="50"/>
  <c r="K24" i="50"/>
  <c r="P25" i="50"/>
  <c r="G57" i="50"/>
  <c r="L52" i="50"/>
  <c r="T52" i="50"/>
  <c r="M5" i="59"/>
  <c r="J45" i="50"/>
  <c r="U61" i="50"/>
  <c r="H45" i="50"/>
  <c r="I5" i="59"/>
  <c r="U45" i="50"/>
  <c r="H61" i="50"/>
  <c r="D14" i="50"/>
  <c r="T24" i="50"/>
  <c r="T45" i="50"/>
  <c r="O42" i="50"/>
  <c r="W40" i="50"/>
  <c r="P48" i="50"/>
  <c r="H12" i="50"/>
  <c r="M21" i="50"/>
  <c r="G40" i="50"/>
  <c r="I61" i="50"/>
  <c r="P52" i="50"/>
  <c r="F12" i="50"/>
  <c r="S45" i="50"/>
  <c r="S61" i="50"/>
  <c r="P42" i="50"/>
  <c r="H30" i="50"/>
  <c r="P61" i="50"/>
  <c r="R52" i="50"/>
  <c r="N41" i="50"/>
  <c r="M41" i="50"/>
  <c r="J61" i="50"/>
  <c r="F35" i="50"/>
  <c r="S28" i="50"/>
  <c r="N52" i="50"/>
  <c r="K14" i="50"/>
  <c r="O33" i="50"/>
  <c r="R30" i="50"/>
  <c r="G41" i="50"/>
  <c r="H41" i="50"/>
  <c r="L33" i="50"/>
  <c r="D8" i="50"/>
  <c r="N15" i="50"/>
  <c r="S34" i="50"/>
  <c r="F20" i="50"/>
  <c r="T33" i="50"/>
  <c r="H15" i="50"/>
  <c r="V13" i="50"/>
  <c r="I50" i="50"/>
  <c r="N48" i="50"/>
  <c r="F5" i="59"/>
  <c r="E5" i="59"/>
  <c r="G45" i="50"/>
  <c r="P21" i="50"/>
  <c r="E14" i="59"/>
  <c r="G14" i="59"/>
  <c r="I47" i="50"/>
  <c r="G10" i="50"/>
  <c r="E61" i="50"/>
  <c r="C11" i="59"/>
  <c r="I11" i="59"/>
  <c r="J19" i="50"/>
  <c r="P15" i="50"/>
  <c r="M38" i="50"/>
  <c r="U44" i="50"/>
  <c r="J16" i="48"/>
  <c r="N12" i="59"/>
  <c r="M12" i="59"/>
  <c r="I12" i="59"/>
  <c r="O14" i="59"/>
  <c r="V47" i="50"/>
  <c r="F10" i="50"/>
  <c r="H47" i="50"/>
  <c r="N47" i="50"/>
  <c r="P18" i="50"/>
  <c r="N15" i="48"/>
  <c r="M6" i="59"/>
  <c r="M15" i="48"/>
  <c r="K15" i="48"/>
  <c r="I6" i="59"/>
  <c r="O37" i="50"/>
  <c r="M20" i="50"/>
  <c r="H15" i="48"/>
  <c r="N6" i="59"/>
  <c r="G47" i="50"/>
  <c r="I27" i="50"/>
  <c r="N11" i="50"/>
  <c r="M10" i="50"/>
  <c r="K6" i="59"/>
  <c r="U47" i="50"/>
  <c r="S37" i="50"/>
  <c r="L6" i="59"/>
  <c r="I38" i="50"/>
  <c r="E7" i="50"/>
  <c r="W13" i="50"/>
  <c r="J6" i="59"/>
  <c r="V43" i="50"/>
  <c r="D47" i="50"/>
  <c r="W18" i="50"/>
  <c r="R10" i="50"/>
  <c r="W25" i="50"/>
  <c r="U13" i="50"/>
  <c r="V10" i="50"/>
  <c r="J28" i="50"/>
  <c r="W39" i="50"/>
  <c r="H28" i="50"/>
  <c r="O25" i="50"/>
  <c r="P58" i="50"/>
  <c r="O15" i="59"/>
  <c r="E18" i="50"/>
  <c r="R34" i="50"/>
  <c r="W32" i="50"/>
  <c r="F15" i="48"/>
  <c r="U34" i="50"/>
  <c r="E29" i="50"/>
  <c r="O19" i="50"/>
  <c r="Q36" i="50"/>
  <c r="K5" i="59"/>
  <c r="H32" i="50"/>
  <c r="R32" i="50"/>
  <c r="L18" i="50"/>
  <c r="F23" i="50"/>
  <c r="W37" i="50"/>
  <c r="D37" i="50"/>
  <c r="E32" i="50"/>
  <c r="K34" i="50"/>
  <c r="K10" i="50"/>
  <c r="R49" i="40"/>
  <c r="G32" i="50"/>
  <c r="J47" i="50"/>
  <c r="I18" i="50"/>
  <c r="I24" i="50"/>
  <c r="Q34" i="50"/>
  <c r="M21" i="40"/>
  <c r="S55" i="50"/>
  <c r="Q49" i="40"/>
  <c r="O32" i="50"/>
  <c r="S32" i="50"/>
  <c r="E11" i="50"/>
  <c r="O6" i="59"/>
  <c r="H49" i="40"/>
  <c r="H34" i="50"/>
  <c r="O34" i="50"/>
  <c r="D6" i="50"/>
  <c r="F37" i="50"/>
  <c r="G34" i="50"/>
  <c r="M13" i="59"/>
  <c r="F32" i="50"/>
  <c r="K13" i="59"/>
  <c r="C13" i="59"/>
  <c r="N13" i="59"/>
  <c r="I13" i="59"/>
  <c r="G13" i="59"/>
  <c r="R8" i="40"/>
  <c r="D32" i="50"/>
  <c r="D10" i="59"/>
  <c r="Q32" i="50"/>
  <c r="F34" i="50"/>
  <c r="E34" i="50"/>
  <c r="Q21" i="50"/>
  <c r="S47" i="50"/>
  <c r="P6" i="50"/>
  <c r="H16" i="48"/>
  <c r="E10" i="59"/>
  <c r="K12" i="59"/>
  <c r="C13" i="48"/>
  <c r="G10" i="59"/>
  <c r="L21" i="50"/>
  <c r="I13" i="48"/>
  <c r="O41" i="50"/>
  <c r="R21" i="50"/>
  <c r="E13" i="48"/>
  <c r="C10" i="59"/>
  <c r="P41" i="50"/>
  <c r="F10" i="59"/>
  <c r="J10" i="59"/>
  <c r="H15" i="59"/>
  <c r="D15" i="59"/>
  <c r="H13" i="59"/>
  <c r="S6" i="50"/>
  <c r="G8" i="50"/>
  <c r="T8" i="50"/>
  <c r="K10" i="59"/>
  <c r="O10" i="59"/>
  <c r="S41" i="50"/>
  <c r="N10" i="59"/>
  <c r="F30" i="50"/>
  <c r="L10" i="59"/>
  <c r="M10" i="59"/>
  <c r="I10" i="59"/>
  <c r="E13" i="59"/>
  <c r="G8" i="59"/>
  <c r="C7" i="59"/>
  <c r="F8" i="59"/>
  <c r="N8" i="59"/>
  <c r="C16" i="48"/>
  <c r="O7" i="59"/>
  <c r="N7" i="59"/>
  <c r="L8" i="59"/>
  <c r="M16" i="48"/>
  <c r="H7" i="59"/>
  <c r="C8" i="59"/>
  <c r="L16" i="48"/>
  <c r="L7" i="59"/>
  <c r="D8" i="59"/>
  <c r="K16" i="48"/>
  <c r="D13" i="59"/>
  <c r="J8" i="59"/>
  <c r="O8" i="59"/>
  <c r="K39" i="50"/>
  <c r="F16" i="48"/>
  <c r="J7" i="59"/>
  <c r="M8" i="59"/>
  <c r="H44" i="50"/>
  <c r="D7" i="59"/>
  <c r="O11" i="59"/>
  <c r="H11" i="59"/>
  <c r="T18" i="50"/>
  <c r="O30" i="50"/>
  <c r="J13" i="48"/>
  <c r="I7" i="59"/>
  <c r="I8" i="59"/>
  <c r="D11" i="59"/>
  <c r="D39" i="50"/>
  <c r="P9" i="50"/>
  <c r="M7" i="59"/>
  <c r="N11" i="59"/>
  <c r="N9" i="50"/>
  <c r="G7" i="59"/>
  <c r="M11" i="59"/>
  <c r="K11" i="59"/>
  <c r="F7" i="59"/>
  <c r="L11" i="59"/>
  <c r="U40" i="50"/>
  <c r="I17" i="50"/>
  <c r="L15" i="48"/>
  <c r="K8" i="59"/>
  <c r="J11" i="59"/>
  <c r="E7" i="59"/>
  <c r="E8" i="59"/>
  <c r="F11" i="59"/>
  <c r="M13" i="48"/>
  <c r="F31" i="58"/>
  <c r="N31" i="58"/>
  <c r="I31" i="58"/>
  <c r="M31" i="58"/>
  <c r="D31" i="58"/>
  <c r="L31" i="58"/>
  <c r="H31" i="58"/>
  <c r="G31" i="58"/>
  <c r="P31" i="58"/>
  <c r="K31" i="58"/>
  <c r="O31" i="58"/>
  <c r="J31" i="58"/>
  <c r="E31" i="58"/>
  <c r="D8" i="58"/>
  <c r="N8" i="58"/>
  <c r="I8" i="58"/>
  <c r="M8" i="58"/>
  <c r="H8" i="58"/>
  <c r="L8" i="58"/>
  <c r="E8" i="58"/>
  <c r="G8" i="58"/>
  <c r="P8" i="58"/>
  <c r="K8" i="58"/>
  <c r="F8" i="58"/>
  <c r="O8" i="58"/>
  <c r="J8" i="58"/>
  <c r="G30" i="58"/>
  <c r="P30" i="58"/>
  <c r="F30" i="58"/>
  <c r="O30" i="58"/>
  <c r="J30" i="58"/>
  <c r="N30" i="58"/>
  <c r="E30" i="58"/>
  <c r="I30" i="58"/>
  <c r="L30" i="58"/>
  <c r="M30" i="58"/>
  <c r="D30" i="58"/>
  <c r="H30" i="58"/>
  <c r="K30" i="58"/>
  <c r="D12" i="59"/>
  <c r="E15" i="59"/>
  <c r="E37" i="58"/>
  <c r="P37" i="58"/>
  <c r="G37" i="58"/>
  <c r="F37" i="58"/>
  <c r="O37" i="58"/>
  <c r="J37" i="58"/>
  <c r="N37" i="58"/>
  <c r="I37" i="58"/>
  <c r="D37" i="58"/>
  <c r="M37" i="58"/>
  <c r="H37" i="58"/>
  <c r="L37" i="58"/>
  <c r="K37" i="58"/>
  <c r="H25" i="58"/>
  <c r="I25" i="58"/>
  <c r="L25" i="58"/>
  <c r="D25" i="58"/>
  <c r="G25" i="58"/>
  <c r="E25" i="58"/>
  <c r="P25" i="58"/>
  <c r="K25" i="58"/>
  <c r="F25" i="58"/>
  <c r="O25" i="58"/>
  <c r="J25" i="58"/>
  <c r="N25" i="58"/>
  <c r="M25" i="58"/>
  <c r="I59" i="58"/>
  <c r="E59" i="58"/>
  <c r="D59" i="58"/>
  <c r="L59" i="58"/>
  <c r="H59" i="58"/>
  <c r="G59" i="58"/>
  <c r="K59" i="58"/>
  <c r="O59" i="58"/>
  <c r="F59" i="58"/>
  <c r="J59" i="58"/>
  <c r="N59" i="58"/>
  <c r="M59" i="58"/>
  <c r="P59" i="58"/>
  <c r="O44" i="50"/>
  <c r="F13" i="48"/>
  <c r="I39" i="58"/>
  <c r="G39" i="58"/>
  <c r="O39" i="58"/>
  <c r="J39" i="58"/>
  <c r="F39" i="58"/>
  <c r="N39" i="58"/>
  <c r="P39" i="58"/>
  <c r="E39" i="58"/>
  <c r="D39" i="58"/>
  <c r="L39" i="58"/>
  <c r="M39" i="58"/>
  <c r="H39" i="58"/>
  <c r="K39" i="58"/>
  <c r="D50" i="58"/>
  <c r="K50" i="58"/>
  <c r="J50" i="58"/>
  <c r="F50" i="58"/>
  <c r="M50" i="58"/>
  <c r="P50" i="58"/>
  <c r="O50" i="58"/>
  <c r="H50" i="58"/>
  <c r="I50" i="58"/>
  <c r="E50" i="58"/>
  <c r="L50" i="58"/>
  <c r="G50" i="58"/>
  <c r="N50" i="58"/>
  <c r="E9" i="58"/>
  <c r="J9" i="58"/>
  <c r="I9" i="58"/>
  <c r="P9" i="58"/>
  <c r="L9" i="58"/>
  <c r="D9" i="58"/>
  <c r="O9" i="58"/>
  <c r="N9" i="58"/>
  <c r="G9" i="58"/>
  <c r="H9" i="58"/>
  <c r="K9" i="58"/>
  <c r="F9" i="58"/>
  <c r="M9" i="58"/>
  <c r="D34" i="58"/>
  <c r="F34" i="58"/>
  <c r="N34" i="58"/>
  <c r="J34" i="58"/>
  <c r="O34" i="58"/>
  <c r="E34" i="58"/>
  <c r="M34" i="58"/>
  <c r="L34" i="58"/>
  <c r="I34" i="58"/>
  <c r="P34" i="58"/>
  <c r="H34" i="58"/>
  <c r="K34" i="58"/>
  <c r="G34" i="58"/>
  <c r="F5" i="58"/>
  <c r="D5" i="58"/>
  <c r="M5" i="58"/>
  <c r="O5" i="58"/>
  <c r="N5" i="58"/>
  <c r="I5" i="58"/>
  <c r="E5" i="58"/>
  <c r="H5" i="58"/>
  <c r="K5" i="58"/>
  <c r="G5" i="58"/>
  <c r="P5" i="58"/>
  <c r="L5" i="58"/>
  <c r="J5" i="58"/>
  <c r="L12" i="59"/>
  <c r="F22" i="58"/>
  <c r="G22" i="58"/>
  <c r="P22" i="58"/>
  <c r="O22" i="58"/>
  <c r="J22" i="58"/>
  <c r="E22" i="58"/>
  <c r="N22" i="58"/>
  <c r="I22" i="58"/>
  <c r="L22" i="58"/>
  <c r="D22" i="58"/>
  <c r="M22" i="58"/>
  <c r="H22" i="58"/>
  <c r="K22" i="58"/>
  <c r="J12" i="58"/>
  <c r="H12" i="58"/>
  <c r="D12" i="58"/>
  <c r="P12" i="58"/>
  <c r="I12" i="58"/>
  <c r="G12" i="58"/>
  <c r="F12" i="58"/>
  <c r="K12" i="58"/>
  <c r="O12" i="58"/>
  <c r="N12" i="58"/>
  <c r="M12" i="58"/>
  <c r="L12" i="58"/>
  <c r="E12" i="58"/>
  <c r="I14" i="58"/>
  <c r="H14" i="58"/>
  <c r="L14" i="58"/>
  <c r="D14" i="58"/>
  <c r="P14" i="58"/>
  <c r="G14" i="58"/>
  <c r="K14" i="58"/>
  <c r="O14" i="58"/>
  <c r="F14" i="58"/>
  <c r="J14" i="58"/>
  <c r="N14" i="58"/>
  <c r="M14" i="58"/>
  <c r="E14" i="58"/>
  <c r="J12" i="59"/>
  <c r="O15" i="48"/>
  <c r="N41" i="58"/>
  <c r="O41" i="58"/>
  <c r="G41" i="58"/>
  <c r="J41" i="58"/>
  <c r="H41" i="58"/>
  <c r="M41" i="58"/>
  <c r="F41" i="58"/>
  <c r="L41" i="58"/>
  <c r="E41" i="58"/>
  <c r="I41" i="58"/>
  <c r="P41" i="58"/>
  <c r="D41" i="58"/>
  <c r="K41" i="58"/>
  <c r="D24" i="58"/>
  <c r="O24" i="58"/>
  <c r="H24" i="58"/>
  <c r="K24" i="58"/>
  <c r="I24" i="58"/>
  <c r="N24" i="58"/>
  <c r="G24" i="58"/>
  <c r="J24" i="58"/>
  <c r="M24" i="58"/>
  <c r="F24" i="58"/>
  <c r="P24" i="58"/>
  <c r="E24" i="58"/>
  <c r="L24" i="58"/>
  <c r="D61" i="58"/>
  <c r="M61" i="58"/>
  <c r="P61" i="58"/>
  <c r="I61" i="58"/>
  <c r="L61" i="58"/>
  <c r="H61" i="58"/>
  <c r="O61" i="58"/>
  <c r="E61" i="58"/>
  <c r="K61" i="58"/>
  <c r="G61" i="58"/>
  <c r="N61" i="58"/>
  <c r="F61" i="58"/>
  <c r="J61" i="58"/>
  <c r="H21" i="58"/>
  <c r="P21" i="58"/>
  <c r="O21" i="58"/>
  <c r="J21" i="58"/>
  <c r="F21" i="58"/>
  <c r="N21" i="58"/>
  <c r="E21" i="58"/>
  <c r="I21" i="58"/>
  <c r="L21" i="58"/>
  <c r="M21" i="58"/>
  <c r="D21" i="58"/>
  <c r="G21" i="58"/>
  <c r="K21" i="58"/>
  <c r="C12" i="59"/>
  <c r="D52" i="58"/>
  <c r="N52" i="58"/>
  <c r="J52" i="58"/>
  <c r="F52" i="58"/>
  <c r="M52" i="58"/>
  <c r="P52" i="58"/>
  <c r="I52" i="58"/>
  <c r="E52" i="58"/>
  <c r="L52" i="58"/>
  <c r="O52" i="58"/>
  <c r="H52" i="58"/>
  <c r="K52" i="58"/>
  <c r="G52" i="58"/>
  <c r="D33" i="58"/>
  <c r="O33" i="58"/>
  <c r="K33" i="58"/>
  <c r="N33" i="58"/>
  <c r="F33" i="58"/>
  <c r="J33" i="58"/>
  <c r="E33" i="58"/>
  <c r="M33" i="58"/>
  <c r="I33" i="58"/>
  <c r="P33" i="58"/>
  <c r="L33" i="58"/>
  <c r="H33" i="58"/>
  <c r="G33" i="58"/>
  <c r="H12" i="59"/>
  <c r="L13" i="59"/>
  <c r="C15" i="48"/>
  <c r="D46" i="58"/>
  <c r="N46" i="58"/>
  <c r="G46" i="58"/>
  <c r="J46" i="58"/>
  <c r="M46" i="58"/>
  <c r="F46" i="58"/>
  <c r="P46" i="58"/>
  <c r="I46" i="58"/>
  <c r="E46" i="58"/>
  <c r="L46" i="58"/>
  <c r="O46" i="58"/>
  <c r="H46" i="58"/>
  <c r="K46" i="58"/>
  <c r="D53" i="58"/>
  <c r="G53" i="58"/>
  <c r="K53" i="58"/>
  <c r="F53" i="58"/>
  <c r="N53" i="58"/>
  <c r="J53" i="58"/>
  <c r="E53" i="58"/>
  <c r="M53" i="58"/>
  <c r="I53" i="58"/>
  <c r="P53" i="58"/>
  <c r="H53" i="58"/>
  <c r="L53" i="58"/>
  <c r="O53" i="58"/>
  <c r="G23" i="58"/>
  <c r="I23" i="58"/>
  <c r="D23" i="58"/>
  <c r="L23" i="58"/>
  <c r="H23" i="58"/>
  <c r="E23" i="58"/>
  <c r="P23" i="58"/>
  <c r="K23" i="58"/>
  <c r="F23" i="58"/>
  <c r="J23" i="58"/>
  <c r="O23" i="58"/>
  <c r="N23" i="58"/>
  <c r="M23" i="58"/>
  <c r="O12" i="59"/>
  <c r="D42" i="58"/>
  <c r="F42" i="58"/>
  <c r="J42" i="58"/>
  <c r="M42" i="58"/>
  <c r="K42" i="58"/>
  <c r="P42" i="58"/>
  <c r="I42" i="58"/>
  <c r="H42" i="58"/>
  <c r="E42" i="58"/>
  <c r="L42" i="58"/>
  <c r="O42" i="58"/>
  <c r="G42" i="58"/>
  <c r="N42" i="58"/>
  <c r="D7" i="58"/>
  <c r="P7" i="58"/>
  <c r="L7" i="58"/>
  <c r="O7" i="58"/>
  <c r="H7" i="58"/>
  <c r="K7" i="58"/>
  <c r="F7" i="58"/>
  <c r="G7" i="58"/>
  <c r="N7" i="58"/>
  <c r="J7" i="58"/>
  <c r="M7" i="58"/>
  <c r="I7" i="58"/>
  <c r="E7" i="58"/>
  <c r="D35" i="58"/>
  <c r="I35" i="58"/>
  <c r="P35" i="58"/>
  <c r="L35" i="58"/>
  <c r="H35" i="58"/>
  <c r="E35" i="58"/>
  <c r="O35" i="58"/>
  <c r="G35" i="58"/>
  <c r="K35" i="58"/>
  <c r="F35" i="58"/>
  <c r="N35" i="58"/>
  <c r="J35" i="58"/>
  <c r="M35" i="58"/>
  <c r="N45" i="58"/>
  <c r="M45" i="58"/>
  <c r="I45" i="58"/>
  <c r="L45" i="58"/>
  <c r="E45" i="58"/>
  <c r="P45" i="58"/>
  <c r="H45" i="58"/>
  <c r="K45" i="58"/>
  <c r="D45" i="58"/>
  <c r="O45" i="58"/>
  <c r="G45" i="58"/>
  <c r="J45" i="58"/>
  <c r="F45" i="58"/>
  <c r="D28" i="58"/>
  <c r="H28" i="58"/>
  <c r="L28" i="58"/>
  <c r="O28" i="58"/>
  <c r="M28" i="58"/>
  <c r="K28" i="58"/>
  <c r="J28" i="58"/>
  <c r="F28" i="58"/>
  <c r="G28" i="58"/>
  <c r="N28" i="58"/>
  <c r="I28" i="58"/>
  <c r="P28" i="58"/>
  <c r="E28" i="58"/>
  <c r="J44" i="50"/>
  <c r="O16" i="48"/>
  <c r="E15" i="48"/>
  <c r="M40" i="58"/>
  <c r="L40" i="58"/>
  <c r="E40" i="58"/>
  <c r="H40" i="58"/>
  <c r="P40" i="58"/>
  <c r="F40" i="58"/>
  <c r="K40" i="58"/>
  <c r="D40" i="58"/>
  <c r="G40" i="58"/>
  <c r="O40" i="58"/>
  <c r="J40" i="58"/>
  <c r="N40" i="58"/>
  <c r="I40" i="58"/>
  <c r="D26" i="58"/>
  <c r="I26" i="58"/>
  <c r="M26" i="58"/>
  <c r="H26" i="58"/>
  <c r="P26" i="58"/>
  <c r="L26" i="58"/>
  <c r="N26" i="58"/>
  <c r="E26" i="58"/>
  <c r="G26" i="58"/>
  <c r="J26" i="58"/>
  <c r="O26" i="58"/>
  <c r="K26" i="58"/>
  <c r="F26" i="58"/>
  <c r="N15" i="59"/>
  <c r="F6" i="59"/>
  <c r="N16" i="48"/>
  <c r="D15" i="48"/>
  <c r="O11" i="58"/>
  <c r="H11" i="58"/>
  <c r="D11" i="58"/>
  <c r="G11" i="58"/>
  <c r="N11" i="58"/>
  <c r="J11" i="58"/>
  <c r="L11" i="58"/>
  <c r="M11" i="58"/>
  <c r="F11" i="58"/>
  <c r="I11" i="58"/>
  <c r="E11" i="58"/>
  <c r="P11" i="58"/>
  <c r="K11" i="58"/>
  <c r="D55" i="58"/>
  <c r="G55" i="58"/>
  <c r="K55" i="58"/>
  <c r="F55" i="58"/>
  <c r="J55" i="58"/>
  <c r="O55" i="58"/>
  <c r="N55" i="58"/>
  <c r="E55" i="58"/>
  <c r="P55" i="58"/>
  <c r="L55" i="58"/>
  <c r="I55" i="58"/>
  <c r="M55" i="58"/>
  <c r="H55" i="58"/>
  <c r="M15" i="59"/>
  <c r="E6" i="59"/>
  <c r="M29" i="58"/>
  <c r="O29" i="58"/>
  <c r="G29" i="58"/>
  <c r="J29" i="58"/>
  <c r="N29" i="58"/>
  <c r="F29" i="58"/>
  <c r="I29" i="58"/>
  <c r="L29" i="58"/>
  <c r="E29" i="58"/>
  <c r="H29" i="58"/>
  <c r="P29" i="58"/>
  <c r="D29" i="58"/>
  <c r="K29" i="58"/>
  <c r="D48" i="58"/>
  <c r="M48" i="58"/>
  <c r="E48" i="58"/>
  <c r="L48" i="58"/>
  <c r="H48" i="58"/>
  <c r="O48" i="58"/>
  <c r="F48" i="58"/>
  <c r="K48" i="58"/>
  <c r="G48" i="58"/>
  <c r="N48" i="58"/>
  <c r="J48" i="58"/>
  <c r="I48" i="58"/>
  <c r="P48" i="58"/>
  <c r="M6" i="58"/>
  <c r="F6" i="58"/>
  <c r="I6" i="58"/>
  <c r="L6" i="58"/>
  <c r="E6" i="58"/>
  <c r="P6" i="58"/>
  <c r="H6" i="58"/>
  <c r="K6" i="58"/>
  <c r="D6" i="58"/>
  <c r="O6" i="58"/>
  <c r="G6" i="58"/>
  <c r="J6" i="58"/>
  <c r="N6" i="58"/>
  <c r="C15" i="59"/>
  <c r="D6" i="59"/>
  <c r="D38" i="58"/>
  <c r="M38" i="58"/>
  <c r="H38" i="58"/>
  <c r="P38" i="58"/>
  <c r="L38" i="58"/>
  <c r="N38" i="58"/>
  <c r="E38" i="58"/>
  <c r="G38" i="58"/>
  <c r="O38" i="58"/>
  <c r="K38" i="58"/>
  <c r="F38" i="58"/>
  <c r="J38" i="58"/>
  <c r="I38" i="58"/>
  <c r="K57" i="58"/>
  <c r="I57" i="58"/>
  <c r="E57" i="58"/>
  <c r="H57" i="58"/>
  <c r="P57" i="58"/>
  <c r="D57" i="58"/>
  <c r="G57" i="58"/>
  <c r="O57" i="58"/>
  <c r="J57" i="58"/>
  <c r="F57" i="58"/>
  <c r="N57" i="58"/>
  <c r="M57" i="58"/>
  <c r="L57" i="58"/>
  <c r="L43" i="58"/>
  <c r="I43" i="58"/>
  <c r="E43" i="58"/>
  <c r="H43" i="58"/>
  <c r="P43" i="58"/>
  <c r="K43" i="58"/>
  <c r="D43" i="58"/>
  <c r="G43" i="58"/>
  <c r="O43" i="58"/>
  <c r="J43" i="58"/>
  <c r="N43" i="58"/>
  <c r="F43" i="58"/>
  <c r="M43" i="58"/>
  <c r="D16" i="58"/>
  <c r="M16" i="58"/>
  <c r="I16" i="58"/>
  <c r="P16" i="58"/>
  <c r="H16" i="58"/>
  <c r="L16" i="58"/>
  <c r="E16" i="58"/>
  <c r="G16" i="58"/>
  <c r="O16" i="58"/>
  <c r="K16" i="58"/>
  <c r="F16" i="58"/>
  <c r="N16" i="58"/>
  <c r="J16" i="58"/>
  <c r="L15" i="59"/>
  <c r="G6" i="59"/>
  <c r="W38" i="50"/>
  <c r="D60" i="58"/>
  <c r="N60" i="58"/>
  <c r="I60" i="58"/>
  <c r="M60" i="58"/>
  <c r="H60" i="58"/>
  <c r="P60" i="58"/>
  <c r="L60" i="58"/>
  <c r="E60" i="58"/>
  <c r="G60" i="58"/>
  <c r="K60" i="58"/>
  <c r="F60" i="58"/>
  <c r="O60" i="58"/>
  <c r="J60" i="58"/>
  <c r="J20" i="58"/>
  <c r="G20" i="58"/>
  <c r="O20" i="58"/>
  <c r="F20" i="58"/>
  <c r="N20" i="58"/>
  <c r="I20" i="58"/>
  <c r="L20" i="58"/>
  <c r="E20" i="58"/>
  <c r="M20" i="58"/>
  <c r="H20" i="58"/>
  <c r="D20" i="58"/>
  <c r="P20" i="58"/>
  <c r="K20" i="58"/>
  <c r="E56" i="58"/>
  <c r="N56" i="58"/>
  <c r="I56" i="58"/>
  <c r="M56" i="58"/>
  <c r="H56" i="58"/>
  <c r="L56" i="58"/>
  <c r="P56" i="58"/>
  <c r="G56" i="58"/>
  <c r="K56" i="58"/>
  <c r="F56" i="58"/>
  <c r="J56" i="58"/>
  <c r="O56" i="58"/>
  <c r="D56" i="58"/>
  <c r="K15" i="59"/>
  <c r="H6" i="59"/>
  <c r="D51" i="58"/>
  <c r="P51" i="58"/>
  <c r="G51" i="58"/>
  <c r="F51" i="58"/>
  <c r="J51" i="58"/>
  <c r="O51" i="58"/>
  <c r="E51" i="58"/>
  <c r="L51" i="58"/>
  <c r="N51" i="58"/>
  <c r="I51" i="58"/>
  <c r="M51" i="58"/>
  <c r="H51" i="58"/>
  <c r="K51" i="58"/>
  <c r="L47" i="58"/>
  <c r="K47" i="58"/>
  <c r="D47" i="58"/>
  <c r="G47" i="58"/>
  <c r="O47" i="58"/>
  <c r="J47" i="58"/>
  <c r="N47" i="58"/>
  <c r="F47" i="58"/>
  <c r="I47" i="58"/>
  <c r="M47" i="58"/>
  <c r="E47" i="58"/>
  <c r="H47" i="58"/>
  <c r="P47" i="58"/>
  <c r="P13" i="58"/>
  <c r="E13" i="58"/>
  <c r="D13" i="58"/>
  <c r="K13" i="58"/>
  <c r="N13" i="58"/>
  <c r="G13" i="58"/>
  <c r="L13" i="58"/>
  <c r="J13" i="58"/>
  <c r="I13" i="58"/>
  <c r="M13" i="58"/>
  <c r="F13" i="58"/>
  <c r="H13" i="58"/>
  <c r="O13" i="58"/>
  <c r="O49" i="58"/>
  <c r="I49" i="58"/>
  <c r="L49" i="58"/>
  <c r="E49" i="58"/>
  <c r="P49" i="58"/>
  <c r="J49" i="58"/>
  <c r="H49" i="58"/>
  <c r="G49" i="58"/>
  <c r="K49" i="58"/>
  <c r="D49" i="58"/>
  <c r="N49" i="58"/>
  <c r="F49" i="58"/>
  <c r="M49" i="58"/>
  <c r="K44" i="50"/>
  <c r="I16" i="48"/>
  <c r="P32" i="58"/>
  <c r="J32" i="58"/>
  <c r="F32" i="58"/>
  <c r="I32" i="58"/>
  <c r="L32" i="58"/>
  <c r="E32" i="58"/>
  <c r="O32" i="58"/>
  <c r="H32" i="58"/>
  <c r="K32" i="58"/>
  <c r="D32" i="58"/>
  <c r="N32" i="58"/>
  <c r="G32" i="58"/>
  <c r="M32" i="58"/>
  <c r="O15" i="58"/>
  <c r="K15" i="58"/>
  <c r="N15" i="58"/>
  <c r="D15" i="58"/>
  <c r="G15" i="58"/>
  <c r="E15" i="58"/>
  <c r="J15" i="58"/>
  <c r="M15" i="58"/>
  <c r="F15" i="58"/>
  <c r="I15" i="58"/>
  <c r="L15" i="58"/>
  <c r="P15" i="58"/>
  <c r="H15" i="58"/>
  <c r="J15" i="59"/>
  <c r="S27" i="50"/>
  <c r="U20" i="50"/>
  <c r="P35" i="50"/>
  <c r="G35" i="50"/>
  <c r="K62" i="58"/>
  <c r="G62" i="58"/>
  <c r="J62" i="58"/>
  <c r="O62" i="58"/>
  <c r="F62" i="58"/>
  <c r="N62" i="58"/>
  <c r="I62" i="58"/>
  <c r="L62" i="58"/>
  <c r="E62" i="58"/>
  <c r="M62" i="58"/>
  <c r="H62" i="58"/>
  <c r="D62" i="58"/>
  <c r="P62" i="58"/>
  <c r="D54" i="58"/>
  <c r="L54" i="58"/>
  <c r="E54" i="58"/>
  <c r="O54" i="58"/>
  <c r="H54" i="58"/>
  <c r="K54" i="58"/>
  <c r="N54" i="58"/>
  <c r="G54" i="58"/>
  <c r="J54" i="58"/>
  <c r="M54" i="58"/>
  <c r="F54" i="58"/>
  <c r="P54" i="58"/>
  <c r="I54" i="58"/>
  <c r="D10" i="58"/>
  <c r="G10" i="58"/>
  <c r="O10" i="58"/>
  <c r="K10" i="58"/>
  <c r="F10" i="58"/>
  <c r="J10" i="58"/>
  <c r="E10" i="58"/>
  <c r="L10" i="58"/>
  <c r="N10" i="58"/>
  <c r="I10" i="58"/>
  <c r="M10" i="58"/>
  <c r="H10" i="58"/>
  <c r="P10" i="58"/>
  <c r="D18" i="58"/>
  <c r="I18" i="58"/>
  <c r="M18" i="58"/>
  <c r="H18" i="58"/>
  <c r="P18" i="58"/>
  <c r="L18" i="58"/>
  <c r="E18" i="58"/>
  <c r="G18" i="58"/>
  <c r="O18" i="58"/>
  <c r="K18" i="58"/>
  <c r="F18" i="58"/>
  <c r="N18" i="58"/>
  <c r="J18" i="58"/>
  <c r="E12" i="59"/>
  <c r="I15" i="59"/>
  <c r="F40" i="50"/>
  <c r="L62" i="50"/>
  <c r="D19" i="58"/>
  <c r="J19" i="58"/>
  <c r="M19" i="58"/>
  <c r="F19" i="58"/>
  <c r="P19" i="58"/>
  <c r="I19" i="58"/>
  <c r="L19" i="58"/>
  <c r="E19" i="58"/>
  <c r="O19" i="58"/>
  <c r="H19" i="58"/>
  <c r="K19" i="58"/>
  <c r="N19" i="58"/>
  <c r="G19" i="58"/>
  <c r="K17" i="58"/>
  <c r="D17" i="58"/>
  <c r="O17" i="58"/>
  <c r="J17" i="58"/>
  <c r="N17" i="58"/>
  <c r="F17" i="58"/>
  <c r="H17" i="58"/>
  <c r="L17" i="58"/>
  <c r="I17" i="58"/>
  <c r="M17" i="58"/>
  <c r="E17" i="58"/>
  <c r="P17" i="58"/>
  <c r="G17" i="58"/>
  <c r="G12" i="59"/>
  <c r="G15" i="59"/>
  <c r="M19" i="50"/>
  <c r="N13" i="48"/>
  <c r="N17" i="48"/>
  <c r="D27" i="58"/>
  <c r="L27" i="58"/>
  <c r="E27" i="58"/>
  <c r="O27" i="58"/>
  <c r="H27" i="58"/>
  <c r="K27" i="58"/>
  <c r="N27" i="58"/>
  <c r="G27" i="58"/>
  <c r="P27" i="58"/>
  <c r="J27" i="58"/>
  <c r="M27" i="58"/>
  <c r="F27" i="58"/>
  <c r="I27" i="58"/>
  <c r="D36" i="58"/>
  <c r="O36" i="58"/>
  <c r="G36" i="58"/>
  <c r="K36" i="58"/>
  <c r="F36" i="58"/>
  <c r="N36" i="58"/>
  <c r="J36" i="58"/>
  <c r="E36" i="58"/>
  <c r="M36" i="58"/>
  <c r="I36" i="58"/>
  <c r="P36" i="58"/>
  <c r="H36" i="58"/>
  <c r="L36" i="58"/>
  <c r="D44" i="58"/>
  <c r="G44" i="58"/>
  <c r="K44" i="58"/>
  <c r="F44" i="58"/>
  <c r="N44" i="58"/>
  <c r="J44" i="58"/>
  <c r="E44" i="58"/>
  <c r="L44" i="58"/>
  <c r="P44" i="58"/>
  <c r="I44" i="58"/>
  <c r="M44" i="58"/>
  <c r="H44" i="58"/>
  <c r="O44" i="58"/>
  <c r="K13" i="48"/>
  <c r="R39" i="50"/>
  <c r="J15" i="48"/>
  <c r="I15" i="48"/>
  <c r="F19" i="48"/>
  <c r="J19" i="48"/>
  <c r="H19" i="48"/>
  <c r="K20" i="48"/>
  <c r="L20" i="48"/>
  <c r="N19" i="48"/>
  <c r="J17" i="48"/>
  <c r="E16" i="48"/>
  <c r="H51" i="50"/>
  <c r="D16" i="48"/>
  <c r="O13" i="48"/>
  <c r="L13" i="48"/>
  <c r="K11" i="28"/>
  <c r="V62" i="50"/>
  <c r="J18" i="48"/>
  <c r="K17" i="48"/>
  <c r="J7" i="50"/>
  <c r="L17" i="48"/>
  <c r="G62" i="50"/>
  <c r="W49" i="49"/>
  <c r="P7" i="50"/>
  <c r="C5" i="57"/>
  <c r="T25" i="50"/>
  <c r="E43" i="50"/>
  <c r="K25" i="50"/>
  <c r="K5" i="57"/>
  <c r="I7" i="50"/>
  <c r="R62" i="50"/>
  <c r="N7" i="50"/>
  <c r="F47" i="40"/>
  <c r="E62" i="50"/>
  <c r="F43" i="50"/>
  <c r="J25" i="50"/>
  <c r="F62" i="50"/>
  <c r="T62" i="50"/>
  <c r="E19" i="48"/>
  <c r="S62" i="50"/>
  <c r="H13" i="48"/>
  <c r="E20" i="48"/>
  <c r="H17" i="48"/>
  <c r="N43" i="50"/>
  <c r="D13" i="48"/>
  <c r="H20" i="48"/>
  <c r="M7" i="50"/>
  <c r="S7" i="50"/>
  <c r="I17" i="48"/>
  <c r="I20" i="48"/>
  <c r="I19" i="48"/>
  <c r="M17" i="48"/>
  <c r="K28" i="28"/>
  <c r="M20" i="48"/>
  <c r="E18" i="48"/>
  <c r="G20" i="50"/>
  <c r="H18" i="48"/>
  <c r="V20" i="50"/>
  <c r="H20" i="50"/>
  <c r="M19" i="48"/>
  <c r="K56" i="50"/>
  <c r="N20" i="48"/>
  <c r="C20" i="48"/>
  <c r="M56" i="50"/>
  <c r="F17" i="48"/>
  <c r="J20" i="48"/>
  <c r="K19" i="48"/>
  <c r="L19" i="48"/>
  <c r="O20" i="48"/>
  <c r="W33" i="49"/>
  <c r="G30" i="50"/>
  <c r="G17" i="48"/>
  <c r="M5" i="57"/>
  <c r="D19" i="48"/>
  <c r="R22" i="50"/>
  <c r="K18" i="48"/>
  <c r="G18" i="48"/>
  <c r="C17" i="48"/>
  <c r="G24" i="50"/>
  <c r="G19" i="48"/>
  <c r="F20" i="48"/>
  <c r="L18" i="48"/>
  <c r="E17" i="48"/>
  <c r="G20" i="48"/>
  <c r="M18" i="48"/>
  <c r="F18" i="48"/>
  <c r="Q22" i="50"/>
  <c r="U30" i="50"/>
  <c r="O19" i="48"/>
  <c r="H59" i="50"/>
  <c r="I18" i="48"/>
  <c r="O18" i="48"/>
  <c r="C18" i="48"/>
  <c r="N18" i="48"/>
  <c r="H37" i="50"/>
  <c r="E40" i="50"/>
  <c r="O17" i="48"/>
  <c r="K51" i="28"/>
  <c r="AH25" i="52"/>
  <c r="O28" i="50"/>
  <c r="J22" i="50"/>
  <c r="L13" i="50"/>
  <c r="Q28" i="50"/>
  <c r="I25" i="50"/>
  <c r="S13" i="50"/>
  <c r="D13" i="50"/>
  <c r="D12" i="48"/>
  <c r="E12" i="48"/>
  <c r="H12" i="48"/>
  <c r="F12" i="48"/>
  <c r="I12" i="48"/>
  <c r="J12" i="48"/>
  <c r="K12" i="48"/>
  <c r="L12" i="48"/>
  <c r="M12" i="48"/>
  <c r="N12" i="48"/>
  <c r="O12" i="48"/>
  <c r="C12" i="48"/>
  <c r="D10" i="48"/>
  <c r="E10" i="48"/>
  <c r="H10" i="48"/>
  <c r="F10" i="48"/>
  <c r="I10" i="48"/>
  <c r="J10" i="48"/>
  <c r="K10" i="48"/>
  <c r="L10" i="48"/>
  <c r="M10" i="48"/>
  <c r="N10" i="48"/>
  <c r="O10" i="48"/>
  <c r="C10" i="48"/>
  <c r="D6" i="48"/>
  <c r="O6" i="48"/>
  <c r="H6" i="48"/>
  <c r="N6" i="48"/>
  <c r="M6" i="48"/>
  <c r="L6" i="48"/>
  <c r="E6" i="48"/>
  <c r="I6" i="48"/>
  <c r="K6" i="48"/>
  <c r="J6" i="48"/>
  <c r="D7" i="48"/>
  <c r="C7" i="48"/>
  <c r="E7" i="48"/>
  <c r="H7" i="48"/>
  <c r="F7" i="48"/>
  <c r="I7" i="48"/>
  <c r="J7" i="48"/>
  <c r="K7" i="48"/>
  <c r="L7" i="48"/>
  <c r="M7" i="48"/>
  <c r="N7" i="48"/>
  <c r="O7" i="48"/>
  <c r="D14" i="48"/>
  <c r="E14" i="48"/>
  <c r="H14" i="48"/>
  <c r="F14" i="48"/>
  <c r="I14" i="48"/>
  <c r="J14" i="48"/>
  <c r="K14" i="48"/>
  <c r="L14" i="48"/>
  <c r="M14" i="48"/>
  <c r="N14" i="48"/>
  <c r="O14" i="48"/>
  <c r="C14" i="48"/>
  <c r="D9" i="48"/>
  <c r="E9" i="48"/>
  <c r="C9" i="48"/>
  <c r="H9" i="48"/>
  <c r="F9" i="48"/>
  <c r="I9" i="48"/>
  <c r="J9" i="48"/>
  <c r="K9" i="48"/>
  <c r="L9" i="48"/>
  <c r="M9" i="48"/>
  <c r="N9" i="48"/>
  <c r="O9" i="48"/>
  <c r="D11" i="48"/>
  <c r="H11" i="48"/>
  <c r="F11" i="48"/>
  <c r="C11" i="48"/>
  <c r="I11" i="48"/>
  <c r="J11" i="48"/>
  <c r="K11" i="48"/>
  <c r="L11" i="48"/>
  <c r="M11" i="48"/>
  <c r="N11" i="48"/>
  <c r="O11" i="48"/>
  <c r="D8" i="48"/>
  <c r="E8" i="48"/>
  <c r="H8" i="48"/>
  <c r="F8" i="48"/>
  <c r="I8" i="48"/>
  <c r="J8" i="48"/>
  <c r="K8" i="48"/>
  <c r="L8" i="48"/>
  <c r="M8" i="48"/>
  <c r="N8" i="48"/>
  <c r="O8" i="48"/>
  <c r="C8" i="48"/>
  <c r="E52" i="28"/>
  <c r="M27" i="50"/>
  <c r="L5" i="57"/>
  <c r="U46" i="50"/>
  <c r="J5" i="57"/>
  <c r="I5" i="57"/>
  <c r="N38" i="50"/>
  <c r="H5" i="57"/>
  <c r="G5" i="57"/>
  <c r="B21" i="39"/>
  <c r="J21" i="39" s="1"/>
  <c r="B10" i="55"/>
  <c r="B8" i="55"/>
  <c r="B6" i="55"/>
  <c r="F5" i="57"/>
  <c r="K27" i="50"/>
  <c r="J46" i="50"/>
  <c r="J27" i="50"/>
  <c r="M16" i="50"/>
  <c r="B7" i="55"/>
  <c r="N27" i="50"/>
  <c r="B5" i="39"/>
  <c r="B5" i="55"/>
  <c r="B11" i="55"/>
  <c r="B9" i="55"/>
  <c r="A5" i="48"/>
  <c r="D27" i="50"/>
  <c r="V27" i="50"/>
  <c r="U23" i="50"/>
  <c r="H23" i="50"/>
  <c r="V17" i="50"/>
  <c r="D40" i="50"/>
  <c r="T11" i="50"/>
  <c r="BB55" i="52"/>
  <c r="E5" i="57"/>
  <c r="T60" i="50"/>
  <c r="V55" i="50"/>
  <c r="H42" i="50"/>
  <c r="W21" i="50"/>
  <c r="S25" i="50"/>
  <c r="O52" i="50"/>
  <c r="H22" i="28"/>
  <c r="S23" i="50"/>
  <c r="K29" i="50"/>
  <c r="W6" i="49"/>
  <c r="M25" i="52"/>
  <c r="AW40" i="52"/>
  <c r="F43" i="52"/>
  <c r="F40" i="52"/>
  <c r="E11" i="28"/>
  <c r="O43" i="52"/>
  <c r="C12" i="57"/>
  <c r="D40" i="52"/>
  <c r="AH28" i="52"/>
  <c r="D43" i="52"/>
  <c r="V51" i="50"/>
  <c r="S43" i="50"/>
  <c r="AY43" i="52"/>
  <c r="K17" i="50"/>
  <c r="U51" i="50"/>
  <c r="S29" i="50"/>
  <c r="BB56" i="52"/>
  <c r="I51" i="50"/>
  <c r="K6" i="50"/>
  <c r="H56" i="52"/>
  <c r="L53" i="50"/>
  <c r="N6" i="50"/>
  <c r="K22" i="50"/>
  <c r="AI28" i="52"/>
  <c r="H55" i="52"/>
  <c r="T29" i="50"/>
  <c r="AW33" i="52"/>
  <c r="R55" i="52"/>
  <c r="I53" i="50"/>
  <c r="AM55" i="52"/>
  <c r="AM25" i="52"/>
  <c r="L29" i="50"/>
  <c r="T53" i="50"/>
  <c r="L41" i="50"/>
  <c r="E6" i="50"/>
  <c r="Q51" i="50"/>
  <c r="Q53" i="50"/>
  <c r="C19" i="57"/>
  <c r="M55" i="52"/>
  <c r="Q52" i="50"/>
  <c r="D14" i="57"/>
  <c r="AI55" i="52"/>
  <c r="AQ55" i="52"/>
  <c r="AY55" i="52"/>
  <c r="N43" i="52"/>
  <c r="N34" i="52"/>
  <c r="AH43" i="52"/>
  <c r="D56" i="52"/>
  <c r="H43" i="52"/>
  <c r="Q33" i="50"/>
  <c r="M43" i="50"/>
  <c r="N56" i="50"/>
  <c r="AJ34" i="52"/>
  <c r="Q62" i="50"/>
  <c r="H53" i="50"/>
  <c r="V22" i="50"/>
  <c r="R24" i="50"/>
  <c r="AZ34" i="52"/>
  <c r="J17" i="50"/>
  <c r="V56" i="50"/>
  <c r="D19" i="57"/>
  <c r="O56" i="52"/>
  <c r="L34" i="52"/>
  <c r="O23" i="52"/>
  <c r="L21" i="52"/>
  <c r="M19" i="57"/>
  <c r="P56" i="50"/>
  <c r="U23" i="52"/>
  <c r="F51" i="50"/>
  <c r="AY10" i="52"/>
  <c r="AW23" i="52"/>
  <c r="M45" i="50"/>
  <c r="H44" i="40"/>
  <c r="K44" i="40"/>
  <c r="AP28" i="52"/>
  <c r="AM32" i="52"/>
  <c r="AZ43" i="52"/>
  <c r="K13" i="57"/>
  <c r="F45" i="50"/>
  <c r="T61" i="50"/>
  <c r="R40" i="52"/>
  <c r="AE43" i="52"/>
  <c r="E19" i="57"/>
  <c r="J43" i="52"/>
  <c r="V45" i="50"/>
  <c r="AI34" i="52"/>
  <c r="V61" i="50"/>
  <c r="G19" i="57"/>
  <c r="L60" i="50"/>
  <c r="AH23" i="52"/>
  <c r="H16" i="57"/>
  <c r="E16" i="57"/>
  <c r="B49" i="39"/>
  <c r="M56" i="52"/>
  <c r="AM28" i="52"/>
  <c r="AW56" i="52"/>
  <c r="D55" i="50"/>
  <c r="AB14" i="52"/>
  <c r="AP23" i="52"/>
  <c r="AQ43" i="52"/>
  <c r="U55" i="50"/>
  <c r="V31" i="50"/>
  <c r="E45" i="50"/>
  <c r="F19" i="57"/>
  <c r="AM34" i="52"/>
  <c r="F56" i="52"/>
  <c r="I19" i="57"/>
  <c r="AZ28" i="52"/>
  <c r="BB53" i="52"/>
  <c r="J55" i="50"/>
  <c r="H19" i="57"/>
  <c r="S60" i="50"/>
  <c r="N56" i="52"/>
  <c r="J18" i="50"/>
  <c r="AI25" i="52"/>
  <c r="AW43" i="52"/>
  <c r="AJ43" i="52"/>
  <c r="AI49" i="52"/>
  <c r="AQ25" i="52"/>
  <c r="AI43" i="52"/>
  <c r="AZ25" i="52"/>
  <c r="AQ56" i="52"/>
  <c r="W47" i="50"/>
  <c r="W41" i="50"/>
  <c r="K15" i="57"/>
  <c r="AY40" i="52"/>
  <c r="M47" i="50"/>
  <c r="C6" i="57"/>
  <c r="B61" i="39"/>
  <c r="AY25" i="52"/>
  <c r="S51" i="50"/>
  <c r="K11" i="57"/>
  <c r="N45" i="50"/>
  <c r="AB49" i="52"/>
  <c r="P45" i="50"/>
  <c r="AB22" i="52"/>
  <c r="D56" i="50"/>
  <c r="D25" i="52"/>
  <c r="N40" i="52"/>
  <c r="F50" i="52"/>
  <c r="H25" i="52"/>
  <c r="R61" i="52"/>
  <c r="E7" i="57"/>
  <c r="AB32" i="52"/>
  <c r="I60" i="50"/>
  <c r="G13" i="57"/>
  <c r="M50" i="52"/>
  <c r="AY23" i="52"/>
  <c r="AJ40" i="52"/>
  <c r="AB33" i="52"/>
  <c r="AH32" i="52"/>
  <c r="F31" i="52"/>
  <c r="I6" i="57"/>
  <c r="L6" i="57"/>
  <c r="P60" i="50"/>
  <c r="J23" i="52"/>
  <c r="I13" i="57"/>
  <c r="G6" i="57"/>
  <c r="L43" i="50"/>
  <c r="AI32" i="52"/>
  <c r="L40" i="52"/>
  <c r="K12" i="57"/>
  <c r="AP32" i="52"/>
  <c r="AQ31" i="52"/>
  <c r="H32" i="52"/>
  <c r="Q39" i="50"/>
  <c r="AW54" i="52"/>
  <c r="AP33" i="52"/>
  <c r="M54" i="52"/>
  <c r="AM54" i="52"/>
  <c r="M16" i="57"/>
  <c r="AI21" i="52"/>
  <c r="AZ49" i="52"/>
  <c r="AQ53" i="52"/>
  <c r="U34" i="52"/>
  <c r="M40" i="52"/>
  <c r="AI40" i="52"/>
  <c r="U22" i="50"/>
  <c r="P16" i="50"/>
  <c r="K16" i="57"/>
  <c r="J19" i="57"/>
  <c r="M49" i="52"/>
  <c r="AM40" i="52"/>
  <c r="R21" i="52"/>
  <c r="F42" i="50"/>
  <c r="M13" i="57"/>
  <c r="C16" i="57"/>
  <c r="AB54" i="52"/>
  <c r="AB34" i="52"/>
  <c r="AQ34" i="52"/>
  <c r="H6" i="57"/>
  <c r="G12" i="57"/>
  <c r="F16" i="57"/>
  <c r="J16" i="57"/>
  <c r="L13" i="57"/>
  <c r="K17" i="57"/>
  <c r="AY49" i="52"/>
  <c r="F20" i="52"/>
  <c r="AP40" i="52"/>
  <c r="AJ49" i="52"/>
  <c r="AE54" i="52"/>
  <c r="AJ21" i="52"/>
  <c r="AE32" i="52"/>
  <c r="AE34" i="52"/>
  <c r="D34" i="52"/>
  <c r="AJ32" i="52"/>
  <c r="R42" i="50"/>
  <c r="Q42" i="50"/>
  <c r="I16" i="57"/>
  <c r="D31" i="40"/>
  <c r="AY34" i="52"/>
  <c r="AW34" i="52"/>
  <c r="H54" i="52"/>
  <c r="B30" i="39"/>
  <c r="I30" i="39" s="1"/>
  <c r="AY54" i="52"/>
  <c r="F32" i="52"/>
  <c r="L16" i="57"/>
  <c r="AB40" i="52"/>
  <c r="AH40" i="52"/>
  <c r="AP54" i="52"/>
  <c r="D12" i="57"/>
  <c r="D11" i="57"/>
  <c r="D16" i="57"/>
  <c r="AH21" i="52"/>
  <c r="H40" i="52"/>
  <c r="P40" i="52"/>
  <c r="D15" i="57"/>
  <c r="AB25" i="52"/>
  <c r="AI53" i="52"/>
  <c r="P23" i="52"/>
  <c r="J13" i="57"/>
  <c r="F7" i="57"/>
  <c r="I17" i="57"/>
  <c r="E57" i="29"/>
  <c r="AB19" i="52"/>
  <c r="AI33" i="52"/>
  <c r="AY56" i="52"/>
  <c r="AW55" i="52"/>
  <c r="N26" i="52"/>
  <c r="E14" i="57"/>
  <c r="D9" i="57"/>
  <c r="B41" i="39"/>
  <c r="K41" i="39" s="1"/>
  <c r="AI26" i="52"/>
  <c r="H18" i="57"/>
  <c r="D17" i="57"/>
  <c r="B40" i="39"/>
  <c r="M40" i="39" s="1"/>
  <c r="F21" i="52"/>
  <c r="AP21" i="52"/>
  <c r="N53" i="52"/>
  <c r="J14" i="57"/>
  <c r="B16" i="39"/>
  <c r="M16" i="39" s="1"/>
  <c r="AB47" i="52"/>
  <c r="AW49" i="52"/>
  <c r="BB26" i="52"/>
  <c r="B15" i="39"/>
  <c r="I15" i="39" s="1"/>
  <c r="AU26" i="52"/>
  <c r="C14" i="57"/>
  <c r="M17" i="57"/>
  <c r="B38" i="39"/>
  <c r="I38" i="39" s="1"/>
  <c r="AI56" i="52"/>
  <c r="D12" i="52"/>
  <c r="P26" i="52"/>
  <c r="AJ56" i="52"/>
  <c r="N21" i="52"/>
  <c r="AU21" i="52"/>
  <c r="P3" i="40"/>
  <c r="L3" i="40"/>
  <c r="B10" i="39"/>
  <c r="D10" i="39" s="1"/>
  <c r="AZ33" i="52"/>
  <c r="AQ26" i="52"/>
  <c r="P33" i="52"/>
  <c r="N33" i="52"/>
  <c r="G14" i="57"/>
  <c r="L7" i="57"/>
  <c r="B27" i="39"/>
  <c r="J27" i="39" s="1"/>
  <c r="M16" i="52"/>
  <c r="J11" i="57"/>
  <c r="E17" i="57"/>
  <c r="B50" i="39"/>
  <c r="L50" i="39" s="1"/>
  <c r="AM22" i="52"/>
  <c r="F9" i="57"/>
  <c r="K14" i="57"/>
  <c r="B25" i="39"/>
  <c r="L25" i="39" s="1"/>
  <c r="U22" i="52"/>
  <c r="AE33" i="52"/>
  <c r="M9" i="57"/>
  <c r="B48" i="39"/>
  <c r="E48" i="39" s="1"/>
  <c r="D10" i="52"/>
  <c r="H19" i="52"/>
  <c r="BB21" i="52"/>
  <c r="U16" i="52"/>
  <c r="O22" i="52"/>
  <c r="I7" i="57"/>
  <c r="M26" i="52"/>
  <c r="AY26" i="52"/>
  <c r="F55" i="52"/>
  <c r="AP56" i="52"/>
  <c r="AQ16" i="52"/>
  <c r="O25" i="52"/>
  <c r="I14" i="57"/>
  <c r="AB57" i="52"/>
  <c r="AY29" i="52"/>
  <c r="AM26" i="52"/>
  <c r="AW26" i="52"/>
  <c r="F14" i="52"/>
  <c r="U26" i="52"/>
  <c r="F14" i="57"/>
  <c r="J10" i="57"/>
  <c r="E12" i="57"/>
  <c r="L11" i="57"/>
  <c r="AY12" i="52"/>
  <c r="AQ21" i="52"/>
  <c r="U21" i="52"/>
  <c r="O26" i="52"/>
  <c r="H9" i="57"/>
  <c r="M10" i="57"/>
  <c r="W13" i="49"/>
  <c r="M22" i="52"/>
  <c r="AH22" i="52"/>
  <c r="AP22" i="52"/>
  <c r="U53" i="52"/>
  <c r="D7" i="57"/>
  <c r="J17" i="57"/>
  <c r="W9" i="49"/>
  <c r="AB16" i="52"/>
  <c r="D22" i="52"/>
  <c r="AP26" i="52"/>
  <c r="H14" i="57"/>
  <c r="L12" i="57"/>
  <c r="F17" i="57"/>
  <c r="AB26" i="52"/>
  <c r="J9" i="57"/>
  <c r="C17" i="57"/>
  <c r="C11" i="57"/>
  <c r="N41" i="28"/>
  <c r="D41" i="28"/>
  <c r="E45" i="29"/>
  <c r="E58" i="29"/>
  <c r="E50" i="29"/>
  <c r="I10" i="57"/>
  <c r="E7" i="28"/>
  <c r="D7" i="28"/>
  <c r="L23" i="28"/>
  <c r="D23" i="28"/>
  <c r="H59" i="28"/>
  <c r="D59" i="28"/>
  <c r="E42" i="28"/>
  <c r="D42" i="28"/>
  <c r="AW47" i="52"/>
  <c r="AZ10" i="52"/>
  <c r="J55" i="52"/>
  <c r="E21" i="29"/>
  <c r="E34" i="29"/>
  <c r="E26" i="29"/>
  <c r="J18" i="57"/>
  <c r="J8" i="57"/>
  <c r="L14" i="57"/>
  <c r="E8" i="57"/>
  <c r="E55" i="28"/>
  <c r="D55" i="28"/>
  <c r="F5" i="28"/>
  <c r="D5" i="28"/>
  <c r="E10" i="28"/>
  <c r="D10" i="28"/>
  <c r="AH53" i="52"/>
  <c r="F54" i="52"/>
  <c r="AZ53" i="52"/>
  <c r="BB14" i="52"/>
  <c r="J22" i="52"/>
  <c r="E44" i="29"/>
  <c r="E10" i="29"/>
  <c r="E49" i="29"/>
  <c r="F6" i="57"/>
  <c r="C9" i="57"/>
  <c r="H12" i="57"/>
  <c r="J17" i="28"/>
  <c r="D17" i="28"/>
  <c r="N14" i="28"/>
  <c r="D14" i="28"/>
  <c r="AH54" i="52"/>
  <c r="AW22" i="52"/>
  <c r="D54" i="52"/>
  <c r="J54" i="52"/>
  <c r="L54" i="52"/>
  <c r="E20" i="29"/>
  <c r="E9" i="29"/>
  <c r="E25" i="29"/>
  <c r="F8" i="57"/>
  <c r="D10" i="57"/>
  <c r="L19" i="57"/>
  <c r="J32" i="28"/>
  <c r="D32" i="28"/>
  <c r="E43" i="28"/>
  <c r="D43" i="28"/>
  <c r="H39" i="28"/>
  <c r="D39" i="28"/>
  <c r="AZ47" i="52"/>
  <c r="AJ22" i="52"/>
  <c r="E43" i="29"/>
  <c r="E33" i="29"/>
  <c r="Q3" i="40"/>
  <c r="L18" i="57"/>
  <c r="H11" i="57"/>
  <c r="H15" i="57"/>
  <c r="J7" i="57"/>
  <c r="H17" i="57"/>
  <c r="H53" i="28"/>
  <c r="D53" i="28"/>
  <c r="L49" i="28"/>
  <c r="D49" i="28"/>
  <c r="E28" i="28"/>
  <c r="D28" i="28"/>
  <c r="E19" i="29"/>
  <c r="E56" i="29"/>
  <c r="L6" i="28"/>
  <c r="D6" i="28"/>
  <c r="F24" i="28"/>
  <c r="D24" i="28"/>
  <c r="E13" i="28"/>
  <c r="D13" i="28"/>
  <c r="AY14" i="52"/>
  <c r="D47" i="52"/>
  <c r="AZ22" i="52"/>
  <c r="U14" i="52"/>
  <c r="L22" i="52"/>
  <c r="E42" i="29"/>
  <c r="E32" i="29"/>
  <c r="O3" i="40"/>
  <c r="J6" i="57"/>
  <c r="F11" i="57"/>
  <c r="J12" i="57"/>
  <c r="E26" i="28"/>
  <c r="D26" i="28"/>
  <c r="E50" i="28"/>
  <c r="D50" i="28"/>
  <c r="F11" i="28"/>
  <c r="D11" i="28"/>
  <c r="E22" i="28"/>
  <c r="D22" i="28"/>
  <c r="N14" i="52"/>
  <c r="E18" i="29"/>
  <c r="E8" i="29"/>
  <c r="N3" i="40"/>
  <c r="E18" i="57"/>
  <c r="L8" i="57"/>
  <c r="F10" i="57"/>
  <c r="E9" i="28"/>
  <c r="D9" i="28"/>
  <c r="E16" i="28"/>
  <c r="D16" i="28"/>
  <c r="E38" i="28"/>
  <c r="D38" i="28"/>
  <c r="E44" i="28"/>
  <c r="D44" i="28"/>
  <c r="J52" i="28"/>
  <c r="D52" i="28"/>
  <c r="AP47" i="52"/>
  <c r="E40" i="29"/>
  <c r="E55" i="29"/>
  <c r="M3" i="40"/>
  <c r="F19" i="28"/>
  <c r="D19" i="28"/>
  <c r="E39" i="29"/>
  <c r="E31" i="29"/>
  <c r="H57" i="28"/>
  <c r="D57" i="28"/>
  <c r="E15" i="29"/>
  <c r="E7" i="29"/>
  <c r="K3" i="40"/>
  <c r="D8" i="57"/>
  <c r="E48" i="28"/>
  <c r="D48" i="28"/>
  <c r="F25" i="28"/>
  <c r="D25" i="28"/>
  <c r="AB53" i="52"/>
  <c r="AZ14" i="52"/>
  <c r="J14" i="52"/>
  <c r="O53" i="52"/>
  <c r="E16" i="29"/>
  <c r="E17" i="29"/>
  <c r="H3" i="40"/>
  <c r="G18" i="57"/>
  <c r="I8" i="57"/>
  <c r="E29" i="28"/>
  <c r="D29" i="28"/>
  <c r="H30" i="28"/>
  <c r="D30" i="28"/>
  <c r="B14" i="39"/>
  <c r="AI22" i="52"/>
  <c r="H22" i="52"/>
  <c r="AZ41" i="52"/>
  <c r="U54" i="52"/>
  <c r="O14" i="52"/>
  <c r="E38" i="29"/>
  <c r="E54" i="29"/>
  <c r="I3" i="40"/>
  <c r="I18" i="57"/>
  <c r="M15" i="57"/>
  <c r="E6" i="57"/>
  <c r="F12" i="57"/>
  <c r="M12" i="28"/>
  <c r="D12" i="28"/>
  <c r="E15" i="28"/>
  <c r="D15" i="28"/>
  <c r="H53" i="52"/>
  <c r="AZ54" i="52"/>
  <c r="J53" i="52"/>
  <c r="O54" i="52"/>
  <c r="N54" i="52"/>
  <c r="E14" i="29"/>
  <c r="E30" i="29"/>
  <c r="G3" i="40"/>
  <c r="C10" i="57"/>
  <c r="C7" i="57"/>
  <c r="L9" i="57"/>
  <c r="E47" i="28"/>
  <c r="D47" i="28"/>
  <c r="F8" i="28"/>
  <c r="D8" i="28"/>
  <c r="E61" i="28"/>
  <c r="D61" i="28"/>
  <c r="F56" i="28"/>
  <c r="D56" i="28"/>
  <c r="E33" i="28"/>
  <c r="D33" i="28"/>
  <c r="N54" i="28"/>
  <c r="D54" i="28"/>
  <c r="M17" i="52"/>
  <c r="AH41" i="52"/>
  <c r="F53" i="52"/>
  <c r="AP50" i="52"/>
  <c r="BB54" i="52"/>
  <c r="P22" i="52"/>
  <c r="L14" i="52"/>
  <c r="AU22" i="52"/>
  <c r="E61" i="29"/>
  <c r="E6" i="29"/>
  <c r="F3" i="40"/>
  <c r="C18" i="57"/>
  <c r="E11" i="57"/>
  <c r="I15" i="57"/>
  <c r="F15" i="57"/>
  <c r="H7" i="57"/>
  <c r="C4" i="35"/>
  <c r="C11" i="35"/>
  <c r="C14" i="35"/>
  <c r="C9" i="35"/>
  <c r="C8" i="35"/>
  <c r="C6" i="35"/>
  <c r="C10" i="35"/>
  <c r="C12" i="35"/>
  <c r="C7" i="35"/>
  <c r="C5" i="35"/>
  <c r="C13" i="35"/>
  <c r="L34" i="28"/>
  <c r="D34" i="28"/>
  <c r="E18" i="28"/>
  <c r="D18" i="28"/>
  <c r="F27" i="28"/>
  <c r="D27" i="28"/>
  <c r="H36" i="28"/>
  <c r="D36" i="28"/>
  <c r="N21" i="28"/>
  <c r="D21" i="28"/>
  <c r="AM14" i="52"/>
  <c r="AW53" i="52"/>
  <c r="E37" i="29"/>
  <c r="E53" i="29"/>
  <c r="J3" i="40"/>
  <c r="M18" i="57"/>
  <c r="K18" i="57"/>
  <c r="K8" i="57"/>
  <c r="K10" i="57"/>
  <c r="G10" i="57"/>
  <c r="H10" i="57"/>
  <c r="E31" i="28"/>
  <c r="D31" i="28"/>
  <c r="E37" i="28"/>
  <c r="D37" i="28"/>
  <c r="D53" i="52"/>
  <c r="E13" i="29"/>
  <c r="E29" i="29"/>
  <c r="E3" i="40"/>
  <c r="F46" i="28"/>
  <c r="D46" i="28"/>
  <c r="AY22" i="52"/>
  <c r="D14" i="52"/>
  <c r="BB22" i="52"/>
  <c r="P54" i="52"/>
  <c r="E41" i="29"/>
  <c r="E5" i="29"/>
  <c r="D3" i="40"/>
  <c r="D18" i="57"/>
  <c r="E13" i="57"/>
  <c r="K9" i="57"/>
  <c r="AB41" i="52"/>
  <c r="AH47" i="52"/>
  <c r="P14" i="52"/>
  <c r="E48" i="29"/>
  <c r="E60" i="29"/>
  <c r="E52" i="29"/>
  <c r="R3" i="40"/>
  <c r="I11" i="57"/>
  <c r="J15" i="57"/>
  <c r="G8" i="57"/>
  <c r="G7" i="57"/>
  <c r="F51" i="28"/>
  <c r="D51" i="28"/>
  <c r="AI14" i="52"/>
  <c r="AY53" i="52"/>
  <c r="AM53" i="52"/>
  <c r="D31" i="52"/>
  <c r="D41" i="52"/>
  <c r="H24" i="52"/>
  <c r="BB40" i="52"/>
  <c r="R22" i="52"/>
  <c r="AE21" i="52"/>
  <c r="E24" i="29"/>
  <c r="E36" i="29"/>
  <c r="E28" i="29"/>
  <c r="G9" i="57"/>
  <c r="E9" i="57"/>
  <c r="F13" i="57"/>
  <c r="E15" i="57"/>
  <c r="G17" i="57"/>
  <c r="AH14" i="52"/>
  <c r="AW14" i="52"/>
  <c r="H14" i="52"/>
  <c r="AE53" i="52"/>
  <c r="E47" i="29"/>
  <c r="E12" i="29"/>
  <c r="E4" i="29"/>
  <c r="M6" i="57"/>
  <c r="K6" i="57"/>
  <c r="C13" i="57"/>
  <c r="L10" i="57"/>
  <c r="M7" i="57"/>
  <c r="I12" i="57"/>
  <c r="L58" i="28"/>
  <c r="D58" i="28"/>
  <c r="E35" i="28"/>
  <c r="D35" i="28"/>
  <c r="E60" i="28"/>
  <c r="D60" i="28"/>
  <c r="E23" i="29"/>
  <c r="E59" i="29"/>
  <c r="E51" i="29"/>
  <c r="H8" i="57"/>
  <c r="C8" i="57"/>
  <c r="J20" i="28"/>
  <c r="D20" i="28"/>
  <c r="E40" i="28"/>
  <c r="D40" i="28"/>
  <c r="M53" i="52"/>
  <c r="AY47" i="52"/>
  <c r="F47" i="52"/>
  <c r="AQ13" i="52"/>
  <c r="L47" i="52"/>
  <c r="AE14" i="52"/>
  <c r="E46" i="29"/>
  <c r="E35" i="29"/>
  <c r="E27" i="29"/>
  <c r="M11" i="57"/>
  <c r="L15" i="57"/>
  <c r="G15" i="57"/>
  <c r="F45" i="28"/>
  <c r="D45" i="28"/>
  <c r="M41" i="52"/>
  <c r="AI54" i="52"/>
  <c r="AP14" i="52"/>
  <c r="N22" i="52"/>
  <c r="E22" i="29"/>
  <c r="E11" i="29"/>
  <c r="H13" i="57"/>
  <c r="W57" i="49"/>
  <c r="W51" i="49"/>
  <c r="W34" i="49"/>
  <c r="W62" i="49"/>
  <c r="W42" i="49"/>
  <c r="W27" i="49"/>
  <c r="W20" i="49"/>
  <c r="W25" i="49"/>
  <c r="F24" i="40"/>
  <c r="M28" i="40"/>
  <c r="R24" i="40"/>
  <c r="G28" i="40"/>
  <c r="E34" i="40"/>
  <c r="Q24" i="40"/>
  <c r="L28" i="40"/>
  <c r="O34" i="40"/>
  <c r="N28" i="40"/>
  <c r="N24" i="40"/>
  <c r="D48" i="40"/>
  <c r="Q34" i="40"/>
  <c r="I53" i="40"/>
  <c r="E28" i="40"/>
  <c r="E24" i="40"/>
  <c r="G20" i="40"/>
  <c r="N23" i="40"/>
  <c r="L34" i="40"/>
  <c r="E53" i="40"/>
  <c r="Q56" i="40"/>
  <c r="P48" i="40"/>
  <c r="K20" i="40"/>
  <c r="I28" i="40"/>
  <c r="O28" i="40"/>
  <c r="Q20" i="40"/>
  <c r="F34" i="40"/>
  <c r="K61" i="40"/>
  <c r="Q28" i="40"/>
  <c r="L24" i="40"/>
  <c r="H24" i="40"/>
  <c r="N56" i="40"/>
  <c r="I35" i="28"/>
  <c r="L45" i="28"/>
  <c r="I11" i="28"/>
  <c r="I21" i="28"/>
  <c r="N36" i="28"/>
  <c r="K37" i="28"/>
  <c r="K36" i="28"/>
  <c r="G37" i="28"/>
  <c r="L19" i="28"/>
  <c r="N23" i="28"/>
  <c r="F59" i="28"/>
  <c r="G55" i="28"/>
  <c r="I20" i="28"/>
  <c r="G23" i="28"/>
  <c r="G45" i="28"/>
  <c r="G50" i="28"/>
  <c r="I33" i="28"/>
  <c r="I12" i="28"/>
  <c r="N38" i="28"/>
  <c r="F16" i="28"/>
  <c r="I40" i="28"/>
  <c r="I49" i="28"/>
  <c r="H40" i="28"/>
  <c r="G36" i="28"/>
  <c r="N49" i="28"/>
  <c r="N37" i="28"/>
  <c r="K39" i="28"/>
  <c r="N55" i="28"/>
  <c r="G58" i="28"/>
  <c r="L20" i="28"/>
  <c r="G53" i="28"/>
  <c r="J45" i="28"/>
  <c r="L35" i="28"/>
  <c r="N53" i="28"/>
  <c r="F35" i="28"/>
  <c r="G21" i="28"/>
  <c r="J11" i="28"/>
  <c r="L11" i="28"/>
  <c r="L40" i="28"/>
  <c r="N19" i="28"/>
  <c r="N47" i="28"/>
  <c r="H45" i="28"/>
  <c r="I53" i="28"/>
  <c r="N61" i="28"/>
  <c r="L55" i="28"/>
  <c r="J55" i="28"/>
  <c r="L32" i="28"/>
  <c r="G48" i="28"/>
  <c r="I43" i="28"/>
  <c r="J36" i="28"/>
  <c r="L41" i="28"/>
  <c r="N45" i="28"/>
  <c r="N28" i="28"/>
  <c r="F39" i="28"/>
  <c r="G20" i="28"/>
  <c r="G16" i="28"/>
  <c r="N32" i="28"/>
  <c r="I36" i="28"/>
  <c r="I45" i="28"/>
  <c r="J53" i="28"/>
  <c r="L31" i="28"/>
  <c r="N40" i="28"/>
  <c r="N50" i="28"/>
  <c r="G38" i="28"/>
  <c r="J35" i="28"/>
  <c r="J6" i="28"/>
  <c r="L61" i="28"/>
  <c r="G49" i="28"/>
  <c r="I32" i="28"/>
  <c r="J26" i="28"/>
  <c r="K59" i="28"/>
  <c r="J34" i="28"/>
  <c r="N16" i="28"/>
  <c r="K14" i="28"/>
  <c r="L38" i="28"/>
  <c r="N9" i="28"/>
  <c r="G8" i="28"/>
  <c r="J5" i="28"/>
  <c r="J8" i="28"/>
  <c r="J44" i="28"/>
  <c r="N20" i="28"/>
  <c r="H35" i="28"/>
  <c r="L53" i="28"/>
  <c r="G17" i="28"/>
  <c r="I17" i="28"/>
  <c r="I18" i="28"/>
  <c r="G18" i="28"/>
  <c r="I55" i="28"/>
  <c r="I56" i="28"/>
  <c r="I34" i="28"/>
  <c r="J23" i="28"/>
  <c r="J43" i="28"/>
  <c r="J33" i="28"/>
  <c r="L47" i="28"/>
  <c r="L8" i="28"/>
  <c r="L5" i="28"/>
  <c r="N31" i="28"/>
  <c r="H33" i="28"/>
  <c r="I58" i="28"/>
  <c r="I27" i="28"/>
  <c r="J37" i="28"/>
  <c r="J59" i="28"/>
  <c r="L9" i="28"/>
  <c r="L24" i="28"/>
  <c r="N35" i="28"/>
  <c r="N11" i="28"/>
  <c r="F37" i="28"/>
  <c r="J16" i="28"/>
  <c r="L16" i="28"/>
  <c r="N7" i="28"/>
  <c r="K56" i="28"/>
  <c r="N17" i="28"/>
  <c r="K9" i="28"/>
  <c r="I61" i="28"/>
  <c r="L7" i="28"/>
  <c r="G14" i="28"/>
  <c r="G26" i="28"/>
  <c r="G61" i="28"/>
  <c r="I16" i="28"/>
  <c r="L37" i="28"/>
  <c r="N56" i="28"/>
  <c r="G9" i="28"/>
  <c r="I8" i="28"/>
  <c r="J18" i="28"/>
  <c r="J24" i="28"/>
  <c r="L18" i="28"/>
  <c r="G47" i="28"/>
  <c r="I31" i="28"/>
  <c r="J47" i="28"/>
  <c r="J49" i="28"/>
  <c r="N58" i="28"/>
  <c r="J7" i="28"/>
  <c r="N24" i="28"/>
  <c r="K8" i="28"/>
  <c r="J14" i="28"/>
  <c r="L27" i="28"/>
  <c r="G7" i="28"/>
  <c r="I47" i="28"/>
  <c r="I38" i="28"/>
  <c r="I26" i="28"/>
  <c r="J48" i="28"/>
  <c r="J9" i="28"/>
  <c r="L12" i="28"/>
  <c r="N27" i="28"/>
  <c r="N29" i="28"/>
  <c r="F15" i="28"/>
  <c r="J56" i="28"/>
  <c r="I9" i="28"/>
  <c r="J58" i="28"/>
  <c r="L56" i="28"/>
  <c r="G24" i="28"/>
  <c r="I7" i="28"/>
  <c r="G34" i="28"/>
  <c r="I24" i="28"/>
  <c r="J27" i="28"/>
  <c r="J19" i="28"/>
  <c r="J61" i="28"/>
  <c r="L17" i="28"/>
  <c r="L14" i="28"/>
  <c r="N8" i="28"/>
  <c r="N12" i="28"/>
  <c r="K33" i="28"/>
  <c r="G32" i="28"/>
  <c r="G56" i="28"/>
  <c r="I50" i="28"/>
  <c r="J46" i="28"/>
  <c r="L26" i="28"/>
  <c r="N18" i="28"/>
  <c r="N26" i="28"/>
  <c r="I14" i="28"/>
  <c r="D5" i="38"/>
  <c r="E5" i="38"/>
  <c r="AB10" i="52"/>
  <c r="AP24" i="52"/>
  <c r="O32" i="52"/>
  <c r="W5" i="50"/>
  <c r="BB32" i="52"/>
  <c r="AY24" i="52"/>
  <c r="AY17" i="52"/>
  <c r="AE24" i="52"/>
  <c r="AW24" i="52"/>
  <c r="AM15" i="52"/>
  <c r="AI24" i="52"/>
  <c r="E5" i="28"/>
  <c r="AB24" i="52"/>
  <c r="AM9" i="52"/>
  <c r="F24" i="52"/>
  <c r="AJ53" i="52"/>
  <c r="AM24" i="52"/>
  <c r="U43" i="52"/>
  <c r="W43" i="49"/>
  <c r="M51" i="52"/>
  <c r="AY37" i="52"/>
  <c r="D37" i="52"/>
  <c r="AH17" i="52"/>
  <c r="AI37" i="52"/>
  <c r="AW17" i="52"/>
  <c r="AB17" i="52"/>
  <c r="AI10" i="52"/>
  <c r="AM47" i="52"/>
  <c r="AP53" i="52"/>
  <c r="P53" i="52"/>
  <c r="AB55" i="52"/>
  <c r="AB43" i="52"/>
  <c r="AI47" i="52"/>
  <c r="AH37" i="52"/>
  <c r="AP43" i="52"/>
  <c r="AQ14" i="52"/>
  <c r="R53" i="52"/>
  <c r="AU40" i="52"/>
  <c r="AW20" i="52"/>
  <c r="H20" i="52"/>
  <c r="M29" i="52"/>
  <c r="M43" i="52"/>
  <c r="AM43" i="52"/>
  <c r="F37" i="52"/>
  <c r="F41" i="52"/>
  <c r="P25" i="52"/>
  <c r="J56" i="52"/>
  <c r="AB12" i="52"/>
  <c r="AQ12" i="52"/>
  <c r="P56" i="52"/>
  <c r="O19" i="52"/>
  <c r="L25" i="52"/>
  <c r="M11" i="52"/>
  <c r="AB11" i="52"/>
  <c r="D20" i="52"/>
  <c r="BB11" i="52"/>
  <c r="W54" i="49"/>
  <c r="AB37" i="52"/>
  <c r="AY33" i="52"/>
  <c r="AQ19" i="52"/>
  <c r="BB43" i="52"/>
  <c r="AB20" i="52"/>
  <c r="L33" i="52"/>
  <c r="U25" i="52"/>
  <c r="R56" i="52"/>
  <c r="AI11" i="52"/>
  <c r="H11" i="52"/>
  <c r="B45" i="55"/>
  <c r="AH45" i="55" s="1"/>
  <c r="N49" i="52"/>
  <c r="J25" i="52"/>
  <c r="W12" i="49"/>
  <c r="AM56" i="52"/>
  <c r="F22" i="52"/>
  <c r="BB25" i="52"/>
  <c r="J40" i="52"/>
  <c r="R34" i="52"/>
  <c r="L53" i="52"/>
  <c r="AM19" i="52"/>
  <c r="AH56" i="52"/>
  <c r="AW25" i="52"/>
  <c r="AP20" i="52"/>
  <c r="AQ22" i="52"/>
  <c r="R43" i="52"/>
  <c r="L56" i="52"/>
  <c r="R45" i="52"/>
  <c r="N20" i="52"/>
  <c r="F36" i="49"/>
  <c r="G27" i="49"/>
  <c r="H42" i="49"/>
  <c r="I57" i="49"/>
  <c r="K12" i="49"/>
  <c r="D25" i="49"/>
  <c r="E37" i="49"/>
  <c r="F49" i="49"/>
  <c r="G61" i="49"/>
  <c r="H46" i="49"/>
  <c r="I52" i="49"/>
  <c r="D17" i="49"/>
  <c r="E29" i="49"/>
  <c r="F41" i="49"/>
  <c r="G53" i="49"/>
  <c r="I5" i="49"/>
  <c r="J17" i="49"/>
  <c r="K29" i="49"/>
  <c r="D42" i="49"/>
  <c r="F39" i="49"/>
  <c r="G30" i="49"/>
  <c r="H45" i="49"/>
  <c r="I60" i="49"/>
  <c r="K15" i="49"/>
  <c r="D28" i="49"/>
  <c r="E40" i="49"/>
  <c r="F52" i="49"/>
  <c r="E6" i="49"/>
  <c r="H49" i="49"/>
  <c r="I55" i="49"/>
  <c r="K7" i="49"/>
  <c r="D20" i="49"/>
  <c r="E32" i="49"/>
  <c r="F44" i="49"/>
  <c r="G56" i="49"/>
  <c r="I8" i="49"/>
  <c r="J20" i="49"/>
  <c r="K32" i="49"/>
  <c r="D45" i="49"/>
  <c r="AQ4" i="35"/>
  <c r="AM4" i="35"/>
  <c r="F42" i="49"/>
  <c r="G33" i="49"/>
  <c r="H48" i="49"/>
  <c r="J6" i="49"/>
  <c r="K18" i="49"/>
  <c r="D31" i="49"/>
  <c r="E43" i="49"/>
  <c r="F55" i="49"/>
  <c r="E15" i="49"/>
  <c r="H52" i="49"/>
  <c r="I58" i="49"/>
  <c r="K10" i="49"/>
  <c r="D23" i="49"/>
  <c r="E35" i="49"/>
  <c r="F47" i="49"/>
  <c r="G59" i="49"/>
  <c r="I11" i="49"/>
  <c r="J23" i="49"/>
  <c r="K35" i="49"/>
  <c r="D48" i="49"/>
  <c r="F45" i="49"/>
  <c r="G36" i="49"/>
  <c r="H51" i="49"/>
  <c r="J9" i="49"/>
  <c r="K21" i="49"/>
  <c r="D34" i="49"/>
  <c r="E46" i="49"/>
  <c r="F58" i="49"/>
  <c r="E21" i="49"/>
  <c r="H55" i="49"/>
  <c r="I61" i="49"/>
  <c r="K13" i="49"/>
  <c r="D26" i="49"/>
  <c r="E38" i="49"/>
  <c r="F50" i="49"/>
  <c r="G62" i="49"/>
  <c r="I14" i="49"/>
  <c r="J26" i="49"/>
  <c r="K38" i="49"/>
  <c r="D51" i="49"/>
  <c r="AE61" i="52"/>
  <c r="L5" i="50"/>
  <c r="F48" i="49"/>
  <c r="G39" i="49"/>
  <c r="H54" i="49"/>
  <c r="J12" i="49"/>
  <c r="K24" i="49"/>
  <c r="D37" i="49"/>
  <c r="E49" i="49"/>
  <c r="F61" i="49"/>
  <c r="E27" i="49"/>
  <c r="H58" i="49"/>
  <c r="K16" i="49"/>
  <c r="D29" i="49"/>
  <c r="E41" i="49"/>
  <c r="F53" i="49"/>
  <c r="H5" i="49"/>
  <c r="I17" i="49"/>
  <c r="J29" i="49"/>
  <c r="K41" i="49"/>
  <c r="D54" i="49"/>
  <c r="AH61" i="52"/>
  <c r="N16" i="52"/>
  <c r="E5" i="50"/>
  <c r="F51" i="49"/>
  <c r="G42" i="49"/>
  <c r="H57" i="49"/>
  <c r="J15" i="49"/>
  <c r="K27" i="49"/>
  <c r="D40" i="49"/>
  <c r="E52" i="49"/>
  <c r="E36" i="49"/>
  <c r="H61" i="49"/>
  <c r="J7" i="49"/>
  <c r="K19" i="49"/>
  <c r="D32" i="49"/>
  <c r="E44" i="49"/>
  <c r="F56" i="49"/>
  <c r="H8" i="49"/>
  <c r="I20" i="49"/>
  <c r="J32" i="49"/>
  <c r="K44" i="49"/>
  <c r="D57" i="49"/>
  <c r="AV4" i="35"/>
  <c r="F54" i="49"/>
  <c r="G45" i="49"/>
  <c r="H60" i="49"/>
  <c r="J18" i="49"/>
  <c r="K30" i="49"/>
  <c r="D43" i="49"/>
  <c r="E55" i="49"/>
  <c r="G7" i="49"/>
  <c r="E42" i="49"/>
  <c r="E9" i="49"/>
  <c r="J10" i="49"/>
  <c r="K22" i="49"/>
  <c r="D35" i="49"/>
  <c r="E47" i="49"/>
  <c r="F59" i="49"/>
  <c r="H11" i="49"/>
  <c r="I23" i="49"/>
  <c r="J35" i="49"/>
  <c r="K47" i="49"/>
  <c r="D60" i="49"/>
  <c r="P9" i="52"/>
  <c r="F57" i="49"/>
  <c r="G48" i="49"/>
  <c r="I6" i="49"/>
  <c r="J21" i="49"/>
  <c r="K33" i="49"/>
  <c r="D46" i="49"/>
  <c r="E58" i="49"/>
  <c r="G10" i="49"/>
  <c r="E48" i="49"/>
  <c r="E33" i="49"/>
  <c r="J13" i="49"/>
  <c r="K25" i="49"/>
  <c r="D38" i="49"/>
  <c r="E50" i="49"/>
  <c r="F62" i="49"/>
  <c r="H14" i="49"/>
  <c r="I26" i="49"/>
  <c r="J38" i="49"/>
  <c r="K50" i="49"/>
  <c r="AQ10" i="52"/>
  <c r="AQ11" i="52"/>
  <c r="P11" i="52"/>
  <c r="O55" i="52"/>
  <c r="F60" i="49"/>
  <c r="G51" i="49"/>
  <c r="I9" i="49"/>
  <c r="J24" i="49"/>
  <c r="K36" i="49"/>
  <c r="D49" i="49"/>
  <c r="E61" i="49"/>
  <c r="G13" i="49"/>
  <c r="E54" i="49"/>
  <c r="J16" i="49"/>
  <c r="K28" i="49"/>
  <c r="D41" i="49"/>
  <c r="E53" i="49"/>
  <c r="G5" i="49"/>
  <c r="H17" i="49"/>
  <c r="I29" i="49"/>
  <c r="J41" i="49"/>
  <c r="K53" i="49"/>
  <c r="H16" i="52"/>
  <c r="E12" i="49"/>
  <c r="G54" i="49"/>
  <c r="I12" i="49"/>
  <c r="J27" i="49"/>
  <c r="K39" i="49"/>
  <c r="D52" i="49"/>
  <c r="G16" i="49"/>
  <c r="E57" i="49"/>
  <c r="I7" i="49"/>
  <c r="J19" i="49"/>
  <c r="K31" i="49"/>
  <c r="D44" i="49"/>
  <c r="E56" i="49"/>
  <c r="G8" i="49"/>
  <c r="H20" i="49"/>
  <c r="I32" i="49"/>
  <c r="J44" i="49"/>
  <c r="K56" i="49"/>
  <c r="M10" i="52"/>
  <c r="M33" i="52"/>
  <c r="AH10" i="52"/>
  <c r="H12" i="52"/>
  <c r="AQ33" i="52"/>
  <c r="E18" i="49"/>
  <c r="G57" i="49"/>
  <c r="I15" i="49"/>
  <c r="J30" i="49"/>
  <c r="K42" i="49"/>
  <c r="D55" i="49"/>
  <c r="F7" i="49"/>
  <c r="G19" i="49"/>
  <c r="I10" i="49"/>
  <c r="J22" i="49"/>
  <c r="K34" i="49"/>
  <c r="D47" i="49"/>
  <c r="E59" i="49"/>
  <c r="G11" i="49"/>
  <c r="H23" i="49"/>
  <c r="I35" i="49"/>
  <c r="J47" i="49"/>
  <c r="K59" i="49"/>
  <c r="AB9" i="52"/>
  <c r="E24" i="49"/>
  <c r="G60" i="49"/>
  <c r="I18" i="49"/>
  <c r="J33" i="49"/>
  <c r="K45" i="49"/>
  <c r="D58" i="49"/>
  <c r="F10" i="49"/>
  <c r="G22" i="49"/>
  <c r="H7" i="49"/>
  <c r="I13" i="49"/>
  <c r="J25" i="49"/>
  <c r="K37" i="49"/>
  <c r="D50" i="49"/>
  <c r="E62" i="49"/>
  <c r="G14" i="49"/>
  <c r="H26" i="49"/>
  <c r="I38" i="49"/>
  <c r="J50" i="49"/>
  <c r="K62" i="49"/>
  <c r="E30" i="49"/>
  <c r="H6" i="49"/>
  <c r="I21" i="49"/>
  <c r="J36" i="49"/>
  <c r="K48" i="49"/>
  <c r="D61" i="49"/>
  <c r="F13" i="49"/>
  <c r="G25" i="49"/>
  <c r="H10" i="49"/>
  <c r="I16" i="49"/>
  <c r="J28" i="49"/>
  <c r="K40" i="49"/>
  <c r="D53" i="49"/>
  <c r="F5" i="49"/>
  <c r="G17" i="49"/>
  <c r="H29" i="49"/>
  <c r="I41" i="49"/>
  <c r="J53" i="49"/>
  <c r="D6" i="49"/>
  <c r="Z4" i="35"/>
  <c r="AB29" i="52"/>
  <c r="AH9" i="52"/>
  <c r="AW31" i="52"/>
  <c r="H26" i="52"/>
  <c r="AQ29" i="52"/>
  <c r="E39" i="49"/>
  <c r="H9" i="49"/>
  <c r="I24" i="49"/>
  <c r="J39" i="49"/>
  <c r="K51" i="49"/>
  <c r="F16" i="49"/>
  <c r="G28" i="49"/>
  <c r="H13" i="49"/>
  <c r="I19" i="49"/>
  <c r="J31" i="49"/>
  <c r="K43" i="49"/>
  <c r="D56" i="49"/>
  <c r="F8" i="49"/>
  <c r="G20" i="49"/>
  <c r="H32" i="49"/>
  <c r="I44" i="49"/>
  <c r="J56" i="49"/>
  <c r="D9" i="49"/>
  <c r="AB61" i="52"/>
  <c r="AI20" i="52"/>
  <c r="AH11" i="52"/>
  <c r="AM12" i="52"/>
  <c r="AJ55" i="52"/>
  <c r="F6" i="49"/>
  <c r="E45" i="49"/>
  <c r="H12" i="49"/>
  <c r="I27" i="49"/>
  <c r="J42" i="49"/>
  <c r="K54" i="49"/>
  <c r="E7" i="49"/>
  <c r="F19" i="49"/>
  <c r="G31" i="49"/>
  <c r="H16" i="49"/>
  <c r="I22" i="49"/>
  <c r="J34" i="49"/>
  <c r="K46" i="49"/>
  <c r="D59" i="49"/>
  <c r="F11" i="49"/>
  <c r="G23" i="49"/>
  <c r="H35" i="49"/>
  <c r="I47" i="49"/>
  <c r="J59" i="49"/>
  <c r="D12" i="49"/>
  <c r="D61" i="52"/>
  <c r="AE31" i="52"/>
  <c r="F9" i="49"/>
  <c r="E51" i="49"/>
  <c r="H15" i="49"/>
  <c r="I30" i="49"/>
  <c r="J45" i="49"/>
  <c r="K57" i="49"/>
  <c r="E10" i="49"/>
  <c r="F22" i="49"/>
  <c r="G34" i="49"/>
  <c r="H19" i="49"/>
  <c r="I25" i="49"/>
  <c r="J37" i="49"/>
  <c r="K49" i="49"/>
  <c r="D62" i="49"/>
  <c r="F14" i="49"/>
  <c r="G26" i="49"/>
  <c r="H38" i="49"/>
  <c r="I50" i="49"/>
  <c r="J62" i="49"/>
  <c r="D15" i="49"/>
  <c r="AM33" i="52"/>
  <c r="D33" i="52"/>
  <c r="D26" i="52"/>
  <c r="AP29" i="52"/>
  <c r="AZ20" i="52"/>
  <c r="J33" i="52"/>
  <c r="AE55" i="52"/>
  <c r="F12" i="49"/>
  <c r="E60" i="49"/>
  <c r="H18" i="49"/>
  <c r="I33" i="49"/>
  <c r="J48" i="49"/>
  <c r="K60" i="49"/>
  <c r="E13" i="49"/>
  <c r="F25" i="49"/>
  <c r="G37" i="49"/>
  <c r="H22" i="49"/>
  <c r="I28" i="49"/>
  <c r="J40" i="49"/>
  <c r="K52" i="49"/>
  <c r="E5" i="49"/>
  <c r="F17" i="49"/>
  <c r="G29" i="49"/>
  <c r="H41" i="49"/>
  <c r="I53" i="49"/>
  <c r="K5" i="49"/>
  <c r="D18" i="49"/>
  <c r="AH33" i="52"/>
  <c r="AM11" i="52"/>
  <c r="D55" i="52"/>
  <c r="F26" i="52"/>
  <c r="AW16" i="52"/>
  <c r="AP61" i="52"/>
  <c r="AZ55" i="52"/>
  <c r="AQ54" i="52"/>
  <c r="U33" i="52"/>
  <c r="AJ45" i="52"/>
  <c r="N55" i="52"/>
  <c r="AE22" i="52"/>
  <c r="F15" i="49"/>
  <c r="G6" i="49"/>
  <c r="H21" i="49"/>
  <c r="I36" i="49"/>
  <c r="J51" i="49"/>
  <c r="E16" i="49"/>
  <c r="F28" i="49"/>
  <c r="G40" i="49"/>
  <c r="H25" i="49"/>
  <c r="I31" i="49"/>
  <c r="J43" i="49"/>
  <c r="K55" i="49"/>
  <c r="E8" i="49"/>
  <c r="F20" i="49"/>
  <c r="G32" i="49"/>
  <c r="H44" i="49"/>
  <c r="I56" i="49"/>
  <c r="K8" i="49"/>
  <c r="D21" i="49"/>
  <c r="J4" i="35"/>
  <c r="K4" i="35"/>
  <c r="AH16" i="52"/>
  <c r="AW11" i="52"/>
  <c r="AZ56" i="52"/>
  <c r="AQ24" i="52"/>
  <c r="U56" i="52"/>
  <c r="AE56" i="52"/>
  <c r="D5" i="50"/>
  <c r="F18" i="49"/>
  <c r="G9" i="49"/>
  <c r="H24" i="49"/>
  <c r="I39" i="49"/>
  <c r="J54" i="49"/>
  <c r="D7" i="49"/>
  <c r="E19" i="49"/>
  <c r="F31" i="49"/>
  <c r="G43" i="49"/>
  <c r="H28" i="49"/>
  <c r="I34" i="49"/>
  <c r="J46" i="49"/>
  <c r="K58" i="49"/>
  <c r="E11" i="49"/>
  <c r="F23" i="49"/>
  <c r="G35" i="49"/>
  <c r="H47" i="49"/>
  <c r="I59" i="49"/>
  <c r="K11" i="49"/>
  <c r="D24" i="49"/>
  <c r="BF4" i="35"/>
  <c r="BH4" i="35"/>
  <c r="W7" i="49"/>
  <c r="M61" i="52"/>
  <c r="AH31" i="52"/>
  <c r="H33" i="52"/>
  <c r="AZ16" i="52"/>
  <c r="R26" i="52"/>
  <c r="L55" i="52"/>
  <c r="AE26" i="52"/>
  <c r="Q5" i="50"/>
  <c r="F21" i="49"/>
  <c r="G12" i="49"/>
  <c r="H27" i="49"/>
  <c r="I42" i="49"/>
  <c r="D10" i="49"/>
  <c r="E22" i="49"/>
  <c r="F34" i="49"/>
  <c r="G46" i="49"/>
  <c r="H31" i="49"/>
  <c r="I37" i="49"/>
  <c r="J49" i="49"/>
  <c r="K61" i="49"/>
  <c r="E14" i="49"/>
  <c r="F26" i="49"/>
  <c r="G38" i="49"/>
  <c r="H50" i="49"/>
  <c r="I62" i="49"/>
  <c r="K14" i="49"/>
  <c r="D27" i="49"/>
  <c r="S4" i="35"/>
  <c r="AN4" i="35"/>
  <c r="AT4" i="35"/>
  <c r="O4" i="35"/>
  <c r="M20" i="52"/>
  <c r="AI61" i="52"/>
  <c r="F10" i="52"/>
  <c r="AW51" i="52"/>
  <c r="AP25" i="52"/>
  <c r="AZ12" i="52"/>
  <c r="BB34" i="52"/>
  <c r="R33" i="52"/>
  <c r="AU55" i="52"/>
  <c r="R5" i="50"/>
  <c r="F24" i="49"/>
  <c r="G15" i="49"/>
  <c r="H30" i="49"/>
  <c r="I45" i="49"/>
  <c r="J60" i="49"/>
  <c r="D13" i="49"/>
  <c r="E25" i="49"/>
  <c r="F37" i="49"/>
  <c r="G49" i="49"/>
  <c r="H34" i="49"/>
  <c r="I40" i="49"/>
  <c r="J52" i="49"/>
  <c r="D5" i="49"/>
  <c r="E17" i="49"/>
  <c r="F29" i="49"/>
  <c r="G41" i="49"/>
  <c r="H53" i="49"/>
  <c r="K17" i="49"/>
  <c r="D30" i="49"/>
  <c r="Q4" i="35"/>
  <c r="R4" i="35"/>
  <c r="AY4" i="35"/>
  <c r="M19" i="52"/>
  <c r="AH55" i="52"/>
  <c r="AW19" i="52"/>
  <c r="F61" i="52"/>
  <c r="AP19" i="52"/>
  <c r="AP9" i="52"/>
  <c r="P55" i="52"/>
  <c r="N25" i="52"/>
  <c r="F27" i="49"/>
  <c r="G18" i="49"/>
  <c r="H33" i="49"/>
  <c r="I48" i="49"/>
  <c r="D16" i="49"/>
  <c r="E28" i="49"/>
  <c r="F40" i="49"/>
  <c r="G52" i="49"/>
  <c r="H37" i="49"/>
  <c r="I43" i="49"/>
  <c r="J55" i="49"/>
  <c r="D8" i="49"/>
  <c r="E20" i="49"/>
  <c r="H56" i="49"/>
  <c r="J8" i="49"/>
  <c r="K20" i="49"/>
  <c r="D33" i="49"/>
  <c r="AH26" i="52"/>
  <c r="AZ26" i="52"/>
  <c r="AJ33" i="52"/>
  <c r="AU56" i="52"/>
  <c r="O5" i="50"/>
  <c r="F30" i="49"/>
  <c r="G21" i="49"/>
  <c r="H36" i="49"/>
  <c r="I51" i="49"/>
  <c r="K6" i="49"/>
  <c r="D19" i="49"/>
  <c r="E31" i="49"/>
  <c r="F43" i="49"/>
  <c r="G55" i="49"/>
  <c r="H40" i="49"/>
  <c r="I46" i="49"/>
  <c r="J58" i="49"/>
  <c r="D11" i="49"/>
  <c r="E23" i="49"/>
  <c r="F35" i="49"/>
  <c r="G47" i="49"/>
  <c r="H59" i="49"/>
  <c r="J11" i="49"/>
  <c r="K23" i="49"/>
  <c r="D36" i="49"/>
  <c r="AU4" i="35"/>
  <c r="X4" i="35"/>
  <c r="V5" i="50"/>
  <c r="F33" i="49"/>
  <c r="G24" i="49"/>
  <c r="H39" i="49"/>
  <c r="I54" i="49"/>
  <c r="K9" i="49"/>
  <c r="D22" i="49"/>
  <c r="E34" i="49"/>
  <c r="F46" i="49"/>
  <c r="G58" i="49"/>
  <c r="H43" i="49"/>
  <c r="I49" i="49"/>
  <c r="J61" i="49"/>
  <c r="D14" i="49"/>
  <c r="E26" i="49"/>
  <c r="F38" i="49"/>
  <c r="G50" i="49"/>
  <c r="H62" i="49"/>
  <c r="J14" i="49"/>
  <c r="K26" i="49"/>
  <c r="D39" i="49"/>
  <c r="P5" i="50"/>
  <c r="U5" i="50"/>
  <c r="J5" i="50"/>
  <c r="I5" i="50"/>
  <c r="F5" i="50"/>
  <c r="N5" i="50"/>
  <c r="T5" i="50"/>
  <c r="K5" i="50"/>
  <c r="H5" i="50"/>
  <c r="P10" i="52"/>
  <c r="AB35" i="52"/>
  <c r="AM6" i="52"/>
  <c r="P19" i="52"/>
  <c r="L11" i="52"/>
  <c r="AI17" i="52"/>
  <c r="D11" i="52"/>
  <c r="F11" i="52"/>
  <c r="AM17" i="52"/>
  <c r="F17" i="52"/>
  <c r="O11" i="52"/>
  <c r="AP6" i="52"/>
  <c r="AJ11" i="52"/>
  <c r="AI6" i="52"/>
  <c r="W60" i="49"/>
  <c r="AH6" i="52"/>
  <c r="AZ17" i="52"/>
  <c r="H6" i="52"/>
  <c r="AQ6" i="52"/>
  <c r="AQ57" i="52"/>
  <c r="R6" i="52"/>
  <c r="AZ6" i="52"/>
  <c r="D17" i="52"/>
  <c r="J6" i="52"/>
  <c r="O51" i="52"/>
  <c r="AM44" i="52"/>
  <c r="F51" i="52"/>
  <c r="P6" i="52"/>
  <c r="AY57" i="52"/>
  <c r="AM50" i="52"/>
  <c r="F23" i="52"/>
  <c r="F16" i="52"/>
  <c r="H61" i="52"/>
  <c r="AZ23" i="52"/>
  <c r="P13" i="52"/>
  <c r="AI57" i="52"/>
  <c r="AY61" i="52"/>
  <c r="AY21" i="52"/>
  <c r="F28" i="52"/>
  <c r="H50" i="52"/>
  <c r="AQ61" i="52"/>
  <c r="L61" i="52"/>
  <c r="AI46" i="52"/>
  <c r="AY35" i="52"/>
  <c r="AM16" i="52"/>
  <c r="AW57" i="52"/>
  <c r="AW61" i="52"/>
  <c r="AQ23" i="52"/>
  <c r="AU23" i="52"/>
  <c r="M23" i="52"/>
  <c r="AB21" i="52"/>
  <c r="AI50" i="52"/>
  <c r="AM21" i="52"/>
  <c r="D23" i="52"/>
  <c r="AW50" i="52"/>
  <c r="D21" i="52"/>
  <c r="BB16" i="52"/>
  <c r="P21" i="52"/>
  <c r="J61" i="52"/>
  <c r="AI59" i="52"/>
  <c r="J21" i="52"/>
  <c r="AJ61" i="52"/>
  <c r="N9" i="52"/>
  <c r="AB28" i="52"/>
  <c r="AW28" i="52"/>
  <c r="M57" i="52"/>
  <c r="AM51" i="52"/>
  <c r="D51" i="52"/>
  <c r="AQ9" i="52"/>
  <c r="R28" i="52"/>
  <c r="M35" i="52"/>
  <c r="AI41" i="52"/>
  <c r="AI9" i="52"/>
  <c r="AY6" i="52"/>
  <c r="AY32" i="52"/>
  <c r="AM13" i="52"/>
  <c r="D16" i="52"/>
  <c r="F6" i="52"/>
  <c r="F34" i="52"/>
  <c r="AP16" i="52"/>
  <c r="AQ28" i="52"/>
  <c r="BB33" i="52"/>
  <c r="P28" i="52"/>
  <c r="J9" i="52"/>
  <c r="O61" i="52"/>
  <c r="R54" i="52"/>
  <c r="L26" i="52"/>
  <c r="L51" i="52"/>
  <c r="AB51" i="52"/>
  <c r="AI29" i="52"/>
  <c r="AY16" i="52"/>
  <c r="AY7" i="52"/>
  <c r="AW12" i="52"/>
  <c r="H34" i="52"/>
  <c r="AZ9" i="52"/>
  <c r="J16" i="52"/>
  <c r="O21" i="52"/>
  <c r="AJ24" i="52"/>
  <c r="N11" i="52"/>
  <c r="AH50" i="52"/>
  <c r="BB28" i="52"/>
  <c r="M6" i="52"/>
  <c r="AB50" i="52"/>
  <c r="AI16" i="52"/>
  <c r="AY19" i="52"/>
  <c r="AM29" i="52"/>
  <c r="D6" i="52"/>
  <c r="D24" i="52"/>
  <c r="D50" i="52"/>
  <c r="H51" i="52"/>
  <c r="AZ24" i="52"/>
  <c r="AQ32" i="52"/>
  <c r="P61" i="52"/>
  <c r="U6" i="52"/>
  <c r="R32" i="52"/>
  <c r="L16" i="52"/>
  <c r="M44" i="52"/>
  <c r="M24" i="52"/>
  <c r="AI23" i="52"/>
  <c r="AH34" i="52"/>
  <c r="AM23" i="52"/>
  <c r="F19" i="52"/>
  <c r="D28" i="52"/>
  <c r="F12" i="52"/>
  <c r="H28" i="52"/>
  <c r="AZ11" i="52"/>
  <c r="BB24" i="52"/>
  <c r="P34" i="52"/>
  <c r="J34" i="52"/>
  <c r="O16" i="52"/>
  <c r="R16" i="52"/>
  <c r="AB23" i="52"/>
  <c r="M9" i="52"/>
  <c r="M34" i="52"/>
  <c r="AY11" i="52"/>
  <c r="AM41" i="52"/>
  <c r="AW6" i="52"/>
  <c r="D32" i="52"/>
  <c r="H23" i="52"/>
  <c r="H21" i="52"/>
  <c r="AZ61" i="52"/>
  <c r="BB19" i="52"/>
  <c r="BB51" i="52"/>
  <c r="P32" i="52"/>
  <c r="R24" i="52"/>
  <c r="N23" i="52"/>
  <c r="AY9" i="52"/>
  <c r="AZ50" i="52"/>
  <c r="P24" i="52"/>
  <c r="O34" i="52"/>
  <c r="AB6" i="52"/>
  <c r="M21" i="52"/>
  <c r="AM61" i="52"/>
  <c r="AW21" i="52"/>
  <c r="AP34" i="52"/>
  <c r="AZ21" i="52"/>
  <c r="P51" i="52"/>
  <c r="J28" i="52"/>
  <c r="N61" i="52"/>
  <c r="AE51" i="52"/>
  <c r="AJ16" i="52"/>
  <c r="J32" i="52"/>
  <c r="AE25" i="52"/>
  <c r="U32" i="52"/>
  <c r="AJ25" i="52"/>
  <c r="L50" i="52"/>
  <c r="N32" i="52"/>
  <c r="U11" i="52"/>
  <c r="L20" i="52"/>
  <c r="J24" i="52"/>
  <c r="L32" i="52"/>
  <c r="AE16" i="52"/>
  <c r="U24" i="52"/>
  <c r="R25" i="52"/>
  <c r="L28" i="52"/>
  <c r="AE19" i="52"/>
  <c r="AU25" i="52"/>
  <c r="F16" i="39"/>
  <c r="K16" i="39"/>
  <c r="B17" i="39"/>
  <c r="I17" i="39" s="1"/>
  <c r="B53" i="39"/>
  <c r="M53" i="39" s="1"/>
  <c r="J10" i="39"/>
  <c r="B19" i="39"/>
  <c r="M19" i="39" s="1"/>
  <c r="B52" i="39"/>
  <c r="G52" i="39" s="1"/>
  <c r="D14" i="39"/>
  <c r="B39" i="39"/>
  <c r="H39" i="39" s="1"/>
  <c r="B26" i="39"/>
  <c r="B13" i="39"/>
  <c r="F13" i="39" s="1"/>
  <c r="B37" i="39"/>
  <c r="L37" i="39" s="1"/>
  <c r="B47" i="39"/>
  <c r="D47" i="39" s="1"/>
  <c r="H30" i="39"/>
  <c r="K21" i="39"/>
  <c r="B60" i="39"/>
  <c r="E60" i="39" s="1"/>
  <c r="B46" i="39"/>
  <c r="J46" i="39" s="1"/>
  <c r="M21" i="39"/>
  <c r="L16" i="39"/>
  <c r="E49" i="39"/>
  <c r="B36" i="39"/>
  <c r="K36" i="39" s="1"/>
  <c r="G48" i="39"/>
  <c r="L10" i="39"/>
  <c r="E10" i="39"/>
  <c r="E21" i="39"/>
  <c r="L49" i="39"/>
  <c r="B59" i="39"/>
  <c r="L59" i="39" s="1"/>
  <c r="L38" i="39"/>
  <c r="B35" i="39"/>
  <c r="M35" i="39" s="1"/>
  <c r="H14" i="39"/>
  <c r="F49" i="39"/>
  <c r="B58" i="39"/>
  <c r="G58" i="39" s="1"/>
  <c r="F10" i="39"/>
  <c r="B57" i="39"/>
  <c r="I57" i="39" s="1"/>
  <c r="G49" i="39"/>
  <c r="L30" i="39"/>
  <c r="M38" i="39"/>
  <c r="K14" i="39"/>
  <c r="H49" i="39"/>
  <c r="B33" i="39"/>
  <c r="L33" i="39" s="1"/>
  <c r="K50" i="39"/>
  <c r="L48" i="39"/>
  <c r="E16" i="39"/>
  <c r="I49" i="39"/>
  <c r="B56" i="39"/>
  <c r="M56" i="39" s="1"/>
  <c r="H21" i="39"/>
  <c r="J49" i="39"/>
  <c r="B31" i="39"/>
  <c r="F31" i="39" s="1"/>
  <c r="B32" i="39"/>
  <c r="K32" i="39" s="1"/>
  <c r="D21" i="39"/>
  <c r="D30" i="39"/>
  <c r="I21" i="39"/>
  <c r="K49" i="39"/>
  <c r="B6" i="39"/>
  <c r="H6" i="39" s="1"/>
  <c r="B8" i="39"/>
  <c r="F30" i="39"/>
  <c r="H15" i="39"/>
  <c r="L14" i="39"/>
  <c r="J50" i="39"/>
  <c r="B28" i="39"/>
  <c r="J28" i="39" s="1"/>
  <c r="B44" i="39"/>
  <c r="M44" i="39" s="1"/>
  <c r="D16" i="39"/>
  <c r="I48" i="39"/>
  <c r="L21" i="39"/>
  <c r="E30" i="39"/>
  <c r="G21" i="39"/>
  <c r="B42" i="39"/>
  <c r="J42" i="39" s="1"/>
  <c r="B55" i="39"/>
  <c r="F55" i="39" s="1"/>
  <c r="G38" i="39"/>
  <c r="E14" i="39"/>
  <c r="B18" i="39"/>
  <c r="M18" i="39" s="1"/>
  <c r="B54" i="39"/>
  <c r="H54" i="39" s="1"/>
  <c r="D45" i="55"/>
  <c r="S45" i="55"/>
  <c r="AB45" i="55"/>
  <c r="AB15" i="52"/>
  <c r="M38" i="52"/>
  <c r="BB15" i="52"/>
  <c r="D62" i="55"/>
  <c r="AA62" i="55"/>
  <c r="AH62" i="55"/>
  <c r="AD62" i="55"/>
  <c r="V62" i="55"/>
  <c r="R62" i="55"/>
  <c r="J62" i="55"/>
  <c r="F62" i="55"/>
  <c r="M62" i="55"/>
  <c r="Z62" i="55"/>
  <c r="U62" i="55"/>
  <c r="Q62" i="55"/>
  <c r="AG62" i="55"/>
  <c r="AC62" i="55"/>
  <c r="L62" i="55"/>
  <c r="I62" i="55"/>
  <c r="E62" i="55"/>
  <c r="Y62" i="55"/>
  <c r="P62" i="55"/>
  <c r="T62" i="55"/>
  <c r="AF62" i="55"/>
  <c r="AB62" i="55"/>
  <c r="H62" i="55"/>
  <c r="X62" i="55"/>
  <c r="O62" i="55"/>
  <c r="AE62" i="55"/>
  <c r="K62" i="55"/>
  <c r="AI62" i="55"/>
  <c r="W62" i="55"/>
  <c r="S62" i="55"/>
  <c r="N62" i="55"/>
  <c r="G62" i="55"/>
  <c r="B43" i="55"/>
  <c r="P7" i="52"/>
  <c r="B21" i="55"/>
  <c r="AB60" i="52"/>
  <c r="AQ60" i="52"/>
  <c r="O15" i="52"/>
  <c r="M7" i="52"/>
  <c r="AW7" i="52"/>
  <c r="P60" i="52"/>
  <c r="B12" i="39"/>
  <c r="L12" i="39" s="1"/>
  <c r="AY15" i="52"/>
  <c r="AY51" i="52"/>
  <c r="D49" i="52"/>
  <c r="AP38" i="52"/>
  <c r="U50" i="52"/>
  <c r="J51" i="52"/>
  <c r="B12" i="55"/>
  <c r="B24" i="55"/>
  <c r="B23" i="39"/>
  <c r="E23" i="39" s="1"/>
  <c r="B11" i="39"/>
  <c r="E11" i="39" s="1"/>
  <c r="AB31" i="52"/>
  <c r="AW8" i="52"/>
  <c r="D38" i="52"/>
  <c r="BB29" i="52"/>
  <c r="U9" i="52"/>
  <c r="R15" i="52"/>
  <c r="AJ15" i="52"/>
  <c r="B13" i="55"/>
  <c r="B7" i="39"/>
  <c r="AI31" i="52"/>
  <c r="AH57" i="52"/>
  <c r="F9" i="52"/>
  <c r="D57" i="52"/>
  <c r="H9" i="52"/>
  <c r="BB31" i="52"/>
  <c r="J49" i="52"/>
  <c r="O31" i="52"/>
  <c r="L31" i="52"/>
  <c r="H21" i="28"/>
  <c r="B22" i="39"/>
  <c r="B43" i="39"/>
  <c r="M37" i="52"/>
  <c r="M60" i="52"/>
  <c r="AI51" i="52"/>
  <c r="AH49" i="52"/>
  <c r="AY50" i="52"/>
  <c r="F8" i="52"/>
  <c r="F57" i="52"/>
  <c r="AZ40" i="52"/>
  <c r="BB9" i="52"/>
  <c r="BB61" i="52"/>
  <c r="U28" i="52"/>
  <c r="O40" i="52"/>
  <c r="AU28" i="52"/>
  <c r="B14" i="55"/>
  <c r="B29" i="55"/>
  <c r="B34" i="39"/>
  <c r="E34" i="39" s="1"/>
  <c r="B24" i="39"/>
  <c r="I24" i="39" s="1"/>
  <c r="M31" i="52"/>
  <c r="AI15" i="52"/>
  <c r="AH29" i="52"/>
  <c r="AH35" i="52"/>
  <c r="AW29" i="52"/>
  <c r="AP31" i="52"/>
  <c r="O9" i="52"/>
  <c r="R31" i="52"/>
  <c r="M15" i="52"/>
  <c r="M8" i="52"/>
  <c r="AH60" i="52"/>
  <c r="H15" i="52"/>
  <c r="AP7" i="52"/>
  <c r="B50" i="55"/>
  <c r="B26" i="55"/>
  <c r="B49" i="55"/>
  <c r="B25" i="55"/>
  <c r="B42" i="55"/>
  <c r="B41" i="55"/>
  <c r="B40" i="55"/>
  <c r="B48" i="55"/>
  <c r="B47" i="55"/>
  <c r="B23" i="55"/>
  <c r="B19" i="55"/>
  <c r="B17" i="55"/>
  <c r="B16" i="55"/>
  <c r="B20" i="55"/>
  <c r="B15" i="55"/>
  <c r="B46" i="55"/>
  <c r="B22" i="55"/>
  <c r="B44" i="55"/>
  <c r="B39" i="55"/>
  <c r="B18" i="55"/>
  <c r="B38" i="55"/>
  <c r="B61" i="55"/>
  <c r="B37" i="55"/>
  <c r="B60" i="55"/>
  <c r="B36" i="55"/>
  <c r="B59" i="55"/>
  <c r="B35" i="55"/>
  <c r="B58" i="55"/>
  <c r="B34" i="55"/>
  <c r="B57" i="55"/>
  <c r="B33" i="55"/>
  <c r="B51" i="55"/>
  <c r="B56" i="55"/>
  <c r="B32" i="55"/>
  <c r="B55" i="55"/>
  <c r="B31" i="55"/>
  <c r="B54" i="55"/>
  <c r="B30" i="55"/>
  <c r="B28" i="55"/>
  <c r="B52" i="55"/>
  <c r="B27" i="55"/>
  <c r="B53" i="55"/>
  <c r="AQ15" i="52"/>
  <c r="P31" i="52"/>
  <c r="AU31" i="52"/>
  <c r="AY31" i="52"/>
  <c r="AP60" i="52"/>
  <c r="AB7" i="52"/>
  <c r="AH38" i="52"/>
  <c r="AH58" i="52"/>
  <c r="AH51" i="52"/>
  <c r="AW9" i="52"/>
  <c r="AZ31" i="52"/>
  <c r="U19" i="52"/>
  <c r="AJ31" i="52"/>
  <c r="N7" i="52"/>
  <c r="L7" i="52"/>
  <c r="AE11" i="52"/>
  <c r="H24" i="28"/>
  <c r="W40" i="49"/>
  <c r="M58" i="52"/>
  <c r="AZ57" i="52"/>
  <c r="J31" i="52"/>
  <c r="AE49" i="52"/>
  <c r="U15" i="52"/>
  <c r="AE7" i="52"/>
  <c r="AY60" i="52"/>
  <c r="AH7" i="52"/>
  <c r="AM31" i="52"/>
  <c r="J15" i="52"/>
  <c r="U7" i="52"/>
  <c r="AE15" i="52"/>
  <c r="B62" i="39"/>
  <c r="AI35" i="52"/>
  <c r="AM7" i="52"/>
  <c r="AW37" i="52"/>
  <c r="H47" i="52"/>
  <c r="AP11" i="52"/>
  <c r="BB6" i="52"/>
  <c r="AQ17" i="52"/>
  <c r="AJ7" i="52"/>
  <c r="N15" i="52"/>
  <c r="N24" i="52"/>
  <c r="AH15" i="52"/>
  <c r="R7" i="52"/>
  <c r="AP15" i="52"/>
  <c r="B29" i="39"/>
  <c r="AI7" i="52"/>
  <c r="H7" i="52"/>
  <c r="AZ7" i="52"/>
  <c r="J7" i="52"/>
  <c r="K54" i="28"/>
  <c r="E24" i="28"/>
  <c r="W47" i="49"/>
  <c r="B20" i="39"/>
  <c r="E20" i="39" s="1"/>
  <c r="B51" i="39"/>
  <c r="M51" i="39" s="1"/>
  <c r="B45" i="39"/>
  <c r="E45" i="39" s="1"/>
  <c r="M28" i="52"/>
  <c r="M47" i="52"/>
  <c r="M12" i="52"/>
  <c r="M14" i="52"/>
  <c r="AI19" i="52"/>
  <c r="AI45" i="52"/>
  <c r="AH19" i="52"/>
  <c r="AH24" i="52"/>
  <c r="AY8" i="52"/>
  <c r="AM10" i="52"/>
  <c r="AM36" i="52"/>
  <c r="D19" i="52"/>
  <c r="AW15" i="52"/>
  <c r="D29" i="52"/>
  <c r="AW32" i="52"/>
  <c r="F7" i="52"/>
  <c r="AP55" i="52"/>
  <c r="H17" i="52"/>
  <c r="AZ29" i="52"/>
  <c r="AZ32" i="52"/>
  <c r="AQ40" i="52"/>
  <c r="BB7" i="52"/>
  <c r="P43" i="52"/>
  <c r="U31" i="52"/>
  <c r="U49" i="52"/>
  <c r="O33" i="52"/>
  <c r="AJ54" i="52"/>
  <c r="N28" i="52"/>
  <c r="L43" i="52"/>
  <c r="AE6" i="52"/>
  <c r="AU14" i="52"/>
  <c r="F15" i="52"/>
  <c r="D15" i="52"/>
  <c r="D7" i="52"/>
  <c r="H31" i="52"/>
  <c r="AZ15" i="52"/>
  <c r="AB18" i="52"/>
  <c r="AM18" i="52"/>
  <c r="AH36" i="52"/>
  <c r="R38" i="52"/>
  <c r="N30" i="52"/>
  <c r="AY30" i="52"/>
  <c r="AW30" i="52"/>
  <c r="AY36" i="52"/>
  <c r="N38" i="52"/>
  <c r="AH30" i="52"/>
  <c r="AB44" i="52"/>
  <c r="F42" i="52"/>
  <c r="AI18" i="52"/>
  <c r="AM42" i="52"/>
  <c r="F35" i="52"/>
  <c r="F30" i="52"/>
  <c r="AP10" i="52"/>
  <c r="AZ51" i="52"/>
  <c r="N42" i="52"/>
  <c r="AE9" i="52"/>
  <c r="AU15" i="52"/>
  <c r="H30" i="52"/>
  <c r="M42" i="52"/>
  <c r="F38" i="52"/>
  <c r="AB38" i="52"/>
  <c r="AH18" i="52"/>
  <c r="AM8" i="52"/>
  <c r="AW38" i="52"/>
  <c r="BB42" i="52"/>
  <c r="J44" i="52"/>
  <c r="AU42" i="52"/>
  <c r="M18" i="52"/>
  <c r="D42" i="52"/>
  <c r="O42" i="52"/>
  <c r="AB42" i="52"/>
  <c r="AY38" i="52"/>
  <c r="D44" i="52"/>
  <c r="AP44" i="52"/>
  <c r="AY42" i="52"/>
  <c r="F18" i="52"/>
  <c r="AW44" i="52"/>
  <c r="AU54" i="52"/>
  <c r="AB8" i="52"/>
  <c r="AM38" i="52"/>
  <c r="AP17" i="52"/>
  <c r="P30" i="52"/>
  <c r="U10" i="52"/>
  <c r="O29" i="52"/>
  <c r="AE17" i="52"/>
  <c r="AU18" i="52"/>
  <c r="AE18" i="52"/>
  <c r="AI36" i="52"/>
  <c r="AW18" i="52"/>
  <c r="AZ30" i="52"/>
  <c r="BB18" i="52"/>
  <c r="P42" i="52"/>
  <c r="O18" i="52"/>
  <c r="AB30" i="52"/>
  <c r="AY62" i="52"/>
  <c r="P18" i="52"/>
  <c r="N18" i="52"/>
  <c r="P47" i="52"/>
  <c r="AW42" i="52"/>
  <c r="AH42" i="52"/>
  <c r="AJ29" i="52"/>
  <c r="L42" i="52"/>
  <c r="AI30" i="52"/>
  <c r="H42" i="52"/>
  <c r="M30" i="52"/>
  <c r="H38" i="52"/>
  <c r="AP18" i="52"/>
  <c r="J42" i="52"/>
  <c r="AI38" i="52"/>
  <c r="AJ42" i="52"/>
  <c r="AZ42" i="52"/>
  <c r="AE42" i="52"/>
  <c r="AY18" i="52"/>
  <c r="AI42" i="52"/>
  <c r="AM30" i="52"/>
  <c r="AP42" i="52"/>
  <c r="AQ30" i="52"/>
  <c r="AQ42" i="52"/>
  <c r="AQ38" i="52"/>
  <c r="I27" i="39"/>
  <c r="F38" i="39"/>
  <c r="D27" i="39"/>
  <c r="AW45" i="52"/>
  <c r="AI13" i="52"/>
  <c r="AI8" i="52"/>
  <c r="AY13" i="52"/>
  <c r="H13" i="52"/>
  <c r="BB10" i="52"/>
  <c r="N17" i="52"/>
  <c r="AW35" i="52"/>
  <c r="F45" i="52"/>
  <c r="P38" i="52"/>
  <c r="J38" i="52"/>
  <c r="AU52" i="52"/>
  <c r="W16" i="49"/>
  <c r="M52" i="52"/>
  <c r="AY52" i="52"/>
  <c r="W14" i="49"/>
  <c r="AW52" i="52"/>
  <c r="U52" i="52"/>
  <c r="J45" i="52"/>
  <c r="H52" i="52"/>
  <c r="J17" i="52"/>
  <c r="W59" i="49"/>
  <c r="AB59" i="52"/>
  <c r="AY45" i="52"/>
  <c r="AM52" i="52"/>
  <c r="AP45" i="52"/>
  <c r="BB52" i="52"/>
  <c r="AB13" i="52"/>
  <c r="AH52" i="52"/>
  <c r="F62" i="52"/>
  <c r="AZ35" i="52"/>
  <c r="AM57" i="52"/>
  <c r="F52" i="52"/>
  <c r="AP51" i="52"/>
  <c r="AZ19" i="52"/>
  <c r="AQ18" i="52"/>
  <c r="AQ51" i="52"/>
  <c r="J19" i="52"/>
  <c r="U51" i="52"/>
  <c r="AJ19" i="52"/>
  <c r="N45" i="52"/>
  <c r="D52" i="52"/>
  <c r="R18" i="52"/>
  <c r="M45" i="52"/>
  <c r="D45" i="52"/>
  <c r="AU13" i="52"/>
  <c r="M13" i="52"/>
  <c r="U17" i="52"/>
  <c r="R17" i="52"/>
  <c r="W41" i="49"/>
  <c r="AZ38" i="52"/>
  <c r="BB37" i="52"/>
  <c r="AJ17" i="52"/>
  <c r="W35" i="49"/>
  <c r="AP13" i="52"/>
  <c r="O45" i="52"/>
  <c r="H42" i="28"/>
  <c r="AI52" i="52"/>
  <c r="AM45" i="52"/>
  <c r="J52" i="52"/>
  <c r="AW13" i="52"/>
  <c r="AZ45" i="52"/>
  <c r="BB13" i="52"/>
  <c r="AH13" i="52"/>
  <c r="BB45" i="52"/>
  <c r="AB45" i="52"/>
  <c r="AZ13" i="52"/>
  <c r="P45" i="52"/>
  <c r="AE45" i="52"/>
  <c r="AH59" i="52"/>
  <c r="AP52" i="52"/>
  <c r="H45" i="52"/>
  <c r="BB38" i="52"/>
  <c r="J13" i="52"/>
  <c r="L45" i="52"/>
  <c r="AH45" i="52"/>
  <c r="AQ8" i="52"/>
  <c r="M46" i="52"/>
  <c r="AI27" i="52"/>
  <c r="AH8" i="52"/>
  <c r="AY20" i="52"/>
  <c r="AM20" i="52"/>
  <c r="F58" i="52"/>
  <c r="D46" i="52"/>
  <c r="H35" i="52"/>
  <c r="AP36" i="52"/>
  <c r="J50" i="52"/>
  <c r="AE46" i="52"/>
  <c r="AU33" i="52"/>
  <c r="K53" i="28"/>
  <c r="D8" i="52"/>
  <c r="AZ36" i="52"/>
  <c r="BB50" i="52"/>
  <c r="R50" i="52"/>
  <c r="AJ58" i="52"/>
  <c r="AE47" i="52"/>
  <c r="F22" i="28"/>
  <c r="AZ46" i="52"/>
  <c r="D36" i="52"/>
  <c r="H57" i="52"/>
  <c r="AQ47" i="52"/>
  <c r="AQ50" i="52"/>
  <c r="U47" i="52"/>
  <c r="AJ46" i="52"/>
  <c r="N50" i="52"/>
  <c r="AM46" i="52"/>
  <c r="AJ50" i="52"/>
  <c r="W31" i="49"/>
  <c r="M48" i="52"/>
  <c r="AY46" i="52"/>
  <c r="O20" i="52"/>
  <c r="P50" i="52"/>
  <c r="J20" i="52"/>
  <c r="R52" i="52"/>
  <c r="N60" i="52"/>
  <c r="N57" i="52"/>
  <c r="AI48" i="52"/>
  <c r="U20" i="52"/>
  <c r="O46" i="52"/>
  <c r="R20" i="52"/>
  <c r="N59" i="52"/>
  <c r="AE8" i="52"/>
  <c r="AW39" i="52"/>
  <c r="W21" i="49"/>
  <c r="BB58" i="52"/>
  <c r="AQ20" i="52"/>
  <c r="O8" i="52"/>
  <c r="N8" i="52"/>
  <c r="W44" i="49"/>
  <c r="W19" i="49"/>
  <c r="AB48" i="52"/>
  <c r="AP46" i="52"/>
  <c r="P46" i="52"/>
  <c r="L8" i="52"/>
  <c r="H8" i="52"/>
  <c r="AJ8" i="52"/>
  <c r="AW41" i="52"/>
  <c r="U38" i="52"/>
  <c r="L49" i="52"/>
  <c r="AE52" i="52"/>
  <c r="F46" i="52"/>
  <c r="AP41" i="52"/>
  <c r="AP37" i="52"/>
  <c r="H41" i="52"/>
  <c r="BB47" i="52"/>
  <c r="BB20" i="52"/>
  <c r="AQ44" i="52"/>
  <c r="P20" i="52"/>
  <c r="AU37" i="52"/>
  <c r="AH20" i="52"/>
  <c r="D48" i="52"/>
  <c r="U29" i="52"/>
  <c r="L57" i="52"/>
  <c r="AE37" i="52"/>
  <c r="H46" i="52"/>
  <c r="AB46" i="52"/>
  <c r="AH46" i="52"/>
  <c r="AW46" i="52"/>
  <c r="G53" i="40"/>
  <c r="M23" i="40"/>
  <c r="L53" i="40"/>
  <c r="R53" i="40"/>
  <c r="D53" i="40"/>
  <c r="F25" i="40"/>
  <c r="L23" i="40"/>
  <c r="L61" i="40"/>
  <c r="N52" i="40"/>
  <c r="K46" i="40"/>
  <c r="J25" i="40"/>
  <c r="N32" i="40"/>
  <c r="J51" i="40"/>
  <c r="E51" i="40"/>
  <c r="Q55" i="40"/>
  <c r="K29" i="40"/>
  <c r="N55" i="40"/>
  <c r="Q52" i="40"/>
  <c r="I32" i="40"/>
  <c r="N44" i="40"/>
  <c r="D29" i="40"/>
  <c r="D51" i="40"/>
  <c r="K32" i="40"/>
  <c r="H40" i="39"/>
  <c r="E40" i="39"/>
  <c r="I40" i="39"/>
  <c r="I16" i="39"/>
  <c r="K40" i="39"/>
  <c r="J16" i="39"/>
  <c r="AH48" i="52"/>
  <c r="AM49" i="52"/>
  <c r="D62" i="52"/>
  <c r="AW36" i="52"/>
  <c r="AJ60" i="52"/>
  <c r="AI60" i="52"/>
  <c r="D35" i="52"/>
  <c r="H29" i="52"/>
  <c r="AZ18" i="52"/>
  <c r="AQ41" i="52"/>
  <c r="P17" i="52"/>
  <c r="U18" i="52"/>
  <c r="O6" i="52"/>
  <c r="O24" i="52"/>
  <c r="R19" i="52"/>
  <c r="AJ13" i="52"/>
  <c r="AJ57" i="52"/>
  <c r="N51" i="52"/>
  <c r="AE29" i="52"/>
  <c r="AU6" i="52"/>
  <c r="K16" i="52"/>
  <c r="Q26" i="52"/>
  <c r="E61" i="52"/>
  <c r="AG54" i="52"/>
  <c r="E54" i="52"/>
  <c r="U48" i="52"/>
  <c r="Q14" i="52"/>
  <c r="AI44" i="52"/>
  <c r="AP35" i="52"/>
  <c r="AZ60" i="52"/>
  <c r="AZ59" i="52"/>
  <c r="BB30" i="52"/>
  <c r="P52" i="52"/>
  <c r="P12" i="52"/>
  <c r="J18" i="52"/>
  <c r="O52" i="52"/>
  <c r="O12" i="52"/>
  <c r="R51" i="52"/>
  <c r="AJ51" i="52"/>
  <c r="AJ26" i="52"/>
  <c r="N46" i="52"/>
  <c r="N13" i="52"/>
  <c r="AE13" i="52"/>
  <c r="AU8" i="52"/>
  <c r="AU45" i="52"/>
  <c r="Q21" i="52"/>
  <c r="F48" i="52"/>
  <c r="U60" i="52"/>
  <c r="AJ12" i="52"/>
  <c r="N52" i="52"/>
  <c r="N36" i="52"/>
  <c r="AQ49" i="52"/>
  <c r="J46" i="52"/>
  <c r="O47" i="52"/>
  <c r="AJ44" i="52"/>
  <c r="N6" i="52"/>
  <c r="L36" i="52"/>
  <c r="AU51" i="52"/>
  <c r="M36" i="52"/>
  <c r="F44" i="52"/>
  <c r="AP8" i="52"/>
  <c r="AP49" i="52"/>
  <c r="AQ52" i="52"/>
  <c r="AJ52" i="52"/>
  <c r="D60" i="52"/>
  <c r="P29" i="52"/>
  <c r="P8" i="52"/>
  <c r="J29" i="52"/>
  <c r="U41" i="52"/>
  <c r="AO16" i="52"/>
  <c r="H60" i="52"/>
  <c r="U44" i="52"/>
  <c r="U35" i="52"/>
  <c r="AU29" i="52"/>
  <c r="AJ35" i="52"/>
  <c r="L29" i="52"/>
  <c r="AE35" i="52"/>
  <c r="J8" i="52"/>
  <c r="O48" i="52"/>
  <c r="AL20" i="52"/>
  <c r="BB35" i="52"/>
  <c r="BB8" i="52"/>
  <c r="AC26" i="52"/>
  <c r="AY44" i="52"/>
  <c r="AM35" i="52"/>
  <c r="F29" i="52"/>
  <c r="H48" i="52"/>
  <c r="AZ48" i="52"/>
  <c r="BB49" i="52"/>
  <c r="U13" i="52"/>
  <c r="R47" i="52"/>
  <c r="R44" i="52"/>
  <c r="L6" i="52"/>
  <c r="AV26" i="52"/>
  <c r="AY48" i="52"/>
  <c r="F49" i="52"/>
  <c r="H36" i="52"/>
  <c r="BB46" i="52"/>
  <c r="U27" i="52"/>
  <c r="L13" i="52"/>
  <c r="L12" i="52"/>
  <c r="AU48" i="52"/>
  <c r="X56" i="52"/>
  <c r="T14" i="52"/>
  <c r="AI58" i="52"/>
  <c r="F13" i="52"/>
  <c r="D13" i="52"/>
  <c r="D30" i="52"/>
  <c r="H18" i="52"/>
  <c r="AZ8" i="52"/>
  <c r="BB12" i="52"/>
  <c r="BB17" i="52"/>
  <c r="P49" i="52"/>
  <c r="U61" i="52"/>
  <c r="R57" i="52"/>
  <c r="AJ18" i="52"/>
  <c r="L18" i="52"/>
  <c r="L41" i="52"/>
  <c r="L24" i="52"/>
  <c r="AE10" i="52"/>
  <c r="AE20" i="52"/>
  <c r="AU34" i="52"/>
  <c r="Z6" i="52"/>
  <c r="T51" i="52"/>
  <c r="BB48" i="52"/>
  <c r="O60" i="52"/>
  <c r="Z51" i="52"/>
  <c r="AA20" i="52"/>
  <c r="AP48" i="52"/>
  <c r="BB60" i="52"/>
  <c r="O35" i="52"/>
  <c r="L48" i="52"/>
  <c r="Z21" i="52"/>
  <c r="AA33" i="52"/>
  <c r="AF6" i="52"/>
  <c r="AD34" i="52"/>
  <c r="L60" i="52"/>
  <c r="AF45" i="52"/>
  <c r="AV34" i="52"/>
  <c r="AI62" i="52"/>
  <c r="AM58" i="52"/>
  <c r="AP12" i="52"/>
  <c r="AQ37" i="52"/>
  <c r="J58" i="52"/>
  <c r="J37" i="52"/>
  <c r="J57" i="52"/>
  <c r="O37" i="52"/>
  <c r="O59" i="52"/>
  <c r="N10" i="52"/>
  <c r="L62" i="52"/>
  <c r="AE59" i="52"/>
  <c r="AU62" i="52"/>
  <c r="G10" i="52"/>
  <c r="AH27" i="52"/>
  <c r="AH62" i="52"/>
  <c r="AP58" i="52"/>
  <c r="AP62" i="52"/>
  <c r="L10" i="52"/>
  <c r="L35" i="52"/>
  <c r="AE12" i="52"/>
  <c r="S48" i="52"/>
  <c r="AC48" i="52"/>
  <c r="AL48" i="52"/>
  <c r="Q48" i="52"/>
  <c r="T48" i="52"/>
  <c r="Z48" i="52"/>
  <c r="AR48" i="52"/>
  <c r="AO48" i="52"/>
  <c r="I48" i="52"/>
  <c r="G48" i="52"/>
  <c r="W48" i="52"/>
  <c r="BA48" i="52"/>
  <c r="AJ48" i="52"/>
  <c r="AG48" i="52"/>
  <c r="AK48" i="52"/>
  <c r="E48" i="52"/>
  <c r="V48" i="52"/>
  <c r="K48" i="52"/>
  <c r="AD48" i="52"/>
  <c r="AS48" i="52"/>
  <c r="Y48" i="52"/>
  <c r="X48" i="52"/>
  <c r="AN48" i="52"/>
  <c r="AT48" i="52"/>
  <c r="AF48" i="52"/>
  <c r="AV48" i="52"/>
  <c r="AX48" i="52"/>
  <c r="AO19" i="52"/>
  <c r="S19" i="52"/>
  <c r="AS19" i="52"/>
  <c r="AV19" i="52"/>
  <c r="V19" i="52"/>
  <c r="I19" i="52"/>
  <c r="K19" i="52"/>
  <c r="AA19" i="52"/>
  <c r="E19" i="52"/>
  <c r="AN19" i="52"/>
  <c r="Y19" i="52"/>
  <c r="AG19" i="52"/>
  <c r="AD19" i="52"/>
  <c r="AR19" i="52"/>
  <c r="AX19" i="52"/>
  <c r="Z19" i="52"/>
  <c r="T19" i="52"/>
  <c r="Q19" i="52"/>
  <c r="AF19" i="52"/>
  <c r="G19" i="52"/>
  <c r="BA19" i="52"/>
  <c r="W19" i="52"/>
  <c r="X19" i="52"/>
  <c r="N19" i="52"/>
  <c r="AC19" i="52"/>
  <c r="AT19" i="52"/>
  <c r="K39" i="52"/>
  <c r="Y58" i="52"/>
  <c r="G46" i="52"/>
  <c r="AN39" i="52"/>
  <c r="W30" i="49"/>
  <c r="AI39" i="52"/>
  <c r="AH39" i="52"/>
  <c r="H62" i="52"/>
  <c r="AQ59" i="52"/>
  <c r="R59" i="52"/>
  <c r="AB36" i="52"/>
  <c r="S36" i="52"/>
  <c r="W36" i="52"/>
  <c r="V36" i="52"/>
  <c r="G36" i="52"/>
  <c r="E36" i="52"/>
  <c r="AV36" i="52"/>
  <c r="AC36" i="52"/>
  <c r="AG36" i="52"/>
  <c r="BA36" i="52"/>
  <c r="AX36" i="52"/>
  <c r="I36" i="52"/>
  <c r="T36" i="52"/>
  <c r="AT36" i="52"/>
  <c r="AA36" i="52"/>
  <c r="AN36" i="52"/>
  <c r="AF36" i="52"/>
  <c r="X36" i="52"/>
  <c r="AR36" i="52"/>
  <c r="AK36" i="52"/>
  <c r="AL36" i="52"/>
  <c r="Y36" i="52"/>
  <c r="AD36" i="52"/>
  <c r="Z36" i="52"/>
  <c r="K36" i="52"/>
  <c r="Q36" i="52"/>
  <c r="AS36" i="52"/>
  <c r="AO36" i="52"/>
  <c r="AR9" i="52"/>
  <c r="S9" i="52"/>
  <c r="Q9" i="52"/>
  <c r="AL9" i="52"/>
  <c r="BA9" i="52"/>
  <c r="AX9" i="52"/>
  <c r="K9" i="52"/>
  <c r="AO9" i="52"/>
  <c r="E9" i="52"/>
  <c r="AC9" i="52"/>
  <c r="T9" i="52"/>
  <c r="AU9" i="52"/>
  <c r="AV9" i="52"/>
  <c r="AT9" i="52"/>
  <c r="AS9" i="52"/>
  <c r="AG9" i="52"/>
  <c r="I9" i="52"/>
  <c r="X9" i="52"/>
  <c r="AD9" i="52"/>
  <c r="AF9" i="52"/>
  <c r="Y9" i="52"/>
  <c r="W9" i="52"/>
  <c r="AN9" i="52"/>
  <c r="Z9" i="52"/>
  <c r="AK9" i="52"/>
  <c r="V9" i="52"/>
  <c r="AA9" i="52"/>
  <c r="R9" i="52"/>
  <c r="G9" i="52"/>
  <c r="AB39" i="52"/>
  <c r="AM62" i="52"/>
  <c r="P59" i="52"/>
  <c r="P35" i="52"/>
  <c r="J59" i="52"/>
  <c r="J10" i="52"/>
  <c r="J27" i="52"/>
  <c r="U39" i="52"/>
  <c r="O57" i="52"/>
  <c r="AJ37" i="52"/>
  <c r="AE60" i="52"/>
  <c r="AE57" i="52"/>
  <c r="S44" i="52"/>
  <c r="AA44" i="52"/>
  <c r="AD44" i="52"/>
  <c r="AS44" i="52"/>
  <c r="BA44" i="52"/>
  <c r="Z44" i="52"/>
  <c r="AO44" i="52"/>
  <c r="E44" i="52"/>
  <c r="Q44" i="52"/>
  <c r="AF44" i="52"/>
  <c r="AC44" i="52"/>
  <c r="AT44" i="52"/>
  <c r="Y44" i="52"/>
  <c r="AN44" i="52"/>
  <c r="AL44" i="52"/>
  <c r="W44" i="52"/>
  <c r="I44" i="52"/>
  <c r="AR44" i="52"/>
  <c r="AX44" i="52"/>
  <c r="AK44" i="52"/>
  <c r="V44" i="52"/>
  <c r="AV44" i="52"/>
  <c r="X44" i="52"/>
  <c r="G44" i="52"/>
  <c r="T44" i="52"/>
  <c r="K44" i="52"/>
  <c r="AU44" i="52"/>
  <c r="L44" i="52"/>
  <c r="AG44" i="52"/>
  <c r="AT27" i="52"/>
  <c r="BB36" i="52"/>
  <c r="P36" i="52"/>
  <c r="U62" i="52"/>
  <c r="J41" i="52"/>
  <c r="R30" i="52"/>
  <c r="AE58" i="52"/>
  <c r="AE36" i="52"/>
  <c r="S38" i="52"/>
  <c r="AD38" i="52"/>
  <c r="AG38" i="52"/>
  <c r="V38" i="52"/>
  <c r="AO38" i="52"/>
  <c r="Q38" i="52"/>
  <c r="AA38" i="52"/>
  <c r="AJ38" i="52"/>
  <c r="T38" i="52"/>
  <c r="AX38" i="52"/>
  <c r="X38" i="52"/>
  <c r="AV38" i="52"/>
  <c r="AL38" i="52"/>
  <c r="W38" i="52"/>
  <c r="G38" i="52"/>
  <c r="I38" i="52"/>
  <c r="AS38" i="52"/>
  <c r="AF38" i="52"/>
  <c r="AR38" i="52"/>
  <c r="K38" i="52"/>
  <c r="AC38" i="52"/>
  <c r="Y38" i="52"/>
  <c r="E38" i="52"/>
  <c r="AE38" i="52"/>
  <c r="AN38" i="52"/>
  <c r="S11" i="52"/>
  <c r="K11" i="52"/>
  <c r="AG11" i="52"/>
  <c r="AV11" i="52"/>
  <c r="G11" i="52"/>
  <c r="Z11" i="52"/>
  <c r="BA11" i="52"/>
  <c r="V11" i="52"/>
  <c r="AU11" i="52"/>
  <c r="AN11" i="52"/>
  <c r="AR11" i="52"/>
  <c r="W11" i="52"/>
  <c r="Y11" i="52"/>
  <c r="AS11" i="52"/>
  <c r="AO11" i="52"/>
  <c r="AD11" i="52"/>
  <c r="AA11" i="52"/>
  <c r="AF11" i="52"/>
  <c r="E11" i="52"/>
  <c r="AT11" i="52"/>
  <c r="AL11" i="52"/>
  <c r="Q11" i="52"/>
  <c r="AK11" i="52"/>
  <c r="I11" i="52"/>
  <c r="X11" i="52"/>
  <c r="J11" i="52"/>
  <c r="T11" i="52"/>
  <c r="AX11" i="52"/>
  <c r="AT38" i="52"/>
  <c r="AB58" i="52"/>
  <c r="P37" i="52"/>
  <c r="J30" i="52"/>
  <c r="J35" i="52"/>
  <c r="AE30" i="52"/>
  <c r="AU60" i="52"/>
  <c r="AU30" i="52"/>
  <c r="AR29" i="52"/>
  <c r="S29" i="52"/>
  <c r="Z29" i="52"/>
  <c r="AG29" i="52"/>
  <c r="E29" i="52"/>
  <c r="AL29" i="52"/>
  <c r="K29" i="52"/>
  <c r="AK29" i="52"/>
  <c r="I29" i="52"/>
  <c r="X29" i="52"/>
  <c r="BA29" i="52"/>
  <c r="W29" i="52"/>
  <c r="AD29" i="52"/>
  <c r="G29" i="52"/>
  <c r="AT29" i="52"/>
  <c r="AF29" i="52"/>
  <c r="V29" i="52"/>
  <c r="AA29" i="52"/>
  <c r="Y29" i="52"/>
  <c r="AV29" i="52"/>
  <c r="AC29" i="52"/>
  <c r="Q29" i="52"/>
  <c r="AS29" i="52"/>
  <c r="T29" i="52"/>
  <c r="AN29" i="52"/>
  <c r="AO29" i="52"/>
  <c r="AB27" i="52"/>
  <c r="AW62" i="52"/>
  <c r="F39" i="52"/>
  <c r="P39" i="52"/>
  <c r="O27" i="52"/>
  <c r="AE27" i="52"/>
  <c r="L46" i="52"/>
  <c r="S46" i="52"/>
  <c r="T46" i="52"/>
  <c r="AS46" i="52"/>
  <c r="AX46" i="52"/>
  <c r="AL46" i="52"/>
  <c r="AG46" i="52"/>
  <c r="AD46" i="52"/>
  <c r="AC46" i="52"/>
  <c r="Y46" i="52"/>
  <c r="I46" i="52"/>
  <c r="AA46" i="52"/>
  <c r="AT46" i="52"/>
  <c r="K46" i="52"/>
  <c r="AV46" i="52"/>
  <c r="Q46" i="52"/>
  <c r="AR46" i="52"/>
  <c r="BA46" i="52"/>
  <c r="V46" i="52"/>
  <c r="X46" i="52"/>
  <c r="Z46" i="52"/>
  <c r="AK46" i="52"/>
  <c r="AO46" i="52"/>
  <c r="AF46" i="52"/>
  <c r="U46" i="52"/>
  <c r="W46" i="52"/>
  <c r="AN46" i="52"/>
  <c r="Z10" i="52"/>
  <c r="AT62" i="52"/>
  <c r="S62" i="52"/>
  <c r="AK62" i="52"/>
  <c r="AS62" i="52"/>
  <c r="Z62" i="52"/>
  <c r="AF62" i="52"/>
  <c r="AR62" i="52"/>
  <c r="Y62" i="52"/>
  <c r="E62" i="52"/>
  <c r="AC62" i="52"/>
  <c r="AA62" i="52"/>
  <c r="AX62" i="52"/>
  <c r="AG62" i="52"/>
  <c r="O62" i="52"/>
  <c r="AV62" i="52"/>
  <c r="AL62" i="52"/>
  <c r="K62" i="52"/>
  <c r="W62" i="52"/>
  <c r="AO62" i="52"/>
  <c r="Q62" i="52"/>
  <c r="T62" i="52"/>
  <c r="V62" i="52"/>
  <c r="X62" i="52"/>
  <c r="BA62" i="52"/>
  <c r="AN62" i="52"/>
  <c r="AD62" i="52"/>
  <c r="I62" i="52"/>
  <c r="G62" i="52"/>
  <c r="N62" i="52"/>
  <c r="F59" i="52"/>
  <c r="S59" i="52"/>
  <c r="Q59" i="52"/>
  <c r="AA59" i="52"/>
  <c r="X59" i="52"/>
  <c r="AD59" i="52"/>
  <c r="AV59" i="52"/>
  <c r="E59" i="52"/>
  <c r="T59" i="52"/>
  <c r="AC59" i="52"/>
  <c r="G59" i="52"/>
  <c r="Y59" i="52"/>
  <c r="BA59" i="52"/>
  <c r="AL59" i="52"/>
  <c r="AO59" i="52"/>
  <c r="AX59" i="52"/>
  <c r="AK59" i="52"/>
  <c r="AF59" i="52"/>
  <c r="AR59" i="52"/>
  <c r="I59" i="52"/>
  <c r="V59" i="52"/>
  <c r="AN59" i="52"/>
  <c r="W59" i="52"/>
  <c r="AS59" i="52"/>
  <c r="AT59" i="52"/>
  <c r="K59" i="52"/>
  <c r="AG59" i="52"/>
  <c r="AU59" i="52"/>
  <c r="Z59" i="52"/>
  <c r="S12" i="52"/>
  <c r="T12" i="52"/>
  <c r="Y12" i="52"/>
  <c r="AC12" i="52"/>
  <c r="AO12" i="52"/>
  <c r="AF12" i="52"/>
  <c r="AS12" i="52"/>
  <c r="N12" i="52"/>
  <c r="Z12" i="52"/>
  <c r="AG12" i="52"/>
  <c r="AA12" i="52"/>
  <c r="G12" i="52"/>
  <c r="BA12" i="52"/>
  <c r="E12" i="52"/>
  <c r="AD12" i="52"/>
  <c r="AX12" i="52"/>
  <c r="K12" i="52"/>
  <c r="AK12" i="52"/>
  <c r="AV12" i="52"/>
  <c r="X12" i="52"/>
  <c r="AT12" i="52"/>
  <c r="AL12" i="52"/>
  <c r="I12" i="52"/>
  <c r="V12" i="52"/>
  <c r="W12" i="52"/>
  <c r="AN12" i="52"/>
  <c r="Q12" i="52"/>
  <c r="AR23" i="52"/>
  <c r="S23" i="52"/>
  <c r="AF23" i="52"/>
  <c r="X23" i="52"/>
  <c r="Z23" i="52"/>
  <c r="I23" i="52"/>
  <c r="AA23" i="52"/>
  <c r="T23" i="52"/>
  <c r="AD23" i="52"/>
  <c r="V23" i="52"/>
  <c r="AS23" i="52"/>
  <c r="AT23" i="52"/>
  <c r="AN23" i="52"/>
  <c r="G23" i="52"/>
  <c r="Y23" i="52"/>
  <c r="AV23" i="52"/>
  <c r="E23" i="52"/>
  <c r="AO23" i="52"/>
  <c r="AL23" i="52"/>
  <c r="Q23" i="52"/>
  <c r="K23" i="52"/>
  <c r="AK23" i="52"/>
  <c r="AC23" i="52"/>
  <c r="W23" i="52"/>
  <c r="AX23" i="52"/>
  <c r="AE23" i="52"/>
  <c r="AG23" i="52"/>
  <c r="M62" i="52"/>
  <c r="AM27" i="52"/>
  <c r="H10" i="52"/>
  <c r="AP39" i="52"/>
  <c r="BB27" i="52"/>
  <c r="P62" i="52"/>
  <c r="R35" i="52"/>
  <c r="L15" i="52"/>
  <c r="AE50" i="52"/>
  <c r="S49" i="52"/>
  <c r="AC49" i="52"/>
  <c r="AG49" i="52"/>
  <c r="AV49" i="52"/>
  <c r="G49" i="52"/>
  <c r="AT49" i="52"/>
  <c r="I49" i="52"/>
  <c r="AK49" i="52"/>
  <c r="AN49" i="52"/>
  <c r="Z49" i="52"/>
  <c r="AL49" i="52"/>
  <c r="Y49" i="52"/>
  <c r="E49" i="52"/>
  <c r="AS49" i="52"/>
  <c r="W49" i="52"/>
  <c r="AR49" i="52"/>
  <c r="X49" i="52"/>
  <c r="V49" i="52"/>
  <c r="AA49" i="52"/>
  <c r="AF49" i="52"/>
  <c r="BA49" i="52"/>
  <c r="AX49" i="52"/>
  <c r="K49" i="52"/>
  <c r="Q49" i="52"/>
  <c r="T49" i="52"/>
  <c r="AO49" i="52"/>
  <c r="AD49" i="52"/>
  <c r="I35" i="52"/>
  <c r="B9" i="39"/>
  <c r="M9" i="39" s="1"/>
  <c r="AI12" i="52"/>
  <c r="AH12" i="52"/>
  <c r="AY41" i="52"/>
  <c r="AM48" i="52"/>
  <c r="F60" i="52"/>
  <c r="AW48" i="52"/>
  <c r="H37" i="52"/>
  <c r="AZ58" i="52"/>
  <c r="BB23" i="52"/>
  <c r="AQ46" i="52"/>
  <c r="AQ39" i="52"/>
  <c r="AQ7" i="52"/>
  <c r="U30" i="52"/>
  <c r="U57" i="52"/>
  <c r="J36" i="52"/>
  <c r="O7" i="52"/>
  <c r="O49" i="52"/>
  <c r="R48" i="52"/>
  <c r="R49" i="52"/>
  <c r="AJ28" i="52"/>
  <c r="AJ62" i="52"/>
  <c r="N29" i="52"/>
  <c r="N58" i="52"/>
  <c r="N35" i="52"/>
  <c r="AU58" i="52"/>
  <c r="AU57" i="52"/>
  <c r="AS50" i="52"/>
  <c r="AV18" i="52"/>
  <c r="M39" i="52"/>
  <c r="O36" i="52"/>
  <c r="R36" i="52"/>
  <c r="L59" i="52"/>
  <c r="AE48" i="52"/>
  <c r="AG60" i="52"/>
  <c r="S60" i="52"/>
  <c r="AC60" i="52"/>
  <c r="AR60" i="52"/>
  <c r="AF60" i="52"/>
  <c r="G60" i="52"/>
  <c r="AT60" i="52"/>
  <c r="AO60" i="52"/>
  <c r="K60" i="52"/>
  <c r="X60" i="52"/>
  <c r="Q60" i="52"/>
  <c r="AA60" i="52"/>
  <c r="AD60" i="52"/>
  <c r="E60" i="52"/>
  <c r="BA60" i="52"/>
  <c r="R60" i="52"/>
  <c r="AK60" i="52"/>
  <c r="V60" i="52"/>
  <c r="AV60" i="52"/>
  <c r="AL60" i="52"/>
  <c r="Y60" i="52"/>
  <c r="AS60" i="52"/>
  <c r="AX60" i="52"/>
  <c r="Z60" i="52"/>
  <c r="AN60" i="52"/>
  <c r="I60" i="52"/>
  <c r="T60" i="52"/>
  <c r="W60" i="52"/>
  <c r="AD37" i="52"/>
  <c r="P48" i="52"/>
  <c r="U37" i="52"/>
  <c r="O41" i="52"/>
  <c r="R41" i="52"/>
  <c r="R12" i="52"/>
  <c r="N41" i="52"/>
  <c r="I15" i="52"/>
  <c r="S15" i="52"/>
  <c r="AO15" i="52"/>
  <c r="AF15" i="52"/>
  <c r="E15" i="52"/>
  <c r="AS15" i="52"/>
  <c r="AL15" i="52"/>
  <c r="Z15" i="52"/>
  <c r="AT15" i="52"/>
  <c r="G15" i="52"/>
  <c r="AX15" i="52"/>
  <c r="AK15" i="52"/>
  <c r="AA15" i="52"/>
  <c r="AV15" i="52"/>
  <c r="BA15" i="52"/>
  <c r="W15" i="52"/>
  <c r="AN15" i="52"/>
  <c r="AD15" i="52"/>
  <c r="Y15" i="52"/>
  <c r="K15" i="52"/>
  <c r="X15" i="52"/>
  <c r="T15" i="52"/>
  <c r="V15" i="52"/>
  <c r="AR15" i="52"/>
  <c r="AG15" i="52"/>
  <c r="Q15" i="52"/>
  <c r="AU41" i="52"/>
  <c r="Z38" i="52"/>
  <c r="AZ27" i="52"/>
  <c r="AQ58" i="52"/>
  <c r="AQ36" i="52"/>
  <c r="P27" i="52"/>
  <c r="L38" i="52"/>
  <c r="AE62" i="52"/>
  <c r="D18" i="52"/>
  <c r="S18" i="52"/>
  <c r="AO18" i="52"/>
  <c r="W18" i="52"/>
  <c r="AC18" i="52"/>
  <c r="E18" i="52"/>
  <c r="AS18" i="52"/>
  <c r="X18" i="52"/>
  <c r="AG18" i="52"/>
  <c r="AF18" i="52"/>
  <c r="T18" i="52"/>
  <c r="V18" i="52"/>
  <c r="BA18" i="52"/>
  <c r="AA18" i="52"/>
  <c r="Z18" i="52"/>
  <c r="AT18" i="52"/>
  <c r="AL18" i="52"/>
  <c r="AK18" i="52"/>
  <c r="AR18" i="52"/>
  <c r="AD18" i="52"/>
  <c r="Y18" i="52"/>
  <c r="Q18" i="52"/>
  <c r="AN18" i="52"/>
  <c r="AX18" i="52"/>
  <c r="G18" i="52"/>
  <c r="K18" i="52"/>
  <c r="I28" i="52"/>
  <c r="U58" i="52"/>
  <c r="AM37" i="52"/>
  <c r="S37" i="52"/>
  <c r="Z37" i="52"/>
  <c r="AN37" i="52"/>
  <c r="AC37" i="52"/>
  <c r="AL37" i="52"/>
  <c r="AR37" i="52"/>
  <c r="AA37" i="52"/>
  <c r="G37" i="52"/>
  <c r="V37" i="52"/>
  <c r="I37" i="52"/>
  <c r="AT37" i="52"/>
  <c r="AO37" i="52"/>
  <c r="AK37" i="52"/>
  <c r="L37" i="52"/>
  <c r="X37" i="52"/>
  <c r="Y37" i="52"/>
  <c r="AX37" i="52"/>
  <c r="AS37" i="52"/>
  <c r="K37" i="52"/>
  <c r="T37" i="52"/>
  <c r="AV37" i="52"/>
  <c r="BA37" i="52"/>
  <c r="E37" i="52"/>
  <c r="Q37" i="52"/>
  <c r="AG37" i="52"/>
  <c r="N37" i="52"/>
  <c r="W37" i="52"/>
  <c r="AF37" i="52"/>
  <c r="AB52" i="52"/>
  <c r="S52" i="52"/>
  <c r="I52" i="52"/>
  <c r="AG52" i="52"/>
  <c r="AL52" i="52"/>
  <c r="AA52" i="52"/>
  <c r="AD52" i="52"/>
  <c r="E52" i="52"/>
  <c r="AK52" i="52"/>
  <c r="W52" i="52"/>
  <c r="AR52" i="52"/>
  <c r="Z52" i="52"/>
  <c r="AO52" i="52"/>
  <c r="AS52" i="52"/>
  <c r="Y52" i="52"/>
  <c r="X52" i="52"/>
  <c r="T52" i="52"/>
  <c r="AX52" i="52"/>
  <c r="AC52" i="52"/>
  <c r="AF52" i="52"/>
  <c r="BA52" i="52"/>
  <c r="Q52" i="52"/>
  <c r="AN52" i="52"/>
  <c r="AT52" i="52"/>
  <c r="AV52" i="52"/>
  <c r="V52" i="52"/>
  <c r="G52" i="52"/>
  <c r="AC15" i="52"/>
  <c r="S39" i="52"/>
  <c r="AA39" i="52"/>
  <c r="AK39" i="52"/>
  <c r="X39" i="52"/>
  <c r="AX39" i="52"/>
  <c r="W39" i="52"/>
  <c r="V39" i="52"/>
  <c r="AV39" i="52"/>
  <c r="AO39" i="52"/>
  <c r="AU39" i="52"/>
  <c r="AE39" i="52"/>
  <c r="L39" i="52"/>
  <c r="G39" i="52"/>
  <c r="AT39" i="52"/>
  <c r="Y39" i="52"/>
  <c r="I39" i="52"/>
  <c r="AL39" i="52"/>
  <c r="AR39" i="52"/>
  <c r="AF39" i="52"/>
  <c r="E39" i="52"/>
  <c r="AG39" i="52"/>
  <c r="AD39" i="52"/>
  <c r="AC39" i="52"/>
  <c r="Z39" i="52"/>
  <c r="T39" i="52"/>
  <c r="Q39" i="52"/>
  <c r="BA39" i="52"/>
  <c r="O39" i="52"/>
  <c r="AS39" i="52"/>
  <c r="AJ10" i="52"/>
  <c r="S10" i="52"/>
  <c r="AX10" i="52"/>
  <c r="AV10" i="52"/>
  <c r="T10" i="52"/>
  <c r="AC10" i="52"/>
  <c r="AS10" i="52"/>
  <c r="AO10" i="52"/>
  <c r="Q10" i="52"/>
  <c r="AA10" i="52"/>
  <c r="AK10" i="52"/>
  <c r="AD10" i="52"/>
  <c r="AG10" i="52"/>
  <c r="V10" i="52"/>
  <c r="I10" i="52"/>
  <c r="AL10" i="52"/>
  <c r="AN10" i="52"/>
  <c r="X10" i="52"/>
  <c r="AR10" i="52"/>
  <c r="AF10" i="52"/>
  <c r="W10" i="52"/>
  <c r="E10" i="52"/>
  <c r="BA10" i="52"/>
  <c r="AT10" i="52"/>
  <c r="K10" i="52"/>
  <c r="Y10" i="52"/>
  <c r="W13" i="52"/>
  <c r="S13" i="52"/>
  <c r="AL13" i="52"/>
  <c r="X13" i="52"/>
  <c r="G13" i="52"/>
  <c r="T13" i="52"/>
  <c r="AS13" i="52"/>
  <c r="AA13" i="52"/>
  <c r="V13" i="52"/>
  <c r="AR13" i="52"/>
  <c r="AG13" i="52"/>
  <c r="BA13" i="52"/>
  <c r="AC13" i="52"/>
  <c r="Y13" i="52"/>
  <c r="E13" i="52"/>
  <c r="AF13" i="52"/>
  <c r="AT13" i="52"/>
  <c r="K13" i="52"/>
  <c r="AX13" i="52"/>
  <c r="Q13" i="52"/>
  <c r="AV13" i="52"/>
  <c r="Z13" i="52"/>
  <c r="AN13" i="52"/>
  <c r="AD13" i="52"/>
  <c r="AK13" i="52"/>
  <c r="O13" i="52"/>
  <c r="AO13" i="52"/>
  <c r="D58" i="52"/>
  <c r="H58" i="52"/>
  <c r="H59" i="52"/>
  <c r="AZ62" i="52"/>
  <c r="AQ62" i="52"/>
  <c r="U59" i="52"/>
  <c r="N27" i="52"/>
  <c r="AU10" i="52"/>
  <c r="BA17" i="52"/>
  <c r="S17" i="52"/>
  <c r="AK17" i="52"/>
  <c r="I17" i="52"/>
  <c r="AS17" i="52"/>
  <c r="AR17" i="52"/>
  <c r="Q17" i="52"/>
  <c r="AX17" i="52"/>
  <c r="T17" i="52"/>
  <c r="W17" i="52"/>
  <c r="AD17" i="52"/>
  <c r="Z17" i="52"/>
  <c r="V17" i="52"/>
  <c r="AT17" i="52"/>
  <c r="Y17" i="52"/>
  <c r="AG17" i="52"/>
  <c r="E17" i="52"/>
  <c r="AL17" i="52"/>
  <c r="G17" i="52"/>
  <c r="AV17" i="52"/>
  <c r="AC17" i="52"/>
  <c r="X17" i="52"/>
  <c r="AO17" i="52"/>
  <c r="AF17" i="52"/>
  <c r="K17" i="52"/>
  <c r="AU17" i="52"/>
  <c r="AA17" i="52"/>
  <c r="AK19" i="52"/>
  <c r="M27" i="52"/>
  <c r="AY58" i="52"/>
  <c r="AY27" i="52"/>
  <c r="AH44" i="52"/>
  <c r="AM60" i="52"/>
  <c r="D9" i="52"/>
  <c r="H44" i="52"/>
  <c r="AZ52" i="52"/>
  <c r="AZ44" i="52"/>
  <c r="AZ39" i="52"/>
  <c r="BB59" i="52"/>
  <c r="P41" i="52"/>
  <c r="J60" i="52"/>
  <c r="J39" i="52"/>
  <c r="R29" i="52"/>
  <c r="R23" i="52"/>
  <c r="AJ9" i="52"/>
  <c r="L23" i="52"/>
  <c r="L19" i="52"/>
  <c r="N44" i="52"/>
  <c r="AU46" i="52"/>
  <c r="AU38" i="52"/>
  <c r="AK38" i="52"/>
  <c r="AY59" i="52"/>
  <c r="AY39" i="52"/>
  <c r="AW10" i="52"/>
  <c r="BB44" i="52"/>
  <c r="AQ48" i="52"/>
  <c r="J12" i="52"/>
  <c r="O58" i="52"/>
  <c r="O17" i="52"/>
  <c r="R13" i="52"/>
  <c r="R46" i="52"/>
  <c r="AJ27" i="52"/>
  <c r="N39" i="52"/>
  <c r="N48" i="52"/>
  <c r="AE44" i="52"/>
  <c r="AU49" i="52"/>
  <c r="AT47" i="52"/>
  <c r="S47" i="52"/>
  <c r="I47" i="52"/>
  <c r="V47" i="52"/>
  <c r="AO47" i="52"/>
  <c r="AG47" i="52"/>
  <c r="W47" i="52"/>
  <c r="K47" i="52"/>
  <c r="AV47" i="52"/>
  <c r="X47" i="52"/>
  <c r="AS47" i="52"/>
  <c r="G47" i="52"/>
  <c r="BA47" i="52"/>
  <c r="AA47" i="52"/>
  <c r="AK47" i="52"/>
  <c r="N47" i="52"/>
  <c r="Z47" i="52"/>
  <c r="AN47" i="52"/>
  <c r="AR47" i="52"/>
  <c r="T47" i="52"/>
  <c r="AD47" i="52"/>
  <c r="AC47" i="52"/>
  <c r="Y47" i="52"/>
  <c r="AX47" i="52"/>
  <c r="AL47" i="52"/>
  <c r="E47" i="52"/>
  <c r="Q47" i="52"/>
  <c r="AF47" i="52"/>
  <c r="AJ47" i="52"/>
  <c r="J47" i="52"/>
  <c r="AU36" i="52"/>
  <c r="AR27" i="52"/>
  <c r="I4" i="35"/>
  <c r="AB62" i="52"/>
  <c r="AM59" i="52"/>
  <c r="H39" i="52"/>
  <c r="AQ27" i="52"/>
  <c r="O10" i="52"/>
  <c r="R37" i="52"/>
  <c r="AJ39" i="52"/>
  <c r="E41" i="52"/>
  <c r="S41" i="52"/>
  <c r="X41" i="52"/>
  <c r="AN41" i="52"/>
  <c r="AG41" i="52"/>
  <c r="BA41" i="52"/>
  <c r="V41" i="52"/>
  <c r="AV41" i="52"/>
  <c r="Z41" i="52"/>
  <c r="AL41" i="52"/>
  <c r="Q41" i="52"/>
  <c r="AF41" i="52"/>
  <c r="AJ41" i="52"/>
  <c r="AA41" i="52"/>
  <c r="AD41" i="52"/>
  <c r="G41" i="52"/>
  <c r="Y41" i="52"/>
  <c r="AT41" i="52"/>
  <c r="I41" i="52"/>
  <c r="T41" i="52"/>
  <c r="AS41" i="52"/>
  <c r="AX41" i="52"/>
  <c r="W41" i="52"/>
  <c r="AK41" i="52"/>
  <c r="AO41" i="52"/>
  <c r="AC41" i="52"/>
  <c r="AR41" i="52"/>
  <c r="K41" i="52"/>
  <c r="AY28" i="52"/>
  <c r="S28" i="52"/>
  <c r="X28" i="52"/>
  <c r="AS28" i="52"/>
  <c r="AR28" i="52"/>
  <c r="AX28" i="52"/>
  <c r="AL28" i="52"/>
  <c r="G28" i="52"/>
  <c r="E28" i="52"/>
  <c r="AG28" i="52"/>
  <c r="AD28" i="52"/>
  <c r="AO28" i="52"/>
  <c r="AF28" i="52"/>
  <c r="AV28" i="52"/>
  <c r="Q28" i="52"/>
  <c r="K28" i="52"/>
  <c r="AA28" i="52"/>
  <c r="T28" i="52"/>
  <c r="Z28" i="52"/>
  <c r="AT28" i="52"/>
  <c r="W28" i="52"/>
  <c r="Y28" i="52"/>
  <c r="AC28" i="52"/>
  <c r="AK28" i="52"/>
  <c r="AE28" i="52"/>
  <c r="V28" i="52"/>
  <c r="BA28" i="52"/>
  <c r="BA23" i="52"/>
  <c r="AR12" i="52"/>
  <c r="AC11" i="52"/>
  <c r="D27" i="52"/>
  <c r="F27" i="52"/>
  <c r="AW59" i="52"/>
  <c r="AP59" i="52"/>
  <c r="J62" i="52"/>
  <c r="R58" i="52"/>
  <c r="AJ59" i="52"/>
  <c r="L27" i="52"/>
  <c r="AP30" i="52"/>
  <c r="S30" i="52"/>
  <c r="AA30" i="52"/>
  <c r="X30" i="52"/>
  <c r="AF30" i="52"/>
  <c r="BA30" i="52"/>
  <c r="W30" i="52"/>
  <c r="K30" i="52"/>
  <c r="AV30" i="52"/>
  <c r="AL30" i="52"/>
  <c r="G30" i="52"/>
  <c r="L30" i="52"/>
  <c r="AD30" i="52"/>
  <c r="AR30" i="52"/>
  <c r="AC30" i="52"/>
  <c r="AN30" i="52"/>
  <c r="AK30" i="52"/>
  <c r="AG30" i="52"/>
  <c r="Q30" i="52"/>
  <c r="AS30" i="52"/>
  <c r="AT30" i="52"/>
  <c r="I30" i="52"/>
  <c r="T30" i="52"/>
  <c r="AO30" i="52"/>
  <c r="E30" i="52"/>
  <c r="Z30" i="52"/>
  <c r="Y30" i="52"/>
  <c r="V30" i="52"/>
  <c r="AJ30" i="52"/>
  <c r="AX30" i="52"/>
  <c r="U40" i="52"/>
  <c r="S40" i="52"/>
  <c r="AX40" i="52"/>
  <c r="AK40" i="52"/>
  <c r="V40" i="52"/>
  <c r="Z40" i="52"/>
  <c r="AL40" i="52"/>
  <c r="AE40" i="52"/>
  <c r="AR40" i="52"/>
  <c r="AG40" i="52"/>
  <c r="AD40" i="52"/>
  <c r="W40" i="52"/>
  <c r="AS40" i="52"/>
  <c r="AA40" i="52"/>
  <c r="AC40" i="52"/>
  <c r="G40" i="52"/>
  <c r="BA40" i="52"/>
  <c r="T40" i="52"/>
  <c r="Y40" i="52"/>
  <c r="K40" i="52"/>
  <c r="I40" i="52"/>
  <c r="AF40" i="52"/>
  <c r="AN40" i="52"/>
  <c r="AO40" i="52"/>
  <c r="AT40" i="52"/>
  <c r="X40" i="52"/>
  <c r="AV40" i="52"/>
  <c r="E40" i="52"/>
  <c r="BA38" i="52"/>
  <c r="BB39" i="52"/>
  <c r="R27" i="52"/>
  <c r="R39" i="52"/>
  <c r="AV58" i="52"/>
  <c r="S58" i="52"/>
  <c r="AG58" i="52"/>
  <c r="AN58" i="52"/>
  <c r="V58" i="52"/>
  <c r="AD58" i="52"/>
  <c r="AT58" i="52"/>
  <c r="Z58" i="52"/>
  <c r="AL58" i="52"/>
  <c r="X58" i="52"/>
  <c r="AF58" i="52"/>
  <c r="AC58" i="52"/>
  <c r="I58" i="52"/>
  <c r="AK58" i="52"/>
  <c r="AS58" i="52"/>
  <c r="Q58" i="52"/>
  <c r="BA58" i="52"/>
  <c r="AA58" i="52"/>
  <c r="G58" i="52"/>
  <c r="AX58" i="52"/>
  <c r="AO58" i="52"/>
  <c r="E58" i="52"/>
  <c r="K58" i="52"/>
  <c r="T58" i="52"/>
  <c r="AR58" i="52"/>
  <c r="W58" i="52"/>
  <c r="X57" i="52"/>
  <c r="S57" i="52"/>
  <c r="AC57" i="52"/>
  <c r="E57" i="52"/>
  <c r="Q57" i="52"/>
  <c r="BA57" i="52"/>
  <c r="Y57" i="52"/>
  <c r="AG57" i="52"/>
  <c r="K57" i="52"/>
  <c r="AX57" i="52"/>
  <c r="AT57" i="52"/>
  <c r="I57" i="52"/>
  <c r="AV57" i="52"/>
  <c r="AN57" i="52"/>
  <c r="AL57" i="52"/>
  <c r="AF57" i="52"/>
  <c r="AR57" i="52"/>
  <c r="AK57" i="52"/>
  <c r="AD57" i="52"/>
  <c r="T57" i="52"/>
  <c r="AA57" i="52"/>
  <c r="AS57" i="52"/>
  <c r="W57" i="52"/>
  <c r="V57" i="52"/>
  <c r="AO57" i="52"/>
  <c r="Z57" i="52"/>
  <c r="P57" i="52"/>
  <c r="G57" i="52"/>
  <c r="AS7" i="52"/>
  <c r="S7" i="52"/>
  <c r="W7" i="52"/>
  <c r="AT7" i="52"/>
  <c r="AD7" i="52"/>
  <c r="I7" i="52"/>
  <c r="AN7" i="52"/>
  <c r="E7" i="52"/>
  <c r="X7" i="52"/>
  <c r="AO7" i="52"/>
  <c r="AA7" i="52"/>
  <c r="Z7" i="52"/>
  <c r="V7" i="52"/>
  <c r="Q7" i="52"/>
  <c r="AK7" i="52"/>
  <c r="AF7" i="52"/>
  <c r="K7" i="52"/>
  <c r="AC7" i="52"/>
  <c r="AR7" i="52"/>
  <c r="BA7" i="52"/>
  <c r="AV7" i="52"/>
  <c r="T7" i="52"/>
  <c r="AL7" i="52"/>
  <c r="AX7" i="52"/>
  <c r="G7" i="52"/>
  <c r="Y7" i="52"/>
  <c r="AG7" i="52"/>
  <c r="AL19" i="52"/>
  <c r="AA48" i="52"/>
  <c r="P4" i="35"/>
  <c r="AW58" i="52"/>
  <c r="D59" i="52"/>
  <c r="H27" i="52"/>
  <c r="AP57" i="52"/>
  <c r="AP27" i="52"/>
  <c r="BB41" i="52"/>
  <c r="P58" i="52"/>
  <c r="U36" i="52"/>
  <c r="O44" i="52"/>
  <c r="AJ36" i="52"/>
  <c r="L17" i="52"/>
  <c r="Z8" i="52"/>
  <c r="S8" i="52"/>
  <c r="AO8" i="52"/>
  <c r="BA8" i="52"/>
  <c r="T8" i="52"/>
  <c r="I8" i="52"/>
  <c r="V8" i="52"/>
  <c r="Y8" i="52"/>
  <c r="AK8" i="52"/>
  <c r="AD8" i="52"/>
  <c r="W8" i="52"/>
  <c r="AT8" i="52"/>
  <c r="AF8" i="52"/>
  <c r="AS8" i="52"/>
  <c r="X8" i="52"/>
  <c r="AX8" i="52"/>
  <c r="AG8" i="52"/>
  <c r="Q8" i="52"/>
  <c r="AA8" i="52"/>
  <c r="AV8" i="52"/>
  <c r="AL8" i="52"/>
  <c r="G8" i="52"/>
  <c r="AC8" i="52"/>
  <c r="AN8" i="52"/>
  <c r="AR8" i="52"/>
  <c r="K8" i="52"/>
  <c r="E8" i="52"/>
  <c r="R8" i="52"/>
  <c r="AU27" i="52"/>
  <c r="AU12" i="52"/>
  <c r="K52" i="52"/>
  <c r="K47" i="28"/>
  <c r="D39" i="52"/>
  <c r="R62" i="52"/>
  <c r="AQ35" i="52"/>
  <c r="S35" i="52"/>
  <c r="AR35" i="52"/>
  <c r="Q35" i="52"/>
  <c r="AG35" i="52"/>
  <c r="AD35" i="52"/>
  <c r="AN35" i="52"/>
  <c r="T35" i="52"/>
  <c r="AF35" i="52"/>
  <c r="G35" i="52"/>
  <c r="AU35" i="52"/>
  <c r="X35" i="52"/>
  <c r="Y35" i="52"/>
  <c r="BA35" i="52"/>
  <c r="AO35" i="52"/>
  <c r="AV35" i="52"/>
  <c r="AA35" i="52"/>
  <c r="AT35" i="52"/>
  <c r="AX35" i="52"/>
  <c r="AK35" i="52"/>
  <c r="E35" i="52"/>
  <c r="W35" i="52"/>
  <c r="AC35" i="52"/>
  <c r="AS35" i="52"/>
  <c r="Z35" i="52"/>
  <c r="AL35" i="52"/>
  <c r="K35" i="52"/>
  <c r="BA50" i="52"/>
  <c r="S50" i="52"/>
  <c r="AX50" i="52"/>
  <c r="V50" i="52"/>
  <c r="X50" i="52"/>
  <c r="E50" i="52"/>
  <c r="AG50" i="52"/>
  <c r="AA50" i="52"/>
  <c r="AD50" i="52"/>
  <c r="Q50" i="52"/>
  <c r="AL50" i="52"/>
  <c r="AV50" i="52"/>
  <c r="T50" i="52"/>
  <c r="O50" i="52"/>
  <c r="K50" i="52"/>
  <c r="AC50" i="52"/>
  <c r="Y50" i="52"/>
  <c r="W50" i="52"/>
  <c r="Z50" i="52"/>
  <c r="AN50" i="52"/>
  <c r="I50" i="52"/>
  <c r="AR50" i="52"/>
  <c r="AT50" i="52"/>
  <c r="AO50" i="52"/>
  <c r="AF50" i="52"/>
  <c r="G50" i="52"/>
  <c r="AK50" i="52"/>
  <c r="AO27" i="52"/>
  <c r="S27" i="52"/>
  <c r="AN27" i="52"/>
  <c r="Y27" i="52"/>
  <c r="W27" i="52"/>
  <c r="AS27" i="52"/>
  <c r="AV27" i="52"/>
  <c r="K27" i="52"/>
  <c r="T27" i="52"/>
  <c r="Q27" i="52"/>
  <c r="AK27" i="52"/>
  <c r="I27" i="52"/>
  <c r="AA27" i="52"/>
  <c r="Z27" i="52"/>
  <c r="G27" i="52"/>
  <c r="E27" i="52"/>
  <c r="AG27" i="52"/>
  <c r="X27" i="52"/>
  <c r="AL27" i="52"/>
  <c r="AX27" i="52"/>
  <c r="V27" i="52"/>
  <c r="AF27" i="52"/>
  <c r="AD27" i="52"/>
  <c r="AC27" i="52"/>
  <c r="BA27" i="52"/>
  <c r="S24" i="52"/>
  <c r="AA24" i="52"/>
  <c r="T24" i="52"/>
  <c r="AG24" i="52"/>
  <c r="AD24" i="52"/>
  <c r="Q24" i="52"/>
  <c r="AT24" i="52"/>
  <c r="AK24" i="52"/>
  <c r="W24" i="52"/>
  <c r="BA24" i="52"/>
  <c r="I24" i="52"/>
  <c r="AC24" i="52"/>
  <c r="V24" i="52"/>
  <c r="X24" i="52"/>
  <c r="AL24" i="52"/>
  <c r="E24" i="52"/>
  <c r="Y24" i="52"/>
  <c r="K24" i="52"/>
  <c r="G24" i="52"/>
  <c r="AS24" i="52"/>
  <c r="AR24" i="52"/>
  <c r="AX24" i="52"/>
  <c r="Z24" i="52"/>
  <c r="AN24" i="52"/>
  <c r="AV24" i="52"/>
  <c r="AU24" i="52"/>
  <c r="AF24" i="52"/>
  <c r="AN28" i="52"/>
  <c r="AS32" i="52"/>
  <c r="S32" i="52"/>
  <c r="AK33" i="52"/>
  <c r="Q22" i="52"/>
  <c r="Q20" i="52"/>
  <c r="AX34" i="52"/>
  <c r="Y22" i="52"/>
  <c r="Y32" i="52"/>
  <c r="AF22" i="52"/>
  <c r="AF21" i="52"/>
  <c r="AO54" i="52"/>
  <c r="AR34" i="52"/>
  <c r="AL53" i="52"/>
  <c r="AL34" i="52"/>
  <c r="AT51" i="52"/>
  <c r="AS55" i="52"/>
  <c r="Z31" i="52"/>
  <c r="AS31" i="52"/>
  <c r="AS45" i="52"/>
  <c r="T31" i="52"/>
  <c r="W31" i="52"/>
  <c r="AA25" i="52"/>
  <c r="T22" i="52"/>
  <c r="I54" i="52"/>
  <c r="AV51" i="52"/>
  <c r="AC34" i="52"/>
  <c r="V51" i="52"/>
  <c r="AC61" i="52"/>
  <c r="P16" i="52"/>
  <c r="U45" i="52"/>
  <c r="R42" i="52"/>
  <c r="N31" i="52"/>
  <c r="AU20" i="52"/>
  <c r="BA33" i="52"/>
  <c r="BA21" i="52"/>
  <c r="Q16" i="52"/>
  <c r="AX16" i="52"/>
  <c r="Y61" i="52"/>
  <c r="E14" i="52"/>
  <c r="G14" i="52"/>
  <c r="AF42" i="52"/>
  <c r="AO33" i="52"/>
  <c r="AR14" i="52"/>
  <c r="AL42" i="52"/>
  <c r="AN42" i="52"/>
  <c r="AN14" i="52"/>
  <c r="AT45" i="52"/>
  <c r="AS22" i="52"/>
  <c r="X54" i="52"/>
  <c r="X61" i="52"/>
  <c r="AV16" i="52"/>
  <c r="W56" i="52"/>
  <c r="T25" i="52"/>
  <c r="I55" i="52"/>
  <c r="I20" i="52"/>
  <c r="AA51" i="52"/>
  <c r="AJ6" i="52"/>
  <c r="S6" i="52"/>
  <c r="AU16" i="52"/>
  <c r="AK42" i="52"/>
  <c r="K31" i="52"/>
  <c r="AX55" i="52"/>
  <c r="Y21" i="52"/>
  <c r="E45" i="52"/>
  <c r="G43" i="52"/>
  <c r="AF43" i="52"/>
  <c r="AF56" i="52"/>
  <c r="AO51" i="52"/>
  <c r="AR16" i="52"/>
  <c r="AL31" i="52"/>
  <c r="AN22" i="52"/>
  <c r="AT21" i="52"/>
  <c r="AS33" i="52"/>
  <c r="AC33" i="52"/>
  <c r="AC21" i="52"/>
  <c r="W33" i="52"/>
  <c r="AB56" i="52"/>
  <c r="S56" i="52"/>
  <c r="BA54" i="52"/>
  <c r="K55" i="52"/>
  <c r="K26" i="52"/>
  <c r="AG51" i="52"/>
  <c r="AX54" i="52"/>
  <c r="G6" i="52"/>
  <c r="G21" i="52"/>
  <c r="AF31" i="52"/>
  <c r="AF51" i="52"/>
  <c r="AO43" i="52"/>
  <c r="AR33" i="52"/>
  <c r="AS14" i="52"/>
  <c r="X53" i="52"/>
  <c r="X51" i="52"/>
  <c r="X14" i="52"/>
  <c r="I53" i="52"/>
  <c r="AV43" i="52"/>
  <c r="T16" i="52"/>
  <c r="AA55" i="52"/>
  <c r="AC43" i="52"/>
  <c r="V45" i="52"/>
  <c r="AU61" i="52"/>
  <c r="S61" i="52"/>
  <c r="BA55" i="52"/>
  <c r="BA26" i="52"/>
  <c r="Q56" i="52"/>
  <c r="K32" i="52"/>
  <c r="AX26" i="52"/>
  <c r="AX33" i="52"/>
  <c r="E32" i="52"/>
  <c r="AO55" i="52"/>
  <c r="AR26" i="52"/>
  <c r="AN55" i="52"/>
  <c r="AN51" i="52"/>
  <c r="AT26" i="52"/>
  <c r="Z26" i="52"/>
  <c r="X25" i="52"/>
  <c r="X31" i="52"/>
  <c r="AS20" i="52"/>
  <c r="AA56" i="52"/>
  <c r="AA61" i="52"/>
  <c r="AD51" i="52"/>
  <c r="W14" i="52"/>
  <c r="V32" i="52"/>
  <c r="AD54" i="52"/>
  <c r="Z16" i="52"/>
  <c r="S16" i="52"/>
  <c r="AK56" i="52"/>
  <c r="Q6" i="52"/>
  <c r="Q42" i="52"/>
  <c r="Q53" i="52"/>
  <c r="AX53" i="52"/>
  <c r="E25" i="52"/>
  <c r="Y56" i="52"/>
  <c r="Y34" i="52"/>
  <c r="G45" i="52"/>
  <c r="AR55" i="52"/>
  <c r="AN61" i="52"/>
  <c r="AT25" i="52"/>
  <c r="AS34" i="52"/>
  <c r="I42" i="52"/>
  <c r="AD56" i="52"/>
  <c r="T33" i="52"/>
  <c r="W32" i="52"/>
  <c r="AV45" i="52"/>
  <c r="AJ20" i="52"/>
  <c r="S20" i="52"/>
  <c r="AK22" i="52"/>
  <c r="AK32" i="52"/>
  <c r="K6" i="52"/>
  <c r="Q61" i="52"/>
  <c r="Q33" i="52"/>
  <c r="E31" i="52"/>
  <c r="G33" i="52"/>
  <c r="AF53" i="52"/>
  <c r="AO45" i="52"/>
  <c r="AR43" i="52"/>
  <c r="AL26" i="52"/>
  <c r="AL32" i="52"/>
  <c r="AS54" i="52"/>
  <c r="Z61" i="52"/>
  <c r="AS43" i="52"/>
  <c r="AD6" i="52"/>
  <c r="T56" i="52"/>
  <c r="I26" i="52"/>
  <c r="I31" i="52"/>
  <c r="V42" i="52"/>
  <c r="T26" i="52"/>
  <c r="F33" i="52"/>
  <c r="S33" i="52"/>
  <c r="BA20" i="52"/>
  <c r="AG6" i="52"/>
  <c r="AG61" i="52"/>
  <c r="K21" i="52"/>
  <c r="AX32" i="52"/>
  <c r="E6" i="52"/>
  <c r="G34" i="52"/>
  <c r="AF26" i="52"/>
  <c r="AF61" i="52"/>
  <c r="AO20" i="52"/>
  <c r="AO21" i="52"/>
  <c r="AR20" i="52"/>
  <c r="AN21" i="52"/>
  <c r="AT31" i="52"/>
  <c r="X33" i="52"/>
  <c r="AS51" i="52"/>
  <c r="Z34" i="52"/>
  <c r="W25" i="52"/>
  <c r="W53" i="52"/>
  <c r="AD33" i="52"/>
  <c r="AA31" i="52"/>
  <c r="AC56" i="52"/>
  <c r="AD43" i="52"/>
  <c r="I43" i="52"/>
  <c r="AA42" i="52"/>
  <c r="W54" i="52"/>
  <c r="AG20" i="52"/>
  <c r="K25" i="52"/>
  <c r="AX56" i="52"/>
  <c r="AX14" i="52"/>
  <c r="E55" i="52"/>
  <c r="E34" i="52"/>
  <c r="AF14" i="52"/>
  <c r="AO34" i="52"/>
  <c r="AR32" i="52"/>
  <c r="AL6" i="52"/>
  <c r="AN53" i="52"/>
  <c r="AT42" i="52"/>
  <c r="X43" i="52"/>
  <c r="Z43" i="52"/>
  <c r="Z20" i="52"/>
  <c r="I6" i="52"/>
  <c r="W55" i="52"/>
  <c r="T6" i="52"/>
  <c r="AA26" i="52"/>
  <c r="AV22" i="52"/>
  <c r="T21" i="52"/>
  <c r="I21" i="52"/>
  <c r="I51" i="52"/>
  <c r="F25" i="52"/>
  <c r="S25" i="52"/>
  <c r="K22" i="52"/>
  <c r="Q51" i="52"/>
  <c r="AG34" i="52"/>
  <c r="AX31" i="52"/>
  <c r="AX61" i="52"/>
  <c r="Y33" i="52"/>
  <c r="G32" i="52"/>
  <c r="AO56" i="52"/>
  <c r="AO61" i="52"/>
  <c r="AR22" i="52"/>
  <c r="I25" i="52"/>
  <c r="AV33" i="52"/>
  <c r="AD32" i="52"/>
  <c r="J26" i="52"/>
  <c r="S26" i="52"/>
  <c r="BA51" i="52"/>
  <c r="AK25" i="52"/>
  <c r="K61" i="52"/>
  <c r="AX21" i="52"/>
  <c r="G20" i="52"/>
  <c r="AO42" i="52"/>
  <c r="AR56" i="52"/>
  <c r="AR61" i="52"/>
  <c r="AT6" i="52"/>
  <c r="AS42" i="52"/>
  <c r="X26" i="52"/>
  <c r="Z14" i="52"/>
  <c r="I22" i="52"/>
  <c r="AD31" i="52"/>
  <c r="I56" i="52"/>
  <c r="W34" i="52"/>
  <c r="AV61" i="52"/>
  <c r="AA34" i="52"/>
  <c r="T32" i="52"/>
  <c r="AQ45" i="52"/>
  <c r="S45" i="52"/>
  <c r="BA32" i="52"/>
  <c r="AK61" i="52"/>
  <c r="K33" i="52"/>
  <c r="AG32" i="52"/>
  <c r="Q43" i="52"/>
  <c r="Q54" i="52"/>
  <c r="K34" i="52"/>
  <c r="K45" i="52"/>
  <c r="Y25" i="52"/>
  <c r="G22" i="52"/>
  <c r="AR6" i="52"/>
  <c r="AL56" i="52"/>
  <c r="AT56" i="52"/>
  <c r="AT16" i="52"/>
  <c r="Z22" i="52"/>
  <c r="AV25" i="52"/>
  <c r="AV55" i="52"/>
  <c r="T53" i="52"/>
  <c r="AD26" i="52"/>
  <c r="I45" i="52"/>
  <c r="W45" i="52"/>
  <c r="AV32" i="52"/>
  <c r="I34" i="52"/>
  <c r="AV21" i="52"/>
  <c r="V31" i="52"/>
  <c r="S31" i="52"/>
  <c r="BA42" i="52"/>
  <c r="Q25" i="52"/>
  <c r="K56" i="52"/>
  <c r="AG56" i="52"/>
  <c r="AG43" i="52"/>
  <c r="AX45" i="52"/>
  <c r="E56" i="52"/>
  <c r="Y6" i="52"/>
  <c r="E20" i="52"/>
  <c r="G26" i="52"/>
  <c r="G61" i="52"/>
  <c r="AO26" i="52"/>
  <c r="AO14" i="52"/>
  <c r="AL22" i="52"/>
  <c r="AL16" i="52"/>
  <c r="AN32" i="52"/>
  <c r="Z56" i="52"/>
  <c r="AV14" i="52"/>
  <c r="AV56" i="52"/>
  <c r="AV54" i="52"/>
  <c r="W21" i="52"/>
  <c r="AV20" i="52"/>
  <c r="U42" i="52"/>
  <c r="S42" i="52"/>
  <c r="BA6" i="52"/>
  <c r="AK54" i="52"/>
  <c r="K42" i="52"/>
  <c r="AG31" i="52"/>
  <c r="AG16" i="52"/>
  <c r="K51" i="52"/>
  <c r="AX43" i="52"/>
  <c r="Y26" i="52"/>
  <c r="G16" i="52"/>
  <c r="AR25" i="52"/>
  <c r="AR21" i="52"/>
  <c r="AL55" i="52"/>
  <c r="AL45" i="52"/>
  <c r="AL14" i="52"/>
  <c r="AT55" i="52"/>
  <c r="AS25" i="52"/>
  <c r="X20" i="52"/>
  <c r="X32" i="52"/>
  <c r="V6" i="52"/>
  <c r="I16" i="52"/>
  <c r="AD45" i="52"/>
  <c r="T34" i="52"/>
  <c r="AU43" i="52"/>
  <c r="S43" i="52"/>
  <c r="BA16" i="52"/>
  <c r="BA14" i="52"/>
  <c r="AG55" i="52"/>
  <c r="AG26" i="52"/>
  <c r="AG42" i="52"/>
  <c r="AG14" i="52"/>
  <c r="AG33" i="52"/>
  <c r="Y43" i="52"/>
  <c r="E26" i="52"/>
  <c r="AF25" i="52"/>
  <c r="AF33" i="52"/>
  <c r="AO25" i="52"/>
  <c r="AN20" i="52"/>
  <c r="X6" i="52"/>
  <c r="AS6" i="52"/>
  <c r="T55" i="52"/>
  <c r="AC22" i="52"/>
  <c r="AV42" i="52"/>
  <c r="V26" i="52"/>
  <c r="V54" i="52"/>
  <c r="AA53" i="52"/>
  <c r="T54" i="52"/>
  <c r="AC45" i="52"/>
  <c r="V16" i="52"/>
  <c r="R14" i="52"/>
  <c r="AU53" i="52"/>
  <c r="BA34" i="52"/>
  <c r="K54" i="52"/>
  <c r="AG45" i="52"/>
  <c r="AG21" i="52"/>
  <c r="AX6" i="52"/>
  <c r="Y55" i="52"/>
  <c r="Y20" i="52"/>
  <c r="AR53" i="52"/>
  <c r="AL61" i="52"/>
  <c r="AN43" i="52"/>
  <c r="AT14" i="52"/>
  <c r="X22" i="52"/>
  <c r="Z25" i="52"/>
  <c r="Z33" i="52"/>
  <c r="AD53" i="52"/>
  <c r="AD61" i="52"/>
  <c r="V22" i="52"/>
  <c r="AD55" i="52"/>
  <c r="AC20" i="52"/>
  <c r="V43" i="52"/>
  <c r="BA25" i="52"/>
  <c r="BA53" i="52"/>
  <c r="AK16" i="52"/>
  <c r="AK34" i="52"/>
  <c r="AG25" i="52"/>
  <c r="AX25" i="52"/>
  <c r="Y14" i="52"/>
  <c r="AF20" i="52"/>
  <c r="AR54" i="52"/>
  <c r="AN16" i="52"/>
  <c r="AT32" i="52"/>
  <c r="AS53" i="52"/>
  <c r="X42" i="52"/>
  <c r="Z32" i="52"/>
  <c r="AS16" i="52"/>
  <c r="V53" i="52"/>
  <c r="W22" i="52"/>
  <c r="AD14" i="52"/>
  <c r="AA22" i="52"/>
  <c r="W43" i="52"/>
  <c r="V34" i="52"/>
  <c r="U55" i="52"/>
  <c r="S55" i="52"/>
  <c r="BA61" i="52"/>
  <c r="AK31" i="52"/>
  <c r="AK26" i="52"/>
  <c r="AK53" i="52"/>
  <c r="Q45" i="52"/>
  <c r="K14" i="52"/>
  <c r="Y42" i="52"/>
  <c r="G42" i="52"/>
  <c r="AF16" i="52"/>
  <c r="AO6" i="52"/>
  <c r="AL33" i="52"/>
  <c r="AN54" i="52"/>
  <c r="AT43" i="52"/>
  <c r="X16" i="52"/>
  <c r="AA6" i="52"/>
  <c r="T61" i="52"/>
  <c r="T42" i="52"/>
  <c r="AD42" i="52"/>
  <c r="AC16" i="52"/>
  <c r="V61" i="52"/>
  <c r="V14" i="52"/>
  <c r="I14" i="52"/>
  <c r="I32" i="52"/>
  <c r="AC53" i="52"/>
  <c r="S53" i="52"/>
  <c r="BA31" i="52"/>
  <c r="AX20" i="52"/>
  <c r="E43" i="52"/>
  <c r="Y54" i="52"/>
  <c r="G55" i="52"/>
  <c r="AF34" i="52"/>
  <c r="AR51" i="52"/>
  <c r="AL54" i="52"/>
  <c r="AL21" i="52"/>
  <c r="AN56" i="52"/>
  <c r="AN26" i="52"/>
  <c r="AT34" i="52"/>
  <c r="X21" i="52"/>
  <c r="V33" i="52"/>
  <c r="AC31" i="52"/>
  <c r="AC54" i="52"/>
  <c r="AV53" i="52"/>
  <c r="W51" i="52"/>
  <c r="AJ14" i="52"/>
  <c r="S14" i="52"/>
  <c r="AK20" i="52"/>
  <c r="AK45" i="52"/>
  <c r="Q31" i="52"/>
  <c r="Q32" i="52"/>
  <c r="K43" i="52"/>
  <c r="AX42" i="52"/>
  <c r="E16" i="52"/>
  <c r="Y51" i="52"/>
  <c r="Y53" i="52"/>
  <c r="Y45" i="52"/>
  <c r="G56" i="52"/>
  <c r="AF55" i="52"/>
  <c r="AF32" i="52"/>
  <c r="AR42" i="52"/>
  <c r="AL51" i="52"/>
  <c r="AN45" i="52"/>
  <c r="AT53" i="52"/>
  <c r="AT61" i="52"/>
  <c r="AC55" i="52"/>
  <c r="V55" i="52"/>
  <c r="W61" i="52"/>
  <c r="AA54" i="52"/>
  <c r="AA21" i="52"/>
  <c r="V21" i="52"/>
  <c r="AA32" i="52"/>
  <c r="AD22" i="52"/>
  <c r="S22" i="52"/>
  <c r="BA56" i="52"/>
  <c r="BA43" i="52"/>
  <c r="AK55" i="52"/>
  <c r="AK51" i="52"/>
  <c r="K53" i="52"/>
  <c r="K20" i="52"/>
  <c r="Q34" i="52"/>
  <c r="AX22" i="52"/>
  <c r="Y16" i="52"/>
  <c r="E51" i="52"/>
  <c r="G53" i="52"/>
  <c r="AO31" i="52"/>
  <c r="AO53" i="52"/>
  <c r="AN34" i="52"/>
  <c r="Z45" i="52"/>
  <c r="AV6" i="52"/>
  <c r="AV31" i="52"/>
  <c r="W6" i="52"/>
  <c r="V20" i="52"/>
  <c r="T45" i="52"/>
  <c r="AA45" i="52"/>
  <c r="Z54" i="52"/>
  <c r="S54" i="52"/>
  <c r="AG22" i="52"/>
  <c r="AG53" i="52"/>
  <c r="Y31" i="52"/>
  <c r="E53" i="52"/>
  <c r="E33" i="52"/>
  <c r="G31" i="52"/>
  <c r="G51" i="52"/>
  <c r="AF54" i="52"/>
  <c r="AO32" i="52"/>
  <c r="AR45" i="52"/>
  <c r="AN25" i="52"/>
  <c r="AT20" i="52"/>
  <c r="Z55" i="52"/>
  <c r="AS26" i="52"/>
  <c r="X45" i="52"/>
  <c r="AC25" i="52"/>
  <c r="AD16" i="52"/>
  <c r="V25" i="52"/>
  <c r="V56" i="52"/>
  <c r="AC51" i="52"/>
  <c r="AC32" i="52"/>
  <c r="W16" i="52"/>
  <c r="AK21" i="52"/>
  <c r="S21" i="52"/>
  <c r="AK6" i="52"/>
  <c r="AK43" i="52"/>
  <c r="AX51" i="52"/>
  <c r="E42" i="52"/>
  <c r="E22" i="52"/>
  <c r="G25" i="52"/>
  <c r="G54" i="52"/>
  <c r="AO22" i="52"/>
  <c r="AR31" i="52"/>
  <c r="AL25" i="52"/>
  <c r="AL43" i="52"/>
  <c r="AN6" i="52"/>
  <c r="AN33" i="52"/>
  <c r="AT22" i="52"/>
  <c r="AT33" i="52"/>
  <c r="X55" i="52"/>
  <c r="AS21" i="52"/>
  <c r="X34" i="52"/>
  <c r="AS61" i="52"/>
  <c r="W20" i="52"/>
  <c r="AD20" i="52"/>
  <c r="W42" i="52"/>
  <c r="AC42" i="52"/>
  <c r="AA43" i="52"/>
  <c r="AD21" i="52"/>
  <c r="AA14" i="52"/>
  <c r="AC14" i="52"/>
  <c r="J40" i="39"/>
  <c r="G30" i="39"/>
  <c r="H60" i="28"/>
  <c r="F60" i="28"/>
  <c r="H43" i="28"/>
  <c r="H8" i="28"/>
  <c r="K46" i="28"/>
  <c r="G40" i="39"/>
  <c r="M61" i="39"/>
  <c r="K25" i="28"/>
  <c r="W22" i="49"/>
  <c r="E46" i="28"/>
  <c r="F40" i="28"/>
  <c r="H25" i="28"/>
  <c r="W45" i="49"/>
  <c r="F40" i="39"/>
  <c r="W18" i="49"/>
  <c r="F52" i="28"/>
  <c r="H16" i="28"/>
  <c r="W15" i="49"/>
  <c r="F43" i="28"/>
  <c r="W37" i="49"/>
  <c r="E56" i="28"/>
  <c r="W48" i="49"/>
  <c r="K41" i="28"/>
  <c r="F41" i="28"/>
  <c r="E41" i="28"/>
  <c r="W38" i="49"/>
  <c r="K45" i="28"/>
  <c r="D38" i="39"/>
  <c r="H13" i="39"/>
  <c r="L32" i="39"/>
  <c r="D32" i="39"/>
  <c r="I58" i="39"/>
  <c r="D25" i="39"/>
  <c r="I13" i="39"/>
  <c r="E58" i="39"/>
  <c r="F58" i="39"/>
  <c r="L40" i="39"/>
  <c r="J48" i="39"/>
  <c r="E61" i="39"/>
  <c r="F25" i="39"/>
  <c r="H10" i="39"/>
  <c r="K10" i="39"/>
  <c r="F14" i="39"/>
  <c r="H27" i="39"/>
  <c r="D48" i="39"/>
  <c r="H16" i="39"/>
  <c r="M48" i="39"/>
  <c r="H48" i="39"/>
  <c r="I28" i="39"/>
  <c r="H47" i="39"/>
  <c r="D40" i="39"/>
  <c r="L58" i="39"/>
  <c r="I25" i="39"/>
  <c r="G25" i="39"/>
  <c r="F48" i="39"/>
  <c r="D37" i="39"/>
  <c r="E38" i="39"/>
  <c r="K48" i="39"/>
  <c r="E15" i="39"/>
  <c r="J38" i="39"/>
  <c r="H38" i="39"/>
  <c r="J61" i="39"/>
  <c r="G61" i="39"/>
  <c r="K61" i="39"/>
  <c r="L61" i="39"/>
  <c r="F61" i="39"/>
  <c r="M60" i="39"/>
  <c r="F60" i="39"/>
  <c r="J19" i="39"/>
  <c r="K27" i="28"/>
  <c r="K12" i="28"/>
  <c r="W53" i="49"/>
  <c r="F12" i="28"/>
  <c r="K30" i="28"/>
  <c r="F30" i="28"/>
  <c r="E30" i="28"/>
  <c r="E32" i="28"/>
  <c r="H32" i="28"/>
  <c r="E27" i="28"/>
  <c r="F32" i="28"/>
  <c r="H49" i="28"/>
  <c r="K32" i="28"/>
  <c r="L4" i="35"/>
  <c r="E12" i="28"/>
  <c r="AX4" i="35"/>
  <c r="BC4" i="35"/>
  <c r="BE4" i="35"/>
  <c r="W56" i="49"/>
  <c r="W17" i="49"/>
  <c r="K10" i="28"/>
  <c r="K17" i="28"/>
  <c r="H17" i="28"/>
  <c r="E57" i="28"/>
  <c r="W58" i="49"/>
  <c r="F31" i="28"/>
  <c r="K49" i="28"/>
  <c r="F49" i="28"/>
  <c r="E49" i="28"/>
  <c r="E45" i="28"/>
  <c r="W8" i="49"/>
  <c r="H58" i="28"/>
  <c r="F41" i="39"/>
  <c r="L41" i="39"/>
  <c r="E41" i="39"/>
  <c r="I41" i="39"/>
  <c r="G41" i="39"/>
  <c r="G16" i="39"/>
  <c r="L15" i="39"/>
  <c r="E25" i="39"/>
  <c r="I61" i="39"/>
  <c r="L27" i="39"/>
  <c r="J25" i="39"/>
  <c r="J15" i="39"/>
  <c r="M27" i="39"/>
  <c r="K25" i="39"/>
  <c r="G15" i="39"/>
  <c r="M59" i="39"/>
  <c r="H25" i="39"/>
  <c r="M25" i="39"/>
  <c r="D15" i="39"/>
  <c r="K59" i="39"/>
  <c r="G60" i="39"/>
  <c r="F37" i="39"/>
  <c r="E27" i="39"/>
  <c r="F27" i="39"/>
  <c r="M15" i="39"/>
  <c r="M39" i="39"/>
  <c r="E37" i="39"/>
  <c r="F57" i="39"/>
  <c r="G39" i="39"/>
  <c r="G27" i="39"/>
  <c r="H37" i="39"/>
  <c r="D39" i="39"/>
  <c r="F15" i="39"/>
  <c r="K27" i="39"/>
  <c r="I39" i="39"/>
  <c r="K15" i="39"/>
  <c r="L39" i="39"/>
  <c r="I35" i="39"/>
  <c r="J39" i="39"/>
  <c r="K39" i="39"/>
  <c r="F39" i="39"/>
  <c r="E39" i="39"/>
  <c r="K37" i="39"/>
  <c r="L35" i="39"/>
  <c r="AS32" i="38"/>
  <c r="BQ32" i="38"/>
  <c r="W32" i="38"/>
  <c r="AV32" i="38"/>
  <c r="X32" i="38"/>
  <c r="AW32" i="38"/>
  <c r="Z32" i="38"/>
  <c r="AY32" i="38"/>
  <c r="AB32" i="38"/>
  <c r="BA32" i="38"/>
  <c r="AC32" i="38"/>
  <c r="BB32" i="38"/>
  <c r="AD32" i="38"/>
  <c r="BC32" i="38"/>
  <c r="AF32" i="38"/>
  <c r="BE32" i="38"/>
  <c r="AH32" i="38"/>
  <c r="BG32" i="38"/>
  <c r="AI32" i="38"/>
  <c r="BH32" i="38"/>
  <c r="AJ32" i="38"/>
  <c r="BI32" i="38"/>
  <c r="AK32" i="38"/>
  <c r="BJ32" i="38"/>
  <c r="AL32" i="38"/>
  <c r="BK32" i="38"/>
  <c r="AM32" i="38"/>
  <c r="BL32" i="38"/>
  <c r="AN32" i="38"/>
  <c r="BM32" i="38"/>
  <c r="AO32" i="38"/>
  <c r="BN32" i="38"/>
  <c r="AP32" i="38"/>
  <c r="BO32" i="38"/>
  <c r="AQ32" i="38"/>
  <c r="BP32" i="38"/>
  <c r="AR32" i="38"/>
  <c r="BR32" i="38"/>
  <c r="AT32" i="38"/>
  <c r="BS32" i="38"/>
  <c r="AU32" i="38"/>
  <c r="BT32" i="38"/>
  <c r="AX32" i="38"/>
  <c r="AZ32" i="38"/>
  <c r="BD32" i="38"/>
  <c r="BF32" i="38"/>
  <c r="Y32" i="38"/>
  <c r="V32" i="38"/>
  <c r="AA32" i="38"/>
  <c r="AE32" i="38"/>
  <c r="AG32" i="38"/>
  <c r="AI40" i="38"/>
  <c r="BG40" i="38"/>
  <c r="AO40" i="38"/>
  <c r="BM40" i="38"/>
  <c r="AP40" i="38"/>
  <c r="BN40" i="38"/>
  <c r="AT40" i="38"/>
  <c r="BR40" i="38"/>
  <c r="W40" i="38"/>
  <c r="AU40" i="38"/>
  <c r="BS40" i="38"/>
  <c r="X40" i="38"/>
  <c r="AV40" i="38"/>
  <c r="BT40" i="38"/>
  <c r="Z40" i="38"/>
  <c r="AX40" i="38"/>
  <c r="AA40" i="38"/>
  <c r="AY40" i="38"/>
  <c r="AB40" i="38"/>
  <c r="AZ40" i="38"/>
  <c r="AD40" i="38"/>
  <c r="BB40" i="38"/>
  <c r="AF40" i="38"/>
  <c r="BD40" i="38"/>
  <c r="AG40" i="38"/>
  <c r="BE40" i="38"/>
  <c r="AH40" i="38"/>
  <c r="BF40" i="38"/>
  <c r="BH40" i="38"/>
  <c r="BI40" i="38"/>
  <c r="BJ40" i="38"/>
  <c r="BK40" i="38"/>
  <c r="BL40" i="38"/>
  <c r="V40" i="38"/>
  <c r="BO40" i="38"/>
  <c r="BP40" i="38"/>
  <c r="BQ40" i="38"/>
  <c r="Y40" i="38"/>
  <c r="AC40" i="38"/>
  <c r="AE40" i="38"/>
  <c r="AJ40" i="38"/>
  <c r="AK40" i="38"/>
  <c r="AL40" i="38"/>
  <c r="AM40" i="38"/>
  <c r="AN40" i="38"/>
  <c r="AQ40" i="38"/>
  <c r="AR40" i="38"/>
  <c r="AS40" i="38"/>
  <c r="AW40" i="38"/>
  <c r="BA40" i="38"/>
  <c r="BC40" i="38"/>
  <c r="AJ43" i="38"/>
  <c r="BH43" i="38"/>
  <c r="AN43" i="38"/>
  <c r="BL43" i="38"/>
  <c r="AP43" i="38"/>
  <c r="BN43" i="38"/>
  <c r="AR43" i="38"/>
  <c r="BP43" i="38"/>
  <c r="AS43" i="38"/>
  <c r="BQ43" i="38"/>
  <c r="AT43" i="38"/>
  <c r="BR43" i="38"/>
  <c r="X43" i="38"/>
  <c r="AV43" i="38"/>
  <c r="BT43" i="38"/>
  <c r="Z43" i="38"/>
  <c r="AX43" i="38"/>
  <c r="AE43" i="38"/>
  <c r="BM43" i="38"/>
  <c r="AF43" i="38"/>
  <c r="BO43" i="38"/>
  <c r="AG43" i="38"/>
  <c r="BS43" i="38"/>
  <c r="AH43" i="38"/>
  <c r="AI43" i="38"/>
  <c r="V43" i="38"/>
  <c r="AK43" i="38"/>
  <c r="AL43" i="38"/>
  <c r="AM43" i="38"/>
  <c r="AO43" i="38"/>
  <c r="AQ43" i="38"/>
  <c r="AU43" i="38"/>
  <c r="AW43" i="38"/>
  <c r="AY43" i="38"/>
  <c r="AZ43" i="38"/>
  <c r="BA43" i="38"/>
  <c r="BB43" i="38"/>
  <c r="BC43" i="38"/>
  <c r="BD43" i="38"/>
  <c r="W43" i="38"/>
  <c r="BE43" i="38"/>
  <c r="Y43" i="38"/>
  <c r="BF43" i="38"/>
  <c r="AA43" i="38"/>
  <c r="BG43" i="38"/>
  <c r="AB43" i="38"/>
  <c r="BI43" i="38"/>
  <c r="AC43" i="38"/>
  <c r="BJ43" i="38"/>
  <c r="AD43" i="38"/>
  <c r="BK43" i="38"/>
  <c r="AR55" i="38"/>
  <c r="BP55" i="38"/>
  <c r="AS55" i="38"/>
  <c r="BQ55" i="38"/>
  <c r="AT55" i="38"/>
  <c r="BR55" i="38"/>
  <c r="W55" i="38"/>
  <c r="AU55" i="38"/>
  <c r="BS55" i="38"/>
  <c r="X55" i="38"/>
  <c r="AV55" i="38"/>
  <c r="BT55" i="38"/>
  <c r="Y55" i="38"/>
  <c r="AW55" i="38"/>
  <c r="Z55" i="38"/>
  <c r="AX55" i="38"/>
  <c r="AA55" i="38"/>
  <c r="AY55" i="38"/>
  <c r="AB55" i="38"/>
  <c r="AZ55" i="38"/>
  <c r="AC55" i="38"/>
  <c r="BA55" i="38"/>
  <c r="AD55" i="38"/>
  <c r="BB55" i="38"/>
  <c r="AE55" i="38"/>
  <c r="BC55" i="38"/>
  <c r="AF55" i="38"/>
  <c r="BD55" i="38"/>
  <c r="AG55" i="38"/>
  <c r="BE55" i="38"/>
  <c r="AH55" i="38"/>
  <c r="BF55" i="38"/>
  <c r="AI55" i="38"/>
  <c r="BG55" i="38"/>
  <c r="AJ55" i="38"/>
  <c r="BH55" i="38"/>
  <c r="AK55" i="38"/>
  <c r="BI55" i="38"/>
  <c r="AL55" i="38"/>
  <c r="BJ55" i="38"/>
  <c r="AM55" i="38"/>
  <c r="BK55" i="38"/>
  <c r="V55" i="38"/>
  <c r="AN55" i="38"/>
  <c r="BL55" i="38"/>
  <c r="AO55" i="38"/>
  <c r="BM55" i="38"/>
  <c r="AP55" i="38"/>
  <c r="BN55" i="38"/>
  <c r="AQ55" i="38"/>
  <c r="BO55" i="38"/>
  <c r="AB15" i="38"/>
  <c r="AZ15" i="38"/>
  <c r="AE15" i="38"/>
  <c r="BC15" i="38"/>
  <c r="AF15" i="38"/>
  <c r="BD15" i="38"/>
  <c r="AH15" i="38"/>
  <c r="BF15" i="38"/>
  <c r="AJ15" i="38"/>
  <c r="BH15" i="38"/>
  <c r="AP15" i="38"/>
  <c r="BN15" i="38"/>
  <c r="AR15" i="38"/>
  <c r="BP15" i="38"/>
  <c r="W15" i="38"/>
  <c r="AL15" i="38"/>
  <c r="BS15" i="38"/>
  <c r="AM15" i="38"/>
  <c r="BT15" i="38"/>
  <c r="AN15" i="38"/>
  <c r="AO15" i="38"/>
  <c r="AS15" i="38"/>
  <c r="AT15" i="38"/>
  <c r="AU15" i="38"/>
  <c r="AV15" i="38"/>
  <c r="AW15" i="38"/>
  <c r="AY15" i="38"/>
  <c r="BA15" i="38"/>
  <c r="BB15" i="38"/>
  <c r="BE15" i="38"/>
  <c r="X15" i="38"/>
  <c r="BG15" i="38"/>
  <c r="Y15" i="38"/>
  <c r="BI15" i="38"/>
  <c r="Z15" i="38"/>
  <c r="BJ15" i="38"/>
  <c r="AA15" i="38"/>
  <c r="BK15" i="38"/>
  <c r="AC15" i="38"/>
  <c r="BL15" i="38"/>
  <c r="AD15" i="38"/>
  <c r="BM15" i="38"/>
  <c r="AG15" i="38"/>
  <c r="BO15" i="38"/>
  <c r="AI15" i="38"/>
  <c r="BQ15" i="38"/>
  <c r="AK15" i="38"/>
  <c r="BR15" i="38"/>
  <c r="V15" i="38"/>
  <c r="AQ15" i="38"/>
  <c r="AX15" i="38"/>
  <c r="AD14" i="38"/>
  <c r="BB14" i="38"/>
  <c r="AG14" i="38"/>
  <c r="BE14" i="38"/>
  <c r="AH14" i="38"/>
  <c r="BF14" i="38"/>
  <c r="AJ14" i="38"/>
  <c r="BH14" i="38"/>
  <c r="AL14" i="38"/>
  <c r="BJ14" i="38"/>
  <c r="AR14" i="38"/>
  <c r="BP14" i="38"/>
  <c r="AT14" i="38"/>
  <c r="BR14" i="38"/>
  <c r="Y14" i="38"/>
  <c r="AW14" i="38"/>
  <c r="AY14" i="38"/>
  <c r="AZ14" i="38"/>
  <c r="BA14" i="38"/>
  <c r="BC14" i="38"/>
  <c r="W14" i="38"/>
  <c r="BG14" i="38"/>
  <c r="X14" i="38"/>
  <c r="BI14" i="38"/>
  <c r="Z14" i="38"/>
  <c r="BK14" i="38"/>
  <c r="AA14" i="38"/>
  <c r="BL14" i="38"/>
  <c r="AB14" i="38"/>
  <c r="BM14" i="38"/>
  <c r="AE14" i="38"/>
  <c r="BO14" i="38"/>
  <c r="AF14" i="38"/>
  <c r="BQ14" i="38"/>
  <c r="AI14" i="38"/>
  <c r="BS14" i="38"/>
  <c r="AK14" i="38"/>
  <c r="BT14" i="38"/>
  <c r="AM14" i="38"/>
  <c r="AN14" i="38"/>
  <c r="AO14" i="38"/>
  <c r="AP14" i="38"/>
  <c r="AQ14" i="38"/>
  <c r="AS14" i="38"/>
  <c r="AU14" i="38"/>
  <c r="AV14" i="38"/>
  <c r="AX14" i="38"/>
  <c r="V14" i="38"/>
  <c r="AC14" i="38"/>
  <c r="BD14" i="38"/>
  <c r="BN14" i="38"/>
  <c r="W32" i="49"/>
  <c r="X53" i="38"/>
  <c r="AV53" i="38"/>
  <c r="BT53" i="38"/>
  <c r="Y53" i="38"/>
  <c r="AW53" i="38"/>
  <c r="Z53" i="38"/>
  <c r="AX53" i="38"/>
  <c r="AA53" i="38"/>
  <c r="AY53" i="38"/>
  <c r="AB53" i="38"/>
  <c r="AZ53" i="38"/>
  <c r="AC53" i="38"/>
  <c r="BA53" i="38"/>
  <c r="AD53" i="38"/>
  <c r="BB53" i="38"/>
  <c r="AE53" i="38"/>
  <c r="BC53" i="38"/>
  <c r="AF53" i="38"/>
  <c r="BD53" i="38"/>
  <c r="AG53" i="38"/>
  <c r="BE53" i="38"/>
  <c r="AH53" i="38"/>
  <c r="BF53" i="38"/>
  <c r="AI53" i="38"/>
  <c r="BG53" i="38"/>
  <c r="AJ53" i="38"/>
  <c r="BH53" i="38"/>
  <c r="AK53" i="38"/>
  <c r="BI53" i="38"/>
  <c r="AL53" i="38"/>
  <c r="BJ53" i="38"/>
  <c r="AM53" i="38"/>
  <c r="BK53" i="38"/>
  <c r="AN53" i="38"/>
  <c r="BL53" i="38"/>
  <c r="AO53" i="38"/>
  <c r="BM53" i="38"/>
  <c r="V53" i="38"/>
  <c r="AP53" i="38"/>
  <c r="BN53" i="38"/>
  <c r="AQ53" i="38"/>
  <c r="BO53" i="38"/>
  <c r="AR53" i="38"/>
  <c r="BP53" i="38"/>
  <c r="AS53" i="38"/>
  <c r="BQ53" i="38"/>
  <c r="AT53" i="38"/>
  <c r="BR53" i="38"/>
  <c r="W53" i="38"/>
  <c r="AU53" i="38"/>
  <c r="BS53" i="38"/>
  <c r="AL10" i="38"/>
  <c r="BJ10" i="38"/>
  <c r="AO10" i="38"/>
  <c r="BM10" i="38"/>
  <c r="AP10" i="38"/>
  <c r="BN10" i="38"/>
  <c r="AQ10" i="38"/>
  <c r="AR10" i="38"/>
  <c r="BP10" i="38"/>
  <c r="AT10" i="38"/>
  <c r="BR10" i="38"/>
  <c r="W10" i="38"/>
  <c r="AU10" i="38"/>
  <c r="BS10" i="38"/>
  <c r="Y10" i="38"/>
  <c r="AW10" i="38"/>
  <c r="AB10" i="38"/>
  <c r="AZ10" i="38"/>
  <c r="AD10" i="38"/>
  <c r="BB10" i="38"/>
  <c r="AG10" i="38"/>
  <c r="BE10" i="38"/>
  <c r="BG10" i="38"/>
  <c r="BH10" i="38"/>
  <c r="BI10" i="38"/>
  <c r="BK10" i="38"/>
  <c r="X10" i="38"/>
  <c r="BL10" i="38"/>
  <c r="Z10" i="38"/>
  <c r="BO10" i="38"/>
  <c r="AA10" i="38"/>
  <c r="BQ10" i="38"/>
  <c r="AC10" i="38"/>
  <c r="BT10" i="38"/>
  <c r="AE10" i="38"/>
  <c r="AF10" i="38"/>
  <c r="AI10" i="38"/>
  <c r="AJ10" i="38"/>
  <c r="AK10" i="38"/>
  <c r="AM10" i="38"/>
  <c r="AN10" i="38"/>
  <c r="AS10" i="38"/>
  <c r="AV10" i="38"/>
  <c r="AX10" i="38"/>
  <c r="AY10" i="38"/>
  <c r="BA10" i="38"/>
  <c r="BC10" i="38"/>
  <c r="BD10" i="38"/>
  <c r="BF10" i="38"/>
  <c r="AH10" i="38"/>
  <c r="V10" i="38"/>
  <c r="AF13" i="38"/>
  <c r="BD13" i="38"/>
  <c r="AI13" i="38"/>
  <c r="BG13" i="38"/>
  <c r="AJ13" i="38"/>
  <c r="BH13" i="38"/>
  <c r="AL13" i="38"/>
  <c r="BJ13" i="38"/>
  <c r="AN13" i="38"/>
  <c r="BL13" i="38"/>
  <c r="AQ13" i="38"/>
  <c r="BO13" i="38"/>
  <c r="AT13" i="38"/>
  <c r="BR13" i="38"/>
  <c r="X13" i="38"/>
  <c r="AV13" i="38"/>
  <c r="BT13" i="38"/>
  <c r="AA13" i="38"/>
  <c r="AY13" i="38"/>
  <c r="Z13" i="38"/>
  <c r="BM13" i="38"/>
  <c r="AB13" i="38"/>
  <c r="BN13" i="38"/>
  <c r="AC13" i="38"/>
  <c r="BP13" i="38"/>
  <c r="AD13" i="38"/>
  <c r="BQ13" i="38"/>
  <c r="AE13" i="38"/>
  <c r="AG13" i="38"/>
  <c r="AH13" i="38"/>
  <c r="AK13" i="38"/>
  <c r="AM13" i="38"/>
  <c r="AO13" i="38"/>
  <c r="AR13" i="38"/>
  <c r="AS13" i="38"/>
  <c r="AU13" i="38"/>
  <c r="AW13" i="38"/>
  <c r="AX13" i="38"/>
  <c r="AZ13" i="38"/>
  <c r="BA13" i="38"/>
  <c r="BB13" i="38"/>
  <c r="BC13" i="38"/>
  <c r="BE13" i="38"/>
  <c r="BF13" i="38"/>
  <c r="W13" i="38"/>
  <c r="BI13" i="38"/>
  <c r="Y13" i="38"/>
  <c r="BK13" i="38"/>
  <c r="V13" i="38"/>
  <c r="AP13" i="38"/>
  <c r="BS13" i="38"/>
  <c r="X5" i="38"/>
  <c r="AV5" i="38"/>
  <c r="BT5" i="38"/>
  <c r="AA5" i="38"/>
  <c r="AY5" i="38"/>
  <c r="AB5" i="38"/>
  <c r="AZ5" i="38"/>
  <c r="AC5" i="38"/>
  <c r="BA5" i="38"/>
  <c r="AD5" i="38"/>
  <c r="BB5" i="38"/>
  <c r="AF5" i="38"/>
  <c r="BD5" i="38"/>
  <c r="AG5" i="38"/>
  <c r="BE5" i="38"/>
  <c r="AI5" i="38"/>
  <c r="BG5" i="38"/>
  <c r="AL5" i="38"/>
  <c r="BJ5" i="38"/>
  <c r="AN5" i="38"/>
  <c r="BL5" i="38"/>
  <c r="AP5" i="38"/>
  <c r="BN5" i="38"/>
  <c r="AQ5" i="38"/>
  <c r="BO5" i="38"/>
  <c r="AH5" i="38"/>
  <c r="AJ5" i="38"/>
  <c r="AK5" i="38"/>
  <c r="AM5" i="38"/>
  <c r="AO5" i="38"/>
  <c r="AR5" i="38"/>
  <c r="AS5" i="38"/>
  <c r="AT5" i="38"/>
  <c r="AU5" i="38"/>
  <c r="AW5" i="38"/>
  <c r="BC5" i="38"/>
  <c r="BF5" i="38"/>
  <c r="BH5" i="38"/>
  <c r="BI5" i="38"/>
  <c r="BK5" i="38"/>
  <c r="BM5" i="38"/>
  <c r="BP5" i="38"/>
  <c r="BQ5" i="38"/>
  <c r="BR5" i="38"/>
  <c r="W5" i="38"/>
  <c r="BS5" i="38"/>
  <c r="Y5" i="38"/>
  <c r="Z5" i="38"/>
  <c r="AE5" i="38"/>
  <c r="V5" i="38"/>
  <c r="AX5" i="38"/>
  <c r="AS35" i="38"/>
  <c r="BQ35" i="38"/>
  <c r="X35" i="38"/>
  <c r="AV35" i="38"/>
  <c r="BT35" i="38"/>
  <c r="AA35" i="38"/>
  <c r="AY35" i="38"/>
  <c r="AB35" i="38"/>
  <c r="AZ35" i="38"/>
  <c r="AD35" i="38"/>
  <c r="BB35" i="38"/>
  <c r="AF35" i="38"/>
  <c r="BD35" i="38"/>
  <c r="AG35" i="38"/>
  <c r="BE35" i="38"/>
  <c r="AH35" i="38"/>
  <c r="BF35" i="38"/>
  <c r="AJ35" i="38"/>
  <c r="BH35" i="38"/>
  <c r="AK35" i="38"/>
  <c r="BI35" i="38"/>
  <c r="AL35" i="38"/>
  <c r="BJ35" i="38"/>
  <c r="AM35" i="38"/>
  <c r="BK35" i="38"/>
  <c r="AN35" i="38"/>
  <c r="BL35" i="38"/>
  <c r="AP35" i="38"/>
  <c r="BN35" i="38"/>
  <c r="AQ35" i="38"/>
  <c r="BO35" i="38"/>
  <c r="AR35" i="38"/>
  <c r="BP35" i="38"/>
  <c r="BR35" i="38"/>
  <c r="BS35" i="38"/>
  <c r="W35" i="38"/>
  <c r="Y35" i="38"/>
  <c r="Z35" i="38"/>
  <c r="AC35" i="38"/>
  <c r="AE35" i="38"/>
  <c r="AI35" i="38"/>
  <c r="AO35" i="38"/>
  <c r="AT35" i="38"/>
  <c r="AU35" i="38"/>
  <c r="AW35" i="38"/>
  <c r="AX35" i="38"/>
  <c r="BA35" i="38"/>
  <c r="V35" i="38"/>
  <c r="BC35" i="38"/>
  <c r="BG35" i="38"/>
  <c r="BM35" i="38"/>
  <c r="AT18" i="38"/>
  <c r="BR18" i="38"/>
  <c r="Y18" i="38"/>
  <c r="AW18" i="38"/>
  <c r="Z18" i="38"/>
  <c r="AX18" i="38"/>
  <c r="AB18" i="38"/>
  <c r="AD18" i="38"/>
  <c r="BB18" i="38"/>
  <c r="AJ18" i="38"/>
  <c r="BH18" i="38"/>
  <c r="AV18" i="38"/>
  <c r="AY18" i="38"/>
  <c r="AZ18" i="38"/>
  <c r="BA18" i="38"/>
  <c r="W18" i="38"/>
  <c r="BD18" i="38"/>
  <c r="X18" i="38"/>
  <c r="BE18" i="38"/>
  <c r="AA18" i="38"/>
  <c r="BF18" i="38"/>
  <c r="AC18" i="38"/>
  <c r="BG18" i="38"/>
  <c r="AE18" i="38"/>
  <c r="BI18" i="38"/>
  <c r="AG18" i="38"/>
  <c r="BK18" i="38"/>
  <c r="AH18" i="38"/>
  <c r="BL18" i="38"/>
  <c r="AI18" i="38"/>
  <c r="BM18" i="38"/>
  <c r="AK18" i="38"/>
  <c r="BN18" i="38"/>
  <c r="AL18" i="38"/>
  <c r="BO18" i="38"/>
  <c r="AM18" i="38"/>
  <c r="BP18" i="38"/>
  <c r="AN18" i="38"/>
  <c r="BQ18" i="38"/>
  <c r="AO18" i="38"/>
  <c r="BS18" i="38"/>
  <c r="AP18" i="38"/>
  <c r="BT18" i="38"/>
  <c r="AQ18" i="38"/>
  <c r="AR18" i="38"/>
  <c r="AS18" i="38"/>
  <c r="AU18" i="38"/>
  <c r="AF18" i="38"/>
  <c r="BC18" i="38"/>
  <c r="BJ18" i="38"/>
  <c r="V18" i="38"/>
  <c r="AH12" i="38"/>
  <c r="BF12" i="38"/>
  <c r="AK12" i="38"/>
  <c r="BI12" i="38"/>
  <c r="AL12" i="38"/>
  <c r="BJ12" i="38"/>
  <c r="AN12" i="38"/>
  <c r="BL12" i="38"/>
  <c r="AP12" i="38"/>
  <c r="BN12" i="38"/>
  <c r="AS12" i="38"/>
  <c r="BQ12" i="38"/>
  <c r="X12" i="38"/>
  <c r="AV12" i="38"/>
  <c r="BT12" i="38"/>
  <c r="Z12" i="38"/>
  <c r="AX12" i="38"/>
  <c r="AC12" i="38"/>
  <c r="BA12" i="38"/>
  <c r="AJ12" i="38"/>
  <c r="AM12" i="38"/>
  <c r="AO12" i="38"/>
  <c r="AQ12" i="38"/>
  <c r="AR12" i="38"/>
  <c r="AT12" i="38"/>
  <c r="AU12" i="38"/>
  <c r="AW12" i="38"/>
  <c r="AY12" i="38"/>
  <c r="AZ12" i="38"/>
  <c r="BC12" i="38"/>
  <c r="BD12" i="38"/>
  <c r="BE12" i="38"/>
  <c r="BG12" i="38"/>
  <c r="W12" i="38"/>
  <c r="BH12" i="38"/>
  <c r="Y12" i="38"/>
  <c r="BK12" i="38"/>
  <c r="AA12" i="38"/>
  <c r="BM12" i="38"/>
  <c r="AB12" i="38"/>
  <c r="BO12" i="38"/>
  <c r="AD12" i="38"/>
  <c r="BP12" i="38"/>
  <c r="AE12" i="38"/>
  <c r="BR12" i="38"/>
  <c r="AF12" i="38"/>
  <c r="BS12" i="38"/>
  <c r="AG12" i="38"/>
  <c r="AI12" i="38"/>
  <c r="V12" i="38"/>
  <c r="BB12" i="38"/>
  <c r="Z16" i="38"/>
  <c r="AX16" i="38"/>
  <c r="AC16" i="38"/>
  <c r="BA16" i="38"/>
  <c r="AD16" i="38"/>
  <c r="BB16" i="38"/>
  <c r="AF16" i="38"/>
  <c r="BD16" i="38"/>
  <c r="AH16" i="38"/>
  <c r="BF16" i="38"/>
  <c r="AN16" i="38"/>
  <c r="BL16" i="38"/>
  <c r="AZ16" i="38"/>
  <c r="BC16" i="38"/>
  <c r="W16" i="38"/>
  <c r="BE16" i="38"/>
  <c r="X16" i="38"/>
  <c r="BG16" i="38"/>
  <c r="AA16" i="38"/>
  <c r="BI16" i="38"/>
  <c r="AB16" i="38"/>
  <c r="BJ16" i="38"/>
  <c r="AE16" i="38"/>
  <c r="BK16" i="38"/>
  <c r="AG16" i="38"/>
  <c r="BM16" i="38"/>
  <c r="AI16" i="38"/>
  <c r="BN16" i="38"/>
  <c r="AK16" i="38"/>
  <c r="BP16" i="38"/>
  <c r="AL16" i="38"/>
  <c r="BQ16" i="38"/>
  <c r="AM16" i="38"/>
  <c r="BR16" i="38"/>
  <c r="AO16" i="38"/>
  <c r="BS16" i="38"/>
  <c r="AP16" i="38"/>
  <c r="BT16" i="38"/>
  <c r="AQ16" i="38"/>
  <c r="AR16" i="38"/>
  <c r="AS16" i="38"/>
  <c r="AT16" i="38"/>
  <c r="AU16" i="38"/>
  <c r="AV16" i="38"/>
  <c r="AW16" i="38"/>
  <c r="AY16" i="38"/>
  <c r="BO16" i="38"/>
  <c r="V16" i="38"/>
  <c r="Y16" i="38"/>
  <c r="AJ16" i="38"/>
  <c r="BH16" i="38"/>
  <c r="Z52" i="38"/>
  <c r="AX52" i="38"/>
  <c r="AA52" i="38"/>
  <c r="AY52" i="38"/>
  <c r="AB52" i="38"/>
  <c r="AZ52" i="38"/>
  <c r="AC52" i="38"/>
  <c r="BA52" i="38"/>
  <c r="AD52" i="38"/>
  <c r="BB52" i="38"/>
  <c r="AE52" i="38"/>
  <c r="BC52" i="38"/>
  <c r="AF52" i="38"/>
  <c r="BD52" i="38"/>
  <c r="AG52" i="38"/>
  <c r="BE52" i="38"/>
  <c r="AH52" i="38"/>
  <c r="BF52" i="38"/>
  <c r="AI52" i="38"/>
  <c r="BG52" i="38"/>
  <c r="AJ52" i="38"/>
  <c r="BH52" i="38"/>
  <c r="AK52" i="38"/>
  <c r="BI52" i="38"/>
  <c r="AL52" i="38"/>
  <c r="BJ52" i="38"/>
  <c r="AM52" i="38"/>
  <c r="BK52" i="38"/>
  <c r="AN52" i="38"/>
  <c r="BL52" i="38"/>
  <c r="AO52" i="38"/>
  <c r="BM52" i="38"/>
  <c r="AP52" i="38"/>
  <c r="BN52" i="38"/>
  <c r="V52" i="38"/>
  <c r="AQ52" i="38"/>
  <c r="BO52" i="38"/>
  <c r="AR52" i="38"/>
  <c r="BP52" i="38"/>
  <c r="AS52" i="38"/>
  <c r="BQ52" i="38"/>
  <c r="AT52" i="38"/>
  <c r="BR52" i="38"/>
  <c r="W52" i="38"/>
  <c r="AU52" i="38"/>
  <c r="BS52" i="38"/>
  <c r="X52" i="38"/>
  <c r="AV52" i="38"/>
  <c r="BT52" i="38"/>
  <c r="Y52" i="38"/>
  <c r="AW52" i="38"/>
  <c r="AK39" i="38"/>
  <c r="BI39" i="38"/>
  <c r="AQ39" i="38"/>
  <c r="BO39" i="38"/>
  <c r="AR39" i="38"/>
  <c r="BP39" i="38"/>
  <c r="AT39" i="38"/>
  <c r="X39" i="38"/>
  <c r="AV39" i="38"/>
  <c r="BT39" i="38"/>
  <c r="Y39" i="38"/>
  <c r="AW39" i="38"/>
  <c r="Z39" i="38"/>
  <c r="AX39" i="38"/>
  <c r="AB39" i="38"/>
  <c r="AZ39" i="38"/>
  <c r="AC39" i="38"/>
  <c r="BA39" i="38"/>
  <c r="AD39" i="38"/>
  <c r="BB39" i="38"/>
  <c r="AF39" i="38"/>
  <c r="BD39" i="38"/>
  <c r="AH39" i="38"/>
  <c r="BF39" i="38"/>
  <c r="AI39" i="38"/>
  <c r="BG39" i="38"/>
  <c r="AJ39" i="38"/>
  <c r="BH39" i="38"/>
  <c r="BC39" i="38"/>
  <c r="BE39" i="38"/>
  <c r="BJ39" i="38"/>
  <c r="V39" i="38"/>
  <c r="BK39" i="38"/>
  <c r="BL39" i="38"/>
  <c r="BM39" i="38"/>
  <c r="BN39" i="38"/>
  <c r="BQ39" i="38"/>
  <c r="BR39" i="38"/>
  <c r="BS39" i="38"/>
  <c r="W39" i="38"/>
  <c r="AA39" i="38"/>
  <c r="AE39" i="38"/>
  <c r="AG39" i="38"/>
  <c r="AL39" i="38"/>
  <c r="AM39" i="38"/>
  <c r="AN39" i="38"/>
  <c r="AO39" i="38"/>
  <c r="AP39" i="38"/>
  <c r="AS39" i="38"/>
  <c r="AU39" i="38"/>
  <c r="AY39" i="38"/>
  <c r="W31" i="38"/>
  <c r="AU31" i="38"/>
  <c r="BS31" i="38"/>
  <c r="X31" i="38"/>
  <c r="AV31" i="38"/>
  <c r="AT31" i="38"/>
  <c r="AW31" i="38"/>
  <c r="AX31" i="38"/>
  <c r="Y31" i="38"/>
  <c r="AY31" i="38"/>
  <c r="AA31" i="38"/>
  <c r="BA31" i="38"/>
  <c r="AB31" i="38"/>
  <c r="BB31" i="38"/>
  <c r="AC31" i="38"/>
  <c r="BC31" i="38"/>
  <c r="AE31" i="38"/>
  <c r="BE31" i="38"/>
  <c r="AG31" i="38"/>
  <c r="BG31" i="38"/>
  <c r="AH31" i="38"/>
  <c r="BH31" i="38"/>
  <c r="AI31" i="38"/>
  <c r="BI31" i="38"/>
  <c r="AJ31" i="38"/>
  <c r="BJ31" i="38"/>
  <c r="AK31" i="38"/>
  <c r="BK31" i="38"/>
  <c r="AL31" i="38"/>
  <c r="BL31" i="38"/>
  <c r="AM31" i="38"/>
  <c r="BM31" i="38"/>
  <c r="AN31" i="38"/>
  <c r="BN31" i="38"/>
  <c r="AO31" i="38"/>
  <c r="BO31" i="38"/>
  <c r="AP31" i="38"/>
  <c r="BP31" i="38"/>
  <c r="AQ31" i="38"/>
  <c r="BQ31" i="38"/>
  <c r="AR31" i="38"/>
  <c r="BR31" i="38"/>
  <c r="AS31" i="38"/>
  <c r="BT31" i="38"/>
  <c r="Z31" i="38"/>
  <c r="AD31" i="38"/>
  <c r="AF31" i="38"/>
  <c r="AZ31" i="38"/>
  <c r="BD31" i="38"/>
  <c r="BF31" i="38"/>
  <c r="V31" i="38"/>
  <c r="AE27" i="38"/>
  <c r="BC27" i="38"/>
  <c r="AF27" i="38"/>
  <c r="BD27" i="38"/>
  <c r="AL27" i="38"/>
  <c r="BL27" i="38"/>
  <c r="AM27" i="38"/>
  <c r="BM27" i="38"/>
  <c r="AN27" i="38"/>
  <c r="BN27" i="38"/>
  <c r="AO27" i="38"/>
  <c r="BO27" i="38"/>
  <c r="AQ27" i="38"/>
  <c r="BQ27" i="38"/>
  <c r="AR27" i="38"/>
  <c r="BR27" i="38"/>
  <c r="AS27" i="38"/>
  <c r="BS27" i="38"/>
  <c r="AU27" i="38"/>
  <c r="W27" i="38"/>
  <c r="AW27" i="38"/>
  <c r="X27" i="38"/>
  <c r="AX27" i="38"/>
  <c r="Y27" i="38"/>
  <c r="AY27" i="38"/>
  <c r="Z27" i="38"/>
  <c r="AZ27" i="38"/>
  <c r="AA27" i="38"/>
  <c r="BA27" i="38"/>
  <c r="AB27" i="38"/>
  <c r="BB27" i="38"/>
  <c r="AC27" i="38"/>
  <c r="BE27" i="38"/>
  <c r="AD27" i="38"/>
  <c r="BF27" i="38"/>
  <c r="AG27" i="38"/>
  <c r="BG27" i="38"/>
  <c r="AH27" i="38"/>
  <c r="BH27" i="38"/>
  <c r="AI27" i="38"/>
  <c r="BI27" i="38"/>
  <c r="AJ27" i="38"/>
  <c r="BJ27" i="38"/>
  <c r="AK27" i="38"/>
  <c r="BK27" i="38"/>
  <c r="V27" i="38"/>
  <c r="AP27" i="38"/>
  <c r="AT27" i="38"/>
  <c r="AV27" i="38"/>
  <c r="BP27" i="38"/>
  <c r="BT27" i="38"/>
  <c r="AM38" i="38"/>
  <c r="BK38" i="38"/>
  <c r="AS38" i="38"/>
  <c r="BQ38" i="38"/>
  <c r="AT38" i="38"/>
  <c r="BR38" i="38"/>
  <c r="X38" i="38"/>
  <c r="AV38" i="38"/>
  <c r="BT38" i="38"/>
  <c r="Z38" i="38"/>
  <c r="AX38" i="38"/>
  <c r="AA38" i="38"/>
  <c r="AY38" i="38"/>
  <c r="AB38" i="38"/>
  <c r="AZ38" i="38"/>
  <c r="AD38" i="38"/>
  <c r="BB38" i="38"/>
  <c r="AE38" i="38"/>
  <c r="BC38" i="38"/>
  <c r="AF38" i="38"/>
  <c r="BD38" i="38"/>
  <c r="AH38" i="38"/>
  <c r="BF38" i="38"/>
  <c r="AJ38" i="38"/>
  <c r="BH38" i="38"/>
  <c r="AK38" i="38"/>
  <c r="BI38" i="38"/>
  <c r="AL38" i="38"/>
  <c r="BJ38" i="38"/>
  <c r="AR38" i="38"/>
  <c r="AU38" i="38"/>
  <c r="AW38" i="38"/>
  <c r="V38" i="38"/>
  <c r="BA38" i="38"/>
  <c r="BE38" i="38"/>
  <c r="BG38" i="38"/>
  <c r="BL38" i="38"/>
  <c r="BM38" i="38"/>
  <c r="BN38" i="38"/>
  <c r="BO38" i="38"/>
  <c r="BP38" i="38"/>
  <c r="BS38" i="38"/>
  <c r="W38" i="38"/>
  <c r="Y38" i="38"/>
  <c r="AC38" i="38"/>
  <c r="AG38" i="38"/>
  <c r="AI38" i="38"/>
  <c r="AN38" i="38"/>
  <c r="AO38" i="38"/>
  <c r="AP38" i="38"/>
  <c r="AQ38" i="38"/>
  <c r="AC28" i="38"/>
  <c r="BA28" i="38"/>
  <c r="AD28" i="38"/>
  <c r="BB28" i="38"/>
  <c r="AN28" i="38"/>
  <c r="BN28" i="38"/>
  <c r="AO28" i="38"/>
  <c r="BO28" i="38"/>
  <c r="AP28" i="38"/>
  <c r="BP28" i="38"/>
  <c r="AQ28" i="38"/>
  <c r="BQ28" i="38"/>
  <c r="AS28" i="38"/>
  <c r="BS28" i="38"/>
  <c r="AT28" i="38"/>
  <c r="BT28" i="38"/>
  <c r="AU28" i="38"/>
  <c r="W28" i="38"/>
  <c r="AW28" i="38"/>
  <c r="Y28" i="38"/>
  <c r="AY28" i="38"/>
  <c r="Z28" i="38"/>
  <c r="AZ28" i="38"/>
  <c r="AA28" i="38"/>
  <c r="BC28" i="38"/>
  <c r="AB28" i="38"/>
  <c r="BD28" i="38"/>
  <c r="AE28" i="38"/>
  <c r="BE28" i="38"/>
  <c r="AF28" i="38"/>
  <c r="BF28" i="38"/>
  <c r="AG28" i="38"/>
  <c r="BG28" i="38"/>
  <c r="AH28" i="38"/>
  <c r="BH28" i="38"/>
  <c r="AI28" i="38"/>
  <c r="BI28" i="38"/>
  <c r="AJ28" i="38"/>
  <c r="BJ28" i="38"/>
  <c r="AK28" i="38"/>
  <c r="BK28" i="38"/>
  <c r="AL28" i="38"/>
  <c r="BL28" i="38"/>
  <c r="AM28" i="38"/>
  <c r="BM28" i="38"/>
  <c r="AV28" i="38"/>
  <c r="AX28" i="38"/>
  <c r="BR28" i="38"/>
  <c r="V28" i="38"/>
  <c r="X28" i="38"/>
  <c r="AR28" i="38"/>
  <c r="AT6" i="38"/>
  <c r="BR6" i="38"/>
  <c r="Y6" i="38"/>
  <c r="AW6" i="38"/>
  <c r="Z6" i="38"/>
  <c r="AX6" i="38"/>
  <c r="AA6" i="38"/>
  <c r="AY6" i="38"/>
  <c r="AB6" i="38"/>
  <c r="AZ6" i="38"/>
  <c r="AD6" i="38"/>
  <c r="BB6" i="38"/>
  <c r="AE6" i="38"/>
  <c r="BC6" i="38"/>
  <c r="AG6" i="38"/>
  <c r="BE6" i="38"/>
  <c r="AJ6" i="38"/>
  <c r="BH6" i="38"/>
  <c r="AL6" i="38"/>
  <c r="BJ6" i="38"/>
  <c r="AN6" i="38"/>
  <c r="BL6" i="38"/>
  <c r="AO6" i="38"/>
  <c r="BM6" i="38"/>
  <c r="AF6" i="38"/>
  <c r="AH6" i="38"/>
  <c r="AI6" i="38"/>
  <c r="AK6" i="38"/>
  <c r="AM6" i="38"/>
  <c r="AP6" i="38"/>
  <c r="AQ6" i="38"/>
  <c r="AR6" i="38"/>
  <c r="AS6" i="38"/>
  <c r="AU6" i="38"/>
  <c r="BA6" i="38"/>
  <c r="BD6" i="38"/>
  <c r="BF6" i="38"/>
  <c r="BG6" i="38"/>
  <c r="BI6" i="38"/>
  <c r="BK6" i="38"/>
  <c r="BN6" i="38"/>
  <c r="BO6" i="38"/>
  <c r="BP6" i="38"/>
  <c r="BQ6" i="38"/>
  <c r="W6" i="38"/>
  <c r="BS6" i="38"/>
  <c r="X6" i="38"/>
  <c r="BT6" i="38"/>
  <c r="AC6" i="38"/>
  <c r="V6" i="38"/>
  <c r="AV6" i="38"/>
  <c r="AI25" i="38"/>
  <c r="BG25" i="38"/>
  <c r="AJ25" i="38"/>
  <c r="BH25" i="38"/>
  <c r="AF25" i="38"/>
  <c r="BF25" i="38"/>
  <c r="AG25" i="38"/>
  <c r="BI25" i="38"/>
  <c r="AH25" i="38"/>
  <c r="BJ25" i="38"/>
  <c r="AK25" i="38"/>
  <c r="BK25" i="38"/>
  <c r="AM25" i="38"/>
  <c r="BM25" i="38"/>
  <c r="AN25" i="38"/>
  <c r="BN25" i="38"/>
  <c r="AO25" i="38"/>
  <c r="BO25" i="38"/>
  <c r="AQ25" i="38"/>
  <c r="BQ25" i="38"/>
  <c r="AS25" i="38"/>
  <c r="BS25" i="38"/>
  <c r="AT25" i="38"/>
  <c r="BT25" i="38"/>
  <c r="AU25" i="38"/>
  <c r="AV25" i="38"/>
  <c r="W25" i="38"/>
  <c r="AW25" i="38"/>
  <c r="X25" i="38"/>
  <c r="AX25" i="38"/>
  <c r="Y25" i="38"/>
  <c r="AY25" i="38"/>
  <c r="Z25" i="38"/>
  <c r="AZ25" i="38"/>
  <c r="AA25" i="38"/>
  <c r="BA25" i="38"/>
  <c r="AB25" i="38"/>
  <c r="BB25" i="38"/>
  <c r="AC25" i="38"/>
  <c r="BC25" i="38"/>
  <c r="AD25" i="38"/>
  <c r="BD25" i="38"/>
  <c r="AE25" i="38"/>
  <c r="BE25" i="38"/>
  <c r="AL25" i="38"/>
  <c r="AP25" i="38"/>
  <c r="AR25" i="38"/>
  <c r="BL25" i="38"/>
  <c r="BP25" i="38"/>
  <c r="BR25" i="38"/>
  <c r="V25" i="38"/>
  <c r="Y30" i="38"/>
  <c r="AW30" i="38"/>
  <c r="Z30" i="38"/>
  <c r="AX30" i="38"/>
  <c r="AR30" i="38"/>
  <c r="BR30" i="38"/>
  <c r="AS30" i="38"/>
  <c r="BS30" i="38"/>
  <c r="AT30" i="38"/>
  <c r="BT30" i="38"/>
  <c r="AU30" i="38"/>
  <c r="W30" i="38"/>
  <c r="AY30" i="38"/>
  <c r="X30" i="38"/>
  <c r="AZ30" i="38"/>
  <c r="AA30" i="38"/>
  <c r="BA30" i="38"/>
  <c r="AC30" i="38"/>
  <c r="BC30" i="38"/>
  <c r="AE30" i="38"/>
  <c r="BE30" i="38"/>
  <c r="AF30" i="38"/>
  <c r="BF30" i="38"/>
  <c r="AG30" i="38"/>
  <c r="BG30" i="38"/>
  <c r="AH30" i="38"/>
  <c r="BH30" i="38"/>
  <c r="AI30" i="38"/>
  <c r="BI30" i="38"/>
  <c r="AJ30" i="38"/>
  <c r="BJ30" i="38"/>
  <c r="AK30" i="38"/>
  <c r="BK30" i="38"/>
  <c r="AL30" i="38"/>
  <c r="BL30" i="38"/>
  <c r="AM30" i="38"/>
  <c r="BM30" i="38"/>
  <c r="AN30" i="38"/>
  <c r="BN30" i="38"/>
  <c r="AO30" i="38"/>
  <c r="BO30" i="38"/>
  <c r="AP30" i="38"/>
  <c r="BP30" i="38"/>
  <c r="AQ30" i="38"/>
  <c r="BQ30" i="38"/>
  <c r="AB30" i="38"/>
  <c r="AD30" i="38"/>
  <c r="AV30" i="38"/>
  <c r="BB30" i="38"/>
  <c r="BD30" i="38"/>
  <c r="V30" i="38"/>
  <c r="AD62" i="38"/>
  <c r="BB62" i="38"/>
  <c r="AE62" i="38"/>
  <c r="BC62" i="38"/>
  <c r="AF62" i="38"/>
  <c r="BD62" i="38"/>
  <c r="V62" i="38"/>
  <c r="AG62" i="38"/>
  <c r="BE62" i="38"/>
  <c r="AH62" i="38"/>
  <c r="BF62" i="38"/>
  <c r="AI62" i="38"/>
  <c r="BG62" i="38"/>
  <c r="AJ62" i="38"/>
  <c r="BH62" i="38"/>
  <c r="AL62" i="38"/>
  <c r="BJ62" i="38"/>
  <c r="AM62" i="38"/>
  <c r="BK62" i="38"/>
  <c r="AN62" i="38"/>
  <c r="BL62" i="38"/>
  <c r="AO62" i="38"/>
  <c r="BM62" i="38"/>
  <c r="BI62" i="38"/>
  <c r="AP62" i="38"/>
  <c r="BN62" i="38"/>
  <c r="AQ62" i="38"/>
  <c r="BO62" i="38"/>
  <c r="AR62" i="38"/>
  <c r="BP62" i="38"/>
  <c r="AS62" i="38"/>
  <c r="BQ62" i="38"/>
  <c r="AT62" i="38"/>
  <c r="BR62" i="38"/>
  <c r="W62" i="38"/>
  <c r="AU62" i="38"/>
  <c r="BS62" i="38"/>
  <c r="X62" i="38"/>
  <c r="AV62" i="38"/>
  <c r="BT62" i="38"/>
  <c r="Y62" i="38"/>
  <c r="AW62" i="38"/>
  <c r="AK62" i="38"/>
  <c r="Z62" i="38"/>
  <c r="AX62" i="38"/>
  <c r="AA62" i="38"/>
  <c r="AY62" i="38"/>
  <c r="AB62" i="38"/>
  <c r="AZ62" i="38"/>
  <c r="AC62" i="38"/>
  <c r="BA62" i="38"/>
  <c r="AF49" i="38"/>
  <c r="BD49" i="38"/>
  <c r="AG49" i="38"/>
  <c r="BE49" i="38"/>
  <c r="AJ49" i="38"/>
  <c r="BH49" i="38"/>
  <c r="Y49" i="38"/>
  <c r="AZ49" i="38"/>
  <c r="Z49" i="38"/>
  <c r="BA49" i="38"/>
  <c r="AA49" i="38"/>
  <c r="BB49" i="38"/>
  <c r="AB49" i="38"/>
  <c r="BC49" i="38"/>
  <c r="AC49" i="38"/>
  <c r="BF49" i="38"/>
  <c r="AD49" i="38"/>
  <c r="BG49" i="38"/>
  <c r="AE49" i="38"/>
  <c r="BI49" i="38"/>
  <c r="AH49" i="38"/>
  <c r="BJ49" i="38"/>
  <c r="AI49" i="38"/>
  <c r="BK49" i="38"/>
  <c r="AK49" i="38"/>
  <c r="BL49" i="38"/>
  <c r="AL49" i="38"/>
  <c r="BM49" i="38"/>
  <c r="AM49" i="38"/>
  <c r="BN49" i="38"/>
  <c r="AN49" i="38"/>
  <c r="BO49" i="38"/>
  <c r="AO49" i="38"/>
  <c r="BP49" i="38"/>
  <c r="V49" i="38"/>
  <c r="AP49" i="38"/>
  <c r="BQ49" i="38"/>
  <c r="AQ49" i="38"/>
  <c r="BR49" i="38"/>
  <c r="AR49" i="38"/>
  <c r="BS49" i="38"/>
  <c r="AS49" i="38"/>
  <c r="BT49" i="38"/>
  <c r="AT49" i="38"/>
  <c r="AU49" i="38"/>
  <c r="AV49" i="38"/>
  <c r="AW49" i="38"/>
  <c r="W49" i="38"/>
  <c r="AX49" i="38"/>
  <c r="X49" i="38"/>
  <c r="AY49" i="38"/>
  <c r="AL42" i="38"/>
  <c r="BJ42" i="38"/>
  <c r="AP42" i="38"/>
  <c r="BN42" i="38"/>
  <c r="AR42" i="38"/>
  <c r="BP42" i="38"/>
  <c r="AT42" i="38"/>
  <c r="BR42" i="38"/>
  <c r="W42" i="38"/>
  <c r="AU42" i="38"/>
  <c r="BS42" i="38"/>
  <c r="X42" i="38"/>
  <c r="AV42" i="38"/>
  <c r="BT42" i="38"/>
  <c r="Z42" i="38"/>
  <c r="AX42" i="38"/>
  <c r="AB42" i="38"/>
  <c r="AZ42" i="38"/>
  <c r="AC42" i="38"/>
  <c r="AQ42" i="38"/>
  <c r="AS42" i="38"/>
  <c r="AW42" i="38"/>
  <c r="AY42" i="38"/>
  <c r="BA42" i="38"/>
  <c r="BB42" i="38"/>
  <c r="BC42" i="38"/>
  <c r="V42" i="38"/>
  <c r="BD42" i="38"/>
  <c r="BE42" i="38"/>
  <c r="BF42" i="38"/>
  <c r="BG42" i="38"/>
  <c r="Y42" i="38"/>
  <c r="BH42" i="38"/>
  <c r="AA42" i="38"/>
  <c r="BI42" i="38"/>
  <c r="AD42" i="38"/>
  <c r="BK42" i="38"/>
  <c r="AE42" i="38"/>
  <c r="BL42" i="38"/>
  <c r="AF42" i="38"/>
  <c r="BM42" i="38"/>
  <c r="AG42" i="38"/>
  <c r="BO42" i="38"/>
  <c r="AH42" i="38"/>
  <c r="BQ42" i="38"/>
  <c r="AI42" i="38"/>
  <c r="AJ42" i="38"/>
  <c r="AK42" i="38"/>
  <c r="AM42" i="38"/>
  <c r="AN42" i="38"/>
  <c r="AO42" i="38"/>
  <c r="AH48" i="38"/>
  <c r="BF48" i="38"/>
  <c r="AI48" i="38"/>
  <c r="BG48" i="38"/>
  <c r="AJ48" i="38"/>
  <c r="BH48" i="38"/>
  <c r="AL48" i="38"/>
  <c r="BJ48" i="38"/>
  <c r="AU48" i="38"/>
  <c r="AV48" i="38"/>
  <c r="AW48" i="38"/>
  <c r="AX48" i="38"/>
  <c r="W48" i="38"/>
  <c r="AY48" i="38"/>
  <c r="X48" i="38"/>
  <c r="AZ48" i="38"/>
  <c r="Y48" i="38"/>
  <c r="BA48" i="38"/>
  <c r="Z48" i="38"/>
  <c r="BB48" i="38"/>
  <c r="AA48" i="38"/>
  <c r="BC48" i="38"/>
  <c r="AB48" i="38"/>
  <c r="BD48" i="38"/>
  <c r="AC48" i="38"/>
  <c r="BE48" i="38"/>
  <c r="AD48" i="38"/>
  <c r="BI48" i="38"/>
  <c r="AE48" i="38"/>
  <c r="BK48" i="38"/>
  <c r="V48" i="38"/>
  <c r="AF48" i="38"/>
  <c r="BL48" i="38"/>
  <c r="AG48" i="38"/>
  <c r="BM48" i="38"/>
  <c r="AK48" i="38"/>
  <c r="BN48" i="38"/>
  <c r="AM48" i="38"/>
  <c r="BO48" i="38"/>
  <c r="AN48" i="38"/>
  <c r="BP48" i="38"/>
  <c r="AO48" i="38"/>
  <c r="BQ48" i="38"/>
  <c r="AP48" i="38"/>
  <c r="BR48" i="38"/>
  <c r="AQ48" i="38"/>
  <c r="BS48" i="38"/>
  <c r="AR48" i="38"/>
  <c r="BT48" i="38"/>
  <c r="AS48" i="38"/>
  <c r="AT48" i="38"/>
  <c r="AF61" i="38"/>
  <c r="BD61" i="38"/>
  <c r="AG61" i="38"/>
  <c r="BE61" i="38"/>
  <c r="V61" i="38"/>
  <c r="AH61" i="38"/>
  <c r="BF61" i="38"/>
  <c r="AM61" i="38"/>
  <c r="AI61" i="38"/>
  <c r="BG61" i="38"/>
  <c r="AJ61" i="38"/>
  <c r="BH61" i="38"/>
  <c r="BI61" i="38"/>
  <c r="AK61" i="38"/>
  <c r="AL61" i="38"/>
  <c r="BJ61" i="38"/>
  <c r="AN61" i="38"/>
  <c r="BL61" i="38"/>
  <c r="AO61" i="38"/>
  <c r="BM61" i="38"/>
  <c r="AP61" i="38"/>
  <c r="BN61" i="38"/>
  <c r="AQ61" i="38"/>
  <c r="BO61" i="38"/>
  <c r="AR61" i="38"/>
  <c r="BP61" i="38"/>
  <c r="AS61" i="38"/>
  <c r="BQ61" i="38"/>
  <c r="AT61" i="38"/>
  <c r="BR61" i="38"/>
  <c r="W61" i="38"/>
  <c r="AU61" i="38"/>
  <c r="BS61" i="38"/>
  <c r="X61" i="38"/>
  <c r="AV61" i="38"/>
  <c r="BT61" i="38"/>
  <c r="Y61" i="38"/>
  <c r="AW61" i="38"/>
  <c r="Z61" i="38"/>
  <c r="AX61" i="38"/>
  <c r="AA61" i="38"/>
  <c r="AY61" i="38"/>
  <c r="AB61" i="38"/>
  <c r="AZ61" i="38"/>
  <c r="AC61" i="38"/>
  <c r="BA61" i="38"/>
  <c r="AD61" i="38"/>
  <c r="BB61" i="38"/>
  <c r="BK61" i="38"/>
  <c r="AE61" i="38"/>
  <c r="BC61" i="38"/>
  <c r="AA29" i="38"/>
  <c r="AY29" i="38"/>
  <c r="AB29" i="38"/>
  <c r="AZ29" i="38"/>
  <c r="AP29" i="38"/>
  <c r="BP29" i="38"/>
  <c r="AQ29" i="38"/>
  <c r="BQ29" i="38"/>
  <c r="AR29" i="38"/>
  <c r="BR29" i="38"/>
  <c r="AS29" i="38"/>
  <c r="BS29" i="38"/>
  <c r="AU29" i="38"/>
  <c r="AV29" i="38"/>
  <c r="W29" i="38"/>
  <c r="AW29" i="38"/>
  <c r="Y29" i="38"/>
  <c r="BA29" i="38"/>
  <c r="AC29" i="38"/>
  <c r="BC29" i="38"/>
  <c r="AD29" i="38"/>
  <c r="BD29" i="38"/>
  <c r="AE29" i="38"/>
  <c r="BE29" i="38"/>
  <c r="AF29" i="38"/>
  <c r="BF29" i="38"/>
  <c r="AG29" i="38"/>
  <c r="BG29" i="38"/>
  <c r="AH29" i="38"/>
  <c r="BH29" i="38"/>
  <c r="AI29" i="38"/>
  <c r="BI29" i="38"/>
  <c r="AJ29" i="38"/>
  <c r="BJ29" i="38"/>
  <c r="AK29" i="38"/>
  <c r="BK29" i="38"/>
  <c r="AL29" i="38"/>
  <c r="BL29" i="38"/>
  <c r="AM29" i="38"/>
  <c r="BM29" i="38"/>
  <c r="AN29" i="38"/>
  <c r="BN29" i="38"/>
  <c r="AO29" i="38"/>
  <c r="BO29" i="38"/>
  <c r="X29" i="38"/>
  <c r="Z29" i="38"/>
  <c r="AT29" i="38"/>
  <c r="AX29" i="38"/>
  <c r="BB29" i="38"/>
  <c r="BT29" i="38"/>
  <c r="V29" i="38"/>
  <c r="AB47" i="38"/>
  <c r="AJ47" i="38"/>
  <c r="BH47" i="38"/>
  <c r="AK47" i="38"/>
  <c r="BI47" i="38"/>
  <c r="AL47" i="38"/>
  <c r="BJ47" i="38"/>
  <c r="AN47" i="38"/>
  <c r="BL47" i="38"/>
  <c r="AP47" i="38"/>
  <c r="BN47" i="38"/>
  <c r="AI47" i="38"/>
  <c r="BQ47" i="38"/>
  <c r="AM47" i="38"/>
  <c r="BR47" i="38"/>
  <c r="AO47" i="38"/>
  <c r="BS47" i="38"/>
  <c r="AQ47" i="38"/>
  <c r="BT47" i="38"/>
  <c r="AR47" i="38"/>
  <c r="AS47" i="38"/>
  <c r="AT47" i="38"/>
  <c r="AU47" i="38"/>
  <c r="AV47" i="38"/>
  <c r="AW47" i="38"/>
  <c r="AX47" i="38"/>
  <c r="V47" i="38"/>
  <c r="AY47" i="38"/>
  <c r="AZ47" i="38"/>
  <c r="W47" i="38"/>
  <c r="BA47" i="38"/>
  <c r="X47" i="38"/>
  <c r="BB47" i="38"/>
  <c r="Y47" i="38"/>
  <c r="BC47" i="38"/>
  <c r="Z47" i="38"/>
  <c r="BD47" i="38"/>
  <c r="AA47" i="38"/>
  <c r="BE47" i="38"/>
  <c r="AC47" i="38"/>
  <c r="BF47" i="38"/>
  <c r="AD47" i="38"/>
  <c r="BG47" i="38"/>
  <c r="AE47" i="38"/>
  <c r="BK47" i="38"/>
  <c r="AF47" i="38"/>
  <c r="BM47" i="38"/>
  <c r="AG47" i="38"/>
  <c r="BO47" i="38"/>
  <c r="AH47" i="38"/>
  <c r="BP47" i="38"/>
  <c r="AO37" i="38"/>
  <c r="BM37" i="38"/>
  <c r="AR37" i="38"/>
  <c r="BP37" i="38"/>
  <c r="W37" i="38"/>
  <c r="AU37" i="38"/>
  <c r="BS37" i="38"/>
  <c r="X37" i="38"/>
  <c r="AV37" i="38"/>
  <c r="BT37" i="38"/>
  <c r="Z37" i="38"/>
  <c r="AX37" i="38"/>
  <c r="AB37" i="38"/>
  <c r="AZ37" i="38"/>
  <c r="AC37" i="38"/>
  <c r="BA37" i="38"/>
  <c r="AD37" i="38"/>
  <c r="BB37" i="38"/>
  <c r="AF37" i="38"/>
  <c r="BD37" i="38"/>
  <c r="AG37" i="38"/>
  <c r="BE37" i="38"/>
  <c r="AH37" i="38"/>
  <c r="BF37" i="38"/>
  <c r="AJ37" i="38"/>
  <c r="BH37" i="38"/>
  <c r="AL37" i="38"/>
  <c r="BJ37" i="38"/>
  <c r="AM37" i="38"/>
  <c r="BK37" i="38"/>
  <c r="AN37" i="38"/>
  <c r="BL37" i="38"/>
  <c r="AI37" i="38"/>
  <c r="V37" i="38"/>
  <c r="AK37" i="38"/>
  <c r="AP37" i="38"/>
  <c r="AQ37" i="38"/>
  <c r="AS37" i="38"/>
  <c r="AT37" i="38"/>
  <c r="AW37" i="38"/>
  <c r="AY37" i="38"/>
  <c r="BC37" i="38"/>
  <c r="BG37" i="38"/>
  <c r="BI37" i="38"/>
  <c r="BN37" i="38"/>
  <c r="BO37" i="38"/>
  <c r="BQ37" i="38"/>
  <c r="BR37" i="38"/>
  <c r="Y37" i="38"/>
  <c r="AA37" i="38"/>
  <c r="AE37" i="38"/>
  <c r="AF45" i="38"/>
  <c r="BD45" i="38"/>
  <c r="AL45" i="38"/>
  <c r="BJ45" i="38"/>
  <c r="AN45" i="38"/>
  <c r="BL45" i="38"/>
  <c r="AO45" i="38"/>
  <c r="BM45" i="38"/>
  <c r="AP45" i="38"/>
  <c r="BN45" i="38"/>
  <c r="AR45" i="38"/>
  <c r="BP45" i="38"/>
  <c r="AT45" i="38"/>
  <c r="BR45" i="38"/>
  <c r="AI45" i="38"/>
  <c r="BT45" i="38"/>
  <c r="AJ45" i="38"/>
  <c r="AK45" i="38"/>
  <c r="AM45" i="38"/>
  <c r="AQ45" i="38"/>
  <c r="AS45" i="38"/>
  <c r="AU45" i="38"/>
  <c r="AV45" i="38"/>
  <c r="AW45" i="38"/>
  <c r="AX45" i="38"/>
  <c r="V45" i="38"/>
  <c r="AY45" i="38"/>
  <c r="AZ45" i="38"/>
  <c r="BA45" i="38"/>
  <c r="W45" i="38"/>
  <c r="BB45" i="38"/>
  <c r="X45" i="38"/>
  <c r="BC45" i="38"/>
  <c r="Y45" i="38"/>
  <c r="BE45" i="38"/>
  <c r="Z45" i="38"/>
  <c r="BF45" i="38"/>
  <c r="AA45" i="38"/>
  <c r="BG45" i="38"/>
  <c r="AB45" i="38"/>
  <c r="BH45" i="38"/>
  <c r="AC45" i="38"/>
  <c r="BI45" i="38"/>
  <c r="AD45" i="38"/>
  <c r="BK45" i="38"/>
  <c r="AE45" i="38"/>
  <c r="BO45" i="38"/>
  <c r="AG45" i="38"/>
  <c r="BQ45" i="38"/>
  <c r="AH45" i="38"/>
  <c r="BS45" i="38"/>
  <c r="AM23" i="38"/>
  <c r="BK23" i="38"/>
  <c r="AN23" i="38"/>
  <c r="BL23" i="38"/>
  <c r="AB23" i="38"/>
  <c r="BB23" i="38"/>
  <c r="AC23" i="38"/>
  <c r="BC23" i="38"/>
  <c r="AD23" i="38"/>
  <c r="BD23" i="38"/>
  <c r="AE23" i="38"/>
  <c r="BE23" i="38"/>
  <c r="AG23" i="38"/>
  <c r="BG23" i="38"/>
  <c r="AH23" i="38"/>
  <c r="BH23" i="38"/>
  <c r="AI23" i="38"/>
  <c r="BI23" i="38"/>
  <c r="AJ23" i="38"/>
  <c r="BJ23" i="38"/>
  <c r="AK23" i="38"/>
  <c r="BM23" i="38"/>
  <c r="AO23" i="38"/>
  <c r="BO23" i="38"/>
  <c r="AP23" i="38"/>
  <c r="BP23" i="38"/>
  <c r="AQ23" i="38"/>
  <c r="BQ23" i="38"/>
  <c r="AR23" i="38"/>
  <c r="BR23" i="38"/>
  <c r="AS23" i="38"/>
  <c r="BS23" i="38"/>
  <c r="AT23" i="38"/>
  <c r="BT23" i="38"/>
  <c r="AU23" i="38"/>
  <c r="AV23" i="38"/>
  <c r="W23" i="38"/>
  <c r="AW23" i="38"/>
  <c r="X23" i="38"/>
  <c r="AX23" i="38"/>
  <c r="Y23" i="38"/>
  <c r="AY23" i="38"/>
  <c r="Z23" i="38"/>
  <c r="AZ23" i="38"/>
  <c r="AA23" i="38"/>
  <c r="BA23" i="38"/>
  <c r="BN23" i="38"/>
  <c r="V23" i="38"/>
  <c r="AF23" i="38"/>
  <c r="AL23" i="38"/>
  <c r="BF23" i="38"/>
  <c r="E5" i="39"/>
  <c r="F5" i="39"/>
  <c r="G5" i="39"/>
  <c r="H5" i="39"/>
  <c r="J5" i="39"/>
  <c r="K5" i="39"/>
  <c r="M5" i="39"/>
  <c r="D5" i="39"/>
  <c r="I5" i="39"/>
  <c r="L5" i="39"/>
  <c r="AD46" i="38"/>
  <c r="BB46" i="38"/>
  <c r="AJ46" i="38"/>
  <c r="BH46" i="38"/>
  <c r="AL46" i="38"/>
  <c r="BJ46" i="38"/>
  <c r="AM46" i="38"/>
  <c r="BK46" i="38"/>
  <c r="AN46" i="38"/>
  <c r="BL46" i="38"/>
  <c r="AP46" i="38"/>
  <c r="BN46" i="38"/>
  <c r="AR46" i="38"/>
  <c r="BP46" i="38"/>
  <c r="BA46" i="38"/>
  <c r="W46" i="38"/>
  <c r="BC46" i="38"/>
  <c r="X46" i="38"/>
  <c r="BD46" i="38"/>
  <c r="Y46" i="38"/>
  <c r="BE46" i="38"/>
  <c r="Z46" i="38"/>
  <c r="BF46" i="38"/>
  <c r="AA46" i="38"/>
  <c r="BG46" i="38"/>
  <c r="AB46" i="38"/>
  <c r="BI46" i="38"/>
  <c r="AC46" i="38"/>
  <c r="BM46" i="38"/>
  <c r="AE46" i="38"/>
  <c r="BO46" i="38"/>
  <c r="AF46" i="38"/>
  <c r="BQ46" i="38"/>
  <c r="AG46" i="38"/>
  <c r="BR46" i="38"/>
  <c r="V46" i="38"/>
  <c r="AH46" i="38"/>
  <c r="BS46" i="38"/>
  <c r="AI46" i="38"/>
  <c r="BT46" i="38"/>
  <c r="AK46" i="38"/>
  <c r="AO46" i="38"/>
  <c r="AQ46" i="38"/>
  <c r="AS46" i="38"/>
  <c r="AT46" i="38"/>
  <c r="AU46" i="38"/>
  <c r="AV46" i="38"/>
  <c r="AW46" i="38"/>
  <c r="AX46" i="38"/>
  <c r="AY46" i="38"/>
  <c r="AZ46" i="38"/>
  <c r="AR7" i="38"/>
  <c r="BP7" i="38"/>
  <c r="W7" i="38"/>
  <c r="AU7" i="38"/>
  <c r="BS7" i="38"/>
  <c r="X7" i="38"/>
  <c r="AV7" i="38"/>
  <c r="BT7" i="38"/>
  <c r="Y7" i="38"/>
  <c r="AW7" i="38"/>
  <c r="Z7" i="38"/>
  <c r="AX7" i="38"/>
  <c r="AB7" i="38"/>
  <c r="AZ7" i="38"/>
  <c r="AC7" i="38"/>
  <c r="BA7" i="38"/>
  <c r="AE7" i="38"/>
  <c r="BC7" i="38"/>
  <c r="AH7" i="38"/>
  <c r="BF7" i="38"/>
  <c r="AJ7" i="38"/>
  <c r="BH7" i="38"/>
  <c r="AL7" i="38"/>
  <c r="BJ7" i="38"/>
  <c r="AM7" i="38"/>
  <c r="BK7" i="38"/>
  <c r="AD7" i="38"/>
  <c r="AF7" i="38"/>
  <c r="AG7" i="38"/>
  <c r="AI7" i="38"/>
  <c r="AK7" i="38"/>
  <c r="AN7" i="38"/>
  <c r="AO7" i="38"/>
  <c r="AP7" i="38"/>
  <c r="AQ7" i="38"/>
  <c r="AS7" i="38"/>
  <c r="AY7" i="38"/>
  <c r="BB7" i="38"/>
  <c r="BD7" i="38"/>
  <c r="BE7" i="38"/>
  <c r="BG7" i="38"/>
  <c r="BI7" i="38"/>
  <c r="BL7" i="38"/>
  <c r="BM7" i="38"/>
  <c r="BN7" i="38"/>
  <c r="BO7" i="38"/>
  <c r="BQ7" i="38"/>
  <c r="BR7" i="38"/>
  <c r="AA7" i="38"/>
  <c r="AT7" i="38"/>
  <c r="V7" i="38"/>
  <c r="AO22" i="38"/>
  <c r="BM22" i="38"/>
  <c r="AP22" i="38"/>
  <c r="BN22" i="38"/>
  <c r="AB22" i="38"/>
  <c r="AZ22" i="38"/>
  <c r="X22" i="38"/>
  <c r="AY22" i="38"/>
  <c r="Y22" i="38"/>
  <c r="BA22" i="38"/>
  <c r="Z22" i="38"/>
  <c r="BB22" i="38"/>
  <c r="AA22" i="38"/>
  <c r="BC22" i="38"/>
  <c r="AD22" i="38"/>
  <c r="BE22" i="38"/>
  <c r="AE22" i="38"/>
  <c r="BF22" i="38"/>
  <c r="AF22" i="38"/>
  <c r="BG22" i="38"/>
  <c r="AG22" i="38"/>
  <c r="BH22" i="38"/>
  <c r="AH22" i="38"/>
  <c r="BI22" i="38"/>
  <c r="AJ22" i="38"/>
  <c r="BK22" i="38"/>
  <c r="AK22" i="38"/>
  <c r="BL22" i="38"/>
  <c r="AL22" i="38"/>
  <c r="BO22" i="38"/>
  <c r="AM22" i="38"/>
  <c r="BP22" i="38"/>
  <c r="AN22" i="38"/>
  <c r="BQ22" i="38"/>
  <c r="AQ22" i="38"/>
  <c r="BR22" i="38"/>
  <c r="AR22" i="38"/>
  <c r="BS22" i="38"/>
  <c r="AS22" i="38"/>
  <c r="BT22" i="38"/>
  <c r="AT22" i="38"/>
  <c r="AU22" i="38"/>
  <c r="AV22" i="38"/>
  <c r="AW22" i="38"/>
  <c r="W22" i="38"/>
  <c r="AX22" i="38"/>
  <c r="V22" i="38"/>
  <c r="AC22" i="38"/>
  <c r="AI22" i="38"/>
  <c r="BD22" i="38"/>
  <c r="BJ22" i="38"/>
  <c r="AJ59" i="38"/>
  <c r="BH59" i="38"/>
  <c r="AK59" i="38"/>
  <c r="BI59" i="38"/>
  <c r="AL59" i="38"/>
  <c r="BJ59" i="38"/>
  <c r="AM59" i="38"/>
  <c r="BK59" i="38"/>
  <c r="AN59" i="38"/>
  <c r="BL59" i="38"/>
  <c r="AO59" i="38"/>
  <c r="BM59" i="38"/>
  <c r="AP59" i="38"/>
  <c r="BN59" i="38"/>
  <c r="AQ59" i="38"/>
  <c r="BO59" i="38"/>
  <c r="AR59" i="38"/>
  <c r="BP59" i="38"/>
  <c r="AS59" i="38"/>
  <c r="BQ59" i="38"/>
  <c r="AT59" i="38"/>
  <c r="BR59" i="38"/>
  <c r="W59" i="38"/>
  <c r="AU59" i="38"/>
  <c r="BS59" i="38"/>
  <c r="X59" i="38"/>
  <c r="AV59" i="38"/>
  <c r="BT59" i="38"/>
  <c r="Y59" i="38"/>
  <c r="AW59" i="38"/>
  <c r="Z59" i="38"/>
  <c r="AX59" i="38"/>
  <c r="AA59" i="38"/>
  <c r="AY59" i="38"/>
  <c r="AB59" i="38"/>
  <c r="AZ59" i="38"/>
  <c r="AC59" i="38"/>
  <c r="BA59" i="38"/>
  <c r="AD59" i="38"/>
  <c r="BB59" i="38"/>
  <c r="AE59" i="38"/>
  <c r="BC59" i="38"/>
  <c r="AF59" i="38"/>
  <c r="BD59" i="38"/>
  <c r="AG59" i="38"/>
  <c r="BE59" i="38"/>
  <c r="V59" i="38"/>
  <c r="AH59" i="38"/>
  <c r="BF59" i="38"/>
  <c r="AI59" i="38"/>
  <c r="BG59" i="38"/>
  <c r="AB51" i="38"/>
  <c r="AZ51" i="38"/>
  <c r="AC51" i="38"/>
  <c r="BA51" i="38"/>
  <c r="AD51" i="38"/>
  <c r="BB51" i="38"/>
  <c r="AE51" i="38"/>
  <c r="BC51" i="38"/>
  <c r="AF51" i="38"/>
  <c r="BD51" i="38"/>
  <c r="AG51" i="38"/>
  <c r="BE51" i="38"/>
  <c r="AH51" i="38"/>
  <c r="BF51" i="38"/>
  <c r="AI51" i="38"/>
  <c r="BG51" i="38"/>
  <c r="AJ51" i="38"/>
  <c r="BH51" i="38"/>
  <c r="AK51" i="38"/>
  <c r="BI51" i="38"/>
  <c r="AL51" i="38"/>
  <c r="BJ51" i="38"/>
  <c r="AM51" i="38"/>
  <c r="BK51" i="38"/>
  <c r="AN51" i="38"/>
  <c r="BL51" i="38"/>
  <c r="AO51" i="38"/>
  <c r="BM51" i="38"/>
  <c r="AP51" i="38"/>
  <c r="BN51" i="38"/>
  <c r="AQ51" i="38"/>
  <c r="BO51" i="38"/>
  <c r="V51" i="38"/>
  <c r="AR51" i="38"/>
  <c r="BP51" i="38"/>
  <c r="AS51" i="38"/>
  <c r="BQ51" i="38"/>
  <c r="AT51" i="38"/>
  <c r="BR51" i="38"/>
  <c r="W51" i="38"/>
  <c r="AU51" i="38"/>
  <c r="BS51" i="38"/>
  <c r="X51" i="38"/>
  <c r="AV51" i="38"/>
  <c r="BT51" i="38"/>
  <c r="Y51" i="38"/>
  <c r="AW51" i="38"/>
  <c r="Z51" i="38"/>
  <c r="AX51" i="38"/>
  <c r="AA51" i="38"/>
  <c r="AY51" i="38"/>
  <c r="W55" i="49"/>
  <c r="AH44" i="38"/>
  <c r="BF44" i="38"/>
  <c r="AL44" i="38"/>
  <c r="AN44" i="38"/>
  <c r="BL44" i="38"/>
  <c r="AP44" i="38"/>
  <c r="BN44" i="38"/>
  <c r="AQ44" i="38"/>
  <c r="BO44" i="38"/>
  <c r="AR44" i="38"/>
  <c r="BP44" i="38"/>
  <c r="AT44" i="38"/>
  <c r="BR44" i="38"/>
  <c r="X44" i="38"/>
  <c r="AV44" i="38"/>
  <c r="BT44" i="38"/>
  <c r="BA44" i="38"/>
  <c r="BB44" i="38"/>
  <c r="BC44" i="38"/>
  <c r="W44" i="38"/>
  <c r="BD44" i="38"/>
  <c r="Y44" i="38"/>
  <c r="BE44" i="38"/>
  <c r="Z44" i="38"/>
  <c r="BG44" i="38"/>
  <c r="AA44" i="38"/>
  <c r="BH44" i="38"/>
  <c r="AB44" i="38"/>
  <c r="BI44" i="38"/>
  <c r="AC44" i="38"/>
  <c r="BJ44" i="38"/>
  <c r="V44" i="38"/>
  <c r="AD44" i="38"/>
  <c r="BK44" i="38"/>
  <c r="AE44" i="38"/>
  <c r="BM44" i="38"/>
  <c r="AF44" i="38"/>
  <c r="BQ44" i="38"/>
  <c r="AG44" i="38"/>
  <c r="BS44" i="38"/>
  <c r="AI44" i="38"/>
  <c r="AJ44" i="38"/>
  <c r="AK44" i="38"/>
  <c r="AM44" i="38"/>
  <c r="AO44" i="38"/>
  <c r="AS44" i="38"/>
  <c r="AU44" i="38"/>
  <c r="AW44" i="38"/>
  <c r="AX44" i="38"/>
  <c r="AY44" i="38"/>
  <c r="AZ44" i="38"/>
  <c r="AS20" i="38"/>
  <c r="BQ20" i="38"/>
  <c r="AT20" i="38"/>
  <c r="BR20" i="38"/>
  <c r="Z20" i="38"/>
  <c r="AX20" i="38"/>
  <c r="AF20" i="38"/>
  <c r="BD20" i="38"/>
  <c r="AM20" i="38"/>
  <c r="BO20" i="38"/>
  <c r="AN20" i="38"/>
  <c r="BP20" i="38"/>
  <c r="AO20" i="38"/>
  <c r="BS20" i="38"/>
  <c r="AP20" i="38"/>
  <c r="BT20" i="38"/>
  <c r="AR20" i="38"/>
  <c r="AU20" i="38"/>
  <c r="AV20" i="38"/>
  <c r="AW20" i="38"/>
  <c r="AY20" i="38"/>
  <c r="X20" i="38"/>
  <c r="BA20" i="38"/>
  <c r="Y20" i="38"/>
  <c r="BB20" i="38"/>
  <c r="AA20" i="38"/>
  <c r="BC20" i="38"/>
  <c r="AB20" i="38"/>
  <c r="BE20" i="38"/>
  <c r="AC20" i="38"/>
  <c r="BF20" i="38"/>
  <c r="AD20" i="38"/>
  <c r="BG20" i="38"/>
  <c r="AE20" i="38"/>
  <c r="BH20" i="38"/>
  <c r="AG20" i="38"/>
  <c r="BI20" i="38"/>
  <c r="AH20" i="38"/>
  <c r="BJ20" i="38"/>
  <c r="AI20" i="38"/>
  <c r="BK20" i="38"/>
  <c r="AJ20" i="38"/>
  <c r="BL20" i="38"/>
  <c r="AK20" i="38"/>
  <c r="BM20" i="38"/>
  <c r="AL20" i="38"/>
  <c r="BN20" i="38"/>
  <c r="V20" i="38"/>
  <c r="W20" i="38"/>
  <c r="AQ20" i="38"/>
  <c r="AZ20" i="38"/>
  <c r="AL58" i="38"/>
  <c r="BJ58" i="38"/>
  <c r="AM58" i="38"/>
  <c r="BK58" i="38"/>
  <c r="AN58" i="38"/>
  <c r="BL58" i="38"/>
  <c r="AO58" i="38"/>
  <c r="BM58" i="38"/>
  <c r="AP58" i="38"/>
  <c r="BN58" i="38"/>
  <c r="AQ58" i="38"/>
  <c r="BO58" i="38"/>
  <c r="AR58" i="38"/>
  <c r="BP58" i="38"/>
  <c r="AS58" i="38"/>
  <c r="BQ58" i="38"/>
  <c r="AT58" i="38"/>
  <c r="BR58" i="38"/>
  <c r="W58" i="38"/>
  <c r="AU58" i="38"/>
  <c r="BS58" i="38"/>
  <c r="X58" i="38"/>
  <c r="AV58" i="38"/>
  <c r="BT58" i="38"/>
  <c r="Y58" i="38"/>
  <c r="AW58" i="38"/>
  <c r="Z58" i="38"/>
  <c r="AX58" i="38"/>
  <c r="AA58" i="38"/>
  <c r="AY58" i="38"/>
  <c r="AB58" i="38"/>
  <c r="AZ58" i="38"/>
  <c r="AC58" i="38"/>
  <c r="BA58" i="38"/>
  <c r="AD58" i="38"/>
  <c r="BB58" i="38"/>
  <c r="AE58" i="38"/>
  <c r="BC58" i="38"/>
  <c r="AF58" i="38"/>
  <c r="BD58" i="38"/>
  <c r="AG58" i="38"/>
  <c r="BE58" i="38"/>
  <c r="AH58" i="38"/>
  <c r="BF58" i="38"/>
  <c r="AI58" i="38"/>
  <c r="BG58" i="38"/>
  <c r="AJ58" i="38"/>
  <c r="BH58" i="38"/>
  <c r="V58" i="38"/>
  <c r="AK58" i="38"/>
  <c r="BI58" i="38"/>
  <c r="AT54" i="38"/>
  <c r="BR54" i="38"/>
  <c r="W54" i="38"/>
  <c r="AU54" i="38"/>
  <c r="BS54" i="38"/>
  <c r="X54" i="38"/>
  <c r="AV54" i="38"/>
  <c r="BT54" i="38"/>
  <c r="Y54" i="38"/>
  <c r="AW54" i="38"/>
  <c r="Z54" i="38"/>
  <c r="AX54" i="38"/>
  <c r="AA54" i="38"/>
  <c r="AY54" i="38"/>
  <c r="AB54" i="38"/>
  <c r="AZ54" i="38"/>
  <c r="AC54" i="38"/>
  <c r="BA54" i="38"/>
  <c r="AD54" i="38"/>
  <c r="BB54" i="38"/>
  <c r="AE54" i="38"/>
  <c r="BC54" i="38"/>
  <c r="AF54" i="38"/>
  <c r="BD54" i="38"/>
  <c r="AG54" i="38"/>
  <c r="BE54" i="38"/>
  <c r="AH54" i="38"/>
  <c r="BF54" i="38"/>
  <c r="AI54" i="38"/>
  <c r="BG54" i="38"/>
  <c r="AJ54" i="38"/>
  <c r="BH54" i="38"/>
  <c r="AK54" i="38"/>
  <c r="BI54" i="38"/>
  <c r="AL54" i="38"/>
  <c r="BJ54" i="38"/>
  <c r="AM54" i="38"/>
  <c r="BK54" i="38"/>
  <c r="AN54" i="38"/>
  <c r="BL54" i="38"/>
  <c r="V54" i="38"/>
  <c r="AO54" i="38"/>
  <c r="BM54" i="38"/>
  <c r="AP54" i="38"/>
  <c r="BN54" i="38"/>
  <c r="AQ54" i="38"/>
  <c r="BO54" i="38"/>
  <c r="AR54" i="38"/>
  <c r="BP54" i="38"/>
  <c r="AS54" i="38"/>
  <c r="BQ54" i="38"/>
  <c r="W34" i="38"/>
  <c r="AU34" i="38"/>
  <c r="BS34" i="38"/>
  <c r="X34" i="38"/>
  <c r="AV34" i="38"/>
  <c r="Z34" i="38"/>
  <c r="AX34" i="38"/>
  <c r="AC34" i="38"/>
  <c r="BA34" i="38"/>
  <c r="AD34" i="38"/>
  <c r="BB34" i="38"/>
  <c r="AF34" i="38"/>
  <c r="BD34" i="38"/>
  <c r="AH34" i="38"/>
  <c r="BF34" i="38"/>
  <c r="AI34" i="38"/>
  <c r="BG34" i="38"/>
  <c r="AJ34" i="38"/>
  <c r="BH34" i="38"/>
  <c r="AL34" i="38"/>
  <c r="BJ34" i="38"/>
  <c r="AM34" i="38"/>
  <c r="BK34" i="38"/>
  <c r="AN34" i="38"/>
  <c r="BL34" i="38"/>
  <c r="AO34" i="38"/>
  <c r="BM34" i="38"/>
  <c r="AP34" i="38"/>
  <c r="BN34" i="38"/>
  <c r="AR34" i="38"/>
  <c r="BP34" i="38"/>
  <c r="AS34" i="38"/>
  <c r="BQ34" i="38"/>
  <c r="AT34" i="38"/>
  <c r="BR34" i="38"/>
  <c r="AQ34" i="38"/>
  <c r="AW34" i="38"/>
  <c r="AY34" i="38"/>
  <c r="AZ34" i="38"/>
  <c r="BC34" i="38"/>
  <c r="BE34" i="38"/>
  <c r="BI34" i="38"/>
  <c r="BO34" i="38"/>
  <c r="BT34" i="38"/>
  <c r="Y34" i="38"/>
  <c r="AA34" i="38"/>
  <c r="AB34" i="38"/>
  <c r="AE34" i="38"/>
  <c r="AG34" i="38"/>
  <c r="V34" i="38"/>
  <c r="AK34" i="38"/>
  <c r="AR19" i="38"/>
  <c r="BP19" i="38"/>
  <c r="W19" i="38"/>
  <c r="AU19" i="38"/>
  <c r="BS19" i="38"/>
  <c r="X19" i="38"/>
  <c r="AV19" i="38"/>
  <c r="BT19" i="38"/>
  <c r="AB19" i="38"/>
  <c r="AZ19" i="38"/>
  <c r="AH19" i="38"/>
  <c r="BF19" i="38"/>
  <c r="AD19" i="38"/>
  <c r="BH19" i="38"/>
  <c r="AE19" i="38"/>
  <c r="BI19" i="38"/>
  <c r="AF19" i="38"/>
  <c r="BJ19" i="38"/>
  <c r="AG19" i="38"/>
  <c r="BK19" i="38"/>
  <c r="AJ19" i="38"/>
  <c r="BM19" i="38"/>
  <c r="AK19" i="38"/>
  <c r="BN19" i="38"/>
  <c r="AL19" i="38"/>
  <c r="BO19" i="38"/>
  <c r="AM19" i="38"/>
  <c r="BQ19" i="38"/>
  <c r="AN19" i="38"/>
  <c r="BR19" i="38"/>
  <c r="AP19" i="38"/>
  <c r="AQ19" i="38"/>
  <c r="AS19" i="38"/>
  <c r="AT19" i="38"/>
  <c r="AW19" i="38"/>
  <c r="AX19" i="38"/>
  <c r="AY19" i="38"/>
  <c r="BA19" i="38"/>
  <c r="BB19" i="38"/>
  <c r="Y19" i="38"/>
  <c r="BC19" i="38"/>
  <c r="Z19" i="38"/>
  <c r="BD19" i="38"/>
  <c r="AA19" i="38"/>
  <c r="BE19" i="38"/>
  <c r="AC19" i="38"/>
  <c r="BG19" i="38"/>
  <c r="AI19" i="38"/>
  <c r="V19" i="38"/>
  <c r="AO19" i="38"/>
  <c r="BL19" i="38"/>
  <c r="AH60" i="38"/>
  <c r="BF60" i="38"/>
  <c r="V60" i="38"/>
  <c r="AI60" i="38"/>
  <c r="BG60" i="38"/>
  <c r="AJ60" i="38"/>
  <c r="BH60" i="38"/>
  <c r="AK60" i="38"/>
  <c r="BI60" i="38"/>
  <c r="AL60" i="38"/>
  <c r="BJ60" i="38"/>
  <c r="AM60" i="38"/>
  <c r="BK60" i="38"/>
  <c r="AN60" i="38"/>
  <c r="BL60" i="38"/>
  <c r="AP60" i="38"/>
  <c r="BN60" i="38"/>
  <c r="AQ60" i="38"/>
  <c r="BO60" i="38"/>
  <c r="AO60" i="38"/>
  <c r="AR60" i="38"/>
  <c r="BP60" i="38"/>
  <c r="AS60" i="38"/>
  <c r="BQ60" i="38"/>
  <c r="AT60" i="38"/>
  <c r="BR60" i="38"/>
  <c r="W60" i="38"/>
  <c r="AU60" i="38"/>
  <c r="BS60" i="38"/>
  <c r="X60" i="38"/>
  <c r="AV60" i="38"/>
  <c r="BT60" i="38"/>
  <c r="BM60" i="38"/>
  <c r="Y60" i="38"/>
  <c r="AW60" i="38"/>
  <c r="Z60" i="38"/>
  <c r="AX60" i="38"/>
  <c r="AA60" i="38"/>
  <c r="AY60" i="38"/>
  <c r="AB60" i="38"/>
  <c r="AZ60" i="38"/>
  <c r="AC60" i="38"/>
  <c r="BA60" i="38"/>
  <c r="AD60" i="38"/>
  <c r="BB60" i="38"/>
  <c r="AE60" i="38"/>
  <c r="BC60" i="38"/>
  <c r="AF60" i="38"/>
  <c r="BD60" i="38"/>
  <c r="AG60" i="38"/>
  <c r="BE60" i="38"/>
  <c r="AH50" i="38"/>
  <c r="AC50" i="38"/>
  <c r="BB50" i="38"/>
  <c r="AD50" i="38"/>
  <c r="BC50" i="38"/>
  <c r="AE50" i="38"/>
  <c r="BD50" i="38"/>
  <c r="AF50" i="38"/>
  <c r="BE50" i="38"/>
  <c r="AG50" i="38"/>
  <c r="BF50" i="38"/>
  <c r="AI50" i="38"/>
  <c r="BG50" i="38"/>
  <c r="AJ50" i="38"/>
  <c r="BH50" i="38"/>
  <c r="AK50" i="38"/>
  <c r="BI50" i="38"/>
  <c r="AL50" i="38"/>
  <c r="BJ50" i="38"/>
  <c r="AM50" i="38"/>
  <c r="BK50" i="38"/>
  <c r="AN50" i="38"/>
  <c r="BL50" i="38"/>
  <c r="AO50" i="38"/>
  <c r="BM50" i="38"/>
  <c r="AP50" i="38"/>
  <c r="BN50" i="38"/>
  <c r="AQ50" i="38"/>
  <c r="BO50" i="38"/>
  <c r="AR50" i="38"/>
  <c r="BP50" i="38"/>
  <c r="V50" i="38"/>
  <c r="AS50" i="38"/>
  <c r="BQ50" i="38"/>
  <c r="AT50" i="38"/>
  <c r="BR50" i="38"/>
  <c r="AU50" i="38"/>
  <c r="BS50" i="38"/>
  <c r="W50" i="38"/>
  <c r="AV50" i="38"/>
  <c r="BT50" i="38"/>
  <c r="X50" i="38"/>
  <c r="AW50" i="38"/>
  <c r="Y50" i="38"/>
  <c r="AX50" i="38"/>
  <c r="Z50" i="38"/>
  <c r="AY50" i="38"/>
  <c r="AA50" i="38"/>
  <c r="AZ50" i="38"/>
  <c r="AB50" i="38"/>
  <c r="BA50" i="38"/>
  <c r="AN57" i="38"/>
  <c r="BL57" i="38"/>
  <c r="AO57" i="38"/>
  <c r="BM57" i="38"/>
  <c r="AP57" i="38"/>
  <c r="BN57" i="38"/>
  <c r="AQ57" i="38"/>
  <c r="BO57" i="38"/>
  <c r="AR57" i="38"/>
  <c r="BP57" i="38"/>
  <c r="AS57" i="38"/>
  <c r="BQ57" i="38"/>
  <c r="AT57" i="38"/>
  <c r="BR57" i="38"/>
  <c r="W57" i="38"/>
  <c r="AU57" i="38"/>
  <c r="BS57" i="38"/>
  <c r="X57" i="38"/>
  <c r="AV57" i="38"/>
  <c r="BT57" i="38"/>
  <c r="Y57" i="38"/>
  <c r="AW57" i="38"/>
  <c r="Z57" i="38"/>
  <c r="AX57" i="38"/>
  <c r="AA57" i="38"/>
  <c r="AY57" i="38"/>
  <c r="AB57" i="38"/>
  <c r="AZ57" i="38"/>
  <c r="AC57" i="38"/>
  <c r="BA57" i="38"/>
  <c r="AD57" i="38"/>
  <c r="BB57" i="38"/>
  <c r="AE57" i="38"/>
  <c r="BC57" i="38"/>
  <c r="AF57" i="38"/>
  <c r="BD57" i="38"/>
  <c r="AG57" i="38"/>
  <c r="BE57" i="38"/>
  <c r="AH57" i="38"/>
  <c r="BF57" i="38"/>
  <c r="AI57" i="38"/>
  <c r="BG57" i="38"/>
  <c r="AJ57" i="38"/>
  <c r="BH57" i="38"/>
  <c r="AK57" i="38"/>
  <c r="BI57" i="38"/>
  <c r="V57" i="38"/>
  <c r="AL57" i="38"/>
  <c r="BJ57" i="38"/>
  <c r="AM57" i="38"/>
  <c r="BK57" i="38"/>
  <c r="AQ36" i="38"/>
  <c r="BO36" i="38"/>
  <c r="AT36" i="38"/>
  <c r="BR36" i="38"/>
  <c r="Y36" i="38"/>
  <c r="AW36" i="38"/>
  <c r="Z36" i="38"/>
  <c r="AX36" i="38"/>
  <c r="AB36" i="38"/>
  <c r="AZ36" i="38"/>
  <c r="AD36" i="38"/>
  <c r="BB36" i="38"/>
  <c r="AE36" i="38"/>
  <c r="BC36" i="38"/>
  <c r="AF36" i="38"/>
  <c r="BD36" i="38"/>
  <c r="AH36" i="38"/>
  <c r="BF36" i="38"/>
  <c r="AI36" i="38"/>
  <c r="BG36" i="38"/>
  <c r="AJ36" i="38"/>
  <c r="BH36" i="38"/>
  <c r="AK36" i="38"/>
  <c r="AL36" i="38"/>
  <c r="BJ36" i="38"/>
  <c r="AN36" i="38"/>
  <c r="BL36" i="38"/>
  <c r="AO36" i="38"/>
  <c r="BM36" i="38"/>
  <c r="AP36" i="38"/>
  <c r="BN36" i="38"/>
  <c r="V36" i="38"/>
  <c r="W36" i="38"/>
  <c r="X36" i="38"/>
  <c r="AA36" i="38"/>
  <c r="AC36" i="38"/>
  <c r="AG36" i="38"/>
  <c r="AM36" i="38"/>
  <c r="AR36" i="38"/>
  <c r="AS36" i="38"/>
  <c r="AU36" i="38"/>
  <c r="AV36" i="38"/>
  <c r="AY36" i="38"/>
  <c r="BA36" i="38"/>
  <c r="BE36" i="38"/>
  <c r="BI36" i="38"/>
  <c r="BK36" i="38"/>
  <c r="BP36" i="38"/>
  <c r="BQ36" i="38"/>
  <c r="BS36" i="38"/>
  <c r="BT36" i="38"/>
  <c r="AJ11" i="38"/>
  <c r="BH11" i="38"/>
  <c r="AM11" i="38"/>
  <c r="BK11" i="38"/>
  <c r="AN11" i="38"/>
  <c r="BL11" i="38"/>
  <c r="AP11" i="38"/>
  <c r="BN11" i="38"/>
  <c r="AR11" i="38"/>
  <c r="BP11" i="38"/>
  <c r="W11" i="38"/>
  <c r="AU11" i="38"/>
  <c r="BS11" i="38"/>
  <c r="Z11" i="38"/>
  <c r="AX11" i="38"/>
  <c r="AB11" i="38"/>
  <c r="AZ11" i="38"/>
  <c r="AE11" i="38"/>
  <c r="BC11" i="38"/>
  <c r="AW11" i="38"/>
  <c r="AY11" i="38"/>
  <c r="BA11" i="38"/>
  <c r="BB11" i="38"/>
  <c r="BD11" i="38"/>
  <c r="BE11" i="38"/>
  <c r="BF11" i="38"/>
  <c r="BG11" i="38"/>
  <c r="X11" i="38"/>
  <c r="BI11" i="38"/>
  <c r="Y11" i="38"/>
  <c r="BJ11" i="38"/>
  <c r="AC11" i="38"/>
  <c r="BO11" i="38"/>
  <c r="AD11" i="38"/>
  <c r="BQ11" i="38"/>
  <c r="AF11" i="38"/>
  <c r="BR11" i="38"/>
  <c r="AG11" i="38"/>
  <c r="BT11" i="38"/>
  <c r="AH11" i="38"/>
  <c r="AI11" i="38"/>
  <c r="AK11" i="38"/>
  <c r="AL11" i="38"/>
  <c r="AO11" i="38"/>
  <c r="AQ11" i="38"/>
  <c r="AS11" i="38"/>
  <c r="AT11" i="38"/>
  <c r="AV11" i="38"/>
  <c r="AA11" i="38"/>
  <c r="BM11" i="38"/>
  <c r="V11" i="38"/>
  <c r="AP8" i="38"/>
  <c r="BN8" i="38"/>
  <c r="AS8" i="38"/>
  <c r="BQ8" i="38"/>
  <c r="AT8" i="38"/>
  <c r="BR8" i="38"/>
  <c r="W8" i="38"/>
  <c r="AU8" i="38"/>
  <c r="BS8" i="38"/>
  <c r="X8" i="38"/>
  <c r="AV8" i="38"/>
  <c r="BT8" i="38"/>
  <c r="Z8" i="38"/>
  <c r="AX8" i="38"/>
  <c r="AA8" i="38"/>
  <c r="AY8" i="38"/>
  <c r="AC8" i="38"/>
  <c r="BA8" i="38"/>
  <c r="AF8" i="38"/>
  <c r="BD8" i="38"/>
  <c r="AH8" i="38"/>
  <c r="BF8" i="38"/>
  <c r="AK8" i="38"/>
  <c r="BI8" i="38"/>
  <c r="AB8" i="38"/>
  <c r="BP8" i="38"/>
  <c r="AD8" i="38"/>
  <c r="AE8" i="38"/>
  <c r="AG8" i="38"/>
  <c r="AI8" i="38"/>
  <c r="AJ8" i="38"/>
  <c r="AL8" i="38"/>
  <c r="AM8" i="38"/>
  <c r="AN8" i="38"/>
  <c r="AO8" i="38"/>
  <c r="AR8" i="38"/>
  <c r="AW8" i="38"/>
  <c r="AZ8" i="38"/>
  <c r="BB8" i="38"/>
  <c r="BC8" i="38"/>
  <c r="BE8" i="38"/>
  <c r="BG8" i="38"/>
  <c r="BH8" i="38"/>
  <c r="BJ8" i="38"/>
  <c r="BK8" i="38"/>
  <c r="BL8" i="38"/>
  <c r="BM8" i="38"/>
  <c r="Y8" i="38"/>
  <c r="BO8" i="38"/>
  <c r="AQ8" i="38"/>
  <c r="V8" i="38"/>
  <c r="X17" i="38"/>
  <c r="AV17" i="38"/>
  <c r="BT17" i="38"/>
  <c r="AA17" i="38"/>
  <c r="AY17" i="38"/>
  <c r="AB17" i="38"/>
  <c r="AZ17" i="38"/>
  <c r="AD17" i="38"/>
  <c r="BB17" i="38"/>
  <c r="AF17" i="38"/>
  <c r="BD17" i="38"/>
  <c r="AL17" i="38"/>
  <c r="BJ17" i="38"/>
  <c r="AJ17" i="38"/>
  <c r="BO17" i="38"/>
  <c r="AK17" i="38"/>
  <c r="BP17" i="38"/>
  <c r="AM17" i="38"/>
  <c r="BQ17" i="38"/>
  <c r="AN17" i="38"/>
  <c r="BR17" i="38"/>
  <c r="AP17" i="38"/>
  <c r="AQ17" i="38"/>
  <c r="AR17" i="38"/>
  <c r="AS17" i="38"/>
  <c r="AT17" i="38"/>
  <c r="AW17" i="38"/>
  <c r="AX17" i="38"/>
  <c r="BA17" i="38"/>
  <c r="BC17" i="38"/>
  <c r="BE17" i="38"/>
  <c r="W17" i="38"/>
  <c r="BF17" i="38"/>
  <c r="Y17" i="38"/>
  <c r="BG17" i="38"/>
  <c r="Z17" i="38"/>
  <c r="BH17" i="38"/>
  <c r="AC17" i="38"/>
  <c r="BI17" i="38"/>
  <c r="AE17" i="38"/>
  <c r="BK17" i="38"/>
  <c r="AG17" i="38"/>
  <c r="BL17" i="38"/>
  <c r="AH17" i="38"/>
  <c r="BM17" i="38"/>
  <c r="AI17" i="38"/>
  <c r="BN17" i="38"/>
  <c r="AO17" i="38"/>
  <c r="AU17" i="38"/>
  <c r="BS17" i="38"/>
  <c r="V17" i="38"/>
  <c r="AN9" i="38"/>
  <c r="BL9" i="38"/>
  <c r="AQ9" i="38"/>
  <c r="BO9" i="38"/>
  <c r="AR9" i="38"/>
  <c r="BP9" i="38"/>
  <c r="AS9" i="38"/>
  <c r="BQ9" i="38"/>
  <c r="AT9" i="38"/>
  <c r="BR9" i="38"/>
  <c r="X9" i="38"/>
  <c r="AV9" i="38"/>
  <c r="BT9" i="38"/>
  <c r="Y9" i="38"/>
  <c r="AW9" i="38"/>
  <c r="AA9" i="38"/>
  <c r="AY9" i="38"/>
  <c r="AD9" i="38"/>
  <c r="BB9" i="38"/>
  <c r="AF9" i="38"/>
  <c r="BD9" i="38"/>
  <c r="AI9" i="38"/>
  <c r="BG9" i="38"/>
  <c r="BK9" i="38"/>
  <c r="W9" i="38"/>
  <c r="BM9" i="38"/>
  <c r="Z9" i="38"/>
  <c r="BN9" i="38"/>
  <c r="AB9" i="38"/>
  <c r="BS9" i="38"/>
  <c r="AC9" i="38"/>
  <c r="AE9" i="38"/>
  <c r="AG9" i="38"/>
  <c r="AH9" i="38"/>
  <c r="AJ9" i="38"/>
  <c r="AK9" i="38"/>
  <c r="AM9" i="38"/>
  <c r="AO9" i="38"/>
  <c r="AP9" i="38"/>
  <c r="AU9" i="38"/>
  <c r="AX9" i="38"/>
  <c r="AZ9" i="38"/>
  <c r="BA9" i="38"/>
  <c r="BC9" i="38"/>
  <c r="BE9" i="38"/>
  <c r="BF9" i="38"/>
  <c r="BH9" i="38"/>
  <c r="BI9" i="38"/>
  <c r="BJ9" i="38"/>
  <c r="AL9" i="38"/>
  <c r="V9" i="38"/>
  <c r="AJ5" i="52"/>
  <c r="BA5" i="52"/>
  <c r="AZ5" i="52"/>
  <c r="I5" i="52"/>
  <c r="AO5" i="52"/>
  <c r="Q5" i="52"/>
  <c r="AL5" i="52"/>
  <c r="E5" i="52"/>
  <c r="N5" i="52"/>
  <c r="AR5" i="52"/>
  <c r="J5" i="52"/>
  <c r="L5" i="52"/>
  <c r="T5" i="52"/>
  <c r="AA5" i="52"/>
  <c r="S5" i="52"/>
  <c r="AB5" i="52"/>
  <c r="AP5" i="52"/>
  <c r="AN5" i="52"/>
  <c r="R5" i="52"/>
  <c r="P5" i="52"/>
  <c r="K5" i="52"/>
  <c r="AX5" i="52"/>
  <c r="AK5" i="52"/>
  <c r="AH5" i="52"/>
  <c r="Z5" i="52"/>
  <c r="M5" i="52"/>
  <c r="AS5" i="52"/>
  <c r="BB5" i="52"/>
  <c r="AG5" i="52"/>
  <c r="U5" i="52"/>
  <c r="AD5" i="52"/>
  <c r="AW5" i="52"/>
  <c r="F5" i="52"/>
  <c r="D5" i="52"/>
  <c r="Y5" i="52"/>
  <c r="G5" i="52"/>
  <c r="AC5" i="52"/>
  <c r="AV5" i="52"/>
  <c r="O5" i="52"/>
  <c r="AI5" i="52"/>
  <c r="X5" i="52"/>
  <c r="AF5" i="52"/>
  <c r="AY5" i="52"/>
  <c r="AT5" i="52"/>
  <c r="AQ5" i="52"/>
  <c r="H5" i="52"/>
  <c r="AE5" i="52"/>
  <c r="V5" i="52"/>
  <c r="AU5" i="52"/>
  <c r="W5" i="52"/>
  <c r="AM5" i="52"/>
  <c r="AQ33" i="38"/>
  <c r="BO33" i="38"/>
  <c r="W33" i="38"/>
  <c r="AV33" i="38"/>
  <c r="X33" i="38"/>
  <c r="AW33" i="38"/>
  <c r="Z33" i="38"/>
  <c r="AY33" i="38"/>
  <c r="AC33" i="38"/>
  <c r="BB33" i="38"/>
  <c r="AD33" i="38"/>
  <c r="BC33" i="38"/>
  <c r="AF33" i="38"/>
  <c r="BE33" i="38"/>
  <c r="AH33" i="38"/>
  <c r="BG33" i="38"/>
  <c r="AI33" i="38"/>
  <c r="BH33" i="38"/>
  <c r="AJ33" i="38"/>
  <c r="BI33" i="38"/>
  <c r="AL33" i="38"/>
  <c r="BK33" i="38"/>
  <c r="AM33" i="38"/>
  <c r="BL33" i="38"/>
  <c r="AN33" i="38"/>
  <c r="BM33" i="38"/>
  <c r="AO33" i="38"/>
  <c r="BN33" i="38"/>
  <c r="AP33" i="38"/>
  <c r="BP33" i="38"/>
  <c r="AS33" i="38"/>
  <c r="BR33" i="38"/>
  <c r="AT33" i="38"/>
  <c r="BS33" i="38"/>
  <c r="AU33" i="38"/>
  <c r="BT33" i="38"/>
  <c r="Y33" i="38"/>
  <c r="AA33" i="38"/>
  <c r="AB33" i="38"/>
  <c r="AE33" i="38"/>
  <c r="AG33" i="38"/>
  <c r="AK33" i="38"/>
  <c r="AR33" i="38"/>
  <c r="AX33" i="38"/>
  <c r="AZ33" i="38"/>
  <c r="BA33" i="38"/>
  <c r="BD33" i="38"/>
  <c r="BF33" i="38"/>
  <c r="BJ33" i="38"/>
  <c r="BQ33" i="38"/>
  <c r="V33" i="38"/>
  <c r="AG26" i="38"/>
  <c r="BE26" i="38"/>
  <c r="AH26" i="38"/>
  <c r="BF26" i="38"/>
  <c r="AJ26" i="38"/>
  <c r="BJ26" i="38"/>
  <c r="AK26" i="38"/>
  <c r="BK26" i="38"/>
  <c r="AL26" i="38"/>
  <c r="BL26" i="38"/>
  <c r="AM26" i="38"/>
  <c r="BM26" i="38"/>
  <c r="AO26" i="38"/>
  <c r="BO26" i="38"/>
  <c r="AP26" i="38"/>
  <c r="BP26" i="38"/>
  <c r="AQ26" i="38"/>
  <c r="BQ26" i="38"/>
  <c r="AS26" i="38"/>
  <c r="BS26" i="38"/>
  <c r="AU26" i="38"/>
  <c r="AV26" i="38"/>
  <c r="W26" i="38"/>
  <c r="AW26" i="38"/>
  <c r="X26" i="38"/>
  <c r="AX26" i="38"/>
  <c r="Y26" i="38"/>
  <c r="AY26" i="38"/>
  <c r="Z26" i="38"/>
  <c r="AZ26" i="38"/>
  <c r="AA26" i="38"/>
  <c r="BA26" i="38"/>
  <c r="AB26" i="38"/>
  <c r="BB26" i="38"/>
  <c r="AC26" i="38"/>
  <c r="BC26" i="38"/>
  <c r="AD26" i="38"/>
  <c r="BD26" i="38"/>
  <c r="AE26" i="38"/>
  <c r="BG26" i="38"/>
  <c r="AF26" i="38"/>
  <c r="BH26" i="38"/>
  <c r="AI26" i="38"/>
  <c r="BI26" i="38"/>
  <c r="AN26" i="38"/>
  <c r="AR26" i="38"/>
  <c r="AT26" i="38"/>
  <c r="BN26" i="38"/>
  <c r="V26" i="38"/>
  <c r="BR26" i="38"/>
  <c r="BT26" i="38"/>
  <c r="AK24" i="38"/>
  <c r="BI24" i="38"/>
  <c r="AL24" i="38"/>
  <c r="BJ24" i="38"/>
  <c r="AD24" i="38"/>
  <c r="BD24" i="38"/>
  <c r="AE24" i="38"/>
  <c r="BE24" i="38"/>
  <c r="AF24" i="38"/>
  <c r="BF24" i="38"/>
  <c r="AG24" i="38"/>
  <c r="BG24" i="38"/>
  <c r="AI24" i="38"/>
  <c r="BK24" i="38"/>
  <c r="AJ24" i="38"/>
  <c r="BL24" i="38"/>
  <c r="AM24" i="38"/>
  <c r="BM24" i="38"/>
  <c r="AN24" i="38"/>
  <c r="BN24" i="38"/>
  <c r="AO24" i="38"/>
  <c r="BO24" i="38"/>
  <c r="AQ24" i="38"/>
  <c r="BQ24" i="38"/>
  <c r="AR24" i="38"/>
  <c r="BR24" i="38"/>
  <c r="AS24" i="38"/>
  <c r="BS24" i="38"/>
  <c r="AT24" i="38"/>
  <c r="BT24" i="38"/>
  <c r="AU24" i="38"/>
  <c r="AV24" i="38"/>
  <c r="W24" i="38"/>
  <c r="AW24" i="38"/>
  <c r="X24" i="38"/>
  <c r="AX24" i="38"/>
  <c r="Y24" i="38"/>
  <c r="AY24" i="38"/>
  <c r="Z24" i="38"/>
  <c r="AZ24" i="38"/>
  <c r="AA24" i="38"/>
  <c r="BA24" i="38"/>
  <c r="AB24" i="38"/>
  <c r="BB24" i="38"/>
  <c r="AC24" i="38"/>
  <c r="BC24" i="38"/>
  <c r="AH24" i="38"/>
  <c r="AP24" i="38"/>
  <c r="BH24" i="38"/>
  <c r="BP24" i="38"/>
  <c r="V24" i="38"/>
  <c r="AP56" i="38"/>
  <c r="BN56" i="38"/>
  <c r="AQ56" i="38"/>
  <c r="BO56" i="38"/>
  <c r="AR56" i="38"/>
  <c r="BP56" i="38"/>
  <c r="AS56" i="38"/>
  <c r="BQ56" i="38"/>
  <c r="AT56" i="38"/>
  <c r="BR56" i="38"/>
  <c r="W56" i="38"/>
  <c r="AU56" i="38"/>
  <c r="BS56" i="38"/>
  <c r="X56" i="38"/>
  <c r="AV56" i="38"/>
  <c r="BT56" i="38"/>
  <c r="Y56" i="38"/>
  <c r="AW56" i="38"/>
  <c r="Z56" i="38"/>
  <c r="AX56" i="38"/>
  <c r="AA56" i="38"/>
  <c r="AY56" i="38"/>
  <c r="AB56" i="38"/>
  <c r="AZ56" i="38"/>
  <c r="AC56" i="38"/>
  <c r="BA56" i="38"/>
  <c r="AD56" i="38"/>
  <c r="BB56" i="38"/>
  <c r="AE56" i="38"/>
  <c r="BC56" i="38"/>
  <c r="AF56" i="38"/>
  <c r="BD56" i="38"/>
  <c r="AG56" i="38"/>
  <c r="BE56" i="38"/>
  <c r="AH56" i="38"/>
  <c r="BF56" i="38"/>
  <c r="AI56" i="38"/>
  <c r="BG56" i="38"/>
  <c r="AJ56" i="38"/>
  <c r="BH56" i="38"/>
  <c r="AK56" i="38"/>
  <c r="BI56" i="38"/>
  <c r="AL56" i="38"/>
  <c r="BJ56" i="38"/>
  <c r="V56" i="38"/>
  <c r="AM56" i="38"/>
  <c r="BK56" i="38"/>
  <c r="AN56" i="38"/>
  <c r="BL56" i="38"/>
  <c r="AO56" i="38"/>
  <c r="BM56" i="38"/>
  <c r="AG41" i="38"/>
  <c r="AN41" i="38"/>
  <c r="BL41" i="38"/>
  <c r="AR41" i="38"/>
  <c r="BP41" i="38"/>
  <c r="AS41" i="38"/>
  <c r="BQ41" i="38"/>
  <c r="AT41" i="38"/>
  <c r="BR41" i="38"/>
  <c r="X41" i="38"/>
  <c r="AV41" i="38"/>
  <c r="BT41" i="38"/>
  <c r="Y41" i="38"/>
  <c r="AW41" i="38"/>
  <c r="Z41" i="38"/>
  <c r="AX41" i="38"/>
  <c r="AB41" i="38"/>
  <c r="AZ41" i="38"/>
  <c r="AD41" i="38"/>
  <c r="BB41" i="38"/>
  <c r="AE41" i="38"/>
  <c r="BC41" i="38"/>
  <c r="AF41" i="38"/>
  <c r="BE41" i="38"/>
  <c r="BF41" i="38"/>
  <c r="BG41" i="38"/>
  <c r="BH41" i="38"/>
  <c r="BI41" i="38"/>
  <c r="BJ41" i="38"/>
  <c r="V41" i="38"/>
  <c r="BK41" i="38"/>
  <c r="BM41" i="38"/>
  <c r="W41" i="38"/>
  <c r="BN41" i="38"/>
  <c r="AA41" i="38"/>
  <c r="BO41" i="38"/>
  <c r="AC41" i="38"/>
  <c r="BS41" i="38"/>
  <c r="AH41" i="38"/>
  <c r="AI41" i="38"/>
  <c r="AJ41" i="38"/>
  <c r="AK41" i="38"/>
  <c r="AL41" i="38"/>
  <c r="AM41" i="38"/>
  <c r="AO41" i="38"/>
  <c r="AP41" i="38"/>
  <c r="AQ41" i="38"/>
  <c r="AU41" i="38"/>
  <c r="AY41" i="38"/>
  <c r="BA41" i="38"/>
  <c r="BD41" i="38"/>
  <c r="AQ21" i="38"/>
  <c r="BO21" i="38"/>
  <c r="AR21" i="38"/>
  <c r="BP21" i="38"/>
  <c r="X21" i="38"/>
  <c r="AD21" i="38"/>
  <c r="BB21" i="38"/>
  <c r="AU21" i="38"/>
  <c r="AV21" i="38"/>
  <c r="AW21" i="38"/>
  <c r="AX21" i="38"/>
  <c r="Y21" i="38"/>
  <c r="AZ21" i="38"/>
  <c r="Z21" i="38"/>
  <c r="BA21" i="38"/>
  <c r="AA21" i="38"/>
  <c r="BC21" i="38"/>
  <c r="AB21" i="38"/>
  <c r="BD21" i="38"/>
  <c r="AC21" i="38"/>
  <c r="BE21" i="38"/>
  <c r="AF21" i="38"/>
  <c r="BG21" i="38"/>
  <c r="AG21" i="38"/>
  <c r="BH21" i="38"/>
  <c r="AH21" i="38"/>
  <c r="BI21" i="38"/>
  <c r="AI21" i="38"/>
  <c r="BJ21" i="38"/>
  <c r="AJ21" i="38"/>
  <c r="BK21" i="38"/>
  <c r="AK21" i="38"/>
  <c r="BL21" i="38"/>
  <c r="AL21" i="38"/>
  <c r="BM21" i="38"/>
  <c r="AM21" i="38"/>
  <c r="BN21" i="38"/>
  <c r="AN21" i="38"/>
  <c r="BQ21" i="38"/>
  <c r="AO21" i="38"/>
  <c r="BR21" i="38"/>
  <c r="AP21" i="38"/>
  <c r="BS21" i="38"/>
  <c r="AS21" i="38"/>
  <c r="BT21" i="38"/>
  <c r="AT21" i="38"/>
  <c r="V21" i="38"/>
  <c r="W21" i="38"/>
  <c r="AE21" i="38"/>
  <c r="AY21" i="38"/>
  <c r="BF21" i="38"/>
  <c r="H20" i="28"/>
  <c r="H56" i="28"/>
  <c r="F42" i="28"/>
  <c r="E53" i="28"/>
  <c r="K58" i="28"/>
  <c r="AJ4" i="35"/>
  <c r="W28" i="49"/>
  <c r="W29" i="49"/>
  <c r="K57" i="28"/>
  <c r="H19" i="28"/>
  <c r="H46" i="28"/>
  <c r="K55" i="28"/>
  <c r="H44" i="28"/>
  <c r="W52" i="49"/>
  <c r="K19" i="28"/>
  <c r="P39" i="38"/>
  <c r="Q39" i="38"/>
  <c r="R39" i="38"/>
  <c r="S39" i="38"/>
  <c r="T39" i="38"/>
  <c r="D39" i="38"/>
  <c r="E39" i="38"/>
  <c r="F39" i="38"/>
  <c r="G39" i="38"/>
  <c r="H39" i="38"/>
  <c r="I39" i="38"/>
  <c r="J39" i="38"/>
  <c r="K39" i="38"/>
  <c r="L39" i="38"/>
  <c r="M39" i="38"/>
  <c r="N39" i="38"/>
  <c r="O39" i="38"/>
  <c r="H31" i="38"/>
  <c r="I31" i="38"/>
  <c r="J31" i="38"/>
  <c r="K31" i="38"/>
  <c r="L31" i="38"/>
  <c r="M31" i="38"/>
  <c r="N31" i="38"/>
  <c r="O31" i="38"/>
  <c r="P31" i="38"/>
  <c r="Q31" i="38"/>
  <c r="R31" i="38"/>
  <c r="S31" i="38"/>
  <c r="T31" i="38"/>
  <c r="D31" i="38"/>
  <c r="E31" i="38"/>
  <c r="F31" i="38"/>
  <c r="G31" i="38"/>
  <c r="D27" i="38"/>
  <c r="E27" i="38"/>
  <c r="F27" i="38"/>
  <c r="G27" i="38"/>
  <c r="H27" i="38"/>
  <c r="I27" i="38"/>
  <c r="J27" i="38"/>
  <c r="K27" i="38"/>
  <c r="L27" i="38"/>
  <c r="M27" i="38"/>
  <c r="N27" i="38"/>
  <c r="O27" i="38"/>
  <c r="P27" i="38"/>
  <c r="Q27" i="38"/>
  <c r="R27" i="38"/>
  <c r="S27" i="38"/>
  <c r="T27" i="38"/>
  <c r="I38" i="38"/>
  <c r="J38" i="38"/>
  <c r="K38" i="38"/>
  <c r="L38" i="38"/>
  <c r="M38" i="38"/>
  <c r="N38" i="38"/>
  <c r="O38" i="38"/>
  <c r="P38" i="38"/>
  <c r="Q38" i="38"/>
  <c r="R38" i="38"/>
  <c r="S38" i="38"/>
  <c r="T38" i="38"/>
  <c r="D38" i="38"/>
  <c r="E38" i="38"/>
  <c r="F38" i="38"/>
  <c r="G38" i="38"/>
  <c r="H38" i="38"/>
  <c r="K28" i="38"/>
  <c r="L28" i="38"/>
  <c r="M28" i="38"/>
  <c r="N28" i="38"/>
  <c r="O28" i="38"/>
  <c r="P28" i="38"/>
  <c r="Q28" i="38"/>
  <c r="R28" i="38"/>
  <c r="S28" i="38"/>
  <c r="T28" i="38"/>
  <c r="D28" i="38"/>
  <c r="E28" i="38"/>
  <c r="F28" i="38"/>
  <c r="G28" i="38"/>
  <c r="H28" i="38"/>
  <c r="I28" i="38"/>
  <c r="J28" i="38"/>
  <c r="D16" i="38"/>
  <c r="E16" i="38"/>
  <c r="F16" i="38"/>
  <c r="G16" i="38"/>
  <c r="H16" i="38"/>
  <c r="I16" i="38"/>
  <c r="J16" i="38"/>
  <c r="K16" i="38"/>
  <c r="L16" i="38"/>
  <c r="M16" i="38"/>
  <c r="N16" i="38"/>
  <c r="O16" i="38"/>
  <c r="P16" i="38"/>
  <c r="Q16" i="38"/>
  <c r="R16" i="38"/>
  <c r="S16" i="38"/>
  <c r="T16" i="38"/>
  <c r="D30" i="38"/>
  <c r="E30" i="38"/>
  <c r="F30" i="38"/>
  <c r="G30" i="38"/>
  <c r="H30" i="38"/>
  <c r="I30" i="38"/>
  <c r="J30" i="38"/>
  <c r="K30" i="38"/>
  <c r="L30" i="38"/>
  <c r="M30" i="38"/>
  <c r="N30" i="38"/>
  <c r="O30" i="38"/>
  <c r="P30" i="38"/>
  <c r="Q30" i="38"/>
  <c r="R30" i="38"/>
  <c r="S30" i="38"/>
  <c r="T30" i="38"/>
  <c r="I62" i="38"/>
  <c r="J62" i="38"/>
  <c r="K62" i="38"/>
  <c r="R62" i="38"/>
  <c r="L62" i="38"/>
  <c r="Q62" i="38"/>
  <c r="M62" i="38"/>
  <c r="N62" i="38"/>
  <c r="O62" i="38"/>
  <c r="P62" i="38"/>
  <c r="T62" i="38"/>
  <c r="S62" i="38"/>
  <c r="D62" i="38"/>
  <c r="E62" i="38"/>
  <c r="F62" i="38"/>
  <c r="G62" i="38"/>
  <c r="H62" i="38"/>
  <c r="N49" i="38"/>
  <c r="O49" i="38"/>
  <c r="P49" i="38"/>
  <c r="Q49" i="38"/>
  <c r="R49" i="38"/>
  <c r="S49" i="38"/>
  <c r="T49" i="38"/>
  <c r="D49" i="38"/>
  <c r="E49" i="38"/>
  <c r="F49" i="38"/>
  <c r="G49" i="38"/>
  <c r="H49" i="38"/>
  <c r="I49" i="38"/>
  <c r="J49" i="38"/>
  <c r="K49" i="38"/>
  <c r="L49" i="38"/>
  <c r="M49" i="38"/>
  <c r="M42" i="38"/>
  <c r="N42" i="38"/>
  <c r="O42" i="38"/>
  <c r="P42" i="38"/>
  <c r="Q42" i="38"/>
  <c r="R42" i="38"/>
  <c r="S42" i="38"/>
  <c r="T42" i="38"/>
  <c r="D42" i="38"/>
  <c r="E42" i="38"/>
  <c r="F42" i="38"/>
  <c r="G42" i="38"/>
  <c r="H42" i="38"/>
  <c r="I42" i="38"/>
  <c r="J42" i="38"/>
  <c r="K42" i="38"/>
  <c r="L42" i="38"/>
  <c r="D61" i="38"/>
  <c r="E61" i="38"/>
  <c r="F61" i="38"/>
  <c r="G61" i="38"/>
  <c r="I61" i="38"/>
  <c r="H61" i="38"/>
  <c r="J61" i="38"/>
  <c r="L61" i="38"/>
  <c r="M61" i="38"/>
  <c r="N61" i="38"/>
  <c r="P61" i="38"/>
  <c r="O61" i="38"/>
  <c r="Q61" i="38"/>
  <c r="R61" i="38"/>
  <c r="S61" i="38"/>
  <c r="T61" i="38"/>
  <c r="K61" i="38"/>
  <c r="R29" i="38"/>
  <c r="S29" i="38"/>
  <c r="T29" i="38"/>
  <c r="D29" i="38"/>
  <c r="E29" i="38"/>
  <c r="F29" i="38"/>
  <c r="G29" i="38"/>
  <c r="H29" i="38"/>
  <c r="I29" i="38"/>
  <c r="J29" i="38"/>
  <c r="K29" i="38"/>
  <c r="L29" i="38"/>
  <c r="M29" i="38"/>
  <c r="N29" i="38"/>
  <c r="O29" i="38"/>
  <c r="P29" i="38"/>
  <c r="Q29" i="38"/>
  <c r="D37" i="38"/>
  <c r="E37" i="38"/>
  <c r="F37" i="38"/>
  <c r="G37" i="38"/>
  <c r="H37" i="38"/>
  <c r="I37" i="38"/>
  <c r="J37" i="38"/>
  <c r="K37" i="38"/>
  <c r="L37" i="38"/>
  <c r="M37" i="38"/>
  <c r="N37" i="38"/>
  <c r="O37" i="38"/>
  <c r="P37" i="38"/>
  <c r="Q37" i="38"/>
  <c r="R37" i="38"/>
  <c r="S37" i="38"/>
  <c r="T37" i="38"/>
  <c r="J45" i="38"/>
  <c r="K45" i="38"/>
  <c r="L45" i="38"/>
  <c r="M45" i="38"/>
  <c r="N45" i="38"/>
  <c r="O45" i="38"/>
  <c r="P45" i="38"/>
  <c r="Q45" i="38"/>
  <c r="R45" i="38"/>
  <c r="S45" i="38"/>
  <c r="T45" i="38"/>
  <c r="D45" i="38"/>
  <c r="E45" i="38"/>
  <c r="F45" i="38"/>
  <c r="G45" i="38"/>
  <c r="H45" i="38"/>
  <c r="I45" i="38"/>
  <c r="D47" i="38"/>
  <c r="E47" i="38"/>
  <c r="F47" i="38"/>
  <c r="G47" i="38"/>
  <c r="H47" i="38"/>
  <c r="I47" i="38"/>
  <c r="J47" i="38"/>
  <c r="K47" i="38"/>
  <c r="L47" i="38"/>
  <c r="M47" i="38"/>
  <c r="N47" i="38"/>
  <c r="O47" i="38"/>
  <c r="P47" i="38"/>
  <c r="Q47" i="38"/>
  <c r="R47" i="38"/>
  <c r="S47" i="38"/>
  <c r="T47" i="38"/>
  <c r="D23" i="38"/>
  <c r="E23" i="38"/>
  <c r="F23" i="38"/>
  <c r="G23" i="38"/>
  <c r="H23" i="38"/>
  <c r="I23" i="38"/>
  <c r="J23" i="38"/>
  <c r="K23" i="38"/>
  <c r="L23" i="38"/>
  <c r="M23" i="38"/>
  <c r="N23" i="38"/>
  <c r="O23" i="38"/>
  <c r="P23" i="38"/>
  <c r="Q23" i="38"/>
  <c r="R23" i="38"/>
  <c r="S23" i="38"/>
  <c r="T23" i="38"/>
  <c r="K52" i="38"/>
  <c r="L52" i="38"/>
  <c r="M52" i="38"/>
  <c r="N52" i="38"/>
  <c r="O52" i="38"/>
  <c r="P52" i="38"/>
  <c r="Q52" i="38"/>
  <c r="R52" i="38"/>
  <c r="S52" i="38"/>
  <c r="T52" i="38"/>
  <c r="D52" i="38"/>
  <c r="E52" i="38"/>
  <c r="F52" i="38"/>
  <c r="G52" i="38"/>
  <c r="H52" i="38"/>
  <c r="I52" i="38"/>
  <c r="J52" i="38"/>
  <c r="Q46" i="38"/>
  <c r="R46" i="38"/>
  <c r="S46" i="38"/>
  <c r="T46" i="38"/>
  <c r="D46" i="38"/>
  <c r="E46" i="38"/>
  <c r="F46" i="38"/>
  <c r="G46" i="38"/>
  <c r="H46" i="38"/>
  <c r="I46" i="38"/>
  <c r="J46" i="38"/>
  <c r="K46" i="38"/>
  <c r="L46" i="38"/>
  <c r="M46" i="38"/>
  <c r="N46" i="38"/>
  <c r="O46" i="38"/>
  <c r="P46" i="38"/>
  <c r="N25" i="38"/>
  <c r="O25" i="38"/>
  <c r="P25" i="38"/>
  <c r="Q25" i="38"/>
  <c r="R25" i="38"/>
  <c r="S25" i="38"/>
  <c r="T25" i="38"/>
  <c r="D25" i="38"/>
  <c r="E25" i="38"/>
  <c r="F25" i="38"/>
  <c r="G25" i="38"/>
  <c r="H25" i="38"/>
  <c r="I25" i="38"/>
  <c r="J25" i="38"/>
  <c r="K25" i="38"/>
  <c r="L25" i="38"/>
  <c r="M25" i="38"/>
  <c r="H7" i="38"/>
  <c r="I7" i="38"/>
  <c r="J7" i="38"/>
  <c r="K7" i="38"/>
  <c r="L7" i="38"/>
  <c r="M7" i="38"/>
  <c r="N7" i="38"/>
  <c r="O7" i="38"/>
  <c r="P7" i="38"/>
  <c r="Q7" i="38"/>
  <c r="R7" i="38"/>
  <c r="S7" i="38"/>
  <c r="T7" i="38"/>
  <c r="D7" i="38"/>
  <c r="E7" i="38"/>
  <c r="F7" i="38"/>
  <c r="G7" i="38"/>
  <c r="Q22" i="38"/>
  <c r="R22" i="38"/>
  <c r="S22" i="38"/>
  <c r="T22" i="38"/>
  <c r="D22" i="38"/>
  <c r="E22" i="38"/>
  <c r="F22" i="38"/>
  <c r="G22" i="38"/>
  <c r="H22" i="38"/>
  <c r="I22" i="38"/>
  <c r="J22" i="38"/>
  <c r="K22" i="38"/>
  <c r="L22" i="38"/>
  <c r="M22" i="38"/>
  <c r="N22" i="38"/>
  <c r="O22" i="38"/>
  <c r="P22" i="38"/>
  <c r="L59" i="38"/>
  <c r="T59" i="38"/>
  <c r="M59" i="38"/>
  <c r="N59" i="38"/>
  <c r="O59" i="38"/>
  <c r="P59" i="38"/>
  <c r="Q59" i="38"/>
  <c r="S59" i="38"/>
  <c r="R59" i="38"/>
  <c r="D59" i="38"/>
  <c r="E59" i="38"/>
  <c r="F59" i="38"/>
  <c r="G59" i="38"/>
  <c r="H59" i="38"/>
  <c r="I59" i="38"/>
  <c r="J59" i="38"/>
  <c r="K59" i="38"/>
  <c r="G48" i="38"/>
  <c r="H48" i="38"/>
  <c r="I48" i="38"/>
  <c r="J48" i="38"/>
  <c r="K48" i="38"/>
  <c r="L48" i="38"/>
  <c r="M48" i="38"/>
  <c r="N48" i="38"/>
  <c r="O48" i="38"/>
  <c r="P48" i="38"/>
  <c r="Q48" i="38"/>
  <c r="R48" i="38"/>
  <c r="S48" i="38"/>
  <c r="T48" i="38"/>
  <c r="D48" i="38"/>
  <c r="E48" i="38"/>
  <c r="F48" i="38"/>
  <c r="D51" i="38"/>
  <c r="E51" i="38"/>
  <c r="F51" i="38"/>
  <c r="G51" i="38"/>
  <c r="H51" i="38"/>
  <c r="I51" i="38"/>
  <c r="J51" i="38"/>
  <c r="K51" i="38"/>
  <c r="L51" i="38"/>
  <c r="M51" i="38"/>
  <c r="N51" i="38"/>
  <c r="O51" i="38"/>
  <c r="P51" i="38"/>
  <c r="Q51" i="38"/>
  <c r="R51" i="38"/>
  <c r="S51" i="38"/>
  <c r="T51" i="38"/>
  <c r="F5" i="38"/>
  <c r="G5" i="38"/>
  <c r="H5" i="38"/>
  <c r="I5" i="38"/>
  <c r="J5" i="38"/>
  <c r="K5" i="38"/>
  <c r="L5" i="38"/>
  <c r="M5" i="38"/>
  <c r="N5" i="38"/>
  <c r="O5" i="38"/>
  <c r="P5" i="38"/>
  <c r="Q5" i="38"/>
  <c r="R5" i="38"/>
  <c r="S5" i="38"/>
  <c r="T5" i="38"/>
  <c r="D44" i="38"/>
  <c r="E44" i="38"/>
  <c r="F44" i="38"/>
  <c r="G44" i="38"/>
  <c r="H44" i="38"/>
  <c r="I44" i="38"/>
  <c r="J44" i="38"/>
  <c r="K44" i="38"/>
  <c r="L44" i="38"/>
  <c r="M44" i="38"/>
  <c r="N44" i="38"/>
  <c r="O44" i="38"/>
  <c r="P44" i="38"/>
  <c r="Q44" i="38"/>
  <c r="R44" i="38"/>
  <c r="S44" i="38"/>
  <c r="T44" i="38"/>
  <c r="Q6" i="38"/>
  <c r="R6" i="38"/>
  <c r="D6" i="38"/>
  <c r="S6" i="38"/>
  <c r="T6" i="38"/>
  <c r="E6" i="38"/>
  <c r="F6" i="38"/>
  <c r="G6" i="38"/>
  <c r="H6" i="38"/>
  <c r="J6" i="38"/>
  <c r="I6" i="38"/>
  <c r="K6" i="38"/>
  <c r="L6" i="38"/>
  <c r="M6" i="38"/>
  <c r="N6" i="38"/>
  <c r="O6" i="38"/>
  <c r="P6" i="38"/>
  <c r="D20" i="38"/>
  <c r="E20" i="38"/>
  <c r="F20" i="38"/>
  <c r="G20" i="38"/>
  <c r="H20" i="38"/>
  <c r="I20" i="38"/>
  <c r="J20" i="38"/>
  <c r="K20" i="38"/>
  <c r="L20" i="38"/>
  <c r="M20" i="38"/>
  <c r="N20" i="38"/>
  <c r="O20" i="38"/>
  <c r="P20" i="38"/>
  <c r="Q20" i="38"/>
  <c r="R20" i="38"/>
  <c r="S20" i="38"/>
  <c r="T20" i="38"/>
  <c r="E58" i="38"/>
  <c r="F58" i="38"/>
  <c r="G58" i="38"/>
  <c r="H58" i="38"/>
  <c r="I58" i="38"/>
  <c r="J58" i="38"/>
  <c r="K58" i="38"/>
  <c r="L58" i="38"/>
  <c r="N58" i="38"/>
  <c r="O58" i="38"/>
  <c r="P58" i="38"/>
  <c r="Q58" i="38"/>
  <c r="S58" i="38"/>
  <c r="R58" i="38"/>
  <c r="T58" i="38"/>
  <c r="D58" i="38"/>
  <c r="M58" i="38"/>
  <c r="D54" i="38"/>
  <c r="E54" i="38"/>
  <c r="F54" i="38"/>
  <c r="G54" i="38"/>
  <c r="H54" i="38"/>
  <c r="I54" i="38"/>
  <c r="J54" i="38"/>
  <c r="K54" i="38"/>
  <c r="L54" i="38"/>
  <c r="M54" i="38"/>
  <c r="N54" i="38"/>
  <c r="O54" i="38"/>
  <c r="P54" i="38"/>
  <c r="Q54" i="38"/>
  <c r="R54" i="38"/>
  <c r="S54" i="38"/>
  <c r="T54" i="38"/>
  <c r="E34" i="38"/>
  <c r="F34" i="38"/>
  <c r="G34" i="38"/>
  <c r="H34" i="38"/>
  <c r="I34" i="38"/>
  <c r="J34" i="38"/>
  <c r="K34" i="38"/>
  <c r="L34" i="38"/>
  <c r="M34" i="38"/>
  <c r="N34" i="38"/>
  <c r="O34" i="38"/>
  <c r="P34" i="38"/>
  <c r="Q34" i="38"/>
  <c r="R34" i="38"/>
  <c r="S34" i="38"/>
  <c r="T34" i="38"/>
  <c r="D34" i="38"/>
  <c r="T19" i="38"/>
  <c r="D19" i="38"/>
  <c r="E19" i="38"/>
  <c r="F19" i="38"/>
  <c r="G19" i="38"/>
  <c r="H19" i="38"/>
  <c r="I19" i="38"/>
  <c r="J19" i="38"/>
  <c r="K19" i="38"/>
  <c r="L19" i="38"/>
  <c r="M19" i="38"/>
  <c r="N19" i="38"/>
  <c r="O19" i="38"/>
  <c r="P19" i="38"/>
  <c r="Q19" i="38"/>
  <c r="R19" i="38"/>
  <c r="S19" i="38"/>
  <c r="S60" i="38"/>
  <c r="T60" i="38"/>
  <c r="D60" i="38"/>
  <c r="E60" i="38"/>
  <c r="F60" i="38"/>
  <c r="G60" i="38"/>
  <c r="H60" i="38"/>
  <c r="I60" i="38"/>
  <c r="J60" i="38"/>
  <c r="K60" i="38"/>
  <c r="L60" i="38"/>
  <c r="M60" i="38"/>
  <c r="N60" i="38"/>
  <c r="O60" i="38"/>
  <c r="P60" i="38"/>
  <c r="Q60" i="38"/>
  <c r="R60" i="38"/>
  <c r="D50" i="38"/>
  <c r="E50" i="38"/>
  <c r="F50" i="38"/>
  <c r="G50" i="38"/>
  <c r="H50" i="38"/>
  <c r="I50" i="38"/>
  <c r="J50" i="38"/>
  <c r="K50" i="38"/>
  <c r="L50" i="38"/>
  <c r="M50" i="38"/>
  <c r="N50" i="38"/>
  <c r="O50" i="38"/>
  <c r="P50" i="38"/>
  <c r="Q50" i="38"/>
  <c r="R50" i="38"/>
  <c r="S50" i="38"/>
  <c r="T50" i="38"/>
  <c r="D57" i="38"/>
  <c r="E57" i="38"/>
  <c r="F57" i="38"/>
  <c r="G57" i="38"/>
  <c r="H57" i="38"/>
  <c r="I57" i="38"/>
  <c r="J57" i="38"/>
  <c r="K57" i="38"/>
  <c r="L57" i="38"/>
  <c r="M57" i="38"/>
  <c r="N57" i="38"/>
  <c r="O57" i="38"/>
  <c r="P57" i="38"/>
  <c r="Q57" i="38"/>
  <c r="R57" i="38"/>
  <c r="S57" i="38"/>
  <c r="T57" i="38"/>
  <c r="S36" i="38"/>
  <c r="T36" i="38"/>
  <c r="D36" i="38"/>
  <c r="E36" i="38"/>
  <c r="F36" i="38"/>
  <c r="G36" i="38"/>
  <c r="H36" i="38"/>
  <c r="I36" i="38"/>
  <c r="J36" i="38"/>
  <c r="K36" i="38"/>
  <c r="L36" i="38"/>
  <c r="M36" i="38"/>
  <c r="N36" i="38"/>
  <c r="O36" i="38"/>
  <c r="P36" i="38"/>
  <c r="Q36" i="38"/>
  <c r="R36" i="38"/>
  <c r="L11" i="38"/>
  <c r="M11" i="38"/>
  <c r="N11" i="38"/>
  <c r="O11" i="38"/>
  <c r="P11" i="38"/>
  <c r="Q11" i="38"/>
  <c r="R11" i="38"/>
  <c r="S11" i="38"/>
  <c r="T11" i="38"/>
  <c r="D11" i="38"/>
  <c r="E11" i="38"/>
  <c r="F11" i="38"/>
  <c r="G11" i="38"/>
  <c r="H11" i="38"/>
  <c r="I11" i="38"/>
  <c r="J11" i="38"/>
  <c r="K11" i="38"/>
  <c r="O8" i="38"/>
  <c r="P8" i="38"/>
  <c r="Q8" i="38"/>
  <c r="R8" i="38"/>
  <c r="S8" i="38"/>
  <c r="T8" i="38"/>
  <c r="D8" i="38"/>
  <c r="E8" i="38"/>
  <c r="F8" i="38"/>
  <c r="G8" i="38"/>
  <c r="H8" i="38"/>
  <c r="I8" i="38"/>
  <c r="J8" i="38"/>
  <c r="K8" i="38"/>
  <c r="L8" i="38"/>
  <c r="M8" i="38"/>
  <c r="N8" i="38"/>
  <c r="F17" i="38"/>
  <c r="G17" i="38"/>
  <c r="H17" i="38"/>
  <c r="I17" i="38"/>
  <c r="J17" i="38"/>
  <c r="K17" i="38"/>
  <c r="L17" i="38"/>
  <c r="M17" i="38"/>
  <c r="N17" i="38"/>
  <c r="O17" i="38"/>
  <c r="P17" i="38"/>
  <c r="Q17" i="38"/>
  <c r="R17" i="38"/>
  <c r="S17" i="38"/>
  <c r="T17" i="38"/>
  <c r="D17" i="38"/>
  <c r="E17" i="38"/>
  <c r="D9" i="38"/>
  <c r="E9" i="38"/>
  <c r="F9" i="38"/>
  <c r="G9" i="38"/>
  <c r="H9" i="38"/>
  <c r="I9" i="38"/>
  <c r="J9" i="38"/>
  <c r="K9" i="38"/>
  <c r="L9" i="38"/>
  <c r="M9" i="38"/>
  <c r="N9" i="38"/>
  <c r="O9" i="38"/>
  <c r="P9" i="38"/>
  <c r="Q9" i="38"/>
  <c r="R9" i="38"/>
  <c r="S9" i="38"/>
  <c r="T9" i="38"/>
  <c r="D33" i="38"/>
  <c r="E33" i="38"/>
  <c r="F33" i="38"/>
  <c r="G33" i="38"/>
  <c r="H33" i="38"/>
  <c r="I33" i="38"/>
  <c r="J33" i="38"/>
  <c r="K33" i="38"/>
  <c r="L33" i="38"/>
  <c r="M33" i="38"/>
  <c r="N33" i="38"/>
  <c r="O33" i="38"/>
  <c r="P33" i="38"/>
  <c r="Q33" i="38"/>
  <c r="R33" i="38"/>
  <c r="S33" i="38"/>
  <c r="T33" i="38"/>
  <c r="D26" i="38"/>
  <c r="E26" i="38"/>
  <c r="F26" i="38"/>
  <c r="G26" i="38"/>
  <c r="H26" i="38"/>
  <c r="I26" i="38"/>
  <c r="J26" i="38"/>
  <c r="K26" i="38"/>
  <c r="L26" i="38"/>
  <c r="M26" i="38"/>
  <c r="N26" i="38"/>
  <c r="O26" i="38"/>
  <c r="P26" i="38"/>
  <c r="Q26" i="38"/>
  <c r="R26" i="38"/>
  <c r="S26" i="38"/>
  <c r="T26" i="38"/>
  <c r="G24" i="38"/>
  <c r="H24" i="38"/>
  <c r="I24" i="38"/>
  <c r="J24" i="38"/>
  <c r="K24" i="38"/>
  <c r="L24" i="38"/>
  <c r="M24" i="38"/>
  <c r="N24" i="38"/>
  <c r="O24" i="38"/>
  <c r="P24" i="38"/>
  <c r="Q24" i="38"/>
  <c r="R24" i="38"/>
  <c r="S24" i="38"/>
  <c r="T24" i="38"/>
  <c r="D24" i="38"/>
  <c r="E24" i="38"/>
  <c r="F24" i="38"/>
  <c r="O56" i="38"/>
  <c r="P56" i="38"/>
  <c r="Q56" i="38"/>
  <c r="R56" i="38"/>
  <c r="S56" i="38"/>
  <c r="T56" i="38"/>
  <c r="D56" i="38"/>
  <c r="E56" i="38"/>
  <c r="F56" i="38"/>
  <c r="G56" i="38"/>
  <c r="H56" i="38"/>
  <c r="I56" i="38"/>
  <c r="J56" i="38"/>
  <c r="K56" i="38"/>
  <c r="L56" i="38"/>
  <c r="M56" i="38"/>
  <c r="N56" i="38"/>
  <c r="F41" i="38"/>
  <c r="G41" i="38"/>
  <c r="H41" i="38"/>
  <c r="I41" i="38"/>
  <c r="J41" i="38"/>
  <c r="K41" i="38"/>
  <c r="L41" i="38"/>
  <c r="M41" i="38"/>
  <c r="N41" i="38"/>
  <c r="O41" i="38"/>
  <c r="P41" i="38"/>
  <c r="Q41" i="38"/>
  <c r="R41" i="38"/>
  <c r="S41" i="38"/>
  <c r="T41" i="38"/>
  <c r="D41" i="38"/>
  <c r="E41" i="38"/>
  <c r="J21" i="38"/>
  <c r="K21" i="38"/>
  <c r="L21" i="38"/>
  <c r="M21" i="38"/>
  <c r="N21" i="38"/>
  <c r="O21" i="38"/>
  <c r="P21" i="38"/>
  <c r="Q21" i="38"/>
  <c r="R21" i="38"/>
  <c r="S21" i="38"/>
  <c r="T21" i="38"/>
  <c r="D21" i="38"/>
  <c r="E21" i="38"/>
  <c r="F21" i="38"/>
  <c r="G21" i="38"/>
  <c r="H21" i="38"/>
  <c r="I21" i="38"/>
  <c r="O32" i="38"/>
  <c r="P32" i="38"/>
  <c r="Q32" i="38"/>
  <c r="R32" i="38"/>
  <c r="S32" i="38"/>
  <c r="T32" i="38"/>
  <c r="D32" i="38"/>
  <c r="E32" i="38"/>
  <c r="F32" i="38"/>
  <c r="G32" i="38"/>
  <c r="H32" i="38"/>
  <c r="I32" i="38"/>
  <c r="J32" i="38"/>
  <c r="K32" i="38"/>
  <c r="L32" i="38"/>
  <c r="M32" i="38"/>
  <c r="N32" i="38"/>
  <c r="D40" i="38"/>
  <c r="E40" i="38"/>
  <c r="F40" i="38"/>
  <c r="G40" i="38"/>
  <c r="H40" i="38"/>
  <c r="I40" i="38"/>
  <c r="J40" i="38"/>
  <c r="K40" i="38"/>
  <c r="L40" i="38"/>
  <c r="M40" i="38"/>
  <c r="N40" i="38"/>
  <c r="O40" i="38"/>
  <c r="P40" i="38"/>
  <c r="Q40" i="38"/>
  <c r="R40" i="38"/>
  <c r="S40" i="38"/>
  <c r="T40" i="38"/>
  <c r="T43" i="38"/>
  <c r="D43" i="38"/>
  <c r="E43" i="38"/>
  <c r="F43" i="38"/>
  <c r="G43" i="38"/>
  <c r="H43" i="38"/>
  <c r="I43" i="38"/>
  <c r="J43" i="38"/>
  <c r="K43" i="38"/>
  <c r="L43" i="38"/>
  <c r="M43" i="38"/>
  <c r="N43" i="38"/>
  <c r="O43" i="38"/>
  <c r="P43" i="38"/>
  <c r="Q43" i="38"/>
  <c r="R43" i="38"/>
  <c r="S43" i="38"/>
  <c r="H55" i="38"/>
  <c r="I55" i="38"/>
  <c r="J55" i="38"/>
  <c r="K55" i="38"/>
  <c r="L55" i="38"/>
  <c r="M55" i="38"/>
  <c r="N55" i="38"/>
  <c r="O55" i="38"/>
  <c r="P55" i="38"/>
  <c r="Q55" i="38"/>
  <c r="R55" i="38"/>
  <c r="S55" i="38"/>
  <c r="T55" i="38"/>
  <c r="D55" i="38"/>
  <c r="E55" i="38"/>
  <c r="F55" i="38"/>
  <c r="G55" i="38"/>
  <c r="P15" i="38"/>
  <c r="Q15" i="38"/>
  <c r="R15" i="38"/>
  <c r="S15" i="38"/>
  <c r="T15" i="38"/>
  <c r="D15" i="38"/>
  <c r="E15" i="38"/>
  <c r="F15" i="38"/>
  <c r="G15" i="38"/>
  <c r="H15" i="38"/>
  <c r="I15" i="38"/>
  <c r="J15" i="38"/>
  <c r="K15" i="38"/>
  <c r="L15" i="38"/>
  <c r="M15" i="38"/>
  <c r="N15" i="38"/>
  <c r="O15" i="38"/>
  <c r="I14" i="38"/>
  <c r="J14" i="38"/>
  <c r="K14" i="38"/>
  <c r="L14" i="38"/>
  <c r="M14" i="38"/>
  <c r="N14" i="38"/>
  <c r="O14" i="38"/>
  <c r="P14" i="38"/>
  <c r="Q14" i="38"/>
  <c r="R14" i="38"/>
  <c r="S14" i="38"/>
  <c r="T14" i="38"/>
  <c r="D14" i="38"/>
  <c r="E14" i="38"/>
  <c r="F14" i="38"/>
  <c r="G14" i="38"/>
  <c r="H14" i="38"/>
  <c r="R53" i="38"/>
  <c r="S53" i="38"/>
  <c r="T53" i="38"/>
  <c r="D53" i="38"/>
  <c r="E53" i="38"/>
  <c r="F53" i="38"/>
  <c r="G53" i="38"/>
  <c r="H53" i="38"/>
  <c r="I53" i="38"/>
  <c r="J53" i="38"/>
  <c r="K53" i="38"/>
  <c r="L53" i="38"/>
  <c r="M53" i="38"/>
  <c r="N53" i="38"/>
  <c r="O53" i="38"/>
  <c r="P53" i="38"/>
  <c r="Q53" i="38"/>
  <c r="E10" i="38"/>
  <c r="F10" i="38"/>
  <c r="G10" i="38"/>
  <c r="H10" i="38"/>
  <c r="I10" i="38"/>
  <c r="J10" i="38"/>
  <c r="K10" i="38"/>
  <c r="L10" i="38"/>
  <c r="M10" i="38"/>
  <c r="N10" i="38"/>
  <c r="O10" i="38"/>
  <c r="P10" i="38"/>
  <c r="Q10" i="38"/>
  <c r="R10" i="38"/>
  <c r="S10" i="38"/>
  <c r="T10" i="38"/>
  <c r="D10" i="38"/>
  <c r="D13" i="38"/>
  <c r="E13" i="38"/>
  <c r="F13" i="38"/>
  <c r="G13" i="38"/>
  <c r="H13" i="38"/>
  <c r="I13" i="38"/>
  <c r="J13" i="38"/>
  <c r="K13" i="38"/>
  <c r="L13" i="38"/>
  <c r="M13" i="38"/>
  <c r="N13" i="38"/>
  <c r="O13" i="38"/>
  <c r="P13" i="38"/>
  <c r="Q13" i="38"/>
  <c r="R13" i="38"/>
  <c r="S13" i="38"/>
  <c r="T13" i="38"/>
  <c r="L35" i="38"/>
  <c r="M35" i="38"/>
  <c r="N35" i="38"/>
  <c r="O35" i="38"/>
  <c r="P35" i="38"/>
  <c r="Q35" i="38"/>
  <c r="R35" i="38"/>
  <c r="S35" i="38"/>
  <c r="T35" i="38"/>
  <c r="D35" i="38"/>
  <c r="E35" i="38"/>
  <c r="F35" i="38"/>
  <c r="G35" i="38"/>
  <c r="H35" i="38"/>
  <c r="I35" i="38"/>
  <c r="J35" i="38"/>
  <c r="K35" i="38"/>
  <c r="M18" i="38"/>
  <c r="N18" i="38"/>
  <c r="O18" i="38"/>
  <c r="P18" i="38"/>
  <c r="Q18" i="38"/>
  <c r="R18" i="38"/>
  <c r="S18" i="38"/>
  <c r="T18" i="38"/>
  <c r="D18" i="38"/>
  <c r="E18" i="38"/>
  <c r="F18" i="38"/>
  <c r="G18" i="38"/>
  <c r="H18" i="38"/>
  <c r="I18" i="38"/>
  <c r="J18" i="38"/>
  <c r="K18" i="38"/>
  <c r="L18" i="38"/>
  <c r="S12" i="38"/>
  <c r="T12" i="38"/>
  <c r="D12" i="38"/>
  <c r="E12" i="38"/>
  <c r="F12" i="38"/>
  <c r="G12" i="38"/>
  <c r="H12" i="38"/>
  <c r="I12" i="38"/>
  <c r="J12" i="38"/>
  <c r="K12" i="38"/>
  <c r="L12" i="38"/>
  <c r="M12" i="38"/>
  <c r="N12" i="38"/>
  <c r="O12" i="38"/>
  <c r="P12" i="38"/>
  <c r="Q12" i="38"/>
  <c r="R12" i="38"/>
  <c r="K50" i="28"/>
  <c r="K15" i="28"/>
  <c r="H5" i="28"/>
  <c r="H27" i="28"/>
  <c r="F58" i="28"/>
  <c r="E19" i="28"/>
  <c r="AG4" i="35"/>
  <c r="K20" i="28"/>
  <c r="H18" i="28"/>
  <c r="K21" i="28"/>
  <c r="K18" i="28"/>
  <c r="H14" i="28"/>
  <c r="F14" i="28"/>
  <c r="K6" i="28"/>
  <c r="W11" i="49"/>
  <c r="K48" i="28"/>
  <c r="W46" i="49"/>
  <c r="H13" i="28"/>
  <c r="H29" i="28"/>
  <c r="K29" i="28"/>
  <c r="H34" i="28"/>
  <c r="H31" i="28"/>
  <c r="K24" i="28"/>
  <c r="F44" i="28"/>
  <c r="W36" i="49"/>
  <c r="F29" i="28"/>
  <c r="K13" i="28"/>
  <c r="F17" i="28"/>
  <c r="F57" i="28"/>
  <c r="H7" i="28"/>
  <c r="H48" i="28"/>
  <c r="K31" i="28"/>
  <c r="F53" i="28"/>
  <c r="E8" i="28"/>
  <c r="F21" i="28"/>
  <c r="W10" i="49"/>
  <c r="F18" i="28"/>
  <c r="E21" i="28"/>
  <c r="H38" i="28"/>
  <c r="W39" i="49"/>
  <c r="H41" i="29"/>
  <c r="K38" i="28"/>
  <c r="F38" i="28"/>
  <c r="E14" i="28"/>
  <c r="L26" i="39"/>
  <c r="J36" i="39"/>
  <c r="K19" i="39"/>
  <c r="I8" i="39"/>
  <c r="G19" i="39"/>
  <c r="H41" i="39"/>
  <c r="E57" i="39"/>
  <c r="F19" i="39"/>
  <c r="L23" i="39"/>
  <c r="F43" i="39"/>
  <c r="E26" i="39"/>
  <c r="D8" i="39"/>
  <c r="D41" i="39"/>
  <c r="D19" i="39"/>
  <c r="J41" i="39"/>
  <c r="L19" i="39"/>
  <c r="H19" i="39"/>
  <c r="H43" i="39"/>
  <c r="G26" i="39"/>
  <c r="K26" i="39"/>
  <c r="F26" i="39"/>
  <c r="E8" i="39"/>
  <c r="J8" i="39"/>
  <c r="E19" i="39"/>
  <c r="M8" i="39"/>
  <c r="M41" i="39"/>
  <c r="I26" i="39"/>
  <c r="E6" i="28"/>
  <c r="H6" i="28"/>
  <c r="E25" i="28"/>
  <c r="E17" i="28"/>
  <c r="H50" i="28"/>
  <c r="H47" i="28"/>
  <c r="F28" i="28"/>
  <c r="F61" i="28"/>
  <c r="F36" i="28"/>
  <c r="W61" i="49"/>
  <c r="K5" i="28"/>
  <c r="F33" i="28"/>
  <c r="K61" i="28"/>
  <c r="E36" i="28"/>
  <c r="C431" i="11"/>
  <c r="J9" i="29"/>
  <c r="E58" i="28"/>
  <c r="T48" i="49"/>
  <c r="H55" i="28"/>
  <c r="F7" i="28"/>
  <c r="R24" i="49"/>
  <c r="C432" i="11"/>
  <c r="M51" i="49"/>
  <c r="M6" i="49"/>
  <c r="F20" i="28"/>
  <c r="K7" i="28"/>
  <c r="T62" i="49"/>
  <c r="T50" i="49"/>
  <c r="Q62" i="49"/>
  <c r="T51" i="49"/>
  <c r="Q26" i="49"/>
  <c r="T47" i="49"/>
  <c r="Q25" i="49"/>
  <c r="T25" i="49"/>
  <c r="Q23" i="49"/>
  <c r="Q21" i="49"/>
  <c r="S24" i="49"/>
  <c r="E20" i="28"/>
  <c r="S51" i="49"/>
  <c r="S23" i="49"/>
  <c r="S21" i="49"/>
  <c r="H9" i="28"/>
  <c r="V23" i="49"/>
  <c r="M50" i="49"/>
  <c r="M48" i="49"/>
  <c r="L23" i="49"/>
  <c r="U50" i="49"/>
  <c r="O29" i="49"/>
  <c r="M24" i="49"/>
  <c r="U23" i="49"/>
  <c r="O25" i="49"/>
  <c r="S57" i="49"/>
  <c r="V54" i="49"/>
  <c r="V43" i="49"/>
  <c r="M57" i="49"/>
  <c r="M9" i="49"/>
  <c r="R32" i="49"/>
  <c r="R47" i="49"/>
  <c r="T52" i="49"/>
  <c r="L34" i="49"/>
  <c r="L43" i="49"/>
  <c r="U61" i="49"/>
  <c r="U39" i="49"/>
  <c r="U11" i="49"/>
  <c r="Q16" i="49"/>
  <c r="O38" i="49"/>
  <c r="O31" i="49"/>
  <c r="N52" i="49"/>
  <c r="N59" i="49"/>
  <c r="N11" i="49"/>
  <c r="P24" i="49"/>
  <c r="P31" i="49"/>
  <c r="S61" i="49"/>
  <c r="S22" i="49"/>
  <c r="V46" i="49"/>
  <c r="V41" i="49"/>
  <c r="M55" i="49"/>
  <c r="M7" i="49"/>
  <c r="R45" i="49"/>
  <c r="T49" i="49"/>
  <c r="L32" i="49"/>
  <c r="L41" i="49"/>
  <c r="U10" i="49"/>
  <c r="U31" i="49"/>
  <c r="U9" i="49"/>
  <c r="O30" i="49"/>
  <c r="N50" i="49"/>
  <c r="N57" i="49"/>
  <c r="N9" i="49"/>
  <c r="P22" i="49"/>
  <c r="P29" i="49"/>
  <c r="S55" i="49"/>
  <c r="S20" i="49"/>
  <c r="S19" i="49"/>
  <c r="V38" i="49"/>
  <c r="V39" i="49"/>
  <c r="M46" i="49"/>
  <c r="M53" i="49"/>
  <c r="R16" i="49"/>
  <c r="R43" i="49"/>
  <c r="L30" i="49"/>
  <c r="L39" i="49"/>
  <c r="U56" i="49"/>
  <c r="U7" i="49"/>
  <c r="Q54" i="49"/>
  <c r="O22" i="49"/>
  <c r="O27" i="49"/>
  <c r="N48" i="49"/>
  <c r="N55" i="49"/>
  <c r="N7" i="49"/>
  <c r="P20" i="49"/>
  <c r="P27" i="49"/>
  <c r="S59" i="49"/>
  <c r="S18" i="49"/>
  <c r="S17" i="49"/>
  <c r="V30" i="49"/>
  <c r="V37" i="49"/>
  <c r="M44" i="49"/>
  <c r="R61" i="49"/>
  <c r="R41" i="49"/>
  <c r="T45" i="49"/>
  <c r="L28" i="49"/>
  <c r="L37" i="49"/>
  <c r="U15" i="49"/>
  <c r="Q42" i="49"/>
  <c r="Q19" i="49"/>
  <c r="O14" i="49"/>
  <c r="N46" i="49"/>
  <c r="N53" i="49"/>
  <c r="N6" i="49"/>
  <c r="P18" i="49"/>
  <c r="P25" i="49"/>
  <c r="S6" i="49"/>
  <c r="S16" i="49"/>
  <c r="S15" i="49"/>
  <c r="V22" i="49"/>
  <c r="V35" i="49"/>
  <c r="M42" i="49"/>
  <c r="M49" i="49"/>
  <c r="R54" i="49"/>
  <c r="R39" i="49"/>
  <c r="T46" i="49"/>
  <c r="T43" i="49"/>
  <c r="L26" i="49"/>
  <c r="L35" i="49"/>
  <c r="U42" i="49"/>
  <c r="U46" i="49"/>
  <c r="Q34" i="49"/>
  <c r="Q17" i="49"/>
  <c r="O10" i="49"/>
  <c r="O23" i="49"/>
  <c r="N44" i="49"/>
  <c r="N51" i="49"/>
  <c r="P16" i="49"/>
  <c r="P23" i="49"/>
  <c r="S62" i="49"/>
  <c r="S14" i="49"/>
  <c r="S13" i="49"/>
  <c r="V14" i="49"/>
  <c r="V33" i="49"/>
  <c r="M40" i="49"/>
  <c r="M47" i="49"/>
  <c r="R59" i="49"/>
  <c r="R37" i="49"/>
  <c r="T44" i="49"/>
  <c r="T41" i="49"/>
  <c r="L24" i="49"/>
  <c r="L33" i="49"/>
  <c r="U34" i="49"/>
  <c r="U38" i="49"/>
  <c r="Q22" i="49"/>
  <c r="Q15" i="49"/>
  <c r="O12" i="49"/>
  <c r="O50" i="49"/>
  <c r="O21" i="49"/>
  <c r="N42" i="49"/>
  <c r="N49" i="49"/>
  <c r="P62" i="49"/>
  <c r="P14" i="49"/>
  <c r="P21" i="49"/>
  <c r="S60" i="49"/>
  <c r="S12" i="49"/>
  <c r="S11" i="49"/>
  <c r="V6" i="49"/>
  <c r="V31" i="49"/>
  <c r="M38" i="49"/>
  <c r="M45" i="49"/>
  <c r="R46" i="49"/>
  <c r="R35" i="49"/>
  <c r="T42" i="49"/>
  <c r="T39" i="49"/>
  <c r="L22" i="49"/>
  <c r="L31" i="49"/>
  <c r="U26" i="49"/>
  <c r="U30" i="49"/>
  <c r="Q50" i="49"/>
  <c r="Q13" i="49"/>
  <c r="O62" i="49"/>
  <c r="O46" i="49"/>
  <c r="O19" i="49"/>
  <c r="N40" i="49"/>
  <c r="N47" i="49"/>
  <c r="P60" i="49"/>
  <c r="P12" i="49"/>
  <c r="P19" i="49"/>
  <c r="F6" i="28"/>
  <c r="S58" i="49"/>
  <c r="S10" i="49"/>
  <c r="S9" i="49"/>
  <c r="V58" i="49"/>
  <c r="V29" i="49"/>
  <c r="M36" i="49"/>
  <c r="M43" i="49"/>
  <c r="R38" i="49"/>
  <c r="R33" i="49"/>
  <c r="T40" i="49"/>
  <c r="T37" i="49"/>
  <c r="L20" i="49"/>
  <c r="L29" i="49"/>
  <c r="U18" i="49"/>
  <c r="U22" i="49"/>
  <c r="Q46" i="49"/>
  <c r="Q11" i="49"/>
  <c r="O44" i="49"/>
  <c r="O20" i="49"/>
  <c r="O17" i="49"/>
  <c r="N38" i="49"/>
  <c r="N45" i="49"/>
  <c r="P58" i="49"/>
  <c r="P10" i="49"/>
  <c r="P17" i="49"/>
  <c r="S56" i="49"/>
  <c r="S8" i="49"/>
  <c r="S7" i="49"/>
  <c r="V52" i="49"/>
  <c r="V27" i="49"/>
  <c r="M34" i="49"/>
  <c r="M41" i="49"/>
  <c r="R30" i="49"/>
  <c r="R31" i="49"/>
  <c r="T38" i="49"/>
  <c r="T35" i="49"/>
  <c r="L18" i="49"/>
  <c r="L27" i="49"/>
  <c r="U49" i="49"/>
  <c r="U14" i="49"/>
  <c r="Q30" i="49"/>
  <c r="Q9" i="49"/>
  <c r="O28" i="49"/>
  <c r="O58" i="49"/>
  <c r="O15" i="49"/>
  <c r="N36" i="49"/>
  <c r="N43" i="49"/>
  <c r="P56" i="49"/>
  <c r="P8" i="49"/>
  <c r="P15" i="49"/>
  <c r="S54" i="49"/>
  <c r="S53" i="49"/>
  <c r="V62" i="49"/>
  <c r="V25" i="49"/>
  <c r="M32" i="49"/>
  <c r="M39" i="49"/>
  <c r="R22" i="49"/>
  <c r="R29" i="49"/>
  <c r="T36" i="49"/>
  <c r="T33" i="49"/>
  <c r="L16" i="49"/>
  <c r="L25" i="49"/>
  <c r="U41" i="49"/>
  <c r="U6" i="49"/>
  <c r="Q38" i="49"/>
  <c r="Q7" i="49"/>
  <c r="O56" i="49"/>
  <c r="O61" i="49"/>
  <c r="O13" i="49"/>
  <c r="N34" i="49"/>
  <c r="N41" i="49"/>
  <c r="P54" i="49"/>
  <c r="P61" i="49"/>
  <c r="P13" i="49"/>
  <c r="S52" i="49"/>
  <c r="V10" i="49"/>
  <c r="V44" i="49"/>
  <c r="M30" i="49"/>
  <c r="M37" i="49"/>
  <c r="R14" i="49"/>
  <c r="R27" i="49"/>
  <c r="T34" i="49"/>
  <c r="T31" i="49"/>
  <c r="L62" i="49"/>
  <c r="L14" i="49"/>
  <c r="U33" i="49"/>
  <c r="U53" i="49"/>
  <c r="Q52" i="49"/>
  <c r="Q14" i="49"/>
  <c r="Q57" i="49"/>
  <c r="O36" i="49"/>
  <c r="O59" i="49"/>
  <c r="O11" i="49"/>
  <c r="N32" i="49"/>
  <c r="N39" i="49"/>
  <c r="P52" i="49"/>
  <c r="P59" i="49"/>
  <c r="P11" i="49"/>
  <c r="S50" i="49"/>
  <c r="S49" i="49"/>
  <c r="V56" i="49"/>
  <c r="V36" i="49"/>
  <c r="V21" i="49"/>
  <c r="M28" i="49"/>
  <c r="M35" i="49"/>
  <c r="R56" i="49"/>
  <c r="R25" i="49"/>
  <c r="T32" i="49"/>
  <c r="T29" i="49"/>
  <c r="L60" i="49"/>
  <c r="L12" i="49"/>
  <c r="L21" i="49"/>
  <c r="U25" i="49"/>
  <c r="U58" i="49"/>
  <c r="Q44" i="49"/>
  <c r="Q56" i="49"/>
  <c r="Q51" i="49"/>
  <c r="O42" i="49"/>
  <c r="O57" i="49"/>
  <c r="O9" i="49"/>
  <c r="N30" i="49"/>
  <c r="N37" i="49"/>
  <c r="P50" i="49"/>
  <c r="P57" i="49"/>
  <c r="P9" i="49"/>
  <c r="K26" i="28"/>
  <c r="F55" i="28"/>
  <c r="S48" i="49"/>
  <c r="S47" i="49"/>
  <c r="V50" i="49"/>
  <c r="V28" i="49"/>
  <c r="V19" i="49"/>
  <c r="M26" i="49"/>
  <c r="M33" i="49"/>
  <c r="R58" i="49"/>
  <c r="R23" i="49"/>
  <c r="T30" i="49"/>
  <c r="T27" i="49"/>
  <c r="L58" i="49"/>
  <c r="L10" i="49"/>
  <c r="L19" i="49"/>
  <c r="U17" i="49"/>
  <c r="U45" i="49"/>
  <c r="Q36" i="49"/>
  <c r="Q58" i="49"/>
  <c r="Q45" i="49"/>
  <c r="O8" i="49"/>
  <c r="O55" i="49"/>
  <c r="O7" i="49"/>
  <c r="N28" i="49"/>
  <c r="N35" i="49"/>
  <c r="P48" i="49"/>
  <c r="P55" i="49"/>
  <c r="P7" i="49"/>
  <c r="S46" i="49"/>
  <c r="S45" i="49"/>
  <c r="V42" i="49"/>
  <c r="V20" i="49"/>
  <c r="V17" i="49"/>
  <c r="M31" i="49"/>
  <c r="R62" i="49"/>
  <c r="R52" i="49"/>
  <c r="R21" i="49"/>
  <c r="T28" i="49"/>
  <c r="L56" i="49"/>
  <c r="L8" i="49"/>
  <c r="L17" i="49"/>
  <c r="U8" i="49"/>
  <c r="U37" i="49"/>
  <c r="Q28" i="49"/>
  <c r="Q6" i="49"/>
  <c r="O60" i="49"/>
  <c r="O53" i="49"/>
  <c r="O6" i="49"/>
  <c r="N26" i="49"/>
  <c r="N33" i="49"/>
  <c r="P46" i="49"/>
  <c r="P53" i="49"/>
  <c r="P6" i="49"/>
  <c r="T5" i="49"/>
  <c r="V5" i="49"/>
  <c r="S5" i="49"/>
  <c r="U5" i="49"/>
  <c r="N5" i="49"/>
  <c r="L5" i="49"/>
  <c r="Q5" i="49"/>
  <c r="R5" i="49"/>
  <c r="W5" i="49"/>
  <c r="P5" i="49"/>
  <c r="O5" i="49"/>
  <c r="M5" i="49"/>
  <c r="S44" i="49"/>
  <c r="S43" i="49"/>
  <c r="V34" i="49"/>
  <c r="V12" i="49"/>
  <c r="V15" i="49"/>
  <c r="M22" i="49"/>
  <c r="M29" i="49"/>
  <c r="R10" i="49"/>
  <c r="R44" i="49"/>
  <c r="R19" i="49"/>
  <c r="T61" i="49"/>
  <c r="T26" i="49"/>
  <c r="T23" i="49"/>
  <c r="L54" i="49"/>
  <c r="L6" i="49"/>
  <c r="L15" i="49"/>
  <c r="U60" i="49"/>
  <c r="U29" i="49"/>
  <c r="Q20" i="49"/>
  <c r="Q53" i="49"/>
  <c r="Q59" i="49"/>
  <c r="O48" i="49"/>
  <c r="O51" i="49"/>
  <c r="N24" i="49"/>
  <c r="N31" i="49"/>
  <c r="P44" i="49"/>
  <c r="P51" i="49"/>
  <c r="H23" i="28"/>
  <c r="E59" i="28"/>
  <c r="S42" i="49"/>
  <c r="S41" i="49"/>
  <c r="V26" i="49"/>
  <c r="V61" i="49"/>
  <c r="V13" i="49"/>
  <c r="M20" i="49"/>
  <c r="M27" i="49"/>
  <c r="R50" i="49"/>
  <c r="R36" i="49"/>
  <c r="R17" i="49"/>
  <c r="T56" i="49"/>
  <c r="T24" i="49"/>
  <c r="T21" i="49"/>
  <c r="L52" i="49"/>
  <c r="L61" i="49"/>
  <c r="L13" i="49"/>
  <c r="U55" i="49"/>
  <c r="U21" i="49"/>
  <c r="Q12" i="49"/>
  <c r="Q43" i="49"/>
  <c r="Q49" i="49"/>
  <c r="O40" i="49"/>
  <c r="O49" i="49"/>
  <c r="N22" i="49"/>
  <c r="N29" i="49"/>
  <c r="P42" i="49"/>
  <c r="P49" i="49"/>
  <c r="K34" i="28"/>
  <c r="K23" i="28"/>
  <c r="S40" i="49"/>
  <c r="S39" i="49"/>
  <c r="V18" i="49"/>
  <c r="V59" i="49"/>
  <c r="V11" i="49"/>
  <c r="M18" i="49"/>
  <c r="M25" i="49"/>
  <c r="R42" i="49"/>
  <c r="R28" i="49"/>
  <c r="R15" i="49"/>
  <c r="T60" i="49"/>
  <c r="T19" i="49"/>
  <c r="L59" i="49"/>
  <c r="L11" i="49"/>
  <c r="U48" i="49"/>
  <c r="U13" i="49"/>
  <c r="Q10" i="49"/>
  <c r="Q41" i="49"/>
  <c r="Q55" i="49"/>
  <c r="O32" i="49"/>
  <c r="O47" i="49"/>
  <c r="N20" i="49"/>
  <c r="N27" i="49"/>
  <c r="P40" i="49"/>
  <c r="P47" i="49"/>
  <c r="F23" i="28"/>
  <c r="S38" i="49"/>
  <c r="S37" i="49"/>
  <c r="V60" i="49"/>
  <c r="V57" i="49"/>
  <c r="V9" i="49"/>
  <c r="M16" i="49"/>
  <c r="M23" i="49"/>
  <c r="R34" i="49"/>
  <c r="R20" i="49"/>
  <c r="R13" i="49"/>
  <c r="T55" i="49"/>
  <c r="T20" i="49"/>
  <c r="T17" i="49"/>
  <c r="L48" i="49"/>
  <c r="L57" i="49"/>
  <c r="L9" i="49"/>
  <c r="U40" i="49"/>
  <c r="U52" i="49"/>
  <c r="Q8" i="49"/>
  <c r="Q39" i="49"/>
  <c r="Q47" i="49"/>
  <c r="O24" i="49"/>
  <c r="O45" i="49"/>
  <c r="N18" i="49"/>
  <c r="N25" i="49"/>
  <c r="P38" i="49"/>
  <c r="P45" i="49"/>
  <c r="F26" i="28"/>
  <c r="S36" i="49"/>
  <c r="S35" i="49"/>
  <c r="V48" i="49"/>
  <c r="V55" i="49"/>
  <c r="V7" i="49"/>
  <c r="M62" i="49"/>
  <c r="M14" i="49"/>
  <c r="M21" i="49"/>
  <c r="R26" i="49"/>
  <c r="R12" i="49"/>
  <c r="R11" i="49"/>
  <c r="T57" i="49"/>
  <c r="T18" i="49"/>
  <c r="T15" i="49"/>
  <c r="L55" i="49"/>
  <c r="L7" i="49"/>
  <c r="U57" i="49"/>
  <c r="U32" i="49"/>
  <c r="U62" i="49"/>
  <c r="Q18" i="49"/>
  <c r="Q37" i="49"/>
  <c r="Q61" i="49"/>
  <c r="O16" i="49"/>
  <c r="O43" i="49"/>
  <c r="N16" i="49"/>
  <c r="P36" i="49"/>
  <c r="P43" i="49"/>
  <c r="S34" i="49"/>
  <c r="S33" i="49"/>
  <c r="V40" i="49"/>
  <c r="V53" i="49"/>
  <c r="M60" i="49"/>
  <c r="M12" i="49"/>
  <c r="M19" i="49"/>
  <c r="R18" i="49"/>
  <c r="R57" i="49"/>
  <c r="R9" i="49"/>
  <c r="T59" i="49"/>
  <c r="T16" i="49"/>
  <c r="T13" i="49"/>
  <c r="L44" i="49"/>
  <c r="L53" i="49"/>
  <c r="U51" i="49"/>
  <c r="U24" i="49"/>
  <c r="U44" i="49"/>
  <c r="Q60" i="49"/>
  <c r="Q35" i="49"/>
  <c r="O26" i="49"/>
  <c r="O41" i="49"/>
  <c r="N14" i="49"/>
  <c r="P34" i="49"/>
  <c r="F10" i="28"/>
  <c r="S32" i="49"/>
  <c r="S31" i="49"/>
  <c r="V32" i="49"/>
  <c r="V51" i="49"/>
  <c r="M58" i="49"/>
  <c r="M10" i="49"/>
  <c r="M17" i="49"/>
  <c r="R8" i="49"/>
  <c r="R7" i="49"/>
  <c r="T53" i="49"/>
  <c r="T11" i="49"/>
  <c r="L51" i="49"/>
  <c r="U16" i="49"/>
  <c r="U36" i="49"/>
  <c r="Q48" i="49"/>
  <c r="Q33" i="49"/>
  <c r="O39" i="49"/>
  <c r="N60" i="49"/>
  <c r="N12" i="49"/>
  <c r="N19" i="49"/>
  <c r="P32" i="49"/>
  <c r="H26" i="28"/>
  <c r="S30" i="49"/>
  <c r="S29" i="49"/>
  <c r="V24" i="49"/>
  <c r="V49" i="49"/>
  <c r="M56" i="49"/>
  <c r="M8" i="49"/>
  <c r="M15" i="49"/>
  <c r="R6" i="49"/>
  <c r="T58" i="49"/>
  <c r="T12" i="49"/>
  <c r="L40" i="49"/>
  <c r="L49" i="49"/>
  <c r="U35" i="49"/>
  <c r="U54" i="49"/>
  <c r="U28" i="49"/>
  <c r="Q40" i="49"/>
  <c r="O52" i="49"/>
  <c r="O37" i="49"/>
  <c r="N10" i="49"/>
  <c r="S28" i="49"/>
  <c r="S27" i="49"/>
  <c r="V47" i="49"/>
  <c r="M54" i="49"/>
  <c r="M61" i="49"/>
  <c r="M13" i="49"/>
  <c r="T54" i="49"/>
  <c r="L47" i="49"/>
  <c r="U27" i="49"/>
  <c r="U59" i="49"/>
  <c r="Q32" i="49"/>
  <c r="O54" i="49"/>
  <c r="O35" i="49"/>
  <c r="N8" i="49"/>
  <c r="S26" i="49"/>
  <c r="V8" i="49"/>
  <c r="V45" i="49"/>
  <c r="O33" i="49"/>
  <c r="J22" i="29"/>
  <c r="G9" i="29"/>
  <c r="J7" i="29"/>
  <c r="J16" i="29"/>
  <c r="C445" i="11"/>
  <c r="J5" i="29"/>
  <c r="F47" i="28"/>
  <c r="C429" i="11"/>
  <c r="C442" i="11"/>
  <c r="F9" i="28"/>
  <c r="H26" i="29"/>
  <c r="C385" i="11"/>
  <c r="F48" i="28"/>
  <c r="L29" i="29"/>
  <c r="G8" i="29"/>
  <c r="H35" i="29"/>
  <c r="H23" i="29"/>
  <c r="N14" i="29"/>
  <c r="C443" i="11"/>
  <c r="G20" i="29"/>
  <c r="H45" i="29"/>
  <c r="G23" i="29"/>
  <c r="H19" i="29"/>
  <c r="C160" i="11"/>
  <c r="F41" i="29"/>
  <c r="C400" i="11"/>
  <c r="C390" i="11"/>
  <c r="C299" i="11"/>
  <c r="K7" i="29"/>
  <c r="E23" i="28"/>
  <c r="AX1" i="11"/>
  <c r="AX2" i="11" s="1"/>
  <c r="C435" i="11"/>
  <c r="C309" i="11"/>
  <c r="E34" i="28"/>
  <c r="M13" i="29"/>
  <c r="AT1" i="11"/>
  <c r="AT2" i="11" s="1"/>
  <c r="F39" i="29"/>
  <c r="G19" i="29"/>
  <c r="AN1" i="11"/>
  <c r="AN2" i="11" s="1"/>
  <c r="G10" i="29"/>
  <c r="AB1" i="11"/>
  <c r="AB2" i="11" s="1"/>
  <c r="F10" i="29"/>
  <c r="F48" i="29"/>
  <c r="R1" i="11"/>
  <c r="R2" i="11" s="1"/>
  <c r="AR1" i="11"/>
  <c r="AR2" i="11" s="1"/>
  <c r="AZ1" i="11"/>
  <c r="AZ2" i="11" s="1"/>
  <c r="C446" i="11"/>
  <c r="C425" i="11"/>
  <c r="F11" i="29"/>
  <c r="C397" i="11"/>
  <c r="L13" i="29"/>
  <c r="C166" i="11"/>
  <c r="AL1" i="11"/>
  <c r="AL2" i="11" s="1"/>
  <c r="C421" i="11"/>
  <c r="AV1" i="11"/>
  <c r="AV2" i="11" s="1"/>
  <c r="C420" i="11"/>
  <c r="C439" i="11"/>
  <c r="F46" i="29"/>
  <c r="L23" i="29"/>
  <c r="C403" i="11"/>
  <c r="C413" i="11"/>
  <c r="AU1" i="11"/>
  <c r="AU2" i="11" s="1"/>
  <c r="BG1" i="11"/>
  <c r="BG2" i="11" s="1"/>
  <c r="C430" i="11"/>
  <c r="AQ1" i="11"/>
  <c r="AQ2" i="11" s="1"/>
  <c r="AF1" i="11"/>
  <c r="AF2" i="11" s="1"/>
  <c r="BD1" i="11"/>
  <c r="BD2" i="11" s="1"/>
  <c r="AW1" i="11"/>
  <c r="AW2" i="11" s="1"/>
  <c r="F1" i="11"/>
  <c r="F2" i="11" s="1"/>
  <c r="AA1" i="11"/>
  <c r="AA2" i="11" s="1"/>
  <c r="C288" i="11"/>
  <c r="Y1" i="11"/>
  <c r="Y2" i="11" s="1"/>
  <c r="C270" i="11"/>
  <c r="I5" i="29"/>
  <c r="C252" i="11"/>
  <c r="BA1" i="11"/>
  <c r="BA2" i="11" s="1"/>
  <c r="T1" i="11"/>
  <c r="T2" i="11" s="1"/>
  <c r="BI1" i="11"/>
  <c r="BI2" i="11" s="1"/>
  <c r="C352" i="11"/>
  <c r="C422" i="11"/>
  <c r="C365" i="11"/>
  <c r="C440" i="11"/>
  <c r="M1" i="11"/>
  <c r="M2" i="11" s="1"/>
  <c r="C349" i="11"/>
  <c r="K40" i="29"/>
  <c r="AE1" i="11"/>
  <c r="AE2" i="11" s="1"/>
  <c r="BC1" i="11"/>
  <c r="BC2" i="11" s="1"/>
  <c r="BH1" i="11"/>
  <c r="BH2" i="11" s="1"/>
  <c r="BE1" i="11"/>
  <c r="BE2" i="11" s="1"/>
  <c r="V1" i="11"/>
  <c r="V2" i="11" s="1"/>
  <c r="AS1" i="11"/>
  <c r="AS2" i="11" s="1"/>
  <c r="C234" i="11"/>
  <c r="G1" i="11"/>
  <c r="G2" i="11" s="1"/>
  <c r="N1" i="11"/>
  <c r="N2" i="11" s="1"/>
  <c r="C423" i="11"/>
  <c r="AP1" i="11"/>
  <c r="AP2" i="11" s="1"/>
  <c r="AH1" i="11"/>
  <c r="AH2" i="11" s="1"/>
  <c r="C428" i="11"/>
  <c r="I4" i="29"/>
  <c r="AG1" i="11"/>
  <c r="AG2" i="11" s="1"/>
  <c r="AC1" i="11"/>
  <c r="AC2" i="11" s="1"/>
  <c r="C256" i="11"/>
  <c r="AI1" i="11"/>
  <c r="AI2" i="11" s="1"/>
  <c r="AY1" i="11"/>
  <c r="AY2" i="11" s="1"/>
  <c r="C332" i="11"/>
  <c r="M6" i="29"/>
  <c r="M28" i="28"/>
  <c r="F50" i="28"/>
  <c r="H1" i="11"/>
  <c r="H2" i="11" s="1"/>
  <c r="AJ1" i="11"/>
  <c r="AJ2" i="11" s="1"/>
  <c r="C411" i="11"/>
  <c r="L1" i="11"/>
  <c r="L2" i="11" s="1"/>
  <c r="M47" i="28"/>
  <c r="M57" i="28"/>
  <c r="M39" i="28"/>
  <c r="M52" i="28"/>
  <c r="M42" i="28"/>
  <c r="M56" i="28"/>
  <c r="M20" i="28"/>
  <c r="L50" i="28"/>
  <c r="AK1" i="11"/>
  <c r="AK2" i="11" s="1"/>
  <c r="I11" i="29"/>
  <c r="L49" i="29"/>
  <c r="F5" i="29"/>
  <c r="M49" i="28"/>
  <c r="M18" i="28"/>
  <c r="F15" i="29"/>
  <c r="C418" i="11"/>
  <c r="K17" i="29"/>
  <c r="H22" i="29"/>
  <c r="L7" i="29"/>
  <c r="F51" i="29"/>
  <c r="I9" i="29"/>
  <c r="M30" i="28"/>
  <c r="AM1" i="11"/>
  <c r="AM2" i="11" s="1"/>
  <c r="H7" i="29"/>
  <c r="W1" i="11"/>
  <c r="W2" i="11" s="1"/>
  <c r="J15" i="29"/>
  <c r="K43" i="29"/>
  <c r="J34" i="29"/>
  <c r="F34" i="28"/>
  <c r="M21" i="28"/>
  <c r="H21" i="29"/>
  <c r="F23" i="29"/>
  <c r="M24" i="28"/>
  <c r="M31" i="28"/>
  <c r="M59" i="28"/>
  <c r="M61" i="28"/>
  <c r="K1" i="11"/>
  <c r="K2" i="11" s="1"/>
  <c r="C375" i="11"/>
  <c r="L5" i="29"/>
  <c r="F14" i="29"/>
  <c r="M5" i="28"/>
  <c r="M19" i="28"/>
  <c r="F19" i="29"/>
  <c r="I14" i="29"/>
  <c r="I16" i="29"/>
  <c r="J30" i="29"/>
  <c r="N4" i="28"/>
  <c r="I4" i="28"/>
  <c r="F4" i="28"/>
  <c r="K4" i="28"/>
  <c r="L4" i="28"/>
  <c r="E4" i="28"/>
  <c r="G4" i="28"/>
  <c r="J4" i="28"/>
  <c r="H4" i="28"/>
  <c r="M4" i="28"/>
  <c r="M46" i="28"/>
  <c r="M33" i="28"/>
  <c r="M25" i="28"/>
  <c r="M6" i="28"/>
  <c r="M26" i="28"/>
  <c r="M17" i="28"/>
  <c r="D4" i="29"/>
  <c r="J27" i="29"/>
  <c r="F54" i="28"/>
  <c r="M16" i="28"/>
  <c r="M35" i="28"/>
  <c r="M10" i="28"/>
  <c r="M34" i="28"/>
  <c r="M45" i="28"/>
  <c r="M41" i="28"/>
  <c r="M44" i="28"/>
  <c r="M36" i="28"/>
  <c r="C282" i="11"/>
  <c r="M32" i="28"/>
  <c r="M38" i="28"/>
  <c r="M27" i="28"/>
  <c r="M8" i="28"/>
  <c r="M11" i="28"/>
  <c r="O1" i="11"/>
  <c r="O2" i="11" s="1"/>
  <c r="M60" i="28"/>
  <c r="M43" i="28"/>
  <c r="M50" i="28"/>
  <c r="M54" i="28"/>
  <c r="M58" i="28"/>
  <c r="U1" i="11"/>
  <c r="U2" i="11" s="1"/>
  <c r="M51" i="28"/>
  <c r="M22" i="28"/>
  <c r="M53" i="28"/>
  <c r="M7" i="28"/>
  <c r="M9" i="28"/>
  <c r="H41" i="28"/>
  <c r="H17" i="29"/>
  <c r="M48" i="28"/>
  <c r="M55" i="28"/>
  <c r="M29" i="28"/>
  <c r="G11" i="28"/>
  <c r="K15" i="29"/>
  <c r="M37" i="28"/>
  <c r="M15" i="28"/>
  <c r="H61" i="28"/>
  <c r="L59" i="28"/>
  <c r="S1" i="11"/>
  <c r="S2" i="11" s="1"/>
  <c r="M23" i="28"/>
  <c r="M13" i="28"/>
  <c r="M14" i="28"/>
  <c r="K16" i="28"/>
  <c r="H27" i="29"/>
  <c r="X1" i="11"/>
  <c r="X2" i="11" s="1"/>
  <c r="D20" i="29"/>
  <c r="H8" i="29"/>
  <c r="G5" i="29"/>
  <c r="C367" i="11"/>
  <c r="P1" i="11"/>
  <c r="P2" i="11" s="1"/>
  <c r="D23" i="29"/>
  <c r="D12" i="29"/>
  <c r="C405" i="11"/>
  <c r="D8" i="29"/>
  <c r="D13" i="29"/>
  <c r="D10" i="29"/>
  <c r="D29" i="29"/>
  <c r="D11" i="29"/>
  <c r="D59" i="29"/>
  <c r="D60" i="29"/>
  <c r="D40" i="29"/>
  <c r="D53" i="29"/>
  <c r="D15" i="29"/>
  <c r="D43" i="29"/>
  <c r="D9" i="29"/>
  <c r="D57" i="29"/>
  <c r="D49" i="29"/>
  <c r="D48" i="29"/>
  <c r="D24" i="29"/>
  <c r="D25" i="29"/>
  <c r="D35" i="29"/>
  <c r="D32" i="29"/>
  <c r="D36" i="29"/>
  <c r="D47" i="29"/>
  <c r="D16" i="29"/>
  <c r="D46" i="29"/>
  <c r="D21" i="29"/>
  <c r="D22" i="29"/>
  <c r="D45" i="29"/>
  <c r="D51" i="29"/>
  <c r="D18" i="29"/>
  <c r="D33" i="29"/>
  <c r="D34" i="29"/>
  <c r="D50" i="29"/>
  <c r="D58" i="29"/>
  <c r="D38" i="29"/>
  <c r="D54" i="29"/>
  <c r="D37" i="29"/>
  <c r="D14" i="29"/>
  <c r="D55" i="29"/>
  <c r="D39" i="29"/>
  <c r="D19" i="29"/>
  <c r="D41" i="29"/>
  <c r="D27" i="29"/>
  <c r="D52" i="29"/>
  <c r="D7" i="29"/>
  <c r="D31" i="29"/>
  <c r="D17" i="29"/>
  <c r="D30" i="29"/>
  <c r="D56" i="29"/>
  <c r="D28" i="29"/>
  <c r="D6" i="29"/>
  <c r="D5" i="29"/>
  <c r="D42" i="29"/>
  <c r="D26" i="29"/>
  <c r="D44" i="29"/>
  <c r="C426" i="11"/>
  <c r="G11" i="29"/>
  <c r="F6" i="29"/>
  <c r="F34" i="29"/>
  <c r="F17" i="29"/>
  <c r="BB1" i="11"/>
  <c r="BB2" i="11" s="1"/>
  <c r="G24" i="29"/>
  <c r="AO1" i="11"/>
  <c r="AO2" i="11" s="1"/>
  <c r="F56" i="29"/>
  <c r="C433" i="11"/>
  <c r="F60" i="29"/>
  <c r="I1" i="11"/>
  <c r="I2" i="11" s="1"/>
  <c r="G7" i="29"/>
  <c r="C341" i="11"/>
  <c r="F42" i="29"/>
  <c r="F53" i="29"/>
  <c r="F31" i="29"/>
  <c r="F20" i="29"/>
  <c r="C416" i="11"/>
  <c r="Z1" i="11"/>
  <c r="Z2" i="11" s="1"/>
  <c r="M11" i="29"/>
  <c r="BF1" i="11"/>
  <c r="BF2" i="11" s="1"/>
  <c r="C438" i="11"/>
  <c r="M15" i="29"/>
  <c r="M7" i="29"/>
  <c r="F40" i="29"/>
  <c r="L8" i="29"/>
  <c r="J1" i="11"/>
  <c r="J2" i="11" s="1"/>
  <c r="C344" i="11"/>
  <c r="C444" i="11"/>
  <c r="K16" i="29"/>
  <c r="L4" i="29"/>
  <c r="G12" i="29"/>
  <c r="M50" i="29"/>
  <c r="M27" i="29"/>
  <c r="M39" i="29"/>
  <c r="AD1" i="11"/>
  <c r="AD2" i="11" s="1"/>
  <c r="H16" i="29"/>
  <c r="F52" i="29"/>
  <c r="F28" i="29"/>
  <c r="H5" i="29"/>
  <c r="G6" i="29"/>
  <c r="F22" i="29"/>
  <c r="F43" i="29"/>
  <c r="F33" i="29"/>
  <c r="Q1" i="11"/>
  <c r="Q2" i="11" s="1"/>
  <c r="F38" i="29"/>
  <c r="F16" i="29"/>
  <c r="C436" i="11"/>
  <c r="F57" i="29"/>
  <c r="F59" i="29"/>
  <c r="F47" i="29"/>
  <c r="H10" i="29"/>
  <c r="F18" i="29"/>
  <c r="F13" i="29"/>
  <c r="F54" i="29"/>
  <c r="H24" i="29"/>
  <c r="F29" i="29"/>
  <c r="G14" i="29"/>
  <c r="F25" i="29"/>
  <c r="F37" i="29"/>
  <c r="F58" i="29"/>
  <c r="F7" i="29"/>
  <c r="F35" i="29"/>
  <c r="I6" i="29"/>
  <c r="C402" i="11"/>
  <c r="J17" i="29"/>
  <c r="F45" i="29"/>
  <c r="F30" i="29"/>
  <c r="H13" i="29"/>
  <c r="F32" i="29"/>
  <c r="H9" i="29"/>
  <c r="F26" i="29"/>
  <c r="F36" i="29"/>
  <c r="E1" i="11"/>
  <c r="E2" i="11" s="1"/>
  <c r="F24" i="29"/>
  <c r="F27" i="29"/>
  <c r="F55" i="29"/>
  <c r="F21" i="29"/>
  <c r="M24" i="29"/>
  <c r="G4" i="29"/>
  <c r="M40" i="29"/>
  <c r="M22" i="29"/>
  <c r="F44" i="29"/>
  <c r="F12" i="29"/>
  <c r="M16" i="29"/>
  <c r="F9" i="29"/>
  <c r="M21" i="29"/>
  <c r="M18" i="29"/>
  <c r="H25" i="29"/>
  <c r="J4" i="29"/>
  <c r="M34" i="29"/>
  <c r="F4" i="29"/>
  <c r="F8" i="29"/>
  <c r="F49" i="29"/>
  <c r="M5" i="29"/>
  <c r="K5" i="29"/>
  <c r="I12" i="29"/>
  <c r="H4" i="29"/>
  <c r="H14" i="29"/>
  <c r="K4" i="29"/>
  <c r="K12" i="29"/>
  <c r="H6" i="29"/>
  <c r="M43" i="29"/>
  <c r="M31" i="29"/>
  <c r="M26" i="29"/>
  <c r="M30" i="29"/>
  <c r="M8" i="29"/>
  <c r="M4" i="29"/>
  <c r="K6" i="29"/>
  <c r="L12" i="29"/>
  <c r="K11" i="39" l="1"/>
  <c r="H46" i="39"/>
  <c r="E33" i="39"/>
  <c r="I32" i="39"/>
  <c r="I5" i="48"/>
  <c r="J5" i="48"/>
  <c r="D44" i="39"/>
  <c r="D31" i="39"/>
  <c r="J54" i="39"/>
  <c r="D50" i="39"/>
  <c r="F35" i="39"/>
  <c r="H35" i="39"/>
  <c r="G35" i="39"/>
  <c r="E35" i="39"/>
  <c r="L47" i="39"/>
  <c r="E47" i="39"/>
  <c r="K44" i="39"/>
  <c r="F33" i="39"/>
  <c r="G57" i="39"/>
  <c r="K57" i="39"/>
  <c r="I60" i="39"/>
  <c r="L57" i="39"/>
  <c r="H28" i="39"/>
  <c r="G37" i="39"/>
  <c r="M37" i="39"/>
  <c r="I37" i="39"/>
  <c r="J37" i="39"/>
  <c r="D35" i="39"/>
  <c r="K35" i="39"/>
  <c r="J35" i="39"/>
  <c r="M13" i="39"/>
  <c r="F47" i="39"/>
  <c r="K60" i="39"/>
  <c r="F44" i="39"/>
  <c r="J44" i="39"/>
  <c r="E55" i="39"/>
  <c r="F46" i="39"/>
  <c r="J13" i="39"/>
  <c r="D46" i="39"/>
  <c r="M17" i="39"/>
  <c r="F21" i="39"/>
  <c r="I46" i="39"/>
  <c r="D59" i="39"/>
  <c r="I54" i="39"/>
  <c r="L44" i="39"/>
  <c r="E44" i="39"/>
  <c r="C5" i="48"/>
  <c r="G5" i="48"/>
  <c r="I55" i="39"/>
  <c r="I44" i="39"/>
  <c r="G44" i="39"/>
  <c r="F50" i="39"/>
  <c r="E50" i="39"/>
  <c r="M50" i="39"/>
  <c r="I50" i="39"/>
  <c r="H50" i="39"/>
  <c r="G50" i="39"/>
  <c r="K38" i="39"/>
  <c r="J47" i="39"/>
  <c r="K47" i="39"/>
  <c r="H57" i="39"/>
  <c r="I47" i="39"/>
  <c r="M57" i="39"/>
  <c r="H55" i="39"/>
  <c r="L55" i="39"/>
  <c r="D60" i="39"/>
  <c r="D55" i="39"/>
  <c r="J60" i="39"/>
  <c r="M55" i="39"/>
  <c r="K55" i="39"/>
  <c r="F54" i="39"/>
  <c r="H36" i="39"/>
  <c r="G36" i="39"/>
  <c r="L36" i="39"/>
  <c r="I36" i="39"/>
  <c r="E36" i="39"/>
  <c r="H60" i="39"/>
  <c r="J23" i="39"/>
  <c r="K51" i="39"/>
  <c r="F18" i="39"/>
  <c r="G17" i="39"/>
  <c r="H59" i="39"/>
  <c r="F59" i="39"/>
  <c r="M36" i="39"/>
  <c r="K17" i="39"/>
  <c r="G54" i="39"/>
  <c r="O45" i="55"/>
  <c r="AA45" i="55"/>
  <c r="M42" i="39"/>
  <c r="F17" i="39"/>
  <c r="K18" i="39"/>
  <c r="G59" i="39"/>
  <c r="E42" i="39"/>
  <c r="L18" i="39"/>
  <c r="I34" i="39"/>
  <c r="U45" i="55"/>
  <c r="H45" i="55"/>
  <c r="G18" i="39"/>
  <c r="AF45" i="55"/>
  <c r="I59" i="39"/>
  <c r="D18" i="39"/>
  <c r="E18" i="39"/>
  <c r="I18" i="39"/>
  <c r="G45" i="55"/>
  <c r="AD45" i="55"/>
  <c r="T45" i="55"/>
  <c r="L45" i="55"/>
  <c r="E17" i="39"/>
  <c r="AE45" i="55"/>
  <c r="P45" i="55"/>
  <c r="X45" i="55"/>
  <c r="Y45" i="55"/>
  <c r="E45" i="55"/>
  <c r="L17" i="39"/>
  <c r="J17" i="39"/>
  <c r="D17" i="39"/>
  <c r="J45" i="55"/>
  <c r="V45" i="55"/>
  <c r="Q45" i="55"/>
  <c r="H44" i="39"/>
  <c r="K54" i="39"/>
  <c r="K53" i="39"/>
  <c r="AG45" i="55"/>
  <c r="H17" i="39"/>
  <c r="I19" i="39"/>
  <c r="I45" i="55"/>
  <c r="M45" i="55"/>
  <c r="R45" i="55"/>
  <c r="F45" i="55"/>
  <c r="AC45" i="55"/>
  <c r="K45" i="55"/>
  <c r="N45" i="55"/>
  <c r="AI45" i="55"/>
  <c r="Z45" i="55"/>
  <c r="W45" i="55"/>
  <c r="D42" i="39"/>
  <c r="F42" i="39"/>
  <c r="G42" i="39"/>
  <c r="H42" i="39"/>
  <c r="K23" i="39"/>
  <c r="K42" i="39"/>
  <c r="L42" i="39"/>
  <c r="L53" i="39"/>
  <c r="F53" i="39"/>
  <c r="G53" i="39"/>
  <c r="D53" i="39"/>
  <c r="I42" i="39"/>
  <c r="J59" i="39"/>
  <c r="J18" i="39"/>
  <c r="H18" i="39"/>
  <c r="E59" i="39"/>
  <c r="M32" i="39"/>
  <c r="E32" i="39"/>
  <c r="K20" i="39"/>
  <c r="K9" i="39"/>
  <c r="J20" i="39"/>
  <c r="I9" i="39"/>
  <c r="K13" i="39"/>
  <c r="D56" i="39"/>
  <c r="L34" i="39"/>
  <c r="M49" i="39"/>
  <c r="D49" i="39"/>
  <c r="H61" i="39"/>
  <c r="D61" i="39"/>
  <c r="J53" i="39"/>
  <c r="H34" i="39"/>
  <c r="G6" i="39"/>
  <c r="E6" i="39"/>
  <c r="I6" i="39"/>
  <c r="L6" i="39"/>
  <c r="J6" i="39"/>
  <c r="I56" i="39"/>
  <c r="J56" i="39"/>
  <c r="I53" i="39"/>
  <c r="G9" i="39"/>
  <c r="D6" i="39"/>
  <c r="M30" i="39"/>
  <c r="K30" i="39"/>
  <c r="J30" i="39"/>
  <c r="H9" i="39"/>
  <c r="L56" i="39"/>
  <c r="E53" i="39"/>
  <c r="F6" i="39"/>
  <c r="H53" i="39"/>
  <c r="K6" i="39"/>
  <c r="M10" i="39"/>
  <c r="G10" i="39"/>
  <c r="I10" i="39"/>
  <c r="G56" i="39"/>
  <c r="L24" i="39"/>
  <c r="F56" i="39"/>
  <c r="E24" i="39"/>
  <c r="G51" i="39"/>
  <c r="D34" i="39"/>
  <c r="I14" i="39"/>
  <c r="M14" i="39"/>
  <c r="G14" i="39"/>
  <c r="J14" i="39"/>
  <c r="F24" i="39"/>
  <c r="M6" i="39"/>
  <c r="J34" i="39"/>
  <c r="E56" i="39"/>
  <c r="K56" i="39"/>
  <c r="H56" i="39"/>
  <c r="O5" i="48"/>
  <c r="L5" i="48"/>
  <c r="N5" i="48"/>
  <c r="D5" i="48"/>
  <c r="E5" i="48"/>
  <c r="K5" i="48"/>
  <c r="M5" i="48"/>
  <c r="H5" i="48"/>
  <c r="F5" i="48"/>
  <c r="D20" i="39"/>
  <c r="D36" i="39"/>
  <c r="F36" i="39"/>
  <c r="J32" i="39"/>
  <c r="F32" i="39"/>
  <c r="H32" i="39"/>
  <c r="G32" i="39"/>
  <c r="L13" i="39"/>
  <c r="D13" i="39"/>
  <c r="G13" i="39"/>
  <c r="E13" i="39"/>
  <c r="M31" i="39"/>
  <c r="H31" i="39"/>
  <c r="L31" i="39"/>
  <c r="G31" i="39"/>
  <c r="K31" i="39"/>
  <c r="I31" i="39"/>
  <c r="E31" i="39"/>
  <c r="J57" i="39"/>
  <c r="D57" i="39"/>
  <c r="D26" i="39"/>
  <c r="H26" i="39"/>
  <c r="M26" i="39"/>
  <c r="J26" i="39"/>
  <c r="M58" i="39"/>
  <c r="D58" i="39"/>
  <c r="J58" i="39"/>
  <c r="K58" i="39"/>
  <c r="H58" i="39"/>
  <c r="M52" i="39"/>
  <c r="K52" i="39"/>
  <c r="I52" i="39"/>
  <c r="H52" i="39"/>
  <c r="D52" i="39"/>
  <c r="L52" i="39"/>
  <c r="F52" i="39"/>
  <c r="E52" i="39"/>
  <c r="J52" i="39"/>
  <c r="J51" i="39"/>
  <c r="L45" i="39"/>
  <c r="L51" i="39"/>
  <c r="E51" i="39"/>
  <c r="M46" i="39"/>
  <c r="K46" i="39"/>
  <c r="L46" i="39"/>
  <c r="G46" i="39"/>
  <c r="E46" i="39"/>
  <c r="M28" i="39"/>
  <c r="D28" i="39"/>
  <c r="L28" i="39"/>
  <c r="G28" i="39"/>
  <c r="K28" i="39"/>
  <c r="E28" i="39"/>
  <c r="D51" i="39"/>
  <c r="I20" i="39"/>
  <c r="M54" i="39"/>
  <c r="L54" i="39"/>
  <c r="D54" i="39"/>
  <c r="E54" i="39"/>
  <c r="F20" i="39"/>
  <c r="H20" i="39"/>
  <c r="K8" i="39"/>
  <c r="L8" i="39"/>
  <c r="H8" i="39"/>
  <c r="G8" i="39"/>
  <c r="F8" i="39"/>
  <c r="G20" i="39"/>
  <c r="I33" i="39"/>
  <c r="K33" i="39"/>
  <c r="M33" i="39"/>
  <c r="G33" i="39"/>
  <c r="H33" i="39"/>
  <c r="J33" i="39"/>
  <c r="D33" i="39"/>
  <c r="M47" i="39"/>
  <c r="G47" i="39"/>
  <c r="J55" i="39"/>
  <c r="M20" i="39"/>
  <c r="G55" i="39"/>
  <c r="F28" i="39"/>
  <c r="J31" i="39"/>
  <c r="L60" i="39"/>
  <c r="U33" i="55"/>
  <c r="Q33" i="55"/>
  <c r="AF33" i="55"/>
  <c r="H33" i="55"/>
  <c r="X33" i="55"/>
  <c r="P33" i="55"/>
  <c r="AE33" i="55"/>
  <c r="G33" i="55"/>
  <c r="AA33" i="55"/>
  <c r="W33" i="55"/>
  <c r="AI33" i="55"/>
  <c r="O33" i="55"/>
  <c r="K33" i="55"/>
  <c r="AD33" i="55"/>
  <c r="F33" i="55"/>
  <c r="AB33" i="55"/>
  <c r="S33" i="55"/>
  <c r="L33" i="55"/>
  <c r="AH33" i="55"/>
  <c r="Z33" i="55"/>
  <c r="V33" i="55"/>
  <c r="N33" i="55"/>
  <c r="J33" i="55"/>
  <c r="AC33" i="55"/>
  <c r="E33" i="55"/>
  <c r="T33" i="55"/>
  <c r="R33" i="55"/>
  <c r="M33" i="55"/>
  <c r="I33" i="55"/>
  <c r="Y33" i="55"/>
  <c r="AG33" i="55"/>
  <c r="D33" i="55"/>
  <c r="D48" i="55"/>
  <c r="R48" i="55"/>
  <c r="L48" i="55"/>
  <c r="AG48" i="55"/>
  <c r="M48" i="55"/>
  <c r="I48" i="55"/>
  <c r="Y48" i="55"/>
  <c r="T48" i="55"/>
  <c r="Q48" i="55"/>
  <c r="AF48" i="55"/>
  <c r="H48" i="55"/>
  <c r="X48" i="55"/>
  <c r="P48" i="55"/>
  <c r="AE48" i="55"/>
  <c r="G48" i="55"/>
  <c r="Z48" i="55"/>
  <c r="AA48" i="55"/>
  <c r="W48" i="55"/>
  <c r="AI48" i="55"/>
  <c r="O48" i="55"/>
  <c r="K48" i="55"/>
  <c r="AD48" i="55"/>
  <c r="F48" i="55"/>
  <c r="S48" i="55"/>
  <c r="AH48" i="55"/>
  <c r="N48" i="55"/>
  <c r="J48" i="55"/>
  <c r="E48" i="55"/>
  <c r="AB48" i="55"/>
  <c r="U48" i="55"/>
  <c r="V48" i="55"/>
  <c r="AC48" i="55"/>
  <c r="H24" i="39"/>
  <c r="D24" i="39"/>
  <c r="M24" i="39"/>
  <c r="J24" i="39"/>
  <c r="G24" i="39"/>
  <c r="K24" i="39"/>
  <c r="D57" i="55"/>
  <c r="P57" i="55"/>
  <c r="AE57" i="55"/>
  <c r="G57" i="55"/>
  <c r="AA57" i="55"/>
  <c r="W57" i="55"/>
  <c r="AI57" i="55"/>
  <c r="O57" i="55"/>
  <c r="K57" i="55"/>
  <c r="AD57" i="55"/>
  <c r="F57" i="55"/>
  <c r="S57" i="55"/>
  <c r="AH57" i="55"/>
  <c r="Z57" i="55"/>
  <c r="V57" i="55"/>
  <c r="N57" i="55"/>
  <c r="J57" i="55"/>
  <c r="AC57" i="55"/>
  <c r="E57" i="55"/>
  <c r="U57" i="55"/>
  <c r="R57" i="55"/>
  <c r="AG57" i="55"/>
  <c r="AB57" i="55"/>
  <c r="M57" i="55"/>
  <c r="I57" i="55"/>
  <c r="Y57" i="55"/>
  <c r="L57" i="55"/>
  <c r="Q57" i="55"/>
  <c r="AF57" i="55"/>
  <c r="T57" i="55"/>
  <c r="H57" i="55"/>
  <c r="X57" i="55"/>
  <c r="D40" i="55"/>
  <c r="S40" i="55"/>
  <c r="O40" i="55"/>
  <c r="AE40" i="55"/>
  <c r="AA40" i="55"/>
  <c r="G40" i="55"/>
  <c r="V40" i="55"/>
  <c r="AI40" i="55"/>
  <c r="K40" i="55"/>
  <c r="T40" i="55"/>
  <c r="M40" i="55"/>
  <c r="AD40" i="55"/>
  <c r="Z40" i="55"/>
  <c r="R40" i="55"/>
  <c r="N40" i="55"/>
  <c r="F40" i="55"/>
  <c r="U40" i="55"/>
  <c r="AB40" i="55"/>
  <c r="AH40" i="55"/>
  <c r="J40" i="55"/>
  <c r="L40" i="55"/>
  <c r="AC40" i="55"/>
  <c r="Y40" i="55"/>
  <c r="E40" i="55"/>
  <c r="Q40" i="55"/>
  <c r="AG40" i="55"/>
  <c r="I40" i="55"/>
  <c r="X40" i="55"/>
  <c r="P40" i="55"/>
  <c r="AF40" i="55"/>
  <c r="H40" i="55"/>
  <c r="W40" i="55"/>
  <c r="M34" i="39"/>
  <c r="F34" i="39"/>
  <c r="G34" i="39"/>
  <c r="K34" i="39"/>
  <c r="D24" i="55"/>
  <c r="AI24" i="55"/>
  <c r="O24" i="55"/>
  <c r="K24" i="55"/>
  <c r="AD24" i="55"/>
  <c r="L24" i="55"/>
  <c r="F24" i="55"/>
  <c r="S24" i="55"/>
  <c r="T24" i="55"/>
  <c r="AH24" i="55"/>
  <c r="Z24" i="55"/>
  <c r="V24" i="55"/>
  <c r="N24" i="55"/>
  <c r="J24" i="55"/>
  <c r="AC24" i="55"/>
  <c r="E24" i="55"/>
  <c r="R24" i="55"/>
  <c r="AG24" i="55"/>
  <c r="G24" i="55"/>
  <c r="M24" i="55"/>
  <c r="I24" i="55"/>
  <c r="Y24" i="55"/>
  <c r="Q24" i="55"/>
  <c r="AF24" i="55"/>
  <c r="H24" i="55"/>
  <c r="X24" i="55"/>
  <c r="P24" i="55"/>
  <c r="AE24" i="55"/>
  <c r="AB24" i="55"/>
  <c r="AA24" i="55"/>
  <c r="U24" i="55"/>
  <c r="W24" i="55"/>
  <c r="M10" i="55"/>
  <c r="AD10" i="55"/>
  <c r="Z10" i="55"/>
  <c r="F10" i="55"/>
  <c r="U10" i="55"/>
  <c r="AH10" i="55"/>
  <c r="J10" i="55"/>
  <c r="D10" i="55"/>
  <c r="AC10" i="55"/>
  <c r="Y10" i="55"/>
  <c r="E10" i="55"/>
  <c r="Q10" i="55"/>
  <c r="AG10" i="55"/>
  <c r="I10" i="55"/>
  <c r="X10" i="55"/>
  <c r="P10" i="55"/>
  <c r="T10" i="55"/>
  <c r="AF10" i="55"/>
  <c r="H10" i="55"/>
  <c r="W10" i="55"/>
  <c r="AB10" i="55"/>
  <c r="S10" i="55"/>
  <c r="O10" i="55"/>
  <c r="L10" i="55"/>
  <c r="AE10" i="55"/>
  <c r="AA10" i="55"/>
  <c r="G10" i="55"/>
  <c r="V10" i="55"/>
  <c r="AI10" i="55"/>
  <c r="K10" i="55"/>
  <c r="N10" i="55"/>
  <c r="R10" i="55"/>
  <c r="D41" i="55"/>
  <c r="K41" i="55"/>
  <c r="G41" i="55"/>
  <c r="E41" i="55"/>
  <c r="W41" i="55"/>
  <c r="S41" i="55"/>
  <c r="N41" i="55"/>
  <c r="AD41" i="55"/>
  <c r="AA41" i="55"/>
  <c r="AC41" i="55"/>
  <c r="L41" i="55"/>
  <c r="AH41" i="55"/>
  <c r="V41" i="55"/>
  <c r="R41" i="55"/>
  <c r="J41" i="55"/>
  <c r="F41" i="55"/>
  <c r="M41" i="55"/>
  <c r="T41" i="55"/>
  <c r="Z41" i="55"/>
  <c r="AB41" i="55"/>
  <c r="U41" i="55"/>
  <c r="Q41" i="55"/>
  <c r="AG41" i="55"/>
  <c r="I41" i="55"/>
  <c r="Y41" i="55"/>
  <c r="P41" i="55"/>
  <c r="AF41" i="55"/>
  <c r="H41" i="55"/>
  <c r="X41" i="55"/>
  <c r="AI41" i="55"/>
  <c r="AE41" i="55"/>
  <c r="O41" i="55"/>
  <c r="E29" i="55"/>
  <c r="AB29" i="55"/>
  <c r="M29" i="55"/>
  <c r="Z29" i="55"/>
  <c r="U29" i="55"/>
  <c r="Q29" i="55"/>
  <c r="AG29" i="55"/>
  <c r="I29" i="55"/>
  <c r="Y29" i="55"/>
  <c r="P29" i="55"/>
  <c r="AF29" i="55"/>
  <c r="H29" i="55"/>
  <c r="X29" i="55"/>
  <c r="O29" i="55"/>
  <c r="AI29" i="55"/>
  <c r="AE29" i="55"/>
  <c r="K29" i="55"/>
  <c r="G29" i="55"/>
  <c r="W29" i="55"/>
  <c r="S29" i="55"/>
  <c r="L29" i="55"/>
  <c r="N29" i="55"/>
  <c r="AC29" i="55"/>
  <c r="AA29" i="55"/>
  <c r="T29" i="55"/>
  <c r="V29" i="55"/>
  <c r="R29" i="55"/>
  <c r="J29" i="55"/>
  <c r="AD29" i="55"/>
  <c r="F29" i="55"/>
  <c r="AH29" i="55"/>
  <c r="D29" i="55"/>
  <c r="D12" i="55"/>
  <c r="R12" i="55"/>
  <c r="AG12" i="55"/>
  <c r="M12" i="55"/>
  <c r="I12" i="55"/>
  <c r="Y12" i="55"/>
  <c r="Q12" i="55"/>
  <c r="AF12" i="55"/>
  <c r="U12" i="55"/>
  <c r="H12" i="55"/>
  <c r="X12" i="55"/>
  <c r="AB12" i="55"/>
  <c r="P12" i="55"/>
  <c r="AE12" i="55"/>
  <c r="G12" i="55"/>
  <c r="L12" i="55"/>
  <c r="AA12" i="55"/>
  <c r="W12" i="55"/>
  <c r="AI12" i="55"/>
  <c r="T12" i="55"/>
  <c r="O12" i="55"/>
  <c r="K12" i="55"/>
  <c r="AD12" i="55"/>
  <c r="F12" i="55"/>
  <c r="S12" i="55"/>
  <c r="Z12" i="55"/>
  <c r="AH12" i="55"/>
  <c r="N12" i="55"/>
  <c r="J12" i="55"/>
  <c r="E12" i="55"/>
  <c r="AC12" i="55"/>
  <c r="V12" i="55"/>
  <c r="D43" i="55"/>
  <c r="G43" i="55"/>
  <c r="V43" i="55"/>
  <c r="AI43" i="55"/>
  <c r="K43" i="55"/>
  <c r="M43" i="55"/>
  <c r="AD43" i="55"/>
  <c r="Z43" i="55"/>
  <c r="T43" i="55"/>
  <c r="R43" i="55"/>
  <c r="N43" i="55"/>
  <c r="F43" i="55"/>
  <c r="U43" i="55"/>
  <c r="AH43" i="55"/>
  <c r="AB43" i="55"/>
  <c r="J43" i="55"/>
  <c r="AC43" i="55"/>
  <c r="Y43" i="55"/>
  <c r="L43" i="55"/>
  <c r="E43" i="55"/>
  <c r="Q43" i="55"/>
  <c r="AG43" i="55"/>
  <c r="I43" i="55"/>
  <c r="X43" i="55"/>
  <c r="P43" i="55"/>
  <c r="AF43" i="55"/>
  <c r="H43" i="55"/>
  <c r="W43" i="55"/>
  <c r="AE43" i="55"/>
  <c r="AA43" i="55"/>
  <c r="S43" i="55"/>
  <c r="O43" i="55"/>
  <c r="D34" i="55"/>
  <c r="AG34" i="55"/>
  <c r="I34" i="55"/>
  <c r="X34" i="55"/>
  <c r="P34" i="55"/>
  <c r="AF34" i="55"/>
  <c r="H34" i="55"/>
  <c r="W34" i="55"/>
  <c r="S34" i="55"/>
  <c r="O34" i="55"/>
  <c r="AE34" i="55"/>
  <c r="AA34" i="55"/>
  <c r="G34" i="55"/>
  <c r="V34" i="55"/>
  <c r="T34" i="55"/>
  <c r="AI34" i="55"/>
  <c r="K34" i="55"/>
  <c r="M34" i="55"/>
  <c r="N34" i="55"/>
  <c r="AD34" i="55"/>
  <c r="AB34" i="55"/>
  <c r="Z34" i="55"/>
  <c r="R34" i="55"/>
  <c r="F34" i="55"/>
  <c r="U34" i="55"/>
  <c r="L34" i="55"/>
  <c r="AH34" i="55"/>
  <c r="J34" i="55"/>
  <c r="AC34" i="55"/>
  <c r="Y34" i="55"/>
  <c r="E34" i="55"/>
  <c r="Q34" i="55"/>
  <c r="D42" i="55"/>
  <c r="AI42" i="55"/>
  <c r="O42" i="55"/>
  <c r="K42" i="55"/>
  <c r="AD42" i="55"/>
  <c r="U42" i="55"/>
  <c r="F42" i="55"/>
  <c r="G42" i="55"/>
  <c r="S42" i="55"/>
  <c r="AH42" i="55"/>
  <c r="AB42" i="55"/>
  <c r="Z42" i="55"/>
  <c r="V42" i="55"/>
  <c r="N42" i="55"/>
  <c r="J42" i="55"/>
  <c r="AC42" i="55"/>
  <c r="E42" i="55"/>
  <c r="L42" i="55"/>
  <c r="R42" i="55"/>
  <c r="AG42" i="55"/>
  <c r="T42" i="55"/>
  <c r="M42" i="55"/>
  <c r="I42" i="55"/>
  <c r="Y42" i="55"/>
  <c r="Q42" i="55"/>
  <c r="AF42" i="55"/>
  <c r="H42" i="55"/>
  <c r="X42" i="55"/>
  <c r="P42" i="55"/>
  <c r="AE42" i="55"/>
  <c r="AA42" i="55"/>
  <c r="W42" i="55"/>
  <c r="D58" i="55"/>
  <c r="S58" i="55"/>
  <c r="O58" i="55"/>
  <c r="AE58" i="55"/>
  <c r="AA58" i="55"/>
  <c r="G58" i="55"/>
  <c r="V58" i="55"/>
  <c r="AI58" i="55"/>
  <c r="K58" i="55"/>
  <c r="AD58" i="55"/>
  <c r="Z58" i="55"/>
  <c r="R58" i="55"/>
  <c r="N58" i="55"/>
  <c r="F58" i="55"/>
  <c r="U58" i="55"/>
  <c r="AH58" i="55"/>
  <c r="J58" i="55"/>
  <c r="M58" i="55"/>
  <c r="AC58" i="55"/>
  <c r="Y58" i="55"/>
  <c r="T58" i="55"/>
  <c r="E58" i="55"/>
  <c r="Q58" i="55"/>
  <c r="AB58" i="55"/>
  <c r="AG58" i="55"/>
  <c r="I58" i="55"/>
  <c r="X58" i="55"/>
  <c r="L58" i="55"/>
  <c r="P58" i="55"/>
  <c r="AF58" i="55"/>
  <c r="H58" i="55"/>
  <c r="W58" i="55"/>
  <c r="M25" i="55"/>
  <c r="G25" i="55"/>
  <c r="V25" i="55"/>
  <c r="AB25" i="55"/>
  <c r="AI25" i="55"/>
  <c r="K25" i="55"/>
  <c r="L25" i="55"/>
  <c r="AD25" i="55"/>
  <c r="Z25" i="55"/>
  <c r="R25" i="55"/>
  <c r="N25" i="55"/>
  <c r="F25" i="55"/>
  <c r="U25" i="55"/>
  <c r="AH25" i="55"/>
  <c r="D25" i="55"/>
  <c r="J25" i="55"/>
  <c r="AC25" i="55"/>
  <c r="Y25" i="55"/>
  <c r="E25" i="55"/>
  <c r="Q25" i="55"/>
  <c r="AG25" i="55"/>
  <c r="I25" i="55"/>
  <c r="X25" i="55"/>
  <c r="P25" i="55"/>
  <c r="AF25" i="55"/>
  <c r="H25" i="55"/>
  <c r="W25" i="55"/>
  <c r="AE25" i="55"/>
  <c r="AA25" i="55"/>
  <c r="S25" i="55"/>
  <c r="O25" i="55"/>
  <c r="T25" i="55"/>
  <c r="D14" i="55"/>
  <c r="U14" i="55"/>
  <c r="Q14" i="55"/>
  <c r="I14" i="55"/>
  <c r="Y14" i="55"/>
  <c r="P14" i="55"/>
  <c r="AF14" i="55"/>
  <c r="AC14" i="55"/>
  <c r="H14" i="55"/>
  <c r="E14" i="55"/>
  <c r="X14" i="55"/>
  <c r="L14" i="55"/>
  <c r="O14" i="55"/>
  <c r="T14" i="55"/>
  <c r="AI14" i="55"/>
  <c r="AE14" i="55"/>
  <c r="K14" i="55"/>
  <c r="G14" i="55"/>
  <c r="W14" i="55"/>
  <c r="S14" i="55"/>
  <c r="AB14" i="55"/>
  <c r="N14" i="55"/>
  <c r="AA14" i="55"/>
  <c r="AH14" i="55"/>
  <c r="AD14" i="55"/>
  <c r="V14" i="55"/>
  <c r="R14" i="55"/>
  <c r="J14" i="55"/>
  <c r="F14" i="55"/>
  <c r="M14" i="55"/>
  <c r="Z14" i="55"/>
  <c r="AG14" i="55"/>
  <c r="J29" i="39"/>
  <c r="G29" i="39"/>
  <c r="I29" i="39"/>
  <c r="E29" i="39"/>
  <c r="D29" i="39"/>
  <c r="K29" i="39"/>
  <c r="L29" i="39"/>
  <c r="H29" i="39"/>
  <c r="M29" i="39"/>
  <c r="F29" i="39"/>
  <c r="D35" i="55"/>
  <c r="Y35" i="55"/>
  <c r="P35" i="55"/>
  <c r="AF35" i="55"/>
  <c r="H35" i="55"/>
  <c r="I35" i="55"/>
  <c r="X35" i="55"/>
  <c r="O35" i="55"/>
  <c r="AI35" i="55"/>
  <c r="AE35" i="55"/>
  <c r="K35" i="55"/>
  <c r="G35" i="55"/>
  <c r="W35" i="55"/>
  <c r="S35" i="55"/>
  <c r="N35" i="55"/>
  <c r="AC35" i="55"/>
  <c r="E35" i="55"/>
  <c r="L35" i="55"/>
  <c r="AA35" i="55"/>
  <c r="AH35" i="55"/>
  <c r="AD35" i="55"/>
  <c r="V35" i="55"/>
  <c r="T35" i="55"/>
  <c r="R35" i="55"/>
  <c r="J35" i="55"/>
  <c r="F35" i="55"/>
  <c r="M35" i="55"/>
  <c r="AB35" i="55"/>
  <c r="Z35" i="55"/>
  <c r="U35" i="55"/>
  <c r="Q35" i="55"/>
  <c r="AG35" i="55"/>
  <c r="M49" i="55"/>
  <c r="J49" i="55"/>
  <c r="AC49" i="55"/>
  <c r="AB49" i="55"/>
  <c r="Y49" i="55"/>
  <c r="E49" i="55"/>
  <c r="Q49" i="55"/>
  <c r="L49" i="55"/>
  <c r="AG49" i="55"/>
  <c r="I49" i="55"/>
  <c r="X49" i="55"/>
  <c r="P49" i="55"/>
  <c r="AF49" i="55"/>
  <c r="H49" i="55"/>
  <c r="W49" i="55"/>
  <c r="D49" i="55"/>
  <c r="S49" i="55"/>
  <c r="O49" i="55"/>
  <c r="AE49" i="55"/>
  <c r="AA49" i="55"/>
  <c r="G49" i="55"/>
  <c r="V49" i="55"/>
  <c r="U49" i="55"/>
  <c r="AI49" i="55"/>
  <c r="K49" i="55"/>
  <c r="N49" i="55"/>
  <c r="AD49" i="55"/>
  <c r="Z49" i="55"/>
  <c r="R49" i="55"/>
  <c r="F49" i="55"/>
  <c r="AH49" i="55"/>
  <c r="T49" i="55"/>
  <c r="E59" i="55"/>
  <c r="K59" i="55"/>
  <c r="G59" i="55"/>
  <c r="W59" i="55"/>
  <c r="S59" i="55"/>
  <c r="N59" i="55"/>
  <c r="AA59" i="55"/>
  <c r="AH59" i="55"/>
  <c r="AD59" i="55"/>
  <c r="V59" i="55"/>
  <c r="R59" i="55"/>
  <c r="J59" i="55"/>
  <c r="F59" i="55"/>
  <c r="M59" i="55"/>
  <c r="D59" i="55"/>
  <c r="Z59" i="55"/>
  <c r="AC59" i="55"/>
  <c r="U59" i="55"/>
  <c r="Q59" i="55"/>
  <c r="L59" i="55"/>
  <c r="AG59" i="55"/>
  <c r="I59" i="55"/>
  <c r="T59" i="55"/>
  <c r="Y59" i="55"/>
  <c r="P59" i="55"/>
  <c r="AB59" i="55"/>
  <c r="AF59" i="55"/>
  <c r="H59" i="55"/>
  <c r="X59" i="55"/>
  <c r="AI59" i="55"/>
  <c r="AE59" i="55"/>
  <c r="O59" i="55"/>
  <c r="E26" i="55"/>
  <c r="T26" i="55"/>
  <c r="AA26" i="55"/>
  <c r="AH26" i="55"/>
  <c r="AD26" i="55"/>
  <c r="AB26" i="55"/>
  <c r="V26" i="55"/>
  <c r="R26" i="55"/>
  <c r="J26" i="55"/>
  <c r="F26" i="55"/>
  <c r="M26" i="55"/>
  <c r="Z26" i="55"/>
  <c r="L26" i="55"/>
  <c r="U26" i="55"/>
  <c r="Q26" i="55"/>
  <c r="AG26" i="55"/>
  <c r="I26" i="55"/>
  <c r="D26" i="55"/>
  <c r="Y26" i="55"/>
  <c r="P26" i="55"/>
  <c r="AF26" i="55"/>
  <c r="H26" i="55"/>
  <c r="K26" i="55"/>
  <c r="X26" i="55"/>
  <c r="O26" i="55"/>
  <c r="AC26" i="55"/>
  <c r="AE26" i="55"/>
  <c r="AI26" i="55"/>
  <c r="W26" i="55"/>
  <c r="S26" i="55"/>
  <c r="N26" i="55"/>
  <c r="G26" i="55"/>
  <c r="D36" i="55"/>
  <c r="H36" i="55"/>
  <c r="X36" i="55"/>
  <c r="P36" i="55"/>
  <c r="AE36" i="55"/>
  <c r="G36" i="55"/>
  <c r="AA36" i="55"/>
  <c r="W36" i="55"/>
  <c r="AI36" i="55"/>
  <c r="O36" i="55"/>
  <c r="K36" i="55"/>
  <c r="AD36" i="55"/>
  <c r="F36" i="55"/>
  <c r="AB36" i="55"/>
  <c r="U36" i="55"/>
  <c r="V36" i="55"/>
  <c r="S36" i="55"/>
  <c r="AH36" i="55"/>
  <c r="Z36" i="55"/>
  <c r="N36" i="55"/>
  <c r="L36" i="55"/>
  <c r="J36" i="55"/>
  <c r="AC36" i="55"/>
  <c r="E36" i="55"/>
  <c r="T36" i="55"/>
  <c r="R36" i="55"/>
  <c r="AG36" i="55"/>
  <c r="M36" i="55"/>
  <c r="I36" i="55"/>
  <c r="Y36" i="55"/>
  <c r="Q36" i="55"/>
  <c r="AF36" i="55"/>
  <c r="E50" i="55"/>
  <c r="U50" i="55"/>
  <c r="T50" i="55"/>
  <c r="Q50" i="55"/>
  <c r="I50" i="55"/>
  <c r="AB50" i="55"/>
  <c r="Y50" i="55"/>
  <c r="P50" i="55"/>
  <c r="AF50" i="55"/>
  <c r="H50" i="55"/>
  <c r="D50" i="55"/>
  <c r="X50" i="55"/>
  <c r="O50" i="55"/>
  <c r="AI50" i="55"/>
  <c r="AE50" i="55"/>
  <c r="L50" i="55"/>
  <c r="K50" i="55"/>
  <c r="G50" i="55"/>
  <c r="W50" i="55"/>
  <c r="S50" i="55"/>
  <c r="N50" i="55"/>
  <c r="AA50" i="55"/>
  <c r="AH50" i="55"/>
  <c r="AD50" i="55"/>
  <c r="V50" i="55"/>
  <c r="R50" i="55"/>
  <c r="J50" i="55"/>
  <c r="F50" i="55"/>
  <c r="M50" i="55"/>
  <c r="AC50" i="55"/>
  <c r="Z50" i="55"/>
  <c r="AG50" i="55"/>
  <c r="E9" i="39"/>
  <c r="U60" i="55"/>
  <c r="AI60" i="55"/>
  <c r="O60" i="55"/>
  <c r="K60" i="55"/>
  <c r="AD60" i="55"/>
  <c r="F60" i="55"/>
  <c r="S60" i="55"/>
  <c r="AH60" i="55"/>
  <c r="Z60" i="55"/>
  <c r="V60" i="55"/>
  <c r="D60" i="55"/>
  <c r="N60" i="55"/>
  <c r="J60" i="55"/>
  <c r="AC60" i="55"/>
  <c r="E60" i="55"/>
  <c r="R60" i="55"/>
  <c r="AG60" i="55"/>
  <c r="M60" i="55"/>
  <c r="I60" i="55"/>
  <c r="AB60" i="55"/>
  <c r="Y60" i="55"/>
  <c r="L60" i="55"/>
  <c r="Q60" i="55"/>
  <c r="AF60" i="55"/>
  <c r="H60" i="55"/>
  <c r="G60" i="55"/>
  <c r="T60" i="55"/>
  <c r="X60" i="55"/>
  <c r="P60" i="55"/>
  <c r="AE60" i="55"/>
  <c r="AA60" i="55"/>
  <c r="W60" i="55"/>
  <c r="D37" i="55"/>
  <c r="AF37" i="55"/>
  <c r="H37" i="55"/>
  <c r="W37" i="55"/>
  <c r="S37" i="55"/>
  <c r="O37" i="55"/>
  <c r="AE37" i="55"/>
  <c r="AA37" i="55"/>
  <c r="G37" i="55"/>
  <c r="V37" i="55"/>
  <c r="AI37" i="55"/>
  <c r="T37" i="55"/>
  <c r="K37" i="55"/>
  <c r="M37" i="55"/>
  <c r="AD37" i="55"/>
  <c r="Z37" i="55"/>
  <c r="R37" i="55"/>
  <c r="N37" i="55"/>
  <c r="F37" i="55"/>
  <c r="AB37" i="55"/>
  <c r="U37" i="55"/>
  <c r="AH37" i="55"/>
  <c r="L37" i="55"/>
  <c r="J37" i="55"/>
  <c r="AC37" i="55"/>
  <c r="Y37" i="55"/>
  <c r="E37" i="55"/>
  <c r="Q37" i="55"/>
  <c r="AG37" i="55"/>
  <c r="I37" i="55"/>
  <c r="P37" i="55"/>
  <c r="X37" i="55"/>
  <c r="K45" i="39"/>
  <c r="J45" i="39"/>
  <c r="F45" i="39"/>
  <c r="I45" i="39"/>
  <c r="G45" i="39"/>
  <c r="D45" i="39"/>
  <c r="M45" i="39"/>
  <c r="H45" i="39"/>
  <c r="D7" i="55"/>
  <c r="G7" i="55"/>
  <c r="V7" i="55"/>
  <c r="AI7" i="55"/>
  <c r="N7" i="55"/>
  <c r="K7" i="55"/>
  <c r="AD7" i="55"/>
  <c r="Z7" i="55"/>
  <c r="R7" i="55"/>
  <c r="F7" i="55"/>
  <c r="U7" i="55"/>
  <c r="AH7" i="55"/>
  <c r="J7" i="55"/>
  <c r="AC7" i="55"/>
  <c r="Y7" i="55"/>
  <c r="E7" i="55"/>
  <c r="Q7" i="55"/>
  <c r="AG7" i="55"/>
  <c r="I7" i="55"/>
  <c r="X7" i="55"/>
  <c r="M7" i="55"/>
  <c r="T7" i="55"/>
  <c r="P7" i="55"/>
  <c r="AF7" i="55"/>
  <c r="H7" i="55"/>
  <c r="AB7" i="55"/>
  <c r="W7" i="55"/>
  <c r="L7" i="55"/>
  <c r="AE7" i="55"/>
  <c r="AA7" i="55"/>
  <c r="S7" i="55"/>
  <c r="O7" i="55"/>
  <c r="D61" i="55"/>
  <c r="G61" i="55"/>
  <c r="V61" i="55"/>
  <c r="AI61" i="55"/>
  <c r="K61" i="55"/>
  <c r="AD61" i="55"/>
  <c r="Z61" i="55"/>
  <c r="R61" i="55"/>
  <c r="N61" i="55"/>
  <c r="F61" i="55"/>
  <c r="U61" i="55"/>
  <c r="AH61" i="55"/>
  <c r="J61" i="55"/>
  <c r="AC61" i="55"/>
  <c r="Y61" i="55"/>
  <c r="E61" i="55"/>
  <c r="T61" i="55"/>
  <c r="Q61" i="55"/>
  <c r="M61" i="55"/>
  <c r="AG61" i="55"/>
  <c r="AB61" i="55"/>
  <c r="I61" i="55"/>
  <c r="X61" i="55"/>
  <c r="L61" i="55"/>
  <c r="P61" i="55"/>
  <c r="AF61" i="55"/>
  <c r="H61" i="55"/>
  <c r="W61" i="55"/>
  <c r="AE61" i="55"/>
  <c r="AA61" i="55"/>
  <c r="S61" i="55"/>
  <c r="O61" i="55"/>
  <c r="L7" i="39"/>
  <c r="D7" i="39"/>
  <c r="E7" i="39"/>
  <c r="F7" i="39"/>
  <c r="K7" i="39"/>
  <c r="G7" i="39"/>
  <c r="M7" i="39"/>
  <c r="J7" i="39"/>
  <c r="I7" i="39"/>
  <c r="H7" i="39"/>
  <c r="E12" i="39"/>
  <c r="K12" i="39"/>
  <c r="G12" i="39"/>
  <c r="F12" i="39"/>
  <c r="M12" i="39"/>
  <c r="I12" i="39"/>
  <c r="H12" i="39"/>
  <c r="D12" i="39"/>
  <c r="J12" i="39"/>
  <c r="F51" i="39"/>
  <c r="H51" i="39"/>
  <c r="I51" i="39"/>
  <c r="U6" i="55"/>
  <c r="AI6" i="55"/>
  <c r="O6" i="55"/>
  <c r="K6" i="55"/>
  <c r="AD6" i="55"/>
  <c r="F6" i="55"/>
  <c r="S6" i="55"/>
  <c r="AH6" i="55"/>
  <c r="Z6" i="55"/>
  <c r="V6" i="55"/>
  <c r="N6" i="55"/>
  <c r="J6" i="55"/>
  <c r="AC6" i="55"/>
  <c r="E6" i="55"/>
  <c r="R6" i="55"/>
  <c r="AG6" i="55"/>
  <c r="M6" i="55"/>
  <c r="I6" i="55"/>
  <c r="Y6" i="55"/>
  <c r="G6" i="55"/>
  <c r="Q6" i="55"/>
  <c r="AF6" i="55"/>
  <c r="H6" i="55"/>
  <c r="AB6" i="55"/>
  <c r="X6" i="55"/>
  <c r="D6" i="55"/>
  <c r="P6" i="55"/>
  <c r="L6" i="55"/>
  <c r="AE6" i="55"/>
  <c r="T6" i="55"/>
  <c r="AA6" i="55"/>
  <c r="W6" i="55"/>
  <c r="D38" i="55"/>
  <c r="X38" i="55"/>
  <c r="O38" i="55"/>
  <c r="AI38" i="55"/>
  <c r="AE38" i="55"/>
  <c r="K38" i="55"/>
  <c r="G38" i="55"/>
  <c r="W38" i="55"/>
  <c r="S38" i="55"/>
  <c r="N38" i="55"/>
  <c r="AA38" i="55"/>
  <c r="L38" i="55"/>
  <c r="AC38" i="55"/>
  <c r="AH38" i="55"/>
  <c r="AD38" i="55"/>
  <c r="E38" i="55"/>
  <c r="V38" i="55"/>
  <c r="R38" i="55"/>
  <c r="J38" i="55"/>
  <c r="F38" i="55"/>
  <c r="T38" i="55"/>
  <c r="M38" i="55"/>
  <c r="Z38" i="55"/>
  <c r="AB38" i="55"/>
  <c r="U38" i="55"/>
  <c r="Q38" i="55"/>
  <c r="AG38" i="55"/>
  <c r="I38" i="55"/>
  <c r="Y38" i="55"/>
  <c r="P38" i="55"/>
  <c r="H38" i="55"/>
  <c r="AF38" i="55"/>
  <c r="M62" i="39"/>
  <c r="I62" i="39"/>
  <c r="G62" i="39"/>
  <c r="L62" i="39"/>
  <c r="J62" i="39"/>
  <c r="E62" i="39"/>
  <c r="K62" i="39"/>
  <c r="F62" i="39"/>
  <c r="H62" i="39"/>
  <c r="D62" i="39"/>
  <c r="D53" i="55"/>
  <c r="AB53" i="55"/>
  <c r="Y53" i="55"/>
  <c r="P53" i="55"/>
  <c r="AF53" i="55"/>
  <c r="H53" i="55"/>
  <c r="X53" i="55"/>
  <c r="O53" i="55"/>
  <c r="AI53" i="55"/>
  <c r="AE53" i="55"/>
  <c r="K53" i="55"/>
  <c r="G53" i="55"/>
  <c r="I53" i="55"/>
  <c r="W53" i="55"/>
  <c r="S53" i="55"/>
  <c r="N53" i="55"/>
  <c r="AC53" i="55"/>
  <c r="AA53" i="55"/>
  <c r="AH53" i="55"/>
  <c r="AD53" i="55"/>
  <c r="V53" i="55"/>
  <c r="R53" i="55"/>
  <c r="J53" i="55"/>
  <c r="F53" i="55"/>
  <c r="M53" i="55"/>
  <c r="E53" i="55"/>
  <c r="Z53" i="55"/>
  <c r="L53" i="55"/>
  <c r="U53" i="55"/>
  <c r="Q53" i="55"/>
  <c r="AG53" i="55"/>
  <c r="T53" i="55"/>
  <c r="D18" i="55"/>
  <c r="H18" i="55"/>
  <c r="X18" i="55"/>
  <c r="U18" i="55"/>
  <c r="P18" i="55"/>
  <c r="AE18" i="55"/>
  <c r="G18" i="55"/>
  <c r="AB18" i="55"/>
  <c r="AA18" i="55"/>
  <c r="W18" i="55"/>
  <c r="L18" i="55"/>
  <c r="AI18" i="55"/>
  <c r="O18" i="55"/>
  <c r="K18" i="55"/>
  <c r="AD18" i="55"/>
  <c r="F18" i="55"/>
  <c r="T18" i="55"/>
  <c r="S18" i="55"/>
  <c r="AH18" i="55"/>
  <c r="Z18" i="55"/>
  <c r="V18" i="55"/>
  <c r="N18" i="55"/>
  <c r="J18" i="55"/>
  <c r="AC18" i="55"/>
  <c r="E18" i="55"/>
  <c r="R18" i="55"/>
  <c r="AG18" i="55"/>
  <c r="M18" i="55"/>
  <c r="I18" i="55"/>
  <c r="Y18" i="55"/>
  <c r="Q18" i="55"/>
  <c r="AF18" i="55"/>
  <c r="D13" i="55"/>
  <c r="J13" i="55"/>
  <c r="AC13" i="55"/>
  <c r="Y13" i="55"/>
  <c r="E13" i="55"/>
  <c r="Q13" i="55"/>
  <c r="AG13" i="55"/>
  <c r="I13" i="55"/>
  <c r="X13" i="55"/>
  <c r="M13" i="55"/>
  <c r="U13" i="55"/>
  <c r="P13" i="55"/>
  <c r="AF13" i="55"/>
  <c r="T13" i="55"/>
  <c r="H13" i="55"/>
  <c r="W13" i="55"/>
  <c r="AB13" i="55"/>
  <c r="S13" i="55"/>
  <c r="O13" i="55"/>
  <c r="AE13" i="55"/>
  <c r="AA13" i="55"/>
  <c r="L13" i="55"/>
  <c r="G13" i="55"/>
  <c r="V13" i="55"/>
  <c r="AI13" i="55"/>
  <c r="K13" i="55"/>
  <c r="N13" i="55"/>
  <c r="AD13" i="55"/>
  <c r="Z13" i="55"/>
  <c r="R13" i="55"/>
  <c r="F13" i="55"/>
  <c r="AH13" i="55"/>
  <c r="D8" i="55"/>
  <c r="AA8" i="55"/>
  <c r="AH8" i="55"/>
  <c r="AD8" i="55"/>
  <c r="V8" i="55"/>
  <c r="R8" i="55"/>
  <c r="J8" i="55"/>
  <c r="F8" i="55"/>
  <c r="M8" i="55"/>
  <c r="Z8" i="55"/>
  <c r="U8" i="55"/>
  <c r="Q8" i="55"/>
  <c r="AG8" i="55"/>
  <c r="I8" i="55"/>
  <c r="K8" i="55"/>
  <c r="Y8" i="55"/>
  <c r="AC8" i="55"/>
  <c r="P8" i="55"/>
  <c r="E8" i="55"/>
  <c r="AF8" i="55"/>
  <c r="L8" i="55"/>
  <c r="H8" i="55"/>
  <c r="X8" i="55"/>
  <c r="T8" i="55"/>
  <c r="O8" i="55"/>
  <c r="AI8" i="55"/>
  <c r="AE8" i="55"/>
  <c r="AB8" i="55"/>
  <c r="W8" i="55"/>
  <c r="S8" i="55"/>
  <c r="N8" i="55"/>
  <c r="G8" i="55"/>
  <c r="D39" i="55"/>
  <c r="P39" i="55"/>
  <c r="AE39" i="55"/>
  <c r="G39" i="55"/>
  <c r="AA39" i="55"/>
  <c r="W39" i="55"/>
  <c r="AI39" i="55"/>
  <c r="O39" i="55"/>
  <c r="K39" i="55"/>
  <c r="AD39" i="55"/>
  <c r="F39" i="55"/>
  <c r="U39" i="55"/>
  <c r="S39" i="55"/>
  <c r="AB39" i="55"/>
  <c r="AH39" i="55"/>
  <c r="Z39" i="55"/>
  <c r="V39" i="55"/>
  <c r="N39" i="55"/>
  <c r="J39" i="55"/>
  <c r="AC39" i="55"/>
  <c r="L39" i="55"/>
  <c r="E39" i="55"/>
  <c r="R39" i="55"/>
  <c r="T39" i="55"/>
  <c r="AG39" i="55"/>
  <c r="M39" i="55"/>
  <c r="I39" i="55"/>
  <c r="Y39" i="55"/>
  <c r="X39" i="55"/>
  <c r="Q39" i="55"/>
  <c r="AF39" i="55"/>
  <c r="H39" i="55"/>
  <c r="U27" i="55"/>
  <c r="S27" i="55"/>
  <c r="AH27" i="55"/>
  <c r="Z27" i="55"/>
  <c r="V27" i="55"/>
  <c r="D27" i="55"/>
  <c r="T27" i="55"/>
  <c r="N27" i="55"/>
  <c r="J27" i="55"/>
  <c r="AC27" i="55"/>
  <c r="E27" i="55"/>
  <c r="AD27" i="55"/>
  <c r="R27" i="55"/>
  <c r="AG27" i="55"/>
  <c r="M27" i="55"/>
  <c r="I27" i="55"/>
  <c r="Y27" i="55"/>
  <c r="Q27" i="55"/>
  <c r="AF27" i="55"/>
  <c r="H27" i="55"/>
  <c r="X27" i="55"/>
  <c r="P27" i="55"/>
  <c r="AE27" i="55"/>
  <c r="G27" i="55"/>
  <c r="AA27" i="55"/>
  <c r="W27" i="55"/>
  <c r="AI27" i="55"/>
  <c r="AB27" i="55"/>
  <c r="O27" i="55"/>
  <c r="K27" i="55"/>
  <c r="L27" i="55"/>
  <c r="F27" i="55"/>
  <c r="D44" i="55"/>
  <c r="AA44" i="55"/>
  <c r="AC44" i="55"/>
  <c r="AH44" i="55"/>
  <c r="AD44" i="55"/>
  <c r="E44" i="55"/>
  <c r="K44" i="55"/>
  <c r="V44" i="55"/>
  <c r="R44" i="55"/>
  <c r="L44" i="55"/>
  <c r="J44" i="55"/>
  <c r="F44" i="55"/>
  <c r="M44" i="55"/>
  <c r="Z44" i="55"/>
  <c r="T44" i="55"/>
  <c r="U44" i="55"/>
  <c r="Q44" i="55"/>
  <c r="AG44" i="55"/>
  <c r="AB44" i="55"/>
  <c r="I44" i="55"/>
  <c r="Y44" i="55"/>
  <c r="P44" i="55"/>
  <c r="AF44" i="55"/>
  <c r="H44" i="55"/>
  <c r="X44" i="55"/>
  <c r="O44" i="55"/>
  <c r="AI44" i="55"/>
  <c r="AE44" i="55"/>
  <c r="W44" i="55"/>
  <c r="S44" i="55"/>
  <c r="N44" i="55"/>
  <c r="G44" i="55"/>
  <c r="D52" i="55"/>
  <c r="L52" i="55"/>
  <c r="AG52" i="55"/>
  <c r="I52" i="55"/>
  <c r="X52" i="55"/>
  <c r="P52" i="55"/>
  <c r="AF52" i="55"/>
  <c r="H52" i="55"/>
  <c r="W52" i="55"/>
  <c r="S52" i="55"/>
  <c r="O52" i="55"/>
  <c r="AE52" i="55"/>
  <c r="AA52" i="55"/>
  <c r="G52" i="55"/>
  <c r="V52" i="55"/>
  <c r="AI52" i="55"/>
  <c r="K52" i="55"/>
  <c r="AD52" i="55"/>
  <c r="Z52" i="55"/>
  <c r="R52" i="55"/>
  <c r="N52" i="55"/>
  <c r="F52" i="55"/>
  <c r="U52" i="55"/>
  <c r="M52" i="55"/>
  <c r="AH52" i="55"/>
  <c r="T52" i="55"/>
  <c r="J52" i="55"/>
  <c r="AC52" i="55"/>
  <c r="Y52" i="55"/>
  <c r="E52" i="55"/>
  <c r="AB52" i="55"/>
  <c r="Q52" i="55"/>
  <c r="M22" i="55"/>
  <c r="T22" i="55"/>
  <c r="S22" i="55"/>
  <c r="O22" i="55"/>
  <c r="AE22" i="55"/>
  <c r="AA22" i="55"/>
  <c r="G22" i="55"/>
  <c r="AB22" i="55"/>
  <c r="V22" i="55"/>
  <c r="AI22" i="55"/>
  <c r="L22" i="55"/>
  <c r="K22" i="55"/>
  <c r="AD22" i="55"/>
  <c r="Z22" i="55"/>
  <c r="R22" i="55"/>
  <c r="N22" i="55"/>
  <c r="F22" i="55"/>
  <c r="U22" i="55"/>
  <c r="AH22" i="55"/>
  <c r="J22" i="55"/>
  <c r="AC22" i="55"/>
  <c r="Y22" i="55"/>
  <c r="E22" i="55"/>
  <c r="Q22" i="55"/>
  <c r="AG22" i="55"/>
  <c r="I22" i="55"/>
  <c r="X22" i="55"/>
  <c r="D22" i="55"/>
  <c r="P22" i="55"/>
  <c r="AF22" i="55"/>
  <c r="H22" i="55"/>
  <c r="W22" i="55"/>
  <c r="D5" i="55"/>
  <c r="AA5" i="55"/>
  <c r="J5" i="55"/>
  <c r="F5" i="55"/>
  <c r="V5" i="55"/>
  <c r="R5" i="55"/>
  <c r="AD5" i="55"/>
  <c r="M5" i="55"/>
  <c r="Z5" i="55"/>
  <c r="AH5" i="55"/>
  <c r="U5" i="55"/>
  <c r="Q5" i="55"/>
  <c r="I5" i="55"/>
  <c r="E5" i="55"/>
  <c r="L5" i="55"/>
  <c r="AC5" i="55"/>
  <c r="Y5" i="55"/>
  <c r="T5" i="55"/>
  <c r="P5" i="55"/>
  <c r="AG5" i="55"/>
  <c r="H5" i="55"/>
  <c r="AB5" i="55"/>
  <c r="X5" i="55"/>
  <c r="O5" i="55"/>
  <c r="K5" i="55"/>
  <c r="AF5" i="55"/>
  <c r="G5" i="55"/>
  <c r="W5" i="55"/>
  <c r="S5" i="55"/>
  <c r="AI5" i="55"/>
  <c r="N5" i="55"/>
  <c r="AE5" i="55"/>
  <c r="M28" i="55"/>
  <c r="AD28" i="55"/>
  <c r="Z28" i="55"/>
  <c r="L28" i="55"/>
  <c r="F28" i="55"/>
  <c r="U28" i="55"/>
  <c r="D28" i="55"/>
  <c r="AH28" i="55"/>
  <c r="J28" i="55"/>
  <c r="AC28" i="55"/>
  <c r="Y28" i="55"/>
  <c r="E28" i="55"/>
  <c r="Q28" i="55"/>
  <c r="AG28" i="55"/>
  <c r="I28" i="55"/>
  <c r="X28" i="55"/>
  <c r="P28" i="55"/>
  <c r="AF28" i="55"/>
  <c r="H28" i="55"/>
  <c r="W28" i="55"/>
  <c r="S28" i="55"/>
  <c r="O28" i="55"/>
  <c r="AE28" i="55"/>
  <c r="AA28" i="55"/>
  <c r="T28" i="55"/>
  <c r="G28" i="55"/>
  <c r="V28" i="55"/>
  <c r="AI28" i="55"/>
  <c r="AB28" i="55"/>
  <c r="K28" i="55"/>
  <c r="N28" i="55"/>
  <c r="R28" i="55"/>
  <c r="M46" i="55"/>
  <c r="AD46" i="55"/>
  <c r="Z46" i="55"/>
  <c r="F46" i="55"/>
  <c r="U46" i="55"/>
  <c r="T46" i="55"/>
  <c r="AH46" i="55"/>
  <c r="D46" i="55"/>
  <c r="J46" i="55"/>
  <c r="AB46" i="55"/>
  <c r="AC46" i="55"/>
  <c r="Y46" i="55"/>
  <c r="E46" i="55"/>
  <c r="Q46" i="55"/>
  <c r="L46" i="55"/>
  <c r="AG46" i="55"/>
  <c r="I46" i="55"/>
  <c r="X46" i="55"/>
  <c r="P46" i="55"/>
  <c r="AF46" i="55"/>
  <c r="H46" i="55"/>
  <c r="W46" i="55"/>
  <c r="S46" i="55"/>
  <c r="O46" i="55"/>
  <c r="AE46" i="55"/>
  <c r="AA46" i="55"/>
  <c r="G46" i="55"/>
  <c r="V46" i="55"/>
  <c r="AI46" i="55"/>
  <c r="K46" i="55"/>
  <c r="N46" i="55"/>
  <c r="R46" i="55"/>
  <c r="D9" i="55"/>
  <c r="S9" i="55"/>
  <c r="AH9" i="55"/>
  <c r="Z9" i="55"/>
  <c r="V9" i="55"/>
  <c r="N9" i="55"/>
  <c r="J9" i="55"/>
  <c r="AC9" i="55"/>
  <c r="E9" i="55"/>
  <c r="R9" i="55"/>
  <c r="AG9" i="55"/>
  <c r="M9" i="55"/>
  <c r="I9" i="55"/>
  <c r="Y9" i="55"/>
  <c r="AD9" i="55"/>
  <c r="Q9" i="55"/>
  <c r="AF9" i="55"/>
  <c r="U9" i="55"/>
  <c r="X9" i="55"/>
  <c r="H9" i="55"/>
  <c r="AB9" i="55"/>
  <c r="P9" i="55"/>
  <c r="AE9" i="55"/>
  <c r="L9" i="55"/>
  <c r="G9" i="55"/>
  <c r="AA9" i="55"/>
  <c r="W9" i="55"/>
  <c r="T9" i="55"/>
  <c r="AI9" i="55"/>
  <c r="O9" i="55"/>
  <c r="K9" i="55"/>
  <c r="F9" i="55"/>
  <c r="D30" i="55"/>
  <c r="R30" i="55"/>
  <c r="Z30" i="55"/>
  <c r="AG30" i="55"/>
  <c r="M30" i="55"/>
  <c r="I30" i="55"/>
  <c r="Y30" i="55"/>
  <c r="Q30" i="55"/>
  <c r="AF30" i="55"/>
  <c r="H30" i="55"/>
  <c r="X30" i="55"/>
  <c r="P30" i="55"/>
  <c r="AE30" i="55"/>
  <c r="G30" i="55"/>
  <c r="AA30" i="55"/>
  <c r="W30" i="55"/>
  <c r="AI30" i="55"/>
  <c r="O30" i="55"/>
  <c r="K30" i="55"/>
  <c r="AD30" i="55"/>
  <c r="AB30" i="55"/>
  <c r="F30" i="55"/>
  <c r="U30" i="55"/>
  <c r="S30" i="55"/>
  <c r="L30" i="55"/>
  <c r="AH30" i="55"/>
  <c r="N30" i="55"/>
  <c r="J30" i="55"/>
  <c r="T30" i="55"/>
  <c r="E30" i="55"/>
  <c r="V30" i="55"/>
  <c r="AC30" i="55"/>
  <c r="D15" i="55"/>
  <c r="Q15" i="55"/>
  <c r="AF15" i="55"/>
  <c r="H15" i="55"/>
  <c r="X15" i="55"/>
  <c r="U15" i="55"/>
  <c r="P15" i="55"/>
  <c r="AE15" i="55"/>
  <c r="AB15" i="55"/>
  <c r="G15" i="55"/>
  <c r="L15" i="55"/>
  <c r="AA15" i="55"/>
  <c r="W15" i="55"/>
  <c r="AI15" i="55"/>
  <c r="O15" i="55"/>
  <c r="K15" i="55"/>
  <c r="AD15" i="55"/>
  <c r="T15" i="55"/>
  <c r="F15" i="55"/>
  <c r="S15" i="55"/>
  <c r="AH15" i="55"/>
  <c r="Z15" i="55"/>
  <c r="V15" i="55"/>
  <c r="N15" i="55"/>
  <c r="J15" i="55"/>
  <c r="AC15" i="55"/>
  <c r="E15" i="55"/>
  <c r="R15" i="55"/>
  <c r="M15" i="55"/>
  <c r="I15" i="55"/>
  <c r="Y15" i="55"/>
  <c r="AG15" i="55"/>
  <c r="U54" i="55"/>
  <c r="H54" i="55"/>
  <c r="X54" i="55"/>
  <c r="P54" i="55"/>
  <c r="AE54" i="55"/>
  <c r="G54" i="55"/>
  <c r="AA54" i="55"/>
  <c r="W54" i="55"/>
  <c r="AI54" i="55"/>
  <c r="D54" i="55"/>
  <c r="O54" i="55"/>
  <c r="K54" i="55"/>
  <c r="AD54" i="55"/>
  <c r="F54" i="55"/>
  <c r="S54" i="55"/>
  <c r="V54" i="55"/>
  <c r="AH54" i="55"/>
  <c r="Z54" i="55"/>
  <c r="N54" i="55"/>
  <c r="J54" i="55"/>
  <c r="AC54" i="55"/>
  <c r="E54" i="55"/>
  <c r="R54" i="55"/>
  <c r="AB54" i="55"/>
  <c r="AG54" i="55"/>
  <c r="M54" i="55"/>
  <c r="I54" i="55"/>
  <c r="Y54" i="55"/>
  <c r="L54" i="55"/>
  <c r="T54" i="55"/>
  <c r="Q54" i="55"/>
  <c r="AF54" i="55"/>
  <c r="D20" i="55"/>
  <c r="X20" i="55"/>
  <c r="E20" i="55"/>
  <c r="O20" i="55"/>
  <c r="L20" i="55"/>
  <c r="AI20" i="55"/>
  <c r="AE20" i="55"/>
  <c r="K20" i="55"/>
  <c r="G20" i="55"/>
  <c r="W20" i="55"/>
  <c r="T20" i="55"/>
  <c r="S20" i="55"/>
  <c r="N20" i="55"/>
  <c r="AB20" i="55"/>
  <c r="AA20" i="55"/>
  <c r="AH20" i="55"/>
  <c r="AD20" i="55"/>
  <c r="V20" i="55"/>
  <c r="R20" i="55"/>
  <c r="J20" i="55"/>
  <c r="F20" i="55"/>
  <c r="M20" i="55"/>
  <c r="Z20" i="55"/>
  <c r="AG20" i="55"/>
  <c r="U20" i="55"/>
  <c r="Q20" i="55"/>
  <c r="I20" i="55"/>
  <c r="Y20" i="55"/>
  <c r="P20" i="55"/>
  <c r="AF20" i="55"/>
  <c r="H20" i="55"/>
  <c r="AC20" i="55"/>
  <c r="L20" i="39"/>
  <c r="M31" i="55"/>
  <c r="J31" i="55"/>
  <c r="AC31" i="55"/>
  <c r="Y31" i="55"/>
  <c r="E31" i="55"/>
  <c r="Q31" i="55"/>
  <c r="AG31" i="55"/>
  <c r="U31" i="55"/>
  <c r="I31" i="55"/>
  <c r="X31" i="55"/>
  <c r="P31" i="55"/>
  <c r="AF31" i="55"/>
  <c r="H31" i="55"/>
  <c r="W31" i="55"/>
  <c r="S31" i="55"/>
  <c r="O31" i="55"/>
  <c r="AE31" i="55"/>
  <c r="AA31" i="55"/>
  <c r="G31" i="55"/>
  <c r="V31" i="55"/>
  <c r="T31" i="55"/>
  <c r="AI31" i="55"/>
  <c r="K31" i="55"/>
  <c r="AB31" i="55"/>
  <c r="AD31" i="55"/>
  <c r="Z31" i="55"/>
  <c r="R31" i="55"/>
  <c r="N31" i="55"/>
  <c r="F31" i="55"/>
  <c r="L31" i="55"/>
  <c r="AH31" i="55"/>
  <c r="D31" i="55"/>
  <c r="D16" i="55"/>
  <c r="AG16" i="55"/>
  <c r="I16" i="55"/>
  <c r="X16" i="55"/>
  <c r="P16" i="55"/>
  <c r="M16" i="55"/>
  <c r="AF16" i="55"/>
  <c r="H16" i="55"/>
  <c r="W16" i="55"/>
  <c r="T16" i="55"/>
  <c r="AB16" i="55"/>
  <c r="S16" i="55"/>
  <c r="O16" i="55"/>
  <c r="AE16" i="55"/>
  <c r="AA16" i="55"/>
  <c r="G16" i="55"/>
  <c r="V16" i="55"/>
  <c r="N16" i="55"/>
  <c r="L16" i="55"/>
  <c r="AI16" i="55"/>
  <c r="K16" i="55"/>
  <c r="AD16" i="55"/>
  <c r="Z16" i="55"/>
  <c r="R16" i="55"/>
  <c r="F16" i="55"/>
  <c r="U16" i="55"/>
  <c r="AH16" i="55"/>
  <c r="J16" i="55"/>
  <c r="AC16" i="55"/>
  <c r="Y16" i="55"/>
  <c r="E16" i="55"/>
  <c r="Q16" i="55"/>
  <c r="M43" i="39"/>
  <c r="L43" i="39"/>
  <c r="K43" i="39"/>
  <c r="G43" i="39"/>
  <c r="I43" i="39"/>
  <c r="E43" i="39"/>
  <c r="D43" i="39"/>
  <c r="J43" i="39"/>
  <c r="M55" i="55"/>
  <c r="AF55" i="55"/>
  <c r="H55" i="55"/>
  <c r="W55" i="55"/>
  <c r="D55" i="55"/>
  <c r="O55" i="55"/>
  <c r="S55" i="55"/>
  <c r="AE55" i="55"/>
  <c r="AA55" i="55"/>
  <c r="G55" i="55"/>
  <c r="V55" i="55"/>
  <c r="AI55" i="55"/>
  <c r="K55" i="55"/>
  <c r="AD55" i="55"/>
  <c r="Z55" i="55"/>
  <c r="R55" i="55"/>
  <c r="N55" i="55"/>
  <c r="F55" i="55"/>
  <c r="U55" i="55"/>
  <c r="AH55" i="55"/>
  <c r="J55" i="55"/>
  <c r="T55" i="55"/>
  <c r="AC55" i="55"/>
  <c r="Y55" i="55"/>
  <c r="E55" i="55"/>
  <c r="Q55" i="55"/>
  <c r="AB55" i="55"/>
  <c r="AG55" i="55"/>
  <c r="L55" i="55"/>
  <c r="I55" i="55"/>
  <c r="P55" i="55"/>
  <c r="X55" i="55"/>
  <c r="E17" i="55"/>
  <c r="Y17" i="55"/>
  <c r="P17" i="55"/>
  <c r="AF17" i="55"/>
  <c r="H17" i="55"/>
  <c r="AC17" i="55"/>
  <c r="X17" i="55"/>
  <c r="O17" i="55"/>
  <c r="L17" i="55"/>
  <c r="AI17" i="55"/>
  <c r="AE17" i="55"/>
  <c r="T17" i="55"/>
  <c r="K17" i="55"/>
  <c r="G17" i="55"/>
  <c r="W17" i="55"/>
  <c r="S17" i="55"/>
  <c r="N17" i="55"/>
  <c r="AB17" i="55"/>
  <c r="AD17" i="55"/>
  <c r="AA17" i="55"/>
  <c r="AH17" i="55"/>
  <c r="I17" i="55"/>
  <c r="V17" i="55"/>
  <c r="R17" i="55"/>
  <c r="J17" i="55"/>
  <c r="F17" i="55"/>
  <c r="M17" i="55"/>
  <c r="Z17" i="55"/>
  <c r="D17" i="55"/>
  <c r="U17" i="55"/>
  <c r="Q17" i="55"/>
  <c r="AG17" i="55"/>
  <c r="M22" i="39"/>
  <c r="L22" i="39"/>
  <c r="J22" i="39"/>
  <c r="E22" i="39"/>
  <c r="F22" i="39"/>
  <c r="G22" i="39"/>
  <c r="D22" i="39"/>
  <c r="H22" i="39"/>
  <c r="K22" i="39"/>
  <c r="I22" i="39"/>
  <c r="D21" i="55"/>
  <c r="P21" i="55"/>
  <c r="AE21" i="55"/>
  <c r="G21" i="55"/>
  <c r="AB21" i="55"/>
  <c r="AA21" i="55"/>
  <c r="W21" i="55"/>
  <c r="AI21" i="55"/>
  <c r="O21" i="55"/>
  <c r="L21" i="55"/>
  <c r="K21" i="55"/>
  <c r="AD21" i="55"/>
  <c r="F21" i="55"/>
  <c r="T21" i="55"/>
  <c r="S21" i="55"/>
  <c r="AH21" i="55"/>
  <c r="Z21" i="55"/>
  <c r="V21" i="55"/>
  <c r="N21" i="55"/>
  <c r="J21" i="55"/>
  <c r="AC21" i="55"/>
  <c r="E21" i="55"/>
  <c r="R21" i="55"/>
  <c r="AG21" i="55"/>
  <c r="M21" i="55"/>
  <c r="I21" i="55"/>
  <c r="Y21" i="55"/>
  <c r="Q21" i="55"/>
  <c r="AF21" i="55"/>
  <c r="H21" i="55"/>
  <c r="X21" i="55"/>
  <c r="U21" i="55"/>
  <c r="D32" i="55"/>
  <c r="U32" i="55"/>
  <c r="Q32" i="55"/>
  <c r="I32" i="55"/>
  <c r="Y32" i="55"/>
  <c r="P32" i="55"/>
  <c r="E32" i="55"/>
  <c r="AF32" i="55"/>
  <c r="H32" i="55"/>
  <c r="X32" i="55"/>
  <c r="O32" i="55"/>
  <c r="AI32" i="55"/>
  <c r="AE32" i="55"/>
  <c r="G32" i="55"/>
  <c r="K32" i="55"/>
  <c r="W32" i="55"/>
  <c r="S32" i="55"/>
  <c r="AC32" i="55"/>
  <c r="N32" i="55"/>
  <c r="L32" i="55"/>
  <c r="AA32" i="55"/>
  <c r="T32" i="55"/>
  <c r="AH32" i="55"/>
  <c r="AD32" i="55"/>
  <c r="V32" i="55"/>
  <c r="R32" i="55"/>
  <c r="J32" i="55"/>
  <c r="F32" i="55"/>
  <c r="M32" i="55"/>
  <c r="AB32" i="55"/>
  <c r="Z32" i="55"/>
  <c r="AG32" i="55"/>
  <c r="M19" i="55"/>
  <c r="AF19" i="55"/>
  <c r="H19" i="55"/>
  <c r="W19" i="55"/>
  <c r="T19" i="55"/>
  <c r="O19" i="55"/>
  <c r="S19" i="55"/>
  <c r="AE19" i="55"/>
  <c r="AB19" i="55"/>
  <c r="AA19" i="55"/>
  <c r="G19" i="55"/>
  <c r="V19" i="55"/>
  <c r="L19" i="55"/>
  <c r="AI19" i="55"/>
  <c r="K19" i="55"/>
  <c r="N19" i="55"/>
  <c r="AD19" i="55"/>
  <c r="Z19" i="55"/>
  <c r="R19" i="55"/>
  <c r="F19" i="55"/>
  <c r="U19" i="55"/>
  <c r="AH19" i="55"/>
  <c r="J19" i="55"/>
  <c r="AC19" i="55"/>
  <c r="Y19" i="55"/>
  <c r="E19" i="55"/>
  <c r="Q19" i="55"/>
  <c r="AG19" i="55"/>
  <c r="I19" i="55"/>
  <c r="D19" i="55"/>
  <c r="P19" i="55"/>
  <c r="X19" i="55"/>
  <c r="L11" i="39"/>
  <c r="J11" i="39"/>
  <c r="M11" i="39"/>
  <c r="I11" i="39"/>
  <c r="G11" i="39"/>
  <c r="H11" i="39"/>
  <c r="F11" i="39"/>
  <c r="D11" i="39"/>
  <c r="E11" i="55"/>
  <c r="M11" i="55"/>
  <c r="AC11" i="55"/>
  <c r="Z11" i="55"/>
  <c r="U11" i="55"/>
  <c r="Q11" i="55"/>
  <c r="AG11" i="55"/>
  <c r="I11" i="55"/>
  <c r="Y11" i="55"/>
  <c r="P11" i="55"/>
  <c r="AF11" i="55"/>
  <c r="H11" i="55"/>
  <c r="L11" i="55"/>
  <c r="X11" i="55"/>
  <c r="O11" i="55"/>
  <c r="T11" i="55"/>
  <c r="AE11" i="55"/>
  <c r="AI11" i="55"/>
  <c r="K11" i="55"/>
  <c r="G11" i="55"/>
  <c r="AB11" i="55"/>
  <c r="W11" i="55"/>
  <c r="S11" i="55"/>
  <c r="N11" i="55"/>
  <c r="D11" i="55"/>
  <c r="AA11" i="55"/>
  <c r="V11" i="55"/>
  <c r="R11" i="55"/>
  <c r="J11" i="55"/>
  <c r="F11" i="55"/>
  <c r="AD11" i="55"/>
  <c r="AH11" i="55"/>
  <c r="D56" i="55"/>
  <c r="X56" i="55"/>
  <c r="O56" i="55"/>
  <c r="AI56" i="55"/>
  <c r="AE56" i="55"/>
  <c r="K56" i="55"/>
  <c r="G56" i="55"/>
  <c r="W56" i="55"/>
  <c r="S56" i="55"/>
  <c r="N56" i="55"/>
  <c r="AA56" i="55"/>
  <c r="AH56" i="55"/>
  <c r="AD56" i="55"/>
  <c r="V56" i="55"/>
  <c r="R56" i="55"/>
  <c r="J56" i="55"/>
  <c r="F56" i="55"/>
  <c r="M56" i="55"/>
  <c r="AC56" i="55"/>
  <c r="Z56" i="55"/>
  <c r="L56" i="55"/>
  <c r="E56" i="55"/>
  <c r="U56" i="55"/>
  <c r="Q56" i="55"/>
  <c r="AG56" i="55"/>
  <c r="I56" i="55"/>
  <c r="T56" i="55"/>
  <c r="Y56" i="55"/>
  <c r="AB56" i="55"/>
  <c r="P56" i="55"/>
  <c r="H56" i="55"/>
  <c r="AF56" i="55"/>
  <c r="E23" i="55"/>
  <c r="L23" i="55"/>
  <c r="K23" i="55"/>
  <c r="G23" i="55"/>
  <c r="W23" i="55"/>
  <c r="S23" i="55"/>
  <c r="D23" i="55"/>
  <c r="T23" i="55"/>
  <c r="N23" i="55"/>
  <c r="AA23" i="55"/>
  <c r="AD23" i="55"/>
  <c r="AB23" i="55"/>
  <c r="AH23" i="55"/>
  <c r="V23" i="55"/>
  <c r="R23" i="55"/>
  <c r="J23" i="55"/>
  <c r="F23" i="55"/>
  <c r="M23" i="55"/>
  <c r="Z23" i="55"/>
  <c r="U23" i="55"/>
  <c r="Q23" i="55"/>
  <c r="AG23" i="55"/>
  <c r="I23" i="55"/>
  <c r="Y23" i="55"/>
  <c r="P23" i="55"/>
  <c r="AF23" i="55"/>
  <c r="H23" i="55"/>
  <c r="X23" i="55"/>
  <c r="AI23" i="55"/>
  <c r="AC23" i="55"/>
  <c r="O23" i="55"/>
  <c r="AE23" i="55"/>
  <c r="M23" i="39"/>
  <c r="H23" i="39"/>
  <c r="G23" i="39"/>
  <c r="D23" i="39"/>
  <c r="I23" i="39"/>
  <c r="F23" i="39"/>
  <c r="D51" i="55"/>
  <c r="T51" i="55"/>
  <c r="Q51" i="55"/>
  <c r="AF51" i="55"/>
  <c r="H51" i="55"/>
  <c r="X51" i="55"/>
  <c r="P51" i="55"/>
  <c r="AE51" i="55"/>
  <c r="G51" i="55"/>
  <c r="AA51" i="55"/>
  <c r="W51" i="55"/>
  <c r="AI51" i="55"/>
  <c r="O51" i="55"/>
  <c r="K51" i="55"/>
  <c r="AD51" i="55"/>
  <c r="F51" i="55"/>
  <c r="S51" i="55"/>
  <c r="AH51" i="55"/>
  <c r="Z51" i="55"/>
  <c r="V51" i="55"/>
  <c r="N51" i="55"/>
  <c r="J51" i="55"/>
  <c r="AC51" i="55"/>
  <c r="E51" i="55"/>
  <c r="U51" i="55"/>
  <c r="AB51" i="55"/>
  <c r="R51" i="55"/>
  <c r="AG51" i="55"/>
  <c r="M51" i="55"/>
  <c r="L51" i="55"/>
  <c r="I51" i="55"/>
  <c r="Y51" i="55"/>
  <c r="D47" i="55"/>
  <c r="M47" i="55"/>
  <c r="L47" i="55"/>
  <c r="Z47" i="55"/>
  <c r="T47" i="55"/>
  <c r="U47" i="55"/>
  <c r="Q47" i="55"/>
  <c r="AG47" i="55"/>
  <c r="I47" i="55"/>
  <c r="AB47" i="55"/>
  <c r="Y47" i="55"/>
  <c r="P47" i="55"/>
  <c r="AF47" i="55"/>
  <c r="H47" i="55"/>
  <c r="X47" i="55"/>
  <c r="O47" i="55"/>
  <c r="AE47" i="55"/>
  <c r="AI47" i="55"/>
  <c r="K47" i="55"/>
  <c r="G47" i="55"/>
  <c r="W47" i="55"/>
  <c r="S47" i="55"/>
  <c r="N47" i="55"/>
  <c r="AA47" i="55"/>
  <c r="V47" i="55"/>
  <c r="R47" i="55"/>
  <c r="J47" i="55"/>
  <c r="E47" i="55"/>
  <c r="AD47" i="55"/>
  <c r="AH47" i="55"/>
  <c r="AC47" i="55"/>
  <c r="F47" i="55"/>
  <c r="L9" i="39"/>
  <c r="F9" i="39"/>
  <c r="D9" i="39"/>
  <c r="J9" i="39"/>
  <c r="C1" i="11"/>
  <c r="C491" i="11"/>
  <c r="C457" i="11"/>
  <c r="C460" i="11"/>
  <c r="C469" i="11"/>
  <c r="C488" i="11"/>
  <c r="C487" i="11"/>
  <c r="C451" i="11"/>
  <c r="C482" i="11"/>
  <c r="C505" i="11"/>
  <c r="C504" i="11"/>
  <c r="C495" i="11"/>
  <c r="C480" i="11"/>
  <c r="C503" i="11"/>
  <c r="C478" i="11"/>
  <c r="C501" i="11"/>
  <c r="C476" i="11"/>
  <c r="C471" i="11"/>
  <c r="C494" i="11"/>
  <c r="C449" i="11"/>
  <c r="C492" i="11"/>
  <c r="C467" i="11"/>
  <c r="C490" i="11"/>
  <c r="C466" i="11"/>
  <c r="C456" i="11"/>
  <c r="C489" i="11"/>
  <c r="C479" i="11"/>
  <c r="C465" i="11"/>
  <c r="C502" i="11"/>
  <c r="C2" i="11"/>
  <c r="C464" i="11"/>
  <c r="C477" i="11"/>
  <c r="C455" i="11"/>
  <c r="C500" i="11"/>
  <c r="C463" i="11"/>
  <c r="C499" i="11"/>
  <c r="C454" i="11"/>
  <c r="C475" i="11"/>
  <c r="C486" i="11"/>
  <c r="C497" i="11"/>
  <c r="C453" i="11"/>
  <c r="C473" i="11"/>
  <c r="C461" i="11"/>
  <c r="C496" i="11"/>
  <c r="C452" i="11"/>
  <c r="C472" i="11"/>
  <c r="C484" i="11"/>
  <c r="C468" i="11"/>
  <c r="C483" i="11"/>
  <c r="C470" i="11"/>
  <c r="C459" i="11"/>
  <c r="C450" i="11"/>
  <c r="C493" i="11"/>
  <c r="C458" i="11"/>
  <c r="C481" i="11"/>
  <c r="C462" i="11"/>
  <c r="C498" i="11"/>
  <c r="C485" i="11"/>
  <c r="C474"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0A421E-257A-4174-853C-9F44ED94D37B}" keepAlive="1" name="クエリ - テーブル14" description="ブック内の 'テーブル14' クエリへの接続です。" type="5" refreshedVersion="0" background="1" saveData="1">
    <dbPr connection="Provider=Microsoft.Mashup.OleDb.1;Data Source=$Workbook$;Location=テーブル14;Extended Properties=&quot;&quot;" command="SELECT * FROM [テーブル14]"/>
  </connection>
</connections>
</file>

<file path=xl/sharedStrings.xml><?xml version="1.0" encoding="utf-8"?>
<sst xmlns="http://schemas.openxmlformats.org/spreadsheetml/2006/main" count="16042" uniqueCount="2484">
  <si>
    <t>ノンバイナリー</t>
  </si>
  <si>
    <t>クィア／Queer</t>
  </si>
  <si>
    <t>Xジェンダー</t>
  </si>
  <si>
    <t>クエスチョニング</t>
  </si>
  <si>
    <t>無性</t>
  </si>
  <si>
    <t>（ジェンダー・）フルイド／（ジェンダー・）フリュイド／（ジェンダー・）フルイッド</t>
  </si>
  <si>
    <t>ジェンダークィア</t>
  </si>
  <si>
    <t>不明／わからない</t>
  </si>
  <si>
    <t>Aジェンダー／エイジェンダー／アジェンダー／agender</t>
  </si>
  <si>
    <t>X</t>
  </si>
  <si>
    <t>トランスジェンダー</t>
  </si>
  <si>
    <t>中性</t>
  </si>
  <si>
    <t>女性／woman</t>
  </si>
  <si>
    <t>ノンバイナリー女性</t>
  </si>
  <si>
    <t>不定性</t>
  </si>
  <si>
    <t>無し</t>
  </si>
  <si>
    <t>トランス</t>
  </si>
  <si>
    <t>トランス*／trans*</t>
  </si>
  <si>
    <t>ジェンダー・ノンコンフォーミング／gender non-conforming</t>
  </si>
  <si>
    <t>ジェンダーレス</t>
  </si>
  <si>
    <t>両性</t>
  </si>
  <si>
    <t>男性／man</t>
  </si>
  <si>
    <t>ノンバイナリー男性</t>
  </si>
  <si>
    <t>ニュートラル</t>
  </si>
  <si>
    <t>enby／エンビー</t>
  </si>
  <si>
    <t>レズビアン（ジェンダーについて）</t>
  </si>
  <si>
    <t>シスジェンダー</t>
  </si>
  <si>
    <t>デミガール</t>
  </si>
  <si>
    <t>トランス男性</t>
  </si>
  <si>
    <t>トランスマスキュリン</t>
  </si>
  <si>
    <t>ゲイ（ジェンダーについて）</t>
  </si>
  <si>
    <t>デミジェンダー</t>
  </si>
  <si>
    <t>バイジェンダー</t>
  </si>
  <si>
    <t>ジェンダーフラックス／フラックスジェンダー</t>
  </si>
  <si>
    <t>トランスセクシュアル／transsexual</t>
  </si>
  <si>
    <t>トランス女性</t>
  </si>
  <si>
    <t>デミボーイ</t>
  </si>
  <si>
    <t>デミAジェンダー</t>
  </si>
  <si>
    <t>青年</t>
  </si>
  <si>
    <t>トランスフェミニン</t>
  </si>
  <si>
    <t>ポリジェンダー</t>
  </si>
  <si>
    <t>フェム</t>
  </si>
  <si>
    <t>女の子／girl</t>
  </si>
  <si>
    <t>ニューロジェンダー／neurogender</t>
  </si>
  <si>
    <t>ジェンダーヴォイド／gendervoid</t>
  </si>
  <si>
    <t>少年</t>
  </si>
  <si>
    <t>バイナリー</t>
  </si>
  <si>
    <t>ゼノジェンダー／xenogender</t>
  </si>
  <si>
    <t>ボイ</t>
  </si>
  <si>
    <t>男の子／boy</t>
  </si>
  <si>
    <t>少女</t>
  </si>
  <si>
    <t>アンドロジャイン／androgyne</t>
  </si>
  <si>
    <t>ブッチ／butch</t>
  </si>
  <si>
    <t>ダイク／dyke</t>
  </si>
  <si>
    <t>おかま</t>
  </si>
  <si>
    <t>ニューハーフ</t>
  </si>
  <si>
    <t>おなべ</t>
  </si>
  <si>
    <t>ワイ</t>
  </si>
  <si>
    <t>我</t>
  </si>
  <si>
    <t>あーし</t>
  </si>
  <si>
    <t>わい</t>
  </si>
  <si>
    <t>おいら</t>
  </si>
  <si>
    <t>（学生時代の部活のあだ名）ろん、九条、ヒロ</t>
  </si>
  <si>
    <t>あたい</t>
  </si>
  <si>
    <t>(自分のあだな)ちゃん</t>
  </si>
  <si>
    <t>当方</t>
  </si>
  <si>
    <t>「ハンドルネーム」＋「くん」</t>
  </si>
  <si>
    <t>「自分」。でも、ぎこちないから暫定的に使っている。</t>
  </si>
  <si>
    <t>○○ちゃん(名前)、△△ちゃん(苗字の一部)</t>
  </si>
  <si>
    <t>〇〇ちゃん（下の名前が三音あって、その頭から二音＋ちゃん）</t>
  </si>
  <si>
    <t>あたい、我、拙者</t>
  </si>
  <si>
    <t>アタクシ　あたし</t>
  </si>
  <si>
    <t>あだな。●●ちゃん。</t>
  </si>
  <si>
    <t>あだ名</t>
  </si>
  <si>
    <t>あだ名みたいなの</t>
  </si>
  <si>
    <t>ゥチ</t>
  </si>
  <si>
    <t>うら（山梨県の一人称／男女の区別無し）</t>
  </si>
  <si>
    <t>おいら、わっち</t>
  </si>
  <si>
    <t>おじさん</t>
  </si>
  <si>
    <t>オレ</t>
  </si>
  <si>
    <t>おれ（方言の文脈で）</t>
  </si>
  <si>
    <t>おれちゃん</t>
  </si>
  <si>
    <t>こっち</t>
  </si>
  <si>
    <t>この人</t>
  </si>
  <si>
    <t>とても気を許した人に対してだけは、気分によってぼく、わい、あーし(わたしの発音の揺れの一形態)も使うが、普段は使わない</t>
  </si>
  <si>
    <t>ボク，わし</t>
  </si>
  <si>
    <t>みー</t>
  </si>
  <si>
    <t>わい、ミー(me)</t>
  </si>
  <si>
    <t>ワイ(Twitterなどで使う表現)</t>
  </si>
  <si>
    <t>われ</t>
  </si>
  <si>
    <t>われ、おのれ</t>
  </si>
  <si>
    <t>余、我、ワイ</t>
  </si>
  <si>
    <t>俺ちゃん、ぼくちゃん、わたくしさま</t>
  </si>
  <si>
    <t>個人特定を避けたいので記入できない</t>
  </si>
  <si>
    <t>儂</t>
  </si>
  <si>
    <t>名前さん</t>
  </si>
  <si>
    <t>己（文章の場合のみ）</t>
  </si>
  <si>
    <t>愛称</t>
  </si>
  <si>
    <t>我(われ)</t>
  </si>
  <si>
    <t>朕</t>
  </si>
  <si>
    <t>特に口語において、日本語で納得のいく代名詞はない。子供の時から困っている。</t>
  </si>
  <si>
    <t>目上の相手や初対面などで丁寧に話す時のみ私と使います。</t>
  </si>
  <si>
    <t>自分、わっち</t>
  </si>
  <si>
    <t>自分の苗字</t>
  </si>
  <si>
    <t>言葉が存在しない</t>
  </si>
  <si>
    <t>（自分（たち）の名前）</t>
  </si>
  <si>
    <t>（三人称で言及してほしくない）</t>
  </si>
  <si>
    <t>（any／問わない／どれでもよい）</t>
  </si>
  <si>
    <t>彼</t>
  </si>
  <si>
    <t>彼女</t>
  </si>
  <si>
    <t>彼人（かのひと）</t>
  </si>
  <si>
    <t>かれ</t>
  </si>
  <si>
    <t>彼人（かのと）</t>
  </si>
  <si>
    <t>渠（かれ）</t>
  </si>
  <si>
    <t>彼男（かのだん）</t>
  </si>
  <si>
    <t>あの人</t>
  </si>
  <si>
    <t>そのひと</t>
  </si>
  <si>
    <t>**英語を日常的に使わない**</t>
  </si>
  <si>
    <t>they/them/their/themself</t>
  </si>
  <si>
    <t>they/them/their/themselves</t>
  </si>
  <si>
    <t>she</t>
  </si>
  <si>
    <t>（クエスチョニング、模索中、または不明）</t>
  </si>
  <si>
    <t>any/問わない/どれでもよい</t>
  </si>
  <si>
    <t>he</t>
  </si>
  <si>
    <t>（時とともに変わる）</t>
  </si>
  <si>
    <t>ze</t>
  </si>
  <si>
    <t>xe</t>
  </si>
  <si>
    <t>ey/em (Elverson)</t>
  </si>
  <si>
    <t>fae</t>
  </si>
  <si>
    <t>ne</t>
  </si>
  <si>
    <t>ve</t>
  </si>
  <si>
    <t>ae/aer</t>
  </si>
  <si>
    <t>e/em (Spivak)</t>
  </si>
  <si>
    <t>AVG</t>
  </si>
  <si>
    <t>【回答数】</t>
  </si>
  <si>
    <t>median</t>
  </si>
  <si>
    <t>%</t>
  </si>
  <si>
    <t>TOTAL</t>
  </si>
  <si>
    <t>自由記入欄</t>
  </si>
  <si>
    <t>さん</t>
  </si>
  <si>
    <t>（敬称なし）</t>
  </si>
  <si>
    <t>ちゃん</t>
  </si>
  <si>
    <t>くん／君</t>
  </si>
  <si>
    <t>たん</t>
  </si>
  <si>
    <t>氏</t>
  </si>
  <si>
    <t>同志</t>
  </si>
  <si>
    <t>チャマ</t>
  </si>
  <si>
    <t>先生</t>
  </si>
  <si>
    <t>様</t>
  </si>
  <si>
    <t>殿</t>
  </si>
  <si>
    <t>相手や関係性によって変わります</t>
  </si>
  <si>
    <t>適切な日本語がない</t>
  </si>
  <si>
    <t>陛下</t>
  </si>
  <si>
    <t>-san</t>
  </si>
  <si>
    <t>Mx.</t>
  </si>
  <si>
    <t>Ms.</t>
  </si>
  <si>
    <t>Mr.</t>
  </si>
  <si>
    <t>Mrs.</t>
  </si>
  <si>
    <t>Pr.</t>
  </si>
  <si>
    <t>Myst. (Mystery)</t>
  </si>
  <si>
    <t>It</t>
  </si>
  <si>
    <t>Comrade</t>
  </si>
  <si>
    <t>Msr.</t>
  </si>
  <si>
    <t>Mre.</t>
  </si>
  <si>
    <t>Misc.</t>
  </si>
  <si>
    <t>Ind</t>
  </si>
  <si>
    <t>Dr.など、職業にかかわるもの</t>
  </si>
  <si>
    <t>私（わたし／わたくし）</t>
  </si>
  <si>
    <t>自分</t>
  </si>
  <si>
    <t>わたし</t>
  </si>
  <si>
    <t>俺</t>
  </si>
  <si>
    <t>僕</t>
  </si>
  <si>
    <t>ぼく</t>
  </si>
  <si>
    <t>おれ</t>
  </si>
  <si>
    <t>うち</t>
  </si>
  <si>
    <t>（一人称の使用を避ける）</t>
  </si>
  <si>
    <t>わし</t>
  </si>
  <si>
    <t>あたし</t>
  </si>
  <si>
    <t>わたくし</t>
  </si>
  <si>
    <t>おら</t>
  </si>
  <si>
    <t>社会の中でいないことにされる</t>
  </si>
  <si>
    <t>ミスジェンダリング（誤った性別として扱うこと）</t>
  </si>
  <si>
    <t>職場や学校における無理解</t>
  </si>
  <si>
    <t>カムアウトできない</t>
  </si>
  <si>
    <t>家族／かぞくからの無理解</t>
  </si>
  <si>
    <t>トイレなどのジェンダー化されたスペースの使用</t>
  </si>
  <si>
    <t>必要なジェンダーケアへアクセスできない</t>
  </si>
  <si>
    <t>医療における無理解</t>
  </si>
  <si>
    <t>アウティング（勝手にジェンダーや指向についての情報を明かされること）</t>
  </si>
  <si>
    <t>LGBTQ+運動からの排斥</t>
  </si>
  <si>
    <t>性暴力</t>
  </si>
  <si>
    <t>デッドネーミング（誤った名前で呼ばれること）</t>
  </si>
  <si>
    <t>カムアウトを強制される</t>
  </si>
  <si>
    <t>・ノンバイナリーであると親に何度も親に伝えても、親は外で私を指すとき「娘」と呼び指す
・[REDACTED]の運営で何度も自分はトランスのノンバイナリーであると伝えても、「女性のための」「シスターフッド」「女性差別への抵抗」と運動の中でノンバイナリーだけでなくあらゆるクィアを透明化される
・自身の障害についての相談窓口に相談してもバイナリー規範での話となり何も救いにならない</t>
  </si>
  <si>
    <t>・享受できるコンテンツの少なさ（当然のように「"男女"しかいない！」という前提で描かれたコンテンツが多すぎる！あまりに！）</t>
  </si>
  <si>
    <t>・大学の授業で、教員から｢私が学生に｢さん｣を付けるのは問題にされたくないからだから｣｢男がスカート履いてたら変でしょ？｣｢男性とか女性とかもしかしたら｢中性｣もいるかもしれないけど｣と笑い話にされたり、嘲笑されたりした。カミングアウト出来そうにない。
・就活で自分の望まないスーツや振る舞いをしなければならないのか、不安。(親からは｢我慢しなさい｣と言われた)
また、大学のマナーセミナーでは外見から女性として扱われ、女性に求められるマナーとしてお辞儀の仕方や立ち方を女性全員が立たされる形で断れない(カミングアウトできない)空気の中、女性らしい仕草を求められた。
また、大学のメイクセミナーでは、女性向け男性向けの区別がされており、どちらも選べなかった。大学に申請して匿名で戸籍とは違う性別のセミナーを受けたが、身体的な男性にむけた講座しかなく、受講しづらかった。</t>
  </si>
  <si>
    <t>・性別を感じさせないデザインの服や靴が少ない、生理用品のデザインがフェミニンなものしかない等、製品デザインに強い偏りがある。
・日本の情報が非常に少なく、自分が参考にできるロールモデルが殆どないため、壁や疑問にぶつかる度に社会的リスクを負って試行錯誤しなければならない。
・反対の性へ移行する性同一性障害と異なり、ジェンダークリニックに行っても具体的にできることがない。何をどうすれば社会的に不愉快な体験を無くせるのかが分からない。</t>
  </si>
  <si>
    <t>・性暴力の相談のために相手や自分のセクシュアリティを言わねばならず、しかも相談相手に伝わらない
・妊娠の予定がないのにミスジェンダリングにより妊娠中に投与してはならないとされる薬を勝手に避けられる(それで治るかもしれない疾患でも)
・カミングアウトして就職活動をしたら好感を持たれているのに経営判断で落とされる
・自分としては異性と交際しているつもりなのに同性愛者だと思われる
・見た目が男女どちらともつかないので周りの人が知人にアウティングを求めてしまう
・自分の声が思った性別のものにならないとき、電話など声だけを使った通信手段が使えない
・性別違和の診断書が欲しいときにトランスジェンダーを自認していても｢あなたは違う｣と医師に拒否されたことがあった</t>
  </si>
  <si>
    <t>・見た目に割り当てられる性別で判断されて、その「異性」と見なされる人から性暴力を受けること。
・SNS上でカミングアウトしていることを、SNSをしていない（と思っていた）家族に見られている恐怖に晒されていること（だと言うと、「それを書かなければ良い」と思われるのではないか、すなわちこの社会から私たちの存在が消されてしまうのではないか、という強い恐怖がある）。
・精神科で心理検査を受けた際、質問紙で「異性関係に悩んでいる」等の記述を多く目にする。うざったくて回答しなかったり適当に回答したり、（好意的に解釈して）セクシュアリティに関する悩みがあるか、ということを回答したら、「検査結果」として「異性関係に問題あり」という所見を書かれる。かつ、「同様の回答について回答のバラツキがあること」を理由に、検査結果の妥当性に疑義を付けられる結果となる（診断はされ、治療は受けているが）。
・「かわいい」ものを欲したり髪を伸ばしたりしようとすると「いい歳したオジサンが何言ってるの」とからかわれる。</t>
  </si>
  <si>
    <t>「できれば「彼女」という三人称は使わないで欲しい」等、カミングアウトには至らない程度の訂正を周囲にする時、伝え方に困る</t>
  </si>
  <si>
    <t>1.下の名前が女性を想起させる名前である（○○子）ため、ごく親しい間柄でない人や女性として接していない人からは名字で呼ばれたいのに、下の名前で呼んでくる人がいる。初対面では名字しか名乗らないのに下の名前をわざわざたずねたり確認したりしてくる人がいる。
2.異性愛規範に基づいた話題を振られる。私はパンセクシャルであるために苦痛。異性も同性も好きという感覚ではないが、説明してもそれが伝わらない。私にとってすべての人（少なくともこれまで出会った人すべて）は異性（同時に同性）でしかない。
3.女性差別反対に言及すると、女性にミスジェンダリングされる。
4.ユニセックスまたはアンドロジナス、ジェンダーレスな格好をすると、ジロジロ見られたり、駅構内等で女性からぶつかられたり靴を踏まれたりすることが増える。フェミニンな格好の時は男性からよくぶつかられる。
5.カミングアウトした時に「どこが男なのか証明しろ」という圧力がかかる。ペニスがない事や筋力がない事、身長の低さ、声の高さ、しゃべり方、フェミニンな服装等に言及される。
6.夫と法律婚しているため、夫の配偶者＝女性という固定概念の元、ミスジェンダリングされる。
7.幼少期に周囲の大人から、いわゆる男の子らしい興味関心は積極的に肯定されなかった。（ミニカー遊びよりおままごとや人形遊びに誘導されることが多かった）
8.親から大学受験時、「女の子だから資格が取れるところへ進学した方がいい」と理系への進学に消極的に反対された。
9.両親には両親が理解できる範囲でと配慮してカミングアウトしたが、法律婚を期に「治った」と認識されている。
10.いわゆる女性らしい体型（下半身がボリューミー）であることもあり、違和感のないマスキュリンな格好が難しい。
11.持病があり、日常的に″婦人科″に通院しなければならない。
12.″婦人科系″の持病について言及すると、ミスジェンダリングされる。
13.日々の些細な違和（女性社会寄りのコミュニケーションに馴染みきれなかったり、男性社会寄りのコミュニケーションをとったり）から、女性中心のコミュニティ（職場やサークル等）でいじめ・嫌がらせを受けるなどして排除された。
14.男性中心コミュニティでは女王的な扱いを受けるか、お客様扱いされるか、ボスの女扱いされるか、ネタ扱いされるか、いない扱いされるかのどれかしかない。
15.制服がスカートしかなかった。
16.ミスジェンダリングされないために、ジェンダーやノンバイナリーとは何かから説明しなければならない場面がある。
17.職業上の場面等で何か能力的に優れている事を示すと、不快感を露わにされたり、「女性なのにすごいね」と過剰に持ち上げられたりする。
18.汚れる仕事や力仕事を率先してこなそうとすると、遠慮されたり戸惑われたりする。
19.「長」の立場は与えられず、良くて「サブ」や「副」の立場を与えられる。
20.フォーマルな場ではフェミニンな格好以外できない。</t>
  </si>
  <si>
    <t>AFABで男性寄りの性自認だけどピンクが好きだったり女性の服を着たりメイクをしたりなど一般的な男のジェンダー規範に沿っていないのでトランスの中でも「本物じゃない」と差別される事がある</t>
  </si>
  <si>
    <t>LGBTQ+運動から排斥されてるって、私達が思っちゃうこと。セルフネグレクトみたいだ！</t>
  </si>
  <si>
    <t>LGBTからの除外</t>
  </si>
  <si>
    <t>LGBTと最近良く聞きますが、ゲイとトランスジェンダー（身体男性）しか対象にしていない。バイ（レズビアン寄りかもしれない）またはアセクシャル、身体女性である自分からしたら、寧ろその活動は警戒対象。そのくせ「LGBT」と、都合のいい盾にするときだけ担ぎ出されることに不信感</t>
  </si>
  <si>
    <t>SNSでのヘイターからの集中砲火。トイレ問題の犯罪者化。女性は守るけどトランスジェンダーは守らない言説。
信頼している人物からの自身のジェンダーに対するトランス差別を受けると、不意打ちの奇襲すぎて心身の調子を崩してしまった。
AGABに従ってトイレを使用しているのに、そのときの服装がAGABの性別の正解出なかったというだけで、清掃員に拒絶反応をされた。</t>
  </si>
  <si>
    <t>SNSで誹謗中傷されたことがある。一部フェミニストから排除されがち</t>
  </si>
  <si>
    <t>Twitterなどのweb上で（女性の安全についてなどの）特定の話題に混ざって出現する、あるいは一般的な語（「ノンバイナリー」など）で検索した際に容易に出現する、差別的な言説や誤解・偏見を拡散するような情報。自分自身の精神的負担になるのと、もともと差別的ではない人（特にシスジェンダー女性）がそれらの情報を信じてトランス・ノンバイナリーに排除的になっていくのではという大きな恐怖を日々感じています。チェックした「LGBTQ+運動からの排斥」とも関連した不安です。</t>
  </si>
  <si>
    <t>Xジェンダーやノンバイナリー，中性，両性は、どちらからも理解されにくい。
男or女の二元的に生きてる人達からも理解されにくいし、性同一性障害等の方々からも理解されにくい。
どっち付かずな中途半端な人だとか、優柔不断だとか、なんとなくファッションでそんなこと言ってるだけだとか、色々と揶揄される事が多い。</t>
  </si>
  <si>
    <t>アウティングをされたことがある</t>
  </si>
  <si>
    <t>アジア系の見た目と複合した差別</t>
  </si>
  <si>
    <t>アポジェンダーという名称が日本において有名ではないため、アポジェンダーの情報にアクセスする際に困難がある。</t>
  </si>
  <si>
    <t>インターネット上でミスジェンダリングや差別的な反応が来ること</t>
  </si>
  <si>
    <t>カムアウトしたことを忘れられる</t>
  </si>
  <si>
    <t>カムアウトしていないため身体的男性を理由に力仕事を要求されることがごく稀にある/多目的トイレ以外に洗面所を含め個室化された化粧室がない</t>
  </si>
  <si>
    <t>カムアウトを避けられる</t>
  </si>
  <si>
    <t>グループホーム入所中だが、ある入居者と支援者の性的マイノリティに対する対応が酷い。入居していたトランスジェンダー（MtF）の方に対する対応が酷く、その方は適応できず、転居した。同性婚や性的マイノリティのニュースが流れたりすると、トランスジェンダーに対する差別的仕草をする。その時はなんとも言えない気分になる。20年，40年ほど離れているので、時代が違うのかもしれない。
私は生物学的男性だが、この肉体をもって男性とも女性としても見られることが苦手である。障害者の就職支援団体やハローワークに言えていないのであるが、かなり肉体労働を勧められる。
以前の職場では、パチンコや風俗店の話題が多かった。生物学的男性が多い職場であったためか、私を男性とみなして、そのような話題をされることが多かった。マジョリティ女性が多い職場なら、一発でアウトだろう。
本当に苦痛だったが、一番年下のためもあるのか、やめてと言えず、はぐらかすのに必死だった。辞める理由の一つになった。</t>
  </si>
  <si>
    <t>シスジェンダー並の人生を歩むことを求められる（例：トランジションにかかる時間やお金を考慮されない、仕事が見つかりにくいと理解されない等）</t>
  </si>
  <si>
    <t>その属性をもった役割を演じる必要がある（例えば母親）</t>
  </si>
  <si>
    <t>そもそもノンバイナリーであることを明かすとどうなるのか見当がつかない</t>
  </si>
  <si>
    <t>デミセクシャルアセクシャルという自認なので、居場所が常にないと感じます。
また、アセクシャルは性経験がない人が多数と思いますが、経験がないことへの偏見が社会から是正されると良いと思います</t>
  </si>
  <si>
    <t>トイレを使いにくい。心と体の性別が違いすぎて、、、だれでもトイレを使うことが多いが視線が気になる</t>
  </si>
  <si>
    <t>どちらかの性別ではないのに、勝手に身体性別と見なされ、恋愛対象として友達から見られることが不安だ。身体が同性だからと言って過度なボディータッチはしていいものではない。</t>
  </si>
  <si>
    <t>トランスジェンダーのヘイト活動について見聞きすること</t>
  </si>
  <si>
    <t>トランス女性(MTF)の立場と存在を利用した、悪意あるシスヘテロ男性の、女性専用スペースへの侵入が怖い。そしてそれをトランス差別と糾弾する現在の風潮はおかしいと思う。「身体が男性、心は女性、恋愛対象は女性」という人の存在は否定しないが、そういった「本物」の方よりも「性暴力に利用したい男性」が圧倒的に多い、またはこれから爆発的に増えると思う。</t>
  </si>
  <si>
    <t>トランス女性であるというだけで世の中のあらゆる場所から排除され、変態・性犯罪者呼ばわりされたり、猛獣扱いされたりすること</t>
  </si>
  <si>
    <t>トランス差別的な言質に引っ張られてしまう友人がtwitter上の多く、縁を切ったことが何度もある。ある程度理解があってもトイレを使うのにパスポートを導入するとかどうかなというくらいの人もおり、本当に恐怖。そのため最近は外出時のトイレは誰でもトイレを使っているが、なかなか探すのも大変で困る。</t>
  </si>
  <si>
    <t>ナベシャツを使用したいが親に相談しないと買えない（ネット通販でしか買えない）ので18歳になるまで使用できない。（1人で買えるようになったらしれっと使うつもり）</t>
  </si>
  <si>
    <t>ニューロジェンダーの日本語情報が少ない。日本語圏の発達障害の当事者運動の情報が少ない。AutismSpeaks以外が透明化されている本邦への懸念。賃金差別。</t>
  </si>
  <si>
    <t>フェミニズムからの排除、同性婚運動からの透明化、BL批判における存在の想定のされてなさ(l LGBTQ+内でもマジョリティからも)</t>
  </si>
  <si>
    <t>ほぼ実害を被っていないが、男性の典型らしい要素を求められることに違和感を覚える。ノンバイナリーのマイクロラベルを持っていても、実態としてはシスジェンダーとほとんど変わらず、自分がジェンダーのマイノリティである感覚はかなり希薄。</t>
  </si>
  <si>
    <t>マイノリティ関係以外のイベントや交流会での無理解</t>
  </si>
  <si>
    <t>ミスジェンダリングとは違うのですが…
自分は現在移行の途中(主にホルモン剤治療を受けています)なのですが、よくインターネットの仲間内で男性ホルモンの摂取の話をします。
その時に時を経て低く変化していく声を「声が男らしくなった」という褒め方をシスジェンダーのみならず様々なジェンダーの方からもされるのですが、とてもモヤモヤとしております。
声の音程で男女二元論によるそのジェンダーの固定観念に当てはまる「らしさ」を押し付けることは、その「らしさ」に当てはまらない人をふるいにかける、落とす行為だと思っており、ミスジェンダリングにも直接繋がることなので辞めて欲しいなと思っています。</t>
  </si>
  <si>
    <t>もっとQ＋についての認知が広まるといいのにと強く 切実に思う</t>
  </si>
  <si>
    <t>一般に「女性運動」と理解される運動（反性暴力のイシューがその典型）の集会や街頭行動に参加する経験や、事務的なしごとを担当することが少なくないが、それらの場面で、問題ある行動をする具体的な人物を想定しながら行なわれる「おっさん」批判や、自分がそのなかでも例外的な「男性」として扱われるのがとても居心地が悪い。運動によっては初めから参加者が「女性」限定とされる例もあるが、これをどう肯定／否定して良いのかわからず、モヤモヤしている。</t>
  </si>
  <si>
    <t>一部の過剰な支援要求により、誤解が生じていると感じる</t>
  </si>
  <si>
    <t>不完全身体の苦痛感</t>
  </si>
  <si>
    <t>二元論的なジェンダーシステムによる排除(いろいろなところで問われる性別、スポーツ）、「ちゃん、くん」呼び分け、自分のジェンダー(かつセクシュアリティなど)を想定された上での会話(「彼氏/彼女いるの？」)</t>
  </si>
  <si>
    <t>人の目が気になってトイレに行けない。僕は女性に見えやすいらしく、友達とトイレに行く時、みんなのトイレを利用したいが説明が怖くてできないため女性トイレを利用することになり、すこしつらい。</t>
  </si>
  <si>
    <t>仕事に付くときの選択肢がたとえば制服がジェンダー化されているなどの理由で狭くなってしまう。</t>
  </si>
  <si>
    <t>割り当てられた性別は女であり、今まで「女らしく」と育てられてきたのでぼんやりとした違和感はあったものの、それを言語化出来ず内面化してしまったためどのような振る舞いや服装、アイデンティティが本当に「自分らしい」のかすら分からず、なので自分のジェンダーアイデンティティが20歳にしてまだ分からない。所謂「中性的」なファッションをしていないとXジェンダーとは見られないというか、その割り当てられた「女」として見られてしまい、それを当然のことだと受け入れてしまっている自分もいるが、確実に自分は「女」ではないと思っている。女性と見られることに違和感を感じる。かと言って男性では確実にないので、まだクエスチョニングである面が大きいと思うが、その「分からない」という状況がすごく自分は不安定に感じる。アンチカテゴリーであるべきなのに二元論に当てはまらない「何か」でないと受け入れられない自分がいる。</t>
  </si>
  <si>
    <t>十分に機能している相互扶助コミュニティがない</t>
  </si>
  <si>
    <t>同じジェンダーの人との出会いがほぼない</t>
  </si>
  <si>
    <t>同性のアーティストなど同性をファンだと言うと同性愛者か？と聞かれた。男性としか肉体的関係、付き合いをしたことがないがどう答えていいか分からず否定してしまった。</t>
  </si>
  <si>
    <t>基本、男女トイレと多目的トイレしかないので後者を使っているが、去年「健常者が多目的を使うんじゃねえよ」と赤の他人に怒鳴られて以降、ビクビクしながら多目的トイレを使うようになった。</t>
  </si>
  <si>
    <t>大きな括りで一纏めにされ、誤解されること（性自認が一致しないと言うと性転換したいのかと聞かれるようなこと）</t>
  </si>
  <si>
    <t>女の子だから〜と言う決めつけでものを言われることがとても不快。ですがこれは自分の性別に確信を持っている人に対してでも良くないことだと思います。</t>
  </si>
  <si>
    <t>女性ジェンダーや男性ジェンダーを押し付けられることを子供の頃から経験していて、毎度非常に不快になります。差別をしている意識が無い人が多く、最近は相手の知識に応じてそもそもコミュニケーションを避けるようにしています。</t>
  </si>
  <si>
    <t>女性と自認している友達といる時に友達が女性専用車両に乗ると、カミングアウトするか迷うが、カミングアウトできずに渋々着いていく。周囲の目線が気になる。</t>
  </si>
  <si>
    <t>婦人科に行く必要がある時があるが、とても苦痛
服装の強制</t>
  </si>
  <si>
    <t>子宮頸がんワクチンをレディースクリニックで受けたとき、私が「シスジェンダー女性で、性行為や恋愛の対象が3次元の男性の人間である」ということが前提の上、子宮頸がんや子宮頸がんワクチンに関する説明を受けさせられたこと。</t>
  </si>
  <si>
    <t>孤独。マジョリティはおろか、セクシャルマイノリティの人たちからも理解されないことが多い。居場所がない。存在しないことにされていると感じる。</t>
  </si>
  <si>
    <t>学校現場で、「トランスジェンダーなら髪の毛を短くしてもいいけど、そうじゃないなら伸ばしなさい」と頭髪について指摘された。
また、家の外でのトイレについて、スカートを履いていないと男性だと思われて、女子トイレに入りづらい。でもそこまでパス度が高い訳でもし自分のジェンダーアイデンティティが男性でもないので男子トイレに入るつもりも一切なく、トイレに行くことに不安を覚えている。</t>
  </si>
  <si>
    <t>宗教内での無理解</t>
  </si>
  <si>
    <t>就活時やアルバイト時などのフォーマルな服装を求められる場で、服装に困る上にカミングアウトしたくないので相談もできない</t>
  </si>
  <si>
    <t>就職活動での不利な取扱</t>
  </si>
  <si>
    <t>就職活動において、性別の選択肢が男女しかない場合が多い。また、｢その他｣｢回答しない｣を選択した場合も、リクルーター等から｢女性ですよね？｣と確認されたことがあるため、選択肢がカムアウトやアウティング(典型的なバイナリー規範に適応していないと企業側が区別できる)のための道具として機能している場合があると感じる。</t>
  </si>
  <si>
    <t>就職活動をする際に不利になるのではないかという不安</t>
  </si>
  <si>
    <t>差別的な言動への同調強制</t>
  </si>
  <si>
    <t>常に女性で一番とか女性で初とか女性では珍しいと言われる</t>
  </si>
  <si>
    <t>恋愛について話をする時に、バイナリーな次元で語られること。最初から当然のようにシスジェンダー、ヘテロセクシュアルの女性として想定され話が進むこと。</t>
  </si>
  <si>
    <t>恋愛や性愛含む自分自身の行動や嗜好をもとに周囲からミスジェンダリングをなされることが多すぎて、自分自身もそれを内面化して自分自身を蔑ろに扱ってしまう。</t>
  </si>
  <si>
    <t>悪意ゼロで性交渉の方法を質問されること</t>
  </si>
  <si>
    <t>悪気なく「◯◯な女だね」「すてきな女性になってね」「モテるよ」などと言われるのがつらい。</t>
  </si>
  <si>
    <t>政治家や著名人による差別的発言、彼らが後から行う弁明の対象にすらなっていない
自治体や企業の施策などでLGBTQに関するものの対象になっていない、認識されていない
ただの甘えと認識される、身内からもそう認識されて行き場がない</t>
  </si>
  <si>
    <t>曖昧で、日本ではまだ理解が進んでいないジェンダーアイデンティティのため、LGBTQコミュニティ内でも排斥されるのではないか、自分のような存在は想定されていないのではないかという不安感がある</t>
  </si>
  <si>
    <t>月経不順により産婦人科に行くはめになり、カミングアウトは怖くてできず、女性ホルモンを飲む羽目になった。それが嫌で別にトラウマ(性同一性障害の診断受けた幼馴染にトランスでは無いと否定された)あって避けてた精神科に行って(この時トラウマの原因だった友人の言葉ガン否定してくれたのでマシになった)トランスに理解のある産婦人科を紹介してもらった。
金が無くて手術を諦めてるのを良かった、貴方だけの身体では無いと言われた。
スカートも赤もピンクも大嫌いだけどせっかく女の子に産まれたんだからとかかわいいんだからとか言われて嫌がっても履かされた(諦めて小学生の時は年に2,3回、中学からは制服で馴れた)
ちゃん付けで呼ばれたり女性として性的対象に見られるのが心底嫌だ。男として男が好きなのであって女じゃない。
もっとある気はするけどしんどいのでストップします。</t>
  </si>
  <si>
    <t>東日本大震災に被災したトランスジェンダーの方が避難所での生活やナプキンの配布などで苦労した経験を知り、私も避難所を使えないかもしれないと不安になっています。</t>
  </si>
  <si>
    <t>正規職につけない</t>
  </si>
  <si>
    <t>歳を取るにつれ、結婚や子供を持つことに対する周囲からのプレッシャーがあります。</t>
  </si>
  <si>
    <t>母親はきちんと理解して受け入れてくれたが、叔父さんやお婆ちゃんは受け入れづらいようだった。</t>
  </si>
  <si>
    <t>無意識に決めつけられること</t>
  </si>
  <si>
    <t>特に確認してもらえることもなく、シスジェンダー（あるいはヘテロセクシュアル）だという前提で勝手に私についての話がされること。</t>
  </si>
  <si>
    <t>現在ノンバイナリーとして自己を認識しているが、ホルモン治療や外科手術等の身体的な医療措置や、改名は考えていない。そのため自分のノンバイナリー性を証明できるものが無いように思う。改めて就労する際に要求する扱いが通るかどうか考えるたび憂鬱になるし、そもそも要求できるほど自分に勇気があるかも分からない。
広義にはトランスジェンダーの一人として自己を位置付けながらも、医療的アプローチではなく社会的な扱いの変容を望む身としては、誰の判断を仰げば認められるのか、何をすれば自分にとって正当な扱いを受けることができるのか分からない。</t>
  </si>
  <si>
    <t>現状トイレなどのジェンダー化された場所を使いたい場合はAGABの方を使っていますが、なんとなくしっくり来ない気がしていつも不安です。</t>
  </si>
  <si>
    <t>男女二元論かつヘテロセクシャルが前提の就労環境にしか恵まれず、現在、無職・生活保護を利用している。同時に、心疾患を患ったため、療養中にあり、現在は休職活動を行なっていないが、回復後、就職活動を行う予定である。しかし、この際に、ジェンダー・セクシャリティの問題が、大きな壁となり、また、それを乗り越えられる支援団体と繋がれていない状況にある。この状況なので、常に孤立感・将来への不安を感じている。また、何よりも、無事にその壁を乗り越え、再雇用に結びついたとしても、雇用形態の不安定さ・満足のいく収入・本当にその職場が安心できる環境なのか等、さまざまな不安要素が待ち構えており、心身の回復や自信のアイデンティティを認められるようになるまでに時間がかかると思っている。</t>
  </si>
  <si>
    <t>男女制服しかないのがすごく嫌でした。見た目で「性別」を探られることも怖いですし、なにかと身体的特徴をある二元的な性別に結びつけるような発言を聞くと毎回程度は違えどショックを受けます。</t>
  </si>
  <si>
    <t>男性からの身体暴力及び性暴力</t>
  </si>
  <si>
    <t>社会に出た際にジェンダーロールに従うことを強制される、圧力をかけられること。</t>
  </si>
  <si>
    <t>社会のほとんどの場所がバイナリなのでカムアウトしたところで具体的なメリットはないことが多いが、カムアウトしなければ本当にないものとして扱われるのでメリットが少ないのにカムアウトすることになる。自分が受けたセクシャルハラスメントの経験が「女性の経験」あるいは「バイセクシャル・パンセクシャルの経験」の中に吸収されてしまいノンバイナリーとしての言葉を積み重ねることができない。</t>
  </si>
  <si>
    <t>社会的な無理解（マスコミや世間一般の意見などの）</t>
  </si>
  <si>
    <t>私のジェンダーアイデンティティについて多くの人が無知であること
私のジェンダーアイデンティティについての説明を要求されること
私のジェンダーアイデンティティ上記２つの理由から、カムアウトにかかる労力が大きく、カムアウトが困難であること</t>
  </si>
  <si>
    <t>自分は回答時の2ヶ月後に就職する予定だが、学生と労働者で違う環境、違う差別を受けるのではないか不安。</t>
  </si>
  <si>
    <t>自分以外のだれかが（任意のジェンダーアイデンティティ）を名乗ることにたいしては、「あなたがそうだと思うならつねにすでにそうだよ」と思うが、じぶんがノンバイナリーを含む（alloシスヘテロではない）任意のジェンダーアイデンティティを名乗ることに、うまく言えない不安感がある。いままで、alloシスヘテロとしても（？）なんとか生きてこられてしまったにも関わらず、わたしが名乗ってもよいのか、というような。
他人に名乗ってもいいと思いながら、自分に対してこのように感じるのは、あらゆる（任意のジェンダーアイデンティティ）を名乗るひと／名乗らない人にたいして、ダブルスタンダードのような気がしている。つまりわたしに差別意識という構造が根ざしているということにつねに直面し続けている。</t>
  </si>
  <si>
    <t>自己紹介の際に属性を語りづらい、語った際に腫れ物のように扱われる(コミュニケーションを避けられる)</t>
  </si>
  <si>
    <t>英語ではない外国語を勉強しているのですが、バイナリーな要素の強い言語なのでしんどいです。アカデミックな機関主催の教室にも通いましたが、ノンバイナリーの存在は全く想定されておらず、ジェンダーニュートラルな表現について質問するのもはばかられる空気でした。</t>
  </si>
  <si>
    <t>血縁関係がある家族にカムアウトしたとしても無理解と異常と言われそうだと思っている</t>
  </si>
  <si>
    <t>複数のマイノリテイにより、LGBTのコミュニティにもなかなか加われない、仲間として意識されてるか不安</t>
  </si>
  <si>
    <t>見た目で性別を決めつけられる</t>
  </si>
  <si>
    <t>見た目を無性っぽくしないと勘違い扱いされる</t>
  </si>
  <si>
    <t>訪問介護中に女性の障害者の利用者さんからのセクハラ。入浴介助中にパンツを脱がされた。</t>
  </si>
  <si>
    <t>設問内容と見当違いだったら申し訳ないのですが…パートナーの性別によって自分の性別をミスジェンダリングされることがいつまで続くか不安です。</t>
  </si>
  <si>
    <t>貧困。自分の受けた性暴力を矮小化される事</t>
  </si>
  <si>
    <t>軽く見られている気がする</t>
  </si>
  <si>
    <t>非常時（災害や収監）にホルモン治療ができないこと。</t>
  </si>
  <si>
    <t>顔にかかわる手術</t>
  </si>
  <si>
    <t>胸部の手術</t>
  </si>
  <si>
    <t>抗ホルモン療法</t>
  </si>
  <si>
    <t>戸籍名の変更</t>
  </si>
  <si>
    <t>戸籍上の性別の変更</t>
  </si>
  <si>
    <t>性器にかかわる手術</t>
  </si>
  <si>
    <t>声帯にかかわる手術</t>
  </si>
  <si>
    <t>ホルモン補充療法（HRT）</t>
  </si>
  <si>
    <t>ジェンダークリニックの受診</t>
  </si>
  <si>
    <t>（上記のどれも希望していない）</t>
  </si>
  <si>
    <t>（上記のどれも経験していない）</t>
  </si>
  <si>
    <t>門番行為があるのでジェンダークリニックには行きたいとすら思わない</t>
  </si>
  <si>
    <t>金銭面での負担が大きすぎる</t>
  </si>
  <si>
    <t>金銭面、また適切な医療機関へのアクセス</t>
  </si>
  <si>
    <t>金銭面</t>
  </si>
  <si>
    <t>金銭的問題により医療行為を受けられないこと</t>
  </si>
  <si>
    <t>金銭的に不可能</t>
  </si>
  <si>
    <t>金銭的な負担がある。法的性別が邪魔になる。</t>
  </si>
  <si>
    <t>金銭的な問題で手術を受けたくても受けられない</t>
  </si>
  <si>
    <t>金銭、リスク</t>
  </si>
  <si>
    <t>金がない、情報が手に入りづらい、本当にやりたいことはまだ技術的にできない（が、不可能ではないと思う）</t>
  </si>
  <si>
    <t>造膣や豊胸しない外科手術が存在しない(または存じない)</t>
  </si>
  <si>
    <t>身体にメスを入れることはまだ迷っているし踏ん切りもつかないような気がしているところなのですが、その辺のメリットやデメリット含めて相談できる場所がないということでしょうか。</t>
  </si>
  <si>
    <t>費用やサポートの不足</t>
  </si>
  <si>
    <t>親から反対される</t>
  </si>
  <si>
    <t>自分の性別と自分の望む肉体のあり方が違うとき、望む方向に性器にかかわる摘出などの大掛かりな手術が出来ない
仮に自分自身の性別に沿う肉体を望んだとしても、ふたなりと言われる状態になる手術は少なくとも日本では受けられない</t>
  </si>
  <si>
    <t>自分に出来る限り低い声で話すことを、よしとしてほしい</t>
  </si>
  <si>
    <t>自分にとってペニスがある状態が自然だが、今のパートナーが望まない（関係が破綻する可能性が高い）であろう事、またペニスを形成したところで射精などの機能が生まれるわけではないので、現時点では希望しない。</t>
  </si>
  <si>
    <t>胸を平たくする手術を受ける際、低用量ピルの服用を止めるべきか、続けてもいいのか、止めるべきなら止めた期間内の月経の苦痛をどうするのか、分からない。レディースクリニックの医師に相談したいが、切り出し方が分からない。
※低用量ピルは、月経困難症のため服用中です。</t>
  </si>
  <si>
    <t>胸を取るのにかかるお金と、痛みに弱い事　ボディイメージ的には胸は取りたい　家族があまり良い顔をしないので、家族が亡くなってからと思ってる</t>
  </si>
  <si>
    <t>胸をなくしたい気持ちはあるものの、ジェンダーフルイドだからあとで欲しくなるかもしれないよ、とクリニックの医師から言われており、手術をするか迷っている。また、どんなに装いを自分の馴染む様子に整えていても、声で「女性」だと決めつけられることも多くて苦痛である。ホルモン治療を勧められたが、恒久的に声を変えたいわけでもないので違うな、と思っている。</t>
  </si>
  <si>
    <t>職場への手術の適切な説明の仕方が分からない</t>
  </si>
  <si>
    <t>経済的に苦しいのと、保険適用のために受診したいジェンダークリニックが遠いため中々医療ケアを受けられず、辛い。また、就職やトランジション後に差別を受けるかもしれないという不安がある。</t>
  </si>
  <si>
    <t>私個人は性別の変更などを希望しないが、同性婚とトランス問題を混同している人があまりにも多いと感じます。</t>
  </si>
  <si>
    <t>男性と女性が入り混じっている認識のため、トランスする身体がない</t>
  </si>
  <si>
    <t>男女以外の性別が法的にも医学的にも可能な状況でない</t>
  </si>
  <si>
    <t>現在高等教育への進学を希望しており、将来の学費のことを想定すると費用の捻出が困難である。</t>
  </si>
  <si>
    <t>特別困ってはいないけれど、本名(戸籍上の名前)が1人1つであることに違和感を感じる</t>
  </si>
  <si>
    <t>法的に男女でない取り扱いを望んでいる。
日本のジェンダークリニックではホルモンパッチの扱いがない</t>
  </si>
  <si>
    <t>法的には男性になりたいし、周囲からも既に男性と見なされることが多いのに手術やホルモン治療が必要になってしまう。そのままの身体でも戸籍を男性にしたい。</t>
  </si>
  <si>
    <t>法律上に性別が選択不可能、多機能トイレの使用が事実上のカミングアウトの可能性と差別の存在による使用困難さ、ごく近年まで身体的治療の対象外とされ今なお身体的治療の対象外とやすいことでの困難さ、戸籍上の性別の扱いを受けること。</t>
  </si>
  <si>
    <t>治療なのに法外なお金を取られる</t>
  </si>
  <si>
    <t>殆どのジェンダークリニックでノンバイナリーの存在が想定されていない。例えば、お問合せの選択肢が、MtFとFtMの2種類しかない所があるなど。</t>
  </si>
  <si>
    <t>正常な生殖器及び性器は取れない、また、一度とってしまうと更年期障害になることは免れないようなので、仕方なく手術は受けない方を選びました。まだ諦めてないですが。</t>
  </si>
  <si>
    <t>概ねトランジションの希望はないのですが、PCOSで女性ホルモンの分泌が弱く「女になりきれてない体」なのがコンプレックスだし心身ともにあまり健康ではありません。思春期前からノンバイナリーだとなんとなく自覚していた（未言語化）記憶はあるのですが、ノンバイナリー自認が体ともリンクしている気がして自認に自信が持てないのと、健康を手に入れるためにいっそ女性ホルモンのホルモン治療を受けたほうがいいのかどうか（でも女性になりたい！と思っているわけでもないし…）とても悩んでいます。</t>
  </si>
  <si>
    <t>日本の戸籍には男・女しかないので、どちらに属しても誤っている状態になる。</t>
  </si>
  <si>
    <t>日本ではまだ二元的じゃない性別があまり知られてないため、様々な場面で性別を訊ねられる際に「男・女」のどちらかで聞かれてしまうことが苦痛。出来るなら戸籍上の性別も「X」にしたい。</t>
  </si>
  <si>
    <t>日本ではバイナリーな性別しか登録上の性別がないため、変更したくても変更先がない。</t>
  </si>
  <si>
    <t>日常でつかう通称名だけでも変更したいと思っているが、職場でカミングアウトしていないため相談しづらい</t>
  </si>
  <si>
    <t>整形にかかる費用を捻出できない事。強迫観念があり、整形が医学的な観点から心身の再生に必要であると判断される等した場合は、保険治療で施術を受けられるようにして欲しい。</t>
  </si>
  <si>
    <t>手術要件のせいで戸籍の性別が変更できず、強制的にカミングアウトせざるを得ない状況にしばしば陥ること。</t>
  </si>
  <si>
    <t>手術を受ける前の状態で手術費用を用意すること</t>
  </si>
  <si>
    <t>手術の身体的・金銭的負荷が大きい</t>
  </si>
  <si>
    <t>手術の費用が高い</t>
  </si>
  <si>
    <t>手術だけ希望していたのに、さっそく却下されて、その代わりに「ホルモンをやってみれば？」と無理やり薦められました。（結局新しいカウンセラーを探し、そのカウンセラーの紹介によってトランスジェンダー専門診療看護師に相談することができ、手術を受けることそしてホルモンをやめることになりました。）</t>
  </si>
  <si>
    <t>手術すると元には戻らない。胸が取り外し可能になればいいのに。</t>
  </si>
  <si>
    <t>戸籍性別が男か女しかない、携帯の契約、公的な支援を受けるための書類で毎回男か女しかない違うのにAGABに丸しなければならない違うのに、医療機関で通称名を使わせてくれない、医療機関でAGABに従わないといけない、声を上げても未熟と判断されるか、現状自分が考え方を変える方向に抑圧される寄り添い。</t>
  </si>
  <si>
    <t>戸籍名を変えたいと思っているが、自分はジェンダークリニックに通っているわけでもなく、身体的な変更を望んでいるわけでもないため、改名するためには通称名の使用実績を作るしかなく、時間がかかること。もう少し簡単に改名できるようになればいいと思う。</t>
  </si>
  <si>
    <t>戸籍名の漢字表記を残して読み方だけ改名しました。住民票にフリガナのない地域への転居を躊躇っている。また今後もし戸籍にフリガナが載る際に、改名後の名前が認められるか不安。</t>
  </si>
  <si>
    <t>戸籍名の変更
:通称の使用実績を何年も積んだことを理由として名を変更したいと思い、インターネットで調べて実行に移そうとしているが、通称に移行できる機会があまり取れていない。改名の希望も含めてカミングアウト済みの友人にはSNSや手紙のやりとりで通称を呼んでもらい、通販での買い物の一部や美容院では通称を使用しているが、大学や医療機関などのより通称の使用実績が有力になりそうな公的な場では移行に踏み込みにくい。通称の使用を相談するのにはカミングアウトが伴うのと、性自認が出生時に割り当てられた性別と逆というわけではなく性同一性障害の診断もつかないと思われる私のような場合でも通称が認められるのかどうか分からず、制度があるのは知っていても申請しにくい。できればノンバイナリーとして働ける職場に就職して通称で勤務することで実績を得たいと考えているが、発達障害とそれに伴う適応障害により大学に通うのが困難な時期があり、学業成績が悪く留年もしているため、それほど就職先を選り好みできない可能性も高い。また、通販を含む買い物においては名前を通称にするとクレジットカードの名義と異なるため、現金払い(通販では代引)に限るか利便性のために通称使用を諦めるかの選択を迫られる。</t>
  </si>
  <si>
    <t>戸籍制度のない国に居住しているため，戸籍上の性別=パスポート上の性別(または法的な性別)と読み替えて回答しました。ジェンダークリニックの受診については，GPへの紹介依頼は2年前に済ませておりウェイトリストには載せてもらっていますが，ジェンダークリニック自体への受診はまだのため未経験と回答しました。</t>
  </si>
  <si>
    <t>戸籍上の性別の者としてこれまで過ごしてきた社会における移行</t>
  </si>
  <si>
    <t>戸籍の性別が男／女しかないため、変更の選択肢が取れない</t>
  </si>
  <si>
    <t>戸籍に男女以外の表記があったら変えたい</t>
  </si>
  <si>
    <t>戸籍からの性別の削除</t>
  </si>
  <si>
    <t>戸変したくてもバイナリーしかないからできない</t>
  </si>
  <si>
    <t>性同一性障害では無いため不妊手術の要件として女性に出産要件が課せられており,性嫌悪への対応が矯正以外にないこと。</t>
  </si>
  <si>
    <t>性別適合手術は保険適用にはなったが医療側のガイドラインと齟齬があり、実際にはまず保険適用にならない。そのため手術を受けるのが金銭的に厳しい。</t>
  </si>
  <si>
    <t>性別二元論が前提のものばかりなので、現時点では生まれた時に割り当てられた性以外になりようがない。そうでない方にするのも違うし…</t>
  </si>
  <si>
    <t>性分化疾患があるため、必要であれば名前や戸籍性別の訂正が可能であるが、今のところはそこまでは考えていない。</t>
  </si>
  <si>
    <t>当事者の体験の情報が少ないし、そもそもの選択肢が分からない（調べれば分かるのかもしれないけど…）。
あと、身体違和があるけど、手術は怖いしお金かかるし現実的に難しいだろうなと思っている。
自分がどうなりたいのか、自分でもまだよくわからない。</t>
  </si>
  <si>
    <t>小さい頃から肉体の感覚全般が薄くて、自分の身体を自分の身体だと咄嗟に認識できないし、さりとてどういう身体になりたいのかのイメージもありません。ただ声だけは低い方が自分だという感覚があり、我流でボイストレーニングをしたりしています。こういう自分についてジェンダークリニックで相談したとしても、ジェンダーではなく、発達障害や精神疾患の文脈で解釈されてしまいそうだなと不安です。</t>
  </si>
  <si>
    <t>子宮の除去の手術を受けたいが、術後の入院期間が必要なこと、保険適用でなければ相応のお金が必要なことがあり受けられない</t>
  </si>
  <si>
    <t>女性だから子供を産めという今の風潮に困難を抱いている。</t>
  </si>
  <si>
    <t>外見を変えたいが、変えてしまうと現パートナーとシスヘテロカップルに見えなくなるのでこれまでに経験したことのない差別を受けるかもしれないと思い現状に甘んじている。</t>
  </si>
  <si>
    <t>地方都市在住だとジェンダークリニックが少なく、診察受付をしていない（限られた患者にしか対応しない）ことが多く、医学的トランジションへのアクセスが困難性、またトランスフェムの場合、ホルモン治療を受けるとSRSが保険適用外になってしまう混合診療の問題や、長期にわたるホルモン治療によって反転法でのSRSの際に造膣が困難になるなどの問題があってホルモン治療に踏み切るタイミングなどがむずかしい</t>
  </si>
  <si>
    <t>地方に住んでいるため、クリニックの情報やアクセスが困難。胸部の手術を強く希望しているが、初めの一歩でつまづいている。</t>
  </si>
  <si>
    <t>地方にジェンダークリニックがない（少ない）</t>
  </si>
  <si>
    <t>周りの反応、反対の声、金銭問題 など…。</t>
  </si>
  <si>
    <t>名前を変える事や性別変更のハードルが高い</t>
  </si>
  <si>
    <t>名前の変更により自分の経歴が分断される不安、戸籍の性別を男女どちらかにしかできないので変えてもしっくり来ない</t>
  </si>
  <si>
    <t>医者からのノンバイナリーへの不理解</t>
  </si>
  <si>
    <t>医学的なトランジションにとにかくお金がかかる。戸籍上の性別変更のハードルがとても高い。</t>
  </si>
  <si>
    <t>先日、ジェンダークリニックの医師に、先に精神科に通ってもらったほうがいい、というようなことを言われました。しかし、性別違和を抱えている患者を診てくれる精神科は、少なくとも通える範囲にはありませんでした。その発言をした担当医も、はじめからジェンダー以外に問題を抱える患者を診る気がないようで、インターセクショナリティ意識の無さに愕然としました。
また、保険医療での手術を望む場合の条件が非常に厳しく、新幹線を使って遠くのジェンダークリニック通い性別判定を受けたのち同病院で手術を行うか、近場（といってもそこまで近くないですが…）のジェンダークリニックに通って性別判定を受けたのち、手術が可能な病院まで一日がかりで行くか、という感じでした。保険を使わない場合でも、ジェンダークリニックが紹介出来る場所で一番近いところには入院施設がなく、家で療養中に緊急事態が起こっても対処しにくい、と言われました。
結局、今はジェンダークリニックに通うことは中断しています。もっと保険医療が手厚ければ、ジェンダークリニックや一般の精神科などにインターセクショナリティの考え方があれば、ジェンダークリニックに精神面のケアを行う用意があれば、もっと簡単で安全に、傷付けられることなくジェンダークリニックや身体治療にアクセスしやすいんじゃないか…と考えます。
また、ジェンダークリニックなどのHPに「MtF/FtM」としか書かれていないことが多く、そのどちらにも当てはまらない存在としては、ジェンダークリニックに行くこと自体躊躇してしまいます。
とにかくずっと、当事者の体験記以外の、トランジションに関わるすべての情報の中からXジェンダーやノンバイナリーが排除されている感覚があります。いないことにしないで欲しいです。</t>
  </si>
  <si>
    <t>健康優良なトランス男性である自分にとって、デメリットの方が多そうなのでホルモン療法を避けているが、今のままだと声の高さでミスジェンダリングされてしまうのでどうしたら良いかわからない</t>
  </si>
  <si>
    <t>信頼できるジェンダークリニックへのアクセス</t>
  </si>
  <si>
    <t>保険適応での手術のハードルが高い</t>
  </si>
  <si>
    <t>保険が適用されず高額になる</t>
  </si>
  <si>
    <t>住んでいる自治体のジェンダークリニックは数が限られている上、新規受診の受付もしておらず、そもそも受診すること自体がかなっていません</t>
  </si>
  <si>
    <t>住んでいる場所、年齢、家族関係などの影響で行うことが難しい</t>
  </si>
  <si>
    <t>住んでいる地域にジェンダークリニックがない。障害があり戸籍変更などの手続きが難しい。病気で薬を何種類も飲んでいるためホルモンにも手を出せない。</t>
  </si>
  <si>
    <t>乳首を目立たせたくないだけなのに、パッド入りの下着か"ナベシャツ"の2択しかない。バイナリーにトランジションすることを前提とされている息苦しさがある。</t>
  </si>
  <si>
    <t>中年になり完全にトランスするにも難しい年齢の人は多いと思う。社会的に折り合いをつけながらそれでも身体の性別とは違うと思いながら生きている。ノンバイナリーやXジェンダーという考え方は、そうした人を救う概念でもあると思う。</t>
  </si>
  <si>
    <t>上記戸籍上の性別変更はしていないのですが、海外に住んでいた頃、運転免許証の性別変更は行ったことがあります。</t>
  </si>
  <si>
    <t>上記の欄のホルモンに関わる療法について自分の受けている治療が正式な名称が分からずチェックを飛ばしてしまいました、すみません。
本題ですが、トランジションに関して社会的な関わりにおいて一番困難なのがカムアウトした場合自分を「身体違和の強いジェンダーアイデンティティが男性の人」ではなく「男性になりたい女性」「おなべ」として認識している人の目が怖いです。
声が変わったり喉仏が出たり、顕著な変化を見付けると根掘り葉掘り面白いものとして扱われて聞かれる、更には勿体ないと言われるのがとてもつらいです。
あとは一切カムアウトしていない方に通称名を知られた時に事情を説明するのがとても苦痛です。
法的にも現在お付き合いしている方と結婚するには完全に戸籍上の性別を変えてしまうと婚姻が認められないのもとても悲しく思います。
医療的な面に関してもジェンダークリニックがない地域で「性同一性障害」の診断書を出してもらうのに関して感じたのは全体的に「性同一性障害」に理解のある医師が少ない、その上で診断書を書ける医師が少ないと思いました。</t>
  </si>
  <si>
    <t>ホルモン治療のできる病院が少ない。料金が高い。通院のために仕事の休みをとるのが困難。</t>
  </si>
  <si>
    <t>ホルモン治療が保険未適用であり、医療費が高額になること。私の住んでいる地域（広島）ではトランスジェンダーに関連する医療を受けられるところが少ないこと</t>
  </si>
  <si>
    <t>ピルが高額であること、長期間生理を止めるようなピルの服用方法に理解のある医師が少ないこと（ピルの服用目的=避妊/生理痛と想定されており、それ以外の目的での服用方法について相談が難しいこと）</t>
  </si>
  <si>
    <t>ヒゲの脱毛と金玉の除去に金がかかりすぎる。</t>
  </si>
  <si>
    <t>バイナリーなトランスジェンダーではないので医師からの無理解や偏見が怖く受診するのを躊躇ってしまう</t>
  </si>
  <si>
    <t>ノンバイナリーやXジェンダーの戸籍がないため、変更ができず、困っている。</t>
  </si>
  <si>
    <t>ノンバイナリーの身体はイメージされにくく、現在認知されているバイナリーから反対側のバイナリーへの移行の話になり、自己像に合う身体はまだたどり着けない。(情報も手に入りにくい)</t>
  </si>
  <si>
    <t>ノンバイナリーのモデル的なものがなく、(それはそれで良いのだが)ホルモン注射を打ってもバイナリーなジェンダーに区分されないか心配。</t>
  </si>
  <si>
    <t>ノンバイナリーとしての戸籍上の性別を得たい。
今後就労するにあたり職場等でノンバイナリーとしての扱いを受けたいが、どこから始めればいいのか。</t>
  </si>
  <si>
    <t>ノンバイナリーだが、日本の法律ではノンバイナリーという性別が想定されておらず、どう頑張ってもミスジェンダリングされる。あと結婚も戸籍上で「妻」として扱われてミスジェンダリングされるという観点からできない。</t>
  </si>
  <si>
    <t>ノンオペの当事者の戸籍上の性別変更</t>
  </si>
  <si>
    <t>トランスジェンダー外来を名乗りつつ、トランス男性に対し「男性になったレスビアン」というような表現をしている医院もあり、誰も信頼できない。信頼できそうな人をさがすこと自体が困難</t>
  </si>
  <si>
    <t>トランジションへのアクセスは主にバイナリーなトランスに向けてのみ開かれているような印象があり、アクセスが困難に感じる</t>
  </si>
  <si>
    <t>トランジションする先がない</t>
  </si>
  <si>
    <t>とにかくノンバイナリーのトランジション情報を見つけるのが難しい。ホルモンも病院でうつべきか、個人輸入する方がいいのか迷ってしまう。</t>
  </si>
  <si>
    <t>どこに相談すべきか分からない</t>
  </si>
  <si>
    <t>ただ自分の性別に合わせたいだけなのに金額が高い。家族にカムアウトする気はなのに手術すればどうしてもバレてしまうので選べない。</t>
  </si>
  <si>
    <t>たくさん薬を飲んでいるため、ホルモン治療を受けた際の体質の変化についていけるかが心配。どこにアクセスしたらいいかわからない。名前の変更は簡単にさせてほしい</t>
  </si>
  <si>
    <t>それらへのアクセスが、距離的、金銭的、心理的、あらゆる面で難しい</t>
  </si>
  <si>
    <t>ジェンダー化されていない服や鞄、靴、財布などを身につけたいが、（少なくとも私が住む地方都市では）そんなものは売っていない。ユニセックスもバイナリーに感じられてあまり買いたくない。</t>
  </si>
  <si>
    <t>ジェンダーフルイドなので、クリニック受診時に出生時の判定性に対して所属感を持っていたりそれに近い感覚であると、トランジションへの意欲が下がってしまいそう。実際に言葉遣いなど個人の努力で達成可能な性別移行に時々困難がある。しかし、いつどのように変化していくのか自分でも把握しきれないので、いつ受診するのが良いかは分からない。</t>
  </si>
  <si>
    <t>ジェンダークリニックへのアクセスが出来ない事情がある</t>
  </si>
  <si>
    <t>ジェンダークリニックが少ない。</t>
  </si>
  <si>
    <t>お金の問題と、クローゼットゆえに同居している家族に対してどうするかという困難がある。</t>
  </si>
  <si>
    <t>お金が継続的にすごくかかる事、男性化しても自分が安心できる見た目になれるのかと不可逆な医療が不安な事、うつ病なのでテストステロンの精神に及ぼす影響が心配</t>
  </si>
  <si>
    <t>お金、周囲の目、情報不足</t>
  </si>
  <si>
    <t>いわゆる性同一性障害の中核群と呼ばれるような人以外のアイデンティティを尊重して対応してくれるジェンダークリニックの情報がないこと。また、そもそもそのような病院がほとんど存在しないこと。性別違和理由の改名手続きでは通るかどうかが担当のスタッフの知識量や偏見に左右されてしまい、中核群的なトランス女性／男性に擬態する選択をする人も多いこと。</t>
  </si>
  <si>
    <t>いくらトランジションを頑張っても、社会的にAジェンダーとして扱われることがないこと。</t>
  </si>
  <si>
    <t>Xジェンダーやノンバイナリー，中性，両性の場合、特に性転換を必要とせず、また恋愛対象も身体的性別から見て異性となる人が好きであったり、ファッションが中性的であるとか、あまり要求が多くないため、理解されにくい。
これにより、私としては戸籍を前述に該当する『X』へ変更可能なら変更したいが、そのようなものが今のところ日本では公的には存在しない。
医学的な事は、カウンセリングを除けば特に必要としていないので、あまり言及できるところは無いと思う。</t>
  </si>
  <si>
    <t>Xジェンダーなので戸籍も女や男にカテゴライズされない風になるのが理想だが、そうはできないことが悲しい。</t>
  </si>
  <si>
    <t>SRSについては健康的、経済的理由でしたくない。</t>
  </si>
  <si>
    <t>「第三の性」が法定されていないために移行先がない　二元論でいう「異性」になりたいわけではないためにSRSをするための要件にあたらないおそれがある</t>
  </si>
  <si>
    <t>（医者に）生理が早く無くなってほしいのに、順調に来るように治療されたり、女性らしいからだや女性らしい性格が正常なように話をされる。例えば、おしゃれな服が着れるようにダイエットをしましょうなどと話をされる。</t>
  </si>
  <si>
    <t>・戸籍上の性別は、医療情報と結び付く場合、元々の身体の性を併記する必要があると思う。また、不定性やクエスチョニングの人が後から変更できることと、誰でも何度も変えられることによる弊害をどうバランス取るのかについても検討する必要がある。このため戸籍上の性別については変えられなくても仕方がないと思っている。
・胸部と生殖器は、切除した場合の健康への影響と、切除しない場合の健康への影響(がんリスク低下等)と、切除した場合の生活への影響(夫への精神的影響)などが絡むため、なかなか簡単に決めることができない。</t>
  </si>
  <si>
    <t>Timestamp</t>
  </si>
  <si>
    <t>上記「対象」に含まれる、すなわち「 ジェンダー二元論でうまく説明されないすべての人」に含まれる、ということに、同意します。</t>
  </si>
  <si>
    <t>次のことを理解しました：どの段階でも回答をやめてよく、やめた場合、調査者側には一切の情報が送信されない。</t>
  </si>
  <si>
    <t>次のことを理解しました：回答を終了し送信した場合、匿名化され、オンライン上ですべての人が見られ、引用、および転載されうる形で公開される。ただし、不適切な回答とこちらが判断した場合、また、個人を特定できる情報を含んでいる場合、回答は公開前に編集ないし削除されうる。</t>
  </si>
  <si>
    <t>この調査では「あなた（たち）」という二人称を、ジェンダーに関してニュートラルな代名詞として用いています。</t>
  </si>
  <si>
    <t>あなた（たち）の性別／ジェンダーを表す表現として適切なものを、以下からすべてお選びください。（次の問いとして、自由記入欄がございます）。なお、「必ず選んでください」と書かれた選択肢には、必ずチェックを入れてください。</t>
  </si>
  <si>
    <t>上記選択肢になかった、あなた（たち）のジェンダーをあらわす言葉を 、いくつでも、  ご自由にお書きください。伏字や省略は用いず、すべて書いてください（例：「トランス」と「トランスジェンダー」と「トラ〇ス」はすべて別のものとして扱われます）</t>
  </si>
  <si>
    <t>あなた（たち）の敬称として  適切なものを、以下からすべてお選びください（日本語の場合）。次の問いとして、自由記入欄がございます。</t>
  </si>
  <si>
    <t>上記選択肢になかった、あなた（たち）の敬称をあらわす言葉をご自由にお書きください。（日本語）</t>
  </si>
  <si>
    <t>あなた（たち）の敬称として  適切なものを、以下からすべてお選びください。（英語の場合）。なお、英語を日常的に使わない場合は、「英語を日常的に使わない」をお選びください。</t>
  </si>
  <si>
    <t>上記選択肢になかった、あなた（たち）の敬称をあらわす言葉をご自由にお書きください。（英語）</t>
  </si>
  <si>
    <t>あなた（たち）の一人称を教えてください（日本語）。漢字とひらがなは区別されています。</t>
  </si>
  <si>
    <t>上記選択肢になかった、あなた（たち）の一人称代名詞をあらわす言葉をご自由にお書きください。（日本語）</t>
  </si>
  <si>
    <t>あなた（たち）の三人称を教えてください（日本語）。漢字とひらがなは区別されています。</t>
  </si>
  <si>
    <t>上記選択肢になかった、あなた（たち）の三人称代名詞をあらわす言葉をご自由にお書きください。（日本語）</t>
  </si>
  <si>
    <t>あなた（たち）の三人称を教えてください（英語）。英語を日常的に用いない場合、 「英語を日常的に使わない」をお選びください。</t>
  </si>
  <si>
    <t>差別についての質問に回答しますか？</t>
  </si>
  <si>
    <t>自身が経験した、経験している、および不安なことについて、お選びください</t>
  </si>
  <si>
    <t>自身が経験した、経験している、および不安なことについて、追加したいことをこちらにお書きください</t>
  </si>
  <si>
    <t>トランジションについての質問に回答しますか？</t>
  </si>
  <si>
    <t>以下のうち、（アクセスの可能性の有無にかかわらず）、希望しているもの、または経験したものをすべて選んでください</t>
  </si>
  <si>
    <t>以下のうち、経験したものをすべて選んでください</t>
  </si>
  <si>
    <t>社会的、法的、医学的トランジションについて、困難なこと等がありましたらここにお書きください</t>
  </si>
  <si>
    <t>年齢を教えてください
*これは、年齢層とアイデンティティを表す用語などについての相関性を確認するためです。英語圏では相関性のみられることが、GenderCensusからわかっています。</t>
  </si>
  <si>
    <t>どこの国から回答してますか？</t>
  </si>
  <si>
    <t>英語版The Gender Censusに回答したことはありますか？</t>
  </si>
  <si>
    <t>お疲れさまでした。最後にフィードバック等がありましたらこちらにお書きください</t>
  </si>
  <si>
    <t>選んだジェンダーの数</t>
  </si>
  <si>
    <t>はい</t>
  </si>
  <si>
    <t>理解しました</t>
  </si>
  <si>
    <t>了解した。</t>
  </si>
  <si>
    <t>回答する</t>
  </si>
  <si>
    <t>26-30</t>
  </si>
  <si>
    <t>日本</t>
  </si>
  <si>
    <t>いいえ</t>
  </si>
  <si>
    <t>31-35</t>
  </si>
  <si>
    <t>このような人</t>
  </si>
  <si>
    <t>51-55</t>
  </si>
  <si>
    <t>21-25</t>
  </si>
  <si>
    <t>最初の質問が複数回答できることに、目からウロコが落ちました。</t>
  </si>
  <si>
    <t>16-20</t>
  </si>
  <si>
    <t xml:space="preserve">曖昧なトランス途上, </t>
  </si>
  <si>
    <t>61-65</t>
  </si>
  <si>
    <t xml:space="preserve">ありがとうございました。
</t>
  </si>
  <si>
    <t xml:space="preserve">性別がわからない人, </t>
  </si>
  <si>
    <t>こなた（ぼくの造語です）</t>
  </si>
  <si>
    <t xml:space="preserve">libragender, agenderflux, aegogender, </t>
  </si>
  <si>
    <t xml:space="preserve">ニューロジェンダー, </t>
  </si>
  <si>
    <t>飛ばす</t>
  </si>
  <si>
    <t>名前さん、あのひと</t>
  </si>
  <si>
    <t>36-40</t>
  </si>
  <si>
    <t>46-50</t>
  </si>
  <si>
    <t xml:space="preserve">男ではない, </t>
  </si>
  <si>
    <t>一人称を問う設問であきらかに質問の文章がおかしいところがあったり、選択肢に「俺」「おれ」が無かったりと、公開前に校正が不十分だったのでは？と思いますが、調査自体の趣旨には賛同しています。頑張って下さい。</t>
  </si>
  <si>
    <t>（名前or苗字orハンドルネーム）さん</t>
  </si>
  <si>
    <t>41-45</t>
  </si>
  <si>
    <t>有意義な調査をありがとうございます。</t>
  </si>
  <si>
    <t>回答しない</t>
  </si>
  <si>
    <t xml:space="preserve">ジェンダーマイノリティ, </t>
  </si>
  <si>
    <t>あの人、先生</t>
  </si>
  <si>
    <t xml:space="preserve">生物学的性別としては女性, ジェンダーは不明, </t>
  </si>
  <si>
    <t>あの人、あの方</t>
  </si>
  <si>
    <t>メインになるワードの説明があればよりわかりやすかったです。自分はトランジションの意味を知らなかったので、一度ネットで調べる必要がありました。</t>
  </si>
  <si>
    <t>基本的に｢ちゃん｣は受け付けないのですが、あだ名で｢(名前の1部)ちゃん｣と呼ばれることはしっくりきています</t>
  </si>
  <si>
    <t xml:space="preserve">デミフェミ, </t>
  </si>
  <si>
    <t>あいつ</t>
  </si>
  <si>
    <t>人間、人</t>
  </si>
  <si>
    <t>あの人、この人/あの方、この方</t>
  </si>
  <si>
    <t>全ての設問が任意制で回答しやすかったです。</t>
  </si>
  <si>
    <t xml:space="preserve">maverique, </t>
  </si>
  <si>
    <t>あの人／この人／その人</t>
  </si>
  <si>
    <t>この人/この子</t>
  </si>
  <si>
    <t xml:space="preserve">ジェンダーフルイド, </t>
  </si>
  <si>
    <t>調査おつかれさまです。You are validというメッセージを付記してくれたのがうれしかったです。</t>
  </si>
  <si>
    <t>その人、あの人</t>
  </si>
  <si>
    <t xml:space="preserve">ノンバイナリー？, </t>
  </si>
  <si>
    <t>まだはっきり自分の中でノンバイナリーだと決めきれてない部分があるので、さぐりさぐりな回答をしています。</t>
  </si>
  <si>
    <t>56-60</t>
  </si>
  <si>
    <t xml:space="preserve">透明, </t>
  </si>
  <si>
    <t>この人、あの人</t>
  </si>
  <si>
    <t xml:space="preserve">オーティジェンダー, </t>
  </si>
  <si>
    <t>ファーストネームがいい</t>
  </si>
  <si>
    <t xml:space="preserve">女性として生きてきたので女性だとは思っているが女性である確信がない, 心の性別が決まる基準がわからないので体が男だった時に違和感があるかわからない, </t>
  </si>
  <si>
    <t xml:space="preserve">マルチジェンダー, グレイジェンダー, </t>
  </si>
  <si>
    <t>オタク, フィクティジェンダー（Fictigender）, Q</t>
  </si>
  <si>
    <t>あのひと</t>
  </si>
  <si>
    <t>とても大変だったと思われます。作ってくれてありがとうございました。いつも陰ながら応援しています。</t>
  </si>
  <si>
    <t xml:space="preserve">非シスジェンダー, </t>
  </si>
  <si>
    <t xml:space="preserve">男と女が入り混じった, </t>
  </si>
  <si>
    <t xml:space="preserve">デミフルイド, </t>
  </si>
  <si>
    <t>タイ</t>
  </si>
  <si>
    <t>自分が、ジェンダーに関する言葉をあまり知らないことがわかりました。項目を読んで調べているうちに自分の回答に自信がなくなってしまいました…</t>
  </si>
  <si>
    <t>貴方</t>
  </si>
  <si>
    <t>あの人、あの子</t>
  </si>
  <si>
    <t xml:space="preserve">gender fae, gender doe, </t>
  </si>
  <si>
    <t>このような調査をじっししていただき本当にありがとうございます。心より応援しています。</t>
  </si>
  <si>
    <t>先程の同様の回答に補足をしました。内容更新としての回答であることをご理解ください。</t>
  </si>
  <si>
    <t>あの人、その人</t>
  </si>
  <si>
    <t>It/it'sが選択肢に無いことが気になった。自分はit/it'sも使うので入れておいてほしい</t>
  </si>
  <si>
    <t>ありがとうございました</t>
  </si>
  <si>
    <t>あの子、この子</t>
  </si>
  <si>
    <t>こういう調査があってありがたかったです。</t>
  </si>
  <si>
    <t>自分もLGBTQ当事者としてできることをしていきたい。このようなアンケートを作っていただきありがたいと思っている。</t>
  </si>
  <si>
    <t>あの人、この人、その人</t>
  </si>
  <si>
    <t>あのひと、このひと</t>
  </si>
  <si>
    <t>調査してくださりありがとうございます</t>
  </si>
  <si>
    <t>全てのQが、クィアではなく、クエッショニングとして扱われますように。</t>
  </si>
  <si>
    <t>あの人/この人</t>
  </si>
  <si>
    <t>ネット上のみで、「ワイ」を用いる事がある。（例）ワイは、昨日買った。また、この一人称を使う時の、ジェンダー感は、「シスジェンダーの男性がやや混ざっているが無性」である。例えるなら、絵文字（＼(^^)／など）がしゃべっている感じ。</t>
  </si>
  <si>
    <t>確実にアウティング（個人と調査結果が結びつく）に繋がらないという保証があるのであれば、セクシャリティに関するアンケートも回答することができます。</t>
  </si>
  <si>
    <t>お疲れさまです</t>
  </si>
  <si>
    <t>性自認の選択肢が多く、知識がない人には回答しにくいかもしれない。しかし、多様な人がいることを想定している質問はありがたい。</t>
  </si>
  <si>
    <t xml:space="preserve">おじば, </t>
  </si>
  <si>
    <t>答えやすかったです</t>
  </si>
  <si>
    <t>調査を実行していただきありがとうございます。心強いです。</t>
  </si>
  <si>
    <t>あの人、その人、この人など、「こそあど＋人」</t>
  </si>
  <si>
    <t>ここまでジェンダーアイデンティティの選択肢がある調査は初めてだった。少し嬉しい。できれば用語に不慣れな人のため、説明やリンクがあると良いかもしれない。</t>
  </si>
  <si>
    <t>ドイツ</t>
  </si>
  <si>
    <t>人称について、漢字のものとひらがなのものがあり、わたしは使い分けているのでありがたかったです。</t>
  </si>
  <si>
    <t xml:space="preserve">トランスマスキュリン, </t>
  </si>
  <si>
    <t xml:space="preserve">「男ではない」, </t>
  </si>
  <si>
    <t xml:space="preserve">わたし自身, わたしという生き物, </t>
  </si>
  <si>
    <t>調査の目的と主体についての説明にやや不明確な点があったため、最初に告知をみかけてから回答するまでにやや躊躇した。英語版センサスのQ＆Aにまで目を通して、文字通りの実態調査である以上に当事者集団の可視化が狙いだと理解し納得したが、現状では正直に言って他人には薦めづらいことを残念に思う。以後継続予定があればぜひQ＆Aの訳出を検討してほしいし、マンパワーが足りないのであればボランティアを募ってほしい（呼びかけてみれば協力できる者が手を挙げるかもしれませんし、タイミングが許せば私にも可能かもしれません）。</t>
  </si>
  <si>
    <t>有意義な調査を実施してくださりありがとうございます。当事者の1人として応援しています。</t>
  </si>
  <si>
    <t>選択肢の順番が見づらく、回答漏れをしている気がします</t>
  </si>
  <si>
    <t xml:space="preserve">人間, 人, </t>
  </si>
  <si>
    <t>この質問に協力できて嬉しく思った。
役立ててもらえたら幸いです。</t>
  </si>
  <si>
    <t xml:space="preserve">トランス男性よりの両性?確定しきれてない為基本ｸｴｽﾁｮﾆﾝｸﾞでアンケート類は解答。, </t>
  </si>
  <si>
    <t>理想は「彼」。現実的には呼ばれたくない。</t>
  </si>
  <si>
    <t>配慮を感じました。１問目だけは多すぎてググりましたが…結果を見られることを楽しみにしています！</t>
  </si>
  <si>
    <t>ジェンダーに対しての用語が混在し過ぎててどれを選べばいいか分からないところが多々あった。特にジェンダーアイデンティティの用語に対しては質問内で定義すべきであると考えます。よってこの調査で得られるデータには偏りが生じると思われ、質問内容に対する精査、および当事者を含む第三者の意見を反映した質問内容にする事を望みます。</t>
  </si>
  <si>
    <t xml:space="preserve">流動的に女性でもあり男性でもある, </t>
  </si>
  <si>
    <t>あの子／あの人</t>
  </si>
  <si>
    <t xml:space="preserve">undefined, </t>
  </si>
  <si>
    <t>あの子、あの人</t>
  </si>
  <si>
    <t>あの人、この人、あの子、この子</t>
  </si>
  <si>
    <t>こんな回答でいいのかしら？
いえいえお疲れ様です。ご苦労さまです。</t>
  </si>
  <si>
    <t>私の勉強不足もありますが、回答欄の日本語が分かりづらかったです。</t>
  </si>
  <si>
    <t>ここまで回答しやすい調査は初めてでした。ありがとうございます。</t>
  </si>
  <si>
    <t>無回答</t>
  </si>
  <si>
    <t>この人、こちらの方</t>
  </si>
  <si>
    <t>"You are valid!"と途中で書かれているのが心に嬉しかったです。日本語訳があるともっといいと思いました。</t>
  </si>
  <si>
    <t>こういったアンケートを見ることすら今までなかったので、何故かほっとした気持ちになっている。日本でも認知が広まりつつあるということの証拠として感じられたし、この結果が有効に使用されることを期待したい。</t>
  </si>
  <si>
    <t xml:space="preserve">生成変化, </t>
  </si>
  <si>
    <t>Scotland</t>
  </si>
  <si>
    <t>Thank you for asking these questions</t>
  </si>
  <si>
    <t>この人、その人、あの人</t>
  </si>
  <si>
    <t xml:space="preserve">規定されたくない, </t>
  </si>
  <si>
    <t>カレ</t>
  </si>
  <si>
    <t>11-15</t>
  </si>
  <si>
    <t>こういった調査があることを偶然知りました。協力できてよかったです、ありがとうございます。最初のほうの質問（自分を規定するジェンダーや三人称など）では、選ばなかった選択肢に「知っているが自分には当てはまらない語」と「そもそも知らなかった語」とがあり、知らなかった語についてはひととおり調べてから回答しました。わたしのように当事者でありながら基礎知識が足りない人間が参加することも折り込み済ではないかと察しつつ、調査の正確性を損なってしまったのではないかと少し心配しています。</t>
  </si>
  <si>
    <t xml:space="preserve">Neugender, Neuwifgender, Fiagender spectrum, Niagender spectrum, Viabinary, </t>
  </si>
  <si>
    <t xml:space="preserve">自分自身という性別, </t>
  </si>
  <si>
    <t>日本語がない</t>
  </si>
  <si>
    <t>性別についてでなぜ性的指向の用語や男性もしくは女性のバイナリーの性別が含まれていたのか、ジェンダーとジェンダーアイデンティティとが基本意味が異なるのに曖昧に使われているように感じたあたりがもやもやしました。</t>
  </si>
  <si>
    <t>Canada</t>
  </si>
  <si>
    <t xml:space="preserve">"女"ではない気がする, "男"ではない気がする, </t>
  </si>
  <si>
    <t>・おいら
・あてくし
・わてくし
・苗字（漢字／カタカナ／ひらがな）
・わい
・我
・某
・それがし
・じぶん</t>
  </si>
  <si>
    <t>アメリカ合衆国</t>
  </si>
  <si>
    <t>ありがとうございます！調査の結果をとても楽しみにしています！</t>
  </si>
  <si>
    <t xml:space="preserve">パンジェンダー, </t>
  </si>
  <si>
    <t xml:space="preserve">エーセクシュアル, </t>
  </si>
  <si>
    <t xml:space="preserve">アセクシャル, </t>
  </si>
  <si>
    <t>かれら</t>
  </si>
  <si>
    <t xml:space="preserve">身体女性, </t>
  </si>
  <si>
    <t>私は、まだ胸を張って自分をXジェンダーもしくはノンバイナリーだと主張したことはありません。生物学的な性別を拒否することはありませんが、性別で見ないで1人の人間として扱ってほしいと思っています。</t>
  </si>
  <si>
    <t>回答に関する補足です。
自分が「ジェンダー二元論でうまく説明されないすべての人」に当てはまる自信がないので回答するか悩みましたが、自分がジェンダー二元論で説明されるか迷うということ自体がジェンダー二元論でうまく説明されない人であるということを示していると解釈して回答しました。今は自分のジェンダーが分からなくてラベリングしていませんが、これから先ジェンダー二元論でうまく説明されるように変わることも十分ありうる(むしろその可能性の方が高い)と思っています。ですので調査に適切な形で寄与できたのか分かりませんが、社会的には必要で重要な調査だと思うので協力させていただきました。回答をどう扱うかはそちらのご判断にお任せしたいと思います。</t>
  </si>
  <si>
    <t>あだ名を敬称なしで</t>
  </si>
  <si>
    <t>この人、あの人、その人、あだ名</t>
  </si>
  <si>
    <t xml:space="preserve">MIXジェンダー, </t>
  </si>
  <si>
    <t>調査して下さり、ありがとうございます。私はマイノリティの中でも本当に立場が低いと感じて生きてきたので、ずっとマジョリティに擬態して生きています。こういった調査がなければ私の存在は、ただのマジョリティのシスヘテロとして、なかった事になってしまいます。この調査結果がマイノリティの立場を良くするために使われますように。</t>
  </si>
  <si>
    <t xml:space="preserve">男の娘, </t>
  </si>
  <si>
    <t xml:space="preserve">シス女性, 身体男性, xy体, 性同一性障害, </t>
  </si>
  <si>
    <t>あの人、其、主、神</t>
  </si>
  <si>
    <t>設問数（ページ数）があるとより回答しやすかったかも。メール登録ありにして、保存できるバージョンを作っても良かったかも。</t>
  </si>
  <si>
    <t>素敵な調査ありがとうございます！</t>
  </si>
  <si>
    <t xml:space="preserve">アポラジェンダー, </t>
  </si>
  <si>
    <t>日常的に通称名を使える機会が増えたら生きづらさが減るのではないかなと感じることがあります。</t>
  </si>
  <si>
    <t>一部の回答を回避することもできるように作成されていることに作成者様の配慮を感じ、嬉しく思いました。</t>
  </si>
  <si>
    <t xml:space="preserve">性別の概念を持たない, </t>
  </si>
  <si>
    <t>詳しくないのでわからないですが性別の概念自体無意味で結婚も出産も望んでいない人間がいることをもっと知って欲しい</t>
  </si>
  <si>
    <t xml:space="preserve">ジノセクシャル, </t>
  </si>
  <si>
    <t>このひと、あのひと</t>
  </si>
  <si>
    <t>あの人，あの子</t>
  </si>
  <si>
    <t>Xジェンダーやノンバイナリー，中性，両性にも人権・市民権を。
かつて性同一性障害の方々が、LGBTに人権をと訴えて人権・市民権を獲得したように。</t>
  </si>
  <si>
    <t xml:space="preserve">自分たちの名前自体がジェンダーを表す, ノンコンフォーミング・クィア, </t>
  </si>
  <si>
    <t>貴重な調査をしてくださっていることに頭が上がりません。応援しています。</t>
  </si>
  <si>
    <t>Mr.やMrs.のような、バイナリーな敬称はぜったいに使われたくない、間違われるのもいやだ、間違われてそれはやめてくださいと説明しなければならないのももう、嫌だ。</t>
  </si>
  <si>
    <t>theyに対応するからとして、日本語で「彼ら」とするのは、違和感がある。でも他にしっくり来る言葉が見つからない。でも、少なくとも「彼女」「彼」はぜったいに嫌だ。</t>
  </si>
  <si>
    <t>た　す　け　て　も　う　げ　ん　か　い</t>
  </si>
  <si>
    <t>その人</t>
  </si>
  <si>
    <t xml:space="preserve">FtX無性, </t>
  </si>
  <si>
    <t>(名前)さん、あの人</t>
  </si>
  <si>
    <t>男女に分類されない性についての情報が増えることは、過去の私のような状態の人の助けになります。このような企画を行っていただき、ありがとうございました。</t>
  </si>
  <si>
    <t xml:space="preserve">アポジェンダー/Apogender, </t>
  </si>
  <si>
    <t>回答の機会をくださり、ありがとうございます</t>
  </si>
  <si>
    <t>しっくりくるものがないです</t>
  </si>
  <si>
    <t>INDIA</t>
  </si>
  <si>
    <t>よく教授などの先生の立場から生徒や助手に対して男女関係なく使われる「◯◯くん」はいいなと感じる</t>
  </si>
  <si>
    <t>Mrs.とMs.は、使われたくないと感じる</t>
  </si>
  <si>
    <t>人達</t>
  </si>
  <si>
    <t>ありがとうございます。よろしくお願いします。</t>
  </si>
  <si>
    <t xml:space="preserve">FtMtX, 訳ありMtX, </t>
  </si>
  <si>
    <t>「そのようなカテゴリーの人々」</t>
  </si>
  <si>
    <t>真摯な調査ありがとうございました。</t>
  </si>
  <si>
    <t>この/その/あの人, 役職で呼ぶ</t>
  </si>
  <si>
    <t>あの人，この人</t>
  </si>
  <si>
    <t>西欧</t>
  </si>
  <si>
    <t>情報収集を含め日本語圏での生活を半ば諦めていたので，こういった活動をしてくださっている方々の存在を知ることができて嬉しいです。応援しています。</t>
  </si>
  <si>
    <t>ジェンダーに関する書籍やサイトでも見たことのない単語が多くあり、非常に勉強になりました</t>
  </si>
  <si>
    <t>氏(し)</t>
  </si>
  <si>
    <t>氏(し)、あの人</t>
  </si>
  <si>
    <t>自分のジェンダーについてアンケートを取られる機会がほとんどなく新鮮な気持ちだった。</t>
  </si>
  <si>
    <t>どのような差別、暴力を受けたかをもう少し問う項目が有ると、尚良かったかと思いました。</t>
  </si>
  <si>
    <t xml:space="preserve">アジェンダー, アポジェンダー, </t>
  </si>
  <si>
    <t>あの人、その人、この人</t>
  </si>
  <si>
    <t xml:space="preserve">ノンバイナリー, </t>
  </si>
  <si>
    <t>今まででいちばん、差別などに配慮のあるアンケート調査でした。勉強になりました。</t>
  </si>
  <si>
    <t>自分の名前+ 氏(し)</t>
  </si>
  <si>
    <t xml:space="preserve">無自認, </t>
  </si>
  <si>
    <t>デミAジェンダー, 不明／わからない, 無し, **必ず選んでください**, Aジェンダー／エイジェンダー／アジェンダー／agender, ジェンダー・ノンコンフォーミング／gender non-conforming, （ジェンダー・）フルイド／（ジェンダー・）フリュイド／（ジェンダー・）フルイッド, ジェンダークィア, クィア／Queer, クエスチョニング</t>
  </si>
  <si>
    <t>たん, （any／問わない／どれでもよい）, くん／君, ちゃん, さん, （敬称なし）, （クエスチョニング、模索中、または不明）, （時とともに変わる）</t>
  </si>
  <si>
    <t>Mx., （any／問わない／どれでもよい）, -san, （クエスチョニング、模索中、または不明）, （敬称なし）</t>
  </si>
  <si>
    <t>自分, うち, わたし, （一人称の使用を避ける）, （時とともに変わる）</t>
  </si>
  <si>
    <t>彼人（かのと）, 彼人（かのひと）</t>
  </si>
  <si>
    <t>they/them/their/themself, they/them/their/themselves</t>
  </si>
  <si>
    <t>カムアウトできない, 必要なジェンダーケアへアクセスできない, 医療における無理解, 職場や学校における無理解, 家族／かぞくからの無理解, LGBTQ+運動からの排斥, トイレなどのジェンダー化されたスペースの使用, ミスジェンダリング（誤った性別として扱うこと）, 社会の中でいないことにされる</t>
  </si>
  <si>
    <t>戸籍名の変更, 戸籍上の性別の変更, 声帯にかかわる手術</t>
  </si>
  <si>
    <t>**必ず選んでください**, 男性／man, 青年</t>
  </si>
  <si>
    <t>さん, くん／君</t>
  </si>
  <si>
    <t>僕, （時とともに変わる）, ぼく, 私（わたし／わたくし）, （一人称の使用を避ける）, わたし</t>
  </si>
  <si>
    <t>（三人称で言及してほしくない）, （自分（たち）の名前）</t>
  </si>
  <si>
    <t>アウティング（勝手にジェンダーや指向についての情報を明かされること）, カムアウトできない, ミスジェンダリング（誤った性別として扱うこと）, デッドネーミング（誤った名前で呼ばれること）</t>
  </si>
  <si>
    <t>enby／エンビー, ノンバイナリー, **必ず選んでください**, ノンバイナリー男性</t>
  </si>
  <si>
    <t>私（わたし／わたくし）, わたし</t>
  </si>
  <si>
    <t>必要なジェンダーケアへアクセスできない, デッドネーミング（誤った名前で呼ばれること）, 医療における無理解, 職場や学校における無理解, 家族／かぞくからの無理解, アウティング（勝手にジェンダーや指向についての情報を明かされること）, カムアウトできない, 社会の中でいないことにされる</t>
  </si>
  <si>
    <t>レズビアン（ジェンダーについて）, 女性／woman, アンドロジャイン／androgyne, トランスセクシュアル／transsexual, シスジェンダー, ジェンダー・ノンコンフォーミング／gender non-conforming, デミガール, ニューハーフ, **必ず選んでください**, トランス男性, ゼノジェンダー／xenogender, Aジェンダー／エイジェンダー／アジェンダー／agender, トランス, ゲイ（ジェンダーについて）, バイナリー, フェム, 男の子／boy, ジェンダーヴォイド／gendervoid, X, （ジェンダー・）フルイド／（ジェンダー・）フリュイド／（ジェンダー・）フルイッド, 中性, トランスマスキュリン, ジェンダーフラックス／フラックスジェンダー, ダイク／dyke, 青年, デミボーイ, ノンバイナリー女性, ノンバイナリー男性, ノンバイナリー, ポリジェンダー, バイジェンダー, ボイ, 無し, 男性／man, 少女, クィア／Queer, 不明／わからない, 無性, 女の子／girl, デミジェンダー, ジェンダーレス, Xジェンダー, enby／エンビー, ブッチ／butch, トランス女性, デミAジェンダー, トランスジェンダー, おかま, 少年, トランスフェミニン, トランス*／trans*, ジェンダークィア, ニュートラル, 両性, ニューロジェンダー／neurogender, クエスチョニング, 不定性</t>
  </si>
  <si>
    <t>（時とともに変わる）, ちゃん, （クエスチョニング、模索中、または不明）, さん, （any／問わない／どれでもよい）, たん, （敬称なし）, くん／君</t>
  </si>
  <si>
    <t>わたし, （自分（たち）の名前）, （一人称の使用を避ける）, 僕, わたくし, （クエスチョニング、模索中、または不明）, うち, （any／問わない／どれでもよい）, 自分, 私（わたし／わたくし）, （時とともに変わる）, あたし, ぼく</t>
  </si>
  <si>
    <t>かれ, 彼, 彼女, 渠（かれ）, 彼男（かのだん）, 彼人（かのと）, 彼人（かのひと）, （三人称で言及してほしくない）, （any／問わない／どれでもよい）, （自分（たち）の名前）</t>
  </si>
  <si>
    <t>性暴力, 医療における無理解, カムアウトできない, LGBTQ+運動からの排斥, 社会の中でいないことにされる, カムアウトを強制される, トイレなどのジェンダー化されたスペースの使用, 家族／かぞくからの無理解, 必要なジェンダーケアへアクセスできない, デッドネーミング（誤った名前で呼ばれること）, 職場や学校における無理解, ミスジェンダリング（誤った性別として扱うこと）</t>
  </si>
  <si>
    <t>戸籍上の性別の変更, ホルモン補充療法（HRT）, 胸部の手術, 性器にかかわる手術</t>
  </si>
  <si>
    <t>ノンバイナリー女性, フェム, 女性／woman</t>
  </si>
  <si>
    <t>LGBTQ+運動からの排斥, 職場や学校における無理解, カムアウトを強制される, 医療における無理解, 家族／かぞくからの無理解, アウティング（勝手にジェンダーや指向についての情報を明かされること）, 性暴力</t>
  </si>
  <si>
    <t>（敬称なし）, さん, （クエスチョニング、模索中、または不明）</t>
  </si>
  <si>
    <t>ぼく, わたし</t>
  </si>
  <si>
    <t>医療における無理解, ミスジェンダリング（誤った性別として扱うこと）, 職場や学校における無理解, 性暴力, トイレなどのジェンダー化されたスペースの使用, 社会の中でいないことにされる, 必要なジェンダーケアへアクセスできない, カムアウトできない</t>
  </si>
  <si>
    <t>ジェンダークリニックの受診, 抗ホルモン療法, ホルモン補充療法（HRT）</t>
  </si>
  <si>
    <t>ノンバイナリー, **必ず選んでください**, Aジェンダー／エイジェンダー／アジェンダー／agender</t>
  </si>
  <si>
    <t>Mx., -san, **英語を日常的に使わない**</t>
  </si>
  <si>
    <t>私（わたし／わたくし）, （一人称の使用を避ける）</t>
  </si>
  <si>
    <t>（自分（たち）の名前）, （三人称で言及してほしくない）</t>
  </si>
  <si>
    <t>**英語を日常的に使わない**, they/them/their/themselves</t>
  </si>
  <si>
    <t>必要なジェンダーケアへアクセスできない, LGBTQ+運動からの排斥, ミスジェンダリング（誤った性別として扱うこと）, 家族／かぞくからの無理解, 職場や学校における無理解, トイレなどのジェンダー化されたスペースの使用</t>
  </si>
  <si>
    <t>クィア／Queer, トランス, バイナリー, 女性／woman, トランスフェミニン, トランス女性, トランスジェンダー</t>
  </si>
  <si>
    <t>曖昧なトランス途上</t>
  </si>
  <si>
    <t>（敬称なし）, （any／問わない／どれでもよい）, ちゃん, さん</t>
  </si>
  <si>
    <t>（any／問わない／どれでもよい）, Ms.</t>
  </si>
  <si>
    <t>（自分（たち）の名前）, 私（わたし／わたくし）, わたし</t>
  </si>
  <si>
    <t>彼女, かれ, 彼人（かのひと）, （any／問わない／どれでもよい）</t>
  </si>
  <si>
    <t>they/them/their/themself, she, any/問わない/どれでもよい</t>
  </si>
  <si>
    <t>アウティング（勝手にジェンダーや指向についての情報を明かされること）, 社会の中でいないことにされる, トイレなどのジェンダー化されたスペースの使用, カムアウトできない, カムアウトを強制される, 性暴力, ミスジェンダリング（誤った性別として扱うこと）, 必要なジェンダーケアへアクセスできない</t>
  </si>
  <si>
    <t>戸籍上の性別の変更, ジェンダークリニックの受診, 抗ホルモン療法, ホルモン補充療法（HRT）, 性器にかかわる手術</t>
  </si>
  <si>
    <t>クィア／Queer, （ジェンダー・）フルイド／（ジェンダー・）フリュイド／（ジェンダー・）フルイッド</t>
  </si>
  <si>
    <t>私（わたし／わたくし）, （時とともに変わる）</t>
  </si>
  <si>
    <t>カムアウトできない, アウティング（勝手にジェンダーや指向についての情報を明かされること）, 職場や学校における無理解, トイレなどのジェンダー化されたスペースの使用, 家族／かぞくからの無理解</t>
  </si>
  <si>
    <t>**必ず選んでください**, ノンバイナリー, ジェンダー・ノンコンフォーミング／gender non-conforming, 不定性, ノンバイナリー男性, クィア／Queer</t>
  </si>
  <si>
    <t>（時とともに変わる）, （クエスチョニング、模索中、または不明）, （any／問わない／どれでもよい）</t>
  </si>
  <si>
    <t>（時とともに変わる）, ぼく, わたし</t>
  </si>
  <si>
    <t>彼人（かのと）, （自分（たち）の名前）</t>
  </si>
  <si>
    <t>トイレなどのジェンダー化されたスペースの使用, LGBTQ+運動からの排斥, カムアウトできない, 家族／かぞくからの無理解, 職場や学校における無理解, 医療における無理解, ミスジェンダリング（誤った性別として扱うこと）, 社会の中でいないことにされる</t>
  </si>
  <si>
    <t>戸籍上の性別の変更, ホルモン補充療法（HRT）, 顔にかかわる手術, 声帯にかかわる手術</t>
  </si>
  <si>
    <t>クィア／Queer, クエスチョニング</t>
  </si>
  <si>
    <t>性別がわからない人</t>
  </si>
  <si>
    <t>くん／君, （any／問わない／どれでもよい）, ちゃん, （敬称なし）</t>
  </si>
  <si>
    <t>（any／問わない／どれでもよい）, （敬称なし）, **英語を日常的に使わない**, （クエスチョニング、模索中、または不明）</t>
  </si>
  <si>
    <t>（時とともに変わる）, わたし, ぼく, あたし, 僕</t>
  </si>
  <si>
    <t>（自分（たち）の名前）, （any／問わない／どれでもよい）</t>
  </si>
  <si>
    <t>ジェンダーフラックス／フラックスジェンダー, クィア／Queer, ジェンダー・ノンコンフォーミング／gender non-conforming, Aジェンダー／エイジェンダー／アジェンダー／agender, ジェンダークィア, **必ず選んでください**</t>
  </si>
  <si>
    <t>libragender、agenderflux、aegogender</t>
  </si>
  <si>
    <t>ちゃん, さん</t>
  </si>
  <si>
    <t>-san, （敬称なし）</t>
  </si>
  <si>
    <t>私（わたし／わたくし）, （自分（たち）の名前）, あたし, ぼく, うち, 自分, 僕, わたし, 俺、おれ</t>
  </si>
  <si>
    <t>渠（かれ）, 彼人（かのと）, かれ, 彼, 彼人（かのひと）, （自分（たち）の名前）</t>
  </si>
  <si>
    <t>ze, they/them/their/themself</t>
  </si>
  <si>
    <t>ミスジェンダリング（誤った性別として扱うこと）, 職場や学校における無理解, 家族／かぞくからの無理解, カムアウトできない, LGBTQ+運動からの排斥</t>
  </si>
  <si>
    <t>不定性, クィア／Queer, （ジェンダー・）フルイド／（ジェンダー・）フリュイド／（ジェンダー・）フルイッド, X, 女性／woman, ニューロジェンダー／neurogender</t>
  </si>
  <si>
    <t>ニューロジェンダー</t>
  </si>
  <si>
    <t>Ms., **英語を日常的に使わない**, Mx., -san</t>
  </si>
  <si>
    <t>うち, 私（わたし／わたくし）, わたし, （時とともに変わる）, 自分, 俺</t>
  </si>
  <si>
    <t>彼女, （any／問わない／どれでもよい）, （自分（たち）の名前）</t>
  </si>
  <si>
    <t>LGBTQ+運動からの排斥, 家族／かぞくからの無理解, 必要なジェンダーケアへアクセスできない, カムアウトできない, 医療における無理解, 社会の中でいないことにされる</t>
  </si>
  <si>
    <t>ジェンダークィア, クィア／Queer, Aジェンダー／エイジェンダー／アジェンダー／agender, ノンバイナリー</t>
  </si>
  <si>
    <t>-san, （any／問わない／どれでもよい）</t>
  </si>
  <si>
    <t>私（わたし／わたくし）, わたし, （時とともに変わる）, 自分, わし、おれ、俺</t>
  </si>
  <si>
    <t>トイレなどのジェンダー化されたスペースの使用, カムアウトを強制される, 必要なジェンダーケアへアクセスできない, 家族／かぞくからの無理解, アウティング（勝手にジェンダーや指向についての情報を明かされること）, 職場や学校における無理解, 性暴力, カムアウトできない, LGBTQ+運動からの排斥</t>
  </si>
  <si>
    <t>戸籍名の変更, 顔にかかわる手術, 声帯にかかわる手術, 胸部の手術</t>
  </si>
  <si>
    <t>Aジェンダー／エイジェンダー／アジェンダー／agender, **必ず選んでください**, ノンバイナリー, クィア／Queer</t>
  </si>
  <si>
    <t>社会の中でいないことにされる, ミスジェンダリング（誤った性別として扱うこと）, 性暴力</t>
  </si>
  <si>
    <t>不明／わからない, ジェンダーヴォイド／gendervoid, クエスチョニング, ジェンダー・ノンコンフォーミング／gender non-conforming, ノンバイナリー, Aジェンダー／エイジェンダー／アジェンダー／agender, **必ず選んでください**, デミAジェンダー, Xジェンダー</t>
  </si>
  <si>
    <t>男ではない</t>
  </si>
  <si>
    <t>（クエスチョニング、模索中、または不明）, （any／問わない／どれでもよい）, さん</t>
  </si>
  <si>
    <t>（自分（たち）の名前）, 彼人（かのひと）, （any／問わない／どれでもよい）</t>
  </si>
  <si>
    <t>性暴力, 家族／かぞくからの無理解, 職場や学校における無理解, 社会の中でいないことにされる</t>
  </si>
  <si>
    <t>ジェンダークリニックの受診, 胸部の手術, 性器にかかわる手術</t>
  </si>
  <si>
    <t>職場や学校における無理解, 医療における無理解, 社会の中でいないことにされる, ミスジェンダリング（誤った性別として扱うこと）</t>
  </si>
  <si>
    <t>**必ず選んでください**, デミAジェンダー, ニュートラル, X, 不明／わからない, Aジェンダー／エイジェンダー／アジェンダー／agender, ジェンダー・ノンコンフォーミング／gender non-conforming, ジェンダークィア, クエスチョニング, ノンバイナリー, 無性, 無し, Xジェンダー</t>
  </si>
  <si>
    <t>自分, 私（わたし／わたくし）, わたし</t>
  </si>
  <si>
    <t>クィア／Queer, **必ず選んでください**, ノンバイナリー, トランスジェンダー</t>
  </si>
  <si>
    <t>俺, あたし, 私（わたし／わたくし）, わたし, わたくし, 自分, おれ, （時とともに変わる）</t>
  </si>
  <si>
    <t>LGBTQ+運動からの排斥, トイレなどのジェンダー化されたスペースの使用, 性暴力, ミスジェンダリング（誤った性別として扱うこと）, カムアウトを強制される, 医療における無理解, 社会の中でいないことにされる, アウティング（勝手にジェンダーや指向についての情報を明かされること）</t>
  </si>
  <si>
    <t>ジェンダークリニックの受診, ホルモン補充療法（HRT）, 胸部の手術</t>
  </si>
  <si>
    <t>**必ず選んでください**, ノンバイナリー, クエスチョニング</t>
  </si>
  <si>
    <t>私（わたし／わたくし）, ぼく</t>
  </si>
  <si>
    <t>he, they/them/their/themselves</t>
  </si>
  <si>
    <t>LGBTQ+運動からの排斥, 職場や学校における無理解, ミスジェンダリング（誤った性別として扱うこと）, デッドネーミング（誤った名前で呼ばれること）, カムアウトできない</t>
  </si>
  <si>
    <t>中性, 無し, **必ず選んでください**, クエスチョニング, 女性／woman, 不明／わからない, ノンバイナリー女性, ノンバイナリー, 青年</t>
  </si>
  <si>
    <t>わたし, おれ, 自分, ぼく, 私（わたし／わたくし）, わし</t>
  </si>
  <si>
    <t>かれ, 彼</t>
  </si>
  <si>
    <t>職場や学校における無理解, 性暴力, 社会の中でいないことにされる</t>
  </si>
  <si>
    <t>デミガール, クエスチョニング, 不明／わからない, ノンバイナリー女性, 無性, トランス*／trans*, **必ず選んでください**, クィア／Queer</t>
  </si>
  <si>
    <t>（any／問わない／どれでもよい）, （時とともに変わる）</t>
  </si>
  <si>
    <t>あたし, うち, おれ, 私（わたし／わたくし）, 自分</t>
  </si>
  <si>
    <t>彼人（かのひと）, （自分（たち）の名前）</t>
  </si>
  <si>
    <t>ミスジェンダリング（誤った性別として扱うこと）, カムアウトできない, カムアウトを強制される, 必要なジェンダーケアへアクセスできない, アウティング（勝手にジェンダーや指向についての情報を明かされること）, 性暴力, 職場や学校における無理解, 医療における無理解, 家族／かぞくからの無理解, LGBTQ+運動からの排斥</t>
  </si>
  <si>
    <t>戸籍名の変更, ホルモン補充療法（HRT）, 胸部の手術</t>
  </si>
  <si>
    <t>性暴力, 家族／かぞくからの無理解</t>
  </si>
  <si>
    <t>ノンバイナリー, ノンバイナリー女性, クエスチョニング, enby／エンビー</t>
  </si>
  <si>
    <t>（any／問わない／どれでもよい）, くん／君, ちゃん, さん</t>
  </si>
  <si>
    <t>**英語を日常的に使わない**, （any／問わない／どれでもよい）, -san</t>
  </si>
  <si>
    <t>（自分（たち）の名前）, 僕, 私（わたし／わたくし）, （any／問わない／どれでもよい）, 俺</t>
  </si>
  <si>
    <t>彼人（かのひと）, （any／問わない／どれでもよい）, （自分（たち）の名前）</t>
  </si>
  <si>
    <t>they/them/their/themself, any/問わない/どれでもよい</t>
  </si>
  <si>
    <t>ジェンダークィア, トランスジェンダー, ノンバイナリー, クィア／Queer, （ジェンダー・）フルイド／（ジェンダー・）フリュイド／（ジェンダー・）フルイッド, Aジェンダー／エイジェンダー／アジェンダー／agender</t>
  </si>
  <si>
    <t>あたし, 私（わたし／わたくし）, わたし</t>
  </si>
  <si>
    <t>トイレなどのジェンダー化されたスペースの使用, 社会の中でいないことにされる, ミスジェンダリング（誤った性別として扱うこと）, カムアウトできない, 必要なジェンダーケアへアクセスできない, アウティング（勝手にジェンダーや指向についての情報を明かされること）</t>
  </si>
  <si>
    <t>戸籍名の変更, 戸籍上の性別の変更, 顔にかかわる手術, 声帯にかかわる手術</t>
  </si>
  <si>
    <t>クィア／Queer, デミAジェンダー, **必ず選んでください**, デミガール</t>
  </si>
  <si>
    <t>わたし, うち, 私（わたし／わたくし）, （自分（たち）の名前）</t>
  </si>
  <si>
    <t>彼女, （自分（たち）の名前）</t>
  </si>
  <si>
    <t>職場や学校における無理解, 社会の中でいないことにされる, ミスジェンダリング（誤った性別として扱うこと）, 家族／かぞくからの無理解, LGBTQ+運動からの排斥, カムアウトできない</t>
  </si>
  <si>
    <t>ノンバイナリー, ゲイ（ジェンダーについて）, ノンバイナリー女性, （ジェンダー・）フルイド／（ジェンダー・）フリュイド／（ジェンダー・）フルイッド, レズビアン（ジェンダーについて）, バイジェンダー</t>
  </si>
  <si>
    <t>わたし, 私（わたし／わたくし）, 俺, わたくし, おれ, わし, （自分（たち）の名前）</t>
  </si>
  <si>
    <t>（自分（たち）の名前）, 彼女</t>
  </si>
  <si>
    <t>医療における無理解, 社会の中でいないことにされる, カムアウトを強制される, 職場や学校における無理解, カムアウトできない, 家族／かぞくからの無理解, 必要なジェンダーケアへアクセスできない, アウティング（勝手にジェンダーや指向についての情報を明かされること）</t>
  </si>
  <si>
    <t>無し, enby／エンビー, ノンバイナリー, トランスジェンダー, トランス, ゼノジェンダー／xenogender, 少女</t>
  </si>
  <si>
    <t>くん／君, （敬称なし）, （時とともに変わる）, （any／問わない／どれでもよい）, さん, ちゃん</t>
  </si>
  <si>
    <t>（敬称なし）, （any／問わない／どれでもよい）</t>
  </si>
  <si>
    <t>（自分（たち）の名前）, ぼく, 俺, わたし, 私（わたし／わたくし）, おれ, 僕, 自分</t>
  </si>
  <si>
    <t>they/them/their/themself, **英語を日常的に使わない**</t>
  </si>
  <si>
    <t>トイレなどのジェンダー化されたスペースの使用, ミスジェンダリング（誤った性別として扱うこと）, LGBTQ+運動からの排斥, 家族／かぞくからの無理解, 必要なジェンダーケアへアクセスできない, 社会の中でいないことにされる, 医療における無理解</t>
  </si>
  <si>
    <t>ホルモン補充療法（HRT）, 声帯にかかわる手術, 胸部の手術</t>
  </si>
  <si>
    <t>ノンバイナリー女性, ニュートラル, 女性／woman, バイジェンダー</t>
  </si>
  <si>
    <t>（クエスチョニング、模索中、または不明）, さん</t>
  </si>
  <si>
    <t>自分, 私（わたし／わたくし）, あたし</t>
  </si>
  <si>
    <t>（自分（たち）の名前）, 彼人（かのひと）</t>
  </si>
  <si>
    <t>ミスジェンダリング（誤った性別として扱うこと）, 社会の中でいないことにされる, LGBTQ+運動からの排斥</t>
  </si>
  <si>
    <t>クィア／Queer, 男性／man, **必ず選んでください**, トランス男性, トランスジェンダー, トランスマスキュリン, トランス</t>
  </si>
  <si>
    <t>（敬称なし）, くん／君, さん</t>
  </si>
  <si>
    <t>私（わたし／わたくし）, 自分, （自分（たち）の名前）, （一人称の使用を避ける）, 僕, わし, ぼく</t>
  </si>
  <si>
    <t>（三人称で言及してほしくない）, かれ, （自分（たち）の名前）, 彼</t>
  </si>
  <si>
    <t>医療における無理解, トイレなどのジェンダー化されたスペースの使用, 必要なジェンダーケアへアクセスできない, 社会の中でいないことにされる, カムアウトできない, カムアウトを強制される, 家族／かぞくからの無理解, アウティング（勝手にジェンダーや指向についての情報を明かされること）, 性暴力, デッドネーミング（誤った名前で呼ばれること）, ミスジェンダリング（誤った性別として扱うこと）, 職場や学校における無理解</t>
  </si>
  <si>
    <t>戸籍名の変更, 戸籍上の性別の変更, ホルモン補充療法（HRT）, 胸部の手術, 性器にかかわる手術</t>
  </si>
  <si>
    <t>戸籍名の変更, ホルモン補充療法（HRT）</t>
  </si>
  <si>
    <t>クィア／Queer, **必ず選んでください**, Aジェンダー／エイジェンダー／アジェンダー／agender, 無性, ノンバイナリー</t>
  </si>
  <si>
    <t>（敬称なし）, さん</t>
  </si>
  <si>
    <t>自分, おれ, 私（わたし／わたくし）, わたし, 俺</t>
  </si>
  <si>
    <t>ミスジェンダリング（誤った性別として扱うこと）, トイレなどのジェンダー化されたスペースの使用</t>
  </si>
  <si>
    <t>**必ず選んでください**, クィア／Queer</t>
  </si>
  <si>
    <t>無し, **必ず選んでください**, Aジェンダー／エイジェンダー／アジェンダー／agender, ノンバイナリー</t>
  </si>
  <si>
    <t>ジェンダーマイノリティ</t>
  </si>
  <si>
    <t>俺, 僕, 私（わたし／わたくし）</t>
  </si>
  <si>
    <t>（自分（たち）の名前）, 彼, （三人称で言及してほしくない）</t>
  </si>
  <si>
    <t>デッドネーミング（誤った名前で呼ばれること）, 医療における無理解, ミスジェンダリング（誤った性別として扱うこと）, 職場や学校における無理解, 社会の中でいないことにされる, カムアウトできない, 性暴力</t>
  </si>
  <si>
    <t>不明／わからない, **必ず選んでください**</t>
  </si>
  <si>
    <t>生物学的性別としては女性、ジェンダーは不明</t>
  </si>
  <si>
    <t>**英語を日常的に使わない**, （時とともに変わる）, Ms.</t>
  </si>
  <si>
    <t>私（わたし／わたくし）, わし, 自分, 俺</t>
  </si>
  <si>
    <t>they/them/their/themselves, **英語を日常的に使わない**, she</t>
  </si>
  <si>
    <t>性暴力, 職場や学校における無理解, ミスジェンダリング（誤った性別として扱うこと）, 家族／かぞくからの無理解, 必要なジェンダーケアへアクセスできない, トイレなどのジェンダー化されたスペースの使用</t>
  </si>
  <si>
    <t>不定性, クエスチョニング, クィア／Queer, **必ず選んでください**, （ジェンダー・）フルイド／（ジェンダー・）フリュイド／（ジェンダー・）フルイッド, ノンバイナリー, ジェンダークィア, Xジェンダー</t>
  </si>
  <si>
    <t>（クエスチョニング、模索中、または不明）, （敬称なし）, さん</t>
  </si>
  <si>
    <t>（時とともに変わる）, わたくし, おれ, 自分, ぼく, わたし, （一人称の使用を避ける）, 私（わたし／わたくし）</t>
  </si>
  <si>
    <t>they/them/their/themself, they/them/their/themselves, **英語を日常的に使わない**</t>
  </si>
  <si>
    <t>職場や学校における無理解, カムアウトできない, 家族／かぞくからの無理解, 社会の中でいないことにされる, トイレなどのジェンダー化されたスペースの使用, ミスジェンダリング（誤った性別として扱うこと）, カムアウトを強制される, 必要なジェンダーケアへアクセスできない, アウティング（勝手にジェンダーや指向についての情報を明かされること）</t>
  </si>
  <si>
    <t>戸籍上の性別の変更, ジェンダークリニックの受診</t>
  </si>
  <si>
    <t>さん, （敬称なし）, ちゃん, （時とともに変わる）</t>
  </si>
  <si>
    <t>私（わたし／わたくし）, 自分, わたし, うち</t>
  </si>
  <si>
    <t>カムアウトできない, 性暴力, 必要なジェンダーケアへアクセスできない, ミスジェンダリング（誤った性別として扱うこと）</t>
  </si>
  <si>
    <t>クィア／Queer, ノンバイナリー, デミジェンダー</t>
  </si>
  <si>
    <t>デミフェミ</t>
  </si>
  <si>
    <t>ちゃん, たん, さん</t>
  </si>
  <si>
    <t>-san, （時とともに変わる）</t>
  </si>
  <si>
    <t>あたし, うち, 自分, わたし, 私（わたし／わたくし）</t>
  </si>
  <si>
    <t>（時とともに変わる）, she</t>
  </si>
  <si>
    <t>LGBTQ+運動からの排斥, ミスジェンダリング（誤った性別として扱うこと）, 社会の中でいないことにされる, 職場や学校における無理解, 家族／かぞくからの無理解</t>
  </si>
  <si>
    <t>ノンバイナリー, 無性, 不明／わからない</t>
  </si>
  <si>
    <t>（敬称なし）, ちゃん, （時とともに変わる）, （クエスチョニング、模索中、または不明）</t>
  </si>
  <si>
    <t>自分, 私（わたし／わたくし）, わたくし, 俺, おれ, わたし</t>
  </si>
  <si>
    <t>（三人称で言及してほしくない）, 彼女</t>
  </si>
  <si>
    <t>ノンバイナリー, **必ず選んでください**, クィア／Queer</t>
  </si>
  <si>
    <t>ちゃん, さん, くん／君</t>
  </si>
  <si>
    <t>Dr.など、職業などにかかわるもの, -san</t>
  </si>
  <si>
    <t>自分, わたし, おれ, わたくし, 僕, （自分（たち）の名前）, 私（わたし／わたくし）</t>
  </si>
  <si>
    <t>社会の中でいないことにされる, LGBTQ+運動からの排斥, 職場や学校における無理解, 必要なジェンダーケアへアクセスできない, トイレなどのジェンダー化されたスペースの使用, 医療における無理解, ミスジェンダリング（誤った性別として扱うこと）</t>
  </si>
  <si>
    <t>戸籍名の変更, ジェンダークリニックの受診</t>
  </si>
  <si>
    <t>不明／わからない, 女性／woman, **必ず選んでください**</t>
  </si>
  <si>
    <t>女性／woman, ジェンダークィア, クィア／Queer, ジェンダーレス, 中性, **必ず選んでください**</t>
  </si>
  <si>
    <t>職場や学校における無理解, 社会の中でいないことにされる, カムアウトできない</t>
  </si>
  <si>
    <t>**必ず選んでください**, 不明／わからない, ノンバイナリー</t>
  </si>
  <si>
    <t>（時とともに変わる）, （クエスチョニング、模索中、または不明）, さん</t>
  </si>
  <si>
    <t>（時とともに変わる）, Mx., （クエスチョニング、模索中、または不明）</t>
  </si>
  <si>
    <t>私（わたし／わたくし）, 自分</t>
  </si>
  <si>
    <t>彼人（かのひと）, （自分（たち）の名前）, 彼人（かのと）</t>
  </si>
  <si>
    <t>they/them/their/themselves, they/them/their/themself</t>
  </si>
  <si>
    <t>職場や学校における無理解, ミスジェンダリング（誤った性別として扱うこと）, カムアウトできない, 家族／かぞくからの無理解, 医療における無理解, アウティング（勝手にジェンダーや指向についての情報を明かされること）, カムアウトを強制される, トイレなどのジェンダー化されたスペースの使用, 社会の中でいないことにされる, LGBTQ+運動からの排斥</t>
  </si>
  <si>
    <t>不明／わからない, ノンバイナリー, ジェンダークィア, クィア／Queer, Aジェンダー／エイジェンダー／アジェンダー／agender, Xジェンダー</t>
  </si>
  <si>
    <t>（時とともに変わる）, おれ, 私（わたし／わたくし）, わたし, （自分（たち）の名前）, 自分</t>
  </si>
  <si>
    <t>they/them/their/themselves, any/問わない/どれでもよい, （クエスチョニング、模索中、または不明）</t>
  </si>
  <si>
    <t>カムアウトを強制される, 性暴力, トイレなどのジェンダー化されたスペースの使用, 職場や学校における無理解, 社会の中でいないことにされる, 医療における無理解, ミスジェンダリング（誤った性別として扱うこと）</t>
  </si>
  <si>
    <t>Aジェンダー／エイジェンダー／アジェンダー／agender, クィア／Queer, ノンバイナリー, **必ず選んでください**, ジェンダークィア</t>
  </si>
  <si>
    <t>**英語を日常的に使わない**, （クエスチョニング、模索中、または不明）</t>
  </si>
  <si>
    <t>おれ, 自分, 私（わたし／わたくし）</t>
  </si>
  <si>
    <t>渠（かれ）, （自分（たち）の名前）, 彼人（かのと）, かれ, 彼人（かのひと）</t>
  </si>
  <si>
    <t>ミスジェンダリング（誤った性別として扱うこと）, 社会の中でいないことにされる, カムアウトできない</t>
  </si>
  <si>
    <t>**必ず選んでください**, Xジェンダー, ノンバイナリー</t>
  </si>
  <si>
    <t>maverique</t>
  </si>
  <si>
    <t>わたし, （時とともに変わる）, 私（わたし／わたくし）, 俺, （自分（たち）の名前）, 自分, 僕</t>
  </si>
  <si>
    <t>家族／かぞくからの無理解, LGBTQ+運動からの排斥, 職場や学校における無理解, ミスジェンダリング（誤った性別として扱うこと）, カムアウトできない, トイレなどのジェンダー化されたスペースの使用, 必要なジェンダーケアへアクセスできない, アウティング（勝手にジェンダーや指向についての情報を明かされること）, デッドネーミング（誤った名前で呼ばれること）, 医療における無理解, 社会の中でいないことにされる, カムアウトを強制される</t>
  </si>
  <si>
    <t>ジェンダークリニックの受診, 胸部の手術</t>
  </si>
  <si>
    <t>ジェンダークィア, トランス*／trans*, トランスフェミニン, トランス, ノンバイナリー女性, ノンバイナリー</t>
  </si>
  <si>
    <t>**英語を日常的に使わない**, they/them/their/themself</t>
  </si>
  <si>
    <t>職場や学校における無理解, ミスジェンダリング（誤った性別として扱うこと）, 家族／かぞくからの無理解, 必要なジェンダーケアへアクセスできない, デッドネーミング（誤った名前で呼ばれること）, トイレなどのジェンダー化されたスペースの使用</t>
  </si>
  <si>
    <t>戸籍名の変更, ジェンダークリニックの受診, ホルモン補充療法（HRT）</t>
  </si>
  <si>
    <t>ジェンダーレス, **必ず選んでください**, 無性</t>
  </si>
  <si>
    <t>（時とともに変わる）, さん, （敬称なし）</t>
  </si>
  <si>
    <t>（時とともに変わる）, わたし, 自分</t>
  </si>
  <si>
    <t>**必ず選んでください**, トランス, ジェンダー・ノンコンフォーミング／gender non-conforming, ノンバイナリー, クィア／Queer</t>
  </si>
  <si>
    <t>私（わたし／わたくし）, おれ</t>
  </si>
  <si>
    <t>職場や学校における無理解, 家族／かぞくからの無理解, トイレなどのジェンダー化されたスペースの使用, LGBTQ+運動からの排斥, ミスジェンダリング（誤った性別として扱うこと）, カムアウトを強制される, 社会の中でいないことにされる</t>
  </si>
  <si>
    <t>戸籍上の性別の変更, ホルモン補充療法（HRT）</t>
  </si>
  <si>
    <t>不明／わからない, ノンバイナリー, クィア／Queer, （ジェンダー・）フルイド／（ジェンダー・）フリュイド／（ジェンダー・）フルイッド, 無し, ジェンダーレス, 無性, Xジェンダー, X, クエスチョニング, **必ず選んでください**, 不定性</t>
  </si>
  <si>
    <t>（時とともに変わる）, わし, わたし, 僕, 俺, わたくし, おら</t>
  </si>
  <si>
    <t>彼人（かのひと）, かれ, 彼人（かのと）, 彼</t>
  </si>
  <si>
    <t>ミスジェンダリング（誤った性別として扱うこと）, デッドネーミング（誤った名前で呼ばれること）, 社会の中でいないことにされる, アウティング（勝手にジェンダーや指向についての情報を明かされること）</t>
  </si>
  <si>
    <t>戸籍名の変更, 戸籍上の性別の変更</t>
  </si>
  <si>
    <t>女性／woman, トランス, フェム, トランスジェンダー, トランス女性, ノンバイナリー, クエスチョニング, ノンバイナリー女性, トランスフェミニン, **必ず選んでください**, トランス*／trans*</t>
  </si>
  <si>
    <t>ちゃん, たん</t>
  </si>
  <si>
    <t>わたし, あたし, （自分（たち）の名前）, わし</t>
  </si>
  <si>
    <t>she, they/them/their/themself</t>
  </si>
  <si>
    <t>デッドネーミング（誤った名前で呼ばれること）, 社会の中でいないことにされる, 必要なジェンダーケアへアクセスできない, LGBTQ+運動からの排斥</t>
  </si>
  <si>
    <t>戸籍名の変更, 戸籍上の性別の変更, ジェンダークリニックの受診, 抗ホルモン療法, ホルモン補充療法（HRT）, 性器にかかわる手術</t>
  </si>
  <si>
    <t>無性, トランス女性, フェム, クィア／Queer, ノンバイナリー, **必ず選んでください**</t>
  </si>
  <si>
    <t>ジェンダーフルイド</t>
  </si>
  <si>
    <t>あたし, わたし</t>
  </si>
  <si>
    <t>彼女, 彼人（かのと）, （自分（たち）の名前）</t>
  </si>
  <si>
    <t>職場や学校における無理解, カムアウトできない, 医療における無理解, 性暴力, カムアウトを強制される, 必要なジェンダーケアへアクセスできない, ミスジェンダリング（誤った性別として扱うこと）, 家族／かぞくからの無理解, デッドネーミング（誤った名前で呼ばれること）, トイレなどのジェンダー化されたスペースの使用, 社会の中でいないことにされる, LGBTQ+運動からの排斥</t>
  </si>
  <si>
    <t>戸籍名の変更, 戸籍上の性別の変更, ジェンダークリニックの受診, 抗ホルモン療法, ホルモン補充療法（HRT）, 胸部の手術, 性器にかかわる手術</t>
  </si>
  <si>
    <t>デミAジェンダー, デミジェンダー, デミボーイ, デミガール, 不明／わからない, フェム</t>
  </si>
  <si>
    <t>さん, （敬称なし）</t>
  </si>
  <si>
    <t>（クエスチョニング、模索中、または不明）, **英語を日常的に使わない**</t>
  </si>
  <si>
    <t>（クエスチョニング、模索中、または不明）, わたくし, わたし, おれ, 自分, 私（わたし／わたくし）</t>
  </si>
  <si>
    <t>they/them/their/themselves, she, （時とともに変わる）</t>
  </si>
  <si>
    <t>カムアウトを強制される, 社会の中でいないことにされる</t>
  </si>
  <si>
    <t>シスジェンダー, クエスチョニング, クィア／Queer, ジェンダークィア, **必ず選んでください**</t>
  </si>
  <si>
    <t>私（わたし／わたくし）, （クエスチョニング、模索中、または不明）, （自分（たち）の名前）, わたし, 自分, おれ, （時とともに変わる）, （any／問わない／どれでもよい）, あたし, 俺</t>
  </si>
  <si>
    <t>（三人称で言及してほしくない）, 彼人（かのひと）, （自分（たち）の名前）</t>
  </si>
  <si>
    <t>トランス, トランス*／trans*, トランス男性, トランスジェンダー, **必ず選んでください**, 男性／man, デミボーイ, クィア／Queer</t>
  </si>
  <si>
    <t>さん, （any／問わない／どれでもよい）</t>
  </si>
  <si>
    <t>（敬称なし）, -san</t>
  </si>
  <si>
    <t>僕, わたし, 自分, （時とともに変わる）, 俺</t>
  </si>
  <si>
    <t>戸籍名の変更, ホルモン補充療法（HRT）, 声帯にかかわる手術, 胸部の手術, 性器にかかわる手術</t>
  </si>
  <si>
    <t>バイナリー, フェム, クエスチョニング, （ジェンダー・）フルイド／（ジェンダー・）フリュイド／（ジェンダー・）フルイッド, シスジェンダー, レズビアン（ジェンダーについて）, **必ず選んでください**, 女性／woman, ノンバイナリー</t>
  </si>
  <si>
    <t>（時とともに変わる）, ちゃん, （クエスチョニング、模索中、または不明）, （敬称なし）, さん</t>
  </si>
  <si>
    <t>私（わたし／わたくし）, わたくし</t>
  </si>
  <si>
    <t>they/them/their/themself, she, （時とともに変わる）</t>
  </si>
  <si>
    <t>社会の中でいないことにされる, 職場や学校における無理解, ミスジェンダリング（誤った性別として扱うこと）, アウティング（勝手にジェンダーや指向についての情報を明かされること）, 性暴力, カムアウトできない, 家族／かぞくからの無理解</t>
  </si>
  <si>
    <t>ノンバイナリー, **必ず選んでください**, クエスチョニング, クィア／Queer</t>
  </si>
  <si>
    <t>（時とともに変わる）, 自分, ぼく, 私（わたし／わたくし）</t>
  </si>
  <si>
    <t>デッドネーミング（誤った名前で呼ばれること）, 社会の中でいないことにされる, カムアウトできない, 必要なジェンダーケアへアクセスできない</t>
  </si>
  <si>
    <t>戸籍名の変更, ジェンダークリニックの受診, 抗ホルモン療法, 胸部の手術</t>
  </si>
  <si>
    <t>ノンバイナリー女性, Aジェンダー／エイジェンダー／アジェンダー／agender</t>
  </si>
  <si>
    <t>they/them/their/themselves, she</t>
  </si>
  <si>
    <t>性暴力, 社会の中でいないことにされる</t>
  </si>
  <si>
    <t>Aジェンダー／エイジェンダー／アジェンダー／agender, ノンバイナリー, **必ず選んでください**, ブッチ／butch, 無性</t>
  </si>
  <si>
    <t>自分, （自分（たち）の名前）, 俺, 私（わたし／わたくし）</t>
  </si>
  <si>
    <t>社会の中でいないことにされる, ミスジェンダリング（誤った性別として扱うこと）, カムアウトできない, トイレなどのジェンダー化されたスペースの使用, LGBTQ+運動からの排斥</t>
  </si>
  <si>
    <t>戸籍上の性別の変更, ジェンダークリニックの受診, 抗ホルモン療法</t>
  </si>
  <si>
    <t>ジェンダークリニックの受診, 抗ホルモン療法</t>
  </si>
  <si>
    <t>X, ノンバイナリー, 両性, クエスチョニング, Xジェンダー, **必ず選んでください**</t>
  </si>
  <si>
    <t>-san, Dr.など、職業などにかかわるもの</t>
  </si>
  <si>
    <t>自分, 私（わたし／わたくし）</t>
  </si>
  <si>
    <t>ミスジェンダリング（誤った性別として扱うこと）, 必要なジェンダーケアへアクセスできない, トイレなどのジェンダー化されたスペースの使用, LGBTQ+運動からの排斥, 性暴力, カムアウトできない, 職場や学校における無理解, 医療における無理解, 社会の中でいないことにされる</t>
  </si>
  <si>
    <t>戸籍名の変更, ジェンダークリニックの受診, 抗ホルモン療法, ホルモン補充療法（HRT）, 胸部の手術, 性器にかかわる手術</t>
  </si>
  <si>
    <t>ジェンダークィア, ジェンダー・ノンコンフォーミング／gender non-conforming, 不明／わからない, ノンバイナリー</t>
  </si>
  <si>
    <t>社会の中でいないことにされる, 職場や学校における無理解, カムアウトできない, 家族／かぞくからの無理解, 医療における無理解, 性暴力, アウティング（勝手にジェンダーや指向についての情報を明かされること）, トイレなどのジェンダー化されたスペースの使用, LGBTQ+運動からの排斥, ミスジェンダリング（誤った性別として扱うこと）, 必要なジェンダーケアへアクセスできない</t>
  </si>
  <si>
    <t>トランス*／trans*, **必ず選んでください**, トランス男性</t>
  </si>
  <si>
    <t>僕, ぼく, おら</t>
  </si>
  <si>
    <t>（自分（たち）の名前）, 彼</t>
  </si>
  <si>
    <t>ミスジェンダリング（誤った性別として扱うこと）, 性暴力, 社会の中でいないことにされる, デッドネーミング（誤った名前で呼ばれること）, カムアウトできない, アウティング（勝手にジェンダーや指向についての情報を明かされること）, カムアウトを強制される</t>
  </si>
  <si>
    <t>戸籍名の変更, 戸籍上の性別の変更, ジェンダークリニックの受診, 胸部の手術, 性器にかかわる手術</t>
  </si>
  <si>
    <t>ノンバイナリー, ジェンダークィア, クエスチョニング, **必ず選んでください**, クィア／Queer</t>
  </si>
  <si>
    <t>俺, 私（わたし／わたくし）, ぼく, うち</t>
  </si>
  <si>
    <t>カムアウトできない, 職場や学校における無理解, 家族／かぞくからの無理解, 社会の中でいないことにされる, ミスジェンダリング（誤った性別として扱うこと）</t>
  </si>
  <si>
    <t>ノンバイナリー？</t>
  </si>
  <si>
    <t>ミスジェンダリング（誤った性別として扱うこと）, 家族／かぞくからの無理解</t>
  </si>
  <si>
    <t>Xジェンダー, 中性, ノンバイナリー女性, **必ず選んでください**, （ジェンダー・）フルイド／（ジェンダー・）フリュイド／（ジェンダー・）フルイッド, クィア／Queer, 不定性, デミガール</t>
  </si>
  <si>
    <t>（any／問わない／どれでもよい）, さん</t>
  </si>
  <si>
    <t>私（わたし／わたくし）, わたし, （自分（たち）の名前）, わし, おれ, うち</t>
  </si>
  <si>
    <t>ニューロジェンダー／neurogender, 少女, ノンバイナリー, 女の子／girl, トランス, （ジェンダー・）フルイド／（ジェンダー・）フリュイド／（ジェンダー・）フルイッド, enby／エンビー, Xジェンダー, トランスフェミニン, 両性, ポリジェンダー, バイジェンダー, クィア／Queer, ジェンダーフラックス／フラックスジェンダー, **必ず選んでください**, トランスジェンダー, デミボーイ, 無性, 女性／woman, 不定性</t>
  </si>
  <si>
    <t>ちゃん, （敬称なし）, さん</t>
  </si>
  <si>
    <t>**英語を日常的に使わない**, （クエスチョニング、模索中、または不明）, （敬称なし）</t>
  </si>
  <si>
    <t>自分, わたし, 私（わたし／わたくし）, うち</t>
  </si>
  <si>
    <t>彼人（かのひと）, 彼人（かのと）, 彼女, （自分（たち）の名前）</t>
  </si>
  <si>
    <t>she, **英語を日常的に使わない**, they/them/their/themself, （クエスチョニング、模索中、または不明）</t>
  </si>
  <si>
    <t>ミスジェンダリング（誤った性別として扱うこと）, トイレなどのジェンダー化されたスペースの使用, 社会の中でいないことにされる</t>
  </si>
  <si>
    <t>トランス女性, ジェンダーレス, トランスジェンダー, トランスセクシュアル／transsexual, ノンバイナリー, **必ず選んでください**, トランス, シスジェンダー, レズビアン（ジェンダーについて）, クエスチョニング, トランス男性, ノンバイナリー男性, フェム, ノンバイナリー女性</t>
  </si>
  <si>
    <t>わたし, 私（わたし／わたくし）, 自分, あたし</t>
  </si>
  <si>
    <t>（ジェンダー・）フルイド／（ジェンダー・）フリュイド／（ジェンダー・）フルイッド, クィア／Queer, **必ず選んでください**, 不明／わからない, ノンバイナリー, トランスジェンダー, トランス, ジェンダー・ノンコンフォーミング／gender non-conforming</t>
  </si>
  <si>
    <t>透明</t>
  </si>
  <si>
    <t>私（わたし／わたくし）, （自分（たち）の名前）</t>
  </si>
  <si>
    <t>（自分（たち）の名前）, かれ</t>
  </si>
  <si>
    <t>必要なジェンダーケアへアクセスできない, 家族／かぞくからの無理解, 医療における無理解, 職場や学校における無理解, ミスジェンダリング（誤った性別として扱うこと）, トイレなどのジェンダー化されたスペースの使用, 社会の中でいないことにされる, カムアウトできない</t>
  </si>
  <si>
    <t>ジェンダークリニックの受診, 抗ホルモン療法, ホルモン補充療法（HRT）, 声帯にかかわる手術, 胸部の手術</t>
  </si>
  <si>
    <t>**必ず選んでください**, クエスチョニング, ノンバイナリー, 無性, 中性</t>
  </si>
  <si>
    <t>Dr.など、職業などにかかわるもの, （敬称なし）</t>
  </si>
  <si>
    <t>僕, 私（わたし／わたくし）, 自分, （時とともに変わる）</t>
  </si>
  <si>
    <t>カムアウトできない, トイレなどのジェンダー化されたスペースの使用, 性暴力</t>
  </si>
  <si>
    <t>声帯にかかわる手術, 胸部の手術, 性器にかかわる手術</t>
  </si>
  <si>
    <t>Xジェンダー, ノンバイナリー</t>
  </si>
  <si>
    <t>うち, 俺, 自分, 僕, 私（わたし／わたくし）</t>
  </si>
  <si>
    <t>彼人（かのひと）, かれ, （自分（たち）の名前）</t>
  </si>
  <si>
    <t>LGBTQ+運動からの排斥, 社会の中でいないことにされる, 医療における無理解, アウティング（勝手にジェンダーや指向についての情報を明かされること）, ミスジェンダリング（誤った性別として扱うこと）</t>
  </si>
  <si>
    <t>**必ず選んでください**, ノンバイナリー, Aジェンダー／エイジェンダー／アジェンダー／agender</t>
  </si>
  <si>
    <t>くん／君, さん</t>
  </si>
  <si>
    <t>-san, **英語を日常的に使わない**, Mx.</t>
  </si>
  <si>
    <t>おれ, わし, ぼく, 私（わたし／わたくし）, わたくし, （自分（たち）の名前）, （時とともに変わる）, 僕, あたし, 俺</t>
  </si>
  <si>
    <t>必要なジェンダーケアへアクセスできない, カムアウトできない, ミスジェンダリング（誤った性別として扱うこと）, 家族／かぞくからの無理解, トイレなどのジェンダー化されたスペースの使用, 社会の中でいないことにされる, LGBTQ+運動からの排斥</t>
  </si>
  <si>
    <t>（ジェンダー・）フルイド／（ジェンダー・）フリュイド／（ジェンダー・）フルイッド, シスジェンダー, 女性／woman</t>
  </si>
  <si>
    <t>たん, ちゃん, さん</t>
  </si>
  <si>
    <t>自分, ぼく, 私（わたし／わたくし）</t>
  </si>
  <si>
    <t>彼女, 彼人（かのひと）</t>
  </si>
  <si>
    <t>ニューロジェンダー／neurogender, ノンバイナリー, ジェンダークィア, **必ず選んでください**</t>
  </si>
  <si>
    <t>オーティジェンダー</t>
  </si>
  <si>
    <t>僕, 俺, 自分, 私（わたし／わたくし）</t>
  </si>
  <si>
    <t>彼, （自分（たち）の名前）, （三人称で言及してほしくない）</t>
  </si>
  <si>
    <t>ミスジェンダリング（誤った性別として扱うこと）, デッドネーミング（誤った名前で呼ばれること）, 社会の中でいないことにされる, 医療における無理解</t>
  </si>
  <si>
    <t>戸籍名の変更, 戸籍上の性別の変更, ホルモン補充療法（HRT）, 胸部の手術</t>
  </si>
  <si>
    <t>さん, くん／君, （敬称なし）</t>
  </si>
  <si>
    <t>自分, 僕</t>
  </si>
  <si>
    <t>彼, （自分（たち）の名前）, 彼人（かのと）</t>
  </si>
  <si>
    <t>デッドネーミング（誤った名前で呼ばれること）, トイレなどのジェンダー化されたスペースの使用, 社会の中でいないことにされる, ミスジェンダリング（誤った性別として扱うこと）, LGBTQ+運動からの排斥, カムアウトできない, 家族／かぞくからの無理解</t>
  </si>
  <si>
    <t>戸籍名の変更, ジェンダークリニックの受診, ホルモン補充療法（HRT）, 胸部の手術</t>
  </si>
  <si>
    <t>男性／man, 青年, **必ず選んでください**, ゲイ（ジェンダーについて）</t>
  </si>
  <si>
    <t>おれ, あたし</t>
  </si>
  <si>
    <t>カムアウトを強制される, アウティング（勝手にジェンダーや指向についての情報を明かされること）</t>
  </si>
  <si>
    <t>（時とともに変わる）, 私（わたし／わたくし）, 俺, 僕</t>
  </si>
  <si>
    <t>トイレなどのジェンダー化されたスペースの使用, 社会の中でいないことにされる, カムアウトできない, ミスジェンダリング（誤った性別として扱うこと）, 職場や学校における無理解, 家族／かぞくからの無理解</t>
  </si>
  <si>
    <t>胸部の手術, 性器にかかわる手術</t>
  </si>
  <si>
    <t>（時とともに変わる）, 自分, わし, 私（わたし／わたくし）, ぼく, あたし</t>
  </si>
  <si>
    <t>ミスジェンダリング（誤った性別として扱うこと）, カムアウトできない, 家族／かぞくからの無理解, LGBTQ+運動からの排斥, 社会の中でいないことにされる, 職場や学校における無理解</t>
  </si>
  <si>
    <t>不明／わからない, ノンバイナリー女性, シスジェンダー, ノンバイナリー, 女の子／girl, **必ず選んでください**, 女性／woman</t>
  </si>
  <si>
    <t>女性として生きてきたので女性だとは思っているが女性である確信がない、心の性別が決まる基準がわからないので体が男だった時に違和感があるかわからない</t>
  </si>
  <si>
    <t>たん, （敬称なし）, ちゃん, さん, くん／君</t>
  </si>
  <si>
    <t>Ms., （敬称なし）, **英語を日常的に使わない**, -san</t>
  </si>
  <si>
    <t>（自分（たち）の名前）, わたし, （時とともに変わる）, （一人称の使用を避ける）, あたし</t>
  </si>
  <si>
    <t>she, **英語を日常的に使わない**, they/them/their/themself</t>
  </si>
  <si>
    <t>女性／woman, **必ず選んでください**</t>
  </si>
  <si>
    <t>さん, ちゃん</t>
  </si>
  <si>
    <t>Ms., **英語を日常的に使わない**, Dr.など、職業などにかかわるもの, Mrs.</t>
  </si>
  <si>
    <t>自分, 私（わたし／わたくし）, わたし, うち</t>
  </si>
  <si>
    <t>**英語を日常的に使わない**, she</t>
  </si>
  <si>
    <t>デミガール, ノンバイナリー, クィア／Queer, 女性／woman, **必ず選んでください**, トランスマスキュリン, トランスジェンダー, 男性／man, ジェンダークィア, enby／エンビー, ノンバイナリー女性, ノンバイナリー男性</t>
  </si>
  <si>
    <t>マルチジェンダー、グレイジェンダー</t>
  </si>
  <si>
    <t>俺, あたし, 私（わたし／わたくし）</t>
  </si>
  <si>
    <t>彼人（かのと）, かれ, 彼人（かのひと）, （自分（たち）の名前）</t>
  </si>
  <si>
    <t>ミスジェンダリング（誤った性別として扱うこと）, 社会の中でいないことにされる, カムアウトできない, 医療における無理解, トイレなどのジェンダー化されたスペースの使用, LGBTQ+運動からの排斥, 家族／かぞくからの無理解, 必要なジェンダーケアへアクセスできない</t>
  </si>
  <si>
    <t>ジェンダークリニックの受診, ホルモン補充療法（HRT）, 性器にかかわる手術</t>
  </si>
  <si>
    <t>enby／エンビー, クエスチョニング, ゼノジェンダー／xenogender, クィア／Queer, **必ず選んでください**, ノンバイナリー</t>
  </si>
  <si>
    <t>オタク／フィクティジェンダー（Fictigender）／Q</t>
  </si>
  <si>
    <t>（敬称なし）, くん／君, ちゃん, さん, （any／問わない／どれでもよい）</t>
  </si>
  <si>
    <t>**英語を日常的に使わない**, -san</t>
  </si>
  <si>
    <t>（時とともに変わる）, 俺, 私（わたし／わたくし）, （クエスチョニング、模索中、または不明）, （自分（たち）の名前）, 自分, わたし</t>
  </si>
  <si>
    <t>彼, かれ, 彼人（かのひと）, 渠（かれ）, 彼人（かのと）, （自分（たち）の名前）</t>
  </si>
  <si>
    <t>**英語を日常的に使わない**, any/問わない/どれでもよい</t>
  </si>
  <si>
    <t>家族／かぞくからの無理解, ミスジェンダリング（誤った性別として扱うこと）, アウティング（勝手にジェンダーや指向についての情報を明かされること）, 性暴力, 医療における無理解, トイレなどのジェンダー化されたスペースの使用, LGBTQ+運動からの排斥, 職場や学校における無理解, 必要なジェンダーケアへアクセスできない, 社会の中でいないことにされる, カムアウトできない</t>
  </si>
  <si>
    <t>戸籍上の性別の変更, ジェンダークリニックの受診, ホルモン補充療法（HRT）, 胸部の手術</t>
  </si>
  <si>
    <t>不明／わからない, （ジェンダー・）フルイド／（ジェンダー・）フリュイド／（ジェンダー・）フルイッド, **必ず選んでください**, ジェンダーレス, ノンバイナリー, Aジェンダー／エイジェンダー／アジェンダー／agender, クィア／Queer, Xジェンダー, クエスチョニング</t>
  </si>
  <si>
    <t>医療における無理解, トイレなどのジェンダー化されたスペースの使用, 家族／かぞくからの無理解, カムアウトできない, 性暴力, 社会の中でいないことにされる, ミスジェンダリング（誤った性別として扱うこと）</t>
  </si>
  <si>
    <t>戸籍名の変更, （上記のどれも希望していない）</t>
  </si>
  <si>
    <t>**必ず選んでください**, 無し</t>
  </si>
  <si>
    <t>（時とともに変わる）, さん</t>
  </si>
  <si>
    <t>（一人称の使用を避ける）, （時とともに変わる）, ぼく, 私（わたし／わたくし）, 自分, 僕</t>
  </si>
  <si>
    <t>社会の中でいないことにされる, 必要なジェンダーケアへアクセスできない, トイレなどのジェンダー化されたスペースの使用, ミスジェンダリング（誤った性別として扱うこと）, カムアウトできない</t>
  </si>
  <si>
    <t>戸籍上の性別の変更, 抗ホルモン療法, 声帯にかかわる手術, 胸部の手術, 性器にかかわる手術</t>
  </si>
  <si>
    <t>不定性, ジェンダーレス, 不明／わからない, ダイク／dyke, Xジェンダー, レズビアン（ジェンダーについて）, **必ず選んでください**, （ジェンダー・）フルイド／（ジェンダー・）フリュイド／（ジェンダー・）フルイッド</t>
  </si>
  <si>
    <t>私（わたし／わたくし）, （クエスチョニング、模索中、または不明）, （自分（たち）の名前）</t>
  </si>
  <si>
    <t>職場や学校における無理解, 家族／かぞくからの無理解, アウティング（勝手にジェンダーや指向についての情報を明かされること）, 社会の中でいないことにされる, カムアウトできない</t>
  </si>
  <si>
    <t>ノンバイナリー, **必ず選んでください**, トランス, Xジェンダー, 不明／わからない, ジェンダークィア</t>
  </si>
  <si>
    <t>さん, （クエスチョニング、模索中、または不明）</t>
  </si>
  <si>
    <t>-san, （敬称なし）, **英語を日常的に使わない**</t>
  </si>
  <si>
    <t>わたし, 僕</t>
  </si>
  <si>
    <t>アウティング（勝手にジェンダーや指向についての情報を明かされること）, 必要なジェンダーケアへアクセスできない, カムアウトできない, カムアウトを強制される, トイレなどのジェンダー化されたスペースの使用, 職場や学校における無理解, 家族／かぞくからの無理解, 医療における無理解, 社会の中でいないことにされる</t>
  </si>
  <si>
    <t>クエスチョニング, デミジェンダー, **必ず選んでください**, ジェンダー・ノンコンフォーミング／gender non-conforming, デミAジェンダー, デミガール, ノンバイナリー</t>
  </si>
  <si>
    <t>カムアウトできない, 社会の中でいないことにされる, ミスジェンダリング（誤った性別として扱うこと）</t>
  </si>
  <si>
    <t>**必ず選んでください**, クィア／Queer, ノンバイナリー</t>
  </si>
  <si>
    <t>非シスジェンダー</t>
  </si>
  <si>
    <t>俺, 私（わたし／わたくし）, 自分</t>
  </si>
  <si>
    <t>アウティング（勝手にジェンダーや指向についての情報を明かされること）, トイレなどのジェンダー化されたスペースの使用, カムアウトを強制される, 必要なジェンダーケアへアクセスできない, ミスジェンダリング（誤った性別として扱うこと）, 家族／かぞくからの無理解</t>
  </si>
  <si>
    <t>戸籍名の変更, 戸籍上の性別の変更, ジェンダークリニックの受診, ホルモン補充療法（HRT）, 胸部の手術</t>
  </si>
  <si>
    <t>トランス*／trans*, （ジェンダー・）フルイド／（ジェンダー・）フリュイド／（ジェンダー・）フルイッド, 不明／わからない, 無し, **必ず選んでください**</t>
  </si>
  <si>
    <t>Mx., -san</t>
  </si>
  <si>
    <t>ぼく, わたくし, 俺, 私（わたし／わたくし）, おれ, わたし, （一人称の使用を避ける）</t>
  </si>
  <si>
    <t>職場や学校における無理解, 家族／かぞくからの無理解, トイレなどのジェンダー化されたスペースの使用, 必要なジェンダーケアへアクセスできない, カムアウトできない, ミスジェンダリング（誤った性別として扱うこと）</t>
  </si>
  <si>
    <t>ノンバイナリー, ジェンダークィア, ノンバイナリー女性, （ジェンダー・）フルイド／（ジェンダー・）フリュイド／（ジェンダー・）フルイッド, 不定性, クィア／Queer, 両性, Xジェンダー, デミガール, アンドロジャイン／androgyne, クエスチョニング</t>
  </si>
  <si>
    <t>さん, （クエスチョニング、模索中、または不明）, （any／問わない／どれでもよい）</t>
  </si>
  <si>
    <t>（クエスチョニング、模索中、または不明）, わたし, あたし, （any／問わない／どれでもよい）, 自分, ぼく, おれ, 私（わたし／わたくし）, 僕, 俺</t>
  </si>
  <si>
    <t>（any／問わない／どれでもよい）, 彼人（かのと）, （自分（たち）の名前）, 彼人（かのひと）</t>
  </si>
  <si>
    <t>**英語を日常的に使わない**, （クエスチョニング、模索中、または不明）, they/them/their/themself</t>
  </si>
  <si>
    <t>カムアウトできない, トイレなどのジェンダー化されたスペースの使用, 職場や学校における無理解, ミスジェンダリング（誤った性別として扱うこと）, 社会の中でいないことにされる</t>
  </si>
  <si>
    <t>（ジェンダー・）フルイド／（ジェンダー・）フリュイド／（ジェンダー・）フルイッド, Xジェンダー, 両性, ジェンダーフラックス／フラックスジェンダー, バイジェンダー, ポリジェンダー</t>
  </si>
  <si>
    <t>たん, さん, ちゃん, （any／問わない／どれでもよい）</t>
  </si>
  <si>
    <t>あたし, （自分（たち）の名前）, 俺, 私（わたし／わたくし）</t>
  </si>
  <si>
    <t>カムアウトできない, 家族／かぞくからの無理解, アウティング（勝手にジェンダーや指向についての情報を明かされること）</t>
  </si>
  <si>
    <t>両性, **必ず選んでください**, 無し, トランスセクシュアル／transsexual, 中性, ノンバイナリー, Xジェンダー, トランスジェンダー, ジェンダーレス, X</t>
  </si>
  <si>
    <t>Mrs., （敬称なし）, Dr.など、職業などにかかわるもの, （時とともに変わる）</t>
  </si>
  <si>
    <t>私（わたし／わたくし）, うち, あたし, わたし, 自分</t>
  </si>
  <si>
    <t>ミスジェンダリング（誤った性別として扱うこと）, トイレなどのジェンダー化されたスペースの使用, 必要なジェンダーケアへアクセスできない, 家族／かぞくからの無理解, デッドネーミング（誤った名前で呼ばれること）, カムアウトできない, 職場や学校における無理解, 社会の中でいないことにされる, 性暴力, 医療における無理解, LGBTQ+運動からの排斥</t>
  </si>
  <si>
    <t>enby／エンビー, トランス, クィア／Queer, 無性, ノンバイナリー, ジェンダークィア, Aジェンダー／エイジェンダー／アジェンダー／agender</t>
  </si>
  <si>
    <t>俺, 私（わたし／わたくし）, （一人称の使用を避ける）</t>
  </si>
  <si>
    <t>デッドネーミング（誤った名前で呼ばれること）, カムアウトできない, 必要なジェンダーケアへアクセスできない, ミスジェンダリング（誤った性別として扱うこと）, 職場や学校における無理解, 医療における無理解, 家族／かぞくからの無理解, トイレなどのジェンダー化されたスペースの使用, 社会の中でいないことにされる, 性暴力</t>
  </si>
  <si>
    <t>戸籍名の変更, ジェンダークリニックの受診, ホルモン補充療法（HRT）, 胸部の手術, 性器にかかわる手術</t>
  </si>
  <si>
    <t>無性, Aジェンダー／エイジェンダー／アジェンダー／agender, X, ノンバイナリー, 無し</t>
  </si>
  <si>
    <t>ミスジェンダリング（誤った性別として扱うこと）, 社会の中でいないことにされる, 職場や学校における無理解</t>
  </si>
  <si>
    <t>男性／man, 青年</t>
  </si>
  <si>
    <t>俺, 僕, わたし</t>
  </si>
  <si>
    <t>（自分（たち）の名前）, 彼人（かのひと）, 彼人（かのと）, 彼女</t>
  </si>
  <si>
    <t>トランス女性, トランスセクシュアル／transsexual, **必ず選んでください**, トランス*／trans*, ジェンダーレス</t>
  </si>
  <si>
    <t>Ms., -san</t>
  </si>
  <si>
    <t>they/them/their/themself, she</t>
  </si>
  <si>
    <t>ミスジェンダリング（誤った性別として扱うこと）, 性暴力, 家族／かぞくからの無理解, 必要なジェンダーケアへアクセスできない, 社会の中でいないことにされる, カムアウトできない, アウティング（勝手にジェンダーや指向についての情報を明かされること）, デッドネーミング（誤った名前で呼ばれること）, トイレなどのジェンダー化されたスペースの使用, カムアウトを強制される</t>
  </si>
  <si>
    <t>戸籍名の変更, 戸籍上の性別の変更, ジェンダークリニックの受診, 抗ホルモン療法, ホルモン補充療法（HRT）, 声帯にかかわる手術, 性器にかかわる手術</t>
  </si>
  <si>
    <t>戸籍名の変更, ジェンダークリニックの受診, 抗ホルモン療法, ホルモン補充療法（HRT）</t>
  </si>
  <si>
    <t>ノンバイナリー男性, **必ず選んでください**, 男性／man, （ジェンダー・）フルイド／（ジェンダー・）フリュイド／（ジェンダー・）フルイッド</t>
  </si>
  <si>
    <t>僕, 俺, ぼく, わたし</t>
  </si>
  <si>
    <t>（any／問わない／どれでもよい）, （自分（たち）の名前）</t>
  </si>
  <si>
    <t>カムアウトできない, 職場や学校における無理解, 必要なジェンダーケアへアクセスできない, LGBTQ+運動からの排斥</t>
  </si>
  <si>
    <t>アンドロジャイン／androgyne, 不明／わからない, **必ず選んでください**</t>
  </si>
  <si>
    <t>男と女が入り混じった</t>
  </si>
  <si>
    <t>Mx., **英語を日常的に使わない**</t>
  </si>
  <si>
    <t>自分, わたし, うち, 私（わたし／わたくし）</t>
  </si>
  <si>
    <t>**英語を日常的に使わない**, xe</t>
  </si>
  <si>
    <t>家族／かぞくからの無理解, 社会の中でいないことにされる, カムアウトできない, ミスジェンダリング（誤った性別として扱うこと）</t>
  </si>
  <si>
    <t>無し, 無性, **必ず選んでください**, クエスチョニング, 不明／わからない, （ジェンダー・）フルイド／（ジェンダー・）フリュイド／（ジェンダー・）フルイッド</t>
  </si>
  <si>
    <t>-san, Ms.</t>
  </si>
  <si>
    <t>わたし, 私（わたし／わたくし）, 自分, （自分（たち）の名前）</t>
  </si>
  <si>
    <t>LGBTQ+運動からの排斥, 家族／かぞくからの無理解, ミスジェンダリング（誤った性別として扱うこと）, 職場や学校における無理解, カムアウトできない, 社会の中でいないことにされる</t>
  </si>
  <si>
    <t>バイジェンダー, 両性, 女性／woman, デミボーイ, ノンバイナリー, ジェンダーフラックス／フラックスジェンダー, デミジェンダー, クエスチョニング, X, 不明／わからない, Xジェンダー, 不定性, （ジェンダー・）フルイド／（ジェンダー・）フリュイド／（ジェンダー・）フルイッド, **必ず選んでください**, 中性, デミガール</t>
  </si>
  <si>
    <t>デミフルイド</t>
  </si>
  <si>
    <t>ちゃん, （any／問わない／どれでもよい）, さん, （クエスチョニング、模索中、または不明）, くん／君</t>
  </si>
  <si>
    <t>-san, （クエスチョニング、模索中、または不明）</t>
  </si>
  <si>
    <t>あたし, おれ, うち, ぼく, 自分, わたし, 僕, 私（わたし／わたくし）</t>
  </si>
  <si>
    <t>（自分（たち）の名前）, 彼女, （any／問わない／どれでもよい）, 彼</t>
  </si>
  <si>
    <t>she, they/them/their/themselves, they/them/their/themself, （クエスチョニング、模索中、または不明）</t>
  </si>
  <si>
    <t>LGBTQ+運動からの排斥, 必要なジェンダーケアへアクセスできない, 社会の中でいないことにされる, アウティング（勝手にジェンダーや指向についての情報を明かされること）, カムアウトを強制される</t>
  </si>
  <si>
    <t>ノンバイナリー男性, ノンバイナリー女性, 不明／わからない, ジェンダークィア, ノンバイナリー, クィア／Queer, 両性</t>
  </si>
  <si>
    <t>（時とともに変わる）, ちゃん, （敬称なし）, （クエスチョニング、模索中、または不明）, さん, たん, くん／君, （any／問わない／どれでもよい）</t>
  </si>
  <si>
    <t>僕, （自分（たち）の名前）, （時とともに変わる）, （any／問わない／どれでもよい）, 俺, 私（わたし／わたくし）, わたし, 自分, おれ, あたし</t>
  </si>
  <si>
    <t>（any／問わない／どれでもよい）, 彼人（かのと）, 彼人（かのひと）</t>
  </si>
  <si>
    <t>any/問わない/どれでもよい, fae</t>
  </si>
  <si>
    <t>カムアウトを強制される, デッドネーミング（誤った名前で呼ばれること）, ミスジェンダリング（誤った性別として扱うこと）, 職場や学校における無理解, 家族／かぞくからの無理解</t>
  </si>
  <si>
    <t>顔にかかわる手術, 胸部の手術</t>
  </si>
  <si>
    <t>私（わたし／わたくし）, ぼく, 僕, 自分</t>
  </si>
  <si>
    <t>社会の中でいないことにされる, ミスジェンダリング（誤った性別として扱うこと）, カムアウトできない, アウティング（勝手にジェンダーや指向についての情報を明かされること）, 家族／かぞくからの無理解</t>
  </si>
  <si>
    <t>ジェンダークィア, クィア／Queer, **必ず選んでください**, クエスチョニング, デミジェンダー, ノンバイナリー女性, ジェンダーフラックス／フラックスジェンダー, （ジェンダー・）フルイド／（ジェンダー・）フリュイド／（ジェンダー・）フルイッド</t>
  </si>
  <si>
    <t>gender fae, gender doe</t>
  </si>
  <si>
    <t>ちゃん, （時とともに変わる）, さん</t>
  </si>
  <si>
    <t>（時とともに変わる）, わたし, （クエスチョニング、模索中、または不明）, うち, 私（わたし／わたくし）, 自分</t>
  </si>
  <si>
    <t>カムアウトできない, トイレなどのジェンダー化されたスペースの使用, 社会の中でいないことにされる, 職場や学校における無理解, 家族／かぞくからの無理解</t>
  </si>
  <si>
    <t>（ジェンダー・）フルイド／（ジェンダー・）フリュイド／（ジェンダー・）フルイッド, デミジェンダー, クィア／Queer, ジェンダー・ノンコンフォーミング／gender non-conforming, 女の子／girl, ノンバイナリー女性, デミガール, **必ず選んでください**</t>
  </si>
  <si>
    <t>Mx., （クエスチョニング、模索中、または不明）, -san</t>
  </si>
  <si>
    <t>カムアウトできない, LGBTQ+運動からの排斥, ミスジェンダリング（誤った性別として扱うこと）, 職場や学校における無理解, 家族／かぞくからの無理解, 社会の中でいないことにされる</t>
  </si>
  <si>
    <t>**必ず選んでください**, デミガール, ノンバイナリー</t>
  </si>
  <si>
    <t>僕, 私（わたし／わたくし）, ぼく, 俺, （時とともに変わる）, おれ, 自分, わたし, わし</t>
  </si>
  <si>
    <t>家族／かぞくからの無理解, カムアウトできない, 社会の中でいないことにされる, 職場や学校における無理解</t>
  </si>
  <si>
    <t>クィア／Queer, （ジェンダー・）フルイド／（ジェンダー・）フリュイド／（ジェンダー・）フルイッド, クエスチョニング, トランスマスキュリン, ニューロジェンダー／neurogender, ブッチ／butch, デミジェンダー, デミボーイ, **必ず選んでください**, ジェンダークィア</t>
  </si>
  <si>
    <t>（クエスチョニング、模索中、または不明）, さん, くん／君</t>
  </si>
  <si>
    <t>-san, （クエスチョニング、模索中、または不明）, Mx.</t>
  </si>
  <si>
    <t>わし, ぼく, （クエスチョニング、模索中、または不明）, おれ, 自分, （一人称の使用を避ける）, 私（わたし／わたくし）</t>
  </si>
  <si>
    <t>渠（かれ）, （三人称で言及してほしくない）, かれ</t>
  </si>
  <si>
    <t>they/them/their/themself, ze</t>
  </si>
  <si>
    <t>カムアウトできない, ミスジェンダリング（誤った性別として扱うこと）, 医療における無理解, デッドネーミング（誤った名前で呼ばれること）, 社会の中でいないことにされる, 必要なジェンダーケアへアクセスできない, 職場や学校における無理解, 家族／かぞくからの無理解</t>
  </si>
  <si>
    <t>ジェンダークィア, ノンバイナリー, **必ず選んでください**, デミガール</t>
  </si>
  <si>
    <t>わたし, おれ</t>
  </si>
  <si>
    <t>性暴力, 医療における無理解, 社会の中でいないことにされる, カムアウトできない</t>
  </si>
  <si>
    <t>無性, Aジェンダー／エイジェンダー／アジェンダー／agender, **必ず選んでください**, クエスチョニング, ノンバイナリー, ノンバイナリー女性, Xジェンダー, クィア／Queer, 無し</t>
  </si>
  <si>
    <t>さん, （any／問わない／どれでもよい）, （時とともに変わる）</t>
  </si>
  <si>
    <t>LGBTQ+運動からの排斥, 必要なジェンダーケアへアクセスできない, アウティング（勝手にジェンダーや指向についての情報を明かされること）, 社会の中でいないことにされる, カムアウトできない, 職場や学校における無理解, カムアウトを強制される, 医療における無理解, 性暴力, 家族／かぞくからの無理解, トイレなどのジェンダー化されたスペースの使用, ミスジェンダリング（誤った性別として扱うこと）</t>
  </si>
  <si>
    <t>Xジェンダー, ノンバイナリー, 無性, **必ず選んでください**, X, クエスチョニング</t>
  </si>
  <si>
    <t>自分, （時とともに変わる）, うち, 私（わたし／わたくし）</t>
  </si>
  <si>
    <t>性暴力, ミスジェンダリング（誤った性別として扱うこと）, カムアウトできない, LGBTQ+運動からの排斥</t>
  </si>
  <si>
    <t>自分, ぼく, （any／問わない／どれでもよい）, （時とともに変わる）, あたし, 俺, 私（わたし／わたくし）, 僕, おれ, わたし</t>
  </si>
  <si>
    <t>自分, あたし, おれ</t>
  </si>
  <si>
    <t>職場や学校における無理解, 医療における無理解, カムアウトできない, 社会の中でいないことにされる, ミスジェンダリング（誤った性別として扱うこと）, LGBTQ+運動からの排斥, 家族／かぞくからの無理解</t>
  </si>
  <si>
    <t>戸籍上の性別の変更, ジェンダークリニックの受診, 抗ホルモン療法, 声帯にかかわる手術, 胸部の手術, 性器にかかわる手術</t>
  </si>
  <si>
    <t>ジェンダーレス, 無し, ノンバイナリー, 無性</t>
  </si>
  <si>
    <t>（敬称なし）, （クエスチョニング、模索中、または不明）</t>
  </si>
  <si>
    <t>ぼく, 私（わたし／わたくし）, おれ, 俺, わたし, 僕</t>
  </si>
  <si>
    <t>彼, （自分（たち）の名前）</t>
  </si>
  <si>
    <t>（クエスチョニング、模索中、または不明）, they/them/their/themselves, they/them/their/themself</t>
  </si>
  <si>
    <t>職場や学校における無理解, 家族／かぞくからの無理解, カムアウトできない, トイレなどのジェンダー化されたスペースの使用</t>
  </si>
  <si>
    <t>抗ホルモン療法, ホルモン補充療法（HRT）, 性器にかかわる手術</t>
  </si>
  <si>
    <t>OK</t>
  </si>
  <si>
    <t>ポリジェンダー, **必ず選んでください**, ジェンダーフラックス／フラックスジェンダー, （ジェンダー・）フルイド／（ジェンダー・）フリュイド／（ジェンダー・）フルイッド, 不定性, トランスマスキュリン, Xジェンダー</t>
  </si>
  <si>
    <t>さん, （時とともに変わる）, くん／君, （クエスチョニング、模索中、または不明）</t>
  </si>
  <si>
    <t>自分, （一人称の使用を避ける）, 僕, （時とともに変わる）, 俺, 私（わたし／わたくし）</t>
  </si>
  <si>
    <t>they/them/their/themself, （時とともに変わる）, （クエスチョニング、模索中、または不明）</t>
  </si>
  <si>
    <t>社会の中でいないことにされる, 職場や学校における無理解, トイレなどのジェンダー化されたスペースの使用</t>
  </si>
  <si>
    <t>ジェンダークリニックの受診, ホルモン補充療法（HRT）, 胸部の手術, 性器にかかわる手術</t>
  </si>
  <si>
    <t>バイジェンダー, トランス*／trans*, ノンバイナリー, トランスジェンダー, 男性／man, フェム, enby／エンビー, **必ず選んでください**, トランス女性, 女性／woman</t>
  </si>
  <si>
    <t>ミスジェンダリング（誤った性別として扱うこと）, LGBTQ+運動からの排斥, トイレなどのジェンダー化されたスペースの使用, 職場や学校における無理解, アウティング（勝手にジェンダーや指向についての情報を明かされること）, 家族／かぞくからの無理解, 医療における無理解, デッドネーミング（誤った名前で呼ばれること）, 必要なジェンダーケアへアクセスできない, 社会の中でいないことにされる, 性暴力, カムアウトを強制される</t>
  </si>
  <si>
    <t>戸籍名の変更, 戸籍上の性別の変更, 抗ホルモン療法, ホルモン補充療法（HRT）, 顔にかかわる手術, 性器にかかわる手術</t>
  </si>
  <si>
    <t>抗ホルモン療法, ホルモン補充療法（HRT）</t>
  </si>
  <si>
    <t>**必ず選んでください**, デミボーイ, デミジェンダー, ジェンダーフラックス／フラックスジェンダー, シスジェンダー, ジェンダー・ノンコンフォーミング／gender non-conforming</t>
  </si>
  <si>
    <t>俺, 自分, 僕</t>
  </si>
  <si>
    <t>（三人称で言及してほしくない）, 彼</t>
  </si>
  <si>
    <t>ちゃん, さん, （敬称なし）</t>
  </si>
  <si>
    <t>私（わたし／わたくし）, わたし, 自分</t>
  </si>
  <si>
    <t>ミスジェンダリング（誤った性別として扱うこと）, 社会の中でいないことにされる</t>
  </si>
  <si>
    <t>**必ず選んでください**, ノンバイナリー女性, クィア／Queer</t>
  </si>
  <si>
    <t>私（わたし／わたくし）, 自分, わし</t>
  </si>
  <si>
    <t>X, 不定性, 中性, Xジェンダー, ジェンダークィア, クィア／Queer, レズビアン（ジェンダーについて）, 無性, クエスチョニング, 両性, ノンバイナリー女性</t>
  </si>
  <si>
    <t>（敬称なし）, （時とともに変わる）, さん</t>
  </si>
  <si>
    <t>自分, わし, 俺, （時とともに変わる）, ぼく</t>
  </si>
  <si>
    <t>they/them/their/themself, he, （時とともに変わる）</t>
  </si>
  <si>
    <t>性暴力, 必要なジェンダーケアへアクセスできない, トイレなどのジェンダー化されたスペースの使用, カムアウトできない, 家族／かぞくからの無理解, 社会の中でいないことにされる, ミスジェンダリング（誤った性別として扱うこと）</t>
  </si>
  <si>
    <t>ジェンダークィア, クエスチョニング, ジェンダー・ノンコンフォーミング／gender non-conforming, 不明／わからない</t>
  </si>
  <si>
    <t>私（わたし／わたくし）, （一人称の使用を避ける）, わたし</t>
  </si>
  <si>
    <t>職場や学校における無理解, 社会の中でいないことにされる, カムアウトできない, アウティング（勝手にジェンダーや指向についての情報を明かされること）, 必要なジェンダーケアへアクセスできない, 家族／かぞくからの無理解, LGBTQ+運動からの排斥, 医療における無理解</t>
  </si>
  <si>
    <t>青年, ノンバイナリー, 不明／わからない</t>
  </si>
  <si>
    <t>くん／君, さん, （any／問わない／どれでもよい）, （敬称なし）</t>
  </si>
  <si>
    <t>自分, 私（わたし／わたくし）, （一人称の使用を避ける）</t>
  </si>
  <si>
    <t>（三人称で言及してほしくない）, かれ</t>
  </si>
  <si>
    <t>they/them/their/themselves, **英語を日常的に使わない**</t>
  </si>
  <si>
    <t>ノンバイナリー, Xジェンダー</t>
  </si>
  <si>
    <t>自分, 私（わたし／わたくし）, 俺</t>
  </si>
  <si>
    <t>社会の中でいないことにされる, ミスジェンダリング（誤った性別として扱うこと）</t>
  </si>
  <si>
    <t>**必ず選んでください**, ノンバイナリー</t>
  </si>
  <si>
    <t>おれ, ぼく, 自分, （一人称の使用を避ける）, 私（わたし／わたくし）</t>
  </si>
  <si>
    <t>ミスジェンダリング（誤った性別として扱うこと）, カムアウトできない, 社会の中でいないことにされる</t>
  </si>
  <si>
    <t>ノンバイナリー, 中性, 不定性, （ジェンダー・）フルイド／（ジェンダー・）フリュイド／（ジェンダー・）フルイッド</t>
  </si>
  <si>
    <t>私（わたし／わたくし）, （any／問わない／どれでもよい）</t>
  </si>
  <si>
    <t>職場や学校における無理解, 家族／かぞくからの無理解, ミスジェンダリング（誤った性別として扱うこと）, 社会の中でいないことにされる</t>
  </si>
  <si>
    <t>デミボーイ, ジェンダーフラックス／フラックスジェンダー, ニュートラル, 不定性, enby／エンビー, 男の子／boy, デミAジェンダー, 中性, （ジェンダー・）フルイド／（ジェンダー・）フリュイド／（ジェンダー・）フルイッド, トランスジェンダー, 両性</t>
  </si>
  <si>
    <t>（時とともに変わる）, ぼく, あたし, わたし, 自分, うち</t>
  </si>
  <si>
    <t>彼人（かのひと）, 彼, かれ, 彼人（かのと）</t>
  </si>
  <si>
    <t>LGBTQ+運動からの排斥, 社会の中でいないことにされる, 性暴力, 医療における無理解, 必要なジェンダーケアへアクセスできない, トイレなどのジェンダー化されたスペースの使用, 家族／かぞくからの無理解, アウティング（勝手にジェンダーや指向についての情報を明かされること）, カムアウトを強制される, カムアウトできない, 職場や学校における無理解</t>
  </si>
  <si>
    <t>戸籍上の性別の変更, 胸部の手術, 性器にかかわる手術</t>
  </si>
  <si>
    <t>女性／woman, クィア／Queer</t>
  </si>
  <si>
    <t>社会の中でいないことにされる, 性暴力, 必要なジェンダーケアへアクセスできない</t>
  </si>
  <si>
    <t>自分, うち, 私（わたし／わたくし）, 俺, わし, （時とともに変わる）</t>
  </si>
  <si>
    <t>社会の中でいないことにされる, カムアウトできない</t>
  </si>
  <si>
    <t>クィア／Queer, （ジェンダー・）フルイド／（ジェンダー・）フリュイド／（ジェンダー・）フルイッド, ノンバイナリー</t>
  </si>
  <si>
    <t>さん, （時とともに変わる）, （any／問わない／どれでもよい）, くん／君</t>
  </si>
  <si>
    <t>私（わたし／わたくし）, （時とともに変わる）, （自分（たち）の名前）, ぼく, わたし, 自分</t>
  </si>
  <si>
    <t>彼, （any／問わない／どれでもよい）, （自分（たち）の名前）</t>
  </si>
  <si>
    <t>any/問わない/どれでもよい, **英語を日常的に使わない**</t>
  </si>
  <si>
    <t>不定性, **必ず選んでください**, ノンバイナリー, （ジェンダー・）フルイド／（ジェンダー・）フリュイド／（ジェンダー・）フルイッド</t>
  </si>
  <si>
    <t>（any／問わない／どれでもよい）, （時とともに変わる）, （敬称なし）, さん, ちゃん, くん／君, たん</t>
  </si>
  <si>
    <t>わたし, 俺, （時とともに変わる）, 私（わたし／わたくし）, 僕, （自分（たち）の名前）</t>
  </si>
  <si>
    <t>医療における無理解, デッドネーミング（誤った名前で呼ばれること）, 必要なジェンダーケアへアクセスできない, 社会の中でいないことにされる, 職場や学校における無理解, カムアウトできない, ミスジェンダリング（誤った性別として扱うこと）</t>
  </si>
  <si>
    <t>**必ず選んでください**, 無し, ジェンダークィア, Aジェンダー／エイジェンダー／アジェンダー／agender</t>
  </si>
  <si>
    <t>おれ, わたくし, ぼく, 僕, 私（わたし／わたくし）, わたし, あたし, 自分</t>
  </si>
  <si>
    <t>彼, かれ, （自分（たち）の名前）</t>
  </si>
  <si>
    <t>アウティング（勝手にジェンダーや指向についての情報を明かされること）, ミスジェンダリング（誤った性別として扱うこと）, カムアウトを強制される, 職場や学校における無理解, 社会の中でいないことにされる, 必要なジェンダーケアへアクセスできない, カムアウトできない, トイレなどのジェンダー化されたスペースの使用, 家族／かぞくからの無理解, デッドネーミング（誤った名前で呼ばれること）, LGBTQ+運動からの排斥, 医療における無理解, 性暴力</t>
  </si>
  <si>
    <t>戸籍名の変更, 戸籍上の性別の変更, 顔にかかわる手術, 胸部の手術</t>
  </si>
  <si>
    <t>女性／woman, クエスチョニング, **必ず選んでください**, クィア／Queer, ノンバイナリー</t>
  </si>
  <si>
    <t>（クエスチョニング、模索中、または不明）, -san, Dr.など、職業などにかかわるもの</t>
  </si>
  <si>
    <t>自分, わたし, うち</t>
  </si>
  <si>
    <t>彼人（かのひと）, （自分（たち）の名前）, かれ, 彼</t>
  </si>
  <si>
    <t>any/問わない/どれでもよい, they/them/their/themself, she, （クエスチョニング、模索中、または不明）</t>
  </si>
  <si>
    <t>LGBTQ+運動からの排斥, 社会の中でいないことにされる</t>
  </si>
  <si>
    <t>デミガール, ジェンダークィア, ノンバイナリー</t>
  </si>
  <si>
    <t>アウティング（勝手にジェンダーや指向についての情報を明かされること）, 職場や学校における無理解, トイレなどのジェンダー化されたスペースの使用, 社会の中でいないことにされる, カムアウトできない</t>
  </si>
  <si>
    <t>無性, ジェンダークィア</t>
  </si>
  <si>
    <t>（クエスチョニング、模索中、または不明）, （any／問わない／どれでもよい）</t>
  </si>
  <si>
    <t>Mr., Pr.</t>
  </si>
  <si>
    <t>わたくし, わたし</t>
  </si>
  <si>
    <t>カムアウトできない, 職場や学校における無理解, 家族／かぞくからの無理解, LGBTQ+運動からの排斥, 社会の中でいないことにされる</t>
  </si>
  <si>
    <t>無し, Aジェンダー／エイジェンダー／アジェンダー／agender, Xジェンダー, 不明／わからない, X, ノンバイナリー男性, ジェンダークィア, クィア／Queer, **必ず選んでください**, ノンバイナリー</t>
  </si>
  <si>
    <t>さん, （時とともに変わる）</t>
  </si>
  <si>
    <t>俺, 私（わたし／わたくし）, わたし, 自分, おれ</t>
  </si>
  <si>
    <t>カムアウトを強制される, カムアウトできない, 職場や学校における無理解, アウティング（勝手にジェンダーや指向についての情報を明かされること）, 社会の中でいないことにされる, 家族／かぞくからの無理解</t>
  </si>
  <si>
    <t>無性, ジェンダー・ノンコンフォーミング／gender non-conforming, （ジェンダー・）フルイド／（ジェンダー・）フリュイド／（ジェンダー・）フルイッド, Xジェンダー, トランスジェンダー, ノンバイナリー, 中性, トランスセクシュアル／transsexual, ジェンダーフラックス／フラックスジェンダー, クエスチョニング, **必ず選んでください**</t>
  </si>
  <si>
    <t>-san, **英語を日常的に使わない**, （クエスチョニング、模索中、または不明）</t>
  </si>
  <si>
    <t>they/them/their/themselves, **英語を日常的に使わない**, any/問わない/どれでもよい, （クエスチョニング、模索中、または不明）</t>
  </si>
  <si>
    <t>家族／かぞくからの無理解, カムアウトを強制される, カムアウトできない, 医療における無理解, LGBTQ+運動からの排斥, アウティング（勝手にジェンダーや指向についての情報を明かされること）, トイレなどのジェンダー化されたスペースの使用, 社会の中でいないことにされる, 必要なジェンダーケアへアクセスできない, 職場や学校における無理解, ミスジェンダリング（誤った性別として扱うこと）</t>
  </si>
  <si>
    <t>ジェンダークリニックの受診, 抗ホルモン療法, ホルモン補充療法（HRT）, 胸部の手術</t>
  </si>
  <si>
    <t>Xジェンダー, ノンバイナリー, 無性, **必ず選んでください**, クィア／Queer</t>
  </si>
  <si>
    <t>さん, くん／君, ちゃん</t>
  </si>
  <si>
    <t>医療における無理解, 社会の中でいないことにされる, ミスジェンダリング（誤った性別として扱うこと）, カムアウトできない, デッドネーミング（誤った名前で呼ばれること）</t>
  </si>
  <si>
    <t>ブッチ／butch, ダイク／dyke, **必ず選んでください**, 無し</t>
  </si>
  <si>
    <t>（自分（たち）の名前）, 私（わたし／わたくし）, 自分</t>
  </si>
  <si>
    <t>家族／かぞくからの無理解, 社会の中でいないことにされる</t>
  </si>
  <si>
    <t>中性, ジェンダークィア, クィア／Queer, 無性</t>
  </si>
  <si>
    <t>LGBTQ+運動からの排斥, アウティング（勝手にジェンダーや指向についての情報を明かされること）, ミスジェンダリング（誤った性別として扱うこと）, 医療における無理解</t>
  </si>
  <si>
    <t>戸籍上の性別の変更, 性器にかかわる手術</t>
  </si>
  <si>
    <t>ジェンダー・ノンコンフォーミング／gender non-conforming, 無性, ノンバイナリー, 不定性, Xジェンダー, X, ジェンダーレス, ニュートラル</t>
  </si>
  <si>
    <t>アウティング（勝手にジェンダーや指向についての情報を明かされること）, 性暴力, 社会の中でいないことにされる, 家族／かぞくからの無理解, 職場や学校における無理解, カムアウトできない, 医療における無理解</t>
  </si>
  <si>
    <t>ジェンダークリニックの受診, 抗ホルモン療法, 顔にかかわる手術, 胸部の手術</t>
  </si>
  <si>
    <t>無性, Aジェンダー／エイジェンダー／アジェンダー／agender, **必ず選んでください**</t>
  </si>
  <si>
    <t>デッドネーミング（誤った名前で呼ばれること）, ミスジェンダリング（誤った性別として扱うこと）</t>
  </si>
  <si>
    <t>中性, 不明／わからない, ノンバイナリー, クエスチョニング, （ジェンダー・）フルイド／（ジェンダー・）フリュイド／（ジェンダー・）フルイッド</t>
  </si>
  <si>
    <t>トイレなどのジェンダー化されたスペースの使用, ミスジェンダリング（誤った性別として扱うこと）, 社会の中でいないことにされる</t>
  </si>
  <si>
    <t>少年, 男の子／boy, クィア／Queer, おかま, 不明／わからない, シスジェンダー, **必ず選んでください**, 男性／man, ゲイ（ジェンダーについて）, 青年</t>
  </si>
  <si>
    <t>うち, ぼく, わたし, 俺, おら, 自分, おれ, 僕, 私（わたし／わたくし）, （時とともに変わる）</t>
  </si>
  <si>
    <t>家族／かぞくからの無理解, アウティング（勝手にジェンダーや指向についての情報を明かされること）, 必要なジェンダーケアへアクセスできない, カムアウトできない, トイレなどのジェンダー化されたスペースの使用, カムアウトを強制される, 職場や学校における無理解, 社会の中でいないことにされる</t>
  </si>
  <si>
    <t>ジェンダークリニックの受診, 顔にかかわる手術</t>
  </si>
  <si>
    <t>クィア／Queer, ノンバイナリー, トランス, トランスジェンダー, 無し, **必ず選んでください**</t>
  </si>
  <si>
    <t>俺, 私（わたし／わたくし）</t>
  </si>
  <si>
    <t>必要なジェンダーケアへアクセスできない, トイレなどのジェンダー化されたスペースの使用, 職場や学校における無理解, 医療における無理解, ミスジェンダリング（誤った性別として扱うこと）, 社会の中でいないことにされる, デッドネーミング（誤った名前で呼ばれること）</t>
  </si>
  <si>
    <t>戸籍名の変更, ジェンダークリニックの受診, 胸部の手術</t>
  </si>
  <si>
    <t>私（わたし／わたくし）, 僕, 俺, （時とともに変わる）, 自分</t>
  </si>
  <si>
    <t>社会の中でいないことにされる, トイレなどのジェンダー化されたスペースの使用</t>
  </si>
  <si>
    <t>トイレなどのジェンダー化されたスペースの使用, ミスジェンダリング（誤った性別として扱うこと）, 家族／かぞくからの無理解</t>
  </si>
  <si>
    <t>女性／woman, トランス女性, トランスジェンダー, クィア／Queer</t>
  </si>
  <si>
    <t>わたし, 私（わたし／わたくし）</t>
  </si>
  <si>
    <t>トイレなどのジェンダー化されたスペースの使用, 性暴力, 社会の中でいないことにされる, LGBTQ+運動からの排斥, 医療における無理解, アウティング（勝手にジェンダーや指向についての情報を明かされること）, 職場や学校における無理解, デッドネーミング（誤った名前で呼ばれること）, 必要なジェンダーケアへアクセスできない, ミスジェンダリング（誤った性別として扱うこと）</t>
  </si>
  <si>
    <t>Aジェンダー／エイジェンダー／アジェンダー／agender, ジェンダーヴォイド／gendervoid, レズビアン（ジェンダーについて）</t>
  </si>
  <si>
    <t>おじば</t>
  </si>
  <si>
    <t>（any／問わない／どれでもよい）, **英語を日常的に使わない**</t>
  </si>
  <si>
    <t>自分, （一人称の使用を避ける）</t>
  </si>
  <si>
    <t>（any／問わない／どれでもよい）, （三人称で言及してほしくない）</t>
  </si>
  <si>
    <t>they/them/their/themselves, any/問わない/どれでもよい, **英語を日常的に使わない**</t>
  </si>
  <si>
    <t>必要なジェンダーケアへアクセスできない, 職場や学校における無理解, トイレなどのジェンダー化されたスペースの使用, 性暴力, 医療における無理解</t>
  </si>
  <si>
    <t>Aジェンダー／エイジェンダー／アジェンダー／agender, トランスジェンダー, **必ず選んでください**, ノンバイナリー</t>
  </si>
  <si>
    <t>おれ, 自分, わたし</t>
  </si>
  <si>
    <t>LGBTQ+運動からの排斥, 家族／かぞくからの無理解, ミスジェンダリング（誤った性別として扱うこと）, カムアウトできない, 必要なジェンダーケアへアクセスできない, 職場や学校における無理解, アウティング（勝手にジェンダーや指向についての情報を明かされること）, トイレなどのジェンダー化されたスペースの使用, 社会の中でいないことにされる, 医療における無理解</t>
  </si>
  <si>
    <t>戸籍上の性別の変更, ジェンダークリニックの受診, 胸部の手術</t>
  </si>
  <si>
    <t>X, Xジェンダー</t>
  </si>
  <si>
    <t>自分, うち, わたくし, （時とともに変わる）, 僕, 俺</t>
  </si>
  <si>
    <t>家族／かぞくからの無理解, トイレなどのジェンダー化されたスペースの使用, アウティング（勝手にジェンダーや指向についての情報を明かされること）, 職場や学校における無理解, 性暴力</t>
  </si>
  <si>
    <t>戸籍上の性別の変更, 胸部の手術</t>
  </si>
  <si>
    <t>無し, おかま</t>
  </si>
  <si>
    <t>（敬称なし）, さん, ちゃん</t>
  </si>
  <si>
    <t>職場や学校における無理解, 医療における無理解, 社会の中でいないことにされる, 家族／かぞくからの無理解, ミスジェンダリング（誤った性別として扱うこと）, トイレなどのジェンダー化されたスペースの使用, 性暴力</t>
  </si>
  <si>
    <t>戸籍名の変更, ジェンダークリニックの受診, 抗ホルモン療法, ホルモン補充療法（HRT）, 顔にかかわる手術, 性器にかかわる手術</t>
  </si>
  <si>
    <t>enby／エンビー, クィア／Queer, ノンバイナリー, **必ず選んでください**, トランスフェミニン, ジェンダークィア, クエスチョニング, 中性</t>
  </si>
  <si>
    <t>さん, ちゃん, （クエスチョニング、模索中、または不明）</t>
  </si>
  <si>
    <t>私（わたし／わたくし）, （クエスチョニング、模索中、または不明）, 自分</t>
  </si>
  <si>
    <t>they/them/their/themself, she, （クエスチョニング、模索中、または不明）</t>
  </si>
  <si>
    <t>ミスジェンダリング（誤った性別として扱うこと）, 必要なジェンダーケアへアクセスできない, トイレなどのジェンダー化されたスペースの使用, 家族／かぞくからの無理解, カムアウトできない, 社会の中でいないことにされる</t>
  </si>
  <si>
    <t>トランス, バイナリー, ジェンダーフラックス／フラックスジェンダー, ジェンダー・ノンコンフォーミング／gender non-conforming, トランスセクシュアル／transsexual, トランス*／trans*, クィア／Queer, Aジェンダー／エイジェンダー／アジェンダー／agender, 男性／man, ノンバイナリー, （ジェンダー・）フルイド／（ジェンダー・）フリュイド／（ジェンダー・）フルイッド, トランス男性, トランスジェンダー, ノンバイナリー男性, トランスマスキュリン</t>
  </si>
  <si>
    <t>（敬称なし）, -san, Mx., Dr.など、職業などにかかわるもの, Mr.</t>
  </si>
  <si>
    <t>彼男（かのだん）, 彼</t>
  </si>
  <si>
    <t>they/them/their/themself, he, they/them/their/themselves</t>
  </si>
  <si>
    <t>デッドネーミング（誤った名前で呼ばれること）, ミスジェンダリング（誤った性別として扱うこと）, 職場や学校における無理解, カムアウトを強制される, 社会の中でいないことにされる, 必要なジェンダーケアへアクセスできない, 家族／かぞくからの無理解, 医療における無理解</t>
  </si>
  <si>
    <t>戸籍名の変更, 戸籍上の性別の変更, ジェンダークリニックの受診, ホルモン補充療法（HRT）, 顔にかかわる手術, 胸部の手術, 性器にかかわる手術</t>
  </si>
  <si>
    <t>家族／かぞくからの無理解, 職場や学校における無理解, デッドネーミング（誤った名前で呼ばれること）, ミスジェンダリング（誤った性別として扱うこと）, カムアウトを強制される, アウティング（勝手にジェンダーや指向についての情報を明かされること）, 性暴力</t>
  </si>
  <si>
    <t>ジェンダー・ノンコンフォーミング／gender non-conforming, **必ず選んでください**, enby／エンビー, ノンバイナリー, 無性, Aジェンダー／エイジェンダー／アジェンダー／agender</t>
  </si>
  <si>
    <t>うち, （時とともに変わる）, 私（わたし／わたくし）, 俺, 自分</t>
  </si>
  <si>
    <t>彼, （自分（たち）の名前）, 彼人（かのひと）</t>
  </si>
  <si>
    <t>トイレなどのジェンダー化されたスペースの使用, 社会の中でいないことにされる, 職場や学校における無理解, ミスジェンダリング（誤った性別として扱うこと）, 家族／かぞくからの無理解, 必要なジェンダーケアへアクセスできない, カムアウトできない, 医療における無理解</t>
  </si>
  <si>
    <t>ジェンダークィア, ノンバイナリー, **必ず選んでください**, ジェンダーレス, クエスチョニング, クィア／Queer</t>
  </si>
  <si>
    <t>私（わたし／わたくし）, あたし</t>
  </si>
  <si>
    <t>性暴力, 社会の中でいないことにされる, ミスジェンダリング（誤った性別として扱うこと）, カムアウトできない, 家族／かぞくからの無理解, 職場や学校における無理解</t>
  </si>
  <si>
    <t>トランスセクシュアル／transsexual, ニューロジェンダー／neurogender, Aジェンダー／エイジェンダー／アジェンダー／agender, ノンバイナリー, トランスマスキュリン, トランスジェンダー, クィア／Queer</t>
  </si>
  <si>
    <t>おれ, 俺, 私（わたし／わたくし）</t>
  </si>
  <si>
    <t>アウティング（勝手にジェンダーや指向についての情報を明かされること）, ミスジェンダリング（誤った性別として扱うこと）, 医療における無理解, 職場や学校における無理解, 家族／かぞくからの無理解, 社会の中でいないことにされる, トイレなどのジェンダー化されたスペースの使用</t>
  </si>
  <si>
    <t>社会の中でいないことにされる, アウティング（勝手にジェンダーや指向についての情報を明かされること）</t>
  </si>
  <si>
    <t>ノンバイナリー, Aジェンダー／エイジェンダー／アジェンダー／agender, 無し</t>
  </si>
  <si>
    <t>自分, おれ, ぼく</t>
  </si>
  <si>
    <t>社会の中でいないことにされる, ミスジェンダリング（誤った性別として扱うこと）, カムアウトできない</t>
  </si>
  <si>
    <t>ジェンダークィア, X, ジェンダーレス, Xジェンダー, クィア／Queer</t>
  </si>
  <si>
    <t>さん, （時とともに変わる）, （敬称なし）</t>
  </si>
  <si>
    <t>Mx., Mrs.</t>
  </si>
  <si>
    <t>私（わたし／わたくし）, 自分, （時とともに変わる）, （自分（たち）の名前）, うち</t>
  </si>
  <si>
    <t>（any／問わない／どれでもよい）, （三人称で言及してほしくない）, （自分（たち）の名前）</t>
  </si>
  <si>
    <t>必要なジェンダーケアへアクセスできない, アウティング（勝手にジェンダーや指向についての情報を明かされること）, 社会の中でいないことにされる, ミスジェンダリング（誤った性別として扱うこと）, 医療における無理解</t>
  </si>
  <si>
    <t>無性, **必ず選んでください**, Aジェンダー／エイジェンダー／アジェンダー／agender, 無し</t>
  </si>
  <si>
    <t>俺, 私（わたし／わたくし）, 僕, ぼく, わし, （自分（たち）の名前）, うち, 自分</t>
  </si>
  <si>
    <t>医療における無理解, 必要なジェンダーケアへアクセスできない, 性暴力, LGBTQ+運動からの排斥, 職場や学校における無理解, 社会の中でいないことにされる, ミスジェンダリング（誤った性別として扱うこと）, 家族／かぞくからの無理解, カムアウトを強制される, アウティング（勝手にジェンダーや指向についての情報を明かされること）</t>
  </si>
  <si>
    <t>ノンバイナリー, ジェンダー・ノンコンフォーミング／gender non-conforming, クィア／Queer, Xジェンダー, 無性</t>
  </si>
  <si>
    <t>アウティング（勝手にジェンダーや指向についての情報を明かされること）, ミスジェンダリング（誤った性別として扱うこと）, 社会の中でいないことにされる, デッドネーミング（誤った名前で呼ばれること）, カムアウトできない</t>
  </si>
  <si>
    <t>中性, トランスジェンダー, X, 不定性, ニュートラル, ノンバイナリー, トランス, Xジェンダー</t>
  </si>
  <si>
    <t>（敬称なし）, さん, たん</t>
  </si>
  <si>
    <t>（敬称なし）, Mx., -san</t>
  </si>
  <si>
    <t>自分, わたし, 私（わたし／わたくし）</t>
  </si>
  <si>
    <t>デッドネーミング（誤った名前で呼ばれること）, 性暴力, トイレなどのジェンダー化されたスペースの使用, 社会の中でいないことにされる, 必要なジェンダーケアへアクセスできない, アウティング（勝手にジェンダーや指向についての情報を明かされること）, LGBTQ+運動からの排斥, 家族／かぞくからの無理解, ミスジェンダリング（誤った性別として扱うこと）, カムアウトできない, 職場や学校における無理解</t>
  </si>
  <si>
    <t>enby／エンビー, **必ず選んでください**, 不定性, クィア／Queer, （ジェンダー・）フルイド／（ジェンダー・）フリュイド／（ジェンダー・）フルイッド, トランスマスキュリン, ノンバイナリー</t>
  </si>
  <si>
    <t>さん, （時とともに変わる）, （クエスチョニング、模索中、または不明）, ちゃん</t>
  </si>
  <si>
    <t>（自分（たち）の名前）, 自分, うち, わたし, （時とともに変わる）, おれ</t>
  </si>
  <si>
    <t>（自分（たち）の名前）, 彼人（かのと）</t>
  </si>
  <si>
    <t>職場や学校における無理解, 社会の中でいないことにされる, ミスジェンダリング（誤った性別として扱うこと）, カムアウトできない, トイレなどのジェンダー化されたスペースの使用, アウティング（勝手にジェンダーや指向についての情報を明かされること）</t>
  </si>
  <si>
    <t>クエスチョニング, **必ず選んでください**, ノンバイナリー</t>
  </si>
  <si>
    <t>ちゃん, （クエスチョニング、模索中、または不明）, （敬称なし）, さん</t>
  </si>
  <si>
    <t>僕, （クエスチョニング、模索中、または不明）, 私（わたし／わたくし）</t>
  </si>
  <si>
    <t>（三人称で言及してほしくない）, 彼人（かのひと）</t>
  </si>
  <si>
    <t>ミスジェンダリング（誤った性別として扱うこと）, カムアウトできない, 社会の中でいないことにされる, トイレなどのジェンダー化されたスペースの使用</t>
  </si>
  <si>
    <t>ノンバイナリー, クィア／Queer, ジェンダークィア, 無性, Xジェンダー, **必ず選んでください**</t>
  </si>
  <si>
    <t>（敬称なし）, さん, （any／問わない／どれでもよい）, ちゃん, くん／君</t>
  </si>
  <si>
    <t>わたし, 私（わたし／わたくし）, わし</t>
  </si>
  <si>
    <t>X, 不定性, 中性, ノンバイナリー</t>
  </si>
  <si>
    <t>（自分（たち）の名前）, 私（わたし／わたくし）, 自分, （時とともに変わる）, わし, 俺, わたくし</t>
  </si>
  <si>
    <t>トイレなどのジェンダー化されたスペースの使用, 職場や学校における無理解, 家族／かぞくからの無理解, ミスジェンダリング（誤った性別として扱うこと）, アウティング（勝手にジェンダーや指向についての情報を明かされること）, カムアウトできない, 医療における無理解, カムアウトを強制される, 社会の中でいないことにされる, 必要なジェンダーケアへアクセスできない</t>
  </si>
  <si>
    <t>不明／わからない, 無し, ノンバイナリー, **必ず選んでください**, ノンバイナリー女性, クィア／Queer</t>
  </si>
  <si>
    <t>私（わたし／わたくし）, わたし, 僕</t>
  </si>
  <si>
    <t>中性, ノンバイナリー, **必ず選んでください**, ノンバイナリー女性, X, Xジェンダー</t>
  </si>
  <si>
    <t>うち, 私（わたし／わたくし）</t>
  </si>
  <si>
    <t>職場や学校における無理解, 性暴力, ミスジェンダリング（誤った性別として扱うこと）</t>
  </si>
  <si>
    <t>ノンバイナリー, クィア／Queer, ノンバイナリー男性, トランスジェンダー, ジェンダークィア, **必ず選んでください**, トランス, X, 不明／わからない</t>
  </si>
  <si>
    <t>（時とともに変わる）, （クエスチョニング、模索中、または不明）, （敬称なし）, くん／君, さん</t>
  </si>
  <si>
    <t>カムアウトできない, ミスジェンダリング（誤った性別として扱うこと）, 社会の中でいないことにされる</t>
  </si>
  <si>
    <t>**必ず選んでください**, （ジェンダー・）フルイド／（ジェンダー・）フリュイド／（ジェンダー・）フルイッド, クエスチョニング, ノンバイナリー</t>
  </si>
  <si>
    <t>（敬称なし）, （クエスチョニング、模索中、または不明）, さん, （時とともに変わる）</t>
  </si>
  <si>
    <t>あたし, 自分, うち, わたし, （自分（たち）の名前）</t>
  </si>
  <si>
    <t>医療における無理解, カムアウトできない, 家族／かぞくからの無理解, カムアウトを強制される, 社会の中でいないことにされる, ミスジェンダリング（誤った性別として扱うこと）, 職場や学校における無理解, アウティング（勝手にジェンダーや指向についての情報を明かされること）, デッドネーミング（誤った名前で呼ばれること）</t>
  </si>
  <si>
    <t>ノンバイナリー, **必ず選んでください**</t>
  </si>
  <si>
    <t>（自分（たち）の名前）, 私（わたし／わたくし）, （時とともに変わる）, 自分</t>
  </si>
  <si>
    <t>ミスジェンダリング（誤った性別として扱うこと）, トイレなどのジェンダー化されたスペースの使用, 社会の中でいないことにされる, LGBTQ+運動からの排斥</t>
  </si>
  <si>
    <t>ノンバイナリー, **必ず選んでください**, ジェンダー・ノンコンフォーミング／gender non-conforming, ジェンダークィア, トランスジェンダー</t>
  </si>
  <si>
    <t>「男ではない」</t>
  </si>
  <si>
    <t>（敬称なし）, -san, **英語を日常的に使わない**</t>
  </si>
  <si>
    <t>私（わたし／わたくし）, わし, （自分（たち）の名前）, （一人称の使用を避ける）, 自分</t>
  </si>
  <si>
    <t>家族／かぞくからの無理解, 社会の中でいないことにされる, ミスジェンダリング（誤った性別として扱うこと）, デッドネーミング（誤った名前で呼ばれること）, カムアウトできない, 職場や学校における無理解</t>
  </si>
  <si>
    <t>戸籍名の変更, ジェンダークリニックの受診, ホルモン補充療法（HRT）, 顔にかかわる手術, 声帯にかかわる手術, 性器にかかわる手術</t>
  </si>
  <si>
    <t>トランスマスキュリン, クィア／Queer, ノンバイナリー, トランスジェンダー</t>
  </si>
  <si>
    <t>私（わたし／わたくし）, （一人称の使用を避ける）, （時とともに変わる）, 自分</t>
  </si>
  <si>
    <t>ミスジェンダリング（誤った性別として扱うこと）, 医療における無理解, カムアウトできない, トイレなどのジェンダー化されたスペースの使用, 社会の中でいないことにされる</t>
  </si>
  <si>
    <t>ホルモン補充療法（HRT）, 胸部の手術</t>
  </si>
  <si>
    <t>ジェンダーレス, 中性, **必ず選んでください**, レズビアン（ジェンダーについて）, ノンバイナリー, （ジェンダー・）フルイド／（ジェンダー・）フリュイド／（ジェンダー・）フルイッド, ノンバイナリー女性</t>
  </si>
  <si>
    <t>わたし自身、わたしという生き物</t>
  </si>
  <si>
    <t>男性／man, ゲイ（ジェンダーについて）, **必ず選んでください**</t>
  </si>
  <si>
    <t>私（わたし／わたくし）, （時とともに変わる）, （一人称の使用を避ける）</t>
  </si>
  <si>
    <t>かれ, （三人称で言及してほしくない）</t>
  </si>
  <si>
    <t>アウティング（勝手にジェンダーや指向についての情報を明かされること）, 職場や学校における無理解, 家族／かぞくからの無理解, 社会の中でいないことにされる, LGBTQ+運動からの排斥, カムアウトを強制される, カムアウトできない</t>
  </si>
  <si>
    <t>ジェンダークィア, ノンバイナリー</t>
  </si>
  <si>
    <t>うち, わたし</t>
  </si>
  <si>
    <t>医療における無理解, 家族／かぞくからの無理解, 必要なジェンダーケアへアクセスできない, ミスジェンダリング（誤った性別として扱うこと）, 社会の中でいないことにされる, 職場や学校における無理解</t>
  </si>
  <si>
    <t>戸籍名の変更, 胸部の手術, 性器にかかわる手術</t>
  </si>
  <si>
    <t>トランス*／trans*, 無性, Aジェンダー／エイジェンダー／アジェンダー／agender, Xジェンダー, **必ず選んでください**, ノンバイナリー, トランスジェンダー</t>
  </si>
  <si>
    <t>彼人（かのと）, （自分（たち）の名前）, 彼人（かのひと）</t>
  </si>
  <si>
    <t>医療における無理解, 社会の中でいないことにされる, 職場や学校における無理解, 家族／かぞくからの無理解, ミスジェンダリング（誤った性別として扱うこと）, アウティング（勝手にジェンダーや指向についての情報を明かされること）, 性暴力, カムアウトできない, LGBTQ+運動からの排斥, トイレなどのジェンダー化されたスペースの使用</t>
  </si>
  <si>
    <t>戸籍名の変更, 戸籍上の性別の変更, ジェンダークリニックの受診, ホルモン補充療法（HRT）, 性器にかかわる手術</t>
  </si>
  <si>
    <t>ノンバイナリー, アンドロジャイン／androgyne, X</t>
  </si>
  <si>
    <t>自分, わたし</t>
  </si>
  <si>
    <t>カムアウトできない, 社会の中でいないことにされる</t>
  </si>
  <si>
    <t>トランスジェンダー, 不定性, トランス*／trans*, **必ず選んでください**</t>
  </si>
  <si>
    <t>（一人称の使用を避ける）, 私（わたし／わたくし）, 自分</t>
  </si>
  <si>
    <t>彼, （三人称で言及してほしくない）</t>
  </si>
  <si>
    <t>医療における無理解, 社会の中でいないことにされる, アウティング（勝手にジェンダーや指向についての情報を明かされること）, ミスジェンダリング（誤った性別として扱うこと）, トイレなどのジェンダー化されたスペースの使用</t>
  </si>
  <si>
    <t>戸籍名の変更, 戸籍上の性別の変更, ジェンダークリニックの受診, ホルモン補充療法（HRT）, 胸部の手術, 性器にかかわる手術</t>
  </si>
  <si>
    <t>女性／woman, レズビアン（ジェンダーについて）</t>
  </si>
  <si>
    <t>家族／かぞくからの無理解, 社会の中でいないことにされる, カムアウトできない, 職場や学校における無理解</t>
  </si>
  <si>
    <t>ジェンダー・ノンコンフォーミング／gender non-conforming, ニュートラル, クィア／Queer, **必ず選んでください**</t>
  </si>
  <si>
    <t>ノンバイナリー, **必ず選んでください**, クィア／Queer, （ジェンダー・）フルイド／（ジェンダー・）フリュイド／（ジェンダー・）フルイッド</t>
  </si>
  <si>
    <t>（any／問わない／どれでもよい）, （敬称なし）, さん, ちゃん</t>
  </si>
  <si>
    <t>わたし, 自分</t>
  </si>
  <si>
    <t>不定性, **必ず選んでください**, シスジェンダー, 中性, 無し, ボイ, クエスチョニング</t>
  </si>
  <si>
    <t>（自分（たち）の名前）, わたし, 自分</t>
  </si>
  <si>
    <t>**必ず選んでください**, ノンバイナリー, ジェンダークィア, クィア／Queer</t>
  </si>
  <si>
    <t>自分, わし, 私（わたし／わたくし）</t>
  </si>
  <si>
    <t>デミAジェンダー, ノンバイナリー女性, クィア／Queer, Aジェンダー／エイジェンダー／アジェンダー／agender, ノンバイナリー, ジェンダークィア, クエスチョニング, **必ず選んでください**, （ジェンダー・）フルイド／（ジェンダー・）フリュイド／（ジェンダー・）フルイッド</t>
  </si>
  <si>
    <t>（自分（たち）の名前）, わたし, うち, ぼく, 自分, 私（わたし／わたくし）</t>
  </si>
  <si>
    <t>ミスジェンダリング（誤った性別として扱うこと）, 職場や学校における無理解, カムアウトできない, 社会の中でいないことにされる, カムアウトを強制される, 必要なジェンダーケアへアクセスできない</t>
  </si>
  <si>
    <t>Xジェンダー, **必ず選んでください**, ポリジェンダー, ジェンダークィア, 不定性, ジェンダー・ノンコンフォーミング／gender non-conforming, クィア／Queer, デミジェンダー, デミボーイ, ノンバイナリー, ノンバイナリー男性, （ジェンダー・）フルイド／（ジェンダー・）フリュイド／（ジェンダー・）フルイッド, クエスチョニング, 不明／わからない</t>
  </si>
  <si>
    <t>（時とともに変わる）, （クエスチョニング、模索中、または不明）, わたし, 僕, わし, 自分, 私（わたし／わたくし）, ぼく</t>
  </si>
  <si>
    <t>**英語を日常的に使わない**, （時とともに変わる）, they/them/their/themself, they/them/their/themselves, he</t>
  </si>
  <si>
    <t>アウティング（勝手にジェンダーや指向についての情報を明かされること）, 家族／かぞくからの無理解, 社会の中でいないことにされる, LGBTQ+運動からの排斥, 職場や学校における無理解, デッドネーミング（誤った名前で呼ばれること）, カムアウトできない, 性暴力, 医療における無理解, 必要なジェンダーケアへアクセスできない, ミスジェンダリング（誤った性別として扱うこと）</t>
  </si>
  <si>
    <t>トランスジェンダー, enby／エンビー, Aジェンダー／エイジェンダー／アジェンダー／agender, ノンバイナリー</t>
  </si>
  <si>
    <t>うち, 自分, わたし</t>
  </si>
  <si>
    <t>社会の中でいないことにされる, カムアウトできない, トイレなどのジェンダー化されたスペースの使用, 職場や学校における無理解, ミスジェンダリング（誤った性別として扱うこと）</t>
  </si>
  <si>
    <t>シスジェンダー, **必ず選んでください**</t>
  </si>
  <si>
    <t>わたし, 自分, 私（わたし／わたくし）</t>
  </si>
  <si>
    <t>中性, Xジェンダー, （ジェンダー・）フルイド／（ジェンダー・）フリュイド／（ジェンダー・）フルイッド, ジェンダーヴォイド／gendervoid</t>
  </si>
  <si>
    <t>自分, 僕, 私（わたし／わたくし）, 俺</t>
  </si>
  <si>
    <t>ニュートラル, 女性／woman, ジェンダークィア, Xジェンダー, Aジェンダー／エイジェンダー／アジェンダー／agender, ノンバイナリー, クィア／Queer, クエスチョニング</t>
  </si>
  <si>
    <t>ノンバイナリー, 両性, **必ず選んでください**, クエスチョニング, ゲイ（ジェンダーについて）, トランス男性</t>
  </si>
  <si>
    <t>トランス男性よりの両性?確定しきれてない為基本ｸｴｽﾁｮﾆﾝｸﾞでアンケート類は解答。</t>
  </si>
  <si>
    <t>俺, うち, 自分, （時とともに変わる）</t>
  </si>
  <si>
    <t>必要なジェンダーケアへアクセスできない, ミスジェンダリング（誤った性別として扱うこと）, 医療における無理解, カムアウトできない, 家族／かぞくからの無理解, デッドネーミング（誤った名前で呼ばれること）</t>
  </si>
  <si>
    <t>戸籍名の変更, 戸籍上の性別の変更, 抗ホルモン療法, 顔にかかわる手術, 胸部の手術, 性器にかかわる手術</t>
  </si>
  <si>
    <t>わたくし, ぼく, 俺, （自分（たち）の名前）, わたし, 自分</t>
  </si>
  <si>
    <t>戸籍名の変更, 戸籍上の性別の変更, 性器にかかわる手術</t>
  </si>
  <si>
    <t>女性／woman, バイジェンダー, フェム</t>
  </si>
  <si>
    <t>職場や学校における無理解, カムアウトできない</t>
  </si>
  <si>
    <t>女性／woman, デミジェンダー, デミAジェンダー, **必ず選んでください**, 女の子／girl, ノンバイナリー, ジェンダーレス</t>
  </si>
  <si>
    <t>ちゃん, （敬称なし）, くん／君, さん</t>
  </si>
  <si>
    <t>Dr.など、職業などにかかわるもの, （敬称なし）, Ms.</t>
  </si>
  <si>
    <t>わたし, 自分, 俺, おら, 私（わたし／わたくし）, うち, わし</t>
  </si>
  <si>
    <t>性暴力, LGBTQ+運動からの排斥, カムアウトできない, デッドネーミング（誤った名前で呼ばれること）, 社会の中でいないことにされる, 家族／かぞくからの無理解</t>
  </si>
  <si>
    <t>Xジェンダー, トランスジェンダー, トランスセクシュアル／transsexual, トランス, **必ず選んでください**, トランス*／trans*, X, 両性, ボイ, ポリジェンダー, ノンバイナリー</t>
  </si>
  <si>
    <t>ちゃん, さん, （時とともに変わる）, くん／君</t>
  </si>
  <si>
    <t>**英語を日常的に使わない**, Dr.など、職業などにかかわるもの, Mx.</t>
  </si>
  <si>
    <t>（時とともに変わる）, 俺, 私（わたし／わたくし）, 僕</t>
  </si>
  <si>
    <t>性暴力, デッドネーミング（誤った名前で呼ばれること）, 職場や学校における無理解, 医療における無理解, 家族／かぞくからの無理解, ミスジェンダリング（誤った性別として扱うこと）, カムアウトできない, 社会の中でいないことにされる, トイレなどのジェンダー化されたスペースの使用</t>
  </si>
  <si>
    <t>クィア／Queer, デミガール, ジェンダーレス, ジェンダークィア, 男の子／boy, バイジェンダー, ジェンダーフラックス／フラックスジェンダー, 女の子／girl, （ジェンダー・）フルイド／（ジェンダー・）フリュイド／（ジェンダー・）フルイッド</t>
  </si>
  <si>
    <t>わたし, うち, おれ, あたし, 自分, （自分（たち）の名前）</t>
  </si>
  <si>
    <t>社会の中でいないことにされる, LGBTQ+運動からの排斥</t>
  </si>
  <si>
    <t>不明／わからない, トランス*／trans*, ジェンダー・ノンコンフォーミング／gender non-conforming, クエスチョニング, デミガール, トランスフェミニン, **必ず選んでください**, トランスジェンダー, ノンバイナリー, ジェンダークィア, クィア／Queer</t>
  </si>
  <si>
    <t>Mx., （敬称なし）</t>
  </si>
  <si>
    <t>私（わたし／わたくし）, （一人称の使用を避ける）, 自分, わたし</t>
  </si>
  <si>
    <t>（自分（たち）の名前）, 彼人（かのひと）, 彼人（かのと）</t>
  </si>
  <si>
    <t>必要なジェンダーケアへアクセスできない, 社会の中でいないことにされる, ミスジェンダリング（誤った性別として扱うこと）, 家族／かぞくからの無理解, カムアウトできない, アウティング（勝手にジェンダーや指向についての情報を明かされること）, トイレなどのジェンダー化されたスペースの使用, 職場や学校における無理解</t>
  </si>
  <si>
    <t>抗ホルモン療法, ホルモン補充療法（HRT）, 顔にかかわる手術</t>
  </si>
  <si>
    <t>クィア／Queer, （ジェンダー・）フルイド／（ジェンダー・）フリュイド／（ジェンダー・）フルイッド, バイジェンダー, ジェンダークィア, トランスフェミニン, ニュートラル, 中性, アンドロジャイン／androgyne, ノンバイナリー女性, enby／エンビー, ジェンダーフラックス／フラックスジェンダー, ノンバイナリー, デミジェンダー, クエスチョニング, ジェンダー・ノンコンフォーミング／gender non-conforming, シスジェンダー, ニューロジェンダー／neurogender</t>
  </si>
  <si>
    <t>ちゃん, さん, （クエスチョニング、模索中、または不明）</t>
  </si>
  <si>
    <t>she, **英語を日常的に使わない**</t>
  </si>
  <si>
    <t>社会の中でいないことにされる, 必要なジェンダーケアへアクセスできない, トイレなどのジェンダー化されたスペースの使用, 家族／かぞくからの無理解, 職場や学校における無理解, カムアウトを強制される, カムアウトできない, ミスジェンダリング（誤った性別として扱うこと）</t>
  </si>
  <si>
    <t>不定性, Xジェンダー</t>
  </si>
  <si>
    <t>**英語を日常的に使わない**, （any／問わない／どれでもよい）</t>
  </si>
  <si>
    <t>おれ, 自分</t>
  </si>
  <si>
    <t>必要なジェンダーケアへアクセスできない, カムアウトを強制される, LGBTQ+運動からの排斥, 社会の中でいないことにされる</t>
  </si>
  <si>
    <t>不明／わからない, **必ず選んでください**, クィア／Queer, ノンバイナリー女性, 女性／woman, クエスチョニング</t>
  </si>
  <si>
    <t>俺, わたし</t>
  </si>
  <si>
    <t>彼人（かのひと）, 彼人（かのと）, （自分（たち）の名前）</t>
  </si>
  <si>
    <t>ノンバイナリー, バイジェンダー, （ジェンダー・）フルイド／（ジェンダー・）フリュイド／（ジェンダー・）フルイッド</t>
  </si>
  <si>
    <t>流動的に女性でもあり男性でもある</t>
  </si>
  <si>
    <t>私（わたし／わたくし）, わたし, （自分（たち）の名前）, 自分</t>
  </si>
  <si>
    <t>彼女, 彼, （自分（たち）の名前）</t>
  </si>
  <si>
    <t>アウティング（勝手にジェンダーや指向についての情報を明かされること）, 性暴力, カムアウトを強制される, 必要なジェンダーケアへアクセスできない, 社会の中でいないことにされる, LGBTQ+運動からの排斥, ミスジェンダリング（誤った性別として扱うこと）, 職場や学校における無理解, 医療における無理解, トイレなどのジェンダー化されたスペースの使用, カムアウトできない, 家族／かぞくからの無理解</t>
  </si>
  <si>
    <t>戸籍上の性別の変更, （上記のどれも希望していない）</t>
  </si>
  <si>
    <t>クィア／Queer, ノンバイナリー</t>
  </si>
  <si>
    <t>さん, （any／問わない／どれでもよい）, （敬称なし）</t>
  </si>
  <si>
    <t>トイレなどのジェンダー化されたスペースの使用, ミスジェンダリング（誤った性別として扱うこと）</t>
  </si>
  <si>
    <t>（一人称の使用を避ける）, うち</t>
  </si>
  <si>
    <t>**必ず選んでください**, 少年, ノンバイナリー, クィア／Queer</t>
  </si>
  <si>
    <t>自分, 僕, 私（わたし／わたくし）, あたし</t>
  </si>
  <si>
    <t>アウティング（勝手にジェンダーや指向についての情報を明かされること）, ミスジェンダリング（誤った性別として扱うこと）, 医療における無理解, 職場や学校における無理解, LGBTQ+運動からの排斥, 社会の中でいないことにされる, 家族／かぞくからの無理解, 必要なジェンダーケアへアクセスできない, カムアウトできない</t>
  </si>
  <si>
    <t>トランス*／trans*, トランス, クィア／Queer, 不明／わからない, 女性／woman, Aジェンダー／エイジェンダー／アジェンダー／agender, トランスフェミニン, トランスセクシュアル／transsexual, トランス女性, **必ず選んでください**</t>
  </si>
  <si>
    <t>Ms., -san, **英語を日常的に使わない**</t>
  </si>
  <si>
    <t>社会の中でいないことにされる, 職場や学校における無理解, ミスジェンダリング（誤った性別として扱うこと）, 性暴力, デッドネーミング（誤った名前で呼ばれること）, 必要なジェンダーケアへアクセスできない, 家族／かぞくからの無理解, 医療における無理解, トイレなどのジェンダー化されたスペースの使用, カムアウトできない</t>
  </si>
  <si>
    <t>性暴力, カムアウトできない, 必要なジェンダーケアへアクセスできない, 社会の中でいないことにされる, LGBTQ+運動からの排斥</t>
  </si>
  <si>
    <t>トランス男性, ノンバイナリー, ノンバイナリー男性, クィア／Queer, クエスチョニング, トランス, トランスマスキュリン</t>
  </si>
  <si>
    <t>あたし, 俺, （時とともに変わる）, 自分</t>
  </si>
  <si>
    <t>職場や学校における無理解, トイレなどのジェンダー化されたスペースの使用, ミスジェンダリング（誤った性別として扱うこと）, 社会の中でいないことにされる, カムアウトできない, アウティング（勝手にジェンダーや指向についての情報を明かされること）, 必要なジェンダーケアへアクセスできない, LGBTQ+運動からの排斥</t>
  </si>
  <si>
    <t>ノンバイナリー, Xジェンダー, クィア／Queer, **必ず選んでください**, Aジェンダー／エイジェンダー／アジェンダー／agender</t>
  </si>
  <si>
    <t>（時とともに変わる）, うち, 私（わたし／わたくし）, 俺, （自分（たち）の名前）, あたし, 自分</t>
  </si>
  <si>
    <t>職場や学校における無理解, ミスジェンダリング（誤った性別として扱うこと）, 社会の中でいないことにされる, 必要なジェンダーケアへアクセスできない, カムアウトできない</t>
  </si>
  <si>
    <t>トランスジェンダー, **必ず選んでください**, （ジェンダー・）フルイド／（ジェンダー・）フリュイド／（ジェンダー・）フルイッド, ノンバイナリー</t>
  </si>
  <si>
    <t>私（わたし／わたくし）, わし, （時とともに変わる）</t>
  </si>
  <si>
    <t>クィア／Queer, レズビアン（ジェンダーについて）, ノンバイナリー, ジェンダークィア, **必ず選んでください**, ノンバイナリー女性, クエスチョニング</t>
  </si>
  <si>
    <t>わし, 自分, 僕, わたし, 俺</t>
  </si>
  <si>
    <t>ミスジェンダリング（誤った性別として扱うこと）, カムアウトできない</t>
  </si>
  <si>
    <t>**必ず選んでください**, Aジェンダー／エイジェンダー／アジェンダー／agender</t>
  </si>
  <si>
    <t xml:space="preserve">undefined </t>
  </si>
  <si>
    <t>さん, （敬称なし）, くん／君</t>
  </si>
  <si>
    <t>-san, （敬称なし）, Mx.</t>
  </si>
  <si>
    <t>わたし, わたくし, おれ, ぼく, （時とともに変わる）</t>
  </si>
  <si>
    <t>ミスジェンダリング（誤った性別として扱うこと）, 家族／かぞくからの無理解, 必要なジェンダーケアへアクセスできない, トイレなどのジェンダー化されたスペースの使用, デッドネーミング（誤った名前で呼ばれること）, LGBTQ+運動からの排斥, 医療における無理解, 社会の中でいないことにされる</t>
  </si>
  <si>
    <t>戸籍名の変更, 戸籍上の性別の変更, ジェンダークリニックの受診, 胸部の手術</t>
  </si>
  <si>
    <t>**必ず選んでください**, トランスマスキュリン</t>
  </si>
  <si>
    <t>（自分（たち）の名前）, 僕, 私（わたし／わたくし）, 俺, （時とともに変わる）, 自分</t>
  </si>
  <si>
    <t>ミスジェンダリング（誤った性別として扱うこと）, 職場や学校における無理解, カムアウトできない</t>
  </si>
  <si>
    <t>不定性, X, Xジェンダー, ジェンダークィア, ノンバイナリー, **必ず選んでください**, ノンバイナリー女性, 中性, クィア／Queer, 無性</t>
  </si>
  <si>
    <t>くん／君, さん, ちゃん, （敬称なし）</t>
  </si>
  <si>
    <t>自分, （一人称の使用を避ける）, 私（わたし／わたくし）, あたし, わたし, （自分（たち）の名前）</t>
  </si>
  <si>
    <t>必要なジェンダーケアへアクセスできない, 社会の中でいないことにされる, ミスジェンダリング（誤った性別として扱うこと）, カムアウトできない, 職場や学校における無理解, トイレなどのジェンダー化されたスペースの使用</t>
  </si>
  <si>
    <t>トランス男性, ゲイ（ジェンダーについて）</t>
  </si>
  <si>
    <t>必要なジェンダーケアへアクセスできない, ミスジェンダリング（誤った性別として扱うこと）</t>
  </si>
  <si>
    <t>ダイク／dyke, トランスマスキュリン, クィア／Queer, 不明／わからない, レズビアン（ジェンダーについて）, 女性／woman</t>
  </si>
  <si>
    <t>家族／かぞくからの無理解, 職場や学校における無理解, カムアウトできない, 社会の中でいないことにされる</t>
  </si>
  <si>
    <t>**必ず選んでください**, 無性, 中性, Xジェンダー, 無し</t>
  </si>
  <si>
    <t>（敬称なし）, （時とともに変わる）, （any／問わない／どれでもよい）</t>
  </si>
  <si>
    <t>僕, わたし, 私（わたし／わたくし）, （any／問わない／どれでもよい）, わし, （時とともに変わる）, ぼく</t>
  </si>
  <si>
    <t>社会の中でいないことにされる, ミスジェンダリング（誤った性別として扱うこと）, LGBTQ+運動からの排斥</t>
  </si>
  <si>
    <t>戸籍名の変更, 戸籍上の性別の変更, ジェンダークリニックの受診</t>
  </si>
  <si>
    <t>シスジェンダー, **必ず選んでください**, 男性／man</t>
  </si>
  <si>
    <t>男性／man, トランスジェンダー, 青年, **必ず選んでください**, 男の子／boy, トランス*／trans*, おなべ, トランス男性, トランス</t>
  </si>
  <si>
    <t>（敬称なし）, さん, くん／君</t>
  </si>
  <si>
    <t>医療における無理解, 家族／かぞくからの無理解, ミスジェンダリング（誤った性別として扱うこと）, 性暴力, トイレなどのジェンダー化されたスペースの使用, 職場や学校における無理解, デッドネーミング（誤った名前で呼ばれること）, 必要なジェンダーケアへアクセスできない, 社会の中でいないことにされる, アウティング（勝手にジェンダーや指向についての情報を明かされること）</t>
  </si>
  <si>
    <t>男の子／boy, 中性, 不定性, 女性／woman, **必ず選んでください**</t>
  </si>
  <si>
    <t>さん, ちゃん, （any／問わない／どれでもよい）, （敬称なし）, （時とともに変わる）, くん／君</t>
  </si>
  <si>
    <t>（時とともに変わる）, わたし, 私（わたし／わたくし）, 俺, ぼく, 僕, 自分, うち</t>
  </si>
  <si>
    <t>（自分（たち）の名前）, 彼女, 彼</t>
  </si>
  <si>
    <t>ミスジェンダリング（誤った性別として扱うこと）, 職場や学校における無理解, アウティング（勝手にジェンダーや指向についての情報を明かされること）</t>
  </si>
  <si>
    <t>さん, ちゃん, たん, （敬称なし）</t>
  </si>
  <si>
    <t>（一人称の使用を避ける）, うち, （自分（たち）の名前）, わたし</t>
  </si>
  <si>
    <t>トイレなどのジェンダー化されたスペースの使用, 社会の中でいないことにされる, 職場や学校における無理解, 家族／かぞくからの無理解, アウティング（勝手にジェンダーや指向についての情報を明かされること）, ミスジェンダリング（誤った性別として扱うこと）, カムアウトできない, カムアウトを強制される</t>
  </si>
  <si>
    <t>**必ず選んでください**, ノンバイナリー女性, 女性／woman, クエスチョニング, ジェンダーレス</t>
  </si>
  <si>
    <t>（時とともに変わる）, 私（わたし／わたくし）</t>
  </si>
  <si>
    <t>くん／君, さん, ちゃん</t>
  </si>
  <si>
    <t>わたし, おれ, あたし, 僕, （時とともに変わる）</t>
  </si>
  <si>
    <t>ミスジェンダリング（誤った性別として扱うこと）, 家族／かぞくからの無理解, 医療における無理解, トイレなどのジェンダー化されたスペースの使用, LGBTQ+運動からの排斥, カムアウトを強制される, アウティング（勝手にジェンダーや指向についての情報を明かされること）, 社会の中でいないことにされる, 必要なジェンダーケアへアクセスできない, 職場や学校における無理解</t>
  </si>
  <si>
    <t>X, 無し, **必ず選んでください**, トランス*／trans*, 両性, 無性, トランス, ノンバイナリー, Xジェンダー</t>
  </si>
  <si>
    <t>くん／君, さん, （時とともに変わる）, ちゃん, （any／問わない／どれでもよい）</t>
  </si>
  <si>
    <t>-san, （クエスチョニング、模索中、または不明）, （any／問わない／どれでもよい）, **英語を日常的に使わない**</t>
  </si>
  <si>
    <t>うち, 自分, 私（わたし／わたくし）, （時とともに変わる）, 俺, ぼく, わし, おれ, （自分（たち）の名前）</t>
  </si>
  <si>
    <t>トイレなどのジェンダー化されたスペースの使用, 家族／かぞくからの無理解, 社会の中でいないことにされる, アウティング（勝手にジェンダーや指向についての情報を明かされること）, ミスジェンダリング（誤った性別として扱うこと）, 職場や学校における無理解, カムアウトできない</t>
  </si>
  <si>
    <t>性暴力, 家族／かぞくからの無理解, デッドネーミング（誤った名前で呼ばれること）</t>
  </si>
  <si>
    <t>**英語を日常的に使わない**, Ms.</t>
  </si>
  <si>
    <t>she, they/them/their/themselves</t>
  </si>
  <si>
    <t>ノンバイナリー, 無性, 不明／わからない, **必ず選んでください**, クエスチョニング</t>
  </si>
  <si>
    <t>社会の中でいないことにされる, 職場や学校における無理解, 家族／かぞくからの無理解</t>
  </si>
  <si>
    <t>女性／woman, デミガール, （ジェンダー・）フルイド／（ジェンダー・）フリュイド／（ジェンダー・）フルイッド, ノンバイナリー女性, ノンバイナリー, Aジェンダー／エイジェンダー／アジェンダー／agender, 無性, デミジェンダー, デミAジェンダー</t>
  </si>
  <si>
    <t>さん, （敬称なし）, ちゃん</t>
  </si>
  <si>
    <t>私（わたし／わたくし）, 自分, わたし</t>
  </si>
  <si>
    <t>（自分（たち）の名前）, （三人称で言及してほしくない）, 彼女</t>
  </si>
  <si>
    <t>家族／かぞくからの無理解, 社会の中でいないことにされる, カムアウトできない, ミスジェンダリング（誤った性別として扱うこと）, LGBTQ+運動からの排斥, 職場や学校における無理解, 性暴力</t>
  </si>
  <si>
    <t>Xジェンダー, （ジェンダー・）フルイド／（ジェンダー・）フリュイド／（ジェンダー・）フルイッド, 女の子／girl, 無性, **必ず選んでください**, 不定性</t>
  </si>
  <si>
    <t>（any／問わない／どれでもよい）, ちゃん, さん, （時とともに変わる）</t>
  </si>
  <si>
    <t>（自分（たち）の名前）, （any／問わない／どれでもよい）, 彼女</t>
  </si>
  <si>
    <t>レズビアン（ジェンダーについて）, **必ず選んでください**</t>
  </si>
  <si>
    <t>X, **必ず選んでください**, 無性, ノンバイナリー, Xジェンダー</t>
  </si>
  <si>
    <t>Dr.など、職業などにかかわるもの, **英語を日常的に使わない**, -san</t>
  </si>
  <si>
    <t>彼人（かのと）, （三人称で言及してほしくない）, （自分（たち）の名前）</t>
  </si>
  <si>
    <t>職場や学校における無理解, 社会の中でいないことにされる, トイレなどのジェンダー化されたスペースの使用, デッドネーミング（誤った名前で呼ばれること）, ミスジェンダリング（誤った性別として扱うこと）</t>
  </si>
  <si>
    <t>**必ず選んでください**, 男性／man, トランス男性</t>
  </si>
  <si>
    <t>クィア／Queer, **必ず選んでください**, ジェンダー・ノンコンフォーミング／gender non-conforming, ノンバイナリー</t>
  </si>
  <si>
    <t>Mx., Dr.など、職業などにかかわるもの, -san</t>
  </si>
  <si>
    <t>（一人称の使用を避ける）, うち, 自分, 私（わたし／わたくし）, （自分（たち）の名前）, （クエスチョニング、模索中、または不明）, 俺, おれ</t>
  </si>
  <si>
    <t>カムアウトを強制される, 家族／かぞくからの無理解, 性暴力, LGBTQ+運動からの排斥, ミスジェンダリング（誤った性別として扱うこと）, 必要なジェンダーケアへアクセスできない, 職場や学校における無理解, 社会の中でいないことにされる, アウティング（勝手にジェンダーや指向についての情報を明かされること）, 医療における無理解, デッドネーミング（誤った名前で呼ばれること）</t>
  </si>
  <si>
    <t>ニューロジェンダー／neurogender, クィア／Queer, ノンバイナリー, ジェンダーヴォイド／gendervoid, トランス, トランス*／trans*, Aジェンダー／エイジェンダー／アジェンダー／agender, **必ず選んでください**, enby／エンビー, トランスジェンダー</t>
  </si>
  <si>
    <t>私（わたし／わたくし）, （一人称の使用を避ける）, わし, 自分</t>
  </si>
  <si>
    <t>職場や学校における無理解, LGBTQ+運動からの排斥, ミスジェンダリング（誤った性別として扱うこと）, 社会の中でいないことにされる, カムアウトできない</t>
  </si>
  <si>
    <t>ジェンダークリニックの受診, （上記のどれも希望していない）</t>
  </si>
  <si>
    <t>Xジェンダー, 中性, ジェンダーレス, **必ず選んでください**, ボイ, X</t>
  </si>
  <si>
    <t>アウティング（勝手にジェンダーや指向についての情報を明かされること）, 医療における無理解, 社会の中でいないことにされる, 職場や学校における無理解, カムアウトできない, 家族／かぞくからの無理解</t>
  </si>
  <si>
    <t>（ジェンダー・）フルイド／（ジェンダー・）フリュイド／（ジェンダー・）フルイッド, ニュートラル, クィア／Queer, **必ず選んでください**, Xジェンダー, ノンバイナリー</t>
  </si>
  <si>
    <t>私（わたし／わたくし）, （自分（たち）の名前）, 僕</t>
  </si>
  <si>
    <t>医療における無理解, ミスジェンダリング（誤った性別として扱うこと）, カムアウトできない, 職場や学校における無理解, 家族／かぞくからの無理解, 社会の中でいないことにされる, 必要なジェンダーケアへアクセスできない, 性暴力, トイレなどのジェンダー化されたスペースの使用</t>
  </si>
  <si>
    <t>**必ず選んでください**, 不明／わからない</t>
  </si>
  <si>
    <t>**必ず選んでください**, 女性／woman, クエスチョニング, クィア／Queer</t>
  </si>
  <si>
    <t>わたし, 私（わたし／わたくし）, あたし</t>
  </si>
  <si>
    <t>（自分（たち）の名前）, 自分</t>
  </si>
  <si>
    <t>トイレなどのジェンダー化されたスペースの使用, ミスジェンダリング（誤った性別として扱うこと）, 家族／かぞくからの無理解, LGBTQ+運動からの排斥, 職場や学校における無理解, 必要なジェンダーケアへアクセスできない, デッドネーミング（誤った名前で呼ばれること）, 社会の中でいないことにされる, カムアウトできない</t>
  </si>
  <si>
    <t>両性, デミボーイ, **必ず選んでください**, ノンバイナリー, 不定性, （ジェンダー・）フルイド／（ジェンダー・）フリュイド／（ジェンダー・）フルイッド</t>
  </si>
  <si>
    <t>あたし, （一人称の使用を避ける）, わたし</t>
  </si>
  <si>
    <t>LGBTQ+運動からの排斥, 社会の中でいないことにされる, トイレなどのジェンダー化されたスペースの使用</t>
  </si>
  <si>
    <t>ゼノジェンダー／xenogender, X, 不定性, 不明／わからない, クエスチョニング, レズビアン（ジェンダーについて）</t>
  </si>
  <si>
    <t>生成変化</t>
  </si>
  <si>
    <t>トイレなどのジェンダー化されたスペースの使用, 社会の中でいないことにされる</t>
  </si>
  <si>
    <t>（ジェンダー・）フルイド／（ジェンダー・）フリュイド／（ジェンダー・）フルイッド, クィア／Queer, ジェンダー・ノンコンフォーミング／gender non-conforming, ノンバイナリー, enby／エンビー</t>
  </si>
  <si>
    <t>（クエスチョニング、模索中、または不明）, （時とともに変わる）, Mx.</t>
  </si>
  <si>
    <t>医療における無理解, 必要なジェンダーケアへアクセスできない, 職場や学校における無理解, アウティング（勝手にジェンダーや指向についての情報を明かされること）, LGBTQ+運動からの排斥, トイレなどのジェンダー化されたスペースの使用, 性暴力, 家族／かぞくからの無理解, ミスジェンダリング（誤った性別として扱うこと）</t>
  </si>
  <si>
    <t>戸籍上の性別の変更, ジェンダークリニックの受診, 声帯にかかわる手術, 胸部の手術</t>
  </si>
  <si>
    <t>X, ノンバイナリー, トランス*／trans*, トランスジェンダー, Xジェンダー, トランス, クィア／Queer, ジェンダークィア, **必ず選んでください**</t>
  </si>
  <si>
    <t>俺, 私（わたし／わたくし）, 自分, （時とともに変わる）</t>
  </si>
  <si>
    <t>彼人（かのひと）, 彼人（かのと）, （自分（たち）の名前）, かれ</t>
  </si>
  <si>
    <t>トイレなどのジェンダー化されたスペースの使用, 社会の中でいないことにされる, カムアウトできない, ミスジェンダリング（誤った性別として扱うこと）, 職場や学校における無理解, デッドネーミング（誤った名前で呼ばれること）</t>
  </si>
  <si>
    <t>戸籍名の変更, 戸籍上の性別の変更, 胸部の手術</t>
  </si>
  <si>
    <t>ノンバイナリー, 無性, **必ず選んでください**, クィア／Queer</t>
  </si>
  <si>
    <t>うち, おら, 俺, （any／問わない／どれでもよい）, おれ, （自分（たち）の名前）, わし, あたし, 自分, 私（わたし／わたくし）, わたくし, 僕, ぼく, （時とともに変わる）, わたし</t>
  </si>
  <si>
    <t>必要なジェンダーケアへアクセスできない, トイレなどのジェンダー化されたスペースの使用, 社会の中でいないことにされる, 職場や学校における無理解, ミスジェンダリング（誤った性別として扱うこと）, カムアウトできない, 性暴力, 家族／かぞくからの無理解, LGBTQ+運動からの排斥, 医療における無理解, アウティング（勝手にジェンダーや指向についての情報を明かされること）</t>
  </si>
  <si>
    <t>ノンバイナリー, Xジェンダー, X, 不明／わからない</t>
  </si>
  <si>
    <t>規定されたくない</t>
  </si>
  <si>
    <t>僕, 私（わたし／わたくし）, 俺</t>
  </si>
  <si>
    <t>無し, **必ず選んでください**</t>
  </si>
  <si>
    <t>アポジェンダー</t>
  </si>
  <si>
    <t>（自分（たち）の名前）, 僕, 私（わたし／わたくし）, ぼく, わし, 自分, うち, 俺</t>
  </si>
  <si>
    <t>必要なジェンダーケアへアクセスできない, LGBTQ+運動からの排斥, 家族／かぞくからの無理解, 職場や学校における無理解, ミスジェンダリング（誤った性別として扱うこと）, 社会の中でいないことにされる, アウティング（勝手にジェンダーや指向についての情報を明かされること）, 性暴力, 医療における無理解, カムアウトを強制される</t>
  </si>
  <si>
    <t>Xジェンダー, （ジェンダー・）フルイド／（ジェンダー・）フリュイド／（ジェンダー・）フルイッド, 中性, **必ず選んでください**</t>
  </si>
  <si>
    <t>くん／君, さん, （any／問わない／どれでもよい）</t>
  </si>
  <si>
    <t>僕, 私（わたし／わたくし）</t>
  </si>
  <si>
    <t>（any／問わない／どれでもよい）, （自分（たち）の名前）, 彼</t>
  </si>
  <si>
    <t>家族／かぞくからの無理解, 職場や学校における無理解, ミスジェンダリング（誤った性別として扱うこと）, 医療における無理解</t>
  </si>
  <si>
    <t>デッドネーミング（誤った名前で呼ばれること）, 必要なジェンダーケアへアクセスできない, カムアウトを強制される, 職場や学校における無理解, アウティング（勝手にジェンダーや指向についての情報を明かされること）, トイレなどのジェンダー化されたスペースの使用, 社会の中でいないことにされる, 性暴力, 医療における無理解, ミスジェンダリング（誤った性別として扱うこと）, LGBTQ+運動からの排斥</t>
  </si>
  <si>
    <t>戸籍名の変更, 戸籍上の性別の変更, ジェンダークリニックの受診, ホルモン補充療法（HRT）, 顔にかかわる手術, 声帯にかかわる手術, 性器にかかわる手術</t>
  </si>
  <si>
    <t>トランス, クィア／Queer, トランス男性</t>
  </si>
  <si>
    <t>わたし, 僕, ぼく, 私（わたし／わたくし）, 俺, わたくし, おれ, わし</t>
  </si>
  <si>
    <t>they/them/their/themself, **英語を日常的に使わない**, he</t>
  </si>
  <si>
    <t>ミスジェンダリング（誤った性別として扱うこと）, カムアウトを強制される, デッドネーミング（誤った名前で呼ばれること）, 社会の中でいないことにされる, アウティング（勝手にジェンダーや指向についての情報を明かされること）, 職場や学校における無理解, 家族／かぞくからの無理解, 医療における無理解, カムアウトできない</t>
  </si>
  <si>
    <t>トランス, トランスジェンダー, トランス男性, ジェンダークィア, ゲイ（ジェンダーについて）</t>
  </si>
  <si>
    <t>（any／問わない／どれでもよい）, （敬称なし）, さん</t>
  </si>
  <si>
    <t>わたし, 自分, わし</t>
  </si>
  <si>
    <t>性暴力, ミスジェンダリング（誤った性別として扱うこと）, アウティング（勝手にジェンダーや指向についての情報を明かされること）, トイレなどのジェンダー化されたスペースの使用, 医療における無理解, カムアウトを強制される, カムアウトできない, 家族／かぞくからの無理解</t>
  </si>
  <si>
    <t>不定性, ノンバイナリー女性, **必ず選んでください**, ノンバイナリー, 無性, ニュートラル</t>
  </si>
  <si>
    <t>（クエスチョニング、模索中、または不明）, -san</t>
  </si>
  <si>
    <t>トイレなどのジェンダー化されたスペースの使用, 社会の中でいないことにされる, アウティング（勝手にジェンダーや指向についての情報を明かされること）</t>
  </si>
  <si>
    <t>Aジェンダー／エイジェンダー／アジェンダー／agender, ニュートラル</t>
  </si>
  <si>
    <t>かれ, （any／問わない／どれでもよい）</t>
  </si>
  <si>
    <t>男性／man, クィア／Queer, ゲイ（ジェンダーについて）, シスジェンダー, **必ず選んでください**</t>
  </si>
  <si>
    <t>さん, （時とともに変わる）, （any／問わない／どれでもよい）, くん／君, （敬称なし）</t>
  </si>
  <si>
    <t>私（わたし／わたくし）, 僕, 俺, （時とともに変わる）</t>
  </si>
  <si>
    <t>Aジェンダー／エイジェンダー／アジェンダー／agender, クィア／Queer</t>
  </si>
  <si>
    <t>わたし, あたし</t>
  </si>
  <si>
    <t>社会の中でいないことにされる, 家族／かぞくからの無理解, カムアウトできない, ミスジェンダリング（誤った性別として扱うこと）, 職場や学校における無理解, トイレなどのジェンダー化されたスペースの使用, 医療における無理解</t>
  </si>
  <si>
    <t>Mx., Ms.</t>
  </si>
  <si>
    <t>自分, （クエスチョニング、模索中、または不明）</t>
  </si>
  <si>
    <t>家族／かぞくからの無理解, 必要なジェンダーケアへアクセスできない, カムアウトを強制される</t>
  </si>
  <si>
    <t>ノンバイナリー女性, ジェンダーヴォイド／gendervoid, ノンバイナリー, クエスチョニング</t>
  </si>
  <si>
    <t>xe, they/them/their/themselves, ze</t>
  </si>
  <si>
    <t>職場や学校における無理解, LGBTQ+運動からの排斥, カムアウトできない, 必要なジェンダーケアへアクセスできない, 社会の中でいないことにされる</t>
  </si>
  <si>
    <t>トランス*／trans*, ノンバイナリー, デミジェンダー</t>
  </si>
  <si>
    <t>うち, （クエスチョニング、模索中、または不明）, 私（わたし／わたくし）, わたし, 俺</t>
  </si>
  <si>
    <t>ミスジェンダリング（誤った性別として扱うこと）, アウティング（勝手にジェンダーや指向についての情報を明かされること）, 社会の中でいないことにされる, LGBTQ+運動からの排斥, 職場や学校における無理解, トイレなどのジェンダー化されたスペースの使用</t>
  </si>
  <si>
    <t>**必ず選んでください**, ノンバイナリー, ジェンダー・ノンコンフォーミング／gender non-conforming</t>
  </si>
  <si>
    <t>Neugender
Neuwifgender
Fiagender spectrum
Niagender spectrum
Viabinary</t>
  </si>
  <si>
    <t>さん, ちゃん, （any／問わない／どれでもよい）</t>
  </si>
  <si>
    <t>-san, Mx., **英語を日常的に使わない**</t>
  </si>
  <si>
    <t>僕, 俺, 私（わたし／わたくし）</t>
  </si>
  <si>
    <t>社会の中でいないことにされる, ミスジェンダリング（誤った性別として扱うこと）, 職場や学校における無理解, カムアウトできない, 必要なジェンダーケアへアクセスできない</t>
  </si>
  <si>
    <t>ノンバイナリー, クエスチョニング</t>
  </si>
  <si>
    <t>（クエスチョニング、模索中、または不明）, （時とともに変わる）</t>
  </si>
  <si>
    <t>（一人称の使用を避ける）, （時とともに変わる）, （クエスチョニング、模索中、または不明）</t>
  </si>
  <si>
    <t>（クエスチョニング、模索中、または不明）, any/問わない/どれでもよい</t>
  </si>
  <si>
    <t>家族／かぞくからの無理解, カムアウトできない, 職場や学校における無理解, ミスジェンダリング（誤った性別として扱うこと）, 性暴力, LGBTQ+運動からの排斥, アウティング（勝手にジェンダーや指向についての情報を明かされること）, 必要なジェンダーケアへアクセスできない, トイレなどのジェンダー化されたスペースの使用, デッドネーミング（誤った名前で呼ばれること）, 医療における無理解, 社会の中でいないことにされる</t>
  </si>
  <si>
    <t>ゲイ（ジェンダーについて）, 不明／わからない, ノンバイナリー, 中性, デミボーイ</t>
  </si>
  <si>
    <t>自分自身という性別</t>
  </si>
  <si>
    <t>（時とともに変わる）, （any／問わない／どれでもよい）, くん／君</t>
  </si>
  <si>
    <t>僕, （自分（たち）の名前）</t>
  </si>
  <si>
    <t>デッドネーミング（誤った名前で呼ばれること）, ミスジェンダリング（誤った性別として扱うこと）, 職場や学校における無理解</t>
  </si>
  <si>
    <t>ゲイ（ジェンダーについて）, クィア／Queer, ノンバイナリー, **必ず選んでください**</t>
  </si>
  <si>
    <t>わたし, （一人称の使用を避ける）</t>
  </si>
  <si>
    <t>デッドネーミング（誤った名前で呼ばれること）, トイレなどのジェンダー化されたスペースの使用, LGBTQ+運動からの排斥, ミスジェンダリング（誤った性別として扱うこと）, 職場や学校における無理解, 家族／かぞくからの無理解, 社会の中でいないことにされる</t>
  </si>
  <si>
    <t>両性, トランスジェンダー, ノンバイナリー, バイジェンダー, Xジェンダー</t>
  </si>
  <si>
    <t>（一人称の使用を避ける）, うち, わたし, 自分</t>
  </si>
  <si>
    <t>LGBTQ+運動からの排斥, 必要なジェンダーケアへアクセスできない, トイレなどのジェンダー化されたスペースの使用, 性暴力, 社会の中でいないことにされる, アウティング（勝手にジェンダーや指向についての情報を明かされること）, 家族／かぞくからの無理解, 医療における無理解, 職場や学校における無理解</t>
  </si>
  <si>
    <t>戸籍名の変更, ジェンダークリニックの受診, 抗ホルモン療法, 顔にかかわる手術</t>
  </si>
  <si>
    <t>ノンバイナリー, クィア／Queer</t>
  </si>
  <si>
    <t>（any／問わない／どれでもよい）, くん／君, さん, ちゃん</t>
  </si>
  <si>
    <t>彼人（かのひと）, （三人称で言及してほしくない）</t>
  </si>
  <si>
    <t>they/them/their/themselves, ey/em (Elverson)</t>
  </si>
  <si>
    <t>家族／かぞくからの無理解, アウティング（勝手にジェンダーや指向についての情報を明かされること）, ミスジェンダリング（誤った性別として扱うこと）, 職場や学校における無理解</t>
  </si>
  <si>
    <t>クィア／Queer, トランスマスキュリン, ジェンダークィア, トランスジェンダー, トランス, トランス*／trans*, ノンバイナリー</t>
  </si>
  <si>
    <t>**必ず選んでください**, Aジェンダー／エイジェンダー／アジェンダー／agender, クィア／Queer, ノンバイナリー</t>
  </si>
  <si>
    <t>（クエスチョニング、模索中、または不明）, さん, （敬称なし）</t>
  </si>
  <si>
    <t>（クエスチョニング、模索中、または不明）, **英語を日常的に使わない**, （敬称なし）</t>
  </si>
  <si>
    <t>（自分（たち）の名前）, 私（わたし／わたくし）, 自分, わたし, （一人称の使用を避ける）</t>
  </si>
  <si>
    <t>**英語を日常的に使わない**, they/them/their/themselves, （クエスチョニング、模索中、または不明）</t>
  </si>
  <si>
    <t>職場や学校における無理解, カムアウトできない, 社会の中でいないことにされる, 医療における無理解, ミスジェンダリング（誤った性別として扱うこと）, カムアウトを強制される, 家族／かぞくからの無理解, トイレなどのジェンダー化されたスペースの使用</t>
  </si>
  <si>
    <t>Xジェンダー, クィア／Queer, 無し, ジェンダークィア, **必ず選んでください**, 不明／わからない, ノンバイナリー, （ジェンダー・）フルイド／（ジェンダー・）フリュイド／（ジェンダー・）フルイッド, クエスチョニング</t>
  </si>
  <si>
    <t>"女"ではない気がする、"男"ではない気がする</t>
  </si>
  <si>
    <t>（時とともに変わる）, （クエスチョニング、模索中、または不明）, ちゃん, （敬称なし）, （any／問わない／どれでもよい）, さん</t>
  </si>
  <si>
    <t>俺, ぼく, 自分, 僕, おれ, あたし, （一人称の使用を避ける）, わたし, 私（わたし／わたくし）, おら, うち, わし, わたくし, （時とともに変わる）</t>
  </si>
  <si>
    <t>職場や学校における無理解, 社会の中でいないことにされる, ミスジェンダリング（誤った性別として扱うこと）, LGBTQ+運動からの排斥, カムアウトできない, 家族／かぞくからの無理解</t>
  </si>
  <si>
    <t>戸籍上の性別の変更, 声帯にかかわる手術, 性器にかかわる手術</t>
  </si>
  <si>
    <t>LGBTQ+運動からの排斥, 家族／かぞくからの無理解, 社会の中でいないことにされる, ミスジェンダリング（誤った性別として扱うこと）, 職場や学校における無理解, トイレなどのジェンダー化されたスペースの使用, アウティング（勝手にジェンダーや指向についての情報を明かされること）</t>
  </si>
  <si>
    <t>ホルモン補充療法（HRT）, 声帯にかかわる手術</t>
  </si>
  <si>
    <t>トランスフェミニン, トランス*／trans*, トランス女性, 女性／woman, トランス, クィア／Queer, トランスセクシュアル／transsexual</t>
  </si>
  <si>
    <t>（敬称なし）, -san, Ms., Mx.</t>
  </si>
  <si>
    <t>私（わたし／わたくし）, うち, わたし, 自分, わたくし</t>
  </si>
  <si>
    <t>性暴力, 医療における無理解, ミスジェンダリング（誤った性別として扱うこと）, 社会の中でいないことにされる, デッドネーミング（誤った名前で呼ばれること）, 職場や学校における無理解, トイレなどのジェンダー化されたスペースの使用, アウティング（勝手にジェンダーや指向についての情報を明かされること）</t>
  </si>
  <si>
    <t>戸籍名の変更, 戸籍上の性別の変更, ジェンダークリニックの受診, 抗ホルモン療法, ホルモン補充療法（HRT）, 顔にかかわる手術, 声帯にかかわる手術, 胸部の手術, 性器にかかわる手術</t>
  </si>
  <si>
    <t>Aジェンダー／エイジェンダー／アジェンダー／agender, ジェンダー・ノンコンフォーミング／gender non-conforming, **必ず選んでください**, トランス, 無性, トランス*／trans*, 女性／woman, クィア／Queer, ノンバイナリー, Xジェンダー</t>
  </si>
  <si>
    <t>医療における無理解, 職場や学校における無理解, カムアウトできない, 家族／かぞくからの無理解</t>
  </si>
  <si>
    <t>ホルモン補充療法（HRT）, 性器にかかわる手術</t>
  </si>
  <si>
    <t>ノンバイナリー男性, シスジェンダー, 不定性, ノンバイナリー女性, トランスマスキュリン, enby／エンビー, 無し, 無性, ポリジェンダー, ジェンダー・ノンコンフォーミング／gender non-conforming, **必ず選んでください**, Aジェンダー／エイジェンダー／アジェンダー／agender, クィア／Queer, 両性, ノンバイナリー, Xジェンダー, （ジェンダー・）フルイド／（ジェンダー・）フリュイド／（ジェンダー・）フルイッド, ジェンダークィア, 男性／man, 女性／woman</t>
  </si>
  <si>
    <t>パンジェンダー</t>
  </si>
  <si>
    <t>（敬称なし）, Ms., Mx., Mr.</t>
  </si>
  <si>
    <t>私（わたし／わたくし）, 自分, わたし, うち, （自分（たち）の名前）</t>
  </si>
  <si>
    <t>（any／問わない／どれでもよい）, 彼女, 彼人（かのと）, 彼, 彼人（かのひと）</t>
  </si>
  <si>
    <t>she, they/them/their/themself, any/問わない/どれでもよい, they/them/their/themselves, he</t>
  </si>
  <si>
    <t>ミスジェンダリング（誤った性別として扱うこと）, カムアウトを強制される, 家族／かぞくからの無理解, トイレなどのジェンダー化されたスペースの使用, カムアウトできない, 社会の中でいないことにされる</t>
  </si>
  <si>
    <t>戸籍上の性別の変更, （上記のどれも経験していない）</t>
  </si>
  <si>
    <t>医療における無理解, 性暴力, ミスジェンダリング（誤った性別として扱うこと）, 社会の中でいないことにされる, LGBTQ+運動からの排斥</t>
  </si>
  <si>
    <t>デミジェンダー, クエスチョニング, ポリジェンダー, ジェンダーレス, Xジェンダー, ノンバイナリー, Aジェンダー／エイジェンダー／アジェンダー／agender, X, クィア／Queer, **必ず選んでください**, トランス, ジェンダークィア, トランスジェンダー, （ジェンダー・）フルイド／（ジェンダー・）フリュイド／（ジェンダー・）フルイッド, 不定性, 中性, 両性, トランス*／trans*, ジェンダー・ノンコンフォーミング／gender non-conforming</t>
  </si>
  <si>
    <t>社会の中でいないことにされる, デッドネーミング（誤った名前で呼ばれること）, トイレなどのジェンダー化されたスペースの使用, 家族／かぞくからの無理解, ミスジェンダリング（誤った性別として扱うこと）, 職場や学校における無理解, 必要なジェンダーケアへアクセスできない</t>
  </si>
  <si>
    <t>レズビアン（ジェンダーについて）, クエスチョニング, 不明／わからない, 女性／woman</t>
  </si>
  <si>
    <t>エーセクシュアル</t>
  </si>
  <si>
    <t>（any／問わない／どれでもよい）, さん, （時とともに変わる）</t>
  </si>
  <si>
    <t>（時とともに変わる）, わたくし, おれ, 私（わたし／わたくし）, 自分, わたし</t>
  </si>
  <si>
    <t>ジェンダークィア, **必ず選んでください**, トランスジェンダー, ノンバイナリー, クィア／Queer, トランス, Aジェンダー／エイジェンダー／アジェンダー／agender, ジェンダーフラックス／フラックスジェンダー, 不明／わからない, クエスチョニング</t>
  </si>
  <si>
    <t>俺, 僕, （時とともに変わる）, 私（わたし／わたくし）</t>
  </si>
  <si>
    <t>デッドネーミング（誤った名前で呼ばれること）, トイレなどのジェンダー化されたスペースの使用, 家族／かぞくからの無理解, 社会の中でいないことにされる, 職場や学校における無理解, ミスジェンダリング（誤った性別として扱うこと）</t>
  </si>
  <si>
    <t>クィア／Queer, ノンバイナリー, トランス*／trans*, トランスジェンダー, トランス, **必ず選んでください**, ジェンダー・ノンコンフォーミング／gender non-conforming</t>
  </si>
  <si>
    <t>ちゃん, たん, （敬称なし）, さん</t>
  </si>
  <si>
    <t>Mx., Dr.など、職業などにかかわるもの</t>
  </si>
  <si>
    <t>カムアウトできない, ミスジェンダリング（誤った性別として扱うこと）, アウティング（勝手にジェンダーや指向についての情報を明かされること）, 必要なジェンダーケアへアクセスできない, 職場や学校における無理解, 社会の中でいないことにされる, LGBTQ+運動からの排斥, 家族／かぞくからの無理解, トイレなどのジェンダー化されたスペースの使用</t>
  </si>
  <si>
    <t>戸籍名の変更, 戸籍上の性別の変更, ジェンダークリニックの受診, 抗ホルモン療法, ホルモン補充療法（HRT）</t>
  </si>
  <si>
    <t>ノンバイナリー女性, 中性, ノンバイナリー</t>
  </si>
  <si>
    <t>レズビアン（ジェンダーについて）, トランス女性, 女性／woman</t>
  </si>
  <si>
    <t>アセクシャル</t>
  </si>
  <si>
    <t>性暴力, 家族／かぞくからの無理解, ミスジェンダリング（誤った性別として扱うこと）, アウティング（勝手にジェンダーや指向についての情報を明かされること）, トイレなどのジェンダー化されたスペースの使用</t>
  </si>
  <si>
    <t>ニュートラル, ノンバイナリー, **必ず選んでください**, ノンバイナリー男性</t>
  </si>
  <si>
    <t>-san, （クエスチョニング、模索中、または不明）, Dr.など、職業などにかかわるもの, **英語を日常的に使わない**</t>
  </si>
  <si>
    <t>they/them/their/themself, **英語を日常的に使わない**, they/them/their/themselves</t>
  </si>
  <si>
    <t>カムアウトできない, 社会の中でいないことにされる, LGBTQ+運動からの排斥</t>
  </si>
  <si>
    <t>無し, 中性, ジェンダーレス, 女性／woman, 無性, ノンバイナリー女性, **必ず選んでください**</t>
  </si>
  <si>
    <t>（自分（たち）の名前）, わたし, 私（わたし／わたくし）</t>
  </si>
  <si>
    <t>ノンバイナリー女性, ノンバイナリー</t>
  </si>
  <si>
    <t>僕, 私（わたし／わたくし）, わたし, おら, （any／問わない／どれでもよい）, おれ</t>
  </si>
  <si>
    <t>社会の中でいないことにされる, アウティング（勝手にジェンダーや指向についての情報を明かされること）, 職場や学校における無理解</t>
  </si>
  <si>
    <t>無性, **必ず選んでください**, Xジェンダー, Aジェンダー／エイジェンダー／アジェンダー／agender, ジェンダーレス, クィア／Queer, X</t>
  </si>
  <si>
    <t>Mx., -san, Dr.など、職業などにかかわるもの</t>
  </si>
  <si>
    <t>ミスジェンダリング（誤った性別として扱うこと）, 医療における無理解, 家族／かぞくからの無理解, 社会の中でいないことにされる, トイレなどのジェンダー化されたスペースの使用</t>
  </si>
  <si>
    <t>ノンバイナリー, （ジェンダー・）フルイド／（ジェンダー・）フリュイド／（ジェンダー・）フルイッド</t>
  </si>
  <si>
    <t>（クエスチョニング、模索中、または不明）, さん, （any／問わない／どれでもよい）</t>
  </si>
  <si>
    <t>（any／問わない／どれでもよい）, 俺, わし, わたし, 自分</t>
  </si>
  <si>
    <t>アウティング（勝手にジェンダーや指向についての情報を明かされること）, トイレなどのジェンダー化されたスペースの使用, ミスジェンダリング（誤った性別として扱うこと）, カムアウトできない, 必要なジェンダーケアへアクセスできない, 性暴力, 家族／かぞくからの無理解</t>
  </si>
  <si>
    <t>ジェンダーフラックス／フラックスジェンダー, X, 中性, 不定性, クィア／Queer, ノンバイナリー, ボイ, Xジェンダー, 女性／woman, クエスチョニング</t>
  </si>
  <si>
    <t>わたし, 僕, ぼく, わし, 自分, 俺, おれ, 私（わたし／わたくし）</t>
  </si>
  <si>
    <t>（時とともに変わる）, any/問わない/どれでもよい</t>
  </si>
  <si>
    <t>家族／かぞくからの無理解, 職場や学校における無理解</t>
  </si>
  <si>
    <t>トランス*／trans*, **必ず選んでください**, 無性, ノンバイナリー</t>
  </si>
  <si>
    <t>（クエスチョニング、模索中、または不明）, （一人称の使用を避ける）, 僕, わたし, 私（わたし／わたくし）</t>
  </si>
  <si>
    <t>必要なジェンダーケアへアクセスできない, トイレなどのジェンダー化されたスペースの使用, ミスジェンダリング（誤った性別として扱うこと）, 職場や学校における無理解, カムアウトできない, 社会の中でいないことにされる, アウティング（勝手にジェンダーや指向についての情報を明かされること）</t>
  </si>
  <si>
    <t>クィア／Queer, 女性／woman, ノンバイナリー, ノンバイナリー女性, ゼノジェンダー／xenogender, ジェンダークィア</t>
  </si>
  <si>
    <t>あたし, おれ, わたし, （自分（たち）の名前）, わたくし</t>
  </si>
  <si>
    <t>社会の中でいないことにされる, 性暴力</t>
  </si>
  <si>
    <t>**必ず選んでください**, 無し, 不明／わからない</t>
  </si>
  <si>
    <t>身体女性</t>
  </si>
  <si>
    <t>さん, （any／問わない／どれでもよい）, ちゃん, （敬称なし）</t>
  </si>
  <si>
    <t>ノンバイナリー, 無性, **必ず選んでください**, Xジェンダー</t>
  </si>
  <si>
    <t>（自分（たち）の名前）, 私（わたし／わたくし）</t>
  </si>
  <si>
    <t>X, トランス, トランス*／trans*, トランスジェンダー, クィア／Queer, ノンバイナリー, **必ず選んでください**, Xジェンダー</t>
  </si>
  <si>
    <t>（敬称なし）, （any／問わない／どれでもよい）, さん, くん／君, ちゃん</t>
  </si>
  <si>
    <t>カムアウトを強制される, 職場や学校における無理解, 必要なジェンダーケアへアクセスできない, 社会の中でいないことにされる, LGBTQ+運動からの排斥, 家族／かぞくからの無理解, トイレなどのジェンダー化されたスペースの使用, カムアウトできない, ミスジェンダリング（誤った性別として扱うこと）</t>
  </si>
  <si>
    <t>**必ず選んでください**, Aジェンダー／エイジェンダー／アジェンダー／agender, 無性, 不明／わからない, ノンバイナリー, 少女</t>
  </si>
  <si>
    <t>Dr.など、職業などにかかわるもの, -san, Mx.</t>
  </si>
  <si>
    <t>私（わたし／わたくし）, 僕, わたし, ぼく</t>
  </si>
  <si>
    <t>ミスジェンダリング（誤った性別として扱うこと）, 性暴力, 社会の中でいないことにされる</t>
  </si>
  <si>
    <t>女性／woman, 中性</t>
  </si>
  <si>
    <t>彼女, （三人称で言及してほしくない）</t>
  </si>
  <si>
    <t>性暴力, ミスジェンダリング（誤った性別として扱うこと）, 必要なジェンダーケアへアクセスできない, トイレなどのジェンダー化されたスペースの使用, 医療における無理解, 社会の中でいないことにされる, 職場や学校における無理解, アウティング（勝手にジェンダーや指向についての情報を明かされること）, デッドネーミング（誤った名前で呼ばれること）</t>
  </si>
  <si>
    <t>戸籍名の変更, 戸籍上の性別の変更, ジェンダークリニックの受診, 抗ホルモン療法, ホルモン補充療法（HRT）, 顔にかかわる手術, 性器にかかわる手術</t>
  </si>
  <si>
    <t>ノンバイナリー, 中性, **必ず選んでください**, クエスチョニング</t>
  </si>
  <si>
    <t>さん, （any／問わない／どれでもよい）, ちゃん</t>
  </si>
  <si>
    <t>（敬称なし）, **英語を日常的に使わない**, -san</t>
  </si>
  <si>
    <t>ぼく, わし, わたし, 私（わたし／わたくし）</t>
  </si>
  <si>
    <t>必要なジェンダーケアへアクセスできない, 社会の中でいないことにされる, ミスジェンダリング（誤った性別として扱うこと）</t>
  </si>
  <si>
    <t>ノンバイナリー, ノンバイナリー男性, 中性, トランスマスキュリン, クィア／Queer</t>
  </si>
  <si>
    <t>くん／君, さん, （敬称なし）</t>
  </si>
  <si>
    <t>おれ, ぼく, 自分</t>
  </si>
  <si>
    <t>医療における無理解, 社会の中でいないことにされる, カムアウトできない, 家族／かぞくからの無理解, ミスジェンダリング（誤った性別として扱うこと）</t>
  </si>
  <si>
    <t>ノンバイナリー, Xジェンダー, 不明／わからない</t>
  </si>
  <si>
    <t>社会の中でいないことにされる, デッドネーミング（誤った名前で呼ばれること）, ミスジェンダリング（誤った性別として扱うこと）</t>
  </si>
  <si>
    <t>ノンバイナリー, トランスジェンダー, 中性, X, Xジェンダー</t>
  </si>
  <si>
    <t>（敬称なし）, くん／君, さん, たん</t>
  </si>
  <si>
    <t>（自分（たち）の名前）, 俺, 僕, ぼく, 自分</t>
  </si>
  <si>
    <t>必要なジェンダーケアへアクセスできない, カムアウトを強制される, 職場や学校における無理解, トイレなどのジェンダー化されたスペースの使用, 性暴力, 医療における無理解, 社会の中でいないことにされる, LGBTQ+運動からの排斥, 家族／かぞくからの無理解, ミスジェンダリング（誤った性別として扱うこと）, アウティング（勝手にジェンダーや指向についての情報を明かされること）</t>
  </si>
  <si>
    <t>両性, トランスジェンダー, ニュートラル, X, トランス女性, ジェンダーレス</t>
  </si>
  <si>
    <t>MIXジェンダー</t>
  </si>
  <si>
    <t>（any／問わない／どれでもよい）, くん／君, さん</t>
  </si>
  <si>
    <t>僕, 俺</t>
  </si>
  <si>
    <t>戸籍上の性別の変更, ジェンダークリニックの受診, 抗ホルモン療法, ホルモン補充療法（HRT）</t>
  </si>
  <si>
    <t>女性／woman, クィア／Queer, 不明／わからない, シスジェンダー, 不定性, ノンバイナリー, ノンバイナリー女性, **必ず選んでください**, レズビアン（ジェンダーについて）</t>
  </si>
  <si>
    <t>（時とともに変わる）, （クエスチョニング、模索中、または不明）, うち, わたし, （一人称の使用を避ける）, 私（わたし／わたくし）, 自分</t>
  </si>
  <si>
    <t>（三人称で言及してほしくない）, 彼女, （自分（たち）の名前）</t>
  </si>
  <si>
    <t>社会の中でいないことにされる, カムアウトできない, ミスジェンダリング（誤った性別として扱うこと）, LGBTQ+運動からの排斥</t>
  </si>
  <si>
    <t>クエスチョニング, 無し, 不明／わからない, 不定性, **必ず選んでください**, ジェンダー・ノンコンフォーミング／gender non-conforming</t>
  </si>
  <si>
    <t>俺, おれ, わたし, うち, わし, （時とともに変わる）, 私（わたし／わたくし）, 自分</t>
  </si>
  <si>
    <t>ノンバイナリー女性, **必ず選んでください**</t>
  </si>
  <si>
    <t>Ms., （時とともに変わる）</t>
  </si>
  <si>
    <t>she, they/them/their/themself, （時とともに変わる）</t>
  </si>
  <si>
    <t>LGBTQ+運動からの排斥, カムアウトできない, 社会の中でいないことにされる</t>
  </si>
  <si>
    <t>青年, X, Xジェンダー, **必ず選んでください**</t>
  </si>
  <si>
    <t>性暴力, 職場や学校における無理解, 家族／かぞくからの無理解, 社会の中でいないことにされる, ミスジェンダリング（誤った性別として扱うこと）</t>
  </si>
  <si>
    <t>トランス, 不定性, 中性, クエスチョニング, トランスジェンダー, 不明／わからない</t>
  </si>
  <si>
    <t>男の娘</t>
  </si>
  <si>
    <t>さん, （敬称なし）, （クエスチョニング、模索中、または不明）</t>
  </si>
  <si>
    <t>ミスジェンダリング（誤った性別として扱うこと）, カムアウトできない, 職場や学校における無理解, 必要なジェンダーケアへアクセスできない, トイレなどのジェンダー化されたスペースの使用, 家族／かぞくからの無理解</t>
  </si>
  <si>
    <t>ゼノジェンダー／xenogender, ニュートラル, ノンバイナリー男性, 女性／woman, バイナリー, 無し, ジェンダーヴォイド／gendervoid, 男性／man, トランスセクシュアル／transsexual</t>
  </si>
  <si>
    <t>シス女性、身体男性、xy体、性同一性障害</t>
  </si>
  <si>
    <t>**英語を日常的に使わない**, （敬称なし）</t>
  </si>
  <si>
    <t>トイレなどのジェンダー化されたスペースの使用, アウティング（勝手にジェンダーや指向についての情報を明かされること）</t>
  </si>
  <si>
    <t>カムアウトできない, 社会の中でいないことにされる, 家族／かぞくからの無理解, 必要なジェンダーケアへアクセスできない</t>
  </si>
  <si>
    <t>ジェンダー・ノンコンフォーミング／gender non-conforming, 無し, クエスチョニング, ノンバイナリー, クィア／Queer</t>
  </si>
  <si>
    <t>（any／問わない／どれでもよい）, Mx.</t>
  </si>
  <si>
    <t>わし, 私（わたし／わたくし）</t>
  </si>
  <si>
    <t>カムアウトを強制される, 社会の中でいないことにされる, ミスジェンダリング（誤った性別として扱うこと）, 家族／かぞくからの無理解</t>
  </si>
  <si>
    <t>X, ノンバイナリー女性, ジェンダーレス, 無性, 中性, Xジェンダー, 女性／woman, クィア／Queer</t>
  </si>
  <si>
    <t>**英語を日常的に使わない**, Dr.など、職業などにかかわるもの</t>
  </si>
  <si>
    <t>俺, わたし, 自分, 僕</t>
  </si>
  <si>
    <t>彼, 彼女</t>
  </si>
  <si>
    <t>必要なジェンダーケアへアクセスできない, 職場や学校における無理解, カムアウトできない, 家族／かぞくからの無理解, 社会の中でいないことにされる</t>
  </si>
  <si>
    <t>ノンバイナリー, 不明／わからない, ジェンダーヴォイド／gendervoid, 無し, **必ず選んでください**, 無性, ニュートラル, トランスジェンダー, Aジェンダー／エイジェンダー／アジェンダー／agender, ジェンダー・ノンコンフォーミング／gender non-conforming, ジェンダークィア, トランス, クィア／Queer</t>
  </si>
  <si>
    <t>（クエスチョニング、模索中、または不明）, -san, **英語を日常的に使わない**, Mx.</t>
  </si>
  <si>
    <t>わたし, 私（わたし／わたくし）, ぼく, （一人称の使用を避ける）, （クエスチョニング、模索中、または不明）, 自分, おれ</t>
  </si>
  <si>
    <t>カムアウトできない, LGBTQ+運動からの排斥, 社会の中でいないことにされる</t>
  </si>
  <si>
    <t>ノンバイナリー男性, **必ず選んでください**, トランス男性, クィア／Queer, ノンバイナリー, トランスジェンダー, ジェンダークィア, 青年, トランス</t>
  </si>
  <si>
    <t>さん, （any／問わない／どれでもよい）, くん／君</t>
  </si>
  <si>
    <t>（any／問わない／どれでもよい）, -san, Mr., Dr.など、職業などにかかわるもの</t>
  </si>
  <si>
    <t>わし, ぼく, （時とともに変わる）, 僕, 俺, 私（わたし／わたくし）</t>
  </si>
  <si>
    <t>he, they/them/their/themself</t>
  </si>
  <si>
    <t>職場や学校における無理解, トイレなどのジェンダー化されたスペースの使用, 必要なジェンダーケアへアクセスできない, 家族／かぞくからの無理解, ミスジェンダリング（誤った性別として扱うこと）, アウティング（勝手にジェンダーや指向についての情報を明かされること）, 社会の中でいないことにされる</t>
  </si>
  <si>
    <t>ジェンダークィア, ノンバイナリー, Aジェンダー／エイジェンダー／アジェンダー／agender, クィア／Queer</t>
  </si>
  <si>
    <t>私（わたし／わたくし）, （一人称の使用を避ける）, わたし, 自分</t>
  </si>
  <si>
    <t>アウティング（勝手にジェンダーや指向についての情報を明かされること）, 家族／かぞくからの無理解, 社会の中でいないことにされる, ミスジェンダリング（誤った性別として扱うこと）, 職場や学校における無理解</t>
  </si>
  <si>
    <t>シスジェンダー, 中性, （ジェンダー・）フルイド／（ジェンダー・）フリュイド／（ジェンダー・）フルイッド, **必ず選んでください**, ノンバイナリー女性</t>
  </si>
  <si>
    <t>わし, 私（わたし／わたくし）, わたし, 自分, （時とともに変わる）</t>
  </si>
  <si>
    <t>彼女, （any／問わない／どれでもよい）</t>
  </si>
  <si>
    <t>必要なジェンダーケアへアクセスできない, 社会の中でいないことにされる</t>
  </si>
  <si>
    <t>戸籍名の変更, 声帯にかかわる手術, 胸部の手術</t>
  </si>
  <si>
    <t>中性, ノンバイナリー女性</t>
  </si>
  <si>
    <t>ノンバイナリー女性, クィア／Queer, **必ず選んでください**</t>
  </si>
  <si>
    <t>自分, 私（わたし／わたくし）, わたし, （自分（たち）の名前）</t>
  </si>
  <si>
    <t>ノンバイナリー, ジェンダークィア, Aジェンダー／エイジェンダー／アジェンダー／agender, 無性</t>
  </si>
  <si>
    <t>医療における無理解, LGBTQ+運動からの排斥, 社会の中でいないことにされる</t>
  </si>
  <si>
    <t>ノンバイナリー, 無性</t>
  </si>
  <si>
    <t>（一人称の使用を避ける）, 自分, （時とともに変わる）, （自分（たち）の名前）, 私（わたし／わたくし）</t>
  </si>
  <si>
    <t>職場や学校における無理解, ミスジェンダリング（誤った性別として扱うこと）, 社会の中でいないことにされる, デッドネーミング（誤った名前で呼ばれること）, トイレなどのジェンダー化されたスペースの使用</t>
  </si>
  <si>
    <t>ジェンダークリニックの受診, ホルモン補充療法（HRT）</t>
  </si>
  <si>
    <t>X, ジェンダーレス, ノンバイナリー女性, Xジェンダー, ノンバイナリー男性, ニュートラル, ノンバイナリー, Aジェンダー／エイジェンダー／アジェンダー／agender</t>
  </si>
  <si>
    <t>医療における無理解, カムアウトできない, 家族／かぞくからの無理解, 必要なジェンダーケアへアクセスできない, 社会の中でいないことにされる</t>
  </si>
  <si>
    <t>レズビアン（ジェンダーについて）, 中性</t>
  </si>
  <si>
    <t>アウティング（勝手にジェンダーや指向についての情報を明かされること）, 職場や学校における無理解, 性暴力</t>
  </si>
  <si>
    <t>（ジェンダー・）フルイド／（ジェンダー・）フリュイド／（ジェンダー・）フルイッド, ノンバイナリー, トランスジェンダー, トランス, **必ず選んでください**, 不定性</t>
  </si>
  <si>
    <t>私（わたし／わたくし）, 俺, 自分</t>
  </si>
  <si>
    <t>カムアウトできない, 家族／かぞくからの無理解, アウティング（勝手にジェンダーや指向についての情報を明かされること）, 社会の中でいないことにされる, ミスジェンダリング（誤った性別として扱うこと）, 職場や学校における無理解</t>
  </si>
  <si>
    <t>Xジェンダー, ジェンダーレス, X, 無し, **必ず選んでください**</t>
  </si>
  <si>
    <t>（自分（たち）の名前）, 自分, 私（わたし／わたくし）</t>
  </si>
  <si>
    <t>家族／かぞくからの無理解, デッドネーミング（誤った名前で呼ばれること）, 必要なジェンダーケアへアクセスできない, 社会の中でいないことにされる, アウティング（勝手にジェンダーや指向についての情報を明かされること）, カムアウトできない, ミスジェンダリング（誤った性別として扱うこと）, トイレなどのジェンダー化されたスペースの使用, 職場や学校における無理解</t>
  </si>
  <si>
    <t>ジェンダークィア, クィア／Queer, ノンバイナリー</t>
  </si>
  <si>
    <t>社会の中でいないことにされる, アウティング（勝手にジェンダーや指向についての情報を明かされること）, LGBTQ+運動からの排斥, カムアウトできない</t>
  </si>
  <si>
    <t>職場や学校における無理解, 社会の中でいないことにされる, トイレなどのジェンダー化されたスペースの使用, 家族／かぞくからの無理解</t>
  </si>
  <si>
    <t>トランスジェンダー, 男性／man, 無性, トランス*／trans*, ジェンダークィア, 両性, enby／エンビー, トランス, ノンバイナリー, X, バイジェンダー, Xジェンダー, 女性／woman</t>
  </si>
  <si>
    <t>ぼく, 自分, 私（わたし／わたくし）, わたし, わたくし</t>
  </si>
  <si>
    <t>（自分（たち）の名前）, 彼女, 彼, 彼人（かのひと）, 彼人（かのと）</t>
  </si>
  <si>
    <t>医療における無理解, 必要なジェンダーケアへアクセスできない, トイレなどのジェンダー化されたスペースの使用, アウティング（勝手にジェンダーや指向についての情報を明かされること）, ミスジェンダリング（誤った性別として扱うこと）, デッドネーミング（誤った名前で呼ばれること）, 職場や学校における無理解, 社会の中でいないことにされる</t>
  </si>
  <si>
    <t>戸籍名の変更, 戸籍上の性別の変更, ジェンダークリニックの受診, ホルモン補充療法（HRT）, 顔にかかわる手術, 性器にかかわる手術</t>
  </si>
  <si>
    <t>戸籍名の変更, ジェンダークリニックの受診, ホルモン補充療法（HRT）, 顔にかかわる手術, 性器にかかわる手術</t>
  </si>
  <si>
    <t>アポラジェンダー</t>
  </si>
  <si>
    <t>Xジェンダー, **必ず選んでください**, レズビアン（ジェンダーについて）, クエスチョニング, 中性, ボイ, X</t>
  </si>
  <si>
    <t>トランス, 両性, Xジェンダー, **必ず選んでください**, X, 中性</t>
  </si>
  <si>
    <t>（any／問わない／どれでもよい）, （クエスチョニング、模索中、または不明）, （時とともに変わる）, さん</t>
  </si>
  <si>
    <t>うち, ぼく, わし, 自分, 私（わたし／わたくし）</t>
  </si>
  <si>
    <t>カムアウトできない, 職場や学校における無理解, トイレなどのジェンダー化されたスペースの使用, 家族／かぞくからの無理解</t>
  </si>
  <si>
    <t>**必ず選んでください**, ノンバイナリー, （ジェンダー・）フルイド／（ジェンダー・）フリュイド／（ジェンダー・）フルイッド, 不定性, X, Xジェンダー</t>
  </si>
  <si>
    <t>（時とともに変わる）, （敬称なし）, さん</t>
  </si>
  <si>
    <t>私（わたし／わたくし）, 自分, わたくし, （自分（たち）の名前）, 僕, あたし, （一人称の使用を避ける）, （時とともに変わる）</t>
  </si>
  <si>
    <t>性暴力, 職場や学校における無理解, トイレなどのジェンダー化されたスペースの使用, デッドネーミング（誤った名前で呼ばれること）, 家族／かぞくからの無理解, 医療における無理解, ミスジェンダリング（誤った性別として扱うこと）, 社会の中でいないことにされる, カムアウトできない, アウティング（勝手にジェンダーや指向についての情報を明かされること）</t>
  </si>
  <si>
    <t>無性, Xジェンダー, ノンバイナリー, **必ず選んでください**</t>
  </si>
  <si>
    <t>さん, （敬称なし）, （any／問わない／どれでもよい）</t>
  </si>
  <si>
    <t>カムアウトできない, 必要なジェンダーケアへアクセスできない, デッドネーミング（誤った名前で呼ばれること）, トイレなどのジェンダー化されたスペースの使用, 医療における無理解, 家族／かぞくからの無理解, 社会の中でいないことにされる, ミスジェンダリング（誤った性別として扱うこと）</t>
  </si>
  <si>
    <t>戸籍上の性別の変更, ジェンダークリニックの受診, ホルモン補充療法（HRT）, 声帯にかかわる手術</t>
  </si>
  <si>
    <t>トランスセクシュアル／transsexual, トランス, トランスジェンダー, トランス男性, ゲイ（ジェンダーについて）, **必ず選んでください**, バイナリー</t>
  </si>
  <si>
    <t>（敬称なし）, くん／君, （any／問わない／どれでもよい）</t>
  </si>
  <si>
    <t>僕, わし, 俺, おれ, 私（わたし／わたくし）</t>
  </si>
  <si>
    <t>（自分（たち）の名前）, （any／問わない／どれでもよい）, 彼</t>
  </si>
  <si>
    <t>社会の中でいないことにされる, トイレなどのジェンダー化されたスペースの使用, アウティング（勝手にジェンダーや指向についての情報を明かされること）, カムアウトできない, 必要なジェンダーケアへアクセスできない</t>
  </si>
  <si>
    <t>ノンバイナリー, X, クエスチョニング, ジェンダーレス, 無性, 不明／わからない, Xジェンダー</t>
  </si>
  <si>
    <t>自分, 俺</t>
  </si>
  <si>
    <t>ミスジェンダリング（誤った性別として扱うこと）, カムアウトできない, トイレなどのジェンダー化されたスペースの使用, 社会の中でいないことにされる, デッドネーミング（誤った名前で呼ばれること）</t>
  </si>
  <si>
    <t>クエスチョニング, Xジェンダー, **必ず選んでください**, X</t>
  </si>
  <si>
    <t>ぼく, 私（わたし／わたくし）, （時とともに変わる）, うち, 自分</t>
  </si>
  <si>
    <t>カムアウトを強制される, アウティング（勝手にジェンダーや指向についての情報を明かされること）, 社会の中でいないことにされる, ミスジェンダリング（誤った性別として扱うこと）, デッドネーミング（誤った名前で呼ばれること）, 職場や学校における無理解</t>
  </si>
  <si>
    <t>戸籍名の変更, 戸籍上の性別の変更, ジェンダークリニックの受診, 声帯にかかわる手術, 胸部の手術</t>
  </si>
  <si>
    <t>ジェンダークィア, Xジェンダー, クエスチョニング, 無性, ノンバイナリー, Aジェンダー／エイジェンダー／アジェンダー／agender</t>
  </si>
  <si>
    <t>私（わたし／わたくし）, わし, 自分, 俺, おら, （時とともに変わる）, おれ</t>
  </si>
  <si>
    <t>家族／かぞくからの無理解, 職場や学校における無理解, トイレなどのジェンダー化されたスペースの使用, カムアウトできない, アウティング（勝手にジェンダーや指向についての情報を明かされること）, 性暴力, ミスジェンダリング（誤った性別として扱うこと）, 社会の中でいないことにされる</t>
  </si>
  <si>
    <t>戸籍名の変更, 胸部の手術</t>
  </si>
  <si>
    <t>トランスジェンダー, 中性, トランスフェミニン, トランス女性, クィア／Queer, トランスセクシュアル／transsexual, ニューハーフ, ノンバイナリー, 無性, X, ジェンダーレス, Xジェンダー</t>
  </si>
  <si>
    <t>（any／問わない／どれでもよい）, ちゃん, さん, （敬称なし）</t>
  </si>
  <si>
    <t>私（わたし／わたくし）, うち, あたし</t>
  </si>
  <si>
    <t>女性／woman, 不明／わからない</t>
  </si>
  <si>
    <t>さん, ちゃん, （敬称なし）</t>
  </si>
  <si>
    <t>Ms., （敬称なし）</t>
  </si>
  <si>
    <t>あたし, 私（わたし／わたくし）, 自分, わたし</t>
  </si>
  <si>
    <t>デッドネーミング（誤った名前で呼ばれること）, 職場や学校における無理解</t>
  </si>
  <si>
    <t>X, Xジェンダー, ノンバイナリー, 中性, **必ず選んでください**</t>
  </si>
  <si>
    <t>（一人称の使用を避ける）, 自分, 私（わたし／わたくし）, 俺</t>
  </si>
  <si>
    <t>性別の概念を持たない</t>
  </si>
  <si>
    <t>トイレなどのジェンダー化されたスペースの使用, 医療における無理解, 性暴力, 職場や学校における無理解, 家族／かぞくからの無理解, ミスジェンダリング（誤った性別として扱うこと）</t>
  </si>
  <si>
    <t>無性, Xジェンダー, 不明／わからない, 不定性, （ジェンダー・）フルイド／（ジェンダー・）フリュイド／（ジェンダー・）フルイッド, **必ず選んでください**, 無し, ノンバイナリー</t>
  </si>
  <si>
    <t>ジノセクシャル</t>
  </si>
  <si>
    <t>くん／君, （敬称なし）, さん</t>
  </si>
  <si>
    <t>社会の中でいないことにされる, 性暴力, 医療における無理解, 職場や学校における無理解, カムアウトできない, トイレなどのジェンダー化されたスペースの使用</t>
  </si>
  <si>
    <t>ノンバイナリー, 無し, **必ず選んでください**, 無性, クィア／Queer</t>
  </si>
  <si>
    <t>医療における無理解, 性暴力, ミスジェンダリング（誤った性別として扱うこと）, カムアウトできない, 社会の中でいないことにされる, 家族／かぞくからの無理解, トイレなどのジェンダー化されたスペースの使用, 必要なジェンダーケアへアクセスできない, 職場や学校における無理解, LGBTQ+運動からの排斥</t>
  </si>
  <si>
    <t>レズビアン（ジェンダーについて）, ノンバイナリー女性, クィア／Queer, 不定性, （ジェンダー・）フルイド／（ジェンダー・）フリュイド／（ジェンダー・）フルイッド</t>
  </si>
  <si>
    <t>おれ, 私（わたし／わたくし）</t>
  </si>
  <si>
    <t>わたし, 私（わたし／わたくし）, 自分</t>
  </si>
  <si>
    <t>アウティング（勝手にジェンダーや指向についての情報を明かされること）, ミスジェンダリング（誤った性別として扱うこと）, 社会の中でいないことにされる, カムアウトできない, 職場や学校における無理解, カムアウトを強制される</t>
  </si>
  <si>
    <t>シスジェンダー, ノンバイナリー, ノンバイナリー男性</t>
  </si>
  <si>
    <t>くん／君, （時とともに変わる）, さん</t>
  </si>
  <si>
    <t>あたし, 僕, おれ, わたし, ぼく, （any／問わない／どれでもよい）, うち, 私（わたし／わたくし）, 自分, わし, 俺</t>
  </si>
  <si>
    <t>トランス*／trans*, （ジェンダー・）フルイド／（ジェンダー・）フリュイド／（ジェンダー・）フルイッド, トランスマスキュリン, ノンバイナリー</t>
  </si>
  <si>
    <t>さん, （敬称なし）, ちゃん, くん／君</t>
  </si>
  <si>
    <t>私（わたし／わたくし）, 自分, （自分（たち）の名前）, 俺</t>
  </si>
  <si>
    <t>ミスジェンダリング（誤った性別として扱うこと）, カムアウトできない, トイレなどのジェンダー化されたスペースの使用, 社会の中でいないことにされる, 職場や学校における無理解</t>
  </si>
  <si>
    <t>戸籍上の性別の変更, 抗ホルモン療法, 胸部の手術, 性器にかかわる手術</t>
  </si>
  <si>
    <t>**必ず選んでください**, クエスチョニング, 無し, ノンバイナリー, Xジェンダー, 不明／わからない, X</t>
  </si>
  <si>
    <t>わたし, おれ, 私（わたし／わたくし）, わし, 自分</t>
  </si>
  <si>
    <t>性暴力, アウティング（勝手にジェンダーや指向についての情報を明かされること）, 社会の中でいないことにされる, 職場や学校における無理解, ミスジェンダリング（誤った性別として扱うこと）</t>
  </si>
  <si>
    <t>中性, X, **必ず選んでください**, ノンバイナリー, Xジェンダー, ノンバイナリー男性</t>
  </si>
  <si>
    <t>さん, たん, ちゃん</t>
  </si>
  <si>
    <t>**英語を日常的に使わない**, Mx.</t>
  </si>
  <si>
    <t>うち, わたし, （自分（たち）の名前）, あたし, （一人称の使用を避ける）, 私（わたし／わたくし）</t>
  </si>
  <si>
    <t>医療における無理解, 家族／かぞくからの無理解, アウティング（勝手にジェンダーや指向についての情報を明かされること）, カムアウトを強制される, 社会の中でいないことにされる, カムアウトできない, LGBTQ+運動からの排斥, 職場や学校における無理解, 必要なジェンダーケアへアクセスできない</t>
  </si>
  <si>
    <t>不明／わからない, ジェンダーレス, ジェンダー・ノンコンフォーミング／gender non-conforming, Xジェンダー, ノンバイナリー, X</t>
  </si>
  <si>
    <t>さん, （any／問わない／どれでもよい）, （時とともに変わる）, （クエスチョニング、模索中、または不明）</t>
  </si>
  <si>
    <t>（時とともに変わる）, （any／問わない／どれでもよい）, （クエスチョニング、模索中、または不明）, -san</t>
  </si>
  <si>
    <t>（一人称の使用を避ける）, 自分, わたし, （クエスチョニング、模索中、または不明）, （時とともに変わる）, （自分（たち）の名前）, 私（わたし／わたくし）, 俺</t>
  </si>
  <si>
    <t>they/them/their/themselves, （時とともに変わる）, （クエスチョニング、模索中、または不明）</t>
  </si>
  <si>
    <t>無性, **必ず選んでください**, 無し, トランスジェンダー</t>
  </si>
  <si>
    <t>（時とともに変わる）, （クエスチョニング、模索中、または不明）</t>
  </si>
  <si>
    <t>（一人称の使用を避ける）, （クエスチョニング、模索中、または不明）, 僕, 自分, （時とともに変わる）</t>
  </si>
  <si>
    <t>ミスジェンダリング（誤った性別として扱うこと）, 医療における無理解, アウティング（勝手にジェンダーや指向についての情報を明かされること）, LGBTQ+運動からの排斥, 職場や学校における無理解, トイレなどのジェンダー化されたスペースの使用</t>
  </si>
  <si>
    <t>戸籍名の変更, 戸籍上の性別の変更, ジェンダークリニックの受診, 抗ホルモン療法, 顔にかかわる手術, 胸部の手術, 性器にかかわる手術</t>
  </si>
  <si>
    <t>ジェンダークリニックの受診, 抗ホルモン療法, 胸部の手術, 性器にかかわる手術</t>
  </si>
  <si>
    <t>ジェンダー・ノンコンフォーミング／gender non-conforming, ノンバイナリー, **必ず選んでください**, ジェンダークィア, クィア／Queer, Xジェンダー</t>
  </si>
  <si>
    <t>自分たちの名前自体がジェンダーを表す、ノンコンフォーミング・クィア</t>
  </si>
  <si>
    <t>ぼく, おれ, 私（わたし／わたくし）, うち, （自分（たち）の名前）</t>
  </si>
  <si>
    <t>かれ, （自分（たち）の名前）</t>
  </si>
  <si>
    <t>アウティング（勝手にジェンダーや指向についての情報を明かされること）, 社会の中でいないことにされる, トイレなどのジェンダー化されたスペースの使用, ミスジェンダリング（誤った性別として扱うこと）, 医療における無理解, LGBTQ+運動からの排斥, 性暴力, カムアウトできない, 必要なジェンダーケアへアクセスできない, カムアウトを強制される, 職場や学校における無理解</t>
  </si>
  <si>
    <t>トランスジェンダー, トランス男性, 男性／man, ゲイ（ジェンダーについて）, トランス, **必ず選んでください**</t>
  </si>
  <si>
    <t>さん, ちゃん, くん／君</t>
  </si>
  <si>
    <t>おれ, わたし, ぼく</t>
  </si>
  <si>
    <t>社会の中でいないことにされる, 医療における無理解, カムアウトできない, 家族／かぞくからの無理解, トイレなどのジェンダー化されたスペースの使用, ミスジェンダリング（誤った性別として扱うこと）, 職場や学校における無理解</t>
  </si>
  <si>
    <t>**必ず選んでください**, 中性</t>
  </si>
  <si>
    <t>家族／かぞくからの無理解, 職場や学校における無理解, 社会の中でいないことにされる</t>
  </si>
  <si>
    <t>**必ず選んでください**, ノンバイナリー, クィア／Queer, トランスジェンダー, 無性</t>
  </si>
  <si>
    <t>自分, 私（わたし／わたくし）, 僕</t>
  </si>
  <si>
    <t>ミスジェンダリング（誤った性別として扱うこと）, カムアウトを強制される</t>
  </si>
  <si>
    <t>**必ず選んでください**, X, トランスセクシュアル／transsexual</t>
  </si>
  <si>
    <t>彼, かれ</t>
  </si>
  <si>
    <t>クエスチョニング, 不定性, 青年, 両性, 中性, ノンバイナリー</t>
  </si>
  <si>
    <t>クエスチョニング, ノンバイナリー, **必ず選んでください**, クィア／Queer, 無性</t>
  </si>
  <si>
    <t>さん, （クエスチョニング、模索中、または不明）, （敬称なし）</t>
  </si>
  <si>
    <t>-san, Mx.</t>
  </si>
  <si>
    <t>（クエスチョニング、模索中、または不明）, 俺, わたし, ぼく, 私（わたし／わたくし）</t>
  </si>
  <si>
    <t>必要なジェンダーケアへアクセスできない, ミスジェンダリング（誤った性別として扱うこと）, トイレなどのジェンダー化されたスペースの使用, 社会の中でいないことにされる, 家族／かぞくからの無理解, カムアウトできない, 職場や学校における無理解, デッドネーミング（誤った名前で呼ばれること）</t>
  </si>
  <si>
    <t>戸籍名の変更, 戸籍上の性別の変更, ジェンダークリニックの受診, 抗ホルモン療法, 声帯にかかわる手術, 胸部の手術</t>
  </si>
  <si>
    <t>ノンバイナリー, Aジェンダー／エイジェンダー／アジェンダー／agender, 無性</t>
  </si>
  <si>
    <t>俺, （時とともに変わる）, （クエスチョニング、模索中、または不明）, 僕, 私（わたし／わたくし）</t>
  </si>
  <si>
    <t>（クエスチョニング、模索中、または不明）, they/them/their/themselves, **英語を日常的に使わない**</t>
  </si>
  <si>
    <t>トイレなどのジェンダー化されたスペースの使用, LGBTQ+運動からの排斥, アウティング（勝手にジェンダーや指向についての情報を明かされること）, デッドネーミング（誤った名前で呼ばれること）, 社会の中でいないことにされる, 医療における無理解, カムアウトできない, 性暴力, ミスジェンダリング（誤った性別として扱うこと）, カムアウトを強制される, 必要なジェンダーケアへアクセスできない, 職場や学校における無理解, 家族／かぞくからの無理解</t>
  </si>
  <si>
    <t>無性, Xジェンダー, ノンバイナリー</t>
  </si>
  <si>
    <t>自分, 私（わたし／わたくし）, 俺, （一人称の使用を避ける）, わたし</t>
  </si>
  <si>
    <t>トイレなどのジェンダー化されたスペースの使用, 医療における無理解, 社会の中でいないことにされる, 性暴力, LGBTQ+運動からの排斥, カムアウトできない, ミスジェンダリング（誤った性別として扱うこと）, アウティング（勝手にジェンダーや指向についての情報を明かされること）, 職場や学校における無理解</t>
  </si>
  <si>
    <t>無性, **必ず選んでください**, 無し</t>
  </si>
  <si>
    <t>FtX無性</t>
  </si>
  <si>
    <t>わし, 自分, 私（わたし／わたくし）</t>
  </si>
  <si>
    <t>必要なジェンダーケアへアクセスできない, カムアウトできない, ミスジェンダリング（誤った性別として扱うこと）, 職場や学校における無理解, 家族／かぞくからの無理解, トイレなどのジェンダー化されたスペースの使用, 社会の中でいないことにされる, LGBTQ+運動からの排斥, 医療における無理解</t>
  </si>
  <si>
    <t>戸籍上の性別の変更, ジェンダークリニックの受診, 胸部の手術, 性器にかかわる手術</t>
  </si>
  <si>
    <t>シスジェンダー, 無性, 不明／わからない, ノンバイナリー女性, クエスチョニング, ノンバイナリー, Xジェンダー, クィア／Queer, 女性／woman</t>
  </si>
  <si>
    <t>社会の中でいないことにされる, 職場や学校における無理解, 家族／かぞくからの無理解, アウティング（勝手にジェンダーや指向についての情報を明かされること）, LGBTQ+運動からの排斥, 必要なジェンダーケアへアクセスできない, カムアウトできない, カムアウトを強制される</t>
  </si>
  <si>
    <t>男性／man, **必ず選んでください**, クエスチョニング</t>
  </si>
  <si>
    <t>カムアウトできない, 職場や学校における無理解</t>
  </si>
  <si>
    <t>デミジェンダー, 不明／わからない, ジェンダークィア, Aジェンダー／エイジェンダー／アジェンダー／agender, デミAジェンダー, ノンバイナリー男性, デミボーイ, ノンバイナリー</t>
  </si>
  <si>
    <t>-san, Mr., （any／問わない／どれでもよい）</t>
  </si>
  <si>
    <t>（一人称の使用を避ける）, わたし, 僕, ぼく</t>
  </si>
  <si>
    <t>かれ, 彼人（かのと）, 彼, （any／問わない／どれでもよい）, 彼人（かのひと）</t>
  </si>
  <si>
    <t>無し, Xジェンダー, Aジェンダー／エイジェンダー／アジェンダー／agender, クィア／Queer, 無性, X</t>
  </si>
  <si>
    <t>無性, Xジェンダー</t>
  </si>
  <si>
    <t>中性, ゲイ（ジェンダーについて）, Xジェンダー, ジェンダークィア, X, ノンバイナリー, クィア／Queer, （ジェンダー・）フルイド／（ジェンダー・）フリュイド／（ジェンダー・）フルイッド, クエスチョニング, バイナリー</t>
  </si>
  <si>
    <t>私（わたし／わたくし）, 俺</t>
  </si>
  <si>
    <t>家族／かぞくからの無理解, 必要なジェンダーケアへアクセスできない, ミスジェンダリング（誤った性別として扱うこと）, カムアウトできない, トイレなどのジェンダー化されたスペースの使用, LGBTQ+運動からの排斥, 職場や学校における無理解, 社会の中でいないことにされる, 医療における無理解</t>
  </si>
  <si>
    <t>Aジェンダー／エイジェンダー／アジェンダー／agender, Xジェンダー, ノンバイナリー, 無性</t>
  </si>
  <si>
    <t>（クエスチョニング、模索中、または不明）, （自分（たち）の名前）, （時とともに変わる）, 僕, 私（わたし／わたくし）</t>
  </si>
  <si>
    <t>医療における無理解, 職場や学校における無理解, 必要なジェンダーケアへアクセスできない, 家族／かぞくからの無理解, アウティング（勝手にジェンダーや指向についての情報を明かされること）, LGBTQ+運動からの排斥, デッドネーミング（誤った名前で呼ばれること）, カムアウトできない, ミスジェンダリング（誤った性別として扱うこと）, 社会の中でいないことにされる, トイレなどのジェンダー化されたスペースの使用</t>
  </si>
  <si>
    <t>無し, X, 不明／わからない, **必ず選んでください**, 無性, Xジェンダー</t>
  </si>
  <si>
    <t>アポジェンダー/Apogender</t>
  </si>
  <si>
    <t>僕, 自分, 私（わたし／わたくし）, 俺, ぼく</t>
  </si>
  <si>
    <t>カムアウトできない, 家族／かぞくからの無理解, 社会の中でいないことにされる, ミスジェンダリング（誤った性別として扱うこと）, 職場や学校における無理解</t>
  </si>
  <si>
    <t>無性, 無し, Xジェンダー, ノンバイナリー, **必ず選んでください**</t>
  </si>
  <si>
    <t>社会の中でいないことにされる, ミスジェンダリング（誤った性別として扱うこと）, 医療における無理解, デッドネーミング（誤った名前で呼ばれること）, 職場や学校における無理解</t>
  </si>
  <si>
    <t>Dr.など、職業などにかかわるもの</t>
  </si>
  <si>
    <t>カムアウトできない, 家族／かぞくからの無理解</t>
  </si>
  <si>
    <t>（ジェンダー・）フルイド／（ジェンダー・）フリュイド／（ジェンダー・）フルイッド, **必ず選んでください**, ノンバイナリー</t>
  </si>
  <si>
    <t>ぼく, （自分（たち）の名前）, 私（わたし／わたくし）, 僕, わたし, （時とともに変わる）, 自分</t>
  </si>
  <si>
    <t>社会の中でいないことにされる, トイレなどのジェンダー化されたスペースの使用, ミスジェンダリング（誤った性別として扱うこと）, 職場や学校における無理解, LGBTQ+運動からの排斥, 家族／かぞくからの無理解</t>
  </si>
  <si>
    <t>ノンバイナリー, **必ず選んでください**, （ジェンダー・）フルイド／（ジェンダー・）フリュイド／（ジェンダー・）フルイッド, 無性, ニュートラル, 中性, トランスジェンダー, Xジェンダー</t>
  </si>
  <si>
    <t>-san, Mx., （敬称なし）</t>
  </si>
  <si>
    <t>（一人称の使用を避ける）, 私（わたし／わたくし）, 俺, わし, （時とともに変わる）, 自分, うち</t>
  </si>
  <si>
    <t>（三人称で言及してほしくない）, 彼, （自分（たち）の名前）</t>
  </si>
  <si>
    <t>ze, they/them/their/themself, they/them/their/themselves</t>
  </si>
  <si>
    <t>社会の中でいないことにされる, デッドネーミング（誤った名前で呼ばれること）, ミスジェンダリング（誤った性別として扱うこと）, トイレなどのジェンダー化されたスペースの使用, 必要なジェンダーケアへアクセスできない, アウティング（勝手にジェンダーや指向についての情報を明かされること）, カムアウトを強制される, 性暴力, 家族／かぞくからの無理解, 医療における無理解, 職場や学校における無理解</t>
  </si>
  <si>
    <t>アウティング（勝手にジェンダーや指向についての情報を明かされること）, 職場や学校における無理解</t>
  </si>
  <si>
    <t>Xジェンダー, ノンバイナリー, **必ず選んでください**, ジェンダークィア, 両性</t>
  </si>
  <si>
    <t>X, ノンバイナリー, 無性, 中性</t>
  </si>
  <si>
    <t>（敬称なし）, ちゃん, さん, （クエスチョニング、模索中、または不明）</t>
  </si>
  <si>
    <t>（クエスチョニング、模索中、または不明）, （敬称なし）, -san</t>
  </si>
  <si>
    <t>私（わたし／わたくし）, わたし, （自分（たち）の名前）</t>
  </si>
  <si>
    <t>社会の中でいないことにされる, 医療における無理解, LGBTQ+運動からの排斥, カムアウトを強制される, ミスジェンダリング（誤った性別として扱うこと）, 性暴力, 家族／かぞくからの無理解, 必要なジェンダーケアへアクセスできない, デッドネーミング（誤った名前で呼ばれること）</t>
  </si>
  <si>
    <t>トランスジェンダー, Xジェンダー, 中性, クィア／Queer, （ジェンダー・）フルイド／（ジェンダー・）フリュイド／（ジェンダー・）フルイッド, ノンバイナリー</t>
  </si>
  <si>
    <t>she, xe</t>
  </si>
  <si>
    <t>カムアウトできない, アウティング（勝手にジェンダーや指向についての情報を明かされること）, 社会の中でいないことにされる, 医療における無理解, デッドネーミング（誤った名前で呼ばれること）, ミスジェンダリング（誤った性別として扱うこと）, 職場や学校における無理解, 必要なジェンダーケアへアクセスできない, 家族／かぞくからの無理解</t>
  </si>
  <si>
    <t>戸籍名の変更, 戸籍上の性別の変更, ジェンダークリニックの受診, ホルモン補充療法（HRT）</t>
  </si>
  <si>
    <t>（ジェンダー・）フルイド／（ジェンダー・）フリュイド／（ジェンダー・）フルイッド, ノンバイナリー, 不定性</t>
  </si>
  <si>
    <t>わたし, 俺, 僕</t>
  </si>
  <si>
    <t>ミスジェンダリング（誤った性別として扱うこと）, カムアウトできない, 職場や学校における無理解, トイレなどのジェンダー化されたスペースの使用, 社会の中でいないことにされる</t>
  </si>
  <si>
    <t>Xジェンダー, 無し, **必ず選んでください**, 不定性</t>
  </si>
  <si>
    <t>わたし, （自分（たち）の名前）, 自分</t>
  </si>
  <si>
    <t>トイレなどのジェンダー化されたスペースの使用, カムアウトできない, 必要なジェンダーケアへアクセスできない, 家族／かぞくからの無理解</t>
  </si>
  <si>
    <t>ノンバイナリー, 中性, ニュートラル, ジェンダーレス, クィア／Queer, Xジェンダー, X</t>
  </si>
  <si>
    <t>**必ず選んでください**, クエスチョニング</t>
  </si>
  <si>
    <t>トランス, X, 両性, ポリジェンダー, Xジェンダー, **必ず選んでください**</t>
  </si>
  <si>
    <t>必要なジェンダーケアへアクセスできない, 家族／かぞくからの無理解, 医療における無理解, 社会の中でいないことにされる, デッドネーミング（誤った名前で呼ばれること）, ミスジェンダリング（誤った性別として扱うこと）, トイレなどのジェンダー化されたスペースの使用</t>
  </si>
  <si>
    <t>くん／君, （敬称なし）, （クエスチョニング、模索中、または不明）</t>
  </si>
  <si>
    <t>トイレなどのジェンダー化されたスペースの使用, デッドネーミング（誤った名前で呼ばれること）, ミスジェンダリング（誤った性別として扱うこと）</t>
  </si>
  <si>
    <t>X, 不定性, **必ず選んでください**</t>
  </si>
  <si>
    <t>必要なジェンダーケアへアクセスできない, 家族／かぞくからの無理解, 社会の中でいないことにされる, 職場や学校における無理解</t>
  </si>
  <si>
    <t>Aジェンダー／エイジェンダー／アジェンダー／agender, 中性, クエスチョニング, ニュートラル, X, ノンバイナリー, 少年, Xジェンダー</t>
  </si>
  <si>
    <t>（敬称なし）, （時とともに変わる）, くん／君, （クエスチョニング、模索中、または不明）</t>
  </si>
  <si>
    <t>うち, 私（わたし／わたくし）, （一人称の使用を避ける）, 自分, 僕</t>
  </si>
  <si>
    <t>医療における無理解, 職場や学校における無理解, アウティング（勝手にジェンダーや指向についての情報を明かされること）, 性暴力</t>
  </si>
  <si>
    <t>Xジェンダー, X, 不定性</t>
  </si>
  <si>
    <t>私（わたし／わたくし）, うち, 自分</t>
  </si>
  <si>
    <t>家族／かぞくからの無理解, 職場や学校における無理解, カムアウトできない</t>
  </si>
  <si>
    <t>無し, クィア／Queer, 無性, ニュートラル, 不定性, ノンバイナリー, 不明／わからない, ノンバイナリー女性, Aジェンダー／エイジェンダー／アジェンダー／agender</t>
  </si>
  <si>
    <t>（クエスチョニング、模索中、または不明）, （敬称なし）, （時とともに変わる）, （any／問わない／どれでもよい）, さん</t>
  </si>
  <si>
    <t>（時とともに変わる）, わたし, ぼく, おれ, （any／問わない／どれでもよい）, 自分, 僕, 俺, 私（わたし／わたくし）</t>
  </si>
  <si>
    <t>カムアウトを強制される, 医療における無理解, 家族／かぞくからの無理解, 性暴力, ミスジェンダリング（誤った性別として扱うこと）, 職場や学校における無理解, 社会の中でいないことにされる, LGBTQ+運動からの排斥, 必要なジェンダーケアへアクセスできない, アウティング（勝手にジェンダーや指向についての情報を明かされること）, カムアウトできない</t>
  </si>
  <si>
    <t>（ジェンダー・）フルイド／（ジェンダー・）フリュイド／（ジェンダー・）フルイッド, トランスジェンダー, Xジェンダー, ノンバイナリー</t>
  </si>
  <si>
    <t>（時とともに変わる）, 僕, 俺, ぼく, （自分（たち）の名前）, わたし</t>
  </si>
  <si>
    <t>アウティング（勝手にジェンダーや指向についての情報を明かされること）, 家族／かぞくからの無理解, ミスジェンダリング（誤った性別として扱うこと）, 医療における無理解, トイレなどのジェンダー化されたスペースの使用</t>
  </si>
  <si>
    <t>医療における無理解, ミスジェンダリング（誤った性別として扱うこと）, 職場や学校における無理解, 家族／かぞくからの無理解, 必要なジェンダーケアへアクセスできない, 社会の中でいないことにされる</t>
  </si>
  <si>
    <t>ノンバイナリー, 男性／man, 少年, トランス男性, トランスジェンダー, 無性, ノンバイナリー男性</t>
  </si>
  <si>
    <t>僕, 俺, 私（わたし／わたくし）, 自分</t>
  </si>
  <si>
    <t>they/them/their/themself, he, **英語を日常的に使わない**</t>
  </si>
  <si>
    <t>家族／かぞくからの無理解, ミスジェンダリング（誤った性別として扱うこと）, 社会の中でいないことにされる</t>
  </si>
  <si>
    <t>デッドネーミング（誤った名前で呼ばれること）, 職場や学校における無理解, 性暴力</t>
  </si>
  <si>
    <t>中性, 不定性, ジェンダーレス, Xジェンダー, 両性, 無性</t>
  </si>
  <si>
    <t>私（わたし／わたくし）, うち</t>
  </si>
  <si>
    <t>必要なジェンダーケアへアクセスできない, カムアウトできない</t>
  </si>
  <si>
    <t>**必ず選んでください**, 無し, ノンバイナリー女性, Xジェンダー, ノンバイナリー</t>
  </si>
  <si>
    <t>職場や学校における無理解, 医療における無理解, 社会の中でいないことにされる, ミスジェンダリング（誤った性別として扱うこと）, 家族／かぞくからの無理解</t>
  </si>
  <si>
    <t>**必ず選んでください**, 青年, トランス, Aジェンダー／エイジェンダー／アジェンダー／agender, 無性</t>
  </si>
  <si>
    <t>-san, Dr.など、職業などにかかわるもの, Mr.</t>
  </si>
  <si>
    <t>私（わたし／わたくし）, 僕, 自分, おれ</t>
  </si>
  <si>
    <t>ミスジェンダリング（誤った性別として扱うこと）, 医療における無理解, 社会の中でいないことにされる, 性暴力</t>
  </si>
  <si>
    <t>声帯にかかわる手術, 胸部の手術</t>
  </si>
  <si>
    <t>クィア／Queer, ノンバイナリー, （ジェンダー・）フルイド／（ジェンダー・）フリュイド／（ジェンダー・）フルイッド, ノンバイナリー女性, 不定性, ジェンダークィア, **必ず選んでください**, デミガール, 無性</t>
  </si>
  <si>
    <t>-san, Dr.など、職業などにかかわるもの, Mx., Ms.</t>
  </si>
  <si>
    <t>（一人称の使用を避ける）, わたし, 自分, 私（わたし／わたくし）, わし</t>
  </si>
  <si>
    <t>彼女, 彼人（かのひと）, （三人称で言及してほしくない）, 彼人（かのと）</t>
  </si>
  <si>
    <t>they/them/their/themself, ze, she</t>
  </si>
  <si>
    <t>家族／かぞくからの無理解, 必要なジェンダーケアへアクセスできない, ミスジェンダリング（誤った性別として扱うこと）</t>
  </si>
  <si>
    <t>**必ず選んでください**, デミボーイ</t>
  </si>
  <si>
    <t>FtMtX(LGBTs当事者の集会の中など、出生時の性別を明かしてもいい場合に使う表現)
訳ありMtX(当事者以外も見られるTwitterアカウントなど、出生時の性別を明かしたくない場合に使う表現)</t>
  </si>
  <si>
    <t>俺, （時とともに変わる）, 自分</t>
  </si>
  <si>
    <t>デッドネーミング（誤った名前で呼ばれること）, アウティング（勝手にジェンダーや指向についての情報を明かされること）, カムアウトを強制される, 家族／かぞくからの無理解, ミスジェンダリング（誤った性別として扱うこと）, 医療における無理解, 必要なジェンダーケアへアクセスできない, 性暴力</t>
  </si>
  <si>
    <t>戸籍上の性別の変更, ジェンダークリニックの受診, ホルモン補充療法（HRT）, 性器にかかわる手術</t>
  </si>
  <si>
    <t>トランス, ジェンダークィア, ノンバイナリー, Xジェンダー, （ジェンダー・）フルイド／（ジェンダー・）フリュイド／（ジェンダー・）フルイッド, X</t>
  </si>
  <si>
    <t>（クエスチョニング、模索中、または不明）, **英語を日常的に使わない**, Mx., Mr.</t>
  </si>
  <si>
    <t>彼女, かれ, （三人称で言及してほしくない）</t>
  </si>
  <si>
    <t>家族／かぞくからの無理解, トイレなどのジェンダー化されたスペースの使用, 性暴力, アウティング（勝手にジェンダーや指向についての情報を明かされること）, 医療における無理解, 職場や学校における無理解</t>
  </si>
  <si>
    <t>クエスチョニング, Xジェンダー</t>
  </si>
  <si>
    <t>僕, わし, うち, （時とともに変わる）, （一人称の使用を避ける）, （自分（たち）の名前）, わたし, わたくし</t>
  </si>
  <si>
    <t>社会の中でいないことにされる, 性暴力, 家族／かぞくからの無理解, 職場や学校における無理解</t>
  </si>
  <si>
    <t>ノンバイナリー男性, （ジェンダー・）フルイド／（ジェンダー・）フリュイド／（ジェンダー・）フルイッド, クィア／Queer, ゲイ（ジェンダーについて）, **必ず選んでください**, ノンバイナリー</t>
  </si>
  <si>
    <t>ぼく, 私（わたし／わたくし）, 俺, わたし, あたし, （一人称の使用を避ける）, （時とともに変わる）</t>
  </si>
  <si>
    <t>（敬称なし）, くん／君, さん, （クエスチョニング、模索中、または不明）</t>
  </si>
  <si>
    <t>カムアウトできない, デッドネーミング（誤った名前で呼ばれること）, 社会の中でいないことにされる, 必要なジェンダーケアへアクセスできない, 家族／かぞくからの無理解, ミスジェンダリング（誤った性別として扱うこと）, 職場や学校における無理解</t>
  </si>
  <si>
    <t>ノンバイナリー, 無性, Xジェンダー, 中性</t>
  </si>
  <si>
    <t>（any／問わない／どれでもよい）, （クエスチョニング、模索中、または不明）</t>
  </si>
  <si>
    <t>わたし, あたし, 自分, （自分（たち）の名前）, （時とともに変わる）</t>
  </si>
  <si>
    <t>Xジェンダー, ノンバイナリー, 無性, **必ず選んでください**</t>
  </si>
  <si>
    <t>（any／問わない／どれでもよい）, （敬称なし）, -san</t>
  </si>
  <si>
    <t>私（わたし／わたくし）, あたし, わたし, わたくし</t>
  </si>
  <si>
    <t>必要なジェンダーケアへアクセスできない, 医療における無理解, ミスジェンダリング（誤った性別として扱うこと）, カムアウトできない, 職場や学校における無理解, 社会の中でいないことにされる, 家族／かぞくからの無理解</t>
  </si>
  <si>
    <t>**必ず選んでください**, ジェンダークィア, ニュートラル, 不明／わからない, 中性, Xジェンダー, クィア／Queer, ノンバイナリー, クエスチョニング</t>
  </si>
  <si>
    <t>僕, おれ, わたし, 俺, 自分, 私（わたし／わたくし）</t>
  </si>
  <si>
    <t>必要なジェンダーケアへアクセスできない, 職場や学校における無理解, カムアウトできない</t>
  </si>
  <si>
    <t>enby／エンビー, ジェンダークィア, ノンバイナリー</t>
  </si>
  <si>
    <t>ちゃん, くん／君, さん</t>
  </si>
  <si>
    <t>僕, 私（わたし／わたくし）, わたし, わし</t>
  </si>
  <si>
    <t>xe, they/them/their/themself, ey/em (Elverson)</t>
  </si>
  <si>
    <t>医療における無理解, アウティング（勝手にジェンダーや指向についての情報を明かされること）, 必要なジェンダーケアへアクセスできない, ミスジェンダリング（誤った性別として扱うこと）, トイレなどのジェンダー化されたスペースの使用</t>
  </si>
  <si>
    <t>ジェンダークィア, トランスマスキュリン, （ジェンダー・）フルイド／（ジェンダー・）フリュイド／（ジェンダー・）フルイッド, ジェンダーレス, Xジェンダー, Aジェンダー／エイジェンダー／アジェンダー／agender, X, デミAジェンダー</t>
  </si>
  <si>
    <t>自分, 僕, 私（わたし／わたくし）, わし, 俺, ぼく</t>
  </si>
  <si>
    <t>（自分（たち）の名前）, （any／問わない／どれでもよい）, （三人称で言及してほしくない）</t>
  </si>
  <si>
    <t>社会の中でいないことにされる, トイレなどのジェンダー化されたスペースの使用, 職場や学校における無理解, カムアウトできない, 家族／かぞくからの無理解</t>
  </si>
  <si>
    <t>ジェンダークリニックの受診, 抗ホルモン療法, ホルモン補充療法（HRT）, 声帯にかかわる手術</t>
  </si>
  <si>
    <t>ノンバイナリー男性, トランス*／trans*, ニュートラル, レズビアン（ジェンダーについて）, トランスジェンダー, トランス男性</t>
  </si>
  <si>
    <t>私（わたし／わたくし）, 俺, 僕</t>
  </si>
  <si>
    <t>職場や学校における無理解, カムアウトできない, 家族／かぞくからの無理解, アウティング（勝手にジェンダーや指向についての情報を明かされること）</t>
  </si>
  <si>
    <t>ノンバイナリー, Xジェンダー, X</t>
  </si>
  <si>
    <t>（一人称の使用を避ける）, （自分（たち）の名前）</t>
  </si>
  <si>
    <t>社会の中でいないことにされる, 必要なジェンダーケアへアクセスできない, 職場や学校における無理解, カムアウトを強制される, LGBTQ+運動からの排斥, 医療における無理解, カムアウトできない, ミスジェンダリング（誤った性別として扱うこと）</t>
  </si>
  <si>
    <t>無性, X, **必ず選んでください**</t>
  </si>
  <si>
    <t>ミスジェンダリング（誤った性別として扱うこと）, カムアウトできない, トイレなどのジェンダー化されたスペースの使用</t>
  </si>
  <si>
    <t>Xジェンダー, ノンバイナリー, ジェンダークィア, ノンバイナリー女性, クィア／Queer</t>
  </si>
  <si>
    <t>（時とともに変わる）, わたし, おれ, ぼく, 自分</t>
  </si>
  <si>
    <t>家族／かぞくからの無理解, 必要なジェンダーケアへアクセスできない</t>
  </si>
  <si>
    <t>ジェンダーレス, X, ノンバイナリー, **必ず選んでください**, Aジェンダー／エイジェンダー／アジェンダー／agender, 無性, Xジェンダー</t>
  </si>
  <si>
    <t>デッドネーミング（誤った名前で呼ばれること）, 職場や学校における無理解, カムアウトできない, 家族／かぞくからの無理解</t>
  </si>
  <si>
    <t>デッドネーミング（誤った名前で呼ばれること）, 家族／かぞくからの無理解, アウティング（勝手にジェンダーや指向についての情報を明かされること）, カムアウトできない, 性暴力, トイレなどのジェンダー化されたスペースの使用, 社会の中でいないことにされる, LGBTQ+運動からの排斥, ミスジェンダリング（誤った性別として扱うこと）</t>
  </si>
  <si>
    <t>ノンバイナリー, クエスチョニング, トランス, **必ず選んでください**</t>
  </si>
  <si>
    <t>さん, くん／君, （any／問わない／どれでもよい）, ちゃん</t>
  </si>
  <si>
    <t>自分, 俺, わし, 私（わたし／わたくし）</t>
  </si>
  <si>
    <t>トイレなどのジェンダー化されたスペースの使用, 社会の中でいないことにされる, 必要なジェンダーケアへアクセスできない, 家族／かぞくからの無理解, 性暴力, ミスジェンダリング（誤った性別として扱うこと）</t>
  </si>
  <si>
    <t>ニュートラル, **必ず選んでください**, クエスチョニング, シスジェンダー</t>
  </si>
  <si>
    <t>（any／問わない／どれでもよい）, （時とともに変わる）, さん, （敬称なし）</t>
  </si>
  <si>
    <t>any/問わない/どれでもよい, （時とともに変わる）, she</t>
  </si>
  <si>
    <t>Xジェンダー, 無性</t>
  </si>
  <si>
    <t>うち, わたし, （時とともに変わる）, （クエスチョニング、模索中、または不明）, （一人称の使用を避ける）</t>
  </si>
  <si>
    <t>彼女, （三人称で言及してほしくない）, （自分（たち）の名前）</t>
  </si>
  <si>
    <t>**必ず選んでください**, Xジェンダー, X, 中性</t>
  </si>
  <si>
    <t>クィア／Queer, Xジェンダー, **必ず選んでください**, 中性, X, （ジェンダー・）フルイド／（ジェンダー・）フリュイド／（ジェンダー・）フルイッド, ジェンダーレス, ニュートラル, 不明／わからない, 両性, 不定性</t>
  </si>
  <si>
    <t>わたし, おれ, うち, 俺, あたし, 自分, わし, （時とともに変わる）, ぼく, 私（わたし／わたくし）, 僕</t>
  </si>
  <si>
    <t>性暴力, ミスジェンダリング（誤った性別として扱うこと）, カムアウトできない, 医療における無理解, 社会の中でいないことにされる, 職場や学校における無理解, トイレなどのジェンダー化されたスペースの使用</t>
  </si>
  <si>
    <t>Xジェンダー, X, 男性／man, 両性, **必ず選んでください**</t>
  </si>
  <si>
    <t>わたし, 自分, 俺</t>
  </si>
  <si>
    <t>家族／かぞくからの無理解, ミスジェンダリング（誤った性別として扱うこと）</t>
  </si>
  <si>
    <t>Aジェンダー／エイジェンダー／アジェンダー／agender, ノンバイナリー, enby／エンビー, 無性</t>
  </si>
  <si>
    <t>あたし, 私（わたし／わたくし）, 自分, おれ, わたし, （時とともに変わる）, うち, わたくし</t>
  </si>
  <si>
    <t>ミスジェンダリング（誤った性別として扱うこと）, カムアウトできない, トイレなどのジェンダー化されたスペースの使用, 社会の中でいないことにされる, 職場や学校における無理解, 医療における無理解, 必要なジェンダーケアへアクセスできない</t>
  </si>
  <si>
    <t>クエスチョニング, 少女, クィア／Queer, 女性／woman</t>
  </si>
  <si>
    <t>私（わたし／わたくし）, 自分, うち, わたし</t>
  </si>
  <si>
    <t>性暴力, 医療における無理解, 職場や学校における無理解, 社会の中でいないことにされる, LGBTQ+運動からの排斥, 家族／かぞくからの無理解</t>
  </si>
  <si>
    <t>トランスジェンダー, レズビアン（ジェンダーについて）, トランス女性, トランスフェミニン</t>
  </si>
  <si>
    <t>カムアウトできない, アウティング（勝手にジェンダーや指向についての情報を明かされること）, ミスジェンダリング（誤った性別として扱うこと）, 職場や学校における無理解, 社会の中でいないことにされる, トイレなどのジェンダー化されたスペースの使用, 必要なジェンダーケアへアクセスできない, LGBTQ+運動からの排斥, 性暴力, カムアウトを強制される, 家族／かぞくからの無理解</t>
  </si>
  <si>
    <t>無し, **必ず選んでください**, ノンバイナリー, Aジェンダー／エイジェンダー／アジェンダー／agender, トランス, クィア／Queer</t>
  </si>
  <si>
    <t>医療における無理解, 職場や学校における無理解, トイレなどのジェンダー化されたスペースの使用, ミスジェンダリング（誤った性別として扱うこと）, 家族／かぞくからの無理解, カムアウトできない, 社会の中でいないことにされる</t>
  </si>
  <si>
    <t>**必ず選んでください**, ノンバイナリー, Xジェンダー, ジェンダークィア</t>
  </si>
  <si>
    <t>Mx., Mr.</t>
  </si>
  <si>
    <t>they/them/their/themselves, he</t>
  </si>
  <si>
    <t>カムアウトを強制される, アウティング（勝手にジェンダーや指向についての情報を明かされること）, 必要なジェンダーケアへアクセスできない, ミスジェンダリング（誤った性別として扱うこと）, 家族／かぞくからの無理解, カムアウトできない, 社会の中でいないことにされる</t>
  </si>
  <si>
    <t>**必ず選んでください**, 無性, ノンバイナリー</t>
  </si>
  <si>
    <t>アジェンダー、アポジェンダー</t>
  </si>
  <si>
    <t>自分, 私（わたし／わたくし）, （一人称の使用を避ける）, 僕</t>
  </si>
  <si>
    <t>職場や学校における無理解, LGBTQ+運動からの排斥, トイレなどのジェンダー化されたスペースの使用, 医療における無理解, 必要なジェンダーケアへアクセスできない, ミスジェンダリング（誤った性別として扱うこと）, デッドネーミング（誤った名前で呼ばれること）, カムアウトを強制される</t>
  </si>
  <si>
    <t>クィア／Queer, ノンバイナリー女性</t>
  </si>
  <si>
    <t>ミスジェンダリング（誤った性別として扱うこと）, 医療における無理解, カムアウトできない, トイレなどのジェンダー化されたスペースの使用, 社会の中でいないことにされる, カムアウトを強制される, LGBTQ+運動からの排斥, 性暴力, 職場や学校における無理解</t>
  </si>
  <si>
    <t>**必ず選んでください**, クィア／Queer, 不明／わからない, シスジェンダー, クエスチョニング, Aジェンダー／エイジェンダー／アジェンダー／agender, 女性／woman</t>
  </si>
  <si>
    <t>社会の中でいないことにされる, 医療における無理解, トイレなどのジェンダー化されたスペースの使用, ミスジェンダリング（誤った性別として扱うこと）</t>
  </si>
  <si>
    <t>Aジェンダー／エイジェンダー／アジェンダー／agender, **必ず選んでください**, クエスチョニング, ジェンダークィア, ノンバイナリー</t>
  </si>
  <si>
    <t>Dr.など、職業などにかかわるもの, **英語を日常的に使わない**, Mx.</t>
  </si>
  <si>
    <t>私（わたし／わたくし）, 自分, わたし, おれ</t>
  </si>
  <si>
    <t>LGBTQ+運動からの排斥, ミスジェンダリング（誤った性別として扱うこと）, 社会の中でいないことにされる, 職場や学校における無理解</t>
  </si>
  <si>
    <t>デミガール, クィア／Queer, 女の子／girl, 不明／わからない, 女性／woman, **必ず選んでください**</t>
  </si>
  <si>
    <t>社会の中でいないことにされる, カムアウトできない, 性暴力, 職場や学校における無理解, トイレなどのジェンダー化されたスペースの使用</t>
  </si>
  <si>
    <t>クエスチョニング, **必ず選んでください**</t>
  </si>
  <si>
    <t>俺, 私（わたし／わたくし）, わし</t>
  </si>
  <si>
    <t>家族／かぞくからの無理解, カムアウトできない</t>
  </si>
  <si>
    <t>トランスマスキュリン, ノンバイナリー, 不定性, ジェンダーレス, （ジェンダー・）フルイド／（ジェンダー・）フリュイド／（ジェンダー・）フルイッド, ゲイ（ジェンダーについて）, 少年, レズビアン（ジェンダーについて）, 無性, Aジェンダー／エイジェンダー／アジェンダー／agender, **必ず選んでください**, ジェンダー・ノンコンフォーミング／gender non-conforming</t>
  </si>
  <si>
    <t>（敬称なし）, さん, （時とともに変わる）, くん／君, （クエスチョニング、模索中、または不明）</t>
  </si>
  <si>
    <t>**英語を日常的に使わない**, -san, （クエスチョニング、模索中、または不明）</t>
  </si>
  <si>
    <t>僕, おれ, （クエスチョニング、模索中、または不明）, ぼく, 自分, わたし, （自分（たち）の名前）, （時とともに変わる）</t>
  </si>
  <si>
    <t>彼人（かのひと）, かれ, 彼人（かのと）, （自分（たち）の名前）, 彼</t>
  </si>
  <si>
    <t>**英語を日常的に使わない**, he, （クエスチョニング、模索中、または不明）, they/them/their/themselves, they/them/their/themself, （時とともに変わる）, xe</t>
  </si>
  <si>
    <t>社会の中でいないことにされる, 医療における無理解, LGBTQ+運動からの排斥, 家族／かぞくからの無理解, トイレなどのジェンダー化されたスペースの使用, 性暴力, カムアウトを強制される, カムアウトできない, 必要なジェンダーケアへアクセスできない, ミスジェンダリング（誤った性別として扱うこと）, デッドネーミング（誤った名前で呼ばれること）, 職場や学校における無理解</t>
  </si>
  <si>
    <t>中性, （ジェンダー・）フルイド／（ジェンダー・）フリュイド／（ジェンダー・）フルイッド, **必ず選んでください**, ノンバイナリー</t>
  </si>
  <si>
    <t>私（わたし／わたくし）, 僕, おれ, 自分</t>
  </si>
  <si>
    <t>カムアウトできない, ミスジェンダリング（誤った性別として扱うこと）, デッドネーミング（誤った名前で呼ばれること）, 家族／かぞくからの無理解, 社会の中でいないことにされる, 職場や学校における無理解, カムアウトを強制される</t>
  </si>
  <si>
    <t>**必ず選んでください**, ノンバイナリー, （ジェンダー・）フルイド／（ジェンダー・）フリュイド／（ジェンダー・）フルイッド, 無性, enby／エンビー, Xジェンダー, 不明／わからない, バイジェンダー</t>
  </si>
  <si>
    <t>-san, （敬称なし）, Dr.など、職業などにかかわるもの</t>
  </si>
  <si>
    <t>自分, （一人称の使用を避ける）, ぼく</t>
  </si>
  <si>
    <t>必要なジェンダーケアへアクセスできない, 職場や学校における無理解, カムアウトできない, 医療における無理解, 社会の中でいないことにされる, 家族／かぞくからの無理解, ミスジェンダリング（誤った性別として扱うこと）</t>
  </si>
  <si>
    <t>少年, Aジェンダー／エイジェンダー／アジェンダー／agender, 無し, Xジェンダー, X</t>
  </si>
  <si>
    <t>無自認</t>
  </si>
  <si>
    <t>俺, ぼく, わし, 私（わたし／わたくし）</t>
  </si>
  <si>
    <t>LGBTQ+運動からの排斥, 家族／かぞくからの無理解, ミスジェンダリング（誤った性別として扱うこと）, 職場や学校における無理解, 社会の中でいないことにされる, 医療における無理解, 必要なジェンダーケアへアクセスできない, デッドネーミング（誤った名前で呼ばれること）</t>
  </si>
  <si>
    <t>わたし, （自分（たち）の名前）</t>
  </si>
  <si>
    <t>Xジェンダー, クィア／Queer, X, ノンバイナリー</t>
  </si>
  <si>
    <t>-san, Dr.など、職業などにかかわるもの, Mx.</t>
  </si>
  <si>
    <t>僕, 私（わたし／わたくし）, 自分, 俺, （一人称の使用を避ける）</t>
  </si>
  <si>
    <t>ze, they/them/their/themselves</t>
  </si>
  <si>
    <t>トイレなどのジェンダー化されたスペースの使用, 医療における無理解, カムアウトできない, 家族／かぞくからの無理解, 職場や学校における無理解, 社会の中でいないことにされる, 必要なジェンダーケアへアクセスできない, アウティング（勝手にジェンダーや指向についての情報を明かされること）, ミスジェンダリング（誤った性別として扱うこと）, デッドネーミング（誤った名前で呼ばれること）</t>
  </si>
  <si>
    <t>ノンバイナリー, Xジェンダー, 中性</t>
  </si>
  <si>
    <t>Dr.など、職業などにかかわるもの, Mx.</t>
  </si>
  <si>
    <t>私（わたし／わたくし）, おれ, 僕</t>
  </si>
  <si>
    <t>ミスジェンダリング（誤った性別として扱うこと）, 必要なジェンダーケアへアクセスできない, 社会の中でいないことにされる, 職場や学校における無理解, デッドネーミング（誤った名前で呼ばれること）, トイレなどのジェンダー化されたスペースの使用, 家族／かぞくからの無理解, カムアウトできない</t>
  </si>
  <si>
    <t>クエスチョニング, ノンバイナリー男性, Aジェンダー／エイジェンダー／アジェンダー／agender, ノンバイナリー, クィア／Queer, **必ず選んでください**, （ジェンダー・）フルイド／（ジェンダー・）フリュイド／（ジェンダー・）フルイッド, ジェンダークィア</t>
  </si>
  <si>
    <t>さん, くん／君, （時とともに変わる）, （any／問わない／どれでもよい）</t>
  </si>
  <si>
    <t>私（わたし／わたくし）, あたし, （一人称の使用を避ける）</t>
  </si>
  <si>
    <t>any/問わない/どれでもよい, they/them/their/themself</t>
  </si>
  <si>
    <t>必要なジェンダーケアへアクセスできない, 職場や学校における無理解, 社会の中でいないことにされる, ミスジェンダリング（誤った性別として扱うこと）, カムアウトできない, カムアウトを強制される, 家族／かぞくからの無理解</t>
  </si>
  <si>
    <t>16-20</t>
    <phoneticPr fontId="8"/>
  </si>
  <si>
    <t>21-25</t>
    <phoneticPr fontId="8"/>
  </si>
  <si>
    <t>26-30</t>
    <phoneticPr fontId="8"/>
  </si>
  <si>
    <t>31-35</t>
    <phoneticPr fontId="8"/>
  </si>
  <si>
    <t>36-40</t>
    <phoneticPr fontId="8"/>
  </si>
  <si>
    <t>41-45</t>
    <phoneticPr fontId="8"/>
  </si>
  <si>
    <t>46-50</t>
    <phoneticPr fontId="8"/>
  </si>
  <si>
    <t>51-55</t>
    <phoneticPr fontId="8"/>
  </si>
  <si>
    <t>56+</t>
    <phoneticPr fontId="8"/>
  </si>
  <si>
    <t>無回答</t>
    <rPh sb="0" eb="3">
      <t>ムカイトウ</t>
    </rPh>
    <phoneticPr fontId="8"/>
  </si>
  <si>
    <t>列1</t>
  </si>
  <si>
    <t>性別を問わない「くん」</t>
    <rPh sb="0" eb="2">
      <t>セイベツ</t>
    </rPh>
    <rPh sb="3" eb="4">
      <t>ト</t>
    </rPh>
    <phoneticPr fontId="8"/>
  </si>
  <si>
    <t>相手や関係によって変化</t>
    <rPh sb="0" eb="2">
      <t>アイテ</t>
    </rPh>
    <rPh sb="3" eb="5">
      <t>カンケイ</t>
    </rPh>
    <rPh sb="9" eb="11">
      <t>ヘンカ</t>
    </rPh>
    <phoneticPr fontId="8"/>
  </si>
  <si>
    <t>cluster</t>
    <phoneticPr fontId="8"/>
  </si>
  <si>
    <t>n=</t>
    <phoneticPr fontId="8"/>
  </si>
  <si>
    <t>NA</t>
    <phoneticPr fontId="8"/>
  </si>
  <si>
    <t>-20</t>
  </si>
  <si>
    <t>ジェンダー・ラベル</t>
    <phoneticPr fontId="8"/>
  </si>
  <si>
    <r>
      <rPr>
        <sz val="10"/>
        <color rgb="FF000000"/>
        <rFont val="Arial"/>
        <family val="2"/>
        <scheme val="minor"/>
      </rPr>
      <t>クィア／Queer</t>
    </r>
  </si>
  <si>
    <r>
      <rPr>
        <sz val="10"/>
        <color rgb="FF000000"/>
        <rFont val="Arial"/>
        <family val="2"/>
        <scheme val="minor"/>
      </rPr>
      <t>クエスチョニング</t>
    </r>
  </si>
  <si>
    <r>
      <rPr>
        <sz val="10"/>
        <color rgb="FF000000"/>
        <rFont val="Arial"/>
        <family val="2"/>
        <scheme val="minor"/>
      </rPr>
      <t>ジェンダークィア</t>
    </r>
  </si>
  <si>
    <r>
      <rPr>
        <sz val="10"/>
        <color rgb="FF000000"/>
        <rFont val="Arial"/>
        <family val="2"/>
        <scheme val="minor"/>
      </rPr>
      <t>ノンバイナリー</t>
    </r>
  </si>
  <si>
    <r>
      <rPr>
        <sz val="10"/>
        <color rgb="FF000000"/>
        <rFont val="Arial"/>
        <family val="2"/>
        <scheme val="minor"/>
      </rPr>
      <t>不明／わからない</t>
    </r>
  </si>
  <si>
    <r>
      <t>X</t>
    </r>
    <r>
      <rPr>
        <sz val="10"/>
        <color rgb="FF000000"/>
        <rFont val="Arial"/>
        <family val="2"/>
        <scheme val="minor"/>
      </rPr>
      <t>ジェンダー</t>
    </r>
  </si>
  <si>
    <r>
      <rPr>
        <sz val="10"/>
        <color rgb="FF000000"/>
        <rFont val="Arial"/>
        <family val="2"/>
        <scheme val="minor"/>
      </rPr>
      <t>ジェンダーレス</t>
    </r>
  </si>
  <si>
    <r>
      <rPr>
        <sz val="10"/>
        <color rgb="FF000000"/>
        <rFont val="Arial"/>
        <family val="2"/>
        <scheme val="minor"/>
      </rPr>
      <t>ボイ</t>
    </r>
  </si>
  <si>
    <r>
      <rPr>
        <sz val="10"/>
        <color rgb="FF000000"/>
        <rFont val="Arial"/>
        <family val="2"/>
        <scheme val="minor"/>
      </rPr>
      <t>中性</t>
    </r>
  </si>
  <si>
    <r>
      <t>A</t>
    </r>
    <r>
      <rPr>
        <sz val="10"/>
        <color rgb="FF000000"/>
        <rFont val="Arial"/>
        <family val="2"/>
        <scheme val="minor"/>
      </rPr>
      <t>ジェンダー／エイジェンダー／アジェンダー／agender</t>
    </r>
  </si>
  <si>
    <r>
      <rPr>
        <sz val="10"/>
        <color rgb="FF000000"/>
        <rFont val="Arial"/>
        <family val="2"/>
        <scheme val="minor"/>
      </rPr>
      <t>無し</t>
    </r>
  </si>
  <si>
    <r>
      <rPr>
        <sz val="10"/>
        <color rgb="FF000000"/>
        <rFont val="Arial"/>
        <family val="2"/>
        <scheme val="minor"/>
      </rPr>
      <t>無性</t>
    </r>
  </si>
  <si>
    <r>
      <rPr>
        <sz val="10"/>
        <color rgb="FF000000"/>
        <rFont val="Arial"/>
        <family val="2"/>
        <scheme val="minor"/>
      </rPr>
      <t>（ジェンダー・）フルイド／（ジェンダー・）フリュイド／（ジェンダー・）フルイッド</t>
    </r>
  </si>
  <si>
    <r>
      <t>enby</t>
    </r>
    <r>
      <rPr>
        <sz val="10"/>
        <color rgb="FF000000"/>
        <rFont val="Arial"/>
        <family val="2"/>
        <scheme val="minor"/>
      </rPr>
      <t>／エンビー</t>
    </r>
  </si>
  <si>
    <r>
      <rPr>
        <sz val="10"/>
        <color rgb="FF000000"/>
        <rFont val="Arial"/>
        <family val="2"/>
        <scheme val="minor"/>
      </rPr>
      <t>アンドロジャイン／androgyne</t>
    </r>
  </si>
  <si>
    <r>
      <rPr>
        <sz val="10"/>
        <color rgb="FF000000"/>
        <rFont val="Arial"/>
        <family val="2"/>
        <scheme val="minor"/>
      </rPr>
      <t>ジェンダー・ノンコンフォーミング／gender non-conforming</t>
    </r>
  </si>
  <si>
    <r>
      <rPr>
        <sz val="10"/>
        <color rgb="FF000000"/>
        <rFont val="Arial"/>
        <family val="2"/>
        <scheme val="minor"/>
      </rPr>
      <t>ジェンダーヴォイド／gendervoid</t>
    </r>
  </si>
  <si>
    <r>
      <rPr>
        <sz val="10"/>
        <color rgb="FF000000"/>
        <rFont val="Arial"/>
        <family val="2"/>
        <scheme val="minor"/>
      </rPr>
      <t>ジェンダーフラックス／フラックスジェンダー</t>
    </r>
  </si>
  <si>
    <r>
      <rPr>
        <sz val="10"/>
        <color rgb="FF000000"/>
        <rFont val="Arial"/>
        <family val="2"/>
        <scheme val="minor"/>
      </rPr>
      <t>ゼノジェンダー／xenogender</t>
    </r>
  </si>
  <si>
    <r>
      <rPr>
        <sz val="10"/>
        <color rgb="FF000000"/>
        <rFont val="Arial"/>
        <family val="2"/>
        <scheme val="minor"/>
      </rPr>
      <t>デミAジェンダー</t>
    </r>
  </si>
  <si>
    <r>
      <rPr>
        <sz val="10"/>
        <color rgb="FF000000"/>
        <rFont val="Arial"/>
        <family val="2"/>
        <scheme val="minor"/>
      </rPr>
      <t>デミガール</t>
    </r>
  </si>
  <si>
    <r>
      <rPr>
        <sz val="10"/>
        <color rgb="FF000000"/>
        <rFont val="Arial"/>
        <family val="2"/>
        <scheme val="minor"/>
      </rPr>
      <t>デミジェンダー</t>
    </r>
  </si>
  <si>
    <r>
      <rPr>
        <sz val="10"/>
        <color rgb="FF000000"/>
        <rFont val="Arial"/>
        <family val="2"/>
        <scheme val="minor"/>
      </rPr>
      <t>デミボーイ</t>
    </r>
  </si>
  <si>
    <r>
      <rPr>
        <sz val="10"/>
        <color rgb="FF000000"/>
        <rFont val="Arial"/>
        <family val="2"/>
        <scheme val="minor"/>
      </rPr>
      <t>ニュートラル</t>
    </r>
  </si>
  <si>
    <r>
      <rPr>
        <sz val="10"/>
        <color rgb="FF000000"/>
        <rFont val="Arial"/>
        <family val="2"/>
        <scheme val="minor"/>
      </rPr>
      <t>ニューロジェンダー／neurogender</t>
    </r>
  </si>
  <si>
    <r>
      <rPr>
        <sz val="10"/>
        <color rgb="FF000000"/>
        <rFont val="Arial"/>
        <family val="2"/>
        <scheme val="minor"/>
      </rPr>
      <t>バイジェンダー</t>
    </r>
  </si>
  <si>
    <r>
      <rPr>
        <sz val="10"/>
        <color rgb="FF000000"/>
        <rFont val="Arial"/>
        <family val="2"/>
        <scheme val="minor"/>
      </rPr>
      <t>ポリジェンダー</t>
    </r>
  </si>
  <si>
    <r>
      <rPr>
        <sz val="10"/>
        <color rgb="FF000000"/>
        <rFont val="Arial"/>
        <family val="2"/>
        <scheme val="minor"/>
      </rPr>
      <t>女の子／girl</t>
    </r>
  </si>
  <si>
    <r>
      <rPr>
        <sz val="10"/>
        <color rgb="FF000000"/>
        <rFont val="Arial"/>
        <family val="2"/>
        <scheme val="minor"/>
      </rPr>
      <t>少女</t>
    </r>
  </si>
  <si>
    <r>
      <rPr>
        <sz val="10"/>
        <color rgb="FF000000"/>
        <rFont val="Arial"/>
        <family val="2"/>
        <scheme val="minor"/>
      </rPr>
      <t>不定性</t>
    </r>
  </si>
  <si>
    <r>
      <rPr>
        <sz val="10"/>
        <color rgb="FF000000"/>
        <rFont val="Arial"/>
        <family val="2"/>
        <scheme val="minor"/>
      </rPr>
      <t>両性</t>
    </r>
  </si>
  <si>
    <r>
      <rPr>
        <sz val="10"/>
        <color rgb="FF000000"/>
        <rFont val="Arial"/>
        <family val="2"/>
        <scheme val="minor"/>
      </rPr>
      <t>ゲイ（ジェンダーについて）</t>
    </r>
  </si>
  <si>
    <r>
      <rPr>
        <sz val="10"/>
        <color rgb="FF000000"/>
        <rFont val="Arial"/>
        <family val="2"/>
        <scheme val="minor"/>
      </rPr>
      <t>トランス</t>
    </r>
  </si>
  <si>
    <r>
      <rPr>
        <sz val="10"/>
        <color rgb="FF000000"/>
        <rFont val="Arial"/>
        <family val="2"/>
        <scheme val="minor"/>
      </rPr>
      <t>トランス*／trans*</t>
    </r>
  </si>
  <si>
    <r>
      <rPr>
        <sz val="10"/>
        <color rgb="FF000000"/>
        <rFont val="Arial"/>
        <family val="2"/>
        <scheme val="minor"/>
      </rPr>
      <t>トランスジェンダー</t>
    </r>
  </si>
  <si>
    <r>
      <rPr>
        <sz val="10"/>
        <color rgb="FF000000"/>
        <rFont val="Arial"/>
        <family val="2"/>
        <scheme val="minor"/>
      </rPr>
      <t>トランスセクシュアル／transsexual</t>
    </r>
  </si>
  <si>
    <r>
      <rPr>
        <sz val="10"/>
        <color rgb="FF000000"/>
        <rFont val="Arial"/>
        <family val="2"/>
        <scheme val="minor"/>
      </rPr>
      <t>トランスフェミニン</t>
    </r>
  </si>
  <si>
    <r>
      <rPr>
        <sz val="10"/>
        <color rgb="FF000000"/>
        <rFont val="Arial"/>
        <family val="2"/>
        <scheme val="minor"/>
      </rPr>
      <t>トランスマスキュリン</t>
    </r>
  </si>
  <si>
    <r>
      <rPr>
        <sz val="10"/>
        <color rgb="FF000000"/>
        <rFont val="Arial"/>
        <family val="2"/>
        <scheme val="minor"/>
      </rPr>
      <t>トランス女性</t>
    </r>
  </si>
  <si>
    <r>
      <rPr>
        <sz val="10"/>
        <color rgb="FF000000"/>
        <rFont val="Arial"/>
        <family val="2"/>
        <scheme val="minor"/>
      </rPr>
      <t>トランス男性</t>
    </r>
  </si>
  <si>
    <r>
      <rPr>
        <sz val="10"/>
        <color rgb="FF000000"/>
        <rFont val="Arial"/>
        <family val="2"/>
        <scheme val="minor"/>
      </rPr>
      <t>ノンバイナリー男性</t>
    </r>
  </si>
  <si>
    <r>
      <rPr>
        <sz val="10"/>
        <color rgb="FF000000"/>
        <rFont val="Arial"/>
        <family val="2"/>
        <scheme val="minor"/>
      </rPr>
      <t>バイナリー</t>
    </r>
  </si>
  <si>
    <r>
      <rPr>
        <sz val="10"/>
        <color rgb="FF000000"/>
        <rFont val="Arial"/>
        <family val="2"/>
        <scheme val="minor"/>
      </rPr>
      <t>少年</t>
    </r>
  </si>
  <si>
    <r>
      <rPr>
        <sz val="10"/>
        <color rgb="FF000000"/>
        <rFont val="Arial"/>
        <family val="2"/>
        <scheme val="minor"/>
      </rPr>
      <t>青年</t>
    </r>
  </si>
  <si>
    <r>
      <rPr>
        <sz val="10"/>
        <color rgb="FF000000"/>
        <rFont val="Arial"/>
        <family val="2"/>
        <scheme val="minor"/>
      </rPr>
      <t>男の子／boy</t>
    </r>
  </si>
  <si>
    <r>
      <rPr>
        <sz val="10"/>
        <color rgb="FF000000"/>
        <rFont val="Arial"/>
        <family val="2"/>
        <scheme val="minor"/>
      </rPr>
      <t>男性／man</t>
    </r>
  </si>
  <si>
    <r>
      <rPr>
        <sz val="10"/>
        <color rgb="FF000000"/>
        <rFont val="Arial"/>
        <family val="2"/>
        <scheme val="minor"/>
      </rPr>
      <t>シスジェンダー</t>
    </r>
  </si>
  <si>
    <r>
      <rPr>
        <sz val="10"/>
        <color rgb="FF000000"/>
        <rFont val="Arial"/>
        <family val="2"/>
        <scheme val="minor"/>
      </rPr>
      <t>ノンバイナリー女性</t>
    </r>
  </si>
  <si>
    <r>
      <rPr>
        <sz val="10"/>
        <color rgb="FF000000"/>
        <rFont val="Arial"/>
        <family val="2"/>
        <scheme val="minor"/>
      </rPr>
      <t>フェム</t>
    </r>
  </si>
  <si>
    <r>
      <rPr>
        <sz val="10"/>
        <color rgb="FF000000"/>
        <rFont val="Arial"/>
        <family val="2"/>
        <scheme val="minor"/>
      </rPr>
      <t>レズビアン（ジェンダーについて）</t>
    </r>
  </si>
  <si>
    <r>
      <rPr>
        <sz val="10"/>
        <color rgb="FF000000"/>
        <rFont val="Arial"/>
        <family val="2"/>
        <scheme val="minor"/>
      </rPr>
      <t>女性／woman</t>
    </r>
  </si>
  <si>
    <r>
      <rPr>
        <sz val="10"/>
        <color rgb="FF000000"/>
        <rFont val="Arial"/>
        <family val="2"/>
        <scheme val="minor"/>
      </rPr>
      <t>おかま</t>
    </r>
  </si>
  <si>
    <r>
      <rPr>
        <sz val="10"/>
        <color rgb="FF000000"/>
        <rFont val="Arial"/>
        <family val="2"/>
        <scheme val="minor"/>
      </rPr>
      <t>おなべ</t>
    </r>
  </si>
  <si>
    <r>
      <rPr>
        <sz val="10"/>
        <color rgb="FF000000"/>
        <rFont val="Arial"/>
        <family val="2"/>
        <scheme val="minor"/>
      </rPr>
      <t>ダイク／dyke</t>
    </r>
  </si>
  <si>
    <r>
      <rPr>
        <sz val="10"/>
        <color rgb="FF000000"/>
        <rFont val="Arial"/>
        <family val="2"/>
        <scheme val="minor"/>
      </rPr>
      <t>ニューハーフ</t>
    </r>
  </si>
  <si>
    <r>
      <rPr>
        <sz val="10"/>
        <color rgb="FF000000"/>
        <rFont val="Arial"/>
        <family val="2"/>
        <scheme val="minor"/>
      </rPr>
      <t>ブッチ／butch</t>
    </r>
  </si>
  <si>
    <r>
      <rPr>
        <sz val="10"/>
        <rFont val="Arial"/>
        <family val="2"/>
        <charset val="128"/>
        <scheme val="minor"/>
      </rPr>
      <t>ジェンダー・ラベル</t>
    </r>
    <phoneticPr fontId="8"/>
  </si>
  <si>
    <r>
      <rPr>
        <sz val="10"/>
        <rFont val="Arial"/>
        <family val="2"/>
        <charset val="128"/>
        <scheme val="minor"/>
      </rPr>
      <t>全回答者</t>
    </r>
    <rPh sb="0" eb="4">
      <t>ゼンカイトウシャ</t>
    </rPh>
    <phoneticPr fontId="8"/>
  </si>
  <si>
    <r>
      <rPr>
        <sz val="10"/>
        <color rgb="FF000000"/>
        <rFont val="Arial"/>
        <family val="3"/>
        <charset val="128"/>
        <scheme val="minor"/>
      </rPr>
      <t>年齢層</t>
    </r>
    <rPh sb="0" eb="3">
      <t>ネンレイソウ</t>
    </rPh>
    <phoneticPr fontId="8"/>
  </si>
  <si>
    <r>
      <rPr>
        <b/>
        <sz val="10"/>
        <color rgb="FF000000"/>
        <rFont val="Arial"/>
        <family val="3"/>
        <charset val="128"/>
        <scheme val="minor"/>
      </rPr>
      <t>全回答者</t>
    </r>
    <rPh sb="0" eb="4">
      <t>ゼンカイトウシャ</t>
    </rPh>
    <phoneticPr fontId="8"/>
  </si>
  <si>
    <r>
      <rPr>
        <b/>
        <sz val="10"/>
        <color theme="1"/>
        <rFont val="Arial"/>
        <family val="2"/>
        <charset val="128"/>
        <scheme val="major"/>
      </rPr>
      <t>全回答者</t>
    </r>
    <rPh sb="0" eb="4">
      <t>ゼンカイトウシャ</t>
    </rPh>
    <phoneticPr fontId="8"/>
  </si>
  <si>
    <t>表A3：ジェンダー・ラベルおよび年齢ごとの、選択されたジェンダー・ラベルの個数</t>
    <rPh sb="0" eb="1">
      <t>ヒョウ</t>
    </rPh>
    <rPh sb="16" eb="18">
      <t>ネンレイ</t>
    </rPh>
    <rPh sb="22" eb="24">
      <t>センタク</t>
    </rPh>
    <rPh sb="37" eb="39">
      <t>コスウ</t>
    </rPh>
    <phoneticPr fontId="8"/>
  </si>
  <si>
    <r>
      <rPr>
        <b/>
        <sz val="10"/>
        <rFont val="Arial"/>
        <family val="2"/>
        <charset val="128"/>
        <scheme val="minor"/>
      </rPr>
      <t>全回答者</t>
    </r>
    <rPh sb="0" eb="4">
      <t>ゼンカイトウシャ</t>
    </rPh>
    <phoneticPr fontId="8"/>
  </si>
  <si>
    <r>
      <rPr>
        <b/>
        <sz val="10"/>
        <rFont val="Arial"/>
        <family val="3"/>
        <charset val="128"/>
        <scheme val="minor"/>
      </rPr>
      <t>デミジェンダー</t>
    </r>
    <phoneticPr fontId="8"/>
  </si>
  <si>
    <t>不明／わからない</t>
    <phoneticPr fontId="8"/>
  </si>
  <si>
    <t>（自分（たち）の名前）</t>
    <phoneticPr fontId="8"/>
  </si>
  <si>
    <r>
      <rPr>
        <b/>
        <sz val="10"/>
        <rFont val="Arial"/>
        <family val="2"/>
        <charset val="128"/>
        <scheme val="major"/>
      </rPr>
      <t>全回答者</t>
    </r>
    <rPh sb="0" eb="4">
      <t>ゼンカイトウシャ</t>
    </rPh>
    <phoneticPr fontId="8"/>
  </si>
  <si>
    <t>列2</t>
  </si>
  <si>
    <t>彼男（かのだん）</t>
    <phoneticPr fontId="8"/>
  </si>
  <si>
    <r>
      <rPr>
        <sz val="10"/>
        <color theme="8" tint="-0.499984740745262"/>
        <rFont val="Arial"/>
        <family val="3"/>
        <charset val="128"/>
        <scheme val="minor"/>
      </rPr>
      <t>あだ名（敬称なし）</t>
    </r>
    <phoneticPr fontId="8"/>
  </si>
  <si>
    <r>
      <rPr>
        <sz val="10"/>
        <color theme="8" tint="-0.499984740745262"/>
        <rFont val="Arial"/>
        <family val="3"/>
        <charset val="128"/>
        <scheme val="minor"/>
      </rPr>
      <t>あだ名＋ちゃん</t>
    </r>
    <phoneticPr fontId="8"/>
  </si>
  <si>
    <t>表A8：ジェンダー・ラベルごとの日本語敬称（%）</t>
    <rPh sb="0" eb="1">
      <t>ヒョウ</t>
    </rPh>
    <rPh sb="16" eb="19">
      <t>ニホンゴ</t>
    </rPh>
    <rPh sb="19" eb="21">
      <t>ケイショウ</t>
    </rPh>
    <phoneticPr fontId="8"/>
  </si>
  <si>
    <t>表A2：ジェンダー・ラベルごとの年齢（%）</t>
    <rPh sb="0" eb="1">
      <t>ヒョウ</t>
    </rPh>
    <rPh sb="16" eb="18">
      <t>ネンレイ</t>
    </rPh>
    <phoneticPr fontId="8"/>
  </si>
  <si>
    <r>
      <rPr>
        <b/>
        <sz val="10"/>
        <color rgb="FF000000"/>
        <rFont val="ＭＳ ゴシック"/>
        <family val="3"/>
        <charset val="128"/>
      </rPr>
      <t>表</t>
    </r>
    <r>
      <rPr>
        <b/>
        <sz val="10"/>
        <color rgb="FF000000"/>
        <rFont val="Arial"/>
        <family val="2"/>
        <scheme val="minor"/>
      </rPr>
      <t>A1</t>
    </r>
    <r>
      <rPr>
        <b/>
        <sz val="10"/>
        <color rgb="FF000000"/>
        <rFont val="ＭＳ ゴシック"/>
        <family val="3"/>
        <charset val="128"/>
      </rPr>
      <t>：年齢層ごとのジェンダー・ラベル</t>
    </r>
    <r>
      <rPr>
        <b/>
        <sz val="10"/>
        <color rgb="FF000000"/>
        <rFont val="游ゴシック"/>
        <family val="3"/>
        <charset val="128"/>
      </rPr>
      <t>（</t>
    </r>
    <r>
      <rPr>
        <b/>
        <sz val="10"/>
        <color rgb="FF000000"/>
        <rFont val="Arial"/>
        <family val="2"/>
        <scheme val="minor"/>
      </rPr>
      <t>%</t>
    </r>
    <r>
      <rPr>
        <b/>
        <sz val="10"/>
        <color rgb="FF000000"/>
        <rFont val="游ゴシック"/>
        <family val="3"/>
        <charset val="128"/>
      </rPr>
      <t>）</t>
    </r>
    <rPh sb="0" eb="1">
      <t>ヒョウ</t>
    </rPh>
    <rPh sb="6" eb="7">
      <t>ソウ</t>
    </rPh>
    <phoneticPr fontId="8"/>
  </si>
  <si>
    <t>JaTitle</t>
    <phoneticPr fontId="8"/>
  </si>
  <si>
    <t>EnTitle</t>
    <phoneticPr fontId="8"/>
  </si>
  <si>
    <t>Ja1</t>
    <phoneticPr fontId="8"/>
  </si>
  <si>
    <t>Ja3</t>
    <phoneticPr fontId="8"/>
  </si>
  <si>
    <t>n</t>
    <phoneticPr fontId="8"/>
  </si>
  <si>
    <t>苗字</t>
  </si>
  <si>
    <t>納得のいく代名詞はない</t>
  </si>
  <si>
    <t>(あだ名)+ちゃん</t>
  </si>
  <si>
    <t>余</t>
  </si>
  <si>
    <t>(名前)+ちゃん</t>
  </si>
  <si>
    <t xml:space="preserve"> (あだ名)+ちゃん</t>
  </si>
  <si>
    <t>私</t>
  </si>
  <si>
    <t>己</t>
  </si>
  <si>
    <t>俺ちゃん</t>
  </si>
  <si>
    <t xml:space="preserve"> ぼくちゃん</t>
  </si>
  <si>
    <t xml:space="preserve"> わたくしさま</t>
  </si>
  <si>
    <t xml:space="preserve"> おのれ</t>
  </si>
  <si>
    <t xml:space="preserve"> ミー(me)</t>
  </si>
  <si>
    <t xml:space="preserve"> あてくし</t>
  </si>
  <si>
    <t xml:space="preserve"> わてくし</t>
  </si>
  <si>
    <t xml:space="preserve"> 苗字</t>
  </si>
  <si>
    <t xml:space="preserve"> 某</t>
  </si>
  <si>
    <t xml:space="preserve"> それがし</t>
  </si>
  <si>
    <t xml:space="preserve"> じぶん</t>
  </si>
  <si>
    <t>(あだ名)+くん</t>
  </si>
  <si>
    <t xml:space="preserve"> ●●ちゃん</t>
  </si>
  <si>
    <t>アタクシ</t>
  </si>
  <si>
    <t xml:space="preserve"> 拙者</t>
  </si>
  <si>
    <t>(名前)+さん</t>
  </si>
  <si>
    <t>選択式</t>
    <rPh sb="0" eb="3">
      <t>センタクシキ</t>
    </rPh>
    <phoneticPr fontId="8"/>
  </si>
  <si>
    <t>朕</t>
    <phoneticPr fontId="8"/>
  </si>
  <si>
    <t>おじさん</t>
    <phoneticPr fontId="8"/>
  </si>
  <si>
    <t>我</t>
    <phoneticPr fontId="8"/>
  </si>
  <si>
    <t>われ</t>
    <phoneticPr fontId="8"/>
  </si>
  <si>
    <t>ボク</t>
    <phoneticPr fontId="8"/>
  </si>
  <si>
    <t>わし</t>
    <phoneticPr fontId="8"/>
  </si>
  <si>
    <t>あたし</t>
    <phoneticPr fontId="8"/>
  </si>
  <si>
    <t>わっち</t>
    <phoneticPr fontId="8"/>
  </si>
  <si>
    <t>あーし2</t>
  </si>
  <si>
    <t>表A4a：ジェンダー・ラベルごとの日本語一人称（選択式、%）</t>
    <rPh sb="0" eb="1">
      <t>ヒョウ</t>
    </rPh>
    <rPh sb="17" eb="20">
      <t>ニホンゴ</t>
    </rPh>
    <rPh sb="20" eb="23">
      <t>イチニンショウ</t>
    </rPh>
    <rPh sb="24" eb="27">
      <t>センタクシキ</t>
    </rPh>
    <phoneticPr fontId="8"/>
  </si>
  <si>
    <t>表A4b：ジェンダー・ラベルごとの日本語一人称（自由記入式, %）</t>
    <rPh sb="0" eb="1">
      <t>ヒョウ</t>
    </rPh>
    <rPh sb="17" eb="20">
      <t>ニホンゴ</t>
    </rPh>
    <rPh sb="20" eb="23">
      <t>イチニンショウ</t>
    </rPh>
    <rPh sb="24" eb="26">
      <t>ジユウ</t>
    </rPh>
    <rPh sb="26" eb="28">
      <t>キニュウ</t>
    </rPh>
    <rPh sb="28" eb="29">
      <t>シキ</t>
    </rPh>
    <phoneticPr fontId="8"/>
  </si>
  <si>
    <t>上記選択肢になかった、あなた（たち）の三人称代名詞をあらわす言葉をご自由にお書きください。（日本語）</t>
    <phoneticPr fontId="8"/>
  </si>
  <si>
    <t>, こなた,</t>
  </si>
  <si>
    <r>
      <t>, {</t>
    </r>
    <r>
      <rPr>
        <sz val="10"/>
        <color theme="1"/>
        <rFont val="ＭＳ ゴシック"/>
        <family val="3"/>
        <charset val="128"/>
      </rPr>
      <t>この</t>
    </r>
    <r>
      <rPr>
        <sz val="10"/>
        <color theme="1"/>
        <rFont val="Arial"/>
        <family val="2"/>
        <scheme val="minor"/>
      </rPr>
      <t>/</t>
    </r>
    <r>
      <rPr>
        <sz val="10"/>
        <color theme="1"/>
        <rFont val="ＭＳ ゴシック"/>
        <family val="3"/>
        <charset val="128"/>
      </rPr>
      <t>その</t>
    </r>
    <r>
      <rPr>
        <sz val="10"/>
        <color theme="1"/>
        <rFont val="Arial"/>
        <family val="2"/>
        <scheme val="minor"/>
      </rPr>
      <t>/</t>
    </r>
    <r>
      <rPr>
        <sz val="10"/>
        <color theme="1"/>
        <rFont val="ＭＳ ゴシック"/>
        <family val="3"/>
        <charset val="128"/>
      </rPr>
      <t>あの</t>
    </r>
    <r>
      <rPr>
        <sz val="10"/>
        <color theme="1"/>
        <rFont val="Arial"/>
        <family val="2"/>
        <scheme val="minor"/>
      </rPr>
      <t>}+</t>
    </r>
    <r>
      <rPr>
        <sz val="10"/>
        <color theme="1"/>
        <rFont val="ＭＳ ゴシック"/>
        <family val="3"/>
        <charset val="128"/>
      </rPr>
      <t>人</t>
    </r>
    <r>
      <rPr>
        <sz val="10"/>
        <color theme="1"/>
        <rFont val="Arial"/>
        <family val="2"/>
        <scheme val="minor"/>
      </rPr>
      <t>, {</t>
    </r>
    <r>
      <rPr>
        <sz val="10"/>
        <color theme="1"/>
        <rFont val="ＭＳ ゴシック"/>
        <family val="3"/>
        <charset val="128"/>
      </rPr>
      <t>この</t>
    </r>
    <r>
      <rPr>
        <sz val="10"/>
        <color theme="1"/>
        <rFont val="Arial"/>
        <family val="2"/>
        <scheme val="minor"/>
      </rPr>
      <t>/</t>
    </r>
    <r>
      <rPr>
        <sz val="10"/>
        <color theme="1"/>
        <rFont val="ＭＳ ゴシック"/>
        <family val="3"/>
        <charset val="128"/>
      </rPr>
      <t>その</t>
    </r>
    <r>
      <rPr>
        <sz val="10"/>
        <color theme="1"/>
        <rFont val="Arial"/>
        <family val="2"/>
        <scheme val="minor"/>
      </rPr>
      <t>/</t>
    </r>
    <r>
      <rPr>
        <sz val="10"/>
        <color theme="1"/>
        <rFont val="ＭＳ ゴシック"/>
        <family val="3"/>
        <charset val="128"/>
      </rPr>
      <t>あの</t>
    </r>
    <r>
      <rPr>
        <sz val="10"/>
        <color theme="1"/>
        <rFont val="Arial"/>
        <family val="2"/>
        <scheme val="minor"/>
      </rPr>
      <t>}+</t>
    </r>
    <r>
      <rPr>
        <sz val="10"/>
        <color theme="1"/>
        <rFont val="ＭＳ ゴシック"/>
        <family val="3"/>
        <charset val="128"/>
      </rPr>
      <t>子</t>
    </r>
    <r>
      <rPr>
        <sz val="10"/>
        <color theme="1"/>
        <rFont val="Arial"/>
        <family val="2"/>
        <scheme val="minor"/>
      </rPr>
      <t>,</t>
    </r>
    <phoneticPr fontId="8"/>
  </si>
  <si>
    <r>
      <t>{</t>
    </r>
    <r>
      <rPr>
        <sz val="10"/>
        <rFont val="Arial"/>
        <family val="3"/>
        <charset val="128"/>
        <scheme val="major"/>
      </rPr>
      <t>この</t>
    </r>
    <r>
      <rPr>
        <sz val="10"/>
        <rFont val="Arial"/>
        <family val="2"/>
        <scheme val="major"/>
      </rPr>
      <t>/</t>
    </r>
    <r>
      <rPr>
        <sz val="10"/>
        <rFont val="Arial"/>
        <family val="3"/>
        <charset val="128"/>
        <scheme val="major"/>
      </rPr>
      <t>その</t>
    </r>
    <r>
      <rPr>
        <sz val="10"/>
        <rFont val="Arial"/>
        <family val="2"/>
        <scheme val="major"/>
      </rPr>
      <t>/</t>
    </r>
    <r>
      <rPr>
        <sz val="10"/>
        <rFont val="Arial"/>
        <family val="3"/>
        <charset val="128"/>
        <scheme val="major"/>
      </rPr>
      <t>あの</t>
    </r>
    <r>
      <rPr>
        <sz val="10"/>
        <rFont val="Arial"/>
        <family val="2"/>
        <scheme val="major"/>
      </rPr>
      <t>}+</t>
    </r>
    <r>
      <rPr>
        <sz val="10"/>
        <rFont val="Arial"/>
        <family val="3"/>
        <charset val="128"/>
        <scheme val="major"/>
      </rPr>
      <t>人</t>
    </r>
  </si>
  <si>
    <r>
      <t>{</t>
    </r>
    <r>
      <rPr>
        <sz val="10"/>
        <rFont val="Arial"/>
        <family val="3"/>
        <charset val="128"/>
        <scheme val="major"/>
      </rPr>
      <t>この</t>
    </r>
    <r>
      <rPr>
        <sz val="10"/>
        <rFont val="Arial"/>
        <family val="2"/>
        <scheme val="major"/>
      </rPr>
      <t>/</t>
    </r>
    <r>
      <rPr>
        <sz val="10"/>
        <rFont val="Arial"/>
        <family val="3"/>
        <charset val="128"/>
        <scheme val="major"/>
      </rPr>
      <t>その</t>
    </r>
    <r>
      <rPr>
        <sz val="10"/>
        <rFont val="Arial"/>
        <family val="2"/>
        <scheme val="major"/>
      </rPr>
      <t>/</t>
    </r>
    <r>
      <rPr>
        <sz val="10"/>
        <rFont val="Arial"/>
        <family val="3"/>
        <charset val="128"/>
        <scheme val="major"/>
      </rPr>
      <t>あの</t>
    </r>
    <r>
      <rPr>
        <sz val="10"/>
        <rFont val="Arial"/>
        <family val="2"/>
        <scheme val="major"/>
      </rPr>
      <t>}+</t>
    </r>
    <r>
      <rPr>
        <sz val="10"/>
        <rFont val="Arial"/>
        <family val="3"/>
        <charset val="128"/>
        <scheme val="major"/>
      </rPr>
      <t>子</t>
    </r>
    <phoneticPr fontId="8"/>
  </si>
  <si>
    <r>
      <t>{</t>
    </r>
    <r>
      <rPr>
        <sz val="10"/>
        <rFont val="Arial"/>
        <family val="3"/>
        <charset val="128"/>
        <scheme val="major"/>
      </rPr>
      <t>この</t>
    </r>
    <r>
      <rPr>
        <sz val="10"/>
        <rFont val="Arial"/>
        <family val="2"/>
        <scheme val="major"/>
      </rPr>
      <t>/</t>
    </r>
    <r>
      <rPr>
        <sz val="10"/>
        <rFont val="Arial"/>
        <family val="3"/>
        <charset val="128"/>
        <scheme val="major"/>
      </rPr>
      <t>その</t>
    </r>
    <r>
      <rPr>
        <sz val="10"/>
        <rFont val="Arial"/>
        <family val="2"/>
        <scheme val="major"/>
      </rPr>
      <t>/</t>
    </r>
    <r>
      <rPr>
        <sz val="10"/>
        <rFont val="Arial"/>
        <family val="3"/>
        <charset val="128"/>
        <scheme val="major"/>
      </rPr>
      <t>あの</t>
    </r>
    <r>
      <rPr>
        <sz val="10"/>
        <rFont val="Arial"/>
        <family val="2"/>
        <scheme val="major"/>
      </rPr>
      <t>}+</t>
    </r>
    <r>
      <rPr>
        <sz val="10"/>
        <rFont val="Arial"/>
        <family val="3"/>
        <charset val="128"/>
        <scheme val="major"/>
      </rPr>
      <t>ひと</t>
    </r>
    <phoneticPr fontId="8"/>
  </si>
  <si>
    <r>
      <t>(</t>
    </r>
    <r>
      <rPr>
        <sz val="10"/>
        <rFont val="Arial"/>
        <family val="3"/>
        <charset val="128"/>
        <scheme val="major"/>
      </rPr>
      <t>名前</t>
    </r>
    <r>
      <rPr>
        <sz val="10"/>
        <rFont val="Arial"/>
        <family val="2"/>
        <scheme val="major"/>
      </rPr>
      <t>)+</t>
    </r>
    <r>
      <rPr>
        <sz val="10"/>
        <rFont val="Arial"/>
        <family val="3"/>
        <charset val="128"/>
        <scheme val="major"/>
      </rPr>
      <t>さん</t>
    </r>
  </si>
  <si>
    <r>
      <t>{</t>
    </r>
    <r>
      <rPr>
        <sz val="10"/>
        <rFont val="Arial"/>
        <family val="2"/>
        <charset val="128"/>
        <scheme val="major"/>
      </rPr>
      <t>この</t>
    </r>
    <r>
      <rPr>
        <sz val="10"/>
        <rFont val="Arial"/>
        <family val="2"/>
        <scheme val="major"/>
      </rPr>
      <t>/</t>
    </r>
    <r>
      <rPr>
        <sz val="10"/>
        <rFont val="Arial"/>
        <family val="2"/>
        <charset val="128"/>
        <scheme val="major"/>
      </rPr>
      <t>その</t>
    </r>
    <r>
      <rPr>
        <sz val="10"/>
        <rFont val="Arial"/>
        <family val="2"/>
        <scheme val="major"/>
      </rPr>
      <t>/</t>
    </r>
    <r>
      <rPr>
        <sz val="10"/>
        <rFont val="Arial"/>
        <family val="2"/>
        <charset val="128"/>
        <scheme val="major"/>
      </rPr>
      <t>あの</t>
    </r>
    <r>
      <rPr>
        <sz val="10"/>
        <rFont val="Arial"/>
        <family val="2"/>
        <scheme val="major"/>
      </rPr>
      <t>}+</t>
    </r>
    <r>
      <rPr>
        <sz val="10"/>
        <rFont val="Arial"/>
        <family val="2"/>
        <charset val="128"/>
        <scheme val="major"/>
      </rPr>
      <t>方</t>
    </r>
    <rPh sb="11" eb="12">
      <t>カタ</t>
    </rPh>
    <phoneticPr fontId="8"/>
  </si>
  <si>
    <r>
      <t>{</t>
    </r>
    <r>
      <rPr>
        <sz val="10"/>
        <rFont val="Arial"/>
        <family val="3"/>
        <charset val="128"/>
        <scheme val="major"/>
      </rPr>
      <t>この</t>
    </r>
    <r>
      <rPr>
        <sz val="10"/>
        <rFont val="Arial"/>
        <family val="2"/>
        <scheme val="major"/>
      </rPr>
      <t>/</t>
    </r>
    <r>
      <rPr>
        <sz val="10"/>
        <rFont val="Arial"/>
        <family val="3"/>
        <charset val="128"/>
        <scheme val="major"/>
      </rPr>
      <t>その</t>
    </r>
    <r>
      <rPr>
        <sz val="10"/>
        <rFont val="Arial"/>
        <family val="2"/>
        <scheme val="major"/>
      </rPr>
      <t>/</t>
    </r>
    <r>
      <rPr>
        <sz val="10"/>
        <rFont val="Arial"/>
        <family val="3"/>
        <charset val="128"/>
        <scheme val="major"/>
      </rPr>
      <t>あの</t>
    </r>
    <r>
      <rPr>
        <sz val="10"/>
        <rFont val="Arial"/>
        <family val="2"/>
        <scheme val="major"/>
      </rPr>
      <t>}+</t>
    </r>
    <r>
      <rPr>
        <sz val="10"/>
        <rFont val="Arial"/>
        <family val="3"/>
        <charset val="128"/>
        <scheme val="major"/>
      </rPr>
      <t>方</t>
    </r>
    <r>
      <rPr>
        <sz val="10"/>
        <rFont val="Arial"/>
        <family val="2"/>
        <scheme val="major"/>
      </rPr>
      <t>2</t>
    </r>
    <rPh sb="0" eb="13">
      <t>カタ2</t>
    </rPh>
    <phoneticPr fontId="8"/>
  </si>
  <si>
    <r>
      <t>(</t>
    </r>
    <r>
      <rPr>
        <sz val="10"/>
        <rFont val="Arial"/>
        <family val="3"/>
        <charset val="128"/>
        <scheme val="major"/>
      </rPr>
      <t>名前</t>
    </r>
    <r>
      <rPr>
        <sz val="10"/>
        <rFont val="Arial"/>
        <family val="2"/>
        <scheme val="major"/>
      </rPr>
      <t>)+</t>
    </r>
    <r>
      <rPr>
        <sz val="10"/>
        <rFont val="Arial"/>
        <family val="3"/>
        <charset val="128"/>
        <scheme val="major"/>
      </rPr>
      <t>氏</t>
    </r>
  </si>
  <si>
    <r>
      <t>(</t>
    </r>
    <r>
      <rPr>
        <sz val="10"/>
        <rFont val="Arial"/>
        <family val="3"/>
        <charset val="128"/>
        <scheme val="major"/>
      </rPr>
      <t>名前</t>
    </r>
    <r>
      <rPr>
        <sz val="10"/>
        <rFont val="Arial"/>
        <family val="2"/>
        <scheme val="major"/>
      </rPr>
      <t>)</t>
    </r>
    <r>
      <rPr>
        <sz val="10"/>
        <rFont val="Arial"/>
        <family val="3"/>
        <charset val="128"/>
        <scheme val="major"/>
      </rPr>
      <t>さん</t>
    </r>
  </si>
  <si>
    <r>
      <rPr>
        <sz val="10"/>
        <rFont val="Arial"/>
        <family val="3"/>
        <charset val="128"/>
        <scheme val="major"/>
      </rPr>
      <t>「そのようなカテゴリーの人々」</t>
    </r>
  </si>
  <si>
    <r>
      <rPr>
        <sz val="10"/>
        <rFont val="Arial"/>
        <family val="3"/>
        <charset val="128"/>
        <scheme val="major"/>
      </rPr>
      <t>あいつ</t>
    </r>
  </si>
  <si>
    <r>
      <rPr>
        <sz val="10"/>
        <rFont val="Arial"/>
        <family val="3"/>
        <charset val="128"/>
        <scheme val="major"/>
      </rPr>
      <t>あだ名</t>
    </r>
  </si>
  <si>
    <r>
      <rPr>
        <sz val="10"/>
        <rFont val="Arial"/>
        <family val="3"/>
        <charset val="128"/>
        <scheme val="major"/>
      </rPr>
      <t>おじさん</t>
    </r>
  </si>
  <si>
    <r>
      <rPr>
        <sz val="10"/>
        <rFont val="Arial"/>
        <family val="3"/>
        <charset val="128"/>
        <scheme val="major"/>
      </rPr>
      <t>カレ</t>
    </r>
  </si>
  <si>
    <r>
      <rPr>
        <sz val="10"/>
        <rFont val="Arial"/>
        <family val="3"/>
        <charset val="128"/>
        <scheme val="major"/>
      </rPr>
      <t>かれら</t>
    </r>
  </si>
  <si>
    <r>
      <rPr>
        <sz val="10"/>
        <rFont val="Arial"/>
        <family val="3"/>
        <charset val="128"/>
        <scheme val="major"/>
      </rPr>
      <t>こちらの方</t>
    </r>
  </si>
  <si>
    <r>
      <rPr>
        <sz val="10"/>
        <rFont val="Arial"/>
        <family val="3"/>
        <charset val="128"/>
        <scheme val="major"/>
      </rPr>
      <t>こなた</t>
    </r>
  </si>
  <si>
    <r>
      <rPr>
        <sz val="10"/>
        <rFont val="Arial"/>
        <family val="3"/>
        <charset val="128"/>
        <scheme val="major"/>
      </rPr>
      <t>このような人</t>
    </r>
  </si>
  <si>
    <r>
      <rPr>
        <sz val="10"/>
        <rFont val="Arial"/>
        <family val="3"/>
        <charset val="128"/>
        <scheme val="major"/>
      </rPr>
      <t>愛称</t>
    </r>
  </si>
  <si>
    <r>
      <rPr>
        <sz val="10"/>
        <rFont val="Arial"/>
        <family val="3"/>
        <charset val="128"/>
        <scheme val="major"/>
      </rPr>
      <t>貴方</t>
    </r>
  </si>
  <si>
    <r>
      <rPr>
        <sz val="10"/>
        <rFont val="Arial"/>
        <family val="3"/>
        <charset val="128"/>
        <scheme val="major"/>
      </rPr>
      <t>呼ばれたくない</t>
    </r>
  </si>
  <si>
    <r>
      <rPr>
        <sz val="10"/>
        <rFont val="Arial"/>
        <family val="3"/>
        <charset val="128"/>
        <scheme val="major"/>
      </rPr>
      <t>氏</t>
    </r>
    <r>
      <rPr>
        <sz val="10"/>
        <rFont val="Arial"/>
        <family val="2"/>
        <scheme val="major"/>
      </rPr>
      <t>(</t>
    </r>
    <r>
      <rPr>
        <sz val="10"/>
        <rFont val="Arial"/>
        <family val="3"/>
        <charset val="128"/>
        <scheme val="major"/>
      </rPr>
      <t>し</t>
    </r>
    <r>
      <rPr>
        <sz val="10"/>
        <rFont val="Arial"/>
        <family val="2"/>
        <scheme val="major"/>
      </rPr>
      <t>)</t>
    </r>
  </si>
  <si>
    <r>
      <rPr>
        <sz val="10"/>
        <rFont val="Arial"/>
        <family val="3"/>
        <charset val="128"/>
        <scheme val="major"/>
      </rPr>
      <t>自分の苗字</t>
    </r>
  </si>
  <si>
    <r>
      <rPr>
        <sz val="10"/>
        <rFont val="Arial"/>
        <family val="3"/>
        <charset val="128"/>
        <scheme val="major"/>
      </rPr>
      <t>主</t>
    </r>
  </si>
  <si>
    <r>
      <rPr>
        <sz val="10"/>
        <rFont val="Arial"/>
        <family val="3"/>
        <charset val="128"/>
        <scheme val="major"/>
      </rPr>
      <t>神</t>
    </r>
  </si>
  <si>
    <r>
      <rPr>
        <sz val="10"/>
        <rFont val="Arial"/>
        <family val="3"/>
        <charset val="128"/>
        <scheme val="major"/>
      </rPr>
      <t>人</t>
    </r>
  </si>
  <si>
    <r>
      <rPr>
        <sz val="10"/>
        <rFont val="Arial"/>
        <family val="3"/>
        <charset val="128"/>
        <scheme val="major"/>
      </rPr>
      <t>人間</t>
    </r>
  </si>
  <si>
    <r>
      <rPr>
        <sz val="10"/>
        <rFont val="Arial"/>
        <family val="3"/>
        <charset val="128"/>
        <scheme val="major"/>
      </rPr>
      <t>人達</t>
    </r>
  </si>
  <si>
    <r>
      <rPr>
        <sz val="10"/>
        <rFont val="Arial"/>
        <family val="3"/>
        <charset val="128"/>
        <scheme val="major"/>
      </rPr>
      <t>先生</t>
    </r>
  </si>
  <si>
    <r>
      <rPr>
        <sz val="10"/>
        <rFont val="Arial"/>
        <family val="3"/>
        <charset val="128"/>
        <scheme val="major"/>
      </rPr>
      <t>其</t>
    </r>
  </si>
  <si>
    <r>
      <rPr>
        <sz val="10"/>
        <rFont val="Arial"/>
        <family val="3"/>
        <charset val="128"/>
        <scheme val="major"/>
      </rPr>
      <t>役職</t>
    </r>
    <phoneticPr fontId="8"/>
  </si>
  <si>
    <t>表A5b：ジェンダー・ラベルごとの日本語三人称（記入式, %）</t>
    <rPh sb="0" eb="1">
      <t>ヒョウ</t>
    </rPh>
    <rPh sb="17" eb="20">
      <t>ニホンゴ</t>
    </rPh>
    <rPh sb="20" eb="23">
      <t>サンニンショウ</t>
    </rPh>
    <rPh sb="24" eb="26">
      <t>キニュウ</t>
    </rPh>
    <rPh sb="26" eb="27">
      <t>シキ</t>
    </rPh>
    <phoneticPr fontId="8"/>
  </si>
  <si>
    <t>彼</t>
    <phoneticPr fontId="8"/>
  </si>
  <si>
    <r>
      <t>{</t>
    </r>
    <r>
      <rPr>
        <sz val="10"/>
        <rFont val="ＭＳ ゴシック"/>
        <family val="3"/>
        <charset val="128"/>
      </rPr>
      <t>この</t>
    </r>
    <r>
      <rPr>
        <sz val="10"/>
        <rFont val="Arial"/>
        <family val="2"/>
        <scheme val="major"/>
      </rPr>
      <t>/</t>
    </r>
    <r>
      <rPr>
        <sz val="10"/>
        <rFont val="ＭＳ ゴシック"/>
        <family val="3"/>
        <charset val="128"/>
      </rPr>
      <t>その</t>
    </r>
    <r>
      <rPr>
        <sz val="10"/>
        <rFont val="Arial"/>
        <family val="2"/>
        <scheme val="major"/>
      </rPr>
      <t>/</t>
    </r>
    <r>
      <rPr>
        <sz val="10"/>
        <rFont val="ＭＳ ゴシック"/>
        <family val="3"/>
        <charset val="128"/>
      </rPr>
      <t>あの</t>
    </r>
    <r>
      <rPr>
        <sz val="10"/>
        <rFont val="Arial"/>
        <family val="2"/>
        <scheme val="major"/>
      </rPr>
      <t>}+</t>
    </r>
    <r>
      <rPr>
        <sz val="10"/>
        <rFont val="ＭＳ ゴシック"/>
        <family val="3"/>
        <charset val="128"/>
      </rPr>
      <t>人</t>
    </r>
    <phoneticPr fontId="8"/>
  </si>
  <si>
    <t>, 性別を問わない「くん」,</t>
  </si>
  <si>
    <t xml:space="preserve">, </t>
  </si>
  <si>
    <t>, 言葉が存在しない,</t>
  </si>
  <si>
    <t>, 氏,</t>
  </si>
  <si>
    <t>, チャマ,</t>
  </si>
  <si>
    <t>, あだ名（敬称なし）,</t>
  </si>
  <si>
    <t>, 同志,</t>
  </si>
  <si>
    <t>, 相手や関係によって変化,</t>
  </si>
  <si>
    <t>, 陛下,</t>
  </si>
  <si>
    <t>, あだ名＋ちゃん,</t>
  </si>
  <si>
    <t>, 殿,</t>
  </si>
  <si>
    <t>, 様,</t>
  </si>
  <si>
    <t>, 先生,</t>
  </si>
  <si>
    <t>, 人達,</t>
  </si>
  <si>
    <t>, 自分の苗字,</t>
  </si>
  <si>
    <t>, しっくりくるものがない,</t>
  </si>
  <si>
    <t>, このような人,</t>
  </si>
  <si>
    <t>, {この/その/あの}+人，{この/その/あの}+人,</t>
  </si>
  <si>
    <t>, {この/その/あの}+人, 其, 主, 神,</t>
  </si>
  <si>
    <t>, {この/その/あの}+人, {この/その/あの}+方,</t>
  </si>
  <si>
    <t>, {この/その/あの}+人, {この/その/あの}+子,</t>
  </si>
  <si>
    <t>, {この/その/あの}+人,</t>
  </si>
  <si>
    <t>, {この/その/あの}+ひと,</t>
  </si>
  <si>
    <t>, (名前)さん, {この/その/あの}+人,</t>
  </si>
  <si>
    <t>, (名前)+氏,</t>
  </si>
  <si>
    <t>, 「そのようなカテゴリーの人々」,</t>
  </si>
  <si>
    <t>, カレ,</t>
  </si>
  <si>
    <t>, 彼, 呼ばれたくない,</t>
  </si>
  <si>
    <t>, 氏(し), {この/その/あの}+人,</t>
  </si>
  <si>
    <t>, おじさん,</t>
  </si>
  <si>
    <t>, {この/その/あの}+人, 役職,</t>
  </si>
  <si>
    <t>, かれら,</t>
  </si>
  <si>
    <t>, {この/その/あの}+人, 先生,</t>
  </si>
  <si>
    <t>, 愛称,</t>
  </si>
  <si>
    <t>, {この/その/あの}+人, あだ名,</t>
  </si>
  <si>
    <t>, (名前)+さん, {この/その/あの}+ひと,</t>
  </si>
  <si>
    <t>, {この/その/あの}+人, こちらの方,</t>
  </si>
  <si>
    <t>, {この/その/あの}+人, あの方,</t>
  </si>
  <si>
    <t>, (名前)+さん,</t>
  </si>
  <si>
    <t>, 人間, 人,</t>
  </si>
  <si>
    <t>, {この/その/あの}+子, {この/その/あの}+人,</t>
  </si>
  <si>
    <t>, {この/その/あの}+子,</t>
  </si>
  <si>
    <t>, あいつ,</t>
  </si>
  <si>
    <t>, 貴方,</t>
  </si>
  <si>
    <t>, 私,</t>
  </si>
  <si>
    <t>, 苗字</t>
  </si>
  <si>
    <t>, 納得のいく代名詞はない,</t>
  </si>
  <si>
    <t>, 余,我,ワイ,</t>
  </si>
  <si>
    <t>, 朕,</t>
  </si>
  <si>
    <t>, 己,</t>
  </si>
  <si>
    <t>, 我,</t>
  </si>
  <si>
    <t>, 我</t>
  </si>
  <si>
    <t>, 俺ちゃん, ぼくちゃん, わたくしさま,</t>
  </si>
  <si>
    <t>, 自分, わっち,</t>
  </si>
  <si>
    <t>, われ, おのれ,</t>
  </si>
  <si>
    <t>, われ,</t>
  </si>
  <si>
    <t>, 儂,</t>
  </si>
  <si>
    <t>, わい, ミー(me),</t>
  </si>
  <si>
    <t>, わい,</t>
  </si>
  <si>
    <t>, ゥチ,</t>
  </si>
  <si>
    <t>, ワイ,</t>
  </si>
  <si>
    <t>, (あだ名)+くん,</t>
  </si>
  <si>
    <t>, あたい, 我, 拙者,</t>
  </si>
  <si>
    <t>, あだ名,</t>
  </si>
  <si>
    <t>, わい</t>
  </si>
  <si>
    <t>, ワイ</t>
  </si>
  <si>
    <t>, 自分,</t>
  </si>
  <si>
    <t>, ボク, わし,</t>
  </si>
  <si>
    <t>, ぼく, わい, あーし,</t>
  </si>
  <si>
    <t>, この人,</t>
  </si>
  <si>
    <t>, こっち,</t>
  </si>
  <si>
    <t>, おれちゃん,</t>
  </si>
  <si>
    <t>, オレ,</t>
  </si>
  <si>
    <t>, おれ（方言の文脈で）,</t>
  </si>
  <si>
    <t>, 当方,</t>
  </si>
  <si>
    <t>, おいら, あてくし, わてくし, 苗字, わい, 我, 某, それがし, じぶん,</t>
  </si>
  <si>
    <t xml:space="preserve">, おいら, </t>
  </si>
  <si>
    <t>, うら（山梨県の一人称／男女の区別無し）,</t>
  </si>
  <si>
    <t>, みー,</t>
  </si>
  <si>
    <t>, あーし,</t>
  </si>
  <si>
    <t>, (あだ名)+ちゃん,</t>
  </si>
  <si>
    <t>, あだ名, ●●ちゃん,</t>
  </si>
  <si>
    <t>, アタクシ, あたし,</t>
  </si>
  <si>
    <t>, おいら, わっち,</t>
  </si>
  <si>
    <t>, あたい,</t>
  </si>
  <si>
    <t>バイナリーは嫌</t>
    <phoneticPr fontId="8"/>
  </si>
  <si>
    <r>
      <t xml:space="preserve">, </t>
    </r>
    <r>
      <rPr>
        <sz val="10"/>
        <color theme="1"/>
        <rFont val="ＭＳ ゴシック"/>
        <family val="3"/>
        <charset val="128"/>
      </rPr>
      <t>あーし</t>
    </r>
    <r>
      <rPr>
        <sz val="10"/>
        <color theme="1"/>
        <rFont val="Arial"/>
        <family val="2"/>
        <scheme val="minor"/>
      </rPr>
      <t>,</t>
    </r>
    <phoneticPr fontId="8"/>
  </si>
  <si>
    <t>, バイナリーは嫌,</t>
    <phoneticPr fontId="8"/>
  </si>
  <si>
    <t>, Comrade,</t>
    <phoneticPr fontId="8"/>
  </si>
  <si>
    <r>
      <t xml:space="preserve">, </t>
    </r>
    <r>
      <rPr>
        <sz val="10"/>
        <color theme="1"/>
        <rFont val="ＭＳ ゴシック"/>
        <family val="3"/>
        <charset val="128"/>
      </rPr>
      <t>ファーストネーム,</t>
    </r>
    <phoneticPr fontId="8"/>
  </si>
  <si>
    <t>, It,</t>
    <phoneticPr fontId="8"/>
  </si>
  <si>
    <t>, Myst. (Mystery),</t>
    <phoneticPr fontId="8"/>
  </si>
  <si>
    <r>
      <t xml:space="preserve">, </t>
    </r>
    <r>
      <rPr>
        <sz val="10"/>
        <color theme="1"/>
        <rFont val="ＭＳ ゴシック"/>
        <family val="3"/>
        <charset val="128"/>
      </rPr>
      <t>言葉が存在しない</t>
    </r>
    <r>
      <rPr>
        <sz val="10"/>
        <color theme="1"/>
        <rFont val="Arial"/>
        <family val="2"/>
        <scheme val="minor"/>
      </rPr>
      <t>,</t>
    </r>
    <phoneticPr fontId="8"/>
  </si>
  <si>
    <r>
      <rPr>
        <sz val="10"/>
        <color theme="8" tint="-0.249977111117893"/>
        <rFont val="Arial"/>
        <family val="3"/>
        <charset val="128"/>
        <scheme val="major"/>
      </rPr>
      <t>ファーストネーム</t>
    </r>
  </si>
  <si>
    <r>
      <rPr>
        <sz val="10"/>
        <color theme="8" tint="-0.249977111117893"/>
        <rFont val="Arial"/>
        <family val="2"/>
        <charset val="128"/>
        <scheme val="minor"/>
      </rPr>
      <t>言葉が存在しない</t>
    </r>
    <phoneticPr fontId="8"/>
  </si>
  <si>
    <t>自由記入式</t>
    <rPh sb="0" eb="5">
      <t>ジユウキ</t>
    </rPh>
    <phoneticPr fontId="8"/>
  </si>
  <si>
    <t>表A6：ジェンダー・ラベルごとの英語三人称（英語を日常的に使う方,　%）</t>
    <rPh sb="0" eb="1">
      <t>ヒョウ</t>
    </rPh>
    <rPh sb="16" eb="18">
      <t>エイゴ</t>
    </rPh>
    <rPh sb="18" eb="21">
      <t>サンニンショウ</t>
    </rPh>
    <phoneticPr fontId="8"/>
  </si>
  <si>
    <t>表A10：英語敬称ごとの選択された日本語敬称（英語を使う方, %）</t>
    <rPh sb="0" eb="1">
      <t>ヒョウ</t>
    </rPh>
    <rPh sb="5" eb="7">
      <t>エイゴ</t>
    </rPh>
    <rPh sb="7" eb="9">
      <t>ケイショウ</t>
    </rPh>
    <rPh sb="12" eb="14">
      <t>センタク</t>
    </rPh>
    <rPh sb="17" eb="20">
      <t>ニホンゴ</t>
    </rPh>
    <rPh sb="20" eb="22">
      <t>ケイショウ</t>
    </rPh>
    <rPh sb="23" eb="29">
      <t>エイゴw</t>
    </rPh>
    <phoneticPr fontId="8"/>
  </si>
  <si>
    <t>表A7：英語三人称ごとの、選択された日本語三人称（英語を日常的に使う方, %）</t>
    <rPh sb="0" eb="1">
      <t>ヒョウ</t>
    </rPh>
    <rPh sb="13" eb="15">
      <t>センタク</t>
    </rPh>
    <rPh sb="25" eb="27">
      <t>エイゴ</t>
    </rPh>
    <rPh sb="32" eb="33">
      <t>ツカ</t>
    </rPh>
    <rPh sb="34" eb="35">
      <t>カタ</t>
    </rPh>
    <phoneticPr fontId="8"/>
  </si>
  <si>
    <t>全回答者</t>
    <rPh sb="0" eb="4">
      <t>ゼンカイトウシャ</t>
    </rPh>
    <phoneticPr fontId="8"/>
  </si>
  <si>
    <t>全年齢層</t>
  </si>
  <si>
    <r>
      <rPr>
        <b/>
        <sz val="10"/>
        <color theme="1"/>
        <rFont val="Arial"/>
        <family val="3"/>
        <charset val="128"/>
        <scheme val="minor"/>
      </rPr>
      <t>表</t>
    </r>
    <r>
      <rPr>
        <b/>
        <sz val="10"/>
        <color theme="1"/>
        <rFont val="Arial"/>
        <family val="2"/>
        <scheme val="minor"/>
      </rPr>
      <t>A5a</t>
    </r>
    <r>
      <rPr>
        <b/>
        <sz val="10"/>
        <color theme="1"/>
        <rFont val="Arial"/>
        <family val="3"/>
        <charset val="128"/>
        <scheme val="minor"/>
      </rPr>
      <t>：ジェンダー・ラベルごとの日本語三人称（選択式</t>
    </r>
    <r>
      <rPr>
        <b/>
        <sz val="10"/>
        <color theme="1"/>
        <rFont val="Arial"/>
        <family val="2"/>
        <scheme val="minor"/>
      </rPr>
      <t>, %</t>
    </r>
    <r>
      <rPr>
        <b/>
        <sz val="10"/>
        <color theme="1"/>
        <rFont val="Arial"/>
        <family val="3"/>
        <charset val="128"/>
        <scheme val="minor"/>
      </rPr>
      <t>）</t>
    </r>
    <rPh sb="0" eb="1">
      <t>ヒョウ</t>
    </rPh>
    <rPh sb="17" eb="20">
      <t>ニホンゴ</t>
    </rPh>
    <rPh sb="20" eb="23">
      <t>サンニンショウ</t>
    </rPh>
    <rPh sb="24" eb="27">
      <t>センタクシキ</t>
    </rPh>
    <phoneticPr fontId="8"/>
  </si>
  <si>
    <r>
      <rPr>
        <sz val="11"/>
        <rFont val="Arial"/>
        <family val="3"/>
        <charset val="128"/>
        <scheme val="minor"/>
      </rPr>
      <t>（自分（たち）の名前）</t>
    </r>
    <phoneticPr fontId="8"/>
  </si>
  <si>
    <t>しっくりくるものがない</t>
    <phoneticPr fontId="8"/>
  </si>
  <si>
    <t>三人称代名詞</t>
    <rPh sb="0" eb="6">
      <t>サンニ</t>
    </rPh>
    <phoneticPr fontId="8"/>
  </si>
  <si>
    <t>英語敬称</t>
    <rPh sb="0" eb="2">
      <t>エイゴ</t>
    </rPh>
    <rPh sb="2" eb="4">
      <t>ケイショウ</t>
    </rPh>
    <phoneticPr fontId="8"/>
  </si>
  <si>
    <t>discrimination</t>
    <phoneticPr fontId="8"/>
  </si>
  <si>
    <r>
      <t>, {</t>
    </r>
    <r>
      <rPr>
        <sz val="10"/>
        <color theme="1"/>
        <rFont val="ＭＳ ゴシック"/>
        <family val="3"/>
        <charset val="128"/>
      </rPr>
      <t>この</t>
    </r>
    <r>
      <rPr>
        <sz val="10"/>
        <color theme="1"/>
        <rFont val="Arial"/>
        <family val="2"/>
        <scheme val="minor"/>
      </rPr>
      <t>/</t>
    </r>
    <r>
      <rPr>
        <sz val="10"/>
        <color theme="1"/>
        <rFont val="ＭＳ ゴシック"/>
        <family val="3"/>
        <charset val="128"/>
      </rPr>
      <t>その</t>
    </r>
    <r>
      <rPr>
        <sz val="10"/>
        <color theme="1"/>
        <rFont val="Arial"/>
        <family val="2"/>
        <scheme val="minor"/>
      </rPr>
      <t>/</t>
    </r>
    <r>
      <rPr>
        <sz val="10"/>
        <color theme="1"/>
        <rFont val="ＭＳ ゴシック"/>
        <family val="3"/>
        <charset val="128"/>
      </rPr>
      <t>あの</t>
    </r>
    <r>
      <rPr>
        <sz val="10"/>
        <color theme="1"/>
        <rFont val="Arial"/>
        <family val="2"/>
        <scheme val="minor"/>
      </rPr>
      <t>}+</t>
    </r>
    <r>
      <rPr>
        <sz val="10"/>
        <color theme="1"/>
        <rFont val="ＭＳ ゴシック"/>
        <family val="3"/>
        <charset val="128"/>
      </rPr>
      <t>子</t>
    </r>
    <r>
      <rPr>
        <sz val="10"/>
        <color theme="1"/>
        <rFont val="Arial"/>
        <family val="2"/>
        <scheme val="minor"/>
      </rPr>
      <t>,{</t>
    </r>
    <r>
      <rPr>
        <sz val="10"/>
        <color theme="1"/>
        <rFont val="ＭＳ ゴシック"/>
        <family val="3"/>
        <charset val="128"/>
      </rPr>
      <t>この</t>
    </r>
    <r>
      <rPr>
        <sz val="10"/>
        <color theme="1"/>
        <rFont val="Arial"/>
        <family val="2"/>
        <scheme val="minor"/>
      </rPr>
      <t>/</t>
    </r>
    <r>
      <rPr>
        <sz val="10"/>
        <color theme="1"/>
        <rFont val="ＭＳ ゴシック"/>
        <family val="3"/>
        <charset val="128"/>
      </rPr>
      <t>その</t>
    </r>
    <r>
      <rPr>
        <sz val="10"/>
        <color theme="1"/>
        <rFont val="Arial"/>
        <family val="2"/>
        <scheme val="minor"/>
      </rPr>
      <t>/</t>
    </r>
    <r>
      <rPr>
        <sz val="10"/>
        <color theme="1"/>
        <rFont val="ＭＳ ゴシック"/>
        <family val="3"/>
        <charset val="128"/>
      </rPr>
      <t>あの</t>
    </r>
    <r>
      <rPr>
        <sz val="10"/>
        <color theme="1"/>
        <rFont val="Arial"/>
        <family val="2"/>
        <scheme val="minor"/>
      </rPr>
      <t>}+</t>
    </r>
    <r>
      <rPr>
        <sz val="10"/>
        <color theme="1"/>
        <rFont val="ＭＳ ゴシック"/>
        <family val="3"/>
        <charset val="128"/>
      </rPr>
      <t>人</t>
    </r>
    <r>
      <rPr>
        <sz val="10"/>
        <color theme="1"/>
        <rFont val="Arial"/>
        <family val="2"/>
        <scheme val="minor"/>
      </rPr>
      <t>,</t>
    </r>
    <phoneticPr fontId="8"/>
  </si>
  <si>
    <r>
      <t>, (</t>
    </r>
    <r>
      <rPr>
        <sz val="10"/>
        <color theme="1"/>
        <rFont val="ＭＳ ゴシック"/>
        <family val="3"/>
        <charset val="128"/>
      </rPr>
      <t>名前</t>
    </r>
    <r>
      <rPr>
        <sz val="10"/>
        <color theme="1"/>
        <rFont val="Arial"/>
        <family val="2"/>
        <scheme val="minor"/>
      </rPr>
      <t>)+</t>
    </r>
    <r>
      <rPr>
        <sz val="10"/>
        <color theme="1"/>
        <rFont val="ＭＳ ゴシック"/>
        <family val="3"/>
        <charset val="128"/>
      </rPr>
      <t>ちゃん</t>
    </r>
    <r>
      <rPr>
        <sz val="10"/>
        <color theme="1"/>
        <rFont val="Arial"/>
        <family val="2"/>
        <scheme val="minor"/>
      </rPr>
      <t>, (</t>
    </r>
    <r>
      <rPr>
        <sz val="10"/>
        <color theme="1"/>
        <rFont val="ＭＳ ゴシック"/>
        <family val="3"/>
        <charset val="128"/>
      </rPr>
      <t>あだ名</t>
    </r>
    <r>
      <rPr>
        <sz val="10"/>
        <color theme="1"/>
        <rFont val="Arial"/>
        <family val="2"/>
        <scheme val="minor"/>
      </rPr>
      <t>)+</t>
    </r>
    <r>
      <rPr>
        <sz val="10"/>
        <color theme="1"/>
        <rFont val="ＭＳ ゴシック"/>
        <family val="3"/>
        <charset val="128"/>
      </rPr>
      <t>ちゃん</t>
    </r>
    <r>
      <rPr>
        <sz val="10"/>
        <color theme="1"/>
        <rFont val="Arial"/>
        <family val="2"/>
        <scheme val="minor"/>
      </rPr>
      <t>,</t>
    </r>
    <phoneticPr fontId="8"/>
  </si>
  <si>
    <t>無回答</t>
    <rPh sb="0" eb="3">
      <t>ムカ</t>
    </rPh>
    <phoneticPr fontId="8"/>
  </si>
  <si>
    <t>表A11：ジェンダー・ラベルごとの経験した、している、または不安である差別（ %）</t>
    <rPh sb="0" eb="1">
      <t>ヒョウ</t>
    </rPh>
    <rPh sb="17" eb="19">
      <t>ケイケン</t>
    </rPh>
    <rPh sb="30" eb="32">
      <t>フアン</t>
    </rPh>
    <rPh sb="35" eb="37">
      <t>サベツ</t>
    </rPh>
    <phoneticPr fontId="8"/>
  </si>
  <si>
    <t>表A12：年齢層ごとの経験した、している、または不安である差別（ %）</t>
    <rPh sb="0" eb="1">
      <t>ヒョウ</t>
    </rPh>
    <rPh sb="5" eb="8">
      <t>ネンレイソウ</t>
    </rPh>
    <rPh sb="11" eb="13">
      <t>ケイケン</t>
    </rPh>
    <rPh sb="24" eb="26">
      <t>フアン</t>
    </rPh>
    <rPh sb="29" eb="31">
      <t>サベツ</t>
    </rPh>
    <phoneticPr fontId="8"/>
  </si>
  <si>
    <r>
      <rPr>
        <sz val="10"/>
        <rFont val="Arial"/>
        <family val="3"/>
        <charset val="128"/>
      </rPr>
      <t>[</t>
    </r>
    <r>
      <rPr>
        <sz val="10"/>
        <rFont val="ＭＳ ゴシック"/>
        <family val="3"/>
        <charset val="128"/>
      </rPr>
      <t>なんらかの</t>
    </r>
    <r>
      <rPr>
        <sz val="10"/>
        <rFont val="游ゴシック"/>
        <family val="2"/>
        <charset val="128"/>
      </rPr>
      <t>トランジションを希望または経験</t>
    </r>
    <r>
      <rPr>
        <sz val="10"/>
        <rFont val="Arial"/>
        <family val="3"/>
        <charset val="128"/>
      </rPr>
      <t>]</t>
    </r>
    <rPh sb="14" eb="16">
      <t>キボウ</t>
    </rPh>
    <rPh sb="19" eb="21">
      <t>ケイケン</t>
    </rPh>
    <phoneticPr fontId="8"/>
  </si>
  <si>
    <t>（上記のどれも希望していない）</t>
    <phoneticPr fontId="8"/>
  </si>
  <si>
    <t xml:space="preserve">, （上記のどれも希望していない）, </t>
  </si>
  <si>
    <t>表A16：年齢層ごとの経験したトランジション（%）</t>
    <rPh sb="0" eb="1">
      <t>ヒョウ</t>
    </rPh>
    <rPh sb="5" eb="8">
      <t>ネンレイソウ</t>
    </rPh>
    <rPh sb="11" eb="13">
      <t>ケイケン</t>
    </rPh>
    <phoneticPr fontId="8"/>
  </si>
  <si>
    <t>表A14：年齢層ごとの経験または希望しているトランジション（%）</t>
    <rPh sb="0" eb="1">
      <t>ヒョウ</t>
    </rPh>
    <rPh sb="5" eb="8">
      <t>ネンレイソウ</t>
    </rPh>
    <rPh sb="11" eb="13">
      <t>ケイケン</t>
    </rPh>
    <rPh sb="16" eb="18">
      <t>キボウ</t>
    </rPh>
    <phoneticPr fontId="8"/>
  </si>
  <si>
    <t>表A15：ジェンダー・ラベルごとの経験したトランジション（%）</t>
    <rPh sb="0" eb="1">
      <t>ヒョウ</t>
    </rPh>
    <rPh sb="17" eb="19">
      <t>ケイケン</t>
    </rPh>
    <phoneticPr fontId="8"/>
  </si>
  <si>
    <t>表A13：ジェンダー・ラベルごとの経験または希望しているトランジション（%）</t>
    <rPh sb="0" eb="1">
      <t>ヒョウ</t>
    </rPh>
    <rPh sb="17" eb="19">
      <t>ケイケン</t>
    </rPh>
    <rPh sb="22" eb="24">
      <t>キボウ</t>
    </rPh>
    <phoneticPr fontId="8"/>
  </si>
  <si>
    <t>（上記のどれも経験していない）</t>
    <rPh sb="7" eb="9">
      <t>ケイケン</t>
    </rPh>
    <phoneticPr fontId="8"/>
  </si>
  <si>
    <r>
      <t>[</t>
    </r>
    <r>
      <rPr>
        <sz val="10"/>
        <rFont val="ＭＳ ゴシック"/>
        <family val="3"/>
        <charset val="128"/>
      </rPr>
      <t>なんらかの</t>
    </r>
    <r>
      <rPr>
        <sz val="10"/>
        <rFont val="游ゴシック"/>
        <family val="2"/>
        <charset val="128"/>
      </rPr>
      <t>トランジションを経験</t>
    </r>
    <r>
      <rPr>
        <sz val="10"/>
        <rFont val="Arial"/>
        <family val="3"/>
        <charset val="128"/>
      </rPr>
      <t>]</t>
    </r>
    <rPh sb="14" eb="16">
      <t>ケイケン</t>
    </rPh>
    <phoneticPr fontId="8"/>
  </si>
  <si>
    <r>
      <t>age x wish, NOT(</t>
    </r>
    <r>
      <rPr>
        <sz val="10"/>
        <rFont val="游ゴシック"/>
        <family val="2"/>
        <charset val="128"/>
      </rPr>
      <t>希望</t>
    </r>
    <r>
      <rPr>
        <sz val="10"/>
        <rFont val="Arial"/>
        <family val="2"/>
        <scheme val="major"/>
      </rPr>
      <t>=</t>
    </r>
    <r>
      <rPr>
        <sz val="10"/>
        <rFont val="游ゴシック"/>
        <family val="2"/>
        <charset val="128"/>
      </rPr>
      <t>無回答</t>
    </r>
    <r>
      <rPr>
        <sz val="10"/>
        <rFont val="Arial"/>
        <family val="2"/>
      </rPr>
      <t xml:space="preserve">, </t>
    </r>
    <r>
      <rPr>
        <sz val="10"/>
        <rFont val="游ゴシック"/>
        <family val="2"/>
        <charset val="128"/>
      </rPr>
      <t>希望</t>
    </r>
    <r>
      <rPr>
        <sz val="10"/>
        <rFont val="Arial"/>
        <family val="2"/>
      </rPr>
      <t>=</t>
    </r>
    <r>
      <rPr>
        <sz val="10"/>
        <rFont val="游ゴシック"/>
        <family val="2"/>
        <charset val="128"/>
      </rPr>
      <t>希望なし</t>
    </r>
    <r>
      <rPr>
        <sz val="10"/>
        <rFont val="Arial"/>
        <family val="2"/>
      </rPr>
      <t xml:space="preserve">, </t>
    </r>
    <r>
      <rPr>
        <sz val="10"/>
        <rFont val="游ゴシック"/>
        <family val="2"/>
        <charset val="128"/>
      </rPr>
      <t>経験</t>
    </r>
    <r>
      <rPr>
        <sz val="10"/>
        <rFont val="Arial"/>
        <family val="2"/>
      </rPr>
      <t>=</t>
    </r>
    <r>
      <rPr>
        <sz val="10"/>
        <rFont val="游ゴシック"/>
        <family val="2"/>
        <charset val="128"/>
      </rPr>
      <t>無回答</t>
    </r>
    <r>
      <rPr>
        <sz val="10"/>
        <rFont val="Arial"/>
        <family val="2"/>
      </rPr>
      <t>)</t>
    </r>
    <rPh sb="16" eb="18">
      <t>キボウ</t>
    </rPh>
    <rPh sb="19" eb="22">
      <t>ムカイトウ</t>
    </rPh>
    <rPh sb="27" eb="29">
      <t>キボウ</t>
    </rPh>
    <rPh sb="33" eb="35">
      <t>ケイケン</t>
    </rPh>
    <rPh sb="36" eb="39">
      <t>ムカイトウ</t>
    </rPh>
    <phoneticPr fontId="8"/>
  </si>
  <si>
    <r>
      <t>age x experience, NOT(</t>
    </r>
    <r>
      <rPr>
        <sz val="10"/>
        <rFont val="游ゴシック"/>
        <family val="2"/>
        <charset val="128"/>
      </rPr>
      <t>希望</t>
    </r>
    <r>
      <rPr>
        <sz val="10"/>
        <rFont val="Arial"/>
        <family val="2"/>
        <scheme val="major"/>
      </rPr>
      <t>=</t>
    </r>
    <r>
      <rPr>
        <sz val="10"/>
        <rFont val="游ゴシック"/>
        <family val="2"/>
        <charset val="128"/>
      </rPr>
      <t>無回答</t>
    </r>
    <r>
      <rPr>
        <sz val="10"/>
        <rFont val="Arial"/>
        <family val="2"/>
        <scheme val="major"/>
      </rPr>
      <t xml:space="preserve">, </t>
    </r>
    <r>
      <rPr>
        <sz val="10"/>
        <rFont val="游ゴシック"/>
        <family val="2"/>
        <charset val="128"/>
      </rPr>
      <t>希望</t>
    </r>
    <r>
      <rPr>
        <sz val="10"/>
        <rFont val="Arial"/>
        <family val="2"/>
        <scheme val="major"/>
      </rPr>
      <t>=</t>
    </r>
    <r>
      <rPr>
        <sz val="10"/>
        <rFont val="游ゴシック"/>
        <family val="2"/>
        <charset val="128"/>
      </rPr>
      <t>希望なし</t>
    </r>
    <r>
      <rPr>
        <sz val="10"/>
        <rFont val="Arial"/>
        <family val="2"/>
        <scheme val="major"/>
      </rPr>
      <t xml:space="preserve">, </t>
    </r>
    <r>
      <rPr>
        <sz val="10"/>
        <rFont val="游ゴシック"/>
        <family val="2"/>
        <charset val="128"/>
      </rPr>
      <t>経験</t>
    </r>
    <r>
      <rPr>
        <sz val="10"/>
        <rFont val="Arial"/>
        <family val="2"/>
        <scheme val="major"/>
      </rPr>
      <t>=</t>
    </r>
    <r>
      <rPr>
        <sz val="10"/>
        <rFont val="游ゴシック"/>
        <family val="2"/>
        <charset val="128"/>
      </rPr>
      <t>無回答</t>
    </r>
    <r>
      <rPr>
        <sz val="10"/>
        <rFont val="Arial"/>
        <family val="2"/>
        <scheme val="major"/>
      </rPr>
      <t>)</t>
    </r>
    <phoneticPr fontId="8"/>
  </si>
  <si>
    <t>顔にかかわる手術2</t>
  </si>
  <si>
    <t>顔にかかわる手術3</t>
  </si>
  <si>
    <t>胸部の手術3</t>
  </si>
  <si>
    <t>抗ホルモン療法4</t>
  </si>
  <si>
    <t>戸籍名の変更5</t>
  </si>
  <si>
    <t>戸籍上の性別の変更6</t>
  </si>
  <si>
    <t>性器にかかわる手術7</t>
  </si>
  <si>
    <t>声帯にかかわる手術8</t>
  </si>
  <si>
    <t>ホルモン補充療法（HRT）9</t>
  </si>
  <si>
    <t>ジェンダークリニックの受診10</t>
  </si>
  <si>
    <t>胸部の手術4</t>
  </si>
  <si>
    <t>抗ホルモン療法5</t>
  </si>
  <si>
    <t>戸籍名の変更6</t>
  </si>
  <si>
    <t>戸籍上の性別の変更7</t>
  </si>
  <si>
    <t>性器にかかわる手術8</t>
  </si>
  <si>
    <t>声帯にかかわる手術9</t>
  </si>
  <si>
    <t>ホルモン補充療法（HRT）10</t>
  </si>
  <si>
    <t>ジェンダークリニックの受診11</t>
  </si>
  <si>
    <t>表A9：ジェンダー・ラベルごとの英語敬称（英語を日常的に使う方, %）</t>
    <rPh sb="0" eb="1">
      <t>ヒョウ</t>
    </rPh>
    <rPh sb="16" eb="18">
      <t>エイゴ</t>
    </rPh>
    <rPh sb="18" eb="20">
      <t>ケイショウ</t>
    </rPh>
    <rPh sb="21" eb="23">
      <t>エイゴ</t>
    </rPh>
    <rPh sb="28" eb="29">
      <t>ツカ</t>
    </rPh>
    <rPh sb="30" eb="31">
      <t>カタ</t>
    </rPh>
    <phoneticPr fontId="8"/>
  </si>
  <si>
    <t>表A17:年齢層ごとの「希望または経験しているトランジション」に対する「経験したトランジション」（%）</t>
    <rPh sb="0" eb="1">
      <t>ヒョウ</t>
    </rPh>
    <rPh sb="5" eb="8">
      <t>ネンレイソウ</t>
    </rPh>
    <rPh sb="12" eb="14">
      <t>キボウ</t>
    </rPh>
    <rPh sb="17" eb="19">
      <t>ケイケン</t>
    </rPh>
    <rPh sb="32" eb="33">
      <t>タイ</t>
    </rPh>
    <phoneticPr fontId="8"/>
  </si>
  <si>
    <t>計算用</t>
    <rPh sb="0" eb="2">
      <t>ケイサン</t>
    </rPh>
    <rPh sb="2" eb="3">
      <t>ヨウ</t>
    </rPh>
    <phoneticPr fontId="8"/>
  </si>
  <si>
    <t>3. ジェンダー・ラベル</t>
    <phoneticPr fontId="8"/>
  </si>
  <si>
    <t>4. 一人称代名詞</t>
    <rPh sb="3" eb="6">
      <t>イチニンショウ</t>
    </rPh>
    <rPh sb="6" eb="9">
      <t>ダイメイシ</t>
    </rPh>
    <phoneticPr fontId="8"/>
  </si>
  <si>
    <t>5. 三人称代名詞</t>
    <rPh sb="3" eb="4">
      <t>ミ</t>
    </rPh>
    <rPh sb="4" eb="6">
      <t>ニンショウ</t>
    </rPh>
    <rPh sb="6" eb="9">
      <t>ダイメイシ</t>
    </rPh>
    <phoneticPr fontId="8"/>
  </si>
  <si>
    <t>6. 敬称</t>
    <rPh sb="3" eb="5">
      <t>ケイショウ</t>
    </rPh>
    <phoneticPr fontId="8"/>
  </si>
  <si>
    <t>7. 差別</t>
    <rPh sb="3" eb="5">
      <t>サベツ</t>
    </rPh>
    <phoneticPr fontId="8"/>
  </si>
  <si>
    <t>8. トランジション</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</si>
</sst>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yyyy\ h:mm:ss"/>
    <numFmt numFmtId="177" formatCode="0.0"/>
    <numFmt numFmtId="178" formatCode="0.00_);[Red]\(0.00\)"/>
    <numFmt numFmtId="179" formatCode="0.0_);[Red]\(0.0\)"/>
  </numFmts>
  <fonts count="61">
    <font>
      <sz val="10"/>
      <color rgb="FF000000"/>
      <name val="Arial"/>
      <scheme val="minor"/>
    </font>
    <font>
      <sz val="11"/>
      <color rgb="FF70757A"/>
      <name val="Docs-Roboto"/>
    </font>
    <font>
      <sz val="10"/>
      <color theme="1"/>
      <name val="Arial"/>
      <family val="2"/>
      <scheme val="minor"/>
    </font>
    <font>
      <sz val="11"/>
      <color rgb="FF202124"/>
      <name val="Roboto"/>
    </font>
    <font>
      <sz val="11"/>
      <color rgb="FF202124"/>
      <name val="Docs-Roboto"/>
    </font>
    <font>
      <sz val="11"/>
      <color rgb="FF70757A"/>
      <name val="Arial"/>
      <family val="2"/>
    </font>
    <font>
      <b/>
      <sz val="10"/>
      <color theme="1"/>
      <name val="Arial"/>
      <family val="2"/>
      <scheme val="minor"/>
    </font>
    <font>
      <sz val="10"/>
      <color rgb="FF000000"/>
      <name val="Arial"/>
      <family val="2"/>
      <scheme val="minor"/>
    </font>
    <font>
      <sz val="6"/>
      <name val="Arial"/>
      <family val="3"/>
      <charset val="128"/>
      <scheme val="minor"/>
    </font>
    <font>
      <u/>
      <sz val="10"/>
      <color theme="10"/>
      <name val="Arial"/>
      <family val="2"/>
      <scheme val="minor"/>
    </font>
    <font>
      <sz val="10"/>
      <color theme="1"/>
      <name val="游ゴシック"/>
      <family val="2"/>
      <charset val="128"/>
    </font>
    <font>
      <sz val="10"/>
      <color theme="1"/>
      <name val="ＭＳ ゴシック"/>
      <family val="3"/>
      <charset val="128"/>
    </font>
    <font>
      <sz val="10"/>
      <color theme="1"/>
      <name val="Arial"/>
      <family val="3"/>
      <charset val="128"/>
    </font>
    <font>
      <sz val="10"/>
      <color theme="1"/>
      <name val="Arial"/>
      <family val="2"/>
      <scheme val="major"/>
    </font>
    <font>
      <u/>
      <sz val="10"/>
      <color theme="1"/>
      <name val="Arial"/>
      <family val="2"/>
      <scheme val="major"/>
    </font>
    <font>
      <sz val="10"/>
      <color rgb="FF000000"/>
      <name val="Arial"/>
      <family val="3"/>
      <charset val="128"/>
      <scheme val="minor"/>
    </font>
    <font>
      <b/>
      <sz val="10"/>
      <color theme="1"/>
      <name val="Arial"/>
      <family val="2"/>
      <scheme val="major"/>
    </font>
    <font>
      <b/>
      <sz val="10"/>
      <color theme="1"/>
      <name val="Arial"/>
      <family val="2"/>
      <charset val="128"/>
      <scheme val="major"/>
    </font>
    <font>
      <sz val="10"/>
      <name val="Arial"/>
      <family val="2"/>
      <scheme val="minor"/>
    </font>
    <font>
      <sz val="10"/>
      <name val="Arial"/>
      <family val="2"/>
      <charset val="128"/>
      <scheme val="minor"/>
    </font>
    <font>
      <b/>
      <sz val="10"/>
      <name val="Arial"/>
      <family val="2"/>
      <scheme val="minor"/>
    </font>
    <font>
      <b/>
      <sz val="10"/>
      <name val="Arial"/>
      <family val="2"/>
      <charset val="128"/>
      <scheme val="minor"/>
    </font>
    <font>
      <b/>
      <sz val="10"/>
      <color theme="1"/>
      <name val="ＭＳ Ｐゴシック"/>
      <family val="3"/>
      <charset val="128"/>
    </font>
    <font>
      <b/>
      <sz val="10"/>
      <color rgb="FF000000"/>
      <name val="Arial"/>
      <family val="2"/>
      <scheme val="minor"/>
    </font>
    <font>
      <b/>
      <sz val="10"/>
      <color rgb="FF000000"/>
      <name val="Arial"/>
      <family val="3"/>
      <charset val="128"/>
      <scheme val="minor"/>
    </font>
    <font>
      <b/>
      <sz val="10"/>
      <name val="Arial"/>
      <family val="3"/>
      <charset val="128"/>
      <scheme val="minor"/>
    </font>
    <font>
      <b/>
      <sz val="10"/>
      <name val="ＭＳ ゴシック"/>
      <family val="3"/>
      <charset val="128"/>
    </font>
    <font>
      <b/>
      <sz val="10"/>
      <name val="ＭＳ Ｐゴシック"/>
      <family val="3"/>
      <charset val="128"/>
    </font>
    <font>
      <sz val="10"/>
      <name val="Arial"/>
      <family val="2"/>
      <scheme val="major"/>
    </font>
    <font>
      <sz val="11"/>
      <name val="Roboto"/>
    </font>
    <font>
      <b/>
      <sz val="10"/>
      <name val="Arial"/>
      <family val="2"/>
      <scheme val="major"/>
    </font>
    <font>
      <b/>
      <sz val="10"/>
      <name val="Arial"/>
      <family val="2"/>
      <charset val="128"/>
      <scheme val="major"/>
    </font>
    <font>
      <sz val="10"/>
      <color theme="1"/>
      <name val="ＭＳ Ｐゴシック"/>
      <family val="2"/>
      <charset val="128"/>
    </font>
    <font>
      <sz val="10"/>
      <color theme="1"/>
      <name val="Arial"/>
      <family val="3"/>
      <charset val="128"/>
      <scheme val="minor"/>
    </font>
    <font>
      <b/>
      <sz val="11"/>
      <name val="Roboto"/>
    </font>
    <font>
      <b/>
      <sz val="11"/>
      <name val="ＭＳ ゴシック"/>
      <family val="3"/>
      <charset val="128"/>
    </font>
    <font>
      <sz val="10"/>
      <name val="游ゴシック"/>
      <family val="2"/>
      <charset val="128"/>
    </font>
    <font>
      <sz val="10"/>
      <name val="Arial"/>
      <family val="3"/>
      <charset val="128"/>
      <scheme val="major"/>
    </font>
    <font>
      <sz val="10"/>
      <name val="ＭＳ ゴシック"/>
      <family val="3"/>
      <charset val="128"/>
    </font>
    <font>
      <sz val="10"/>
      <name val="ＭＳ Ｐゴシック"/>
      <family val="2"/>
      <charset val="128"/>
    </font>
    <font>
      <b/>
      <sz val="10"/>
      <color theme="1"/>
      <name val="Arial"/>
      <family val="3"/>
      <charset val="128"/>
      <scheme val="minor"/>
    </font>
    <font>
      <sz val="10"/>
      <name val="Arial"/>
      <family val="2"/>
    </font>
    <font>
      <sz val="10"/>
      <color theme="8" tint="-0.499984740745262"/>
      <name val="Arial"/>
      <family val="2"/>
      <scheme val="minor"/>
    </font>
    <font>
      <sz val="10"/>
      <color theme="8" tint="-0.499984740745262"/>
      <name val="Arial"/>
      <family val="3"/>
      <charset val="128"/>
      <scheme val="minor"/>
    </font>
    <font>
      <sz val="10"/>
      <color theme="8" tint="-0.499984740745262"/>
      <name val="Arial"/>
      <family val="2"/>
      <scheme val="major"/>
    </font>
    <font>
      <b/>
      <sz val="10"/>
      <color rgb="FF000000"/>
      <name val="ＭＳ ゴシック"/>
      <family val="3"/>
      <charset val="128"/>
    </font>
    <font>
      <b/>
      <sz val="10"/>
      <color rgb="FF000000"/>
      <name val="游ゴシック"/>
      <family val="3"/>
      <charset val="128"/>
    </font>
    <font>
      <sz val="10"/>
      <color theme="1"/>
      <name val="Arial"/>
      <family val="2"/>
      <charset val="128"/>
      <scheme val="minor"/>
    </font>
    <font>
      <sz val="10"/>
      <color theme="1"/>
      <name val="Arial"/>
      <family val="3"/>
      <charset val="128"/>
      <scheme val="major"/>
    </font>
    <font>
      <b/>
      <sz val="10"/>
      <color theme="1"/>
      <name val="游ゴシック"/>
      <family val="2"/>
      <charset val="128"/>
    </font>
    <font>
      <sz val="10"/>
      <name val="Arial"/>
      <family val="2"/>
      <charset val="128"/>
      <scheme val="major"/>
    </font>
    <font>
      <sz val="10"/>
      <color theme="8" tint="-0.249977111117893"/>
      <name val="Arial"/>
      <family val="2"/>
      <scheme val="minor"/>
    </font>
    <font>
      <sz val="10"/>
      <color theme="8" tint="-0.249977111117893"/>
      <name val="Arial"/>
      <family val="2"/>
      <scheme val="major"/>
    </font>
    <font>
      <sz val="10"/>
      <color theme="8" tint="-0.249977111117893"/>
      <name val="Arial"/>
      <family val="3"/>
      <charset val="128"/>
      <scheme val="major"/>
    </font>
    <font>
      <sz val="10"/>
      <color theme="8" tint="-0.249977111117893"/>
      <name val="Arial"/>
      <family val="2"/>
      <charset val="128"/>
      <scheme val="minor"/>
    </font>
    <font>
      <b/>
      <sz val="10"/>
      <color theme="8" tint="-0.249977111117893"/>
      <name val="Arial"/>
      <family val="2"/>
      <scheme val="minor"/>
    </font>
    <font>
      <b/>
      <sz val="10"/>
      <color theme="8" tint="-0.249977111117893"/>
      <name val="Arial"/>
      <family val="2"/>
      <scheme val="major"/>
    </font>
    <font>
      <sz val="11"/>
      <name val="Arial"/>
      <family val="2"/>
      <scheme val="minor"/>
    </font>
    <font>
      <sz val="11"/>
      <name val="Arial"/>
      <family val="3"/>
      <charset val="128"/>
      <scheme val="minor"/>
    </font>
    <font>
      <sz val="10"/>
      <name val="Arial"/>
      <family val="3"/>
      <charset val="128"/>
    </font>
    <font>
      <b/>
      <sz val="10"/>
      <color rgb="FF000000"/>
      <name val="ＭＳ Ｐゴシック"/>
      <family val="3"/>
      <charset val="128"/>
    </font>
  </fonts>
  <fills count="7">
    <fill>
      <patternFill patternType="none"/>
    </fill>
    <fill>
      <patternFill patternType="gray125"/>
    </fill>
    <fill>
      <patternFill patternType="solid">
        <fgColor rgb="FFFFFFFF"/>
        <bgColor rgb="FFFFFFFF"/>
      </patternFill>
    </fill>
    <fill>
      <patternFill patternType="solid">
        <fgColor theme="4" tint="0.39997558519241921"/>
        <bgColor indexed="64"/>
      </patternFill>
    </fill>
    <fill>
      <patternFill patternType="solid">
        <fgColor theme="4" tint="0.39997558519241921"/>
        <bgColor rgb="FFFFFFFF"/>
      </patternFill>
    </fill>
    <fill>
      <patternFill patternType="solid">
        <fgColor theme="4" tint="0.79998168889431442"/>
        <bgColor theme="4" tint="0.79998168889431442"/>
      </patternFill>
    </fill>
    <fill>
      <patternFill patternType="solid">
        <fgColor theme="4" tint="0.39997558519241921"/>
        <bgColor theme="4" tint="0.79998168889431442"/>
      </patternFill>
    </fill>
  </fills>
  <borders count="6">
    <border>
      <left/>
      <right/>
      <top/>
      <bottom/>
      <diagonal/>
    </border>
    <border>
      <left style="thin">
        <color rgb="FF000000"/>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s>
  <cellStyleXfs count="4">
    <xf numFmtId="0" fontId="0" fillId="0" borderId="0"/>
    <xf numFmtId="9" fontId="7" fillId="0" borderId="0" applyFont="0" applyFill="0" applyBorder="0" applyAlignment="0" applyProtection="0">
      <alignment vertical="center"/>
    </xf>
    <xf numFmtId="0" fontId="9" fillId="0" borderId="0" applyNumberFormat="0" applyFill="0" applyBorder="0" applyAlignment="0" applyProtection="0"/>
    <xf numFmtId="0" fontId="7" fillId="0" borderId="0"/>
  </cellStyleXfs>
  <cellXfs count="125">
    <xf numFmtId="0" fontId="0" fillId="0" borderId="0" xfId="0"/>
    <xf numFmtId="0" fontId="1" fillId="2" borderId="0" xfId="0" applyFont="1" applyFill="1"/>
    <xf numFmtId="0" fontId="2" fillId="0" borderId="0" xfId="0" applyFont="1"/>
    <xf numFmtId="0" fontId="3" fillId="2" borderId="0" xfId="0" applyFont="1" applyFill="1"/>
    <xf numFmtId="0" fontId="4" fillId="2" borderId="0" xfId="0" applyFont="1" applyFill="1"/>
    <xf numFmtId="0" fontId="5" fillId="2" borderId="0" xfId="0" applyFont="1" applyFill="1"/>
    <xf numFmtId="0" fontId="2" fillId="0" borderId="1" xfId="0" applyFont="1" applyBorder="1" applyAlignment="1">
      <alignment horizontal="right"/>
    </xf>
    <xf numFmtId="0" fontId="3" fillId="2" borderId="1" xfId="0" applyFont="1" applyFill="1" applyBorder="1"/>
    <xf numFmtId="0" fontId="2" fillId="0" borderId="0" xfId="0" applyFont="1" applyAlignment="1">
      <alignment wrapText="1"/>
    </xf>
    <xf numFmtId="0" fontId="2" fillId="0" borderId="1" xfId="0" applyFont="1" applyBorder="1"/>
    <xf numFmtId="0" fontId="6" fillId="0" borderId="0" xfId="0" applyFont="1"/>
    <xf numFmtId="176" fontId="2" fillId="0" borderId="0" xfId="0" applyNumberFormat="1" applyFont="1" applyAlignment="1">
      <alignment wrapText="1"/>
    </xf>
    <xf numFmtId="176" fontId="2" fillId="0" borderId="0" xfId="0" applyNumberFormat="1" applyFont="1"/>
    <xf numFmtId="178" fontId="2" fillId="0" borderId="0" xfId="1" applyNumberFormat="1" applyFont="1" applyAlignment="1"/>
    <xf numFmtId="0" fontId="7" fillId="0" borderId="0" xfId="0" applyFont="1"/>
    <xf numFmtId="177" fontId="2" fillId="0" borderId="0" xfId="0" applyNumberFormat="1" applyFont="1"/>
    <xf numFmtId="0" fontId="11" fillId="0" borderId="0" xfId="0" applyFont="1" applyAlignment="1">
      <alignment wrapText="1"/>
    </xf>
    <xf numFmtId="0" fontId="10" fillId="0" borderId="0" xfId="0" applyFont="1" applyAlignment="1">
      <alignment wrapText="1"/>
    </xf>
    <xf numFmtId="0" fontId="12" fillId="0" borderId="0" xfId="0" applyFont="1" applyAlignment="1">
      <alignment wrapText="1"/>
    </xf>
    <xf numFmtId="0" fontId="2" fillId="2" borderId="0" xfId="0" applyFont="1" applyFill="1"/>
    <xf numFmtId="0" fontId="13" fillId="0" borderId="0" xfId="0" applyFont="1"/>
    <xf numFmtId="49" fontId="13" fillId="0" borderId="0" xfId="0" applyNumberFormat="1" applyFont="1"/>
    <xf numFmtId="178" fontId="13" fillId="0" borderId="0" xfId="1" applyNumberFormat="1" applyFont="1" applyAlignment="1"/>
    <xf numFmtId="0" fontId="13" fillId="2" borderId="0" xfId="0" applyFont="1" applyFill="1"/>
    <xf numFmtId="177" fontId="13" fillId="0" borderId="0" xfId="0" applyNumberFormat="1" applyFont="1"/>
    <xf numFmtId="0" fontId="14" fillId="0" borderId="0" xfId="2" applyFont="1"/>
    <xf numFmtId="177" fontId="13" fillId="0" borderId="0" xfId="1" applyNumberFormat="1" applyFont="1" applyAlignment="1"/>
    <xf numFmtId="0" fontId="18" fillId="0" borderId="0" xfId="0" applyFont="1"/>
    <xf numFmtId="178" fontId="18" fillId="0" borderId="0" xfId="1" applyNumberFormat="1" applyFont="1" applyAlignment="1"/>
    <xf numFmtId="177" fontId="18" fillId="0" borderId="0" xfId="0" applyNumberFormat="1" applyFont="1"/>
    <xf numFmtId="0" fontId="22" fillId="0" borderId="0" xfId="0" applyFont="1"/>
    <xf numFmtId="177" fontId="0" fillId="0" borderId="0" xfId="0" applyNumberFormat="1"/>
    <xf numFmtId="0" fontId="23" fillId="0" borderId="0" xfId="0" applyFont="1"/>
    <xf numFmtId="0" fontId="16" fillId="0" borderId="0" xfId="0" applyFont="1"/>
    <xf numFmtId="0" fontId="16" fillId="2" borderId="0" xfId="0" applyFont="1" applyFill="1"/>
    <xf numFmtId="0" fontId="20" fillId="0" borderId="0" xfId="0" applyFont="1"/>
    <xf numFmtId="0" fontId="20" fillId="2" borderId="0" xfId="0" applyFont="1" applyFill="1"/>
    <xf numFmtId="0" fontId="26" fillId="2" borderId="0" xfId="0" applyFont="1" applyFill="1"/>
    <xf numFmtId="0" fontId="27" fillId="0" borderId="0" xfId="0" applyFont="1"/>
    <xf numFmtId="0" fontId="28" fillId="0" borderId="0" xfId="0" applyFont="1"/>
    <xf numFmtId="0" fontId="30" fillId="0" borderId="0" xfId="0" applyFont="1"/>
    <xf numFmtId="177" fontId="28" fillId="0" borderId="0" xfId="0" applyNumberFormat="1" applyFont="1"/>
    <xf numFmtId="0" fontId="30" fillId="2" borderId="0" xfId="0" applyFont="1" applyFill="1"/>
    <xf numFmtId="0" fontId="28" fillId="2" borderId="0" xfId="0" applyFont="1" applyFill="1"/>
    <xf numFmtId="177" fontId="28" fillId="0" borderId="0" xfId="1" applyNumberFormat="1" applyFont="1" applyAlignment="1"/>
    <xf numFmtId="0" fontId="7" fillId="0" borderId="0" xfId="3"/>
    <xf numFmtId="0" fontId="28" fillId="3" borderId="0" xfId="0" applyFont="1" applyFill="1"/>
    <xf numFmtId="0" fontId="29" fillId="4" borderId="0" xfId="0" applyFont="1" applyFill="1"/>
    <xf numFmtId="49" fontId="28" fillId="4" borderId="0" xfId="1" applyNumberFormat="1" applyFont="1" applyFill="1" applyAlignment="1"/>
    <xf numFmtId="49" fontId="28" fillId="3" borderId="0" xfId="1" applyNumberFormat="1" applyFont="1" applyFill="1" applyAlignment="1"/>
    <xf numFmtId="0" fontId="18" fillId="3" borderId="0" xfId="0" applyFont="1" applyFill="1"/>
    <xf numFmtId="178" fontId="18" fillId="3" borderId="0" xfId="1" applyNumberFormat="1" applyFont="1" applyFill="1" applyAlignment="1"/>
    <xf numFmtId="0" fontId="13" fillId="3" borderId="0" xfId="0" applyFont="1" applyFill="1"/>
    <xf numFmtId="49" fontId="13" fillId="3" borderId="0" xfId="1" applyNumberFormat="1" applyFont="1" applyFill="1" applyAlignment="1"/>
    <xf numFmtId="0" fontId="35" fillId="2" borderId="0" xfId="0" applyFont="1" applyFill="1"/>
    <xf numFmtId="0" fontId="34" fillId="2" borderId="0" xfId="0" applyFont="1" applyFill="1"/>
    <xf numFmtId="177" fontId="41" fillId="0" borderId="0" xfId="0" applyNumberFormat="1" applyFont="1"/>
    <xf numFmtId="1" fontId="28" fillId="0" borderId="3" xfId="0" applyNumberFormat="1" applyFont="1" applyBorder="1"/>
    <xf numFmtId="1" fontId="28" fillId="0" borderId="4" xfId="0" applyNumberFormat="1" applyFont="1" applyBorder="1"/>
    <xf numFmtId="0" fontId="9" fillId="0" borderId="0" xfId="2"/>
    <xf numFmtId="0" fontId="35" fillId="2" borderId="3" xfId="0" applyFont="1" applyFill="1" applyBorder="1"/>
    <xf numFmtId="0" fontId="34" fillId="2" borderId="3" xfId="0" applyFont="1" applyFill="1" applyBorder="1"/>
    <xf numFmtId="0" fontId="30" fillId="2" borderId="3" xfId="0" applyFont="1" applyFill="1" applyBorder="1"/>
    <xf numFmtId="49" fontId="30" fillId="2" borderId="3" xfId="1" applyNumberFormat="1" applyFont="1" applyFill="1" applyBorder="1" applyAlignment="1"/>
    <xf numFmtId="49" fontId="30" fillId="2" borderId="5" xfId="1" applyNumberFormat="1" applyFont="1" applyFill="1" applyBorder="1" applyAlignment="1"/>
    <xf numFmtId="0" fontId="20" fillId="4" borderId="0" xfId="3" applyFont="1" applyFill="1"/>
    <xf numFmtId="0" fontId="42" fillId="3" borderId="0" xfId="3" applyFont="1" applyFill="1"/>
    <xf numFmtId="0" fontId="42" fillId="4" borderId="0" xfId="3" applyFont="1" applyFill="1"/>
    <xf numFmtId="49" fontId="44" fillId="4" borderId="0" xfId="1" applyNumberFormat="1" applyFont="1" applyFill="1" applyAlignment="1"/>
    <xf numFmtId="49" fontId="44" fillId="3" borderId="0" xfId="1" applyNumberFormat="1" applyFont="1" applyFill="1" applyAlignment="1"/>
    <xf numFmtId="0" fontId="24" fillId="0" borderId="0" xfId="0" applyFont="1"/>
    <xf numFmtId="0" fontId="20" fillId="3" borderId="0" xfId="3" applyFont="1" applyFill="1"/>
    <xf numFmtId="0" fontId="18" fillId="3" borderId="0" xfId="3" applyFont="1" applyFill="1"/>
    <xf numFmtId="0" fontId="33" fillId="0" borderId="0" xfId="0" applyFont="1" applyAlignment="1">
      <alignment wrapText="1"/>
    </xf>
    <xf numFmtId="0" fontId="47" fillId="0" borderId="0" xfId="0" applyFont="1" applyAlignment="1">
      <alignment wrapText="1"/>
    </xf>
    <xf numFmtId="0" fontId="32" fillId="0" borderId="0" xfId="0" applyFont="1"/>
    <xf numFmtId="0" fontId="11" fillId="0" borderId="0" xfId="0" applyFont="1"/>
    <xf numFmtId="0" fontId="2" fillId="6" borderId="2" xfId="0" applyFont="1" applyFill="1" applyBorder="1"/>
    <xf numFmtId="0" fontId="2" fillId="3" borderId="2" xfId="0" applyFont="1" applyFill="1" applyBorder="1"/>
    <xf numFmtId="0" fontId="11" fillId="6" borderId="2" xfId="0" applyFont="1" applyFill="1" applyBorder="1"/>
    <xf numFmtId="0" fontId="11" fillId="3" borderId="2" xfId="0" applyFont="1" applyFill="1" applyBorder="1"/>
    <xf numFmtId="0" fontId="11" fillId="3" borderId="0" xfId="0" applyFont="1" applyFill="1"/>
    <xf numFmtId="49" fontId="28" fillId="6" borderId="3" xfId="1" applyNumberFormat="1" applyFont="1" applyFill="1" applyBorder="1" applyAlignment="1"/>
    <xf numFmtId="49" fontId="28" fillId="3" borderId="3" xfId="1" applyNumberFormat="1" applyFont="1" applyFill="1" applyBorder="1" applyAlignment="1"/>
    <xf numFmtId="49" fontId="41" fillId="5" borderId="3" xfId="0" applyNumberFormat="1" applyFont="1" applyFill="1" applyBorder="1" applyAlignment="1">
      <alignment wrapText="1"/>
    </xf>
    <xf numFmtId="49" fontId="38" fillId="3" borderId="3" xfId="1" applyNumberFormat="1" applyFont="1" applyFill="1" applyBorder="1" applyAlignment="1"/>
    <xf numFmtId="0" fontId="39" fillId="0" borderId="0" xfId="0" applyFont="1"/>
    <xf numFmtId="0" fontId="36" fillId="3" borderId="0" xfId="3" applyFont="1" applyFill="1"/>
    <xf numFmtId="0" fontId="51" fillId="3" borderId="0" xfId="3" applyFont="1" applyFill="1"/>
    <xf numFmtId="49" fontId="52" fillId="3" borderId="0" xfId="1" applyNumberFormat="1" applyFont="1" applyFill="1" applyAlignment="1"/>
    <xf numFmtId="0" fontId="20" fillId="4" borderId="3" xfId="3" applyFont="1" applyFill="1" applyBorder="1"/>
    <xf numFmtId="0" fontId="20" fillId="3" borderId="3" xfId="3" applyFont="1" applyFill="1" applyBorder="1"/>
    <xf numFmtId="0" fontId="55" fillId="3" borderId="3" xfId="3" applyFont="1" applyFill="1" applyBorder="1"/>
    <xf numFmtId="49" fontId="56" fillId="3" borderId="3" xfId="1" applyNumberFormat="1" applyFont="1" applyFill="1" applyBorder="1" applyAlignment="1"/>
    <xf numFmtId="0" fontId="55" fillId="3" borderId="4" xfId="3" applyFont="1" applyFill="1" applyBorder="1"/>
    <xf numFmtId="177" fontId="7" fillId="0" borderId="0" xfId="0" applyNumberFormat="1" applyFont="1"/>
    <xf numFmtId="0" fontId="48" fillId="3" borderId="0" xfId="0" applyFont="1" applyFill="1"/>
    <xf numFmtId="177" fontId="49" fillId="0" borderId="0" xfId="0" applyNumberFormat="1" applyFont="1"/>
    <xf numFmtId="177" fontId="16" fillId="2" borderId="0" xfId="0" applyNumberFormat="1" applyFont="1" applyFill="1"/>
    <xf numFmtId="179" fontId="18" fillId="0" borderId="0" xfId="1" applyNumberFormat="1" applyFont="1" applyAlignment="1"/>
    <xf numFmtId="0" fontId="57" fillId="4" borderId="0" xfId="0" applyFont="1" applyFill="1"/>
    <xf numFmtId="177" fontId="2" fillId="0" borderId="0" xfId="1" applyNumberFormat="1" applyFont="1" applyAlignment="1"/>
    <xf numFmtId="0" fontId="41" fillId="5" borderId="3" xfId="0" applyFont="1" applyFill="1" applyBorder="1" applyAlignment="1">
      <alignment wrapText="1"/>
    </xf>
    <xf numFmtId="49" fontId="38" fillId="6" borderId="3" xfId="1" applyNumberFormat="1" applyFont="1" applyFill="1" applyBorder="1" applyAlignment="1"/>
    <xf numFmtId="0" fontId="37" fillId="3" borderId="0" xfId="0" applyFont="1" applyFill="1"/>
    <xf numFmtId="0" fontId="32" fillId="0" borderId="0" xfId="0" applyFont="1" applyAlignment="1">
      <alignment wrapText="1"/>
    </xf>
    <xf numFmtId="0" fontId="15" fillId="0" borderId="0" xfId="0" applyFont="1"/>
    <xf numFmtId="49" fontId="59" fillId="3" borderId="0" xfId="1" applyNumberFormat="1" applyFont="1" applyFill="1" applyAlignment="1"/>
    <xf numFmtId="0" fontId="28" fillId="0" borderId="0" xfId="3" applyFont="1"/>
    <xf numFmtId="0" fontId="28" fillId="2" borderId="0" xfId="3" applyFont="1" applyFill="1"/>
    <xf numFmtId="177" fontId="28" fillId="0" borderId="0" xfId="3" applyNumberFormat="1" applyFont="1"/>
    <xf numFmtId="0" fontId="30" fillId="2" borderId="0" xfId="3" applyFont="1" applyFill="1"/>
    <xf numFmtId="0" fontId="23" fillId="0" borderId="0" xfId="3" applyFont="1"/>
    <xf numFmtId="0" fontId="30" fillId="0" borderId="0" xfId="3" applyFont="1"/>
    <xf numFmtId="0" fontId="2" fillId="0" borderId="0" xfId="3" applyFont="1"/>
    <xf numFmtId="0" fontId="28" fillId="3" borderId="0" xfId="3" applyFont="1" applyFill="1"/>
    <xf numFmtId="0" fontId="28" fillId="0" borderId="2" xfId="3" applyFont="1" applyBorder="1"/>
    <xf numFmtId="0" fontId="28" fillId="5" borderId="2" xfId="3" applyFont="1" applyFill="1" applyBorder="1"/>
    <xf numFmtId="0" fontId="39" fillId="0" borderId="0" xfId="3" applyFont="1"/>
    <xf numFmtId="0" fontId="27" fillId="0" borderId="0" xfId="3" applyFont="1"/>
    <xf numFmtId="49" fontId="41" fillId="0" borderId="0" xfId="3" applyNumberFormat="1" applyFont="1"/>
    <xf numFmtId="0" fontId="41" fillId="0" borderId="0" xfId="3" applyFont="1"/>
    <xf numFmtId="0" fontId="27" fillId="0" borderId="0" xfId="2" applyFont="1"/>
    <xf numFmtId="0" fontId="60" fillId="0" borderId="0" xfId="3" applyFont="1"/>
    <xf numFmtId="0" fontId="37" fillId="0" borderId="0" xfId="0" applyFont="1"/>
  </cellXfs>
  <cellStyles count="4">
    <cellStyle name="パーセント" xfId="1" builtinId="5"/>
    <cellStyle name="ハイパーリンク" xfId="2" builtinId="8"/>
    <cellStyle name="標準" xfId="0" builtinId="0"/>
    <cellStyle name="標準 2" xfId="3" xr:uid="{1C4E0598-474B-40A0-B226-F8395D94301F}"/>
  </cellStyles>
  <dxfs count="541">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numFmt numFmtId="176" formatCode="m/d/yyyy\ h:mm:ss"/>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none"/>
      </font>
      <numFmt numFmtId="30" formatCode="@"/>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i val="0"/>
        <strike val="0"/>
        <condense val="0"/>
        <extend val="0"/>
        <outline val="0"/>
        <shadow val="0"/>
        <u val="none"/>
        <vertAlign val="baseline"/>
        <sz val="10"/>
        <color auto="1"/>
        <name val="Arial"/>
        <family val="2"/>
        <scheme val="minor"/>
      </font>
      <fill>
        <patternFill patternType="solid">
          <fgColor rgb="FFFFFFFF"/>
          <bgColor rgb="FFFFFFFF"/>
        </patternFill>
      </fill>
    </dxf>
    <dxf>
      <font>
        <b val="0"/>
        <i val="0"/>
        <strike val="0"/>
        <condense val="0"/>
        <extend val="0"/>
        <outline val="0"/>
        <shadow val="0"/>
        <u val="none"/>
        <vertAlign val="baseline"/>
        <sz val="10"/>
        <color auto="1"/>
        <name val="Arial"/>
        <family val="2"/>
        <scheme val="minor"/>
      </font>
    </dxf>
    <dxf>
      <font>
        <b val="0"/>
        <i val="0"/>
        <strike val="0"/>
        <condense val="0"/>
        <extend val="0"/>
        <outline val="0"/>
        <shadow val="0"/>
        <u val="none"/>
        <vertAlign val="baseline"/>
        <sz val="10"/>
        <color auto="1"/>
        <name val="Arial"/>
        <family val="2"/>
        <scheme val="minor"/>
      </font>
    </dxf>
    <dxf>
      <font>
        <b val="0"/>
        <i val="0"/>
        <strike val="0"/>
        <condense val="0"/>
        <extend val="0"/>
        <outline val="0"/>
        <shadow val="0"/>
        <u val="none"/>
        <vertAlign val="baseline"/>
        <sz val="10"/>
        <color auto="1"/>
        <name val="Arial"/>
        <family val="2"/>
        <scheme val="minor"/>
      </font>
      <numFmt numFmtId="30" formatCode="@"/>
    </dxf>
    <dxf>
      <font>
        <b val="0"/>
        <i val="0"/>
        <strike val="0"/>
        <condense val="0"/>
        <extend val="0"/>
        <outline val="0"/>
        <shadow val="0"/>
        <u val="none"/>
        <vertAlign val="baseline"/>
        <sz val="10"/>
        <color auto="1"/>
        <name val="Arial"/>
        <family val="2"/>
        <scheme val="min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none"/>
      </font>
    </dxf>
    <dxf>
      <fill>
        <patternFill>
          <bgColor theme="4" tint="0.39997558519241921"/>
        </patternFill>
      </fill>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dxf>
    <dxf>
      <fill>
        <patternFill>
          <bgColor theme="4" tint="0.39997558519241921"/>
        </patternFill>
      </fill>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none"/>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val="0"/>
        <i val="0"/>
        <strike val="0"/>
        <condense val="0"/>
        <extend val="0"/>
        <outline val="0"/>
        <shadow val="0"/>
        <u val="none"/>
        <vertAlign val="baseline"/>
        <sz val="10"/>
        <color auto="1"/>
        <name val="Arial"/>
        <family val="2"/>
        <scheme val="major"/>
      </font>
      <numFmt numFmtId="177" formatCode="0.0"/>
    </dxf>
    <dxf>
      <font>
        <b/>
        <i val="0"/>
        <strike val="0"/>
        <condense val="0"/>
        <extend val="0"/>
        <outline val="0"/>
        <shadow val="0"/>
        <u val="none"/>
        <vertAlign val="baseline"/>
        <sz val="10"/>
        <color auto="1"/>
        <name val="Arial"/>
        <family val="2"/>
        <scheme val="major"/>
      </font>
      <fill>
        <patternFill patternType="solid">
          <fgColor rgb="FFFFFFFF"/>
          <bgColor rgb="FFFFFFFF"/>
        </patternFill>
      </fill>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major"/>
      </font>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family val="2"/>
        <scheme val="major"/>
      </font>
      <numFmt numFmtId="30" formatCode="@"/>
      <fill>
        <patternFill>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7" formatCode="0.0"/>
    </dxf>
    <dxf>
      <font>
        <b val="0"/>
        <i val="0"/>
        <strike val="0"/>
        <condense val="0"/>
        <extend val="0"/>
        <outline val="0"/>
        <shadow val="0"/>
        <u val="none"/>
        <vertAlign val="baseline"/>
        <sz val="10"/>
        <color auto="1"/>
        <name val="Arial"/>
        <family val="2"/>
        <scheme val="minor"/>
      </font>
      <numFmt numFmtId="179" formatCode="0.0_);[Red]\(0.0\)"/>
    </dxf>
    <dxf>
      <font>
        <b/>
        <i val="0"/>
        <strike val="0"/>
        <condense val="0"/>
        <extend val="0"/>
        <outline val="0"/>
        <shadow val="0"/>
        <u val="none"/>
        <vertAlign val="baseline"/>
        <sz val="10"/>
        <color auto="1"/>
        <name val="Arial"/>
        <family val="2"/>
        <scheme val="minor"/>
      </font>
      <numFmt numFmtId="177" formatCode="0.0"/>
      <fill>
        <patternFill patternType="solid">
          <fgColor rgb="FFFFFFFF"/>
          <bgColor rgb="FFFFFFFF"/>
        </patternFill>
      </fill>
    </dxf>
    <dxf>
      <font>
        <b/>
        <i val="0"/>
        <strike val="0"/>
        <condense val="0"/>
        <extend val="0"/>
        <outline val="0"/>
        <shadow val="0"/>
        <u val="none"/>
        <vertAlign val="baseline"/>
        <sz val="10"/>
        <color auto="1"/>
        <name val="Arial"/>
        <family val="2"/>
        <scheme val="minor"/>
      </font>
      <fill>
        <patternFill patternType="solid">
          <fgColor rgb="FFFFFFFF"/>
          <bgColor rgb="FFFFFFFF"/>
        </patternFill>
      </fill>
    </dxf>
    <dxf>
      <font>
        <b val="0"/>
        <i val="0"/>
        <strike val="0"/>
        <condense val="0"/>
        <extend val="0"/>
        <outline val="0"/>
        <shadow val="0"/>
        <u val="none"/>
        <vertAlign val="baseline"/>
        <sz val="10"/>
        <color auto="1"/>
        <name val="Arial"/>
        <family val="2"/>
        <scheme val="minor"/>
      </font>
    </dxf>
    <dxf>
      <font>
        <b val="0"/>
        <i val="0"/>
        <strike val="0"/>
        <condense val="0"/>
        <extend val="0"/>
        <outline val="0"/>
        <shadow val="0"/>
        <u val="none"/>
        <vertAlign val="baseline"/>
        <sz val="10"/>
        <color auto="1"/>
        <name val="Arial"/>
        <family val="2"/>
        <scheme val="minor"/>
      </font>
    </dxf>
    <dxf>
      <font>
        <b val="0"/>
        <i val="0"/>
        <strike val="0"/>
        <condense val="0"/>
        <extend val="0"/>
        <outline val="0"/>
        <shadow val="0"/>
        <u val="none"/>
        <vertAlign val="baseline"/>
        <sz val="10"/>
        <color auto="1"/>
        <name val="Arial"/>
        <family val="2"/>
        <scheme val="minor"/>
      </font>
      <numFmt numFmtId="178" formatCode="0.00_);[Red]\(0.00\)"/>
    </dxf>
    <dxf>
      <font>
        <b val="0"/>
        <i val="0"/>
        <strike val="0"/>
        <condense val="0"/>
        <extend val="0"/>
        <outline val="0"/>
        <shadow val="0"/>
        <u val="none"/>
        <vertAlign val="baseline"/>
        <sz val="10"/>
        <color auto="1"/>
        <name val="Arial"/>
        <family val="2"/>
        <scheme val="minor"/>
      </font>
      <numFmt numFmtId="178" formatCode="0.00_);[Red]\(0.00\)"/>
      <fill>
        <patternFill patternType="solid">
          <fgColor indexed="64"/>
          <bgColor theme="4" tint="0.39997558519241921"/>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val="0"/>
        <i val="0"/>
        <strike val="0"/>
        <condense val="0"/>
        <extend val="0"/>
        <outline val="0"/>
        <shadow val="0"/>
        <u val="none"/>
        <vertAlign val="baseline"/>
        <sz val="10"/>
        <color theme="1"/>
        <name val="Arial"/>
        <family val="2"/>
        <scheme val="major"/>
      </font>
      <numFmt numFmtId="177" formatCode="0.0"/>
    </dxf>
    <dxf>
      <font>
        <b/>
        <i val="0"/>
        <strike val="0"/>
        <condense val="0"/>
        <extend val="0"/>
        <outline val="0"/>
        <shadow val="0"/>
        <u val="none"/>
        <vertAlign val="baseline"/>
        <sz val="10"/>
        <color theme="1"/>
        <name val="Arial"/>
        <family val="2"/>
        <scheme val="major"/>
      </font>
      <numFmt numFmtId="177" formatCode="0.0"/>
      <fill>
        <patternFill patternType="solid">
          <fgColor rgb="FFFFFFFF"/>
          <bgColor rgb="FFFFFFFF"/>
        </patternFill>
      </fill>
    </dxf>
    <dxf>
      <font>
        <b/>
        <i val="0"/>
        <strike val="0"/>
        <condense val="0"/>
        <extend val="0"/>
        <outline val="0"/>
        <shadow val="0"/>
        <u val="none"/>
        <vertAlign val="baseline"/>
        <sz val="10"/>
        <color theme="1"/>
        <name val="Arial"/>
        <family val="2"/>
        <scheme val="major"/>
      </font>
      <fill>
        <patternFill patternType="solid">
          <fgColor rgb="FFFFFFFF"/>
          <bgColor rgb="FFFFFFFF"/>
        </patternFill>
      </fill>
    </dxf>
    <dxf>
      <font>
        <b val="0"/>
        <i val="0"/>
        <strike val="0"/>
        <condense val="0"/>
        <extend val="0"/>
        <outline val="0"/>
        <shadow val="0"/>
        <u val="none"/>
        <vertAlign val="baseline"/>
        <sz val="10"/>
        <color theme="1"/>
        <name val="Arial"/>
        <family val="2"/>
        <scheme val="major"/>
      </font>
    </dxf>
    <dxf>
      <font>
        <b val="0"/>
        <i val="0"/>
        <strike val="0"/>
        <condense val="0"/>
        <extend val="0"/>
        <outline val="0"/>
        <shadow val="0"/>
        <u val="none"/>
        <vertAlign val="baseline"/>
        <sz val="10"/>
        <color theme="1"/>
        <name val="Arial"/>
        <family val="2"/>
        <scheme val="major"/>
      </font>
    </dxf>
    <dxf>
      <font>
        <b val="0"/>
        <i val="0"/>
        <strike val="0"/>
        <condense val="0"/>
        <extend val="0"/>
        <outline val="0"/>
        <shadow val="0"/>
        <u val="none"/>
        <vertAlign val="baseline"/>
        <sz val="10"/>
        <color theme="1"/>
        <name val="Arial"/>
        <family val="2"/>
        <scheme val="major"/>
      </font>
    </dxf>
    <dxf>
      <font>
        <b val="0"/>
        <i val="0"/>
        <strike val="0"/>
        <condense val="0"/>
        <extend val="0"/>
        <outline val="0"/>
        <shadow val="0"/>
        <u val="none"/>
        <vertAlign val="baseline"/>
        <sz val="10"/>
        <color theme="1"/>
        <name val="Arial"/>
        <family val="2"/>
        <scheme val="major"/>
      </font>
      <numFmt numFmtId="30" formatCode="@"/>
      <fill>
        <patternFill patternType="solid">
          <fgColor indexed="64"/>
          <bgColor theme="4" tint="0.39997558519241921"/>
        </patternFill>
      </fill>
      <alignment horizontal="general" vertical="bottom" textRotation="0" wrapText="0" indent="0" justifyLastLine="0" shrinkToFit="0" readingOrder="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numFmt numFmtId="177" formatCode="0.0"/>
    </dxf>
    <dxf>
      <font>
        <b val="0"/>
        <i val="0"/>
        <strike val="0"/>
        <condense val="0"/>
        <extend val="0"/>
        <outline val="0"/>
        <shadow val="0"/>
        <u val="none"/>
        <vertAlign val="baseline"/>
        <sz val="10"/>
        <color rgb="FF000000"/>
        <name val="Arial"/>
        <family val="2"/>
        <scheme val="minor"/>
      </font>
      <numFmt numFmtId="177" formatCode="0.0"/>
    </dxf>
    <dxf>
      <font>
        <b/>
        <family val="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57"/>
          <c:order val="0"/>
          <c:tx>
            <c:strRef>
              <c:f>'A2.ジェンダーごと年齢'!$C$5</c:f>
              <c:strCache>
                <c:ptCount val="1"/>
                <c:pt idx="0">
                  <c:v>ノンバイナリー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'A2.ジェンダーごと年齢'!$E$5:$M$5</c:f>
              <c:numCache>
                <c:formatCode>0.0</c:formatCode>
                <c:ptCount val="9"/>
                <c:pt idx="0">
                  <c:v>11.328125</c:v>
                </c:pt>
                <c:pt idx="1">
                  <c:v>28.515625</c:v>
                </c:pt>
                <c:pt idx="2">
                  <c:v>21.875</c:v>
                </c:pt>
                <c:pt idx="3">
                  <c:v>16.796875</c:v>
                </c:pt>
                <c:pt idx="4">
                  <c:v>7.421875</c:v>
                </c:pt>
                <c:pt idx="5">
                  <c:v>6.25</c:v>
                </c:pt>
                <c:pt idx="6">
                  <c:v>2.734375</c:v>
                </c:pt>
                <c:pt idx="7">
                  <c:v>5.078125</c:v>
                </c:pt>
                <c:pt idx="8">
                  <c:v>2.734375</c:v>
                </c:pt>
              </c:numCache>
            </c:numRef>
          </c:val>
          <c:smooth val="0"/>
          <c:extLst>
            <c:ext xmlns:c16="http://schemas.microsoft.com/office/drawing/2014/chart" uri="{C3380CC4-5D6E-409C-BE32-E72D297353CC}">
              <c16:uniqueId val="{00000000-D82E-4E0E-AC2E-98BA63DA072F}"/>
            </c:ext>
          </c:extLst>
        </c:ser>
        <c:ser>
          <c:idx val="58"/>
          <c:order val="1"/>
          <c:tx>
            <c:strRef>
              <c:f>'A2.ジェンダーごと年齢'!$C$6</c:f>
              <c:strCache>
                <c:ptCount val="1"/>
                <c:pt idx="0">
                  <c:v>クィア／Queer</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'A2.ジェンダーごと年齢'!$E$6:$M$6</c:f>
              <c:numCache>
                <c:formatCode>0.0</c:formatCode>
                <c:ptCount val="9"/>
                <c:pt idx="0">
                  <c:v>9.7222222222222232</c:v>
                </c:pt>
                <c:pt idx="1">
                  <c:v>36.111111111111107</c:v>
                </c:pt>
                <c:pt idx="2">
                  <c:v>20.833333333333336</c:v>
                </c:pt>
                <c:pt idx="3">
                  <c:v>14.583333333333334</c:v>
                </c:pt>
                <c:pt idx="4">
                  <c:v>4.1666666666666661</c:v>
                </c:pt>
                <c:pt idx="5">
                  <c:v>5.5555555555555554</c:v>
                </c:pt>
                <c:pt idx="6">
                  <c:v>4.1666666666666661</c:v>
                </c:pt>
                <c:pt idx="7">
                  <c:v>4.8611111111111116</c:v>
                </c:pt>
                <c:pt idx="8">
                  <c:v>4.1666666666666661</c:v>
                </c:pt>
              </c:numCache>
            </c:numRef>
          </c:val>
          <c:smooth val="0"/>
          <c:extLst>
            <c:ext xmlns:c16="http://schemas.microsoft.com/office/drawing/2014/chart" uri="{C3380CC4-5D6E-409C-BE32-E72D297353CC}">
              <c16:uniqueId val="{00000001-D82E-4E0E-AC2E-98BA63DA072F}"/>
            </c:ext>
          </c:extLst>
        </c:ser>
        <c:ser>
          <c:idx val="59"/>
          <c:order val="2"/>
          <c:tx>
            <c:strRef>
              <c:f>'A2.ジェンダーごと年齢'!$C$7</c:f>
              <c:strCache>
                <c:ptCount val="1"/>
                <c:pt idx="0">
                  <c:v>Xジェンダー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'A2.ジェンダーごと年齢'!$E$7:$M$7</c:f>
              <c:numCache>
                <c:formatCode>0.0</c:formatCode>
                <c:ptCount val="9"/>
                <c:pt idx="0">
                  <c:v>9.0909090909090917</c:v>
                </c:pt>
                <c:pt idx="1">
                  <c:v>27.27272727272727</c:v>
                </c:pt>
                <c:pt idx="2">
                  <c:v>18.181818181818183</c:v>
                </c:pt>
                <c:pt idx="3">
                  <c:v>18.181818181818183</c:v>
                </c:pt>
                <c:pt idx="4">
                  <c:v>7.4380165289256199</c:v>
                </c:pt>
                <c:pt idx="5">
                  <c:v>9.9173553719008272</c:v>
                </c:pt>
                <c:pt idx="6">
                  <c:v>4.1322314049586781</c:v>
                </c:pt>
                <c:pt idx="7">
                  <c:v>5.785123966942149</c:v>
                </c:pt>
                <c:pt idx="8">
                  <c:v>3.3057851239669422</c:v>
                </c:pt>
              </c:numCache>
            </c:numRef>
          </c:val>
          <c:smooth val="0"/>
          <c:extLst>
            <c:ext xmlns:c16="http://schemas.microsoft.com/office/drawing/2014/chart" uri="{C3380CC4-5D6E-409C-BE32-E72D297353CC}">
              <c16:uniqueId val="{00000002-D82E-4E0E-AC2E-98BA63DA072F}"/>
            </c:ext>
          </c:extLst>
        </c:ser>
        <c:ser>
          <c:idx val="60"/>
          <c:order val="3"/>
          <c:tx>
            <c:strRef>
              <c:f>'A2.ジェンダーごと年齢'!$C$8</c:f>
              <c:strCache>
                <c:ptCount val="1"/>
                <c:pt idx="0">
                  <c:v>クエスチョニング</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'A2.ジェンダーごと年齢'!$E$8:$M$8</c:f>
              <c:numCache>
                <c:formatCode>0.0</c:formatCode>
                <c:ptCount val="9"/>
                <c:pt idx="0">
                  <c:v>11.627906976744185</c:v>
                </c:pt>
                <c:pt idx="1">
                  <c:v>33.720930232558139</c:v>
                </c:pt>
                <c:pt idx="2">
                  <c:v>19.767441860465116</c:v>
                </c:pt>
                <c:pt idx="3">
                  <c:v>17.441860465116278</c:v>
                </c:pt>
                <c:pt idx="4">
                  <c:v>3.4883720930232558</c:v>
                </c:pt>
                <c:pt idx="5">
                  <c:v>4.6511627906976747</c:v>
                </c:pt>
                <c:pt idx="6">
                  <c:v>0</c:v>
                </c:pt>
                <c:pt idx="7">
                  <c:v>9.3023255813953494</c:v>
                </c:pt>
                <c:pt idx="8">
                  <c:v>4.6511627906976747</c:v>
                </c:pt>
              </c:numCache>
            </c:numRef>
          </c:val>
          <c:smooth val="0"/>
          <c:extLst>
            <c:ext xmlns:c16="http://schemas.microsoft.com/office/drawing/2014/chart" uri="{C3380CC4-5D6E-409C-BE32-E72D297353CC}">
              <c16:uniqueId val="{00000003-D82E-4E0E-AC2E-98BA63DA072F}"/>
            </c:ext>
          </c:extLst>
        </c:ser>
        <c:ser>
          <c:idx val="61"/>
          <c:order val="4"/>
          <c:tx>
            <c:strRef>
              <c:f>'A2.ジェンダーごと年齢'!$C$9</c:f>
              <c:strCache>
                <c:ptCount val="1"/>
                <c:pt idx="0">
                  <c:v>無性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'A2.ジェンダーごと年齢'!$E$9:$M$9</c:f>
              <c:numCache>
                <c:formatCode>0.0</c:formatCode>
                <c:ptCount val="9"/>
                <c:pt idx="0">
                  <c:v>9.3023255813953494</c:v>
                </c:pt>
                <c:pt idx="1">
                  <c:v>24.418604651162788</c:v>
                </c:pt>
                <c:pt idx="2">
                  <c:v>23.255813953488371</c:v>
                </c:pt>
                <c:pt idx="3">
                  <c:v>17.441860465116278</c:v>
                </c:pt>
                <c:pt idx="4">
                  <c:v>11.627906976744185</c:v>
                </c:pt>
                <c:pt idx="5">
                  <c:v>3.4883720930232558</c:v>
                </c:pt>
                <c:pt idx="6">
                  <c:v>5.8139534883720927</c:v>
                </c:pt>
                <c:pt idx="7">
                  <c:v>4.6511627906976747</c:v>
                </c:pt>
                <c:pt idx="8">
                  <c:v>2.3255813953488373</c:v>
                </c:pt>
              </c:numCache>
            </c:numRef>
          </c:val>
          <c:smooth val="0"/>
          <c:extLst>
            <c:ext xmlns:c16="http://schemas.microsoft.com/office/drawing/2014/chart" uri="{C3380CC4-5D6E-409C-BE32-E72D297353CC}">
              <c16:uniqueId val="{00000004-D82E-4E0E-AC2E-98BA63DA072F}"/>
            </c:ext>
          </c:extLst>
        </c:ser>
        <c:ser>
          <c:idx val="62"/>
          <c:order val="5"/>
          <c:tx>
            <c:strRef>
              <c:f>'A2.ジェンダーごと年齢'!$C$10</c:f>
              <c:strCache>
                <c:ptCount val="1"/>
                <c:pt idx="0">
                  <c:v>（ジェンダー・）フルイド／（ジェンダー・）フリュイド／（ジェンダー・）フルイッド</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'A2.ジェンダーごと年齢'!$E$10:$M$10</c:f>
              <c:numCache>
                <c:formatCode>0.0</c:formatCode>
                <c:ptCount val="9"/>
                <c:pt idx="0">
                  <c:v>8</c:v>
                </c:pt>
                <c:pt idx="1">
                  <c:v>36</c:v>
                </c:pt>
                <c:pt idx="2">
                  <c:v>22.666666666666664</c:v>
                </c:pt>
                <c:pt idx="3">
                  <c:v>21.333333333333336</c:v>
                </c:pt>
                <c:pt idx="4">
                  <c:v>2.666666666666667</c:v>
                </c:pt>
                <c:pt idx="5">
                  <c:v>4</c:v>
                </c:pt>
                <c:pt idx="6">
                  <c:v>2.666666666666667</c:v>
                </c:pt>
                <c:pt idx="7">
                  <c:v>2.666666666666667</c:v>
                </c:pt>
                <c:pt idx="8">
                  <c:v>2.666666666666667</c:v>
                </c:pt>
              </c:numCache>
            </c:numRef>
          </c:val>
          <c:smooth val="0"/>
          <c:extLst>
            <c:ext xmlns:c16="http://schemas.microsoft.com/office/drawing/2014/chart" uri="{C3380CC4-5D6E-409C-BE32-E72D297353CC}">
              <c16:uniqueId val="{00000005-D82E-4E0E-AC2E-98BA63DA072F}"/>
            </c:ext>
          </c:extLst>
        </c:ser>
        <c:ser>
          <c:idx val="63"/>
          <c:order val="6"/>
          <c:tx>
            <c:strRef>
              <c:f>'A2.ジェンダーごと年齢'!$C$11</c:f>
              <c:strCache>
                <c:ptCount val="1"/>
                <c:pt idx="0">
                  <c:v>ジェンダークィア</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'A2.ジェンダーごと年齢'!$E$11:$M$11</c:f>
              <c:numCache>
                <c:formatCode>0.0</c:formatCode>
                <c:ptCount val="9"/>
                <c:pt idx="0">
                  <c:v>6.756756756756757</c:v>
                </c:pt>
                <c:pt idx="1">
                  <c:v>36.486486486486484</c:v>
                </c:pt>
                <c:pt idx="2">
                  <c:v>16.216216216216218</c:v>
                </c:pt>
                <c:pt idx="3">
                  <c:v>14.864864864864865</c:v>
                </c:pt>
                <c:pt idx="4">
                  <c:v>6.756756756756757</c:v>
                </c:pt>
                <c:pt idx="5">
                  <c:v>8.1081081081081088</c:v>
                </c:pt>
                <c:pt idx="6">
                  <c:v>4.0540540540540544</c:v>
                </c:pt>
                <c:pt idx="7">
                  <c:v>6.756756756756757</c:v>
                </c:pt>
                <c:pt idx="8">
                  <c:v>6.756756756756757</c:v>
                </c:pt>
              </c:numCache>
            </c:numRef>
          </c:val>
          <c:smooth val="0"/>
          <c:extLst>
            <c:ext xmlns:c16="http://schemas.microsoft.com/office/drawing/2014/chart" uri="{C3380CC4-5D6E-409C-BE32-E72D297353CC}">
              <c16:uniqueId val="{00000006-D82E-4E0E-AC2E-98BA63DA072F}"/>
            </c:ext>
          </c:extLst>
        </c:ser>
        <c:ser>
          <c:idx val="64"/>
          <c:order val="7"/>
          <c:tx>
            <c:strRef>
              <c:f>'A3.ジェンダーとラベル選択数'!$C$12</c:f>
              <c:strCache>
                <c:ptCount val="1"/>
                <c:pt idx="0">
                  <c:v>Aジェンダー／エイジェンダー／アジェンダー／agender</c:v>
                </c:pt>
              </c:strCache>
            </c:strRef>
          </c:tx>
          <c:marker>
            <c:symbol val="none"/>
          </c:marker>
          <c:cat>
            <c:strRef>
              <c:f>'A3.ジェンダーとラベル選択数'!$E$3:$M$3</c:f>
              <c:strCache>
                <c:ptCount val="9"/>
                <c:pt idx="0">
                  <c:v>16-20</c:v>
                </c:pt>
                <c:pt idx="1">
                  <c:v>21-25</c:v>
                </c:pt>
                <c:pt idx="2">
                  <c:v>26-30</c:v>
                </c:pt>
                <c:pt idx="3">
                  <c:v>31-35</c:v>
                </c:pt>
                <c:pt idx="4">
                  <c:v>36-40</c:v>
                </c:pt>
                <c:pt idx="5">
                  <c:v>41-45</c:v>
                </c:pt>
                <c:pt idx="6">
                  <c:v>46-50</c:v>
                </c:pt>
                <c:pt idx="7">
                  <c:v>51-55</c:v>
                </c:pt>
                <c:pt idx="8">
                  <c:v>56+</c:v>
                </c:pt>
              </c:strCache>
            </c:strRef>
          </c:cat>
          <c:val>
            <c:numRef>
              <c:f>'A3.ジェンダーとラベル選択数'!$E$12:$M$12</c:f>
              <c:numCache>
                <c:formatCode>0.0</c:formatCode>
                <c:ptCount val="9"/>
                <c:pt idx="0">
                  <c:v>3.8775510204081631</c:v>
                </c:pt>
                <c:pt idx="1">
                  <c:v>8.1</c:v>
                </c:pt>
                <c:pt idx="2">
                  <c:v>5.8666666666666663</c:v>
                </c:pt>
                <c:pt idx="3">
                  <c:v>6.9230769230769234</c:v>
                </c:pt>
                <c:pt idx="4">
                  <c:v>7.333333333333333</c:v>
                </c:pt>
                <c:pt idx="5">
                  <c:v>6</c:v>
                </c:pt>
                <c:pt idx="6">
                  <c:v>3</c:v>
                </c:pt>
                <c:pt idx="7">
                  <c:v>4.666666666666667</c:v>
                </c:pt>
                <c:pt idx="8">
                  <c:v>18</c:v>
                </c:pt>
              </c:numCache>
            </c:numRef>
          </c:val>
          <c:smooth val="0"/>
          <c:extLst>
            <c:ext xmlns:c16="http://schemas.microsoft.com/office/drawing/2014/chart" uri="{C3380CC4-5D6E-409C-BE32-E72D297353CC}">
              <c16:uniqueId val="{00000007-D82E-4E0E-AC2E-98BA63DA072F}"/>
            </c:ext>
          </c:extLst>
        </c:ser>
        <c:ser>
          <c:idx val="65"/>
          <c:order val="8"/>
          <c:tx>
            <c:strRef>
              <c:f>'A2.ジェンダーごと年齢'!$C$13</c:f>
              <c:strCache>
                <c:ptCount val="1"/>
                <c:pt idx="0">
                  <c:v>Aジェンダー／エイジェンダー／アジェンダー／agender</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'A2.ジェンダーごと年齢'!$E$13:$M$13</c:f>
              <c:numCache>
                <c:formatCode>0.0</c:formatCode>
                <c:ptCount val="9"/>
                <c:pt idx="0">
                  <c:v>11.267605633802818</c:v>
                </c:pt>
                <c:pt idx="1">
                  <c:v>28.169014084507044</c:v>
                </c:pt>
                <c:pt idx="2">
                  <c:v>21.12676056338028</c:v>
                </c:pt>
                <c:pt idx="3">
                  <c:v>18.30985915492958</c:v>
                </c:pt>
                <c:pt idx="4">
                  <c:v>8.4507042253521121</c:v>
                </c:pt>
                <c:pt idx="5">
                  <c:v>5.6338028169014089</c:v>
                </c:pt>
                <c:pt idx="6">
                  <c:v>1.4084507042253522</c:v>
                </c:pt>
                <c:pt idx="7">
                  <c:v>5.6338028169014089</c:v>
                </c:pt>
                <c:pt idx="8">
                  <c:v>1.4084507042253522</c:v>
                </c:pt>
              </c:numCache>
            </c:numRef>
          </c:val>
          <c:smooth val="0"/>
          <c:extLst>
            <c:ext xmlns:c16="http://schemas.microsoft.com/office/drawing/2014/chart" uri="{C3380CC4-5D6E-409C-BE32-E72D297353CC}">
              <c16:uniqueId val="{00000008-D82E-4E0E-AC2E-98BA63DA072F}"/>
            </c:ext>
          </c:extLst>
        </c:ser>
        <c:ser>
          <c:idx val="66"/>
          <c:order val="9"/>
          <c:tx>
            <c:strRef>
              <c:f>'A2.ジェンダーごと年齢'!$C$14</c:f>
              <c:strCache>
                <c:ptCount val="1"/>
                <c:pt idx="0">
                  <c:v>X</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'A2.ジェンダーごと年齢'!$E$14:$M$14</c:f>
              <c:numCache>
                <c:formatCode>0.0</c:formatCode>
                <c:ptCount val="9"/>
                <c:pt idx="0">
                  <c:v>7.2463768115942031</c:v>
                </c:pt>
                <c:pt idx="1">
                  <c:v>23.188405797101449</c:v>
                </c:pt>
                <c:pt idx="2">
                  <c:v>23.188405797101449</c:v>
                </c:pt>
                <c:pt idx="3">
                  <c:v>18.840579710144929</c:v>
                </c:pt>
                <c:pt idx="4">
                  <c:v>8.695652173913043</c:v>
                </c:pt>
                <c:pt idx="5">
                  <c:v>8.695652173913043</c:v>
                </c:pt>
                <c:pt idx="6">
                  <c:v>5.7971014492753623</c:v>
                </c:pt>
                <c:pt idx="7">
                  <c:v>2.8985507246376812</c:v>
                </c:pt>
                <c:pt idx="8">
                  <c:v>2.8985507246376812</c:v>
                </c:pt>
              </c:numCache>
            </c:numRef>
          </c:val>
          <c:smooth val="0"/>
          <c:extLst>
            <c:ext xmlns:c16="http://schemas.microsoft.com/office/drawing/2014/chart" uri="{C3380CC4-5D6E-409C-BE32-E72D297353CC}">
              <c16:uniqueId val="{00000009-D82E-4E0E-AC2E-98BA63DA072F}"/>
            </c:ext>
          </c:extLst>
        </c:ser>
        <c:ser>
          <c:idx val="67"/>
          <c:order val="10"/>
          <c:tx>
            <c:strRef>
              <c:f>'A2.ジェンダーごと年齢'!$C$15</c:f>
              <c:strCache>
                <c:ptCount val="1"/>
                <c:pt idx="0">
                  <c:v>トランスジェンダー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'A2.ジェンダーごと年齢'!$E$15:$M$15</c:f>
              <c:numCache>
                <c:formatCode>0.0</c:formatCode>
                <c:ptCount val="9"/>
                <c:pt idx="0">
                  <c:v>6.666666666666667</c:v>
                </c:pt>
                <c:pt idx="1">
                  <c:v>21.666666666666668</c:v>
                </c:pt>
                <c:pt idx="2">
                  <c:v>25</c:v>
                </c:pt>
                <c:pt idx="3">
                  <c:v>15</c:v>
                </c:pt>
                <c:pt idx="4">
                  <c:v>6.666666666666667</c:v>
                </c:pt>
                <c:pt idx="5">
                  <c:v>8.3333333333333321</c:v>
                </c:pt>
                <c:pt idx="6">
                  <c:v>6.666666666666667</c:v>
                </c:pt>
                <c:pt idx="7">
                  <c:v>10</c:v>
                </c:pt>
                <c:pt idx="8">
                  <c:v>6.666666666666667</c:v>
                </c:pt>
              </c:numCache>
            </c:numRef>
          </c:val>
          <c:smooth val="0"/>
          <c:extLst>
            <c:ext xmlns:c16="http://schemas.microsoft.com/office/drawing/2014/chart" uri="{C3380CC4-5D6E-409C-BE32-E72D297353CC}">
              <c16:uniqueId val="{0000000A-D82E-4E0E-AC2E-98BA63DA072F}"/>
            </c:ext>
          </c:extLst>
        </c:ser>
        <c:ser>
          <c:idx val="68"/>
          <c:order val="11"/>
          <c:tx>
            <c:strRef>
              <c:f>'A2.ジェンダーごと年齢'!$C$16</c:f>
              <c:strCache>
                <c:ptCount val="1"/>
                <c:pt idx="0">
                  <c:v>中性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'A2.ジェンダーごと年齢'!$E$16:$M$16</c:f>
              <c:numCache>
                <c:formatCode>0.0</c:formatCode>
                <c:ptCount val="9"/>
                <c:pt idx="0">
                  <c:v>3.3333333333333335</c:v>
                </c:pt>
                <c:pt idx="1">
                  <c:v>21.666666666666668</c:v>
                </c:pt>
                <c:pt idx="2">
                  <c:v>25</c:v>
                </c:pt>
                <c:pt idx="3">
                  <c:v>15</c:v>
                </c:pt>
                <c:pt idx="4">
                  <c:v>8.3333333333333321</c:v>
                </c:pt>
                <c:pt idx="5">
                  <c:v>13.333333333333334</c:v>
                </c:pt>
                <c:pt idx="6">
                  <c:v>8.3333333333333321</c:v>
                </c:pt>
                <c:pt idx="7">
                  <c:v>5</c:v>
                </c:pt>
                <c:pt idx="8">
                  <c:v>5</c:v>
                </c:pt>
              </c:numCache>
            </c:numRef>
          </c:val>
          <c:smooth val="0"/>
          <c:extLst>
            <c:ext xmlns:c16="http://schemas.microsoft.com/office/drawing/2014/chart" uri="{C3380CC4-5D6E-409C-BE32-E72D297353CC}">
              <c16:uniqueId val="{0000000B-D82E-4E0E-AC2E-98BA63DA072F}"/>
            </c:ext>
          </c:extLst>
        </c:ser>
        <c:ser>
          <c:idx val="69"/>
          <c:order val="12"/>
          <c:tx>
            <c:strRef>
              <c:f>'A2.ジェンダーごと年齢'!$C$17</c:f>
              <c:strCache>
                <c:ptCount val="1"/>
                <c:pt idx="0">
                  <c:v>女性／woman</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'A2.ジェンダーごと年齢'!$E$17:$M$17</c:f>
              <c:numCache>
                <c:formatCode>0.0</c:formatCode>
                <c:ptCount val="9"/>
                <c:pt idx="0">
                  <c:v>14.035087719298245</c:v>
                </c:pt>
                <c:pt idx="1">
                  <c:v>21.052631578947366</c:v>
                </c:pt>
                <c:pt idx="2">
                  <c:v>14.035087719298245</c:v>
                </c:pt>
                <c:pt idx="3">
                  <c:v>21.052631578947366</c:v>
                </c:pt>
                <c:pt idx="4">
                  <c:v>8.7719298245614024</c:v>
                </c:pt>
                <c:pt idx="5">
                  <c:v>5.2631578947368416</c:v>
                </c:pt>
                <c:pt idx="6">
                  <c:v>8.7719298245614024</c:v>
                </c:pt>
                <c:pt idx="7">
                  <c:v>7.0175438596491224</c:v>
                </c:pt>
                <c:pt idx="8">
                  <c:v>3.5087719298245612</c:v>
                </c:pt>
              </c:numCache>
            </c:numRef>
          </c:val>
          <c:smooth val="0"/>
          <c:extLst>
            <c:ext xmlns:c16="http://schemas.microsoft.com/office/drawing/2014/chart" uri="{C3380CC4-5D6E-409C-BE32-E72D297353CC}">
              <c16:uniqueId val="{0000000C-D82E-4E0E-AC2E-98BA63DA072F}"/>
            </c:ext>
          </c:extLst>
        </c:ser>
        <c:ser>
          <c:idx val="70"/>
          <c:order val="13"/>
          <c:tx>
            <c:strRef>
              <c:f>'A2.ジェンダーごと年齢'!$C$18</c:f>
              <c:strCache>
                <c:ptCount val="1"/>
                <c:pt idx="0">
                  <c:v>ノンバイナリー女性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'A2.ジェンダーごと年齢'!$E$18:$M$18</c:f>
              <c:numCache>
                <c:formatCode>0.0</c:formatCode>
                <c:ptCount val="9"/>
                <c:pt idx="0">
                  <c:v>11.111111111111111</c:v>
                </c:pt>
                <c:pt idx="1">
                  <c:v>24.074074074074073</c:v>
                </c:pt>
                <c:pt idx="2">
                  <c:v>18.518518518518519</c:v>
                </c:pt>
                <c:pt idx="3">
                  <c:v>24.074074074074073</c:v>
                </c:pt>
                <c:pt idx="4">
                  <c:v>7.4074074074074066</c:v>
                </c:pt>
                <c:pt idx="5">
                  <c:v>5.5555555555555554</c:v>
                </c:pt>
                <c:pt idx="6">
                  <c:v>1.8518518518518516</c:v>
                </c:pt>
                <c:pt idx="7">
                  <c:v>7.4074074074074066</c:v>
                </c:pt>
                <c:pt idx="8">
                  <c:v>3.7037037037037033</c:v>
                </c:pt>
              </c:numCache>
            </c:numRef>
          </c:val>
          <c:smooth val="0"/>
          <c:extLst>
            <c:ext xmlns:c16="http://schemas.microsoft.com/office/drawing/2014/chart" uri="{C3380CC4-5D6E-409C-BE32-E72D297353CC}">
              <c16:uniqueId val="{0000000D-D82E-4E0E-AC2E-98BA63DA072F}"/>
            </c:ext>
          </c:extLst>
        </c:ser>
        <c:ser>
          <c:idx val="71"/>
          <c:order val="14"/>
          <c:tx>
            <c:strRef>
              <c:f>'A2.ジェンダーごと年齢'!$C$19</c:f>
              <c:strCache>
                <c:ptCount val="1"/>
                <c:pt idx="0">
                  <c:v>不定性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'A2.ジェンダーごと年齢'!$E$19:$M$19</c:f>
              <c:numCache>
                <c:formatCode>0.0</c:formatCode>
                <c:ptCount val="9"/>
                <c:pt idx="0">
                  <c:v>12.244897959183673</c:v>
                </c:pt>
                <c:pt idx="1">
                  <c:v>30.612244897959183</c:v>
                </c:pt>
                <c:pt idx="2">
                  <c:v>26.530612244897959</c:v>
                </c:pt>
                <c:pt idx="3">
                  <c:v>14.285714285714285</c:v>
                </c:pt>
                <c:pt idx="4">
                  <c:v>4.0816326530612246</c:v>
                </c:pt>
                <c:pt idx="5">
                  <c:v>4.0816326530612246</c:v>
                </c:pt>
                <c:pt idx="6">
                  <c:v>4.0816326530612246</c:v>
                </c:pt>
                <c:pt idx="7">
                  <c:v>4.0816326530612246</c:v>
                </c:pt>
                <c:pt idx="8">
                  <c:v>4.0816326530612246</c:v>
                </c:pt>
              </c:numCache>
            </c:numRef>
          </c:val>
          <c:smooth val="0"/>
          <c:extLst>
            <c:ext xmlns:c16="http://schemas.microsoft.com/office/drawing/2014/chart" uri="{C3380CC4-5D6E-409C-BE32-E72D297353CC}">
              <c16:uniqueId val="{0000000E-D82E-4E0E-AC2E-98BA63DA072F}"/>
            </c:ext>
          </c:extLst>
        </c:ser>
        <c:ser>
          <c:idx val="72"/>
          <c:order val="15"/>
          <c:tx>
            <c:strRef>
              <c:f>'A2.ジェンダーごと年齢'!$C$20</c:f>
              <c:strCache>
                <c:ptCount val="1"/>
                <c:pt idx="0">
                  <c:v>無し</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'A2.ジェンダーごと年齢'!$E$20:$M$20</c:f>
              <c:numCache>
                <c:formatCode>0.0</c:formatCode>
                <c:ptCount val="9"/>
                <c:pt idx="0">
                  <c:v>8.3333333333333321</c:v>
                </c:pt>
                <c:pt idx="1">
                  <c:v>35.416666666666671</c:v>
                </c:pt>
                <c:pt idx="2">
                  <c:v>25</c:v>
                </c:pt>
                <c:pt idx="3">
                  <c:v>16.666666666666664</c:v>
                </c:pt>
                <c:pt idx="4">
                  <c:v>14.583333333333334</c:v>
                </c:pt>
                <c:pt idx="5">
                  <c:v>0</c:v>
                </c:pt>
                <c:pt idx="6">
                  <c:v>0</c:v>
                </c:pt>
                <c:pt idx="7">
                  <c:v>0</c:v>
                </c:pt>
                <c:pt idx="8">
                  <c:v>0</c:v>
                </c:pt>
              </c:numCache>
            </c:numRef>
          </c:val>
          <c:smooth val="0"/>
          <c:extLst>
            <c:ext xmlns:c16="http://schemas.microsoft.com/office/drawing/2014/chart" uri="{C3380CC4-5D6E-409C-BE32-E72D297353CC}">
              <c16:uniqueId val="{0000000F-D82E-4E0E-AC2E-98BA63DA072F}"/>
            </c:ext>
          </c:extLst>
        </c:ser>
        <c:ser>
          <c:idx val="73"/>
          <c:order val="16"/>
          <c:tx>
            <c:strRef>
              <c:f>'A2.ジェンダーごと年齢'!$C$21</c:f>
              <c:strCache>
                <c:ptCount val="1"/>
                <c:pt idx="0">
                  <c:v>トランス</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'A2.ジェンダーごと年齢'!$E$21:$M$21</c:f>
              <c:numCache>
                <c:formatCode>0.0</c:formatCode>
                <c:ptCount val="9"/>
                <c:pt idx="0">
                  <c:v>8.695652173913043</c:v>
                </c:pt>
                <c:pt idx="1">
                  <c:v>26.086956521739129</c:v>
                </c:pt>
                <c:pt idx="2">
                  <c:v>21.739130434782609</c:v>
                </c:pt>
                <c:pt idx="3">
                  <c:v>17.391304347826086</c:v>
                </c:pt>
                <c:pt idx="4">
                  <c:v>6.5217391304347823</c:v>
                </c:pt>
                <c:pt idx="5">
                  <c:v>6.5217391304347823</c:v>
                </c:pt>
                <c:pt idx="6">
                  <c:v>2.1739130434782608</c:v>
                </c:pt>
                <c:pt idx="7">
                  <c:v>10.869565217391305</c:v>
                </c:pt>
                <c:pt idx="8">
                  <c:v>8.695652173913043</c:v>
                </c:pt>
              </c:numCache>
            </c:numRef>
          </c:val>
          <c:smooth val="0"/>
          <c:extLst>
            <c:ext xmlns:c16="http://schemas.microsoft.com/office/drawing/2014/chart" uri="{C3380CC4-5D6E-409C-BE32-E72D297353CC}">
              <c16:uniqueId val="{00000010-D82E-4E0E-AC2E-98BA63DA072F}"/>
            </c:ext>
          </c:extLst>
        </c:ser>
        <c:ser>
          <c:idx val="74"/>
          <c:order val="17"/>
          <c:tx>
            <c:strRef>
              <c:f>'A2.ジェンダーごと年齢'!$C$22</c:f>
              <c:strCache>
                <c:ptCount val="1"/>
                <c:pt idx="0">
                  <c:v>トランス*／trans*</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'A2.ジェンダーごと年齢'!$E$22:$M$22</c:f>
              <c:numCache>
                <c:formatCode>0.0</c:formatCode>
                <c:ptCount val="9"/>
                <c:pt idx="0">
                  <c:v>2.5641025641025639</c:v>
                </c:pt>
                <c:pt idx="1">
                  <c:v>28.205128205128204</c:v>
                </c:pt>
                <c:pt idx="2">
                  <c:v>10.256410256410255</c:v>
                </c:pt>
                <c:pt idx="3">
                  <c:v>20.512820512820511</c:v>
                </c:pt>
                <c:pt idx="4">
                  <c:v>12.820512820512819</c:v>
                </c:pt>
                <c:pt idx="5">
                  <c:v>7.6923076923076925</c:v>
                </c:pt>
                <c:pt idx="6">
                  <c:v>5.1282051282051277</c:v>
                </c:pt>
                <c:pt idx="7">
                  <c:v>12.820512820512819</c:v>
                </c:pt>
                <c:pt idx="8">
                  <c:v>7.6923076923076925</c:v>
                </c:pt>
              </c:numCache>
            </c:numRef>
          </c:val>
          <c:smooth val="0"/>
          <c:extLst>
            <c:ext xmlns:c16="http://schemas.microsoft.com/office/drawing/2014/chart" uri="{C3380CC4-5D6E-409C-BE32-E72D297353CC}">
              <c16:uniqueId val="{00000011-D82E-4E0E-AC2E-98BA63DA072F}"/>
            </c:ext>
          </c:extLst>
        </c:ser>
        <c:ser>
          <c:idx val="75"/>
          <c:order val="18"/>
          <c:tx>
            <c:strRef>
              <c:f>'A2.ジェンダーごと年齢'!$C$23</c:f>
              <c:strCache>
                <c:ptCount val="1"/>
                <c:pt idx="0">
                  <c:v>ジェンダー・ノンコンフォーミング／gender non-conforming</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'A2.ジェンダーごと年齢'!$E$23:$M$23</c:f>
              <c:numCache>
                <c:formatCode>0.0</c:formatCode>
                <c:ptCount val="9"/>
                <c:pt idx="0">
                  <c:v>13.888888888888889</c:v>
                </c:pt>
                <c:pt idx="1">
                  <c:v>25</c:v>
                </c:pt>
                <c:pt idx="2">
                  <c:v>16.666666666666664</c:v>
                </c:pt>
                <c:pt idx="3">
                  <c:v>30.555555555555557</c:v>
                </c:pt>
                <c:pt idx="4">
                  <c:v>5.5555555555555554</c:v>
                </c:pt>
                <c:pt idx="5">
                  <c:v>0</c:v>
                </c:pt>
                <c:pt idx="6">
                  <c:v>2.7777777777777777</c:v>
                </c:pt>
                <c:pt idx="7">
                  <c:v>5.5555555555555554</c:v>
                </c:pt>
                <c:pt idx="8">
                  <c:v>2.7777777777777777</c:v>
                </c:pt>
              </c:numCache>
            </c:numRef>
          </c:val>
          <c:smooth val="0"/>
          <c:extLst>
            <c:ext xmlns:c16="http://schemas.microsoft.com/office/drawing/2014/chart" uri="{C3380CC4-5D6E-409C-BE32-E72D297353CC}">
              <c16:uniqueId val="{00000012-D82E-4E0E-AC2E-98BA63DA072F}"/>
            </c:ext>
          </c:extLst>
        </c:ser>
        <c:ser>
          <c:idx val="76"/>
          <c:order val="19"/>
          <c:tx>
            <c:strRef>
              <c:f>'A2.ジェンダーごと年齢'!$C$24</c:f>
              <c:strCache>
                <c:ptCount val="1"/>
                <c:pt idx="0">
                  <c:v>ジェンダーレス</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'A2.ジェンダーごと年齢'!$E$24:$M$24</c:f>
              <c:numCache>
                <c:formatCode>0.0</c:formatCode>
                <c:ptCount val="9"/>
                <c:pt idx="0">
                  <c:v>5.8823529411764701</c:v>
                </c:pt>
                <c:pt idx="1">
                  <c:v>29.411764705882355</c:v>
                </c:pt>
                <c:pt idx="2">
                  <c:v>23.52941176470588</c:v>
                </c:pt>
                <c:pt idx="3">
                  <c:v>8.8235294117647065</c:v>
                </c:pt>
                <c:pt idx="4">
                  <c:v>2.9411764705882351</c:v>
                </c:pt>
                <c:pt idx="5">
                  <c:v>8.8235294117647065</c:v>
                </c:pt>
                <c:pt idx="6">
                  <c:v>11.76470588235294</c:v>
                </c:pt>
                <c:pt idx="7">
                  <c:v>8.8235294117647065</c:v>
                </c:pt>
                <c:pt idx="8">
                  <c:v>8.8235294117647065</c:v>
                </c:pt>
              </c:numCache>
            </c:numRef>
          </c:val>
          <c:smooth val="0"/>
          <c:extLst>
            <c:ext xmlns:c16="http://schemas.microsoft.com/office/drawing/2014/chart" uri="{C3380CC4-5D6E-409C-BE32-E72D297353CC}">
              <c16:uniqueId val="{00000013-D82E-4E0E-AC2E-98BA63DA072F}"/>
            </c:ext>
          </c:extLst>
        </c:ser>
        <c:ser>
          <c:idx val="77"/>
          <c:order val="20"/>
          <c:tx>
            <c:strRef>
              <c:f>'A2.ジェンダーごと年齢'!$C$25</c:f>
              <c:strCache>
                <c:ptCount val="1"/>
                <c:pt idx="0">
                  <c:v>両性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'A2.ジェンダーごと年齢'!$E$25:$M$25</c:f>
              <c:numCache>
                <c:formatCode>0.0</c:formatCode>
                <c:ptCount val="9"/>
                <c:pt idx="0">
                  <c:v>11.538461538461538</c:v>
                </c:pt>
                <c:pt idx="1">
                  <c:v>23.076923076923077</c:v>
                </c:pt>
                <c:pt idx="2">
                  <c:v>7.6923076923076925</c:v>
                </c:pt>
                <c:pt idx="3">
                  <c:v>19.230769230769234</c:v>
                </c:pt>
                <c:pt idx="4">
                  <c:v>15.384615384615385</c:v>
                </c:pt>
                <c:pt idx="5">
                  <c:v>11.538461538461538</c:v>
                </c:pt>
                <c:pt idx="6">
                  <c:v>0</c:v>
                </c:pt>
                <c:pt idx="7">
                  <c:v>11.538461538461538</c:v>
                </c:pt>
                <c:pt idx="8">
                  <c:v>7.6923076923076925</c:v>
                </c:pt>
              </c:numCache>
            </c:numRef>
          </c:val>
          <c:smooth val="0"/>
          <c:extLst>
            <c:ext xmlns:c16="http://schemas.microsoft.com/office/drawing/2014/chart" uri="{C3380CC4-5D6E-409C-BE32-E72D297353CC}">
              <c16:uniqueId val="{00000014-D82E-4E0E-AC2E-98BA63DA072F}"/>
            </c:ext>
          </c:extLst>
        </c:ser>
        <c:ser>
          <c:idx val="78"/>
          <c:order val="21"/>
          <c:tx>
            <c:strRef>
              <c:f>'A2.ジェンダーごと年齢'!$C$26</c:f>
              <c:strCache>
                <c:ptCount val="1"/>
                <c:pt idx="0">
                  <c:v>ニュートラル</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'A2.ジェンダーごと年齢'!$E$26:$M$26</c:f>
              <c:numCache>
                <c:formatCode>0.0</c:formatCode>
                <c:ptCount val="9"/>
                <c:pt idx="0">
                  <c:v>4</c:v>
                </c:pt>
                <c:pt idx="1">
                  <c:v>16</c:v>
                </c:pt>
                <c:pt idx="2">
                  <c:v>20</c:v>
                </c:pt>
                <c:pt idx="3">
                  <c:v>32</c:v>
                </c:pt>
                <c:pt idx="4">
                  <c:v>4</c:v>
                </c:pt>
                <c:pt idx="5">
                  <c:v>12</c:v>
                </c:pt>
                <c:pt idx="6">
                  <c:v>4</c:v>
                </c:pt>
                <c:pt idx="7">
                  <c:v>8</c:v>
                </c:pt>
                <c:pt idx="8">
                  <c:v>8</c:v>
                </c:pt>
              </c:numCache>
            </c:numRef>
          </c:val>
          <c:smooth val="0"/>
          <c:extLst>
            <c:ext xmlns:c16="http://schemas.microsoft.com/office/drawing/2014/chart" uri="{C3380CC4-5D6E-409C-BE32-E72D297353CC}">
              <c16:uniqueId val="{00000015-D82E-4E0E-AC2E-98BA63DA072F}"/>
            </c:ext>
          </c:extLst>
        </c:ser>
        <c:ser>
          <c:idx val="79"/>
          <c:order val="22"/>
          <c:tx>
            <c:strRef>
              <c:f>'A2.ジェンダーごと年齢'!$C$27</c:f>
              <c:strCache>
                <c:ptCount val="1"/>
                <c:pt idx="0">
                  <c:v>ノンバイナリー男性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'A2.ジェンダーごと年齢'!$E$27:$M$27</c:f>
              <c:numCache>
                <c:formatCode>0.0</c:formatCode>
                <c:ptCount val="9"/>
                <c:pt idx="0">
                  <c:v>12</c:v>
                </c:pt>
                <c:pt idx="1">
                  <c:v>32</c:v>
                </c:pt>
                <c:pt idx="2">
                  <c:v>12</c:v>
                </c:pt>
                <c:pt idx="3">
                  <c:v>16</c:v>
                </c:pt>
                <c:pt idx="4">
                  <c:v>8</c:v>
                </c:pt>
                <c:pt idx="5">
                  <c:v>8</c:v>
                </c:pt>
                <c:pt idx="6">
                  <c:v>4</c:v>
                </c:pt>
                <c:pt idx="7">
                  <c:v>8</c:v>
                </c:pt>
                <c:pt idx="8">
                  <c:v>4</c:v>
                </c:pt>
              </c:numCache>
            </c:numRef>
          </c:val>
          <c:smooth val="0"/>
          <c:extLst>
            <c:ext xmlns:c16="http://schemas.microsoft.com/office/drawing/2014/chart" uri="{C3380CC4-5D6E-409C-BE32-E72D297353CC}">
              <c16:uniqueId val="{00000016-D82E-4E0E-AC2E-98BA63DA072F}"/>
            </c:ext>
          </c:extLst>
        </c:ser>
        <c:ser>
          <c:idx val="80"/>
          <c:order val="23"/>
          <c:tx>
            <c:strRef>
              <c:f>'A2.ジェンダーごと年齢'!$C$28</c:f>
              <c:strCache>
                <c:ptCount val="1"/>
                <c:pt idx="0">
                  <c:v>男性／man</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'A2.ジェンダーごと年齢'!$E$28:$M$28</c:f>
              <c:numCache>
                <c:formatCode>0.0</c:formatCode>
                <c:ptCount val="9"/>
                <c:pt idx="0">
                  <c:v>4</c:v>
                </c:pt>
                <c:pt idx="1">
                  <c:v>24</c:v>
                </c:pt>
                <c:pt idx="2">
                  <c:v>28.000000000000004</c:v>
                </c:pt>
                <c:pt idx="3">
                  <c:v>12</c:v>
                </c:pt>
                <c:pt idx="4">
                  <c:v>16</c:v>
                </c:pt>
                <c:pt idx="5">
                  <c:v>8</c:v>
                </c:pt>
                <c:pt idx="6">
                  <c:v>4</c:v>
                </c:pt>
                <c:pt idx="7">
                  <c:v>4</c:v>
                </c:pt>
                <c:pt idx="8">
                  <c:v>0</c:v>
                </c:pt>
              </c:numCache>
            </c:numRef>
          </c:val>
          <c:smooth val="0"/>
          <c:extLst>
            <c:ext xmlns:c16="http://schemas.microsoft.com/office/drawing/2014/chart" uri="{C3380CC4-5D6E-409C-BE32-E72D297353CC}">
              <c16:uniqueId val="{00000017-D82E-4E0E-AC2E-98BA63DA072F}"/>
            </c:ext>
          </c:extLst>
        </c:ser>
        <c:ser>
          <c:idx val="81"/>
          <c:order val="24"/>
          <c:tx>
            <c:strRef>
              <c:f>'A2.ジェンダーごと年齢'!$C$29</c:f>
              <c:strCache>
                <c:ptCount val="1"/>
                <c:pt idx="0">
                  <c:v>レズビアン（ジェンダーについて）</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'A2.ジェンダーごと年齢'!$E$29:$M$29</c:f>
              <c:numCache>
                <c:formatCode>0.0</c:formatCode>
                <c:ptCount val="9"/>
                <c:pt idx="0">
                  <c:v>4.5454545454545459</c:v>
                </c:pt>
                <c:pt idx="1">
                  <c:v>27.27272727272727</c:v>
                </c:pt>
                <c:pt idx="2">
                  <c:v>9.0909090909090917</c:v>
                </c:pt>
                <c:pt idx="3">
                  <c:v>22.727272727272727</c:v>
                </c:pt>
                <c:pt idx="4">
                  <c:v>9.0909090909090917</c:v>
                </c:pt>
                <c:pt idx="5">
                  <c:v>9.0909090909090917</c:v>
                </c:pt>
                <c:pt idx="6">
                  <c:v>9.0909090909090917</c:v>
                </c:pt>
                <c:pt idx="7">
                  <c:v>9.0909090909090917</c:v>
                </c:pt>
                <c:pt idx="8">
                  <c:v>4.5454545454545459</c:v>
                </c:pt>
              </c:numCache>
            </c:numRef>
          </c:val>
          <c:smooth val="0"/>
          <c:extLst>
            <c:ext xmlns:c16="http://schemas.microsoft.com/office/drawing/2014/chart" uri="{C3380CC4-5D6E-409C-BE32-E72D297353CC}">
              <c16:uniqueId val="{00000018-D82E-4E0E-AC2E-98BA63DA072F}"/>
            </c:ext>
          </c:extLst>
        </c:ser>
        <c:ser>
          <c:idx val="82"/>
          <c:order val="25"/>
          <c:tx>
            <c:strRef>
              <c:f>'A2.ジェンダーごと年齢'!$C$30</c:f>
              <c:strCache>
                <c:ptCount val="1"/>
                <c:pt idx="0">
                  <c:v>enby／エンビー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'A2.ジェンダーごと年齢'!$E$30:$M$30</c:f>
              <c:numCache>
                <c:formatCode>0.0</c:formatCode>
                <c:ptCount val="9"/>
                <c:pt idx="0">
                  <c:v>27.27272727272727</c:v>
                </c:pt>
                <c:pt idx="1">
                  <c:v>22.727272727272727</c:v>
                </c:pt>
                <c:pt idx="2">
                  <c:v>13.636363636363635</c:v>
                </c:pt>
                <c:pt idx="3">
                  <c:v>13.636363636363635</c:v>
                </c:pt>
                <c:pt idx="4">
                  <c:v>9.0909090909090917</c:v>
                </c:pt>
                <c:pt idx="5">
                  <c:v>9.0909090909090917</c:v>
                </c:pt>
                <c:pt idx="6">
                  <c:v>0</c:v>
                </c:pt>
                <c:pt idx="7">
                  <c:v>4.5454545454545459</c:v>
                </c:pt>
                <c:pt idx="8">
                  <c:v>0</c:v>
                </c:pt>
              </c:numCache>
            </c:numRef>
          </c:val>
          <c:smooth val="0"/>
          <c:extLst>
            <c:ext xmlns:c16="http://schemas.microsoft.com/office/drawing/2014/chart" uri="{C3380CC4-5D6E-409C-BE32-E72D297353CC}">
              <c16:uniqueId val="{00000019-D82E-4E0E-AC2E-98BA63DA072F}"/>
            </c:ext>
          </c:extLst>
        </c:ser>
        <c:ser>
          <c:idx val="83"/>
          <c:order val="26"/>
          <c:tx>
            <c:strRef>
              <c:f>'A2.ジェンダーごと年齢'!$C$31</c:f>
              <c:strCache>
                <c:ptCount val="1"/>
                <c:pt idx="0">
                  <c:v>シスジェンダー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'A2.ジェンダーごと年齢'!$E$31:$M$31</c:f>
              <c:numCache>
                <c:formatCode>0.0</c:formatCode>
                <c:ptCount val="9"/>
                <c:pt idx="0">
                  <c:v>0</c:v>
                </c:pt>
                <c:pt idx="1">
                  <c:v>25</c:v>
                </c:pt>
                <c:pt idx="2">
                  <c:v>25</c:v>
                </c:pt>
                <c:pt idx="3">
                  <c:v>25</c:v>
                </c:pt>
                <c:pt idx="4">
                  <c:v>5</c:v>
                </c:pt>
                <c:pt idx="5">
                  <c:v>5</c:v>
                </c:pt>
                <c:pt idx="6">
                  <c:v>5</c:v>
                </c:pt>
                <c:pt idx="7">
                  <c:v>10</c:v>
                </c:pt>
                <c:pt idx="8">
                  <c:v>5</c:v>
                </c:pt>
              </c:numCache>
            </c:numRef>
          </c:val>
          <c:smooth val="0"/>
          <c:extLst>
            <c:ext xmlns:c16="http://schemas.microsoft.com/office/drawing/2014/chart" uri="{C3380CC4-5D6E-409C-BE32-E72D297353CC}">
              <c16:uniqueId val="{0000001A-D82E-4E0E-AC2E-98BA63DA072F}"/>
            </c:ext>
          </c:extLst>
        </c:ser>
        <c:ser>
          <c:idx val="84"/>
          <c:order val="27"/>
          <c:tx>
            <c:strRef>
              <c:f>'A2.ジェンダーごと年齢'!$C$32</c:f>
              <c:strCache>
                <c:ptCount val="1"/>
                <c:pt idx="0">
                  <c:v>デミガール</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'A2.ジェンダーごと年齢'!$E$32:$M$32</c:f>
              <c:numCache>
                <c:formatCode>0.0</c:formatCode>
                <c:ptCount val="9"/>
                <c:pt idx="0">
                  <c:v>21.052631578947366</c:v>
                </c:pt>
                <c:pt idx="1">
                  <c:v>36.84210526315789</c:v>
                </c:pt>
                <c:pt idx="2">
                  <c:v>10.526315789473683</c:v>
                </c:pt>
                <c:pt idx="3">
                  <c:v>21.052631578947366</c:v>
                </c:pt>
                <c:pt idx="4">
                  <c:v>0</c:v>
                </c:pt>
                <c:pt idx="5">
                  <c:v>5.2631578947368416</c:v>
                </c:pt>
                <c:pt idx="6">
                  <c:v>5.2631578947368416</c:v>
                </c:pt>
                <c:pt idx="7">
                  <c:v>0</c:v>
                </c:pt>
                <c:pt idx="8">
                  <c:v>0</c:v>
                </c:pt>
              </c:numCache>
            </c:numRef>
          </c:val>
          <c:smooth val="0"/>
          <c:extLst>
            <c:ext xmlns:c16="http://schemas.microsoft.com/office/drawing/2014/chart" uri="{C3380CC4-5D6E-409C-BE32-E72D297353CC}">
              <c16:uniqueId val="{0000001B-D82E-4E0E-AC2E-98BA63DA072F}"/>
            </c:ext>
          </c:extLst>
        </c:ser>
        <c:ser>
          <c:idx val="85"/>
          <c:order val="28"/>
          <c:tx>
            <c:strRef>
              <c:f>'A2.ジェンダーごと年齢'!$C$33</c:f>
              <c:strCache>
                <c:ptCount val="1"/>
                <c:pt idx="0">
                  <c:v>トランス男性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'A2.ジェンダーごと年齢'!$E$33:$M$33</c:f>
              <c:numCache>
                <c:formatCode>0.0</c:formatCode>
                <c:ptCount val="9"/>
                <c:pt idx="0">
                  <c:v>0</c:v>
                </c:pt>
                <c:pt idx="1">
                  <c:v>27.777777777777779</c:v>
                </c:pt>
                <c:pt idx="2">
                  <c:v>27.777777777777779</c:v>
                </c:pt>
                <c:pt idx="3">
                  <c:v>16.666666666666664</c:v>
                </c:pt>
                <c:pt idx="4">
                  <c:v>0</c:v>
                </c:pt>
                <c:pt idx="5">
                  <c:v>11.111111111111111</c:v>
                </c:pt>
                <c:pt idx="6">
                  <c:v>11.111111111111111</c:v>
                </c:pt>
                <c:pt idx="7">
                  <c:v>5.5555555555555554</c:v>
                </c:pt>
                <c:pt idx="8">
                  <c:v>5.5555555555555554</c:v>
                </c:pt>
              </c:numCache>
            </c:numRef>
          </c:val>
          <c:smooth val="0"/>
          <c:extLst>
            <c:ext xmlns:c16="http://schemas.microsoft.com/office/drawing/2014/chart" uri="{C3380CC4-5D6E-409C-BE32-E72D297353CC}">
              <c16:uniqueId val="{0000001C-D82E-4E0E-AC2E-98BA63DA072F}"/>
            </c:ext>
          </c:extLst>
        </c:ser>
        <c:ser>
          <c:idx val="86"/>
          <c:order val="29"/>
          <c:tx>
            <c:strRef>
              <c:f>'A2.ジェンダーごと年齢'!$C$34</c:f>
              <c:strCache>
                <c:ptCount val="1"/>
                <c:pt idx="0">
                  <c:v>トランスマスキュリン</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'A2.ジェンダーごと年齢'!$E$34:$M$34</c:f>
              <c:numCache>
                <c:formatCode>0.0</c:formatCode>
                <c:ptCount val="9"/>
                <c:pt idx="0">
                  <c:v>5.5555555555555554</c:v>
                </c:pt>
                <c:pt idx="1">
                  <c:v>50</c:v>
                </c:pt>
                <c:pt idx="2">
                  <c:v>16.666666666666664</c:v>
                </c:pt>
                <c:pt idx="3">
                  <c:v>11.111111111111111</c:v>
                </c:pt>
                <c:pt idx="4">
                  <c:v>5.5555555555555554</c:v>
                </c:pt>
                <c:pt idx="5">
                  <c:v>5.5555555555555554</c:v>
                </c:pt>
                <c:pt idx="6">
                  <c:v>5.5555555555555554</c:v>
                </c:pt>
                <c:pt idx="7">
                  <c:v>0</c:v>
                </c:pt>
                <c:pt idx="8">
                  <c:v>0</c:v>
                </c:pt>
              </c:numCache>
            </c:numRef>
          </c:val>
          <c:smooth val="0"/>
          <c:extLst>
            <c:ext xmlns:c16="http://schemas.microsoft.com/office/drawing/2014/chart" uri="{C3380CC4-5D6E-409C-BE32-E72D297353CC}">
              <c16:uniqueId val="{0000001D-D82E-4E0E-AC2E-98BA63DA072F}"/>
            </c:ext>
          </c:extLst>
        </c:ser>
        <c:ser>
          <c:idx val="87"/>
          <c:order val="30"/>
          <c:tx>
            <c:strRef>
              <c:f>'A2.ジェンダーごと年齢'!$C$35</c:f>
              <c:strCache>
                <c:ptCount val="1"/>
                <c:pt idx="0">
                  <c:v>デミジェンダー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'A2.ジェンダーごと年齢'!$E$35:$M$35</c:f>
              <c:numCache>
                <c:formatCode>0.0</c:formatCode>
                <c:ptCount val="9"/>
                <c:pt idx="0">
                  <c:v>6.25</c:v>
                </c:pt>
                <c:pt idx="1">
                  <c:v>43.75</c:v>
                </c:pt>
                <c:pt idx="2">
                  <c:v>0</c:v>
                </c:pt>
                <c:pt idx="3">
                  <c:v>31.25</c:v>
                </c:pt>
                <c:pt idx="4">
                  <c:v>0</c:v>
                </c:pt>
                <c:pt idx="5">
                  <c:v>0</c:v>
                </c:pt>
                <c:pt idx="6">
                  <c:v>12.5</c:v>
                </c:pt>
                <c:pt idx="7">
                  <c:v>6.25</c:v>
                </c:pt>
                <c:pt idx="8">
                  <c:v>6.25</c:v>
                </c:pt>
              </c:numCache>
            </c:numRef>
          </c:val>
          <c:smooth val="0"/>
          <c:extLst>
            <c:ext xmlns:c16="http://schemas.microsoft.com/office/drawing/2014/chart" uri="{C3380CC4-5D6E-409C-BE32-E72D297353CC}">
              <c16:uniqueId val="{0000001E-D82E-4E0E-AC2E-98BA63DA072F}"/>
            </c:ext>
          </c:extLst>
        </c:ser>
        <c:ser>
          <c:idx val="88"/>
          <c:order val="31"/>
          <c:tx>
            <c:strRef>
              <c:f>'A2.ジェンダーごと年齢'!$C$36</c:f>
              <c:strCache>
                <c:ptCount val="1"/>
                <c:pt idx="0">
                  <c:v>バイジェンダー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'A2.ジェンダーごと年齢'!$E$36:$M$36</c:f>
              <c:numCache>
                <c:formatCode>0.0</c:formatCode>
                <c:ptCount val="9"/>
                <c:pt idx="0">
                  <c:v>12.5</c:v>
                </c:pt>
                <c:pt idx="1">
                  <c:v>25</c:v>
                </c:pt>
                <c:pt idx="2">
                  <c:v>6.25</c:v>
                </c:pt>
                <c:pt idx="3">
                  <c:v>31.25</c:v>
                </c:pt>
                <c:pt idx="4">
                  <c:v>18.75</c:v>
                </c:pt>
                <c:pt idx="5">
                  <c:v>0</c:v>
                </c:pt>
                <c:pt idx="6">
                  <c:v>0</c:v>
                </c:pt>
                <c:pt idx="7">
                  <c:v>6.25</c:v>
                </c:pt>
                <c:pt idx="8">
                  <c:v>0</c:v>
                </c:pt>
              </c:numCache>
            </c:numRef>
          </c:val>
          <c:smooth val="0"/>
          <c:extLst>
            <c:ext xmlns:c16="http://schemas.microsoft.com/office/drawing/2014/chart" uri="{C3380CC4-5D6E-409C-BE32-E72D297353CC}">
              <c16:uniqueId val="{0000001F-D82E-4E0E-AC2E-98BA63DA072F}"/>
            </c:ext>
          </c:extLst>
        </c:ser>
        <c:ser>
          <c:idx val="89"/>
          <c:order val="32"/>
          <c:tx>
            <c:strRef>
              <c:f>'A2.ジェンダーごと年齢'!$C$37</c:f>
              <c:strCache>
                <c:ptCount val="1"/>
                <c:pt idx="0">
                  <c:v>ゲイ（ジェンダーについて）</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'A2.ジェンダーごと年齢'!$E$37:$M$37</c:f>
              <c:numCache>
                <c:formatCode>0.0</c:formatCode>
                <c:ptCount val="9"/>
                <c:pt idx="0">
                  <c:v>6.25</c:v>
                </c:pt>
                <c:pt idx="1">
                  <c:v>25</c:v>
                </c:pt>
                <c:pt idx="2">
                  <c:v>25</c:v>
                </c:pt>
                <c:pt idx="3">
                  <c:v>18.75</c:v>
                </c:pt>
                <c:pt idx="4">
                  <c:v>0</c:v>
                </c:pt>
                <c:pt idx="5">
                  <c:v>18.75</c:v>
                </c:pt>
                <c:pt idx="6">
                  <c:v>6.25</c:v>
                </c:pt>
                <c:pt idx="7">
                  <c:v>0</c:v>
                </c:pt>
                <c:pt idx="8">
                  <c:v>0</c:v>
                </c:pt>
              </c:numCache>
            </c:numRef>
          </c:val>
          <c:smooth val="0"/>
          <c:extLst>
            <c:ext xmlns:c16="http://schemas.microsoft.com/office/drawing/2014/chart" uri="{C3380CC4-5D6E-409C-BE32-E72D297353CC}">
              <c16:uniqueId val="{00000020-D82E-4E0E-AC2E-98BA63DA072F}"/>
            </c:ext>
          </c:extLst>
        </c:ser>
        <c:ser>
          <c:idx val="90"/>
          <c:order val="33"/>
          <c:tx>
            <c:strRef>
              <c:f>'A2.ジェンダーごと年齢'!$C$38</c:f>
              <c:strCache>
                <c:ptCount val="1"/>
                <c:pt idx="0">
                  <c:v>トランス女性</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'A2.ジェンダーごと年齢'!$E$38:$M$38</c:f>
              <c:numCache>
                <c:formatCode>0.0</c:formatCode>
                <c:ptCount val="9"/>
                <c:pt idx="0">
                  <c:v>0</c:v>
                </c:pt>
                <c:pt idx="1">
                  <c:v>20</c:v>
                </c:pt>
                <c:pt idx="2">
                  <c:v>6.666666666666667</c:v>
                </c:pt>
                <c:pt idx="3">
                  <c:v>6.666666666666667</c:v>
                </c:pt>
                <c:pt idx="4">
                  <c:v>6.666666666666667</c:v>
                </c:pt>
                <c:pt idx="5">
                  <c:v>6.666666666666667</c:v>
                </c:pt>
                <c:pt idx="6">
                  <c:v>20</c:v>
                </c:pt>
                <c:pt idx="7">
                  <c:v>33.333333333333329</c:v>
                </c:pt>
                <c:pt idx="8">
                  <c:v>26.666666666666668</c:v>
                </c:pt>
              </c:numCache>
            </c:numRef>
          </c:val>
          <c:smooth val="0"/>
          <c:extLst>
            <c:ext xmlns:c16="http://schemas.microsoft.com/office/drawing/2014/chart" uri="{C3380CC4-5D6E-409C-BE32-E72D297353CC}">
              <c16:uniqueId val="{00000021-D82E-4E0E-AC2E-98BA63DA072F}"/>
            </c:ext>
          </c:extLst>
        </c:ser>
        <c:ser>
          <c:idx val="91"/>
          <c:order val="34"/>
          <c:tx>
            <c:strRef>
              <c:f>'A2.ジェンダーごと年齢'!$C$39</c:f>
              <c:strCache>
                <c:ptCount val="1"/>
                <c:pt idx="0">
                  <c:v>トランスセクシュアル／transsexual</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'A2.ジェンダーごと年齢'!$E$39:$M$39</c:f>
              <c:numCache>
                <c:formatCode>0.0</c:formatCode>
                <c:ptCount val="9"/>
                <c:pt idx="0">
                  <c:v>0</c:v>
                </c:pt>
                <c:pt idx="1">
                  <c:v>26.666666666666668</c:v>
                </c:pt>
                <c:pt idx="2">
                  <c:v>6.666666666666667</c:v>
                </c:pt>
                <c:pt idx="3">
                  <c:v>33.333333333333329</c:v>
                </c:pt>
                <c:pt idx="4">
                  <c:v>6.666666666666667</c:v>
                </c:pt>
                <c:pt idx="5">
                  <c:v>0</c:v>
                </c:pt>
                <c:pt idx="6">
                  <c:v>13.333333333333334</c:v>
                </c:pt>
                <c:pt idx="7">
                  <c:v>13.333333333333334</c:v>
                </c:pt>
                <c:pt idx="8">
                  <c:v>6.666666666666667</c:v>
                </c:pt>
              </c:numCache>
            </c:numRef>
          </c:val>
          <c:smooth val="0"/>
          <c:extLst>
            <c:ext xmlns:c16="http://schemas.microsoft.com/office/drawing/2014/chart" uri="{C3380CC4-5D6E-409C-BE32-E72D297353CC}">
              <c16:uniqueId val="{00000022-D82E-4E0E-AC2E-98BA63DA072F}"/>
            </c:ext>
          </c:extLst>
        </c:ser>
        <c:ser>
          <c:idx val="92"/>
          <c:order val="35"/>
          <c:tx>
            <c:strRef>
              <c:f>'A2.ジェンダーごと年齢'!$C$40</c:f>
              <c:strCache>
                <c:ptCount val="1"/>
                <c:pt idx="0">
                  <c:v>ジェンダーフラックス／フラックスジェンダー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'A2.ジェンダーごと年齢'!$E$40:$M$40</c:f>
              <c:numCache>
                <c:formatCode>0.0</c:formatCode>
                <c:ptCount val="9"/>
                <c:pt idx="0">
                  <c:v>13.333333333333334</c:v>
                </c:pt>
                <c:pt idx="1">
                  <c:v>46.666666666666664</c:v>
                </c:pt>
                <c:pt idx="2">
                  <c:v>0</c:v>
                </c:pt>
                <c:pt idx="3">
                  <c:v>40</c:v>
                </c:pt>
                <c:pt idx="4">
                  <c:v>0</c:v>
                </c:pt>
                <c:pt idx="5">
                  <c:v>0</c:v>
                </c:pt>
                <c:pt idx="6">
                  <c:v>0</c:v>
                </c:pt>
                <c:pt idx="7">
                  <c:v>0</c:v>
                </c:pt>
                <c:pt idx="8">
                  <c:v>0</c:v>
                </c:pt>
              </c:numCache>
            </c:numRef>
          </c:val>
          <c:smooth val="0"/>
          <c:extLst>
            <c:ext xmlns:c16="http://schemas.microsoft.com/office/drawing/2014/chart" uri="{C3380CC4-5D6E-409C-BE32-E72D297353CC}">
              <c16:uniqueId val="{00000023-D82E-4E0E-AC2E-98BA63DA072F}"/>
            </c:ext>
          </c:extLst>
        </c:ser>
        <c:ser>
          <c:idx val="93"/>
          <c:order val="36"/>
          <c:tx>
            <c:strRef>
              <c:f>'A2.ジェンダーごと年齢'!$C$41</c:f>
              <c:strCache>
                <c:ptCount val="1"/>
                <c:pt idx="0">
                  <c:v>デミボーイ</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'A2.ジェンダーごと年齢'!$E$41:$M$41</c:f>
              <c:numCache>
                <c:formatCode>0.0</c:formatCode>
                <c:ptCount val="9"/>
                <c:pt idx="0">
                  <c:v>7.6923076923076925</c:v>
                </c:pt>
                <c:pt idx="1">
                  <c:v>53.846153846153847</c:v>
                </c:pt>
                <c:pt idx="2">
                  <c:v>0</c:v>
                </c:pt>
                <c:pt idx="3">
                  <c:v>23.076923076923077</c:v>
                </c:pt>
                <c:pt idx="4">
                  <c:v>0</c:v>
                </c:pt>
                <c:pt idx="5">
                  <c:v>0</c:v>
                </c:pt>
                <c:pt idx="6">
                  <c:v>7.6923076923076925</c:v>
                </c:pt>
                <c:pt idx="7">
                  <c:v>7.6923076923076925</c:v>
                </c:pt>
                <c:pt idx="8">
                  <c:v>7.6923076923076925</c:v>
                </c:pt>
              </c:numCache>
            </c:numRef>
          </c:val>
          <c:smooth val="0"/>
          <c:extLst>
            <c:ext xmlns:c16="http://schemas.microsoft.com/office/drawing/2014/chart" uri="{C3380CC4-5D6E-409C-BE32-E72D297353CC}">
              <c16:uniqueId val="{00000024-D82E-4E0E-AC2E-98BA63DA072F}"/>
            </c:ext>
          </c:extLst>
        </c:ser>
        <c:ser>
          <c:idx val="94"/>
          <c:order val="37"/>
          <c:tx>
            <c:strRef>
              <c:f>'A2.ジェンダーごと年齢'!$C$42</c:f>
              <c:strCache>
                <c:ptCount val="1"/>
                <c:pt idx="0">
                  <c:v>デミAジェンダー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'A2.ジェンダーごと年齢'!$E$42:$M$42</c:f>
              <c:numCache>
                <c:formatCode>0.0</c:formatCode>
                <c:ptCount val="9"/>
                <c:pt idx="0">
                  <c:v>7.6923076923076925</c:v>
                </c:pt>
                <c:pt idx="1">
                  <c:v>46.153846153846153</c:v>
                </c:pt>
                <c:pt idx="2">
                  <c:v>7.6923076923076925</c:v>
                </c:pt>
                <c:pt idx="3">
                  <c:v>23.076923076923077</c:v>
                </c:pt>
                <c:pt idx="4">
                  <c:v>0</c:v>
                </c:pt>
                <c:pt idx="5">
                  <c:v>0</c:v>
                </c:pt>
                <c:pt idx="6">
                  <c:v>7.6923076923076925</c:v>
                </c:pt>
                <c:pt idx="7">
                  <c:v>7.6923076923076925</c:v>
                </c:pt>
                <c:pt idx="8">
                  <c:v>0</c:v>
                </c:pt>
              </c:numCache>
            </c:numRef>
          </c:val>
          <c:smooth val="0"/>
          <c:extLst>
            <c:ext xmlns:c16="http://schemas.microsoft.com/office/drawing/2014/chart" uri="{C3380CC4-5D6E-409C-BE32-E72D297353CC}">
              <c16:uniqueId val="{00000025-D82E-4E0E-AC2E-98BA63DA072F}"/>
            </c:ext>
          </c:extLst>
        </c:ser>
        <c:ser>
          <c:idx val="95"/>
          <c:order val="38"/>
          <c:tx>
            <c:strRef>
              <c:f>'A2.ジェンダーごと年齢'!$C$43</c:f>
              <c:strCache>
                <c:ptCount val="1"/>
                <c:pt idx="0">
                  <c:v>トランスフェミニン</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'A2.ジェンダーごと年齢'!$E$43:$M$43</c:f>
              <c:numCache>
                <c:formatCode>0.0</c:formatCode>
                <c:ptCount val="9"/>
                <c:pt idx="0">
                  <c:v>8.3333333333333321</c:v>
                </c:pt>
                <c:pt idx="1">
                  <c:v>33.333333333333329</c:v>
                </c:pt>
                <c:pt idx="2">
                  <c:v>0</c:v>
                </c:pt>
                <c:pt idx="3">
                  <c:v>16.666666666666664</c:v>
                </c:pt>
                <c:pt idx="4">
                  <c:v>0</c:v>
                </c:pt>
                <c:pt idx="5">
                  <c:v>0</c:v>
                </c:pt>
                <c:pt idx="6">
                  <c:v>16.666666666666664</c:v>
                </c:pt>
                <c:pt idx="7">
                  <c:v>25</c:v>
                </c:pt>
                <c:pt idx="8">
                  <c:v>16.666666666666664</c:v>
                </c:pt>
              </c:numCache>
            </c:numRef>
          </c:val>
          <c:smooth val="0"/>
          <c:extLst>
            <c:ext xmlns:c16="http://schemas.microsoft.com/office/drawing/2014/chart" uri="{C3380CC4-5D6E-409C-BE32-E72D297353CC}">
              <c16:uniqueId val="{00000026-D82E-4E0E-AC2E-98BA63DA072F}"/>
            </c:ext>
          </c:extLst>
        </c:ser>
        <c:ser>
          <c:idx val="96"/>
          <c:order val="39"/>
          <c:tx>
            <c:strRef>
              <c:f>'A3.ジェンダーとラベル選択数'!$C$44</c:f>
              <c:strCache>
                <c:ptCount val="1"/>
                <c:pt idx="0">
                  <c:v>青年</c:v>
                </c:pt>
              </c:strCache>
            </c:strRef>
          </c:tx>
          <c:marker>
            <c:symbol val="none"/>
          </c:marker>
          <c:cat>
            <c:strRef>
              <c:f>'A3.ジェンダーとラベル選択数'!$E$3:$M$3</c:f>
              <c:strCache>
                <c:ptCount val="9"/>
                <c:pt idx="0">
                  <c:v>16-20</c:v>
                </c:pt>
                <c:pt idx="1">
                  <c:v>21-25</c:v>
                </c:pt>
                <c:pt idx="2">
                  <c:v>26-30</c:v>
                </c:pt>
                <c:pt idx="3">
                  <c:v>31-35</c:v>
                </c:pt>
                <c:pt idx="4">
                  <c:v>36-40</c:v>
                </c:pt>
                <c:pt idx="5">
                  <c:v>41-45</c:v>
                </c:pt>
                <c:pt idx="6">
                  <c:v>46-50</c:v>
                </c:pt>
                <c:pt idx="7">
                  <c:v>51-55</c:v>
                </c:pt>
                <c:pt idx="8">
                  <c:v>56+</c:v>
                </c:pt>
              </c:strCache>
            </c:strRef>
          </c:cat>
          <c:val>
            <c:numRef>
              <c:f>'A3.ジェンダーとラベル選択数'!$E$44:$M$44</c:f>
              <c:numCache>
                <c:formatCode>0.0</c:formatCode>
                <c:ptCount val="9"/>
                <c:pt idx="0">
                  <c:v>3.8775510204081631</c:v>
                </c:pt>
                <c:pt idx="1">
                  <c:v>17.25</c:v>
                </c:pt>
                <c:pt idx="2">
                  <c:v>7</c:v>
                </c:pt>
                <c:pt idx="3">
                  <c:v>2.5</c:v>
                </c:pt>
                <c:pt idx="4">
                  <c:v>0</c:v>
                </c:pt>
                <c:pt idx="5">
                  <c:v>0</c:v>
                </c:pt>
                <c:pt idx="6">
                  <c:v>0</c:v>
                </c:pt>
                <c:pt idx="7">
                  <c:v>0</c:v>
                </c:pt>
                <c:pt idx="8">
                  <c:v>0</c:v>
                </c:pt>
              </c:numCache>
            </c:numRef>
          </c:val>
          <c:smooth val="0"/>
          <c:extLst>
            <c:ext xmlns:c16="http://schemas.microsoft.com/office/drawing/2014/chart" uri="{C3380CC4-5D6E-409C-BE32-E72D297353CC}">
              <c16:uniqueId val="{00000027-D82E-4E0E-AC2E-98BA63DA072F}"/>
            </c:ext>
          </c:extLst>
        </c:ser>
        <c:ser>
          <c:idx val="97"/>
          <c:order val="40"/>
          <c:tx>
            <c:strRef>
              <c:f>'A2.ジェンダーごと年齢'!$C$45</c:f>
              <c:strCache>
                <c:ptCount val="1"/>
                <c:pt idx="0">
                  <c:v>ポリジェンダー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'A2.ジェンダーごと年齢'!$E$45:$M$45</c:f>
              <c:numCache>
                <c:formatCode>0.0</c:formatCode>
                <c:ptCount val="9"/>
                <c:pt idx="0">
                  <c:v>11.111111111111111</c:v>
                </c:pt>
                <c:pt idx="1">
                  <c:v>44.444444444444443</c:v>
                </c:pt>
                <c:pt idx="2">
                  <c:v>0</c:v>
                </c:pt>
                <c:pt idx="3">
                  <c:v>22.222222222222221</c:v>
                </c:pt>
                <c:pt idx="4">
                  <c:v>11.111111111111111</c:v>
                </c:pt>
                <c:pt idx="5">
                  <c:v>0</c:v>
                </c:pt>
                <c:pt idx="6">
                  <c:v>0</c:v>
                </c:pt>
                <c:pt idx="7">
                  <c:v>11.111111111111111</c:v>
                </c:pt>
                <c:pt idx="8">
                  <c:v>11.111111111111111</c:v>
                </c:pt>
              </c:numCache>
            </c:numRef>
          </c:val>
          <c:smooth val="0"/>
          <c:extLst>
            <c:ext xmlns:c16="http://schemas.microsoft.com/office/drawing/2014/chart" uri="{C3380CC4-5D6E-409C-BE32-E72D297353CC}">
              <c16:uniqueId val="{00000028-D82E-4E0E-AC2E-98BA63DA072F}"/>
            </c:ext>
          </c:extLst>
        </c:ser>
        <c:ser>
          <c:idx val="98"/>
          <c:order val="41"/>
          <c:tx>
            <c:strRef>
              <c:f>'A2.ジェンダーごと年齢'!$C$46</c:f>
              <c:strCache>
                <c:ptCount val="1"/>
                <c:pt idx="0">
                  <c:v>フェム</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'A2.ジェンダーごと年齢'!$E$46:$M$46</c:f>
              <c:numCache>
                <c:formatCode>0.0</c:formatCode>
                <c:ptCount val="9"/>
                <c:pt idx="0">
                  <c:v>0</c:v>
                </c:pt>
                <c:pt idx="1">
                  <c:v>33.333333333333329</c:v>
                </c:pt>
                <c:pt idx="2">
                  <c:v>11.111111111111111</c:v>
                </c:pt>
                <c:pt idx="3">
                  <c:v>22.222222222222221</c:v>
                </c:pt>
                <c:pt idx="4">
                  <c:v>0</c:v>
                </c:pt>
                <c:pt idx="5">
                  <c:v>0</c:v>
                </c:pt>
                <c:pt idx="6">
                  <c:v>11.111111111111111</c:v>
                </c:pt>
                <c:pt idx="7">
                  <c:v>22.222222222222221</c:v>
                </c:pt>
                <c:pt idx="8">
                  <c:v>11.111111111111111</c:v>
                </c:pt>
              </c:numCache>
            </c:numRef>
          </c:val>
          <c:smooth val="0"/>
          <c:extLst>
            <c:ext xmlns:c16="http://schemas.microsoft.com/office/drawing/2014/chart" uri="{C3380CC4-5D6E-409C-BE32-E72D297353CC}">
              <c16:uniqueId val="{00000029-D82E-4E0E-AC2E-98BA63DA072F}"/>
            </c:ext>
          </c:extLst>
        </c:ser>
        <c:ser>
          <c:idx val="99"/>
          <c:order val="42"/>
          <c:tx>
            <c:strRef>
              <c:f>'A2.ジェンダーごと年齢'!$C$47</c:f>
              <c:strCache>
                <c:ptCount val="1"/>
                <c:pt idx="0">
                  <c:v>ジェンダーヴォイド／gendervoid</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'A2.ジェンダーごと年齢'!$E$47:$M$47</c:f>
              <c:numCache>
                <c:formatCode>0.0</c:formatCode>
                <c:ptCount val="9"/>
                <c:pt idx="0">
                  <c:v>0</c:v>
                </c:pt>
                <c:pt idx="1">
                  <c:v>37.5</c:v>
                </c:pt>
                <c:pt idx="2">
                  <c:v>0</c:v>
                </c:pt>
                <c:pt idx="3">
                  <c:v>0</c:v>
                </c:pt>
                <c:pt idx="4">
                  <c:v>12.5</c:v>
                </c:pt>
                <c:pt idx="5">
                  <c:v>12.5</c:v>
                </c:pt>
                <c:pt idx="6">
                  <c:v>12.5</c:v>
                </c:pt>
                <c:pt idx="7">
                  <c:v>25</c:v>
                </c:pt>
                <c:pt idx="8">
                  <c:v>0</c:v>
                </c:pt>
              </c:numCache>
            </c:numRef>
          </c:val>
          <c:smooth val="0"/>
          <c:extLst>
            <c:ext xmlns:c16="http://schemas.microsoft.com/office/drawing/2014/chart" uri="{C3380CC4-5D6E-409C-BE32-E72D297353CC}">
              <c16:uniqueId val="{0000002A-D82E-4E0E-AC2E-98BA63DA072F}"/>
            </c:ext>
          </c:extLst>
        </c:ser>
        <c:ser>
          <c:idx val="100"/>
          <c:order val="43"/>
          <c:tx>
            <c:strRef>
              <c:f>'A2.ジェンダーごと年齢'!$C$48</c:f>
              <c:strCache>
                <c:ptCount val="1"/>
                <c:pt idx="0">
                  <c:v>ニューロジェンダー／neurogender</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'A2.ジェンダーごと年齢'!$E$48:$M$48</c:f>
              <c:numCache>
                <c:formatCode>0.0</c:formatCode>
                <c:ptCount val="9"/>
                <c:pt idx="0">
                  <c:v>12.5</c:v>
                </c:pt>
                <c:pt idx="1">
                  <c:v>25</c:v>
                </c:pt>
                <c:pt idx="2">
                  <c:v>12.5</c:v>
                </c:pt>
                <c:pt idx="3">
                  <c:v>25</c:v>
                </c:pt>
                <c:pt idx="4">
                  <c:v>0</c:v>
                </c:pt>
                <c:pt idx="5">
                  <c:v>25</c:v>
                </c:pt>
                <c:pt idx="6">
                  <c:v>0</c:v>
                </c:pt>
                <c:pt idx="7">
                  <c:v>0</c:v>
                </c:pt>
                <c:pt idx="8">
                  <c:v>0</c:v>
                </c:pt>
              </c:numCache>
            </c:numRef>
          </c:val>
          <c:smooth val="0"/>
          <c:extLst>
            <c:ext xmlns:c16="http://schemas.microsoft.com/office/drawing/2014/chart" uri="{C3380CC4-5D6E-409C-BE32-E72D297353CC}">
              <c16:uniqueId val="{0000002B-D82E-4E0E-AC2E-98BA63DA072F}"/>
            </c:ext>
          </c:extLst>
        </c:ser>
        <c:ser>
          <c:idx val="101"/>
          <c:order val="44"/>
          <c:tx>
            <c:strRef>
              <c:f>'A2.ジェンダーごと年齢'!$C$49</c:f>
              <c:strCache>
                <c:ptCount val="1"/>
                <c:pt idx="0">
                  <c:v>女の子／girl</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'A2.ジェンダーごと年齢'!$E$49:$M$49</c:f>
              <c:numCache>
                <c:formatCode>0.0</c:formatCode>
                <c:ptCount val="9"/>
                <c:pt idx="0">
                  <c:v>37.5</c:v>
                </c:pt>
                <c:pt idx="1">
                  <c:v>25</c:v>
                </c:pt>
                <c:pt idx="2">
                  <c:v>12.5</c:v>
                </c:pt>
                <c:pt idx="3">
                  <c:v>25</c:v>
                </c:pt>
                <c:pt idx="4">
                  <c:v>0</c:v>
                </c:pt>
                <c:pt idx="5">
                  <c:v>0</c:v>
                </c:pt>
                <c:pt idx="6">
                  <c:v>0</c:v>
                </c:pt>
                <c:pt idx="7">
                  <c:v>0</c:v>
                </c:pt>
                <c:pt idx="8">
                  <c:v>0</c:v>
                </c:pt>
              </c:numCache>
            </c:numRef>
          </c:val>
          <c:smooth val="0"/>
          <c:extLst>
            <c:ext xmlns:c16="http://schemas.microsoft.com/office/drawing/2014/chart" uri="{C3380CC4-5D6E-409C-BE32-E72D297353CC}">
              <c16:uniqueId val="{0000002C-D82E-4E0E-AC2E-98BA63DA072F}"/>
            </c:ext>
          </c:extLst>
        </c:ser>
        <c:ser>
          <c:idx val="102"/>
          <c:order val="45"/>
          <c:tx>
            <c:strRef>
              <c:f>'A2.ジェンダーごと年齢'!$C$50</c:f>
              <c:strCache>
                <c:ptCount val="1"/>
                <c:pt idx="0">
                  <c:v>バイナリー</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'A2.ジェンダーごと年齢'!$E$50:$M$50</c:f>
              <c:numCache>
                <c:formatCode>0.0</c:formatCode>
                <c:ptCount val="9"/>
                <c:pt idx="0">
                  <c:v>0</c:v>
                </c:pt>
                <c:pt idx="1">
                  <c:v>42.857142857142854</c:v>
                </c:pt>
                <c:pt idx="2">
                  <c:v>14.285714285714285</c:v>
                </c:pt>
                <c:pt idx="3">
                  <c:v>14.285714285714285</c:v>
                </c:pt>
                <c:pt idx="4">
                  <c:v>0</c:v>
                </c:pt>
                <c:pt idx="5">
                  <c:v>14.285714285714285</c:v>
                </c:pt>
                <c:pt idx="6">
                  <c:v>0</c:v>
                </c:pt>
                <c:pt idx="7">
                  <c:v>14.285714285714285</c:v>
                </c:pt>
                <c:pt idx="8">
                  <c:v>14.285714285714285</c:v>
                </c:pt>
              </c:numCache>
            </c:numRef>
          </c:val>
          <c:smooth val="0"/>
          <c:extLst>
            <c:ext xmlns:c16="http://schemas.microsoft.com/office/drawing/2014/chart" uri="{C3380CC4-5D6E-409C-BE32-E72D297353CC}">
              <c16:uniqueId val="{0000002D-D82E-4E0E-AC2E-98BA63DA072F}"/>
            </c:ext>
          </c:extLst>
        </c:ser>
        <c:ser>
          <c:idx val="103"/>
          <c:order val="46"/>
          <c:tx>
            <c:strRef>
              <c:f>'A2.ジェンダーごと年齢'!$C$51</c:f>
              <c:strCache>
                <c:ptCount val="1"/>
                <c:pt idx="0">
                  <c:v>ゼノジェンダー／xenogender</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'A2.ジェンダーごと年齢'!$E$51:$M$51</c:f>
              <c:numCache>
                <c:formatCode>0.0</c:formatCode>
                <c:ptCount val="9"/>
                <c:pt idx="0">
                  <c:v>28.571428571428569</c:v>
                </c:pt>
                <c:pt idx="1">
                  <c:v>28.571428571428569</c:v>
                </c:pt>
                <c:pt idx="2">
                  <c:v>14.285714285714285</c:v>
                </c:pt>
                <c:pt idx="3">
                  <c:v>14.285714285714285</c:v>
                </c:pt>
                <c:pt idx="4">
                  <c:v>0</c:v>
                </c:pt>
                <c:pt idx="5">
                  <c:v>0</c:v>
                </c:pt>
                <c:pt idx="6">
                  <c:v>14.285714285714285</c:v>
                </c:pt>
                <c:pt idx="7">
                  <c:v>0</c:v>
                </c:pt>
                <c:pt idx="8">
                  <c:v>0</c:v>
                </c:pt>
              </c:numCache>
            </c:numRef>
          </c:val>
          <c:smooth val="0"/>
          <c:extLst>
            <c:ext xmlns:c16="http://schemas.microsoft.com/office/drawing/2014/chart" uri="{C3380CC4-5D6E-409C-BE32-E72D297353CC}">
              <c16:uniqueId val="{0000002E-D82E-4E0E-AC2E-98BA63DA072F}"/>
            </c:ext>
          </c:extLst>
        </c:ser>
        <c:ser>
          <c:idx val="104"/>
          <c:order val="47"/>
          <c:tx>
            <c:strRef>
              <c:f>'A2.ジェンダーごと年齢'!$C$52</c:f>
              <c:strCache>
                <c:ptCount val="1"/>
                <c:pt idx="0">
                  <c:v>少年</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'A2.ジェンダーごと年齢'!$E$52:$M$52</c:f>
              <c:numCache>
                <c:formatCode>0.0</c:formatCode>
                <c:ptCount val="9"/>
                <c:pt idx="0">
                  <c:v>0</c:v>
                </c:pt>
                <c:pt idx="1">
                  <c:v>14.285714285714285</c:v>
                </c:pt>
                <c:pt idx="2">
                  <c:v>42.857142857142854</c:v>
                </c:pt>
                <c:pt idx="3">
                  <c:v>14.285714285714285</c:v>
                </c:pt>
                <c:pt idx="4">
                  <c:v>14.285714285714285</c:v>
                </c:pt>
                <c:pt idx="5">
                  <c:v>0</c:v>
                </c:pt>
                <c:pt idx="6">
                  <c:v>14.285714285714285</c:v>
                </c:pt>
                <c:pt idx="7">
                  <c:v>0</c:v>
                </c:pt>
                <c:pt idx="8">
                  <c:v>0</c:v>
                </c:pt>
              </c:numCache>
            </c:numRef>
          </c:val>
          <c:smooth val="0"/>
          <c:extLst>
            <c:ext xmlns:c16="http://schemas.microsoft.com/office/drawing/2014/chart" uri="{C3380CC4-5D6E-409C-BE32-E72D297353CC}">
              <c16:uniqueId val="{0000002F-D82E-4E0E-AC2E-98BA63DA072F}"/>
            </c:ext>
          </c:extLst>
        </c:ser>
        <c:ser>
          <c:idx val="105"/>
          <c:order val="48"/>
          <c:tx>
            <c:strRef>
              <c:f>'A2.ジェンダーごと年齢'!$C$53</c:f>
              <c:strCache>
                <c:ptCount val="1"/>
                <c:pt idx="0">
                  <c:v>ボイ</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'A2.ジェンダーごと年齢'!$E$53:$M$53</c:f>
              <c:numCache>
                <c:formatCode>0.0</c:formatCode>
                <c:ptCount val="9"/>
                <c:pt idx="0">
                  <c:v>0</c:v>
                </c:pt>
                <c:pt idx="1">
                  <c:v>50</c:v>
                </c:pt>
                <c:pt idx="2">
                  <c:v>16.666666666666664</c:v>
                </c:pt>
                <c:pt idx="3">
                  <c:v>0</c:v>
                </c:pt>
                <c:pt idx="4">
                  <c:v>0</c:v>
                </c:pt>
                <c:pt idx="5">
                  <c:v>33.333333333333329</c:v>
                </c:pt>
                <c:pt idx="6">
                  <c:v>0</c:v>
                </c:pt>
                <c:pt idx="7">
                  <c:v>0</c:v>
                </c:pt>
                <c:pt idx="8">
                  <c:v>0</c:v>
                </c:pt>
              </c:numCache>
            </c:numRef>
          </c:val>
          <c:smooth val="0"/>
          <c:extLst>
            <c:ext xmlns:c16="http://schemas.microsoft.com/office/drawing/2014/chart" uri="{C3380CC4-5D6E-409C-BE32-E72D297353CC}">
              <c16:uniqueId val="{00000030-D82E-4E0E-AC2E-98BA63DA072F}"/>
            </c:ext>
          </c:extLst>
        </c:ser>
        <c:ser>
          <c:idx val="106"/>
          <c:order val="49"/>
          <c:tx>
            <c:strRef>
              <c:f>'A2.ジェンダーごと年齢'!$C$54</c:f>
              <c:strCache>
                <c:ptCount val="1"/>
                <c:pt idx="0">
                  <c:v>男の子／boy</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'A2.ジェンダーごと年齢'!$E$54:$M$54</c:f>
              <c:numCache>
                <c:formatCode>0.0</c:formatCode>
                <c:ptCount val="9"/>
                <c:pt idx="0">
                  <c:v>0</c:v>
                </c:pt>
                <c:pt idx="1">
                  <c:v>33.333333333333329</c:v>
                </c:pt>
                <c:pt idx="2">
                  <c:v>33.333333333333329</c:v>
                </c:pt>
                <c:pt idx="3">
                  <c:v>33.333333333333329</c:v>
                </c:pt>
                <c:pt idx="4">
                  <c:v>0</c:v>
                </c:pt>
                <c:pt idx="5">
                  <c:v>0</c:v>
                </c:pt>
                <c:pt idx="6">
                  <c:v>0</c:v>
                </c:pt>
                <c:pt idx="7">
                  <c:v>0</c:v>
                </c:pt>
                <c:pt idx="8">
                  <c:v>0</c:v>
                </c:pt>
              </c:numCache>
            </c:numRef>
          </c:val>
          <c:smooth val="0"/>
          <c:extLst>
            <c:ext xmlns:c16="http://schemas.microsoft.com/office/drawing/2014/chart" uri="{C3380CC4-5D6E-409C-BE32-E72D297353CC}">
              <c16:uniqueId val="{00000031-D82E-4E0E-AC2E-98BA63DA072F}"/>
            </c:ext>
          </c:extLst>
        </c:ser>
        <c:ser>
          <c:idx val="107"/>
          <c:order val="50"/>
          <c:tx>
            <c:strRef>
              <c:f>'A2.ジェンダーごと年齢'!$C$55</c:f>
              <c:strCache>
                <c:ptCount val="1"/>
                <c:pt idx="0">
                  <c:v>アンドロジャイン／androgyne</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'A2.ジェンダーごと年齢'!$E$55:$M$55</c:f>
              <c:numCache>
                <c:formatCode>0.0</c:formatCode>
                <c:ptCount val="9"/>
                <c:pt idx="0">
                  <c:v>20</c:v>
                </c:pt>
                <c:pt idx="1">
                  <c:v>20</c:v>
                </c:pt>
                <c:pt idx="2">
                  <c:v>0</c:v>
                </c:pt>
                <c:pt idx="3">
                  <c:v>20</c:v>
                </c:pt>
                <c:pt idx="4">
                  <c:v>40</c:v>
                </c:pt>
                <c:pt idx="5">
                  <c:v>0</c:v>
                </c:pt>
                <c:pt idx="6">
                  <c:v>0</c:v>
                </c:pt>
                <c:pt idx="7">
                  <c:v>0</c:v>
                </c:pt>
                <c:pt idx="8">
                  <c:v>0</c:v>
                </c:pt>
              </c:numCache>
            </c:numRef>
          </c:val>
          <c:smooth val="0"/>
          <c:extLst>
            <c:ext xmlns:c16="http://schemas.microsoft.com/office/drawing/2014/chart" uri="{C3380CC4-5D6E-409C-BE32-E72D297353CC}">
              <c16:uniqueId val="{00000032-D82E-4E0E-AC2E-98BA63DA072F}"/>
            </c:ext>
          </c:extLst>
        </c:ser>
        <c:ser>
          <c:idx val="108"/>
          <c:order val="51"/>
          <c:tx>
            <c:strRef>
              <c:f>'A2.ジェンダーごと年齢'!$C$56</c:f>
              <c:strCache>
                <c:ptCount val="1"/>
                <c:pt idx="0">
                  <c:v>少女</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'A2.ジェンダーごと年齢'!$E$56:$M$56</c:f>
              <c:numCache>
                <c:formatCode>0.0</c:formatCode>
                <c:ptCount val="9"/>
                <c:pt idx="0">
                  <c:v>40</c:v>
                </c:pt>
                <c:pt idx="1">
                  <c:v>20</c:v>
                </c:pt>
                <c:pt idx="2">
                  <c:v>20</c:v>
                </c:pt>
                <c:pt idx="3">
                  <c:v>20</c:v>
                </c:pt>
                <c:pt idx="4">
                  <c:v>0</c:v>
                </c:pt>
                <c:pt idx="5">
                  <c:v>0</c:v>
                </c:pt>
                <c:pt idx="6">
                  <c:v>0</c:v>
                </c:pt>
                <c:pt idx="7">
                  <c:v>0</c:v>
                </c:pt>
                <c:pt idx="8">
                  <c:v>0</c:v>
                </c:pt>
              </c:numCache>
            </c:numRef>
          </c:val>
          <c:smooth val="0"/>
          <c:extLst>
            <c:ext xmlns:c16="http://schemas.microsoft.com/office/drawing/2014/chart" uri="{C3380CC4-5D6E-409C-BE32-E72D297353CC}">
              <c16:uniqueId val="{00000033-D82E-4E0E-AC2E-98BA63DA072F}"/>
            </c:ext>
          </c:extLst>
        </c:ser>
        <c:ser>
          <c:idx val="109"/>
          <c:order val="52"/>
          <c:tx>
            <c:strRef>
              <c:f>'A2.ジェンダーごと年齢'!$C$57</c:f>
              <c:strCache>
                <c:ptCount val="1"/>
                <c:pt idx="0">
                  <c:v>ダイク／dyke</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'A2.ジェンダーごと年齢'!$E$57:$M$57</c:f>
              <c:numCache>
                <c:formatCode>0.0</c:formatCode>
                <c:ptCount val="9"/>
                <c:pt idx="0">
                  <c:v>25</c:v>
                </c:pt>
                <c:pt idx="1">
                  <c:v>50</c:v>
                </c:pt>
                <c:pt idx="2">
                  <c:v>0</c:v>
                </c:pt>
                <c:pt idx="3">
                  <c:v>0</c:v>
                </c:pt>
                <c:pt idx="4">
                  <c:v>0</c:v>
                </c:pt>
                <c:pt idx="5">
                  <c:v>0</c:v>
                </c:pt>
                <c:pt idx="6">
                  <c:v>25</c:v>
                </c:pt>
                <c:pt idx="7">
                  <c:v>0</c:v>
                </c:pt>
                <c:pt idx="8">
                  <c:v>0</c:v>
                </c:pt>
              </c:numCache>
            </c:numRef>
          </c:val>
          <c:smooth val="0"/>
          <c:extLst>
            <c:ext xmlns:c16="http://schemas.microsoft.com/office/drawing/2014/chart" uri="{C3380CC4-5D6E-409C-BE32-E72D297353CC}">
              <c16:uniqueId val="{00000034-D82E-4E0E-AC2E-98BA63DA072F}"/>
            </c:ext>
          </c:extLst>
        </c:ser>
        <c:ser>
          <c:idx val="110"/>
          <c:order val="53"/>
          <c:tx>
            <c:strRef>
              <c:f>'A2.ジェンダーごと年齢'!$C$58</c:f>
              <c:strCache>
                <c:ptCount val="1"/>
                <c:pt idx="0">
                  <c:v>ブッチ／butch</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'A2.ジェンダーごと年齢'!$E$58:$M$58</c:f>
              <c:numCache>
                <c:formatCode>0.0</c:formatCode>
                <c:ptCount val="9"/>
                <c:pt idx="0">
                  <c:v>25</c:v>
                </c:pt>
                <c:pt idx="1">
                  <c:v>75</c:v>
                </c:pt>
                <c:pt idx="2">
                  <c:v>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5-D82E-4E0E-AC2E-98BA63DA072F}"/>
            </c:ext>
          </c:extLst>
        </c:ser>
        <c:ser>
          <c:idx val="111"/>
          <c:order val="54"/>
          <c:tx>
            <c:strRef>
              <c:f>'A2.ジェンダーごと年齢'!$C$59</c:f>
              <c:strCache>
                <c:ptCount val="1"/>
                <c:pt idx="0">
                  <c:v>おかま</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'A2.ジェンダーごと年齢'!$E$59:$M$59</c:f>
              <c:numCache>
                <c:formatCode>0.0</c:formatCode>
                <c:ptCount val="9"/>
                <c:pt idx="0">
                  <c:v>0</c:v>
                </c:pt>
                <c:pt idx="1">
                  <c:v>33.333333333333329</c:v>
                </c:pt>
                <c:pt idx="2">
                  <c:v>33.333333333333329</c:v>
                </c:pt>
                <c:pt idx="3">
                  <c:v>0</c:v>
                </c:pt>
                <c:pt idx="4">
                  <c:v>33.333333333333329</c:v>
                </c:pt>
                <c:pt idx="5">
                  <c:v>0</c:v>
                </c:pt>
                <c:pt idx="6">
                  <c:v>0</c:v>
                </c:pt>
                <c:pt idx="7">
                  <c:v>0</c:v>
                </c:pt>
                <c:pt idx="8">
                  <c:v>0</c:v>
                </c:pt>
              </c:numCache>
            </c:numRef>
          </c:val>
          <c:smooth val="0"/>
          <c:extLst>
            <c:ext xmlns:c16="http://schemas.microsoft.com/office/drawing/2014/chart" uri="{C3380CC4-5D6E-409C-BE32-E72D297353CC}">
              <c16:uniqueId val="{00000036-D82E-4E0E-AC2E-98BA63DA072F}"/>
            </c:ext>
          </c:extLst>
        </c:ser>
        <c:ser>
          <c:idx val="112"/>
          <c:order val="55"/>
          <c:tx>
            <c:strRef>
              <c:f>'A2.ジェンダーごと年齢'!$C$60</c:f>
              <c:strCache>
                <c:ptCount val="1"/>
                <c:pt idx="0">
                  <c:v>ニューハーフ</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'A2.ジェンダーごと年齢'!$E$60:$M$60</c:f>
              <c:numCache>
                <c:formatCode>0.0</c:formatCode>
                <c:ptCount val="9"/>
                <c:pt idx="0">
                  <c:v>0</c:v>
                </c:pt>
                <c:pt idx="1">
                  <c:v>50</c:v>
                </c:pt>
                <c:pt idx="2">
                  <c:v>0</c:v>
                </c:pt>
                <c:pt idx="3">
                  <c:v>0</c:v>
                </c:pt>
                <c:pt idx="4">
                  <c:v>0</c:v>
                </c:pt>
                <c:pt idx="5">
                  <c:v>0</c:v>
                </c:pt>
                <c:pt idx="6">
                  <c:v>50</c:v>
                </c:pt>
                <c:pt idx="7">
                  <c:v>0</c:v>
                </c:pt>
                <c:pt idx="8">
                  <c:v>0</c:v>
                </c:pt>
              </c:numCache>
            </c:numRef>
          </c:val>
          <c:smooth val="0"/>
          <c:extLst>
            <c:ext xmlns:c16="http://schemas.microsoft.com/office/drawing/2014/chart" uri="{C3380CC4-5D6E-409C-BE32-E72D297353CC}">
              <c16:uniqueId val="{00000037-D82E-4E0E-AC2E-98BA63DA072F}"/>
            </c:ext>
          </c:extLst>
        </c:ser>
        <c:ser>
          <c:idx val="113"/>
          <c:order val="56"/>
          <c:tx>
            <c:strRef>
              <c:f>'A2.ジェンダーごと年齢'!$C$61</c:f>
              <c:strCache>
                <c:ptCount val="1"/>
                <c:pt idx="0">
                  <c:v>おなべ</c:v>
                </c:pt>
              </c:strCache>
            </c:strRef>
          </c:tx>
          <c:marker>
            <c:symbol val="none"/>
          </c:marker>
          <c:cat>
            <c:strRef>
              <c:f>'A2.ジェンダーごと年齢'!$E$3:$M$3</c:f>
              <c:strCache>
                <c:ptCount val="9"/>
                <c:pt idx="0">
                  <c:v>-20</c:v>
                </c:pt>
                <c:pt idx="1">
                  <c:v>21-25</c:v>
                </c:pt>
                <c:pt idx="2">
                  <c:v>26-30</c:v>
                </c:pt>
                <c:pt idx="3">
                  <c:v>31-35</c:v>
                </c:pt>
                <c:pt idx="4">
                  <c:v>36-40</c:v>
                </c:pt>
                <c:pt idx="5">
                  <c:v>41-45</c:v>
                </c:pt>
                <c:pt idx="6">
                  <c:v>46-50</c:v>
                </c:pt>
                <c:pt idx="7">
                  <c:v>51-55</c:v>
                </c:pt>
                <c:pt idx="8">
                  <c:v>56+</c:v>
                </c:pt>
              </c:strCache>
            </c:strRef>
          </c:cat>
          <c:val>
            <c:numRef>
              <c:f>'A2.ジェンダーごと年齢'!$E$61:$M$61</c:f>
              <c:numCache>
                <c:formatCode>0.0</c:formatCode>
                <c:ptCount val="9"/>
                <c:pt idx="0">
                  <c:v>0</c:v>
                </c:pt>
                <c:pt idx="1">
                  <c:v>0</c:v>
                </c:pt>
                <c:pt idx="2">
                  <c:v>100</c:v>
                </c:pt>
                <c:pt idx="3">
                  <c:v>0</c:v>
                </c:pt>
                <c:pt idx="4">
                  <c:v>0</c:v>
                </c:pt>
                <c:pt idx="5">
                  <c:v>0</c:v>
                </c:pt>
                <c:pt idx="6">
                  <c:v>0</c:v>
                </c:pt>
                <c:pt idx="7">
                  <c:v>0</c:v>
                </c:pt>
                <c:pt idx="8">
                  <c:v>0</c:v>
                </c:pt>
              </c:numCache>
            </c:numRef>
          </c:val>
          <c:smooth val="0"/>
          <c:extLst>
            <c:ext xmlns:c16="http://schemas.microsoft.com/office/drawing/2014/chart" uri="{C3380CC4-5D6E-409C-BE32-E72D297353CC}">
              <c16:uniqueId val="{00000038-D82E-4E0E-AC2E-98BA63DA072F}"/>
            </c:ext>
          </c:extLst>
        </c:ser>
        <c:dLbls>
          <c:showLegendKey val="0"/>
          <c:showVal val="0"/>
          <c:showCatName val="0"/>
          <c:showSerName val="0"/>
          <c:showPercent val="0"/>
          <c:showBubbleSize val="0"/>
        </c:dLbls>
        <c:smooth val="0"/>
        <c:axId val="421905071"/>
        <c:axId val="421906511"/>
      </c:lineChart>
      <c:catAx>
        <c:axId val="42190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21906511"/>
        <c:crosses val="autoZero"/>
        <c:auto val="1"/>
        <c:lblAlgn val="ctr"/>
        <c:lblOffset val="100"/>
        <c:noMultiLvlLbl val="0"/>
      </c:catAx>
      <c:valAx>
        <c:axId val="4219065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2190507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zero"/>
    <c:showDLblsOverMax val="0"/>
    <c:extLst/>
  </c:chart>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barChart>
        <c:barDir val="col"/>
        <c:grouping val="clustered"/>
        <c:varyColors val="0"/>
        <c:ser>
          <c:idx val="0"/>
          <c:order val="0"/>
          <c:spPr>
            <a:solidFill>
              <a:schemeClr val="accent1"/>
            </a:solidFill>
            <a:ln>
              <a:noFill/>
            </a:ln>
            <a:effectLst/>
          </c:spPr>
          <c:invertIfNegative val="0"/>
          <c:val>
            <c:numRef>
              <c:f>選んだジェンダー!$B$449:$B$505</c:f>
              <c:numCache>
                <c:formatCode>General</c:formatCode>
                <c:ptCount val="5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numCache>
            </c:numRef>
          </c:val>
          <c:extLst>
            <c:ext xmlns:c16="http://schemas.microsoft.com/office/drawing/2014/chart" uri="{C3380CC4-5D6E-409C-BE32-E72D297353CC}">
              <c16:uniqueId val="{00000000-3DA8-46D0-8EA4-D35BFD92EAFE}"/>
            </c:ext>
          </c:extLst>
        </c:ser>
        <c:ser>
          <c:idx val="1"/>
          <c:order val="1"/>
          <c:spPr>
            <a:solidFill>
              <a:schemeClr val="accent2"/>
            </a:solidFill>
            <a:ln>
              <a:noFill/>
            </a:ln>
            <a:effectLst/>
          </c:spPr>
          <c:invertIfNegative val="0"/>
          <c:val>
            <c:numRef>
              <c:f>選んだジェンダー!$C$449:$C$505</c:f>
              <c:numCache>
                <c:formatCode>General</c:formatCode>
                <c:ptCount val="57"/>
                <c:pt idx="0">
                  <c:v>1</c:v>
                </c:pt>
                <c:pt idx="1">
                  <c:v>68</c:v>
                </c:pt>
                <c:pt idx="2">
                  <c:v>57</c:v>
                </c:pt>
                <c:pt idx="3">
                  <c:v>74</c:v>
                </c:pt>
                <c:pt idx="4">
                  <c:v>61</c:v>
                </c:pt>
                <c:pt idx="5">
                  <c:v>45</c:v>
                </c:pt>
                <c:pt idx="6">
                  <c:v>36</c:v>
                </c:pt>
                <c:pt idx="7">
                  <c:v>28</c:v>
                </c:pt>
                <c:pt idx="8">
                  <c:v>28</c:v>
                </c:pt>
                <c:pt idx="9">
                  <c:v>16</c:v>
                </c:pt>
                <c:pt idx="10">
                  <c:v>8</c:v>
                </c:pt>
                <c:pt idx="11">
                  <c:v>6</c:v>
                </c:pt>
                <c:pt idx="12">
                  <c:v>2</c:v>
                </c:pt>
                <c:pt idx="13">
                  <c:v>4</c:v>
                </c:pt>
                <c:pt idx="14">
                  <c:v>2</c:v>
                </c:pt>
                <c:pt idx="15">
                  <c:v>1</c:v>
                </c:pt>
                <c:pt idx="16">
                  <c:v>1</c:v>
                </c:pt>
                <c:pt idx="17">
                  <c:v>1</c:v>
                </c:pt>
                <c:pt idx="18">
                  <c:v>1</c:v>
                </c:pt>
                <c:pt idx="19">
                  <c:v>1</c:v>
                </c:pt>
                <c:pt idx="20">
                  <c:v>1</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1</c:v>
                </c:pt>
              </c:numCache>
            </c:numRef>
          </c:val>
          <c:extLst>
            <c:ext xmlns:c16="http://schemas.microsoft.com/office/drawing/2014/chart" uri="{C3380CC4-5D6E-409C-BE32-E72D297353CC}">
              <c16:uniqueId val="{00000001-3DA8-46D0-8EA4-D35BFD92EAFE}"/>
            </c:ext>
          </c:extLst>
        </c:ser>
        <c:dLbls>
          <c:showLegendKey val="0"/>
          <c:showVal val="0"/>
          <c:showCatName val="0"/>
          <c:showSerName val="0"/>
          <c:showPercent val="0"/>
          <c:showBubbleSize val="0"/>
        </c:dLbls>
        <c:gapWidth val="219"/>
        <c:overlap val="-27"/>
        <c:axId val="2062749936"/>
        <c:axId val="2062760496"/>
      </c:barChart>
      <c:catAx>
        <c:axId val="20627499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62760496"/>
        <c:crosses val="autoZero"/>
        <c:auto val="1"/>
        <c:lblAlgn val="ctr"/>
        <c:lblOffset val="100"/>
        <c:noMultiLvlLbl val="0"/>
      </c:catAx>
      <c:valAx>
        <c:axId val="206276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06274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457200</xdr:colOff>
      <xdr:row>77</xdr:row>
      <xdr:rowOff>142875</xdr:rowOff>
    </xdr:from>
    <xdr:to>
      <xdr:col>15</xdr:col>
      <xdr:colOff>400050</xdr:colOff>
      <xdr:row>92</xdr:row>
      <xdr:rowOff>104774</xdr:rowOff>
    </xdr:to>
    <xdr:graphicFrame macro="">
      <xdr:nvGraphicFramePr>
        <xdr:cNvPr id="2" name="グラフ 1">
          <a:extLst>
            <a:ext uri="{FF2B5EF4-FFF2-40B4-BE49-F238E27FC236}">
              <a16:creationId xmlns:a16="http://schemas.microsoft.com/office/drawing/2014/main" id="{75805CE2-C749-4A45-87CC-8D9B2D04E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342900</xdr:colOff>
      <xdr:row>447</xdr:row>
      <xdr:rowOff>114300</xdr:rowOff>
    </xdr:from>
    <xdr:to>
      <xdr:col>13</xdr:col>
      <xdr:colOff>723900</xdr:colOff>
      <xdr:row>461</xdr:row>
      <xdr:rowOff>57150</xdr:rowOff>
    </xdr:to>
    <xdr:graphicFrame macro="">
      <xdr:nvGraphicFramePr>
        <xdr:cNvPr id="4" name="グラフ 3">
          <a:extLst>
            <a:ext uri="{FF2B5EF4-FFF2-40B4-BE49-F238E27FC236}">
              <a16:creationId xmlns:a16="http://schemas.microsoft.com/office/drawing/2014/main" id="{E97148FD-D96F-AD1E-A45E-CEB04C6FC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CE95C6-6B88-4D3D-A5AB-ADEF685F5994}" name="テーブル6" displayName="テーブル6" ref="A3:BH14" totalsRowShown="0">
  <autoFilter ref="A3:BH14" xr:uid="{7FCE95C6-6B88-4D3D-A5AB-ADEF685F5994}"/>
  <tableColumns count="60">
    <tableColumn id="1" xr3:uid="{F24E41D1-D6A3-4408-ADF4-DCDA0CED9F1C}" name="n=">
      <calculatedColumnFormula>(COUNTIFS(集計用!$AE:$AE,$B4))</calculatedColumnFormula>
    </tableColumn>
    <tableColumn id="2" xr3:uid="{6594775B-176D-4E9B-AA28-F272F0B3A025}" name="年齢層" dataDxfId="540"/>
    <tableColumn id="60" xr3:uid="{58AE2DDA-A8CD-42C8-BA57-F930155B459F}" name="全回答者" dataDxfId="539">
      <calculatedColumnFormula>テーブル6[[#This Row],[n=]]/$A$4*100</calculatedColumnFormula>
    </tableColumn>
    <tableColumn id="3" xr3:uid="{EA5B6ED6-52E3-4EDE-AB83-F0EBCAF59F35}" name="ノンバイナリー" dataDxfId="538">
      <calculatedColumnFormula>(COUNTIFS(集計用!$G:$G,"*, "&amp;D$3&amp;",*", 集計用!$AE:$AE, $B4))/$A4*100</calculatedColumnFormula>
    </tableColumn>
    <tableColumn id="4" xr3:uid="{41DDDF2C-455E-4BA7-BD6F-406E0C74F34C}" name="クィア／Queer" dataDxfId="537">
      <calculatedColumnFormula>(COUNTIFS(集計用!$G:$G,"*, "&amp;E$3&amp;",*", 集計用!$AE:$AE, $B4))/$A4*100</calculatedColumnFormula>
    </tableColumn>
    <tableColumn id="5" xr3:uid="{ACC4EC3C-501B-4C7C-A9E2-28BF17BA4A06}" name="Xジェンダー" dataDxfId="536">
      <calculatedColumnFormula>(COUNTIFS(集計用!$G:$G,"*, "&amp;F$3&amp;",*", 集計用!$AE:$AE, $B4))/$A4*100</calculatedColumnFormula>
    </tableColumn>
    <tableColumn id="6" xr3:uid="{198F04E4-011D-4DDA-B604-A5622C4758EE}" name="クエスチョニング" dataDxfId="535">
      <calculatedColumnFormula>(COUNTIFS(集計用!$G:$G,"*, "&amp;G$3&amp;",*", 集計用!$AE:$AE, $B4))/$A4*100</calculatedColumnFormula>
    </tableColumn>
    <tableColumn id="7" xr3:uid="{539DD832-C008-480D-9AC0-EFE792FB4793}" name="無性" dataDxfId="534">
      <calculatedColumnFormula>(COUNTIFS(集計用!$G:$G,"*, "&amp;H$3&amp;",*", 集計用!$AE:$AE, $B4))/$A4*100</calculatedColumnFormula>
    </tableColumn>
    <tableColumn id="8" xr3:uid="{0328EABF-7ED5-43F8-99A2-E1D22F77FC74}" name="（ジェンダー・）フルイド／（ジェンダー・）フリュイド／（ジェンダー・）フルイッド" dataDxfId="533">
      <calculatedColumnFormula>(COUNTIFS(集計用!$G:$G,"*, "&amp;I$3&amp;",*", 集計用!$AE:$AE, $B4))/$A4*100</calculatedColumnFormula>
    </tableColumn>
    <tableColumn id="9" xr3:uid="{88E827E5-796A-4D08-B4BA-EC779AE76E75}" name="ジェンダークィア" dataDxfId="532">
      <calculatedColumnFormula>(COUNTIFS(集計用!$G:$G,"*, "&amp;J$3&amp;",*", 集計用!$AE:$AE, $B4))/$A4*100</calculatedColumnFormula>
    </tableColumn>
    <tableColumn id="10" xr3:uid="{6BF4803A-B60A-4D61-BDFE-DE0EBE405849}" name="不明／わからない" dataDxfId="531">
      <calculatedColumnFormula>(COUNTIFS(集計用!$G:$G,"*, "&amp;K$3&amp;",*", 集計用!$AE:$AE, $B4))/$A4*100</calculatedColumnFormula>
    </tableColumn>
    <tableColumn id="11" xr3:uid="{AB847013-D9F8-4691-921B-AEFFA2AC4A25}" name="Aジェンダー／エイジェンダー／アジェンダー／agender" dataDxfId="530">
      <calculatedColumnFormula>(COUNTIFS(集計用!$G:$G,"*, "&amp;L$3&amp;",*", 集計用!$AE:$AE, $B4))/$A4*100</calculatedColumnFormula>
    </tableColumn>
    <tableColumn id="12" xr3:uid="{6B087A62-16E2-47DB-9CEC-60033EBF7AC2}" name="X" dataDxfId="529">
      <calculatedColumnFormula>(COUNTIFS(集計用!$G:$G,"*, "&amp;M$3&amp;",*", 集計用!$AE:$AE, $B4))/$A4*100</calculatedColumnFormula>
    </tableColumn>
    <tableColumn id="13" xr3:uid="{309AA965-4CE8-4CC3-A2B8-07022CCA2B07}" name="中性" dataDxfId="528">
      <calculatedColumnFormula>(COUNTIFS(集計用!$G:$G,"*, "&amp;N$3&amp;",*", 集計用!$AE:$AE, $B4))/$A4*100</calculatedColumnFormula>
    </tableColumn>
    <tableColumn id="14" xr3:uid="{3BFA8C10-19FA-4244-A3F5-DEA3EBA01BA4}" name="トランスジェンダー" dataDxfId="527">
      <calculatedColumnFormula>(COUNTIFS(集計用!$G:$G,"*, "&amp;O$3&amp;",*", 集計用!$AE:$AE, $B4))/$A4*100</calculatedColumnFormula>
    </tableColumn>
    <tableColumn id="15" xr3:uid="{E5C80F49-0A18-4AE3-9B71-971153655B55}" name="女性／woman" dataDxfId="526">
      <calculatedColumnFormula>(COUNTIFS(集計用!$G:$G,"*, "&amp;P$3&amp;",*", 集計用!$AE:$AE, $B4))/$A4*100</calculatedColumnFormula>
    </tableColumn>
    <tableColumn id="16" xr3:uid="{5DEB9CB3-A938-4397-A0F6-39A3CD9E21B0}" name="ノンバイナリー女性" dataDxfId="525">
      <calculatedColumnFormula>(COUNTIFS(集計用!$G:$G,"*, "&amp;Q$3&amp;",*", 集計用!$AE:$AE, $B4))/$A4*100</calculatedColumnFormula>
    </tableColumn>
    <tableColumn id="17" xr3:uid="{2DE1595B-12F3-44E1-A9EE-467EB5EBED9C}" name="不定性" dataDxfId="524">
      <calculatedColumnFormula>(COUNTIFS(集計用!$G:$G,"*, "&amp;R$3&amp;",*", 集計用!$AE:$AE, $B4))/$A4*100</calculatedColumnFormula>
    </tableColumn>
    <tableColumn id="18" xr3:uid="{FE619859-3204-4307-9415-565C21E1A004}" name="無し" dataDxfId="523">
      <calculatedColumnFormula>(COUNTIFS(集計用!$G:$G,"*, "&amp;S$3&amp;",*", 集計用!$AE:$AE, $B4))/$A4*100</calculatedColumnFormula>
    </tableColumn>
    <tableColumn id="19" xr3:uid="{2B586BB3-84BF-4B28-A9FE-DA306A17C6BA}" name="トランス" dataDxfId="522">
      <calculatedColumnFormula>(COUNTIFS(集計用!$G:$G,"*, "&amp;T$3&amp;",*", 集計用!$AE:$AE, $B4))/$A4*100</calculatedColumnFormula>
    </tableColumn>
    <tableColumn id="20" xr3:uid="{8D9FC2E3-0E6F-4E9D-9B58-AF73E5F734AD}" name="トランス*／trans*" dataDxfId="521">
      <calculatedColumnFormula>(COUNTIFS(集計用!$G:$G,"*, "&amp;U$3&amp;",*", 集計用!$AE:$AE, $B4))/$A4*100</calculatedColumnFormula>
    </tableColumn>
    <tableColumn id="21" xr3:uid="{684C8D85-994D-4AFF-835B-1581FA7CCA1B}" name="ジェンダー・ノンコンフォーミング／gender non-conforming" dataDxfId="520">
      <calculatedColumnFormula>(COUNTIFS(集計用!$G:$G,"*, "&amp;V$3&amp;",*", 集計用!$AE:$AE, $B4))/$A4*100</calculatedColumnFormula>
    </tableColumn>
    <tableColumn id="22" xr3:uid="{C9CC6A33-5698-4762-BD08-C6A7B128B199}" name="ジェンダーレス" dataDxfId="519">
      <calculatedColumnFormula>(COUNTIFS(集計用!$G:$G,"*, "&amp;W$3&amp;",*", 集計用!$AE:$AE, $B4))/$A4*100</calculatedColumnFormula>
    </tableColumn>
    <tableColumn id="23" xr3:uid="{3F2A7A7C-F2DF-4462-AFCB-A8F6CBC7CD62}" name="両性" dataDxfId="518">
      <calculatedColumnFormula>(COUNTIFS(集計用!$G:$G,"*, "&amp;X$3&amp;",*", 集計用!$AE:$AE, $B4))/$A4*100</calculatedColumnFormula>
    </tableColumn>
    <tableColumn id="24" xr3:uid="{A407FB44-7902-47B1-B185-28D6B3495828}" name="ニュートラル" dataDxfId="517">
      <calculatedColumnFormula>(COUNTIFS(集計用!$G:$G,"*, "&amp;Y$3&amp;",*", 集計用!$AE:$AE, $B4))/$A4*100</calculatedColumnFormula>
    </tableColumn>
    <tableColumn id="25" xr3:uid="{7FC303F1-BA23-47F0-8D7B-89DA38431EC1}" name="ノンバイナリー男性" dataDxfId="516">
      <calculatedColumnFormula>(COUNTIFS(集計用!$G:$G,"*, "&amp;Z$3&amp;",*", 集計用!$AE:$AE, $B4))/$A4*100</calculatedColumnFormula>
    </tableColumn>
    <tableColumn id="26" xr3:uid="{0BCECBEC-E800-402F-8E99-3AE072A6C726}" name="男性／man" dataDxfId="515">
      <calculatedColumnFormula>(COUNTIFS(集計用!$G:$G,"*, "&amp;AA$3&amp;",*", 集計用!$AE:$AE, $B4))/$A4*100</calculatedColumnFormula>
    </tableColumn>
    <tableColumn id="27" xr3:uid="{DA05AD2F-573D-4F41-89BE-D0992E675B93}" name="enby／エンビー" dataDxfId="514">
      <calculatedColumnFormula>(COUNTIFS(集計用!$G:$G,"*, "&amp;AB$3&amp;",*", 集計用!$AE:$AE, $B4))/$A4*100</calculatedColumnFormula>
    </tableColumn>
    <tableColumn id="28" xr3:uid="{16EFC893-7850-4E7C-B989-8BDD766E7E9B}" name="レズビアン（ジェンダーについて）" dataDxfId="513">
      <calculatedColumnFormula>(COUNTIFS(集計用!$G:$G,"*, "&amp;AC$3&amp;",*", 集計用!$AE:$AE, $B4))/$A4*100</calculatedColumnFormula>
    </tableColumn>
    <tableColumn id="29" xr3:uid="{A813EB34-E6C2-43C8-8F97-A93D61CE49D0}" name="シスジェンダー" dataDxfId="512">
      <calculatedColumnFormula>(COUNTIFS(集計用!$G:$G,"*, "&amp;AD$3&amp;",*", 集計用!$AE:$AE, $B4))/$A4*100</calculatedColumnFormula>
    </tableColumn>
    <tableColumn id="30" xr3:uid="{3560A0F1-0753-43F4-A6FE-3F29BB841946}" name="デミガール" dataDxfId="511">
      <calculatedColumnFormula>(COUNTIFS(集計用!$G:$G,"*, "&amp;AE$3&amp;",*", 集計用!$AE:$AE, $B4))/$A4*100</calculatedColumnFormula>
    </tableColumn>
    <tableColumn id="31" xr3:uid="{AF460103-8DF6-4B03-B4CB-B156FBC79A96}" name="トランスマスキュリン" dataDxfId="510">
      <calculatedColumnFormula>(COUNTIFS(集計用!$G:$G,"*, "&amp;AF$3&amp;",*", 集計用!$AE:$AE, $B4))/$A4*100</calculatedColumnFormula>
    </tableColumn>
    <tableColumn id="32" xr3:uid="{0A7CE6A3-5844-4BBE-BFFB-CC9BF591E345}" name="トランス男性" dataDxfId="509">
      <calculatedColumnFormula>(COUNTIFS(集計用!$G:$G,"*, "&amp;AG$3&amp;",*", 集計用!$AE:$AE, $B4))/$A4*100</calculatedColumnFormula>
    </tableColumn>
    <tableColumn id="33" xr3:uid="{B5628FAA-669D-44F6-BA6F-A52EC1A49D80}" name="デミジェンダー" dataDxfId="508">
      <calculatedColumnFormula>(COUNTIFS(集計用!$G:$G,"*, "&amp;AH$3&amp;",*", 集計用!$AE:$AE, $B4))/$A4*100</calculatedColumnFormula>
    </tableColumn>
    <tableColumn id="34" xr3:uid="{016078C7-4274-4D6C-B31E-F3C3ACD4DA6E}" name="バイジェンダー" dataDxfId="507">
      <calculatedColumnFormula>(COUNTIFS(集計用!$G:$G,"*, "&amp;AI$3&amp;",*", 集計用!$AE:$AE, $B4))/$A4*100</calculatedColumnFormula>
    </tableColumn>
    <tableColumn id="35" xr3:uid="{D7E48780-6FE5-44D6-B454-561E1A0BDCE8}" name="ゲイ（ジェンダーについて）" dataDxfId="506">
      <calculatedColumnFormula>(COUNTIFS(集計用!$G:$G,"*, "&amp;AJ$3&amp;",*", 集計用!$AE:$AE, $B4))/$A4*100</calculatedColumnFormula>
    </tableColumn>
    <tableColumn id="36" xr3:uid="{C7AE238F-AA61-441B-BD1B-3B7C3B4EC505}" name="ジェンダーフラックス／フラックスジェンダー" dataDxfId="505">
      <calculatedColumnFormula>(COUNTIFS(集計用!$G:$G,"*, "&amp;AK$3&amp;",*", 集計用!$AE:$AE, $B4))/$A4*100</calculatedColumnFormula>
    </tableColumn>
    <tableColumn id="37" xr3:uid="{EF2E1F2F-E21D-4796-9D4E-B5BFD5F75F2F}" name="トランスセクシュアル／transsexual" dataDxfId="504">
      <calculatedColumnFormula>(COUNTIFS(集計用!$G:$G,"*, "&amp;AL$3&amp;",*", 集計用!$AE:$AE, $B4))/$A4*100</calculatedColumnFormula>
    </tableColumn>
    <tableColumn id="38" xr3:uid="{7C9BA554-FB17-4E71-A74A-ED7D5B8583AE}" name="トランス女性" dataDxfId="503">
      <calculatedColumnFormula>(COUNTIFS(集計用!$G:$G,"*, "&amp;AM$3&amp;",*", 集計用!$AE:$AE, $B4))/$A4*100</calculatedColumnFormula>
    </tableColumn>
    <tableColumn id="39" xr3:uid="{14027C0A-C503-4CA1-95F3-9C8295EF17F1}" name="デミAジェンダー" dataDxfId="502">
      <calculatedColumnFormula>(COUNTIFS(集計用!$G:$G,"*, "&amp;AN$3&amp;",*", 集計用!$AE:$AE, $B4))/$A4*100</calculatedColumnFormula>
    </tableColumn>
    <tableColumn id="40" xr3:uid="{BB441209-E161-4173-AF88-0371DC7E653D}" name="デミボーイ" dataDxfId="501">
      <calculatedColumnFormula>(COUNTIFS(集計用!$G:$G,"*, "&amp;AO$3&amp;",*", 集計用!$AE:$AE, $B4))/$A4*100</calculatedColumnFormula>
    </tableColumn>
    <tableColumn id="41" xr3:uid="{D78065D2-7054-44EE-B8E9-4852C4CFA8AE}" name="トランスフェミニン" dataDxfId="500">
      <calculatedColumnFormula>(COUNTIFS(集計用!$G:$G,"*, "&amp;AP$3&amp;",*", 集計用!$AE:$AE, $B4))/$A4*100</calculatedColumnFormula>
    </tableColumn>
    <tableColumn id="42" xr3:uid="{4AAAB955-3F99-43A2-8A71-CD1EA25E91EA}" name="青年" dataDxfId="499">
      <calculatedColumnFormula>(COUNTIFS(集計用!$G:$G,"*, "&amp;AQ$3&amp;",*", 集計用!$AE:$AE, $B4))/$A4*100</calculatedColumnFormula>
    </tableColumn>
    <tableColumn id="43" xr3:uid="{7BF953AC-5FB8-474B-B6CA-9AABED6E7303}" name="ポリジェンダー" dataDxfId="498">
      <calculatedColumnFormula>(COUNTIFS(集計用!$G:$G,"*, "&amp;AR$3&amp;",*", 集計用!$AE:$AE, $B4))/$A4*100</calculatedColumnFormula>
    </tableColumn>
    <tableColumn id="44" xr3:uid="{2F1AD6DA-27AB-48C9-9063-5B3F332A428C}" name="フェム" dataDxfId="497">
      <calculatedColumnFormula>(COUNTIFS(集計用!$G:$G,"*, "&amp;AS$3&amp;",*", 集計用!$AE:$AE, $B4))/$A4*100</calculatedColumnFormula>
    </tableColumn>
    <tableColumn id="45" xr3:uid="{9BBEC1A1-57E3-4CC7-9DBE-EA9AEA5C85EA}" name="ジェンダーヴォイド／gendervoid" dataDxfId="496">
      <calculatedColumnFormula>(COUNTIFS(集計用!$G:$G,"*, "&amp;AT$3&amp;",*", 集計用!$AE:$AE, $B4))/$A4*100</calculatedColumnFormula>
    </tableColumn>
    <tableColumn id="46" xr3:uid="{F9CE4361-59E3-4D17-9846-604369764827}" name="ニューロジェンダー／neurogender" dataDxfId="495">
      <calculatedColumnFormula>(COUNTIFS(集計用!$G:$G,"*, "&amp;AU$3&amp;",*", 集計用!$AE:$AE, $B4))/$A4*100</calculatedColumnFormula>
    </tableColumn>
    <tableColumn id="47" xr3:uid="{6C27ED8A-DACE-4265-9055-C1A19B2E8199}" name="女の子／girl" dataDxfId="494">
      <calculatedColumnFormula>(COUNTIFS(集計用!$G:$G,"*, "&amp;AV$3&amp;",*", 集計用!$AE:$AE, $B4))/$A4*100</calculatedColumnFormula>
    </tableColumn>
    <tableColumn id="48" xr3:uid="{E34C65D3-4992-425F-B7E1-28E40707D548}" name="ゼノジェンダー／xenogender" dataDxfId="493">
      <calculatedColumnFormula>(COUNTIFS(集計用!$G:$G,"*, "&amp;AW$3&amp;",*", 集計用!$AE:$AE, $B4))/$A4*100</calculatedColumnFormula>
    </tableColumn>
    <tableColumn id="49" xr3:uid="{9FB4773E-2139-47AD-9466-F3F3F8F847A0}" name="バイナリー" dataDxfId="492">
      <calculatedColumnFormula>(COUNTIFS(集計用!$G:$G,"*, "&amp;AX$3&amp;",*", 集計用!$AE:$AE, $B4))/$A4*100</calculatedColumnFormula>
    </tableColumn>
    <tableColumn id="50" xr3:uid="{957F6414-1F9E-4F26-A820-EF5D033D1312}" name="少年" dataDxfId="491">
      <calculatedColumnFormula>(COUNTIFS(集計用!$G:$G,"*, "&amp;AY$3&amp;",*", 集計用!$AE:$AE, $B4))/$A4*100</calculatedColumnFormula>
    </tableColumn>
    <tableColumn id="51" xr3:uid="{30C3CE99-74CD-465A-B945-10F876F63607}" name="ボイ" dataDxfId="490">
      <calculatedColumnFormula>(COUNTIFS(集計用!$G:$G,"*, "&amp;AZ$3&amp;",*", 集計用!$AE:$AE, $B4))/$A4*100</calculatedColumnFormula>
    </tableColumn>
    <tableColumn id="52" xr3:uid="{C16BB6ED-761D-43A4-92FC-A38E904B8364}" name="男の子／boy" dataDxfId="489">
      <calculatedColumnFormula>(COUNTIFS(集計用!$G:$G,"*, "&amp;BA$3&amp;",*", 集計用!$AE:$AE, $B4))/$A4*100</calculatedColumnFormula>
    </tableColumn>
    <tableColumn id="53" xr3:uid="{35ACFA18-F39C-4DEC-9C9F-0A597920BC44}" name="アンドロジャイン／androgyne" dataDxfId="488">
      <calculatedColumnFormula>(COUNTIFS(集計用!$G:$G,"*, "&amp;BB$3&amp;",*", 集計用!$AE:$AE, $B4))/$A4*100</calculatedColumnFormula>
    </tableColumn>
    <tableColumn id="54" xr3:uid="{8D09BEA3-F483-4146-9D3D-1B502E17892D}" name="少女" dataDxfId="487">
      <calculatedColumnFormula>(COUNTIFS(集計用!$G:$G,"*, "&amp;BC$3&amp;",*", 集計用!$AE:$AE, $B4))/$A4*100</calculatedColumnFormula>
    </tableColumn>
    <tableColumn id="55" xr3:uid="{FD68A695-3BAB-4506-90F9-CC21BC3B0FE0}" name="ダイク／dyke" dataDxfId="486">
      <calculatedColumnFormula>(COUNTIFS(集計用!$G:$G,"*, "&amp;BD$3&amp;",*", 集計用!$AE:$AE, $B4))/$A4*100</calculatedColumnFormula>
    </tableColumn>
    <tableColumn id="56" xr3:uid="{5496807B-869B-4301-9159-3BF0B74013EF}" name="ブッチ／butch" dataDxfId="485">
      <calculatedColumnFormula>(COUNTIFS(集計用!$G:$G,"*, "&amp;BE$3&amp;",*", 集計用!$AE:$AE, $B4))/$A4*100</calculatedColumnFormula>
    </tableColumn>
    <tableColumn id="57" xr3:uid="{B9E759CD-5A22-481C-BF5C-2A0DAF6BF607}" name="おかま" dataDxfId="484">
      <calculatedColumnFormula>(COUNTIFS(集計用!$G:$G,"*, "&amp;BF$3&amp;",*", 集計用!$AE:$AE, $B4))/$A4*100</calculatedColumnFormula>
    </tableColumn>
    <tableColumn id="58" xr3:uid="{33298EA5-0D77-4679-86AB-B4BC601BEC17}" name="ニューハーフ" dataDxfId="483">
      <calculatedColumnFormula>(COUNTIFS(集計用!$G:$G,"*, "&amp;BG$3&amp;",*", 集計用!$AE:$AE, $B4))/$A4*100</calculatedColumnFormula>
    </tableColumn>
    <tableColumn id="59" xr3:uid="{99906BA4-C413-4446-B5EB-91F8EFAC2BF8}" name="おなべ" dataDxfId="482">
      <calculatedColumnFormula>(COUNTIFS(集計用!$G:$G,"*, "&amp;BH$3&amp;",*", 集計用!$AE:$AE, $B4))/$A4*100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0F4B61-F2E7-410B-92D0-3729C7044D21}" name="テーブル2" displayName="テーブル2" ref="A3:N61" totalsRowShown="0" headerRowDxfId="481" dataDxfId="480" headerRowCellStyle="パーセント">
  <autoFilter ref="A3:N61" xr:uid="{570F4B61-F2E7-410B-92D0-3729C7044D21}"/>
  <sortState xmlns:xlrd2="http://schemas.microsoft.com/office/spreadsheetml/2017/richdata2" ref="A4:N61">
    <sortCondition descending="1" ref="B3:B61"/>
  </sortState>
  <tableColumns count="14">
    <tableColumn id="2" xr3:uid="{ED33D9AB-F1BA-44BB-A164-DED0F77D8929}" name="cluster" dataDxfId="479"/>
    <tableColumn id="15" xr3:uid="{65887C30-F1CF-4525-9236-27F60385F5B2}" name="n=" dataDxfId="478"/>
    <tableColumn id="3" xr3:uid="{29D74179-DEB1-4A06-9CFA-13A4A74CDFF9}" name="ジェンダー・ラベル" dataDxfId="477"/>
    <tableColumn id="1" xr3:uid="{F9ECB7D9-58E5-48F7-A799-69652FC77996}" name="全年齢層" dataDxfId="476">
      <calculatedColumnFormula>テーブル2[[#This Row],[n=]]/443*100</calculatedColumnFormula>
    </tableColumn>
    <tableColumn id="4" xr3:uid="{A7DB6429-C0C0-4A9F-B808-F7FBB335DC7E}" name="-20" dataDxfId="475">
      <calculatedColumnFormula>(COUNTIFS(集計用!$G:$G, "*, "&amp;$C4&amp;", *",集計用!$AE:$AE,"11-15")+COUNTIFS(集計用!$G:$G, "*, "&amp;$C4&amp;", *",集計用!$AE:$AE,"16-20"))/E$2*100</calculatedColumnFormula>
    </tableColumn>
    <tableColumn id="5" xr3:uid="{575DA4B2-2FAD-420D-AD9B-148ADFCCB7B8}" name="21-25" dataDxfId="474">
      <calculatedColumnFormula>(COUNTIFS(集計用!$G:$G, "*, "&amp;$C4&amp;", *",集計用!$AE:$AE,"21-25"))/F$2*100</calculatedColumnFormula>
    </tableColumn>
    <tableColumn id="6" xr3:uid="{FC91367A-B5AE-48D0-A4D3-AAF00BBBD229}" name="26-30" dataDxfId="473">
      <calculatedColumnFormula>COUNTIFS(集計用!$G:$G, "*, "&amp;$C4&amp;", *",集計用!$AE:$AE,"26-30")/G$2*100</calculatedColumnFormula>
    </tableColumn>
    <tableColumn id="7" xr3:uid="{09A44FD4-E43E-4846-8788-C401B77CE6B3}" name="31-35" dataDxfId="472">
      <calculatedColumnFormula>(COUNTIFS(集計用!$G:$G, "*, "&amp;$C4&amp;", *",集計用!$AE:$AE,"31-35"))/H$2*100</calculatedColumnFormula>
    </tableColumn>
    <tableColumn id="8" xr3:uid="{6BA0EDD8-84BB-439C-8110-31B16F20AFA4}" name="36-40" dataDxfId="471">
      <calculatedColumnFormula>(COUNTIFS(集計用!$G:$G, "*, "&amp;$C4&amp;", *",集計用!$AE:$AE,"36-40"))/I$2*100</calculatedColumnFormula>
    </tableColumn>
    <tableColumn id="9" xr3:uid="{FAD18535-552E-4EBE-9F29-A444D4EC8D37}" name="41-45" dataDxfId="470">
      <calculatedColumnFormula>(COUNTIFS(集計用!$G:$G, "*, "&amp;$C4&amp;", *",集計用!$AE:$AE,"41-45"))/J$2*100</calculatedColumnFormula>
    </tableColumn>
    <tableColumn id="10" xr3:uid="{73343E91-5714-4990-BD12-FAA87D975A8E}" name="46-50" dataDxfId="469">
      <calculatedColumnFormula>(COUNTIFS(集計用!$G:$G, "*, "&amp;$C4&amp;", *",集計用!$AE:$AE,"46-50"))/K$2*100</calculatedColumnFormula>
    </tableColumn>
    <tableColumn id="11" xr3:uid="{ED10A5EB-F863-43DB-8A7F-65612DA46FA7}" name="51-55" dataDxfId="468">
      <calculatedColumnFormula>(COUNTIFS(集計用!$G:$G, "*, "&amp;$C4&amp;", *",集計用!$AE:$AE,"51-55")+COUNTIFS(集計用!$G:$G, "*, "&amp;$C4&amp;", *",集計用!$AE:$AE,"56-60")+COUNTIFS(集計用!$G:$G, "*, "&amp;$C4&amp;", *",集計用!$AE:$AE,"61-65"))/L$2*100</calculatedColumnFormula>
    </tableColumn>
    <tableColumn id="12" xr3:uid="{583643FD-E674-4B37-AB70-C8FF77C84002}" name="56+" dataDxfId="467">
      <calculatedColumnFormula>(COUNTIFS(集計用!$G:$G, "*, "&amp;$C4&amp;", *",集計用!$AE:$AE,"56-60")+COUNTIFS(集計用!$G:$G, "*, "&amp;$C4&amp;", *",集計用!$AE:$AE,"61-65"))/M$2*100</calculatedColumnFormula>
    </tableColumn>
    <tableColumn id="13" xr3:uid="{67A4E5E9-37E1-4032-8FCF-4CD8C338236E}" name="無回答" dataDxfId="466">
      <calculatedColumnFormula>COUNTIFS(集計用!$G:$G,"*, "&amp;$C4&amp;", *",集計用!$AE:$AE,"無回答")/$N$2*100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85E524-64D5-4D58-9E2F-6964524252FB}" name="テーブル3" displayName="テーブル3" ref="A3:N61" totalsRowShown="0" headerRowDxfId="465" dataDxfId="464" headerRowCellStyle="パーセント">
  <autoFilter ref="A3:N61" xr:uid="{0385E524-64D5-4D58-9E2F-6964524252FB}"/>
  <sortState xmlns:xlrd2="http://schemas.microsoft.com/office/spreadsheetml/2017/richdata2" ref="A4:N61">
    <sortCondition descending="1" ref="B3:B61"/>
  </sortState>
  <tableColumns count="14">
    <tableColumn id="2" xr3:uid="{60636AFA-9BD4-43AB-BC2C-6DEBB0C3C9A6}" name="cluster" dataDxfId="463"/>
    <tableColumn id="15" xr3:uid="{BC17B57D-8734-469F-998F-12651F369BA2}" name="n=" dataDxfId="462"/>
    <tableColumn id="3" xr3:uid="{63C4AAA0-D311-4643-BFEE-9F267FD22F04}" name="ジェンダー・ラベル" dataDxfId="461"/>
    <tableColumn id="14" xr3:uid="{C693CE53-83F0-46D2-B9EF-225A561965C2}" name="全回答者" dataDxfId="460">
      <calculatedColumnFormula>(SUMIFS(集計用!$AI:$AI,集計用!$G:$G,"*, "&amp;$C4&amp;", *")/(COUNTIF(集計用!$G:$G,"*, "&amp;$C4&amp;", *")))</calculatedColumnFormula>
    </tableColumn>
    <tableColumn id="4" xr3:uid="{B42DF59F-3325-4B15-9645-7529CC824903}" name="16-20" dataDxfId="459">
      <calculatedColumnFormula>(SUMIFS(集計用!$AI:$AI,集計用!$AE:$AE,"11-15")+SUMIFS(集計用!$AI:$AI,集計用!$AE:$AE,"16-20"))/(COUNTIFS(集計用!$AE:$AE,"11-15")+COUNTIFS(集計用!$AE:$AE,"16-20"))</calculatedColumnFormula>
    </tableColumn>
    <tableColumn id="5" xr3:uid="{869454DC-B439-4F81-84D0-F7E6FAB9CF94}" name="21-25" dataDxfId="458">
      <calculatedColumnFormula>(SUMIFS(集計用!$AI:$AI, 集計用!$G:$G, "*, "&amp;$C4&amp;", *",集計用!$AE:$AE,F$3))/COUNTIFS(集計用!$G:$G, "*, "&amp;$C4&amp;", *",集計用!$AE:$AE,F$3)</calculatedColumnFormula>
    </tableColumn>
    <tableColumn id="6" xr3:uid="{F334E63C-A55C-4091-B2E1-ED80962A2CCE}" name="26-30" dataDxfId="457">
      <calculatedColumnFormula>(SUMIFS(集計用!$AI:$AI, 集計用!$G:$G, "*, "&amp;$C4&amp;", *",集計用!$AE:$AE,G$3))/COUNTIFS(集計用!$G:$G, "*, "&amp;$C4&amp;", *",集計用!$AE:$AE,G$3)</calculatedColumnFormula>
    </tableColumn>
    <tableColumn id="7" xr3:uid="{B06B5D0E-BD5E-4737-A261-5B9ABCAD2BD1}" name="31-35" dataDxfId="456">
      <calculatedColumnFormula>(SUMIFS(集計用!$AI:$AI, 集計用!$G:$G, "*, "&amp;$C4&amp;", *",集計用!$AE:$AE,H$3))/COUNTIFS(集計用!$G:$G, "*, "&amp;$C4&amp;", *",集計用!$AE:$AE,H$3)</calculatedColumnFormula>
    </tableColumn>
    <tableColumn id="8" xr3:uid="{91CB0F49-A596-4E11-AFE3-8D14AD1096DC}" name="36-40" dataDxfId="455">
      <calculatedColumnFormula>(SUMIFS(集計用!$AI:$AI, 集計用!$G:$G, "*, "&amp;$C4&amp;", *",集計用!$AE:$AE,I$3))/COUNTIFS(集計用!$G:$G, "*, "&amp;$C4&amp;", *",集計用!$AE:$AE,I$3)</calculatedColumnFormula>
    </tableColumn>
    <tableColumn id="9" xr3:uid="{AF9883AF-1CBF-4E9E-BD9A-2157FE6A7718}" name="41-45" dataDxfId="454">
      <calculatedColumnFormula>(SUMIFS(集計用!$AI:$AI, 集計用!$G:$G, "*, "&amp;$C4&amp;", *",集計用!$AE:$AE,J$3))/COUNTIFS(集計用!$G:$G, "*, "&amp;$C4&amp;", *",集計用!$AE:$AE,J$3)</calculatedColumnFormula>
    </tableColumn>
    <tableColumn id="10" xr3:uid="{1694B920-9A5A-4BB5-BB19-DF4489E58AFD}" name="46-50" dataDxfId="453">
      <calculatedColumnFormula>(SUMIFS(集計用!$AI:$AI, 集計用!$G:$G, "*, "&amp;$C4&amp;", *",集計用!$AE:$AE,K$3))/COUNTIFS(集計用!$G:$G, "*, "&amp;$C4&amp;", *",集計用!$AE:$AE,K$3)</calculatedColumnFormula>
    </tableColumn>
    <tableColumn id="11" xr3:uid="{EAA2F7DF-0CFE-43B9-BE3E-5E30F5E746B1}" name="51-55" dataDxfId="452">
      <calculatedColumnFormula>(SUMIFS(集計用!$AI:$AI, 集計用!$G:$G, "*, "&amp;$C4&amp;", *",集計用!$AE:$AE,L$3))/COUNTIFS(集計用!$G:$G, "*, "&amp;$C4&amp;", *",集計用!$AE:$AE,L$3)</calculatedColumnFormula>
    </tableColumn>
    <tableColumn id="12" xr3:uid="{C9E2EF19-5E09-4830-985B-72CE1273313F}" name="56+" dataDxfId="451">
      <calculatedColumnFormula>(SUMIFS(集計用!$AI:$AI, 集計用!$G:$G, "*, "&amp;$C4&amp;", *",集計用!$AE:$AE,"56-60")+SUMIFS(集計用!$AI:$AI, 集計用!$G:$G, "*, "&amp;$C4&amp;", *",集計用!$AE:$AE,"61-65"))/(COUNTIFS(集計用!$G:$G, "*, "&amp;$C4&amp;", *",集計用!$AE:$AE,"56-60")+COUNTIFS(集計用!$G:$G, "*, "&amp;$C4&amp;", *",集計用!$AE:$AE,"61-65"))</calculatedColumnFormula>
    </tableColumn>
    <tableColumn id="13" xr3:uid="{1F23E414-A980-4F6D-B883-3FCD33145704}" name="無回答" dataDxfId="450">
      <calculatedColumnFormula>(SUMIFS(集計用!$AI:$AI, 集計用!$G:$G, "*, "&amp;$C4&amp;", *",集計用!$AE:$AE,N$3))/COUNTIFS(集計用!$G:$G, "*, "&amp;$C4&amp;", *",集計用!$AE:$AE,N$3)</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8001CD8-D8B4-40AE-A335-4B1B53A7114E}" name="テーブル210" displayName="テーブル210" ref="A4:T62" totalsRowShown="0" headerRowDxfId="449" dataDxfId="448" headerRowCellStyle="パーセント">
  <autoFilter ref="A4:T62" xr:uid="{570F4B61-F2E7-410B-92D0-3729C7044D21}"/>
  <sortState xmlns:xlrd2="http://schemas.microsoft.com/office/spreadsheetml/2017/richdata2" ref="A5:T62">
    <sortCondition descending="1" ref="B4:B62"/>
  </sortState>
  <tableColumns count="20">
    <tableColumn id="2" xr3:uid="{FC899606-266D-4559-B9D8-230B8C3BDE70}" name="cluster" dataDxfId="447"/>
    <tableColumn id="15" xr3:uid="{0A4AAD4D-4189-41CE-A668-35AD44E991E2}" name="n=" dataDxfId="446"/>
    <tableColumn id="3" xr3:uid="{357167D0-0855-4E5A-8432-6DDE29A4CC86}" name="ジェンダー・ラベル" dataDxfId="445"/>
    <tableColumn id="4" xr3:uid="{E54A2D23-0072-4D33-94E6-0062709255BA}" name="私（わたし／わたくし）" dataDxfId="444">
      <calculatedColumnFormula>COUNTIFS(集計用!$Q:$Q, "*, "&amp;D$4&amp;", *")/$B5*100</calculatedColumnFormula>
    </tableColumn>
    <tableColumn id="5" xr3:uid="{36E1C081-3F12-42CB-8137-DE05ABCFCE3C}" name="自分" dataDxfId="443">
      <calculatedColumnFormula>(COUNTIFS(集計用!$G:$G, "*, "&amp;$C5&amp;", *",集計用!$AE:$AE,"21-25"))/E$3*100</calculatedColumnFormula>
    </tableColumn>
    <tableColumn id="6" xr3:uid="{0146F26C-393A-40F0-83AE-95C8FB6E7DAE}" name="わたし" dataDxfId="442">
      <calculatedColumnFormula>COUNTIFS(集計用!$G:$G, "*, "&amp;$C5&amp;", *",集計用!$AE:$AE,"26-30")/F$3*100</calculatedColumnFormula>
    </tableColumn>
    <tableColumn id="7" xr3:uid="{7B068349-A13F-4307-AECA-598E383C5F7F}" name="俺" dataDxfId="441">
      <calculatedColumnFormula>(COUNTIFS(集計用!$G:$G, "*, "&amp;$C5&amp;", *",集計用!$AE:$AE,"31-35"))/G$3*100</calculatedColumnFormula>
    </tableColumn>
    <tableColumn id="8" xr3:uid="{AF7A7DFB-E685-429A-A27A-06BE930FBD1D}" name="（時とともに変わる）" dataDxfId="440">
      <calculatedColumnFormula>(COUNTIFS(集計用!$G:$G, "*, "&amp;$C5&amp;", *",集計用!$AE:$AE,"36-40"))/H$3*100</calculatedColumnFormula>
    </tableColumn>
    <tableColumn id="9" xr3:uid="{463AEEF5-536E-45D9-BBD0-00EAD66A23E1}" name="僕" dataDxfId="439">
      <calculatedColumnFormula>(COUNTIFS(集計用!$G:$G, "*, "&amp;$C5&amp;", *",集計用!$AE:$AE,"41-45"))/I$3*100</calculatedColumnFormula>
    </tableColumn>
    <tableColumn id="10" xr3:uid="{34A63655-B384-4A8C-8D37-B6BE6597BB79}" name="（自分（たち）の名前）" dataDxfId="438">
      <calculatedColumnFormula>(COUNTIFS(集計用!$G:$G, "*, "&amp;$C5&amp;", *",集計用!$AE:$AE,"46-50"))/J$3*100</calculatedColumnFormula>
    </tableColumn>
    <tableColumn id="11" xr3:uid="{D7DAFAB4-2809-428B-B8E0-EBDE997558BA}" name="ぼく" dataDxfId="437">
      <calculatedColumnFormula>(COUNTIFS(集計用!$G:$G, "*, "&amp;$C5&amp;", *",集計用!$AE:$AE,"51-55")+COUNTIFS(集計用!$G:$G, "*, "&amp;$C5&amp;", *",集計用!$AE:$AE,"56-60")+COUNTIFS(集計用!$G:$G, "*, "&amp;$C5&amp;", *",集計用!$AE:$AE,"61-65"))/K$3*100</calculatedColumnFormula>
    </tableColumn>
    <tableColumn id="12" xr3:uid="{013B1CE2-4030-469A-ADBC-DC0BD9570146}" name="おれ" dataDxfId="436">
      <calculatedColumnFormula>(COUNTIFS(集計用!$G:$G, "*, "&amp;$C5&amp;", *",集計用!$AE:$AE,"56-60")+COUNTIFS(集計用!$G:$G, "*, "&amp;$C5&amp;", *",集計用!$AE:$AE,"61-65"))/L$3*100</calculatedColumnFormula>
    </tableColumn>
    <tableColumn id="13" xr3:uid="{C757936B-7526-4A47-8274-416B2C549828}" name="うち" dataDxfId="435">
      <calculatedColumnFormula>COUNTIFS(集計用!$G:$G,"*, "&amp;$C5&amp;", *",集計用!$AE:$AE,"無回答")/$M$3*100</calculatedColumnFormula>
    </tableColumn>
    <tableColumn id="16" xr3:uid="{D4A07E4C-CA23-46E2-8864-267B967897DA}" name="（一人称の使用を避ける）" dataDxfId="434"/>
    <tableColumn id="17" xr3:uid="{1158F2AA-8CBA-41FE-A5CE-EF488C967A9F}" name="わし" dataDxfId="433"/>
    <tableColumn id="18" xr3:uid="{6535DA8C-B9CE-416E-A312-3847E496915E}" name="あたし" dataDxfId="432"/>
    <tableColumn id="19" xr3:uid="{877BB48B-4926-41EB-A507-4573D2089B8F}" name="わたくし" dataDxfId="431"/>
    <tableColumn id="20" xr3:uid="{A682E257-D951-40BE-8956-3D6CB5B4C2DF}" name="（クエスチョニング、模索中、または不明）" dataDxfId="430"/>
    <tableColumn id="21" xr3:uid="{591CBC67-1990-441D-ACED-0CCDCEAFC6C5}" name="（any／問わない／どれでもよい）" dataDxfId="429"/>
    <tableColumn id="22" xr3:uid="{EF33E595-581F-4869-8C41-5E4DB7F44008}" name="おら" dataDxfId="4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E97BD18-2751-444B-8473-6B87698E4B8C}" name="テーブル16" displayName="テーブル16" ref="V4:BT62" totalsRowShown="0" headerRowDxfId="427" dataDxfId="426">
  <autoFilter ref="V4:BT62" xr:uid="{BE97BD18-2751-444B-8473-6B87698E4B8C}"/>
  <tableColumns count="51">
    <tableColumn id="1" xr3:uid="{74A2E519-C427-4591-B03B-75FB25DBF322}" name="ワイ" dataDxfId="425">
      <calculatedColumnFormula>COUNTIFS(集計用!$P:$P, "*"&amp;V$4&amp;",*",集計用!$G:$G,"*, "&amp;$C5&amp;", *")/$B5*100</calculatedColumnFormula>
    </tableColumn>
    <tableColumn id="2" xr3:uid="{DCC835BB-04C9-4B79-8CC5-686DCF74E684}" name="わい" dataDxfId="424">
      <calculatedColumnFormula>COUNTIFS(集計用!$P:$P, "*"&amp;W$4&amp;",*",集計用!$G:$G,"*, "&amp;$C5&amp;", *")/$B5*100</calculatedColumnFormula>
    </tableColumn>
    <tableColumn id="3" xr3:uid="{00AB4523-2017-4734-B068-FF07419D1D95}" name="我" dataDxfId="423">
      <calculatedColumnFormula>COUNTIFS(集計用!$P:$P, "*"&amp;X$4&amp;",*",集計用!$G:$G,"*, "&amp;$C5&amp;", *")/$B5*100</calculatedColumnFormula>
    </tableColumn>
    <tableColumn id="4" xr3:uid="{01BD7F92-F794-4318-BB0D-7C19A2C649F5}" name="あだ名" dataDxfId="422">
      <calculatedColumnFormula>COUNTIFS(集計用!$P:$P, "*"&amp;Y$4&amp;",*",集計用!$G:$G,"*, "&amp;$C5&amp;", *")/$B5*100</calculatedColumnFormula>
    </tableColumn>
    <tableColumn id="5" xr3:uid="{38FD6D4C-F393-4133-9C5B-BC4440533260}" name="あーし" dataDxfId="421">
      <calculatedColumnFormula>COUNTIFS(集計用!$P:$P, "*"&amp;Z$4&amp;",*",集計用!$G:$G,"*, "&amp;$C5&amp;", *")/$B5*100</calculatedColumnFormula>
    </tableColumn>
    <tableColumn id="6" xr3:uid="{58134686-E6A1-4591-B496-5E94F4782BB4}" name="おいら" dataDxfId="420">
      <calculatedColumnFormula>COUNTIFS(集計用!$P:$P, "*"&amp;AA$4&amp;",*",集計用!$G:$G,"*, "&amp;$C5&amp;", *")/$B5*100</calculatedColumnFormula>
    </tableColumn>
    <tableColumn id="7" xr3:uid="{618A8248-D1EB-420A-BF87-DC35FD9F61AE}" name="われ" dataDxfId="419">
      <calculatedColumnFormula>COUNTIFS(集計用!$P:$P, "*"&amp;AB$4&amp;",*",集計用!$G:$G,"*, "&amp;$C5&amp;", *")/$B5*100</calculatedColumnFormula>
    </tableColumn>
    <tableColumn id="8" xr3:uid="{F80893AD-BE6B-4255-9A7F-95949858440F}" name="(あだ名)+ちゃん" dataDxfId="418">
      <calculatedColumnFormula>COUNTIFS(集計用!$P:$P, "*"&amp;AC$4&amp;",*",集計用!$G:$G,"*, "&amp;$C5&amp;", *")/$B5*100</calculatedColumnFormula>
    </tableColumn>
    <tableColumn id="9" xr3:uid="{766DB7AA-39ED-4632-A02B-6707BAFBCA1A}" name="わっち" dataDxfId="417">
      <calculatedColumnFormula>COUNTIFS(集計用!$P:$P, "*"&amp;AD$4&amp;",*",集計用!$G:$G,"*, "&amp;$C5&amp;", *")/$B5*100</calculatedColumnFormula>
    </tableColumn>
    <tableColumn id="10" xr3:uid="{86A8B687-BB56-4E97-80D7-F91602E3ABDB}" name="あたい" dataDxfId="416">
      <calculatedColumnFormula>COUNTIFS(集計用!$P:$P, "*"&amp;AE$4&amp;",*",集計用!$G:$G,"*, "&amp;$C5&amp;", *")/$B5*100</calculatedColumnFormula>
    </tableColumn>
    <tableColumn id="11" xr3:uid="{6F13ABA2-5882-4E44-994A-F6967CC87ADF}" name="自分" dataDxfId="415">
      <calculatedColumnFormula>COUNTIFS(集計用!$P:$P, "*"&amp;AF$4&amp;",*",集計用!$G:$G,"*, "&amp;$C5&amp;", *")/$B5*100</calculatedColumnFormula>
    </tableColumn>
    <tableColumn id="12" xr3:uid="{31431EF3-52D6-4043-B0CB-E34EA53B8B82}" name="当方" dataDxfId="414">
      <calculatedColumnFormula>COUNTIFS(集計用!$P:$P, "*"&amp;AG$4&amp;",*",集計用!$G:$G,"*, "&amp;$C5&amp;", *")/$B5*100</calculatedColumnFormula>
    </tableColumn>
    <tableColumn id="13" xr3:uid="{2D893BEA-5986-48A0-8B73-11EC207EAD78}" name="納得のいく代名詞はない" dataDxfId="413">
      <calculatedColumnFormula>COUNTIFS(集計用!$P:$P, "*"&amp;AH$4&amp;",*",集計用!$G:$G,"*, "&amp;$C5&amp;", *")/$B5*100</calculatedColumnFormula>
    </tableColumn>
    <tableColumn id="14" xr3:uid="{84A6D906-1B15-42CB-B67A-2FE564BFC02E}" name=" (あだ名)+ちゃん" dataDxfId="412">
      <calculatedColumnFormula>COUNTIFS(集計用!$P:$P, "*"&amp;AI$4&amp;",*",集計用!$G:$G,"*, "&amp;$C5&amp;", *")/$B5*100</calculatedColumnFormula>
    </tableColumn>
    <tableColumn id="15" xr3:uid="{EF6E5C7B-084A-4DB9-9192-F6520690355D}" name=" ●●ちゃん" dataDxfId="411">
      <calculatedColumnFormula>COUNTIFS(集計用!$P:$P, "*"&amp;AJ$4&amp;",*",集計用!$G:$G,"*, "&amp;$C5&amp;", *")/$B5*100</calculatedColumnFormula>
    </tableColumn>
    <tableColumn id="16" xr3:uid="{B0051765-904E-4507-B3CA-D810CB308FC4}" name="あーし2" dataDxfId="410">
      <calculatedColumnFormula>COUNTIFS(集計用!$P:$P, "*"&amp;AK$4&amp;",*",集計用!$G:$G,"*, "&amp;$C5&amp;", *")/$B5*100</calculatedColumnFormula>
    </tableColumn>
    <tableColumn id="17" xr3:uid="{C1A2631E-CF99-4C92-ABA1-C2AC119268CD}" name=" あてくし" dataDxfId="409">
      <calculatedColumnFormula>COUNTIFS(集計用!$P:$P, "*"&amp;AL$4&amp;",*",集計用!$G:$G,"*, "&amp;$C5&amp;", *")/$B5*100</calculatedColumnFormula>
    </tableColumn>
    <tableColumn id="18" xr3:uid="{438FEC01-9DEB-439B-857C-C5567DB5B1A6}" name=" おのれ" dataDxfId="408">
      <calculatedColumnFormula>COUNTIFS(集計用!$P:$P, "*"&amp;AM$4&amp;",*",集計用!$G:$G,"*, "&amp;$C5&amp;", *")/$B5*100</calculatedColumnFormula>
    </tableColumn>
    <tableColumn id="19" xr3:uid="{D68F87F1-ED4E-4437-88B6-DCD484AED924}" name=" じぶん" dataDxfId="407">
      <calculatedColumnFormula>COUNTIFS(集計用!$P:$P, "*"&amp;AN$4&amp;",*",集計用!$G:$G,"*, "&amp;$C5&amp;", *")/$B5*100</calculatedColumnFormula>
    </tableColumn>
    <tableColumn id="20" xr3:uid="{0AA4379B-38AD-4B55-A510-E05FC7796665}" name=" それがし" dataDxfId="406">
      <calculatedColumnFormula>COUNTIFS(集計用!$P:$P, "*"&amp;AO$4&amp;",*",集計用!$G:$G,"*, "&amp;$C5&amp;", *")/$B5*100</calculatedColumnFormula>
    </tableColumn>
    <tableColumn id="21" xr3:uid="{58F10CF1-683D-460D-8DC5-E4BD24E301FD}" name=" ぼくちゃん" dataDxfId="405">
      <calculatedColumnFormula>COUNTIFS(集計用!$P:$P, "*"&amp;AP$4&amp;",*",集計用!$G:$G,"*, "&amp;$C5&amp;", *")/$B5*100</calculatedColumnFormula>
    </tableColumn>
    <tableColumn id="22" xr3:uid="{C91377FC-8C12-42DA-95A3-96C4C58D3428}" name=" ミー(me)" dataDxfId="404">
      <calculatedColumnFormula>COUNTIFS(集計用!$P:$P, "*"&amp;AQ$4&amp;",*",集計用!$G:$G,"*, "&amp;$C5&amp;", *")/$B5*100</calculatedColumnFormula>
    </tableColumn>
    <tableColumn id="23" xr3:uid="{7F16DE80-88A1-468A-A518-63C42F755022}" name=" わたくしさま" dataDxfId="403">
      <calculatedColumnFormula>COUNTIFS(集計用!$P:$P, "*"&amp;AR$4&amp;",*",集計用!$G:$G,"*, "&amp;$C5&amp;", *")/$B5*100</calculatedColumnFormula>
    </tableColumn>
    <tableColumn id="24" xr3:uid="{9937D57D-B1A6-44E3-B3AC-C871BF5DC52D}" name=" わてくし" dataDxfId="402">
      <calculatedColumnFormula>COUNTIFS(集計用!$P:$P, "*"&amp;AS$4&amp;",*",集計用!$G:$G,"*, "&amp;$C5&amp;", *")/$B5*100</calculatedColumnFormula>
    </tableColumn>
    <tableColumn id="25" xr3:uid="{D480880E-80F4-4A32-8CA3-E61DB8882EE4}" name=" 拙者" dataDxfId="401">
      <calculatedColumnFormula>COUNTIFS(集計用!$P:$P, "*"&amp;AT$4&amp;",*",集計用!$G:$G,"*, "&amp;$C5&amp;", *")/$B5*100</calculatedColumnFormula>
    </tableColumn>
    <tableColumn id="26" xr3:uid="{7550D462-5C7F-422B-A083-CB72E7F01B29}" name=" 苗字" dataDxfId="400">
      <calculatedColumnFormula>COUNTIFS(集計用!$P:$P, "*"&amp;AU$4&amp;",*",集計用!$G:$G,"*, "&amp;$C5&amp;", *")/$B5*100</calculatedColumnFormula>
    </tableColumn>
    <tableColumn id="27" xr3:uid="{3EF4BDEA-1067-4EF2-AED6-41AC27CF67CA}" name=" 某" dataDxfId="399">
      <calculatedColumnFormula>COUNTIFS(集計用!$P:$P, "*"&amp;AV$4&amp;",*",集計用!$G:$G,"*, "&amp;$C5&amp;", *")/$B5*100</calculatedColumnFormula>
    </tableColumn>
    <tableColumn id="28" xr3:uid="{1AADFAC1-F10F-4EA0-953E-3CF112198AD3}" name="(あだ名)+くん" dataDxfId="398">
      <calculatedColumnFormula>COUNTIFS(集計用!$P:$P, "*"&amp;AW$4&amp;",*",集計用!$G:$G,"*, "&amp;$C5&amp;", *")/$B5*100</calculatedColumnFormula>
    </tableColumn>
    <tableColumn id="29" xr3:uid="{B5194323-085A-47A0-BCB4-C56905179E86}" name="(名前)+さん" dataDxfId="397">
      <calculatedColumnFormula>COUNTIFS(集計用!$P:$P, "*"&amp;AX$4&amp;",*",集計用!$G:$G,"*, "&amp;$C5&amp;", *")/$B5*100</calculatedColumnFormula>
    </tableColumn>
    <tableColumn id="30" xr3:uid="{969E90AC-868F-41D7-98F3-7424F6EB9D14}" name="(名前)+ちゃん" dataDxfId="396">
      <calculatedColumnFormula>COUNTIFS(集計用!$P:$P, "*"&amp;AY$4&amp;",*",集計用!$G:$G,"*, "&amp;$C5&amp;", *")/$B5*100</calculatedColumnFormula>
    </tableColumn>
    <tableColumn id="31" xr3:uid="{E924CFFB-87B7-4325-AE55-B867022956DC}" name="アタクシ" dataDxfId="395">
      <calculatedColumnFormula>COUNTIFS(集計用!$P:$P, "*"&amp;AZ$4&amp;",*",集計用!$G:$G,"*, "&amp;$C5&amp;", *")/$B5*100</calculatedColumnFormula>
    </tableColumn>
    <tableColumn id="32" xr3:uid="{36E3F76C-71F9-4741-A056-BBA517BDEA0A}" name="ゥチ" dataDxfId="394">
      <calculatedColumnFormula>COUNTIFS(集計用!$P:$P, "*"&amp;BA$4&amp;",*",集計用!$G:$G,"*, "&amp;$C5&amp;", *")/$B5*100</calculatedColumnFormula>
    </tableColumn>
    <tableColumn id="33" xr3:uid="{B6C5BB12-504E-4120-AB6C-2ED1EC17FC03}" name="うら（山梨県の一人称／男女の区別無し）" dataDxfId="393">
      <calculatedColumnFormula>COUNTIFS(集計用!$P:$P, "*"&amp;BB$4&amp;",*",集計用!$G:$G,"*, "&amp;$C5&amp;", *")/$B5*100</calculatedColumnFormula>
    </tableColumn>
    <tableColumn id="34" xr3:uid="{5A2F22A3-D113-410F-B19F-0C178544BD2D}" name="オレ" dataDxfId="392">
      <calculatedColumnFormula>COUNTIFS(集計用!$P:$P, "*"&amp;BC$4&amp;",*",集計用!$G:$G,"*, "&amp;$C5&amp;", *")/$B5*100</calculatedColumnFormula>
    </tableColumn>
    <tableColumn id="35" xr3:uid="{9A36DB66-4985-46FE-83CA-B62E4716B887}" name="おれ（方言の文脈で）" dataDxfId="391">
      <calculatedColumnFormula>COUNTIFS(集計用!$P:$P, "*"&amp;BD$4&amp;",*",集計用!$G:$G,"*, "&amp;$C5&amp;", *")/$B5*100</calculatedColumnFormula>
    </tableColumn>
    <tableColumn id="36" xr3:uid="{FC259587-6DA0-4254-A4E2-A42EE23781EB}" name="おれちゃん" dataDxfId="390">
      <calculatedColumnFormula>COUNTIFS(集計用!$P:$P, "*"&amp;BE$4&amp;",*",集計用!$G:$G,"*, "&amp;$C5&amp;", *")/$B5*100</calculatedColumnFormula>
    </tableColumn>
    <tableColumn id="37" xr3:uid="{7A084FAD-6778-4E7B-95C1-D26012B9C57D}" name="こっち" dataDxfId="389">
      <calculatedColumnFormula>COUNTIFS(集計用!$P:$P, "*"&amp;BF$4&amp;",*",集計用!$G:$G,"*, "&amp;$C5&amp;", *")/$B5*100</calculatedColumnFormula>
    </tableColumn>
    <tableColumn id="38" xr3:uid="{B7C3C926-DB54-4F24-B8A2-F1DE8A5E5A6C}" name="この人" dataDxfId="388">
      <calculatedColumnFormula>COUNTIFS(集計用!$P:$P, "*"&amp;BG$4&amp;",*",集計用!$G:$G,"*, "&amp;$C5&amp;", *")/$B5*100</calculatedColumnFormula>
    </tableColumn>
    <tableColumn id="39" xr3:uid="{2D297F71-4798-448D-B109-5766A0ACC4EA}" name="ぼく" dataDxfId="387">
      <calculatedColumnFormula>COUNTIFS(集計用!$P:$P, "*"&amp;BH$4&amp;",*",集計用!$G:$G,"*, "&amp;$C5&amp;", *")/$B5*100</calculatedColumnFormula>
    </tableColumn>
    <tableColumn id="40" xr3:uid="{2A643A6D-45FB-4B7E-B29D-FFE195A48E2E}" name="ボク" dataDxfId="386">
      <calculatedColumnFormula>COUNTIFS(集計用!$P:$P, "*"&amp;BI$4&amp;",*",集計用!$G:$G,"*, "&amp;$C5&amp;", *")/$B5*100</calculatedColumnFormula>
    </tableColumn>
    <tableColumn id="41" xr3:uid="{A43218BE-C5F8-4AB3-8D87-E1228E060A56}" name="みー" dataDxfId="385">
      <calculatedColumnFormula>COUNTIFS(集計用!$P:$P, "*"&amp;BJ$4&amp;",*",集計用!$G:$G,"*, "&amp;$C5&amp;", *")/$B5*100</calculatedColumnFormula>
    </tableColumn>
    <tableColumn id="42" xr3:uid="{C1860566-5BD8-4846-8A03-328B05BB9A3E}" name="俺ちゃん" dataDxfId="384">
      <calculatedColumnFormula>COUNTIFS(集計用!$P:$P, "*"&amp;BK$4&amp;",*",集計用!$G:$G,"*, "&amp;$C5&amp;", *")/$B5*100</calculatedColumnFormula>
    </tableColumn>
    <tableColumn id="43" xr3:uid="{414CC04B-CB16-4CB8-9972-A8CEFDDDF532}" name="己" dataDxfId="383">
      <calculatedColumnFormula>COUNTIFS(集計用!$P:$P, "*"&amp;BL$4&amp;",*",集計用!$G:$G,"*, "&amp;$C5&amp;", *")/$B5*100</calculatedColumnFormula>
    </tableColumn>
    <tableColumn id="44" xr3:uid="{B8F5B31C-80B3-44D8-ADD5-5336DBAE6DBE}" name="私" dataDxfId="382">
      <calculatedColumnFormula>COUNTIFS(集計用!$P:$P, "*"&amp;BM$4&amp;",*",集計用!$G:$G,"*, "&amp;$C5&amp;", *")/$B5*100</calculatedColumnFormula>
    </tableColumn>
    <tableColumn id="45" xr3:uid="{E69C545A-7CFE-480E-A701-E5BB13BE9927}" name="苗字" dataDxfId="381">
      <calculatedColumnFormula>COUNTIFS(集計用!$P:$P, "*"&amp;BN$4&amp;",*",集計用!$G:$G,"*, "&amp;$C5&amp;", *")/$B5*100</calculatedColumnFormula>
    </tableColumn>
    <tableColumn id="46" xr3:uid="{7A6F649D-A726-412C-BDD1-44B444D96BBE}" name="余" dataDxfId="380">
      <calculatedColumnFormula>COUNTIFS(集計用!$P:$P, "*"&amp;BO$4&amp;",*",集計用!$G:$G,"*, "&amp;$C5&amp;", *")/$B5*100</calculatedColumnFormula>
    </tableColumn>
    <tableColumn id="47" xr3:uid="{07008E0D-9105-4440-9EF2-C31AB2256C3C}" name="儂" dataDxfId="379">
      <calculatedColumnFormula>COUNTIFS(集計用!$P:$P, "*"&amp;BP$4&amp;",*",集計用!$G:$G,"*, "&amp;$C5&amp;", *")/$B5*100</calculatedColumnFormula>
    </tableColumn>
    <tableColumn id="48" xr3:uid="{B617B2B4-269F-4564-B174-2EB94EEF2D00}" name="あたし" dataDxfId="378">
      <calculatedColumnFormula>COUNTIFS(集計用!$P:$P, "*"&amp;BQ$4&amp;",*",集計用!$G:$G,"*, "&amp;$C5&amp;", *")/$B5*100</calculatedColumnFormula>
    </tableColumn>
    <tableColumn id="49" xr3:uid="{2DFEA425-8AAB-4C4B-B22D-6956F2242B9C}" name="おじさん" dataDxfId="377">
      <calculatedColumnFormula>COUNTIFS(集計用!$P:$P, "*"&amp;BR$4&amp;",*",集計用!$G:$G,"*, "&amp;$C5&amp;", *")/$B5*100</calculatedColumnFormula>
    </tableColumn>
    <tableColumn id="50" xr3:uid="{68571E55-3400-4F23-9842-73A387DA6A2E}" name="朕" dataDxfId="376">
      <calculatedColumnFormula>COUNTIFS(集計用!$P:$P, "*"&amp;BS$4&amp;",*",集計用!$G:$G,"*, "&amp;$C5&amp;", *")/$B5*100</calculatedColumnFormula>
    </tableColumn>
    <tableColumn id="51" xr3:uid="{3C9EE169-7C57-4F4B-BC3B-905BAFFA6FC6}" name="わし" dataDxfId="375">
      <calculatedColumnFormula>COUNTIFS(集計用!$P:$P, "*"&amp;BT$4&amp;",*",集計用!$G:$G,"*, "&amp;$C5&amp;", *")/$B5*100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3276AE1-58EA-488E-95ED-313D099F5FB4}" name="テーブル21018" displayName="テーブル21018" ref="A4:C62" totalsRowShown="0" headerRowDxfId="374" dataDxfId="373" headerRowCellStyle="パーセント">
  <autoFilter ref="A4:C62" xr:uid="{570F4B61-F2E7-410B-92D0-3729C7044D21}"/>
  <sortState xmlns:xlrd2="http://schemas.microsoft.com/office/spreadsheetml/2017/richdata2" ref="A5:C62">
    <sortCondition descending="1" ref="B4:B62"/>
  </sortState>
  <tableColumns count="3">
    <tableColumn id="2" xr3:uid="{CE6DD093-A107-49A8-B260-E14B238FE25F}" name="cluster" dataDxfId="372"/>
    <tableColumn id="15" xr3:uid="{E5486C0E-FFC3-4DB2-8A8F-50C4FB2A615F}" name="n=" dataDxfId="371"/>
    <tableColumn id="3" xr3:uid="{FFB3DB2D-E4F6-405B-ABEC-57CE4D52981F}" name="ジェンダー・ラベル" dataDxfId="37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776BD5B-3901-4A0A-BC4B-B51E9D305D45}" name="テーブル1619" displayName="テーブル1619" ref="D4:BB62" totalsRowShown="0" headerRowDxfId="369" dataDxfId="368">
  <autoFilter ref="D4:BB62" xr:uid="{BE97BD18-2751-444B-8473-6B87698E4B8C}"/>
  <tableColumns count="51">
    <tableColumn id="1" xr3:uid="{D5CAA6A6-11DA-4477-814E-89C361A17856}" name="ワイ" dataDxfId="367">
      <calculatedColumnFormula>COUNTIFS(集計用!$P:$P, "*"&amp;D$4&amp;",*",集計用!$G:$G,"*, "&amp;$C5&amp;", *")/$B5*100</calculatedColumnFormula>
    </tableColumn>
    <tableColumn id="2" xr3:uid="{7DB9E954-0F7F-4761-845A-B7A004D24714}" name="わい" dataDxfId="366">
      <calculatedColumnFormula>COUNTIFS(集計用!$P:$P, "*"&amp;E$4&amp;",*",集計用!$G:$G,"*, "&amp;$C5&amp;", *")/$B5*100</calculatedColumnFormula>
    </tableColumn>
    <tableColumn id="3" xr3:uid="{063DBC9F-DFBC-495C-A5AB-564672BE765F}" name="我" dataDxfId="365">
      <calculatedColumnFormula>COUNTIFS(集計用!$P:$P, "*"&amp;F$4&amp;",*",集計用!$G:$G,"*, "&amp;$C5&amp;", *")/$B5*100</calculatedColumnFormula>
    </tableColumn>
    <tableColumn id="4" xr3:uid="{7EF804BC-AAD5-4537-8334-1205F96A1E69}" name="あだ名" dataDxfId="364">
      <calculatedColumnFormula>COUNTIFS(集計用!$P:$P, "*"&amp;G$4&amp;",*",集計用!$G:$G,"*, "&amp;$C5&amp;", *")/$B5*100</calculatedColumnFormula>
    </tableColumn>
    <tableColumn id="5" xr3:uid="{15258768-5F18-464C-8D0F-4A1AD25AF2CA}" name="あーし" dataDxfId="363">
      <calculatedColumnFormula>COUNTIFS(集計用!$P:$P, "*"&amp;H$4&amp;",*",集計用!$G:$G,"*, "&amp;$C5&amp;", *")/$B5*100</calculatedColumnFormula>
    </tableColumn>
    <tableColumn id="6" xr3:uid="{C76AF7B5-353F-4E03-9745-D983FE6EBB35}" name="おいら" dataDxfId="362">
      <calculatedColumnFormula>COUNTIFS(集計用!$P:$P, "*"&amp;I$4&amp;",*",集計用!$G:$G,"*, "&amp;$C5&amp;", *")/$B5*100</calculatedColumnFormula>
    </tableColumn>
    <tableColumn id="7" xr3:uid="{C157C5EA-F370-4690-B8A8-0CF334E6E44C}" name="われ" dataDxfId="361">
      <calculatedColumnFormula>COUNTIFS(集計用!$P:$P, "*"&amp;J$4&amp;",*",集計用!$G:$G,"*, "&amp;$C5&amp;", *")/$B5*100</calculatedColumnFormula>
    </tableColumn>
    <tableColumn id="8" xr3:uid="{94DF2C56-D618-4633-9631-019AABB6B10A}" name="(あだ名)+ちゃん" dataDxfId="360">
      <calculatedColumnFormula>COUNTIFS(集計用!$P:$P, "*"&amp;K$4&amp;",*",集計用!$G:$G,"*, "&amp;$C5&amp;", *")/$B5*100</calculatedColumnFormula>
    </tableColumn>
    <tableColumn id="9" xr3:uid="{B821D534-308B-478A-82BA-F782F04E3E18}" name="わっち" dataDxfId="359">
      <calculatedColumnFormula>COUNTIFS(集計用!$P:$P, "*"&amp;L$4&amp;",*",集計用!$G:$G,"*, "&amp;$C5&amp;", *")/$B5*100</calculatedColumnFormula>
    </tableColumn>
    <tableColumn id="10" xr3:uid="{DC33FE17-D4F5-44A5-A281-55A91F590870}" name="あたい" dataDxfId="358">
      <calculatedColumnFormula>COUNTIFS(集計用!$P:$P, "*"&amp;M$4&amp;",*",集計用!$G:$G,"*, "&amp;$C5&amp;", *")/$B5*100</calculatedColumnFormula>
    </tableColumn>
    <tableColumn id="11" xr3:uid="{D825B725-BA6B-4790-ACB4-BBFDCF242775}" name="自分" dataDxfId="357">
      <calculatedColumnFormula>COUNTIFS(集計用!$P:$P, "*"&amp;N$4&amp;",*",集計用!$G:$G,"*, "&amp;$C5&amp;", *")/$B5*100</calculatedColumnFormula>
    </tableColumn>
    <tableColumn id="12" xr3:uid="{C6E8FE51-C961-4FB6-953D-BBC3B5E98DCE}" name="当方" dataDxfId="356">
      <calculatedColumnFormula>COUNTIFS(集計用!$P:$P, "*"&amp;O$4&amp;",*",集計用!$G:$G,"*, "&amp;$C5&amp;", *")/$B5*100</calculatedColumnFormula>
    </tableColumn>
    <tableColumn id="13" xr3:uid="{E830EB84-3495-484D-A388-61D855C0E9AC}" name="納得のいく代名詞はない" dataDxfId="355">
      <calculatedColumnFormula>COUNTIFS(集計用!$P:$P, "*"&amp;P$4&amp;",*",集計用!$G:$G,"*, "&amp;$C5&amp;", *")/$B5*100</calculatedColumnFormula>
    </tableColumn>
    <tableColumn id="14" xr3:uid="{678CCD89-3044-430A-B726-A9C5D9DEC58C}" name=" (あだ名)+ちゃん" dataDxfId="354">
      <calculatedColumnFormula>COUNTIFS(集計用!$P:$P, "*"&amp;Q$4&amp;",*",集計用!$G:$G,"*, "&amp;$C5&amp;", *")/$B5*100</calculatedColumnFormula>
    </tableColumn>
    <tableColumn id="15" xr3:uid="{61F3D84C-BFCB-4906-B96B-BA3E4543E68A}" name=" ●●ちゃん" dataDxfId="353">
      <calculatedColumnFormula>COUNTIFS(集計用!$P:$P, "*"&amp;R$4&amp;",*",集計用!$G:$G,"*, "&amp;$C5&amp;", *")/$B5*100</calculatedColumnFormula>
    </tableColumn>
    <tableColumn id="16" xr3:uid="{F24E0219-E31D-4A23-B91D-3ABF041621CE}" name="あーし2" dataDxfId="352">
      <calculatedColumnFormula>COUNTIFS(集計用!$P:$P, "*"&amp;S$4&amp;",*",集計用!$G:$G,"*, "&amp;$C5&amp;", *")/$B5*100</calculatedColumnFormula>
    </tableColumn>
    <tableColumn id="17" xr3:uid="{85D32005-DE32-48FD-91E7-3FC3897DED7A}" name=" あてくし" dataDxfId="351">
      <calculatedColumnFormula>COUNTIFS(集計用!$P:$P, "*"&amp;T$4&amp;",*",集計用!$G:$G,"*, "&amp;$C5&amp;", *")/$B5*100</calculatedColumnFormula>
    </tableColumn>
    <tableColumn id="18" xr3:uid="{5CF74F61-5566-4DA2-8913-BA4099C4D829}" name=" おのれ" dataDxfId="350">
      <calculatedColumnFormula>COUNTIFS(集計用!$P:$P, "*"&amp;U$4&amp;",*",集計用!$G:$G,"*, "&amp;$C5&amp;", *")/$B5*100</calculatedColumnFormula>
    </tableColumn>
    <tableColumn id="19" xr3:uid="{C5998DC6-F12B-4C84-B3B7-B31E422B50D6}" name=" じぶん" dataDxfId="349">
      <calculatedColumnFormula>COUNTIFS(集計用!$P:$P, "*"&amp;V$4&amp;",*",集計用!$G:$G,"*, "&amp;$C5&amp;", *")/$B5*100</calculatedColumnFormula>
    </tableColumn>
    <tableColumn id="20" xr3:uid="{00BB56FF-8EEA-4E1C-B43D-D5A898FA5D84}" name=" それがし" dataDxfId="348">
      <calculatedColumnFormula>COUNTIFS(集計用!$P:$P, "*"&amp;W$4&amp;",*",集計用!$G:$G,"*, "&amp;$C5&amp;", *")/$B5*100</calculatedColumnFormula>
    </tableColumn>
    <tableColumn id="21" xr3:uid="{8C06E01B-FF5C-4D75-A193-B7ECFFBE4E5A}" name=" ぼくちゃん" dataDxfId="347">
      <calculatedColumnFormula>COUNTIFS(集計用!$P:$P, "*"&amp;X$4&amp;",*",集計用!$G:$G,"*, "&amp;$C5&amp;", *")/$B5*100</calculatedColumnFormula>
    </tableColumn>
    <tableColumn id="22" xr3:uid="{962D370B-CC90-4655-B0B1-9CF652409129}" name=" ミー(me)" dataDxfId="346">
      <calculatedColumnFormula>COUNTIFS(集計用!$P:$P, "*"&amp;Y$4&amp;",*",集計用!$G:$G,"*, "&amp;$C5&amp;", *")/$B5*100</calculatedColumnFormula>
    </tableColumn>
    <tableColumn id="23" xr3:uid="{2CEE3A08-B602-4C54-9AC1-979B42144F2F}" name=" わたくしさま" dataDxfId="345">
      <calculatedColumnFormula>COUNTIFS(集計用!$P:$P, "*"&amp;Z$4&amp;",*",集計用!$G:$G,"*, "&amp;$C5&amp;", *")/$B5*100</calculatedColumnFormula>
    </tableColumn>
    <tableColumn id="24" xr3:uid="{4FAF8D0F-F25E-4DA7-992B-502C1D883BD2}" name=" わてくし" dataDxfId="344">
      <calculatedColumnFormula>COUNTIFS(集計用!$P:$P, "*"&amp;AA$4&amp;",*",集計用!$G:$G,"*, "&amp;$C5&amp;", *")/$B5*100</calculatedColumnFormula>
    </tableColumn>
    <tableColumn id="25" xr3:uid="{C51FA500-08F5-45E5-B218-3E0CC0328693}" name=" 拙者" dataDxfId="343">
      <calculatedColumnFormula>COUNTIFS(集計用!$P:$P, "*"&amp;AB$4&amp;",*",集計用!$G:$G,"*, "&amp;$C5&amp;", *")/$B5*100</calculatedColumnFormula>
    </tableColumn>
    <tableColumn id="26" xr3:uid="{1A891EBC-C074-4601-8A3D-33AD1B183D09}" name=" 苗字" dataDxfId="342">
      <calculatedColumnFormula>COUNTIFS(集計用!$P:$P, "*"&amp;AC$4&amp;",*",集計用!$G:$G,"*, "&amp;$C5&amp;", *")/$B5*100</calculatedColumnFormula>
    </tableColumn>
    <tableColumn id="27" xr3:uid="{41E12679-B655-48F2-B286-C20339520D84}" name=" 某" dataDxfId="341">
      <calculatedColumnFormula>COUNTIFS(集計用!$P:$P, "*"&amp;AD$4&amp;",*",集計用!$G:$G,"*, "&amp;$C5&amp;", *")/$B5*100</calculatedColumnFormula>
    </tableColumn>
    <tableColumn id="28" xr3:uid="{8609D872-1FB6-41E7-B2C0-22CB463DF4A3}" name="(あだ名)+くん" dataDxfId="340">
      <calculatedColumnFormula>COUNTIFS(集計用!$P:$P, "*"&amp;AE$4&amp;",*",集計用!$G:$G,"*, "&amp;$C5&amp;", *")/$B5*100</calculatedColumnFormula>
    </tableColumn>
    <tableColumn id="29" xr3:uid="{AA4F82C5-D5E1-4A7D-8810-62BED435E7F9}" name="(名前)+さん" dataDxfId="339">
      <calculatedColumnFormula>COUNTIFS(集計用!$P:$P, "*"&amp;AF$4&amp;",*",集計用!$G:$G,"*, "&amp;$C5&amp;", *")/$B5*100</calculatedColumnFormula>
    </tableColumn>
    <tableColumn id="30" xr3:uid="{625BFF24-8032-4B78-9CF8-0DA2CFE14B50}" name="(名前)+ちゃん" dataDxfId="338">
      <calculatedColumnFormula>COUNTIFS(集計用!$P:$P, "*"&amp;AG$4&amp;",*",集計用!$G:$G,"*, "&amp;$C5&amp;", *")/$B5*100</calculatedColumnFormula>
    </tableColumn>
    <tableColumn id="31" xr3:uid="{DC604E08-1C9F-49CC-BA77-B20F3BF6D58F}" name="アタクシ" dataDxfId="337">
      <calculatedColumnFormula>COUNTIFS(集計用!$P:$P, "*"&amp;AH$4&amp;",*",集計用!$G:$G,"*, "&amp;$C5&amp;", *")/$B5*100</calculatedColumnFormula>
    </tableColumn>
    <tableColumn id="32" xr3:uid="{B6E2321D-AF50-4A0A-8F2A-E60C45875D6F}" name="ゥチ" dataDxfId="336">
      <calculatedColumnFormula>COUNTIFS(集計用!$P:$P, "*"&amp;AI$4&amp;",*",集計用!$G:$G,"*, "&amp;$C5&amp;", *")/$B5*100</calculatedColumnFormula>
    </tableColumn>
    <tableColumn id="33" xr3:uid="{DC540BC8-962D-4840-AF88-314A1564F4DD}" name="うら（山梨県の一人称／男女の区別無し）" dataDxfId="335">
      <calculatedColumnFormula>COUNTIFS(集計用!$P:$P, "*"&amp;AJ$4&amp;",*",集計用!$G:$G,"*, "&amp;$C5&amp;", *")/$B5*100</calculatedColumnFormula>
    </tableColumn>
    <tableColumn id="34" xr3:uid="{4D9F3EA3-3096-4D91-8ED6-BC1B3DB9EC03}" name="オレ" dataDxfId="334">
      <calculatedColumnFormula>COUNTIFS(集計用!$P:$P, "*"&amp;AK$4&amp;",*",集計用!$G:$G,"*, "&amp;$C5&amp;", *")/$B5*100</calculatedColumnFormula>
    </tableColumn>
    <tableColumn id="35" xr3:uid="{54A57EFE-38DA-462C-BF56-9D9E52495888}" name="おれ（方言の文脈で）" dataDxfId="333">
      <calculatedColumnFormula>COUNTIFS(集計用!$P:$P, "*"&amp;AL$4&amp;",*",集計用!$G:$G,"*, "&amp;$C5&amp;", *")/$B5*100</calculatedColumnFormula>
    </tableColumn>
    <tableColumn id="36" xr3:uid="{FCD33AFD-434C-449D-8A0F-BCEE8E458F01}" name="おれちゃん" dataDxfId="332">
      <calculatedColumnFormula>COUNTIFS(集計用!$P:$P, "*"&amp;AM$4&amp;",*",集計用!$G:$G,"*, "&amp;$C5&amp;", *")/$B5*100</calculatedColumnFormula>
    </tableColumn>
    <tableColumn id="37" xr3:uid="{ED618BF3-72E2-4205-9913-F891FBD74963}" name="こっち" dataDxfId="331">
      <calculatedColumnFormula>COUNTIFS(集計用!$P:$P, "*"&amp;AN$4&amp;",*",集計用!$G:$G,"*, "&amp;$C5&amp;", *")/$B5*100</calculatedColumnFormula>
    </tableColumn>
    <tableColumn id="38" xr3:uid="{27CB3658-15AA-4335-A865-49D9820E70DA}" name="この人" dataDxfId="330">
      <calculatedColumnFormula>COUNTIFS(集計用!$P:$P, "*"&amp;AO$4&amp;",*",集計用!$G:$G,"*, "&amp;$C5&amp;", *")/$B5*100</calculatedColumnFormula>
    </tableColumn>
    <tableColumn id="39" xr3:uid="{774D1283-280C-42B3-A31A-219F6B6D0E6F}" name="ぼく" dataDxfId="329">
      <calculatedColumnFormula>COUNTIFS(集計用!$P:$P, "*"&amp;AP$4&amp;",*",集計用!$G:$G,"*, "&amp;$C5&amp;", *")/$B5*100</calculatedColumnFormula>
    </tableColumn>
    <tableColumn id="40" xr3:uid="{94A662E1-BD2C-4355-A90C-4BC8C99319F8}" name="ボク" dataDxfId="328">
      <calculatedColumnFormula>COUNTIFS(集計用!$P:$P, "*"&amp;AQ$4&amp;",*",集計用!$G:$G,"*, "&amp;$C5&amp;", *")/$B5*100</calculatedColumnFormula>
    </tableColumn>
    <tableColumn id="41" xr3:uid="{01FA1E76-C82F-45E1-89DF-CBF2D3180A09}" name="みー" dataDxfId="327">
      <calculatedColumnFormula>COUNTIFS(集計用!$P:$P, "*"&amp;AR$4&amp;",*",集計用!$G:$G,"*, "&amp;$C5&amp;", *")/$B5*100</calculatedColumnFormula>
    </tableColumn>
    <tableColumn id="42" xr3:uid="{84E45148-8607-4FEE-A840-D03C319F118F}" name="俺ちゃん" dataDxfId="326">
      <calculatedColumnFormula>COUNTIFS(集計用!$P:$P, "*"&amp;AS$4&amp;",*",集計用!$G:$G,"*, "&amp;$C5&amp;", *")/$B5*100</calculatedColumnFormula>
    </tableColumn>
    <tableColumn id="43" xr3:uid="{6EA95765-0DAC-450A-A77F-51565987AF00}" name="己" dataDxfId="325">
      <calculatedColumnFormula>COUNTIFS(集計用!$P:$P, "*"&amp;AT$4&amp;",*",集計用!$G:$G,"*, "&amp;$C5&amp;", *")/$B5*100</calculatedColumnFormula>
    </tableColumn>
    <tableColumn id="44" xr3:uid="{85F72A18-66B1-46ED-83DA-FE9F429F3E41}" name="私" dataDxfId="324">
      <calculatedColumnFormula>COUNTIFS(集計用!$P:$P, "*"&amp;AU$4&amp;",*",集計用!$G:$G,"*, "&amp;$C5&amp;", *")/$B5*100</calculatedColumnFormula>
    </tableColumn>
    <tableColumn id="45" xr3:uid="{6394FF78-5EBB-4870-8E1B-007ACCCF5AF7}" name="苗字" dataDxfId="323">
      <calculatedColumnFormula>COUNTIFS(集計用!$P:$P, "*"&amp;AV$4&amp;",*",集計用!$G:$G,"*, "&amp;$C5&amp;", *")/$B5*100</calculatedColumnFormula>
    </tableColumn>
    <tableColumn id="46" xr3:uid="{3EF0A684-4690-4909-8B41-617F8D7D9855}" name="余" dataDxfId="322">
      <calculatedColumnFormula>COUNTIFS(集計用!$P:$P, "*"&amp;AW$4&amp;",*",集計用!$G:$G,"*, "&amp;$C5&amp;", *")/$B5*100</calculatedColumnFormula>
    </tableColumn>
    <tableColumn id="47" xr3:uid="{7CEE5A99-D5B2-4174-99DC-D0E762F92E04}" name="儂" dataDxfId="321">
      <calculatedColumnFormula>COUNTIFS(集計用!$P:$P, "*"&amp;AX$4&amp;",*",集計用!$G:$G,"*, "&amp;$C5&amp;", *")/$B5*100</calculatedColumnFormula>
    </tableColumn>
    <tableColumn id="48" xr3:uid="{625468CA-10AF-49A4-9EFC-F0DA69961D82}" name="あたし" dataDxfId="320">
      <calculatedColumnFormula>COUNTIFS(集計用!$P:$P, "*"&amp;AY$4&amp;",*",集計用!$G:$G,"*, "&amp;$C5&amp;", *")/$B5*100</calculatedColumnFormula>
    </tableColumn>
    <tableColumn id="49" xr3:uid="{0E90D53F-44DE-4EFD-9C60-1A904ABDD024}" name="おじさん" dataDxfId="319">
      <calculatedColumnFormula>COUNTIFS(集計用!$P:$P, "*"&amp;AZ$4&amp;",*",集計用!$G:$G,"*, "&amp;$C5&amp;", *")/$B5*100</calculatedColumnFormula>
    </tableColumn>
    <tableColumn id="50" xr3:uid="{A44DACF2-EFBC-42B2-904F-E96B2CD7E108}" name="朕" dataDxfId="318">
      <calculatedColumnFormula>COUNTIFS(集計用!$P:$P, "*"&amp;BA$4&amp;",*",集計用!$G:$G,"*, "&amp;$C5&amp;", *")/$B5*100</calculatedColumnFormula>
    </tableColumn>
    <tableColumn id="51" xr3:uid="{75FBE86D-4C6C-49D8-B437-3F7540A7732A}" name="わし" dataDxfId="317">
      <calculatedColumnFormula>COUNTIFS(集計用!$P:$P, "*"&amp;BB$4&amp;",*",集計用!$G:$G,"*, "&amp;$C5&amp;", *")/$B5*100</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C765200-49D5-40CC-A0E9-5AE315F67704}" name="テーブル21011" displayName="テーブル21011" ref="A4:M62" totalsRowShown="0" headerRowDxfId="316" dataDxfId="315" headerRowCellStyle="パーセント">
  <autoFilter ref="A4:M62" xr:uid="{570F4B61-F2E7-410B-92D0-3729C7044D21}"/>
  <sortState xmlns:xlrd2="http://schemas.microsoft.com/office/spreadsheetml/2017/richdata2" ref="A5:M62">
    <sortCondition descending="1" ref="B4:B62"/>
  </sortState>
  <tableColumns count="13">
    <tableColumn id="2" xr3:uid="{7ECA5C46-ADA5-4D29-AAF6-8725B4D4D0EA}" name="cluster" dataDxfId="314"/>
    <tableColumn id="15" xr3:uid="{A3D929E7-B582-4821-81FE-2EBD034EE063}" name="n=" dataDxfId="313"/>
    <tableColumn id="3" xr3:uid="{205268D1-7DC4-496F-9005-FCA8FD779D44}" name="ジェンダー・ラベル" dataDxfId="312"/>
    <tableColumn id="4" xr3:uid="{E0B3C8AC-461C-4CDC-A7E2-413997E13A5A}" name="（自分（たち）の名前）" dataDxfId="311">
      <calculatedColumnFormula>COUNTIFS(集計用!$O:$O, "*, "&amp;D$4&amp;", *",集計用!$G:$G,"*, "&amp;$C5&amp;", *")/$B5*100</calculatedColumnFormula>
    </tableColumn>
    <tableColumn id="5" xr3:uid="{322627FA-A8A6-4605-ACE1-DB8024B87DF3}" name="（三人称で言及してほしくない）" dataDxfId="310">
      <calculatedColumnFormula>(COUNTIFS(集計用!$G:$G, "*, "&amp;$C5&amp;", *",集計用!$AE:$AE,"21-25"))/E$3*100</calculatedColumnFormula>
    </tableColumn>
    <tableColumn id="6" xr3:uid="{3B778E1E-DFB5-422A-8CA8-EC7D6FA54CD3}" name="（any／問わない／どれでもよい）" dataDxfId="309">
      <calculatedColumnFormula>COUNTIFS(集計用!$G:$G, "*, "&amp;$C5&amp;", *",集計用!$AE:$AE,"26-30")/F$3*100</calculatedColumnFormula>
    </tableColumn>
    <tableColumn id="7" xr3:uid="{C040629A-387C-436F-ABBD-62A992DBA930}" name="彼" dataDxfId="308">
      <calculatedColumnFormula>(COUNTIFS(集計用!$G:$G, "*, "&amp;$C5&amp;", *",集計用!$AE:$AE,"31-35"))/G$3*100</calculatedColumnFormula>
    </tableColumn>
    <tableColumn id="8" xr3:uid="{BD371EA6-85E6-4B45-B637-0E00BC3DA942}" name="彼女" dataDxfId="307">
      <calculatedColumnFormula>(COUNTIFS(集計用!$G:$G, "*, "&amp;$C5&amp;", *",集計用!$AE:$AE,"36-40"))/H$3*100</calculatedColumnFormula>
    </tableColumn>
    <tableColumn id="9" xr3:uid="{447B4E14-901F-4C4D-81FB-B7A2D2742C25}" name="彼人（かのひと）" dataDxfId="306">
      <calculatedColumnFormula>(COUNTIFS(集計用!$G:$G, "*, "&amp;$C5&amp;", *",集計用!$AE:$AE,"41-45"))/I$3*100</calculatedColumnFormula>
    </tableColumn>
    <tableColumn id="10" xr3:uid="{3E8E3113-359D-4E5F-8464-2934C2D7D542}" name="かれ" dataDxfId="305">
      <calculatedColumnFormula>(COUNTIFS(集計用!$G:$G, "*, "&amp;$C5&amp;", *",集計用!$AE:$AE,"46-50"))/J$3*100</calculatedColumnFormula>
    </tableColumn>
    <tableColumn id="11" xr3:uid="{442BB88C-F73C-4587-9532-C38EEBC760AE}" name="彼人（かのと）" dataDxfId="304">
      <calculatedColumnFormula>(COUNTIFS(集計用!$G:$G, "*, "&amp;$C5&amp;", *",集計用!$AE:$AE,"51-55")+COUNTIFS(集計用!$G:$G, "*, "&amp;$C5&amp;", *",集計用!$AE:$AE,"56-60")+COUNTIFS(集計用!$G:$G, "*, "&amp;$C5&amp;", *",集計用!$AE:$AE,"61-65"))/K$3*100</calculatedColumnFormula>
    </tableColumn>
    <tableColumn id="12" xr3:uid="{8D7B860B-A037-465E-BE2B-0B2CE14E72BF}" name="渠（かれ）" dataDxfId="303">
      <calculatedColumnFormula>(COUNTIFS(集計用!$G:$G, "*, "&amp;$C5&amp;", *",集計用!$AE:$AE,"56-60")+COUNTIFS(集計用!$G:$G, "*, "&amp;$C5&amp;", *",集計用!$AE:$AE,"61-65"))/L$3*100</calculatedColumnFormula>
    </tableColumn>
    <tableColumn id="13" xr3:uid="{9CCE031A-CF5D-42C2-8FA9-E914ECD0217D}" name="彼男（かのだん）" dataDxfId="302">
      <calculatedColumnFormula>COUNTIFS(集計用!$G:$G,"*, "&amp;$C5&amp;", *",集計用!$AE:$AE,"無回答")/$M$3*100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892027A-6938-4845-9A9C-591CCA2281D7}" name="テーブル2101124" displayName="テーブル2101124" ref="A4:AI62" totalsRowShown="0" headerRowDxfId="301" dataDxfId="300" headerRowCellStyle="パーセント">
  <autoFilter ref="A4:AI62" xr:uid="{570F4B61-F2E7-410B-92D0-3729C7044D21}"/>
  <sortState xmlns:xlrd2="http://schemas.microsoft.com/office/spreadsheetml/2017/richdata2" ref="A5:C62">
    <sortCondition descending="1" ref="B4:B62"/>
  </sortState>
  <tableColumns count="35">
    <tableColumn id="2" xr3:uid="{EC351F0D-8520-4FB0-9F29-F35EEB5EF7AB}" name="cluster" dataDxfId="299"/>
    <tableColumn id="15" xr3:uid="{AB17B2AA-84EA-4A0A-BE6B-43C2ADBBF47C}" name="n=" dataDxfId="298"/>
    <tableColumn id="3" xr3:uid="{AA423EF8-4D5E-4522-BB80-027EF58217C3}" name="ジェンダー・ラベル" dataDxfId="297"/>
    <tableColumn id="1" xr3:uid="{366F1CF3-5E06-40F9-91DF-CDE05ECB9226}" name="{この/その/あの}+人" dataDxfId="296">
      <calculatedColumnFormula>COUNTIF(集計用!$S$2:$S$444,"*"&amp;D4&amp;",*")</calculatedColumnFormula>
    </tableColumn>
    <tableColumn id="14" xr3:uid="{E9301380-24E4-4914-B755-967C15FE08BC}" name="{この/その/あの}+子" dataDxfId="295"/>
    <tableColumn id="16" xr3:uid="{701E3A53-AAC1-4DE9-AFE7-F8AB4CDA6663}" name="{この/その/あの}+ひと" dataDxfId="294"/>
    <tableColumn id="17" xr3:uid="{A1C3FBE2-9966-4DA7-885F-DE9BA558C8ED}" name="しっくりくるものがない" dataDxfId="293"/>
    <tableColumn id="18" xr3:uid="{6158D4D2-6A04-401A-9D18-F1AA0A0AC35C}" name="(名前)+さん" dataDxfId="292"/>
    <tableColumn id="19" xr3:uid="{2919D0EB-FA7D-42DE-A9EC-E7A788D61760}" name="{この/その/あの}+方" dataDxfId="291"/>
    <tableColumn id="20" xr3:uid="{DB38B3F1-8C52-48EF-9440-2B4EE0EF22C5}" name="{この/その/あの}+方2" dataDxfId="290"/>
    <tableColumn id="21" xr3:uid="{364C048D-9E1E-49DC-8068-C5DCA49EC4F3}" name="(名前)+氏" dataDxfId="289"/>
    <tableColumn id="22" xr3:uid="{0B6DBBE9-F9DD-48E7-A2D4-B094F16641B3}" name="(名前)さん" dataDxfId="288"/>
    <tableColumn id="23" xr3:uid="{D0F520F2-C500-473F-B4CC-D8C7178E427B}" name="「そのようなカテゴリーの人々」" dataDxfId="287"/>
    <tableColumn id="24" xr3:uid="{273B23AB-BA23-498F-A96E-681883E9444B}" name="あいつ" dataDxfId="286"/>
    <tableColumn id="25" xr3:uid="{58DA899A-7E6B-4A50-B19C-5E33D4F1DE4A}" name="あだ名" dataDxfId="285"/>
    <tableColumn id="26" xr3:uid="{D9BE52AE-223A-4E44-A21E-49DD12A8DA26}" name="おじさん" dataDxfId="284"/>
    <tableColumn id="27" xr3:uid="{913B7DE7-90C8-47F6-97FC-12B7FF6693E5}" name="カレ" dataDxfId="283"/>
    <tableColumn id="28" xr3:uid="{570F1066-1923-44B5-B40D-F54F195C0E03}" name="かれら" dataDxfId="282"/>
    <tableColumn id="29" xr3:uid="{417A82F5-6467-4AF2-A5A8-547E32E989EA}" name="こちらの方" dataDxfId="281"/>
    <tableColumn id="30" xr3:uid="{9E852348-63B6-45D7-BD9E-8C196D8F424D}" name="こなた" dataDxfId="280"/>
    <tableColumn id="31" xr3:uid="{4E78768A-A838-4DA9-8878-E7B74A17F7BB}" name="このような人" dataDxfId="279"/>
    <tableColumn id="32" xr3:uid="{FFFEE3ED-72C5-4C0E-BB67-F2F3AA8B0893}" name="愛称" dataDxfId="278"/>
    <tableColumn id="33" xr3:uid="{DAB0A10B-CF3E-4460-AD3F-A83A4807BB84}" name="貴方" dataDxfId="277"/>
    <tableColumn id="34" xr3:uid="{F1A662E8-7EC6-422C-9F41-C35378208683}" name="呼ばれたくない" dataDxfId="276"/>
    <tableColumn id="35" xr3:uid="{8F6E10B5-7054-4E99-9999-116191BFB512}" name="氏(し)" dataDxfId="275"/>
    <tableColumn id="36" xr3:uid="{23314849-2BC1-4A19-B062-0C1F1C0CEDDE}" name="自分の苗字" dataDxfId="274"/>
    <tableColumn id="37" xr3:uid="{3721F067-E354-4EC2-B620-AED40F03B06C}" name="主" dataDxfId="273"/>
    <tableColumn id="38" xr3:uid="{AC44C3A6-6BD7-4E50-91B3-A9794233BDB3}" name="神" dataDxfId="272"/>
    <tableColumn id="39" xr3:uid="{AC6FCF55-65BC-4A1B-A1DD-199D1041599D}" name="人" dataDxfId="271"/>
    <tableColumn id="40" xr3:uid="{6F215788-A929-4803-A030-4232B57F38F7}" name="人間" dataDxfId="270"/>
    <tableColumn id="41" xr3:uid="{FD25F049-744E-4555-A604-E4184AB56617}" name="人達" dataDxfId="269"/>
    <tableColumn id="42" xr3:uid="{1D703D2C-7AA2-47F8-8BC8-C8DBC9904510}" name="先生" dataDxfId="268"/>
    <tableColumn id="43" xr3:uid="{9BCD1BCC-6593-483A-90AA-3F01B0ED1A30}" name="其" dataDxfId="267"/>
    <tableColumn id="44" xr3:uid="{7F47810F-8CCA-4E2C-AEE0-34844DA138B6}" name="彼" dataDxfId="266"/>
    <tableColumn id="45" xr3:uid="{EECACCAA-9569-4309-80B0-732CEF82CBBB}" name="役職" dataDxfId="26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C0E339-5157-49DE-AA31-80875C47FB87}" name="テーブル2101112" displayName="テーブル2101112" ref="A4:R62" totalsRowShown="0" headerRowDxfId="264" dataDxfId="263" headerRowCellStyle="パーセント">
  <autoFilter ref="A4:R62" xr:uid="{570F4B61-F2E7-410B-92D0-3729C7044D21}"/>
  <sortState xmlns:xlrd2="http://schemas.microsoft.com/office/spreadsheetml/2017/richdata2" ref="A5:M62">
    <sortCondition descending="1" ref="B4:B62"/>
  </sortState>
  <tableColumns count="18">
    <tableColumn id="2" xr3:uid="{E3597BBF-D36A-4D51-8F20-6E467F121646}" name="cluster" dataDxfId="262"/>
    <tableColumn id="15" xr3:uid="{F7C7B09B-7D87-46BD-ACD0-3A737B5E3356}" name="n=" dataDxfId="261"/>
    <tableColumn id="3" xr3:uid="{C0D1CDAD-9A96-4891-A9CF-F2B864A10697}" name="ジェンダー・ラベル" dataDxfId="260"/>
    <tableColumn id="4" xr3:uid="{B7A3BC87-5C4A-4937-A2AB-C41D58943FA0}" name="they/them/their/themself" dataDxfId="259">
      <calculatedColumnFormula>COUNTIFS(集計用!$O:$O, "*, "&amp;#REF!&amp;", *",集計用!$G:$G,"*, "&amp;$C5&amp;", *")/$B5*100</calculatedColumnFormula>
    </tableColumn>
    <tableColumn id="5" xr3:uid="{26F9DA6C-64D2-4880-B5E2-6D344570CCA2}" name="they/them/their/themselves" dataDxfId="258">
      <calculatedColumnFormula>(COUNTIFS(集計用!$G:$G, "*, "&amp;$C5&amp;", *",集計用!$AE:$AE,"21-25"))/E$3*100</calculatedColumnFormula>
    </tableColumn>
    <tableColumn id="6" xr3:uid="{A598C64A-05F5-477C-8F7C-397EE487AA77}" name="she" dataDxfId="257">
      <calculatedColumnFormula>COUNTIFS(集計用!$G:$G, "*, "&amp;$C5&amp;", *",集計用!$AE:$AE,"26-30")/F$3*100</calculatedColumnFormula>
    </tableColumn>
    <tableColumn id="7" xr3:uid="{28CAAA00-2BC4-40C2-90E9-7F7153932178}" name="（クエスチョニング、模索中、または不明）" dataDxfId="256">
      <calculatedColumnFormula>(COUNTIFS(集計用!$G:$G, "*, "&amp;$C5&amp;", *",集計用!$AE:$AE,"31-35"))/G$3*100</calculatedColumnFormula>
    </tableColumn>
    <tableColumn id="8" xr3:uid="{E1471AF3-4AAA-4FD1-9801-AA9D84206DEF}" name="any/問わない/どれでもよい" dataDxfId="255">
      <calculatedColumnFormula>(COUNTIFS(集計用!$G:$G, "*, "&amp;$C5&amp;", *",集計用!$AE:$AE,"36-40"))/H$3*100</calculatedColumnFormula>
    </tableColumn>
    <tableColumn id="9" xr3:uid="{206666BF-D7E6-4AB2-AB2D-B3EF964087B8}" name="he" dataDxfId="254">
      <calculatedColumnFormula>(COUNTIFS(集計用!$G:$G, "*, "&amp;$C5&amp;", *",集計用!$AE:$AE,"41-45"))/I$3*100</calculatedColumnFormula>
    </tableColumn>
    <tableColumn id="10" xr3:uid="{A1C55D59-0652-4276-AD4C-70CB61DF10A0}" name="（時とともに変わる）" dataDxfId="253">
      <calculatedColumnFormula>(COUNTIFS(集計用!$G:$G, "*, "&amp;$C5&amp;", *",集計用!$AE:$AE,"46-50"))/J$3*100</calculatedColumnFormula>
    </tableColumn>
    <tableColumn id="11" xr3:uid="{219F9FC6-B91B-4A91-9865-31BC5C10317C}" name="ze" dataDxfId="252">
      <calculatedColumnFormula>(COUNTIFS(集計用!$G:$G, "*, "&amp;$C5&amp;", *",集計用!$AE:$AE,"51-55")+COUNTIFS(集計用!$G:$G, "*, "&amp;$C5&amp;", *",集計用!$AE:$AE,"56-60")+COUNTIFS(集計用!$G:$G, "*, "&amp;$C5&amp;", *",集計用!$AE:$AE,"61-65"))/K$3*100</calculatedColumnFormula>
    </tableColumn>
    <tableColumn id="12" xr3:uid="{B0DD4893-1D9F-468C-A46D-E5D20DEB7F12}" name="xe" dataDxfId="251">
      <calculatedColumnFormula>(COUNTIFS(集計用!$G:$G, "*, "&amp;$C5&amp;", *",集計用!$AE:$AE,"56-60")+COUNTIFS(集計用!$G:$G, "*, "&amp;$C5&amp;", *",集計用!$AE:$AE,"61-65"))/L$3*100</calculatedColumnFormula>
    </tableColumn>
    <tableColumn id="13" xr3:uid="{0FB4EC2E-E10F-4C6F-AEE4-D8EC5DE43753}" name="ey/em (Elverson)" dataDxfId="250">
      <calculatedColumnFormula>COUNTIFS(集計用!$G:$G,"*, "&amp;$C5&amp;", *",集計用!$AE:$AE,"無回答")/$M$3*100</calculatedColumnFormula>
    </tableColumn>
    <tableColumn id="23" xr3:uid="{F828C03A-D7E3-4807-AED3-45B7655B94B0}" name="fae" dataDxfId="249"/>
    <tableColumn id="24" xr3:uid="{5C71032F-AFC0-44F5-9A35-C4BFC892BE28}" name="ne" dataDxfId="248"/>
    <tableColumn id="25" xr3:uid="{544EC0D1-197F-4378-ACD0-17F51A03CFC7}" name="ve" dataDxfId="247"/>
    <tableColumn id="26" xr3:uid="{5F828ACE-D56D-4800-A4A2-A77D10FBB34F}" name="ae/aer" dataDxfId="246"/>
    <tableColumn id="27" xr3:uid="{5F93FD0A-CAF2-47E0-AE9D-532E6DF3E564}" name="e/em (Spivak)" dataDxfId="24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BFFF6C-3576-4213-B33B-1D8F5149DC03}" name="テーブル2101112139" displayName="テーブル2101112139" ref="A4:O20" totalsRowShown="0" headerRowDxfId="244" dataDxfId="243" headerRowCellStyle="パーセント">
  <autoFilter ref="A4:O20" xr:uid="{570F4B61-F2E7-410B-92D0-3729C7044D21}"/>
  <sortState xmlns:xlrd2="http://schemas.microsoft.com/office/spreadsheetml/2017/richdata2" ref="A4:Q5">
    <sortCondition descending="1" ref="A4"/>
  </sortState>
  <tableColumns count="15">
    <tableColumn id="15" xr3:uid="{C05B8B19-CECF-4128-8B24-9CEDA2BD7107}" name="n=" dataDxfId="242"/>
    <tableColumn id="3" xr3:uid="{C138CBD7-FFDD-44B9-A585-D20BA653EC15}" name="三人称代名詞" dataDxfId="241"/>
    <tableColumn id="4" xr3:uid="{25D635EE-D31D-45DB-9EF0-2864B8A9C2CD}" name="（自分（たち）の名前）" dataDxfId="240">
      <calculatedColumnFormula>COUNTIFS(集計用!$O:$O, "*, "&amp;#REF!&amp;", *",集計用!$G:$G,"*, "&amp;$B5&amp;", *")/$A5*100</calculatedColumnFormula>
    </tableColumn>
    <tableColumn id="5" xr3:uid="{B3645437-1982-4FE2-ACA9-3506D2D7F407}" name="（三人称で言及してほしくない）" dataDxfId="239">
      <calculatedColumnFormula>(COUNTIFS(集計用!$G:$G, "*, "&amp;$B5&amp;", *",集計用!$AE:$AE,"21-25"))/D$3*100</calculatedColumnFormula>
    </tableColumn>
    <tableColumn id="6" xr3:uid="{27E9290A-7DF0-4AB3-8F41-C77D2C61CBC1}" name="（any／問わない／どれでもよい）" dataDxfId="238">
      <calculatedColumnFormula>COUNTIFS(集計用!$G:$G, "*, "&amp;$B5&amp;", *",集計用!$AE:$AE,"26-30")/E$3*100</calculatedColumnFormula>
    </tableColumn>
    <tableColumn id="9" xr3:uid="{6AC967D7-D2E6-48DD-B681-93FF26985AF6}" name="彼" dataDxfId="237" dataCellStyle="パーセント">
      <calculatedColumnFormula>(COUNTIFS(集計用!$G:$G, "*, "&amp;$B5&amp;", *",集計用!$AE:$AE,"41-45"))/F$3*100</calculatedColumnFormula>
    </tableColumn>
    <tableColumn id="7" xr3:uid="{3996025D-489B-4D6A-9CB8-FE8D4366D40A}" name="彼人（かのひと）" dataDxfId="236">
      <calculatedColumnFormula>(COUNTIFS(集計用!$G:$G, "*, "&amp;$B5&amp;", *",集計用!$AE:$AE,"31-35"))/G$3*100</calculatedColumnFormula>
    </tableColumn>
    <tableColumn id="8" xr3:uid="{E522B9E2-3465-4DA2-86FB-5CCF3A318F9C}" name="彼女" dataDxfId="235">
      <calculatedColumnFormula>(COUNTIFS(集計用!$G:$G, "*, "&amp;$B5&amp;", *",集計用!$AE:$AE,"36-40"))/H$3*100</calculatedColumnFormula>
    </tableColumn>
    <tableColumn id="10" xr3:uid="{5D30F0F3-920F-4F36-8E02-C10F38C34B35}" name="彼人（かのと）" dataDxfId="234">
      <calculatedColumnFormula>(COUNTIFS(集計用!$G:$G, "*, "&amp;$B5&amp;", *",集計用!$AE:$AE,"46-50"))/I$3*100</calculatedColumnFormula>
    </tableColumn>
    <tableColumn id="11" xr3:uid="{F4F07132-B1F9-4838-9536-C806E4109173}" name="かれ" dataDxfId="233">
      <calculatedColumnFormula>(COUNTIFS(集計用!$G:$G, "*, "&amp;$B5&amp;", *",集計用!$AE:$AE,"51-55")+COUNTIFS(集計用!$G:$G, "*, "&amp;$B5&amp;", *",集計用!$AE:$AE,"56-60")+COUNTIFS(集計用!$G:$G, "*, "&amp;$B5&amp;", *",集計用!$AE:$AE,"61-65"))/J$3*100</calculatedColumnFormula>
    </tableColumn>
    <tableColumn id="12" xr3:uid="{824E90C7-B717-4584-8761-7CEF9A8882EE}" name="渠（かれ）" dataDxfId="232">
      <calculatedColumnFormula>(COUNTIFS(集計用!$G:$G, "*, "&amp;$B5&amp;", *",集計用!$AE:$AE,"56-60")+COUNTIFS(集計用!$G:$G, "*, "&amp;$B5&amp;", *",集計用!$AE:$AE,"61-65"))/K$3*100</calculatedColumnFormula>
    </tableColumn>
    <tableColumn id="13" xr3:uid="{75E87951-D55A-48B2-8584-DFFCEDED3FD3}" name="彼男（かのだん）" dataDxfId="231">
      <calculatedColumnFormula>COUNTIFS(集計用!$G:$G,"*, "&amp;$B5&amp;", *",集計用!$AE:$AE,"無回答")/$L$3*100</calculatedColumnFormula>
    </tableColumn>
    <tableColumn id="1" xr3:uid="{FC10CB69-4375-4791-8067-0A1B5BCC4DEC}" name="{この/その/あの}+人" dataDxfId="230">
      <calculatedColumnFormula>(COUNTIFS(集計用!$U:$U, "&lt;&gt;*英語を日常的に*", 集計用!$T:$T, "*"&amp;M$4&amp;",*" ))/$A5*100</calculatedColumnFormula>
    </tableColumn>
    <tableColumn id="2" xr3:uid="{CD840DB6-97F1-47EF-BDEB-92C92642AE3A}" name="{この/その/あの}+子" dataDxfId="229">
      <calculatedColumnFormula>(COUNTIFS(集計用!$U:$U, "*, "&amp;$B5&amp;",*",集計用!$U:$U, "&lt;&gt;*英語を日常的に*", 集計用!$S:$S, "*"&amp;N$4&amp;",*" ))/$A5*100</calculatedColumnFormula>
    </tableColumn>
    <tableColumn id="14" xr3:uid="{F6CB693C-BA71-4431-B0D4-2A30EB60C74B}" name="{この/その/あの}+ひと" dataDxfId="228">
      <calculatedColumnFormula>(COUNTIFS(集計用!$U:$U, "*, "&amp;$B5&amp;",*",集計用!$U:$U, "&lt;&gt;*英語を日常的に*", 集計用!$S:$S, "*"&amp;O$4&amp;",*" ))/$A5*100</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620BA7-9123-485C-9011-083CEFFE5F5D}" name="テーブル210111213" displayName="テーブル210111213" ref="A4:W62" totalsRowShown="0" headerRowDxfId="227" dataDxfId="226" headerRowCellStyle="パーセント">
  <autoFilter ref="A4:W62" xr:uid="{570F4B61-F2E7-410B-92D0-3729C7044D21}"/>
  <sortState xmlns:xlrd2="http://schemas.microsoft.com/office/spreadsheetml/2017/richdata2" ref="A5:M62">
    <sortCondition descending="1" ref="B4:B62"/>
  </sortState>
  <tableColumns count="23">
    <tableColumn id="2" xr3:uid="{AFA9F985-C791-41F4-9300-B5AC0F0A0ED7}" name="cluster" dataDxfId="225"/>
    <tableColumn id="15" xr3:uid="{79475926-8693-4C56-8662-99B07D566411}" name="n=" dataDxfId="224"/>
    <tableColumn id="3" xr3:uid="{96D37DEE-6285-40C3-BE01-A95C26D9E161}" name="ジェンダー・ラベル" dataDxfId="223"/>
    <tableColumn id="4" xr3:uid="{2D4F34D1-53C4-47AD-BAC4-E66EC85B4C62}" name="さん" dataDxfId="222">
      <calculatedColumnFormula>COUNTIFS(集計用!$O:$O, "*, "&amp;#REF!&amp;", *",集計用!$G:$G,"*, "&amp;$C5&amp;", *")/$B5*100</calculatedColumnFormula>
    </tableColumn>
    <tableColumn id="5" xr3:uid="{4E6AD9D2-CD05-4F19-B59E-E14330005461}" name="（敬称なし）" dataDxfId="221">
      <calculatedColumnFormula>(COUNTIFS(集計用!$G:$G, "*, "&amp;$C5&amp;", *",集計用!$AE:$AE,"21-25"))/#REF!*100</calculatedColumnFormula>
    </tableColumn>
    <tableColumn id="6" xr3:uid="{3ED717EF-02E6-4682-88EF-9E7B3C01BBFE}" name="（any／問わない／どれでもよい）" dataDxfId="220">
      <calculatedColumnFormula>COUNTIFS(集計用!$G:$G, "*, "&amp;$C5&amp;", *",集計用!$AE:$AE,"26-30")/#REF!*100</calculatedColumnFormula>
    </tableColumn>
    <tableColumn id="7" xr3:uid="{621D3C0C-8972-474B-87AB-653F4332F42C}" name="ちゃん" dataDxfId="219">
      <calculatedColumnFormula>(COUNTIFS(集計用!$G:$G, "*, "&amp;$C5&amp;", *",集計用!$AE:$AE,"31-35"))/#REF!*100</calculatedColumnFormula>
    </tableColumn>
    <tableColumn id="8" xr3:uid="{143BB8F1-AA19-45F9-8D0A-12C963AFF83A}" name="くん／君" dataDxfId="218">
      <calculatedColumnFormula>(COUNTIFS(集計用!$G:$G, "*, "&amp;$C5&amp;", *",集計用!$AE:$AE,"36-40"))/#REF!*100</calculatedColumnFormula>
    </tableColumn>
    <tableColumn id="9" xr3:uid="{24A52635-4AE0-4272-9A96-A94E77DE793C}" name="（クエスチョニング、模索中、または不明）" dataDxfId="217">
      <calculatedColumnFormula>(COUNTIFS(集計用!$G:$G, "*, "&amp;$C5&amp;", *",集計用!$AE:$AE,"41-45"))/#REF!*100</calculatedColumnFormula>
    </tableColumn>
    <tableColumn id="10" xr3:uid="{7E914A60-5BD9-4F91-AED7-F16ACCE89E11}" name="（時とともに変わる）" dataDxfId="216">
      <calculatedColumnFormula>(COUNTIFS(集計用!$G:$G, "*, "&amp;$C5&amp;", *",集計用!$AE:$AE,"46-50"))/#REF!*100</calculatedColumnFormula>
    </tableColumn>
    <tableColumn id="11" xr3:uid="{4EDF7953-8692-41A3-89C5-867D9B922697}" name="たん" dataDxfId="215">
      <calculatedColumnFormula>(COUNTIFS(集計用!$G:$G, "*, "&amp;$C5&amp;", *",集計用!$AE:$AE,"51-55")+COUNTIFS(集計用!$G:$G, "*, "&amp;$C5&amp;", *",集計用!$AE:$AE,"56-60")+COUNTIFS(集計用!$G:$G, "*, "&amp;$C5&amp;", *",集計用!$AE:$AE,"61-65"))/#REF!*100</calculatedColumnFormula>
    </tableColumn>
    <tableColumn id="12" xr3:uid="{E9970CBA-5ED4-42A9-9B10-42BF49B5C5B2}" name="氏" dataDxfId="214">
      <calculatedColumnFormula>(COUNTIFS(集計用!$G:$G, "*, "&amp;$C5&amp;", *",集計用!$AE:$AE,"56-60")+COUNTIFS(集計用!$G:$G, "*, "&amp;$C5&amp;", *",集計用!$AE:$AE,"61-65"))/#REF!*100</calculatedColumnFormula>
    </tableColumn>
    <tableColumn id="13" xr3:uid="{552ECB1C-26AC-4C21-9BC0-E98AC576B886}" name="同志" dataDxfId="213">
      <calculatedColumnFormula>COUNTIFS(集計用!$G:$G,"*, "&amp;$C5&amp;", *",集計用!$AE:$AE,"無回答")/#REF!*100</calculatedColumnFormula>
    </tableColumn>
    <tableColumn id="19" xr3:uid="{2A962268-2BAE-4BB3-81E5-E757C4508A91}" name="言葉が存在しない" dataDxfId="212">
      <calculatedColumnFormula>(COUNTIFS(集計用!$J:$J, "*"&amp;N$4&amp;"*"))/$B5*100</calculatedColumnFormula>
    </tableColumn>
    <tableColumn id="23" xr3:uid="{39EFF417-3049-402A-9194-434904568A38}" name="あだ名（敬称なし）" dataDxfId="211"/>
    <tableColumn id="24" xr3:uid="{93FF27A4-2771-4F8E-9D71-413F9BD7DD5A}" name="あだ名＋ちゃん" dataDxfId="210"/>
    <tableColumn id="25" xr3:uid="{585626A0-B2B1-459E-9308-C4A08EC93A58}" name="チャマ" dataDxfId="209"/>
    <tableColumn id="26" xr3:uid="{22530089-87E6-44D2-9392-D8FE8467A293}" name="先生" dataDxfId="208"/>
    <tableColumn id="27" xr3:uid="{657C580C-96EE-40B7-98FF-AEFD7FC39B4B}" name="性別を問わない「くん」" dataDxfId="207"/>
    <tableColumn id="1" xr3:uid="{3B59CABF-4DD7-4DFC-8649-E3EEEEA4AD3E}" name="様" dataDxfId="206">
      <calculatedColumnFormula>(COUNTIFS(集計用!$I:$I, "*, "&amp;T$4&amp;", *"))/$B5*100</calculatedColumnFormula>
    </tableColumn>
    <tableColumn id="14" xr3:uid="{8E572DA4-D04B-480B-A2D5-9A532BC46D89}" name="殿" dataDxfId="205"/>
    <tableColumn id="16" xr3:uid="{CF498D45-D20C-4C2B-B8AB-7619BA5D7C57}" name="相手や関係によって変化" dataDxfId="204"/>
    <tableColumn id="18" xr3:uid="{B1D9BD6F-6085-4771-8094-11107A98C332}" name="陛下" dataDxfId="20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972D1BC-E5E0-42D3-B44D-567F98235F7B}" name="テーブル210111214" displayName="テーブル210111214" ref="A4:W62" totalsRowShown="0" headerRowDxfId="202" dataDxfId="201" headerRowCellStyle="パーセント">
  <autoFilter ref="A4:W62" xr:uid="{570F4B61-F2E7-410B-92D0-3729C7044D21}"/>
  <sortState xmlns:xlrd2="http://schemas.microsoft.com/office/spreadsheetml/2017/richdata2" ref="A5:W62">
    <sortCondition descending="1" ref="B4:B62"/>
  </sortState>
  <tableColumns count="23">
    <tableColumn id="2" xr3:uid="{3AD9D00A-A809-410C-807A-44FB16D10BEE}" name="cluster" dataDxfId="200"/>
    <tableColumn id="15" xr3:uid="{F87E6AAA-70C8-485B-ADE0-AB5AC26BECC5}" name="n=" dataDxfId="199"/>
    <tableColumn id="3" xr3:uid="{E29BDD8A-1F91-4C17-A86B-E999368AE917}" name="ジェンダー・ラベル" dataDxfId="198"/>
    <tableColumn id="4" xr3:uid="{E678435A-BEE9-4207-ACA2-811F93D55204}" name="-san" dataDxfId="197">
      <calculatedColumnFormula>COUNTIFS(集計用!$O:$O, "*, "&amp;#REF!&amp;", *",集計用!$G:$G,"*, "&amp;$C5&amp;", *")/$B5*100</calculatedColumnFormula>
    </tableColumn>
    <tableColumn id="5" xr3:uid="{38C80862-114F-4599-B7EA-E57FD33D86AF}" name="Mx." dataDxfId="196">
      <calculatedColumnFormula>(COUNTIFS(集計用!$G:$G, "*, "&amp;$C5&amp;", *",集計用!$AE:$AE,"21-25"))/E$3*100</calculatedColumnFormula>
    </tableColumn>
    <tableColumn id="6" xr3:uid="{3FAC474B-0869-477D-81C0-71BB7814C355}" name="（敬称なし）" dataDxfId="195">
      <calculatedColumnFormula>COUNTIFS(集計用!$G:$G, "*, "&amp;$C5&amp;", *",集計用!$AE:$AE,"26-30")/F$3*100</calculatedColumnFormula>
    </tableColumn>
    <tableColumn id="7" xr3:uid="{55446351-E280-4032-8F59-2FC19ADCF555}" name="（クエスチョニング、模索中、または不明）" dataDxfId="194">
      <calculatedColumnFormula>(COUNTIFS(集計用!$G:$G, "*, "&amp;$C5&amp;", *",集計用!$AE:$AE,"31-35"))/G$3*100</calculatedColumnFormula>
    </tableColumn>
    <tableColumn id="8" xr3:uid="{2A13D3CB-24DB-4289-AF21-672286E5AFAB}" name="（any／問わない／どれでもよい）" dataDxfId="193">
      <calculatedColumnFormula>(COUNTIFS(集計用!$G:$G, "*, "&amp;$C5&amp;", *",集計用!$AE:$AE,"36-40"))/H$3*100</calculatedColumnFormula>
    </tableColumn>
    <tableColumn id="9" xr3:uid="{445F74E4-116E-4609-BF44-7849758FBFFC}" name="Ms." dataDxfId="192">
      <calculatedColumnFormula>(COUNTIFS(集計用!$G:$G, "*, "&amp;$C5&amp;", *",集計用!$AE:$AE,"41-45"))/I$3*100</calculatedColumnFormula>
    </tableColumn>
    <tableColumn id="10" xr3:uid="{49FB77F4-0F16-4FC9-827F-541129F5A862}" name="Mr." dataDxfId="191">
      <calculatedColumnFormula>(COUNTIFS(集計用!$G:$G, "*, "&amp;$C5&amp;", *",集計用!$AE:$AE,"46-50"))/J$3*100</calculatedColumnFormula>
    </tableColumn>
    <tableColumn id="11" xr3:uid="{EC782DDC-2501-4726-88B4-C55DD5021316}" name="（時とともに変わる）" dataDxfId="190">
      <calculatedColumnFormula>(COUNTIFS(集計用!$G:$G, "*, "&amp;$C5&amp;", *",集計用!$AE:$AE,"51-55")+COUNTIFS(集計用!$G:$G, "*, "&amp;$C5&amp;", *",集計用!$AE:$AE,"56-60")+COUNTIFS(集計用!$G:$G, "*, "&amp;$C5&amp;", *",集計用!$AE:$AE,"61-65"))/K$3*100</calculatedColumnFormula>
    </tableColumn>
    <tableColumn id="12" xr3:uid="{5BA5D8B7-EC73-4E7F-927E-2154FE290EEE}" name="Mrs." dataDxfId="189">
      <calculatedColumnFormula>(COUNTIFS(集計用!$G:$G, "*, "&amp;$C5&amp;", *",集計用!$AE:$AE,"56-60")+COUNTIFS(集計用!$G:$G, "*, "&amp;$C5&amp;", *",集計用!$AE:$AE,"61-65"))/L$3*100</calculatedColumnFormula>
    </tableColumn>
    <tableColumn id="24" xr3:uid="{E502ACF2-B390-46BC-AF80-622CF35B7A78}" name="Pr." dataDxfId="188"/>
    <tableColumn id="25" xr3:uid="{A162636E-7FEF-4EF3-BEF5-112342495BBF}" name="Myst. (Mystery)" dataDxfId="187"/>
    <tableColumn id="18" xr3:uid="{A9A70C0B-DFB2-4A80-8A8A-E8B0A6ABB982}" name="Ind" dataDxfId="186"/>
    <tableColumn id="19" xr3:uid="{2C91503C-769B-428C-9CEA-A046670259FE}" name="Dr.など、職業にかかわるもの" dataDxfId="185"/>
    <tableColumn id="17" xr3:uid="{E4FFEADF-7F04-4B79-911B-0B4357D114A0}" name="Misc." dataDxfId="184"/>
    <tableColumn id="16" xr3:uid="{3DF7141A-14C5-4D07-B4AF-CA6E834759B1}" name="Mre." dataDxfId="183"/>
    <tableColumn id="14" xr3:uid="{58FC2498-6CCA-45CD-849B-72B6066AA03A}" name="Msr." dataDxfId="182"/>
    <tableColumn id="13" xr3:uid="{4DF35CB3-F56D-4CF3-A7C7-1316F520214F}" name="バイナリーは嫌" dataDxfId="181">
      <calculatedColumnFormula>COUNTIFS(集計用!$G:$G,"*, "&amp;$C5&amp;", *",集計用!$AE:$AE,"無回答")/$T$3*100</calculatedColumnFormula>
    </tableColumn>
    <tableColumn id="27" xr3:uid="{6EC851D0-204D-491E-8E42-07AF5C88D494}" name="Comrade" dataDxfId="180"/>
    <tableColumn id="1" xr3:uid="{011179F5-F7CB-4EBA-AA5B-29E7F1C3603C}" name="ファーストネーム" dataDxfId="179"/>
    <tableColumn id="23" xr3:uid="{74A3725C-FDFB-4811-9229-4E84E28F26E9}" name="言葉が存在しない" dataDxfId="17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7D04794-1AF5-4A3C-A5C8-2E93AF3B754C}" name="テーブル210111213925" displayName="テーブル210111213925" ref="A4:M19" totalsRowShown="0" headerRowDxfId="177" dataDxfId="176" headerRowCellStyle="パーセント">
  <autoFilter ref="A4:M19" xr:uid="{570F4B61-F2E7-410B-92D0-3729C7044D21}"/>
  <sortState xmlns:xlrd2="http://schemas.microsoft.com/office/spreadsheetml/2017/richdata2" ref="A4:Q5">
    <sortCondition descending="1" ref="A4"/>
  </sortState>
  <tableColumns count="13">
    <tableColumn id="15" xr3:uid="{E39271EF-7A20-4F16-8A4B-1BEA8E3B3390}" name="n=" dataDxfId="175"/>
    <tableColumn id="3" xr3:uid="{BEF2FD45-527F-4827-B138-8FA977339F68}" name="英語敬称" dataDxfId="174"/>
    <tableColumn id="4" xr3:uid="{7DE0ABD3-EDAC-4602-8520-54DC66B5824A}" name="さん" dataDxfId="173">
      <calculatedColumnFormula>COUNTIFS(集計用!$O:$O, "*, "&amp;#REF!&amp;", *",集計用!$G:$G,"*, "&amp;$B5&amp;", *")/$A5*100</calculatedColumnFormula>
    </tableColumn>
    <tableColumn id="5" xr3:uid="{7DE0B08F-A126-469C-B98D-27B454CA9DCC}" name="（敬称なし）" dataDxfId="172">
      <calculatedColumnFormula>(COUNTIFS(集計用!$G:$G, "*, "&amp;$B5&amp;", *",集計用!$AE:$AE,"21-25"))/D$3*100</calculatedColumnFormula>
    </tableColumn>
    <tableColumn id="6" xr3:uid="{72ECECCA-EA8C-4E79-AB7C-9A3AB160DF5C}" name="（any／問わない／どれでもよい）" dataDxfId="171">
      <calculatedColumnFormula>COUNTIFS(集計用!$G:$G, "*, "&amp;$B5&amp;", *",集計用!$AE:$AE,"26-30")/E$3*100</calculatedColumnFormula>
    </tableColumn>
    <tableColumn id="7" xr3:uid="{84BF7CA0-B962-4224-AC4E-345AE65C735C}" name="ちゃん" dataDxfId="170">
      <calculatedColumnFormula>(COUNTIFS(集計用!$G:$G, "*, "&amp;$B5&amp;", *",集計用!$AE:$AE,"31-35"))/F$3*100</calculatedColumnFormula>
    </tableColumn>
    <tableColumn id="8" xr3:uid="{A2E94008-E4F2-49BD-ABCE-26601BFA68DE}" name="くん／君" dataDxfId="169">
      <calculatedColumnFormula>(COUNTIFS(集計用!$G:$G, "*, "&amp;$B5&amp;", *",集計用!$AE:$AE,"36-40"))/G$3*100</calculatedColumnFormula>
    </tableColumn>
    <tableColumn id="9" xr3:uid="{3434AF07-41F4-445C-86A9-71C0B02912D3}" name="（クエスチョニング、模索中、または不明）" dataDxfId="168">
      <calculatedColumnFormula>(COUNTIFS(集計用!$G:$G, "*, "&amp;$B5&amp;", *",集計用!$AE:$AE,"41-45"))/H$3*100</calculatedColumnFormula>
    </tableColumn>
    <tableColumn id="10" xr3:uid="{1E7BD0FA-B7B9-4A43-B3A5-19DAD09FF1D0}" name="（時とともに変わる）" dataDxfId="167">
      <calculatedColumnFormula>(COUNTIFS(集計用!$G:$G, "*, "&amp;$B5&amp;", *",集計用!$AE:$AE,"46-50"))/I$3*100</calculatedColumnFormula>
    </tableColumn>
    <tableColumn id="11" xr3:uid="{936DD33C-1BF4-4EE7-BE2D-FC79B45D5576}" name="たん" dataDxfId="166">
      <calculatedColumnFormula>(COUNTIFS(集計用!$G:$G, "*, "&amp;$B5&amp;", *",集計用!$AE:$AE,"51-55")+COUNTIFS(集計用!$G:$G, "*, "&amp;$B5&amp;", *",集計用!$AE:$AE,"56-60")+COUNTIFS(集計用!$G:$G, "*, "&amp;$B5&amp;", *",集計用!$AE:$AE,"61-65"))/J$3*100</calculatedColumnFormula>
    </tableColumn>
    <tableColumn id="13" xr3:uid="{8E118C18-C48D-43D0-B65B-856A37242156}" name="同志" dataDxfId="165" dataCellStyle="パーセント">
      <calculatedColumnFormula>COUNTIFS(集計用!$G:$G,"*, "&amp;$B5&amp;", *",集計用!$AE:$AE,"無回答")/$K$3*100</calculatedColumnFormula>
    </tableColumn>
    <tableColumn id="12" xr3:uid="{4F52E0DB-EA27-4F2C-81CE-5D4DEB371AC7}" name="氏" dataDxfId="164">
      <calculatedColumnFormula>(COUNTIFS(集計用!$G:$G, "*, "&amp;$B5&amp;", *",集計用!$AE:$AE,"56-60")+COUNTIFS(集計用!$G:$G, "*, "&amp;$B5&amp;", *",集計用!$AE:$AE,"61-65"))/L$3*100</calculatedColumnFormula>
    </tableColumn>
    <tableColumn id="1" xr3:uid="{9DABFBB0-3ECA-4952-B5B0-6262099AA8A9}" name="言葉が存在しない" dataDxfId="163">
      <calculatedColumnFormula>(COUNTIFS(集計用!$U:$U, "&lt;&gt;*英語を日常的に*", 集計用!$T:$T, "*"&amp;M$4&amp;",*" ))/$A5*100</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FD7465A-11CD-4A1F-B1D1-7D9300E32F33}" name="テーブル21011121426" displayName="テーブル21011121426" ref="A4:P62" totalsRowShown="0" headerRowDxfId="162" dataDxfId="161" headerRowCellStyle="パーセント">
  <autoFilter ref="A4:P62" xr:uid="{570F4B61-F2E7-410B-92D0-3729C7044D21}"/>
  <sortState xmlns:xlrd2="http://schemas.microsoft.com/office/spreadsheetml/2017/richdata2" ref="A5:P62">
    <sortCondition ref="A4:A62"/>
  </sortState>
  <tableColumns count="16">
    <tableColumn id="2" xr3:uid="{170B09CF-892F-40E1-B681-8C1BE8F88D29}" name="cluster" dataDxfId="160"/>
    <tableColumn id="15" xr3:uid="{99162872-AFD4-4D2A-B094-2BCBA288A318}" name="n=" dataDxfId="159"/>
    <tableColumn id="3" xr3:uid="{2395104E-6C23-4AF4-849D-30E4D6E0F6D9}" name="ジェンダー・ラベル" dataDxfId="158"/>
    <tableColumn id="4" xr3:uid="{AB7D8135-F254-47CA-A8DD-733CFE1D1A2D}" name="社会の中でいないことにされる" dataDxfId="157">
      <calculatedColumnFormula>COUNTIFS(集計用!$O:$O, "*, "&amp;#REF!&amp;", *",集計用!$G:$G,"*, "&amp;$C5&amp;", *")/$B5*100</calculatedColumnFormula>
    </tableColumn>
    <tableColumn id="5" xr3:uid="{3BEFB403-4BC9-4150-BCA1-02EF2002C146}" name="ミスジェンダリング（誤った性別として扱うこと）" dataDxfId="156">
      <calculatedColumnFormula>(COUNTIFS(集計用!$G:$G, "*, "&amp;$C5&amp;", *",集計用!$AE:$AE,"21-25"))/E$3*100</calculatedColumnFormula>
    </tableColumn>
    <tableColumn id="6" xr3:uid="{0D8EF6EB-8E72-4813-A1C3-AEC4E84170C0}" name="職場や学校における無理解" dataDxfId="155">
      <calculatedColumnFormula>COUNTIFS(集計用!$G:$G, "*, "&amp;$C5&amp;", *",集計用!$AE:$AE,"26-30")/F$3*100</calculatedColumnFormula>
    </tableColumn>
    <tableColumn id="7" xr3:uid="{44EA1D8B-BB4B-4433-9B3D-BE39787D536E}" name="カムアウトできない" dataDxfId="154">
      <calculatedColumnFormula>(COUNTIFS(集計用!$G:$G, "*, "&amp;$C5&amp;", *",集計用!$AE:$AE,"31-35"))/G$3*100</calculatedColumnFormula>
    </tableColumn>
    <tableColumn id="8" xr3:uid="{835B3BDB-7788-4E88-9490-C3CDA6D1FD8A}" name="家族／かぞくからの無理解" dataDxfId="153">
      <calculatedColumnFormula>(COUNTIFS(集計用!$G:$G, "*, "&amp;$C5&amp;", *",集計用!$AE:$AE,"36-40"))/H$3*100</calculatedColumnFormula>
    </tableColumn>
    <tableColumn id="9" xr3:uid="{8D4FA7C8-E61C-47BD-B907-57C313704DA7}" name="トイレなどのジェンダー化されたスペースの使用" dataDxfId="152">
      <calculatedColumnFormula>(COUNTIFS(集計用!$G:$G, "*, "&amp;$C5&amp;", *",集計用!$AE:$AE,"41-45"))/I$3*100</calculatedColumnFormula>
    </tableColumn>
    <tableColumn id="10" xr3:uid="{E90D481A-9344-4373-8ACA-09784E5D8815}" name="必要なジェンダーケアへアクセスできない" dataDxfId="151">
      <calculatedColumnFormula>(COUNTIFS(集計用!$G:$G, "*, "&amp;$C5&amp;", *",集計用!$AE:$AE,"46-50"))/J$3*100</calculatedColumnFormula>
    </tableColumn>
    <tableColumn id="11" xr3:uid="{3A84E7C6-5374-4334-B4EC-74FD559D28A6}" name="医療における無理解" dataDxfId="150">
      <calculatedColumnFormula>(COUNTIFS(集計用!$G:$G, "*, "&amp;$C5&amp;", *",集計用!$AE:$AE,"51-55")+COUNTIFS(集計用!$G:$G, "*, "&amp;$C5&amp;", *",集計用!$AE:$AE,"56-60")+COUNTIFS(集計用!$G:$G, "*, "&amp;$C5&amp;", *",集計用!$AE:$AE,"61-65"))/K$3*100</calculatedColumnFormula>
    </tableColumn>
    <tableColumn id="12" xr3:uid="{0354D541-002E-42D1-AF66-1D6572398157}" name="アウティング（勝手にジェンダーや指向についての情報を明かされること）" dataDxfId="149">
      <calculatedColumnFormula>(COUNTIFS(集計用!$G:$G, "*, "&amp;$C5&amp;", *",集計用!$AE:$AE,"56-60")+COUNTIFS(集計用!$G:$G, "*, "&amp;$C5&amp;", *",集計用!$AE:$AE,"61-65"))/L$3*100</calculatedColumnFormula>
    </tableColumn>
    <tableColumn id="24" xr3:uid="{7CD9414C-4A92-461B-89F3-3477E9DDD463}" name="LGBTQ+運動からの排斥" dataDxfId="148"/>
    <tableColumn id="25" xr3:uid="{0D6B30CA-70DB-4C2A-9FBC-C0127EAC2D34}" name="性暴力" dataDxfId="147"/>
    <tableColumn id="18" xr3:uid="{20B6816F-FE7F-4DEB-B5AA-71BE0AC09F3F}" name="デッドネーミング（誤った名前で呼ばれること）" dataDxfId="146"/>
    <tableColumn id="19" xr3:uid="{27C339BE-FE6B-4D27-B18D-A1F7F662984F}" name="カムアウトを強制される" dataDxfId="145"/>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8B9BAC3-0672-483E-9F82-D46C56AE6772}" name="テーブル2101112142627" displayName="テーブル2101112142627" ref="A4:O15" totalsRowShown="0" headerRowDxfId="144" dataDxfId="143" headerRowCellStyle="パーセント">
  <autoFilter ref="A4:O15" xr:uid="{570F4B61-F2E7-410B-92D0-3729C7044D21}"/>
  <tableColumns count="15">
    <tableColumn id="15" xr3:uid="{B27A8972-4A9F-400F-B026-C954D7EA0C8E}" name="n=" dataDxfId="142"/>
    <tableColumn id="3" xr3:uid="{47D3078C-8042-441C-B838-665AE7A2B605}" name="ジェンダー・ラベル" dataDxfId="141"/>
    <tableColumn id="4" xr3:uid="{1BF10EEE-CFFD-414F-AF0A-BDB97AC79FA7}" name="社会の中でいないことにされる" dataDxfId="140">
      <calculatedColumnFormula>COUNTIFS(集計用!$O:$O, "*, "&amp;#REF!&amp;", *",集計用!$G:$G,"*, "&amp;$B5&amp;", *")/$A5*100</calculatedColumnFormula>
    </tableColumn>
    <tableColumn id="5" xr3:uid="{C5268B51-E741-408B-9AC5-24DB27B94C4F}" name="ミスジェンダリング（誤った性別として扱うこと）" dataDxfId="139"/>
    <tableColumn id="6" xr3:uid="{A135FFF3-BC33-4FA8-B087-C2DB3633FDB6}" name="職場や学校における無理解" dataDxfId="138"/>
    <tableColumn id="7" xr3:uid="{C86EB7F7-C4D5-439D-AA23-AF1A445A4834}" name="カムアウトできない" dataDxfId="137"/>
    <tableColumn id="8" xr3:uid="{9CE92A05-14C9-4D6A-9C49-653C38C558B3}" name="家族／かぞくからの無理解" dataDxfId="136"/>
    <tableColumn id="9" xr3:uid="{CCDF2975-1CE3-44D0-AA2E-8A43D9A1AB96}" name="トイレなどのジェンダー化されたスペースの使用" dataDxfId="135"/>
    <tableColumn id="10" xr3:uid="{D26CE1BC-4D09-4D4E-ABF7-E0BE1E5EBA47}" name="必要なジェンダーケアへアクセスできない" dataDxfId="134"/>
    <tableColumn id="11" xr3:uid="{E338CB6D-817E-4C9F-A545-98A0CFD70FCB}" name="医療における無理解" dataDxfId="133"/>
    <tableColumn id="12" xr3:uid="{C75F9C04-547A-4F34-9093-F78185A98E8B}" name="アウティング（勝手にジェンダーや指向についての情報を明かされること）" dataDxfId="132"/>
    <tableColumn id="24" xr3:uid="{2D508606-DFE9-4ED1-99DA-22B80601D0FA}" name="LGBTQ+運動からの排斥" dataDxfId="131"/>
    <tableColumn id="25" xr3:uid="{3E36BFB6-C401-4D97-9726-4A72E3C0DBE8}" name="性暴力" dataDxfId="130"/>
    <tableColumn id="18" xr3:uid="{242EB7FE-0D8E-473B-87A7-AC1AED4E84B7}" name="デッドネーミング（誤った名前で呼ばれること）" dataDxfId="129"/>
    <tableColumn id="19" xr3:uid="{68531FDE-89C5-4675-8E44-33FC5AD9DD70}" name="カムアウトを強制される"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FDAD29-8D8E-4218-ACC4-6FFFC21D3B9A}" name="テーブル210111214265" displayName="テーブル210111214265" ref="A4:N62" totalsRowShown="0" headerRowDxfId="127" dataDxfId="126" headerRowCellStyle="パーセント">
  <autoFilter ref="A4:N62" xr:uid="{570F4B61-F2E7-410B-92D0-3729C7044D21}"/>
  <sortState xmlns:xlrd2="http://schemas.microsoft.com/office/spreadsheetml/2017/richdata2" ref="A5:N62">
    <sortCondition ref="A4:A62"/>
  </sortState>
  <tableColumns count="14">
    <tableColumn id="2" xr3:uid="{7DC1B9CF-BFA6-48F8-89E8-B53C2D985123}" name="cluster" dataDxfId="125"/>
    <tableColumn id="15" xr3:uid="{C0B1CE73-5959-4198-B8ED-57874F30BE5B}" name="n=" dataDxfId="124"/>
    <tableColumn id="3" xr3:uid="{3E45CD6A-C143-400D-8515-008A81C43589}" name="ジェンダー・ラベル" dataDxfId="123"/>
    <tableColumn id="4" xr3:uid="{B493C2F4-D28C-47F3-A9A4-066A8A197E2E}" name="顔にかかわる手術" dataDxfId="122">
      <calculatedColumnFormula>COUNTIFS(集計用!$O:$O, "*, "&amp;#REF!&amp;", *",集計用!$G:$G,"*, "&amp;$C5&amp;", *")/$B5*100</calculatedColumnFormula>
    </tableColumn>
    <tableColumn id="5" xr3:uid="{7A7AE20D-0B94-4634-BC32-155BCD6764F6}" name="胸部の手術" dataDxfId="121">
      <calculatedColumnFormula>(COUNTIFS(集計用!$G:$G, "*, "&amp;$C5&amp;", *",集計用!$AE:$AE,"21-25"))/E$3*100</calculatedColumnFormula>
    </tableColumn>
    <tableColumn id="6" xr3:uid="{1CB44B39-1428-48CC-801B-26DE66E9670F}" name="抗ホルモン療法" dataDxfId="120">
      <calculatedColumnFormula>COUNTIFS(集計用!$G:$G, "*, "&amp;$C5&amp;", *",集計用!$AE:$AE,"26-30")/F$3*100</calculatedColumnFormula>
    </tableColumn>
    <tableColumn id="7" xr3:uid="{B854ACA4-559F-46D1-93B5-CE19A798A8B4}" name="戸籍名の変更" dataDxfId="119">
      <calculatedColumnFormula>(COUNTIFS(集計用!$G:$G, "*, "&amp;$C5&amp;", *",集計用!$AE:$AE,"31-35"))/G$3*100</calculatedColumnFormula>
    </tableColumn>
    <tableColumn id="8" xr3:uid="{636B4395-AFE8-4622-8464-4FB7FEC182A6}" name="戸籍上の性別の変更" dataDxfId="118">
      <calculatedColumnFormula>(COUNTIFS(集計用!$G:$G, "*, "&amp;$C5&amp;", *",集計用!$AE:$AE,"36-40"))/H$3*100</calculatedColumnFormula>
    </tableColumn>
    <tableColumn id="9" xr3:uid="{08A10216-856C-46ED-A037-C1D3E47511BB}" name="性器にかかわる手術" dataDxfId="117">
      <calculatedColumnFormula>(COUNTIFS(集計用!$G:$G, "*, "&amp;$C5&amp;", *",集計用!$AE:$AE,"41-45"))/I$3*100</calculatedColumnFormula>
    </tableColumn>
    <tableColumn id="10" xr3:uid="{61903AC4-12FA-463E-8BB1-463A478F6D94}" name="声帯にかかわる手術" dataDxfId="116">
      <calculatedColumnFormula>(COUNTIFS(集計用!$G:$G, "*, "&amp;$C5&amp;", *",集計用!$AE:$AE,"46-50"))/J$3*100</calculatedColumnFormula>
    </tableColumn>
    <tableColumn id="11" xr3:uid="{C1F93F2B-3D10-42A5-B9FD-B089A286DCEF}" name="ホルモン補充療法（HRT）" dataDxfId="115">
      <calculatedColumnFormula>(COUNTIFS(集計用!$G:$G, "*, "&amp;$C5&amp;", *",集計用!$AE:$AE,"51-55")+COUNTIFS(集計用!$G:$G, "*, "&amp;$C5&amp;", *",集計用!$AE:$AE,"56-60")+COUNTIFS(集計用!$G:$G, "*, "&amp;$C5&amp;", *",集計用!$AE:$AE,"61-65"))/K$3*100</calculatedColumnFormula>
    </tableColumn>
    <tableColumn id="12" xr3:uid="{BDBA831E-63EA-4D6B-B0D3-B535C7550CF9}" name="ジェンダークリニックの受診" dataDxfId="114">
      <calculatedColumnFormula>(COUNTIFS(集計用!$G:$G, "*, "&amp;$C5&amp;", *",集計用!$AE:$AE,"56-60")+COUNTIFS(集計用!$G:$G, "*, "&amp;$C5&amp;", *",集計用!$AE:$AE,"61-65"))/L$3*100</calculatedColumnFormula>
    </tableColumn>
    <tableColumn id="24" xr3:uid="{A96CE3E4-2CCA-45BE-BD77-715A137FB112}" name="（上記のどれも希望していない）" dataDxfId="113"/>
    <tableColumn id="1" xr3:uid="{581056D6-E74A-4338-A6F7-EB35FB6981F6}" name="[なんらかのトランジションを希望または経験]" dataDxfId="112">
      <calculatedColumnFormula>(1-(COUNTIFS(集計用!$AA:$AA, "*, "&amp;M$4&amp;",*"))/$B5)*100</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532C5D-039F-4921-A1DE-F2374371F515}" name="テーブル21011121426278" displayName="テーブル21011121426278" ref="A4:L15" totalsRowShown="0" headerRowDxfId="111" dataDxfId="110" headerRowCellStyle="パーセント">
  <autoFilter ref="A4:L15" xr:uid="{570F4B61-F2E7-410B-92D0-3729C7044D21}"/>
  <tableColumns count="12">
    <tableColumn id="15" xr3:uid="{7599B4AD-98C8-482D-B353-A932747CC0FA}" name="n=" dataDxfId="109"/>
    <tableColumn id="3" xr3:uid="{13B033E0-2FE9-4741-80E8-16B78CFE33E1}" name="ジェンダー・ラベル" dataDxfId="108"/>
    <tableColumn id="4" xr3:uid="{BC089C0D-A001-4250-AEF6-B4D82F0ADF6A}" name="顔にかかわる手術" dataDxfId="107">
      <calculatedColumnFormula>COUNTIFS(集計用!$O:$O, "*, "&amp;#REF!&amp;", *",集計用!$G:$G,"*, "&amp;$B5&amp;", *")/$A5*100</calculatedColumnFormula>
    </tableColumn>
    <tableColumn id="5" xr3:uid="{1FB51984-08DE-45A0-AD7D-CA1AC3C7EB72}" name="胸部の手術" dataDxfId="106"/>
    <tableColumn id="6" xr3:uid="{15FEF704-C576-477C-B585-297B2CA330CB}" name="抗ホルモン療法" dataDxfId="105"/>
    <tableColumn id="7" xr3:uid="{064A19A2-94B4-4C11-A7CA-7D46CEB02C38}" name="戸籍名の変更" dataDxfId="104"/>
    <tableColumn id="8" xr3:uid="{38E1DAE4-54BE-4305-9586-31910FF0D9BF}" name="戸籍上の性別の変更" dataDxfId="103"/>
    <tableColumn id="9" xr3:uid="{3C7B82FB-7DF9-46A6-A729-F9D8353C7FCE}" name="性器にかかわる手術" dataDxfId="102"/>
    <tableColumn id="10" xr3:uid="{608CC6DB-0FBB-4978-B58C-8CE8CACA001E}" name="声帯にかかわる手術" dataDxfId="101"/>
    <tableColumn id="11" xr3:uid="{9016BFE0-D127-459C-AB0C-B6C952C2E933}" name="ホルモン補充療法（HRT）" dataDxfId="100"/>
    <tableColumn id="12" xr3:uid="{074AA67B-4C70-453F-A36C-86606962B819}" name="ジェンダークリニックの受診" dataDxfId="99"/>
    <tableColumn id="24" xr3:uid="{4AF77B75-4ED2-4712-B756-B532897A0419}" name="（上記のどれも希望していない）" dataDxfId="9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7F8C1F-5F82-4E63-A59A-94FC949192F3}" name="テーブル2101112142656" displayName="テーブル2101112142656" ref="A4:N62" totalsRowShown="0" headerRowDxfId="97" dataDxfId="96" headerRowCellStyle="パーセント">
  <autoFilter ref="A4:N62" xr:uid="{570F4B61-F2E7-410B-92D0-3729C7044D21}"/>
  <sortState xmlns:xlrd2="http://schemas.microsoft.com/office/spreadsheetml/2017/richdata2" ref="A5:N62">
    <sortCondition descending="1" ref="A4:A62"/>
  </sortState>
  <tableColumns count="14">
    <tableColumn id="2" xr3:uid="{A2728581-7EFD-4079-8457-B150D382D593}" name="cluster" dataDxfId="95"/>
    <tableColumn id="15" xr3:uid="{C63BFD29-76D5-4DC0-A186-1AF0DCBC245F}" name="n=" dataDxfId="94"/>
    <tableColumn id="3" xr3:uid="{9576B73D-A167-49A9-B062-8F554DBE3377}" name="ジェンダー・ラベル" dataDxfId="93"/>
    <tableColumn id="4" xr3:uid="{F7D5FE63-1AE2-4CA8-89F5-A18F5A9FE0C6}" name="顔にかかわる手術" dataDxfId="92">
      <calculatedColumnFormula>COUNTIFS(集計用!$O:$O, "*, "&amp;#REF!&amp;", *",集計用!$G:$G,"*, "&amp;$C5&amp;", *")/$B5*100</calculatedColumnFormula>
    </tableColumn>
    <tableColumn id="5" xr3:uid="{F9F6D280-AF39-418E-AF8E-EA7AB8D6BA9A}" name="胸部の手術" dataDxfId="91">
      <calculatedColumnFormula>(COUNTIFS(集計用!$G:$G, "*, "&amp;$C5&amp;", *",集計用!$AE:$AE,"21-25"))/E$3*100</calculatedColumnFormula>
    </tableColumn>
    <tableColumn id="6" xr3:uid="{E6ED5466-BF0C-4E30-8852-83320E1DB310}" name="抗ホルモン療法" dataDxfId="90">
      <calculatedColumnFormula>COUNTIFS(集計用!$G:$G, "*, "&amp;$C5&amp;", *",集計用!$AE:$AE,"26-30")/F$3*100</calculatedColumnFormula>
    </tableColumn>
    <tableColumn id="7" xr3:uid="{2D14CF9D-2C12-4747-A280-F6DF72C27380}" name="戸籍名の変更" dataDxfId="89">
      <calculatedColumnFormula>(COUNTIFS(集計用!$G:$G, "*, "&amp;$C5&amp;", *",集計用!$AE:$AE,"31-35"))/G$3*100</calculatedColumnFormula>
    </tableColumn>
    <tableColumn id="8" xr3:uid="{E048C450-2089-4D85-935E-C0755DE8A994}" name="戸籍上の性別の変更" dataDxfId="88">
      <calculatedColumnFormula>(COUNTIFS(集計用!$G:$G, "*, "&amp;$C5&amp;", *",集計用!$AE:$AE,"36-40"))/H$3*100</calculatedColumnFormula>
    </tableColumn>
    <tableColumn id="9" xr3:uid="{7FFE895C-DEE0-4610-B8D6-0DC55EF47B61}" name="性器にかかわる手術" dataDxfId="87">
      <calculatedColumnFormula>(COUNTIFS(集計用!$G:$G, "*, "&amp;$C5&amp;", *",集計用!$AE:$AE,"41-45"))/I$3*100</calculatedColumnFormula>
    </tableColumn>
    <tableColumn id="10" xr3:uid="{079D8264-008B-4544-BF9A-794247B88F66}" name="声帯にかかわる手術" dataDxfId="86">
      <calculatedColumnFormula>(COUNTIFS(集計用!$G:$G, "*, "&amp;$C5&amp;", *",集計用!$AE:$AE,"46-50"))/J$3*100</calculatedColumnFormula>
    </tableColumn>
    <tableColumn id="11" xr3:uid="{D1BA29C3-9BD0-45EB-9E06-F98396BBD677}" name="ホルモン補充療法（HRT）" dataDxfId="85">
      <calculatedColumnFormula>(COUNTIFS(集計用!$G:$G, "*, "&amp;$C5&amp;", *",集計用!$AE:$AE,"51-55")+COUNTIFS(集計用!$G:$G, "*, "&amp;$C5&amp;", *",集計用!$AE:$AE,"56-60")+COUNTIFS(集計用!$G:$G, "*, "&amp;$C5&amp;", *",集計用!$AE:$AE,"61-65"))/K$3*100</calculatedColumnFormula>
    </tableColumn>
    <tableColumn id="12" xr3:uid="{F9F5DDA6-F762-4D71-8FE0-AF2E0CC41BE8}" name="ジェンダークリニックの受診" dataDxfId="84">
      <calculatedColumnFormula>(COUNTIFS(集計用!$G:$G, "*, "&amp;$C5&amp;", *",集計用!$AE:$AE,"56-60")+COUNTIFS(集計用!$G:$G, "*, "&amp;$C5&amp;", *",集計用!$AE:$AE,"61-65"))/L$3*100</calculatedColumnFormula>
    </tableColumn>
    <tableColumn id="24" xr3:uid="{9103F7A1-DE5A-4682-9A22-BBB6ED976112}" name="（上記のどれも経験していない）" dataDxfId="83"/>
    <tableColumn id="1" xr3:uid="{50E49F94-137D-43B6-93DF-08F830D44CCF}" name="[なんらかのトランジションを経験]" dataDxfId="82">
      <calculatedColumnFormula>(1-(COUNTIFS(集計用!$AA:$AA, "*, "&amp;M$4&amp;",*"))/$B5)*100</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8A4824A-DD00-4523-92CB-DD1C0A450245}" name="テーブル210111214262781516" displayName="テーブル210111214262781516" ref="A4:L15" totalsRowShown="0" headerRowDxfId="81" dataDxfId="80" headerRowCellStyle="パーセント">
  <autoFilter ref="A4:L15" xr:uid="{570F4B61-F2E7-410B-92D0-3729C7044D21}"/>
  <tableColumns count="12">
    <tableColumn id="15" xr3:uid="{9F740BE7-0BBD-420F-BCFC-6A8A2CEFBF37}" name="n=" dataDxfId="79"/>
    <tableColumn id="3" xr3:uid="{5D993EED-C101-4FDA-9A00-9CE01E1E5E2F}" name="ジェンダー・ラベル" dataDxfId="78"/>
    <tableColumn id="4" xr3:uid="{D4C5375A-D0A6-450F-8749-252BE55B173E}" name="顔にかかわる手術" dataDxfId="77">
      <calculatedColumnFormula>COUNTIFS(集計用!$O:$O, "*, "&amp;#REF!&amp;", *",集計用!$G:$G,"*, "&amp;$B5&amp;", *")/$A5*100</calculatedColumnFormula>
    </tableColumn>
    <tableColumn id="5" xr3:uid="{FBBD2954-711B-45C6-9CA5-A292FE0AD6D7}" name="胸部の手術" dataDxfId="76"/>
    <tableColumn id="6" xr3:uid="{5A3F7F3C-D097-4750-B2BE-E0962732B743}" name="抗ホルモン療法" dataDxfId="75"/>
    <tableColumn id="7" xr3:uid="{06D158EA-517A-4274-BF72-D0BE9ED3FC7C}" name="戸籍名の変更" dataDxfId="74"/>
    <tableColumn id="8" xr3:uid="{9EF8E7CC-9066-4AA6-B647-2B32B1A9D18C}" name="戸籍上の性別の変更" dataDxfId="73"/>
    <tableColumn id="9" xr3:uid="{54A1C8DC-B130-4E1C-9F4A-47E1FB6097FF}" name="性器にかかわる手術" dataDxfId="72"/>
    <tableColumn id="10" xr3:uid="{1B3D4B6A-5DD3-463B-A0BA-CD2DE899E97C}" name="声帯にかかわる手術" dataDxfId="71"/>
    <tableColumn id="11" xr3:uid="{EE8618B8-F25E-4CD1-9EBD-B20C5346B1F9}" name="ホルモン補充療法（HRT）" dataDxfId="70"/>
    <tableColumn id="12" xr3:uid="{C0464C52-AEB8-4B20-9BD7-83698D1453DC}" name="ジェンダークリニックの受診" dataDxfId="69"/>
    <tableColumn id="24" xr3:uid="{777B51EE-8BBF-4191-B1BA-B522797E2E84}" name="（上記のどれも経験していない）" dataDxfId="6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25CAED9-04A4-46B2-B562-5CDA6648652B}" name="テーブル21011121426278151620" displayName="テーブル21011121426278151620" ref="A4:AC15" totalsRowShown="0" headerRowDxfId="67" dataDxfId="66" headerRowCellStyle="パーセント">
  <autoFilter ref="A4:AC15" xr:uid="{570F4B61-F2E7-410B-92D0-3729C7044D21}"/>
  <tableColumns count="29">
    <tableColumn id="15" xr3:uid="{90E4CB51-E8B5-4BB3-8547-2B4FE03DAA9D}" name="n=" dataDxfId="65"/>
    <tableColumn id="3" xr3:uid="{66FE7117-FE1B-444C-AF28-3AA9622A2E3D}" name="ジェンダー・ラベル" dataDxfId="64"/>
    <tableColumn id="4" xr3:uid="{3E30BE37-4DE8-4DC6-A1DE-4FC27D1AE6F4}" name="顔にかかわる手術" dataDxfId="63">
      <calculatedColumnFormula>テーブル21011121426278151620[[#This Row],[顔にかかわる手術3]]/テーブル21011121426278151620[[#This Row],[顔にかかわる手術2]]*100</calculatedColumnFormula>
    </tableColumn>
    <tableColumn id="5" xr3:uid="{DDA06281-5618-4B9A-8EA3-B1B095594F6F}" name="胸部の手術" dataDxfId="62">
      <calculatedColumnFormula>テーブル21011121426278151620[[#This Row],[胸部の手術4]]/テーブル21011121426278151620[[#This Row],[胸部の手術3]]*100</calculatedColumnFormula>
    </tableColumn>
    <tableColumn id="6" xr3:uid="{690F18A3-C36E-4843-9B64-5AA14AB2D3F3}" name="抗ホルモン療法" dataDxfId="61">
      <calculatedColumnFormula>テーブル21011121426278151620[[#This Row],[抗ホルモン療法5]]/テーブル21011121426278151620[[#This Row],[抗ホルモン療法4]]*100</calculatedColumnFormula>
    </tableColumn>
    <tableColumn id="7" xr3:uid="{D2AB8E37-D314-4875-8DB0-F53535388E1D}" name="戸籍名の変更" dataDxfId="60">
      <calculatedColumnFormula>テーブル21011121426278151620[[#This Row],[戸籍名の変更6]]/テーブル21011121426278151620[[#This Row],[戸籍名の変更5]]*100</calculatedColumnFormula>
    </tableColumn>
    <tableColumn id="8" xr3:uid="{7B04174C-4CFE-4687-B834-3498FF3DD6D8}" name="戸籍上の性別の変更" dataDxfId="59">
      <calculatedColumnFormula>テーブル21011121426278151620[[#This Row],[戸籍上の性別の変更7]]/テーブル21011121426278151620[[#This Row],[戸籍上の性別の変更6]]*100</calculatedColumnFormula>
    </tableColumn>
    <tableColumn id="9" xr3:uid="{95D6EC27-2EC3-4561-A11D-ACAD48F44791}" name="性器にかかわる手術" dataDxfId="58">
      <calculatedColumnFormula>テーブル21011121426278151620[[#This Row],[性器にかかわる手術8]]/テーブル21011121426278151620[[#This Row],[性器にかかわる手術7]]*100</calculatedColumnFormula>
    </tableColumn>
    <tableColumn id="10" xr3:uid="{3E576568-7965-4B78-B074-904BA173CE7C}" name="声帯にかかわる手術" dataDxfId="57">
      <calculatedColumnFormula>テーブル21011121426278151620[[#This Row],[声帯にかかわる手術9]]/テーブル21011121426278151620[[#This Row],[声帯にかかわる手術8]]*100</calculatedColumnFormula>
    </tableColumn>
    <tableColumn id="11" xr3:uid="{75606022-A931-4373-8EDF-0E236AF46F53}" name="ホルモン補充療法（HRT）" dataDxfId="56">
      <calculatedColumnFormula>テーブル21011121426278151620[[#This Row],[ホルモン補充療法（HRT）10]]/テーブル21011121426278151620[[#This Row],[ホルモン補充療法（HRT）9]]*100</calculatedColumnFormula>
    </tableColumn>
    <tableColumn id="12" xr3:uid="{FFFD6DB4-0232-411A-BAEF-905BE424D404}" name="ジェンダークリニックの受診" dataDxfId="55">
      <calculatedColumnFormula>テーブル21011121426278151620[[#This Row],[ジェンダークリニックの受診11]]/テーブル21011121426278151620[[#This Row],[ジェンダークリニックの受診10]]*100</calculatedColumnFormula>
    </tableColumn>
    <tableColumn id="1" xr3:uid="{549EFAD9-E010-49BF-AAC2-3317953BCA84}" name="顔にかかわる手術2" dataDxfId="54"/>
    <tableColumn id="2" xr3:uid="{B3F09471-80DC-4EA2-8903-6F89170F779A}" name="胸部の手術3" dataDxfId="53"/>
    <tableColumn id="13" xr3:uid="{48DD1D1E-2A0C-4341-9F7F-A6846CECDB32}" name="抗ホルモン療法4" dataDxfId="52"/>
    <tableColumn id="14" xr3:uid="{4F596F2C-1C5B-43ED-B149-17BC63C39F5E}" name="戸籍名の変更5" dataDxfId="51"/>
    <tableColumn id="16" xr3:uid="{F0469CB4-1F5D-4A13-9C13-DDBDF3E3A385}" name="戸籍上の性別の変更6" dataDxfId="50"/>
    <tableColumn id="17" xr3:uid="{810BEA4C-EBC3-44FA-B56A-B2A52C6A5E66}" name="性器にかかわる手術7" dataDxfId="49"/>
    <tableColumn id="18" xr3:uid="{F302E9D4-FD99-47FC-9FB2-8715C874F691}" name="声帯にかかわる手術8" dataDxfId="48"/>
    <tableColumn id="19" xr3:uid="{74B576F8-0320-4605-897F-6D6B86EF049D}" name="ホルモン補充療法（HRT）9" dataDxfId="47"/>
    <tableColumn id="20" xr3:uid="{015B69B6-361A-4A26-A9C7-7BB2260ECAA5}" name="ジェンダークリニックの受診10" dataDxfId="46"/>
    <tableColumn id="21" xr3:uid="{3328C3B9-6B80-4B2B-AD6F-DD45935A30F5}" name="顔にかかわる手術3" dataDxfId="45"/>
    <tableColumn id="22" xr3:uid="{117A6CCC-EB6E-434A-BEA6-76F965D4EF98}" name="胸部の手術4" dataDxfId="44"/>
    <tableColumn id="23" xr3:uid="{574488C9-B2AC-4C97-B178-C1CCF8426DA3}" name="抗ホルモン療法5" dataDxfId="43"/>
    <tableColumn id="24" xr3:uid="{6B17083A-D1FD-44CA-839F-6BFE7676D536}" name="戸籍名の変更6" dataDxfId="42"/>
    <tableColumn id="25" xr3:uid="{3D33A139-85B1-4F29-BEFF-08491BD4320F}" name="戸籍上の性別の変更7" dataDxfId="41"/>
    <tableColumn id="26" xr3:uid="{59E73C98-00AF-435A-A202-3E71FEAA7E7F}" name="性器にかかわる手術8" dataDxfId="40"/>
    <tableColumn id="27" xr3:uid="{A7137AF5-38C6-4AC4-8DC7-FB89283FF466}" name="声帯にかかわる手術9" dataDxfId="39"/>
    <tableColumn id="28" xr3:uid="{E4F3D4DC-97B3-425E-9C64-C1D4ACCAFD84}" name="ホルモン補充療法（HRT）10" dataDxfId="38"/>
    <tableColumn id="29" xr3:uid="{F211FBCD-55E3-40FD-9608-B468373C9126}" name="ジェンダークリニックの受診11" dataDxfId="37"/>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C81F58-2304-4FE2-96A7-98C28F93D25D}" name="テーブル1" displayName="テーブル1" ref="A1:AI444" totalsRowShown="0" headerRowDxfId="36" dataDxfId="35">
  <autoFilter ref="A1:AI444" xr:uid="{39C81F58-2304-4FE2-96A7-98C28F93D25D}">
    <filterColumn colId="13">
      <filters>
        <filter val="無回答,"/>
      </filters>
    </filterColumn>
  </autoFilter>
  <tableColumns count="35">
    <tableColumn id="1" xr3:uid="{190CC4DD-934B-4625-B79C-C6DB13BB85B4}" name="列1" dataDxfId="34"/>
    <tableColumn id="2" xr3:uid="{FB511A1E-4024-4DF7-AACF-18097977BC62}" name="Timestamp" dataDxfId="33"/>
    <tableColumn id="3" xr3:uid="{8D21ECA9-C794-47AB-BEE6-F5CC8BD6A40D}" name="上記「対象」に含まれる、すなわち「 ジェンダー二元論でうまく説明されないすべての人」に含まれる、ということに、同意します。" dataDxfId="32"/>
    <tableColumn id="4" xr3:uid="{2FC82702-E63A-46E6-AB20-5D479EF586F4}" name="次のことを理解しました：どの段階でも回答をやめてよく、やめた場合、調査者側には一切の情報が送信されない。" dataDxfId="31"/>
    <tableColumn id="5" xr3:uid="{85FDA150-8FA7-48F1-A254-77FC94240CC7}" name="次のことを理解しました：回答を終了し送信した場合、匿名化され、オンライン上ですべての人が見られ、引用、および転載されうる形で公開される。ただし、不適切な回答とこちらが判断した場合、また、個人を特定できる情報を含んでいる場合、回答は公開前に編集ないし削除されうる。" dataDxfId="30"/>
    <tableColumn id="6" xr3:uid="{F470C007-F134-4BDA-9D02-86454072A74D}" name="この調査では「あなた（たち）」という二人称を、ジェンダーに関してニュートラルな代名詞として用いています。" dataDxfId="29"/>
    <tableColumn id="7" xr3:uid="{D7CB22E5-02FA-4F42-96FC-B3CA7F795DDD}" name="あなた（たち）の性別／ジェンダーを表す表現として適切なものを、以下からすべてお選びください。（次の問いとして、自由記入欄がございます）。なお、「必ず選んでください」と書かれた選択肢には、必ずチェックを入れてください。" dataDxfId="28">
      <calculatedColumnFormula>", "&amp;'RAW (公開用)'!F2&amp;", "</calculatedColumnFormula>
    </tableColumn>
    <tableColumn id="8" xr3:uid="{3FD03517-3F70-49E7-8B9F-828CDDDF8E99}" name="上記選択肢になかった、あなた（たち）のジェンダーをあらわす言葉を 、いくつでも、  ご自由にお書きください。伏字や省略は用いず、すべて書いてください（例：「トランス」と「トランスジェンダー」と「トラ〇ス」はすべて別のものとして扱われます）" dataDxfId="27"/>
    <tableColumn id="9" xr3:uid="{A94EBBB9-0E4A-4886-ACBE-05DD403C1285}" name="あなた（たち）の敬称として  適切なものを、以下からすべてお選びください（日本語の場合）。次の問いとして、自由記入欄がございます。" dataDxfId="26">
      <calculatedColumnFormula>", "&amp;'RAW (公開用)'!H2&amp;", "</calculatedColumnFormula>
    </tableColumn>
    <tableColumn id="10" xr3:uid="{811CB410-D408-49B2-A0F5-AD6F555E4CB8}" name="上記選択肢になかった、あなた（たち）の敬称をあらわす言葉をご自由にお書きください。（日本語）" dataDxfId="25"/>
    <tableColumn id="30" xr3:uid="{C2F3364F-CF38-485D-8BF7-6881CEB55EE3}" name="JaTitle" dataDxfId="24">
      <calculatedColumnFormula>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calculatedColumnFormula>
    </tableColumn>
    <tableColumn id="11" xr3:uid="{73B85325-663E-4829-8920-EC71AAB5CD78}" name="あなた（たち）の敬称として  適切なものを、以下からすべてお選びください。（英語の場合）。なお、英語を日常的に使わない場合は、「英語を日常的に使わない」をお選びください。" dataDxfId="23">
      <calculatedColumnFormula>", "&amp;'RAW (公開用)'!J2&amp;", "</calculatedColumnFormula>
    </tableColumn>
    <tableColumn id="12" xr3:uid="{CAE8D002-62B9-4AE3-9860-954FD30475EA}" name="上記選択肢になかった、あなた（たち）の敬称をあらわす言葉をご自由にお書きください。（英語）" dataDxfId="22"/>
    <tableColumn id="32" xr3:uid="{83FF5E72-C541-45C8-A68E-03DAF03050A5}" name="EnTitle" dataDxfId="21">
      <calculatedColumnFormula>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calculatedColumnFormula>
    </tableColumn>
    <tableColumn id="13" xr3:uid="{B36F0309-1203-4539-B8C0-3A3C989CD9C2}" name="あなた（たち）の一人称を教えてください（日本語）。漢字とひらがなは区別されています。" dataDxfId="20">
      <calculatedColumnFormula>", "&amp;'RAW (公開用)'!L2&amp;", "</calculatedColumnFormula>
    </tableColumn>
    <tableColumn id="14" xr3:uid="{2AFDD0AF-0207-4C12-A341-2E8DF2EB4B6C}" name="上記選択肢になかった、あなた（たち）の一人称代名詞をあらわす言葉をご自由にお書きください。（日本語）" dataDxfId="19"/>
    <tableColumn id="33" xr3:uid="{B007C0F3-F986-4D15-8EF7-BD323F3A14AC}" name="Ja1" dataDxfId="18">
      <calculatedColumnFormula>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calculatedColumnFormula>
    </tableColumn>
    <tableColumn id="15" xr3:uid="{52D9CCB1-ED75-40DD-958E-2249737F424B}" name="あなた（たち）の三人称を教えてください（日本語）。漢字とひらがなは区別されています。" dataDxfId="17">
      <calculatedColumnFormula>", "&amp;'RAW (公開用)'!N2&amp;", "</calculatedColumnFormula>
    </tableColumn>
    <tableColumn id="16" xr3:uid="{AD2FD59C-FF29-43B7-8052-5D3723D84860}" name="上記選択肢になかった、あなた（たち）の三人称代名詞をあらわす言葉をご自由にお書きください。（日本語）" dataDxfId="16"/>
    <tableColumn id="34" xr3:uid="{59B288CB-13AC-4D0E-9E89-BA430099DE43}" name="Ja3" dataDxfId="15">
      <calculatedColumnFormula>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calculatedColumnFormula>
    </tableColumn>
    <tableColumn id="17" xr3:uid="{9741B6CC-12C7-4C56-94BB-F78DCCCA0F58}" name="あなた（たち）の三人称を教えてください（英語）。英語を日常的に用いない場合、 「英語を日常的に使わない」をお選びください。" dataDxfId="14">
      <calculatedColumnFormula>", "&amp;'RAW (公開用)'!P2&amp;", "</calculatedColumnFormula>
    </tableColumn>
    <tableColumn id="18" xr3:uid="{BC23ED8A-8406-49AF-8A36-A0D0973D1546}" name="差別についての質問に回答しますか？" dataDxfId="13"/>
    <tableColumn id="19" xr3:uid="{5D4D3362-671C-4DC2-A4EC-5F40CD76A312}" name="自身が経験した、経験している、および不安なことについて、お選びください" dataDxfId="12">
      <calculatedColumnFormula>", "&amp;'RAW (公開用)'!R2&amp;", "</calculatedColumnFormula>
    </tableColumn>
    <tableColumn id="20" xr3:uid="{F7C94171-B153-47F1-BF59-71FE5D198EC8}" name="自身が経験した、経験している、および不安なことについて、追加したいことをこちらにお書きください" dataDxfId="11"/>
    <tableColumn id="36" xr3:uid="{AB274A4D-0839-4C44-B5F2-B247AF3212B3}" name="discrimination" dataDxfId="10">
      <calculatedColumnFormula>テーブル1[[#This Row],[自身が経験した、経験している、および不安なことについて、お選びください]]&amp;" "&amp;テーブル1[[#This Row],[自身が経験した、経験している、および不安なことについて、追加したいことをこちらにお書きください]]</calculatedColumnFormula>
    </tableColumn>
    <tableColumn id="21" xr3:uid="{1487B4E9-2A6F-4613-9E56-4EC9C4FDBB8F}" name="トランジションについての質問に回答しますか？" dataDxfId="9"/>
    <tableColumn id="22" xr3:uid="{684E16D9-52F3-4368-9DDB-5610C6A9D14F}" name="以下のうち、（アクセスの可能性の有無にかかわらず）、希望しているもの、または経験したものをすべて選んでください" dataDxfId="8">
      <calculatedColumnFormula>", "&amp;'RAW (公開用)'!U2&amp;", "</calculatedColumnFormula>
    </tableColumn>
    <tableColumn id="23" xr3:uid="{8AAF4BB2-CC45-4481-A27A-F1CB9A1AF0F8}" name="以下のうち、経験したものをすべて選んでください" dataDxfId="7">
      <calculatedColumnFormula>", "&amp;'RAW (公開用)'!V2&amp;", "</calculatedColumnFormula>
    </tableColumn>
    <tableColumn id="24" xr3:uid="{C0D73529-B53A-4FBD-8B1D-C16685EF505D}" name="社会的、法的、医学的トランジションについて、困難なこと等がありましたらここにお書きください" dataDxfId="6"/>
    <tableColumn id="37" xr3:uid="{EA6575F6-4EF8-47F5-9581-2CD3E7529E7E}" name="列2" dataDxfId="5">
      <calculatedColumnFormula>テーブル1[[#This Row],[以下のうち、経験したものをすべて選んでください]]&amp;" "&amp;テーブル1[[#This Row],[社会的、法的、医学的トランジションについて、困難なこと等がありましたらここにお書きください]]</calculatedColumnFormula>
    </tableColumn>
    <tableColumn id="25" xr3:uid="{A8E9509F-87CE-402E-8265-6D506BE2863E}" name="年齢を教えてください_x000a_*これは、年齢層とアイデンティティを表す用語などについての相関性を確認するためです。英語圏では相関性のみられることが、GenderCensusからわかっています。" dataDxfId="4"/>
    <tableColumn id="26" xr3:uid="{9925B032-C8BA-483D-85BF-FF4B79888AD3}" name="どこの国から回答してますか？" dataDxfId="3"/>
    <tableColumn id="27" xr3:uid="{F650283F-8CEC-4105-B763-DAF992A81A17}" name="英語版The Gender Censusに回答したことはありますか？" dataDxfId="2"/>
    <tableColumn id="28" xr3:uid="{9B755508-387E-483C-9E5D-C0D596EFC7F4}" name="お疲れさまでした。最後にフィードバック等がありましたらこちらにお書きください" dataDxfId="1"/>
    <tableColumn id="29" xr3:uid="{3125678D-9C6C-4188-8E3C-91A0F8D09073}" name="選んだジェンダーの数" dataDxfId="0">
      <calculatedColumnFormula>(LEN(G2)-LEN(SUBSTITUTE(G2,", ","")))/LEN(", ")-1-(LEN(G2)-LEN(SUBSTITUTE(G2,"必ず","")))/LEN("必ず")</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3D331-2702-4636-B90A-7888BB71D903}">
  <dimension ref="A1:A35"/>
  <sheetViews>
    <sheetView workbookViewId="0">
      <selection activeCell="A25" sqref="A1:A25"/>
    </sheetView>
  </sheetViews>
  <sheetFormatPr defaultRowHeight="12.75"/>
  <cols>
    <col min="1" max="16384" width="9.140625" style="45"/>
  </cols>
  <sheetData>
    <row r="1" spans="1:1">
      <c r="A1" s="123" t="s">
        <v>2478</v>
      </c>
    </row>
    <row r="2" spans="1:1">
      <c r="A2" s="59" t="str">
        <f>HYPERLINK('A1.年齢ごとジェンダー'!A1)</f>
        <v>表A1：年齢層ごとのジェンダー・ラベル（%）</v>
      </c>
    </row>
    <row r="3" spans="1:1">
      <c r="A3" s="59" t="str">
        <f>HYPERLINK('A2.ジェンダーごと年齢'!A1)</f>
        <v>表A2：ジェンダー・ラベルごとの年齢（%）</v>
      </c>
    </row>
    <row r="4" spans="1:1">
      <c r="A4" s="59" t="str">
        <f>HYPERLINK('A3.ジェンダーとラベル選択数'!A1)</f>
        <v>表A3：ジェンダー・ラベルおよび年齢ごとの、選択されたジェンダー・ラベルの個数</v>
      </c>
    </row>
    <row r="5" spans="1:1">
      <c r="A5" s="122" t="s">
        <v>2479</v>
      </c>
    </row>
    <row r="6" spans="1:1">
      <c r="A6" s="59" t="str">
        <f>HYPERLINK('A4a.ジェンダーと一人称(選択式)'!A1)</f>
        <v>表A4a：ジェンダー・ラベルごとの日本語一人称（選択式、%）</v>
      </c>
    </row>
    <row r="7" spans="1:1">
      <c r="A7" s="59" t="str">
        <f>HYPERLINK('A4b.ジェンダーと一人称 (自由記入式)'!A1)</f>
        <v>表A4b：ジェンダー・ラベルごとの日本語一人称（自由記入式, %）</v>
      </c>
    </row>
    <row r="8" spans="1:1">
      <c r="A8" s="122" t="s">
        <v>2480</v>
      </c>
    </row>
    <row r="9" spans="1:1">
      <c r="A9" s="59" t="str">
        <f>HYPERLINK('A5a.ジェンダーと三人称 (日,選択式)'!A1)</f>
        <v>表A5a：ジェンダー・ラベルごとの日本語三人称（選択式, %）</v>
      </c>
    </row>
    <row r="10" spans="1:1">
      <c r="A10" s="59" t="str">
        <f>HYPERLINK('A5b.ジェンダーと三人称 (日,記入式)'!A1)</f>
        <v>表A5b：ジェンダー・ラベルごとの日本語三人称（記入式, %）</v>
      </c>
    </row>
    <row r="11" spans="1:1">
      <c r="A11" s="59" t="str">
        <f>HYPERLINK('A6.ジェンダーと三人称 (英)'!A1)</f>
        <v>表A6：ジェンダー・ラベルごとの英語三人称（英語を日常的に使う方,　%）</v>
      </c>
    </row>
    <row r="12" spans="1:1">
      <c r="A12" s="59" t="str">
        <f>HYPERLINK('A7.三人称（日）と三人称 (英)'!A1)</f>
        <v>表A7：英語三人称ごとの、選択された日本語三人称（英語を日常的に使う方, %）</v>
      </c>
    </row>
    <row r="13" spans="1:1">
      <c r="A13" s="122" t="s">
        <v>2481</v>
      </c>
    </row>
    <row r="14" spans="1:1">
      <c r="A14" s="59" t="str">
        <f>HYPERLINK('A8.ジェンダーと敬称 (日)'!A1)</f>
        <v>表A8：ジェンダー・ラベルごとの日本語敬称（%）</v>
      </c>
    </row>
    <row r="15" spans="1:1">
      <c r="A15" s="59" t="str">
        <f>HYPERLINK('A9.ジェンダーと敬称 (英) '!A1)</f>
        <v>表A9：ジェンダー・ラベルごとの英語敬称（英語を日常的に使う方, %）</v>
      </c>
    </row>
    <row r="16" spans="1:1">
      <c r="A16" s="59" t="str">
        <f>HYPERLINK('A10.敬称（日）と敬称 (英)'!A1)</f>
        <v>表A10：英語敬称ごとの選択された日本語敬称（英語を使う方, %）</v>
      </c>
    </row>
    <row r="17" spans="1:1">
      <c r="A17" s="122" t="s">
        <v>2482</v>
      </c>
    </row>
    <row r="18" spans="1:1">
      <c r="A18" s="59" t="str">
        <f>HYPERLINK('A11.ジェンダーと差別(選択式)'!A1)</f>
        <v>表A11：ジェンダー・ラベルごとの経験した、している、または不安である差別（ %）</v>
      </c>
    </row>
    <row r="19" spans="1:1">
      <c r="A19" s="59" t="str">
        <f>HYPERLINK('A12.年齢層と差別(選択式)'!A1)</f>
        <v>表A12：年齢層ごとの経験した、している、または不安である差別（ %）</v>
      </c>
    </row>
    <row r="20" spans="1:1">
      <c r="A20" s="122" t="s">
        <v>2483</v>
      </c>
    </row>
    <row r="21" spans="1:1">
      <c r="A21" s="59" t="str">
        <f>HYPERLINK('A13.ジェンダーとトランジション(希望+経験, 選択式)'!A1)</f>
        <v>表A13：ジェンダー・ラベルごとの経験または希望しているトランジション（%）</v>
      </c>
    </row>
    <row r="22" spans="1:1">
      <c r="A22" s="59" t="str">
        <f>HYPERLINK('A14.年齢層とトランジション(希望+経験, 選択式)'!A1)</f>
        <v>表A14：年齢層ごとの経験または希望しているトランジション（%）</v>
      </c>
    </row>
    <row r="23" spans="1:1">
      <c r="A23" s="59" t="str">
        <f>HYPERLINK('A15.ジェンダーとトランジション(経験,選択式) '!A1)</f>
        <v>表A15：ジェンダー・ラベルごとの経験したトランジション（%）</v>
      </c>
    </row>
    <row r="24" spans="1:1">
      <c r="A24" s="59" t="str">
        <f>HYPERLINK('A16.年齢層とトランジション(経験, 選択式)'!A1)</f>
        <v>表A16：年齢層ごとの経験したトランジション（%）</v>
      </c>
    </row>
    <row r="25" spans="1:1">
      <c r="A25" s="59" t="str">
        <f>HYPERLINK('A17.年齢層とトランジション(経験vs希望,選択式) '!A1)</f>
        <v>表A17:年齢層ごとの「希望または経験しているトランジション」に対する「経験したトランジション」（%）</v>
      </c>
    </row>
    <row r="26" spans="1:1">
      <c r="A26" s="59"/>
    </row>
    <row r="27" spans="1:1">
      <c r="A27" s="59"/>
    </row>
    <row r="28" spans="1:1">
      <c r="A28" s="59" t="str">
        <f>HYPERLINK('RAW (公開用)'!A1,"生データ")</f>
        <v>生データ</v>
      </c>
    </row>
    <row r="29" spans="1:1">
      <c r="A29" s="59"/>
    </row>
    <row r="30" spans="1:1">
      <c r="A30" s="45" t="s">
        <v>2477</v>
      </c>
    </row>
    <row r="31" spans="1:1">
      <c r="A31" s="59" t="str">
        <f>HYPERLINK(集計用!A1, "集計用整形済みデータ")</f>
        <v>集計用整形済みデータ</v>
      </c>
    </row>
    <row r="32" spans="1:1">
      <c r="A32" s="59" t="str">
        <f>HYPERLINK(選んだジェンダー!A3, "選択されたジェンダー・ラベル")</f>
        <v>選択されたジェンダー・ラベル</v>
      </c>
    </row>
    <row r="33" spans="1:1">
      <c r="A33" s="59"/>
    </row>
    <row r="34" spans="1:1">
      <c r="A34" s="59"/>
    </row>
    <row r="35" spans="1:1">
      <c r="A35" s="59"/>
    </row>
  </sheetData>
  <phoneticPr fontI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25B2-4DFD-4350-B0EF-A849FF9D5A78}">
  <dimension ref="A1:BH14"/>
  <sheetViews>
    <sheetView topLeftCell="AT1" workbookViewId="0">
      <selection activeCell="BB29" sqref="BB29"/>
    </sheetView>
  </sheetViews>
  <sheetFormatPr defaultRowHeight="12.75"/>
  <cols>
    <col min="4" max="4" width="17.140625" customWidth="1"/>
    <col min="5" max="5" width="16.140625" customWidth="1"/>
    <col min="6" max="6" width="14.42578125" customWidth="1"/>
    <col min="7" max="7" width="19.140625" customWidth="1"/>
    <col min="8" max="8" width="11.42578125" bestFit="1" customWidth="1"/>
    <col min="9" max="9" width="17.42578125" customWidth="1"/>
    <col min="10" max="11" width="19.140625" customWidth="1"/>
    <col min="12" max="12" width="17.85546875" customWidth="1"/>
    <col min="13" max="13" width="12.5703125" bestFit="1" customWidth="1"/>
    <col min="14" max="14" width="11.42578125" bestFit="1" customWidth="1"/>
    <col min="15" max="15" width="21.140625" customWidth="1"/>
    <col min="16" max="16" width="15" customWidth="1"/>
    <col min="17" max="17" width="21.140625" customWidth="1"/>
    <col min="18" max="19" width="11.42578125" bestFit="1" customWidth="1"/>
    <col min="20" max="20" width="11.140625" customWidth="1"/>
    <col min="21" max="21" width="18.7109375" customWidth="1"/>
    <col min="22" max="22" width="55.85546875" customWidth="1"/>
    <col min="23" max="23" width="17.140625" customWidth="1"/>
    <col min="24" max="24" width="11.42578125" bestFit="1" customWidth="1"/>
    <col min="25" max="25" width="15.140625" customWidth="1"/>
    <col min="26" max="26" width="21.140625" customWidth="1"/>
    <col min="27" max="27" width="12.7109375" customWidth="1"/>
    <col min="28" max="28" width="17.5703125" customWidth="1"/>
    <col min="29" max="29" width="35.140625" customWidth="1"/>
    <col min="30" max="30" width="17.140625" customWidth="1"/>
    <col min="31" max="31" width="13.140625" customWidth="1"/>
    <col min="32" max="32" width="23.140625" customWidth="1"/>
    <col min="33" max="33" width="15.140625" customWidth="1"/>
    <col min="34" max="35" width="17.140625" customWidth="1"/>
    <col min="36" max="36" width="29.140625" customWidth="1"/>
    <col min="37" max="37" width="45.140625" customWidth="1"/>
    <col min="38" max="38" width="34.7109375" customWidth="1"/>
    <col min="39" max="39" width="15.140625" customWidth="1"/>
    <col min="40" max="40" width="18.42578125" customWidth="1"/>
    <col min="41" max="41" width="13.140625" customWidth="1"/>
    <col min="42" max="42" width="21.140625" customWidth="1"/>
    <col min="43" max="43" width="10.28515625" bestFit="1" customWidth="1"/>
    <col min="44" max="44" width="17.140625" customWidth="1"/>
    <col min="45" max="45" width="10.28515625" bestFit="1" customWidth="1"/>
    <col min="46" max="46" width="31.85546875" customWidth="1"/>
    <col min="47" max="47" width="33.28515625" customWidth="1"/>
    <col min="48" max="48" width="13.5703125" customWidth="1"/>
    <col min="49" max="49" width="28.7109375" customWidth="1"/>
    <col min="50" max="50" width="13.140625" customWidth="1"/>
    <col min="51" max="52" width="10.28515625" bestFit="1" customWidth="1"/>
    <col min="53" max="53" width="14.140625" customWidth="1"/>
    <col min="54" max="54" width="29.7109375" customWidth="1"/>
    <col min="55" max="55" width="10.28515625" bestFit="1" customWidth="1"/>
    <col min="56" max="56" width="15.140625" customWidth="1"/>
    <col min="57" max="57" width="15.7109375" customWidth="1"/>
    <col min="58" max="58" width="10.28515625" bestFit="1" customWidth="1"/>
    <col min="59" max="59" width="15.140625" customWidth="1"/>
    <col min="60" max="60" width="10.28515625" bestFit="1" customWidth="1"/>
  </cols>
  <sheetData>
    <row r="1" spans="1:60" ht="16.5">
      <c r="A1" s="70" t="s">
        <v>2256</v>
      </c>
    </row>
    <row r="2" spans="1:60">
      <c r="A2" s="70"/>
    </row>
    <row r="3" spans="1:60">
      <c r="A3" t="s">
        <v>2179</v>
      </c>
      <c r="B3" t="s">
        <v>2241</v>
      </c>
      <c r="C3" s="14" t="s">
        <v>2433</v>
      </c>
      <c r="D3" t="s">
        <v>2186</v>
      </c>
      <c r="E3" t="s">
        <v>2183</v>
      </c>
      <c r="F3" t="s">
        <v>2188</v>
      </c>
      <c r="G3" t="s">
        <v>2184</v>
      </c>
      <c r="H3" t="s">
        <v>2194</v>
      </c>
      <c r="I3" t="s">
        <v>2195</v>
      </c>
      <c r="J3" t="s">
        <v>2185</v>
      </c>
      <c r="K3" t="s">
        <v>2187</v>
      </c>
      <c r="L3" t="s">
        <v>2192</v>
      </c>
      <c r="M3" t="s">
        <v>9</v>
      </c>
      <c r="N3" t="s">
        <v>2191</v>
      </c>
      <c r="O3" t="s">
        <v>2217</v>
      </c>
      <c r="P3" t="s">
        <v>2233</v>
      </c>
      <c r="Q3" t="s">
        <v>2230</v>
      </c>
      <c r="R3" t="s">
        <v>2212</v>
      </c>
      <c r="S3" t="s">
        <v>2193</v>
      </c>
      <c r="T3" t="s">
        <v>2215</v>
      </c>
      <c r="U3" t="s">
        <v>2216</v>
      </c>
      <c r="V3" t="s">
        <v>2198</v>
      </c>
      <c r="W3" t="s">
        <v>2189</v>
      </c>
      <c r="X3" t="s">
        <v>2213</v>
      </c>
      <c r="Y3" t="s">
        <v>2206</v>
      </c>
      <c r="Z3" t="s">
        <v>2223</v>
      </c>
      <c r="AA3" t="s">
        <v>2228</v>
      </c>
      <c r="AB3" t="s">
        <v>2196</v>
      </c>
      <c r="AC3" t="s">
        <v>2232</v>
      </c>
      <c r="AD3" t="s">
        <v>2229</v>
      </c>
      <c r="AE3" t="s">
        <v>2203</v>
      </c>
      <c r="AF3" t="s">
        <v>2220</v>
      </c>
      <c r="AG3" t="s">
        <v>2222</v>
      </c>
      <c r="AH3" t="s">
        <v>2204</v>
      </c>
      <c r="AI3" t="s">
        <v>2208</v>
      </c>
      <c r="AJ3" t="s">
        <v>2214</v>
      </c>
      <c r="AK3" t="s">
        <v>2200</v>
      </c>
      <c r="AL3" t="s">
        <v>2218</v>
      </c>
      <c r="AM3" t="s">
        <v>2221</v>
      </c>
      <c r="AN3" t="s">
        <v>2202</v>
      </c>
      <c r="AO3" t="s">
        <v>2205</v>
      </c>
      <c r="AP3" t="s">
        <v>2219</v>
      </c>
      <c r="AQ3" t="s">
        <v>2226</v>
      </c>
      <c r="AR3" t="s">
        <v>2209</v>
      </c>
      <c r="AS3" t="s">
        <v>2231</v>
      </c>
      <c r="AT3" t="s">
        <v>2199</v>
      </c>
      <c r="AU3" t="s">
        <v>2207</v>
      </c>
      <c r="AV3" t="s">
        <v>2210</v>
      </c>
      <c r="AW3" t="s">
        <v>2201</v>
      </c>
      <c r="AX3" t="s">
        <v>2224</v>
      </c>
      <c r="AY3" t="s">
        <v>2225</v>
      </c>
      <c r="AZ3" t="s">
        <v>2190</v>
      </c>
      <c r="BA3" t="s">
        <v>2227</v>
      </c>
      <c r="BB3" t="s">
        <v>2197</v>
      </c>
      <c r="BC3" t="s">
        <v>2211</v>
      </c>
      <c r="BD3" t="s">
        <v>2236</v>
      </c>
      <c r="BE3" t="s">
        <v>2238</v>
      </c>
      <c r="BF3" t="s">
        <v>2234</v>
      </c>
      <c r="BG3" t="s">
        <v>2237</v>
      </c>
      <c r="BH3" t="s">
        <v>2235</v>
      </c>
    </row>
    <row r="4" spans="1:60">
      <c r="A4">
        <f>(COUNTA(集計用!$G:$G)-1)</f>
        <v>443</v>
      </c>
      <c r="B4" s="32" t="s">
        <v>2242</v>
      </c>
      <c r="C4" s="95">
        <f>テーブル6[[#This Row],[n=]]/$A$4*100</f>
        <v>100</v>
      </c>
      <c r="D4" s="31">
        <f>(COUNTIF(集計用!$G:$G,"*, "&amp;D3&amp;",*"))/$A4*100</f>
        <v>57.787810383747171</v>
      </c>
      <c r="E4" s="31">
        <f>(COUNTIF(集計用!$G:$G,"*, "&amp;E3&amp;",*"))/$A4*100</f>
        <v>32.505643340857787</v>
      </c>
      <c r="F4" s="31">
        <f>(COUNTIF(集計用!$G:$G,"*, "&amp;F3&amp;",*"))/$A4*100</f>
        <v>27.313769751693002</v>
      </c>
      <c r="G4" s="31">
        <f>(COUNTIF(集計用!$G:$G,"*, "&amp;G3&amp;",*"))/$A4*100</f>
        <v>19.413092550790068</v>
      </c>
      <c r="H4" s="31">
        <f>(COUNTIF(集計用!$G:$G,"*, "&amp;H3&amp;",*"))/$A4*100</f>
        <v>19.413092550790068</v>
      </c>
      <c r="I4" s="31">
        <f>(COUNTIF(集計用!$G:$G,"*, "&amp;I3&amp;",*"))/$A4*100</f>
        <v>16.930022573363431</v>
      </c>
      <c r="J4" s="31">
        <f>(COUNTIF(集計用!$G:$G,"*, "&amp;J3&amp;",*"))/$A4*100</f>
        <v>16.704288939051921</v>
      </c>
      <c r="K4" s="31">
        <f>(COUNTIF(集計用!$G:$G,"*, "&amp;K3&amp;",*"))/$A4*100</f>
        <v>16.02708803611738</v>
      </c>
      <c r="L4" s="31">
        <f>(COUNTIF(集計用!$G:$G,"*, "&amp;L3&amp;",*"))/$A4*100</f>
        <v>16.02708803611738</v>
      </c>
      <c r="M4" s="31">
        <f>(COUNTIF(集計用!$G:$G,"*, "&amp;M3&amp;",*"))/$A4*100</f>
        <v>15.575620767494355</v>
      </c>
      <c r="N4" s="31">
        <f>(COUNTIF(集計用!$G:$G,"*, "&amp;N3&amp;",*"))/$A4*100</f>
        <v>13.544018058690746</v>
      </c>
      <c r="O4" s="31">
        <f>(COUNTIF(集計用!$G:$G,"*, "&amp;O3&amp;",*"))/$A4*100</f>
        <v>13.544018058690746</v>
      </c>
      <c r="P4" s="31">
        <f>(COUNTIF(集計用!$G:$G,"*, "&amp;P3&amp;",*"))/$A4*100</f>
        <v>12.866817155756207</v>
      </c>
      <c r="Q4" s="31">
        <f>(COUNTIF(集計用!$G:$G,"*, "&amp;Q3&amp;",*"))/$A4*100</f>
        <v>12.18961625282167</v>
      </c>
      <c r="R4" s="31">
        <f>(COUNTIF(集計用!$G:$G,"*, "&amp;R3&amp;",*"))/$A4*100</f>
        <v>11.060948081264108</v>
      </c>
      <c r="S4" s="31">
        <f>(COUNTIF(集計用!$G:$G,"*, "&amp;S3&amp;",*"))/$A4*100</f>
        <v>10.835214446952596</v>
      </c>
      <c r="T4" s="31">
        <f>(COUNTIF(集計用!$G:$G,"*, "&amp;T3&amp;",*"))/$A4*100</f>
        <v>10.383747178329571</v>
      </c>
      <c r="U4" s="31">
        <f>(COUNTIF(集計用!$G:$G,"*, "&amp;U3&amp;",*"))/$A4*100</f>
        <v>8.8036117381489838</v>
      </c>
      <c r="V4" s="31">
        <f>(COUNTIF(集計用!$G:$G,"*, "&amp;V3&amp;",*"))/$A4*100</f>
        <v>8.1264108352144468</v>
      </c>
      <c r="W4" s="31">
        <f>(COUNTIF(集計用!$G:$G,"*, "&amp;W3&amp;",*"))/$A4*100</f>
        <v>7.6749435665914216</v>
      </c>
      <c r="X4" s="31">
        <f>(COUNTIF(集計用!$G:$G,"*, "&amp;X3&amp;",*"))/$A4*100</f>
        <v>5.8690744920993225</v>
      </c>
      <c r="Y4" s="31">
        <f>(COUNTIF(集計用!$G:$G,"*, "&amp;Y3&amp;",*"))/$A4*100</f>
        <v>5.6433408577878108</v>
      </c>
      <c r="Z4" s="31">
        <f>(COUNTIF(集計用!$G:$G,"*, "&amp;Z3&amp;",*"))/$A4*100</f>
        <v>5.6433408577878108</v>
      </c>
      <c r="AA4" s="31">
        <f>(COUNTIF(集計用!$G:$G,"*, "&amp;AA3&amp;",*"))/$A4*100</f>
        <v>5.6433408577878108</v>
      </c>
      <c r="AB4" s="31">
        <f>(COUNTIF(集計用!$G:$G,"*, "&amp;AB3&amp;",*"))/$A4*100</f>
        <v>4.966139954853273</v>
      </c>
      <c r="AC4" s="31">
        <f>(COUNTIF(集計用!$G:$G,"*, "&amp;AC3&amp;",*"))/$A4*100</f>
        <v>4.966139954853273</v>
      </c>
      <c r="AD4" s="31">
        <f>(COUNTIF(集計用!$G:$G,"*, "&amp;AD3&amp;",*"))/$A4*100</f>
        <v>4.5146726862302486</v>
      </c>
      <c r="AE4" s="31">
        <f>(COUNTIF(集計用!$G:$G,"*, "&amp;AE3&amp;",*"))/$A4*100</f>
        <v>4.288939051918736</v>
      </c>
      <c r="AF4" s="31">
        <f>(COUNTIF(集計用!$G:$G,"*, "&amp;AF3&amp;",*"))/$A4*100</f>
        <v>4.0632054176072234</v>
      </c>
      <c r="AG4" s="31">
        <f>(COUNTIF(集計用!$G:$G,"*, "&amp;AG3&amp;",*"))/$A4*100</f>
        <v>4.0632054176072234</v>
      </c>
      <c r="AH4" s="31">
        <f>(COUNTIF(集計用!$G:$G,"*, "&amp;AH3&amp;",*"))/$A4*100</f>
        <v>3.6117381489841982</v>
      </c>
      <c r="AI4" s="31">
        <f>(COUNTIF(集計用!$G:$G,"*, "&amp;AI3&amp;",*"))/$A4*100</f>
        <v>3.6117381489841982</v>
      </c>
      <c r="AJ4" s="31">
        <f>(COUNTIF(集計用!$G:$G,"*, "&amp;AJ3&amp;",*"))/$A4*100</f>
        <v>3.6117381489841982</v>
      </c>
      <c r="AK4" s="31">
        <f>(COUNTIF(集計用!$G:$G,"*, "&amp;AK3&amp;",*"))/$A4*100</f>
        <v>3.3860045146726865</v>
      </c>
      <c r="AL4" s="31">
        <f>(COUNTIF(集計用!$G:$G,"*, "&amp;AL3&amp;",*"))/$A4*100</f>
        <v>3.3860045146726865</v>
      </c>
      <c r="AM4" s="31">
        <f>(COUNTIF(集計用!$G:$G,"*, "&amp;AM3&amp;",*"))/$A4*100</f>
        <v>3.3860045146726865</v>
      </c>
      <c r="AN4" s="31">
        <f>(COUNTIF(集計用!$G:$G,"*, "&amp;AN3&amp;",*"))/$A4*100</f>
        <v>2.9345372460496613</v>
      </c>
      <c r="AO4" s="31">
        <f>(COUNTIF(集計用!$G:$G,"*, "&amp;AO3&amp;",*"))/$A4*100</f>
        <v>2.9345372460496613</v>
      </c>
      <c r="AP4" s="31">
        <f>(COUNTIF(集計用!$G:$G,"*, "&amp;AP3&amp;",*"))/$A4*100</f>
        <v>2.7088036117381491</v>
      </c>
      <c r="AQ4" s="31">
        <f>(COUNTIF(集計用!$G:$G,"*, "&amp;AQ3&amp;",*"))/$A4*100</f>
        <v>2.7088036117381491</v>
      </c>
      <c r="AR4" s="31">
        <f>(COUNTIF(集計用!$G:$G,"*, "&amp;AR3&amp;",*"))/$A4*100</f>
        <v>2.0316027088036117</v>
      </c>
      <c r="AS4" s="31">
        <f>(COUNTIF(集計用!$G:$G,"*, "&amp;AS3&amp;",*"))/$A4*100</f>
        <v>2.0316027088036117</v>
      </c>
      <c r="AT4" s="31">
        <f>(COUNTIF(集計用!$G:$G,"*, "&amp;AT3&amp;",*"))/$A4*100</f>
        <v>1.8058690744920991</v>
      </c>
      <c r="AU4" s="31">
        <f>(COUNTIF(集計用!$G:$G,"*, "&amp;AU3&amp;",*"))/$A4*100</f>
        <v>1.8058690744920991</v>
      </c>
      <c r="AV4" s="31">
        <f>(COUNTIF(集計用!$G:$G,"*, "&amp;AV3&amp;",*"))/$A4*100</f>
        <v>1.8058690744920991</v>
      </c>
      <c r="AW4" s="31">
        <f>(COUNTIF(集計用!$G:$G,"*, "&amp;AW3&amp;",*"))/$A4*100</f>
        <v>1.5801354401805869</v>
      </c>
      <c r="AX4" s="31">
        <f>(COUNTIF(集計用!$G:$G,"*, "&amp;AX3&amp;",*"))/$A4*100</f>
        <v>1.5801354401805869</v>
      </c>
      <c r="AY4" s="31">
        <f>(COUNTIF(集計用!$G:$G,"*, "&amp;AY3&amp;",*"))/$A4*100</f>
        <v>1.5801354401805869</v>
      </c>
      <c r="AZ4" s="31">
        <f>(COUNTIF(集計用!$G:$G,"*, "&amp;AZ3&amp;",*"))/$A4*100</f>
        <v>1.3544018058690745</v>
      </c>
      <c r="BA4" s="31">
        <f>(COUNTIF(集計用!$G:$G,"*, "&amp;BA3&amp;",*"))/$A4*100</f>
        <v>1.3544018058690745</v>
      </c>
      <c r="BB4" s="31">
        <f>(COUNTIF(集計用!$G:$G,"*, "&amp;BB3&amp;",*"))/$A4*100</f>
        <v>1.1286681715575622</v>
      </c>
      <c r="BC4" s="31">
        <f>(COUNTIF(集計用!$G:$G,"*, "&amp;BC3&amp;",*"))/$A4*100</f>
        <v>1.1286681715575622</v>
      </c>
      <c r="BD4" s="31">
        <f>(COUNTIF(集計用!$G:$G,"*, "&amp;BD3&amp;",*"))/$A4*100</f>
        <v>0.90293453724604955</v>
      </c>
      <c r="BE4" s="31">
        <f>(COUNTIF(集計用!$G:$G,"*, "&amp;BE3&amp;",*"))/$A4*100</f>
        <v>0.90293453724604955</v>
      </c>
      <c r="BF4" s="31">
        <f>(COUNTIF(集計用!$G:$G,"*, "&amp;BF3&amp;",*"))/$A4*100</f>
        <v>0.67720090293453727</v>
      </c>
      <c r="BG4" s="31">
        <f>(COUNTIF(集計用!$G:$G,"*, "&amp;BG3&amp;",*"))/$A4*100</f>
        <v>0.45146726862302478</v>
      </c>
      <c r="BH4" s="31">
        <f>(COUNTIF(集計用!$G:$G,"*, "&amp;BH3&amp;",*"))/$A4*100</f>
        <v>0.22573363431151239</v>
      </c>
    </row>
    <row r="5" spans="1:60">
      <c r="A5">
        <f>(COUNTIFS(集計用!$AE:$AE,"11-15"))+(COUNTIFS(集計用!$AE:$AE,"16-20"))</f>
        <v>49</v>
      </c>
      <c r="B5" s="32" t="s">
        <v>2181</v>
      </c>
      <c r="C5" s="95">
        <f>テーブル6[[#This Row],[n=]]/$A$4*100</f>
        <v>11.060948081264108</v>
      </c>
      <c r="D5" s="31">
        <f>(COUNTIFS(集計用!$G:$G,"*, "&amp;D$3&amp;",*", 集計用!$AE:$AE, "11-15")+COUNTIFS(集計用!$G:$G,"*, "&amp;D$3&amp;",*", 集計用!$AE:$AE, "16-20"))/$A5*100</f>
        <v>59.183673469387756</v>
      </c>
      <c r="E5" s="31">
        <f>(COUNTIFS(集計用!$G:$G,"*, "&amp;E$3&amp;",*", 集計用!$AE:$AE, "11-15")+COUNTIFS(集計用!$G:$G,"*, "&amp;E$3&amp;",*", 集計用!$AE:$AE, "16-20"))/$A5*100</f>
        <v>28.571428571428569</v>
      </c>
      <c r="F5" s="31">
        <f>(COUNTIFS(集計用!$G:$G,"*, "&amp;F$3&amp;",*", 集計用!$AE:$AE, "11-15")+COUNTIFS(集計用!$G:$G,"*, "&amp;F$3&amp;",*", 集計用!$AE:$AE, "16-20"))/$A5*100</f>
        <v>22.448979591836736</v>
      </c>
      <c r="G5" s="31">
        <f>(COUNTIFS(集計用!$G:$G,"*, "&amp;G$3&amp;",*", 集計用!$AE:$AE, "11-15")+COUNTIFS(集計用!$G:$G,"*, "&amp;G$3&amp;",*", 集計用!$AE:$AE, "16-20"))/$A5*100</f>
        <v>20.408163265306122</v>
      </c>
      <c r="H5" s="31">
        <f>(COUNTIFS(集計用!$G:$G,"*, "&amp;H$3&amp;",*", 集計用!$AE:$AE, "11-15")+COUNTIFS(集計用!$G:$G,"*, "&amp;H$3&amp;",*", 集計用!$AE:$AE, "16-20"))/$A5*100</f>
        <v>16.326530612244898</v>
      </c>
      <c r="I5" s="31">
        <f>(COUNTIFS(集計用!$G:$G,"*, "&amp;I$3&amp;",*", 集計用!$AE:$AE, "11-15")+COUNTIFS(集計用!$G:$G,"*, "&amp;I$3&amp;",*", 集計用!$AE:$AE, "16-20"))/$A5*100</f>
        <v>12.244897959183673</v>
      </c>
      <c r="J5" s="31">
        <f>(COUNTIFS(集計用!$G:$G,"*, "&amp;J$3&amp;",*", 集計用!$AE:$AE, "11-15")+COUNTIFS(集計用!$G:$G,"*, "&amp;J$3&amp;",*", 集計用!$AE:$AE, "16-20"))/$A5*100</f>
        <v>10.204081632653061</v>
      </c>
      <c r="K5" s="31">
        <f>(COUNTIFS(集計用!$G:$G,"*, "&amp;K$3&amp;",*", 集計用!$AE:$AE, "11-15")+COUNTIFS(集計用!$G:$G,"*, "&amp;K$3&amp;",*", 集計用!$AE:$AE, "16-20"))/$A5*100</f>
        <v>16.326530612244898</v>
      </c>
      <c r="L5" s="31">
        <f>(COUNTIFS(集計用!$G:$G,"*, "&amp;L$3&amp;",*", 集計用!$AE:$AE, "11-15")+COUNTIFS(集計用!$G:$G,"*, "&amp;L$3&amp;",*", 集計用!$AE:$AE, "16-20"))/$A5*100</f>
        <v>16.326530612244898</v>
      </c>
      <c r="M5" s="31">
        <f>(COUNTIFS(集計用!$G:$G,"*, "&amp;M$3&amp;",*", 集計用!$AE:$AE, "11-15")+COUNTIFS(集計用!$G:$G,"*, "&amp;M$3&amp;",*", 集計用!$AE:$AE, "16-20"))/$A5*100</f>
        <v>10.204081632653061</v>
      </c>
      <c r="N5" s="31">
        <f>(COUNTIFS(集計用!$G:$G,"*, "&amp;N$3&amp;",*", 集計用!$AE:$AE, "11-15")+COUNTIFS(集計用!$G:$G,"*, "&amp;N$3&amp;",*", 集計用!$AE:$AE, "16-20"))/$A5*100</f>
        <v>4.0816326530612246</v>
      </c>
      <c r="O5" s="31">
        <f>(COUNTIFS(集計用!$G:$G,"*, "&amp;O$3&amp;",*", 集計用!$AE:$AE, "11-15")+COUNTIFS(集計用!$G:$G,"*, "&amp;O$3&amp;",*", 集計用!$AE:$AE, "16-20"))/$A5*100</f>
        <v>8.1632653061224492</v>
      </c>
      <c r="P5" s="31">
        <f>(COUNTIFS(集計用!$G:$G,"*, "&amp;P$3&amp;",*", 集計用!$AE:$AE, "11-15")+COUNTIFS(集計用!$G:$G,"*, "&amp;P$3&amp;",*", 集計用!$AE:$AE, "16-20"))/$A5*100</f>
        <v>16.326530612244898</v>
      </c>
      <c r="Q5" s="31">
        <f>(COUNTIFS(集計用!$G:$G,"*, "&amp;Q$3&amp;",*", 集計用!$AE:$AE, "11-15")+COUNTIFS(集計用!$G:$G,"*, "&amp;Q$3&amp;",*", 集計用!$AE:$AE, "16-20"))/$A5*100</f>
        <v>12.244897959183673</v>
      </c>
      <c r="R5" s="31">
        <f>(COUNTIFS(集計用!$G:$G,"*, "&amp;R$3&amp;",*", 集計用!$AE:$AE, "11-15")+COUNTIFS(集計用!$G:$G,"*, "&amp;R$3&amp;",*", 集計用!$AE:$AE, "16-20"))/$A5*100</f>
        <v>12.244897959183673</v>
      </c>
      <c r="S5" s="31">
        <f>(COUNTIFS(集計用!$G:$G,"*, "&amp;S$3&amp;",*", 集計用!$AE:$AE, "11-15")+COUNTIFS(集計用!$G:$G,"*, "&amp;S$3&amp;",*", 集計用!$AE:$AE, "16-20"))/$A5*100</f>
        <v>8.1632653061224492</v>
      </c>
      <c r="T5" s="31">
        <f>(COUNTIFS(集計用!$G:$G,"*, "&amp;T$3&amp;",*", 集計用!$AE:$AE, "11-15")+COUNTIFS(集計用!$G:$G,"*, "&amp;T$3&amp;",*", 集計用!$AE:$AE, "16-20"))/$A5*100</f>
        <v>8.1632653061224492</v>
      </c>
      <c r="U5" s="31">
        <f>(COUNTIFS(集計用!$G:$G,"*, "&amp;U$3&amp;",*", 集計用!$AE:$AE, "11-15")+COUNTIFS(集計用!$G:$G,"*, "&amp;U$3&amp;",*", 集計用!$AE:$AE, "16-20"))/$A5*100</f>
        <v>2.0408163265306123</v>
      </c>
      <c r="V5" s="31">
        <f>(COUNTIFS(集計用!$G:$G,"*, "&amp;V$3&amp;",*", 集計用!$AE:$AE, "11-15")+COUNTIFS(集計用!$G:$G,"*, "&amp;V$3&amp;",*", 集計用!$AE:$AE, "16-20"))/$A5*100</f>
        <v>10.204081632653061</v>
      </c>
      <c r="W5" s="31">
        <f>(COUNTIFS(集計用!$G:$G,"*, "&amp;W$3&amp;",*", 集計用!$AE:$AE, "11-15")+COUNTIFS(集計用!$G:$G,"*, "&amp;W$3&amp;",*", 集計用!$AE:$AE, "16-20"))/$A5*100</f>
        <v>4.0816326530612246</v>
      </c>
      <c r="X5" s="31">
        <f>(COUNTIFS(集計用!$G:$G,"*, "&amp;X$3&amp;",*", 集計用!$AE:$AE, "11-15")+COUNTIFS(集計用!$G:$G,"*, "&amp;X$3&amp;",*", 集計用!$AE:$AE, "16-20"))/$A5*100</f>
        <v>6.1224489795918364</v>
      </c>
      <c r="Y5" s="31">
        <f>(COUNTIFS(集計用!$G:$G,"*, "&amp;Y$3&amp;",*", 集計用!$AE:$AE, "11-15")+COUNTIFS(集計用!$G:$G,"*, "&amp;Y$3&amp;",*", 集計用!$AE:$AE, "16-20"))/$A5*100</f>
        <v>2.0408163265306123</v>
      </c>
      <c r="Z5" s="31">
        <f>(COUNTIFS(集計用!$G:$G,"*, "&amp;Z$3&amp;",*", 集計用!$AE:$AE, "11-15")+COUNTIFS(集計用!$G:$G,"*, "&amp;Z$3&amp;",*", 集計用!$AE:$AE, "16-20"))/$A5*100</f>
        <v>6.1224489795918364</v>
      </c>
      <c r="AA5" s="31">
        <f>(COUNTIFS(集計用!$G:$G,"*, "&amp;AA$3&amp;",*", 集計用!$AE:$AE, "11-15")+COUNTIFS(集計用!$G:$G,"*, "&amp;AA$3&amp;",*", 集計用!$AE:$AE, "16-20"))/$A5*100</f>
        <v>2.0408163265306123</v>
      </c>
      <c r="AB5" s="31">
        <f>(COUNTIFS(集計用!$G:$G,"*, "&amp;AB$3&amp;",*", 集計用!$AE:$AE, "11-15")+COUNTIFS(集計用!$G:$G,"*, "&amp;AB$3&amp;",*", 集計用!$AE:$AE, "16-20"))/$A5*100</f>
        <v>12.244897959183673</v>
      </c>
      <c r="AC5" s="31">
        <f>(COUNTIFS(集計用!$G:$G,"*, "&amp;AC$3&amp;",*", 集計用!$AE:$AE, "11-15")+COUNTIFS(集計用!$G:$G,"*, "&amp;AC$3&amp;",*", 集計用!$AE:$AE, "16-20"))/$A5*100</f>
        <v>2.0408163265306123</v>
      </c>
      <c r="AD5" s="31">
        <f>(COUNTIFS(集計用!$G:$G,"*, "&amp;AD$3&amp;",*", 集計用!$AE:$AE, "11-15")+COUNTIFS(集計用!$G:$G,"*, "&amp;AD$3&amp;",*", 集計用!$AE:$AE, "16-20"))/$A5*100</f>
        <v>0</v>
      </c>
      <c r="AE5" s="31">
        <f>(COUNTIFS(集計用!$G:$G,"*, "&amp;AE$3&amp;",*", 集計用!$AE:$AE, "11-15")+COUNTIFS(集計用!$G:$G,"*, "&amp;AE$3&amp;",*", 集計用!$AE:$AE, "16-20"))/$A5*100</f>
        <v>8.1632653061224492</v>
      </c>
      <c r="AF5" s="31">
        <f>(COUNTIFS(集計用!$G:$G,"*, "&amp;AF$3&amp;",*", 集計用!$AE:$AE, "11-15")+COUNTIFS(集計用!$G:$G,"*, "&amp;AF$3&amp;",*", 集計用!$AE:$AE, "16-20"))/$A5*100</f>
        <v>2.0408163265306123</v>
      </c>
      <c r="AG5" s="31">
        <f>(COUNTIFS(集計用!$G:$G,"*, "&amp;AG$3&amp;",*", 集計用!$AE:$AE, "11-15")+COUNTIFS(集計用!$G:$G,"*, "&amp;AG$3&amp;",*", 集計用!$AE:$AE, "16-20"))/$A5*100</f>
        <v>0</v>
      </c>
      <c r="AH5" s="31">
        <f>(COUNTIFS(集計用!$G:$G,"*, "&amp;AH$3&amp;",*", 集計用!$AE:$AE, "11-15")+COUNTIFS(集計用!$G:$G,"*, "&amp;AH$3&amp;",*", 集計用!$AE:$AE, "16-20"))/$A5*100</f>
        <v>2.0408163265306123</v>
      </c>
      <c r="AI5" s="31">
        <f>(COUNTIFS(集計用!$G:$G,"*, "&amp;AI$3&amp;",*", 集計用!$AE:$AE, "11-15")+COUNTIFS(集計用!$G:$G,"*, "&amp;AI$3&amp;",*", 集計用!$AE:$AE, "16-20"))/$A5*100</f>
        <v>4.0816326530612246</v>
      </c>
      <c r="AJ5" s="31">
        <f>(COUNTIFS(集計用!$G:$G,"*, "&amp;AJ$3&amp;",*", 集計用!$AE:$AE, "11-15")+COUNTIFS(集計用!$G:$G,"*, "&amp;AJ$3&amp;",*", 集計用!$AE:$AE, "16-20"))/$A5*100</f>
        <v>2.0408163265306123</v>
      </c>
      <c r="AK5" s="31">
        <f>(COUNTIFS(集計用!$G:$G,"*, "&amp;AK$3&amp;",*", 集計用!$AE:$AE, "11-15")+COUNTIFS(集計用!$G:$G,"*, "&amp;AK$3&amp;",*", 集計用!$AE:$AE, "16-20"))/$A5*100</f>
        <v>4.0816326530612246</v>
      </c>
      <c r="AL5" s="31">
        <f>(COUNTIFS(集計用!$G:$G,"*, "&amp;AL$3&amp;",*", 集計用!$AE:$AE, "11-15")+COUNTIFS(集計用!$G:$G,"*, "&amp;AL$3&amp;",*", 集計用!$AE:$AE, "16-20"))/$A5*100</f>
        <v>0</v>
      </c>
      <c r="AM5" s="31">
        <f>(COUNTIFS(集計用!$G:$G,"*, "&amp;AM$3&amp;",*", 集計用!$AE:$AE, "11-15")+COUNTIFS(集計用!$G:$G,"*, "&amp;AM$3&amp;",*", 集計用!$AE:$AE, "16-20"))/$A5*100</f>
        <v>0</v>
      </c>
      <c r="AN5" s="31">
        <f>(COUNTIFS(集計用!$G:$G,"*, "&amp;AN$3&amp;",*", 集計用!$AE:$AE, "11-15")+COUNTIFS(集計用!$G:$G,"*, "&amp;AN$3&amp;",*", 集計用!$AE:$AE, "16-20"))/$A5*100</f>
        <v>2.0408163265306123</v>
      </c>
      <c r="AO5" s="31">
        <f>(COUNTIFS(集計用!$G:$G,"*, "&amp;AO$3&amp;",*", 集計用!$AE:$AE, "11-15")+COUNTIFS(集計用!$G:$G,"*, "&amp;AO$3&amp;",*", 集計用!$AE:$AE, "16-20"))/$A5*100</f>
        <v>2.0408163265306123</v>
      </c>
      <c r="AP5" s="31">
        <f>(COUNTIFS(集計用!$G:$G,"*, "&amp;AP$3&amp;",*", 集計用!$AE:$AE, "11-15")+COUNTIFS(集計用!$G:$G,"*, "&amp;AP$3&amp;",*", 集計用!$AE:$AE, "16-20"))/$A5*100</f>
        <v>2.0408163265306123</v>
      </c>
      <c r="AQ5" s="31">
        <f>(COUNTIFS(集計用!$G:$G,"*, "&amp;AQ$3&amp;",*", 集計用!$AE:$AE, "11-15")+COUNTIFS(集計用!$G:$G,"*, "&amp;AQ$3&amp;",*", 集計用!$AE:$AE, "16-20"))/$A5*100</f>
        <v>2.0408163265306123</v>
      </c>
      <c r="AR5" s="31">
        <f>(COUNTIFS(集計用!$G:$G,"*, "&amp;AR$3&amp;",*", 集計用!$AE:$AE, "11-15")+COUNTIFS(集計用!$G:$G,"*, "&amp;AR$3&amp;",*", 集計用!$AE:$AE, "16-20"))/$A5*100</f>
        <v>2.0408163265306123</v>
      </c>
      <c r="AS5" s="31">
        <f>(COUNTIFS(集計用!$G:$G,"*, "&amp;AS$3&amp;",*", 集計用!$AE:$AE, "11-15")+COUNTIFS(集計用!$G:$G,"*, "&amp;AS$3&amp;",*", 集計用!$AE:$AE, "16-20"))/$A5*100</f>
        <v>0</v>
      </c>
      <c r="AT5" s="31">
        <f>(COUNTIFS(集計用!$G:$G,"*, "&amp;AT$3&amp;",*", 集計用!$AE:$AE, "11-15")+COUNTIFS(集計用!$G:$G,"*, "&amp;AT$3&amp;",*", 集計用!$AE:$AE, "16-20"))/$A5*100</f>
        <v>0</v>
      </c>
      <c r="AU5" s="31">
        <f>(COUNTIFS(集計用!$G:$G,"*, "&amp;AU$3&amp;",*", 集計用!$AE:$AE, "11-15")+COUNTIFS(集計用!$G:$G,"*, "&amp;AU$3&amp;",*", 集計用!$AE:$AE, "16-20"))/$A5*100</f>
        <v>2.0408163265306123</v>
      </c>
      <c r="AV5" s="31">
        <f>(COUNTIFS(集計用!$G:$G,"*, "&amp;AV$3&amp;",*", 集計用!$AE:$AE, "11-15")+COUNTIFS(集計用!$G:$G,"*, "&amp;AV$3&amp;",*", 集計用!$AE:$AE, "16-20"))/$A5*100</f>
        <v>6.1224489795918364</v>
      </c>
      <c r="AW5" s="31">
        <f>(COUNTIFS(集計用!$G:$G,"*, "&amp;AW$3&amp;",*", 集計用!$AE:$AE, "11-15")+COUNTIFS(集計用!$G:$G,"*, "&amp;AW$3&amp;",*", 集計用!$AE:$AE, "16-20"))/$A5*100</f>
        <v>4.0816326530612246</v>
      </c>
      <c r="AX5" s="31">
        <f>(COUNTIFS(集計用!$G:$G,"*, "&amp;AX$3&amp;",*", 集計用!$AE:$AE, "11-15")+COUNTIFS(集計用!$G:$G,"*, "&amp;AX$3&amp;",*", 集計用!$AE:$AE, "16-20"))/$A5*100</f>
        <v>0</v>
      </c>
      <c r="AY5" s="31">
        <f>(COUNTIFS(集計用!$G:$G,"*, "&amp;AY$3&amp;",*", 集計用!$AE:$AE, "11-15")+COUNTIFS(集計用!$G:$G,"*, "&amp;AY$3&amp;",*", 集計用!$AE:$AE, "16-20"))/$A5*100</f>
        <v>0</v>
      </c>
      <c r="AZ5" s="31">
        <f>(COUNTIFS(集計用!$G:$G,"*, "&amp;AZ$3&amp;",*", 集計用!$AE:$AE, "11-15")+COUNTIFS(集計用!$G:$G,"*, "&amp;AZ$3&amp;",*", 集計用!$AE:$AE, "16-20"))/$A5*100</f>
        <v>0</v>
      </c>
      <c r="BA5" s="31">
        <f>(COUNTIFS(集計用!$G:$G,"*, "&amp;BA$3&amp;",*", 集計用!$AE:$AE, "11-15")+COUNTIFS(集計用!$G:$G,"*, "&amp;BA$3&amp;",*", 集計用!$AE:$AE, "16-20"))/$A5*100</f>
        <v>0</v>
      </c>
      <c r="BB5" s="31">
        <f>(COUNTIFS(集計用!$G:$G,"*, "&amp;BB$3&amp;",*", 集計用!$AE:$AE, "11-15")+COUNTIFS(集計用!$G:$G,"*, "&amp;BB$3&amp;",*", 集計用!$AE:$AE, "16-20"))/$A5*100</f>
        <v>2.0408163265306123</v>
      </c>
      <c r="BC5" s="31">
        <f>(COUNTIFS(集計用!$G:$G,"*, "&amp;BC$3&amp;",*", 集計用!$AE:$AE, "11-15")+COUNTIFS(集計用!$G:$G,"*, "&amp;BC$3&amp;",*", 集計用!$AE:$AE, "16-20"))/$A5*100</f>
        <v>4.0816326530612246</v>
      </c>
      <c r="BD5" s="31">
        <f>(COUNTIFS(集計用!$G:$G,"*, "&amp;BD$3&amp;",*", 集計用!$AE:$AE, "11-15")+COUNTIFS(集計用!$G:$G,"*, "&amp;BD$3&amp;",*", 集計用!$AE:$AE, "16-20"))/$A5*100</f>
        <v>2.0408163265306123</v>
      </c>
      <c r="BE5" s="31">
        <f>(COUNTIFS(集計用!$G:$G,"*, "&amp;BE$3&amp;",*", 集計用!$AE:$AE, "11-15")+COUNTIFS(集計用!$G:$G,"*, "&amp;BE$3&amp;",*", 集計用!$AE:$AE, "16-20"))/$A5*100</f>
        <v>2.0408163265306123</v>
      </c>
      <c r="BF5" s="31">
        <f>(COUNTIFS(集計用!$G:$G,"*, "&amp;BF$3&amp;",*", 集計用!$AE:$AE, "11-15")+COUNTIFS(集計用!$G:$G,"*, "&amp;BF$3&amp;",*", 集計用!$AE:$AE, "16-20"))/$A5*100</f>
        <v>0</v>
      </c>
      <c r="BG5" s="31">
        <f>(COUNTIFS(集計用!$G:$G,"*, "&amp;BG$3&amp;",*", 集計用!$AE:$AE, "11-15")+COUNTIFS(集計用!$G:$G,"*, "&amp;BG$3&amp;",*", 集計用!$AE:$AE, "16-20"))/$A5*100</f>
        <v>0</v>
      </c>
      <c r="BH5" s="31">
        <f>(COUNTIFS(集計用!$G:$G,"*, "&amp;BH$3&amp;",*", 集計用!$AE:$AE, "11-15")+COUNTIFS(集計用!$G:$G,"*, "&amp;BH$3&amp;",*", 集計用!$AE:$AE, "16-20"))/$A5*100</f>
        <v>0</v>
      </c>
    </row>
    <row r="6" spans="1:60">
      <c r="A6">
        <f>(COUNTIFS(集計用!$AE:$AE,$B6))</f>
        <v>116</v>
      </c>
      <c r="B6" s="32" t="s">
        <v>2166</v>
      </c>
      <c r="C6" s="95">
        <f>テーブル6[[#This Row],[n=]]/$A$4*100</f>
        <v>26.185101580135438</v>
      </c>
      <c r="D6" s="31">
        <f>(COUNTIFS(集計用!$G:$G,"*, "&amp;D$3&amp;",*", 集計用!$AE:$AE, $B6))/$A6*100</f>
        <v>62.931034482758619</v>
      </c>
      <c r="E6" s="31">
        <f>(COUNTIFS(集計用!$G:$G,"*, "&amp;E$3&amp;",*", 集計用!$AE:$AE, $B6))/$A6*100</f>
        <v>44.827586206896555</v>
      </c>
      <c r="F6" s="31">
        <f>(COUNTIFS(集計用!$G:$G,"*, "&amp;F$3&amp;",*", 集計用!$AE:$AE, $B6))/$A6*100</f>
        <v>28.448275862068968</v>
      </c>
      <c r="G6" s="31">
        <f>(COUNTIFS(集計用!$G:$G,"*, "&amp;G$3&amp;",*", 集計用!$AE:$AE, $B6))/$A6*100</f>
        <v>25</v>
      </c>
      <c r="H6" s="31">
        <f>(COUNTIFS(集計用!$G:$G,"*, "&amp;H$3&amp;",*", 集計用!$AE:$AE, $B6))/$A6*100</f>
        <v>18.103448275862068</v>
      </c>
      <c r="I6" s="31">
        <f>(COUNTIFS(集計用!$G:$G,"*, "&amp;I$3&amp;",*", 集計用!$AE:$AE, $B6))/$A6*100</f>
        <v>23.275862068965516</v>
      </c>
      <c r="J6" s="31">
        <f>(COUNTIFS(集計用!$G:$G,"*, "&amp;J$3&amp;",*", 集計用!$AE:$AE, $B6))/$A6*100</f>
        <v>23.275862068965516</v>
      </c>
      <c r="K6" s="31">
        <f>(COUNTIFS(集計用!$G:$G,"*, "&amp;K$3&amp;",*", 集計用!$AE:$AE, $B6))/$A6*100</f>
        <v>18.96551724137931</v>
      </c>
      <c r="L6" s="31">
        <f>(COUNTIFS(集計用!$G:$G,"*, "&amp;L$3&amp;",*", 集計用!$AE:$AE, $B6))/$A6*100</f>
        <v>17.241379310344829</v>
      </c>
      <c r="M6" s="31">
        <f>(COUNTIFS(集計用!$G:$G,"*, "&amp;M$3&amp;",*", 集計用!$AE:$AE, $B6))/$A6*100</f>
        <v>13.793103448275861</v>
      </c>
      <c r="N6" s="31">
        <f>(COUNTIFS(集計用!$G:$G,"*, "&amp;N$3&amp;",*", 集計用!$AE:$AE, $B6))/$A6*100</f>
        <v>11.206896551724139</v>
      </c>
      <c r="O6" s="31">
        <f>(COUNTIFS(集計用!$G:$G,"*, "&amp;O$3&amp;",*", 集計用!$AE:$AE, $B6))/$A6*100</f>
        <v>11.206896551724139</v>
      </c>
      <c r="P6" s="31">
        <f>(COUNTIFS(集計用!$G:$G,"*, "&amp;P$3&amp;",*", 集計用!$AE:$AE, $B6))/$A6*100</f>
        <v>10.344827586206897</v>
      </c>
      <c r="Q6" s="31">
        <f>(COUNTIFS(集計用!$G:$G,"*, "&amp;Q$3&amp;",*", 集計用!$AE:$AE, $B6))/$A6*100</f>
        <v>11.206896551724139</v>
      </c>
      <c r="R6" s="31">
        <f>(COUNTIFS(集計用!$G:$G,"*, "&amp;R$3&amp;",*", 集計用!$AE:$AE, $B6))/$A6*100</f>
        <v>12.931034482758621</v>
      </c>
      <c r="S6" s="31">
        <f>(COUNTIFS(集計用!$G:$G,"*, "&amp;S$3&amp;",*", 集計用!$AE:$AE, $B6))/$A6*100</f>
        <v>14.655172413793101</v>
      </c>
      <c r="T6" s="31">
        <f>(COUNTIFS(集計用!$G:$G,"*, "&amp;T$3&amp;",*", 集計用!$AE:$AE, $B6))/$A6*100</f>
        <v>10.344827586206897</v>
      </c>
      <c r="U6" s="31">
        <f>(COUNTIFS(集計用!$G:$G,"*, "&amp;U$3&amp;",*", 集計用!$AE:$AE, $B6))/$A6*100</f>
        <v>9.4827586206896548</v>
      </c>
      <c r="V6" s="31">
        <f>(COUNTIFS(集計用!$G:$G,"*, "&amp;V$3&amp;",*", 集計用!$AE:$AE, $B6))/$A6*100</f>
        <v>7.7586206896551726</v>
      </c>
      <c r="W6" s="31">
        <f>(COUNTIFS(集計用!$G:$G,"*, "&amp;W$3&amp;",*", 集計用!$AE:$AE, $B6))/$A6*100</f>
        <v>8.6206896551724146</v>
      </c>
      <c r="X6" s="31">
        <f>(COUNTIFS(集計用!$G:$G,"*, "&amp;X$3&amp;",*", 集計用!$AE:$AE, $B6))/$A6*100</f>
        <v>5.1724137931034484</v>
      </c>
      <c r="Y6" s="31">
        <f>(COUNTIFS(集計用!$G:$G,"*, "&amp;Y$3&amp;",*", 集計用!$AE:$AE, $B6))/$A6*100</f>
        <v>3.4482758620689653</v>
      </c>
      <c r="Z6" s="31">
        <f>(COUNTIFS(集計用!$G:$G,"*, "&amp;Z$3&amp;",*", 集計用!$AE:$AE, $B6))/$A6*100</f>
        <v>6.8965517241379306</v>
      </c>
      <c r="AA6" s="31">
        <f>(COUNTIFS(集計用!$G:$G,"*, "&amp;AA$3&amp;",*", 集計用!$AE:$AE, $B6))/$A6*100</f>
        <v>5.1724137931034484</v>
      </c>
      <c r="AB6" s="31">
        <f>(COUNTIFS(集計用!$G:$G,"*, "&amp;AB$3&amp;",*", 集計用!$AE:$AE, $B6))/$A6*100</f>
        <v>4.3103448275862073</v>
      </c>
      <c r="AC6" s="31">
        <f>(COUNTIFS(集計用!$G:$G,"*, "&amp;AC$3&amp;",*", 集計用!$AE:$AE, $B6))/$A6*100</f>
        <v>5.1724137931034484</v>
      </c>
      <c r="AD6" s="31">
        <f>(COUNTIFS(集計用!$G:$G,"*, "&amp;AD$3&amp;",*", 集計用!$AE:$AE, $B6))/$A6*100</f>
        <v>4.3103448275862073</v>
      </c>
      <c r="AE6" s="31">
        <f>(COUNTIFS(集計用!$G:$G,"*, "&amp;AE$3&amp;",*", 集計用!$AE:$AE, $B6))/$A6*100</f>
        <v>6.0344827586206895</v>
      </c>
      <c r="AF6" s="31">
        <f>(COUNTIFS(集計用!$G:$G,"*, "&amp;AF$3&amp;",*", 集計用!$AE:$AE, $B6))/$A6*100</f>
        <v>7.7586206896551726</v>
      </c>
      <c r="AG6" s="31">
        <f>(COUNTIFS(集計用!$G:$G,"*, "&amp;AG$3&amp;",*", 集計用!$AE:$AE, $B6))/$A6*100</f>
        <v>4.3103448275862073</v>
      </c>
      <c r="AH6" s="31">
        <f>(COUNTIFS(集計用!$G:$G,"*, "&amp;AH$3&amp;",*", 集計用!$AE:$AE, $B6))/$A6*100</f>
        <v>6.0344827586206895</v>
      </c>
      <c r="AI6" s="31">
        <f>(COUNTIFS(集計用!$G:$G,"*, "&amp;AI$3&amp;",*", 集計用!$AE:$AE, $B6))/$A6*100</f>
        <v>3.4482758620689653</v>
      </c>
      <c r="AJ6" s="31">
        <f>(COUNTIFS(集計用!$G:$G,"*, "&amp;AJ$3&amp;",*", 集計用!$AE:$AE, $B6))/$A6*100</f>
        <v>3.4482758620689653</v>
      </c>
      <c r="AK6" s="31">
        <f>(COUNTIFS(集計用!$G:$G,"*, "&amp;AK$3&amp;",*", 集計用!$AE:$AE, $B6))/$A6*100</f>
        <v>6.0344827586206895</v>
      </c>
      <c r="AL6" s="31">
        <f>(COUNTIFS(集計用!$G:$G,"*, "&amp;AL$3&amp;",*", 集計用!$AE:$AE, $B6))/$A6*100</f>
        <v>3.4482758620689653</v>
      </c>
      <c r="AM6" s="31">
        <f>(COUNTIFS(集計用!$G:$G,"*, "&amp;AM$3&amp;",*", 集計用!$AE:$AE, $B6))/$A6*100</f>
        <v>2.5862068965517242</v>
      </c>
      <c r="AN6" s="31">
        <f>(COUNTIFS(集計用!$G:$G,"*, "&amp;AN$3&amp;",*", 集計用!$AE:$AE, $B6))/$A6*100</f>
        <v>5.1724137931034484</v>
      </c>
      <c r="AO6" s="31">
        <f>(COUNTIFS(集計用!$G:$G,"*, "&amp;AO$3&amp;",*", 集計用!$AE:$AE, $B6))/$A6*100</f>
        <v>6.0344827586206895</v>
      </c>
      <c r="AP6" s="31">
        <f>(COUNTIFS(集計用!$G:$G,"*, "&amp;AP$3&amp;",*", 集計用!$AE:$AE, $B6))/$A6*100</f>
        <v>3.4482758620689653</v>
      </c>
      <c r="AQ6" s="31">
        <f>(COUNTIFS(集計用!$G:$G,"*, "&amp;AQ$3&amp;",*", 集計用!$AE:$AE, $B6))/$A6*100</f>
        <v>3.4482758620689653</v>
      </c>
      <c r="AR6" s="31">
        <f>(COUNTIFS(集計用!$G:$G,"*, "&amp;AR$3&amp;",*", 集計用!$AE:$AE, $B6))/$A6*100</f>
        <v>3.4482758620689653</v>
      </c>
      <c r="AS6" s="31">
        <f>(COUNTIFS(集計用!$G:$G,"*, "&amp;AS$3&amp;",*", 集計用!$AE:$AE, $B6))/$A6*100</f>
        <v>2.5862068965517242</v>
      </c>
      <c r="AT6" s="31">
        <f>(COUNTIFS(集計用!$G:$G,"*, "&amp;AT$3&amp;",*", 集計用!$AE:$AE, $B6))/$A6*100</f>
        <v>2.5862068965517242</v>
      </c>
      <c r="AU6" s="31">
        <f>(COUNTIFS(集計用!$G:$G,"*, "&amp;AU$3&amp;",*", 集計用!$AE:$AE, $B6))/$A6*100</f>
        <v>1.7241379310344827</v>
      </c>
      <c r="AV6" s="31">
        <f>(COUNTIFS(集計用!$G:$G,"*, "&amp;AV$3&amp;",*", 集計用!$AE:$AE, $B6))/$A6*100</f>
        <v>1.7241379310344827</v>
      </c>
      <c r="AW6" s="31">
        <f>(COUNTIFS(集計用!$G:$G,"*, "&amp;AW$3&amp;",*", 集計用!$AE:$AE, $B6))/$A6*100</f>
        <v>1.7241379310344827</v>
      </c>
      <c r="AX6" s="31">
        <f>(COUNTIFS(集計用!$G:$G,"*, "&amp;AX$3&amp;",*", 集計用!$AE:$AE, $B6))/$A6*100</f>
        <v>2.5862068965517242</v>
      </c>
      <c r="AY6" s="31">
        <f>(COUNTIFS(集計用!$G:$G,"*, "&amp;AY$3&amp;",*", 集計用!$AE:$AE, $B6))/$A6*100</f>
        <v>0.86206896551724133</v>
      </c>
      <c r="AZ6" s="31">
        <f>(COUNTIFS(集計用!$G:$G,"*, "&amp;AZ$3&amp;",*", 集計用!$AE:$AE, $B6))/$A6*100</f>
        <v>2.5862068965517242</v>
      </c>
      <c r="BA6" s="31">
        <f>(COUNTIFS(集計用!$G:$G,"*, "&amp;BA$3&amp;",*", 集計用!$AE:$AE, $B6))/$A6*100</f>
        <v>1.7241379310344827</v>
      </c>
      <c r="BB6" s="31">
        <f>(COUNTIFS(集計用!$G:$G,"*, "&amp;BB$3&amp;",*", 集計用!$AE:$AE, $B6))/$A6*100</f>
        <v>0.86206896551724133</v>
      </c>
      <c r="BC6" s="31">
        <f>(COUNTIFS(集計用!$G:$G,"*, "&amp;BC$3&amp;",*", 集計用!$AE:$AE, $B6))/$A6*100</f>
        <v>0.86206896551724133</v>
      </c>
      <c r="BD6" s="31">
        <f>(COUNTIFS(集計用!$G:$G,"*, "&amp;BD$3&amp;",*", 集計用!$AE:$AE, $B6))/$A6*100</f>
        <v>1.7241379310344827</v>
      </c>
      <c r="BE6" s="31">
        <f>(COUNTIFS(集計用!$G:$G,"*, "&amp;BE$3&amp;",*", 集計用!$AE:$AE, $B6))/$A6*100</f>
        <v>2.5862068965517242</v>
      </c>
      <c r="BF6" s="31">
        <f>(COUNTIFS(集計用!$G:$G,"*, "&amp;BF$3&amp;",*", 集計用!$AE:$AE, $B6))/$A6*100</f>
        <v>0.86206896551724133</v>
      </c>
      <c r="BG6" s="31">
        <f>(COUNTIFS(集計用!$G:$G,"*, "&amp;BG$3&amp;",*", 集計用!$AE:$AE, $B6))/$A6*100</f>
        <v>0.86206896551724133</v>
      </c>
      <c r="BH6" s="31">
        <f>(COUNTIFS(集計用!$G:$G,"*, "&amp;BH$3&amp;",*", 集計用!$AE:$AE, $B6))/$A6*100</f>
        <v>0</v>
      </c>
    </row>
    <row r="7" spans="1:60">
      <c r="A7">
        <f>(COUNTIFS(集計用!$AE:$AE,$B7))</f>
        <v>88</v>
      </c>
      <c r="B7" s="32" t="s">
        <v>2167</v>
      </c>
      <c r="C7" s="95">
        <f>テーブル6[[#This Row],[n=]]/$A$4*100</f>
        <v>19.864559819413092</v>
      </c>
      <c r="D7" s="31">
        <f>(COUNTIFS(集計用!$G:$G,"*, "&amp;D$3&amp;",*", 集計用!$AE:$AE, $B7))/$A7*100</f>
        <v>63.636363636363633</v>
      </c>
      <c r="E7" s="31">
        <f>(COUNTIFS(集計用!$G:$G,"*, "&amp;E$3&amp;",*", 集計用!$AE:$AE, $B7))/$A7*100</f>
        <v>34.090909090909086</v>
      </c>
      <c r="F7" s="31">
        <f>(COUNTIFS(集計用!$G:$G,"*, "&amp;F$3&amp;",*", 集計用!$AE:$AE, $B7))/$A7*100</f>
        <v>25</v>
      </c>
      <c r="G7" s="31">
        <f>(COUNTIFS(集計用!$G:$G,"*, "&amp;G$3&amp;",*", 集計用!$AE:$AE, $B7))/$A7*100</f>
        <v>19.318181818181817</v>
      </c>
      <c r="H7" s="31">
        <f>(COUNTIFS(集計用!$G:$G,"*, "&amp;H$3&amp;",*", 集計用!$AE:$AE, $B7))/$A7*100</f>
        <v>22.727272727272727</v>
      </c>
      <c r="I7" s="31">
        <f>(COUNTIFS(集計用!$G:$G,"*, "&amp;I$3&amp;",*", 集計用!$AE:$AE, $B7))/$A7*100</f>
        <v>19.318181818181817</v>
      </c>
      <c r="J7" s="31">
        <f>(COUNTIFS(集計用!$G:$G,"*, "&amp;J$3&amp;",*", 集計用!$AE:$AE, $B7))/$A7*100</f>
        <v>13.636363636363635</v>
      </c>
      <c r="K7" s="31">
        <f>(COUNTIFS(集計用!$G:$G,"*, "&amp;K$3&amp;",*", 集計用!$AE:$AE, $B7))/$A7*100</f>
        <v>19.318181818181817</v>
      </c>
      <c r="L7" s="31">
        <f>(COUNTIFS(集計用!$G:$G,"*, "&amp;L$3&amp;",*", 集計用!$AE:$AE, $B7))/$A7*100</f>
        <v>17.045454545454543</v>
      </c>
      <c r="M7" s="31">
        <f>(COUNTIFS(集計用!$G:$G,"*, "&amp;M$3&amp;",*", 集計用!$AE:$AE, $B7))/$A7*100</f>
        <v>18.181818181818183</v>
      </c>
      <c r="N7" s="31">
        <f>(COUNTIFS(集計用!$G:$G,"*, "&amp;N$3&amp;",*", 集計用!$AE:$AE, $B7))/$A7*100</f>
        <v>17.045454545454543</v>
      </c>
      <c r="O7" s="31">
        <f>(COUNTIFS(集計用!$G:$G,"*, "&amp;O$3&amp;",*", 集計用!$AE:$AE, $B7))/$A7*100</f>
        <v>17.045454545454543</v>
      </c>
      <c r="P7" s="31">
        <f>(COUNTIFS(集計用!$G:$G,"*, "&amp;P$3&amp;",*", 集計用!$AE:$AE, $B7))/$A7*100</f>
        <v>9.0909090909090917</v>
      </c>
      <c r="Q7" s="31">
        <f>(COUNTIFS(集計用!$G:$G,"*, "&amp;Q$3&amp;",*", 集計用!$AE:$AE, $B7))/$A7*100</f>
        <v>11.363636363636363</v>
      </c>
      <c r="R7" s="31">
        <f>(COUNTIFS(集計用!$G:$G,"*, "&amp;R$3&amp;",*", 集計用!$AE:$AE, $B7))/$A7*100</f>
        <v>14.772727272727273</v>
      </c>
      <c r="S7" s="31">
        <f>(COUNTIFS(集計用!$G:$G,"*, "&amp;S$3&amp;",*", 集計用!$AE:$AE, $B7))/$A7*100</f>
        <v>13.636363636363635</v>
      </c>
      <c r="T7" s="31">
        <f>(COUNTIFS(集計用!$G:$G,"*, "&amp;T$3&amp;",*", 集計用!$AE:$AE, $B7))/$A7*100</f>
        <v>11.363636363636363</v>
      </c>
      <c r="U7" s="31">
        <f>(COUNTIFS(集計用!$G:$G,"*, "&amp;U$3&amp;",*", 集計用!$AE:$AE, $B7))/$A7*100</f>
        <v>4.5454545454545459</v>
      </c>
      <c r="V7" s="31">
        <f>(COUNTIFS(集計用!$G:$G,"*, "&amp;V$3&amp;",*", 集計用!$AE:$AE, $B7))/$A7*100</f>
        <v>6.8181818181818175</v>
      </c>
      <c r="W7" s="31">
        <f>(COUNTIFS(集計用!$G:$G,"*, "&amp;W$3&amp;",*", 集計用!$AE:$AE, $B7))/$A7*100</f>
        <v>9.0909090909090917</v>
      </c>
      <c r="X7" s="31">
        <f>(COUNTIFS(集計用!$G:$G,"*, "&amp;X$3&amp;",*", 集計用!$AE:$AE, $B7))/$A7*100</f>
        <v>2.2727272727272729</v>
      </c>
      <c r="Y7" s="31">
        <f>(COUNTIFS(集計用!$G:$G,"*, "&amp;Y$3&amp;",*", 集計用!$AE:$AE, $B7))/$A7*100</f>
        <v>5.6818181818181817</v>
      </c>
      <c r="Z7" s="31">
        <f>(COUNTIFS(集計用!$G:$G,"*, "&amp;Z$3&amp;",*", 集計用!$AE:$AE, $B7))/$A7*100</f>
        <v>3.4090909090909087</v>
      </c>
      <c r="AA7" s="31">
        <f>(COUNTIFS(集計用!$G:$G,"*, "&amp;AA$3&amp;",*", 集計用!$AE:$AE, $B7))/$A7*100</f>
        <v>7.9545454545454541</v>
      </c>
      <c r="AB7" s="31">
        <f>(COUNTIFS(集計用!$G:$G,"*, "&amp;AB$3&amp;",*", 集計用!$AE:$AE, $B7))/$A7*100</f>
        <v>3.4090909090909087</v>
      </c>
      <c r="AC7" s="31">
        <f>(COUNTIFS(集計用!$G:$G,"*, "&amp;AC$3&amp;",*", 集計用!$AE:$AE, $B7))/$A7*100</f>
        <v>2.2727272727272729</v>
      </c>
      <c r="AD7" s="31">
        <f>(COUNTIFS(集計用!$G:$G,"*, "&amp;AD$3&amp;",*", 集計用!$AE:$AE, $B7))/$A7*100</f>
        <v>5.6818181818181817</v>
      </c>
      <c r="AE7" s="31">
        <f>(COUNTIFS(集計用!$G:$G,"*, "&amp;AE$3&amp;",*", 集計用!$AE:$AE, $B7))/$A7*100</f>
        <v>2.2727272727272729</v>
      </c>
      <c r="AF7" s="31">
        <f>(COUNTIFS(集計用!$G:$G,"*, "&amp;AF$3&amp;",*", 集計用!$AE:$AE, $B7))/$A7*100</f>
        <v>3.4090909090909087</v>
      </c>
      <c r="AG7" s="31">
        <f>(COUNTIFS(集計用!$G:$G,"*, "&amp;AG$3&amp;",*", 集計用!$AE:$AE, $B7))/$A7*100</f>
        <v>5.6818181818181817</v>
      </c>
      <c r="AH7" s="31">
        <f>(COUNTIFS(集計用!$G:$G,"*, "&amp;AH$3&amp;",*", 集計用!$AE:$AE, $B7))/$A7*100</f>
        <v>0</v>
      </c>
      <c r="AI7" s="31">
        <f>(COUNTIFS(集計用!$G:$G,"*, "&amp;AI$3&amp;",*", 集計用!$AE:$AE, $B7))/$A7*100</f>
        <v>1.1363636363636365</v>
      </c>
      <c r="AJ7" s="31">
        <f>(COUNTIFS(集計用!$G:$G,"*, "&amp;AJ$3&amp;",*", 集計用!$AE:$AE, $B7))/$A7*100</f>
        <v>4.5454545454545459</v>
      </c>
      <c r="AK7" s="31">
        <f>(COUNTIFS(集計用!$G:$G,"*, "&amp;AK$3&amp;",*", 集計用!$AE:$AE, $B7))/$A7*100</f>
        <v>0</v>
      </c>
      <c r="AL7" s="31">
        <f>(COUNTIFS(集計用!$G:$G,"*, "&amp;AL$3&amp;",*", 集計用!$AE:$AE, $B7))/$A7*100</f>
        <v>1.1363636363636365</v>
      </c>
      <c r="AM7" s="31">
        <f>(COUNTIFS(集計用!$G:$G,"*, "&amp;AM$3&amp;",*", 集計用!$AE:$AE, $B7))/$A7*100</f>
        <v>1.1363636363636365</v>
      </c>
      <c r="AN7" s="31">
        <f>(COUNTIFS(集計用!$G:$G,"*, "&amp;AN$3&amp;",*", 集計用!$AE:$AE, $B7))/$A7*100</f>
        <v>1.1363636363636365</v>
      </c>
      <c r="AO7" s="31">
        <f>(COUNTIFS(集計用!$G:$G,"*, "&amp;AO$3&amp;",*", 集計用!$AE:$AE, $B7))/$A7*100</f>
        <v>0</v>
      </c>
      <c r="AP7" s="31">
        <f>(COUNTIFS(集計用!$G:$G,"*, "&amp;AP$3&amp;",*", 集計用!$AE:$AE, $B7))/$A7*100</f>
        <v>0</v>
      </c>
      <c r="AQ7" s="31">
        <f>(COUNTIFS(集計用!$G:$G,"*, "&amp;AQ$3&amp;",*", 集計用!$AE:$AE, $B7))/$A7*100</f>
        <v>5.6818181818181817</v>
      </c>
      <c r="AR7" s="31">
        <f>(COUNTIFS(集計用!$G:$G,"*, "&amp;AR$3&amp;",*", 集計用!$AE:$AE, $B7))/$A7*100</f>
        <v>0</v>
      </c>
      <c r="AS7" s="31">
        <f>(COUNTIFS(集計用!$G:$G,"*, "&amp;AS$3&amp;",*", 集計用!$AE:$AE, $B7))/$A7*100</f>
        <v>1.1363636363636365</v>
      </c>
      <c r="AT7" s="31">
        <f>(COUNTIFS(集計用!$G:$G,"*, "&amp;AT$3&amp;",*", 集計用!$AE:$AE, $B7))/$A7*100</f>
        <v>0</v>
      </c>
      <c r="AU7" s="31">
        <f>(COUNTIFS(集計用!$G:$G,"*, "&amp;AU$3&amp;",*", 集計用!$AE:$AE, $B7))/$A7*100</f>
        <v>1.1363636363636365</v>
      </c>
      <c r="AV7" s="31">
        <f>(COUNTIFS(集計用!$G:$G,"*, "&amp;AV$3&amp;",*", 集計用!$AE:$AE, $B7))/$A7*100</f>
        <v>1.1363636363636365</v>
      </c>
      <c r="AW7" s="31">
        <f>(COUNTIFS(集計用!$G:$G,"*, "&amp;AW$3&amp;",*", 集計用!$AE:$AE, $B7))/$A7*100</f>
        <v>1.1363636363636365</v>
      </c>
      <c r="AX7" s="31">
        <f>(COUNTIFS(集計用!$G:$G,"*, "&amp;AX$3&amp;",*", 集計用!$AE:$AE, $B7))/$A7*100</f>
        <v>1.1363636363636365</v>
      </c>
      <c r="AY7" s="31">
        <f>(COUNTIFS(集計用!$G:$G,"*, "&amp;AY$3&amp;",*", 集計用!$AE:$AE, $B7))/$A7*100</f>
        <v>3.4090909090909087</v>
      </c>
      <c r="AZ7" s="31">
        <f>(COUNTIFS(集計用!$G:$G,"*, "&amp;AZ$3&amp;",*", 集計用!$AE:$AE, $B7))/$A7*100</f>
        <v>1.1363636363636365</v>
      </c>
      <c r="BA7" s="31">
        <f>(COUNTIFS(集計用!$G:$G,"*, "&amp;BA$3&amp;",*", 集計用!$AE:$AE, $B7))/$A7*100</f>
        <v>2.2727272727272729</v>
      </c>
      <c r="BB7" s="31">
        <f>(COUNTIFS(集計用!$G:$G,"*, "&amp;BB$3&amp;",*", 集計用!$AE:$AE, $B7))/$A7*100</f>
        <v>0</v>
      </c>
      <c r="BC7" s="31">
        <f>(COUNTIFS(集計用!$G:$G,"*, "&amp;BC$3&amp;",*", 集計用!$AE:$AE, $B7))/$A7*100</f>
        <v>1.1363636363636365</v>
      </c>
      <c r="BD7" s="31">
        <f>(COUNTIFS(集計用!$G:$G,"*, "&amp;BD$3&amp;",*", 集計用!$AE:$AE, $B7))/$A7*100</f>
        <v>0</v>
      </c>
      <c r="BE7" s="31">
        <f>(COUNTIFS(集計用!$G:$G,"*, "&amp;BE$3&amp;",*", 集計用!$AE:$AE, $B7))/$A7*100</f>
        <v>0</v>
      </c>
      <c r="BF7" s="31">
        <f>(COUNTIFS(集計用!$G:$G,"*, "&amp;BF$3&amp;",*", 集計用!$AE:$AE, $B7))/$A7*100</f>
        <v>1.1363636363636365</v>
      </c>
      <c r="BG7" s="31">
        <f>(COUNTIFS(集計用!$G:$G,"*, "&amp;BG$3&amp;",*", 集計用!$AE:$AE, $B7))/$A7*100</f>
        <v>0</v>
      </c>
      <c r="BH7" s="31">
        <f>(COUNTIFS(集計用!$G:$G,"*, "&amp;BH$3&amp;",*", 集計用!$AE:$AE, $B7))/$A7*100</f>
        <v>1.1363636363636365</v>
      </c>
    </row>
    <row r="8" spans="1:60">
      <c r="A8">
        <f>(COUNTIFS(集計用!$AE:$AE,$B8))</f>
        <v>77</v>
      </c>
      <c r="B8" s="32" t="s">
        <v>2168</v>
      </c>
      <c r="C8" s="95">
        <f>テーブル6[[#This Row],[n=]]/$A$4*100</f>
        <v>17.381489841986454</v>
      </c>
      <c r="D8" s="31">
        <f>(COUNTIFS(集計用!$G:$G,"*, "&amp;D$3&amp;",*", 集計用!$AE:$AE, $B8))/$A8*100</f>
        <v>55.844155844155843</v>
      </c>
      <c r="E8" s="31">
        <f>(COUNTIFS(集計用!$G:$G,"*, "&amp;E$3&amp;",*", 集計用!$AE:$AE, $B8))/$A8*100</f>
        <v>27.27272727272727</v>
      </c>
      <c r="F8" s="31">
        <f>(COUNTIFS(集計用!$G:$G,"*, "&amp;F$3&amp;",*", 集計用!$AE:$AE, $B8))/$A8*100</f>
        <v>28.571428571428569</v>
      </c>
      <c r="G8" s="31">
        <f>(COUNTIFS(集計用!$G:$G,"*, "&amp;G$3&amp;",*", 集計用!$AE:$AE, $B8))/$A8*100</f>
        <v>19.480519480519483</v>
      </c>
      <c r="H8" s="31">
        <f>(COUNTIFS(集計用!$G:$G,"*, "&amp;H$3&amp;",*", 集計用!$AE:$AE, $B8))/$A8*100</f>
        <v>19.480519480519483</v>
      </c>
      <c r="I8" s="31">
        <f>(COUNTIFS(集計用!$G:$G,"*, "&amp;I$3&amp;",*", 集計用!$AE:$AE, $B8))/$A8*100</f>
        <v>20.779220779220779</v>
      </c>
      <c r="J8" s="31">
        <f>(COUNTIFS(集計用!$G:$G,"*, "&amp;J$3&amp;",*", 集計用!$AE:$AE, $B8))/$A8*100</f>
        <v>14.285714285714285</v>
      </c>
      <c r="K8" s="31">
        <f>(COUNTIFS(集計用!$G:$G,"*, "&amp;K$3&amp;",*", 集計用!$AE:$AE, $B8))/$A8*100</f>
        <v>18.181818181818183</v>
      </c>
      <c r="L8" s="31">
        <f>(COUNTIFS(集計用!$G:$G,"*, "&amp;L$3&amp;",*", 集計用!$AE:$AE, $B8))/$A8*100</f>
        <v>16.883116883116884</v>
      </c>
      <c r="M8" s="31">
        <f>(COUNTIFS(集計用!$G:$G,"*, "&amp;M$3&amp;",*", 集計用!$AE:$AE, $B8))/$A8*100</f>
        <v>16.883116883116884</v>
      </c>
      <c r="N8" s="31">
        <f>(COUNTIFS(集計用!$G:$G,"*, "&amp;N$3&amp;",*", 集計用!$AE:$AE, $B8))/$A8*100</f>
        <v>11.688311688311687</v>
      </c>
      <c r="O8" s="31">
        <f>(COUNTIFS(集計用!$G:$G,"*, "&amp;O$3&amp;",*", 集計用!$AE:$AE, $B8))/$A8*100</f>
        <v>11.688311688311687</v>
      </c>
      <c r="P8" s="31">
        <f>(COUNTIFS(集計用!$G:$G,"*, "&amp;P$3&amp;",*", 集計用!$AE:$AE, $B8))/$A8*100</f>
        <v>15.584415584415584</v>
      </c>
      <c r="Q8" s="31">
        <f>(COUNTIFS(集計用!$G:$G,"*, "&amp;Q$3&amp;",*", 集計用!$AE:$AE, $B8))/$A8*100</f>
        <v>16.883116883116884</v>
      </c>
      <c r="R8" s="31">
        <f>(COUNTIFS(集計用!$G:$G,"*, "&amp;R$3&amp;",*", 集計用!$AE:$AE, $B8))/$A8*100</f>
        <v>9.0909090909090917</v>
      </c>
      <c r="S8" s="31">
        <f>(COUNTIFS(集計用!$G:$G,"*, "&amp;S$3&amp;",*", 集計用!$AE:$AE, $B8))/$A8*100</f>
        <v>10.38961038961039</v>
      </c>
      <c r="T8" s="31">
        <f>(COUNTIFS(集計用!$G:$G,"*, "&amp;T$3&amp;",*", 集計用!$AE:$AE, $B8))/$A8*100</f>
        <v>10.38961038961039</v>
      </c>
      <c r="U8" s="31">
        <f>(COUNTIFS(集計用!$G:$G,"*, "&amp;U$3&amp;",*", 集計用!$AE:$AE, $B8))/$A8*100</f>
        <v>10.38961038961039</v>
      </c>
      <c r="V8" s="31">
        <f>(COUNTIFS(集計用!$G:$G,"*, "&amp;V$3&amp;",*", 集計用!$AE:$AE, $B8))/$A8*100</f>
        <v>14.285714285714285</v>
      </c>
      <c r="W8" s="31">
        <f>(COUNTIFS(集計用!$G:$G,"*, "&amp;W$3&amp;",*", 集計用!$AE:$AE, $B8))/$A8*100</f>
        <v>3.8961038961038961</v>
      </c>
      <c r="X8" s="31">
        <f>(COUNTIFS(集計用!$G:$G,"*, "&amp;X$3&amp;",*", 集計用!$AE:$AE, $B8))/$A8*100</f>
        <v>6.4935064935064926</v>
      </c>
      <c r="Y8" s="31">
        <f>(COUNTIFS(集計用!$G:$G,"*, "&amp;Y$3&amp;",*", 集計用!$AE:$AE, $B8))/$A8*100</f>
        <v>10.38961038961039</v>
      </c>
      <c r="Z8" s="31">
        <f>(COUNTIFS(集計用!$G:$G,"*, "&amp;Z$3&amp;",*", 集計用!$AE:$AE, $B8))/$A8*100</f>
        <v>5.1948051948051948</v>
      </c>
      <c r="AA8" s="31">
        <f>(COUNTIFS(集計用!$G:$G,"*, "&amp;AA$3&amp;",*", 集計用!$AE:$AE, $B8))/$A8*100</f>
        <v>3.8961038961038961</v>
      </c>
      <c r="AB8" s="31">
        <f>(COUNTIFS(集計用!$G:$G,"*, "&amp;AB$3&amp;",*", 集計用!$AE:$AE, $B8))/$A8*100</f>
        <v>3.8961038961038961</v>
      </c>
      <c r="AC8" s="31">
        <f>(COUNTIFS(集計用!$G:$G,"*, "&amp;AC$3&amp;",*", 集計用!$AE:$AE, $B8))/$A8*100</f>
        <v>6.4935064935064926</v>
      </c>
      <c r="AD8" s="31">
        <f>(COUNTIFS(集計用!$G:$G,"*, "&amp;AD$3&amp;",*", 集計用!$AE:$AE, $B8))/$A8*100</f>
        <v>6.4935064935064926</v>
      </c>
      <c r="AE8" s="31">
        <f>(COUNTIFS(集計用!$G:$G,"*, "&amp;AE$3&amp;",*", 集計用!$AE:$AE, $B8))/$A8*100</f>
        <v>5.1948051948051948</v>
      </c>
      <c r="AF8" s="31">
        <f>(COUNTIFS(集計用!$G:$G,"*, "&amp;AF$3&amp;",*", 集計用!$AE:$AE, $B8))/$A8*100</f>
        <v>2.5974025974025974</v>
      </c>
      <c r="AG8" s="31">
        <f>(COUNTIFS(集計用!$G:$G,"*, "&amp;AG$3&amp;",*", 集計用!$AE:$AE, $B8))/$A8*100</f>
        <v>3.8961038961038961</v>
      </c>
      <c r="AH8" s="31">
        <f>(COUNTIFS(集計用!$G:$G,"*, "&amp;AH$3&amp;",*", 集計用!$AE:$AE, $B8))/$A8*100</f>
        <v>6.4935064935064926</v>
      </c>
      <c r="AI8" s="31">
        <f>(COUNTIFS(集計用!$G:$G,"*, "&amp;AI$3&amp;",*", 集計用!$AE:$AE, $B8))/$A8*100</f>
        <v>6.4935064935064926</v>
      </c>
      <c r="AJ8" s="31">
        <f>(COUNTIFS(集計用!$G:$G,"*, "&amp;AJ$3&amp;",*", 集計用!$AE:$AE, $B8))/$A8*100</f>
        <v>3.8961038961038961</v>
      </c>
      <c r="AK8" s="31">
        <f>(COUNTIFS(集計用!$G:$G,"*, "&amp;AK$3&amp;",*", 集計用!$AE:$AE, $B8))/$A8*100</f>
        <v>7.7922077922077921</v>
      </c>
      <c r="AL8" s="31">
        <f>(COUNTIFS(集計用!$G:$G,"*, "&amp;AL$3&amp;",*", 集計用!$AE:$AE, $B8))/$A8*100</f>
        <v>6.4935064935064926</v>
      </c>
      <c r="AM8" s="31">
        <f>(COUNTIFS(集計用!$G:$G,"*, "&amp;AM$3&amp;",*", 集計用!$AE:$AE, $B8))/$A8*100</f>
        <v>1.2987012987012987</v>
      </c>
      <c r="AN8" s="31">
        <f>(COUNTIFS(集計用!$G:$G,"*, "&amp;AN$3&amp;",*", 集計用!$AE:$AE, $B8))/$A8*100</f>
        <v>3.8961038961038961</v>
      </c>
      <c r="AO8" s="31">
        <f>(COUNTIFS(集計用!$G:$G,"*, "&amp;AO$3&amp;",*", 集計用!$AE:$AE, $B8))/$A8*100</f>
        <v>3.8961038961038961</v>
      </c>
      <c r="AP8" s="31">
        <f>(COUNTIFS(集計用!$G:$G,"*, "&amp;AP$3&amp;",*", 集計用!$AE:$AE, $B8))/$A8*100</f>
        <v>2.5974025974025974</v>
      </c>
      <c r="AQ8" s="31">
        <f>(COUNTIFS(集計用!$G:$G,"*, "&amp;AQ$3&amp;",*", 集計用!$AE:$AE, $B8))/$A8*100</f>
        <v>2.5974025974025974</v>
      </c>
      <c r="AR8" s="31">
        <f>(COUNTIFS(集計用!$G:$G,"*, "&amp;AR$3&amp;",*", 集計用!$AE:$AE, $B8))/$A8*100</f>
        <v>2.5974025974025974</v>
      </c>
      <c r="AS8" s="31">
        <f>(COUNTIFS(集計用!$G:$G,"*, "&amp;AS$3&amp;",*", 集計用!$AE:$AE, $B8))/$A8*100</f>
        <v>2.5974025974025974</v>
      </c>
      <c r="AT8" s="31">
        <f>(COUNTIFS(集計用!$G:$G,"*, "&amp;AT$3&amp;",*", 集計用!$AE:$AE, $B8))/$A8*100</f>
        <v>0</v>
      </c>
      <c r="AU8" s="31">
        <f>(COUNTIFS(集計用!$G:$G,"*, "&amp;AU$3&amp;",*", 集計用!$AE:$AE, $B8))/$A8*100</f>
        <v>2.5974025974025974</v>
      </c>
      <c r="AV8" s="31">
        <f>(COUNTIFS(集計用!$G:$G,"*, "&amp;AV$3&amp;",*", 集計用!$AE:$AE, $B8))/$A8*100</f>
        <v>2.5974025974025974</v>
      </c>
      <c r="AW8" s="31">
        <f>(COUNTIFS(集計用!$G:$G,"*, "&amp;AW$3&amp;",*", 集計用!$AE:$AE, $B8))/$A8*100</f>
        <v>1.2987012987012987</v>
      </c>
      <c r="AX8" s="31">
        <f>(COUNTIFS(集計用!$G:$G,"*, "&amp;AX$3&amp;",*", 集計用!$AE:$AE, $B8))/$A8*100</f>
        <v>1.2987012987012987</v>
      </c>
      <c r="AY8" s="31">
        <f>(COUNTIFS(集計用!$G:$G,"*, "&amp;AY$3&amp;",*", 集計用!$AE:$AE, $B8))/$A8*100</f>
        <v>1.2987012987012987</v>
      </c>
      <c r="AZ8" s="31">
        <f>(COUNTIFS(集計用!$G:$G,"*, "&amp;AZ$3&amp;",*", 集計用!$AE:$AE, $B8))/$A8*100</f>
        <v>0</v>
      </c>
      <c r="BA8" s="31">
        <f>(COUNTIFS(集計用!$G:$G,"*, "&amp;BA$3&amp;",*", 集計用!$AE:$AE, $B8))/$A8*100</f>
        <v>2.5974025974025974</v>
      </c>
      <c r="BB8" s="31">
        <f>(COUNTIFS(集計用!$G:$G,"*, "&amp;BB$3&amp;",*", 集計用!$AE:$AE, $B8))/$A8*100</f>
        <v>1.2987012987012987</v>
      </c>
      <c r="BC8" s="31">
        <f>(COUNTIFS(集計用!$G:$G,"*, "&amp;BC$3&amp;",*", 集計用!$AE:$AE, $B8))/$A8*100</f>
        <v>1.2987012987012987</v>
      </c>
      <c r="BD8" s="31">
        <f>(COUNTIFS(集計用!$G:$G,"*, "&amp;BD$3&amp;",*", 集計用!$AE:$AE, $B8))/$A8*100</f>
        <v>0</v>
      </c>
      <c r="BE8" s="31">
        <f>(COUNTIFS(集計用!$G:$G,"*, "&amp;BE$3&amp;",*", 集計用!$AE:$AE, $B8))/$A8*100</f>
        <v>0</v>
      </c>
      <c r="BF8" s="31">
        <f>(COUNTIFS(集計用!$G:$G,"*, "&amp;BF$3&amp;",*", 集計用!$AE:$AE, $B8))/$A8*100</f>
        <v>0</v>
      </c>
      <c r="BG8" s="31">
        <f>(COUNTIFS(集計用!$G:$G,"*, "&amp;BG$3&amp;",*", 集計用!$AE:$AE, $B8))/$A8*100</f>
        <v>0</v>
      </c>
      <c r="BH8" s="31">
        <f>(COUNTIFS(集計用!$G:$G,"*, "&amp;BH$3&amp;",*", 集計用!$AE:$AE, $B8))/$A8*100</f>
        <v>0</v>
      </c>
    </row>
    <row r="9" spans="1:60">
      <c r="A9">
        <f>(COUNTIFS(集計用!$AE:$AE,$B9))</f>
        <v>34</v>
      </c>
      <c r="B9" s="32" t="s">
        <v>2169</v>
      </c>
      <c r="C9" s="95">
        <f>テーブル6[[#This Row],[n=]]/$A$4*100</f>
        <v>7.6749435665914216</v>
      </c>
      <c r="D9" s="31">
        <f>(COUNTIFS(集計用!$G:$G,"*, "&amp;D$3&amp;",*", 集計用!$AE:$AE, $B9))/$A9*100</f>
        <v>55.882352941176471</v>
      </c>
      <c r="E9" s="31">
        <f>(COUNTIFS(集計用!$G:$G,"*, "&amp;E$3&amp;",*", 集計用!$AE:$AE, $B9))/$A9*100</f>
        <v>17.647058823529413</v>
      </c>
      <c r="F9" s="31">
        <f>(COUNTIFS(集計用!$G:$G,"*, "&amp;F$3&amp;",*", 集計用!$AE:$AE, $B9))/$A9*100</f>
        <v>26.47058823529412</v>
      </c>
      <c r="G9" s="31">
        <f>(COUNTIFS(集計用!$G:$G,"*, "&amp;G$3&amp;",*", 集計用!$AE:$AE, $B9))/$A9*100</f>
        <v>8.8235294117647065</v>
      </c>
      <c r="H9" s="31">
        <f>(COUNTIFS(集計用!$G:$G,"*, "&amp;H$3&amp;",*", 集計用!$AE:$AE, $B9))/$A9*100</f>
        <v>29.411764705882355</v>
      </c>
      <c r="I9" s="31">
        <f>(COUNTIFS(集計用!$G:$G,"*, "&amp;I$3&amp;",*", 集計用!$AE:$AE, $B9))/$A9*100</f>
        <v>5.8823529411764701</v>
      </c>
      <c r="J9" s="31">
        <f>(COUNTIFS(集計用!$G:$G,"*, "&amp;J$3&amp;",*", 集計用!$AE:$AE, $B9))/$A9*100</f>
        <v>14.705882352941178</v>
      </c>
      <c r="K9" s="31">
        <f>(COUNTIFS(集計用!$G:$G,"*, "&amp;K$3&amp;",*", 集計用!$AE:$AE, $B9))/$A9*100</f>
        <v>5.8823529411764701</v>
      </c>
      <c r="L9" s="31">
        <f>(COUNTIFS(集計用!$G:$G,"*, "&amp;L$3&amp;",*", 集計用!$AE:$AE, $B9))/$A9*100</f>
        <v>17.647058823529413</v>
      </c>
      <c r="M9" s="31">
        <f>(COUNTIFS(集計用!$G:$G,"*, "&amp;M$3&amp;",*", 集計用!$AE:$AE, $B9))/$A9*100</f>
        <v>17.647058823529413</v>
      </c>
      <c r="N9" s="31">
        <f>(COUNTIFS(集計用!$G:$G,"*, "&amp;N$3&amp;",*", 集計用!$AE:$AE, $B9))/$A9*100</f>
        <v>14.705882352941178</v>
      </c>
      <c r="O9" s="31">
        <f>(COUNTIFS(集計用!$G:$G,"*, "&amp;O$3&amp;",*", 集計用!$AE:$AE, $B9))/$A9*100</f>
        <v>11.76470588235294</v>
      </c>
      <c r="P9" s="31">
        <f>(COUNTIFS(集計用!$G:$G,"*, "&amp;P$3&amp;",*", 集計用!$AE:$AE, $B9))/$A9*100</f>
        <v>14.705882352941178</v>
      </c>
      <c r="Q9" s="31">
        <f>(COUNTIFS(集計用!$G:$G,"*, "&amp;Q$3&amp;",*", 集計用!$AE:$AE, $B9))/$A9*100</f>
        <v>11.76470588235294</v>
      </c>
      <c r="R9" s="31">
        <f>(COUNTIFS(集計用!$G:$G,"*, "&amp;R$3&amp;",*", 集計用!$AE:$AE, $B9))/$A9*100</f>
        <v>5.8823529411764701</v>
      </c>
      <c r="S9" s="31">
        <f>(COUNTIFS(集計用!$G:$G,"*, "&amp;S$3&amp;",*", 集計用!$AE:$AE, $B9))/$A9*100</f>
        <v>20.588235294117645</v>
      </c>
      <c r="T9" s="31">
        <f>(COUNTIFS(集計用!$G:$G,"*, "&amp;T$3&amp;",*", 集計用!$AE:$AE, $B9))/$A9*100</f>
        <v>8.8235294117647065</v>
      </c>
      <c r="U9" s="31">
        <f>(COUNTIFS(集計用!$G:$G,"*, "&amp;U$3&amp;",*", 集計用!$AE:$AE, $B9))/$A9*100</f>
        <v>14.705882352941178</v>
      </c>
      <c r="V9" s="31">
        <f>(COUNTIFS(集計用!$G:$G,"*, "&amp;V$3&amp;",*", 集計用!$AE:$AE, $B9))/$A9*100</f>
        <v>5.8823529411764701</v>
      </c>
      <c r="W9" s="31">
        <f>(COUNTIFS(集計用!$G:$G,"*, "&amp;W$3&amp;",*", 集計用!$AE:$AE, $B9))/$A9*100</f>
        <v>2.9411764705882351</v>
      </c>
      <c r="X9" s="31">
        <f>(COUNTIFS(集計用!$G:$G,"*, "&amp;X$3&amp;",*", 集計用!$AE:$AE, $B9))/$A9*100</f>
        <v>11.76470588235294</v>
      </c>
      <c r="Y9" s="31">
        <f>(COUNTIFS(集計用!$G:$G,"*, "&amp;Y$3&amp;",*", 集計用!$AE:$AE, $B9))/$A9*100</f>
        <v>2.9411764705882351</v>
      </c>
      <c r="Z9" s="31">
        <f>(COUNTIFS(集計用!$G:$G,"*, "&amp;Z$3&amp;",*", 集計用!$AE:$AE, $B9))/$A9*100</f>
        <v>5.8823529411764701</v>
      </c>
      <c r="AA9" s="31">
        <f>(COUNTIFS(集計用!$G:$G,"*, "&amp;AA$3&amp;",*", 集計用!$AE:$AE, $B9))/$A9*100</f>
        <v>11.76470588235294</v>
      </c>
      <c r="AB9" s="31">
        <f>(COUNTIFS(集計用!$G:$G,"*, "&amp;AB$3&amp;",*", 集計用!$AE:$AE, $B9))/$A9*100</f>
        <v>5.8823529411764701</v>
      </c>
      <c r="AC9" s="31">
        <f>(COUNTIFS(集計用!$G:$G,"*, "&amp;AC$3&amp;",*", 集計用!$AE:$AE, $B9))/$A9*100</f>
        <v>5.8823529411764701</v>
      </c>
      <c r="AD9" s="31">
        <f>(COUNTIFS(集計用!$G:$G,"*, "&amp;AD$3&amp;",*", 集計用!$AE:$AE, $B9))/$A9*100</f>
        <v>2.9411764705882351</v>
      </c>
      <c r="AE9" s="31">
        <f>(COUNTIFS(集計用!$G:$G,"*, "&amp;AE$3&amp;",*", 集計用!$AE:$AE, $B9))/$A9*100</f>
        <v>0</v>
      </c>
      <c r="AF9" s="31">
        <f>(COUNTIFS(集計用!$G:$G,"*, "&amp;AF$3&amp;",*", 集計用!$AE:$AE, $B9))/$A9*100</f>
        <v>2.9411764705882351</v>
      </c>
      <c r="AG9" s="31">
        <f>(COUNTIFS(集計用!$G:$G,"*, "&amp;AG$3&amp;",*", 集計用!$AE:$AE, $B9))/$A9*100</f>
        <v>0</v>
      </c>
      <c r="AH9" s="31">
        <f>(COUNTIFS(集計用!$G:$G,"*, "&amp;AH$3&amp;",*", 集計用!$AE:$AE, $B9))/$A9*100</f>
        <v>0</v>
      </c>
      <c r="AI9" s="31">
        <f>(COUNTIFS(集計用!$G:$G,"*, "&amp;AI$3&amp;",*", 集計用!$AE:$AE, $B9))/$A9*100</f>
        <v>8.8235294117647065</v>
      </c>
      <c r="AJ9" s="31">
        <f>(COUNTIFS(集計用!$G:$G,"*, "&amp;AJ$3&amp;",*", 集計用!$AE:$AE, $B9))/$A9*100</f>
        <v>0</v>
      </c>
      <c r="AK9" s="31">
        <f>(COUNTIFS(集計用!$G:$G,"*, "&amp;AK$3&amp;",*", 集計用!$AE:$AE, $B9))/$A9*100</f>
        <v>0</v>
      </c>
      <c r="AL9" s="31">
        <f>(COUNTIFS(集計用!$G:$G,"*, "&amp;AL$3&amp;",*", 集計用!$AE:$AE, $B9))/$A9*100</f>
        <v>2.9411764705882351</v>
      </c>
      <c r="AM9" s="31">
        <f>(COUNTIFS(集計用!$G:$G,"*, "&amp;AM$3&amp;",*", 集計用!$AE:$AE, $B9))/$A9*100</f>
        <v>2.9411764705882351</v>
      </c>
      <c r="AN9" s="31">
        <f>(COUNTIFS(集計用!$G:$G,"*, "&amp;AN$3&amp;",*", 集計用!$AE:$AE, $B9))/$A9*100</f>
        <v>0</v>
      </c>
      <c r="AO9" s="31">
        <f>(COUNTIFS(集計用!$G:$G,"*, "&amp;AO$3&amp;",*", 集計用!$AE:$AE, $B9))/$A9*100</f>
        <v>0</v>
      </c>
      <c r="AP9" s="31">
        <f>(COUNTIFS(集計用!$G:$G,"*, "&amp;AP$3&amp;",*", 集計用!$AE:$AE, $B9))/$A9*100</f>
        <v>0</v>
      </c>
      <c r="AQ9" s="31">
        <f>(COUNTIFS(集計用!$G:$G,"*, "&amp;AQ$3&amp;",*", 集計用!$AE:$AE, $B9))/$A9*100</f>
        <v>0</v>
      </c>
      <c r="AR9" s="31">
        <f>(COUNTIFS(集計用!$G:$G,"*, "&amp;AR$3&amp;",*", 集計用!$AE:$AE, $B9))/$A9*100</f>
        <v>2.9411764705882351</v>
      </c>
      <c r="AS9" s="31">
        <f>(COUNTIFS(集計用!$G:$G,"*, "&amp;AS$3&amp;",*", 集計用!$AE:$AE, $B9))/$A9*100</f>
        <v>0</v>
      </c>
      <c r="AT9" s="31">
        <f>(COUNTIFS(集計用!$G:$G,"*, "&amp;AT$3&amp;",*", 集計用!$AE:$AE, $B9))/$A9*100</f>
        <v>2.9411764705882351</v>
      </c>
      <c r="AU9" s="31">
        <f>(COUNTIFS(集計用!$G:$G,"*, "&amp;AU$3&amp;",*", 集計用!$AE:$AE, $B9))/$A9*100</f>
        <v>0</v>
      </c>
      <c r="AV9" s="31">
        <f>(COUNTIFS(集計用!$G:$G,"*, "&amp;AV$3&amp;",*", 集計用!$AE:$AE, $B9))/$A9*100</f>
        <v>0</v>
      </c>
      <c r="AW9" s="31">
        <f>(COUNTIFS(集計用!$G:$G,"*, "&amp;AW$3&amp;",*", 集計用!$AE:$AE, $B9))/$A9*100</f>
        <v>0</v>
      </c>
      <c r="AX9" s="31">
        <f>(COUNTIFS(集計用!$G:$G,"*, "&amp;AX$3&amp;",*", 集計用!$AE:$AE, $B9))/$A9*100</f>
        <v>0</v>
      </c>
      <c r="AY9" s="31">
        <f>(COUNTIFS(集計用!$G:$G,"*, "&amp;AY$3&amp;",*", 集計用!$AE:$AE, $B9))/$A9*100</f>
        <v>2.9411764705882351</v>
      </c>
      <c r="AZ9" s="31">
        <f>(COUNTIFS(集計用!$G:$G,"*, "&amp;AZ$3&amp;",*", 集計用!$AE:$AE, $B9))/$A9*100</f>
        <v>0</v>
      </c>
      <c r="BA9" s="31">
        <f>(COUNTIFS(集計用!$G:$G,"*, "&amp;BA$3&amp;",*", 集計用!$AE:$AE, $B9))/$A9*100</f>
        <v>0</v>
      </c>
      <c r="BB9" s="31">
        <f>(COUNTIFS(集計用!$G:$G,"*, "&amp;BB$3&amp;",*", 集計用!$AE:$AE, $B9))/$A9*100</f>
        <v>5.8823529411764701</v>
      </c>
      <c r="BC9" s="31">
        <f>(COUNTIFS(集計用!$G:$G,"*, "&amp;BC$3&amp;",*", 集計用!$AE:$AE, $B9))/$A9*100</f>
        <v>0</v>
      </c>
      <c r="BD9" s="31">
        <f>(COUNTIFS(集計用!$G:$G,"*, "&amp;BD$3&amp;",*", 集計用!$AE:$AE, $B9))/$A9*100</f>
        <v>0</v>
      </c>
      <c r="BE9" s="31">
        <f>(COUNTIFS(集計用!$G:$G,"*, "&amp;BE$3&amp;",*", 集計用!$AE:$AE, $B9))/$A9*100</f>
        <v>0</v>
      </c>
      <c r="BF9" s="31">
        <f>(COUNTIFS(集計用!$G:$G,"*, "&amp;BF$3&amp;",*", 集計用!$AE:$AE, $B9))/$A9*100</f>
        <v>2.9411764705882351</v>
      </c>
      <c r="BG9" s="31">
        <f>(COUNTIFS(集計用!$G:$G,"*, "&amp;BG$3&amp;",*", 集計用!$AE:$AE, $B9))/$A9*100</f>
        <v>0</v>
      </c>
      <c r="BH9" s="31">
        <f>(COUNTIFS(集計用!$G:$G,"*, "&amp;BH$3&amp;",*", 集計用!$AE:$AE, $B9))/$A9*100</f>
        <v>0</v>
      </c>
    </row>
    <row r="10" spans="1:60">
      <c r="A10">
        <f>(COUNTIFS(集計用!$AE:$AE,$B10))</f>
        <v>31</v>
      </c>
      <c r="B10" s="32" t="s">
        <v>2170</v>
      </c>
      <c r="C10" s="95">
        <f>テーブル6[[#This Row],[n=]]/$A$4*100</f>
        <v>6.9977426636568847</v>
      </c>
      <c r="D10" s="31">
        <f>(COUNTIFS(集計用!$G:$G,"*, "&amp;D$3&amp;",*", 集計用!$AE:$AE, $B10))/$A10*100</f>
        <v>51.612903225806448</v>
      </c>
      <c r="E10" s="31">
        <f>(COUNTIFS(集計用!$G:$G,"*, "&amp;E$3&amp;",*", 集計用!$AE:$AE, $B10))/$A10*100</f>
        <v>25.806451612903224</v>
      </c>
      <c r="F10" s="31">
        <f>(COUNTIFS(集計用!$G:$G,"*, "&amp;F$3&amp;",*", 集計用!$AE:$AE, $B10))/$A10*100</f>
        <v>38.70967741935484</v>
      </c>
      <c r="G10" s="31">
        <f>(COUNTIFS(集計用!$G:$G,"*, "&amp;G$3&amp;",*", 集計用!$AE:$AE, $B10))/$A10*100</f>
        <v>12.903225806451612</v>
      </c>
      <c r="H10" s="31">
        <f>(COUNTIFS(集計用!$G:$G,"*, "&amp;H$3&amp;",*", 集計用!$AE:$AE, $B10))/$A10*100</f>
        <v>9.67741935483871</v>
      </c>
      <c r="I10" s="31">
        <f>(COUNTIFS(集計用!$G:$G,"*, "&amp;I$3&amp;",*", 集計用!$AE:$AE, $B10))/$A10*100</f>
        <v>9.67741935483871</v>
      </c>
      <c r="J10" s="31">
        <f>(COUNTIFS(集計用!$G:$G,"*, "&amp;J$3&amp;",*", 集計用!$AE:$AE, $B10))/$A10*100</f>
        <v>19.35483870967742</v>
      </c>
      <c r="K10" s="31">
        <f>(COUNTIFS(集計用!$G:$G,"*, "&amp;K$3&amp;",*", 集計用!$AE:$AE, $B10))/$A10*100</f>
        <v>6.4516129032258061</v>
      </c>
      <c r="L10" s="31">
        <f>(COUNTIFS(集計用!$G:$G,"*, "&amp;L$3&amp;",*", 集計用!$AE:$AE, $B10))/$A10*100</f>
        <v>12.903225806451612</v>
      </c>
      <c r="M10" s="31">
        <f>(COUNTIFS(集計用!$G:$G,"*, "&amp;M$3&amp;",*", 集計用!$AE:$AE, $B10))/$A10*100</f>
        <v>19.35483870967742</v>
      </c>
      <c r="N10" s="31">
        <f>(COUNTIFS(集計用!$G:$G,"*, "&amp;N$3&amp;",*", 集計用!$AE:$AE, $B10))/$A10*100</f>
        <v>25.806451612903224</v>
      </c>
      <c r="O10" s="31">
        <f>(COUNTIFS(集計用!$G:$G,"*, "&amp;O$3&amp;",*", 集計用!$AE:$AE, $B10))/$A10*100</f>
        <v>16.129032258064516</v>
      </c>
      <c r="P10" s="31">
        <f>(COUNTIFS(集計用!$G:$G,"*, "&amp;P$3&amp;",*", 集計用!$AE:$AE, $B10))/$A10*100</f>
        <v>9.67741935483871</v>
      </c>
      <c r="Q10" s="31">
        <f>(COUNTIFS(集計用!$G:$G,"*, "&amp;Q$3&amp;",*", 集計用!$AE:$AE, $B10))/$A10*100</f>
        <v>9.67741935483871</v>
      </c>
      <c r="R10" s="31">
        <f>(COUNTIFS(集計用!$G:$G,"*, "&amp;R$3&amp;",*", 集計用!$AE:$AE, $B10))/$A10*100</f>
        <v>6.4516129032258061</v>
      </c>
      <c r="S10" s="31">
        <f>(COUNTIFS(集計用!$G:$G,"*, "&amp;S$3&amp;",*", 集計用!$AE:$AE, $B10))/$A10*100</f>
        <v>0</v>
      </c>
      <c r="T10" s="31">
        <f>(COUNTIFS(集計用!$G:$G,"*, "&amp;T$3&amp;",*", 集計用!$AE:$AE, $B10))/$A10*100</f>
        <v>9.67741935483871</v>
      </c>
      <c r="U10" s="31">
        <f>(COUNTIFS(集計用!$G:$G,"*, "&amp;U$3&amp;",*", 集計用!$AE:$AE, $B10))/$A10*100</f>
        <v>9.67741935483871</v>
      </c>
      <c r="V10" s="31">
        <f>(COUNTIFS(集計用!$G:$G,"*, "&amp;V$3&amp;",*", 集計用!$AE:$AE, $B10))/$A10*100</f>
        <v>0</v>
      </c>
      <c r="W10" s="31">
        <f>(COUNTIFS(集計用!$G:$G,"*, "&amp;W$3&amp;",*", 集計用!$AE:$AE, $B10))/$A10*100</f>
        <v>9.67741935483871</v>
      </c>
      <c r="X10" s="31">
        <f>(COUNTIFS(集計用!$G:$G,"*, "&amp;X$3&amp;",*", 集計用!$AE:$AE, $B10))/$A10*100</f>
        <v>9.67741935483871</v>
      </c>
      <c r="Y10" s="31">
        <f>(COUNTIFS(集計用!$G:$G,"*, "&amp;Y$3&amp;",*", 集計用!$AE:$AE, $B10))/$A10*100</f>
        <v>9.67741935483871</v>
      </c>
      <c r="Z10" s="31">
        <f>(COUNTIFS(集計用!$G:$G,"*, "&amp;Z$3&amp;",*", 集計用!$AE:$AE, $B10))/$A10*100</f>
        <v>6.4516129032258061</v>
      </c>
      <c r="AA10" s="31">
        <f>(COUNTIFS(集計用!$G:$G,"*, "&amp;AA$3&amp;",*", 集計用!$AE:$AE, $B10))/$A10*100</f>
        <v>6.4516129032258061</v>
      </c>
      <c r="AB10" s="31">
        <f>(COUNTIFS(集計用!$G:$G,"*, "&amp;AB$3&amp;",*", 集計用!$AE:$AE, $B10))/$A10*100</f>
        <v>6.4516129032258061</v>
      </c>
      <c r="AC10" s="31">
        <f>(COUNTIFS(集計用!$G:$G,"*, "&amp;AC$3&amp;",*", 集計用!$AE:$AE, $B10))/$A10*100</f>
        <v>6.4516129032258061</v>
      </c>
      <c r="AD10" s="31">
        <f>(COUNTIFS(集計用!$G:$G,"*, "&amp;AD$3&amp;",*", 集計用!$AE:$AE, $B10))/$A10*100</f>
        <v>3.225806451612903</v>
      </c>
      <c r="AE10" s="31">
        <f>(COUNTIFS(集計用!$G:$G,"*, "&amp;AE$3&amp;",*", 集計用!$AE:$AE, $B10))/$A10*100</f>
        <v>3.225806451612903</v>
      </c>
      <c r="AF10" s="31">
        <f>(COUNTIFS(集計用!$G:$G,"*, "&amp;AF$3&amp;",*", 集計用!$AE:$AE, $B10))/$A10*100</f>
        <v>3.225806451612903</v>
      </c>
      <c r="AG10" s="31">
        <f>(COUNTIFS(集計用!$G:$G,"*, "&amp;AG$3&amp;",*", 集計用!$AE:$AE, $B10))/$A10*100</f>
        <v>6.4516129032258061</v>
      </c>
      <c r="AH10" s="31">
        <f>(COUNTIFS(集計用!$G:$G,"*, "&amp;AH$3&amp;",*", 集計用!$AE:$AE, $B10))/$A10*100</f>
        <v>0</v>
      </c>
      <c r="AI10" s="31">
        <f>(COUNTIFS(集計用!$G:$G,"*, "&amp;AI$3&amp;",*", 集計用!$AE:$AE, $B10))/$A10*100</f>
        <v>0</v>
      </c>
      <c r="AJ10" s="31">
        <f>(COUNTIFS(集計用!$G:$G,"*, "&amp;AJ$3&amp;",*", 集計用!$AE:$AE, $B10))/$A10*100</f>
        <v>9.67741935483871</v>
      </c>
      <c r="AK10" s="31">
        <f>(COUNTIFS(集計用!$G:$G,"*, "&amp;AK$3&amp;",*", 集計用!$AE:$AE, $B10))/$A10*100</f>
        <v>0</v>
      </c>
      <c r="AL10" s="31">
        <f>(COUNTIFS(集計用!$G:$G,"*, "&amp;AL$3&amp;",*", 集計用!$AE:$AE, $B10))/$A10*100</f>
        <v>0</v>
      </c>
      <c r="AM10" s="31">
        <f>(COUNTIFS(集計用!$G:$G,"*, "&amp;AM$3&amp;",*", 集計用!$AE:$AE, $B10))/$A10*100</f>
        <v>3.225806451612903</v>
      </c>
      <c r="AN10" s="31">
        <f>(COUNTIFS(集計用!$G:$G,"*, "&amp;AN$3&amp;",*", 集計用!$AE:$AE, $B10))/$A10*100</f>
        <v>0</v>
      </c>
      <c r="AO10" s="31">
        <f>(COUNTIFS(集計用!$G:$G,"*, "&amp;AO$3&amp;",*", 集計用!$AE:$AE, $B10))/$A10*100</f>
        <v>0</v>
      </c>
      <c r="AP10" s="31">
        <f>(COUNTIFS(集計用!$G:$G,"*, "&amp;AP$3&amp;",*", 集計用!$AE:$AE, $B10))/$A10*100</f>
        <v>0</v>
      </c>
      <c r="AQ10" s="31">
        <f>(COUNTIFS(集計用!$G:$G,"*, "&amp;AQ$3&amp;",*", 集計用!$AE:$AE, $B10))/$A10*100</f>
        <v>0</v>
      </c>
      <c r="AR10" s="31">
        <f>(COUNTIFS(集計用!$G:$G,"*, "&amp;AR$3&amp;",*", 集計用!$AE:$AE, $B10))/$A10*100</f>
        <v>0</v>
      </c>
      <c r="AS10" s="31">
        <f>(COUNTIFS(集計用!$G:$G,"*, "&amp;AS$3&amp;",*", 集計用!$AE:$AE, $B10))/$A10*100</f>
        <v>0</v>
      </c>
      <c r="AT10" s="31">
        <f>(COUNTIFS(集計用!$G:$G,"*, "&amp;AT$3&amp;",*", 集計用!$AE:$AE, $B10))/$A10*100</f>
        <v>3.225806451612903</v>
      </c>
      <c r="AU10" s="31">
        <f>(COUNTIFS(集計用!$G:$G,"*, "&amp;AU$3&amp;",*", 集計用!$AE:$AE, $B10))/$A10*100</f>
        <v>6.4516129032258061</v>
      </c>
      <c r="AV10" s="31">
        <f>(COUNTIFS(集計用!$G:$G,"*, "&amp;AV$3&amp;",*", 集計用!$AE:$AE, $B10))/$A10*100</f>
        <v>0</v>
      </c>
      <c r="AW10" s="31">
        <f>(COUNTIFS(集計用!$G:$G,"*, "&amp;AW$3&amp;",*", 集計用!$AE:$AE, $B10))/$A10*100</f>
        <v>0</v>
      </c>
      <c r="AX10" s="31">
        <f>(COUNTIFS(集計用!$G:$G,"*, "&amp;AX$3&amp;",*", 集計用!$AE:$AE, $B10))/$A10*100</f>
        <v>3.225806451612903</v>
      </c>
      <c r="AY10" s="31">
        <f>(COUNTIFS(集計用!$G:$G,"*, "&amp;AY$3&amp;",*", 集計用!$AE:$AE, $B10))/$A10*100</f>
        <v>0</v>
      </c>
      <c r="AZ10" s="31">
        <f>(COUNTIFS(集計用!$G:$G,"*, "&amp;AZ$3&amp;",*", 集計用!$AE:$AE, $B10))/$A10*100</f>
        <v>6.4516129032258061</v>
      </c>
      <c r="BA10" s="31">
        <f>(COUNTIFS(集計用!$G:$G,"*, "&amp;BA$3&amp;",*", 集計用!$AE:$AE, $B10))/$A10*100</f>
        <v>0</v>
      </c>
      <c r="BB10" s="31">
        <f>(COUNTIFS(集計用!$G:$G,"*, "&amp;BB$3&amp;",*", 集計用!$AE:$AE, $B10))/$A10*100</f>
        <v>0</v>
      </c>
      <c r="BC10" s="31">
        <f>(COUNTIFS(集計用!$G:$G,"*, "&amp;BC$3&amp;",*", 集計用!$AE:$AE, $B10))/$A10*100</f>
        <v>0</v>
      </c>
      <c r="BD10" s="31">
        <f>(COUNTIFS(集計用!$G:$G,"*, "&amp;BD$3&amp;",*", 集計用!$AE:$AE, $B10))/$A10*100</f>
        <v>0</v>
      </c>
      <c r="BE10" s="31">
        <f>(COUNTIFS(集計用!$G:$G,"*, "&amp;BE$3&amp;",*", 集計用!$AE:$AE, $B10))/$A10*100</f>
        <v>0</v>
      </c>
      <c r="BF10" s="31">
        <f>(COUNTIFS(集計用!$G:$G,"*, "&amp;BF$3&amp;",*", 集計用!$AE:$AE, $B10))/$A10*100</f>
        <v>0</v>
      </c>
      <c r="BG10" s="31">
        <f>(COUNTIFS(集計用!$G:$G,"*, "&amp;BG$3&amp;",*", 集計用!$AE:$AE, $B10))/$A10*100</f>
        <v>0</v>
      </c>
      <c r="BH10" s="31">
        <f>(COUNTIFS(集計用!$G:$G,"*, "&amp;BH$3&amp;",*", 集計用!$AE:$AE, $B10))/$A10*100</f>
        <v>0</v>
      </c>
    </row>
    <row r="11" spans="1:60">
      <c r="A11">
        <f>(COUNTIFS(集計用!$AE:$AE,$B11))</f>
        <v>24</v>
      </c>
      <c r="B11" s="32" t="s">
        <v>2171</v>
      </c>
      <c r="C11" s="95">
        <f>テーブル6[[#This Row],[n=]]/$A$4*100</f>
        <v>5.4176072234762982</v>
      </c>
      <c r="D11" s="31">
        <f>(COUNTIFS(集計用!$G:$G,"*, "&amp;D$3&amp;",*", 集計用!$AE:$AE, $B11))/$A11*100</f>
        <v>29.166666666666668</v>
      </c>
      <c r="E11" s="31">
        <f>(COUNTIFS(集計用!$G:$G,"*, "&amp;E$3&amp;",*", 集計用!$AE:$AE, $B11))/$A11*100</f>
        <v>25</v>
      </c>
      <c r="F11" s="31">
        <f>(COUNTIFS(集計用!$G:$G,"*, "&amp;F$3&amp;",*", 集計用!$AE:$AE, $B11))/$A11*100</f>
        <v>20.833333333333336</v>
      </c>
      <c r="G11" s="31">
        <f>(COUNTIFS(集計用!$G:$G,"*, "&amp;G$3&amp;",*", 集計用!$AE:$AE, $B11))/$A11*100</f>
        <v>0</v>
      </c>
      <c r="H11" s="31">
        <f>(COUNTIFS(集計用!$G:$G,"*, "&amp;H$3&amp;",*", 集計用!$AE:$AE, $B11))/$A11*100</f>
        <v>20.833333333333336</v>
      </c>
      <c r="I11" s="31">
        <f>(COUNTIFS(集計用!$G:$G,"*, "&amp;I$3&amp;",*", 集計用!$AE:$AE, $B11))/$A11*100</f>
        <v>8.3333333333333321</v>
      </c>
      <c r="J11" s="31">
        <f>(COUNTIFS(集計用!$G:$G,"*, "&amp;J$3&amp;",*", 集計用!$AE:$AE, $B11))/$A11*100</f>
        <v>12.5</v>
      </c>
      <c r="K11" s="31">
        <f>(COUNTIFS(集計用!$G:$G,"*, "&amp;K$3&amp;",*", 集計用!$AE:$AE, $B11))/$A11*100</f>
        <v>12.5</v>
      </c>
      <c r="L11" s="31">
        <f>(COUNTIFS(集計用!$G:$G,"*, "&amp;L$3&amp;",*", 集計用!$AE:$AE, $B11))/$A11*100</f>
        <v>4.1666666666666661</v>
      </c>
      <c r="M11" s="31">
        <f>(COUNTIFS(集計用!$G:$G,"*, "&amp;M$3&amp;",*", 集計用!$AE:$AE, $B11))/$A11*100</f>
        <v>16.666666666666664</v>
      </c>
      <c r="N11" s="31">
        <f>(COUNTIFS(集計用!$G:$G,"*, "&amp;N$3&amp;",*", 集計用!$AE:$AE, $B11))/$A11*100</f>
        <v>20.833333333333336</v>
      </c>
      <c r="O11" s="31">
        <f>(COUNTIFS(集計用!$G:$G,"*, "&amp;O$3&amp;",*", 集計用!$AE:$AE, $B11))/$A11*100</f>
        <v>16.666666666666664</v>
      </c>
      <c r="P11" s="31">
        <f>(COUNTIFS(集計用!$G:$G,"*, "&amp;P$3&amp;",*", 集計用!$AE:$AE, $B11))/$A11*100</f>
        <v>20.833333333333336</v>
      </c>
      <c r="Q11" s="31">
        <f>(COUNTIFS(集計用!$G:$G,"*, "&amp;Q$3&amp;",*", 集計用!$AE:$AE, $B11))/$A11*100</f>
        <v>4.1666666666666661</v>
      </c>
      <c r="R11" s="31">
        <f>(COUNTIFS(集計用!$G:$G,"*, "&amp;R$3&amp;",*", 集計用!$AE:$AE, $B11))/$A11*100</f>
        <v>8.3333333333333321</v>
      </c>
      <c r="S11" s="31">
        <f>(COUNTIFS(集計用!$G:$G,"*, "&amp;S$3&amp;",*", 集計用!$AE:$AE, $B11))/$A11*100</f>
        <v>0</v>
      </c>
      <c r="T11" s="31">
        <f>(COUNTIFS(集計用!$G:$G,"*, "&amp;T$3&amp;",*", 集計用!$AE:$AE, $B11))/$A11*100</f>
        <v>4.1666666666666661</v>
      </c>
      <c r="U11" s="31">
        <f>(COUNTIFS(集計用!$G:$G,"*, "&amp;U$3&amp;",*", 集計用!$AE:$AE, $B11))/$A11*100</f>
        <v>8.3333333333333321</v>
      </c>
      <c r="V11" s="31">
        <f>(COUNTIFS(集計用!$G:$G,"*, "&amp;V$3&amp;",*", 集計用!$AE:$AE, $B11))/$A11*100</f>
        <v>4.1666666666666661</v>
      </c>
      <c r="W11" s="31">
        <f>(COUNTIFS(集計用!$G:$G,"*, "&amp;W$3&amp;",*", 集計用!$AE:$AE, $B11))/$A11*100</f>
        <v>16.666666666666664</v>
      </c>
      <c r="X11" s="31">
        <f>(COUNTIFS(集計用!$G:$G,"*, "&amp;X$3&amp;",*", 集計用!$AE:$AE, $B11))/$A11*100</f>
        <v>0</v>
      </c>
      <c r="Y11" s="31">
        <f>(COUNTIFS(集計用!$G:$G,"*, "&amp;Y$3&amp;",*", 集計用!$AE:$AE, $B11))/$A11*100</f>
        <v>4.1666666666666661</v>
      </c>
      <c r="Z11" s="31">
        <f>(COUNTIFS(集計用!$G:$G,"*, "&amp;Z$3&amp;",*", 集計用!$AE:$AE, $B11))/$A11*100</f>
        <v>4.1666666666666661</v>
      </c>
      <c r="AA11" s="31">
        <f>(COUNTIFS(集計用!$G:$G,"*, "&amp;AA$3&amp;",*", 集計用!$AE:$AE, $B11))/$A11*100</f>
        <v>4.1666666666666661</v>
      </c>
      <c r="AB11" s="31">
        <f>(COUNTIFS(集計用!$G:$G,"*, "&amp;AB$3&amp;",*", 集計用!$AE:$AE, $B11))/$A11*100</f>
        <v>0</v>
      </c>
      <c r="AC11" s="31">
        <f>(COUNTIFS(集計用!$G:$G,"*, "&amp;AC$3&amp;",*", 集計用!$AE:$AE, $B11))/$A11*100</f>
        <v>8.3333333333333321</v>
      </c>
      <c r="AD11" s="31">
        <f>(COUNTIFS(集計用!$G:$G,"*, "&amp;AD$3&amp;",*", 集計用!$AE:$AE, $B11))/$A11*100</f>
        <v>4.1666666666666661</v>
      </c>
      <c r="AE11" s="31">
        <f>(COUNTIFS(集計用!$G:$G,"*, "&amp;AE$3&amp;",*", 集計用!$AE:$AE, $B11))/$A11*100</f>
        <v>4.1666666666666661</v>
      </c>
      <c r="AF11" s="31">
        <f>(COUNTIFS(集計用!$G:$G,"*, "&amp;AF$3&amp;",*", 集計用!$AE:$AE, $B11))/$A11*100</f>
        <v>4.1666666666666661</v>
      </c>
      <c r="AG11" s="31">
        <f>(COUNTIFS(集計用!$G:$G,"*, "&amp;AG$3&amp;",*", 集計用!$AE:$AE, $B11))/$A11*100</f>
        <v>8.3333333333333321</v>
      </c>
      <c r="AH11" s="31">
        <f>(COUNTIFS(集計用!$G:$G,"*, "&amp;AH$3&amp;",*", 集計用!$AE:$AE, $B11))/$A11*100</f>
        <v>8.3333333333333321</v>
      </c>
      <c r="AI11" s="31">
        <f>(COUNTIFS(集計用!$G:$G,"*, "&amp;AI$3&amp;",*", 集計用!$AE:$AE, $B11))/$A11*100</f>
        <v>0</v>
      </c>
      <c r="AJ11" s="31">
        <f>(COUNTIFS(集計用!$G:$G,"*, "&amp;AJ$3&amp;",*", 集計用!$AE:$AE, $B11))/$A11*100</f>
        <v>4.1666666666666661</v>
      </c>
      <c r="AK11" s="31">
        <f>(COUNTIFS(集計用!$G:$G,"*, "&amp;AK$3&amp;",*", 集計用!$AE:$AE, $B11))/$A11*100</f>
        <v>0</v>
      </c>
      <c r="AL11" s="31">
        <f>(COUNTIFS(集計用!$G:$G,"*, "&amp;AL$3&amp;",*", 集計用!$AE:$AE, $B11))/$A11*100</f>
        <v>8.3333333333333321</v>
      </c>
      <c r="AM11" s="31">
        <f>(COUNTIFS(集計用!$G:$G,"*, "&amp;AM$3&amp;",*", 集計用!$AE:$AE, $B11))/$A11*100</f>
        <v>12.5</v>
      </c>
      <c r="AN11" s="31">
        <f>(COUNTIFS(集計用!$G:$G,"*, "&amp;AN$3&amp;",*", 集計用!$AE:$AE, $B11))/$A11*100</f>
        <v>4.1666666666666661</v>
      </c>
      <c r="AO11" s="31">
        <f>(COUNTIFS(集計用!$G:$G,"*, "&amp;AO$3&amp;",*", 集計用!$AE:$AE, $B11))/$A11*100</f>
        <v>4.1666666666666661</v>
      </c>
      <c r="AP11" s="31">
        <f>(COUNTIFS(集計用!$G:$G,"*, "&amp;AP$3&amp;",*", 集計用!$AE:$AE, $B11))/$A11*100</f>
        <v>8.3333333333333321</v>
      </c>
      <c r="AQ11" s="31">
        <f>(COUNTIFS(集計用!$G:$G,"*, "&amp;AQ$3&amp;",*", 集計用!$AE:$AE, $B11))/$A11*100</f>
        <v>0</v>
      </c>
      <c r="AR11" s="31">
        <f>(COUNTIFS(集計用!$G:$G,"*, "&amp;AR$3&amp;",*", 集計用!$AE:$AE, $B11))/$A11*100</f>
        <v>0</v>
      </c>
      <c r="AS11" s="31">
        <f>(COUNTIFS(集計用!$G:$G,"*, "&amp;AS$3&amp;",*", 集計用!$AE:$AE, $B11))/$A11*100</f>
        <v>4.1666666666666661</v>
      </c>
      <c r="AT11" s="31">
        <f>(COUNTIFS(集計用!$G:$G,"*, "&amp;AT$3&amp;",*", 集計用!$AE:$AE, $B11))/$A11*100</f>
        <v>4.1666666666666661</v>
      </c>
      <c r="AU11" s="31">
        <f>(COUNTIFS(集計用!$G:$G,"*, "&amp;AU$3&amp;",*", 集計用!$AE:$AE, $B11))/$A11*100</f>
        <v>0</v>
      </c>
      <c r="AV11" s="31">
        <f>(COUNTIFS(集計用!$G:$G,"*, "&amp;AV$3&amp;",*", 集計用!$AE:$AE, $B11))/$A11*100</f>
        <v>0</v>
      </c>
      <c r="AW11" s="31">
        <f>(COUNTIFS(集計用!$G:$G,"*, "&amp;AW$3&amp;",*", 集計用!$AE:$AE, $B11))/$A11*100</f>
        <v>4.1666666666666661</v>
      </c>
      <c r="AX11" s="31">
        <f>(COUNTIFS(集計用!$G:$G,"*, "&amp;AX$3&amp;",*", 集計用!$AE:$AE, $B11))/$A11*100</f>
        <v>0</v>
      </c>
      <c r="AY11" s="31">
        <f>(COUNTIFS(集計用!$G:$G,"*, "&amp;AY$3&amp;",*", 集計用!$AE:$AE, $B11))/$A11*100</f>
        <v>4.1666666666666661</v>
      </c>
      <c r="AZ11" s="31">
        <f>(COUNTIFS(集計用!$G:$G,"*, "&amp;AZ$3&amp;",*", 集計用!$AE:$AE, $B11))/$A11*100</f>
        <v>0</v>
      </c>
      <c r="BA11" s="31">
        <f>(COUNTIFS(集計用!$G:$G,"*, "&amp;BA$3&amp;",*", 集計用!$AE:$AE, $B11))/$A11*100</f>
        <v>0</v>
      </c>
      <c r="BB11" s="31">
        <f>(COUNTIFS(集計用!$G:$G,"*, "&amp;BB$3&amp;",*", 集計用!$AE:$AE, $B11))/$A11*100</f>
        <v>0</v>
      </c>
      <c r="BC11" s="31">
        <f>(COUNTIFS(集計用!$G:$G,"*, "&amp;BC$3&amp;",*", 集計用!$AE:$AE, $B11))/$A11*100</f>
        <v>0</v>
      </c>
      <c r="BD11" s="31">
        <f>(COUNTIFS(集計用!$G:$G,"*, "&amp;BD$3&amp;",*", 集計用!$AE:$AE, $B11))/$A11*100</f>
        <v>4.1666666666666661</v>
      </c>
      <c r="BE11" s="31">
        <f>(COUNTIFS(集計用!$G:$G,"*, "&amp;BE$3&amp;",*", 集計用!$AE:$AE, $B11))/$A11*100</f>
        <v>0</v>
      </c>
      <c r="BF11" s="31">
        <f>(COUNTIFS(集計用!$G:$G,"*, "&amp;BF$3&amp;",*", 集計用!$AE:$AE, $B11))/$A11*100</f>
        <v>0</v>
      </c>
      <c r="BG11" s="31">
        <f>(COUNTIFS(集計用!$G:$G,"*, "&amp;BG$3&amp;",*", 集計用!$AE:$AE, $B11))/$A11*100</f>
        <v>4.1666666666666661</v>
      </c>
      <c r="BH11" s="31">
        <f>(COUNTIFS(集計用!$G:$G,"*, "&amp;BH$3&amp;",*", 集計用!$AE:$AE, $B11))/$A11*100</f>
        <v>0</v>
      </c>
    </row>
    <row r="12" spans="1:60">
      <c r="A12">
        <f>(COUNTIFS(集計用!$AE:$AE,$B12))</f>
        <v>11</v>
      </c>
      <c r="B12" s="32" t="s">
        <v>2172</v>
      </c>
      <c r="C12" s="95">
        <f>テーブル6[[#This Row],[n=]]/$A$4*100</f>
        <v>2.4830699774266365</v>
      </c>
      <c r="D12" s="31">
        <f>(COUNTIFS(集計用!$G:$G,"*, "&amp;D$3&amp;",*", 集計用!$AE:$AE, $B12))/$A12*100</f>
        <v>54.54545454545454</v>
      </c>
      <c r="E12" s="31">
        <f>(COUNTIFS(集計用!$G:$G,"*, "&amp;E$3&amp;",*", 集計用!$AE:$AE, $B12))/$A12*100</f>
        <v>9.0909090909090917</v>
      </c>
      <c r="F12" s="31">
        <f>(COUNTIFS(集計用!$G:$G,"*, "&amp;F$3&amp;",*", 集計用!$AE:$AE, $B12))/$A12*100</f>
        <v>27.27272727272727</v>
      </c>
      <c r="G12" s="31">
        <f>(COUNTIFS(集計用!$G:$G,"*, "&amp;G$3&amp;",*", 集計用!$AE:$AE, $B12))/$A12*100</f>
        <v>36.363636363636367</v>
      </c>
      <c r="H12" s="31">
        <f>(COUNTIFS(集計用!$G:$G,"*, "&amp;H$3&amp;",*", 集計用!$AE:$AE, $B12))/$A12*100</f>
        <v>18.181818181818183</v>
      </c>
      <c r="I12" s="31">
        <f>(COUNTIFS(集計用!$G:$G,"*, "&amp;I$3&amp;",*", 集計用!$AE:$AE, $B12))/$A12*100</f>
        <v>0</v>
      </c>
      <c r="J12" s="31">
        <f>(COUNTIFS(集計用!$G:$G,"*, "&amp;J$3&amp;",*", 集計用!$AE:$AE, $B12))/$A12*100</f>
        <v>0</v>
      </c>
      <c r="K12" s="31">
        <f>(COUNTIFS(集計用!$G:$G,"*, "&amp;K$3&amp;",*", 集計用!$AE:$AE, $B12))/$A12*100</f>
        <v>18.181818181818183</v>
      </c>
      <c r="L12" s="31">
        <f>(COUNTIFS(集計用!$G:$G,"*, "&amp;L$3&amp;",*", 集計用!$AE:$AE, $B12))/$A12*100</f>
        <v>27.27272727272727</v>
      </c>
      <c r="M12" s="31">
        <f>(COUNTIFS(集計用!$G:$G,"*, "&amp;M$3&amp;",*", 集計用!$AE:$AE, $B12))/$A12*100</f>
        <v>0</v>
      </c>
      <c r="N12" s="31">
        <f>(COUNTIFS(集計用!$G:$G,"*, "&amp;N$3&amp;",*", 集計用!$AE:$AE, $B12))/$A12*100</f>
        <v>0</v>
      </c>
      <c r="O12" s="31">
        <f>(COUNTIFS(集計用!$G:$G,"*, "&amp;O$3&amp;",*", 集計用!$AE:$AE, $B12))/$A12*100</f>
        <v>18.181818181818183</v>
      </c>
      <c r="P12" s="31">
        <f>(COUNTIFS(集計用!$G:$G,"*, "&amp;P$3&amp;",*", 集計用!$AE:$AE, $B12))/$A12*100</f>
        <v>18.181818181818183</v>
      </c>
      <c r="Q12" s="31">
        <f>(COUNTIFS(集計用!$G:$G,"*, "&amp;Q$3&amp;",*", 集計用!$AE:$AE, $B12))/$A12*100</f>
        <v>18.181818181818183</v>
      </c>
      <c r="R12" s="31">
        <f>(COUNTIFS(集計用!$G:$G,"*, "&amp;R$3&amp;",*", 集計用!$AE:$AE, $B12))/$A12*100</f>
        <v>0</v>
      </c>
      <c r="S12" s="31">
        <f>(COUNTIFS(集計用!$G:$G,"*, "&amp;S$3&amp;",*", 集計用!$AE:$AE, $B12))/$A12*100</f>
        <v>0</v>
      </c>
      <c r="T12" s="31">
        <f>(COUNTIFS(集計用!$G:$G,"*, "&amp;T$3&amp;",*", 集計用!$AE:$AE, $B12))/$A12*100</f>
        <v>9.0909090909090917</v>
      </c>
      <c r="U12" s="31">
        <f>(COUNTIFS(集計用!$G:$G,"*, "&amp;U$3&amp;",*", 集計用!$AE:$AE, $B12))/$A12*100</f>
        <v>18.181818181818183</v>
      </c>
      <c r="V12" s="31">
        <f>(COUNTIFS(集計用!$G:$G,"*, "&amp;V$3&amp;",*", 集計用!$AE:$AE, $B12))/$A12*100</f>
        <v>9.0909090909090917</v>
      </c>
      <c r="W12" s="31">
        <f>(COUNTIFS(集計用!$G:$G,"*, "&amp;W$3&amp;",*", 集計用!$AE:$AE, $B12))/$A12*100</f>
        <v>0</v>
      </c>
      <c r="X12" s="31">
        <f>(COUNTIFS(集計用!$G:$G,"*, "&amp;X$3&amp;",*", 集計用!$AE:$AE, $B12))/$A12*100</f>
        <v>9.0909090909090917</v>
      </c>
      <c r="Y12" s="31">
        <f>(COUNTIFS(集計用!$G:$G,"*, "&amp;Y$3&amp;",*", 集計用!$AE:$AE, $B12))/$A12*100</f>
        <v>0</v>
      </c>
      <c r="Z12" s="31">
        <f>(COUNTIFS(集計用!$G:$G,"*, "&amp;Z$3&amp;",*", 集計用!$AE:$AE, $B12))/$A12*100</f>
        <v>9.0909090909090917</v>
      </c>
      <c r="AA12" s="31">
        <f>(COUNTIFS(集計用!$G:$G,"*, "&amp;AA$3&amp;",*", 集計用!$AE:$AE, $B12))/$A12*100</f>
        <v>9.0909090909090917</v>
      </c>
      <c r="AB12" s="31">
        <f>(COUNTIFS(集計用!$G:$G,"*, "&amp;AB$3&amp;",*", 集計用!$AE:$AE, $B12))/$A12*100</f>
        <v>9.0909090909090917</v>
      </c>
      <c r="AC12" s="31">
        <f>(COUNTIFS(集計用!$G:$G,"*, "&amp;AC$3&amp;",*", 集計用!$AE:$AE, $B12))/$A12*100</f>
        <v>9.0909090909090917</v>
      </c>
      <c r="AD12" s="31">
        <f>(COUNTIFS(集計用!$G:$G,"*, "&amp;AD$3&amp;",*", 集計用!$AE:$AE, $B12))/$A12*100</f>
        <v>9.0909090909090917</v>
      </c>
      <c r="AE12" s="31">
        <f>(COUNTIFS(集計用!$G:$G,"*, "&amp;AE$3&amp;",*", 集計用!$AE:$AE, $B12))/$A12*100</f>
        <v>0</v>
      </c>
      <c r="AF12" s="31">
        <f>(COUNTIFS(集計用!$G:$G,"*, "&amp;AF$3&amp;",*", 集計用!$AE:$AE, $B12))/$A12*100</f>
        <v>0</v>
      </c>
      <c r="AG12" s="31">
        <f>(COUNTIFS(集計用!$G:$G,"*, "&amp;AG$3&amp;",*", 集計用!$AE:$AE, $B12))/$A12*100</f>
        <v>0</v>
      </c>
      <c r="AH12" s="31">
        <f>(COUNTIFS(集計用!$G:$G,"*, "&amp;AH$3&amp;",*", 集計用!$AE:$AE, $B12))/$A12*100</f>
        <v>0</v>
      </c>
      <c r="AI12" s="31">
        <f>(COUNTIFS(集計用!$G:$G,"*, "&amp;AI$3&amp;",*", 集計用!$AE:$AE, $B12))/$A12*100</f>
        <v>9.0909090909090917</v>
      </c>
      <c r="AJ12" s="31">
        <f>(COUNTIFS(集計用!$G:$G,"*, "&amp;AJ$3&amp;",*", 集計用!$AE:$AE, $B12))/$A12*100</f>
        <v>0</v>
      </c>
      <c r="AK12" s="31">
        <f>(COUNTIFS(集計用!$G:$G,"*, "&amp;AK$3&amp;",*", 集計用!$AE:$AE, $B12))/$A12*100</f>
        <v>0</v>
      </c>
      <c r="AL12" s="31">
        <f>(COUNTIFS(集計用!$G:$G,"*, "&amp;AL$3&amp;",*", 集計用!$AE:$AE, $B12))/$A12*100</f>
        <v>9.0909090909090917</v>
      </c>
      <c r="AM12" s="31">
        <f>(COUNTIFS(集計用!$G:$G,"*, "&amp;AM$3&amp;",*", 集計用!$AE:$AE, $B12))/$A12*100</f>
        <v>9.0909090909090917</v>
      </c>
      <c r="AN12" s="31">
        <f>(COUNTIFS(集計用!$G:$G,"*, "&amp;AN$3&amp;",*", 集計用!$AE:$AE, $B12))/$A12*100</f>
        <v>9.0909090909090917</v>
      </c>
      <c r="AO12" s="31">
        <f>(COUNTIFS(集計用!$G:$G,"*, "&amp;AO$3&amp;",*", 集計用!$AE:$AE, $B12))/$A12*100</f>
        <v>0</v>
      </c>
      <c r="AP12" s="31">
        <f>(COUNTIFS(集計用!$G:$G,"*, "&amp;AP$3&amp;",*", 集計用!$AE:$AE, $B12))/$A12*100</f>
        <v>9.0909090909090917</v>
      </c>
      <c r="AQ12" s="31">
        <f>(COUNTIFS(集計用!$G:$G,"*, "&amp;AQ$3&amp;",*", 集計用!$AE:$AE, $B12))/$A12*100</f>
        <v>0</v>
      </c>
      <c r="AR12" s="31">
        <f>(COUNTIFS(集計用!$G:$G,"*, "&amp;AR$3&amp;",*", 集計用!$AE:$AE, $B12))/$A12*100</f>
        <v>0</v>
      </c>
      <c r="AS12" s="31">
        <f>(COUNTIFS(集計用!$G:$G,"*, "&amp;AS$3&amp;",*", 集計用!$AE:$AE, $B12))/$A12*100</f>
        <v>9.0909090909090917</v>
      </c>
      <c r="AT12" s="31">
        <f>(COUNTIFS(集計用!$G:$G,"*, "&amp;AT$3&amp;",*", 集計用!$AE:$AE, $B12))/$A12*100</f>
        <v>18.181818181818183</v>
      </c>
      <c r="AU12" s="31">
        <f>(COUNTIFS(集計用!$G:$G,"*, "&amp;AU$3&amp;",*", 集計用!$AE:$AE, $B12))/$A12*100</f>
        <v>0</v>
      </c>
      <c r="AV12" s="31">
        <f>(COUNTIFS(集計用!$G:$G,"*, "&amp;AV$3&amp;",*", 集計用!$AE:$AE, $B12))/$A12*100</f>
        <v>0</v>
      </c>
      <c r="AW12" s="31">
        <f>(COUNTIFS(集計用!$G:$G,"*, "&amp;AW$3&amp;",*", 集計用!$AE:$AE, $B12))/$A12*100</f>
        <v>0</v>
      </c>
      <c r="AX12" s="31">
        <f>(COUNTIFS(集計用!$G:$G,"*, "&amp;AX$3&amp;",*", 集計用!$AE:$AE, $B12))/$A12*100</f>
        <v>0</v>
      </c>
      <c r="AY12" s="31">
        <f>(COUNTIFS(集計用!$G:$G,"*, "&amp;AY$3&amp;",*", 集計用!$AE:$AE, $B12))/$A12*100</f>
        <v>0</v>
      </c>
      <c r="AZ12" s="31">
        <f>(COUNTIFS(集計用!$G:$G,"*, "&amp;AZ$3&amp;",*", 集計用!$AE:$AE, $B12))/$A12*100</f>
        <v>0</v>
      </c>
      <c r="BA12" s="31">
        <f>(COUNTIFS(集計用!$G:$G,"*, "&amp;BA$3&amp;",*", 集計用!$AE:$AE, $B12))/$A12*100</f>
        <v>0</v>
      </c>
      <c r="BB12" s="31">
        <f>(COUNTIFS(集計用!$G:$G,"*, "&amp;BB$3&amp;",*", 集計用!$AE:$AE, $B12))/$A12*100</f>
        <v>0</v>
      </c>
      <c r="BC12" s="31">
        <f>(COUNTIFS(集計用!$G:$G,"*, "&amp;BC$3&amp;",*", 集計用!$AE:$AE, $B12))/$A12*100</f>
        <v>0</v>
      </c>
      <c r="BD12" s="31">
        <f>(COUNTIFS(集計用!$G:$G,"*, "&amp;BD$3&amp;",*", 集計用!$AE:$AE, $B12))/$A12*100</f>
        <v>0</v>
      </c>
      <c r="BE12" s="31">
        <f>(COUNTIFS(集計用!$G:$G,"*, "&amp;BE$3&amp;",*", 集計用!$AE:$AE, $B12))/$A12*100</f>
        <v>0</v>
      </c>
      <c r="BF12" s="31">
        <f>(COUNTIFS(集計用!$G:$G,"*, "&amp;BF$3&amp;",*", 集計用!$AE:$AE, $B12))/$A12*100</f>
        <v>0</v>
      </c>
      <c r="BG12" s="31">
        <f>(COUNTIFS(集計用!$G:$G,"*, "&amp;BG$3&amp;",*", 集計用!$AE:$AE, $B12))/$A12*100</f>
        <v>0</v>
      </c>
      <c r="BH12" s="31">
        <f>(COUNTIFS(集計用!$G:$G,"*, "&amp;BH$3&amp;",*", 集計用!$AE:$AE, $B12))/$A12*100</f>
        <v>0</v>
      </c>
    </row>
    <row r="13" spans="1:60">
      <c r="A13">
        <f>(COUNTIFS(集計用!$AE:$AE,"61-65"))+(COUNTIFS(集計用!$AE:$AE,"56-60"))</f>
        <v>12</v>
      </c>
      <c r="B13" s="32" t="s">
        <v>2173</v>
      </c>
      <c r="C13" s="95">
        <f>テーブル6[[#This Row],[n=]]/$A$4*100</f>
        <v>2.7088036117381491</v>
      </c>
      <c r="D13" s="31">
        <f>(COUNTIFS(集計用!$G:$G,"*, "&amp;D$3&amp;",*", 集計用!$AE:$AE, "61-65")+COUNTIFS(集計用!$G:$G,"*, "&amp;D$3&amp;",*", 集計用!$AE:$AE, "56-60"))/$A13*100</f>
        <v>58.333333333333336</v>
      </c>
      <c r="E13" s="31">
        <f>(COUNTIFS(集計用!$G:$G,"*, "&amp;E$3&amp;",*", 集計用!$AE:$AE, "61-65")+COUNTIFS(集計用!$G:$G,"*, "&amp;E$3&amp;",*", 集計用!$AE:$AE, "56-60"))/$A13*100</f>
        <v>50</v>
      </c>
      <c r="F13" s="31">
        <f>(COUNTIFS(集計用!$G:$G,"*, "&amp;F$3&amp;",*", 集計用!$AE:$AE, "61-65")+COUNTIFS(集計用!$G:$G,"*, "&amp;F$3&amp;",*", 集計用!$AE:$AE, "56-60"))/$A13*100</f>
        <v>33.333333333333329</v>
      </c>
      <c r="G13" s="31">
        <f>(COUNTIFS(集計用!$G:$G,"*, "&amp;G$3&amp;",*", 集計用!$AE:$AE, "61-65")+COUNTIFS(集計用!$G:$G,"*, "&amp;G$3&amp;",*", 集計用!$AE:$AE, "56-60"))/$A13*100</f>
        <v>33.333333333333329</v>
      </c>
      <c r="H13" s="31">
        <f>(COUNTIFS(集計用!$G:$G,"*, "&amp;H$3&amp;",*", 集計用!$AE:$AE, "61-65")+COUNTIFS(集計用!$G:$G,"*, "&amp;H$3&amp;",*", 集計用!$AE:$AE, "56-60"))/$A13*100</f>
        <v>16.666666666666664</v>
      </c>
      <c r="I13" s="31">
        <f>(COUNTIFS(集計用!$G:$G,"*, "&amp;I$3&amp;",*", 集計用!$AE:$AE, "61-65")+COUNTIFS(集計用!$G:$G,"*, "&amp;I$3&amp;",*", 集計用!$AE:$AE, "56-60"))/$A13*100</f>
        <v>16.666666666666664</v>
      </c>
      <c r="J13" s="31">
        <f>(COUNTIFS(集計用!$G:$G,"*, "&amp;J$3&amp;",*", 集計用!$AE:$AE, "61-65")+COUNTIFS(集計用!$G:$G,"*, "&amp;J$3&amp;",*", 集計用!$AE:$AE, "56-60"))/$A13*100</f>
        <v>41.666666666666671</v>
      </c>
      <c r="K13" s="31">
        <f>(COUNTIFS(集計用!$G:$G,"*, "&amp;K$3&amp;",*", 集計用!$AE:$AE, "61-65")+COUNTIFS(集計用!$G:$G,"*, "&amp;K$3&amp;",*", 集計用!$AE:$AE, "56-60"))/$A13*100</f>
        <v>8.3333333333333321</v>
      </c>
      <c r="L13" s="31">
        <f>(COUNTIFS(集計用!$G:$G,"*, "&amp;L$3&amp;",*", 集計用!$AE:$AE, "61-65")+COUNTIFS(集計用!$G:$G,"*, "&amp;L$3&amp;",*", 集計用!$AE:$AE, "56-60"))/$A13*100</f>
        <v>8.3333333333333321</v>
      </c>
      <c r="M13" s="31">
        <f>(COUNTIFS(集計用!$G:$G,"*, "&amp;M$3&amp;",*", 集計用!$AE:$AE, "61-65")+COUNTIFS(集計用!$G:$G,"*, "&amp;M$3&amp;",*", 集計用!$AE:$AE, "56-60"))/$A13*100</f>
        <v>16.666666666666664</v>
      </c>
      <c r="N13" s="31">
        <f>(COUNTIFS(集計用!$G:$G,"*, "&amp;N$3&amp;",*", 集計用!$AE:$AE, "61-65")+COUNTIFS(集計用!$G:$G,"*, "&amp;N$3&amp;",*", 集計用!$AE:$AE, "56-60"))/$A13*100</f>
        <v>25</v>
      </c>
      <c r="O13" s="31">
        <f>(COUNTIFS(集計用!$G:$G,"*, "&amp;O$3&amp;",*", 集計用!$AE:$AE, "61-65")+COUNTIFS(集計用!$G:$G,"*, "&amp;O$3&amp;",*", 集計用!$AE:$AE, "56-60"))/$A13*100</f>
        <v>33.333333333333329</v>
      </c>
      <c r="P13" s="31">
        <f>(COUNTIFS(集計用!$G:$G,"*, "&amp;P$3&amp;",*", 集計用!$AE:$AE, "61-65")+COUNTIFS(集計用!$G:$G,"*, "&amp;P$3&amp;",*", 集計用!$AE:$AE, "56-60"))/$A13*100</f>
        <v>16.666666666666664</v>
      </c>
      <c r="Q13" s="31">
        <f>(COUNTIFS(集計用!$G:$G,"*, "&amp;Q$3&amp;",*", 集計用!$AE:$AE, "61-65")+COUNTIFS(集計用!$G:$G,"*, "&amp;Q$3&amp;",*", 集計用!$AE:$AE, "56-60"))/$A13*100</f>
        <v>16.666666666666664</v>
      </c>
      <c r="R13" s="31">
        <f>(COUNTIFS(集計用!$G:$G,"*, "&amp;R$3&amp;",*", 集計用!$AE:$AE, "61-65")+COUNTIFS(集計用!$G:$G,"*, "&amp;R$3&amp;",*", 集計用!$AE:$AE, "56-60"))/$A13*100</f>
        <v>16.666666666666664</v>
      </c>
      <c r="S13" s="31">
        <f>(COUNTIFS(集計用!$G:$G,"*, "&amp;S$3&amp;",*", 集計用!$AE:$AE, "61-65")+COUNTIFS(集計用!$G:$G,"*, "&amp;S$3&amp;",*", 集計用!$AE:$AE, "56-60"))/$A13*100</f>
        <v>0</v>
      </c>
      <c r="T13" s="31">
        <f>(COUNTIFS(集計用!$G:$G,"*, "&amp;T$3&amp;",*", 集計用!$AE:$AE, "61-65")+COUNTIFS(集計用!$G:$G,"*, "&amp;T$3&amp;",*", 集計用!$AE:$AE, "56-60"))/$A13*100</f>
        <v>33.333333333333329</v>
      </c>
      <c r="U13" s="31">
        <f>(COUNTIFS(集計用!$G:$G,"*, "&amp;U$3&amp;",*", 集計用!$AE:$AE, "61-65")+COUNTIFS(集計用!$G:$G,"*, "&amp;U$3&amp;",*", 集計用!$AE:$AE, "56-60"))/$A13*100</f>
        <v>25</v>
      </c>
      <c r="V13" s="31">
        <f>(COUNTIFS(集計用!$G:$G,"*, "&amp;V$3&amp;",*", 集計用!$AE:$AE, "61-65")+COUNTIFS(集計用!$G:$G,"*, "&amp;V$3&amp;",*", 集計用!$AE:$AE, "56-60"))/$A13*100</f>
        <v>8.3333333333333321</v>
      </c>
      <c r="W13" s="31">
        <f>(COUNTIFS(集計用!$G:$G,"*, "&amp;W$3&amp;",*", 集計用!$AE:$AE, "61-65")+COUNTIFS(集計用!$G:$G,"*, "&amp;W$3&amp;",*", 集計用!$AE:$AE, "56-60"))/$A13*100</f>
        <v>25</v>
      </c>
      <c r="X13" s="31">
        <f>(COUNTIFS(集計用!$G:$G,"*, "&amp;X$3&amp;",*", 集計用!$AE:$AE, "61-65")+COUNTIFS(集計用!$G:$G,"*, "&amp;X$3&amp;",*", 集計用!$AE:$AE, "56-60"))/$A13*100</f>
        <v>16.666666666666664</v>
      </c>
      <c r="Y13" s="31">
        <f>(COUNTIFS(集計用!$G:$G,"*, "&amp;Y$3&amp;",*", 集計用!$AE:$AE, "61-65")+COUNTIFS(集計用!$G:$G,"*, "&amp;Y$3&amp;",*", 集計用!$AE:$AE, "56-60"))/$A13*100</f>
        <v>16.666666666666664</v>
      </c>
      <c r="Z13" s="31">
        <f>(COUNTIFS(集計用!$G:$G,"*, "&amp;Z$3&amp;",*", 集計用!$AE:$AE, "61-65")+COUNTIFS(集計用!$G:$G,"*, "&amp;Z$3&amp;",*", 集計用!$AE:$AE, "56-60"))/$A13*100</f>
        <v>8.3333333333333321</v>
      </c>
      <c r="AA13" s="31">
        <f>(COUNTIFS(集計用!$G:$G,"*, "&amp;AA$3&amp;",*", 集計用!$AE:$AE, "61-65")+COUNTIFS(集計用!$G:$G,"*, "&amp;AA$3&amp;",*", 集計用!$AE:$AE, "56-60"))/$A13*100</f>
        <v>0</v>
      </c>
      <c r="AB13" s="31">
        <f>(COUNTIFS(集計用!$G:$G,"*, "&amp;AB$3&amp;",*", 集計用!$AE:$AE, "61-65")+COUNTIFS(集計用!$G:$G,"*, "&amp;AB$3&amp;",*", 集計用!$AE:$AE, "56-60"))/$A13*100</f>
        <v>0</v>
      </c>
      <c r="AC13" s="31">
        <f>(COUNTIFS(集計用!$G:$G,"*, "&amp;AC$3&amp;",*", 集計用!$AE:$AE, "61-65")+COUNTIFS(集計用!$G:$G,"*, "&amp;AC$3&amp;",*", 集計用!$AE:$AE, "56-60"))/$A13*100</f>
        <v>8.3333333333333321</v>
      </c>
      <c r="AD13" s="31">
        <f>(COUNTIFS(集計用!$G:$G,"*, "&amp;AD$3&amp;",*", 集計用!$AE:$AE, "61-65")+COUNTIFS(集計用!$G:$G,"*, "&amp;AD$3&amp;",*", 集計用!$AE:$AE, "56-60"))/$A13*100</f>
        <v>8.3333333333333321</v>
      </c>
      <c r="AE13" s="31">
        <f>(COUNTIFS(集計用!$G:$G,"*, "&amp;AE$3&amp;",*", 集計用!$AE:$AE, "61-65")+COUNTIFS(集計用!$G:$G,"*, "&amp;AE$3&amp;",*", 集計用!$AE:$AE, "56-60"))/$A13*100</f>
        <v>0</v>
      </c>
      <c r="AF13" s="31">
        <f>(COUNTIFS(集計用!$G:$G,"*, "&amp;AF$3&amp;",*", 集計用!$AE:$AE, "61-65")+COUNTIFS(集計用!$G:$G,"*, "&amp;AF$3&amp;",*", 集計用!$AE:$AE, "56-60"))/$A13*100</f>
        <v>0</v>
      </c>
      <c r="AG13" s="31">
        <f>(COUNTIFS(集計用!$G:$G,"*, "&amp;AG$3&amp;",*", 集計用!$AE:$AE, "61-65")+COUNTIFS(集計用!$G:$G,"*, "&amp;AG$3&amp;",*", 集計用!$AE:$AE, "56-60"))/$A13*100</f>
        <v>8.3333333333333321</v>
      </c>
      <c r="AH13" s="31">
        <f>(COUNTIFS(集計用!$G:$G,"*, "&amp;AH$3&amp;",*", 集計用!$AE:$AE, "61-65")+COUNTIFS(集計用!$G:$G,"*, "&amp;AH$3&amp;",*", 集計用!$AE:$AE, "56-60"))/$A13*100</f>
        <v>8.3333333333333321</v>
      </c>
      <c r="AI13" s="31">
        <f>(COUNTIFS(集計用!$G:$G,"*, "&amp;AI$3&amp;",*", 集計用!$AE:$AE, "61-65")+COUNTIFS(集計用!$G:$G,"*, "&amp;AI$3&amp;",*", 集計用!$AE:$AE, "56-60"))/$A13*100</f>
        <v>0</v>
      </c>
      <c r="AJ13" s="31">
        <f>(COUNTIFS(集計用!$G:$G,"*, "&amp;AJ$3&amp;",*", 集計用!$AE:$AE, "61-65")+COUNTIFS(集計用!$G:$G,"*, "&amp;AJ$3&amp;",*", 集計用!$AE:$AE, "56-60"))/$A13*100</f>
        <v>0</v>
      </c>
      <c r="AK13" s="31">
        <f>(COUNTIFS(集計用!$G:$G,"*, "&amp;AK$3&amp;",*", 集計用!$AE:$AE, "61-65")+COUNTIFS(集計用!$G:$G,"*, "&amp;AK$3&amp;",*", 集計用!$AE:$AE, "56-60"))/$A13*100</f>
        <v>0</v>
      </c>
      <c r="AL13" s="31">
        <f>(COUNTIFS(集計用!$G:$G,"*, "&amp;AL$3&amp;",*", 集計用!$AE:$AE, "61-65")+COUNTIFS(集計用!$G:$G,"*, "&amp;AL$3&amp;",*", 集計用!$AE:$AE, "56-60"))/$A13*100</f>
        <v>8.3333333333333321</v>
      </c>
      <c r="AM13" s="31">
        <f>(COUNTIFS(集計用!$G:$G,"*, "&amp;AM$3&amp;",*", 集計用!$AE:$AE, "61-65")+COUNTIFS(集計用!$G:$G,"*, "&amp;AM$3&amp;",*", 集計用!$AE:$AE, "56-60"))/$A13*100</f>
        <v>33.333333333333329</v>
      </c>
      <c r="AN13" s="31">
        <f>(COUNTIFS(集計用!$G:$G,"*, "&amp;AN$3&amp;",*", 集計用!$AE:$AE, "61-65")+COUNTIFS(集計用!$G:$G,"*, "&amp;AN$3&amp;",*", 集計用!$AE:$AE, "56-60"))/$A13*100</f>
        <v>0</v>
      </c>
      <c r="AO13" s="31">
        <f>(COUNTIFS(集計用!$G:$G,"*, "&amp;AO$3&amp;",*", 集計用!$AE:$AE, "61-65")+COUNTIFS(集計用!$G:$G,"*, "&amp;AO$3&amp;",*", 集計用!$AE:$AE, "56-60"))/$A13*100</f>
        <v>8.3333333333333321</v>
      </c>
      <c r="AP13" s="31">
        <f>(COUNTIFS(集計用!$G:$G,"*, "&amp;AP$3&amp;",*", 集計用!$AE:$AE, "61-65")+COUNTIFS(集計用!$G:$G,"*, "&amp;AP$3&amp;",*", 集計用!$AE:$AE, "56-60"))/$A13*100</f>
        <v>16.666666666666664</v>
      </c>
      <c r="AQ13" s="31">
        <f>(COUNTIFS(集計用!$G:$G,"*, "&amp;AQ$3&amp;",*", 集計用!$AE:$AE, "61-65")+COUNTIFS(集計用!$G:$G,"*, "&amp;AQ$3&amp;",*", 集計用!$AE:$AE, "56-60"))/$A13*100</f>
        <v>0</v>
      </c>
      <c r="AR13" s="31">
        <f>(COUNTIFS(集計用!$G:$G,"*, "&amp;AR$3&amp;",*", 集計用!$AE:$AE, "61-65")+COUNTIFS(集計用!$G:$G,"*, "&amp;AR$3&amp;",*", 集計用!$AE:$AE, "56-60"))/$A13*100</f>
        <v>8.3333333333333321</v>
      </c>
      <c r="AS13" s="31">
        <f>(COUNTIFS(集計用!$G:$G,"*, "&amp;AS$3&amp;",*", 集計用!$AE:$AE, "61-65")+COUNTIFS(集計用!$G:$G,"*, "&amp;AS$3&amp;",*", 集計用!$AE:$AE, "56-60"))/$A13*100</f>
        <v>8.3333333333333321</v>
      </c>
      <c r="AT13" s="31">
        <f>(COUNTIFS(集計用!$G:$G,"*, "&amp;AT$3&amp;",*", 集計用!$AE:$AE, "61-65")+COUNTIFS(集計用!$G:$G,"*, "&amp;AT$3&amp;",*", 集計用!$AE:$AE, "56-60"))/$A13*100</f>
        <v>0</v>
      </c>
      <c r="AU13" s="31">
        <f>(COUNTIFS(集計用!$G:$G,"*, "&amp;AU$3&amp;",*", 集計用!$AE:$AE, "61-65")+COUNTIFS(集計用!$G:$G,"*, "&amp;AU$3&amp;",*", 集計用!$AE:$AE, "56-60"))/$A13*100</f>
        <v>0</v>
      </c>
      <c r="AV13" s="31">
        <f>(COUNTIFS(集計用!$G:$G,"*, "&amp;AV$3&amp;",*", 集計用!$AE:$AE, "61-65")+COUNTIFS(集計用!$G:$G,"*, "&amp;AV$3&amp;",*", 集計用!$AE:$AE, "56-60"))/$A13*100</f>
        <v>0</v>
      </c>
      <c r="AW13" s="31">
        <f>(COUNTIFS(集計用!$G:$G,"*, "&amp;AW$3&amp;",*", 集計用!$AE:$AE, "61-65")+COUNTIFS(集計用!$G:$G,"*, "&amp;AW$3&amp;",*", 集計用!$AE:$AE, "56-60"))/$A13*100</f>
        <v>0</v>
      </c>
      <c r="AX13" s="31">
        <f>(COUNTIFS(集計用!$G:$G,"*, "&amp;AX$3&amp;",*", 集計用!$AE:$AE, "61-65")+COUNTIFS(集計用!$G:$G,"*, "&amp;AX$3&amp;",*", 集計用!$AE:$AE, "56-60"))/$A13*100</f>
        <v>8.3333333333333321</v>
      </c>
      <c r="AY13" s="31">
        <f>(COUNTIFS(集計用!$G:$G,"*, "&amp;AY$3&amp;",*", 集計用!$AE:$AE, "61-65")+COUNTIFS(集計用!$G:$G,"*, "&amp;AY$3&amp;",*", 集計用!$AE:$AE, "56-60"))/$A13*100</f>
        <v>0</v>
      </c>
      <c r="AZ13" s="31">
        <f>(COUNTIFS(集計用!$G:$G,"*, "&amp;AZ$3&amp;",*", 集計用!$AE:$AE, "61-65")+COUNTIFS(集計用!$G:$G,"*, "&amp;AZ$3&amp;",*", 集計用!$AE:$AE, "56-60"))/$A13*100</f>
        <v>0</v>
      </c>
      <c r="BA13" s="31">
        <f>(COUNTIFS(集計用!$G:$G,"*, "&amp;BA$3&amp;",*", 集計用!$AE:$AE, "61-65")+COUNTIFS(集計用!$G:$G,"*, "&amp;BA$3&amp;",*", 集計用!$AE:$AE, "56-60"))/$A13*100</f>
        <v>0</v>
      </c>
      <c r="BB13" s="31">
        <f>(COUNTIFS(集計用!$G:$G,"*, "&amp;BB$3&amp;",*", 集計用!$AE:$AE, "61-65")+COUNTIFS(集計用!$G:$G,"*, "&amp;BB$3&amp;",*", 集計用!$AE:$AE, "56-60"))/$A13*100</f>
        <v>0</v>
      </c>
      <c r="BC13" s="31">
        <f>(COUNTIFS(集計用!$G:$G,"*, "&amp;BC$3&amp;",*", 集計用!$AE:$AE, "61-65")+COUNTIFS(集計用!$G:$G,"*, "&amp;BC$3&amp;",*", 集計用!$AE:$AE, "56-60"))/$A13*100</f>
        <v>0</v>
      </c>
      <c r="BD13" s="31">
        <f>(COUNTIFS(集計用!$G:$G,"*, "&amp;BD$3&amp;",*", 集計用!$AE:$AE, "61-65")+COUNTIFS(集計用!$G:$G,"*, "&amp;BD$3&amp;",*", 集計用!$AE:$AE, "56-60"))/$A13*100</f>
        <v>0</v>
      </c>
      <c r="BE13" s="31">
        <f>(COUNTIFS(集計用!$G:$G,"*, "&amp;BE$3&amp;",*", 集計用!$AE:$AE, "61-65")+COUNTIFS(集計用!$G:$G,"*, "&amp;BE$3&amp;",*", 集計用!$AE:$AE, "56-60"))/$A13*100</f>
        <v>0</v>
      </c>
      <c r="BF13" s="31">
        <f>(COUNTIFS(集計用!$G:$G,"*, "&amp;BF$3&amp;",*", 集計用!$AE:$AE, "61-65")+COUNTIFS(集計用!$G:$G,"*, "&amp;BF$3&amp;",*", 集計用!$AE:$AE, "56-60"))/$A13*100</f>
        <v>0</v>
      </c>
      <c r="BG13" s="31">
        <f>(COUNTIFS(集計用!$G:$G,"*, "&amp;BG$3&amp;",*", 集計用!$AE:$AE, "61-65")+COUNTIFS(集計用!$G:$G,"*, "&amp;BG$3&amp;",*", 集計用!$AE:$AE, "56-60"))/$A13*100</f>
        <v>0</v>
      </c>
      <c r="BH13" s="31">
        <f>(COUNTIFS(集計用!$G:$G,"*, "&amp;BH$3&amp;",*", 集計用!$AE:$AE, "61-65")+COUNTIFS(集計用!$G:$G,"*, "&amp;BH$3&amp;",*", 集計用!$AE:$AE, "56-60"))/$A13*100</f>
        <v>0</v>
      </c>
    </row>
    <row r="14" spans="1:60">
      <c r="A14">
        <f>(COUNTIFS(集計用!$AE:$AE,$B14))</f>
        <v>1</v>
      </c>
      <c r="B14" s="32" t="s">
        <v>2174</v>
      </c>
      <c r="C14" s="95">
        <f>テーブル6[[#This Row],[n=]]/$A$4*100</f>
        <v>0.22573363431151239</v>
      </c>
      <c r="D14" s="31">
        <f>(COUNTIFS(集計用!$G:$G,"*, "&amp;D$3&amp;",*", 集計用!$AE:$AE, $B14))/$A14*100</f>
        <v>0</v>
      </c>
      <c r="E14" s="31">
        <f>(COUNTIFS(集計用!$G:$G,"*, "&amp;E$3&amp;",*", 集計用!$AE:$AE, $B14))/$A14*100</f>
        <v>0</v>
      </c>
      <c r="F14" s="31">
        <f>(COUNTIFS(集計用!$G:$G,"*, "&amp;F$3&amp;",*", 集計用!$AE:$AE, $B14))/$A14*100</f>
        <v>0</v>
      </c>
      <c r="G14" s="31">
        <f>(COUNTIFS(集計用!$G:$G,"*, "&amp;G$3&amp;",*", 集計用!$AE:$AE, $B14))/$A14*100</f>
        <v>0</v>
      </c>
      <c r="H14" s="31">
        <f>(COUNTIFS(集計用!$G:$G,"*, "&amp;H$3&amp;",*", 集計用!$AE:$AE, $B14))/$A14*100</f>
        <v>0</v>
      </c>
      <c r="I14" s="31">
        <f>(COUNTIFS(集計用!$G:$G,"*, "&amp;I$3&amp;",*", 集計用!$AE:$AE, $B14))/$A14*100</f>
        <v>0</v>
      </c>
      <c r="J14" s="31">
        <f>(COUNTIFS(集計用!$G:$G,"*, "&amp;J$3&amp;",*", 集計用!$AE:$AE, $B14))/$A14*100</f>
        <v>0</v>
      </c>
      <c r="K14" s="31">
        <f>(COUNTIFS(集計用!$G:$G,"*, "&amp;K$3&amp;",*", 集計用!$AE:$AE, $B14))/$A14*100</f>
        <v>0</v>
      </c>
      <c r="L14" s="31">
        <f>(COUNTIFS(集計用!$G:$G,"*, "&amp;L$3&amp;",*", 集計用!$AE:$AE, $B14))/$A14*100</f>
        <v>0</v>
      </c>
      <c r="M14" s="31">
        <f>(COUNTIFS(集計用!$G:$G,"*, "&amp;M$3&amp;",*", 集計用!$AE:$AE, $B14))/$A14*100</f>
        <v>100</v>
      </c>
      <c r="N14" s="31">
        <f>(COUNTIFS(集計用!$G:$G,"*, "&amp;N$3&amp;",*", 集計用!$AE:$AE, $B14))/$A14*100</f>
        <v>0</v>
      </c>
      <c r="O14" s="31">
        <f>(COUNTIFS(集計用!$G:$G,"*, "&amp;O$3&amp;",*", 集計用!$AE:$AE, $B14))/$A14*100</f>
        <v>0</v>
      </c>
      <c r="P14" s="31">
        <f>(COUNTIFS(集計用!$G:$G,"*, "&amp;P$3&amp;",*", 集計用!$AE:$AE, $B14))/$A14*100</f>
        <v>0</v>
      </c>
      <c r="Q14" s="31">
        <f>(COUNTIFS(集計用!$G:$G,"*, "&amp;Q$3&amp;",*", 集計用!$AE:$AE, $B14))/$A14*100</f>
        <v>0</v>
      </c>
      <c r="R14" s="31">
        <f>(COUNTIFS(集計用!$G:$G,"*, "&amp;R$3&amp;",*", 集計用!$AE:$AE, $B14))/$A14*100</f>
        <v>0</v>
      </c>
      <c r="S14" s="31">
        <f>(COUNTIFS(集計用!$G:$G,"*, "&amp;S$3&amp;",*", 集計用!$AE:$AE, $B14))/$A14*100</f>
        <v>0</v>
      </c>
      <c r="T14" s="31">
        <f>(COUNTIFS(集計用!$G:$G,"*, "&amp;T$3&amp;",*", 集計用!$AE:$AE, $B14))/$A14*100</f>
        <v>0</v>
      </c>
      <c r="U14" s="31">
        <f>(COUNTIFS(集計用!$G:$G,"*, "&amp;U$3&amp;",*", 集計用!$AE:$AE, $B14))/$A14*100</f>
        <v>0</v>
      </c>
      <c r="V14" s="31">
        <f>(COUNTIFS(集計用!$G:$G,"*, "&amp;V$3&amp;",*", 集計用!$AE:$AE, $B14))/$A14*100</f>
        <v>0</v>
      </c>
      <c r="W14" s="31">
        <f>(COUNTIFS(集計用!$G:$G,"*, "&amp;W$3&amp;",*", 集計用!$AE:$AE, $B14))/$A14*100</f>
        <v>0</v>
      </c>
      <c r="X14" s="31">
        <f>(COUNTIFS(集計用!$G:$G,"*, "&amp;X$3&amp;",*", 集計用!$AE:$AE, $B14))/$A14*100</f>
        <v>0</v>
      </c>
      <c r="Y14" s="31">
        <f>(COUNTIFS(集計用!$G:$G,"*, "&amp;Y$3&amp;",*", 集計用!$AE:$AE, $B14))/$A14*100</f>
        <v>0</v>
      </c>
      <c r="Z14" s="31">
        <f>(COUNTIFS(集計用!$G:$G,"*, "&amp;Z$3&amp;",*", 集計用!$AE:$AE, $B14))/$A14*100</f>
        <v>0</v>
      </c>
      <c r="AA14" s="31">
        <f>(COUNTIFS(集計用!$G:$G,"*, "&amp;AA$3&amp;",*", 集計用!$AE:$AE, $B14))/$A14*100</f>
        <v>0</v>
      </c>
      <c r="AB14" s="31">
        <f>(COUNTIFS(集計用!$G:$G,"*, "&amp;AB$3&amp;",*", 集計用!$AE:$AE, $B14))/$A14*100</f>
        <v>0</v>
      </c>
      <c r="AC14" s="31">
        <f>(COUNTIFS(集計用!$G:$G,"*, "&amp;AC$3&amp;",*", 集計用!$AE:$AE, $B14))/$A14*100</f>
        <v>0</v>
      </c>
      <c r="AD14" s="31">
        <f>(COUNTIFS(集計用!$G:$G,"*, "&amp;AD$3&amp;",*", 集計用!$AE:$AE, $B14))/$A14*100</f>
        <v>0</v>
      </c>
      <c r="AE14" s="31">
        <f>(COUNTIFS(集計用!$G:$G,"*, "&amp;AE$3&amp;",*", 集計用!$AE:$AE, $B14))/$A14*100</f>
        <v>0</v>
      </c>
      <c r="AF14" s="31">
        <f>(COUNTIFS(集計用!$G:$G,"*, "&amp;AF$3&amp;",*", 集計用!$AE:$AE, $B14))/$A14*100</f>
        <v>0</v>
      </c>
      <c r="AG14" s="31">
        <f>(COUNTIFS(集計用!$G:$G,"*, "&amp;AG$3&amp;",*", 集計用!$AE:$AE, $B14))/$A14*100</f>
        <v>0</v>
      </c>
      <c r="AH14" s="31">
        <f>(COUNTIFS(集計用!$G:$G,"*, "&amp;AH$3&amp;",*", 集計用!$AE:$AE, $B14))/$A14*100</f>
        <v>0</v>
      </c>
      <c r="AI14" s="31">
        <f>(COUNTIFS(集計用!$G:$G,"*, "&amp;AI$3&amp;",*", 集計用!$AE:$AE, $B14))/$A14*100</f>
        <v>0</v>
      </c>
      <c r="AJ14" s="31">
        <f>(COUNTIFS(集計用!$G:$G,"*, "&amp;AJ$3&amp;",*", 集計用!$AE:$AE, $B14))/$A14*100</f>
        <v>0</v>
      </c>
      <c r="AK14" s="31">
        <f>(COUNTIFS(集計用!$G:$G,"*, "&amp;AK$3&amp;",*", 集計用!$AE:$AE, $B14))/$A14*100</f>
        <v>0</v>
      </c>
      <c r="AL14" s="31">
        <f>(COUNTIFS(集計用!$G:$G,"*, "&amp;AL$3&amp;",*", 集計用!$AE:$AE, $B14))/$A14*100</f>
        <v>0</v>
      </c>
      <c r="AM14" s="31">
        <f>(COUNTIFS(集計用!$G:$G,"*, "&amp;AM$3&amp;",*", 集計用!$AE:$AE, $B14))/$A14*100</f>
        <v>0</v>
      </c>
      <c r="AN14" s="31">
        <f>(COUNTIFS(集計用!$G:$G,"*, "&amp;AN$3&amp;",*", 集計用!$AE:$AE, $B14))/$A14*100</f>
        <v>0</v>
      </c>
      <c r="AO14" s="31">
        <f>(COUNTIFS(集計用!$G:$G,"*, "&amp;AO$3&amp;",*", 集計用!$AE:$AE, $B14))/$A14*100</f>
        <v>0</v>
      </c>
      <c r="AP14" s="31">
        <f>(COUNTIFS(集計用!$G:$G,"*, "&amp;AP$3&amp;",*", 集計用!$AE:$AE, $B14))/$A14*100</f>
        <v>0</v>
      </c>
      <c r="AQ14" s="31">
        <f>(COUNTIFS(集計用!$G:$G,"*, "&amp;AQ$3&amp;",*", 集計用!$AE:$AE, $B14))/$A14*100</f>
        <v>0</v>
      </c>
      <c r="AR14" s="31">
        <f>(COUNTIFS(集計用!$G:$G,"*, "&amp;AR$3&amp;",*", 集計用!$AE:$AE, $B14))/$A14*100</f>
        <v>0</v>
      </c>
      <c r="AS14" s="31">
        <f>(COUNTIFS(集計用!$G:$G,"*, "&amp;AS$3&amp;",*", 集計用!$AE:$AE, $B14))/$A14*100</f>
        <v>0</v>
      </c>
      <c r="AT14" s="31">
        <f>(COUNTIFS(集計用!$G:$G,"*, "&amp;AT$3&amp;",*", 集計用!$AE:$AE, $B14))/$A14*100</f>
        <v>0</v>
      </c>
      <c r="AU14" s="31">
        <f>(COUNTIFS(集計用!$G:$G,"*, "&amp;AU$3&amp;",*", 集計用!$AE:$AE, $B14))/$A14*100</f>
        <v>0</v>
      </c>
      <c r="AV14" s="31">
        <f>(COUNTIFS(集計用!$G:$G,"*, "&amp;AV$3&amp;",*", 集計用!$AE:$AE, $B14))/$A14*100</f>
        <v>0</v>
      </c>
      <c r="AW14" s="31">
        <f>(COUNTIFS(集計用!$G:$G,"*, "&amp;AW$3&amp;",*", 集計用!$AE:$AE, $B14))/$A14*100</f>
        <v>0</v>
      </c>
      <c r="AX14" s="31">
        <f>(COUNTIFS(集計用!$G:$G,"*, "&amp;AX$3&amp;",*", 集計用!$AE:$AE, $B14))/$A14*100</f>
        <v>0</v>
      </c>
      <c r="AY14" s="31">
        <f>(COUNTIFS(集計用!$G:$G,"*, "&amp;AY$3&amp;",*", 集計用!$AE:$AE, $B14))/$A14*100</f>
        <v>0</v>
      </c>
      <c r="AZ14" s="31">
        <f>(COUNTIFS(集計用!$G:$G,"*, "&amp;AZ$3&amp;",*", 集計用!$AE:$AE, $B14))/$A14*100</f>
        <v>0</v>
      </c>
      <c r="BA14" s="31">
        <f>(COUNTIFS(集計用!$G:$G,"*, "&amp;BA$3&amp;",*", 集計用!$AE:$AE, $B14))/$A14*100</f>
        <v>0</v>
      </c>
      <c r="BB14" s="31">
        <f>(COUNTIFS(集計用!$G:$G,"*, "&amp;BB$3&amp;",*", 集計用!$AE:$AE, $B14))/$A14*100</f>
        <v>0</v>
      </c>
      <c r="BC14" s="31">
        <f>(COUNTIFS(集計用!$G:$G,"*, "&amp;BC$3&amp;",*", 集計用!$AE:$AE, $B14))/$A14*100</f>
        <v>0</v>
      </c>
      <c r="BD14" s="31">
        <f>(COUNTIFS(集計用!$G:$G,"*, "&amp;BD$3&amp;",*", 集計用!$AE:$AE, $B14))/$A14*100</f>
        <v>0</v>
      </c>
      <c r="BE14" s="31">
        <f>(COUNTIFS(集計用!$G:$G,"*, "&amp;BE$3&amp;",*", 集計用!$AE:$AE, $B14))/$A14*100</f>
        <v>0</v>
      </c>
      <c r="BF14" s="31">
        <f>(COUNTIFS(集計用!$G:$G,"*, "&amp;BF$3&amp;",*", 集計用!$AE:$AE, $B14))/$A14*100</f>
        <v>0</v>
      </c>
      <c r="BG14" s="31">
        <f>(COUNTIFS(集計用!$G:$G,"*, "&amp;BG$3&amp;",*", 集計用!$AE:$AE, $B14))/$A14*100</f>
        <v>0</v>
      </c>
      <c r="BH14" s="31">
        <f>(COUNTIFS(集計用!$G:$G,"*, "&amp;BH$3&amp;",*", 集計用!$AE:$AE, $B14))/$A14*100</f>
        <v>0</v>
      </c>
    </row>
  </sheetData>
  <phoneticPr fontId="8"/>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13D40-DF57-4BB9-926B-19C7CB42057B}">
  <sheetPr>
    <outlinePr summaryBelow="0" summaryRight="0"/>
  </sheetPr>
  <dimension ref="A1:P67"/>
  <sheetViews>
    <sheetView zoomScaleNormal="100" workbookViewId="0">
      <selection activeCell="E5" sqref="E5"/>
    </sheetView>
  </sheetViews>
  <sheetFormatPr defaultColWidth="12.5703125" defaultRowHeight="15.75" customHeight="1"/>
  <cols>
    <col min="1" max="2" width="12.5703125" style="20"/>
    <col min="3" max="4" width="26.7109375" style="20" customWidth="1"/>
    <col min="5" max="5" width="23.5703125" style="20" customWidth="1"/>
    <col min="6" max="10" width="13.7109375" style="20" bestFit="1" customWidth="1"/>
    <col min="11" max="11" width="12.5703125" style="20"/>
    <col min="12" max="14" width="13.7109375" style="20" bestFit="1" customWidth="1"/>
    <col min="15" max="16384" width="12.5703125" style="20"/>
  </cols>
  <sheetData>
    <row r="1" spans="1:16" ht="15.75" customHeight="1">
      <c r="A1" s="30" t="s">
        <v>2255</v>
      </c>
    </row>
    <row r="2" spans="1:16" ht="13.5" customHeight="1"/>
    <row r="3" spans="1:16" ht="12.75">
      <c r="A3" s="52" t="s">
        <v>2178</v>
      </c>
      <c r="B3" s="52" t="s">
        <v>2179</v>
      </c>
      <c r="C3" s="52" t="s">
        <v>2182</v>
      </c>
      <c r="D3" s="96" t="s">
        <v>2434</v>
      </c>
      <c r="E3" s="53" t="s">
        <v>2181</v>
      </c>
      <c r="F3" s="53" t="s">
        <v>2166</v>
      </c>
      <c r="G3" s="53" t="s">
        <v>2167</v>
      </c>
      <c r="H3" s="53" t="s">
        <v>2168</v>
      </c>
      <c r="I3" s="53" t="s">
        <v>2169</v>
      </c>
      <c r="J3" s="53" t="s">
        <v>2170</v>
      </c>
      <c r="K3" s="53" t="s">
        <v>2171</v>
      </c>
      <c r="L3" s="53" t="s">
        <v>2172</v>
      </c>
      <c r="M3" s="53" t="s">
        <v>2173</v>
      </c>
      <c r="N3" s="53" t="s">
        <v>2174</v>
      </c>
      <c r="O3" s="21"/>
      <c r="P3" s="22"/>
    </row>
    <row r="4" spans="1:16" ht="16.5">
      <c r="A4" s="20">
        <v>0</v>
      </c>
      <c r="B4" s="20">
        <f>(COUNTA(集計用!$G:$G)-1)</f>
        <v>443</v>
      </c>
      <c r="C4" s="33" t="s">
        <v>2243</v>
      </c>
      <c r="D4" s="97">
        <f>テーブル2[[#This Row],[n=]]/443*100</f>
        <v>100</v>
      </c>
      <c r="E4" s="26">
        <f>(COUNTIFS(集計用!$AE:$AE,"11-15")+COUNTIFS(集計用!$AE:$AE,"16-20"))/テーブル2[[#This Row],[n=]]*100</f>
        <v>11.060948081264108</v>
      </c>
      <c r="F4" s="24">
        <f>(COUNTIF(集計用!$AE:$AE,テーブル2[[#Headers],[21-25]]))/テーブル2[[#This Row],[n=]]*100</f>
        <v>26.185101580135438</v>
      </c>
      <c r="G4" s="24">
        <f>(COUNTIF(集計用!$AE:$AE,テーブル2[[#Headers],[26-30]]))/テーブル2[[#This Row],[n=]]*100</f>
        <v>19.864559819413092</v>
      </c>
      <c r="H4" s="24">
        <f>(COUNTIF(集計用!$AE:$AE,テーブル2[[#Headers],[31-35]]))/テーブル2[[#This Row],[n=]]*100</f>
        <v>17.381489841986454</v>
      </c>
      <c r="I4" s="24">
        <f>(COUNTIF(集計用!$AE:$AE,テーブル2[[#Headers],[36-40]]))/テーブル2[[#This Row],[n=]]*100</f>
        <v>7.6749435665914216</v>
      </c>
      <c r="J4" s="24">
        <f>(COUNTIF(集計用!$AE:$AE,テーブル2[[#Headers],[41-45]]))/テーブル2[[#This Row],[n=]]*100</f>
        <v>6.9977426636568847</v>
      </c>
      <c r="K4" s="24">
        <f>(COUNTIF(集計用!$AE:$AE,テーブル2[[#Headers],[46-50]]))/テーブル2[[#This Row],[n=]]*100</f>
        <v>5.4176072234762982</v>
      </c>
      <c r="L4" s="24">
        <f>(COUNTIF(集計用!$AE:$AE,テーブル2[[#Headers],[51-55]]))/テーブル2[[#This Row],[n=]]*100</f>
        <v>2.4830699774266365</v>
      </c>
      <c r="M4" s="24">
        <f>((COUNTIF(集計用!$AE:$AE,"56-60"))+(COUNTIF(集計用!$AE:$AE,"61-65")))/テーブル2[[#This Row],[n=]]*100</f>
        <v>2.7088036117381491</v>
      </c>
      <c r="N4" s="24">
        <f>(COUNTIF(集計用!$AE:$AE,"無回答"))/テーブル2[[#This Row],[n=]]*100</f>
        <v>0.22573363431151239</v>
      </c>
      <c r="O4" s="21"/>
      <c r="P4" s="22"/>
    </row>
    <row r="5" spans="1:16" ht="15.75" customHeight="1">
      <c r="A5" s="20">
        <v>1</v>
      </c>
      <c r="B5" s="20">
        <f>(COUNTIFS(集計用!$G:$G,"*, "&amp;$C5&amp;",*"))</f>
        <v>256</v>
      </c>
      <c r="C5" s="34" t="s">
        <v>0</v>
      </c>
      <c r="D5" s="98">
        <f>テーブル2[[#This Row],[n=]]/443*100</f>
        <v>57.787810383747171</v>
      </c>
      <c r="E5" s="24">
        <f>(COUNTIFS(集計用!$G:$G, "*, "&amp;$C5&amp;", *",集計用!$AE:$AE,"11-15")+COUNTIFS(集計用!$G:$G, "*, "&amp;$C5&amp;", *",集計用!$AE:$AE,"16-20"))/テーブル2[[#This Row],[n=]]*100</f>
        <v>11.328125</v>
      </c>
      <c r="F5" s="24">
        <f>(COUNTIFS(集計用!$G:$G, "*, "&amp;$C5&amp;", *",集計用!$AE:$AE,"21-25"))/テーブル2[[#This Row],[n=]]*100</f>
        <v>28.515625</v>
      </c>
      <c r="G5" s="24">
        <f>COUNTIFS(集計用!$G:$G, "*, "&amp;$C5&amp;", *",集計用!$AE:$AE,"26-30")/テーブル2[[#This Row],[n=]]*100</f>
        <v>21.875</v>
      </c>
      <c r="H5" s="24">
        <f>(COUNTIFS(集計用!$G:$G, "*, "&amp;$C5&amp;", *",集計用!$AE:$AE,"31-35"))/テーブル2[[#This Row],[n=]]*100</f>
        <v>16.796875</v>
      </c>
      <c r="I5" s="24">
        <f>(COUNTIFS(集計用!$G:$G, "*, "&amp;$C5&amp;", *",集計用!$AE:$AE,"36-40"))/テーブル2[[#This Row],[n=]]*100</f>
        <v>7.421875</v>
      </c>
      <c r="J5" s="24">
        <f>(COUNTIFS(集計用!$G:$G, "*, "&amp;$C5&amp;", *",集計用!$AE:$AE,"41-45"))/テーブル2[[#This Row],[n=]]*100</f>
        <v>6.25</v>
      </c>
      <c r="K5" s="24">
        <f>(COUNTIFS(集計用!$G:$G, "*, "&amp;$C5&amp;", *",集計用!$AE:$AE,"46-50"))/テーブル2[[#This Row],[n=]]*100</f>
        <v>2.734375</v>
      </c>
      <c r="L5" s="24">
        <f>(COUNTIFS(集計用!$G:$G, "*, "&amp;$C5&amp;", *",集計用!$AE:$AE,"51-55")+COUNTIFS(集計用!$G:$G, "*, "&amp;$C5&amp;", *",集計用!$AE:$AE,"56-60")+COUNTIFS(集計用!$G:$G, "*, "&amp;$C5&amp;", *",集計用!$AE:$AE,"61-65"))/テーブル2[[#This Row],[n=]]*100</f>
        <v>5.078125</v>
      </c>
      <c r="M5" s="24">
        <f>(COUNTIFS(集計用!$G:$G, "*, "&amp;$C5&amp;", *",集計用!$AE:$AE,"56-60")+COUNTIFS(集計用!$G:$G, "*, "&amp;$C5&amp;", *",集計用!$AE:$AE,"61-65"))/テーブル2[[#This Row],[n=]]*100</f>
        <v>2.734375</v>
      </c>
      <c r="N5" s="24">
        <f>COUNTIFS(集計用!$G:$G,"*, "&amp;$C5&amp;", *",集計用!$AE:$AE,"無回答")/テーブル2[[#This Row],[n=]]*100</f>
        <v>0</v>
      </c>
      <c r="P5" s="25"/>
    </row>
    <row r="6" spans="1:16" ht="15.75" customHeight="1">
      <c r="A6" s="20">
        <v>1</v>
      </c>
      <c r="B6" s="20">
        <f>(COUNTIFS(集計用!$G:$G,"*, "&amp;$C6&amp;",*"))</f>
        <v>144</v>
      </c>
      <c r="C6" s="34" t="s">
        <v>1</v>
      </c>
      <c r="D6" s="98">
        <f>テーブル2[[#This Row],[n=]]/443*100</f>
        <v>32.505643340857787</v>
      </c>
      <c r="E6" s="24">
        <f>(COUNTIFS(集計用!$G:$G, "*, "&amp;$C6&amp;", *",集計用!$AE:$AE,"11-15")+COUNTIFS(集計用!$G:$G, "*, "&amp;$C6&amp;", *",集計用!$AE:$AE,"16-20"))/テーブル2[[#This Row],[n=]]*100</f>
        <v>9.7222222222222232</v>
      </c>
      <c r="F6" s="24">
        <f>(COUNTIFS(集計用!$G:$G, "*, "&amp;$C6&amp;", *",集計用!$AE:$AE,"21-25"))/テーブル2[[#This Row],[n=]]*100</f>
        <v>36.111111111111107</v>
      </c>
      <c r="G6" s="24">
        <f>COUNTIFS(集計用!$G:$G, "*, "&amp;$C6&amp;", *",集計用!$AE:$AE,"26-30")/テーブル2[[#This Row],[n=]]*100</f>
        <v>20.833333333333336</v>
      </c>
      <c r="H6" s="24">
        <f>(COUNTIFS(集計用!$G:$G, "*, "&amp;$C6&amp;", *",集計用!$AE:$AE,"31-35"))/テーブル2[[#This Row],[n=]]*100</f>
        <v>14.583333333333334</v>
      </c>
      <c r="I6" s="24">
        <f>(COUNTIFS(集計用!$G:$G, "*, "&amp;$C6&amp;", *",集計用!$AE:$AE,"36-40"))/テーブル2[[#This Row],[n=]]*100</f>
        <v>4.1666666666666661</v>
      </c>
      <c r="J6" s="24">
        <f>(COUNTIFS(集計用!$G:$G, "*, "&amp;$C6&amp;", *",集計用!$AE:$AE,"41-45"))/テーブル2[[#This Row],[n=]]*100</f>
        <v>5.5555555555555554</v>
      </c>
      <c r="K6" s="24">
        <f>(COUNTIFS(集計用!$G:$G, "*, "&amp;$C6&amp;", *",集計用!$AE:$AE,"46-50"))/テーブル2[[#This Row],[n=]]*100</f>
        <v>4.1666666666666661</v>
      </c>
      <c r="L6" s="24">
        <f>(COUNTIFS(集計用!$G:$G, "*, "&amp;$C6&amp;", *",集計用!$AE:$AE,"51-55")+COUNTIFS(集計用!$G:$G, "*, "&amp;$C6&amp;", *",集計用!$AE:$AE,"56-60")+COUNTIFS(集計用!$G:$G, "*, "&amp;$C6&amp;", *",集計用!$AE:$AE,"61-65"))/テーブル2[[#This Row],[n=]]*100</f>
        <v>4.8611111111111116</v>
      </c>
      <c r="M6" s="24">
        <f>(COUNTIFS(集計用!$G:$G, "*, "&amp;$C6&amp;", *",集計用!$AE:$AE,"56-60")+COUNTIFS(集計用!$G:$G, "*, "&amp;$C6&amp;", *",集計用!$AE:$AE,"61-65"))/テーブル2[[#This Row],[n=]]*100</f>
        <v>4.1666666666666661</v>
      </c>
      <c r="N6" s="24">
        <f>COUNTIFS(集計用!$G:$G,"*, "&amp;$C6&amp;", *",集計用!$AE:$AE,"無回答")/テーブル2[[#This Row],[n=]]*100</f>
        <v>0</v>
      </c>
      <c r="P6" s="25"/>
    </row>
    <row r="7" spans="1:16" ht="15.75" customHeight="1">
      <c r="A7" s="20">
        <v>2</v>
      </c>
      <c r="B7" s="20">
        <f>(COUNTIFS(集計用!$G:$G,"*, "&amp;$C7&amp;",*"))</f>
        <v>121</v>
      </c>
      <c r="C7" s="34" t="s">
        <v>2</v>
      </c>
      <c r="D7" s="98">
        <f>テーブル2[[#This Row],[n=]]/443*100</f>
        <v>27.313769751693002</v>
      </c>
      <c r="E7" s="24">
        <f>(COUNTIFS(集計用!$G:$G, "*, "&amp;$C7&amp;", *",集計用!$AE:$AE,"11-15")+COUNTIFS(集計用!$G:$G, "*, "&amp;$C7&amp;", *",集計用!$AE:$AE,"16-20"))/テーブル2[[#This Row],[n=]]*100</f>
        <v>9.0909090909090917</v>
      </c>
      <c r="F7" s="24">
        <f>(COUNTIFS(集計用!$G:$G, "*, "&amp;$C7&amp;", *",集計用!$AE:$AE,"21-25"))/テーブル2[[#This Row],[n=]]*100</f>
        <v>27.27272727272727</v>
      </c>
      <c r="G7" s="24">
        <f>COUNTIFS(集計用!$G:$G, "*, "&amp;$C7&amp;", *",集計用!$AE:$AE,"26-30")/テーブル2[[#This Row],[n=]]*100</f>
        <v>18.181818181818183</v>
      </c>
      <c r="H7" s="24">
        <f>(COUNTIFS(集計用!$G:$G, "*, "&amp;$C7&amp;", *",集計用!$AE:$AE,"31-35"))/テーブル2[[#This Row],[n=]]*100</f>
        <v>18.181818181818183</v>
      </c>
      <c r="I7" s="24">
        <f>(COUNTIFS(集計用!$G:$G, "*, "&amp;$C7&amp;", *",集計用!$AE:$AE,"36-40"))/テーブル2[[#This Row],[n=]]*100</f>
        <v>7.4380165289256199</v>
      </c>
      <c r="J7" s="24">
        <f>(COUNTIFS(集計用!$G:$G, "*, "&amp;$C7&amp;", *",集計用!$AE:$AE,"41-45"))/テーブル2[[#This Row],[n=]]*100</f>
        <v>9.9173553719008272</v>
      </c>
      <c r="K7" s="24">
        <f>(COUNTIFS(集計用!$G:$G, "*, "&amp;$C7&amp;", *",集計用!$AE:$AE,"46-50"))/テーブル2[[#This Row],[n=]]*100</f>
        <v>4.1322314049586781</v>
      </c>
      <c r="L7" s="24">
        <f>(COUNTIFS(集計用!$G:$G, "*, "&amp;$C7&amp;", *",集計用!$AE:$AE,"51-55")+COUNTIFS(集計用!$G:$G, "*, "&amp;$C7&amp;", *",集計用!$AE:$AE,"56-60")+COUNTIFS(集計用!$G:$G, "*, "&amp;$C7&amp;", *",集計用!$AE:$AE,"61-65"))/テーブル2[[#This Row],[n=]]*100</f>
        <v>5.785123966942149</v>
      </c>
      <c r="M7" s="24">
        <f>(COUNTIFS(集計用!$G:$G, "*, "&amp;$C7&amp;", *",集計用!$AE:$AE,"56-60")+COUNTIFS(集計用!$G:$G, "*, "&amp;$C7&amp;", *",集計用!$AE:$AE,"61-65"))/テーブル2[[#This Row],[n=]]*100</f>
        <v>3.3057851239669422</v>
      </c>
      <c r="N7" s="24">
        <f>COUNTIFS(集計用!$G:$G,"*, "&amp;$C7&amp;", *",集計用!$AE:$AE,"無回答")/テーブル2[[#This Row],[n=]]*100</f>
        <v>0</v>
      </c>
      <c r="P7" s="25"/>
    </row>
    <row r="8" spans="1:16" ht="15.75" customHeight="1">
      <c r="A8" s="20">
        <v>1</v>
      </c>
      <c r="B8" s="20">
        <f>(COUNTIFS(集計用!$G:$G,"*, "&amp;$C8&amp;",*"))</f>
        <v>86</v>
      </c>
      <c r="C8" s="34" t="s">
        <v>3</v>
      </c>
      <c r="D8" s="98">
        <f>テーブル2[[#This Row],[n=]]/443*100</f>
        <v>19.413092550790068</v>
      </c>
      <c r="E8" s="24">
        <f>(COUNTIFS(集計用!$G:$G, "*, "&amp;$C8&amp;", *",集計用!$AE:$AE,"11-15")+COUNTIFS(集計用!$G:$G, "*, "&amp;$C8&amp;", *",集計用!$AE:$AE,"16-20"))/テーブル2[[#This Row],[n=]]*100</f>
        <v>11.627906976744185</v>
      </c>
      <c r="F8" s="24">
        <f>(COUNTIFS(集計用!$G:$G, "*, "&amp;$C8&amp;", *",集計用!$AE:$AE,"21-25"))/テーブル2[[#This Row],[n=]]*100</f>
        <v>33.720930232558139</v>
      </c>
      <c r="G8" s="24">
        <f>COUNTIFS(集計用!$G:$G, "*, "&amp;$C8&amp;", *",集計用!$AE:$AE,"26-30")/テーブル2[[#This Row],[n=]]*100</f>
        <v>19.767441860465116</v>
      </c>
      <c r="H8" s="24">
        <f>(COUNTIFS(集計用!$G:$G, "*, "&amp;$C8&amp;", *",集計用!$AE:$AE,"31-35"))/テーブル2[[#This Row],[n=]]*100</f>
        <v>17.441860465116278</v>
      </c>
      <c r="I8" s="24">
        <f>(COUNTIFS(集計用!$G:$G, "*, "&amp;$C8&amp;", *",集計用!$AE:$AE,"36-40"))/テーブル2[[#This Row],[n=]]*100</f>
        <v>3.4883720930232558</v>
      </c>
      <c r="J8" s="24">
        <f>(COUNTIFS(集計用!$G:$G, "*, "&amp;$C8&amp;", *",集計用!$AE:$AE,"41-45"))/テーブル2[[#This Row],[n=]]*100</f>
        <v>4.6511627906976747</v>
      </c>
      <c r="K8" s="24">
        <f>(COUNTIFS(集計用!$G:$G, "*, "&amp;$C8&amp;", *",集計用!$AE:$AE,"46-50"))/テーブル2[[#This Row],[n=]]*100</f>
        <v>0</v>
      </c>
      <c r="L8" s="24">
        <f>(COUNTIFS(集計用!$G:$G, "*, "&amp;$C8&amp;", *",集計用!$AE:$AE,"51-55")+COUNTIFS(集計用!$G:$G, "*, "&amp;$C8&amp;", *",集計用!$AE:$AE,"56-60")+COUNTIFS(集計用!$G:$G, "*, "&amp;$C8&amp;", *",集計用!$AE:$AE,"61-65"))/テーブル2[[#This Row],[n=]]*100</f>
        <v>9.3023255813953494</v>
      </c>
      <c r="M8" s="24">
        <f>(COUNTIFS(集計用!$G:$G, "*, "&amp;$C8&amp;", *",集計用!$AE:$AE,"56-60")+COUNTIFS(集計用!$G:$G, "*, "&amp;$C8&amp;", *",集計用!$AE:$AE,"61-65"))/テーブル2[[#This Row],[n=]]*100</f>
        <v>4.6511627906976747</v>
      </c>
      <c r="N8" s="24">
        <f>COUNTIFS(集計用!$G:$G,"*, "&amp;$C8&amp;", *",集計用!$AE:$AE,"無回答")/テーブル2[[#This Row],[n=]]*100</f>
        <v>0</v>
      </c>
      <c r="P8" s="25"/>
    </row>
    <row r="9" spans="1:16" ht="15.75" customHeight="1">
      <c r="A9" s="20">
        <v>3</v>
      </c>
      <c r="B9" s="20">
        <f>(COUNTIFS(集計用!$G:$G,"*, "&amp;$C9&amp;",*"))</f>
        <v>86</v>
      </c>
      <c r="C9" s="34" t="s">
        <v>4</v>
      </c>
      <c r="D9" s="98">
        <f>テーブル2[[#This Row],[n=]]/443*100</f>
        <v>19.413092550790068</v>
      </c>
      <c r="E9" s="24">
        <f>(COUNTIFS(集計用!$G:$G, "*, "&amp;$C9&amp;", *",集計用!$AE:$AE,"11-15")+COUNTIFS(集計用!$G:$G, "*, "&amp;$C9&amp;", *",集計用!$AE:$AE,"16-20"))/テーブル2[[#This Row],[n=]]*100</f>
        <v>9.3023255813953494</v>
      </c>
      <c r="F9" s="24">
        <f>(COUNTIFS(集計用!$G:$G, "*, "&amp;$C9&amp;", *",集計用!$AE:$AE,"21-25"))/テーブル2[[#This Row],[n=]]*100</f>
        <v>24.418604651162788</v>
      </c>
      <c r="G9" s="24">
        <f>COUNTIFS(集計用!$G:$G, "*, "&amp;$C9&amp;", *",集計用!$AE:$AE,"26-30")/テーブル2[[#This Row],[n=]]*100</f>
        <v>23.255813953488371</v>
      </c>
      <c r="H9" s="24">
        <f>(COUNTIFS(集計用!$G:$G, "*, "&amp;$C9&amp;", *",集計用!$AE:$AE,"31-35"))/テーブル2[[#This Row],[n=]]*100</f>
        <v>17.441860465116278</v>
      </c>
      <c r="I9" s="24">
        <f>(COUNTIFS(集計用!$G:$G, "*, "&amp;$C9&amp;", *",集計用!$AE:$AE,"36-40"))/テーブル2[[#This Row],[n=]]*100</f>
        <v>11.627906976744185</v>
      </c>
      <c r="J9" s="24">
        <f>(COUNTIFS(集計用!$G:$G, "*, "&amp;$C9&amp;", *",集計用!$AE:$AE,"41-45"))/テーブル2[[#This Row],[n=]]*100</f>
        <v>3.4883720930232558</v>
      </c>
      <c r="K9" s="24">
        <f>(COUNTIFS(集計用!$G:$G, "*, "&amp;$C9&amp;", *",集計用!$AE:$AE,"46-50"))/テーブル2[[#This Row],[n=]]*100</f>
        <v>5.8139534883720927</v>
      </c>
      <c r="L9" s="24">
        <f>(COUNTIFS(集計用!$G:$G, "*, "&amp;$C9&amp;", *",集計用!$AE:$AE,"51-55")+COUNTIFS(集計用!$G:$G, "*, "&amp;$C9&amp;", *",集計用!$AE:$AE,"56-60")+COUNTIFS(集計用!$G:$G, "*, "&amp;$C9&amp;", *",集計用!$AE:$AE,"61-65"))/テーブル2[[#This Row],[n=]]*100</f>
        <v>4.6511627906976747</v>
      </c>
      <c r="M9" s="24">
        <f>(COUNTIFS(集計用!$G:$G, "*, "&amp;$C9&amp;", *",集計用!$AE:$AE,"56-60")+COUNTIFS(集計用!$G:$G, "*, "&amp;$C9&amp;", *",集計用!$AE:$AE,"61-65"))/テーブル2[[#This Row],[n=]]*100</f>
        <v>2.3255813953488373</v>
      </c>
      <c r="N9" s="24">
        <f>COUNTIFS(集計用!$G:$G,"*, "&amp;$C9&amp;", *",集計用!$AE:$AE,"無回答")/テーブル2[[#This Row],[n=]]*100</f>
        <v>0</v>
      </c>
      <c r="P9" s="25"/>
    </row>
    <row r="10" spans="1:16" ht="15.75" customHeight="1">
      <c r="A10" s="20">
        <v>4</v>
      </c>
      <c r="B10" s="20">
        <f>(COUNTIFS(集計用!$G:$G,"*, "&amp;$C10&amp;",*"))</f>
        <v>75</v>
      </c>
      <c r="C10" s="34" t="s">
        <v>5</v>
      </c>
      <c r="D10" s="98">
        <f>テーブル2[[#This Row],[n=]]/443*100</f>
        <v>16.930022573363431</v>
      </c>
      <c r="E10" s="24">
        <f>(COUNTIFS(集計用!$G:$G, "*, "&amp;$C10&amp;", *",集計用!$AE:$AE,"11-15")+COUNTIFS(集計用!$G:$G, "*, "&amp;$C10&amp;", *",集計用!$AE:$AE,"16-20"))/テーブル2[[#This Row],[n=]]*100</f>
        <v>8</v>
      </c>
      <c r="F10" s="24">
        <f>(COUNTIFS(集計用!$G:$G, "*, "&amp;$C10&amp;", *",集計用!$AE:$AE,"21-25"))/テーブル2[[#This Row],[n=]]*100</f>
        <v>36</v>
      </c>
      <c r="G10" s="24">
        <f>COUNTIFS(集計用!$G:$G, "*, "&amp;$C10&amp;", *",集計用!$AE:$AE,"26-30")/テーブル2[[#This Row],[n=]]*100</f>
        <v>22.666666666666664</v>
      </c>
      <c r="H10" s="24">
        <f>(COUNTIFS(集計用!$G:$G, "*, "&amp;$C10&amp;", *",集計用!$AE:$AE,"31-35"))/テーブル2[[#This Row],[n=]]*100</f>
        <v>21.333333333333336</v>
      </c>
      <c r="I10" s="24">
        <f>(COUNTIFS(集計用!$G:$G, "*, "&amp;$C10&amp;", *",集計用!$AE:$AE,"36-40"))/テーブル2[[#This Row],[n=]]*100</f>
        <v>2.666666666666667</v>
      </c>
      <c r="J10" s="24">
        <f>(COUNTIFS(集計用!$G:$G, "*, "&amp;$C10&amp;", *",集計用!$AE:$AE,"41-45"))/テーブル2[[#This Row],[n=]]*100</f>
        <v>4</v>
      </c>
      <c r="K10" s="24">
        <f>(COUNTIFS(集計用!$G:$G, "*, "&amp;$C10&amp;", *",集計用!$AE:$AE,"46-50"))/テーブル2[[#This Row],[n=]]*100</f>
        <v>2.666666666666667</v>
      </c>
      <c r="L10" s="24">
        <f>(COUNTIFS(集計用!$G:$G, "*, "&amp;$C10&amp;", *",集計用!$AE:$AE,"51-55")+COUNTIFS(集計用!$G:$G, "*, "&amp;$C10&amp;", *",集計用!$AE:$AE,"56-60")+COUNTIFS(集計用!$G:$G, "*, "&amp;$C10&amp;", *",集計用!$AE:$AE,"61-65"))/テーブル2[[#This Row],[n=]]*100</f>
        <v>2.666666666666667</v>
      </c>
      <c r="M10" s="24">
        <f>(COUNTIFS(集計用!$G:$G, "*, "&amp;$C10&amp;", *",集計用!$AE:$AE,"56-60")+COUNTIFS(集計用!$G:$G, "*, "&amp;$C10&amp;", *",集計用!$AE:$AE,"61-65"))/テーブル2[[#This Row],[n=]]*100</f>
        <v>2.666666666666667</v>
      </c>
      <c r="N10" s="24">
        <f>COUNTIFS(集計用!$G:$G,"*, "&amp;$C10&amp;", *",集計用!$AE:$AE,"無回答")/テーブル2[[#This Row],[n=]]*100</f>
        <v>0</v>
      </c>
      <c r="P10" s="25"/>
    </row>
    <row r="11" spans="1:16" ht="15.75" customHeight="1">
      <c r="A11" s="20">
        <v>1</v>
      </c>
      <c r="B11" s="20">
        <f>(COUNTIFS(集計用!$G:$G,"*, "&amp;$C11&amp;",*"))</f>
        <v>74</v>
      </c>
      <c r="C11" s="34" t="s">
        <v>6</v>
      </c>
      <c r="D11" s="98">
        <f>テーブル2[[#This Row],[n=]]/443*100</f>
        <v>16.704288939051921</v>
      </c>
      <c r="E11" s="24">
        <f>(COUNTIFS(集計用!$G:$G, "*, "&amp;$C11&amp;", *",集計用!$AE:$AE,"11-15")+COUNTIFS(集計用!$G:$G, "*, "&amp;$C11&amp;", *",集計用!$AE:$AE,"16-20"))/テーブル2[[#This Row],[n=]]*100</f>
        <v>6.756756756756757</v>
      </c>
      <c r="F11" s="24">
        <f>(COUNTIFS(集計用!$G:$G, "*, "&amp;$C11&amp;", *",集計用!$AE:$AE,"21-25"))/テーブル2[[#This Row],[n=]]*100</f>
        <v>36.486486486486484</v>
      </c>
      <c r="G11" s="24">
        <f>COUNTIFS(集計用!$G:$G, "*, "&amp;$C11&amp;", *",集計用!$AE:$AE,"26-30")/テーブル2[[#This Row],[n=]]*100</f>
        <v>16.216216216216218</v>
      </c>
      <c r="H11" s="24">
        <f>(COUNTIFS(集計用!$G:$G, "*, "&amp;$C11&amp;", *",集計用!$AE:$AE,"31-35"))/テーブル2[[#This Row],[n=]]*100</f>
        <v>14.864864864864865</v>
      </c>
      <c r="I11" s="24">
        <f>(COUNTIFS(集計用!$G:$G, "*, "&amp;$C11&amp;", *",集計用!$AE:$AE,"36-40"))/テーブル2[[#This Row],[n=]]*100</f>
        <v>6.756756756756757</v>
      </c>
      <c r="J11" s="24">
        <f>(COUNTIFS(集計用!$G:$G, "*, "&amp;$C11&amp;", *",集計用!$AE:$AE,"41-45"))/テーブル2[[#This Row],[n=]]*100</f>
        <v>8.1081081081081088</v>
      </c>
      <c r="K11" s="24">
        <f>(COUNTIFS(集計用!$G:$G, "*, "&amp;$C11&amp;", *",集計用!$AE:$AE,"46-50"))/テーブル2[[#This Row],[n=]]*100</f>
        <v>4.0540540540540544</v>
      </c>
      <c r="L11" s="24">
        <f>(COUNTIFS(集計用!$G:$G, "*, "&amp;$C11&amp;", *",集計用!$AE:$AE,"51-55")+COUNTIFS(集計用!$G:$G, "*, "&amp;$C11&amp;", *",集計用!$AE:$AE,"56-60")+COUNTIFS(集計用!$G:$G, "*, "&amp;$C11&amp;", *",集計用!$AE:$AE,"61-65"))/テーブル2[[#This Row],[n=]]*100</f>
        <v>6.756756756756757</v>
      </c>
      <c r="M11" s="24">
        <f>(COUNTIFS(集計用!$G:$G, "*, "&amp;$C11&amp;", *",集計用!$AE:$AE,"56-60")+COUNTIFS(集計用!$G:$G, "*, "&amp;$C11&amp;", *",集計用!$AE:$AE,"61-65"))/テーブル2[[#This Row],[n=]]*100</f>
        <v>6.756756756756757</v>
      </c>
      <c r="N11" s="24">
        <f>COUNTIFS(集計用!$G:$G,"*, "&amp;$C11&amp;", *",集計用!$AE:$AE,"無回答")/テーブル2[[#This Row],[n=]]*100</f>
        <v>0</v>
      </c>
      <c r="P11" s="25"/>
    </row>
    <row r="12" spans="1:16" ht="15.75" customHeight="1">
      <c r="A12" s="20">
        <v>1</v>
      </c>
      <c r="B12" s="20">
        <f>(COUNTIFS(集計用!$G:$G,"*, "&amp;$C12&amp;",*"))</f>
        <v>71</v>
      </c>
      <c r="C12" s="34" t="s">
        <v>7</v>
      </c>
      <c r="D12" s="98">
        <f>テーブル2[[#This Row],[n=]]/443*100</f>
        <v>16.02708803611738</v>
      </c>
      <c r="E12" s="24">
        <f>(COUNTIFS(集計用!$G:$G, "*, "&amp;$C12&amp;", *",集計用!$AE:$AE,"11-15")+COUNTIFS(集計用!$G:$G, "*, "&amp;$C12&amp;", *",集計用!$AE:$AE,"16-20"))/テーブル2[[#This Row],[n=]]*100</f>
        <v>11.267605633802818</v>
      </c>
      <c r="F12" s="24">
        <f>(COUNTIFS(集計用!$G:$G, "*, "&amp;$C12&amp;", *",集計用!$AE:$AE,"21-25"))/テーブル2[[#This Row],[n=]]*100</f>
        <v>30.985915492957744</v>
      </c>
      <c r="G12" s="24">
        <f>COUNTIFS(集計用!$G:$G, "*, "&amp;$C12&amp;", *",集計用!$AE:$AE,"26-30")/テーブル2[[#This Row],[n=]]*100</f>
        <v>23.943661971830984</v>
      </c>
      <c r="H12" s="24">
        <f>(COUNTIFS(集計用!$G:$G, "*, "&amp;$C12&amp;", *",集計用!$AE:$AE,"31-35"))/テーブル2[[#This Row],[n=]]*100</f>
        <v>19.718309859154928</v>
      </c>
      <c r="I12" s="24">
        <f>(COUNTIFS(集計用!$G:$G, "*, "&amp;$C12&amp;", *",集計用!$AE:$AE,"36-40"))/テーブル2[[#This Row],[n=]]*100</f>
        <v>2.8169014084507045</v>
      </c>
      <c r="J12" s="24">
        <f>(COUNTIFS(集計用!$G:$G, "*, "&amp;$C12&amp;", *",集計用!$AE:$AE,"41-45"))/テーブル2[[#This Row],[n=]]*100</f>
        <v>2.8169014084507045</v>
      </c>
      <c r="K12" s="24">
        <f>(COUNTIFS(集計用!$G:$G, "*, "&amp;$C12&amp;", *",集計用!$AE:$AE,"46-50"))/テーブル2[[#This Row],[n=]]*100</f>
        <v>4.225352112676056</v>
      </c>
      <c r="L12" s="24">
        <f>(COUNTIFS(集計用!$G:$G, "*, "&amp;$C12&amp;", *",集計用!$AE:$AE,"51-55")+COUNTIFS(集計用!$G:$G, "*, "&amp;$C12&amp;", *",集計用!$AE:$AE,"56-60")+COUNTIFS(集計用!$G:$G, "*, "&amp;$C12&amp;", *",集計用!$AE:$AE,"61-65"))/テーブル2[[#This Row],[n=]]*100</f>
        <v>4.225352112676056</v>
      </c>
      <c r="M12" s="24">
        <f>(COUNTIFS(集計用!$G:$G, "*, "&amp;$C12&amp;", *",集計用!$AE:$AE,"56-60")+COUNTIFS(集計用!$G:$G, "*, "&amp;$C12&amp;", *",集計用!$AE:$AE,"61-65"))/テーブル2[[#This Row],[n=]]*100</f>
        <v>1.4084507042253522</v>
      </c>
      <c r="N12" s="24">
        <f>COUNTIFS(集計用!$G:$G,"*, "&amp;$C12&amp;", *",集計用!$AE:$AE,"無回答")/テーブル2[[#This Row],[n=]]*100</f>
        <v>0</v>
      </c>
      <c r="P12" s="25"/>
    </row>
    <row r="13" spans="1:16" ht="15.75" customHeight="1">
      <c r="A13" s="20">
        <v>3</v>
      </c>
      <c r="B13" s="20">
        <f>(COUNTIFS(集計用!$G:$G,"*, "&amp;$C13&amp;",*"))</f>
        <v>71</v>
      </c>
      <c r="C13" s="34" t="s">
        <v>8</v>
      </c>
      <c r="D13" s="98">
        <f>テーブル2[[#This Row],[n=]]/443*100</f>
        <v>16.02708803611738</v>
      </c>
      <c r="E13" s="24">
        <f>(COUNTIFS(集計用!$G:$G, "*, "&amp;$C13&amp;", *",集計用!$AE:$AE,"11-15")+COUNTIFS(集計用!$G:$G, "*, "&amp;$C13&amp;", *",集計用!$AE:$AE,"16-20"))/テーブル2[[#This Row],[n=]]*100</f>
        <v>11.267605633802818</v>
      </c>
      <c r="F13" s="24">
        <f>(COUNTIFS(集計用!$G:$G, "*, "&amp;$C13&amp;", *",集計用!$AE:$AE,"21-25"))/テーブル2[[#This Row],[n=]]*100</f>
        <v>28.169014084507044</v>
      </c>
      <c r="G13" s="24">
        <f>COUNTIFS(集計用!$G:$G, "*, "&amp;$C13&amp;", *",集計用!$AE:$AE,"26-30")/テーブル2[[#This Row],[n=]]*100</f>
        <v>21.12676056338028</v>
      </c>
      <c r="H13" s="24">
        <f>(COUNTIFS(集計用!$G:$G, "*, "&amp;$C13&amp;", *",集計用!$AE:$AE,"31-35"))/テーブル2[[#This Row],[n=]]*100</f>
        <v>18.30985915492958</v>
      </c>
      <c r="I13" s="24">
        <f>(COUNTIFS(集計用!$G:$G, "*, "&amp;$C13&amp;", *",集計用!$AE:$AE,"36-40"))/テーブル2[[#This Row],[n=]]*100</f>
        <v>8.4507042253521121</v>
      </c>
      <c r="J13" s="24">
        <f>(COUNTIFS(集計用!$G:$G, "*, "&amp;$C13&amp;", *",集計用!$AE:$AE,"41-45"))/テーブル2[[#This Row],[n=]]*100</f>
        <v>5.6338028169014089</v>
      </c>
      <c r="K13" s="24">
        <f>(COUNTIFS(集計用!$G:$G, "*, "&amp;$C13&amp;", *",集計用!$AE:$AE,"46-50"))/テーブル2[[#This Row],[n=]]*100</f>
        <v>1.4084507042253522</v>
      </c>
      <c r="L13" s="24">
        <f>(COUNTIFS(集計用!$G:$G, "*, "&amp;$C13&amp;", *",集計用!$AE:$AE,"51-55")+COUNTIFS(集計用!$G:$G, "*, "&amp;$C13&amp;", *",集計用!$AE:$AE,"56-60")+COUNTIFS(集計用!$G:$G, "*, "&amp;$C13&amp;", *",集計用!$AE:$AE,"61-65"))/テーブル2[[#This Row],[n=]]*100</f>
        <v>5.6338028169014089</v>
      </c>
      <c r="M13" s="24">
        <f>(COUNTIFS(集計用!$G:$G, "*, "&amp;$C13&amp;", *",集計用!$AE:$AE,"56-60")+COUNTIFS(集計用!$G:$G, "*, "&amp;$C13&amp;", *",集計用!$AE:$AE,"61-65"))/テーブル2[[#This Row],[n=]]*100</f>
        <v>1.4084507042253522</v>
      </c>
      <c r="N13" s="24">
        <f>COUNTIFS(集計用!$G:$G,"*, "&amp;$C13&amp;", *",集計用!$AE:$AE,"無回答")/テーブル2[[#This Row],[n=]]*100</f>
        <v>0</v>
      </c>
      <c r="P13" s="25"/>
    </row>
    <row r="14" spans="1:16" ht="15.75" customHeight="1">
      <c r="A14" s="20">
        <v>2</v>
      </c>
      <c r="B14" s="20">
        <f>(COUNTIFS(集計用!$G:$G,"*, "&amp;$C14&amp;",*"))</f>
        <v>69</v>
      </c>
      <c r="C14" s="34" t="s">
        <v>9</v>
      </c>
      <c r="D14" s="98">
        <f>テーブル2[[#This Row],[n=]]/443*100</f>
        <v>15.575620767494355</v>
      </c>
      <c r="E14" s="24">
        <f>(COUNTIFS(集計用!$G:$G, "*, "&amp;$C14&amp;", *",集計用!$AE:$AE,"11-15")+COUNTIFS(集計用!$G:$G, "*, "&amp;$C14&amp;", *",集計用!$AE:$AE,"16-20"))/テーブル2[[#This Row],[n=]]*100</f>
        <v>7.2463768115942031</v>
      </c>
      <c r="F14" s="24">
        <f>(COUNTIFS(集計用!$G:$G, "*, "&amp;$C14&amp;", *",集計用!$AE:$AE,"21-25"))/テーブル2[[#This Row],[n=]]*100</f>
        <v>23.188405797101449</v>
      </c>
      <c r="G14" s="24">
        <f>COUNTIFS(集計用!$G:$G, "*, "&amp;$C14&amp;", *",集計用!$AE:$AE,"26-30")/テーブル2[[#This Row],[n=]]*100</f>
        <v>23.188405797101449</v>
      </c>
      <c r="H14" s="24">
        <f>(COUNTIFS(集計用!$G:$G, "*, "&amp;$C14&amp;", *",集計用!$AE:$AE,"31-35"))/テーブル2[[#This Row],[n=]]*100</f>
        <v>18.840579710144929</v>
      </c>
      <c r="I14" s="24">
        <f>(COUNTIFS(集計用!$G:$G, "*, "&amp;$C14&amp;", *",集計用!$AE:$AE,"36-40"))/テーブル2[[#This Row],[n=]]*100</f>
        <v>8.695652173913043</v>
      </c>
      <c r="J14" s="24">
        <f>(COUNTIFS(集計用!$G:$G, "*, "&amp;$C14&amp;", *",集計用!$AE:$AE,"41-45"))/テーブル2[[#This Row],[n=]]*100</f>
        <v>8.695652173913043</v>
      </c>
      <c r="K14" s="24">
        <f>(COUNTIFS(集計用!$G:$G, "*, "&amp;$C14&amp;", *",集計用!$AE:$AE,"46-50"))/テーブル2[[#This Row],[n=]]*100</f>
        <v>5.7971014492753623</v>
      </c>
      <c r="L14" s="24">
        <f>(COUNTIFS(集計用!$G:$G, "*, "&amp;$C14&amp;", *",集計用!$AE:$AE,"51-55")+COUNTIFS(集計用!$G:$G, "*, "&amp;$C14&amp;", *",集計用!$AE:$AE,"56-60")+COUNTIFS(集計用!$G:$G, "*, "&amp;$C14&amp;", *",集計用!$AE:$AE,"61-65"))/テーブル2[[#This Row],[n=]]*100</f>
        <v>2.8985507246376812</v>
      </c>
      <c r="M14" s="24">
        <f>(COUNTIFS(集計用!$G:$G, "*, "&amp;$C14&amp;", *",集計用!$AE:$AE,"56-60")+COUNTIFS(集計用!$G:$G, "*, "&amp;$C14&amp;", *",集計用!$AE:$AE,"61-65"))/テーブル2[[#This Row],[n=]]*100</f>
        <v>2.8985507246376812</v>
      </c>
      <c r="N14" s="24">
        <f>COUNTIFS(集計用!$G:$G,"*, "&amp;$C14&amp;", *",集計用!$AE:$AE,"無回答")/テーブル2[[#This Row],[n=]]*100</f>
        <v>1.4492753623188406</v>
      </c>
      <c r="P14" s="25"/>
    </row>
    <row r="15" spans="1:16" ht="15.75" customHeight="1">
      <c r="A15" s="20">
        <v>5</v>
      </c>
      <c r="B15" s="20">
        <f>(COUNTIFS(集計用!$G:$G,"*, "&amp;$C15&amp;",*"))</f>
        <v>60</v>
      </c>
      <c r="C15" s="34" t="s">
        <v>10</v>
      </c>
      <c r="D15" s="98">
        <f>テーブル2[[#This Row],[n=]]/443*100</f>
        <v>13.544018058690746</v>
      </c>
      <c r="E15" s="24">
        <f>(COUNTIFS(集計用!$G:$G, "*, "&amp;$C15&amp;", *",集計用!$AE:$AE,"11-15")+COUNTIFS(集計用!$G:$G, "*, "&amp;$C15&amp;", *",集計用!$AE:$AE,"16-20"))/テーブル2[[#This Row],[n=]]*100</f>
        <v>6.666666666666667</v>
      </c>
      <c r="F15" s="24">
        <f>(COUNTIFS(集計用!$G:$G, "*, "&amp;$C15&amp;", *",集計用!$AE:$AE,"21-25"))/テーブル2[[#This Row],[n=]]*100</f>
        <v>21.666666666666668</v>
      </c>
      <c r="G15" s="24">
        <f>COUNTIFS(集計用!$G:$G, "*, "&amp;$C15&amp;", *",集計用!$AE:$AE,"26-30")/テーブル2[[#This Row],[n=]]*100</f>
        <v>25</v>
      </c>
      <c r="H15" s="24">
        <f>(COUNTIFS(集計用!$G:$G, "*, "&amp;$C15&amp;", *",集計用!$AE:$AE,"31-35"))/テーブル2[[#This Row],[n=]]*100</f>
        <v>15</v>
      </c>
      <c r="I15" s="24">
        <f>(COUNTIFS(集計用!$G:$G, "*, "&amp;$C15&amp;", *",集計用!$AE:$AE,"36-40"))/テーブル2[[#This Row],[n=]]*100</f>
        <v>6.666666666666667</v>
      </c>
      <c r="J15" s="24">
        <f>(COUNTIFS(集計用!$G:$G, "*, "&amp;$C15&amp;", *",集計用!$AE:$AE,"41-45"))/テーブル2[[#This Row],[n=]]*100</f>
        <v>8.3333333333333321</v>
      </c>
      <c r="K15" s="24">
        <f>(COUNTIFS(集計用!$G:$G, "*, "&amp;$C15&amp;", *",集計用!$AE:$AE,"46-50"))/テーブル2[[#This Row],[n=]]*100</f>
        <v>6.666666666666667</v>
      </c>
      <c r="L15" s="24">
        <f>(COUNTIFS(集計用!$G:$G, "*, "&amp;$C15&amp;", *",集計用!$AE:$AE,"51-55")+COUNTIFS(集計用!$G:$G, "*, "&amp;$C15&amp;", *",集計用!$AE:$AE,"56-60")+COUNTIFS(集計用!$G:$G, "*, "&amp;$C15&amp;", *",集計用!$AE:$AE,"61-65"))/テーブル2[[#This Row],[n=]]*100</f>
        <v>10</v>
      </c>
      <c r="M15" s="24">
        <f>(COUNTIFS(集計用!$G:$G, "*, "&amp;$C15&amp;", *",集計用!$AE:$AE,"56-60")+COUNTIFS(集計用!$G:$G, "*, "&amp;$C15&amp;", *",集計用!$AE:$AE,"61-65"))/テーブル2[[#This Row],[n=]]*100</f>
        <v>6.666666666666667</v>
      </c>
      <c r="N15" s="24">
        <f>COUNTIFS(集計用!$G:$G,"*, "&amp;$C15&amp;", *",集計用!$AE:$AE,"無回答")/テーブル2[[#This Row],[n=]]*100</f>
        <v>0</v>
      </c>
      <c r="P15" s="25"/>
    </row>
    <row r="16" spans="1:16" ht="15.75" customHeight="1">
      <c r="A16" s="20">
        <v>2</v>
      </c>
      <c r="B16" s="20">
        <f>(COUNTIFS(集計用!$G:$G,"*, "&amp;$C16&amp;",*"))</f>
        <v>60</v>
      </c>
      <c r="C16" s="34" t="s">
        <v>11</v>
      </c>
      <c r="D16" s="98">
        <f>テーブル2[[#This Row],[n=]]/443*100</f>
        <v>13.544018058690746</v>
      </c>
      <c r="E16" s="24">
        <f>(COUNTIFS(集計用!$G:$G, "*, "&amp;$C16&amp;", *",集計用!$AE:$AE,"11-15")+COUNTIFS(集計用!$G:$G, "*, "&amp;$C16&amp;", *",集計用!$AE:$AE,"16-20"))/テーブル2[[#This Row],[n=]]*100</f>
        <v>3.3333333333333335</v>
      </c>
      <c r="F16" s="24">
        <f>(COUNTIFS(集計用!$G:$G, "*, "&amp;$C16&amp;", *",集計用!$AE:$AE,"21-25"))/テーブル2[[#This Row],[n=]]*100</f>
        <v>21.666666666666668</v>
      </c>
      <c r="G16" s="24">
        <f>COUNTIFS(集計用!$G:$G, "*, "&amp;$C16&amp;", *",集計用!$AE:$AE,"26-30")/テーブル2[[#This Row],[n=]]*100</f>
        <v>25</v>
      </c>
      <c r="H16" s="24">
        <f>(COUNTIFS(集計用!$G:$G, "*, "&amp;$C16&amp;", *",集計用!$AE:$AE,"31-35"))/テーブル2[[#This Row],[n=]]*100</f>
        <v>15</v>
      </c>
      <c r="I16" s="24">
        <f>(COUNTIFS(集計用!$G:$G, "*, "&amp;$C16&amp;", *",集計用!$AE:$AE,"36-40"))/テーブル2[[#This Row],[n=]]*100</f>
        <v>8.3333333333333321</v>
      </c>
      <c r="J16" s="24">
        <f>(COUNTIFS(集計用!$G:$G, "*, "&amp;$C16&amp;", *",集計用!$AE:$AE,"41-45"))/テーブル2[[#This Row],[n=]]*100</f>
        <v>13.333333333333334</v>
      </c>
      <c r="K16" s="24">
        <f>(COUNTIFS(集計用!$G:$G, "*, "&amp;$C16&amp;", *",集計用!$AE:$AE,"46-50"))/テーブル2[[#This Row],[n=]]*100</f>
        <v>8.3333333333333321</v>
      </c>
      <c r="L16" s="24">
        <f>(COUNTIFS(集計用!$G:$G, "*, "&amp;$C16&amp;", *",集計用!$AE:$AE,"51-55")+COUNTIFS(集計用!$G:$G, "*, "&amp;$C16&amp;", *",集計用!$AE:$AE,"56-60")+COUNTIFS(集計用!$G:$G, "*, "&amp;$C16&amp;", *",集計用!$AE:$AE,"61-65"))/テーブル2[[#This Row],[n=]]*100</f>
        <v>5</v>
      </c>
      <c r="M16" s="24">
        <f>(COUNTIFS(集計用!$G:$G, "*, "&amp;$C16&amp;", *",集計用!$AE:$AE,"56-60")+COUNTIFS(集計用!$G:$G, "*, "&amp;$C16&amp;", *",集計用!$AE:$AE,"61-65"))/テーブル2[[#This Row],[n=]]*100</f>
        <v>5</v>
      </c>
      <c r="N16" s="24">
        <f>COUNTIFS(集計用!$G:$G,"*, "&amp;$C16&amp;", *",集計用!$AE:$AE,"無回答")/テーブル2[[#This Row],[n=]]*100</f>
        <v>0</v>
      </c>
      <c r="P16" s="25"/>
    </row>
    <row r="17" spans="1:16" ht="15.75" customHeight="1">
      <c r="A17" s="20">
        <v>6</v>
      </c>
      <c r="B17" s="20">
        <f>(COUNTIFS(集計用!$G:$G,"*, "&amp;$C17&amp;",*"))</f>
        <v>57</v>
      </c>
      <c r="C17" s="34" t="s">
        <v>12</v>
      </c>
      <c r="D17" s="98">
        <f>テーブル2[[#This Row],[n=]]/443*100</f>
        <v>12.866817155756207</v>
      </c>
      <c r="E17" s="24">
        <f>(COUNTIFS(集計用!$G:$G, "*, "&amp;$C17&amp;", *",集計用!$AE:$AE,"11-15")+COUNTIFS(集計用!$G:$G, "*, "&amp;$C17&amp;", *",集計用!$AE:$AE,"16-20"))/テーブル2[[#This Row],[n=]]*100</f>
        <v>14.035087719298245</v>
      </c>
      <c r="F17" s="24">
        <f>(COUNTIFS(集計用!$G:$G, "*, "&amp;$C17&amp;", *",集計用!$AE:$AE,"21-25"))/テーブル2[[#This Row],[n=]]*100</f>
        <v>21.052631578947366</v>
      </c>
      <c r="G17" s="24">
        <f>COUNTIFS(集計用!$G:$G, "*, "&amp;$C17&amp;", *",集計用!$AE:$AE,"26-30")/テーブル2[[#This Row],[n=]]*100</f>
        <v>14.035087719298245</v>
      </c>
      <c r="H17" s="24">
        <f>(COUNTIFS(集計用!$G:$G, "*, "&amp;$C17&amp;", *",集計用!$AE:$AE,"31-35"))/テーブル2[[#This Row],[n=]]*100</f>
        <v>21.052631578947366</v>
      </c>
      <c r="I17" s="24">
        <f>(COUNTIFS(集計用!$G:$G, "*, "&amp;$C17&amp;", *",集計用!$AE:$AE,"36-40"))/テーブル2[[#This Row],[n=]]*100</f>
        <v>8.7719298245614024</v>
      </c>
      <c r="J17" s="24">
        <f>(COUNTIFS(集計用!$G:$G, "*, "&amp;$C17&amp;", *",集計用!$AE:$AE,"41-45"))/テーブル2[[#This Row],[n=]]*100</f>
        <v>5.2631578947368416</v>
      </c>
      <c r="K17" s="24">
        <f>(COUNTIFS(集計用!$G:$G, "*, "&amp;$C17&amp;", *",集計用!$AE:$AE,"46-50"))/テーブル2[[#This Row],[n=]]*100</f>
        <v>8.7719298245614024</v>
      </c>
      <c r="L17" s="24">
        <f>(COUNTIFS(集計用!$G:$G, "*, "&amp;$C17&amp;", *",集計用!$AE:$AE,"51-55")+COUNTIFS(集計用!$G:$G, "*, "&amp;$C17&amp;", *",集計用!$AE:$AE,"56-60")+COUNTIFS(集計用!$G:$G, "*, "&amp;$C17&amp;", *",集計用!$AE:$AE,"61-65"))/テーブル2[[#This Row],[n=]]*100</f>
        <v>7.0175438596491224</v>
      </c>
      <c r="M17" s="24">
        <f>(COUNTIFS(集計用!$G:$G, "*, "&amp;$C17&amp;", *",集計用!$AE:$AE,"56-60")+COUNTIFS(集計用!$G:$G, "*, "&amp;$C17&amp;", *",集計用!$AE:$AE,"61-65"))/テーブル2[[#This Row],[n=]]*100</f>
        <v>3.5087719298245612</v>
      </c>
      <c r="N17" s="24">
        <f>COUNTIFS(集計用!$G:$G,"*, "&amp;$C17&amp;", *",集計用!$AE:$AE,"無回答")/テーブル2[[#This Row],[n=]]*100</f>
        <v>0</v>
      </c>
      <c r="P17" s="25"/>
    </row>
    <row r="18" spans="1:16" ht="15.75" customHeight="1">
      <c r="A18" s="20">
        <v>6</v>
      </c>
      <c r="B18" s="20">
        <f>(COUNTIFS(集計用!$G:$G,"*, "&amp;$C18&amp;",*"))</f>
        <v>54</v>
      </c>
      <c r="C18" s="34" t="s">
        <v>13</v>
      </c>
      <c r="D18" s="98">
        <f>テーブル2[[#This Row],[n=]]/443*100</f>
        <v>12.18961625282167</v>
      </c>
      <c r="E18" s="24">
        <f>(COUNTIFS(集計用!$G:$G, "*, "&amp;$C18&amp;", *",集計用!$AE:$AE,"11-15")+COUNTIFS(集計用!$G:$G, "*, "&amp;$C18&amp;", *",集計用!$AE:$AE,"16-20"))/テーブル2[[#This Row],[n=]]*100</f>
        <v>11.111111111111111</v>
      </c>
      <c r="F18" s="24">
        <f>(COUNTIFS(集計用!$G:$G, "*, "&amp;$C18&amp;", *",集計用!$AE:$AE,"21-25"))/テーブル2[[#This Row],[n=]]*100</f>
        <v>24.074074074074073</v>
      </c>
      <c r="G18" s="24">
        <f>COUNTIFS(集計用!$G:$G, "*, "&amp;$C18&amp;", *",集計用!$AE:$AE,"26-30")/テーブル2[[#This Row],[n=]]*100</f>
        <v>18.518518518518519</v>
      </c>
      <c r="H18" s="24">
        <f>(COUNTIFS(集計用!$G:$G, "*, "&amp;$C18&amp;", *",集計用!$AE:$AE,"31-35"))/テーブル2[[#This Row],[n=]]*100</f>
        <v>24.074074074074073</v>
      </c>
      <c r="I18" s="24">
        <f>(COUNTIFS(集計用!$G:$G, "*, "&amp;$C18&amp;", *",集計用!$AE:$AE,"36-40"))/テーブル2[[#This Row],[n=]]*100</f>
        <v>7.4074074074074066</v>
      </c>
      <c r="J18" s="24">
        <f>(COUNTIFS(集計用!$G:$G, "*, "&amp;$C18&amp;", *",集計用!$AE:$AE,"41-45"))/テーブル2[[#This Row],[n=]]*100</f>
        <v>5.5555555555555554</v>
      </c>
      <c r="K18" s="24">
        <f>(COUNTIFS(集計用!$G:$G, "*, "&amp;$C18&amp;", *",集計用!$AE:$AE,"46-50"))/テーブル2[[#This Row],[n=]]*100</f>
        <v>1.8518518518518516</v>
      </c>
      <c r="L18" s="24">
        <f>(COUNTIFS(集計用!$G:$G, "*, "&amp;$C18&amp;", *",集計用!$AE:$AE,"51-55")+COUNTIFS(集計用!$G:$G, "*, "&amp;$C18&amp;", *",集計用!$AE:$AE,"56-60")+COUNTIFS(集計用!$G:$G, "*, "&amp;$C18&amp;", *",集計用!$AE:$AE,"61-65"))/テーブル2[[#This Row],[n=]]*100</f>
        <v>7.4074074074074066</v>
      </c>
      <c r="M18" s="24">
        <f>(COUNTIFS(集計用!$G:$G, "*, "&amp;$C18&amp;", *",集計用!$AE:$AE,"56-60")+COUNTIFS(集計用!$G:$G, "*, "&amp;$C18&amp;", *",集計用!$AE:$AE,"61-65"))/テーブル2[[#This Row],[n=]]*100</f>
        <v>3.7037037037037033</v>
      </c>
      <c r="N18" s="24">
        <f>COUNTIFS(集計用!$G:$G,"*, "&amp;$C18&amp;", *",集計用!$AE:$AE,"無回答")/テーブル2[[#This Row],[n=]]*100</f>
        <v>0</v>
      </c>
      <c r="P18" s="25"/>
    </row>
    <row r="19" spans="1:16" ht="15.75" customHeight="1">
      <c r="A19" s="20">
        <v>4</v>
      </c>
      <c r="B19" s="20">
        <f>(COUNTIFS(集計用!$G:$G,"*, "&amp;$C19&amp;",*"))</f>
        <v>49</v>
      </c>
      <c r="C19" s="34" t="s">
        <v>14</v>
      </c>
      <c r="D19" s="98">
        <f>テーブル2[[#This Row],[n=]]/443*100</f>
        <v>11.060948081264108</v>
      </c>
      <c r="E19" s="24">
        <f>(COUNTIFS(集計用!$G:$G, "*, "&amp;$C19&amp;", *",集計用!$AE:$AE,"11-15")+COUNTIFS(集計用!$G:$G, "*, "&amp;$C19&amp;", *",集計用!$AE:$AE,"16-20"))/テーブル2[[#This Row],[n=]]*100</f>
        <v>12.244897959183673</v>
      </c>
      <c r="F19" s="24">
        <f>(COUNTIFS(集計用!$G:$G, "*, "&amp;$C19&amp;", *",集計用!$AE:$AE,"21-25"))/テーブル2[[#This Row],[n=]]*100</f>
        <v>30.612244897959183</v>
      </c>
      <c r="G19" s="24">
        <f>COUNTIFS(集計用!$G:$G, "*, "&amp;$C19&amp;", *",集計用!$AE:$AE,"26-30")/テーブル2[[#This Row],[n=]]*100</f>
        <v>26.530612244897959</v>
      </c>
      <c r="H19" s="24">
        <f>(COUNTIFS(集計用!$G:$G, "*, "&amp;$C19&amp;", *",集計用!$AE:$AE,"31-35"))/テーブル2[[#This Row],[n=]]*100</f>
        <v>14.285714285714285</v>
      </c>
      <c r="I19" s="24">
        <f>(COUNTIFS(集計用!$G:$G, "*, "&amp;$C19&amp;", *",集計用!$AE:$AE,"36-40"))/テーブル2[[#This Row],[n=]]*100</f>
        <v>4.0816326530612246</v>
      </c>
      <c r="J19" s="24">
        <f>(COUNTIFS(集計用!$G:$G, "*, "&amp;$C19&amp;", *",集計用!$AE:$AE,"41-45"))/テーブル2[[#This Row],[n=]]*100</f>
        <v>4.0816326530612246</v>
      </c>
      <c r="K19" s="24">
        <f>(COUNTIFS(集計用!$G:$G, "*, "&amp;$C19&amp;", *",集計用!$AE:$AE,"46-50"))/テーブル2[[#This Row],[n=]]*100</f>
        <v>4.0816326530612246</v>
      </c>
      <c r="L19" s="24">
        <f>(COUNTIFS(集計用!$G:$G, "*, "&amp;$C19&amp;", *",集計用!$AE:$AE,"51-55")+COUNTIFS(集計用!$G:$G, "*, "&amp;$C19&amp;", *",集計用!$AE:$AE,"56-60")+COUNTIFS(集計用!$G:$G, "*, "&amp;$C19&amp;", *",集計用!$AE:$AE,"61-65"))/テーブル2[[#This Row],[n=]]*100</f>
        <v>4.0816326530612246</v>
      </c>
      <c r="M19" s="24">
        <f>(COUNTIFS(集計用!$G:$G, "*, "&amp;$C19&amp;", *",集計用!$AE:$AE,"56-60")+COUNTIFS(集計用!$G:$G, "*, "&amp;$C19&amp;", *",集計用!$AE:$AE,"61-65"))/テーブル2[[#This Row],[n=]]*100</f>
        <v>4.0816326530612246</v>
      </c>
      <c r="N19" s="24">
        <f>COUNTIFS(集計用!$G:$G,"*, "&amp;$C19&amp;", *",集計用!$AE:$AE,"無回答")/テーブル2[[#This Row],[n=]]*100</f>
        <v>0</v>
      </c>
      <c r="P19" s="25"/>
    </row>
    <row r="20" spans="1:16" ht="15.75" customHeight="1">
      <c r="A20" s="20">
        <v>3</v>
      </c>
      <c r="B20" s="20">
        <f>(COUNTIFS(集計用!$G:$G,"*, "&amp;$C20&amp;",*"))</f>
        <v>48</v>
      </c>
      <c r="C20" s="34" t="s">
        <v>15</v>
      </c>
      <c r="D20" s="98">
        <f>テーブル2[[#This Row],[n=]]/443*100</f>
        <v>10.835214446952596</v>
      </c>
      <c r="E20" s="24">
        <f>(COUNTIFS(集計用!$G:$G, "*, "&amp;$C20&amp;", *",集計用!$AE:$AE,"11-15")+COUNTIFS(集計用!$G:$G, "*, "&amp;$C20&amp;", *",集計用!$AE:$AE,"16-20"))/テーブル2[[#This Row],[n=]]*100</f>
        <v>8.3333333333333321</v>
      </c>
      <c r="F20" s="24">
        <f>(COUNTIFS(集計用!$G:$G, "*, "&amp;$C20&amp;", *",集計用!$AE:$AE,"21-25"))/テーブル2[[#This Row],[n=]]*100</f>
        <v>35.416666666666671</v>
      </c>
      <c r="G20" s="24">
        <f>COUNTIFS(集計用!$G:$G, "*, "&amp;$C20&amp;", *",集計用!$AE:$AE,"26-30")/テーブル2[[#This Row],[n=]]*100</f>
        <v>25</v>
      </c>
      <c r="H20" s="24">
        <f>(COUNTIFS(集計用!$G:$G, "*, "&amp;$C20&amp;", *",集計用!$AE:$AE,"31-35"))/テーブル2[[#This Row],[n=]]*100</f>
        <v>16.666666666666664</v>
      </c>
      <c r="I20" s="24">
        <f>(COUNTIFS(集計用!$G:$G, "*, "&amp;$C20&amp;", *",集計用!$AE:$AE,"36-40"))/テーブル2[[#This Row],[n=]]*100</f>
        <v>14.583333333333334</v>
      </c>
      <c r="J20" s="24">
        <f>(COUNTIFS(集計用!$G:$G, "*, "&amp;$C20&amp;", *",集計用!$AE:$AE,"41-45"))/テーブル2[[#This Row],[n=]]*100</f>
        <v>0</v>
      </c>
      <c r="K20" s="24">
        <f>(COUNTIFS(集計用!$G:$G, "*, "&amp;$C20&amp;", *",集計用!$AE:$AE,"46-50"))/テーブル2[[#This Row],[n=]]*100</f>
        <v>0</v>
      </c>
      <c r="L20" s="24">
        <f>(COUNTIFS(集計用!$G:$G, "*, "&amp;$C20&amp;", *",集計用!$AE:$AE,"51-55")+COUNTIFS(集計用!$G:$G, "*, "&amp;$C20&amp;", *",集計用!$AE:$AE,"56-60")+COUNTIFS(集計用!$G:$G, "*, "&amp;$C20&amp;", *",集計用!$AE:$AE,"61-65"))/テーブル2[[#This Row],[n=]]*100</f>
        <v>0</v>
      </c>
      <c r="M20" s="24">
        <f>(COUNTIFS(集計用!$G:$G, "*, "&amp;$C20&amp;", *",集計用!$AE:$AE,"56-60")+COUNTIFS(集計用!$G:$G, "*, "&amp;$C20&amp;", *",集計用!$AE:$AE,"61-65"))/テーブル2[[#This Row],[n=]]*100</f>
        <v>0</v>
      </c>
      <c r="N20" s="24">
        <f>COUNTIFS(集計用!$G:$G,"*, "&amp;$C20&amp;", *",集計用!$AE:$AE,"無回答")/テーブル2[[#This Row],[n=]]*100</f>
        <v>0</v>
      </c>
      <c r="P20" s="25"/>
    </row>
    <row r="21" spans="1:16" ht="15.75" customHeight="1">
      <c r="A21" s="20">
        <v>5</v>
      </c>
      <c r="B21" s="20">
        <f>(COUNTIFS(集計用!$G:$G,"*, "&amp;$C21&amp;",*"))</f>
        <v>46</v>
      </c>
      <c r="C21" s="34" t="s">
        <v>16</v>
      </c>
      <c r="D21" s="98">
        <f>テーブル2[[#This Row],[n=]]/443*100</f>
        <v>10.383747178329571</v>
      </c>
      <c r="E21" s="24">
        <f>(COUNTIFS(集計用!$G:$G, "*, "&amp;$C21&amp;", *",集計用!$AE:$AE,"11-15")+COUNTIFS(集計用!$G:$G, "*, "&amp;$C21&amp;", *",集計用!$AE:$AE,"16-20"))/テーブル2[[#This Row],[n=]]*100</f>
        <v>8.695652173913043</v>
      </c>
      <c r="F21" s="24">
        <f>(COUNTIFS(集計用!$G:$G, "*, "&amp;$C21&amp;", *",集計用!$AE:$AE,"21-25"))/テーブル2[[#This Row],[n=]]*100</f>
        <v>26.086956521739129</v>
      </c>
      <c r="G21" s="24">
        <f>COUNTIFS(集計用!$G:$G, "*, "&amp;$C21&amp;", *",集計用!$AE:$AE,"26-30")/テーブル2[[#This Row],[n=]]*100</f>
        <v>21.739130434782609</v>
      </c>
      <c r="H21" s="24">
        <f>(COUNTIFS(集計用!$G:$G, "*, "&amp;$C21&amp;", *",集計用!$AE:$AE,"31-35"))/テーブル2[[#This Row],[n=]]*100</f>
        <v>17.391304347826086</v>
      </c>
      <c r="I21" s="24">
        <f>(COUNTIFS(集計用!$G:$G, "*, "&amp;$C21&amp;", *",集計用!$AE:$AE,"36-40"))/テーブル2[[#This Row],[n=]]*100</f>
        <v>6.5217391304347823</v>
      </c>
      <c r="J21" s="24">
        <f>(COUNTIFS(集計用!$G:$G, "*, "&amp;$C21&amp;", *",集計用!$AE:$AE,"41-45"))/テーブル2[[#This Row],[n=]]*100</f>
        <v>6.5217391304347823</v>
      </c>
      <c r="K21" s="24">
        <f>(COUNTIFS(集計用!$G:$G, "*, "&amp;$C21&amp;", *",集計用!$AE:$AE,"46-50"))/テーブル2[[#This Row],[n=]]*100</f>
        <v>2.1739130434782608</v>
      </c>
      <c r="L21" s="24">
        <f>(COUNTIFS(集計用!$G:$G, "*, "&amp;$C21&amp;", *",集計用!$AE:$AE,"51-55")+COUNTIFS(集計用!$G:$G, "*, "&amp;$C21&amp;", *",集計用!$AE:$AE,"56-60")+COUNTIFS(集計用!$G:$G, "*, "&amp;$C21&amp;", *",集計用!$AE:$AE,"61-65"))/テーブル2[[#This Row],[n=]]*100</f>
        <v>10.869565217391305</v>
      </c>
      <c r="M21" s="24">
        <f>(COUNTIFS(集計用!$G:$G, "*, "&amp;$C21&amp;", *",集計用!$AE:$AE,"56-60")+COUNTIFS(集計用!$G:$G, "*, "&amp;$C21&amp;", *",集計用!$AE:$AE,"61-65"))/テーブル2[[#This Row],[n=]]*100</f>
        <v>8.695652173913043</v>
      </c>
      <c r="N21" s="24">
        <f>COUNTIFS(集計用!$G:$G,"*, "&amp;$C21&amp;", *",集計用!$AE:$AE,"無回答")/テーブル2[[#This Row],[n=]]*100</f>
        <v>0</v>
      </c>
      <c r="P21" s="25"/>
    </row>
    <row r="22" spans="1:16" ht="15.75" customHeight="1">
      <c r="A22" s="20">
        <v>5</v>
      </c>
      <c r="B22" s="20">
        <f>(COUNTIFS(集計用!$G:$G,"*, "&amp;$C22&amp;",*"))</f>
        <v>39</v>
      </c>
      <c r="C22" s="34" t="s">
        <v>17</v>
      </c>
      <c r="D22" s="98">
        <f>テーブル2[[#This Row],[n=]]/443*100</f>
        <v>8.8036117381489838</v>
      </c>
      <c r="E22" s="24">
        <f>(COUNTIFS(集計用!$G:$G, "*, "&amp;$C22&amp;", *",集計用!$AE:$AE,"11-15")+COUNTIFS(集計用!$G:$G, "*, "&amp;$C22&amp;", *",集計用!$AE:$AE,"16-20"))/テーブル2[[#This Row],[n=]]*100</f>
        <v>2.5641025641025639</v>
      </c>
      <c r="F22" s="24">
        <f>(COUNTIFS(集計用!$G:$G, "*, "&amp;$C22&amp;", *",集計用!$AE:$AE,"21-25"))/テーブル2[[#This Row],[n=]]*100</f>
        <v>28.205128205128204</v>
      </c>
      <c r="G22" s="24">
        <f>COUNTIFS(集計用!$G:$G, "*, "&amp;$C22&amp;", *",集計用!$AE:$AE,"26-30")/テーブル2[[#This Row],[n=]]*100</f>
        <v>10.256410256410255</v>
      </c>
      <c r="H22" s="24">
        <f>(COUNTIFS(集計用!$G:$G, "*, "&amp;$C22&amp;", *",集計用!$AE:$AE,"31-35"))/テーブル2[[#This Row],[n=]]*100</f>
        <v>20.512820512820511</v>
      </c>
      <c r="I22" s="24">
        <f>(COUNTIFS(集計用!$G:$G, "*, "&amp;$C22&amp;", *",集計用!$AE:$AE,"36-40"))/テーブル2[[#This Row],[n=]]*100</f>
        <v>12.820512820512819</v>
      </c>
      <c r="J22" s="24">
        <f>(COUNTIFS(集計用!$G:$G, "*, "&amp;$C22&amp;", *",集計用!$AE:$AE,"41-45"))/テーブル2[[#This Row],[n=]]*100</f>
        <v>7.6923076923076925</v>
      </c>
      <c r="K22" s="24">
        <f>(COUNTIFS(集計用!$G:$G, "*, "&amp;$C22&amp;", *",集計用!$AE:$AE,"46-50"))/テーブル2[[#This Row],[n=]]*100</f>
        <v>5.1282051282051277</v>
      </c>
      <c r="L22" s="24">
        <f>(COUNTIFS(集計用!$G:$G, "*, "&amp;$C22&amp;", *",集計用!$AE:$AE,"51-55")+COUNTIFS(集計用!$G:$G, "*, "&amp;$C22&amp;", *",集計用!$AE:$AE,"56-60")+COUNTIFS(集計用!$G:$G, "*, "&amp;$C22&amp;", *",集計用!$AE:$AE,"61-65"))/テーブル2[[#This Row],[n=]]*100</f>
        <v>12.820512820512819</v>
      </c>
      <c r="M22" s="24">
        <f>(COUNTIFS(集計用!$G:$G, "*, "&amp;$C22&amp;", *",集計用!$AE:$AE,"56-60")+COUNTIFS(集計用!$G:$G, "*, "&amp;$C22&amp;", *",集計用!$AE:$AE,"61-65"))/テーブル2[[#This Row],[n=]]*100</f>
        <v>7.6923076923076925</v>
      </c>
      <c r="N22" s="24">
        <f>COUNTIFS(集計用!$G:$G,"*, "&amp;$C22&amp;", *",集計用!$AE:$AE,"無回答")/テーブル2[[#This Row],[n=]]*100</f>
        <v>0</v>
      </c>
      <c r="P22" s="25"/>
    </row>
    <row r="23" spans="1:16" ht="15.75" customHeight="1">
      <c r="A23" s="20">
        <v>4</v>
      </c>
      <c r="B23" s="20">
        <f>(COUNTIFS(集計用!$G:$G,"*, "&amp;$C23&amp;",*"))</f>
        <v>36</v>
      </c>
      <c r="C23" s="34" t="s">
        <v>18</v>
      </c>
      <c r="D23" s="98">
        <f>テーブル2[[#This Row],[n=]]/443*100</f>
        <v>8.1264108352144468</v>
      </c>
      <c r="E23" s="24">
        <f>(COUNTIFS(集計用!$G:$G, "*, "&amp;$C23&amp;", *",集計用!$AE:$AE,"11-15")+COUNTIFS(集計用!$G:$G, "*, "&amp;$C23&amp;", *",集計用!$AE:$AE,"16-20"))/テーブル2[[#This Row],[n=]]*100</f>
        <v>13.888888888888889</v>
      </c>
      <c r="F23" s="24">
        <f>(COUNTIFS(集計用!$G:$G, "*, "&amp;$C23&amp;", *",集計用!$AE:$AE,"21-25"))/テーブル2[[#This Row],[n=]]*100</f>
        <v>25</v>
      </c>
      <c r="G23" s="24">
        <f>COUNTIFS(集計用!$G:$G, "*, "&amp;$C23&amp;", *",集計用!$AE:$AE,"26-30")/テーブル2[[#This Row],[n=]]*100</f>
        <v>16.666666666666664</v>
      </c>
      <c r="H23" s="24">
        <f>(COUNTIFS(集計用!$G:$G, "*, "&amp;$C23&amp;", *",集計用!$AE:$AE,"31-35"))/テーブル2[[#This Row],[n=]]*100</f>
        <v>30.555555555555557</v>
      </c>
      <c r="I23" s="24">
        <f>(COUNTIFS(集計用!$G:$G, "*, "&amp;$C23&amp;", *",集計用!$AE:$AE,"36-40"))/テーブル2[[#This Row],[n=]]*100</f>
        <v>5.5555555555555554</v>
      </c>
      <c r="J23" s="24">
        <f>(COUNTIFS(集計用!$G:$G, "*, "&amp;$C23&amp;", *",集計用!$AE:$AE,"41-45"))/テーブル2[[#This Row],[n=]]*100</f>
        <v>0</v>
      </c>
      <c r="K23" s="24">
        <f>(COUNTIFS(集計用!$G:$G, "*, "&amp;$C23&amp;", *",集計用!$AE:$AE,"46-50"))/テーブル2[[#This Row],[n=]]*100</f>
        <v>2.7777777777777777</v>
      </c>
      <c r="L23" s="24">
        <f>(COUNTIFS(集計用!$G:$G, "*, "&amp;$C23&amp;", *",集計用!$AE:$AE,"51-55")+COUNTIFS(集計用!$G:$G, "*, "&amp;$C23&amp;", *",集計用!$AE:$AE,"56-60")+COUNTIFS(集計用!$G:$G, "*, "&amp;$C23&amp;", *",集計用!$AE:$AE,"61-65"))/テーブル2[[#This Row],[n=]]*100</f>
        <v>5.5555555555555554</v>
      </c>
      <c r="M23" s="24">
        <f>(COUNTIFS(集計用!$G:$G, "*, "&amp;$C23&amp;", *",集計用!$AE:$AE,"56-60")+COUNTIFS(集計用!$G:$G, "*, "&amp;$C23&amp;", *",集計用!$AE:$AE,"61-65"))/テーブル2[[#This Row],[n=]]*100</f>
        <v>2.7777777777777777</v>
      </c>
      <c r="N23" s="24">
        <f>COUNTIFS(集計用!$G:$G,"*, "&amp;$C23&amp;", *",集計用!$AE:$AE,"無回答")/テーブル2[[#This Row],[n=]]*100</f>
        <v>0</v>
      </c>
      <c r="P23" s="25"/>
    </row>
    <row r="24" spans="1:16" ht="12.75">
      <c r="A24" s="20">
        <v>2</v>
      </c>
      <c r="B24" s="20">
        <f>(COUNTIFS(集計用!$G:$G,"*, "&amp;$C24&amp;",*"))</f>
        <v>34</v>
      </c>
      <c r="C24" s="34" t="s">
        <v>19</v>
      </c>
      <c r="D24" s="98">
        <f>テーブル2[[#This Row],[n=]]/443*100</f>
        <v>7.6749435665914216</v>
      </c>
      <c r="E24" s="24">
        <f>(COUNTIFS(集計用!$G:$G, "*, "&amp;$C24&amp;", *",集計用!$AE:$AE,"11-15")+COUNTIFS(集計用!$G:$G, "*, "&amp;$C24&amp;", *",集計用!$AE:$AE,"16-20"))/テーブル2[[#This Row],[n=]]*100</f>
        <v>5.8823529411764701</v>
      </c>
      <c r="F24" s="24">
        <f>(COUNTIFS(集計用!$G:$G, "*, "&amp;$C24&amp;", *",集計用!$AE:$AE,"21-25"))/テーブル2[[#This Row],[n=]]*100</f>
        <v>29.411764705882355</v>
      </c>
      <c r="G24" s="24">
        <f>COUNTIFS(集計用!$G:$G, "*, "&amp;$C24&amp;", *",集計用!$AE:$AE,"26-30")/テーブル2[[#This Row],[n=]]*100</f>
        <v>23.52941176470588</v>
      </c>
      <c r="H24" s="24">
        <f>(COUNTIFS(集計用!$G:$G, "*, "&amp;$C24&amp;", *",集計用!$AE:$AE,"31-35"))/テーブル2[[#This Row],[n=]]*100</f>
        <v>8.8235294117647065</v>
      </c>
      <c r="I24" s="24">
        <f>(COUNTIFS(集計用!$G:$G, "*, "&amp;$C24&amp;", *",集計用!$AE:$AE,"36-40"))/テーブル2[[#This Row],[n=]]*100</f>
        <v>2.9411764705882351</v>
      </c>
      <c r="J24" s="24">
        <f>(COUNTIFS(集計用!$G:$G, "*, "&amp;$C24&amp;", *",集計用!$AE:$AE,"41-45"))/テーブル2[[#This Row],[n=]]*100</f>
        <v>8.8235294117647065</v>
      </c>
      <c r="K24" s="24">
        <f>(COUNTIFS(集計用!$G:$G, "*, "&amp;$C24&amp;", *",集計用!$AE:$AE,"46-50"))/テーブル2[[#This Row],[n=]]*100</f>
        <v>11.76470588235294</v>
      </c>
      <c r="L24" s="24">
        <f>(COUNTIFS(集計用!$G:$G, "*, "&amp;$C24&amp;", *",集計用!$AE:$AE,"51-55")+COUNTIFS(集計用!$G:$G, "*, "&amp;$C24&amp;", *",集計用!$AE:$AE,"56-60")+COUNTIFS(集計用!$G:$G, "*, "&amp;$C24&amp;", *",集計用!$AE:$AE,"61-65"))/テーブル2[[#This Row],[n=]]*100</f>
        <v>8.8235294117647065</v>
      </c>
      <c r="M24" s="24">
        <f>(COUNTIFS(集計用!$G:$G, "*, "&amp;$C24&amp;", *",集計用!$AE:$AE,"56-60")+COUNTIFS(集計用!$G:$G, "*, "&amp;$C24&amp;", *",集計用!$AE:$AE,"61-65"))/テーブル2[[#This Row],[n=]]*100</f>
        <v>8.8235294117647065</v>
      </c>
      <c r="N24" s="24">
        <f>COUNTIFS(集計用!$G:$G,"*, "&amp;$C24&amp;", *",集計用!$AE:$AE,"無回答")/テーブル2[[#This Row],[n=]]*100</f>
        <v>0</v>
      </c>
      <c r="P24" s="25"/>
    </row>
    <row r="25" spans="1:16" ht="12.75">
      <c r="A25" s="20">
        <v>4</v>
      </c>
      <c r="B25" s="20">
        <f>(COUNTIFS(集計用!$G:$G,"*, "&amp;$C25&amp;",*"))</f>
        <v>26</v>
      </c>
      <c r="C25" s="34" t="s">
        <v>20</v>
      </c>
      <c r="D25" s="98">
        <f>テーブル2[[#This Row],[n=]]/443*100</f>
        <v>5.8690744920993225</v>
      </c>
      <c r="E25" s="24">
        <f>(COUNTIFS(集計用!$G:$G, "*, "&amp;$C25&amp;", *",集計用!$AE:$AE,"11-15")+COUNTIFS(集計用!$G:$G, "*, "&amp;$C25&amp;", *",集計用!$AE:$AE,"16-20"))/テーブル2[[#This Row],[n=]]*100</f>
        <v>11.538461538461538</v>
      </c>
      <c r="F25" s="24">
        <f>(COUNTIFS(集計用!$G:$G, "*, "&amp;$C25&amp;", *",集計用!$AE:$AE,"21-25"))/テーブル2[[#This Row],[n=]]*100</f>
        <v>23.076923076923077</v>
      </c>
      <c r="G25" s="24">
        <f>COUNTIFS(集計用!$G:$G, "*, "&amp;$C25&amp;", *",集計用!$AE:$AE,"26-30")/テーブル2[[#This Row],[n=]]*100</f>
        <v>7.6923076923076925</v>
      </c>
      <c r="H25" s="24">
        <f>(COUNTIFS(集計用!$G:$G, "*, "&amp;$C25&amp;", *",集計用!$AE:$AE,"31-35"))/テーブル2[[#This Row],[n=]]*100</f>
        <v>19.230769230769234</v>
      </c>
      <c r="I25" s="24">
        <f>(COUNTIFS(集計用!$G:$G, "*, "&amp;$C25&amp;", *",集計用!$AE:$AE,"36-40"))/テーブル2[[#This Row],[n=]]*100</f>
        <v>15.384615384615385</v>
      </c>
      <c r="J25" s="24">
        <f>(COUNTIFS(集計用!$G:$G, "*, "&amp;$C25&amp;", *",集計用!$AE:$AE,"41-45"))/テーブル2[[#This Row],[n=]]*100</f>
        <v>11.538461538461538</v>
      </c>
      <c r="K25" s="24">
        <f>(COUNTIFS(集計用!$G:$G, "*, "&amp;$C25&amp;", *",集計用!$AE:$AE,"46-50"))/テーブル2[[#This Row],[n=]]*100</f>
        <v>0</v>
      </c>
      <c r="L25" s="24">
        <f>(COUNTIFS(集計用!$G:$G, "*, "&amp;$C25&amp;", *",集計用!$AE:$AE,"51-55")+COUNTIFS(集計用!$G:$G, "*, "&amp;$C25&amp;", *",集計用!$AE:$AE,"56-60")+COUNTIFS(集計用!$G:$G, "*, "&amp;$C25&amp;", *",集計用!$AE:$AE,"61-65"))/テーブル2[[#This Row],[n=]]*100</f>
        <v>11.538461538461538</v>
      </c>
      <c r="M25" s="24">
        <f>(COUNTIFS(集計用!$G:$G, "*, "&amp;$C25&amp;", *",集計用!$AE:$AE,"56-60")+COUNTIFS(集計用!$G:$G, "*, "&amp;$C25&amp;", *",集計用!$AE:$AE,"61-65"))/テーブル2[[#This Row],[n=]]*100</f>
        <v>7.6923076923076925</v>
      </c>
      <c r="N25" s="24">
        <f>COUNTIFS(集計用!$G:$G,"*, "&amp;$C25&amp;", *",集計用!$AE:$AE,"無回答")/テーブル2[[#This Row],[n=]]*100</f>
        <v>0</v>
      </c>
      <c r="P25" s="25"/>
    </row>
    <row r="26" spans="1:16" ht="12.75">
      <c r="A26" s="20">
        <v>4</v>
      </c>
      <c r="B26" s="20">
        <f>(COUNTIFS(集計用!$G:$G,"*, "&amp;$C26&amp;",*"))</f>
        <v>25</v>
      </c>
      <c r="C26" s="34" t="s">
        <v>23</v>
      </c>
      <c r="D26" s="98">
        <f>テーブル2[[#This Row],[n=]]/443*100</f>
        <v>5.6433408577878108</v>
      </c>
      <c r="E26" s="24">
        <f>(COUNTIFS(集計用!$G:$G, "*, "&amp;$C26&amp;", *",集計用!$AE:$AE,"11-15")+COUNTIFS(集計用!$G:$G, "*, "&amp;$C26&amp;", *",集計用!$AE:$AE,"16-20"))/テーブル2[[#This Row],[n=]]*100</f>
        <v>4</v>
      </c>
      <c r="F26" s="24">
        <f>(COUNTIFS(集計用!$G:$G, "*, "&amp;$C26&amp;", *",集計用!$AE:$AE,"21-25"))/テーブル2[[#This Row],[n=]]*100</f>
        <v>16</v>
      </c>
      <c r="G26" s="24">
        <f>COUNTIFS(集計用!$G:$G, "*, "&amp;$C26&amp;", *",集計用!$AE:$AE,"26-30")/テーブル2[[#This Row],[n=]]*100</f>
        <v>20</v>
      </c>
      <c r="H26" s="24">
        <f>(COUNTIFS(集計用!$G:$G, "*, "&amp;$C26&amp;", *",集計用!$AE:$AE,"31-35"))/テーブル2[[#This Row],[n=]]*100</f>
        <v>32</v>
      </c>
      <c r="I26" s="24">
        <f>(COUNTIFS(集計用!$G:$G, "*, "&amp;$C26&amp;", *",集計用!$AE:$AE,"36-40"))/テーブル2[[#This Row],[n=]]*100</f>
        <v>4</v>
      </c>
      <c r="J26" s="24">
        <f>(COUNTIFS(集計用!$G:$G, "*, "&amp;$C26&amp;", *",集計用!$AE:$AE,"41-45"))/テーブル2[[#This Row],[n=]]*100</f>
        <v>12</v>
      </c>
      <c r="K26" s="24">
        <f>(COUNTIFS(集計用!$G:$G, "*, "&amp;$C26&amp;", *",集計用!$AE:$AE,"46-50"))/テーブル2[[#This Row],[n=]]*100</f>
        <v>4</v>
      </c>
      <c r="L26" s="24">
        <f>(COUNTIFS(集計用!$G:$G, "*, "&amp;$C26&amp;", *",集計用!$AE:$AE,"51-55")+COUNTIFS(集計用!$G:$G, "*, "&amp;$C26&amp;", *",集計用!$AE:$AE,"56-60")+COUNTIFS(集計用!$G:$G, "*, "&amp;$C26&amp;", *",集計用!$AE:$AE,"61-65"))/テーブル2[[#This Row],[n=]]*100</f>
        <v>8</v>
      </c>
      <c r="M26" s="24">
        <f>(COUNTIFS(集計用!$G:$G, "*, "&amp;$C26&amp;", *",集計用!$AE:$AE,"56-60")+COUNTIFS(集計用!$G:$G, "*, "&amp;$C26&amp;", *",集計用!$AE:$AE,"61-65"))/テーブル2[[#This Row],[n=]]*100</f>
        <v>8</v>
      </c>
      <c r="N26" s="24">
        <f>COUNTIFS(集計用!$G:$G,"*, "&amp;$C26&amp;", *",集計用!$AE:$AE,"無回答")/テーブル2[[#This Row],[n=]]*100</f>
        <v>0</v>
      </c>
      <c r="P26" s="25"/>
    </row>
    <row r="27" spans="1:16" ht="15.75" customHeight="1">
      <c r="A27" s="20">
        <v>5</v>
      </c>
      <c r="B27" s="20">
        <f>(COUNTIFS(集計用!$G:$G,"*, "&amp;$C27&amp;",*"))</f>
        <v>25</v>
      </c>
      <c r="C27" s="34" t="s">
        <v>22</v>
      </c>
      <c r="D27" s="98">
        <f>テーブル2[[#This Row],[n=]]/443*100</f>
        <v>5.6433408577878108</v>
      </c>
      <c r="E27" s="24">
        <f>(COUNTIFS(集計用!$G:$G, "*, "&amp;$C27&amp;", *",集計用!$AE:$AE,"11-15")+COUNTIFS(集計用!$G:$G, "*, "&amp;$C27&amp;", *",集計用!$AE:$AE,"16-20"))/テーブル2[[#This Row],[n=]]*100</f>
        <v>12</v>
      </c>
      <c r="F27" s="24">
        <f>(COUNTIFS(集計用!$G:$G, "*, "&amp;$C27&amp;", *",集計用!$AE:$AE,"21-25"))/テーブル2[[#This Row],[n=]]*100</f>
        <v>32</v>
      </c>
      <c r="G27" s="24">
        <f>COUNTIFS(集計用!$G:$G, "*, "&amp;$C27&amp;", *",集計用!$AE:$AE,"26-30")/テーブル2[[#This Row],[n=]]*100</f>
        <v>12</v>
      </c>
      <c r="H27" s="24">
        <f>(COUNTIFS(集計用!$G:$G, "*, "&amp;$C27&amp;", *",集計用!$AE:$AE,"31-35"))/テーブル2[[#This Row],[n=]]*100</f>
        <v>16</v>
      </c>
      <c r="I27" s="24">
        <f>(COUNTIFS(集計用!$G:$G, "*, "&amp;$C27&amp;", *",集計用!$AE:$AE,"36-40"))/テーブル2[[#This Row],[n=]]*100</f>
        <v>8</v>
      </c>
      <c r="J27" s="24">
        <f>(COUNTIFS(集計用!$G:$G, "*, "&amp;$C27&amp;", *",集計用!$AE:$AE,"41-45"))/テーブル2[[#This Row],[n=]]*100</f>
        <v>8</v>
      </c>
      <c r="K27" s="24">
        <f>(COUNTIFS(集計用!$G:$G, "*, "&amp;$C27&amp;", *",集計用!$AE:$AE,"46-50"))/テーブル2[[#This Row],[n=]]*100</f>
        <v>4</v>
      </c>
      <c r="L27" s="24">
        <f>(COUNTIFS(集計用!$G:$G, "*, "&amp;$C27&amp;", *",集計用!$AE:$AE,"51-55")+COUNTIFS(集計用!$G:$G, "*, "&amp;$C27&amp;", *",集計用!$AE:$AE,"56-60")+COUNTIFS(集計用!$G:$G, "*, "&amp;$C27&amp;", *",集計用!$AE:$AE,"61-65"))/テーブル2[[#This Row],[n=]]*100</f>
        <v>8</v>
      </c>
      <c r="M27" s="24">
        <f>(COUNTIFS(集計用!$G:$G, "*, "&amp;$C27&amp;", *",集計用!$AE:$AE,"56-60")+COUNTIFS(集計用!$G:$G, "*, "&amp;$C27&amp;", *",集計用!$AE:$AE,"61-65"))/テーブル2[[#This Row],[n=]]*100</f>
        <v>4</v>
      </c>
      <c r="N27" s="24">
        <f>COUNTIFS(集計用!$G:$G,"*, "&amp;$C27&amp;", *",集計用!$AE:$AE,"無回答")/テーブル2[[#This Row],[n=]]*100</f>
        <v>0</v>
      </c>
      <c r="P27" s="25"/>
    </row>
    <row r="28" spans="1:16" ht="15.75" customHeight="1">
      <c r="A28" s="20">
        <v>5</v>
      </c>
      <c r="B28" s="20">
        <f>(COUNTIFS(集計用!$G:$G,"*, "&amp;$C28&amp;",*"))</f>
        <v>25</v>
      </c>
      <c r="C28" s="34" t="s">
        <v>21</v>
      </c>
      <c r="D28" s="98">
        <f>テーブル2[[#This Row],[n=]]/443*100</f>
        <v>5.6433408577878108</v>
      </c>
      <c r="E28" s="24">
        <f>(COUNTIFS(集計用!$G:$G, "*, "&amp;$C28&amp;", *",集計用!$AE:$AE,"11-15")+COUNTIFS(集計用!$G:$G, "*, "&amp;$C28&amp;", *",集計用!$AE:$AE,"16-20"))/テーブル2[[#This Row],[n=]]*100</f>
        <v>4</v>
      </c>
      <c r="F28" s="24">
        <f>(COUNTIFS(集計用!$G:$G, "*, "&amp;$C28&amp;", *",集計用!$AE:$AE,"21-25"))/テーブル2[[#This Row],[n=]]*100</f>
        <v>24</v>
      </c>
      <c r="G28" s="24">
        <f>COUNTIFS(集計用!$G:$G, "*, "&amp;$C28&amp;", *",集計用!$AE:$AE,"26-30")/テーブル2[[#This Row],[n=]]*100</f>
        <v>28.000000000000004</v>
      </c>
      <c r="H28" s="24">
        <f>(COUNTIFS(集計用!$G:$G, "*, "&amp;$C28&amp;", *",集計用!$AE:$AE,"31-35"))/テーブル2[[#This Row],[n=]]*100</f>
        <v>12</v>
      </c>
      <c r="I28" s="24">
        <f>(COUNTIFS(集計用!$G:$G, "*, "&amp;$C28&amp;", *",集計用!$AE:$AE,"36-40"))/テーブル2[[#This Row],[n=]]*100</f>
        <v>16</v>
      </c>
      <c r="J28" s="24">
        <f>(COUNTIFS(集計用!$G:$G, "*, "&amp;$C28&amp;", *",集計用!$AE:$AE,"41-45"))/テーブル2[[#This Row],[n=]]*100</f>
        <v>8</v>
      </c>
      <c r="K28" s="24">
        <f>(COUNTIFS(集計用!$G:$G, "*, "&amp;$C28&amp;", *",集計用!$AE:$AE,"46-50"))/テーブル2[[#This Row],[n=]]*100</f>
        <v>4</v>
      </c>
      <c r="L28" s="24">
        <f>(COUNTIFS(集計用!$G:$G, "*, "&amp;$C28&amp;", *",集計用!$AE:$AE,"51-55")+COUNTIFS(集計用!$G:$G, "*, "&amp;$C28&amp;", *",集計用!$AE:$AE,"56-60")+COUNTIFS(集計用!$G:$G, "*, "&amp;$C28&amp;", *",集計用!$AE:$AE,"61-65"))/テーブル2[[#This Row],[n=]]*100</f>
        <v>4</v>
      </c>
      <c r="M28" s="24">
        <f>(COUNTIFS(集計用!$G:$G, "*, "&amp;$C28&amp;", *",集計用!$AE:$AE,"56-60")+COUNTIFS(集計用!$G:$G, "*, "&amp;$C28&amp;", *",集計用!$AE:$AE,"61-65"))/テーブル2[[#This Row],[n=]]*100</f>
        <v>0</v>
      </c>
      <c r="N28" s="24">
        <f>COUNTIFS(集計用!$G:$G,"*, "&amp;$C28&amp;", *",集計用!$AE:$AE,"無回答")/テーブル2[[#This Row],[n=]]*100</f>
        <v>0</v>
      </c>
      <c r="P28" s="25"/>
    </row>
    <row r="29" spans="1:16" ht="12.75">
      <c r="A29" s="20">
        <v>6</v>
      </c>
      <c r="B29" s="20">
        <f>(COUNTIFS(集計用!$G:$G,"*, "&amp;$C29&amp;",*"))</f>
        <v>22</v>
      </c>
      <c r="C29" s="34" t="s">
        <v>25</v>
      </c>
      <c r="D29" s="98">
        <f>テーブル2[[#This Row],[n=]]/443*100</f>
        <v>4.966139954853273</v>
      </c>
      <c r="E29" s="24">
        <f>(COUNTIFS(集計用!$G:$G, "*, "&amp;$C29&amp;", *",集計用!$AE:$AE,"11-15")+COUNTIFS(集計用!$G:$G, "*, "&amp;$C29&amp;", *",集計用!$AE:$AE,"16-20"))/テーブル2[[#This Row],[n=]]*100</f>
        <v>4.5454545454545459</v>
      </c>
      <c r="F29" s="24">
        <f>(COUNTIFS(集計用!$G:$G, "*, "&amp;$C29&amp;", *",集計用!$AE:$AE,"21-25"))/テーブル2[[#This Row],[n=]]*100</f>
        <v>27.27272727272727</v>
      </c>
      <c r="G29" s="24">
        <f>COUNTIFS(集計用!$G:$G, "*, "&amp;$C29&amp;", *",集計用!$AE:$AE,"26-30")/テーブル2[[#This Row],[n=]]*100</f>
        <v>9.0909090909090917</v>
      </c>
      <c r="H29" s="24">
        <f>(COUNTIFS(集計用!$G:$G, "*, "&amp;$C29&amp;", *",集計用!$AE:$AE,"31-35"))/テーブル2[[#This Row],[n=]]*100</f>
        <v>22.727272727272727</v>
      </c>
      <c r="I29" s="24">
        <f>(COUNTIFS(集計用!$G:$G, "*, "&amp;$C29&amp;", *",集計用!$AE:$AE,"36-40"))/テーブル2[[#This Row],[n=]]*100</f>
        <v>9.0909090909090917</v>
      </c>
      <c r="J29" s="24">
        <f>(COUNTIFS(集計用!$G:$G, "*, "&amp;$C29&amp;", *",集計用!$AE:$AE,"41-45"))/テーブル2[[#This Row],[n=]]*100</f>
        <v>9.0909090909090917</v>
      </c>
      <c r="K29" s="24">
        <f>(COUNTIFS(集計用!$G:$G, "*, "&amp;$C29&amp;", *",集計用!$AE:$AE,"46-50"))/テーブル2[[#This Row],[n=]]*100</f>
        <v>9.0909090909090917</v>
      </c>
      <c r="L29" s="24">
        <f>(COUNTIFS(集計用!$G:$G, "*, "&amp;$C29&amp;", *",集計用!$AE:$AE,"51-55")+COUNTIFS(集計用!$G:$G, "*, "&amp;$C29&amp;", *",集計用!$AE:$AE,"56-60")+COUNTIFS(集計用!$G:$G, "*, "&amp;$C29&amp;", *",集計用!$AE:$AE,"61-65"))/テーブル2[[#This Row],[n=]]*100</f>
        <v>9.0909090909090917</v>
      </c>
      <c r="M29" s="24">
        <f>(COUNTIFS(集計用!$G:$G, "*, "&amp;$C29&amp;", *",集計用!$AE:$AE,"56-60")+COUNTIFS(集計用!$G:$G, "*, "&amp;$C29&amp;", *",集計用!$AE:$AE,"61-65"))/テーブル2[[#This Row],[n=]]*100</f>
        <v>4.5454545454545459</v>
      </c>
      <c r="N29" s="24">
        <f>COUNTIFS(集計用!$G:$G,"*, "&amp;$C29&amp;", *",集計用!$AE:$AE,"無回答")/テーブル2[[#This Row],[n=]]*100</f>
        <v>0</v>
      </c>
      <c r="P29" s="25"/>
    </row>
    <row r="30" spans="1:16" ht="15.75" customHeight="1">
      <c r="A30" s="20">
        <v>4</v>
      </c>
      <c r="B30" s="20">
        <f>(COUNTIFS(集計用!$G:$G,"*, "&amp;$C30&amp;",*"))</f>
        <v>22</v>
      </c>
      <c r="C30" s="34" t="s">
        <v>24</v>
      </c>
      <c r="D30" s="98">
        <f>テーブル2[[#This Row],[n=]]/443*100</f>
        <v>4.966139954853273</v>
      </c>
      <c r="E30" s="24">
        <f>(COUNTIFS(集計用!$G:$G, "*, "&amp;$C30&amp;", *",集計用!$AE:$AE,"11-15")+COUNTIFS(集計用!$G:$G, "*, "&amp;$C30&amp;", *",集計用!$AE:$AE,"16-20"))/テーブル2[[#This Row],[n=]]*100</f>
        <v>27.27272727272727</v>
      </c>
      <c r="F30" s="24">
        <f>(COUNTIFS(集計用!$G:$G, "*, "&amp;$C30&amp;", *",集計用!$AE:$AE,"21-25"))/テーブル2[[#This Row],[n=]]*100</f>
        <v>22.727272727272727</v>
      </c>
      <c r="G30" s="24">
        <f>COUNTIFS(集計用!$G:$G, "*, "&amp;$C30&amp;", *",集計用!$AE:$AE,"26-30")/テーブル2[[#This Row],[n=]]*100</f>
        <v>13.636363636363635</v>
      </c>
      <c r="H30" s="24">
        <f>(COUNTIFS(集計用!$G:$G, "*, "&amp;$C30&amp;", *",集計用!$AE:$AE,"31-35"))/テーブル2[[#This Row],[n=]]*100</f>
        <v>13.636363636363635</v>
      </c>
      <c r="I30" s="24">
        <f>(COUNTIFS(集計用!$G:$G, "*, "&amp;$C30&amp;", *",集計用!$AE:$AE,"36-40"))/テーブル2[[#This Row],[n=]]*100</f>
        <v>9.0909090909090917</v>
      </c>
      <c r="J30" s="24">
        <f>(COUNTIFS(集計用!$G:$G, "*, "&amp;$C30&amp;", *",集計用!$AE:$AE,"41-45"))/テーブル2[[#This Row],[n=]]*100</f>
        <v>9.0909090909090917</v>
      </c>
      <c r="K30" s="24">
        <f>(COUNTIFS(集計用!$G:$G, "*, "&amp;$C30&amp;", *",集計用!$AE:$AE,"46-50"))/テーブル2[[#This Row],[n=]]*100</f>
        <v>0</v>
      </c>
      <c r="L30" s="24">
        <f>(COUNTIFS(集計用!$G:$G, "*, "&amp;$C30&amp;", *",集計用!$AE:$AE,"51-55")+COUNTIFS(集計用!$G:$G, "*, "&amp;$C30&amp;", *",集計用!$AE:$AE,"56-60")+COUNTIFS(集計用!$G:$G, "*, "&amp;$C30&amp;", *",集計用!$AE:$AE,"61-65"))/テーブル2[[#This Row],[n=]]*100</f>
        <v>4.5454545454545459</v>
      </c>
      <c r="M30" s="24">
        <f>(COUNTIFS(集計用!$G:$G, "*, "&amp;$C30&amp;", *",集計用!$AE:$AE,"56-60")+COUNTIFS(集計用!$G:$G, "*, "&amp;$C30&amp;", *",集計用!$AE:$AE,"61-65"))/テーブル2[[#This Row],[n=]]*100</f>
        <v>0</v>
      </c>
      <c r="N30" s="24">
        <f>COUNTIFS(集計用!$G:$G,"*, "&amp;$C30&amp;", *",集計用!$AE:$AE,"無回答")/テーブル2[[#This Row],[n=]]*100</f>
        <v>0</v>
      </c>
      <c r="P30" s="25"/>
    </row>
    <row r="31" spans="1:16" ht="12.75">
      <c r="A31" s="20">
        <v>6</v>
      </c>
      <c r="B31" s="20">
        <f>(COUNTIFS(集計用!$G:$G,"*, "&amp;$C31&amp;",*"))</f>
        <v>20</v>
      </c>
      <c r="C31" s="34" t="s">
        <v>26</v>
      </c>
      <c r="D31" s="98">
        <f>テーブル2[[#This Row],[n=]]/443*100</f>
        <v>4.5146726862302486</v>
      </c>
      <c r="E31" s="24">
        <f>(COUNTIFS(集計用!$G:$G, "*, "&amp;$C31&amp;", *",集計用!$AE:$AE,"11-15")+COUNTIFS(集計用!$G:$G, "*, "&amp;$C31&amp;", *",集計用!$AE:$AE,"16-20"))/テーブル2[[#This Row],[n=]]*100</f>
        <v>0</v>
      </c>
      <c r="F31" s="24">
        <f>(COUNTIFS(集計用!$G:$G, "*, "&amp;$C31&amp;", *",集計用!$AE:$AE,"21-25"))/テーブル2[[#This Row],[n=]]*100</f>
        <v>25</v>
      </c>
      <c r="G31" s="24">
        <f>COUNTIFS(集計用!$G:$G, "*, "&amp;$C31&amp;", *",集計用!$AE:$AE,"26-30")/テーブル2[[#This Row],[n=]]*100</f>
        <v>25</v>
      </c>
      <c r="H31" s="24">
        <f>(COUNTIFS(集計用!$G:$G, "*, "&amp;$C31&amp;", *",集計用!$AE:$AE,"31-35"))/テーブル2[[#This Row],[n=]]*100</f>
        <v>25</v>
      </c>
      <c r="I31" s="24">
        <f>(COUNTIFS(集計用!$G:$G, "*, "&amp;$C31&amp;", *",集計用!$AE:$AE,"36-40"))/テーブル2[[#This Row],[n=]]*100</f>
        <v>5</v>
      </c>
      <c r="J31" s="24">
        <f>(COUNTIFS(集計用!$G:$G, "*, "&amp;$C31&amp;", *",集計用!$AE:$AE,"41-45"))/テーブル2[[#This Row],[n=]]*100</f>
        <v>5</v>
      </c>
      <c r="K31" s="24">
        <f>(COUNTIFS(集計用!$G:$G, "*, "&amp;$C31&amp;", *",集計用!$AE:$AE,"46-50"))/テーブル2[[#This Row],[n=]]*100</f>
        <v>5</v>
      </c>
      <c r="L31" s="24">
        <f>(COUNTIFS(集計用!$G:$G, "*, "&amp;$C31&amp;", *",集計用!$AE:$AE,"51-55")+COUNTIFS(集計用!$G:$G, "*, "&amp;$C31&amp;", *",集計用!$AE:$AE,"56-60")+COUNTIFS(集計用!$G:$G, "*, "&amp;$C31&amp;", *",集計用!$AE:$AE,"61-65"))/テーブル2[[#This Row],[n=]]*100</f>
        <v>10</v>
      </c>
      <c r="M31" s="24">
        <f>(COUNTIFS(集計用!$G:$G, "*, "&amp;$C31&amp;", *",集計用!$AE:$AE,"56-60")+COUNTIFS(集計用!$G:$G, "*, "&amp;$C31&amp;", *",集計用!$AE:$AE,"61-65"))/テーブル2[[#This Row],[n=]]*100</f>
        <v>5</v>
      </c>
      <c r="N31" s="24">
        <f>COUNTIFS(集計用!$G:$G,"*, "&amp;$C31&amp;", *",集計用!$AE:$AE,"無回答")/テーブル2[[#This Row],[n=]]*100</f>
        <v>0</v>
      </c>
      <c r="P31" s="25"/>
    </row>
    <row r="32" spans="1:16" ht="12.75">
      <c r="A32" s="20">
        <v>4</v>
      </c>
      <c r="B32" s="20">
        <f>(COUNTIFS(集計用!$G:$G,"*, "&amp;$C32&amp;",*"))</f>
        <v>19</v>
      </c>
      <c r="C32" s="34" t="s">
        <v>27</v>
      </c>
      <c r="D32" s="98">
        <f>テーブル2[[#This Row],[n=]]/443*100</f>
        <v>4.288939051918736</v>
      </c>
      <c r="E32" s="24">
        <f>(COUNTIFS(集計用!$G:$G, "*, "&amp;$C32&amp;", *",集計用!$AE:$AE,"11-15")+COUNTIFS(集計用!$G:$G, "*, "&amp;$C32&amp;", *",集計用!$AE:$AE,"16-20"))/テーブル2[[#This Row],[n=]]*100</f>
        <v>21.052631578947366</v>
      </c>
      <c r="F32" s="24">
        <f>(COUNTIFS(集計用!$G:$G, "*, "&amp;$C32&amp;", *",集計用!$AE:$AE,"21-25"))/テーブル2[[#This Row],[n=]]*100</f>
        <v>36.84210526315789</v>
      </c>
      <c r="G32" s="24">
        <f>COUNTIFS(集計用!$G:$G, "*, "&amp;$C32&amp;", *",集計用!$AE:$AE,"26-30")/テーブル2[[#This Row],[n=]]*100</f>
        <v>10.526315789473683</v>
      </c>
      <c r="H32" s="24">
        <f>(COUNTIFS(集計用!$G:$G, "*, "&amp;$C32&amp;", *",集計用!$AE:$AE,"31-35"))/テーブル2[[#This Row],[n=]]*100</f>
        <v>21.052631578947366</v>
      </c>
      <c r="I32" s="24">
        <f>(COUNTIFS(集計用!$G:$G, "*, "&amp;$C32&amp;", *",集計用!$AE:$AE,"36-40"))/テーブル2[[#This Row],[n=]]*100</f>
        <v>0</v>
      </c>
      <c r="J32" s="24">
        <f>(COUNTIFS(集計用!$G:$G, "*, "&amp;$C32&amp;", *",集計用!$AE:$AE,"41-45"))/テーブル2[[#This Row],[n=]]*100</f>
        <v>5.2631578947368416</v>
      </c>
      <c r="K32" s="24">
        <f>(COUNTIFS(集計用!$G:$G, "*, "&amp;$C32&amp;", *",集計用!$AE:$AE,"46-50"))/テーブル2[[#This Row],[n=]]*100</f>
        <v>5.2631578947368416</v>
      </c>
      <c r="L32" s="24">
        <f>(COUNTIFS(集計用!$G:$G, "*, "&amp;$C32&amp;", *",集計用!$AE:$AE,"51-55")+COUNTIFS(集計用!$G:$G, "*, "&amp;$C32&amp;", *",集計用!$AE:$AE,"56-60")+COUNTIFS(集計用!$G:$G, "*, "&amp;$C32&amp;", *",集計用!$AE:$AE,"61-65"))/テーブル2[[#This Row],[n=]]*100</f>
        <v>0</v>
      </c>
      <c r="M32" s="24">
        <f>(COUNTIFS(集計用!$G:$G, "*, "&amp;$C32&amp;", *",集計用!$AE:$AE,"56-60")+COUNTIFS(集計用!$G:$G, "*, "&amp;$C32&amp;", *",集計用!$AE:$AE,"61-65"))/テーブル2[[#This Row],[n=]]*100</f>
        <v>0</v>
      </c>
      <c r="N32" s="24">
        <f>COUNTIFS(集計用!$G:$G,"*, "&amp;$C32&amp;", *",集計用!$AE:$AE,"無回答")/テーブル2[[#This Row],[n=]]*100</f>
        <v>0</v>
      </c>
      <c r="P32" s="25"/>
    </row>
    <row r="33" spans="1:16" ht="12.75">
      <c r="A33" s="20">
        <v>5</v>
      </c>
      <c r="B33" s="20">
        <f>(COUNTIFS(集計用!$G:$G,"*, "&amp;$C33&amp;",*"))</f>
        <v>18</v>
      </c>
      <c r="C33" s="34" t="s">
        <v>28</v>
      </c>
      <c r="D33" s="98">
        <f>テーブル2[[#This Row],[n=]]/443*100</f>
        <v>4.0632054176072234</v>
      </c>
      <c r="E33" s="24">
        <f>(COUNTIFS(集計用!$G:$G, "*, "&amp;$C33&amp;", *",集計用!$AE:$AE,"11-15")+COUNTIFS(集計用!$G:$G, "*, "&amp;$C33&amp;", *",集計用!$AE:$AE,"16-20"))/テーブル2[[#This Row],[n=]]*100</f>
        <v>0</v>
      </c>
      <c r="F33" s="24">
        <f>(COUNTIFS(集計用!$G:$G, "*, "&amp;$C33&amp;", *",集計用!$AE:$AE,"21-25"))/テーブル2[[#This Row],[n=]]*100</f>
        <v>27.777777777777779</v>
      </c>
      <c r="G33" s="24">
        <f>COUNTIFS(集計用!$G:$G, "*, "&amp;$C33&amp;", *",集計用!$AE:$AE,"26-30")/テーブル2[[#This Row],[n=]]*100</f>
        <v>27.777777777777779</v>
      </c>
      <c r="H33" s="24">
        <f>(COUNTIFS(集計用!$G:$G, "*, "&amp;$C33&amp;", *",集計用!$AE:$AE,"31-35"))/テーブル2[[#This Row],[n=]]*100</f>
        <v>16.666666666666664</v>
      </c>
      <c r="I33" s="24">
        <f>(COUNTIFS(集計用!$G:$G, "*, "&amp;$C33&amp;", *",集計用!$AE:$AE,"36-40"))/テーブル2[[#This Row],[n=]]*100</f>
        <v>0</v>
      </c>
      <c r="J33" s="24">
        <f>(COUNTIFS(集計用!$G:$G, "*, "&amp;$C33&amp;", *",集計用!$AE:$AE,"41-45"))/テーブル2[[#This Row],[n=]]*100</f>
        <v>11.111111111111111</v>
      </c>
      <c r="K33" s="24">
        <f>(COUNTIFS(集計用!$G:$G, "*, "&amp;$C33&amp;", *",集計用!$AE:$AE,"46-50"))/テーブル2[[#This Row],[n=]]*100</f>
        <v>11.111111111111111</v>
      </c>
      <c r="L33" s="24">
        <f>(COUNTIFS(集計用!$G:$G, "*, "&amp;$C33&amp;", *",集計用!$AE:$AE,"51-55")+COUNTIFS(集計用!$G:$G, "*, "&amp;$C33&amp;", *",集計用!$AE:$AE,"56-60")+COUNTIFS(集計用!$G:$G, "*, "&amp;$C33&amp;", *",集計用!$AE:$AE,"61-65"))/テーブル2[[#This Row],[n=]]*100</f>
        <v>5.5555555555555554</v>
      </c>
      <c r="M33" s="24">
        <f>(COUNTIFS(集計用!$G:$G, "*, "&amp;$C33&amp;", *",集計用!$AE:$AE,"56-60")+COUNTIFS(集計用!$G:$G, "*, "&amp;$C33&amp;", *",集計用!$AE:$AE,"61-65"))/テーブル2[[#This Row],[n=]]*100</f>
        <v>5.5555555555555554</v>
      </c>
      <c r="N33" s="24">
        <f>COUNTIFS(集計用!$G:$G,"*, "&amp;$C33&amp;", *",集計用!$AE:$AE,"無回答")/テーブル2[[#This Row],[n=]]*100</f>
        <v>0</v>
      </c>
      <c r="P33" s="25"/>
    </row>
    <row r="34" spans="1:16" ht="15.75" customHeight="1">
      <c r="A34" s="20">
        <v>5</v>
      </c>
      <c r="B34" s="20">
        <f>(COUNTIFS(集計用!$G:$G,"*, "&amp;$C34&amp;",*"))</f>
        <v>18</v>
      </c>
      <c r="C34" s="34" t="s">
        <v>29</v>
      </c>
      <c r="D34" s="98">
        <f>テーブル2[[#This Row],[n=]]/443*100</f>
        <v>4.0632054176072234</v>
      </c>
      <c r="E34" s="24">
        <f>(COUNTIFS(集計用!$G:$G, "*, "&amp;$C34&amp;", *",集計用!$AE:$AE,"11-15")+COUNTIFS(集計用!$G:$G, "*, "&amp;$C34&amp;", *",集計用!$AE:$AE,"16-20"))/テーブル2[[#This Row],[n=]]*100</f>
        <v>5.5555555555555554</v>
      </c>
      <c r="F34" s="24">
        <f>(COUNTIFS(集計用!$G:$G, "*, "&amp;$C34&amp;", *",集計用!$AE:$AE,"21-25"))/テーブル2[[#This Row],[n=]]*100</f>
        <v>50</v>
      </c>
      <c r="G34" s="24">
        <f>COUNTIFS(集計用!$G:$G, "*, "&amp;$C34&amp;", *",集計用!$AE:$AE,"26-30")/テーブル2[[#This Row],[n=]]*100</f>
        <v>16.666666666666664</v>
      </c>
      <c r="H34" s="24">
        <f>(COUNTIFS(集計用!$G:$G, "*, "&amp;$C34&amp;", *",集計用!$AE:$AE,"31-35"))/テーブル2[[#This Row],[n=]]*100</f>
        <v>11.111111111111111</v>
      </c>
      <c r="I34" s="24">
        <f>(COUNTIFS(集計用!$G:$G, "*, "&amp;$C34&amp;", *",集計用!$AE:$AE,"36-40"))/テーブル2[[#This Row],[n=]]*100</f>
        <v>5.5555555555555554</v>
      </c>
      <c r="J34" s="24">
        <f>(COUNTIFS(集計用!$G:$G, "*, "&amp;$C34&amp;", *",集計用!$AE:$AE,"41-45"))/テーブル2[[#This Row],[n=]]*100</f>
        <v>5.5555555555555554</v>
      </c>
      <c r="K34" s="24">
        <f>(COUNTIFS(集計用!$G:$G, "*, "&amp;$C34&amp;", *",集計用!$AE:$AE,"46-50"))/テーブル2[[#This Row],[n=]]*100</f>
        <v>5.5555555555555554</v>
      </c>
      <c r="L34" s="24">
        <f>(COUNTIFS(集計用!$G:$G, "*, "&amp;$C34&amp;", *",集計用!$AE:$AE,"51-55")+COUNTIFS(集計用!$G:$G, "*, "&amp;$C34&amp;", *",集計用!$AE:$AE,"56-60")+COUNTIFS(集計用!$G:$G, "*, "&amp;$C34&amp;", *",集計用!$AE:$AE,"61-65"))/テーブル2[[#This Row],[n=]]*100</f>
        <v>0</v>
      </c>
      <c r="M34" s="24">
        <f>(COUNTIFS(集計用!$G:$G, "*, "&amp;$C34&amp;", *",集計用!$AE:$AE,"56-60")+COUNTIFS(集計用!$G:$G, "*, "&amp;$C34&amp;", *",集計用!$AE:$AE,"61-65"))/テーブル2[[#This Row],[n=]]*100</f>
        <v>0</v>
      </c>
      <c r="N34" s="24">
        <f>COUNTIFS(集計用!$G:$G,"*, "&amp;$C34&amp;", *",集計用!$AE:$AE,"無回答")/テーブル2[[#This Row],[n=]]*100</f>
        <v>0</v>
      </c>
      <c r="P34" s="25"/>
    </row>
    <row r="35" spans="1:16" ht="15.75" customHeight="1">
      <c r="A35" s="20">
        <v>4</v>
      </c>
      <c r="B35" s="20">
        <f>(COUNTIFS(集計用!$G:$G,"*, "&amp;$C35&amp;",*"))</f>
        <v>16</v>
      </c>
      <c r="C35" s="34" t="s">
        <v>31</v>
      </c>
      <c r="D35" s="98">
        <f>テーブル2[[#This Row],[n=]]/443*100</f>
        <v>3.6117381489841982</v>
      </c>
      <c r="E35" s="24">
        <f>(COUNTIFS(集計用!$G:$G, "*, "&amp;$C35&amp;", *",集計用!$AE:$AE,"11-15")+COUNTIFS(集計用!$G:$G, "*, "&amp;$C35&amp;", *",集計用!$AE:$AE,"16-20"))/テーブル2[[#This Row],[n=]]*100</f>
        <v>6.25</v>
      </c>
      <c r="F35" s="24">
        <f>(COUNTIFS(集計用!$G:$G, "*, "&amp;$C35&amp;", *",集計用!$AE:$AE,"21-25"))/テーブル2[[#This Row],[n=]]*100</f>
        <v>43.75</v>
      </c>
      <c r="G35" s="24">
        <f>COUNTIFS(集計用!$G:$G, "*, "&amp;$C35&amp;", *",集計用!$AE:$AE,"26-30")/テーブル2[[#This Row],[n=]]*100</f>
        <v>0</v>
      </c>
      <c r="H35" s="24">
        <f>(COUNTIFS(集計用!$G:$G, "*, "&amp;$C35&amp;", *",集計用!$AE:$AE,"31-35"))/テーブル2[[#This Row],[n=]]*100</f>
        <v>31.25</v>
      </c>
      <c r="I35" s="24">
        <f>(COUNTIFS(集計用!$G:$G, "*, "&amp;$C35&amp;", *",集計用!$AE:$AE,"36-40"))/テーブル2[[#This Row],[n=]]*100</f>
        <v>0</v>
      </c>
      <c r="J35" s="24">
        <f>(COUNTIFS(集計用!$G:$G, "*, "&amp;$C35&amp;", *",集計用!$AE:$AE,"41-45"))/テーブル2[[#This Row],[n=]]*100</f>
        <v>0</v>
      </c>
      <c r="K35" s="24">
        <f>(COUNTIFS(集計用!$G:$G, "*, "&amp;$C35&amp;", *",集計用!$AE:$AE,"46-50"))/テーブル2[[#This Row],[n=]]*100</f>
        <v>12.5</v>
      </c>
      <c r="L35" s="24">
        <f>(COUNTIFS(集計用!$G:$G, "*, "&amp;$C35&amp;", *",集計用!$AE:$AE,"51-55")+COUNTIFS(集計用!$G:$G, "*, "&amp;$C35&amp;", *",集計用!$AE:$AE,"56-60")+COUNTIFS(集計用!$G:$G, "*, "&amp;$C35&amp;", *",集計用!$AE:$AE,"61-65"))/テーブル2[[#This Row],[n=]]*100</f>
        <v>6.25</v>
      </c>
      <c r="M35" s="24">
        <f>(COUNTIFS(集計用!$G:$G, "*, "&amp;$C35&amp;", *",集計用!$AE:$AE,"56-60")+COUNTIFS(集計用!$G:$G, "*, "&amp;$C35&amp;", *",集計用!$AE:$AE,"61-65"))/テーブル2[[#This Row],[n=]]*100</f>
        <v>6.25</v>
      </c>
      <c r="N35" s="24">
        <f>COUNTIFS(集計用!$G:$G,"*, "&amp;$C35&amp;", *",集計用!$AE:$AE,"無回答")/テーブル2[[#This Row],[n=]]*100</f>
        <v>0</v>
      </c>
      <c r="P35" s="25"/>
    </row>
    <row r="36" spans="1:16" ht="15.75" customHeight="1">
      <c r="A36" s="20">
        <v>4</v>
      </c>
      <c r="B36" s="20">
        <f>(COUNTIFS(集計用!$G:$G,"*, "&amp;$C36&amp;",*"))</f>
        <v>16</v>
      </c>
      <c r="C36" s="34" t="s">
        <v>32</v>
      </c>
      <c r="D36" s="98">
        <f>テーブル2[[#This Row],[n=]]/443*100</f>
        <v>3.6117381489841982</v>
      </c>
      <c r="E36" s="24">
        <f>(COUNTIFS(集計用!$G:$G, "*, "&amp;$C36&amp;", *",集計用!$AE:$AE,"11-15")+COUNTIFS(集計用!$G:$G, "*, "&amp;$C36&amp;", *",集計用!$AE:$AE,"16-20"))/テーブル2[[#This Row],[n=]]*100</f>
        <v>12.5</v>
      </c>
      <c r="F36" s="24">
        <f>(COUNTIFS(集計用!$G:$G, "*, "&amp;$C36&amp;", *",集計用!$AE:$AE,"21-25"))/テーブル2[[#This Row],[n=]]*100</f>
        <v>25</v>
      </c>
      <c r="G36" s="24">
        <f>COUNTIFS(集計用!$G:$G, "*, "&amp;$C36&amp;", *",集計用!$AE:$AE,"26-30")/テーブル2[[#This Row],[n=]]*100</f>
        <v>6.25</v>
      </c>
      <c r="H36" s="24">
        <f>(COUNTIFS(集計用!$G:$G, "*, "&amp;$C36&amp;", *",集計用!$AE:$AE,"31-35"))/テーブル2[[#This Row],[n=]]*100</f>
        <v>31.25</v>
      </c>
      <c r="I36" s="24">
        <f>(COUNTIFS(集計用!$G:$G, "*, "&amp;$C36&amp;", *",集計用!$AE:$AE,"36-40"))/テーブル2[[#This Row],[n=]]*100</f>
        <v>18.75</v>
      </c>
      <c r="J36" s="24">
        <f>(COUNTIFS(集計用!$G:$G, "*, "&amp;$C36&amp;", *",集計用!$AE:$AE,"41-45"))/テーブル2[[#This Row],[n=]]*100</f>
        <v>0</v>
      </c>
      <c r="K36" s="24">
        <f>(COUNTIFS(集計用!$G:$G, "*, "&amp;$C36&amp;", *",集計用!$AE:$AE,"46-50"))/テーブル2[[#This Row],[n=]]*100</f>
        <v>0</v>
      </c>
      <c r="L36" s="24">
        <f>(COUNTIFS(集計用!$G:$G, "*, "&amp;$C36&amp;", *",集計用!$AE:$AE,"51-55")+COUNTIFS(集計用!$G:$G, "*, "&amp;$C36&amp;", *",集計用!$AE:$AE,"56-60")+COUNTIFS(集計用!$G:$G, "*, "&amp;$C36&amp;", *",集計用!$AE:$AE,"61-65"))/テーブル2[[#This Row],[n=]]*100</f>
        <v>6.25</v>
      </c>
      <c r="M36" s="24">
        <f>(COUNTIFS(集計用!$G:$G, "*, "&amp;$C36&amp;", *",集計用!$AE:$AE,"56-60")+COUNTIFS(集計用!$G:$G, "*, "&amp;$C36&amp;", *",集計用!$AE:$AE,"61-65"))/テーブル2[[#This Row],[n=]]*100</f>
        <v>0</v>
      </c>
      <c r="N36" s="24">
        <f>COUNTIFS(集計用!$G:$G,"*, "&amp;$C36&amp;", *",集計用!$AE:$AE,"無回答")/テーブル2[[#This Row],[n=]]*100</f>
        <v>0</v>
      </c>
      <c r="P36" s="25"/>
    </row>
    <row r="37" spans="1:16" ht="15.75" customHeight="1">
      <c r="A37" s="20">
        <v>5</v>
      </c>
      <c r="B37" s="20">
        <f>(COUNTIFS(集計用!$G:$G,"*, "&amp;$C37&amp;",*"))</f>
        <v>16</v>
      </c>
      <c r="C37" s="34" t="s">
        <v>30</v>
      </c>
      <c r="D37" s="98">
        <f>テーブル2[[#This Row],[n=]]/443*100</f>
        <v>3.6117381489841982</v>
      </c>
      <c r="E37" s="24">
        <f>(COUNTIFS(集計用!$G:$G, "*, "&amp;$C37&amp;", *",集計用!$AE:$AE,"11-15")+COUNTIFS(集計用!$G:$G, "*, "&amp;$C37&amp;", *",集計用!$AE:$AE,"16-20"))/テーブル2[[#This Row],[n=]]*100</f>
        <v>6.25</v>
      </c>
      <c r="F37" s="24">
        <f>(COUNTIFS(集計用!$G:$G, "*, "&amp;$C37&amp;", *",集計用!$AE:$AE,"21-25"))/テーブル2[[#This Row],[n=]]*100</f>
        <v>25</v>
      </c>
      <c r="G37" s="24">
        <f>COUNTIFS(集計用!$G:$G, "*, "&amp;$C37&amp;", *",集計用!$AE:$AE,"26-30")/テーブル2[[#This Row],[n=]]*100</f>
        <v>25</v>
      </c>
      <c r="H37" s="24">
        <f>(COUNTIFS(集計用!$G:$G, "*, "&amp;$C37&amp;", *",集計用!$AE:$AE,"31-35"))/テーブル2[[#This Row],[n=]]*100</f>
        <v>18.75</v>
      </c>
      <c r="I37" s="24">
        <f>(COUNTIFS(集計用!$G:$G, "*, "&amp;$C37&amp;", *",集計用!$AE:$AE,"36-40"))/テーブル2[[#This Row],[n=]]*100</f>
        <v>0</v>
      </c>
      <c r="J37" s="24">
        <f>(COUNTIFS(集計用!$G:$G, "*, "&amp;$C37&amp;", *",集計用!$AE:$AE,"41-45"))/テーブル2[[#This Row],[n=]]*100</f>
        <v>18.75</v>
      </c>
      <c r="K37" s="24">
        <f>(COUNTIFS(集計用!$G:$G, "*, "&amp;$C37&amp;", *",集計用!$AE:$AE,"46-50"))/テーブル2[[#This Row],[n=]]*100</f>
        <v>6.25</v>
      </c>
      <c r="L37" s="24">
        <f>(COUNTIFS(集計用!$G:$G, "*, "&amp;$C37&amp;", *",集計用!$AE:$AE,"51-55")+COUNTIFS(集計用!$G:$G, "*, "&amp;$C37&amp;", *",集計用!$AE:$AE,"56-60")+COUNTIFS(集計用!$G:$G, "*, "&amp;$C37&amp;", *",集計用!$AE:$AE,"61-65"))/テーブル2[[#This Row],[n=]]*100</f>
        <v>0</v>
      </c>
      <c r="M37" s="24">
        <f>(COUNTIFS(集計用!$G:$G, "*, "&amp;$C37&amp;", *",集計用!$AE:$AE,"56-60")+COUNTIFS(集計用!$G:$G, "*, "&amp;$C37&amp;", *",集計用!$AE:$AE,"61-65"))/テーブル2[[#This Row],[n=]]*100</f>
        <v>0</v>
      </c>
      <c r="N37" s="24">
        <f>COUNTIFS(集計用!$G:$G,"*, "&amp;$C37&amp;", *",集計用!$AE:$AE,"無回答")/テーブル2[[#This Row],[n=]]*100</f>
        <v>0</v>
      </c>
      <c r="P37" s="25"/>
    </row>
    <row r="38" spans="1:16" ht="12.75">
      <c r="A38" s="20">
        <v>5</v>
      </c>
      <c r="B38" s="20">
        <f>(COUNTIFS(集計用!$G:$G,"*, "&amp;$C38&amp;",*"))</f>
        <v>15</v>
      </c>
      <c r="C38" s="34" t="s">
        <v>35</v>
      </c>
      <c r="D38" s="98">
        <f>テーブル2[[#This Row],[n=]]/443*100</f>
        <v>3.3860045146726865</v>
      </c>
      <c r="E38" s="24">
        <f>(COUNTIFS(集計用!$G:$G, "*, "&amp;$C38&amp;", *",集計用!$AE:$AE,"11-15")+COUNTIFS(集計用!$G:$G, "*, "&amp;$C38&amp;", *",集計用!$AE:$AE,"16-20"))/テーブル2[[#This Row],[n=]]*100</f>
        <v>0</v>
      </c>
      <c r="F38" s="24">
        <f>(COUNTIFS(集計用!$G:$G, "*, "&amp;$C38&amp;", *",集計用!$AE:$AE,"21-25"))/テーブル2[[#This Row],[n=]]*100</f>
        <v>20</v>
      </c>
      <c r="G38" s="24">
        <f>COUNTIFS(集計用!$G:$G, "*, "&amp;$C38&amp;", *",集計用!$AE:$AE,"26-30")/テーブル2[[#This Row],[n=]]*100</f>
        <v>6.666666666666667</v>
      </c>
      <c r="H38" s="24">
        <f>(COUNTIFS(集計用!$G:$G, "*, "&amp;$C38&amp;", *",集計用!$AE:$AE,"31-35"))/テーブル2[[#This Row],[n=]]*100</f>
        <v>6.666666666666667</v>
      </c>
      <c r="I38" s="24">
        <f>(COUNTIFS(集計用!$G:$G, "*, "&amp;$C38&amp;", *",集計用!$AE:$AE,"36-40"))/テーブル2[[#This Row],[n=]]*100</f>
        <v>6.666666666666667</v>
      </c>
      <c r="J38" s="24">
        <f>(COUNTIFS(集計用!$G:$G, "*, "&amp;$C38&amp;", *",集計用!$AE:$AE,"41-45"))/テーブル2[[#This Row],[n=]]*100</f>
        <v>6.666666666666667</v>
      </c>
      <c r="K38" s="24">
        <f>(COUNTIFS(集計用!$G:$G, "*, "&amp;$C38&amp;", *",集計用!$AE:$AE,"46-50"))/テーブル2[[#This Row],[n=]]*100</f>
        <v>20</v>
      </c>
      <c r="L38" s="24">
        <f>(COUNTIFS(集計用!$G:$G, "*, "&amp;$C38&amp;", *",集計用!$AE:$AE,"51-55")+COUNTIFS(集計用!$G:$G, "*, "&amp;$C38&amp;", *",集計用!$AE:$AE,"56-60")+COUNTIFS(集計用!$G:$G, "*, "&amp;$C38&amp;", *",集計用!$AE:$AE,"61-65"))/テーブル2[[#This Row],[n=]]*100</f>
        <v>33.333333333333329</v>
      </c>
      <c r="M38" s="24">
        <f>(COUNTIFS(集計用!$G:$G, "*, "&amp;$C38&amp;", *",集計用!$AE:$AE,"56-60")+COUNTIFS(集計用!$G:$G, "*, "&amp;$C38&amp;", *",集計用!$AE:$AE,"61-65"))/テーブル2[[#This Row],[n=]]*100</f>
        <v>26.666666666666668</v>
      </c>
      <c r="N38" s="24">
        <f>COUNTIFS(集計用!$G:$G,"*, "&amp;$C38&amp;", *",集計用!$AE:$AE,"無回答")/テーブル2[[#This Row],[n=]]*100</f>
        <v>0</v>
      </c>
      <c r="P38" s="25"/>
    </row>
    <row r="39" spans="1:16" ht="12.75">
      <c r="A39" s="20">
        <v>5</v>
      </c>
      <c r="B39" s="20">
        <f>(COUNTIFS(集計用!$G:$G,"*, "&amp;$C39&amp;",*"))</f>
        <v>15</v>
      </c>
      <c r="C39" s="34" t="s">
        <v>34</v>
      </c>
      <c r="D39" s="98">
        <f>テーブル2[[#This Row],[n=]]/443*100</f>
        <v>3.3860045146726865</v>
      </c>
      <c r="E39" s="24">
        <f>(COUNTIFS(集計用!$G:$G, "*, "&amp;$C39&amp;", *",集計用!$AE:$AE,"11-15")+COUNTIFS(集計用!$G:$G, "*, "&amp;$C39&amp;", *",集計用!$AE:$AE,"16-20"))/テーブル2[[#This Row],[n=]]*100</f>
        <v>0</v>
      </c>
      <c r="F39" s="24">
        <f>(COUNTIFS(集計用!$G:$G, "*, "&amp;$C39&amp;", *",集計用!$AE:$AE,"21-25"))/テーブル2[[#This Row],[n=]]*100</f>
        <v>26.666666666666668</v>
      </c>
      <c r="G39" s="24">
        <f>COUNTIFS(集計用!$G:$G, "*, "&amp;$C39&amp;", *",集計用!$AE:$AE,"26-30")/テーブル2[[#This Row],[n=]]*100</f>
        <v>6.666666666666667</v>
      </c>
      <c r="H39" s="24">
        <f>(COUNTIFS(集計用!$G:$G, "*, "&amp;$C39&amp;", *",集計用!$AE:$AE,"31-35"))/テーブル2[[#This Row],[n=]]*100</f>
        <v>33.333333333333329</v>
      </c>
      <c r="I39" s="24">
        <f>(COUNTIFS(集計用!$G:$G, "*, "&amp;$C39&amp;", *",集計用!$AE:$AE,"36-40"))/テーブル2[[#This Row],[n=]]*100</f>
        <v>6.666666666666667</v>
      </c>
      <c r="J39" s="24">
        <f>(COUNTIFS(集計用!$G:$G, "*, "&amp;$C39&amp;", *",集計用!$AE:$AE,"41-45"))/テーブル2[[#This Row],[n=]]*100</f>
        <v>0</v>
      </c>
      <c r="K39" s="24">
        <f>(COUNTIFS(集計用!$G:$G, "*, "&amp;$C39&amp;", *",集計用!$AE:$AE,"46-50"))/テーブル2[[#This Row],[n=]]*100</f>
        <v>13.333333333333334</v>
      </c>
      <c r="L39" s="24">
        <f>(COUNTIFS(集計用!$G:$G, "*, "&amp;$C39&amp;", *",集計用!$AE:$AE,"51-55")+COUNTIFS(集計用!$G:$G, "*, "&amp;$C39&amp;", *",集計用!$AE:$AE,"56-60")+COUNTIFS(集計用!$G:$G, "*, "&amp;$C39&amp;", *",集計用!$AE:$AE,"61-65"))/テーブル2[[#This Row],[n=]]*100</f>
        <v>13.333333333333334</v>
      </c>
      <c r="M39" s="24">
        <f>(COUNTIFS(集計用!$G:$G, "*, "&amp;$C39&amp;", *",集計用!$AE:$AE,"56-60")+COUNTIFS(集計用!$G:$G, "*, "&amp;$C39&amp;", *",集計用!$AE:$AE,"61-65"))/テーブル2[[#This Row],[n=]]*100</f>
        <v>6.666666666666667</v>
      </c>
      <c r="N39" s="24">
        <f>COUNTIFS(集計用!$G:$G,"*, "&amp;$C39&amp;", *",集計用!$AE:$AE,"無回答")/テーブル2[[#This Row],[n=]]*100</f>
        <v>0</v>
      </c>
      <c r="P39" s="25"/>
    </row>
    <row r="40" spans="1:16" ht="12.75">
      <c r="A40" s="20">
        <v>4</v>
      </c>
      <c r="B40" s="20">
        <f>(COUNTIFS(集計用!$G:$G,"*, "&amp;$C40&amp;",*"))</f>
        <v>15</v>
      </c>
      <c r="C40" s="34" t="s">
        <v>33</v>
      </c>
      <c r="D40" s="98">
        <f>テーブル2[[#This Row],[n=]]/443*100</f>
        <v>3.3860045146726865</v>
      </c>
      <c r="E40" s="24">
        <f>(COUNTIFS(集計用!$G:$G, "*, "&amp;$C40&amp;", *",集計用!$AE:$AE,"11-15")+COUNTIFS(集計用!$G:$G, "*, "&amp;$C40&amp;", *",集計用!$AE:$AE,"16-20"))/テーブル2[[#This Row],[n=]]*100</f>
        <v>13.333333333333334</v>
      </c>
      <c r="F40" s="24">
        <f>(COUNTIFS(集計用!$G:$G, "*, "&amp;$C40&amp;", *",集計用!$AE:$AE,"21-25"))/テーブル2[[#This Row],[n=]]*100</f>
        <v>46.666666666666664</v>
      </c>
      <c r="G40" s="24">
        <f>COUNTIFS(集計用!$G:$G, "*, "&amp;$C40&amp;", *",集計用!$AE:$AE,"26-30")/テーブル2[[#This Row],[n=]]*100</f>
        <v>0</v>
      </c>
      <c r="H40" s="24">
        <f>(COUNTIFS(集計用!$G:$G, "*, "&amp;$C40&amp;", *",集計用!$AE:$AE,"31-35"))/テーブル2[[#This Row],[n=]]*100</f>
        <v>40</v>
      </c>
      <c r="I40" s="24">
        <f>(COUNTIFS(集計用!$G:$G, "*, "&amp;$C40&amp;", *",集計用!$AE:$AE,"36-40"))/テーブル2[[#This Row],[n=]]*100</f>
        <v>0</v>
      </c>
      <c r="J40" s="24">
        <f>(COUNTIFS(集計用!$G:$G, "*, "&amp;$C40&amp;", *",集計用!$AE:$AE,"41-45"))/テーブル2[[#This Row],[n=]]*100</f>
        <v>0</v>
      </c>
      <c r="K40" s="24">
        <f>(COUNTIFS(集計用!$G:$G, "*, "&amp;$C40&amp;", *",集計用!$AE:$AE,"46-50"))/テーブル2[[#This Row],[n=]]*100</f>
        <v>0</v>
      </c>
      <c r="L40" s="24">
        <f>(COUNTIFS(集計用!$G:$G, "*, "&amp;$C40&amp;", *",集計用!$AE:$AE,"51-55")+COUNTIFS(集計用!$G:$G, "*, "&amp;$C40&amp;", *",集計用!$AE:$AE,"56-60")+COUNTIFS(集計用!$G:$G, "*, "&amp;$C40&amp;", *",集計用!$AE:$AE,"61-65"))/テーブル2[[#This Row],[n=]]*100</f>
        <v>0</v>
      </c>
      <c r="M40" s="24">
        <f>(COUNTIFS(集計用!$G:$G, "*, "&amp;$C40&amp;", *",集計用!$AE:$AE,"56-60")+COUNTIFS(集計用!$G:$G, "*, "&amp;$C40&amp;", *",集計用!$AE:$AE,"61-65"))/テーブル2[[#This Row],[n=]]*100</f>
        <v>0</v>
      </c>
      <c r="N40" s="24">
        <f>COUNTIFS(集計用!$G:$G,"*, "&amp;$C40&amp;", *",集計用!$AE:$AE,"無回答")/テーブル2[[#This Row],[n=]]*100</f>
        <v>0</v>
      </c>
      <c r="P40" s="25"/>
    </row>
    <row r="41" spans="1:16" ht="12.75">
      <c r="A41" s="20">
        <v>4</v>
      </c>
      <c r="B41" s="20">
        <f>(COUNTIFS(集計用!$G:$G,"*, "&amp;$C41&amp;",*"))</f>
        <v>13</v>
      </c>
      <c r="C41" s="34" t="s">
        <v>36</v>
      </c>
      <c r="D41" s="98">
        <f>テーブル2[[#This Row],[n=]]/443*100</f>
        <v>2.9345372460496613</v>
      </c>
      <c r="E41" s="24">
        <f>(COUNTIFS(集計用!$G:$G, "*, "&amp;$C41&amp;", *",集計用!$AE:$AE,"11-15")+COUNTIFS(集計用!$G:$G, "*, "&amp;$C41&amp;", *",集計用!$AE:$AE,"16-20"))/テーブル2[[#This Row],[n=]]*100</f>
        <v>7.6923076923076925</v>
      </c>
      <c r="F41" s="24">
        <f>(COUNTIFS(集計用!$G:$G, "*, "&amp;$C41&amp;", *",集計用!$AE:$AE,"21-25"))/テーブル2[[#This Row],[n=]]*100</f>
        <v>53.846153846153847</v>
      </c>
      <c r="G41" s="24">
        <f>COUNTIFS(集計用!$G:$G, "*, "&amp;$C41&amp;", *",集計用!$AE:$AE,"26-30")/テーブル2[[#This Row],[n=]]*100</f>
        <v>0</v>
      </c>
      <c r="H41" s="24">
        <f>(COUNTIFS(集計用!$G:$G, "*, "&amp;$C41&amp;", *",集計用!$AE:$AE,"31-35"))/テーブル2[[#This Row],[n=]]*100</f>
        <v>23.076923076923077</v>
      </c>
      <c r="I41" s="24">
        <f>(COUNTIFS(集計用!$G:$G, "*, "&amp;$C41&amp;", *",集計用!$AE:$AE,"36-40"))/テーブル2[[#This Row],[n=]]*100</f>
        <v>0</v>
      </c>
      <c r="J41" s="24">
        <f>(COUNTIFS(集計用!$G:$G, "*, "&amp;$C41&amp;", *",集計用!$AE:$AE,"41-45"))/テーブル2[[#This Row],[n=]]*100</f>
        <v>0</v>
      </c>
      <c r="K41" s="24">
        <f>(COUNTIFS(集計用!$G:$G, "*, "&amp;$C41&amp;", *",集計用!$AE:$AE,"46-50"))/テーブル2[[#This Row],[n=]]*100</f>
        <v>7.6923076923076925</v>
      </c>
      <c r="L41" s="24">
        <f>(COUNTIFS(集計用!$G:$G, "*, "&amp;$C41&amp;", *",集計用!$AE:$AE,"51-55")+COUNTIFS(集計用!$G:$G, "*, "&amp;$C41&amp;", *",集計用!$AE:$AE,"56-60")+COUNTIFS(集計用!$G:$G, "*, "&amp;$C41&amp;", *",集計用!$AE:$AE,"61-65"))/テーブル2[[#This Row],[n=]]*100</f>
        <v>7.6923076923076925</v>
      </c>
      <c r="M41" s="24">
        <f>(COUNTIFS(集計用!$G:$G, "*, "&amp;$C41&amp;", *",集計用!$AE:$AE,"56-60")+COUNTIFS(集計用!$G:$G, "*, "&amp;$C41&amp;", *",集計用!$AE:$AE,"61-65"))/テーブル2[[#This Row],[n=]]*100</f>
        <v>7.6923076923076925</v>
      </c>
      <c r="N41" s="24">
        <f>COUNTIFS(集計用!$G:$G,"*, "&amp;$C41&amp;", *",集計用!$AE:$AE,"無回答")/テーブル2[[#This Row],[n=]]*100</f>
        <v>0</v>
      </c>
      <c r="P41" s="25"/>
    </row>
    <row r="42" spans="1:16" ht="12.75">
      <c r="A42" s="20">
        <v>4</v>
      </c>
      <c r="B42" s="20">
        <f>(COUNTIFS(集計用!$G:$G,"*, "&amp;$C42&amp;",*"))</f>
        <v>13</v>
      </c>
      <c r="C42" s="34" t="s">
        <v>37</v>
      </c>
      <c r="D42" s="98">
        <f>テーブル2[[#This Row],[n=]]/443*100</f>
        <v>2.9345372460496613</v>
      </c>
      <c r="E42" s="24">
        <f>(COUNTIFS(集計用!$G:$G, "*, "&amp;$C42&amp;", *",集計用!$AE:$AE,"11-15")+COUNTIFS(集計用!$G:$G, "*, "&amp;$C42&amp;", *",集計用!$AE:$AE,"16-20"))/テーブル2[[#This Row],[n=]]*100</f>
        <v>7.6923076923076925</v>
      </c>
      <c r="F42" s="24">
        <f>(COUNTIFS(集計用!$G:$G, "*, "&amp;$C42&amp;", *",集計用!$AE:$AE,"21-25"))/テーブル2[[#This Row],[n=]]*100</f>
        <v>46.153846153846153</v>
      </c>
      <c r="G42" s="24">
        <f>COUNTIFS(集計用!$G:$G, "*, "&amp;$C42&amp;", *",集計用!$AE:$AE,"26-30")/テーブル2[[#This Row],[n=]]*100</f>
        <v>7.6923076923076925</v>
      </c>
      <c r="H42" s="24">
        <f>(COUNTIFS(集計用!$G:$G, "*, "&amp;$C42&amp;", *",集計用!$AE:$AE,"31-35"))/テーブル2[[#This Row],[n=]]*100</f>
        <v>23.076923076923077</v>
      </c>
      <c r="I42" s="24">
        <f>(COUNTIFS(集計用!$G:$G, "*, "&amp;$C42&amp;", *",集計用!$AE:$AE,"36-40"))/テーブル2[[#This Row],[n=]]*100</f>
        <v>0</v>
      </c>
      <c r="J42" s="24">
        <f>(COUNTIFS(集計用!$G:$G, "*, "&amp;$C42&amp;", *",集計用!$AE:$AE,"41-45"))/テーブル2[[#This Row],[n=]]*100</f>
        <v>0</v>
      </c>
      <c r="K42" s="24">
        <f>(COUNTIFS(集計用!$G:$G, "*, "&amp;$C42&amp;", *",集計用!$AE:$AE,"46-50"))/テーブル2[[#This Row],[n=]]*100</f>
        <v>7.6923076923076925</v>
      </c>
      <c r="L42" s="24">
        <f>(COUNTIFS(集計用!$G:$G, "*, "&amp;$C42&amp;", *",集計用!$AE:$AE,"51-55")+COUNTIFS(集計用!$G:$G, "*, "&amp;$C42&amp;", *",集計用!$AE:$AE,"56-60")+COUNTIFS(集計用!$G:$G, "*, "&amp;$C42&amp;", *",集計用!$AE:$AE,"61-65"))/テーブル2[[#This Row],[n=]]*100</f>
        <v>7.6923076923076925</v>
      </c>
      <c r="M42" s="24">
        <f>(COUNTIFS(集計用!$G:$G, "*, "&amp;$C42&amp;", *",集計用!$AE:$AE,"56-60")+COUNTIFS(集計用!$G:$G, "*, "&amp;$C42&amp;", *",集計用!$AE:$AE,"61-65"))/テーブル2[[#This Row],[n=]]*100</f>
        <v>0</v>
      </c>
      <c r="N42" s="24">
        <f>COUNTIFS(集計用!$G:$G,"*, "&amp;$C42&amp;", *",集計用!$AE:$AE,"無回答")/テーブル2[[#This Row],[n=]]*100</f>
        <v>0</v>
      </c>
      <c r="P42" s="25"/>
    </row>
    <row r="43" spans="1:16" ht="12.75">
      <c r="A43" s="20">
        <v>5</v>
      </c>
      <c r="B43" s="20">
        <f>(COUNTIFS(集計用!$G:$G,"*, "&amp;$C43&amp;",*"))</f>
        <v>12</v>
      </c>
      <c r="C43" s="34" t="s">
        <v>39</v>
      </c>
      <c r="D43" s="98">
        <f>テーブル2[[#This Row],[n=]]/443*100</f>
        <v>2.7088036117381491</v>
      </c>
      <c r="E43" s="24">
        <f>(COUNTIFS(集計用!$G:$G, "*, "&amp;$C43&amp;", *",集計用!$AE:$AE,"11-15")+COUNTIFS(集計用!$G:$G, "*, "&amp;$C43&amp;", *",集計用!$AE:$AE,"16-20"))/テーブル2[[#This Row],[n=]]*100</f>
        <v>8.3333333333333321</v>
      </c>
      <c r="F43" s="24">
        <f>(COUNTIFS(集計用!$G:$G, "*, "&amp;$C43&amp;", *",集計用!$AE:$AE,"21-25"))/テーブル2[[#This Row],[n=]]*100</f>
        <v>33.333333333333329</v>
      </c>
      <c r="G43" s="24">
        <f>COUNTIFS(集計用!$G:$G, "*, "&amp;$C43&amp;", *",集計用!$AE:$AE,"26-30")/テーブル2[[#This Row],[n=]]*100</f>
        <v>0</v>
      </c>
      <c r="H43" s="24">
        <f>(COUNTIFS(集計用!$G:$G, "*, "&amp;$C43&amp;", *",集計用!$AE:$AE,"31-35"))/テーブル2[[#This Row],[n=]]*100</f>
        <v>16.666666666666664</v>
      </c>
      <c r="I43" s="24">
        <f>(COUNTIFS(集計用!$G:$G, "*, "&amp;$C43&amp;", *",集計用!$AE:$AE,"36-40"))/テーブル2[[#This Row],[n=]]*100</f>
        <v>0</v>
      </c>
      <c r="J43" s="24">
        <f>(COUNTIFS(集計用!$G:$G, "*, "&amp;$C43&amp;", *",集計用!$AE:$AE,"41-45"))/テーブル2[[#This Row],[n=]]*100</f>
        <v>0</v>
      </c>
      <c r="K43" s="24">
        <f>(COUNTIFS(集計用!$G:$G, "*, "&amp;$C43&amp;", *",集計用!$AE:$AE,"46-50"))/テーブル2[[#This Row],[n=]]*100</f>
        <v>16.666666666666664</v>
      </c>
      <c r="L43" s="24">
        <f>(COUNTIFS(集計用!$G:$G, "*, "&amp;$C43&amp;", *",集計用!$AE:$AE,"51-55")+COUNTIFS(集計用!$G:$G, "*, "&amp;$C43&amp;", *",集計用!$AE:$AE,"56-60")+COUNTIFS(集計用!$G:$G, "*, "&amp;$C43&amp;", *",集計用!$AE:$AE,"61-65"))/テーブル2[[#This Row],[n=]]*100</f>
        <v>25</v>
      </c>
      <c r="M43" s="24">
        <f>(COUNTIFS(集計用!$G:$G, "*, "&amp;$C43&amp;", *",集計用!$AE:$AE,"56-60")+COUNTIFS(集計用!$G:$G, "*, "&amp;$C43&amp;", *",集計用!$AE:$AE,"61-65"))/テーブル2[[#This Row],[n=]]*100</f>
        <v>16.666666666666664</v>
      </c>
      <c r="N43" s="24">
        <f>COUNTIFS(集計用!$G:$G,"*, "&amp;$C43&amp;", *",集計用!$AE:$AE,"無回答")/テーブル2[[#This Row],[n=]]*100</f>
        <v>0</v>
      </c>
      <c r="P43" s="25"/>
    </row>
    <row r="44" spans="1:16" ht="14.25" customHeight="1">
      <c r="A44" s="20">
        <v>5</v>
      </c>
      <c r="B44" s="20">
        <f>(COUNTIFS(集計用!$G:$G,"*, "&amp;$C44&amp;",*"))</f>
        <v>12</v>
      </c>
      <c r="C44" s="34" t="s">
        <v>38</v>
      </c>
      <c r="D44" s="98">
        <f>テーブル2[[#This Row],[n=]]/443*100</f>
        <v>2.7088036117381491</v>
      </c>
      <c r="E44" s="24">
        <f>(COUNTIFS(集計用!$G:$G, "*, "&amp;$C44&amp;", *",集計用!$AE:$AE,"11-15")+COUNTIFS(集計用!$G:$G, "*, "&amp;$C44&amp;", *",集計用!$AE:$AE,"16-20"))/テーブル2[[#This Row],[n=]]*100</f>
        <v>8.3333333333333321</v>
      </c>
      <c r="F44" s="24">
        <f>(COUNTIFS(集計用!$G:$G, "*, "&amp;$C44&amp;", *",集計用!$AE:$AE,"21-25"))/テーブル2[[#This Row],[n=]]*100</f>
        <v>33.333333333333329</v>
      </c>
      <c r="G44" s="24">
        <f>COUNTIFS(集計用!$G:$G, "*, "&amp;$C44&amp;", *",集計用!$AE:$AE,"26-30")/テーブル2[[#This Row],[n=]]*100</f>
        <v>41.666666666666671</v>
      </c>
      <c r="H44" s="24">
        <f>(COUNTIFS(集計用!$G:$G, "*, "&amp;$C44&amp;", *",集計用!$AE:$AE,"31-35"))/テーブル2[[#This Row],[n=]]*100</f>
        <v>16.666666666666664</v>
      </c>
      <c r="I44" s="24">
        <f>(COUNTIFS(集計用!$G:$G, "*, "&amp;$C44&amp;", *",集計用!$AE:$AE,"36-40"))/テーブル2[[#This Row],[n=]]*100</f>
        <v>0</v>
      </c>
      <c r="J44" s="24">
        <f>(COUNTIFS(集計用!$G:$G, "*, "&amp;$C44&amp;", *",集計用!$AE:$AE,"41-45"))/テーブル2[[#This Row],[n=]]*100</f>
        <v>0</v>
      </c>
      <c r="K44" s="24">
        <f>(COUNTIFS(集計用!$G:$G, "*, "&amp;$C44&amp;", *",集計用!$AE:$AE,"46-50"))/テーブル2[[#This Row],[n=]]*100</f>
        <v>0</v>
      </c>
      <c r="L44" s="24">
        <f>(COUNTIFS(集計用!$G:$G, "*, "&amp;$C44&amp;", *",集計用!$AE:$AE,"51-55")+COUNTIFS(集計用!$G:$G, "*, "&amp;$C44&amp;", *",集計用!$AE:$AE,"56-60")+COUNTIFS(集計用!$G:$G, "*, "&amp;$C44&amp;", *",集計用!$AE:$AE,"61-65"))/テーブル2[[#This Row],[n=]]*100</f>
        <v>0</v>
      </c>
      <c r="M44" s="24">
        <f>(COUNTIFS(集計用!$G:$G, "*, "&amp;$C44&amp;", *",集計用!$AE:$AE,"56-60")+COUNTIFS(集計用!$G:$G, "*, "&amp;$C44&amp;", *",集計用!$AE:$AE,"61-65"))/テーブル2[[#This Row],[n=]]*100</f>
        <v>0</v>
      </c>
      <c r="N44" s="24">
        <f>COUNTIFS(集計用!$G:$G,"*, "&amp;$C44&amp;", *",集計用!$AE:$AE,"無回答")/テーブル2[[#This Row],[n=]]*100</f>
        <v>0</v>
      </c>
      <c r="P44" s="25"/>
    </row>
    <row r="45" spans="1:16" ht="14.25" customHeight="1">
      <c r="A45" s="20">
        <v>4</v>
      </c>
      <c r="B45" s="20">
        <f>(COUNTIFS(集計用!$G:$G,"*, "&amp;$C45&amp;",*"))</f>
        <v>9</v>
      </c>
      <c r="C45" s="34" t="s">
        <v>40</v>
      </c>
      <c r="D45" s="98">
        <f>テーブル2[[#This Row],[n=]]/443*100</f>
        <v>2.0316027088036117</v>
      </c>
      <c r="E45" s="24">
        <f>(COUNTIFS(集計用!$G:$G, "*, "&amp;$C45&amp;", *",集計用!$AE:$AE,"11-15")+COUNTIFS(集計用!$G:$G, "*, "&amp;$C45&amp;", *",集計用!$AE:$AE,"16-20"))/テーブル2[[#This Row],[n=]]*100</f>
        <v>11.111111111111111</v>
      </c>
      <c r="F45" s="24">
        <f>(COUNTIFS(集計用!$G:$G, "*, "&amp;$C45&amp;", *",集計用!$AE:$AE,"21-25"))/テーブル2[[#This Row],[n=]]*100</f>
        <v>44.444444444444443</v>
      </c>
      <c r="G45" s="24">
        <f>COUNTIFS(集計用!$G:$G, "*, "&amp;$C45&amp;", *",集計用!$AE:$AE,"26-30")/テーブル2[[#This Row],[n=]]*100</f>
        <v>0</v>
      </c>
      <c r="H45" s="24">
        <f>(COUNTIFS(集計用!$G:$G, "*, "&amp;$C45&amp;", *",集計用!$AE:$AE,"31-35"))/テーブル2[[#This Row],[n=]]*100</f>
        <v>22.222222222222221</v>
      </c>
      <c r="I45" s="24">
        <f>(COUNTIFS(集計用!$G:$G, "*, "&amp;$C45&amp;", *",集計用!$AE:$AE,"36-40"))/テーブル2[[#This Row],[n=]]*100</f>
        <v>11.111111111111111</v>
      </c>
      <c r="J45" s="24">
        <f>(COUNTIFS(集計用!$G:$G, "*, "&amp;$C45&amp;", *",集計用!$AE:$AE,"41-45"))/テーブル2[[#This Row],[n=]]*100</f>
        <v>0</v>
      </c>
      <c r="K45" s="24">
        <f>(COUNTIFS(集計用!$G:$G, "*, "&amp;$C45&amp;", *",集計用!$AE:$AE,"46-50"))/テーブル2[[#This Row],[n=]]*100</f>
        <v>0</v>
      </c>
      <c r="L45" s="24">
        <f>(COUNTIFS(集計用!$G:$G, "*, "&amp;$C45&amp;", *",集計用!$AE:$AE,"51-55")+COUNTIFS(集計用!$G:$G, "*, "&amp;$C45&amp;", *",集計用!$AE:$AE,"56-60")+COUNTIFS(集計用!$G:$G, "*, "&amp;$C45&amp;", *",集計用!$AE:$AE,"61-65"))/テーブル2[[#This Row],[n=]]*100</f>
        <v>11.111111111111111</v>
      </c>
      <c r="M45" s="24">
        <f>(COUNTIFS(集計用!$G:$G, "*, "&amp;$C45&amp;", *",集計用!$AE:$AE,"56-60")+COUNTIFS(集計用!$G:$G, "*, "&amp;$C45&amp;", *",集計用!$AE:$AE,"61-65"))/テーブル2[[#This Row],[n=]]*100</f>
        <v>11.111111111111111</v>
      </c>
      <c r="N45" s="24">
        <f>COUNTIFS(集計用!$G:$G,"*, "&amp;$C45&amp;", *",集計用!$AE:$AE,"無回答")/テーブル2[[#This Row],[n=]]*100</f>
        <v>0</v>
      </c>
      <c r="P45" s="25"/>
    </row>
    <row r="46" spans="1:16" ht="14.25" customHeight="1">
      <c r="A46" s="20">
        <v>6</v>
      </c>
      <c r="B46" s="20">
        <f>(COUNTIFS(集計用!$G:$G,"*, "&amp;$C46&amp;",*"))</f>
        <v>9</v>
      </c>
      <c r="C46" s="34" t="s">
        <v>41</v>
      </c>
      <c r="D46" s="98">
        <f>テーブル2[[#This Row],[n=]]/443*100</f>
        <v>2.0316027088036117</v>
      </c>
      <c r="E46" s="24">
        <f>(COUNTIFS(集計用!$G:$G, "*, "&amp;$C46&amp;", *",集計用!$AE:$AE,"11-15")+COUNTIFS(集計用!$G:$G, "*, "&amp;$C46&amp;", *",集計用!$AE:$AE,"16-20"))/テーブル2[[#This Row],[n=]]*100</f>
        <v>0</v>
      </c>
      <c r="F46" s="24">
        <f>(COUNTIFS(集計用!$G:$G, "*, "&amp;$C46&amp;", *",集計用!$AE:$AE,"21-25"))/テーブル2[[#This Row],[n=]]*100</f>
        <v>33.333333333333329</v>
      </c>
      <c r="G46" s="24">
        <f>COUNTIFS(集計用!$G:$G, "*, "&amp;$C46&amp;", *",集計用!$AE:$AE,"26-30")/テーブル2[[#This Row],[n=]]*100</f>
        <v>11.111111111111111</v>
      </c>
      <c r="H46" s="24">
        <f>(COUNTIFS(集計用!$G:$G, "*, "&amp;$C46&amp;", *",集計用!$AE:$AE,"31-35"))/テーブル2[[#This Row],[n=]]*100</f>
        <v>22.222222222222221</v>
      </c>
      <c r="I46" s="24">
        <f>(COUNTIFS(集計用!$G:$G, "*, "&amp;$C46&amp;", *",集計用!$AE:$AE,"36-40"))/テーブル2[[#This Row],[n=]]*100</f>
        <v>0</v>
      </c>
      <c r="J46" s="24">
        <f>(COUNTIFS(集計用!$G:$G, "*, "&amp;$C46&amp;", *",集計用!$AE:$AE,"41-45"))/テーブル2[[#This Row],[n=]]*100</f>
        <v>0</v>
      </c>
      <c r="K46" s="24">
        <f>(COUNTIFS(集計用!$G:$G, "*, "&amp;$C46&amp;", *",集計用!$AE:$AE,"46-50"))/テーブル2[[#This Row],[n=]]*100</f>
        <v>11.111111111111111</v>
      </c>
      <c r="L46" s="24">
        <f>(COUNTIFS(集計用!$G:$G, "*, "&amp;$C46&amp;", *",集計用!$AE:$AE,"51-55")+COUNTIFS(集計用!$G:$G, "*, "&amp;$C46&amp;", *",集計用!$AE:$AE,"56-60")+COUNTIFS(集計用!$G:$G, "*, "&amp;$C46&amp;", *",集計用!$AE:$AE,"61-65"))/テーブル2[[#This Row],[n=]]*100</f>
        <v>22.222222222222221</v>
      </c>
      <c r="M46" s="24">
        <f>(COUNTIFS(集計用!$G:$G, "*, "&amp;$C46&amp;", *",集計用!$AE:$AE,"56-60")+COUNTIFS(集計用!$G:$G, "*, "&amp;$C46&amp;", *",集計用!$AE:$AE,"61-65"))/テーブル2[[#This Row],[n=]]*100</f>
        <v>11.111111111111111</v>
      </c>
      <c r="N46" s="24">
        <f>COUNTIFS(集計用!$G:$G,"*, "&amp;$C46&amp;", *",集計用!$AE:$AE,"無回答")/テーブル2[[#This Row],[n=]]*100</f>
        <v>0</v>
      </c>
      <c r="P46" s="25"/>
    </row>
    <row r="47" spans="1:16" ht="12.75">
      <c r="A47" s="20">
        <v>4</v>
      </c>
      <c r="B47" s="20">
        <f>(COUNTIFS(集計用!$G:$G,"*, "&amp;$C47&amp;",*"))</f>
        <v>8</v>
      </c>
      <c r="C47" s="34" t="s">
        <v>44</v>
      </c>
      <c r="D47" s="98">
        <f>テーブル2[[#This Row],[n=]]/443*100</f>
        <v>1.8058690744920991</v>
      </c>
      <c r="E47" s="24">
        <f>(COUNTIFS(集計用!$G:$G, "*, "&amp;$C47&amp;", *",集計用!$AE:$AE,"11-15")+COUNTIFS(集計用!$G:$G, "*, "&amp;$C47&amp;", *",集計用!$AE:$AE,"16-20"))/テーブル2[[#This Row],[n=]]*100</f>
        <v>0</v>
      </c>
      <c r="F47" s="24">
        <f>(COUNTIFS(集計用!$G:$G, "*, "&amp;$C47&amp;", *",集計用!$AE:$AE,"21-25"))/テーブル2[[#This Row],[n=]]*100</f>
        <v>37.5</v>
      </c>
      <c r="G47" s="24">
        <f>COUNTIFS(集計用!$G:$G, "*, "&amp;$C47&amp;", *",集計用!$AE:$AE,"26-30")/テーブル2[[#This Row],[n=]]*100</f>
        <v>0</v>
      </c>
      <c r="H47" s="24">
        <f>(COUNTIFS(集計用!$G:$G, "*, "&amp;$C47&amp;", *",集計用!$AE:$AE,"31-35"))/テーブル2[[#This Row],[n=]]*100</f>
        <v>0</v>
      </c>
      <c r="I47" s="24">
        <f>(COUNTIFS(集計用!$G:$G, "*, "&amp;$C47&amp;", *",集計用!$AE:$AE,"36-40"))/テーブル2[[#This Row],[n=]]*100</f>
        <v>12.5</v>
      </c>
      <c r="J47" s="24">
        <f>(COUNTIFS(集計用!$G:$G, "*, "&amp;$C47&amp;", *",集計用!$AE:$AE,"41-45"))/テーブル2[[#This Row],[n=]]*100</f>
        <v>12.5</v>
      </c>
      <c r="K47" s="24">
        <f>(COUNTIFS(集計用!$G:$G, "*, "&amp;$C47&amp;", *",集計用!$AE:$AE,"46-50"))/テーブル2[[#This Row],[n=]]*100</f>
        <v>12.5</v>
      </c>
      <c r="L47" s="24">
        <f>(COUNTIFS(集計用!$G:$G, "*, "&amp;$C47&amp;", *",集計用!$AE:$AE,"51-55")+COUNTIFS(集計用!$G:$G, "*, "&amp;$C47&amp;", *",集計用!$AE:$AE,"56-60")+COUNTIFS(集計用!$G:$G, "*, "&amp;$C47&amp;", *",集計用!$AE:$AE,"61-65"))/テーブル2[[#This Row],[n=]]*100</f>
        <v>25</v>
      </c>
      <c r="M47" s="24">
        <f>(COUNTIFS(集計用!$G:$G, "*, "&amp;$C47&amp;", *",集計用!$AE:$AE,"56-60")+COUNTIFS(集計用!$G:$G, "*, "&amp;$C47&amp;", *",集計用!$AE:$AE,"61-65"))/テーブル2[[#This Row],[n=]]*100</f>
        <v>0</v>
      </c>
      <c r="N47" s="24">
        <f>COUNTIFS(集計用!$G:$G,"*, "&amp;$C47&amp;", *",集計用!$AE:$AE,"無回答")/テーブル2[[#This Row],[n=]]*100</f>
        <v>0</v>
      </c>
      <c r="P47" s="25"/>
    </row>
    <row r="48" spans="1:16" ht="14.25" customHeight="1">
      <c r="A48" s="20">
        <v>4</v>
      </c>
      <c r="B48" s="20">
        <f>(COUNTIFS(集計用!$G:$G,"*, "&amp;$C48&amp;",*"))</f>
        <v>8</v>
      </c>
      <c r="C48" s="34" t="s">
        <v>43</v>
      </c>
      <c r="D48" s="98">
        <f>テーブル2[[#This Row],[n=]]/443*100</f>
        <v>1.8058690744920991</v>
      </c>
      <c r="E48" s="24">
        <f>(COUNTIFS(集計用!$G:$G, "*, "&amp;$C48&amp;", *",集計用!$AE:$AE,"11-15")+COUNTIFS(集計用!$G:$G, "*, "&amp;$C48&amp;", *",集計用!$AE:$AE,"16-20"))/テーブル2[[#This Row],[n=]]*100</f>
        <v>12.5</v>
      </c>
      <c r="F48" s="24">
        <f>(COUNTIFS(集計用!$G:$G, "*, "&amp;$C48&amp;", *",集計用!$AE:$AE,"21-25"))/テーブル2[[#This Row],[n=]]*100</f>
        <v>25</v>
      </c>
      <c r="G48" s="24">
        <f>COUNTIFS(集計用!$G:$G, "*, "&amp;$C48&amp;", *",集計用!$AE:$AE,"26-30")/テーブル2[[#This Row],[n=]]*100</f>
        <v>12.5</v>
      </c>
      <c r="H48" s="24">
        <f>(COUNTIFS(集計用!$G:$G, "*, "&amp;$C48&amp;", *",集計用!$AE:$AE,"31-35"))/テーブル2[[#This Row],[n=]]*100</f>
        <v>25</v>
      </c>
      <c r="I48" s="24">
        <f>(COUNTIFS(集計用!$G:$G, "*, "&amp;$C48&amp;", *",集計用!$AE:$AE,"36-40"))/テーブル2[[#This Row],[n=]]*100</f>
        <v>0</v>
      </c>
      <c r="J48" s="24">
        <f>(COUNTIFS(集計用!$G:$G, "*, "&amp;$C48&amp;", *",集計用!$AE:$AE,"41-45"))/テーブル2[[#This Row],[n=]]*100</f>
        <v>25</v>
      </c>
      <c r="K48" s="24">
        <f>(COUNTIFS(集計用!$G:$G, "*, "&amp;$C48&amp;", *",集計用!$AE:$AE,"46-50"))/テーブル2[[#This Row],[n=]]*100</f>
        <v>0</v>
      </c>
      <c r="L48" s="24">
        <f>(COUNTIFS(集計用!$G:$G, "*, "&amp;$C48&amp;", *",集計用!$AE:$AE,"51-55")+COUNTIFS(集計用!$G:$G, "*, "&amp;$C48&amp;", *",集計用!$AE:$AE,"56-60")+COUNTIFS(集計用!$G:$G, "*, "&amp;$C48&amp;", *",集計用!$AE:$AE,"61-65"))/テーブル2[[#This Row],[n=]]*100</f>
        <v>0</v>
      </c>
      <c r="M48" s="24">
        <f>(COUNTIFS(集計用!$G:$G, "*, "&amp;$C48&amp;", *",集計用!$AE:$AE,"56-60")+COUNTIFS(集計用!$G:$G, "*, "&amp;$C48&amp;", *",集計用!$AE:$AE,"61-65"))/テーブル2[[#This Row],[n=]]*100</f>
        <v>0</v>
      </c>
      <c r="N48" s="24">
        <f>COUNTIFS(集計用!$G:$G,"*, "&amp;$C48&amp;", *",集計用!$AE:$AE,"無回答")/テーブル2[[#This Row],[n=]]*100</f>
        <v>0</v>
      </c>
      <c r="P48" s="25"/>
    </row>
    <row r="49" spans="1:16" ht="14.25" customHeight="1">
      <c r="A49" s="20">
        <v>4</v>
      </c>
      <c r="B49" s="20">
        <f>(COUNTIFS(集計用!$G:$G,"*, "&amp;$C49&amp;",*"))</f>
        <v>8</v>
      </c>
      <c r="C49" s="34" t="s">
        <v>42</v>
      </c>
      <c r="D49" s="98">
        <f>テーブル2[[#This Row],[n=]]/443*100</f>
        <v>1.8058690744920991</v>
      </c>
      <c r="E49" s="24">
        <f>(COUNTIFS(集計用!$G:$G, "*, "&amp;$C49&amp;", *",集計用!$AE:$AE,"11-15")+COUNTIFS(集計用!$G:$G, "*, "&amp;$C49&amp;", *",集計用!$AE:$AE,"16-20"))/テーブル2[[#This Row],[n=]]*100</f>
        <v>37.5</v>
      </c>
      <c r="F49" s="24">
        <f>(COUNTIFS(集計用!$G:$G, "*, "&amp;$C49&amp;", *",集計用!$AE:$AE,"21-25"))/テーブル2[[#This Row],[n=]]*100</f>
        <v>25</v>
      </c>
      <c r="G49" s="24">
        <f>COUNTIFS(集計用!$G:$G, "*, "&amp;$C49&amp;", *",集計用!$AE:$AE,"26-30")/テーブル2[[#This Row],[n=]]*100</f>
        <v>12.5</v>
      </c>
      <c r="H49" s="24">
        <f>(COUNTIFS(集計用!$G:$G, "*, "&amp;$C49&amp;", *",集計用!$AE:$AE,"31-35"))/テーブル2[[#This Row],[n=]]*100</f>
        <v>25</v>
      </c>
      <c r="I49" s="24">
        <f>(COUNTIFS(集計用!$G:$G, "*, "&amp;$C49&amp;", *",集計用!$AE:$AE,"36-40"))/テーブル2[[#This Row],[n=]]*100</f>
        <v>0</v>
      </c>
      <c r="J49" s="24">
        <f>(COUNTIFS(集計用!$G:$G, "*, "&amp;$C49&amp;", *",集計用!$AE:$AE,"41-45"))/テーブル2[[#This Row],[n=]]*100</f>
        <v>0</v>
      </c>
      <c r="K49" s="24">
        <f>(COUNTIFS(集計用!$G:$G, "*, "&amp;$C49&amp;", *",集計用!$AE:$AE,"46-50"))/テーブル2[[#This Row],[n=]]*100</f>
        <v>0</v>
      </c>
      <c r="L49" s="24">
        <f>(COUNTIFS(集計用!$G:$G, "*, "&amp;$C49&amp;", *",集計用!$AE:$AE,"51-55")+COUNTIFS(集計用!$G:$G, "*, "&amp;$C49&amp;", *",集計用!$AE:$AE,"56-60")+COUNTIFS(集計用!$G:$G, "*, "&amp;$C49&amp;", *",集計用!$AE:$AE,"61-65"))/テーブル2[[#This Row],[n=]]*100</f>
        <v>0</v>
      </c>
      <c r="M49" s="24">
        <f>(COUNTIFS(集計用!$G:$G, "*, "&amp;$C49&amp;", *",集計用!$AE:$AE,"56-60")+COUNTIFS(集計用!$G:$G, "*, "&amp;$C49&amp;", *",集計用!$AE:$AE,"61-65"))/テーブル2[[#This Row],[n=]]*100</f>
        <v>0</v>
      </c>
      <c r="N49" s="24">
        <f>COUNTIFS(集計用!$G:$G,"*, "&amp;$C49&amp;", *",集計用!$AE:$AE,"無回答")/テーブル2[[#This Row],[n=]]*100</f>
        <v>0</v>
      </c>
      <c r="P49" s="25"/>
    </row>
    <row r="50" spans="1:16" ht="14.25" customHeight="1">
      <c r="A50" s="20">
        <v>5</v>
      </c>
      <c r="B50" s="20">
        <f>(COUNTIFS(集計用!$G:$G,"*, "&amp;$C50&amp;",*"))</f>
        <v>7</v>
      </c>
      <c r="C50" s="34" t="s">
        <v>46</v>
      </c>
      <c r="D50" s="98">
        <f>テーブル2[[#This Row],[n=]]/443*100</f>
        <v>1.5801354401805869</v>
      </c>
      <c r="E50" s="24">
        <f>(COUNTIFS(集計用!$G:$G, "*, "&amp;$C50&amp;", *",集計用!$AE:$AE,"11-15")+COUNTIFS(集計用!$G:$G, "*, "&amp;$C50&amp;", *",集計用!$AE:$AE,"16-20"))/テーブル2[[#This Row],[n=]]*100</f>
        <v>0</v>
      </c>
      <c r="F50" s="24">
        <f>(COUNTIFS(集計用!$G:$G, "*, "&amp;$C50&amp;", *",集計用!$AE:$AE,"21-25"))/テーブル2[[#This Row],[n=]]*100</f>
        <v>42.857142857142854</v>
      </c>
      <c r="G50" s="24">
        <f>COUNTIFS(集計用!$G:$G, "*, "&amp;$C50&amp;", *",集計用!$AE:$AE,"26-30")/テーブル2[[#This Row],[n=]]*100</f>
        <v>14.285714285714285</v>
      </c>
      <c r="H50" s="24">
        <f>(COUNTIFS(集計用!$G:$G, "*, "&amp;$C50&amp;", *",集計用!$AE:$AE,"31-35"))/テーブル2[[#This Row],[n=]]*100</f>
        <v>14.285714285714285</v>
      </c>
      <c r="I50" s="24">
        <f>(COUNTIFS(集計用!$G:$G, "*, "&amp;$C50&amp;", *",集計用!$AE:$AE,"36-40"))/テーブル2[[#This Row],[n=]]*100</f>
        <v>0</v>
      </c>
      <c r="J50" s="24">
        <f>(COUNTIFS(集計用!$G:$G, "*, "&amp;$C50&amp;", *",集計用!$AE:$AE,"41-45"))/テーブル2[[#This Row],[n=]]*100</f>
        <v>14.285714285714285</v>
      </c>
      <c r="K50" s="24">
        <f>(COUNTIFS(集計用!$G:$G, "*, "&amp;$C50&amp;", *",集計用!$AE:$AE,"46-50"))/テーブル2[[#This Row],[n=]]*100</f>
        <v>0</v>
      </c>
      <c r="L50" s="24">
        <f>(COUNTIFS(集計用!$G:$G, "*, "&amp;$C50&amp;", *",集計用!$AE:$AE,"51-55")+COUNTIFS(集計用!$G:$G, "*, "&amp;$C50&amp;", *",集計用!$AE:$AE,"56-60")+COUNTIFS(集計用!$G:$G, "*, "&amp;$C50&amp;", *",集計用!$AE:$AE,"61-65"))/テーブル2[[#This Row],[n=]]*100</f>
        <v>14.285714285714285</v>
      </c>
      <c r="M50" s="24">
        <f>(COUNTIFS(集計用!$G:$G, "*, "&amp;$C50&amp;", *",集計用!$AE:$AE,"56-60")+COUNTIFS(集計用!$G:$G, "*, "&amp;$C50&amp;", *",集計用!$AE:$AE,"61-65"))/テーブル2[[#This Row],[n=]]*100</f>
        <v>14.285714285714285</v>
      </c>
      <c r="N50" s="24">
        <f>COUNTIFS(集計用!$G:$G,"*, "&amp;$C50&amp;", *",集計用!$AE:$AE,"無回答")/テーブル2[[#This Row],[n=]]*100</f>
        <v>0</v>
      </c>
      <c r="P50" s="25"/>
    </row>
    <row r="51" spans="1:16" ht="14.25" customHeight="1">
      <c r="A51" s="20">
        <v>4</v>
      </c>
      <c r="B51" s="20">
        <f>(COUNTIFS(集計用!$G:$G,"*, "&amp;$C51&amp;",*"))</f>
        <v>7</v>
      </c>
      <c r="C51" s="34" t="s">
        <v>47</v>
      </c>
      <c r="D51" s="98">
        <f>テーブル2[[#This Row],[n=]]/443*100</f>
        <v>1.5801354401805869</v>
      </c>
      <c r="E51" s="24">
        <f>(COUNTIFS(集計用!$G:$G, "*, "&amp;$C51&amp;", *",集計用!$AE:$AE,"11-15")+COUNTIFS(集計用!$G:$G, "*, "&amp;$C51&amp;", *",集計用!$AE:$AE,"16-20"))/テーブル2[[#This Row],[n=]]*100</f>
        <v>28.571428571428569</v>
      </c>
      <c r="F51" s="24">
        <f>(COUNTIFS(集計用!$G:$G, "*, "&amp;$C51&amp;", *",集計用!$AE:$AE,"21-25"))/テーブル2[[#This Row],[n=]]*100</f>
        <v>28.571428571428569</v>
      </c>
      <c r="G51" s="24">
        <f>COUNTIFS(集計用!$G:$G, "*, "&amp;$C51&amp;", *",集計用!$AE:$AE,"26-30")/テーブル2[[#This Row],[n=]]*100</f>
        <v>14.285714285714285</v>
      </c>
      <c r="H51" s="24">
        <f>(COUNTIFS(集計用!$G:$G, "*, "&amp;$C51&amp;", *",集計用!$AE:$AE,"31-35"))/テーブル2[[#This Row],[n=]]*100</f>
        <v>14.285714285714285</v>
      </c>
      <c r="I51" s="24">
        <f>(COUNTIFS(集計用!$G:$G, "*, "&amp;$C51&amp;", *",集計用!$AE:$AE,"36-40"))/テーブル2[[#This Row],[n=]]*100</f>
        <v>0</v>
      </c>
      <c r="J51" s="24">
        <f>(COUNTIFS(集計用!$G:$G, "*, "&amp;$C51&amp;", *",集計用!$AE:$AE,"41-45"))/テーブル2[[#This Row],[n=]]*100</f>
        <v>0</v>
      </c>
      <c r="K51" s="24">
        <f>(COUNTIFS(集計用!$G:$G, "*, "&amp;$C51&amp;", *",集計用!$AE:$AE,"46-50"))/テーブル2[[#This Row],[n=]]*100</f>
        <v>14.285714285714285</v>
      </c>
      <c r="L51" s="24">
        <f>(COUNTIFS(集計用!$G:$G, "*, "&amp;$C51&amp;", *",集計用!$AE:$AE,"51-55")+COUNTIFS(集計用!$G:$G, "*, "&amp;$C51&amp;", *",集計用!$AE:$AE,"56-60")+COUNTIFS(集計用!$G:$G, "*, "&amp;$C51&amp;", *",集計用!$AE:$AE,"61-65"))/テーブル2[[#This Row],[n=]]*100</f>
        <v>0</v>
      </c>
      <c r="M51" s="24">
        <f>(COUNTIFS(集計用!$G:$G, "*, "&amp;$C51&amp;", *",集計用!$AE:$AE,"56-60")+COUNTIFS(集計用!$G:$G, "*, "&amp;$C51&amp;", *",集計用!$AE:$AE,"61-65"))/テーブル2[[#This Row],[n=]]*100</f>
        <v>0</v>
      </c>
      <c r="N51" s="24">
        <f>COUNTIFS(集計用!$G:$G,"*, "&amp;$C51&amp;", *",集計用!$AE:$AE,"無回答")/テーブル2[[#This Row],[n=]]*100</f>
        <v>0</v>
      </c>
      <c r="P51" s="25"/>
    </row>
    <row r="52" spans="1:16" ht="14.25" customHeight="1">
      <c r="A52" s="20">
        <v>5</v>
      </c>
      <c r="B52" s="20">
        <f>(COUNTIFS(集計用!$G:$G,"*, "&amp;$C52&amp;",*"))</f>
        <v>7</v>
      </c>
      <c r="C52" s="34" t="s">
        <v>45</v>
      </c>
      <c r="D52" s="98">
        <f>テーブル2[[#This Row],[n=]]/443*100</f>
        <v>1.5801354401805869</v>
      </c>
      <c r="E52" s="24">
        <f>(COUNTIFS(集計用!$G:$G, "*, "&amp;$C52&amp;", *",集計用!$AE:$AE,"11-15")+COUNTIFS(集計用!$G:$G, "*, "&amp;$C52&amp;", *",集計用!$AE:$AE,"16-20"))/テーブル2[[#This Row],[n=]]*100</f>
        <v>0</v>
      </c>
      <c r="F52" s="24">
        <f>(COUNTIFS(集計用!$G:$G, "*, "&amp;$C52&amp;", *",集計用!$AE:$AE,"21-25"))/テーブル2[[#This Row],[n=]]*100</f>
        <v>14.285714285714285</v>
      </c>
      <c r="G52" s="24">
        <f>COUNTIFS(集計用!$G:$G, "*, "&amp;$C52&amp;", *",集計用!$AE:$AE,"26-30")/テーブル2[[#This Row],[n=]]*100</f>
        <v>42.857142857142854</v>
      </c>
      <c r="H52" s="24">
        <f>(COUNTIFS(集計用!$G:$G, "*, "&amp;$C52&amp;", *",集計用!$AE:$AE,"31-35"))/テーブル2[[#This Row],[n=]]*100</f>
        <v>14.285714285714285</v>
      </c>
      <c r="I52" s="24">
        <f>(COUNTIFS(集計用!$G:$G, "*, "&amp;$C52&amp;", *",集計用!$AE:$AE,"36-40"))/テーブル2[[#This Row],[n=]]*100</f>
        <v>14.285714285714285</v>
      </c>
      <c r="J52" s="24">
        <f>(COUNTIFS(集計用!$G:$G, "*, "&amp;$C52&amp;", *",集計用!$AE:$AE,"41-45"))/テーブル2[[#This Row],[n=]]*100</f>
        <v>0</v>
      </c>
      <c r="K52" s="24">
        <f>(COUNTIFS(集計用!$G:$G, "*, "&amp;$C52&amp;", *",集計用!$AE:$AE,"46-50"))/テーブル2[[#This Row],[n=]]*100</f>
        <v>14.285714285714285</v>
      </c>
      <c r="L52" s="24">
        <f>(COUNTIFS(集計用!$G:$G, "*, "&amp;$C52&amp;", *",集計用!$AE:$AE,"51-55")+COUNTIFS(集計用!$G:$G, "*, "&amp;$C52&amp;", *",集計用!$AE:$AE,"56-60")+COUNTIFS(集計用!$G:$G, "*, "&amp;$C52&amp;", *",集計用!$AE:$AE,"61-65"))/テーブル2[[#This Row],[n=]]*100</f>
        <v>0</v>
      </c>
      <c r="M52" s="24">
        <f>(COUNTIFS(集計用!$G:$G, "*, "&amp;$C52&amp;", *",集計用!$AE:$AE,"56-60")+COUNTIFS(集計用!$G:$G, "*, "&amp;$C52&amp;", *",集計用!$AE:$AE,"61-65"))/テーブル2[[#This Row],[n=]]*100</f>
        <v>0</v>
      </c>
      <c r="N52" s="24">
        <f>COUNTIFS(集計用!$G:$G,"*, "&amp;$C52&amp;", *",集計用!$AE:$AE,"無回答")/テーブル2[[#This Row],[n=]]*100</f>
        <v>0</v>
      </c>
      <c r="P52" s="25"/>
    </row>
    <row r="53" spans="1:16" ht="14.25" customHeight="1">
      <c r="A53" s="20">
        <v>2</v>
      </c>
      <c r="B53" s="20">
        <f>(COUNTIFS(集計用!$G:$G,"*, "&amp;$C53&amp;",*"))</f>
        <v>6</v>
      </c>
      <c r="C53" s="34" t="s">
        <v>48</v>
      </c>
      <c r="D53" s="98">
        <f>テーブル2[[#This Row],[n=]]/443*100</f>
        <v>1.3544018058690745</v>
      </c>
      <c r="E53" s="24">
        <f>(COUNTIFS(集計用!$G:$G, "*, "&amp;$C53&amp;", *",集計用!$AE:$AE,"11-15")+COUNTIFS(集計用!$G:$G, "*, "&amp;$C53&amp;", *",集計用!$AE:$AE,"16-20"))/テーブル2[[#This Row],[n=]]*100</f>
        <v>0</v>
      </c>
      <c r="F53" s="24">
        <f>(COUNTIFS(集計用!$G:$G, "*, "&amp;$C53&amp;", *",集計用!$AE:$AE,"21-25"))/テーブル2[[#This Row],[n=]]*100</f>
        <v>50</v>
      </c>
      <c r="G53" s="24">
        <f>COUNTIFS(集計用!$G:$G, "*, "&amp;$C53&amp;", *",集計用!$AE:$AE,"26-30")/テーブル2[[#This Row],[n=]]*100</f>
        <v>16.666666666666664</v>
      </c>
      <c r="H53" s="24">
        <f>(COUNTIFS(集計用!$G:$G, "*, "&amp;$C53&amp;", *",集計用!$AE:$AE,"31-35"))/テーブル2[[#This Row],[n=]]*100</f>
        <v>0</v>
      </c>
      <c r="I53" s="24">
        <f>(COUNTIFS(集計用!$G:$G, "*, "&amp;$C53&amp;", *",集計用!$AE:$AE,"36-40"))/テーブル2[[#This Row],[n=]]*100</f>
        <v>0</v>
      </c>
      <c r="J53" s="24">
        <f>(COUNTIFS(集計用!$G:$G, "*, "&amp;$C53&amp;", *",集計用!$AE:$AE,"41-45"))/テーブル2[[#This Row],[n=]]*100</f>
        <v>33.333333333333329</v>
      </c>
      <c r="K53" s="24">
        <f>(COUNTIFS(集計用!$G:$G, "*, "&amp;$C53&amp;", *",集計用!$AE:$AE,"46-50"))/テーブル2[[#This Row],[n=]]*100</f>
        <v>0</v>
      </c>
      <c r="L53" s="24">
        <f>(COUNTIFS(集計用!$G:$G, "*, "&amp;$C53&amp;", *",集計用!$AE:$AE,"51-55")+COUNTIFS(集計用!$G:$G, "*, "&amp;$C53&amp;", *",集計用!$AE:$AE,"56-60")+COUNTIFS(集計用!$G:$G, "*, "&amp;$C53&amp;", *",集計用!$AE:$AE,"61-65"))/テーブル2[[#This Row],[n=]]*100</f>
        <v>0</v>
      </c>
      <c r="M53" s="24">
        <f>(COUNTIFS(集計用!$G:$G, "*, "&amp;$C53&amp;", *",集計用!$AE:$AE,"56-60")+COUNTIFS(集計用!$G:$G, "*, "&amp;$C53&amp;", *",集計用!$AE:$AE,"61-65"))/テーブル2[[#This Row],[n=]]*100</f>
        <v>0</v>
      </c>
      <c r="N53" s="24">
        <f>COUNTIFS(集計用!$G:$G,"*, "&amp;$C53&amp;", *",集計用!$AE:$AE,"無回答")/テーブル2[[#This Row],[n=]]*100</f>
        <v>0</v>
      </c>
      <c r="P53" s="25"/>
    </row>
    <row r="54" spans="1:16" ht="12.75">
      <c r="A54" s="20">
        <v>5</v>
      </c>
      <c r="B54" s="20">
        <f>(COUNTIFS(集計用!$G:$G,"*, "&amp;$C54&amp;",*"))</f>
        <v>6</v>
      </c>
      <c r="C54" s="34" t="s">
        <v>49</v>
      </c>
      <c r="D54" s="98">
        <f>テーブル2[[#This Row],[n=]]/443*100</f>
        <v>1.3544018058690745</v>
      </c>
      <c r="E54" s="24">
        <f>(COUNTIFS(集計用!$G:$G, "*, "&amp;$C54&amp;", *",集計用!$AE:$AE,"11-15")+COUNTIFS(集計用!$G:$G, "*, "&amp;$C54&amp;", *",集計用!$AE:$AE,"16-20"))/テーブル2[[#This Row],[n=]]*100</f>
        <v>0</v>
      </c>
      <c r="F54" s="24">
        <f>(COUNTIFS(集計用!$G:$G, "*, "&amp;$C54&amp;", *",集計用!$AE:$AE,"21-25"))/テーブル2[[#This Row],[n=]]*100</f>
        <v>33.333333333333329</v>
      </c>
      <c r="G54" s="24">
        <f>COUNTIFS(集計用!$G:$G, "*, "&amp;$C54&amp;", *",集計用!$AE:$AE,"26-30")/テーブル2[[#This Row],[n=]]*100</f>
        <v>33.333333333333329</v>
      </c>
      <c r="H54" s="24">
        <f>(COUNTIFS(集計用!$G:$G, "*, "&amp;$C54&amp;", *",集計用!$AE:$AE,"31-35"))/テーブル2[[#This Row],[n=]]*100</f>
        <v>33.333333333333329</v>
      </c>
      <c r="I54" s="24">
        <f>(COUNTIFS(集計用!$G:$G, "*, "&amp;$C54&amp;", *",集計用!$AE:$AE,"36-40"))/テーブル2[[#This Row],[n=]]*100</f>
        <v>0</v>
      </c>
      <c r="J54" s="24">
        <f>(COUNTIFS(集計用!$G:$G, "*, "&amp;$C54&amp;", *",集計用!$AE:$AE,"41-45"))/テーブル2[[#This Row],[n=]]*100</f>
        <v>0</v>
      </c>
      <c r="K54" s="24">
        <f>(COUNTIFS(集計用!$G:$G, "*, "&amp;$C54&amp;", *",集計用!$AE:$AE,"46-50"))/テーブル2[[#This Row],[n=]]*100</f>
        <v>0</v>
      </c>
      <c r="L54" s="24">
        <f>(COUNTIFS(集計用!$G:$G, "*, "&amp;$C54&amp;", *",集計用!$AE:$AE,"51-55")+COUNTIFS(集計用!$G:$G, "*, "&amp;$C54&amp;", *",集計用!$AE:$AE,"56-60")+COUNTIFS(集計用!$G:$G, "*, "&amp;$C54&amp;", *",集計用!$AE:$AE,"61-65"))/テーブル2[[#This Row],[n=]]*100</f>
        <v>0</v>
      </c>
      <c r="M54" s="24">
        <f>(COUNTIFS(集計用!$G:$G, "*, "&amp;$C54&amp;", *",集計用!$AE:$AE,"56-60")+COUNTIFS(集計用!$G:$G, "*, "&amp;$C54&amp;", *",集計用!$AE:$AE,"61-65"))/テーブル2[[#This Row],[n=]]*100</f>
        <v>0</v>
      </c>
      <c r="N54" s="24">
        <f>COUNTIFS(集計用!$G:$G,"*, "&amp;$C54&amp;", *",集計用!$AE:$AE,"無回答")/テーブル2[[#This Row],[n=]]*100</f>
        <v>0</v>
      </c>
      <c r="P54" s="25"/>
    </row>
    <row r="55" spans="1:16" ht="14.25" customHeight="1">
      <c r="A55" s="20">
        <v>4</v>
      </c>
      <c r="B55" s="20">
        <f>(COUNTIFS(集計用!$G:$G,"*, "&amp;$C55&amp;",*"))</f>
        <v>5</v>
      </c>
      <c r="C55" s="34" t="s">
        <v>51</v>
      </c>
      <c r="D55" s="98">
        <f>テーブル2[[#This Row],[n=]]/443*100</f>
        <v>1.1286681715575622</v>
      </c>
      <c r="E55" s="24">
        <f>(COUNTIFS(集計用!$G:$G, "*, "&amp;$C55&amp;", *",集計用!$AE:$AE,"11-15")+COUNTIFS(集計用!$G:$G, "*, "&amp;$C55&amp;", *",集計用!$AE:$AE,"16-20"))/テーブル2[[#This Row],[n=]]*100</f>
        <v>20</v>
      </c>
      <c r="F55" s="24">
        <f>(COUNTIFS(集計用!$G:$G, "*, "&amp;$C55&amp;", *",集計用!$AE:$AE,"21-25"))/テーブル2[[#This Row],[n=]]*100</f>
        <v>20</v>
      </c>
      <c r="G55" s="24">
        <f>COUNTIFS(集計用!$G:$G, "*, "&amp;$C55&amp;", *",集計用!$AE:$AE,"26-30")/テーブル2[[#This Row],[n=]]*100</f>
        <v>0</v>
      </c>
      <c r="H55" s="24">
        <f>(COUNTIFS(集計用!$G:$G, "*, "&amp;$C55&amp;", *",集計用!$AE:$AE,"31-35"))/テーブル2[[#This Row],[n=]]*100</f>
        <v>20</v>
      </c>
      <c r="I55" s="24">
        <f>(COUNTIFS(集計用!$G:$G, "*, "&amp;$C55&amp;", *",集計用!$AE:$AE,"36-40"))/テーブル2[[#This Row],[n=]]*100</f>
        <v>40</v>
      </c>
      <c r="J55" s="24">
        <f>(COUNTIFS(集計用!$G:$G, "*, "&amp;$C55&amp;", *",集計用!$AE:$AE,"41-45"))/テーブル2[[#This Row],[n=]]*100</f>
        <v>0</v>
      </c>
      <c r="K55" s="24">
        <f>(COUNTIFS(集計用!$G:$G, "*, "&amp;$C55&amp;", *",集計用!$AE:$AE,"46-50"))/テーブル2[[#This Row],[n=]]*100</f>
        <v>0</v>
      </c>
      <c r="L55" s="24">
        <f>(COUNTIFS(集計用!$G:$G, "*, "&amp;$C55&amp;", *",集計用!$AE:$AE,"51-55")+COUNTIFS(集計用!$G:$G, "*, "&amp;$C55&amp;", *",集計用!$AE:$AE,"56-60")+COUNTIFS(集計用!$G:$G, "*, "&amp;$C55&amp;", *",集計用!$AE:$AE,"61-65"))/テーブル2[[#This Row],[n=]]*100</f>
        <v>0</v>
      </c>
      <c r="M55" s="24">
        <f>(COUNTIFS(集計用!$G:$G, "*, "&amp;$C55&amp;", *",集計用!$AE:$AE,"56-60")+COUNTIFS(集計用!$G:$G, "*, "&amp;$C55&amp;", *",集計用!$AE:$AE,"61-65"))/テーブル2[[#This Row],[n=]]*100</f>
        <v>0</v>
      </c>
      <c r="N55" s="24">
        <f>COUNTIFS(集計用!$G:$G,"*, "&amp;$C55&amp;", *",集計用!$AE:$AE,"無回答")/テーブル2[[#This Row],[n=]]*100</f>
        <v>0</v>
      </c>
      <c r="P55" s="25"/>
    </row>
    <row r="56" spans="1:16" ht="14.25" customHeight="1">
      <c r="A56" s="20">
        <v>4</v>
      </c>
      <c r="B56" s="20">
        <f>(COUNTIFS(集計用!$G:$G,"*, "&amp;$C56&amp;",*"))</f>
        <v>5</v>
      </c>
      <c r="C56" s="34" t="s">
        <v>50</v>
      </c>
      <c r="D56" s="98">
        <f>テーブル2[[#This Row],[n=]]/443*100</f>
        <v>1.1286681715575622</v>
      </c>
      <c r="E56" s="24">
        <f>(COUNTIFS(集計用!$G:$G, "*, "&amp;$C56&amp;", *",集計用!$AE:$AE,"11-15")+COUNTIFS(集計用!$G:$G, "*, "&amp;$C56&amp;", *",集計用!$AE:$AE,"16-20"))/テーブル2[[#This Row],[n=]]*100</f>
        <v>40</v>
      </c>
      <c r="F56" s="24">
        <f>(COUNTIFS(集計用!$G:$G, "*, "&amp;$C56&amp;", *",集計用!$AE:$AE,"21-25"))/テーブル2[[#This Row],[n=]]*100</f>
        <v>20</v>
      </c>
      <c r="G56" s="24">
        <f>COUNTIFS(集計用!$G:$G, "*, "&amp;$C56&amp;", *",集計用!$AE:$AE,"26-30")/テーブル2[[#This Row],[n=]]*100</f>
        <v>20</v>
      </c>
      <c r="H56" s="24">
        <f>(COUNTIFS(集計用!$G:$G, "*, "&amp;$C56&amp;", *",集計用!$AE:$AE,"31-35"))/テーブル2[[#This Row],[n=]]*100</f>
        <v>20</v>
      </c>
      <c r="I56" s="24">
        <f>(COUNTIFS(集計用!$G:$G, "*, "&amp;$C56&amp;", *",集計用!$AE:$AE,"36-40"))/テーブル2[[#This Row],[n=]]*100</f>
        <v>0</v>
      </c>
      <c r="J56" s="24">
        <f>(COUNTIFS(集計用!$G:$G, "*, "&amp;$C56&amp;", *",集計用!$AE:$AE,"41-45"))/テーブル2[[#This Row],[n=]]*100</f>
        <v>0</v>
      </c>
      <c r="K56" s="24">
        <f>(COUNTIFS(集計用!$G:$G, "*, "&amp;$C56&amp;", *",集計用!$AE:$AE,"46-50"))/テーブル2[[#This Row],[n=]]*100</f>
        <v>0</v>
      </c>
      <c r="L56" s="24">
        <f>(COUNTIFS(集計用!$G:$G, "*, "&amp;$C56&amp;", *",集計用!$AE:$AE,"51-55")+COUNTIFS(集計用!$G:$G, "*, "&amp;$C56&amp;", *",集計用!$AE:$AE,"56-60")+COUNTIFS(集計用!$G:$G, "*, "&amp;$C56&amp;", *",集計用!$AE:$AE,"61-65"))/テーブル2[[#This Row],[n=]]*100</f>
        <v>0</v>
      </c>
      <c r="M56" s="24">
        <f>(COUNTIFS(集計用!$G:$G, "*, "&amp;$C56&amp;", *",集計用!$AE:$AE,"56-60")+COUNTIFS(集計用!$G:$G, "*, "&amp;$C56&amp;", *",集計用!$AE:$AE,"61-65"))/テーブル2[[#This Row],[n=]]*100</f>
        <v>0</v>
      </c>
      <c r="N56" s="24">
        <f>COUNTIFS(集計用!$G:$G,"*, "&amp;$C56&amp;", *",集計用!$AE:$AE,"無回答")/テーブル2[[#This Row],[n=]]*100</f>
        <v>0</v>
      </c>
      <c r="P56" s="25"/>
    </row>
    <row r="57" spans="1:16" ht="14.25" customHeight="1">
      <c r="A57" s="20" t="s">
        <v>2180</v>
      </c>
      <c r="B57" s="20">
        <f>(COUNTIFS(集計用!$G:$G,"*, "&amp;$C57&amp;",*"))</f>
        <v>4</v>
      </c>
      <c r="C57" s="34" t="s">
        <v>53</v>
      </c>
      <c r="D57" s="98">
        <f>テーブル2[[#This Row],[n=]]/443*100</f>
        <v>0.90293453724604955</v>
      </c>
      <c r="E57" s="24">
        <f>(COUNTIFS(集計用!$G:$G, "*, "&amp;$C57&amp;", *",集計用!$AE:$AE,"11-15")+COUNTIFS(集計用!$G:$G, "*, "&amp;$C57&amp;", *",集計用!$AE:$AE,"16-20"))/テーブル2[[#This Row],[n=]]*100</f>
        <v>25</v>
      </c>
      <c r="F57" s="24">
        <f>(COUNTIFS(集計用!$G:$G, "*, "&amp;$C57&amp;", *",集計用!$AE:$AE,"21-25"))/テーブル2[[#This Row],[n=]]*100</f>
        <v>50</v>
      </c>
      <c r="G57" s="24">
        <f>COUNTIFS(集計用!$G:$G, "*, "&amp;$C57&amp;", *",集計用!$AE:$AE,"26-30")/テーブル2[[#This Row],[n=]]*100</f>
        <v>0</v>
      </c>
      <c r="H57" s="24">
        <f>(COUNTIFS(集計用!$G:$G, "*, "&amp;$C57&amp;", *",集計用!$AE:$AE,"31-35"))/テーブル2[[#This Row],[n=]]*100</f>
        <v>0</v>
      </c>
      <c r="I57" s="24">
        <f>(COUNTIFS(集計用!$G:$G, "*, "&amp;$C57&amp;", *",集計用!$AE:$AE,"36-40"))/テーブル2[[#This Row],[n=]]*100</f>
        <v>0</v>
      </c>
      <c r="J57" s="24">
        <f>(COUNTIFS(集計用!$G:$G, "*, "&amp;$C57&amp;", *",集計用!$AE:$AE,"41-45"))/テーブル2[[#This Row],[n=]]*100</f>
        <v>0</v>
      </c>
      <c r="K57" s="24">
        <f>(COUNTIFS(集計用!$G:$G, "*, "&amp;$C57&amp;", *",集計用!$AE:$AE,"46-50"))/テーブル2[[#This Row],[n=]]*100</f>
        <v>25</v>
      </c>
      <c r="L57" s="24">
        <f>(COUNTIFS(集計用!$G:$G, "*, "&amp;$C57&amp;", *",集計用!$AE:$AE,"51-55")+COUNTIFS(集計用!$G:$G, "*, "&amp;$C57&amp;", *",集計用!$AE:$AE,"56-60")+COUNTIFS(集計用!$G:$G, "*, "&amp;$C57&amp;", *",集計用!$AE:$AE,"61-65"))/テーブル2[[#This Row],[n=]]*100</f>
        <v>0</v>
      </c>
      <c r="M57" s="24">
        <f>(COUNTIFS(集計用!$G:$G, "*, "&amp;$C57&amp;", *",集計用!$AE:$AE,"56-60")+COUNTIFS(集計用!$G:$G, "*, "&amp;$C57&amp;", *",集計用!$AE:$AE,"61-65"))/テーブル2[[#This Row],[n=]]*100</f>
        <v>0</v>
      </c>
      <c r="N57" s="24">
        <f>COUNTIFS(集計用!$G:$G,"*, "&amp;$C57&amp;", *",集計用!$AE:$AE,"無回答")/テーブル2[[#This Row],[n=]]*100</f>
        <v>0</v>
      </c>
      <c r="P57" s="25"/>
    </row>
    <row r="58" spans="1:16" ht="14.25" customHeight="1">
      <c r="A58" s="20" t="s">
        <v>2180</v>
      </c>
      <c r="B58" s="20">
        <f>(COUNTIFS(集計用!$G:$G,"*, "&amp;$C58&amp;",*"))</f>
        <v>4</v>
      </c>
      <c r="C58" s="34" t="s">
        <v>52</v>
      </c>
      <c r="D58" s="98">
        <f>テーブル2[[#This Row],[n=]]/443*100</f>
        <v>0.90293453724604955</v>
      </c>
      <c r="E58" s="24">
        <f>(COUNTIFS(集計用!$G:$G, "*, "&amp;$C58&amp;", *",集計用!$AE:$AE,"11-15")+COUNTIFS(集計用!$G:$G, "*, "&amp;$C58&amp;", *",集計用!$AE:$AE,"16-20"))/テーブル2[[#This Row],[n=]]*100</f>
        <v>25</v>
      </c>
      <c r="F58" s="24">
        <f>(COUNTIFS(集計用!$G:$G, "*, "&amp;$C58&amp;", *",集計用!$AE:$AE,"21-25"))/テーブル2[[#This Row],[n=]]*100</f>
        <v>75</v>
      </c>
      <c r="G58" s="24">
        <f>COUNTIFS(集計用!$G:$G, "*, "&amp;$C58&amp;", *",集計用!$AE:$AE,"26-30")/テーブル2[[#This Row],[n=]]*100</f>
        <v>0</v>
      </c>
      <c r="H58" s="24">
        <f>(COUNTIFS(集計用!$G:$G, "*, "&amp;$C58&amp;", *",集計用!$AE:$AE,"31-35"))/テーブル2[[#This Row],[n=]]*100</f>
        <v>0</v>
      </c>
      <c r="I58" s="24">
        <f>(COUNTIFS(集計用!$G:$G, "*, "&amp;$C58&amp;", *",集計用!$AE:$AE,"36-40"))/テーブル2[[#This Row],[n=]]*100</f>
        <v>0</v>
      </c>
      <c r="J58" s="24">
        <f>(COUNTIFS(集計用!$G:$G, "*, "&amp;$C58&amp;", *",集計用!$AE:$AE,"41-45"))/テーブル2[[#This Row],[n=]]*100</f>
        <v>0</v>
      </c>
      <c r="K58" s="24">
        <f>(COUNTIFS(集計用!$G:$G, "*, "&amp;$C58&amp;", *",集計用!$AE:$AE,"46-50"))/テーブル2[[#This Row],[n=]]*100</f>
        <v>0</v>
      </c>
      <c r="L58" s="24">
        <f>(COUNTIFS(集計用!$G:$G, "*, "&amp;$C58&amp;", *",集計用!$AE:$AE,"51-55")+COUNTIFS(集計用!$G:$G, "*, "&amp;$C58&amp;", *",集計用!$AE:$AE,"56-60")+COUNTIFS(集計用!$G:$G, "*, "&amp;$C58&amp;", *",集計用!$AE:$AE,"61-65"))/テーブル2[[#This Row],[n=]]*100</f>
        <v>0</v>
      </c>
      <c r="M58" s="24">
        <f>(COUNTIFS(集計用!$G:$G, "*, "&amp;$C58&amp;", *",集計用!$AE:$AE,"56-60")+COUNTIFS(集計用!$G:$G, "*, "&amp;$C58&amp;", *",集計用!$AE:$AE,"61-65"))/テーブル2[[#This Row],[n=]]*100</f>
        <v>0</v>
      </c>
      <c r="N58" s="24">
        <f>COUNTIFS(集計用!$G:$G,"*, "&amp;$C58&amp;", *",集計用!$AE:$AE,"無回答")/テーブル2[[#This Row],[n=]]*100</f>
        <v>0</v>
      </c>
      <c r="P58" s="25"/>
    </row>
    <row r="59" spans="1:16" ht="12.75">
      <c r="A59" s="20" t="s">
        <v>2180</v>
      </c>
      <c r="B59" s="20">
        <f>(COUNTIFS(集計用!$G:$G,"*, "&amp;$C59&amp;",*"))</f>
        <v>3</v>
      </c>
      <c r="C59" s="34" t="s">
        <v>54</v>
      </c>
      <c r="D59" s="98">
        <f>テーブル2[[#This Row],[n=]]/443*100</f>
        <v>0.67720090293453727</v>
      </c>
      <c r="E59" s="24">
        <f>(COUNTIFS(集計用!$G:$G, "*, "&amp;$C59&amp;", *",集計用!$AE:$AE,"11-15")+COUNTIFS(集計用!$G:$G, "*, "&amp;$C59&amp;", *",集計用!$AE:$AE,"16-20"))/テーブル2[[#This Row],[n=]]*100</f>
        <v>0</v>
      </c>
      <c r="F59" s="24">
        <f>(COUNTIFS(集計用!$G:$G, "*, "&amp;$C59&amp;", *",集計用!$AE:$AE,"21-25"))/テーブル2[[#This Row],[n=]]*100</f>
        <v>33.333333333333329</v>
      </c>
      <c r="G59" s="24">
        <f>COUNTIFS(集計用!$G:$G, "*, "&amp;$C59&amp;", *",集計用!$AE:$AE,"26-30")/テーブル2[[#This Row],[n=]]*100</f>
        <v>33.333333333333329</v>
      </c>
      <c r="H59" s="24">
        <f>(COUNTIFS(集計用!$G:$G, "*, "&amp;$C59&amp;", *",集計用!$AE:$AE,"31-35"))/テーブル2[[#This Row],[n=]]*100</f>
        <v>0</v>
      </c>
      <c r="I59" s="24">
        <f>(COUNTIFS(集計用!$G:$G, "*, "&amp;$C59&amp;", *",集計用!$AE:$AE,"36-40"))/テーブル2[[#This Row],[n=]]*100</f>
        <v>33.333333333333329</v>
      </c>
      <c r="J59" s="24">
        <f>(COUNTIFS(集計用!$G:$G, "*, "&amp;$C59&amp;", *",集計用!$AE:$AE,"41-45"))/テーブル2[[#This Row],[n=]]*100</f>
        <v>0</v>
      </c>
      <c r="K59" s="24">
        <f>(COUNTIFS(集計用!$G:$G, "*, "&amp;$C59&amp;", *",集計用!$AE:$AE,"46-50"))/テーブル2[[#This Row],[n=]]*100</f>
        <v>0</v>
      </c>
      <c r="L59" s="24">
        <f>(COUNTIFS(集計用!$G:$G, "*, "&amp;$C59&amp;", *",集計用!$AE:$AE,"51-55")+COUNTIFS(集計用!$G:$G, "*, "&amp;$C59&amp;", *",集計用!$AE:$AE,"56-60")+COUNTIFS(集計用!$G:$G, "*, "&amp;$C59&amp;", *",集計用!$AE:$AE,"61-65"))/テーブル2[[#This Row],[n=]]*100</f>
        <v>0</v>
      </c>
      <c r="M59" s="24">
        <f>(COUNTIFS(集計用!$G:$G, "*, "&amp;$C59&amp;", *",集計用!$AE:$AE,"56-60")+COUNTIFS(集計用!$G:$G, "*, "&amp;$C59&amp;", *",集計用!$AE:$AE,"61-65"))/テーブル2[[#This Row],[n=]]*100</f>
        <v>0</v>
      </c>
      <c r="N59" s="24">
        <f>COUNTIFS(集計用!$G:$G,"*, "&amp;$C59&amp;", *",集計用!$AE:$AE,"無回答")/テーブル2[[#This Row],[n=]]*100</f>
        <v>0</v>
      </c>
      <c r="P59" s="25"/>
    </row>
    <row r="60" spans="1:16" ht="14.25" customHeight="1">
      <c r="A60" s="20" t="s">
        <v>2180</v>
      </c>
      <c r="B60" s="20">
        <f>(COUNTIFS(集計用!$G:$G,"*, "&amp;$C60&amp;",*"))</f>
        <v>2</v>
      </c>
      <c r="C60" s="34" t="s">
        <v>55</v>
      </c>
      <c r="D60" s="98">
        <f>テーブル2[[#This Row],[n=]]/443*100</f>
        <v>0.45146726862302478</v>
      </c>
      <c r="E60" s="24">
        <f>(COUNTIFS(集計用!$G:$G, "*, "&amp;$C60&amp;", *",集計用!$AE:$AE,"11-15")+COUNTIFS(集計用!$G:$G, "*, "&amp;$C60&amp;", *",集計用!$AE:$AE,"16-20"))/テーブル2[[#This Row],[n=]]*100</f>
        <v>0</v>
      </c>
      <c r="F60" s="24">
        <f>(COUNTIFS(集計用!$G:$G, "*, "&amp;$C60&amp;", *",集計用!$AE:$AE,"21-25"))/テーブル2[[#This Row],[n=]]*100</f>
        <v>50</v>
      </c>
      <c r="G60" s="24">
        <f>COUNTIFS(集計用!$G:$G, "*, "&amp;$C60&amp;", *",集計用!$AE:$AE,"26-30")/テーブル2[[#This Row],[n=]]*100</f>
        <v>0</v>
      </c>
      <c r="H60" s="24">
        <f>(COUNTIFS(集計用!$G:$G, "*, "&amp;$C60&amp;", *",集計用!$AE:$AE,"31-35"))/テーブル2[[#This Row],[n=]]*100</f>
        <v>0</v>
      </c>
      <c r="I60" s="24">
        <f>(COUNTIFS(集計用!$G:$G, "*, "&amp;$C60&amp;", *",集計用!$AE:$AE,"36-40"))/テーブル2[[#This Row],[n=]]*100</f>
        <v>0</v>
      </c>
      <c r="J60" s="24">
        <f>(COUNTIFS(集計用!$G:$G, "*, "&amp;$C60&amp;", *",集計用!$AE:$AE,"41-45"))/テーブル2[[#This Row],[n=]]*100</f>
        <v>0</v>
      </c>
      <c r="K60" s="24">
        <f>(COUNTIFS(集計用!$G:$G, "*, "&amp;$C60&amp;", *",集計用!$AE:$AE,"46-50"))/テーブル2[[#This Row],[n=]]*100</f>
        <v>50</v>
      </c>
      <c r="L60" s="24">
        <f>(COUNTIFS(集計用!$G:$G, "*, "&amp;$C60&amp;", *",集計用!$AE:$AE,"51-55")+COUNTIFS(集計用!$G:$G, "*, "&amp;$C60&amp;", *",集計用!$AE:$AE,"56-60")+COUNTIFS(集計用!$G:$G, "*, "&amp;$C60&amp;", *",集計用!$AE:$AE,"61-65"))/テーブル2[[#This Row],[n=]]*100</f>
        <v>0</v>
      </c>
      <c r="M60" s="24">
        <f>(COUNTIFS(集計用!$G:$G, "*, "&amp;$C60&amp;", *",集計用!$AE:$AE,"56-60")+COUNTIFS(集計用!$G:$G, "*, "&amp;$C60&amp;", *",集計用!$AE:$AE,"61-65"))/テーブル2[[#This Row],[n=]]*100</f>
        <v>0</v>
      </c>
      <c r="N60" s="24">
        <f>COUNTIFS(集計用!$G:$G,"*, "&amp;$C60&amp;", *",集計用!$AE:$AE,"無回答")/テーブル2[[#This Row],[n=]]*100</f>
        <v>0</v>
      </c>
      <c r="P60" s="25"/>
    </row>
    <row r="61" spans="1:16" ht="14.25" customHeight="1">
      <c r="A61" s="20" t="s">
        <v>2180</v>
      </c>
      <c r="B61" s="20">
        <f>(COUNTIFS(集計用!$G:$G,"*, "&amp;$C61&amp;",*"))</f>
        <v>1</v>
      </c>
      <c r="C61" s="34" t="s">
        <v>56</v>
      </c>
      <c r="D61" s="98">
        <f>テーブル2[[#This Row],[n=]]/443*100</f>
        <v>0.22573363431151239</v>
      </c>
      <c r="E61" s="24">
        <f>(COUNTIFS(集計用!$G:$G, "*, "&amp;$C61&amp;", *",集計用!$AE:$AE,"11-15")+COUNTIFS(集計用!$G:$G, "*, "&amp;$C61&amp;", *",集計用!$AE:$AE,"16-20"))/テーブル2[[#This Row],[n=]]*100</f>
        <v>0</v>
      </c>
      <c r="F61" s="24">
        <f>(COUNTIFS(集計用!$G:$G, "*, "&amp;$C61&amp;", *",集計用!$AE:$AE,"21-25"))/テーブル2[[#This Row],[n=]]*100</f>
        <v>0</v>
      </c>
      <c r="G61" s="24">
        <f>COUNTIFS(集計用!$G:$G, "*, "&amp;$C61&amp;", *",集計用!$AE:$AE,"26-30")/テーブル2[[#This Row],[n=]]*100</f>
        <v>100</v>
      </c>
      <c r="H61" s="24">
        <f>(COUNTIFS(集計用!$G:$G, "*, "&amp;$C61&amp;", *",集計用!$AE:$AE,"31-35"))/テーブル2[[#This Row],[n=]]*100</f>
        <v>0</v>
      </c>
      <c r="I61" s="24">
        <f>(COUNTIFS(集計用!$G:$G, "*, "&amp;$C61&amp;", *",集計用!$AE:$AE,"36-40"))/テーブル2[[#This Row],[n=]]*100</f>
        <v>0</v>
      </c>
      <c r="J61" s="24">
        <f>(COUNTIFS(集計用!$G:$G, "*, "&amp;$C61&amp;", *",集計用!$AE:$AE,"41-45"))/テーブル2[[#This Row],[n=]]*100</f>
        <v>0</v>
      </c>
      <c r="K61" s="24">
        <f>(COUNTIFS(集計用!$G:$G, "*, "&amp;$C61&amp;", *",集計用!$AE:$AE,"46-50"))/テーブル2[[#This Row],[n=]]*100</f>
        <v>0</v>
      </c>
      <c r="L61" s="24">
        <f>(COUNTIFS(集計用!$G:$G, "*, "&amp;$C61&amp;", *",集計用!$AE:$AE,"51-55")+COUNTIFS(集計用!$G:$G, "*, "&amp;$C61&amp;", *",集計用!$AE:$AE,"56-60")+COUNTIFS(集計用!$G:$G, "*, "&amp;$C61&amp;", *",集計用!$AE:$AE,"61-65"))/テーブル2[[#This Row],[n=]]*100</f>
        <v>0</v>
      </c>
      <c r="M61" s="24">
        <f>(COUNTIFS(集計用!$G:$G, "*, "&amp;$C61&amp;", *",集計用!$AE:$AE,"56-60")+COUNTIFS(集計用!$G:$G, "*, "&amp;$C61&amp;", *",集計用!$AE:$AE,"61-65"))/テーブル2[[#This Row],[n=]]*100</f>
        <v>0</v>
      </c>
      <c r="N61" s="24">
        <f>COUNTIFS(集計用!$G:$G,"*, "&amp;$C61&amp;", *",集計用!$AE:$AE,"無回答")/テーブル2[[#This Row],[n=]]*100</f>
        <v>0</v>
      </c>
      <c r="P61" s="25"/>
    </row>
    <row r="62" spans="1:16" ht="14.25" customHeight="1">
      <c r="C62" s="23"/>
      <c r="D62" s="23"/>
      <c r="E62" s="26"/>
      <c r="F62" s="26"/>
      <c r="G62" s="26"/>
      <c r="H62" s="26"/>
      <c r="I62" s="26"/>
      <c r="J62" s="26"/>
      <c r="K62" s="26"/>
      <c r="L62" s="26"/>
      <c r="M62" s="26"/>
      <c r="N62" s="26"/>
      <c r="P62" s="22"/>
    </row>
    <row r="63" spans="1:16" ht="12.75">
      <c r="C63" s="23"/>
      <c r="D63" s="23"/>
      <c r="E63" s="26"/>
      <c r="F63" s="26"/>
      <c r="G63" s="26"/>
      <c r="H63" s="26"/>
      <c r="I63" s="26"/>
      <c r="J63" s="26"/>
      <c r="K63" s="26"/>
      <c r="L63" s="26"/>
      <c r="M63" s="26"/>
      <c r="N63" s="26"/>
    </row>
    <row r="64" spans="1:16" ht="15.75" customHeight="1">
      <c r="C64" s="23"/>
      <c r="D64" s="23"/>
      <c r="E64" s="26"/>
      <c r="F64" s="26"/>
      <c r="G64" s="26"/>
      <c r="H64" s="26"/>
      <c r="I64" s="26"/>
      <c r="J64" s="26"/>
      <c r="K64" s="26"/>
      <c r="L64" s="26"/>
      <c r="M64" s="26"/>
      <c r="N64" s="26"/>
    </row>
    <row r="65" spans="3:14" ht="15.75" customHeight="1">
      <c r="C65" s="23"/>
      <c r="D65" s="23"/>
      <c r="E65" s="26"/>
      <c r="F65" s="26"/>
      <c r="G65" s="26"/>
      <c r="H65" s="26"/>
      <c r="I65" s="26"/>
      <c r="J65" s="26"/>
      <c r="K65" s="26"/>
      <c r="L65" s="26"/>
      <c r="M65" s="26"/>
      <c r="N65" s="26"/>
    </row>
    <row r="66" spans="3:14" ht="15.75" customHeight="1">
      <c r="C66" s="23"/>
      <c r="D66" s="23"/>
      <c r="E66" s="26"/>
      <c r="F66" s="26"/>
      <c r="G66" s="26"/>
      <c r="H66" s="26"/>
      <c r="I66" s="26"/>
      <c r="J66" s="26"/>
      <c r="K66" s="26"/>
      <c r="L66" s="26"/>
      <c r="M66" s="26"/>
      <c r="N66" s="26"/>
    </row>
    <row r="67" spans="3:14" ht="15.75" customHeight="1">
      <c r="C67" s="23"/>
      <c r="D67" s="23"/>
      <c r="E67" s="26"/>
      <c r="F67" s="26"/>
      <c r="G67" s="26"/>
      <c r="H67" s="26"/>
      <c r="I67" s="26"/>
      <c r="J67" s="26"/>
      <c r="K67" s="26"/>
      <c r="L67" s="26"/>
      <c r="M67" s="26"/>
      <c r="N67" s="26"/>
    </row>
  </sheetData>
  <phoneticPr fontId="8"/>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25A0F-1D3B-4878-905C-7BBEFE1BAE3B}">
  <sheetPr>
    <outlinePr summaryBelow="0" summaryRight="0"/>
  </sheetPr>
  <dimension ref="A1:P63"/>
  <sheetViews>
    <sheetView zoomScaleNormal="100" workbookViewId="0">
      <selection activeCell="P3" sqref="P3:P8"/>
    </sheetView>
  </sheetViews>
  <sheetFormatPr defaultColWidth="12.5703125" defaultRowHeight="15.75" customHeight="1"/>
  <cols>
    <col min="1" max="2" width="12.5703125" style="2"/>
    <col min="3" max="3" width="26.7109375" style="2" customWidth="1"/>
    <col min="4" max="4" width="13.7109375" style="2" customWidth="1"/>
    <col min="5" max="10" width="13.7109375" style="2" bestFit="1" customWidth="1"/>
    <col min="11" max="11" width="12.5703125" style="2"/>
    <col min="12" max="14" width="13.7109375" style="2" bestFit="1" customWidth="1"/>
    <col min="16" max="16" width="14.85546875" style="2" bestFit="1" customWidth="1"/>
    <col min="17" max="16384" width="12.5703125" style="2"/>
  </cols>
  <sheetData>
    <row r="1" spans="1:16" ht="15.75" customHeight="1">
      <c r="A1" s="30" t="s">
        <v>2244</v>
      </c>
      <c r="O1" s="2"/>
    </row>
    <row r="2" spans="1:16" ht="12.75">
      <c r="O2" s="2"/>
    </row>
    <row r="3" spans="1:16" ht="12.75">
      <c r="A3" s="50" t="s">
        <v>2178</v>
      </c>
      <c r="B3" s="50" t="s">
        <v>2179</v>
      </c>
      <c r="C3" s="50" t="s">
        <v>2239</v>
      </c>
      <c r="D3" s="50" t="s">
        <v>2240</v>
      </c>
      <c r="E3" s="51" t="s">
        <v>2165</v>
      </c>
      <c r="F3" s="51" t="s">
        <v>2166</v>
      </c>
      <c r="G3" s="51" t="s">
        <v>2167</v>
      </c>
      <c r="H3" s="51" t="s">
        <v>2168</v>
      </c>
      <c r="I3" s="51" t="s">
        <v>2169</v>
      </c>
      <c r="J3" s="51" t="s">
        <v>2170</v>
      </c>
      <c r="K3" s="51" t="s">
        <v>2171</v>
      </c>
      <c r="L3" s="51" t="s">
        <v>2172</v>
      </c>
      <c r="M3" s="51" t="s">
        <v>2173</v>
      </c>
      <c r="N3" s="51" t="s">
        <v>2174</v>
      </c>
      <c r="O3" s="2"/>
    </row>
    <row r="4" spans="1:16" ht="16.5" customHeight="1">
      <c r="A4" s="27">
        <v>0</v>
      </c>
      <c r="B4" s="27">
        <f>(COUNTA(集計用!$G:$G)-1)</f>
        <v>443</v>
      </c>
      <c r="C4" s="35" t="s">
        <v>2245</v>
      </c>
      <c r="D4" s="29">
        <f>(SUM(集計用!$AI:$AI))/テーブル3[[#This Row],[n=]]</f>
        <v>4.5349887133182847</v>
      </c>
      <c r="E4" s="99">
        <f>(SUMIFS(集計用!$AI:$AI,集計用!$AE:$AE,"11-15")+SUMIFS(集計用!$AI:$AI,集計用!$AE:$AE,"16-20"))/(COUNTIFS(集計用!$AE:$AE,"11-15")+COUNTIFS(集計用!$AE:$AE,"16-20"))</f>
        <v>3.8775510204081631</v>
      </c>
      <c r="F4" s="29">
        <f>(SUMIFS(集計用!$AI:$AI,集計用!$AE:$AE,F$3))/COUNTIFS(集計用!$AE:$AE,F$3)</f>
        <v>5.1034482758620694</v>
      </c>
      <c r="G4" s="29">
        <f>(SUMIFS(集計用!$AI:$AI,集計用!$AE:$AE,G$3))/COUNTIFS(集計用!$AE:$AE,G$3)</f>
        <v>4.4772727272727275</v>
      </c>
      <c r="H4" s="29">
        <f>(SUMIFS(集計用!$AI:$AI,集計用!$AE:$AE,H$3))/COUNTIFS(集計用!$AE:$AE,H$3)</f>
        <v>4.7012987012987013</v>
      </c>
      <c r="I4" s="29">
        <f>(SUMIFS(集計用!$AI:$AI,集計用!$AE:$AE,I$3))/COUNTIFS(集計用!$AE:$AE,I$3)</f>
        <v>3.9411764705882355</v>
      </c>
      <c r="J4" s="29">
        <f>(SUMIFS(集計用!$AI:$AI,集計用!$AE:$AE,J$3))/COUNTIFS(集計用!$AE:$AE,J$3)</f>
        <v>4</v>
      </c>
      <c r="K4" s="29">
        <f>(SUMIFS(集計用!$AI:$AI,集計用!$AE:$AE,K$3))/COUNTIFS(集計用!$AE:$AE,K$3)</f>
        <v>3.7083333333333335</v>
      </c>
      <c r="L4" s="29">
        <f>(SUMIFS(集計用!$AI:$AI,集計用!$AE:$AE,L$3))/COUNTIFS(集計用!$AE:$AE,L$3)</f>
        <v>4.0909090909090908</v>
      </c>
      <c r="M4" s="28">
        <f>(SUMIFS(集計用!$AI:$AI,集計用!$AE:$AE,"56-60")+SUMIFS(集計用!$AI:$AI,集計用!$AE:$AE,"61-65"))/(COUNTIFS(集計用!$AE:$AE,"56-60")+COUNTIFS(集計用!$AE:$AE,"61-65"))</f>
        <v>6.5</v>
      </c>
      <c r="N4" s="29">
        <f>(SUMIFS(集計用!$AI:$AI,集計用!$AE:$AE,N$3))/COUNTIFS(集計用!$AE:$AE,N$3)</f>
        <v>1</v>
      </c>
      <c r="O4" s="2"/>
    </row>
    <row r="5" spans="1:16" ht="15.75" customHeight="1">
      <c r="A5" s="27">
        <v>1</v>
      </c>
      <c r="B5" s="27">
        <f>(COUNTIFS(集計用!$G:$G,"*, "&amp;$C5&amp;",*"))</f>
        <v>256</v>
      </c>
      <c r="C5" s="36" t="s">
        <v>0</v>
      </c>
      <c r="D5" s="29">
        <f>SUMIFS(集計用!$AI:$AI,集計用!$G:$G,"*, "&amp;$C5&amp;", *")/テーブル3[[#This Row],[n=]]</f>
        <v>5.34375</v>
      </c>
      <c r="E5" s="29">
        <f>(SUMIFS(集計用!$AI:$AI,集計用!$AE:$AE,"11-15")+SUMIFS(集計用!$AI:$AI,集計用!$AE:$AE,"16-20"))/(COUNTIFS(集計用!$AE:$AE,"11-15")+COUNTIFS(集計用!$AE:$AE,"16-20"))</f>
        <v>3.8775510204081631</v>
      </c>
      <c r="F5" s="29">
        <f>(SUMIFS(集計用!$AI:$AI, 集計用!$G:$G, "*, "&amp;$C5&amp;", *",集計用!$AE:$AE,F$3))/COUNTIFS(集計用!$G:$G, "*, "&amp;$C5&amp;", *",集計用!$AE:$AE,F$3)</f>
        <v>5.5342465753424657</v>
      </c>
      <c r="G5" s="29">
        <f>(SUMIFS(集計用!$AI:$AI, 集計用!$G:$G, "*, "&amp;$C5&amp;", *",集計用!$AE:$AE,G$3))/COUNTIFS(集計用!$G:$G, "*, "&amp;$C5&amp;", *",集計用!$AE:$AE,G$3)</f>
        <v>4.8214285714285712</v>
      </c>
      <c r="H5" s="29">
        <f>(SUMIFS(集計用!$AI:$AI, 集計用!$G:$G, "*, "&amp;$C5&amp;", *",集計用!$AE:$AE,H$3))/COUNTIFS(集計用!$G:$G, "*, "&amp;$C5&amp;", *",集計用!$AE:$AE,H$3)</f>
        <v>5.6279069767441863</v>
      </c>
      <c r="I5" s="29">
        <f>(SUMIFS(集計用!$AI:$AI, 集計用!$G:$G, "*, "&amp;$C5&amp;", *",集計用!$AE:$AE,I$3))/COUNTIFS(集計用!$G:$G, "*, "&amp;$C5&amp;", *",集計用!$AE:$AE,I$3)</f>
        <v>5.7368421052631575</v>
      </c>
      <c r="J5" s="29">
        <f>(SUMIFS(集計用!$AI:$AI, 集計用!$G:$G, "*, "&amp;$C5&amp;", *",集計用!$AE:$AE,J$3))/COUNTIFS(集計用!$G:$G, "*, "&amp;$C5&amp;", *",集計用!$AE:$AE,J$3)</f>
        <v>4.4375</v>
      </c>
      <c r="K5" s="29">
        <f>(SUMIFS(集計用!$AI:$AI, 集計用!$G:$G, "*, "&amp;$C5&amp;", *",集計用!$AE:$AE,K$3))/COUNTIFS(集計用!$G:$G, "*, "&amp;$C5&amp;", *",集計用!$AE:$AE,K$3)</f>
        <v>5.4285714285714288</v>
      </c>
      <c r="L5" s="29">
        <f>(SUMIFS(集計用!$AI:$AI, 集計用!$G:$G, "*, "&amp;$C5&amp;", *",集計用!$AE:$AE,L$3))/COUNTIFS(集計用!$G:$G, "*, "&amp;$C5&amp;", *",集計用!$AE:$AE,L$3)</f>
        <v>6.166666666666667</v>
      </c>
      <c r="M5" s="29">
        <f>(SUMIFS(集計用!$AI:$AI, 集計用!$G:$G, "*, "&amp;$C5&amp;", *",集計用!$AE:$AE,"56-60")+SUMIFS(集計用!$AI:$AI, 集計用!$G:$G, "*, "&amp;$C5&amp;", *",集計用!$AE:$AE,"61-65"))/(COUNTIFS(集計用!$G:$G, "*, "&amp;$C5&amp;", *",集計用!$AE:$AE,"56-60")+COUNTIFS(集計用!$G:$G, "*, "&amp;$C5&amp;", *",集計用!$AE:$AE,"61-65"))</f>
        <v>8.8571428571428577</v>
      </c>
      <c r="N5" s="29" t="e">
        <f>(SUMIFS(集計用!$AI:$AI, 集計用!$G:$G, "*, "&amp;$C5&amp;", *",集計用!$AE:$AE,N$3))/COUNTIFS(集計用!$G:$G, "*, "&amp;$C5&amp;", *",集計用!$AE:$AE,N$3)</f>
        <v>#DIV/0!</v>
      </c>
      <c r="O5" s="2"/>
      <c r="P5" s="15"/>
    </row>
    <row r="6" spans="1:16" ht="15.75" customHeight="1">
      <c r="A6" s="27">
        <v>1</v>
      </c>
      <c r="B6" s="27">
        <f>(COUNTIFS(集計用!$G:$G,"*, "&amp;$C6&amp;",*"))</f>
        <v>144</v>
      </c>
      <c r="C6" s="36" t="s">
        <v>1</v>
      </c>
      <c r="D6" s="29">
        <f>SUMIFS(集計用!$AI:$AI,集計用!$G:$G,"*, "&amp;$C6&amp;", *")/テーブル3[[#This Row],[n=]]</f>
        <v>6.5694444444444446</v>
      </c>
      <c r="E6" s="29">
        <f>(SUMIFS(集計用!$AI:$AI,集計用!$AE:$AE,"11-15")+SUMIFS(集計用!$AI:$AI,集計用!$AE:$AE,"16-20"))/(COUNTIFS(集計用!$AE:$AE,"11-15")+COUNTIFS(集計用!$AE:$AE,"16-20"))</f>
        <v>3.8775510204081631</v>
      </c>
      <c r="F6" s="29">
        <f>(SUMIFS(集計用!$AI:$AI, 集計用!$G:$G, "*, "&amp;$C6&amp;", *",集計用!$AE:$AE,F$3))/COUNTIFS(集計用!$G:$G, "*, "&amp;$C6&amp;", *",集計用!$AE:$AE,F$3)</f>
        <v>6.884615384615385</v>
      </c>
      <c r="G6" s="29">
        <f>(SUMIFS(集計用!$AI:$AI, 集計用!$G:$G, "*, "&amp;$C6&amp;", *",集計用!$AE:$AE,G$3))/COUNTIFS(集計用!$G:$G, "*, "&amp;$C6&amp;", *",集計用!$AE:$AE,G$3)</f>
        <v>5.5333333333333332</v>
      </c>
      <c r="H6" s="29">
        <f>(SUMIFS(集計用!$AI:$AI, 集計用!$G:$G, "*, "&amp;$C6&amp;", *",集計用!$AE:$AE,H$3))/COUNTIFS(集計用!$G:$G, "*, "&amp;$C6&amp;", *",集計用!$AE:$AE,H$3)</f>
        <v>7.0476190476190474</v>
      </c>
      <c r="I6" s="29">
        <f>(SUMIFS(集計用!$AI:$AI, 集計用!$G:$G, "*, "&amp;$C6&amp;", *",集計用!$AE:$AE,I$3))/COUNTIFS(集計用!$G:$G, "*, "&amp;$C6&amp;", *",集計用!$AE:$AE,I$3)</f>
        <v>6</v>
      </c>
      <c r="J6" s="29">
        <f>(SUMIFS(集計用!$AI:$AI, 集計用!$G:$G, "*, "&amp;$C6&amp;", *",集計用!$AE:$AE,J$3))/COUNTIFS(集計用!$G:$G, "*, "&amp;$C6&amp;", *",集計用!$AE:$AE,J$3)</f>
        <v>6.375</v>
      </c>
      <c r="K6" s="29">
        <f>(SUMIFS(集計用!$AI:$AI, 集計用!$G:$G, "*, "&amp;$C6&amp;", *",集計用!$AE:$AE,K$3))/COUNTIFS(集計用!$G:$G, "*, "&amp;$C6&amp;", *",集計用!$AE:$AE,K$3)</f>
        <v>5.666666666666667</v>
      </c>
      <c r="L6" s="29">
        <f>(SUMIFS(集計用!$AI:$AI, 集計用!$G:$G, "*, "&amp;$C6&amp;", *",集計用!$AE:$AE,L$3))/COUNTIFS(集計用!$G:$G, "*, "&amp;$C6&amp;", *",集計用!$AE:$AE,L$3)</f>
        <v>9</v>
      </c>
      <c r="M6" s="29">
        <f>(SUMIFS(集計用!$AI:$AI, 集計用!$G:$G, "*, "&amp;$C6&amp;", *",集計用!$AE:$AE,"56-60")+SUMIFS(集計用!$AI:$AI, 集計用!$G:$G, "*, "&amp;$C6&amp;", *",集計用!$AE:$AE,"61-65"))/(COUNTIFS(集計用!$G:$G, "*, "&amp;$C6&amp;", *",集計用!$AE:$AE,"56-60")+COUNTIFS(集計用!$G:$G, "*, "&amp;$C6&amp;", *",集計用!$AE:$AE,"61-65"))</f>
        <v>8.3333333333333339</v>
      </c>
      <c r="N6" s="29" t="e">
        <f>(SUMIFS(集計用!$AI:$AI, 集計用!$G:$G, "*, "&amp;$C6&amp;", *",集計用!$AE:$AE,N$3))/COUNTIFS(集計用!$G:$G, "*, "&amp;$C6&amp;", *",集計用!$AE:$AE,N$3)</f>
        <v>#DIV/0!</v>
      </c>
      <c r="O6" s="2"/>
    </row>
    <row r="7" spans="1:16" ht="15.75" customHeight="1">
      <c r="A7" s="27">
        <v>2</v>
      </c>
      <c r="B7" s="27">
        <f>(COUNTIFS(集計用!$G:$G,"*, "&amp;$C7&amp;",*"))</f>
        <v>121</v>
      </c>
      <c r="C7" s="36" t="s">
        <v>2</v>
      </c>
      <c r="D7" s="29">
        <f>SUMIFS(集計用!$AI:$AI,集計用!$G:$G,"*, "&amp;$C7&amp;", *")/テーブル3[[#This Row],[n=]]</f>
        <v>6.553719008264463</v>
      </c>
      <c r="E7" s="29">
        <f>(SUMIFS(集計用!$AI:$AI,集計用!$AE:$AE,"11-15")+SUMIFS(集計用!$AI:$AI,集計用!$AE:$AE,"16-20"))/(COUNTIFS(集計用!$AE:$AE,"11-15")+COUNTIFS(集計用!$AE:$AE,"16-20"))</f>
        <v>3.8775510204081631</v>
      </c>
      <c r="F7" s="29">
        <f>(SUMIFS(集計用!$AI:$AI, 集計用!$G:$G, "*, "&amp;$C7&amp;", *",集計用!$AE:$AE,F$3))/COUNTIFS(集計用!$G:$G, "*, "&amp;$C7&amp;", *",集計用!$AE:$AE,F$3)</f>
        <v>7.3939393939393936</v>
      </c>
      <c r="G7" s="29">
        <f>(SUMIFS(集計用!$AI:$AI, 集計用!$G:$G, "*, "&amp;$C7&amp;", *",集計用!$AE:$AE,G$3))/COUNTIFS(集計用!$G:$G, "*, "&amp;$C7&amp;", *",集計用!$AE:$AE,G$3)</f>
        <v>5.5</v>
      </c>
      <c r="H7" s="29">
        <f>(SUMIFS(集計用!$AI:$AI, 集計用!$G:$G, "*, "&amp;$C7&amp;", *",集計用!$AE:$AE,H$3))/COUNTIFS(集計用!$G:$G, "*, "&amp;$C7&amp;", *",集計用!$AE:$AE,H$3)</f>
        <v>6.2272727272727275</v>
      </c>
      <c r="I7" s="29">
        <f>(SUMIFS(集計用!$AI:$AI, 集計用!$G:$G, "*, "&amp;$C7&amp;", *",集計用!$AE:$AE,I$3))/COUNTIFS(集計用!$G:$G, "*, "&amp;$C7&amp;", *",集計用!$AE:$AE,I$3)</f>
        <v>8.4444444444444446</v>
      </c>
      <c r="J7" s="29">
        <f>(SUMIFS(集計用!$AI:$AI, 集計用!$G:$G, "*, "&amp;$C7&amp;", *",集計用!$AE:$AE,J$3))/COUNTIFS(集計用!$G:$G, "*, "&amp;$C7&amp;", *",集計用!$AE:$AE,J$3)</f>
        <v>5.166666666666667</v>
      </c>
      <c r="K7" s="29">
        <f>(SUMIFS(集計用!$AI:$AI, 集計用!$G:$G, "*, "&amp;$C7&amp;", *",集計用!$AE:$AE,K$3))/COUNTIFS(集計用!$G:$G, "*, "&amp;$C7&amp;", *",集計用!$AE:$AE,K$3)</f>
        <v>6.4</v>
      </c>
      <c r="L7" s="29">
        <f>(SUMIFS(集計用!$AI:$AI, 集計用!$G:$G, "*, "&amp;$C7&amp;", *",集計用!$AE:$AE,L$3))/COUNTIFS(集計用!$G:$G, "*, "&amp;$C7&amp;", *",集計用!$AE:$AE,L$3)</f>
        <v>7.666666666666667</v>
      </c>
      <c r="M7" s="29">
        <f>(SUMIFS(集計用!$AI:$AI, 集計用!$G:$G, "*, "&amp;$C7&amp;", *",集計用!$AE:$AE,"56-60")+SUMIFS(集計用!$AI:$AI, 集計用!$G:$G, "*, "&amp;$C7&amp;", *",集計用!$AE:$AE,"61-65"))/(COUNTIFS(集計用!$G:$G, "*, "&amp;$C7&amp;", *",集計用!$AE:$AE,"56-60")+COUNTIFS(集計用!$G:$G, "*, "&amp;$C7&amp;", *",集計用!$AE:$AE,"61-65"))</f>
        <v>9.5</v>
      </c>
      <c r="N7" s="29" t="e">
        <f>(SUMIFS(集計用!$AI:$AI, 集計用!$G:$G, "*, "&amp;$C7&amp;", *",集計用!$AE:$AE,N$3))/COUNTIFS(集計用!$G:$G, "*, "&amp;$C7&amp;", *",集計用!$AE:$AE,N$3)</f>
        <v>#DIV/0!</v>
      </c>
      <c r="O7" s="2"/>
    </row>
    <row r="8" spans="1:16" ht="15.75" customHeight="1">
      <c r="A8" s="27">
        <v>1</v>
      </c>
      <c r="B8" s="27">
        <f>(COUNTIFS(集計用!$G:$G,"*, "&amp;$C8&amp;",*"))</f>
        <v>86</v>
      </c>
      <c r="C8" s="36" t="s">
        <v>3</v>
      </c>
      <c r="D8" s="29">
        <f>SUMIFS(集計用!$AI:$AI,集計用!$G:$G,"*, "&amp;$C8&amp;", *")/テーブル3[[#This Row],[n=]]</f>
        <v>6.8953488372093021</v>
      </c>
      <c r="E8" s="29">
        <f>(SUMIFS(集計用!$AI:$AI,集計用!$AE:$AE,"11-15")+SUMIFS(集計用!$AI:$AI,集計用!$AE:$AE,"16-20"))/(COUNTIFS(集計用!$AE:$AE,"11-15")+COUNTIFS(集計用!$AE:$AE,"16-20"))</f>
        <v>3.8775510204081631</v>
      </c>
      <c r="F8" s="29">
        <f>(SUMIFS(集計用!$AI:$AI, 集計用!$G:$G, "*, "&amp;$C8&amp;", *",集計用!$AE:$AE,F$3))/COUNTIFS(集計用!$G:$G, "*, "&amp;$C8&amp;", *",集計用!$AE:$AE,F$3)</f>
        <v>7.6896551724137927</v>
      </c>
      <c r="G8" s="29">
        <f>(SUMIFS(集計用!$AI:$AI, 集計用!$G:$G, "*, "&amp;$C8&amp;", *",集計用!$AE:$AE,G$3))/COUNTIFS(集計用!$G:$G, "*, "&amp;$C8&amp;", *",集計用!$AE:$AE,G$3)</f>
        <v>5.7058823529411766</v>
      </c>
      <c r="H8" s="29">
        <f>(SUMIFS(集計用!$AI:$AI, 集計用!$G:$G, "*, "&amp;$C8&amp;", *",集計用!$AE:$AE,H$3))/COUNTIFS(集計用!$G:$G, "*, "&amp;$C8&amp;", *",集計用!$AE:$AE,H$3)</f>
        <v>7.2666666666666666</v>
      </c>
      <c r="I8" s="29">
        <f>(SUMIFS(集計用!$AI:$AI, 集計用!$G:$G, "*, "&amp;$C8&amp;", *",集計用!$AE:$AE,I$3))/COUNTIFS(集計用!$G:$G, "*, "&amp;$C8&amp;", *",集計用!$AE:$AE,I$3)</f>
        <v>6</v>
      </c>
      <c r="J8" s="29">
        <f>(SUMIFS(集計用!$AI:$AI, 集計用!$G:$G, "*, "&amp;$C8&amp;", *",集計用!$AE:$AE,J$3))/COUNTIFS(集計用!$G:$G, "*, "&amp;$C8&amp;", *",集計用!$AE:$AE,J$3)</f>
        <v>5.5</v>
      </c>
      <c r="K8" s="29" t="e">
        <f>(SUMIFS(集計用!$AI:$AI, 集計用!$G:$G, "*, "&amp;$C8&amp;", *",集計用!$AE:$AE,K$3))/COUNTIFS(集計用!$G:$G, "*, "&amp;$C8&amp;", *",集計用!$AE:$AE,K$3)</f>
        <v>#DIV/0!</v>
      </c>
      <c r="L8" s="29">
        <f>(SUMIFS(集計用!$AI:$AI, 集計用!$G:$G, "*, "&amp;$C8&amp;", *",集計用!$AE:$AE,L$3))/COUNTIFS(集計用!$G:$G, "*, "&amp;$C8&amp;", *",集計用!$AE:$AE,L$3)</f>
        <v>7.25</v>
      </c>
      <c r="M8" s="29">
        <f>(SUMIFS(集計用!$AI:$AI, 集計用!$G:$G, "*, "&amp;$C8&amp;", *",集計用!$AE:$AE,"56-60")+SUMIFS(集計用!$AI:$AI, 集計用!$G:$G, "*, "&amp;$C8&amp;", *",集計用!$AE:$AE,"61-65"))/(COUNTIFS(集計用!$G:$G, "*, "&amp;$C8&amp;", *",集計用!$AE:$AE,"56-60")+COUNTIFS(集計用!$G:$G, "*, "&amp;$C8&amp;", *",集計用!$AE:$AE,"61-65"))</f>
        <v>10</v>
      </c>
      <c r="N8" s="29" t="e">
        <f>(SUMIFS(集計用!$AI:$AI, 集計用!$G:$G, "*, "&amp;$C8&amp;", *",集計用!$AE:$AE,N$3))/COUNTIFS(集計用!$G:$G, "*, "&amp;$C8&amp;", *",集計用!$AE:$AE,N$3)</f>
        <v>#DIV/0!</v>
      </c>
      <c r="O8" s="2"/>
    </row>
    <row r="9" spans="1:16" ht="15.75" customHeight="1">
      <c r="A9" s="27">
        <v>3</v>
      </c>
      <c r="B9" s="27">
        <f>(COUNTIFS(集計用!$G:$G,"*, "&amp;$C9&amp;",*"))</f>
        <v>86</v>
      </c>
      <c r="C9" s="36" t="s">
        <v>4</v>
      </c>
      <c r="D9" s="29">
        <f>SUMIFS(集計用!$AI:$AI,集計用!$G:$G,"*, "&amp;$C9&amp;", *")/テーブル3[[#This Row],[n=]]</f>
        <v>6.3255813953488369</v>
      </c>
      <c r="E9" s="29">
        <f>(SUMIFS(集計用!$AI:$AI,集計用!$AE:$AE,"11-15")+SUMIFS(集計用!$AI:$AI,集計用!$AE:$AE,"16-20"))/(COUNTIFS(集計用!$AE:$AE,"11-15")+COUNTIFS(集計用!$AE:$AE,"16-20"))</f>
        <v>3.8775510204081631</v>
      </c>
      <c r="F9" s="29">
        <f>(SUMIFS(集計用!$AI:$AI, 集計用!$G:$G, "*, "&amp;$C9&amp;", *",集計用!$AE:$AE,F$3))/COUNTIFS(集計用!$G:$G, "*, "&amp;$C9&amp;", *",集計用!$AE:$AE,F$3)</f>
        <v>7.9047619047619051</v>
      </c>
      <c r="G9" s="29">
        <f>(SUMIFS(集計用!$AI:$AI, 集計用!$G:$G, "*, "&amp;$C9&amp;", *",集計用!$AE:$AE,G$3))/COUNTIFS(集計用!$G:$G, "*, "&amp;$C9&amp;", *",集計用!$AE:$AE,G$3)</f>
        <v>5.35</v>
      </c>
      <c r="H9" s="29">
        <f>(SUMIFS(集計用!$AI:$AI, 集計用!$G:$G, "*, "&amp;$C9&amp;", *",集計用!$AE:$AE,H$3))/COUNTIFS(集計用!$G:$G, "*, "&amp;$C9&amp;", *",集計用!$AE:$AE,H$3)</f>
        <v>5.6</v>
      </c>
      <c r="I9" s="29">
        <f>(SUMIFS(集計用!$AI:$AI, 集計用!$G:$G, "*, "&amp;$C9&amp;", *",集計用!$AE:$AE,I$3))/COUNTIFS(集計用!$G:$G, "*, "&amp;$C9&amp;", *",集計用!$AE:$AE,I$3)</f>
        <v>7</v>
      </c>
      <c r="J9" s="29">
        <f>(SUMIFS(集計用!$AI:$AI, 集計用!$G:$G, "*, "&amp;$C9&amp;", *",集計用!$AE:$AE,J$3))/COUNTIFS(集計用!$G:$G, "*, "&amp;$C9&amp;", *",集計用!$AE:$AE,J$3)</f>
        <v>5.666666666666667</v>
      </c>
      <c r="K9" s="29">
        <f>(SUMIFS(集計用!$AI:$AI, 集計用!$G:$G, "*, "&amp;$C9&amp;", *",集計用!$AE:$AE,K$3))/COUNTIFS(集計用!$G:$G, "*, "&amp;$C9&amp;", *",集計用!$AE:$AE,K$3)</f>
        <v>6.4</v>
      </c>
      <c r="L9" s="29">
        <f>(SUMIFS(集計用!$AI:$AI, 集計用!$G:$G, "*, "&amp;$C9&amp;", *",集計用!$AE:$AE,L$3))/COUNTIFS(集計用!$G:$G, "*, "&amp;$C9&amp;", *",集計用!$AE:$AE,L$3)</f>
        <v>5.5</v>
      </c>
      <c r="M9" s="29">
        <f>(SUMIFS(集計用!$AI:$AI, 集計用!$G:$G, "*, "&amp;$C9&amp;", *",集計用!$AE:$AE,"56-60")+SUMIFS(集計用!$AI:$AI, 集計用!$G:$G, "*, "&amp;$C9&amp;", *",集計用!$AE:$AE,"61-65"))/(COUNTIFS(集計用!$G:$G, "*, "&amp;$C9&amp;", *",集計用!$AE:$AE,"56-60")+COUNTIFS(集計用!$G:$G, "*, "&amp;$C9&amp;", *",集計用!$AE:$AE,"61-65"))</f>
        <v>3.5</v>
      </c>
      <c r="N9" s="29" t="e">
        <f>(SUMIFS(集計用!$AI:$AI, 集計用!$G:$G, "*, "&amp;$C9&amp;", *",集計用!$AE:$AE,N$3))/COUNTIFS(集計用!$G:$G, "*, "&amp;$C9&amp;", *",集計用!$AE:$AE,N$3)</f>
        <v>#DIV/0!</v>
      </c>
      <c r="O9" s="2"/>
    </row>
    <row r="10" spans="1:16" ht="15.75" customHeight="1">
      <c r="A10" s="27">
        <v>4</v>
      </c>
      <c r="B10" s="27">
        <f>(COUNTIFS(集計用!$G:$G,"*, "&amp;$C10&amp;",*"))</f>
        <v>75</v>
      </c>
      <c r="C10" s="36" t="s">
        <v>5</v>
      </c>
      <c r="D10" s="29">
        <f>SUMIFS(集計用!$AI:$AI,集計用!$G:$G,"*, "&amp;$C10&amp;", *")/テーブル3[[#This Row],[n=]]</f>
        <v>7.6</v>
      </c>
      <c r="E10" s="29">
        <f>(SUMIFS(集計用!$AI:$AI,集計用!$AE:$AE,"11-15")+SUMIFS(集計用!$AI:$AI,集計用!$AE:$AE,"16-20"))/(COUNTIFS(集計用!$AE:$AE,"11-15")+COUNTIFS(集計用!$AE:$AE,"16-20"))</f>
        <v>3.8775510204081631</v>
      </c>
      <c r="F10" s="29">
        <f>(SUMIFS(集計用!$AI:$AI, 集計用!$G:$G, "*, "&amp;$C10&amp;", *",集計用!$AE:$AE,F$3))/COUNTIFS(集計用!$G:$G, "*, "&amp;$C10&amp;", *",集計用!$AE:$AE,F$3)</f>
        <v>7.8148148148148149</v>
      </c>
      <c r="G10" s="29">
        <f>(SUMIFS(集計用!$AI:$AI, 集計用!$G:$G, "*, "&amp;$C10&amp;", *",集計用!$AE:$AE,G$3))/COUNTIFS(集計用!$G:$G, "*, "&amp;$C10&amp;", *",集計用!$AE:$AE,G$3)</f>
        <v>4.9411764705882355</v>
      </c>
      <c r="H10" s="29">
        <f>(SUMIFS(集計用!$AI:$AI, 集計用!$G:$G, "*, "&amp;$C10&amp;", *",集計用!$AE:$AE,H$3))/COUNTIFS(集計用!$G:$G, "*, "&amp;$C10&amp;", *",集計用!$AE:$AE,H$3)</f>
        <v>9.125</v>
      </c>
      <c r="I10" s="29">
        <f>(SUMIFS(集計用!$AI:$AI, 集計用!$G:$G, "*, "&amp;$C10&amp;", *",集計用!$AE:$AE,I$3))/COUNTIFS(集計用!$G:$G, "*, "&amp;$C10&amp;", *",集計用!$AE:$AE,I$3)</f>
        <v>11</v>
      </c>
      <c r="J10" s="29">
        <f>(SUMIFS(集計用!$AI:$AI, 集計用!$G:$G, "*, "&amp;$C10&amp;", *",集計用!$AE:$AE,J$3))/COUNTIFS(集計用!$G:$G, "*, "&amp;$C10&amp;", *",集計用!$AE:$AE,J$3)</f>
        <v>8</v>
      </c>
      <c r="K10" s="29">
        <f>(SUMIFS(集計用!$AI:$AI, 集計用!$G:$G, "*, "&amp;$C10&amp;", *",集計用!$AE:$AE,K$3))/COUNTIFS(集計用!$G:$G, "*, "&amp;$C10&amp;", *",集計用!$AE:$AE,K$3)</f>
        <v>3.5</v>
      </c>
      <c r="L10" s="29" t="e">
        <f>(SUMIFS(集計用!$AI:$AI, 集計用!$G:$G, "*, "&amp;$C10&amp;", *",集計用!$AE:$AE,L$3))/COUNTIFS(集計用!$G:$G, "*, "&amp;$C10&amp;", *",集計用!$AE:$AE,L$3)</f>
        <v>#DIV/0!</v>
      </c>
      <c r="M10" s="29">
        <f>(SUMIFS(集計用!$AI:$AI, 集計用!$G:$G, "*, "&amp;$C10&amp;", *",集計用!$AE:$AE,"56-60")+SUMIFS(集計用!$AI:$AI, 集計用!$G:$G, "*, "&amp;$C10&amp;", *",集計用!$AE:$AE,"61-65"))/(COUNTIFS(集計用!$G:$G, "*, "&amp;$C10&amp;", *",集計用!$AE:$AE,"56-60")+COUNTIFS(集計用!$G:$G, "*, "&amp;$C10&amp;", *",集計用!$AE:$AE,"61-65"))</f>
        <v>11.5</v>
      </c>
      <c r="N10" s="29" t="e">
        <f>(SUMIFS(集計用!$AI:$AI, 集計用!$G:$G, "*, "&amp;$C10&amp;", *",集計用!$AE:$AE,N$3))/COUNTIFS(集計用!$G:$G, "*, "&amp;$C10&amp;", *",集計用!$AE:$AE,N$3)</f>
        <v>#DIV/0!</v>
      </c>
      <c r="O10" s="2"/>
    </row>
    <row r="11" spans="1:16" ht="15.75" customHeight="1">
      <c r="A11" s="27">
        <v>1</v>
      </c>
      <c r="B11" s="27">
        <f>(COUNTIFS(集計用!$G:$G,"*, "&amp;$C11&amp;",*"))</f>
        <v>74</v>
      </c>
      <c r="C11" s="36" t="s">
        <v>6</v>
      </c>
      <c r="D11" s="29">
        <f>SUMIFS(集計用!$AI:$AI,集計用!$G:$G,"*, "&amp;$C11&amp;", *")/テーブル3[[#This Row],[n=]]</f>
        <v>7.6351351351351351</v>
      </c>
      <c r="E11" s="29">
        <f>(SUMIFS(集計用!$AI:$AI,集計用!$AE:$AE,"11-15")+SUMIFS(集計用!$AI:$AI,集計用!$AE:$AE,"16-20"))/(COUNTIFS(集計用!$AE:$AE,"11-15")+COUNTIFS(集計用!$AE:$AE,"16-20"))</f>
        <v>3.8775510204081631</v>
      </c>
      <c r="F11" s="29">
        <f>(SUMIFS(集計用!$AI:$AI, 集計用!$G:$G, "*, "&amp;$C11&amp;", *",集計用!$AE:$AE,F$3))/COUNTIFS(集計用!$G:$G, "*, "&amp;$C11&amp;", *",集計用!$AE:$AE,F$3)</f>
        <v>8.6296296296296298</v>
      </c>
      <c r="G11" s="29">
        <f>(SUMIFS(集計用!$AI:$AI, 集計用!$G:$G, "*, "&amp;$C11&amp;", *",集計用!$AE:$AE,G$3))/COUNTIFS(集計用!$G:$G, "*, "&amp;$C11&amp;", *",集計用!$AE:$AE,G$3)</f>
        <v>6.25</v>
      </c>
      <c r="H11" s="29">
        <f>(SUMIFS(集計用!$AI:$AI, 集計用!$G:$G, "*, "&amp;$C11&amp;", *",集計用!$AE:$AE,H$3))/COUNTIFS(集計用!$G:$G, "*, "&amp;$C11&amp;", *",集計用!$AE:$AE,H$3)</f>
        <v>7.5454545454545459</v>
      </c>
      <c r="I11" s="29">
        <f>(SUMIFS(集計用!$AI:$AI, 集計用!$G:$G, "*, "&amp;$C11&amp;", *",集計用!$AE:$AE,I$3))/COUNTIFS(集計用!$G:$G, "*, "&amp;$C11&amp;", *",集計用!$AE:$AE,I$3)</f>
        <v>9.1999999999999993</v>
      </c>
      <c r="J11" s="29">
        <f>(SUMIFS(集計用!$AI:$AI, 集計用!$G:$G, "*, "&amp;$C11&amp;", *",集計用!$AE:$AE,J$3))/COUNTIFS(集計用!$G:$G, "*, "&amp;$C11&amp;", *",集計用!$AE:$AE,J$3)</f>
        <v>6.333333333333333</v>
      </c>
      <c r="K11" s="29">
        <f>(SUMIFS(集計用!$AI:$AI, 集計用!$G:$G, "*, "&amp;$C11&amp;", *",集計用!$AE:$AE,K$3))/COUNTIFS(集計用!$G:$G, "*, "&amp;$C11&amp;", *",集計用!$AE:$AE,K$3)</f>
        <v>4.666666666666667</v>
      </c>
      <c r="L11" s="29" t="e">
        <f>(SUMIFS(集計用!$AI:$AI, 集計用!$G:$G, "*, "&amp;$C11&amp;", *",集計用!$AE:$AE,L$3))/COUNTIFS(集計用!$G:$G, "*, "&amp;$C11&amp;", *",集計用!$AE:$AE,L$3)</f>
        <v>#DIV/0!</v>
      </c>
      <c r="M11" s="29">
        <f>(SUMIFS(集計用!$AI:$AI, 集計用!$G:$G, "*, "&amp;$C11&amp;", *",集計用!$AE:$AE,"56-60")+SUMIFS(集計用!$AI:$AI, 集計用!$G:$G, "*, "&amp;$C11&amp;", *",集計用!$AE:$AE,"61-65"))/(COUNTIFS(集計用!$G:$G, "*, "&amp;$C11&amp;", *",集計用!$AE:$AE,"56-60")+COUNTIFS(集計用!$G:$G, "*, "&amp;$C11&amp;", *",集計用!$AE:$AE,"61-65"))</f>
        <v>7.8</v>
      </c>
      <c r="N11" s="29" t="e">
        <f>(SUMIFS(集計用!$AI:$AI, 集計用!$G:$G, "*, "&amp;$C11&amp;", *",集計用!$AE:$AE,N$3))/COUNTIFS(集計用!$G:$G, "*, "&amp;$C11&amp;", *",集計用!$AE:$AE,N$3)</f>
        <v>#DIV/0!</v>
      </c>
      <c r="O11" s="2"/>
    </row>
    <row r="12" spans="1:16" ht="15.75" customHeight="1">
      <c r="A12" s="27">
        <v>3</v>
      </c>
      <c r="B12" s="27">
        <f>(COUNTIFS(集計用!$G:$G,"*, "&amp;$C12&amp;",*"))</f>
        <v>71</v>
      </c>
      <c r="C12" s="36" t="s">
        <v>8</v>
      </c>
      <c r="D12" s="29">
        <f>SUMIFS(集計用!$AI:$AI,集計用!$G:$G,"*, "&amp;$C12&amp;", *")/テーブル3[[#This Row],[n=]]</f>
        <v>6.774647887323944</v>
      </c>
      <c r="E12" s="29">
        <f>(SUMIFS(集計用!$AI:$AI,集計用!$AE:$AE,"11-15")+SUMIFS(集計用!$AI:$AI,集計用!$AE:$AE,"16-20"))/(COUNTIFS(集計用!$AE:$AE,"11-15")+COUNTIFS(集計用!$AE:$AE,"16-20"))</f>
        <v>3.8775510204081631</v>
      </c>
      <c r="F12" s="29">
        <f>(SUMIFS(集計用!$AI:$AI, 集計用!$G:$G, "*, "&amp;$C12&amp;", *",集計用!$AE:$AE,F$3))/COUNTIFS(集計用!$G:$G, "*, "&amp;$C12&amp;", *",集計用!$AE:$AE,F$3)</f>
        <v>8.1</v>
      </c>
      <c r="G12" s="29">
        <f>(SUMIFS(集計用!$AI:$AI, 集計用!$G:$G, "*, "&amp;$C12&amp;", *",集計用!$AE:$AE,G$3))/COUNTIFS(集計用!$G:$G, "*, "&amp;$C12&amp;", *",集計用!$AE:$AE,G$3)</f>
        <v>5.8666666666666663</v>
      </c>
      <c r="H12" s="29">
        <f>(SUMIFS(集計用!$AI:$AI, 集計用!$G:$G, "*, "&amp;$C12&amp;", *",集計用!$AE:$AE,H$3))/COUNTIFS(集計用!$G:$G, "*, "&amp;$C12&amp;", *",集計用!$AE:$AE,H$3)</f>
        <v>6.9230769230769234</v>
      </c>
      <c r="I12" s="29">
        <f>(SUMIFS(集計用!$AI:$AI, 集計用!$G:$G, "*, "&amp;$C12&amp;", *",集計用!$AE:$AE,I$3))/COUNTIFS(集計用!$G:$G, "*, "&amp;$C12&amp;", *",集計用!$AE:$AE,I$3)</f>
        <v>7.333333333333333</v>
      </c>
      <c r="J12" s="29">
        <f>(SUMIFS(集計用!$AI:$AI, 集計用!$G:$G, "*, "&amp;$C12&amp;", *",集計用!$AE:$AE,J$3))/COUNTIFS(集計用!$G:$G, "*, "&amp;$C12&amp;", *",集計用!$AE:$AE,J$3)</f>
        <v>6</v>
      </c>
      <c r="K12" s="29">
        <f>(SUMIFS(集計用!$AI:$AI, 集計用!$G:$G, "*, "&amp;$C12&amp;", *",集計用!$AE:$AE,K$3))/COUNTIFS(集計用!$G:$G, "*, "&amp;$C12&amp;", *",集計用!$AE:$AE,K$3)</f>
        <v>3</v>
      </c>
      <c r="L12" s="29">
        <f>(SUMIFS(集計用!$AI:$AI, 集計用!$G:$G, "*, "&amp;$C12&amp;", *",集計用!$AE:$AE,L$3))/COUNTIFS(集計用!$G:$G, "*, "&amp;$C12&amp;", *",集計用!$AE:$AE,L$3)</f>
        <v>4.666666666666667</v>
      </c>
      <c r="M12" s="29">
        <f>(SUMIFS(集計用!$AI:$AI, 集計用!$G:$G, "*, "&amp;$C12&amp;", *",集計用!$AE:$AE,"56-60")+SUMIFS(集計用!$AI:$AI, 集計用!$G:$G, "*, "&amp;$C12&amp;", *",集計用!$AE:$AE,"61-65"))/(COUNTIFS(集計用!$G:$G, "*, "&amp;$C12&amp;", *",集計用!$AE:$AE,"56-60")+COUNTIFS(集計用!$G:$G, "*, "&amp;$C12&amp;", *",集計用!$AE:$AE,"61-65"))</f>
        <v>18</v>
      </c>
      <c r="N12" s="29" t="e">
        <f>(SUMIFS(集計用!$AI:$AI, 集計用!$G:$G, "*, "&amp;$C12&amp;", *",集計用!$AE:$AE,N$3))/COUNTIFS(集計用!$G:$G, "*, "&amp;$C12&amp;", *",集計用!$AE:$AE,N$3)</f>
        <v>#DIV/0!</v>
      </c>
      <c r="O12" s="2"/>
    </row>
    <row r="13" spans="1:16" ht="15.75" customHeight="1">
      <c r="A13" s="27">
        <v>1</v>
      </c>
      <c r="B13" s="27">
        <f>(COUNTIFS(集計用!$G:$G,"*, "&amp;$C13&amp;",*"))</f>
        <v>71</v>
      </c>
      <c r="C13" s="37" t="s">
        <v>2247</v>
      </c>
      <c r="D13" s="29">
        <f>SUMIFS(集計用!$AI:$AI,集計用!$G:$G,"*, "&amp;$C13&amp;", *")/テーブル3[[#This Row],[n=]]</f>
        <v>6.71830985915493</v>
      </c>
      <c r="E13" s="29">
        <f>(SUMIFS(集計用!$AI:$AI,集計用!$AE:$AE,"11-15")+SUMIFS(集計用!$AI:$AI,集計用!$AE:$AE,"16-20"))/(COUNTIFS(集計用!$AE:$AE,"11-15")+COUNTIFS(集計用!$AE:$AE,"16-20"))</f>
        <v>3.8775510204081631</v>
      </c>
      <c r="F13" s="29">
        <f>(SUMIFS(集計用!$AI:$AI, 集計用!$G:$G, "*, "&amp;$C13&amp;", *",集計用!$AE:$AE,F$3))/COUNTIFS(集計用!$G:$G, "*, "&amp;$C13&amp;", *",集計用!$AE:$AE,F$3)</f>
        <v>8.2727272727272734</v>
      </c>
      <c r="G13" s="29">
        <f>(SUMIFS(集計用!$AI:$AI, 集計用!$G:$G, "*, "&amp;$C13&amp;", *",集計用!$AE:$AE,G$3))/COUNTIFS(集計用!$G:$G, "*, "&amp;$C13&amp;", *",集計用!$AE:$AE,G$3)</f>
        <v>5.8235294117647056</v>
      </c>
      <c r="H13" s="29">
        <f>(SUMIFS(集計用!$AI:$AI, 集計用!$G:$G, "*, "&amp;$C13&amp;", *",集計用!$AE:$AE,H$3))/COUNTIFS(集計用!$G:$G, "*, "&amp;$C13&amp;", *",集計用!$AE:$AE,H$3)</f>
        <v>7.1428571428571432</v>
      </c>
      <c r="I13" s="29">
        <f>(SUMIFS(集計用!$AI:$AI, 集計用!$G:$G, "*, "&amp;$C13&amp;", *",集計用!$AE:$AE,I$3))/COUNTIFS(集計用!$G:$G, "*, "&amp;$C13&amp;", *",集計用!$AE:$AE,I$3)</f>
        <v>1.5</v>
      </c>
      <c r="J13" s="29">
        <f>(SUMIFS(集計用!$AI:$AI, 集計用!$G:$G, "*, "&amp;$C13&amp;", *",集計用!$AE:$AE,J$3))/COUNTIFS(集計用!$G:$G, "*, "&amp;$C13&amp;", *",集計用!$AE:$AE,J$3)</f>
        <v>4</v>
      </c>
      <c r="K13" s="29">
        <f>(SUMIFS(集計用!$AI:$AI, 集計用!$G:$G, "*, "&amp;$C13&amp;", *",集計用!$AE:$AE,K$3))/COUNTIFS(集計用!$G:$G, "*, "&amp;$C13&amp;", *",集計用!$AE:$AE,K$3)</f>
        <v>4.666666666666667</v>
      </c>
      <c r="L13" s="29">
        <f>(SUMIFS(集計用!$AI:$AI, 集計用!$G:$G, "*, "&amp;$C13&amp;", *",集計用!$AE:$AE,L$3))/COUNTIFS(集計用!$G:$G, "*, "&amp;$C13&amp;", *",集計用!$AE:$AE,L$3)</f>
        <v>9</v>
      </c>
      <c r="M13" s="29">
        <f>(SUMIFS(集計用!$AI:$AI, 集計用!$G:$G, "*, "&amp;$C13&amp;", *",集計用!$AE:$AE,"56-60")+SUMIFS(集計用!$AI:$AI, 集計用!$G:$G, "*, "&amp;$C13&amp;", *",集計用!$AE:$AE,"61-65"))/(COUNTIFS(集計用!$G:$G, "*, "&amp;$C13&amp;", *",集計用!$AE:$AE,"56-60")+COUNTIFS(集計用!$G:$G, "*, "&amp;$C13&amp;", *",集計用!$AE:$AE,"61-65"))</f>
        <v>8</v>
      </c>
      <c r="N13" s="29" t="e">
        <f>(SUMIFS(集計用!$AI:$AI, 集計用!$G:$G, "*, "&amp;$C13&amp;", *",集計用!$AE:$AE,N$3))/COUNTIFS(集計用!$G:$G, "*, "&amp;$C13&amp;", *",集計用!$AE:$AE,N$3)</f>
        <v>#DIV/0!</v>
      </c>
      <c r="O13" s="2"/>
    </row>
    <row r="14" spans="1:16" ht="15.75" customHeight="1">
      <c r="A14" s="27">
        <v>2</v>
      </c>
      <c r="B14" s="27">
        <f>(COUNTIFS(集計用!$G:$G,"*, "&amp;$C14&amp;",*"))</f>
        <v>69</v>
      </c>
      <c r="C14" s="36" t="s">
        <v>9</v>
      </c>
      <c r="D14" s="29">
        <f>SUMIFS(集計用!$AI:$AI,集計用!$G:$G,"*, "&amp;$C14&amp;", *")/テーブル3[[#This Row],[n=]]</f>
        <v>7.1449275362318838</v>
      </c>
      <c r="E14" s="29">
        <f>(SUMIFS(集計用!$AI:$AI,集計用!$AE:$AE,"11-15")+SUMIFS(集計用!$AI:$AI,集計用!$AE:$AE,"16-20"))/(COUNTIFS(集計用!$AE:$AE,"11-15")+COUNTIFS(集計用!$AE:$AE,"16-20"))</f>
        <v>3.8775510204081631</v>
      </c>
      <c r="F14" s="29">
        <f>(SUMIFS(集計用!$AI:$AI, 集計用!$G:$G, "*, "&amp;$C14&amp;", *",集計用!$AE:$AE,F$3))/COUNTIFS(集計用!$G:$G, "*, "&amp;$C14&amp;", *",集計用!$AE:$AE,F$3)</f>
        <v>9.625</v>
      </c>
      <c r="G14" s="29">
        <f>(SUMIFS(集計用!$AI:$AI, 集計用!$G:$G, "*, "&amp;$C14&amp;", *",集計用!$AE:$AE,G$3))/COUNTIFS(集計用!$G:$G, "*, "&amp;$C14&amp;", *",集計用!$AE:$AE,G$3)</f>
        <v>6.3125</v>
      </c>
      <c r="H14" s="29">
        <f>(SUMIFS(集計用!$AI:$AI, 集計用!$G:$G, "*, "&amp;$C14&amp;", *",集計用!$AE:$AE,H$3))/COUNTIFS(集計用!$G:$G, "*, "&amp;$C14&amp;", *",集計用!$AE:$AE,H$3)</f>
        <v>6.1538461538461542</v>
      </c>
      <c r="I14" s="29">
        <f>(SUMIFS(集計用!$AI:$AI, 集計用!$G:$G, "*, "&amp;$C14&amp;", *",集計用!$AE:$AE,I$3))/COUNTIFS(集計用!$G:$G, "*, "&amp;$C14&amp;", *",集計用!$AE:$AE,I$3)</f>
        <v>7.5</v>
      </c>
      <c r="J14" s="29">
        <f>(SUMIFS(集計用!$AI:$AI, 集計用!$G:$G, "*, "&amp;$C14&amp;", *",集計用!$AE:$AE,J$3))/COUNTIFS(集計用!$G:$G, "*, "&amp;$C14&amp;", *",集計用!$AE:$AE,J$3)</f>
        <v>6</v>
      </c>
      <c r="K14" s="29">
        <f>(SUMIFS(集計用!$AI:$AI, 集計用!$G:$G, "*, "&amp;$C14&amp;", *",集計用!$AE:$AE,K$3))/COUNTIFS(集計用!$G:$G, "*, "&amp;$C14&amp;", *",集計用!$AE:$AE,K$3)</f>
        <v>7</v>
      </c>
      <c r="L14" s="29" t="e">
        <f>(SUMIFS(集計用!$AI:$AI, 集計用!$G:$G, "*, "&amp;$C14&amp;", *",集計用!$AE:$AE,L$3))/COUNTIFS(集計用!$G:$G, "*, "&amp;$C14&amp;", *",集計用!$AE:$AE,L$3)</f>
        <v>#DIV/0!</v>
      </c>
      <c r="M14" s="29">
        <f>(SUMIFS(集計用!$AI:$AI, 集計用!$G:$G, "*, "&amp;$C14&amp;", *",集計用!$AE:$AE,"56-60")+SUMIFS(集計用!$AI:$AI, 集計用!$G:$G, "*, "&amp;$C14&amp;", *",集計用!$AE:$AE,"61-65"))/(COUNTIFS(集計用!$G:$G, "*, "&amp;$C14&amp;", *",集計用!$AE:$AE,"56-60")+COUNTIFS(集計用!$G:$G, "*, "&amp;$C14&amp;", *",集計用!$AE:$AE,"61-65"))</f>
        <v>12.5</v>
      </c>
      <c r="N14" s="29">
        <f>(SUMIFS(集計用!$AI:$AI, 集計用!$G:$G, "*, "&amp;$C14&amp;", *",集計用!$AE:$AE,N$3))/COUNTIFS(集計用!$G:$G, "*, "&amp;$C14&amp;", *",集計用!$AE:$AE,N$3)</f>
        <v>1</v>
      </c>
      <c r="O14" s="2"/>
    </row>
    <row r="15" spans="1:16" ht="15.75" customHeight="1">
      <c r="A15" s="27">
        <v>5</v>
      </c>
      <c r="B15" s="27">
        <f>(COUNTIFS(集計用!$G:$G,"*, "&amp;$C15&amp;",*"))</f>
        <v>60</v>
      </c>
      <c r="C15" s="36" t="s">
        <v>10</v>
      </c>
      <c r="D15" s="29">
        <f>SUMIFS(集計用!$AI:$AI,集計用!$G:$G,"*, "&amp;$C15&amp;", *")/テーブル3[[#This Row],[n=]]</f>
        <v>8.1833333333333336</v>
      </c>
      <c r="E15" s="29">
        <f>(SUMIFS(集計用!$AI:$AI,集計用!$AE:$AE,"11-15")+SUMIFS(集計用!$AI:$AI,集計用!$AE:$AE,"16-20"))/(COUNTIFS(集計用!$AE:$AE,"11-15")+COUNTIFS(集計用!$AE:$AE,"16-20"))</f>
        <v>3.8775510204081631</v>
      </c>
      <c r="F15" s="29">
        <f>(SUMIFS(集計用!$AI:$AI, 集計用!$G:$G, "*, "&amp;$C15&amp;", *",集計用!$AE:$AE,F$3))/COUNTIFS(集計用!$G:$G, "*, "&amp;$C15&amp;", *",集計用!$AE:$AE,F$3)</f>
        <v>11.153846153846153</v>
      </c>
      <c r="G15" s="29">
        <f>(SUMIFS(集計用!$AI:$AI, 集計用!$G:$G, "*, "&amp;$C15&amp;", *",集計用!$AE:$AE,G$3))/COUNTIFS(集計用!$G:$G, "*, "&amp;$C15&amp;", *",集計用!$AE:$AE,G$3)</f>
        <v>5.9333333333333336</v>
      </c>
      <c r="H15" s="29">
        <f>(SUMIFS(集計用!$AI:$AI, 集計用!$G:$G, "*, "&amp;$C15&amp;", *",集計用!$AE:$AE,H$3))/COUNTIFS(集計用!$G:$G, "*, "&amp;$C15&amp;", *",集計用!$AE:$AE,H$3)</f>
        <v>7.333333333333333</v>
      </c>
      <c r="I15" s="29">
        <f>(SUMIFS(集計用!$AI:$AI, 集計用!$G:$G, "*, "&amp;$C15&amp;", *",集計用!$AE:$AE,I$3))/COUNTIFS(集計用!$G:$G, "*, "&amp;$C15&amp;", *",集計用!$AE:$AE,I$3)</f>
        <v>7.5</v>
      </c>
      <c r="J15" s="29">
        <f>(SUMIFS(集計用!$AI:$AI, 集計用!$G:$G, "*, "&amp;$C15&amp;", *",集計用!$AE:$AE,J$3))/COUNTIFS(集計用!$G:$G, "*, "&amp;$C15&amp;", *",集計用!$AE:$AE,J$3)</f>
        <v>7</v>
      </c>
      <c r="K15" s="29">
        <f>(SUMIFS(集計用!$AI:$AI, 集計用!$G:$G, "*, "&amp;$C15&amp;", *",集計用!$AE:$AE,K$3))/COUNTIFS(集計用!$G:$G, "*, "&amp;$C15&amp;", *",集計用!$AE:$AE,K$3)</f>
        <v>7</v>
      </c>
      <c r="L15" s="29">
        <f>(SUMIFS(集計用!$AI:$AI, 集計用!$G:$G, "*, "&amp;$C15&amp;", *",集計用!$AE:$AE,L$3))/COUNTIFS(集計用!$G:$G, "*, "&amp;$C15&amp;", *",集計用!$AE:$AE,L$3)</f>
        <v>7.5</v>
      </c>
      <c r="M15" s="29">
        <f>(SUMIFS(集計用!$AI:$AI, 集計用!$G:$G, "*, "&amp;$C15&amp;", *",集計用!$AE:$AE,"56-60")+SUMIFS(集計用!$AI:$AI, 集計用!$G:$G, "*, "&amp;$C15&amp;", *",集計用!$AE:$AE,"61-65"))/(COUNTIFS(集計用!$G:$G, "*, "&amp;$C15&amp;", *",集計用!$AE:$AE,"56-60")+COUNTIFS(集計用!$G:$G, "*, "&amp;$C15&amp;", *",集計用!$AE:$AE,"61-65"))</f>
        <v>10.75</v>
      </c>
      <c r="N15" s="29" t="e">
        <f>(SUMIFS(集計用!$AI:$AI, 集計用!$G:$G, "*, "&amp;$C15&amp;", *",集計用!$AE:$AE,N$3))/COUNTIFS(集計用!$G:$G, "*, "&amp;$C15&amp;", *",集計用!$AE:$AE,N$3)</f>
        <v>#DIV/0!</v>
      </c>
      <c r="O15" s="2"/>
    </row>
    <row r="16" spans="1:16" ht="15.75" customHeight="1">
      <c r="A16" s="27">
        <v>2</v>
      </c>
      <c r="B16" s="27">
        <f>(COUNTIFS(集計用!$G:$G,"*, "&amp;$C16&amp;",*"))</f>
        <v>60</v>
      </c>
      <c r="C16" s="36" t="s">
        <v>11</v>
      </c>
      <c r="D16" s="29">
        <f>SUMIFS(集計用!$AI:$AI,集計用!$G:$G,"*, "&amp;$C16&amp;", *")/テーブル3[[#This Row],[n=]]</f>
        <v>7.1333333333333337</v>
      </c>
      <c r="E16" s="29">
        <f>(SUMIFS(集計用!$AI:$AI,集計用!$AE:$AE,"11-15")+SUMIFS(集計用!$AI:$AI,集計用!$AE:$AE,"16-20"))/(COUNTIFS(集計用!$AE:$AE,"11-15")+COUNTIFS(集計用!$AE:$AE,"16-20"))</f>
        <v>3.8775510204081631</v>
      </c>
      <c r="F16" s="29">
        <f>(SUMIFS(集計用!$AI:$AI, 集計用!$G:$G, "*, "&amp;$C16&amp;", *",集計用!$AE:$AE,F$3))/COUNTIFS(集計用!$G:$G, "*, "&amp;$C16&amp;", *",集計用!$AE:$AE,F$3)</f>
        <v>9.6923076923076916</v>
      </c>
      <c r="G16" s="29">
        <f>(SUMIFS(集計用!$AI:$AI, 集計用!$G:$G, "*, "&amp;$C16&amp;", *",集計用!$AE:$AE,G$3))/COUNTIFS(集計用!$G:$G, "*, "&amp;$C16&amp;", *",集計用!$AE:$AE,G$3)</f>
        <v>5.4</v>
      </c>
      <c r="H16" s="29">
        <f>(SUMIFS(集計用!$AI:$AI, 集計用!$G:$G, "*, "&amp;$C16&amp;", *",集計用!$AE:$AE,H$3))/COUNTIFS(集計用!$G:$G, "*, "&amp;$C16&amp;", *",集計用!$AE:$AE,H$3)</f>
        <v>9.3333333333333339</v>
      </c>
      <c r="I16" s="29">
        <f>(SUMIFS(集計用!$AI:$AI, 集計用!$G:$G, "*, "&amp;$C16&amp;", *",集計用!$AE:$AE,I$3))/COUNTIFS(集計用!$G:$G, "*, "&amp;$C16&amp;", *",集計用!$AE:$AE,I$3)</f>
        <v>5.4</v>
      </c>
      <c r="J16" s="29">
        <f>(SUMIFS(集計用!$AI:$AI, 集計用!$G:$G, "*, "&amp;$C16&amp;", *",集計用!$AE:$AE,J$3))/COUNTIFS(集計用!$G:$G, "*, "&amp;$C16&amp;", *",集計用!$AE:$AE,J$3)</f>
        <v>5.5</v>
      </c>
      <c r="K16" s="29">
        <f>(SUMIFS(集計用!$AI:$AI, 集計用!$G:$G, "*, "&amp;$C16&amp;", *",集計用!$AE:$AE,K$3))/COUNTIFS(集計用!$G:$G, "*, "&amp;$C16&amp;", *",集計用!$AE:$AE,K$3)</f>
        <v>5</v>
      </c>
      <c r="L16" s="29" t="e">
        <f>(SUMIFS(集計用!$AI:$AI, 集計用!$G:$G, "*, "&amp;$C16&amp;", *",集計用!$AE:$AE,L$3))/COUNTIFS(集計用!$G:$G, "*, "&amp;$C16&amp;", *",集計用!$AE:$AE,L$3)</f>
        <v>#DIV/0!</v>
      </c>
      <c r="M16" s="29">
        <f>(SUMIFS(集計用!$AI:$AI, 集計用!$G:$G, "*, "&amp;$C16&amp;", *",集計用!$AE:$AE,"56-60")+SUMIFS(集計用!$AI:$AI, 集計用!$G:$G, "*, "&amp;$C16&amp;", *",集計用!$AE:$AE,"61-65"))/(COUNTIFS(集計用!$G:$G, "*, "&amp;$C16&amp;", *",集計用!$AE:$AE,"56-60")+COUNTIFS(集計用!$G:$G, "*, "&amp;$C16&amp;", *",集計用!$AE:$AE,"61-65"))</f>
        <v>11</v>
      </c>
      <c r="N16" s="29" t="e">
        <f>(SUMIFS(集計用!$AI:$AI, 集計用!$G:$G, "*, "&amp;$C16&amp;", *",集計用!$AE:$AE,N$3))/COUNTIFS(集計用!$G:$G, "*, "&amp;$C16&amp;", *",集計用!$AE:$AE,N$3)</f>
        <v>#DIV/0!</v>
      </c>
      <c r="O16" s="2"/>
    </row>
    <row r="17" spans="1:15" ht="15.75" customHeight="1">
      <c r="A17" s="27">
        <v>6</v>
      </c>
      <c r="B17" s="27">
        <f>(COUNTIFS(集計用!$G:$G,"*, "&amp;$C17&amp;",*"))</f>
        <v>57</v>
      </c>
      <c r="C17" s="36" t="s">
        <v>12</v>
      </c>
      <c r="D17" s="29">
        <f>SUMIFS(集計用!$AI:$AI,集計用!$G:$G,"*, "&amp;$C17&amp;", *")/テーブル3[[#This Row],[n=]]</f>
        <v>6.7894736842105265</v>
      </c>
      <c r="E17" s="29">
        <f>(SUMIFS(集計用!$AI:$AI,集計用!$AE:$AE,"11-15")+SUMIFS(集計用!$AI:$AI,集計用!$AE:$AE,"16-20"))/(COUNTIFS(集計用!$AE:$AE,"11-15")+COUNTIFS(集計用!$AE:$AE,"16-20"))</f>
        <v>3.8775510204081631</v>
      </c>
      <c r="F17" s="29">
        <f>(SUMIFS(集計用!$AI:$AI, 集計用!$G:$G, "*, "&amp;$C17&amp;", *",集計用!$AE:$AE,F$3))/COUNTIFS(集計用!$G:$G, "*, "&amp;$C17&amp;", *",集計用!$AE:$AE,F$3)</f>
        <v>10.833333333333334</v>
      </c>
      <c r="G17" s="29">
        <f>(SUMIFS(集計用!$AI:$AI, 集計用!$G:$G, "*, "&amp;$C17&amp;", *",集計用!$AE:$AE,G$3))/COUNTIFS(集計用!$G:$G, "*, "&amp;$C17&amp;", *",集計用!$AE:$AE,G$3)</f>
        <v>7</v>
      </c>
      <c r="H17" s="29">
        <f>(SUMIFS(集計用!$AI:$AI, 集計用!$G:$G, "*, "&amp;$C17&amp;", *",集計用!$AE:$AE,H$3))/COUNTIFS(集計用!$G:$G, "*, "&amp;$C17&amp;", *",集計用!$AE:$AE,H$3)</f>
        <v>6</v>
      </c>
      <c r="I17" s="29">
        <f>(SUMIFS(集計用!$AI:$AI, 集計用!$G:$G, "*, "&amp;$C17&amp;", *",集計用!$AE:$AE,I$3))/COUNTIFS(集計用!$G:$G, "*, "&amp;$C17&amp;", *",集計用!$AE:$AE,I$3)</f>
        <v>7.4</v>
      </c>
      <c r="J17" s="29">
        <f>(SUMIFS(集計用!$AI:$AI, 集計用!$G:$G, "*, "&amp;$C17&amp;", *",集計用!$AE:$AE,J$3))/COUNTIFS(集計用!$G:$G, "*, "&amp;$C17&amp;", *",集計用!$AE:$AE,J$3)</f>
        <v>2.3333333333333335</v>
      </c>
      <c r="K17" s="29">
        <f>(SUMIFS(集計用!$AI:$AI, 集計用!$G:$G, "*, "&amp;$C17&amp;", *",集計用!$AE:$AE,K$3))/COUNTIFS(集計用!$G:$G, "*, "&amp;$C17&amp;", *",集計用!$AE:$AE,K$3)</f>
        <v>2.2000000000000002</v>
      </c>
      <c r="L17" s="29">
        <f>(SUMIFS(集計用!$AI:$AI, 集計用!$G:$G, "*, "&amp;$C17&amp;", *",集計用!$AE:$AE,L$3))/COUNTIFS(集計用!$G:$G, "*, "&amp;$C17&amp;", *",集計用!$AE:$AE,L$3)</f>
        <v>9.5</v>
      </c>
      <c r="M17" s="29">
        <f>(SUMIFS(集計用!$AI:$AI, 集計用!$G:$G, "*, "&amp;$C17&amp;", *",集計用!$AE:$AE,"56-60")+SUMIFS(集計用!$AI:$AI, 集計用!$G:$G, "*, "&amp;$C17&amp;", *",集計用!$AE:$AE,"61-65"))/(COUNTIFS(集計用!$G:$G, "*, "&amp;$C17&amp;", *",集計用!$AE:$AE,"56-60")+COUNTIFS(集計用!$G:$G, "*, "&amp;$C17&amp;", *",集計用!$AE:$AE,"61-65"))</f>
        <v>6</v>
      </c>
      <c r="N17" s="29" t="e">
        <f>(SUMIFS(集計用!$AI:$AI, 集計用!$G:$G, "*, "&amp;$C17&amp;", *",集計用!$AE:$AE,N$3))/COUNTIFS(集計用!$G:$G, "*, "&amp;$C17&amp;", *",集計用!$AE:$AE,N$3)</f>
        <v>#DIV/0!</v>
      </c>
      <c r="O17" s="2"/>
    </row>
    <row r="18" spans="1:15" ht="15.75" customHeight="1">
      <c r="A18" s="27">
        <v>6</v>
      </c>
      <c r="B18" s="27">
        <f>(COUNTIFS(集計用!$G:$G,"*, "&amp;$C18&amp;",*"))</f>
        <v>54</v>
      </c>
      <c r="C18" s="36" t="s">
        <v>13</v>
      </c>
      <c r="D18" s="29">
        <f>SUMIFS(集計用!$AI:$AI,集計用!$G:$G,"*, "&amp;$C18&amp;", *")/テーブル3[[#This Row],[n=]]</f>
        <v>7.333333333333333</v>
      </c>
      <c r="E18" s="29">
        <f>(SUMIFS(集計用!$AI:$AI,集計用!$AE:$AE,"11-15")+SUMIFS(集計用!$AI:$AI,集計用!$AE:$AE,"16-20"))/(COUNTIFS(集計用!$AE:$AE,"11-15")+COUNTIFS(集計用!$AE:$AE,"16-20"))</f>
        <v>3.8775510204081631</v>
      </c>
      <c r="F18" s="29">
        <f>(SUMIFS(集計用!$AI:$AI, 集計用!$G:$G, "*, "&amp;$C18&amp;", *",集計用!$AE:$AE,F$3))/COUNTIFS(集計用!$G:$G, "*, "&amp;$C18&amp;", *",集計用!$AE:$AE,F$3)</f>
        <v>9.9230769230769234</v>
      </c>
      <c r="G18" s="29">
        <f>(SUMIFS(集計用!$AI:$AI, 集計用!$G:$G, "*, "&amp;$C18&amp;", *",集計用!$AE:$AE,G$3))/COUNTIFS(集計用!$G:$G, "*, "&amp;$C18&amp;", *",集計用!$AE:$AE,G$3)</f>
        <v>7.2</v>
      </c>
      <c r="H18" s="29">
        <f>(SUMIFS(集計用!$AI:$AI, 集計用!$G:$G, "*, "&amp;$C18&amp;", *",集計用!$AE:$AE,H$3))/COUNTIFS(集計用!$G:$G, "*, "&amp;$C18&amp;", *",集計用!$AE:$AE,H$3)</f>
        <v>6.384615384615385</v>
      </c>
      <c r="I18" s="29">
        <f>(SUMIFS(集計用!$AI:$AI, 集計用!$G:$G, "*, "&amp;$C18&amp;", *",集計用!$AE:$AE,I$3))/COUNTIFS(集計用!$G:$G, "*, "&amp;$C18&amp;", *",集計用!$AE:$AE,I$3)</f>
        <v>6.5</v>
      </c>
      <c r="J18" s="29">
        <f>(SUMIFS(集計用!$AI:$AI, 集計用!$G:$G, "*, "&amp;$C18&amp;", *",集計用!$AE:$AE,J$3))/COUNTIFS(集計用!$G:$G, "*, "&amp;$C18&amp;", *",集計用!$AE:$AE,J$3)</f>
        <v>4.333333333333333</v>
      </c>
      <c r="K18" s="29">
        <f>(SUMIFS(集計用!$AI:$AI, 集計用!$G:$G, "*, "&amp;$C18&amp;", *",集計用!$AE:$AE,K$3))/COUNTIFS(集計用!$G:$G, "*, "&amp;$C18&amp;", *",集計用!$AE:$AE,K$3)</f>
        <v>2</v>
      </c>
      <c r="L18" s="29">
        <f>(SUMIFS(集計用!$AI:$AI, 集計用!$G:$G, "*, "&amp;$C18&amp;", *",集計用!$AE:$AE,L$3))/COUNTIFS(集計用!$G:$G, "*, "&amp;$C18&amp;", *",集計用!$AE:$AE,L$3)</f>
        <v>9.5</v>
      </c>
      <c r="M18" s="29">
        <f>(SUMIFS(集計用!$AI:$AI, 集計用!$G:$G, "*, "&amp;$C18&amp;", *",集計用!$AE:$AE,"56-60")+SUMIFS(集計用!$AI:$AI, 集計用!$G:$G, "*, "&amp;$C18&amp;", *",集計用!$AE:$AE,"61-65"))/(COUNTIFS(集計用!$G:$G, "*, "&amp;$C18&amp;", *",集計用!$AE:$AE,"56-60")+COUNTIFS(集計用!$G:$G, "*, "&amp;$C18&amp;", *",集計用!$AE:$AE,"61-65"))</f>
        <v>9.5</v>
      </c>
      <c r="N18" s="29" t="e">
        <f>(SUMIFS(集計用!$AI:$AI, 集計用!$G:$G, "*, "&amp;$C18&amp;", *",集計用!$AE:$AE,N$3))/COUNTIFS(集計用!$G:$G, "*, "&amp;$C18&amp;", *",集計用!$AE:$AE,N$3)</f>
        <v>#DIV/0!</v>
      </c>
      <c r="O18" s="2"/>
    </row>
    <row r="19" spans="1:15" ht="15.75" customHeight="1">
      <c r="A19" s="27">
        <v>4</v>
      </c>
      <c r="B19" s="27">
        <f>(COUNTIFS(集計用!$G:$G,"*, "&amp;$C19&amp;",*"))</f>
        <v>49</v>
      </c>
      <c r="C19" s="36" t="s">
        <v>14</v>
      </c>
      <c r="D19" s="29">
        <f>SUMIFS(集計用!$AI:$AI,集計用!$G:$G,"*, "&amp;$C19&amp;", *")/テーブル3[[#This Row],[n=]]</f>
        <v>8.4285714285714288</v>
      </c>
      <c r="E19" s="29">
        <f>(SUMIFS(集計用!$AI:$AI,集計用!$AE:$AE,"11-15")+SUMIFS(集計用!$AI:$AI,集計用!$AE:$AE,"16-20"))/(COUNTIFS(集計用!$AE:$AE,"11-15")+COUNTIFS(集計用!$AE:$AE,"16-20"))</f>
        <v>3.8775510204081631</v>
      </c>
      <c r="F19" s="29">
        <f>(SUMIFS(集計用!$AI:$AI, 集計用!$G:$G, "*, "&amp;$C19&amp;", *",集計用!$AE:$AE,F$3))/COUNTIFS(集計用!$G:$G, "*, "&amp;$C19&amp;", *",集計用!$AE:$AE,F$3)</f>
        <v>9.4666666666666668</v>
      </c>
      <c r="G19" s="29">
        <f>(SUMIFS(集計用!$AI:$AI, 集計用!$G:$G, "*, "&amp;$C19&amp;", *",集計用!$AE:$AE,G$3))/COUNTIFS(集計用!$G:$G, "*, "&amp;$C19&amp;", *",集計用!$AE:$AE,G$3)</f>
        <v>7.0769230769230766</v>
      </c>
      <c r="H19" s="29">
        <f>(SUMIFS(集計用!$AI:$AI, 集計用!$G:$G, "*, "&amp;$C19&amp;", *",集計用!$AE:$AE,H$3))/COUNTIFS(集計用!$G:$G, "*, "&amp;$C19&amp;", *",集計用!$AE:$AE,H$3)</f>
        <v>9.2857142857142865</v>
      </c>
      <c r="I19" s="29">
        <f>(SUMIFS(集計用!$AI:$AI, 集計用!$G:$G, "*, "&amp;$C19&amp;", *",集計用!$AE:$AE,I$3))/COUNTIFS(集計用!$G:$G, "*, "&amp;$C19&amp;", *",集計用!$AE:$AE,I$3)</f>
        <v>11</v>
      </c>
      <c r="J19" s="29">
        <f>(SUMIFS(集計用!$AI:$AI, 集計用!$G:$G, "*, "&amp;$C19&amp;", *",集計用!$AE:$AE,J$3))/COUNTIFS(集計用!$G:$G, "*, "&amp;$C19&amp;", *",集計用!$AE:$AE,J$3)</f>
        <v>4.5</v>
      </c>
      <c r="K19" s="29">
        <f>(SUMIFS(集計用!$AI:$AI, 集計用!$G:$G, "*, "&amp;$C19&amp;", *",集計用!$AE:$AE,K$3))/COUNTIFS(集計用!$G:$G, "*, "&amp;$C19&amp;", *",集計用!$AE:$AE,K$3)</f>
        <v>5.5</v>
      </c>
      <c r="L19" s="29" t="e">
        <f>(SUMIFS(集計用!$AI:$AI, 集計用!$G:$G, "*, "&amp;$C19&amp;", *",集計用!$AE:$AE,L$3))/COUNTIFS(集計用!$G:$G, "*, "&amp;$C19&amp;", *",集計用!$AE:$AE,L$3)</f>
        <v>#DIV/0!</v>
      </c>
      <c r="M19" s="29">
        <f>(SUMIFS(集計用!$AI:$AI, 集計用!$G:$G, "*, "&amp;$C19&amp;", *",集計用!$AE:$AE,"56-60")+SUMIFS(集計用!$AI:$AI, 集計用!$G:$G, "*, "&amp;$C19&amp;", *",集計用!$AE:$AE,"61-65"))/(COUNTIFS(集計用!$G:$G, "*, "&amp;$C19&amp;", *",集計用!$AE:$AE,"56-60")+COUNTIFS(集計用!$G:$G, "*, "&amp;$C19&amp;", *",集計用!$AE:$AE,"61-65"))</f>
        <v>11.5</v>
      </c>
      <c r="N19" s="29" t="e">
        <f>(SUMIFS(集計用!$AI:$AI, 集計用!$G:$G, "*, "&amp;$C19&amp;", *",集計用!$AE:$AE,N$3))/COUNTIFS(集計用!$G:$G, "*, "&amp;$C19&amp;", *",集計用!$AE:$AE,N$3)</f>
        <v>#DIV/0!</v>
      </c>
      <c r="O19" s="2"/>
    </row>
    <row r="20" spans="1:15" ht="15.75" customHeight="1">
      <c r="A20" s="27">
        <v>3</v>
      </c>
      <c r="B20" s="27">
        <f>(COUNTIFS(集計用!$G:$G,"*, "&amp;$C20&amp;",*"))</f>
        <v>48</v>
      </c>
      <c r="C20" s="36" t="s">
        <v>15</v>
      </c>
      <c r="D20" s="29">
        <f>SUMIFS(集計用!$AI:$AI,集計用!$G:$G,"*, "&amp;$C20&amp;", *")/テーブル3[[#This Row],[n=]]</f>
        <v>6.833333333333333</v>
      </c>
      <c r="E20" s="29">
        <f>(SUMIFS(集計用!$AI:$AI,集計用!$AE:$AE,"11-15")+SUMIFS(集計用!$AI:$AI,集計用!$AE:$AE,"16-20"))/(COUNTIFS(集計用!$AE:$AE,"11-15")+COUNTIFS(集計用!$AE:$AE,"16-20"))</f>
        <v>3.8775510204081631</v>
      </c>
      <c r="F20" s="29">
        <f>(SUMIFS(集計用!$AI:$AI, 集計用!$G:$G, "*, "&amp;$C20&amp;", *",集計用!$AE:$AE,F$3))/COUNTIFS(集計用!$G:$G, "*, "&amp;$C20&amp;", *",集計用!$AE:$AE,F$3)</f>
        <v>8.3529411764705888</v>
      </c>
      <c r="G20" s="29">
        <f>(SUMIFS(集計用!$AI:$AI, 集計用!$G:$G, "*, "&amp;$C20&amp;", *",集計用!$AE:$AE,G$3))/COUNTIFS(集計用!$G:$G, "*, "&amp;$C20&amp;", *",集計用!$AE:$AE,G$3)</f>
        <v>6.333333333333333</v>
      </c>
      <c r="H20" s="29">
        <f>(SUMIFS(集計用!$AI:$AI, 集計用!$G:$G, "*, "&amp;$C20&amp;", *",集計用!$AE:$AE,H$3))/COUNTIFS(集計用!$G:$G, "*, "&amp;$C20&amp;", *",集計用!$AE:$AE,H$3)</f>
        <v>5.375</v>
      </c>
      <c r="I20" s="29">
        <f>(SUMIFS(集計用!$AI:$AI, 集計用!$G:$G, "*, "&amp;$C20&amp;", *",集計用!$AE:$AE,I$3))/COUNTIFS(集計用!$G:$G, "*, "&amp;$C20&amp;", *",集計用!$AE:$AE,I$3)</f>
        <v>7.1428571428571432</v>
      </c>
      <c r="J20" s="29" t="e">
        <f>(SUMIFS(集計用!$AI:$AI, 集計用!$G:$G, "*, "&amp;$C20&amp;", *",集計用!$AE:$AE,J$3))/COUNTIFS(集計用!$G:$G, "*, "&amp;$C20&amp;", *",集計用!$AE:$AE,J$3)</f>
        <v>#DIV/0!</v>
      </c>
      <c r="K20" s="29" t="e">
        <f>(SUMIFS(集計用!$AI:$AI, 集計用!$G:$G, "*, "&amp;$C20&amp;", *",集計用!$AE:$AE,K$3))/COUNTIFS(集計用!$G:$G, "*, "&amp;$C20&amp;", *",集計用!$AE:$AE,K$3)</f>
        <v>#DIV/0!</v>
      </c>
      <c r="L20" s="29" t="e">
        <f>(SUMIFS(集計用!$AI:$AI, 集計用!$G:$G, "*, "&amp;$C20&amp;", *",集計用!$AE:$AE,L$3))/COUNTIFS(集計用!$G:$G, "*, "&amp;$C20&amp;", *",集計用!$AE:$AE,L$3)</f>
        <v>#DIV/0!</v>
      </c>
      <c r="M20" s="29" t="e">
        <f>(SUMIFS(集計用!$AI:$AI, 集計用!$G:$G, "*, "&amp;$C20&amp;", *",集計用!$AE:$AE,"56-60")+SUMIFS(集計用!$AI:$AI, 集計用!$G:$G, "*, "&amp;$C20&amp;", *",集計用!$AE:$AE,"61-65"))/(COUNTIFS(集計用!$G:$G, "*, "&amp;$C20&amp;", *",集計用!$AE:$AE,"56-60")+COUNTIFS(集計用!$G:$G, "*, "&amp;$C20&amp;", *",集計用!$AE:$AE,"61-65"))</f>
        <v>#DIV/0!</v>
      </c>
      <c r="N20" s="29" t="e">
        <f>(SUMIFS(集計用!$AI:$AI, 集計用!$G:$G, "*, "&amp;$C20&amp;", *",集計用!$AE:$AE,N$3))/COUNTIFS(集計用!$G:$G, "*, "&amp;$C20&amp;", *",集計用!$AE:$AE,N$3)</f>
        <v>#DIV/0!</v>
      </c>
      <c r="O20" s="2"/>
    </row>
    <row r="21" spans="1:15" ht="15.75" customHeight="1">
      <c r="A21" s="27">
        <v>5</v>
      </c>
      <c r="B21" s="27">
        <f>(COUNTIFS(集計用!$G:$G,"*, "&amp;$C21&amp;",*"))</f>
        <v>46</v>
      </c>
      <c r="C21" s="36" t="s">
        <v>16</v>
      </c>
      <c r="D21" s="29">
        <f>SUMIFS(集計用!$AI:$AI,集計用!$G:$G,"*, "&amp;$C21&amp;", *")/テーブル3[[#This Row],[n=]]</f>
        <v>8.804347826086957</v>
      </c>
      <c r="E21" s="29">
        <f>(SUMIFS(集計用!$AI:$AI,集計用!$AE:$AE,"11-15")+SUMIFS(集計用!$AI:$AI,集計用!$AE:$AE,"16-20"))/(COUNTIFS(集計用!$AE:$AE,"11-15")+COUNTIFS(集計用!$AE:$AE,"16-20"))</f>
        <v>3.8775510204081631</v>
      </c>
      <c r="F21" s="29">
        <f>(SUMIFS(集計用!$AI:$AI, 集計用!$G:$G, "*, "&amp;$C21&amp;", *",集計用!$AE:$AE,F$3))/COUNTIFS(集計用!$G:$G, "*, "&amp;$C21&amp;", *",集計用!$AE:$AE,F$3)</f>
        <v>11</v>
      </c>
      <c r="G21" s="29">
        <f>(SUMIFS(集計用!$AI:$AI, 集計用!$G:$G, "*, "&amp;$C21&amp;", *",集計用!$AE:$AE,G$3))/COUNTIFS(集計用!$G:$G, "*, "&amp;$C21&amp;", *",集計用!$AE:$AE,G$3)</f>
        <v>6.5</v>
      </c>
      <c r="H21" s="29">
        <f>(SUMIFS(集計用!$AI:$AI, 集計用!$G:$G, "*, "&amp;$C21&amp;", *",集計用!$AE:$AE,H$3))/COUNTIFS(集計用!$G:$G, "*, "&amp;$C21&amp;", *",集計用!$AE:$AE,H$3)</f>
        <v>7.25</v>
      </c>
      <c r="I21" s="29">
        <f>(SUMIFS(集計用!$AI:$AI, 集計用!$G:$G, "*, "&amp;$C21&amp;", *",集計用!$AE:$AE,I$3))/COUNTIFS(集計用!$G:$G, "*, "&amp;$C21&amp;", *",集計用!$AE:$AE,I$3)</f>
        <v>8.6666666666666661</v>
      </c>
      <c r="J21" s="29">
        <f>(SUMIFS(集計用!$AI:$AI, 集計用!$G:$G, "*, "&amp;$C21&amp;", *",集計用!$AE:$AE,J$3))/COUNTIFS(集計用!$G:$G, "*, "&amp;$C21&amp;", *",集計用!$AE:$AE,J$3)</f>
        <v>7.666666666666667</v>
      </c>
      <c r="K21" s="29">
        <f>(SUMIFS(集計用!$AI:$AI, 集計用!$G:$G, "*, "&amp;$C21&amp;", *",集計用!$AE:$AE,K$3))/COUNTIFS(集計用!$G:$G, "*, "&amp;$C21&amp;", *",集計用!$AE:$AE,K$3)</f>
        <v>5</v>
      </c>
      <c r="L21" s="29">
        <f>(SUMIFS(集計用!$AI:$AI, 集計用!$G:$G, "*, "&amp;$C21&amp;", *",集計用!$AE:$AE,L$3))/COUNTIFS(集計用!$G:$G, "*, "&amp;$C21&amp;", *",集計用!$AE:$AE,L$3)</f>
        <v>10</v>
      </c>
      <c r="M21" s="29">
        <f>(SUMIFS(集計用!$AI:$AI, 集計用!$G:$G, "*, "&amp;$C21&amp;", *",集計用!$AE:$AE,"56-60")+SUMIFS(集計用!$AI:$AI, 集計用!$G:$G, "*, "&amp;$C21&amp;", *",集計用!$AE:$AE,"61-65"))/(COUNTIFS(集計用!$G:$G, "*, "&amp;$C21&amp;", *",集計用!$AE:$AE,"56-60")+COUNTIFS(集計用!$G:$G, "*, "&amp;$C21&amp;", *",集計用!$AE:$AE,"61-65"))</f>
        <v>11.25</v>
      </c>
      <c r="N21" s="29" t="e">
        <f>(SUMIFS(集計用!$AI:$AI, 集計用!$G:$G, "*, "&amp;$C21&amp;", *",集計用!$AE:$AE,N$3))/COUNTIFS(集計用!$G:$G, "*, "&amp;$C21&amp;", *",集計用!$AE:$AE,N$3)</f>
        <v>#DIV/0!</v>
      </c>
      <c r="O21" s="2"/>
    </row>
    <row r="22" spans="1:15" ht="15.75" customHeight="1">
      <c r="A22" s="27">
        <v>5</v>
      </c>
      <c r="B22" s="27">
        <f>(COUNTIFS(集計用!$G:$G,"*, "&amp;$C22&amp;",*"))</f>
        <v>39</v>
      </c>
      <c r="C22" s="36" t="s">
        <v>17</v>
      </c>
      <c r="D22" s="29">
        <f>SUMIFS(集計用!$AI:$AI,集計用!$G:$G,"*, "&amp;$C22&amp;", *")/テーブル3[[#This Row],[n=]]</f>
        <v>8.7948717948717956</v>
      </c>
      <c r="E22" s="29">
        <f>(SUMIFS(集計用!$AI:$AI,集計用!$AE:$AE,"11-15")+SUMIFS(集計用!$AI:$AI,集計用!$AE:$AE,"16-20"))/(COUNTIFS(集計用!$AE:$AE,"11-15")+COUNTIFS(集計用!$AE:$AE,"16-20"))</f>
        <v>3.8775510204081631</v>
      </c>
      <c r="F22" s="29">
        <f>(SUMIFS(集計用!$AI:$AI, 集計用!$G:$G, "*, "&amp;$C22&amp;", *",集計用!$AE:$AE,F$3))/COUNTIFS(集計用!$G:$G, "*, "&amp;$C22&amp;", *",集計用!$AE:$AE,F$3)</f>
        <v>12.090909090909092</v>
      </c>
      <c r="G22" s="29">
        <f>(SUMIFS(集計用!$AI:$AI, 集計用!$G:$G, "*, "&amp;$C22&amp;", *",集計用!$AE:$AE,G$3))/COUNTIFS(集計用!$G:$G, "*, "&amp;$C22&amp;", *",集計用!$AE:$AE,G$3)</f>
        <v>6.25</v>
      </c>
      <c r="H22" s="29">
        <f>(SUMIFS(集計用!$AI:$AI, 集計用!$G:$G, "*, "&amp;$C22&amp;", *",集計用!$AE:$AE,H$3))/COUNTIFS(集計用!$G:$G, "*, "&amp;$C22&amp;", *",集計用!$AE:$AE,H$3)</f>
        <v>7.5</v>
      </c>
      <c r="I22" s="29">
        <f>(SUMIFS(集計用!$AI:$AI, 集計用!$G:$G, "*, "&amp;$C22&amp;", *",集計用!$AE:$AE,I$3))/COUNTIFS(集計用!$G:$G, "*, "&amp;$C22&amp;", *",集計用!$AE:$AE,I$3)</f>
        <v>7.2</v>
      </c>
      <c r="J22" s="29">
        <f>(SUMIFS(集計用!$AI:$AI, 集計用!$G:$G, "*, "&amp;$C22&amp;", *",集計用!$AE:$AE,J$3))/COUNTIFS(集計用!$G:$G, "*, "&amp;$C22&amp;", *",集計用!$AE:$AE,J$3)</f>
        <v>7.333333333333333</v>
      </c>
      <c r="K22" s="29">
        <f>(SUMIFS(集計用!$AI:$AI, 集計用!$G:$G, "*, "&amp;$C22&amp;", *",集計用!$AE:$AE,K$3))/COUNTIFS(集計用!$G:$G, "*, "&amp;$C22&amp;", *",集計用!$AE:$AE,K$3)</f>
        <v>8</v>
      </c>
      <c r="L22" s="29">
        <f>(SUMIFS(集計用!$AI:$AI, 集計用!$G:$G, "*, "&amp;$C22&amp;", *",集計用!$AE:$AE,L$3))/COUNTIFS(集計用!$G:$G, "*, "&amp;$C22&amp;", *",集計用!$AE:$AE,L$3)</f>
        <v>5.5</v>
      </c>
      <c r="M22" s="29">
        <f>(SUMIFS(集計用!$AI:$AI, 集計用!$G:$G, "*, "&amp;$C22&amp;", *",集計用!$AE:$AE,"56-60")+SUMIFS(集計用!$AI:$AI, 集計用!$G:$G, "*, "&amp;$C22&amp;", *",集計用!$AE:$AE,"61-65"))/(COUNTIFS(集計用!$G:$G, "*, "&amp;$C22&amp;", *",集計用!$AE:$AE,"56-60")+COUNTIFS(集計用!$G:$G, "*, "&amp;$C22&amp;", *",集計用!$AE:$AE,"61-65"))</f>
        <v>12.333333333333334</v>
      </c>
      <c r="N22" s="29" t="e">
        <f>(SUMIFS(集計用!$AI:$AI, 集計用!$G:$G, "*, "&amp;$C22&amp;", *",集計用!$AE:$AE,N$3))/COUNTIFS(集計用!$G:$G, "*, "&amp;$C22&amp;", *",集計用!$AE:$AE,N$3)</f>
        <v>#DIV/0!</v>
      </c>
      <c r="O22" s="2"/>
    </row>
    <row r="23" spans="1:15" ht="15.75" customHeight="1">
      <c r="A23" s="27">
        <v>4</v>
      </c>
      <c r="B23" s="27">
        <f>(COUNTIFS(集計用!$G:$G,"*, "&amp;$C23&amp;",*"))</f>
        <v>36</v>
      </c>
      <c r="C23" s="36" t="s">
        <v>18</v>
      </c>
      <c r="D23" s="29">
        <f>SUMIFS(集計用!$AI:$AI,集計用!$G:$G,"*, "&amp;$C23&amp;", *")/テーブル3[[#This Row],[n=]]</f>
        <v>9.25</v>
      </c>
      <c r="E23" s="29">
        <f>(SUMIFS(集計用!$AI:$AI,集計用!$AE:$AE,"11-15")+SUMIFS(集計用!$AI:$AI,集計用!$AE:$AE,"16-20"))/(COUNTIFS(集計用!$AE:$AE,"11-15")+COUNTIFS(集計用!$AE:$AE,"16-20"))</f>
        <v>3.8775510204081631</v>
      </c>
      <c r="F23" s="29">
        <f>(SUMIFS(集計用!$AI:$AI, 集計用!$G:$G, "*, "&amp;$C23&amp;", *",集計用!$AE:$AE,F$3))/COUNTIFS(集計用!$G:$G, "*, "&amp;$C23&amp;", *",集計用!$AE:$AE,F$3)</f>
        <v>12.333333333333334</v>
      </c>
      <c r="G23" s="29">
        <f>(SUMIFS(集計用!$AI:$AI, 集計用!$G:$G, "*, "&amp;$C23&amp;", *",集計用!$AE:$AE,G$3))/COUNTIFS(集計用!$G:$G, "*, "&amp;$C23&amp;", *",集計用!$AE:$AE,G$3)</f>
        <v>6.166666666666667</v>
      </c>
      <c r="H23" s="29">
        <f>(SUMIFS(集計用!$AI:$AI, 集計用!$G:$G, "*, "&amp;$C23&amp;", *",集計用!$AE:$AE,H$3))/COUNTIFS(集計用!$G:$G, "*, "&amp;$C23&amp;", *",集計用!$AE:$AE,H$3)</f>
        <v>9.0909090909090917</v>
      </c>
      <c r="I23" s="29">
        <f>(SUMIFS(集計用!$AI:$AI, 集計用!$G:$G, "*, "&amp;$C23&amp;", *",集計用!$AE:$AE,I$3))/COUNTIFS(集計用!$G:$G, "*, "&amp;$C23&amp;", *",集計用!$AE:$AE,I$3)</f>
        <v>12</v>
      </c>
      <c r="J23" s="29" t="e">
        <f>(SUMIFS(集計用!$AI:$AI, 集計用!$G:$G, "*, "&amp;$C23&amp;", *",集計用!$AE:$AE,J$3))/COUNTIFS(集計用!$G:$G, "*, "&amp;$C23&amp;", *",集計用!$AE:$AE,J$3)</f>
        <v>#DIV/0!</v>
      </c>
      <c r="K23" s="29">
        <f>(SUMIFS(集計用!$AI:$AI, 集計用!$G:$G, "*, "&amp;$C23&amp;", *",集計用!$AE:$AE,K$3))/COUNTIFS(集計用!$G:$G, "*, "&amp;$C23&amp;", *",集計用!$AE:$AE,K$3)</f>
        <v>8</v>
      </c>
      <c r="L23" s="29">
        <f>(SUMIFS(集計用!$AI:$AI, 集計用!$G:$G, "*, "&amp;$C23&amp;", *",集計用!$AE:$AE,L$3))/COUNTIFS(集計用!$G:$G, "*, "&amp;$C23&amp;", *",集計用!$AE:$AE,L$3)</f>
        <v>9</v>
      </c>
      <c r="M23" s="29">
        <f>(SUMIFS(集計用!$AI:$AI, 集計用!$G:$G, "*, "&amp;$C23&amp;", *",集計用!$AE:$AE,"56-60")+SUMIFS(集計用!$AI:$AI, 集計用!$G:$G, "*, "&amp;$C23&amp;", *",集計用!$AE:$AE,"61-65"))/(COUNTIFS(集計用!$G:$G, "*, "&amp;$C23&amp;", *",集計用!$AE:$AE,"56-60")+COUNTIFS(集計用!$G:$G, "*, "&amp;$C23&amp;", *",集計用!$AE:$AE,"61-65"))</f>
        <v>18</v>
      </c>
      <c r="N23" s="29" t="e">
        <f>(SUMIFS(集計用!$AI:$AI, 集計用!$G:$G, "*, "&amp;$C23&amp;", *",集計用!$AE:$AE,N$3))/COUNTIFS(集計用!$G:$G, "*, "&amp;$C23&amp;", *",集計用!$AE:$AE,N$3)</f>
        <v>#DIV/0!</v>
      </c>
      <c r="O23" s="2"/>
    </row>
    <row r="24" spans="1:15" ht="12.75">
      <c r="A24" s="27">
        <v>2</v>
      </c>
      <c r="B24" s="27">
        <f>(COUNTIFS(集計用!$G:$G,"*, "&amp;$C24&amp;",*"))</f>
        <v>34</v>
      </c>
      <c r="C24" s="36" t="s">
        <v>19</v>
      </c>
      <c r="D24" s="29">
        <f>SUMIFS(集計用!$AI:$AI,集計用!$G:$G,"*, "&amp;$C24&amp;", *")/テーブル3[[#This Row],[n=]]</f>
        <v>8.7058823529411757</v>
      </c>
      <c r="E24" s="29">
        <f>(SUMIFS(集計用!$AI:$AI,集計用!$AE:$AE,"11-15")+SUMIFS(集計用!$AI:$AI,集計用!$AE:$AE,"16-20"))/(COUNTIFS(集計用!$AE:$AE,"11-15")+COUNTIFS(集計用!$AE:$AE,"16-20"))</f>
        <v>3.8775510204081631</v>
      </c>
      <c r="F24" s="29">
        <f>(SUMIFS(集計用!$AI:$AI, 集計用!$G:$G, "*, "&amp;$C24&amp;", *",集計用!$AE:$AE,F$3))/COUNTIFS(集計用!$G:$G, "*, "&amp;$C24&amp;", *",集計用!$AE:$AE,F$3)</f>
        <v>11.2</v>
      </c>
      <c r="G24" s="29">
        <f>(SUMIFS(集計用!$AI:$AI, 集計用!$G:$G, "*, "&amp;$C24&amp;", *",集計用!$AE:$AE,G$3))/COUNTIFS(集計用!$G:$G, "*, "&amp;$C24&amp;", *",集計用!$AE:$AE,G$3)</f>
        <v>7</v>
      </c>
      <c r="H24" s="29">
        <f>(SUMIFS(集計用!$AI:$AI, 集計用!$G:$G, "*, "&amp;$C24&amp;", *",集計用!$AE:$AE,H$3))/COUNTIFS(集計用!$G:$G, "*, "&amp;$C24&amp;", *",集計用!$AE:$AE,H$3)</f>
        <v>8.3333333333333339</v>
      </c>
      <c r="I24" s="29">
        <f>(SUMIFS(集計用!$AI:$AI, 集計用!$G:$G, "*, "&amp;$C24&amp;", *",集計用!$AE:$AE,I$3))/COUNTIFS(集計用!$G:$G, "*, "&amp;$C24&amp;", *",集計用!$AE:$AE,I$3)</f>
        <v>9</v>
      </c>
      <c r="J24" s="29">
        <f>(SUMIFS(集計用!$AI:$AI, 集計用!$G:$G, "*, "&amp;$C24&amp;", *",集計用!$AE:$AE,J$3))/COUNTIFS(集計用!$G:$G, "*, "&amp;$C24&amp;", *",集計用!$AE:$AE,J$3)</f>
        <v>5</v>
      </c>
      <c r="K24" s="29">
        <f>(SUMIFS(集計用!$AI:$AI, 集計用!$G:$G, "*, "&amp;$C24&amp;", *",集計用!$AE:$AE,K$3))/COUNTIFS(集計用!$G:$G, "*, "&amp;$C24&amp;", *",集計用!$AE:$AE,K$3)</f>
        <v>7.25</v>
      </c>
      <c r="L24" s="29" t="e">
        <f>(SUMIFS(集計用!$AI:$AI, 集計用!$G:$G, "*, "&amp;$C24&amp;", *",集計用!$AE:$AE,L$3))/COUNTIFS(集計用!$G:$G, "*, "&amp;$C24&amp;", *",集計用!$AE:$AE,L$3)</f>
        <v>#DIV/0!</v>
      </c>
      <c r="M24" s="29">
        <f>(SUMIFS(集計用!$AI:$AI, 集計用!$G:$G, "*, "&amp;$C24&amp;", *",集計用!$AE:$AE,"56-60")+SUMIFS(集計用!$AI:$AI, 集計用!$G:$G, "*, "&amp;$C24&amp;", *",集計用!$AE:$AE,"61-65"))/(COUNTIFS(集計用!$G:$G, "*, "&amp;$C24&amp;", *",集計用!$AE:$AE,"56-60")+COUNTIFS(集計用!$G:$G, "*, "&amp;$C24&amp;", *",集計用!$AE:$AE,"61-65"))</f>
        <v>12.666666666666666</v>
      </c>
      <c r="N24" s="29" t="e">
        <f>(SUMIFS(集計用!$AI:$AI, 集計用!$G:$G, "*, "&amp;$C24&amp;", *",集計用!$AE:$AE,N$3))/COUNTIFS(集計用!$G:$G, "*, "&amp;$C24&amp;", *",集計用!$AE:$AE,N$3)</f>
        <v>#DIV/0!</v>
      </c>
      <c r="O24" s="2"/>
    </row>
    <row r="25" spans="1:15" ht="12.75">
      <c r="A25" s="27">
        <v>4</v>
      </c>
      <c r="B25" s="27">
        <f>(COUNTIFS(集計用!$G:$G,"*, "&amp;$C25&amp;",*"))</f>
        <v>26</v>
      </c>
      <c r="C25" s="36" t="s">
        <v>20</v>
      </c>
      <c r="D25" s="29">
        <f>SUMIFS(集計用!$AI:$AI,集計用!$G:$G,"*, "&amp;$C25&amp;", *")/テーブル3[[#This Row],[n=]]</f>
        <v>10.73076923076923</v>
      </c>
      <c r="E25" s="29">
        <f>(SUMIFS(集計用!$AI:$AI,集計用!$AE:$AE,"11-15")+SUMIFS(集計用!$AI:$AI,集計用!$AE:$AE,"16-20"))/(COUNTIFS(集計用!$AE:$AE,"11-15")+COUNTIFS(集計用!$AE:$AE,"16-20"))</f>
        <v>3.8775510204081631</v>
      </c>
      <c r="F25" s="29">
        <f>(SUMIFS(集計用!$AI:$AI, 集計用!$G:$G, "*, "&amp;$C25&amp;", *",集計用!$AE:$AE,F$3))/COUNTIFS(集計用!$G:$G, "*, "&amp;$C25&amp;", *",集計用!$AE:$AE,F$3)</f>
        <v>15.666666666666666</v>
      </c>
      <c r="G25" s="29">
        <f>(SUMIFS(集計用!$AI:$AI, 集計用!$G:$G, "*, "&amp;$C25&amp;", *",集計用!$AE:$AE,G$3))/COUNTIFS(集計用!$G:$G, "*, "&amp;$C25&amp;", *",集計用!$AE:$AE,G$3)</f>
        <v>5.5</v>
      </c>
      <c r="H25" s="29">
        <f>(SUMIFS(集計用!$AI:$AI, 集計用!$G:$G, "*, "&amp;$C25&amp;", *",集計用!$AE:$AE,H$3))/COUNTIFS(集計用!$G:$G, "*, "&amp;$C25&amp;", *",集計用!$AE:$AE,H$3)</f>
        <v>9.1999999999999993</v>
      </c>
      <c r="I25" s="29">
        <f>(SUMIFS(集計用!$AI:$AI, 集計用!$G:$G, "*, "&amp;$C25&amp;", *",集計用!$AE:$AE,I$3))/COUNTIFS(集計用!$G:$G, "*, "&amp;$C25&amp;", *",集計用!$AE:$AE,I$3)</f>
        <v>12.25</v>
      </c>
      <c r="J25" s="29">
        <f>(SUMIFS(集計用!$AI:$AI, 集計用!$G:$G, "*, "&amp;$C25&amp;", *",集計用!$AE:$AE,J$3))/COUNTIFS(集計用!$G:$G, "*, "&amp;$C25&amp;", *",集計用!$AE:$AE,J$3)</f>
        <v>4.666666666666667</v>
      </c>
      <c r="K25" s="29" t="e">
        <f>(SUMIFS(集計用!$AI:$AI, 集計用!$G:$G, "*, "&amp;$C25&amp;", *",集計用!$AE:$AE,K$3))/COUNTIFS(集計用!$G:$G, "*, "&amp;$C25&amp;", *",集計用!$AE:$AE,K$3)</f>
        <v>#DIV/0!</v>
      </c>
      <c r="L25" s="29">
        <f>(SUMIFS(集計用!$AI:$AI, 集計用!$G:$G, "*, "&amp;$C25&amp;", *",集計用!$AE:$AE,L$3))/COUNTIFS(集計用!$G:$G, "*, "&amp;$C25&amp;", *",集計用!$AE:$AE,L$3)</f>
        <v>5</v>
      </c>
      <c r="M25" s="29">
        <f>(SUMIFS(集計用!$AI:$AI, 集計用!$G:$G, "*, "&amp;$C25&amp;", *",集計用!$AE:$AE,"56-60")+SUMIFS(集計用!$AI:$AI, 集計用!$G:$G, "*, "&amp;$C25&amp;", *",集計用!$AE:$AE,"61-65"))/(COUNTIFS(集計用!$G:$G, "*, "&amp;$C25&amp;", *",集計用!$AE:$AE,"56-60")+COUNTIFS(集計用!$G:$G, "*, "&amp;$C25&amp;", *",集計用!$AE:$AE,"61-65"))</f>
        <v>11.5</v>
      </c>
      <c r="N25" s="29" t="e">
        <f>(SUMIFS(集計用!$AI:$AI, 集計用!$G:$G, "*, "&amp;$C25&amp;", *",集計用!$AE:$AE,N$3))/COUNTIFS(集計用!$G:$G, "*, "&amp;$C25&amp;", *",集計用!$AE:$AE,N$3)</f>
        <v>#DIV/0!</v>
      </c>
      <c r="O25" s="2"/>
    </row>
    <row r="26" spans="1:15" ht="12.75">
      <c r="A26" s="27">
        <v>5</v>
      </c>
      <c r="B26" s="27">
        <f>(COUNTIFS(集計用!$G:$G,"*, "&amp;$C26&amp;",*"))</f>
        <v>25</v>
      </c>
      <c r="C26" s="36" t="s">
        <v>22</v>
      </c>
      <c r="D26" s="29">
        <f>SUMIFS(集計用!$AI:$AI,集計用!$G:$G,"*, "&amp;$C26&amp;", *")/テーブル3[[#This Row],[n=]]</f>
        <v>9.8000000000000007</v>
      </c>
      <c r="E26" s="29">
        <f>(SUMIFS(集計用!$AI:$AI,集計用!$AE:$AE,"11-15")+SUMIFS(集計用!$AI:$AI,集計用!$AE:$AE,"16-20"))/(COUNTIFS(集計用!$AE:$AE,"11-15")+COUNTIFS(集計用!$AE:$AE,"16-20"))</f>
        <v>3.8775510204081631</v>
      </c>
      <c r="F26" s="29">
        <f>(SUMIFS(集計用!$AI:$AI, 集計用!$G:$G, "*, "&amp;$C26&amp;", *",集計用!$AE:$AE,F$3))/COUNTIFS(集計用!$G:$G, "*, "&amp;$C26&amp;", *",集計用!$AE:$AE,F$3)</f>
        <v>13.375</v>
      </c>
      <c r="G26" s="29">
        <f>(SUMIFS(集計用!$AI:$AI, 集計用!$G:$G, "*, "&amp;$C26&amp;", *",集計用!$AE:$AE,G$3))/COUNTIFS(集計用!$G:$G, "*, "&amp;$C26&amp;", *",集計用!$AE:$AE,G$3)</f>
        <v>9.6666666666666661</v>
      </c>
      <c r="H26" s="29">
        <f>(SUMIFS(集計用!$AI:$AI, 集計用!$G:$G, "*, "&amp;$C26&amp;", *",集計用!$AE:$AE,H$3))/COUNTIFS(集計用!$G:$G, "*, "&amp;$C26&amp;", *",集計用!$AE:$AE,H$3)</f>
        <v>8.5</v>
      </c>
      <c r="I26" s="29">
        <f>(SUMIFS(集計用!$AI:$AI, 集計用!$G:$G, "*, "&amp;$C26&amp;", *",集計用!$AE:$AE,I$3))/COUNTIFS(集計用!$G:$G, "*, "&amp;$C26&amp;", *",集計用!$AE:$AE,I$3)</f>
        <v>11</v>
      </c>
      <c r="J26" s="29">
        <f>(SUMIFS(集計用!$AI:$AI, 集計用!$G:$G, "*, "&amp;$C26&amp;", *",集計用!$AE:$AE,J$3))/COUNTIFS(集計用!$G:$G, "*, "&amp;$C26&amp;", *",集計用!$AE:$AE,J$3)</f>
        <v>5.5</v>
      </c>
      <c r="K26" s="29">
        <f>(SUMIFS(集計用!$AI:$AI, 集計用!$G:$G, "*, "&amp;$C26&amp;", *",集計用!$AE:$AE,K$3))/COUNTIFS(集計用!$G:$G, "*, "&amp;$C26&amp;", *",集計用!$AE:$AE,K$3)</f>
        <v>7</v>
      </c>
      <c r="L26" s="29">
        <f>(SUMIFS(集計用!$AI:$AI, 集計用!$G:$G, "*, "&amp;$C26&amp;", *",集計用!$AE:$AE,L$3))/COUNTIFS(集計用!$G:$G, "*, "&amp;$C26&amp;", *",集計用!$AE:$AE,L$3)</f>
        <v>3</v>
      </c>
      <c r="M26" s="29">
        <f>(SUMIFS(集計用!$AI:$AI, 集計用!$G:$G, "*, "&amp;$C26&amp;", *",集計用!$AE:$AE,"56-60")+SUMIFS(集計用!$AI:$AI, 集計用!$G:$G, "*, "&amp;$C26&amp;", *",集計用!$AE:$AE,"61-65"))/(COUNTIFS(集計用!$G:$G, "*, "&amp;$C26&amp;", *",集計用!$AE:$AE,"56-60")+COUNTIFS(集計用!$G:$G, "*, "&amp;$C26&amp;", *",集計用!$AE:$AE,"61-65"))</f>
        <v>13</v>
      </c>
      <c r="N26" s="29" t="e">
        <f>(SUMIFS(集計用!$AI:$AI, 集計用!$G:$G, "*, "&amp;$C26&amp;", *",集計用!$AE:$AE,N$3))/COUNTIFS(集計用!$G:$G, "*, "&amp;$C26&amp;", *",集計用!$AE:$AE,N$3)</f>
        <v>#DIV/0!</v>
      </c>
      <c r="O26" s="2"/>
    </row>
    <row r="27" spans="1:15" ht="15.75" customHeight="1">
      <c r="A27" s="27">
        <v>4</v>
      </c>
      <c r="B27" s="27">
        <f>(COUNTIFS(集計用!$G:$G,"*, "&amp;$C27&amp;",*"))</f>
        <v>25</v>
      </c>
      <c r="C27" s="36" t="s">
        <v>23</v>
      </c>
      <c r="D27" s="29">
        <f>SUMIFS(集計用!$AI:$AI,集計用!$G:$G,"*, "&amp;$C27&amp;", *")/テーブル3[[#This Row],[n=]]</f>
        <v>9.4</v>
      </c>
      <c r="E27" s="29">
        <f>(SUMIFS(集計用!$AI:$AI,集計用!$AE:$AE,"11-15")+SUMIFS(集計用!$AI:$AI,集計用!$AE:$AE,"16-20"))/(COUNTIFS(集計用!$AE:$AE,"11-15")+COUNTIFS(集計用!$AE:$AE,"16-20"))</f>
        <v>3.8775510204081631</v>
      </c>
      <c r="F27" s="29">
        <f>(SUMIFS(集計用!$AI:$AI, 集計用!$G:$G, "*, "&amp;$C27&amp;", *",集計用!$AE:$AE,F$3))/COUNTIFS(集計用!$G:$G, "*, "&amp;$C27&amp;", *",集計用!$AE:$AE,F$3)</f>
        <v>20.5</v>
      </c>
      <c r="G27" s="29">
        <f>(SUMIFS(集計用!$AI:$AI, 集計用!$G:$G, "*, "&amp;$C27&amp;", *",集計用!$AE:$AE,G$3))/COUNTIFS(集計用!$G:$G, "*, "&amp;$C27&amp;", *",集計用!$AE:$AE,G$3)</f>
        <v>7.2</v>
      </c>
      <c r="H27" s="29">
        <f>(SUMIFS(集計用!$AI:$AI, 集計用!$G:$G, "*, "&amp;$C27&amp;", *",集計用!$AE:$AE,H$3))/COUNTIFS(集計用!$G:$G, "*, "&amp;$C27&amp;", *",集計用!$AE:$AE,H$3)</f>
        <v>7.875</v>
      </c>
      <c r="I27" s="29">
        <f>(SUMIFS(集計用!$AI:$AI, 集計用!$G:$G, "*, "&amp;$C27&amp;", *",集計用!$AE:$AE,I$3))/COUNTIFS(集計用!$G:$G, "*, "&amp;$C27&amp;", *",集計用!$AE:$AE,I$3)</f>
        <v>8</v>
      </c>
      <c r="J27" s="29">
        <f>(SUMIFS(集計用!$AI:$AI, 集計用!$G:$G, "*, "&amp;$C27&amp;", *",集計用!$AE:$AE,J$3))/COUNTIFS(集計用!$G:$G, "*, "&amp;$C27&amp;", *",集計用!$AE:$AE,J$3)</f>
        <v>6.333333333333333</v>
      </c>
      <c r="K27" s="29">
        <f>(SUMIFS(集計用!$AI:$AI, 集計用!$G:$G, "*, "&amp;$C27&amp;", *",集計用!$AE:$AE,K$3))/COUNTIFS(集計用!$G:$G, "*, "&amp;$C27&amp;", *",集計用!$AE:$AE,K$3)</f>
        <v>8</v>
      </c>
      <c r="L27" s="29" t="e">
        <f>(SUMIFS(集計用!$AI:$AI, 集計用!$G:$G, "*, "&amp;$C27&amp;", *",集計用!$AE:$AE,L$3))/COUNTIFS(集計用!$G:$G, "*, "&amp;$C27&amp;", *",集計用!$AE:$AE,L$3)</f>
        <v>#DIV/0!</v>
      </c>
      <c r="M27" s="29">
        <f>(SUMIFS(集計用!$AI:$AI, 集計用!$G:$G, "*, "&amp;$C27&amp;", *",集計用!$AE:$AE,"56-60")+SUMIFS(集計用!$AI:$AI, 集計用!$G:$G, "*, "&amp;$C27&amp;", *",集計用!$AE:$AE,"61-65"))/(COUNTIFS(集計用!$G:$G, "*, "&amp;$C27&amp;", *",集計用!$AE:$AE,"56-60")+COUNTIFS(集計用!$G:$G, "*, "&amp;$C27&amp;", *",集計用!$AE:$AE,"61-65"))</f>
        <v>7.5</v>
      </c>
      <c r="N27" s="29" t="e">
        <f>(SUMIFS(集計用!$AI:$AI, 集計用!$G:$G, "*, "&amp;$C27&amp;", *",集計用!$AE:$AE,N$3))/COUNTIFS(集計用!$G:$G, "*, "&amp;$C27&amp;", *",集計用!$AE:$AE,N$3)</f>
        <v>#DIV/0!</v>
      </c>
      <c r="O27" s="2"/>
    </row>
    <row r="28" spans="1:15" ht="15.75" customHeight="1">
      <c r="A28" s="27">
        <v>5</v>
      </c>
      <c r="B28" s="27">
        <f>(COUNTIFS(集計用!$G:$G,"*, "&amp;$C28&amp;",*"))</f>
        <v>25</v>
      </c>
      <c r="C28" s="36" t="s">
        <v>21</v>
      </c>
      <c r="D28" s="29">
        <f>SUMIFS(集計用!$AI:$AI,集計用!$G:$G,"*, "&amp;$C28&amp;", *")/テーブル3[[#This Row],[n=]]</f>
        <v>8.16</v>
      </c>
      <c r="E28" s="29">
        <f>(SUMIFS(集計用!$AI:$AI,集計用!$AE:$AE,"11-15")+SUMIFS(集計用!$AI:$AI,集計用!$AE:$AE,"16-20"))/(COUNTIFS(集計用!$AE:$AE,"11-15")+COUNTIFS(集計用!$AE:$AE,"16-20"))</f>
        <v>3.8775510204081631</v>
      </c>
      <c r="F28" s="29">
        <f>(SUMIFS(集計用!$AI:$AI, 集計用!$G:$G, "*, "&amp;$C28&amp;", *",集計用!$AE:$AE,F$3))/COUNTIFS(集計用!$G:$G, "*, "&amp;$C28&amp;", *",集計用!$AE:$AE,F$3)</f>
        <v>14.833333333333334</v>
      </c>
      <c r="G28" s="29">
        <f>(SUMIFS(集計用!$AI:$AI, 集計用!$G:$G, "*, "&amp;$C28&amp;", *",集計用!$AE:$AE,G$3))/COUNTIFS(集計用!$G:$G, "*, "&amp;$C28&amp;", *",集計用!$AE:$AE,G$3)</f>
        <v>5.8571428571428568</v>
      </c>
      <c r="H28" s="29">
        <f>(SUMIFS(集計用!$AI:$AI, 集計用!$G:$G, "*, "&amp;$C28&amp;", *",集計用!$AE:$AE,H$3))/COUNTIFS(集計用!$G:$G, "*, "&amp;$C28&amp;", *",集計用!$AE:$AE,H$3)</f>
        <v>6.333333333333333</v>
      </c>
      <c r="I28" s="29">
        <f>(SUMIFS(集計用!$AI:$AI, 集計用!$G:$G, "*, "&amp;$C28&amp;", *",集計用!$AE:$AE,I$3))/COUNTIFS(集計用!$G:$G, "*, "&amp;$C28&amp;", *",集計用!$AE:$AE,I$3)</f>
        <v>9</v>
      </c>
      <c r="J28" s="29">
        <f>(SUMIFS(集計用!$AI:$AI, 集計用!$G:$G, "*, "&amp;$C28&amp;", *",集計用!$AE:$AE,J$3))/COUNTIFS(集計用!$G:$G, "*, "&amp;$C28&amp;", *",集計用!$AE:$AE,J$3)</f>
        <v>4</v>
      </c>
      <c r="K28" s="29">
        <f>(SUMIFS(集計用!$AI:$AI, 集計用!$G:$G, "*, "&amp;$C28&amp;", *",集計用!$AE:$AE,K$3))/COUNTIFS(集計用!$G:$G, "*, "&amp;$C28&amp;", *",集計用!$AE:$AE,K$3)</f>
        <v>7</v>
      </c>
      <c r="L28" s="29">
        <f>(SUMIFS(集計用!$AI:$AI, 集計用!$G:$G, "*, "&amp;$C28&amp;", *",集計用!$AE:$AE,L$3))/COUNTIFS(集計用!$G:$G, "*, "&amp;$C28&amp;", *",集計用!$AE:$AE,L$3)</f>
        <v>1</v>
      </c>
      <c r="M28" s="29" t="e">
        <f>(SUMIFS(集計用!$AI:$AI, 集計用!$G:$G, "*, "&amp;$C28&amp;", *",集計用!$AE:$AE,"56-60")+SUMIFS(集計用!$AI:$AI, 集計用!$G:$G, "*, "&amp;$C28&amp;", *",集計用!$AE:$AE,"61-65"))/(COUNTIFS(集計用!$G:$G, "*, "&amp;$C28&amp;", *",集計用!$AE:$AE,"56-60")+COUNTIFS(集計用!$G:$G, "*, "&amp;$C28&amp;", *",集計用!$AE:$AE,"61-65"))</f>
        <v>#DIV/0!</v>
      </c>
      <c r="N28" s="29" t="e">
        <f>(SUMIFS(集計用!$AI:$AI, 集計用!$G:$G, "*, "&amp;$C28&amp;", *",集計用!$AE:$AE,N$3))/COUNTIFS(集計用!$G:$G, "*, "&amp;$C28&amp;", *",集計用!$AE:$AE,N$3)</f>
        <v>#DIV/0!</v>
      </c>
      <c r="O28" s="2"/>
    </row>
    <row r="29" spans="1:15" ht="12.75">
      <c r="A29" s="27">
        <v>4</v>
      </c>
      <c r="B29" s="27">
        <f>(COUNTIFS(集計用!$G:$G,"*, "&amp;$C29&amp;",*"))</f>
        <v>22</v>
      </c>
      <c r="C29" s="36" t="s">
        <v>24</v>
      </c>
      <c r="D29" s="29">
        <f>SUMIFS(集計用!$AI:$AI,集計用!$G:$G,"*, "&amp;$C29&amp;", *")/テーブル3[[#This Row],[n=]]</f>
        <v>10.590909090909092</v>
      </c>
      <c r="E29" s="29">
        <f>(SUMIFS(集計用!$AI:$AI,集計用!$AE:$AE,"11-15")+SUMIFS(集計用!$AI:$AI,集計用!$AE:$AE,"16-20"))/(COUNTIFS(集計用!$AE:$AE,"11-15")+COUNTIFS(集計用!$AE:$AE,"16-20"))</f>
        <v>3.8775510204081631</v>
      </c>
      <c r="F29" s="29">
        <f>(SUMIFS(集計用!$AI:$AI, 集計用!$G:$G, "*, "&amp;$C29&amp;", *",集計用!$AE:$AE,F$3))/COUNTIFS(集計用!$G:$G, "*, "&amp;$C29&amp;", *",集計用!$AE:$AE,F$3)</f>
        <v>17</v>
      </c>
      <c r="G29" s="29">
        <f>(SUMIFS(集計用!$AI:$AI, 集計用!$G:$G, "*, "&amp;$C29&amp;", *",集計用!$AE:$AE,G$3))/COUNTIFS(集計用!$G:$G, "*, "&amp;$C29&amp;", *",集計用!$AE:$AE,G$3)</f>
        <v>8.3333333333333339</v>
      </c>
      <c r="H29" s="29">
        <f>(SUMIFS(集計用!$AI:$AI, 集計用!$G:$G, "*, "&amp;$C29&amp;", *",集計用!$AE:$AE,H$3))/COUNTIFS(集計用!$G:$G, "*, "&amp;$C29&amp;", *",集計用!$AE:$AE,H$3)</f>
        <v>10.333333333333334</v>
      </c>
      <c r="I29" s="29">
        <f>(SUMIFS(集計用!$AI:$AI, 集計用!$G:$G, "*, "&amp;$C29&amp;", *",集計用!$AE:$AE,I$3))/COUNTIFS(集計用!$G:$G, "*, "&amp;$C29&amp;", *",集計用!$AE:$AE,I$3)</f>
        <v>16</v>
      </c>
      <c r="J29" s="29">
        <f>(SUMIFS(集計用!$AI:$AI, 集計用!$G:$G, "*, "&amp;$C29&amp;", *",集計用!$AE:$AE,J$3))/COUNTIFS(集計用!$G:$G, "*, "&amp;$C29&amp;", *",集計用!$AE:$AE,J$3)</f>
        <v>8</v>
      </c>
      <c r="K29" s="29" t="e">
        <f>(SUMIFS(集計用!$AI:$AI, 集計用!$G:$G, "*, "&amp;$C29&amp;", *",集計用!$AE:$AE,K$3))/COUNTIFS(集計用!$G:$G, "*, "&amp;$C29&amp;", *",集計用!$AE:$AE,K$3)</f>
        <v>#DIV/0!</v>
      </c>
      <c r="L29" s="29">
        <f>(SUMIFS(集計用!$AI:$AI, 集計用!$G:$G, "*, "&amp;$C29&amp;", *",集計用!$AE:$AE,L$3))/COUNTIFS(集計用!$G:$G, "*, "&amp;$C29&amp;", *",集計用!$AE:$AE,L$3)</f>
        <v>3</v>
      </c>
      <c r="M29" s="29" t="e">
        <f>(SUMIFS(集計用!$AI:$AI, 集計用!$G:$G, "*, "&amp;$C29&amp;", *",集計用!$AE:$AE,"56-60")+SUMIFS(集計用!$AI:$AI, 集計用!$G:$G, "*, "&amp;$C29&amp;", *",集計用!$AE:$AE,"61-65"))/(COUNTIFS(集計用!$G:$G, "*, "&amp;$C29&amp;", *",集計用!$AE:$AE,"56-60")+COUNTIFS(集計用!$G:$G, "*, "&amp;$C29&amp;", *",集計用!$AE:$AE,"61-65"))</f>
        <v>#DIV/0!</v>
      </c>
      <c r="N29" s="29" t="e">
        <f>(SUMIFS(集計用!$AI:$AI, 集計用!$G:$G, "*, "&amp;$C29&amp;", *",集計用!$AE:$AE,N$3))/COUNTIFS(集計用!$G:$G, "*, "&amp;$C29&amp;", *",集計用!$AE:$AE,N$3)</f>
        <v>#DIV/0!</v>
      </c>
      <c r="O29" s="2"/>
    </row>
    <row r="30" spans="1:15" ht="15.75" customHeight="1">
      <c r="A30" s="27">
        <v>6</v>
      </c>
      <c r="B30" s="27">
        <f>(COUNTIFS(集計用!$G:$G,"*, "&amp;$C30&amp;",*"))</f>
        <v>22</v>
      </c>
      <c r="C30" s="36" t="s">
        <v>25</v>
      </c>
      <c r="D30" s="29">
        <f>SUMIFS(集計用!$AI:$AI,集計用!$G:$G,"*, "&amp;$C30&amp;", *")/テーブル3[[#This Row],[n=]]</f>
        <v>8.1818181818181817</v>
      </c>
      <c r="E30" s="29">
        <f>(SUMIFS(集計用!$AI:$AI,集計用!$AE:$AE,"11-15")+SUMIFS(集計用!$AI:$AI,集計用!$AE:$AE,"16-20"))/(COUNTIFS(集計用!$AE:$AE,"11-15")+COUNTIFS(集計用!$AE:$AE,"16-20"))</f>
        <v>3.8775510204081631</v>
      </c>
      <c r="F30" s="29">
        <f>(SUMIFS(集計用!$AI:$AI, 集計用!$G:$G, "*, "&amp;$C30&amp;", *",集計用!$AE:$AE,F$3))/COUNTIFS(集計用!$G:$G, "*, "&amp;$C30&amp;", *",集計用!$AE:$AE,F$3)</f>
        <v>14.666666666666666</v>
      </c>
      <c r="G30" s="29">
        <f>(SUMIFS(集計用!$AI:$AI, 集計用!$G:$G, "*, "&amp;$C30&amp;", *",集計用!$AE:$AE,G$3))/COUNTIFS(集計用!$G:$G, "*, "&amp;$C30&amp;", *",集計用!$AE:$AE,G$3)</f>
        <v>8.5</v>
      </c>
      <c r="H30" s="29">
        <f>(SUMIFS(集計用!$AI:$AI, 集計用!$G:$G, "*, "&amp;$C30&amp;", *",集計用!$AE:$AE,H$3))/COUNTIFS(集計用!$G:$G, "*, "&amp;$C30&amp;", *",集計用!$AE:$AE,H$3)</f>
        <v>5.2</v>
      </c>
      <c r="I30" s="29">
        <f>(SUMIFS(集計用!$AI:$AI, 集計用!$G:$G, "*, "&amp;$C30&amp;", *",集計用!$AE:$AE,I$3))/COUNTIFS(集計用!$G:$G, "*, "&amp;$C30&amp;", *",集計用!$AE:$AE,I$3)</f>
        <v>2.5</v>
      </c>
      <c r="J30" s="29">
        <f>(SUMIFS(集計用!$AI:$AI, 集計用!$G:$G, "*, "&amp;$C30&amp;", *",集計用!$AE:$AE,J$3))/COUNTIFS(集計用!$G:$G, "*, "&amp;$C30&amp;", *",集計用!$AE:$AE,J$3)</f>
        <v>6</v>
      </c>
      <c r="K30" s="29">
        <f>(SUMIFS(集計用!$AI:$AI, 集計用!$G:$G, "*, "&amp;$C30&amp;", *",集計用!$AE:$AE,K$3))/COUNTIFS(集計用!$G:$G, "*, "&amp;$C30&amp;", *",集計用!$AE:$AE,K$3)</f>
        <v>5</v>
      </c>
      <c r="L30" s="29">
        <f>(SUMIFS(集計用!$AI:$AI, 集計用!$G:$G, "*, "&amp;$C30&amp;", *",集計用!$AE:$AE,L$3))/COUNTIFS(集計用!$G:$G, "*, "&amp;$C30&amp;", *",集計用!$AE:$AE,L$3)</f>
        <v>3</v>
      </c>
      <c r="M30" s="29">
        <f>(SUMIFS(集計用!$AI:$AI, 集計用!$G:$G, "*, "&amp;$C30&amp;", *",集計用!$AE:$AE,"56-60")+SUMIFS(集計用!$AI:$AI, 集計用!$G:$G, "*, "&amp;$C30&amp;", *",集計用!$AE:$AE,"61-65"))/(COUNTIFS(集計用!$G:$G, "*, "&amp;$C30&amp;", *",集計用!$AE:$AE,"56-60")+COUNTIFS(集計用!$G:$G, "*, "&amp;$C30&amp;", *",集計用!$AE:$AE,"61-65"))</f>
        <v>13</v>
      </c>
      <c r="N30" s="29" t="e">
        <f>(SUMIFS(集計用!$AI:$AI, 集計用!$G:$G, "*, "&amp;$C30&amp;", *",集計用!$AE:$AE,N$3))/COUNTIFS(集計用!$G:$G, "*, "&amp;$C30&amp;", *",集計用!$AE:$AE,N$3)</f>
        <v>#DIV/0!</v>
      </c>
      <c r="O30" s="2"/>
    </row>
    <row r="31" spans="1:15" ht="12.75">
      <c r="A31" s="27">
        <v>6</v>
      </c>
      <c r="B31" s="27">
        <f>(COUNTIFS(集計用!$G:$G,"*, "&amp;$C31&amp;",*"))</f>
        <v>20</v>
      </c>
      <c r="C31" s="36" t="s">
        <v>26</v>
      </c>
      <c r="D31" s="29">
        <f>SUMIFS(集計用!$AI:$AI,集計用!$G:$G,"*, "&amp;$C31&amp;", *")/テーブル3[[#This Row],[n=]]</f>
        <v>9.4</v>
      </c>
      <c r="E31" s="29">
        <f>(SUMIFS(集計用!$AI:$AI,集計用!$AE:$AE,"11-15")+SUMIFS(集計用!$AI:$AI,集計用!$AE:$AE,"16-20"))/(COUNTIFS(集計用!$AE:$AE,"11-15")+COUNTIFS(集計用!$AE:$AE,"16-20"))</f>
        <v>3.8775510204081631</v>
      </c>
      <c r="F31" s="29">
        <f>(SUMIFS(集計用!$AI:$AI, 集計用!$G:$G, "*, "&amp;$C31&amp;", *",集計用!$AE:$AE,F$3))/COUNTIFS(集計用!$G:$G, "*, "&amp;$C31&amp;", *",集計用!$AE:$AE,F$3)</f>
        <v>15.8</v>
      </c>
      <c r="G31" s="29">
        <f>(SUMIFS(集計用!$AI:$AI, 集計用!$G:$G, "*, "&amp;$C31&amp;", *",集計用!$AE:$AE,G$3))/COUNTIFS(集計用!$G:$G, "*, "&amp;$C31&amp;", *",集計用!$AE:$AE,G$3)</f>
        <v>5.8</v>
      </c>
      <c r="H31" s="29">
        <f>(SUMIFS(集計用!$AI:$AI, 集計用!$G:$G, "*, "&amp;$C31&amp;", *",集計用!$AE:$AE,H$3))/COUNTIFS(集計用!$G:$G, "*, "&amp;$C31&amp;", *",集計用!$AE:$AE,H$3)</f>
        <v>6.8</v>
      </c>
      <c r="I31" s="29">
        <f>(SUMIFS(集計用!$AI:$AI, 集計用!$G:$G, "*, "&amp;$C31&amp;", *",集計用!$AE:$AE,I$3))/COUNTIFS(集計用!$G:$G, "*, "&amp;$C31&amp;", *",集計用!$AE:$AE,I$3)</f>
        <v>19</v>
      </c>
      <c r="J31" s="29">
        <f>(SUMIFS(集計用!$AI:$AI, 集計用!$G:$G, "*, "&amp;$C31&amp;", *",集計用!$AE:$AE,J$3))/COUNTIFS(集計用!$G:$G, "*, "&amp;$C31&amp;", *",集計用!$AE:$AE,J$3)</f>
        <v>4</v>
      </c>
      <c r="K31" s="29">
        <f>(SUMIFS(集計用!$AI:$AI, 集計用!$G:$G, "*, "&amp;$C31&amp;", *",集計用!$AE:$AE,K$3))/COUNTIFS(集計用!$G:$G, "*, "&amp;$C31&amp;", *",集計用!$AE:$AE,K$3)</f>
        <v>1</v>
      </c>
      <c r="L31" s="29">
        <f>(SUMIFS(集計用!$AI:$AI, 集計用!$G:$G, "*, "&amp;$C31&amp;", *",集計用!$AE:$AE,L$3))/COUNTIFS(集計用!$G:$G, "*, "&amp;$C31&amp;", *",集計用!$AE:$AE,L$3)</f>
        <v>9</v>
      </c>
      <c r="M31" s="29">
        <f>(SUMIFS(集計用!$AI:$AI, 集計用!$G:$G, "*, "&amp;$C31&amp;", *",集計用!$AE:$AE,"56-60")+SUMIFS(集計用!$AI:$AI, 集計用!$G:$G, "*, "&amp;$C31&amp;", *",集計用!$AE:$AE,"61-65"))/(COUNTIFS(集計用!$G:$G, "*, "&amp;$C31&amp;", *",集計用!$AE:$AE,"56-60")+COUNTIFS(集計用!$G:$G, "*, "&amp;$C31&amp;", *",集計用!$AE:$AE,"61-65"))</f>
        <v>13</v>
      </c>
      <c r="N31" s="29" t="e">
        <f>(SUMIFS(集計用!$AI:$AI, 集計用!$G:$G, "*, "&amp;$C31&amp;", *",集計用!$AE:$AE,N$3))/COUNTIFS(集計用!$G:$G, "*, "&amp;$C31&amp;", *",集計用!$AE:$AE,N$3)</f>
        <v>#DIV/0!</v>
      </c>
      <c r="O31" s="2"/>
    </row>
    <row r="32" spans="1:15" ht="12.75">
      <c r="A32" s="27">
        <v>4</v>
      </c>
      <c r="B32" s="27">
        <f>(COUNTIFS(集計用!$G:$G,"*, "&amp;$C32&amp;",*"))</f>
        <v>19</v>
      </c>
      <c r="C32" s="36" t="s">
        <v>27</v>
      </c>
      <c r="D32" s="29">
        <f>SUMIFS(集計用!$AI:$AI,集計用!$G:$G,"*, "&amp;$C32&amp;", *")/テーブル3[[#This Row],[n=]]</f>
        <v>9.526315789473685</v>
      </c>
      <c r="E32" s="29">
        <f>(SUMIFS(集計用!$AI:$AI,集計用!$AE:$AE,"11-15")+SUMIFS(集計用!$AI:$AI,集計用!$AE:$AE,"16-20"))/(COUNTIFS(集計用!$AE:$AE,"11-15")+COUNTIFS(集計用!$AE:$AE,"16-20"))</f>
        <v>3.8775510204081631</v>
      </c>
      <c r="F32" s="29">
        <f>(SUMIFS(集計用!$AI:$AI, 集計用!$G:$G, "*, "&amp;$C32&amp;", *",集計用!$AE:$AE,F$3))/COUNTIFS(集計用!$G:$G, "*, "&amp;$C32&amp;", *",集計用!$AE:$AE,F$3)</f>
        <v>13.285714285714286</v>
      </c>
      <c r="G32" s="29">
        <f>(SUMIFS(集計用!$AI:$AI, 集計用!$G:$G, "*, "&amp;$C32&amp;", *",集計用!$AE:$AE,G$3))/COUNTIFS(集計用!$G:$G, "*, "&amp;$C32&amp;", *",集計用!$AE:$AE,G$3)</f>
        <v>7</v>
      </c>
      <c r="H32" s="29">
        <f>(SUMIFS(集計用!$AI:$AI, 集計用!$G:$G, "*, "&amp;$C32&amp;", *",集計用!$AE:$AE,H$3))/COUNTIFS(集計用!$G:$G, "*, "&amp;$C32&amp;", *",集計用!$AE:$AE,H$3)</f>
        <v>10</v>
      </c>
      <c r="I32" s="29" t="e">
        <f>(SUMIFS(集計用!$AI:$AI, 集計用!$G:$G, "*, "&amp;$C32&amp;", *",集計用!$AE:$AE,I$3))/COUNTIFS(集計用!$G:$G, "*, "&amp;$C32&amp;", *",集計用!$AE:$AE,I$3)</f>
        <v>#DIV/0!</v>
      </c>
      <c r="J32" s="29">
        <f>(SUMIFS(集計用!$AI:$AI, 集計用!$G:$G, "*, "&amp;$C32&amp;", *",集計用!$AE:$AE,J$3))/COUNTIFS(集計用!$G:$G, "*, "&amp;$C32&amp;", *",集計用!$AE:$AE,J$3)</f>
        <v>7</v>
      </c>
      <c r="K32" s="29">
        <f>(SUMIFS(集計用!$AI:$AI, 集計用!$G:$G, "*, "&amp;$C32&amp;", *",集計用!$AE:$AE,K$3))/COUNTIFS(集計用!$G:$G, "*, "&amp;$C32&amp;", *",集計用!$AE:$AE,K$3)</f>
        <v>6</v>
      </c>
      <c r="L32" s="29" t="e">
        <f>(SUMIFS(集計用!$AI:$AI, 集計用!$G:$G, "*, "&amp;$C32&amp;", *",集計用!$AE:$AE,L$3))/COUNTIFS(集計用!$G:$G, "*, "&amp;$C32&amp;", *",集計用!$AE:$AE,L$3)</f>
        <v>#DIV/0!</v>
      </c>
      <c r="M32" s="29" t="e">
        <f>(SUMIFS(集計用!$AI:$AI, 集計用!$G:$G, "*, "&amp;$C32&amp;", *",集計用!$AE:$AE,"56-60")+SUMIFS(集計用!$AI:$AI, 集計用!$G:$G, "*, "&amp;$C32&amp;", *",集計用!$AE:$AE,"61-65"))/(COUNTIFS(集計用!$G:$G, "*, "&amp;$C32&amp;", *",集計用!$AE:$AE,"56-60")+COUNTIFS(集計用!$G:$G, "*, "&amp;$C32&amp;", *",集計用!$AE:$AE,"61-65"))</f>
        <v>#DIV/0!</v>
      </c>
      <c r="N32" s="29" t="e">
        <f>(SUMIFS(集計用!$AI:$AI, 集計用!$G:$G, "*, "&amp;$C32&amp;", *",集計用!$AE:$AE,N$3))/COUNTIFS(集計用!$G:$G, "*, "&amp;$C32&amp;", *",集計用!$AE:$AE,N$3)</f>
        <v>#DIV/0!</v>
      </c>
      <c r="O32" s="2"/>
    </row>
    <row r="33" spans="1:15" ht="12.75">
      <c r="A33" s="27">
        <v>5</v>
      </c>
      <c r="B33" s="27">
        <f>(COUNTIFS(集計用!$G:$G,"*, "&amp;$C33&amp;",*"))</f>
        <v>18</v>
      </c>
      <c r="C33" s="36" t="s">
        <v>29</v>
      </c>
      <c r="D33" s="29">
        <f>SUMIFS(集計用!$AI:$AI,集計用!$G:$G,"*, "&amp;$C33&amp;", *")/テーブル3[[#This Row],[n=]]</f>
        <v>10.555555555555555</v>
      </c>
      <c r="E33" s="29">
        <f>(SUMIFS(集計用!$AI:$AI,集計用!$AE:$AE,"11-15")+SUMIFS(集計用!$AI:$AI,集計用!$AE:$AE,"16-20"))/(COUNTIFS(集計用!$AE:$AE,"11-15")+COUNTIFS(集計用!$AE:$AE,"16-20"))</f>
        <v>3.8775510204081631</v>
      </c>
      <c r="F33" s="29">
        <f>(SUMIFS(集計用!$AI:$AI, 集計用!$G:$G, "*, "&amp;$C33&amp;", *",集計用!$AE:$AE,F$3))/COUNTIFS(集計用!$G:$G, "*, "&amp;$C33&amp;", *",集計用!$AE:$AE,F$3)</f>
        <v>11.888888888888889</v>
      </c>
      <c r="G33" s="29">
        <f>(SUMIFS(集計用!$AI:$AI, 集計用!$G:$G, "*, "&amp;$C33&amp;", *",集計用!$AE:$AE,G$3))/COUNTIFS(集計用!$G:$G, "*, "&amp;$C33&amp;", *",集計用!$AE:$AE,G$3)</f>
        <v>9.3333333333333339</v>
      </c>
      <c r="H33" s="29">
        <f>(SUMIFS(集計用!$AI:$AI, 集計用!$G:$G, "*, "&amp;$C33&amp;", *",集計用!$AE:$AE,H$3))/COUNTIFS(集計用!$G:$G, "*, "&amp;$C33&amp;", *",集計用!$AE:$AE,H$3)</f>
        <v>11</v>
      </c>
      <c r="I33" s="29">
        <f>(SUMIFS(集計用!$AI:$AI, 集計用!$G:$G, "*, "&amp;$C33&amp;", *",集計用!$AE:$AE,I$3))/COUNTIFS(集計用!$G:$G, "*, "&amp;$C33&amp;", *",集計用!$AE:$AE,I$3)</f>
        <v>19</v>
      </c>
      <c r="J33" s="29">
        <f>(SUMIFS(集計用!$AI:$AI, 集計用!$G:$G, "*, "&amp;$C33&amp;", *",集計用!$AE:$AE,J$3))/COUNTIFS(集計用!$G:$G, "*, "&amp;$C33&amp;", *",集計用!$AE:$AE,J$3)</f>
        <v>7</v>
      </c>
      <c r="K33" s="29">
        <f>(SUMIFS(集計用!$AI:$AI, 集計用!$G:$G, "*, "&amp;$C33&amp;", *",集計用!$AE:$AE,K$3))/COUNTIFS(集計用!$G:$G, "*, "&amp;$C33&amp;", *",集計用!$AE:$AE,K$3)</f>
        <v>6</v>
      </c>
      <c r="L33" s="29" t="e">
        <f>(SUMIFS(集計用!$AI:$AI, 集計用!$G:$G, "*, "&amp;$C33&amp;", *",集計用!$AE:$AE,L$3))/COUNTIFS(集計用!$G:$G, "*, "&amp;$C33&amp;", *",集計用!$AE:$AE,L$3)</f>
        <v>#DIV/0!</v>
      </c>
      <c r="M33" s="29" t="e">
        <f>(SUMIFS(集計用!$AI:$AI, 集計用!$G:$G, "*, "&amp;$C33&amp;", *",集計用!$AE:$AE,"56-60")+SUMIFS(集計用!$AI:$AI, 集計用!$G:$G, "*, "&amp;$C33&amp;", *",集計用!$AE:$AE,"61-65"))/(COUNTIFS(集計用!$G:$G, "*, "&amp;$C33&amp;", *",集計用!$AE:$AE,"56-60")+COUNTIFS(集計用!$G:$G, "*, "&amp;$C33&amp;", *",集計用!$AE:$AE,"61-65"))</f>
        <v>#DIV/0!</v>
      </c>
      <c r="N33" s="29" t="e">
        <f>(SUMIFS(集計用!$AI:$AI, 集計用!$G:$G, "*, "&amp;$C33&amp;", *",集計用!$AE:$AE,N$3))/COUNTIFS(集計用!$G:$G, "*, "&amp;$C33&amp;", *",集計用!$AE:$AE,N$3)</f>
        <v>#DIV/0!</v>
      </c>
      <c r="O33" s="2"/>
    </row>
    <row r="34" spans="1:15" ht="15.75" customHeight="1">
      <c r="A34" s="27">
        <v>5</v>
      </c>
      <c r="B34" s="27">
        <f>(COUNTIFS(集計用!$G:$G,"*, "&amp;$C34&amp;",*"))</f>
        <v>18</v>
      </c>
      <c r="C34" s="36" t="s">
        <v>28</v>
      </c>
      <c r="D34" s="29">
        <f>SUMIFS(集計用!$AI:$AI,集計用!$G:$G,"*, "&amp;$C34&amp;", *")/テーブル3[[#This Row],[n=]]</f>
        <v>9.0555555555555554</v>
      </c>
      <c r="E34" s="29">
        <f>(SUMIFS(集計用!$AI:$AI,集計用!$AE:$AE,"11-15")+SUMIFS(集計用!$AI:$AI,集計用!$AE:$AE,"16-20"))/(COUNTIFS(集計用!$AE:$AE,"11-15")+COUNTIFS(集計用!$AE:$AE,"16-20"))</f>
        <v>3.8775510204081631</v>
      </c>
      <c r="F34" s="29">
        <f>(SUMIFS(集計用!$AI:$AI, 集計用!$G:$G, "*, "&amp;$C34&amp;", *",集計用!$AE:$AE,F$3))/COUNTIFS(集計用!$G:$G, "*, "&amp;$C34&amp;", *",集計用!$AE:$AE,F$3)</f>
        <v>15.8</v>
      </c>
      <c r="G34" s="29">
        <f>(SUMIFS(集計用!$AI:$AI, 集計用!$G:$G, "*, "&amp;$C34&amp;", *",集計用!$AE:$AE,G$3))/COUNTIFS(集計用!$G:$G, "*, "&amp;$C34&amp;", *",集計用!$AE:$AE,G$3)</f>
        <v>5.8</v>
      </c>
      <c r="H34" s="29">
        <f>(SUMIFS(集計用!$AI:$AI, 集計用!$G:$G, "*, "&amp;$C34&amp;", *",集計用!$AE:$AE,H$3))/COUNTIFS(集計用!$G:$G, "*, "&amp;$C34&amp;", *",集計用!$AE:$AE,H$3)</f>
        <v>7.333333333333333</v>
      </c>
      <c r="I34" s="29" t="e">
        <f>(SUMIFS(集計用!$AI:$AI, 集計用!$G:$G, "*, "&amp;$C34&amp;", *",集計用!$AE:$AE,I$3))/COUNTIFS(集計用!$G:$G, "*, "&amp;$C34&amp;", *",集計用!$AE:$AE,I$3)</f>
        <v>#DIV/0!</v>
      </c>
      <c r="J34" s="29">
        <f>(SUMIFS(集計用!$AI:$AI, 集計用!$G:$G, "*, "&amp;$C34&amp;", *",集計用!$AE:$AE,J$3))/COUNTIFS(集計用!$G:$G, "*, "&amp;$C34&amp;", *",集計用!$AE:$AE,J$3)</f>
        <v>4</v>
      </c>
      <c r="K34" s="29">
        <f>(SUMIFS(集計用!$AI:$AI, 集計用!$G:$G, "*, "&amp;$C34&amp;", *",集計用!$AE:$AE,K$3))/COUNTIFS(集計用!$G:$G, "*, "&amp;$C34&amp;", *",集計用!$AE:$AE,K$3)</f>
        <v>6</v>
      </c>
      <c r="L34" s="29" t="e">
        <f>(SUMIFS(集計用!$AI:$AI, 集計用!$G:$G, "*, "&amp;$C34&amp;", *",集計用!$AE:$AE,L$3))/COUNTIFS(集計用!$G:$G, "*, "&amp;$C34&amp;", *",集計用!$AE:$AE,L$3)</f>
        <v>#DIV/0!</v>
      </c>
      <c r="M34" s="29">
        <f>(SUMIFS(集計用!$AI:$AI, 集計用!$G:$G, "*, "&amp;$C34&amp;", *",集計用!$AE:$AE,"56-60")+SUMIFS(集計用!$AI:$AI, 集計用!$G:$G, "*, "&amp;$C34&amp;", *",集計用!$AE:$AE,"61-65"))/(COUNTIFS(集計用!$G:$G, "*, "&amp;$C34&amp;", *",集計用!$AE:$AE,"56-60")+COUNTIFS(集計用!$G:$G, "*, "&amp;$C34&amp;", *",集計用!$AE:$AE,"61-65"))</f>
        <v>13</v>
      </c>
      <c r="N34" s="29" t="e">
        <f>(SUMIFS(集計用!$AI:$AI, 集計用!$G:$G, "*, "&amp;$C34&amp;", *",集計用!$AE:$AE,N$3))/COUNTIFS(集計用!$G:$G, "*, "&amp;$C34&amp;", *",集計用!$AE:$AE,N$3)</f>
        <v>#DIV/0!</v>
      </c>
      <c r="O34" s="2"/>
    </row>
    <row r="35" spans="1:15" ht="15.75" customHeight="1">
      <c r="A35" s="27">
        <v>4</v>
      </c>
      <c r="B35" s="27">
        <f>(COUNTIFS(集計用!$G:$G,"*, "&amp;$C35&amp;",*"))</f>
        <v>16</v>
      </c>
      <c r="C35" s="36" t="s">
        <v>2246</v>
      </c>
      <c r="D35" s="29">
        <f>SUMIFS(集計用!$AI:$AI,集計用!$G:$G,"*, "&amp;$C35&amp;", *")/テーブル3[[#This Row],[n=]]</f>
        <v>11.8125</v>
      </c>
      <c r="E35" s="29">
        <f>(SUMIFS(集計用!$AI:$AI,集計用!$AE:$AE,"11-15")+SUMIFS(集計用!$AI:$AI,集計用!$AE:$AE,"16-20"))/(COUNTIFS(集計用!$AE:$AE,"11-15")+COUNTIFS(集計用!$AE:$AE,"16-20"))</f>
        <v>3.8775510204081631</v>
      </c>
      <c r="F35" s="29">
        <f>(SUMIFS(集計用!$AI:$AI, 集計用!$G:$G, "*, "&amp;$C35&amp;", *",集計用!$AE:$AE,F$3))/COUNTIFS(集計用!$G:$G, "*, "&amp;$C35&amp;", *",集計用!$AE:$AE,F$3)</f>
        <v>13.857142857142858</v>
      </c>
      <c r="G35" s="29" t="e">
        <f>(SUMIFS(集計用!$AI:$AI, 集計用!$G:$G, "*, "&amp;$C35&amp;", *",集計用!$AE:$AE,G$3))/COUNTIFS(集計用!$G:$G, "*, "&amp;$C35&amp;", *",集計用!$AE:$AE,G$3)</f>
        <v>#DIV/0!</v>
      </c>
      <c r="H35" s="29">
        <f>(SUMIFS(集計用!$AI:$AI, 集計用!$G:$G, "*, "&amp;$C35&amp;", *",集計用!$AE:$AE,H$3))/COUNTIFS(集計用!$G:$G, "*, "&amp;$C35&amp;", *",集計用!$AE:$AE,H$3)</f>
        <v>12.2</v>
      </c>
      <c r="I35" s="29" t="e">
        <f>(SUMIFS(集計用!$AI:$AI, 集計用!$G:$G, "*, "&amp;$C35&amp;", *",集計用!$AE:$AE,I$3))/COUNTIFS(集計用!$G:$G, "*, "&amp;$C35&amp;", *",集計用!$AE:$AE,I$3)</f>
        <v>#DIV/0!</v>
      </c>
      <c r="J35" s="29" t="e">
        <f>(SUMIFS(集計用!$AI:$AI, 集計用!$G:$G, "*, "&amp;$C35&amp;", *",集計用!$AE:$AE,J$3))/COUNTIFS(集計用!$G:$G, "*, "&amp;$C35&amp;", *",集計用!$AE:$AE,J$3)</f>
        <v>#DIV/0!</v>
      </c>
      <c r="K35" s="29">
        <f>(SUMIFS(集計用!$AI:$AI, 集計用!$G:$G, "*, "&amp;$C35&amp;", *",集計用!$AE:$AE,K$3))/COUNTIFS(集計用!$G:$G, "*, "&amp;$C35&amp;", *",集計用!$AE:$AE,K$3)</f>
        <v>5</v>
      </c>
      <c r="L35" s="29" t="e">
        <f>(SUMIFS(集計用!$AI:$AI, 集計用!$G:$G, "*, "&amp;$C35&amp;", *",集計用!$AE:$AE,L$3))/COUNTIFS(集計用!$G:$G, "*, "&amp;$C35&amp;", *",集計用!$AE:$AE,L$3)</f>
        <v>#DIV/0!</v>
      </c>
      <c r="M35" s="29">
        <f>(SUMIFS(集計用!$AI:$AI, 集計用!$G:$G, "*, "&amp;$C35&amp;", *",集計用!$AE:$AE,"56-60")+SUMIFS(集計用!$AI:$AI, 集計用!$G:$G, "*, "&amp;$C35&amp;", *",集計用!$AE:$AE,"61-65"))/(COUNTIFS(集計用!$G:$G, "*, "&amp;$C35&amp;", *",集計用!$AE:$AE,"56-60")+COUNTIFS(集計用!$G:$G, "*, "&amp;$C35&amp;", *",集計用!$AE:$AE,"61-65"))</f>
        <v>18</v>
      </c>
      <c r="N35" s="29" t="e">
        <f>(SUMIFS(集計用!$AI:$AI, 集計用!$G:$G, "*, "&amp;$C35&amp;", *",集計用!$AE:$AE,N$3))/COUNTIFS(集計用!$G:$G, "*, "&amp;$C35&amp;", *",集計用!$AE:$AE,N$3)</f>
        <v>#DIV/0!</v>
      </c>
      <c r="O35" s="2"/>
    </row>
    <row r="36" spans="1:15" ht="15.75" customHeight="1">
      <c r="A36" s="27">
        <v>4</v>
      </c>
      <c r="B36" s="27">
        <f>(COUNTIFS(集計用!$G:$G,"*, "&amp;$C36&amp;",*"))</f>
        <v>16</v>
      </c>
      <c r="C36" s="36" t="s">
        <v>32</v>
      </c>
      <c r="D36" s="29">
        <f>SUMIFS(集計用!$AI:$AI,集計用!$G:$G,"*, "&amp;$C36&amp;", *")/テーブル3[[#This Row],[n=]]</f>
        <v>10.875</v>
      </c>
      <c r="E36" s="29">
        <f>(SUMIFS(集計用!$AI:$AI,集計用!$AE:$AE,"11-15")+SUMIFS(集計用!$AI:$AI,集計用!$AE:$AE,"16-20"))/(COUNTIFS(集計用!$AE:$AE,"11-15")+COUNTIFS(集計用!$AE:$AE,"16-20"))</f>
        <v>3.8775510204081631</v>
      </c>
      <c r="F36" s="29">
        <f>(SUMIFS(集計用!$AI:$AI, 集計用!$G:$G, "*, "&amp;$C36&amp;", *",集計用!$AE:$AE,F$3))/COUNTIFS(集計用!$G:$G, "*, "&amp;$C36&amp;", *",集計用!$AE:$AE,F$3)</f>
        <v>19.5</v>
      </c>
      <c r="G36" s="29">
        <f>(SUMIFS(集計用!$AI:$AI, 集計用!$G:$G, "*, "&amp;$C36&amp;", *",集計用!$AE:$AE,G$3))/COUNTIFS(集計用!$G:$G, "*, "&amp;$C36&amp;", *",集計用!$AE:$AE,G$3)</f>
        <v>3</v>
      </c>
      <c r="H36" s="29">
        <f>(SUMIFS(集計用!$AI:$AI, 集計用!$G:$G, "*, "&amp;$C36&amp;", *",集計用!$AE:$AE,H$3))/COUNTIFS(集計用!$G:$G, "*, "&amp;$C36&amp;", *",集計用!$AE:$AE,H$3)</f>
        <v>10</v>
      </c>
      <c r="I36" s="29">
        <f>(SUMIFS(集計用!$AI:$AI, 集計用!$G:$G, "*, "&amp;$C36&amp;", *",集計用!$AE:$AE,I$3))/COUNTIFS(集計用!$G:$G, "*, "&amp;$C36&amp;", *",集計用!$AE:$AE,I$3)</f>
        <v>5</v>
      </c>
      <c r="J36" s="29" t="e">
        <f>(SUMIFS(集計用!$AI:$AI, 集計用!$G:$G, "*, "&amp;$C36&amp;", *",集計用!$AE:$AE,J$3))/COUNTIFS(集計用!$G:$G, "*, "&amp;$C36&amp;", *",集計用!$AE:$AE,J$3)</f>
        <v>#DIV/0!</v>
      </c>
      <c r="K36" s="29" t="e">
        <f>(SUMIFS(集計用!$AI:$AI, 集計用!$G:$G, "*, "&amp;$C36&amp;", *",集計用!$AE:$AE,K$3))/COUNTIFS(集計用!$G:$G, "*, "&amp;$C36&amp;", *",集計用!$AE:$AE,K$3)</f>
        <v>#DIV/0!</v>
      </c>
      <c r="L36" s="29">
        <f>(SUMIFS(集計用!$AI:$AI, 集計用!$G:$G, "*, "&amp;$C36&amp;", *",集計用!$AE:$AE,L$3))/COUNTIFS(集計用!$G:$G, "*, "&amp;$C36&amp;", *",集計用!$AE:$AE,L$3)</f>
        <v>5</v>
      </c>
      <c r="M36" s="29" t="e">
        <f>(SUMIFS(集計用!$AI:$AI, 集計用!$G:$G, "*, "&amp;$C36&amp;", *",集計用!$AE:$AE,"56-60")+SUMIFS(集計用!$AI:$AI, 集計用!$G:$G, "*, "&amp;$C36&amp;", *",集計用!$AE:$AE,"61-65"))/(COUNTIFS(集計用!$G:$G, "*, "&amp;$C36&amp;", *",集計用!$AE:$AE,"56-60")+COUNTIFS(集計用!$G:$G, "*, "&amp;$C36&amp;", *",集計用!$AE:$AE,"61-65"))</f>
        <v>#DIV/0!</v>
      </c>
      <c r="N36" s="29" t="e">
        <f>(SUMIFS(集計用!$AI:$AI, 集計用!$G:$G, "*, "&amp;$C36&amp;", *",集計用!$AE:$AE,N$3))/COUNTIFS(集計用!$G:$G, "*, "&amp;$C36&amp;", *",集計用!$AE:$AE,N$3)</f>
        <v>#DIV/0!</v>
      </c>
      <c r="O36" s="2"/>
    </row>
    <row r="37" spans="1:15" ht="15.75" customHeight="1">
      <c r="A37" s="27">
        <v>5</v>
      </c>
      <c r="B37" s="27">
        <f>(COUNTIFS(集計用!$G:$G,"*, "&amp;$C37&amp;",*"))</f>
        <v>16</v>
      </c>
      <c r="C37" s="36" t="s">
        <v>30</v>
      </c>
      <c r="D37" s="29">
        <f>SUMIFS(集計用!$AI:$AI,集計用!$G:$G,"*, "&amp;$C37&amp;", *")/テーブル3[[#This Row],[n=]]</f>
        <v>8.5625</v>
      </c>
      <c r="E37" s="29">
        <f>(SUMIFS(集計用!$AI:$AI,集計用!$AE:$AE,"11-15")+SUMIFS(集計用!$AI:$AI,集計用!$AE:$AE,"16-20"))/(COUNTIFS(集計用!$AE:$AE,"11-15")+COUNTIFS(集計用!$AE:$AE,"16-20"))</f>
        <v>3.8775510204081631</v>
      </c>
      <c r="F37" s="29">
        <f>(SUMIFS(集計用!$AI:$AI, 集計用!$G:$G, "*, "&amp;$C37&amp;", *",集計用!$AE:$AE,F$3))/COUNTIFS(集計用!$G:$G, "*, "&amp;$C37&amp;", *",集計用!$AE:$AE,F$3)</f>
        <v>17.25</v>
      </c>
      <c r="G37" s="29">
        <f>(SUMIFS(集計用!$AI:$AI, 集計用!$G:$G, "*, "&amp;$C37&amp;", *",集計用!$AE:$AE,G$3))/COUNTIFS(集計用!$G:$G, "*, "&amp;$C37&amp;", *",集計用!$AE:$AE,G$3)</f>
        <v>7.75</v>
      </c>
      <c r="H37" s="29">
        <f>(SUMIFS(集計用!$AI:$AI, 集計用!$G:$G, "*, "&amp;$C37&amp;", *",集計用!$AE:$AE,H$3))/COUNTIFS(集計用!$G:$G, "*, "&amp;$C37&amp;", *",集計用!$AE:$AE,H$3)</f>
        <v>4.333333333333333</v>
      </c>
      <c r="I37" s="29" t="e">
        <f>(SUMIFS(集計用!$AI:$AI, 集計用!$G:$G, "*, "&amp;$C37&amp;", *",集計用!$AE:$AE,I$3))/COUNTIFS(集計用!$G:$G, "*, "&amp;$C37&amp;", *",集計用!$AE:$AE,I$3)</f>
        <v>#DIV/0!</v>
      </c>
      <c r="J37" s="29">
        <f>(SUMIFS(集計用!$AI:$AI, 集計用!$G:$G, "*, "&amp;$C37&amp;", *",集計用!$AE:$AE,J$3))/COUNTIFS(集計用!$G:$G, "*, "&amp;$C37&amp;", *",集計用!$AE:$AE,J$3)</f>
        <v>5.333333333333333</v>
      </c>
      <c r="K37" s="29">
        <f>(SUMIFS(集計用!$AI:$AI, 集計用!$G:$G, "*, "&amp;$C37&amp;", *",集計用!$AE:$AE,K$3))/COUNTIFS(集計用!$G:$G, "*, "&amp;$C37&amp;", *",集計用!$AE:$AE,K$3)</f>
        <v>5</v>
      </c>
      <c r="L37" s="29" t="e">
        <f>(SUMIFS(集計用!$AI:$AI, 集計用!$G:$G, "*, "&amp;$C37&amp;", *",集計用!$AE:$AE,L$3))/COUNTIFS(集計用!$G:$G, "*, "&amp;$C37&amp;", *",集計用!$AE:$AE,L$3)</f>
        <v>#DIV/0!</v>
      </c>
      <c r="M37" s="29" t="e">
        <f>(SUMIFS(集計用!$AI:$AI, 集計用!$G:$G, "*, "&amp;$C37&amp;", *",集計用!$AE:$AE,"56-60")+SUMIFS(集計用!$AI:$AI, 集計用!$G:$G, "*, "&amp;$C37&amp;", *",集計用!$AE:$AE,"61-65"))/(COUNTIFS(集計用!$G:$G, "*, "&amp;$C37&amp;", *",集計用!$AE:$AE,"56-60")+COUNTIFS(集計用!$G:$G, "*, "&amp;$C37&amp;", *",集計用!$AE:$AE,"61-65"))</f>
        <v>#DIV/0!</v>
      </c>
      <c r="N37" s="29" t="e">
        <f>(SUMIFS(集計用!$AI:$AI, 集計用!$G:$G, "*, "&amp;$C37&amp;", *",集計用!$AE:$AE,N$3))/COUNTIFS(集計用!$G:$G, "*, "&amp;$C37&amp;", *",集計用!$AE:$AE,N$3)</f>
        <v>#DIV/0!</v>
      </c>
      <c r="O37" s="2"/>
    </row>
    <row r="38" spans="1:15" ht="12.75">
      <c r="A38" s="27">
        <v>4</v>
      </c>
      <c r="B38" s="27">
        <f>(COUNTIFS(集計用!$G:$G,"*, "&amp;$C38&amp;",*"))</f>
        <v>15</v>
      </c>
      <c r="C38" s="36" t="s">
        <v>33</v>
      </c>
      <c r="D38" s="29">
        <f>SUMIFS(集計用!$AI:$AI,集計用!$G:$G,"*, "&amp;$C38&amp;", *")/テーブル3[[#This Row],[n=]]</f>
        <v>13.533333333333333</v>
      </c>
      <c r="E38" s="29">
        <f>(SUMIFS(集計用!$AI:$AI,集計用!$AE:$AE,"11-15")+SUMIFS(集計用!$AI:$AI,集計用!$AE:$AE,"16-20"))/(COUNTIFS(集計用!$AE:$AE,"11-15")+COUNTIFS(集計用!$AE:$AE,"16-20"))</f>
        <v>3.8775510204081631</v>
      </c>
      <c r="F38" s="29">
        <f>(SUMIFS(集計用!$AI:$AI, 集計用!$G:$G, "*, "&amp;$C38&amp;", *",集計用!$AE:$AE,F$3))/COUNTIFS(集計用!$G:$G, "*, "&amp;$C38&amp;", *",集計用!$AE:$AE,F$3)</f>
        <v>14</v>
      </c>
      <c r="G38" s="29" t="e">
        <f>(SUMIFS(集計用!$AI:$AI, 集計用!$G:$G, "*, "&amp;$C38&amp;", *",集計用!$AE:$AE,G$3))/COUNTIFS(集計用!$G:$G, "*, "&amp;$C38&amp;", *",集計用!$AE:$AE,G$3)</f>
        <v>#DIV/0!</v>
      </c>
      <c r="H38" s="29">
        <f>(SUMIFS(集計用!$AI:$AI, 集計用!$G:$G, "*, "&amp;$C38&amp;", *",集計用!$AE:$AE,H$3))/COUNTIFS(集計用!$G:$G, "*, "&amp;$C38&amp;", *",集計用!$AE:$AE,H$3)</f>
        <v>12.833333333333334</v>
      </c>
      <c r="I38" s="29" t="e">
        <f>(SUMIFS(集計用!$AI:$AI, 集計用!$G:$G, "*, "&amp;$C38&amp;", *",集計用!$AE:$AE,I$3))/COUNTIFS(集計用!$G:$G, "*, "&amp;$C38&amp;", *",集計用!$AE:$AE,I$3)</f>
        <v>#DIV/0!</v>
      </c>
      <c r="J38" s="29" t="e">
        <f>(SUMIFS(集計用!$AI:$AI, 集計用!$G:$G, "*, "&amp;$C38&amp;", *",集計用!$AE:$AE,J$3))/COUNTIFS(集計用!$G:$G, "*, "&amp;$C38&amp;", *",集計用!$AE:$AE,J$3)</f>
        <v>#DIV/0!</v>
      </c>
      <c r="K38" s="29" t="e">
        <f>(SUMIFS(集計用!$AI:$AI, 集計用!$G:$G, "*, "&amp;$C38&amp;", *",集計用!$AE:$AE,K$3))/COUNTIFS(集計用!$G:$G, "*, "&amp;$C38&amp;", *",集計用!$AE:$AE,K$3)</f>
        <v>#DIV/0!</v>
      </c>
      <c r="L38" s="29" t="e">
        <f>(SUMIFS(集計用!$AI:$AI, 集計用!$G:$G, "*, "&amp;$C38&amp;", *",集計用!$AE:$AE,L$3))/COUNTIFS(集計用!$G:$G, "*, "&amp;$C38&amp;", *",集計用!$AE:$AE,L$3)</f>
        <v>#DIV/0!</v>
      </c>
      <c r="M38" s="29" t="e">
        <f>(SUMIFS(集計用!$AI:$AI, 集計用!$G:$G, "*, "&amp;$C38&amp;", *",集計用!$AE:$AE,"56-60")+SUMIFS(集計用!$AI:$AI, 集計用!$G:$G, "*, "&amp;$C38&amp;", *",集計用!$AE:$AE,"61-65"))/(COUNTIFS(集計用!$G:$G, "*, "&amp;$C38&amp;", *",集計用!$AE:$AE,"56-60")+COUNTIFS(集計用!$G:$G, "*, "&amp;$C38&amp;", *",集計用!$AE:$AE,"61-65"))</f>
        <v>#DIV/0!</v>
      </c>
      <c r="N38" s="29" t="e">
        <f>(SUMIFS(集計用!$AI:$AI, 集計用!$G:$G, "*, "&amp;$C38&amp;", *",集計用!$AE:$AE,N$3))/COUNTIFS(集計用!$G:$G, "*, "&amp;$C38&amp;", *",集計用!$AE:$AE,N$3)</f>
        <v>#DIV/0!</v>
      </c>
      <c r="O38" s="2"/>
    </row>
    <row r="39" spans="1:15" ht="12.75">
      <c r="A39" s="27">
        <v>5</v>
      </c>
      <c r="B39" s="27">
        <f>(COUNTIFS(集計用!$G:$G,"*, "&amp;$C39&amp;",*"))</f>
        <v>15</v>
      </c>
      <c r="C39" s="36" t="s">
        <v>34</v>
      </c>
      <c r="D39" s="29">
        <f>SUMIFS(集計用!$AI:$AI,集計用!$G:$G,"*, "&amp;$C39&amp;", *")/テーブル3[[#This Row],[n=]]</f>
        <v>11.333333333333334</v>
      </c>
      <c r="E39" s="29">
        <f>(SUMIFS(集計用!$AI:$AI,集計用!$AE:$AE,"11-15")+SUMIFS(集計用!$AI:$AI,集計用!$AE:$AE,"16-20"))/(COUNTIFS(集計用!$AE:$AE,"11-15")+COUNTIFS(集計用!$AE:$AE,"16-20"))</f>
        <v>3.8775510204081631</v>
      </c>
      <c r="F39" s="29">
        <f>(SUMIFS(集計用!$AI:$AI, 集計用!$G:$G, "*, "&amp;$C39&amp;", *",集計用!$AE:$AE,F$3))/COUNTIFS(集計用!$G:$G, "*, "&amp;$C39&amp;", *",集計用!$AE:$AE,F$3)</f>
        <v>20.5</v>
      </c>
      <c r="G39" s="29">
        <f>(SUMIFS(集計用!$AI:$AI, 集計用!$G:$G, "*, "&amp;$C39&amp;", *",集計用!$AE:$AE,G$3))/COUNTIFS(集計用!$G:$G, "*, "&amp;$C39&amp;", *",集計用!$AE:$AE,G$3)</f>
        <v>6</v>
      </c>
      <c r="H39" s="29">
        <f>(SUMIFS(集計用!$AI:$AI, 集計用!$G:$G, "*, "&amp;$C39&amp;", *",集計用!$AE:$AE,H$3))/COUNTIFS(集計用!$G:$G, "*, "&amp;$C39&amp;", *",集計用!$AE:$AE,H$3)</f>
        <v>8.6</v>
      </c>
      <c r="I39" s="29">
        <f>(SUMIFS(集計用!$AI:$AI, 集計用!$G:$G, "*, "&amp;$C39&amp;", *",集計用!$AE:$AE,I$3))/COUNTIFS(集計用!$G:$G, "*, "&amp;$C39&amp;", *",集計用!$AE:$AE,I$3)</f>
        <v>9</v>
      </c>
      <c r="J39" s="29" t="e">
        <f>(SUMIFS(集計用!$AI:$AI, 集計用!$G:$G, "*, "&amp;$C39&amp;", *",集計用!$AE:$AE,J$3))/COUNTIFS(集計用!$G:$G, "*, "&amp;$C39&amp;", *",集計用!$AE:$AE,J$3)</f>
        <v>#DIV/0!</v>
      </c>
      <c r="K39" s="29">
        <f>(SUMIFS(集計用!$AI:$AI, 集計用!$G:$G, "*, "&amp;$C39&amp;", *",集計用!$AE:$AE,K$3))/COUNTIFS(集計用!$G:$G, "*, "&amp;$C39&amp;", *",集計用!$AE:$AE,K$3)</f>
        <v>8</v>
      </c>
      <c r="L39" s="29">
        <f>(SUMIFS(集計用!$AI:$AI, 集計用!$G:$G, "*, "&amp;$C39&amp;", *",集計用!$AE:$AE,L$3))/COUNTIFS(集計用!$G:$G, "*, "&amp;$C39&amp;", *",集計用!$AE:$AE,L$3)</f>
        <v>1</v>
      </c>
      <c r="M39" s="29">
        <f>(SUMIFS(集計用!$AI:$AI, 集計用!$G:$G, "*, "&amp;$C39&amp;", *",集計用!$AE:$AE,"56-60")+SUMIFS(集計用!$AI:$AI, 集計用!$G:$G, "*, "&amp;$C39&amp;", *",集計用!$AE:$AE,"61-65"))/(COUNTIFS(集計用!$G:$G, "*, "&amp;$C39&amp;", *",集計用!$AE:$AE,"56-60")+COUNTIFS(集計用!$G:$G, "*, "&amp;$C39&amp;", *",集計用!$AE:$AE,"61-65"))</f>
        <v>13</v>
      </c>
      <c r="N39" s="29" t="e">
        <f>(SUMIFS(集計用!$AI:$AI, 集計用!$G:$G, "*, "&amp;$C39&amp;", *",集計用!$AE:$AE,N$3))/COUNTIFS(集計用!$G:$G, "*, "&amp;$C39&amp;", *",集計用!$AE:$AE,N$3)</f>
        <v>#DIV/0!</v>
      </c>
      <c r="O39" s="2"/>
    </row>
    <row r="40" spans="1:15" ht="12.75">
      <c r="A40" s="27">
        <v>5</v>
      </c>
      <c r="B40" s="27">
        <f>(COUNTIFS(集計用!$G:$G,"*, "&amp;$C40&amp;",*"))</f>
        <v>15</v>
      </c>
      <c r="C40" s="36" t="s">
        <v>35</v>
      </c>
      <c r="D40" s="29">
        <f>SUMIFS(集計用!$AI:$AI,集計用!$G:$G,"*, "&amp;$C40&amp;", *")/テーブル3[[#This Row],[n=]]</f>
        <v>10.133333333333333</v>
      </c>
      <c r="E40" s="29">
        <f>(SUMIFS(集計用!$AI:$AI,集計用!$AE:$AE,"11-15")+SUMIFS(集計用!$AI:$AI,集計用!$AE:$AE,"16-20"))/(COUNTIFS(集計用!$AE:$AE,"11-15")+COUNTIFS(集計用!$AE:$AE,"16-20"))</f>
        <v>3.8775510204081631</v>
      </c>
      <c r="F40" s="29">
        <f>(SUMIFS(集計用!$AI:$AI, 集計用!$G:$G, "*, "&amp;$C40&amp;", *",集計用!$AE:$AE,F$3))/COUNTIFS(集計用!$G:$G, "*, "&amp;$C40&amp;", *",集計用!$AE:$AE,F$3)</f>
        <v>24</v>
      </c>
      <c r="G40" s="29">
        <f>(SUMIFS(集計用!$AI:$AI, 集計用!$G:$G, "*, "&amp;$C40&amp;", *",集計用!$AE:$AE,G$3))/COUNTIFS(集計用!$G:$G, "*, "&amp;$C40&amp;", *",集計用!$AE:$AE,G$3)</f>
        <v>6</v>
      </c>
      <c r="H40" s="29">
        <f>(SUMIFS(集計用!$AI:$AI, 集計用!$G:$G, "*, "&amp;$C40&amp;", *",集計用!$AE:$AE,H$3))/COUNTIFS(集計用!$G:$G, "*, "&amp;$C40&amp;", *",集計用!$AE:$AE,H$3)</f>
        <v>9</v>
      </c>
      <c r="I40" s="29">
        <f>(SUMIFS(集計用!$AI:$AI, 集計用!$G:$G, "*, "&amp;$C40&amp;", *",集計用!$AE:$AE,I$3))/COUNTIFS(集計用!$G:$G, "*, "&amp;$C40&amp;", *",集計用!$AE:$AE,I$3)</f>
        <v>3</v>
      </c>
      <c r="J40" s="29">
        <f>(SUMIFS(集計用!$AI:$AI, 集計用!$G:$G, "*, "&amp;$C40&amp;", *",集計用!$AE:$AE,J$3))/COUNTIFS(集計用!$G:$G, "*, "&amp;$C40&amp;", *",集計用!$AE:$AE,J$3)</f>
        <v>6</v>
      </c>
      <c r="K40" s="29">
        <f>(SUMIFS(集計用!$AI:$AI, 集計用!$G:$G, "*, "&amp;$C40&amp;", *",集計用!$AE:$AE,K$3))/COUNTIFS(集計用!$G:$G, "*, "&amp;$C40&amp;", *",集計用!$AE:$AE,K$3)</f>
        <v>6.666666666666667</v>
      </c>
      <c r="L40" s="29">
        <f>(SUMIFS(集計用!$AI:$AI, 集計用!$G:$G, "*, "&amp;$C40&amp;", *",集計用!$AE:$AE,L$3))/COUNTIFS(集計用!$G:$G, "*, "&amp;$C40&amp;", *",集計用!$AE:$AE,L$3)</f>
        <v>10</v>
      </c>
      <c r="M40" s="29">
        <f>(SUMIFS(集計用!$AI:$AI, 集計用!$G:$G, "*, "&amp;$C40&amp;", *",集計用!$AE:$AE,"56-60")+SUMIFS(集計用!$AI:$AI, 集計用!$G:$G, "*, "&amp;$C40&amp;", *",集計用!$AE:$AE,"61-65"))/(COUNTIFS(集計用!$G:$G, "*, "&amp;$C40&amp;", *",集計用!$AE:$AE,"56-60")+COUNTIFS(集計用!$G:$G, "*, "&amp;$C40&amp;", *",集計用!$AE:$AE,"61-65"))</f>
        <v>6.5</v>
      </c>
      <c r="N40" s="29" t="e">
        <f>(SUMIFS(集計用!$AI:$AI, 集計用!$G:$G, "*, "&amp;$C40&amp;", *",集計用!$AE:$AE,N$3))/COUNTIFS(集計用!$G:$G, "*, "&amp;$C40&amp;", *",集計用!$AE:$AE,N$3)</f>
        <v>#DIV/0!</v>
      </c>
      <c r="O40" s="2"/>
    </row>
    <row r="41" spans="1:15" ht="12.75">
      <c r="A41" s="27">
        <v>4</v>
      </c>
      <c r="B41" s="27">
        <f>(COUNTIFS(集計用!$G:$G,"*, "&amp;$C41&amp;",*"))</f>
        <v>13</v>
      </c>
      <c r="C41" s="36" t="s">
        <v>36</v>
      </c>
      <c r="D41" s="29">
        <f>SUMIFS(集計用!$AI:$AI,集計用!$G:$G,"*, "&amp;$C41&amp;", *")/テーブル3[[#This Row],[n=]]</f>
        <v>12.307692307692308</v>
      </c>
      <c r="E41" s="29">
        <f>(SUMIFS(集計用!$AI:$AI,集計用!$AE:$AE,"11-15")+SUMIFS(集計用!$AI:$AI,集計用!$AE:$AE,"16-20"))/(COUNTIFS(集計用!$AE:$AE,"11-15")+COUNTIFS(集計用!$AE:$AE,"16-20"))</f>
        <v>3.8775510204081631</v>
      </c>
      <c r="F41" s="29">
        <f>(SUMIFS(集計用!$AI:$AI, 集計用!$G:$G, "*, "&amp;$C41&amp;", *",集計用!$AE:$AE,F$3))/COUNTIFS(集計用!$G:$G, "*, "&amp;$C41&amp;", *",集計用!$AE:$AE,F$3)</f>
        <v>13</v>
      </c>
      <c r="G41" s="29" t="e">
        <f>(SUMIFS(集計用!$AI:$AI, 集計用!$G:$G, "*, "&amp;$C41&amp;", *",集計用!$AE:$AE,G$3))/COUNTIFS(集計用!$G:$G, "*, "&amp;$C41&amp;", *",集計用!$AE:$AE,G$3)</f>
        <v>#DIV/0!</v>
      </c>
      <c r="H41" s="29">
        <f>(SUMIFS(集計用!$AI:$AI, 集計用!$G:$G, "*, "&amp;$C41&amp;", *",集計用!$AE:$AE,H$3))/COUNTIFS(集計用!$G:$G, "*, "&amp;$C41&amp;", *",集計用!$AE:$AE,H$3)</f>
        <v>13</v>
      </c>
      <c r="I41" s="29" t="e">
        <f>(SUMIFS(集計用!$AI:$AI, 集計用!$G:$G, "*, "&amp;$C41&amp;", *",集計用!$AE:$AE,I$3))/COUNTIFS(集計用!$G:$G, "*, "&amp;$C41&amp;", *",集計用!$AE:$AE,I$3)</f>
        <v>#DIV/0!</v>
      </c>
      <c r="J41" s="29" t="e">
        <f>(SUMIFS(集計用!$AI:$AI, 集計用!$G:$G, "*, "&amp;$C41&amp;", *",集計用!$AE:$AE,J$3))/COUNTIFS(集計用!$G:$G, "*, "&amp;$C41&amp;", *",集計用!$AE:$AE,J$3)</f>
        <v>#DIV/0!</v>
      </c>
      <c r="K41" s="29">
        <f>(SUMIFS(集計用!$AI:$AI, 集計用!$G:$G, "*, "&amp;$C41&amp;", *",集計用!$AE:$AE,K$3))/COUNTIFS(集計用!$G:$G, "*, "&amp;$C41&amp;", *",集計用!$AE:$AE,K$3)</f>
        <v>6</v>
      </c>
      <c r="L41" s="29" t="e">
        <f>(SUMIFS(集計用!$AI:$AI, 集計用!$G:$G, "*, "&amp;$C41&amp;", *",集計用!$AE:$AE,L$3))/COUNTIFS(集計用!$G:$G, "*, "&amp;$C41&amp;", *",集計用!$AE:$AE,L$3)</f>
        <v>#DIV/0!</v>
      </c>
      <c r="M41" s="29">
        <f>(SUMIFS(集計用!$AI:$AI, 集計用!$G:$G, "*, "&amp;$C41&amp;", *",集計用!$AE:$AE,"56-60")+SUMIFS(集計用!$AI:$AI, 集計用!$G:$G, "*, "&amp;$C41&amp;", *",集計用!$AE:$AE,"61-65"))/(COUNTIFS(集計用!$G:$G, "*, "&amp;$C41&amp;", *",集計用!$AE:$AE,"56-60")+COUNTIFS(集計用!$G:$G, "*, "&amp;$C41&amp;", *",集計用!$AE:$AE,"61-65"))</f>
        <v>5</v>
      </c>
      <c r="N41" s="29" t="e">
        <f>(SUMIFS(集計用!$AI:$AI, 集計用!$G:$G, "*, "&amp;$C41&amp;", *",集計用!$AE:$AE,N$3))/COUNTIFS(集計用!$G:$G, "*, "&amp;$C41&amp;", *",集計用!$AE:$AE,N$3)</f>
        <v>#DIV/0!</v>
      </c>
      <c r="O41" s="2"/>
    </row>
    <row r="42" spans="1:15" ht="12.75">
      <c r="A42" s="27">
        <v>4</v>
      </c>
      <c r="B42" s="27">
        <f>(COUNTIFS(集計用!$G:$G,"*, "&amp;$C42&amp;",*"))</f>
        <v>13</v>
      </c>
      <c r="C42" s="36" t="s">
        <v>37</v>
      </c>
      <c r="D42" s="29">
        <f>SUMIFS(集計用!$AI:$AI,集計用!$G:$G,"*, "&amp;$C42&amp;", *")/テーブル3[[#This Row],[n=]]</f>
        <v>11.615384615384615</v>
      </c>
      <c r="E42" s="29">
        <f>(SUMIFS(集計用!$AI:$AI,集計用!$AE:$AE,"11-15")+SUMIFS(集計用!$AI:$AI,集計用!$AE:$AE,"16-20"))/(COUNTIFS(集計用!$AE:$AE,"11-15")+COUNTIFS(集計用!$AE:$AE,"16-20"))</f>
        <v>3.8775510204081631</v>
      </c>
      <c r="F42" s="29">
        <f>(SUMIFS(集計用!$AI:$AI, 集計用!$G:$G, "*, "&amp;$C42&amp;", *",集計用!$AE:$AE,F$3))/COUNTIFS(集計用!$G:$G, "*, "&amp;$C42&amp;", *",集計用!$AE:$AE,F$3)</f>
        <v>15.333333333333334</v>
      </c>
      <c r="G42" s="29">
        <f>(SUMIFS(集計用!$AI:$AI, 集計用!$G:$G, "*, "&amp;$C42&amp;", *",集計用!$AE:$AE,G$3))/COUNTIFS(集計用!$G:$G, "*, "&amp;$C42&amp;", *",集計用!$AE:$AE,G$3)</f>
        <v>9</v>
      </c>
      <c r="H42" s="29">
        <f>(SUMIFS(集計用!$AI:$AI, 集計用!$G:$G, "*, "&amp;$C42&amp;", *",集計用!$AE:$AE,H$3))/COUNTIFS(集計用!$G:$G, "*, "&amp;$C42&amp;", *",集計用!$AE:$AE,H$3)</f>
        <v>10.666666666666666</v>
      </c>
      <c r="I42" s="29" t="e">
        <f>(SUMIFS(集計用!$AI:$AI, 集計用!$G:$G, "*, "&amp;$C42&amp;", *",集計用!$AE:$AE,I$3))/COUNTIFS(集計用!$G:$G, "*, "&amp;$C42&amp;", *",集計用!$AE:$AE,I$3)</f>
        <v>#DIV/0!</v>
      </c>
      <c r="J42" s="29" t="e">
        <f>(SUMIFS(集計用!$AI:$AI, 集計用!$G:$G, "*, "&amp;$C42&amp;", *",集計用!$AE:$AE,J$3))/COUNTIFS(集計用!$G:$G, "*, "&amp;$C42&amp;", *",集計用!$AE:$AE,J$3)</f>
        <v>#DIV/0!</v>
      </c>
      <c r="K42" s="29">
        <f>(SUMIFS(集計用!$AI:$AI, 集計用!$G:$G, "*, "&amp;$C42&amp;", *",集計用!$AE:$AE,K$3))/COUNTIFS(集計用!$G:$G, "*, "&amp;$C42&amp;", *",集計用!$AE:$AE,K$3)</f>
        <v>6</v>
      </c>
      <c r="L42" s="29">
        <f>(SUMIFS(集計用!$AI:$AI, 集計用!$G:$G, "*, "&amp;$C42&amp;", *",集計用!$AE:$AE,L$3))/COUNTIFS(集計用!$G:$G, "*, "&amp;$C42&amp;", *",集計用!$AE:$AE,L$3)</f>
        <v>9</v>
      </c>
      <c r="M42" s="29" t="e">
        <f>(SUMIFS(集計用!$AI:$AI, 集計用!$G:$G, "*, "&amp;$C42&amp;", *",集計用!$AE:$AE,"56-60")+SUMIFS(集計用!$AI:$AI, 集計用!$G:$G, "*, "&amp;$C42&amp;", *",集計用!$AE:$AE,"61-65"))/(COUNTIFS(集計用!$G:$G, "*, "&amp;$C42&amp;", *",集計用!$AE:$AE,"56-60")+COUNTIFS(集計用!$G:$G, "*, "&amp;$C42&amp;", *",集計用!$AE:$AE,"61-65"))</f>
        <v>#DIV/0!</v>
      </c>
      <c r="N42" s="29" t="e">
        <f>(SUMIFS(集計用!$AI:$AI, 集計用!$G:$G, "*, "&amp;$C42&amp;", *",集計用!$AE:$AE,N$3))/COUNTIFS(集計用!$G:$G, "*, "&amp;$C42&amp;", *",集計用!$AE:$AE,N$3)</f>
        <v>#DIV/0!</v>
      </c>
      <c r="O42" s="2"/>
    </row>
    <row r="43" spans="1:15" ht="12.75">
      <c r="A43" s="27">
        <v>5</v>
      </c>
      <c r="B43" s="27">
        <f>(COUNTIFS(集計用!$G:$G,"*, "&amp;$C43&amp;",*"))</f>
        <v>12</v>
      </c>
      <c r="C43" s="36" t="s">
        <v>39</v>
      </c>
      <c r="D43" s="29">
        <f>SUMIFS(集計用!$AI:$AI,集計用!$G:$G,"*, "&amp;$C43&amp;", *")/テーブル3[[#This Row],[n=]]</f>
        <v>13.75</v>
      </c>
      <c r="E43" s="29">
        <f>(SUMIFS(集計用!$AI:$AI,集計用!$AE:$AE,"11-15")+SUMIFS(集計用!$AI:$AI,集計用!$AE:$AE,"16-20"))/(COUNTIFS(集計用!$AE:$AE,"11-15")+COUNTIFS(集計用!$AE:$AE,"16-20"))</f>
        <v>3.8775510204081631</v>
      </c>
      <c r="F43" s="29">
        <f>(SUMIFS(集計用!$AI:$AI, 集計用!$G:$G, "*, "&amp;$C43&amp;", *",集計用!$AE:$AE,F$3))/COUNTIFS(集計用!$G:$G, "*, "&amp;$C43&amp;", *",集計用!$AE:$AE,F$3)</f>
        <v>20</v>
      </c>
      <c r="G43" s="29" t="e">
        <f>(SUMIFS(集計用!$AI:$AI, 集計用!$G:$G, "*, "&amp;$C43&amp;", *",集計用!$AE:$AE,G$3))/COUNTIFS(集計用!$G:$G, "*, "&amp;$C43&amp;", *",集計用!$AE:$AE,G$3)</f>
        <v>#DIV/0!</v>
      </c>
      <c r="H43" s="29">
        <f>(SUMIFS(集計用!$AI:$AI, 集計用!$G:$G, "*, "&amp;$C43&amp;", *",集計用!$AE:$AE,H$3))/COUNTIFS(集計用!$G:$G, "*, "&amp;$C43&amp;", *",集計用!$AE:$AE,H$3)</f>
        <v>13</v>
      </c>
      <c r="I43" s="29" t="e">
        <f>(SUMIFS(集計用!$AI:$AI, 集計用!$G:$G, "*, "&amp;$C43&amp;", *",集計用!$AE:$AE,I$3))/COUNTIFS(集計用!$G:$G, "*, "&amp;$C43&amp;", *",集計用!$AE:$AE,I$3)</f>
        <v>#DIV/0!</v>
      </c>
      <c r="J43" s="29" t="e">
        <f>(SUMIFS(集計用!$AI:$AI, 集計用!$G:$G, "*, "&amp;$C43&amp;", *",集計用!$AE:$AE,J$3))/COUNTIFS(集計用!$G:$G, "*, "&amp;$C43&amp;", *",集計用!$AE:$AE,J$3)</f>
        <v>#DIV/0!</v>
      </c>
      <c r="K43" s="29">
        <f>(SUMIFS(集計用!$AI:$AI, 集計用!$G:$G, "*, "&amp;$C43&amp;", *",集計用!$AE:$AE,K$3))/COUNTIFS(集計用!$G:$G, "*, "&amp;$C43&amp;", *",集計用!$AE:$AE,K$3)</f>
        <v>8</v>
      </c>
      <c r="L43" s="29">
        <f>(SUMIFS(集計用!$AI:$AI, 集計用!$G:$G, "*, "&amp;$C43&amp;", *",集計用!$AE:$AE,L$3))/COUNTIFS(集計用!$G:$G, "*, "&amp;$C43&amp;", *",集計用!$AE:$AE,L$3)</f>
        <v>10</v>
      </c>
      <c r="M43" s="29">
        <f>(SUMIFS(集計用!$AI:$AI, 集計用!$G:$G, "*, "&amp;$C43&amp;", *",集計用!$AE:$AE,"56-60")+SUMIFS(集計用!$AI:$AI, 集計用!$G:$G, "*, "&amp;$C43&amp;", *",集計用!$AE:$AE,"61-65"))/(COUNTIFS(集計用!$G:$G, "*, "&amp;$C43&amp;", *",集計用!$AE:$AE,"56-60")+COUNTIFS(集計用!$G:$G, "*, "&amp;$C43&amp;", *",集計用!$AE:$AE,"61-65"))</f>
        <v>7</v>
      </c>
      <c r="N43" s="29" t="e">
        <f>(SUMIFS(集計用!$AI:$AI, 集計用!$G:$G, "*, "&amp;$C43&amp;", *",集計用!$AE:$AE,N$3))/COUNTIFS(集計用!$G:$G, "*, "&amp;$C43&amp;", *",集計用!$AE:$AE,N$3)</f>
        <v>#DIV/0!</v>
      </c>
      <c r="O43" s="2"/>
    </row>
    <row r="44" spans="1:15" ht="14.25" customHeight="1">
      <c r="A44" s="27">
        <v>5</v>
      </c>
      <c r="B44" s="27">
        <f>(COUNTIFS(集計用!$G:$G,"*, "&amp;$C44&amp;",*"))</f>
        <v>12</v>
      </c>
      <c r="C44" s="36" t="s">
        <v>38</v>
      </c>
      <c r="D44" s="29">
        <f>SUMIFS(集計用!$AI:$AI,集計用!$G:$G,"*, "&amp;$C44&amp;", *")/テーブル3[[#This Row],[n=]]</f>
        <v>9.3333333333333339</v>
      </c>
      <c r="E44" s="29">
        <f>(SUMIFS(集計用!$AI:$AI,集計用!$AE:$AE,"11-15")+SUMIFS(集計用!$AI:$AI,集計用!$AE:$AE,"16-20"))/(COUNTIFS(集計用!$AE:$AE,"11-15")+COUNTIFS(集計用!$AE:$AE,"16-20"))</f>
        <v>3.8775510204081631</v>
      </c>
      <c r="F44" s="29">
        <f>(SUMIFS(集計用!$AI:$AI, 集計用!$G:$G, "*, "&amp;$C44&amp;", *",集計用!$AE:$AE,F$3))/COUNTIFS(集計用!$G:$G, "*, "&amp;$C44&amp;", *",集計用!$AE:$AE,F$3)</f>
        <v>17.25</v>
      </c>
      <c r="G44" s="29">
        <f>(SUMIFS(集計用!$AI:$AI, 集計用!$G:$G, "*, "&amp;$C44&amp;", *",集計用!$AE:$AE,G$3))/COUNTIFS(集計用!$G:$G, "*, "&amp;$C44&amp;", *",集計用!$AE:$AE,G$3)</f>
        <v>7</v>
      </c>
      <c r="H44" s="29">
        <f>(SUMIFS(集計用!$AI:$AI, 集計用!$G:$G, "*, "&amp;$C44&amp;", *",集計用!$AE:$AE,H$3))/COUNTIFS(集計用!$G:$G, "*, "&amp;$C44&amp;", *",集計用!$AE:$AE,H$3)</f>
        <v>2.5</v>
      </c>
      <c r="I44" s="29" t="e">
        <f>(SUMIFS(集計用!$AI:$AI, 集計用!$G:$G, "*, "&amp;$C44&amp;", *",集計用!$AE:$AE,I$3))/COUNTIFS(集計用!$G:$G, "*, "&amp;$C44&amp;", *",集計用!$AE:$AE,I$3)</f>
        <v>#DIV/0!</v>
      </c>
      <c r="J44" s="29" t="e">
        <f>(SUMIFS(集計用!$AI:$AI, 集計用!$G:$G, "*, "&amp;$C44&amp;", *",集計用!$AE:$AE,J$3))/COUNTIFS(集計用!$G:$G, "*, "&amp;$C44&amp;", *",集計用!$AE:$AE,J$3)</f>
        <v>#DIV/0!</v>
      </c>
      <c r="K44" s="29" t="e">
        <f>(SUMIFS(集計用!$AI:$AI, 集計用!$G:$G, "*, "&amp;$C44&amp;", *",集計用!$AE:$AE,K$3))/COUNTIFS(集計用!$G:$G, "*, "&amp;$C44&amp;", *",集計用!$AE:$AE,K$3)</f>
        <v>#DIV/0!</v>
      </c>
      <c r="L44" s="29" t="e">
        <f>(SUMIFS(集計用!$AI:$AI, 集計用!$G:$G, "*, "&amp;$C44&amp;", *",集計用!$AE:$AE,L$3))/COUNTIFS(集計用!$G:$G, "*, "&amp;$C44&amp;", *",集計用!$AE:$AE,L$3)</f>
        <v>#DIV/0!</v>
      </c>
      <c r="M44" s="29" t="e">
        <f>(SUMIFS(集計用!$AI:$AI, 集計用!$G:$G, "*, "&amp;$C44&amp;", *",集計用!$AE:$AE,"56-60")+SUMIFS(集計用!$AI:$AI, 集計用!$G:$G, "*, "&amp;$C44&amp;", *",集計用!$AE:$AE,"61-65"))/(COUNTIFS(集計用!$G:$G, "*, "&amp;$C44&amp;", *",集計用!$AE:$AE,"56-60")+COUNTIFS(集計用!$G:$G, "*, "&amp;$C44&amp;", *",集計用!$AE:$AE,"61-65"))</f>
        <v>#DIV/0!</v>
      </c>
      <c r="N44" s="29" t="e">
        <f>(SUMIFS(集計用!$AI:$AI, 集計用!$G:$G, "*, "&amp;$C44&amp;", *",集計用!$AE:$AE,N$3))/COUNTIFS(集計用!$G:$G, "*, "&amp;$C44&amp;", *",集計用!$AE:$AE,N$3)</f>
        <v>#DIV/0!</v>
      </c>
      <c r="O44" s="2"/>
    </row>
    <row r="45" spans="1:15" ht="14.25" customHeight="1">
      <c r="A45" s="27">
        <v>4</v>
      </c>
      <c r="B45" s="27">
        <f>(COUNTIFS(集計用!$G:$G,"*, "&amp;$C45&amp;",*"))</f>
        <v>9</v>
      </c>
      <c r="C45" s="36" t="s">
        <v>40</v>
      </c>
      <c r="D45" s="29">
        <f>SUMIFS(集計用!$AI:$AI,集計用!$G:$G,"*, "&amp;$C45&amp;", *")/テーブル3[[#This Row],[n=]]</f>
        <v>16.888888888888889</v>
      </c>
      <c r="E45" s="29">
        <f>(SUMIFS(集計用!$AI:$AI,集計用!$AE:$AE,"11-15")+SUMIFS(集計用!$AI:$AI,集計用!$AE:$AE,"16-20"))/(COUNTIFS(集計用!$AE:$AE,"11-15")+COUNTIFS(集計用!$AE:$AE,"16-20"))</f>
        <v>3.8775510204081631</v>
      </c>
      <c r="F45" s="29">
        <f>(SUMIFS(集計用!$AI:$AI, 集計用!$G:$G, "*, "&amp;$C45&amp;", *",集計用!$AE:$AE,F$3))/COUNTIFS(集計用!$G:$G, "*, "&amp;$C45&amp;", *",集計用!$AE:$AE,F$3)</f>
        <v>19.5</v>
      </c>
      <c r="G45" s="29" t="e">
        <f>(SUMIFS(集計用!$AI:$AI, 集計用!$G:$G, "*, "&amp;$C45&amp;", *",集計用!$AE:$AE,G$3))/COUNTIFS(集計用!$G:$G, "*, "&amp;$C45&amp;", *",集計用!$AE:$AE,G$3)</f>
        <v>#DIV/0!</v>
      </c>
      <c r="H45" s="29">
        <f>(SUMIFS(集計用!$AI:$AI, 集計用!$G:$G, "*, "&amp;$C45&amp;", *",集計用!$AE:$AE,H$3))/COUNTIFS(集計用!$G:$G, "*, "&amp;$C45&amp;", *",集計用!$AE:$AE,H$3)</f>
        <v>9</v>
      </c>
      <c r="I45" s="29">
        <f>(SUMIFS(集計用!$AI:$AI, 集計用!$G:$G, "*, "&amp;$C45&amp;", *",集計用!$AE:$AE,I$3))/COUNTIFS(集計用!$G:$G, "*, "&amp;$C45&amp;", *",集計用!$AE:$AE,I$3)</f>
        <v>19</v>
      </c>
      <c r="J45" s="29" t="e">
        <f>(SUMIFS(集計用!$AI:$AI, 集計用!$G:$G, "*, "&amp;$C45&amp;", *",集計用!$AE:$AE,J$3))/COUNTIFS(集計用!$G:$G, "*, "&amp;$C45&amp;", *",集計用!$AE:$AE,J$3)</f>
        <v>#DIV/0!</v>
      </c>
      <c r="K45" s="29" t="e">
        <f>(SUMIFS(集計用!$AI:$AI, 集計用!$G:$G, "*, "&amp;$C45&amp;", *",集計用!$AE:$AE,K$3))/COUNTIFS(集計用!$G:$G, "*, "&amp;$C45&amp;", *",集計用!$AE:$AE,K$3)</f>
        <v>#DIV/0!</v>
      </c>
      <c r="L45" s="29" t="e">
        <f>(SUMIFS(集計用!$AI:$AI, 集計用!$G:$G, "*, "&amp;$C45&amp;", *",集計用!$AE:$AE,L$3))/COUNTIFS(集計用!$G:$G, "*, "&amp;$C45&amp;", *",集計用!$AE:$AE,L$3)</f>
        <v>#DIV/0!</v>
      </c>
      <c r="M45" s="29">
        <f>(SUMIFS(集計用!$AI:$AI, 集計用!$G:$G, "*, "&amp;$C45&amp;", *",集計用!$AE:$AE,"56-60")+SUMIFS(集計用!$AI:$AI, 集計用!$G:$G, "*, "&amp;$C45&amp;", *",集計用!$AE:$AE,"61-65"))/(COUNTIFS(集計用!$G:$G, "*, "&amp;$C45&amp;", *",集計用!$AE:$AE,"56-60")+COUNTIFS(集計用!$G:$G, "*, "&amp;$C45&amp;", *",集計用!$AE:$AE,"61-65"))</f>
        <v>18</v>
      </c>
      <c r="N45" s="29" t="e">
        <f>(SUMIFS(集計用!$AI:$AI, 集計用!$G:$G, "*, "&amp;$C45&amp;", *",集計用!$AE:$AE,N$3))/COUNTIFS(集計用!$G:$G, "*, "&amp;$C45&amp;", *",集計用!$AE:$AE,N$3)</f>
        <v>#DIV/0!</v>
      </c>
      <c r="O45" s="2"/>
    </row>
    <row r="46" spans="1:15" ht="14.25" customHeight="1">
      <c r="A46" s="27">
        <v>6</v>
      </c>
      <c r="B46" s="27">
        <f>(COUNTIFS(集計用!$G:$G,"*, "&amp;$C46&amp;",*"))</f>
        <v>9</v>
      </c>
      <c r="C46" s="36" t="s">
        <v>41</v>
      </c>
      <c r="D46" s="29">
        <f>SUMIFS(集計用!$AI:$AI,集計用!$G:$G,"*, "&amp;$C46&amp;", *")/テーブル3[[#This Row],[n=]]</f>
        <v>12.666666666666666</v>
      </c>
      <c r="E46" s="29">
        <f>(SUMIFS(集計用!$AI:$AI,集計用!$AE:$AE,"11-15")+SUMIFS(集計用!$AI:$AI,集計用!$AE:$AE,"16-20"))/(COUNTIFS(集計用!$AE:$AE,"11-15")+COUNTIFS(集計用!$AE:$AE,"16-20"))</f>
        <v>3.8775510204081631</v>
      </c>
      <c r="F46" s="29">
        <f>(SUMIFS(集計用!$AI:$AI, 集計用!$G:$G, "*, "&amp;$C46&amp;", *",集計用!$AE:$AE,F$3))/COUNTIFS(集計用!$G:$G, "*, "&amp;$C46&amp;", *",集計用!$AE:$AE,F$3)</f>
        <v>24.333333333333332</v>
      </c>
      <c r="G46" s="29">
        <f>(SUMIFS(集計用!$AI:$AI, 集計用!$G:$G, "*, "&amp;$C46&amp;", *",集計用!$AE:$AE,G$3))/COUNTIFS(集計用!$G:$G, "*, "&amp;$C46&amp;", *",集計用!$AE:$AE,G$3)</f>
        <v>6</v>
      </c>
      <c r="H46" s="29">
        <f>(SUMIFS(集計用!$AI:$AI, 集計用!$G:$G, "*, "&amp;$C46&amp;", *",集計用!$AE:$AE,H$3))/COUNTIFS(集計用!$G:$G, "*, "&amp;$C46&amp;", *",集計用!$AE:$AE,H$3)</f>
        <v>3</v>
      </c>
      <c r="I46" s="29" t="e">
        <f>(SUMIFS(集計用!$AI:$AI, 集計用!$G:$G, "*, "&amp;$C46&amp;", *",集計用!$AE:$AE,I$3))/COUNTIFS(集計用!$G:$G, "*, "&amp;$C46&amp;", *",集計用!$AE:$AE,I$3)</f>
        <v>#DIV/0!</v>
      </c>
      <c r="J46" s="29" t="e">
        <f>(SUMIFS(集計用!$AI:$AI, 集計用!$G:$G, "*, "&amp;$C46&amp;", *",集計用!$AE:$AE,J$3))/COUNTIFS(集計用!$G:$G, "*, "&amp;$C46&amp;", *",集計用!$AE:$AE,J$3)</f>
        <v>#DIV/0!</v>
      </c>
      <c r="K46" s="29">
        <f>(SUMIFS(集計用!$AI:$AI, 集計用!$G:$G, "*, "&amp;$C46&amp;", *",集計用!$AE:$AE,K$3))/COUNTIFS(集計用!$G:$G, "*, "&amp;$C46&amp;", *",集計用!$AE:$AE,K$3)</f>
        <v>6</v>
      </c>
      <c r="L46" s="29">
        <f>(SUMIFS(集計用!$AI:$AI, 集計用!$G:$G, "*, "&amp;$C46&amp;", *",集計用!$AE:$AE,L$3))/COUNTIFS(集計用!$G:$G, "*, "&amp;$C46&amp;", *",集計用!$AE:$AE,L$3)</f>
        <v>10</v>
      </c>
      <c r="M46" s="29">
        <f>(SUMIFS(集計用!$AI:$AI, 集計用!$G:$G, "*, "&amp;$C46&amp;", *",集計用!$AE:$AE,"56-60")+SUMIFS(集計用!$AI:$AI, 集計用!$G:$G, "*, "&amp;$C46&amp;", *",集計用!$AE:$AE,"61-65"))/(COUNTIFS(集計用!$G:$G, "*, "&amp;$C46&amp;", *",集計用!$AE:$AE,"56-60")+COUNTIFS(集計用!$G:$G, "*, "&amp;$C46&amp;", *",集計用!$AE:$AE,"61-65"))</f>
        <v>13</v>
      </c>
      <c r="N46" s="29" t="e">
        <f>(SUMIFS(集計用!$AI:$AI, 集計用!$G:$G, "*, "&amp;$C46&amp;", *",集計用!$AE:$AE,N$3))/COUNTIFS(集計用!$G:$G, "*, "&amp;$C46&amp;", *",集計用!$AE:$AE,N$3)</f>
        <v>#DIV/0!</v>
      </c>
      <c r="O46" s="2"/>
    </row>
    <row r="47" spans="1:15" ht="12.75">
      <c r="A47" s="27">
        <v>4</v>
      </c>
      <c r="B47" s="27">
        <f>(COUNTIFS(集計用!$G:$G,"*, "&amp;$C47&amp;",*"))</f>
        <v>8</v>
      </c>
      <c r="C47" s="36" t="s">
        <v>43</v>
      </c>
      <c r="D47" s="29">
        <f>SUMIFS(集計用!$AI:$AI,集計用!$G:$G,"*, "&amp;$C47&amp;", *")/テーブル3[[#This Row],[n=]]</f>
        <v>16</v>
      </c>
      <c r="E47" s="29">
        <f>(SUMIFS(集計用!$AI:$AI,集計用!$AE:$AE,"11-15")+SUMIFS(集計用!$AI:$AI,集計用!$AE:$AE,"16-20"))/(COUNTIFS(集計用!$AE:$AE,"11-15")+COUNTIFS(集計用!$AE:$AE,"16-20"))</f>
        <v>3.8775510204081631</v>
      </c>
      <c r="F47" s="29">
        <f>(SUMIFS(集計用!$AI:$AI, 集計用!$G:$G, "*, "&amp;$C47&amp;", *",集計用!$AE:$AE,F$3))/COUNTIFS(集計用!$G:$G, "*, "&amp;$C47&amp;", *",集計用!$AE:$AE,F$3)</f>
        <v>32.5</v>
      </c>
      <c r="G47" s="29">
        <f>(SUMIFS(集計用!$AI:$AI, 集計用!$G:$G, "*, "&amp;$C47&amp;", *",集計用!$AE:$AE,G$3))/COUNTIFS(集計用!$G:$G, "*, "&amp;$C47&amp;", *",集計用!$AE:$AE,G$3)</f>
        <v>7</v>
      </c>
      <c r="H47" s="29">
        <f>(SUMIFS(集計用!$AI:$AI, 集計用!$G:$G, "*, "&amp;$C47&amp;", *",集計用!$AE:$AE,H$3))/COUNTIFS(集計用!$G:$G, "*, "&amp;$C47&amp;", *",集計用!$AE:$AE,H$3)</f>
        <v>12</v>
      </c>
      <c r="I47" s="29" t="e">
        <f>(SUMIFS(集計用!$AI:$AI, 集計用!$G:$G, "*, "&amp;$C47&amp;", *",集計用!$AE:$AE,I$3))/COUNTIFS(集計用!$G:$G, "*, "&amp;$C47&amp;", *",集計用!$AE:$AE,I$3)</f>
        <v>#DIV/0!</v>
      </c>
      <c r="J47" s="29">
        <f>(SUMIFS(集計用!$AI:$AI, 集計用!$G:$G, "*, "&amp;$C47&amp;", *",集計用!$AE:$AE,J$3))/COUNTIFS(集計用!$G:$G, "*, "&amp;$C47&amp;", *",集計用!$AE:$AE,J$3)</f>
        <v>6.5</v>
      </c>
      <c r="K47" s="29" t="e">
        <f>(SUMIFS(集計用!$AI:$AI, 集計用!$G:$G, "*, "&amp;$C47&amp;", *",集計用!$AE:$AE,K$3))/COUNTIFS(集計用!$G:$G, "*, "&amp;$C47&amp;", *",集計用!$AE:$AE,K$3)</f>
        <v>#DIV/0!</v>
      </c>
      <c r="L47" s="29" t="e">
        <f>(SUMIFS(集計用!$AI:$AI, 集計用!$G:$G, "*, "&amp;$C47&amp;", *",集計用!$AE:$AE,L$3))/COUNTIFS(集計用!$G:$G, "*, "&amp;$C47&amp;", *",集計用!$AE:$AE,L$3)</f>
        <v>#DIV/0!</v>
      </c>
      <c r="M47" s="29" t="e">
        <f>(SUMIFS(集計用!$AI:$AI, 集計用!$G:$G, "*, "&amp;$C47&amp;", *",集計用!$AE:$AE,"56-60")+SUMIFS(集計用!$AI:$AI, 集計用!$G:$G, "*, "&amp;$C47&amp;", *",集計用!$AE:$AE,"61-65"))/(COUNTIFS(集計用!$G:$G, "*, "&amp;$C47&amp;", *",集計用!$AE:$AE,"56-60")+COUNTIFS(集計用!$G:$G, "*, "&amp;$C47&amp;", *",集計用!$AE:$AE,"61-65"))</f>
        <v>#DIV/0!</v>
      </c>
      <c r="N47" s="29" t="e">
        <f>(SUMIFS(集計用!$AI:$AI, 集計用!$G:$G, "*, "&amp;$C47&amp;", *",集計用!$AE:$AE,N$3))/COUNTIFS(集計用!$G:$G, "*, "&amp;$C47&amp;", *",集計用!$AE:$AE,N$3)</f>
        <v>#DIV/0!</v>
      </c>
      <c r="O47" s="2"/>
    </row>
    <row r="48" spans="1:15" ht="14.25" customHeight="1">
      <c r="A48" s="27">
        <v>4</v>
      </c>
      <c r="B48" s="27">
        <f>(COUNTIFS(集計用!$G:$G,"*, "&amp;$C48&amp;",*"))</f>
        <v>8</v>
      </c>
      <c r="C48" s="36" t="s">
        <v>42</v>
      </c>
      <c r="D48" s="29">
        <f>SUMIFS(集計用!$AI:$AI,集計用!$G:$G,"*, "&amp;$C48&amp;", *")/テーブル3[[#This Row],[n=]]</f>
        <v>14.375</v>
      </c>
      <c r="E48" s="29">
        <f>(SUMIFS(集計用!$AI:$AI,集計用!$AE:$AE,"11-15")+SUMIFS(集計用!$AI:$AI,集計用!$AE:$AE,"16-20"))/(COUNTIFS(集計用!$AE:$AE,"11-15")+COUNTIFS(集計用!$AE:$AE,"16-20"))</f>
        <v>3.8775510204081631</v>
      </c>
      <c r="F48" s="29">
        <f>(SUMIFS(集計用!$AI:$AI, 集計用!$G:$G, "*, "&amp;$C48&amp;", *",集計用!$AE:$AE,F$3))/COUNTIFS(集計用!$G:$G, "*, "&amp;$C48&amp;", *",集計用!$AE:$AE,F$3)</f>
        <v>31</v>
      </c>
      <c r="G48" s="29">
        <f>(SUMIFS(集計用!$AI:$AI, 集計用!$G:$G, "*, "&amp;$C48&amp;", *",集計用!$AE:$AE,G$3))/COUNTIFS(集計用!$G:$G, "*, "&amp;$C48&amp;", *",集計用!$AE:$AE,G$3)</f>
        <v>8</v>
      </c>
      <c r="H48" s="29">
        <f>(SUMIFS(集計用!$AI:$AI, 集計用!$G:$G, "*, "&amp;$C48&amp;", *",集計用!$AE:$AE,H$3))/COUNTIFS(集計用!$G:$G, "*, "&amp;$C48&amp;", *",集計用!$AE:$AE,H$3)</f>
        <v>8</v>
      </c>
      <c r="I48" s="29" t="e">
        <f>(SUMIFS(集計用!$AI:$AI, 集計用!$G:$G, "*, "&amp;$C48&amp;", *",集計用!$AE:$AE,I$3))/COUNTIFS(集計用!$G:$G, "*, "&amp;$C48&amp;", *",集計用!$AE:$AE,I$3)</f>
        <v>#DIV/0!</v>
      </c>
      <c r="J48" s="29" t="e">
        <f>(SUMIFS(集計用!$AI:$AI, 集計用!$G:$G, "*, "&amp;$C48&amp;", *",集計用!$AE:$AE,J$3))/COUNTIFS(集計用!$G:$G, "*, "&amp;$C48&amp;", *",集計用!$AE:$AE,J$3)</f>
        <v>#DIV/0!</v>
      </c>
      <c r="K48" s="29" t="e">
        <f>(SUMIFS(集計用!$AI:$AI, 集計用!$G:$G, "*, "&amp;$C48&amp;", *",集計用!$AE:$AE,K$3))/COUNTIFS(集計用!$G:$G, "*, "&amp;$C48&amp;", *",集計用!$AE:$AE,K$3)</f>
        <v>#DIV/0!</v>
      </c>
      <c r="L48" s="29" t="e">
        <f>(SUMIFS(集計用!$AI:$AI, 集計用!$G:$G, "*, "&amp;$C48&amp;", *",集計用!$AE:$AE,L$3))/COUNTIFS(集計用!$G:$G, "*, "&amp;$C48&amp;", *",集計用!$AE:$AE,L$3)</f>
        <v>#DIV/0!</v>
      </c>
      <c r="M48" s="29" t="e">
        <f>(SUMIFS(集計用!$AI:$AI, 集計用!$G:$G, "*, "&amp;$C48&amp;", *",集計用!$AE:$AE,"56-60")+SUMIFS(集計用!$AI:$AI, 集計用!$G:$G, "*, "&amp;$C48&amp;", *",集計用!$AE:$AE,"61-65"))/(COUNTIFS(集計用!$G:$G, "*, "&amp;$C48&amp;", *",集計用!$AE:$AE,"56-60")+COUNTIFS(集計用!$G:$G, "*, "&amp;$C48&amp;", *",集計用!$AE:$AE,"61-65"))</f>
        <v>#DIV/0!</v>
      </c>
      <c r="N48" s="29" t="e">
        <f>(SUMIFS(集計用!$AI:$AI, 集計用!$G:$G, "*, "&amp;$C48&amp;", *",集計用!$AE:$AE,N$3))/COUNTIFS(集計用!$G:$G, "*, "&amp;$C48&amp;", *",集計用!$AE:$AE,N$3)</f>
        <v>#DIV/0!</v>
      </c>
      <c r="O48" s="2"/>
    </row>
    <row r="49" spans="1:15" ht="14.25" customHeight="1">
      <c r="A49" s="27">
        <v>4</v>
      </c>
      <c r="B49" s="27">
        <f>(COUNTIFS(集計用!$G:$G,"*, "&amp;$C49&amp;",*"))</f>
        <v>8</v>
      </c>
      <c r="C49" s="36" t="s">
        <v>44</v>
      </c>
      <c r="D49" s="29">
        <f>SUMIFS(集計用!$AI:$AI,集計用!$G:$G,"*, "&amp;$C49&amp;", *")/テーブル3[[#This Row],[n=]]</f>
        <v>13.25</v>
      </c>
      <c r="E49" s="29">
        <f>(SUMIFS(集計用!$AI:$AI,集計用!$AE:$AE,"11-15")+SUMIFS(集計用!$AI:$AI,集計用!$AE:$AE,"16-20"))/(COUNTIFS(集計用!$AE:$AE,"11-15")+COUNTIFS(集計用!$AE:$AE,"16-20"))</f>
        <v>3.8775510204081631</v>
      </c>
      <c r="F49" s="29">
        <f>(SUMIFS(集計用!$AI:$AI, 集計用!$G:$G, "*, "&amp;$C49&amp;", *",集計用!$AE:$AE,F$3))/COUNTIFS(集計用!$G:$G, "*, "&amp;$C49&amp;", *",集計用!$AE:$AE,F$3)</f>
        <v>25.666666666666668</v>
      </c>
      <c r="G49" s="29" t="e">
        <f>(SUMIFS(集計用!$AI:$AI, 集計用!$G:$G, "*, "&amp;$C49&amp;", *",集計用!$AE:$AE,G$3))/COUNTIFS(集計用!$G:$G, "*, "&amp;$C49&amp;", *",集計用!$AE:$AE,G$3)</f>
        <v>#DIV/0!</v>
      </c>
      <c r="H49" s="29" t="e">
        <f>(SUMIFS(集計用!$AI:$AI, 集計用!$G:$G, "*, "&amp;$C49&amp;", *",集計用!$AE:$AE,H$3))/COUNTIFS(集計用!$G:$G, "*, "&amp;$C49&amp;", *",集計用!$AE:$AE,H$3)</f>
        <v>#DIV/0!</v>
      </c>
      <c r="I49" s="29">
        <f>(SUMIFS(集計用!$AI:$AI, 集計用!$G:$G, "*, "&amp;$C49&amp;", *",集計用!$AE:$AE,I$3))/COUNTIFS(集計用!$G:$G, "*, "&amp;$C49&amp;", *",集計用!$AE:$AE,I$3)</f>
        <v>4</v>
      </c>
      <c r="J49" s="29">
        <f>(SUMIFS(集計用!$AI:$AI, 集計用!$G:$G, "*, "&amp;$C49&amp;", *",集計用!$AE:$AE,J$3))/COUNTIFS(集計用!$G:$G, "*, "&amp;$C49&amp;", *",集計用!$AE:$AE,J$3)</f>
        <v>9</v>
      </c>
      <c r="K49" s="29">
        <f>(SUMIFS(集計用!$AI:$AI, 集計用!$G:$G, "*, "&amp;$C49&amp;", *",集計用!$AE:$AE,K$3))/COUNTIFS(集計用!$G:$G, "*, "&amp;$C49&amp;", *",集計用!$AE:$AE,K$3)</f>
        <v>4</v>
      </c>
      <c r="L49" s="29">
        <f>(SUMIFS(集計用!$AI:$AI, 集計用!$G:$G, "*, "&amp;$C49&amp;", *",集計用!$AE:$AE,L$3))/COUNTIFS(集計用!$G:$G, "*, "&amp;$C49&amp;", *",集計用!$AE:$AE,L$3)</f>
        <v>6</v>
      </c>
      <c r="M49" s="29" t="e">
        <f>(SUMIFS(集計用!$AI:$AI, 集計用!$G:$G, "*, "&amp;$C49&amp;", *",集計用!$AE:$AE,"56-60")+SUMIFS(集計用!$AI:$AI, 集計用!$G:$G, "*, "&amp;$C49&amp;", *",集計用!$AE:$AE,"61-65"))/(COUNTIFS(集計用!$G:$G, "*, "&amp;$C49&amp;", *",集計用!$AE:$AE,"56-60")+COUNTIFS(集計用!$G:$G, "*, "&amp;$C49&amp;", *",集計用!$AE:$AE,"61-65"))</f>
        <v>#DIV/0!</v>
      </c>
      <c r="N49" s="29" t="e">
        <f>(SUMIFS(集計用!$AI:$AI, 集計用!$G:$G, "*, "&amp;$C49&amp;", *",集計用!$AE:$AE,N$3))/COUNTIFS(集計用!$G:$G, "*, "&amp;$C49&amp;", *",集計用!$AE:$AE,N$3)</f>
        <v>#DIV/0!</v>
      </c>
      <c r="O49" s="2"/>
    </row>
    <row r="50" spans="1:15" ht="14.25" customHeight="1">
      <c r="A50" s="27">
        <v>5</v>
      </c>
      <c r="B50" s="27">
        <f>(COUNTIFS(集計用!$G:$G,"*, "&amp;$C50&amp;",*"))</f>
        <v>7</v>
      </c>
      <c r="C50" s="36" t="s">
        <v>46</v>
      </c>
      <c r="D50" s="29">
        <f>SUMIFS(集計用!$AI:$AI,集計用!$G:$G,"*, "&amp;$C50&amp;", *")/テーブル3[[#This Row],[n=]]</f>
        <v>16</v>
      </c>
      <c r="E50" s="29">
        <f>(SUMIFS(集計用!$AI:$AI,集計用!$AE:$AE,"11-15")+SUMIFS(集計用!$AI:$AI,集計用!$AE:$AE,"16-20"))/(COUNTIFS(集計用!$AE:$AE,"11-15")+COUNTIFS(集計用!$AE:$AE,"16-20"))</f>
        <v>3.8775510204081631</v>
      </c>
      <c r="F50" s="29">
        <f>(SUMIFS(集計用!$AI:$AI, 集計用!$G:$G, "*, "&amp;$C50&amp;", *",集計用!$AE:$AE,F$3))/COUNTIFS(集計用!$G:$G, "*, "&amp;$C50&amp;", *",集計用!$AE:$AE,F$3)</f>
        <v>24.333333333333332</v>
      </c>
      <c r="G50" s="29">
        <f>(SUMIFS(集計用!$AI:$AI, 集計用!$G:$G, "*, "&amp;$C50&amp;", *",集計用!$AE:$AE,G$3))/COUNTIFS(集計用!$G:$G, "*, "&amp;$C50&amp;", *",集計用!$AE:$AE,G$3)</f>
        <v>6</v>
      </c>
      <c r="H50" s="29">
        <f>(SUMIFS(集計用!$AI:$AI, 集計用!$G:$G, "*, "&amp;$C50&amp;", *",集計用!$AE:$AE,H$3))/COUNTIFS(集計用!$G:$G, "*, "&amp;$C50&amp;", *",集計用!$AE:$AE,H$3)</f>
        <v>15</v>
      </c>
      <c r="I50" s="29" t="e">
        <f>(SUMIFS(集計用!$AI:$AI, 集計用!$G:$G, "*, "&amp;$C50&amp;", *",集計用!$AE:$AE,I$3))/COUNTIFS(集計用!$G:$G, "*, "&amp;$C50&amp;", *",集計用!$AE:$AE,I$3)</f>
        <v>#DIV/0!</v>
      </c>
      <c r="J50" s="29">
        <f>(SUMIFS(集計用!$AI:$AI, 集計用!$G:$G, "*, "&amp;$C50&amp;", *",集計用!$AE:$AE,J$3))/COUNTIFS(集計用!$G:$G, "*, "&amp;$C50&amp;", *",集計用!$AE:$AE,J$3)</f>
        <v>10</v>
      </c>
      <c r="K50" s="29" t="e">
        <f>(SUMIFS(集計用!$AI:$AI, 集計用!$G:$G, "*, "&amp;$C50&amp;", *",集計用!$AE:$AE,K$3))/COUNTIFS(集計用!$G:$G, "*, "&amp;$C50&amp;", *",集計用!$AE:$AE,K$3)</f>
        <v>#DIV/0!</v>
      </c>
      <c r="L50" s="29" t="e">
        <f>(SUMIFS(集計用!$AI:$AI, 集計用!$G:$G, "*, "&amp;$C50&amp;", *",集計用!$AE:$AE,L$3))/COUNTIFS(集計用!$G:$G, "*, "&amp;$C50&amp;", *",集計用!$AE:$AE,L$3)</f>
        <v>#DIV/0!</v>
      </c>
      <c r="M50" s="29">
        <f>(SUMIFS(集計用!$AI:$AI, 集計用!$G:$G, "*, "&amp;$C50&amp;", *",集計用!$AE:$AE,"56-60")+SUMIFS(集計用!$AI:$AI, 集計用!$G:$G, "*, "&amp;$C50&amp;", *",集計用!$AE:$AE,"61-65"))/(COUNTIFS(集計用!$G:$G, "*, "&amp;$C50&amp;", *",集計用!$AE:$AE,"56-60")+COUNTIFS(集計用!$G:$G, "*, "&amp;$C50&amp;", *",集計用!$AE:$AE,"61-65"))</f>
        <v>8</v>
      </c>
      <c r="N50" s="29" t="e">
        <f>(SUMIFS(集計用!$AI:$AI, 集計用!$G:$G, "*, "&amp;$C50&amp;", *",集計用!$AE:$AE,N$3))/COUNTIFS(集計用!$G:$G, "*, "&amp;$C50&amp;", *",集計用!$AE:$AE,N$3)</f>
        <v>#DIV/0!</v>
      </c>
      <c r="O50" s="2"/>
    </row>
    <row r="51" spans="1:15" ht="14.25" customHeight="1">
      <c r="A51" s="27">
        <v>5</v>
      </c>
      <c r="B51" s="27">
        <f>(COUNTIFS(集計用!$G:$G,"*, "&amp;$C51&amp;",*"))</f>
        <v>7</v>
      </c>
      <c r="C51" s="36" t="s">
        <v>45</v>
      </c>
      <c r="D51" s="29">
        <f>SUMIFS(集計用!$AI:$AI,集計用!$G:$G,"*, "&amp;$C51&amp;", *")/テーブル3[[#This Row],[n=]]</f>
        <v>14.142857142857142</v>
      </c>
      <c r="E51" s="29">
        <f>(SUMIFS(集計用!$AI:$AI,集計用!$AE:$AE,"11-15")+SUMIFS(集計用!$AI:$AI,集計用!$AE:$AE,"16-20"))/(COUNTIFS(集計用!$AE:$AE,"11-15")+COUNTIFS(集計用!$AE:$AE,"16-20"))</f>
        <v>3.8775510204081631</v>
      </c>
      <c r="F51" s="29">
        <f>(SUMIFS(集計用!$AI:$AI, 集計用!$G:$G, "*, "&amp;$C51&amp;", *",集計用!$AE:$AE,F$3))/COUNTIFS(集計用!$G:$G, "*, "&amp;$C51&amp;", *",集計用!$AE:$AE,F$3)</f>
        <v>56</v>
      </c>
      <c r="G51" s="29">
        <f>(SUMIFS(集計用!$AI:$AI, 集計用!$G:$G, "*, "&amp;$C51&amp;", *",集計用!$AE:$AE,G$3))/COUNTIFS(集計用!$G:$G, "*, "&amp;$C51&amp;", *",集計用!$AE:$AE,G$3)</f>
        <v>7.666666666666667</v>
      </c>
      <c r="H51" s="29">
        <f>(SUMIFS(集計用!$AI:$AI, 集計用!$G:$G, "*, "&amp;$C51&amp;", *",集計用!$AE:$AE,H$3))/COUNTIFS(集計用!$G:$G, "*, "&amp;$C51&amp;", *",集計用!$AE:$AE,H$3)</f>
        <v>5</v>
      </c>
      <c r="I51" s="29">
        <f>(SUMIFS(集計用!$AI:$AI, 集計用!$G:$G, "*, "&amp;$C51&amp;", *",集計用!$AE:$AE,I$3))/COUNTIFS(集計用!$G:$G, "*, "&amp;$C51&amp;", *",集計用!$AE:$AE,I$3)</f>
        <v>8</v>
      </c>
      <c r="J51" s="29" t="e">
        <f>(SUMIFS(集計用!$AI:$AI, 集計用!$G:$G, "*, "&amp;$C51&amp;", *",集計用!$AE:$AE,J$3))/COUNTIFS(集計用!$G:$G, "*, "&amp;$C51&amp;", *",集計用!$AE:$AE,J$3)</f>
        <v>#DIV/0!</v>
      </c>
      <c r="K51" s="29">
        <f>(SUMIFS(集計用!$AI:$AI, 集計用!$G:$G, "*, "&amp;$C51&amp;", *",集計用!$AE:$AE,K$3))/COUNTIFS(集計用!$G:$G, "*, "&amp;$C51&amp;", *",集計用!$AE:$AE,K$3)</f>
        <v>7</v>
      </c>
      <c r="L51" s="29" t="e">
        <f>(SUMIFS(集計用!$AI:$AI, 集計用!$G:$G, "*, "&amp;$C51&amp;", *",集計用!$AE:$AE,L$3))/COUNTIFS(集計用!$G:$G, "*, "&amp;$C51&amp;", *",集計用!$AE:$AE,L$3)</f>
        <v>#DIV/0!</v>
      </c>
      <c r="M51" s="29" t="e">
        <f>(SUMIFS(集計用!$AI:$AI, 集計用!$G:$G, "*, "&amp;$C51&amp;", *",集計用!$AE:$AE,"56-60")+SUMIFS(集計用!$AI:$AI, 集計用!$G:$G, "*, "&amp;$C51&amp;", *",集計用!$AE:$AE,"61-65"))/(COUNTIFS(集計用!$G:$G, "*, "&amp;$C51&amp;", *",集計用!$AE:$AE,"56-60")+COUNTIFS(集計用!$G:$G, "*, "&amp;$C51&amp;", *",集計用!$AE:$AE,"61-65"))</f>
        <v>#DIV/0!</v>
      </c>
      <c r="N51" s="29" t="e">
        <f>(SUMIFS(集計用!$AI:$AI, 集計用!$G:$G, "*, "&amp;$C51&amp;", *",集計用!$AE:$AE,N$3))/COUNTIFS(集計用!$G:$G, "*, "&amp;$C51&amp;", *",集計用!$AE:$AE,N$3)</f>
        <v>#DIV/0!</v>
      </c>
      <c r="O51" s="2"/>
    </row>
    <row r="52" spans="1:15" ht="14.25" customHeight="1">
      <c r="A52" s="27">
        <v>4</v>
      </c>
      <c r="B52" s="27">
        <f>(COUNTIFS(集計用!$G:$G,"*, "&amp;$C52&amp;",*"))</f>
        <v>7</v>
      </c>
      <c r="C52" s="36" t="s">
        <v>47</v>
      </c>
      <c r="D52" s="29">
        <f>SUMIFS(集計用!$AI:$AI,集計用!$G:$G,"*, "&amp;$C52&amp;", *")/テーブル3[[#This Row],[n=]]</f>
        <v>12.857142857142858</v>
      </c>
      <c r="E52" s="29">
        <f>(SUMIFS(集計用!$AI:$AI,集計用!$AE:$AE,"11-15")+SUMIFS(集計用!$AI:$AI,集計用!$AE:$AE,"16-20"))/(COUNTIFS(集計用!$AE:$AE,"11-15")+COUNTIFS(集計用!$AE:$AE,"16-20"))</f>
        <v>3.8775510204081631</v>
      </c>
      <c r="F52" s="29">
        <f>(SUMIFS(集計用!$AI:$AI, 集計用!$G:$G, "*, "&amp;$C52&amp;", *",集計用!$AE:$AE,F$3))/COUNTIFS(集計用!$G:$G, "*, "&amp;$C52&amp;", *",集計用!$AE:$AE,F$3)</f>
        <v>32.5</v>
      </c>
      <c r="G52" s="29">
        <f>(SUMIFS(集計用!$AI:$AI, 集計用!$G:$G, "*, "&amp;$C52&amp;", *",集計用!$AE:$AE,G$3))/COUNTIFS(集計用!$G:$G, "*, "&amp;$C52&amp;", *",集計用!$AE:$AE,G$3)</f>
        <v>7</v>
      </c>
      <c r="H52" s="29">
        <f>(SUMIFS(集計用!$AI:$AI, 集計用!$G:$G, "*, "&amp;$C52&amp;", *",集計用!$AE:$AE,H$3))/COUNTIFS(集計用!$G:$G, "*, "&amp;$C52&amp;", *",集計用!$AE:$AE,H$3)</f>
        <v>6</v>
      </c>
      <c r="I52" s="29" t="e">
        <f>(SUMIFS(集計用!$AI:$AI, 集計用!$G:$G, "*, "&amp;$C52&amp;", *",集計用!$AE:$AE,I$3))/COUNTIFS(集計用!$G:$G, "*, "&amp;$C52&amp;", *",集計用!$AE:$AE,I$3)</f>
        <v>#DIV/0!</v>
      </c>
      <c r="J52" s="29" t="e">
        <f>(SUMIFS(集計用!$AI:$AI, 集計用!$G:$G, "*, "&amp;$C52&amp;", *",集計用!$AE:$AE,J$3))/COUNTIFS(集計用!$G:$G, "*, "&amp;$C52&amp;", *",集計用!$AE:$AE,J$3)</f>
        <v>#DIV/0!</v>
      </c>
      <c r="K52" s="29">
        <f>(SUMIFS(集計用!$AI:$AI, 集計用!$G:$G, "*, "&amp;$C52&amp;", *",集計用!$AE:$AE,K$3))/COUNTIFS(集計用!$G:$G, "*, "&amp;$C52&amp;", *",集計用!$AE:$AE,K$3)</f>
        <v>1</v>
      </c>
      <c r="L52" s="29" t="e">
        <f>(SUMIFS(集計用!$AI:$AI, 集計用!$G:$G, "*, "&amp;$C52&amp;", *",集計用!$AE:$AE,L$3))/COUNTIFS(集計用!$G:$G, "*, "&amp;$C52&amp;", *",集計用!$AE:$AE,L$3)</f>
        <v>#DIV/0!</v>
      </c>
      <c r="M52" s="29" t="e">
        <f>(SUMIFS(集計用!$AI:$AI, 集計用!$G:$G, "*, "&amp;$C52&amp;", *",集計用!$AE:$AE,"56-60")+SUMIFS(集計用!$AI:$AI, 集計用!$G:$G, "*, "&amp;$C52&amp;", *",集計用!$AE:$AE,"61-65"))/(COUNTIFS(集計用!$G:$G, "*, "&amp;$C52&amp;", *",集計用!$AE:$AE,"56-60")+COUNTIFS(集計用!$G:$G, "*, "&amp;$C52&amp;", *",集計用!$AE:$AE,"61-65"))</f>
        <v>#DIV/0!</v>
      </c>
      <c r="N52" s="29" t="e">
        <f>(SUMIFS(集計用!$AI:$AI, 集計用!$G:$G, "*, "&amp;$C52&amp;", *",集計用!$AE:$AE,N$3))/COUNTIFS(集計用!$G:$G, "*, "&amp;$C52&amp;", *",集計用!$AE:$AE,N$3)</f>
        <v>#DIV/0!</v>
      </c>
      <c r="O52" s="2"/>
    </row>
    <row r="53" spans="1:15" ht="14.25" customHeight="1">
      <c r="A53" s="27">
        <v>5</v>
      </c>
      <c r="B53" s="27">
        <f>(COUNTIFS(集計用!$G:$G,"*, "&amp;$C53&amp;",*"))</f>
        <v>6</v>
      </c>
      <c r="C53" s="36" t="s">
        <v>49</v>
      </c>
      <c r="D53" s="29">
        <f>SUMIFS(集計用!$AI:$AI,集計用!$G:$G,"*, "&amp;$C53&amp;", *")/テーブル3[[#This Row],[n=]]</f>
        <v>16.166666666666668</v>
      </c>
      <c r="E53" s="29">
        <f>(SUMIFS(集計用!$AI:$AI,集計用!$AE:$AE,"11-15")+SUMIFS(集計用!$AI:$AI,集計用!$AE:$AE,"16-20"))/(COUNTIFS(集計用!$AE:$AE,"11-15")+COUNTIFS(集計用!$AE:$AE,"16-20"))</f>
        <v>3.8775510204081631</v>
      </c>
      <c r="F53" s="29">
        <f>(SUMIFS(集計用!$AI:$AI, 集計用!$G:$G, "*, "&amp;$C53&amp;", *",集計用!$AE:$AE,F$3))/COUNTIFS(集計用!$G:$G, "*, "&amp;$C53&amp;", *",集計用!$AE:$AE,F$3)</f>
        <v>30</v>
      </c>
      <c r="G53" s="29">
        <f>(SUMIFS(集計用!$AI:$AI, 集計用!$G:$G, "*, "&amp;$C53&amp;", *",集計用!$AE:$AE,G$3))/COUNTIFS(集計用!$G:$G, "*, "&amp;$C53&amp;", *",集計用!$AE:$AE,G$3)</f>
        <v>8.5</v>
      </c>
      <c r="H53" s="29">
        <f>(SUMIFS(集計用!$AI:$AI, 集計用!$G:$G, "*, "&amp;$C53&amp;", *",集計用!$AE:$AE,H$3))/COUNTIFS(集計用!$G:$G, "*, "&amp;$C53&amp;", *",集計用!$AE:$AE,H$3)</f>
        <v>10</v>
      </c>
      <c r="I53" s="29" t="e">
        <f>(SUMIFS(集計用!$AI:$AI, 集計用!$G:$G, "*, "&amp;$C53&amp;", *",集計用!$AE:$AE,I$3))/COUNTIFS(集計用!$G:$G, "*, "&amp;$C53&amp;", *",集計用!$AE:$AE,I$3)</f>
        <v>#DIV/0!</v>
      </c>
      <c r="J53" s="29" t="e">
        <f>(SUMIFS(集計用!$AI:$AI, 集計用!$G:$G, "*, "&amp;$C53&amp;", *",集計用!$AE:$AE,J$3))/COUNTIFS(集計用!$G:$G, "*, "&amp;$C53&amp;", *",集計用!$AE:$AE,J$3)</f>
        <v>#DIV/0!</v>
      </c>
      <c r="K53" s="29" t="e">
        <f>(SUMIFS(集計用!$AI:$AI, 集計用!$G:$G, "*, "&amp;$C53&amp;", *",集計用!$AE:$AE,K$3))/COUNTIFS(集計用!$G:$G, "*, "&amp;$C53&amp;", *",集計用!$AE:$AE,K$3)</f>
        <v>#DIV/0!</v>
      </c>
      <c r="L53" s="29" t="e">
        <f>(SUMIFS(集計用!$AI:$AI, 集計用!$G:$G, "*, "&amp;$C53&amp;", *",集計用!$AE:$AE,L$3))/COUNTIFS(集計用!$G:$G, "*, "&amp;$C53&amp;", *",集計用!$AE:$AE,L$3)</f>
        <v>#DIV/0!</v>
      </c>
      <c r="M53" s="29" t="e">
        <f>(SUMIFS(集計用!$AI:$AI, 集計用!$G:$G, "*, "&amp;$C53&amp;", *",集計用!$AE:$AE,"56-60")+SUMIFS(集計用!$AI:$AI, 集計用!$G:$G, "*, "&amp;$C53&amp;", *",集計用!$AE:$AE,"61-65"))/(COUNTIFS(集計用!$G:$G, "*, "&amp;$C53&amp;", *",集計用!$AE:$AE,"56-60")+COUNTIFS(集計用!$G:$G, "*, "&amp;$C53&amp;", *",集計用!$AE:$AE,"61-65"))</f>
        <v>#DIV/0!</v>
      </c>
      <c r="N53" s="29" t="e">
        <f>(SUMIFS(集計用!$AI:$AI, 集計用!$G:$G, "*, "&amp;$C53&amp;", *",集計用!$AE:$AE,N$3))/COUNTIFS(集計用!$G:$G, "*, "&amp;$C53&amp;", *",集計用!$AE:$AE,N$3)</f>
        <v>#DIV/0!</v>
      </c>
      <c r="O53" s="2"/>
    </row>
    <row r="54" spans="1:15" ht="12.75">
      <c r="A54" s="27">
        <v>2</v>
      </c>
      <c r="B54" s="27">
        <f>(COUNTIFS(集計用!$G:$G,"*, "&amp;$C54&amp;",*"))</f>
        <v>6</v>
      </c>
      <c r="C54" s="36" t="s">
        <v>48</v>
      </c>
      <c r="D54" s="29">
        <f>SUMIFS(集計用!$AI:$AI,集計用!$G:$G,"*, "&amp;$C54&amp;", *")/テーブル3[[#This Row],[n=]]</f>
        <v>15.5</v>
      </c>
      <c r="E54" s="29">
        <f>(SUMIFS(集計用!$AI:$AI,集計用!$AE:$AE,"11-15")+SUMIFS(集計用!$AI:$AI,集計用!$AE:$AE,"16-20"))/(COUNTIFS(集計用!$AE:$AE,"11-15")+COUNTIFS(集計用!$AE:$AE,"16-20"))</f>
        <v>3.8775510204081631</v>
      </c>
      <c r="F54" s="29">
        <f>(SUMIFS(集計用!$AI:$AI, 集計用!$G:$G, "*, "&amp;$C54&amp;", *",集計用!$AE:$AE,F$3))/COUNTIFS(集計用!$G:$G, "*, "&amp;$C54&amp;", *",集計用!$AE:$AE,F$3)</f>
        <v>25.333333333333332</v>
      </c>
      <c r="G54" s="29">
        <f>(SUMIFS(集計用!$AI:$AI, 集計用!$G:$G, "*, "&amp;$C54&amp;", *",集計用!$AE:$AE,G$3))/COUNTIFS(集計用!$G:$G, "*, "&amp;$C54&amp;", *",集計用!$AE:$AE,G$3)</f>
        <v>6</v>
      </c>
      <c r="H54" s="29" t="e">
        <f>(SUMIFS(集計用!$AI:$AI, 集計用!$G:$G, "*, "&amp;$C54&amp;", *",集計用!$AE:$AE,H$3))/COUNTIFS(集計用!$G:$G, "*, "&amp;$C54&amp;", *",集計用!$AE:$AE,H$3)</f>
        <v>#DIV/0!</v>
      </c>
      <c r="I54" s="29" t="e">
        <f>(SUMIFS(集計用!$AI:$AI, 集計用!$G:$G, "*, "&amp;$C54&amp;", *",集計用!$AE:$AE,I$3))/COUNTIFS(集計用!$G:$G, "*, "&amp;$C54&amp;", *",集計用!$AE:$AE,I$3)</f>
        <v>#DIV/0!</v>
      </c>
      <c r="J54" s="29">
        <f>(SUMIFS(集計用!$AI:$AI, 集計用!$G:$G, "*, "&amp;$C54&amp;", *",集計用!$AE:$AE,J$3))/COUNTIFS(集計用!$G:$G, "*, "&amp;$C54&amp;", *",集計用!$AE:$AE,J$3)</f>
        <v>5.5</v>
      </c>
      <c r="K54" s="29" t="e">
        <f>(SUMIFS(集計用!$AI:$AI, 集計用!$G:$G, "*, "&amp;$C54&amp;", *",集計用!$AE:$AE,K$3))/COUNTIFS(集計用!$G:$G, "*, "&amp;$C54&amp;", *",集計用!$AE:$AE,K$3)</f>
        <v>#DIV/0!</v>
      </c>
      <c r="L54" s="29" t="e">
        <f>(SUMIFS(集計用!$AI:$AI, 集計用!$G:$G, "*, "&amp;$C54&amp;", *",集計用!$AE:$AE,L$3))/COUNTIFS(集計用!$G:$G, "*, "&amp;$C54&amp;", *",集計用!$AE:$AE,L$3)</f>
        <v>#DIV/0!</v>
      </c>
      <c r="M54" s="29" t="e">
        <f>(SUMIFS(集計用!$AI:$AI, 集計用!$G:$G, "*, "&amp;$C54&amp;", *",集計用!$AE:$AE,"56-60")+SUMIFS(集計用!$AI:$AI, 集計用!$G:$G, "*, "&amp;$C54&amp;", *",集計用!$AE:$AE,"61-65"))/(COUNTIFS(集計用!$G:$G, "*, "&amp;$C54&amp;", *",集計用!$AE:$AE,"56-60")+COUNTIFS(集計用!$G:$G, "*, "&amp;$C54&amp;", *",集計用!$AE:$AE,"61-65"))</f>
        <v>#DIV/0!</v>
      </c>
      <c r="N54" s="29" t="e">
        <f>(SUMIFS(集計用!$AI:$AI, 集計用!$G:$G, "*, "&amp;$C54&amp;", *",集計用!$AE:$AE,N$3))/COUNTIFS(集計用!$G:$G, "*, "&amp;$C54&amp;", *",集計用!$AE:$AE,N$3)</f>
        <v>#DIV/0!</v>
      </c>
      <c r="O54" s="2"/>
    </row>
    <row r="55" spans="1:15" ht="14.25" customHeight="1">
      <c r="A55" s="27">
        <v>4</v>
      </c>
      <c r="B55" s="27">
        <f>(COUNTIFS(集計用!$G:$G,"*, "&amp;$C55&amp;",*"))</f>
        <v>5</v>
      </c>
      <c r="C55" s="36" t="s">
        <v>50</v>
      </c>
      <c r="D55" s="29">
        <f>SUMIFS(集計用!$AI:$AI,集計用!$G:$G,"*, "&amp;$C55&amp;", *")/テーブル3[[#This Row],[n=]]</f>
        <v>18.2</v>
      </c>
      <c r="E55" s="29">
        <f>(SUMIFS(集計用!$AI:$AI,集計用!$AE:$AE,"11-15")+SUMIFS(集計用!$AI:$AI,集計用!$AE:$AE,"16-20"))/(COUNTIFS(集計用!$AE:$AE,"11-15")+COUNTIFS(集計用!$AE:$AE,"16-20"))</f>
        <v>3.8775510204081631</v>
      </c>
      <c r="F55" s="29">
        <f>(SUMIFS(集計用!$AI:$AI, 集計用!$G:$G, "*, "&amp;$C55&amp;", *",集計用!$AE:$AE,F$3))/COUNTIFS(集計用!$G:$G, "*, "&amp;$C55&amp;", *",集計用!$AE:$AE,F$3)</f>
        <v>56</v>
      </c>
      <c r="G55" s="29">
        <f>(SUMIFS(集計用!$AI:$AI, 集計用!$G:$G, "*, "&amp;$C55&amp;", *",集計用!$AE:$AE,G$3))/COUNTIFS(集計用!$G:$G, "*, "&amp;$C55&amp;", *",集計用!$AE:$AE,G$3)</f>
        <v>7</v>
      </c>
      <c r="H55" s="29">
        <f>(SUMIFS(集計用!$AI:$AI, 集計用!$G:$G, "*, "&amp;$C55&amp;", *",集計用!$AE:$AE,H$3))/COUNTIFS(集計用!$G:$G, "*, "&amp;$C55&amp;", *",集計用!$AE:$AE,H$3)</f>
        <v>5</v>
      </c>
      <c r="I55" s="29" t="e">
        <f>(SUMIFS(集計用!$AI:$AI, 集計用!$G:$G, "*, "&amp;$C55&amp;", *",集計用!$AE:$AE,I$3))/COUNTIFS(集計用!$G:$G, "*, "&amp;$C55&amp;", *",集計用!$AE:$AE,I$3)</f>
        <v>#DIV/0!</v>
      </c>
      <c r="J55" s="29" t="e">
        <f>(SUMIFS(集計用!$AI:$AI, 集計用!$G:$G, "*, "&amp;$C55&amp;", *",集計用!$AE:$AE,J$3))/COUNTIFS(集計用!$G:$G, "*, "&amp;$C55&amp;", *",集計用!$AE:$AE,J$3)</f>
        <v>#DIV/0!</v>
      </c>
      <c r="K55" s="29" t="e">
        <f>(SUMIFS(集計用!$AI:$AI, 集計用!$G:$G, "*, "&amp;$C55&amp;", *",集計用!$AE:$AE,K$3))/COUNTIFS(集計用!$G:$G, "*, "&amp;$C55&amp;", *",集計用!$AE:$AE,K$3)</f>
        <v>#DIV/0!</v>
      </c>
      <c r="L55" s="29" t="e">
        <f>(SUMIFS(集計用!$AI:$AI, 集計用!$G:$G, "*, "&amp;$C55&amp;", *",集計用!$AE:$AE,L$3))/COUNTIFS(集計用!$G:$G, "*, "&amp;$C55&amp;", *",集計用!$AE:$AE,L$3)</f>
        <v>#DIV/0!</v>
      </c>
      <c r="M55" s="29" t="e">
        <f>(SUMIFS(集計用!$AI:$AI, 集計用!$G:$G, "*, "&amp;$C55&amp;", *",集計用!$AE:$AE,"56-60")+SUMIFS(集計用!$AI:$AI, 集計用!$G:$G, "*, "&amp;$C55&amp;", *",集計用!$AE:$AE,"61-65"))/(COUNTIFS(集計用!$G:$G, "*, "&amp;$C55&amp;", *",集計用!$AE:$AE,"56-60")+COUNTIFS(集計用!$G:$G, "*, "&amp;$C55&amp;", *",集計用!$AE:$AE,"61-65"))</f>
        <v>#DIV/0!</v>
      </c>
      <c r="N55" s="29" t="e">
        <f>(SUMIFS(集計用!$AI:$AI, 集計用!$G:$G, "*, "&amp;$C55&amp;", *",集計用!$AE:$AE,N$3))/COUNTIFS(集計用!$G:$G, "*, "&amp;$C55&amp;", *",集計用!$AE:$AE,N$3)</f>
        <v>#DIV/0!</v>
      </c>
      <c r="O55" s="2"/>
    </row>
    <row r="56" spans="1:15" ht="14.25" customHeight="1">
      <c r="A56" s="27">
        <v>4</v>
      </c>
      <c r="B56" s="27">
        <f>(COUNTIFS(集計用!$G:$G,"*, "&amp;$C56&amp;",*"))</f>
        <v>5</v>
      </c>
      <c r="C56" s="36" t="s">
        <v>51</v>
      </c>
      <c r="D56" s="29">
        <f>SUMIFS(集計用!$AI:$AI,集計用!$G:$G,"*, "&amp;$C56&amp;", *")/テーブル3[[#This Row],[n=]]</f>
        <v>17.8</v>
      </c>
      <c r="E56" s="29">
        <f>(SUMIFS(集計用!$AI:$AI,集計用!$AE:$AE,"11-15")+SUMIFS(集計用!$AI:$AI,集計用!$AE:$AE,"16-20"))/(COUNTIFS(集計用!$AE:$AE,"11-15")+COUNTIFS(集計用!$AE:$AE,"16-20"))</f>
        <v>3.8775510204081631</v>
      </c>
      <c r="F56" s="29">
        <f>(SUMIFS(集計用!$AI:$AI, 集計用!$G:$G, "*, "&amp;$C56&amp;", *",集計用!$AE:$AE,F$3))/COUNTIFS(集計用!$G:$G, "*, "&amp;$C56&amp;", *",集計用!$AE:$AE,F$3)</f>
        <v>56</v>
      </c>
      <c r="G56" s="29" t="e">
        <f>(SUMIFS(集計用!$AI:$AI, 集計用!$G:$G, "*, "&amp;$C56&amp;", *",集計用!$AE:$AE,G$3))/COUNTIFS(集計用!$G:$G, "*, "&amp;$C56&amp;", *",集計用!$AE:$AE,G$3)</f>
        <v>#DIV/0!</v>
      </c>
      <c r="H56" s="29">
        <f>(SUMIFS(集計用!$AI:$AI, 集計用!$G:$G, "*, "&amp;$C56&amp;", *",集計用!$AE:$AE,H$3))/COUNTIFS(集計用!$G:$G, "*, "&amp;$C56&amp;", *",集計用!$AE:$AE,H$3)</f>
        <v>17</v>
      </c>
      <c r="I56" s="29">
        <f>(SUMIFS(集計用!$AI:$AI, 集計用!$G:$G, "*, "&amp;$C56&amp;", *",集計用!$AE:$AE,I$3))/COUNTIFS(集計用!$G:$G, "*, "&amp;$C56&amp;", *",集計用!$AE:$AE,I$3)</f>
        <v>2.5</v>
      </c>
      <c r="J56" s="29" t="e">
        <f>(SUMIFS(集計用!$AI:$AI, 集計用!$G:$G, "*, "&amp;$C56&amp;", *",集計用!$AE:$AE,J$3))/COUNTIFS(集計用!$G:$G, "*, "&amp;$C56&amp;", *",集計用!$AE:$AE,J$3)</f>
        <v>#DIV/0!</v>
      </c>
      <c r="K56" s="29" t="e">
        <f>(SUMIFS(集計用!$AI:$AI, 集計用!$G:$G, "*, "&amp;$C56&amp;", *",集計用!$AE:$AE,K$3))/COUNTIFS(集計用!$G:$G, "*, "&amp;$C56&amp;", *",集計用!$AE:$AE,K$3)</f>
        <v>#DIV/0!</v>
      </c>
      <c r="L56" s="29" t="e">
        <f>(SUMIFS(集計用!$AI:$AI, 集計用!$G:$G, "*, "&amp;$C56&amp;", *",集計用!$AE:$AE,L$3))/COUNTIFS(集計用!$G:$G, "*, "&amp;$C56&amp;", *",集計用!$AE:$AE,L$3)</f>
        <v>#DIV/0!</v>
      </c>
      <c r="M56" s="29" t="e">
        <f>(SUMIFS(集計用!$AI:$AI, 集計用!$G:$G, "*, "&amp;$C56&amp;", *",集計用!$AE:$AE,"56-60")+SUMIFS(集計用!$AI:$AI, 集計用!$G:$G, "*, "&amp;$C56&amp;", *",集計用!$AE:$AE,"61-65"))/(COUNTIFS(集計用!$G:$G, "*, "&amp;$C56&amp;", *",集計用!$AE:$AE,"56-60")+COUNTIFS(集計用!$G:$G, "*, "&amp;$C56&amp;", *",集計用!$AE:$AE,"61-65"))</f>
        <v>#DIV/0!</v>
      </c>
      <c r="N56" s="29" t="e">
        <f>(SUMIFS(集計用!$AI:$AI, 集計用!$G:$G, "*, "&amp;$C56&amp;", *",集計用!$AE:$AE,N$3))/COUNTIFS(集計用!$G:$G, "*, "&amp;$C56&amp;", *",集計用!$AE:$AE,N$3)</f>
        <v>#DIV/0!</v>
      </c>
      <c r="O56" s="2"/>
    </row>
    <row r="57" spans="1:15" ht="14.25" customHeight="1">
      <c r="A57" s="27" t="s">
        <v>2180</v>
      </c>
      <c r="B57" s="27">
        <f>(COUNTIFS(集計用!$G:$G,"*, "&amp;$C57&amp;",*"))</f>
        <v>4</v>
      </c>
      <c r="C57" s="36" t="s">
        <v>53</v>
      </c>
      <c r="D57" s="29">
        <f>SUMIFS(集計用!$AI:$AI,集計用!$G:$G,"*, "&amp;$C57&amp;", *")/テーブル3[[#This Row],[n=]]</f>
        <v>18</v>
      </c>
      <c r="E57" s="29">
        <f>(SUMIFS(集計用!$AI:$AI,集計用!$AE:$AE,"11-15")+SUMIFS(集計用!$AI:$AI,集計用!$AE:$AE,"16-20"))/(COUNTIFS(集計用!$AE:$AE,"11-15")+COUNTIFS(集計用!$AE:$AE,"16-20"))</f>
        <v>3.8775510204081631</v>
      </c>
      <c r="F57" s="29">
        <f>(SUMIFS(集計用!$AI:$AI, 集計用!$G:$G, "*, "&amp;$C57&amp;", *",集計用!$AE:$AE,F$3))/COUNTIFS(集計用!$G:$G, "*, "&amp;$C57&amp;", *",集計用!$AE:$AE,F$3)</f>
        <v>31.5</v>
      </c>
      <c r="G57" s="29" t="e">
        <f>(SUMIFS(集計用!$AI:$AI, 集計用!$G:$G, "*, "&amp;$C57&amp;", *",集計用!$AE:$AE,G$3))/COUNTIFS(集計用!$G:$G, "*, "&amp;$C57&amp;", *",集計用!$AE:$AE,G$3)</f>
        <v>#DIV/0!</v>
      </c>
      <c r="H57" s="29" t="e">
        <f>(SUMIFS(集計用!$AI:$AI, 集計用!$G:$G, "*, "&amp;$C57&amp;", *",集計用!$AE:$AE,H$3))/COUNTIFS(集計用!$G:$G, "*, "&amp;$C57&amp;", *",集計用!$AE:$AE,H$3)</f>
        <v>#DIV/0!</v>
      </c>
      <c r="I57" s="29" t="e">
        <f>(SUMIFS(集計用!$AI:$AI, 集計用!$G:$G, "*, "&amp;$C57&amp;", *",集計用!$AE:$AE,I$3))/COUNTIFS(集計用!$G:$G, "*, "&amp;$C57&amp;", *",集計用!$AE:$AE,I$3)</f>
        <v>#DIV/0!</v>
      </c>
      <c r="J57" s="29" t="e">
        <f>(SUMIFS(集計用!$AI:$AI, 集計用!$G:$G, "*, "&amp;$C57&amp;", *",集計用!$AE:$AE,J$3))/COUNTIFS(集計用!$G:$G, "*, "&amp;$C57&amp;", *",集計用!$AE:$AE,J$3)</f>
        <v>#DIV/0!</v>
      </c>
      <c r="K57" s="29">
        <f>(SUMIFS(集計用!$AI:$AI, 集計用!$G:$G, "*, "&amp;$C57&amp;", *",集計用!$AE:$AE,K$3))/COUNTIFS(集計用!$G:$G, "*, "&amp;$C57&amp;", *",集計用!$AE:$AE,K$3)</f>
        <v>6</v>
      </c>
      <c r="L57" s="29" t="e">
        <f>(SUMIFS(集計用!$AI:$AI, 集計用!$G:$G, "*, "&amp;$C57&amp;", *",集計用!$AE:$AE,L$3))/COUNTIFS(集計用!$G:$G, "*, "&amp;$C57&amp;", *",集計用!$AE:$AE,L$3)</f>
        <v>#DIV/0!</v>
      </c>
      <c r="M57" s="29" t="e">
        <f>(SUMIFS(集計用!$AI:$AI, 集計用!$G:$G, "*, "&amp;$C57&amp;", *",集計用!$AE:$AE,"56-60")+SUMIFS(集計用!$AI:$AI, 集計用!$G:$G, "*, "&amp;$C57&amp;", *",集計用!$AE:$AE,"61-65"))/(COUNTIFS(集計用!$G:$G, "*, "&amp;$C57&amp;", *",集計用!$AE:$AE,"56-60")+COUNTIFS(集計用!$G:$G, "*, "&amp;$C57&amp;", *",集計用!$AE:$AE,"61-65"))</f>
        <v>#DIV/0!</v>
      </c>
      <c r="N57" s="29" t="e">
        <f>(SUMIFS(集計用!$AI:$AI, 集計用!$G:$G, "*, "&amp;$C57&amp;", *",集計用!$AE:$AE,N$3))/COUNTIFS(集計用!$G:$G, "*, "&amp;$C57&amp;", *",集計用!$AE:$AE,N$3)</f>
        <v>#DIV/0!</v>
      </c>
      <c r="O57" s="2"/>
    </row>
    <row r="58" spans="1:15" ht="14.25" customHeight="1">
      <c r="A58" s="27" t="s">
        <v>2180</v>
      </c>
      <c r="B58" s="27">
        <f>(COUNTIFS(集計用!$G:$G,"*, "&amp;$C58&amp;",*"))</f>
        <v>4</v>
      </c>
      <c r="C58" s="36" t="s">
        <v>52</v>
      </c>
      <c r="D58" s="29">
        <f>SUMIFS(集計用!$AI:$AI,集計用!$G:$G,"*, "&amp;$C58&amp;", *")/テーブル3[[#This Row],[n=]]</f>
        <v>18</v>
      </c>
      <c r="E58" s="29">
        <f>(SUMIFS(集計用!$AI:$AI,集計用!$AE:$AE,"11-15")+SUMIFS(集計用!$AI:$AI,集計用!$AE:$AE,"16-20"))/(COUNTIFS(集計用!$AE:$AE,"11-15")+COUNTIFS(集計用!$AE:$AE,"16-20"))</f>
        <v>3.8775510204081631</v>
      </c>
      <c r="F58" s="29">
        <f>(SUMIFS(集計用!$AI:$AI, 集計用!$G:$G, "*, "&amp;$C58&amp;", *",集計用!$AE:$AE,F$3))/COUNTIFS(集計用!$G:$G, "*, "&amp;$C58&amp;", *",集計用!$AE:$AE,F$3)</f>
        <v>23</v>
      </c>
      <c r="G58" s="29" t="e">
        <f>(SUMIFS(集計用!$AI:$AI, 集計用!$G:$G, "*, "&amp;$C58&amp;", *",集計用!$AE:$AE,G$3))/COUNTIFS(集計用!$G:$G, "*, "&amp;$C58&amp;", *",集計用!$AE:$AE,G$3)</f>
        <v>#DIV/0!</v>
      </c>
      <c r="H58" s="29" t="e">
        <f>(SUMIFS(集計用!$AI:$AI, 集計用!$G:$G, "*, "&amp;$C58&amp;", *",集計用!$AE:$AE,H$3))/COUNTIFS(集計用!$G:$G, "*, "&amp;$C58&amp;", *",集計用!$AE:$AE,H$3)</f>
        <v>#DIV/0!</v>
      </c>
      <c r="I58" s="29" t="e">
        <f>(SUMIFS(集計用!$AI:$AI, 集計用!$G:$G, "*, "&amp;$C58&amp;", *",集計用!$AE:$AE,I$3))/COUNTIFS(集計用!$G:$G, "*, "&amp;$C58&amp;", *",集計用!$AE:$AE,I$3)</f>
        <v>#DIV/0!</v>
      </c>
      <c r="J58" s="29" t="e">
        <f>(SUMIFS(集計用!$AI:$AI, 集計用!$G:$G, "*, "&amp;$C58&amp;", *",集計用!$AE:$AE,J$3))/COUNTIFS(集計用!$G:$G, "*, "&amp;$C58&amp;", *",集計用!$AE:$AE,J$3)</f>
        <v>#DIV/0!</v>
      </c>
      <c r="K58" s="29" t="e">
        <f>(SUMIFS(集計用!$AI:$AI, 集計用!$G:$G, "*, "&amp;$C58&amp;", *",集計用!$AE:$AE,K$3))/COUNTIFS(集計用!$G:$G, "*, "&amp;$C58&amp;", *",集計用!$AE:$AE,K$3)</f>
        <v>#DIV/0!</v>
      </c>
      <c r="L58" s="29" t="e">
        <f>(SUMIFS(集計用!$AI:$AI, 集計用!$G:$G, "*, "&amp;$C58&amp;", *",集計用!$AE:$AE,L$3))/COUNTIFS(集計用!$G:$G, "*, "&amp;$C58&amp;", *",集計用!$AE:$AE,L$3)</f>
        <v>#DIV/0!</v>
      </c>
      <c r="M58" s="29" t="e">
        <f>(SUMIFS(集計用!$AI:$AI, 集計用!$G:$G, "*, "&amp;$C58&amp;", *",集計用!$AE:$AE,"56-60")+SUMIFS(集計用!$AI:$AI, 集計用!$G:$G, "*, "&amp;$C58&amp;", *",集計用!$AE:$AE,"61-65"))/(COUNTIFS(集計用!$G:$G, "*, "&amp;$C58&amp;", *",集計用!$AE:$AE,"56-60")+COUNTIFS(集計用!$G:$G, "*, "&amp;$C58&amp;", *",集計用!$AE:$AE,"61-65"))</f>
        <v>#DIV/0!</v>
      </c>
      <c r="N58" s="29" t="e">
        <f>(SUMIFS(集計用!$AI:$AI, 集計用!$G:$G, "*, "&amp;$C58&amp;", *",集計用!$AE:$AE,N$3))/COUNTIFS(集計用!$G:$G, "*, "&amp;$C58&amp;", *",集計用!$AE:$AE,N$3)</f>
        <v>#DIV/0!</v>
      </c>
      <c r="O58" s="2"/>
    </row>
    <row r="59" spans="1:15" ht="12.75">
      <c r="A59" s="27" t="s">
        <v>2180</v>
      </c>
      <c r="B59" s="27">
        <f>(COUNTIFS(集計用!$G:$G,"*, "&amp;$C59&amp;",*"))</f>
        <v>3</v>
      </c>
      <c r="C59" s="36" t="s">
        <v>54</v>
      </c>
      <c r="D59" s="29">
        <f>SUMIFS(集計用!$AI:$AI,集計用!$G:$G,"*, "&amp;$C59&amp;", *")/テーブル3[[#This Row],[n=]]</f>
        <v>22.333333333333332</v>
      </c>
      <c r="E59" s="29">
        <f>(SUMIFS(集計用!$AI:$AI,集計用!$AE:$AE,"11-15")+SUMIFS(集計用!$AI:$AI,集計用!$AE:$AE,"16-20"))/(COUNTIFS(集計用!$AE:$AE,"11-15")+COUNTIFS(集計用!$AE:$AE,"16-20"))</f>
        <v>3.8775510204081631</v>
      </c>
      <c r="F59" s="29">
        <f>(SUMIFS(集計用!$AI:$AI, 集計用!$G:$G, "*, "&amp;$C59&amp;", *",集計用!$AE:$AE,F$3))/COUNTIFS(集計用!$G:$G, "*, "&amp;$C59&amp;", *",集計用!$AE:$AE,F$3)</f>
        <v>56</v>
      </c>
      <c r="G59" s="29">
        <f>(SUMIFS(集計用!$AI:$AI, 集計用!$G:$G, "*, "&amp;$C59&amp;", *",集計用!$AE:$AE,G$3))/COUNTIFS(集計用!$G:$G, "*, "&amp;$C59&amp;", *",集計用!$AE:$AE,G$3)</f>
        <v>9</v>
      </c>
      <c r="H59" s="29" t="e">
        <f>(SUMIFS(集計用!$AI:$AI, 集計用!$G:$G, "*, "&amp;$C59&amp;", *",集計用!$AE:$AE,H$3))/COUNTIFS(集計用!$G:$G, "*, "&amp;$C59&amp;", *",集計用!$AE:$AE,H$3)</f>
        <v>#DIV/0!</v>
      </c>
      <c r="I59" s="29">
        <f>(SUMIFS(集計用!$AI:$AI, 集計用!$G:$G, "*, "&amp;$C59&amp;", *",集計用!$AE:$AE,I$3))/COUNTIFS(集計用!$G:$G, "*, "&amp;$C59&amp;", *",集計用!$AE:$AE,I$3)</f>
        <v>2</v>
      </c>
      <c r="J59" s="29" t="e">
        <f>(SUMIFS(集計用!$AI:$AI, 集計用!$G:$G, "*, "&amp;$C59&amp;", *",集計用!$AE:$AE,J$3))/COUNTIFS(集計用!$G:$G, "*, "&amp;$C59&amp;", *",集計用!$AE:$AE,J$3)</f>
        <v>#DIV/0!</v>
      </c>
      <c r="K59" s="29" t="e">
        <f>(SUMIFS(集計用!$AI:$AI, 集計用!$G:$G, "*, "&amp;$C59&amp;", *",集計用!$AE:$AE,K$3))/COUNTIFS(集計用!$G:$G, "*, "&amp;$C59&amp;", *",集計用!$AE:$AE,K$3)</f>
        <v>#DIV/0!</v>
      </c>
      <c r="L59" s="29" t="e">
        <f>(SUMIFS(集計用!$AI:$AI, 集計用!$G:$G, "*, "&amp;$C59&amp;", *",集計用!$AE:$AE,L$3))/COUNTIFS(集計用!$G:$G, "*, "&amp;$C59&amp;", *",集計用!$AE:$AE,L$3)</f>
        <v>#DIV/0!</v>
      </c>
      <c r="M59" s="29" t="e">
        <f>(SUMIFS(集計用!$AI:$AI, 集計用!$G:$G, "*, "&amp;$C59&amp;", *",集計用!$AE:$AE,"56-60")+SUMIFS(集計用!$AI:$AI, 集計用!$G:$G, "*, "&amp;$C59&amp;", *",集計用!$AE:$AE,"61-65"))/(COUNTIFS(集計用!$G:$G, "*, "&amp;$C59&amp;", *",集計用!$AE:$AE,"56-60")+COUNTIFS(集計用!$G:$G, "*, "&amp;$C59&amp;", *",集計用!$AE:$AE,"61-65"))</f>
        <v>#DIV/0!</v>
      </c>
      <c r="N59" s="29" t="e">
        <f>(SUMIFS(集計用!$AI:$AI, 集計用!$G:$G, "*, "&amp;$C59&amp;", *",集計用!$AE:$AE,N$3))/COUNTIFS(集計用!$G:$G, "*, "&amp;$C59&amp;", *",集計用!$AE:$AE,N$3)</f>
        <v>#DIV/0!</v>
      </c>
      <c r="O59" s="2"/>
    </row>
    <row r="60" spans="1:15" ht="14.25" customHeight="1">
      <c r="A60" s="27" t="s">
        <v>2180</v>
      </c>
      <c r="B60" s="27">
        <f>(COUNTIFS(集計用!$G:$G,"*, "&amp;$C60&amp;",*"))</f>
        <v>2</v>
      </c>
      <c r="C60" s="36" t="s">
        <v>55</v>
      </c>
      <c r="D60" s="29">
        <f>SUMIFS(集計用!$AI:$AI,集計用!$G:$G,"*, "&amp;$C60&amp;", *")/テーブル3[[#This Row],[n=]]</f>
        <v>34</v>
      </c>
      <c r="E60" s="29">
        <f>(SUMIFS(集計用!$AI:$AI,集計用!$AE:$AE,"11-15")+SUMIFS(集計用!$AI:$AI,集計用!$AE:$AE,"16-20"))/(COUNTIFS(集計用!$AE:$AE,"11-15")+COUNTIFS(集計用!$AE:$AE,"16-20"))</f>
        <v>3.8775510204081631</v>
      </c>
      <c r="F60" s="29">
        <f>(SUMIFS(集計用!$AI:$AI, 集計用!$G:$G, "*, "&amp;$C60&amp;", *",集計用!$AE:$AE,F$3))/COUNTIFS(集計用!$G:$G, "*, "&amp;$C60&amp;", *",集計用!$AE:$AE,F$3)</f>
        <v>56</v>
      </c>
      <c r="G60" s="29" t="e">
        <f>(SUMIFS(集計用!$AI:$AI, 集計用!$G:$G, "*, "&amp;$C60&amp;", *",集計用!$AE:$AE,G$3))/COUNTIFS(集計用!$G:$G, "*, "&amp;$C60&amp;", *",集計用!$AE:$AE,G$3)</f>
        <v>#DIV/0!</v>
      </c>
      <c r="H60" s="29" t="e">
        <f>(SUMIFS(集計用!$AI:$AI, 集計用!$G:$G, "*, "&amp;$C60&amp;", *",集計用!$AE:$AE,H$3))/COUNTIFS(集計用!$G:$G, "*, "&amp;$C60&amp;", *",集計用!$AE:$AE,H$3)</f>
        <v>#DIV/0!</v>
      </c>
      <c r="I60" s="29" t="e">
        <f>(SUMIFS(集計用!$AI:$AI, 集計用!$G:$G, "*, "&amp;$C60&amp;", *",集計用!$AE:$AE,I$3))/COUNTIFS(集計用!$G:$G, "*, "&amp;$C60&amp;", *",集計用!$AE:$AE,I$3)</f>
        <v>#DIV/0!</v>
      </c>
      <c r="J60" s="29" t="e">
        <f>(SUMIFS(集計用!$AI:$AI, 集計用!$G:$G, "*, "&amp;$C60&amp;", *",集計用!$AE:$AE,J$3))/COUNTIFS(集計用!$G:$G, "*, "&amp;$C60&amp;", *",集計用!$AE:$AE,J$3)</f>
        <v>#DIV/0!</v>
      </c>
      <c r="K60" s="29">
        <f>(SUMIFS(集計用!$AI:$AI, 集計用!$G:$G, "*, "&amp;$C60&amp;", *",集計用!$AE:$AE,K$3))/COUNTIFS(集計用!$G:$G, "*, "&amp;$C60&amp;", *",集計用!$AE:$AE,K$3)</f>
        <v>12</v>
      </c>
      <c r="L60" s="29" t="e">
        <f>(SUMIFS(集計用!$AI:$AI, 集計用!$G:$G, "*, "&amp;$C60&amp;", *",集計用!$AE:$AE,L$3))/COUNTIFS(集計用!$G:$G, "*, "&amp;$C60&amp;", *",集計用!$AE:$AE,L$3)</f>
        <v>#DIV/0!</v>
      </c>
      <c r="M60" s="29" t="e">
        <f>(SUMIFS(集計用!$AI:$AI, 集計用!$G:$G, "*, "&amp;$C60&amp;", *",集計用!$AE:$AE,"56-60")+SUMIFS(集計用!$AI:$AI, 集計用!$G:$G, "*, "&amp;$C60&amp;", *",集計用!$AE:$AE,"61-65"))/(COUNTIFS(集計用!$G:$G, "*, "&amp;$C60&amp;", *",集計用!$AE:$AE,"56-60")+COUNTIFS(集計用!$G:$G, "*, "&amp;$C60&amp;", *",集計用!$AE:$AE,"61-65"))</f>
        <v>#DIV/0!</v>
      </c>
      <c r="N60" s="29" t="e">
        <f>(SUMIFS(集計用!$AI:$AI, 集計用!$G:$G, "*, "&amp;$C60&amp;", *",集計用!$AE:$AE,N$3))/COUNTIFS(集計用!$G:$G, "*, "&amp;$C60&amp;", *",集計用!$AE:$AE,N$3)</f>
        <v>#DIV/0!</v>
      </c>
      <c r="O60" s="2"/>
    </row>
    <row r="61" spans="1:15" ht="14.25" customHeight="1">
      <c r="A61" s="27" t="s">
        <v>2180</v>
      </c>
      <c r="B61" s="27">
        <f>(COUNTIFS(集計用!$G:$G,"*, "&amp;$C61&amp;",*"))</f>
        <v>1</v>
      </c>
      <c r="C61" s="36" t="s">
        <v>56</v>
      </c>
      <c r="D61" s="29">
        <f>SUMIFS(集計用!$AI:$AI,集計用!$G:$G,"*, "&amp;$C61&amp;", *")/テーブル3[[#This Row],[n=]]</f>
        <v>8</v>
      </c>
      <c r="E61" s="29">
        <f>(SUMIFS(集計用!$AI:$AI,集計用!$AE:$AE,"11-15")+SUMIFS(集計用!$AI:$AI,集計用!$AE:$AE,"16-20"))/(COUNTIFS(集計用!$AE:$AE,"11-15")+COUNTIFS(集計用!$AE:$AE,"16-20"))</f>
        <v>3.8775510204081631</v>
      </c>
      <c r="F61" s="29" t="e">
        <f>(SUMIFS(集計用!$AI:$AI, 集計用!$G:$G, "*, "&amp;$C61&amp;", *",集計用!$AE:$AE,F$3))/COUNTIFS(集計用!$G:$G, "*, "&amp;$C61&amp;", *",集計用!$AE:$AE,F$3)</f>
        <v>#DIV/0!</v>
      </c>
      <c r="G61" s="29">
        <f>(SUMIFS(集計用!$AI:$AI, 集計用!$G:$G, "*, "&amp;$C61&amp;", *",集計用!$AE:$AE,G$3))/COUNTIFS(集計用!$G:$G, "*, "&amp;$C61&amp;", *",集計用!$AE:$AE,G$3)</f>
        <v>8</v>
      </c>
      <c r="H61" s="29" t="e">
        <f>(SUMIFS(集計用!$AI:$AI, 集計用!$G:$G, "*, "&amp;$C61&amp;", *",集計用!$AE:$AE,H$3))/COUNTIFS(集計用!$G:$G, "*, "&amp;$C61&amp;", *",集計用!$AE:$AE,H$3)</f>
        <v>#DIV/0!</v>
      </c>
      <c r="I61" s="29" t="e">
        <f>(SUMIFS(集計用!$AI:$AI, 集計用!$G:$G, "*, "&amp;$C61&amp;", *",集計用!$AE:$AE,I$3))/COUNTIFS(集計用!$G:$G, "*, "&amp;$C61&amp;", *",集計用!$AE:$AE,I$3)</f>
        <v>#DIV/0!</v>
      </c>
      <c r="J61" s="29" t="e">
        <f>(SUMIFS(集計用!$AI:$AI, 集計用!$G:$G, "*, "&amp;$C61&amp;", *",集計用!$AE:$AE,J$3))/COUNTIFS(集計用!$G:$G, "*, "&amp;$C61&amp;", *",集計用!$AE:$AE,J$3)</f>
        <v>#DIV/0!</v>
      </c>
      <c r="K61" s="29" t="e">
        <f>(SUMIFS(集計用!$AI:$AI, 集計用!$G:$G, "*, "&amp;$C61&amp;", *",集計用!$AE:$AE,K$3))/COUNTIFS(集計用!$G:$G, "*, "&amp;$C61&amp;", *",集計用!$AE:$AE,K$3)</f>
        <v>#DIV/0!</v>
      </c>
      <c r="L61" s="29" t="e">
        <f>(SUMIFS(集計用!$AI:$AI, 集計用!$G:$G, "*, "&amp;$C61&amp;", *",集計用!$AE:$AE,L$3))/COUNTIFS(集計用!$G:$G, "*, "&amp;$C61&amp;", *",集計用!$AE:$AE,L$3)</f>
        <v>#DIV/0!</v>
      </c>
      <c r="M61" s="29" t="e">
        <f>(SUMIFS(集計用!$AI:$AI, 集計用!$G:$G, "*, "&amp;$C61&amp;", *",集計用!$AE:$AE,"56-60")+SUMIFS(集計用!$AI:$AI, 集計用!$G:$G, "*, "&amp;$C61&amp;", *",集計用!$AE:$AE,"61-65"))/(COUNTIFS(集計用!$G:$G, "*, "&amp;$C61&amp;", *",集計用!$AE:$AE,"56-60")+COUNTIFS(集計用!$G:$G, "*, "&amp;$C61&amp;", *",集計用!$AE:$AE,"61-65"))</f>
        <v>#DIV/0!</v>
      </c>
      <c r="N61" s="29" t="e">
        <f>(SUMIFS(集計用!$AI:$AI, 集計用!$G:$G, "*, "&amp;$C61&amp;", *",集計用!$AE:$AE,N$3))/COUNTIFS(集計用!$G:$G, "*, "&amp;$C61&amp;", *",集計用!$AE:$AE,N$3)</f>
        <v>#DIV/0!</v>
      </c>
      <c r="O61" s="2"/>
    </row>
    <row r="62" spans="1:15" ht="14.25" customHeight="1">
      <c r="E62" s="13"/>
      <c r="F62" s="13"/>
      <c r="G62" s="13"/>
      <c r="H62" s="13"/>
      <c r="I62" s="13"/>
      <c r="J62" s="13"/>
      <c r="K62" s="13"/>
      <c r="L62" s="13"/>
      <c r="M62" s="13"/>
      <c r="N62" s="13"/>
    </row>
    <row r="63" spans="1:15" ht="12.75">
      <c r="C63" s="19"/>
    </row>
  </sheetData>
  <phoneticPr fontId="8"/>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7F5C9-7284-487E-9A6A-04678382533F}">
  <sheetPr>
    <outlinePr summaryBelow="0" summaryRight="0"/>
  </sheetPr>
  <dimension ref="A1:CK68"/>
  <sheetViews>
    <sheetView zoomScaleNormal="100" workbookViewId="0">
      <selection activeCell="A28" sqref="A28"/>
    </sheetView>
  </sheetViews>
  <sheetFormatPr defaultColWidth="12.5703125" defaultRowHeight="15.75" customHeight="1"/>
  <cols>
    <col min="1" max="2" width="12.5703125" style="20"/>
    <col min="3" max="3" width="26.7109375" style="20" customWidth="1"/>
    <col min="4" max="4" width="23.5703125" style="20" customWidth="1"/>
    <col min="5" max="9" width="13.7109375" style="20" bestFit="1" customWidth="1"/>
    <col min="10" max="10" width="12.5703125" style="20"/>
    <col min="11" max="13" width="13.7109375" style="20" bestFit="1" customWidth="1"/>
    <col min="14" max="28" width="12.5703125" style="20"/>
    <col min="29" max="29" width="18.28515625" style="20" customWidth="1"/>
    <col min="30" max="33" width="12.5703125" style="20"/>
    <col min="34" max="34" width="26.7109375" style="20" customWidth="1"/>
    <col min="35" max="35" width="18.85546875" style="20" customWidth="1"/>
    <col min="36" max="41" width="12.5703125" style="20"/>
    <col min="42" max="42" width="14.42578125" style="20" customWidth="1"/>
    <col min="43" max="43" width="12.5703125" style="20"/>
    <col min="44" max="44" width="16.5703125" style="20" customWidth="1"/>
    <col min="45" max="48" width="12.5703125" style="20"/>
    <col min="49" max="49" width="16.140625" style="20" customWidth="1"/>
    <col min="50" max="50" width="14" style="20" customWidth="1"/>
    <col min="51" max="51" width="16.140625" style="20" customWidth="1"/>
    <col min="52" max="53" width="12.5703125" style="20"/>
    <col min="54" max="54" width="43.85546875" style="20" customWidth="1"/>
    <col min="55" max="55" width="12.5703125" style="20"/>
    <col min="56" max="56" width="24.5703125" style="20" customWidth="1"/>
    <col min="57" max="57" width="13.85546875" style="20" customWidth="1"/>
    <col min="58" max="16384" width="12.5703125" style="20"/>
  </cols>
  <sheetData>
    <row r="1" spans="1:89" ht="15.75" customHeight="1">
      <c r="A1" s="30" t="s">
        <v>2296</v>
      </c>
    </row>
    <row r="2" spans="1:89" ht="15.75" customHeight="1">
      <c r="A2" s="30"/>
    </row>
    <row r="3" spans="1:89" ht="13.5" customHeight="1">
      <c r="C3" s="20" t="s">
        <v>2261</v>
      </c>
      <c r="D3" s="20">
        <f>COUNTIFS(集計用!$Q:$Q, "*, "&amp;D$4&amp;", *")</f>
        <v>305</v>
      </c>
      <c r="E3" s="20">
        <f>COUNTIFS(集計用!$Q:$Q, "*, "&amp;E$4&amp;", *")</f>
        <v>227</v>
      </c>
      <c r="F3" s="20">
        <f>COUNTIFS(集計用!$Q:$Q, "*, "&amp;F$4&amp;", *")</f>
        <v>209</v>
      </c>
      <c r="G3" s="20">
        <f>COUNTIFS(集計用!$Q:$Q, "*, "&amp;G$4&amp;", *")</f>
        <v>114</v>
      </c>
      <c r="H3" s="20">
        <f>COUNTIFS(集計用!$Q:$Q, "*, "&amp;H$4&amp;", *")</f>
        <v>98</v>
      </c>
      <c r="I3" s="20">
        <f>COUNTIFS(集計用!$Q:$Q, "*, "&amp;I$4&amp;", *")</f>
        <v>96</v>
      </c>
      <c r="J3" s="20">
        <f>COUNTIFS(集計用!$Q:$Q, "*, "&amp;J$4&amp;", *")</f>
        <v>79</v>
      </c>
      <c r="K3" s="20">
        <f>COUNTIFS(集計用!$Q:$Q, "*, "&amp;K$4&amp;", *")</f>
        <v>73</v>
      </c>
      <c r="L3" s="20">
        <f>COUNTIFS(集計用!$Q:$Q, "*, "&amp;L$4&amp;", *")</f>
        <v>71</v>
      </c>
      <c r="M3" s="20">
        <f>COUNTIFS(集計用!$Q:$Q, "*, "&amp;M$4&amp;", *")</f>
        <v>69</v>
      </c>
      <c r="N3" s="20">
        <f>COUNTIFS(集計用!$Q:$Q, "*, "&amp;N$4&amp;", *")</f>
        <v>60</v>
      </c>
      <c r="O3" s="20">
        <f>COUNTIFS(集計用!$Q:$Q, "*, "&amp;O$4&amp;", *")</f>
        <v>57</v>
      </c>
      <c r="P3" s="20">
        <f>COUNTIFS(集計用!$Q:$Q, "*, "&amp;P$4&amp;", *")</f>
        <v>56</v>
      </c>
      <c r="Q3" s="20">
        <f>COUNTIFS(集計用!$Q:$Q, "*, "&amp;Q$4&amp;", *")</f>
        <v>28</v>
      </c>
      <c r="R3" s="20">
        <f>COUNTIFS(集計用!$Q:$Q, "*, "&amp;R$4&amp;", *")</f>
        <v>26</v>
      </c>
      <c r="S3" s="20">
        <f>COUNTIFS(集計用!$Q:$Q, "*, "&amp;S$4&amp;", *")</f>
        <v>15</v>
      </c>
      <c r="T3" s="20">
        <f>COUNTIFS(集計用!$Q:$Q, "*, "&amp;T$4&amp;", *")</f>
        <v>8</v>
      </c>
      <c r="V3" s="20">
        <f>COUNTIFS(集計用!$P:$P, "*"&amp;V$4&amp;",*")</f>
        <v>7</v>
      </c>
      <c r="W3" s="20">
        <f>COUNTIFS(集計用!$P:$P, "*"&amp;W$4&amp;",*")</f>
        <v>7</v>
      </c>
      <c r="X3" s="20">
        <f>COUNTIFS(集計用!$P:$P, "*"&amp;X$4&amp;",*")</f>
        <v>5</v>
      </c>
      <c r="Y3" s="20">
        <f>COUNTIFS(集計用!$P:$P, "*"&amp;Y$4&amp;",*")</f>
        <v>5</v>
      </c>
      <c r="Z3" s="20">
        <f>COUNTIFS(集計用!$P:$P, "*"&amp;Z$4&amp;",*")</f>
        <v>4</v>
      </c>
      <c r="AA3" s="20">
        <f>COUNTIFS(集計用!$P:$P, "*"&amp;AA$4&amp;",*")</f>
        <v>3</v>
      </c>
      <c r="AB3" s="20">
        <f>COUNTIFS(集計用!$P:$P, "*"&amp;AB$4&amp;",*")</f>
        <v>3</v>
      </c>
      <c r="AC3" s="20">
        <f>COUNTIFS(集計用!$P:$P, "*"&amp;AC$4&amp;",*")</f>
        <v>3</v>
      </c>
      <c r="AD3" s="20">
        <f>COUNTIFS(集計用!$P:$P, "*"&amp;AD$4&amp;",*")</f>
        <v>2</v>
      </c>
      <c r="AE3" s="20">
        <f>COUNTIFS(集計用!$P:$P, "*"&amp;AE$4&amp;",*")</f>
        <v>2</v>
      </c>
      <c r="AF3" s="20">
        <f>COUNTIFS(集計用!$P:$P, "*"&amp;AF$4&amp;",*")</f>
        <v>2</v>
      </c>
      <c r="AG3" s="20">
        <f>COUNTIFS(集計用!$P:$P, "*"&amp;AG$4&amp;",*")</f>
        <v>2</v>
      </c>
      <c r="AH3" s="20">
        <f>COUNTIFS(集計用!$P:$P, "*"&amp;AH$4&amp;",*")</f>
        <v>2</v>
      </c>
      <c r="AI3" s="20">
        <f>COUNTIFS(集計用!$P:$P, "*"&amp;AI$4&amp;",*")</f>
        <v>3</v>
      </c>
      <c r="AJ3" s="20">
        <f>COUNTIFS(集計用!$P:$P, "*"&amp;AJ$4&amp;",*")</f>
        <v>1</v>
      </c>
      <c r="AK3" s="20">
        <f>COUNTIFS(集計用!$P:$P, "*"&amp;AK$4&amp;",*")</f>
        <v>0</v>
      </c>
      <c r="AL3" s="20">
        <f>COUNTIFS(集計用!$P:$P, "*"&amp;AL$4&amp;",*")</f>
        <v>1</v>
      </c>
      <c r="AM3" s="20">
        <f>COUNTIFS(集計用!$P:$P, "*"&amp;AM$4&amp;",*")</f>
        <v>1</v>
      </c>
      <c r="AN3" s="20">
        <f>COUNTIFS(集計用!$P:$P, "*"&amp;AN$4&amp;",*")</f>
        <v>1</v>
      </c>
      <c r="AO3" s="20">
        <f>COUNTIFS(集計用!$P:$P, "*"&amp;AO$4&amp;",*")</f>
        <v>1</v>
      </c>
      <c r="AP3" s="20">
        <f>COUNTIFS(集計用!$P:$P, "*"&amp;AP$4&amp;",*")</f>
        <v>1</v>
      </c>
      <c r="AQ3" s="20">
        <f>COUNTIFS(集計用!$P:$P, "*"&amp;AQ$4&amp;",*")</f>
        <v>1</v>
      </c>
      <c r="AR3" s="20">
        <f>COUNTIFS(集計用!$P:$P, "*"&amp;AR$4&amp;",*")</f>
        <v>1</v>
      </c>
      <c r="AS3" s="20">
        <f>COUNTIFS(集計用!$P:$P, "*"&amp;AS$4&amp;",*")</f>
        <v>1</v>
      </c>
      <c r="AT3" s="20">
        <f>COUNTIFS(集計用!$P:$P, "*"&amp;AT$4&amp;",*")</f>
        <v>1</v>
      </c>
      <c r="AU3" s="20">
        <f>COUNTIFS(集計用!$P:$P, "*"&amp;AU$4&amp;",*")</f>
        <v>1</v>
      </c>
      <c r="AV3" s="20">
        <f>COUNTIFS(集計用!$P:$P, "*"&amp;AV$4&amp;",*")</f>
        <v>1</v>
      </c>
      <c r="AW3" s="20">
        <f>COUNTIFS(集計用!$P:$P, "*"&amp;AW$4&amp;",*")</f>
        <v>1</v>
      </c>
      <c r="AX3" s="20">
        <f>COUNTIFS(集計用!$P:$P, "*"&amp;AX$4&amp;",*")</f>
        <v>1</v>
      </c>
      <c r="AY3" s="20">
        <f>COUNTIFS(集計用!$P:$P, "*"&amp;AY$4&amp;",*")</f>
        <v>1</v>
      </c>
      <c r="AZ3" s="20">
        <f>COUNTIFS(集計用!$P:$P, "*"&amp;AZ$4&amp;",*")</f>
        <v>1</v>
      </c>
      <c r="BA3" s="20">
        <f>COUNTIFS(集計用!$P:$P, "*"&amp;BA$4&amp;",*")</f>
        <v>1</v>
      </c>
      <c r="BB3" s="20">
        <f>COUNTIFS(集計用!$P:$P, "*"&amp;BB$4&amp;",*")</f>
        <v>1</v>
      </c>
      <c r="BC3" s="20">
        <f>COUNTIFS(集計用!$P:$P, "*"&amp;BC$4&amp;",*")</f>
        <v>1</v>
      </c>
      <c r="BD3" s="20">
        <f>COUNTIFS(集計用!$P:$P, "*"&amp;BD$4&amp;",*")</f>
        <v>1</v>
      </c>
      <c r="BE3" s="20">
        <f>COUNTIFS(集計用!$P:$P, "*"&amp;BE$4&amp;",*")</f>
        <v>1</v>
      </c>
      <c r="BF3" s="20">
        <f>COUNTIFS(集計用!$P:$P, "*"&amp;BF$4&amp;",*")</f>
        <v>1</v>
      </c>
      <c r="BG3" s="20">
        <f>COUNTIFS(集計用!$P:$P, "*"&amp;BG$4&amp;",*")</f>
        <v>1</v>
      </c>
      <c r="BH3" s="20">
        <f>COUNTIFS(集計用!$P:$P, "*"&amp;BH$4&amp;",*")</f>
        <v>1</v>
      </c>
      <c r="BI3" s="20">
        <f>COUNTIFS(集計用!$P:$P, "*"&amp;BI$4&amp;",*")</f>
        <v>1</v>
      </c>
      <c r="BJ3" s="20">
        <f>COUNTIFS(集計用!$P:$P, "*"&amp;BJ$4&amp;",*")</f>
        <v>1</v>
      </c>
      <c r="BK3" s="20">
        <f>COUNTIFS(集計用!$P:$P, "*"&amp;BK$4&amp;",*")</f>
        <v>1</v>
      </c>
      <c r="BL3" s="20">
        <f>COUNTIFS(集計用!$P:$P, "*"&amp;BL$4&amp;",*")</f>
        <v>1</v>
      </c>
      <c r="BM3" s="20">
        <f>COUNTIFS(集計用!$P:$P, "*"&amp;BM$4&amp;",*")</f>
        <v>1</v>
      </c>
      <c r="BN3" s="20">
        <f>COUNTIFS(集計用!$P:$P, "*"&amp;BN$4&amp;",*")</f>
        <v>1</v>
      </c>
      <c r="BO3" s="20">
        <f>COUNTIFS(集計用!$P:$P, "*"&amp;BO$4&amp;",*")</f>
        <v>1</v>
      </c>
      <c r="BP3" s="20">
        <f>COUNTIFS(集計用!$P:$P, "*"&amp;BP$4&amp;",*")</f>
        <v>1</v>
      </c>
      <c r="BQ3" s="20">
        <f>COUNTIFS(集計用!$P:$P, "*"&amp;BQ$4&amp;",*")</f>
        <v>1</v>
      </c>
      <c r="BR3" s="20">
        <f>COUNTIFS(集計用!$P:$P, "*"&amp;BR$4&amp;",*")</f>
        <v>1</v>
      </c>
      <c r="BS3" s="20">
        <f>COUNTIFS(集計用!$P:$P, "*"&amp;BS$4&amp;",*")</f>
        <v>1</v>
      </c>
      <c r="BT3" s="20">
        <f>COUNTIFS(集計用!$P:$P, "*"&amp;BT$4&amp;",*")</f>
        <v>1</v>
      </c>
    </row>
    <row r="4" spans="1:89" ht="14.25">
      <c r="A4" s="46" t="s">
        <v>2178</v>
      </c>
      <c r="B4" s="46" t="s">
        <v>2179</v>
      </c>
      <c r="C4" s="46" t="s">
        <v>2182</v>
      </c>
      <c r="D4" s="47" t="s">
        <v>167</v>
      </c>
      <c r="E4" s="47" t="s">
        <v>168</v>
      </c>
      <c r="F4" s="47" t="s">
        <v>169</v>
      </c>
      <c r="G4" s="47" t="s">
        <v>170</v>
      </c>
      <c r="H4" s="47" t="s">
        <v>124</v>
      </c>
      <c r="I4" s="47" t="s">
        <v>171</v>
      </c>
      <c r="J4" s="47" t="s">
        <v>105</v>
      </c>
      <c r="K4" s="47" t="s">
        <v>172</v>
      </c>
      <c r="L4" s="47" t="s">
        <v>173</v>
      </c>
      <c r="M4" s="47" t="s">
        <v>174</v>
      </c>
      <c r="N4" s="48" t="s">
        <v>175</v>
      </c>
      <c r="O4" s="48" t="s">
        <v>176</v>
      </c>
      <c r="P4" s="48" t="s">
        <v>177</v>
      </c>
      <c r="Q4" s="48" t="s">
        <v>178</v>
      </c>
      <c r="R4" s="48" t="s">
        <v>121</v>
      </c>
      <c r="S4" s="48" t="s">
        <v>107</v>
      </c>
      <c r="T4" s="49" t="s">
        <v>179</v>
      </c>
      <c r="U4"/>
      <c r="V4" s="77" t="s">
        <v>57</v>
      </c>
      <c r="W4" s="78" t="s">
        <v>60</v>
      </c>
      <c r="X4" s="79" t="s">
        <v>2289</v>
      </c>
      <c r="Y4" s="78" t="s">
        <v>73</v>
      </c>
      <c r="Z4" s="77" t="s">
        <v>59</v>
      </c>
      <c r="AA4" s="78" t="s">
        <v>61</v>
      </c>
      <c r="AB4" s="79" t="s">
        <v>2290</v>
      </c>
      <c r="AC4" s="77" t="s">
        <v>2264</v>
      </c>
      <c r="AD4" s="52" t="s">
        <v>2294</v>
      </c>
      <c r="AE4" s="78" t="s">
        <v>63</v>
      </c>
      <c r="AF4" s="77" t="s">
        <v>168</v>
      </c>
      <c r="AG4" s="78" t="s">
        <v>65</v>
      </c>
      <c r="AH4" s="77" t="s">
        <v>2263</v>
      </c>
      <c r="AI4" s="78" t="s">
        <v>2267</v>
      </c>
      <c r="AJ4" s="77" t="s">
        <v>2282</v>
      </c>
      <c r="AK4" s="80" t="s">
        <v>2295</v>
      </c>
      <c r="AL4" s="77" t="s">
        <v>2275</v>
      </c>
      <c r="AM4" s="78" t="s">
        <v>2273</v>
      </c>
      <c r="AN4" s="77" t="s">
        <v>2280</v>
      </c>
      <c r="AO4" s="78" t="s">
        <v>2279</v>
      </c>
      <c r="AP4" s="77" t="s">
        <v>2271</v>
      </c>
      <c r="AQ4" s="78" t="s">
        <v>2274</v>
      </c>
      <c r="AR4" s="77" t="s">
        <v>2272</v>
      </c>
      <c r="AS4" s="78" t="s">
        <v>2276</v>
      </c>
      <c r="AT4" s="77" t="s">
        <v>2284</v>
      </c>
      <c r="AU4" s="78" t="s">
        <v>2277</v>
      </c>
      <c r="AV4" s="77" t="s">
        <v>2278</v>
      </c>
      <c r="AW4" s="78" t="s">
        <v>2281</v>
      </c>
      <c r="AX4" s="77" t="s">
        <v>2285</v>
      </c>
      <c r="AY4" s="78" t="s">
        <v>2266</v>
      </c>
      <c r="AZ4" s="77" t="s">
        <v>2283</v>
      </c>
      <c r="BA4" s="78" t="s">
        <v>75</v>
      </c>
      <c r="BB4" s="77" t="s">
        <v>76</v>
      </c>
      <c r="BC4" s="78" t="s">
        <v>79</v>
      </c>
      <c r="BD4" s="77" t="s">
        <v>80</v>
      </c>
      <c r="BE4" s="78" t="s">
        <v>81</v>
      </c>
      <c r="BF4" s="77" t="s">
        <v>82</v>
      </c>
      <c r="BG4" s="78" t="s">
        <v>83</v>
      </c>
      <c r="BH4" s="77" t="s">
        <v>172</v>
      </c>
      <c r="BI4" s="80" t="s">
        <v>2291</v>
      </c>
      <c r="BJ4" s="77" t="s">
        <v>86</v>
      </c>
      <c r="BK4" s="78" t="s">
        <v>2270</v>
      </c>
      <c r="BL4" s="77" t="s">
        <v>2269</v>
      </c>
      <c r="BM4" s="78" t="s">
        <v>2268</v>
      </c>
      <c r="BN4" s="77" t="s">
        <v>2262</v>
      </c>
      <c r="BO4" s="78" t="s">
        <v>2265</v>
      </c>
      <c r="BP4" s="77" t="s">
        <v>94</v>
      </c>
      <c r="BQ4" s="80" t="s">
        <v>2293</v>
      </c>
      <c r="BR4" s="79" t="s">
        <v>2288</v>
      </c>
      <c r="BS4" s="80" t="s">
        <v>2287</v>
      </c>
      <c r="BT4" s="81" t="s">
        <v>2292</v>
      </c>
    </row>
    <row r="5" spans="1:89" ht="12.75">
      <c r="A5" s="39">
        <v>0</v>
      </c>
      <c r="B5" s="39">
        <f>(COUNTA(集計用!$Q:$Q)-1)-COUNTIF(集計用!$K:$K, "無回答")</f>
        <v>443</v>
      </c>
      <c r="C5" s="40" t="s">
        <v>2249</v>
      </c>
      <c r="D5" s="41">
        <f>COUNTIFS(集計用!$O:$O, "*, "&amp;D$4&amp;", *")/$B5*100</f>
        <v>68.848758465011286</v>
      </c>
      <c r="E5" s="41">
        <f>COUNTIFS(集計用!$O:$O, "*, "&amp;E$4&amp;", *")/$B5*100</f>
        <v>51.015801354401802</v>
      </c>
      <c r="F5" s="41">
        <f>COUNTIFS(集計用!$O:$O, "*, "&amp;F$4&amp;", *")/$B5*100</f>
        <v>47.17832957110609</v>
      </c>
      <c r="G5" s="41">
        <f>COUNTIFS(集計用!$O:$O, "*, "&amp;G$4&amp;", *")/$B5*100</f>
        <v>25.733634311512414</v>
      </c>
      <c r="H5" s="41">
        <f>COUNTIFS(集計用!$O:$O, "*, "&amp;H$4&amp;", *")/$B5*100</f>
        <v>22.121896162528216</v>
      </c>
      <c r="I5" s="41">
        <f>COUNTIFS(集計用!$O:$O, "*, "&amp;I$4&amp;", *")/$B5*100</f>
        <v>21.670428893905193</v>
      </c>
      <c r="J5" s="41">
        <f>COUNTIFS(集計用!$O:$O, "*, "&amp;J$4&amp;", *")/$B5*100</f>
        <v>17.832957110609481</v>
      </c>
      <c r="K5" s="41">
        <f>COUNTIFS(集計用!$O:$O, "*, "&amp;K$4&amp;", *")/$B5*100</f>
        <v>16.252821670428894</v>
      </c>
      <c r="L5" s="41">
        <f>COUNTIFS(集計用!$O:$O, "*, "&amp;L$4&amp;", *")/$B5*100</f>
        <v>16.02708803611738</v>
      </c>
      <c r="M5" s="41">
        <f>COUNTIFS(集計用!$O:$O, "*, "&amp;M$4&amp;", *")/$B5*100</f>
        <v>15.575620767494355</v>
      </c>
      <c r="N5" s="41">
        <f>COUNTIFS(集計用!$O:$O, "*, "&amp;N$4&amp;", *")/$B5*100</f>
        <v>13.544018058690746</v>
      </c>
      <c r="O5" s="41">
        <f>COUNTIFS(集計用!$O:$O, "*, "&amp;O$4&amp;", *")/$B5*100</f>
        <v>12.866817155756207</v>
      </c>
      <c r="P5" s="41">
        <f>COUNTIFS(集計用!$O:$O, "*, "&amp;P$4&amp;", *")/$B5*100</f>
        <v>12.641083521444695</v>
      </c>
      <c r="Q5" s="41">
        <f>COUNTIFS(集計用!$O:$O, "*, "&amp;Q$4&amp;", *")/$B5*100</f>
        <v>6.3205417607223477</v>
      </c>
      <c r="R5" s="41">
        <f>COUNTIFS(集計用!$O:$O, "*, "&amp;R$4&amp;", *")/$B5*100</f>
        <v>5.8690744920993225</v>
      </c>
      <c r="S5" s="41">
        <f>COUNTIFS(集計用!$O:$O, "*, "&amp;S$4&amp;", *")/$B5*100</f>
        <v>3.3860045146726865</v>
      </c>
      <c r="T5" s="41">
        <f>COUNTIFS(集計用!$O:$O, "*, "&amp;T$4&amp;", *")/$B5*100</f>
        <v>1.8058690744920991</v>
      </c>
      <c r="U5" s="41"/>
      <c r="V5" s="41">
        <f>COUNTIFS(集計用!$P:$P, "*"&amp;V$4&amp;",*")/$B5*100</f>
        <v>1.5801354401805869</v>
      </c>
      <c r="W5" s="41">
        <f>COUNTIFS(集計用!$P:$P, "*"&amp;W$4&amp;",*")/$B5*100</f>
        <v>1.5801354401805869</v>
      </c>
      <c r="X5" s="41">
        <f>COUNTIFS(集計用!$P:$P, "*"&amp;X$4&amp;",*")/$B5*100</f>
        <v>1.1286681715575622</v>
      </c>
      <c r="Y5" s="41">
        <f>COUNTIFS(集計用!$P:$P, "*"&amp;Y$4&amp;",*")/$B5*100</f>
        <v>1.1286681715575622</v>
      </c>
      <c r="Z5" s="41">
        <f>COUNTIFS(集計用!$P:$P, "*"&amp;Z$4&amp;",*")/$B5*100</f>
        <v>0.90293453724604955</v>
      </c>
      <c r="AA5" s="41">
        <f>COUNTIFS(集計用!$P:$P, "*"&amp;AA$4&amp;",*")/$B5*100</f>
        <v>0.67720090293453727</v>
      </c>
      <c r="AB5" s="41">
        <f>COUNTIFS(集計用!$P:$P, "*"&amp;AB$4&amp;",*")/$B5*100</f>
        <v>0.67720090293453727</v>
      </c>
      <c r="AC5" s="41">
        <f>COUNTIFS(集計用!$P:$P, "*"&amp;AC$4&amp;",*")/$B5*100</f>
        <v>0.67720090293453727</v>
      </c>
      <c r="AD5" s="41">
        <f>COUNTIFS(集計用!$P:$P, "*"&amp;AD$4&amp;",*")/$B5*100</f>
        <v>0.45146726862302478</v>
      </c>
      <c r="AE5" s="41">
        <f>COUNTIFS(集計用!$P:$P, "*"&amp;AE$4&amp;",*")/$B5*100</f>
        <v>0.45146726862302478</v>
      </c>
      <c r="AF5" s="41">
        <f>COUNTIFS(集計用!$P:$P, "*"&amp;AF$4&amp;",*")/$B5*100</f>
        <v>0.45146726862302478</v>
      </c>
      <c r="AG5" s="41">
        <f>COUNTIFS(集計用!$P:$P, "*"&amp;AG$4&amp;",*")/$B5*100</f>
        <v>0.45146726862302478</v>
      </c>
      <c r="AH5" s="41">
        <f>COUNTIFS(集計用!$P:$P, "*"&amp;AH$4&amp;",*")/$B5*100</f>
        <v>0.45146726862302478</v>
      </c>
      <c r="AI5" s="41">
        <f>COUNTIFS(集計用!$P:$P, "*"&amp;AI$4&amp;",*")/$B5*100</f>
        <v>0.67720090293453727</v>
      </c>
      <c r="AJ5" s="41">
        <f>COUNTIFS(集計用!$P:$P, "*"&amp;AJ$4&amp;",*")/$B5*100</f>
        <v>0.22573363431151239</v>
      </c>
      <c r="AK5" s="41">
        <f>COUNTIFS(集計用!$P:$P, "*"&amp;AK$4&amp;",*")/$B5*100</f>
        <v>0</v>
      </c>
      <c r="AL5" s="41">
        <f>COUNTIFS(集計用!$P:$P, "*"&amp;AL$4&amp;",*")/$B5*100</f>
        <v>0.22573363431151239</v>
      </c>
      <c r="AM5" s="41">
        <f>COUNTIFS(集計用!$P:$P, "*"&amp;AM$4&amp;",*")/$B5*100</f>
        <v>0.22573363431151239</v>
      </c>
      <c r="AN5" s="41">
        <f>COUNTIFS(集計用!$P:$P, "*"&amp;AN$4&amp;",*")/$B5*100</f>
        <v>0.22573363431151239</v>
      </c>
      <c r="AO5" s="41">
        <f>COUNTIFS(集計用!$P:$P, "*"&amp;AO$4&amp;",*")/$B5*100</f>
        <v>0.22573363431151239</v>
      </c>
      <c r="AP5" s="41">
        <f>COUNTIFS(集計用!$P:$P, "*"&amp;AP$4&amp;",*")/$B5*100</f>
        <v>0.22573363431151239</v>
      </c>
      <c r="AQ5" s="41">
        <f>COUNTIFS(集計用!$P:$P, "*"&amp;AQ$4&amp;",*")/$B5*100</f>
        <v>0.22573363431151239</v>
      </c>
      <c r="AR5" s="41">
        <f>COUNTIFS(集計用!$P:$P, "*"&amp;AR$4&amp;",*")/$B5*100</f>
        <v>0.22573363431151239</v>
      </c>
      <c r="AS5" s="41">
        <f>COUNTIFS(集計用!$P:$P, "*"&amp;AS$4&amp;",*")/$B5*100</f>
        <v>0.22573363431151239</v>
      </c>
      <c r="AT5" s="41">
        <f>COUNTIFS(集計用!$P:$P, "*"&amp;AT$4&amp;",*")/$B5*100</f>
        <v>0.22573363431151239</v>
      </c>
      <c r="AU5" s="41">
        <f>COUNTIFS(集計用!$P:$P, "*"&amp;AU$4&amp;",*")/$B5*100</f>
        <v>0.22573363431151239</v>
      </c>
      <c r="AV5" s="41">
        <f>COUNTIFS(集計用!$P:$P, "*"&amp;AV$4&amp;",*")/$B5*100</f>
        <v>0.22573363431151239</v>
      </c>
      <c r="AW5" s="41">
        <f>COUNTIFS(集計用!$P:$P, "*"&amp;AW$4&amp;",*")/$B5*100</f>
        <v>0.22573363431151239</v>
      </c>
      <c r="AX5" s="41">
        <f>COUNTIFS(集計用!$P:$P, "*"&amp;AX$4&amp;",*")/$B5*100</f>
        <v>0.22573363431151239</v>
      </c>
      <c r="AY5" s="41">
        <f>COUNTIFS(集計用!$P:$P, "*"&amp;AY$4&amp;",*")/$B5*100</f>
        <v>0.22573363431151239</v>
      </c>
      <c r="AZ5" s="41">
        <f>COUNTIFS(集計用!$P:$P, "*"&amp;AZ$4&amp;",*")/$B5*100</f>
        <v>0.22573363431151239</v>
      </c>
      <c r="BA5" s="41">
        <f>COUNTIFS(集計用!$P:$P, "*"&amp;BA$4&amp;",*")/$B5*100</f>
        <v>0.22573363431151239</v>
      </c>
      <c r="BB5" s="41">
        <f>COUNTIFS(集計用!$P:$P, "*"&amp;BB$4&amp;",*")/$B5*100</f>
        <v>0.22573363431151239</v>
      </c>
      <c r="BC5" s="41">
        <f>COUNTIFS(集計用!$P:$P, "*"&amp;BC$4&amp;",*")/$B5*100</f>
        <v>0.22573363431151239</v>
      </c>
      <c r="BD5" s="41">
        <f>COUNTIFS(集計用!$P:$P, "*"&amp;BD$4&amp;",*")/$B5*100</f>
        <v>0.22573363431151239</v>
      </c>
      <c r="BE5" s="41">
        <f>COUNTIFS(集計用!$P:$P, "*"&amp;BE$4&amp;",*")/$B5*100</f>
        <v>0.22573363431151239</v>
      </c>
      <c r="BF5" s="41">
        <f>COUNTIFS(集計用!$P:$P, "*"&amp;BF$4&amp;",*")/$B5*100</f>
        <v>0.22573363431151239</v>
      </c>
      <c r="BG5" s="41">
        <f>COUNTIFS(集計用!$P:$P, "*"&amp;BG$4&amp;",*")/$B5*100</f>
        <v>0.22573363431151239</v>
      </c>
      <c r="BH5" s="41">
        <f>COUNTIFS(集計用!$P:$P, "*"&amp;BH$4&amp;",*")/$B5*100</f>
        <v>0.22573363431151239</v>
      </c>
      <c r="BI5" s="41">
        <f>COUNTIFS(集計用!$P:$P, "*"&amp;BI$4&amp;",*")/$B5*100</f>
        <v>0.22573363431151239</v>
      </c>
      <c r="BJ5" s="41">
        <f>COUNTIFS(集計用!$P:$P, "*"&amp;BJ$4&amp;",*")/$B5*100</f>
        <v>0.22573363431151239</v>
      </c>
      <c r="BK5" s="41">
        <f>COUNTIFS(集計用!$P:$P, "*"&amp;BK$4&amp;",*")/$B5*100</f>
        <v>0.22573363431151239</v>
      </c>
      <c r="BL5" s="41">
        <f>COUNTIFS(集計用!$P:$P, "*"&amp;BL$4&amp;",*")/$B5*100</f>
        <v>0.22573363431151239</v>
      </c>
      <c r="BM5" s="41">
        <f>COUNTIFS(集計用!$P:$P, "*"&amp;BM$4&amp;",*")/$B5*100</f>
        <v>0.22573363431151239</v>
      </c>
      <c r="BN5" s="41">
        <f>COUNTIFS(集計用!$P:$P, "*"&amp;BN$4&amp;",*")/$B5*100</f>
        <v>0.22573363431151239</v>
      </c>
      <c r="BO5" s="41">
        <f>COUNTIFS(集計用!$P:$P, "*"&amp;BO$4&amp;",*")/$B5*100</f>
        <v>0.22573363431151239</v>
      </c>
      <c r="BP5" s="41">
        <f>COUNTIFS(集計用!$P:$P, "*"&amp;BP$4&amp;",*")/$B5*100</f>
        <v>0.22573363431151239</v>
      </c>
      <c r="BQ5" s="41">
        <f>COUNTIFS(集計用!$P:$P, "*"&amp;BQ$4&amp;",*")/$B5*100</f>
        <v>0.22573363431151239</v>
      </c>
      <c r="BR5" s="41">
        <f>COUNTIFS(集計用!$P:$P, "*"&amp;BR$4&amp;",*")/$B5*100</f>
        <v>0.22573363431151239</v>
      </c>
      <c r="BS5" s="41">
        <f>COUNTIFS(集計用!$P:$P, "*"&amp;BS$4&amp;",*")/$B5*100</f>
        <v>0.22573363431151239</v>
      </c>
      <c r="BT5" s="41">
        <f>COUNTIFS(集計用!$P:$P, "*"&amp;BT$4&amp;",*")/$B5*100</f>
        <v>0.22573363431151239</v>
      </c>
      <c r="BU5" s="41"/>
      <c r="BV5" s="41"/>
      <c r="BW5" s="41"/>
      <c r="BX5" s="41"/>
      <c r="BY5" s="41"/>
      <c r="BZ5" s="41"/>
      <c r="CA5" s="41"/>
      <c r="CB5" s="41"/>
      <c r="CC5" s="41"/>
      <c r="CD5" s="41"/>
      <c r="CE5" s="41"/>
      <c r="CF5" s="41"/>
      <c r="CG5" s="41"/>
      <c r="CH5" s="41"/>
      <c r="CI5" s="41"/>
      <c r="CJ5" s="41"/>
      <c r="CK5" s="41"/>
    </row>
    <row r="6" spans="1:89" ht="15.75" customHeight="1">
      <c r="A6" s="39">
        <v>1</v>
      </c>
      <c r="B6" s="39">
        <f>(COUNTIFS(集計用!$G:$G,"*, "&amp;$C6&amp;",*",集計用!$Q:$Q,"&lt;&gt;無回答"))</f>
        <v>256</v>
      </c>
      <c r="C6" s="42" t="s">
        <v>0</v>
      </c>
      <c r="D6" s="41">
        <f>COUNTIFS(集計用!$O:$O, "*, "&amp;D$4&amp;", *",集計用!$G:$G,"*, "&amp;$C6&amp;", *")/$B6*100</f>
        <v>73.828125</v>
      </c>
      <c r="E6" s="41">
        <f>COUNTIFS(集計用!$O:$O, "*, "&amp;E$4&amp;", *",集計用!$G:$G,"*, "&amp;$C6&amp;", *")/$B6*100</f>
        <v>55.46875</v>
      </c>
      <c r="F6" s="41">
        <f>COUNTIFS(集計用!$O:$O, "*, "&amp;F$4&amp;", *",集計用!$G:$G,"*, "&amp;$C6&amp;", *")/$B6*100</f>
        <v>48.046875</v>
      </c>
      <c r="G6" s="41">
        <f>COUNTIFS(集計用!$O:$O, "*, "&amp;G$4&amp;", *",集計用!$G:$G,"*, "&amp;$C6&amp;", *")/$B6*100</f>
        <v>28.90625</v>
      </c>
      <c r="H6" s="41">
        <f>COUNTIFS(集計用!$O:$O, "*, "&amp;H$4&amp;", *",集計用!$G:$G,"*, "&amp;$C6&amp;", *")/$B6*100</f>
        <v>22.265625</v>
      </c>
      <c r="I6" s="41">
        <f>COUNTIFS(集計用!$O:$O, "*, "&amp;I$4&amp;", *",集計用!$G:$G,"*, "&amp;$C6&amp;", *")/$B6*100</f>
        <v>23.828125</v>
      </c>
      <c r="J6" s="41">
        <f>COUNTIFS(集計用!$O:$O, "*, "&amp;J$4&amp;", *",集計用!$G:$G,"*, "&amp;$C6&amp;", *")/$B6*100</f>
        <v>20.703125</v>
      </c>
      <c r="K6" s="41">
        <f>COUNTIFS(集計用!$O:$O, "*, "&amp;K$4&amp;", *",集計用!$G:$G,"*, "&amp;$C6&amp;", *")/$B6*100</f>
        <v>16.796875</v>
      </c>
      <c r="L6" s="41">
        <f>COUNTIFS(集計用!$O:$O, "*, "&amp;L$4&amp;", *",集計用!$G:$G,"*, "&amp;$C6&amp;", *")/$B6*100</f>
        <v>18.75</v>
      </c>
      <c r="M6" s="41">
        <f>COUNTIFS(集計用!$O:$O, "*, "&amp;M$4&amp;", *",集計用!$G:$G,"*, "&amp;$C6&amp;", *")/$B6*100</f>
        <v>13.671875</v>
      </c>
      <c r="N6" s="41">
        <f>COUNTIFS(集計用!$O:$O, "*, "&amp;N$4&amp;", *",集計用!$G:$G,"*, "&amp;$C6&amp;", *")/$B6*100</f>
        <v>16.40625</v>
      </c>
      <c r="O6" s="41">
        <f>COUNTIFS(集計用!$O:$O, "*, "&amp;O$4&amp;", *",集計用!$G:$G,"*, "&amp;$C6&amp;", *")/$B6*100</f>
        <v>12.890625</v>
      </c>
      <c r="P6" s="41">
        <f>COUNTIFS(集計用!$O:$O, "*, "&amp;P$4&amp;", *",集計用!$G:$G,"*, "&amp;$C6&amp;", *")/$B6*100</f>
        <v>14.84375</v>
      </c>
      <c r="Q6" s="41">
        <f>COUNTIFS(集計用!$O:$O, "*, "&amp;Q$4&amp;", *",集計用!$G:$G,"*, "&amp;$C6&amp;", *")/$B6*100</f>
        <v>7.03125</v>
      </c>
      <c r="R6" s="41">
        <f>COUNTIFS(集計用!$O:$O, "*, "&amp;R$4&amp;", *",集計用!$G:$G,"*, "&amp;$C6&amp;", *")/$B6*100</f>
        <v>6.640625</v>
      </c>
      <c r="S6" s="41">
        <f>COUNTIFS(集計用!$O:$O, "*, "&amp;S$4&amp;", *",集計用!$G:$G,"*, "&amp;$C6&amp;", *")/$B6*100</f>
        <v>4.296875</v>
      </c>
      <c r="T6" s="41">
        <f>COUNTIFS(集計用!$O:$O, "*, "&amp;T$4&amp;", *",集計用!$G:$G,"*, "&amp;$C6&amp;", *")/$B6*100</f>
        <v>2.34375</v>
      </c>
      <c r="U6" s="41"/>
      <c r="V6" s="41">
        <f>COUNTIFS(集計用!$P:$P, "*"&amp;V$4&amp;",*",集計用!$G:$G,"*, "&amp;$C6&amp;", *")/$B6*100</f>
        <v>1.5625</v>
      </c>
      <c r="W6" s="41">
        <f>COUNTIFS(集計用!$P:$P, "*"&amp;W$4&amp;",*",集計用!$G:$G,"*, "&amp;$C6&amp;", *")/$B6*100</f>
        <v>1.953125</v>
      </c>
      <c r="X6" s="41">
        <f>COUNTIFS(集計用!$P:$P, "*"&amp;X$4&amp;",*",集計用!$G:$G,"*, "&amp;$C6&amp;", *")/$B6*100</f>
        <v>1.171875</v>
      </c>
      <c r="Y6" s="41">
        <f>COUNTIFS(集計用!$P:$P, "*"&amp;Y$4&amp;",*",集計用!$G:$G,"*, "&amp;$C6&amp;", *")/$B6*100</f>
        <v>0.78125</v>
      </c>
      <c r="Z6" s="41">
        <f>COUNTIFS(集計用!$P:$P, "*"&amp;Z$4&amp;",*",集計用!$G:$G,"*, "&amp;$C6&amp;", *")/$B6*100</f>
        <v>0.78125</v>
      </c>
      <c r="AA6" s="41">
        <f>COUNTIFS(集計用!$P:$P, "*"&amp;AA$4&amp;",*",集計用!$G:$G,"*, "&amp;$C6&amp;", *")/$B6*100</f>
        <v>0.78125</v>
      </c>
      <c r="AB6" s="41">
        <f>COUNTIFS(集計用!$P:$P, "*"&amp;AB$4&amp;",*",集計用!$G:$G,"*, "&amp;$C6&amp;", *")/$B6*100</f>
        <v>1.171875</v>
      </c>
      <c r="AC6" s="41">
        <f>COUNTIFS(集計用!$P:$P, "*"&amp;AC$4&amp;",*",集計用!$G:$G,"*, "&amp;$C6&amp;", *")/$B6*100</f>
        <v>0.78125</v>
      </c>
      <c r="AD6" s="41">
        <f>COUNTIFS(集計用!$P:$P, "*"&amp;AD$4&amp;",*",集計用!$G:$G,"*, "&amp;$C6&amp;", *")/$B6*100</f>
        <v>0</v>
      </c>
      <c r="AE6" s="41">
        <f>COUNTIFS(集計用!$P:$P, "*"&amp;AE$4&amp;",*",集計用!$G:$G,"*, "&amp;$C6&amp;", *")/$B6*100</f>
        <v>0.390625</v>
      </c>
      <c r="AF6" s="41">
        <f>COUNTIFS(集計用!$P:$P, "*"&amp;AF$4&amp;",*",集計用!$G:$G,"*, "&amp;$C6&amp;", *")/$B6*100</f>
        <v>0.390625</v>
      </c>
      <c r="AG6" s="41">
        <f>COUNTIFS(集計用!$P:$P, "*"&amp;AG$4&amp;",*",集計用!$G:$G,"*, "&amp;$C6&amp;", *")/$B6*100</f>
        <v>0.78125</v>
      </c>
      <c r="AH6" s="41">
        <f>COUNTIFS(集計用!$P:$P, "*"&amp;AH$4&amp;",*",集計用!$G:$G,"*, "&amp;$C6&amp;", *")/$B6*100</f>
        <v>0.78125</v>
      </c>
      <c r="AI6" s="41">
        <f>COUNTIFS(集計用!$P:$P, "*"&amp;AI$4&amp;",*",集計用!$G:$G,"*, "&amp;$C6&amp;", *")/$B6*100</f>
        <v>0.78125</v>
      </c>
      <c r="AJ6" s="41">
        <f>COUNTIFS(集計用!$P:$P, "*"&amp;AJ$4&amp;",*",集計用!$G:$G,"*, "&amp;$C6&amp;", *")/$B6*100</f>
        <v>0.390625</v>
      </c>
      <c r="AK6" s="41">
        <f>COUNTIFS(集計用!$P:$P, "*"&amp;AK$4&amp;",*",集計用!$G:$G,"*, "&amp;$C6&amp;", *")/$B6*100</f>
        <v>0</v>
      </c>
      <c r="AL6" s="41">
        <f>COUNTIFS(集計用!$P:$P, "*"&amp;AL$4&amp;",*",集計用!$G:$G,"*, "&amp;$C6&amp;", *")/$B6*100</f>
        <v>0.390625</v>
      </c>
      <c r="AM6" s="41">
        <f>COUNTIFS(集計用!$P:$P, "*"&amp;AM$4&amp;",*",集計用!$G:$G,"*, "&amp;$C6&amp;", *")/$B6*100</f>
        <v>0.390625</v>
      </c>
      <c r="AN6" s="41">
        <f>COUNTIFS(集計用!$P:$P, "*"&amp;AN$4&amp;",*",集計用!$G:$G,"*, "&amp;$C6&amp;", *")/$B6*100</f>
        <v>0.390625</v>
      </c>
      <c r="AO6" s="41">
        <f>COUNTIFS(集計用!$P:$P, "*"&amp;AO$4&amp;",*",集計用!$G:$G,"*, "&amp;$C6&amp;", *")/$B6*100</f>
        <v>0.390625</v>
      </c>
      <c r="AP6" s="41">
        <f>COUNTIFS(集計用!$P:$P, "*"&amp;AP$4&amp;",*",集計用!$G:$G,"*, "&amp;$C6&amp;", *")/$B6*100</f>
        <v>0.390625</v>
      </c>
      <c r="AQ6" s="41">
        <f>COUNTIFS(集計用!$P:$P, "*"&amp;AQ$4&amp;",*",集計用!$G:$G,"*, "&amp;$C6&amp;", *")/$B6*100</f>
        <v>0</v>
      </c>
      <c r="AR6" s="41">
        <f>COUNTIFS(集計用!$P:$P, "*"&amp;AR$4&amp;",*",集計用!$G:$G,"*, "&amp;$C6&amp;", *")/$B6*100</f>
        <v>0.390625</v>
      </c>
      <c r="AS6" s="41">
        <f>COUNTIFS(集計用!$P:$P, "*"&amp;AS$4&amp;",*",集計用!$G:$G,"*, "&amp;$C6&amp;", *")/$B6*100</f>
        <v>0.390625</v>
      </c>
      <c r="AT6" s="41">
        <f>COUNTIFS(集計用!$P:$P, "*"&amp;AT$4&amp;",*",集計用!$G:$G,"*, "&amp;$C6&amp;", *")/$B6*100</f>
        <v>0.390625</v>
      </c>
      <c r="AU6" s="41">
        <f>COUNTIFS(集計用!$P:$P, "*"&amp;AU$4&amp;",*",集計用!$G:$G,"*, "&amp;$C6&amp;", *")/$B6*100</f>
        <v>0.390625</v>
      </c>
      <c r="AV6" s="41">
        <f>COUNTIFS(集計用!$P:$P, "*"&amp;AV$4&amp;",*",集計用!$G:$G,"*, "&amp;$C6&amp;", *")/$B6*100</f>
        <v>0.390625</v>
      </c>
      <c r="AW6" s="41">
        <f>COUNTIFS(集計用!$P:$P, "*"&amp;AW$4&amp;",*",集計用!$G:$G,"*, "&amp;$C6&amp;", *")/$B6*100</f>
        <v>0</v>
      </c>
      <c r="AX6" s="41">
        <f>COUNTIFS(集計用!$P:$P, "*"&amp;AX$4&amp;",*",集計用!$G:$G,"*, "&amp;$C6&amp;", *")/$B6*100</f>
        <v>0.390625</v>
      </c>
      <c r="AY6" s="41">
        <f>COUNTIFS(集計用!$P:$P, "*"&amp;AY$4&amp;",*",集計用!$G:$G,"*, "&amp;$C6&amp;", *")/$B6*100</f>
        <v>0.390625</v>
      </c>
      <c r="AZ6" s="41">
        <f>COUNTIFS(集計用!$P:$P, "*"&amp;AZ$4&amp;",*",集計用!$G:$G,"*, "&amp;$C6&amp;", *")/$B6*100</f>
        <v>0.390625</v>
      </c>
      <c r="BA6" s="41">
        <f>COUNTIFS(集計用!$P:$P, "*"&amp;BA$4&amp;",*",集計用!$G:$G,"*, "&amp;$C6&amp;", *")/$B6*100</f>
        <v>0.390625</v>
      </c>
      <c r="BB6" s="41">
        <f>COUNTIFS(集計用!$P:$P, "*"&amp;BB$4&amp;",*",集計用!$G:$G,"*, "&amp;$C6&amp;", *")/$B6*100</f>
        <v>0</v>
      </c>
      <c r="BC6" s="41">
        <f>COUNTIFS(集計用!$P:$P, "*"&amp;BC$4&amp;",*",集計用!$G:$G,"*, "&amp;$C6&amp;", *")/$B6*100</f>
        <v>0</v>
      </c>
      <c r="BD6" s="41">
        <f>COUNTIFS(集計用!$P:$P, "*"&amp;BD$4&amp;",*",集計用!$G:$G,"*, "&amp;$C6&amp;", *")/$B6*100</f>
        <v>0</v>
      </c>
      <c r="BE6" s="41">
        <f>COUNTIFS(集計用!$P:$P, "*"&amp;BE$4&amp;",*",集計用!$G:$G,"*, "&amp;$C6&amp;", *")/$B6*100</f>
        <v>0</v>
      </c>
      <c r="BF6" s="41">
        <f>COUNTIFS(集計用!$P:$P, "*"&amp;BF$4&amp;",*",集計用!$G:$G,"*, "&amp;$C6&amp;", *")/$B6*100</f>
        <v>0</v>
      </c>
      <c r="BG6" s="41">
        <f>COUNTIFS(集計用!$P:$P, "*"&amp;BG$4&amp;",*",集計用!$G:$G,"*, "&amp;$C6&amp;", *")/$B6*100</f>
        <v>0.390625</v>
      </c>
      <c r="BH6" s="41">
        <f>COUNTIFS(集計用!$P:$P, "*"&amp;BH$4&amp;",*",集計用!$G:$G,"*, "&amp;$C6&amp;", *")/$B6*100</f>
        <v>0</v>
      </c>
      <c r="BI6" s="41">
        <f>COUNTIFS(集計用!$P:$P, "*"&amp;BI$4&amp;",*",集計用!$G:$G,"*, "&amp;$C6&amp;", *")/$B6*100</f>
        <v>0.390625</v>
      </c>
      <c r="BJ6" s="41">
        <f>COUNTIFS(集計用!$P:$P, "*"&amp;BJ$4&amp;",*",集計用!$G:$G,"*, "&amp;$C6&amp;", *")/$B6*100</f>
        <v>0.390625</v>
      </c>
      <c r="BK6" s="41">
        <f>COUNTIFS(集計用!$P:$P, "*"&amp;BK$4&amp;",*",集計用!$G:$G,"*, "&amp;$C6&amp;", *")/$B6*100</f>
        <v>0.390625</v>
      </c>
      <c r="BL6" s="41">
        <f>COUNTIFS(集計用!$P:$P, "*"&amp;BL$4&amp;",*",集計用!$G:$G,"*, "&amp;$C6&amp;", *")/$B6*100</f>
        <v>0.390625</v>
      </c>
      <c r="BM6" s="41">
        <f>COUNTIFS(集計用!$P:$P, "*"&amp;BM$4&amp;",*",集計用!$G:$G,"*, "&amp;$C6&amp;", *")/$B6*100</f>
        <v>0.390625</v>
      </c>
      <c r="BN6" s="41">
        <f>COUNTIFS(集計用!$P:$P, "*"&amp;BN$4&amp;",*",集計用!$G:$G,"*, "&amp;$C6&amp;", *")/$B6*100</f>
        <v>0.390625</v>
      </c>
      <c r="BO6" s="41">
        <f>COUNTIFS(集計用!$P:$P, "*"&amp;BO$4&amp;",*",集計用!$G:$G,"*, "&amp;$C6&amp;", *")/$B6*100</f>
        <v>0</v>
      </c>
      <c r="BP6" s="41">
        <f>COUNTIFS(集計用!$P:$P, "*"&amp;BP$4&amp;",*",集計用!$G:$G,"*, "&amp;$C6&amp;", *")/$B6*100</f>
        <v>0</v>
      </c>
      <c r="BQ6" s="41">
        <f>COUNTIFS(集計用!$P:$P, "*"&amp;BQ$4&amp;",*",集計用!$G:$G,"*, "&amp;$C6&amp;", *")/$B6*100</f>
        <v>0.390625</v>
      </c>
      <c r="BR6" s="41">
        <f>COUNTIFS(集計用!$P:$P, "*"&amp;BR$4&amp;",*",集計用!$G:$G,"*, "&amp;$C6&amp;", *")/$B6*100</f>
        <v>0</v>
      </c>
      <c r="BS6" s="41">
        <f>COUNTIFS(集計用!$P:$P, "*"&amp;BS$4&amp;",*",集計用!$G:$G,"*, "&amp;$C6&amp;", *")/$B6*100</f>
        <v>0.390625</v>
      </c>
      <c r="BT6" s="41">
        <f>COUNTIFS(集計用!$P:$P, "*"&amp;BT$4&amp;",*",集計用!$G:$G,"*, "&amp;$C6&amp;", *")/$B6*100</f>
        <v>0.390625</v>
      </c>
      <c r="BU6" s="41"/>
      <c r="BV6" s="41"/>
      <c r="BW6" s="41"/>
      <c r="BX6" s="41"/>
      <c r="BY6" s="41"/>
      <c r="BZ6" s="41"/>
      <c r="CA6" s="41"/>
      <c r="CB6" s="41"/>
      <c r="CC6" s="41"/>
      <c r="CD6" s="41"/>
      <c r="CE6" s="41"/>
      <c r="CF6" s="41"/>
      <c r="CG6" s="41"/>
      <c r="CH6" s="41"/>
      <c r="CI6" s="41"/>
      <c r="CJ6" s="41"/>
      <c r="CK6" s="41"/>
    </row>
    <row r="7" spans="1:89" ht="15.75" customHeight="1">
      <c r="A7" s="39">
        <v>1</v>
      </c>
      <c r="B7" s="39">
        <f>(COUNTIFS(集計用!$G:$G,"*, "&amp;$C7&amp;",*",集計用!$Q:$Q,"&lt;&gt;無回答"))</f>
        <v>144</v>
      </c>
      <c r="C7" s="42" t="s">
        <v>1</v>
      </c>
      <c r="D7" s="41">
        <f>COUNTIFS(集計用!$O:$O, "*, "&amp;D$4&amp;", *",集計用!$G:$G,"*, "&amp;$C7&amp;", *")/$B7*100</f>
        <v>75.694444444444443</v>
      </c>
      <c r="E7" s="41">
        <f>COUNTIFS(集計用!$O:$O, "*, "&amp;E$4&amp;", *",集計用!$G:$G,"*, "&amp;$C7&amp;", *")/$B7*100</f>
        <v>54.166666666666664</v>
      </c>
      <c r="F7" s="41">
        <f>COUNTIFS(集計用!$O:$O, "*, "&amp;F$4&amp;", *",集計用!$G:$G,"*, "&amp;$C7&amp;", *")/$B7*100</f>
        <v>57.638888888888886</v>
      </c>
      <c r="G7" s="41">
        <f>COUNTIFS(集計用!$O:$O, "*, "&amp;G$4&amp;", *",集計用!$G:$G,"*, "&amp;$C7&amp;", *")/$B7*100</f>
        <v>29.166666666666668</v>
      </c>
      <c r="H7" s="41">
        <f>COUNTIFS(集計用!$O:$O, "*, "&amp;H$4&amp;", *",集計用!$G:$G,"*, "&amp;$C7&amp;", *")/$B7*100</f>
        <v>27.777777777777779</v>
      </c>
      <c r="I7" s="41">
        <f>COUNTIFS(集計用!$O:$O, "*, "&amp;I$4&amp;", *",集計用!$G:$G,"*, "&amp;$C7&amp;", *")/$B7*100</f>
        <v>19.444444444444446</v>
      </c>
      <c r="J7" s="41">
        <f>COUNTIFS(集計用!$O:$O, "*, "&amp;J$4&amp;", *",集計用!$G:$G,"*, "&amp;$C7&amp;", *")/$B7*100</f>
        <v>19.444444444444446</v>
      </c>
      <c r="K7" s="41">
        <f>COUNTIFS(集計用!$O:$O, "*, "&amp;K$4&amp;", *",集計用!$G:$G,"*, "&amp;$C7&amp;", *")/$B7*100</f>
        <v>19.444444444444446</v>
      </c>
      <c r="L7" s="41">
        <f>COUNTIFS(集計用!$O:$O, "*, "&amp;L$4&amp;", *",集計用!$G:$G,"*, "&amp;$C7&amp;", *")/$B7*100</f>
        <v>22.222222222222221</v>
      </c>
      <c r="M7" s="41">
        <f>COUNTIFS(集計用!$O:$O, "*, "&amp;M$4&amp;", *",集計用!$G:$G,"*, "&amp;$C7&amp;", *")/$B7*100</f>
        <v>22.222222222222221</v>
      </c>
      <c r="N7" s="41">
        <f>COUNTIFS(集計用!$O:$O, "*, "&amp;N$4&amp;", *",集計用!$G:$G,"*, "&amp;$C7&amp;", *")/$B7*100</f>
        <v>15.972222222222221</v>
      </c>
      <c r="O7" s="41">
        <f>COUNTIFS(集計用!$O:$O, "*, "&amp;O$4&amp;", *",集計用!$G:$G,"*, "&amp;$C7&amp;", *")/$B7*100</f>
        <v>14.583333333333334</v>
      </c>
      <c r="P7" s="41">
        <f>COUNTIFS(集計用!$O:$O, "*, "&amp;P$4&amp;", *",集計用!$G:$G,"*, "&amp;$C7&amp;", *")/$B7*100</f>
        <v>20.833333333333336</v>
      </c>
      <c r="Q7" s="41">
        <f>COUNTIFS(集計用!$O:$O, "*, "&amp;Q$4&amp;", *",集計用!$G:$G,"*, "&amp;$C7&amp;", *")/$B7*100</f>
        <v>6.9444444444444446</v>
      </c>
      <c r="R7" s="41">
        <f>COUNTIFS(集計用!$O:$O, "*, "&amp;R$4&amp;", *",集計用!$G:$G,"*, "&amp;$C7&amp;", *")/$B7*100</f>
        <v>8.3333333333333321</v>
      </c>
      <c r="S7" s="41">
        <f>COUNTIFS(集計用!$O:$O, "*, "&amp;S$4&amp;", *",集計用!$G:$G,"*, "&amp;$C7&amp;", *")/$B7*100</f>
        <v>4.1666666666666661</v>
      </c>
      <c r="T7" s="41">
        <f>COUNTIFS(集計用!$O:$O, "*, "&amp;T$4&amp;", *",集計用!$G:$G,"*, "&amp;$C7&amp;", *")/$B7*100</f>
        <v>2.7777777777777777</v>
      </c>
      <c r="U7"/>
      <c r="V7" s="41">
        <f>COUNTIFS(集計用!$P:$P, "*"&amp;V$4&amp;",*",集計用!$G:$G,"*, "&amp;$C7&amp;", *")/$B7*100</f>
        <v>2.083333333333333</v>
      </c>
      <c r="W7" s="41">
        <f>COUNTIFS(集計用!$P:$P, "*"&amp;W$4&amp;",*",集計用!$G:$G,"*, "&amp;$C7&amp;", *")/$B7*100</f>
        <v>0.69444444444444442</v>
      </c>
      <c r="X7" s="41">
        <f>COUNTIFS(集計用!$P:$P, "*"&amp;X$4&amp;",*",集計用!$G:$G,"*, "&amp;$C7&amp;", *")/$B7*100</f>
        <v>1.3888888888888888</v>
      </c>
      <c r="Y7" s="41">
        <f>COUNTIFS(集計用!$P:$P, "*"&amp;Y$4&amp;",*",集計用!$G:$G,"*, "&amp;$C7&amp;", *")/$B7*100</f>
        <v>0.69444444444444442</v>
      </c>
      <c r="Z7" s="41">
        <f>COUNTIFS(集計用!$P:$P, "*"&amp;Z$4&amp;",*",集計用!$G:$G,"*, "&amp;$C7&amp;", *")/$B7*100</f>
        <v>2.083333333333333</v>
      </c>
      <c r="AA7" s="41">
        <f>COUNTIFS(集計用!$P:$P, "*"&amp;AA$4&amp;",*",集計用!$G:$G,"*, "&amp;$C7&amp;", *")/$B7*100</f>
        <v>0.69444444444444442</v>
      </c>
      <c r="AB7" s="41">
        <f>COUNTIFS(集計用!$P:$P, "*"&amp;AB$4&amp;",*",集計用!$G:$G,"*, "&amp;$C7&amp;", *")/$B7*100</f>
        <v>0.69444444444444442</v>
      </c>
      <c r="AC7" s="41">
        <f>COUNTIFS(集計用!$P:$P, "*"&amp;AC$4&amp;",*",集計用!$G:$G,"*, "&amp;$C7&amp;", *")/$B7*100</f>
        <v>0.69444444444444442</v>
      </c>
      <c r="AD7" s="41">
        <f>COUNTIFS(集計用!$P:$P, "*"&amp;AD$4&amp;",*",集計用!$G:$G,"*, "&amp;$C7&amp;", *")/$B7*100</f>
        <v>0</v>
      </c>
      <c r="AE7" s="41">
        <f>COUNTIFS(集計用!$P:$P, "*"&amp;AE$4&amp;",*",集計用!$G:$G,"*, "&amp;$C7&amp;", *")/$B7*100</f>
        <v>0</v>
      </c>
      <c r="AF7" s="41">
        <f>COUNTIFS(集計用!$P:$P, "*"&amp;AF$4&amp;",*",集計用!$G:$G,"*, "&amp;$C7&amp;", *")/$B7*100</f>
        <v>0</v>
      </c>
      <c r="AG7" s="41">
        <f>COUNTIFS(集計用!$P:$P, "*"&amp;AG$4&amp;",*",集計用!$G:$G,"*, "&amp;$C7&amp;", *")/$B7*100</f>
        <v>0</v>
      </c>
      <c r="AH7" s="41">
        <f>COUNTIFS(集計用!$P:$P, "*"&amp;AH$4&amp;",*",集計用!$G:$G,"*, "&amp;$C7&amp;", *")/$B7*100</f>
        <v>0.69444444444444442</v>
      </c>
      <c r="AI7" s="41">
        <f>COUNTIFS(集計用!$P:$P, "*"&amp;AI$4&amp;",*",集計用!$G:$G,"*, "&amp;$C7&amp;", *")/$B7*100</f>
        <v>0.69444444444444442</v>
      </c>
      <c r="AJ7" s="41">
        <f>COUNTIFS(集計用!$P:$P, "*"&amp;AJ$4&amp;",*",集計用!$G:$G,"*, "&amp;$C7&amp;", *")/$B7*100</f>
        <v>0</v>
      </c>
      <c r="AK7" s="41">
        <f>COUNTIFS(集計用!$P:$P, "*"&amp;AK$4&amp;",*",集計用!$G:$G,"*, "&amp;$C7&amp;", *")/$B7*100</f>
        <v>0</v>
      </c>
      <c r="AL7" s="41">
        <f>COUNTIFS(集計用!$P:$P, "*"&amp;AL$4&amp;",*",集計用!$G:$G,"*, "&amp;$C7&amp;", *")/$B7*100</f>
        <v>0.69444444444444442</v>
      </c>
      <c r="AM7" s="41">
        <f>COUNTIFS(集計用!$P:$P, "*"&amp;AM$4&amp;",*",集計用!$G:$G,"*, "&amp;$C7&amp;", *")/$B7*100</f>
        <v>0</v>
      </c>
      <c r="AN7" s="41">
        <f>COUNTIFS(集計用!$P:$P, "*"&amp;AN$4&amp;",*",集計用!$G:$G,"*, "&amp;$C7&amp;", *")/$B7*100</f>
        <v>0.69444444444444442</v>
      </c>
      <c r="AO7" s="41">
        <f>COUNTIFS(集計用!$P:$P, "*"&amp;AO$4&amp;",*",集計用!$G:$G,"*, "&amp;$C7&amp;", *")/$B7*100</f>
        <v>0.69444444444444442</v>
      </c>
      <c r="AP7" s="41">
        <f>COUNTIFS(集計用!$P:$P, "*"&amp;AP$4&amp;",*",集計用!$G:$G,"*, "&amp;$C7&amp;", *")/$B7*100</f>
        <v>0</v>
      </c>
      <c r="AQ7" s="41">
        <f>COUNTIFS(集計用!$P:$P, "*"&amp;AQ$4&amp;",*",集計用!$G:$G,"*, "&amp;$C7&amp;", *")/$B7*100</f>
        <v>0</v>
      </c>
      <c r="AR7" s="41">
        <f>COUNTIFS(集計用!$P:$P, "*"&amp;AR$4&amp;",*",集計用!$G:$G,"*, "&amp;$C7&amp;", *")/$B7*100</f>
        <v>0</v>
      </c>
      <c r="AS7" s="41">
        <f>COUNTIFS(集計用!$P:$P, "*"&amp;AS$4&amp;",*",集計用!$G:$G,"*, "&amp;$C7&amp;", *")/$B7*100</f>
        <v>0.69444444444444442</v>
      </c>
      <c r="AT7" s="41">
        <f>COUNTIFS(集計用!$P:$P, "*"&amp;AT$4&amp;",*",集計用!$G:$G,"*, "&amp;$C7&amp;", *")/$B7*100</f>
        <v>0</v>
      </c>
      <c r="AU7" s="41">
        <f>COUNTIFS(集計用!$P:$P, "*"&amp;AU$4&amp;",*",集計用!$G:$G,"*, "&amp;$C7&amp;", *")/$B7*100</f>
        <v>0.69444444444444442</v>
      </c>
      <c r="AV7" s="41">
        <f>COUNTIFS(集計用!$P:$P, "*"&amp;AV$4&amp;",*",集計用!$G:$G,"*, "&amp;$C7&amp;", *")/$B7*100</f>
        <v>0.69444444444444442</v>
      </c>
      <c r="AW7" s="41">
        <f>COUNTIFS(集計用!$P:$P, "*"&amp;AW$4&amp;",*",集計用!$G:$G,"*, "&amp;$C7&amp;", *")/$B7*100</f>
        <v>0</v>
      </c>
      <c r="AX7" s="41">
        <f>COUNTIFS(集計用!$P:$P, "*"&amp;AX$4&amp;",*",集計用!$G:$G,"*, "&amp;$C7&amp;", *")/$B7*100</f>
        <v>0.69444444444444442</v>
      </c>
      <c r="AY7" s="41">
        <f>COUNTIFS(集計用!$P:$P, "*"&amp;AY$4&amp;",*",集計用!$G:$G,"*, "&amp;$C7&amp;", *")/$B7*100</f>
        <v>0</v>
      </c>
      <c r="AZ7" s="41">
        <f>COUNTIFS(集計用!$P:$P, "*"&amp;AZ$4&amp;",*",集計用!$G:$G,"*, "&amp;$C7&amp;", *")/$B7*100</f>
        <v>0.69444444444444442</v>
      </c>
      <c r="BA7" s="41">
        <f>COUNTIFS(集計用!$P:$P, "*"&amp;BA$4&amp;",*",集計用!$G:$G,"*, "&amp;$C7&amp;", *")/$B7*100</f>
        <v>0</v>
      </c>
      <c r="BB7" s="41">
        <f>COUNTIFS(集計用!$P:$P, "*"&amp;BB$4&amp;",*",集計用!$G:$G,"*, "&amp;$C7&amp;", *")/$B7*100</f>
        <v>0</v>
      </c>
      <c r="BC7" s="41">
        <f>COUNTIFS(集計用!$P:$P, "*"&amp;BC$4&amp;",*",集計用!$G:$G,"*, "&amp;$C7&amp;", *")/$B7*100</f>
        <v>0</v>
      </c>
      <c r="BD7" s="41">
        <f>COUNTIFS(集計用!$P:$P, "*"&amp;BD$4&amp;",*",集計用!$G:$G,"*, "&amp;$C7&amp;", *")/$B7*100</f>
        <v>0.69444444444444442</v>
      </c>
      <c r="BE7" s="41">
        <f>COUNTIFS(集計用!$P:$P, "*"&amp;BE$4&amp;",*",集計用!$G:$G,"*, "&amp;$C7&amp;", *")/$B7*100</f>
        <v>0.69444444444444442</v>
      </c>
      <c r="BF7" s="41">
        <f>COUNTIFS(集計用!$P:$P, "*"&amp;BF$4&amp;",*",集計用!$G:$G,"*, "&amp;$C7&amp;", *")/$B7*100</f>
        <v>0</v>
      </c>
      <c r="BG7" s="41">
        <f>COUNTIFS(集計用!$P:$P, "*"&amp;BG$4&amp;",*",集計用!$G:$G,"*, "&amp;$C7&amp;", *")/$B7*100</f>
        <v>0.69444444444444442</v>
      </c>
      <c r="BH7" s="41">
        <f>COUNTIFS(集計用!$P:$P, "*"&amp;BH$4&amp;",*",集計用!$G:$G,"*, "&amp;$C7&amp;", *")/$B7*100</f>
        <v>0</v>
      </c>
      <c r="BI7" s="41">
        <f>COUNTIFS(集計用!$P:$P, "*"&amp;BI$4&amp;",*",集計用!$G:$G,"*, "&amp;$C7&amp;", *")/$B7*100</f>
        <v>0</v>
      </c>
      <c r="BJ7" s="41">
        <f>COUNTIFS(集計用!$P:$P, "*"&amp;BJ$4&amp;",*",集計用!$G:$G,"*, "&amp;$C7&amp;", *")/$B7*100</f>
        <v>0</v>
      </c>
      <c r="BK7" s="41">
        <f>COUNTIFS(集計用!$P:$P, "*"&amp;BK$4&amp;",*",集計用!$G:$G,"*, "&amp;$C7&amp;", *")/$B7*100</f>
        <v>0</v>
      </c>
      <c r="BL7" s="41">
        <f>COUNTIFS(集計用!$P:$P, "*"&amp;BL$4&amp;",*",集計用!$G:$G,"*, "&amp;$C7&amp;", *")/$B7*100</f>
        <v>0</v>
      </c>
      <c r="BM7" s="41">
        <f>COUNTIFS(集計用!$P:$P, "*"&amp;BM$4&amp;",*",集計用!$G:$G,"*, "&amp;$C7&amp;", *")/$B7*100</f>
        <v>0</v>
      </c>
      <c r="BN7" s="41">
        <f>COUNTIFS(集計用!$P:$P, "*"&amp;BN$4&amp;",*",集計用!$G:$G,"*, "&amp;$C7&amp;", *")/$B7*100</f>
        <v>0.69444444444444442</v>
      </c>
      <c r="BO7" s="41">
        <f>COUNTIFS(集計用!$P:$P, "*"&amp;BO$4&amp;",*",集計用!$G:$G,"*, "&amp;$C7&amp;", *")/$B7*100</f>
        <v>0</v>
      </c>
      <c r="BP7" s="41">
        <f>COUNTIFS(集計用!$P:$P, "*"&amp;BP$4&amp;",*",集計用!$G:$G,"*, "&amp;$C7&amp;", *")/$B7*100</f>
        <v>0</v>
      </c>
      <c r="BQ7" s="41">
        <f>COUNTIFS(集計用!$P:$P, "*"&amp;BQ$4&amp;",*",集計用!$G:$G,"*, "&amp;$C7&amp;", *")/$B7*100</f>
        <v>0.69444444444444442</v>
      </c>
      <c r="BR7" s="41">
        <f>COUNTIFS(集計用!$P:$P, "*"&amp;BR$4&amp;",*",集計用!$G:$G,"*, "&amp;$C7&amp;", *")/$B7*100</f>
        <v>0</v>
      </c>
      <c r="BS7" s="41">
        <f>COUNTIFS(集計用!$P:$P, "*"&amp;BS$4&amp;",*",集計用!$G:$G,"*, "&amp;$C7&amp;", *")/$B7*100</f>
        <v>0.69444444444444442</v>
      </c>
      <c r="BT7" s="41">
        <f>COUNTIFS(集計用!$P:$P, "*"&amp;BT$4&amp;",*",集計用!$G:$G,"*, "&amp;$C7&amp;", *")/$B7*100</f>
        <v>0</v>
      </c>
      <c r="BU7" s="41"/>
      <c r="BV7" s="41"/>
      <c r="BW7" s="41"/>
      <c r="BX7" s="41"/>
      <c r="BY7" s="41"/>
      <c r="BZ7" s="41"/>
      <c r="CA7" s="41"/>
      <c r="CB7" s="41"/>
      <c r="CC7" s="41"/>
      <c r="CD7" s="41"/>
      <c r="CE7" s="41"/>
      <c r="CF7" s="41"/>
      <c r="CG7" s="41"/>
      <c r="CH7" s="41"/>
      <c r="CI7" s="41"/>
      <c r="CJ7" s="41"/>
      <c r="CK7" s="41"/>
    </row>
    <row r="8" spans="1:89" ht="15.75" customHeight="1">
      <c r="A8" s="39">
        <v>2</v>
      </c>
      <c r="B8" s="39">
        <f>(COUNTIFS(集計用!$G:$G,"*, "&amp;$C8&amp;",*",集計用!$Q:$Q,"&lt;&gt;無回答"))</f>
        <v>121</v>
      </c>
      <c r="C8" s="42" t="s">
        <v>2</v>
      </c>
      <c r="D8" s="41">
        <f>COUNTIFS(集計用!$O:$O, "*, "&amp;D$4&amp;", *",集計用!$G:$G,"*, "&amp;$C8&amp;", *")/$B8*100</f>
        <v>74.380165289256198</v>
      </c>
      <c r="E8" s="41">
        <f>COUNTIFS(集計用!$O:$O, "*, "&amp;E$4&amp;", *",集計用!$G:$G,"*, "&amp;$C8&amp;", *")/$B8*100</f>
        <v>54.54545454545454</v>
      </c>
      <c r="F8" s="41">
        <f>COUNTIFS(集計用!$O:$O, "*, "&amp;F$4&amp;", *",集計用!$G:$G,"*, "&amp;$C8&amp;", *")/$B8*100</f>
        <v>39.669421487603309</v>
      </c>
      <c r="G8" s="41">
        <f>COUNTIFS(集計用!$O:$O, "*, "&amp;G$4&amp;", *",集計用!$G:$G,"*, "&amp;$C8&amp;", *")/$B8*100</f>
        <v>33.884297520661157</v>
      </c>
      <c r="H8" s="41">
        <f>COUNTIFS(集計用!$O:$O, "*, "&amp;H$4&amp;", *",集計用!$G:$G,"*, "&amp;$C8&amp;", *")/$B8*100</f>
        <v>25.619834710743799</v>
      </c>
      <c r="I8" s="41">
        <f>COUNTIFS(集計用!$O:$O, "*, "&amp;I$4&amp;", *",集計用!$G:$G,"*, "&amp;$C8&amp;", *")/$B8*100</f>
        <v>25.619834710743799</v>
      </c>
      <c r="J8" s="41">
        <f>COUNTIFS(集計用!$O:$O, "*, "&amp;J$4&amp;", *",集計用!$G:$G,"*, "&amp;$C8&amp;", *")/$B8*100</f>
        <v>21.487603305785125</v>
      </c>
      <c r="K8" s="41">
        <f>COUNTIFS(集計用!$O:$O, "*, "&amp;K$4&amp;", *",集計用!$G:$G,"*, "&amp;$C8&amp;", *")/$B8*100</f>
        <v>18.181818181818183</v>
      </c>
      <c r="L8" s="41">
        <f>COUNTIFS(集計用!$O:$O, "*, "&amp;L$4&amp;", *",集計用!$G:$G,"*, "&amp;$C8&amp;", *")/$B8*100</f>
        <v>14.049586776859504</v>
      </c>
      <c r="M8" s="41">
        <f>COUNTIFS(集計用!$O:$O, "*, "&amp;M$4&amp;", *",集計用!$G:$G,"*, "&amp;$C8&amp;", *")/$B8*100</f>
        <v>23.966942148760332</v>
      </c>
      <c r="N8" s="41">
        <f>COUNTIFS(集計用!$O:$O, "*, "&amp;N$4&amp;", *",集計用!$G:$G,"*, "&amp;$C8&amp;", *")/$B8*100</f>
        <v>17.355371900826448</v>
      </c>
      <c r="O8" s="41">
        <f>COUNTIFS(集計用!$O:$O, "*, "&amp;O$4&amp;", *",集計用!$G:$G,"*, "&amp;$C8&amp;", *")/$B8*100</f>
        <v>15.702479338842975</v>
      </c>
      <c r="P8" s="41">
        <f>COUNTIFS(集計用!$O:$O, "*, "&amp;P$4&amp;", *",集計用!$G:$G,"*, "&amp;$C8&amp;", *")/$B8*100</f>
        <v>14.87603305785124</v>
      </c>
      <c r="Q8" s="41">
        <f>COUNTIFS(集計用!$O:$O, "*, "&amp;Q$4&amp;", *",集計用!$G:$G,"*, "&amp;$C8&amp;", *")/$B8*100</f>
        <v>7.4380165289256199</v>
      </c>
      <c r="R8" s="41">
        <f>COUNTIFS(集計用!$O:$O, "*, "&amp;R$4&amp;", *",集計用!$G:$G,"*, "&amp;$C8&amp;", *")/$B8*100</f>
        <v>6.6115702479338845</v>
      </c>
      <c r="S8" s="41">
        <f>COUNTIFS(集計用!$O:$O, "*, "&amp;S$4&amp;", *",集計用!$G:$G,"*, "&amp;$C8&amp;", *")/$B8*100</f>
        <v>2.4793388429752068</v>
      </c>
      <c r="T8" s="41">
        <f>COUNTIFS(集計用!$O:$O, "*, "&amp;T$4&amp;", *",集計用!$G:$G,"*, "&amp;$C8&amp;", *")/$B8*100</f>
        <v>2.4793388429752068</v>
      </c>
      <c r="U8"/>
      <c r="V8" s="41">
        <f>COUNTIFS(集計用!$P:$P, "*"&amp;V$4&amp;",*",集計用!$G:$G,"*, "&amp;$C8&amp;", *")/$B8*100</f>
        <v>1.6528925619834711</v>
      </c>
      <c r="W8" s="41">
        <f>COUNTIFS(集計用!$P:$P, "*"&amp;W$4&amp;",*",集計用!$G:$G,"*, "&amp;$C8&amp;", *")/$B8*100</f>
        <v>3.3057851239669422</v>
      </c>
      <c r="X8" s="41">
        <f>COUNTIFS(集計用!$P:$P, "*"&amp;X$4&amp;",*",集計用!$G:$G,"*, "&amp;$C8&amp;", *")/$B8*100</f>
        <v>0.82644628099173556</v>
      </c>
      <c r="Y8" s="41">
        <f>COUNTIFS(集計用!$P:$P, "*"&amp;Y$4&amp;",*",集計用!$G:$G,"*, "&amp;$C8&amp;", *")/$B8*100</f>
        <v>1.6528925619834711</v>
      </c>
      <c r="Z8" s="41">
        <f>COUNTIFS(集計用!$P:$P, "*"&amp;Z$4&amp;",*",集計用!$G:$G,"*, "&amp;$C8&amp;", *")/$B8*100</f>
        <v>0</v>
      </c>
      <c r="AA8" s="41">
        <f>COUNTIFS(集計用!$P:$P, "*"&amp;AA$4&amp;",*",集計用!$G:$G,"*, "&amp;$C8&amp;", *")/$B8*100</f>
        <v>0.82644628099173556</v>
      </c>
      <c r="AB8" s="41">
        <f>COUNTIFS(集計用!$P:$P, "*"&amp;AB$4&amp;",*",集計用!$G:$G,"*, "&amp;$C8&amp;", *")/$B8*100</f>
        <v>0.82644628099173556</v>
      </c>
      <c r="AC8" s="41">
        <f>COUNTIFS(集計用!$P:$P, "*"&amp;AC$4&amp;",*",集計用!$G:$G,"*, "&amp;$C8&amp;", *")/$B8*100</f>
        <v>0</v>
      </c>
      <c r="AD8" s="41">
        <f>COUNTIFS(集計用!$P:$P, "*"&amp;AD$4&amp;",*",集計用!$G:$G,"*, "&amp;$C8&amp;", *")/$B8*100</f>
        <v>0.82644628099173556</v>
      </c>
      <c r="AE8" s="41">
        <f>COUNTIFS(集計用!$P:$P, "*"&amp;AE$4&amp;",*",集計用!$G:$G,"*, "&amp;$C8&amp;", *")/$B8*100</f>
        <v>0</v>
      </c>
      <c r="AF8" s="41">
        <f>COUNTIFS(集計用!$P:$P, "*"&amp;AF$4&amp;",*",集計用!$G:$G,"*, "&amp;$C8&amp;", *")/$B8*100</f>
        <v>0.82644628099173556</v>
      </c>
      <c r="AG8" s="41">
        <f>COUNTIFS(集計用!$P:$P, "*"&amp;AG$4&amp;",*",集計用!$G:$G,"*, "&amp;$C8&amp;", *")/$B8*100</f>
        <v>1.6528925619834711</v>
      </c>
      <c r="AH8" s="41">
        <f>COUNTIFS(集計用!$P:$P, "*"&amp;AH$4&amp;",*",集計用!$G:$G,"*, "&amp;$C8&amp;", *")/$B8*100</f>
        <v>0</v>
      </c>
      <c r="AI8" s="41">
        <f>COUNTIFS(集計用!$P:$P, "*"&amp;AI$4&amp;",*",集計用!$G:$G,"*, "&amp;$C8&amp;", *")/$B8*100</f>
        <v>0</v>
      </c>
      <c r="AJ8" s="41">
        <f>COUNTIFS(集計用!$P:$P, "*"&amp;AJ$4&amp;",*",集計用!$G:$G,"*, "&amp;$C8&amp;", *")/$B8*100</f>
        <v>0</v>
      </c>
      <c r="AK8" s="41">
        <f>COUNTIFS(集計用!$P:$P, "*"&amp;AK$4&amp;",*",集計用!$G:$G,"*, "&amp;$C8&amp;", *")/$B8*100</f>
        <v>0</v>
      </c>
      <c r="AL8" s="41">
        <f>COUNTIFS(集計用!$P:$P, "*"&amp;AL$4&amp;",*",集計用!$G:$G,"*, "&amp;$C8&amp;", *")/$B8*100</f>
        <v>0.82644628099173556</v>
      </c>
      <c r="AM8" s="41">
        <f>COUNTIFS(集計用!$P:$P, "*"&amp;AM$4&amp;",*",集計用!$G:$G,"*, "&amp;$C8&amp;", *")/$B8*100</f>
        <v>0</v>
      </c>
      <c r="AN8" s="41">
        <f>COUNTIFS(集計用!$P:$P, "*"&amp;AN$4&amp;",*",集計用!$G:$G,"*, "&amp;$C8&amp;", *")/$B8*100</f>
        <v>0.82644628099173556</v>
      </c>
      <c r="AO8" s="41">
        <f>COUNTIFS(集計用!$P:$P, "*"&amp;AO$4&amp;",*",集計用!$G:$G,"*, "&amp;$C8&amp;", *")/$B8*100</f>
        <v>0.82644628099173556</v>
      </c>
      <c r="AP8" s="41">
        <f>COUNTIFS(集計用!$P:$P, "*"&amp;AP$4&amp;",*",集計用!$G:$G,"*, "&amp;$C8&amp;", *")/$B8*100</f>
        <v>0</v>
      </c>
      <c r="AQ8" s="41">
        <f>COUNTIFS(集計用!$P:$P, "*"&amp;AQ$4&amp;",*",集計用!$G:$G,"*, "&amp;$C8&amp;", *")/$B8*100</f>
        <v>0</v>
      </c>
      <c r="AR8" s="41">
        <f>COUNTIFS(集計用!$P:$P, "*"&amp;AR$4&amp;",*",集計用!$G:$G,"*, "&amp;$C8&amp;", *")/$B8*100</f>
        <v>0</v>
      </c>
      <c r="AS8" s="41">
        <f>COUNTIFS(集計用!$P:$P, "*"&amp;AS$4&amp;",*",集計用!$G:$G,"*, "&amp;$C8&amp;", *")/$B8*100</f>
        <v>0.82644628099173556</v>
      </c>
      <c r="AT8" s="41">
        <f>COUNTIFS(集計用!$P:$P, "*"&amp;AT$4&amp;",*",集計用!$G:$G,"*, "&amp;$C8&amp;", *")/$B8*100</f>
        <v>0</v>
      </c>
      <c r="AU8" s="41">
        <f>COUNTIFS(集計用!$P:$P, "*"&amp;AU$4&amp;",*",集計用!$G:$G,"*, "&amp;$C8&amp;", *")/$B8*100</f>
        <v>0.82644628099173556</v>
      </c>
      <c r="AV8" s="41">
        <f>COUNTIFS(集計用!$P:$P, "*"&amp;AV$4&amp;",*",集計用!$G:$G,"*, "&amp;$C8&amp;", *")/$B8*100</f>
        <v>0.82644628099173556</v>
      </c>
      <c r="AW8" s="41">
        <f>COUNTIFS(集計用!$P:$P, "*"&amp;AW$4&amp;",*",集計用!$G:$G,"*, "&amp;$C8&amp;", *")/$B8*100</f>
        <v>0.82644628099173556</v>
      </c>
      <c r="AX8" s="41">
        <f>COUNTIFS(集計用!$P:$P, "*"&amp;AX$4&amp;",*",集計用!$G:$G,"*, "&amp;$C8&amp;", *")/$B8*100</f>
        <v>0</v>
      </c>
      <c r="AY8" s="41">
        <f>COUNTIFS(集計用!$P:$P, "*"&amp;AY$4&amp;",*",集計用!$G:$G,"*, "&amp;$C8&amp;", *")/$B8*100</f>
        <v>0</v>
      </c>
      <c r="AZ8" s="41">
        <f>COUNTIFS(集計用!$P:$P, "*"&amp;AZ$4&amp;",*",集計用!$G:$G,"*, "&amp;$C8&amp;", *")/$B8*100</f>
        <v>0</v>
      </c>
      <c r="BA8" s="41">
        <f>COUNTIFS(集計用!$P:$P, "*"&amp;BA$4&amp;",*",集計用!$G:$G,"*, "&amp;$C8&amp;", *")/$B8*100</f>
        <v>0</v>
      </c>
      <c r="BB8" s="41">
        <f>COUNTIFS(集計用!$P:$P, "*"&amp;BB$4&amp;",*",集計用!$G:$G,"*, "&amp;$C8&amp;", *")/$B8*100</f>
        <v>0</v>
      </c>
      <c r="BC8" s="41">
        <f>COUNTIFS(集計用!$P:$P, "*"&amp;BC$4&amp;",*",集計用!$G:$G,"*, "&amp;$C8&amp;", *")/$B8*100</f>
        <v>0.82644628099173556</v>
      </c>
      <c r="BD8" s="41">
        <f>COUNTIFS(集計用!$P:$P, "*"&amp;BD$4&amp;",*",集計用!$G:$G,"*, "&amp;$C8&amp;", *")/$B8*100</f>
        <v>0</v>
      </c>
      <c r="BE8" s="41">
        <f>COUNTIFS(集計用!$P:$P, "*"&amp;BE$4&amp;",*",集計用!$G:$G,"*, "&amp;$C8&amp;", *")/$B8*100</f>
        <v>0</v>
      </c>
      <c r="BF8" s="41">
        <f>COUNTIFS(集計用!$P:$P, "*"&amp;BF$4&amp;",*",集計用!$G:$G,"*, "&amp;$C8&amp;", *")/$B8*100</f>
        <v>0.82644628099173556</v>
      </c>
      <c r="BG8" s="41">
        <f>COUNTIFS(集計用!$P:$P, "*"&amp;BG$4&amp;",*",集計用!$G:$G,"*, "&amp;$C8&amp;", *")/$B8*100</f>
        <v>0</v>
      </c>
      <c r="BH8" s="41">
        <f>COUNTIFS(集計用!$P:$P, "*"&amp;BH$4&amp;",*",集計用!$G:$G,"*, "&amp;$C8&amp;", *")/$B8*100</f>
        <v>0</v>
      </c>
      <c r="BI8" s="41">
        <f>COUNTIFS(集計用!$P:$P, "*"&amp;BI$4&amp;",*",集計用!$G:$G,"*, "&amp;$C8&amp;", *")/$B8*100</f>
        <v>0</v>
      </c>
      <c r="BJ8" s="41">
        <f>COUNTIFS(集計用!$P:$P, "*"&amp;BJ$4&amp;",*",集計用!$G:$G,"*, "&amp;$C8&amp;", *")/$B8*100</f>
        <v>0.82644628099173556</v>
      </c>
      <c r="BK8" s="41">
        <f>COUNTIFS(集計用!$P:$P, "*"&amp;BK$4&amp;",*",集計用!$G:$G,"*, "&amp;$C8&amp;", *")/$B8*100</f>
        <v>0</v>
      </c>
      <c r="BL8" s="41">
        <f>COUNTIFS(集計用!$P:$P, "*"&amp;BL$4&amp;",*",集計用!$G:$G,"*, "&amp;$C8&amp;", *")/$B8*100</f>
        <v>0</v>
      </c>
      <c r="BM8" s="41">
        <f>COUNTIFS(集計用!$P:$P, "*"&amp;BM$4&amp;",*",集計用!$G:$G,"*, "&amp;$C8&amp;", *")/$B8*100</f>
        <v>0.82644628099173556</v>
      </c>
      <c r="BN8" s="41">
        <f>COUNTIFS(集計用!$P:$P, "*"&amp;BN$4&amp;",*",集計用!$G:$G,"*, "&amp;$C8&amp;", *")/$B8*100</f>
        <v>0.82644628099173556</v>
      </c>
      <c r="BO8" s="41">
        <f>COUNTIFS(集計用!$P:$P, "*"&amp;BO$4&amp;",*",集計用!$G:$G,"*, "&amp;$C8&amp;", *")/$B8*100</f>
        <v>0</v>
      </c>
      <c r="BP8" s="41">
        <f>COUNTIFS(集計用!$P:$P, "*"&amp;BP$4&amp;",*",集計用!$G:$G,"*, "&amp;$C8&amp;", *")/$B8*100</f>
        <v>0</v>
      </c>
      <c r="BQ8" s="41">
        <f>COUNTIFS(集計用!$P:$P, "*"&amp;BQ$4&amp;",*",集計用!$G:$G,"*, "&amp;$C8&amp;", *")/$B8*100</f>
        <v>0</v>
      </c>
      <c r="BR8" s="41">
        <f>COUNTIFS(集計用!$P:$P, "*"&amp;BR$4&amp;",*",集計用!$G:$G,"*, "&amp;$C8&amp;", *")/$B8*100</f>
        <v>0</v>
      </c>
      <c r="BS8" s="41">
        <f>COUNTIFS(集計用!$P:$P, "*"&amp;BS$4&amp;",*",集計用!$G:$G,"*, "&amp;$C8&amp;", *")/$B8*100</f>
        <v>0</v>
      </c>
      <c r="BT8" s="41">
        <f>COUNTIFS(集計用!$P:$P, "*"&amp;BT$4&amp;",*",集計用!$G:$G,"*, "&amp;$C8&amp;", *")/$B8*100</f>
        <v>0</v>
      </c>
      <c r="BU8" s="41"/>
      <c r="BV8" s="41"/>
      <c r="BW8" s="41"/>
      <c r="BX8" s="41"/>
      <c r="BY8" s="41"/>
      <c r="BZ8" s="41"/>
      <c r="CA8" s="41"/>
      <c r="CB8" s="41"/>
      <c r="CC8" s="41"/>
      <c r="CD8" s="41"/>
      <c r="CE8" s="41"/>
      <c r="CF8" s="41"/>
      <c r="CG8" s="41"/>
      <c r="CH8" s="41"/>
      <c r="CI8" s="41"/>
      <c r="CJ8" s="41"/>
      <c r="CK8" s="41"/>
    </row>
    <row r="9" spans="1:89" ht="15.75" customHeight="1">
      <c r="A9" s="39">
        <v>1</v>
      </c>
      <c r="B9" s="39">
        <f>(COUNTIFS(集計用!$G:$G,"*, "&amp;$C9&amp;",*",集計用!$Q:$Q,"&lt;&gt;無回答"))</f>
        <v>86</v>
      </c>
      <c r="C9" s="42" t="s">
        <v>3</v>
      </c>
      <c r="D9" s="41">
        <f>COUNTIFS(集計用!$O:$O, "*, "&amp;D$4&amp;", *",集計用!$G:$G,"*, "&amp;$C9&amp;", *")/$B9*100</f>
        <v>74.418604651162795</v>
      </c>
      <c r="E9" s="41">
        <f>COUNTIFS(集計用!$O:$O, "*, "&amp;E$4&amp;", *",集計用!$G:$G,"*, "&amp;$C9&amp;", *")/$B9*100</f>
        <v>61.627906976744185</v>
      </c>
      <c r="F9" s="41">
        <f>COUNTIFS(集計用!$O:$O, "*, "&amp;F$4&amp;", *",集計用!$G:$G,"*, "&amp;$C9&amp;", *")/$B9*100</f>
        <v>51.162790697674424</v>
      </c>
      <c r="G9" s="41">
        <f>COUNTIFS(集計用!$O:$O, "*, "&amp;G$4&amp;", *",集計用!$G:$G,"*, "&amp;$C9&amp;", *")/$B9*100</f>
        <v>26.744186046511626</v>
      </c>
      <c r="H9" s="41">
        <f>COUNTIFS(集計用!$O:$O, "*, "&amp;H$4&amp;", *",集計用!$G:$G,"*, "&amp;$C9&amp;", *")/$B9*100</f>
        <v>27.906976744186046</v>
      </c>
      <c r="I9" s="41">
        <f>COUNTIFS(集計用!$O:$O, "*, "&amp;I$4&amp;", *",集計用!$G:$G,"*, "&amp;$C9&amp;", *")/$B9*100</f>
        <v>18.604651162790699</v>
      </c>
      <c r="J9" s="41">
        <f>COUNTIFS(集計用!$O:$O, "*, "&amp;J$4&amp;", *",集計用!$G:$G,"*, "&amp;$C9&amp;", *")/$B9*100</f>
        <v>13.953488372093023</v>
      </c>
      <c r="K9" s="41">
        <f>COUNTIFS(集計用!$O:$O, "*, "&amp;K$4&amp;", *",集計用!$G:$G,"*, "&amp;$C9&amp;", *")/$B9*100</f>
        <v>20.930232558139537</v>
      </c>
      <c r="L9" s="41">
        <f>COUNTIFS(集計用!$O:$O, "*, "&amp;L$4&amp;", *",集計用!$G:$G,"*, "&amp;$C9&amp;", *")/$B9*100</f>
        <v>18.604651162790699</v>
      </c>
      <c r="M9" s="41">
        <f>COUNTIFS(集計用!$O:$O, "*, "&amp;M$4&amp;", *",集計用!$G:$G,"*, "&amp;$C9&amp;", *")/$B9*100</f>
        <v>20.930232558139537</v>
      </c>
      <c r="N9" s="41">
        <f>COUNTIFS(集計用!$O:$O, "*, "&amp;N$4&amp;", *",集計用!$G:$G,"*, "&amp;$C9&amp;", *")/$B9*100</f>
        <v>12.790697674418606</v>
      </c>
      <c r="O9" s="41">
        <f>COUNTIFS(集計用!$O:$O, "*, "&amp;O$4&amp;", *",集計用!$G:$G,"*, "&amp;$C9&amp;", *")/$B9*100</f>
        <v>20.930232558139537</v>
      </c>
      <c r="P9" s="41">
        <f>COUNTIFS(集計用!$O:$O, "*, "&amp;P$4&amp;", *",集計用!$G:$G,"*, "&amp;$C9&amp;", *")/$B9*100</f>
        <v>18.604651162790699</v>
      </c>
      <c r="Q9" s="41">
        <f>COUNTIFS(集計用!$O:$O, "*, "&amp;Q$4&amp;", *",集計用!$G:$G,"*, "&amp;$C9&amp;", *")/$B9*100</f>
        <v>8.1395348837209305</v>
      </c>
      <c r="R9" s="41">
        <f>COUNTIFS(集計用!$O:$O, "*, "&amp;R$4&amp;", *",集計用!$G:$G,"*, "&amp;$C9&amp;", *")/$B9*100</f>
        <v>12.790697674418606</v>
      </c>
      <c r="S9" s="41">
        <f>COUNTIFS(集計用!$O:$O, "*, "&amp;S$4&amp;", *",集計用!$G:$G,"*, "&amp;$C9&amp;", *")/$B9*100</f>
        <v>4.6511627906976747</v>
      </c>
      <c r="T9" s="41">
        <f>COUNTIFS(集計用!$O:$O, "*, "&amp;T$4&amp;", *",集計用!$G:$G,"*, "&amp;$C9&amp;", *")/$B9*100</f>
        <v>3.4883720930232558</v>
      </c>
      <c r="U9"/>
      <c r="V9" s="41">
        <f>COUNTIFS(集計用!$P:$P, "*"&amp;V$4&amp;",*",集計用!$G:$G,"*, "&amp;$C9&amp;", *")/$B9*100</f>
        <v>2.3255813953488373</v>
      </c>
      <c r="W9" s="41">
        <f>COUNTIFS(集計用!$P:$P, "*"&amp;W$4&amp;",*",集計用!$G:$G,"*, "&amp;$C9&amp;", *")/$B9*100</f>
        <v>3.4883720930232558</v>
      </c>
      <c r="X9" s="41">
        <f>COUNTIFS(集計用!$P:$P, "*"&amp;X$4&amp;",*",集計用!$G:$G,"*, "&amp;$C9&amp;", *")/$B9*100</f>
        <v>1.1627906976744187</v>
      </c>
      <c r="Y9" s="41">
        <f>COUNTIFS(集計用!$P:$P, "*"&amp;Y$4&amp;",*",集計用!$G:$G,"*, "&amp;$C9&amp;", *")/$B9*100</f>
        <v>0</v>
      </c>
      <c r="Z9" s="41">
        <f>COUNTIFS(集計用!$P:$P, "*"&amp;Z$4&amp;",*",集計用!$G:$G,"*, "&amp;$C9&amp;", *")/$B9*100</f>
        <v>1.1627906976744187</v>
      </c>
      <c r="AA9" s="41">
        <f>COUNTIFS(集計用!$P:$P, "*"&amp;AA$4&amp;",*",集計用!$G:$G,"*, "&amp;$C9&amp;", *")/$B9*100</f>
        <v>1.1627906976744187</v>
      </c>
      <c r="AB9" s="41">
        <f>COUNTIFS(集計用!$P:$P, "*"&amp;AB$4&amp;",*",集計用!$G:$G,"*, "&amp;$C9&amp;", *")/$B9*100</f>
        <v>0</v>
      </c>
      <c r="AC9" s="41">
        <f>COUNTIFS(集計用!$P:$P, "*"&amp;AC$4&amp;",*",集計用!$G:$G,"*, "&amp;$C9&amp;", *")/$B9*100</f>
        <v>1.1627906976744187</v>
      </c>
      <c r="AD9" s="41">
        <f>COUNTIFS(集計用!$P:$P, "*"&amp;AD$4&amp;",*",集計用!$G:$G,"*, "&amp;$C9&amp;", *")/$B9*100</f>
        <v>1.1627906976744187</v>
      </c>
      <c r="AE9" s="41">
        <f>COUNTIFS(集計用!$P:$P, "*"&amp;AE$4&amp;",*",集計用!$G:$G,"*, "&amp;$C9&amp;", *")/$B9*100</f>
        <v>0</v>
      </c>
      <c r="AF9" s="41">
        <f>COUNTIFS(集計用!$P:$P, "*"&amp;AF$4&amp;",*",集計用!$G:$G,"*, "&amp;$C9&amp;", *")/$B9*100</f>
        <v>1.1627906976744187</v>
      </c>
      <c r="AG9" s="41">
        <f>COUNTIFS(集計用!$P:$P, "*"&amp;AG$4&amp;",*",集計用!$G:$G,"*, "&amp;$C9&amp;", *")/$B9*100</f>
        <v>0</v>
      </c>
      <c r="AH9" s="41">
        <f>COUNTIFS(集計用!$P:$P, "*"&amp;AH$4&amp;",*",集計用!$G:$G,"*, "&amp;$C9&amp;", *")/$B9*100</f>
        <v>0</v>
      </c>
      <c r="AI9" s="41">
        <f>COUNTIFS(集計用!$P:$P, "*"&amp;AI$4&amp;",*",集計用!$G:$G,"*, "&amp;$C9&amp;", *")/$B9*100</f>
        <v>1.1627906976744187</v>
      </c>
      <c r="AJ9" s="41">
        <f>COUNTIFS(集計用!$P:$P, "*"&amp;AJ$4&amp;",*",集計用!$G:$G,"*, "&amp;$C9&amp;", *")/$B9*100</f>
        <v>0</v>
      </c>
      <c r="AK9" s="41">
        <f>COUNTIFS(集計用!$P:$P, "*"&amp;AK$4&amp;",*",集計用!$G:$G,"*, "&amp;$C9&amp;", *")/$B9*100</f>
        <v>0</v>
      </c>
      <c r="AL9" s="41">
        <f>COUNTIFS(集計用!$P:$P, "*"&amp;AL$4&amp;",*",集計用!$G:$G,"*, "&amp;$C9&amp;", *")/$B9*100</f>
        <v>1.1627906976744187</v>
      </c>
      <c r="AM9" s="41">
        <f>COUNTIFS(集計用!$P:$P, "*"&amp;AM$4&amp;",*",集計用!$G:$G,"*, "&amp;$C9&amp;", *")/$B9*100</f>
        <v>0</v>
      </c>
      <c r="AN9" s="41">
        <f>COUNTIFS(集計用!$P:$P, "*"&amp;AN$4&amp;",*",集計用!$G:$G,"*, "&amp;$C9&amp;", *")/$B9*100</f>
        <v>1.1627906976744187</v>
      </c>
      <c r="AO9" s="41">
        <f>COUNTIFS(集計用!$P:$P, "*"&amp;AO$4&amp;",*",集計用!$G:$G,"*, "&amp;$C9&amp;", *")/$B9*100</f>
        <v>1.1627906976744187</v>
      </c>
      <c r="AP9" s="41">
        <f>COUNTIFS(集計用!$P:$P, "*"&amp;AP$4&amp;",*",集計用!$G:$G,"*, "&amp;$C9&amp;", *")/$B9*100</f>
        <v>0</v>
      </c>
      <c r="AQ9" s="41">
        <f>COUNTIFS(集計用!$P:$P, "*"&amp;AQ$4&amp;",*",集計用!$G:$G,"*, "&amp;$C9&amp;", *")/$B9*100</f>
        <v>0</v>
      </c>
      <c r="AR9" s="41">
        <f>COUNTIFS(集計用!$P:$P, "*"&amp;AR$4&amp;",*",集計用!$G:$G,"*, "&amp;$C9&amp;", *")/$B9*100</f>
        <v>0</v>
      </c>
      <c r="AS9" s="41">
        <f>COUNTIFS(集計用!$P:$P, "*"&amp;AS$4&amp;",*",集計用!$G:$G,"*, "&amp;$C9&amp;", *")/$B9*100</f>
        <v>1.1627906976744187</v>
      </c>
      <c r="AT9" s="41">
        <f>COUNTIFS(集計用!$P:$P, "*"&amp;AT$4&amp;",*",集計用!$G:$G,"*, "&amp;$C9&amp;", *")/$B9*100</f>
        <v>0</v>
      </c>
      <c r="AU9" s="41">
        <f>COUNTIFS(集計用!$P:$P, "*"&amp;AU$4&amp;",*",集計用!$G:$G,"*, "&amp;$C9&amp;", *")/$B9*100</f>
        <v>1.1627906976744187</v>
      </c>
      <c r="AV9" s="41">
        <f>COUNTIFS(集計用!$P:$P, "*"&amp;AV$4&amp;",*",集計用!$G:$G,"*, "&amp;$C9&amp;", *")/$B9*100</f>
        <v>1.1627906976744187</v>
      </c>
      <c r="AW9" s="41">
        <f>COUNTIFS(集計用!$P:$P, "*"&amp;AW$4&amp;",*",集計用!$G:$G,"*, "&amp;$C9&amp;", *")/$B9*100</f>
        <v>0</v>
      </c>
      <c r="AX9" s="41">
        <f>COUNTIFS(集計用!$P:$P, "*"&amp;AX$4&amp;",*",集計用!$G:$G,"*, "&amp;$C9&amp;", *")/$B9*100</f>
        <v>0</v>
      </c>
      <c r="AY9" s="41">
        <f>COUNTIFS(集計用!$P:$P, "*"&amp;AY$4&amp;",*",集計用!$G:$G,"*, "&amp;$C9&amp;", *")/$B9*100</f>
        <v>0</v>
      </c>
      <c r="AZ9" s="41">
        <f>COUNTIFS(集計用!$P:$P, "*"&amp;AZ$4&amp;",*",集計用!$G:$G,"*, "&amp;$C9&amp;", *")/$B9*100</f>
        <v>0</v>
      </c>
      <c r="BA9" s="41">
        <f>COUNTIFS(集計用!$P:$P, "*"&amp;BA$4&amp;",*",集計用!$G:$G,"*, "&amp;$C9&amp;", *")/$B9*100</f>
        <v>0</v>
      </c>
      <c r="BB9" s="41">
        <f>COUNTIFS(集計用!$P:$P, "*"&amp;BB$4&amp;",*",集計用!$G:$G,"*, "&amp;$C9&amp;", *")/$B9*100</f>
        <v>0</v>
      </c>
      <c r="BC9" s="41">
        <f>COUNTIFS(集計用!$P:$P, "*"&amp;BC$4&amp;",*",集計用!$G:$G,"*, "&amp;$C9&amp;", *")/$B9*100</f>
        <v>0</v>
      </c>
      <c r="BD9" s="41">
        <f>COUNTIFS(集計用!$P:$P, "*"&amp;BD$4&amp;",*",集計用!$G:$G,"*, "&amp;$C9&amp;", *")/$B9*100</f>
        <v>0</v>
      </c>
      <c r="BE9" s="41">
        <f>COUNTIFS(集計用!$P:$P, "*"&amp;BE$4&amp;",*",集計用!$G:$G,"*, "&amp;$C9&amp;", *")/$B9*100</f>
        <v>0</v>
      </c>
      <c r="BF9" s="41">
        <f>COUNTIFS(集計用!$P:$P, "*"&amp;BF$4&amp;",*",集計用!$G:$G,"*, "&amp;$C9&amp;", *")/$B9*100</f>
        <v>1.1627906976744187</v>
      </c>
      <c r="BG9" s="41">
        <f>COUNTIFS(集計用!$P:$P, "*"&amp;BG$4&amp;",*",集計用!$G:$G,"*, "&amp;$C9&amp;", *")/$B9*100</f>
        <v>0</v>
      </c>
      <c r="BH9" s="41">
        <f>COUNTIFS(集計用!$P:$P, "*"&amp;BH$4&amp;",*",集計用!$G:$G,"*, "&amp;$C9&amp;", *")/$B9*100</f>
        <v>0</v>
      </c>
      <c r="BI9" s="41">
        <f>COUNTIFS(集計用!$P:$P, "*"&amp;BI$4&amp;",*",集計用!$G:$G,"*, "&amp;$C9&amp;", *")/$B9*100</f>
        <v>0</v>
      </c>
      <c r="BJ9" s="41">
        <f>COUNTIFS(集計用!$P:$P, "*"&amp;BJ$4&amp;",*",集計用!$G:$G,"*, "&amp;$C9&amp;", *")/$B9*100</f>
        <v>0</v>
      </c>
      <c r="BK9" s="41">
        <f>COUNTIFS(集計用!$P:$P, "*"&amp;BK$4&amp;",*",集計用!$G:$G,"*, "&amp;$C9&amp;", *")/$B9*100</f>
        <v>0</v>
      </c>
      <c r="BL9" s="41">
        <f>COUNTIFS(集計用!$P:$P, "*"&amp;BL$4&amp;",*",集計用!$G:$G,"*, "&amp;$C9&amp;", *")/$B9*100</f>
        <v>1.1627906976744187</v>
      </c>
      <c r="BM9" s="41">
        <f>COUNTIFS(集計用!$P:$P, "*"&amp;BM$4&amp;",*",集計用!$G:$G,"*, "&amp;$C9&amp;", *")/$B9*100</f>
        <v>1.1627906976744187</v>
      </c>
      <c r="BN9" s="41">
        <f>COUNTIFS(集計用!$P:$P, "*"&amp;BN$4&amp;",*",集計用!$G:$G,"*, "&amp;$C9&amp;", *")/$B9*100</f>
        <v>1.1627906976744187</v>
      </c>
      <c r="BO9" s="41">
        <f>COUNTIFS(集計用!$P:$P, "*"&amp;BO$4&amp;",*",集計用!$G:$G,"*, "&amp;$C9&amp;", *")/$B9*100</f>
        <v>0</v>
      </c>
      <c r="BP9" s="41">
        <f>COUNTIFS(集計用!$P:$P, "*"&amp;BP$4&amp;",*",集計用!$G:$G,"*, "&amp;$C9&amp;", *")/$B9*100</f>
        <v>0</v>
      </c>
      <c r="BQ9" s="41">
        <f>COUNTIFS(集計用!$P:$P, "*"&amp;BQ$4&amp;",*",集計用!$G:$G,"*, "&amp;$C9&amp;", *")/$B9*100</f>
        <v>0</v>
      </c>
      <c r="BR9" s="41">
        <f>COUNTIFS(集計用!$P:$P, "*"&amp;BR$4&amp;",*",集計用!$G:$G,"*, "&amp;$C9&amp;", *")/$B9*100</f>
        <v>0</v>
      </c>
      <c r="BS9" s="41">
        <f>COUNTIFS(集計用!$P:$P, "*"&amp;BS$4&amp;",*",集計用!$G:$G,"*, "&amp;$C9&amp;", *")/$B9*100</f>
        <v>1.1627906976744187</v>
      </c>
      <c r="BT9" s="41">
        <f>COUNTIFS(集計用!$P:$P, "*"&amp;BT$4&amp;",*",集計用!$G:$G,"*, "&amp;$C9&amp;", *")/$B9*100</f>
        <v>0</v>
      </c>
      <c r="BU9" s="41"/>
      <c r="BV9" s="41"/>
      <c r="BW9" s="41"/>
      <c r="BX9" s="41"/>
      <c r="BY9" s="41"/>
      <c r="BZ9" s="41"/>
      <c r="CA9" s="41"/>
      <c r="CB9" s="41"/>
      <c r="CC9" s="41"/>
      <c r="CD9" s="41"/>
      <c r="CE9" s="41"/>
      <c r="CF9" s="41"/>
      <c r="CG9" s="41"/>
      <c r="CH9" s="41"/>
      <c r="CI9" s="41"/>
      <c r="CJ9" s="41"/>
      <c r="CK9" s="41"/>
    </row>
    <row r="10" spans="1:89" ht="15.75" customHeight="1">
      <c r="A10" s="39">
        <v>3</v>
      </c>
      <c r="B10" s="39">
        <f>(COUNTIFS(集計用!$G:$G,"*, "&amp;$C10&amp;",*",集計用!$Q:$Q,"&lt;&gt;無回答"))</f>
        <v>86</v>
      </c>
      <c r="C10" s="42" t="s">
        <v>4</v>
      </c>
      <c r="D10" s="41">
        <f>COUNTIFS(集計用!$O:$O, "*, "&amp;D$4&amp;", *",集計用!$G:$G,"*, "&amp;$C10&amp;", *")/$B10*100</f>
        <v>77.906976744186053</v>
      </c>
      <c r="E10" s="41">
        <f>COUNTIFS(集計用!$O:$O, "*, "&amp;E$4&amp;", *",集計用!$G:$G,"*, "&amp;$C10&amp;", *")/$B10*100</f>
        <v>58.139534883720934</v>
      </c>
      <c r="F10" s="41">
        <f>COUNTIFS(集計用!$O:$O, "*, "&amp;F$4&amp;", *",集計用!$G:$G,"*, "&amp;$C10&amp;", *")/$B10*100</f>
        <v>45.348837209302324</v>
      </c>
      <c r="G10" s="41">
        <f>COUNTIFS(集計用!$O:$O, "*, "&amp;G$4&amp;", *",集計用!$G:$G,"*, "&amp;$C10&amp;", *")/$B10*100</f>
        <v>24.418604651162788</v>
      </c>
      <c r="H10" s="41">
        <f>COUNTIFS(集計用!$O:$O, "*, "&amp;H$4&amp;", *",集計用!$G:$G,"*, "&amp;$C10&amp;", *")/$B10*100</f>
        <v>25.581395348837212</v>
      </c>
      <c r="I10" s="41">
        <f>COUNTIFS(集計用!$O:$O, "*, "&amp;I$4&amp;", *",集計用!$G:$G,"*, "&amp;$C10&amp;", *")/$B10*100</f>
        <v>23.255813953488371</v>
      </c>
      <c r="J10" s="41">
        <f>COUNTIFS(集計用!$O:$O, "*, "&amp;J$4&amp;", *",集計用!$G:$G,"*, "&amp;$C10&amp;", *")/$B10*100</f>
        <v>17.441860465116278</v>
      </c>
      <c r="K10" s="41">
        <f>COUNTIFS(集計用!$O:$O, "*, "&amp;K$4&amp;", *",集計用!$G:$G,"*, "&amp;$C10&amp;", *")/$B10*100</f>
        <v>17.441860465116278</v>
      </c>
      <c r="L10" s="41">
        <f>COUNTIFS(集計用!$O:$O, "*, "&amp;L$4&amp;", *",集計用!$G:$G,"*, "&amp;$C10&amp;", *")/$B10*100</f>
        <v>15.11627906976744</v>
      </c>
      <c r="M10" s="41">
        <f>COUNTIFS(集計用!$O:$O, "*, "&amp;M$4&amp;", *",集計用!$G:$G,"*, "&amp;$C10&amp;", *")/$B10*100</f>
        <v>17.441860465116278</v>
      </c>
      <c r="N10" s="41">
        <f>COUNTIFS(集計用!$O:$O, "*, "&amp;N$4&amp;", *",集計用!$G:$G,"*, "&amp;$C10&amp;", *")/$B10*100</f>
        <v>17.441860465116278</v>
      </c>
      <c r="O10" s="41">
        <f>COUNTIFS(集計用!$O:$O, "*, "&amp;O$4&amp;", *",集計用!$G:$G,"*, "&amp;$C10&amp;", *")/$B10*100</f>
        <v>15.11627906976744</v>
      </c>
      <c r="P10" s="41">
        <f>COUNTIFS(集計用!$O:$O, "*, "&amp;P$4&amp;", *",集計用!$G:$G,"*, "&amp;$C10&amp;", *")/$B10*100</f>
        <v>11.627906976744185</v>
      </c>
      <c r="Q10" s="41">
        <f>COUNTIFS(集計用!$O:$O, "*, "&amp;Q$4&amp;", *",集計用!$G:$G,"*, "&amp;$C10&amp;", *")/$B10*100</f>
        <v>9.3023255813953494</v>
      </c>
      <c r="R10" s="41">
        <f>COUNTIFS(集計用!$O:$O, "*, "&amp;R$4&amp;", *",集計用!$G:$G,"*, "&amp;$C10&amp;", *")/$B10*100</f>
        <v>11.627906976744185</v>
      </c>
      <c r="S10" s="41">
        <f>COUNTIFS(集計用!$O:$O, "*, "&amp;S$4&amp;", *",集計用!$G:$G,"*, "&amp;$C10&amp;", *")/$B10*100</f>
        <v>4.6511627906976747</v>
      </c>
      <c r="T10" s="41">
        <f>COUNTIFS(集計用!$O:$O, "*, "&amp;T$4&amp;", *",集計用!$G:$G,"*, "&amp;$C10&amp;", *")/$B10*100</f>
        <v>3.4883720930232558</v>
      </c>
      <c r="U10"/>
      <c r="V10" s="41">
        <f>COUNTIFS(集計用!$P:$P, "*"&amp;V$4&amp;",*",集計用!$G:$G,"*, "&amp;$C10&amp;", *")/$B10*100</f>
        <v>1.1627906976744187</v>
      </c>
      <c r="W10" s="41">
        <f>COUNTIFS(集計用!$P:$P, "*"&amp;W$4&amp;",*",集計用!$G:$G,"*, "&amp;$C10&amp;", *")/$B10*100</f>
        <v>3.4883720930232558</v>
      </c>
      <c r="X10" s="41">
        <f>COUNTIFS(集計用!$P:$P, "*"&amp;X$4&amp;",*",集計用!$G:$G,"*, "&amp;$C10&amp;", *")/$B10*100</f>
        <v>0</v>
      </c>
      <c r="Y10" s="41">
        <f>COUNTIFS(集計用!$P:$P, "*"&amp;Y$4&amp;",*",集計用!$G:$G,"*, "&amp;$C10&amp;", *")/$B10*100</f>
        <v>1.1627906976744187</v>
      </c>
      <c r="Z10" s="41">
        <f>COUNTIFS(集計用!$P:$P, "*"&amp;Z$4&amp;",*",集計用!$G:$G,"*, "&amp;$C10&amp;", *")/$B10*100</f>
        <v>0</v>
      </c>
      <c r="AA10" s="41">
        <f>COUNTIFS(集計用!$P:$P, "*"&amp;AA$4&amp;",*",集計用!$G:$G,"*, "&amp;$C10&amp;", *")/$B10*100</f>
        <v>0</v>
      </c>
      <c r="AB10" s="41">
        <f>COUNTIFS(集計用!$P:$P, "*"&amp;AB$4&amp;",*",集計用!$G:$G,"*, "&amp;$C10&amp;", *")/$B10*100</f>
        <v>0</v>
      </c>
      <c r="AC10" s="41">
        <f>COUNTIFS(集計用!$P:$P, "*"&amp;AC$4&amp;",*",集計用!$G:$G,"*, "&amp;$C10&amp;", *")/$B10*100</f>
        <v>1.1627906976744187</v>
      </c>
      <c r="AD10" s="41">
        <f>COUNTIFS(集計用!$P:$P, "*"&amp;AD$4&amp;",*",集計用!$G:$G,"*, "&amp;$C10&amp;", *")/$B10*100</f>
        <v>0</v>
      </c>
      <c r="AE10" s="41">
        <f>COUNTIFS(集計用!$P:$P, "*"&amp;AE$4&amp;",*",集計用!$G:$G,"*, "&amp;$C10&amp;", *")/$B10*100</f>
        <v>0</v>
      </c>
      <c r="AF10" s="41">
        <f>COUNTIFS(集計用!$P:$P, "*"&amp;AF$4&amp;",*",集計用!$G:$G,"*, "&amp;$C10&amp;", *")/$B10*100</f>
        <v>1.1627906976744187</v>
      </c>
      <c r="AG10" s="41">
        <f>COUNTIFS(集計用!$P:$P, "*"&amp;AG$4&amp;",*",集計用!$G:$G,"*, "&amp;$C10&amp;", *")/$B10*100</f>
        <v>1.1627906976744187</v>
      </c>
      <c r="AH10" s="41">
        <f>COUNTIFS(集計用!$P:$P, "*"&amp;AH$4&amp;",*",集計用!$G:$G,"*, "&amp;$C10&amp;", *")/$B10*100</f>
        <v>0</v>
      </c>
      <c r="AI10" s="41">
        <f>COUNTIFS(集計用!$P:$P, "*"&amp;AI$4&amp;",*",集計用!$G:$G,"*, "&amp;$C10&amp;", *")/$B10*100</f>
        <v>1.1627906976744187</v>
      </c>
      <c r="AJ10" s="41">
        <f>COUNTIFS(集計用!$P:$P, "*"&amp;AJ$4&amp;",*",集計用!$G:$G,"*, "&amp;$C10&amp;", *")/$B10*100</f>
        <v>0</v>
      </c>
      <c r="AK10" s="41">
        <f>COUNTIFS(集計用!$P:$P, "*"&amp;AK$4&amp;",*",集計用!$G:$G,"*, "&amp;$C10&amp;", *")/$B10*100</f>
        <v>0</v>
      </c>
      <c r="AL10" s="41">
        <f>COUNTIFS(集計用!$P:$P, "*"&amp;AL$4&amp;",*",集計用!$G:$G,"*, "&amp;$C10&amp;", *")/$B10*100</f>
        <v>0</v>
      </c>
      <c r="AM10" s="41">
        <f>COUNTIFS(集計用!$P:$P, "*"&amp;AM$4&amp;",*",集計用!$G:$G,"*, "&amp;$C10&amp;", *")/$B10*100</f>
        <v>0</v>
      </c>
      <c r="AN10" s="41">
        <f>COUNTIFS(集計用!$P:$P, "*"&amp;AN$4&amp;",*",集計用!$G:$G,"*, "&amp;$C10&amp;", *")/$B10*100</f>
        <v>0</v>
      </c>
      <c r="AO10" s="41">
        <f>COUNTIFS(集計用!$P:$P, "*"&amp;AO$4&amp;",*",集計用!$G:$G,"*, "&amp;$C10&amp;", *")/$B10*100</f>
        <v>0</v>
      </c>
      <c r="AP10" s="41">
        <f>COUNTIFS(集計用!$P:$P, "*"&amp;AP$4&amp;",*",集計用!$G:$G,"*, "&amp;$C10&amp;", *")/$B10*100</f>
        <v>0</v>
      </c>
      <c r="AQ10" s="41">
        <f>COUNTIFS(集計用!$P:$P, "*"&amp;AQ$4&amp;",*",集計用!$G:$G,"*, "&amp;$C10&amp;", *")/$B10*100</f>
        <v>1.1627906976744187</v>
      </c>
      <c r="AR10" s="41">
        <f>COUNTIFS(集計用!$P:$P, "*"&amp;AR$4&amp;",*",集計用!$G:$G,"*, "&amp;$C10&amp;", *")/$B10*100</f>
        <v>0</v>
      </c>
      <c r="AS10" s="41">
        <f>COUNTIFS(集計用!$P:$P, "*"&amp;AS$4&amp;",*",集計用!$G:$G,"*, "&amp;$C10&amp;", *")/$B10*100</f>
        <v>0</v>
      </c>
      <c r="AT10" s="41">
        <f>COUNTIFS(集計用!$P:$P, "*"&amp;AT$4&amp;",*",集計用!$G:$G,"*, "&amp;$C10&amp;", *")/$B10*100</f>
        <v>0</v>
      </c>
      <c r="AU10" s="41">
        <f>COUNTIFS(集計用!$P:$P, "*"&amp;AU$4&amp;",*",集計用!$G:$G,"*, "&amp;$C10&amp;", *")/$B10*100</f>
        <v>0</v>
      </c>
      <c r="AV10" s="41">
        <f>COUNTIFS(集計用!$P:$P, "*"&amp;AV$4&amp;",*",集計用!$G:$G,"*, "&amp;$C10&amp;", *")/$B10*100</f>
        <v>0</v>
      </c>
      <c r="AW10" s="41">
        <f>COUNTIFS(集計用!$P:$P, "*"&amp;AW$4&amp;",*",集計用!$G:$G,"*, "&amp;$C10&amp;", *")/$B10*100</f>
        <v>1.1627906976744187</v>
      </c>
      <c r="AX10" s="41">
        <f>COUNTIFS(集計用!$P:$P, "*"&amp;AX$4&amp;",*",集計用!$G:$G,"*, "&amp;$C10&amp;", *")/$B10*100</f>
        <v>0</v>
      </c>
      <c r="AY10" s="41">
        <f>COUNTIFS(集計用!$P:$P, "*"&amp;AY$4&amp;",*",集計用!$G:$G,"*, "&amp;$C10&amp;", *")/$B10*100</f>
        <v>0</v>
      </c>
      <c r="AZ10" s="41">
        <f>COUNTIFS(集計用!$P:$P, "*"&amp;AZ$4&amp;",*",集計用!$G:$G,"*, "&amp;$C10&amp;", *")/$B10*100</f>
        <v>0</v>
      </c>
      <c r="BA10" s="41">
        <f>COUNTIFS(集計用!$P:$P, "*"&amp;BA$4&amp;",*",集計用!$G:$G,"*, "&amp;$C10&amp;", *")/$B10*100</f>
        <v>1.1627906976744187</v>
      </c>
      <c r="BB10" s="41">
        <f>COUNTIFS(集計用!$P:$P, "*"&amp;BB$4&amp;",*",集計用!$G:$G,"*, "&amp;$C10&amp;", *")/$B10*100</f>
        <v>0</v>
      </c>
      <c r="BC10" s="41">
        <f>COUNTIFS(集計用!$P:$P, "*"&amp;BC$4&amp;",*",集計用!$G:$G,"*, "&amp;$C10&amp;", *")/$B10*100</f>
        <v>0</v>
      </c>
      <c r="BD10" s="41">
        <f>COUNTIFS(集計用!$P:$P, "*"&amp;BD$4&amp;",*",集計用!$G:$G,"*, "&amp;$C10&amp;", *")/$B10*100</f>
        <v>0</v>
      </c>
      <c r="BE10" s="41">
        <f>COUNTIFS(集計用!$P:$P, "*"&amp;BE$4&amp;",*",集計用!$G:$G,"*, "&amp;$C10&amp;", *")/$B10*100</f>
        <v>0</v>
      </c>
      <c r="BF10" s="41">
        <f>COUNTIFS(集計用!$P:$P, "*"&amp;BF$4&amp;",*",集計用!$G:$G,"*, "&amp;$C10&amp;", *")/$B10*100</f>
        <v>0</v>
      </c>
      <c r="BG10" s="41">
        <f>COUNTIFS(集計用!$P:$P, "*"&amp;BG$4&amp;",*",集計用!$G:$G,"*, "&amp;$C10&amp;", *")/$B10*100</f>
        <v>0</v>
      </c>
      <c r="BH10" s="41">
        <f>COUNTIFS(集計用!$P:$P, "*"&amp;BH$4&amp;",*",集計用!$G:$G,"*, "&amp;$C10&amp;", *")/$B10*100</f>
        <v>0</v>
      </c>
      <c r="BI10" s="41">
        <f>COUNTIFS(集計用!$P:$P, "*"&amp;BI$4&amp;",*",集計用!$G:$G,"*, "&amp;$C10&amp;", *")/$B10*100</f>
        <v>0</v>
      </c>
      <c r="BJ10" s="41">
        <f>COUNTIFS(集計用!$P:$P, "*"&amp;BJ$4&amp;",*",集計用!$G:$G,"*, "&amp;$C10&amp;", *")/$B10*100</f>
        <v>0</v>
      </c>
      <c r="BK10" s="41">
        <f>COUNTIFS(集計用!$P:$P, "*"&amp;BK$4&amp;",*",集計用!$G:$G,"*, "&amp;$C10&amp;", *")/$B10*100</f>
        <v>0</v>
      </c>
      <c r="BL10" s="41">
        <f>COUNTIFS(集計用!$P:$P, "*"&amp;BL$4&amp;",*",集計用!$G:$G,"*, "&amp;$C10&amp;", *")/$B10*100</f>
        <v>0</v>
      </c>
      <c r="BM10" s="41">
        <f>COUNTIFS(集計用!$P:$P, "*"&amp;BM$4&amp;",*",集計用!$G:$G,"*, "&amp;$C10&amp;", *")/$B10*100</f>
        <v>0</v>
      </c>
      <c r="BN10" s="41">
        <f>COUNTIFS(集計用!$P:$P, "*"&amp;BN$4&amp;",*",集計用!$G:$G,"*, "&amp;$C10&amp;", *")/$B10*100</f>
        <v>0</v>
      </c>
      <c r="BO10" s="41">
        <f>COUNTIFS(集計用!$P:$P, "*"&amp;BO$4&amp;",*",集計用!$G:$G,"*, "&amp;$C10&amp;", *")/$B10*100</f>
        <v>0</v>
      </c>
      <c r="BP10" s="41">
        <f>COUNTIFS(集計用!$P:$P, "*"&amp;BP$4&amp;",*",集計用!$G:$G,"*, "&amp;$C10&amp;", *")/$B10*100</f>
        <v>0</v>
      </c>
      <c r="BQ10" s="41">
        <f>COUNTIFS(集計用!$P:$P, "*"&amp;BQ$4&amp;",*",集計用!$G:$G,"*, "&amp;$C10&amp;", *")/$B10*100</f>
        <v>0</v>
      </c>
      <c r="BR10" s="41">
        <f>COUNTIFS(集計用!$P:$P, "*"&amp;BR$4&amp;",*",集計用!$G:$G,"*, "&amp;$C10&amp;", *")/$B10*100</f>
        <v>0</v>
      </c>
      <c r="BS10" s="41">
        <f>COUNTIFS(集計用!$P:$P, "*"&amp;BS$4&amp;",*",集計用!$G:$G,"*, "&amp;$C10&amp;", *")/$B10*100</f>
        <v>0</v>
      </c>
      <c r="BT10" s="41">
        <f>COUNTIFS(集計用!$P:$P, "*"&amp;BT$4&amp;",*",集計用!$G:$G,"*, "&amp;$C10&amp;", *")/$B10*100</f>
        <v>0</v>
      </c>
      <c r="BU10" s="41"/>
      <c r="BV10" s="41"/>
      <c r="BW10" s="41"/>
      <c r="BX10" s="41"/>
      <c r="BY10" s="41"/>
      <c r="BZ10" s="41"/>
      <c r="CA10" s="41"/>
      <c r="CB10" s="41"/>
      <c r="CC10" s="41"/>
      <c r="CD10" s="41"/>
      <c r="CE10" s="41"/>
      <c r="CF10" s="41"/>
      <c r="CG10" s="41"/>
      <c r="CH10" s="41"/>
      <c r="CI10" s="41"/>
      <c r="CJ10" s="41"/>
      <c r="CK10" s="41"/>
    </row>
    <row r="11" spans="1:89" ht="15.75" customHeight="1">
      <c r="A11" s="39">
        <v>4</v>
      </c>
      <c r="B11" s="39">
        <f>(COUNTIFS(集計用!$G:$G,"*, "&amp;$C11&amp;",*",集計用!$Q:$Q,"&lt;&gt;無回答"))</f>
        <v>75</v>
      </c>
      <c r="C11" s="42" t="s">
        <v>5</v>
      </c>
      <c r="D11" s="41">
        <f>COUNTIFS(集計用!$O:$O, "*, "&amp;D$4&amp;", *",集計用!$G:$G,"*, "&amp;$C11&amp;", *")/$B11*100</f>
        <v>74.666666666666671</v>
      </c>
      <c r="E11" s="41">
        <f>COUNTIFS(集計用!$O:$O, "*, "&amp;E$4&amp;", *",集計用!$G:$G,"*, "&amp;$C11&amp;", *")/$B11*100</f>
        <v>53.333333333333336</v>
      </c>
      <c r="F11" s="41">
        <f>COUNTIFS(集計用!$O:$O, "*, "&amp;F$4&amp;", *",集計用!$G:$G,"*, "&amp;$C11&amp;", *")/$B11*100</f>
        <v>57.333333333333336</v>
      </c>
      <c r="G11" s="41">
        <f>COUNTIFS(集計用!$O:$O, "*, "&amp;G$4&amp;", *",集計用!$G:$G,"*, "&amp;$C11&amp;", *")/$B11*100</f>
        <v>29.333333333333332</v>
      </c>
      <c r="H11" s="41">
        <f>COUNTIFS(集計用!$O:$O, "*, "&amp;H$4&amp;", *",集計用!$G:$G,"*, "&amp;$C11&amp;", *")/$B11*100</f>
        <v>32</v>
      </c>
      <c r="I11" s="41">
        <f>COUNTIFS(集計用!$O:$O, "*, "&amp;I$4&amp;", *",集計用!$G:$G,"*, "&amp;$C11&amp;", *")/$B11*100</f>
        <v>28.000000000000004</v>
      </c>
      <c r="J11" s="41">
        <f>COUNTIFS(集計用!$O:$O, "*, "&amp;J$4&amp;", *",集計用!$G:$G,"*, "&amp;$C11&amp;", *")/$B11*100</f>
        <v>29.333333333333332</v>
      </c>
      <c r="K11" s="41">
        <f>COUNTIFS(集計用!$O:$O, "*, "&amp;K$4&amp;", *",集計用!$G:$G,"*, "&amp;$C11&amp;", *")/$B11*100</f>
        <v>26.666666666666668</v>
      </c>
      <c r="L11" s="41">
        <f>COUNTIFS(集計用!$O:$O, "*, "&amp;L$4&amp;", *",集計用!$G:$G,"*, "&amp;$C11&amp;", *")/$B11*100</f>
        <v>21.333333333333336</v>
      </c>
      <c r="M11" s="41">
        <f>COUNTIFS(集計用!$O:$O, "*, "&amp;M$4&amp;", *",集計用!$G:$G,"*, "&amp;$C11&amp;", *")/$B11*100</f>
        <v>21.333333333333336</v>
      </c>
      <c r="N11" s="41">
        <f>COUNTIFS(集計用!$O:$O, "*, "&amp;N$4&amp;", *",集計用!$G:$G,"*, "&amp;$C11&amp;", *")/$B11*100</f>
        <v>18.666666666666668</v>
      </c>
      <c r="O11" s="41">
        <f>COUNTIFS(集計用!$O:$O, "*, "&amp;O$4&amp;", *",集計用!$G:$G,"*, "&amp;$C11&amp;", *")/$B11*100</f>
        <v>20</v>
      </c>
      <c r="P11" s="41">
        <f>COUNTIFS(集計用!$O:$O, "*, "&amp;P$4&amp;", *",集計用!$G:$G,"*, "&amp;$C11&amp;", *")/$B11*100</f>
        <v>21.333333333333336</v>
      </c>
      <c r="Q11" s="41">
        <f>COUNTIFS(集計用!$O:$O, "*, "&amp;Q$4&amp;", *",集計用!$G:$G,"*, "&amp;$C11&amp;", *")/$B11*100</f>
        <v>10.666666666666668</v>
      </c>
      <c r="R11" s="41">
        <f>COUNTIFS(集計用!$O:$O, "*, "&amp;R$4&amp;", *",集計用!$G:$G,"*, "&amp;$C11&amp;", *")/$B11*100</f>
        <v>9.3333333333333339</v>
      </c>
      <c r="S11" s="41">
        <f>COUNTIFS(集計用!$O:$O, "*, "&amp;S$4&amp;", *",集計用!$G:$G,"*, "&amp;$C11&amp;", *")/$B11*100</f>
        <v>5.3333333333333339</v>
      </c>
      <c r="T11" s="41">
        <f>COUNTIFS(集計用!$O:$O, "*, "&amp;T$4&amp;", *",集計用!$G:$G,"*, "&amp;$C11&amp;", *")/$B11*100</f>
        <v>2.666666666666667</v>
      </c>
      <c r="U11"/>
      <c r="V11" s="41">
        <f>COUNTIFS(集計用!$P:$P, "*"&amp;V$4&amp;",*",集計用!$G:$G,"*, "&amp;$C11&amp;", *")/$B11*100</f>
        <v>1.3333333333333335</v>
      </c>
      <c r="W11" s="41">
        <f>COUNTIFS(集計用!$P:$P, "*"&amp;W$4&amp;",*",集計用!$G:$G,"*, "&amp;$C11&amp;", *")/$B11*100</f>
        <v>2.666666666666667</v>
      </c>
      <c r="X11" s="41">
        <f>COUNTIFS(集計用!$P:$P, "*"&amp;X$4&amp;",*",集計用!$G:$G,"*, "&amp;$C11&amp;", *")/$B11*100</f>
        <v>2.666666666666667</v>
      </c>
      <c r="Y11" s="41">
        <f>COUNTIFS(集計用!$P:$P, "*"&amp;Y$4&amp;",*",集計用!$G:$G,"*, "&amp;$C11&amp;", *")/$B11*100</f>
        <v>4</v>
      </c>
      <c r="Z11" s="41">
        <f>COUNTIFS(集計用!$P:$P, "*"&amp;Z$4&amp;",*",集計用!$G:$G,"*, "&amp;$C11&amp;", *")/$B11*100</f>
        <v>0</v>
      </c>
      <c r="AA11" s="41">
        <f>COUNTIFS(集計用!$P:$P, "*"&amp;AA$4&amp;",*",集計用!$G:$G,"*, "&amp;$C11&amp;", *")/$B11*100</f>
        <v>1.3333333333333335</v>
      </c>
      <c r="AB11" s="41">
        <f>COUNTIFS(集計用!$P:$P, "*"&amp;AB$4&amp;",*",集計用!$G:$G,"*, "&amp;$C11&amp;", *")/$B11*100</f>
        <v>0</v>
      </c>
      <c r="AC11" s="41">
        <f>COUNTIFS(集計用!$P:$P, "*"&amp;AC$4&amp;",*",集計用!$G:$G,"*, "&amp;$C11&amp;", *")/$B11*100</f>
        <v>0</v>
      </c>
      <c r="AD11" s="41">
        <f>COUNTIFS(集計用!$P:$P, "*"&amp;AD$4&amp;",*",集計用!$G:$G,"*, "&amp;$C11&amp;", *")/$B11*100</f>
        <v>0</v>
      </c>
      <c r="AE11" s="41">
        <f>COUNTIFS(集計用!$P:$P, "*"&amp;AE$4&amp;",*",集計用!$G:$G,"*, "&amp;$C11&amp;", *")/$B11*100</f>
        <v>0</v>
      </c>
      <c r="AF11" s="41">
        <f>COUNTIFS(集計用!$P:$P, "*"&amp;AF$4&amp;",*",集計用!$G:$G,"*, "&amp;$C11&amp;", *")/$B11*100</f>
        <v>0</v>
      </c>
      <c r="AG11" s="41">
        <f>COUNTIFS(集計用!$P:$P, "*"&amp;AG$4&amp;",*",集計用!$G:$G,"*, "&amp;$C11&amp;", *")/$B11*100</f>
        <v>1.3333333333333335</v>
      </c>
      <c r="AH11" s="41">
        <f>COUNTIFS(集計用!$P:$P, "*"&amp;AH$4&amp;",*",集計用!$G:$G,"*, "&amp;$C11&amp;", *")/$B11*100</f>
        <v>0</v>
      </c>
      <c r="AI11" s="41">
        <f>COUNTIFS(集計用!$P:$P, "*"&amp;AI$4&amp;",*",集計用!$G:$G,"*, "&amp;$C11&amp;", *")/$B11*100</f>
        <v>0</v>
      </c>
      <c r="AJ11" s="41">
        <f>COUNTIFS(集計用!$P:$P, "*"&amp;AJ$4&amp;",*",集計用!$G:$G,"*, "&amp;$C11&amp;", *")/$B11*100</f>
        <v>1.3333333333333335</v>
      </c>
      <c r="AK11" s="41">
        <f>COUNTIFS(集計用!$P:$P, "*"&amp;AK$4&amp;",*",集計用!$G:$G,"*, "&amp;$C11&amp;", *")/$B11*100</f>
        <v>0</v>
      </c>
      <c r="AL11" s="41">
        <f>COUNTIFS(集計用!$P:$P, "*"&amp;AL$4&amp;",*",集計用!$G:$G,"*, "&amp;$C11&amp;", *")/$B11*100</f>
        <v>1.3333333333333335</v>
      </c>
      <c r="AM11" s="41">
        <f>COUNTIFS(集計用!$P:$P, "*"&amp;AM$4&amp;",*",集計用!$G:$G,"*, "&amp;$C11&amp;", *")/$B11*100</f>
        <v>0</v>
      </c>
      <c r="AN11" s="41">
        <f>COUNTIFS(集計用!$P:$P, "*"&amp;AN$4&amp;",*",集計用!$G:$G,"*, "&amp;$C11&amp;", *")/$B11*100</f>
        <v>1.3333333333333335</v>
      </c>
      <c r="AO11" s="41">
        <f>COUNTIFS(集計用!$P:$P, "*"&amp;AO$4&amp;",*",集計用!$G:$G,"*, "&amp;$C11&amp;", *")/$B11*100</f>
        <v>1.3333333333333335</v>
      </c>
      <c r="AP11" s="41">
        <f>COUNTIFS(集計用!$P:$P, "*"&amp;AP$4&amp;",*",集計用!$G:$G,"*, "&amp;$C11&amp;", *")/$B11*100</f>
        <v>0</v>
      </c>
      <c r="AQ11" s="41">
        <f>COUNTIFS(集計用!$P:$P, "*"&amp;AQ$4&amp;",*",集計用!$G:$G,"*, "&amp;$C11&amp;", *")/$B11*100</f>
        <v>0</v>
      </c>
      <c r="AR11" s="41">
        <f>COUNTIFS(集計用!$P:$P, "*"&amp;AR$4&amp;",*",集計用!$G:$G,"*, "&amp;$C11&amp;", *")/$B11*100</f>
        <v>0</v>
      </c>
      <c r="AS11" s="41">
        <f>COUNTIFS(集計用!$P:$P, "*"&amp;AS$4&amp;",*",集計用!$G:$G,"*, "&amp;$C11&amp;", *")/$B11*100</f>
        <v>1.3333333333333335</v>
      </c>
      <c r="AT11" s="41">
        <f>COUNTIFS(集計用!$P:$P, "*"&amp;AT$4&amp;",*",集計用!$G:$G,"*, "&amp;$C11&amp;", *")/$B11*100</f>
        <v>0</v>
      </c>
      <c r="AU11" s="41">
        <f>COUNTIFS(集計用!$P:$P, "*"&amp;AU$4&amp;",*",集計用!$G:$G,"*, "&amp;$C11&amp;", *")/$B11*100</f>
        <v>1.3333333333333335</v>
      </c>
      <c r="AV11" s="41">
        <f>COUNTIFS(集計用!$P:$P, "*"&amp;AV$4&amp;",*",集計用!$G:$G,"*, "&amp;$C11&amp;", *")/$B11*100</f>
        <v>1.3333333333333335</v>
      </c>
      <c r="AW11" s="41">
        <f>COUNTIFS(集計用!$P:$P, "*"&amp;AW$4&amp;",*",集計用!$G:$G,"*, "&amp;$C11&amp;", *")/$B11*100</f>
        <v>0</v>
      </c>
      <c r="AX11" s="41">
        <f>COUNTIFS(集計用!$P:$P, "*"&amp;AX$4&amp;",*",集計用!$G:$G,"*, "&amp;$C11&amp;", *")/$B11*100</f>
        <v>0</v>
      </c>
      <c r="AY11" s="41">
        <f>COUNTIFS(集計用!$P:$P, "*"&amp;AY$4&amp;",*",集計用!$G:$G,"*, "&amp;$C11&amp;", *")/$B11*100</f>
        <v>0</v>
      </c>
      <c r="AZ11" s="41">
        <f>COUNTIFS(集計用!$P:$P, "*"&amp;AZ$4&amp;",*",集計用!$G:$G,"*, "&amp;$C11&amp;", *")/$B11*100</f>
        <v>0</v>
      </c>
      <c r="BA11" s="41">
        <f>COUNTIFS(集計用!$P:$P, "*"&amp;BA$4&amp;",*",集計用!$G:$G,"*, "&amp;$C11&amp;", *")/$B11*100</f>
        <v>0</v>
      </c>
      <c r="BB11" s="41">
        <f>COUNTIFS(集計用!$P:$P, "*"&amp;BB$4&amp;",*",集計用!$G:$G,"*, "&amp;$C11&amp;", *")/$B11*100</f>
        <v>0</v>
      </c>
      <c r="BC11" s="41">
        <f>COUNTIFS(集計用!$P:$P, "*"&amp;BC$4&amp;",*",集計用!$G:$G,"*, "&amp;$C11&amp;", *")/$B11*100</f>
        <v>0</v>
      </c>
      <c r="BD11" s="41">
        <f>COUNTIFS(集計用!$P:$P, "*"&amp;BD$4&amp;",*",集計用!$G:$G,"*, "&amp;$C11&amp;", *")/$B11*100</f>
        <v>0</v>
      </c>
      <c r="BE11" s="41">
        <f>COUNTIFS(集計用!$P:$P, "*"&amp;BE$4&amp;",*",集計用!$G:$G,"*, "&amp;$C11&amp;", *")/$B11*100</f>
        <v>1.3333333333333335</v>
      </c>
      <c r="BF11" s="41">
        <f>COUNTIFS(集計用!$P:$P, "*"&amp;BF$4&amp;",*",集計用!$G:$G,"*, "&amp;$C11&amp;", *")/$B11*100</f>
        <v>0</v>
      </c>
      <c r="BG11" s="41">
        <f>COUNTIFS(集計用!$P:$P, "*"&amp;BG$4&amp;",*",集計用!$G:$G,"*, "&amp;$C11&amp;", *")/$B11*100</f>
        <v>0</v>
      </c>
      <c r="BH11" s="41">
        <f>COUNTIFS(集計用!$P:$P, "*"&amp;BH$4&amp;",*",集計用!$G:$G,"*, "&amp;$C11&amp;", *")/$B11*100</f>
        <v>0</v>
      </c>
      <c r="BI11" s="41">
        <f>COUNTIFS(集計用!$P:$P, "*"&amp;BI$4&amp;",*",集計用!$G:$G,"*, "&amp;$C11&amp;", *")/$B11*100</f>
        <v>0</v>
      </c>
      <c r="BJ11" s="41">
        <f>COUNTIFS(集計用!$P:$P, "*"&amp;BJ$4&amp;",*",集計用!$G:$G,"*, "&amp;$C11&amp;", *")/$B11*100</f>
        <v>0</v>
      </c>
      <c r="BK11" s="41">
        <f>COUNTIFS(集計用!$P:$P, "*"&amp;BK$4&amp;",*",集計用!$G:$G,"*, "&amp;$C11&amp;", *")/$B11*100</f>
        <v>0</v>
      </c>
      <c r="BL11" s="41">
        <f>COUNTIFS(集計用!$P:$P, "*"&amp;BL$4&amp;",*",集計用!$G:$G,"*, "&amp;$C11&amp;", *")/$B11*100</f>
        <v>0</v>
      </c>
      <c r="BM11" s="41">
        <f>COUNTIFS(集計用!$P:$P, "*"&amp;BM$4&amp;",*",集計用!$G:$G,"*, "&amp;$C11&amp;", *")/$B11*100</f>
        <v>0</v>
      </c>
      <c r="BN11" s="41">
        <f>COUNTIFS(集計用!$P:$P, "*"&amp;BN$4&amp;",*",集計用!$G:$G,"*, "&amp;$C11&amp;", *")/$B11*100</f>
        <v>1.3333333333333335</v>
      </c>
      <c r="BO11" s="41">
        <f>COUNTIFS(集計用!$P:$P, "*"&amp;BO$4&amp;",*",集計用!$G:$G,"*, "&amp;$C11&amp;", *")/$B11*100</f>
        <v>0</v>
      </c>
      <c r="BP11" s="41">
        <f>COUNTIFS(集計用!$P:$P, "*"&amp;BP$4&amp;",*",集計用!$G:$G,"*, "&amp;$C11&amp;", *")/$B11*100</f>
        <v>0</v>
      </c>
      <c r="BQ11" s="41">
        <f>COUNTIFS(集計用!$P:$P, "*"&amp;BQ$4&amp;",*",集計用!$G:$G,"*, "&amp;$C11&amp;", *")/$B11*100</f>
        <v>0</v>
      </c>
      <c r="BR11" s="41">
        <f>COUNTIFS(集計用!$P:$P, "*"&amp;BR$4&amp;",*",集計用!$G:$G,"*, "&amp;$C11&amp;", *")/$B11*100</f>
        <v>0</v>
      </c>
      <c r="BS11" s="41">
        <f>COUNTIFS(集計用!$P:$P, "*"&amp;BS$4&amp;",*",集計用!$G:$G,"*, "&amp;$C11&amp;", *")/$B11*100</f>
        <v>0</v>
      </c>
      <c r="BT11" s="41">
        <f>COUNTIFS(集計用!$P:$P, "*"&amp;BT$4&amp;",*",集計用!$G:$G,"*, "&amp;$C11&amp;", *")/$B11*100</f>
        <v>0</v>
      </c>
      <c r="BU11" s="41"/>
      <c r="BV11" s="41"/>
      <c r="BW11" s="41"/>
      <c r="BX11" s="41"/>
      <c r="BY11" s="41"/>
      <c r="BZ11" s="41"/>
      <c r="CA11" s="41"/>
      <c r="CB11" s="41"/>
      <c r="CC11" s="41"/>
      <c r="CD11" s="41"/>
      <c r="CE11" s="41"/>
      <c r="CF11" s="41"/>
      <c r="CG11" s="41"/>
      <c r="CH11" s="41"/>
      <c r="CI11" s="41"/>
      <c r="CJ11" s="41"/>
      <c r="CK11" s="41"/>
    </row>
    <row r="12" spans="1:89" ht="15.75" customHeight="1">
      <c r="A12" s="39">
        <v>1</v>
      </c>
      <c r="B12" s="39">
        <f>(COUNTIFS(集計用!$G:$G,"*, "&amp;$C12&amp;",*",集計用!$Q:$Q,"&lt;&gt;無回答"))</f>
        <v>74</v>
      </c>
      <c r="C12" s="42" t="s">
        <v>6</v>
      </c>
      <c r="D12" s="41">
        <f>COUNTIFS(集計用!$O:$O, "*, "&amp;D$4&amp;", *",集計用!$G:$G,"*, "&amp;$C12&amp;", *")/$B12*100</f>
        <v>72.972972972972968</v>
      </c>
      <c r="E12" s="41">
        <f>COUNTIFS(集計用!$O:$O, "*, "&amp;E$4&amp;", *",集計用!$G:$G,"*, "&amp;$C12&amp;", *")/$B12*100</f>
        <v>60.810810810810814</v>
      </c>
      <c r="F12" s="41">
        <f>COUNTIFS(集計用!$O:$O, "*, "&amp;F$4&amp;", *",集計用!$G:$G,"*, "&amp;$C12&amp;", *")/$B12*100</f>
        <v>64.86486486486487</v>
      </c>
      <c r="G12" s="41">
        <f>COUNTIFS(集計用!$O:$O, "*, "&amp;G$4&amp;", *",集計用!$G:$G,"*, "&amp;$C12&amp;", *")/$B12*100</f>
        <v>24.324324324324326</v>
      </c>
      <c r="H12" s="41">
        <f>COUNTIFS(集計用!$O:$O, "*, "&amp;H$4&amp;", *",集計用!$G:$G,"*, "&amp;$C12&amp;", *")/$B12*100</f>
        <v>25.675675675675674</v>
      </c>
      <c r="I12" s="41">
        <f>COUNTIFS(集計用!$O:$O, "*, "&amp;I$4&amp;", *",集計用!$G:$G,"*, "&amp;$C12&amp;", *")/$B12*100</f>
        <v>21.621621621621621</v>
      </c>
      <c r="J12" s="41">
        <f>COUNTIFS(集計用!$O:$O, "*, "&amp;J$4&amp;", *",集計用!$G:$G,"*, "&amp;$C12&amp;", *")/$B12*100</f>
        <v>18.918918918918919</v>
      </c>
      <c r="K12" s="41">
        <f>COUNTIFS(集計用!$O:$O, "*, "&amp;K$4&amp;", *",集計用!$G:$G,"*, "&amp;$C12&amp;", *")/$B12*100</f>
        <v>24.324324324324326</v>
      </c>
      <c r="L12" s="41">
        <f>COUNTIFS(集計用!$O:$O, "*, "&amp;L$4&amp;", *",集計用!$G:$G,"*, "&amp;$C12&amp;", *")/$B12*100</f>
        <v>27.027027027027028</v>
      </c>
      <c r="M12" s="41">
        <f>COUNTIFS(集計用!$O:$O, "*, "&amp;M$4&amp;", *",集計用!$G:$G,"*, "&amp;$C12&amp;", *")/$B12*100</f>
        <v>16.216216216216218</v>
      </c>
      <c r="N12" s="41">
        <f>COUNTIFS(集計用!$O:$O, "*, "&amp;N$4&amp;", *",集計用!$G:$G,"*, "&amp;$C12&amp;", *")/$B12*100</f>
        <v>20.27027027027027</v>
      </c>
      <c r="O12" s="41">
        <f>COUNTIFS(集計用!$O:$O, "*, "&amp;O$4&amp;", *",集計用!$G:$G,"*, "&amp;$C12&amp;", *")/$B12*100</f>
        <v>20.27027027027027</v>
      </c>
      <c r="P12" s="41">
        <f>COUNTIFS(集計用!$O:$O, "*, "&amp;P$4&amp;", *",集計用!$G:$G,"*, "&amp;$C12&amp;", *")/$B12*100</f>
        <v>20.27027027027027</v>
      </c>
      <c r="Q12" s="41">
        <f>COUNTIFS(集計用!$O:$O, "*, "&amp;Q$4&amp;", *",集計用!$G:$G,"*, "&amp;$C12&amp;", *")/$B12*100</f>
        <v>9.4594594594594597</v>
      </c>
      <c r="R12" s="41">
        <f>COUNTIFS(集計用!$O:$O, "*, "&amp;R$4&amp;", *",集計用!$G:$G,"*, "&amp;$C12&amp;", *")/$B12*100</f>
        <v>10.810810810810811</v>
      </c>
      <c r="S12" s="41">
        <f>COUNTIFS(集計用!$O:$O, "*, "&amp;S$4&amp;", *",集計用!$G:$G,"*, "&amp;$C12&amp;", *")/$B12*100</f>
        <v>5.4054054054054053</v>
      </c>
      <c r="T12" s="41">
        <f>COUNTIFS(集計用!$O:$O, "*, "&amp;T$4&amp;", *",集計用!$G:$G,"*, "&amp;$C12&amp;", *")/$B12*100</f>
        <v>2.7027027027027026</v>
      </c>
      <c r="U12"/>
      <c r="V12" s="41">
        <f>COUNTIFS(集計用!$P:$P, "*"&amp;V$4&amp;",*",集計用!$G:$G,"*, "&amp;$C12&amp;", *")/$B12*100</f>
        <v>2.7027027027027026</v>
      </c>
      <c r="W12" s="41">
        <f>COUNTIFS(集計用!$P:$P, "*"&amp;W$4&amp;",*",集計用!$G:$G,"*, "&amp;$C12&amp;", *")/$B12*100</f>
        <v>2.7027027027027026</v>
      </c>
      <c r="X12" s="41">
        <f>COUNTIFS(集計用!$P:$P, "*"&amp;X$4&amp;",*",集計用!$G:$G,"*, "&amp;$C12&amp;", *")/$B12*100</f>
        <v>1.3513513513513513</v>
      </c>
      <c r="Y12" s="41">
        <f>COUNTIFS(集計用!$P:$P, "*"&amp;Y$4&amp;",*",集計用!$G:$G,"*, "&amp;$C12&amp;", *")/$B12*100</f>
        <v>1.3513513513513513</v>
      </c>
      <c r="Z12" s="41">
        <f>COUNTIFS(集計用!$P:$P, "*"&amp;Z$4&amp;",*",集計用!$G:$G,"*, "&amp;$C12&amp;", *")/$B12*100</f>
        <v>0</v>
      </c>
      <c r="AA12" s="41">
        <f>COUNTIFS(集計用!$P:$P, "*"&amp;AA$4&amp;",*",集計用!$G:$G,"*, "&amp;$C12&amp;", *")/$B12*100</f>
        <v>1.3513513513513513</v>
      </c>
      <c r="AB12" s="41">
        <f>COUNTIFS(集計用!$P:$P, "*"&amp;AB$4&amp;",*",集計用!$G:$G,"*, "&amp;$C12&amp;", *")/$B12*100</f>
        <v>0</v>
      </c>
      <c r="AC12" s="41">
        <f>COUNTIFS(集計用!$P:$P, "*"&amp;AC$4&amp;",*",集計用!$G:$G,"*, "&amp;$C12&amp;", *")/$B12*100</f>
        <v>0</v>
      </c>
      <c r="AD12" s="41">
        <f>COUNTIFS(集計用!$P:$P, "*"&amp;AD$4&amp;",*",集計用!$G:$G,"*, "&amp;$C12&amp;", *")/$B12*100</f>
        <v>0</v>
      </c>
      <c r="AE12" s="41">
        <f>COUNTIFS(集計用!$P:$P, "*"&amp;AE$4&amp;",*",集計用!$G:$G,"*, "&amp;$C12&amp;", *")/$B12*100</f>
        <v>0</v>
      </c>
      <c r="AF12" s="41">
        <f>COUNTIFS(集計用!$P:$P, "*"&amp;AF$4&amp;",*",集計用!$G:$G,"*, "&amp;$C12&amp;", *")/$B12*100</f>
        <v>0</v>
      </c>
      <c r="AG12" s="41">
        <f>COUNTIFS(集計用!$P:$P, "*"&amp;AG$4&amp;",*",集計用!$G:$G,"*, "&amp;$C12&amp;", *")/$B12*100</f>
        <v>0</v>
      </c>
      <c r="AH12" s="41">
        <f>COUNTIFS(集計用!$P:$P, "*"&amp;AH$4&amp;",*",集計用!$G:$G,"*, "&amp;$C12&amp;", *")/$B12*100</f>
        <v>0</v>
      </c>
      <c r="AI12" s="41">
        <f>COUNTIFS(集計用!$P:$P, "*"&amp;AI$4&amp;",*",集計用!$G:$G,"*, "&amp;$C12&amp;", *")/$B12*100</f>
        <v>0</v>
      </c>
      <c r="AJ12" s="41">
        <f>COUNTIFS(集計用!$P:$P, "*"&amp;AJ$4&amp;",*",集計用!$G:$G,"*, "&amp;$C12&amp;", *")/$B12*100</f>
        <v>0</v>
      </c>
      <c r="AK12" s="41">
        <f>COUNTIFS(集計用!$P:$P, "*"&amp;AK$4&amp;",*",集計用!$G:$G,"*, "&amp;$C12&amp;", *")/$B12*100</f>
        <v>0</v>
      </c>
      <c r="AL12" s="41">
        <f>COUNTIFS(集計用!$P:$P, "*"&amp;AL$4&amp;",*",集計用!$G:$G,"*, "&amp;$C12&amp;", *")/$B12*100</f>
        <v>1.3513513513513513</v>
      </c>
      <c r="AM12" s="41">
        <f>COUNTIFS(集計用!$P:$P, "*"&amp;AM$4&amp;",*",集計用!$G:$G,"*, "&amp;$C12&amp;", *")/$B12*100</f>
        <v>0</v>
      </c>
      <c r="AN12" s="41">
        <f>COUNTIFS(集計用!$P:$P, "*"&amp;AN$4&amp;",*",集計用!$G:$G,"*, "&amp;$C12&amp;", *")/$B12*100</f>
        <v>1.3513513513513513</v>
      </c>
      <c r="AO12" s="41">
        <f>COUNTIFS(集計用!$P:$P, "*"&amp;AO$4&amp;",*",集計用!$G:$G,"*, "&amp;$C12&amp;", *")/$B12*100</f>
        <v>1.3513513513513513</v>
      </c>
      <c r="AP12" s="41">
        <f>COUNTIFS(集計用!$P:$P, "*"&amp;AP$4&amp;",*",集計用!$G:$G,"*, "&amp;$C12&amp;", *")/$B12*100</f>
        <v>0</v>
      </c>
      <c r="AQ12" s="41">
        <f>COUNTIFS(集計用!$P:$P, "*"&amp;AQ$4&amp;",*",集計用!$G:$G,"*, "&amp;$C12&amp;", *")/$B12*100</f>
        <v>0</v>
      </c>
      <c r="AR12" s="41">
        <f>COUNTIFS(集計用!$P:$P, "*"&amp;AR$4&amp;",*",集計用!$G:$G,"*, "&amp;$C12&amp;", *")/$B12*100</f>
        <v>0</v>
      </c>
      <c r="AS12" s="41">
        <f>COUNTIFS(集計用!$P:$P, "*"&amp;AS$4&amp;",*",集計用!$G:$G,"*, "&amp;$C12&amp;", *")/$B12*100</f>
        <v>1.3513513513513513</v>
      </c>
      <c r="AT12" s="41">
        <f>COUNTIFS(集計用!$P:$P, "*"&amp;AT$4&amp;",*",集計用!$G:$G,"*, "&amp;$C12&amp;", *")/$B12*100</f>
        <v>0</v>
      </c>
      <c r="AU12" s="41">
        <f>COUNTIFS(集計用!$P:$P, "*"&amp;AU$4&amp;",*",集計用!$G:$G,"*, "&amp;$C12&amp;", *")/$B12*100</f>
        <v>1.3513513513513513</v>
      </c>
      <c r="AV12" s="41">
        <f>COUNTIFS(集計用!$P:$P, "*"&amp;AV$4&amp;",*",集計用!$G:$G,"*, "&amp;$C12&amp;", *")/$B12*100</f>
        <v>1.3513513513513513</v>
      </c>
      <c r="AW12" s="41">
        <f>COUNTIFS(集計用!$P:$P, "*"&amp;AW$4&amp;",*",集計用!$G:$G,"*, "&amp;$C12&amp;", *")/$B12*100</f>
        <v>0</v>
      </c>
      <c r="AX12" s="41">
        <f>COUNTIFS(集計用!$P:$P, "*"&amp;AX$4&amp;",*",集計用!$G:$G,"*, "&amp;$C12&amp;", *")/$B12*100</f>
        <v>1.3513513513513513</v>
      </c>
      <c r="AY12" s="41">
        <f>COUNTIFS(集計用!$P:$P, "*"&amp;AY$4&amp;",*",集計用!$G:$G,"*, "&amp;$C12&amp;", *")/$B12*100</f>
        <v>0</v>
      </c>
      <c r="AZ12" s="41">
        <f>COUNTIFS(集計用!$P:$P, "*"&amp;AZ$4&amp;",*",集計用!$G:$G,"*, "&amp;$C12&amp;", *")/$B12*100</f>
        <v>0</v>
      </c>
      <c r="BA12" s="41">
        <f>COUNTIFS(集計用!$P:$P, "*"&amp;BA$4&amp;",*",集計用!$G:$G,"*, "&amp;$C12&amp;", *")/$B12*100</f>
        <v>0</v>
      </c>
      <c r="BB12" s="41">
        <f>COUNTIFS(集計用!$P:$P, "*"&amp;BB$4&amp;",*",集計用!$G:$G,"*, "&amp;$C12&amp;", *")/$B12*100</f>
        <v>0</v>
      </c>
      <c r="BC12" s="41">
        <f>COUNTIFS(集計用!$P:$P, "*"&amp;BC$4&amp;",*",集計用!$G:$G,"*, "&amp;$C12&amp;", *")/$B12*100</f>
        <v>0</v>
      </c>
      <c r="BD12" s="41">
        <f>COUNTIFS(集計用!$P:$P, "*"&amp;BD$4&amp;",*",集計用!$G:$G,"*, "&amp;$C12&amp;", *")/$B12*100</f>
        <v>0</v>
      </c>
      <c r="BE12" s="41">
        <f>COUNTIFS(集計用!$P:$P, "*"&amp;BE$4&amp;",*",集計用!$G:$G,"*, "&amp;$C12&amp;", *")/$B12*100</f>
        <v>0</v>
      </c>
      <c r="BF12" s="41">
        <f>COUNTIFS(集計用!$P:$P, "*"&amp;BF$4&amp;",*",集計用!$G:$G,"*, "&amp;$C12&amp;", *")/$B12*100</f>
        <v>0</v>
      </c>
      <c r="BG12" s="41">
        <f>COUNTIFS(集計用!$P:$P, "*"&amp;BG$4&amp;",*",集計用!$G:$G,"*, "&amp;$C12&amp;", *")/$B12*100</f>
        <v>0</v>
      </c>
      <c r="BH12" s="41">
        <f>COUNTIFS(集計用!$P:$P, "*"&amp;BH$4&amp;",*",集計用!$G:$G,"*, "&amp;$C12&amp;", *")/$B12*100</f>
        <v>0</v>
      </c>
      <c r="BI12" s="41">
        <f>COUNTIFS(集計用!$P:$P, "*"&amp;BI$4&amp;",*",集計用!$G:$G,"*, "&amp;$C12&amp;", *")/$B12*100</f>
        <v>0</v>
      </c>
      <c r="BJ12" s="41">
        <f>COUNTIFS(集計用!$P:$P, "*"&amp;BJ$4&amp;",*",集計用!$G:$G,"*, "&amp;$C12&amp;", *")/$B12*100</f>
        <v>0</v>
      </c>
      <c r="BK12" s="41">
        <f>COUNTIFS(集計用!$P:$P, "*"&amp;BK$4&amp;",*",集計用!$G:$G,"*, "&amp;$C12&amp;", *")/$B12*100</f>
        <v>0</v>
      </c>
      <c r="BL12" s="41">
        <f>COUNTIFS(集計用!$P:$P, "*"&amp;BL$4&amp;",*",集計用!$G:$G,"*, "&amp;$C12&amp;", *")/$B12*100</f>
        <v>0</v>
      </c>
      <c r="BM12" s="41">
        <f>COUNTIFS(集計用!$P:$P, "*"&amp;BM$4&amp;",*",集計用!$G:$G,"*, "&amp;$C12&amp;", *")/$B12*100</f>
        <v>0</v>
      </c>
      <c r="BN12" s="41">
        <f>COUNTIFS(集計用!$P:$P, "*"&amp;BN$4&amp;",*",集計用!$G:$G,"*, "&amp;$C12&amp;", *")/$B12*100</f>
        <v>1.3513513513513513</v>
      </c>
      <c r="BO12" s="41">
        <f>COUNTIFS(集計用!$P:$P, "*"&amp;BO$4&amp;",*",集計用!$G:$G,"*, "&amp;$C12&amp;", *")/$B12*100</f>
        <v>0</v>
      </c>
      <c r="BP12" s="41">
        <f>COUNTIFS(集計用!$P:$P, "*"&amp;BP$4&amp;",*",集計用!$G:$G,"*, "&amp;$C12&amp;", *")/$B12*100</f>
        <v>0</v>
      </c>
      <c r="BQ12" s="41">
        <f>COUNTIFS(集計用!$P:$P, "*"&amp;BQ$4&amp;",*",集計用!$G:$G,"*, "&amp;$C12&amp;", *")/$B12*100</f>
        <v>0</v>
      </c>
      <c r="BR12" s="41">
        <f>COUNTIFS(集計用!$P:$P, "*"&amp;BR$4&amp;",*",集計用!$G:$G,"*, "&amp;$C12&amp;", *")/$B12*100</f>
        <v>0</v>
      </c>
      <c r="BS12" s="41">
        <f>COUNTIFS(集計用!$P:$P, "*"&amp;BS$4&amp;",*",集計用!$G:$G,"*, "&amp;$C12&amp;", *")/$B12*100</f>
        <v>0</v>
      </c>
      <c r="BT12" s="41">
        <f>COUNTIFS(集計用!$P:$P, "*"&amp;BT$4&amp;",*",集計用!$G:$G,"*, "&amp;$C12&amp;", *")/$B12*100</f>
        <v>0</v>
      </c>
      <c r="BU12" s="41"/>
      <c r="BV12" s="41"/>
      <c r="BW12" s="41"/>
      <c r="BX12" s="41"/>
      <c r="BY12" s="41"/>
      <c r="BZ12" s="41"/>
      <c r="CA12" s="41"/>
      <c r="CB12" s="41"/>
      <c r="CC12" s="41"/>
      <c r="CD12" s="41"/>
      <c r="CE12" s="41"/>
      <c r="CF12" s="41"/>
      <c r="CG12" s="41"/>
      <c r="CH12" s="41"/>
      <c r="CI12" s="41"/>
      <c r="CJ12" s="41"/>
      <c r="CK12" s="41"/>
    </row>
    <row r="13" spans="1:89" ht="15.75" customHeight="1">
      <c r="A13" s="39">
        <v>1</v>
      </c>
      <c r="B13" s="39">
        <f>(COUNTIFS(集計用!$G:$G,"*, "&amp;$C13&amp;",*",集計用!$Q:$Q,"&lt;&gt;無回答"))</f>
        <v>71</v>
      </c>
      <c r="C13" s="42" t="s">
        <v>7</v>
      </c>
      <c r="D13" s="41">
        <f>COUNTIFS(集計用!$O:$O, "*, "&amp;D$4&amp;", *",集計用!$G:$G,"*, "&amp;$C13&amp;", *")/$B13*100</f>
        <v>76.056338028169009</v>
      </c>
      <c r="E13" s="41">
        <f>COUNTIFS(集計用!$O:$O, "*, "&amp;E$4&amp;", *",集計用!$G:$G,"*, "&amp;$C13&amp;", *")/$B13*100</f>
        <v>63.380281690140848</v>
      </c>
      <c r="F13" s="41">
        <f>COUNTIFS(集計用!$O:$O, "*, "&amp;F$4&amp;", *",集計用!$G:$G,"*, "&amp;$C13&amp;", *")/$B13*100</f>
        <v>59.154929577464785</v>
      </c>
      <c r="G13" s="41">
        <f>COUNTIFS(集計用!$O:$O, "*, "&amp;G$4&amp;", *",集計用!$G:$G,"*, "&amp;$C13&amp;", *")/$B13*100</f>
        <v>26.760563380281688</v>
      </c>
      <c r="H13" s="41">
        <f>COUNTIFS(集計用!$O:$O, "*, "&amp;H$4&amp;", *",集計用!$G:$G,"*, "&amp;$C13&amp;", *")/$B13*100</f>
        <v>26.760563380281688</v>
      </c>
      <c r="I13" s="41">
        <f>COUNTIFS(集計用!$O:$O, "*, "&amp;I$4&amp;", *",集計用!$G:$G,"*, "&amp;$C13&amp;", *")/$B13*100</f>
        <v>25.352112676056336</v>
      </c>
      <c r="J13" s="41">
        <f>COUNTIFS(集計用!$O:$O, "*, "&amp;J$4&amp;", *",集計用!$G:$G,"*, "&amp;$C13&amp;", *")/$B13*100</f>
        <v>12.676056338028168</v>
      </c>
      <c r="K13" s="41">
        <f>COUNTIFS(集計用!$O:$O, "*, "&amp;K$4&amp;", *",集計用!$G:$G,"*, "&amp;$C13&amp;", *")/$B13*100</f>
        <v>21.12676056338028</v>
      </c>
      <c r="L13" s="41">
        <f>COUNTIFS(集計用!$O:$O, "*, "&amp;L$4&amp;", *",集計用!$G:$G,"*, "&amp;$C13&amp;", *")/$B13*100</f>
        <v>25.352112676056336</v>
      </c>
      <c r="M13" s="41">
        <f>COUNTIFS(集計用!$O:$O, "*, "&amp;M$4&amp;", *",集計用!$G:$G,"*, "&amp;$C13&amp;", *")/$B13*100</f>
        <v>19.718309859154928</v>
      </c>
      <c r="N13" s="41">
        <f>COUNTIFS(集計用!$O:$O, "*, "&amp;N$4&amp;", *",集計用!$G:$G,"*, "&amp;$C13&amp;", *")/$B13*100</f>
        <v>19.718309859154928</v>
      </c>
      <c r="O13" s="41">
        <f>COUNTIFS(集計用!$O:$O, "*, "&amp;O$4&amp;", *",集計用!$G:$G,"*, "&amp;$C13&amp;", *")/$B13*100</f>
        <v>14.084507042253522</v>
      </c>
      <c r="P13" s="41">
        <f>COUNTIFS(集計用!$O:$O, "*, "&amp;P$4&amp;", *",集計用!$G:$G,"*, "&amp;$C13&amp;", *")/$B13*100</f>
        <v>15.492957746478872</v>
      </c>
      <c r="Q13" s="41">
        <f>COUNTIFS(集計用!$O:$O, "*, "&amp;Q$4&amp;", *",集計用!$G:$G,"*, "&amp;$C13&amp;", *")/$B13*100</f>
        <v>9.8591549295774641</v>
      </c>
      <c r="R13" s="41">
        <f>COUNTIFS(集計用!$O:$O, "*, "&amp;R$4&amp;", *",集計用!$G:$G,"*, "&amp;$C13&amp;", *")/$B13*100</f>
        <v>9.8591549295774641</v>
      </c>
      <c r="S13" s="41">
        <f>COUNTIFS(集計用!$O:$O, "*, "&amp;S$4&amp;", *",集計用!$G:$G,"*, "&amp;$C13&amp;", *")/$B13*100</f>
        <v>4.225352112676056</v>
      </c>
      <c r="T13" s="41">
        <f>COUNTIFS(集計用!$O:$O, "*, "&amp;T$4&amp;", *",集計用!$G:$G,"*, "&amp;$C13&amp;", *")/$B13*100</f>
        <v>4.225352112676056</v>
      </c>
      <c r="U13"/>
      <c r="V13" s="41">
        <f>COUNTIFS(集計用!$P:$P, "*"&amp;V$4&amp;",*",集計用!$G:$G,"*, "&amp;$C13&amp;", *")/$B13*100</f>
        <v>1.4084507042253522</v>
      </c>
      <c r="W13" s="41">
        <f>COUNTIFS(集計用!$P:$P, "*"&amp;W$4&amp;",*",集計用!$G:$G,"*, "&amp;$C13&amp;", *")/$B13*100</f>
        <v>4.225352112676056</v>
      </c>
      <c r="X13" s="41">
        <f>COUNTIFS(集計用!$P:$P, "*"&amp;X$4&amp;",*",集計用!$G:$G,"*, "&amp;$C13&amp;", *")/$B13*100</f>
        <v>1.4084507042253522</v>
      </c>
      <c r="Y13" s="41">
        <f>COUNTIFS(集計用!$P:$P, "*"&amp;Y$4&amp;",*",集計用!$G:$G,"*, "&amp;$C13&amp;", *")/$B13*100</f>
        <v>0</v>
      </c>
      <c r="Z13" s="41">
        <f>COUNTIFS(集計用!$P:$P, "*"&amp;Z$4&amp;",*",集計用!$G:$G,"*, "&amp;$C13&amp;", *")/$B13*100</f>
        <v>1.4084507042253522</v>
      </c>
      <c r="AA13" s="41">
        <f>COUNTIFS(集計用!$P:$P, "*"&amp;AA$4&amp;",*",集計用!$G:$G,"*, "&amp;$C13&amp;", *")/$B13*100</f>
        <v>2.8169014084507045</v>
      </c>
      <c r="AB13" s="41">
        <f>COUNTIFS(集計用!$P:$P, "*"&amp;AB$4&amp;",*",集計用!$G:$G,"*, "&amp;$C13&amp;", *")/$B13*100</f>
        <v>0</v>
      </c>
      <c r="AC13" s="41">
        <f>COUNTIFS(集計用!$P:$P, "*"&amp;AC$4&amp;",*",集計用!$G:$G,"*, "&amp;$C13&amp;", *")/$B13*100</f>
        <v>2.8169014084507045</v>
      </c>
      <c r="AD13" s="41">
        <f>COUNTIFS(集計用!$P:$P, "*"&amp;AD$4&amp;",*",集計用!$G:$G,"*, "&amp;$C13&amp;", *")/$B13*100</f>
        <v>0</v>
      </c>
      <c r="AE13" s="41">
        <f>COUNTIFS(集計用!$P:$P, "*"&amp;AE$4&amp;",*",集計用!$G:$G,"*, "&amp;$C13&amp;", *")/$B13*100</f>
        <v>1.4084507042253522</v>
      </c>
      <c r="AF13" s="41">
        <f>COUNTIFS(集計用!$P:$P, "*"&amp;AF$4&amp;",*",集計用!$G:$G,"*, "&amp;$C13&amp;", *")/$B13*100</f>
        <v>0</v>
      </c>
      <c r="AG13" s="41">
        <f>COUNTIFS(集計用!$P:$P, "*"&amp;AG$4&amp;",*",集計用!$G:$G,"*, "&amp;$C13&amp;", *")/$B13*100</f>
        <v>0</v>
      </c>
      <c r="AH13" s="41">
        <f>COUNTIFS(集計用!$P:$P, "*"&amp;AH$4&amp;",*",集計用!$G:$G,"*, "&amp;$C13&amp;", *")/$B13*100</f>
        <v>0</v>
      </c>
      <c r="AI13" s="41">
        <f>COUNTIFS(集計用!$P:$P, "*"&amp;AI$4&amp;",*",集計用!$G:$G,"*, "&amp;$C13&amp;", *")/$B13*100</f>
        <v>2.8169014084507045</v>
      </c>
      <c r="AJ13" s="41">
        <f>COUNTIFS(集計用!$P:$P, "*"&amp;AJ$4&amp;",*",集計用!$G:$G,"*, "&amp;$C13&amp;", *")/$B13*100</f>
        <v>0</v>
      </c>
      <c r="AK13" s="41">
        <f>COUNTIFS(集計用!$P:$P, "*"&amp;AK$4&amp;",*",集計用!$G:$G,"*, "&amp;$C13&amp;", *")/$B13*100</f>
        <v>0</v>
      </c>
      <c r="AL13" s="41">
        <f>COUNTIFS(集計用!$P:$P, "*"&amp;AL$4&amp;",*",集計用!$G:$G,"*, "&amp;$C13&amp;", *")/$B13*100</f>
        <v>1.4084507042253522</v>
      </c>
      <c r="AM13" s="41">
        <f>COUNTIFS(集計用!$P:$P, "*"&amp;AM$4&amp;",*",集計用!$G:$G,"*, "&amp;$C13&amp;", *")/$B13*100</f>
        <v>0</v>
      </c>
      <c r="AN13" s="41">
        <f>COUNTIFS(集計用!$P:$P, "*"&amp;AN$4&amp;",*",集計用!$G:$G,"*, "&amp;$C13&amp;", *")/$B13*100</f>
        <v>1.4084507042253522</v>
      </c>
      <c r="AO13" s="41">
        <f>COUNTIFS(集計用!$P:$P, "*"&amp;AO$4&amp;",*",集計用!$G:$G,"*, "&amp;$C13&amp;", *")/$B13*100</f>
        <v>1.4084507042253522</v>
      </c>
      <c r="AP13" s="41">
        <f>COUNTIFS(集計用!$P:$P, "*"&amp;AP$4&amp;",*",集計用!$G:$G,"*, "&amp;$C13&amp;", *")/$B13*100</f>
        <v>0</v>
      </c>
      <c r="AQ13" s="41">
        <f>COUNTIFS(集計用!$P:$P, "*"&amp;AQ$4&amp;",*",集計用!$G:$G,"*, "&amp;$C13&amp;", *")/$B13*100</f>
        <v>0</v>
      </c>
      <c r="AR13" s="41">
        <f>COUNTIFS(集計用!$P:$P, "*"&amp;AR$4&amp;",*",集計用!$G:$G,"*, "&amp;$C13&amp;", *")/$B13*100</f>
        <v>0</v>
      </c>
      <c r="AS13" s="41">
        <f>COUNTIFS(集計用!$P:$P, "*"&amp;AS$4&amp;",*",集計用!$G:$G,"*, "&amp;$C13&amp;", *")/$B13*100</f>
        <v>1.4084507042253522</v>
      </c>
      <c r="AT13" s="41">
        <f>COUNTIFS(集計用!$P:$P, "*"&amp;AT$4&amp;",*",集計用!$G:$G,"*, "&amp;$C13&amp;", *")/$B13*100</f>
        <v>0</v>
      </c>
      <c r="AU13" s="41">
        <f>COUNTIFS(集計用!$P:$P, "*"&amp;AU$4&amp;",*",集計用!$G:$G,"*, "&amp;$C13&amp;", *")/$B13*100</f>
        <v>1.4084507042253522</v>
      </c>
      <c r="AV13" s="41">
        <f>COUNTIFS(集計用!$P:$P, "*"&amp;AV$4&amp;",*",集計用!$G:$G,"*, "&amp;$C13&amp;", *")/$B13*100</f>
        <v>1.4084507042253522</v>
      </c>
      <c r="AW13" s="41">
        <f>COUNTIFS(集計用!$P:$P, "*"&amp;AW$4&amp;",*",集計用!$G:$G,"*, "&amp;$C13&amp;", *")/$B13*100</f>
        <v>1.4084507042253522</v>
      </c>
      <c r="AX13" s="41">
        <f>COUNTIFS(集計用!$P:$P, "*"&amp;AX$4&amp;",*",集計用!$G:$G,"*, "&amp;$C13&amp;", *")/$B13*100</f>
        <v>0</v>
      </c>
      <c r="AY13" s="41">
        <f>COUNTIFS(集計用!$P:$P, "*"&amp;AY$4&amp;",*",集計用!$G:$G,"*, "&amp;$C13&amp;", *")/$B13*100</f>
        <v>1.4084507042253522</v>
      </c>
      <c r="AZ13" s="41">
        <f>COUNTIFS(集計用!$P:$P, "*"&amp;AZ$4&amp;",*",集計用!$G:$G,"*, "&amp;$C13&amp;", *")/$B13*100</f>
        <v>0</v>
      </c>
      <c r="BA13" s="41">
        <f>COUNTIFS(集計用!$P:$P, "*"&amp;BA$4&amp;",*",集計用!$G:$G,"*, "&amp;$C13&amp;", *")/$B13*100</f>
        <v>0</v>
      </c>
      <c r="BB13" s="41">
        <f>COUNTIFS(集計用!$P:$P, "*"&amp;BB$4&amp;",*",集計用!$G:$G,"*, "&amp;$C13&amp;", *")/$B13*100</f>
        <v>0</v>
      </c>
      <c r="BC13" s="41">
        <f>COUNTIFS(集計用!$P:$P, "*"&amp;BC$4&amp;",*",集計用!$G:$G,"*, "&amp;$C13&amp;", *")/$B13*100</f>
        <v>0</v>
      </c>
      <c r="BD13" s="41">
        <f>COUNTIFS(集計用!$P:$P, "*"&amp;BD$4&amp;",*",集計用!$G:$G,"*, "&amp;$C13&amp;", *")/$B13*100</f>
        <v>0</v>
      </c>
      <c r="BE13" s="41">
        <f>COUNTIFS(集計用!$P:$P, "*"&amp;BE$4&amp;",*",集計用!$G:$G,"*, "&amp;$C13&amp;", *")/$B13*100</f>
        <v>0</v>
      </c>
      <c r="BF13" s="41">
        <f>COUNTIFS(集計用!$P:$P, "*"&amp;BF$4&amp;",*",集計用!$G:$G,"*, "&amp;$C13&amp;", *")/$B13*100</f>
        <v>0</v>
      </c>
      <c r="BG13" s="41">
        <f>COUNTIFS(集計用!$P:$P, "*"&amp;BG$4&amp;",*",集計用!$G:$G,"*, "&amp;$C13&amp;", *")/$B13*100</f>
        <v>0</v>
      </c>
      <c r="BH13" s="41">
        <f>COUNTIFS(集計用!$P:$P, "*"&amp;BH$4&amp;",*",集計用!$G:$G,"*, "&amp;$C13&amp;", *")/$B13*100</f>
        <v>1.4084507042253522</v>
      </c>
      <c r="BI13" s="41">
        <f>COUNTIFS(集計用!$P:$P, "*"&amp;BI$4&amp;",*",集計用!$G:$G,"*, "&amp;$C13&amp;", *")/$B13*100</f>
        <v>0</v>
      </c>
      <c r="BJ13" s="41">
        <f>COUNTIFS(集計用!$P:$P, "*"&amp;BJ$4&amp;",*",集計用!$G:$G,"*, "&amp;$C13&amp;", *")/$B13*100</f>
        <v>0</v>
      </c>
      <c r="BK13" s="41">
        <f>COUNTIFS(集計用!$P:$P, "*"&amp;BK$4&amp;",*",集計用!$G:$G,"*, "&amp;$C13&amp;", *")/$B13*100</f>
        <v>0</v>
      </c>
      <c r="BL13" s="41">
        <f>COUNTIFS(集計用!$P:$P, "*"&amp;BL$4&amp;",*",集計用!$G:$G,"*, "&amp;$C13&amp;", *")/$B13*100</f>
        <v>0</v>
      </c>
      <c r="BM13" s="41">
        <f>COUNTIFS(集計用!$P:$P, "*"&amp;BM$4&amp;",*",集計用!$G:$G,"*, "&amp;$C13&amp;", *")/$B13*100</f>
        <v>0</v>
      </c>
      <c r="BN13" s="41">
        <f>COUNTIFS(集計用!$P:$P, "*"&amp;BN$4&amp;",*",集計用!$G:$G,"*, "&amp;$C13&amp;", *")/$B13*100</f>
        <v>1.4084507042253522</v>
      </c>
      <c r="BO13" s="41">
        <f>COUNTIFS(集計用!$P:$P, "*"&amp;BO$4&amp;",*",集計用!$G:$G,"*, "&amp;$C13&amp;", *")/$B13*100</f>
        <v>0</v>
      </c>
      <c r="BP13" s="41">
        <f>COUNTIFS(集計用!$P:$P, "*"&amp;BP$4&amp;",*",集計用!$G:$G,"*, "&amp;$C13&amp;", *")/$B13*100</f>
        <v>1.4084507042253522</v>
      </c>
      <c r="BQ13" s="41">
        <f>COUNTIFS(集計用!$P:$P, "*"&amp;BQ$4&amp;",*",集計用!$G:$G,"*, "&amp;$C13&amp;", *")/$B13*100</f>
        <v>0</v>
      </c>
      <c r="BR13" s="41">
        <f>COUNTIFS(集計用!$P:$P, "*"&amp;BR$4&amp;",*",集計用!$G:$G,"*, "&amp;$C13&amp;", *")/$B13*100</f>
        <v>0</v>
      </c>
      <c r="BS13" s="41">
        <f>COUNTIFS(集計用!$P:$P, "*"&amp;BS$4&amp;",*",集計用!$G:$G,"*, "&amp;$C13&amp;", *")/$B13*100</f>
        <v>0</v>
      </c>
      <c r="BT13" s="41">
        <f>COUNTIFS(集計用!$P:$P, "*"&amp;BT$4&amp;",*",集計用!$G:$G,"*, "&amp;$C13&amp;", *")/$B13*100</f>
        <v>0</v>
      </c>
      <c r="BU13" s="41"/>
      <c r="BV13" s="41"/>
      <c r="BW13" s="41"/>
      <c r="BX13" s="41"/>
      <c r="BY13" s="41"/>
      <c r="BZ13" s="41"/>
      <c r="CA13" s="41"/>
      <c r="CB13" s="41"/>
      <c r="CC13" s="41"/>
      <c r="CD13" s="41"/>
      <c r="CE13" s="41"/>
      <c r="CF13" s="41"/>
      <c r="CG13" s="41"/>
      <c r="CH13" s="41"/>
      <c r="CI13" s="41"/>
      <c r="CJ13" s="41"/>
      <c r="CK13" s="41"/>
    </row>
    <row r="14" spans="1:89" ht="15.75" customHeight="1">
      <c r="A14" s="39">
        <v>3</v>
      </c>
      <c r="B14" s="39">
        <f>(COUNTIFS(集計用!$G:$G,"*, "&amp;$C14&amp;",*",集計用!$Q:$Q,"&lt;&gt;無回答"))</f>
        <v>71</v>
      </c>
      <c r="C14" s="42" t="s">
        <v>8</v>
      </c>
      <c r="D14" s="41">
        <f>COUNTIFS(集計用!$O:$O, "*, "&amp;D$4&amp;", *",集計用!$G:$G,"*, "&amp;$C14&amp;", *")/$B14*100</f>
        <v>74.647887323943664</v>
      </c>
      <c r="E14" s="41">
        <f>COUNTIFS(集計用!$O:$O, "*, "&amp;E$4&amp;", *",集計用!$G:$G,"*, "&amp;$C14&amp;", *")/$B14*100</f>
        <v>54.929577464788736</v>
      </c>
      <c r="F14" s="41">
        <f>COUNTIFS(集計用!$O:$O, "*, "&amp;F$4&amp;", *",集計用!$G:$G,"*, "&amp;$C14&amp;", *")/$B14*100</f>
        <v>46.478873239436616</v>
      </c>
      <c r="G14" s="41">
        <f>COUNTIFS(集計用!$O:$O, "*, "&amp;G$4&amp;", *",集計用!$G:$G,"*, "&amp;$C14&amp;", *")/$B14*100</f>
        <v>25.352112676056336</v>
      </c>
      <c r="H14" s="41">
        <f>COUNTIFS(集計用!$O:$O, "*, "&amp;H$4&amp;", *",集計用!$G:$G,"*, "&amp;$C14&amp;", *")/$B14*100</f>
        <v>21.12676056338028</v>
      </c>
      <c r="I14" s="41">
        <f>COUNTIFS(集計用!$O:$O, "*, "&amp;I$4&amp;", *",集計用!$G:$G,"*, "&amp;$C14&amp;", *")/$B14*100</f>
        <v>22.535211267605636</v>
      </c>
      <c r="J14" s="41">
        <f>COUNTIFS(集計用!$O:$O, "*, "&amp;J$4&amp;", *",集計用!$G:$G,"*, "&amp;$C14&amp;", *")/$B14*100</f>
        <v>19.718309859154928</v>
      </c>
      <c r="K14" s="41">
        <f>COUNTIFS(集計用!$O:$O, "*, "&amp;K$4&amp;", *",集計用!$G:$G,"*, "&amp;$C14&amp;", *")/$B14*100</f>
        <v>21.12676056338028</v>
      </c>
      <c r="L14" s="41">
        <f>COUNTIFS(集計用!$O:$O, "*, "&amp;L$4&amp;", *",集計用!$G:$G,"*, "&amp;$C14&amp;", *")/$B14*100</f>
        <v>25.352112676056336</v>
      </c>
      <c r="M14" s="41">
        <f>COUNTIFS(集計用!$O:$O, "*, "&amp;M$4&amp;", *",集計用!$G:$G,"*, "&amp;$C14&amp;", *")/$B14*100</f>
        <v>18.30985915492958</v>
      </c>
      <c r="N14" s="41">
        <f>COUNTIFS(集計用!$O:$O, "*, "&amp;N$4&amp;", *",集計用!$G:$G,"*, "&amp;$C14&amp;", *")/$B14*100</f>
        <v>18.30985915492958</v>
      </c>
      <c r="O14" s="41">
        <f>COUNTIFS(集計用!$O:$O, "*, "&amp;O$4&amp;", *",集計用!$G:$G,"*, "&amp;$C14&amp;", *")/$B14*100</f>
        <v>9.8591549295774641</v>
      </c>
      <c r="P14" s="41">
        <f>COUNTIFS(集計用!$O:$O, "*, "&amp;P$4&amp;", *",集計用!$G:$G,"*, "&amp;$C14&amp;", *")/$B14*100</f>
        <v>14.084507042253522</v>
      </c>
      <c r="Q14" s="41">
        <f>COUNTIFS(集計用!$O:$O, "*, "&amp;Q$4&amp;", *",集計用!$G:$G,"*, "&amp;$C14&amp;", *")/$B14*100</f>
        <v>7.042253521126761</v>
      </c>
      <c r="R14" s="41">
        <f>COUNTIFS(集計用!$O:$O, "*, "&amp;R$4&amp;", *",集計用!$G:$G,"*, "&amp;$C14&amp;", *")/$B14*100</f>
        <v>8.4507042253521121</v>
      </c>
      <c r="S14" s="41">
        <f>COUNTIFS(集計用!$O:$O, "*, "&amp;S$4&amp;", *",集計用!$G:$G,"*, "&amp;$C14&amp;", *")/$B14*100</f>
        <v>2.8169014084507045</v>
      </c>
      <c r="T14" s="41">
        <f>COUNTIFS(集計用!$O:$O, "*, "&amp;T$4&amp;", *",集計用!$G:$G,"*, "&amp;$C14&amp;", *")/$B14*100</f>
        <v>1.4084507042253522</v>
      </c>
      <c r="U14"/>
      <c r="V14" s="41">
        <f>COUNTIFS(集計用!$P:$P, "*"&amp;V$4&amp;",*",集計用!$G:$G,"*, "&amp;$C14&amp;", *")/$B14*100</f>
        <v>0</v>
      </c>
      <c r="W14" s="41">
        <f>COUNTIFS(集計用!$P:$P, "*"&amp;W$4&amp;",*",集計用!$G:$G,"*, "&amp;$C14&amp;", *")/$B14*100</f>
        <v>1.4084507042253522</v>
      </c>
      <c r="X14" s="41">
        <f>COUNTIFS(集計用!$P:$P, "*"&amp;X$4&amp;",*",集計用!$G:$G,"*, "&amp;$C14&amp;", *")/$B14*100</f>
        <v>1.4084507042253522</v>
      </c>
      <c r="Y14" s="41">
        <f>COUNTIFS(集計用!$P:$P, "*"&amp;Y$4&amp;",*",集計用!$G:$G,"*, "&amp;$C14&amp;", *")/$B14*100</f>
        <v>0</v>
      </c>
      <c r="Z14" s="41">
        <f>COUNTIFS(集計用!$P:$P, "*"&amp;Z$4&amp;",*",集計用!$G:$G,"*, "&amp;$C14&amp;", *")/$B14*100</f>
        <v>1.4084507042253522</v>
      </c>
      <c r="AA14" s="41">
        <f>COUNTIFS(集計用!$P:$P, "*"&amp;AA$4&amp;",*",集計用!$G:$G,"*, "&amp;$C14&amp;", *")/$B14*100</f>
        <v>1.4084507042253522</v>
      </c>
      <c r="AB14" s="41">
        <f>COUNTIFS(集計用!$P:$P, "*"&amp;AB$4&amp;",*",集計用!$G:$G,"*, "&amp;$C14&amp;", *")/$B14*100</f>
        <v>1.4084507042253522</v>
      </c>
      <c r="AC14" s="41">
        <f>COUNTIFS(集計用!$P:$P, "*"&amp;AC$4&amp;",*",集計用!$G:$G,"*, "&amp;$C14&amp;", *")/$B14*100</f>
        <v>0</v>
      </c>
      <c r="AD14" s="41">
        <f>COUNTIFS(集計用!$P:$P, "*"&amp;AD$4&amp;",*",集計用!$G:$G,"*, "&amp;$C14&amp;", *")/$B14*100</f>
        <v>1.4084507042253522</v>
      </c>
      <c r="AE14" s="41">
        <f>COUNTIFS(集計用!$P:$P, "*"&amp;AE$4&amp;",*",集計用!$G:$G,"*, "&amp;$C14&amp;", *")/$B14*100</f>
        <v>1.4084507042253522</v>
      </c>
      <c r="AF14" s="41">
        <f>COUNTIFS(集計用!$P:$P, "*"&amp;AF$4&amp;",*",集計用!$G:$G,"*, "&amp;$C14&amp;", *")/$B14*100</f>
        <v>1.4084507042253522</v>
      </c>
      <c r="AG14" s="41">
        <f>COUNTIFS(集計用!$P:$P, "*"&amp;AG$4&amp;",*",集計用!$G:$G,"*, "&amp;$C14&amp;", *")/$B14*100</f>
        <v>0</v>
      </c>
      <c r="AH14" s="41">
        <f>COUNTIFS(集計用!$P:$P, "*"&amp;AH$4&amp;",*",集計用!$G:$G,"*, "&amp;$C14&amp;", *")/$B14*100</f>
        <v>0</v>
      </c>
      <c r="AI14" s="41">
        <f>COUNTIFS(集計用!$P:$P, "*"&amp;AI$4&amp;",*",集計用!$G:$G,"*, "&amp;$C14&amp;", *")/$B14*100</f>
        <v>0</v>
      </c>
      <c r="AJ14" s="41">
        <f>COUNTIFS(集計用!$P:$P, "*"&amp;AJ$4&amp;",*",集計用!$G:$G,"*, "&amp;$C14&amp;", *")/$B14*100</f>
        <v>0</v>
      </c>
      <c r="AK14" s="41">
        <f>COUNTIFS(集計用!$P:$P, "*"&amp;AK$4&amp;",*",集計用!$G:$G,"*, "&amp;$C14&amp;", *")/$B14*100</f>
        <v>0</v>
      </c>
      <c r="AL14" s="41">
        <f>COUNTIFS(集計用!$P:$P, "*"&amp;AL$4&amp;",*",集計用!$G:$G,"*, "&amp;$C14&amp;", *")/$B14*100</f>
        <v>0</v>
      </c>
      <c r="AM14" s="41">
        <f>COUNTIFS(集計用!$P:$P, "*"&amp;AM$4&amp;",*",集計用!$G:$G,"*, "&amp;$C14&amp;", *")/$B14*100</f>
        <v>0</v>
      </c>
      <c r="AN14" s="41">
        <f>COUNTIFS(集計用!$P:$P, "*"&amp;AN$4&amp;",*",集計用!$G:$G,"*, "&amp;$C14&amp;", *")/$B14*100</f>
        <v>0</v>
      </c>
      <c r="AO14" s="41">
        <f>COUNTIFS(集計用!$P:$P, "*"&amp;AO$4&amp;",*",集計用!$G:$G,"*, "&amp;$C14&amp;", *")/$B14*100</f>
        <v>0</v>
      </c>
      <c r="AP14" s="41">
        <f>COUNTIFS(集計用!$P:$P, "*"&amp;AP$4&amp;",*",集計用!$G:$G,"*, "&amp;$C14&amp;", *")/$B14*100</f>
        <v>0</v>
      </c>
      <c r="AQ14" s="41">
        <f>COUNTIFS(集計用!$P:$P, "*"&amp;AQ$4&amp;",*",集計用!$G:$G,"*, "&amp;$C14&amp;", *")/$B14*100</f>
        <v>0</v>
      </c>
      <c r="AR14" s="41">
        <f>COUNTIFS(集計用!$P:$P, "*"&amp;AR$4&amp;",*",集計用!$G:$G,"*, "&amp;$C14&amp;", *")/$B14*100</f>
        <v>0</v>
      </c>
      <c r="AS14" s="41">
        <f>COUNTIFS(集計用!$P:$P, "*"&amp;AS$4&amp;",*",集計用!$G:$G,"*, "&amp;$C14&amp;", *")/$B14*100</f>
        <v>0</v>
      </c>
      <c r="AT14" s="41">
        <f>COUNTIFS(集計用!$P:$P, "*"&amp;AT$4&amp;",*",集計用!$G:$G,"*, "&amp;$C14&amp;", *")/$B14*100</f>
        <v>1.4084507042253522</v>
      </c>
      <c r="AU14" s="41">
        <f>COUNTIFS(集計用!$P:$P, "*"&amp;AU$4&amp;",*",集計用!$G:$G,"*, "&amp;$C14&amp;", *")/$B14*100</f>
        <v>0</v>
      </c>
      <c r="AV14" s="41">
        <f>COUNTIFS(集計用!$P:$P, "*"&amp;AV$4&amp;",*",集計用!$G:$G,"*, "&amp;$C14&amp;", *")/$B14*100</f>
        <v>0</v>
      </c>
      <c r="AW14" s="41">
        <f>COUNTIFS(集計用!$P:$P, "*"&amp;AW$4&amp;",*",集計用!$G:$G,"*, "&amp;$C14&amp;", *")/$B14*100</f>
        <v>0</v>
      </c>
      <c r="AX14" s="41">
        <f>COUNTIFS(集計用!$P:$P, "*"&amp;AX$4&amp;",*",集計用!$G:$G,"*, "&amp;$C14&amp;", *")/$B14*100</f>
        <v>1.4084507042253522</v>
      </c>
      <c r="AY14" s="41">
        <f>COUNTIFS(集計用!$P:$P, "*"&amp;AY$4&amp;",*",集計用!$G:$G,"*, "&amp;$C14&amp;", *")/$B14*100</f>
        <v>0</v>
      </c>
      <c r="AZ14" s="41">
        <f>COUNTIFS(集計用!$P:$P, "*"&amp;AZ$4&amp;",*",集計用!$G:$G,"*, "&amp;$C14&amp;", *")/$B14*100</f>
        <v>0</v>
      </c>
      <c r="BA14" s="41">
        <f>COUNTIFS(集計用!$P:$P, "*"&amp;BA$4&amp;",*",集計用!$G:$G,"*, "&amp;$C14&amp;", *")/$B14*100</f>
        <v>1.4084507042253522</v>
      </c>
      <c r="BB14" s="41">
        <f>COUNTIFS(集計用!$P:$P, "*"&amp;BB$4&amp;",*",集計用!$G:$G,"*, "&amp;$C14&amp;", *")/$B14*100</f>
        <v>0</v>
      </c>
      <c r="BC14" s="41">
        <f>COUNTIFS(集計用!$P:$P, "*"&amp;BC$4&amp;",*",集計用!$G:$G,"*, "&amp;$C14&amp;", *")/$B14*100</f>
        <v>0</v>
      </c>
      <c r="BD14" s="41">
        <f>COUNTIFS(集計用!$P:$P, "*"&amp;BD$4&amp;",*",集計用!$G:$G,"*, "&amp;$C14&amp;", *")/$B14*100</f>
        <v>0</v>
      </c>
      <c r="BE14" s="41">
        <f>COUNTIFS(集計用!$P:$P, "*"&amp;BE$4&amp;",*",集計用!$G:$G,"*, "&amp;$C14&amp;", *")/$B14*100</f>
        <v>0</v>
      </c>
      <c r="BF14" s="41">
        <f>COUNTIFS(集計用!$P:$P, "*"&amp;BF$4&amp;",*",集計用!$G:$G,"*, "&amp;$C14&amp;", *")/$B14*100</f>
        <v>0</v>
      </c>
      <c r="BG14" s="41">
        <f>COUNTIFS(集計用!$P:$P, "*"&amp;BG$4&amp;",*",集計用!$G:$G,"*, "&amp;$C14&amp;", *")/$B14*100</f>
        <v>1.4084507042253522</v>
      </c>
      <c r="BH14" s="41">
        <f>COUNTIFS(集計用!$P:$P, "*"&amp;BH$4&amp;",*",集計用!$G:$G,"*, "&amp;$C14&amp;", *")/$B14*100</f>
        <v>0</v>
      </c>
      <c r="BI14" s="41">
        <f>COUNTIFS(集計用!$P:$P, "*"&amp;BI$4&amp;",*",集計用!$G:$G,"*, "&amp;$C14&amp;", *")/$B14*100</f>
        <v>1.4084507042253522</v>
      </c>
      <c r="BJ14" s="41">
        <f>COUNTIFS(集計用!$P:$P, "*"&amp;BJ$4&amp;",*",集計用!$G:$G,"*, "&amp;$C14&amp;", *")/$B14*100</f>
        <v>0</v>
      </c>
      <c r="BK14" s="41">
        <f>COUNTIFS(集計用!$P:$P, "*"&amp;BK$4&amp;",*",集計用!$G:$G,"*, "&amp;$C14&amp;", *")/$B14*100</f>
        <v>0</v>
      </c>
      <c r="BL14" s="41">
        <f>COUNTIFS(集計用!$P:$P, "*"&amp;BL$4&amp;",*",集計用!$G:$G,"*, "&amp;$C14&amp;", *")/$B14*100</f>
        <v>0</v>
      </c>
      <c r="BM14" s="41">
        <f>COUNTIFS(集計用!$P:$P, "*"&amp;BM$4&amp;",*",集計用!$G:$G,"*, "&amp;$C14&amp;", *")/$B14*100</f>
        <v>1.4084507042253522</v>
      </c>
      <c r="BN14" s="41">
        <f>COUNTIFS(集計用!$P:$P, "*"&amp;BN$4&amp;",*",集計用!$G:$G,"*, "&amp;$C14&amp;", *")/$B14*100</f>
        <v>0</v>
      </c>
      <c r="BO14" s="41">
        <f>COUNTIFS(集計用!$P:$P, "*"&amp;BO$4&amp;",*",集計用!$G:$G,"*, "&amp;$C14&amp;", *")/$B14*100</f>
        <v>0</v>
      </c>
      <c r="BP14" s="41">
        <f>COUNTIFS(集計用!$P:$P, "*"&amp;BP$4&amp;",*",集計用!$G:$G,"*, "&amp;$C14&amp;", *")/$B14*100</f>
        <v>0</v>
      </c>
      <c r="BQ14" s="41">
        <f>COUNTIFS(集計用!$P:$P, "*"&amp;BQ$4&amp;",*",集計用!$G:$G,"*, "&amp;$C14&amp;", *")/$B14*100</f>
        <v>0</v>
      </c>
      <c r="BR14" s="41">
        <f>COUNTIFS(集計用!$P:$P, "*"&amp;BR$4&amp;",*",集計用!$G:$G,"*, "&amp;$C14&amp;", *")/$B14*100</f>
        <v>0</v>
      </c>
      <c r="BS14" s="41">
        <f>COUNTIFS(集計用!$P:$P, "*"&amp;BS$4&amp;",*",集計用!$G:$G,"*, "&amp;$C14&amp;", *")/$B14*100</f>
        <v>0</v>
      </c>
      <c r="BT14" s="41">
        <f>COUNTIFS(集計用!$P:$P, "*"&amp;BT$4&amp;",*",集計用!$G:$G,"*, "&amp;$C14&amp;", *")/$B14*100</f>
        <v>1.4084507042253522</v>
      </c>
      <c r="BU14" s="41"/>
      <c r="BV14" s="41"/>
      <c r="BW14" s="41"/>
      <c r="BX14" s="41"/>
      <c r="BY14" s="41"/>
      <c r="BZ14" s="41"/>
      <c r="CA14" s="41"/>
      <c r="CB14" s="41"/>
      <c r="CC14" s="41"/>
      <c r="CD14" s="41"/>
      <c r="CE14" s="41"/>
      <c r="CF14" s="41"/>
      <c r="CG14" s="41"/>
      <c r="CH14" s="41"/>
      <c r="CI14" s="41"/>
      <c r="CJ14" s="41"/>
      <c r="CK14" s="41"/>
    </row>
    <row r="15" spans="1:89" ht="15.75" customHeight="1">
      <c r="A15" s="39">
        <v>2</v>
      </c>
      <c r="B15" s="39">
        <f>(COUNTIFS(集計用!$G:$G,"*, "&amp;$C15&amp;",*",集計用!$Q:$Q,"&lt;&gt;無回答"))</f>
        <v>69</v>
      </c>
      <c r="C15" s="42" t="s">
        <v>9</v>
      </c>
      <c r="D15" s="41">
        <f>COUNTIFS(集計用!$O:$O, "*, "&amp;D$4&amp;", *",集計用!$G:$G,"*, "&amp;$C15&amp;", *")/$B15*100</f>
        <v>73.91304347826086</v>
      </c>
      <c r="E15" s="41">
        <f>COUNTIFS(集計用!$O:$O, "*, "&amp;E$4&amp;", *",集計用!$G:$G,"*, "&amp;$C15&amp;", *")/$B15*100</f>
        <v>62.318840579710141</v>
      </c>
      <c r="F15" s="41">
        <f>COUNTIFS(集計用!$O:$O, "*, "&amp;F$4&amp;", *",集計用!$G:$G,"*, "&amp;$C15&amp;", *")/$B15*100</f>
        <v>33.333333333333329</v>
      </c>
      <c r="G15" s="41">
        <f>COUNTIFS(集計用!$O:$O, "*, "&amp;G$4&amp;", *",集計用!$G:$G,"*, "&amp;$C15&amp;", *")/$B15*100</f>
        <v>37.681159420289859</v>
      </c>
      <c r="H15" s="41">
        <f>COUNTIFS(集計用!$O:$O, "*, "&amp;H$4&amp;", *",集計用!$G:$G,"*, "&amp;$C15&amp;", *")/$B15*100</f>
        <v>23.188405797101449</v>
      </c>
      <c r="I15" s="41">
        <f>COUNTIFS(集計用!$O:$O, "*, "&amp;I$4&amp;", *",集計用!$G:$G,"*, "&amp;$C15&amp;", *")/$B15*100</f>
        <v>23.188405797101449</v>
      </c>
      <c r="J15" s="41">
        <f>COUNTIFS(集計用!$O:$O, "*, "&amp;J$4&amp;", *",集計用!$G:$G,"*, "&amp;$C15&amp;", *")/$B15*100</f>
        <v>20.289855072463769</v>
      </c>
      <c r="K15" s="41">
        <f>COUNTIFS(集計用!$O:$O, "*, "&amp;K$4&amp;", *",集計用!$G:$G,"*, "&amp;$C15&amp;", *")/$B15*100</f>
        <v>18.840579710144929</v>
      </c>
      <c r="L15" s="41">
        <f>COUNTIFS(集計用!$O:$O, "*, "&amp;L$4&amp;", *",集計用!$G:$G,"*, "&amp;$C15&amp;", *")/$B15*100</f>
        <v>8.695652173913043</v>
      </c>
      <c r="M15" s="41">
        <f>COUNTIFS(集計用!$O:$O, "*, "&amp;M$4&amp;", *",集計用!$G:$G,"*, "&amp;$C15&amp;", *")/$B15*100</f>
        <v>24.637681159420293</v>
      </c>
      <c r="N15" s="41">
        <f>COUNTIFS(集計用!$O:$O, "*, "&amp;N$4&amp;", *",集計用!$G:$G,"*, "&amp;$C15&amp;", *")/$B15*100</f>
        <v>15.942028985507244</v>
      </c>
      <c r="O15" s="41">
        <f>COUNTIFS(集計用!$O:$O, "*, "&amp;O$4&amp;", *",集計用!$G:$G,"*, "&amp;$C15&amp;", *")/$B15*100</f>
        <v>15.942028985507244</v>
      </c>
      <c r="P15" s="41">
        <f>COUNTIFS(集計用!$O:$O, "*, "&amp;P$4&amp;", *",集計用!$G:$G,"*, "&amp;$C15&amp;", *")/$B15*100</f>
        <v>13.043478260869565</v>
      </c>
      <c r="Q15" s="41">
        <f>COUNTIFS(集計用!$O:$O, "*, "&amp;Q$4&amp;", *",集計用!$G:$G,"*, "&amp;$C15&amp;", *")/$B15*100</f>
        <v>8.695652173913043</v>
      </c>
      <c r="R15" s="41">
        <f>COUNTIFS(集計用!$O:$O, "*, "&amp;R$4&amp;", *",集計用!$G:$G,"*, "&amp;$C15&amp;", *")/$B15*100</f>
        <v>2.8985507246376812</v>
      </c>
      <c r="S15" s="41">
        <f>COUNTIFS(集計用!$O:$O, "*, "&amp;S$4&amp;", *",集計用!$G:$G,"*, "&amp;$C15&amp;", *")/$B15*100</f>
        <v>1.4492753623188406</v>
      </c>
      <c r="T15" s="41">
        <f>COUNTIFS(集計用!$O:$O, "*, "&amp;T$4&amp;", *",集計用!$G:$G,"*, "&amp;$C15&amp;", *")/$B15*100</f>
        <v>1.4492753623188406</v>
      </c>
      <c r="U15"/>
      <c r="V15" s="41">
        <f>COUNTIFS(集計用!$P:$P, "*"&amp;V$4&amp;",*",集計用!$G:$G,"*, "&amp;$C15&amp;", *")/$B15*100</f>
        <v>1.4492753623188406</v>
      </c>
      <c r="W15" s="41">
        <f>COUNTIFS(集計用!$P:$P, "*"&amp;W$4&amp;",*",集計用!$G:$G,"*, "&amp;$C15&amp;", *")/$B15*100</f>
        <v>4.3478260869565215</v>
      </c>
      <c r="X15" s="41">
        <f>COUNTIFS(集計用!$P:$P, "*"&amp;X$4&amp;",*",集計用!$G:$G,"*, "&amp;$C15&amp;", *")/$B15*100</f>
        <v>0</v>
      </c>
      <c r="Y15" s="41">
        <f>COUNTIFS(集計用!$P:$P, "*"&amp;Y$4&amp;",*",集計用!$G:$G,"*, "&amp;$C15&amp;", *")/$B15*100</f>
        <v>1.4492753623188406</v>
      </c>
      <c r="Z15" s="41">
        <f>COUNTIFS(集計用!$P:$P, "*"&amp;Z$4&amp;",*",集計用!$G:$G,"*, "&amp;$C15&amp;", *")/$B15*100</f>
        <v>0</v>
      </c>
      <c r="AA15" s="41">
        <f>COUNTIFS(集計用!$P:$P, "*"&amp;AA$4&amp;",*",集計用!$G:$G,"*, "&amp;$C15&amp;", *")/$B15*100</f>
        <v>0</v>
      </c>
      <c r="AB15" s="41">
        <f>COUNTIFS(集計用!$P:$P, "*"&amp;AB$4&amp;",*",集計用!$G:$G,"*, "&amp;$C15&amp;", *")/$B15*100</f>
        <v>1.4492753623188406</v>
      </c>
      <c r="AC15" s="41">
        <f>COUNTIFS(集計用!$P:$P, "*"&amp;AC$4&amp;",*",集計用!$G:$G,"*, "&amp;$C15&amp;", *")/$B15*100</f>
        <v>0</v>
      </c>
      <c r="AD15" s="41">
        <f>COUNTIFS(集計用!$P:$P, "*"&amp;AD$4&amp;",*",集計用!$G:$G,"*, "&amp;$C15&amp;", *")/$B15*100</f>
        <v>0</v>
      </c>
      <c r="AE15" s="41">
        <f>COUNTIFS(集計用!$P:$P, "*"&amp;AE$4&amp;",*",集計用!$G:$G,"*, "&amp;$C15&amp;", *")/$B15*100</f>
        <v>0</v>
      </c>
      <c r="AF15" s="41">
        <f>COUNTIFS(集計用!$P:$P, "*"&amp;AF$4&amp;",*",集計用!$G:$G,"*, "&amp;$C15&amp;", *")/$B15*100</f>
        <v>0</v>
      </c>
      <c r="AG15" s="41">
        <f>COUNTIFS(集計用!$P:$P, "*"&amp;AG$4&amp;",*",集計用!$G:$G,"*, "&amp;$C15&amp;", *")/$B15*100</f>
        <v>1.4492753623188406</v>
      </c>
      <c r="AH15" s="41">
        <f>COUNTIFS(集計用!$P:$P, "*"&amp;AH$4&amp;",*",集計用!$G:$G,"*, "&amp;$C15&amp;", *")/$B15*100</f>
        <v>0</v>
      </c>
      <c r="AI15" s="41">
        <f>COUNTIFS(集計用!$P:$P, "*"&amp;AI$4&amp;",*",集計用!$G:$G,"*, "&amp;$C15&amp;", *")/$B15*100</f>
        <v>0</v>
      </c>
      <c r="AJ15" s="41">
        <f>COUNTIFS(集計用!$P:$P, "*"&amp;AJ$4&amp;",*",集計用!$G:$G,"*, "&amp;$C15&amp;", *")/$B15*100</f>
        <v>0</v>
      </c>
      <c r="AK15" s="41">
        <f>COUNTIFS(集計用!$P:$P, "*"&amp;AK$4&amp;",*",集計用!$G:$G,"*, "&amp;$C15&amp;", *")/$B15*100</f>
        <v>0</v>
      </c>
      <c r="AL15" s="41">
        <f>COUNTIFS(集計用!$P:$P, "*"&amp;AL$4&amp;",*",集計用!$G:$G,"*, "&amp;$C15&amp;", *")/$B15*100</f>
        <v>0</v>
      </c>
      <c r="AM15" s="41">
        <f>COUNTIFS(集計用!$P:$P, "*"&amp;AM$4&amp;",*",集計用!$G:$G,"*, "&amp;$C15&amp;", *")/$B15*100</f>
        <v>0</v>
      </c>
      <c r="AN15" s="41">
        <f>COUNTIFS(集計用!$P:$P, "*"&amp;AN$4&amp;",*",集計用!$G:$G,"*, "&amp;$C15&amp;", *")/$B15*100</f>
        <v>0</v>
      </c>
      <c r="AO15" s="41">
        <f>COUNTIFS(集計用!$P:$P, "*"&amp;AO$4&amp;",*",集計用!$G:$G,"*, "&amp;$C15&amp;", *")/$B15*100</f>
        <v>0</v>
      </c>
      <c r="AP15" s="41">
        <f>COUNTIFS(集計用!$P:$P, "*"&amp;AP$4&amp;",*",集計用!$G:$G,"*, "&amp;$C15&amp;", *")/$B15*100</f>
        <v>0</v>
      </c>
      <c r="AQ15" s="41">
        <f>COUNTIFS(集計用!$P:$P, "*"&amp;AQ$4&amp;",*",集計用!$G:$G,"*, "&amp;$C15&amp;", *")/$B15*100</f>
        <v>1.4492753623188406</v>
      </c>
      <c r="AR15" s="41">
        <f>COUNTIFS(集計用!$P:$P, "*"&amp;AR$4&amp;",*",集計用!$G:$G,"*, "&amp;$C15&amp;", *")/$B15*100</f>
        <v>0</v>
      </c>
      <c r="AS15" s="41">
        <f>COUNTIFS(集計用!$P:$P, "*"&amp;AS$4&amp;",*",集計用!$G:$G,"*, "&amp;$C15&amp;", *")/$B15*100</f>
        <v>0</v>
      </c>
      <c r="AT15" s="41">
        <f>COUNTIFS(集計用!$P:$P, "*"&amp;AT$4&amp;",*",集計用!$G:$G,"*, "&amp;$C15&amp;", *")/$B15*100</f>
        <v>0</v>
      </c>
      <c r="AU15" s="41">
        <f>COUNTIFS(集計用!$P:$P, "*"&amp;AU$4&amp;",*",集計用!$G:$G,"*, "&amp;$C15&amp;", *")/$B15*100</f>
        <v>0</v>
      </c>
      <c r="AV15" s="41">
        <f>COUNTIFS(集計用!$P:$P, "*"&amp;AV$4&amp;",*",集計用!$G:$G,"*, "&amp;$C15&amp;", *")/$B15*100</f>
        <v>0</v>
      </c>
      <c r="AW15" s="41">
        <f>COUNTIFS(集計用!$P:$P, "*"&amp;AW$4&amp;",*",集計用!$G:$G,"*, "&amp;$C15&amp;", *")/$B15*100</f>
        <v>1.4492753623188406</v>
      </c>
      <c r="AX15" s="41">
        <f>COUNTIFS(集計用!$P:$P, "*"&amp;AX$4&amp;",*",集計用!$G:$G,"*, "&amp;$C15&amp;", *")/$B15*100</f>
        <v>0</v>
      </c>
      <c r="AY15" s="41">
        <f>COUNTIFS(集計用!$P:$P, "*"&amp;AY$4&amp;",*",集計用!$G:$G,"*, "&amp;$C15&amp;", *")/$B15*100</f>
        <v>0</v>
      </c>
      <c r="AZ15" s="41">
        <f>COUNTIFS(集計用!$P:$P, "*"&amp;AZ$4&amp;",*",集計用!$G:$G,"*, "&amp;$C15&amp;", *")/$B15*100</f>
        <v>0</v>
      </c>
      <c r="BA15" s="41">
        <f>COUNTIFS(集計用!$P:$P, "*"&amp;BA$4&amp;",*",集計用!$G:$G,"*, "&amp;$C15&amp;", *")/$B15*100</f>
        <v>0</v>
      </c>
      <c r="BB15" s="41">
        <f>COUNTIFS(集計用!$P:$P, "*"&amp;BB$4&amp;",*",集計用!$G:$G,"*, "&amp;$C15&amp;", *")/$B15*100</f>
        <v>0</v>
      </c>
      <c r="BC15" s="41">
        <f>COUNTIFS(集計用!$P:$P, "*"&amp;BC$4&amp;",*",集計用!$G:$G,"*, "&amp;$C15&amp;", *")/$B15*100</f>
        <v>1.4492753623188406</v>
      </c>
      <c r="BD15" s="41">
        <f>COUNTIFS(集計用!$P:$P, "*"&amp;BD$4&amp;",*",集計用!$G:$G,"*, "&amp;$C15&amp;", *")/$B15*100</f>
        <v>0</v>
      </c>
      <c r="BE15" s="41">
        <f>COUNTIFS(集計用!$P:$P, "*"&amp;BE$4&amp;",*",集計用!$G:$G,"*, "&amp;$C15&amp;", *")/$B15*100</f>
        <v>1.4492753623188406</v>
      </c>
      <c r="BF15" s="41">
        <f>COUNTIFS(集計用!$P:$P, "*"&amp;BF$4&amp;",*",集計用!$G:$G,"*, "&amp;$C15&amp;", *")/$B15*100</f>
        <v>1.4492753623188406</v>
      </c>
      <c r="BG15" s="41">
        <f>COUNTIFS(集計用!$P:$P, "*"&amp;BG$4&amp;",*",集計用!$G:$G,"*, "&amp;$C15&amp;", *")/$B15*100</f>
        <v>0</v>
      </c>
      <c r="BH15" s="41">
        <f>COUNTIFS(集計用!$P:$P, "*"&amp;BH$4&amp;",*",集計用!$G:$G,"*, "&amp;$C15&amp;", *")/$B15*100</f>
        <v>0</v>
      </c>
      <c r="BI15" s="41">
        <f>COUNTIFS(集計用!$P:$P, "*"&amp;BI$4&amp;",*",集計用!$G:$G,"*, "&amp;$C15&amp;", *")/$B15*100</f>
        <v>0</v>
      </c>
      <c r="BJ15" s="41">
        <f>COUNTIFS(集計用!$P:$P, "*"&amp;BJ$4&amp;",*",集計用!$G:$G,"*, "&amp;$C15&amp;", *")/$B15*100</f>
        <v>0</v>
      </c>
      <c r="BK15" s="41">
        <f>COUNTIFS(集計用!$P:$P, "*"&amp;BK$4&amp;",*",集計用!$G:$G,"*, "&amp;$C15&amp;", *")/$B15*100</f>
        <v>0</v>
      </c>
      <c r="BL15" s="41">
        <f>COUNTIFS(集計用!$P:$P, "*"&amp;BL$4&amp;",*",集計用!$G:$G,"*, "&amp;$C15&amp;", *")/$B15*100</f>
        <v>0</v>
      </c>
      <c r="BM15" s="41">
        <f>COUNTIFS(集計用!$P:$P, "*"&amp;BM$4&amp;",*",集計用!$G:$G,"*, "&amp;$C15&amp;", *")/$B15*100</f>
        <v>1.4492753623188406</v>
      </c>
      <c r="BN15" s="41">
        <f>COUNTIFS(集計用!$P:$P, "*"&amp;BN$4&amp;",*",集計用!$G:$G,"*, "&amp;$C15&amp;", *")/$B15*100</f>
        <v>0</v>
      </c>
      <c r="BO15" s="41">
        <f>COUNTIFS(集計用!$P:$P, "*"&amp;BO$4&amp;",*",集計用!$G:$G,"*, "&amp;$C15&amp;", *")/$B15*100</f>
        <v>0</v>
      </c>
      <c r="BP15" s="41">
        <f>COUNTIFS(集計用!$P:$P, "*"&amp;BP$4&amp;",*",集計用!$G:$G,"*, "&amp;$C15&amp;", *")/$B15*100</f>
        <v>0</v>
      </c>
      <c r="BQ15" s="41">
        <f>COUNTIFS(集計用!$P:$P, "*"&amp;BQ$4&amp;",*",集計用!$G:$G,"*, "&amp;$C15&amp;", *")/$B15*100</f>
        <v>0</v>
      </c>
      <c r="BR15" s="41">
        <f>COUNTIFS(集計用!$P:$P, "*"&amp;BR$4&amp;",*",集計用!$G:$G,"*, "&amp;$C15&amp;", *")/$B15*100</f>
        <v>0</v>
      </c>
      <c r="BS15" s="41">
        <f>COUNTIFS(集計用!$P:$P, "*"&amp;BS$4&amp;",*",集計用!$G:$G,"*, "&amp;$C15&amp;", *")/$B15*100</f>
        <v>0</v>
      </c>
      <c r="BT15" s="41">
        <f>COUNTIFS(集計用!$P:$P, "*"&amp;BT$4&amp;",*",集計用!$G:$G,"*, "&amp;$C15&amp;", *")/$B15*100</f>
        <v>0</v>
      </c>
      <c r="BU15" s="41"/>
      <c r="BV15" s="41"/>
      <c r="BW15" s="41"/>
      <c r="BX15" s="41"/>
      <c r="BY15" s="41"/>
      <c r="BZ15" s="41"/>
      <c r="CA15" s="41"/>
      <c r="CB15" s="41"/>
      <c r="CC15" s="41"/>
      <c r="CD15" s="41"/>
      <c r="CE15" s="41"/>
      <c r="CF15" s="41"/>
      <c r="CG15" s="41"/>
      <c r="CH15" s="41"/>
      <c r="CI15" s="41"/>
      <c r="CJ15" s="41"/>
      <c r="CK15" s="41"/>
    </row>
    <row r="16" spans="1:89" ht="15.75" customHeight="1">
      <c r="A16" s="39">
        <v>5</v>
      </c>
      <c r="B16" s="39">
        <f>(COUNTIFS(集計用!$G:$G,"*, "&amp;$C16&amp;",*",集計用!$Q:$Q,"&lt;&gt;無回答"))</f>
        <v>60</v>
      </c>
      <c r="C16" s="42" t="s">
        <v>10</v>
      </c>
      <c r="D16" s="41">
        <f>COUNTIFS(集計用!$O:$O, "*, "&amp;D$4&amp;", *",集計用!$G:$G,"*, "&amp;$C16&amp;", *")/$B16*100</f>
        <v>75</v>
      </c>
      <c r="E16" s="41">
        <f>COUNTIFS(集計用!$O:$O, "*, "&amp;E$4&amp;", *",集計用!$G:$G,"*, "&amp;$C16&amp;", *")/$B16*100</f>
        <v>56.666666666666664</v>
      </c>
      <c r="F16" s="41">
        <f>COUNTIFS(集計用!$O:$O, "*, "&amp;F$4&amp;", *",集計用!$G:$G,"*, "&amp;$C16&amp;", *")/$B16*100</f>
        <v>46.666666666666664</v>
      </c>
      <c r="G16" s="41">
        <f>COUNTIFS(集計用!$O:$O, "*, "&amp;G$4&amp;", *",集計用!$G:$G,"*, "&amp;$C16&amp;", *")/$B16*100</f>
        <v>33.333333333333329</v>
      </c>
      <c r="H16" s="41">
        <f>COUNTIFS(集計用!$O:$O, "*, "&amp;H$4&amp;", *",集計用!$G:$G,"*, "&amp;$C16&amp;", *")/$B16*100</f>
        <v>23.333333333333332</v>
      </c>
      <c r="I16" s="41">
        <f>COUNTIFS(集計用!$O:$O, "*, "&amp;I$4&amp;", *",集計用!$G:$G,"*, "&amp;$C16&amp;", *")/$B16*100</f>
        <v>25</v>
      </c>
      <c r="J16" s="41">
        <f>COUNTIFS(集計用!$O:$O, "*, "&amp;J$4&amp;", *",集計用!$G:$G,"*, "&amp;$C16&amp;", *")/$B16*100</f>
        <v>18.333333333333332</v>
      </c>
      <c r="K16" s="41">
        <f>COUNTIFS(集計用!$O:$O, "*, "&amp;K$4&amp;", *",集計用!$G:$G,"*, "&amp;$C16&amp;", *")/$B16*100</f>
        <v>16.666666666666664</v>
      </c>
      <c r="L16" s="41">
        <f>COUNTIFS(集計用!$O:$O, "*, "&amp;L$4&amp;", *",集計用!$G:$G,"*, "&amp;$C16&amp;", *")/$B16*100</f>
        <v>13.333333333333334</v>
      </c>
      <c r="M16" s="41">
        <f>COUNTIFS(集計用!$O:$O, "*, "&amp;M$4&amp;", *",集計用!$G:$G,"*, "&amp;$C16&amp;", *")/$B16*100</f>
        <v>15</v>
      </c>
      <c r="N16" s="41">
        <f>COUNTIFS(集計用!$O:$O, "*, "&amp;N$4&amp;", *",集計用!$G:$G,"*, "&amp;$C16&amp;", *")/$B16*100</f>
        <v>21.666666666666668</v>
      </c>
      <c r="O16" s="41">
        <f>COUNTIFS(集計用!$O:$O, "*, "&amp;O$4&amp;", *",集計用!$G:$G,"*, "&amp;$C16&amp;", *")/$B16*100</f>
        <v>15</v>
      </c>
      <c r="P16" s="41">
        <f>COUNTIFS(集計用!$O:$O, "*, "&amp;P$4&amp;", *",集計用!$G:$G,"*, "&amp;$C16&amp;", *")/$B16*100</f>
        <v>16.666666666666664</v>
      </c>
      <c r="Q16" s="41">
        <f>COUNTIFS(集計用!$O:$O, "*, "&amp;Q$4&amp;", *",集計用!$G:$G,"*, "&amp;$C16&amp;", *")/$B16*100</f>
        <v>5</v>
      </c>
      <c r="R16" s="41">
        <f>COUNTIFS(集計用!$O:$O, "*, "&amp;R$4&amp;", *",集計用!$G:$G,"*, "&amp;$C16&amp;", *")/$B16*100</f>
        <v>5</v>
      </c>
      <c r="S16" s="41">
        <f>COUNTIFS(集計用!$O:$O, "*, "&amp;S$4&amp;", *",集計用!$G:$G,"*, "&amp;$C16&amp;", *")/$B16*100</f>
        <v>1.6666666666666667</v>
      </c>
      <c r="T16" s="41">
        <f>COUNTIFS(集計用!$O:$O, "*, "&amp;T$4&amp;", *",集計用!$G:$G,"*, "&amp;$C16&amp;", *")/$B16*100</f>
        <v>0</v>
      </c>
      <c r="U16"/>
      <c r="V16" s="41">
        <f>COUNTIFS(集計用!$P:$P, "*"&amp;V$4&amp;",*",集計用!$G:$G,"*, "&amp;$C16&amp;", *")/$B16*100</f>
        <v>0</v>
      </c>
      <c r="W16" s="41">
        <f>COUNTIFS(集計用!$P:$P, "*"&amp;W$4&amp;",*",集計用!$G:$G,"*, "&amp;$C16&amp;", *")/$B16*100</f>
        <v>0</v>
      </c>
      <c r="X16" s="41">
        <f>COUNTIFS(集計用!$P:$P, "*"&amp;X$4&amp;",*",集計用!$G:$G,"*, "&amp;$C16&amp;", *")/$B16*100</f>
        <v>0</v>
      </c>
      <c r="Y16" s="41">
        <f>COUNTIFS(集計用!$P:$P, "*"&amp;Y$4&amp;",*",集計用!$G:$G,"*, "&amp;$C16&amp;", *")/$B16*100</f>
        <v>1.6666666666666667</v>
      </c>
      <c r="Z16" s="41">
        <f>COUNTIFS(集計用!$P:$P, "*"&amp;Z$4&amp;",*",集計用!$G:$G,"*, "&amp;$C16&amp;", *")/$B16*100</f>
        <v>0</v>
      </c>
      <c r="AA16" s="41">
        <f>COUNTIFS(集計用!$P:$P, "*"&amp;AA$4&amp;",*",集計用!$G:$G,"*, "&amp;$C16&amp;", *")/$B16*100</f>
        <v>0</v>
      </c>
      <c r="AB16" s="41">
        <f>COUNTIFS(集計用!$P:$P, "*"&amp;AB$4&amp;",*",集計用!$G:$G,"*, "&amp;$C16&amp;", *")/$B16*100</f>
        <v>0</v>
      </c>
      <c r="AC16" s="41">
        <f>COUNTIFS(集計用!$P:$P, "*"&amp;AC$4&amp;",*",集計用!$G:$G,"*, "&amp;$C16&amp;", *")/$B16*100</f>
        <v>0</v>
      </c>
      <c r="AD16" s="41">
        <f>COUNTIFS(集計用!$P:$P, "*"&amp;AD$4&amp;",*",集計用!$G:$G,"*, "&amp;$C16&amp;", *")/$B16*100</f>
        <v>0</v>
      </c>
      <c r="AE16" s="41">
        <f>COUNTIFS(集計用!$P:$P, "*"&amp;AE$4&amp;",*",集計用!$G:$G,"*, "&amp;$C16&amp;", *")/$B16*100</f>
        <v>0</v>
      </c>
      <c r="AF16" s="41">
        <f>COUNTIFS(集計用!$P:$P, "*"&amp;AF$4&amp;",*",集計用!$G:$G,"*, "&amp;$C16&amp;", *")/$B16*100</f>
        <v>0</v>
      </c>
      <c r="AG16" s="41">
        <f>COUNTIFS(集計用!$P:$P, "*"&amp;AG$4&amp;",*",集計用!$G:$G,"*, "&amp;$C16&amp;", *")/$B16*100</f>
        <v>1.6666666666666667</v>
      </c>
      <c r="AH16" s="41">
        <f>COUNTIFS(集計用!$P:$P, "*"&amp;AH$4&amp;",*",集計用!$G:$G,"*, "&amp;$C16&amp;", *")/$B16*100</f>
        <v>0</v>
      </c>
      <c r="AI16" s="41">
        <f>COUNTIFS(集計用!$P:$P, "*"&amp;AI$4&amp;",*",集計用!$G:$G,"*, "&amp;$C16&amp;", *")/$B16*100</f>
        <v>0</v>
      </c>
      <c r="AJ16" s="41">
        <f>COUNTIFS(集計用!$P:$P, "*"&amp;AJ$4&amp;",*",集計用!$G:$G,"*, "&amp;$C16&amp;", *")/$B16*100</f>
        <v>0</v>
      </c>
      <c r="AK16" s="41">
        <f>COUNTIFS(集計用!$P:$P, "*"&amp;AK$4&amp;",*",集計用!$G:$G,"*, "&amp;$C16&amp;", *")/$B16*100</f>
        <v>0</v>
      </c>
      <c r="AL16" s="41">
        <f>COUNTIFS(集計用!$P:$P, "*"&amp;AL$4&amp;",*",集計用!$G:$G,"*, "&amp;$C16&amp;", *")/$B16*100</f>
        <v>0</v>
      </c>
      <c r="AM16" s="41">
        <f>COUNTIFS(集計用!$P:$P, "*"&amp;AM$4&amp;",*",集計用!$G:$G,"*, "&amp;$C16&amp;", *")/$B16*100</f>
        <v>0</v>
      </c>
      <c r="AN16" s="41">
        <f>COUNTIFS(集計用!$P:$P, "*"&amp;AN$4&amp;",*",集計用!$G:$G,"*, "&amp;$C16&amp;", *")/$B16*100</f>
        <v>0</v>
      </c>
      <c r="AO16" s="41">
        <f>COUNTIFS(集計用!$P:$P, "*"&amp;AO$4&amp;",*",集計用!$G:$G,"*, "&amp;$C16&amp;", *")/$B16*100</f>
        <v>0</v>
      </c>
      <c r="AP16" s="41">
        <f>COUNTIFS(集計用!$P:$P, "*"&amp;AP$4&amp;",*",集計用!$G:$G,"*, "&amp;$C16&amp;", *")/$B16*100</f>
        <v>1.6666666666666667</v>
      </c>
      <c r="AQ16" s="41">
        <f>COUNTIFS(集計用!$P:$P, "*"&amp;AQ$4&amp;",*",集計用!$G:$G,"*, "&amp;$C16&amp;", *")/$B16*100</f>
        <v>0</v>
      </c>
      <c r="AR16" s="41">
        <f>COUNTIFS(集計用!$P:$P, "*"&amp;AR$4&amp;",*",集計用!$G:$G,"*, "&amp;$C16&amp;", *")/$B16*100</f>
        <v>1.6666666666666667</v>
      </c>
      <c r="AS16" s="41">
        <f>COUNTIFS(集計用!$P:$P, "*"&amp;AS$4&amp;",*",集計用!$G:$G,"*, "&amp;$C16&amp;", *")/$B16*100</f>
        <v>0</v>
      </c>
      <c r="AT16" s="41">
        <f>COUNTIFS(集計用!$P:$P, "*"&amp;AT$4&amp;",*",集計用!$G:$G,"*, "&amp;$C16&amp;", *")/$B16*100</f>
        <v>0</v>
      </c>
      <c r="AU16" s="41">
        <f>COUNTIFS(集計用!$P:$P, "*"&amp;AU$4&amp;",*",集計用!$G:$G,"*, "&amp;$C16&amp;", *")/$B16*100</f>
        <v>0</v>
      </c>
      <c r="AV16" s="41">
        <f>COUNTIFS(集計用!$P:$P, "*"&amp;AV$4&amp;",*",集計用!$G:$G,"*, "&amp;$C16&amp;", *")/$B16*100</f>
        <v>0</v>
      </c>
      <c r="AW16" s="41">
        <f>COUNTIFS(集計用!$P:$P, "*"&amp;AW$4&amp;",*",集計用!$G:$G,"*, "&amp;$C16&amp;", *")/$B16*100</f>
        <v>0</v>
      </c>
      <c r="AX16" s="41">
        <f>COUNTIFS(集計用!$P:$P, "*"&amp;AX$4&amp;",*",集計用!$G:$G,"*, "&amp;$C16&amp;", *")/$B16*100</f>
        <v>0</v>
      </c>
      <c r="AY16" s="41">
        <f>COUNTIFS(集計用!$P:$P, "*"&amp;AY$4&amp;",*",集計用!$G:$G,"*, "&amp;$C16&amp;", *")/$B16*100</f>
        <v>0</v>
      </c>
      <c r="AZ16" s="41">
        <f>COUNTIFS(集計用!$P:$P, "*"&amp;AZ$4&amp;",*",集計用!$G:$G,"*, "&amp;$C16&amp;", *")/$B16*100</f>
        <v>1.6666666666666667</v>
      </c>
      <c r="BA16" s="41">
        <f>COUNTIFS(集計用!$P:$P, "*"&amp;BA$4&amp;",*",集計用!$G:$G,"*, "&amp;$C16&amp;", *")/$B16*100</f>
        <v>0</v>
      </c>
      <c r="BB16" s="41">
        <f>COUNTIFS(集計用!$P:$P, "*"&amp;BB$4&amp;",*",集計用!$G:$G,"*, "&amp;$C16&amp;", *")/$B16*100</f>
        <v>1.6666666666666667</v>
      </c>
      <c r="BC16" s="41">
        <f>COUNTIFS(集計用!$P:$P, "*"&amp;BC$4&amp;",*",集計用!$G:$G,"*, "&amp;$C16&amp;", *")/$B16*100</f>
        <v>0</v>
      </c>
      <c r="BD16" s="41">
        <f>COUNTIFS(集計用!$P:$P, "*"&amp;BD$4&amp;",*",集計用!$G:$G,"*, "&amp;$C16&amp;", *")/$B16*100</f>
        <v>1.6666666666666667</v>
      </c>
      <c r="BE16" s="41">
        <f>COUNTIFS(集計用!$P:$P, "*"&amp;BE$4&amp;",*",集計用!$G:$G,"*, "&amp;$C16&amp;", *")/$B16*100</f>
        <v>0</v>
      </c>
      <c r="BF16" s="41">
        <f>COUNTIFS(集計用!$P:$P, "*"&amp;BF$4&amp;",*",集計用!$G:$G,"*, "&amp;$C16&amp;", *")/$B16*100</f>
        <v>0</v>
      </c>
      <c r="BG16" s="41">
        <f>COUNTIFS(集計用!$P:$P, "*"&amp;BG$4&amp;",*",集計用!$G:$G,"*, "&amp;$C16&amp;", *")/$B16*100</f>
        <v>1.6666666666666667</v>
      </c>
      <c r="BH16" s="41">
        <f>COUNTIFS(集計用!$P:$P, "*"&amp;BH$4&amp;",*",集計用!$G:$G,"*, "&amp;$C16&amp;", *")/$B16*100</f>
        <v>0</v>
      </c>
      <c r="BI16" s="41">
        <f>COUNTIFS(集計用!$P:$P, "*"&amp;BI$4&amp;",*",集計用!$G:$G,"*, "&amp;$C16&amp;", *")/$B16*100</f>
        <v>0</v>
      </c>
      <c r="BJ16" s="41">
        <f>COUNTIFS(集計用!$P:$P, "*"&amp;BJ$4&amp;",*",集計用!$G:$G,"*, "&amp;$C16&amp;", *")/$B16*100</f>
        <v>0</v>
      </c>
      <c r="BK16" s="41">
        <f>COUNTIFS(集計用!$P:$P, "*"&amp;BK$4&amp;",*",集計用!$G:$G,"*, "&amp;$C16&amp;", *")/$B16*100</f>
        <v>1.6666666666666667</v>
      </c>
      <c r="BL16" s="41">
        <f>COUNTIFS(集計用!$P:$P, "*"&amp;BL$4&amp;",*",集計用!$G:$G,"*, "&amp;$C16&amp;", *")/$B16*100</f>
        <v>0</v>
      </c>
      <c r="BM16" s="41">
        <f>COUNTIFS(集計用!$P:$P, "*"&amp;BM$4&amp;",*",集計用!$G:$G,"*, "&amp;$C16&amp;", *")/$B16*100</f>
        <v>0</v>
      </c>
      <c r="BN16" s="41">
        <f>COUNTIFS(集計用!$P:$P, "*"&amp;BN$4&amp;",*",集計用!$G:$G,"*, "&amp;$C16&amp;", *")/$B16*100</f>
        <v>0</v>
      </c>
      <c r="BO16" s="41">
        <f>COUNTIFS(集計用!$P:$P, "*"&amp;BO$4&amp;",*",集計用!$G:$G,"*, "&amp;$C16&amp;", *")/$B16*100</f>
        <v>0</v>
      </c>
      <c r="BP16" s="41">
        <f>COUNTIFS(集計用!$P:$P, "*"&amp;BP$4&amp;",*",集計用!$G:$G,"*, "&amp;$C16&amp;", *")/$B16*100</f>
        <v>0</v>
      </c>
      <c r="BQ16" s="41">
        <f>COUNTIFS(集計用!$P:$P, "*"&amp;BQ$4&amp;",*",集計用!$G:$G,"*, "&amp;$C16&amp;", *")/$B16*100</f>
        <v>1.6666666666666667</v>
      </c>
      <c r="BR16" s="41">
        <f>COUNTIFS(集計用!$P:$P, "*"&amp;BR$4&amp;",*",集計用!$G:$G,"*, "&amp;$C16&amp;", *")/$B16*100</f>
        <v>0</v>
      </c>
      <c r="BS16" s="41">
        <f>COUNTIFS(集計用!$P:$P, "*"&amp;BS$4&amp;",*",集計用!$G:$G,"*, "&amp;$C16&amp;", *")/$B16*100</f>
        <v>0</v>
      </c>
      <c r="BT16" s="41">
        <f>COUNTIFS(集計用!$P:$P, "*"&amp;BT$4&amp;",*",集計用!$G:$G,"*, "&amp;$C16&amp;", *")/$B16*100</f>
        <v>0</v>
      </c>
      <c r="BU16" s="41"/>
      <c r="BV16" s="41"/>
      <c r="BW16" s="41"/>
      <c r="BX16" s="41"/>
      <c r="BY16" s="41"/>
      <c r="BZ16" s="41"/>
      <c r="CA16" s="41"/>
      <c r="CB16" s="41"/>
      <c r="CC16" s="41"/>
      <c r="CD16" s="41"/>
      <c r="CE16" s="41"/>
      <c r="CF16" s="41"/>
      <c r="CG16" s="41"/>
      <c r="CH16" s="41"/>
      <c r="CI16" s="41"/>
      <c r="CJ16" s="41"/>
      <c r="CK16" s="41"/>
    </row>
    <row r="17" spans="1:89" ht="15.75" customHeight="1">
      <c r="A17" s="39">
        <v>2</v>
      </c>
      <c r="B17" s="39">
        <f>(COUNTIFS(集計用!$G:$G,"*, "&amp;$C17&amp;",*",集計用!$Q:$Q,"&lt;&gt;無回答"))</f>
        <v>60</v>
      </c>
      <c r="C17" s="42" t="s">
        <v>11</v>
      </c>
      <c r="D17" s="41">
        <f>COUNTIFS(集計用!$O:$O, "*, "&amp;D$4&amp;", *",集計用!$G:$G,"*, "&amp;$C17&amp;", *")/$B17*100</f>
        <v>78.333333333333329</v>
      </c>
      <c r="E17" s="41">
        <f>COUNTIFS(集計用!$O:$O, "*, "&amp;E$4&amp;", *",集計用!$G:$G,"*, "&amp;$C17&amp;", *")/$B17*100</f>
        <v>55.000000000000007</v>
      </c>
      <c r="F17" s="41">
        <f>COUNTIFS(集計用!$O:$O, "*, "&amp;F$4&amp;", *",集計用!$G:$G,"*, "&amp;$C17&amp;", *")/$B17*100</f>
        <v>50</v>
      </c>
      <c r="G17" s="41">
        <f>COUNTIFS(集計用!$O:$O, "*, "&amp;G$4&amp;", *",集計用!$G:$G,"*, "&amp;$C17&amp;", *")/$B17*100</f>
        <v>21.666666666666668</v>
      </c>
      <c r="H17" s="41">
        <f>COUNTIFS(集計用!$O:$O, "*, "&amp;H$4&amp;", *",集計用!$G:$G,"*, "&amp;$C17&amp;", *")/$B17*100</f>
        <v>18.333333333333332</v>
      </c>
      <c r="I17" s="41">
        <f>COUNTIFS(集計用!$O:$O, "*, "&amp;I$4&amp;", *",集計用!$G:$G,"*, "&amp;$C17&amp;", *")/$B17*100</f>
        <v>25</v>
      </c>
      <c r="J17" s="41">
        <f>COUNTIFS(集計用!$O:$O, "*, "&amp;J$4&amp;", *",集計用!$G:$G,"*, "&amp;$C17&amp;", *")/$B17*100</f>
        <v>20</v>
      </c>
      <c r="K17" s="41">
        <f>COUNTIFS(集計用!$O:$O, "*, "&amp;K$4&amp;", *",集計用!$G:$G,"*, "&amp;$C17&amp;", *")/$B17*100</f>
        <v>21.666666666666668</v>
      </c>
      <c r="L17" s="41">
        <f>COUNTIFS(集計用!$O:$O, "*, "&amp;L$4&amp;", *",集計用!$G:$G,"*, "&amp;$C17&amp;", *")/$B17*100</f>
        <v>15</v>
      </c>
      <c r="M17" s="41">
        <f>COUNTIFS(集計用!$O:$O, "*, "&amp;M$4&amp;", *",集計用!$G:$G,"*, "&amp;$C17&amp;", *")/$B17*100</f>
        <v>25</v>
      </c>
      <c r="N17" s="41">
        <f>COUNTIFS(集計用!$O:$O, "*, "&amp;N$4&amp;", *",集計用!$G:$G,"*, "&amp;$C17&amp;", *")/$B17*100</f>
        <v>10</v>
      </c>
      <c r="O17" s="41">
        <f>COUNTIFS(集計用!$O:$O, "*, "&amp;O$4&amp;", *",集計用!$G:$G,"*, "&amp;$C17&amp;", *")/$B17*100</f>
        <v>20</v>
      </c>
      <c r="P17" s="41">
        <f>COUNTIFS(集計用!$O:$O, "*, "&amp;P$4&amp;", *",集計用!$G:$G,"*, "&amp;$C17&amp;", *")/$B17*100</f>
        <v>15</v>
      </c>
      <c r="Q17" s="41">
        <f>COUNTIFS(集計用!$O:$O, "*, "&amp;Q$4&amp;", *",集計用!$G:$G,"*, "&amp;$C17&amp;", *")/$B17*100</f>
        <v>3.3333333333333335</v>
      </c>
      <c r="R17" s="41">
        <f>COUNTIFS(集計用!$O:$O, "*, "&amp;R$4&amp;", *",集計用!$G:$G,"*, "&amp;$C17&amp;", *")/$B17*100</f>
        <v>3.3333333333333335</v>
      </c>
      <c r="S17" s="41">
        <f>COUNTIFS(集計用!$O:$O, "*, "&amp;S$4&amp;", *",集計用!$G:$G,"*, "&amp;$C17&amp;", *")/$B17*100</f>
        <v>5</v>
      </c>
      <c r="T17" s="41">
        <f>COUNTIFS(集計用!$O:$O, "*, "&amp;T$4&amp;", *",集計用!$G:$G,"*, "&amp;$C17&amp;", *")/$B17*100</f>
        <v>0</v>
      </c>
      <c r="U17"/>
      <c r="V17" s="41">
        <f>COUNTIFS(集計用!$P:$P, "*"&amp;V$4&amp;",*",集計用!$G:$G,"*, "&amp;$C17&amp;", *")/$B17*100</f>
        <v>3.3333333333333335</v>
      </c>
      <c r="W17" s="41">
        <f>COUNTIFS(集計用!$P:$P, "*"&amp;W$4&amp;",*",集計用!$G:$G,"*, "&amp;$C17&amp;", *")/$B17*100</f>
        <v>0</v>
      </c>
      <c r="X17" s="41">
        <f>COUNTIFS(集計用!$P:$P, "*"&amp;X$4&amp;",*",集計用!$G:$G,"*, "&amp;$C17&amp;", *")/$B17*100</f>
        <v>1.6666666666666667</v>
      </c>
      <c r="Y17" s="41">
        <f>COUNTIFS(集計用!$P:$P, "*"&amp;Y$4&amp;",*",集計用!$G:$G,"*, "&amp;$C17&amp;", *")/$B17*100</f>
        <v>3.3333333333333335</v>
      </c>
      <c r="Z17" s="41">
        <f>COUNTIFS(集計用!$P:$P, "*"&amp;Z$4&amp;",*",集計用!$G:$G,"*, "&amp;$C17&amp;", *")/$B17*100</f>
        <v>0</v>
      </c>
      <c r="AA17" s="41">
        <f>COUNTIFS(集計用!$P:$P, "*"&amp;AA$4&amp;",*",集計用!$G:$G,"*, "&amp;$C17&amp;", *")/$B17*100</f>
        <v>1.6666666666666667</v>
      </c>
      <c r="AB17" s="41">
        <f>COUNTIFS(集計用!$P:$P, "*"&amp;AB$4&amp;",*",集計用!$G:$G,"*, "&amp;$C17&amp;", *")/$B17*100</f>
        <v>0</v>
      </c>
      <c r="AC17" s="41">
        <f>COUNTIFS(集計用!$P:$P, "*"&amp;AC$4&amp;",*",集計用!$G:$G,"*, "&amp;$C17&amp;", *")/$B17*100</f>
        <v>0</v>
      </c>
      <c r="AD17" s="41">
        <f>COUNTIFS(集計用!$P:$P, "*"&amp;AD$4&amp;",*",集計用!$G:$G,"*, "&amp;$C17&amp;", *")/$B17*100</f>
        <v>0</v>
      </c>
      <c r="AE17" s="41">
        <f>COUNTIFS(集計用!$P:$P, "*"&amp;AE$4&amp;",*",集計用!$G:$G,"*, "&amp;$C17&amp;", *")/$B17*100</f>
        <v>0</v>
      </c>
      <c r="AF17" s="41">
        <f>COUNTIFS(集計用!$P:$P, "*"&amp;AF$4&amp;",*",集計用!$G:$G,"*, "&amp;$C17&amp;", *")/$B17*100</f>
        <v>0</v>
      </c>
      <c r="AG17" s="41">
        <f>COUNTIFS(集計用!$P:$P, "*"&amp;AG$4&amp;",*",集計用!$G:$G,"*, "&amp;$C17&amp;", *")/$B17*100</f>
        <v>3.3333333333333335</v>
      </c>
      <c r="AH17" s="41">
        <f>COUNTIFS(集計用!$P:$P, "*"&amp;AH$4&amp;",*",集計用!$G:$G,"*, "&amp;$C17&amp;", *")/$B17*100</f>
        <v>0</v>
      </c>
      <c r="AI17" s="41">
        <f>COUNTIFS(集計用!$P:$P, "*"&amp;AI$4&amp;",*",集計用!$G:$G,"*, "&amp;$C17&amp;", *")/$B17*100</f>
        <v>0</v>
      </c>
      <c r="AJ17" s="41">
        <f>COUNTIFS(集計用!$P:$P, "*"&amp;AJ$4&amp;",*",集計用!$G:$G,"*, "&amp;$C17&amp;", *")/$B17*100</f>
        <v>0</v>
      </c>
      <c r="AK17" s="41">
        <f>COUNTIFS(集計用!$P:$P, "*"&amp;AK$4&amp;",*",集計用!$G:$G,"*, "&amp;$C17&amp;", *")/$B17*100</f>
        <v>0</v>
      </c>
      <c r="AL17" s="41">
        <f>COUNTIFS(集計用!$P:$P, "*"&amp;AL$4&amp;",*",集計用!$G:$G,"*, "&amp;$C17&amp;", *")/$B17*100</f>
        <v>0</v>
      </c>
      <c r="AM17" s="41">
        <f>COUNTIFS(集計用!$P:$P, "*"&amp;AM$4&amp;",*",集計用!$G:$G,"*, "&amp;$C17&amp;", *")/$B17*100</f>
        <v>0</v>
      </c>
      <c r="AN17" s="41">
        <f>COUNTIFS(集計用!$P:$P, "*"&amp;AN$4&amp;",*",集計用!$G:$G,"*, "&amp;$C17&amp;", *")/$B17*100</f>
        <v>0</v>
      </c>
      <c r="AO17" s="41">
        <f>COUNTIFS(集計用!$P:$P, "*"&amp;AO$4&amp;",*",集計用!$G:$G,"*, "&amp;$C17&amp;", *")/$B17*100</f>
        <v>0</v>
      </c>
      <c r="AP17" s="41">
        <f>COUNTIFS(集計用!$P:$P, "*"&amp;AP$4&amp;",*",集計用!$G:$G,"*, "&amp;$C17&amp;", *")/$B17*100</f>
        <v>0</v>
      </c>
      <c r="AQ17" s="41">
        <f>COUNTIFS(集計用!$P:$P, "*"&amp;AQ$4&amp;",*",集計用!$G:$G,"*, "&amp;$C17&amp;", *")/$B17*100</f>
        <v>0</v>
      </c>
      <c r="AR17" s="41">
        <f>COUNTIFS(集計用!$P:$P, "*"&amp;AR$4&amp;",*",集計用!$G:$G,"*, "&amp;$C17&amp;", *")/$B17*100</f>
        <v>0</v>
      </c>
      <c r="AS17" s="41">
        <f>COUNTIFS(集計用!$P:$P, "*"&amp;AS$4&amp;",*",集計用!$G:$G,"*, "&amp;$C17&amp;", *")/$B17*100</f>
        <v>0</v>
      </c>
      <c r="AT17" s="41">
        <f>COUNTIFS(集計用!$P:$P, "*"&amp;AT$4&amp;",*",集計用!$G:$G,"*, "&amp;$C17&amp;", *")/$B17*100</f>
        <v>0</v>
      </c>
      <c r="AU17" s="41">
        <f>COUNTIFS(集計用!$P:$P, "*"&amp;AU$4&amp;",*",集計用!$G:$G,"*, "&amp;$C17&amp;", *")/$B17*100</f>
        <v>0</v>
      </c>
      <c r="AV17" s="41">
        <f>COUNTIFS(集計用!$P:$P, "*"&amp;AV$4&amp;",*",集計用!$G:$G,"*, "&amp;$C17&amp;", *")/$B17*100</f>
        <v>0</v>
      </c>
      <c r="AW17" s="41">
        <f>COUNTIFS(集計用!$P:$P, "*"&amp;AW$4&amp;",*",集計用!$G:$G,"*, "&amp;$C17&amp;", *")/$B17*100</f>
        <v>0</v>
      </c>
      <c r="AX17" s="41">
        <f>COUNTIFS(集計用!$P:$P, "*"&amp;AX$4&amp;",*",集計用!$G:$G,"*, "&amp;$C17&amp;", *")/$B17*100</f>
        <v>0</v>
      </c>
      <c r="AY17" s="41">
        <f>COUNTIFS(集計用!$P:$P, "*"&amp;AY$4&amp;",*",集計用!$G:$G,"*, "&amp;$C17&amp;", *")/$B17*100</f>
        <v>0</v>
      </c>
      <c r="AZ17" s="41">
        <f>COUNTIFS(集計用!$P:$P, "*"&amp;AZ$4&amp;",*",集計用!$G:$G,"*, "&amp;$C17&amp;", *")/$B17*100</f>
        <v>0</v>
      </c>
      <c r="BA17" s="41">
        <f>COUNTIFS(集計用!$P:$P, "*"&amp;BA$4&amp;",*",集計用!$G:$G,"*, "&amp;$C17&amp;", *")/$B17*100</f>
        <v>0</v>
      </c>
      <c r="BB17" s="41">
        <f>COUNTIFS(集計用!$P:$P, "*"&amp;BB$4&amp;",*",集計用!$G:$G,"*, "&amp;$C17&amp;", *")/$B17*100</f>
        <v>0</v>
      </c>
      <c r="BC17" s="41">
        <f>COUNTIFS(集計用!$P:$P, "*"&amp;BC$4&amp;",*",集計用!$G:$G,"*, "&amp;$C17&amp;", *")/$B17*100</f>
        <v>0</v>
      </c>
      <c r="BD17" s="41">
        <f>COUNTIFS(集計用!$P:$P, "*"&amp;BD$4&amp;",*",集計用!$G:$G,"*, "&amp;$C17&amp;", *")/$B17*100</f>
        <v>0</v>
      </c>
      <c r="BE17" s="41">
        <f>COUNTIFS(集計用!$P:$P, "*"&amp;BE$4&amp;",*",集計用!$G:$G,"*, "&amp;$C17&amp;", *")/$B17*100</f>
        <v>0</v>
      </c>
      <c r="BF17" s="41">
        <f>COUNTIFS(集計用!$P:$P, "*"&amp;BF$4&amp;",*",集計用!$G:$G,"*, "&amp;$C17&amp;", *")/$B17*100</f>
        <v>0</v>
      </c>
      <c r="BG17" s="41">
        <f>COUNTIFS(集計用!$P:$P, "*"&amp;BG$4&amp;",*",集計用!$G:$G,"*, "&amp;$C17&amp;", *")/$B17*100</f>
        <v>0</v>
      </c>
      <c r="BH17" s="41">
        <f>COUNTIFS(集計用!$P:$P, "*"&amp;BH$4&amp;",*",集計用!$G:$G,"*, "&amp;$C17&amp;", *")/$B17*100</f>
        <v>0</v>
      </c>
      <c r="BI17" s="41">
        <f>COUNTIFS(集計用!$P:$P, "*"&amp;BI$4&amp;",*",集計用!$G:$G,"*, "&amp;$C17&amp;", *")/$B17*100</f>
        <v>0</v>
      </c>
      <c r="BJ17" s="41">
        <f>COUNTIFS(集計用!$P:$P, "*"&amp;BJ$4&amp;",*",集計用!$G:$G,"*, "&amp;$C17&amp;", *")/$B17*100</f>
        <v>0</v>
      </c>
      <c r="BK17" s="41">
        <f>COUNTIFS(集計用!$P:$P, "*"&amp;BK$4&amp;",*",集計用!$G:$G,"*, "&amp;$C17&amp;", *")/$B17*100</f>
        <v>0</v>
      </c>
      <c r="BL17" s="41">
        <f>COUNTIFS(集計用!$P:$P, "*"&amp;BL$4&amp;",*",集計用!$G:$G,"*, "&amp;$C17&amp;", *")/$B17*100</f>
        <v>0</v>
      </c>
      <c r="BM17" s="41">
        <f>COUNTIFS(集計用!$P:$P, "*"&amp;BM$4&amp;",*",集計用!$G:$G,"*, "&amp;$C17&amp;", *")/$B17*100</f>
        <v>1.6666666666666667</v>
      </c>
      <c r="BN17" s="41">
        <f>COUNTIFS(集計用!$P:$P, "*"&amp;BN$4&amp;",*",集計用!$G:$G,"*, "&amp;$C17&amp;", *")/$B17*100</f>
        <v>0</v>
      </c>
      <c r="BO17" s="41">
        <f>COUNTIFS(集計用!$P:$P, "*"&amp;BO$4&amp;",*",集計用!$G:$G,"*, "&amp;$C17&amp;", *")/$B17*100</f>
        <v>0</v>
      </c>
      <c r="BP17" s="41">
        <f>COUNTIFS(集計用!$P:$P, "*"&amp;BP$4&amp;",*",集計用!$G:$G,"*, "&amp;$C17&amp;", *")/$B17*100</f>
        <v>0</v>
      </c>
      <c r="BQ17" s="41">
        <f>COUNTIFS(集計用!$P:$P, "*"&amp;BQ$4&amp;",*",集計用!$G:$G,"*, "&amp;$C17&amp;", *")/$B17*100</f>
        <v>0</v>
      </c>
      <c r="BR17" s="41">
        <f>COUNTIFS(集計用!$P:$P, "*"&amp;BR$4&amp;",*",集計用!$G:$G,"*, "&amp;$C17&amp;", *")/$B17*100</f>
        <v>0</v>
      </c>
      <c r="BS17" s="41">
        <f>COUNTIFS(集計用!$P:$P, "*"&amp;BS$4&amp;",*",集計用!$G:$G,"*, "&amp;$C17&amp;", *")/$B17*100</f>
        <v>0</v>
      </c>
      <c r="BT17" s="41">
        <f>COUNTIFS(集計用!$P:$P, "*"&amp;BT$4&amp;",*",集計用!$G:$G,"*, "&amp;$C17&amp;", *")/$B17*100</f>
        <v>0</v>
      </c>
      <c r="BU17" s="41"/>
      <c r="BV17" s="41"/>
      <c r="BW17" s="41"/>
      <c r="BX17" s="41"/>
      <c r="BY17" s="41"/>
      <c r="BZ17" s="41"/>
      <c r="CA17" s="41"/>
      <c r="CB17" s="41"/>
      <c r="CC17" s="41"/>
      <c r="CD17" s="41"/>
      <c r="CE17" s="41"/>
      <c r="CF17" s="41"/>
      <c r="CG17" s="41"/>
      <c r="CH17" s="41"/>
      <c r="CI17" s="41"/>
      <c r="CJ17" s="41"/>
      <c r="CK17" s="41"/>
    </row>
    <row r="18" spans="1:89" ht="15.75" customHeight="1">
      <c r="A18" s="39">
        <v>6</v>
      </c>
      <c r="B18" s="39">
        <f>(COUNTIFS(集計用!$G:$G,"*, "&amp;$C18&amp;",*",集計用!$Q:$Q,"&lt;&gt;無回答"))</f>
        <v>57</v>
      </c>
      <c r="C18" s="42" t="s">
        <v>12</v>
      </c>
      <c r="D18" s="41">
        <f>COUNTIFS(集計用!$O:$O, "*, "&amp;D$4&amp;", *",集計用!$G:$G,"*, "&amp;$C18&amp;", *")/$B18*100</f>
        <v>66.666666666666657</v>
      </c>
      <c r="E18" s="41">
        <f>COUNTIFS(集計用!$O:$O, "*, "&amp;E$4&amp;", *",集計用!$G:$G,"*, "&amp;$C18&amp;", *")/$B18*100</f>
        <v>47.368421052631575</v>
      </c>
      <c r="F18" s="41">
        <f>COUNTIFS(集計用!$O:$O, "*, "&amp;F$4&amp;", *",集計用!$G:$G,"*, "&amp;$C18&amp;", *")/$B18*100</f>
        <v>71.929824561403507</v>
      </c>
      <c r="G18" s="41">
        <f>COUNTIFS(集計用!$O:$O, "*, "&amp;G$4&amp;", *",集計用!$G:$G,"*, "&amp;$C18&amp;", *")/$B18*100</f>
        <v>14.035087719298245</v>
      </c>
      <c r="H18" s="41">
        <f>COUNTIFS(集計用!$O:$O, "*, "&amp;H$4&amp;", *",集計用!$G:$G,"*, "&amp;$C18&amp;", *")/$B18*100</f>
        <v>17.543859649122805</v>
      </c>
      <c r="I18" s="41">
        <f>COUNTIFS(集計用!$O:$O, "*, "&amp;I$4&amp;", *",集計用!$G:$G,"*, "&amp;$C18&amp;", *")/$B18*100</f>
        <v>10.526315789473683</v>
      </c>
      <c r="J18" s="41">
        <f>COUNTIFS(集計用!$O:$O, "*, "&amp;J$4&amp;", *",集計用!$G:$G,"*, "&amp;$C18&amp;", *")/$B18*100</f>
        <v>14.035087719298245</v>
      </c>
      <c r="K18" s="41">
        <f>COUNTIFS(集計用!$O:$O, "*, "&amp;K$4&amp;", *",集計用!$G:$G,"*, "&amp;$C18&amp;", *")/$B18*100</f>
        <v>14.035087719298245</v>
      </c>
      <c r="L18" s="41">
        <f>COUNTIFS(集計用!$O:$O, "*, "&amp;L$4&amp;", *",集計用!$G:$G,"*, "&amp;$C18&amp;", *")/$B18*100</f>
        <v>10.526315789473683</v>
      </c>
      <c r="M18" s="41">
        <f>COUNTIFS(集計用!$O:$O, "*, "&amp;M$4&amp;", *",集計用!$G:$G,"*, "&amp;$C18&amp;", *")/$B18*100</f>
        <v>26.315789473684209</v>
      </c>
      <c r="N18" s="41">
        <f>COUNTIFS(集計用!$O:$O, "*, "&amp;N$4&amp;", *",集計用!$G:$G,"*, "&amp;$C18&amp;", *")/$B18*100</f>
        <v>7.0175438596491224</v>
      </c>
      <c r="O18" s="41">
        <f>COUNTIFS(集計用!$O:$O, "*, "&amp;O$4&amp;", *",集計用!$G:$G,"*, "&amp;$C18&amp;", *")/$B18*100</f>
        <v>7.0175438596491224</v>
      </c>
      <c r="P18" s="41">
        <f>COUNTIFS(集計用!$O:$O, "*, "&amp;P$4&amp;", *",集計用!$G:$G,"*, "&amp;$C18&amp;", *")/$B18*100</f>
        <v>19.298245614035086</v>
      </c>
      <c r="Q18" s="41">
        <f>COUNTIFS(集計用!$O:$O, "*, "&amp;Q$4&amp;", *",集計用!$G:$G,"*, "&amp;$C18&amp;", *")/$B18*100</f>
        <v>10.526315789473683</v>
      </c>
      <c r="R18" s="41">
        <f>COUNTIFS(集計用!$O:$O, "*, "&amp;R$4&amp;", *",集計用!$G:$G,"*, "&amp;$C18&amp;", *")/$B18*100</f>
        <v>3.5087719298245612</v>
      </c>
      <c r="S18" s="41">
        <f>COUNTIFS(集計用!$O:$O, "*, "&amp;S$4&amp;", *",集計用!$G:$G,"*, "&amp;$C18&amp;", *")/$B18*100</f>
        <v>3.5087719298245612</v>
      </c>
      <c r="T18" s="41">
        <f>COUNTIFS(集計用!$O:$O, "*, "&amp;T$4&amp;", *",集計用!$G:$G,"*, "&amp;$C18&amp;", *")/$B18*100</f>
        <v>1.7543859649122806</v>
      </c>
      <c r="U18"/>
      <c r="V18" s="41">
        <f>COUNTIFS(集計用!$P:$P, "*"&amp;V$4&amp;",*",集計用!$G:$G,"*, "&amp;$C18&amp;", *")/$B18*100</f>
        <v>3.5087719298245612</v>
      </c>
      <c r="W18" s="41">
        <f>COUNTIFS(集計用!$P:$P, "*"&amp;W$4&amp;",*",集計用!$G:$G,"*, "&amp;$C18&amp;", *")/$B18*100</f>
        <v>1.7543859649122806</v>
      </c>
      <c r="X18" s="41">
        <f>COUNTIFS(集計用!$P:$P, "*"&amp;X$4&amp;",*",集計用!$G:$G,"*, "&amp;$C18&amp;", *")/$B18*100</f>
        <v>3.5087719298245612</v>
      </c>
      <c r="Y18" s="41">
        <f>COUNTIFS(集計用!$P:$P, "*"&amp;Y$4&amp;",*",集計用!$G:$G,"*, "&amp;$C18&amp;", *")/$B18*100</f>
        <v>1.7543859649122806</v>
      </c>
      <c r="Z18" s="41">
        <f>COUNTIFS(集計用!$P:$P, "*"&amp;Z$4&amp;",*",集計用!$G:$G,"*, "&amp;$C18&amp;", *")/$B18*100</f>
        <v>1.7543859649122806</v>
      </c>
      <c r="AA18" s="41">
        <f>COUNTIFS(集計用!$P:$P, "*"&amp;AA$4&amp;",*",集計用!$G:$G,"*, "&amp;$C18&amp;", *")/$B18*100</f>
        <v>0</v>
      </c>
      <c r="AB18" s="41">
        <f>COUNTIFS(集計用!$P:$P, "*"&amp;AB$4&amp;",*",集計用!$G:$G,"*, "&amp;$C18&amp;", *")/$B18*100</f>
        <v>0</v>
      </c>
      <c r="AC18" s="41">
        <f>COUNTIFS(集計用!$P:$P, "*"&amp;AC$4&amp;",*",集計用!$G:$G,"*, "&amp;$C18&amp;", *")/$B18*100</f>
        <v>1.7543859649122806</v>
      </c>
      <c r="AD18" s="41">
        <f>COUNTIFS(集計用!$P:$P, "*"&amp;AD$4&amp;",*",集計用!$G:$G,"*, "&amp;$C18&amp;", *")/$B18*100</f>
        <v>0</v>
      </c>
      <c r="AE18" s="41">
        <f>COUNTIFS(集計用!$P:$P, "*"&amp;AE$4&amp;",*",集計用!$G:$G,"*, "&amp;$C18&amp;", *")/$B18*100</f>
        <v>0</v>
      </c>
      <c r="AF18" s="41">
        <f>COUNTIFS(集計用!$P:$P, "*"&amp;AF$4&amp;",*",集計用!$G:$G,"*, "&amp;$C18&amp;", *")/$B18*100</f>
        <v>0</v>
      </c>
      <c r="AG18" s="41">
        <f>COUNTIFS(集計用!$P:$P, "*"&amp;AG$4&amp;",*",集計用!$G:$G,"*, "&amp;$C18&amp;", *")/$B18*100</f>
        <v>0</v>
      </c>
      <c r="AH18" s="41">
        <f>COUNTIFS(集計用!$P:$P, "*"&amp;AH$4&amp;",*",集計用!$G:$G,"*, "&amp;$C18&amp;", *")/$B18*100</f>
        <v>0</v>
      </c>
      <c r="AI18" s="41">
        <f>COUNTIFS(集計用!$P:$P, "*"&amp;AI$4&amp;",*",集計用!$G:$G,"*, "&amp;$C18&amp;", *")/$B18*100</f>
        <v>1.7543859649122806</v>
      </c>
      <c r="AJ18" s="41">
        <f>COUNTIFS(集計用!$P:$P, "*"&amp;AJ$4&amp;",*",集計用!$G:$G,"*, "&amp;$C18&amp;", *")/$B18*100</f>
        <v>0</v>
      </c>
      <c r="AK18" s="41">
        <f>COUNTIFS(集計用!$P:$P, "*"&amp;AK$4&amp;",*",集計用!$G:$G,"*, "&amp;$C18&amp;", *")/$B18*100</f>
        <v>0</v>
      </c>
      <c r="AL18" s="41">
        <f>COUNTIFS(集計用!$P:$P, "*"&amp;AL$4&amp;",*",集計用!$G:$G,"*, "&amp;$C18&amp;", *")/$B18*100</f>
        <v>0</v>
      </c>
      <c r="AM18" s="41">
        <f>COUNTIFS(集計用!$P:$P, "*"&amp;AM$4&amp;",*",集計用!$G:$G,"*, "&amp;$C18&amp;", *")/$B18*100</f>
        <v>0</v>
      </c>
      <c r="AN18" s="41">
        <f>COUNTIFS(集計用!$P:$P, "*"&amp;AN$4&amp;",*",集計用!$G:$G,"*, "&amp;$C18&amp;", *")/$B18*100</f>
        <v>0</v>
      </c>
      <c r="AO18" s="41">
        <f>COUNTIFS(集計用!$P:$P, "*"&amp;AO$4&amp;",*",集計用!$G:$G,"*, "&amp;$C18&amp;", *")/$B18*100</f>
        <v>0</v>
      </c>
      <c r="AP18" s="41">
        <f>COUNTIFS(集計用!$P:$P, "*"&amp;AP$4&amp;",*",集計用!$G:$G,"*, "&amp;$C18&amp;", *")/$B18*100</f>
        <v>0</v>
      </c>
      <c r="AQ18" s="41">
        <f>COUNTIFS(集計用!$P:$P, "*"&amp;AQ$4&amp;",*",集計用!$G:$G,"*, "&amp;$C18&amp;", *")/$B18*100</f>
        <v>0</v>
      </c>
      <c r="AR18" s="41">
        <f>COUNTIFS(集計用!$P:$P, "*"&amp;AR$4&amp;",*",集計用!$G:$G,"*, "&amp;$C18&amp;", *")/$B18*100</f>
        <v>0</v>
      </c>
      <c r="AS18" s="41">
        <f>COUNTIFS(集計用!$P:$P, "*"&amp;AS$4&amp;",*",集計用!$G:$G,"*, "&amp;$C18&amp;", *")/$B18*100</f>
        <v>0</v>
      </c>
      <c r="AT18" s="41">
        <f>COUNTIFS(集計用!$P:$P, "*"&amp;AT$4&amp;",*",集計用!$G:$G,"*, "&amp;$C18&amp;", *")/$B18*100</f>
        <v>0</v>
      </c>
      <c r="AU18" s="41">
        <f>COUNTIFS(集計用!$P:$P, "*"&amp;AU$4&amp;",*",集計用!$G:$G,"*, "&amp;$C18&amp;", *")/$B18*100</f>
        <v>0</v>
      </c>
      <c r="AV18" s="41">
        <f>COUNTIFS(集計用!$P:$P, "*"&amp;AV$4&amp;",*",集計用!$G:$G,"*, "&amp;$C18&amp;", *")/$B18*100</f>
        <v>0</v>
      </c>
      <c r="AW18" s="41">
        <f>COUNTIFS(集計用!$P:$P, "*"&amp;AW$4&amp;",*",集計用!$G:$G,"*, "&amp;$C18&amp;", *")/$B18*100</f>
        <v>0</v>
      </c>
      <c r="AX18" s="41">
        <f>COUNTIFS(集計用!$P:$P, "*"&amp;AX$4&amp;",*",集計用!$G:$G,"*, "&amp;$C18&amp;", *")/$B18*100</f>
        <v>0</v>
      </c>
      <c r="AY18" s="41">
        <f>COUNTIFS(集計用!$P:$P, "*"&amp;AY$4&amp;",*",集計用!$G:$G,"*, "&amp;$C18&amp;", *")/$B18*100</f>
        <v>1.7543859649122806</v>
      </c>
      <c r="AZ18" s="41">
        <f>COUNTIFS(集計用!$P:$P, "*"&amp;AZ$4&amp;",*",集計用!$G:$G,"*, "&amp;$C18&amp;", *")/$B18*100</f>
        <v>0</v>
      </c>
      <c r="BA18" s="41">
        <f>COUNTIFS(集計用!$P:$P, "*"&amp;BA$4&amp;",*",集計用!$G:$G,"*, "&amp;$C18&amp;", *")/$B18*100</f>
        <v>0</v>
      </c>
      <c r="BB18" s="41">
        <f>COUNTIFS(集計用!$P:$P, "*"&amp;BB$4&amp;",*",集計用!$G:$G,"*, "&amp;$C18&amp;", *")/$B18*100</f>
        <v>0</v>
      </c>
      <c r="BC18" s="41">
        <f>COUNTIFS(集計用!$P:$P, "*"&amp;BC$4&amp;",*",集計用!$G:$G,"*, "&amp;$C18&amp;", *")/$B18*100</f>
        <v>0</v>
      </c>
      <c r="BD18" s="41">
        <f>COUNTIFS(集計用!$P:$P, "*"&amp;BD$4&amp;",*",集計用!$G:$G,"*, "&amp;$C18&amp;", *")/$B18*100</f>
        <v>1.7543859649122806</v>
      </c>
      <c r="BE18" s="41">
        <f>COUNTIFS(集計用!$P:$P, "*"&amp;BE$4&amp;",*",集計用!$G:$G,"*, "&amp;$C18&amp;", *")/$B18*100</f>
        <v>1.7543859649122806</v>
      </c>
      <c r="BF18" s="41">
        <f>COUNTIFS(集計用!$P:$P, "*"&amp;BF$4&amp;",*",集計用!$G:$G,"*, "&amp;$C18&amp;", *")/$B18*100</f>
        <v>0</v>
      </c>
      <c r="BG18" s="41">
        <f>COUNTIFS(集計用!$P:$P, "*"&amp;BG$4&amp;",*",集計用!$G:$G,"*, "&amp;$C18&amp;", *")/$B18*100</f>
        <v>0</v>
      </c>
      <c r="BH18" s="41">
        <f>COUNTIFS(集計用!$P:$P, "*"&amp;BH$4&amp;",*",集計用!$G:$G,"*, "&amp;$C18&amp;", *")/$B18*100</f>
        <v>1.7543859649122806</v>
      </c>
      <c r="BI18" s="41">
        <f>COUNTIFS(集計用!$P:$P, "*"&amp;BI$4&amp;",*",集計用!$G:$G,"*, "&amp;$C18&amp;", *")/$B18*100</f>
        <v>0</v>
      </c>
      <c r="BJ18" s="41">
        <f>COUNTIFS(集計用!$P:$P, "*"&amp;BJ$4&amp;",*",集計用!$G:$G,"*, "&amp;$C18&amp;", *")/$B18*100</f>
        <v>0</v>
      </c>
      <c r="BK18" s="41">
        <f>COUNTIFS(集計用!$P:$P, "*"&amp;BK$4&amp;",*",集計用!$G:$G,"*, "&amp;$C18&amp;", *")/$B18*100</f>
        <v>0</v>
      </c>
      <c r="BL18" s="41">
        <f>COUNTIFS(集計用!$P:$P, "*"&amp;BL$4&amp;",*",集計用!$G:$G,"*, "&amp;$C18&amp;", *")/$B18*100</f>
        <v>0</v>
      </c>
      <c r="BM18" s="41">
        <f>COUNTIFS(集計用!$P:$P, "*"&amp;BM$4&amp;",*",集計用!$G:$G,"*, "&amp;$C18&amp;", *")/$B18*100</f>
        <v>0</v>
      </c>
      <c r="BN18" s="41">
        <f>COUNTIFS(集計用!$P:$P, "*"&amp;BN$4&amp;",*",集計用!$G:$G,"*, "&amp;$C18&amp;", *")/$B18*100</f>
        <v>0</v>
      </c>
      <c r="BO18" s="41">
        <f>COUNTIFS(集計用!$P:$P, "*"&amp;BO$4&amp;",*",集計用!$G:$G,"*, "&amp;$C18&amp;", *")/$B18*100</f>
        <v>1.7543859649122806</v>
      </c>
      <c r="BP18" s="41">
        <f>COUNTIFS(集計用!$P:$P, "*"&amp;BP$4&amp;",*",集計用!$G:$G,"*, "&amp;$C18&amp;", *")/$B18*100</f>
        <v>0</v>
      </c>
      <c r="BQ18" s="41">
        <f>COUNTIFS(集計用!$P:$P, "*"&amp;BQ$4&amp;",*",集計用!$G:$G,"*, "&amp;$C18&amp;", *")/$B18*100</f>
        <v>0</v>
      </c>
      <c r="BR18" s="41">
        <f>COUNTIFS(集計用!$P:$P, "*"&amp;BR$4&amp;",*",集計用!$G:$G,"*, "&amp;$C18&amp;", *")/$B18*100</f>
        <v>0</v>
      </c>
      <c r="BS18" s="41">
        <f>COUNTIFS(集計用!$P:$P, "*"&amp;BS$4&amp;",*",集計用!$G:$G,"*, "&amp;$C18&amp;", *")/$B18*100</f>
        <v>0</v>
      </c>
      <c r="BT18" s="41">
        <f>COUNTIFS(集計用!$P:$P, "*"&amp;BT$4&amp;",*",集計用!$G:$G,"*, "&amp;$C18&amp;", *")/$B18*100</f>
        <v>0</v>
      </c>
      <c r="BU18" s="41"/>
      <c r="BV18" s="41"/>
      <c r="BW18" s="41"/>
      <c r="BX18" s="41"/>
      <c r="BY18" s="41"/>
      <c r="BZ18" s="41"/>
      <c r="CA18" s="41"/>
      <c r="CB18" s="41"/>
      <c r="CC18" s="41"/>
      <c r="CD18" s="41"/>
      <c r="CE18" s="41"/>
      <c r="CF18" s="41"/>
      <c r="CG18" s="41"/>
      <c r="CH18" s="41"/>
      <c r="CI18" s="41"/>
      <c r="CJ18" s="41"/>
      <c r="CK18" s="41"/>
    </row>
    <row r="19" spans="1:89" ht="15.75" customHeight="1">
      <c r="A19" s="39">
        <v>6</v>
      </c>
      <c r="B19" s="39">
        <f>(COUNTIFS(集計用!$G:$G,"*, "&amp;$C19&amp;",*",集計用!$Q:$Q,"&lt;&gt;無回答"))</f>
        <v>54</v>
      </c>
      <c r="C19" s="42" t="s">
        <v>13</v>
      </c>
      <c r="D19" s="41">
        <f>COUNTIFS(集計用!$O:$O, "*, "&amp;D$4&amp;", *",集計用!$G:$G,"*, "&amp;$C19&amp;", *")/$B19*100</f>
        <v>75.925925925925924</v>
      </c>
      <c r="E19" s="41">
        <f>COUNTIFS(集計用!$O:$O, "*, "&amp;E$4&amp;", *",集計用!$G:$G,"*, "&amp;$C19&amp;", *")/$B19*100</f>
        <v>53.703703703703709</v>
      </c>
      <c r="F19" s="41">
        <f>COUNTIFS(集計用!$O:$O, "*, "&amp;F$4&amp;", *",集計用!$G:$G,"*, "&amp;$C19&amp;", *")/$B19*100</f>
        <v>64.81481481481481</v>
      </c>
      <c r="G19" s="41">
        <f>COUNTIFS(集計用!$O:$O, "*, "&amp;G$4&amp;", *",集計用!$G:$G,"*, "&amp;$C19&amp;", *")/$B19*100</f>
        <v>18.518518518518519</v>
      </c>
      <c r="H19" s="41">
        <f>COUNTIFS(集計用!$O:$O, "*, "&amp;H$4&amp;", *",集計用!$G:$G,"*, "&amp;$C19&amp;", *")/$B19*100</f>
        <v>18.518518518518519</v>
      </c>
      <c r="I19" s="41">
        <f>COUNTIFS(集計用!$O:$O, "*, "&amp;I$4&amp;", *",集計用!$G:$G,"*, "&amp;$C19&amp;", *")/$B19*100</f>
        <v>16.666666666666664</v>
      </c>
      <c r="J19" s="41">
        <f>COUNTIFS(集計用!$O:$O, "*, "&amp;J$4&amp;", *",集計用!$G:$G,"*, "&amp;$C19&amp;", *")/$B19*100</f>
        <v>24.074074074074073</v>
      </c>
      <c r="K19" s="41">
        <f>COUNTIFS(集計用!$O:$O, "*, "&amp;K$4&amp;", *",集計用!$G:$G,"*, "&amp;$C19&amp;", *")/$B19*100</f>
        <v>12.962962962962962</v>
      </c>
      <c r="L19" s="41">
        <f>COUNTIFS(集計用!$O:$O, "*, "&amp;L$4&amp;", *",集計用!$G:$G,"*, "&amp;$C19&amp;", *")/$B19*100</f>
        <v>22.222222222222221</v>
      </c>
      <c r="M19" s="41">
        <f>COUNTIFS(集計用!$O:$O, "*, "&amp;M$4&amp;", *",集計用!$G:$G,"*, "&amp;$C19&amp;", *")/$B19*100</f>
        <v>14.814814814814813</v>
      </c>
      <c r="N19" s="41">
        <f>COUNTIFS(集計用!$O:$O, "*, "&amp;N$4&amp;", *",集計用!$G:$G,"*, "&amp;$C19&amp;", *")/$B19*100</f>
        <v>9.2592592592592595</v>
      </c>
      <c r="O19" s="41">
        <f>COUNTIFS(集計用!$O:$O, "*, "&amp;O$4&amp;", *",集計用!$G:$G,"*, "&amp;$C19&amp;", *")/$B19*100</f>
        <v>18.518518518518519</v>
      </c>
      <c r="P19" s="41">
        <f>COUNTIFS(集計用!$O:$O, "*, "&amp;P$4&amp;", *",集計用!$G:$G,"*, "&amp;$C19&amp;", *")/$B19*100</f>
        <v>22.222222222222221</v>
      </c>
      <c r="Q19" s="41">
        <f>COUNTIFS(集計用!$O:$O, "*, "&amp;Q$4&amp;", *",集計用!$G:$G,"*, "&amp;$C19&amp;", *")/$B19*100</f>
        <v>5.5555555555555554</v>
      </c>
      <c r="R19" s="41">
        <f>COUNTIFS(集計用!$O:$O, "*, "&amp;R$4&amp;", *",集計用!$G:$G,"*, "&amp;$C19&amp;", *")/$B19*100</f>
        <v>7.4074074074074066</v>
      </c>
      <c r="S19" s="41">
        <f>COUNTIFS(集計用!$O:$O, "*, "&amp;S$4&amp;", *",集計用!$G:$G,"*, "&amp;$C19&amp;", *")/$B19*100</f>
        <v>11.111111111111111</v>
      </c>
      <c r="T19" s="41">
        <f>COUNTIFS(集計用!$O:$O, "*, "&amp;T$4&amp;", *",集計用!$G:$G,"*, "&amp;$C19&amp;", *")/$B19*100</f>
        <v>1.8518518518518516</v>
      </c>
      <c r="V19" s="41">
        <f>COUNTIFS(集計用!$P:$P, "*"&amp;V$4&amp;",*",集計用!$G:$G,"*, "&amp;$C19&amp;", *")/$B19*100</f>
        <v>1.8518518518518516</v>
      </c>
      <c r="W19" s="41">
        <f>COUNTIFS(集計用!$P:$P, "*"&amp;W$4&amp;",*",集計用!$G:$G,"*, "&amp;$C19&amp;", *")/$B19*100</f>
        <v>0</v>
      </c>
      <c r="X19" s="41">
        <f>COUNTIFS(集計用!$P:$P, "*"&amp;X$4&amp;",*",集計用!$G:$G,"*, "&amp;$C19&amp;", *")/$B19*100</f>
        <v>0</v>
      </c>
      <c r="Y19" s="41">
        <f>COUNTIFS(集計用!$P:$P, "*"&amp;Y$4&amp;",*",集計用!$G:$G,"*, "&amp;$C19&amp;", *")/$B19*100</f>
        <v>3.7037037037037033</v>
      </c>
      <c r="Z19" s="41">
        <f>COUNTIFS(集計用!$P:$P, "*"&amp;Z$4&amp;",*",集計用!$G:$G,"*, "&amp;$C19&amp;", *")/$B19*100</f>
        <v>0</v>
      </c>
      <c r="AA19" s="41">
        <f>COUNTIFS(集計用!$P:$P, "*"&amp;AA$4&amp;",*",集計用!$G:$G,"*, "&amp;$C19&amp;", *")/$B19*100</f>
        <v>0</v>
      </c>
      <c r="AB19" s="41">
        <f>COUNTIFS(集計用!$P:$P, "*"&amp;AB$4&amp;",*",集計用!$G:$G,"*, "&amp;$C19&amp;", *")/$B19*100</f>
        <v>0</v>
      </c>
      <c r="AC19" s="41">
        <f>COUNTIFS(集計用!$P:$P, "*"&amp;AC$4&amp;",*",集計用!$G:$G,"*, "&amp;$C19&amp;", *")/$B19*100</f>
        <v>3.7037037037037033</v>
      </c>
      <c r="AD19" s="41">
        <f>COUNTIFS(集計用!$P:$P, "*"&amp;AD$4&amp;",*",集計用!$G:$G,"*, "&amp;$C19&amp;", *")/$B19*100</f>
        <v>0</v>
      </c>
      <c r="AE19" s="41">
        <f>COUNTIFS(集計用!$P:$P, "*"&amp;AE$4&amp;",*",集計用!$G:$G,"*, "&amp;$C19&amp;", *")/$B19*100</f>
        <v>0</v>
      </c>
      <c r="AF19" s="41">
        <f>COUNTIFS(集計用!$P:$P, "*"&amp;AF$4&amp;",*",集計用!$G:$G,"*, "&amp;$C19&amp;", *")/$B19*100</f>
        <v>0</v>
      </c>
      <c r="AG19" s="41">
        <f>COUNTIFS(集計用!$P:$P, "*"&amp;AG$4&amp;",*",集計用!$G:$G,"*, "&amp;$C19&amp;", *")/$B19*100</f>
        <v>0</v>
      </c>
      <c r="AH19" s="41">
        <f>COUNTIFS(集計用!$P:$P, "*"&amp;AH$4&amp;",*",集計用!$G:$G,"*, "&amp;$C19&amp;", *")/$B19*100</f>
        <v>0</v>
      </c>
      <c r="AI19" s="41">
        <f>COUNTIFS(集計用!$P:$P, "*"&amp;AI$4&amp;",*",集計用!$G:$G,"*, "&amp;$C19&amp;", *")/$B19*100</f>
        <v>3.7037037037037033</v>
      </c>
      <c r="AJ19" s="41">
        <f>COUNTIFS(集計用!$P:$P, "*"&amp;AJ$4&amp;",*",集計用!$G:$G,"*, "&amp;$C19&amp;", *")/$B19*100</f>
        <v>1.8518518518518516</v>
      </c>
      <c r="AK19" s="41">
        <f>COUNTIFS(集計用!$P:$P, "*"&amp;AK$4&amp;",*",集計用!$G:$G,"*, "&amp;$C19&amp;", *")/$B19*100</f>
        <v>0</v>
      </c>
      <c r="AL19" s="41">
        <f>COUNTIFS(集計用!$P:$P, "*"&amp;AL$4&amp;",*",集計用!$G:$G,"*, "&amp;$C19&amp;", *")/$B19*100</f>
        <v>0</v>
      </c>
      <c r="AM19" s="41">
        <f>COUNTIFS(集計用!$P:$P, "*"&amp;AM$4&amp;",*",集計用!$G:$G,"*, "&amp;$C19&amp;", *")/$B19*100</f>
        <v>0</v>
      </c>
      <c r="AN19" s="41">
        <f>COUNTIFS(集計用!$P:$P, "*"&amp;AN$4&amp;",*",集計用!$G:$G,"*, "&amp;$C19&amp;", *")/$B19*100</f>
        <v>0</v>
      </c>
      <c r="AO19" s="41">
        <f>COUNTIFS(集計用!$P:$P, "*"&amp;AO$4&amp;",*",集計用!$G:$G,"*, "&amp;$C19&amp;", *")/$B19*100</f>
        <v>0</v>
      </c>
      <c r="AP19" s="41">
        <f>COUNTIFS(集計用!$P:$P, "*"&amp;AP$4&amp;",*",集計用!$G:$G,"*, "&amp;$C19&amp;", *")/$B19*100</f>
        <v>0</v>
      </c>
      <c r="AQ19" s="41">
        <f>COUNTIFS(集計用!$P:$P, "*"&amp;AQ$4&amp;",*",集計用!$G:$G,"*, "&amp;$C19&amp;", *")/$B19*100</f>
        <v>0</v>
      </c>
      <c r="AR19" s="41">
        <f>COUNTIFS(集計用!$P:$P, "*"&amp;AR$4&amp;",*",集計用!$G:$G,"*, "&amp;$C19&amp;", *")/$B19*100</f>
        <v>0</v>
      </c>
      <c r="AS19" s="41">
        <f>COUNTIFS(集計用!$P:$P, "*"&amp;AS$4&amp;",*",集計用!$G:$G,"*, "&amp;$C19&amp;", *")/$B19*100</f>
        <v>0</v>
      </c>
      <c r="AT19" s="41">
        <f>COUNTIFS(集計用!$P:$P, "*"&amp;AT$4&amp;",*",集計用!$G:$G,"*, "&amp;$C19&amp;", *")/$B19*100</f>
        <v>0</v>
      </c>
      <c r="AU19" s="41">
        <f>COUNTIFS(集計用!$P:$P, "*"&amp;AU$4&amp;",*",集計用!$G:$G,"*, "&amp;$C19&amp;", *")/$B19*100</f>
        <v>0</v>
      </c>
      <c r="AV19" s="41">
        <f>COUNTIFS(集計用!$P:$P, "*"&amp;AV$4&amp;",*",集計用!$G:$G,"*, "&amp;$C19&amp;", *")/$B19*100</f>
        <v>0</v>
      </c>
      <c r="AW19" s="41">
        <f>COUNTIFS(集計用!$P:$P, "*"&amp;AW$4&amp;",*",集計用!$G:$G,"*, "&amp;$C19&amp;", *")/$B19*100</f>
        <v>0</v>
      </c>
      <c r="AX19" s="41">
        <f>COUNTIFS(集計用!$P:$P, "*"&amp;AX$4&amp;",*",集計用!$G:$G,"*, "&amp;$C19&amp;", *")/$B19*100</f>
        <v>0</v>
      </c>
      <c r="AY19" s="41">
        <f>COUNTIFS(集計用!$P:$P, "*"&amp;AY$4&amp;",*",集計用!$G:$G,"*, "&amp;$C19&amp;", *")/$B19*100</f>
        <v>1.8518518518518516</v>
      </c>
      <c r="AZ19" s="41">
        <f>COUNTIFS(集計用!$P:$P, "*"&amp;AZ$4&amp;",*",集計用!$G:$G,"*, "&amp;$C19&amp;", *")/$B19*100</f>
        <v>0</v>
      </c>
      <c r="BA19" s="41">
        <f>COUNTIFS(集計用!$P:$P, "*"&amp;BA$4&amp;",*",集計用!$G:$G,"*, "&amp;$C19&amp;", *")/$B19*100</f>
        <v>0</v>
      </c>
      <c r="BB19" s="41">
        <f>COUNTIFS(集計用!$P:$P, "*"&amp;BB$4&amp;",*",集計用!$G:$G,"*, "&amp;$C19&amp;", *")/$B19*100</f>
        <v>0</v>
      </c>
      <c r="BC19" s="41">
        <f>COUNTIFS(集計用!$P:$P, "*"&amp;BC$4&amp;",*",集計用!$G:$G,"*, "&amp;$C19&amp;", *")/$B19*100</f>
        <v>0</v>
      </c>
      <c r="BD19" s="41">
        <f>COUNTIFS(集計用!$P:$P, "*"&amp;BD$4&amp;",*",集計用!$G:$G,"*, "&amp;$C19&amp;", *")/$B19*100</f>
        <v>0</v>
      </c>
      <c r="BE19" s="41">
        <f>COUNTIFS(集計用!$P:$P, "*"&amp;BE$4&amp;",*",集計用!$G:$G,"*, "&amp;$C19&amp;", *")/$B19*100</f>
        <v>0</v>
      </c>
      <c r="BF19" s="41">
        <f>COUNTIFS(集計用!$P:$P, "*"&amp;BF$4&amp;",*",集計用!$G:$G,"*, "&amp;$C19&amp;", *")/$B19*100</f>
        <v>0</v>
      </c>
      <c r="BG19" s="41">
        <f>COUNTIFS(集計用!$P:$P, "*"&amp;BG$4&amp;",*",集計用!$G:$G,"*, "&amp;$C19&amp;", *")/$B19*100</f>
        <v>0</v>
      </c>
      <c r="BH19" s="41">
        <f>COUNTIFS(集計用!$P:$P, "*"&amp;BH$4&amp;",*",集計用!$G:$G,"*, "&amp;$C19&amp;", *")/$B19*100</f>
        <v>0</v>
      </c>
      <c r="BI19" s="41">
        <f>COUNTIFS(集計用!$P:$P, "*"&amp;BI$4&amp;",*",集計用!$G:$G,"*, "&amp;$C19&amp;", *")/$B19*100</f>
        <v>0</v>
      </c>
      <c r="BJ19" s="41">
        <f>COUNTIFS(集計用!$P:$P, "*"&amp;BJ$4&amp;",*",集計用!$G:$G,"*, "&amp;$C19&amp;", *")/$B19*100</f>
        <v>0</v>
      </c>
      <c r="BK19" s="41">
        <f>COUNTIFS(集計用!$P:$P, "*"&amp;BK$4&amp;",*",集計用!$G:$G,"*, "&amp;$C19&amp;", *")/$B19*100</f>
        <v>0</v>
      </c>
      <c r="BL19" s="41">
        <f>COUNTIFS(集計用!$P:$P, "*"&amp;BL$4&amp;",*",集計用!$G:$G,"*, "&amp;$C19&amp;", *")/$B19*100</f>
        <v>1.8518518518518516</v>
      </c>
      <c r="BM19" s="41">
        <f>COUNTIFS(集計用!$P:$P, "*"&amp;BM$4&amp;",*",集計用!$G:$G,"*, "&amp;$C19&amp;", *")/$B19*100</f>
        <v>0</v>
      </c>
      <c r="BN19" s="41">
        <f>COUNTIFS(集計用!$P:$P, "*"&amp;BN$4&amp;",*",集計用!$G:$G,"*, "&amp;$C19&amp;", *")/$B19*100</f>
        <v>0</v>
      </c>
      <c r="BO19" s="41">
        <f>COUNTIFS(集計用!$P:$P, "*"&amp;BO$4&amp;",*",集計用!$G:$G,"*, "&amp;$C19&amp;", *")/$B19*100</f>
        <v>0</v>
      </c>
      <c r="BP19" s="41">
        <f>COUNTIFS(集計用!$P:$P, "*"&amp;BP$4&amp;",*",集計用!$G:$G,"*, "&amp;$C19&amp;", *")/$B19*100</f>
        <v>0</v>
      </c>
      <c r="BQ19" s="41">
        <f>COUNTIFS(集計用!$P:$P, "*"&amp;BQ$4&amp;",*",集計用!$G:$G,"*, "&amp;$C19&amp;", *")/$B19*100</f>
        <v>0</v>
      </c>
      <c r="BR19" s="41">
        <f>COUNTIFS(集計用!$P:$P, "*"&amp;BR$4&amp;",*",集計用!$G:$G,"*, "&amp;$C19&amp;", *")/$B19*100</f>
        <v>0</v>
      </c>
      <c r="BS19" s="41">
        <f>COUNTIFS(集計用!$P:$P, "*"&amp;BS$4&amp;",*",集計用!$G:$G,"*, "&amp;$C19&amp;", *")/$B19*100</f>
        <v>0</v>
      </c>
      <c r="BT19" s="41">
        <f>COUNTIFS(集計用!$P:$P, "*"&amp;BT$4&amp;",*",集計用!$G:$G,"*, "&amp;$C19&amp;", *")/$B19*100</f>
        <v>0</v>
      </c>
      <c r="BU19" s="41"/>
      <c r="BV19" s="41"/>
      <c r="BW19" s="41"/>
      <c r="BX19" s="41"/>
      <c r="BY19" s="41"/>
      <c r="BZ19" s="41"/>
      <c r="CA19" s="41"/>
      <c r="CB19" s="41"/>
      <c r="CC19" s="41"/>
      <c r="CD19" s="41"/>
      <c r="CE19" s="41"/>
      <c r="CF19" s="41"/>
      <c r="CG19" s="41"/>
      <c r="CH19" s="41"/>
      <c r="CI19" s="41"/>
      <c r="CJ19" s="41"/>
      <c r="CK19" s="41"/>
    </row>
    <row r="20" spans="1:89" ht="15.75" customHeight="1">
      <c r="A20" s="39">
        <v>4</v>
      </c>
      <c r="B20" s="39">
        <f>(COUNTIFS(集計用!$G:$G,"*, "&amp;$C20&amp;",*",集計用!$Q:$Q,"&lt;&gt;無回答"))</f>
        <v>49</v>
      </c>
      <c r="C20" s="42" t="s">
        <v>14</v>
      </c>
      <c r="D20" s="41">
        <f>COUNTIFS(集計用!$O:$O, "*, "&amp;D$4&amp;", *",集計用!$G:$G,"*, "&amp;$C20&amp;", *")/$B20*100</f>
        <v>73.469387755102048</v>
      </c>
      <c r="E20" s="41">
        <f>COUNTIFS(集計用!$O:$O, "*, "&amp;E$4&amp;", *",集計用!$G:$G,"*, "&amp;$C20&amp;", *")/$B20*100</f>
        <v>69.387755102040813</v>
      </c>
      <c r="F20" s="41">
        <f>COUNTIFS(集計用!$O:$O, "*, "&amp;F$4&amp;", *",集計用!$G:$G,"*, "&amp;$C20&amp;", *")/$B20*100</f>
        <v>61.224489795918366</v>
      </c>
      <c r="G20" s="41">
        <f>COUNTIFS(集計用!$O:$O, "*, "&amp;G$4&amp;", *",集計用!$G:$G,"*, "&amp;$C20&amp;", *")/$B20*100</f>
        <v>28.571428571428569</v>
      </c>
      <c r="H20" s="41">
        <f>COUNTIFS(集計用!$O:$O, "*, "&amp;H$4&amp;", *",集計用!$G:$G,"*, "&amp;$C20&amp;", *")/$B20*100</f>
        <v>38.775510204081634</v>
      </c>
      <c r="I20" s="41">
        <f>COUNTIFS(集計用!$O:$O, "*, "&amp;I$4&amp;", *",集計用!$G:$G,"*, "&amp;$C20&amp;", *")/$B20*100</f>
        <v>28.571428571428569</v>
      </c>
      <c r="J20" s="41">
        <f>COUNTIFS(集計用!$O:$O, "*, "&amp;J$4&amp;", *",集計用!$G:$G,"*, "&amp;$C20&amp;", *")/$B20*100</f>
        <v>28.571428571428569</v>
      </c>
      <c r="K20" s="41">
        <f>COUNTIFS(集計用!$O:$O, "*, "&amp;K$4&amp;", *",集計用!$G:$G,"*, "&amp;$C20&amp;", *")/$B20*100</f>
        <v>26.530612244897959</v>
      </c>
      <c r="L20" s="41">
        <f>COUNTIFS(集計用!$O:$O, "*, "&amp;L$4&amp;", *",集計用!$G:$G,"*, "&amp;$C20&amp;", *")/$B20*100</f>
        <v>24.489795918367346</v>
      </c>
      <c r="M20" s="41">
        <f>COUNTIFS(集計用!$O:$O, "*, "&amp;M$4&amp;", *",集計用!$G:$G,"*, "&amp;$C20&amp;", *")/$B20*100</f>
        <v>28.571428571428569</v>
      </c>
      <c r="N20" s="41">
        <f>COUNTIFS(集計用!$O:$O, "*, "&amp;N$4&amp;", *",集計用!$G:$G,"*, "&amp;$C20&amp;", *")/$B20*100</f>
        <v>18.367346938775512</v>
      </c>
      <c r="O20" s="41">
        <f>COUNTIFS(集計用!$O:$O, "*, "&amp;O$4&amp;", *",集計用!$G:$G,"*, "&amp;$C20&amp;", *")/$B20*100</f>
        <v>20.408163265306122</v>
      </c>
      <c r="P20" s="41">
        <f>COUNTIFS(集計用!$O:$O, "*, "&amp;P$4&amp;", *",集計用!$G:$G,"*, "&amp;$C20&amp;", *")/$B20*100</f>
        <v>16.326530612244898</v>
      </c>
      <c r="Q20" s="41">
        <f>COUNTIFS(集計用!$O:$O, "*, "&amp;Q$4&amp;", *",集計用!$G:$G,"*, "&amp;$C20&amp;", *")/$B20*100</f>
        <v>10.204081632653061</v>
      </c>
      <c r="R20" s="41">
        <f>COUNTIFS(集計用!$O:$O, "*, "&amp;R$4&amp;", *",集計用!$G:$G,"*, "&amp;$C20&amp;", *")/$B20*100</f>
        <v>12.244897959183673</v>
      </c>
      <c r="S20" s="41">
        <f>COUNTIFS(集計用!$O:$O, "*, "&amp;S$4&amp;", *",集計用!$G:$G,"*, "&amp;$C20&amp;", *")/$B20*100</f>
        <v>8.1632653061224492</v>
      </c>
      <c r="T20" s="41">
        <f>COUNTIFS(集計用!$O:$O, "*, "&amp;T$4&amp;", *",集計用!$G:$G,"*, "&amp;$C20&amp;", *")/$B20*100</f>
        <v>2.0408163265306123</v>
      </c>
      <c r="V20" s="41">
        <f>COUNTIFS(集計用!$P:$P, "*"&amp;V$4&amp;",*",集計用!$G:$G,"*, "&amp;$C20&amp;", *")/$B20*100</f>
        <v>4.0816326530612246</v>
      </c>
      <c r="W20" s="41">
        <f>COUNTIFS(集計用!$P:$P, "*"&amp;W$4&amp;",*",集計用!$G:$G,"*, "&amp;$C20&amp;", *")/$B20*100</f>
        <v>0</v>
      </c>
      <c r="X20" s="41">
        <f>COUNTIFS(集計用!$P:$P, "*"&amp;X$4&amp;",*",集計用!$G:$G,"*, "&amp;$C20&amp;", *")/$B20*100</f>
        <v>0</v>
      </c>
      <c r="Y20" s="41">
        <f>COUNTIFS(集計用!$P:$P, "*"&amp;Y$4&amp;",*",集計用!$G:$G,"*, "&amp;$C20&amp;", *")/$B20*100</f>
        <v>2.0408163265306123</v>
      </c>
      <c r="Z20" s="41">
        <f>COUNTIFS(集計用!$P:$P, "*"&amp;Z$4&amp;",*",集計用!$G:$G,"*, "&amp;$C20&amp;", *")/$B20*100</f>
        <v>0</v>
      </c>
      <c r="AA20" s="41">
        <f>COUNTIFS(集計用!$P:$P, "*"&amp;AA$4&amp;",*",集計用!$G:$G,"*, "&amp;$C20&amp;", *")/$B20*100</f>
        <v>0</v>
      </c>
      <c r="AB20" s="41">
        <f>COUNTIFS(集計用!$P:$P, "*"&amp;AB$4&amp;",*",集計用!$G:$G,"*, "&amp;$C20&amp;", *")/$B20*100</f>
        <v>0</v>
      </c>
      <c r="AC20" s="41">
        <f>COUNTIFS(集計用!$P:$P, "*"&amp;AC$4&amp;",*",集計用!$G:$G,"*, "&amp;$C20&amp;", *")/$B20*100</f>
        <v>0</v>
      </c>
      <c r="AD20" s="41">
        <f>COUNTIFS(集計用!$P:$P, "*"&amp;AD$4&amp;",*",集計用!$G:$G,"*, "&amp;$C20&amp;", *")/$B20*100</f>
        <v>0</v>
      </c>
      <c r="AE20" s="41">
        <f>COUNTIFS(集計用!$P:$P, "*"&amp;AE$4&amp;",*",集計用!$G:$G,"*, "&amp;$C20&amp;", *")/$B20*100</f>
        <v>0</v>
      </c>
      <c r="AF20" s="41">
        <f>COUNTIFS(集計用!$P:$P, "*"&amp;AF$4&amp;",*",集計用!$G:$G,"*, "&amp;$C20&amp;", *")/$B20*100</f>
        <v>0</v>
      </c>
      <c r="AG20" s="41">
        <f>COUNTIFS(集計用!$P:$P, "*"&amp;AG$4&amp;",*",集計用!$G:$G,"*, "&amp;$C20&amp;", *")/$B20*100</f>
        <v>0</v>
      </c>
      <c r="AH20" s="41">
        <f>COUNTIFS(集計用!$P:$P, "*"&amp;AH$4&amp;",*",集計用!$G:$G,"*, "&amp;$C20&amp;", *")/$B20*100</f>
        <v>0</v>
      </c>
      <c r="AI20" s="41">
        <f>COUNTIFS(集計用!$P:$P, "*"&amp;AI$4&amp;",*",集計用!$G:$G,"*, "&amp;$C20&amp;", *")/$B20*100</f>
        <v>0</v>
      </c>
      <c r="AJ20" s="41">
        <f>COUNTIFS(集計用!$P:$P, "*"&amp;AJ$4&amp;",*",集計用!$G:$G,"*, "&amp;$C20&amp;", *")/$B20*100</f>
        <v>0</v>
      </c>
      <c r="AK20" s="41">
        <f>COUNTIFS(集計用!$P:$P, "*"&amp;AK$4&amp;",*",集計用!$G:$G,"*, "&amp;$C20&amp;", *")/$B20*100</f>
        <v>0</v>
      </c>
      <c r="AL20" s="41">
        <f>COUNTIFS(集計用!$P:$P, "*"&amp;AL$4&amp;",*",集計用!$G:$G,"*, "&amp;$C20&amp;", *")/$B20*100</f>
        <v>0</v>
      </c>
      <c r="AM20" s="41">
        <f>COUNTIFS(集計用!$P:$P, "*"&amp;AM$4&amp;",*",集計用!$G:$G,"*, "&amp;$C20&amp;", *")/$B20*100</f>
        <v>0</v>
      </c>
      <c r="AN20" s="41">
        <f>COUNTIFS(集計用!$P:$P, "*"&amp;AN$4&amp;",*",集計用!$G:$G,"*, "&amp;$C20&amp;", *")/$B20*100</f>
        <v>0</v>
      </c>
      <c r="AO20" s="41">
        <f>COUNTIFS(集計用!$P:$P, "*"&amp;AO$4&amp;",*",集計用!$G:$G,"*, "&amp;$C20&amp;", *")/$B20*100</f>
        <v>0</v>
      </c>
      <c r="AP20" s="41">
        <f>COUNTIFS(集計用!$P:$P, "*"&amp;AP$4&amp;",*",集計用!$G:$G,"*, "&amp;$C20&amp;", *")/$B20*100</f>
        <v>0</v>
      </c>
      <c r="AQ20" s="41">
        <f>COUNTIFS(集計用!$P:$P, "*"&amp;AQ$4&amp;",*",集計用!$G:$G,"*, "&amp;$C20&amp;", *")/$B20*100</f>
        <v>0</v>
      </c>
      <c r="AR20" s="41">
        <f>COUNTIFS(集計用!$P:$P, "*"&amp;AR$4&amp;",*",集計用!$G:$G,"*, "&amp;$C20&amp;", *")/$B20*100</f>
        <v>0</v>
      </c>
      <c r="AS20" s="41">
        <f>COUNTIFS(集計用!$P:$P, "*"&amp;AS$4&amp;",*",集計用!$G:$G,"*, "&amp;$C20&amp;", *")/$B20*100</f>
        <v>0</v>
      </c>
      <c r="AT20" s="41">
        <f>COUNTIFS(集計用!$P:$P, "*"&amp;AT$4&amp;",*",集計用!$G:$G,"*, "&amp;$C20&amp;", *")/$B20*100</f>
        <v>0</v>
      </c>
      <c r="AU20" s="41">
        <f>COUNTIFS(集計用!$P:$P, "*"&amp;AU$4&amp;",*",集計用!$G:$G,"*, "&amp;$C20&amp;", *")/$B20*100</f>
        <v>0</v>
      </c>
      <c r="AV20" s="41">
        <f>COUNTIFS(集計用!$P:$P, "*"&amp;AV$4&amp;",*",集計用!$G:$G,"*, "&amp;$C20&amp;", *")/$B20*100</f>
        <v>0</v>
      </c>
      <c r="AW20" s="41">
        <f>COUNTIFS(集計用!$P:$P, "*"&amp;AW$4&amp;",*",集計用!$G:$G,"*, "&amp;$C20&amp;", *")/$B20*100</f>
        <v>0</v>
      </c>
      <c r="AX20" s="41">
        <f>COUNTIFS(集計用!$P:$P, "*"&amp;AX$4&amp;",*",集計用!$G:$G,"*, "&amp;$C20&amp;", *")/$B20*100</f>
        <v>0</v>
      </c>
      <c r="AY20" s="41">
        <f>COUNTIFS(集計用!$P:$P, "*"&amp;AY$4&amp;",*",集計用!$G:$G,"*, "&amp;$C20&amp;", *")/$B20*100</f>
        <v>0</v>
      </c>
      <c r="AZ20" s="41">
        <f>COUNTIFS(集計用!$P:$P, "*"&amp;AZ$4&amp;",*",集計用!$G:$G,"*, "&amp;$C20&amp;", *")/$B20*100</f>
        <v>0</v>
      </c>
      <c r="BA20" s="41">
        <f>COUNTIFS(集計用!$P:$P, "*"&amp;BA$4&amp;",*",集計用!$G:$G,"*, "&amp;$C20&amp;", *")/$B20*100</f>
        <v>0</v>
      </c>
      <c r="BB20" s="41">
        <f>COUNTIFS(集計用!$P:$P, "*"&amp;BB$4&amp;",*",集計用!$G:$G,"*, "&amp;$C20&amp;", *")/$B20*100</f>
        <v>0</v>
      </c>
      <c r="BC20" s="41">
        <f>COUNTIFS(集計用!$P:$P, "*"&amp;BC$4&amp;",*",集計用!$G:$G,"*, "&amp;$C20&amp;", *")/$B20*100</f>
        <v>0</v>
      </c>
      <c r="BD20" s="41">
        <f>COUNTIFS(集計用!$P:$P, "*"&amp;BD$4&amp;",*",集計用!$G:$G,"*, "&amp;$C20&amp;", *")/$B20*100</f>
        <v>0</v>
      </c>
      <c r="BE20" s="41">
        <f>COUNTIFS(集計用!$P:$P, "*"&amp;BE$4&amp;",*",集計用!$G:$G,"*, "&amp;$C20&amp;", *")/$B20*100</f>
        <v>2.0408163265306123</v>
      </c>
      <c r="BF20" s="41">
        <f>COUNTIFS(集計用!$P:$P, "*"&amp;BF$4&amp;",*",集計用!$G:$G,"*, "&amp;$C20&amp;", *")/$B20*100</f>
        <v>0</v>
      </c>
      <c r="BG20" s="41">
        <f>COUNTIFS(集計用!$P:$P, "*"&amp;BG$4&amp;",*",集計用!$G:$G,"*, "&amp;$C20&amp;", *")/$B20*100</f>
        <v>0</v>
      </c>
      <c r="BH20" s="41">
        <f>COUNTIFS(集計用!$P:$P, "*"&amp;BH$4&amp;",*",集計用!$G:$G,"*, "&amp;$C20&amp;", *")/$B20*100</f>
        <v>0</v>
      </c>
      <c r="BI20" s="41">
        <f>COUNTIFS(集計用!$P:$P, "*"&amp;BI$4&amp;",*",集計用!$G:$G,"*, "&amp;$C20&amp;", *")/$B20*100</f>
        <v>0</v>
      </c>
      <c r="BJ20" s="41">
        <f>COUNTIFS(集計用!$P:$P, "*"&amp;BJ$4&amp;",*",集計用!$G:$G,"*, "&amp;$C20&amp;", *")/$B20*100</f>
        <v>0</v>
      </c>
      <c r="BK20" s="41">
        <f>COUNTIFS(集計用!$P:$P, "*"&amp;BK$4&amp;",*",集計用!$G:$G,"*, "&amp;$C20&amp;", *")/$B20*100</f>
        <v>0</v>
      </c>
      <c r="BL20" s="41">
        <f>COUNTIFS(集計用!$P:$P, "*"&amp;BL$4&amp;",*",集計用!$G:$G,"*, "&amp;$C20&amp;", *")/$B20*100</f>
        <v>0</v>
      </c>
      <c r="BM20" s="41">
        <f>COUNTIFS(集計用!$P:$P, "*"&amp;BM$4&amp;",*",集計用!$G:$G,"*, "&amp;$C20&amp;", *")/$B20*100</f>
        <v>0</v>
      </c>
      <c r="BN20" s="41">
        <f>COUNTIFS(集計用!$P:$P, "*"&amp;BN$4&amp;",*",集計用!$G:$G,"*, "&amp;$C20&amp;", *")/$B20*100</f>
        <v>0</v>
      </c>
      <c r="BO20" s="41">
        <f>COUNTIFS(集計用!$P:$P, "*"&amp;BO$4&amp;",*",集計用!$G:$G,"*, "&amp;$C20&amp;", *")/$B20*100</f>
        <v>0</v>
      </c>
      <c r="BP20" s="41">
        <f>COUNTIFS(集計用!$P:$P, "*"&amp;BP$4&amp;",*",集計用!$G:$G,"*, "&amp;$C20&amp;", *")/$B20*100</f>
        <v>0</v>
      </c>
      <c r="BQ20" s="41">
        <f>COUNTIFS(集計用!$P:$P, "*"&amp;BQ$4&amp;",*",集計用!$G:$G,"*, "&amp;$C20&amp;", *")/$B20*100</f>
        <v>0</v>
      </c>
      <c r="BR20" s="41">
        <f>COUNTIFS(集計用!$P:$P, "*"&amp;BR$4&amp;",*",集計用!$G:$G,"*, "&amp;$C20&amp;", *")/$B20*100</f>
        <v>0</v>
      </c>
      <c r="BS20" s="41">
        <f>COUNTIFS(集計用!$P:$P, "*"&amp;BS$4&amp;",*",集計用!$G:$G,"*, "&amp;$C20&amp;", *")/$B20*100</f>
        <v>0</v>
      </c>
      <c r="BT20" s="41">
        <f>COUNTIFS(集計用!$P:$P, "*"&amp;BT$4&amp;",*",集計用!$G:$G,"*, "&amp;$C20&amp;", *")/$B20*100</f>
        <v>0</v>
      </c>
      <c r="BU20" s="41"/>
      <c r="BV20" s="41"/>
      <c r="BW20" s="41"/>
      <c r="BX20" s="41"/>
      <c r="BY20" s="41"/>
      <c r="BZ20" s="41"/>
      <c r="CA20" s="41"/>
      <c r="CB20" s="41"/>
      <c r="CC20" s="41"/>
      <c r="CD20" s="41"/>
      <c r="CE20" s="41"/>
      <c r="CF20" s="41"/>
      <c r="CG20" s="41"/>
      <c r="CH20" s="41"/>
      <c r="CI20" s="41"/>
      <c r="CJ20" s="41"/>
      <c r="CK20" s="41"/>
    </row>
    <row r="21" spans="1:89" ht="15.75" customHeight="1">
      <c r="A21" s="39">
        <v>3</v>
      </c>
      <c r="B21" s="39">
        <f>(COUNTIFS(集計用!$G:$G,"*, "&amp;$C21&amp;",*",集計用!$Q:$Q,"&lt;&gt;無回答"))</f>
        <v>48</v>
      </c>
      <c r="C21" s="42" t="s">
        <v>15</v>
      </c>
      <c r="D21" s="41">
        <f>COUNTIFS(集計用!$O:$O, "*, "&amp;D$4&amp;", *",集計用!$G:$G,"*, "&amp;$C21&amp;", *")/$B21*100</f>
        <v>87.5</v>
      </c>
      <c r="E21" s="41">
        <f>COUNTIFS(集計用!$O:$O, "*, "&amp;E$4&amp;", *",集計用!$G:$G,"*, "&amp;$C21&amp;", *")/$B21*100</f>
        <v>60.416666666666664</v>
      </c>
      <c r="F21" s="41">
        <f>COUNTIFS(集計用!$O:$O, "*, "&amp;F$4&amp;", *",集計用!$G:$G,"*, "&amp;$C21&amp;", *")/$B21*100</f>
        <v>54.166666666666664</v>
      </c>
      <c r="G21" s="41">
        <f>COUNTIFS(集計用!$O:$O, "*, "&amp;G$4&amp;", *",集計用!$G:$G,"*, "&amp;$C21&amp;", *")/$B21*100</f>
        <v>31.25</v>
      </c>
      <c r="H21" s="41">
        <f>COUNTIFS(集計用!$O:$O, "*, "&amp;H$4&amp;", *",集計用!$G:$G,"*, "&amp;$C21&amp;", *")/$B21*100</f>
        <v>20.833333333333336</v>
      </c>
      <c r="I21" s="41">
        <f>COUNTIFS(集計用!$O:$O, "*, "&amp;I$4&amp;", *",集計用!$G:$G,"*, "&amp;$C21&amp;", *")/$B21*100</f>
        <v>31.25</v>
      </c>
      <c r="J21" s="41">
        <f>COUNTIFS(集計用!$O:$O, "*, "&amp;J$4&amp;", *",集計用!$G:$G,"*, "&amp;$C21&amp;", *")/$B21*100</f>
        <v>25</v>
      </c>
      <c r="K21" s="41">
        <f>COUNTIFS(集計用!$O:$O, "*, "&amp;K$4&amp;", *",集計用!$G:$G,"*, "&amp;$C21&amp;", *")/$B21*100</f>
        <v>35.416666666666671</v>
      </c>
      <c r="L21" s="41">
        <f>COUNTIFS(集計用!$O:$O, "*, "&amp;L$4&amp;", *",集計用!$G:$G,"*, "&amp;$C21&amp;", *")/$B21*100</f>
        <v>27.083333333333332</v>
      </c>
      <c r="M21" s="41">
        <f>COUNTIFS(集計用!$O:$O, "*, "&amp;M$4&amp;", *",集計用!$G:$G,"*, "&amp;$C21&amp;", *")/$B21*100</f>
        <v>18.75</v>
      </c>
      <c r="N21" s="41">
        <f>COUNTIFS(集計用!$O:$O, "*, "&amp;N$4&amp;", *",集計用!$G:$G,"*, "&amp;$C21&amp;", *")/$B21*100</f>
        <v>14.583333333333334</v>
      </c>
      <c r="O21" s="41">
        <f>COUNTIFS(集計用!$O:$O, "*, "&amp;O$4&amp;", *",集計用!$G:$G,"*, "&amp;$C21&amp;", *")/$B21*100</f>
        <v>27.083333333333332</v>
      </c>
      <c r="P21" s="41">
        <f>COUNTIFS(集計用!$O:$O, "*, "&amp;P$4&amp;", *",集計用!$G:$G,"*, "&amp;$C21&amp;", *")/$B21*100</f>
        <v>8.3333333333333321</v>
      </c>
      <c r="Q21" s="41">
        <f>COUNTIFS(集計用!$O:$O, "*, "&amp;Q$4&amp;", *",集計用!$G:$G,"*, "&amp;$C21&amp;", *")/$B21*100</f>
        <v>10.416666666666668</v>
      </c>
      <c r="R21" s="41">
        <f>COUNTIFS(集計用!$O:$O, "*, "&amp;R$4&amp;", *",集計用!$G:$G,"*, "&amp;$C21&amp;", *")/$B21*100</f>
        <v>6.25</v>
      </c>
      <c r="S21" s="41">
        <f>COUNTIFS(集計用!$O:$O, "*, "&amp;S$4&amp;", *",集計用!$G:$G,"*, "&amp;$C21&amp;", *")/$B21*100</f>
        <v>6.25</v>
      </c>
      <c r="T21" s="41">
        <f>COUNTIFS(集計用!$O:$O, "*, "&amp;T$4&amp;", *",集計用!$G:$G,"*, "&amp;$C21&amp;", *")/$B21*100</f>
        <v>4.1666666666666661</v>
      </c>
      <c r="V21" s="41">
        <f>COUNTIFS(集計用!$P:$P, "*"&amp;V$4&amp;",*",集計用!$G:$G,"*, "&amp;$C21&amp;", *")/$B21*100</f>
        <v>2.083333333333333</v>
      </c>
      <c r="W21" s="41">
        <f>COUNTIFS(集計用!$P:$P, "*"&amp;W$4&amp;",*",集計用!$G:$G,"*, "&amp;$C21&amp;", *")/$B21*100</f>
        <v>6.25</v>
      </c>
      <c r="X21" s="41">
        <f>COUNTIFS(集計用!$P:$P, "*"&amp;X$4&amp;",*",集計用!$G:$G,"*, "&amp;$C21&amp;", *")/$B21*100</f>
        <v>4.1666666666666661</v>
      </c>
      <c r="Y21" s="41">
        <f>COUNTIFS(集計用!$P:$P, "*"&amp;Y$4&amp;",*",集計用!$G:$G,"*, "&amp;$C21&amp;", *")/$B21*100</f>
        <v>2.083333333333333</v>
      </c>
      <c r="Z21" s="41">
        <f>COUNTIFS(集計用!$P:$P, "*"&amp;Z$4&amp;",*",集計用!$G:$G,"*, "&amp;$C21&amp;", *")/$B21*100</f>
        <v>0</v>
      </c>
      <c r="AA21" s="41">
        <f>COUNTIFS(集計用!$P:$P, "*"&amp;AA$4&amp;",*",集計用!$G:$G,"*, "&amp;$C21&amp;", *")/$B21*100</f>
        <v>2.083333333333333</v>
      </c>
      <c r="AB21" s="41">
        <f>COUNTIFS(集計用!$P:$P, "*"&amp;AB$4&amp;",*",集計用!$G:$G,"*, "&amp;$C21&amp;", *")/$B21*100</f>
        <v>0</v>
      </c>
      <c r="AC21" s="41">
        <f>COUNTIFS(集計用!$P:$P, "*"&amp;AC$4&amp;",*",集計用!$G:$G,"*, "&amp;$C21&amp;", *")/$B21*100</f>
        <v>0</v>
      </c>
      <c r="AD21" s="41">
        <f>COUNTIFS(集計用!$P:$P, "*"&amp;AD$4&amp;",*",集計用!$G:$G,"*, "&amp;$C21&amp;", *")/$B21*100</f>
        <v>0</v>
      </c>
      <c r="AE21" s="41">
        <f>COUNTIFS(集計用!$P:$P, "*"&amp;AE$4&amp;",*",集計用!$G:$G,"*, "&amp;$C21&amp;", *")/$B21*100</f>
        <v>0</v>
      </c>
      <c r="AF21" s="41">
        <f>COUNTIFS(集計用!$P:$P, "*"&amp;AF$4&amp;",*",集計用!$G:$G,"*, "&amp;$C21&amp;", *")/$B21*100</f>
        <v>0</v>
      </c>
      <c r="AG21" s="41">
        <f>COUNTIFS(集計用!$P:$P, "*"&amp;AG$4&amp;",*",集計用!$G:$G,"*, "&amp;$C21&amp;", *")/$B21*100</f>
        <v>0</v>
      </c>
      <c r="AH21" s="41">
        <f>COUNTIFS(集計用!$P:$P, "*"&amp;AH$4&amp;",*",集計用!$G:$G,"*, "&amp;$C21&amp;", *")/$B21*100</f>
        <v>0</v>
      </c>
      <c r="AI21" s="41">
        <f>COUNTIFS(集計用!$P:$P, "*"&amp;AI$4&amp;",*",集計用!$G:$G,"*, "&amp;$C21&amp;", *")/$B21*100</f>
        <v>0</v>
      </c>
      <c r="AJ21" s="41">
        <f>COUNTIFS(集計用!$P:$P, "*"&amp;AJ$4&amp;",*",集計用!$G:$G,"*, "&amp;$C21&amp;", *")/$B21*100</f>
        <v>0</v>
      </c>
      <c r="AK21" s="41">
        <f>COUNTIFS(集計用!$P:$P, "*"&amp;AK$4&amp;",*",集計用!$G:$G,"*, "&amp;$C21&amp;", *")/$B21*100</f>
        <v>0</v>
      </c>
      <c r="AL21" s="41">
        <f>COUNTIFS(集計用!$P:$P, "*"&amp;AL$4&amp;",*",集計用!$G:$G,"*, "&amp;$C21&amp;", *")/$B21*100</f>
        <v>2.083333333333333</v>
      </c>
      <c r="AM21" s="41">
        <f>COUNTIFS(集計用!$P:$P, "*"&amp;AM$4&amp;",*",集計用!$G:$G,"*, "&amp;$C21&amp;", *")/$B21*100</f>
        <v>0</v>
      </c>
      <c r="AN21" s="41">
        <f>COUNTIFS(集計用!$P:$P, "*"&amp;AN$4&amp;",*",集計用!$G:$G,"*, "&amp;$C21&amp;", *")/$B21*100</f>
        <v>2.083333333333333</v>
      </c>
      <c r="AO21" s="41">
        <f>COUNTIFS(集計用!$P:$P, "*"&amp;AO$4&amp;",*",集計用!$G:$G,"*, "&amp;$C21&amp;", *")/$B21*100</f>
        <v>2.083333333333333</v>
      </c>
      <c r="AP21" s="41">
        <f>COUNTIFS(集計用!$P:$P, "*"&amp;AP$4&amp;",*",集計用!$G:$G,"*, "&amp;$C21&amp;", *")/$B21*100</f>
        <v>2.083333333333333</v>
      </c>
      <c r="AQ21" s="41">
        <f>COUNTIFS(集計用!$P:$P, "*"&amp;AQ$4&amp;",*",集計用!$G:$G,"*, "&amp;$C21&amp;", *")/$B21*100</f>
        <v>0</v>
      </c>
      <c r="AR21" s="41">
        <f>COUNTIFS(集計用!$P:$P, "*"&amp;AR$4&amp;",*",集計用!$G:$G,"*, "&amp;$C21&amp;", *")/$B21*100</f>
        <v>2.083333333333333</v>
      </c>
      <c r="AS21" s="41">
        <f>COUNTIFS(集計用!$P:$P, "*"&amp;AS$4&amp;",*",集計用!$G:$G,"*, "&amp;$C21&amp;", *")/$B21*100</f>
        <v>2.083333333333333</v>
      </c>
      <c r="AT21" s="41">
        <f>COUNTIFS(集計用!$P:$P, "*"&amp;AT$4&amp;",*",集計用!$G:$G,"*, "&amp;$C21&amp;", *")/$B21*100</f>
        <v>0</v>
      </c>
      <c r="AU21" s="41">
        <f>COUNTIFS(集計用!$P:$P, "*"&amp;AU$4&amp;",*",集計用!$G:$G,"*, "&amp;$C21&amp;", *")/$B21*100</f>
        <v>2.083333333333333</v>
      </c>
      <c r="AV21" s="41">
        <f>COUNTIFS(集計用!$P:$P, "*"&amp;AV$4&amp;",*",集計用!$G:$G,"*, "&amp;$C21&amp;", *")/$B21*100</f>
        <v>2.083333333333333</v>
      </c>
      <c r="AW21" s="41">
        <f>COUNTIFS(集計用!$P:$P, "*"&amp;AW$4&amp;",*",集計用!$G:$G,"*, "&amp;$C21&amp;", *")/$B21*100</f>
        <v>2.083333333333333</v>
      </c>
      <c r="AX21" s="41">
        <f>COUNTIFS(集計用!$P:$P, "*"&amp;AX$4&amp;",*",集計用!$G:$G,"*, "&amp;$C21&amp;", *")/$B21*100</f>
        <v>0</v>
      </c>
      <c r="AY21" s="41">
        <f>COUNTIFS(集計用!$P:$P, "*"&amp;AY$4&amp;",*",集計用!$G:$G,"*, "&amp;$C21&amp;", *")/$B21*100</f>
        <v>0</v>
      </c>
      <c r="AZ21" s="41">
        <f>COUNTIFS(集計用!$P:$P, "*"&amp;AZ$4&amp;",*",集計用!$G:$G,"*, "&amp;$C21&amp;", *")/$B21*100</f>
        <v>0</v>
      </c>
      <c r="BA21" s="41">
        <f>COUNTIFS(集計用!$P:$P, "*"&amp;BA$4&amp;",*",集計用!$G:$G,"*, "&amp;$C21&amp;", *")/$B21*100</f>
        <v>0</v>
      </c>
      <c r="BB21" s="41">
        <f>COUNTIFS(集計用!$P:$P, "*"&amp;BB$4&amp;",*",集計用!$G:$G,"*, "&amp;$C21&amp;", *")/$B21*100</f>
        <v>0</v>
      </c>
      <c r="BC21" s="41">
        <f>COUNTIFS(集計用!$P:$P, "*"&amp;BC$4&amp;",*",集計用!$G:$G,"*, "&amp;$C21&amp;", *")/$B21*100</f>
        <v>0</v>
      </c>
      <c r="BD21" s="41">
        <f>COUNTIFS(集計用!$P:$P, "*"&amp;BD$4&amp;",*",集計用!$G:$G,"*, "&amp;$C21&amp;", *")/$B21*100</f>
        <v>0</v>
      </c>
      <c r="BE21" s="41">
        <f>COUNTIFS(集計用!$P:$P, "*"&amp;BE$4&amp;",*",集計用!$G:$G,"*, "&amp;$C21&amp;", *")/$B21*100</f>
        <v>0</v>
      </c>
      <c r="BF21" s="41">
        <f>COUNTIFS(集計用!$P:$P, "*"&amp;BF$4&amp;",*",集計用!$G:$G,"*, "&amp;$C21&amp;", *")/$B21*100</f>
        <v>0</v>
      </c>
      <c r="BG21" s="41">
        <f>COUNTIFS(集計用!$P:$P, "*"&amp;BG$4&amp;",*",集計用!$G:$G,"*, "&amp;$C21&amp;", *")/$B21*100</f>
        <v>0</v>
      </c>
      <c r="BH21" s="41">
        <f>COUNTIFS(集計用!$P:$P, "*"&amp;BH$4&amp;",*",集計用!$G:$G,"*, "&amp;$C21&amp;", *")/$B21*100</f>
        <v>0</v>
      </c>
      <c r="BI21" s="41">
        <f>COUNTIFS(集計用!$P:$P, "*"&amp;BI$4&amp;",*",集計用!$G:$G,"*, "&amp;$C21&amp;", *")/$B21*100</f>
        <v>0</v>
      </c>
      <c r="BJ21" s="41">
        <f>COUNTIFS(集計用!$P:$P, "*"&amp;BJ$4&amp;",*",集計用!$G:$G,"*, "&amp;$C21&amp;", *")/$B21*100</f>
        <v>0</v>
      </c>
      <c r="BK21" s="41">
        <f>COUNTIFS(集計用!$P:$P, "*"&amp;BK$4&amp;",*",集計用!$G:$G,"*, "&amp;$C21&amp;", *")/$B21*100</f>
        <v>2.083333333333333</v>
      </c>
      <c r="BL21" s="41">
        <f>COUNTIFS(集計用!$P:$P, "*"&amp;BL$4&amp;",*",集計用!$G:$G,"*, "&amp;$C21&amp;", *")/$B21*100</f>
        <v>0</v>
      </c>
      <c r="BM21" s="41">
        <f>COUNTIFS(集計用!$P:$P, "*"&amp;BM$4&amp;",*",集計用!$G:$G,"*, "&amp;$C21&amp;", *")/$B21*100</f>
        <v>0</v>
      </c>
      <c r="BN21" s="41">
        <f>COUNTIFS(集計用!$P:$P, "*"&amp;BN$4&amp;",*",集計用!$G:$G,"*, "&amp;$C21&amp;", *")/$B21*100</f>
        <v>2.083333333333333</v>
      </c>
      <c r="BO21" s="41">
        <f>COUNTIFS(集計用!$P:$P, "*"&amp;BO$4&amp;",*",集計用!$G:$G,"*, "&amp;$C21&amp;", *")/$B21*100</f>
        <v>2.083333333333333</v>
      </c>
      <c r="BP21" s="41">
        <f>COUNTIFS(集計用!$P:$P, "*"&amp;BP$4&amp;",*",集計用!$G:$G,"*, "&amp;$C21&amp;", *")/$B21*100</f>
        <v>0</v>
      </c>
      <c r="BQ21" s="41">
        <f>COUNTIFS(集計用!$P:$P, "*"&amp;BQ$4&amp;",*",集計用!$G:$G,"*, "&amp;$C21&amp;", *")/$B21*100</f>
        <v>0</v>
      </c>
      <c r="BR21" s="41">
        <f>COUNTIFS(集計用!$P:$P, "*"&amp;BR$4&amp;",*",集計用!$G:$G,"*, "&amp;$C21&amp;", *")/$B21*100</f>
        <v>0</v>
      </c>
      <c r="BS21" s="41">
        <f>COUNTIFS(集計用!$P:$P, "*"&amp;BS$4&amp;",*",集計用!$G:$G,"*, "&amp;$C21&amp;", *")/$B21*100</f>
        <v>0</v>
      </c>
      <c r="BT21" s="41">
        <f>COUNTIFS(集計用!$P:$P, "*"&amp;BT$4&amp;",*",集計用!$G:$G,"*, "&amp;$C21&amp;", *")/$B21*100</f>
        <v>0</v>
      </c>
      <c r="BU21" s="41"/>
      <c r="BV21" s="41"/>
      <c r="BW21" s="41"/>
      <c r="BX21" s="41"/>
      <c r="BY21" s="41"/>
      <c r="BZ21" s="41"/>
      <c r="CA21" s="41"/>
      <c r="CB21" s="41"/>
      <c r="CC21" s="41"/>
      <c r="CD21" s="41"/>
      <c r="CE21" s="41"/>
      <c r="CF21" s="41"/>
      <c r="CG21" s="41"/>
      <c r="CH21" s="41"/>
      <c r="CI21" s="41"/>
      <c r="CJ21" s="41"/>
      <c r="CK21" s="41"/>
    </row>
    <row r="22" spans="1:89" ht="15.75" customHeight="1">
      <c r="A22" s="39">
        <v>5</v>
      </c>
      <c r="B22" s="39">
        <f>(COUNTIFS(集計用!$G:$G,"*, "&amp;$C22&amp;",*",集計用!$Q:$Q,"&lt;&gt;無回答"))</f>
        <v>46</v>
      </c>
      <c r="C22" s="42" t="s">
        <v>16</v>
      </c>
      <c r="D22" s="41">
        <f>COUNTIFS(集計用!$O:$O, "*, "&amp;D$4&amp;", *",集計用!$G:$G,"*, "&amp;$C22&amp;", *")/$B22*100</f>
        <v>71.739130434782609</v>
      </c>
      <c r="E22" s="41">
        <f>COUNTIFS(集計用!$O:$O, "*, "&amp;E$4&amp;", *",集計用!$G:$G,"*, "&amp;$C22&amp;", *")/$B22*100</f>
        <v>54.347826086956516</v>
      </c>
      <c r="F22" s="41">
        <f>COUNTIFS(集計用!$O:$O, "*, "&amp;F$4&amp;", *",集計用!$G:$G,"*, "&amp;$C22&amp;", *")/$B22*100</f>
        <v>45.652173913043477</v>
      </c>
      <c r="G22" s="41">
        <f>COUNTIFS(集計用!$O:$O, "*, "&amp;G$4&amp;", *",集計用!$G:$G,"*, "&amp;$C22&amp;", *")/$B22*100</f>
        <v>36.95652173913043</v>
      </c>
      <c r="H22" s="41">
        <f>COUNTIFS(集計用!$O:$O, "*, "&amp;H$4&amp;", *",集計用!$G:$G,"*, "&amp;$C22&amp;", *")/$B22*100</f>
        <v>19.565217391304348</v>
      </c>
      <c r="I22" s="41">
        <f>COUNTIFS(集計用!$O:$O, "*, "&amp;I$4&amp;", *",集計用!$G:$G,"*, "&amp;$C22&amp;", *")/$B22*100</f>
        <v>23.913043478260871</v>
      </c>
      <c r="J22" s="41">
        <f>COUNTIFS(集計用!$O:$O, "*, "&amp;J$4&amp;", *",集計用!$G:$G,"*, "&amp;$C22&amp;", *")/$B22*100</f>
        <v>17.391304347826086</v>
      </c>
      <c r="K22" s="41">
        <f>COUNTIFS(集計用!$O:$O, "*, "&amp;K$4&amp;", *",集計用!$G:$G,"*, "&amp;$C22&amp;", *")/$B22*100</f>
        <v>21.739130434782609</v>
      </c>
      <c r="L22" s="41">
        <f>COUNTIFS(集計用!$O:$O, "*, "&amp;L$4&amp;", *",集計用!$G:$G,"*, "&amp;$C22&amp;", *")/$B22*100</f>
        <v>17.391304347826086</v>
      </c>
      <c r="M22" s="41">
        <f>COUNTIFS(集計用!$O:$O, "*, "&amp;M$4&amp;", *",集計用!$G:$G,"*, "&amp;$C22&amp;", *")/$B22*100</f>
        <v>15.217391304347828</v>
      </c>
      <c r="N22" s="41">
        <f>COUNTIFS(集計用!$O:$O, "*, "&amp;N$4&amp;", *",集計用!$G:$G,"*, "&amp;$C22&amp;", *")/$B22*100</f>
        <v>13.043478260869565</v>
      </c>
      <c r="O22" s="41">
        <f>COUNTIFS(集計用!$O:$O, "*, "&amp;O$4&amp;", *",集計用!$G:$G,"*, "&amp;$C22&amp;", *")/$B22*100</f>
        <v>21.739130434782609</v>
      </c>
      <c r="P22" s="41">
        <f>COUNTIFS(集計用!$O:$O, "*, "&amp;P$4&amp;", *",集計用!$G:$G,"*, "&amp;$C22&amp;", *")/$B22*100</f>
        <v>10.869565217391305</v>
      </c>
      <c r="Q22" s="41">
        <f>COUNTIFS(集計用!$O:$O, "*, "&amp;Q$4&amp;", *",集計用!$G:$G,"*, "&amp;$C22&amp;", *")/$B22*100</f>
        <v>8.695652173913043</v>
      </c>
      <c r="R22" s="41">
        <f>COUNTIFS(集計用!$O:$O, "*, "&amp;R$4&amp;", *",集計用!$G:$G,"*, "&amp;$C22&amp;", *")/$B22*100</f>
        <v>4.3478260869565215</v>
      </c>
      <c r="S22" s="41">
        <f>COUNTIFS(集計用!$O:$O, "*, "&amp;S$4&amp;", *",集計用!$G:$G,"*, "&amp;$C22&amp;", *")/$B22*100</f>
        <v>2.1739130434782608</v>
      </c>
      <c r="T22" s="41">
        <f>COUNTIFS(集計用!$O:$O, "*, "&amp;T$4&amp;", *",集計用!$G:$G,"*, "&amp;$C22&amp;", *")/$B22*100</f>
        <v>0</v>
      </c>
      <c r="V22" s="41">
        <f>COUNTIFS(集計用!$P:$P, "*"&amp;V$4&amp;",*",集計用!$G:$G,"*, "&amp;$C22&amp;", *")/$B22*100</f>
        <v>0</v>
      </c>
      <c r="W22" s="41">
        <f>COUNTIFS(集計用!$P:$P, "*"&amp;W$4&amp;",*",集計用!$G:$G,"*, "&amp;$C22&amp;", *")/$B22*100</f>
        <v>2.1739130434782608</v>
      </c>
      <c r="X22" s="41">
        <f>COUNTIFS(集計用!$P:$P, "*"&amp;X$4&amp;",*",集計用!$G:$G,"*, "&amp;$C22&amp;", *")/$B22*100</f>
        <v>0</v>
      </c>
      <c r="Y22" s="41">
        <f>COUNTIFS(集計用!$P:$P, "*"&amp;Y$4&amp;",*",集計用!$G:$G,"*, "&amp;$C22&amp;", *")/$B22*100</f>
        <v>0</v>
      </c>
      <c r="Z22" s="41">
        <f>COUNTIFS(集計用!$P:$P, "*"&amp;Z$4&amp;",*",集計用!$G:$G,"*, "&amp;$C22&amp;", *")/$B22*100</f>
        <v>2.1739130434782608</v>
      </c>
      <c r="AA22" s="41">
        <f>COUNTIFS(集計用!$P:$P, "*"&amp;AA$4&amp;",*",集計用!$G:$G,"*, "&amp;$C22&amp;", *")/$B22*100</f>
        <v>0</v>
      </c>
      <c r="AB22" s="41">
        <f>COUNTIFS(集計用!$P:$P, "*"&amp;AB$4&amp;",*",集計用!$G:$G,"*, "&amp;$C22&amp;", *")/$B22*100</f>
        <v>0</v>
      </c>
      <c r="AC22" s="41">
        <f>COUNTIFS(集計用!$P:$P, "*"&amp;AC$4&amp;",*",集計用!$G:$G,"*, "&amp;$C22&amp;", *")/$B22*100</f>
        <v>0</v>
      </c>
      <c r="AD22" s="41">
        <f>COUNTIFS(集計用!$P:$P, "*"&amp;AD$4&amp;",*",集計用!$G:$G,"*, "&amp;$C22&amp;", *")/$B22*100</f>
        <v>0</v>
      </c>
      <c r="AE22" s="41">
        <f>COUNTIFS(集計用!$P:$P, "*"&amp;AE$4&amp;",*",集計用!$G:$G,"*, "&amp;$C22&amp;", *")/$B22*100</f>
        <v>0</v>
      </c>
      <c r="AF22" s="41">
        <f>COUNTIFS(集計用!$P:$P, "*"&amp;AF$4&amp;",*",集計用!$G:$G,"*, "&amp;$C22&amp;", *")/$B22*100</f>
        <v>0</v>
      </c>
      <c r="AG22" s="41">
        <f>COUNTIFS(集計用!$P:$P, "*"&amp;AG$4&amp;",*",集計用!$G:$G,"*, "&amp;$C22&amp;", *")/$B22*100</f>
        <v>0</v>
      </c>
      <c r="AH22" s="41">
        <f>COUNTIFS(集計用!$P:$P, "*"&amp;AH$4&amp;",*",集計用!$G:$G,"*, "&amp;$C22&amp;", *")/$B22*100</f>
        <v>0</v>
      </c>
      <c r="AI22" s="41">
        <f>COUNTIFS(集計用!$P:$P, "*"&amp;AI$4&amp;",*",集計用!$G:$G,"*, "&amp;$C22&amp;", *")/$B22*100</f>
        <v>0</v>
      </c>
      <c r="AJ22" s="41">
        <f>COUNTIFS(集計用!$P:$P, "*"&amp;AJ$4&amp;",*",集計用!$G:$G,"*, "&amp;$C22&amp;", *")/$B22*100</f>
        <v>0</v>
      </c>
      <c r="AK22" s="41">
        <f>COUNTIFS(集計用!$P:$P, "*"&amp;AK$4&amp;",*",集計用!$G:$G,"*, "&amp;$C22&amp;", *")/$B22*100</f>
        <v>0</v>
      </c>
      <c r="AL22" s="41">
        <f>COUNTIFS(集計用!$P:$P, "*"&amp;AL$4&amp;",*",集計用!$G:$G,"*, "&amp;$C22&amp;", *")/$B22*100</f>
        <v>0</v>
      </c>
      <c r="AM22" s="41">
        <f>COUNTIFS(集計用!$P:$P, "*"&amp;AM$4&amp;",*",集計用!$G:$G,"*, "&amp;$C22&amp;", *")/$B22*100</f>
        <v>0</v>
      </c>
      <c r="AN22" s="41">
        <f>COUNTIFS(集計用!$P:$P, "*"&amp;AN$4&amp;",*",集計用!$G:$G,"*, "&amp;$C22&amp;", *")/$B22*100</f>
        <v>0</v>
      </c>
      <c r="AO22" s="41">
        <f>COUNTIFS(集計用!$P:$P, "*"&amp;AO$4&amp;",*",集計用!$G:$G,"*, "&amp;$C22&amp;", *")/$B22*100</f>
        <v>0</v>
      </c>
      <c r="AP22" s="41">
        <f>COUNTIFS(集計用!$P:$P, "*"&amp;AP$4&amp;",*",集計用!$G:$G,"*, "&amp;$C22&amp;", *")/$B22*100</f>
        <v>2.1739130434782608</v>
      </c>
      <c r="AQ22" s="41">
        <f>COUNTIFS(集計用!$P:$P, "*"&amp;AQ$4&amp;",*",集計用!$G:$G,"*, "&amp;$C22&amp;", *")/$B22*100</f>
        <v>0</v>
      </c>
      <c r="AR22" s="41">
        <f>COUNTIFS(集計用!$P:$P, "*"&amp;AR$4&amp;",*",集計用!$G:$G,"*, "&amp;$C22&amp;", *")/$B22*100</f>
        <v>2.1739130434782608</v>
      </c>
      <c r="AS22" s="41">
        <f>COUNTIFS(集計用!$P:$P, "*"&amp;AS$4&amp;",*",集計用!$G:$G,"*, "&amp;$C22&amp;", *")/$B22*100</f>
        <v>0</v>
      </c>
      <c r="AT22" s="41">
        <f>COUNTIFS(集計用!$P:$P, "*"&amp;AT$4&amp;",*",集計用!$G:$G,"*, "&amp;$C22&amp;", *")/$B22*100</f>
        <v>0</v>
      </c>
      <c r="AU22" s="41">
        <f>COUNTIFS(集計用!$P:$P, "*"&amp;AU$4&amp;",*",集計用!$G:$G,"*, "&amp;$C22&amp;", *")/$B22*100</f>
        <v>0</v>
      </c>
      <c r="AV22" s="41">
        <f>COUNTIFS(集計用!$P:$P, "*"&amp;AV$4&amp;",*",集計用!$G:$G,"*, "&amp;$C22&amp;", *")/$B22*100</f>
        <v>0</v>
      </c>
      <c r="AW22" s="41">
        <f>COUNTIFS(集計用!$P:$P, "*"&amp;AW$4&amp;",*",集計用!$G:$G,"*, "&amp;$C22&amp;", *")/$B22*100</f>
        <v>0</v>
      </c>
      <c r="AX22" s="41">
        <f>COUNTIFS(集計用!$P:$P, "*"&amp;AX$4&amp;",*",集計用!$G:$G,"*, "&amp;$C22&amp;", *")/$B22*100</f>
        <v>0</v>
      </c>
      <c r="AY22" s="41">
        <f>COUNTIFS(集計用!$P:$P, "*"&amp;AY$4&amp;",*",集計用!$G:$G,"*, "&amp;$C22&amp;", *")/$B22*100</f>
        <v>0</v>
      </c>
      <c r="AZ22" s="41">
        <f>COUNTIFS(集計用!$P:$P, "*"&amp;AZ$4&amp;",*",集計用!$G:$G,"*, "&amp;$C22&amp;", *")/$B22*100</f>
        <v>0</v>
      </c>
      <c r="BA22" s="41">
        <f>COUNTIFS(集計用!$P:$P, "*"&amp;BA$4&amp;",*",集計用!$G:$G,"*, "&amp;$C22&amp;", *")/$B22*100</f>
        <v>0</v>
      </c>
      <c r="BB22" s="41">
        <f>COUNTIFS(集計用!$P:$P, "*"&amp;BB$4&amp;",*",集計用!$G:$G,"*, "&amp;$C22&amp;", *")/$B22*100</f>
        <v>0</v>
      </c>
      <c r="BC22" s="41">
        <f>COUNTIFS(集計用!$P:$P, "*"&amp;BC$4&amp;",*",集計用!$G:$G,"*, "&amp;$C22&amp;", *")/$B22*100</f>
        <v>2.1739130434782608</v>
      </c>
      <c r="BD22" s="41">
        <f>COUNTIFS(集計用!$P:$P, "*"&amp;BD$4&amp;",*",集計用!$G:$G,"*, "&amp;$C22&amp;", *")/$B22*100</f>
        <v>2.1739130434782608</v>
      </c>
      <c r="BE22" s="41">
        <f>COUNTIFS(集計用!$P:$P, "*"&amp;BE$4&amp;",*",集計用!$G:$G,"*, "&amp;$C22&amp;", *")/$B22*100</f>
        <v>0</v>
      </c>
      <c r="BF22" s="41">
        <f>COUNTIFS(集計用!$P:$P, "*"&amp;BF$4&amp;",*",集計用!$G:$G,"*, "&amp;$C22&amp;", *")/$B22*100</f>
        <v>0</v>
      </c>
      <c r="BG22" s="41">
        <f>COUNTIFS(集計用!$P:$P, "*"&amp;BG$4&amp;",*",集計用!$G:$G,"*, "&amp;$C22&amp;", *")/$B22*100</f>
        <v>2.1739130434782608</v>
      </c>
      <c r="BH22" s="41">
        <f>COUNTIFS(集計用!$P:$P, "*"&amp;BH$4&amp;",*",集計用!$G:$G,"*, "&amp;$C22&amp;", *")/$B22*100</f>
        <v>0</v>
      </c>
      <c r="BI22" s="41">
        <f>COUNTIFS(集計用!$P:$P, "*"&amp;BI$4&amp;",*",集計用!$G:$G,"*, "&amp;$C22&amp;", *")/$B22*100</f>
        <v>0</v>
      </c>
      <c r="BJ22" s="41">
        <f>COUNTIFS(集計用!$P:$P, "*"&amp;BJ$4&amp;",*",集計用!$G:$G,"*, "&amp;$C22&amp;", *")/$B22*100</f>
        <v>0</v>
      </c>
      <c r="BK22" s="41">
        <f>COUNTIFS(集計用!$P:$P, "*"&amp;BK$4&amp;",*",集計用!$G:$G,"*, "&amp;$C22&amp;", *")/$B22*100</f>
        <v>2.1739130434782608</v>
      </c>
      <c r="BL22" s="41">
        <f>COUNTIFS(集計用!$P:$P, "*"&amp;BL$4&amp;",*",集計用!$G:$G,"*, "&amp;$C22&amp;", *")/$B22*100</f>
        <v>0</v>
      </c>
      <c r="BM22" s="41">
        <f>COUNTIFS(集計用!$P:$P, "*"&amp;BM$4&amp;",*",集計用!$G:$G,"*, "&amp;$C22&amp;", *")/$B22*100</f>
        <v>0</v>
      </c>
      <c r="BN22" s="41">
        <f>COUNTIFS(集計用!$P:$P, "*"&amp;BN$4&amp;",*",集計用!$G:$G,"*, "&amp;$C22&amp;", *")/$B22*100</f>
        <v>0</v>
      </c>
      <c r="BO22" s="41">
        <f>COUNTIFS(集計用!$P:$P, "*"&amp;BO$4&amp;",*",集計用!$G:$G,"*, "&amp;$C22&amp;", *")/$B22*100</f>
        <v>0</v>
      </c>
      <c r="BP22" s="41">
        <f>COUNTIFS(集計用!$P:$P, "*"&amp;BP$4&amp;",*",集計用!$G:$G,"*, "&amp;$C22&amp;", *")/$B22*100</f>
        <v>0</v>
      </c>
      <c r="BQ22" s="41">
        <f>COUNTIFS(集計用!$P:$P, "*"&amp;BQ$4&amp;",*",集計用!$G:$G,"*, "&amp;$C22&amp;", *")/$B22*100</f>
        <v>0</v>
      </c>
      <c r="BR22" s="41">
        <f>COUNTIFS(集計用!$P:$P, "*"&amp;BR$4&amp;",*",集計用!$G:$G,"*, "&amp;$C22&amp;", *")/$B22*100</f>
        <v>0</v>
      </c>
      <c r="BS22" s="41">
        <f>COUNTIFS(集計用!$P:$P, "*"&amp;BS$4&amp;",*",集計用!$G:$G,"*, "&amp;$C22&amp;", *")/$B22*100</f>
        <v>0</v>
      </c>
      <c r="BT22" s="41">
        <f>COUNTIFS(集計用!$P:$P, "*"&amp;BT$4&amp;",*",集計用!$G:$G,"*, "&amp;$C22&amp;", *")/$B22*100</f>
        <v>0</v>
      </c>
      <c r="BU22" s="41"/>
      <c r="BV22" s="41"/>
      <c r="BW22" s="41"/>
      <c r="BX22" s="41"/>
      <c r="BY22" s="41"/>
      <c r="BZ22" s="41"/>
      <c r="CA22" s="41"/>
      <c r="CB22" s="41"/>
      <c r="CC22" s="41"/>
      <c r="CD22" s="41"/>
      <c r="CE22" s="41"/>
      <c r="CF22" s="41"/>
      <c r="CG22" s="41"/>
      <c r="CH22" s="41"/>
      <c r="CI22" s="41"/>
      <c r="CJ22" s="41"/>
      <c r="CK22" s="41"/>
    </row>
    <row r="23" spans="1:89" ht="15.75" customHeight="1">
      <c r="A23" s="39">
        <v>5</v>
      </c>
      <c r="B23" s="39">
        <f>(COUNTIFS(集計用!$G:$G,"*, "&amp;$C23&amp;",*",集計用!$Q:$Q,"&lt;&gt;無回答"))</f>
        <v>39</v>
      </c>
      <c r="C23" s="42" t="s">
        <v>17</v>
      </c>
      <c r="D23" s="41">
        <f>COUNTIFS(集計用!$O:$O, "*, "&amp;D$4&amp;", *",集計用!$G:$G,"*, "&amp;$C23&amp;", *")/$B23*100</f>
        <v>76.923076923076934</v>
      </c>
      <c r="E23" s="41">
        <f>COUNTIFS(集計用!$O:$O, "*, "&amp;E$4&amp;", *",集計用!$G:$G,"*, "&amp;$C23&amp;", *")/$B23*100</f>
        <v>48.717948717948715</v>
      </c>
      <c r="F23" s="41">
        <f>COUNTIFS(集計用!$O:$O, "*, "&amp;F$4&amp;", *",集計用!$G:$G,"*, "&amp;$C23&amp;", *")/$B23*100</f>
        <v>48.717948717948715</v>
      </c>
      <c r="G23" s="41">
        <f>COUNTIFS(集計用!$O:$O, "*, "&amp;G$4&amp;", *",集計用!$G:$G,"*, "&amp;$C23&amp;", *")/$B23*100</f>
        <v>30.76923076923077</v>
      </c>
      <c r="H23" s="41">
        <f>COUNTIFS(集計用!$O:$O, "*, "&amp;H$4&amp;", *",集計用!$G:$G,"*, "&amp;$C23&amp;", *")/$B23*100</f>
        <v>12.820512820512819</v>
      </c>
      <c r="I23" s="41">
        <f>COUNTIFS(集計用!$O:$O, "*, "&amp;I$4&amp;", *",集計用!$G:$G,"*, "&amp;$C23&amp;", *")/$B23*100</f>
        <v>17.948717948717949</v>
      </c>
      <c r="J23" s="41">
        <f>COUNTIFS(集計用!$O:$O, "*, "&amp;J$4&amp;", *",集計用!$G:$G,"*, "&amp;$C23&amp;", *")/$B23*100</f>
        <v>12.820512820512819</v>
      </c>
      <c r="K23" s="41">
        <f>COUNTIFS(集計用!$O:$O, "*, "&amp;K$4&amp;", *",集計用!$G:$G,"*, "&amp;$C23&amp;", *")/$B23*100</f>
        <v>12.820512820512819</v>
      </c>
      <c r="L23" s="41">
        <f>COUNTIFS(集計用!$O:$O, "*, "&amp;L$4&amp;", *",集計用!$G:$G,"*, "&amp;$C23&amp;", *")/$B23*100</f>
        <v>15.384615384615385</v>
      </c>
      <c r="M23" s="41">
        <f>COUNTIFS(集計用!$O:$O, "*, "&amp;M$4&amp;", *",集計用!$G:$G,"*, "&amp;$C23&amp;", *")/$B23*100</f>
        <v>23.076923076923077</v>
      </c>
      <c r="N23" s="41">
        <f>COUNTIFS(集計用!$O:$O, "*, "&amp;N$4&amp;", *",集計用!$G:$G,"*, "&amp;$C23&amp;", *")/$B23*100</f>
        <v>17.948717948717949</v>
      </c>
      <c r="O23" s="41">
        <f>COUNTIFS(集計用!$O:$O, "*, "&amp;O$4&amp;", *",集計用!$G:$G,"*, "&amp;$C23&amp;", *")/$B23*100</f>
        <v>10.256410256410255</v>
      </c>
      <c r="P23" s="41">
        <f>COUNTIFS(集計用!$O:$O, "*, "&amp;P$4&amp;", *",集計用!$G:$G,"*, "&amp;$C23&amp;", *")/$B23*100</f>
        <v>17.948717948717949</v>
      </c>
      <c r="Q23" s="41">
        <f>COUNTIFS(集計用!$O:$O, "*, "&amp;Q$4&amp;", *",集計用!$G:$G,"*, "&amp;$C23&amp;", *")/$B23*100</f>
        <v>10.256410256410255</v>
      </c>
      <c r="R23" s="41">
        <f>COUNTIFS(集計用!$O:$O, "*, "&amp;R$4&amp;", *",集計用!$G:$G,"*, "&amp;$C23&amp;", *")/$B23*100</f>
        <v>7.6923076923076925</v>
      </c>
      <c r="S23" s="41">
        <f>COUNTIFS(集計用!$O:$O, "*, "&amp;S$4&amp;", *",集計用!$G:$G,"*, "&amp;$C23&amp;", *")/$B23*100</f>
        <v>2.5641025641025639</v>
      </c>
      <c r="T23" s="41">
        <f>COUNTIFS(集計用!$O:$O, "*, "&amp;T$4&amp;", *",集計用!$G:$G,"*, "&amp;$C23&amp;", *")/$B23*100</f>
        <v>2.5641025641025639</v>
      </c>
      <c r="V23" s="41">
        <f>COUNTIFS(集計用!$P:$P, "*"&amp;V$4&amp;",*",集計用!$G:$G,"*, "&amp;$C23&amp;", *")/$B23*100</f>
        <v>2.5641025641025639</v>
      </c>
      <c r="W23" s="41">
        <f>COUNTIFS(集計用!$P:$P, "*"&amp;W$4&amp;",*",集計用!$G:$G,"*, "&amp;$C23&amp;", *")/$B23*100</f>
        <v>2.5641025641025639</v>
      </c>
      <c r="X23" s="41">
        <f>COUNTIFS(集計用!$P:$P, "*"&amp;X$4&amp;",*",集計用!$G:$G,"*, "&amp;$C23&amp;", *")/$B23*100</f>
        <v>2.5641025641025639</v>
      </c>
      <c r="Y23" s="41">
        <f>COUNTIFS(集計用!$P:$P, "*"&amp;Y$4&amp;",*",集計用!$G:$G,"*, "&amp;$C23&amp;", *")/$B23*100</f>
        <v>0</v>
      </c>
      <c r="Z23" s="41">
        <f>COUNTIFS(集計用!$P:$P, "*"&amp;Z$4&amp;",*",集計用!$G:$G,"*, "&amp;$C23&amp;", *")/$B23*100</f>
        <v>0</v>
      </c>
      <c r="AA23" s="41">
        <f>COUNTIFS(集計用!$P:$P, "*"&amp;AA$4&amp;",*",集計用!$G:$G,"*, "&amp;$C23&amp;", *")/$B23*100</f>
        <v>0</v>
      </c>
      <c r="AB23" s="41">
        <f>COUNTIFS(集計用!$P:$P, "*"&amp;AB$4&amp;",*",集計用!$G:$G,"*, "&amp;$C23&amp;", *")/$B23*100</f>
        <v>0</v>
      </c>
      <c r="AC23" s="41">
        <f>COUNTIFS(集計用!$P:$P, "*"&amp;AC$4&amp;",*",集計用!$G:$G,"*, "&amp;$C23&amp;", *")/$B23*100</f>
        <v>2.5641025641025639</v>
      </c>
      <c r="AD23" s="41">
        <f>COUNTIFS(集計用!$P:$P, "*"&amp;AD$4&amp;",*",集計用!$G:$G,"*, "&amp;$C23&amp;", *")/$B23*100</f>
        <v>0</v>
      </c>
      <c r="AE23" s="41">
        <f>COUNTIFS(集計用!$P:$P, "*"&amp;AE$4&amp;",*",集計用!$G:$G,"*, "&amp;$C23&amp;", *")/$B23*100</f>
        <v>0</v>
      </c>
      <c r="AF23" s="41">
        <f>COUNTIFS(集計用!$P:$P, "*"&amp;AF$4&amp;",*",集計用!$G:$G,"*, "&amp;$C23&amp;", *")/$B23*100</f>
        <v>0</v>
      </c>
      <c r="AG23" s="41">
        <f>COUNTIFS(集計用!$P:$P, "*"&amp;AG$4&amp;",*",集計用!$G:$G,"*, "&amp;$C23&amp;", *")/$B23*100</f>
        <v>0</v>
      </c>
      <c r="AH23" s="41">
        <f>COUNTIFS(集計用!$P:$P, "*"&amp;AH$4&amp;",*",集計用!$G:$G,"*, "&amp;$C23&amp;", *")/$B23*100</f>
        <v>0</v>
      </c>
      <c r="AI23" s="41">
        <f>COUNTIFS(集計用!$P:$P, "*"&amp;AI$4&amp;",*",集計用!$G:$G,"*, "&amp;$C23&amp;", *")/$B23*100</f>
        <v>2.5641025641025639</v>
      </c>
      <c r="AJ23" s="41">
        <f>COUNTIFS(集計用!$P:$P, "*"&amp;AJ$4&amp;",*",集計用!$G:$G,"*, "&amp;$C23&amp;", *")/$B23*100</f>
        <v>0</v>
      </c>
      <c r="AK23" s="41">
        <f>COUNTIFS(集計用!$P:$P, "*"&amp;AK$4&amp;",*",集計用!$G:$G,"*, "&amp;$C23&amp;", *")/$B23*100</f>
        <v>0</v>
      </c>
      <c r="AL23" s="41">
        <f>COUNTIFS(集計用!$P:$P, "*"&amp;AL$4&amp;",*",集計用!$G:$G,"*, "&amp;$C23&amp;", *")/$B23*100</f>
        <v>0</v>
      </c>
      <c r="AM23" s="41">
        <f>COUNTIFS(集計用!$P:$P, "*"&amp;AM$4&amp;",*",集計用!$G:$G,"*, "&amp;$C23&amp;", *")/$B23*100</f>
        <v>0</v>
      </c>
      <c r="AN23" s="41">
        <f>COUNTIFS(集計用!$P:$P, "*"&amp;AN$4&amp;",*",集計用!$G:$G,"*, "&amp;$C23&amp;", *")/$B23*100</f>
        <v>0</v>
      </c>
      <c r="AO23" s="41">
        <f>COUNTIFS(集計用!$P:$P, "*"&amp;AO$4&amp;",*",集計用!$G:$G,"*, "&amp;$C23&amp;", *")/$B23*100</f>
        <v>0</v>
      </c>
      <c r="AP23" s="41">
        <f>COUNTIFS(集計用!$P:$P, "*"&amp;AP$4&amp;",*",集計用!$G:$G,"*, "&amp;$C23&amp;", *")/$B23*100</f>
        <v>0</v>
      </c>
      <c r="AQ23" s="41">
        <f>COUNTIFS(集計用!$P:$P, "*"&amp;AQ$4&amp;",*",集計用!$G:$G,"*, "&amp;$C23&amp;", *")/$B23*100</f>
        <v>0</v>
      </c>
      <c r="AR23" s="41">
        <f>COUNTIFS(集計用!$P:$P, "*"&amp;AR$4&amp;",*",集計用!$G:$G,"*, "&amp;$C23&amp;", *")/$B23*100</f>
        <v>0</v>
      </c>
      <c r="AS23" s="41">
        <f>COUNTIFS(集計用!$P:$P, "*"&amp;AS$4&amp;",*",集計用!$G:$G,"*, "&amp;$C23&amp;", *")/$B23*100</f>
        <v>0</v>
      </c>
      <c r="AT23" s="41">
        <f>COUNTIFS(集計用!$P:$P, "*"&amp;AT$4&amp;",*",集計用!$G:$G,"*, "&amp;$C23&amp;", *")/$B23*100</f>
        <v>0</v>
      </c>
      <c r="AU23" s="41">
        <f>COUNTIFS(集計用!$P:$P, "*"&amp;AU$4&amp;",*",集計用!$G:$G,"*, "&amp;$C23&amp;", *")/$B23*100</f>
        <v>0</v>
      </c>
      <c r="AV23" s="41">
        <f>COUNTIFS(集計用!$P:$P, "*"&amp;AV$4&amp;",*",集計用!$G:$G,"*, "&amp;$C23&amp;", *")/$B23*100</f>
        <v>0</v>
      </c>
      <c r="AW23" s="41">
        <f>COUNTIFS(集計用!$P:$P, "*"&amp;AW$4&amp;",*",集計用!$G:$G,"*, "&amp;$C23&amp;", *")/$B23*100</f>
        <v>0</v>
      </c>
      <c r="AX23" s="41">
        <f>COUNTIFS(集計用!$P:$P, "*"&amp;AX$4&amp;",*",集計用!$G:$G,"*, "&amp;$C23&amp;", *")/$B23*100</f>
        <v>0</v>
      </c>
      <c r="AY23" s="41">
        <f>COUNTIFS(集計用!$P:$P, "*"&amp;AY$4&amp;",*",集計用!$G:$G,"*, "&amp;$C23&amp;", *")/$B23*100</f>
        <v>0</v>
      </c>
      <c r="AZ23" s="41">
        <f>COUNTIFS(集計用!$P:$P, "*"&amp;AZ$4&amp;",*",集計用!$G:$G,"*, "&amp;$C23&amp;", *")/$B23*100</f>
        <v>0</v>
      </c>
      <c r="BA23" s="41">
        <f>COUNTIFS(集計用!$P:$P, "*"&amp;BA$4&amp;",*",集計用!$G:$G,"*, "&amp;$C23&amp;", *")/$B23*100</f>
        <v>0</v>
      </c>
      <c r="BB23" s="41">
        <f>COUNTIFS(集計用!$P:$P, "*"&amp;BB$4&amp;",*",集計用!$G:$G,"*, "&amp;$C23&amp;", *")/$B23*100</f>
        <v>0</v>
      </c>
      <c r="BC23" s="41">
        <f>COUNTIFS(集計用!$P:$P, "*"&amp;BC$4&amp;",*",集計用!$G:$G,"*, "&amp;$C23&amp;", *")/$B23*100</f>
        <v>0</v>
      </c>
      <c r="BD23" s="41">
        <f>COUNTIFS(集計用!$P:$P, "*"&amp;BD$4&amp;",*",集計用!$G:$G,"*, "&amp;$C23&amp;", *")/$B23*100</f>
        <v>0</v>
      </c>
      <c r="BE23" s="41">
        <f>COUNTIFS(集計用!$P:$P, "*"&amp;BE$4&amp;",*",集計用!$G:$G,"*, "&amp;$C23&amp;", *")/$B23*100</f>
        <v>0</v>
      </c>
      <c r="BF23" s="41">
        <f>COUNTIFS(集計用!$P:$P, "*"&amp;BF$4&amp;",*",集計用!$G:$G,"*, "&amp;$C23&amp;", *")/$B23*100</f>
        <v>0</v>
      </c>
      <c r="BG23" s="41">
        <f>COUNTIFS(集計用!$P:$P, "*"&amp;BG$4&amp;",*",集計用!$G:$G,"*, "&amp;$C23&amp;", *")/$B23*100</f>
        <v>2.5641025641025639</v>
      </c>
      <c r="BH23" s="41">
        <f>COUNTIFS(集計用!$P:$P, "*"&amp;BH$4&amp;",*",集計用!$G:$G,"*, "&amp;$C23&amp;", *")/$B23*100</f>
        <v>0</v>
      </c>
      <c r="BI23" s="41">
        <f>COUNTIFS(集計用!$P:$P, "*"&amp;BI$4&amp;",*",集計用!$G:$G,"*, "&amp;$C23&amp;", *")/$B23*100</f>
        <v>0</v>
      </c>
      <c r="BJ23" s="41">
        <f>COUNTIFS(集計用!$P:$P, "*"&amp;BJ$4&amp;",*",集計用!$G:$G,"*, "&amp;$C23&amp;", *")/$B23*100</f>
        <v>0</v>
      </c>
      <c r="BK23" s="41">
        <f>COUNTIFS(集計用!$P:$P, "*"&amp;BK$4&amp;",*",集計用!$G:$G,"*, "&amp;$C23&amp;", *")/$B23*100</f>
        <v>0</v>
      </c>
      <c r="BL23" s="41">
        <f>COUNTIFS(集計用!$P:$P, "*"&amp;BL$4&amp;",*",集計用!$G:$G,"*, "&amp;$C23&amp;", *")/$B23*100</f>
        <v>0</v>
      </c>
      <c r="BM23" s="41">
        <f>COUNTIFS(集計用!$P:$P, "*"&amp;BM$4&amp;",*",集計用!$G:$G,"*, "&amp;$C23&amp;", *")/$B23*100</f>
        <v>0</v>
      </c>
      <c r="BN23" s="41">
        <f>COUNTIFS(集計用!$P:$P, "*"&amp;BN$4&amp;",*",集計用!$G:$G,"*, "&amp;$C23&amp;", *")/$B23*100</f>
        <v>0</v>
      </c>
      <c r="BO23" s="41">
        <f>COUNTIFS(集計用!$P:$P, "*"&amp;BO$4&amp;",*",集計用!$G:$G,"*, "&amp;$C23&amp;", *")/$B23*100</f>
        <v>2.5641025641025639</v>
      </c>
      <c r="BP23" s="41">
        <f>COUNTIFS(集計用!$P:$P, "*"&amp;BP$4&amp;",*",集計用!$G:$G,"*, "&amp;$C23&amp;", *")/$B23*100</f>
        <v>0</v>
      </c>
      <c r="BQ23" s="41">
        <f>COUNTIFS(集計用!$P:$P, "*"&amp;BQ$4&amp;",*",集計用!$G:$G,"*, "&amp;$C23&amp;", *")/$B23*100</f>
        <v>0</v>
      </c>
      <c r="BR23" s="41">
        <f>COUNTIFS(集計用!$P:$P, "*"&amp;BR$4&amp;",*",集計用!$G:$G,"*, "&amp;$C23&amp;", *")/$B23*100</f>
        <v>0</v>
      </c>
      <c r="BS23" s="41">
        <f>COUNTIFS(集計用!$P:$P, "*"&amp;BS$4&amp;",*",集計用!$G:$G,"*, "&amp;$C23&amp;", *")/$B23*100</f>
        <v>0</v>
      </c>
      <c r="BT23" s="41">
        <f>COUNTIFS(集計用!$P:$P, "*"&amp;BT$4&amp;",*",集計用!$G:$G,"*, "&amp;$C23&amp;", *")/$B23*100</f>
        <v>0</v>
      </c>
      <c r="BU23" s="41"/>
      <c r="BV23" s="41"/>
      <c r="BW23" s="41"/>
      <c r="BX23" s="41"/>
      <c r="BY23" s="41"/>
      <c r="BZ23" s="41"/>
      <c r="CA23" s="41"/>
      <c r="CB23" s="41"/>
      <c r="CC23" s="41"/>
      <c r="CD23" s="41"/>
      <c r="CE23" s="41"/>
      <c r="CF23" s="41"/>
      <c r="CG23" s="41"/>
      <c r="CH23" s="41"/>
      <c r="CI23" s="41"/>
      <c r="CJ23" s="41"/>
      <c r="CK23" s="41"/>
    </row>
    <row r="24" spans="1:89" ht="15.75" customHeight="1">
      <c r="A24" s="39">
        <v>4</v>
      </c>
      <c r="B24" s="39">
        <f>(COUNTIFS(集計用!$G:$G,"*, "&amp;$C24&amp;",*",集計用!$Q:$Q,"&lt;&gt;無回答"))</f>
        <v>36</v>
      </c>
      <c r="C24" s="42" t="s">
        <v>18</v>
      </c>
      <c r="D24" s="41">
        <f>COUNTIFS(集計用!$O:$O, "*, "&amp;D$4&amp;", *",集計用!$G:$G,"*, "&amp;$C24&amp;", *")/$B24*100</f>
        <v>72.222222222222214</v>
      </c>
      <c r="E24" s="41">
        <f>COUNTIFS(集計用!$O:$O, "*, "&amp;E$4&amp;", *",集計用!$G:$G,"*, "&amp;$C24&amp;", *")/$B24*100</f>
        <v>47.222222222222221</v>
      </c>
      <c r="F24" s="41">
        <f>COUNTIFS(集計用!$O:$O, "*, "&amp;F$4&amp;", *",集計用!$G:$G,"*, "&amp;$C24&amp;", *")/$B24*100</f>
        <v>44.444444444444443</v>
      </c>
      <c r="G24" s="41">
        <f>COUNTIFS(集計用!$O:$O, "*, "&amp;G$4&amp;", *",集計用!$G:$G,"*, "&amp;$C24&amp;", *")/$B24*100</f>
        <v>22.222222222222221</v>
      </c>
      <c r="H24" s="41">
        <f>COUNTIFS(集計用!$O:$O, "*, "&amp;H$4&amp;", *",集計用!$G:$G,"*, "&amp;$C24&amp;", *")/$B24*100</f>
        <v>22.222222222222221</v>
      </c>
      <c r="I24" s="41">
        <f>COUNTIFS(集計用!$O:$O, "*, "&amp;I$4&amp;", *",集計用!$G:$G,"*, "&amp;$C24&amp;", *")/$B24*100</f>
        <v>16.666666666666664</v>
      </c>
      <c r="J24" s="41">
        <f>COUNTIFS(集計用!$O:$O, "*, "&amp;J$4&amp;", *",集計用!$G:$G,"*, "&amp;$C24&amp;", *")/$B24*100</f>
        <v>27.777777777777779</v>
      </c>
      <c r="K24" s="41">
        <f>COUNTIFS(集計用!$O:$O, "*, "&amp;K$4&amp;", *",集計用!$G:$G,"*, "&amp;$C24&amp;", *")/$B24*100</f>
        <v>19.444444444444446</v>
      </c>
      <c r="L24" s="41">
        <f>COUNTIFS(集計用!$O:$O, "*, "&amp;L$4&amp;", *",集計用!$G:$G,"*, "&amp;$C24&amp;", *")/$B24*100</f>
        <v>19.444444444444446</v>
      </c>
      <c r="M24" s="41">
        <f>COUNTIFS(集計用!$O:$O, "*, "&amp;M$4&amp;", *",集計用!$G:$G,"*, "&amp;$C24&amp;", *")/$B24*100</f>
        <v>25</v>
      </c>
      <c r="N24" s="41">
        <f>COUNTIFS(集計用!$O:$O, "*, "&amp;N$4&amp;", *",集計用!$G:$G,"*, "&amp;$C24&amp;", *")/$B24*100</f>
        <v>22.222222222222221</v>
      </c>
      <c r="O24" s="41">
        <f>COUNTIFS(集計用!$O:$O, "*, "&amp;O$4&amp;", *",集計用!$G:$G,"*, "&amp;$C24&amp;", *")/$B24*100</f>
        <v>13.888888888888889</v>
      </c>
      <c r="P24" s="41">
        <f>COUNTIFS(集計用!$O:$O, "*, "&amp;P$4&amp;", *",集計用!$G:$G,"*, "&amp;$C24&amp;", *")/$B24*100</f>
        <v>8.3333333333333321</v>
      </c>
      <c r="Q24" s="41">
        <f>COUNTIFS(集計用!$O:$O, "*, "&amp;Q$4&amp;", *",集計用!$G:$G,"*, "&amp;$C24&amp;", *")/$B24*100</f>
        <v>2.7777777777777777</v>
      </c>
      <c r="R24" s="41">
        <f>COUNTIFS(集計用!$O:$O, "*, "&amp;R$4&amp;", *",集計用!$G:$G,"*, "&amp;$C24&amp;", *")/$B24*100</f>
        <v>16.666666666666664</v>
      </c>
      <c r="S24" s="41">
        <f>COUNTIFS(集計用!$O:$O, "*, "&amp;S$4&amp;", *",集計用!$G:$G,"*, "&amp;$C24&amp;", *")/$B24*100</f>
        <v>2.7777777777777777</v>
      </c>
      <c r="T24" s="41">
        <f>COUNTIFS(集計用!$O:$O, "*, "&amp;T$4&amp;", *",集計用!$G:$G,"*, "&amp;$C24&amp;", *")/$B24*100</f>
        <v>0</v>
      </c>
      <c r="V24" s="41">
        <f>COUNTIFS(集計用!$P:$P, "*"&amp;V$4&amp;",*",集計用!$G:$G,"*, "&amp;$C24&amp;", *")/$B24*100</f>
        <v>2.7777777777777777</v>
      </c>
      <c r="W24" s="41">
        <f>COUNTIFS(集計用!$P:$P, "*"&amp;W$4&amp;",*",集計用!$G:$G,"*, "&amp;$C24&amp;", *")/$B24*100</f>
        <v>0</v>
      </c>
      <c r="X24" s="41">
        <f>COUNTIFS(集計用!$P:$P, "*"&amp;X$4&amp;",*",集計用!$G:$G,"*, "&amp;$C24&amp;", *")/$B24*100</f>
        <v>0</v>
      </c>
      <c r="Y24" s="41">
        <f>COUNTIFS(集計用!$P:$P, "*"&amp;Y$4&amp;",*",集計用!$G:$G,"*, "&amp;$C24&amp;", *")/$B24*100</f>
        <v>0</v>
      </c>
      <c r="Z24" s="41">
        <f>COUNTIFS(集計用!$P:$P, "*"&amp;Z$4&amp;",*",集計用!$G:$G,"*, "&amp;$C24&amp;", *")/$B24*100</f>
        <v>0</v>
      </c>
      <c r="AA24" s="41">
        <f>COUNTIFS(集計用!$P:$P, "*"&amp;AA$4&amp;",*",集計用!$G:$G,"*, "&amp;$C24&amp;", *")/$B24*100</f>
        <v>0</v>
      </c>
      <c r="AB24" s="41">
        <f>COUNTIFS(集計用!$P:$P, "*"&amp;AB$4&amp;",*",集計用!$G:$G,"*, "&amp;$C24&amp;", *")/$B24*100</f>
        <v>0</v>
      </c>
      <c r="AC24" s="41">
        <f>COUNTIFS(集計用!$P:$P, "*"&amp;AC$4&amp;",*",集計用!$G:$G,"*, "&amp;$C24&amp;", *")/$B24*100</f>
        <v>2.7777777777777777</v>
      </c>
      <c r="AD24" s="41">
        <f>COUNTIFS(集計用!$P:$P, "*"&amp;AD$4&amp;",*",集計用!$G:$G,"*, "&amp;$C24&amp;", *")/$B24*100</f>
        <v>0</v>
      </c>
      <c r="AE24" s="41">
        <f>COUNTIFS(集計用!$P:$P, "*"&amp;AE$4&amp;",*",集計用!$G:$G,"*, "&amp;$C24&amp;", *")/$B24*100</f>
        <v>0</v>
      </c>
      <c r="AF24" s="41">
        <f>COUNTIFS(集計用!$P:$P, "*"&amp;AF$4&amp;",*",集計用!$G:$G,"*, "&amp;$C24&amp;", *")/$B24*100</f>
        <v>0</v>
      </c>
      <c r="AG24" s="41">
        <f>COUNTIFS(集計用!$P:$P, "*"&amp;AG$4&amp;",*",集計用!$G:$G,"*, "&amp;$C24&amp;", *")/$B24*100</f>
        <v>0</v>
      </c>
      <c r="AH24" s="41">
        <f>COUNTIFS(集計用!$P:$P, "*"&amp;AH$4&amp;",*",集計用!$G:$G,"*, "&amp;$C24&amp;", *")/$B24*100</f>
        <v>2.7777777777777777</v>
      </c>
      <c r="AI24" s="41">
        <f>COUNTIFS(集計用!$P:$P, "*"&amp;AI$4&amp;",*",集計用!$G:$G,"*, "&amp;$C24&amp;", *")/$B24*100</f>
        <v>2.7777777777777777</v>
      </c>
      <c r="AJ24" s="41">
        <f>COUNTIFS(集計用!$P:$P, "*"&amp;AJ$4&amp;",*",集計用!$G:$G,"*, "&amp;$C24&amp;", *")/$B24*100</f>
        <v>0</v>
      </c>
      <c r="AK24" s="41">
        <f>COUNTIFS(集計用!$P:$P, "*"&amp;AK$4&amp;",*",集計用!$G:$G,"*, "&amp;$C24&amp;", *")/$B24*100</f>
        <v>0</v>
      </c>
      <c r="AL24" s="41">
        <f>COUNTIFS(集計用!$P:$P, "*"&amp;AL$4&amp;",*",集計用!$G:$G,"*, "&amp;$C24&amp;", *")/$B24*100</f>
        <v>0</v>
      </c>
      <c r="AM24" s="41">
        <f>COUNTIFS(集計用!$P:$P, "*"&amp;AM$4&amp;",*",集計用!$G:$G,"*, "&amp;$C24&amp;", *")/$B24*100</f>
        <v>0</v>
      </c>
      <c r="AN24" s="41">
        <f>COUNTIFS(集計用!$P:$P, "*"&amp;AN$4&amp;",*",集計用!$G:$G,"*, "&amp;$C24&amp;", *")/$B24*100</f>
        <v>0</v>
      </c>
      <c r="AO24" s="41">
        <f>COUNTIFS(集計用!$P:$P, "*"&amp;AO$4&amp;",*",集計用!$G:$G,"*, "&amp;$C24&amp;", *")/$B24*100</f>
        <v>0</v>
      </c>
      <c r="AP24" s="41">
        <f>COUNTIFS(集計用!$P:$P, "*"&amp;AP$4&amp;",*",集計用!$G:$G,"*, "&amp;$C24&amp;", *")/$B24*100</f>
        <v>0</v>
      </c>
      <c r="AQ24" s="41">
        <f>COUNTIFS(集計用!$P:$P, "*"&amp;AQ$4&amp;",*",集計用!$G:$G,"*, "&amp;$C24&amp;", *")/$B24*100</f>
        <v>0</v>
      </c>
      <c r="AR24" s="41">
        <f>COUNTIFS(集計用!$P:$P, "*"&amp;AR$4&amp;",*",集計用!$G:$G,"*, "&amp;$C24&amp;", *")/$B24*100</f>
        <v>0</v>
      </c>
      <c r="AS24" s="41">
        <f>COUNTIFS(集計用!$P:$P, "*"&amp;AS$4&amp;",*",集計用!$G:$G,"*, "&amp;$C24&amp;", *")/$B24*100</f>
        <v>0</v>
      </c>
      <c r="AT24" s="41">
        <f>COUNTIFS(集計用!$P:$P, "*"&amp;AT$4&amp;",*",集計用!$G:$G,"*, "&amp;$C24&amp;", *")/$B24*100</f>
        <v>0</v>
      </c>
      <c r="AU24" s="41">
        <f>COUNTIFS(集計用!$P:$P, "*"&amp;AU$4&amp;",*",集計用!$G:$G,"*, "&amp;$C24&amp;", *")/$B24*100</f>
        <v>0</v>
      </c>
      <c r="AV24" s="41">
        <f>COUNTIFS(集計用!$P:$P, "*"&amp;AV$4&amp;",*",集計用!$G:$G,"*, "&amp;$C24&amp;", *")/$B24*100</f>
        <v>0</v>
      </c>
      <c r="AW24" s="41">
        <f>COUNTIFS(集計用!$P:$P, "*"&amp;AW$4&amp;",*",集計用!$G:$G,"*, "&amp;$C24&amp;", *")/$B24*100</f>
        <v>0</v>
      </c>
      <c r="AX24" s="41">
        <f>COUNTIFS(集計用!$P:$P, "*"&amp;AX$4&amp;",*",集計用!$G:$G,"*, "&amp;$C24&amp;", *")/$B24*100</f>
        <v>0</v>
      </c>
      <c r="AY24" s="41">
        <f>COUNTIFS(集計用!$P:$P, "*"&amp;AY$4&amp;",*",集計用!$G:$G,"*, "&amp;$C24&amp;", *")/$B24*100</f>
        <v>0</v>
      </c>
      <c r="AZ24" s="41">
        <f>COUNTIFS(集計用!$P:$P, "*"&amp;AZ$4&amp;",*",集計用!$G:$G,"*, "&amp;$C24&amp;", *")/$B24*100</f>
        <v>0</v>
      </c>
      <c r="BA24" s="41">
        <f>COUNTIFS(集計用!$P:$P, "*"&amp;BA$4&amp;",*",集計用!$G:$G,"*, "&amp;$C24&amp;", *")/$B24*100</f>
        <v>0</v>
      </c>
      <c r="BB24" s="41">
        <f>COUNTIFS(集計用!$P:$P, "*"&amp;BB$4&amp;",*",集計用!$G:$G,"*, "&amp;$C24&amp;", *")/$B24*100</f>
        <v>0</v>
      </c>
      <c r="BC24" s="41">
        <f>COUNTIFS(集計用!$P:$P, "*"&amp;BC$4&amp;",*",集計用!$G:$G,"*, "&amp;$C24&amp;", *")/$B24*100</f>
        <v>0</v>
      </c>
      <c r="BD24" s="41">
        <f>COUNTIFS(集計用!$P:$P, "*"&amp;BD$4&amp;",*",集計用!$G:$G,"*, "&amp;$C24&amp;", *")/$B24*100</f>
        <v>0</v>
      </c>
      <c r="BE24" s="41">
        <f>COUNTIFS(集計用!$P:$P, "*"&amp;BE$4&amp;",*",集計用!$G:$G,"*, "&amp;$C24&amp;", *")/$B24*100</f>
        <v>0</v>
      </c>
      <c r="BF24" s="41">
        <f>COUNTIFS(集計用!$P:$P, "*"&amp;BF$4&amp;",*",集計用!$G:$G,"*, "&amp;$C24&amp;", *")/$B24*100</f>
        <v>0</v>
      </c>
      <c r="BG24" s="41">
        <f>COUNTIFS(集計用!$P:$P, "*"&amp;BG$4&amp;",*",集計用!$G:$G,"*, "&amp;$C24&amp;", *")/$B24*100</f>
        <v>0</v>
      </c>
      <c r="BH24" s="41">
        <f>COUNTIFS(集計用!$P:$P, "*"&amp;BH$4&amp;",*",集計用!$G:$G,"*, "&amp;$C24&amp;", *")/$B24*100</f>
        <v>0</v>
      </c>
      <c r="BI24" s="41">
        <f>COUNTIFS(集計用!$P:$P, "*"&amp;BI$4&amp;",*",集計用!$G:$G,"*, "&amp;$C24&amp;", *")/$B24*100</f>
        <v>0</v>
      </c>
      <c r="BJ24" s="41">
        <f>COUNTIFS(集計用!$P:$P, "*"&amp;BJ$4&amp;",*",集計用!$G:$G,"*, "&amp;$C24&amp;", *")/$B24*100</f>
        <v>0</v>
      </c>
      <c r="BK24" s="41">
        <f>COUNTIFS(集計用!$P:$P, "*"&amp;BK$4&amp;",*",集計用!$G:$G,"*, "&amp;$C24&amp;", *")/$B24*100</f>
        <v>0</v>
      </c>
      <c r="BL24" s="41">
        <f>COUNTIFS(集計用!$P:$P, "*"&amp;BL$4&amp;",*",集計用!$G:$G,"*, "&amp;$C24&amp;", *")/$B24*100</f>
        <v>0</v>
      </c>
      <c r="BM24" s="41">
        <f>COUNTIFS(集計用!$P:$P, "*"&amp;BM$4&amp;",*",集計用!$G:$G,"*, "&amp;$C24&amp;", *")/$B24*100</f>
        <v>0</v>
      </c>
      <c r="BN24" s="41">
        <f>COUNTIFS(集計用!$P:$P, "*"&amp;BN$4&amp;",*",集計用!$G:$G,"*, "&amp;$C24&amp;", *")/$B24*100</f>
        <v>0</v>
      </c>
      <c r="BO24" s="41">
        <f>COUNTIFS(集計用!$P:$P, "*"&amp;BO$4&amp;",*",集計用!$G:$G,"*, "&amp;$C24&amp;", *")/$B24*100</f>
        <v>0</v>
      </c>
      <c r="BP24" s="41">
        <f>COUNTIFS(集計用!$P:$P, "*"&amp;BP$4&amp;",*",集計用!$G:$G,"*, "&amp;$C24&amp;", *")/$B24*100</f>
        <v>0</v>
      </c>
      <c r="BQ24" s="41">
        <f>COUNTIFS(集計用!$P:$P, "*"&amp;BQ$4&amp;",*",集計用!$G:$G,"*, "&amp;$C24&amp;", *")/$B24*100</f>
        <v>0</v>
      </c>
      <c r="BR24" s="41">
        <f>COUNTIFS(集計用!$P:$P, "*"&amp;BR$4&amp;",*",集計用!$G:$G,"*, "&amp;$C24&amp;", *")/$B24*100</f>
        <v>0</v>
      </c>
      <c r="BS24" s="41">
        <f>COUNTIFS(集計用!$P:$P, "*"&amp;BS$4&amp;",*",集計用!$G:$G,"*, "&amp;$C24&amp;", *")/$B24*100</f>
        <v>0</v>
      </c>
      <c r="BT24" s="41">
        <f>COUNTIFS(集計用!$P:$P, "*"&amp;BT$4&amp;",*",集計用!$G:$G,"*, "&amp;$C24&amp;", *")/$B24*100</f>
        <v>0</v>
      </c>
      <c r="BU24" s="41"/>
      <c r="BV24" s="41"/>
      <c r="BW24" s="41"/>
      <c r="BX24" s="41"/>
      <c r="BY24" s="41"/>
      <c r="BZ24" s="41"/>
      <c r="CA24" s="41"/>
      <c r="CB24" s="41"/>
      <c r="CC24" s="41"/>
      <c r="CD24" s="41"/>
      <c r="CE24" s="41"/>
      <c r="CF24" s="41"/>
      <c r="CG24" s="41"/>
      <c r="CH24" s="41"/>
      <c r="CI24" s="41"/>
      <c r="CJ24" s="41"/>
      <c r="CK24" s="41"/>
    </row>
    <row r="25" spans="1:89" ht="12.75">
      <c r="A25" s="39">
        <v>2</v>
      </c>
      <c r="B25" s="39">
        <f>(COUNTIFS(集計用!$G:$G,"*, "&amp;$C25&amp;",*",集計用!$Q:$Q,"&lt;&gt;無回答"))</f>
        <v>34</v>
      </c>
      <c r="C25" s="42" t="s">
        <v>19</v>
      </c>
      <c r="D25" s="41">
        <f>COUNTIFS(集計用!$O:$O, "*, "&amp;D$4&amp;", *",集計用!$G:$G,"*, "&amp;$C25&amp;", *")/$B25*100</f>
        <v>73.529411764705884</v>
      </c>
      <c r="E25" s="41">
        <f>COUNTIFS(集計用!$O:$O, "*, "&amp;E$4&amp;", *",集計用!$G:$G,"*, "&amp;$C25&amp;", *")/$B25*100</f>
        <v>47.058823529411761</v>
      </c>
      <c r="F25" s="41">
        <f>COUNTIFS(集計用!$O:$O, "*, "&amp;F$4&amp;", *",集計用!$G:$G,"*, "&amp;$C25&amp;", *")/$B25*100</f>
        <v>50</v>
      </c>
      <c r="G25" s="41">
        <f>COUNTIFS(集計用!$O:$O, "*, "&amp;G$4&amp;", *",集計用!$G:$G,"*, "&amp;$C25&amp;", *")/$B25*100</f>
        <v>29.411764705882355</v>
      </c>
      <c r="H25" s="41">
        <f>COUNTIFS(集計用!$O:$O, "*, "&amp;H$4&amp;", *",集計用!$G:$G,"*, "&amp;$C25&amp;", *")/$B25*100</f>
        <v>23.52941176470588</v>
      </c>
      <c r="I25" s="41">
        <f>COUNTIFS(集計用!$O:$O, "*, "&amp;I$4&amp;", *",集計用!$G:$G,"*, "&amp;$C25&amp;", *")/$B25*100</f>
        <v>23.52941176470588</v>
      </c>
      <c r="J25" s="41">
        <f>COUNTIFS(集計用!$O:$O, "*, "&amp;J$4&amp;", *",集計用!$G:$G,"*, "&amp;$C25&amp;", *")/$B25*100</f>
        <v>26.47058823529412</v>
      </c>
      <c r="K25" s="41">
        <f>COUNTIFS(集計用!$O:$O, "*, "&amp;K$4&amp;", *",集計用!$G:$G,"*, "&amp;$C25&amp;", *")/$B25*100</f>
        <v>14.705882352941178</v>
      </c>
      <c r="L25" s="41">
        <f>COUNTIFS(集計用!$O:$O, "*, "&amp;L$4&amp;", *",集計用!$G:$G,"*, "&amp;$C25&amp;", *")/$B25*100</f>
        <v>11.76470588235294</v>
      </c>
      <c r="M25" s="41">
        <f>COUNTIFS(集計用!$O:$O, "*, "&amp;M$4&amp;", *",集計用!$G:$G,"*, "&amp;$C25&amp;", *")/$B25*100</f>
        <v>23.52941176470588</v>
      </c>
      <c r="N25" s="41">
        <f>COUNTIFS(集計用!$O:$O, "*, "&amp;N$4&amp;", *",集計用!$G:$G,"*, "&amp;$C25&amp;", *")/$B25*100</f>
        <v>8.8235294117647065</v>
      </c>
      <c r="O25" s="41">
        <f>COUNTIFS(集計用!$O:$O, "*, "&amp;O$4&amp;", *",集計用!$G:$G,"*, "&amp;$C25&amp;", *")/$B25*100</f>
        <v>14.705882352941178</v>
      </c>
      <c r="P25" s="41">
        <f>COUNTIFS(集計用!$O:$O, "*, "&amp;P$4&amp;", *",集計用!$G:$G,"*, "&amp;$C25&amp;", *")/$B25*100</f>
        <v>23.52941176470588</v>
      </c>
      <c r="Q25" s="41">
        <f>COUNTIFS(集計用!$O:$O, "*, "&amp;Q$4&amp;", *",集計用!$G:$G,"*, "&amp;$C25&amp;", *")/$B25*100</f>
        <v>5.8823529411764701</v>
      </c>
      <c r="R25" s="41">
        <f>COUNTIFS(集計用!$O:$O, "*, "&amp;R$4&amp;", *",集計用!$G:$G,"*, "&amp;$C25&amp;", *")/$B25*100</f>
        <v>11.76470588235294</v>
      </c>
      <c r="S25" s="41">
        <f>COUNTIFS(集計用!$O:$O, "*, "&amp;S$4&amp;", *",集計用!$G:$G,"*, "&amp;$C25&amp;", *")/$B25*100</f>
        <v>2.9411764705882351</v>
      </c>
      <c r="T25" s="41">
        <f>COUNTIFS(集計用!$O:$O, "*, "&amp;T$4&amp;", *",集計用!$G:$G,"*, "&amp;$C25&amp;", *")/$B25*100</f>
        <v>5.8823529411764701</v>
      </c>
      <c r="V25" s="41">
        <f>COUNTIFS(集計用!$P:$P, "*"&amp;V$4&amp;",*",集計用!$G:$G,"*, "&amp;$C25&amp;", *")/$B25*100</f>
        <v>0</v>
      </c>
      <c r="W25" s="41">
        <f>COUNTIFS(集計用!$P:$P, "*"&amp;W$4&amp;",*",集計用!$G:$G,"*, "&amp;$C25&amp;", *")/$B25*100</f>
        <v>0</v>
      </c>
      <c r="X25" s="41">
        <f>COUNTIFS(集計用!$P:$P, "*"&amp;X$4&amp;",*",集計用!$G:$G,"*, "&amp;$C25&amp;", *")/$B25*100</f>
        <v>0</v>
      </c>
      <c r="Y25" s="41">
        <f>COUNTIFS(集計用!$P:$P, "*"&amp;Y$4&amp;",*",集計用!$G:$G,"*, "&amp;$C25&amp;", *")/$B25*100</f>
        <v>5.8823529411764701</v>
      </c>
      <c r="Z25" s="41">
        <f>COUNTIFS(集計用!$P:$P, "*"&amp;Z$4&amp;",*",集計用!$G:$G,"*, "&amp;$C25&amp;", *")/$B25*100</f>
        <v>0</v>
      </c>
      <c r="AA25" s="41">
        <f>COUNTIFS(集計用!$P:$P, "*"&amp;AA$4&amp;",*",集計用!$G:$G,"*, "&amp;$C25&amp;", *")/$B25*100</f>
        <v>0</v>
      </c>
      <c r="AB25" s="41">
        <f>COUNTIFS(集計用!$P:$P, "*"&amp;AB$4&amp;",*",集計用!$G:$G,"*, "&amp;$C25&amp;", *")/$B25*100</f>
        <v>0</v>
      </c>
      <c r="AC25" s="41">
        <f>COUNTIFS(集計用!$P:$P, "*"&amp;AC$4&amp;",*",集計用!$G:$G,"*, "&amp;$C25&amp;", *")/$B25*100</f>
        <v>0</v>
      </c>
      <c r="AD25" s="41">
        <f>COUNTIFS(集計用!$P:$P, "*"&amp;AD$4&amp;",*",集計用!$G:$G,"*, "&amp;$C25&amp;", *")/$B25*100</f>
        <v>0</v>
      </c>
      <c r="AE25" s="41">
        <f>COUNTIFS(集計用!$P:$P, "*"&amp;AE$4&amp;",*",集計用!$G:$G,"*, "&amp;$C25&amp;", *")/$B25*100</f>
        <v>0</v>
      </c>
      <c r="AF25" s="41">
        <f>COUNTIFS(集計用!$P:$P, "*"&amp;AF$4&amp;",*",集計用!$G:$G,"*, "&amp;$C25&amp;", *")/$B25*100</f>
        <v>0</v>
      </c>
      <c r="AG25" s="41">
        <f>COUNTIFS(集計用!$P:$P, "*"&amp;AG$4&amp;",*",集計用!$G:$G,"*, "&amp;$C25&amp;", *")/$B25*100</f>
        <v>0</v>
      </c>
      <c r="AH25" s="41">
        <f>COUNTIFS(集計用!$P:$P, "*"&amp;AH$4&amp;",*",集計用!$G:$G,"*, "&amp;$C25&amp;", *")/$B25*100</f>
        <v>0</v>
      </c>
      <c r="AI25" s="41">
        <f>COUNTIFS(集計用!$P:$P, "*"&amp;AI$4&amp;",*",集計用!$G:$G,"*, "&amp;$C25&amp;", *")/$B25*100</f>
        <v>0</v>
      </c>
      <c r="AJ25" s="41">
        <f>COUNTIFS(集計用!$P:$P, "*"&amp;AJ$4&amp;",*",集計用!$G:$G,"*, "&amp;$C25&amp;", *")/$B25*100</f>
        <v>0</v>
      </c>
      <c r="AK25" s="41">
        <f>COUNTIFS(集計用!$P:$P, "*"&amp;AK$4&amp;",*",集計用!$G:$G,"*, "&amp;$C25&amp;", *")/$B25*100</f>
        <v>0</v>
      </c>
      <c r="AL25" s="41">
        <f>COUNTIFS(集計用!$P:$P, "*"&amp;AL$4&amp;",*",集計用!$G:$G,"*, "&amp;$C25&amp;", *")/$B25*100</f>
        <v>0</v>
      </c>
      <c r="AM25" s="41">
        <f>COUNTIFS(集計用!$P:$P, "*"&amp;AM$4&amp;",*",集計用!$G:$G,"*, "&amp;$C25&amp;", *")/$B25*100</f>
        <v>0</v>
      </c>
      <c r="AN25" s="41">
        <f>COUNTIFS(集計用!$P:$P, "*"&amp;AN$4&amp;",*",集計用!$G:$G,"*, "&amp;$C25&amp;", *")/$B25*100</f>
        <v>0</v>
      </c>
      <c r="AO25" s="41">
        <f>COUNTIFS(集計用!$P:$P, "*"&amp;AO$4&amp;",*",集計用!$G:$G,"*, "&amp;$C25&amp;", *")/$B25*100</f>
        <v>0</v>
      </c>
      <c r="AP25" s="41">
        <f>COUNTIFS(集計用!$P:$P, "*"&amp;AP$4&amp;",*",集計用!$G:$G,"*, "&amp;$C25&amp;", *")/$B25*100</f>
        <v>0</v>
      </c>
      <c r="AQ25" s="41">
        <f>COUNTIFS(集計用!$P:$P, "*"&amp;AQ$4&amp;",*",集計用!$G:$G,"*, "&amp;$C25&amp;", *")/$B25*100</f>
        <v>0</v>
      </c>
      <c r="AR25" s="41">
        <f>COUNTIFS(集計用!$P:$P, "*"&amp;AR$4&amp;",*",集計用!$G:$G,"*, "&amp;$C25&amp;", *")/$B25*100</f>
        <v>0</v>
      </c>
      <c r="AS25" s="41">
        <f>COUNTIFS(集計用!$P:$P, "*"&amp;AS$4&amp;",*",集計用!$G:$G,"*, "&amp;$C25&amp;", *")/$B25*100</f>
        <v>0</v>
      </c>
      <c r="AT25" s="41">
        <f>COUNTIFS(集計用!$P:$P, "*"&amp;AT$4&amp;",*",集計用!$G:$G,"*, "&amp;$C25&amp;", *")/$B25*100</f>
        <v>0</v>
      </c>
      <c r="AU25" s="41">
        <f>COUNTIFS(集計用!$P:$P, "*"&amp;AU$4&amp;",*",集計用!$G:$G,"*, "&amp;$C25&amp;", *")/$B25*100</f>
        <v>0</v>
      </c>
      <c r="AV25" s="41">
        <f>COUNTIFS(集計用!$P:$P, "*"&amp;AV$4&amp;",*",集計用!$G:$G,"*, "&amp;$C25&amp;", *")/$B25*100</f>
        <v>0</v>
      </c>
      <c r="AW25" s="41">
        <f>COUNTIFS(集計用!$P:$P, "*"&amp;AW$4&amp;",*",集計用!$G:$G,"*, "&amp;$C25&amp;", *")/$B25*100</f>
        <v>0</v>
      </c>
      <c r="AX25" s="41">
        <f>COUNTIFS(集計用!$P:$P, "*"&amp;AX$4&amp;",*",集計用!$G:$G,"*, "&amp;$C25&amp;", *")/$B25*100</f>
        <v>0</v>
      </c>
      <c r="AY25" s="41">
        <f>COUNTIFS(集計用!$P:$P, "*"&amp;AY$4&amp;",*",集計用!$G:$G,"*, "&amp;$C25&amp;", *")/$B25*100</f>
        <v>0</v>
      </c>
      <c r="AZ25" s="41">
        <f>COUNTIFS(集計用!$P:$P, "*"&amp;AZ$4&amp;",*",集計用!$G:$G,"*, "&amp;$C25&amp;", *")/$B25*100</f>
        <v>0</v>
      </c>
      <c r="BA25" s="41">
        <f>COUNTIFS(集計用!$P:$P, "*"&amp;BA$4&amp;",*",集計用!$G:$G,"*, "&amp;$C25&amp;", *")/$B25*100</f>
        <v>0</v>
      </c>
      <c r="BB25" s="41">
        <f>COUNTIFS(集計用!$P:$P, "*"&amp;BB$4&amp;",*",集計用!$G:$G,"*, "&amp;$C25&amp;", *")/$B25*100</f>
        <v>0</v>
      </c>
      <c r="BC25" s="41">
        <f>COUNTIFS(集計用!$P:$P, "*"&amp;BC$4&amp;",*",集計用!$G:$G,"*, "&amp;$C25&amp;", *")/$B25*100</f>
        <v>0</v>
      </c>
      <c r="BD25" s="41">
        <f>COUNTIFS(集計用!$P:$P, "*"&amp;BD$4&amp;",*",集計用!$G:$G,"*, "&amp;$C25&amp;", *")/$B25*100</f>
        <v>0</v>
      </c>
      <c r="BE25" s="41">
        <f>COUNTIFS(集計用!$P:$P, "*"&amp;BE$4&amp;",*",集計用!$G:$G,"*, "&amp;$C25&amp;", *")/$B25*100</f>
        <v>0</v>
      </c>
      <c r="BF25" s="41">
        <f>COUNTIFS(集計用!$P:$P, "*"&amp;BF$4&amp;",*",集計用!$G:$G,"*, "&amp;$C25&amp;", *")/$B25*100</f>
        <v>0</v>
      </c>
      <c r="BG25" s="41">
        <f>COUNTIFS(集計用!$P:$P, "*"&amp;BG$4&amp;",*",集計用!$G:$G,"*, "&amp;$C25&amp;", *")/$B25*100</f>
        <v>0</v>
      </c>
      <c r="BH25" s="41">
        <f>COUNTIFS(集計用!$P:$P, "*"&amp;BH$4&amp;",*",集計用!$G:$G,"*, "&amp;$C25&amp;", *")/$B25*100</f>
        <v>0</v>
      </c>
      <c r="BI25" s="41">
        <f>COUNTIFS(集計用!$P:$P, "*"&amp;BI$4&amp;",*",集計用!$G:$G,"*, "&amp;$C25&amp;", *")/$B25*100</f>
        <v>0</v>
      </c>
      <c r="BJ25" s="41">
        <f>COUNTIFS(集計用!$P:$P, "*"&amp;BJ$4&amp;",*",集計用!$G:$G,"*, "&amp;$C25&amp;", *")/$B25*100</f>
        <v>0</v>
      </c>
      <c r="BK25" s="41">
        <f>COUNTIFS(集計用!$P:$P, "*"&amp;BK$4&amp;",*",集計用!$G:$G,"*, "&amp;$C25&amp;", *")/$B25*100</f>
        <v>0</v>
      </c>
      <c r="BL25" s="41">
        <f>COUNTIFS(集計用!$P:$P, "*"&amp;BL$4&amp;",*",集計用!$G:$G,"*, "&amp;$C25&amp;", *")/$B25*100</f>
        <v>0</v>
      </c>
      <c r="BM25" s="41">
        <f>COUNTIFS(集計用!$P:$P, "*"&amp;BM$4&amp;",*",集計用!$G:$G,"*, "&amp;$C25&amp;", *")/$B25*100</f>
        <v>0</v>
      </c>
      <c r="BN25" s="41">
        <f>COUNTIFS(集計用!$P:$P, "*"&amp;BN$4&amp;",*",集計用!$G:$G,"*, "&amp;$C25&amp;", *")/$B25*100</f>
        <v>0</v>
      </c>
      <c r="BO25" s="41">
        <f>COUNTIFS(集計用!$P:$P, "*"&amp;BO$4&amp;",*",集計用!$G:$G,"*, "&amp;$C25&amp;", *")/$B25*100</f>
        <v>0</v>
      </c>
      <c r="BP25" s="41">
        <f>COUNTIFS(集計用!$P:$P, "*"&amp;BP$4&amp;",*",集計用!$G:$G,"*, "&amp;$C25&amp;", *")/$B25*100</f>
        <v>0</v>
      </c>
      <c r="BQ25" s="41">
        <f>COUNTIFS(集計用!$P:$P, "*"&amp;BQ$4&amp;",*",集計用!$G:$G,"*, "&amp;$C25&amp;", *")/$B25*100</f>
        <v>0</v>
      </c>
      <c r="BR25" s="41">
        <f>COUNTIFS(集計用!$P:$P, "*"&amp;BR$4&amp;",*",集計用!$G:$G,"*, "&amp;$C25&amp;", *")/$B25*100</f>
        <v>0</v>
      </c>
      <c r="BS25" s="41">
        <f>COUNTIFS(集計用!$P:$P, "*"&amp;BS$4&amp;",*",集計用!$G:$G,"*, "&amp;$C25&amp;", *")/$B25*100</f>
        <v>0</v>
      </c>
      <c r="BT25" s="41">
        <f>COUNTIFS(集計用!$P:$P, "*"&amp;BT$4&amp;",*",集計用!$G:$G,"*, "&amp;$C25&amp;", *")/$B25*100</f>
        <v>0</v>
      </c>
      <c r="BU25" s="41"/>
      <c r="BV25" s="41"/>
      <c r="BW25" s="41"/>
      <c r="BX25" s="41"/>
      <c r="BY25" s="41"/>
      <c r="BZ25" s="41"/>
      <c r="CA25" s="41"/>
      <c r="CB25" s="41"/>
      <c r="CC25" s="41"/>
      <c r="CD25" s="41"/>
      <c r="CE25" s="41"/>
      <c r="CF25" s="41"/>
      <c r="CG25" s="41"/>
      <c r="CH25" s="41"/>
      <c r="CI25" s="41"/>
      <c r="CJ25" s="41"/>
      <c r="CK25" s="41"/>
    </row>
    <row r="26" spans="1:89" ht="12.75">
      <c r="A26" s="39">
        <v>4</v>
      </c>
      <c r="B26" s="39">
        <f>(COUNTIFS(集計用!$G:$G,"*, "&amp;$C26&amp;",*",集計用!$Q:$Q,"&lt;&gt;無回答"))</f>
        <v>26</v>
      </c>
      <c r="C26" s="42" t="s">
        <v>20</v>
      </c>
      <c r="D26" s="41">
        <f>COUNTIFS(集計用!$O:$O, "*, "&amp;D$4&amp;", *",集計用!$G:$G,"*, "&amp;$C26&amp;", *")/$B26*100</f>
        <v>65.384615384615387</v>
      </c>
      <c r="E26" s="41">
        <f>COUNTIFS(集計用!$O:$O, "*, "&amp;E$4&amp;", *",集計用!$G:$G,"*, "&amp;$C26&amp;", *")/$B26*100</f>
        <v>69.230769230769226</v>
      </c>
      <c r="F26" s="41">
        <f>COUNTIFS(集計用!$O:$O, "*, "&amp;F$4&amp;", *",集計用!$G:$G,"*, "&amp;$C26&amp;", *")/$B26*100</f>
        <v>53.846153846153847</v>
      </c>
      <c r="G26" s="41">
        <f>COUNTIFS(集計用!$O:$O, "*, "&amp;G$4&amp;", *",集計用!$G:$G,"*, "&amp;$C26&amp;", *")/$B26*100</f>
        <v>42.307692307692307</v>
      </c>
      <c r="H26" s="41">
        <f>COUNTIFS(集計用!$O:$O, "*, "&amp;H$4&amp;", *",集計用!$G:$G,"*, "&amp;$C26&amp;", *")/$B26*100</f>
        <v>34.615384615384613</v>
      </c>
      <c r="I26" s="41">
        <f>COUNTIFS(集計用!$O:$O, "*, "&amp;I$4&amp;", *",集計用!$G:$G,"*, "&amp;$C26&amp;", *")/$B26*100</f>
        <v>26.923076923076923</v>
      </c>
      <c r="J26" s="41">
        <f>COUNTIFS(集計用!$O:$O, "*, "&amp;J$4&amp;", *",集計用!$G:$G,"*, "&amp;$C26&amp;", *")/$B26*100</f>
        <v>23.076923076923077</v>
      </c>
      <c r="K26" s="41">
        <f>COUNTIFS(集計用!$O:$O, "*, "&amp;K$4&amp;", *",集計用!$G:$G,"*, "&amp;$C26&amp;", *")/$B26*100</f>
        <v>34.615384615384613</v>
      </c>
      <c r="L26" s="41">
        <f>COUNTIFS(集計用!$O:$O, "*, "&amp;L$4&amp;", *",集計用!$G:$G,"*, "&amp;$C26&amp;", *")/$B26*100</f>
        <v>19.230769230769234</v>
      </c>
      <c r="M26" s="41">
        <f>COUNTIFS(集計用!$O:$O, "*, "&amp;M$4&amp;", *",集計用!$G:$G,"*, "&amp;$C26&amp;", *")/$B26*100</f>
        <v>46.153846153846153</v>
      </c>
      <c r="N26" s="41">
        <f>COUNTIFS(集計用!$O:$O, "*, "&amp;N$4&amp;", *",集計用!$G:$G,"*, "&amp;$C26&amp;", *")/$B26*100</f>
        <v>11.538461538461538</v>
      </c>
      <c r="O26" s="41">
        <f>COUNTIFS(集計用!$O:$O, "*, "&amp;O$4&amp;", *",集計用!$G:$G,"*, "&amp;$C26&amp;", *")/$B26*100</f>
        <v>15.384615384615385</v>
      </c>
      <c r="P26" s="41">
        <f>COUNTIFS(集計用!$O:$O, "*, "&amp;P$4&amp;", *",集計用!$G:$G,"*, "&amp;$C26&amp;", *")/$B26*100</f>
        <v>34.615384615384613</v>
      </c>
      <c r="Q26" s="41">
        <f>COUNTIFS(集計用!$O:$O, "*, "&amp;Q$4&amp;", *",集計用!$G:$G,"*, "&amp;$C26&amp;", *")/$B26*100</f>
        <v>7.6923076923076925</v>
      </c>
      <c r="R26" s="41">
        <f>COUNTIFS(集計用!$O:$O, "*, "&amp;R$4&amp;", *",集計用!$G:$G,"*, "&amp;$C26&amp;", *")/$B26*100</f>
        <v>7.6923076923076925</v>
      </c>
      <c r="S26" s="41">
        <f>COUNTIFS(集計用!$O:$O, "*, "&amp;S$4&amp;", *",集計用!$G:$G,"*, "&amp;$C26&amp;", *")/$B26*100</f>
        <v>11.538461538461538</v>
      </c>
      <c r="T26" s="41">
        <f>COUNTIFS(集計用!$O:$O, "*, "&amp;T$4&amp;", *",集計用!$G:$G,"*, "&amp;$C26&amp;", *")/$B26*100</f>
        <v>0</v>
      </c>
      <c r="V26" s="41">
        <f>COUNTIFS(集計用!$P:$P, "*"&amp;V$4&amp;",*",集計用!$G:$G,"*, "&amp;$C26&amp;", *")/$B26*100</f>
        <v>3.8461538461538463</v>
      </c>
      <c r="W26" s="41">
        <f>COUNTIFS(集計用!$P:$P, "*"&amp;W$4&amp;",*",集計用!$G:$G,"*, "&amp;$C26&amp;", *")/$B26*100</f>
        <v>3.8461538461538463</v>
      </c>
      <c r="X26" s="41">
        <f>COUNTIFS(集計用!$P:$P, "*"&amp;X$4&amp;",*",集計用!$G:$G,"*, "&amp;$C26&amp;", *")/$B26*100</f>
        <v>0</v>
      </c>
      <c r="Y26" s="41">
        <f>COUNTIFS(集計用!$P:$P, "*"&amp;Y$4&amp;",*",集計用!$G:$G,"*, "&amp;$C26&amp;", *")/$B26*100</f>
        <v>0</v>
      </c>
      <c r="Z26" s="41">
        <f>COUNTIFS(集計用!$P:$P, "*"&amp;Z$4&amp;",*",集計用!$G:$G,"*, "&amp;$C26&amp;", *")/$B26*100</f>
        <v>0</v>
      </c>
      <c r="AA26" s="41">
        <f>COUNTIFS(集計用!$P:$P, "*"&amp;AA$4&amp;",*",集計用!$G:$G,"*, "&amp;$C26&amp;", *")/$B26*100</f>
        <v>0</v>
      </c>
      <c r="AB26" s="41">
        <f>COUNTIFS(集計用!$P:$P, "*"&amp;AB$4&amp;",*",集計用!$G:$G,"*, "&amp;$C26&amp;", *")/$B26*100</f>
        <v>0</v>
      </c>
      <c r="AC26" s="41">
        <f>COUNTIFS(集計用!$P:$P, "*"&amp;AC$4&amp;",*",集計用!$G:$G,"*, "&amp;$C26&amp;", *")/$B26*100</f>
        <v>0</v>
      </c>
      <c r="AD26" s="41">
        <f>COUNTIFS(集計用!$P:$P, "*"&amp;AD$4&amp;",*",集計用!$G:$G,"*, "&amp;$C26&amp;", *")/$B26*100</f>
        <v>0</v>
      </c>
      <c r="AE26" s="41">
        <f>COUNTIFS(集計用!$P:$P, "*"&amp;AE$4&amp;",*",集計用!$G:$G,"*, "&amp;$C26&amp;", *")/$B26*100</f>
        <v>0</v>
      </c>
      <c r="AF26" s="41">
        <f>COUNTIFS(集計用!$P:$P, "*"&amp;AF$4&amp;",*",集計用!$G:$G,"*, "&amp;$C26&amp;", *")/$B26*100</f>
        <v>0</v>
      </c>
      <c r="AG26" s="41">
        <f>COUNTIFS(集計用!$P:$P, "*"&amp;AG$4&amp;",*",集計用!$G:$G,"*, "&amp;$C26&amp;", *")/$B26*100</f>
        <v>0</v>
      </c>
      <c r="AH26" s="41">
        <f>COUNTIFS(集計用!$P:$P, "*"&amp;AH$4&amp;",*",集計用!$G:$G,"*, "&amp;$C26&amp;", *")/$B26*100</f>
        <v>0</v>
      </c>
      <c r="AI26" s="41">
        <f>COUNTIFS(集計用!$P:$P, "*"&amp;AI$4&amp;",*",集計用!$G:$G,"*, "&amp;$C26&amp;", *")/$B26*100</f>
        <v>0</v>
      </c>
      <c r="AJ26" s="41">
        <f>COUNTIFS(集計用!$P:$P, "*"&amp;AJ$4&amp;",*",集計用!$G:$G,"*, "&amp;$C26&amp;", *")/$B26*100</f>
        <v>0</v>
      </c>
      <c r="AK26" s="41">
        <f>COUNTIFS(集計用!$P:$P, "*"&amp;AK$4&amp;",*",集計用!$G:$G,"*, "&amp;$C26&amp;", *")/$B26*100</f>
        <v>0</v>
      </c>
      <c r="AL26" s="41">
        <f>COUNTIFS(集計用!$P:$P, "*"&amp;AL$4&amp;",*",集計用!$G:$G,"*, "&amp;$C26&amp;", *")/$B26*100</f>
        <v>0</v>
      </c>
      <c r="AM26" s="41">
        <f>COUNTIFS(集計用!$P:$P, "*"&amp;AM$4&amp;",*",集計用!$G:$G,"*, "&amp;$C26&amp;", *")/$B26*100</f>
        <v>0</v>
      </c>
      <c r="AN26" s="41">
        <f>COUNTIFS(集計用!$P:$P, "*"&amp;AN$4&amp;",*",集計用!$G:$G,"*, "&amp;$C26&amp;", *")/$B26*100</f>
        <v>0</v>
      </c>
      <c r="AO26" s="41">
        <f>COUNTIFS(集計用!$P:$P, "*"&amp;AO$4&amp;",*",集計用!$G:$G,"*, "&amp;$C26&amp;", *")/$B26*100</f>
        <v>0</v>
      </c>
      <c r="AP26" s="41">
        <f>COUNTIFS(集計用!$P:$P, "*"&amp;AP$4&amp;",*",集計用!$G:$G,"*, "&amp;$C26&amp;", *")/$B26*100</f>
        <v>0</v>
      </c>
      <c r="AQ26" s="41">
        <f>COUNTIFS(集計用!$P:$P, "*"&amp;AQ$4&amp;",*",集計用!$G:$G,"*, "&amp;$C26&amp;", *")/$B26*100</f>
        <v>0</v>
      </c>
      <c r="AR26" s="41">
        <f>COUNTIFS(集計用!$P:$P, "*"&amp;AR$4&amp;",*",集計用!$G:$G,"*, "&amp;$C26&amp;", *")/$B26*100</f>
        <v>0</v>
      </c>
      <c r="AS26" s="41">
        <f>COUNTIFS(集計用!$P:$P, "*"&amp;AS$4&amp;",*",集計用!$G:$G,"*, "&amp;$C26&amp;", *")/$B26*100</f>
        <v>0</v>
      </c>
      <c r="AT26" s="41">
        <f>COUNTIFS(集計用!$P:$P, "*"&amp;AT$4&amp;",*",集計用!$G:$G,"*, "&amp;$C26&amp;", *")/$B26*100</f>
        <v>0</v>
      </c>
      <c r="AU26" s="41">
        <f>COUNTIFS(集計用!$P:$P, "*"&amp;AU$4&amp;",*",集計用!$G:$G,"*, "&amp;$C26&amp;", *")/$B26*100</f>
        <v>0</v>
      </c>
      <c r="AV26" s="41">
        <f>COUNTIFS(集計用!$P:$P, "*"&amp;AV$4&amp;",*",集計用!$G:$G,"*, "&amp;$C26&amp;", *")/$B26*100</f>
        <v>0</v>
      </c>
      <c r="AW26" s="41">
        <f>COUNTIFS(集計用!$P:$P, "*"&amp;AW$4&amp;",*",集計用!$G:$G,"*, "&amp;$C26&amp;", *")/$B26*100</f>
        <v>0</v>
      </c>
      <c r="AX26" s="41">
        <f>COUNTIFS(集計用!$P:$P, "*"&amp;AX$4&amp;",*",集計用!$G:$G,"*, "&amp;$C26&amp;", *")/$B26*100</f>
        <v>0</v>
      </c>
      <c r="AY26" s="41">
        <f>COUNTIFS(集計用!$P:$P, "*"&amp;AY$4&amp;",*",集計用!$G:$G,"*, "&amp;$C26&amp;", *")/$B26*100</f>
        <v>0</v>
      </c>
      <c r="AZ26" s="41">
        <f>COUNTIFS(集計用!$P:$P, "*"&amp;AZ$4&amp;",*",集計用!$G:$G,"*, "&amp;$C26&amp;", *")/$B26*100</f>
        <v>0</v>
      </c>
      <c r="BA26" s="41">
        <f>COUNTIFS(集計用!$P:$P, "*"&amp;BA$4&amp;",*",集計用!$G:$G,"*, "&amp;$C26&amp;", *")/$B26*100</f>
        <v>0</v>
      </c>
      <c r="BB26" s="41">
        <f>COUNTIFS(集計用!$P:$P, "*"&amp;BB$4&amp;",*",集計用!$G:$G,"*, "&amp;$C26&amp;", *")/$B26*100</f>
        <v>0</v>
      </c>
      <c r="BC26" s="41">
        <f>COUNTIFS(集計用!$P:$P, "*"&amp;BC$4&amp;",*",集計用!$G:$G,"*, "&amp;$C26&amp;", *")/$B26*100</f>
        <v>3.8461538461538463</v>
      </c>
      <c r="BD26" s="41">
        <f>COUNTIFS(集計用!$P:$P, "*"&amp;BD$4&amp;",*",集計用!$G:$G,"*, "&amp;$C26&amp;", *")/$B26*100</f>
        <v>0</v>
      </c>
      <c r="BE26" s="41">
        <f>COUNTIFS(集計用!$P:$P, "*"&amp;BE$4&amp;",*",集計用!$G:$G,"*, "&amp;$C26&amp;", *")/$B26*100</f>
        <v>0</v>
      </c>
      <c r="BF26" s="41">
        <f>COUNTIFS(集計用!$P:$P, "*"&amp;BF$4&amp;",*",集計用!$G:$G,"*, "&amp;$C26&amp;", *")/$B26*100</f>
        <v>0</v>
      </c>
      <c r="BG26" s="41">
        <f>COUNTIFS(集計用!$P:$P, "*"&amp;BG$4&amp;",*",集計用!$G:$G,"*, "&amp;$C26&amp;", *")/$B26*100</f>
        <v>0</v>
      </c>
      <c r="BH26" s="41">
        <f>COUNTIFS(集計用!$P:$P, "*"&amp;BH$4&amp;",*",集計用!$G:$G,"*, "&amp;$C26&amp;", *")/$B26*100</f>
        <v>0</v>
      </c>
      <c r="BI26" s="41">
        <f>COUNTIFS(集計用!$P:$P, "*"&amp;BI$4&amp;",*",集計用!$G:$G,"*, "&amp;$C26&amp;", *")/$B26*100</f>
        <v>0</v>
      </c>
      <c r="BJ26" s="41">
        <f>COUNTIFS(集計用!$P:$P, "*"&amp;BJ$4&amp;",*",集計用!$G:$G,"*, "&amp;$C26&amp;", *")/$B26*100</f>
        <v>0</v>
      </c>
      <c r="BK26" s="41">
        <f>COUNTIFS(集計用!$P:$P, "*"&amp;BK$4&amp;",*",集計用!$G:$G,"*, "&amp;$C26&amp;", *")/$B26*100</f>
        <v>0</v>
      </c>
      <c r="BL26" s="41">
        <f>COUNTIFS(集計用!$P:$P, "*"&amp;BL$4&amp;",*",集計用!$G:$G,"*, "&amp;$C26&amp;", *")/$B26*100</f>
        <v>0</v>
      </c>
      <c r="BM26" s="41">
        <f>COUNTIFS(集計用!$P:$P, "*"&amp;BM$4&amp;",*",集計用!$G:$G,"*, "&amp;$C26&amp;", *")/$B26*100</f>
        <v>0</v>
      </c>
      <c r="BN26" s="41">
        <f>COUNTIFS(集計用!$P:$P, "*"&amp;BN$4&amp;",*",集計用!$G:$G,"*, "&amp;$C26&amp;", *")/$B26*100</f>
        <v>0</v>
      </c>
      <c r="BO26" s="41">
        <f>COUNTIFS(集計用!$P:$P, "*"&amp;BO$4&amp;",*",集計用!$G:$G,"*, "&amp;$C26&amp;", *")/$B26*100</f>
        <v>0</v>
      </c>
      <c r="BP26" s="41">
        <f>COUNTIFS(集計用!$P:$P, "*"&amp;BP$4&amp;",*",集計用!$G:$G,"*, "&amp;$C26&amp;", *")/$B26*100</f>
        <v>0</v>
      </c>
      <c r="BQ26" s="41">
        <f>COUNTIFS(集計用!$P:$P, "*"&amp;BQ$4&amp;",*",集計用!$G:$G,"*, "&amp;$C26&amp;", *")/$B26*100</f>
        <v>0</v>
      </c>
      <c r="BR26" s="41">
        <f>COUNTIFS(集計用!$P:$P, "*"&amp;BR$4&amp;",*",集計用!$G:$G,"*, "&amp;$C26&amp;", *")/$B26*100</f>
        <v>0</v>
      </c>
      <c r="BS26" s="41">
        <f>COUNTIFS(集計用!$P:$P, "*"&amp;BS$4&amp;",*",集計用!$G:$G,"*, "&amp;$C26&amp;", *")/$B26*100</f>
        <v>0</v>
      </c>
      <c r="BT26" s="41">
        <f>COUNTIFS(集計用!$P:$P, "*"&amp;BT$4&amp;",*",集計用!$G:$G,"*, "&amp;$C26&amp;", *")/$B26*100</f>
        <v>0</v>
      </c>
      <c r="BU26" s="41"/>
      <c r="BV26" s="41"/>
      <c r="BW26" s="41"/>
      <c r="BX26" s="41"/>
      <c r="BY26" s="41"/>
      <c r="BZ26" s="41"/>
      <c r="CA26" s="41"/>
      <c r="CB26" s="41"/>
      <c r="CC26" s="41"/>
      <c r="CD26" s="41"/>
      <c r="CE26" s="41"/>
      <c r="CF26" s="41"/>
      <c r="CG26" s="41"/>
      <c r="CH26" s="41"/>
      <c r="CI26" s="41"/>
      <c r="CJ26" s="41"/>
      <c r="CK26" s="41"/>
    </row>
    <row r="27" spans="1:89" ht="12.75">
      <c r="A27" s="39">
        <v>4</v>
      </c>
      <c r="B27" s="39">
        <f>(COUNTIFS(集計用!$G:$G,"*, "&amp;$C27&amp;",*",集計用!$Q:$Q,"&lt;&gt;無回答"))</f>
        <v>25</v>
      </c>
      <c r="C27" s="42" t="s">
        <v>23</v>
      </c>
      <c r="D27" s="41">
        <f>COUNTIFS(集計用!$O:$O, "*, "&amp;D$4&amp;", *",集計用!$G:$G,"*, "&amp;$C27&amp;", *")/$B27*100</f>
        <v>76</v>
      </c>
      <c r="E27" s="41">
        <f>COUNTIFS(集計用!$O:$O, "*, "&amp;E$4&amp;", *",集計用!$G:$G,"*, "&amp;$C27&amp;", *")/$B27*100</f>
        <v>56.000000000000007</v>
      </c>
      <c r="F27" s="41">
        <f>COUNTIFS(集計用!$O:$O, "*, "&amp;F$4&amp;", *",集計用!$G:$G,"*, "&amp;$C27&amp;", *")/$B27*100</f>
        <v>48</v>
      </c>
      <c r="G27" s="41">
        <f>COUNTIFS(集計用!$O:$O, "*, "&amp;G$4&amp;", *",集計用!$G:$G,"*, "&amp;$C27&amp;", *")/$B27*100</f>
        <v>28.000000000000004</v>
      </c>
      <c r="H27" s="41">
        <f>COUNTIFS(集計用!$O:$O, "*, "&amp;H$4&amp;", *",集計用!$G:$G,"*, "&amp;$C27&amp;", *")/$B27*100</f>
        <v>20</v>
      </c>
      <c r="I27" s="41">
        <f>COUNTIFS(集計用!$O:$O, "*, "&amp;I$4&amp;", *",集計用!$G:$G,"*, "&amp;$C27&amp;", *")/$B27*100</f>
        <v>36</v>
      </c>
      <c r="J27" s="41">
        <f>COUNTIFS(集計用!$O:$O, "*, "&amp;J$4&amp;", *",集計用!$G:$G,"*, "&amp;$C27&amp;", *")/$B27*100</f>
        <v>8</v>
      </c>
      <c r="K27" s="41">
        <f>COUNTIFS(集計用!$O:$O, "*, "&amp;K$4&amp;", *",集計用!$G:$G,"*, "&amp;$C27&amp;", *")/$B27*100</f>
        <v>20</v>
      </c>
      <c r="L27" s="41">
        <f>COUNTIFS(集計用!$O:$O, "*, "&amp;L$4&amp;", *",集計用!$G:$G,"*, "&amp;$C27&amp;", *")/$B27*100</f>
        <v>16</v>
      </c>
      <c r="M27" s="41">
        <f>COUNTIFS(集計用!$O:$O, "*, "&amp;M$4&amp;", *",集計用!$G:$G,"*, "&amp;$C27&amp;", *")/$B27*100</f>
        <v>20</v>
      </c>
      <c r="N27" s="41">
        <f>COUNTIFS(集計用!$O:$O, "*, "&amp;N$4&amp;", *",集計用!$G:$G,"*, "&amp;$C27&amp;", *")/$B27*100</f>
        <v>16</v>
      </c>
      <c r="O27" s="41">
        <f>COUNTIFS(集計用!$O:$O, "*, "&amp;O$4&amp;", *",集計用!$G:$G,"*, "&amp;$C27&amp;", *")/$B27*100</f>
        <v>12</v>
      </c>
      <c r="P27" s="41">
        <f>COUNTIFS(集計用!$O:$O, "*, "&amp;P$4&amp;", *",集計用!$G:$G,"*, "&amp;$C27&amp;", *")/$B27*100</f>
        <v>16</v>
      </c>
      <c r="Q27" s="41">
        <f>COUNTIFS(集計用!$O:$O, "*, "&amp;Q$4&amp;", *",集計用!$G:$G,"*, "&amp;$C27&amp;", *")/$B27*100</f>
        <v>4</v>
      </c>
      <c r="R27" s="41">
        <f>COUNTIFS(集計用!$O:$O, "*, "&amp;R$4&amp;", *",集計用!$G:$G,"*, "&amp;$C27&amp;", *")/$B27*100</f>
        <v>8</v>
      </c>
      <c r="S27" s="41">
        <f>COUNTIFS(集計用!$O:$O, "*, "&amp;S$4&amp;", *",集計用!$G:$G,"*, "&amp;$C27&amp;", *")/$B27*100</f>
        <v>8</v>
      </c>
      <c r="T27" s="41">
        <f>COUNTIFS(集計用!$O:$O, "*, "&amp;T$4&amp;", *",集計用!$G:$G,"*, "&amp;$C27&amp;", *")/$B27*100</f>
        <v>0</v>
      </c>
      <c r="V27" s="41">
        <f>COUNTIFS(集計用!$P:$P, "*"&amp;V$4&amp;",*",集計用!$G:$G,"*, "&amp;$C27&amp;", *")/$B27*100</f>
        <v>4</v>
      </c>
      <c r="W27" s="41">
        <f>COUNTIFS(集計用!$P:$P, "*"&amp;W$4&amp;",*",集計用!$G:$G,"*, "&amp;$C27&amp;", *")/$B27*100</f>
        <v>0</v>
      </c>
      <c r="X27" s="41">
        <f>COUNTIFS(集計用!$P:$P, "*"&amp;X$4&amp;",*",集計用!$G:$G,"*, "&amp;$C27&amp;", *")/$B27*100</f>
        <v>4</v>
      </c>
      <c r="Y27" s="41">
        <f>COUNTIFS(集計用!$P:$P, "*"&amp;Y$4&amp;",*",集計用!$G:$G,"*, "&amp;$C27&amp;", *")/$B27*100</f>
        <v>0</v>
      </c>
      <c r="Z27" s="41">
        <f>COUNTIFS(集計用!$P:$P, "*"&amp;Z$4&amp;",*",集計用!$G:$G,"*, "&amp;$C27&amp;", *")/$B27*100</f>
        <v>0</v>
      </c>
      <c r="AA27" s="41">
        <f>COUNTIFS(集計用!$P:$P, "*"&amp;AA$4&amp;",*",集計用!$G:$G,"*, "&amp;$C27&amp;", *")/$B27*100</f>
        <v>0</v>
      </c>
      <c r="AB27" s="41">
        <f>COUNTIFS(集計用!$P:$P, "*"&amp;AB$4&amp;",*",集計用!$G:$G,"*, "&amp;$C27&amp;", *")/$B27*100</f>
        <v>0</v>
      </c>
      <c r="AC27" s="41">
        <f>COUNTIFS(集計用!$P:$P, "*"&amp;AC$4&amp;",*",集計用!$G:$G,"*, "&amp;$C27&amp;", *")/$B27*100</f>
        <v>0</v>
      </c>
      <c r="AD27" s="41">
        <f>COUNTIFS(集計用!$P:$P, "*"&amp;AD$4&amp;",*",集計用!$G:$G,"*, "&amp;$C27&amp;", *")/$B27*100</f>
        <v>0</v>
      </c>
      <c r="AE27" s="41">
        <f>COUNTIFS(集計用!$P:$P, "*"&amp;AE$4&amp;",*",集計用!$G:$G,"*, "&amp;$C27&amp;", *")/$B27*100</f>
        <v>0</v>
      </c>
      <c r="AF27" s="41">
        <f>COUNTIFS(集計用!$P:$P, "*"&amp;AF$4&amp;",*",集計用!$G:$G,"*, "&amp;$C27&amp;", *")/$B27*100</f>
        <v>0</v>
      </c>
      <c r="AG27" s="41">
        <f>COUNTIFS(集計用!$P:$P, "*"&amp;AG$4&amp;",*",集計用!$G:$G,"*, "&amp;$C27&amp;", *")/$B27*100</f>
        <v>4</v>
      </c>
      <c r="AH27" s="41">
        <f>COUNTIFS(集計用!$P:$P, "*"&amp;AH$4&amp;",*",集計用!$G:$G,"*, "&amp;$C27&amp;", *")/$B27*100</f>
        <v>0</v>
      </c>
      <c r="AI27" s="41">
        <f>COUNTIFS(集計用!$P:$P, "*"&amp;AI$4&amp;",*",集計用!$G:$G,"*, "&amp;$C27&amp;", *")/$B27*100</f>
        <v>0</v>
      </c>
      <c r="AJ27" s="41">
        <f>COUNTIFS(集計用!$P:$P, "*"&amp;AJ$4&amp;",*",集計用!$G:$G,"*, "&amp;$C27&amp;", *")/$B27*100</f>
        <v>0</v>
      </c>
      <c r="AK27" s="41">
        <f>COUNTIFS(集計用!$P:$P, "*"&amp;AK$4&amp;",*",集計用!$G:$G,"*, "&amp;$C27&amp;", *")/$B27*100</f>
        <v>0</v>
      </c>
      <c r="AL27" s="41">
        <f>COUNTIFS(集計用!$P:$P, "*"&amp;AL$4&amp;",*",集計用!$G:$G,"*, "&amp;$C27&amp;", *")/$B27*100</f>
        <v>0</v>
      </c>
      <c r="AM27" s="41">
        <f>COUNTIFS(集計用!$P:$P, "*"&amp;AM$4&amp;",*",集計用!$G:$G,"*, "&amp;$C27&amp;", *")/$B27*100</f>
        <v>0</v>
      </c>
      <c r="AN27" s="41">
        <f>COUNTIFS(集計用!$P:$P, "*"&amp;AN$4&amp;",*",集計用!$G:$G,"*, "&amp;$C27&amp;", *")/$B27*100</f>
        <v>0</v>
      </c>
      <c r="AO27" s="41">
        <f>COUNTIFS(集計用!$P:$P, "*"&amp;AO$4&amp;",*",集計用!$G:$G,"*, "&amp;$C27&amp;", *")/$B27*100</f>
        <v>0</v>
      </c>
      <c r="AP27" s="41">
        <f>COUNTIFS(集計用!$P:$P, "*"&amp;AP$4&amp;",*",集計用!$G:$G,"*, "&amp;$C27&amp;", *")/$B27*100</f>
        <v>0</v>
      </c>
      <c r="AQ27" s="41">
        <f>COUNTIFS(集計用!$P:$P, "*"&amp;AQ$4&amp;",*",集計用!$G:$G,"*, "&amp;$C27&amp;", *")/$B27*100</f>
        <v>0</v>
      </c>
      <c r="AR27" s="41">
        <f>COUNTIFS(集計用!$P:$P, "*"&amp;AR$4&amp;",*",集計用!$G:$G,"*, "&amp;$C27&amp;", *")/$B27*100</f>
        <v>0</v>
      </c>
      <c r="AS27" s="41">
        <f>COUNTIFS(集計用!$P:$P, "*"&amp;AS$4&amp;",*",集計用!$G:$G,"*, "&amp;$C27&amp;", *")/$B27*100</f>
        <v>0</v>
      </c>
      <c r="AT27" s="41">
        <f>COUNTIFS(集計用!$P:$P, "*"&amp;AT$4&amp;",*",集計用!$G:$G,"*, "&amp;$C27&amp;", *")/$B27*100</f>
        <v>0</v>
      </c>
      <c r="AU27" s="41">
        <f>COUNTIFS(集計用!$P:$P, "*"&amp;AU$4&amp;",*",集計用!$G:$G,"*, "&amp;$C27&amp;", *")/$B27*100</f>
        <v>0</v>
      </c>
      <c r="AV27" s="41">
        <f>COUNTIFS(集計用!$P:$P, "*"&amp;AV$4&amp;",*",集計用!$G:$G,"*, "&amp;$C27&amp;", *")/$B27*100</f>
        <v>0</v>
      </c>
      <c r="AW27" s="41">
        <f>COUNTIFS(集計用!$P:$P, "*"&amp;AW$4&amp;",*",集計用!$G:$G,"*, "&amp;$C27&amp;", *")/$B27*100</f>
        <v>0</v>
      </c>
      <c r="AX27" s="41">
        <f>COUNTIFS(集計用!$P:$P, "*"&amp;AX$4&amp;",*",集計用!$G:$G,"*, "&amp;$C27&amp;", *")/$B27*100</f>
        <v>0</v>
      </c>
      <c r="AY27" s="41">
        <f>COUNTIFS(集計用!$P:$P, "*"&amp;AY$4&amp;",*",集計用!$G:$G,"*, "&amp;$C27&amp;", *")/$B27*100</f>
        <v>0</v>
      </c>
      <c r="AZ27" s="41">
        <f>COUNTIFS(集計用!$P:$P, "*"&amp;AZ$4&amp;",*",集計用!$G:$G,"*, "&amp;$C27&amp;", *")/$B27*100</f>
        <v>0</v>
      </c>
      <c r="BA27" s="41">
        <f>COUNTIFS(集計用!$P:$P, "*"&amp;BA$4&amp;",*",集計用!$G:$G,"*, "&amp;$C27&amp;", *")/$B27*100</f>
        <v>0</v>
      </c>
      <c r="BB27" s="41">
        <f>COUNTIFS(集計用!$P:$P, "*"&amp;BB$4&amp;",*",集計用!$G:$G,"*, "&amp;$C27&amp;", *")/$B27*100</f>
        <v>0</v>
      </c>
      <c r="BC27" s="41">
        <f>COUNTIFS(集計用!$P:$P, "*"&amp;BC$4&amp;",*",集計用!$G:$G,"*, "&amp;$C27&amp;", *")/$B27*100</f>
        <v>0</v>
      </c>
      <c r="BD27" s="41">
        <f>COUNTIFS(集計用!$P:$P, "*"&amp;BD$4&amp;",*",集計用!$G:$G,"*, "&amp;$C27&amp;", *")/$B27*100</f>
        <v>0</v>
      </c>
      <c r="BE27" s="41">
        <f>COUNTIFS(集計用!$P:$P, "*"&amp;BE$4&amp;",*",集計用!$G:$G,"*, "&amp;$C27&amp;", *")/$B27*100</f>
        <v>0</v>
      </c>
      <c r="BF27" s="41">
        <f>COUNTIFS(集計用!$P:$P, "*"&amp;BF$4&amp;",*",集計用!$G:$G,"*, "&amp;$C27&amp;", *")/$B27*100</f>
        <v>0</v>
      </c>
      <c r="BG27" s="41">
        <f>COUNTIFS(集計用!$P:$P, "*"&amp;BG$4&amp;",*",集計用!$G:$G,"*, "&amp;$C27&amp;", *")/$B27*100</f>
        <v>0</v>
      </c>
      <c r="BH27" s="41">
        <f>COUNTIFS(集計用!$P:$P, "*"&amp;BH$4&amp;",*",集計用!$G:$G,"*, "&amp;$C27&amp;", *")/$B27*100</f>
        <v>0</v>
      </c>
      <c r="BI27" s="41">
        <f>COUNTIFS(集計用!$P:$P, "*"&amp;BI$4&amp;",*",集計用!$G:$G,"*, "&amp;$C27&amp;", *")/$B27*100</f>
        <v>0</v>
      </c>
      <c r="BJ27" s="41">
        <f>COUNTIFS(集計用!$P:$P, "*"&amp;BJ$4&amp;",*",集計用!$G:$G,"*, "&amp;$C27&amp;", *")/$B27*100</f>
        <v>0</v>
      </c>
      <c r="BK27" s="41">
        <f>COUNTIFS(集計用!$P:$P, "*"&amp;BK$4&amp;",*",集計用!$G:$G,"*, "&amp;$C27&amp;", *")/$B27*100</f>
        <v>0</v>
      </c>
      <c r="BL27" s="41">
        <f>COUNTIFS(集計用!$P:$P, "*"&amp;BL$4&amp;",*",集計用!$G:$G,"*, "&amp;$C27&amp;", *")/$B27*100</f>
        <v>0</v>
      </c>
      <c r="BM27" s="41">
        <f>COUNTIFS(集計用!$P:$P, "*"&amp;BM$4&amp;",*",集計用!$G:$G,"*, "&amp;$C27&amp;", *")/$B27*100</f>
        <v>4</v>
      </c>
      <c r="BN27" s="41">
        <f>COUNTIFS(集計用!$P:$P, "*"&amp;BN$4&amp;",*",集計用!$G:$G,"*, "&amp;$C27&amp;", *")/$B27*100</f>
        <v>0</v>
      </c>
      <c r="BO27" s="41">
        <f>COUNTIFS(集計用!$P:$P, "*"&amp;BO$4&amp;",*",集計用!$G:$G,"*, "&amp;$C27&amp;", *")/$B27*100</f>
        <v>4</v>
      </c>
      <c r="BP27" s="41">
        <f>COUNTIFS(集計用!$P:$P, "*"&amp;BP$4&amp;",*",集計用!$G:$G,"*, "&amp;$C27&amp;", *")/$B27*100</f>
        <v>0</v>
      </c>
      <c r="BQ27" s="41">
        <f>COUNTIFS(集計用!$P:$P, "*"&amp;BQ$4&amp;",*",集計用!$G:$G,"*, "&amp;$C27&amp;", *")/$B27*100</f>
        <v>0</v>
      </c>
      <c r="BR27" s="41">
        <f>COUNTIFS(集計用!$P:$P, "*"&amp;BR$4&amp;",*",集計用!$G:$G,"*, "&amp;$C27&amp;", *")/$B27*100</f>
        <v>0</v>
      </c>
      <c r="BS27" s="41">
        <f>COUNTIFS(集計用!$P:$P, "*"&amp;BS$4&amp;",*",集計用!$G:$G,"*, "&amp;$C27&amp;", *")/$B27*100</f>
        <v>0</v>
      </c>
      <c r="BT27" s="41">
        <f>COUNTIFS(集計用!$P:$P, "*"&amp;BT$4&amp;",*",集計用!$G:$G,"*, "&amp;$C27&amp;", *")/$B27*100</f>
        <v>0</v>
      </c>
      <c r="BU27" s="41"/>
      <c r="BV27" s="41"/>
      <c r="BW27" s="41"/>
      <c r="BX27" s="41"/>
      <c r="BY27" s="41"/>
      <c r="BZ27" s="41"/>
      <c r="CA27" s="41"/>
      <c r="CB27" s="41"/>
      <c r="CC27" s="41"/>
      <c r="CD27" s="41"/>
      <c r="CE27" s="41"/>
      <c r="CF27" s="41"/>
      <c r="CG27" s="41"/>
      <c r="CH27" s="41"/>
      <c r="CI27" s="41"/>
      <c r="CJ27" s="41"/>
      <c r="CK27" s="41"/>
    </row>
    <row r="28" spans="1:89" ht="15.75" customHeight="1">
      <c r="A28" s="39">
        <v>5</v>
      </c>
      <c r="B28" s="39">
        <f>(COUNTIFS(集計用!$G:$G,"*, "&amp;$C28&amp;",*",集計用!$Q:$Q,"&lt;&gt;無回答"))</f>
        <v>25</v>
      </c>
      <c r="C28" s="42" t="s">
        <v>22</v>
      </c>
      <c r="D28" s="41">
        <f>COUNTIFS(集計用!$O:$O, "*, "&amp;D$4&amp;", *",集計用!$G:$G,"*, "&amp;$C28&amp;", *")/$B28*100</f>
        <v>72</v>
      </c>
      <c r="E28" s="41">
        <f>COUNTIFS(集計用!$O:$O, "*, "&amp;E$4&amp;", *",集計用!$G:$G,"*, "&amp;$C28&amp;", *")/$B28*100</f>
        <v>40</v>
      </c>
      <c r="F28" s="41">
        <f>COUNTIFS(集計用!$O:$O, "*, "&amp;F$4&amp;", *",集計用!$G:$G,"*, "&amp;$C28&amp;", *")/$B28*100</f>
        <v>56.000000000000007</v>
      </c>
      <c r="G28" s="41">
        <f>COUNTIFS(集計用!$O:$O, "*, "&amp;G$4&amp;", *",集計用!$G:$G,"*, "&amp;$C28&amp;", *")/$B28*100</f>
        <v>44</v>
      </c>
      <c r="H28" s="41">
        <f>COUNTIFS(集計用!$O:$O, "*, "&amp;H$4&amp;", *",集計用!$G:$G,"*, "&amp;$C28&amp;", *")/$B28*100</f>
        <v>32</v>
      </c>
      <c r="I28" s="41">
        <f>COUNTIFS(集計用!$O:$O, "*, "&amp;I$4&amp;", *",集計用!$G:$G,"*, "&amp;$C28&amp;", *")/$B28*100</f>
        <v>40</v>
      </c>
      <c r="J28" s="41">
        <f>COUNTIFS(集計用!$O:$O, "*, "&amp;J$4&amp;", *",集計用!$G:$G,"*, "&amp;$C28&amp;", *")/$B28*100</f>
        <v>16</v>
      </c>
      <c r="K28" s="41">
        <f>COUNTIFS(集計用!$O:$O, "*, "&amp;K$4&amp;", *",集計用!$G:$G,"*, "&amp;$C28&amp;", *")/$B28*100</f>
        <v>36</v>
      </c>
      <c r="L28" s="41">
        <f>COUNTIFS(集計用!$O:$O, "*, "&amp;L$4&amp;", *",集計用!$G:$G,"*, "&amp;$C28&amp;", *")/$B28*100</f>
        <v>16</v>
      </c>
      <c r="M28" s="41">
        <f>COUNTIFS(集計用!$O:$O, "*, "&amp;M$4&amp;", *",集計用!$G:$G,"*, "&amp;$C28&amp;", *")/$B28*100</f>
        <v>16</v>
      </c>
      <c r="N28" s="41">
        <f>COUNTIFS(集計用!$O:$O, "*, "&amp;N$4&amp;", *",集計用!$G:$G,"*, "&amp;$C28&amp;", *")/$B28*100</f>
        <v>20</v>
      </c>
      <c r="O28" s="41">
        <f>COUNTIFS(集計用!$O:$O, "*, "&amp;O$4&amp;", *",集計用!$G:$G,"*, "&amp;$C28&amp;", *")/$B28*100</f>
        <v>12</v>
      </c>
      <c r="P28" s="41">
        <f>COUNTIFS(集計用!$O:$O, "*, "&amp;P$4&amp;", *",集計用!$G:$G,"*, "&amp;$C28&amp;", *")/$B28*100</f>
        <v>36</v>
      </c>
      <c r="Q28" s="41">
        <f>COUNTIFS(集計用!$O:$O, "*, "&amp;Q$4&amp;", *",集計用!$G:$G,"*, "&amp;$C28&amp;", *")/$B28*100</f>
        <v>4</v>
      </c>
      <c r="R28" s="41">
        <f>COUNTIFS(集計用!$O:$O, "*, "&amp;R$4&amp;", *",集計用!$G:$G,"*, "&amp;$C28&amp;", *")/$B28*100</f>
        <v>8</v>
      </c>
      <c r="S28" s="41">
        <f>COUNTIFS(集計用!$O:$O, "*, "&amp;S$4&amp;", *",集計用!$G:$G,"*, "&amp;$C28&amp;", *")/$B28*100</f>
        <v>12</v>
      </c>
      <c r="T28" s="41">
        <f>COUNTIFS(集計用!$O:$O, "*, "&amp;T$4&amp;", *",集計用!$G:$G,"*, "&amp;$C28&amp;", *")/$B28*100</f>
        <v>0</v>
      </c>
      <c r="V28" s="41">
        <f>COUNTIFS(集計用!$P:$P, "*"&amp;V$4&amp;",*",集計用!$G:$G,"*, "&amp;$C28&amp;", *")/$B28*100</f>
        <v>4</v>
      </c>
      <c r="W28" s="41">
        <f>COUNTIFS(集計用!$P:$P, "*"&amp;W$4&amp;",*",集計用!$G:$G,"*, "&amp;$C28&amp;", *")/$B28*100</f>
        <v>0</v>
      </c>
      <c r="X28" s="41">
        <f>COUNTIFS(集計用!$P:$P, "*"&amp;X$4&amp;",*",集計用!$G:$G,"*, "&amp;$C28&amp;", *")/$B28*100</f>
        <v>4</v>
      </c>
      <c r="Y28" s="41">
        <f>COUNTIFS(集計用!$P:$P, "*"&amp;Y$4&amp;",*",集計用!$G:$G,"*, "&amp;$C28&amp;", *")/$B28*100</f>
        <v>0</v>
      </c>
      <c r="Z28" s="41">
        <f>COUNTIFS(集計用!$P:$P, "*"&amp;Z$4&amp;",*",集計用!$G:$G,"*, "&amp;$C28&amp;", *")/$B28*100</f>
        <v>4</v>
      </c>
      <c r="AA28" s="41">
        <f>COUNTIFS(集計用!$P:$P, "*"&amp;AA$4&amp;",*",集計用!$G:$G,"*, "&amp;$C28&amp;", *")/$B28*100</f>
        <v>0</v>
      </c>
      <c r="AB28" s="41">
        <f>COUNTIFS(集計用!$P:$P, "*"&amp;AB$4&amp;",*",集計用!$G:$G,"*, "&amp;$C28&amp;", *")/$B28*100</f>
        <v>0</v>
      </c>
      <c r="AC28" s="41">
        <f>COUNTIFS(集計用!$P:$P, "*"&amp;AC$4&amp;",*",集計用!$G:$G,"*, "&amp;$C28&amp;", *")/$B28*100</f>
        <v>0</v>
      </c>
      <c r="AD28" s="41">
        <f>COUNTIFS(集計用!$P:$P, "*"&amp;AD$4&amp;",*",集計用!$G:$G,"*, "&amp;$C28&amp;", *")/$B28*100</f>
        <v>0</v>
      </c>
      <c r="AE28" s="41">
        <f>COUNTIFS(集計用!$P:$P, "*"&amp;AE$4&amp;",*",集計用!$G:$G,"*, "&amp;$C28&amp;", *")/$B28*100</f>
        <v>0</v>
      </c>
      <c r="AF28" s="41">
        <f>COUNTIFS(集計用!$P:$P, "*"&amp;AF$4&amp;",*",集計用!$G:$G,"*, "&amp;$C28&amp;", *")/$B28*100</f>
        <v>0</v>
      </c>
      <c r="AG28" s="41">
        <f>COUNTIFS(集計用!$P:$P, "*"&amp;AG$4&amp;",*",集計用!$G:$G,"*, "&amp;$C28&amp;", *")/$B28*100</f>
        <v>4</v>
      </c>
      <c r="AH28" s="41">
        <f>COUNTIFS(集計用!$P:$P, "*"&amp;AH$4&amp;",*",集計用!$G:$G,"*, "&amp;$C28&amp;", *")/$B28*100</f>
        <v>0</v>
      </c>
      <c r="AI28" s="41">
        <f>COUNTIFS(集計用!$P:$P, "*"&amp;AI$4&amp;",*",集計用!$G:$G,"*, "&amp;$C28&amp;", *")/$B28*100</f>
        <v>0</v>
      </c>
      <c r="AJ28" s="41">
        <f>COUNTIFS(集計用!$P:$P, "*"&amp;AJ$4&amp;",*",集計用!$G:$G,"*, "&amp;$C28&amp;", *")/$B28*100</f>
        <v>0</v>
      </c>
      <c r="AK28" s="41">
        <f>COUNTIFS(集計用!$P:$P, "*"&amp;AK$4&amp;",*",集計用!$G:$G,"*, "&amp;$C28&amp;", *")/$B28*100</f>
        <v>0</v>
      </c>
      <c r="AL28" s="41">
        <f>COUNTIFS(集計用!$P:$P, "*"&amp;AL$4&amp;",*",集計用!$G:$G,"*, "&amp;$C28&amp;", *")/$B28*100</f>
        <v>0</v>
      </c>
      <c r="AM28" s="41">
        <f>COUNTIFS(集計用!$P:$P, "*"&amp;AM$4&amp;",*",集計用!$G:$G,"*, "&amp;$C28&amp;", *")/$B28*100</f>
        <v>0</v>
      </c>
      <c r="AN28" s="41">
        <f>COUNTIFS(集計用!$P:$P, "*"&amp;AN$4&amp;",*",集計用!$G:$G,"*, "&amp;$C28&amp;", *")/$B28*100</f>
        <v>0</v>
      </c>
      <c r="AO28" s="41">
        <f>COUNTIFS(集計用!$P:$P, "*"&amp;AO$4&amp;",*",集計用!$G:$G,"*, "&amp;$C28&amp;", *")/$B28*100</f>
        <v>0</v>
      </c>
      <c r="AP28" s="41">
        <f>COUNTIFS(集計用!$P:$P, "*"&amp;AP$4&amp;",*",集計用!$G:$G,"*, "&amp;$C28&amp;", *")/$B28*100</f>
        <v>0</v>
      </c>
      <c r="AQ28" s="41">
        <f>COUNTIFS(集計用!$P:$P, "*"&amp;AQ$4&amp;",*",集計用!$G:$G,"*, "&amp;$C28&amp;", *")/$B28*100</f>
        <v>0</v>
      </c>
      <c r="AR28" s="41">
        <f>COUNTIFS(集計用!$P:$P, "*"&amp;AR$4&amp;",*",集計用!$G:$G,"*, "&amp;$C28&amp;", *")/$B28*100</f>
        <v>0</v>
      </c>
      <c r="AS28" s="41">
        <f>COUNTIFS(集計用!$P:$P, "*"&amp;AS$4&amp;",*",集計用!$G:$G,"*, "&amp;$C28&amp;", *")/$B28*100</f>
        <v>0</v>
      </c>
      <c r="AT28" s="41">
        <f>COUNTIFS(集計用!$P:$P, "*"&amp;AT$4&amp;",*",集計用!$G:$G,"*, "&amp;$C28&amp;", *")/$B28*100</f>
        <v>0</v>
      </c>
      <c r="AU28" s="41">
        <f>COUNTIFS(集計用!$P:$P, "*"&amp;AU$4&amp;",*",集計用!$G:$G,"*, "&amp;$C28&amp;", *")/$B28*100</f>
        <v>0</v>
      </c>
      <c r="AV28" s="41">
        <f>COUNTIFS(集計用!$P:$P, "*"&amp;AV$4&amp;",*",集計用!$G:$G,"*, "&amp;$C28&amp;", *")/$B28*100</f>
        <v>0</v>
      </c>
      <c r="AW28" s="41">
        <f>COUNTIFS(集計用!$P:$P, "*"&amp;AW$4&amp;",*",集計用!$G:$G,"*, "&amp;$C28&amp;", *")/$B28*100</f>
        <v>0</v>
      </c>
      <c r="AX28" s="41">
        <f>COUNTIFS(集計用!$P:$P, "*"&amp;AX$4&amp;",*",集計用!$G:$G,"*, "&amp;$C28&amp;", *")/$B28*100</f>
        <v>0</v>
      </c>
      <c r="AY28" s="41">
        <f>COUNTIFS(集計用!$P:$P, "*"&amp;AY$4&amp;",*",集計用!$G:$G,"*, "&amp;$C28&amp;", *")/$B28*100</f>
        <v>0</v>
      </c>
      <c r="AZ28" s="41">
        <f>COUNTIFS(集計用!$P:$P, "*"&amp;AZ$4&amp;",*",集計用!$G:$G,"*, "&amp;$C28&amp;", *")/$B28*100</f>
        <v>0</v>
      </c>
      <c r="BA28" s="41">
        <f>COUNTIFS(集計用!$P:$P, "*"&amp;BA$4&amp;",*",集計用!$G:$G,"*, "&amp;$C28&amp;", *")/$B28*100</f>
        <v>0</v>
      </c>
      <c r="BB28" s="41">
        <f>COUNTIFS(集計用!$P:$P, "*"&amp;BB$4&amp;",*",集計用!$G:$G,"*, "&amp;$C28&amp;", *")/$B28*100</f>
        <v>0</v>
      </c>
      <c r="BC28" s="41">
        <f>COUNTIFS(集計用!$P:$P, "*"&amp;BC$4&amp;",*",集計用!$G:$G,"*, "&amp;$C28&amp;", *")/$B28*100</f>
        <v>0</v>
      </c>
      <c r="BD28" s="41">
        <f>COUNTIFS(集計用!$P:$P, "*"&amp;BD$4&amp;",*",集計用!$G:$G,"*, "&amp;$C28&amp;", *")/$B28*100</f>
        <v>0</v>
      </c>
      <c r="BE28" s="41">
        <f>COUNTIFS(集計用!$P:$P, "*"&amp;BE$4&amp;",*",集計用!$G:$G,"*, "&amp;$C28&amp;", *")/$B28*100</f>
        <v>0</v>
      </c>
      <c r="BF28" s="41">
        <f>COUNTIFS(集計用!$P:$P, "*"&amp;BF$4&amp;",*",集計用!$G:$G,"*, "&amp;$C28&amp;", *")/$B28*100</f>
        <v>0</v>
      </c>
      <c r="BG28" s="41">
        <f>COUNTIFS(集計用!$P:$P, "*"&amp;BG$4&amp;",*",集計用!$G:$G,"*, "&amp;$C28&amp;", *")/$B28*100</f>
        <v>0</v>
      </c>
      <c r="BH28" s="41">
        <f>COUNTIFS(集計用!$P:$P, "*"&amp;BH$4&amp;",*",集計用!$G:$G,"*, "&amp;$C28&amp;", *")/$B28*100</f>
        <v>0</v>
      </c>
      <c r="BI28" s="41">
        <f>COUNTIFS(集計用!$P:$P, "*"&amp;BI$4&amp;",*",集計用!$G:$G,"*, "&amp;$C28&amp;", *")/$B28*100</f>
        <v>0</v>
      </c>
      <c r="BJ28" s="41">
        <f>COUNTIFS(集計用!$P:$P, "*"&amp;BJ$4&amp;",*",集計用!$G:$G,"*, "&amp;$C28&amp;", *")/$B28*100</f>
        <v>0</v>
      </c>
      <c r="BK28" s="41">
        <f>COUNTIFS(集計用!$P:$P, "*"&amp;BK$4&amp;",*",集計用!$G:$G,"*, "&amp;$C28&amp;", *")/$B28*100</f>
        <v>0</v>
      </c>
      <c r="BL28" s="41">
        <f>COUNTIFS(集計用!$P:$P, "*"&amp;BL$4&amp;",*",集計用!$G:$G,"*, "&amp;$C28&amp;", *")/$B28*100</f>
        <v>0</v>
      </c>
      <c r="BM28" s="41">
        <f>COUNTIFS(集計用!$P:$P, "*"&amp;BM$4&amp;",*",集計用!$G:$G,"*, "&amp;$C28&amp;", *")/$B28*100</f>
        <v>0</v>
      </c>
      <c r="BN28" s="41">
        <f>COUNTIFS(集計用!$P:$P, "*"&amp;BN$4&amp;",*",集計用!$G:$G,"*, "&amp;$C28&amp;", *")/$B28*100</f>
        <v>0</v>
      </c>
      <c r="BO28" s="41">
        <f>COUNTIFS(集計用!$P:$P, "*"&amp;BO$4&amp;",*",集計用!$G:$G,"*, "&amp;$C28&amp;", *")/$B28*100</f>
        <v>4</v>
      </c>
      <c r="BP28" s="41">
        <f>COUNTIFS(集計用!$P:$P, "*"&amp;BP$4&amp;",*",集計用!$G:$G,"*, "&amp;$C28&amp;", *")/$B28*100</f>
        <v>0</v>
      </c>
      <c r="BQ28" s="41">
        <f>COUNTIFS(集計用!$P:$P, "*"&amp;BQ$4&amp;",*",集計用!$G:$G,"*, "&amp;$C28&amp;", *")/$B28*100</f>
        <v>0</v>
      </c>
      <c r="BR28" s="41">
        <f>COUNTIFS(集計用!$P:$P, "*"&amp;BR$4&amp;",*",集計用!$G:$G,"*, "&amp;$C28&amp;", *")/$B28*100</f>
        <v>0</v>
      </c>
      <c r="BS28" s="41">
        <f>COUNTIFS(集計用!$P:$P, "*"&amp;BS$4&amp;",*",集計用!$G:$G,"*, "&amp;$C28&amp;", *")/$B28*100</f>
        <v>0</v>
      </c>
      <c r="BT28" s="41">
        <f>COUNTIFS(集計用!$P:$P, "*"&amp;BT$4&amp;",*",集計用!$G:$G,"*, "&amp;$C28&amp;", *")/$B28*100</f>
        <v>0</v>
      </c>
      <c r="BU28" s="41"/>
      <c r="BV28" s="41"/>
      <c r="BW28" s="41"/>
      <c r="BX28" s="41"/>
      <c r="BY28" s="41"/>
      <c r="BZ28" s="41"/>
      <c r="CA28" s="41"/>
      <c r="CB28" s="41"/>
      <c r="CC28" s="41"/>
      <c r="CD28" s="41"/>
      <c r="CE28" s="41"/>
      <c r="CF28" s="41"/>
      <c r="CG28" s="41"/>
      <c r="CH28" s="41"/>
      <c r="CI28" s="41"/>
      <c r="CJ28" s="41"/>
      <c r="CK28" s="41"/>
    </row>
    <row r="29" spans="1:89" ht="15.75" customHeight="1">
      <c r="A29" s="39">
        <v>5</v>
      </c>
      <c r="B29" s="39">
        <f>(COUNTIFS(集計用!$G:$G,"*, "&amp;$C29&amp;",*",集計用!$Q:$Q,"&lt;&gt;無回答"))</f>
        <v>25</v>
      </c>
      <c r="C29" s="42" t="s">
        <v>21</v>
      </c>
      <c r="D29" s="41">
        <f>COUNTIFS(集計用!$O:$O, "*, "&amp;D$4&amp;", *",集計用!$G:$G,"*, "&amp;$C29&amp;", *")/$B29*100</f>
        <v>64</v>
      </c>
      <c r="E29" s="41">
        <f>COUNTIFS(集計用!$O:$O, "*, "&amp;E$4&amp;", *",集計用!$G:$G,"*, "&amp;$C29&amp;", *")/$B29*100</f>
        <v>44</v>
      </c>
      <c r="F29" s="41">
        <f>COUNTIFS(集計用!$O:$O, "*, "&amp;F$4&amp;", *",集計用!$G:$G,"*, "&amp;$C29&amp;", *")/$B29*100</f>
        <v>48</v>
      </c>
      <c r="G29" s="41">
        <f>COUNTIFS(集計用!$O:$O, "*, "&amp;G$4&amp;", *",集計用!$G:$G,"*, "&amp;$C29&amp;", *")/$B29*100</f>
        <v>44</v>
      </c>
      <c r="H29" s="41">
        <f>COUNTIFS(集計用!$O:$O, "*, "&amp;H$4&amp;", *",集計用!$G:$G,"*, "&amp;$C29&amp;", *")/$B29*100</f>
        <v>28.000000000000004</v>
      </c>
      <c r="I29" s="41">
        <f>COUNTIFS(集計用!$O:$O, "*, "&amp;I$4&amp;", *",集計用!$G:$G,"*, "&amp;$C29&amp;", *")/$B29*100</f>
        <v>36</v>
      </c>
      <c r="J29" s="41">
        <f>COUNTIFS(集計用!$O:$O, "*, "&amp;J$4&amp;", *",集計用!$G:$G,"*, "&amp;$C29&amp;", *")/$B29*100</f>
        <v>12</v>
      </c>
      <c r="K29" s="41">
        <f>COUNTIFS(集計用!$O:$O, "*, "&amp;K$4&amp;", *",集計用!$G:$G,"*, "&amp;$C29&amp;", *")/$B29*100</f>
        <v>28.000000000000004</v>
      </c>
      <c r="L29" s="41">
        <f>COUNTIFS(集計用!$O:$O, "*, "&amp;L$4&amp;", *",集計用!$G:$G,"*, "&amp;$C29&amp;", *")/$B29*100</f>
        <v>12</v>
      </c>
      <c r="M29" s="41">
        <f>COUNTIFS(集計用!$O:$O, "*, "&amp;M$4&amp;", *",集計用!$G:$G,"*, "&amp;$C29&amp;", *")/$B29*100</f>
        <v>12</v>
      </c>
      <c r="N29" s="41">
        <f>COUNTIFS(集計用!$O:$O, "*, "&amp;N$4&amp;", *",集計用!$G:$G,"*, "&amp;$C29&amp;", *")/$B29*100</f>
        <v>16</v>
      </c>
      <c r="O29" s="41">
        <f>COUNTIFS(集計用!$O:$O, "*, "&amp;O$4&amp;", *",集計用!$G:$G,"*, "&amp;$C29&amp;", *")/$B29*100</f>
        <v>4</v>
      </c>
      <c r="P29" s="41">
        <f>COUNTIFS(集計用!$O:$O, "*, "&amp;P$4&amp;", *",集計用!$G:$G,"*, "&amp;$C29&amp;", *")/$B29*100</f>
        <v>12</v>
      </c>
      <c r="Q29" s="41">
        <f>COUNTIFS(集計用!$O:$O, "*, "&amp;Q$4&amp;", *",集計用!$G:$G,"*, "&amp;$C29&amp;", *")/$B29*100</f>
        <v>8</v>
      </c>
      <c r="R29" s="41">
        <f>COUNTIFS(集計用!$O:$O, "*, "&amp;R$4&amp;", *",集計用!$G:$G,"*, "&amp;$C29&amp;", *")/$B29*100</f>
        <v>4</v>
      </c>
      <c r="S29" s="41">
        <f>COUNTIFS(集計用!$O:$O, "*, "&amp;S$4&amp;", *",集計用!$G:$G,"*, "&amp;$C29&amp;", *")/$B29*100</f>
        <v>8</v>
      </c>
      <c r="T29" s="41">
        <f>COUNTIFS(集計用!$O:$O, "*, "&amp;T$4&amp;", *",集計用!$G:$G,"*, "&amp;$C29&amp;", *")/$B29*100</f>
        <v>4</v>
      </c>
      <c r="V29" s="41">
        <f>COUNTIFS(集計用!$P:$P, "*"&amp;V$4&amp;",*",集計用!$G:$G,"*, "&amp;$C29&amp;", *")/$B29*100</f>
        <v>8</v>
      </c>
      <c r="W29" s="41">
        <f>COUNTIFS(集計用!$P:$P, "*"&amp;W$4&amp;",*",集計用!$G:$G,"*, "&amp;$C29&amp;", *")/$B29*100</f>
        <v>0</v>
      </c>
      <c r="X29" s="41">
        <f>COUNTIFS(集計用!$P:$P, "*"&amp;X$4&amp;",*",集計用!$G:$G,"*, "&amp;$C29&amp;", *")/$B29*100</f>
        <v>4</v>
      </c>
      <c r="Y29" s="41">
        <f>COUNTIFS(集計用!$P:$P, "*"&amp;Y$4&amp;",*",集計用!$G:$G,"*, "&amp;$C29&amp;", *")/$B29*100</f>
        <v>0</v>
      </c>
      <c r="Z29" s="41">
        <f>COUNTIFS(集計用!$P:$P, "*"&amp;Z$4&amp;",*",集計用!$G:$G,"*, "&amp;$C29&amp;", *")/$B29*100</f>
        <v>0</v>
      </c>
      <c r="AA29" s="41">
        <f>COUNTIFS(集計用!$P:$P, "*"&amp;AA$4&amp;",*",集計用!$G:$G,"*, "&amp;$C29&amp;", *")/$B29*100</f>
        <v>0</v>
      </c>
      <c r="AB29" s="41">
        <f>COUNTIFS(集計用!$P:$P, "*"&amp;AB$4&amp;",*",集計用!$G:$G,"*, "&amp;$C29&amp;", *")/$B29*100</f>
        <v>0</v>
      </c>
      <c r="AC29" s="41">
        <f>COUNTIFS(集計用!$P:$P, "*"&amp;AC$4&amp;",*",集計用!$G:$G,"*, "&amp;$C29&amp;", *")/$B29*100</f>
        <v>0</v>
      </c>
      <c r="AD29" s="41">
        <f>COUNTIFS(集計用!$P:$P, "*"&amp;AD$4&amp;",*",集計用!$G:$G,"*, "&amp;$C29&amp;", *")/$B29*100</f>
        <v>0</v>
      </c>
      <c r="AE29" s="41">
        <f>COUNTIFS(集計用!$P:$P, "*"&amp;AE$4&amp;",*",集計用!$G:$G,"*, "&amp;$C29&amp;", *")/$B29*100</f>
        <v>0</v>
      </c>
      <c r="AF29" s="41">
        <f>COUNTIFS(集計用!$P:$P, "*"&amp;AF$4&amp;",*",集計用!$G:$G,"*, "&amp;$C29&amp;", *")/$B29*100</f>
        <v>0</v>
      </c>
      <c r="AG29" s="41">
        <f>COUNTIFS(集計用!$P:$P, "*"&amp;AG$4&amp;",*",集計用!$G:$G,"*, "&amp;$C29&amp;", *")/$B29*100</f>
        <v>0</v>
      </c>
      <c r="AH29" s="41">
        <f>COUNTIFS(集計用!$P:$P, "*"&amp;AH$4&amp;",*",集計用!$G:$G,"*, "&amp;$C29&amp;", *")/$B29*100</f>
        <v>0</v>
      </c>
      <c r="AI29" s="41">
        <f>COUNTIFS(集計用!$P:$P, "*"&amp;AI$4&amp;",*",集計用!$G:$G,"*, "&amp;$C29&amp;", *")/$B29*100</f>
        <v>0</v>
      </c>
      <c r="AJ29" s="41">
        <f>COUNTIFS(集計用!$P:$P, "*"&amp;AJ$4&amp;",*",集計用!$G:$G,"*, "&amp;$C29&amp;", *")/$B29*100</f>
        <v>0</v>
      </c>
      <c r="AK29" s="41">
        <f>COUNTIFS(集計用!$P:$P, "*"&amp;AK$4&amp;",*",集計用!$G:$G,"*, "&amp;$C29&amp;", *")/$B29*100</f>
        <v>0</v>
      </c>
      <c r="AL29" s="41">
        <f>COUNTIFS(集計用!$P:$P, "*"&amp;AL$4&amp;",*",集計用!$G:$G,"*, "&amp;$C29&amp;", *")/$B29*100</f>
        <v>0</v>
      </c>
      <c r="AM29" s="41">
        <f>COUNTIFS(集計用!$P:$P, "*"&amp;AM$4&amp;",*",集計用!$G:$G,"*, "&amp;$C29&amp;", *")/$B29*100</f>
        <v>0</v>
      </c>
      <c r="AN29" s="41">
        <f>COUNTIFS(集計用!$P:$P, "*"&amp;AN$4&amp;",*",集計用!$G:$G,"*, "&amp;$C29&amp;", *")/$B29*100</f>
        <v>0</v>
      </c>
      <c r="AO29" s="41">
        <f>COUNTIFS(集計用!$P:$P, "*"&amp;AO$4&amp;",*",集計用!$G:$G,"*, "&amp;$C29&amp;", *")/$B29*100</f>
        <v>0</v>
      </c>
      <c r="AP29" s="41">
        <f>COUNTIFS(集計用!$P:$P, "*"&amp;AP$4&amp;",*",集計用!$G:$G,"*, "&amp;$C29&amp;", *")/$B29*100</f>
        <v>0</v>
      </c>
      <c r="AQ29" s="41">
        <f>COUNTIFS(集計用!$P:$P, "*"&amp;AQ$4&amp;",*",集計用!$G:$G,"*, "&amp;$C29&amp;", *")/$B29*100</f>
        <v>0</v>
      </c>
      <c r="AR29" s="41">
        <f>COUNTIFS(集計用!$P:$P, "*"&amp;AR$4&amp;",*",集計用!$G:$G,"*, "&amp;$C29&amp;", *")/$B29*100</f>
        <v>0</v>
      </c>
      <c r="AS29" s="41">
        <f>COUNTIFS(集計用!$P:$P, "*"&amp;AS$4&amp;",*",集計用!$G:$G,"*, "&amp;$C29&amp;", *")/$B29*100</f>
        <v>0</v>
      </c>
      <c r="AT29" s="41">
        <f>COUNTIFS(集計用!$P:$P, "*"&amp;AT$4&amp;",*",集計用!$G:$G,"*, "&amp;$C29&amp;", *")/$B29*100</f>
        <v>0</v>
      </c>
      <c r="AU29" s="41">
        <f>COUNTIFS(集計用!$P:$P, "*"&amp;AU$4&amp;",*",集計用!$G:$G,"*, "&amp;$C29&amp;", *")/$B29*100</f>
        <v>0</v>
      </c>
      <c r="AV29" s="41">
        <f>COUNTIFS(集計用!$P:$P, "*"&amp;AV$4&amp;",*",集計用!$G:$G,"*, "&amp;$C29&amp;", *")/$B29*100</f>
        <v>0</v>
      </c>
      <c r="AW29" s="41">
        <f>COUNTIFS(集計用!$P:$P, "*"&amp;AW$4&amp;",*",集計用!$G:$G,"*, "&amp;$C29&amp;", *")/$B29*100</f>
        <v>0</v>
      </c>
      <c r="AX29" s="41">
        <f>COUNTIFS(集計用!$P:$P, "*"&amp;AX$4&amp;",*",集計用!$G:$G,"*, "&amp;$C29&amp;", *")/$B29*100</f>
        <v>0</v>
      </c>
      <c r="AY29" s="41">
        <f>COUNTIFS(集計用!$P:$P, "*"&amp;AY$4&amp;",*",集計用!$G:$G,"*, "&amp;$C29&amp;", *")/$B29*100</f>
        <v>0</v>
      </c>
      <c r="AZ29" s="41">
        <f>COUNTIFS(集計用!$P:$P, "*"&amp;AZ$4&amp;",*",集計用!$G:$G,"*, "&amp;$C29&amp;", *")/$B29*100</f>
        <v>0</v>
      </c>
      <c r="BA29" s="41">
        <f>COUNTIFS(集計用!$P:$P, "*"&amp;BA$4&amp;",*",集計用!$G:$G,"*, "&amp;$C29&amp;", *")/$B29*100</f>
        <v>0</v>
      </c>
      <c r="BB29" s="41">
        <f>COUNTIFS(集計用!$P:$P, "*"&amp;BB$4&amp;",*",集計用!$G:$G,"*, "&amp;$C29&amp;", *")/$B29*100</f>
        <v>0</v>
      </c>
      <c r="BC29" s="41">
        <f>COUNTIFS(集計用!$P:$P, "*"&amp;BC$4&amp;",*",集計用!$G:$G,"*, "&amp;$C29&amp;", *")/$B29*100</f>
        <v>0</v>
      </c>
      <c r="BD29" s="41">
        <f>COUNTIFS(集計用!$P:$P, "*"&amp;BD$4&amp;",*",集計用!$G:$G,"*, "&amp;$C29&amp;", *")/$B29*100</f>
        <v>0</v>
      </c>
      <c r="BE29" s="41">
        <f>COUNTIFS(集計用!$P:$P, "*"&amp;BE$4&amp;",*",集計用!$G:$G,"*, "&amp;$C29&amp;", *")/$B29*100</f>
        <v>0</v>
      </c>
      <c r="BF29" s="41">
        <f>COUNTIFS(集計用!$P:$P, "*"&amp;BF$4&amp;",*",集計用!$G:$G,"*, "&amp;$C29&amp;", *")/$B29*100</f>
        <v>0</v>
      </c>
      <c r="BG29" s="41">
        <f>COUNTIFS(集計用!$P:$P, "*"&amp;BG$4&amp;",*",集計用!$G:$G,"*, "&amp;$C29&amp;", *")/$B29*100</f>
        <v>0</v>
      </c>
      <c r="BH29" s="41">
        <f>COUNTIFS(集計用!$P:$P, "*"&amp;BH$4&amp;",*",集計用!$G:$G,"*, "&amp;$C29&amp;", *")/$B29*100</f>
        <v>0</v>
      </c>
      <c r="BI29" s="41">
        <f>COUNTIFS(集計用!$P:$P, "*"&amp;BI$4&amp;",*",集計用!$G:$G,"*, "&amp;$C29&amp;", *")/$B29*100</f>
        <v>0</v>
      </c>
      <c r="BJ29" s="41">
        <f>COUNTIFS(集計用!$P:$P, "*"&amp;BJ$4&amp;",*",集計用!$G:$G,"*, "&amp;$C29&amp;", *")/$B29*100</f>
        <v>0</v>
      </c>
      <c r="BK29" s="41">
        <f>COUNTIFS(集計用!$P:$P, "*"&amp;BK$4&amp;",*",集計用!$G:$G,"*, "&amp;$C29&amp;", *")/$B29*100</f>
        <v>0</v>
      </c>
      <c r="BL29" s="41">
        <f>COUNTIFS(集計用!$P:$P, "*"&amp;BL$4&amp;",*",集計用!$G:$G,"*, "&amp;$C29&amp;", *")/$B29*100</f>
        <v>0</v>
      </c>
      <c r="BM29" s="41">
        <f>COUNTIFS(集計用!$P:$P, "*"&amp;BM$4&amp;",*",集計用!$G:$G,"*, "&amp;$C29&amp;", *")/$B29*100</f>
        <v>0</v>
      </c>
      <c r="BN29" s="41">
        <f>COUNTIFS(集計用!$P:$P, "*"&amp;BN$4&amp;",*",集計用!$G:$G,"*, "&amp;$C29&amp;", *")/$B29*100</f>
        <v>0</v>
      </c>
      <c r="BO29" s="41">
        <f>COUNTIFS(集計用!$P:$P, "*"&amp;BO$4&amp;",*",集計用!$G:$G,"*, "&amp;$C29&amp;", *")/$B29*100</f>
        <v>4</v>
      </c>
      <c r="BP29" s="41">
        <f>COUNTIFS(集計用!$P:$P, "*"&amp;BP$4&amp;",*",集計用!$G:$G,"*, "&amp;$C29&amp;", *")/$B29*100</f>
        <v>0</v>
      </c>
      <c r="BQ29" s="41">
        <f>COUNTIFS(集計用!$P:$P, "*"&amp;BQ$4&amp;",*",集計用!$G:$G,"*, "&amp;$C29&amp;", *")/$B29*100</f>
        <v>0</v>
      </c>
      <c r="BR29" s="41">
        <f>COUNTIFS(集計用!$P:$P, "*"&amp;BR$4&amp;",*",集計用!$G:$G,"*, "&amp;$C29&amp;", *")/$B29*100</f>
        <v>4</v>
      </c>
      <c r="BS29" s="41">
        <f>COUNTIFS(集計用!$P:$P, "*"&amp;BS$4&amp;",*",集計用!$G:$G,"*, "&amp;$C29&amp;", *")/$B29*100</f>
        <v>0</v>
      </c>
      <c r="BT29" s="41">
        <f>COUNTIFS(集計用!$P:$P, "*"&amp;BT$4&amp;",*",集計用!$G:$G,"*, "&amp;$C29&amp;", *")/$B29*100</f>
        <v>0</v>
      </c>
      <c r="BU29" s="41"/>
      <c r="BV29" s="41"/>
      <c r="BW29" s="41"/>
      <c r="BX29" s="41"/>
      <c r="BY29" s="41"/>
      <c r="BZ29" s="41"/>
      <c r="CA29" s="41"/>
      <c r="CB29" s="41"/>
      <c r="CC29" s="41"/>
      <c r="CD29" s="41"/>
      <c r="CE29" s="41"/>
      <c r="CF29" s="41"/>
      <c r="CG29" s="41"/>
      <c r="CH29" s="41"/>
      <c r="CI29" s="41"/>
      <c r="CJ29" s="41"/>
      <c r="CK29" s="41"/>
    </row>
    <row r="30" spans="1:89" ht="12.75">
      <c r="A30" s="39">
        <v>6</v>
      </c>
      <c r="B30" s="39">
        <f>(COUNTIFS(集計用!$G:$G,"*, "&amp;$C30&amp;",*",集計用!$Q:$Q,"&lt;&gt;無回答"))</f>
        <v>22</v>
      </c>
      <c r="C30" s="42" t="s">
        <v>25</v>
      </c>
      <c r="D30" s="41">
        <f>COUNTIFS(集計用!$O:$O, "*, "&amp;D$4&amp;", *",集計用!$G:$G,"*, "&amp;$C30&amp;", *")/$B30*100</f>
        <v>68.181818181818173</v>
      </c>
      <c r="E30" s="41">
        <f>COUNTIFS(集計用!$O:$O, "*, "&amp;E$4&amp;", *",集計用!$G:$G,"*, "&amp;$C30&amp;", *")/$B30*100</f>
        <v>40.909090909090914</v>
      </c>
      <c r="F30" s="41">
        <f>COUNTIFS(集計用!$O:$O, "*, "&amp;F$4&amp;", *",集計用!$G:$G,"*, "&amp;$C30&amp;", *")/$B30*100</f>
        <v>54.54545454545454</v>
      </c>
      <c r="G30" s="41">
        <f>COUNTIFS(集計用!$O:$O, "*, "&amp;G$4&amp;", *",集計用!$G:$G,"*, "&amp;$C30&amp;", *")/$B30*100</f>
        <v>18.181818181818183</v>
      </c>
      <c r="H30" s="41">
        <f>COUNTIFS(集計用!$O:$O, "*, "&amp;H$4&amp;", *",集計用!$G:$G,"*, "&amp;$C30&amp;", *")/$B30*100</f>
        <v>27.27272727272727</v>
      </c>
      <c r="I30" s="41">
        <f>COUNTIFS(集計用!$O:$O, "*, "&amp;I$4&amp;", *",集計用!$G:$G,"*, "&amp;$C30&amp;", *")/$B30*100</f>
        <v>18.181818181818183</v>
      </c>
      <c r="J30" s="41">
        <f>COUNTIFS(集計用!$O:$O, "*, "&amp;J$4&amp;", *",集計用!$G:$G,"*, "&amp;$C30&amp;", *")/$B30*100</f>
        <v>18.181818181818183</v>
      </c>
      <c r="K30" s="41">
        <f>COUNTIFS(集計用!$O:$O, "*, "&amp;K$4&amp;", *",集計用!$G:$G,"*, "&amp;$C30&amp;", *")/$B30*100</f>
        <v>13.636363636363635</v>
      </c>
      <c r="L30" s="41">
        <f>COUNTIFS(集計用!$O:$O, "*, "&amp;L$4&amp;", *",集計用!$G:$G,"*, "&amp;$C30&amp;", *")/$B30*100</f>
        <v>18.181818181818183</v>
      </c>
      <c r="M30" s="41">
        <f>COUNTIFS(集計用!$O:$O, "*, "&amp;M$4&amp;", *",集計用!$G:$G,"*, "&amp;$C30&amp;", *")/$B30*100</f>
        <v>13.636363636363635</v>
      </c>
      <c r="N30" s="41">
        <f>COUNTIFS(集計用!$O:$O, "*, "&amp;N$4&amp;", *",集計用!$G:$G,"*, "&amp;$C30&amp;", *")/$B30*100</f>
        <v>13.636363636363635</v>
      </c>
      <c r="O30" s="41">
        <f>COUNTIFS(集計用!$O:$O, "*, "&amp;O$4&amp;", *",集計用!$G:$G,"*, "&amp;$C30&amp;", *")/$B30*100</f>
        <v>13.636363636363635</v>
      </c>
      <c r="P30" s="41">
        <f>COUNTIFS(集計用!$O:$O, "*, "&amp;P$4&amp;", *",集計用!$G:$G,"*, "&amp;$C30&amp;", *")/$B30*100</f>
        <v>9.0909090909090917</v>
      </c>
      <c r="Q30" s="41">
        <f>COUNTIFS(集計用!$O:$O, "*, "&amp;Q$4&amp;", *",集計用!$G:$G,"*, "&amp;$C30&amp;", *")/$B30*100</f>
        <v>18.181818181818183</v>
      </c>
      <c r="R30" s="41">
        <f>COUNTIFS(集計用!$O:$O, "*, "&amp;R$4&amp;", *",集計用!$G:$G,"*, "&amp;$C30&amp;", *")/$B30*100</f>
        <v>18.181818181818183</v>
      </c>
      <c r="S30" s="41">
        <f>COUNTIFS(集計用!$O:$O, "*, "&amp;S$4&amp;", *",集計用!$G:$G,"*, "&amp;$C30&amp;", *")/$B30*100</f>
        <v>4.5454545454545459</v>
      </c>
      <c r="T30" s="41">
        <f>COUNTIFS(集計用!$O:$O, "*, "&amp;T$4&amp;", *",集計用!$G:$G,"*, "&amp;$C30&amp;", *")/$B30*100</f>
        <v>0</v>
      </c>
      <c r="V30" s="41">
        <f>COUNTIFS(集計用!$P:$P, "*"&amp;V$4&amp;",*",集計用!$G:$G,"*, "&amp;$C30&amp;", *")/$B30*100</f>
        <v>4.5454545454545459</v>
      </c>
      <c r="W30" s="41">
        <f>COUNTIFS(集計用!$P:$P, "*"&amp;W$4&amp;",*",集計用!$G:$G,"*, "&amp;$C30&amp;", *")/$B30*100</f>
        <v>0</v>
      </c>
      <c r="X30" s="41">
        <f>COUNTIFS(集計用!$P:$P, "*"&amp;X$4&amp;",*",集計用!$G:$G,"*, "&amp;$C30&amp;", *")/$B30*100</f>
        <v>0</v>
      </c>
      <c r="Y30" s="41">
        <f>COUNTIFS(集計用!$P:$P, "*"&amp;Y$4&amp;",*",集計用!$G:$G,"*, "&amp;$C30&amp;", *")/$B30*100</f>
        <v>4.5454545454545459</v>
      </c>
      <c r="Z30" s="41">
        <f>COUNTIFS(集計用!$P:$P, "*"&amp;Z$4&amp;",*",集計用!$G:$G,"*, "&amp;$C30&amp;", *")/$B30*100</f>
        <v>0</v>
      </c>
      <c r="AA30" s="41">
        <f>COUNTIFS(集計用!$P:$P, "*"&amp;AA$4&amp;",*",集計用!$G:$G,"*, "&amp;$C30&amp;", *")/$B30*100</f>
        <v>0</v>
      </c>
      <c r="AB30" s="41">
        <f>COUNTIFS(集計用!$P:$P, "*"&amp;AB$4&amp;",*",集計用!$G:$G,"*, "&amp;$C30&amp;", *")/$B30*100</f>
        <v>0</v>
      </c>
      <c r="AC30" s="41">
        <f>COUNTIFS(集計用!$P:$P, "*"&amp;AC$4&amp;",*",集計用!$G:$G,"*, "&amp;$C30&amp;", *")/$B30*100</f>
        <v>0</v>
      </c>
      <c r="AD30" s="41">
        <f>COUNTIFS(集計用!$P:$P, "*"&amp;AD$4&amp;",*",集計用!$G:$G,"*, "&amp;$C30&amp;", *")/$B30*100</f>
        <v>0</v>
      </c>
      <c r="AE30" s="41">
        <f>COUNTIFS(集計用!$P:$P, "*"&amp;AE$4&amp;",*",集計用!$G:$G,"*, "&amp;$C30&amp;", *")/$B30*100</f>
        <v>0</v>
      </c>
      <c r="AF30" s="41">
        <f>COUNTIFS(集計用!$P:$P, "*"&amp;AF$4&amp;",*",集計用!$G:$G,"*, "&amp;$C30&amp;", *")/$B30*100</f>
        <v>0</v>
      </c>
      <c r="AG30" s="41">
        <f>COUNTIFS(集計用!$P:$P, "*"&amp;AG$4&amp;",*",集計用!$G:$G,"*, "&amp;$C30&amp;", *")/$B30*100</f>
        <v>0</v>
      </c>
      <c r="AH30" s="41">
        <f>COUNTIFS(集計用!$P:$P, "*"&amp;AH$4&amp;",*",集計用!$G:$G,"*, "&amp;$C30&amp;", *")/$B30*100</f>
        <v>0</v>
      </c>
      <c r="AI30" s="41">
        <f>COUNTIFS(集計用!$P:$P, "*"&amp;AI$4&amp;",*",集計用!$G:$G,"*, "&amp;$C30&amp;", *")/$B30*100</f>
        <v>0</v>
      </c>
      <c r="AJ30" s="41">
        <f>COUNTIFS(集計用!$P:$P, "*"&amp;AJ$4&amp;",*",集計用!$G:$G,"*, "&amp;$C30&amp;", *")/$B30*100</f>
        <v>4.5454545454545459</v>
      </c>
      <c r="AK30" s="41">
        <f>COUNTIFS(集計用!$P:$P, "*"&amp;AK$4&amp;",*",集計用!$G:$G,"*, "&amp;$C30&amp;", *")/$B30*100</f>
        <v>0</v>
      </c>
      <c r="AL30" s="41">
        <f>COUNTIFS(集計用!$P:$P, "*"&amp;AL$4&amp;",*",集計用!$G:$G,"*, "&amp;$C30&amp;", *")/$B30*100</f>
        <v>0</v>
      </c>
      <c r="AM30" s="41">
        <f>COUNTIFS(集計用!$P:$P, "*"&amp;AM$4&amp;",*",集計用!$G:$G,"*, "&amp;$C30&amp;", *")/$B30*100</f>
        <v>0</v>
      </c>
      <c r="AN30" s="41">
        <f>COUNTIFS(集計用!$P:$P, "*"&amp;AN$4&amp;",*",集計用!$G:$G,"*, "&amp;$C30&amp;", *")/$B30*100</f>
        <v>0</v>
      </c>
      <c r="AO30" s="41">
        <f>COUNTIFS(集計用!$P:$P, "*"&amp;AO$4&amp;",*",集計用!$G:$G,"*, "&amp;$C30&amp;", *")/$B30*100</f>
        <v>0</v>
      </c>
      <c r="AP30" s="41">
        <f>COUNTIFS(集計用!$P:$P, "*"&amp;AP$4&amp;",*",集計用!$G:$G,"*, "&amp;$C30&amp;", *")/$B30*100</f>
        <v>0</v>
      </c>
      <c r="AQ30" s="41">
        <f>COUNTIFS(集計用!$P:$P, "*"&amp;AQ$4&amp;",*",集計用!$G:$G,"*, "&amp;$C30&amp;", *")/$B30*100</f>
        <v>0</v>
      </c>
      <c r="AR30" s="41">
        <f>COUNTIFS(集計用!$P:$P, "*"&amp;AR$4&amp;",*",集計用!$G:$G,"*, "&amp;$C30&amp;", *")/$B30*100</f>
        <v>0</v>
      </c>
      <c r="AS30" s="41">
        <f>COUNTIFS(集計用!$P:$P, "*"&amp;AS$4&amp;",*",集計用!$G:$G,"*, "&amp;$C30&amp;", *")/$B30*100</f>
        <v>0</v>
      </c>
      <c r="AT30" s="41">
        <f>COUNTIFS(集計用!$P:$P, "*"&amp;AT$4&amp;",*",集計用!$G:$G,"*, "&amp;$C30&amp;", *")/$B30*100</f>
        <v>0</v>
      </c>
      <c r="AU30" s="41">
        <f>COUNTIFS(集計用!$P:$P, "*"&amp;AU$4&amp;",*",集計用!$G:$G,"*, "&amp;$C30&amp;", *")/$B30*100</f>
        <v>0</v>
      </c>
      <c r="AV30" s="41">
        <f>COUNTIFS(集計用!$P:$P, "*"&amp;AV$4&amp;",*",集計用!$G:$G,"*, "&amp;$C30&amp;", *")/$B30*100</f>
        <v>0</v>
      </c>
      <c r="AW30" s="41">
        <f>COUNTIFS(集計用!$P:$P, "*"&amp;AW$4&amp;",*",集計用!$G:$G,"*, "&amp;$C30&amp;", *")/$B30*100</f>
        <v>0</v>
      </c>
      <c r="AX30" s="41">
        <f>COUNTIFS(集計用!$P:$P, "*"&amp;AX$4&amp;",*",集計用!$G:$G,"*, "&amp;$C30&amp;", *")/$B30*100</f>
        <v>0</v>
      </c>
      <c r="AY30" s="41">
        <f>COUNTIFS(集計用!$P:$P, "*"&amp;AY$4&amp;",*",集計用!$G:$G,"*, "&amp;$C30&amp;", *")/$B30*100</f>
        <v>0</v>
      </c>
      <c r="AZ30" s="41">
        <f>COUNTIFS(集計用!$P:$P, "*"&amp;AZ$4&amp;",*",集計用!$G:$G,"*, "&amp;$C30&amp;", *")/$B30*100</f>
        <v>0</v>
      </c>
      <c r="BA30" s="41">
        <f>COUNTIFS(集計用!$P:$P, "*"&amp;BA$4&amp;",*",集計用!$G:$G,"*, "&amp;$C30&amp;", *")/$B30*100</f>
        <v>0</v>
      </c>
      <c r="BB30" s="41">
        <f>COUNTIFS(集計用!$P:$P, "*"&amp;BB$4&amp;",*",集計用!$G:$G,"*, "&amp;$C30&amp;", *")/$B30*100</f>
        <v>4.5454545454545459</v>
      </c>
      <c r="BC30" s="41">
        <f>COUNTIFS(集計用!$P:$P, "*"&amp;BC$4&amp;",*",集計用!$G:$G,"*, "&amp;$C30&amp;", *")/$B30*100</f>
        <v>0</v>
      </c>
      <c r="BD30" s="41">
        <f>COUNTIFS(集計用!$P:$P, "*"&amp;BD$4&amp;",*",集計用!$G:$G,"*, "&amp;$C30&amp;", *")/$B30*100</f>
        <v>0</v>
      </c>
      <c r="BE30" s="41">
        <f>COUNTIFS(集計用!$P:$P, "*"&amp;BE$4&amp;",*",集計用!$G:$G,"*, "&amp;$C30&amp;", *")/$B30*100</f>
        <v>0</v>
      </c>
      <c r="BF30" s="41">
        <f>COUNTIFS(集計用!$P:$P, "*"&amp;BF$4&amp;",*",集計用!$G:$G,"*, "&amp;$C30&amp;", *")/$B30*100</f>
        <v>0</v>
      </c>
      <c r="BG30" s="41">
        <f>COUNTIFS(集計用!$P:$P, "*"&amp;BG$4&amp;",*",集計用!$G:$G,"*, "&amp;$C30&amp;", *")/$B30*100</f>
        <v>0</v>
      </c>
      <c r="BH30" s="41">
        <f>COUNTIFS(集計用!$P:$P, "*"&amp;BH$4&amp;",*",集計用!$G:$G,"*, "&amp;$C30&amp;", *")/$B30*100</f>
        <v>0</v>
      </c>
      <c r="BI30" s="41">
        <f>COUNTIFS(集計用!$P:$P, "*"&amp;BI$4&amp;",*",集計用!$G:$G,"*, "&amp;$C30&amp;", *")/$B30*100</f>
        <v>0</v>
      </c>
      <c r="BJ30" s="41">
        <f>COUNTIFS(集計用!$P:$P, "*"&amp;BJ$4&amp;",*",集計用!$G:$G,"*, "&amp;$C30&amp;", *")/$B30*100</f>
        <v>0</v>
      </c>
      <c r="BK30" s="41">
        <f>COUNTIFS(集計用!$P:$P, "*"&amp;BK$4&amp;",*",集計用!$G:$G,"*, "&amp;$C30&amp;", *")/$B30*100</f>
        <v>0</v>
      </c>
      <c r="BL30" s="41">
        <f>COUNTIFS(集計用!$P:$P, "*"&amp;BL$4&amp;",*",集計用!$G:$G,"*, "&amp;$C30&amp;", *")/$B30*100</f>
        <v>0</v>
      </c>
      <c r="BM30" s="41">
        <f>COUNTIFS(集計用!$P:$P, "*"&amp;BM$4&amp;",*",集計用!$G:$G,"*, "&amp;$C30&amp;", *")/$B30*100</f>
        <v>0</v>
      </c>
      <c r="BN30" s="41">
        <f>COUNTIFS(集計用!$P:$P, "*"&amp;BN$4&amp;",*",集計用!$G:$G,"*, "&amp;$C30&amp;", *")/$B30*100</f>
        <v>0</v>
      </c>
      <c r="BO30" s="41">
        <f>COUNTIFS(集計用!$P:$P, "*"&amp;BO$4&amp;",*",集計用!$G:$G,"*, "&amp;$C30&amp;", *")/$B30*100</f>
        <v>0</v>
      </c>
      <c r="BP30" s="41">
        <f>COUNTIFS(集計用!$P:$P, "*"&amp;BP$4&amp;",*",集計用!$G:$G,"*, "&amp;$C30&amp;", *")/$B30*100</f>
        <v>0</v>
      </c>
      <c r="BQ30" s="41">
        <f>COUNTIFS(集計用!$P:$P, "*"&amp;BQ$4&amp;",*",集計用!$G:$G,"*, "&amp;$C30&amp;", *")/$B30*100</f>
        <v>0</v>
      </c>
      <c r="BR30" s="41">
        <f>COUNTIFS(集計用!$P:$P, "*"&amp;BR$4&amp;",*",集計用!$G:$G,"*, "&amp;$C30&amp;", *")/$B30*100</f>
        <v>0</v>
      </c>
      <c r="BS30" s="41">
        <f>COUNTIFS(集計用!$P:$P, "*"&amp;BS$4&amp;",*",集計用!$G:$G,"*, "&amp;$C30&amp;", *")/$B30*100</f>
        <v>0</v>
      </c>
      <c r="BT30" s="41">
        <f>COUNTIFS(集計用!$P:$P, "*"&amp;BT$4&amp;",*",集計用!$G:$G,"*, "&amp;$C30&amp;", *")/$B30*100</f>
        <v>0</v>
      </c>
      <c r="BU30" s="41"/>
      <c r="BV30" s="41"/>
      <c r="BW30" s="41"/>
      <c r="BX30" s="41"/>
      <c r="BY30" s="41"/>
      <c r="BZ30" s="41"/>
      <c r="CA30" s="41"/>
      <c r="CB30" s="41"/>
      <c r="CC30" s="41"/>
      <c r="CD30" s="41"/>
      <c r="CE30" s="41"/>
      <c r="CF30" s="41"/>
      <c r="CG30" s="41"/>
      <c r="CH30" s="41"/>
      <c r="CI30" s="41"/>
      <c r="CJ30" s="41"/>
      <c r="CK30" s="41"/>
    </row>
    <row r="31" spans="1:89" ht="15.75" customHeight="1">
      <c r="A31" s="39">
        <v>4</v>
      </c>
      <c r="B31" s="39">
        <f>(COUNTIFS(集計用!$G:$G,"*, "&amp;$C31&amp;",*",集計用!$Q:$Q,"&lt;&gt;無回答"))</f>
        <v>22</v>
      </c>
      <c r="C31" s="42" t="s">
        <v>24</v>
      </c>
      <c r="D31" s="41">
        <f>COUNTIFS(集計用!$O:$O, "*, "&amp;D$4&amp;", *",集計用!$G:$G,"*, "&amp;$C31&amp;", *")/$B31*100</f>
        <v>72.727272727272734</v>
      </c>
      <c r="E31" s="41">
        <f>COUNTIFS(集計用!$O:$O, "*, "&amp;E$4&amp;", *",集計用!$G:$G,"*, "&amp;$C31&amp;", *")/$B31*100</f>
        <v>68.181818181818173</v>
      </c>
      <c r="F31" s="41">
        <f>COUNTIFS(集計用!$O:$O, "*, "&amp;F$4&amp;", *",集計用!$G:$G,"*, "&amp;$C31&amp;", *")/$B31*100</f>
        <v>54.54545454545454</v>
      </c>
      <c r="G31" s="41">
        <f>COUNTIFS(集計用!$O:$O, "*, "&amp;G$4&amp;", *",集計用!$G:$G,"*, "&amp;$C31&amp;", *")/$B31*100</f>
        <v>27.27272727272727</v>
      </c>
      <c r="H31" s="41">
        <f>COUNTIFS(集計用!$O:$O, "*, "&amp;H$4&amp;", *",集計用!$G:$G,"*, "&amp;$C31&amp;", *")/$B31*100</f>
        <v>27.27272727272727</v>
      </c>
      <c r="I31" s="41">
        <f>COUNTIFS(集計用!$O:$O, "*, "&amp;I$4&amp;", *",集計用!$G:$G,"*, "&amp;$C31&amp;", *")/$B31*100</f>
        <v>18.181818181818183</v>
      </c>
      <c r="J31" s="41">
        <f>COUNTIFS(集計用!$O:$O, "*, "&amp;J$4&amp;", *",集計用!$G:$G,"*, "&amp;$C31&amp;", *")/$B31*100</f>
        <v>27.27272727272727</v>
      </c>
      <c r="K31" s="41">
        <f>COUNTIFS(集計用!$O:$O, "*, "&amp;K$4&amp;", *",集計用!$G:$G,"*, "&amp;$C31&amp;", *")/$B31*100</f>
        <v>22.727272727272727</v>
      </c>
      <c r="L31" s="41">
        <f>COUNTIFS(集計用!$O:$O, "*, "&amp;L$4&amp;", *",集計用!$G:$G,"*, "&amp;$C31&amp;", *")/$B31*100</f>
        <v>13.636363636363635</v>
      </c>
      <c r="M31" s="41">
        <f>COUNTIFS(集計用!$O:$O, "*, "&amp;M$4&amp;", *",集計用!$G:$G,"*, "&amp;$C31&amp;", *")/$B31*100</f>
        <v>36.363636363636367</v>
      </c>
      <c r="N31" s="41">
        <f>COUNTIFS(集計用!$O:$O, "*, "&amp;N$4&amp;", *",集計用!$G:$G,"*, "&amp;$C31&amp;", *")/$B31*100</f>
        <v>18.181818181818183</v>
      </c>
      <c r="O31" s="41">
        <f>COUNTIFS(集計用!$O:$O, "*, "&amp;O$4&amp;", *",集計用!$G:$G,"*, "&amp;$C31&amp;", *")/$B31*100</f>
        <v>13.636363636363635</v>
      </c>
      <c r="P31" s="41">
        <f>COUNTIFS(集計用!$O:$O, "*, "&amp;P$4&amp;", *",集計用!$G:$G,"*, "&amp;$C31&amp;", *")/$B31*100</f>
        <v>18.181818181818183</v>
      </c>
      <c r="Q31" s="41">
        <f>COUNTIFS(集計用!$O:$O, "*, "&amp;Q$4&amp;", *",集計用!$G:$G,"*, "&amp;$C31&amp;", *")/$B31*100</f>
        <v>13.636363636363635</v>
      </c>
      <c r="R31" s="41">
        <f>COUNTIFS(集計用!$O:$O, "*, "&amp;R$4&amp;", *",集計用!$G:$G,"*, "&amp;$C31&amp;", *")/$B31*100</f>
        <v>13.636363636363635</v>
      </c>
      <c r="S31" s="41">
        <f>COUNTIFS(集計用!$O:$O, "*, "&amp;S$4&amp;", *",集計用!$G:$G,"*, "&amp;$C31&amp;", *")/$B31*100</f>
        <v>9.0909090909090917</v>
      </c>
      <c r="T31" s="41">
        <f>COUNTIFS(集計用!$O:$O, "*, "&amp;T$4&amp;", *",集計用!$G:$G,"*, "&amp;$C31&amp;", *")/$B31*100</f>
        <v>0</v>
      </c>
      <c r="V31" s="41">
        <f>COUNTIFS(集計用!$P:$P, "*"&amp;V$4&amp;",*",集計用!$G:$G,"*, "&amp;$C31&amp;", *")/$B31*100</f>
        <v>0</v>
      </c>
      <c r="W31" s="41">
        <f>COUNTIFS(集計用!$P:$P, "*"&amp;W$4&amp;",*",集計用!$G:$G,"*, "&amp;$C31&amp;", *")/$B31*100</f>
        <v>0</v>
      </c>
      <c r="X31" s="41">
        <f>COUNTIFS(集計用!$P:$P, "*"&amp;X$4&amp;",*",集計用!$G:$G,"*, "&amp;$C31&amp;", *")/$B31*100</f>
        <v>0</v>
      </c>
      <c r="Y31" s="41">
        <f>COUNTIFS(集計用!$P:$P, "*"&amp;Y$4&amp;",*",集計用!$G:$G,"*, "&amp;$C31&amp;", *")/$B31*100</f>
        <v>0</v>
      </c>
      <c r="Z31" s="41">
        <f>COUNTIFS(集計用!$P:$P, "*"&amp;Z$4&amp;",*",集計用!$G:$G,"*, "&amp;$C31&amp;", *")/$B31*100</f>
        <v>0</v>
      </c>
      <c r="AA31" s="41">
        <f>COUNTIFS(集計用!$P:$P, "*"&amp;AA$4&amp;",*",集計用!$G:$G,"*, "&amp;$C31&amp;", *")/$B31*100</f>
        <v>0</v>
      </c>
      <c r="AB31" s="41">
        <f>COUNTIFS(集計用!$P:$P, "*"&amp;AB$4&amp;",*",集計用!$G:$G,"*, "&amp;$C31&amp;", *")/$B31*100</f>
        <v>0</v>
      </c>
      <c r="AC31" s="41">
        <f>COUNTIFS(集計用!$P:$P, "*"&amp;AC$4&amp;",*",集計用!$G:$G,"*, "&amp;$C31&amp;", *")/$B31*100</f>
        <v>0</v>
      </c>
      <c r="AD31" s="41">
        <f>COUNTIFS(集計用!$P:$P, "*"&amp;AD$4&amp;",*",集計用!$G:$G,"*, "&amp;$C31&amp;", *")/$B31*100</f>
        <v>0</v>
      </c>
      <c r="AE31" s="41">
        <f>COUNTIFS(集計用!$P:$P, "*"&amp;AE$4&amp;",*",集計用!$G:$G,"*, "&amp;$C31&amp;", *")/$B31*100</f>
        <v>0</v>
      </c>
      <c r="AF31" s="41">
        <f>COUNTIFS(集計用!$P:$P, "*"&amp;AF$4&amp;",*",集計用!$G:$G,"*, "&amp;$C31&amp;", *")/$B31*100</f>
        <v>0</v>
      </c>
      <c r="AG31" s="41">
        <f>COUNTIFS(集計用!$P:$P, "*"&amp;AG$4&amp;",*",集計用!$G:$G,"*, "&amp;$C31&amp;", *")/$B31*100</f>
        <v>0</v>
      </c>
      <c r="AH31" s="41">
        <f>COUNTIFS(集計用!$P:$P, "*"&amp;AH$4&amp;",*",集計用!$G:$G,"*, "&amp;$C31&amp;", *")/$B31*100</f>
        <v>0</v>
      </c>
      <c r="AI31" s="41">
        <f>COUNTIFS(集計用!$P:$P, "*"&amp;AI$4&amp;",*",集計用!$G:$G,"*, "&amp;$C31&amp;", *")/$B31*100</f>
        <v>0</v>
      </c>
      <c r="AJ31" s="41">
        <f>COUNTIFS(集計用!$P:$P, "*"&amp;AJ$4&amp;",*",集計用!$G:$G,"*, "&amp;$C31&amp;", *")/$B31*100</f>
        <v>0</v>
      </c>
      <c r="AK31" s="41">
        <f>COUNTIFS(集計用!$P:$P, "*"&amp;AK$4&amp;",*",集計用!$G:$G,"*, "&amp;$C31&amp;", *")/$B31*100</f>
        <v>0</v>
      </c>
      <c r="AL31" s="41">
        <f>COUNTIFS(集計用!$P:$P, "*"&amp;AL$4&amp;",*",集計用!$G:$G,"*, "&amp;$C31&amp;", *")/$B31*100</f>
        <v>0</v>
      </c>
      <c r="AM31" s="41">
        <f>COUNTIFS(集計用!$P:$P, "*"&amp;AM$4&amp;",*",集計用!$G:$G,"*, "&amp;$C31&amp;", *")/$B31*100</f>
        <v>0</v>
      </c>
      <c r="AN31" s="41">
        <f>COUNTIFS(集計用!$P:$P, "*"&amp;AN$4&amp;",*",集計用!$G:$G,"*, "&amp;$C31&amp;", *")/$B31*100</f>
        <v>0</v>
      </c>
      <c r="AO31" s="41">
        <f>COUNTIFS(集計用!$P:$P, "*"&amp;AO$4&amp;",*",集計用!$G:$G,"*, "&amp;$C31&amp;", *")/$B31*100</f>
        <v>0</v>
      </c>
      <c r="AP31" s="41">
        <f>COUNTIFS(集計用!$P:$P, "*"&amp;AP$4&amp;",*",集計用!$G:$G,"*, "&amp;$C31&amp;", *")/$B31*100</f>
        <v>4.5454545454545459</v>
      </c>
      <c r="AQ31" s="41">
        <f>COUNTIFS(集計用!$P:$P, "*"&amp;AQ$4&amp;",*",集計用!$G:$G,"*, "&amp;$C31&amp;", *")/$B31*100</f>
        <v>0</v>
      </c>
      <c r="AR31" s="41">
        <f>COUNTIFS(集計用!$P:$P, "*"&amp;AR$4&amp;",*",集計用!$G:$G,"*, "&amp;$C31&amp;", *")/$B31*100</f>
        <v>4.5454545454545459</v>
      </c>
      <c r="AS31" s="41">
        <f>COUNTIFS(集計用!$P:$P, "*"&amp;AS$4&amp;",*",集計用!$G:$G,"*, "&amp;$C31&amp;", *")/$B31*100</f>
        <v>0</v>
      </c>
      <c r="AT31" s="41">
        <f>COUNTIFS(集計用!$P:$P, "*"&amp;AT$4&amp;",*",集計用!$G:$G,"*, "&amp;$C31&amp;", *")/$B31*100</f>
        <v>0</v>
      </c>
      <c r="AU31" s="41">
        <f>COUNTIFS(集計用!$P:$P, "*"&amp;AU$4&amp;",*",集計用!$G:$G,"*, "&amp;$C31&amp;", *")/$B31*100</f>
        <v>0</v>
      </c>
      <c r="AV31" s="41">
        <f>COUNTIFS(集計用!$P:$P, "*"&amp;AV$4&amp;",*",集計用!$G:$G,"*, "&amp;$C31&amp;", *")/$B31*100</f>
        <v>0</v>
      </c>
      <c r="AW31" s="41">
        <f>COUNTIFS(集計用!$P:$P, "*"&amp;AW$4&amp;",*",集計用!$G:$G,"*, "&amp;$C31&amp;", *")/$B31*100</f>
        <v>0</v>
      </c>
      <c r="AX31" s="41">
        <f>COUNTIFS(集計用!$P:$P, "*"&amp;AX$4&amp;",*",集計用!$G:$G,"*, "&amp;$C31&amp;", *")/$B31*100</f>
        <v>0</v>
      </c>
      <c r="AY31" s="41">
        <f>COUNTIFS(集計用!$P:$P, "*"&amp;AY$4&amp;",*",集計用!$G:$G,"*, "&amp;$C31&amp;", *")/$B31*100</f>
        <v>0</v>
      </c>
      <c r="AZ31" s="41">
        <f>COUNTIFS(集計用!$P:$P, "*"&amp;AZ$4&amp;",*",集計用!$G:$G,"*, "&amp;$C31&amp;", *")/$B31*100</f>
        <v>0</v>
      </c>
      <c r="BA31" s="41">
        <f>COUNTIFS(集計用!$P:$P, "*"&amp;BA$4&amp;",*",集計用!$G:$G,"*, "&amp;$C31&amp;", *")/$B31*100</f>
        <v>4.5454545454545459</v>
      </c>
      <c r="BB31" s="41">
        <f>COUNTIFS(集計用!$P:$P, "*"&amp;BB$4&amp;",*",集計用!$G:$G,"*, "&amp;$C31&amp;", *")/$B31*100</f>
        <v>0</v>
      </c>
      <c r="BC31" s="41">
        <f>COUNTIFS(集計用!$P:$P, "*"&amp;BC$4&amp;",*",集計用!$G:$G,"*, "&amp;$C31&amp;", *")/$B31*100</f>
        <v>0</v>
      </c>
      <c r="BD31" s="41">
        <f>COUNTIFS(集計用!$P:$P, "*"&amp;BD$4&amp;",*",集計用!$G:$G,"*, "&amp;$C31&amp;", *")/$B31*100</f>
        <v>0</v>
      </c>
      <c r="BE31" s="41">
        <f>COUNTIFS(集計用!$P:$P, "*"&amp;BE$4&amp;",*",集計用!$G:$G,"*, "&amp;$C31&amp;", *")/$B31*100</f>
        <v>0</v>
      </c>
      <c r="BF31" s="41">
        <f>COUNTIFS(集計用!$P:$P, "*"&amp;BF$4&amp;",*",集計用!$G:$G,"*, "&amp;$C31&amp;", *")/$B31*100</f>
        <v>0</v>
      </c>
      <c r="BG31" s="41">
        <f>COUNTIFS(集計用!$P:$P, "*"&amp;BG$4&amp;",*",集計用!$G:$G,"*, "&amp;$C31&amp;", *")/$B31*100</f>
        <v>4.5454545454545459</v>
      </c>
      <c r="BH31" s="41">
        <f>COUNTIFS(集計用!$P:$P, "*"&amp;BH$4&amp;",*",集計用!$G:$G,"*, "&amp;$C31&amp;", *")/$B31*100</f>
        <v>0</v>
      </c>
      <c r="BI31" s="41">
        <f>COUNTIFS(集計用!$P:$P, "*"&amp;BI$4&amp;",*",集計用!$G:$G,"*, "&amp;$C31&amp;", *")/$B31*100</f>
        <v>0</v>
      </c>
      <c r="BJ31" s="41">
        <f>COUNTIFS(集計用!$P:$P, "*"&amp;BJ$4&amp;",*",集計用!$G:$G,"*, "&amp;$C31&amp;", *")/$B31*100</f>
        <v>0</v>
      </c>
      <c r="BK31" s="41">
        <f>COUNTIFS(集計用!$P:$P, "*"&amp;BK$4&amp;",*",集計用!$G:$G,"*, "&amp;$C31&amp;", *")/$B31*100</f>
        <v>4.5454545454545459</v>
      </c>
      <c r="BL31" s="41">
        <f>COUNTIFS(集計用!$P:$P, "*"&amp;BL$4&amp;",*",集計用!$G:$G,"*, "&amp;$C31&amp;", *")/$B31*100</f>
        <v>0</v>
      </c>
      <c r="BM31" s="41">
        <f>COUNTIFS(集計用!$P:$P, "*"&amp;BM$4&amp;",*",集計用!$G:$G,"*, "&amp;$C31&amp;", *")/$B31*100</f>
        <v>0</v>
      </c>
      <c r="BN31" s="41">
        <f>COUNTIFS(集計用!$P:$P, "*"&amp;BN$4&amp;",*",集計用!$G:$G,"*, "&amp;$C31&amp;", *")/$B31*100</f>
        <v>0</v>
      </c>
      <c r="BO31" s="41">
        <f>COUNTIFS(集計用!$P:$P, "*"&amp;BO$4&amp;",*",集計用!$G:$G,"*, "&amp;$C31&amp;", *")/$B31*100</f>
        <v>0</v>
      </c>
      <c r="BP31" s="41">
        <f>COUNTIFS(集計用!$P:$P, "*"&amp;BP$4&amp;",*",集計用!$G:$G,"*, "&amp;$C31&amp;", *")/$B31*100</f>
        <v>0</v>
      </c>
      <c r="BQ31" s="41">
        <f>COUNTIFS(集計用!$P:$P, "*"&amp;BQ$4&amp;",*",集計用!$G:$G,"*, "&amp;$C31&amp;", *")/$B31*100</f>
        <v>0</v>
      </c>
      <c r="BR31" s="41">
        <f>COUNTIFS(集計用!$P:$P, "*"&amp;BR$4&amp;",*",集計用!$G:$G,"*, "&amp;$C31&amp;", *")/$B31*100</f>
        <v>0</v>
      </c>
      <c r="BS31" s="41">
        <f>COUNTIFS(集計用!$P:$P, "*"&amp;BS$4&amp;",*",集計用!$G:$G,"*, "&amp;$C31&amp;", *")/$B31*100</f>
        <v>4.5454545454545459</v>
      </c>
      <c r="BT31" s="41">
        <f>COUNTIFS(集計用!$P:$P, "*"&amp;BT$4&amp;",*",集計用!$G:$G,"*, "&amp;$C31&amp;", *")/$B31*100</f>
        <v>0</v>
      </c>
      <c r="BU31" s="41"/>
      <c r="BV31" s="41"/>
      <c r="BW31" s="41"/>
      <c r="BX31" s="41"/>
      <c r="BY31" s="41"/>
      <c r="BZ31" s="41"/>
      <c r="CA31" s="41"/>
      <c r="CB31" s="41"/>
      <c r="CC31" s="41"/>
      <c r="CD31" s="41"/>
      <c r="CE31" s="41"/>
      <c r="CF31" s="41"/>
      <c r="CG31" s="41"/>
      <c r="CH31" s="41"/>
      <c r="CI31" s="41"/>
      <c r="CJ31" s="41"/>
      <c r="CK31" s="41"/>
    </row>
    <row r="32" spans="1:89" ht="12.75">
      <c r="A32" s="39">
        <v>6</v>
      </c>
      <c r="B32" s="39">
        <f>(COUNTIFS(集計用!$G:$G,"*, "&amp;$C32&amp;",*",集計用!$Q:$Q,"&lt;&gt;無回答"))</f>
        <v>20</v>
      </c>
      <c r="C32" s="42" t="s">
        <v>26</v>
      </c>
      <c r="D32" s="41">
        <f>COUNTIFS(集計用!$O:$O, "*, "&amp;D$4&amp;", *",集計用!$G:$G,"*, "&amp;$C32&amp;", *")/$B32*100</f>
        <v>75</v>
      </c>
      <c r="E32" s="41">
        <f>COUNTIFS(集計用!$O:$O, "*, "&amp;E$4&amp;", *",集計用!$G:$G,"*, "&amp;$C32&amp;", *")/$B32*100</f>
        <v>70</v>
      </c>
      <c r="F32" s="41">
        <f>COUNTIFS(集計用!$O:$O, "*, "&amp;F$4&amp;", *",集計用!$G:$G,"*, "&amp;$C32&amp;", *")/$B32*100</f>
        <v>65</v>
      </c>
      <c r="G32" s="41">
        <f>COUNTIFS(集計用!$O:$O, "*, "&amp;G$4&amp;", *",集計用!$G:$G,"*, "&amp;$C32&amp;", *")/$B32*100</f>
        <v>25</v>
      </c>
      <c r="H32" s="41">
        <f>COUNTIFS(集計用!$O:$O, "*, "&amp;H$4&amp;", *",集計用!$G:$G,"*, "&amp;$C32&amp;", *")/$B32*100</f>
        <v>40</v>
      </c>
      <c r="I32" s="41">
        <f>COUNTIFS(集計用!$O:$O, "*, "&amp;I$4&amp;", *",集計用!$G:$G,"*, "&amp;$C32&amp;", *")/$B32*100</f>
        <v>25</v>
      </c>
      <c r="J32" s="41">
        <f>COUNTIFS(集計用!$O:$O, "*, "&amp;J$4&amp;", *",集計用!$G:$G,"*, "&amp;$C32&amp;", *")/$B32*100</f>
        <v>25</v>
      </c>
      <c r="K32" s="41">
        <f>COUNTIFS(集計用!$O:$O, "*, "&amp;K$4&amp;", *",集計用!$G:$G,"*, "&amp;$C32&amp;", *")/$B32*100</f>
        <v>20</v>
      </c>
      <c r="L32" s="41">
        <f>COUNTIFS(集計用!$O:$O, "*, "&amp;L$4&amp;", *",集計用!$G:$G,"*, "&amp;$C32&amp;", *")/$B32*100</f>
        <v>15</v>
      </c>
      <c r="M32" s="41">
        <f>COUNTIFS(集計用!$O:$O, "*, "&amp;M$4&amp;", *",集計用!$G:$G,"*, "&amp;$C32&amp;", *")/$B32*100</f>
        <v>25</v>
      </c>
      <c r="N32" s="41">
        <f>COUNTIFS(集計用!$O:$O, "*, "&amp;N$4&amp;", *",集計用!$G:$G,"*, "&amp;$C32&amp;", *")/$B32*100</f>
        <v>15</v>
      </c>
      <c r="O32" s="41">
        <f>COUNTIFS(集計用!$O:$O, "*, "&amp;O$4&amp;", *",集計用!$G:$G,"*, "&amp;$C32&amp;", *")/$B32*100</f>
        <v>15</v>
      </c>
      <c r="P32" s="41">
        <f>COUNTIFS(集計用!$O:$O, "*, "&amp;P$4&amp;", *",集計用!$G:$G,"*, "&amp;$C32&amp;", *")/$B32*100</f>
        <v>30</v>
      </c>
      <c r="Q32" s="41">
        <f>COUNTIFS(集計用!$O:$O, "*, "&amp;Q$4&amp;", *",集計用!$G:$G,"*, "&amp;$C32&amp;", *")/$B32*100</f>
        <v>10</v>
      </c>
      <c r="R32" s="41">
        <f>COUNTIFS(集計用!$O:$O, "*, "&amp;R$4&amp;", *",集計用!$G:$G,"*, "&amp;$C32&amp;", *")/$B32*100</f>
        <v>15</v>
      </c>
      <c r="S32" s="41">
        <f>COUNTIFS(集計用!$O:$O, "*, "&amp;S$4&amp;", *",集計用!$G:$G,"*, "&amp;$C32&amp;", *")/$B32*100</f>
        <v>15</v>
      </c>
      <c r="T32" s="41">
        <f>COUNTIFS(集計用!$O:$O, "*, "&amp;T$4&amp;", *",集計用!$G:$G,"*, "&amp;$C32&amp;", *")/$B32*100</f>
        <v>5</v>
      </c>
      <c r="V32" s="41">
        <f>COUNTIFS(集計用!$P:$P, "*"&amp;V$4&amp;",*",集計用!$G:$G,"*, "&amp;$C32&amp;", *")/$B32*100</f>
        <v>10</v>
      </c>
      <c r="W32" s="41">
        <f>COUNTIFS(集計用!$P:$P, "*"&amp;W$4&amp;",*",集計用!$G:$G,"*, "&amp;$C32&amp;", *")/$B32*100</f>
        <v>0</v>
      </c>
      <c r="X32" s="41">
        <f>COUNTIFS(集計用!$P:$P, "*"&amp;X$4&amp;",*",集計用!$G:$G,"*, "&amp;$C32&amp;", *")/$B32*100</f>
        <v>0</v>
      </c>
      <c r="Y32" s="41">
        <f>COUNTIFS(集計用!$P:$P, "*"&amp;Y$4&amp;",*",集計用!$G:$G,"*, "&amp;$C32&amp;", *")/$B32*100</f>
        <v>0</v>
      </c>
      <c r="Z32" s="41">
        <f>COUNTIFS(集計用!$P:$P, "*"&amp;Z$4&amp;",*",集計用!$G:$G,"*, "&amp;$C32&amp;", *")/$B32*100</f>
        <v>0</v>
      </c>
      <c r="AA32" s="41">
        <f>COUNTIFS(集計用!$P:$P, "*"&amp;AA$4&amp;",*",集計用!$G:$G,"*, "&amp;$C32&amp;", *")/$B32*100</f>
        <v>0</v>
      </c>
      <c r="AB32" s="41">
        <f>COUNTIFS(集計用!$P:$P, "*"&amp;AB$4&amp;",*",集計用!$G:$G,"*, "&amp;$C32&amp;", *")/$B32*100</f>
        <v>0</v>
      </c>
      <c r="AC32" s="41">
        <f>COUNTIFS(集計用!$P:$P, "*"&amp;AC$4&amp;",*",集計用!$G:$G,"*, "&amp;$C32&amp;", *")/$B32*100</f>
        <v>5</v>
      </c>
      <c r="AD32" s="41">
        <f>COUNTIFS(集計用!$P:$P, "*"&amp;AD$4&amp;",*",集計用!$G:$G,"*, "&amp;$C32&amp;", *")/$B32*100</f>
        <v>0</v>
      </c>
      <c r="AE32" s="41">
        <f>COUNTIFS(集計用!$P:$P, "*"&amp;AE$4&amp;",*",集計用!$G:$G,"*, "&amp;$C32&amp;", *")/$B32*100</f>
        <v>0</v>
      </c>
      <c r="AF32" s="41">
        <f>COUNTIFS(集計用!$P:$P, "*"&amp;AF$4&amp;",*",集計用!$G:$G,"*, "&amp;$C32&amp;", *")/$B32*100</f>
        <v>0</v>
      </c>
      <c r="AG32" s="41">
        <f>COUNTIFS(集計用!$P:$P, "*"&amp;AG$4&amp;",*",集計用!$G:$G,"*, "&amp;$C32&amp;", *")/$B32*100</f>
        <v>0</v>
      </c>
      <c r="AH32" s="41">
        <f>COUNTIFS(集計用!$P:$P, "*"&amp;AH$4&amp;",*",集計用!$G:$G,"*, "&amp;$C32&amp;", *")/$B32*100</f>
        <v>0</v>
      </c>
      <c r="AI32" s="41">
        <f>COUNTIFS(集計用!$P:$P, "*"&amp;AI$4&amp;",*",集計用!$G:$G,"*, "&amp;$C32&amp;", *")/$B32*100</f>
        <v>5</v>
      </c>
      <c r="AJ32" s="41">
        <f>COUNTIFS(集計用!$P:$P, "*"&amp;AJ$4&amp;",*",集計用!$G:$G,"*, "&amp;$C32&amp;", *")/$B32*100</f>
        <v>0</v>
      </c>
      <c r="AK32" s="41">
        <f>COUNTIFS(集計用!$P:$P, "*"&amp;AK$4&amp;",*",集計用!$G:$G,"*, "&amp;$C32&amp;", *")/$B32*100</f>
        <v>0</v>
      </c>
      <c r="AL32" s="41">
        <f>COUNTIFS(集計用!$P:$P, "*"&amp;AL$4&amp;",*",集計用!$G:$G,"*, "&amp;$C32&amp;", *")/$B32*100</f>
        <v>0</v>
      </c>
      <c r="AM32" s="41">
        <f>COUNTIFS(集計用!$P:$P, "*"&amp;AM$4&amp;",*",集計用!$G:$G,"*, "&amp;$C32&amp;", *")/$B32*100</f>
        <v>0</v>
      </c>
      <c r="AN32" s="41">
        <f>COUNTIFS(集計用!$P:$P, "*"&amp;AN$4&amp;",*",集計用!$G:$G,"*, "&amp;$C32&amp;", *")/$B32*100</f>
        <v>0</v>
      </c>
      <c r="AO32" s="41">
        <f>COUNTIFS(集計用!$P:$P, "*"&amp;AO$4&amp;",*",集計用!$G:$G,"*, "&amp;$C32&amp;", *")/$B32*100</f>
        <v>0</v>
      </c>
      <c r="AP32" s="41">
        <f>COUNTIFS(集計用!$P:$P, "*"&amp;AP$4&amp;",*",集計用!$G:$G,"*, "&amp;$C32&amp;", *")/$B32*100</f>
        <v>0</v>
      </c>
      <c r="AQ32" s="41">
        <f>COUNTIFS(集計用!$P:$P, "*"&amp;AQ$4&amp;",*",集計用!$G:$G,"*, "&amp;$C32&amp;", *")/$B32*100</f>
        <v>0</v>
      </c>
      <c r="AR32" s="41">
        <f>COUNTIFS(集計用!$P:$P, "*"&amp;AR$4&amp;",*",集計用!$G:$G,"*, "&amp;$C32&amp;", *")/$B32*100</f>
        <v>0</v>
      </c>
      <c r="AS32" s="41">
        <f>COUNTIFS(集計用!$P:$P, "*"&amp;AS$4&amp;",*",集計用!$G:$G,"*, "&amp;$C32&amp;", *")/$B32*100</f>
        <v>0</v>
      </c>
      <c r="AT32" s="41">
        <f>COUNTIFS(集計用!$P:$P, "*"&amp;AT$4&amp;",*",集計用!$G:$G,"*, "&amp;$C32&amp;", *")/$B32*100</f>
        <v>0</v>
      </c>
      <c r="AU32" s="41">
        <f>COUNTIFS(集計用!$P:$P, "*"&amp;AU$4&amp;",*",集計用!$G:$G,"*, "&amp;$C32&amp;", *")/$B32*100</f>
        <v>0</v>
      </c>
      <c r="AV32" s="41">
        <f>COUNTIFS(集計用!$P:$P, "*"&amp;AV$4&amp;",*",集計用!$G:$G,"*, "&amp;$C32&amp;", *")/$B32*100</f>
        <v>0</v>
      </c>
      <c r="AW32" s="41">
        <f>COUNTIFS(集計用!$P:$P, "*"&amp;AW$4&amp;",*",集計用!$G:$G,"*, "&amp;$C32&amp;", *")/$B32*100</f>
        <v>0</v>
      </c>
      <c r="AX32" s="41">
        <f>COUNTIFS(集計用!$P:$P, "*"&amp;AX$4&amp;",*",集計用!$G:$G,"*, "&amp;$C32&amp;", *")/$B32*100</f>
        <v>0</v>
      </c>
      <c r="AY32" s="41">
        <f>COUNTIFS(集計用!$P:$P, "*"&amp;AY$4&amp;",*",集計用!$G:$G,"*, "&amp;$C32&amp;", *")/$B32*100</f>
        <v>5</v>
      </c>
      <c r="AZ32" s="41">
        <f>COUNTIFS(集計用!$P:$P, "*"&amp;AZ$4&amp;",*",集計用!$G:$G,"*, "&amp;$C32&amp;", *")/$B32*100</f>
        <v>0</v>
      </c>
      <c r="BA32" s="41">
        <f>COUNTIFS(集計用!$P:$P, "*"&amp;BA$4&amp;",*",集計用!$G:$G,"*, "&amp;$C32&amp;", *")/$B32*100</f>
        <v>0</v>
      </c>
      <c r="BB32" s="41">
        <f>COUNTIFS(集計用!$P:$P, "*"&amp;BB$4&amp;",*",集計用!$G:$G,"*, "&amp;$C32&amp;", *")/$B32*100</f>
        <v>0</v>
      </c>
      <c r="BC32" s="41">
        <f>COUNTIFS(集計用!$P:$P, "*"&amp;BC$4&amp;",*",集計用!$G:$G,"*, "&amp;$C32&amp;", *")/$B32*100</f>
        <v>0</v>
      </c>
      <c r="BD32" s="41">
        <f>COUNTIFS(集計用!$P:$P, "*"&amp;BD$4&amp;",*",集計用!$G:$G,"*, "&amp;$C32&amp;", *")/$B32*100</f>
        <v>0</v>
      </c>
      <c r="BE32" s="41">
        <f>COUNTIFS(集計用!$P:$P, "*"&amp;BE$4&amp;",*",集計用!$G:$G,"*, "&amp;$C32&amp;", *")/$B32*100</f>
        <v>0</v>
      </c>
      <c r="BF32" s="41">
        <f>COUNTIFS(集計用!$P:$P, "*"&amp;BF$4&amp;",*",集計用!$G:$G,"*, "&amp;$C32&amp;", *")/$B32*100</f>
        <v>0</v>
      </c>
      <c r="BG32" s="41">
        <f>COUNTIFS(集計用!$P:$P, "*"&amp;BG$4&amp;",*",集計用!$G:$G,"*, "&amp;$C32&amp;", *")/$B32*100</f>
        <v>0</v>
      </c>
      <c r="BH32" s="41">
        <f>COUNTIFS(集計用!$P:$P, "*"&amp;BH$4&amp;",*",集計用!$G:$G,"*, "&amp;$C32&amp;", *")/$B32*100</f>
        <v>0</v>
      </c>
      <c r="BI32" s="41">
        <f>COUNTIFS(集計用!$P:$P, "*"&amp;BI$4&amp;",*",集計用!$G:$G,"*, "&amp;$C32&amp;", *")/$B32*100</f>
        <v>0</v>
      </c>
      <c r="BJ32" s="41">
        <f>COUNTIFS(集計用!$P:$P, "*"&amp;BJ$4&amp;",*",集計用!$G:$G,"*, "&amp;$C32&amp;", *")/$B32*100</f>
        <v>0</v>
      </c>
      <c r="BK32" s="41">
        <f>COUNTIFS(集計用!$P:$P, "*"&amp;BK$4&amp;",*",集計用!$G:$G,"*, "&amp;$C32&amp;", *")/$B32*100</f>
        <v>0</v>
      </c>
      <c r="BL32" s="41">
        <f>COUNTIFS(集計用!$P:$P, "*"&amp;BL$4&amp;",*",集計用!$G:$G,"*, "&amp;$C32&amp;", *")/$B32*100</f>
        <v>0</v>
      </c>
      <c r="BM32" s="41">
        <f>COUNTIFS(集計用!$P:$P, "*"&amp;BM$4&amp;",*",集計用!$G:$G,"*, "&amp;$C32&amp;", *")/$B32*100</f>
        <v>0</v>
      </c>
      <c r="BN32" s="41">
        <f>COUNTIFS(集計用!$P:$P, "*"&amp;BN$4&amp;",*",集計用!$G:$G,"*, "&amp;$C32&amp;", *")/$B32*100</f>
        <v>0</v>
      </c>
      <c r="BO32" s="41">
        <f>COUNTIFS(集計用!$P:$P, "*"&amp;BO$4&amp;",*",集計用!$G:$G,"*, "&amp;$C32&amp;", *")/$B32*100</f>
        <v>0</v>
      </c>
      <c r="BP32" s="41">
        <f>COUNTIFS(集計用!$P:$P, "*"&amp;BP$4&amp;",*",集計用!$G:$G,"*, "&amp;$C32&amp;", *")/$B32*100</f>
        <v>0</v>
      </c>
      <c r="BQ32" s="41">
        <f>COUNTIFS(集計用!$P:$P, "*"&amp;BQ$4&amp;",*",集計用!$G:$G,"*, "&amp;$C32&amp;", *")/$B32*100</f>
        <v>0</v>
      </c>
      <c r="BR32" s="41">
        <f>COUNTIFS(集計用!$P:$P, "*"&amp;BR$4&amp;",*",集計用!$G:$G,"*, "&amp;$C32&amp;", *")/$B32*100</f>
        <v>0</v>
      </c>
      <c r="BS32" s="41">
        <f>COUNTIFS(集計用!$P:$P, "*"&amp;BS$4&amp;",*",集計用!$G:$G,"*, "&amp;$C32&amp;", *")/$B32*100</f>
        <v>0</v>
      </c>
      <c r="BT32" s="41">
        <f>COUNTIFS(集計用!$P:$P, "*"&amp;BT$4&amp;",*",集計用!$G:$G,"*, "&amp;$C32&amp;", *")/$B32*100</f>
        <v>0</v>
      </c>
      <c r="BU32" s="41"/>
      <c r="BV32" s="41"/>
      <c r="BW32" s="41"/>
      <c r="BX32" s="41"/>
      <c r="BY32" s="41"/>
      <c r="BZ32" s="41"/>
      <c r="CA32" s="41"/>
      <c r="CB32" s="41"/>
      <c r="CC32" s="41"/>
      <c r="CD32" s="41"/>
      <c r="CE32" s="41"/>
      <c r="CF32" s="41"/>
      <c r="CG32" s="41"/>
      <c r="CH32" s="41"/>
      <c r="CI32" s="41"/>
      <c r="CJ32" s="41"/>
      <c r="CK32" s="41"/>
    </row>
    <row r="33" spans="1:89" ht="12.75">
      <c r="A33" s="39">
        <v>4</v>
      </c>
      <c r="B33" s="39">
        <f>(COUNTIFS(集計用!$G:$G,"*, "&amp;$C33&amp;",*",集計用!$Q:$Q,"&lt;&gt;無回答"))</f>
        <v>19</v>
      </c>
      <c r="C33" s="42" t="s">
        <v>27</v>
      </c>
      <c r="D33" s="41">
        <f>COUNTIFS(集計用!$O:$O, "*, "&amp;D$4&amp;", *",集計用!$G:$G,"*, "&amp;$C33&amp;", *")/$B33*100</f>
        <v>89.473684210526315</v>
      </c>
      <c r="E33" s="41">
        <f>COUNTIFS(集計用!$O:$O, "*, "&amp;E$4&amp;", *",集計用!$G:$G,"*, "&amp;$C33&amp;", *")/$B33*100</f>
        <v>57.894736842105267</v>
      </c>
      <c r="F33" s="41">
        <f>COUNTIFS(集計用!$O:$O, "*, "&amp;F$4&amp;", *",集計用!$G:$G,"*, "&amp;$C33&amp;", *")/$B33*100</f>
        <v>68.421052631578945</v>
      </c>
      <c r="G33" s="41">
        <f>COUNTIFS(集計用!$O:$O, "*, "&amp;G$4&amp;", *",集計用!$G:$G,"*, "&amp;$C33&amp;", *")/$B33*100</f>
        <v>15.789473684210526</v>
      </c>
      <c r="H33" s="41">
        <f>COUNTIFS(集計用!$O:$O, "*, "&amp;H$4&amp;", *",集計用!$G:$G,"*, "&amp;$C33&amp;", *")/$B33*100</f>
        <v>10.526315789473683</v>
      </c>
      <c r="I33" s="41">
        <f>COUNTIFS(集計用!$O:$O, "*, "&amp;I$4&amp;", *",集計用!$G:$G,"*, "&amp;$C33&amp;", *")/$B33*100</f>
        <v>21.052631578947366</v>
      </c>
      <c r="J33" s="41">
        <f>COUNTIFS(集計用!$O:$O, "*, "&amp;J$4&amp;", *",集計用!$G:$G,"*, "&amp;$C33&amp;", *")/$B33*100</f>
        <v>21.052631578947366</v>
      </c>
      <c r="K33" s="41">
        <f>COUNTIFS(集計用!$O:$O, "*, "&amp;K$4&amp;", *",集計用!$G:$G,"*, "&amp;$C33&amp;", *")/$B33*100</f>
        <v>21.052631578947366</v>
      </c>
      <c r="L33" s="41">
        <f>COUNTIFS(集計用!$O:$O, "*, "&amp;L$4&amp;", *",集計用!$G:$G,"*, "&amp;$C33&amp;", *")/$B33*100</f>
        <v>47.368421052631575</v>
      </c>
      <c r="M33" s="41">
        <f>COUNTIFS(集計用!$O:$O, "*, "&amp;M$4&amp;", *",集計用!$G:$G,"*, "&amp;$C33&amp;", *")/$B33*100</f>
        <v>36.84210526315789</v>
      </c>
      <c r="N33" s="41">
        <f>COUNTIFS(集計用!$O:$O, "*, "&amp;N$4&amp;", *",集計用!$G:$G,"*, "&amp;$C33&amp;", *")/$B33*100</f>
        <v>15.789473684210526</v>
      </c>
      <c r="O33" s="41">
        <f>COUNTIFS(集計用!$O:$O, "*, "&amp;O$4&amp;", *",集計用!$G:$G,"*, "&amp;$C33&amp;", *")/$B33*100</f>
        <v>15.789473684210526</v>
      </c>
      <c r="P33" s="41">
        <f>COUNTIFS(集計用!$O:$O, "*, "&amp;P$4&amp;", *",集計用!$G:$G,"*, "&amp;$C33&amp;", *")/$B33*100</f>
        <v>31.578947368421051</v>
      </c>
      <c r="Q33" s="41">
        <f>COUNTIFS(集計用!$O:$O, "*, "&amp;Q$4&amp;", *",集計用!$G:$G,"*, "&amp;$C33&amp;", *")/$B33*100</f>
        <v>10.526315789473683</v>
      </c>
      <c r="R33" s="41">
        <f>COUNTIFS(集計用!$O:$O, "*, "&amp;R$4&amp;", *",集計用!$G:$G,"*, "&amp;$C33&amp;", *")/$B33*100</f>
        <v>15.789473684210526</v>
      </c>
      <c r="S33" s="41">
        <f>COUNTIFS(集計用!$O:$O, "*, "&amp;S$4&amp;", *",集計用!$G:$G,"*, "&amp;$C33&amp;", *")/$B33*100</f>
        <v>10.526315789473683</v>
      </c>
      <c r="T33" s="41">
        <f>COUNTIFS(集計用!$O:$O, "*, "&amp;T$4&amp;", *",集計用!$G:$G,"*, "&amp;$C33&amp;", *")/$B33*100</f>
        <v>0</v>
      </c>
      <c r="V33" s="41">
        <f>COUNTIFS(集計用!$P:$P, "*"&amp;V$4&amp;",*",集計用!$G:$G,"*, "&amp;$C33&amp;", *")/$B33*100</f>
        <v>0</v>
      </c>
      <c r="W33" s="41">
        <f>COUNTIFS(集計用!$P:$P, "*"&amp;W$4&amp;",*",集計用!$G:$G,"*, "&amp;$C33&amp;", *")/$B33*100</f>
        <v>0</v>
      </c>
      <c r="X33" s="41">
        <f>COUNTIFS(集計用!$P:$P, "*"&amp;X$4&amp;",*",集計用!$G:$G,"*, "&amp;$C33&amp;", *")/$B33*100</f>
        <v>0</v>
      </c>
      <c r="Y33" s="41">
        <f>COUNTIFS(集計用!$P:$P, "*"&amp;Y$4&amp;",*",集計用!$G:$G,"*, "&amp;$C33&amp;", *")/$B33*100</f>
        <v>5.2631578947368416</v>
      </c>
      <c r="Z33" s="41">
        <f>COUNTIFS(集計用!$P:$P, "*"&amp;Z$4&amp;",*",集計用!$G:$G,"*, "&amp;$C33&amp;", *")/$B33*100</f>
        <v>0</v>
      </c>
      <c r="AA33" s="41">
        <f>COUNTIFS(集計用!$P:$P, "*"&amp;AA$4&amp;",*",集計用!$G:$G,"*, "&amp;$C33&amp;", *")/$B33*100</f>
        <v>0</v>
      </c>
      <c r="AB33" s="41">
        <f>COUNTIFS(集計用!$P:$P, "*"&amp;AB$4&amp;",*",集計用!$G:$G,"*, "&amp;$C33&amp;", *")/$B33*100</f>
        <v>0</v>
      </c>
      <c r="AC33" s="41">
        <f>COUNTIFS(集計用!$P:$P, "*"&amp;AC$4&amp;",*",集計用!$G:$G,"*, "&amp;$C33&amp;", *")/$B33*100</f>
        <v>5.2631578947368416</v>
      </c>
      <c r="AD33" s="41">
        <f>COUNTIFS(集計用!$P:$P, "*"&amp;AD$4&amp;",*",集計用!$G:$G,"*, "&amp;$C33&amp;", *")/$B33*100</f>
        <v>0</v>
      </c>
      <c r="AE33" s="41">
        <f>COUNTIFS(集計用!$P:$P, "*"&amp;AE$4&amp;",*",集計用!$G:$G,"*, "&amp;$C33&amp;", *")/$B33*100</f>
        <v>0</v>
      </c>
      <c r="AF33" s="41">
        <f>COUNTIFS(集計用!$P:$P, "*"&amp;AF$4&amp;",*",集計用!$G:$G,"*, "&amp;$C33&amp;", *")/$B33*100</f>
        <v>0</v>
      </c>
      <c r="AG33" s="41">
        <f>COUNTIFS(集計用!$P:$P, "*"&amp;AG$4&amp;",*",集計用!$G:$G,"*, "&amp;$C33&amp;", *")/$B33*100</f>
        <v>0</v>
      </c>
      <c r="AH33" s="41">
        <f>COUNTIFS(集計用!$P:$P, "*"&amp;AH$4&amp;",*",集計用!$G:$G,"*, "&amp;$C33&amp;", *")/$B33*100</f>
        <v>0</v>
      </c>
      <c r="AI33" s="41">
        <f>COUNTIFS(集計用!$P:$P, "*"&amp;AI$4&amp;",*",集計用!$G:$G,"*, "&amp;$C33&amp;", *")/$B33*100</f>
        <v>5.2631578947368416</v>
      </c>
      <c r="AJ33" s="41">
        <f>COUNTIFS(集計用!$P:$P, "*"&amp;AJ$4&amp;",*",集計用!$G:$G,"*, "&amp;$C33&amp;", *")/$B33*100</f>
        <v>0</v>
      </c>
      <c r="AK33" s="41">
        <f>COUNTIFS(集計用!$P:$P, "*"&amp;AK$4&amp;",*",集計用!$G:$G,"*, "&amp;$C33&amp;", *")/$B33*100</f>
        <v>0</v>
      </c>
      <c r="AL33" s="41">
        <f>COUNTIFS(集計用!$P:$P, "*"&amp;AL$4&amp;",*",集計用!$G:$G,"*, "&amp;$C33&amp;", *")/$B33*100</f>
        <v>0</v>
      </c>
      <c r="AM33" s="41">
        <f>COUNTIFS(集計用!$P:$P, "*"&amp;AM$4&amp;",*",集計用!$G:$G,"*, "&amp;$C33&amp;", *")/$B33*100</f>
        <v>0</v>
      </c>
      <c r="AN33" s="41">
        <f>COUNTIFS(集計用!$P:$P, "*"&amp;AN$4&amp;",*",集計用!$G:$G,"*, "&amp;$C33&amp;", *")/$B33*100</f>
        <v>0</v>
      </c>
      <c r="AO33" s="41">
        <f>COUNTIFS(集計用!$P:$P, "*"&amp;AO$4&amp;",*",集計用!$G:$G,"*, "&amp;$C33&amp;", *")/$B33*100</f>
        <v>0</v>
      </c>
      <c r="AP33" s="41">
        <f>COUNTIFS(集計用!$P:$P, "*"&amp;AP$4&amp;",*",集計用!$G:$G,"*, "&amp;$C33&amp;", *")/$B33*100</f>
        <v>0</v>
      </c>
      <c r="AQ33" s="41">
        <f>COUNTIFS(集計用!$P:$P, "*"&amp;AQ$4&amp;",*",集計用!$G:$G,"*, "&amp;$C33&amp;", *")/$B33*100</f>
        <v>0</v>
      </c>
      <c r="AR33" s="41">
        <f>COUNTIFS(集計用!$P:$P, "*"&amp;AR$4&amp;",*",集計用!$G:$G,"*, "&amp;$C33&amp;", *")/$B33*100</f>
        <v>0</v>
      </c>
      <c r="AS33" s="41">
        <f>COUNTIFS(集計用!$P:$P, "*"&amp;AS$4&amp;",*",集計用!$G:$G,"*, "&amp;$C33&amp;", *")/$B33*100</f>
        <v>0</v>
      </c>
      <c r="AT33" s="41">
        <f>COUNTIFS(集計用!$P:$P, "*"&amp;AT$4&amp;",*",集計用!$G:$G,"*, "&amp;$C33&amp;", *")/$B33*100</f>
        <v>0</v>
      </c>
      <c r="AU33" s="41">
        <f>COUNTIFS(集計用!$P:$P, "*"&amp;AU$4&amp;",*",集計用!$G:$G,"*, "&amp;$C33&amp;", *")/$B33*100</f>
        <v>0</v>
      </c>
      <c r="AV33" s="41">
        <f>COUNTIFS(集計用!$P:$P, "*"&amp;AV$4&amp;",*",集計用!$G:$G,"*, "&amp;$C33&amp;", *")/$B33*100</f>
        <v>0</v>
      </c>
      <c r="AW33" s="41">
        <f>COUNTIFS(集計用!$P:$P, "*"&amp;AW$4&amp;",*",集計用!$G:$G,"*, "&amp;$C33&amp;", *")/$B33*100</f>
        <v>0</v>
      </c>
      <c r="AX33" s="41">
        <f>COUNTIFS(集計用!$P:$P, "*"&amp;AX$4&amp;",*",集計用!$G:$G,"*, "&amp;$C33&amp;", *")/$B33*100</f>
        <v>0</v>
      </c>
      <c r="AY33" s="41">
        <f>COUNTIFS(集計用!$P:$P, "*"&amp;AY$4&amp;",*",集計用!$G:$G,"*, "&amp;$C33&amp;", *")/$B33*100</f>
        <v>0</v>
      </c>
      <c r="AZ33" s="41">
        <f>COUNTIFS(集計用!$P:$P, "*"&amp;AZ$4&amp;",*",集計用!$G:$G,"*, "&amp;$C33&amp;", *")/$B33*100</f>
        <v>0</v>
      </c>
      <c r="BA33" s="41">
        <f>COUNTIFS(集計用!$P:$P, "*"&amp;BA$4&amp;",*",集計用!$G:$G,"*, "&amp;$C33&amp;", *")/$B33*100</f>
        <v>0</v>
      </c>
      <c r="BB33" s="41">
        <f>COUNTIFS(集計用!$P:$P, "*"&amp;BB$4&amp;",*",集計用!$G:$G,"*, "&amp;$C33&amp;", *")/$B33*100</f>
        <v>0</v>
      </c>
      <c r="BC33" s="41">
        <f>COUNTIFS(集計用!$P:$P, "*"&amp;BC$4&amp;",*",集計用!$G:$G,"*, "&amp;$C33&amp;", *")/$B33*100</f>
        <v>0</v>
      </c>
      <c r="BD33" s="41">
        <f>COUNTIFS(集計用!$P:$P, "*"&amp;BD$4&amp;",*",集計用!$G:$G,"*, "&amp;$C33&amp;", *")/$B33*100</f>
        <v>0</v>
      </c>
      <c r="BE33" s="41">
        <f>COUNTIFS(集計用!$P:$P, "*"&amp;BE$4&amp;",*",集計用!$G:$G,"*, "&amp;$C33&amp;", *")/$B33*100</f>
        <v>0</v>
      </c>
      <c r="BF33" s="41">
        <f>COUNTIFS(集計用!$P:$P, "*"&amp;BF$4&amp;",*",集計用!$G:$G,"*, "&amp;$C33&amp;", *")/$B33*100</f>
        <v>0</v>
      </c>
      <c r="BG33" s="41">
        <f>COUNTIFS(集計用!$P:$P, "*"&amp;BG$4&amp;",*",集計用!$G:$G,"*, "&amp;$C33&amp;", *")/$B33*100</f>
        <v>0</v>
      </c>
      <c r="BH33" s="41">
        <f>COUNTIFS(集計用!$P:$P, "*"&amp;BH$4&amp;",*",集計用!$G:$G,"*, "&amp;$C33&amp;", *")/$B33*100</f>
        <v>0</v>
      </c>
      <c r="BI33" s="41">
        <f>COUNTIFS(集計用!$P:$P, "*"&amp;BI$4&amp;",*",集計用!$G:$G,"*, "&amp;$C33&amp;", *")/$B33*100</f>
        <v>0</v>
      </c>
      <c r="BJ33" s="41">
        <f>COUNTIFS(集計用!$P:$P, "*"&amp;BJ$4&amp;",*",集計用!$G:$G,"*, "&amp;$C33&amp;", *")/$B33*100</f>
        <v>0</v>
      </c>
      <c r="BK33" s="41">
        <f>COUNTIFS(集計用!$P:$P, "*"&amp;BK$4&amp;",*",集計用!$G:$G,"*, "&amp;$C33&amp;", *")/$B33*100</f>
        <v>0</v>
      </c>
      <c r="BL33" s="41">
        <f>COUNTIFS(集計用!$P:$P, "*"&amp;BL$4&amp;",*",集計用!$G:$G,"*, "&amp;$C33&amp;", *")/$B33*100</f>
        <v>0</v>
      </c>
      <c r="BM33" s="41">
        <f>COUNTIFS(集計用!$P:$P, "*"&amp;BM$4&amp;",*",集計用!$G:$G,"*, "&amp;$C33&amp;", *")/$B33*100</f>
        <v>0</v>
      </c>
      <c r="BN33" s="41">
        <f>COUNTIFS(集計用!$P:$P, "*"&amp;BN$4&amp;",*",集計用!$G:$G,"*, "&amp;$C33&amp;", *")/$B33*100</f>
        <v>0</v>
      </c>
      <c r="BO33" s="41">
        <f>COUNTIFS(集計用!$P:$P, "*"&amp;BO$4&amp;",*",集計用!$G:$G,"*, "&amp;$C33&amp;", *")/$B33*100</f>
        <v>0</v>
      </c>
      <c r="BP33" s="41">
        <f>COUNTIFS(集計用!$P:$P, "*"&amp;BP$4&amp;",*",集計用!$G:$G,"*, "&amp;$C33&amp;", *")/$B33*100</f>
        <v>0</v>
      </c>
      <c r="BQ33" s="41">
        <f>COUNTIFS(集計用!$P:$P, "*"&amp;BQ$4&amp;",*",集計用!$G:$G,"*, "&amp;$C33&amp;", *")/$B33*100</f>
        <v>0</v>
      </c>
      <c r="BR33" s="41">
        <f>COUNTIFS(集計用!$P:$P, "*"&amp;BR$4&amp;",*",集計用!$G:$G,"*, "&amp;$C33&amp;", *")/$B33*100</f>
        <v>0</v>
      </c>
      <c r="BS33" s="41">
        <f>COUNTIFS(集計用!$P:$P, "*"&amp;BS$4&amp;",*",集計用!$G:$G,"*, "&amp;$C33&amp;", *")/$B33*100</f>
        <v>0</v>
      </c>
      <c r="BT33" s="41">
        <f>COUNTIFS(集計用!$P:$P, "*"&amp;BT$4&amp;",*",集計用!$G:$G,"*, "&amp;$C33&amp;", *")/$B33*100</f>
        <v>0</v>
      </c>
      <c r="BU33" s="41"/>
      <c r="BV33" s="41"/>
      <c r="BW33" s="41"/>
      <c r="BX33" s="41"/>
      <c r="BY33" s="41"/>
      <c r="BZ33" s="41"/>
      <c r="CA33" s="41"/>
      <c r="CB33" s="41"/>
      <c r="CC33" s="41"/>
      <c r="CD33" s="41"/>
      <c r="CE33" s="41"/>
      <c r="CF33" s="41"/>
      <c r="CG33" s="41"/>
      <c r="CH33" s="41"/>
      <c r="CI33" s="41"/>
      <c r="CJ33" s="41"/>
      <c r="CK33" s="41"/>
    </row>
    <row r="34" spans="1:89" ht="12.75">
      <c r="A34" s="39">
        <v>5</v>
      </c>
      <c r="B34" s="39">
        <f>(COUNTIFS(集計用!$G:$G,"*, "&amp;$C34&amp;",*",集計用!$Q:$Q,"&lt;&gt;無回答"))</f>
        <v>18</v>
      </c>
      <c r="C34" s="42" t="s">
        <v>28</v>
      </c>
      <c r="D34" s="41">
        <f>COUNTIFS(集計用!$O:$O, "*, "&amp;D$4&amp;", *",集計用!$G:$G,"*, "&amp;$C34&amp;", *")/$B34*100</f>
        <v>61.111111111111114</v>
      </c>
      <c r="E34" s="41">
        <f>COUNTIFS(集計用!$O:$O, "*, "&amp;E$4&amp;", *",集計用!$G:$G,"*, "&amp;$C34&amp;", *")/$B34*100</f>
        <v>55.555555555555557</v>
      </c>
      <c r="F34" s="41">
        <f>COUNTIFS(集計用!$O:$O, "*, "&amp;F$4&amp;", *",集計用!$G:$G,"*, "&amp;$C34&amp;", *")/$B34*100</f>
        <v>33.333333333333329</v>
      </c>
      <c r="G34" s="41">
        <f>COUNTIFS(集計用!$O:$O, "*, "&amp;G$4&amp;", *",集計用!$G:$G,"*, "&amp;$C34&amp;", *")/$B34*100</f>
        <v>55.555555555555557</v>
      </c>
      <c r="H34" s="41">
        <f>COUNTIFS(集計用!$O:$O, "*, "&amp;H$4&amp;", *",集計用!$G:$G,"*, "&amp;$C34&amp;", *")/$B34*100</f>
        <v>27.777777777777779</v>
      </c>
      <c r="I34" s="41">
        <f>COUNTIFS(集計用!$O:$O, "*, "&amp;I$4&amp;", *",集計用!$G:$G,"*, "&amp;$C34&amp;", *")/$B34*100</f>
        <v>50</v>
      </c>
      <c r="J34" s="41">
        <f>COUNTIFS(集計用!$O:$O, "*, "&amp;J$4&amp;", *",集計用!$G:$G,"*, "&amp;$C34&amp;", *")/$B34*100</f>
        <v>11.111111111111111</v>
      </c>
      <c r="K34" s="41">
        <f>COUNTIFS(集計用!$O:$O, "*, "&amp;K$4&amp;", *",集計用!$G:$G,"*, "&amp;$C34&amp;", *")/$B34*100</f>
        <v>33.333333333333329</v>
      </c>
      <c r="L34" s="41">
        <f>COUNTIFS(集計用!$O:$O, "*, "&amp;L$4&amp;", *",集計用!$G:$G,"*, "&amp;$C34&amp;", *")/$B34*100</f>
        <v>16.666666666666664</v>
      </c>
      <c r="M34" s="41">
        <f>COUNTIFS(集計用!$O:$O, "*, "&amp;M$4&amp;", *",集計用!$G:$G,"*, "&amp;$C34&amp;", *")/$B34*100</f>
        <v>11.111111111111111</v>
      </c>
      <c r="N34" s="41">
        <f>COUNTIFS(集計用!$O:$O, "*, "&amp;N$4&amp;", *",集計用!$G:$G,"*, "&amp;$C34&amp;", *")/$B34*100</f>
        <v>11.111111111111111</v>
      </c>
      <c r="O34" s="41">
        <f>COUNTIFS(集計用!$O:$O, "*, "&amp;O$4&amp;", *",集計用!$G:$G,"*, "&amp;$C34&amp;", *")/$B34*100</f>
        <v>27.777777777777779</v>
      </c>
      <c r="P34" s="41">
        <f>COUNTIFS(集計用!$O:$O, "*, "&amp;P$4&amp;", *",集計用!$G:$G,"*, "&amp;$C34&amp;", *")/$B34*100</f>
        <v>16.666666666666664</v>
      </c>
      <c r="Q34" s="41">
        <f>COUNTIFS(集計用!$O:$O, "*, "&amp;Q$4&amp;", *",集計用!$G:$G,"*, "&amp;$C34&amp;", *")/$B34*100</f>
        <v>11.111111111111111</v>
      </c>
      <c r="R34" s="41">
        <f>COUNTIFS(集計用!$O:$O, "*, "&amp;R$4&amp;", *",集計用!$G:$G,"*, "&amp;$C34&amp;", *")/$B34*100</f>
        <v>5.5555555555555554</v>
      </c>
      <c r="S34" s="41">
        <f>COUNTIFS(集計用!$O:$O, "*, "&amp;S$4&amp;", *",集計用!$G:$G,"*, "&amp;$C34&amp;", *")/$B34*100</f>
        <v>5.5555555555555554</v>
      </c>
      <c r="T34" s="41">
        <f>COUNTIFS(集計用!$O:$O, "*, "&amp;T$4&amp;", *",集計用!$G:$G,"*, "&amp;$C34&amp;", *")/$B34*100</f>
        <v>5.5555555555555554</v>
      </c>
      <c r="V34" s="41">
        <f>COUNTIFS(集計用!$P:$P, "*"&amp;V$4&amp;",*",集計用!$G:$G,"*, "&amp;$C34&amp;", *")/$B34*100</f>
        <v>0</v>
      </c>
      <c r="W34" s="41">
        <f>COUNTIFS(集計用!$P:$P, "*"&amp;W$4&amp;",*",集計用!$G:$G,"*, "&amp;$C34&amp;", *")/$B34*100</f>
        <v>0</v>
      </c>
      <c r="X34" s="41">
        <f>COUNTIFS(集計用!$P:$P, "*"&amp;X$4&amp;",*",集計用!$G:$G,"*, "&amp;$C34&amp;", *")/$B34*100</f>
        <v>0</v>
      </c>
      <c r="Y34" s="41">
        <f>COUNTIFS(集計用!$P:$P, "*"&amp;Y$4&amp;",*",集計用!$G:$G,"*, "&amp;$C34&amp;", *")/$B34*100</f>
        <v>0</v>
      </c>
      <c r="Z34" s="41">
        <f>COUNTIFS(集計用!$P:$P, "*"&amp;Z$4&amp;",*",集計用!$G:$G,"*, "&amp;$C34&amp;", *")/$B34*100</f>
        <v>5.5555555555555554</v>
      </c>
      <c r="AA34" s="41">
        <f>COUNTIFS(集計用!$P:$P, "*"&amp;AA$4&amp;",*",集計用!$G:$G,"*, "&amp;$C34&amp;", *")/$B34*100</f>
        <v>0</v>
      </c>
      <c r="AB34" s="41">
        <f>COUNTIFS(集計用!$P:$P, "*"&amp;AB$4&amp;",*",集計用!$G:$G,"*, "&amp;$C34&amp;", *")/$B34*100</f>
        <v>0</v>
      </c>
      <c r="AC34" s="41">
        <f>COUNTIFS(集計用!$P:$P, "*"&amp;AC$4&amp;",*",集計用!$G:$G,"*, "&amp;$C34&amp;", *")/$B34*100</f>
        <v>0</v>
      </c>
      <c r="AD34" s="41">
        <f>COUNTIFS(集計用!$P:$P, "*"&amp;AD$4&amp;",*",集計用!$G:$G,"*, "&amp;$C34&amp;", *")/$B34*100</f>
        <v>0</v>
      </c>
      <c r="AE34" s="41">
        <f>COUNTIFS(集計用!$P:$P, "*"&amp;AE$4&amp;",*",集計用!$G:$G,"*, "&amp;$C34&amp;", *")/$B34*100</f>
        <v>0</v>
      </c>
      <c r="AF34" s="41">
        <f>COUNTIFS(集計用!$P:$P, "*"&amp;AF$4&amp;",*",集計用!$G:$G,"*, "&amp;$C34&amp;", *")/$B34*100</f>
        <v>0</v>
      </c>
      <c r="AG34" s="41">
        <f>COUNTIFS(集計用!$P:$P, "*"&amp;AG$4&amp;",*",集計用!$G:$G,"*, "&amp;$C34&amp;", *")/$B34*100</f>
        <v>0</v>
      </c>
      <c r="AH34" s="41">
        <f>COUNTIFS(集計用!$P:$P, "*"&amp;AH$4&amp;",*",集計用!$G:$G,"*, "&amp;$C34&amp;", *")/$B34*100</f>
        <v>0</v>
      </c>
      <c r="AI34" s="41">
        <f>COUNTIFS(集計用!$P:$P, "*"&amp;AI$4&amp;",*",集計用!$G:$G,"*, "&amp;$C34&amp;", *")/$B34*100</f>
        <v>0</v>
      </c>
      <c r="AJ34" s="41">
        <f>COUNTIFS(集計用!$P:$P, "*"&amp;AJ$4&amp;",*",集計用!$G:$G,"*, "&amp;$C34&amp;", *")/$B34*100</f>
        <v>0</v>
      </c>
      <c r="AK34" s="41">
        <f>COUNTIFS(集計用!$P:$P, "*"&amp;AK$4&amp;",*",集計用!$G:$G,"*, "&amp;$C34&amp;", *")/$B34*100</f>
        <v>0</v>
      </c>
      <c r="AL34" s="41">
        <f>COUNTIFS(集計用!$P:$P, "*"&amp;AL$4&amp;",*",集計用!$G:$G,"*, "&amp;$C34&amp;", *")/$B34*100</f>
        <v>0</v>
      </c>
      <c r="AM34" s="41">
        <f>COUNTIFS(集計用!$P:$P, "*"&amp;AM$4&amp;",*",集計用!$G:$G,"*, "&amp;$C34&amp;", *")/$B34*100</f>
        <v>0</v>
      </c>
      <c r="AN34" s="41">
        <f>COUNTIFS(集計用!$P:$P, "*"&amp;AN$4&amp;",*",集計用!$G:$G,"*, "&amp;$C34&amp;", *")/$B34*100</f>
        <v>0</v>
      </c>
      <c r="AO34" s="41">
        <f>COUNTIFS(集計用!$P:$P, "*"&amp;AO$4&amp;",*",集計用!$G:$G,"*, "&amp;$C34&amp;", *")/$B34*100</f>
        <v>0</v>
      </c>
      <c r="AP34" s="41">
        <f>COUNTIFS(集計用!$P:$P, "*"&amp;AP$4&amp;",*",集計用!$G:$G,"*, "&amp;$C34&amp;", *")/$B34*100</f>
        <v>0</v>
      </c>
      <c r="AQ34" s="41">
        <f>COUNTIFS(集計用!$P:$P, "*"&amp;AQ$4&amp;",*",集計用!$G:$G,"*, "&amp;$C34&amp;", *")/$B34*100</f>
        <v>0</v>
      </c>
      <c r="AR34" s="41">
        <f>COUNTIFS(集計用!$P:$P, "*"&amp;AR$4&amp;",*",集計用!$G:$G,"*, "&amp;$C34&amp;", *")/$B34*100</f>
        <v>0</v>
      </c>
      <c r="AS34" s="41">
        <f>COUNTIFS(集計用!$P:$P, "*"&amp;AS$4&amp;",*",集計用!$G:$G,"*, "&amp;$C34&amp;", *")/$B34*100</f>
        <v>0</v>
      </c>
      <c r="AT34" s="41">
        <f>COUNTIFS(集計用!$P:$P, "*"&amp;AT$4&amp;",*",集計用!$G:$G,"*, "&amp;$C34&amp;", *")/$B34*100</f>
        <v>0</v>
      </c>
      <c r="AU34" s="41">
        <f>COUNTIFS(集計用!$P:$P, "*"&amp;AU$4&amp;",*",集計用!$G:$G,"*, "&amp;$C34&amp;", *")/$B34*100</f>
        <v>0</v>
      </c>
      <c r="AV34" s="41">
        <f>COUNTIFS(集計用!$P:$P, "*"&amp;AV$4&amp;",*",集計用!$G:$G,"*, "&amp;$C34&amp;", *")/$B34*100</f>
        <v>0</v>
      </c>
      <c r="AW34" s="41">
        <f>COUNTIFS(集計用!$P:$P, "*"&amp;AW$4&amp;",*",集計用!$G:$G,"*, "&amp;$C34&amp;", *")/$B34*100</f>
        <v>0</v>
      </c>
      <c r="AX34" s="41">
        <f>COUNTIFS(集計用!$P:$P, "*"&amp;AX$4&amp;",*",集計用!$G:$G,"*, "&amp;$C34&amp;", *")/$B34*100</f>
        <v>0</v>
      </c>
      <c r="AY34" s="41">
        <f>COUNTIFS(集計用!$P:$P, "*"&amp;AY$4&amp;",*",集計用!$G:$G,"*, "&amp;$C34&amp;", *")/$B34*100</f>
        <v>0</v>
      </c>
      <c r="AZ34" s="41">
        <f>COUNTIFS(集計用!$P:$P, "*"&amp;AZ$4&amp;",*",集計用!$G:$G,"*, "&amp;$C34&amp;", *")/$B34*100</f>
        <v>0</v>
      </c>
      <c r="BA34" s="41">
        <f>COUNTIFS(集計用!$P:$P, "*"&amp;BA$4&amp;",*",集計用!$G:$G,"*, "&amp;$C34&amp;", *")/$B34*100</f>
        <v>0</v>
      </c>
      <c r="BB34" s="41">
        <f>COUNTIFS(集計用!$P:$P, "*"&amp;BB$4&amp;",*",集計用!$G:$G,"*, "&amp;$C34&amp;", *")/$B34*100</f>
        <v>0</v>
      </c>
      <c r="BC34" s="41">
        <f>COUNTIFS(集計用!$P:$P, "*"&amp;BC$4&amp;",*",集計用!$G:$G,"*, "&amp;$C34&amp;", *")/$B34*100</f>
        <v>0</v>
      </c>
      <c r="BD34" s="41">
        <f>COUNTIFS(集計用!$P:$P, "*"&amp;BD$4&amp;",*",集計用!$G:$G,"*, "&amp;$C34&amp;", *")/$B34*100</f>
        <v>0</v>
      </c>
      <c r="BE34" s="41">
        <f>COUNTIFS(集計用!$P:$P, "*"&amp;BE$4&amp;",*",集計用!$G:$G,"*, "&amp;$C34&amp;", *")/$B34*100</f>
        <v>0</v>
      </c>
      <c r="BF34" s="41">
        <f>COUNTIFS(集計用!$P:$P, "*"&amp;BF$4&amp;",*",集計用!$G:$G,"*, "&amp;$C34&amp;", *")/$B34*100</f>
        <v>0</v>
      </c>
      <c r="BG34" s="41">
        <f>COUNTIFS(集計用!$P:$P, "*"&amp;BG$4&amp;",*",集計用!$G:$G,"*, "&amp;$C34&amp;", *")/$B34*100</f>
        <v>0</v>
      </c>
      <c r="BH34" s="41">
        <f>COUNTIFS(集計用!$P:$P, "*"&amp;BH$4&amp;",*",集計用!$G:$G,"*, "&amp;$C34&amp;", *")/$B34*100</f>
        <v>0</v>
      </c>
      <c r="BI34" s="41">
        <f>COUNTIFS(集計用!$P:$P, "*"&amp;BI$4&amp;",*",集計用!$G:$G,"*, "&amp;$C34&amp;", *")/$B34*100</f>
        <v>0</v>
      </c>
      <c r="BJ34" s="41">
        <f>COUNTIFS(集計用!$P:$P, "*"&amp;BJ$4&amp;",*",集計用!$G:$G,"*, "&amp;$C34&amp;", *")/$B34*100</f>
        <v>0</v>
      </c>
      <c r="BK34" s="41">
        <f>COUNTIFS(集計用!$P:$P, "*"&amp;BK$4&amp;",*",集計用!$G:$G,"*, "&amp;$C34&amp;", *")/$B34*100</f>
        <v>0</v>
      </c>
      <c r="BL34" s="41">
        <f>COUNTIFS(集計用!$P:$P, "*"&amp;BL$4&amp;",*",集計用!$G:$G,"*, "&amp;$C34&amp;", *")/$B34*100</f>
        <v>0</v>
      </c>
      <c r="BM34" s="41">
        <f>COUNTIFS(集計用!$P:$P, "*"&amp;BM$4&amp;",*",集計用!$G:$G,"*, "&amp;$C34&amp;", *")/$B34*100</f>
        <v>0</v>
      </c>
      <c r="BN34" s="41">
        <f>COUNTIFS(集計用!$P:$P, "*"&amp;BN$4&amp;",*",集計用!$G:$G,"*, "&amp;$C34&amp;", *")/$B34*100</f>
        <v>0</v>
      </c>
      <c r="BO34" s="41">
        <f>COUNTIFS(集計用!$P:$P, "*"&amp;BO$4&amp;",*",集計用!$G:$G,"*, "&amp;$C34&amp;", *")/$B34*100</f>
        <v>0</v>
      </c>
      <c r="BP34" s="41">
        <f>COUNTIFS(集計用!$P:$P, "*"&amp;BP$4&amp;",*",集計用!$G:$G,"*, "&amp;$C34&amp;", *")/$B34*100</f>
        <v>0</v>
      </c>
      <c r="BQ34" s="41">
        <f>COUNTIFS(集計用!$P:$P, "*"&amp;BQ$4&amp;",*",集計用!$G:$G,"*, "&amp;$C34&amp;", *")/$B34*100</f>
        <v>0</v>
      </c>
      <c r="BR34" s="41">
        <f>COUNTIFS(集計用!$P:$P, "*"&amp;BR$4&amp;",*",集計用!$G:$G,"*, "&amp;$C34&amp;", *")/$B34*100</f>
        <v>0</v>
      </c>
      <c r="BS34" s="41">
        <f>COUNTIFS(集計用!$P:$P, "*"&amp;BS$4&amp;",*",集計用!$G:$G,"*, "&amp;$C34&amp;", *")/$B34*100</f>
        <v>0</v>
      </c>
      <c r="BT34" s="41">
        <f>COUNTIFS(集計用!$P:$P, "*"&amp;BT$4&amp;",*",集計用!$G:$G,"*, "&amp;$C34&amp;", *")/$B34*100</f>
        <v>0</v>
      </c>
      <c r="BU34" s="41"/>
      <c r="BV34" s="41"/>
      <c r="BW34" s="41"/>
      <c r="BX34" s="41"/>
      <c r="BY34" s="41"/>
      <c r="BZ34" s="41"/>
      <c r="CA34" s="41"/>
      <c r="CB34" s="41"/>
      <c r="CC34" s="41"/>
      <c r="CD34" s="41"/>
      <c r="CE34" s="41"/>
      <c r="CF34" s="41"/>
      <c r="CG34" s="41"/>
      <c r="CH34" s="41"/>
      <c r="CI34" s="41"/>
      <c r="CJ34" s="41"/>
      <c r="CK34" s="41"/>
    </row>
    <row r="35" spans="1:89" ht="15.75" customHeight="1">
      <c r="A35" s="39">
        <v>5</v>
      </c>
      <c r="B35" s="39">
        <f>(COUNTIFS(集計用!$G:$G,"*, "&amp;$C35&amp;",*",集計用!$Q:$Q,"&lt;&gt;無回答"))</f>
        <v>18</v>
      </c>
      <c r="C35" s="42" t="s">
        <v>29</v>
      </c>
      <c r="D35" s="41">
        <f>COUNTIFS(集計用!$O:$O, "*, "&amp;D$4&amp;", *",集計用!$G:$G,"*, "&amp;$C35&amp;", *")/$B35*100</f>
        <v>77.777777777777786</v>
      </c>
      <c r="E35" s="41">
        <f>COUNTIFS(集計用!$O:$O, "*, "&amp;E$4&amp;", *",集計用!$G:$G,"*, "&amp;$C35&amp;", *")/$B35*100</f>
        <v>77.777777777777786</v>
      </c>
      <c r="F35" s="41">
        <f>COUNTIFS(集計用!$O:$O, "*, "&amp;F$4&amp;", *",集計用!$G:$G,"*, "&amp;$C35&amp;", *")/$B35*100</f>
        <v>27.777777777777779</v>
      </c>
      <c r="G35" s="41">
        <f>COUNTIFS(集計用!$O:$O, "*, "&amp;G$4&amp;", *",集計用!$G:$G,"*, "&amp;$C35&amp;", *")/$B35*100</f>
        <v>44.444444444444443</v>
      </c>
      <c r="H35" s="41">
        <f>COUNTIFS(集計用!$O:$O, "*, "&amp;H$4&amp;", *",集計用!$G:$G,"*, "&amp;$C35&amp;", *")/$B35*100</f>
        <v>44.444444444444443</v>
      </c>
      <c r="I35" s="41">
        <f>COUNTIFS(集計用!$O:$O, "*, "&amp;I$4&amp;", *",集計用!$G:$G,"*, "&amp;$C35&amp;", *")/$B35*100</f>
        <v>33.333333333333329</v>
      </c>
      <c r="J35" s="41">
        <f>COUNTIFS(集計用!$O:$O, "*, "&amp;J$4&amp;", *",集計用!$G:$G,"*, "&amp;$C35&amp;", *")/$B35*100</f>
        <v>38.888888888888893</v>
      </c>
      <c r="K35" s="41">
        <f>COUNTIFS(集計用!$O:$O, "*, "&amp;K$4&amp;", *",集計用!$G:$G,"*, "&amp;$C35&amp;", *")/$B35*100</f>
        <v>33.333333333333329</v>
      </c>
      <c r="L35" s="41">
        <f>COUNTIFS(集計用!$O:$O, "*, "&amp;L$4&amp;", *",集計用!$G:$G,"*, "&amp;$C35&amp;", *")/$B35*100</f>
        <v>27.777777777777779</v>
      </c>
      <c r="M35" s="41">
        <f>COUNTIFS(集計用!$O:$O, "*, "&amp;M$4&amp;", *",集計用!$G:$G,"*, "&amp;$C35&amp;", *")/$B35*100</f>
        <v>16.666666666666664</v>
      </c>
      <c r="N35" s="41">
        <f>COUNTIFS(集計用!$O:$O, "*, "&amp;N$4&amp;", *",集計用!$G:$G,"*, "&amp;$C35&amp;", *")/$B35*100</f>
        <v>27.777777777777779</v>
      </c>
      <c r="O35" s="41">
        <f>COUNTIFS(集計用!$O:$O, "*, "&amp;O$4&amp;", *",集計用!$G:$G,"*, "&amp;$C35&amp;", *")/$B35*100</f>
        <v>16.666666666666664</v>
      </c>
      <c r="P35" s="41">
        <f>COUNTIFS(集計用!$O:$O, "*, "&amp;P$4&amp;", *",集計用!$G:$G,"*, "&amp;$C35&amp;", *")/$B35*100</f>
        <v>16.666666666666664</v>
      </c>
      <c r="Q35" s="41">
        <f>COUNTIFS(集計用!$O:$O, "*, "&amp;Q$4&amp;", *",集計用!$G:$G,"*, "&amp;$C35&amp;", *")/$B35*100</f>
        <v>5.5555555555555554</v>
      </c>
      <c r="R35" s="41">
        <f>COUNTIFS(集計用!$O:$O, "*, "&amp;R$4&amp;", *",集計用!$G:$G,"*, "&amp;$C35&amp;", *")/$B35*100</f>
        <v>16.666666666666664</v>
      </c>
      <c r="S35" s="41">
        <f>COUNTIFS(集計用!$O:$O, "*, "&amp;S$4&amp;", *",集計用!$G:$G,"*, "&amp;$C35&amp;", *")/$B35*100</f>
        <v>5.5555555555555554</v>
      </c>
      <c r="T35" s="41">
        <f>COUNTIFS(集計用!$O:$O, "*, "&amp;T$4&amp;", *",集計用!$G:$G,"*, "&amp;$C35&amp;", *")/$B35*100</f>
        <v>0</v>
      </c>
      <c r="V35" s="41">
        <f>COUNTIFS(集計用!$P:$P, "*"&amp;V$4&amp;",*",集計用!$G:$G,"*, "&amp;$C35&amp;", *")/$B35*100</f>
        <v>0</v>
      </c>
      <c r="W35" s="41">
        <f>COUNTIFS(集計用!$P:$P, "*"&amp;W$4&amp;",*",集計用!$G:$G,"*, "&amp;$C35&amp;", *")/$B35*100</f>
        <v>0</v>
      </c>
      <c r="X35" s="41">
        <f>COUNTIFS(集計用!$P:$P, "*"&amp;X$4&amp;",*",集計用!$G:$G,"*, "&amp;$C35&amp;", *")/$B35*100</f>
        <v>0</v>
      </c>
      <c r="Y35" s="41">
        <f>COUNTIFS(集計用!$P:$P, "*"&amp;Y$4&amp;",*",集計用!$G:$G,"*, "&amp;$C35&amp;", *")/$B35*100</f>
        <v>5.5555555555555554</v>
      </c>
      <c r="Z35" s="41">
        <f>COUNTIFS(集計用!$P:$P, "*"&amp;Z$4&amp;",*",集計用!$G:$G,"*, "&amp;$C35&amp;", *")/$B35*100</f>
        <v>5.5555555555555554</v>
      </c>
      <c r="AA35" s="41">
        <f>COUNTIFS(集計用!$P:$P, "*"&amp;AA$4&amp;",*",集計用!$G:$G,"*, "&amp;$C35&amp;", *")/$B35*100</f>
        <v>0</v>
      </c>
      <c r="AB35" s="41">
        <f>COUNTIFS(集計用!$P:$P, "*"&amp;AB$4&amp;",*",集計用!$G:$G,"*, "&amp;$C35&amp;", *")/$B35*100</f>
        <v>0</v>
      </c>
      <c r="AC35" s="41">
        <f>COUNTIFS(集計用!$P:$P, "*"&amp;AC$4&amp;",*",集計用!$G:$G,"*, "&amp;$C35&amp;", *")/$B35*100</f>
        <v>0</v>
      </c>
      <c r="AD35" s="41">
        <f>COUNTIFS(集計用!$P:$P, "*"&amp;AD$4&amp;",*",集計用!$G:$G,"*, "&amp;$C35&amp;", *")/$B35*100</f>
        <v>0</v>
      </c>
      <c r="AE35" s="41">
        <f>COUNTIFS(集計用!$P:$P, "*"&amp;AE$4&amp;",*",集計用!$G:$G,"*, "&amp;$C35&amp;", *")/$B35*100</f>
        <v>0</v>
      </c>
      <c r="AF35" s="41">
        <f>COUNTIFS(集計用!$P:$P, "*"&amp;AF$4&amp;",*",集計用!$G:$G,"*, "&amp;$C35&amp;", *")/$B35*100</f>
        <v>0</v>
      </c>
      <c r="AG35" s="41">
        <f>COUNTIFS(集計用!$P:$P, "*"&amp;AG$4&amp;",*",集計用!$G:$G,"*, "&amp;$C35&amp;", *")/$B35*100</f>
        <v>0</v>
      </c>
      <c r="AH35" s="41">
        <f>COUNTIFS(集計用!$P:$P, "*"&amp;AH$4&amp;",*",集計用!$G:$G,"*, "&amp;$C35&amp;", *")/$B35*100</f>
        <v>0</v>
      </c>
      <c r="AI35" s="41">
        <f>COUNTIFS(集計用!$P:$P, "*"&amp;AI$4&amp;",*",集計用!$G:$G,"*, "&amp;$C35&amp;", *")/$B35*100</f>
        <v>0</v>
      </c>
      <c r="AJ35" s="41">
        <f>COUNTIFS(集計用!$P:$P, "*"&amp;AJ$4&amp;",*",集計用!$G:$G,"*, "&amp;$C35&amp;", *")/$B35*100</f>
        <v>0</v>
      </c>
      <c r="AK35" s="41">
        <f>COUNTIFS(集計用!$P:$P, "*"&amp;AK$4&amp;",*",集計用!$G:$G,"*, "&amp;$C35&amp;", *")/$B35*100</f>
        <v>0</v>
      </c>
      <c r="AL35" s="41">
        <f>COUNTIFS(集計用!$P:$P, "*"&amp;AL$4&amp;",*",集計用!$G:$G,"*, "&amp;$C35&amp;", *")/$B35*100</f>
        <v>0</v>
      </c>
      <c r="AM35" s="41">
        <f>COUNTIFS(集計用!$P:$P, "*"&amp;AM$4&amp;",*",集計用!$G:$G,"*, "&amp;$C35&amp;", *")/$B35*100</f>
        <v>0</v>
      </c>
      <c r="AN35" s="41">
        <f>COUNTIFS(集計用!$P:$P, "*"&amp;AN$4&amp;",*",集計用!$G:$G,"*, "&amp;$C35&amp;", *")/$B35*100</f>
        <v>0</v>
      </c>
      <c r="AO35" s="41">
        <f>COUNTIFS(集計用!$P:$P, "*"&amp;AO$4&amp;",*",集計用!$G:$G,"*, "&amp;$C35&amp;", *")/$B35*100</f>
        <v>0</v>
      </c>
      <c r="AP35" s="41">
        <f>COUNTIFS(集計用!$P:$P, "*"&amp;AP$4&amp;",*",集計用!$G:$G,"*, "&amp;$C35&amp;", *")/$B35*100</f>
        <v>0</v>
      </c>
      <c r="AQ35" s="41">
        <f>COUNTIFS(集計用!$P:$P, "*"&amp;AQ$4&amp;",*",集計用!$G:$G,"*, "&amp;$C35&amp;", *")/$B35*100</f>
        <v>0</v>
      </c>
      <c r="AR35" s="41">
        <f>COUNTIFS(集計用!$P:$P, "*"&amp;AR$4&amp;",*",集計用!$G:$G,"*, "&amp;$C35&amp;", *")/$B35*100</f>
        <v>0</v>
      </c>
      <c r="AS35" s="41">
        <f>COUNTIFS(集計用!$P:$P, "*"&amp;AS$4&amp;",*",集計用!$G:$G,"*, "&amp;$C35&amp;", *")/$B35*100</f>
        <v>0</v>
      </c>
      <c r="AT35" s="41">
        <f>COUNTIFS(集計用!$P:$P, "*"&amp;AT$4&amp;",*",集計用!$G:$G,"*, "&amp;$C35&amp;", *")/$B35*100</f>
        <v>0</v>
      </c>
      <c r="AU35" s="41">
        <f>COUNTIFS(集計用!$P:$P, "*"&amp;AU$4&amp;",*",集計用!$G:$G,"*, "&amp;$C35&amp;", *")/$B35*100</f>
        <v>0</v>
      </c>
      <c r="AV35" s="41">
        <f>COUNTIFS(集計用!$P:$P, "*"&amp;AV$4&amp;",*",集計用!$G:$G,"*, "&amp;$C35&amp;", *")/$B35*100</f>
        <v>0</v>
      </c>
      <c r="AW35" s="41">
        <f>COUNTIFS(集計用!$P:$P, "*"&amp;AW$4&amp;",*",集計用!$G:$G,"*, "&amp;$C35&amp;", *")/$B35*100</f>
        <v>0</v>
      </c>
      <c r="AX35" s="41">
        <f>COUNTIFS(集計用!$P:$P, "*"&amp;AX$4&amp;",*",集計用!$G:$G,"*, "&amp;$C35&amp;", *")/$B35*100</f>
        <v>0</v>
      </c>
      <c r="AY35" s="41">
        <f>COUNTIFS(集計用!$P:$P, "*"&amp;AY$4&amp;",*",集計用!$G:$G,"*, "&amp;$C35&amp;", *")/$B35*100</f>
        <v>0</v>
      </c>
      <c r="AZ35" s="41">
        <f>COUNTIFS(集計用!$P:$P, "*"&amp;AZ$4&amp;",*",集計用!$G:$G,"*, "&amp;$C35&amp;", *")/$B35*100</f>
        <v>0</v>
      </c>
      <c r="BA35" s="41">
        <f>COUNTIFS(集計用!$P:$P, "*"&amp;BA$4&amp;",*",集計用!$G:$G,"*, "&amp;$C35&amp;", *")/$B35*100</f>
        <v>0</v>
      </c>
      <c r="BB35" s="41">
        <f>COUNTIFS(集計用!$P:$P, "*"&amp;BB$4&amp;",*",集計用!$G:$G,"*, "&amp;$C35&amp;", *")/$B35*100</f>
        <v>0</v>
      </c>
      <c r="BC35" s="41">
        <f>COUNTIFS(集計用!$P:$P, "*"&amp;BC$4&amp;",*",集計用!$G:$G,"*, "&amp;$C35&amp;", *")/$B35*100</f>
        <v>0</v>
      </c>
      <c r="BD35" s="41">
        <f>COUNTIFS(集計用!$P:$P, "*"&amp;BD$4&amp;",*",集計用!$G:$G,"*, "&amp;$C35&amp;", *")/$B35*100</f>
        <v>0</v>
      </c>
      <c r="BE35" s="41">
        <f>COUNTIFS(集計用!$P:$P, "*"&amp;BE$4&amp;",*",集計用!$G:$G,"*, "&amp;$C35&amp;", *")/$B35*100</f>
        <v>0</v>
      </c>
      <c r="BF35" s="41">
        <f>COUNTIFS(集計用!$P:$P, "*"&amp;BF$4&amp;",*",集計用!$G:$G,"*, "&amp;$C35&amp;", *")/$B35*100</f>
        <v>0</v>
      </c>
      <c r="BG35" s="41">
        <f>COUNTIFS(集計用!$P:$P, "*"&amp;BG$4&amp;",*",集計用!$G:$G,"*, "&amp;$C35&amp;", *")/$B35*100</f>
        <v>0</v>
      </c>
      <c r="BH35" s="41">
        <f>COUNTIFS(集計用!$P:$P, "*"&amp;BH$4&amp;",*",集計用!$G:$G,"*, "&amp;$C35&amp;", *")/$B35*100</f>
        <v>0</v>
      </c>
      <c r="BI35" s="41">
        <f>COUNTIFS(集計用!$P:$P, "*"&amp;BI$4&amp;",*",集計用!$G:$G,"*, "&amp;$C35&amp;", *")/$B35*100</f>
        <v>0</v>
      </c>
      <c r="BJ35" s="41">
        <f>COUNTIFS(集計用!$P:$P, "*"&amp;BJ$4&amp;",*",集計用!$G:$G,"*, "&amp;$C35&amp;", *")/$B35*100</f>
        <v>0</v>
      </c>
      <c r="BK35" s="41">
        <f>COUNTIFS(集計用!$P:$P, "*"&amp;BK$4&amp;",*",集計用!$G:$G,"*, "&amp;$C35&amp;", *")/$B35*100</f>
        <v>0</v>
      </c>
      <c r="BL35" s="41">
        <f>COUNTIFS(集計用!$P:$P, "*"&amp;BL$4&amp;",*",集計用!$G:$G,"*, "&amp;$C35&amp;", *")/$B35*100</f>
        <v>0</v>
      </c>
      <c r="BM35" s="41">
        <f>COUNTIFS(集計用!$P:$P, "*"&amp;BM$4&amp;",*",集計用!$G:$G,"*, "&amp;$C35&amp;", *")/$B35*100</f>
        <v>0</v>
      </c>
      <c r="BN35" s="41">
        <f>COUNTIFS(集計用!$P:$P, "*"&amp;BN$4&amp;",*",集計用!$G:$G,"*, "&amp;$C35&amp;", *")/$B35*100</f>
        <v>0</v>
      </c>
      <c r="BO35" s="41">
        <f>COUNTIFS(集計用!$P:$P, "*"&amp;BO$4&amp;",*",集計用!$G:$G,"*, "&amp;$C35&amp;", *")/$B35*100</f>
        <v>0</v>
      </c>
      <c r="BP35" s="41">
        <f>COUNTIFS(集計用!$P:$P, "*"&amp;BP$4&amp;",*",集計用!$G:$G,"*, "&amp;$C35&amp;", *")/$B35*100</f>
        <v>0</v>
      </c>
      <c r="BQ35" s="41">
        <f>COUNTIFS(集計用!$P:$P, "*"&amp;BQ$4&amp;",*",集計用!$G:$G,"*, "&amp;$C35&amp;", *")/$B35*100</f>
        <v>0</v>
      </c>
      <c r="BR35" s="41">
        <f>COUNTIFS(集計用!$P:$P, "*"&amp;BR$4&amp;",*",集計用!$G:$G,"*, "&amp;$C35&amp;", *")/$B35*100</f>
        <v>0</v>
      </c>
      <c r="BS35" s="41">
        <f>COUNTIFS(集計用!$P:$P, "*"&amp;BS$4&amp;",*",集計用!$G:$G,"*, "&amp;$C35&amp;", *")/$B35*100</f>
        <v>0</v>
      </c>
      <c r="BT35" s="41">
        <f>COUNTIFS(集計用!$P:$P, "*"&amp;BT$4&amp;",*",集計用!$G:$G,"*, "&amp;$C35&amp;", *")/$B35*100</f>
        <v>0</v>
      </c>
      <c r="BU35" s="41"/>
      <c r="BV35" s="41"/>
      <c r="BW35" s="41"/>
      <c r="BX35" s="41"/>
      <c r="BY35" s="41"/>
      <c r="BZ35" s="41"/>
      <c r="CA35" s="41"/>
      <c r="CB35" s="41"/>
      <c r="CC35" s="41"/>
      <c r="CD35" s="41"/>
      <c r="CE35" s="41"/>
      <c r="CF35" s="41"/>
      <c r="CG35" s="41"/>
      <c r="CH35" s="41"/>
      <c r="CI35" s="41"/>
      <c r="CJ35" s="41"/>
      <c r="CK35" s="41"/>
    </row>
    <row r="36" spans="1:89" ht="15.75" customHeight="1">
      <c r="A36" s="39">
        <v>4</v>
      </c>
      <c r="B36" s="39">
        <f>(COUNTIFS(集計用!$G:$G,"*, "&amp;$C36&amp;",*",集計用!$Q:$Q,"&lt;&gt;無回答"))</f>
        <v>16</v>
      </c>
      <c r="C36" s="42" t="s">
        <v>31</v>
      </c>
      <c r="D36" s="41">
        <f>COUNTIFS(集計用!$O:$O, "*, "&amp;D$4&amp;", *",集計用!$G:$G,"*, "&amp;$C36&amp;", *")/$B36*100</f>
        <v>81.25</v>
      </c>
      <c r="E36" s="41">
        <f>COUNTIFS(集計用!$O:$O, "*, "&amp;E$4&amp;", *",集計用!$G:$G,"*, "&amp;$C36&amp;", *")/$B36*100</f>
        <v>68.75</v>
      </c>
      <c r="F36" s="41">
        <f>COUNTIFS(集計用!$O:$O, "*, "&amp;F$4&amp;", *",集計用!$G:$G,"*, "&amp;$C36&amp;", *")/$B36*100</f>
        <v>68.75</v>
      </c>
      <c r="G36" s="41">
        <f>COUNTIFS(集計用!$O:$O, "*, "&amp;G$4&amp;", *",集計用!$G:$G,"*, "&amp;$C36&amp;", *")/$B36*100</f>
        <v>18.75</v>
      </c>
      <c r="H36" s="41">
        <f>COUNTIFS(集計用!$O:$O, "*, "&amp;H$4&amp;", *",集計用!$G:$G,"*, "&amp;$C36&amp;", *")/$B36*100</f>
        <v>18.75</v>
      </c>
      <c r="I36" s="41">
        <f>COUNTIFS(集計用!$O:$O, "*, "&amp;I$4&amp;", *",集計用!$G:$G,"*, "&amp;$C36&amp;", *")/$B36*100</f>
        <v>31.25</v>
      </c>
      <c r="J36" s="41">
        <f>COUNTIFS(集計用!$O:$O, "*, "&amp;J$4&amp;", *",集計用!$G:$G,"*, "&amp;$C36&amp;", *")/$B36*100</f>
        <v>12.5</v>
      </c>
      <c r="K36" s="41">
        <f>COUNTIFS(集計用!$O:$O, "*, "&amp;K$4&amp;", *",集計用!$G:$G,"*, "&amp;$C36&amp;", *")/$B36*100</f>
        <v>31.25</v>
      </c>
      <c r="L36" s="41">
        <f>COUNTIFS(集計用!$O:$O, "*, "&amp;L$4&amp;", *",集計用!$G:$G,"*, "&amp;$C36&amp;", *")/$B36*100</f>
        <v>18.75</v>
      </c>
      <c r="M36" s="41">
        <f>COUNTIFS(集計用!$O:$O, "*, "&amp;M$4&amp;", *",集計用!$G:$G,"*, "&amp;$C36&amp;", *")/$B36*100</f>
        <v>37.5</v>
      </c>
      <c r="N36" s="41">
        <f>COUNTIFS(集計用!$O:$O, "*, "&amp;N$4&amp;", *",集計用!$G:$G,"*, "&amp;$C36&amp;", *")/$B36*100</f>
        <v>18.75</v>
      </c>
      <c r="O36" s="41">
        <f>COUNTIFS(集計用!$O:$O, "*, "&amp;O$4&amp;", *",集計用!$G:$G,"*, "&amp;$C36&amp;", *")/$B36*100</f>
        <v>25</v>
      </c>
      <c r="P36" s="41">
        <f>COUNTIFS(集計用!$O:$O, "*, "&amp;P$4&amp;", *",集計用!$G:$G,"*, "&amp;$C36&amp;", *")/$B36*100</f>
        <v>18.75</v>
      </c>
      <c r="Q36" s="41">
        <f>COUNTIFS(集計用!$O:$O, "*, "&amp;Q$4&amp;", *",集計用!$G:$G,"*, "&amp;$C36&amp;", *")/$B36*100</f>
        <v>12.5</v>
      </c>
      <c r="R36" s="41">
        <f>COUNTIFS(集計用!$O:$O, "*, "&amp;R$4&amp;", *",集計用!$G:$G,"*, "&amp;$C36&amp;", *")/$B36*100</f>
        <v>37.5</v>
      </c>
      <c r="S36" s="41">
        <f>COUNTIFS(集計用!$O:$O, "*, "&amp;S$4&amp;", *",集計用!$G:$G,"*, "&amp;$C36&amp;", *")/$B36*100</f>
        <v>6.25</v>
      </c>
      <c r="T36" s="41">
        <f>COUNTIFS(集計用!$O:$O, "*, "&amp;T$4&amp;", *",集計用!$G:$G,"*, "&amp;$C36&amp;", *")/$B36*100</f>
        <v>6.25</v>
      </c>
      <c r="V36" s="41">
        <f>COUNTIFS(集計用!$P:$P, "*"&amp;V$4&amp;",*",集計用!$G:$G,"*, "&amp;$C36&amp;", *")/$B36*100</f>
        <v>0</v>
      </c>
      <c r="W36" s="41">
        <f>COUNTIFS(集計用!$P:$P, "*"&amp;W$4&amp;",*",集計用!$G:$G,"*, "&amp;$C36&amp;", *")/$B36*100</f>
        <v>0</v>
      </c>
      <c r="X36" s="41">
        <f>COUNTIFS(集計用!$P:$P, "*"&amp;X$4&amp;",*",集計用!$G:$G,"*, "&amp;$C36&amp;", *")/$B36*100</f>
        <v>0</v>
      </c>
      <c r="Y36" s="41">
        <f>COUNTIFS(集計用!$P:$P, "*"&amp;Y$4&amp;",*",集計用!$G:$G,"*, "&amp;$C36&amp;", *")/$B36*100</f>
        <v>0</v>
      </c>
      <c r="Z36" s="41">
        <f>COUNTIFS(集計用!$P:$P, "*"&amp;Z$4&amp;",*",集計用!$G:$G,"*, "&amp;$C36&amp;", *")/$B36*100</f>
        <v>0</v>
      </c>
      <c r="AA36" s="41">
        <f>COUNTIFS(集計用!$P:$P, "*"&amp;AA$4&amp;",*",集計用!$G:$G,"*, "&amp;$C36&amp;", *")/$B36*100</f>
        <v>0</v>
      </c>
      <c r="AB36" s="41">
        <f>COUNTIFS(集計用!$P:$P, "*"&amp;AB$4&amp;",*",集計用!$G:$G,"*, "&amp;$C36&amp;", *")/$B36*100</f>
        <v>0</v>
      </c>
      <c r="AC36" s="41">
        <f>COUNTIFS(集計用!$P:$P, "*"&amp;AC$4&amp;",*",集計用!$G:$G,"*, "&amp;$C36&amp;", *")/$B36*100</f>
        <v>0</v>
      </c>
      <c r="AD36" s="41">
        <f>COUNTIFS(集計用!$P:$P, "*"&amp;AD$4&amp;",*",集計用!$G:$G,"*, "&amp;$C36&amp;", *")/$B36*100</f>
        <v>0</v>
      </c>
      <c r="AE36" s="41">
        <f>COUNTIFS(集計用!$P:$P, "*"&amp;AE$4&amp;",*",集計用!$G:$G,"*, "&amp;$C36&amp;", *")/$B36*100</f>
        <v>0</v>
      </c>
      <c r="AF36" s="41">
        <f>COUNTIFS(集計用!$P:$P, "*"&amp;AF$4&amp;",*",集計用!$G:$G,"*, "&amp;$C36&amp;", *")/$B36*100</f>
        <v>0</v>
      </c>
      <c r="AG36" s="41">
        <f>COUNTIFS(集計用!$P:$P, "*"&amp;AG$4&amp;",*",集計用!$G:$G,"*, "&amp;$C36&amp;", *")/$B36*100</f>
        <v>0</v>
      </c>
      <c r="AH36" s="41">
        <f>COUNTIFS(集計用!$P:$P, "*"&amp;AH$4&amp;",*",集計用!$G:$G,"*, "&amp;$C36&amp;", *")/$B36*100</f>
        <v>0</v>
      </c>
      <c r="AI36" s="41">
        <f>COUNTIFS(集計用!$P:$P, "*"&amp;AI$4&amp;",*",集計用!$G:$G,"*, "&amp;$C36&amp;", *")/$B36*100</f>
        <v>0</v>
      </c>
      <c r="AJ36" s="41">
        <f>COUNTIFS(集計用!$P:$P, "*"&amp;AJ$4&amp;",*",集計用!$G:$G,"*, "&amp;$C36&amp;", *")/$B36*100</f>
        <v>0</v>
      </c>
      <c r="AK36" s="41">
        <f>COUNTIFS(集計用!$P:$P, "*"&amp;AK$4&amp;",*",集計用!$G:$G,"*, "&amp;$C36&amp;", *")/$B36*100</f>
        <v>0</v>
      </c>
      <c r="AL36" s="41">
        <f>COUNTIFS(集計用!$P:$P, "*"&amp;AL$4&amp;",*",集計用!$G:$G,"*, "&amp;$C36&amp;", *")/$B36*100</f>
        <v>0</v>
      </c>
      <c r="AM36" s="41">
        <f>COUNTIFS(集計用!$P:$P, "*"&amp;AM$4&amp;",*",集計用!$G:$G,"*, "&amp;$C36&amp;", *")/$B36*100</f>
        <v>0</v>
      </c>
      <c r="AN36" s="41">
        <f>COUNTIFS(集計用!$P:$P, "*"&amp;AN$4&amp;",*",集計用!$G:$G,"*, "&amp;$C36&amp;", *")/$B36*100</f>
        <v>0</v>
      </c>
      <c r="AO36" s="41">
        <f>COUNTIFS(集計用!$P:$P, "*"&amp;AO$4&amp;",*",集計用!$G:$G,"*, "&amp;$C36&amp;", *")/$B36*100</f>
        <v>0</v>
      </c>
      <c r="AP36" s="41">
        <f>COUNTIFS(集計用!$P:$P, "*"&amp;AP$4&amp;",*",集計用!$G:$G,"*, "&amp;$C36&amp;", *")/$B36*100</f>
        <v>0</v>
      </c>
      <c r="AQ36" s="41">
        <f>COUNTIFS(集計用!$P:$P, "*"&amp;AQ$4&amp;",*",集計用!$G:$G,"*, "&amp;$C36&amp;", *")/$B36*100</f>
        <v>0</v>
      </c>
      <c r="AR36" s="41">
        <f>COUNTIFS(集計用!$P:$P, "*"&amp;AR$4&amp;",*",集計用!$G:$G,"*, "&amp;$C36&amp;", *")/$B36*100</f>
        <v>0</v>
      </c>
      <c r="AS36" s="41">
        <f>COUNTIFS(集計用!$P:$P, "*"&amp;AS$4&amp;",*",集計用!$G:$G,"*, "&amp;$C36&amp;", *")/$B36*100</f>
        <v>0</v>
      </c>
      <c r="AT36" s="41">
        <f>COUNTIFS(集計用!$P:$P, "*"&amp;AT$4&amp;",*",集計用!$G:$G,"*, "&amp;$C36&amp;", *")/$B36*100</f>
        <v>0</v>
      </c>
      <c r="AU36" s="41">
        <f>COUNTIFS(集計用!$P:$P, "*"&amp;AU$4&amp;",*",集計用!$G:$G,"*, "&amp;$C36&amp;", *")/$B36*100</f>
        <v>0</v>
      </c>
      <c r="AV36" s="41">
        <f>COUNTIFS(集計用!$P:$P, "*"&amp;AV$4&amp;",*",集計用!$G:$G,"*, "&amp;$C36&amp;", *")/$B36*100</f>
        <v>0</v>
      </c>
      <c r="AW36" s="41">
        <f>COUNTIFS(集計用!$P:$P, "*"&amp;AW$4&amp;",*",集計用!$G:$G,"*, "&amp;$C36&amp;", *")/$B36*100</f>
        <v>0</v>
      </c>
      <c r="AX36" s="41">
        <f>COUNTIFS(集計用!$P:$P, "*"&amp;AX$4&amp;",*",集計用!$G:$G,"*, "&amp;$C36&amp;", *")/$B36*100</f>
        <v>0</v>
      </c>
      <c r="AY36" s="41">
        <f>COUNTIFS(集計用!$P:$P, "*"&amp;AY$4&amp;",*",集計用!$G:$G,"*, "&amp;$C36&amp;", *")/$B36*100</f>
        <v>0</v>
      </c>
      <c r="AZ36" s="41">
        <f>COUNTIFS(集計用!$P:$P, "*"&amp;AZ$4&amp;",*",集計用!$G:$G,"*, "&amp;$C36&amp;", *")/$B36*100</f>
        <v>0</v>
      </c>
      <c r="BA36" s="41">
        <f>COUNTIFS(集計用!$P:$P, "*"&amp;BA$4&amp;",*",集計用!$G:$G,"*, "&amp;$C36&amp;", *")/$B36*100</f>
        <v>0</v>
      </c>
      <c r="BB36" s="41">
        <f>COUNTIFS(集計用!$P:$P, "*"&amp;BB$4&amp;",*",集計用!$G:$G,"*, "&amp;$C36&amp;", *")/$B36*100</f>
        <v>0</v>
      </c>
      <c r="BC36" s="41">
        <f>COUNTIFS(集計用!$P:$P, "*"&amp;BC$4&amp;",*",集計用!$G:$G,"*, "&amp;$C36&amp;", *")/$B36*100</f>
        <v>0</v>
      </c>
      <c r="BD36" s="41">
        <f>COUNTIFS(集計用!$P:$P, "*"&amp;BD$4&amp;",*",集計用!$G:$G,"*, "&amp;$C36&amp;", *")/$B36*100</f>
        <v>0</v>
      </c>
      <c r="BE36" s="41">
        <f>COUNTIFS(集計用!$P:$P, "*"&amp;BE$4&amp;",*",集計用!$G:$G,"*, "&amp;$C36&amp;", *")/$B36*100</f>
        <v>0</v>
      </c>
      <c r="BF36" s="41">
        <f>COUNTIFS(集計用!$P:$P, "*"&amp;BF$4&amp;",*",集計用!$G:$G,"*, "&amp;$C36&amp;", *")/$B36*100</f>
        <v>0</v>
      </c>
      <c r="BG36" s="41">
        <f>COUNTIFS(集計用!$P:$P, "*"&amp;BG$4&amp;",*",集計用!$G:$G,"*, "&amp;$C36&amp;", *")/$B36*100</f>
        <v>0</v>
      </c>
      <c r="BH36" s="41">
        <f>COUNTIFS(集計用!$P:$P, "*"&amp;BH$4&amp;",*",集計用!$G:$G,"*, "&amp;$C36&amp;", *")/$B36*100</f>
        <v>0</v>
      </c>
      <c r="BI36" s="41">
        <f>COUNTIFS(集計用!$P:$P, "*"&amp;BI$4&amp;",*",集計用!$G:$G,"*, "&amp;$C36&amp;", *")/$B36*100</f>
        <v>0</v>
      </c>
      <c r="BJ36" s="41">
        <f>COUNTIFS(集計用!$P:$P, "*"&amp;BJ$4&amp;",*",集計用!$G:$G,"*, "&amp;$C36&amp;", *")/$B36*100</f>
        <v>0</v>
      </c>
      <c r="BK36" s="41">
        <f>COUNTIFS(集計用!$P:$P, "*"&amp;BK$4&amp;",*",集計用!$G:$G,"*, "&amp;$C36&amp;", *")/$B36*100</f>
        <v>0</v>
      </c>
      <c r="BL36" s="41">
        <f>COUNTIFS(集計用!$P:$P, "*"&amp;BL$4&amp;",*",集計用!$G:$G,"*, "&amp;$C36&amp;", *")/$B36*100</f>
        <v>0</v>
      </c>
      <c r="BM36" s="41">
        <f>COUNTIFS(集計用!$P:$P, "*"&amp;BM$4&amp;",*",集計用!$G:$G,"*, "&amp;$C36&amp;", *")/$B36*100</f>
        <v>0</v>
      </c>
      <c r="BN36" s="41">
        <f>COUNTIFS(集計用!$P:$P, "*"&amp;BN$4&amp;",*",集計用!$G:$G,"*, "&amp;$C36&amp;", *")/$B36*100</f>
        <v>0</v>
      </c>
      <c r="BO36" s="41">
        <f>COUNTIFS(集計用!$P:$P, "*"&amp;BO$4&amp;",*",集計用!$G:$G,"*, "&amp;$C36&amp;", *")/$B36*100</f>
        <v>0</v>
      </c>
      <c r="BP36" s="41">
        <f>COUNTIFS(集計用!$P:$P, "*"&amp;BP$4&amp;",*",集計用!$G:$G,"*, "&amp;$C36&amp;", *")/$B36*100</f>
        <v>0</v>
      </c>
      <c r="BQ36" s="41">
        <f>COUNTIFS(集計用!$P:$P, "*"&amp;BQ$4&amp;",*",集計用!$G:$G,"*, "&amp;$C36&amp;", *")/$B36*100</f>
        <v>0</v>
      </c>
      <c r="BR36" s="41">
        <f>COUNTIFS(集計用!$P:$P, "*"&amp;BR$4&amp;",*",集計用!$G:$G,"*, "&amp;$C36&amp;", *")/$B36*100</f>
        <v>0</v>
      </c>
      <c r="BS36" s="41">
        <f>COUNTIFS(集計用!$P:$P, "*"&amp;BS$4&amp;",*",集計用!$G:$G,"*, "&amp;$C36&amp;", *")/$B36*100</f>
        <v>0</v>
      </c>
      <c r="BT36" s="41">
        <f>COUNTIFS(集計用!$P:$P, "*"&amp;BT$4&amp;",*",集計用!$G:$G,"*, "&amp;$C36&amp;", *")/$B36*100</f>
        <v>0</v>
      </c>
      <c r="BU36" s="41"/>
      <c r="BV36" s="41"/>
      <c r="BW36" s="41"/>
      <c r="BX36" s="41"/>
      <c r="BY36" s="41"/>
      <c r="BZ36" s="41"/>
      <c r="CA36" s="41"/>
      <c r="CB36" s="41"/>
      <c r="CC36" s="41"/>
      <c r="CD36" s="41"/>
      <c r="CE36" s="41"/>
      <c r="CF36" s="41"/>
      <c r="CG36" s="41"/>
      <c r="CH36" s="41"/>
      <c r="CI36" s="41"/>
      <c r="CJ36" s="41"/>
      <c r="CK36" s="41"/>
    </row>
    <row r="37" spans="1:89" ht="15.75" customHeight="1">
      <c r="A37" s="39">
        <v>4</v>
      </c>
      <c r="B37" s="39">
        <f>(COUNTIFS(集計用!$G:$G,"*, "&amp;$C37&amp;",*",集計用!$Q:$Q,"&lt;&gt;無回答"))</f>
        <v>16</v>
      </c>
      <c r="C37" s="42" t="s">
        <v>32</v>
      </c>
      <c r="D37" s="41">
        <f>COUNTIFS(集計用!$O:$O, "*, "&amp;D$4&amp;", *",集計用!$G:$G,"*, "&amp;$C37&amp;", *")/$B37*100</f>
        <v>68.75</v>
      </c>
      <c r="E37" s="41">
        <f>COUNTIFS(集計用!$O:$O, "*, "&amp;E$4&amp;", *",集計用!$G:$G,"*, "&amp;$C37&amp;", *")/$B37*100</f>
        <v>62.5</v>
      </c>
      <c r="F37" s="41">
        <f>COUNTIFS(集計用!$O:$O, "*, "&amp;F$4&amp;", *",集計用!$G:$G,"*, "&amp;$C37&amp;", *")/$B37*100</f>
        <v>50</v>
      </c>
      <c r="G37" s="41">
        <f>COUNTIFS(集計用!$O:$O, "*, "&amp;G$4&amp;", *",集計用!$G:$G,"*, "&amp;$C37&amp;", *")/$B37*100</f>
        <v>12.5</v>
      </c>
      <c r="H37" s="41">
        <f>COUNTIFS(集計用!$O:$O, "*, "&amp;H$4&amp;", *",集計用!$G:$G,"*, "&amp;$C37&amp;", *")/$B37*100</f>
        <v>6.25</v>
      </c>
      <c r="I37" s="41">
        <f>COUNTIFS(集計用!$O:$O, "*, "&amp;I$4&amp;", *",集計用!$G:$G,"*, "&amp;$C37&amp;", *")/$B37*100</f>
        <v>12.5</v>
      </c>
      <c r="J37" s="41">
        <f>COUNTIFS(集計用!$O:$O, "*, "&amp;J$4&amp;", *",集計用!$G:$G,"*, "&amp;$C37&amp;", *")/$B37*100</f>
        <v>37.5</v>
      </c>
      <c r="K37" s="41">
        <f>COUNTIFS(集計用!$O:$O, "*, "&amp;K$4&amp;", *",集計用!$G:$G,"*, "&amp;$C37&amp;", *")/$B37*100</f>
        <v>25</v>
      </c>
      <c r="L37" s="41">
        <f>COUNTIFS(集計用!$O:$O, "*, "&amp;L$4&amp;", *",集計用!$G:$G,"*, "&amp;$C37&amp;", *")/$B37*100</f>
        <v>18.75</v>
      </c>
      <c r="M37" s="41">
        <f>COUNTIFS(集計用!$O:$O, "*, "&amp;M$4&amp;", *",集計用!$G:$G,"*, "&amp;$C37&amp;", *")/$B37*100</f>
        <v>31.25</v>
      </c>
      <c r="N37" s="41">
        <f>COUNTIFS(集計用!$O:$O, "*, "&amp;N$4&amp;", *",集計用!$G:$G,"*, "&amp;$C37&amp;", *")/$B37*100</f>
        <v>18.75</v>
      </c>
      <c r="O37" s="41">
        <f>COUNTIFS(集計用!$O:$O, "*, "&amp;O$4&amp;", *",集計用!$G:$G,"*, "&amp;$C37&amp;", *")/$B37*100</f>
        <v>18.75</v>
      </c>
      <c r="P37" s="41">
        <f>COUNTIFS(集計用!$O:$O, "*, "&amp;P$4&amp;", *",集計用!$G:$G,"*, "&amp;$C37&amp;", *")/$B37*100</f>
        <v>31.25</v>
      </c>
      <c r="Q37" s="41">
        <f>COUNTIFS(集計用!$O:$O, "*, "&amp;Q$4&amp;", *",集計用!$G:$G,"*, "&amp;$C37&amp;", *")/$B37*100</f>
        <v>18.75</v>
      </c>
      <c r="R37" s="41">
        <f>COUNTIFS(集計用!$O:$O, "*, "&amp;R$4&amp;", *",集計用!$G:$G,"*, "&amp;$C37&amp;", *")/$B37*100</f>
        <v>6.25</v>
      </c>
      <c r="S37" s="41">
        <f>COUNTIFS(集計用!$O:$O, "*, "&amp;S$4&amp;", *",集計用!$G:$G,"*, "&amp;$C37&amp;", *")/$B37*100</f>
        <v>6.25</v>
      </c>
      <c r="T37" s="41">
        <f>COUNTIFS(集計用!$O:$O, "*, "&amp;T$4&amp;", *",集計用!$G:$G,"*, "&amp;$C37&amp;", *")/$B37*100</f>
        <v>0</v>
      </c>
      <c r="V37" s="41">
        <f>COUNTIFS(集計用!$P:$P, "*"&amp;V$4&amp;",*",集計用!$G:$G,"*, "&amp;$C37&amp;", *")/$B37*100</f>
        <v>0</v>
      </c>
      <c r="W37" s="41">
        <f>COUNTIFS(集計用!$P:$P, "*"&amp;W$4&amp;",*",集計用!$G:$G,"*, "&amp;$C37&amp;", *")/$B37*100</f>
        <v>0</v>
      </c>
      <c r="X37" s="41">
        <f>COUNTIFS(集計用!$P:$P, "*"&amp;X$4&amp;",*",集計用!$G:$G,"*, "&amp;$C37&amp;", *")/$B37*100</f>
        <v>0</v>
      </c>
      <c r="Y37" s="41">
        <f>COUNTIFS(集計用!$P:$P, "*"&amp;Y$4&amp;",*",集計用!$G:$G,"*, "&amp;$C37&amp;", *")/$B37*100</f>
        <v>12.5</v>
      </c>
      <c r="Z37" s="41">
        <f>COUNTIFS(集計用!$P:$P, "*"&amp;Z$4&amp;",*",集計用!$G:$G,"*, "&amp;$C37&amp;", *")/$B37*100</f>
        <v>0</v>
      </c>
      <c r="AA37" s="41">
        <f>COUNTIFS(集計用!$P:$P, "*"&amp;AA$4&amp;",*",集計用!$G:$G,"*, "&amp;$C37&amp;", *")/$B37*100</f>
        <v>0</v>
      </c>
      <c r="AB37" s="41">
        <f>COUNTIFS(集計用!$P:$P, "*"&amp;AB$4&amp;",*",集計用!$G:$G,"*, "&amp;$C37&amp;", *")/$B37*100</f>
        <v>0</v>
      </c>
      <c r="AC37" s="41">
        <f>COUNTIFS(集計用!$P:$P, "*"&amp;AC$4&amp;",*",集計用!$G:$G,"*, "&amp;$C37&amp;", *")/$B37*100</f>
        <v>0</v>
      </c>
      <c r="AD37" s="41">
        <f>COUNTIFS(集計用!$P:$P, "*"&amp;AD$4&amp;",*",集計用!$G:$G,"*, "&amp;$C37&amp;", *")/$B37*100</f>
        <v>0</v>
      </c>
      <c r="AE37" s="41">
        <f>COUNTIFS(集計用!$P:$P, "*"&amp;AE$4&amp;",*",集計用!$G:$G,"*, "&amp;$C37&amp;", *")/$B37*100</f>
        <v>0</v>
      </c>
      <c r="AF37" s="41">
        <f>COUNTIFS(集計用!$P:$P, "*"&amp;AF$4&amp;",*",集計用!$G:$G,"*, "&amp;$C37&amp;", *")/$B37*100</f>
        <v>0</v>
      </c>
      <c r="AG37" s="41">
        <f>COUNTIFS(集計用!$P:$P, "*"&amp;AG$4&amp;",*",集計用!$G:$G,"*, "&amp;$C37&amp;", *")/$B37*100</f>
        <v>0</v>
      </c>
      <c r="AH37" s="41">
        <f>COUNTIFS(集計用!$P:$P, "*"&amp;AH$4&amp;",*",集計用!$G:$G,"*, "&amp;$C37&amp;", *")/$B37*100</f>
        <v>0</v>
      </c>
      <c r="AI37" s="41">
        <f>COUNTIFS(集計用!$P:$P, "*"&amp;AI$4&amp;",*",集計用!$G:$G,"*, "&amp;$C37&amp;", *")/$B37*100</f>
        <v>0</v>
      </c>
      <c r="AJ37" s="41">
        <f>COUNTIFS(集計用!$P:$P, "*"&amp;AJ$4&amp;",*",集計用!$G:$G,"*, "&amp;$C37&amp;", *")/$B37*100</f>
        <v>6.25</v>
      </c>
      <c r="AK37" s="41">
        <f>COUNTIFS(集計用!$P:$P, "*"&amp;AK$4&amp;",*",集計用!$G:$G,"*, "&amp;$C37&amp;", *")/$B37*100</f>
        <v>0</v>
      </c>
      <c r="AL37" s="41">
        <f>COUNTIFS(集計用!$P:$P, "*"&amp;AL$4&amp;",*",集計用!$G:$G,"*, "&amp;$C37&amp;", *")/$B37*100</f>
        <v>0</v>
      </c>
      <c r="AM37" s="41">
        <f>COUNTIFS(集計用!$P:$P, "*"&amp;AM$4&amp;",*",集計用!$G:$G,"*, "&amp;$C37&amp;", *")/$B37*100</f>
        <v>0</v>
      </c>
      <c r="AN37" s="41">
        <f>COUNTIFS(集計用!$P:$P, "*"&amp;AN$4&amp;",*",集計用!$G:$G,"*, "&amp;$C37&amp;", *")/$B37*100</f>
        <v>0</v>
      </c>
      <c r="AO37" s="41">
        <f>COUNTIFS(集計用!$P:$P, "*"&amp;AO$4&amp;",*",集計用!$G:$G,"*, "&amp;$C37&amp;", *")/$B37*100</f>
        <v>0</v>
      </c>
      <c r="AP37" s="41">
        <f>COUNTIFS(集計用!$P:$P, "*"&amp;AP$4&amp;",*",集計用!$G:$G,"*, "&amp;$C37&amp;", *")/$B37*100</f>
        <v>0</v>
      </c>
      <c r="AQ37" s="41">
        <f>COUNTIFS(集計用!$P:$P, "*"&amp;AQ$4&amp;",*",集計用!$G:$G,"*, "&amp;$C37&amp;", *")/$B37*100</f>
        <v>0</v>
      </c>
      <c r="AR37" s="41">
        <f>COUNTIFS(集計用!$P:$P, "*"&amp;AR$4&amp;",*",集計用!$G:$G,"*, "&amp;$C37&amp;", *")/$B37*100</f>
        <v>0</v>
      </c>
      <c r="AS37" s="41">
        <f>COUNTIFS(集計用!$P:$P, "*"&amp;AS$4&amp;",*",集計用!$G:$G,"*, "&amp;$C37&amp;", *")/$B37*100</f>
        <v>0</v>
      </c>
      <c r="AT37" s="41">
        <f>COUNTIFS(集計用!$P:$P, "*"&amp;AT$4&amp;",*",集計用!$G:$G,"*, "&amp;$C37&amp;", *")/$B37*100</f>
        <v>0</v>
      </c>
      <c r="AU37" s="41">
        <f>COUNTIFS(集計用!$P:$P, "*"&amp;AU$4&amp;",*",集計用!$G:$G,"*, "&amp;$C37&amp;", *")/$B37*100</f>
        <v>0</v>
      </c>
      <c r="AV37" s="41">
        <f>COUNTIFS(集計用!$P:$P, "*"&amp;AV$4&amp;",*",集計用!$G:$G,"*, "&amp;$C37&amp;", *")/$B37*100</f>
        <v>0</v>
      </c>
      <c r="AW37" s="41">
        <f>COUNTIFS(集計用!$P:$P, "*"&amp;AW$4&amp;",*",集計用!$G:$G,"*, "&amp;$C37&amp;", *")/$B37*100</f>
        <v>0</v>
      </c>
      <c r="AX37" s="41">
        <f>COUNTIFS(集計用!$P:$P, "*"&amp;AX$4&amp;",*",集計用!$G:$G,"*, "&amp;$C37&amp;", *")/$B37*100</f>
        <v>0</v>
      </c>
      <c r="AY37" s="41">
        <f>COUNTIFS(集計用!$P:$P, "*"&amp;AY$4&amp;",*",集計用!$G:$G,"*, "&amp;$C37&amp;", *")/$B37*100</f>
        <v>0</v>
      </c>
      <c r="AZ37" s="41">
        <f>COUNTIFS(集計用!$P:$P, "*"&amp;AZ$4&amp;",*",集計用!$G:$G,"*, "&amp;$C37&amp;", *")/$B37*100</f>
        <v>0</v>
      </c>
      <c r="BA37" s="41">
        <f>COUNTIFS(集計用!$P:$P, "*"&amp;BA$4&amp;",*",集計用!$G:$G,"*, "&amp;$C37&amp;", *")/$B37*100</f>
        <v>0</v>
      </c>
      <c r="BB37" s="41">
        <f>COUNTIFS(集計用!$P:$P, "*"&amp;BB$4&amp;",*",集計用!$G:$G,"*, "&amp;$C37&amp;", *")/$B37*100</f>
        <v>0</v>
      </c>
      <c r="BC37" s="41">
        <f>COUNTIFS(集計用!$P:$P, "*"&amp;BC$4&amp;",*",集計用!$G:$G,"*, "&amp;$C37&amp;", *")/$B37*100</f>
        <v>0</v>
      </c>
      <c r="BD37" s="41">
        <f>COUNTIFS(集計用!$P:$P, "*"&amp;BD$4&amp;",*",集計用!$G:$G,"*, "&amp;$C37&amp;", *")/$B37*100</f>
        <v>0</v>
      </c>
      <c r="BE37" s="41">
        <f>COUNTIFS(集計用!$P:$P, "*"&amp;BE$4&amp;",*",集計用!$G:$G,"*, "&amp;$C37&amp;", *")/$B37*100</f>
        <v>0</v>
      </c>
      <c r="BF37" s="41">
        <f>COUNTIFS(集計用!$P:$P, "*"&amp;BF$4&amp;",*",集計用!$G:$G,"*, "&amp;$C37&amp;", *")/$B37*100</f>
        <v>0</v>
      </c>
      <c r="BG37" s="41">
        <f>COUNTIFS(集計用!$P:$P, "*"&amp;BG$4&amp;",*",集計用!$G:$G,"*, "&amp;$C37&amp;", *")/$B37*100</f>
        <v>0</v>
      </c>
      <c r="BH37" s="41">
        <f>COUNTIFS(集計用!$P:$P, "*"&amp;BH$4&amp;",*",集計用!$G:$G,"*, "&amp;$C37&amp;", *")/$B37*100</f>
        <v>0</v>
      </c>
      <c r="BI37" s="41">
        <f>COUNTIFS(集計用!$P:$P, "*"&amp;BI$4&amp;",*",集計用!$G:$G,"*, "&amp;$C37&amp;", *")/$B37*100</f>
        <v>0</v>
      </c>
      <c r="BJ37" s="41">
        <f>COUNTIFS(集計用!$P:$P, "*"&amp;BJ$4&amp;",*",集計用!$G:$G,"*, "&amp;$C37&amp;", *")/$B37*100</f>
        <v>0</v>
      </c>
      <c r="BK37" s="41">
        <f>COUNTIFS(集計用!$P:$P, "*"&amp;BK$4&amp;",*",集計用!$G:$G,"*, "&amp;$C37&amp;", *")/$B37*100</f>
        <v>0</v>
      </c>
      <c r="BL37" s="41">
        <f>COUNTIFS(集計用!$P:$P, "*"&amp;BL$4&amp;",*",集計用!$G:$G,"*, "&amp;$C37&amp;", *")/$B37*100</f>
        <v>0</v>
      </c>
      <c r="BM37" s="41">
        <f>COUNTIFS(集計用!$P:$P, "*"&amp;BM$4&amp;",*",集計用!$G:$G,"*, "&amp;$C37&amp;", *")/$B37*100</f>
        <v>0</v>
      </c>
      <c r="BN37" s="41">
        <f>COUNTIFS(集計用!$P:$P, "*"&amp;BN$4&amp;",*",集計用!$G:$G,"*, "&amp;$C37&amp;", *")/$B37*100</f>
        <v>0</v>
      </c>
      <c r="BO37" s="41">
        <f>COUNTIFS(集計用!$P:$P, "*"&amp;BO$4&amp;",*",集計用!$G:$G,"*, "&amp;$C37&amp;", *")/$B37*100</f>
        <v>0</v>
      </c>
      <c r="BP37" s="41">
        <f>COUNTIFS(集計用!$P:$P, "*"&amp;BP$4&amp;",*",集計用!$G:$G,"*, "&amp;$C37&amp;", *")/$B37*100</f>
        <v>0</v>
      </c>
      <c r="BQ37" s="41">
        <f>COUNTIFS(集計用!$P:$P, "*"&amp;BQ$4&amp;",*",集計用!$G:$G,"*, "&amp;$C37&amp;", *")/$B37*100</f>
        <v>0</v>
      </c>
      <c r="BR37" s="41">
        <f>COUNTIFS(集計用!$P:$P, "*"&amp;BR$4&amp;",*",集計用!$G:$G,"*, "&amp;$C37&amp;", *")/$B37*100</f>
        <v>0</v>
      </c>
      <c r="BS37" s="41">
        <f>COUNTIFS(集計用!$P:$P, "*"&amp;BS$4&amp;",*",集計用!$G:$G,"*, "&amp;$C37&amp;", *")/$B37*100</f>
        <v>0</v>
      </c>
      <c r="BT37" s="41">
        <f>COUNTIFS(集計用!$P:$P, "*"&amp;BT$4&amp;",*",集計用!$G:$G,"*, "&amp;$C37&amp;", *")/$B37*100</f>
        <v>0</v>
      </c>
      <c r="BU37" s="41"/>
      <c r="BV37" s="41"/>
      <c r="BW37" s="41"/>
      <c r="BX37" s="41"/>
      <c r="BY37" s="41"/>
      <c r="BZ37" s="41"/>
      <c r="CA37" s="41"/>
      <c r="CB37" s="41"/>
      <c r="CC37" s="41"/>
      <c r="CD37" s="41"/>
      <c r="CE37" s="41"/>
      <c r="CF37" s="41"/>
      <c r="CG37" s="41"/>
      <c r="CH37" s="41"/>
      <c r="CI37" s="41"/>
      <c r="CJ37" s="41"/>
      <c r="CK37" s="41"/>
    </row>
    <row r="38" spans="1:89" ht="15.75" customHeight="1">
      <c r="A38" s="39">
        <v>5</v>
      </c>
      <c r="B38" s="39">
        <f>(COUNTIFS(集計用!$G:$G,"*, "&amp;$C38&amp;",*",集計用!$Q:$Q,"&lt;&gt;無回答"))</f>
        <v>16</v>
      </c>
      <c r="C38" s="42" t="s">
        <v>30</v>
      </c>
      <c r="D38" s="41">
        <f>COUNTIFS(集計用!$O:$O, "*, "&amp;D$4&amp;", *",集計用!$G:$G,"*, "&amp;$C38&amp;", *")/$B38*100</f>
        <v>50</v>
      </c>
      <c r="E38" s="41">
        <f>COUNTIFS(集計用!$O:$O, "*, "&amp;E$4&amp;", *",集計用!$G:$G,"*, "&amp;$C38&amp;", *")/$B38*100</f>
        <v>37.5</v>
      </c>
      <c r="F38" s="41">
        <f>COUNTIFS(集計用!$O:$O, "*, "&amp;F$4&amp;", *",集計用!$G:$G,"*, "&amp;$C38&amp;", *")/$B38*100</f>
        <v>50</v>
      </c>
      <c r="G38" s="41">
        <f>COUNTIFS(集計用!$O:$O, "*, "&amp;G$4&amp;", *",集計用!$G:$G,"*, "&amp;$C38&amp;", *")/$B38*100</f>
        <v>43.75</v>
      </c>
      <c r="H38" s="41">
        <f>COUNTIFS(集計用!$O:$O, "*, "&amp;H$4&amp;", *",集計用!$G:$G,"*, "&amp;$C38&amp;", *")/$B38*100</f>
        <v>43.75</v>
      </c>
      <c r="I38" s="41">
        <f>COUNTIFS(集計用!$O:$O, "*, "&amp;I$4&amp;", *",集計用!$G:$G,"*, "&amp;$C38&amp;", *")/$B38*100</f>
        <v>37.5</v>
      </c>
      <c r="J38" s="41">
        <f>COUNTIFS(集計用!$O:$O, "*, "&amp;J$4&amp;", *",集計用!$G:$G,"*, "&amp;$C38&amp;", *")/$B38*100</f>
        <v>25</v>
      </c>
      <c r="K38" s="41">
        <f>COUNTIFS(集計用!$O:$O, "*, "&amp;K$4&amp;", *",集計用!$G:$G,"*, "&amp;$C38&amp;", *")/$B38*100</f>
        <v>31.25</v>
      </c>
      <c r="L38" s="41">
        <f>COUNTIFS(集計用!$O:$O, "*, "&amp;L$4&amp;", *",集計用!$G:$G,"*, "&amp;$C38&amp;", *")/$B38*100</f>
        <v>37.5</v>
      </c>
      <c r="M38" s="41">
        <f>COUNTIFS(集計用!$O:$O, "*, "&amp;M$4&amp;", *",集計用!$G:$G,"*, "&amp;$C38&amp;", *")/$B38*100</f>
        <v>18.75</v>
      </c>
      <c r="N38" s="41">
        <f>COUNTIFS(集計用!$O:$O, "*, "&amp;N$4&amp;", *",集計用!$G:$G,"*, "&amp;$C38&amp;", *")/$B38*100</f>
        <v>25</v>
      </c>
      <c r="O38" s="41">
        <f>COUNTIFS(集計用!$O:$O, "*, "&amp;O$4&amp;", *",集計用!$G:$G,"*, "&amp;$C38&amp;", *")/$B38*100</f>
        <v>18.75</v>
      </c>
      <c r="P38" s="41">
        <f>COUNTIFS(集計用!$O:$O, "*, "&amp;P$4&amp;", *",集計用!$G:$G,"*, "&amp;$C38&amp;", *")/$B38*100</f>
        <v>18.75</v>
      </c>
      <c r="Q38" s="41">
        <f>COUNTIFS(集計用!$O:$O, "*, "&amp;Q$4&amp;", *",集計用!$G:$G,"*, "&amp;$C38&amp;", *")/$B38*100</f>
        <v>12.5</v>
      </c>
      <c r="R38" s="41">
        <f>COUNTIFS(集計用!$O:$O, "*, "&amp;R$4&amp;", *",集計用!$G:$G,"*, "&amp;$C38&amp;", *")/$B38*100</f>
        <v>12.5</v>
      </c>
      <c r="S38" s="41">
        <f>COUNTIFS(集計用!$O:$O, "*, "&amp;S$4&amp;", *",集計用!$G:$G,"*, "&amp;$C38&amp;", *")/$B38*100</f>
        <v>6.25</v>
      </c>
      <c r="T38" s="41">
        <f>COUNTIFS(集計用!$O:$O, "*, "&amp;T$4&amp;", *",集計用!$G:$G,"*, "&amp;$C38&amp;", *")/$B38*100</f>
        <v>6.25</v>
      </c>
      <c r="V38" s="41">
        <f>COUNTIFS(集計用!$P:$P, "*"&amp;V$4&amp;",*",集計用!$G:$G,"*, "&amp;$C38&amp;", *")/$B38*100</f>
        <v>6.25</v>
      </c>
      <c r="W38" s="41">
        <f>COUNTIFS(集計用!$P:$P, "*"&amp;W$4&amp;",*",集計用!$G:$G,"*, "&amp;$C38&amp;", *")/$B38*100</f>
        <v>0</v>
      </c>
      <c r="X38" s="41">
        <f>COUNTIFS(集計用!$P:$P, "*"&amp;X$4&amp;",*",集計用!$G:$G,"*, "&amp;$C38&amp;", *")/$B38*100</f>
        <v>0</v>
      </c>
      <c r="Y38" s="41">
        <f>COUNTIFS(集計用!$P:$P, "*"&amp;Y$4&amp;",*",集計用!$G:$G,"*, "&amp;$C38&amp;", *")/$B38*100</f>
        <v>6.25</v>
      </c>
      <c r="Z38" s="41">
        <f>COUNTIFS(集計用!$P:$P, "*"&amp;Z$4&amp;",*",集計用!$G:$G,"*, "&amp;$C38&amp;", *")/$B38*100</f>
        <v>0</v>
      </c>
      <c r="AA38" s="41">
        <f>COUNTIFS(集計用!$P:$P, "*"&amp;AA$4&amp;",*",集計用!$G:$G,"*, "&amp;$C38&amp;", *")/$B38*100</f>
        <v>6.25</v>
      </c>
      <c r="AB38" s="41">
        <f>COUNTIFS(集計用!$P:$P, "*"&amp;AB$4&amp;",*",集計用!$G:$G,"*, "&amp;$C38&amp;", *")/$B38*100</f>
        <v>0</v>
      </c>
      <c r="AC38" s="41">
        <f>COUNTIFS(集計用!$P:$P, "*"&amp;AC$4&amp;",*",集計用!$G:$G,"*, "&amp;$C38&amp;", *")/$B38*100</f>
        <v>0</v>
      </c>
      <c r="AD38" s="41">
        <f>COUNTIFS(集計用!$P:$P, "*"&amp;AD$4&amp;",*",集計用!$G:$G,"*, "&amp;$C38&amp;", *")/$B38*100</f>
        <v>0</v>
      </c>
      <c r="AE38" s="41">
        <f>COUNTIFS(集計用!$P:$P, "*"&amp;AE$4&amp;",*",集計用!$G:$G,"*, "&amp;$C38&amp;", *")/$B38*100</f>
        <v>0</v>
      </c>
      <c r="AF38" s="41">
        <f>COUNTIFS(集計用!$P:$P, "*"&amp;AF$4&amp;",*",集計用!$G:$G,"*, "&amp;$C38&amp;", *")/$B38*100</f>
        <v>0</v>
      </c>
      <c r="AG38" s="41">
        <f>COUNTIFS(集計用!$P:$P, "*"&amp;AG$4&amp;",*",集計用!$G:$G,"*, "&amp;$C38&amp;", *")/$B38*100</f>
        <v>0</v>
      </c>
      <c r="AH38" s="41">
        <f>COUNTIFS(集計用!$P:$P, "*"&amp;AH$4&amp;",*",集計用!$G:$G,"*, "&amp;$C38&amp;", *")/$B38*100</f>
        <v>0</v>
      </c>
      <c r="AI38" s="41">
        <f>COUNTIFS(集計用!$P:$P, "*"&amp;AI$4&amp;",*",集計用!$G:$G,"*, "&amp;$C38&amp;", *")/$B38*100</f>
        <v>0</v>
      </c>
      <c r="AJ38" s="41">
        <f>COUNTIFS(集計用!$P:$P, "*"&amp;AJ$4&amp;",*",集計用!$G:$G,"*, "&amp;$C38&amp;", *")/$B38*100</f>
        <v>6.25</v>
      </c>
      <c r="AK38" s="41">
        <f>COUNTIFS(集計用!$P:$P, "*"&amp;AK$4&amp;",*",集計用!$G:$G,"*, "&amp;$C38&amp;", *")/$B38*100</f>
        <v>0</v>
      </c>
      <c r="AL38" s="41">
        <f>COUNTIFS(集計用!$P:$P, "*"&amp;AL$4&amp;",*",集計用!$G:$G,"*, "&amp;$C38&amp;", *")/$B38*100</f>
        <v>0</v>
      </c>
      <c r="AM38" s="41">
        <f>COUNTIFS(集計用!$P:$P, "*"&amp;AM$4&amp;",*",集計用!$G:$G,"*, "&amp;$C38&amp;", *")/$B38*100</f>
        <v>0</v>
      </c>
      <c r="AN38" s="41">
        <f>COUNTIFS(集計用!$P:$P, "*"&amp;AN$4&amp;",*",集計用!$G:$G,"*, "&amp;$C38&amp;", *")/$B38*100</f>
        <v>0</v>
      </c>
      <c r="AO38" s="41">
        <f>COUNTIFS(集計用!$P:$P, "*"&amp;AO$4&amp;",*",集計用!$G:$G,"*, "&amp;$C38&amp;", *")/$B38*100</f>
        <v>0</v>
      </c>
      <c r="AP38" s="41">
        <f>COUNTIFS(集計用!$P:$P, "*"&amp;AP$4&amp;",*",集計用!$G:$G,"*, "&amp;$C38&amp;", *")/$B38*100</f>
        <v>0</v>
      </c>
      <c r="AQ38" s="41">
        <f>COUNTIFS(集計用!$P:$P, "*"&amp;AQ$4&amp;",*",集計用!$G:$G,"*, "&amp;$C38&amp;", *")/$B38*100</f>
        <v>0</v>
      </c>
      <c r="AR38" s="41">
        <f>COUNTIFS(集計用!$P:$P, "*"&amp;AR$4&amp;",*",集計用!$G:$G,"*, "&amp;$C38&amp;", *")/$B38*100</f>
        <v>0</v>
      </c>
      <c r="AS38" s="41">
        <f>COUNTIFS(集計用!$P:$P, "*"&amp;AS$4&amp;",*",集計用!$G:$G,"*, "&amp;$C38&amp;", *")/$B38*100</f>
        <v>0</v>
      </c>
      <c r="AT38" s="41">
        <f>COUNTIFS(集計用!$P:$P, "*"&amp;AT$4&amp;",*",集計用!$G:$G,"*, "&amp;$C38&amp;", *")/$B38*100</f>
        <v>0</v>
      </c>
      <c r="AU38" s="41">
        <f>COUNTIFS(集計用!$P:$P, "*"&amp;AU$4&amp;",*",集計用!$G:$G,"*, "&amp;$C38&amp;", *")/$B38*100</f>
        <v>0</v>
      </c>
      <c r="AV38" s="41">
        <f>COUNTIFS(集計用!$P:$P, "*"&amp;AV$4&amp;",*",集計用!$G:$G,"*, "&amp;$C38&amp;", *")/$B38*100</f>
        <v>0</v>
      </c>
      <c r="AW38" s="41">
        <f>COUNTIFS(集計用!$P:$P, "*"&amp;AW$4&amp;",*",集計用!$G:$G,"*, "&amp;$C38&amp;", *")/$B38*100</f>
        <v>0</v>
      </c>
      <c r="AX38" s="41">
        <f>COUNTIFS(集計用!$P:$P, "*"&amp;AX$4&amp;",*",集計用!$G:$G,"*, "&amp;$C38&amp;", *")/$B38*100</f>
        <v>0</v>
      </c>
      <c r="AY38" s="41">
        <f>COUNTIFS(集計用!$P:$P, "*"&amp;AY$4&amp;",*",集計用!$G:$G,"*, "&amp;$C38&amp;", *")/$B38*100</f>
        <v>0</v>
      </c>
      <c r="AZ38" s="41">
        <f>COUNTIFS(集計用!$P:$P, "*"&amp;AZ$4&amp;",*",集計用!$G:$G,"*, "&amp;$C38&amp;", *")/$B38*100</f>
        <v>0</v>
      </c>
      <c r="BA38" s="41">
        <f>COUNTIFS(集計用!$P:$P, "*"&amp;BA$4&amp;",*",集計用!$G:$G,"*, "&amp;$C38&amp;", *")/$B38*100</f>
        <v>0</v>
      </c>
      <c r="BB38" s="41">
        <f>COUNTIFS(集計用!$P:$P, "*"&amp;BB$4&amp;",*",集計用!$G:$G,"*, "&amp;$C38&amp;", *")/$B38*100</f>
        <v>0</v>
      </c>
      <c r="BC38" s="41">
        <f>COUNTIFS(集計用!$P:$P, "*"&amp;BC$4&amp;",*",集計用!$G:$G,"*, "&amp;$C38&amp;", *")/$B38*100</f>
        <v>0</v>
      </c>
      <c r="BD38" s="41">
        <f>COUNTIFS(集計用!$P:$P, "*"&amp;BD$4&amp;",*",集計用!$G:$G,"*, "&amp;$C38&amp;", *")/$B38*100</f>
        <v>0</v>
      </c>
      <c r="BE38" s="41">
        <f>COUNTIFS(集計用!$P:$P, "*"&amp;BE$4&amp;",*",集計用!$G:$G,"*, "&amp;$C38&amp;", *")/$B38*100</f>
        <v>0</v>
      </c>
      <c r="BF38" s="41">
        <f>COUNTIFS(集計用!$P:$P, "*"&amp;BF$4&amp;",*",集計用!$G:$G,"*, "&amp;$C38&amp;", *")/$B38*100</f>
        <v>0</v>
      </c>
      <c r="BG38" s="41">
        <f>COUNTIFS(集計用!$P:$P, "*"&amp;BG$4&amp;",*",集計用!$G:$G,"*, "&amp;$C38&amp;", *")/$B38*100</f>
        <v>0</v>
      </c>
      <c r="BH38" s="41">
        <f>COUNTIFS(集計用!$P:$P, "*"&amp;BH$4&amp;",*",集計用!$G:$G,"*, "&amp;$C38&amp;", *")/$B38*100</f>
        <v>0</v>
      </c>
      <c r="BI38" s="41">
        <f>COUNTIFS(集計用!$P:$P, "*"&amp;BI$4&amp;",*",集計用!$G:$G,"*, "&amp;$C38&amp;", *")/$B38*100</f>
        <v>0</v>
      </c>
      <c r="BJ38" s="41">
        <f>COUNTIFS(集計用!$P:$P, "*"&amp;BJ$4&amp;",*",集計用!$G:$G,"*, "&amp;$C38&amp;", *")/$B38*100</f>
        <v>0</v>
      </c>
      <c r="BK38" s="41">
        <f>COUNTIFS(集計用!$P:$P, "*"&amp;BK$4&amp;",*",集計用!$G:$G,"*, "&amp;$C38&amp;", *")/$B38*100</f>
        <v>0</v>
      </c>
      <c r="BL38" s="41">
        <f>COUNTIFS(集計用!$P:$P, "*"&amp;BL$4&amp;",*",集計用!$G:$G,"*, "&amp;$C38&amp;", *")/$B38*100</f>
        <v>0</v>
      </c>
      <c r="BM38" s="41">
        <f>COUNTIFS(集計用!$P:$P, "*"&amp;BM$4&amp;",*",集計用!$G:$G,"*, "&amp;$C38&amp;", *")/$B38*100</f>
        <v>0</v>
      </c>
      <c r="BN38" s="41">
        <f>COUNTIFS(集計用!$P:$P, "*"&amp;BN$4&amp;",*",集計用!$G:$G,"*, "&amp;$C38&amp;", *")/$B38*100</f>
        <v>0</v>
      </c>
      <c r="BO38" s="41">
        <f>COUNTIFS(集計用!$P:$P, "*"&amp;BO$4&amp;",*",集計用!$G:$G,"*, "&amp;$C38&amp;", *")/$B38*100</f>
        <v>0</v>
      </c>
      <c r="BP38" s="41">
        <f>COUNTIFS(集計用!$P:$P, "*"&amp;BP$4&amp;",*",集計用!$G:$G,"*, "&amp;$C38&amp;", *")/$B38*100</f>
        <v>0</v>
      </c>
      <c r="BQ38" s="41">
        <f>COUNTIFS(集計用!$P:$P, "*"&amp;BQ$4&amp;",*",集計用!$G:$G,"*, "&amp;$C38&amp;", *")/$B38*100</f>
        <v>0</v>
      </c>
      <c r="BR38" s="41">
        <f>COUNTIFS(集計用!$P:$P, "*"&amp;BR$4&amp;",*",集計用!$G:$G,"*, "&amp;$C38&amp;", *")/$B38*100</f>
        <v>0</v>
      </c>
      <c r="BS38" s="41">
        <f>COUNTIFS(集計用!$P:$P, "*"&amp;BS$4&amp;",*",集計用!$G:$G,"*, "&amp;$C38&amp;", *")/$B38*100</f>
        <v>0</v>
      </c>
      <c r="BT38" s="41">
        <f>COUNTIFS(集計用!$P:$P, "*"&amp;BT$4&amp;",*",集計用!$G:$G,"*, "&amp;$C38&amp;", *")/$B38*100</f>
        <v>0</v>
      </c>
      <c r="BU38" s="41"/>
      <c r="BV38" s="41"/>
      <c r="BW38" s="41"/>
      <c r="BX38" s="41"/>
      <c r="BY38" s="41"/>
      <c r="BZ38" s="41"/>
      <c r="CA38" s="41"/>
      <c r="CB38" s="41"/>
      <c r="CC38" s="41"/>
      <c r="CD38" s="41"/>
      <c r="CE38" s="41"/>
      <c r="CF38" s="41"/>
      <c r="CG38" s="41"/>
      <c r="CH38" s="41"/>
      <c r="CI38" s="41"/>
      <c r="CJ38" s="41"/>
      <c r="CK38" s="41"/>
    </row>
    <row r="39" spans="1:89" ht="12.75">
      <c r="A39" s="39">
        <v>5</v>
      </c>
      <c r="B39" s="39">
        <f>(COUNTIFS(集計用!$G:$G,"*, "&amp;$C39&amp;",*",集計用!$Q:$Q,"&lt;&gt;無回答"))</f>
        <v>15</v>
      </c>
      <c r="C39" s="42" t="s">
        <v>35</v>
      </c>
      <c r="D39" s="41">
        <f>COUNTIFS(集計用!$O:$O, "*, "&amp;D$4&amp;", *",集計用!$G:$G,"*, "&amp;$C39&amp;", *")/$B39*100</f>
        <v>60</v>
      </c>
      <c r="E39" s="41">
        <f>COUNTIFS(集計用!$O:$O, "*, "&amp;E$4&amp;", *",集計用!$G:$G,"*, "&amp;$C39&amp;", *")/$B39*100</f>
        <v>33.333333333333329</v>
      </c>
      <c r="F39" s="41">
        <f>COUNTIFS(集計用!$O:$O, "*, "&amp;F$4&amp;", *",集計用!$G:$G,"*, "&amp;$C39&amp;", *")/$B39*100</f>
        <v>73.333333333333329</v>
      </c>
      <c r="G39" s="41">
        <f>COUNTIFS(集計用!$O:$O, "*, "&amp;G$4&amp;", *",集計用!$G:$G,"*, "&amp;$C39&amp;", *")/$B39*100</f>
        <v>6.666666666666667</v>
      </c>
      <c r="H39" s="41">
        <f>COUNTIFS(集計用!$O:$O, "*, "&amp;H$4&amp;", *",集計用!$G:$G,"*, "&amp;$C39&amp;", *")/$B39*100</f>
        <v>6.666666666666667</v>
      </c>
      <c r="I39" s="41">
        <f>COUNTIFS(集計用!$O:$O, "*, "&amp;I$4&amp;", *",集計用!$G:$G,"*, "&amp;$C39&amp;", *")/$B39*100</f>
        <v>13.333333333333334</v>
      </c>
      <c r="J39" s="41">
        <f>COUNTIFS(集計用!$O:$O, "*, "&amp;J$4&amp;", *",集計用!$G:$G,"*, "&amp;$C39&amp;", *")/$B39*100</f>
        <v>20</v>
      </c>
      <c r="K39" s="41">
        <f>COUNTIFS(集計用!$O:$O, "*, "&amp;K$4&amp;", *",集計用!$G:$G,"*, "&amp;$C39&amp;", *")/$B39*100</f>
        <v>6.666666666666667</v>
      </c>
      <c r="L39" s="41">
        <f>COUNTIFS(集計用!$O:$O, "*, "&amp;L$4&amp;", *",集計用!$G:$G,"*, "&amp;$C39&amp;", *")/$B39*100</f>
        <v>0</v>
      </c>
      <c r="M39" s="41">
        <f>COUNTIFS(集計用!$O:$O, "*, "&amp;M$4&amp;", *",集計用!$G:$G,"*, "&amp;$C39&amp;", *")/$B39*100</f>
        <v>26.666666666666668</v>
      </c>
      <c r="N39" s="41">
        <f>COUNTIFS(集計用!$O:$O, "*, "&amp;N$4&amp;", *",集計用!$G:$G,"*, "&amp;$C39&amp;", *")/$B39*100</f>
        <v>6.666666666666667</v>
      </c>
      <c r="O39" s="41">
        <f>COUNTIFS(集計用!$O:$O, "*, "&amp;O$4&amp;", *",集計用!$G:$G,"*, "&amp;$C39&amp;", *")/$B39*100</f>
        <v>6.666666666666667</v>
      </c>
      <c r="P39" s="41">
        <f>COUNTIFS(集計用!$O:$O, "*, "&amp;P$4&amp;", *",集計用!$G:$G,"*, "&amp;$C39&amp;", *")/$B39*100</f>
        <v>33.333333333333329</v>
      </c>
      <c r="Q39" s="41">
        <f>COUNTIFS(集計用!$O:$O, "*, "&amp;Q$4&amp;", *",集計用!$G:$G,"*, "&amp;$C39&amp;", *")/$B39*100</f>
        <v>13.333333333333334</v>
      </c>
      <c r="R39" s="41">
        <f>COUNTIFS(集計用!$O:$O, "*, "&amp;R$4&amp;", *",集計用!$G:$G,"*, "&amp;$C39&amp;", *")/$B39*100</f>
        <v>6.666666666666667</v>
      </c>
      <c r="S39" s="41">
        <f>COUNTIFS(集計用!$O:$O, "*, "&amp;S$4&amp;", *",集計用!$G:$G,"*, "&amp;$C39&amp;", *")/$B39*100</f>
        <v>6.666666666666667</v>
      </c>
      <c r="T39" s="41">
        <f>COUNTIFS(集計用!$O:$O, "*, "&amp;T$4&amp;", *",集計用!$G:$G,"*, "&amp;$C39&amp;", *")/$B39*100</f>
        <v>0</v>
      </c>
      <c r="V39" s="41">
        <f>COUNTIFS(集計用!$P:$P, "*"&amp;V$4&amp;",*",集計用!$G:$G,"*, "&amp;$C39&amp;", *")/$B39*100</f>
        <v>0</v>
      </c>
      <c r="W39" s="41">
        <f>COUNTIFS(集計用!$P:$P, "*"&amp;W$4&amp;",*",集計用!$G:$G,"*, "&amp;$C39&amp;", *")/$B39*100</f>
        <v>0</v>
      </c>
      <c r="X39" s="41">
        <f>COUNTIFS(集計用!$P:$P, "*"&amp;X$4&amp;",*",集計用!$G:$G,"*, "&amp;$C39&amp;", *")/$B39*100</f>
        <v>0</v>
      </c>
      <c r="Y39" s="41">
        <f>COUNTIFS(集計用!$P:$P, "*"&amp;Y$4&amp;",*",集計用!$G:$G,"*, "&amp;$C39&amp;", *")/$B39*100</f>
        <v>0</v>
      </c>
      <c r="Z39" s="41">
        <f>COUNTIFS(集計用!$P:$P, "*"&amp;Z$4&amp;",*",集計用!$G:$G,"*, "&amp;$C39&amp;", *")/$B39*100</f>
        <v>0</v>
      </c>
      <c r="AA39" s="41">
        <f>COUNTIFS(集計用!$P:$P, "*"&amp;AA$4&amp;",*",集計用!$G:$G,"*, "&amp;$C39&amp;", *")/$B39*100</f>
        <v>0</v>
      </c>
      <c r="AB39" s="41">
        <f>COUNTIFS(集計用!$P:$P, "*"&amp;AB$4&amp;",*",集計用!$G:$G,"*, "&amp;$C39&amp;", *")/$B39*100</f>
        <v>0</v>
      </c>
      <c r="AC39" s="41">
        <f>COUNTIFS(集計用!$P:$P, "*"&amp;AC$4&amp;",*",集計用!$G:$G,"*, "&amp;$C39&amp;", *")/$B39*100</f>
        <v>0</v>
      </c>
      <c r="AD39" s="41">
        <f>COUNTIFS(集計用!$P:$P, "*"&amp;AD$4&amp;",*",集計用!$G:$G,"*, "&amp;$C39&amp;", *")/$B39*100</f>
        <v>0</v>
      </c>
      <c r="AE39" s="41">
        <f>COUNTIFS(集計用!$P:$P, "*"&amp;AE$4&amp;",*",集計用!$G:$G,"*, "&amp;$C39&amp;", *")/$B39*100</f>
        <v>0</v>
      </c>
      <c r="AF39" s="41">
        <f>COUNTIFS(集計用!$P:$P, "*"&amp;AF$4&amp;",*",集計用!$G:$G,"*, "&amp;$C39&amp;", *")/$B39*100</f>
        <v>0</v>
      </c>
      <c r="AG39" s="41">
        <f>COUNTIFS(集計用!$P:$P, "*"&amp;AG$4&amp;",*",集計用!$G:$G,"*, "&amp;$C39&amp;", *")/$B39*100</f>
        <v>0</v>
      </c>
      <c r="AH39" s="41">
        <f>COUNTIFS(集計用!$P:$P, "*"&amp;AH$4&amp;",*",集計用!$G:$G,"*, "&amp;$C39&amp;", *")/$B39*100</f>
        <v>0</v>
      </c>
      <c r="AI39" s="41">
        <f>COUNTIFS(集計用!$P:$P, "*"&amp;AI$4&amp;",*",集計用!$G:$G,"*, "&amp;$C39&amp;", *")/$B39*100</f>
        <v>0</v>
      </c>
      <c r="AJ39" s="41">
        <f>COUNTIFS(集計用!$P:$P, "*"&amp;AJ$4&amp;",*",集計用!$G:$G,"*, "&amp;$C39&amp;", *")/$B39*100</f>
        <v>0</v>
      </c>
      <c r="AK39" s="41">
        <f>COUNTIFS(集計用!$P:$P, "*"&amp;AK$4&amp;",*",集計用!$G:$G,"*, "&amp;$C39&amp;", *")/$B39*100</f>
        <v>0</v>
      </c>
      <c r="AL39" s="41">
        <f>COUNTIFS(集計用!$P:$P, "*"&amp;AL$4&amp;",*",集計用!$G:$G,"*, "&amp;$C39&amp;", *")/$B39*100</f>
        <v>0</v>
      </c>
      <c r="AM39" s="41">
        <f>COUNTIFS(集計用!$P:$P, "*"&amp;AM$4&amp;",*",集計用!$G:$G,"*, "&amp;$C39&amp;", *")/$B39*100</f>
        <v>0</v>
      </c>
      <c r="AN39" s="41">
        <f>COUNTIFS(集計用!$P:$P, "*"&amp;AN$4&amp;",*",集計用!$G:$G,"*, "&amp;$C39&amp;", *")/$B39*100</f>
        <v>0</v>
      </c>
      <c r="AO39" s="41">
        <f>COUNTIFS(集計用!$P:$P, "*"&amp;AO$4&amp;",*",集計用!$G:$G,"*, "&amp;$C39&amp;", *")/$B39*100</f>
        <v>0</v>
      </c>
      <c r="AP39" s="41">
        <f>COUNTIFS(集計用!$P:$P, "*"&amp;AP$4&amp;",*",集計用!$G:$G,"*, "&amp;$C39&amp;", *")/$B39*100</f>
        <v>0</v>
      </c>
      <c r="AQ39" s="41">
        <f>COUNTIFS(集計用!$P:$P, "*"&amp;AQ$4&amp;",*",集計用!$G:$G,"*, "&amp;$C39&amp;", *")/$B39*100</f>
        <v>0</v>
      </c>
      <c r="AR39" s="41">
        <f>COUNTIFS(集計用!$P:$P, "*"&amp;AR$4&amp;",*",集計用!$G:$G,"*, "&amp;$C39&amp;", *")/$B39*100</f>
        <v>0</v>
      </c>
      <c r="AS39" s="41">
        <f>COUNTIFS(集計用!$P:$P, "*"&amp;AS$4&amp;",*",集計用!$G:$G,"*, "&amp;$C39&amp;", *")/$B39*100</f>
        <v>0</v>
      </c>
      <c r="AT39" s="41">
        <f>COUNTIFS(集計用!$P:$P, "*"&amp;AT$4&amp;",*",集計用!$G:$G,"*, "&amp;$C39&amp;", *")/$B39*100</f>
        <v>0</v>
      </c>
      <c r="AU39" s="41">
        <f>COUNTIFS(集計用!$P:$P, "*"&amp;AU$4&amp;",*",集計用!$G:$G,"*, "&amp;$C39&amp;", *")/$B39*100</f>
        <v>0</v>
      </c>
      <c r="AV39" s="41">
        <f>COUNTIFS(集計用!$P:$P, "*"&amp;AV$4&amp;",*",集計用!$G:$G,"*, "&amp;$C39&amp;", *")/$B39*100</f>
        <v>0</v>
      </c>
      <c r="AW39" s="41">
        <f>COUNTIFS(集計用!$P:$P, "*"&amp;AW$4&amp;",*",集計用!$G:$G,"*, "&amp;$C39&amp;", *")/$B39*100</f>
        <v>0</v>
      </c>
      <c r="AX39" s="41">
        <f>COUNTIFS(集計用!$P:$P, "*"&amp;AX$4&amp;",*",集計用!$G:$G,"*, "&amp;$C39&amp;", *")/$B39*100</f>
        <v>0</v>
      </c>
      <c r="AY39" s="41">
        <f>COUNTIFS(集計用!$P:$P, "*"&amp;AY$4&amp;",*",集計用!$G:$G,"*, "&amp;$C39&amp;", *")/$B39*100</f>
        <v>0</v>
      </c>
      <c r="AZ39" s="41">
        <f>COUNTIFS(集計用!$P:$P, "*"&amp;AZ$4&amp;",*",集計用!$G:$G,"*, "&amp;$C39&amp;", *")/$B39*100</f>
        <v>0</v>
      </c>
      <c r="BA39" s="41">
        <f>COUNTIFS(集計用!$P:$P, "*"&amp;BA$4&amp;",*",集計用!$G:$G,"*, "&amp;$C39&amp;", *")/$B39*100</f>
        <v>0</v>
      </c>
      <c r="BB39" s="41">
        <f>COUNTIFS(集計用!$P:$P, "*"&amp;BB$4&amp;",*",集計用!$G:$G,"*, "&amp;$C39&amp;", *")/$B39*100</f>
        <v>6.666666666666667</v>
      </c>
      <c r="BC39" s="41">
        <f>COUNTIFS(集計用!$P:$P, "*"&amp;BC$4&amp;",*",集計用!$G:$G,"*, "&amp;$C39&amp;", *")/$B39*100</f>
        <v>0</v>
      </c>
      <c r="BD39" s="41">
        <f>COUNTIFS(集計用!$P:$P, "*"&amp;BD$4&amp;",*",集計用!$G:$G,"*, "&amp;$C39&amp;", *")/$B39*100</f>
        <v>6.666666666666667</v>
      </c>
      <c r="BE39" s="41">
        <f>COUNTIFS(集計用!$P:$P, "*"&amp;BE$4&amp;",*",集計用!$G:$G,"*, "&amp;$C39&amp;", *")/$B39*100</f>
        <v>0</v>
      </c>
      <c r="BF39" s="41">
        <f>COUNTIFS(集計用!$P:$P, "*"&amp;BF$4&amp;",*",集計用!$G:$G,"*, "&amp;$C39&amp;", *")/$B39*100</f>
        <v>0</v>
      </c>
      <c r="BG39" s="41">
        <f>COUNTIFS(集計用!$P:$P, "*"&amp;BG$4&amp;",*",集計用!$G:$G,"*, "&amp;$C39&amp;", *")/$B39*100</f>
        <v>0</v>
      </c>
      <c r="BH39" s="41">
        <f>COUNTIFS(集計用!$P:$P, "*"&amp;BH$4&amp;",*",集計用!$G:$G,"*, "&amp;$C39&amp;", *")/$B39*100</f>
        <v>0</v>
      </c>
      <c r="BI39" s="41">
        <f>COUNTIFS(集計用!$P:$P, "*"&amp;BI$4&amp;",*",集計用!$G:$G,"*, "&amp;$C39&amp;", *")/$B39*100</f>
        <v>0</v>
      </c>
      <c r="BJ39" s="41">
        <f>COUNTIFS(集計用!$P:$P, "*"&amp;BJ$4&amp;",*",集計用!$G:$G,"*, "&amp;$C39&amp;", *")/$B39*100</f>
        <v>0</v>
      </c>
      <c r="BK39" s="41">
        <f>COUNTIFS(集計用!$P:$P, "*"&amp;BK$4&amp;",*",集計用!$G:$G,"*, "&amp;$C39&amp;", *")/$B39*100</f>
        <v>0</v>
      </c>
      <c r="BL39" s="41">
        <f>COUNTIFS(集計用!$P:$P, "*"&amp;BL$4&amp;",*",集計用!$G:$G,"*, "&amp;$C39&amp;", *")/$B39*100</f>
        <v>0</v>
      </c>
      <c r="BM39" s="41">
        <f>COUNTIFS(集計用!$P:$P, "*"&amp;BM$4&amp;",*",集計用!$G:$G,"*, "&amp;$C39&amp;", *")/$B39*100</f>
        <v>0</v>
      </c>
      <c r="BN39" s="41">
        <f>COUNTIFS(集計用!$P:$P, "*"&amp;BN$4&amp;",*",集計用!$G:$G,"*, "&amp;$C39&amp;", *")/$B39*100</f>
        <v>0</v>
      </c>
      <c r="BO39" s="41">
        <f>COUNTIFS(集計用!$P:$P, "*"&amp;BO$4&amp;",*",集計用!$G:$G,"*, "&amp;$C39&amp;", *")/$B39*100</f>
        <v>0</v>
      </c>
      <c r="BP39" s="41">
        <f>COUNTIFS(集計用!$P:$P, "*"&amp;BP$4&amp;",*",集計用!$G:$G,"*, "&amp;$C39&amp;", *")/$B39*100</f>
        <v>0</v>
      </c>
      <c r="BQ39" s="41">
        <f>COUNTIFS(集計用!$P:$P, "*"&amp;BQ$4&amp;",*",集計用!$G:$G,"*, "&amp;$C39&amp;", *")/$B39*100</f>
        <v>0</v>
      </c>
      <c r="BR39" s="41">
        <f>COUNTIFS(集計用!$P:$P, "*"&amp;BR$4&amp;",*",集計用!$G:$G,"*, "&amp;$C39&amp;", *")/$B39*100</f>
        <v>0</v>
      </c>
      <c r="BS39" s="41">
        <f>COUNTIFS(集計用!$P:$P, "*"&amp;BS$4&amp;",*",集計用!$G:$G,"*, "&amp;$C39&amp;", *")/$B39*100</f>
        <v>0</v>
      </c>
      <c r="BT39" s="41">
        <f>COUNTIFS(集計用!$P:$P, "*"&amp;BT$4&amp;",*",集計用!$G:$G,"*, "&amp;$C39&amp;", *")/$B39*100</f>
        <v>0</v>
      </c>
      <c r="BU39" s="41"/>
      <c r="BV39" s="41"/>
      <c r="BW39" s="41"/>
      <c r="BX39" s="41"/>
      <c r="BY39" s="41"/>
      <c r="BZ39" s="41"/>
      <c r="CA39" s="41"/>
      <c r="CB39" s="41"/>
      <c r="CC39" s="41"/>
      <c r="CD39" s="41"/>
      <c r="CE39" s="41"/>
      <c r="CF39" s="41"/>
      <c r="CG39" s="41"/>
      <c r="CH39" s="41"/>
      <c r="CI39" s="41"/>
      <c r="CJ39" s="41"/>
      <c r="CK39" s="41"/>
    </row>
    <row r="40" spans="1:89" ht="12.75">
      <c r="A40" s="39">
        <v>5</v>
      </c>
      <c r="B40" s="39">
        <f>(COUNTIFS(集計用!$G:$G,"*, "&amp;$C40&amp;",*",集計用!$Q:$Q,"&lt;&gt;無回答"))</f>
        <v>15</v>
      </c>
      <c r="C40" s="42" t="s">
        <v>34</v>
      </c>
      <c r="D40" s="41">
        <f>COUNTIFS(集計用!$O:$O, "*, "&amp;D$4&amp;", *",集計用!$G:$G,"*, "&amp;$C40&amp;", *")/$B40*100</f>
        <v>80</v>
      </c>
      <c r="E40" s="41">
        <f>COUNTIFS(集計用!$O:$O, "*, "&amp;E$4&amp;", *",集計用!$G:$G,"*, "&amp;$C40&amp;", *")/$B40*100</f>
        <v>33.333333333333329</v>
      </c>
      <c r="F40" s="41">
        <f>COUNTIFS(集計用!$O:$O, "*, "&amp;F$4&amp;", *",集計用!$G:$G,"*, "&amp;$C40&amp;", *")/$B40*100</f>
        <v>53.333333333333336</v>
      </c>
      <c r="G40" s="41">
        <f>COUNTIFS(集計用!$O:$O, "*, "&amp;G$4&amp;", *",集計用!$G:$G,"*, "&amp;$C40&amp;", *")/$B40*100</f>
        <v>26.666666666666668</v>
      </c>
      <c r="H40" s="41">
        <f>COUNTIFS(集計用!$O:$O, "*, "&amp;H$4&amp;", *",集計用!$G:$G,"*, "&amp;$C40&amp;", *")/$B40*100</f>
        <v>13.333333333333334</v>
      </c>
      <c r="I40" s="41">
        <f>COUNTIFS(集計用!$O:$O, "*, "&amp;I$4&amp;", *",集計用!$G:$G,"*, "&amp;$C40&amp;", *")/$B40*100</f>
        <v>20</v>
      </c>
      <c r="J40" s="41">
        <f>COUNTIFS(集計用!$O:$O, "*, "&amp;J$4&amp;", *",集計用!$G:$G,"*, "&amp;$C40&amp;", *")/$B40*100</f>
        <v>6.666666666666667</v>
      </c>
      <c r="K40" s="41">
        <f>COUNTIFS(集計用!$O:$O, "*, "&amp;K$4&amp;", *",集計用!$G:$G,"*, "&amp;$C40&amp;", *")/$B40*100</f>
        <v>6.666666666666667</v>
      </c>
      <c r="L40" s="41">
        <f>COUNTIFS(集計用!$O:$O, "*, "&amp;L$4&amp;", *",集計用!$G:$G,"*, "&amp;$C40&amp;", *")/$B40*100</f>
        <v>20</v>
      </c>
      <c r="M40" s="41">
        <f>COUNTIFS(集計用!$O:$O, "*, "&amp;M$4&amp;", *",集計用!$G:$G,"*, "&amp;$C40&amp;", *")/$B40*100</f>
        <v>33.333333333333329</v>
      </c>
      <c r="N40" s="41">
        <f>COUNTIFS(集計用!$O:$O, "*, "&amp;N$4&amp;", *",集計用!$G:$G,"*, "&amp;$C40&amp;", *")/$B40*100</f>
        <v>6.666666666666667</v>
      </c>
      <c r="O40" s="41">
        <f>COUNTIFS(集計用!$O:$O, "*, "&amp;O$4&amp;", *",集計用!$G:$G,"*, "&amp;$C40&amp;", *")/$B40*100</f>
        <v>6.666666666666667</v>
      </c>
      <c r="P40" s="41">
        <f>COUNTIFS(集計用!$O:$O, "*, "&amp;P$4&amp;", *",集計用!$G:$G,"*, "&amp;$C40&amp;", *")/$B40*100</f>
        <v>26.666666666666668</v>
      </c>
      <c r="Q40" s="41">
        <f>COUNTIFS(集計用!$O:$O, "*, "&amp;Q$4&amp;", *",集計用!$G:$G,"*, "&amp;$C40&amp;", *")/$B40*100</f>
        <v>13.333333333333334</v>
      </c>
      <c r="R40" s="41">
        <f>COUNTIFS(集計用!$O:$O, "*, "&amp;R$4&amp;", *",集計用!$G:$G,"*, "&amp;$C40&amp;", *")/$B40*100</f>
        <v>6.666666666666667</v>
      </c>
      <c r="S40" s="41">
        <f>COUNTIFS(集計用!$O:$O, "*, "&amp;S$4&amp;", *",集計用!$G:$G,"*, "&amp;$C40&amp;", *")/$B40*100</f>
        <v>6.666666666666667</v>
      </c>
      <c r="T40" s="41">
        <f>COUNTIFS(集計用!$O:$O, "*, "&amp;T$4&amp;", *",集計用!$G:$G,"*, "&amp;$C40&amp;", *")/$B40*100</f>
        <v>0</v>
      </c>
      <c r="V40" s="41">
        <f>COUNTIFS(集計用!$P:$P, "*"&amp;V$4&amp;",*",集計用!$G:$G,"*, "&amp;$C40&amp;", *")/$B40*100</f>
        <v>6.666666666666667</v>
      </c>
      <c r="W40" s="41">
        <f>COUNTIFS(集計用!$P:$P, "*"&amp;W$4&amp;",*",集計用!$G:$G,"*, "&amp;$C40&amp;", *")/$B40*100</f>
        <v>0</v>
      </c>
      <c r="X40" s="41">
        <f>COUNTIFS(集計用!$P:$P, "*"&amp;X$4&amp;",*",集計用!$G:$G,"*, "&amp;$C40&amp;", *")/$B40*100</f>
        <v>6.666666666666667</v>
      </c>
      <c r="Y40" s="41">
        <f>COUNTIFS(集計用!$P:$P, "*"&amp;Y$4&amp;",*",集計用!$G:$G,"*, "&amp;$C40&amp;", *")/$B40*100</f>
        <v>0</v>
      </c>
      <c r="Z40" s="41">
        <f>COUNTIFS(集計用!$P:$P, "*"&amp;Z$4&amp;",*",集計用!$G:$G,"*, "&amp;$C40&amp;", *")/$B40*100</f>
        <v>0</v>
      </c>
      <c r="AA40" s="41">
        <f>COUNTIFS(集計用!$P:$P, "*"&amp;AA$4&amp;",*",集計用!$G:$G,"*, "&amp;$C40&amp;", *")/$B40*100</f>
        <v>0</v>
      </c>
      <c r="AB40" s="41">
        <f>COUNTIFS(集計用!$P:$P, "*"&amp;AB$4&amp;",*",集計用!$G:$G,"*, "&amp;$C40&amp;", *")/$B40*100</f>
        <v>0</v>
      </c>
      <c r="AC40" s="41">
        <f>COUNTIFS(集計用!$P:$P, "*"&amp;AC$4&amp;",*",集計用!$G:$G,"*, "&amp;$C40&amp;", *")/$B40*100</f>
        <v>0</v>
      </c>
      <c r="AD40" s="41">
        <f>COUNTIFS(集計用!$P:$P, "*"&amp;AD$4&amp;",*",集計用!$G:$G,"*, "&amp;$C40&amp;", *")/$B40*100</f>
        <v>0</v>
      </c>
      <c r="AE40" s="41">
        <f>COUNTIFS(集計用!$P:$P, "*"&amp;AE$4&amp;",*",集計用!$G:$G,"*, "&amp;$C40&amp;", *")/$B40*100</f>
        <v>0</v>
      </c>
      <c r="AF40" s="41">
        <f>COUNTIFS(集計用!$P:$P, "*"&amp;AF$4&amp;",*",集計用!$G:$G,"*, "&amp;$C40&amp;", *")/$B40*100</f>
        <v>0</v>
      </c>
      <c r="AG40" s="41">
        <f>COUNTIFS(集計用!$P:$P, "*"&amp;AG$4&amp;",*",集計用!$G:$G,"*, "&amp;$C40&amp;", *")/$B40*100</f>
        <v>0</v>
      </c>
      <c r="AH40" s="41">
        <f>COUNTIFS(集計用!$P:$P, "*"&amp;AH$4&amp;",*",集計用!$G:$G,"*, "&amp;$C40&amp;", *")/$B40*100</f>
        <v>0</v>
      </c>
      <c r="AI40" s="41">
        <f>COUNTIFS(集計用!$P:$P, "*"&amp;AI$4&amp;",*",集計用!$G:$G,"*, "&amp;$C40&amp;", *")/$B40*100</f>
        <v>0</v>
      </c>
      <c r="AJ40" s="41">
        <f>COUNTIFS(集計用!$P:$P, "*"&amp;AJ$4&amp;",*",集計用!$G:$G,"*, "&amp;$C40&amp;", *")/$B40*100</f>
        <v>0</v>
      </c>
      <c r="AK40" s="41">
        <f>COUNTIFS(集計用!$P:$P, "*"&amp;AK$4&amp;",*",集計用!$G:$G,"*, "&amp;$C40&amp;", *")/$B40*100</f>
        <v>0</v>
      </c>
      <c r="AL40" s="41">
        <f>COUNTIFS(集計用!$P:$P, "*"&amp;AL$4&amp;",*",集計用!$G:$G,"*, "&amp;$C40&amp;", *")/$B40*100</f>
        <v>0</v>
      </c>
      <c r="AM40" s="41">
        <f>COUNTIFS(集計用!$P:$P, "*"&amp;AM$4&amp;",*",集計用!$G:$G,"*, "&amp;$C40&amp;", *")/$B40*100</f>
        <v>0</v>
      </c>
      <c r="AN40" s="41">
        <f>COUNTIFS(集計用!$P:$P, "*"&amp;AN$4&amp;",*",集計用!$G:$G,"*, "&amp;$C40&amp;", *")/$B40*100</f>
        <v>0</v>
      </c>
      <c r="AO40" s="41">
        <f>COUNTIFS(集計用!$P:$P, "*"&amp;AO$4&amp;",*",集計用!$G:$G,"*, "&amp;$C40&amp;", *")/$B40*100</f>
        <v>0</v>
      </c>
      <c r="AP40" s="41">
        <f>COUNTIFS(集計用!$P:$P, "*"&amp;AP$4&amp;",*",集計用!$G:$G,"*, "&amp;$C40&amp;", *")/$B40*100</f>
        <v>0</v>
      </c>
      <c r="AQ40" s="41">
        <f>COUNTIFS(集計用!$P:$P, "*"&amp;AQ$4&amp;",*",集計用!$G:$G,"*, "&amp;$C40&amp;", *")/$B40*100</f>
        <v>0</v>
      </c>
      <c r="AR40" s="41">
        <f>COUNTIFS(集計用!$P:$P, "*"&amp;AR$4&amp;",*",集計用!$G:$G,"*, "&amp;$C40&amp;", *")/$B40*100</f>
        <v>0</v>
      </c>
      <c r="AS40" s="41">
        <f>COUNTIFS(集計用!$P:$P, "*"&amp;AS$4&amp;",*",集計用!$G:$G,"*, "&amp;$C40&amp;", *")/$B40*100</f>
        <v>0</v>
      </c>
      <c r="AT40" s="41">
        <f>COUNTIFS(集計用!$P:$P, "*"&amp;AT$4&amp;",*",集計用!$G:$G,"*, "&amp;$C40&amp;", *")/$B40*100</f>
        <v>0</v>
      </c>
      <c r="AU40" s="41">
        <f>COUNTIFS(集計用!$P:$P, "*"&amp;AU$4&amp;",*",集計用!$G:$G,"*, "&amp;$C40&amp;", *")/$B40*100</f>
        <v>0</v>
      </c>
      <c r="AV40" s="41">
        <f>COUNTIFS(集計用!$P:$P, "*"&amp;AV$4&amp;",*",集計用!$G:$G,"*, "&amp;$C40&amp;", *")/$B40*100</f>
        <v>0</v>
      </c>
      <c r="AW40" s="41">
        <f>COUNTIFS(集計用!$P:$P, "*"&amp;AW$4&amp;",*",集計用!$G:$G,"*, "&amp;$C40&amp;", *")/$B40*100</f>
        <v>0</v>
      </c>
      <c r="AX40" s="41">
        <f>COUNTIFS(集計用!$P:$P, "*"&amp;AX$4&amp;",*",集計用!$G:$G,"*, "&amp;$C40&amp;", *")/$B40*100</f>
        <v>0</v>
      </c>
      <c r="AY40" s="41">
        <f>COUNTIFS(集計用!$P:$P, "*"&amp;AY$4&amp;",*",集計用!$G:$G,"*, "&amp;$C40&amp;", *")/$B40*100</f>
        <v>0</v>
      </c>
      <c r="AZ40" s="41">
        <f>COUNTIFS(集計用!$P:$P, "*"&amp;AZ$4&amp;",*",集計用!$G:$G,"*, "&amp;$C40&amp;", *")/$B40*100</f>
        <v>0</v>
      </c>
      <c r="BA40" s="41">
        <f>COUNTIFS(集計用!$P:$P, "*"&amp;BA$4&amp;",*",集計用!$G:$G,"*, "&amp;$C40&amp;", *")/$B40*100</f>
        <v>0</v>
      </c>
      <c r="BB40" s="41">
        <f>COUNTIFS(集計用!$P:$P, "*"&amp;BB$4&amp;",*",集計用!$G:$G,"*, "&amp;$C40&amp;", *")/$B40*100</f>
        <v>0</v>
      </c>
      <c r="BC40" s="41">
        <f>COUNTIFS(集計用!$P:$P, "*"&amp;BC$4&amp;",*",集計用!$G:$G,"*, "&amp;$C40&amp;", *")/$B40*100</f>
        <v>0</v>
      </c>
      <c r="BD40" s="41">
        <f>COUNTIFS(集計用!$P:$P, "*"&amp;BD$4&amp;",*",集計用!$G:$G,"*, "&amp;$C40&amp;", *")/$B40*100</f>
        <v>0</v>
      </c>
      <c r="BE40" s="41">
        <f>COUNTIFS(集計用!$P:$P, "*"&amp;BE$4&amp;",*",集計用!$G:$G,"*, "&amp;$C40&amp;", *")/$B40*100</f>
        <v>0</v>
      </c>
      <c r="BF40" s="41">
        <f>COUNTIFS(集計用!$P:$P, "*"&amp;BF$4&amp;",*",集計用!$G:$G,"*, "&amp;$C40&amp;", *")/$B40*100</f>
        <v>0</v>
      </c>
      <c r="BG40" s="41">
        <f>COUNTIFS(集計用!$P:$P, "*"&amp;BG$4&amp;",*",集計用!$G:$G,"*, "&amp;$C40&amp;", *")/$B40*100</f>
        <v>0</v>
      </c>
      <c r="BH40" s="41">
        <f>COUNTIFS(集計用!$P:$P, "*"&amp;BH$4&amp;",*",集計用!$G:$G,"*, "&amp;$C40&amp;", *")/$B40*100</f>
        <v>0</v>
      </c>
      <c r="BI40" s="41">
        <f>COUNTIFS(集計用!$P:$P, "*"&amp;BI$4&amp;",*",集計用!$G:$G,"*, "&amp;$C40&amp;", *")/$B40*100</f>
        <v>0</v>
      </c>
      <c r="BJ40" s="41">
        <f>COUNTIFS(集計用!$P:$P, "*"&amp;BJ$4&amp;",*",集計用!$G:$G,"*, "&amp;$C40&amp;", *")/$B40*100</f>
        <v>0</v>
      </c>
      <c r="BK40" s="41">
        <f>COUNTIFS(集計用!$P:$P, "*"&amp;BK$4&amp;",*",集計用!$G:$G,"*, "&amp;$C40&amp;", *")/$B40*100</f>
        <v>0</v>
      </c>
      <c r="BL40" s="41">
        <f>COUNTIFS(集計用!$P:$P, "*"&amp;BL$4&amp;",*",集計用!$G:$G,"*, "&amp;$C40&amp;", *")/$B40*100</f>
        <v>0</v>
      </c>
      <c r="BM40" s="41">
        <f>COUNTIFS(集計用!$P:$P, "*"&amp;BM$4&amp;",*",集計用!$G:$G,"*, "&amp;$C40&amp;", *")/$B40*100</f>
        <v>0</v>
      </c>
      <c r="BN40" s="41">
        <f>COUNTIFS(集計用!$P:$P, "*"&amp;BN$4&amp;",*",集計用!$G:$G,"*, "&amp;$C40&amp;", *")/$B40*100</f>
        <v>0</v>
      </c>
      <c r="BO40" s="41">
        <f>COUNTIFS(集計用!$P:$P, "*"&amp;BO$4&amp;",*",集計用!$G:$G,"*, "&amp;$C40&amp;", *")/$B40*100</f>
        <v>6.666666666666667</v>
      </c>
      <c r="BP40" s="41">
        <f>COUNTIFS(集計用!$P:$P, "*"&amp;BP$4&amp;",*",集計用!$G:$G,"*, "&amp;$C40&amp;", *")/$B40*100</f>
        <v>0</v>
      </c>
      <c r="BQ40" s="41">
        <f>COUNTIFS(集計用!$P:$P, "*"&amp;BQ$4&amp;",*",集計用!$G:$G,"*, "&amp;$C40&amp;", *")/$B40*100</f>
        <v>0</v>
      </c>
      <c r="BR40" s="41">
        <f>COUNTIFS(集計用!$P:$P, "*"&amp;BR$4&amp;",*",集計用!$G:$G,"*, "&amp;$C40&amp;", *")/$B40*100</f>
        <v>0</v>
      </c>
      <c r="BS40" s="41">
        <f>COUNTIFS(集計用!$P:$P, "*"&amp;BS$4&amp;",*",集計用!$G:$G,"*, "&amp;$C40&amp;", *")/$B40*100</f>
        <v>0</v>
      </c>
      <c r="BT40" s="41">
        <f>COUNTIFS(集計用!$P:$P, "*"&amp;BT$4&amp;",*",集計用!$G:$G,"*, "&amp;$C40&amp;", *")/$B40*100</f>
        <v>0</v>
      </c>
      <c r="BU40" s="41"/>
      <c r="BV40" s="41"/>
      <c r="BW40" s="41"/>
      <c r="BX40" s="41"/>
      <c r="BY40" s="41"/>
      <c r="BZ40" s="41"/>
      <c r="CA40" s="41"/>
      <c r="CB40" s="41"/>
      <c r="CC40" s="41"/>
      <c r="CD40" s="41"/>
      <c r="CE40" s="41"/>
      <c r="CF40" s="41"/>
      <c r="CG40" s="41"/>
      <c r="CH40" s="41"/>
      <c r="CI40" s="41"/>
      <c r="CJ40" s="41"/>
      <c r="CK40" s="41"/>
    </row>
    <row r="41" spans="1:89" ht="12.75">
      <c r="A41" s="39">
        <v>4</v>
      </c>
      <c r="B41" s="39">
        <f>(COUNTIFS(集計用!$G:$G,"*, "&amp;$C41&amp;",*",集計用!$Q:$Q,"&lt;&gt;無回答"))</f>
        <v>15</v>
      </c>
      <c r="C41" s="42" t="s">
        <v>33</v>
      </c>
      <c r="D41" s="41">
        <f>COUNTIFS(集計用!$O:$O, "*, "&amp;D$4&amp;", *",集計用!$G:$G,"*, "&amp;$C41&amp;", *")/$B41*100</f>
        <v>73.333333333333329</v>
      </c>
      <c r="E41" s="41">
        <f>COUNTIFS(集計用!$O:$O, "*, "&amp;E$4&amp;", *",集計用!$G:$G,"*, "&amp;$C41&amp;", *")/$B41*100</f>
        <v>66.666666666666657</v>
      </c>
      <c r="F41" s="41">
        <f>COUNTIFS(集計用!$O:$O, "*, "&amp;F$4&amp;", *",集計用!$G:$G,"*, "&amp;$C41&amp;", *")/$B41*100</f>
        <v>53.333333333333336</v>
      </c>
      <c r="G41" s="41">
        <f>COUNTIFS(集計用!$O:$O, "*, "&amp;G$4&amp;", *",集計用!$G:$G,"*, "&amp;$C41&amp;", *")/$B41*100</f>
        <v>40</v>
      </c>
      <c r="H41" s="41">
        <f>COUNTIFS(集計用!$O:$O, "*, "&amp;H$4&amp;", *",集計用!$G:$G,"*, "&amp;$C41&amp;", *")/$B41*100</f>
        <v>33.333333333333329</v>
      </c>
      <c r="I41" s="41">
        <f>COUNTIFS(集計用!$O:$O, "*, "&amp;I$4&amp;", *",集計用!$G:$G,"*, "&amp;$C41&amp;", *")/$B41*100</f>
        <v>46.666666666666664</v>
      </c>
      <c r="J41" s="41">
        <f>COUNTIFS(集計用!$O:$O, "*, "&amp;J$4&amp;", *",集計用!$G:$G,"*, "&amp;$C41&amp;", *")/$B41*100</f>
        <v>26.666666666666668</v>
      </c>
      <c r="K41" s="41">
        <f>COUNTIFS(集計用!$O:$O, "*, "&amp;K$4&amp;", *",集計用!$G:$G,"*, "&amp;$C41&amp;", *")/$B41*100</f>
        <v>33.333333333333329</v>
      </c>
      <c r="L41" s="41">
        <f>COUNTIFS(集計用!$O:$O, "*, "&amp;L$4&amp;", *",集計用!$G:$G,"*, "&amp;$C41&amp;", *")/$B41*100</f>
        <v>26.666666666666668</v>
      </c>
      <c r="M41" s="41">
        <f>COUNTIFS(集計用!$O:$O, "*, "&amp;M$4&amp;", *",集計用!$G:$G,"*, "&amp;$C41&amp;", *")/$B41*100</f>
        <v>46.666666666666664</v>
      </c>
      <c r="N41" s="41">
        <f>COUNTIFS(集計用!$O:$O, "*, "&amp;N$4&amp;", *",集計用!$G:$G,"*, "&amp;$C41&amp;", *")/$B41*100</f>
        <v>13.333333333333334</v>
      </c>
      <c r="O41" s="41">
        <f>COUNTIFS(集計用!$O:$O, "*, "&amp;O$4&amp;", *",集計用!$G:$G,"*, "&amp;$C41&amp;", *")/$B41*100</f>
        <v>13.333333333333334</v>
      </c>
      <c r="P41" s="41">
        <f>COUNTIFS(集計用!$O:$O, "*, "&amp;P$4&amp;", *",集計用!$G:$G,"*, "&amp;$C41&amp;", *")/$B41*100</f>
        <v>40</v>
      </c>
      <c r="Q41" s="41">
        <f>COUNTIFS(集計用!$O:$O, "*, "&amp;Q$4&amp;", *",集計用!$G:$G,"*, "&amp;$C41&amp;", *")/$B41*100</f>
        <v>6.666666666666667</v>
      </c>
      <c r="R41" s="41">
        <f>COUNTIFS(集計用!$O:$O, "*, "&amp;R$4&amp;", *",集計用!$G:$G,"*, "&amp;$C41&amp;", *")/$B41*100</f>
        <v>13.333333333333334</v>
      </c>
      <c r="S41" s="41">
        <f>COUNTIFS(集計用!$O:$O, "*, "&amp;S$4&amp;", *",集計用!$G:$G,"*, "&amp;$C41&amp;", *")/$B41*100</f>
        <v>6.666666666666667</v>
      </c>
      <c r="T41" s="41">
        <f>COUNTIFS(集計用!$O:$O, "*, "&amp;T$4&amp;", *",集計用!$G:$G,"*, "&amp;$C41&amp;", *")/$B41*100</f>
        <v>0</v>
      </c>
      <c r="V41" s="41">
        <f>COUNTIFS(集計用!$P:$P, "*"&amp;V$4&amp;",*",集計用!$G:$G,"*, "&amp;$C41&amp;", *")/$B41*100</f>
        <v>0</v>
      </c>
      <c r="W41" s="41">
        <f>COUNTIFS(集計用!$P:$P, "*"&amp;W$4&amp;",*",集計用!$G:$G,"*, "&amp;$C41&amp;", *")/$B41*100</f>
        <v>0</v>
      </c>
      <c r="X41" s="41">
        <f>COUNTIFS(集計用!$P:$P, "*"&amp;X$4&amp;",*",集計用!$G:$G,"*, "&amp;$C41&amp;", *")/$B41*100</f>
        <v>0</v>
      </c>
      <c r="Y41" s="41">
        <f>COUNTIFS(集計用!$P:$P, "*"&amp;Y$4&amp;",*",集計用!$G:$G,"*, "&amp;$C41&amp;", *")/$B41*100</f>
        <v>13.333333333333334</v>
      </c>
      <c r="Z41" s="41">
        <f>COUNTIFS(集計用!$P:$P, "*"&amp;Z$4&amp;",*",集計用!$G:$G,"*, "&amp;$C41&amp;", *")/$B41*100</f>
        <v>0</v>
      </c>
      <c r="AA41" s="41">
        <f>COUNTIFS(集計用!$P:$P, "*"&amp;AA$4&amp;",*",集計用!$G:$G,"*, "&amp;$C41&amp;", *")/$B41*100</f>
        <v>0</v>
      </c>
      <c r="AB41" s="41">
        <f>COUNTIFS(集計用!$P:$P, "*"&amp;AB$4&amp;",*",集計用!$G:$G,"*, "&amp;$C41&amp;", *")/$B41*100</f>
        <v>0</v>
      </c>
      <c r="AC41" s="41">
        <f>COUNTIFS(集計用!$P:$P, "*"&amp;AC$4&amp;",*",集計用!$G:$G,"*, "&amp;$C41&amp;", *")/$B41*100</f>
        <v>0</v>
      </c>
      <c r="AD41" s="41">
        <f>COUNTIFS(集計用!$P:$P, "*"&amp;AD$4&amp;",*",集計用!$G:$G,"*, "&amp;$C41&amp;", *")/$B41*100</f>
        <v>0</v>
      </c>
      <c r="AE41" s="41">
        <f>COUNTIFS(集計用!$P:$P, "*"&amp;AE$4&amp;",*",集計用!$G:$G,"*, "&amp;$C41&amp;", *")/$B41*100</f>
        <v>0</v>
      </c>
      <c r="AF41" s="41">
        <f>COUNTIFS(集計用!$P:$P, "*"&amp;AF$4&amp;",*",集計用!$G:$G,"*, "&amp;$C41&amp;", *")/$B41*100</f>
        <v>0</v>
      </c>
      <c r="AG41" s="41">
        <f>COUNTIFS(集計用!$P:$P, "*"&amp;AG$4&amp;",*",集計用!$G:$G,"*, "&amp;$C41&amp;", *")/$B41*100</f>
        <v>0</v>
      </c>
      <c r="AH41" s="41">
        <f>COUNTIFS(集計用!$P:$P, "*"&amp;AH$4&amp;",*",集計用!$G:$G,"*, "&amp;$C41&amp;", *")/$B41*100</f>
        <v>0</v>
      </c>
      <c r="AI41" s="41">
        <f>COUNTIFS(集計用!$P:$P, "*"&amp;AI$4&amp;",*",集計用!$G:$G,"*, "&amp;$C41&amp;", *")/$B41*100</f>
        <v>0</v>
      </c>
      <c r="AJ41" s="41">
        <f>COUNTIFS(集計用!$P:$P, "*"&amp;AJ$4&amp;",*",集計用!$G:$G,"*, "&amp;$C41&amp;", *")/$B41*100</f>
        <v>0</v>
      </c>
      <c r="AK41" s="41">
        <f>COUNTIFS(集計用!$P:$P, "*"&amp;AK$4&amp;",*",集計用!$G:$G,"*, "&amp;$C41&amp;", *")/$B41*100</f>
        <v>0</v>
      </c>
      <c r="AL41" s="41">
        <f>COUNTIFS(集計用!$P:$P, "*"&amp;AL$4&amp;",*",集計用!$G:$G,"*, "&amp;$C41&amp;", *")/$B41*100</f>
        <v>0</v>
      </c>
      <c r="AM41" s="41">
        <f>COUNTIFS(集計用!$P:$P, "*"&amp;AM$4&amp;",*",集計用!$G:$G,"*, "&amp;$C41&amp;", *")/$B41*100</f>
        <v>0</v>
      </c>
      <c r="AN41" s="41">
        <f>COUNTIFS(集計用!$P:$P, "*"&amp;AN$4&amp;",*",集計用!$G:$G,"*, "&amp;$C41&amp;", *")/$B41*100</f>
        <v>0</v>
      </c>
      <c r="AO41" s="41">
        <f>COUNTIFS(集計用!$P:$P, "*"&amp;AO$4&amp;",*",集計用!$G:$G,"*, "&amp;$C41&amp;", *")/$B41*100</f>
        <v>0</v>
      </c>
      <c r="AP41" s="41">
        <f>COUNTIFS(集計用!$P:$P, "*"&amp;AP$4&amp;",*",集計用!$G:$G,"*, "&amp;$C41&amp;", *")/$B41*100</f>
        <v>0</v>
      </c>
      <c r="AQ41" s="41">
        <f>COUNTIFS(集計用!$P:$P, "*"&amp;AQ$4&amp;",*",集計用!$G:$G,"*, "&amp;$C41&amp;", *")/$B41*100</f>
        <v>0</v>
      </c>
      <c r="AR41" s="41">
        <f>COUNTIFS(集計用!$P:$P, "*"&amp;AR$4&amp;",*",集計用!$G:$G,"*, "&amp;$C41&amp;", *")/$B41*100</f>
        <v>0</v>
      </c>
      <c r="AS41" s="41">
        <f>COUNTIFS(集計用!$P:$P, "*"&amp;AS$4&amp;",*",集計用!$G:$G,"*, "&amp;$C41&amp;", *")/$B41*100</f>
        <v>0</v>
      </c>
      <c r="AT41" s="41">
        <f>COUNTIFS(集計用!$P:$P, "*"&amp;AT$4&amp;",*",集計用!$G:$G,"*, "&amp;$C41&amp;", *")/$B41*100</f>
        <v>0</v>
      </c>
      <c r="AU41" s="41">
        <f>COUNTIFS(集計用!$P:$P, "*"&amp;AU$4&amp;",*",集計用!$G:$G,"*, "&amp;$C41&amp;", *")/$B41*100</f>
        <v>0</v>
      </c>
      <c r="AV41" s="41">
        <f>COUNTIFS(集計用!$P:$P, "*"&amp;AV$4&amp;",*",集計用!$G:$G,"*, "&amp;$C41&amp;", *")/$B41*100</f>
        <v>0</v>
      </c>
      <c r="AW41" s="41">
        <f>COUNTIFS(集計用!$P:$P, "*"&amp;AW$4&amp;",*",集計用!$G:$G,"*, "&amp;$C41&amp;", *")/$B41*100</f>
        <v>0</v>
      </c>
      <c r="AX41" s="41">
        <f>COUNTIFS(集計用!$P:$P, "*"&amp;AX$4&amp;",*",集計用!$G:$G,"*, "&amp;$C41&amp;", *")/$B41*100</f>
        <v>0</v>
      </c>
      <c r="AY41" s="41">
        <f>COUNTIFS(集計用!$P:$P, "*"&amp;AY$4&amp;",*",集計用!$G:$G,"*, "&amp;$C41&amp;", *")/$B41*100</f>
        <v>0</v>
      </c>
      <c r="AZ41" s="41">
        <f>COUNTIFS(集計用!$P:$P, "*"&amp;AZ$4&amp;",*",集計用!$G:$G,"*, "&amp;$C41&amp;", *")/$B41*100</f>
        <v>0</v>
      </c>
      <c r="BA41" s="41">
        <f>COUNTIFS(集計用!$P:$P, "*"&amp;BA$4&amp;",*",集計用!$G:$G,"*, "&amp;$C41&amp;", *")/$B41*100</f>
        <v>0</v>
      </c>
      <c r="BB41" s="41">
        <f>COUNTIFS(集計用!$P:$P, "*"&amp;BB$4&amp;",*",集計用!$G:$G,"*, "&amp;$C41&amp;", *")/$B41*100</f>
        <v>0</v>
      </c>
      <c r="BC41" s="41">
        <f>COUNTIFS(集計用!$P:$P, "*"&amp;BC$4&amp;",*",集計用!$G:$G,"*, "&amp;$C41&amp;", *")/$B41*100</f>
        <v>0</v>
      </c>
      <c r="BD41" s="41">
        <f>COUNTIFS(集計用!$P:$P, "*"&amp;BD$4&amp;",*",集計用!$G:$G,"*, "&amp;$C41&amp;", *")/$B41*100</f>
        <v>0</v>
      </c>
      <c r="BE41" s="41">
        <f>COUNTIFS(集計用!$P:$P, "*"&amp;BE$4&amp;",*",集計用!$G:$G,"*, "&amp;$C41&amp;", *")/$B41*100</f>
        <v>0</v>
      </c>
      <c r="BF41" s="41">
        <f>COUNTIFS(集計用!$P:$P, "*"&amp;BF$4&amp;",*",集計用!$G:$G,"*, "&amp;$C41&amp;", *")/$B41*100</f>
        <v>0</v>
      </c>
      <c r="BG41" s="41">
        <f>COUNTIFS(集計用!$P:$P, "*"&amp;BG$4&amp;",*",集計用!$G:$G,"*, "&amp;$C41&amp;", *")/$B41*100</f>
        <v>0</v>
      </c>
      <c r="BH41" s="41">
        <f>COUNTIFS(集計用!$P:$P, "*"&amp;BH$4&amp;",*",集計用!$G:$G,"*, "&amp;$C41&amp;", *")/$B41*100</f>
        <v>0</v>
      </c>
      <c r="BI41" s="41">
        <f>COUNTIFS(集計用!$P:$P, "*"&amp;BI$4&amp;",*",集計用!$G:$G,"*, "&amp;$C41&amp;", *")/$B41*100</f>
        <v>0</v>
      </c>
      <c r="BJ41" s="41">
        <f>COUNTIFS(集計用!$P:$P, "*"&amp;BJ$4&amp;",*",集計用!$G:$G,"*, "&amp;$C41&amp;", *")/$B41*100</f>
        <v>0</v>
      </c>
      <c r="BK41" s="41">
        <f>COUNTIFS(集計用!$P:$P, "*"&amp;BK$4&amp;",*",集計用!$G:$G,"*, "&amp;$C41&amp;", *")/$B41*100</f>
        <v>0</v>
      </c>
      <c r="BL41" s="41">
        <f>COUNTIFS(集計用!$P:$P, "*"&amp;BL$4&amp;",*",集計用!$G:$G,"*, "&amp;$C41&amp;", *")/$B41*100</f>
        <v>0</v>
      </c>
      <c r="BM41" s="41">
        <f>COUNTIFS(集計用!$P:$P, "*"&amp;BM$4&amp;",*",集計用!$G:$G,"*, "&amp;$C41&amp;", *")/$B41*100</f>
        <v>0</v>
      </c>
      <c r="BN41" s="41">
        <f>COUNTIFS(集計用!$P:$P, "*"&amp;BN$4&amp;",*",集計用!$G:$G,"*, "&amp;$C41&amp;", *")/$B41*100</f>
        <v>0</v>
      </c>
      <c r="BO41" s="41">
        <f>COUNTIFS(集計用!$P:$P, "*"&amp;BO$4&amp;",*",集計用!$G:$G,"*, "&amp;$C41&amp;", *")/$B41*100</f>
        <v>0</v>
      </c>
      <c r="BP41" s="41">
        <f>COUNTIFS(集計用!$P:$P, "*"&amp;BP$4&amp;",*",集計用!$G:$G,"*, "&amp;$C41&amp;", *")/$B41*100</f>
        <v>0</v>
      </c>
      <c r="BQ41" s="41">
        <f>COUNTIFS(集計用!$P:$P, "*"&amp;BQ$4&amp;",*",集計用!$G:$G,"*, "&amp;$C41&amp;", *")/$B41*100</f>
        <v>0</v>
      </c>
      <c r="BR41" s="41">
        <f>COUNTIFS(集計用!$P:$P, "*"&amp;BR$4&amp;",*",集計用!$G:$G,"*, "&amp;$C41&amp;", *")/$B41*100</f>
        <v>0</v>
      </c>
      <c r="BS41" s="41">
        <f>COUNTIFS(集計用!$P:$P, "*"&amp;BS$4&amp;",*",集計用!$G:$G,"*, "&amp;$C41&amp;", *")/$B41*100</f>
        <v>0</v>
      </c>
      <c r="BT41" s="41">
        <f>COUNTIFS(集計用!$P:$P, "*"&amp;BT$4&amp;",*",集計用!$G:$G,"*, "&amp;$C41&amp;", *")/$B41*100</f>
        <v>0</v>
      </c>
      <c r="BU41" s="41"/>
      <c r="BV41" s="41"/>
      <c r="BW41" s="41"/>
      <c r="BX41" s="41"/>
      <c r="BY41" s="41"/>
      <c r="BZ41" s="41"/>
      <c r="CA41" s="41"/>
      <c r="CB41" s="41"/>
      <c r="CC41" s="41"/>
      <c r="CD41" s="41"/>
      <c r="CE41" s="41"/>
      <c r="CF41" s="41"/>
      <c r="CG41" s="41"/>
      <c r="CH41" s="41"/>
      <c r="CI41" s="41"/>
      <c r="CJ41" s="41"/>
      <c r="CK41" s="41"/>
    </row>
    <row r="42" spans="1:89" ht="12.75">
      <c r="A42" s="39">
        <v>4</v>
      </c>
      <c r="B42" s="39">
        <f>(COUNTIFS(集計用!$G:$G,"*, "&amp;$C42&amp;",*",集計用!$Q:$Q,"&lt;&gt;無回答"))</f>
        <v>13</v>
      </c>
      <c r="C42" s="42" t="s">
        <v>36</v>
      </c>
      <c r="D42" s="41">
        <f>COUNTIFS(集計用!$O:$O, "*, "&amp;D$4&amp;", *",集計用!$G:$G,"*, "&amp;$C42&amp;", *")/$B42*100</f>
        <v>46.153846153846153</v>
      </c>
      <c r="E42" s="41">
        <f>COUNTIFS(集計用!$O:$O, "*, "&amp;E$4&amp;", *",集計用!$G:$G,"*, "&amp;$C42&amp;", *")/$B42*100</f>
        <v>76.923076923076934</v>
      </c>
      <c r="F42" s="41">
        <f>COUNTIFS(集計用!$O:$O, "*, "&amp;F$4&amp;", *",集計用!$G:$G,"*, "&amp;$C42&amp;", *")/$B42*100</f>
        <v>69.230769230769226</v>
      </c>
      <c r="G42" s="41">
        <f>COUNTIFS(集計用!$O:$O, "*, "&amp;G$4&amp;", *",集計用!$G:$G,"*, "&amp;$C42&amp;", *")/$B42*100</f>
        <v>23.076923076923077</v>
      </c>
      <c r="H42" s="41">
        <f>COUNTIFS(集計用!$O:$O, "*, "&amp;H$4&amp;", *",集計用!$G:$G,"*, "&amp;$C42&amp;", *")/$B42*100</f>
        <v>38.461538461538467</v>
      </c>
      <c r="I42" s="41">
        <f>COUNTIFS(集計用!$O:$O, "*, "&amp;I$4&amp;", *",集計用!$G:$G,"*, "&amp;$C42&amp;", *")/$B42*100</f>
        <v>53.846153846153847</v>
      </c>
      <c r="J42" s="41">
        <f>COUNTIFS(集計用!$O:$O, "*, "&amp;J$4&amp;", *",集計用!$G:$G,"*, "&amp;$C42&amp;", *")/$B42*100</f>
        <v>15.384615384615385</v>
      </c>
      <c r="K42" s="41">
        <f>COUNTIFS(集計用!$O:$O, "*, "&amp;K$4&amp;", *",集計用!$G:$G,"*, "&amp;$C42&amp;", *")/$B42*100</f>
        <v>46.153846153846153</v>
      </c>
      <c r="L42" s="41">
        <f>COUNTIFS(集計用!$O:$O, "*, "&amp;L$4&amp;", *",集計用!$G:$G,"*, "&amp;$C42&amp;", *")/$B42*100</f>
        <v>23.076923076923077</v>
      </c>
      <c r="M42" s="41">
        <f>COUNTIFS(集計用!$O:$O, "*, "&amp;M$4&amp;", *",集計用!$G:$G,"*, "&amp;$C42&amp;", *")/$B42*100</f>
        <v>30.76923076923077</v>
      </c>
      <c r="N42" s="41">
        <f>COUNTIFS(集計用!$O:$O, "*, "&amp;N$4&amp;", *",集計用!$G:$G,"*, "&amp;$C42&amp;", *")/$B42*100</f>
        <v>30.76923076923077</v>
      </c>
      <c r="O42" s="41">
        <f>COUNTIFS(集計用!$O:$O, "*, "&amp;O$4&amp;", *",集計用!$G:$G,"*, "&amp;$C42&amp;", *")/$B42*100</f>
        <v>15.384615384615385</v>
      </c>
      <c r="P42" s="41">
        <f>COUNTIFS(集計用!$O:$O, "*, "&amp;P$4&amp;", *",集計用!$G:$G,"*, "&amp;$C42&amp;", *")/$B42*100</f>
        <v>30.76923076923077</v>
      </c>
      <c r="Q42" s="41">
        <f>COUNTIFS(集計用!$O:$O, "*, "&amp;Q$4&amp;", *",集計用!$G:$G,"*, "&amp;$C42&amp;", *")/$B42*100</f>
        <v>15.384615384615385</v>
      </c>
      <c r="R42" s="41">
        <f>COUNTIFS(集計用!$O:$O, "*, "&amp;R$4&amp;", *",集計用!$G:$G,"*, "&amp;$C42&amp;", *")/$B42*100</f>
        <v>30.76923076923077</v>
      </c>
      <c r="S42" s="41">
        <f>COUNTIFS(集計用!$O:$O, "*, "&amp;S$4&amp;", *",集計用!$G:$G,"*, "&amp;$C42&amp;", *")/$B42*100</f>
        <v>7.6923076923076925</v>
      </c>
      <c r="T42" s="41">
        <f>COUNTIFS(集計用!$O:$O, "*, "&amp;T$4&amp;", *",集計用!$G:$G,"*, "&amp;$C42&amp;", *")/$B42*100</f>
        <v>0</v>
      </c>
      <c r="V42" s="41">
        <f>COUNTIFS(集計用!$P:$P, "*"&amp;V$4&amp;",*",集計用!$G:$G,"*, "&amp;$C42&amp;", *")/$B42*100</f>
        <v>7.6923076923076925</v>
      </c>
      <c r="W42" s="41">
        <f>COUNTIFS(集計用!$P:$P, "*"&amp;W$4&amp;",*",集計用!$G:$G,"*, "&amp;$C42&amp;", *")/$B42*100</f>
        <v>0</v>
      </c>
      <c r="X42" s="41">
        <f>COUNTIFS(集計用!$P:$P, "*"&amp;X$4&amp;",*",集計用!$G:$G,"*, "&amp;$C42&amp;", *")/$B42*100</f>
        <v>0</v>
      </c>
      <c r="Y42" s="41">
        <f>COUNTIFS(集計用!$P:$P, "*"&amp;Y$4&amp;",*",集計用!$G:$G,"*, "&amp;$C42&amp;", *")/$B42*100</f>
        <v>0</v>
      </c>
      <c r="Z42" s="41">
        <f>COUNTIFS(集計用!$P:$P, "*"&amp;Z$4&amp;",*",集計用!$G:$G,"*, "&amp;$C42&amp;", *")/$B42*100</f>
        <v>0</v>
      </c>
      <c r="AA42" s="41">
        <f>COUNTIFS(集計用!$P:$P, "*"&amp;AA$4&amp;",*",集計用!$G:$G,"*, "&amp;$C42&amp;", *")/$B42*100</f>
        <v>7.6923076923076925</v>
      </c>
      <c r="AB42" s="41">
        <f>COUNTIFS(集計用!$P:$P, "*"&amp;AB$4&amp;",*",集計用!$G:$G,"*, "&amp;$C42&amp;", *")/$B42*100</f>
        <v>0</v>
      </c>
      <c r="AC42" s="41">
        <f>COUNTIFS(集計用!$P:$P, "*"&amp;AC$4&amp;",*",集計用!$G:$G,"*, "&amp;$C42&amp;", *")/$B42*100</f>
        <v>0</v>
      </c>
      <c r="AD42" s="41">
        <f>COUNTIFS(集計用!$P:$P, "*"&amp;AD$4&amp;",*",集計用!$G:$G,"*, "&amp;$C42&amp;", *")/$B42*100</f>
        <v>0</v>
      </c>
      <c r="AE42" s="41">
        <f>COUNTIFS(集計用!$P:$P, "*"&amp;AE$4&amp;",*",集計用!$G:$G,"*, "&amp;$C42&amp;", *")/$B42*100</f>
        <v>0</v>
      </c>
      <c r="AF42" s="41">
        <f>COUNTIFS(集計用!$P:$P, "*"&amp;AF$4&amp;",*",集計用!$G:$G,"*, "&amp;$C42&amp;", *")/$B42*100</f>
        <v>0</v>
      </c>
      <c r="AG42" s="41">
        <f>COUNTIFS(集計用!$P:$P, "*"&amp;AG$4&amp;",*",集計用!$G:$G,"*, "&amp;$C42&amp;", *")/$B42*100</f>
        <v>0</v>
      </c>
      <c r="AH42" s="41">
        <f>COUNTIFS(集計用!$P:$P, "*"&amp;AH$4&amp;",*",集計用!$G:$G,"*, "&amp;$C42&amp;", *")/$B42*100</f>
        <v>0</v>
      </c>
      <c r="AI42" s="41">
        <f>COUNTIFS(集計用!$P:$P, "*"&amp;AI$4&amp;",*",集計用!$G:$G,"*, "&amp;$C42&amp;", *")/$B42*100</f>
        <v>0</v>
      </c>
      <c r="AJ42" s="41">
        <f>COUNTIFS(集計用!$P:$P, "*"&amp;AJ$4&amp;",*",集計用!$G:$G,"*, "&amp;$C42&amp;", *")/$B42*100</f>
        <v>0</v>
      </c>
      <c r="AK42" s="41">
        <f>COUNTIFS(集計用!$P:$P, "*"&amp;AK$4&amp;",*",集計用!$G:$G,"*, "&amp;$C42&amp;", *")/$B42*100</f>
        <v>0</v>
      </c>
      <c r="AL42" s="41">
        <f>COUNTIFS(集計用!$P:$P, "*"&amp;AL$4&amp;",*",集計用!$G:$G,"*, "&amp;$C42&amp;", *")/$B42*100</f>
        <v>0</v>
      </c>
      <c r="AM42" s="41">
        <f>COUNTIFS(集計用!$P:$P, "*"&amp;AM$4&amp;",*",集計用!$G:$G,"*, "&amp;$C42&amp;", *")/$B42*100</f>
        <v>0</v>
      </c>
      <c r="AN42" s="41">
        <f>COUNTIFS(集計用!$P:$P, "*"&amp;AN$4&amp;",*",集計用!$G:$G,"*, "&amp;$C42&amp;", *")/$B42*100</f>
        <v>0</v>
      </c>
      <c r="AO42" s="41">
        <f>COUNTIFS(集計用!$P:$P, "*"&amp;AO$4&amp;",*",集計用!$G:$G,"*, "&amp;$C42&amp;", *")/$B42*100</f>
        <v>0</v>
      </c>
      <c r="AP42" s="41">
        <f>COUNTIFS(集計用!$P:$P, "*"&amp;AP$4&amp;",*",集計用!$G:$G,"*, "&amp;$C42&amp;", *")/$B42*100</f>
        <v>0</v>
      </c>
      <c r="AQ42" s="41">
        <f>COUNTIFS(集計用!$P:$P, "*"&amp;AQ$4&amp;",*",集計用!$G:$G,"*, "&amp;$C42&amp;", *")/$B42*100</f>
        <v>0</v>
      </c>
      <c r="AR42" s="41">
        <f>COUNTIFS(集計用!$P:$P, "*"&amp;AR$4&amp;",*",集計用!$G:$G,"*, "&amp;$C42&amp;", *")/$B42*100</f>
        <v>0</v>
      </c>
      <c r="AS42" s="41">
        <f>COUNTIFS(集計用!$P:$P, "*"&amp;AS$4&amp;",*",集計用!$G:$G,"*, "&amp;$C42&amp;", *")/$B42*100</f>
        <v>0</v>
      </c>
      <c r="AT42" s="41">
        <f>COUNTIFS(集計用!$P:$P, "*"&amp;AT$4&amp;",*",集計用!$G:$G,"*, "&amp;$C42&amp;", *")/$B42*100</f>
        <v>0</v>
      </c>
      <c r="AU42" s="41">
        <f>COUNTIFS(集計用!$P:$P, "*"&amp;AU$4&amp;",*",集計用!$G:$G,"*, "&amp;$C42&amp;", *")/$B42*100</f>
        <v>0</v>
      </c>
      <c r="AV42" s="41">
        <f>COUNTIFS(集計用!$P:$P, "*"&amp;AV$4&amp;",*",集計用!$G:$G,"*, "&amp;$C42&amp;", *")/$B42*100</f>
        <v>0</v>
      </c>
      <c r="AW42" s="41">
        <f>COUNTIFS(集計用!$P:$P, "*"&amp;AW$4&amp;",*",集計用!$G:$G,"*, "&amp;$C42&amp;", *")/$B42*100</f>
        <v>0</v>
      </c>
      <c r="AX42" s="41">
        <f>COUNTIFS(集計用!$P:$P, "*"&amp;AX$4&amp;",*",集計用!$G:$G,"*, "&amp;$C42&amp;", *")/$B42*100</f>
        <v>0</v>
      </c>
      <c r="AY42" s="41">
        <f>COUNTIFS(集計用!$P:$P, "*"&amp;AY$4&amp;",*",集計用!$G:$G,"*, "&amp;$C42&amp;", *")/$B42*100</f>
        <v>0</v>
      </c>
      <c r="AZ42" s="41">
        <f>COUNTIFS(集計用!$P:$P, "*"&amp;AZ$4&amp;",*",集計用!$G:$G,"*, "&amp;$C42&amp;", *")/$B42*100</f>
        <v>0</v>
      </c>
      <c r="BA42" s="41">
        <f>COUNTIFS(集計用!$P:$P, "*"&amp;BA$4&amp;",*",集計用!$G:$G,"*, "&amp;$C42&amp;", *")/$B42*100</f>
        <v>0</v>
      </c>
      <c r="BB42" s="41">
        <f>COUNTIFS(集計用!$P:$P, "*"&amp;BB$4&amp;",*",集計用!$G:$G,"*, "&amp;$C42&amp;", *")/$B42*100</f>
        <v>0</v>
      </c>
      <c r="BC42" s="41">
        <f>COUNTIFS(集計用!$P:$P, "*"&amp;BC$4&amp;",*",集計用!$G:$G,"*, "&amp;$C42&amp;", *")/$B42*100</f>
        <v>0</v>
      </c>
      <c r="BD42" s="41">
        <f>COUNTIFS(集計用!$P:$P, "*"&amp;BD$4&amp;",*",集計用!$G:$G,"*, "&amp;$C42&amp;", *")/$B42*100</f>
        <v>0</v>
      </c>
      <c r="BE42" s="41">
        <f>COUNTIFS(集計用!$P:$P, "*"&amp;BE$4&amp;",*",集計用!$G:$G,"*, "&amp;$C42&amp;", *")/$B42*100</f>
        <v>0</v>
      </c>
      <c r="BF42" s="41">
        <f>COUNTIFS(集計用!$P:$P, "*"&amp;BF$4&amp;",*",集計用!$G:$G,"*, "&amp;$C42&amp;", *")/$B42*100</f>
        <v>0</v>
      </c>
      <c r="BG42" s="41">
        <f>COUNTIFS(集計用!$P:$P, "*"&amp;BG$4&amp;",*",集計用!$G:$G,"*, "&amp;$C42&amp;", *")/$B42*100</f>
        <v>0</v>
      </c>
      <c r="BH42" s="41">
        <f>COUNTIFS(集計用!$P:$P, "*"&amp;BH$4&amp;",*",集計用!$G:$G,"*, "&amp;$C42&amp;", *")/$B42*100</f>
        <v>0</v>
      </c>
      <c r="BI42" s="41">
        <f>COUNTIFS(集計用!$P:$P, "*"&amp;BI$4&amp;",*",集計用!$G:$G,"*, "&amp;$C42&amp;", *")/$B42*100</f>
        <v>0</v>
      </c>
      <c r="BJ42" s="41">
        <f>COUNTIFS(集計用!$P:$P, "*"&amp;BJ$4&amp;",*",集計用!$G:$G,"*, "&amp;$C42&amp;", *")/$B42*100</f>
        <v>0</v>
      </c>
      <c r="BK42" s="41">
        <f>COUNTIFS(集計用!$P:$P, "*"&amp;BK$4&amp;",*",集計用!$G:$G,"*, "&amp;$C42&amp;", *")/$B42*100</f>
        <v>0</v>
      </c>
      <c r="BL42" s="41">
        <f>COUNTIFS(集計用!$P:$P, "*"&amp;BL$4&amp;",*",集計用!$G:$G,"*, "&amp;$C42&amp;", *")/$B42*100</f>
        <v>0</v>
      </c>
      <c r="BM42" s="41">
        <f>COUNTIFS(集計用!$P:$P, "*"&amp;BM$4&amp;",*",集計用!$G:$G,"*, "&amp;$C42&amp;", *")/$B42*100</f>
        <v>0</v>
      </c>
      <c r="BN42" s="41">
        <f>COUNTIFS(集計用!$P:$P, "*"&amp;BN$4&amp;",*",集計用!$G:$G,"*, "&amp;$C42&amp;", *")/$B42*100</f>
        <v>0</v>
      </c>
      <c r="BO42" s="41">
        <f>COUNTIFS(集計用!$P:$P, "*"&amp;BO$4&amp;",*",集計用!$G:$G,"*, "&amp;$C42&amp;", *")/$B42*100</f>
        <v>0</v>
      </c>
      <c r="BP42" s="41">
        <f>COUNTIFS(集計用!$P:$P, "*"&amp;BP$4&amp;",*",集計用!$G:$G,"*, "&amp;$C42&amp;", *")/$B42*100</f>
        <v>0</v>
      </c>
      <c r="BQ42" s="41">
        <f>COUNTIFS(集計用!$P:$P, "*"&amp;BQ$4&amp;",*",集計用!$G:$G,"*, "&amp;$C42&amp;", *")/$B42*100</f>
        <v>0</v>
      </c>
      <c r="BR42" s="41">
        <f>COUNTIFS(集計用!$P:$P, "*"&amp;BR$4&amp;",*",集計用!$G:$G,"*, "&amp;$C42&amp;", *")/$B42*100</f>
        <v>0</v>
      </c>
      <c r="BS42" s="41">
        <f>COUNTIFS(集計用!$P:$P, "*"&amp;BS$4&amp;",*",集計用!$G:$G,"*, "&amp;$C42&amp;", *")/$B42*100</f>
        <v>0</v>
      </c>
      <c r="BT42" s="41">
        <f>COUNTIFS(集計用!$P:$P, "*"&amp;BT$4&amp;",*",集計用!$G:$G,"*, "&amp;$C42&amp;", *")/$B42*100</f>
        <v>0</v>
      </c>
      <c r="BU42" s="41"/>
      <c r="BV42" s="41"/>
      <c r="BW42" s="41"/>
      <c r="BX42" s="41"/>
      <c r="BY42" s="41"/>
      <c r="BZ42" s="41"/>
      <c r="CA42" s="41"/>
      <c r="CB42" s="41"/>
      <c r="CC42" s="41"/>
      <c r="CD42" s="41"/>
      <c r="CE42" s="41"/>
      <c r="CF42" s="41"/>
      <c r="CG42" s="41"/>
      <c r="CH42" s="41"/>
      <c r="CI42" s="41"/>
      <c r="CJ42" s="41"/>
      <c r="CK42" s="41"/>
    </row>
    <row r="43" spans="1:89" ht="12.75">
      <c r="A43" s="39">
        <v>4</v>
      </c>
      <c r="B43" s="39">
        <f>(COUNTIFS(集計用!$G:$G,"*, "&amp;$C43&amp;",*",集計用!$Q:$Q,"&lt;&gt;無回答"))</f>
        <v>13</v>
      </c>
      <c r="C43" s="42" t="s">
        <v>37</v>
      </c>
      <c r="D43" s="41">
        <f>COUNTIFS(集計用!$O:$O, "*, "&amp;D$4&amp;", *",集計用!$G:$G,"*, "&amp;$C43&amp;", *")/$B43*100</f>
        <v>69.230769230769226</v>
      </c>
      <c r="E43" s="41">
        <f>COUNTIFS(集計用!$O:$O, "*, "&amp;E$4&amp;", *",集計用!$G:$G,"*, "&amp;$C43&amp;", *")/$B43*100</f>
        <v>76.923076923076934</v>
      </c>
      <c r="F43" s="41">
        <f>COUNTIFS(集計用!$O:$O, "*, "&amp;F$4&amp;", *",集計用!$G:$G,"*, "&amp;$C43&amp;", *")/$B43*100</f>
        <v>76.923076923076934</v>
      </c>
      <c r="G43" s="41">
        <f>COUNTIFS(集計用!$O:$O, "*, "&amp;G$4&amp;", *",集計用!$G:$G,"*, "&amp;$C43&amp;", *")/$B43*100</f>
        <v>23.076923076923077</v>
      </c>
      <c r="H43" s="41">
        <f>COUNTIFS(集計用!$O:$O, "*, "&amp;H$4&amp;", *",集計用!$G:$G,"*, "&amp;$C43&amp;", *")/$B43*100</f>
        <v>23.076923076923077</v>
      </c>
      <c r="I43" s="41">
        <f>COUNTIFS(集計用!$O:$O, "*, "&amp;I$4&amp;", *",集計用!$G:$G,"*, "&amp;$C43&amp;", *")/$B43*100</f>
        <v>23.076923076923077</v>
      </c>
      <c r="J43" s="41">
        <f>COUNTIFS(集計用!$O:$O, "*, "&amp;J$4&amp;", *",集計用!$G:$G,"*, "&amp;$C43&amp;", *")/$B43*100</f>
        <v>23.076923076923077</v>
      </c>
      <c r="K43" s="41">
        <f>COUNTIFS(集計用!$O:$O, "*, "&amp;K$4&amp;", *",集計用!$G:$G,"*, "&amp;$C43&amp;", *")/$B43*100</f>
        <v>38.461538461538467</v>
      </c>
      <c r="L43" s="41">
        <f>COUNTIFS(集計用!$O:$O, "*, "&amp;L$4&amp;", *",集計用!$G:$G,"*, "&amp;$C43&amp;", *")/$B43*100</f>
        <v>7.6923076923076925</v>
      </c>
      <c r="M43" s="41">
        <f>COUNTIFS(集計用!$O:$O, "*, "&amp;M$4&amp;", *",集計用!$G:$G,"*, "&amp;$C43&amp;", *")/$B43*100</f>
        <v>46.153846153846153</v>
      </c>
      <c r="N43" s="41">
        <f>COUNTIFS(集計用!$O:$O, "*, "&amp;N$4&amp;", *",集計用!$G:$G,"*, "&amp;$C43&amp;", *")/$B43*100</f>
        <v>23.076923076923077</v>
      </c>
      <c r="O43" s="41">
        <f>COUNTIFS(集計用!$O:$O, "*, "&amp;O$4&amp;", *",集計用!$G:$G,"*, "&amp;$C43&amp;", *")/$B43*100</f>
        <v>15.384615384615385</v>
      </c>
      <c r="P43" s="41">
        <f>COUNTIFS(集計用!$O:$O, "*, "&amp;P$4&amp;", *",集計用!$G:$G,"*, "&amp;$C43&amp;", *")/$B43*100</f>
        <v>15.384615384615385</v>
      </c>
      <c r="Q43" s="41">
        <f>COUNTIFS(集計用!$O:$O, "*, "&amp;Q$4&amp;", *",集計用!$G:$G,"*, "&amp;$C43&amp;", *")/$B43*100</f>
        <v>15.384615384615385</v>
      </c>
      <c r="R43" s="41">
        <f>COUNTIFS(集計用!$O:$O, "*, "&amp;R$4&amp;", *",集計用!$G:$G,"*, "&amp;$C43&amp;", *")/$B43*100</f>
        <v>15.384615384615385</v>
      </c>
      <c r="S43" s="41">
        <f>COUNTIFS(集計用!$O:$O, "*, "&amp;S$4&amp;", *",集計用!$G:$G,"*, "&amp;$C43&amp;", *")/$B43*100</f>
        <v>7.6923076923076925</v>
      </c>
      <c r="T43" s="41">
        <f>COUNTIFS(集計用!$O:$O, "*, "&amp;T$4&amp;", *",集計用!$G:$G,"*, "&amp;$C43&amp;", *")/$B43*100</f>
        <v>7.6923076923076925</v>
      </c>
      <c r="V43" s="41">
        <f>COUNTIFS(集計用!$P:$P, "*"&amp;V$4&amp;",*",集計用!$G:$G,"*, "&amp;$C43&amp;", *")/$B43*100</f>
        <v>0</v>
      </c>
      <c r="W43" s="41">
        <f>COUNTIFS(集計用!$P:$P, "*"&amp;W$4&amp;",*",集計用!$G:$G,"*, "&amp;$C43&amp;", *")/$B43*100</f>
        <v>0</v>
      </c>
      <c r="X43" s="41">
        <f>COUNTIFS(集計用!$P:$P, "*"&amp;X$4&amp;",*",集計用!$G:$G,"*, "&amp;$C43&amp;", *")/$B43*100</f>
        <v>0</v>
      </c>
      <c r="Y43" s="41">
        <f>COUNTIFS(集計用!$P:$P, "*"&amp;Y$4&amp;",*",集計用!$G:$G,"*, "&amp;$C43&amp;", *")/$B43*100</f>
        <v>0</v>
      </c>
      <c r="Z43" s="41">
        <f>COUNTIFS(集計用!$P:$P, "*"&amp;Z$4&amp;",*",集計用!$G:$G,"*, "&amp;$C43&amp;", *")/$B43*100</f>
        <v>0</v>
      </c>
      <c r="AA43" s="41">
        <f>COUNTIFS(集計用!$P:$P, "*"&amp;AA$4&amp;",*",集計用!$G:$G,"*, "&amp;$C43&amp;", *")/$B43*100</f>
        <v>0</v>
      </c>
      <c r="AB43" s="41">
        <f>COUNTIFS(集計用!$P:$P, "*"&amp;AB$4&amp;",*",集計用!$G:$G,"*, "&amp;$C43&amp;", *")/$B43*100</f>
        <v>0</v>
      </c>
      <c r="AC43" s="41">
        <f>COUNTIFS(集計用!$P:$P, "*"&amp;AC$4&amp;",*",集計用!$G:$G,"*, "&amp;$C43&amp;", *")/$B43*100</f>
        <v>0</v>
      </c>
      <c r="AD43" s="41">
        <f>COUNTIFS(集計用!$P:$P, "*"&amp;AD$4&amp;",*",集計用!$G:$G,"*, "&amp;$C43&amp;", *")/$B43*100</f>
        <v>0</v>
      </c>
      <c r="AE43" s="41">
        <f>COUNTIFS(集計用!$P:$P, "*"&amp;AE$4&amp;",*",集計用!$G:$G,"*, "&amp;$C43&amp;", *")/$B43*100</f>
        <v>0</v>
      </c>
      <c r="AF43" s="41">
        <f>COUNTIFS(集計用!$P:$P, "*"&amp;AF$4&amp;",*",集計用!$G:$G,"*, "&amp;$C43&amp;", *")/$B43*100</f>
        <v>0</v>
      </c>
      <c r="AG43" s="41">
        <f>COUNTIFS(集計用!$P:$P, "*"&amp;AG$4&amp;",*",集計用!$G:$G,"*, "&amp;$C43&amp;", *")/$B43*100</f>
        <v>0</v>
      </c>
      <c r="AH43" s="41">
        <f>COUNTIFS(集計用!$P:$P, "*"&amp;AH$4&amp;",*",集計用!$G:$G,"*, "&amp;$C43&amp;", *")/$B43*100</f>
        <v>0</v>
      </c>
      <c r="AI43" s="41">
        <f>COUNTIFS(集計用!$P:$P, "*"&amp;AI$4&amp;",*",集計用!$G:$G,"*, "&amp;$C43&amp;", *")/$B43*100</f>
        <v>0</v>
      </c>
      <c r="AJ43" s="41">
        <f>COUNTIFS(集計用!$P:$P, "*"&amp;AJ$4&amp;",*",集計用!$G:$G,"*, "&amp;$C43&amp;", *")/$B43*100</f>
        <v>0</v>
      </c>
      <c r="AK43" s="41">
        <f>COUNTIFS(集計用!$P:$P, "*"&amp;AK$4&amp;",*",集計用!$G:$G,"*, "&amp;$C43&amp;", *")/$B43*100</f>
        <v>0</v>
      </c>
      <c r="AL43" s="41">
        <f>COUNTIFS(集計用!$P:$P, "*"&amp;AL$4&amp;",*",集計用!$G:$G,"*, "&amp;$C43&amp;", *")/$B43*100</f>
        <v>0</v>
      </c>
      <c r="AM43" s="41">
        <f>COUNTIFS(集計用!$P:$P, "*"&amp;AM$4&amp;",*",集計用!$G:$G,"*, "&amp;$C43&amp;", *")/$B43*100</f>
        <v>0</v>
      </c>
      <c r="AN43" s="41">
        <f>COUNTIFS(集計用!$P:$P, "*"&amp;AN$4&amp;",*",集計用!$G:$G,"*, "&amp;$C43&amp;", *")/$B43*100</f>
        <v>0</v>
      </c>
      <c r="AO43" s="41">
        <f>COUNTIFS(集計用!$P:$P, "*"&amp;AO$4&amp;",*",集計用!$G:$G,"*, "&amp;$C43&amp;", *")/$B43*100</f>
        <v>0</v>
      </c>
      <c r="AP43" s="41">
        <f>COUNTIFS(集計用!$P:$P, "*"&amp;AP$4&amp;",*",集計用!$G:$G,"*, "&amp;$C43&amp;", *")/$B43*100</f>
        <v>0</v>
      </c>
      <c r="AQ43" s="41">
        <f>COUNTIFS(集計用!$P:$P, "*"&amp;AQ$4&amp;",*",集計用!$G:$G,"*, "&amp;$C43&amp;", *")/$B43*100</f>
        <v>0</v>
      </c>
      <c r="AR43" s="41">
        <f>COUNTIFS(集計用!$P:$P, "*"&amp;AR$4&amp;",*",集計用!$G:$G,"*, "&amp;$C43&amp;", *")/$B43*100</f>
        <v>0</v>
      </c>
      <c r="AS43" s="41">
        <f>COUNTIFS(集計用!$P:$P, "*"&amp;AS$4&amp;",*",集計用!$G:$G,"*, "&amp;$C43&amp;", *")/$B43*100</f>
        <v>0</v>
      </c>
      <c r="AT43" s="41">
        <f>COUNTIFS(集計用!$P:$P, "*"&amp;AT$4&amp;",*",集計用!$G:$G,"*, "&amp;$C43&amp;", *")/$B43*100</f>
        <v>0</v>
      </c>
      <c r="AU43" s="41">
        <f>COUNTIFS(集計用!$P:$P, "*"&amp;AU$4&amp;",*",集計用!$G:$G,"*, "&amp;$C43&amp;", *")/$B43*100</f>
        <v>0</v>
      </c>
      <c r="AV43" s="41">
        <f>COUNTIFS(集計用!$P:$P, "*"&amp;AV$4&amp;",*",集計用!$G:$G,"*, "&amp;$C43&amp;", *")/$B43*100</f>
        <v>0</v>
      </c>
      <c r="AW43" s="41">
        <f>COUNTIFS(集計用!$P:$P, "*"&amp;AW$4&amp;",*",集計用!$G:$G,"*, "&amp;$C43&amp;", *")/$B43*100</f>
        <v>0</v>
      </c>
      <c r="AX43" s="41">
        <f>COUNTIFS(集計用!$P:$P, "*"&amp;AX$4&amp;",*",集計用!$G:$G,"*, "&amp;$C43&amp;", *")/$B43*100</f>
        <v>0</v>
      </c>
      <c r="AY43" s="41">
        <f>COUNTIFS(集計用!$P:$P, "*"&amp;AY$4&amp;",*",集計用!$G:$G,"*, "&amp;$C43&amp;", *")/$B43*100</f>
        <v>0</v>
      </c>
      <c r="AZ43" s="41">
        <f>COUNTIFS(集計用!$P:$P, "*"&amp;AZ$4&amp;",*",集計用!$G:$G,"*, "&amp;$C43&amp;", *")/$B43*100</f>
        <v>0</v>
      </c>
      <c r="BA43" s="41">
        <f>COUNTIFS(集計用!$P:$P, "*"&amp;BA$4&amp;",*",集計用!$G:$G,"*, "&amp;$C43&amp;", *")/$B43*100</f>
        <v>0</v>
      </c>
      <c r="BB43" s="41">
        <f>COUNTIFS(集計用!$P:$P, "*"&amp;BB$4&amp;",*",集計用!$G:$G,"*, "&amp;$C43&amp;", *")/$B43*100</f>
        <v>0</v>
      </c>
      <c r="BC43" s="41">
        <f>COUNTIFS(集計用!$P:$P, "*"&amp;BC$4&amp;",*",集計用!$G:$G,"*, "&amp;$C43&amp;", *")/$B43*100</f>
        <v>0</v>
      </c>
      <c r="BD43" s="41">
        <f>COUNTIFS(集計用!$P:$P, "*"&amp;BD$4&amp;",*",集計用!$G:$G,"*, "&amp;$C43&amp;", *")/$B43*100</f>
        <v>0</v>
      </c>
      <c r="BE43" s="41">
        <f>COUNTIFS(集計用!$P:$P, "*"&amp;BE$4&amp;",*",集計用!$G:$G,"*, "&amp;$C43&amp;", *")/$B43*100</f>
        <v>0</v>
      </c>
      <c r="BF43" s="41">
        <f>COUNTIFS(集計用!$P:$P, "*"&amp;BF$4&amp;",*",集計用!$G:$G,"*, "&amp;$C43&amp;", *")/$B43*100</f>
        <v>0</v>
      </c>
      <c r="BG43" s="41">
        <f>COUNTIFS(集計用!$P:$P, "*"&amp;BG$4&amp;",*",集計用!$G:$G,"*, "&amp;$C43&amp;", *")/$B43*100</f>
        <v>0</v>
      </c>
      <c r="BH43" s="41">
        <f>COUNTIFS(集計用!$P:$P, "*"&amp;BH$4&amp;",*",集計用!$G:$G,"*, "&amp;$C43&amp;", *")/$B43*100</f>
        <v>0</v>
      </c>
      <c r="BI43" s="41">
        <f>COUNTIFS(集計用!$P:$P, "*"&amp;BI$4&amp;",*",集計用!$G:$G,"*, "&amp;$C43&amp;", *")/$B43*100</f>
        <v>0</v>
      </c>
      <c r="BJ43" s="41">
        <f>COUNTIFS(集計用!$P:$P, "*"&amp;BJ$4&amp;",*",集計用!$G:$G,"*, "&amp;$C43&amp;", *")/$B43*100</f>
        <v>0</v>
      </c>
      <c r="BK43" s="41">
        <f>COUNTIFS(集計用!$P:$P, "*"&amp;BK$4&amp;",*",集計用!$G:$G,"*, "&amp;$C43&amp;", *")/$B43*100</f>
        <v>0</v>
      </c>
      <c r="BL43" s="41">
        <f>COUNTIFS(集計用!$P:$P, "*"&amp;BL$4&amp;",*",集計用!$G:$G,"*, "&amp;$C43&amp;", *")/$B43*100</f>
        <v>0</v>
      </c>
      <c r="BM43" s="41">
        <f>COUNTIFS(集計用!$P:$P, "*"&amp;BM$4&amp;",*",集計用!$G:$G,"*, "&amp;$C43&amp;", *")/$B43*100</f>
        <v>0</v>
      </c>
      <c r="BN43" s="41">
        <f>COUNTIFS(集計用!$P:$P, "*"&amp;BN$4&amp;",*",集計用!$G:$G,"*, "&amp;$C43&amp;", *")/$B43*100</f>
        <v>0</v>
      </c>
      <c r="BO43" s="41">
        <f>COUNTIFS(集計用!$P:$P, "*"&amp;BO$4&amp;",*",集計用!$G:$G,"*, "&amp;$C43&amp;", *")/$B43*100</f>
        <v>0</v>
      </c>
      <c r="BP43" s="41">
        <f>COUNTIFS(集計用!$P:$P, "*"&amp;BP$4&amp;",*",集計用!$G:$G,"*, "&amp;$C43&amp;", *")/$B43*100</f>
        <v>0</v>
      </c>
      <c r="BQ43" s="41">
        <f>COUNTIFS(集計用!$P:$P, "*"&amp;BQ$4&amp;",*",集計用!$G:$G,"*, "&amp;$C43&amp;", *")/$B43*100</f>
        <v>0</v>
      </c>
      <c r="BR43" s="41">
        <f>COUNTIFS(集計用!$P:$P, "*"&amp;BR$4&amp;",*",集計用!$G:$G,"*, "&amp;$C43&amp;", *")/$B43*100</f>
        <v>0</v>
      </c>
      <c r="BS43" s="41">
        <f>COUNTIFS(集計用!$P:$P, "*"&amp;BS$4&amp;",*",集計用!$G:$G,"*, "&amp;$C43&amp;", *")/$B43*100</f>
        <v>0</v>
      </c>
      <c r="BT43" s="41">
        <f>COUNTIFS(集計用!$P:$P, "*"&amp;BT$4&amp;",*",集計用!$G:$G,"*, "&amp;$C43&amp;", *")/$B43*100</f>
        <v>0</v>
      </c>
      <c r="BU43" s="41"/>
      <c r="BV43" s="41"/>
      <c r="BW43" s="41"/>
      <c r="BX43" s="41"/>
      <c r="BY43" s="41"/>
      <c r="BZ43" s="41"/>
      <c r="CA43" s="41"/>
      <c r="CB43" s="41"/>
      <c r="CC43" s="41"/>
      <c r="CD43" s="41"/>
      <c r="CE43" s="41"/>
      <c r="CF43" s="41"/>
      <c r="CG43" s="41"/>
      <c r="CH43" s="41"/>
      <c r="CI43" s="41"/>
      <c r="CJ43" s="41"/>
      <c r="CK43" s="41"/>
    </row>
    <row r="44" spans="1:89" ht="12.75">
      <c r="A44" s="39">
        <v>5</v>
      </c>
      <c r="B44" s="39">
        <f>(COUNTIFS(集計用!$G:$G,"*, "&amp;$C44&amp;",*",集計用!$Q:$Q,"&lt;&gt;無回答"))</f>
        <v>12</v>
      </c>
      <c r="C44" s="42" t="s">
        <v>39</v>
      </c>
      <c r="D44" s="41">
        <f>COUNTIFS(集計用!$O:$O, "*, "&amp;D$4&amp;", *",集計用!$G:$G,"*, "&amp;$C44&amp;", *")/$B44*100</f>
        <v>66.666666666666657</v>
      </c>
      <c r="E44" s="41">
        <f>COUNTIFS(集計用!$O:$O, "*, "&amp;E$4&amp;", *",集計用!$G:$G,"*, "&amp;$C44&amp;", *")/$B44*100</f>
        <v>50</v>
      </c>
      <c r="F44" s="41">
        <f>COUNTIFS(集計用!$O:$O, "*, "&amp;F$4&amp;", *",集計用!$G:$G,"*, "&amp;$C44&amp;", *")/$B44*100</f>
        <v>75</v>
      </c>
      <c r="G44" s="41">
        <f>COUNTIFS(集計用!$O:$O, "*, "&amp;G$4&amp;", *",集計用!$G:$G,"*, "&amp;$C44&amp;", *")/$B44*100</f>
        <v>0</v>
      </c>
      <c r="H44" s="41">
        <f>COUNTIFS(集計用!$O:$O, "*, "&amp;H$4&amp;", *",集計用!$G:$G,"*, "&amp;$C44&amp;", *")/$B44*100</f>
        <v>8.3333333333333321</v>
      </c>
      <c r="I44" s="41">
        <f>COUNTIFS(集計用!$O:$O, "*, "&amp;I$4&amp;", *",集計用!$G:$G,"*, "&amp;$C44&amp;", *")/$B44*100</f>
        <v>8.3333333333333321</v>
      </c>
      <c r="J44" s="41">
        <f>COUNTIFS(集計用!$O:$O, "*, "&amp;J$4&amp;", *",集計用!$G:$G,"*, "&amp;$C44&amp;", *")/$B44*100</f>
        <v>25</v>
      </c>
      <c r="K44" s="41">
        <f>COUNTIFS(集計用!$O:$O, "*, "&amp;K$4&amp;", *",集計用!$G:$G,"*, "&amp;$C44&amp;", *")/$B44*100</f>
        <v>8.3333333333333321</v>
      </c>
      <c r="L44" s="41">
        <f>COUNTIFS(集計用!$O:$O, "*, "&amp;L$4&amp;", *",集計用!$G:$G,"*, "&amp;$C44&amp;", *")/$B44*100</f>
        <v>0</v>
      </c>
      <c r="M44" s="41">
        <f>COUNTIFS(集計用!$O:$O, "*, "&amp;M$4&amp;", *",集計用!$G:$G,"*, "&amp;$C44&amp;", *")/$B44*100</f>
        <v>41.666666666666671</v>
      </c>
      <c r="N44" s="41">
        <f>COUNTIFS(集計用!$O:$O, "*, "&amp;N$4&amp;", *",集計用!$G:$G,"*, "&amp;$C44&amp;", *")/$B44*100</f>
        <v>16.666666666666664</v>
      </c>
      <c r="O44" s="41">
        <f>COUNTIFS(集計用!$O:$O, "*, "&amp;O$4&amp;", *",集計用!$G:$G,"*, "&amp;$C44&amp;", *")/$B44*100</f>
        <v>16.666666666666664</v>
      </c>
      <c r="P44" s="41">
        <f>COUNTIFS(集計用!$O:$O, "*, "&amp;P$4&amp;", *",集計用!$G:$G,"*, "&amp;$C44&amp;", *")/$B44*100</f>
        <v>25</v>
      </c>
      <c r="Q44" s="41">
        <f>COUNTIFS(集計用!$O:$O, "*, "&amp;Q$4&amp;", *",集計用!$G:$G,"*, "&amp;$C44&amp;", *")/$B44*100</f>
        <v>16.666666666666664</v>
      </c>
      <c r="R44" s="41">
        <f>COUNTIFS(集計用!$O:$O, "*, "&amp;R$4&amp;", *",集計用!$G:$G,"*, "&amp;$C44&amp;", *")/$B44*100</f>
        <v>16.666666666666664</v>
      </c>
      <c r="S44" s="41">
        <f>COUNTIFS(集計用!$O:$O, "*, "&amp;S$4&amp;", *",集計用!$G:$G,"*, "&amp;$C44&amp;", *")/$B44*100</f>
        <v>8.3333333333333321</v>
      </c>
      <c r="T44" s="41">
        <f>COUNTIFS(集計用!$O:$O, "*, "&amp;T$4&amp;", *",集計用!$G:$G,"*, "&amp;$C44&amp;", *")/$B44*100</f>
        <v>0</v>
      </c>
      <c r="V44" s="41">
        <f>COUNTIFS(集計用!$P:$P, "*"&amp;V$4&amp;",*",集計用!$G:$G,"*, "&amp;$C44&amp;", *")/$B44*100</f>
        <v>0</v>
      </c>
      <c r="W44" s="41">
        <f>COUNTIFS(集計用!$P:$P, "*"&amp;W$4&amp;",*",集計用!$G:$G,"*, "&amp;$C44&amp;", *")/$B44*100</f>
        <v>0</v>
      </c>
      <c r="X44" s="41">
        <f>COUNTIFS(集計用!$P:$P, "*"&amp;X$4&amp;",*",集計用!$G:$G,"*, "&amp;$C44&amp;", *")/$B44*100</f>
        <v>0</v>
      </c>
      <c r="Y44" s="41">
        <f>COUNTIFS(集計用!$P:$P, "*"&amp;Y$4&amp;",*",集計用!$G:$G,"*, "&amp;$C44&amp;", *")/$B44*100</f>
        <v>0</v>
      </c>
      <c r="Z44" s="41">
        <f>COUNTIFS(集計用!$P:$P, "*"&amp;Z$4&amp;",*",集計用!$G:$G,"*, "&amp;$C44&amp;", *")/$B44*100</f>
        <v>0</v>
      </c>
      <c r="AA44" s="41">
        <f>COUNTIFS(集計用!$P:$P, "*"&amp;AA$4&amp;",*",集計用!$G:$G,"*, "&amp;$C44&amp;", *")/$B44*100</f>
        <v>0</v>
      </c>
      <c r="AB44" s="41">
        <f>COUNTIFS(集計用!$P:$P, "*"&amp;AB$4&amp;",*",集計用!$G:$G,"*, "&amp;$C44&amp;", *")/$B44*100</f>
        <v>0</v>
      </c>
      <c r="AC44" s="41">
        <f>COUNTIFS(集計用!$P:$P, "*"&amp;AC$4&amp;",*",集計用!$G:$G,"*, "&amp;$C44&amp;", *")/$B44*100</f>
        <v>0</v>
      </c>
      <c r="AD44" s="41">
        <f>COUNTIFS(集計用!$P:$P, "*"&amp;AD$4&amp;",*",集計用!$G:$G,"*, "&amp;$C44&amp;", *")/$B44*100</f>
        <v>0</v>
      </c>
      <c r="AE44" s="41">
        <f>COUNTIFS(集計用!$P:$P, "*"&amp;AE$4&amp;",*",集計用!$G:$G,"*, "&amp;$C44&amp;", *")/$B44*100</f>
        <v>0</v>
      </c>
      <c r="AF44" s="41">
        <f>COUNTIFS(集計用!$P:$P, "*"&amp;AF$4&amp;",*",集計用!$G:$G,"*, "&amp;$C44&amp;", *")/$B44*100</f>
        <v>0</v>
      </c>
      <c r="AG44" s="41">
        <f>COUNTIFS(集計用!$P:$P, "*"&amp;AG$4&amp;",*",集計用!$G:$G,"*, "&amp;$C44&amp;", *")/$B44*100</f>
        <v>0</v>
      </c>
      <c r="AH44" s="41">
        <f>COUNTIFS(集計用!$P:$P, "*"&amp;AH$4&amp;",*",集計用!$G:$G,"*, "&amp;$C44&amp;", *")/$B44*100</f>
        <v>0</v>
      </c>
      <c r="AI44" s="41">
        <f>COUNTIFS(集計用!$P:$P, "*"&amp;AI$4&amp;",*",集計用!$G:$G,"*, "&amp;$C44&amp;", *")/$B44*100</f>
        <v>0</v>
      </c>
      <c r="AJ44" s="41">
        <f>COUNTIFS(集計用!$P:$P, "*"&amp;AJ$4&amp;",*",集計用!$G:$G,"*, "&amp;$C44&amp;", *")/$B44*100</f>
        <v>0</v>
      </c>
      <c r="AK44" s="41">
        <f>COUNTIFS(集計用!$P:$P, "*"&amp;AK$4&amp;",*",集計用!$G:$G,"*, "&amp;$C44&amp;", *")/$B44*100</f>
        <v>0</v>
      </c>
      <c r="AL44" s="41">
        <f>COUNTIFS(集計用!$P:$P, "*"&amp;AL$4&amp;",*",集計用!$G:$G,"*, "&amp;$C44&amp;", *")/$B44*100</f>
        <v>0</v>
      </c>
      <c r="AM44" s="41">
        <f>COUNTIFS(集計用!$P:$P, "*"&amp;AM$4&amp;",*",集計用!$G:$G,"*, "&amp;$C44&amp;", *")/$B44*100</f>
        <v>0</v>
      </c>
      <c r="AN44" s="41">
        <f>COUNTIFS(集計用!$P:$P, "*"&amp;AN$4&amp;",*",集計用!$G:$G,"*, "&amp;$C44&amp;", *")/$B44*100</f>
        <v>0</v>
      </c>
      <c r="AO44" s="41">
        <f>COUNTIFS(集計用!$P:$P, "*"&amp;AO$4&amp;",*",集計用!$G:$G,"*, "&amp;$C44&amp;", *")/$B44*100</f>
        <v>0</v>
      </c>
      <c r="AP44" s="41">
        <f>COUNTIFS(集計用!$P:$P, "*"&amp;AP$4&amp;",*",集計用!$G:$G,"*, "&amp;$C44&amp;", *")/$B44*100</f>
        <v>0</v>
      </c>
      <c r="AQ44" s="41">
        <f>COUNTIFS(集計用!$P:$P, "*"&amp;AQ$4&amp;",*",集計用!$G:$G,"*, "&amp;$C44&amp;", *")/$B44*100</f>
        <v>0</v>
      </c>
      <c r="AR44" s="41">
        <f>COUNTIFS(集計用!$P:$P, "*"&amp;AR$4&amp;",*",集計用!$G:$G,"*, "&amp;$C44&amp;", *")/$B44*100</f>
        <v>0</v>
      </c>
      <c r="AS44" s="41">
        <f>COUNTIFS(集計用!$P:$P, "*"&amp;AS$4&amp;",*",集計用!$G:$G,"*, "&amp;$C44&amp;", *")/$B44*100</f>
        <v>0</v>
      </c>
      <c r="AT44" s="41">
        <f>COUNTIFS(集計用!$P:$P, "*"&amp;AT$4&amp;",*",集計用!$G:$G,"*, "&amp;$C44&amp;", *")/$B44*100</f>
        <v>0</v>
      </c>
      <c r="AU44" s="41">
        <f>COUNTIFS(集計用!$P:$P, "*"&amp;AU$4&amp;",*",集計用!$G:$G,"*, "&amp;$C44&amp;", *")/$B44*100</f>
        <v>0</v>
      </c>
      <c r="AV44" s="41">
        <f>COUNTIFS(集計用!$P:$P, "*"&amp;AV$4&amp;",*",集計用!$G:$G,"*, "&amp;$C44&amp;", *")/$B44*100</f>
        <v>0</v>
      </c>
      <c r="AW44" s="41">
        <f>COUNTIFS(集計用!$P:$P, "*"&amp;AW$4&amp;",*",集計用!$G:$G,"*, "&amp;$C44&amp;", *")/$B44*100</f>
        <v>0</v>
      </c>
      <c r="AX44" s="41">
        <f>COUNTIFS(集計用!$P:$P, "*"&amp;AX$4&amp;",*",集計用!$G:$G,"*, "&amp;$C44&amp;", *")/$B44*100</f>
        <v>0</v>
      </c>
      <c r="AY44" s="41">
        <f>COUNTIFS(集計用!$P:$P, "*"&amp;AY$4&amp;",*",集計用!$G:$G,"*, "&amp;$C44&amp;", *")/$B44*100</f>
        <v>0</v>
      </c>
      <c r="AZ44" s="41">
        <f>COUNTIFS(集計用!$P:$P, "*"&amp;AZ$4&amp;",*",集計用!$G:$G,"*, "&amp;$C44&amp;", *")/$B44*100</f>
        <v>0</v>
      </c>
      <c r="BA44" s="41">
        <f>COUNTIFS(集計用!$P:$P, "*"&amp;BA$4&amp;",*",集計用!$G:$G,"*, "&amp;$C44&amp;", *")/$B44*100</f>
        <v>0</v>
      </c>
      <c r="BB44" s="41">
        <f>COUNTIFS(集計用!$P:$P, "*"&amp;BB$4&amp;",*",集計用!$G:$G,"*, "&amp;$C44&amp;", *")/$B44*100</f>
        <v>8.3333333333333321</v>
      </c>
      <c r="BC44" s="41">
        <f>COUNTIFS(集計用!$P:$P, "*"&amp;BC$4&amp;",*",集計用!$G:$G,"*, "&amp;$C44&amp;", *")/$B44*100</f>
        <v>0</v>
      </c>
      <c r="BD44" s="41">
        <f>COUNTIFS(集計用!$P:$P, "*"&amp;BD$4&amp;",*",集計用!$G:$G,"*, "&amp;$C44&amp;", *")/$B44*100</f>
        <v>8.3333333333333321</v>
      </c>
      <c r="BE44" s="41">
        <f>COUNTIFS(集計用!$P:$P, "*"&amp;BE$4&amp;",*",集計用!$G:$G,"*, "&amp;$C44&amp;", *")/$B44*100</f>
        <v>0</v>
      </c>
      <c r="BF44" s="41">
        <f>COUNTIFS(集計用!$P:$P, "*"&amp;BF$4&amp;",*",集計用!$G:$G,"*, "&amp;$C44&amp;", *")/$B44*100</f>
        <v>0</v>
      </c>
      <c r="BG44" s="41">
        <f>COUNTIFS(集計用!$P:$P, "*"&amp;BG$4&amp;",*",集計用!$G:$G,"*, "&amp;$C44&amp;", *")/$B44*100</f>
        <v>0</v>
      </c>
      <c r="BH44" s="41">
        <f>COUNTIFS(集計用!$P:$P, "*"&amp;BH$4&amp;",*",集計用!$G:$G,"*, "&amp;$C44&amp;", *")/$B44*100</f>
        <v>0</v>
      </c>
      <c r="BI44" s="41">
        <f>COUNTIFS(集計用!$P:$P, "*"&amp;BI$4&amp;",*",集計用!$G:$G,"*, "&amp;$C44&amp;", *")/$B44*100</f>
        <v>0</v>
      </c>
      <c r="BJ44" s="41">
        <f>COUNTIFS(集計用!$P:$P, "*"&amp;BJ$4&amp;",*",集計用!$G:$G,"*, "&amp;$C44&amp;", *")/$B44*100</f>
        <v>0</v>
      </c>
      <c r="BK44" s="41">
        <f>COUNTIFS(集計用!$P:$P, "*"&amp;BK$4&amp;",*",集計用!$G:$G,"*, "&amp;$C44&amp;", *")/$B44*100</f>
        <v>0</v>
      </c>
      <c r="BL44" s="41">
        <f>COUNTIFS(集計用!$P:$P, "*"&amp;BL$4&amp;",*",集計用!$G:$G,"*, "&amp;$C44&amp;", *")/$B44*100</f>
        <v>0</v>
      </c>
      <c r="BM44" s="41">
        <f>COUNTIFS(集計用!$P:$P, "*"&amp;BM$4&amp;",*",集計用!$G:$G,"*, "&amp;$C44&amp;", *")/$B44*100</f>
        <v>0</v>
      </c>
      <c r="BN44" s="41">
        <f>COUNTIFS(集計用!$P:$P, "*"&amp;BN$4&amp;",*",集計用!$G:$G,"*, "&amp;$C44&amp;", *")/$B44*100</f>
        <v>0</v>
      </c>
      <c r="BO44" s="41">
        <f>COUNTIFS(集計用!$P:$P, "*"&amp;BO$4&amp;",*",集計用!$G:$G,"*, "&amp;$C44&amp;", *")/$B44*100</f>
        <v>0</v>
      </c>
      <c r="BP44" s="41">
        <f>COUNTIFS(集計用!$P:$P, "*"&amp;BP$4&amp;",*",集計用!$G:$G,"*, "&amp;$C44&amp;", *")/$B44*100</f>
        <v>0</v>
      </c>
      <c r="BQ44" s="41">
        <f>COUNTIFS(集計用!$P:$P, "*"&amp;BQ$4&amp;",*",集計用!$G:$G,"*, "&amp;$C44&amp;", *")/$B44*100</f>
        <v>0</v>
      </c>
      <c r="BR44" s="41">
        <f>COUNTIFS(集計用!$P:$P, "*"&amp;BR$4&amp;",*",集計用!$G:$G,"*, "&amp;$C44&amp;", *")/$B44*100</f>
        <v>0</v>
      </c>
      <c r="BS44" s="41">
        <f>COUNTIFS(集計用!$P:$P, "*"&amp;BS$4&amp;",*",集計用!$G:$G,"*, "&amp;$C44&amp;", *")/$B44*100</f>
        <v>0</v>
      </c>
      <c r="BT44" s="41">
        <f>COUNTIFS(集計用!$P:$P, "*"&amp;BT$4&amp;",*",集計用!$G:$G,"*, "&amp;$C44&amp;", *")/$B44*100</f>
        <v>0</v>
      </c>
      <c r="BU44" s="41"/>
      <c r="BV44" s="41"/>
      <c r="BW44" s="41"/>
      <c r="BX44" s="41"/>
      <c r="BY44" s="41"/>
      <c r="BZ44" s="41"/>
      <c r="CA44" s="41"/>
      <c r="CB44" s="41"/>
      <c r="CC44" s="41"/>
      <c r="CD44" s="41"/>
      <c r="CE44" s="41"/>
      <c r="CF44" s="41"/>
      <c r="CG44" s="41"/>
      <c r="CH44" s="41"/>
      <c r="CI44" s="41"/>
      <c r="CJ44" s="41"/>
      <c r="CK44" s="41"/>
    </row>
    <row r="45" spans="1:89" ht="14.25" customHeight="1">
      <c r="A45" s="39">
        <v>5</v>
      </c>
      <c r="B45" s="39">
        <f>(COUNTIFS(集計用!$G:$G,"*, "&amp;$C45&amp;",*",集計用!$Q:$Q,"&lt;&gt;無回答"))</f>
        <v>12</v>
      </c>
      <c r="C45" s="42" t="s">
        <v>38</v>
      </c>
      <c r="D45" s="41">
        <f>COUNTIFS(集計用!$O:$O, "*, "&amp;D$4&amp;", *",集計用!$G:$G,"*, "&amp;$C45&amp;", *")/$B45*100</f>
        <v>75</v>
      </c>
      <c r="E45" s="41">
        <f>COUNTIFS(集計用!$O:$O, "*, "&amp;E$4&amp;", *",集計用!$G:$G,"*, "&amp;$C45&amp;", *")/$B45*100</f>
        <v>58.333333333333336</v>
      </c>
      <c r="F45" s="41">
        <f>COUNTIFS(集計用!$O:$O, "*, "&amp;F$4&amp;", *",集計用!$G:$G,"*, "&amp;$C45&amp;", *")/$B45*100</f>
        <v>50</v>
      </c>
      <c r="G45" s="41">
        <f>COUNTIFS(集計用!$O:$O, "*, "&amp;G$4&amp;", *",集計用!$G:$G,"*, "&amp;$C45&amp;", *")/$B45*100</f>
        <v>33.333333333333329</v>
      </c>
      <c r="H45" s="41">
        <f>COUNTIFS(集計用!$O:$O, "*, "&amp;H$4&amp;", *",集計用!$G:$G,"*, "&amp;$C45&amp;", *")/$B45*100</f>
        <v>33.333333333333329</v>
      </c>
      <c r="I45" s="41">
        <f>COUNTIFS(集計用!$O:$O, "*, "&amp;I$4&amp;", *",集計用!$G:$G,"*, "&amp;$C45&amp;", *")/$B45*100</f>
        <v>50</v>
      </c>
      <c r="J45" s="41">
        <f>COUNTIFS(集計用!$O:$O, "*, "&amp;J$4&amp;", *",集計用!$G:$G,"*, "&amp;$C45&amp;", *")/$B45*100</f>
        <v>8.3333333333333321</v>
      </c>
      <c r="K45" s="41">
        <f>COUNTIFS(集計用!$O:$O, "*, "&amp;K$4&amp;", *",集計用!$G:$G,"*, "&amp;$C45&amp;", *")/$B45*100</f>
        <v>41.666666666666671</v>
      </c>
      <c r="L45" s="41">
        <f>COUNTIFS(集計用!$O:$O, "*, "&amp;L$4&amp;", *",集計用!$G:$G,"*, "&amp;$C45&amp;", *")/$B45*100</f>
        <v>33.333333333333329</v>
      </c>
      <c r="M45" s="41">
        <f>COUNTIFS(集計用!$O:$O, "*, "&amp;M$4&amp;", *",集計用!$G:$G,"*, "&amp;$C45&amp;", *")/$B45*100</f>
        <v>16.666666666666664</v>
      </c>
      <c r="N45" s="41">
        <f>COUNTIFS(集計用!$O:$O, "*, "&amp;N$4&amp;", *",集計用!$G:$G,"*, "&amp;$C45&amp;", *")/$B45*100</f>
        <v>25</v>
      </c>
      <c r="O45" s="41">
        <f>COUNTIFS(集計用!$O:$O, "*, "&amp;O$4&amp;", *",集計用!$G:$G,"*, "&amp;$C45&amp;", *")/$B45*100</f>
        <v>16.666666666666664</v>
      </c>
      <c r="P45" s="41">
        <f>COUNTIFS(集計用!$O:$O, "*, "&amp;P$4&amp;", *",集計用!$G:$G,"*, "&amp;$C45&amp;", *")/$B45*100</f>
        <v>25</v>
      </c>
      <c r="Q45" s="41">
        <f>COUNTIFS(集計用!$O:$O, "*, "&amp;Q$4&amp;", *",集計用!$G:$G,"*, "&amp;$C45&amp;", *")/$B45*100</f>
        <v>8.3333333333333321</v>
      </c>
      <c r="R45" s="41">
        <f>COUNTIFS(集計用!$O:$O, "*, "&amp;R$4&amp;", *",集計用!$G:$G,"*, "&amp;$C45&amp;", *")/$B45*100</f>
        <v>8.3333333333333321</v>
      </c>
      <c r="S45" s="41">
        <f>COUNTIFS(集計用!$O:$O, "*, "&amp;S$4&amp;", *",集計用!$G:$G,"*, "&amp;$C45&amp;", *")/$B45*100</f>
        <v>8.3333333333333321</v>
      </c>
      <c r="T45" s="41">
        <f>COUNTIFS(集計用!$O:$O, "*, "&amp;T$4&amp;", *",集計用!$G:$G,"*, "&amp;$C45&amp;", *")/$B45*100</f>
        <v>8.3333333333333321</v>
      </c>
      <c r="V45" s="41">
        <f>COUNTIFS(集計用!$P:$P, "*"&amp;V$4&amp;",*",集計用!$G:$G,"*, "&amp;$C45&amp;", *")/$B45*100</f>
        <v>16.666666666666664</v>
      </c>
      <c r="W45" s="41">
        <f>COUNTIFS(集計用!$P:$P, "*"&amp;W$4&amp;",*",集計用!$G:$G,"*, "&amp;$C45&amp;", *")/$B45*100</f>
        <v>0</v>
      </c>
      <c r="X45" s="41">
        <f>COUNTIFS(集計用!$P:$P, "*"&amp;X$4&amp;",*",集計用!$G:$G,"*, "&amp;$C45&amp;", *")/$B45*100</f>
        <v>0</v>
      </c>
      <c r="Y45" s="41">
        <f>COUNTIFS(集計用!$P:$P, "*"&amp;Y$4&amp;",*",集計用!$G:$G,"*, "&amp;$C45&amp;", *")/$B45*100</f>
        <v>0</v>
      </c>
      <c r="Z45" s="41">
        <f>COUNTIFS(集計用!$P:$P, "*"&amp;Z$4&amp;",*",集計用!$G:$G,"*, "&amp;$C45&amp;", *")/$B45*100</f>
        <v>0</v>
      </c>
      <c r="AA45" s="41">
        <f>COUNTIFS(集計用!$P:$P, "*"&amp;AA$4&amp;",*",集計用!$G:$G,"*, "&amp;$C45&amp;", *")/$B45*100</f>
        <v>0</v>
      </c>
      <c r="AB45" s="41">
        <f>COUNTIFS(集計用!$P:$P, "*"&amp;AB$4&amp;",*",集計用!$G:$G,"*, "&amp;$C45&amp;", *")/$B45*100</f>
        <v>0</v>
      </c>
      <c r="AC45" s="41">
        <f>COUNTIFS(集計用!$P:$P, "*"&amp;AC$4&amp;",*",集計用!$G:$G,"*, "&amp;$C45&amp;", *")/$B45*100</f>
        <v>0</v>
      </c>
      <c r="AD45" s="41">
        <f>COUNTIFS(集計用!$P:$P, "*"&amp;AD$4&amp;",*",集計用!$G:$G,"*, "&amp;$C45&amp;", *")/$B45*100</f>
        <v>0</v>
      </c>
      <c r="AE45" s="41">
        <f>COUNTIFS(集計用!$P:$P, "*"&amp;AE$4&amp;",*",集計用!$G:$G,"*, "&amp;$C45&amp;", *")/$B45*100</f>
        <v>0</v>
      </c>
      <c r="AF45" s="41">
        <f>COUNTIFS(集計用!$P:$P, "*"&amp;AF$4&amp;",*",集計用!$G:$G,"*, "&amp;$C45&amp;", *")/$B45*100</f>
        <v>0</v>
      </c>
      <c r="AG45" s="41">
        <f>COUNTIFS(集計用!$P:$P, "*"&amp;AG$4&amp;",*",集計用!$G:$G,"*, "&amp;$C45&amp;", *")/$B45*100</f>
        <v>0</v>
      </c>
      <c r="AH45" s="41">
        <f>COUNTIFS(集計用!$P:$P, "*"&amp;AH$4&amp;",*",集計用!$G:$G,"*, "&amp;$C45&amp;", *")/$B45*100</f>
        <v>0</v>
      </c>
      <c r="AI45" s="41">
        <f>COUNTIFS(集計用!$P:$P, "*"&amp;AI$4&amp;",*",集計用!$G:$G,"*, "&amp;$C45&amp;", *")/$B45*100</f>
        <v>0</v>
      </c>
      <c r="AJ45" s="41">
        <f>COUNTIFS(集計用!$P:$P, "*"&amp;AJ$4&amp;",*",集計用!$G:$G,"*, "&amp;$C45&amp;", *")/$B45*100</f>
        <v>0</v>
      </c>
      <c r="AK45" s="41">
        <f>COUNTIFS(集計用!$P:$P, "*"&amp;AK$4&amp;",*",集計用!$G:$G,"*, "&amp;$C45&amp;", *")/$B45*100</f>
        <v>0</v>
      </c>
      <c r="AL45" s="41">
        <f>COUNTIFS(集計用!$P:$P, "*"&amp;AL$4&amp;",*",集計用!$G:$G,"*, "&amp;$C45&amp;", *")/$B45*100</f>
        <v>0</v>
      </c>
      <c r="AM45" s="41">
        <f>COUNTIFS(集計用!$P:$P, "*"&amp;AM$4&amp;",*",集計用!$G:$G,"*, "&amp;$C45&amp;", *")/$B45*100</f>
        <v>0</v>
      </c>
      <c r="AN45" s="41">
        <f>COUNTIFS(集計用!$P:$P, "*"&amp;AN$4&amp;",*",集計用!$G:$G,"*, "&amp;$C45&amp;", *")/$B45*100</f>
        <v>0</v>
      </c>
      <c r="AO45" s="41">
        <f>COUNTIFS(集計用!$P:$P, "*"&amp;AO$4&amp;",*",集計用!$G:$G,"*, "&amp;$C45&amp;", *")/$B45*100</f>
        <v>0</v>
      </c>
      <c r="AP45" s="41">
        <f>COUNTIFS(集計用!$P:$P, "*"&amp;AP$4&amp;",*",集計用!$G:$G,"*, "&amp;$C45&amp;", *")/$B45*100</f>
        <v>0</v>
      </c>
      <c r="AQ45" s="41">
        <f>COUNTIFS(集計用!$P:$P, "*"&amp;AQ$4&amp;",*",集計用!$G:$G,"*, "&amp;$C45&amp;", *")/$B45*100</f>
        <v>0</v>
      </c>
      <c r="AR45" s="41">
        <f>COUNTIFS(集計用!$P:$P, "*"&amp;AR$4&amp;",*",集計用!$G:$G,"*, "&amp;$C45&amp;", *")/$B45*100</f>
        <v>0</v>
      </c>
      <c r="AS45" s="41">
        <f>COUNTIFS(集計用!$P:$P, "*"&amp;AS$4&amp;",*",集計用!$G:$G,"*, "&amp;$C45&amp;", *")/$B45*100</f>
        <v>0</v>
      </c>
      <c r="AT45" s="41">
        <f>COUNTIFS(集計用!$P:$P, "*"&amp;AT$4&amp;",*",集計用!$G:$G,"*, "&amp;$C45&amp;", *")/$B45*100</f>
        <v>0</v>
      </c>
      <c r="AU45" s="41">
        <f>COUNTIFS(集計用!$P:$P, "*"&amp;AU$4&amp;",*",集計用!$G:$G,"*, "&amp;$C45&amp;", *")/$B45*100</f>
        <v>0</v>
      </c>
      <c r="AV45" s="41">
        <f>COUNTIFS(集計用!$P:$P, "*"&amp;AV$4&amp;",*",集計用!$G:$G,"*, "&amp;$C45&amp;", *")/$B45*100</f>
        <v>0</v>
      </c>
      <c r="AW45" s="41">
        <f>COUNTIFS(集計用!$P:$P, "*"&amp;AW$4&amp;",*",集計用!$G:$G,"*, "&amp;$C45&amp;", *")/$B45*100</f>
        <v>0</v>
      </c>
      <c r="AX45" s="41">
        <f>COUNTIFS(集計用!$P:$P, "*"&amp;AX$4&amp;",*",集計用!$G:$G,"*, "&amp;$C45&amp;", *")/$B45*100</f>
        <v>0</v>
      </c>
      <c r="AY45" s="41">
        <f>COUNTIFS(集計用!$P:$P, "*"&amp;AY$4&amp;",*",集計用!$G:$G,"*, "&amp;$C45&amp;", *")/$B45*100</f>
        <v>0</v>
      </c>
      <c r="AZ45" s="41">
        <f>COUNTIFS(集計用!$P:$P, "*"&amp;AZ$4&amp;",*",集計用!$G:$G,"*, "&amp;$C45&amp;", *")/$B45*100</f>
        <v>0</v>
      </c>
      <c r="BA45" s="41">
        <f>COUNTIFS(集計用!$P:$P, "*"&amp;BA$4&amp;",*",集計用!$G:$G,"*, "&amp;$C45&amp;", *")/$B45*100</f>
        <v>0</v>
      </c>
      <c r="BB45" s="41">
        <f>COUNTIFS(集計用!$P:$P, "*"&amp;BB$4&amp;",*",集計用!$G:$G,"*, "&amp;$C45&amp;", *")/$B45*100</f>
        <v>0</v>
      </c>
      <c r="BC45" s="41">
        <f>COUNTIFS(集計用!$P:$P, "*"&amp;BC$4&amp;",*",集計用!$G:$G,"*, "&amp;$C45&amp;", *")/$B45*100</f>
        <v>0</v>
      </c>
      <c r="BD45" s="41">
        <f>COUNTIFS(集計用!$P:$P, "*"&amp;BD$4&amp;",*",集計用!$G:$G,"*, "&amp;$C45&amp;", *")/$B45*100</f>
        <v>0</v>
      </c>
      <c r="BE45" s="41">
        <f>COUNTIFS(集計用!$P:$P, "*"&amp;BE$4&amp;",*",集計用!$G:$G,"*, "&amp;$C45&amp;", *")/$B45*100</f>
        <v>0</v>
      </c>
      <c r="BF45" s="41">
        <f>COUNTIFS(集計用!$P:$P, "*"&amp;BF$4&amp;",*",集計用!$G:$G,"*, "&amp;$C45&amp;", *")/$B45*100</f>
        <v>0</v>
      </c>
      <c r="BG45" s="41">
        <f>COUNTIFS(集計用!$P:$P, "*"&amp;BG$4&amp;",*",集計用!$G:$G,"*, "&amp;$C45&amp;", *")/$B45*100</f>
        <v>0</v>
      </c>
      <c r="BH45" s="41">
        <f>COUNTIFS(集計用!$P:$P, "*"&amp;BH$4&amp;",*",集計用!$G:$G,"*, "&amp;$C45&amp;", *")/$B45*100</f>
        <v>0</v>
      </c>
      <c r="BI45" s="41">
        <f>COUNTIFS(集計用!$P:$P, "*"&amp;BI$4&amp;",*",集計用!$G:$G,"*, "&amp;$C45&amp;", *")/$B45*100</f>
        <v>0</v>
      </c>
      <c r="BJ45" s="41">
        <f>COUNTIFS(集計用!$P:$P, "*"&amp;BJ$4&amp;",*",集計用!$G:$G,"*, "&amp;$C45&amp;", *")/$B45*100</f>
        <v>0</v>
      </c>
      <c r="BK45" s="41">
        <f>COUNTIFS(集計用!$P:$P, "*"&amp;BK$4&amp;",*",集計用!$G:$G,"*, "&amp;$C45&amp;", *")/$B45*100</f>
        <v>0</v>
      </c>
      <c r="BL45" s="41">
        <f>COUNTIFS(集計用!$P:$P, "*"&amp;BL$4&amp;",*",集計用!$G:$G,"*, "&amp;$C45&amp;", *")/$B45*100</f>
        <v>0</v>
      </c>
      <c r="BM45" s="41">
        <f>COUNTIFS(集計用!$P:$P, "*"&amp;BM$4&amp;",*",集計用!$G:$G,"*, "&amp;$C45&amp;", *")/$B45*100</f>
        <v>0</v>
      </c>
      <c r="BN45" s="41">
        <f>COUNTIFS(集計用!$P:$P, "*"&amp;BN$4&amp;",*",集計用!$G:$G,"*, "&amp;$C45&amp;", *")/$B45*100</f>
        <v>0</v>
      </c>
      <c r="BO45" s="41">
        <f>COUNTIFS(集計用!$P:$P, "*"&amp;BO$4&amp;",*",集計用!$G:$G,"*, "&amp;$C45&amp;", *")/$B45*100</f>
        <v>0</v>
      </c>
      <c r="BP45" s="41">
        <f>COUNTIFS(集計用!$P:$P, "*"&amp;BP$4&amp;",*",集計用!$G:$G,"*, "&amp;$C45&amp;", *")/$B45*100</f>
        <v>0</v>
      </c>
      <c r="BQ45" s="41">
        <f>COUNTIFS(集計用!$P:$P, "*"&amp;BQ$4&amp;",*",集計用!$G:$G,"*, "&amp;$C45&amp;", *")/$B45*100</f>
        <v>0</v>
      </c>
      <c r="BR45" s="41">
        <f>COUNTIFS(集計用!$P:$P, "*"&amp;BR$4&amp;",*",集計用!$G:$G,"*, "&amp;$C45&amp;", *")/$B45*100</f>
        <v>0</v>
      </c>
      <c r="BS45" s="41">
        <f>COUNTIFS(集計用!$P:$P, "*"&amp;BS$4&amp;",*",集計用!$G:$G,"*, "&amp;$C45&amp;", *")/$B45*100</f>
        <v>0</v>
      </c>
      <c r="BT45" s="41">
        <f>COUNTIFS(集計用!$P:$P, "*"&amp;BT$4&amp;",*",集計用!$G:$G,"*, "&amp;$C45&amp;", *")/$B45*100</f>
        <v>0</v>
      </c>
      <c r="BU45" s="41"/>
      <c r="BV45" s="41"/>
      <c r="BW45" s="41"/>
      <c r="BX45" s="41"/>
      <c r="BY45" s="41"/>
      <c r="BZ45" s="41"/>
      <c r="CA45" s="41"/>
      <c r="CB45" s="41"/>
      <c r="CC45" s="41"/>
      <c r="CD45" s="41"/>
      <c r="CE45" s="41"/>
      <c r="CF45" s="41"/>
      <c r="CG45" s="41"/>
      <c r="CH45" s="41"/>
      <c r="CI45" s="41"/>
      <c r="CJ45" s="41"/>
      <c r="CK45" s="41"/>
    </row>
    <row r="46" spans="1:89" ht="14.25" customHeight="1">
      <c r="A46" s="39">
        <v>4</v>
      </c>
      <c r="B46" s="39">
        <f>(COUNTIFS(集計用!$G:$G,"*, "&amp;$C46&amp;",*",集計用!$Q:$Q,"&lt;&gt;無回答"))</f>
        <v>9</v>
      </c>
      <c r="C46" s="42" t="s">
        <v>40</v>
      </c>
      <c r="D46" s="41">
        <f>COUNTIFS(集計用!$O:$O, "*, "&amp;D$4&amp;", *",集計用!$G:$G,"*, "&amp;$C46&amp;", *")/$B46*100</f>
        <v>88.888888888888886</v>
      </c>
      <c r="E46" s="41">
        <f>COUNTIFS(集計用!$O:$O, "*, "&amp;E$4&amp;", *",集計用!$G:$G,"*, "&amp;$C46&amp;", *")/$B46*100</f>
        <v>55.555555555555557</v>
      </c>
      <c r="F46" s="41">
        <f>COUNTIFS(集計用!$O:$O, "*, "&amp;F$4&amp;", *",集計用!$G:$G,"*, "&amp;$C46&amp;", *")/$B46*100</f>
        <v>44.444444444444443</v>
      </c>
      <c r="G46" s="41">
        <f>COUNTIFS(集計用!$O:$O, "*, "&amp;G$4&amp;", *",集計用!$G:$G,"*, "&amp;$C46&amp;", *")/$B46*100</f>
        <v>44.444444444444443</v>
      </c>
      <c r="H46" s="41">
        <f>COUNTIFS(集計用!$O:$O, "*, "&amp;H$4&amp;", *",集計用!$G:$G,"*, "&amp;$C46&amp;", *")/$B46*100</f>
        <v>44.444444444444443</v>
      </c>
      <c r="I46" s="41">
        <f>COUNTIFS(集計用!$O:$O, "*, "&amp;I$4&amp;", *",集計用!$G:$G,"*, "&amp;$C46&amp;", *")/$B46*100</f>
        <v>44.444444444444443</v>
      </c>
      <c r="J46" s="41">
        <f>COUNTIFS(集計用!$O:$O, "*, "&amp;J$4&amp;", *",集計用!$G:$G,"*, "&amp;$C46&amp;", *")/$B46*100</f>
        <v>44.444444444444443</v>
      </c>
      <c r="K46" s="41">
        <f>COUNTIFS(集計用!$O:$O, "*, "&amp;K$4&amp;", *",集計用!$G:$G,"*, "&amp;$C46&amp;", *")/$B46*100</f>
        <v>22.222222222222221</v>
      </c>
      <c r="L46" s="41">
        <f>COUNTIFS(集計用!$O:$O, "*, "&amp;L$4&amp;", *",集計用!$G:$G,"*, "&amp;$C46&amp;", *")/$B46*100</f>
        <v>0</v>
      </c>
      <c r="M46" s="41">
        <f>COUNTIFS(集計用!$O:$O, "*, "&amp;M$4&amp;", *",集計用!$G:$G,"*, "&amp;$C46&amp;", *")/$B46*100</f>
        <v>33.333333333333329</v>
      </c>
      <c r="N46" s="41">
        <f>COUNTIFS(集計用!$O:$O, "*, "&amp;N$4&amp;", *",集計用!$G:$G,"*, "&amp;$C46&amp;", *")/$B46*100</f>
        <v>22.222222222222221</v>
      </c>
      <c r="O46" s="41">
        <f>COUNTIFS(集計用!$O:$O, "*, "&amp;O$4&amp;", *",集計用!$G:$G,"*, "&amp;$C46&amp;", *")/$B46*100</f>
        <v>11.111111111111111</v>
      </c>
      <c r="P46" s="41">
        <f>COUNTIFS(集計用!$O:$O, "*, "&amp;P$4&amp;", *",集計用!$G:$G,"*, "&amp;$C46&amp;", *")/$B46*100</f>
        <v>22.222222222222221</v>
      </c>
      <c r="Q46" s="41">
        <f>COUNTIFS(集計用!$O:$O, "*, "&amp;Q$4&amp;", *",集計用!$G:$G,"*, "&amp;$C46&amp;", *")/$B46*100</f>
        <v>11.111111111111111</v>
      </c>
      <c r="R46" s="41">
        <f>COUNTIFS(集計用!$O:$O, "*, "&amp;R$4&amp;", *",集計用!$G:$G,"*, "&amp;$C46&amp;", *")/$B46*100</f>
        <v>22.222222222222221</v>
      </c>
      <c r="S46" s="41">
        <f>COUNTIFS(集計用!$O:$O, "*, "&amp;S$4&amp;", *",集計用!$G:$G,"*, "&amp;$C46&amp;", *")/$B46*100</f>
        <v>11.111111111111111</v>
      </c>
      <c r="T46" s="41">
        <f>COUNTIFS(集計用!$O:$O, "*, "&amp;T$4&amp;", *",集計用!$G:$G,"*, "&amp;$C46&amp;", *")/$B46*100</f>
        <v>0</v>
      </c>
      <c r="V46" s="41">
        <f>COUNTIFS(集計用!$P:$P, "*"&amp;V$4&amp;",*",集計用!$G:$G,"*, "&amp;$C46&amp;", *")/$B46*100</f>
        <v>0</v>
      </c>
      <c r="W46" s="41">
        <f>COUNTIFS(集計用!$P:$P, "*"&amp;W$4&amp;",*",集計用!$G:$G,"*, "&amp;$C46&amp;", *")/$B46*100</f>
        <v>0</v>
      </c>
      <c r="X46" s="41">
        <f>COUNTIFS(集計用!$P:$P, "*"&amp;X$4&amp;",*",集計用!$G:$G,"*, "&amp;$C46&amp;", *")/$B46*100</f>
        <v>0</v>
      </c>
      <c r="Y46" s="41">
        <f>COUNTIFS(集計用!$P:$P, "*"&amp;Y$4&amp;",*",集計用!$G:$G,"*, "&amp;$C46&amp;", *")/$B46*100</f>
        <v>11.111111111111111</v>
      </c>
      <c r="Z46" s="41">
        <f>COUNTIFS(集計用!$P:$P, "*"&amp;Z$4&amp;",*",集計用!$G:$G,"*, "&amp;$C46&amp;", *")/$B46*100</f>
        <v>0</v>
      </c>
      <c r="AA46" s="41">
        <f>COUNTIFS(集計用!$P:$P, "*"&amp;AA$4&amp;",*",集計用!$G:$G,"*, "&amp;$C46&amp;", *")/$B46*100</f>
        <v>0</v>
      </c>
      <c r="AB46" s="41">
        <f>COUNTIFS(集計用!$P:$P, "*"&amp;AB$4&amp;",*",集計用!$G:$G,"*, "&amp;$C46&amp;", *")/$B46*100</f>
        <v>0</v>
      </c>
      <c r="AC46" s="41">
        <f>COUNTIFS(集計用!$P:$P, "*"&amp;AC$4&amp;",*",集計用!$G:$G,"*, "&amp;$C46&amp;", *")/$B46*100</f>
        <v>0</v>
      </c>
      <c r="AD46" s="41">
        <f>COUNTIFS(集計用!$P:$P, "*"&amp;AD$4&amp;",*",集計用!$G:$G,"*, "&amp;$C46&amp;", *")/$B46*100</f>
        <v>0</v>
      </c>
      <c r="AE46" s="41">
        <f>COUNTIFS(集計用!$P:$P, "*"&amp;AE$4&amp;",*",集計用!$G:$G,"*, "&amp;$C46&amp;", *")/$B46*100</f>
        <v>0</v>
      </c>
      <c r="AF46" s="41">
        <f>COUNTIFS(集計用!$P:$P, "*"&amp;AF$4&amp;",*",集計用!$G:$G,"*, "&amp;$C46&amp;", *")/$B46*100</f>
        <v>0</v>
      </c>
      <c r="AG46" s="41">
        <f>COUNTIFS(集計用!$P:$P, "*"&amp;AG$4&amp;",*",集計用!$G:$G,"*, "&amp;$C46&amp;", *")/$B46*100</f>
        <v>0</v>
      </c>
      <c r="AH46" s="41">
        <f>COUNTIFS(集計用!$P:$P, "*"&amp;AH$4&amp;",*",集計用!$G:$G,"*, "&amp;$C46&amp;", *")/$B46*100</f>
        <v>0</v>
      </c>
      <c r="AI46" s="41">
        <f>COUNTIFS(集計用!$P:$P, "*"&amp;AI$4&amp;",*",集計用!$G:$G,"*, "&amp;$C46&amp;", *")/$B46*100</f>
        <v>0</v>
      </c>
      <c r="AJ46" s="41">
        <f>COUNTIFS(集計用!$P:$P, "*"&amp;AJ$4&amp;",*",集計用!$G:$G,"*, "&amp;$C46&amp;", *")/$B46*100</f>
        <v>0</v>
      </c>
      <c r="AK46" s="41">
        <f>COUNTIFS(集計用!$P:$P, "*"&amp;AK$4&amp;",*",集計用!$G:$G,"*, "&amp;$C46&amp;", *")/$B46*100</f>
        <v>0</v>
      </c>
      <c r="AL46" s="41">
        <f>COUNTIFS(集計用!$P:$P, "*"&amp;AL$4&amp;",*",集計用!$G:$G,"*, "&amp;$C46&amp;", *")/$B46*100</f>
        <v>0</v>
      </c>
      <c r="AM46" s="41">
        <f>COUNTIFS(集計用!$P:$P, "*"&amp;AM$4&amp;",*",集計用!$G:$G,"*, "&amp;$C46&amp;", *")/$B46*100</f>
        <v>0</v>
      </c>
      <c r="AN46" s="41">
        <f>COUNTIFS(集計用!$P:$P, "*"&amp;AN$4&amp;",*",集計用!$G:$G,"*, "&amp;$C46&amp;", *")/$B46*100</f>
        <v>0</v>
      </c>
      <c r="AO46" s="41">
        <f>COUNTIFS(集計用!$P:$P, "*"&amp;AO$4&amp;",*",集計用!$G:$G,"*, "&amp;$C46&amp;", *")/$B46*100</f>
        <v>0</v>
      </c>
      <c r="AP46" s="41">
        <f>COUNTIFS(集計用!$P:$P, "*"&amp;AP$4&amp;",*",集計用!$G:$G,"*, "&amp;$C46&amp;", *")/$B46*100</f>
        <v>0</v>
      </c>
      <c r="AQ46" s="41">
        <f>COUNTIFS(集計用!$P:$P, "*"&amp;AQ$4&amp;",*",集計用!$G:$G,"*, "&amp;$C46&amp;", *")/$B46*100</f>
        <v>0</v>
      </c>
      <c r="AR46" s="41">
        <f>COUNTIFS(集計用!$P:$P, "*"&amp;AR$4&amp;",*",集計用!$G:$G,"*, "&amp;$C46&amp;", *")/$B46*100</f>
        <v>0</v>
      </c>
      <c r="AS46" s="41">
        <f>COUNTIFS(集計用!$P:$P, "*"&amp;AS$4&amp;",*",集計用!$G:$G,"*, "&amp;$C46&amp;", *")/$B46*100</f>
        <v>0</v>
      </c>
      <c r="AT46" s="41">
        <f>COUNTIFS(集計用!$P:$P, "*"&amp;AT$4&amp;",*",集計用!$G:$G,"*, "&amp;$C46&amp;", *")/$B46*100</f>
        <v>0</v>
      </c>
      <c r="AU46" s="41">
        <f>COUNTIFS(集計用!$P:$P, "*"&amp;AU$4&amp;",*",集計用!$G:$G,"*, "&amp;$C46&amp;", *")/$B46*100</f>
        <v>0</v>
      </c>
      <c r="AV46" s="41">
        <f>COUNTIFS(集計用!$P:$P, "*"&amp;AV$4&amp;",*",集計用!$G:$G,"*, "&amp;$C46&amp;", *")/$B46*100</f>
        <v>0</v>
      </c>
      <c r="AW46" s="41">
        <f>COUNTIFS(集計用!$P:$P, "*"&amp;AW$4&amp;",*",集計用!$G:$G,"*, "&amp;$C46&amp;", *")/$B46*100</f>
        <v>0</v>
      </c>
      <c r="AX46" s="41">
        <f>COUNTIFS(集計用!$P:$P, "*"&amp;AX$4&amp;",*",集計用!$G:$G,"*, "&amp;$C46&amp;", *")/$B46*100</f>
        <v>0</v>
      </c>
      <c r="AY46" s="41">
        <f>COUNTIFS(集計用!$P:$P, "*"&amp;AY$4&amp;",*",集計用!$G:$G,"*, "&amp;$C46&amp;", *")/$B46*100</f>
        <v>0</v>
      </c>
      <c r="AZ46" s="41">
        <f>COUNTIFS(集計用!$P:$P, "*"&amp;AZ$4&amp;",*",集計用!$G:$G,"*, "&amp;$C46&amp;", *")/$B46*100</f>
        <v>0</v>
      </c>
      <c r="BA46" s="41">
        <f>COUNTIFS(集計用!$P:$P, "*"&amp;BA$4&amp;",*",集計用!$G:$G,"*, "&amp;$C46&amp;", *")/$B46*100</f>
        <v>0</v>
      </c>
      <c r="BB46" s="41">
        <f>COUNTIFS(集計用!$P:$P, "*"&amp;BB$4&amp;",*",集計用!$G:$G,"*, "&amp;$C46&amp;", *")/$B46*100</f>
        <v>0</v>
      </c>
      <c r="BC46" s="41">
        <f>COUNTIFS(集計用!$P:$P, "*"&amp;BC$4&amp;",*",集計用!$G:$G,"*, "&amp;$C46&amp;", *")/$B46*100</f>
        <v>11.111111111111111</v>
      </c>
      <c r="BD46" s="41">
        <f>COUNTIFS(集計用!$P:$P, "*"&amp;BD$4&amp;",*",集計用!$G:$G,"*, "&amp;$C46&amp;", *")/$B46*100</f>
        <v>0</v>
      </c>
      <c r="BE46" s="41">
        <f>COUNTIFS(集計用!$P:$P, "*"&amp;BE$4&amp;",*",集計用!$G:$G,"*, "&amp;$C46&amp;", *")/$B46*100</f>
        <v>0</v>
      </c>
      <c r="BF46" s="41">
        <f>COUNTIFS(集計用!$P:$P, "*"&amp;BF$4&amp;",*",集計用!$G:$G,"*, "&amp;$C46&amp;", *")/$B46*100</f>
        <v>0</v>
      </c>
      <c r="BG46" s="41">
        <f>COUNTIFS(集計用!$P:$P, "*"&amp;BG$4&amp;",*",集計用!$G:$G,"*, "&amp;$C46&amp;", *")/$B46*100</f>
        <v>0</v>
      </c>
      <c r="BH46" s="41">
        <f>COUNTIFS(集計用!$P:$P, "*"&amp;BH$4&amp;",*",集計用!$G:$G,"*, "&amp;$C46&amp;", *")/$B46*100</f>
        <v>0</v>
      </c>
      <c r="BI46" s="41">
        <f>COUNTIFS(集計用!$P:$P, "*"&amp;BI$4&amp;",*",集計用!$G:$G,"*, "&amp;$C46&amp;", *")/$B46*100</f>
        <v>0</v>
      </c>
      <c r="BJ46" s="41">
        <f>COUNTIFS(集計用!$P:$P, "*"&amp;BJ$4&amp;",*",集計用!$G:$G,"*, "&amp;$C46&amp;", *")/$B46*100</f>
        <v>0</v>
      </c>
      <c r="BK46" s="41">
        <f>COUNTIFS(集計用!$P:$P, "*"&amp;BK$4&amp;",*",集計用!$G:$G,"*, "&amp;$C46&amp;", *")/$B46*100</f>
        <v>0</v>
      </c>
      <c r="BL46" s="41">
        <f>COUNTIFS(集計用!$P:$P, "*"&amp;BL$4&amp;",*",集計用!$G:$G,"*, "&amp;$C46&amp;", *")/$B46*100</f>
        <v>0</v>
      </c>
      <c r="BM46" s="41">
        <f>COUNTIFS(集計用!$P:$P, "*"&amp;BM$4&amp;",*",集計用!$G:$G,"*, "&amp;$C46&amp;", *")/$B46*100</f>
        <v>0</v>
      </c>
      <c r="BN46" s="41">
        <f>COUNTIFS(集計用!$P:$P, "*"&amp;BN$4&amp;",*",集計用!$G:$G,"*, "&amp;$C46&amp;", *")/$B46*100</f>
        <v>0</v>
      </c>
      <c r="BO46" s="41">
        <f>COUNTIFS(集計用!$P:$P, "*"&amp;BO$4&amp;",*",集計用!$G:$G,"*, "&amp;$C46&amp;", *")/$B46*100</f>
        <v>0</v>
      </c>
      <c r="BP46" s="41">
        <f>COUNTIFS(集計用!$P:$P, "*"&amp;BP$4&amp;",*",集計用!$G:$G,"*, "&amp;$C46&amp;", *")/$B46*100</f>
        <v>0</v>
      </c>
      <c r="BQ46" s="41">
        <f>COUNTIFS(集計用!$P:$P, "*"&amp;BQ$4&amp;",*",集計用!$G:$G,"*, "&amp;$C46&amp;", *")/$B46*100</f>
        <v>0</v>
      </c>
      <c r="BR46" s="41">
        <f>COUNTIFS(集計用!$P:$P, "*"&amp;BR$4&amp;",*",集計用!$G:$G,"*, "&amp;$C46&amp;", *")/$B46*100</f>
        <v>0</v>
      </c>
      <c r="BS46" s="41">
        <f>COUNTIFS(集計用!$P:$P, "*"&amp;BS$4&amp;",*",集計用!$G:$G,"*, "&amp;$C46&amp;", *")/$B46*100</f>
        <v>0</v>
      </c>
      <c r="BT46" s="41">
        <f>COUNTIFS(集計用!$P:$P, "*"&amp;BT$4&amp;",*",集計用!$G:$G,"*, "&amp;$C46&amp;", *")/$B46*100</f>
        <v>0</v>
      </c>
      <c r="BU46" s="41"/>
      <c r="BV46" s="41"/>
      <c r="BW46" s="41"/>
      <c r="BX46" s="41"/>
      <c r="BY46" s="41"/>
      <c r="BZ46" s="41"/>
      <c r="CA46" s="41"/>
      <c r="CB46" s="41"/>
      <c r="CC46" s="41"/>
      <c r="CD46" s="41"/>
      <c r="CE46" s="41"/>
      <c r="CF46" s="41"/>
      <c r="CG46" s="41"/>
      <c r="CH46" s="41"/>
      <c r="CI46" s="41"/>
      <c r="CJ46" s="41"/>
      <c r="CK46" s="41"/>
    </row>
    <row r="47" spans="1:89" ht="14.25" customHeight="1">
      <c r="A47" s="39">
        <v>6</v>
      </c>
      <c r="B47" s="39">
        <f>(COUNTIFS(集計用!$G:$G,"*, "&amp;$C47&amp;",*",集計用!$Q:$Q,"&lt;&gt;無回答"))</f>
        <v>9</v>
      </c>
      <c r="C47" s="42" t="s">
        <v>41</v>
      </c>
      <c r="D47" s="41">
        <f>COUNTIFS(集計用!$O:$O, "*, "&amp;D$4&amp;", *",集計用!$G:$G,"*, "&amp;$C47&amp;", *")/$B47*100</f>
        <v>66.666666666666657</v>
      </c>
      <c r="E47" s="41">
        <f>COUNTIFS(集計用!$O:$O, "*, "&amp;E$4&amp;", *",集計用!$G:$G,"*, "&amp;$C47&amp;", *")/$B47*100</f>
        <v>44.444444444444443</v>
      </c>
      <c r="F47" s="41">
        <f>COUNTIFS(集計用!$O:$O, "*, "&amp;F$4&amp;", *",集計用!$G:$G,"*, "&amp;$C47&amp;", *")/$B47*100</f>
        <v>55.555555555555557</v>
      </c>
      <c r="G47" s="41">
        <f>COUNTIFS(集計用!$O:$O, "*, "&amp;G$4&amp;", *",集計用!$G:$G,"*, "&amp;$C47&amp;", *")/$B47*100</f>
        <v>0</v>
      </c>
      <c r="H47" s="41">
        <f>COUNTIFS(集計用!$O:$O, "*, "&amp;H$4&amp;", *",集計用!$G:$G,"*, "&amp;$C47&amp;", *")/$B47*100</f>
        <v>11.111111111111111</v>
      </c>
      <c r="I47" s="41">
        <f>COUNTIFS(集計用!$O:$O, "*, "&amp;I$4&amp;", *",集計用!$G:$G,"*, "&amp;$C47&amp;", *")/$B47*100</f>
        <v>11.111111111111111</v>
      </c>
      <c r="J47" s="41">
        <f>COUNTIFS(集計用!$O:$O, "*, "&amp;J$4&amp;", *",集計用!$G:$G,"*, "&amp;$C47&amp;", *")/$B47*100</f>
        <v>33.333333333333329</v>
      </c>
      <c r="K47" s="41">
        <f>COUNTIFS(集計用!$O:$O, "*, "&amp;K$4&amp;", *",集計用!$G:$G,"*, "&amp;$C47&amp;", *")/$B47*100</f>
        <v>11.111111111111111</v>
      </c>
      <c r="L47" s="41">
        <f>COUNTIFS(集計用!$O:$O, "*, "&amp;L$4&amp;", *",集計用!$G:$G,"*, "&amp;$C47&amp;", *")/$B47*100</f>
        <v>11.111111111111111</v>
      </c>
      <c r="M47" s="41">
        <f>COUNTIFS(集計用!$O:$O, "*, "&amp;M$4&amp;", *",集計用!$G:$G,"*, "&amp;$C47&amp;", *")/$B47*100</f>
        <v>11.111111111111111</v>
      </c>
      <c r="N47" s="41">
        <f>COUNTIFS(集計用!$O:$O, "*, "&amp;N$4&amp;", *",集計用!$G:$G,"*, "&amp;$C47&amp;", *")/$B47*100</f>
        <v>11.111111111111111</v>
      </c>
      <c r="O47" s="41">
        <f>COUNTIFS(集計用!$O:$O, "*, "&amp;O$4&amp;", *",集計用!$G:$G,"*, "&amp;$C47&amp;", *")/$B47*100</f>
        <v>11.111111111111111</v>
      </c>
      <c r="P47" s="41">
        <f>COUNTIFS(集計用!$O:$O, "*, "&amp;P$4&amp;", *",集計用!$G:$G,"*, "&amp;$C47&amp;", *")/$B47*100</f>
        <v>44.444444444444443</v>
      </c>
      <c r="Q47" s="41">
        <f>COUNTIFS(集計用!$O:$O, "*, "&amp;Q$4&amp;", *",集計用!$G:$G,"*, "&amp;$C47&amp;", *")/$B47*100</f>
        <v>33.333333333333329</v>
      </c>
      <c r="R47" s="41">
        <f>COUNTIFS(集計用!$O:$O, "*, "&amp;R$4&amp;", *",集計用!$G:$G,"*, "&amp;$C47&amp;", *")/$B47*100</f>
        <v>22.222222222222221</v>
      </c>
      <c r="S47" s="41">
        <f>COUNTIFS(集計用!$O:$O, "*, "&amp;S$4&amp;", *",集計用!$G:$G,"*, "&amp;$C47&amp;", *")/$B47*100</f>
        <v>11.111111111111111</v>
      </c>
      <c r="T47" s="41">
        <f>COUNTIFS(集計用!$O:$O, "*, "&amp;T$4&amp;", *",集計用!$G:$G,"*, "&amp;$C47&amp;", *")/$B47*100</f>
        <v>0</v>
      </c>
      <c r="V47" s="41">
        <f>COUNTIFS(集計用!$P:$P, "*"&amp;V$4&amp;",*",集計用!$G:$G,"*, "&amp;$C47&amp;", *")/$B47*100</f>
        <v>11.111111111111111</v>
      </c>
      <c r="W47" s="41">
        <f>COUNTIFS(集計用!$P:$P, "*"&amp;W$4&amp;",*",集計用!$G:$G,"*, "&amp;$C47&amp;", *")/$B47*100</f>
        <v>0</v>
      </c>
      <c r="X47" s="41">
        <f>COUNTIFS(集計用!$P:$P, "*"&amp;X$4&amp;",*",集計用!$G:$G,"*, "&amp;$C47&amp;", *")/$B47*100</f>
        <v>0</v>
      </c>
      <c r="Y47" s="41">
        <f>COUNTIFS(集計用!$P:$P, "*"&amp;Y$4&amp;",*",集計用!$G:$G,"*, "&amp;$C47&amp;", *")/$B47*100</f>
        <v>0</v>
      </c>
      <c r="Z47" s="41">
        <f>COUNTIFS(集計用!$P:$P, "*"&amp;Z$4&amp;",*",集計用!$G:$G,"*, "&amp;$C47&amp;", *")/$B47*100</f>
        <v>0</v>
      </c>
      <c r="AA47" s="41">
        <f>COUNTIFS(集計用!$P:$P, "*"&amp;AA$4&amp;",*",集計用!$G:$G,"*, "&amp;$C47&amp;", *")/$B47*100</f>
        <v>0</v>
      </c>
      <c r="AB47" s="41">
        <f>COUNTIFS(集計用!$P:$P, "*"&amp;AB$4&amp;",*",集計用!$G:$G,"*, "&amp;$C47&amp;", *")/$B47*100</f>
        <v>0</v>
      </c>
      <c r="AC47" s="41">
        <f>COUNTIFS(集計用!$P:$P, "*"&amp;AC$4&amp;",*",集計用!$G:$G,"*, "&amp;$C47&amp;", *")/$B47*100</f>
        <v>0</v>
      </c>
      <c r="AD47" s="41">
        <f>COUNTIFS(集計用!$P:$P, "*"&amp;AD$4&amp;",*",集計用!$G:$G,"*, "&amp;$C47&amp;", *")/$B47*100</f>
        <v>0</v>
      </c>
      <c r="AE47" s="41">
        <f>COUNTIFS(集計用!$P:$P, "*"&amp;AE$4&amp;",*",集計用!$G:$G,"*, "&amp;$C47&amp;", *")/$B47*100</f>
        <v>0</v>
      </c>
      <c r="AF47" s="41">
        <f>COUNTIFS(集計用!$P:$P, "*"&amp;AF$4&amp;",*",集計用!$G:$G,"*, "&amp;$C47&amp;", *")/$B47*100</f>
        <v>0</v>
      </c>
      <c r="AG47" s="41">
        <f>COUNTIFS(集計用!$P:$P, "*"&amp;AG$4&amp;",*",集計用!$G:$G,"*, "&amp;$C47&amp;", *")/$B47*100</f>
        <v>0</v>
      </c>
      <c r="AH47" s="41">
        <f>COUNTIFS(集計用!$P:$P, "*"&amp;AH$4&amp;",*",集計用!$G:$G,"*, "&amp;$C47&amp;", *")/$B47*100</f>
        <v>0</v>
      </c>
      <c r="AI47" s="41">
        <f>COUNTIFS(集計用!$P:$P, "*"&amp;AI$4&amp;",*",集計用!$G:$G,"*, "&amp;$C47&amp;", *")/$B47*100</f>
        <v>0</v>
      </c>
      <c r="AJ47" s="41">
        <f>COUNTIFS(集計用!$P:$P, "*"&amp;AJ$4&amp;",*",集計用!$G:$G,"*, "&amp;$C47&amp;", *")/$B47*100</f>
        <v>0</v>
      </c>
      <c r="AK47" s="41">
        <f>COUNTIFS(集計用!$P:$P, "*"&amp;AK$4&amp;",*",集計用!$G:$G,"*, "&amp;$C47&amp;", *")/$B47*100</f>
        <v>0</v>
      </c>
      <c r="AL47" s="41">
        <f>COUNTIFS(集計用!$P:$P, "*"&amp;AL$4&amp;",*",集計用!$G:$G,"*, "&amp;$C47&amp;", *")/$B47*100</f>
        <v>0</v>
      </c>
      <c r="AM47" s="41">
        <f>COUNTIFS(集計用!$P:$P, "*"&amp;AM$4&amp;",*",集計用!$G:$G,"*, "&amp;$C47&amp;", *")/$B47*100</f>
        <v>0</v>
      </c>
      <c r="AN47" s="41">
        <f>COUNTIFS(集計用!$P:$P, "*"&amp;AN$4&amp;",*",集計用!$G:$G,"*, "&amp;$C47&amp;", *")/$B47*100</f>
        <v>0</v>
      </c>
      <c r="AO47" s="41">
        <f>COUNTIFS(集計用!$P:$P, "*"&amp;AO$4&amp;",*",集計用!$G:$G,"*, "&amp;$C47&amp;", *")/$B47*100</f>
        <v>0</v>
      </c>
      <c r="AP47" s="41">
        <f>COUNTIFS(集計用!$P:$P, "*"&amp;AP$4&amp;",*",集計用!$G:$G,"*, "&amp;$C47&amp;", *")/$B47*100</f>
        <v>0</v>
      </c>
      <c r="AQ47" s="41">
        <f>COUNTIFS(集計用!$P:$P, "*"&amp;AQ$4&amp;",*",集計用!$G:$G,"*, "&amp;$C47&amp;", *")/$B47*100</f>
        <v>0</v>
      </c>
      <c r="AR47" s="41">
        <f>COUNTIFS(集計用!$P:$P, "*"&amp;AR$4&amp;",*",集計用!$G:$G,"*, "&amp;$C47&amp;", *")/$B47*100</f>
        <v>0</v>
      </c>
      <c r="AS47" s="41">
        <f>COUNTIFS(集計用!$P:$P, "*"&amp;AS$4&amp;",*",集計用!$G:$G,"*, "&amp;$C47&amp;", *")/$B47*100</f>
        <v>0</v>
      </c>
      <c r="AT47" s="41">
        <f>COUNTIFS(集計用!$P:$P, "*"&amp;AT$4&amp;",*",集計用!$G:$G,"*, "&amp;$C47&amp;", *")/$B47*100</f>
        <v>0</v>
      </c>
      <c r="AU47" s="41">
        <f>COUNTIFS(集計用!$P:$P, "*"&amp;AU$4&amp;",*",集計用!$G:$G,"*, "&amp;$C47&amp;", *")/$B47*100</f>
        <v>0</v>
      </c>
      <c r="AV47" s="41">
        <f>COUNTIFS(集計用!$P:$P, "*"&amp;AV$4&amp;",*",集計用!$G:$G,"*, "&amp;$C47&amp;", *")/$B47*100</f>
        <v>0</v>
      </c>
      <c r="AW47" s="41">
        <f>COUNTIFS(集計用!$P:$P, "*"&amp;AW$4&amp;",*",集計用!$G:$G,"*, "&amp;$C47&amp;", *")/$B47*100</f>
        <v>0</v>
      </c>
      <c r="AX47" s="41">
        <f>COUNTIFS(集計用!$P:$P, "*"&amp;AX$4&amp;",*",集計用!$G:$G,"*, "&amp;$C47&amp;", *")/$B47*100</f>
        <v>0</v>
      </c>
      <c r="AY47" s="41">
        <f>COUNTIFS(集計用!$P:$P, "*"&amp;AY$4&amp;",*",集計用!$G:$G,"*, "&amp;$C47&amp;", *")/$B47*100</f>
        <v>0</v>
      </c>
      <c r="AZ47" s="41">
        <f>COUNTIFS(集計用!$P:$P, "*"&amp;AZ$4&amp;",*",集計用!$G:$G,"*, "&amp;$C47&amp;", *")/$B47*100</f>
        <v>0</v>
      </c>
      <c r="BA47" s="41">
        <f>COUNTIFS(集計用!$P:$P, "*"&amp;BA$4&amp;",*",集計用!$G:$G,"*, "&amp;$C47&amp;", *")/$B47*100</f>
        <v>0</v>
      </c>
      <c r="BB47" s="41">
        <f>COUNTIFS(集計用!$P:$P, "*"&amp;BB$4&amp;",*",集計用!$G:$G,"*, "&amp;$C47&amp;", *")/$B47*100</f>
        <v>0</v>
      </c>
      <c r="BC47" s="41">
        <f>COUNTIFS(集計用!$P:$P, "*"&amp;BC$4&amp;",*",集計用!$G:$G,"*, "&amp;$C47&amp;", *")/$B47*100</f>
        <v>0</v>
      </c>
      <c r="BD47" s="41">
        <f>COUNTIFS(集計用!$P:$P, "*"&amp;BD$4&amp;",*",集計用!$G:$G,"*, "&amp;$C47&amp;", *")/$B47*100</f>
        <v>0</v>
      </c>
      <c r="BE47" s="41">
        <f>COUNTIFS(集計用!$P:$P, "*"&amp;BE$4&amp;",*",集計用!$G:$G,"*, "&amp;$C47&amp;", *")/$B47*100</f>
        <v>0</v>
      </c>
      <c r="BF47" s="41">
        <f>COUNTIFS(集計用!$P:$P, "*"&amp;BF$4&amp;",*",集計用!$G:$G,"*, "&amp;$C47&amp;", *")/$B47*100</f>
        <v>0</v>
      </c>
      <c r="BG47" s="41">
        <f>COUNTIFS(集計用!$P:$P, "*"&amp;BG$4&amp;",*",集計用!$G:$G,"*, "&amp;$C47&amp;", *")/$B47*100</f>
        <v>0</v>
      </c>
      <c r="BH47" s="41">
        <f>COUNTIFS(集計用!$P:$P, "*"&amp;BH$4&amp;",*",集計用!$G:$G,"*, "&amp;$C47&amp;", *")/$B47*100</f>
        <v>0</v>
      </c>
      <c r="BI47" s="41">
        <f>COUNTIFS(集計用!$P:$P, "*"&amp;BI$4&amp;",*",集計用!$G:$G,"*, "&amp;$C47&amp;", *")/$B47*100</f>
        <v>0</v>
      </c>
      <c r="BJ47" s="41">
        <f>COUNTIFS(集計用!$P:$P, "*"&amp;BJ$4&amp;",*",集計用!$G:$G,"*, "&amp;$C47&amp;", *")/$B47*100</f>
        <v>0</v>
      </c>
      <c r="BK47" s="41">
        <f>COUNTIFS(集計用!$P:$P, "*"&amp;BK$4&amp;",*",集計用!$G:$G,"*, "&amp;$C47&amp;", *")/$B47*100</f>
        <v>0</v>
      </c>
      <c r="BL47" s="41">
        <f>COUNTIFS(集計用!$P:$P, "*"&amp;BL$4&amp;",*",集計用!$G:$G,"*, "&amp;$C47&amp;", *")/$B47*100</f>
        <v>0</v>
      </c>
      <c r="BM47" s="41">
        <f>COUNTIFS(集計用!$P:$P, "*"&amp;BM$4&amp;",*",集計用!$G:$G,"*, "&amp;$C47&amp;", *")/$B47*100</f>
        <v>0</v>
      </c>
      <c r="BN47" s="41">
        <f>COUNTIFS(集計用!$P:$P, "*"&amp;BN$4&amp;",*",集計用!$G:$G,"*, "&amp;$C47&amp;", *")/$B47*100</f>
        <v>0</v>
      </c>
      <c r="BO47" s="41">
        <f>COUNTIFS(集計用!$P:$P, "*"&amp;BO$4&amp;",*",集計用!$G:$G,"*, "&amp;$C47&amp;", *")/$B47*100</f>
        <v>0</v>
      </c>
      <c r="BP47" s="41">
        <f>COUNTIFS(集計用!$P:$P, "*"&amp;BP$4&amp;",*",集計用!$G:$G,"*, "&amp;$C47&amp;", *")/$B47*100</f>
        <v>0</v>
      </c>
      <c r="BQ47" s="41">
        <f>COUNTIFS(集計用!$P:$P, "*"&amp;BQ$4&amp;",*",集計用!$G:$G,"*, "&amp;$C47&amp;", *")/$B47*100</f>
        <v>0</v>
      </c>
      <c r="BR47" s="41">
        <f>COUNTIFS(集計用!$P:$P, "*"&amp;BR$4&amp;",*",集計用!$G:$G,"*, "&amp;$C47&amp;", *")/$B47*100</f>
        <v>0</v>
      </c>
      <c r="BS47" s="41">
        <f>COUNTIFS(集計用!$P:$P, "*"&amp;BS$4&amp;",*",集計用!$G:$G,"*, "&amp;$C47&amp;", *")/$B47*100</f>
        <v>0</v>
      </c>
      <c r="BT47" s="41">
        <f>COUNTIFS(集計用!$P:$P, "*"&amp;BT$4&amp;",*",集計用!$G:$G,"*, "&amp;$C47&amp;", *")/$B47*100</f>
        <v>0</v>
      </c>
      <c r="BU47" s="41"/>
      <c r="BV47" s="41"/>
      <c r="BW47" s="41"/>
      <c r="BX47" s="41"/>
      <c r="BY47" s="41"/>
      <c r="BZ47" s="41"/>
      <c r="CA47" s="41"/>
      <c r="CB47" s="41"/>
      <c r="CC47" s="41"/>
      <c r="CD47" s="41"/>
      <c r="CE47" s="41"/>
      <c r="CF47" s="41"/>
      <c r="CG47" s="41"/>
      <c r="CH47" s="41"/>
      <c r="CI47" s="41"/>
      <c r="CJ47" s="41"/>
      <c r="CK47" s="41"/>
    </row>
    <row r="48" spans="1:89" ht="12.75">
      <c r="A48" s="39">
        <v>4</v>
      </c>
      <c r="B48" s="39">
        <f>(COUNTIFS(集計用!$G:$G,"*, "&amp;$C48&amp;",*",集計用!$Q:$Q,"&lt;&gt;無回答"))</f>
        <v>8</v>
      </c>
      <c r="C48" s="42" t="s">
        <v>44</v>
      </c>
      <c r="D48" s="41">
        <f>COUNTIFS(集計用!$O:$O, "*, "&amp;D$4&amp;", *",集計用!$G:$G,"*, "&amp;$C48&amp;", *")/$B48*100</f>
        <v>75</v>
      </c>
      <c r="E48" s="41">
        <f>COUNTIFS(集計用!$O:$O, "*, "&amp;E$4&amp;", *",集計用!$G:$G,"*, "&amp;$C48&amp;", *")/$B48*100</f>
        <v>75</v>
      </c>
      <c r="F48" s="41">
        <f>COUNTIFS(集計用!$O:$O, "*, "&amp;F$4&amp;", *",集計用!$G:$G,"*, "&amp;$C48&amp;", *")/$B48*100</f>
        <v>50</v>
      </c>
      <c r="G48" s="41">
        <f>COUNTIFS(集計用!$O:$O, "*, "&amp;G$4&amp;", *",集計用!$G:$G,"*, "&amp;$C48&amp;", *")/$B48*100</f>
        <v>25</v>
      </c>
      <c r="H48" s="41">
        <f>COUNTIFS(集計用!$O:$O, "*, "&amp;H$4&amp;", *",集計用!$G:$G,"*, "&amp;$C48&amp;", *")/$B48*100</f>
        <v>12.5</v>
      </c>
      <c r="I48" s="41">
        <f>COUNTIFS(集計用!$O:$O, "*, "&amp;I$4&amp;", *",集計用!$G:$G,"*, "&amp;$C48&amp;", *")/$B48*100</f>
        <v>25</v>
      </c>
      <c r="J48" s="41">
        <f>COUNTIFS(集計用!$O:$O, "*, "&amp;J$4&amp;", *",集計用!$G:$G,"*, "&amp;$C48&amp;", *")/$B48*100</f>
        <v>12.5</v>
      </c>
      <c r="K48" s="41">
        <f>COUNTIFS(集計用!$O:$O, "*, "&amp;K$4&amp;", *",集計用!$G:$G,"*, "&amp;$C48&amp;", *")/$B48*100</f>
        <v>25</v>
      </c>
      <c r="L48" s="41">
        <f>COUNTIFS(集計用!$O:$O, "*, "&amp;L$4&amp;", *",集計用!$G:$G,"*, "&amp;$C48&amp;", *")/$B48*100</f>
        <v>12.5</v>
      </c>
      <c r="M48" s="41">
        <f>COUNTIFS(集計用!$O:$O, "*, "&amp;M$4&amp;", *",集計用!$G:$G,"*, "&amp;$C48&amp;", *")/$B48*100</f>
        <v>12.5</v>
      </c>
      <c r="N48" s="41">
        <f>COUNTIFS(集計用!$O:$O, "*, "&amp;N$4&amp;", *",集計用!$G:$G,"*, "&amp;$C48&amp;", *")/$B48*100</f>
        <v>50</v>
      </c>
      <c r="O48" s="41">
        <f>COUNTIFS(集計用!$O:$O, "*, "&amp;O$4&amp;", *",集計用!$G:$G,"*, "&amp;$C48&amp;", *")/$B48*100</f>
        <v>12.5</v>
      </c>
      <c r="P48" s="41">
        <f>COUNTIFS(集計用!$O:$O, "*, "&amp;P$4&amp;", *",集計用!$G:$G,"*, "&amp;$C48&amp;", *")/$B48*100</f>
        <v>12.5</v>
      </c>
      <c r="Q48" s="41">
        <f>COUNTIFS(集計用!$O:$O, "*, "&amp;Q$4&amp;", *",集計用!$G:$G,"*, "&amp;$C48&amp;", *")/$B48*100</f>
        <v>12.5</v>
      </c>
      <c r="R48" s="41">
        <f>COUNTIFS(集計用!$O:$O, "*, "&amp;R$4&amp;", *",集計用!$G:$G,"*, "&amp;$C48&amp;", *")/$B48*100</f>
        <v>25</v>
      </c>
      <c r="S48" s="41">
        <f>COUNTIFS(集計用!$O:$O, "*, "&amp;S$4&amp;", *",集計用!$G:$G,"*, "&amp;$C48&amp;", *")/$B48*100</f>
        <v>12.5</v>
      </c>
      <c r="T48" s="41">
        <f>COUNTIFS(集計用!$O:$O, "*, "&amp;T$4&amp;", *",集計用!$G:$G,"*, "&amp;$C48&amp;", *")/$B48*100</f>
        <v>0</v>
      </c>
      <c r="V48" s="41">
        <f>COUNTIFS(集計用!$P:$P, "*"&amp;V$4&amp;",*",集計用!$G:$G,"*, "&amp;$C48&amp;", *")/$B48*100</f>
        <v>12.5</v>
      </c>
      <c r="W48" s="41">
        <f>COUNTIFS(集計用!$P:$P, "*"&amp;W$4&amp;",*",集計用!$G:$G,"*, "&amp;$C48&amp;", *")/$B48*100</f>
        <v>0</v>
      </c>
      <c r="X48" s="41">
        <f>COUNTIFS(集計用!$P:$P, "*"&amp;X$4&amp;",*",集計用!$G:$G,"*, "&amp;$C48&amp;", *")/$B48*100</f>
        <v>12.5</v>
      </c>
      <c r="Y48" s="41">
        <f>COUNTIFS(集計用!$P:$P, "*"&amp;Y$4&amp;",*",集計用!$G:$G,"*, "&amp;$C48&amp;", *")/$B48*100</f>
        <v>0</v>
      </c>
      <c r="Z48" s="41">
        <f>COUNTIFS(集計用!$P:$P, "*"&amp;Z$4&amp;",*",集計用!$G:$G,"*, "&amp;$C48&amp;", *")/$B48*100</f>
        <v>0</v>
      </c>
      <c r="AA48" s="41">
        <f>COUNTIFS(集計用!$P:$P, "*"&amp;AA$4&amp;",*",集計用!$G:$G,"*, "&amp;$C48&amp;", *")/$B48*100</f>
        <v>0</v>
      </c>
      <c r="AB48" s="41">
        <f>COUNTIFS(集計用!$P:$P, "*"&amp;AB$4&amp;",*",集計用!$G:$G,"*, "&amp;$C48&amp;", *")/$B48*100</f>
        <v>0</v>
      </c>
      <c r="AC48" s="41">
        <f>COUNTIFS(集計用!$P:$P, "*"&amp;AC$4&amp;",*",集計用!$G:$G,"*, "&amp;$C48&amp;", *")/$B48*100</f>
        <v>0</v>
      </c>
      <c r="AD48" s="41">
        <f>COUNTIFS(集計用!$P:$P, "*"&amp;AD$4&amp;",*",集計用!$G:$G,"*, "&amp;$C48&amp;", *")/$B48*100</f>
        <v>0</v>
      </c>
      <c r="AE48" s="41">
        <f>COUNTIFS(集計用!$P:$P, "*"&amp;AE$4&amp;",*",集計用!$G:$G,"*, "&amp;$C48&amp;", *")/$B48*100</f>
        <v>0</v>
      </c>
      <c r="AF48" s="41">
        <f>COUNTIFS(集計用!$P:$P, "*"&amp;AF$4&amp;",*",集計用!$G:$G,"*, "&amp;$C48&amp;", *")/$B48*100</f>
        <v>0</v>
      </c>
      <c r="AG48" s="41">
        <f>COUNTIFS(集計用!$P:$P, "*"&amp;AG$4&amp;",*",集計用!$G:$G,"*, "&amp;$C48&amp;", *")/$B48*100</f>
        <v>0</v>
      </c>
      <c r="AH48" s="41">
        <f>COUNTIFS(集計用!$P:$P, "*"&amp;AH$4&amp;",*",集計用!$G:$G,"*, "&amp;$C48&amp;", *")/$B48*100</f>
        <v>0</v>
      </c>
      <c r="AI48" s="41">
        <f>COUNTIFS(集計用!$P:$P, "*"&amp;AI$4&amp;",*",集計用!$G:$G,"*, "&amp;$C48&amp;", *")/$B48*100</f>
        <v>0</v>
      </c>
      <c r="AJ48" s="41">
        <f>COUNTIFS(集計用!$P:$P, "*"&amp;AJ$4&amp;",*",集計用!$G:$G,"*, "&amp;$C48&amp;", *")/$B48*100</f>
        <v>0</v>
      </c>
      <c r="AK48" s="41">
        <f>COUNTIFS(集計用!$P:$P, "*"&amp;AK$4&amp;",*",集計用!$G:$G,"*, "&amp;$C48&amp;", *")/$B48*100</f>
        <v>0</v>
      </c>
      <c r="AL48" s="41">
        <f>COUNTIFS(集計用!$P:$P, "*"&amp;AL$4&amp;",*",集計用!$G:$G,"*, "&amp;$C48&amp;", *")/$B48*100</f>
        <v>0</v>
      </c>
      <c r="AM48" s="41">
        <f>COUNTIFS(集計用!$P:$P, "*"&amp;AM$4&amp;",*",集計用!$G:$G,"*, "&amp;$C48&amp;", *")/$B48*100</f>
        <v>0</v>
      </c>
      <c r="AN48" s="41">
        <f>COUNTIFS(集計用!$P:$P, "*"&amp;AN$4&amp;",*",集計用!$G:$G,"*, "&amp;$C48&amp;", *")/$B48*100</f>
        <v>0</v>
      </c>
      <c r="AO48" s="41">
        <f>COUNTIFS(集計用!$P:$P, "*"&amp;AO$4&amp;",*",集計用!$G:$G,"*, "&amp;$C48&amp;", *")/$B48*100</f>
        <v>0</v>
      </c>
      <c r="AP48" s="41">
        <f>COUNTIFS(集計用!$P:$P, "*"&amp;AP$4&amp;",*",集計用!$G:$G,"*, "&amp;$C48&amp;", *")/$B48*100</f>
        <v>0</v>
      </c>
      <c r="AQ48" s="41">
        <f>COUNTIFS(集計用!$P:$P, "*"&amp;AQ$4&amp;",*",集計用!$G:$G,"*, "&amp;$C48&amp;", *")/$B48*100</f>
        <v>0</v>
      </c>
      <c r="AR48" s="41">
        <f>COUNTIFS(集計用!$P:$P, "*"&amp;AR$4&amp;",*",集計用!$G:$G,"*, "&amp;$C48&amp;", *")/$B48*100</f>
        <v>0</v>
      </c>
      <c r="AS48" s="41">
        <f>COUNTIFS(集計用!$P:$P, "*"&amp;AS$4&amp;",*",集計用!$G:$G,"*, "&amp;$C48&amp;", *")/$B48*100</f>
        <v>0</v>
      </c>
      <c r="AT48" s="41">
        <f>COUNTIFS(集計用!$P:$P, "*"&amp;AT$4&amp;",*",集計用!$G:$G,"*, "&amp;$C48&amp;", *")/$B48*100</f>
        <v>0</v>
      </c>
      <c r="AU48" s="41">
        <f>COUNTIFS(集計用!$P:$P, "*"&amp;AU$4&amp;",*",集計用!$G:$G,"*, "&amp;$C48&amp;", *")/$B48*100</f>
        <v>0</v>
      </c>
      <c r="AV48" s="41">
        <f>COUNTIFS(集計用!$P:$P, "*"&amp;AV$4&amp;",*",集計用!$G:$G,"*, "&amp;$C48&amp;", *")/$B48*100</f>
        <v>0</v>
      </c>
      <c r="AW48" s="41">
        <f>COUNTIFS(集計用!$P:$P, "*"&amp;AW$4&amp;",*",集計用!$G:$G,"*, "&amp;$C48&amp;", *")/$B48*100</f>
        <v>0</v>
      </c>
      <c r="AX48" s="41">
        <f>COUNTIFS(集計用!$P:$P, "*"&amp;AX$4&amp;",*",集計用!$G:$G,"*, "&amp;$C48&amp;", *")/$B48*100</f>
        <v>0</v>
      </c>
      <c r="AY48" s="41">
        <f>COUNTIFS(集計用!$P:$P, "*"&amp;AY$4&amp;",*",集計用!$G:$G,"*, "&amp;$C48&amp;", *")/$B48*100</f>
        <v>0</v>
      </c>
      <c r="AZ48" s="41">
        <f>COUNTIFS(集計用!$P:$P, "*"&amp;AZ$4&amp;",*",集計用!$G:$G,"*, "&amp;$C48&amp;", *")/$B48*100</f>
        <v>0</v>
      </c>
      <c r="BA48" s="41">
        <f>COUNTIFS(集計用!$P:$P, "*"&amp;BA$4&amp;",*",集計用!$G:$G,"*, "&amp;$C48&amp;", *")/$B48*100</f>
        <v>0</v>
      </c>
      <c r="BB48" s="41">
        <f>COUNTIFS(集計用!$P:$P, "*"&amp;BB$4&amp;",*",集計用!$G:$G,"*, "&amp;$C48&amp;", *")/$B48*100</f>
        <v>0</v>
      </c>
      <c r="BC48" s="41">
        <f>COUNTIFS(集計用!$P:$P, "*"&amp;BC$4&amp;",*",集計用!$G:$G,"*, "&amp;$C48&amp;", *")/$B48*100</f>
        <v>0</v>
      </c>
      <c r="BD48" s="41">
        <f>COUNTIFS(集計用!$P:$P, "*"&amp;BD$4&amp;",*",集計用!$G:$G,"*, "&amp;$C48&amp;", *")/$B48*100</f>
        <v>0</v>
      </c>
      <c r="BE48" s="41">
        <f>COUNTIFS(集計用!$P:$P, "*"&amp;BE$4&amp;",*",集計用!$G:$G,"*, "&amp;$C48&amp;", *")/$B48*100</f>
        <v>0</v>
      </c>
      <c r="BF48" s="41">
        <f>COUNTIFS(集計用!$P:$P, "*"&amp;BF$4&amp;",*",集計用!$G:$G,"*, "&amp;$C48&amp;", *")/$B48*100</f>
        <v>0</v>
      </c>
      <c r="BG48" s="41">
        <f>COUNTIFS(集計用!$P:$P, "*"&amp;BG$4&amp;",*",集計用!$G:$G,"*, "&amp;$C48&amp;", *")/$B48*100</f>
        <v>12.5</v>
      </c>
      <c r="BH48" s="41">
        <f>COUNTIFS(集計用!$P:$P, "*"&amp;BH$4&amp;",*",集計用!$G:$G,"*, "&amp;$C48&amp;", *")/$B48*100</f>
        <v>0</v>
      </c>
      <c r="BI48" s="41">
        <f>COUNTIFS(集計用!$P:$P, "*"&amp;BI$4&amp;",*",集計用!$G:$G,"*, "&amp;$C48&amp;", *")/$B48*100</f>
        <v>0</v>
      </c>
      <c r="BJ48" s="41">
        <f>COUNTIFS(集計用!$P:$P, "*"&amp;BJ$4&amp;",*",集計用!$G:$G,"*, "&amp;$C48&amp;", *")/$B48*100</f>
        <v>0</v>
      </c>
      <c r="BK48" s="41">
        <f>COUNTIFS(集計用!$P:$P, "*"&amp;BK$4&amp;",*",集計用!$G:$G,"*, "&amp;$C48&amp;", *")/$B48*100</f>
        <v>0</v>
      </c>
      <c r="BL48" s="41">
        <f>COUNTIFS(集計用!$P:$P, "*"&amp;BL$4&amp;",*",集計用!$G:$G,"*, "&amp;$C48&amp;", *")/$B48*100</f>
        <v>12.5</v>
      </c>
      <c r="BM48" s="41">
        <f>COUNTIFS(集計用!$P:$P, "*"&amp;BM$4&amp;",*",集計用!$G:$G,"*, "&amp;$C48&amp;", *")/$B48*100</f>
        <v>0</v>
      </c>
      <c r="BN48" s="41">
        <f>COUNTIFS(集計用!$P:$P, "*"&amp;BN$4&amp;",*",集計用!$G:$G,"*, "&amp;$C48&amp;", *")/$B48*100</f>
        <v>0</v>
      </c>
      <c r="BO48" s="41">
        <f>COUNTIFS(集計用!$P:$P, "*"&amp;BO$4&amp;",*",集計用!$G:$G,"*, "&amp;$C48&amp;", *")/$B48*100</f>
        <v>12.5</v>
      </c>
      <c r="BP48" s="41">
        <f>COUNTIFS(集計用!$P:$P, "*"&amp;BP$4&amp;",*",集計用!$G:$G,"*, "&amp;$C48&amp;", *")/$B48*100</f>
        <v>0</v>
      </c>
      <c r="BQ48" s="41">
        <f>COUNTIFS(集計用!$P:$P, "*"&amp;BQ$4&amp;",*",集計用!$G:$G,"*, "&amp;$C48&amp;", *")/$B48*100</f>
        <v>0</v>
      </c>
      <c r="BR48" s="41">
        <f>COUNTIFS(集計用!$P:$P, "*"&amp;BR$4&amp;",*",集計用!$G:$G,"*, "&amp;$C48&amp;", *")/$B48*100</f>
        <v>0</v>
      </c>
      <c r="BS48" s="41">
        <f>COUNTIFS(集計用!$P:$P, "*"&amp;BS$4&amp;",*",集計用!$G:$G,"*, "&amp;$C48&amp;", *")/$B48*100</f>
        <v>0</v>
      </c>
      <c r="BT48" s="41">
        <f>COUNTIFS(集計用!$P:$P, "*"&amp;BT$4&amp;",*",集計用!$G:$G,"*, "&amp;$C48&amp;", *")/$B48*100</f>
        <v>0</v>
      </c>
      <c r="BU48" s="41"/>
      <c r="BV48" s="41"/>
      <c r="BW48" s="41"/>
      <c r="BX48" s="41"/>
      <c r="BY48" s="41"/>
      <c r="BZ48" s="41"/>
      <c r="CA48" s="41"/>
      <c r="CB48" s="41"/>
      <c r="CC48" s="41"/>
      <c r="CD48" s="41"/>
      <c r="CE48" s="41"/>
      <c r="CF48" s="41"/>
      <c r="CG48" s="41"/>
      <c r="CH48" s="41"/>
      <c r="CI48" s="41"/>
      <c r="CJ48" s="41"/>
      <c r="CK48" s="41"/>
    </row>
    <row r="49" spans="1:89" ht="14.25" customHeight="1">
      <c r="A49" s="39">
        <v>4</v>
      </c>
      <c r="B49" s="39">
        <f>(COUNTIFS(集計用!$G:$G,"*, "&amp;$C49&amp;",*",集計用!$Q:$Q,"&lt;&gt;無回答"))</f>
        <v>8</v>
      </c>
      <c r="C49" s="42" t="s">
        <v>43</v>
      </c>
      <c r="D49" s="41">
        <f>COUNTIFS(集計用!$O:$O, "*, "&amp;D$4&amp;", *",集計用!$G:$G,"*, "&amp;$C49&amp;", *")/$B49*100</f>
        <v>87.5</v>
      </c>
      <c r="E49" s="41">
        <f>COUNTIFS(集計用!$O:$O, "*, "&amp;E$4&amp;", *",集計用!$G:$G,"*, "&amp;$C49&amp;", *")/$B49*100</f>
        <v>75</v>
      </c>
      <c r="F49" s="41">
        <f>COUNTIFS(集計用!$O:$O, "*, "&amp;F$4&amp;", *",集計用!$G:$G,"*, "&amp;$C49&amp;", *")/$B49*100</f>
        <v>37.5</v>
      </c>
      <c r="G49" s="41">
        <f>COUNTIFS(集計用!$O:$O, "*, "&amp;G$4&amp;", *",集計用!$G:$G,"*, "&amp;$C49&amp;", *")/$B49*100</f>
        <v>37.5</v>
      </c>
      <c r="H49" s="41">
        <f>COUNTIFS(集計用!$O:$O, "*, "&amp;H$4&amp;", *",集計用!$G:$G,"*, "&amp;$C49&amp;", *")/$B49*100</f>
        <v>25</v>
      </c>
      <c r="I49" s="41">
        <f>COUNTIFS(集計用!$O:$O, "*, "&amp;I$4&amp;", *",集計用!$G:$G,"*, "&amp;$C49&amp;", *")/$B49*100</f>
        <v>25</v>
      </c>
      <c r="J49" s="41">
        <f>COUNTIFS(集計用!$O:$O, "*, "&amp;J$4&amp;", *",集計用!$G:$G,"*, "&amp;$C49&amp;", *")/$B49*100</f>
        <v>12.5</v>
      </c>
      <c r="K49" s="41">
        <f>COUNTIFS(集計用!$O:$O, "*, "&amp;K$4&amp;", *",集計用!$G:$G,"*, "&amp;$C49&amp;", *")/$B49*100</f>
        <v>25</v>
      </c>
      <c r="L49" s="41">
        <f>COUNTIFS(集計用!$O:$O, "*, "&amp;L$4&amp;", *",集計用!$G:$G,"*, "&amp;$C49&amp;", *")/$B49*100</f>
        <v>25</v>
      </c>
      <c r="M49" s="41">
        <f>COUNTIFS(集計用!$O:$O, "*, "&amp;M$4&amp;", *",集計用!$G:$G,"*, "&amp;$C49&amp;", *")/$B49*100</f>
        <v>37.5</v>
      </c>
      <c r="N49" s="41">
        <f>COUNTIFS(集計用!$O:$O, "*, "&amp;N$4&amp;", *",集計用!$G:$G,"*, "&amp;$C49&amp;", *")/$B49*100</f>
        <v>37.5</v>
      </c>
      <c r="O49" s="41">
        <f>COUNTIFS(集計用!$O:$O, "*, "&amp;O$4&amp;", *",集計用!$G:$G,"*, "&amp;$C49&amp;", *")/$B49*100</f>
        <v>37.5</v>
      </c>
      <c r="P49" s="41">
        <f>COUNTIFS(集計用!$O:$O, "*, "&amp;P$4&amp;", *",集計用!$G:$G,"*, "&amp;$C49&amp;", *")/$B49*100</f>
        <v>12.5</v>
      </c>
      <c r="Q49" s="41">
        <f>COUNTIFS(集計用!$O:$O, "*, "&amp;Q$4&amp;", *",集計用!$G:$G,"*, "&amp;$C49&amp;", *")/$B49*100</f>
        <v>12.5</v>
      </c>
      <c r="R49" s="41">
        <f>COUNTIFS(集計用!$O:$O, "*, "&amp;R$4&amp;", *",集計用!$G:$G,"*, "&amp;$C49&amp;", *")/$B49*100</f>
        <v>25</v>
      </c>
      <c r="S49" s="41">
        <f>COUNTIFS(集計用!$O:$O, "*, "&amp;S$4&amp;", *",集計用!$G:$G,"*, "&amp;$C49&amp;", *")/$B49*100</f>
        <v>12.5</v>
      </c>
      <c r="T49" s="41">
        <f>COUNTIFS(集計用!$O:$O, "*, "&amp;T$4&amp;", *",集計用!$G:$G,"*, "&amp;$C49&amp;", *")/$B49*100</f>
        <v>0</v>
      </c>
      <c r="V49" s="41">
        <f>COUNTIFS(集計用!$P:$P, "*"&amp;V$4&amp;",*",集計用!$G:$G,"*, "&amp;$C49&amp;", *")/$B49*100</f>
        <v>0</v>
      </c>
      <c r="W49" s="41">
        <f>COUNTIFS(集計用!$P:$P, "*"&amp;W$4&amp;",*",集計用!$G:$G,"*, "&amp;$C49&amp;", *")/$B49*100</f>
        <v>0</v>
      </c>
      <c r="X49" s="41">
        <f>COUNTIFS(集計用!$P:$P, "*"&amp;X$4&amp;",*",集計用!$G:$G,"*, "&amp;$C49&amp;", *")/$B49*100</f>
        <v>0</v>
      </c>
      <c r="Y49" s="41">
        <f>COUNTIFS(集計用!$P:$P, "*"&amp;Y$4&amp;",*",集計用!$G:$G,"*, "&amp;$C49&amp;", *")/$B49*100</f>
        <v>0</v>
      </c>
      <c r="Z49" s="41">
        <f>COUNTIFS(集計用!$P:$P, "*"&amp;Z$4&amp;",*",集計用!$G:$G,"*, "&amp;$C49&amp;", *")/$B49*100</f>
        <v>0</v>
      </c>
      <c r="AA49" s="41">
        <f>COUNTIFS(集計用!$P:$P, "*"&amp;AA$4&amp;",*",集計用!$G:$G,"*, "&amp;$C49&amp;", *")/$B49*100</f>
        <v>0</v>
      </c>
      <c r="AB49" s="41">
        <f>COUNTIFS(集計用!$P:$P, "*"&amp;AB$4&amp;",*",集計用!$G:$G,"*, "&amp;$C49&amp;", *")/$B49*100</f>
        <v>0</v>
      </c>
      <c r="AC49" s="41">
        <f>COUNTIFS(集計用!$P:$P, "*"&amp;AC$4&amp;",*",集計用!$G:$G,"*, "&amp;$C49&amp;", *")/$B49*100</f>
        <v>0</v>
      </c>
      <c r="AD49" s="41">
        <f>COUNTIFS(集計用!$P:$P, "*"&amp;AD$4&amp;",*",集計用!$G:$G,"*, "&amp;$C49&amp;", *")/$B49*100</f>
        <v>0</v>
      </c>
      <c r="AE49" s="41">
        <f>COUNTIFS(集計用!$P:$P, "*"&amp;AE$4&amp;",*",集計用!$G:$G,"*, "&amp;$C49&amp;", *")/$B49*100</f>
        <v>0</v>
      </c>
      <c r="AF49" s="41">
        <f>COUNTIFS(集計用!$P:$P, "*"&amp;AF$4&amp;",*",集計用!$G:$G,"*, "&amp;$C49&amp;", *")/$B49*100</f>
        <v>0</v>
      </c>
      <c r="AG49" s="41">
        <f>COUNTIFS(集計用!$P:$P, "*"&amp;AG$4&amp;",*",集計用!$G:$G,"*, "&amp;$C49&amp;", *")/$B49*100</f>
        <v>0</v>
      </c>
      <c r="AH49" s="41">
        <f>COUNTIFS(集計用!$P:$P, "*"&amp;AH$4&amp;",*",集計用!$G:$G,"*, "&amp;$C49&amp;", *")/$B49*100</f>
        <v>0</v>
      </c>
      <c r="AI49" s="41">
        <f>COUNTIFS(集計用!$P:$P, "*"&amp;AI$4&amp;",*",集計用!$G:$G,"*, "&amp;$C49&amp;", *")/$B49*100</f>
        <v>0</v>
      </c>
      <c r="AJ49" s="41">
        <f>COUNTIFS(集計用!$P:$P, "*"&amp;AJ$4&amp;",*",集計用!$G:$G,"*, "&amp;$C49&amp;", *")/$B49*100</f>
        <v>0</v>
      </c>
      <c r="AK49" s="41">
        <f>COUNTIFS(集計用!$P:$P, "*"&amp;AK$4&amp;",*",集計用!$G:$G,"*, "&amp;$C49&amp;", *")/$B49*100</f>
        <v>0</v>
      </c>
      <c r="AL49" s="41">
        <f>COUNTIFS(集計用!$P:$P, "*"&amp;AL$4&amp;",*",集計用!$G:$G,"*, "&amp;$C49&amp;", *")/$B49*100</f>
        <v>0</v>
      </c>
      <c r="AM49" s="41">
        <f>COUNTIFS(集計用!$P:$P, "*"&amp;AM$4&amp;",*",集計用!$G:$G,"*, "&amp;$C49&amp;", *")/$B49*100</f>
        <v>0</v>
      </c>
      <c r="AN49" s="41">
        <f>COUNTIFS(集計用!$P:$P, "*"&amp;AN$4&amp;",*",集計用!$G:$G,"*, "&amp;$C49&amp;", *")/$B49*100</f>
        <v>0</v>
      </c>
      <c r="AO49" s="41">
        <f>COUNTIFS(集計用!$P:$P, "*"&amp;AO$4&amp;",*",集計用!$G:$G,"*, "&amp;$C49&amp;", *")/$B49*100</f>
        <v>0</v>
      </c>
      <c r="AP49" s="41">
        <f>COUNTIFS(集計用!$P:$P, "*"&amp;AP$4&amp;",*",集計用!$G:$G,"*, "&amp;$C49&amp;", *")/$B49*100</f>
        <v>0</v>
      </c>
      <c r="AQ49" s="41">
        <f>COUNTIFS(集計用!$P:$P, "*"&amp;AQ$4&amp;",*",集計用!$G:$G,"*, "&amp;$C49&amp;", *")/$B49*100</f>
        <v>0</v>
      </c>
      <c r="AR49" s="41">
        <f>COUNTIFS(集計用!$P:$P, "*"&amp;AR$4&amp;",*",集計用!$G:$G,"*, "&amp;$C49&amp;", *")/$B49*100</f>
        <v>0</v>
      </c>
      <c r="AS49" s="41">
        <f>COUNTIFS(集計用!$P:$P, "*"&amp;AS$4&amp;",*",集計用!$G:$G,"*, "&amp;$C49&amp;", *")/$B49*100</f>
        <v>0</v>
      </c>
      <c r="AT49" s="41">
        <f>COUNTIFS(集計用!$P:$P, "*"&amp;AT$4&amp;",*",集計用!$G:$G,"*, "&amp;$C49&amp;", *")/$B49*100</f>
        <v>0</v>
      </c>
      <c r="AU49" s="41">
        <f>COUNTIFS(集計用!$P:$P, "*"&amp;AU$4&amp;",*",集計用!$G:$G,"*, "&amp;$C49&amp;", *")/$B49*100</f>
        <v>0</v>
      </c>
      <c r="AV49" s="41">
        <f>COUNTIFS(集計用!$P:$P, "*"&amp;AV$4&amp;",*",集計用!$G:$G,"*, "&amp;$C49&amp;", *")/$B49*100</f>
        <v>0</v>
      </c>
      <c r="AW49" s="41">
        <f>COUNTIFS(集計用!$P:$P, "*"&amp;AW$4&amp;",*",集計用!$G:$G,"*, "&amp;$C49&amp;", *")/$B49*100</f>
        <v>0</v>
      </c>
      <c r="AX49" s="41">
        <f>COUNTIFS(集計用!$P:$P, "*"&amp;AX$4&amp;",*",集計用!$G:$G,"*, "&amp;$C49&amp;", *")/$B49*100</f>
        <v>0</v>
      </c>
      <c r="AY49" s="41">
        <f>COUNTIFS(集計用!$P:$P, "*"&amp;AY$4&amp;",*",集計用!$G:$G,"*, "&amp;$C49&amp;", *")/$B49*100</f>
        <v>0</v>
      </c>
      <c r="AZ49" s="41">
        <f>COUNTIFS(集計用!$P:$P, "*"&amp;AZ$4&amp;",*",集計用!$G:$G,"*, "&amp;$C49&amp;", *")/$B49*100</f>
        <v>0</v>
      </c>
      <c r="BA49" s="41">
        <f>COUNTIFS(集計用!$P:$P, "*"&amp;BA$4&amp;",*",集計用!$G:$G,"*, "&amp;$C49&amp;", *")/$B49*100</f>
        <v>0</v>
      </c>
      <c r="BB49" s="41">
        <f>COUNTIFS(集計用!$P:$P, "*"&amp;BB$4&amp;",*",集計用!$G:$G,"*, "&amp;$C49&amp;", *")/$B49*100</f>
        <v>0</v>
      </c>
      <c r="BC49" s="41">
        <f>COUNTIFS(集計用!$P:$P, "*"&amp;BC$4&amp;",*",集計用!$G:$G,"*, "&amp;$C49&amp;", *")/$B49*100</f>
        <v>0</v>
      </c>
      <c r="BD49" s="41">
        <f>COUNTIFS(集計用!$P:$P, "*"&amp;BD$4&amp;",*",集計用!$G:$G,"*, "&amp;$C49&amp;", *")/$B49*100</f>
        <v>0</v>
      </c>
      <c r="BE49" s="41">
        <f>COUNTIFS(集計用!$P:$P, "*"&amp;BE$4&amp;",*",集計用!$G:$G,"*, "&amp;$C49&amp;", *")/$B49*100</f>
        <v>12.5</v>
      </c>
      <c r="BF49" s="41">
        <f>COUNTIFS(集計用!$P:$P, "*"&amp;BF$4&amp;",*",集計用!$G:$G,"*, "&amp;$C49&amp;", *")/$B49*100</f>
        <v>0</v>
      </c>
      <c r="BG49" s="41">
        <f>COUNTIFS(集計用!$P:$P, "*"&amp;BG$4&amp;",*",集計用!$G:$G,"*, "&amp;$C49&amp;", *")/$B49*100</f>
        <v>12.5</v>
      </c>
      <c r="BH49" s="41">
        <f>COUNTIFS(集計用!$P:$P, "*"&amp;BH$4&amp;",*",集計用!$G:$G,"*, "&amp;$C49&amp;", *")/$B49*100</f>
        <v>0</v>
      </c>
      <c r="BI49" s="41">
        <f>COUNTIFS(集計用!$P:$P, "*"&amp;BI$4&amp;",*",集計用!$G:$G,"*, "&amp;$C49&amp;", *")/$B49*100</f>
        <v>0</v>
      </c>
      <c r="BJ49" s="41">
        <f>COUNTIFS(集計用!$P:$P, "*"&amp;BJ$4&amp;",*",集計用!$G:$G,"*, "&amp;$C49&amp;", *")/$B49*100</f>
        <v>0</v>
      </c>
      <c r="BK49" s="41">
        <f>COUNTIFS(集計用!$P:$P, "*"&amp;BK$4&amp;",*",集計用!$G:$G,"*, "&amp;$C49&amp;", *")/$B49*100</f>
        <v>0</v>
      </c>
      <c r="BL49" s="41">
        <f>COUNTIFS(集計用!$P:$P, "*"&amp;BL$4&amp;",*",集計用!$G:$G,"*, "&amp;$C49&amp;", *")/$B49*100</f>
        <v>0</v>
      </c>
      <c r="BM49" s="41">
        <f>COUNTIFS(集計用!$P:$P, "*"&amp;BM$4&amp;",*",集計用!$G:$G,"*, "&amp;$C49&amp;", *")/$B49*100</f>
        <v>0</v>
      </c>
      <c r="BN49" s="41">
        <f>COUNTIFS(集計用!$P:$P, "*"&amp;BN$4&amp;",*",集計用!$G:$G,"*, "&amp;$C49&amp;", *")/$B49*100</f>
        <v>0</v>
      </c>
      <c r="BO49" s="41">
        <f>COUNTIFS(集計用!$P:$P, "*"&amp;BO$4&amp;",*",集計用!$G:$G,"*, "&amp;$C49&amp;", *")/$B49*100</f>
        <v>0</v>
      </c>
      <c r="BP49" s="41">
        <f>COUNTIFS(集計用!$P:$P, "*"&amp;BP$4&amp;",*",集計用!$G:$G,"*, "&amp;$C49&amp;", *")/$B49*100</f>
        <v>0</v>
      </c>
      <c r="BQ49" s="41">
        <f>COUNTIFS(集計用!$P:$P, "*"&amp;BQ$4&amp;",*",集計用!$G:$G,"*, "&amp;$C49&amp;", *")/$B49*100</f>
        <v>0</v>
      </c>
      <c r="BR49" s="41">
        <f>COUNTIFS(集計用!$P:$P, "*"&amp;BR$4&amp;",*",集計用!$G:$G,"*, "&amp;$C49&amp;", *")/$B49*100</f>
        <v>0</v>
      </c>
      <c r="BS49" s="41">
        <f>COUNTIFS(集計用!$P:$P, "*"&amp;BS$4&amp;",*",集計用!$G:$G,"*, "&amp;$C49&amp;", *")/$B49*100</f>
        <v>0</v>
      </c>
      <c r="BT49" s="41">
        <f>COUNTIFS(集計用!$P:$P, "*"&amp;BT$4&amp;",*",集計用!$G:$G,"*, "&amp;$C49&amp;", *")/$B49*100</f>
        <v>0</v>
      </c>
      <c r="BU49" s="41"/>
      <c r="BV49" s="41"/>
      <c r="BW49" s="41"/>
      <c r="BX49" s="41"/>
      <c r="BY49" s="41"/>
      <c r="BZ49" s="41"/>
      <c r="CA49" s="41"/>
      <c r="CB49" s="41"/>
      <c r="CC49" s="41"/>
      <c r="CD49" s="41"/>
      <c r="CE49" s="41"/>
      <c r="CF49" s="41"/>
      <c r="CG49" s="41"/>
      <c r="CH49" s="41"/>
      <c r="CI49" s="41"/>
      <c r="CJ49" s="41"/>
      <c r="CK49" s="41"/>
    </row>
    <row r="50" spans="1:89" ht="14.25" customHeight="1">
      <c r="A50" s="39">
        <v>4</v>
      </c>
      <c r="B50" s="39">
        <f>(COUNTIFS(集計用!$G:$G,"*, "&amp;$C50&amp;",*",集計用!$Q:$Q,"&lt;&gt;無回答"))</f>
        <v>8</v>
      </c>
      <c r="C50" s="42" t="s">
        <v>42</v>
      </c>
      <c r="D50" s="41">
        <f>COUNTIFS(集計用!$O:$O, "*, "&amp;D$4&amp;", *",集計用!$G:$G,"*, "&amp;$C50&amp;", *")/$B50*100</f>
        <v>75</v>
      </c>
      <c r="E50" s="41">
        <f>COUNTIFS(集計用!$O:$O, "*, "&amp;E$4&amp;", *",集計用!$G:$G,"*, "&amp;$C50&amp;", *")/$B50*100</f>
        <v>50</v>
      </c>
      <c r="F50" s="41">
        <f>COUNTIFS(集計用!$O:$O, "*, "&amp;F$4&amp;", *",集計用!$G:$G,"*, "&amp;$C50&amp;", *")/$B50*100</f>
        <v>75</v>
      </c>
      <c r="G50" s="41">
        <f>COUNTIFS(集計用!$O:$O, "*, "&amp;G$4&amp;", *",集計用!$G:$G,"*, "&amp;$C50&amp;", *")/$B50*100</f>
        <v>12.5</v>
      </c>
      <c r="H50" s="41">
        <f>COUNTIFS(集計用!$O:$O, "*, "&amp;H$4&amp;", *",集計用!$G:$G,"*, "&amp;$C50&amp;", *")/$B50*100</f>
        <v>25</v>
      </c>
      <c r="I50" s="41">
        <f>COUNTIFS(集計用!$O:$O, "*, "&amp;I$4&amp;", *",集計用!$G:$G,"*, "&amp;$C50&amp;", *")/$B50*100</f>
        <v>12.5</v>
      </c>
      <c r="J50" s="41">
        <f>COUNTIFS(集計用!$O:$O, "*, "&amp;J$4&amp;", *",集計用!$G:$G,"*, "&amp;$C50&amp;", *")/$B50*100</f>
        <v>37.5</v>
      </c>
      <c r="K50" s="41">
        <f>COUNTIFS(集計用!$O:$O, "*, "&amp;K$4&amp;", *",集計用!$G:$G,"*, "&amp;$C50&amp;", *")/$B50*100</f>
        <v>12.5</v>
      </c>
      <c r="L50" s="41">
        <f>COUNTIFS(集計用!$O:$O, "*, "&amp;L$4&amp;", *",集計用!$G:$G,"*, "&amp;$C50&amp;", *")/$B50*100</f>
        <v>12.5</v>
      </c>
      <c r="M50" s="41">
        <f>COUNTIFS(集計用!$O:$O, "*, "&amp;M$4&amp;", *",集計用!$G:$G,"*, "&amp;$C50&amp;", *")/$B50*100</f>
        <v>62.5</v>
      </c>
      <c r="N50" s="41">
        <f>COUNTIFS(集計用!$O:$O, "*, "&amp;N$4&amp;", *",集計用!$G:$G,"*, "&amp;$C50&amp;", *")/$B50*100</f>
        <v>25</v>
      </c>
      <c r="O50" s="41">
        <f>COUNTIFS(集計用!$O:$O, "*, "&amp;O$4&amp;", *",集計用!$G:$G,"*, "&amp;$C50&amp;", *")/$B50*100</f>
        <v>12.5</v>
      </c>
      <c r="P50" s="41">
        <f>COUNTIFS(集計用!$O:$O, "*, "&amp;P$4&amp;", *",集計用!$G:$G,"*, "&amp;$C50&amp;", *")/$B50*100</f>
        <v>37.5</v>
      </c>
      <c r="Q50" s="41">
        <f>COUNTIFS(集計用!$O:$O, "*, "&amp;Q$4&amp;", *",集計用!$G:$G,"*, "&amp;$C50&amp;", *")/$B50*100</f>
        <v>12.5</v>
      </c>
      <c r="R50" s="41">
        <f>COUNTIFS(集計用!$O:$O, "*, "&amp;R$4&amp;", *",集計用!$G:$G,"*, "&amp;$C50&amp;", *")/$B50*100</f>
        <v>12.5</v>
      </c>
      <c r="S50" s="41">
        <f>COUNTIFS(集計用!$O:$O, "*, "&amp;S$4&amp;", *",集計用!$G:$G,"*, "&amp;$C50&amp;", *")/$B50*100</f>
        <v>12.5</v>
      </c>
      <c r="T50" s="41">
        <f>COUNTIFS(集計用!$O:$O, "*, "&amp;T$4&amp;", *",集計用!$G:$G,"*, "&amp;$C50&amp;", *")/$B50*100</f>
        <v>12.5</v>
      </c>
      <c r="V50" s="41">
        <f>COUNTIFS(集計用!$P:$P, "*"&amp;V$4&amp;",*",集計用!$G:$G,"*, "&amp;$C50&amp;", *")/$B50*100</f>
        <v>0</v>
      </c>
      <c r="W50" s="41">
        <f>COUNTIFS(集計用!$P:$P, "*"&amp;W$4&amp;",*",集計用!$G:$G,"*, "&amp;$C50&amp;", *")/$B50*100</f>
        <v>0</v>
      </c>
      <c r="X50" s="41">
        <f>COUNTIFS(集計用!$P:$P, "*"&amp;X$4&amp;",*",集計用!$G:$G,"*, "&amp;$C50&amp;", *")/$B50*100</f>
        <v>0</v>
      </c>
      <c r="Y50" s="41">
        <f>COUNTIFS(集計用!$P:$P, "*"&amp;Y$4&amp;",*",集計用!$G:$G,"*, "&amp;$C50&amp;", *")/$B50*100</f>
        <v>12.5</v>
      </c>
      <c r="Z50" s="41">
        <f>COUNTIFS(集計用!$P:$P, "*"&amp;Z$4&amp;",*",集計用!$G:$G,"*, "&amp;$C50&amp;", *")/$B50*100</f>
        <v>0</v>
      </c>
      <c r="AA50" s="41">
        <f>COUNTIFS(集計用!$P:$P, "*"&amp;AA$4&amp;",*",集計用!$G:$G,"*, "&amp;$C50&amp;", *")/$B50*100</f>
        <v>0</v>
      </c>
      <c r="AB50" s="41">
        <f>COUNTIFS(集計用!$P:$P, "*"&amp;AB$4&amp;",*",集計用!$G:$G,"*, "&amp;$C50&amp;", *")/$B50*100</f>
        <v>0</v>
      </c>
      <c r="AC50" s="41">
        <f>COUNTIFS(集計用!$P:$P, "*"&amp;AC$4&amp;",*",集計用!$G:$G,"*, "&amp;$C50&amp;", *")/$B50*100</f>
        <v>12.5</v>
      </c>
      <c r="AD50" s="41">
        <f>COUNTIFS(集計用!$P:$P, "*"&amp;AD$4&amp;",*",集計用!$G:$G,"*, "&amp;$C50&amp;", *")/$B50*100</f>
        <v>0</v>
      </c>
      <c r="AE50" s="41">
        <f>COUNTIFS(集計用!$P:$P, "*"&amp;AE$4&amp;",*",集計用!$G:$G,"*, "&amp;$C50&amp;", *")/$B50*100</f>
        <v>0</v>
      </c>
      <c r="AF50" s="41">
        <f>COUNTIFS(集計用!$P:$P, "*"&amp;AF$4&amp;",*",集計用!$G:$G,"*, "&amp;$C50&amp;", *")/$B50*100</f>
        <v>0</v>
      </c>
      <c r="AG50" s="41">
        <f>COUNTIFS(集計用!$P:$P, "*"&amp;AG$4&amp;",*",集計用!$G:$G,"*, "&amp;$C50&amp;", *")/$B50*100</f>
        <v>0</v>
      </c>
      <c r="AH50" s="41">
        <f>COUNTIFS(集計用!$P:$P, "*"&amp;AH$4&amp;",*",集計用!$G:$G,"*, "&amp;$C50&amp;", *")/$B50*100</f>
        <v>0</v>
      </c>
      <c r="AI50" s="41">
        <f>COUNTIFS(集計用!$P:$P, "*"&amp;AI$4&amp;",*",集計用!$G:$G,"*, "&amp;$C50&amp;", *")/$B50*100</f>
        <v>12.5</v>
      </c>
      <c r="AJ50" s="41">
        <f>COUNTIFS(集計用!$P:$P, "*"&amp;AJ$4&amp;",*",集計用!$G:$G,"*, "&amp;$C50&amp;", *")/$B50*100</f>
        <v>0</v>
      </c>
      <c r="AK50" s="41">
        <f>COUNTIFS(集計用!$P:$P, "*"&amp;AK$4&amp;",*",集計用!$G:$G,"*, "&amp;$C50&amp;", *")/$B50*100</f>
        <v>0</v>
      </c>
      <c r="AL50" s="41">
        <f>COUNTIFS(集計用!$P:$P, "*"&amp;AL$4&amp;",*",集計用!$G:$G,"*, "&amp;$C50&amp;", *")/$B50*100</f>
        <v>0</v>
      </c>
      <c r="AM50" s="41">
        <f>COUNTIFS(集計用!$P:$P, "*"&amp;AM$4&amp;",*",集計用!$G:$G,"*, "&amp;$C50&amp;", *")/$B50*100</f>
        <v>0</v>
      </c>
      <c r="AN50" s="41">
        <f>COUNTIFS(集計用!$P:$P, "*"&amp;AN$4&amp;",*",集計用!$G:$G,"*, "&amp;$C50&amp;", *")/$B50*100</f>
        <v>0</v>
      </c>
      <c r="AO50" s="41">
        <f>COUNTIFS(集計用!$P:$P, "*"&amp;AO$4&amp;",*",集計用!$G:$G,"*, "&amp;$C50&amp;", *")/$B50*100</f>
        <v>0</v>
      </c>
      <c r="AP50" s="41">
        <f>COUNTIFS(集計用!$P:$P, "*"&amp;AP$4&amp;",*",集計用!$G:$G,"*, "&amp;$C50&amp;", *")/$B50*100</f>
        <v>0</v>
      </c>
      <c r="AQ50" s="41">
        <f>COUNTIFS(集計用!$P:$P, "*"&amp;AQ$4&amp;",*",集計用!$G:$G,"*, "&amp;$C50&amp;", *")/$B50*100</f>
        <v>0</v>
      </c>
      <c r="AR50" s="41">
        <f>COUNTIFS(集計用!$P:$P, "*"&amp;AR$4&amp;",*",集計用!$G:$G,"*, "&amp;$C50&amp;", *")/$B50*100</f>
        <v>0</v>
      </c>
      <c r="AS50" s="41">
        <f>COUNTIFS(集計用!$P:$P, "*"&amp;AS$4&amp;",*",集計用!$G:$G,"*, "&amp;$C50&amp;", *")/$B50*100</f>
        <v>0</v>
      </c>
      <c r="AT50" s="41">
        <f>COUNTIFS(集計用!$P:$P, "*"&amp;AT$4&amp;",*",集計用!$G:$G,"*, "&amp;$C50&amp;", *")/$B50*100</f>
        <v>0</v>
      </c>
      <c r="AU50" s="41">
        <f>COUNTIFS(集計用!$P:$P, "*"&amp;AU$4&amp;",*",集計用!$G:$G,"*, "&amp;$C50&amp;", *")/$B50*100</f>
        <v>0</v>
      </c>
      <c r="AV50" s="41">
        <f>COUNTIFS(集計用!$P:$P, "*"&amp;AV$4&amp;",*",集計用!$G:$G,"*, "&amp;$C50&amp;", *")/$B50*100</f>
        <v>0</v>
      </c>
      <c r="AW50" s="41">
        <f>COUNTIFS(集計用!$P:$P, "*"&amp;AW$4&amp;",*",集計用!$G:$G,"*, "&amp;$C50&amp;", *")/$B50*100</f>
        <v>0</v>
      </c>
      <c r="AX50" s="41">
        <f>COUNTIFS(集計用!$P:$P, "*"&amp;AX$4&amp;",*",集計用!$G:$G,"*, "&amp;$C50&amp;", *")/$B50*100</f>
        <v>0</v>
      </c>
      <c r="AY50" s="41">
        <f>COUNTIFS(集計用!$P:$P, "*"&amp;AY$4&amp;",*",集計用!$G:$G,"*, "&amp;$C50&amp;", *")/$B50*100</f>
        <v>12.5</v>
      </c>
      <c r="AZ50" s="41">
        <f>COUNTIFS(集計用!$P:$P, "*"&amp;AZ$4&amp;",*",集計用!$G:$G,"*, "&amp;$C50&amp;", *")/$B50*100</f>
        <v>0</v>
      </c>
      <c r="BA50" s="41">
        <f>COUNTIFS(集計用!$P:$P, "*"&amp;BA$4&amp;",*",集計用!$G:$G,"*, "&amp;$C50&amp;", *")/$B50*100</f>
        <v>0</v>
      </c>
      <c r="BB50" s="41">
        <f>COUNTIFS(集計用!$P:$P, "*"&amp;BB$4&amp;",*",集計用!$G:$G,"*, "&amp;$C50&amp;", *")/$B50*100</f>
        <v>0</v>
      </c>
      <c r="BC50" s="41">
        <f>COUNTIFS(集計用!$P:$P, "*"&amp;BC$4&amp;",*",集計用!$G:$G,"*, "&amp;$C50&amp;", *")/$B50*100</f>
        <v>0</v>
      </c>
      <c r="BD50" s="41">
        <f>COUNTIFS(集計用!$P:$P, "*"&amp;BD$4&amp;",*",集計用!$G:$G,"*, "&amp;$C50&amp;", *")/$B50*100</f>
        <v>0</v>
      </c>
      <c r="BE50" s="41">
        <f>COUNTIFS(集計用!$P:$P, "*"&amp;BE$4&amp;",*",集計用!$G:$G,"*, "&amp;$C50&amp;", *")/$B50*100</f>
        <v>0</v>
      </c>
      <c r="BF50" s="41">
        <f>COUNTIFS(集計用!$P:$P, "*"&amp;BF$4&amp;",*",集計用!$G:$G,"*, "&amp;$C50&amp;", *")/$B50*100</f>
        <v>0</v>
      </c>
      <c r="BG50" s="41">
        <f>COUNTIFS(集計用!$P:$P, "*"&amp;BG$4&amp;",*",集計用!$G:$G,"*, "&amp;$C50&amp;", *")/$B50*100</f>
        <v>0</v>
      </c>
      <c r="BH50" s="41">
        <f>COUNTIFS(集計用!$P:$P, "*"&amp;BH$4&amp;",*",集計用!$G:$G,"*, "&amp;$C50&amp;", *")/$B50*100</f>
        <v>0</v>
      </c>
      <c r="BI50" s="41">
        <f>COUNTIFS(集計用!$P:$P, "*"&amp;BI$4&amp;",*",集計用!$G:$G,"*, "&amp;$C50&amp;", *")/$B50*100</f>
        <v>0</v>
      </c>
      <c r="BJ50" s="41">
        <f>COUNTIFS(集計用!$P:$P, "*"&amp;BJ$4&amp;",*",集計用!$G:$G,"*, "&amp;$C50&amp;", *")/$B50*100</f>
        <v>0</v>
      </c>
      <c r="BK50" s="41">
        <f>COUNTIFS(集計用!$P:$P, "*"&amp;BK$4&amp;",*",集計用!$G:$G,"*, "&amp;$C50&amp;", *")/$B50*100</f>
        <v>0</v>
      </c>
      <c r="BL50" s="41">
        <f>COUNTIFS(集計用!$P:$P, "*"&amp;BL$4&amp;",*",集計用!$G:$G,"*, "&amp;$C50&amp;", *")/$B50*100</f>
        <v>0</v>
      </c>
      <c r="BM50" s="41">
        <f>COUNTIFS(集計用!$P:$P, "*"&amp;BM$4&amp;",*",集計用!$G:$G,"*, "&amp;$C50&amp;", *")/$B50*100</f>
        <v>0</v>
      </c>
      <c r="BN50" s="41">
        <f>COUNTIFS(集計用!$P:$P, "*"&amp;BN$4&amp;",*",集計用!$G:$G,"*, "&amp;$C50&amp;", *")/$B50*100</f>
        <v>0</v>
      </c>
      <c r="BO50" s="41">
        <f>COUNTIFS(集計用!$P:$P, "*"&amp;BO$4&amp;",*",集計用!$G:$G,"*, "&amp;$C50&amp;", *")/$B50*100</f>
        <v>0</v>
      </c>
      <c r="BP50" s="41">
        <f>COUNTIFS(集計用!$P:$P, "*"&amp;BP$4&amp;",*",集計用!$G:$G,"*, "&amp;$C50&amp;", *")/$B50*100</f>
        <v>0</v>
      </c>
      <c r="BQ50" s="41">
        <f>COUNTIFS(集計用!$P:$P, "*"&amp;BQ$4&amp;",*",集計用!$G:$G,"*, "&amp;$C50&amp;", *")/$B50*100</f>
        <v>0</v>
      </c>
      <c r="BR50" s="41">
        <f>COUNTIFS(集計用!$P:$P, "*"&amp;BR$4&amp;",*",集計用!$G:$G,"*, "&amp;$C50&amp;", *")/$B50*100</f>
        <v>0</v>
      </c>
      <c r="BS50" s="41">
        <f>COUNTIFS(集計用!$P:$P, "*"&amp;BS$4&amp;",*",集計用!$G:$G,"*, "&amp;$C50&amp;", *")/$B50*100</f>
        <v>0</v>
      </c>
      <c r="BT50" s="41">
        <f>COUNTIFS(集計用!$P:$P, "*"&amp;BT$4&amp;",*",集計用!$G:$G,"*, "&amp;$C50&amp;", *")/$B50*100</f>
        <v>0</v>
      </c>
      <c r="BU50" s="41"/>
      <c r="BV50" s="41"/>
      <c r="BW50" s="41"/>
      <c r="BX50" s="41"/>
      <c r="BY50" s="41"/>
      <c r="BZ50" s="41"/>
      <c r="CA50" s="41"/>
      <c r="CB50" s="41"/>
      <c r="CC50" s="41"/>
      <c r="CD50" s="41"/>
      <c r="CE50" s="41"/>
      <c r="CF50" s="41"/>
      <c r="CG50" s="41"/>
      <c r="CH50" s="41"/>
      <c r="CI50" s="41"/>
      <c r="CJ50" s="41"/>
      <c r="CK50" s="41"/>
    </row>
    <row r="51" spans="1:89" ht="14.25" customHeight="1">
      <c r="A51" s="39">
        <v>5</v>
      </c>
      <c r="B51" s="39">
        <f>(COUNTIFS(集計用!$G:$G,"*, "&amp;$C51&amp;",*",集計用!$Q:$Q,"&lt;&gt;無回答"))</f>
        <v>7</v>
      </c>
      <c r="C51" s="42" t="s">
        <v>46</v>
      </c>
      <c r="D51" s="41">
        <f>COUNTIFS(集計用!$O:$O, "*, "&amp;D$4&amp;", *",集計用!$G:$G,"*, "&amp;$C51&amp;", *")/$B51*100</f>
        <v>100</v>
      </c>
      <c r="E51" s="41">
        <f>COUNTIFS(集計用!$O:$O, "*, "&amp;E$4&amp;", *",集計用!$G:$G,"*, "&amp;$C51&amp;", *")/$B51*100</f>
        <v>14.285714285714285</v>
      </c>
      <c r="F51" s="41">
        <f>COUNTIFS(集計用!$O:$O, "*, "&amp;F$4&amp;", *",集計用!$G:$G,"*, "&amp;$C51&amp;", *")/$B51*100</f>
        <v>42.857142857142854</v>
      </c>
      <c r="G51" s="41">
        <f>COUNTIFS(集計用!$O:$O, "*, "&amp;G$4&amp;", *",集計用!$G:$G,"*, "&amp;$C51&amp;", *")/$B51*100</f>
        <v>42.857142857142854</v>
      </c>
      <c r="H51" s="41">
        <f>COUNTIFS(集計用!$O:$O, "*, "&amp;H$4&amp;", *",集計用!$G:$G,"*, "&amp;$C51&amp;", *")/$B51*100</f>
        <v>14.285714285714285</v>
      </c>
      <c r="I51" s="41">
        <f>COUNTIFS(集計用!$O:$O, "*, "&amp;I$4&amp;", *",集計用!$G:$G,"*, "&amp;$C51&amp;", *")/$B51*100</f>
        <v>28.571428571428569</v>
      </c>
      <c r="J51" s="41">
        <f>COUNTIFS(集計用!$O:$O, "*, "&amp;J$4&amp;", *",集計用!$G:$G,"*, "&amp;$C51&amp;", *")/$B51*100</f>
        <v>28.571428571428569</v>
      </c>
      <c r="K51" s="41">
        <f>COUNTIFS(集計用!$O:$O, "*, "&amp;K$4&amp;", *",集計用!$G:$G,"*, "&amp;$C51&amp;", *")/$B51*100</f>
        <v>14.285714285714285</v>
      </c>
      <c r="L51" s="41">
        <f>COUNTIFS(集計用!$O:$O, "*, "&amp;L$4&amp;", *",集計用!$G:$G,"*, "&amp;$C51&amp;", *")/$B51*100</f>
        <v>14.285714285714285</v>
      </c>
      <c r="M51" s="41">
        <f>COUNTIFS(集計用!$O:$O, "*, "&amp;M$4&amp;", *",集計用!$G:$G,"*, "&amp;$C51&amp;", *")/$B51*100</f>
        <v>14.285714285714285</v>
      </c>
      <c r="N51" s="41">
        <f>COUNTIFS(集計用!$O:$O, "*, "&amp;N$4&amp;", *",集計用!$G:$G,"*, "&amp;$C51&amp;", *")/$B51*100</f>
        <v>14.285714285714285</v>
      </c>
      <c r="O51" s="41">
        <f>COUNTIFS(集計用!$O:$O, "*, "&amp;O$4&amp;", *",集計用!$G:$G,"*, "&amp;$C51&amp;", *")/$B51*100</f>
        <v>14.285714285714285</v>
      </c>
      <c r="P51" s="41">
        <f>COUNTIFS(集計用!$O:$O, "*, "&amp;P$4&amp;", *",集計用!$G:$G,"*, "&amp;$C51&amp;", *")/$B51*100</f>
        <v>14.285714285714285</v>
      </c>
      <c r="Q51" s="41">
        <f>COUNTIFS(集計用!$O:$O, "*, "&amp;Q$4&amp;", *",集計用!$G:$G,"*, "&amp;$C51&amp;", *")/$B51*100</f>
        <v>28.571428571428569</v>
      </c>
      <c r="R51" s="41">
        <f>COUNTIFS(集計用!$O:$O, "*, "&amp;R$4&amp;", *",集計用!$G:$G,"*, "&amp;$C51&amp;", *")/$B51*100</f>
        <v>14.285714285714285</v>
      </c>
      <c r="S51" s="41">
        <f>COUNTIFS(集計用!$O:$O, "*, "&amp;S$4&amp;", *",集計用!$G:$G,"*, "&amp;$C51&amp;", *")/$B51*100</f>
        <v>14.285714285714285</v>
      </c>
      <c r="T51" s="41">
        <f>COUNTIFS(集計用!$O:$O, "*, "&amp;T$4&amp;", *",集計用!$G:$G,"*, "&amp;$C51&amp;", *")/$B51*100</f>
        <v>0</v>
      </c>
      <c r="V51" s="41">
        <f>COUNTIFS(集計用!$P:$P, "*"&amp;V$4&amp;",*",集計用!$G:$G,"*, "&amp;$C51&amp;", *")/$B51*100</f>
        <v>28.571428571428569</v>
      </c>
      <c r="W51" s="41">
        <f>COUNTIFS(集計用!$P:$P, "*"&amp;W$4&amp;",*",集計用!$G:$G,"*, "&amp;$C51&amp;", *")/$B51*100</f>
        <v>0</v>
      </c>
      <c r="X51" s="41">
        <f>COUNTIFS(集計用!$P:$P, "*"&amp;X$4&amp;",*",集計用!$G:$G,"*, "&amp;$C51&amp;", *")/$B51*100</f>
        <v>14.285714285714285</v>
      </c>
      <c r="Y51" s="41">
        <f>COUNTIFS(集計用!$P:$P, "*"&amp;Y$4&amp;",*",集計用!$G:$G,"*, "&amp;$C51&amp;", *")/$B51*100</f>
        <v>0</v>
      </c>
      <c r="Z51" s="41">
        <f>COUNTIFS(集計用!$P:$P, "*"&amp;Z$4&amp;",*",集計用!$G:$G,"*, "&amp;$C51&amp;", *")/$B51*100</f>
        <v>0</v>
      </c>
      <c r="AA51" s="41">
        <f>COUNTIFS(集計用!$P:$P, "*"&amp;AA$4&amp;",*",集計用!$G:$G,"*, "&amp;$C51&amp;", *")/$B51*100</f>
        <v>0</v>
      </c>
      <c r="AB51" s="41">
        <f>COUNTIFS(集計用!$P:$P, "*"&amp;AB$4&amp;",*",集計用!$G:$G,"*, "&amp;$C51&amp;", *")/$B51*100</f>
        <v>0</v>
      </c>
      <c r="AC51" s="41">
        <f>COUNTIFS(集計用!$P:$P, "*"&amp;AC$4&amp;",*",集計用!$G:$G,"*, "&amp;$C51&amp;", *")/$B51*100</f>
        <v>0</v>
      </c>
      <c r="AD51" s="41">
        <f>COUNTIFS(集計用!$P:$P, "*"&amp;AD$4&amp;",*",集計用!$G:$G,"*, "&amp;$C51&amp;", *")/$B51*100</f>
        <v>0</v>
      </c>
      <c r="AE51" s="41">
        <f>COUNTIFS(集計用!$P:$P, "*"&amp;AE$4&amp;",*",集計用!$G:$G,"*, "&amp;$C51&amp;", *")/$B51*100</f>
        <v>0</v>
      </c>
      <c r="AF51" s="41">
        <f>COUNTIFS(集計用!$P:$P, "*"&amp;AF$4&amp;",*",集計用!$G:$G,"*, "&amp;$C51&amp;", *")/$B51*100</f>
        <v>0</v>
      </c>
      <c r="AG51" s="41">
        <f>COUNTIFS(集計用!$P:$P, "*"&amp;AG$4&amp;",*",集計用!$G:$G,"*, "&amp;$C51&amp;", *")/$B51*100</f>
        <v>0</v>
      </c>
      <c r="AH51" s="41">
        <f>COUNTIFS(集計用!$P:$P, "*"&amp;AH$4&amp;",*",集計用!$G:$G,"*, "&amp;$C51&amp;", *")/$B51*100</f>
        <v>0</v>
      </c>
      <c r="AI51" s="41">
        <f>COUNTIFS(集計用!$P:$P, "*"&amp;AI$4&amp;",*",集計用!$G:$G,"*, "&amp;$C51&amp;", *")/$B51*100</f>
        <v>0</v>
      </c>
      <c r="AJ51" s="41">
        <f>COUNTIFS(集計用!$P:$P, "*"&amp;AJ$4&amp;",*",集計用!$G:$G,"*, "&amp;$C51&amp;", *")/$B51*100</f>
        <v>0</v>
      </c>
      <c r="AK51" s="41">
        <f>COUNTIFS(集計用!$P:$P, "*"&amp;AK$4&amp;",*",集計用!$G:$G,"*, "&amp;$C51&amp;", *")/$B51*100</f>
        <v>0</v>
      </c>
      <c r="AL51" s="41">
        <f>COUNTIFS(集計用!$P:$P, "*"&amp;AL$4&amp;",*",集計用!$G:$G,"*, "&amp;$C51&amp;", *")/$B51*100</f>
        <v>0</v>
      </c>
      <c r="AM51" s="41">
        <f>COUNTIFS(集計用!$P:$P, "*"&amp;AM$4&amp;",*",集計用!$G:$G,"*, "&amp;$C51&amp;", *")/$B51*100</f>
        <v>0</v>
      </c>
      <c r="AN51" s="41">
        <f>COUNTIFS(集計用!$P:$P, "*"&amp;AN$4&amp;",*",集計用!$G:$G,"*, "&amp;$C51&amp;", *")/$B51*100</f>
        <v>0</v>
      </c>
      <c r="AO51" s="41">
        <f>COUNTIFS(集計用!$P:$P, "*"&amp;AO$4&amp;",*",集計用!$G:$G,"*, "&amp;$C51&amp;", *")/$B51*100</f>
        <v>0</v>
      </c>
      <c r="AP51" s="41">
        <f>COUNTIFS(集計用!$P:$P, "*"&amp;AP$4&amp;",*",集計用!$G:$G,"*, "&amp;$C51&amp;", *")/$B51*100</f>
        <v>0</v>
      </c>
      <c r="AQ51" s="41">
        <f>COUNTIFS(集計用!$P:$P, "*"&amp;AQ$4&amp;",*",集計用!$G:$G,"*, "&amp;$C51&amp;", *")/$B51*100</f>
        <v>0</v>
      </c>
      <c r="AR51" s="41">
        <f>COUNTIFS(集計用!$P:$P, "*"&amp;AR$4&amp;",*",集計用!$G:$G,"*, "&amp;$C51&amp;", *")/$B51*100</f>
        <v>0</v>
      </c>
      <c r="AS51" s="41">
        <f>COUNTIFS(集計用!$P:$P, "*"&amp;AS$4&amp;",*",集計用!$G:$G,"*, "&amp;$C51&amp;", *")/$B51*100</f>
        <v>0</v>
      </c>
      <c r="AT51" s="41">
        <f>COUNTIFS(集計用!$P:$P, "*"&amp;AT$4&amp;",*",集計用!$G:$G,"*, "&amp;$C51&amp;", *")/$B51*100</f>
        <v>0</v>
      </c>
      <c r="AU51" s="41">
        <f>COUNTIFS(集計用!$P:$P, "*"&amp;AU$4&amp;",*",集計用!$G:$G,"*, "&amp;$C51&amp;", *")/$B51*100</f>
        <v>0</v>
      </c>
      <c r="AV51" s="41">
        <f>COUNTIFS(集計用!$P:$P, "*"&amp;AV$4&amp;",*",集計用!$G:$G,"*, "&amp;$C51&amp;", *")/$B51*100</f>
        <v>0</v>
      </c>
      <c r="AW51" s="41">
        <f>COUNTIFS(集計用!$P:$P, "*"&amp;AW$4&amp;",*",集計用!$G:$G,"*, "&amp;$C51&amp;", *")/$B51*100</f>
        <v>0</v>
      </c>
      <c r="AX51" s="41">
        <f>COUNTIFS(集計用!$P:$P, "*"&amp;AX$4&amp;",*",集計用!$G:$G,"*, "&amp;$C51&amp;", *")/$B51*100</f>
        <v>0</v>
      </c>
      <c r="AY51" s="41">
        <f>COUNTIFS(集計用!$P:$P, "*"&amp;AY$4&amp;",*",集計用!$G:$G,"*, "&amp;$C51&amp;", *")/$B51*100</f>
        <v>0</v>
      </c>
      <c r="AZ51" s="41">
        <f>COUNTIFS(集計用!$P:$P, "*"&amp;AZ$4&amp;",*",集計用!$G:$G,"*, "&amp;$C51&amp;", *")/$B51*100</f>
        <v>0</v>
      </c>
      <c r="BA51" s="41">
        <f>COUNTIFS(集計用!$P:$P, "*"&amp;BA$4&amp;",*",集計用!$G:$G,"*, "&amp;$C51&amp;", *")/$B51*100</f>
        <v>0</v>
      </c>
      <c r="BB51" s="41">
        <f>COUNTIFS(集計用!$P:$P, "*"&amp;BB$4&amp;",*",集計用!$G:$G,"*, "&amp;$C51&amp;", *")/$B51*100</f>
        <v>0</v>
      </c>
      <c r="BC51" s="41">
        <f>COUNTIFS(集計用!$P:$P, "*"&amp;BC$4&amp;",*",集計用!$G:$G,"*, "&amp;$C51&amp;", *")/$B51*100</f>
        <v>0</v>
      </c>
      <c r="BD51" s="41">
        <f>COUNTIFS(集計用!$P:$P, "*"&amp;BD$4&amp;",*",集計用!$G:$G,"*, "&amp;$C51&amp;", *")/$B51*100</f>
        <v>14.285714285714285</v>
      </c>
      <c r="BE51" s="41">
        <f>COUNTIFS(集計用!$P:$P, "*"&amp;BE$4&amp;",*",集計用!$G:$G,"*, "&amp;$C51&amp;", *")/$B51*100</f>
        <v>0</v>
      </c>
      <c r="BF51" s="41">
        <f>COUNTIFS(集計用!$P:$P, "*"&amp;BF$4&amp;",*",集計用!$G:$G,"*, "&amp;$C51&amp;", *")/$B51*100</f>
        <v>0</v>
      </c>
      <c r="BG51" s="41">
        <f>COUNTIFS(集計用!$P:$P, "*"&amp;BG$4&amp;",*",集計用!$G:$G,"*, "&amp;$C51&amp;", *")/$B51*100</f>
        <v>0</v>
      </c>
      <c r="BH51" s="41">
        <f>COUNTIFS(集計用!$P:$P, "*"&amp;BH$4&amp;",*",集計用!$G:$G,"*, "&amp;$C51&amp;", *")/$B51*100</f>
        <v>0</v>
      </c>
      <c r="BI51" s="41">
        <f>COUNTIFS(集計用!$P:$P, "*"&amp;BI$4&amp;",*",集計用!$G:$G,"*, "&amp;$C51&amp;", *")/$B51*100</f>
        <v>0</v>
      </c>
      <c r="BJ51" s="41">
        <f>COUNTIFS(集計用!$P:$P, "*"&amp;BJ$4&amp;",*",集計用!$G:$G,"*, "&amp;$C51&amp;", *")/$B51*100</f>
        <v>0</v>
      </c>
      <c r="BK51" s="41">
        <f>COUNTIFS(集計用!$P:$P, "*"&amp;BK$4&amp;",*",集計用!$G:$G,"*, "&amp;$C51&amp;", *")/$B51*100</f>
        <v>0</v>
      </c>
      <c r="BL51" s="41">
        <f>COUNTIFS(集計用!$P:$P, "*"&amp;BL$4&amp;",*",集計用!$G:$G,"*, "&amp;$C51&amp;", *")/$B51*100</f>
        <v>0</v>
      </c>
      <c r="BM51" s="41">
        <f>COUNTIFS(集計用!$P:$P, "*"&amp;BM$4&amp;",*",集計用!$G:$G,"*, "&amp;$C51&amp;", *")/$B51*100</f>
        <v>0</v>
      </c>
      <c r="BN51" s="41">
        <f>COUNTIFS(集計用!$P:$P, "*"&amp;BN$4&amp;",*",集計用!$G:$G,"*, "&amp;$C51&amp;", *")/$B51*100</f>
        <v>0</v>
      </c>
      <c r="BO51" s="41">
        <f>COUNTIFS(集計用!$P:$P, "*"&amp;BO$4&amp;",*",集計用!$G:$G,"*, "&amp;$C51&amp;", *")/$B51*100</f>
        <v>14.285714285714285</v>
      </c>
      <c r="BP51" s="41">
        <f>COUNTIFS(集計用!$P:$P, "*"&amp;BP$4&amp;",*",集計用!$G:$G,"*, "&amp;$C51&amp;", *")/$B51*100</f>
        <v>0</v>
      </c>
      <c r="BQ51" s="41">
        <f>COUNTIFS(集計用!$P:$P, "*"&amp;BQ$4&amp;",*",集計用!$G:$G,"*, "&amp;$C51&amp;", *")/$B51*100</f>
        <v>0</v>
      </c>
      <c r="BR51" s="41">
        <f>COUNTIFS(集計用!$P:$P, "*"&amp;BR$4&amp;",*",集計用!$G:$G,"*, "&amp;$C51&amp;", *")/$B51*100</f>
        <v>0</v>
      </c>
      <c r="BS51" s="41">
        <f>COUNTIFS(集計用!$P:$P, "*"&amp;BS$4&amp;",*",集計用!$G:$G,"*, "&amp;$C51&amp;", *")/$B51*100</f>
        <v>0</v>
      </c>
      <c r="BT51" s="41">
        <f>COUNTIFS(集計用!$P:$P, "*"&amp;BT$4&amp;",*",集計用!$G:$G,"*, "&amp;$C51&amp;", *")/$B51*100</f>
        <v>0</v>
      </c>
      <c r="BU51" s="41"/>
      <c r="BV51" s="41"/>
      <c r="BW51" s="41"/>
      <c r="BX51" s="41"/>
      <c r="BY51" s="41"/>
      <c r="BZ51" s="41"/>
      <c r="CA51" s="41"/>
      <c r="CB51" s="41"/>
      <c r="CC51" s="41"/>
      <c r="CD51" s="41"/>
      <c r="CE51" s="41"/>
      <c r="CF51" s="41"/>
      <c r="CG51" s="41"/>
      <c r="CH51" s="41"/>
      <c r="CI51" s="41"/>
      <c r="CJ51" s="41"/>
      <c r="CK51" s="41"/>
    </row>
    <row r="52" spans="1:89" ht="14.25" customHeight="1">
      <c r="A52" s="39">
        <v>4</v>
      </c>
      <c r="B52" s="39">
        <f>(COUNTIFS(集計用!$G:$G,"*, "&amp;$C52&amp;",*",集計用!$Q:$Q,"&lt;&gt;無回答"))</f>
        <v>7</v>
      </c>
      <c r="C52" s="42" t="s">
        <v>47</v>
      </c>
      <c r="D52" s="41">
        <f>COUNTIFS(集計用!$O:$O, "*, "&amp;D$4&amp;", *",集計用!$G:$G,"*, "&amp;$C52&amp;", *")/$B52*100</f>
        <v>57.142857142857139</v>
      </c>
      <c r="E52" s="41">
        <f>COUNTIFS(集計用!$O:$O, "*, "&amp;E$4&amp;", *",集計用!$G:$G,"*, "&amp;$C52&amp;", *")/$B52*100</f>
        <v>57.142857142857139</v>
      </c>
      <c r="F52" s="41">
        <f>COUNTIFS(集計用!$O:$O, "*, "&amp;F$4&amp;", *",集計用!$G:$G,"*, "&amp;$C52&amp;", *")/$B52*100</f>
        <v>71.428571428571431</v>
      </c>
      <c r="G52" s="41">
        <f>COUNTIFS(集計用!$O:$O, "*, "&amp;G$4&amp;", *",集計用!$G:$G,"*, "&amp;$C52&amp;", *")/$B52*100</f>
        <v>28.571428571428569</v>
      </c>
      <c r="H52" s="41">
        <f>COUNTIFS(集計用!$O:$O, "*, "&amp;H$4&amp;", *",集計用!$G:$G,"*, "&amp;$C52&amp;", *")/$B52*100</f>
        <v>42.857142857142854</v>
      </c>
      <c r="I52" s="41">
        <f>COUNTIFS(集計用!$O:$O, "*, "&amp;I$4&amp;", *",集計用!$G:$G,"*, "&amp;$C52&amp;", *")/$B52*100</f>
        <v>28.571428571428569</v>
      </c>
      <c r="J52" s="41">
        <f>COUNTIFS(集計用!$O:$O, "*, "&amp;J$4&amp;", *",集計用!$G:$G,"*, "&amp;$C52&amp;", *")/$B52*100</f>
        <v>57.142857142857139</v>
      </c>
      <c r="K52" s="41">
        <f>COUNTIFS(集計用!$O:$O, "*, "&amp;K$4&amp;", *",集計用!$G:$G,"*, "&amp;$C52&amp;", *")/$B52*100</f>
        <v>28.571428571428569</v>
      </c>
      <c r="L52" s="41">
        <f>COUNTIFS(集計用!$O:$O, "*, "&amp;L$4&amp;", *",集計用!$G:$G,"*, "&amp;$C52&amp;", *")/$B52*100</f>
        <v>28.571428571428569</v>
      </c>
      <c r="M52" s="41">
        <f>COUNTIFS(集計用!$O:$O, "*, "&amp;M$4&amp;", *",集計用!$G:$G,"*, "&amp;$C52&amp;", *")/$B52*100</f>
        <v>14.285714285714285</v>
      </c>
      <c r="N52" s="41">
        <f>COUNTIFS(集計用!$O:$O, "*, "&amp;N$4&amp;", *",集計用!$G:$G,"*, "&amp;$C52&amp;", *")/$B52*100</f>
        <v>14.285714285714285</v>
      </c>
      <c r="O52" s="41">
        <f>COUNTIFS(集計用!$O:$O, "*, "&amp;O$4&amp;", *",集計用!$G:$G,"*, "&amp;$C52&amp;", *")/$B52*100</f>
        <v>0</v>
      </c>
      <c r="P52" s="41">
        <f>COUNTIFS(集計用!$O:$O, "*, "&amp;P$4&amp;", *",集計用!$G:$G,"*, "&amp;$C52&amp;", *")/$B52*100</f>
        <v>28.571428571428569</v>
      </c>
      <c r="Q52" s="41">
        <f>COUNTIFS(集計用!$O:$O, "*, "&amp;Q$4&amp;", *",集計用!$G:$G,"*, "&amp;$C52&amp;", *")/$B52*100</f>
        <v>28.571428571428569</v>
      </c>
      <c r="R52" s="41">
        <f>COUNTIFS(集計用!$O:$O, "*, "&amp;R$4&amp;", *",集計用!$G:$G,"*, "&amp;$C52&amp;", *")/$B52*100</f>
        <v>28.571428571428569</v>
      </c>
      <c r="S52" s="41">
        <f>COUNTIFS(集計用!$O:$O, "*, "&amp;S$4&amp;", *",集計用!$G:$G,"*, "&amp;$C52&amp;", *")/$B52*100</f>
        <v>14.285714285714285</v>
      </c>
      <c r="T52" s="41">
        <f>COUNTIFS(集計用!$O:$O, "*, "&amp;T$4&amp;", *",集計用!$G:$G,"*, "&amp;$C52&amp;", *")/$B52*100</f>
        <v>0</v>
      </c>
      <c r="V52" s="41">
        <f>COUNTIFS(集計用!$P:$P, "*"&amp;V$4&amp;",*",集計用!$G:$G,"*, "&amp;$C52&amp;", *")/$B52*100</f>
        <v>14.285714285714285</v>
      </c>
      <c r="W52" s="41">
        <f>COUNTIFS(集計用!$P:$P, "*"&amp;W$4&amp;",*",集計用!$G:$G,"*, "&amp;$C52&amp;", *")/$B52*100</f>
        <v>0</v>
      </c>
      <c r="X52" s="41">
        <f>COUNTIFS(集計用!$P:$P, "*"&amp;X$4&amp;",*",集計用!$G:$G,"*, "&amp;$C52&amp;", *")/$B52*100</f>
        <v>14.285714285714285</v>
      </c>
      <c r="Y52" s="41">
        <f>COUNTIFS(集計用!$P:$P, "*"&amp;Y$4&amp;",*",集計用!$G:$G,"*, "&amp;$C52&amp;", *")/$B52*100</f>
        <v>0</v>
      </c>
      <c r="Z52" s="41">
        <f>COUNTIFS(集計用!$P:$P, "*"&amp;Z$4&amp;",*",集計用!$G:$G,"*, "&amp;$C52&amp;", *")/$B52*100</f>
        <v>0</v>
      </c>
      <c r="AA52" s="41">
        <f>COUNTIFS(集計用!$P:$P, "*"&amp;AA$4&amp;",*",集計用!$G:$G,"*, "&amp;$C52&amp;", *")/$B52*100</f>
        <v>0</v>
      </c>
      <c r="AB52" s="41">
        <f>COUNTIFS(集計用!$P:$P, "*"&amp;AB$4&amp;",*",集計用!$G:$G,"*, "&amp;$C52&amp;", *")/$B52*100</f>
        <v>0</v>
      </c>
      <c r="AC52" s="41">
        <f>COUNTIFS(集計用!$P:$P, "*"&amp;AC$4&amp;",*",集計用!$G:$G,"*, "&amp;$C52&amp;", *")/$B52*100</f>
        <v>0</v>
      </c>
      <c r="AD52" s="41">
        <f>COUNTIFS(集計用!$P:$P, "*"&amp;AD$4&amp;",*",集計用!$G:$G,"*, "&amp;$C52&amp;", *")/$B52*100</f>
        <v>0</v>
      </c>
      <c r="AE52" s="41">
        <f>COUNTIFS(集計用!$P:$P, "*"&amp;AE$4&amp;",*",集計用!$G:$G,"*, "&amp;$C52&amp;", *")/$B52*100</f>
        <v>0</v>
      </c>
      <c r="AF52" s="41">
        <f>COUNTIFS(集計用!$P:$P, "*"&amp;AF$4&amp;",*",集計用!$G:$G,"*, "&amp;$C52&amp;", *")/$B52*100</f>
        <v>0</v>
      </c>
      <c r="AG52" s="41">
        <f>COUNTIFS(集計用!$P:$P, "*"&amp;AG$4&amp;",*",集計用!$G:$G,"*, "&amp;$C52&amp;", *")/$B52*100</f>
        <v>0</v>
      </c>
      <c r="AH52" s="41">
        <f>COUNTIFS(集計用!$P:$P, "*"&amp;AH$4&amp;",*",集計用!$G:$G,"*, "&amp;$C52&amp;", *")/$B52*100</f>
        <v>0</v>
      </c>
      <c r="AI52" s="41">
        <f>COUNTIFS(集計用!$P:$P, "*"&amp;AI$4&amp;",*",集計用!$G:$G,"*, "&amp;$C52&amp;", *")/$B52*100</f>
        <v>0</v>
      </c>
      <c r="AJ52" s="41">
        <f>COUNTIFS(集計用!$P:$P, "*"&amp;AJ$4&amp;",*",集計用!$G:$G,"*, "&amp;$C52&amp;", *")/$B52*100</f>
        <v>0</v>
      </c>
      <c r="AK52" s="41">
        <f>COUNTIFS(集計用!$P:$P, "*"&amp;AK$4&amp;",*",集計用!$G:$G,"*, "&amp;$C52&amp;", *")/$B52*100</f>
        <v>0</v>
      </c>
      <c r="AL52" s="41">
        <f>COUNTIFS(集計用!$P:$P, "*"&amp;AL$4&amp;",*",集計用!$G:$G,"*, "&amp;$C52&amp;", *")/$B52*100</f>
        <v>0</v>
      </c>
      <c r="AM52" s="41">
        <f>COUNTIFS(集計用!$P:$P, "*"&amp;AM$4&amp;",*",集計用!$G:$G,"*, "&amp;$C52&amp;", *")/$B52*100</f>
        <v>0</v>
      </c>
      <c r="AN52" s="41">
        <f>COUNTIFS(集計用!$P:$P, "*"&amp;AN$4&amp;",*",集計用!$G:$G,"*, "&amp;$C52&amp;", *")/$B52*100</f>
        <v>0</v>
      </c>
      <c r="AO52" s="41">
        <f>COUNTIFS(集計用!$P:$P, "*"&amp;AO$4&amp;",*",集計用!$G:$G,"*, "&amp;$C52&amp;", *")/$B52*100</f>
        <v>0</v>
      </c>
      <c r="AP52" s="41">
        <f>COUNTIFS(集計用!$P:$P, "*"&amp;AP$4&amp;",*",集計用!$G:$G,"*, "&amp;$C52&amp;", *")/$B52*100</f>
        <v>14.285714285714285</v>
      </c>
      <c r="AQ52" s="41">
        <f>COUNTIFS(集計用!$P:$P, "*"&amp;AQ$4&amp;",*",集計用!$G:$G,"*, "&amp;$C52&amp;", *")/$B52*100</f>
        <v>0</v>
      </c>
      <c r="AR52" s="41">
        <f>COUNTIFS(集計用!$P:$P, "*"&amp;AR$4&amp;",*",集計用!$G:$G,"*, "&amp;$C52&amp;", *")/$B52*100</f>
        <v>14.285714285714285</v>
      </c>
      <c r="AS52" s="41">
        <f>COUNTIFS(集計用!$P:$P, "*"&amp;AS$4&amp;",*",集計用!$G:$G,"*, "&amp;$C52&amp;", *")/$B52*100</f>
        <v>0</v>
      </c>
      <c r="AT52" s="41">
        <f>COUNTIFS(集計用!$P:$P, "*"&amp;AT$4&amp;",*",集計用!$G:$G,"*, "&amp;$C52&amp;", *")/$B52*100</f>
        <v>0</v>
      </c>
      <c r="AU52" s="41">
        <f>COUNTIFS(集計用!$P:$P, "*"&amp;AU$4&amp;",*",集計用!$G:$G,"*, "&amp;$C52&amp;", *")/$B52*100</f>
        <v>0</v>
      </c>
      <c r="AV52" s="41">
        <f>COUNTIFS(集計用!$P:$P, "*"&amp;AV$4&amp;",*",集計用!$G:$G,"*, "&amp;$C52&amp;", *")/$B52*100</f>
        <v>0</v>
      </c>
      <c r="AW52" s="41">
        <f>COUNTIFS(集計用!$P:$P, "*"&amp;AW$4&amp;",*",集計用!$G:$G,"*, "&amp;$C52&amp;", *")/$B52*100</f>
        <v>0</v>
      </c>
      <c r="AX52" s="41">
        <f>COUNTIFS(集計用!$P:$P, "*"&amp;AX$4&amp;",*",集計用!$G:$G,"*, "&amp;$C52&amp;", *")/$B52*100</f>
        <v>0</v>
      </c>
      <c r="AY52" s="41">
        <f>COUNTIFS(集計用!$P:$P, "*"&amp;AY$4&amp;",*",集計用!$G:$G,"*, "&amp;$C52&amp;", *")/$B52*100</f>
        <v>0</v>
      </c>
      <c r="AZ52" s="41">
        <f>COUNTIFS(集計用!$P:$P, "*"&amp;AZ$4&amp;",*",集計用!$G:$G,"*, "&amp;$C52&amp;", *")/$B52*100</f>
        <v>0</v>
      </c>
      <c r="BA52" s="41">
        <f>COUNTIFS(集計用!$P:$P, "*"&amp;BA$4&amp;",*",集計用!$G:$G,"*, "&amp;$C52&amp;", *")/$B52*100</f>
        <v>0</v>
      </c>
      <c r="BB52" s="41">
        <f>COUNTIFS(集計用!$P:$P, "*"&amp;BB$4&amp;",*",集計用!$G:$G,"*, "&amp;$C52&amp;", *")/$B52*100</f>
        <v>0</v>
      </c>
      <c r="BC52" s="41">
        <f>COUNTIFS(集計用!$P:$P, "*"&amp;BC$4&amp;",*",集計用!$G:$G,"*, "&amp;$C52&amp;", *")/$B52*100</f>
        <v>0</v>
      </c>
      <c r="BD52" s="41">
        <f>COUNTIFS(集計用!$P:$P, "*"&amp;BD$4&amp;",*",集計用!$G:$G,"*, "&amp;$C52&amp;", *")/$B52*100</f>
        <v>0</v>
      </c>
      <c r="BE52" s="41">
        <f>COUNTIFS(集計用!$P:$P, "*"&amp;BE$4&amp;",*",集計用!$G:$G,"*, "&amp;$C52&amp;", *")/$B52*100</f>
        <v>0</v>
      </c>
      <c r="BF52" s="41">
        <f>COUNTIFS(集計用!$P:$P, "*"&amp;BF$4&amp;",*",集計用!$G:$G,"*, "&amp;$C52&amp;", *")/$B52*100</f>
        <v>0</v>
      </c>
      <c r="BG52" s="41">
        <f>COUNTIFS(集計用!$P:$P, "*"&amp;BG$4&amp;",*",集計用!$G:$G,"*, "&amp;$C52&amp;", *")/$B52*100</f>
        <v>0</v>
      </c>
      <c r="BH52" s="41">
        <f>COUNTIFS(集計用!$P:$P, "*"&amp;BH$4&amp;",*",集計用!$G:$G,"*, "&amp;$C52&amp;", *")/$B52*100</f>
        <v>0</v>
      </c>
      <c r="BI52" s="41">
        <f>COUNTIFS(集計用!$P:$P, "*"&amp;BI$4&amp;",*",集計用!$G:$G,"*, "&amp;$C52&amp;", *")/$B52*100</f>
        <v>0</v>
      </c>
      <c r="BJ52" s="41">
        <f>COUNTIFS(集計用!$P:$P, "*"&amp;BJ$4&amp;",*",集計用!$G:$G,"*, "&amp;$C52&amp;", *")/$B52*100</f>
        <v>0</v>
      </c>
      <c r="BK52" s="41">
        <f>COUNTIFS(集計用!$P:$P, "*"&amp;BK$4&amp;",*",集計用!$G:$G,"*, "&amp;$C52&amp;", *")/$B52*100</f>
        <v>14.285714285714285</v>
      </c>
      <c r="BL52" s="41">
        <f>COUNTIFS(集計用!$P:$P, "*"&amp;BL$4&amp;",*",集計用!$G:$G,"*, "&amp;$C52&amp;", *")/$B52*100</f>
        <v>0</v>
      </c>
      <c r="BM52" s="41">
        <f>COUNTIFS(集計用!$P:$P, "*"&amp;BM$4&amp;",*",集計用!$G:$G,"*, "&amp;$C52&amp;", *")/$B52*100</f>
        <v>0</v>
      </c>
      <c r="BN52" s="41">
        <f>COUNTIFS(集計用!$P:$P, "*"&amp;BN$4&amp;",*",集計用!$G:$G,"*, "&amp;$C52&amp;", *")/$B52*100</f>
        <v>0</v>
      </c>
      <c r="BO52" s="41">
        <f>COUNTIFS(集計用!$P:$P, "*"&amp;BO$4&amp;",*",集計用!$G:$G,"*, "&amp;$C52&amp;", *")/$B52*100</f>
        <v>14.285714285714285</v>
      </c>
      <c r="BP52" s="41">
        <f>COUNTIFS(集計用!$P:$P, "*"&amp;BP$4&amp;",*",集計用!$G:$G,"*, "&amp;$C52&amp;", *")/$B52*100</f>
        <v>0</v>
      </c>
      <c r="BQ52" s="41">
        <f>COUNTIFS(集計用!$P:$P, "*"&amp;BQ$4&amp;",*",集計用!$G:$G,"*, "&amp;$C52&amp;", *")/$B52*100</f>
        <v>0</v>
      </c>
      <c r="BR52" s="41">
        <f>COUNTIFS(集計用!$P:$P, "*"&amp;BR$4&amp;",*",集計用!$G:$G,"*, "&amp;$C52&amp;", *")/$B52*100</f>
        <v>0</v>
      </c>
      <c r="BS52" s="41">
        <f>COUNTIFS(集計用!$P:$P, "*"&amp;BS$4&amp;",*",集計用!$G:$G,"*, "&amp;$C52&amp;", *")/$B52*100</f>
        <v>14.285714285714285</v>
      </c>
      <c r="BT52" s="41">
        <f>COUNTIFS(集計用!$P:$P, "*"&amp;BT$4&amp;",*",集計用!$G:$G,"*, "&amp;$C52&amp;", *")/$B52*100</f>
        <v>0</v>
      </c>
      <c r="BU52" s="41"/>
      <c r="BV52" s="41"/>
      <c r="BW52" s="41"/>
      <c r="BX52" s="41"/>
      <c r="BY52" s="41"/>
      <c r="BZ52" s="41"/>
      <c r="CA52" s="41"/>
      <c r="CB52" s="41"/>
      <c r="CC52" s="41"/>
      <c r="CD52" s="41"/>
      <c r="CE52" s="41"/>
      <c r="CF52" s="41"/>
      <c r="CG52" s="41"/>
      <c r="CH52" s="41"/>
      <c r="CI52" s="41"/>
      <c r="CJ52" s="41"/>
      <c r="CK52" s="41"/>
    </row>
    <row r="53" spans="1:89" ht="14.25" customHeight="1">
      <c r="A53" s="39">
        <v>5</v>
      </c>
      <c r="B53" s="39">
        <f>(COUNTIFS(集計用!$G:$G,"*, "&amp;$C53&amp;",*",集計用!$Q:$Q,"&lt;&gt;無回答"))</f>
        <v>7</v>
      </c>
      <c r="C53" s="42" t="s">
        <v>45</v>
      </c>
      <c r="D53" s="41">
        <f>COUNTIFS(集計用!$O:$O, "*, "&amp;D$4&amp;", *",集計用!$G:$G,"*, "&amp;$C53&amp;", *")/$B53*100</f>
        <v>85.714285714285708</v>
      </c>
      <c r="E53" s="41">
        <f>COUNTIFS(集計用!$O:$O, "*, "&amp;E$4&amp;", *",集計用!$G:$G,"*, "&amp;$C53&amp;", *")/$B53*100</f>
        <v>85.714285714285708</v>
      </c>
      <c r="F53" s="41">
        <f>COUNTIFS(集計用!$O:$O, "*, "&amp;F$4&amp;", *",集計用!$G:$G,"*, "&amp;$C53&amp;", *")/$B53*100</f>
        <v>42.857142857142854</v>
      </c>
      <c r="G53" s="41">
        <f>COUNTIFS(集計用!$O:$O, "*, "&amp;G$4&amp;", *",集計用!$G:$G,"*, "&amp;$C53&amp;", *")/$B53*100</f>
        <v>42.857142857142854</v>
      </c>
      <c r="H53" s="41">
        <f>COUNTIFS(集計用!$O:$O, "*, "&amp;H$4&amp;", *",集計用!$G:$G,"*, "&amp;$C53&amp;", *")/$B53*100</f>
        <v>42.857142857142854</v>
      </c>
      <c r="I53" s="41">
        <f>COUNTIFS(集計用!$O:$O, "*, "&amp;I$4&amp;", *",集計用!$G:$G,"*, "&amp;$C53&amp;", *")/$B53*100</f>
        <v>85.714285714285708</v>
      </c>
      <c r="J53" s="41">
        <f>COUNTIFS(集計用!$O:$O, "*, "&amp;J$4&amp;", *",集計用!$G:$G,"*, "&amp;$C53&amp;", *")/$B53*100</f>
        <v>28.571428571428569</v>
      </c>
      <c r="K53" s="41">
        <f>COUNTIFS(集計用!$O:$O, "*, "&amp;K$4&amp;", *",集計用!$G:$G,"*, "&amp;$C53&amp;", *")/$B53*100</f>
        <v>57.142857142857139</v>
      </c>
      <c r="L53" s="41">
        <f>COUNTIFS(集計用!$O:$O, "*, "&amp;L$4&amp;", *",集計用!$G:$G,"*, "&amp;$C53&amp;", *")/$B53*100</f>
        <v>28.571428571428569</v>
      </c>
      <c r="M53" s="41">
        <f>COUNTIFS(集計用!$O:$O, "*, "&amp;M$4&amp;", *",集計用!$G:$G,"*, "&amp;$C53&amp;", *")/$B53*100</f>
        <v>42.857142857142854</v>
      </c>
      <c r="N53" s="41">
        <f>COUNTIFS(集計用!$O:$O, "*, "&amp;N$4&amp;", *",集計用!$G:$G,"*, "&amp;$C53&amp;", *")/$B53*100</f>
        <v>28.571428571428569</v>
      </c>
      <c r="O53" s="41">
        <f>COUNTIFS(集計用!$O:$O, "*, "&amp;O$4&amp;", *",集計用!$G:$G,"*, "&amp;$C53&amp;", *")/$B53*100</f>
        <v>14.285714285714285</v>
      </c>
      <c r="P53" s="41">
        <f>COUNTIFS(集計用!$O:$O, "*, "&amp;P$4&amp;", *",集計用!$G:$G,"*, "&amp;$C53&amp;", *")/$B53*100</f>
        <v>28.571428571428569</v>
      </c>
      <c r="Q53" s="41">
        <f>COUNTIFS(集計用!$O:$O, "*, "&amp;Q$4&amp;", *",集計用!$G:$G,"*, "&amp;$C53&amp;", *")/$B53*100</f>
        <v>14.285714285714285</v>
      </c>
      <c r="R53" s="41">
        <f>COUNTIFS(集計用!$O:$O, "*, "&amp;R$4&amp;", *",集計用!$G:$G,"*, "&amp;$C53&amp;", *")/$B53*100</f>
        <v>28.571428571428569</v>
      </c>
      <c r="S53" s="41">
        <f>COUNTIFS(集計用!$O:$O, "*, "&amp;S$4&amp;", *",集計用!$G:$G,"*, "&amp;$C53&amp;", *")/$B53*100</f>
        <v>14.285714285714285</v>
      </c>
      <c r="T53" s="41">
        <f>COUNTIFS(集計用!$O:$O, "*, "&amp;T$4&amp;", *",集計用!$G:$G,"*, "&amp;$C53&amp;", *")/$B53*100</f>
        <v>14.285714285714285</v>
      </c>
      <c r="V53" s="41">
        <f>COUNTIFS(集計用!$P:$P, "*"&amp;V$4&amp;",*",集計用!$G:$G,"*, "&amp;$C53&amp;", *")/$B53*100</f>
        <v>14.285714285714285</v>
      </c>
      <c r="W53" s="41">
        <f>COUNTIFS(集計用!$P:$P, "*"&amp;W$4&amp;",*",集計用!$G:$G,"*, "&amp;$C53&amp;", *")/$B53*100</f>
        <v>0</v>
      </c>
      <c r="X53" s="41">
        <f>COUNTIFS(集計用!$P:$P, "*"&amp;X$4&amp;",*",集計用!$G:$G,"*, "&amp;$C53&amp;", *")/$B53*100</f>
        <v>0</v>
      </c>
      <c r="Y53" s="41">
        <f>COUNTIFS(集計用!$P:$P, "*"&amp;Y$4&amp;",*",集計用!$G:$G,"*, "&amp;$C53&amp;", *")/$B53*100</f>
        <v>0</v>
      </c>
      <c r="Z53" s="41">
        <f>COUNTIFS(集計用!$P:$P, "*"&amp;Z$4&amp;",*",集計用!$G:$G,"*, "&amp;$C53&amp;", *")/$B53*100</f>
        <v>0</v>
      </c>
      <c r="AA53" s="41">
        <f>COUNTIFS(集計用!$P:$P, "*"&amp;AA$4&amp;",*",集計用!$G:$G,"*, "&amp;$C53&amp;", *")/$B53*100</f>
        <v>0</v>
      </c>
      <c r="AB53" s="41">
        <f>COUNTIFS(集計用!$P:$P, "*"&amp;AB$4&amp;",*",集計用!$G:$G,"*, "&amp;$C53&amp;", *")/$B53*100</f>
        <v>0</v>
      </c>
      <c r="AC53" s="41">
        <f>COUNTIFS(集計用!$P:$P, "*"&amp;AC$4&amp;",*",集計用!$G:$G,"*, "&amp;$C53&amp;", *")/$B53*100</f>
        <v>0</v>
      </c>
      <c r="AD53" s="41">
        <f>COUNTIFS(集計用!$P:$P, "*"&amp;AD$4&amp;",*",集計用!$G:$G,"*, "&amp;$C53&amp;", *")/$B53*100</f>
        <v>0</v>
      </c>
      <c r="AE53" s="41">
        <f>COUNTIFS(集計用!$P:$P, "*"&amp;AE$4&amp;",*",集計用!$G:$G,"*, "&amp;$C53&amp;", *")/$B53*100</f>
        <v>0</v>
      </c>
      <c r="AF53" s="41">
        <f>COUNTIFS(集計用!$P:$P, "*"&amp;AF$4&amp;",*",集計用!$G:$G,"*, "&amp;$C53&amp;", *")/$B53*100</f>
        <v>0</v>
      </c>
      <c r="AG53" s="41">
        <f>COUNTIFS(集計用!$P:$P, "*"&amp;AG$4&amp;",*",集計用!$G:$G,"*, "&amp;$C53&amp;", *")/$B53*100</f>
        <v>0</v>
      </c>
      <c r="AH53" s="41">
        <f>COUNTIFS(集計用!$P:$P, "*"&amp;AH$4&amp;",*",集計用!$G:$G,"*, "&amp;$C53&amp;", *")/$B53*100</f>
        <v>0</v>
      </c>
      <c r="AI53" s="41">
        <f>COUNTIFS(集計用!$P:$P, "*"&amp;AI$4&amp;",*",集計用!$G:$G,"*, "&amp;$C53&amp;", *")/$B53*100</f>
        <v>0</v>
      </c>
      <c r="AJ53" s="41">
        <f>COUNTIFS(集計用!$P:$P, "*"&amp;AJ$4&amp;",*",集計用!$G:$G,"*, "&amp;$C53&amp;", *")/$B53*100</f>
        <v>0</v>
      </c>
      <c r="AK53" s="41">
        <f>COUNTIFS(集計用!$P:$P, "*"&amp;AK$4&amp;",*",集計用!$G:$G,"*, "&amp;$C53&amp;", *")/$B53*100</f>
        <v>0</v>
      </c>
      <c r="AL53" s="41">
        <f>COUNTIFS(集計用!$P:$P, "*"&amp;AL$4&amp;",*",集計用!$G:$G,"*, "&amp;$C53&amp;", *")/$B53*100</f>
        <v>0</v>
      </c>
      <c r="AM53" s="41">
        <f>COUNTIFS(集計用!$P:$P, "*"&amp;AM$4&amp;",*",集計用!$G:$G,"*, "&amp;$C53&amp;", *")/$B53*100</f>
        <v>0</v>
      </c>
      <c r="AN53" s="41">
        <f>COUNTIFS(集計用!$P:$P, "*"&amp;AN$4&amp;",*",集計用!$G:$G,"*, "&amp;$C53&amp;", *")/$B53*100</f>
        <v>0</v>
      </c>
      <c r="AO53" s="41">
        <f>COUNTIFS(集計用!$P:$P, "*"&amp;AO$4&amp;",*",集計用!$G:$G,"*, "&amp;$C53&amp;", *")/$B53*100</f>
        <v>0</v>
      </c>
      <c r="AP53" s="41">
        <f>COUNTIFS(集計用!$P:$P, "*"&amp;AP$4&amp;",*",集計用!$G:$G,"*, "&amp;$C53&amp;", *")/$B53*100</f>
        <v>0</v>
      </c>
      <c r="AQ53" s="41">
        <f>COUNTIFS(集計用!$P:$P, "*"&amp;AQ$4&amp;",*",集計用!$G:$G,"*, "&amp;$C53&amp;", *")/$B53*100</f>
        <v>0</v>
      </c>
      <c r="AR53" s="41">
        <f>COUNTIFS(集計用!$P:$P, "*"&amp;AR$4&amp;",*",集計用!$G:$G,"*, "&amp;$C53&amp;", *")/$B53*100</f>
        <v>0</v>
      </c>
      <c r="AS53" s="41">
        <f>COUNTIFS(集計用!$P:$P, "*"&amp;AS$4&amp;",*",集計用!$G:$G,"*, "&amp;$C53&amp;", *")/$B53*100</f>
        <v>0</v>
      </c>
      <c r="AT53" s="41">
        <f>COUNTIFS(集計用!$P:$P, "*"&amp;AT$4&amp;",*",集計用!$G:$G,"*, "&amp;$C53&amp;", *")/$B53*100</f>
        <v>0</v>
      </c>
      <c r="AU53" s="41">
        <f>COUNTIFS(集計用!$P:$P, "*"&amp;AU$4&amp;",*",集計用!$G:$G,"*, "&amp;$C53&amp;", *")/$B53*100</f>
        <v>0</v>
      </c>
      <c r="AV53" s="41">
        <f>COUNTIFS(集計用!$P:$P, "*"&amp;AV$4&amp;",*",集計用!$G:$G,"*, "&amp;$C53&amp;", *")/$B53*100</f>
        <v>0</v>
      </c>
      <c r="AW53" s="41">
        <f>COUNTIFS(集計用!$P:$P, "*"&amp;AW$4&amp;",*",集計用!$G:$G,"*, "&amp;$C53&amp;", *")/$B53*100</f>
        <v>0</v>
      </c>
      <c r="AX53" s="41">
        <f>COUNTIFS(集計用!$P:$P, "*"&amp;AX$4&amp;",*",集計用!$G:$G,"*, "&amp;$C53&amp;", *")/$B53*100</f>
        <v>0</v>
      </c>
      <c r="AY53" s="41">
        <f>COUNTIFS(集計用!$P:$P, "*"&amp;AY$4&amp;",*",集計用!$G:$G,"*, "&amp;$C53&amp;", *")/$B53*100</f>
        <v>0</v>
      </c>
      <c r="AZ53" s="41">
        <f>COUNTIFS(集計用!$P:$P, "*"&amp;AZ$4&amp;",*",集計用!$G:$G,"*, "&amp;$C53&amp;", *")/$B53*100</f>
        <v>0</v>
      </c>
      <c r="BA53" s="41">
        <f>COUNTIFS(集計用!$P:$P, "*"&amp;BA$4&amp;",*",集計用!$G:$G,"*, "&amp;$C53&amp;", *")/$B53*100</f>
        <v>0</v>
      </c>
      <c r="BB53" s="41">
        <f>COUNTIFS(集計用!$P:$P, "*"&amp;BB$4&amp;",*",集計用!$G:$G,"*, "&amp;$C53&amp;", *")/$B53*100</f>
        <v>0</v>
      </c>
      <c r="BC53" s="41">
        <f>COUNTIFS(集計用!$P:$P, "*"&amp;BC$4&amp;",*",集計用!$G:$G,"*, "&amp;$C53&amp;", *")/$B53*100</f>
        <v>0</v>
      </c>
      <c r="BD53" s="41">
        <f>COUNTIFS(集計用!$P:$P, "*"&amp;BD$4&amp;",*",集計用!$G:$G,"*, "&amp;$C53&amp;", *")/$B53*100</f>
        <v>0</v>
      </c>
      <c r="BE53" s="41">
        <f>COUNTIFS(集計用!$P:$P, "*"&amp;BE$4&amp;",*",集計用!$G:$G,"*, "&amp;$C53&amp;", *")/$B53*100</f>
        <v>0</v>
      </c>
      <c r="BF53" s="41">
        <f>COUNTIFS(集計用!$P:$P, "*"&amp;BF$4&amp;",*",集計用!$G:$G,"*, "&amp;$C53&amp;", *")/$B53*100</f>
        <v>0</v>
      </c>
      <c r="BG53" s="41">
        <f>COUNTIFS(集計用!$P:$P, "*"&amp;BG$4&amp;",*",集計用!$G:$G,"*, "&amp;$C53&amp;", *")/$B53*100</f>
        <v>0</v>
      </c>
      <c r="BH53" s="41">
        <f>COUNTIFS(集計用!$P:$P, "*"&amp;BH$4&amp;",*",集計用!$G:$G,"*, "&amp;$C53&amp;", *")/$B53*100</f>
        <v>0</v>
      </c>
      <c r="BI53" s="41">
        <f>COUNTIFS(集計用!$P:$P, "*"&amp;BI$4&amp;",*",集計用!$G:$G,"*, "&amp;$C53&amp;", *")/$B53*100</f>
        <v>0</v>
      </c>
      <c r="BJ53" s="41">
        <f>COUNTIFS(集計用!$P:$P, "*"&amp;BJ$4&amp;",*",集計用!$G:$G,"*, "&amp;$C53&amp;", *")/$B53*100</f>
        <v>0</v>
      </c>
      <c r="BK53" s="41">
        <f>COUNTIFS(集計用!$P:$P, "*"&amp;BK$4&amp;",*",集計用!$G:$G,"*, "&amp;$C53&amp;", *")/$B53*100</f>
        <v>0</v>
      </c>
      <c r="BL53" s="41">
        <f>COUNTIFS(集計用!$P:$P, "*"&amp;BL$4&amp;",*",集計用!$G:$G,"*, "&amp;$C53&amp;", *")/$B53*100</f>
        <v>0</v>
      </c>
      <c r="BM53" s="41">
        <f>COUNTIFS(集計用!$P:$P, "*"&amp;BM$4&amp;",*",集計用!$G:$G,"*, "&amp;$C53&amp;", *")/$B53*100</f>
        <v>14.285714285714285</v>
      </c>
      <c r="BN53" s="41">
        <f>COUNTIFS(集計用!$P:$P, "*"&amp;BN$4&amp;",*",集計用!$G:$G,"*, "&amp;$C53&amp;", *")/$B53*100</f>
        <v>0</v>
      </c>
      <c r="BO53" s="41">
        <f>COUNTIFS(集計用!$P:$P, "*"&amp;BO$4&amp;",*",集計用!$G:$G,"*, "&amp;$C53&amp;", *")/$B53*100</f>
        <v>0</v>
      </c>
      <c r="BP53" s="41">
        <f>COUNTIFS(集計用!$P:$P, "*"&amp;BP$4&amp;",*",集計用!$G:$G,"*, "&amp;$C53&amp;", *")/$B53*100</f>
        <v>0</v>
      </c>
      <c r="BQ53" s="41">
        <f>COUNTIFS(集計用!$P:$P, "*"&amp;BQ$4&amp;",*",集計用!$G:$G,"*, "&amp;$C53&amp;", *")/$B53*100</f>
        <v>0</v>
      </c>
      <c r="BR53" s="41">
        <f>COUNTIFS(集計用!$P:$P, "*"&amp;BR$4&amp;",*",集計用!$G:$G,"*, "&amp;$C53&amp;", *")/$B53*100</f>
        <v>0</v>
      </c>
      <c r="BS53" s="41">
        <f>COUNTIFS(集計用!$P:$P, "*"&amp;BS$4&amp;",*",集計用!$G:$G,"*, "&amp;$C53&amp;", *")/$B53*100</f>
        <v>0</v>
      </c>
      <c r="BT53" s="41">
        <f>COUNTIFS(集計用!$P:$P, "*"&amp;BT$4&amp;",*",集計用!$G:$G,"*, "&amp;$C53&amp;", *")/$B53*100</f>
        <v>0</v>
      </c>
      <c r="BU53" s="41"/>
      <c r="BV53" s="41"/>
      <c r="BW53" s="41"/>
      <c r="BX53" s="41"/>
      <c r="BY53" s="41"/>
      <c r="BZ53" s="41"/>
      <c r="CA53" s="41"/>
      <c r="CB53" s="41"/>
      <c r="CC53" s="41"/>
      <c r="CD53" s="41"/>
      <c r="CE53" s="41"/>
      <c r="CF53" s="41"/>
      <c r="CG53" s="41"/>
      <c r="CH53" s="41"/>
      <c r="CI53" s="41"/>
      <c r="CJ53" s="41"/>
      <c r="CK53" s="41"/>
    </row>
    <row r="54" spans="1:89" ht="14.25" customHeight="1">
      <c r="A54" s="39">
        <v>2</v>
      </c>
      <c r="B54" s="39">
        <f>(COUNTIFS(集計用!$G:$G,"*, "&amp;$C54&amp;",*",集計用!$Q:$Q,"&lt;&gt;無回答"))</f>
        <v>6</v>
      </c>
      <c r="C54" s="42" t="s">
        <v>48</v>
      </c>
      <c r="D54" s="41">
        <f>COUNTIFS(集計用!$O:$O, "*, "&amp;D$4&amp;", *",集計用!$G:$G,"*, "&amp;$C54&amp;", *")/$B54*100</f>
        <v>83.333333333333343</v>
      </c>
      <c r="E54" s="41">
        <f>COUNTIFS(集計用!$O:$O, "*, "&amp;E$4&amp;", *",集計用!$G:$G,"*, "&amp;$C54&amp;", *")/$B54*100</f>
        <v>50</v>
      </c>
      <c r="F54" s="41">
        <f>COUNTIFS(集計用!$O:$O, "*, "&amp;F$4&amp;", *",集計用!$G:$G,"*, "&amp;$C54&amp;", *")/$B54*100</f>
        <v>50</v>
      </c>
      <c r="G54" s="41">
        <f>COUNTIFS(集計用!$O:$O, "*, "&amp;G$4&amp;", *",集計用!$G:$G,"*, "&amp;$C54&amp;", *")/$B54*100</f>
        <v>33.333333333333329</v>
      </c>
      <c r="H54" s="41">
        <f>COUNTIFS(集計用!$O:$O, "*, "&amp;H$4&amp;", *",集計用!$G:$G,"*, "&amp;$C54&amp;", *")/$B54*100</f>
        <v>33.333333333333329</v>
      </c>
      <c r="I54" s="41">
        <f>COUNTIFS(集計用!$O:$O, "*, "&amp;I$4&amp;", *",集計用!$G:$G,"*, "&amp;$C54&amp;", *")/$B54*100</f>
        <v>50</v>
      </c>
      <c r="J54" s="41">
        <f>COUNTIFS(集計用!$O:$O, "*, "&amp;J$4&amp;", *",集計用!$G:$G,"*, "&amp;$C54&amp;", *")/$B54*100</f>
        <v>33.333333333333329</v>
      </c>
      <c r="K54" s="41">
        <f>COUNTIFS(集計用!$O:$O, "*, "&amp;K$4&amp;", *",集計用!$G:$G,"*, "&amp;$C54&amp;", *")/$B54*100</f>
        <v>33.333333333333329</v>
      </c>
      <c r="L54" s="41">
        <f>COUNTIFS(集計用!$O:$O, "*, "&amp;L$4&amp;", *",集計用!$G:$G,"*, "&amp;$C54&amp;", *")/$B54*100</f>
        <v>16.666666666666664</v>
      </c>
      <c r="M54" s="41">
        <f>COUNTIFS(集計用!$O:$O, "*, "&amp;M$4&amp;", *",集計用!$G:$G,"*, "&amp;$C54&amp;", *")/$B54*100</f>
        <v>33.333333333333329</v>
      </c>
      <c r="N54" s="41">
        <f>COUNTIFS(集計用!$O:$O, "*, "&amp;N$4&amp;", *",集計用!$G:$G,"*, "&amp;$C54&amp;", *")/$B54*100</f>
        <v>16.666666666666664</v>
      </c>
      <c r="O54" s="41">
        <f>COUNTIFS(集計用!$O:$O, "*, "&amp;O$4&amp;", *",集計用!$G:$G,"*, "&amp;$C54&amp;", *")/$B54*100</f>
        <v>16.666666666666664</v>
      </c>
      <c r="P54" s="41">
        <f>COUNTIFS(集計用!$O:$O, "*, "&amp;P$4&amp;", *",集計用!$G:$G,"*, "&amp;$C54&amp;", *")/$B54*100</f>
        <v>16.666666666666664</v>
      </c>
      <c r="Q54" s="41">
        <f>COUNTIFS(集計用!$O:$O, "*, "&amp;Q$4&amp;", *",集計用!$G:$G,"*, "&amp;$C54&amp;", *")/$B54*100</f>
        <v>16.666666666666664</v>
      </c>
      <c r="R54" s="41">
        <f>COUNTIFS(集計用!$O:$O, "*, "&amp;R$4&amp;", *",集計用!$G:$G,"*, "&amp;$C54&amp;", *")/$B54*100</f>
        <v>16.666666666666664</v>
      </c>
      <c r="S54" s="41">
        <f>COUNTIFS(集計用!$O:$O, "*, "&amp;S$4&amp;", *",集計用!$G:$G,"*, "&amp;$C54&amp;", *")/$B54*100</f>
        <v>16.666666666666664</v>
      </c>
      <c r="T54" s="41">
        <f>COUNTIFS(集計用!$O:$O, "*, "&amp;T$4&amp;", *",集計用!$G:$G,"*, "&amp;$C54&amp;", *")/$B54*100</f>
        <v>0</v>
      </c>
      <c r="V54" s="41">
        <f>COUNTIFS(集計用!$P:$P, "*"&amp;V$4&amp;",*",集計用!$G:$G,"*, "&amp;$C54&amp;", *")/$B54*100</f>
        <v>0</v>
      </c>
      <c r="W54" s="41">
        <f>COUNTIFS(集計用!$P:$P, "*"&amp;W$4&amp;",*",集計用!$G:$G,"*, "&amp;$C54&amp;", *")/$B54*100</f>
        <v>0</v>
      </c>
      <c r="X54" s="41">
        <f>COUNTIFS(集計用!$P:$P, "*"&amp;X$4&amp;",*",集計用!$G:$G,"*, "&amp;$C54&amp;", *")/$B54*100</f>
        <v>0</v>
      </c>
      <c r="Y54" s="41">
        <f>COUNTIFS(集計用!$P:$P, "*"&amp;Y$4&amp;",*",集計用!$G:$G,"*, "&amp;$C54&amp;", *")/$B54*100</f>
        <v>0</v>
      </c>
      <c r="Z54" s="41">
        <f>COUNTIFS(集計用!$P:$P, "*"&amp;Z$4&amp;",*",集計用!$G:$G,"*, "&amp;$C54&amp;", *")/$B54*100</f>
        <v>0</v>
      </c>
      <c r="AA54" s="41">
        <f>COUNTIFS(集計用!$P:$P, "*"&amp;AA$4&amp;",*",集計用!$G:$G,"*, "&amp;$C54&amp;", *")/$B54*100</f>
        <v>0</v>
      </c>
      <c r="AB54" s="41">
        <f>COUNTIFS(集計用!$P:$P, "*"&amp;AB$4&amp;",*",集計用!$G:$G,"*, "&amp;$C54&amp;", *")/$B54*100</f>
        <v>0</v>
      </c>
      <c r="AC54" s="41">
        <f>COUNTIFS(集計用!$P:$P, "*"&amp;AC$4&amp;",*",集計用!$G:$G,"*, "&amp;$C54&amp;", *")/$B54*100</f>
        <v>0</v>
      </c>
      <c r="AD54" s="41">
        <f>COUNTIFS(集計用!$P:$P, "*"&amp;AD$4&amp;",*",集計用!$G:$G,"*, "&amp;$C54&amp;", *")/$B54*100</f>
        <v>0</v>
      </c>
      <c r="AE54" s="41">
        <f>COUNTIFS(集計用!$P:$P, "*"&amp;AE$4&amp;",*",集計用!$G:$G,"*, "&amp;$C54&amp;", *")/$B54*100</f>
        <v>0</v>
      </c>
      <c r="AF54" s="41">
        <f>COUNTIFS(集計用!$P:$P, "*"&amp;AF$4&amp;",*",集計用!$G:$G,"*, "&amp;$C54&amp;", *")/$B54*100</f>
        <v>0</v>
      </c>
      <c r="AG54" s="41">
        <f>COUNTIFS(集計用!$P:$P, "*"&amp;AG$4&amp;",*",集計用!$G:$G,"*, "&amp;$C54&amp;", *")/$B54*100</f>
        <v>0</v>
      </c>
      <c r="AH54" s="41">
        <f>COUNTIFS(集計用!$P:$P, "*"&amp;AH$4&amp;",*",集計用!$G:$G,"*, "&amp;$C54&amp;", *")/$B54*100</f>
        <v>0</v>
      </c>
      <c r="AI54" s="41">
        <f>COUNTIFS(集計用!$P:$P, "*"&amp;AI$4&amp;",*",集計用!$G:$G,"*, "&amp;$C54&amp;", *")/$B54*100</f>
        <v>0</v>
      </c>
      <c r="AJ54" s="41">
        <f>COUNTIFS(集計用!$P:$P, "*"&amp;AJ$4&amp;",*",集計用!$G:$G,"*, "&amp;$C54&amp;", *")/$B54*100</f>
        <v>0</v>
      </c>
      <c r="AK54" s="41">
        <f>COUNTIFS(集計用!$P:$P, "*"&amp;AK$4&amp;",*",集計用!$G:$G,"*, "&amp;$C54&amp;", *")/$B54*100</f>
        <v>0</v>
      </c>
      <c r="AL54" s="41">
        <f>COUNTIFS(集計用!$P:$P, "*"&amp;AL$4&amp;",*",集計用!$G:$G,"*, "&amp;$C54&amp;", *")/$B54*100</f>
        <v>0</v>
      </c>
      <c r="AM54" s="41">
        <f>COUNTIFS(集計用!$P:$P, "*"&amp;AM$4&amp;",*",集計用!$G:$G,"*, "&amp;$C54&amp;", *")/$B54*100</f>
        <v>0</v>
      </c>
      <c r="AN54" s="41">
        <f>COUNTIFS(集計用!$P:$P, "*"&amp;AN$4&amp;",*",集計用!$G:$G,"*, "&amp;$C54&amp;", *")/$B54*100</f>
        <v>0</v>
      </c>
      <c r="AO54" s="41">
        <f>COUNTIFS(集計用!$P:$P, "*"&amp;AO$4&amp;",*",集計用!$G:$G,"*, "&amp;$C54&amp;", *")/$B54*100</f>
        <v>0</v>
      </c>
      <c r="AP54" s="41">
        <f>COUNTIFS(集計用!$P:$P, "*"&amp;AP$4&amp;",*",集計用!$G:$G,"*, "&amp;$C54&amp;", *")/$B54*100</f>
        <v>0</v>
      </c>
      <c r="AQ54" s="41">
        <f>COUNTIFS(集計用!$P:$P, "*"&amp;AQ$4&amp;",*",集計用!$G:$G,"*, "&amp;$C54&amp;", *")/$B54*100</f>
        <v>0</v>
      </c>
      <c r="AR54" s="41">
        <f>COUNTIFS(集計用!$P:$P, "*"&amp;AR$4&amp;",*",集計用!$G:$G,"*, "&amp;$C54&amp;", *")/$B54*100</f>
        <v>0</v>
      </c>
      <c r="AS54" s="41">
        <f>COUNTIFS(集計用!$P:$P, "*"&amp;AS$4&amp;",*",集計用!$G:$G,"*, "&amp;$C54&amp;", *")/$B54*100</f>
        <v>0</v>
      </c>
      <c r="AT54" s="41">
        <f>COUNTIFS(集計用!$P:$P, "*"&amp;AT$4&amp;",*",集計用!$G:$G,"*, "&amp;$C54&amp;", *")/$B54*100</f>
        <v>0</v>
      </c>
      <c r="AU54" s="41">
        <f>COUNTIFS(集計用!$P:$P, "*"&amp;AU$4&amp;",*",集計用!$G:$G,"*, "&amp;$C54&amp;", *")/$B54*100</f>
        <v>0</v>
      </c>
      <c r="AV54" s="41">
        <f>COUNTIFS(集計用!$P:$P, "*"&amp;AV$4&amp;",*",集計用!$G:$G,"*, "&amp;$C54&amp;", *")/$B54*100</f>
        <v>0</v>
      </c>
      <c r="AW54" s="41">
        <f>COUNTIFS(集計用!$P:$P, "*"&amp;AW$4&amp;",*",集計用!$G:$G,"*, "&amp;$C54&amp;", *")/$B54*100</f>
        <v>0</v>
      </c>
      <c r="AX54" s="41">
        <f>COUNTIFS(集計用!$P:$P, "*"&amp;AX$4&amp;",*",集計用!$G:$G,"*, "&amp;$C54&amp;", *")/$B54*100</f>
        <v>0</v>
      </c>
      <c r="AY54" s="41">
        <f>COUNTIFS(集計用!$P:$P, "*"&amp;AY$4&amp;",*",集計用!$G:$G,"*, "&amp;$C54&amp;", *")/$B54*100</f>
        <v>0</v>
      </c>
      <c r="AZ54" s="41">
        <f>COUNTIFS(集計用!$P:$P, "*"&amp;AZ$4&amp;",*",集計用!$G:$G,"*, "&amp;$C54&amp;", *")/$B54*100</f>
        <v>0</v>
      </c>
      <c r="BA54" s="41">
        <f>COUNTIFS(集計用!$P:$P, "*"&amp;BA$4&amp;",*",集計用!$G:$G,"*, "&amp;$C54&amp;", *")/$B54*100</f>
        <v>0</v>
      </c>
      <c r="BB54" s="41">
        <f>COUNTIFS(集計用!$P:$P, "*"&amp;BB$4&amp;",*",集計用!$G:$G,"*, "&amp;$C54&amp;", *")/$B54*100</f>
        <v>0</v>
      </c>
      <c r="BC54" s="41">
        <f>COUNTIFS(集計用!$P:$P, "*"&amp;BC$4&amp;",*",集計用!$G:$G,"*, "&amp;$C54&amp;", *")/$B54*100</f>
        <v>0</v>
      </c>
      <c r="BD54" s="41">
        <f>COUNTIFS(集計用!$P:$P, "*"&amp;BD$4&amp;",*",集計用!$G:$G,"*, "&amp;$C54&amp;", *")/$B54*100</f>
        <v>0</v>
      </c>
      <c r="BE54" s="41">
        <f>COUNTIFS(集計用!$P:$P, "*"&amp;BE$4&amp;",*",集計用!$G:$G,"*, "&amp;$C54&amp;", *")/$B54*100</f>
        <v>0</v>
      </c>
      <c r="BF54" s="41">
        <f>COUNTIFS(集計用!$P:$P, "*"&amp;BF$4&amp;",*",集計用!$G:$G,"*, "&amp;$C54&amp;", *")/$B54*100</f>
        <v>0</v>
      </c>
      <c r="BG54" s="41">
        <f>COUNTIFS(集計用!$P:$P, "*"&amp;BG$4&amp;",*",集計用!$G:$G,"*, "&amp;$C54&amp;", *")/$B54*100</f>
        <v>0</v>
      </c>
      <c r="BH54" s="41">
        <f>COUNTIFS(集計用!$P:$P, "*"&amp;BH$4&amp;",*",集計用!$G:$G,"*, "&amp;$C54&amp;", *")/$B54*100</f>
        <v>0</v>
      </c>
      <c r="BI54" s="41">
        <f>COUNTIFS(集計用!$P:$P, "*"&amp;BI$4&amp;",*",集計用!$G:$G,"*, "&amp;$C54&amp;", *")/$B54*100</f>
        <v>0</v>
      </c>
      <c r="BJ54" s="41">
        <f>COUNTIFS(集計用!$P:$P, "*"&amp;BJ$4&amp;",*",集計用!$G:$G,"*, "&amp;$C54&amp;", *")/$B54*100</f>
        <v>0</v>
      </c>
      <c r="BK54" s="41">
        <f>COUNTIFS(集計用!$P:$P, "*"&amp;BK$4&amp;",*",集計用!$G:$G,"*, "&amp;$C54&amp;", *")/$B54*100</f>
        <v>0</v>
      </c>
      <c r="BL54" s="41">
        <f>COUNTIFS(集計用!$P:$P, "*"&amp;BL$4&amp;",*",集計用!$G:$G,"*, "&amp;$C54&amp;", *")/$B54*100</f>
        <v>0</v>
      </c>
      <c r="BM54" s="41">
        <f>COUNTIFS(集計用!$P:$P, "*"&amp;BM$4&amp;",*",集計用!$G:$G,"*, "&amp;$C54&amp;", *")/$B54*100</f>
        <v>0</v>
      </c>
      <c r="BN54" s="41">
        <f>COUNTIFS(集計用!$P:$P, "*"&amp;BN$4&amp;",*",集計用!$G:$G,"*, "&amp;$C54&amp;", *")/$B54*100</f>
        <v>0</v>
      </c>
      <c r="BO54" s="41">
        <f>COUNTIFS(集計用!$P:$P, "*"&amp;BO$4&amp;",*",集計用!$G:$G,"*, "&amp;$C54&amp;", *")/$B54*100</f>
        <v>0</v>
      </c>
      <c r="BP54" s="41">
        <f>COUNTIFS(集計用!$P:$P, "*"&amp;BP$4&amp;",*",集計用!$G:$G,"*, "&amp;$C54&amp;", *")/$B54*100</f>
        <v>0</v>
      </c>
      <c r="BQ54" s="41">
        <f>COUNTIFS(集計用!$P:$P, "*"&amp;BQ$4&amp;",*",集計用!$G:$G,"*, "&amp;$C54&amp;", *")/$B54*100</f>
        <v>0</v>
      </c>
      <c r="BR54" s="41">
        <f>COUNTIFS(集計用!$P:$P, "*"&amp;BR$4&amp;",*",集計用!$G:$G,"*, "&amp;$C54&amp;", *")/$B54*100</f>
        <v>0</v>
      </c>
      <c r="BS54" s="41">
        <f>COUNTIFS(集計用!$P:$P, "*"&amp;BS$4&amp;",*",集計用!$G:$G,"*, "&amp;$C54&amp;", *")/$B54*100</f>
        <v>0</v>
      </c>
      <c r="BT54" s="41">
        <f>COUNTIFS(集計用!$P:$P, "*"&amp;BT$4&amp;",*",集計用!$G:$G,"*, "&amp;$C54&amp;", *")/$B54*100</f>
        <v>0</v>
      </c>
      <c r="BU54" s="41"/>
      <c r="BV54" s="41"/>
      <c r="BW54" s="41"/>
      <c r="BX54" s="41"/>
      <c r="BY54" s="41"/>
      <c r="BZ54" s="41"/>
      <c r="CA54" s="41"/>
      <c r="CB54" s="41"/>
      <c r="CC54" s="41"/>
      <c r="CD54" s="41"/>
      <c r="CE54" s="41"/>
      <c r="CF54" s="41"/>
      <c r="CG54" s="41"/>
      <c r="CH54" s="41"/>
      <c r="CI54" s="41"/>
      <c r="CJ54" s="41"/>
      <c r="CK54" s="41"/>
    </row>
    <row r="55" spans="1:89" ht="12.75">
      <c r="A55" s="39">
        <v>5</v>
      </c>
      <c r="B55" s="39">
        <f>(COUNTIFS(集計用!$G:$G,"*, "&amp;$C55&amp;",*",集計用!$Q:$Q,"&lt;&gt;無回答"))</f>
        <v>6</v>
      </c>
      <c r="C55" s="42" t="s">
        <v>49</v>
      </c>
      <c r="D55" s="41">
        <f>COUNTIFS(集計用!$O:$O, "*, "&amp;D$4&amp;", *",集計用!$G:$G,"*, "&amp;$C55&amp;", *")/$B55*100</f>
        <v>66.666666666666657</v>
      </c>
      <c r="E55" s="41">
        <f>COUNTIFS(集計用!$O:$O, "*, "&amp;E$4&amp;", *",集計用!$G:$G,"*, "&amp;$C55&amp;", *")/$B55*100</f>
        <v>100</v>
      </c>
      <c r="F55" s="41">
        <f>COUNTIFS(集計用!$O:$O, "*, "&amp;F$4&amp;", *",集計用!$G:$G,"*, "&amp;$C55&amp;", *")/$B55*100</f>
        <v>83.333333333333343</v>
      </c>
      <c r="G55" s="41">
        <f>COUNTIFS(集計用!$O:$O, "*, "&amp;G$4&amp;", *",集計用!$G:$G,"*, "&amp;$C55&amp;", *")/$B55*100</f>
        <v>50</v>
      </c>
      <c r="H55" s="41">
        <f>COUNTIFS(集計用!$O:$O, "*, "&amp;H$4&amp;", *",集計用!$G:$G,"*, "&amp;$C55&amp;", *")/$B55*100</f>
        <v>66.666666666666657</v>
      </c>
      <c r="I55" s="41">
        <f>COUNTIFS(集計用!$O:$O, "*, "&amp;I$4&amp;", *",集計用!$G:$G,"*, "&amp;$C55&amp;", *")/$B55*100</f>
        <v>50</v>
      </c>
      <c r="J55" s="41">
        <f>COUNTIFS(集計用!$O:$O, "*, "&amp;J$4&amp;", *",集計用!$G:$G,"*, "&amp;$C55&amp;", *")/$B55*100</f>
        <v>33.333333333333329</v>
      </c>
      <c r="K55" s="41">
        <f>COUNTIFS(集計用!$O:$O, "*, "&amp;K$4&amp;", *",集計用!$G:$G,"*, "&amp;$C55&amp;", *")/$B55*100</f>
        <v>66.666666666666657</v>
      </c>
      <c r="L55" s="41">
        <f>COUNTIFS(集計用!$O:$O, "*, "&amp;L$4&amp;", *",集計用!$G:$G,"*, "&amp;$C55&amp;", *")/$B55*100</f>
        <v>33.333333333333329</v>
      </c>
      <c r="M55" s="41">
        <f>COUNTIFS(集計用!$O:$O, "*, "&amp;M$4&amp;", *",集計用!$G:$G,"*, "&amp;$C55&amp;", *")/$B55*100</f>
        <v>83.333333333333343</v>
      </c>
      <c r="N55" s="41">
        <f>COUNTIFS(集計用!$O:$O, "*, "&amp;N$4&amp;", *",集計用!$G:$G,"*, "&amp;$C55&amp;", *")/$B55*100</f>
        <v>16.666666666666664</v>
      </c>
      <c r="O55" s="41">
        <f>COUNTIFS(集計用!$O:$O, "*, "&amp;O$4&amp;", *",集計用!$G:$G,"*, "&amp;$C55&amp;", *")/$B55*100</f>
        <v>0</v>
      </c>
      <c r="P55" s="41">
        <f>COUNTIFS(集計用!$O:$O, "*, "&amp;P$4&amp;", *",集計用!$G:$G,"*, "&amp;$C55&amp;", *")/$B55*100</f>
        <v>50</v>
      </c>
      <c r="Q55" s="41">
        <f>COUNTIFS(集計用!$O:$O, "*, "&amp;Q$4&amp;", *",集計用!$G:$G,"*, "&amp;$C55&amp;", *")/$B55*100</f>
        <v>16.666666666666664</v>
      </c>
      <c r="R55" s="41">
        <f>COUNTIFS(集計用!$O:$O, "*, "&amp;R$4&amp;", *",集計用!$G:$G,"*, "&amp;$C55&amp;", *")/$B55*100</f>
        <v>16.666666666666664</v>
      </c>
      <c r="S55" s="41">
        <f>COUNTIFS(集計用!$O:$O, "*, "&amp;S$4&amp;", *",集計用!$G:$G,"*, "&amp;$C55&amp;", *")/$B55*100</f>
        <v>16.666666666666664</v>
      </c>
      <c r="T55" s="41">
        <f>COUNTIFS(集計用!$O:$O, "*, "&amp;T$4&amp;", *",集計用!$G:$G,"*, "&amp;$C55&amp;", *")/$B55*100</f>
        <v>16.666666666666664</v>
      </c>
      <c r="V55" s="41">
        <f>COUNTIFS(集計用!$P:$P, "*"&amp;V$4&amp;",*",集計用!$G:$G,"*, "&amp;$C55&amp;", *")/$B55*100</f>
        <v>16.666666666666664</v>
      </c>
      <c r="W55" s="41">
        <f>COUNTIFS(集計用!$P:$P, "*"&amp;W$4&amp;",*",集計用!$G:$G,"*, "&amp;$C55&amp;", *")/$B55*100</f>
        <v>0</v>
      </c>
      <c r="X55" s="41">
        <f>COUNTIFS(集計用!$P:$P, "*"&amp;X$4&amp;",*",集計用!$G:$G,"*, "&amp;$C55&amp;", *")/$B55*100</f>
        <v>0</v>
      </c>
      <c r="Y55" s="41">
        <f>COUNTIFS(集計用!$P:$P, "*"&amp;Y$4&amp;",*",集計用!$G:$G,"*, "&amp;$C55&amp;", *")/$B55*100</f>
        <v>16.666666666666664</v>
      </c>
      <c r="Z55" s="41">
        <f>COUNTIFS(集計用!$P:$P, "*"&amp;Z$4&amp;",*",集計用!$G:$G,"*, "&amp;$C55&amp;", *")/$B55*100</f>
        <v>0</v>
      </c>
      <c r="AA55" s="41">
        <f>COUNTIFS(集計用!$P:$P, "*"&amp;AA$4&amp;",*",集計用!$G:$G,"*, "&amp;$C55&amp;", *")/$B55*100</f>
        <v>0</v>
      </c>
      <c r="AB55" s="41">
        <f>COUNTIFS(集計用!$P:$P, "*"&amp;AB$4&amp;",*",集計用!$G:$G,"*, "&amp;$C55&amp;", *")/$B55*100</f>
        <v>0</v>
      </c>
      <c r="AC55" s="41">
        <f>COUNTIFS(集計用!$P:$P, "*"&amp;AC$4&amp;",*",集計用!$G:$G,"*, "&amp;$C55&amp;", *")/$B55*100</f>
        <v>0</v>
      </c>
      <c r="AD55" s="41">
        <f>COUNTIFS(集計用!$P:$P, "*"&amp;AD$4&amp;",*",集計用!$G:$G,"*, "&amp;$C55&amp;", *")/$B55*100</f>
        <v>0</v>
      </c>
      <c r="AE55" s="41">
        <f>COUNTIFS(集計用!$P:$P, "*"&amp;AE$4&amp;",*",集計用!$G:$G,"*, "&amp;$C55&amp;", *")/$B55*100</f>
        <v>0</v>
      </c>
      <c r="AF55" s="41">
        <f>COUNTIFS(集計用!$P:$P, "*"&amp;AF$4&amp;",*",集計用!$G:$G,"*, "&amp;$C55&amp;", *")/$B55*100</f>
        <v>0</v>
      </c>
      <c r="AG55" s="41">
        <f>COUNTIFS(集計用!$P:$P, "*"&amp;AG$4&amp;",*",集計用!$G:$G,"*, "&amp;$C55&amp;", *")/$B55*100</f>
        <v>0</v>
      </c>
      <c r="AH55" s="41">
        <f>COUNTIFS(集計用!$P:$P, "*"&amp;AH$4&amp;",*",集計用!$G:$G,"*, "&amp;$C55&amp;", *")/$B55*100</f>
        <v>0</v>
      </c>
      <c r="AI55" s="41">
        <f>COUNTIFS(集計用!$P:$P, "*"&amp;AI$4&amp;",*",集計用!$G:$G,"*, "&amp;$C55&amp;", *")/$B55*100</f>
        <v>0</v>
      </c>
      <c r="AJ55" s="41">
        <f>COUNTIFS(集計用!$P:$P, "*"&amp;AJ$4&amp;",*",集計用!$G:$G,"*, "&amp;$C55&amp;", *")/$B55*100</f>
        <v>0</v>
      </c>
      <c r="AK55" s="41">
        <f>COUNTIFS(集計用!$P:$P, "*"&amp;AK$4&amp;",*",集計用!$G:$G,"*, "&amp;$C55&amp;", *")/$B55*100</f>
        <v>0</v>
      </c>
      <c r="AL55" s="41">
        <f>COUNTIFS(集計用!$P:$P, "*"&amp;AL$4&amp;",*",集計用!$G:$G,"*, "&amp;$C55&amp;", *")/$B55*100</f>
        <v>0</v>
      </c>
      <c r="AM55" s="41">
        <f>COUNTIFS(集計用!$P:$P, "*"&amp;AM$4&amp;",*",集計用!$G:$G,"*, "&amp;$C55&amp;", *")/$B55*100</f>
        <v>0</v>
      </c>
      <c r="AN55" s="41">
        <f>COUNTIFS(集計用!$P:$P, "*"&amp;AN$4&amp;",*",集計用!$G:$G,"*, "&amp;$C55&amp;", *")/$B55*100</f>
        <v>0</v>
      </c>
      <c r="AO55" s="41">
        <f>COUNTIFS(集計用!$P:$P, "*"&amp;AO$4&amp;",*",集計用!$G:$G,"*, "&amp;$C55&amp;", *")/$B55*100</f>
        <v>0</v>
      </c>
      <c r="AP55" s="41">
        <f>COUNTIFS(集計用!$P:$P, "*"&amp;AP$4&amp;",*",集計用!$G:$G,"*, "&amp;$C55&amp;", *")/$B55*100</f>
        <v>0</v>
      </c>
      <c r="AQ55" s="41">
        <f>COUNTIFS(集計用!$P:$P, "*"&amp;AQ$4&amp;",*",集計用!$G:$G,"*, "&amp;$C55&amp;", *")/$B55*100</f>
        <v>0</v>
      </c>
      <c r="AR55" s="41">
        <f>COUNTIFS(集計用!$P:$P, "*"&amp;AR$4&amp;",*",集計用!$G:$G,"*, "&amp;$C55&amp;", *")/$B55*100</f>
        <v>0</v>
      </c>
      <c r="AS55" s="41">
        <f>COUNTIFS(集計用!$P:$P, "*"&amp;AS$4&amp;",*",集計用!$G:$G,"*, "&amp;$C55&amp;", *")/$B55*100</f>
        <v>0</v>
      </c>
      <c r="AT55" s="41">
        <f>COUNTIFS(集計用!$P:$P, "*"&amp;AT$4&amp;",*",集計用!$G:$G,"*, "&amp;$C55&amp;", *")/$B55*100</f>
        <v>0</v>
      </c>
      <c r="AU55" s="41">
        <f>COUNTIFS(集計用!$P:$P, "*"&amp;AU$4&amp;",*",集計用!$G:$G,"*, "&amp;$C55&amp;", *")/$B55*100</f>
        <v>0</v>
      </c>
      <c r="AV55" s="41">
        <f>COUNTIFS(集計用!$P:$P, "*"&amp;AV$4&amp;",*",集計用!$G:$G,"*, "&amp;$C55&amp;", *")/$B55*100</f>
        <v>0</v>
      </c>
      <c r="AW55" s="41">
        <f>COUNTIFS(集計用!$P:$P, "*"&amp;AW$4&amp;",*",集計用!$G:$G,"*, "&amp;$C55&amp;", *")/$B55*100</f>
        <v>0</v>
      </c>
      <c r="AX55" s="41">
        <f>COUNTIFS(集計用!$P:$P, "*"&amp;AX$4&amp;",*",集計用!$G:$G,"*, "&amp;$C55&amp;", *")/$B55*100</f>
        <v>0</v>
      </c>
      <c r="AY55" s="41">
        <f>COUNTIFS(集計用!$P:$P, "*"&amp;AY$4&amp;",*",集計用!$G:$G,"*, "&amp;$C55&amp;", *")/$B55*100</f>
        <v>0</v>
      </c>
      <c r="AZ55" s="41">
        <f>COUNTIFS(集計用!$P:$P, "*"&amp;AZ$4&amp;",*",集計用!$G:$G,"*, "&amp;$C55&amp;", *")/$B55*100</f>
        <v>0</v>
      </c>
      <c r="BA55" s="41">
        <f>COUNTIFS(集計用!$P:$P, "*"&amp;BA$4&amp;",*",集計用!$G:$G,"*, "&amp;$C55&amp;", *")/$B55*100</f>
        <v>0</v>
      </c>
      <c r="BB55" s="41">
        <f>COUNTIFS(集計用!$P:$P, "*"&amp;BB$4&amp;",*",集計用!$G:$G,"*, "&amp;$C55&amp;", *")/$B55*100</f>
        <v>0</v>
      </c>
      <c r="BC55" s="41">
        <f>COUNTIFS(集計用!$P:$P, "*"&amp;BC$4&amp;",*",集計用!$G:$G,"*, "&amp;$C55&amp;", *")/$B55*100</f>
        <v>0</v>
      </c>
      <c r="BD55" s="41">
        <f>COUNTIFS(集計用!$P:$P, "*"&amp;BD$4&amp;",*",集計用!$G:$G,"*, "&amp;$C55&amp;", *")/$B55*100</f>
        <v>0</v>
      </c>
      <c r="BE55" s="41">
        <f>COUNTIFS(集計用!$P:$P, "*"&amp;BE$4&amp;",*",集計用!$G:$G,"*, "&amp;$C55&amp;", *")/$B55*100</f>
        <v>0</v>
      </c>
      <c r="BF55" s="41">
        <f>COUNTIFS(集計用!$P:$P, "*"&amp;BF$4&amp;",*",集計用!$G:$G,"*, "&amp;$C55&amp;", *")/$B55*100</f>
        <v>0</v>
      </c>
      <c r="BG55" s="41">
        <f>COUNTIFS(集計用!$P:$P, "*"&amp;BG$4&amp;",*",集計用!$G:$G,"*, "&amp;$C55&amp;", *")/$B55*100</f>
        <v>0</v>
      </c>
      <c r="BH55" s="41">
        <f>COUNTIFS(集計用!$P:$P, "*"&amp;BH$4&amp;",*",集計用!$G:$G,"*, "&amp;$C55&amp;", *")/$B55*100</f>
        <v>0</v>
      </c>
      <c r="BI55" s="41">
        <f>COUNTIFS(集計用!$P:$P, "*"&amp;BI$4&amp;",*",集計用!$G:$G,"*, "&amp;$C55&amp;", *")/$B55*100</f>
        <v>0</v>
      </c>
      <c r="BJ55" s="41">
        <f>COUNTIFS(集計用!$P:$P, "*"&amp;BJ$4&amp;",*",集計用!$G:$G,"*, "&amp;$C55&amp;", *")/$B55*100</f>
        <v>0</v>
      </c>
      <c r="BK55" s="41">
        <f>COUNTIFS(集計用!$P:$P, "*"&amp;BK$4&amp;",*",集計用!$G:$G,"*, "&amp;$C55&amp;", *")/$B55*100</f>
        <v>0</v>
      </c>
      <c r="BL55" s="41">
        <f>COUNTIFS(集計用!$P:$P, "*"&amp;BL$4&amp;",*",集計用!$G:$G,"*, "&amp;$C55&amp;", *")/$B55*100</f>
        <v>0</v>
      </c>
      <c r="BM55" s="41">
        <f>COUNTIFS(集計用!$P:$P, "*"&amp;BM$4&amp;",*",集計用!$G:$G,"*, "&amp;$C55&amp;", *")/$B55*100</f>
        <v>0</v>
      </c>
      <c r="BN55" s="41">
        <f>COUNTIFS(集計用!$P:$P, "*"&amp;BN$4&amp;",*",集計用!$G:$G,"*, "&amp;$C55&amp;", *")/$B55*100</f>
        <v>0</v>
      </c>
      <c r="BO55" s="41">
        <f>COUNTIFS(集計用!$P:$P, "*"&amp;BO$4&amp;",*",集計用!$G:$G,"*, "&amp;$C55&amp;", *")/$B55*100</f>
        <v>0</v>
      </c>
      <c r="BP55" s="41">
        <f>COUNTIFS(集計用!$P:$P, "*"&amp;BP$4&amp;",*",集計用!$G:$G,"*, "&amp;$C55&amp;", *")/$B55*100</f>
        <v>0</v>
      </c>
      <c r="BQ55" s="41">
        <f>COUNTIFS(集計用!$P:$P, "*"&amp;BQ$4&amp;",*",集計用!$G:$G,"*, "&amp;$C55&amp;", *")/$B55*100</f>
        <v>0</v>
      </c>
      <c r="BR55" s="41">
        <f>COUNTIFS(集計用!$P:$P, "*"&amp;BR$4&amp;",*",集計用!$G:$G,"*, "&amp;$C55&amp;", *")/$B55*100</f>
        <v>0</v>
      </c>
      <c r="BS55" s="41">
        <f>COUNTIFS(集計用!$P:$P, "*"&amp;BS$4&amp;",*",集計用!$G:$G,"*, "&amp;$C55&amp;", *")/$B55*100</f>
        <v>0</v>
      </c>
      <c r="BT55" s="41">
        <f>COUNTIFS(集計用!$P:$P, "*"&amp;BT$4&amp;",*",集計用!$G:$G,"*, "&amp;$C55&amp;", *")/$B55*100</f>
        <v>0</v>
      </c>
      <c r="BU55" s="41"/>
      <c r="BV55" s="41"/>
      <c r="BW55" s="41"/>
      <c r="BX55" s="41"/>
      <c r="BY55" s="41"/>
      <c r="BZ55" s="41"/>
      <c r="CA55" s="41"/>
      <c r="CB55" s="41"/>
      <c r="CC55" s="41"/>
      <c r="CD55" s="41"/>
      <c r="CE55" s="41"/>
      <c r="CF55" s="41"/>
      <c r="CG55" s="41"/>
      <c r="CH55" s="41"/>
      <c r="CI55" s="41"/>
      <c r="CJ55" s="41"/>
      <c r="CK55" s="41"/>
    </row>
    <row r="56" spans="1:89" ht="14.25" customHeight="1">
      <c r="A56" s="39">
        <v>4</v>
      </c>
      <c r="B56" s="39">
        <f>(COUNTIFS(集計用!$G:$G,"*, "&amp;$C56&amp;",*",集計用!$Q:$Q,"&lt;&gt;無回答"))</f>
        <v>5</v>
      </c>
      <c r="C56" s="42" t="s">
        <v>51</v>
      </c>
      <c r="D56" s="41">
        <f>COUNTIFS(集計用!$O:$O, "*, "&amp;D$4&amp;", *",集計用!$G:$G,"*, "&amp;$C56&amp;", *")/$B56*100</f>
        <v>60</v>
      </c>
      <c r="E56" s="41">
        <f>COUNTIFS(集計用!$O:$O, "*, "&amp;E$4&amp;", *",集計用!$G:$G,"*, "&amp;$C56&amp;", *")/$B56*100</f>
        <v>80</v>
      </c>
      <c r="F56" s="41">
        <f>COUNTIFS(集計用!$O:$O, "*, "&amp;F$4&amp;", *",集計用!$G:$G,"*, "&amp;$C56&amp;", *")/$B56*100</f>
        <v>80</v>
      </c>
      <c r="G56" s="41">
        <f>COUNTIFS(集計用!$O:$O, "*, "&amp;G$4&amp;", *",集計用!$G:$G,"*, "&amp;$C56&amp;", *")/$B56*100</f>
        <v>20</v>
      </c>
      <c r="H56" s="41">
        <f>COUNTIFS(集計用!$O:$O, "*, "&amp;H$4&amp;", *",集計用!$G:$G,"*, "&amp;$C56&amp;", *")/$B56*100</f>
        <v>20</v>
      </c>
      <c r="I56" s="41">
        <f>COUNTIFS(集計用!$O:$O, "*, "&amp;I$4&amp;", *",集計用!$G:$G,"*, "&amp;$C56&amp;", *")/$B56*100</f>
        <v>40</v>
      </c>
      <c r="J56" s="41">
        <f>COUNTIFS(集計用!$O:$O, "*, "&amp;J$4&amp;", *",集計用!$G:$G,"*, "&amp;$C56&amp;", *")/$B56*100</f>
        <v>20</v>
      </c>
      <c r="K56" s="41">
        <f>COUNTIFS(集計用!$O:$O, "*, "&amp;K$4&amp;", *",集計用!$G:$G,"*, "&amp;$C56&amp;", *")/$B56*100</f>
        <v>40</v>
      </c>
      <c r="L56" s="41">
        <f>COUNTIFS(集計用!$O:$O, "*, "&amp;L$4&amp;", *",集計用!$G:$G,"*, "&amp;$C56&amp;", *")/$B56*100</f>
        <v>20</v>
      </c>
      <c r="M56" s="41">
        <f>COUNTIFS(集計用!$O:$O, "*, "&amp;M$4&amp;", *",集計用!$G:$G,"*, "&amp;$C56&amp;", *")/$B56*100</f>
        <v>40</v>
      </c>
      <c r="N56" s="41">
        <f>COUNTIFS(集計用!$O:$O, "*, "&amp;N$4&amp;", *",集計用!$G:$G,"*, "&amp;$C56&amp;", *")/$B56*100</f>
        <v>20</v>
      </c>
      <c r="O56" s="41">
        <f>COUNTIFS(集計用!$O:$O, "*, "&amp;O$4&amp;", *",集計用!$G:$G,"*, "&amp;$C56&amp;", *")/$B56*100</f>
        <v>20</v>
      </c>
      <c r="P56" s="41">
        <f>COUNTIFS(集計用!$O:$O, "*, "&amp;P$4&amp;", *",集計用!$G:$G,"*, "&amp;$C56&amp;", *")/$B56*100</f>
        <v>40</v>
      </c>
      <c r="Q56" s="41">
        <f>COUNTIFS(集計用!$O:$O, "*, "&amp;Q$4&amp;", *",集計用!$G:$G,"*, "&amp;$C56&amp;", *")/$B56*100</f>
        <v>20</v>
      </c>
      <c r="R56" s="41">
        <f>COUNTIFS(集計用!$O:$O, "*, "&amp;R$4&amp;", *",集計用!$G:$G,"*, "&amp;$C56&amp;", *")/$B56*100</f>
        <v>40</v>
      </c>
      <c r="S56" s="41">
        <f>COUNTIFS(集計用!$O:$O, "*, "&amp;S$4&amp;", *",集計用!$G:$G,"*, "&amp;$C56&amp;", *")/$B56*100</f>
        <v>40</v>
      </c>
      <c r="T56" s="41">
        <f>COUNTIFS(集計用!$O:$O, "*, "&amp;T$4&amp;", *",集計用!$G:$G,"*, "&amp;$C56&amp;", *")/$B56*100</f>
        <v>0</v>
      </c>
      <c r="V56" s="41">
        <f>COUNTIFS(集計用!$P:$P, "*"&amp;V$4&amp;",*",集計用!$G:$G,"*, "&amp;$C56&amp;", *")/$B56*100</f>
        <v>0</v>
      </c>
      <c r="W56" s="41">
        <f>COUNTIFS(集計用!$P:$P, "*"&amp;W$4&amp;",*",集計用!$G:$G,"*, "&amp;$C56&amp;", *")/$B56*100</f>
        <v>0</v>
      </c>
      <c r="X56" s="41">
        <f>COUNTIFS(集計用!$P:$P, "*"&amp;X$4&amp;",*",集計用!$G:$G,"*, "&amp;$C56&amp;", *")/$B56*100</f>
        <v>0</v>
      </c>
      <c r="Y56" s="41">
        <f>COUNTIFS(集計用!$P:$P, "*"&amp;Y$4&amp;",*",集計用!$G:$G,"*, "&amp;$C56&amp;", *")/$B56*100</f>
        <v>0</v>
      </c>
      <c r="Z56" s="41">
        <f>COUNTIFS(集計用!$P:$P, "*"&amp;Z$4&amp;",*",集計用!$G:$G,"*, "&amp;$C56&amp;", *")/$B56*100</f>
        <v>0</v>
      </c>
      <c r="AA56" s="41">
        <f>COUNTIFS(集計用!$P:$P, "*"&amp;AA$4&amp;",*",集計用!$G:$G,"*, "&amp;$C56&amp;", *")/$B56*100</f>
        <v>0</v>
      </c>
      <c r="AB56" s="41">
        <f>COUNTIFS(集計用!$P:$P, "*"&amp;AB$4&amp;",*",集計用!$G:$G,"*, "&amp;$C56&amp;", *")/$B56*100</f>
        <v>0</v>
      </c>
      <c r="AC56" s="41">
        <f>COUNTIFS(集計用!$P:$P, "*"&amp;AC$4&amp;",*",集計用!$G:$G,"*, "&amp;$C56&amp;", *")/$B56*100</f>
        <v>0</v>
      </c>
      <c r="AD56" s="41">
        <f>COUNTIFS(集計用!$P:$P, "*"&amp;AD$4&amp;",*",集計用!$G:$G,"*, "&amp;$C56&amp;", *")/$B56*100</f>
        <v>0</v>
      </c>
      <c r="AE56" s="41">
        <f>COUNTIFS(集計用!$P:$P, "*"&amp;AE$4&amp;",*",集計用!$G:$G,"*, "&amp;$C56&amp;", *")/$B56*100</f>
        <v>0</v>
      </c>
      <c r="AF56" s="41">
        <f>COUNTIFS(集計用!$P:$P, "*"&amp;AF$4&amp;",*",集計用!$G:$G,"*, "&amp;$C56&amp;", *")/$B56*100</f>
        <v>0</v>
      </c>
      <c r="AG56" s="41">
        <f>COUNTIFS(集計用!$P:$P, "*"&amp;AG$4&amp;",*",集計用!$G:$G,"*, "&amp;$C56&amp;", *")/$B56*100</f>
        <v>0</v>
      </c>
      <c r="AH56" s="41">
        <f>COUNTIFS(集計用!$P:$P, "*"&amp;AH$4&amp;",*",集計用!$G:$G,"*, "&amp;$C56&amp;", *")/$B56*100</f>
        <v>0</v>
      </c>
      <c r="AI56" s="41">
        <f>COUNTIFS(集計用!$P:$P, "*"&amp;AI$4&amp;",*",集計用!$G:$G,"*, "&amp;$C56&amp;", *")/$B56*100</f>
        <v>0</v>
      </c>
      <c r="AJ56" s="41">
        <f>COUNTIFS(集計用!$P:$P, "*"&amp;AJ$4&amp;",*",集計用!$G:$G,"*, "&amp;$C56&amp;", *")/$B56*100</f>
        <v>0</v>
      </c>
      <c r="AK56" s="41">
        <f>COUNTIFS(集計用!$P:$P, "*"&amp;AK$4&amp;",*",集計用!$G:$G,"*, "&amp;$C56&amp;", *")/$B56*100</f>
        <v>0</v>
      </c>
      <c r="AL56" s="41">
        <f>COUNTIFS(集計用!$P:$P, "*"&amp;AL$4&amp;",*",集計用!$G:$G,"*, "&amp;$C56&amp;", *")/$B56*100</f>
        <v>0</v>
      </c>
      <c r="AM56" s="41">
        <f>COUNTIFS(集計用!$P:$P, "*"&amp;AM$4&amp;",*",集計用!$G:$G,"*, "&amp;$C56&amp;", *")/$B56*100</f>
        <v>0</v>
      </c>
      <c r="AN56" s="41">
        <f>COUNTIFS(集計用!$P:$P, "*"&amp;AN$4&amp;",*",集計用!$G:$G,"*, "&amp;$C56&amp;", *")/$B56*100</f>
        <v>0</v>
      </c>
      <c r="AO56" s="41">
        <f>COUNTIFS(集計用!$P:$P, "*"&amp;AO$4&amp;",*",集計用!$G:$G,"*, "&amp;$C56&amp;", *")/$B56*100</f>
        <v>0</v>
      </c>
      <c r="AP56" s="41">
        <f>COUNTIFS(集計用!$P:$P, "*"&amp;AP$4&amp;",*",集計用!$G:$G,"*, "&amp;$C56&amp;", *")/$B56*100</f>
        <v>0</v>
      </c>
      <c r="AQ56" s="41">
        <f>COUNTIFS(集計用!$P:$P, "*"&amp;AQ$4&amp;",*",集計用!$G:$G,"*, "&amp;$C56&amp;", *")/$B56*100</f>
        <v>0</v>
      </c>
      <c r="AR56" s="41">
        <f>COUNTIFS(集計用!$P:$P, "*"&amp;AR$4&amp;",*",集計用!$G:$G,"*, "&amp;$C56&amp;", *")/$B56*100</f>
        <v>0</v>
      </c>
      <c r="AS56" s="41">
        <f>COUNTIFS(集計用!$P:$P, "*"&amp;AS$4&amp;",*",集計用!$G:$G,"*, "&amp;$C56&amp;", *")/$B56*100</f>
        <v>0</v>
      </c>
      <c r="AT56" s="41">
        <f>COUNTIFS(集計用!$P:$P, "*"&amp;AT$4&amp;",*",集計用!$G:$G,"*, "&amp;$C56&amp;", *")/$B56*100</f>
        <v>0</v>
      </c>
      <c r="AU56" s="41">
        <f>COUNTIFS(集計用!$P:$P, "*"&amp;AU$4&amp;",*",集計用!$G:$G,"*, "&amp;$C56&amp;", *")/$B56*100</f>
        <v>0</v>
      </c>
      <c r="AV56" s="41">
        <f>COUNTIFS(集計用!$P:$P, "*"&amp;AV$4&amp;",*",集計用!$G:$G,"*, "&amp;$C56&amp;", *")/$B56*100</f>
        <v>0</v>
      </c>
      <c r="AW56" s="41">
        <f>COUNTIFS(集計用!$P:$P, "*"&amp;AW$4&amp;",*",集計用!$G:$G,"*, "&amp;$C56&amp;", *")/$B56*100</f>
        <v>0</v>
      </c>
      <c r="AX56" s="41">
        <f>COUNTIFS(集計用!$P:$P, "*"&amp;AX$4&amp;",*",集計用!$G:$G,"*, "&amp;$C56&amp;", *")/$B56*100</f>
        <v>0</v>
      </c>
      <c r="AY56" s="41">
        <f>COUNTIFS(集計用!$P:$P, "*"&amp;AY$4&amp;",*",集計用!$G:$G,"*, "&amp;$C56&amp;", *")/$B56*100</f>
        <v>0</v>
      </c>
      <c r="AZ56" s="41">
        <f>COUNTIFS(集計用!$P:$P, "*"&amp;AZ$4&amp;",*",集計用!$G:$G,"*, "&amp;$C56&amp;", *")/$B56*100</f>
        <v>0</v>
      </c>
      <c r="BA56" s="41">
        <f>COUNTIFS(集計用!$P:$P, "*"&amp;BA$4&amp;",*",集計用!$G:$G,"*, "&amp;$C56&amp;", *")/$B56*100</f>
        <v>0</v>
      </c>
      <c r="BB56" s="41">
        <f>COUNTIFS(集計用!$P:$P, "*"&amp;BB$4&amp;",*",集計用!$G:$G,"*, "&amp;$C56&amp;", *")/$B56*100</f>
        <v>0</v>
      </c>
      <c r="BC56" s="41">
        <f>COUNTIFS(集計用!$P:$P, "*"&amp;BC$4&amp;",*",集計用!$G:$G,"*, "&amp;$C56&amp;", *")/$B56*100</f>
        <v>0</v>
      </c>
      <c r="BD56" s="41">
        <f>COUNTIFS(集計用!$P:$P, "*"&amp;BD$4&amp;",*",集計用!$G:$G,"*, "&amp;$C56&amp;", *")/$B56*100</f>
        <v>0</v>
      </c>
      <c r="BE56" s="41">
        <f>COUNTIFS(集計用!$P:$P, "*"&amp;BE$4&amp;",*",集計用!$G:$G,"*, "&amp;$C56&amp;", *")/$B56*100</f>
        <v>0</v>
      </c>
      <c r="BF56" s="41">
        <f>COUNTIFS(集計用!$P:$P, "*"&amp;BF$4&amp;",*",集計用!$G:$G,"*, "&amp;$C56&amp;", *")/$B56*100</f>
        <v>0</v>
      </c>
      <c r="BG56" s="41">
        <f>COUNTIFS(集計用!$P:$P, "*"&amp;BG$4&amp;",*",集計用!$G:$G,"*, "&amp;$C56&amp;", *")/$B56*100</f>
        <v>0</v>
      </c>
      <c r="BH56" s="41">
        <f>COUNTIFS(集計用!$P:$P, "*"&amp;BH$4&amp;",*",集計用!$G:$G,"*, "&amp;$C56&amp;", *")/$B56*100</f>
        <v>0</v>
      </c>
      <c r="BI56" s="41">
        <f>COUNTIFS(集計用!$P:$P, "*"&amp;BI$4&amp;",*",集計用!$G:$G,"*, "&amp;$C56&amp;", *")/$B56*100</f>
        <v>0</v>
      </c>
      <c r="BJ56" s="41">
        <f>COUNTIFS(集計用!$P:$P, "*"&amp;BJ$4&amp;",*",集計用!$G:$G,"*, "&amp;$C56&amp;", *")/$B56*100</f>
        <v>0</v>
      </c>
      <c r="BK56" s="41">
        <f>COUNTIFS(集計用!$P:$P, "*"&amp;BK$4&amp;",*",集計用!$G:$G,"*, "&amp;$C56&amp;", *")/$B56*100</f>
        <v>0</v>
      </c>
      <c r="BL56" s="41">
        <f>COUNTIFS(集計用!$P:$P, "*"&amp;BL$4&amp;",*",集計用!$G:$G,"*, "&amp;$C56&amp;", *")/$B56*100</f>
        <v>0</v>
      </c>
      <c r="BM56" s="41">
        <f>COUNTIFS(集計用!$P:$P, "*"&amp;BM$4&amp;",*",集計用!$G:$G,"*, "&amp;$C56&amp;", *")/$B56*100</f>
        <v>0</v>
      </c>
      <c r="BN56" s="41">
        <f>COUNTIFS(集計用!$P:$P, "*"&amp;BN$4&amp;",*",集計用!$G:$G,"*, "&amp;$C56&amp;", *")/$B56*100</f>
        <v>0</v>
      </c>
      <c r="BO56" s="41">
        <f>COUNTIFS(集計用!$P:$P, "*"&amp;BO$4&amp;",*",集計用!$G:$G,"*, "&amp;$C56&amp;", *")/$B56*100</f>
        <v>0</v>
      </c>
      <c r="BP56" s="41">
        <f>COUNTIFS(集計用!$P:$P, "*"&amp;BP$4&amp;",*",集計用!$G:$G,"*, "&amp;$C56&amp;", *")/$B56*100</f>
        <v>0</v>
      </c>
      <c r="BQ56" s="41">
        <f>COUNTIFS(集計用!$P:$P, "*"&amp;BQ$4&amp;",*",集計用!$G:$G,"*, "&amp;$C56&amp;", *")/$B56*100</f>
        <v>0</v>
      </c>
      <c r="BR56" s="41">
        <f>COUNTIFS(集計用!$P:$P, "*"&amp;BR$4&amp;",*",集計用!$G:$G,"*, "&amp;$C56&amp;", *")/$B56*100</f>
        <v>0</v>
      </c>
      <c r="BS56" s="41">
        <f>COUNTIFS(集計用!$P:$P, "*"&amp;BS$4&amp;",*",集計用!$G:$G,"*, "&amp;$C56&amp;", *")/$B56*100</f>
        <v>0</v>
      </c>
      <c r="BT56" s="41">
        <f>COUNTIFS(集計用!$P:$P, "*"&amp;BT$4&amp;",*",集計用!$G:$G,"*, "&amp;$C56&amp;", *")/$B56*100</f>
        <v>0</v>
      </c>
      <c r="BU56" s="41"/>
      <c r="BV56" s="41"/>
      <c r="BW56" s="41"/>
      <c r="BX56" s="41"/>
      <c r="BY56" s="41"/>
      <c r="BZ56" s="41"/>
      <c r="CA56" s="41"/>
      <c r="CB56" s="41"/>
      <c r="CC56" s="41"/>
      <c r="CD56" s="41"/>
      <c r="CE56" s="41"/>
      <c r="CF56" s="41"/>
      <c r="CG56" s="41"/>
      <c r="CH56" s="41"/>
      <c r="CI56" s="41"/>
      <c r="CJ56" s="41"/>
      <c r="CK56" s="41"/>
    </row>
    <row r="57" spans="1:89" ht="14.25" customHeight="1">
      <c r="A57" s="39">
        <v>4</v>
      </c>
      <c r="B57" s="39">
        <f>(COUNTIFS(集計用!$G:$G,"*, "&amp;$C57&amp;",*",集計用!$Q:$Q,"&lt;&gt;無回答"))</f>
        <v>5</v>
      </c>
      <c r="C57" s="42" t="s">
        <v>50</v>
      </c>
      <c r="D57" s="41">
        <f>COUNTIFS(集計用!$O:$O, "*, "&amp;D$4&amp;", *",集計用!$G:$G,"*, "&amp;$C57&amp;", *")/$B57*100</f>
        <v>100</v>
      </c>
      <c r="E57" s="41">
        <f>COUNTIFS(集計用!$O:$O, "*, "&amp;E$4&amp;", *",集計用!$G:$G,"*, "&amp;$C57&amp;", *")/$B57*100</f>
        <v>80</v>
      </c>
      <c r="F57" s="41">
        <f>COUNTIFS(集計用!$O:$O, "*, "&amp;F$4&amp;", *",集計用!$G:$G,"*, "&amp;$C57&amp;", *")/$B57*100</f>
        <v>100</v>
      </c>
      <c r="G57" s="41">
        <f>COUNTIFS(集計用!$O:$O, "*, "&amp;G$4&amp;", *",集計用!$G:$G,"*, "&amp;$C57&amp;", *")/$B57*100</f>
        <v>20</v>
      </c>
      <c r="H57" s="41">
        <f>COUNTIFS(集計用!$O:$O, "*, "&amp;H$4&amp;", *",集計用!$G:$G,"*, "&amp;$C57&amp;", *")/$B57*100</f>
        <v>20</v>
      </c>
      <c r="I57" s="41">
        <f>COUNTIFS(集計用!$O:$O, "*, "&amp;I$4&amp;", *",集計用!$G:$G,"*, "&amp;$C57&amp;", *")/$B57*100</f>
        <v>60</v>
      </c>
      <c r="J57" s="41">
        <f>COUNTIFS(集計用!$O:$O, "*, "&amp;J$4&amp;", *",集計用!$G:$G,"*, "&amp;$C57&amp;", *")/$B57*100</f>
        <v>40</v>
      </c>
      <c r="K57" s="41">
        <f>COUNTIFS(集計用!$O:$O, "*, "&amp;K$4&amp;", *",集計用!$G:$G,"*, "&amp;$C57&amp;", *")/$B57*100</f>
        <v>60</v>
      </c>
      <c r="L57" s="41">
        <f>COUNTIFS(集計用!$O:$O, "*, "&amp;L$4&amp;", *",集計用!$G:$G,"*, "&amp;$C57&amp;", *")/$B57*100</f>
        <v>20</v>
      </c>
      <c r="M57" s="41">
        <f>COUNTIFS(集計用!$O:$O, "*, "&amp;M$4&amp;", *",集計用!$G:$G,"*, "&amp;$C57&amp;", *")/$B57*100</f>
        <v>60</v>
      </c>
      <c r="N57" s="41">
        <f>COUNTIFS(集計用!$O:$O, "*, "&amp;N$4&amp;", *",集計用!$G:$G,"*, "&amp;$C57&amp;", *")/$B57*100</f>
        <v>20</v>
      </c>
      <c r="O57" s="41">
        <f>COUNTIFS(集計用!$O:$O, "*, "&amp;O$4&amp;", *",集計用!$G:$G,"*, "&amp;$C57&amp;", *")/$B57*100</f>
        <v>0</v>
      </c>
      <c r="P57" s="41">
        <f>COUNTIFS(集計用!$O:$O, "*, "&amp;P$4&amp;", *",集計用!$G:$G,"*, "&amp;$C57&amp;", *")/$B57*100</f>
        <v>20</v>
      </c>
      <c r="Q57" s="41">
        <f>COUNTIFS(集計用!$O:$O, "*, "&amp;Q$4&amp;", *",集計用!$G:$G,"*, "&amp;$C57&amp;", *")/$B57*100</f>
        <v>20</v>
      </c>
      <c r="R57" s="41">
        <f>COUNTIFS(集計用!$O:$O, "*, "&amp;R$4&amp;", *",集計用!$G:$G,"*, "&amp;$C57&amp;", *")/$B57*100</f>
        <v>20</v>
      </c>
      <c r="S57" s="41">
        <f>COUNTIFS(集計用!$O:$O, "*, "&amp;S$4&amp;", *",集計用!$G:$G,"*, "&amp;$C57&amp;", *")/$B57*100</f>
        <v>20</v>
      </c>
      <c r="T57" s="41">
        <f>COUNTIFS(集計用!$O:$O, "*, "&amp;T$4&amp;", *",集計用!$G:$G,"*, "&amp;$C57&amp;", *")/$B57*100</f>
        <v>0</v>
      </c>
      <c r="V57" s="41">
        <f>COUNTIFS(集計用!$P:$P, "*"&amp;V$4&amp;",*",集計用!$G:$G,"*, "&amp;$C57&amp;", *")/$B57*100</f>
        <v>0</v>
      </c>
      <c r="W57" s="41">
        <f>COUNTIFS(集計用!$P:$P, "*"&amp;W$4&amp;",*",集計用!$G:$G,"*, "&amp;$C57&amp;", *")/$B57*100</f>
        <v>0</v>
      </c>
      <c r="X57" s="41">
        <f>COUNTIFS(集計用!$P:$P, "*"&amp;X$4&amp;",*",集計用!$G:$G,"*, "&amp;$C57&amp;", *")/$B57*100</f>
        <v>0</v>
      </c>
      <c r="Y57" s="41">
        <f>COUNTIFS(集計用!$P:$P, "*"&amp;Y$4&amp;",*",集計用!$G:$G,"*, "&amp;$C57&amp;", *")/$B57*100</f>
        <v>0</v>
      </c>
      <c r="Z57" s="41">
        <f>COUNTIFS(集計用!$P:$P, "*"&amp;Z$4&amp;",*",集計用!$G:$G,"*, "&amp;$C57&amp;", *")/$B57*100</f>
        <v>0</v>
      </c>
      <c r="AA57" s="41">
        <f>COUNTIFS(集計用!$P:$P, "*"&amp;AA$4&amp;",*",集計用!$G:$G,"*, "&amp;$C57&amp;", *")/$B57*100</f>
        <v>0</v>
      </c>
      <c r="AB57" s="41">
        <f>COUNTIFS(集計用!$P:$P, "*"&amp;AB$4&amp;",*",集計用!$G:$G,"*, "&amp;$C57&amp;", *")/$B57*100</f>
        <v>0</v>
      </c>
      <c r="AC57" s="41">
        <f>COUNTIFS(集計用!$P:$P, "*"&amp;AC$4&amp;",*",集計用!$G:$G,"*, "&amp;$C57&amp;", *")/$B57*100</f>
        <v>0</v>
      </c>
      <c r="AD57" s="41">
        <f>COUNTIFS(集計用!$P:$P, "*"&amp;AD$4&amp;",*",集計用!$G:$G,"*, "&amp;$C57&amp;", *")/$B57*100</f>
        <v>0</v>
      </c>
      <c r="AE57" s="41">
        <f>COUNTIFS(集計用!$P:$P, "*"&amp;AE$4&amp;",*",集計用!$G:$G,"*, "&amp;$C57&amp;", *")/$B57*100</f>
        <v>0</v>
      </c>
      <c r="AF57" s="41">
        <f>COUNTIFS(集計用!$P:$P, "*"&amp;AF$4&amp;",*",集計用!$G:$G,"*, "&amp;$C57&amp;", *")/$B57*100</f>
        <v>0</v>
      </c>
      <c r="AG57" s="41">
        <f>COUNTIFS(集計用!$P:$P, "*"&amp;AG$4&amp;",*",集計用!$G:$G,"*, "&amp;$C57&amp;", *")/$B57*100</f>
        <v>0</v>
      </c>
      <c r="AH57" s="41">
        <f>COUNTIFS(集計用!$P:$P, "*"&amp;AH$4&amp;",*",集計用!$G:$G,"*, "&amp;$C57&amp;", *")/$B57*100</f>
        <v>0</v>
      </c>
      <c r="AI57" s="41">
        <f>COUNTIFS(集計用!$P:$P, "*"&amp;AI$4&amp;",*",集計用!$G:$G,"*, "&amp;$C57&amp;", *")/$B57*100</f>
        <v>0</v>
      </c>
      <c r="AJ57" s="41">
        <f>COUNTIFS(集計用!$P:$P, "*"&amp;AJ$4&amp;",*",集計用!$G:$G,"*, "&amp;$C57&amp;", *")/$B57*100</f>
        <v>0</v>
      </c>
      <c r="AK57" s="41">
        <f>COUNTIFS(集計用!$P:$P, "*"&amp;AK$4&amp;",*",集計用!$G:$G,"*, "&amp;$C57&amp;", *")/$B57*100</f>
        <v>0</v>
      </c>
      <c r="AL57" s="41">
        <f>COUNTIFS(集計用!$P:$P, "*"&amp;AL$4&amp;",*",集計用!$G:$G,"*, "&amp;$C57&amp;", *")/$B57*100</f>
        <v>0</v>
      </c>
      <c r="AM57" s="41">
        <f>COUNTIFS(集計用!$P:$P, "*"&amp;AM$4&amp;",*",集計用!$G:$G,"*, "&amp;$C57&amp;", *")/$B57*100</f>
        <v>0</v>
      </c>
      <c r="AN57" s="41">
        <f>COUNTIFS(集計用!$P:$P, "*"&amp;AN$4&amp;",*",集計用!$G:$G,"*, "&amp;$C57&amp;", *")/$B57*100</f>
        <v>0</v>
      </c>
      <c r="AO57" s="41">
        <f>COUNTIFS(集計用!$P:$P, "*"&amp;AO$4&amp;",*",集計用!$G:$G,"*, "&amp;$C57&amp;", *")/$B57*100</f>
        <v>0</v>
      </c>
      <c r="AP57" s="41">
        <f>COUNTIFS(集計用!$P:$P, "*"&amp;AP$4&amp;",*",集計用!$G:$G,"*, "&amp;$C57&amp;", *")/$B57*100</f>
        <v>20</v>
      </c>
      <c r="AQ57" s="41">
        <f>COUNTIFS(集計用!$P:$P, "*"&amp;AQ$4&amp;",*",集計用!$G:$G,"*, "&amp;$C57&amp;", *")/$B57*100</f>
        <v>0</v>
      </c>
      <c r="AR57" s="41">
        <f>COUNTIFS(集計用!$P:$P, "*"&amp;AR$4&amp;",*",集計用!$G:$G,"*, "&amp;$C57&amp;", *")/$B57*100</f>
        <v>20</v>
      </c>
      <c r="AS57" s="41">
        <f>COUNTIFS(集計用!$P:$P, "*"&amp;AS$4&amp;",*",集計用!$G:$G,"*, "&amp;$C57&amp;", *")/$B57*100</f>
        <v>0</v>
      </c>
      <c r="AT57" s="41">
        <f>COUNTIFS(集計用!$P:$P, "*"&amp;AT$4&amp;",*",集計用!$G:$G,"*, "&amp;$C57&amp;", *")/$B57*100</f>
        <v>0</v>
      </c>
      <c r="AU57" s="41">
        <f>COUNTIFS(集計用!$P:$P, "*"&amp;AU$4&amp;",*",集計用!$G:$G,"*, "&amp;$C57&amp;", *")/$B57*100</f>
        <v>0</v>
      </c>
      <c r="AV57" s="41">
        <f>COUNTIFS(集計用!$P:$P, "*"&amp;AV$4&amp;",*",集計用!$G:$G,"*, "&amp;$C57&amp;", *")/$B57*100</f>
        <v>0</v>
      </c>
      <c r="AW57" s="41">
        <f>COUNTIFS(集計用!$P:$P, "*"&amp;AW$4&amp;",*",集計用!$G:$G,"*, "&amp;$C57&amp;", *")/$B57*100</f>
        <v>0</v>
      </c>
      <c r="AX57" s="41">
        <f>COUNTIFS(集計用!$P:$P, "*"&amp;AX$4&amp;",*",集計用!$G:$G,"*, "&amp;$C57&amp;", *")/$B57*100</f>
        <v>0</v>
      </c>
      <c r="AY57" s="41">
        <f>COUNTIFS(集計用!$P:$P, "*"&amp;AY$4&amp;",*",集計用!$G:$G,"*, "&amp;$C57&amp;", *")/$B57*100</f>
        <v>0</v>
      </c>
      <c r="AZ57" s="41">
        <f>COUNTIFS(集計用!$P:$P, "*"&amp;AZ$4&amp;",*",集計用!$G:$G,"*, "&amp;$C57&amp;", *")/$B57*100</f>
        <v>0</v>
      </c>
      <c r="BA57" s="41">
        <f>COUNTIFS(集計用!$P:$P, "*"&amp;BA$4&amp;",*",集計用!$G:$G,"*, "&amp;$C57&amp;", *")/$B57*100</f>
        <v>0</v>
      </c>
      <c r="BB57" s="41">
        <f>COUNTIFS(集計用!$P:$P, "*"&amp;BB$4&amp;",*",集計用!$G:$G,"*, "&amp;$C57&amp;", *")/$B57*100</f>
        <v>0</v>
      </c>
      <c r="BC57" s="41">
        <f>COUNTIFS(集計用!$P:$P, "*"&amp;BC$4&amp;",*",集計用!$G:$G,"*, "&amp;$C57&amp;", *")/$B57*100</f>
        <v>0</v>
      </c>
      <c r="BD57" s="41">
        <f>COUNTIFS(集計用!$P:$P, "*"&amp;BD$4&amp;",*",集計用!$G:$G,"*, "&amp;$C57&amp;", *")/$B57*100</f>
        <v>0</v>
      </c>
      <c r="BE57" s="41">
        <f>COUNTIFS(集計用!$P:$P, "*"&amp;BE$4&amp;",*",集計用!$G:$G,"*, "&amp;$C57&amp;", *")/$B57*100</f>
        <v>0</v>
      </c>
      <c r="BF57" s="41">
        <f>COUNTIFS(集計用!$P:$P, "*"&amp;BF$4&amp;",*",集計用!$G:$G,"*, "&amp;$C57&amp;", *")/$B57*100</f>
        <v>0</v>
      </c>
      <c r="BG57" s="41">
        <f>COUNTIFS(集計用!$P:$P, "*"&amp;BG$4&amp;",*",集計用!$G:$G,"*, "&amp;$C57&amp;", *")/$B57*100</f>
        <v>0</v>
      </c>
      <c r="BH57" s="41">
        <f>COUNTIFS(集計用!$P:$P, "*"&amp;BH$4&amp;",*",集計用!$G:$G,"*, "&amp;$C57&amp;", *")/$B57*100</f>
        <v>0</v>
      </c>
      <c r="BI57" s="41">
        <f>COUNTIFS(集計用!$P:$P, "*"&amp;BI$4&amp;",*",集計用!$G:$G,"*, "&amp;$C57&amp;", *")/$B57*100</f>
        <v>0</v>
      </c>
      <c r="BJ57" s="41">
        <f>COUNTIFS(集計用!$P:$P, "*"&amp;BJ$4&amp;",*",集計用!$G:$G,"*, "&amp;$C57&amp;", *")/$B57*100</f>
        <v>0</v>
      </c>
      <c r="BK57" s="41">
        <f>COUNTIFS(集計用!$P:$P, "*"&amp;BK$4&amp;",*",集計用!$G:$G,"*, "&amp;$C57&amp;", *")/$B57*100</f>
        <v>20</v>
      </c>
      <c r="BL57" s="41">
        <f>COUNTIFS(集計用!$P:$P, "*"&amp;BL$4&amp;",*",集計用!$G:$G,"*, "&amp;$C57&amp;", *")/$B57*100</f>
        <v>0</v>
      </c>
      <c r="BM57" s="41">
        <f>COUNTIFS(集計用!$P:$P, "*"&amp;BM$4&amp;",*",集計用!$G:$G,"*, "&amp;$C57&amp;", *")/$B57*100</f>
        <v>0</v>
      </c>
      <c r="BN57" s="41">
        <f>COUNTIFS(集計用!$P:$P, "*"&amp;BN$4&amp;",*",集計用!$G:$G,"*, "&amp;$C57&amp;", *")/$B57*100</f>
        <v>0</v>
      </c>
      <c r="BO57" s="41">
        <f>COUNTIFS(集計用!$P:$P, "*"&amp;BO$4&amp;",*",集計用!$G:$G,"*, "&amp;$C57&amp;", *")/$B57*100</f>
        <v>0</v>
      </c>
      <c r="BP57" s="41">
        <f>COUNTIFS(集計用!$P:$P, "*"&amp;BP$4&amp;",*",集計用!$G:$G,"*, "&amp;$C57&amp;", *")/$B57*100</f>
        <v>0</v>
      </c>
      <c r="BQ57" s="41">
        <f>COUNTIFS(集計用!$P:$P, "*"&amp;BQ$4&amp;",*",集計用!$G:$G,"*, "&amp;$C57&amp;", *")/$B57*100</f>
        <v>0</v>
      </c>
      <c r="BR57" s="41">
        <f>COUNTIFS(集計用!$P:$P, "*"&amp;BR$4&amp;",*",集計用!$G:$G,"*, "&amp;$C57&amp;", *")/$B57*100</f>
        <v>0</v>
      </c>
      <c r="BS57" s="41">
        <f>COUNTIFS(集計用!$P:$P, "*"&amp;BS$4&amp;",*",集計用!$G:$G,"*, "&amp;$C57&amp;", *")/$B57*100</f>
        <v>0</v>
      </c>
      <c r="BT57" s="41">
        <f>COUNTIFS(集計用!$P:$P, "*"&amp;BT$4&amp;",*",集計用!$G:$G,"*, "&amp;$C57&amp;", *")/$B57*100</f>
        <v>0</v>
      </c>
      <c r="BU57" s="41"/>
      <c r="BV57" s="41"/>
      <c r="BW57" s="41"/>
      <c r="BX57" s="41"/>
      <c r="BY57" s="41"/>
      <c r="BZ57" s="41"/>
      <c r="CA57" s="41"/>
      <c r="CB57" s="41"/>
      <c r="CC57" s="41"/>
      <c r="CD57" s="41"/>
      <c r="CE57" s="41"/>
      <c r="CF57" s="41"/>
      <c r="CG57" s="41"/>
      <c r="CH57" s="41"/>
      <c r="CI57" s="41"/>
      <c r="CJ57" s="41"/>
      <c r="CK57" s="41"/>
    </row>
    <row r="58" spans="1:89" ht="14.25" customHeight="1">
      <c r="A58" s="39" t="s">
        <v>2180</v>
      </c>
      <c r="B58" s="39">
        <f>(COUNTIFS(集計用!$G:$G,"*, "&amp;$C58&amp;",*",集計用!$Q:$Q,"&lt;&gt;無回答"))</f>
        <v>4</v>
      </c>
      <c r="C58" s="42" t="s">
        <v>53</v>
      </c>
      <c r="D58" s="41">
        <f>COUNTIFS(集計用!$O:$O, "*, "&amp;D$4&amp;", *",集計用!$G:$G,"*, "&amp;$C58&amp;", *")/$B58*100</f>
        <v>100</v>
      </c>
      <c r="E58" s="41">
        <f>COUNTIFS(集計用!$O:$O, "*, "&amp;E$4&amp;", *",集計用!$G:$G,"*, "&amp;$C58&amp;", *")/$B58*100</f>
        <v>50</v>
      </c>
      <c r="F58" s="41">
        <f>COUNTIFS(集計用!$O:$O, "*, "&amp;F$4&amp;", *",集計用!$G:$G,"*, "&amp;$C58&amp;", *")/$B58*100</f>
        <v>25</v>
      </c>
      <c r="G58" s="41">
        <f>COUNTIFS(集計用!$O:$O, "*, "&amp;G$4&amp;", *",集計用!$G:$G,"*, "&amp;$C58&amp;", *")/$B58*100</f>
        <v>0</v>
      </c>
      <c r="H58" s="41">
        <f>COUNTIFS(集計用!$O:$O, "*, "&amp;H$4&amp;", *",集計用!$G:$G,"*, "&amp;$C58&amp;", *")/$B58*100</f>
        <v>50</v>
      </c>
      <c r="I58" s="41">
        <f>COUNTIFS(集計用!$O:$O, "*, "&amp;I$4&amp;", *",集計用!$G:$G,"*, "&amp;$C58&amp;", *")/$B58*100</f>
        <v>25</v>
      </c>
      <c r="J58" s="41">
        <f>COUNTIFS(集計用!$O:$O, "*, "&amp;J$4&amp;", *",集計用!$G:$G,"*, "&amp;$C58&amp;", *")/$B58*100</f>
        <v>75</v>
      </c>
      <c r="K58" s="41">
        <f>COUNTIFS(集計用!$O:$O, "*, "&amp;K$4&amp;", *",集計用!$G:$G,"*, "&amp;$C58&amp;", *")/$B58*100</f>
        <v>25</v>
      </c>
      <c r="L58" s="41">
        <f>COUNTIFS(集計用!$O:$O, "*, "&amp;L$4&amp;", *",集計用!$G:$G,"*, "&amp;$C58&amp;", *")/$B58*100</f>
        <v>0</v>
      </c>
      <c r="M58" s="41">
        <f>COUNTIFS(集計用!$O:$O, "*, "&amp;M$4&amp;", *",集計用!$G:$G,"*, "&amp;$C58&amp;", *")/$B58*100</f>
        <v>25</v>
      </c>
      <c r="N58" s="41">
        <f>COUNTIFS(集計用!$O:$O, "*, "&amp;N$4&amp;", *",集計用!$G:$G,"*, "&amp;$C58&amp;", *")/$B58*100</f>
        <v>25</v>
      </c>
      <c r="O58" s="41">
        <f>COUNTIFS(集計用!$O:$O, "*, "&amp;O$4&amp;", *",集計用!$G:$G,"*, "&amp;$C58&amp;", *")/$B58*100</f>
        <v>0</v>
      </c>
      <c r="P58" s="41">
        <f>COUNTIFS(集計用!$O:$O, "*, "&amp;P$4&amp;", *",集計用!$G:$G,"*, "&amp;$C58&amp;", *")/$B58*100</f>
        <v>25</v>
      </c>
      <c r="Q58" s="41">
        <f>COUNTIFS(集計用!$O:$O, "*, "&amp;Q$4&amp;", *",集計用!$G:$G,"*, "&amp;$C58&amp;", *")/$B58*100</f>
        <v>25</v>
      </c>
      <c r="R58" s="41">
        <f>COUNTIFS(集計用!$O:$O, "*, "&amp;R$4&amp;", *",集計用!$G:$G,"*, "&amp;$C58&amp;", *")/$B58*100</f>
        <v>50</v>
      </c>
      <c r="S58" s="41">
        <f>COUNTIFS(集計用!$O:$O, "*, "&amp;S$4&amp;", *",集計用!$G:$G,"*, "&amp;$C58&amp;", *")/$B58*100</f>
        <v>25</v>
      </c>
      <c r="T58" s="41">
        <f>COUNTIFS(集計用!$O:$O, "*, "&amp;T$4&amp;", *",集計用!$G:$G,"*, "&amp;$C58&amp;", *")/$B58*100</f>
        <v>0</v>
      </c>
      <c r="V58" s="41">
        <f>COUNTIFS(集計用!$P:$P, "*"&amp;V$4&amp;",*",集計用!$G:$G,"*, "&amp;$C58&amp;", *")/$B58*100</f>
        <v>0</v>
      </c>
      <c r="W58" s="41">
        <f>COUNTIFS(集計用!$P:$P, "*"&amp;W$4&amp;",*",集計用!$G:$G,"*, "&amp;$C58&amp;", *")/$B58*100</f>
        <v>0</v>
      </c>
      <c r="X58" s="41">
        <f>COUNTIFS(集計用!$P:$P, "*"&amp;X$4&amp;",*",集計用!$G:$G,"*, "&amp;$C58&amp;", *")/$B58*100</f>
        <v>0</v>
      </c>
      <c r="Y58" s="41">
        <f>COUNTIFS(集計用!$P:$P, "*"&amp;Y$4&amp;",*",集計用!$G:$G,"*, "&amp;$C58&amp;", *")/$B58*100</f>
        <v>0</v>
      </c>
      <c r="Z58" s="41">
        <f>COUNTIFS(集計用!$P:$P, "*"&amp;Z$4&amp;",*",集計用!$G:$G,"*, "&amp;$C58&amp;", *")/$B58*100</f>
        <v>0</v>
      </c>
      <c r="AA58" s="41">
        <f>COUNTIFS(集計用!$P:$P, "*"&amp;AA$4&amp;",*",集計用!$G:$G,"*, "&amp;$C58&amp;", *")/$B58*100</f>
        <v>0</v>
      </c>
      <c r="AB58" s="41">
        <f>COUNTIFS(集計用!$P:$P, "*"&amp;AB$4&amp;",*",集計用!$G:$G,"*, "&amp;$C58&amp;", *")/$B58*100</f>
        <v>0</v>
      </c>
      <c r="AC58" s="41">
        <f>COUNTIFS(集計用!$P:$P, "*"&amp;AC$4&amp;",*",集計用!$G:$G,"*, "&amp;$C58&amp;", *")/$B58*100</f>
        <v>0</v>
      </c>
      <c r="AD58" s="41">
        <f>COUNTIFS(集計用!$P:$P, "*"&amp;AD$4&amp;",*",集計用!$G:$G,"*, "&amp;$C58&amp;", *")/$B58*100</f>
        <v>0</v>
      </c>
      <c r="AE58" s="41">
        <f>COUNTIFS(集計用!$P:$P, "*"&amp;AE$4&amp;",*",集計用!$G:$G,"*, "&amp;$C58&amp;", *")/$B58*100</f>
        <v>0</v>
      </c>
      <c r="AF58" s="41">
        <f>COUNTIFS(集計用!$P:$P, "*"&amp;AF$4&amp;",*",集計用!$G:$G,"*, "&amp;$C58&amp;", *")/$B58*100</f>
        <v>0</v>
      </c>
      <c r="AG58" s="41">
        <f>COUNTIFS(集計用!$P:$P, "*"&amp;AG$4&amp;",*",集計用!$G:$G,"*, "&amp;$C58&amp;", *")/$B58*100</f>
        <v>0</v>
      </c>
      <c r="AH58" s="41">
        <f>COUNTIFS(集計用!$P:$P, "*"&amp;AH$4&amp;",*",集計用!$G:$G,"*, "&amp;$C58&amp;", *")/$B58*100</f>
        <v>0</v>
      </c>
      <c r="AI58" s="41">
        <f>COUNTIFS(集計用!$P:$P, "*"&amp;AI$4&amp;",*",集計用!$G:$G,"*, "&amp;$C58&amp;", *")/$B58*100</f>
        <v>0</v>
      </c>
      <c r="AJ58" s="41">
        <f>COUNTIFS(集計用!$P:$P, "*"&amp;AJ$4&amp;",*",集計用!$G:$G,"*, "&amp;$C58&amp;", *")/$B58*100</f>
        <v>0</v>
      </c>
      <c r="AK58" s="41">
        <f>COUNTIFS(集計用!$P:$P, "*"&amp;AK$4&amp;",*",集計用!$G:$G,"*, "&amp;$C58&amp;", *")/$B58*100</f>
        <v>0</v>
      </c>
      <c r="AL58" s="41">
        <f>COUNTIFS(集計用!$P:$P, "*"&amp;AL$4&amp;",*",集計用!$G:$G,"*, "&amp;$C58&amp;", *")/$B58*100</f>
        <v>0</v>
      </c>
      <c r="AM58" s="41">
        <f>COUNTIFS(集計用!$P:$P, "*"&amp;AM$4&amp;",*",集計用!$G:$G,"*, "&amp;$C58&amp;", *")/$B58*100</f>
        <v>0</v>
      </c>
      <c r="AN58" s="41">
        <f>COUNTIFS(集計用!$P:$P, "*"&amp;AN$4&amp;",*",集計用!$G:$G,"*, "&amp;$C58&amp;", *")/$B58*100</f>
        <v>0</v>
      </c>
      <c r="AO58" s="41">
        <f>COUNTIFS(集計用!$P:$P, "*"&amp;AO$4&amp;",*",集計用!$G:$G,"*, "&amp;$C58&amp;", *")/$B58*100</f>
        <v>0</v>
      </c>
      <c r="AP58" s="41">
        <f>COUNTIFS(集計用!$P:$P, "*"&amp;AP$4&amp;",*",集計用!$G:$G,"*, "&amp;$C58&amp;", *")/$B58*100</f>
        <v>0</v>
      </c>
      <c r="AQ58" s="41">
        <f>COUNTIFS(集計用!$P:$P, "*"&amp;AQ$4&amp;",*",集計用!$G:$G,"*, "&amp;$C58&amp;", *")/$B58*100</f>
        <v>0</v>
      </c>
      <c r="AR58" s="41">
        <f>COUNTIFS(集計用!$P:$P, "*"&amp;AR$4&amp;",*",集計用!$G:$G,"*, "&amp;$C58&amp;", *")/$B58*100</f>
        <v>0</v>
      </c>
      <c r="AS58" s="41">
        <f>COUNTIFS(集計用!$P:$P, "*"&amp;AS$4&amp;",*",集計用!$G:$G,"*, "&amp;$C58&amp;", *")/$B58*100</f>
        <v>0</v>
      </c>
      <c r="AT58" s="41">
        <f>COUNTIFS(集計用!$P:$P, "*"&amp;AT$4&amp;",*",集計用!$G:$G,"*, "&amp;$C58&amp;", *")/$B58*100</f>
        <v>0</v>
      </c>
      <c r="AU58" s="41">
        <f>COUNTIFS(集計用!$P:$P, "*"&amp;AU$4&amp;",*",集計用!$G:$G,"*, "&amp;$C58&amp;", *")/$B58*100</f>
        <v>0</v>
      </c>
      <c r="AV58" s="41">
        <f>COUNTIFS(集計用!$P:$P, "*"&amp;AV$4&amp;",*",集計用!$G:$G,"*, "&amp;$C58&amp;", *")/$B58*100</f>
        <v>0</v>
      </c>
      <c r="AW58" s="41">
        <f>COUNTIFS(集計用!$P:$P, "*"&amp;AW$4&amp;",*",集計用!$G:$G,"*, "&amp;$C58&amp;", *")/$B58*100</f>
        <v>0</v>
      </c>
      <c r="AX58" s="41">
        <f>COUNTIFS(集計用!$P:$P, "*"&amp;AX$4&amp;",*",集計用!$G:$G,"*, "&amp;$C58&amp;", *")/$B58*100</f>
        <v>0</v>
      </c>
      <c r="AY58" s="41">
        <f>COUNTIFS(集計用!$P:$P, "*"&amp;AY$4&amp;",*",集計用!$G:$G,"*, "&amp;$C58&amp;", *")/$B58*100</f>
        <v>0</v>
      </c>
      <c r="AZ58" s="41">
        <f>COUNTIFS(集計用!$P:$P, "*"&amp;AZ$4&amp;",*",集計用!$G:$G,"*, "&amp;$C58&amp;", *")/$B58*100</f>
        <v>0</v>
      </c>
      <c r="BA58" s="41">
        <f>COUNTIFS(集計用!$P:$P, "*"&amp;BA$4&amp;",*",集計用!$G:$G,"*, "&amp;$C58&amp;", *")/$B58*100</f>
        <v>0</v>
      </c>
      <c r="BB58" s="41">
        <f>COUNTIFS(集計用!$P:$P, "*"&amp;BB$4&amp;",*",集計用!$G:$G,"*, "&amp;$C58&amp;", *")/$B58*100</f>
        <v>0</v>
      </c>
      <c r="BC58" s="41">
        <f>COUNTIFS(集計用!$P:$P, "*"&amp;BC$4&amp;",*",集計用!$G:$G,"*, "&amp;$C58&amp;", *")/$B58*100</f>
        <v>0</v>
      </c>
      <c r="BD58" s="41">
        <f>COUNTIFS(集計用!$P:$P, "*"&amp;BD$4&amp;",*",集計用!$G:$G,"*, "&amp;$C58&amp;", *")/$B58*100</f>
        <v>0</v>
      </c>
      <c r="BE58" s="41">
        <f>COUNTIFS(集計用!$P:$P, "*"&amp;BE$4&amp;",*",集計用!$G:$G,"*, "&amp;$C58&amp;", *")/$B58*100</f>
        <v>0</v>
      </c>
      <c r="BF58" s="41">
        <f>COUNTIFS(集計用!$P:$P, "*"&amp;BF$4&amp;",*",集計用!$G:$G,"*, "&amp;$C58&amp;", *")/$B58*100</f>
        <v>0</v>
      </c>
      <c r="BG58" s="41">
        <f>COUNTIFS(集計用!$P:$P, "*"&amp;BG$4&amp;",*",集計用!$G:$G,"*, "&amp;$C58&amp;", *")/$B58*100</f>
        <v>0</v>
      </c>
      <c r="BH58" s="41">
        <f>COUNTIFS(集計用!$P:$P, "*"&amp;BH$4&amp;",*",集計用!$G:$G,"*, "&amp;$C58&amp;", *")/$B58*100</f>
        <v>0</v>
      </c>
      <c r="BI58" s="41">
        <f>COUNTIFS(集計用!$P:$P, "*"&amp;BI$4&amp;",*",集計用!$G:$G,"*, "&amp;$C58&amp;", *")/$B58*100</f>
        <v>0</v>
      </c>
      <c r="BJ58" s="41">
        <f>COUNTIFS(集計用!$P:$P, "*"&amp;BJ$4&amp;",*",集計用!$G:$G,"*, "&amp;$C58&amp;", *")/$B58*100</f>
        <v>0</v>
      </c>
      <c r="BK58" s="41">
        <f>COUNTIFS(集計用!$P:$P, "*"&amp;BK$4&amp;",*",集計用!$G:$G,"*, "&amp;$C58&amp;", *")/$B58*100</f>
        <v>0</v>
      </c>
      <c r="BL58" s="41">
        <f>COUNTIFS(集計用!$P:$P, "*"&amp;BL$4&amp;",*",集計用!$G:$G,"*, "&amp;$C58&amp;", *")/$B58*100</f>
        <v>0</v>
      </c>
      <c r="BM58" s="41">
        <f>COUNTIFS(集計用!$P:$P, "*"&amp;BM$4&amp;",*",集計用!$G:$G,"*, "&amp;$C58&amp;", *")/$B58*100</f>
        <v>0</v>
      </c>
      <c r="BN58" s="41">
        <f>COUNTIFS(集計用!$P:$P, "*"&amp;BN$4&amp;",*",集計用!$G:$G,"*, "&amp;$C58&amp;", *")/$B58*100</f>
        <v>0</v>
      </c>
      <c r="BO58" s="41">
        <f>COUNTIFS(集計用!$P:$P, "*"&amp;BO$4&amp;",*",集計用!$G:$G,"*, "&amp;$C58&amp;", *")/$B58*100</f>
        <v>0</v>
      </c>
      <c r="BP58" s="41">
        <f>COUNTIFS(集計用!$P:$P, "*"&amp;BP$4&amp;",*",集計用!$G:$G,"*, "&amp;$C58&amp;", *")/$B58*100</f>
        <v>0</v>
      </c>
      <c r="BQ58" s="41">
        <f>COUNTIFS(集計用!$P:$P, "*"&amp;BQ$4&amp;",*",集計用!$G:$G,"*, "&amp;$C58&amp;", *")/$B58*100</f>
        <v>0</v>
      </c>
      <c r="BR58" s="41">
        <f>COUNTIFS(集計用!$P:$P, "*"&amp;BR$4&amp;",*",集計用!$G:$G,"*, "&amp;$C58&amp;", *")/$B58*100</f>
        <v>0</v>
      </c>
      <c r="BS58" s="41">
        <f>COUNTIFS(集計用!$P:$P, "*"&amp;BS$4&amp;",*",集計用!$G:$G,"*, "&amp;$C58&amp;", *")/$B58*100</f>
        <v>0</v>
      </c>
      <c r="BT58" s="41">
        <f>COUNTIFS(集計用!$P:$P, "*"&amp;BT$4&amp;",*",集計用!$G:$G,"*, "&amp;$C58&amp;", *")/$B58*100</f>
        <v>0</v>
      </c>
      <c r="BU58" s="41"/>
      <c r="BV58" s="41"/>
      <c r="BW58" s="41"/>
      <c r="BX58" s="41"/>
      <c r="BY58" s="41"/>
      <c r="BZ58" s="41"/>
      <c r="CA58" s="41"/>
      <c r="CB58" s="41"/>
      <c r="CC58" s="41"/>
      <c r="CD58" s="41"/>
      <c r="CE58" s="41"/>
      <c r="CF58" s="41"/>
      <c r="CG58" s="41"/>
      <c r="CH58" s="41"/>
      <c r="CI58" s="41"/>
      <c r="CJ58" s="41"/>
      <c r="CK58" s="41"/>
    </row>
    <row r="59" spans="1:89" ht="14.25" customHeight="1">
      <c r="A59" s="39" t="s">
        <v>2180</v>
      </c>
      <c r="B59" s="39">
        <f>(COUNTIFS(集計用!$G:$G,"*, "&amp;$C59&amp;",*",集計用!$Q:$Q,"&lt;&gt;無回答"))</f>
        <v>4</v>
      </c>
      <c r="C59" s="42" t="s">
        <v>52</v>
      </c>
      <c r="D59" s="41">
        <f>COUNTIFS(集計用!$O:$O, "*, "&amp;D$4&amp;", *",集計用!$G:$G,"*, "&amp;$C59&amp;", *")/$B59*100</f>
        <v>100</v>
      </c>
      <c r="E59" s="41">
        <f>COUNTIFS(集計用!$O:$O, "*, "&amp;E$4&amp;", *",集計用!$G:$G,"*, "&amp;$C59&amp;", *")/$B59*100</f>
        <v>100</v>
      </c>
      <c r="F59" s="41">
        <f>COUNTIFS(集計用!$O:$O, "*, "&amp;F$4&amp;", *",集計用!$G:$G,"*, "&amp;$C59&amp;", *")/$B59*100</f>
        <v>25</v>
      </c>
      <c r="G59" s="41">
        <f>COUNTIFS(集計用!$O:$O, "*, "&amp;G$4&amp;", *",集計用!$G:$G,"*, "&amp;$C59&amp;", *")/$B59*100</f>
        <v>25</v>
      </c>
      <c r="H59" s="41">
        <f>COUNTIFS(集計用!$O:$O, "*, "&amp;H$4&amp;", *",集計用!$G:$G,"*, "&amp;$C59&amp;", *")/$B59*100</f>
        <v>25</v>
      </c>
      <c r="I59" s="41">
        <f>COUNTIFS(集計用!$O:$O, "*, "&amp;I$4&amp;", *",集計用!$G:$G,"*, "&amp;$C59&amp;", *")/$B59*100</f>
        <v>25</v>
      </c>
      <c r="J59" s="41">
        <f>COUNTIFS(集計用!$O:$O, "*, "&amp;J$4&amp;", *",集計用!$G:$G,"*, "&amp;$C59&amp;", *")/$B59*100</f>
        <v>75</v>
      </c>
      <c r="K59" s="41">
        <f>COUNTIFS(集計用!$O:$O, "*, "&amp;K$4&amp;", *",集計用!$G:$G,"*, "&amp;$C59&amp;", *")/$B59*100</f>
        <v>50</v>
      </c>
      <c r="L59" s="41">
        <f>COUNTIFS(集計用!$O:$O, "*, "&amp;L$4&amp;", *",集計用!$G:$G,"*, "&amp;$C59&amp;", *")/$B59*100</f>
        <v>25</v>
      </c>
      <c r="M59" s="41">
        <f>COUNTIFS(集計用!$O:$O, "*, "&amp;M$4&amp;", *",集計用!$G:$G,"*, "&amp;$C59&amp;", *")/$B59*100</f>
        <v>25</v>
      </c>
      <c r="N59" s="41">
        <f>COUNTIFS(集計用!$O:$O, "*, "&amp;N$4&amp;", *",集計用!$G:$G,"*, "&amp;$C59&amp;", *")/$B59*100</f>
        <v>50</v>
      </c>
      <c r="O59" s="41">
        <f>COUNTIFS(集計用!$O:$O, "*, "&amp;O$4&amp;", *",集計用!$G:$G,"*, "&amp;$C59&amp;", *")/$B59*100</f>
        <v>25</v>
      </c>
      <c r="P59" s="41">
        <f>COUNTIFS(集計用!$O:$O, "*, "&amp;P$4&amp;", *",集計用!$G:$G,"*, "&amp;$C59&amp;", *")/$B59*100</f>
        <v>25</v>
      </c>
      <c r="Q59" s="41">
        <f>COUNTIFS(集計用!$O:$O, "*, "&amp;Q$4&amp;", *",集計用!$G:$G,"*, "&amp;$C59&amp;", *")/$B59*100</f>
        <v>25</v>
      </c>
      <c r="R59" s="41">
        <f>COUNTIFS(集計用!$O:$O, "*, "&amp;R$4&amp;", *",集計用!$G:$G,"*, "&amp;$C59&amp;", *")/$B59*100</f>
        <v>50</v>
      </c>
      <c r="S59" s="41">
        <f>COUNTIFS(集計用!$O:$O, "*, "&amp;S$4&amp;", *",集計用!$G:$G,"*, "&amp;$C59&amp;", *")/$B59*100</f>
        <v>25</v>
      </c>
      <c r="T59" s="41">
        <f>COUNTIFS(集計用!$O:$O, "*, "&amp;T$4&amp;", *",集計用!$G:$G,"*, "&amp;$C59&amp;", *")/$B59*100</f>
        <v>0</v>
      </c>
      <c r="V59" s="41">
        <f>COUNTIFS(集計用!$P:$P, "*"&amp;V$4&amp;",*",集計用!$G:$G,"*, "&amp;$C59&amp;", *")/$B59*100</f>
        <v>0</v>
      </c>
      <c r="W59" s="41">
        <f>COUNTIFS(集計用!$P:$P, "*"&amp;W$4&amp;",*",集計用!$G:$G,"*, "&amp;$C59&amp;", *")/$B59*100</f>
        <v>0</v>
      </c>
      <c r="X59" s="41">
        <f>COUNTIFS(集計用!$P:$P, "*"&amp;X$4&amp;",*",集計用!$G:$G,"*, "&amp;$C59&amp;", *")/$B59*100</f>
        <v>0</v>
      </c>
      <c r="Y59" s="41">
        <f>COUNTIFS(集計用!$P:$P, "*"&amp;Y$4&amp;",*",集計用!$G:$G,"*, "&amp;$C59&amp;", *")/$B59*100</f>
        <v>0</v>
      </c>
      <c r="Z59" s="41">
        <f>COUNTIFS(集計用!$P:$P, "*"&amp;Z$4&amp;",*",集計用!$G:$G,"*, "&amp;$C59&amp;", *")/$B59*100</f>
        <v>0</v>
      </c>
      <c r="AA59" s="41">
        <f>COUNTIFS(集計用!$P:$P, "*"&amp;AA$4&amp;",*",集計用!$G:$G,"*, "&amp;$C59&amp;", *")/$B59*100</f>
        <v>0</v>
      </c>
      <c r="AB59" s="41">
        <f>COUNTIFS(集計用!$P:$P, "*"&amp;AB$4&amp;",*",集計用!$G:$G,"*, "&amp;$C59&amp;", *")/$B59*100</f>
        <v>0</v>
      </c>
      <c r="AC59" s="41">
        <f>COUNTIFS(集計用!$P:$P, "*"&amp;AC$4&amp;",*",集計用!$G:$G,"*, "&amp;$C59&amp;", *")/$B59*100</f>
        <v>0</v>
      </c>
      <c r="AD59" s="41">
        <f>COUNTIFS(集計用!$P:$P, "*"&amp;AD$4&amp;",*",集計用!$G:$G,"*, "&amp;$C59&amp;", *")/$B59*100</f>
        <v>0</v>
      </c>
      <c r="AE59" s="41">
        <f>COUNTIFS(集計用!$P:$P, "*"&amp;AE$4&amp;",*",集計用!$G:$G,"*, "&amp;$C59&amp;", *")/$B59*100</f>
        <v>0</v>
      </c>
      <c r="AF59" s="41">
        <f>COUNTIFS(集計用!$P:$P, "*"&amp;AF$4&amp;",*",集計用!$G:$G,"*, "&amp;$C59&amp;", *")/$B59*100</f>
        <v>0</v>
      </c>
      <c r="AG59" s="41">
        <f>COUNTIFS(集計用!$P:$P, "*"&amp;AG$4&amp;",*",集計用!$G:$G,"*, "&amp;$C59&amp;", *")/$B59*100</f>
        <v>0</v>
      </c>
      <c r="AH59" s="41">
        <f>COUNTIFS(集計用!$P:$P, "*"&amp;AH$4&amp;",*",集計用!$G:$G,"*, "&amp;$C59&amp;", *")/$B59*100</f>
        <v>0</v>
      </c>
      <c r="AI59" s="41">
        <f>COUNTIFS(集計用!$P:$P, "*"&amp;AI$4&amp;",*",集計用!$G:$G,"*, "&amp;$C59&amp;", *")/$B59*100</f>
        <v>0</v>
      </c>
      <c r="AJ59" s="41">
        <f>COUNTIFS(集計用!$P:$P, "*"&amp;AJ$4&amp;",*",集計用!$G:$G,"*, "&amp;$C59&amp;", *")/$B59*100</f>
        <v>0</v>
      </c>
      <c r="AK59" s="41">
        <f>COUNTIFS(集計用!$P:$P, "*"&amp;AK$4&amp;",*",集計用!$G:$G,"*, "&amp;$C59&amp;", *")/$B59*100</f>
        <v>0</v>
      </c>
      <c r="AL59" s="41">
        <f>COUNTIFS(集計用!$P:$P, "*"&amp;AL$4&amp;",*",集計用!$G:$G,"*, "&amp;$C59&amp;", *")/$B59*100</f>
        <v>0</v>
      </c>
      <c r="AM59" s="41">
        <f>COUNTIFS(集計用!$P:$P, "*"&amp;AM$4&amp;",*",集計用!$G:$G,"*, "&amp;$C59&amp;", *")/$B59*100</f>
        <v>0</v>
      </c>
      <c r="AN59" s="41">
        <f>COUNTIFS(集計用!$P:$P, "*"&amp;AN$4&amp;",*",集計用!$G:$G,"*, "&amp;$C59&amp;", *")/$B59*100</f>
        <v>0</v>
      </c>
      <c r="AO59" s="41">
        <f>COUNTIFS(集計用!$P:$P, "*"&amp;AO$4&amp;",*",集計用!$G:$G,"*, "&amp;$C59&amp;", *")/$B59*100</f>
        <v>0</v>
      </c>
      <c r="AP59" s="41">
        <f>COUNTIFS(集計用!$P:$P, "*"&amp;AP$4&amp;",*",集計用!$G:$G,"*, "&amp;$C59&amp;", *")/$B59*100</f>
        <v>0</v>
      </c>
      <c r="AQ59" s="41">
        <f>COUNTIFS(集計用!$P:$P, "*"&amp;AQ$4&amp;",*",集計用!$G:$G,"*, "&amp;$C59&amp;", *")/$B59*100</f>
        <v>0</v>
      </c>
      <c r="AR59" s="41">
        <f>COUNTIFS(集計用!$P:$P, "*"&amp;AR$4&amp;",*",集計用!$G:$G,"*, "&amp;$C59&amp;", *")/$B59*100</f>
        <v>0</v>
      </c>
      <c r="AS59" s="41">
        <f>COUNTIFS(集計用!$P:$P, "*"&amp;AS$4&amp;",*",集計用!$G:$G,"*, "&amp;$C59&amp;", *")/$B59*100</f>
        <v>0</v>
      </c>
      <c r="AT59" s="41">
        <f>COUNTIFS(集計用!$P:$P, "*"&amp;AT$4&amp;",*",集計用!$G:$G,"*, "&amp;$C59&amp;", *")/$B59*100</f>
        <v>0</v>
      </c>
      <c r="AU59" s="41">
        <f>COUNTIFS(集計用!$P:$P, "*"&amp;AU$4&amp;",*",集計用!$G:$G,"*, "&amp;$C59&amp;", *")/$B59*100</f>
        <v>0</v>
      </c>
      <c r="AV59" s="41">
        <f>COUNTIFS(集計用!$P:$P, "*"&amp;AV$4&amp;",*",集計用!$G:$G,"*, "&amp;$C59&amp;", *")/$B59*100</f>
        <v>0</v>
      </c>
      <c r="AW59" s="41">
        <f>COUNTIFS(集計用!$P:$P, "*"&amp;AW$4&amp;",*",集計用!$G:$G,"*, "&amp;$C59&amp;", *")/$B59*100</f>
        <v>0</v>
      </c>
      <c r="AX59" s="41">
        <f>COUNTIFS(集計用!$P:$P, "*"&amp;AX$4&amp;",*",集計用!$G:$G,"*, "&amp;$C59&amp;", *")/$B59*100</f>
        <v>0</v>
      </c>
      <c r="AY59" s="41">
        <f>COUNTIFS(集計用!$P:$P, "*"&amp;AY$4&amp;",*",集計用!$G:$G,"*, "&amp;$C59&amp;", *")/$B59*100</f>
        <v>0</v>
      </c>
      <c r="AZ59" s="41">
        <f>COUNTIFS(集計用!$P:$P, "*"&amp;AZ$4&amp;",*",集計用!$G:$G,"*, "&amp;$C59&amp;", *")/$B59*100</f>
        <v>0</v>
      </c>
      <c r="BA59" s="41">
        <f>COUNTIFS(集計用!$P:$P, "*"&amp;BA$4&amp;",*",集計用!$G:$G,"*, "&amp;$C59&amp;", *")/$B59*100</f>
        <v>0</v>
      </c>
      <c r="BB59" s="41">
        <f>COUNTIFS(集計用!$P:$P, "*"&amp;BB$4&amp;",*",集計用!$G:$G,"*, "&amp;$C59&amp;", *")/$B59*100</f>
        <v>0</v>
      </c>
      <c r="BC59" s="41">
        <f>COUNTIFS(集計用!$P:$P, "*"&amp;BC$4&amp;",*",集計用!$G:$G,"*, "&amp;$C59&amp;", *")/$B59*100</f>
        <v>0</v>
      </c>
      <c r="BD59" s="41">
        <f>COUNTIFS(集計用!$P:$P, "*"&amp;BD$4&amp;",*",集計用!$G:$G,"*, "&amp;$C59&amp;", *")/$B59*100</f>
        <v>0</v>
      </c>
      <c r="BE59" s="41">
        <f>COUNTIFS(集計用!$P:$P, "*"&amp;BE$4&amp;",*",集計用!$G:$G,"*, "&amp;$C59&amp;", *")/$B59*100</f>
        <v>0</v>
      </c>
      <c r="BF59" s="41">
        <f>COUNTIFS(集計用!$P:$P, "*"&amp;BF$4&amp;",*",集計用!$G:$G,"*, "&amp;$C59&amp;", *")/$B59*100</f>
        <v>0</v>
      </c>
      <c r="BG59" s="41">
        <f>COUNTIFS(集計用!$P:$P, "*"&amp;BG$4&amp;",*",集計用!$G:$G,"*, "&amp;$C59&amp;", *")/$B59*100</f>
        <v>0</v>
      </c>
      <c r="BH59" s="41">
        <f>COUNTIFS(集計用!$P:$P, "*"&amp;BH$4&amp;",*",集計用!$G:$G,"*, "&amp;$C59&amp;", *")/$B59*100</f>
        <v>0</v>
      </c>
      <c r="BI59" s="41">
        <f>COUNTIFS(集計用!$P:$P, "*"&amp;BI$4&amp;",*",集計用!$G:$G,"*, "&amp;$C59&amp;", *")/$B59*100</f>
        <v>0</v>
      </c>
      <c r="BJ59" s="41">
        <f>COUNTIFS(集計用!$P:$P, "*"&amp;BJ$4&amp;",*",集計用!$G:$G,"*, "&amp;$C59&amp;", *")/$B59*100</f>
        <v>0</v>
      </c>
      <c r="BK59" s="41">
        <f>COUNTIFS(集計用!$P:$P, "*"&amp;BK$4&amp;",*",集計用!$G:$G,"*, "&amp;$C59&amp;", *")/$B59*100</f>
        <v>0</v>
      </c>
      <c r="BL59" s="41">
        <f>COUNTIFS(集計用!$P:$P, "*"&amp;BL$4&amp;",*",集計用!$G:$G,"*, "&amp;$C59&amp;", *")/$B59*100</f>
        <v>0</v>
      </c>
      <c r="BM59" s="41">
        <f>COUNTIFS(集計用!$P:$P, "*"&amp;BM$4&amp;",*",集計用!$G:$G,"*, "&amp;$C59&amp;", *")/$B59*100</f>
        <v>0</v>
      </c>
      <c r="BN59" s="41">
        <f>COUNTIFS(集計用!$P:$P, "*"&amp;BN$4&amp;",*",集計用!$G:$G,"*, "&amp;$C59&amp;", *")/$B59*100</f>
        <v>0</v>
      </c>
      <c r="BO59" s="41">
        <f>COUNTIFS(集計用!$P:$P, "*"&amp;BO$4&amp;",*",集計用!$G:$G,"*, "&amp;$C59&amp;", *")/$B59*100</f>
        <v>0</v>
      </c>
      <c r="BP59" s="41">
        <f>COUNTIFS(集計用!$P:$P, "*"&amp;BP$4&amp;",*",集計用!$G:$G,"*, "&amp;$C59&amp;", *")/$B59*100</f>
        <v>0</v>
      </c>
      <c r="BQ59" s="41">
        <f>COUNTIFS(集計用!$P:$P, "*"&amp;BQ$4&amp;",*",集計用!$G:$G,"*, "&amp;$C59&amp;", *")/$B59*100</f>
        <v>0</v>
      </c>
      <c r="BR59" s="41">
        <f>COUNTIFS(集計用!$P:$P, "*"&amp;BR$4&amp;",*",集計用!$G:$G,"*, "&amp;$C59&amp;", *")/$B59*100</f>
        <v>0</v>
      </c>
      <c r="BS59" s="41">
        <f>COUNTIFS(集計用!$P:$P, "*"&amp;BS$4&amp;",*",集計用!$G:$G,"*, "&amp;$C59&amp;", *")/$B59*100</f>
        <v>0</v>
      </c>
      <c r="BT59" s="41">
        <f>COUNTIFS(集計用!$P:$P, "*"&amp;BT$4&amp;",*",集計用!$G:$G,"*, "&amp;$C59&amp;", *")/$B59*100</f>
        <v>0</v>
      </c>
      <c r="BU59" s="41"/>
      <c r="BV59" s="41"/>
      <c r="BW59" s="41"/>
      <c r="BX59" s="41"/>
      <c r="BY59" s="41"/>
      <c r="BZ59" s="41"/>
      <c r="CA59" s="41"/>
      <c r="CB59" s="41"/>
      <c r="CC59" s="41"/>
      <c r="CD59" s="41"/>
      <c r="CE59" s="41"/>
      <c r="CF59" s="41"/>
      <c r="CG59" s="41"/>
      <c r="CH59" s="41"/>
      <c r="CI59" s="41"/>
      <c r="CJ59" s="41"/>
      <c r="CK59" s="41"/>
    </row>
    <row r="60" spans="1:89" ht="12.75">
      <c r="A60" s="39" t="s">
        <v>2180</v>
      </c>
      <c r="B60" s="39">
        <f>(COUNTIFS(集計用!$G:$G,"*, "&amp;$C60&amp;",*",集計用!$Q:$Q,"&lt;&gt;無回答"))</f>
        <v>3</v>
      </c>
      <c r="C60" s="42" t="s">
        <v>54</v>
      </c>
      <c r="D60" s="41">
        <f>COUNTIFS(集計用!$O:$O, "*, "&amp;D$4&amp;", *",集計用!$G:$G,"*, "&amp;$C60&amp;", *")/$B60*100</f>
        <v>100</v>
      </c>
      <c r="E60" s="41">
        <f>COUNTIFS(集計用!$O:$O, "*, "&amp;E$4&amp;", *",集計用!$G:$G,"*, "&amp;$C60&amp;", *")/$B60*100</f>
        <v>66.666666666666657</v>
      </c>
      <c r="F60" s="41">
        <f>COUNTIFS(集計用!$O:$O, "*, "&amp;F$4&amp;", *",集計用!$G:$G,"*, "&amp;$C60&amp;", *")/$B60*100</f>
        <v>100</v>
      </c>
      <c r="G60" s="41">
        <f>COUNTIFS(集計用!$O:$O, "*, "&amp;G$4&amp;", *",集計用!$G:$G,"*, "&amp;$C60&amp;", *")/$B60*100</f>
        <v>33.333333333333329</v>
      </c>
      <c r="H60" s="41">
        <f>COUNTIFS(集計用!$O:$O, "*, "&amp;H$4&amp;", *",集計用!$G:$G,"*, "&amp;$C60&amp;", *")/$B60*100</f>
        <v>66.666666666666657</v>
      </c>
      <c r="I60" s="41">
        <f>COUNTIFS(集計用!$O:$O, "*, "&amp;I$4&amp;", *",集計用!$G:$G,"*, "&amp;$C60&amp;", *")/$B60*100</f>
        <v>66.666666666666657</v>
      </c>
      <c r="J60" s="41">
        <f>COUNTIFS(集計用!$O:$O, "*, "&amp;J$4&amp;", *",集計用!$G:$G,"*, "&amp;$C60&amp;", *")/$B60*100</f>
        <v>33.333333333333329</v>
      </c>
      <c r="K60" s="41">
        <f>COUNTIFS(集計用!$O:$O, "*, "&amp;K$4&amp;", *",集計用!$G:$G,"*, "&amp;$C60&amp;", *")/$B60*100</f>
        <v>66.666666666666657</v>
      </c>
      <c r="L60" s="41">
        <f>COUNTIFS(集計用!$O:$O, "*, "&amp;L$4&amp;", *",集計用!$G:$G,"*, "&amp;$C60&amp;", *")/$B60*100</f>
        <v>33.333333333333329</v>
      </c>
      <c r="M60" s="41">
        <f>COUNTIFS(集計用!$O:$O, "*, "&amp;M$4&amp;", *",集計用!$G:$G,"*, "&amp;$C60&amp;", *")/$B60*100</f>
        <v>66.666666666666657</v>
      </c>
      <c r="N60" s="41">
        <f>COUNTIFS(集計用!$O:$O, "*, "&amp;N$4&amp;", *",集計用!$G:$G,"*, "&amp;$C60&amp;", *")/$B60*100</f>
        <v>33.333333333333329</v>
      </c>
      <c r="O60" s="41">
        <f>COUNTIFS(集計用!$O:$O, "*, "&amp;O$4&amp;", *",集計用!$G:$G,"*, "&amp;$C60&amp;", *")/$B60*100</f>
        <v>0</v>
      </c>
      <c r="P60" s="41">
        <f>COUNTIFS(集計用!$O:$O, "*, "&amp;P$4&amp;", *",集計用!$G:$G,"*, "&amp;$C60&amp;", *")/$B60*100</f>
        <v>33.333333333333329</v>
      </c>
      <c r="Q60" s="41">
        <f>COUNTIFS(集計用!$O:$O, "*, "&amp;Q$4&amp;", *",集計用!$G:$G,"*, "&amp;$C60&amp;", *")/$B60*100</f>
        <v>33.333333333333329</v>
      </c>
      <c r="R60" s="41">
        <f>COUNTIFS(集計用!$O:$O, "*, "&amp;R$4&amp;", *",集計用!$G:$G,"*, "&amp;$C60&amp;", *")/$B60*100</f>
        <v>33.333333333333329</v>
      </c>
      <c r="S60" s="41">
        <f>COUNTIFS(集計用!$O:$O, "*, "&amp;S$4&amp;", *",集計用!$G:$G,"*, "&amp;$C60&amp;", *")/$B60*100</f>
        <v>33.333333333333329</v>
      </c>
      <c r="T60" s="41">
        <f>COUNTIFS(集計用!$O:$O, "*, "&amp;T$4&amp;", *",集計用!$G:$G,"*, "&amp;$C60&amp;", *")/$B60*100</f>
        <v>33.333333333333329</v>
      </c>
      <c r="V60" s="41">
        <f>COUNTIFS(集計用!$P:$P, "*"&amp;V$4&amp;",*",集計用!$G:$G,"*, "&amp;$C60&amp;", *")/$B60*100</f>
        <v>33.333333333333329</v>
      </c>
      <c r="W60" s="41">
        <f>COUNTIFS(集計用!$P:$P, "*"&amp;W$4&amp;",*",集計用!$G:$G,"*, "&amp;$C60&amp;", *")/$B60*100</f>
        <v>0</v>
      </c>
      <c r="X60" s="41">
        <f>COUNTIFS(集計用!$P:$P, "*"&amp;X$4&amp;",*",集計用!$G:$G,"*, "&amp;$C60&amp;", *")/$B60*100</f>
        <v>0</v>
      </c>
      <c r="Y60" s="41">
        <f>COUNTIFS(集計用!$P:$P, "*"&amp;Y$4&amp;",*",集計用!$G:$G,"*, "&amp;$C60&amp;", *")/$B60*100</f>
        <v>0</v>
      </c>
      <c r="Z60" s="41">
        <f>COUNTIFS(集計用!$P:$P, "*"&amp;Z$4&amp;",*",集計用!$G:$G,"*, "&amp;$C60&amp;", *")/$B60*100</f>
        <v>0</v>
      </c>
      <c r="AA60" s="41">
        <f>COUNTIFS(集計用!$P:$P, "*"&amp;AA$4&amp;",*",集計用!$G:$G,"*, "&amp;$C60&amp;", *")/$B60*100</f>
        <v>0</v>
      </c>
      <c r="AB60" s="41">
        <f>COUNTIFS(集計用!$P:$P, "*"&amp;AB$4&amp;",*",集計用!$G:$G,"*, "&amp;$C60&amp;", *")/$B60*100</f>
        <v>0</v>
      </c>
      <c r="AC60" s="41">
        <f>COUNTIFS(集計用!$P:$P, "*"&amp;AC$4&amp;",*",集計用!$G:$G,"*, "&amp;$C60&amp;", *")/$B60*100</f>
        <v>0</v>
      </c>
      <c r="AD60" s="41">
        <f>COUNTIFS(集計用!$P:$P, "*"&amp;AD$4&amp;",*",集計用!$G:$G,"*, "&amp;$C60&amp;", *")/$B60*100</f>
        <v>0</v>
      </c>
      <c r="AE60" s="41">
        <f>COUNTIFS(集計用!$P:$P, "*"&amp;AE$4&amp;",*",集計用!$G:$G,"*, "&amp;$C60&amp;", *")/$B60*100</f>
        <v>0</v>
      </c>
      <c r="AF60" s="41">
        <f>COUNTIFS(集計用!$P:$P, "*"&amp;AF$4&amp;",*",集計用!$G:$G,"*, "&amp;$C60&amp;", *")/$B60*100</f>
        <v>0</v>
      </c>
      <c r="AG60" s="41">
        <f>COUNTIFS(集計用!$P:$P, "*"&amp;AG$4&amp;",*",集計用!$G:$G,"*, "&amp;$C60&amp;", *")/$B60*100</f>
        <v>0</v>
      </c>
      <c r="AH60" s="41">
        <f>COUNTIFS(集計用!$P:$P, "*"&amp;AH$4&amp;",*",集計用!$G:$G,"*, "&amp;$C60&amp;", *")/$B60*100</f>
        <v>0</v>
      </c>
      <c r="AI60" s="41">
        <f>COUNTIFS(集計用!$P:$P, "*"&amp;AI$4&amp;",*",集計用!$G:$G,"*, "&amp;$C60&amp;", *")/$B60*100</f>
        <v>0</v>
      </c>
      <c r="AJ60" s="41">
        <f>COUNTIFS(集計用!$P:$P, "*"&amp;AJ$4&amp;",*",集計用!$G:$G,"*, "&amp;$C60&amp;", *")/$B60*100</f>
        <v>0</v>
      </c>
      <c r="AK60" s="41">
        <f>COUNTIFS(集計用!$P:$P, "*"&amp;AK$4&amp;",*",集計用!$G:$G,"*, "&amp;$C60&amp;", *")/$B60*100</f>
        <v>0</v>
      </c>
      <c r="AL60" s="41">
        <f>COUNTIFS(集計用!$P:$P, "*"&amp;AL$4&amp;",*",集計用!$G:$G,"*, "&amp;$C60&amp;", *")/$B60*100</f>
        <v>0</v>
      </c>
      <c r="AM60" s="41">
        <f>COUNTIFS(集計用!$P:$P, "*"&amp;AM$4&amp;",*",集計用!$G:$G,"*, "&amp;$C60&amp;", *")/$B60*100</f>
        <v>0</v>
      </c>
      <c r="AN60" s="41">
        <f>COUNTIFS(集計用!$P:$P, "*"&amp;AN$4&amp;",*",集計用!$G:$G,"*, "&amp;$C60&amp;", *")/$B60*100</f>
        <v>0</v>
      </c>
      <c r="AO60" s="41">
        <f>COUNTIFS(集計用!$P:$P, "*"&amp;AO$4&amp;",*",集計用!$G:$G,"*, "&amp;$C60&amp;", *")/$B60*100</f>
        <v>0</v>
      </c>
      <c r="AP60" s="41">
        <f>COUNTIFS(集計用!$P:$P, "*"&amp;AP$4&amp;",*",集計用!$G:$G,"*, "&amp;$C60&amp;", *")/$B60*100</f>
        <v>0</v>
      </c>
      <c r="AQ60" s="41">
        <f>COUNTIFS(集計用!$P:$P, "*"&amp;AQ$4&amp;",*",集計用!$G:$G,"*, "&amp;$C60&amp;", *")/$B60*100</f>
        <v>0</v>
      </c>
      <c r="AR60" s="41">
        <f>COUNTIFS(集計用!$P:$P, "*"&amp;AR$4&amp;",*",集計用!$G:$G,"*, "&amp;$C60&amp;", *")/$B60*100</f>
        <v>0</v>
      </c>
      <c r="AS60" s="41">
        <f>COUNTIFS(集計用!$P:$P, "*"&amp;AS$4&amp;",*",集計用!$G:$G,"*, "&amp;$C60&amp;", *")/$B60*100</f>
        <v>0</v>
      </c>
      <c r="AT60" s="41">
        <f>COUNTIFS(集計用!$P:$P, "*"&amp;AT$4&amp;",*",集計用!$G:$G,"*, "&amp;$C60&amp;", *")/$B60*100</f>
        <v>0</v>
      </c>
      <c r="AU60" s="41">
        <f>COUNTIFS(集計用!$P:$P, "*"&amp;AU$4&amp;",*",集計用!$G:$G,"*, "&amp;$C60&amp;", *")/$B60*100</f>
        <v>0</v>
      </c>
      <c r="AV60" s="41">
        <f>COUNTIFS(集計用!$P:$P, "*"&amp;AV$4&amp;",*",集計用!$G:$G,"*, "&amp;$C60&amp;", *")/$B60*100</f>
        <v>0</v>
      </c>
      <c r="AW60" s="41">
        <f>COUNTIFS(集計用!$P:$P, "*"&amp;AW$4&amp;",*",集計用!$G:$G,"*, "&amp;$C60&amp;", *")/$B60*100</f>
        <v>0</v>
      </c>
      <c r="AX60" s="41">
        <f>COUNTIFS(集計用!$P:$P, "*"&amp;AX$4&amp;",*",集計用!$G:$G,"*, "&amp;$C60&amp;", *")/$B60*100</f>
        <v>0</v>
      </c>
      <c r="AY60" s="41">
        <f>COUNTIFS(集計用!$P:$P, "*"&amp;AY$4&amp;",*",集計用!$G:$G,"*, "&amp;$C60&amp;", *")/$B60*100</f>
        <v>0</v>
      </c>
      <c r="AZ60" s="41">
        <f>COUNTIFS(集計用!$P:$P, "*"&amp;AZ$4&amp;",*",集計用!$G:$G,"*, "&amp;$C60&amp;", *")/$B60*100</f>
        <v>0</v>
      </c>
      <c r="BA60" s="41">
        <f>COUNTIFS(集計用!$P:$P, "*"&amp;BA$4&amp;",*",集計用!$G:$G,"*, "&amp;$C60&amp;", *")/$B60*100</f>
        <v>0</v>
      </c>
      <c r="BB60" s="41">
        <f>COUNTIFS(集計用!$P:$P, "*"&amp;BB$4&amp;",*",集計用!$G:$G,"*, "&amp;$C60&amp;", *")/$B60*100</f>
        <v>0</v>
      </c>
      <c r="BC60" s="41">
        <f>COUNTIFS(集計用!$P:$P, "*"&amp;BC$4&amp;",*",集計用!$G:$G,"*, "&amp;$C60&amp;", *")/$B60*100</f>
        <v>0</v>
      </c>
      <c r="BD60" s="41">
        <f>COUNTIFS(集計用!$P:$P, "*"&amp;BD$4&amp;",*",集計用!$G:$G,"*, "&amp;$C60&amp;", *")/$B60*100</f>
        <v>0</v>
      </c>
      <c r="BE60" s="41">
        <f>COUNTIFS(集計用!$P:$P, "*"&amp;BE$4&amp;",*",集計用!$G:$G,"*, "&amp;$C60&amp;", *")/$B60*100</f>
        <v>0</v>
      </c>
      <c r="BF60" s="41">
        <f>COUNTIFS(集計用!$P:$P, "*"&amp;BF$4&amp;",*",集計用!$G:$G,"*, "&amp;$C60&amp;", *")/$B60*100</f>
        <v>0</v>
      </c>
      <c r="BG60" s="41">
        <f>COUNTIFS(集計用!$P:$P, "*"&amp;BG$4&amp;",*",集計用!$G:$G,"*, "&amp;$C60&amp;", *")/$B60*100</f>
        <v>0</v>
      </c>
      <c r="BH60" s="41">
        <f>COUNTIFS(集計用!$P:$P, "*"&amp;BH$4&amp;",*",集計用!$G:$G,"*, "&amp;$C60&amp;", *")/$B60*100</f>
        <v>0</v>
      </c>
      <c r="BI60" s="41">
        <f>COUNTIFS(集計用!$P:$P, "*"&amp;BI$4&amp;",*",集計用!$G:$G,"*, "&amp;$C60&amp;", *")/$B60*100</f>
        <v>0</v>
      </c>
      <c r="BJ60" s="41">
        <f>COUNTIFS(集計用!$P:$P, "*"&amp;BJ$4&amp;",*",集計用!$G:$G,"*, "&amp;$C60&amp;", *")/$B60*100</f>
        <v>0</v>
      </c>
      <c r="BK60" s="41">
        <f>COUNTIFS(集計用!$P:$P, "*"&amp;BK$4&amp;",*",集計用!$G:$G,"*, "&amp;$C60&amp;", *")/$B60*100</f>
        <v>0</v>
      </c>
      <c r="BL60" s="41">
        <f>COUNTIFS(集計用!$P:$P, "*"&amp;BL$4&amp;",*",集計用!$G:$G,"*, "&amp;$C60&amp;", *")/$B60*100</f>
        <v>0</v>
      </c>
      <c r="BM60" s="41">
        <f>COUNTIFS(集計用!$P:$P, "*"&amp;BM$4&amp;",*",集計用!$G:$G,"*, "&amp;$C60&amp;", *")/$B60*100</f>
        <v>0</v>
      </c>
      <c r="BN60" s="41">
        <f>COUNTIFS(集計用!$P:$P, "*"&amp;BN$4&amp;",*",集計用!$G:$G,"*, "&amp;$C60&amp;", *")/$B60*100</f>
        <v>0</v>
      </c>
      <c r="BO60" s="41">
        <f>COUNTIFS(集計用!$P:$P, "*"&amp;BO$4&amp;",*",集計用!$G:$G,"*, "&amp;$C60&amp;", *")/$B60*100</f>
        <v>0</v>
      </c>
      <c r="BP60" s="41">
        <f>COUNTIFS(集計用!$P:$P, "*"&amp;BP$4&amp;",*",集計用!$G:$G,"*, "&amp;$C60&amp;", *")/$B60*100</f>
        <v>0</v>
      </c>
      <c r="BQ60" s="41">
        <f>COUNTIFS(集計用!$P:$P, "*"&amp;BQ$4&amp;",*",集計用!$G:$G,"*, "&amp;$C60&amp;", *")/$B60*100</f>
        <v>0</v>
      </c>
      <c r="BR60" s="41">
        <f>COUNTIFS(集計用!$P:$P, "*"&amp;BR$4&amp;",*",集計用!$G:$G,"*, "&amp;$C60&amp;", *")/$B60*100</f>
        <v>0</v>
      </c>
      <c r="BS60" s="41">
        <f>COUNTIFS(集計用!$P:$P, "*"&amp;BS$4&amp;",*",集計用!$G:$G,"*, "&amp;$C60&amp;", *")/$B60*100</f>
        <v>0</v>
      </c>
      <c r="BT60" s="41">
        <f>COUNTIFS(集計用!$P:$P, "*"&amp;BT$4&amp;",*",集計用!$G:$G,"*, "&amp;$C60&amp;", *")/$B60*100</f>
        <v>0</v>
      </c>
      <c r="BU60" s="41"/>
      <c r="BV60" s="41"/>
      <c r="BW60" s="41"/>
      <c r="BX60" s="41"/>
      <c r="BY60" s="41"/>
      <c r="BZ60" s="41"/>
      <c r="CA60" s="41"/>
      <c r="CB60" s="41"/>
      <c r="CC60" s="41"/>
      <c r="CD60" s="41"/>
      <c r="CE60" s="41"/>
      <c r="CF60" s="41"/>
      <c r="CG60" s="41"/>
      <c r="CH60" s="41"/>
      <c r="CI60" s="41"/>
      <c r="CJ60" s="41"/>
      <c r="CK60" s="41"/>
    </row>
    <row r="61" spans="1:89" ht="14.25" customHeight="1">
      <c r="A61" s="39" t="s">
        <v>2180</v>
      </c>
      <c r="B61" s="39">
        <f>(COUNTIFS(集計用!$G:$G,"*, "&amp;$C61&amp;",*",集計用!$Q:$Q,"&lt;&gt;無回答"))</f>
        <v>2</v>
      </c>
      <c r="C61" s="42" t="s">
        <v>55</v>
      </c>
      <c r="D61" s="41">
        <f>COUNTIFS(集計用!$O:$O, "*, "&amp;D$4&amp;", *",集計用!$G:$G,"*, "&amp;$C61&amp;", *")/$B61*100</f>
        <v>100</v>
      </c>
      <c r="E61" s="41">
        <f>COUNTIFS(集計用!$O:$O, "*, "&amp;E$4&amp;", *",集計用!$G:$G,"*, "&amp;$C61&amp;", *")/$B61*100</f>
        <v>50</v>
      </c>
      <c r="F61" s="41">
        <f>COUNTIFS(集計用!$O:$O, "*, "&amp;F$4&amp;", *",集計用!$G:$G,"*, "&amp;$C61&amp;", *")/$B61*100</f>
        <v>50</v>
      </c>
      <c r="G61" s="41">
        <f>COUNTIFS(集計用!$O:$O, "*, "&amp;G$4&amp;", *",集計用!$G:$G,"*, "&amp;$C61&amp;", *")/$B61*100</f>
        <v>0</v>
      </c>
      <c r="H61" s="41">
        <f>COUNTIFS(集計用!$O:$O, "*, "&amp;H$4&amp;", *",集計用!$G:$G,"*, "&amp;$C61&amp;", *")/$B61*100</f>
        <v>50</v>
      </c>
      <c r="I61" s="41">
        <f>COUNTIFS(集計用!$O:$O, "*, "&amp;I$4&amp;", *",集計用!$G:$G,"*, "&amp;$C61&amp;", *")/$B61*100</f>
        <v>50</v>
      </c>
      <c r="J61" s="41">
        <f>COUNTIFS(集計用!$O:$O, "*, "&amp;J$4&amp;", *",集計用!$G:$G,"*, "&amp;$C61&amp;", *")/$B61*100</f>
        <v>50</v>
      </c>
      <c r="K61" s="41">
        <f>COUNTIFS(集計用!$O:$O, "*, "&amp;K$4&amp;", *",集計用!$G:$G,"*, "&amp;$C61&amp;", *")/$B61*100</f>
        <v>50</v>
      </c>
      <c r="L61" s="41">
        <f>COUNTIFS(集計用!$O:$O, "*, "&amp;L$4&amp;", *",集計用!$G:$G,"*, "&amp;$C61&amp;", *")/$B61*100</f>
        <v>0</v>
      </c>
      <c r="M61" s="41">
        <f>COUNTIFS(集計用!$O:$O, "*, "&amp;M$4&amp;", *",集計用!$G:$G,"*, "&amp;$C61&amp;", *")/$B61*100</f>
        <v>100</v>
      </c>
      <c r="N61" s="41">
        <f>COUNTIFS(集計用!$O:$O, "*, "&amp;N$4&amp;", *",集計用!$G:$G,"*, "&amp;$C61&amp;", *")/$B61*100</f>
        <v>50</v>
      </c>
      <c r="O61" s="41">
        <f>COUNTIFS(集計用!$O:$O, "*, "&amp;O$4&amp;", *",集計用!$G:$G,"*, "&amp;$C61&amp;", *")/$B61*100</f>
        <v>0</v>
      </c>
      <c r="P61" s="41">
        <f>COUNTIFS(集計用!$O:$O, "*, "&amp;P$4&amp;", *",集計用!$G:$G,"*, "&amp;$C61&amp;", *")/$B61*100</f>
        <v>100</v>
      </c>
      <c r="Q61" s="41">
        <f>COUNTIFS(集計用!$O:$O, "*, "&amp;Q$4&amp;", *",集計用!$G:$G,"*, "&amp;$C61&amp;", *")/$B61*100</f>
        <v>50</v>
      </c>
      <c r="R61" s="41">
        <f>COUNTIFS(集計用!$O:$O, "*, "&amp;R$4&amp;", *",集計用!$G:$G,"*, "&amp;$C61&amp;", *")/$B61*100</f>
        <v>50</v>
      </c>
      <c r="S61" s="41">
        <f>COUNTIFS(集計用!$O:$O, "*, "&amp;S$4&amp;", *",集計用!$G:$G,"*, "&amp;$C61&amp;", *")/$B61*100</f>
        <v>50</v>
      </c>
      <c r="T61" s="41">
        <f>COUNTIFS(集計用!$O:$O, "*, "&amp;T$4&amp;", *",集計用!$G:$G,"*, "&amp;$C61&amp;", *")/$B61*100</f>
        <v>0</v>
      </c>
      <c r="V61" s="41">
        <f>COUNTIFS(集計用!$P:$P, "*"&amp;V$4&amp;",*",集計用!$G:$G,"*, "&amp;$C61&amp;", *")/$B61*100</f>
        <v>0</v>
      </c>
      <c r="W61" s="41">
        <f>COUNTIFS(集計用!$P:$P, "*"&amp;W$4&amp;",*",集計用!$G:$G,"*, "&amp;$C61&amp;", *")/$B61*100</f>
        <v>0</v>
      </c>
      <c r="X61" s="41">
        <f>COUNTIFS(集計用!$P:$P, "*"&amp;X$4&amp;",*",集計用!$G:$G,"*, "&amp;$C61&amp;", *")/$B61*100</f>
        <v>0</v>
      </c>
      <c r="Y61" s="41">
        <f>COUNTIFS(集計用!$P:$P, "*"&amp;Y$4&amp;",*",集計用!$G:$G,"*, "&amp;$C61&amp;", *")/$B61*100</f>
        <v>0</v>
      </c>
      <c r="Z61" s="41">
        <f>COUNTIFS(集計用!$P:$P, "*"&amp;Z$4&amp;",*",集計用!$G:$G,"*, "&amp;$C61&amp;", *")/$B61*100</f>
        <v>0</v>
      </c>
      <c r="AA61" s="41">
        <f>COUNTIFS(集計用!$P:$P, "*"&amp;AA$4&amp;",*",集計用!$G:$G,"*, "&amp;$C61&amp;", *")/$B61*100</f>
        <v>0</v>
      </c>
      <c r="AB61" s="41">
        <f>COUNTIFS(集計用!$P:$P, "*"&amp;AB$4&amp;",*",集計用!$G:$G,"*, "&amp;$C61&amp;", *")/$B61*100</f>
        <v>0</v>
      </c>
      <c r="AC61" s="41">
        <f>COUNTIFS(集計用!$P:$P, "*"&amp;AC$4&amp;",*",集計用!$G:$G,"*, "&amp;$C61&amp;", *")/$B61*100</f>
        <v>0</v>
      </c>
      <c r="AD61" s="41">
        <f>COUNTIFS(集計用!$P:$P, "*"&amp;AD$4&amp;",*",集計用!$G:$G,"*, "&amp;$C61&amp;", *")/$B61*100</f>
        <v>0</v>
      </c>
      <c r="AE61" s="41">
        <f>COUNTIFS(集計用!$P:$P, "*"&amp;AE$4&amp;",*",集計用!$G:$G,"*, "&amp;$C61&amp;", *")/$B61*100</f>
        <v>0</v>
      </c>
      <c r="AF61" s="41">
        <f>COUNTIFS(集計用!$P:$P, "*"&amp;AF$4&amp;",*",集計用!$G:$G,"*, "&amp;$C61&amp;", *")/$B61*100</f>
        <v>0</v>
      </c>
      <c r="AG61" s="41">
        <f>COUNTIFS(集計用!$P:$P, "*"&amp;AG$4&amp;",*",集計用!$G:$G,"*, "&amp;$C61&amp;", *")/$B61*100</f>
        <v>0</v>
      </c>
      <c r="AH61" s="41">
        <f>COUNTIFS(集計用!$P:$P, "*"&amp;AH$4&amp;",*",集計用!$G:$G,"*, "&amp;$C61&amp;", *")/$B61*100</f>
        <v>0</v>
      </c>
      <c r="AI61" s="41">
        <f>COUNTIFS(集計用!$P:$P, "*"&amp;AI$4&amp;",*",集計用!$G:$G,"*, "&amp;$C61&amp;", *")/$B61*100</f>
        <v>0</v>
      </c>
      <c r="AJ61" s="41">
        <f>COUNTIFS(集計用!$P:$P, "*"&amp;AJ$4&amp;",*",集計用!$G:$G,"*, "&amp;$C61&amp;", *")/$B61*100</f>
        <v>0</v>
      </c>
      <c r="AK61" s="41">
        <f>COUNTIFS(集計用!$P:$P, "*"&amp;AK$4&amp;",*",集計用!$G:$G,"*, "&amp;$C61&amp;", *")/$B61*100</f>
        <v>0</v>
      </c>
      <c r="AL61" s="41">
        <f>COUNTIFS(集計用!$P:$P, "*"&amp;AL$4&amp;",*",集計用!$G:$G,"*, "&amp;$C61&amp;", *")/$B61*100</f>
        <v>0</v>
      </c>
      <c r="AM61" s="41">
        <f>COUNTIFS(集計用!$P:$P, "*"&amp;AM$4&amp;",*",集計用!$G:$G,"*, "&amp;$C61&amp;", *")/$B61*100</f>
        <v>0</v>
      </c>
      <c r="AN61" s="41">
        <f>COUNTIFS(集計用!$P:$P, "*"&amp;AN$4&amp;",*",集計用!$G:$G,"*, "&amp;$C61&amp;", *")/$B61*100</f>
        <v>0</v>
      </c>
      <c r="AO61" s="41">
        <f>COUNTIFS(集計用!$P:$P, "*"&amp;AO$4&amp;",*",集計用!$G:$G,"*, "&amp;$C61&amp;", *")/$B61*100</f>
        <v>0</v>
      </c>
      <c r="AP61" s="41">
        <f>COUNTIFS(集計用!$P:$P, "*"&amp;AP$4&amp;",*",集計用!$G:$G,"*, "&amp;$C61&amp;", *")/$B61*100</f>
        <v>0</v>
      </c>
      <c r="AQ61" s="41">
        <f>COUNTIFS(集計用!$P:$P, "*"&amp;AQ$4&amp;",*",集計用!$G:$G,"*, "&amp;$C61&amp;", *")/$B61*100</f>
        <v>0</v>
      </c>
      <c r="AR61" s="41">
        <f>COUNTIFS(集計用!$P:$P, "*"&amp;AR$4&amp;",*",集計用!$G:$G,"*, "&amp;$C61&amp;", *")/$B61*100</f>
        <v>0</v>
      </c>
      <c r="AS61" s="41">
        <f>COUNTIFS(集計用!$P:$P, "*"&amp;AS$4&amp;",*",集計用!$G:$G,"*, "&amp;$C61&amp;", *")/$B61*100</f>
        <v>0</v>
      </c>
      <c r="AT61" s="41">
        <f>COUNTIFS(集計用!$P:$P, "*"&amp;AT$4&amp;",*",集計用!$G:$G,"*, "&amp;$C61&amp;", *")/$B61*100</f>
        <v>0</v>
      </c>
      <c r="AU61" s="41">
        <f>COUNTIFS(集計用!$P:$P, "*"&amp;AU$4&amp;",*",集計用!$G:$G,"*, "&amp;$C61&amp;", *")/$B61*100</f>
        <v>0</v>
      </c>
      <c r="AV61" s="41">
        <f>COUNTIFS(集計用!$P:$P, "*"&amp;AV$4&amp;",*",集計用!$G:$G,"*, "&amp;$C61&amp;", *")/$B61*100</f>
        <v>0</v>
      </c>
      <c r="AW61" s="41">
        <f>COUNTIFS(集計用!$P:$P, "*"&amp;AW$4&amp;",*",集計用!$G:$G,"*, "&amp;$C61&amp;", *")/$B61*100</f>
        <v>0</v>
      </c>
      <c r="AX61" s="41">
        <f>COUNTIFS(集計用!$P:$P, "*"&amp;AX$4&amp;",*",集計用!$G:$G,"*, "&amp;$C61&amp;", *")/$B61*100</f>
        <v>0</v>
      </c>
      <c r="AY61" s="41">
        <f>COUNTIFS(集計用!$P:$P, "*"&amp;AY$4&amp;",*",集計用!$G:$G,"*, "&amp;$C61&amp;", *")/$B61*100</f>
        <v>0</v>
      </c>
      <c r="AZ61" s="41">
        <f>COUNTIFS(集計用!$P:$P, "*"&amp;AZ$4&amp;",*",集計用!$G:$G,"*, "&amp;$C61&amp;", *")/$B61*100</f>
        <v>0</v>
      </c>
      <c r="BA61" s="41">
        <f>COUNTIFS(集計用!$P:$P, "*"&amp;BA$4&amp;",*",集計用!$G:$G,"*, "&amp;$C61&amp;", *")/$B61*100</f>
        <v>0</v>
      </c>
      <c r="BB61" s="41">
        <f>COUNTIFS(集計用!$P:$P, "*"&amp;BB$4&amp;",*",集計用!$G:$G,"*, "&amp;$C61&amp;", *")/$B61*100</f>
        <v>0</v>
      </c>
      <c r="BC61" s="41">
        <f>COUNTIFS(集計用!$P:$P, "*"&amp;BC$4&amp;",*",集計用!$G:$G,"*, "&amp;$C61&amp;", *")/$B61*100</f>
        <v>0</v>
      </c>
      <c r="BD61" s="41">
        <f>COUNTIFS(集計用!$P:$P, "*"&amp;BD$4&amp;",*",集計用!$G:$G,"*, "&amp;$C61&amp;", *")/$B61*100</f>
        <v>0</v>
      </c>
      <c r="BE61" s="41">
        <f>COUNTIFS(集計用!$P:$P, "*"&amp;BE$4&amp;",*",集計用!$G:$G,"*, "&amp;$C61&amp;", *")/$B61*100</f>
        <v>0</v>
      </c>
      <c r="BF61" s="41">
        <f>COUNTIFS(集計用!$P:$P, "*"&amp;BF$4&amp;",*",集計用!$G:$G,"*, "&amp;$C61&amp;", *")/$B61*100</f>
        <v>0</v>
      </c>
      <c r="BG61" s="41">
        <f>COUNTIFS(集計用!$P:$P, "*"&amp;BG$4&amp;",*",集計用!$G:$G,"*, "&amp;$C61&amp;", *")/$B61*100</f>
        <v>0</v>
      </c>
      <c r="BH61" s="41">
        <f>COUNTIFS(集計用!$P:$P, "*"&amp;BH$4&amp;",*",集計用!$G:$G,"*, "&amp;$C61&amp;", *")/$B61*100</f>
        <v>0</v>
      </c>
      <c r="BI61" s="41">
        <f>COUNTIFS(集計用!$P:$P, "*"&amp;BI$4&amp;",*",集計用!$G:$G,"*, "&amp;$C61&amp;", *")/$B61*100</f>
        <v>0</v>
      </c>
      <c r="BJ61" s="41">
        <f>COUNTIFS(集計用!$P:$P, "*"&amp;BJ$4&amp;",*",集計用!$G:$G,"*, "&amp;$C61&amp;", *")/$B61*100</f>
        <v>0</v>
      </c>
      <c r="BK61" s="41">
        <f>COUNTIFS(集計用!$P:$P, "*"&amp;BK$4&amp;",*",集計用!$G:$G,"*, "&amp;$C61&amp;", *")/$B61*100</f>
        <v>0</v>
      </c>
      <c r="BL61" s="41">
        <f>COUNTIFS(集計用!$P:$P, "*"&amp;BL$4&amp;",*",集計用!$G:$G,"*, "&amp;$C61&amp;", *")/$B61*100</f>
        <v>0</v>
      </c>
      <c r="BM61" s="41">
        <f>COUNTIFS(集計用!$P:$P, "*"&amp;BM$4&amp;",*",集計用!$G:$G,"*, "&amp;$C61&amp;", *")/$B61*100</f>
        <v>0</v>
      </c>
      <c r="BN61" s="41">
        <f>COUNTIFS(集計用!$P:$P, "*"&amp;BN$4&amp;",*",集計用!$G:$G,"*, "&amp;$C61&amp;", *")/$B61*100</f>
        <v>0</v>
      </c>
      <c r="BO61" s="41">
        <f>COUNTIFS(集計用!$P:$P, "*"&amp;BO$4&amp;",*",集計用!$G:$G,"*, "&amp;$C61&amp;", *")/$B61*100</f>
        <v>0</v>
      </c>
      <c r="BP61" s="41">
        <f>COUNTIFS(集計用!$P:$P, "*"&amp;BP$4&amp;",*",集計用!$G:$G,"*, "&amp;$C61&amp;", *")/$B61*100</f>
        <v>0</v>
      </c>
      <c r="BQ61" s="41">
        <f>COUNTIFS(集計用!$P:$P, "*"&amp;BQ$4&amp;",*",集計用!$G:$G,"*, "&amp;$C61&amp;", *")/$B61*100</f>
        <v>0</v>
      </c>
      <c r="BR61" s="41">
        <f>COUNTIFS(集計用!$P:$P, "*"&amp;BR$4&amp;",*",集計用!$G:$G,"*, "&amp;$C61&amp;", *")/$B61*100</f>
        <v>0</v>
      </c>
      <c r="BS61" s="41">
        <f>COUNTIFS(集計用!$P:$P, "*"&amp;BS$4&amp;",*",集計用!$G:$G,"*, "&amp;$C61&amp;", *")/$B61*100</f>
        <v>0</v>
      </c>
      <c r="BT61" s="41">
        <f>COUNTIFS(集計用!$P:$P, "*"&amp;BT$4&amp;",*",集計用!$G:$G,"*, "&amp;$C61&amp;", *")/$B61*100</f>
        <v>0</v>
      </c>
      <c r="BU61" s="41"/>
      <c r="BV61" s="41"/>
      <c r="BW61" s="41"/>
      <c r="BX61" s="41"/>
      <c r="BY61" s="41"/>
      <c r="BZ61" s="41"/>
      <c r="CA61" s="41"/>
      <c r="CB61" s="41"/>
      <c r="CC61" s="41"/>
      <c r="CD61" s="41"/>
      <c r="CE61" s="41"/>
      <c r="CF61" s="41"/>
      <c r="CG61" s="41"/>
      <c r="CH61" s="41"/>
      <c r="CI61" s="41"/>
      <c r="CJ61" s="41"/>
      <c r="CK61" s="41"/>
    </row>
    <row r="62" spans="1:89" ht="14.25" customHeight="1">
      <c r="A62" s="39" t="s">
        <v>2180</v>
      </c>
      <c r="B62" s="39">
        <f>(COUNTIFS(集計用!$G:$G,"*, "&amp;$C62&amp;",*",集計用!$Q:$Q,"&lt;&gt;無回答"))</f>
        <v>1</v>
      </c>
      <c r="C62" s="42" t="s">
        <v>56</v>
      </c>
      <c r="D62" s="41">
        <f>COUNTIFS(集計用!$O:$O, "*, "&amp;D$4&amp;", *",集計用!$G:$G,"*, "&amp;$C62&amp;", *")/$B62*100</f>
        <v>100</v>
      </c>
      <c r="E62" s="41">
        <f>COUNTIFS(集計用!$O:$O, "*, "&amp;E$4&amp;", *",集計用!$G:$G,"*, "&amp;$C62&amp;", *")/$B62*100</f>
        <v>100</v>
      </c>
      <c r="F62" s="41">
        <f>COUNTIFS(集計用!$O:$O, "*, "&amp;F$4&amp;", *",集計用!$G:$G,"*, "&amp;$C62&amp;", *")/$B62*100</f>
        <v>0</v>
      </c>
      <c r="G62" s="41">
        <f>COUNTIFS(集計用!$O:$O, "*, "&amp;G$4&amp;", *",集計用!$G:$G,"*, "&amp;$C62&amp;", *")/$B62*100</f>
        <v>100</v>
      </c>
      <c r="H62" s="41">
        <f>COUNTIFS(集計用!$O:$O, "*, "&amp;H$4&amp;", *",集計用!$G:$G,"*, "&amp;$C62&amp;", *")/$B62*100</f>
        <v>0</v>
      </c>
      <c r="I62" s="41">
        <f>COUNTIFS(集計用!$O:$O, "*, "&amp;I$4&amp;", *",集計用!$G:$G,"*, "&amp;$C62&amp;", *")/$B62*100</f>
        <v>0</v>
      </c>
      <c r="J62" s="41">
        <f>COUNTIFS(集計用!$O:$O, "*, "&amp;J$4&amp;", *",集計用!$G:$G,"*, "&amp;$C62&amp;", *")/$B62*100</f>
        <v>0</v>
      </c>
      <c r="K62" s="41">
        <f>COUNTIFS(集計用!$O:$O, "*, "&amp;K$4&amp;", *",集計用!$G:$G,"*, "&amp;$C62&amp;", *")/$B62*100</f>
        <v>0</v>
      </c>
      <c r="L62" s="41">
        <f>COUNTIFS(集計用!$O:$O, "*, "&amp;L$4&amp;", *",集計用!$G:$G,"*, "&amp;$C62&amp;", *")/$B62*100</f>
        <v>0</v>
      </c>
      <c r="M62" s="41">
        <f>COUNTIFS(集計用!$O:$O, "*, "&amp;M$4&amp;", *",集計用!$G:$G,"*, "&amp;$C62&amp;", *")/$B62*100</f>
        <v>0</v>
      </c>
      <c r="N62" s="41">
        <f>COUNTIFS(集計用!$O:$O, "*, "&amp;N$4&amp;", *",集計用!$G:$G,"*, "&amp;$C62&amp;", *")/$B62*100</f>
        <v>0</v>
      </c>
      <c r="O62" s="41">
        <f>COUNTIFS(集計用!$O:$O, "*, "&amp;O$4&amp;", *",集計用!$G:$G,"*, "&amp;$C62&amp;", *")/$B62*100</f>
        <v>0</v>
      </c>
      <c r="P62" s="41">
        <f>COUNTIFS(集計用!$O:$O, "*, "&amp;P$4&amp;", *",集計用!$G:$G,"*, "&amp;$C62&amp;", *")/$B62*100</f>
        <v>0</v>
      </c>
      <c r="Q62" s="41">
        <f>COUNTIFS(集計用!$O:$O, "*, "&amp;Q$4&amp;", *",集計用!$G:$G,"*, "&amp;$C62&amp;", *")/$B62*100</f>
        <v>0</v>
      </c>
      <c r="R62" s="41">
        <f>COUNTIFS(集計用!$O:$O, "*, "&amp;R$4&amp;", *",集計用!$G:$G,"*, "&amp;$C62&amp;", *")/$B62*100</f>
        <v>0</v>
      </c>
      <c r="S62" s="41">
        <f>COUNTIFS(集計用!$O:$O, "*, "&amp;S$4&amp;", *",集計用!$G:$G,"*, "&amp;$C62&amp;", *")/$B62*100</f>
        <v>0</v>
      </c>
      <c r="T62" s="41">
        <f>COUNTIFS(集計用!$O:$O, "*, "&amp;T$4&amp;", *",集計用!$G:$G,"*, "&amp;$C62&amp;", *")/$B62*100</f>
        <v>0</v>
      </c>
      <c r="V62" s="41">
        <f>COUNTIFS(集計用!$P:$P, "*"&amp;V$4&amp;",*",集計用!$G:$G,"*, "&amp;$C62&amp;", *")/$B62*100</f>
        <v>0</v>
      </c>
      <c r="W62" s="41">
        <f>COUNTIFS(集計用!$P:$P, "*"&amp;W$4&amp;",*",集計用!$G:$G,"*, "&amp;$C62&amp;", *")/$B62*100</f>
        <v>0</v>
      </c>
      <c r="X62" s="41">
        <f>COUNTIFS(集計用!$P:$P, "*"&amp;X$4&amp;",*",集計用!$G:$G,"*, "&amp;$C62&amp;", *")/$B62*100</f>
        <v>0</v>
      </c>
      <c r="Y62" s="41">
        <f>COUNTIFS(集計用!$P:$P, "*"&amp;Y$4&amp;",*",集計用!$G:$G,"*, "&amp;$C62&amp;", *")/$B62*100</f>
        <v>0</v>
      </c>
      <c r="Z62" s="41">
        <f>COUNTIFS(集計用!$P:$P, "*"&amp;Z$4&amp;",*",集計用!$G:$G,"*, "&amp;$C62&amp;", *")/$B62*100</f>
        <v>0</v>
      </c>
      <c r="AA62" s="41">
        <f>COUNTIFS(集計用!$P:$P, "*"&amp;AA$4&amp;",*",集計用!$G:$G,"*, "&amp;$C62&amp;", *")/$B62*100</f>
        <v>0</v>
      </c>
      <c r="AB62" s="41">
        <f>COUNTIFS(集計用!$P:$P, "*"&amp;AB$4&amp;",*",集計用!$G:$G,"*, "&amp;$C62&amp;", *")/$B62*100</f>
        <v>0</v>
      </c>
      <c r="AC62" s="41">
        <f>COUNTIFS(集計用!$P:$P, "*"&amp;AC$4&amp;",*",集計用!$G:$G,"*, "&amp;$C62&amp;", *")/$B62*100</f>
        <v>0</v>
      </c>
      <c r="AD62" s="41">
        <f>COUNTIFS(集計用!$P:$P, "*"&amp;AD$4&amp;",*",集計用!$G:$G,"*, "&amp;$C62&amp;", *")/$B62*100</f>
        <v>0</v>
      </c>
      <c r="AE62" s="41">
        <f>COUNTIFS(集計用!$P:$P, "*"&amp;AE$4&amp;",*",集計用!$G:$G,"*, "&amp;$C62&amp;", *")/$B62*100</f>
        <v>0</v>
      </c>
      <c r="AF62" s="41">
        <f>COUNTIFS(集計用!$P:$P, "*"&amp;AF$4&amp;",*",集計用!$G:$G,"*, "&amp;$C62&amp;", *")/$B62*100</f>
        <v>0</v>
      </c>
      <c r="AG62" s="41">
        <f>COUNTIFS(集計用!$P:$P, "*"&amp;AG$4&amp;",*",集計用!$G:$G,"*, "&amp;$C62&amp;", *")/$B62*100</f>
        <v>0</v>
      </c>
      <c r="AH62" s="41">
        <f>COUNTIFS(集計用!$P:$P, "*"&amp;AH$4&amp;",*",集計用!$G:$G,"*, "&amp;$C62&amp;", *")/$B62*100</f>
        <v>0</v>
      </c>
      <c r="AI62" s="41">
        <f>COUNTIFS(集計用!$P:$P, "*"&amp;AI$4&amp;",*",集計用!$G:$G,"*, "&amp;$C62&amp;", *")/$B62*100</f>
        <v>0</v>
      </c>
      <c r="AJ62" s="41">
        <f>COUNTIFS(集計用!$P:$P, "*"&amp;AJ$4&amp;",*",集計用!$G:$G,"*, "&amp;$C62&amp;", *")/$B62*100</f>
        <v>0</v>
      </c>
      <c r="AK62" s="41">
        <f>COUNTIFS(集計用!$P:$P, "*"&amp;AK$4&amp;",*",集計用!$G:$G,"*, "&amp;$C62&amp;", *")/$B62*100</f>
        <v>0</v>
      </c>
      <c r="AL62" s="41">
        <f>COUNTIFS(集計用!$P:$P, "*"&amp;AL$4&amp;",*",集計用!$G:$G,"*, "&amp;$C62&amp;", *")/$B62*100</f>
        <v>0</v>
      </c>
      <c r="AM62" s="41">
        <f>COUNTIFS(集計用!$P:$P, "*"&amp;AM$4&amp;",*",集計用!$G:$G,"*, "&amp;$C62&amp;", *")/$B62*100</f>
        <v>0</v>
      </c>
      <c r="AN62" s="41">
        <f>COUNTIFS(集計用!$P:$P, "*"&amp;AN$4&amp;",*",集計用!$G:$G,"*, "&amp;$C62&amp;", *")/$B62*100</f>
        <v>0</v>
      </c>
      <c r="AO62" s="41">
        <f>COUNTIFS(集計用!$P:$P, "*"&amp;AO$4&amp;",*",集計用!$G:$G,"*, "&amp;$C62&amp;", *")/$B62*100</f>
        <v>0</v>
      </c>
      <c r="AP62" s="41">
        <f>COUNTIFS(集計用!$P:$P, "*"&amp;AP$4&amp;",*",集計用!$G:$G,"*, "&amp;$C62&amp;", *")/$B62*100</f>
        <v>0</v>
      </c>
      <c r="AQ62" s="41">
        <f>COUNTIFS(集計用!$P:$P, "*"&amp;AQ$4&amp;",*",集計用!$G:$G,"*, "&amp;$C62&amp;", *")/$B62*100</f>
        <v>0</v>
      </c>
      <c r="AR62" s="41">
        <f>COUNTIFS(集計用!$P:$P, "*"&amp;AR$4&amp;",*",集計用!$G:$G,"*, "&amp;$C62&amp;", *")/$B62*100</f>
        <v>0</v>
      </c>
      <c r="AS62" s="41">
        <f>COUNTIFS(集計用!$P:$P, "*"&amp;AS$4&amp;",*",集計用!$G:$G,"*, "&amp;$C62&amp;", *")/$B62*100</f>
        <v>0</v>
      </c>
      <c r="AT62" s="41">
        <f>COUNTIFS(集計用!$P:$P, "*"&amp;AT$4&amp;",*",集計用!$G:$G,"*, "&amp;$C62&amp;", *")/$B62*100</f>
        <v>0</v>
      </c>
      <c r="AU62" s="41">
        <f>COUNTIFS(集計用!$P:$P, "*"&amp;AU$4&amp;",*",集計用!$G:$G,"*, "&amp;$C62&amp;", *")/$B62*100</f>
        <v>0</v>
      </c>
      <c r="AV62" s="41">
        <f>COUNTIFS(集計用!$P:$P, "*"&amp;AV$4&amp;",*",集計用!$G:$G,"*, "&amp;$C62&amp;", *")/$B62*100</f>
        <v>0</v>
      </c>
      <c r="AW62" s="41">
        <f>COUNTIFS(集計用!$P:$P, "*"&amp;AW$4&amp;",*",集計用!$G:$G,"*, "&amp;$C62&amp;", *")/$B62*100</f>
        <v>0</v>
      </c>
      <c r="AX62" s="41">
        <f>COUNTIFS(集計用!$P:$P, "*"&amp;AX$4&amp;",*",集計用!$G:$G,"*, "&amp;$C62&amp;", *")/$B62*100</f>
        <v>0</v>
      </c>
      <c r="AY62" s="41">
        <f>COUNTIFS(集計用!$P:$P, "*"&amp;AY$4&amp;",*",集計用!$G:$G,"*, "&amp;$C62&amp;", *")/$B62*100</f>
        <v>0</v>
      </c>
      <c r="AZ62" s="41">
        <f>COUNTIFS(集計用!$P:$P, "*"&amp;AZ$4&amp;",*",集計用!$G:$G,"*, "&amp;$C62&amp;", *")/$B62*100</f>
        <v>0</v>
      </c>
      <c r="BA62" s="41">
        <f>COUNTIFS(集計用!$P:$P, "*"&amp;BA$4&amp;",*",集計用!$G:$G,"*, "&amp;$C62&amp;", *")/$B62*100</f>
        <v>0</v>
      </c>
      <c r="BB62" s="41">
        <f>COUNTIFS(集計用!$P:$P, "*"&amp;BB$4&amp;",*",集計用!$G:$G,"*, "&amp;$C62&amp;", *")/$B62*100</f>
        <v>0</v>
      </c>
      <c r="BC62" s="41">
        <f>COUNTIFS(集計用!$P:$P, "*"&amp;BC$4&amp;",*",集計用!$G:$G,"*, "&amp;$C62&amp;", *")/$B62*100</f>
        <v>0</v>
      </c>
      <c r="BD62" s="41">
        <f>COUNTIFS(集計用!$P:$P, "*"&amp;BD$4&amp;",*",集計用!$G:$G,"*, "&amp;$C62&amp;", *")/$B62*100</f>
        <v>0</v>
      </c>
      <c r="BE62" s="41">
        <f>COUNTIFS(集計用!$P:$P, "*"&amp;BE$4&amp;",*",集計用!$G:$G,"*, "&amp;$C62&amp;", *")/$B62*100</f>
        <v>0</v>
      </c>
      <c r="BF62" s="41">
        <f>COUNTIFS(集計用!$P:$P, "*"&amp;BF$4&amp;",*",集計用!$G:$G,"*, "&amp;$C62&amp;", *")/$B62*100</f>
        <v>0</v>
      </c>
      <c r="BG62" s="41">
        <f>COUNTIFS(集計用!$P:$P, "*"&amp;BG$4&amp;",*",集計用!$G:$G,"*, "&amp;$C62&amp;", *")/$B62*100</f>
        <v>0</v>
      </c>
      <c r="BH62" s="41">
        <f>COUNTIFS(集計用!$P:$P, "*"&amp;BH$4&amp;",*",集計用!$G:$G,"*, "&amp;$C62&amp;", *")/$B62*100</f>
        <v>0</v>
      </c>
      <c r="BI62" s="41">
        <f>COUNTIFS(集計用!$P:$P, "*"&amp;BI$4&amp;",*",集計用!$G:$G,"*, "&amp;$C62&amp;", *")/$B62*100</f>
        <v>0</v>
      </c>
      <c r="BJ62" s="41">
        <f>COUNTIFS(集計用!$P:$P, "*"&amp;BJ$4&amp;",*",集計用!$G:$G,"*, "&amp;$C62&amp;", *")/$B62*100</f>
        <v>0</v>
      </c>
      <c r="BK62" s="41">
        <f>COUNTIFS(集計用!$P:$P, "*"&amp;BK$4&amp;",*",集計用!$G:$G,"*, "&amp;$C62&amp;", *")/$B62*100</f>
        <v>0</v>
      </c>
      <c r="BL62" s="41">
        <f>COUNTIFS(集計用!$P:$P, "*"&amp;BL$4&amp;",*",集計用!$G:$G,"*, "&amp;$C62&amp;", *")/$B62*100</f>
        <v>0</v>
      </c>
      <c r="BM62" s="41">
        <f>COUNTIFS(集計用!$P:$P, "*"&amp;BM$4&amp;",*",集計用!$G:$G,"*, "&amp;$C62&amp;", *")/$B62*100</f>
        <v>0</v>
      </c>
      <c r="BN62" s="41">
        <f>COUNTIFS(集計用!$P:$P, "*"&amp;BN$4&amp;",*",集計用!$G:$G,"*, "&amp;$C62&amp;", *")/$B62*100</f>
        <v>0</v>
      </c>
      <c r="BO62" s="41">
        <f>COUNTIFS(集計用!$P:$P, "*"&amp;BO$4&amp;",*",集計用!$G:$G,"*, "&amp;$C62&amp;", *")/$B62*100</f>
        <v>0</v>
      </c>
      <c r="BP62" s="41">
        <f>COUNTIFS(集計用!$P:$P, "*"&amp;BP$4&amp;",*",集計用!$G:$G,"*, "&amp;$C62&amp;", *")/$B62*100</f>
        <v>0</v>
      </c>
      <c r="BQ62" s="41">
        <f>COUNTIFS(集計用!$P:$P, "*"&amp;BQ$4&amp;",*",集計用!$G:$G,"*, "&amp;$C62&amp;", *")/$B62*100</f>
        <v>0</v>
      </c>
      <c r="BR62" s="41">
        <f>COUNTIFS(集計用!$P:$P, "*"&amp;BR$4&amp;",*",集計用!$G:$G,"*, "&amp;$C62&amp;", *")/$B62*100</f>
        <v>0</v>
      </c>
      <c r="BS62" s="41">
        <f>COUNTIFS(集計用!$P:$P, "*"&amp;BS$4&amp;",*",集計用!$G:$G,"*, "&amp;$C62&amp;", *")/$B62*100</f>
        <v>0</v>
      </c>
      <c r="BT62" s="41">
        <f>COUNTIFS(集計用!$P:$P, "*"&amp;BT$4&amp;",*",集計用!$G:$G,"*, "&amp;$C62&amp;", *")/$B62*100</f>
        <v>0</v>
      </c>
      <c r="BU62" s="41"/>
      <c r="BV62" s="41"/>
      <c r="BW62" s="41"/>
      <c r="BX62" s="41"/>
      <c r="BY62" s="41"/>
      <c r="BZ62" s="41"/>
      <c r="CA62" s="41"/>
      <c r="CB62" s="41"/>
      <c r="CC62" s="41"/>
      <c r="CD62" s="41"/>
      <c r="CE62" s="41"/>
      <c r="CF62" s="41"/>
      <c r="CG62" s="41"/>
      <c r="CH62" s="41"/>
      <c r="CI62" s="41"/>
      <c r="CJ62" s="41"/>
      <c r="CK62" s="41"/>
    </row>
    <row r="63" spans="1:89" ht="14.25" customHeight="1">
      <c r="C63" s="23"/>
      <c r="D63" s="26"/>
      <c r="E63" s="26"/>
      <c r="F63" s="26"/>
      <c r="G63" s="26"/>
      <c r="H63" s="26"/>
      <c r="I63" s="26"/>
      <c r="J63" s="26"/>
      <c r="K63" s="26"/>
      <c r="L63" s="26"/>
      <c r="M63" s="26"/>
      <c r="O63" s="22"/>
    </row>
    <row r="64" spans="1:89" ht="12.75">
      <c r="C64" s="23"/>
      <c r="D64" s="26"/>
      <c r="E64" s="26"/>
      <c r="F64" s="26"/>
      <c r="G64" s="26"/>
      <c r="H64" s="26"/>
      <c r="I64" s="26"/>
      <c r="J64" s="26"/>
      <c r="K64" s="26"/>
      <c r="L64" s="26"/>
      <c r="M64" s="26"/>
    </row>
    <row r="65" spans="3:13" ht="15.75" customHeight="1">
      <c r="C65" s="23"/>
      <c r="D65" s="26"/>
      <c r="E65" s="26"/>
      <c r="F65" s="26"/>
      <c r="G65" s="26"/>
      <c r="H65" s="26"/>
      <c r="I65" s="26"/>
      <c r="J65" s="26"/>
      <c r="K65" s="26"/>
      <c r="L65" s="26"/>
      <c r="M65" s="26"/>
    </row>
    <row r="66" spans="3:13" ht="15.75" customHeight="1">
      <c r="C66" s="23"/>
      <c r="D66" s="26"/>
      <c r="E66" s="26"/>
      <c r="F66" s="26"/>
      <c r="G66" s="26"/>
      <c r="H66" s="26"/>
      <c r="I66" s="26"/>
      <c r="J66" s="26"/>
      <c r="K66" s="26"/>
      <c r="L66" s="26"/>
      <c r="M66" s="26"/>
    </row>
    <row r="67" spans="3:13" ht="15.75" customHeight="1">
      <c r="C67" s="23"/>
      <c r="D67" s="26"/>
      <c r="E67" s="26"/>
      <c r="F67" s="26"/>
      <c r="G67" s="26"/>
      <c r="H67" s="26"/>
      <c r="I67" s="26"/>
      <c r="J67" s="26"/>
      <c r="K67" s="26"/>
      <c r="L67" s="26"/>
      <c r="M67" s="26"/>
    </row>
    <row r="68" spans="3:13" ht="15.75" customHeight="1">
      <c r="C68" s="23"/>
      <c r="D68" s="26"/>
      <c r="E68" s="26"/>
      <c r="F68" s="26"/>
      <c r="G68" s="26"/>
      <c r="H68" s="26"/>
      <c r="I68" s="26"/>
      <c r="J68" s="26"/>
      <c r="K68" s="26"/>
      <c r="L68" s="26"/>
      <c r="M68" s="26"/>
    </row>
  </sheetData>
  <phoneticPr fontId="8"/>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8A4B-4E1A-4A6C-B316-5FF4CCBF6B26}">
  <sheetPr>
    <outlinePr summaryBelow="0" summaryRight="0"/>
  </sheetPr>
  <dimension ref="A1:BS68"/>
  <sheetViews>
    <sheetView zoomScaleNormal="100" workbookViewId="0">
      <selection activeCell="A3" sqref="A3:XFD3"/>
    </sheetView>
  </sheetViews>
  <sheetFormatPr defaultColWidth="12.5703125" defaultRowHeight="15.75" customHeight="1"/>
  <cols>
    <col min="1" max="2" width="12.5703125" style="20"/>
    <col min="3" max="3" width="26.7109375" style="20" customWidth="1"/>
    <col min="4" max="10" width="12.5703125" style="20"/>
    <col min="11" max="11" width="18.28515625" style="20" customWidth="1"/>
    <col min="12" max="15" width="12.5703125" style="20"/>
    <col min="16" max="16" width="26.7109375" style="20" customWidth="1"/>
    <col min="17" max="17" width="18.85546875" style="20" customWidth="1"/>
    <col min="18" max="23" width="12.5703125" style="20"/>
    <col min="24" max="24" width="14.42578125" style="20" customWidth="1"/>
    <col min="25" max="25" width="12.5703125" style="20"/>
    <col min="26" max="26" width="16.5703125" style="20" customWidth="1"/>
    <col min="27" max="30" width="12.5703125" style="20"/>
    <col min="31" max="31" width="16.140625" style="20" customWidth="1"/>
    <col min="32" max="32" width="14" style="20" customWidth="1"/>
    <col min="33" max="33" width="16.140625" style="20" customWidth="1"/>
    <col min="34" max="35" width="12.5703125" style="20"/>
    <col min="36" max="36" width="43.85546875" style="20" customWidth="1"/>
    <col min="37" max="37" width="12.5703125" style="20"/>
    <col min="38" max="38" width="24.5703125" style="20" customWidth="1"/>
    <col min="39" max="39" width="13.85546875" style="20" customWidth="1"/>
    <col min="40" max="16384" width="12.5703125" style="20"/>
  </cols>
  <sheetData>
    <row r="1" spans="1:71" ht="15.75" customHeight="1">
      <c r="A1" s="30" t="s">
        <v>2297</v>
      </c>
    </row>
    <row r="2" spans="1:71" ht="15.75" customHeight="1">
      <c r="A2" s="30"/>
    </row>
    <row r="3" spans="1:71" ht="13.5" customHeight="1">
      <c r="C3" s="20" t="s">
        <v>2261</v>
      </c>
      <c r="D3" s="20">
        <f>COUNTIFS(集計用!$P:$P, "*"&amp;D$4&amp;",*")</f>
        <v>7</v>
      </c>
      <c r="E3" s="20">
        <f>COUNTIFS(集計用!$P:$P, "*"&amp;E$4&amp;",*")</f>
        <v>7</v>
      </c>
      <c r="F3" s="20">
        <f>COUNTIFS(集計用!$P:$P, "*"&amp;F$4&amp;",*")</f>
        <v>5</v>
      </c>
      <c r="G3" s="20">
        <f>COUNTIFS(集計用!$P:$P, "*"&amp;G$4&amp;",*")</f>
        <v>5</v>
      </c>
      <c r="H3" s="20">
        <f>COUNTIFS(集計用!$P:$P, "*"&amp;H$4&amp;",*")</f>
        <v>4</v>
      </c>
      <c r="I3" s="20">
        <f>COUNTIFS(集計用!$P:$P, "*"&amp;I$4&amp;",*")</f>
        <v>3</v>
      </c>
      <c r="J3" s="20">
        <f>COUNTIFS(集計用!$P:$P, "*"&amp;J$4&amp;",*")</f>
        <v>3</v>
      </c>
      <c r="K3" s="20">
        <f>COUNTIFS(集計用!$P:$P, "*"&amp;K$4&amp;",*")</f>
        <v>3</v>
      </c>
      <c r="L3" s="20">
        <f>COUNTIFS(集計用!$P:$P, "*"&amp;L$4&amp;",*")</f>
        <v>2</v>
      </c>
      <c r="M3" s="20">
        <f>COUNTIFS(集計用!$P:$P, "*"&amp;M$4&amp;",*")</f>
        <v>2</v>
      </c>
      <c r="N3" s="20">
        <f>COUNTIFS(集計用!$P:$P, "*"&amp;N$4&amp;",*")</f>
        <v>2</v>
      </c>
      <c r="O3" s="20">
        <f>COUNTIFS(集計用!$P:$P, "*"&amp;O$4&amp;",*")</f>
        <v>2</v>
      </c>
      <c r="P3" s="20">
        <f>COUNTIFS(集計用!$P:$P, "*"&amp;P$4&amp;",*")</f>
        <v>2</v>
      </c>
      <c r="Q3" s="20">
        <f>COUNTIFS(集計用!$P:$P, "*"&amp;Q$4&amp;",*")</f>
        <v>3</v>
      </c>
      <c r="R3" s="20">
        <f>COUNTIFS(集計用!$P:$P, "*"&amp;R$4&amp;",*")</f>
        <v>1</v>
      </c>
      <c r="S3" s="20">
        <f>COUNTIFS(集計用!$P:$P, "*"&amp;S$4&amp;",*")</f>
        <v>0</v>
      </c>
      <c r="T3" s="20">
        <f>COUNTIFS(集計用!$P:$P, "*"&amp;T$4&amp;",*")</f>
        <v>1</v>
      </c>
      <c r="U3" s="20">
        <f>COUNTIFS(集計用!$P:$P, "*"&amp;U$4&amp;",*")</f>
        <v>1</v>
      </c>
      <c r="V3" s="20">
        <f>COUNTIFS(集計用!$P:$P, "*"&amp;V$4&amp;",*")</f>
        <v>1</v>
      </c>
      <c r="W3" s="20">
        <f>COUNTIFS(集計用!$P:$P, "*"&amp;W$4&amp;",*")</f>
        <v>1</v>
      </c>
      <c r="X3" s="20">
        <f>COUNTIFS(集計用!$P:$P, "*"&amp;X$4&amp;",*")</f>
        <v>1</v>
      </c>
      <c r="Y3" s="20">
        <f>COUNTIFS(集計用!$P:$P, "*"&amp;Y$4&amp;",*")</f>
        <v>1</v>
      </c>
      <c r="Z3" s="20">
        <f>COUNTIFS(集計用!$P:$P, "*"&amp;Z$4&amp;",*")</f>
        <v>1</v>
      </c>
      <c r="AA3" s="20">
        <f>COUNTIFS(集計用!$P:$P, "*"&amp;AA$4&amp;",*")</f>
        <v>1</v>
      </c>
      <c r="AB3" s="20">
        <f>COUNTIFS(集計用!$P:$P, "*"&amp;AB$4&amp;",*")</f>
        <v>1</v>
      </c>
      <c r="AC3" s="20">
        <f>COUNTIFS(集計用!$P:$P, "*"&amp;AC$4&amp;",*")</f>
        <v>1</v>
      </c>
      <c r="AD3" s="20">
        <f>COUNTIFS(集計用!$P:$P, "*"&amp;AD$4&amp;",*")</f>
        <v>1</v>
      </c>
      <c r="AE3" s="20">
        <f>COUNTIFS(集計用!$P:$P, "*"&amp;AE$4&amp;",*")</f>
        <v>1</v>
      </c>
      <c r="AF3" s="20">
        <f>COUNTIFS(集計用!$P:$P, "*"&amp;AF$4&amp;",*")</f>
        <v>1</v>
      </c>
      <c r="AG3" s="20">
        <f>COUNTIFS(集計用!$P:$P, "*"&amp;AG$4&amp;",*")</f>
        <v>1</v>
      </c>
      <c r="AH3" s="20">
        <f>COUNTIFS(集計用!$P:$P, "*"&amp;AH$4&amp;",*")</f>
        <v>1</v>
      </c>
      <c r="AI3" s="20">
        <f>COUNTIFS(集計用!$P:$P, "*"&amp;AI$4&amp;",*")</f>
        <v>1</v>
      </c>
      <c r="AJ3" s="20">
        <f>COUNTIFS(集計用!$P:$P, "*"&amp;AJ$4&amp;",*")</f>
        <v>1</v>
      </c>
      <c r="AK3" s="20">
        <f>COUNTIFS(集計用!$P:$P, "*"&amp;AK$4&amp;",*")</f>
        <v>1</v>
      </c>
      <c r="AL3" s="20">
        <f>COUNTIFS(集計用!$P:$P, "*"&amp;AL$4&amp;",*")</f>
        <v>1</v>
      </c>
      <c r="AM3" s="20">
        <f>COUNTIFS(集計用!$P:$P, "*"&amp;AM$4&amp;",*")</f>
        <v>1</v>
      </c>
      <c r="AN3" s="20">
        <f>COUNTIFS(集計用!$P:$P, "*"&amp;AN$4&amp;",*")</f>
        <v>1</v>
      </c>
      <c r="AO3" s="20">
        <f>COUNTIFS(集計用!$P:$P, "*"&amp;AO$4&amp;",*")</f>
        <v>1</v>
      </c>
      <c r="AP3" s="20">
        <f>COUNTIFS(集計用!$P:$P, "*"&amp;AP$4&amp;",*")</f>
        <v>1</v>
      </c>
      <c r="AQ3" s="20">
        <f>COUNTIFS(集計用!$P:$P, "*"&amp;AQ$4&amp;",*")</f>
        <v>1</v>
      </c>
      <c r="AR3" s="20">
        <f>COUNTIFS(集計用!$P:$P, "*"&amp;AR$4&amp;",*")</f>
        <v>1</v>
      </c>
      <c r="AS3" s="20">
        <f>COUNTIFS(集計用!$P:$P, "*"&amp;AS$4&amp;",*")</f>
        <v>1</v>
      </c>
      <c r="AT3" s="20">
        <f>COUNTIFS(集計用!$P:$P, "*"&amp;AT$4&amp;",*")</f>
        <v>1</v>
      </c>
      <c r="AU3" s="20">
        <f>COUNTIFS(集計用!$P:$P, "*"&amp;AU$4&amp;",*")</f>
        <v>1</v>
      </c>
      <c r="AV3" s="20">
        <f>COUNTIFS(集計用!$P:$P, "*"&amp;AV$4&amp;",*")</f>
        <v>1</v>
      </c>
      <c r="AW3" s="20">
        <f>COUNTIFS(集計用!$P:$P, "*"&amp;AW$4&amp;",*")</f>
        <v>1</v>
      </c>
      <c r="AX3" s="20">
        <f>COUNTIFS(集計用!$P:$P, "*"&amp;AX$4&amp;",*")</f>
        <v>1</v>
      </c>
      <c r="AY3" s="20">
        <f>COUNTIFS(集計用!$P:$P, "*"&amp;AY$4&amp;",*")</f>
        <v>1</v>
      </c>
      <c r="AZ3" s="20">
        <f>COUNTIFS(集計用!$P:$P, "*"&amp;AZ$4&amp;",*")</f>
        <v>1</v>
      </c>
      <c r="BA3" s="20">
        <f>COUNTIFS(集計用!$P:$P, "*"&amp;BA$4&amp;",*")</f>
        <v>1</v>
      </c>
      <c r="BB3" s="20">
        <f>COUNTIFS(集計用!$P:$P, "*"&amp;BB$4&amp;",*")</f>
        <v>1</v>
      </c>
    </row>
    <row r="4" spans="1:71" ht="12.75">
      <c r="A4" s="46" t="s">
        <v>2178</v>
      </c>
      <c r="B4" s="46" t="s">
        <v>2179</v>
      </c>
      <c r="C4" s="46" t="s">
        <v>2182</v>
      </c>
      <c r="D4" s="77" t="s">
        <v>57</v>
      </c>
      <c r="E4" s="78" t="s">
        <v>60</v>
      </c>
      <c r="F4" s="79" t="s">
        <v>2289</v>
      </c>
      <c r="G4" s="78" t="s">
        <v>73</v>
      </c>
      <c r="H4" s="77" t="s">
        <v>59</v>
      </c>
      <c r="I4" s="78" t="s">
        <v>61</v>
      </c>
      <c r="J4" s="79" t="s">
        <v>2290</v>
      </c>
      <c r="K4" s="77" t="s">
        <v>2264</v>
      </c>
      <c r="L4" s="52" t="s">
        <v>2294</v>
      </c>
      <c r="M4" s="78" t="s">
        <v>63</v>
      </c>
      <c r="N4" s="77" t="s">
        <v>168</v>
      </c>
      <c r="O4" s="78" t="s">
        <v>65</v>
      </c>
      <c r="P4" s="77" t="s">
        <v>2263</v>
      </c>
      <c r="Q4" s="78" t="s">
        <v>2267</v>
      </c>
      <c r="R4" s="77" t="s">
        <v>2282</v>
      </c>
      <c r="S4" s="80" t="s">
        <v>2295</v>
      </c>
      <c r="T4" s="77" t="s">
        <v>2275</v>
      </c>
      <c r="U4" s="78" t="s">
        <v>2273</v>
      </c>
      <c r="V4" s="77" t="s">
        <v>2280</v>
      </c>
      <c r="W4" s="78" t="s">
        <v>2279</v>
      </c>
      <c r="X4" s="77" t="s">
        <v>2271</v>
      </c>
      <c r="Y4" s="78" t="s">
        <v>2274</v>
      </c>
      <c r="Z4" s="77" t="s">
        <v>2272</v>
      </c>
      <c r="AA4" s="78" t="s">
        <v>2276</v>
      </c>
      <c r="AB4" s="77" t="s">
        <v>2284</v>
      </c>
      <c r="AC4" s="78" t="s">
        <v>2277</v>
      </c>
      <c r="AD4" s="77" t="s">
        <v>2278</v>
      </c>
      <c r="AE4" s="78" t="s">
        <v>2281</v>
      </c>
      <c r="AF4" s="77" t="s">
        <v>2285</v>
      </c>
      <c r="AG4" s="78" t="s">
        <v>2266</v>
      </c>
      <c r="AH4" s="77" t="s">
        <v>2283</v>
      </c>
      <c r="AI4" s="78" t="s">
        <v>75</v>
      </c>
      <c r="AJ4" s="77" t="s">
        <v>76</v>
      </c>
      <c r="AK4" s="78" t="s">
        <v>79</v>
      </c>
      <c r="AL4" s="77" t="s">
        <v>80</v>
      </c>
      <c r="AM4" s="78" t="s">
        <v>81</v>
      </c>
      <c r="AN4" s="77" t="s">
        <v>82</v>
      </c>
      <c r="AO4" s="78" t="s">
        <v>83</v>
      </c>
      <c r="AP4" s="77" t="s">
        <v>172</v>
      </c>
      <c r="AQ4" s="80" t="s">
        <v>2291</v>
      </c>
      <c r="AR4" s="77" t="s">
        <v>86</v>
      </c>
      <c r="AS4" s="78" t="s">
        <v>2270</v>
      </c>
      <c r="AT4" s="77" t="s">
        <v>2269</v>
      </c>
      <c r="AU4" s="78" t="s">
        <v>2268</v>
      </c>
      <c r="AV4" s="77" t="s">
        <v>2262</v>
      </c>
      <c r="AW4" s="78" t="s">
        <v>2265</v>
      </c>
      <c r="AX4" s="77" t="s">
        <v>94</v>
      </c>
      <c r="AY4" s="80" t="s">
        <v>2293</v>
      </c>
      <c r="AZ4" s="79" t="s">
        <v>2288</v>
      </c>
      <c r="BA4" s="80" t="s">
        <v>2287</v>
      </c>
      <c r="BB4" s="81" t="s">
        <v>2292</v>
      </c>
    </row>
    <row r="5" spans="1:71" ht="12.75">
      <c r="A5" s="39">
        <v>0</v>
      </c>
      <c r="B5" s="39">
        <f>(COUNTA(集計用!$Q:$Q)-1)-COUNTIF(集計用!$K:$K, "無回答")</f>
        <v>443</v>
      </c>
      <c r="C5" s="40" t="s">
        <v>2249</v>
      </c>
      <c r="D5" s="41">
        <f>COUNTIFS(集計用!$P:$P, "*"&amp;D$4&amp;",*")/$B5*100</f>
        <v>1.5801354401805869</v>
      </c>
      <c r="E5" s="41">
        <f>COUNTIFS(集計用!$P:$P, "*"&amp;E$4&amp;",*")/$B5*100</f>
        <v>1.5801354401805869</v>
      </c>
      <c r="F5" s="41">
        <f>COUNTIFS(集計用!$P:$P, "*"&amp;F$4&amp;",*")/$B5*100</f>
        <v>1.1286681715575622</v>
      </c>
      <c r="G5" s="41">
        <f>COUNTIFS(集計用!$P:$P, "*"&amp;G$4&amp;",*")/$B5*100</f>
        <v>1.1286681715575622</v>
      </c>
      <c r="H5" s="41">
        <f>COUNTIFS(集計用!$P:$P, "*"&amp;H$4&amp;",*")/$B5*100</f>
        <v>0.90293453724604955</v>
      </c>
      <c r="I5" s="41">
        <f>COUNTIFS(集計用!$P:$P, "*"&amp;I$4&amp;",*")/$B5*100</f>
        <v>0.67720090293453727</v>
      </c>
      <c r="J5" s="41">
        <f>COUNTIFS(集計用!$P:$P, "*"&amp;J$4&amp;",*")/$B5*100</f>
        <v>0.67720090293453727</v>
      </c>
      <c r="K5" s="41">
        <f>COUNTIFS(集計用!$P:$P, "*"&amp;K$4&amp;",*")/$B5*100</f>
        <v>0.67720090293453727</v>
      </c>
      <c r="L5" s="41">
        <f>COUNTIFS(集計用!$P:$P, "*"&amp;L$4&amp;",*")/$B5*100</f>
        <v>0.45146726862302478</v>
      </c>
      <c r="M5" s="41">
        <f>COUNTIFS(集計用!$P:$P, "*"&amp;M$4&amp;",*")/$B5*100</f>
        <v>0.45146726862302478</v>
      </c>
      <c r="N5" s="41">
        <f>COUNTIFS(集計用!$P:$P, "*"&amp;N$4&amp;",*")/$B5*100</f>
        <v>0.45146726862302478</v>
      </c>
      <c r="O5" s="41">
        <f>COUNTIFS(集計用!$P:$P, "*"&amp;O$4&amp;",*")/$B5*100</f>
        <v>0.45146726862302478</v>
      </c>
      <c r="P5" s="41">
        <f>COUNTIFS(集計用!$P:$P, "*"&amp;P$4&amp;",*")/$B5*100</f>
        <v>0.45146726862302478</v>
      </c>
      <c r="Q5" s="41">
        <f>COUNTIFS(集計用!$P:$P, "*"&amp;Q$4&amp;",*")/$B5*100</f>
        <v>0.67720090293453727</v>
      </c>
      <c r="R5" s="41">
        <f>COUNTIFS(集計用!$P:$P, "*"&amp;R$4&amp;",*")/$B5*100</f>
        <v>0.22573363431151239</v>
      </c>
      <c r="S5" s="41">
        <f>COUNTIFS(集計用!$P:$P, "*"&amp;S$4&amp;",*")/$B5*100</f>
        <v>0</v>
      </c>
      <c r="T5" s="41">
        <f>COUNTIFS(集計用!$P:$P, "*"&amp;T$4&amp;",*")/$B5*100</f>
        <v>0.22573363431151239</v>
      </c>
      <c r="U5" s="41">
        <f>COUNTIFS(集計用!$P:$P, "*"&amp;U$4&amp;",*")/$B5*100</f>
        <v>0.22573363431151239</v>
      </c>
      <c r="V5" s="41">
        <f>COUNTIFS(集計用!$P:$P, "*"&amp;V$4&amp;",*")/$B5*100</f>
        <v>0.22573363431151239</v>
      </c>
      <c r="W5" s="41">
        <f>COUNTIFS(集計用!$P:$P, "*"&amp;W$4&amp;",*")/$B5*100</f>
        <v>0.22573363431151239</v>
      </c>
      <c r="X5" s="41">
        <f>COUNTIFS(集計用!$P:$P, "*"&amp;X$4&amp;",*")/$B5*100</f>
        <v>0.22573363431151239</v>
      </c>
      <c r="Y5" s="41">
        <f>COUNTIFS(集計用!$P:$P, "*"&amp;Y$4&amp;",*")/$B5*100</f>
        <v>0.22573363431151239</v>
      </c>
      <c r="Z5" s="41">
        <f>COUNTIFS(集計用!$P:$P, "*"&amp;Z$4&amp;",*")/$B5*100</f>
        <v>0.22573363431151239</v>
      </c>
      <c r="AA5" s="41">
        <f>COUNTIFS(集計用!$P:$P, "*"&amp;AA$4&amp;",*")/$B5*100</f>
        <v>0.22573363431151239</v>
      </c>
      <c r="AB5" s="41">
        <f>COUNTIFS(集計用!$P:$P, "*"&amp;AB$4&amp;",*")/$B5*100</f>
        <v>0.22573363431151239</v>
      </c>
      <c r="AC5" s="41">
        <f>COUNTIFS(集計用!$P:$P, "*"&amp;AC$4&amp;",*")/$B5*100</f>
        <v>0.22573363431151239</v>
      </c>
      <c r="AD5" s="41">
        <f>COUNTIFS(集計用!$P:$P, "*"&amp;AD$4&amp;",*")/$B5*100</f>
        <v>0.22573363431151239</v>
      </c>
      <c r="AE5" s="41">
        <f>COUNTIFS(集計用!$P:$P, "*"&amp;AE$4&amp;",*")/$B5*100</f>
        <v>0.22573363431151239</v>
      </c>
      <c r="AF5" s="41">
        <f>COUNTIFS(集計用!$P:$P, "*"&amp;AF$4&amp;",*")/$B5*100</f>
        <v>0.22573363431151239</v>
      </c>
      <c r="AG5" s="41">
        <f>COUNTIFS(集計用!$P:$P, "*"&amp;AG$4&amp;",*")/$B5*100</f>
        <v>0.22573363431151239</v>
      </c>
      <c r="AH5" s="41">
        <f>COUNTIFS(集計用!$P:$P, "*"&amp;AH$4&amp;",*")/$B5*100</f>
        <v>0.22573363431151239</v>
      </c>
      <c r="AI5" s="41">
        <f>COUNTIFS(集計用!$P:$P, "*"&amp;AI$4&amp;",*")/$B5*100</f>
        <v>0.22573363431151239</v>
      </c>
      <c r="AJ5" s="41">
        <f>COUNTIFS(集計用!$P:$P, "*"&amp;AJ$4&amp;",*")/$B5*100</f>
        <v>0.22573363431151239</v>
      </c>
      <c r="AK5" s="41">
        <f>COUNTIFS(集計用!$P:$P, "*"&amp;AK$4&amp;",*")/$B5*100</f>
        <v>0.22573363431151239</v>
      </c>
      <c r="AL5" s="41">
        <f>COUNTIFS(集計用!$P:$P, "*"&amp;AL$4&amp;",*")/$B5*100</f>
        <v>0.22573363431151239</v>
      </c>
      <c r="AM5" s="41">
        <f>COUNTIFS(集計用!$P:$P, "*"&amp;AM$4&amp;",*")/$B5*100</f>
        <v>0.22573363431151239</v>
      </c>
      <c r="AN5" s="41">
        <f>COUNTIFS(集計用!$P:$P, "*"&amp;AN$4&amp;",*")/$B5*100</f>
        <v>0.22573363431151239</v>
      </c>
      <c r="AO5" s="41">
        <f>COUNTIFS(集計用!$P:$P, "*"&amp;AO$4&amp;",*")/$B5*100</f>
        <v>0.22573363431151239</v>
      </c>
      <c r="AP5" s="41">
        <f>COUNTIFS(集計用!$P:$P, "*"&amp;AP$4&amp;",*")/$B5*100</f>
        <v>0.22573363431151239</v>
      </c>
      <c r="AQ5" s="41">
        <f>COUNTIFS(集計用!$P:$P, "*"&amp;AQ$4&amp;",*")/$B5*100</f>
        <v>0.22573363431151239</v>
      </c>
      <c r="AR5" s="41">
        <f>COUNTIFS(集計用!$P:$P, "*"&amp;AR$4&amp;",*")/$B5*100</f>
        <v>0.22573363431151239</v>
      </c>
      <c r="AS5" s="41">
        <f>COUNTIFS(集計用!$P:$P, "*"&amp;AS$4&amp;",*")/$B5*100</f>
        <v>0.22573363431151239</v>
      </c>
      <c r="AT5" s="41">
        <f>COUNTIFS(集計用!$P:$P, "*"&amp;AT$4&amp;",*")/$B5*100</f>
        <v>0.22573363431151239</v>
      </c>
      <c r="AU5" s="41">
        <f>COUNTIFS(集計用!$P:$P, "*"&amp;AU$4&amp;",*")/$B5*100</f>
        <v>0.22573363431151239</v>
      </c>
      <c r="AV5" s="41">
        <f>COUNTIFS(集計用!$P:$P, "*"&amp;AV$4&amp;",*")/$B5*100</f>
        <v>0.22573363431151239</v>
      </c>
      <c r="AW5" s="41">
        <f>COUNTIFS(集計用!$P:$P, "*"&amp;AW$4&amp;",*")/$B5*100</f>
        <v>0.22573363431151239</v>
      </c>
      <c r="AX5" s="41">
        <f>COUNTIFS(集計用!$P:$P, "*"&amp;AX$4&amp;",*")/$B5*100</f>
        <v>0.22573363431151239</v>
      </c>
      <c r="AY5" s="41">
        <f>COUNTIFS(集計用!$P:$P, "*"&amp;AY$4&amp;",*")/$B5*100</f>
        <v>0.22573363431151239</v>
      </c>
      <c r="AZ5" s="41">
        <f>COUNTIFS(集計用!$P:$P, "*"&amp;AZ$4&amp;",*")/$B5*100</f>
        <v>0.22573363431151239</v>
      </c>
      <c r="BA5" s="41">
        <f>COUNTIFS(集計用!$P:$P, "*"&amp;BA$4&amp;",*")/$B5*100</f>
        <v>0.22573363431151239</v>
      </c>
      <c r="BB5" s="41">
        <f>COUNTIFS(集計用!$P:$P, "*"&amp;BB$4&amp;",*")/$B5*100</f>
        <v>0.22573363431151239</v>
      </c>
      <c r="BC5" s="41"/>
      <c r="BD5" s="41"/>
      <c r="BE5" s="41"/>
      <c r="BF5" s="41"/>
      <c r="BG5" s="41"/>
      <c r="BH5" s="41"/>
      <c r="BI5" s="41"/>
      <c r="BJ5" s="41"/>
      <c r="BK5" s="41"/>
      <c r="BL5" s="41"/>
      <c r="BM5" s="41"/>
      <c r="BN5" s="41"/>
      <c r="BO5" s="41"/>
      <c r="BP5" s="41"/>
      <c r="BQ5" s="41"/>
      <c r="BR5" s="41"/>
      <c r="BS5" s="41"/>
    </row>
    <row r="6" spans="1:71" ht="15.75" customHeight="1">
      <c r="A6" s="39">
        <v>1</v>
      </c>
      <c r="B6" s="39">
        <f>(COUNTIFS(集計用!$G:$G,"*, "&amp;$C6&amp;",*",集計用!$Q:$Q,"&lt;&gt;無回答"))</f>
        <v>256</v>
      </c>
      <c r="C6" s="42" t="s">
        <v>0</v>
      </c>
      <c r="D6" s="41">
        <f>COUNTIFS(集計用!$P:$P, "*"&amp;D$4&amp;",*",集計用!$G:$G,"*, "&amp;$C6&amp;", *")/$B6*100</f>
        <v>1.5625</v>
      </c>
      <c r="E6" s="41">
        <f>COUNTIFS(集計用!$P:$P, "*"&amp;E$4&amp;",*",集計用!$G:$G,"*, "&amp;$C6&amp;", *")/$B6*100</f>
        <v>1.953125</v>
      </c>
      <c r="F6" s="41">
        <f>COUNTIFS(集計用!$P:$P, "*"&amp;F$4&amp;",*",集計用!$G:$G,"*, "&amp;$C6&amp;", *")/$B6*100</f>
        <v>1.171875</v>
      </c>
      <c r="G6" s="41">
        <f>COUNTIFS(集計用!$P:$P, "*"&amp;G$4&amp;",*",集計用!$G:$G,"*, "&amp;$C6&amp;", *")/$B6*100</f>
        <v>0.78125</v>
      </c>
      <c r="H6" s="41">
        <f>COUNTIFS(集計用!$P:$P, "*"&amp;H$4&amp;",*",集計用!$G:$G,"*, "&amp;$C6&amp;", *")/$B6*100</f>
        <v>0.78125</v>
      </c>
      <c r="I6" s="41">
        <f>COUNTIFS(集計用!$P:$P, "*"&amp;I$4&amp;",*",集計用!$G:$G,"*, "&amp;$C6&amp;", *")/$B6*100</f>
        <v>0.78125</v>
      </c>
      <c r="J6" s="41">
        <f>COUNTIFS(集計用!$P:$P, "*"&amp;J$4&amp;",*",集計用!$G:$G,"*, "&amp;$C6&amp;", *")/$B6*100</f>
        <v>1.171875</v>
      </c>
      <c r="K6" s="41">
        <f>COUNTIFS(集計用!$P:$P, "*"&amp;K$4&amp;",*",集計用!$G:$G,"*, "&amp;$C6&amp;", *")/$B6*100</f>
        <v>0.78125</v>
      </c>
      <c r="L6" s="41">
        <f>COUNTIFS(集計用!$P:$P, "*"&amp;L$4&amp;",*",集計用!$G:$G,"*, "&amp;$C6&amp;", *")/$B6*100</f>
        <v>0</v>
      </c>
      <c r="M6" s="41">
        <f>COUNTIFS(集計用!$P:$P, "*"&amp;M$4&amp;",*",集計用!$G:$G,"*, "&amp;$C6&amp;", *")/$B6*100</f>
        <v>0.390625</v>
      </c>
      <c r="N6" s="41">
        <f>COUNTIFS(集計用!$P:$P, "*"&amp;N$4&amp;",*",集計用!$G:$G,"*, "&amp;$C6&amp;", *")/$B6*100</f>
        <v>0.390625</v>
      </c>
      <c r="O6" s="41">
        <f>COUNTIFS(集計用!$P:$P, "*"&amp;O$4&amp;",*",集計用!$G:$G,"*, "&amp;$C6&amp;", *")/$B6*100</f>
        <v>0.78125</v>
      </c>
      <c r="P6" s="41">
        <f>COUNTIFS(集計用!$P:$P, "*"&amp;P$4&amp;",*",集計用!$G:$G,"*, "&amp;$C6&amp;", *")/$B6*100</f>
        <v>0.78125</v>
      </c>
      <c r="Q6" s="41">
        <f>COUNTIFS(集計用!$P:$P, "*"&amp;Q$4&amp;",*",集計用!$G:$G,"*, "&amp;$C6&amp;", *")/$B6*100</f>
        <v>0.78125</v>
      </c>
      <c r="R6" s="41">
        <f>COUNTIFS(集計用!$P:$P, "*"&amp;R$4&amp;",*",集計用!$G:$G,"*, "&amp;$C6&amp;", *")/$B6*100</f>
        <v>0.390625</v>
      </c>
      <c r="S6" s="41">
        <f>COUNTIFS(集計用!$P:$P, "*"&amp;S$4&amp;",*",集計用!$G:$G,"*, "&amp;$C6&amp;", *")/$B6*100</f>
        <v>0</v>
      </c>
      <c r="T6" s="41">
        <f>COUNTIFS(集計用!$P:$P, "*"&amp;T$4&amp;",*",集計用!$G:$G,"*, "&amp;$C6&amp;", *")/$B6*100</f>
        <v>0.390625</v>
      </c>
      <c r="U6" s="41">
        <f>COUNTIFS(集計用!$P:$P, "*"&amp;U$4&amp;",*",集計用!$G:$G,"*, "&amp;$C6&amp;", *")/$B6*100</f>
        <v>0.390625</v>
      </c>
      <c r="V6" s="41">
        <f>COUNTIFS(集計用!$P:$P, "*"&amp;V$4&amp;",*",集計用!$G:$G,"*, "&amp;$C6&amp;", *")/$B6*100</f>
        <v>0.390625</v>
      </c>
      <c r="W6" s="41">
        <f>COUNTIFS(集計用!$P:$P, "*"&amp;W$4&amp;",*",集計用!$G:$G,"*, "&amp;$C6&amp;", *")/$B6*100</f>
        <v>0.390625</v>
      </c>
      <c r="X6" s="41">
        <f>COUNTIFS(集計用!$P:$P, "*"&amp;X$4&amp;",*",集計用!$G:$G,"*, "&amp;$C6&amp;", *")/$B6*100</f>
        <v>0.390625</v>
      </c>
      <c r="Y6" s="41">
        <f>COUNTIFS(集計用!$P:$P, "*"&amp;Y$4&amp;",*",集計用!$G:$G,"*, "&amp;$C6&amp;", *")/$B6*100</f>
        <v>0</v>
      </c>
      <c r="Z6" s="41">
        <f>COUNTIFS(集計用!$P:$P, "*"&amp;Z$4&amp;",*",集計用!$G:$G,"*, "&amp;$C6&amp;", *")/$B6*100</f>
        <v>0.390625</v>
      </c>
      <c r="AA6" s="41">
        <f>COUNTIFS(集計用!$P:$P, "*"&amp;AA$4&amp;",*",集計用!$G:$G,"*, "&amp;$C6&amp;", *")/$B6*100</f>
        <v>0.390625</v>
      </c>
      <c r="AB6" s="41">
        <f>COUNTIFS(集計用!$P:$P, "*"&amp;AB$4&amp;",*",集計用!$G:$G,"*, "&amp;$C6&amp;", *")/$B6*100</f>
        <v>0.390625</v>
      </c>
      <c r="AC6" s="41">
        <f>COUNTIFS(集計用!$P:$P, "*"&amp;AC$4&amp;",*",集計用!$G:$G,"*, "&amp;$C6&amp;", *")/$B6*100</f>
        <v>0.390625</v>
      </c>
      <c r="AD6" s="41">
        <f>COUNTIFS(集計用!$P:$P, "*"&amp;AD$4&amp;",*",集計用!$G:$G,"*, "&amp;$C6&amp;", *")/$B6*100</f>
        <v>0.390625</v>
      </c>
      <c r="AE6" s="41">
        <f>COUNTIFS(集計用!$P:$P, "*"&amp;AE$4&amp;",*",集計用!$G:$G,"*, "&amp;$C6&amp;", *")/$B6*100</f>
        <v>0</v>
      </c>
      <c r="AF6" s="41">
        <f>COUNTIFS(集計用!$P:$P, "*"&amp;AF$4&amp;",*",集計用!$G:$G,"*, "&amp;$C6&amp;", *")/$B6*100</f>
        <v>0.390625</v>
      </c>
      <c r="AG6" s="41">
        <f>COUNTIFS(集計用!$P:$P, "*"&amp;AG$4&amp;",*",集計用!$G:$G,"*, "&amp;$C6&amp;", *")/$B6*100</f>
        <v>0.390625</v>
      </c>
      <c r="AH6" s="41">
        <f>COUNTIFS(集計用!$P:$P, "*"&amp;AH$4&amp;",*",集計用!$G:$G,"*, "&amp;$C6&amp;", *")/$B6*100</f>
        <v>0.390625</v>
      </c>
      <c r="AI6" s="41">
        <f>COUNTIFS(集計用!$P:$P, "*"&amp;AI$4&amp;",*",集計用!$G:$G,"*, "&amp;$C6&amp;", *")/$B6*100</f>
        <v>0.390625</v>
      </c>
      <c r="AJ6" s="41">
        <f>COUNTIFS(集計用!$P:$P, "*"&amp;AJ$4&amp;",*",集計用!$G:$G,"*, "&amp;$C6&amp;", *")/$B6*100</f>
        <v>0</v>
      </c>
      <c r="AK6" s="41">
        <f>COUNTIFS(集計用!$P:$P, "*"&amp;AK$4&amp;",*",集計用!$G:$G,"*, "&amp;$C6&amp;", *")/$B6*100</f>
        <v>0</v>
      </c>
      <c r="AL6" s="41">
        <f>COUNTIFS(集計用!$P:$P, "*"&amp;AL$4&amp;",*",集計用!$G:$G,"*, "&amp;$C6&amp;", *")/$B6*100</f>
        <v>0</v>
      </c>
      <c r="AM6" s="41">
        <f>COUNTIFS(集計用!$P:$P, "*"&amp;AM$4&amp;",*",集計用!$G:$G,"*, "&amp;$C6&amp;", *")/$B6*100</f>
        <v>0</v>
      </c>
      <c r="AN6" s="41">
        <f>COUNTIFS(集計用!$P:$P, "*"&amp;AN$4&amp;",*",集計用!$G:$G,"*, "&amp;$C6&amp;", *")/$B6*100</f>
        <v>0</v>
      </c>
      <c r="AO6" s="41">
        <f>COUNTIFS(集計用!$P:$P, "*"&amp;AO$4&amp;",*",集計用!$G:$G,"*, "&amp;$C6&amp;", *")/$B6*100</f>
        <v>0.390625</v>
      </c>
      <c r="AP6" s="41">
        <f>COUNTIFS(集計用!$P:$P, "*"&amp;AP$4&amp;",*",集計用!$G:$G,"*, "&amp;$C6&amp;", *")/$B6*100</f>
        <v>0</v>
      </c>
      <c r="AQ6" s="41">
        <f>COUNTIFS(集計用!$P:$P, "*"&amp;AQ$4&amp;",*",集計用!$G:$G,"*, "&amp;$C6&amp;", *")/$B6*100</f>
        <v>0.390625</v>
      </c>
      <c r="AR6" s="41">
        <f>COUNTIFS(集計用!$P:$P, "*"&amp;AR$4&amp;",*",集計用!$G:$G,"*, "&amp;$C6&amp;", *")/$B6*100</f>
        <v>0.390625</v>
      </c>
      <c r="AS6" s="41">
        <f>COUNTIFS(集計用!$P:$P, "*"&amp;AS$4&amp;",*",集計用!$G:$G,"*, "&amp;$C6&amp;", *")/$B6*100</f>
        <v>0.390625</v>
      </c>
      <c r="AT6" s="41">
        <f>COUNTIFS(集計用!$P:$P, "*"&amp;AT$4&amp;",*",集計用!$G:$G,"*, "&amp;$C6&amp;", *")/$B6*100</f>
        <v>0.390625</v>
      </c>
      <c r="AU6" s="41">
        <f>COUNTIFS(集計用!$P:$P, "*"&amp;AU$4&amp;",*",集計用!$G:$G,"*, "&amp;$C6&amp;", *")/$B6*100</f>
        <v>0.390625</v>
      </c>
      <c r="AV6" s="41">
        <f>COUNTIFS(集計用!$P:$P, "*"&amp;AV$4&amp;",*",集計用!$G:$G,"*, "&amp;$C6&amp;", *")/$B6*100</f>
        <v>0.390625</v>
      </c>
      <c r="AW6" s="41">
        <f>COUNTIFS(集計用!$P:$P, "*"&amp;AW$4&amp;",*",集計用!$G:$G,"*, "&amp;$C6&amp;", *")/$B6*100</f>
        <v>0</v>
      </c>
      <c r="AX6" s="41">
        <f>COUNTIFS(集計用!$P:$P, "*"&amp;AX$4&amp;",*",集計用!$G:$G,"*, "&amp;$C6&amp;", *")/$B6*100</f>
        <v>0</v>
      </c>
      <c r="AY6" s="41">
        <f>COUNTIFS(集計用!$P:$P, "*"&amp;AY$4&amp;",*",集計用!$G:$G,"*, "&amp;$C6&amp;", *")/$B6*100</f>
        <v>0.390625</v>
      </c>
      <c r="AZ6" s="41">
        <f>COUNTIFS(集計用!$P:$P, "*"&amp;AZ$4&amp;",*",集計用!$G:$G,"*, "&amp;$C6&amp;", *")/$B6*100</f>
        <v>0</v>
      </c>
      <c r="BA6" s="41">
        <f>COUNTIFS(集計用!$P:$P, "*"&amp;BA$4&amp;",*",集計用!$G:$G,"*, "&amp;$C6&amp;", *")/$B6*100</f>
        <v>0.390625</v>
      </c>
      <c r="BB6" s="41">
        <f>COUNTIFS(集計用!$P:$P, "*"&amp;BB$4&amp;",*",集計用!$G:$G,"*, "&amp;$C6&amp;", *")/$B6*100</f>
        <v>0.390625</v>
      </c>
      <c r="BC6" s="41"/>
      <c r="BD6" s="41"/>
      <c r="BE6" s="41"/>
      <c r="BF6" s="41"/>
      <c r="BG6" s="41"/>
      <c r="BH6" s="41"/>
      <c r="BI6" s="41"/>
      <c r="BJ6" s="41"/>
      <c r="BK6" s="41"/>
      <c r="BL6" s="41"/>
      <c r="BM6" s="41"/>
      <c r="BN6" s="41"/>
      <c r="BO6" s="41"/>
      <c r="BP6" s="41"/>
      <c r="BQ6" s="41"/>
      <c r="BR6" s="41"/>
      <c r="BS6" s="41"/>
    </row>
    <row r="7" spans="1:71" ht="15.75" customHeight="1">
      <c r="A7" s="39">
        <v>1</v>
      </c>
      <c r="B7" s="39">
        <f>(COUNTIFS(集計用!$G:$G,"*, "&amp;$C7&amp;",*",集計用!$Q:$Q,"&lt;&gt;無回答"))</f>
        <v>144</v>
      </c>
      <c r="C7" s="42" t="s">
        <v>1</v>
      </c>
      <c r="D7" s="41">
        <f>COUNTIFS(集計用!$P:$P, "*"&amp;D$4&amp;",*",集計用!$G:$G,"*, "&amp;$C7&amp;", *")/$B7*100</f>
        <v>2.083333333333333</v>
      </c>
      <c r="E7" s="41">
        <f>COUNTIFS(集計用!$P:$P, "*"&amp;E$4&amp;",*",集計用!$G:$G,"*, "&amp;$C7&amp;", *")/$B7*100</f>
        <v>0.69444444444444442</v>
      </c>
      <c r="F7" s="41">
        <f>COUNTIFS(集計用!$P:$P, "*"&amp;F$4&amp;",*",集計用!$G:$G,"*, "&amp;$C7&amp;", *")/$B7*100</f>
        <v>1.3888888888888888</v>
      </c>
      <c r="G7" s="41">
        <f>COUNTIFS(集計用!$P:$P, "*"&amp;G$4&amp;",*",集計用!$G:$G,"*, "&amp;$C7&amp;", *")/$B7*100</f>
        <v>0.69444444444444442</v>
      </c>
      <c r="H7" s="41">
        <f>COUNTIFS(集計用!$P:$P, "*"&amp;H$4&amp;",*",集計用!$G:$G,"*, "&amp;$C7&amp;", *")/$B7*100</f>
        <v>2.083333333333333</v>
      </c>
      <c r="I7" s="41">
        <f>COUNTIFS(集計用!$P:$P, "*"&amp;I$4&amp;",*",集計用!$G:$G,"*, "&amp;$C7&amp;", *")/$B7*100</f>
        <v>0.69444444444444442</v>
      </c>
      <c r="J7" s="41">
        <f>COUNTIFS(集計用!$P:$P, "*"&amp;J$4&amp;",*",集計用!$G:$G,"*, "&amp;$C7&amp;", *")/$B7*100</f>
        <v>0.69444444444444442</v>
      </c>
      <c r="K7" s="41">
        <f>COUNTIFS(集計用!$P:$P, "*"&amp;K$4&amp;",*",集計用!$G:$G,"*, "&amp;$C7&amp;", *")/$B7*100</f>
        <v>0.69444444444444442</v>
      </c>
      <c r="L7" s="41">
        <f>COUNTIFS(集計用!$P:$P, "*"&amp;L$4&amp;",*",集計用!$G:$G,"*, "&amp;$C7&amp;", *")/$B7*100</f>
        <v>0</v>
      </c>
      <c r="M7" s="41">
        <f>COUNTIFS(集計用!$P:$P, "*"&amp;M$4&amp;",*",集計用!$G:$G,"*, "&amp;$C7&amp;", *")/$B7*100</f>
        <v>0</v>
      </c>
      <c r="N7" s="41">
        <f>COUNTIFS(集計用!$P:$P, "*"&amp;N$4&amp;",*",集計用!$G:$G,"*, "&amp;$C7&amp;", *")/$B7*100</f>
        <v>0</v>
      </c>
      <c r="O7" s="41">
        <f>COUNTIFS(集計用!$P:$P, "*"&amp;O$4&amp;",*",集計用!$G:$G,"*, "&amp;$C7&amp;", *")/$B7*100</f>
        <v>0</v>
      </c>
      <c r="P7" s="41">
        <f>COUNTIFS(集計用!$P:$P, "*"&amp;P$4&amp;",*",集計用!$G:$G,"*, "&amp;$C7&amp;", *")/$B7*100</f>
        <v>0.69444444444444442</v>
      </c>
      <c r="Q7" s="41">
        <f>COUNTIFS(集計用!$P:$P, "*"&amp;Q$4&amp;",*",集計用!$G:$G,"*, "&amp;$C7&amp;", *")/$B7*100</f>
        <v>0.69444444444444442</v>
      </c>
      <c r="R7" s="41">
        <f>COUNTIFS(集計用!$P:$P, "*"&amp;R$4&amp;",*",集計用!$G:$G,"*, "&amp;$C7&amp;", *")/$B7*100</f>
        <v>0</v>
      </c>
      <c r="S7" s="41">
        <f>COUNTIFS(集計用!$P:$P, "*"&amp;S$4&amp;",*",集計用!$G:$G,"*, "&amp;$C7&amp;", *")/$B7*100</f>
        <v>0</v>
      </c>
      <c r="T7" s="41">
        <f>COUNTIFS(集計用!$P:$P, "*"&amp;T$4&amp;",*",集計用!$G:$G,"*, "&amp;$C7&amp;", *")/$B7*100</f>
        <v>0.69444444444444442</v>
      </c>
      <c r="U7" s="41">
        <f>COUNTIFS(集計用!$P:$P, "*"&amp;U$4&amp;",*",集計用!$G:$G,"*, "&amp;$C7&amp;", *")/$B7*100</f>
        <v>0</v>
      </c>
      <c r="V7" s="41">
        <f>COUNTIFS(集計用!$P:$P, "*"&amp;V$4&amp;",*",集計用!$G:$G,"*, "&amp;$C7&amp;", *")/$B7*100</f>
        <v>0.69444444444444442</v>
      </c>
      <c r="W7" s="41">
        <f>COUNTIFS(集計用!$P:$P, "*"&amp;W$4&amp;",*",集計用!$G:$G,"*, "&amp;$C7&amp;", *")/$B7*100</f>
        <v>0.69444444444444442</v>
      </c>
      <c r="X7" s="41">
        <f>COUNTIFS(集計用!$P:$P, "*"&amp;X$4&amp;",*",集計用!$G:$G,"*, "&amp;$C7&amp;", *")/$B7*100</f>
        <v>0</v>
      </c>
      <c r="Y7" s="41">
        <f>COUNTIFS(集計用!$P:$P, "*"&amp;Y$4&amp;",*",集計用!$G:$G,"*, "&amp;$C7&amp;", *")/$B7*100</f>
        <v>0</v>
      </c>
      <c r="Z7" s="41">
        <f>COUNTIFS(集計用!$P:$P, "*"&amp;Z$4&amp;",*",集計用!$G:$G,"*, "&amp;$C7&amp;", *")/$B7*100</f>
        <v>0</v>
      </c>
      <c r="AA7" s="41">
        <f>COUNTIFS(集計用!$P:$P, "*"&amp;AA$4&amp;",*",集計用!$G:$G,"*, "&amp;$C7&amp;", *")/$B7*100</f>
        <v>0.69444444444444442</v>
      </c>
      <c r="AB7" s="41">
        <f>COUNTIFS(集計用!$P:$P, "*"&amp;AB$4&amp;",*",集計用!$G:$G,"*, "&amp;$C7&amp;", *")/$B7*100</f>
        <v>0</v>
      </c>
      <c r="AC7" s="41">
        <f>COUNTIFS(集計用!$P:$P, "*"&amp;AC$4&amp;",*",集計用!$G:$G,"*, "&amp;$C7&amp;", *")/$B7*100</f>
        <v>0.69444444444444442</v>
      </c>
      <c r="AD7" s="41">
        <f>COUNTIFS(集計用!$P:$P, "*"&amp;AD$4&amp;",*",集計用!$G:$G,"*, "&amp;$C7&amp;", *")/$B7*100</f>
        <v>0.69444444444444442</v>
      </c>
      <c r="AE7" s="41">
        <f>COUNTIFS(集計用!$P:$P, "*"&amp;AE$4&amp;",*",集計用!$G:$G,"*, "&amp;$C7&amp;", *")/$B7*100</f>
        <v>0</v>
      </c>
      <c r="AF7" s="41">
        <f>COUNTIFS(集計用!$P:$P, "*"&amp;AF$4&amp;",*",集計用!$G:$G,"*, "&amp;$C7&amp;", *")/$B7*100</f>
        <v>0.69444444444444442</v>
      </c>
      <c r="AG7" s="41">
        <f>COUNTIFS(集計用!$P:$P, "*"&amp;AG$4&amp;",*",集計用!$G:$G,"*, "&amp;$C7&amp;", *")/$B7*100</f>
        <v>0</v>
      </c>
      <c r="AH7" s="41">
        <f>COUNTIFS(集計用!$P:$P, "*"&amp;AH$4&amp;",*",集計用!$G:$G,"*, "&amp;$C7&amp;", *")/$B7*100</f>
        <v>0.69444444444444442</v>
      </c>
      <c r="AI7" s="41">
        <f>COUNTIFS(集計用!$P:$P, "*"&amp;AI$4&amp;",*",集計用!$G:$G,"*, "&amp;$C7&amp;", *")/$B7*100</f>
        <v>0</v>
      </c>
      <c r="AJ7" s="41">
        <f>COUNTIFS(集計用!$P:$P, "*"&amp;AJ$4&amp;",*",集計用!$G:$G,"*, "&amp;$C7&amp;", *")/$B7*100</f>
        <v>0</v>
      </c>
      <c r="AK7" s="41">
        <f>COUNTIFS(集計用!$P:$P, "*"&amp;AK$4&amp;",*",集計用!$G:$G,"*, "&amp;$C7&amp;", *")/$B7*100</f>
        <v>0</v>
      </c>
      <c r="AL7" s="41">
        <f>COUNTIFS(集計用!$P:$P, "*"&amp;AL$4&amp;",*",集計用!$G:$G,"*, "&amp;$C7&amp;", *")/$B7*100</f>
        <v>0.69444444444444442</v>
      </c>
      <c r="AM7" s="41">
        <f>COUNTIFS(集計用!$P:$P, "*"&amp;AM$4&amp;",*",集計用!$G:$G,"*, "&amp;$C7&amp;", *")/$B7*100</f>
        <v>0.69444444444444442</v>
      </c>
      <c r="AN7" s="41">
        <f>COUNTIFS(集計用!$P:$P, "*"&amp;AN$4&amp;",*",集計用!$G:$G,"*, "&amp;$C7&amp;", *")/$B7*100</f>
        <v>0</v>
      </c>
      <c r="AO7" s="41">
        <f>COUNTIFS(集計用!$P:$P, "*"&amp;AO$4&amp;",*",集計用!$G:$G,"*, "&amp;$C7&amp;", *")/$B7*100</f>
        <v>0.69444444444444442</v>
      </c>
      <c r="AP7" s="41">
        <f>COUNTIFS(集計用!$P:$P, "*"&amp;AP$4&amp;",*",集計用!$G:$G,"*, "&amp;$C7&amp;", *")/$B7*100</f>
        <v>0</v>
      </c>
      <c r="AQ7" s="41">
        <f>COUNTIFS(集計用!$P:$P, "*"&amp;AQ$4&amp;",*",集計用!$G:$G,"*, "&amp;$C7&amp;", *")/$B7*100</f>
        <v>0</v>
      </c>
      <c r="AR7" s="41">
        <f>COUNTIFS(集計用!$P:$P, "*"&amp;AR$4&amp;",*",集計用!$G:$G,"*, "&amp;$C7&amp;", *")/$B7*100</f>
        <v>0</v>
      </c>
      <c r="AS7" s="41">
        <f>COUNTIFS(集計用!$P:$P, "*"&amp;AS$4&amp;",*",集計用!$G:$G,"*, "&amp;$C7&amp;", *")/$B7*100</f>
        <v>0</v>
      </c>
      <c r="AT7" s="41">
        <f>COUNTIFS(集計用!$P:$P, "*"&amp;AT$4&amp;",*",集計用!$G:$G,"*, "&amp;$C7&amp;", *")/$B7*100</f>
        <v>0</v>
      </c>
      <c r="AU7" s="41">
        <f>COUNTIFS(集計用!$P:$P, "*"&amp;AU$4&amp;",*",集計用!$G:$G,"*, "&amp;$C7&amp;", *")/$B7*100</f>
        <v>0</v>
      </c>
      <c r="AV7" s="41">
        <f>COUNTIFS(集計用!$P:$P, "*"&amp;AV$4&amp;",*",集計用!$G:$G,"*, "&amp;$C7&amp;", *")/$B7*100</f>
        <v>0.69444444444444442</v>
      </c>
      <c r="AW7" s="41">
        <f>COUNTIFS(集計用!$P:$P, "*"&amp;AW$4&amp;",*",集計用!$G:$G,"*, "&amp;$C7&amp;", *")/$B7*100</f>
        <v>0</v>
      </c>
      <c r="AX7" s="41">
        <f>COUNTIFS(集計用!$P:$P, "*"&amp;AX$4&amp;",*",集計用!$G:$G,"*, "&amp;$C7&amp;", *")/$B7*100</f>
        <v>0</v>
      </c>
      <c r="AY7" s="41">
        <f>COUNTIFS(集計用!$P:$P, "*"&amp;AY$4&amp;",*",集計用!$G:$G,"*, "&amp;$C7&amp;", *")/$B7*100</f>
        <v>0.69444444444444442</v>
      </c>
      <c r="AZ7" s="41">
        <f>COUNTIFS(集計用!$P:$P, "*"&amp;AZ$4&amp;",*",集計用!$G:$G,"*, "&amp;$C7&amp;", *")/$B7*100</f>
        <v>0</v>
      </c>
      <c r="BA7" s="41">
        <f>COUNTIFS(集計用!$P:$P, "*"&amp;BA$4&amp;",*",集計用!$G:$G,"*, "&amp;$C7&amp;", *")/$B7*100</f>
        <v>0.69444444444444442</v>
      </c>
      <c r="BB7" s="41">
        <f>COUNTIFS(集計用!$P:$P, "*"&amp;BB$4&amp;",*",集計用!$G:$G,"*, "&amp;$C7&amp;", *")/$B7*100</f>
        <v>0</v>
      </c>
      <c r="BC7" s="41"/>
      <c r="BD7" s="41"/>
      <c r="BE7" s="41"/>
      <c r="BF7" s="41"/>
      <c r="BG7" s="41"/>
      <c r="BH7" s="41"/>
      <c r="BI7" s="41"/>
      <c r="BJ7" s="41"/>
      <c r="BK7" s="41"/>
      <c r="BL7" s="41"/>
      <c r="BM7" s="41"/>
      <c r="BN7" s="41"/>
      <c r="BO7" s="41"/>
      <c r="BP7" s="41"/>
      <c r="BQ7" s="41"/>
      <c r="BR7" s="41"/>
      <c r="BS7" s="41"/>
    </row>
    <row r="8" spans="1:71" ht="15.75" customHeight="1">
      <c r="A8" s="39">
        <v>2</v>
      </c>
      <c r="B8" s="39">
        <f>(COUNTIFS(集計用!$G:$G,"*, "&amp;$C8&amp;",*",集計用!$Q:$Q,"&lt;&gt;無回答"))</f>
        <v>121</v>
      </c>
      <c r="C8" s="42" t="s">
        <v>2</v>
      </c>
      <c r="D8" s="41">
        <f>COUNTIFS(集計用!$P:$P, "*"&amp;D$4&amp;",*",集計用!$G:$G,"*, "&amp;$C8&amp;", *")/$B8*100</f>
        <v>1.6528925619834711</v>
      </c>
      <c r="E8" s="41">
        <f>COUNTIFS(集計用!$P:$P, "*"&amp;E$4&amp;",*",集計用!$G:$G,"*, "&amp;$C8&amp;", *")/$B8*100</f>
        <v>3.3057851239669422</v>
      </c>
      <c r="F8" s="41">
        <f>COUNTIFS(集計用!$P:$P, "*"&amp;F$4&amp;",*",集計用!$G:$G,"*, "&amp;$C8&amp;", *")/$B8*100</f>
        <v>0.82644628099173556</v>
      </c>
      <c r="G8" s="41">
        <f>COUNTIFS(集計用!$P:$P, "*"&amp;G$4&amp;",*",集計用!$G:$G,"*, "&amp;$C8&amp;", *")/$B8*100</f>
        <v>1.6528925619834711</v>
      </c>
      <c r="H8" s="41">
        <f>COUNTIFS(集計用!$P:$P, "*"&amp;H$4&amp;",*",集計用!$G:$G,"*, "&amp;$C8&amp;", *")/$B8*100</f>
        <v>0</v>
      </c>
      <c r="I8" s="41">
        <f>COUNTIFS(集計用!$P:$P, "*"&amp;I$4&amp;",*",集計用!$G:$G,"*, "&amp;$C8&amp;", *")/$B8*100</f>
        <v>0.82644628099173556</v>
      </c>
      <c r="J8" s="41">
        <f>COUNTIFS(集計用!$P:$P, "*"&amp;J$4&amp;",*",集計用!$G:$G,"*, "&amp;$C8&amp;", *")/$B8*100</f>
        <v>0.82644628099173556</v>
      </c>
      <c r="K8" s="41">
        <f>COUNTIFS(集計用!$P:$P, "*"&amp;K$4&amp;",*",集計用!$G:$G,"*, "&amp;$C8&amp;", *")/$B8*100</f>
        <v>0</v>
      </c>
      <c r="L8" s="41">
        <f>COUNTIFS(集計用!$P:$P, "*"&amp;L$4&amp;",*",集計用!$G:$G,"*, "&amp;$C8&amp;", *")/$B8*100</f>
        <v>0.82644628099173556</v>
      </c>
      <c r="M8" s="41">
        <f>COUNTIFS(集計用!$P:$P, "*"&amp;M$4&amp;",*",集計用!$G:$G,"*, "&amp;$C8&amp;", *")/$B8*100</f>
        <v>0</v>
      </c>
      <c r="N8" s="41">
        <f>COUNTIFS(集計用!$P:$P, "*"&amp;N$4&amp;",*",集計用!$G:$G,"*, "&amp;$C8&amp;", *")/$B8*100</f>
        <v>0.82644628099173556</v>
      </c>
      <c r="O8" s="41">
        <f>COUNTIFS(集計用!$P:$P, "*"&amp;O$4&amp;",*",集計用!$G:$G,"*, "&amp;$C8&amp;", *")/$B8*100</f>
        <v>1.6528925619834711</v>
      </c>
      <c r="P8" s="41">
        <f>COUNTIFS(集計用!$P:$P, "*"&amp;P$4&amp;",*",集計用!$G:$G,"*, "&amp;$C8&amp;", *")/$B8*100</f>
        <v>0</v>
      </c>
      <c r="Q8" s="41">
        <f>COUNTIFS(集計用!$P:$P, "*"&amp;Q$4&amp;",*",集計用!$G:$G,"*, "&amp;$C8&amp;", *")/$B8*100</f>
        <v>0</v>
      </c>
      <c r="R8" s="41">
        <f>COUNTIFS(集計用!$P:$P, "*"&amp;R$4&amp;",*",集計用!$G:$G,"*, "&amp;$C8&amp;", *")/$B8*100</f>
        <v>0</v>
      </c>
      <c r="S8" s="41">
        <f>COUNTIFS(集計用!$P:$P, "*"&amp;S$4&amp;",*",集計用!$G:$G,"*, "&amp;$C8&amp;", *")/$B8*100</f>
        <v>0</v>
      </c>
      <c r="T8" s="41">
        <f>COUNTIFS(集計用!$P:$P, "*"&amp;T$4&amp;",*",集計用!$G:$G,"*, "&amp;$C8&amp;", *")/$B8*100</f>
        <v>0.82644628099173556</v>
      </c>
      <c r="U8" s="41">
        <f>COUNTIFS(集計用!$P:$P, "*"&amp;U$4&amp;",*",集計用!$G:$G,"*, "&amp;$C8&amp;", *")/$B8*100</f>
        <v>0</v>
      </c>
      <c r="V8" s="41">
        <f>COUNTIFS(集計用!$P:$P, "*"&amp;V$4&amp;",*",集計用!$G:$G,"*, "&amp;$C8&amp;", *")/$B8*100</f>
        <v>0.82644628099173556</v>
      </c>
      <c r="W8" s="41">
        <f>COUNTIFS(集計用!$P:$P, "*"&amp;W$4&amp;",*",集計用!$G:$G,"*, "&amp;$C8&amp;", *")/$B8*100</f>
        <v>0.82644628099173556</v>
      </c>
      <c r="X8" s="41">
        <f>COUNTIFS(集計用!$P:$P, "*"&amp;X$4&amp;",*",集計用!$G:$G,"*, "&amp;$C8&amp;", *")/$B8*100</f>
        <v>0</v>
      </c>
      <c r="Y8" s="41">
        <f>COUNTIFS(集計用!$P:$P, "*"&amp;Y$4&amp;",*",集計用!$G:$G,"*, "&amp;$C8&amp;", *")/$B8*100</f>
        <v>0</v>
      </c>
      <c r="Z8" s="41">
        <f>COUNTIFS(集計用!$P:$P, "*"&amp;Z$4&amp;",*",集計用!$G:$G,"*, "&amp;$C8&amp;", *")/$B8*100</f>
        <v>0</v>
      </c>
      <c r="AA8" s="41">
        <f>COUNTIFS(集計用!$P:$P, "*"&amp;AA$4&amp;",*",集計用!$G:$G,"*, "&amp;$C8&amp;", *")/$B8*100</f>
        <v>0.82644628099173556</v>
      </c>
      <c r="AB8" s="41">
        <f>COUNTIFS(集計用!$P:$P, "*"&amp;AB$4&amp;",*",集計用!$G:$G,"*, "&amp;$C8&amp;", *")/$B8*100</f>
        <v>0</v>
      </c>
      <c r="AC8" s="41">
        <f>COUNTIFS(集計用!$P:$P, "*"&amp;AC$4&amp;",*",集計用!$G:$G,"*, "&amp;$C8&amp;", *")/$B8*100</f>
        <v>0.82644628099173556</v>
      </c>
      <c r="AD8" s="41">
        <f>COUNTIFS(集計用!$P:$P, "*"&amp;AD$4&amp;",*",集計用!$G:$G,"*, "&amp;$C8&amp;", *")/$B8*100</f>
        <v>0.82644628099173556</v>
      </c>
      <c r="AE8" s="41">
        <f>COUNTIFS(集計用!$P:$P, "*"&amp;AE$4&amp;",*",集計用!$G:$G,"*, "&amp;$C8&amp;", *")/$B8*100</f>
        <v>0.82644628099173556</v>
      </c>
      <c r="AF8" s="41">
        <f>COUNTIFS(集計用!$P:$P, "*"&amp;AF$4&amp;",*",集計用!$G:$G,"*, "&amp;$C8&amp;", *")/$B8*100</f>
        <v>0</v>
      </c>
      <c r="AG8" s="41">
        <f>COUNTIFS(集計用!$P:$P, "*"&amp;AG$4&amp;",*",集計用!$G:$G,"*, "&amp;$C8&amp;", *")/$B8*100</f>
        <v>0</v>
      </c>
      <c r="AH8" s="41">
        <f>COUNTIFS(集計用!$P:$P, "*"&amp;AH$4&amp;",*",集計用!$G:$G,"*, "&amp;$C8&amp;", *")/$B8*100</f>
        <v>0</v>
      </c>
      <c r="AI8" s="41">
        <f>COUNTIFS(集計用!$P:$P, "*"&amp;AI$4&amp;",*",集計用!$G:$G,"*, "&amp;$C8&amp;", *")/$B8*100</f>
        <v>0</v>
      </c>
      <c r="AJ8" s="41">
        <f>COUNTIFS(集計用!$P:$P, "*"&amp;AJ$4&amp;",*",集計用!$G:$G,"*, "&amp;$C8&amp;", *")/$B8*100</f>
        <v>0</v>
      </c>
      <c r="AK8" s="41">
        <f>COUNTIFS(集計用!$P:$P, "*"&amp;AK$4&amp;",*",集計用!$G:$G,"*, "&amp;$C8&amp;", *")/$B8*100</f>
        <v>0.82644628099173556</v>
      </c>
      <c r="AL8" s="41">
        <f>COUNTIFS(集計用!$P:$P, "*"&amp;AL$4&amp;",*",集計用!$G:$G,"*, "&amp;$C8&amp;", *")/$B8*100</f>
        <v>0</v>
      </c>
      <c r="AM8" s="41">
        <f>COUNTIFS(集計用!$P:$P, "*"&amp;AM$4&amp;",*",集計用!$G:$G,"*, "&amp;$C8&amp;", *")/$B8*100</f>
        <v>0</v>
      </c>
      <c r="AN8" s="41">
        <f>COUNTIFS(集計用!$P:$P, "*"&amp;AN$4&amp;",*",集計用!$G:$G,"*, "&amp;$C8&amp;", *")/$B8*100</f>
        <v>0.82644628099173556</v>
      </c>
      <c r="AO8" s="41">
        <f>COUNTIFS(集計用!$P:$P, "*"&amp;AO$4&amp;",*",集計用!$G:$G,"*, "&amp;$C8&amp;", *")/$B8*100</f>
        <v>0</v>
      </c>
      <c r="AP8" s="41">
        <f>COUNTIFS(集計用!$P:$P, "*"&amp;AP$4&amp;",*",集計用!$G:$G,"*, "&amp;$C8&amp;", *")/$B8*100</f>
        <v>0</v>
      </c>
      <c r="AQ8" s="41">
        <f>COUNTIFS(集計用!$P:$P, "*"&amp;AQ$4&amp;",*",集計用!$G:$G,"*, "&amp;$C8&amp;", *")/$B8*100</f>
        <v>0</v>
      </c>
      <c r="AR8" s="41">
        <f>COUNTIFS(集計用!$P:$P, "*"&amp;AR$4&amp;",*",集計用!$G:$G,"*, "&amp;$C8&amp;", *")/$B8*100</f>
        <v>0.82644628099173556</v>
      </c>
      <c r="AS8" s="41">
        <f>COUNTIFS(集計用!$P:$P, "*"&amp;AS$4&amp;",*",集計用!$G:$G,"*, "&amp;$C8&amp;", *")/$B8*100</f>
        <v>0</v>
      </c>
      <c r="AT8" s="41">
        <f>COUNTIFS(集計用!$P:$P, "*"&amp;AT$4&amp;",*",集計用!$G:$G,"*, "&amp;$C8&amp;", *")/$B8*100</f>
        <v>0</v>
      </c>
      <c r="AU8" s="41">
        <f>COUNTIFS(集計用!$P:$P, "*"&amp;AU$4&amp;",*",集計用!$G:$G,"*, "&amp;$C8&amp;", *")/$B8*100</f>
        <v>0.82644628099173556</v>
      </c>
      <c r="AV8" s="41">
        <f>COUNTIFS(集計用!$P:$P, "*"&amp;AV$4&amp;",*",集計用!$G:$G,"*, "&amp;$C8&amp;", *")/$B8*100</f>
        <v>0.82644628099173556</v>
      </c>
      <c r="AW8" s="41">
        <f>COUNTIFS(集計用!$P:$P, "*"&amp;AW$4&amp;",*",集計用!$G:$G,"*, "&amp;$C8&amp;", *")/$B8*100</f>
        <v>0</v>
      </c>
      <c r="AX8" s="41">
        <f>COUNTIFS(集計用!$P:$P, "*"&amp;AX$4&amp;",*",集計用!$G:$G,"*, "&amp;$C8&amp;", *")/$B8*100</f>
        <v>0</v>
      </c>
      <c r="AY8" s="41">
        <f>COUNTIFS(集計用!$P:$P, "*"&amp;AY$4&amp;",*",集計用!$G:$G,"*, "&amp;$C8&amp;", *")/$B8*100</f>
        <v>0</v>
      </c>
      <c r="AZ8" s="41">
        <f>COUNTIFS(集計用!$P:$P, "*"&amp;AZ$4&amp;",*",集計用!$G:$G,"*, "&amp;$C8&amp;", *")/$B8*100</f>
        <v>0</v>
      </c>
      <c r="BA8" s="41">
        <f>COUNTIFS(集計用!$P:$P, "*"&amp;BA$4&amp;",*",集計用!$G:$G,"*, "&amp;$C8&amp;", *")/$B8*100</f>
        <v>0</v>
      </c>
      <c r="BB8" s="41">
        <f>COUNTIFS(集計用!$P:$P, "*"&amp;BB$4&amp;",*",集計用!$G:$G,"*, "&amp;$C8&amp;", *")/$B8*100</f>
        <v>0</v>
      </c>
      <c r="BC8" s="41"/>
      <c r="BD8" s="41"/>
      <c r="BE8" s="41"/>
      <c r="BF8" s="41"/>
      <c r="BG8" s="41"/>
      <c r="BH8" s="41"/>
      <c r="BI8" s="41"/>
      <c r="BJ8" s="41"/>
      <c r="BK8" s="41"/>
      <c r="BL8" s="41"/>
      <c r="BM8" s="41"/>
      <c r="BN8" s="41"/>
      <c r="BO8" s="41"/>
      <c r="BP8" s="41"/>
      <c r="BQ8" s="41"/>
      <c r="BR8" s="41"/>
      <c r="BS8" s="41"/>
    </row>
    <row r="9" spans="1:71" ht="15.75" customHeight="1">
      <c r="A9" s="39">
        <v>1</v>
      </c>
      <c r="B9" s="39">
        <f>(COUNTIFS(集計用!$G:$G,"*, "&amp;$C9&amp;",*",集計用!$Q:$Q,"&lt;&gt;無回答"))</f>
        <v>86</v>
      </c>
      <c r="C9" s="42" t="s">
        <v>3</v>
      </c>
      <c r="D9" s="41">
        <f>COUNTIFS(集計用!$P:$P, "*"&amp;D$4&amp;",*",集計用!$G:$G,"*, "&amp;$C9&amp;", *")/$B9*100</f>
        <v>2.3255813953488373</v>
      </c>
      <c r="E9" s="41">
        <f>COUNTIFS(集計用!$P:$P, "*"&amp;E$4&amp;",*",集計用!$G:$G,"*, "&amp;$C9&amp;", *")/$B9*100</f>
        <v>3.4883720930232558</v>
      </c>
      <c r="F9" s="41">
        <f>COUNTIFS(集計用!$P:$P, "*"&amp;F$4&amp;",*",集計用!$G:$G,"*, "&amp;$C9&amp;", *")/$B9*100</f>
        <v>1.1627906976744187</v>
      </c>
      <c r="G9" s="41">
        <f>COUNTIFS(集計用!$P:$P, "*"&amp;G$4&amp;",*",集計用!$G:$G,"*, "&amp;$C9&amp;", *")/$B9*100</f>
        <v>0</v>
      </c>
      <c r="H9" s="41">
        <f>COUNTIFS(集計用!$P:$P, "*"&amp;H$4&amp;",*",集計用!$G:$G,"*, "&amp;$C9&amp;", *")/$B9*100</f>
        <v>1.1627906976744187</v>
      </c>
      <c r="I9" s="41">
        <f>COUNTIFS(集計用!$P:$P, "*"&amp;I$4&amp;",*",集計用!$G:$G,"*, "&amp;$C9&amp;", *")/$B9*100</f>
        <v>1.1627906976744187</v>
      </c>
      <c r="J9" s="41">
        <f>COUNTIFS(集計用!$P:$P, "*"&amp;J$4&amp;",*",集計用!$G:$G,"*, "&amp;$C9&amp;", *")/$B9*100</f>
        <v>0</v>
      </c>
      <c r="K9" s="41">
        <f>COUNTIFS(集計用!$P:$P, "*"&amp;K$4&amp;",*",集計用!$G:$G,"*, "&amp;$C9&amp;", *")/$B9*100</f>
        <v>1.1627906976744187</v>
      </c>
      <c r="L9" s="41">
        <f>COUNTIFS(集計用!$P:$P, "*"&amp;L$4&amp;",*",集計用!$G:$G,"*, "&amp;$C9&amp;", *")/$B9*100</f>
        <v>1.1627906976744187</v>
      </c>
      <c r="M9" s="41">
        <f>COUNTIFS(集計用!$P:$P, "*"&amp;M$4&amp;",*",集計用!$G:$G,"*, "&amp;$C9&amp;", *")/$B9*100</f>
        <v>0</v>
      </c>
      <c r="N9" s="41">
        <f>COUNTIFS(集計用!$P:$P, "*"&amp;N$4&amp;",*",集計用!$G:$G,"*, "&amp;$C9&amp;", *")/$B9*100</f>
        <v>1.1627906976744187</v>
      </c>
      <c r="O9" s="41">
        <f>COUNTIFS(集計用!$P:$P, "*"&amp;O$4&amp;",*",集計用!$G:$G,"*, "&amp;$C9&amp;", *")/$B9*100</f>
        <v>0</v>
      </c>
      <c r="P9" s="41">
        <f>COUNTIFS(集計用!$P:$P, "*"&amp;P$4&amp;",*",集計用!$G:$G,"*, "&amp;$C9&amp;", *")/$B9*100</f>
        <v>0</v>
      </c>
      <c r="Q9" s="41">
        <f>COUNTIFS(集計用!$P:$P, "*"&amp;Q$4&amp;",*",集計用!$G:$G,"*, "&amp;$C9&amp;", *")/$B9*100</f>
        <v>1.1627906976744187</v>
      </c>
      <c r="R9" s="41">
        <f>COUNTIFS(集計用!$P:$P, "*"&amp;R$4&amp;",*",集計用!$G:$G,"*, "&amp;$C9&amp;", *")/$B9*100</f>
        <v>0</v>
      </c>
      <c r="S9" s="41">
        <f>COUNTIFS(集計用!$P:$P, "*"&amp;S$4&amp;",*",集計用!$G:$G,"*, "&amp;$C9&amp;", *")/$B9*100</f>
        <v>0</v>
      </c>
      <c r="T9" s="41">
        <f>COUNTIFS(集計用!$P:$P, "*"&amp;T$4&amp;",*",集計用!$G:$G,"*, "&amp;$C9&amp;", *")/$B9*100</f>
        <v>1.1627906976744187</v>
      </c>
      <c r="U9" s="41">
        <f>COUNTIFS(集計用!$P:$P, "*"&amp;U$4&amp;",*",集計用!$G:$G,"*, "&amp;$C9&amp;", *")/$B9*100</f>
        <v>0</v>
      </c>
      <c r="V9" s="41">
        <f>COUNTIFS(集計用!$P:$P, "*"&amp;V$4&amp;",*",集計用!$G:$G,"*, "&amp;$C9&amp;", *")/$B9*100</f>
        <v>1.1627906976744187</v>
      </c>
      <c r="W9" s="41">
        <f>COUNTIFS(集計用!$P:$P, "*"&amp;W$4&amp;",*",集計用!$G:$G,"*, "&amp;$C9&amp;", *")/$B9*100</f>
        <v>1.1627906976744187</v>
      </c>
      <c r="X9" s="41">
        <f>COUNTIFS(集計用!$P:$P, "*"&amp;X$4&amp;",*",集計用!$G:$G,"*, "&amp;$C9&amp;", *")/$B9*100</f>
        <v>0</v>
      </c>
      <c r="Y9" s="41">
        <f>COUNTIFS(集計用!$P:$P, "*"&amp;Y$4&amp;",*",集計用!$G:$G,"*, "&amp;$C9&amp;", *")/$B9*100</f>
        <v>0</v>
      </c>
      <c r="Z9" s="41">
        <f>COUNTIFS(集計用!$P:$P, "*"&amp;Z$4&amp;",*",集計用!$G:$G,"*, "&amp;$C9&amp;", *")/$B9*100</f>
        <v>0</v>
      </c>
      <c r="AA9" s="41">
        <f>COUNTIFS(集計用!$P:$P, "*"&amp;AA$4&amp;",*",集計用!$G:$G,"*, "&amp;$C9&amp;", *")/$B9*100</f>
        <v>1.1627906976744187</v>
      </c>
      <c r="AB9" s="41">
        <f>COUNTIFS(集計用!$P:$P, "*"&amp;AB$4&amp;",*",集計用!$G:$G,"*, "&amp;$C9&amp;", *")/$B9*100</f>
        <v>0</v>
      </c>
      <c r="AC9" s="41">
        <f>COUNTIFS(集計用!$P:$P, "*"&amp;AC$4&amp;",*",集計用!$G:$G,"*, "&amp;$C9&amp;", *")/$B9*100</f>
        <v>1.1627906976744187</v>
      </c>
      <c r="AD9" s="41">
        <f>COUNTIFS(集計用!$P:$P, "*"&amp;AD$4&amp;",*",集計用!$G:$G,"*, "&amp;$C9&amp;", *")/$B9*100</f>
        <v>1.1627906976744187</v>
      </c>
      <c r="AE9" s="41">
        <f>COUNTIFS(集計用!$P:$P, "*"&amp;AE$4&amp;",*",集計用!$G:$G,"*, "&amp;$C9&amp;", *")/$B9*100</f>
        <v>0</v>
      </c>
      <c r="AF9" s="41">
        <f>COUNTIFS(集計用!$P:$P, "*"&amp;AF$4&amp;",*",集計用!$G:$G,"*, "&amp;$C9&amp;", *")/$B9*100</f>
        <v>0</v>
      </c>
      <c r="AG9" s="41">
        <f>COUNTIFS(集計用!$P:$P, "*"&amp;AG$4&amp;",*",集計用!$G:$G,"*, "&amp;$C9&amp;", *")/$B9*100</f>
        <v>0</v>
      </c>
      <c r="AH9" s="41">
        <f>COUNTIFS(集計用!$P:$P, "*"&amp;AH$4&amp;",*",集計用!$G:$G,"*, "&amp;$C9&amp;", *")/$B9*100</f>
        <v>0</v>
      </c>
      <c r="AI9" s="41">
        <f>COUNTIFS(集計用!$P:$P, "*"&amp;AI$4&amp;",*",集計用!$G:$G,"*, "&amp;$C9&amp;", *")/$B9*100</f>
        <v>0</v>
      </c>
      <c r="AJ9" s="41">
        <f>COUNTIFS(集計用!$P:$P, "*"&amp;AJ$4&amp;",*",集計用!$G:$G,"*, "&amp;$C9&amp;", *")/$B9*100</f>
        <v>0</v>
      </c>
      <c r="AK9" s="41">
        <f>COUNTIFS(集計用!$P:$P, "*"&amp;AK$4&amp;",*",集計用!$G:$G,"*, "&amp;$C9&amp;", *")/$B9*100</f>
        <v>0</v>
      </c>
      <c r="AL9" s="41">
        <f>COUNTIFS(集計用!$P:$P, "*"&amp;AL$4&amp;",*",集計用!$G:$G,"*, "&amp;$C9&amp;", *")/$B9*100</f>
        <v>0</v>
      </c>
      <c r="AM9" s="41">
        <f>COUNTIFS(集計用!$P:$P, "*"&amp;AM$4&amp;",*",集計用!$G:$G,"*, "&amp;$C9&amp;", *")/$B9*100</f>
        <v>0</v>
      </c>
      <c r="AN9" s="41">
        <f>COUNTIFS(集計用!$P:$P, "*"&amp;AN$4&amp;",*",集計用!$G:$G,"*, "&amp;$C9&amp;", *")/$B9*100</f>
        <v>1.1627906976744187</v>
      </c>
      <c r="AO9" s="41">
        <f>COUNTIFS(集計用!$P:$P, "*"&amp;AO$4&amp;",*",集計用!$G:$G,"*, "&amp;$C9&amp;", *")/$B9*100</f>
        <v>0</v>
      </c>
      <c r="AP9" s="41">
        <f>COUNTIFS(集計用!$P:$P, "*"&amp;AP$4&amp;",*",集計用!$G:$G,"*, "&amp;$C9&amp;", *")/$B9*100</f>
        <v>0</v>
      </c>
      <c r="AQ9" s="41">
        <f>COUNTIFS(集計用!$P:$P, "*"&amp;AQ$4&amp;",*",集計用!$G:$G,"*, "&amp;$C9&amp;", *")/$B9*100</f>
        <v>0</v>
      </c>
      <c r="AR9" s="41">
        <f>COUNTIFS(集計用!$P:$P, "*"&amp;AR$4&amp;",*",集計用!$G:$G,"*, "&amp;$C9&amp;", *")/$B9*100</f>
        <v>0</v>
      </c>
      <c r="AS9" s="41">
        <f>COUNTIFS(集計用!$P:$P, "*"&amp;AS$4&amp;",*",集計用!$G:$G,"*, "&amp;$C9&amp;", *")/$B9*100</f>
        <v>0</v>
      </c>
      <c r="AT9" s="41">
        <f>COUNTIFS(集計用!$P:$P, "*"&amp;AT$4&amp;",*",集計用!$G:$G,"*, "&amp;$C9&amp;", *")/$B9*100</f>
        <v>1.1627906976744187</v>
      </c>
      <c r="AU9" s="41">
        <f>COUNTIFS(集計用!$P:$P, "*"&amp;AU$4&amp;",*",集計用!$G:$G,"*, "&amp;$C9&amp;", *")/$B9*100</f>
        <v>1.1627906976744187</v>
      </c>
      <c r="AV9" s="41">
        <f>COUNTIFS(集計用!$P:$P, "*"&amp;AV$4&amp;",*",集計用!$G:$G,"*, "&amp;$C9&amp;", *")/$B9*100</f>
        <v>1.1627906976744187</v>
      </c>
      <c r="AW9" s="41">
        <f>COUNTIFS(集計用!$P:$P, "*"&amp;AW$4&amp;",*",集計用!$G:$G,"*, "&amp;$C9&amp;", *")/$B9*100</f>
        <v>0</v>
      </c>
      <c r="AX9" s="41">
        <f>COUNTIFS(集計用!$P:$P, "*"&amp;AX$4&amp;",*",集計用!$G:$G,"*, "&amp;$C9&amp;", *")/$B9*100</f>
        <v>0</v>
      </c>
      <c r="AY9" s="41">
        <f>COUNTIFS(集計用!$P:$P, "*"&amp;AY$4&amp;",*",集計用!$G:$G,"*, "&amp;$C9&amp;", *")/$B9*100</f>
        <v>0</v>
      </c>
      <c r="AZ9" s="41">
        <f>COUNTIFS(集計用!$P:$P, "*"&amp;AZ$4&amp;",*",集計用!$G:$G,"*, "&amp;$C9&amp;", *")/$B9*100</f>
        <v>0</v>
      </c>
      <c r="BA9" s="41">
        <f>COUNTIFS(集計用!$P:$P, "*"&amp;BA$4&amp;",*",集計用!$G:$G,"*, "&amp;$C9&amp;", *")/$B9*100</f>
        <v>1.1627906976744187</v>
      </c>
      <c r="BB9" s="41">
        <f>COUNTIFS(集計用!$P:$P, "*"&amp;BB$4&amp;",*",集計用!$G:$G,"*, "&amp;$C9&amp;", *")/$B9*100</f>
        <v>0</v>
      </c>
      <c r="BC9" s="41"/>
      <c r="BD9" s="41"/>
      <c r="BE9" s="41"/>
      <c r="BF9" s="41"/>
      <c r="BG9" s="41"/>
      <c r="BH9" s="41"/>
      <c r="BI9" s="41"/>
      <c r="BJ9" s="41"/>
      <c r="BK9" s="41"/>
      <c r="BL9" s="41"/>
      <c r="BM9" s="41"/>
      <c r="BN9" s="41"/>
      <c r="BO9" s="41"/>
      <c r="BP9" s="41"/>
      <c r="BQ9" s="41"/>
      <c r="BR9" s="41"/>
      <c r="BS9" s="41"/>
    </row>
    <row r="10" spans="1:71" ht="15.75" customHeight="1">
      <c r="A10" s="39">
        <v>3</v>
      </c>
      <c r="B10" s="39">
        <f>(COUNTIFS(集計用!$G:$G,"*, "&amp;$C10&amp;",*",集計用!$Q:$Q,"&lt;&gt;無回答"))</f>
        <v>86</v>
      </c>
      <c r="C10" s="42" t="s">
        <v>4</v>
      </c>
      <c r="D10" s="41">
        <f>COUNTIFS(集計用!$P:$P, "*"&amp;D$4&amp;",*",集計用!$G:$G,"*, "&amp;$C10&amp;", *")/$B10*100</f>
        <v>1.1627906976744187</v>
      </c>
      <c r="E10" s="41">
        <f>COUNTIFS(集計用!$P:$P, "*"&amp;E$4&amp;",*",集計用!$G:$G,"*, "&amp;$C10&amp;", *")/$B10*100</f>
        <v>3.4883720930232558</v>
      </c>
      <c r="F10" s="41">
        <f>COUNTIFS(集計用!$P:$P, "*"&amp;F$4&amp;",*",集計用!$G:$G,"*, "&amp;$C10&amp;", *")/$B10*100</f>
        <v>0</v>
      </c>
      <c r="G10" s="41">
        <f>COUNTIFS(集計用!$P:$P, "*"&amp;G$4&amp;",*",集計用!$G:$G,"*, "&amp;$C10&amp;", *")/$B10*100</f>
        <v>1.1627906976744187</v>
      </c>
      <c r="H10" s="41">
        <f>COUNTIFS(集計用!$P:$P, "*"&amp;H$4&amp;",*",集計用!$G:$G,"*, "&amp;$C10&amp;", *")/$B10*100</f>
        <v>0</v>
      </c>
      <c r="I10" s="41">
        <f>COUNTIFS(集計用!$P:$P, "*"&amp;I$4&amp;",*",集計用!$G:$G,"*, "&amp;$C10&amp;", *")/$B10*100</f>
        <v>0</v>
      </c>
      <c r="J10" s="41">
        <f>COUNTIFS(集計用!$P:$P, "*"&amp;J$4&amp;",*",集計用!$G:$G,"*, "&amp;$C10&amp;", *")/$B10*100</f>
        <v>0</v>
      </c>
      <c r="K10" s="41">
        <f>COUNTIFS(集計用!$P:$P, "*"&amp;K$4&amp;",*",集計用!$G:$G,"*, "&amp;$C10&amp;", *")/$B10*100</f>
        <v>1.1627906976744187</v>
      </c>
      <c r="L10" s="41">
        <f>COUNTIFS(集計用!$P:$P, "*"&amp;L$4&amp;",*",集計用!$G:$G,"*, "&amp;$C10&amp;", *")/$B10*100</f>
        <v>0</v>
      </c>
      <c r="M10" s="41">
        <f>COUNTIFS(集計用!$P:$P, "*"&amp;M$4&amp;",*",集計用!$G:$G,"*, "&amp;$C10&amp;", *")/$B10*100</f>
        <v>0</v>
      </c>
      <c r="N10" s="41">
        <f>COUNTIFS(集計用!$P:$P, "*"&amp;N$4&amp;",*",集計用!$G:$G,"*, "&amp;$C10&amp;", *")/$B10*100</f>
        <v>1.1627906976744187</v>
      </c>
      <c r="O10" s="41">
        <f>COUNTIFS(集計用!$P:$P, "*"&amp;O$4&amp;",*",集計用!$G:$G,"*, "&amp;$C10&amp;", *")/$B10*100</f>
        <v>1.1627906976744187</v>
      </c>
      <c r="P10" s="41">
        <f>COUNTIFS(集計用!$P:$P, "*"&amp;P$4&amp;",*",集計用!$G:$G,"*, "&amp;$C10&amp;", *")/$B10*100</f>
        <v>0</v>
      </c>
      <c r="Q10" s="41">
        <f>COUNTIFS(集計用!$P:$P, "*"&amp;Q$4&amp;",*",集計用!$G:$G,"*, "&amp;$C10&amp;", *")/$B10*100</f>
        <v>1.1627906976744187</v>
      </c>
      <c r="R10" s="41">
        <f>COUNTIFS(集計用!$P:$P, "*"&amp;R$4&amp;",*",集計用!$G:$G,"*, "&amp;$C10&amp;", *")/$B10*100</f>
        <v>0</v>
      </c>
      <c r="S10" s="41">
        <f>COUNTIFS(集計用!$P:$P, "*"&amp;S$4&amp;",*",集計用!$G:$G,"*, "&amp;$C10&amp;", *")/$B10*100</f>
        <v>0</v>
      </c>
      <c r="T10" s="41">
        <f>COUNTIFS(集計用!$P:$P, "*"&amp;T$4&amp;",*",集計用!$G:$G,"*, "&amp;$C10&amp;", *")/$B10*100</f>
        <v>0</v>
      </c>
      <c r="U10" s="41">
        <f>COUNTIFS(集計用!$P:$P, "*"&amp;U$4&amp;",*",集計用!$G:$G,"*, "&amp;$C10&amp;", *")/$B10*100</f>
        <v>0</v>
      </c>
      <c r="V10" s="41">
        <f>COUNTIFS(集計用!$P:$P, "*"&amp;V$4&amp;",*",集計用!$G:$G,"*, "&amp;$C10&amp;", *")/$B10*100</f>
        <v>0</v>
      </c>
      <c r="W10" s="41">
        <f>COUNTIFS(集計用!$P:$P, "*"&amp;W$4&amp;",*",集計用!$G:$G,"*, "&amp;$C10&amp;", *")/$B10*100</f>
        <v>0</v>
      </c>
      <c r="X10" s="41">
        <f>COUNTIFS(集計用!$P:$P, "*"&amp;X$4&amp;",*",集計用!$G:$G,"*, "&amp;$C10&amp;", *")/$B10*100</f>
        <v>0</v>
      </c>
      <c r="Y10" s="41">
        <f>COUNTIFS(集計用!$P:$P, "*"&amp;Y$4&amp;",*",集計用!$G:$G,"*, "&amp;$C10&amp;", *")/$B10*100</f>
        <v>1.1627906976744187</v>
      </c>
      <c r="Z10" s="41">
        <f>COUNTIFS(集計用!$P:$P, "*"&amp;Z$4&amp;",*",集計用!$G:$G,"*, "&amp;$C10&amp;", *")/$B10*100</f>
        <v>0</v>
      </c>
      <c r="AA10" s="41">
        <f>COUNTIFS(集計用!$P:$P, "*"&amp;AA$4&amp;",*",集計用!$G:$G,"*, "&amp;$C10&amp;", *")/$B10*100</f>
        <v>0</v>
      </c>
      <c r="AB10" s="41">
        <f>COUNTIFS(集計用!$P:$P, "*"&amp;AB$4&amp;",*",集計用!$G:$G,"*, "&amp;$C10&amp;", *")/$B10*100</f>
        <v>0</v>
      </c>
      <c r="AC10" s="41">
        <f>COUNTIFS(集計用!$P:$P, "*"&amp;AC$4&amp;",*",集計用!$G:$G,"*, "&amp;$C10&amp;", *")/$B10*100</f>
        <v>0</v>
      </c>
      <c r="AD10" s="41">
        <f>COUNTIFS(集計用!$P:$P, "*"&amp;AD$4&amp;",*",集計用!$G:$G,"*, "&amp;$C10&amp;", *")/$B10*100</f>
        <v>0</v>
      </c>
      <c r="AE10" s="41">
        <f>COUNTIFS(集計用!$P:$P, "*"&amp;AE$4&amp;",*",集計用!$G:$G,"*, "&amp;$C10&amp;", *")/$B10*100</f>
        <v>1.1627906976744187</v>
      </c>
      <c r="AF10" s="41">
        <f>COUNTIFS(集計用!$P:$P, "*"&amp;AF$4&amp;",*",集計用!$G:$G,"*, "&amp;$C10&amp;", *")/$B10*100</f>
        <v>0</v>
      </c>
      <c r="AG10" s="41">
        <f>COUNTIFS(集計用!$P:$P, "*"&amp;AG$4&amp;",*",集計用!$G:$G,"*, "&amp;$C10&amp;", *")/$B10*100</f>
        <v>0</v>
      </c>
      <c r="AH10" s="41">
        <f>COUNTIFS(集計用!$P:$P, "*"&amp;AH$4&amp;",*",集計用!$G:$G,"*, "&amp;$C10&amp;", *")/$B10*100</f>
        <v>0</v>
      </c>
      <c r="AI10" s="41">
        <f>COUNTIFS(集計用!$P:$P, "*"&amp;AI$4&amp;",*",集計用!$G:$G,"*, "&amp;$C10&amp;", *")/$B10*100</f>
        <v>1.1627906976744187</v>
      </c>
      <c r="AJ10" s="41">
        <f>COUNTIFS(集計用!$P:$P, "*"&amp;AJ$4&amp;",*",集計用!$G:$G,"*, "&amp;$C10&amp;", *")/$B10*100</f>
        <v>0</v>
      </c>
      <c r="AK10" s="41">
        <f>COUNTIFS(集計用!$P:$P, "*"&amp;AK$4&amp;",*",集計用!$G:$G,"*, "&amp;$C10&amp;", *")/$B10*100</f>
        <v>0</v>
      </c>
      <c r="AL10" s="41">
        <f>COUNTIFS(集計用!$P:$P, "*"&amp;AL$4&amp;",*",集計用!$G:$G,"*, "&amp;$C10&amp;", *")/$B10*100</f>
        <v>0</v>
      </c>
      <c r="AM10" s="41">
        <f>COUNTIFS(集計用!$P:$P, "*"&amp;AM$4&amp;",*",集計用!$G:$G,"*, "&amp;$C10&amp;", *")/$B10*100</f>
        <v>0</v>
      </c>
      <c r="AN10" s="41">
        <f>COUNTIFS(集計用!$P:$P, "*"&amp;AN$4&amp;",*",集計用!$G:$G,"*, "&amp;$C10&amp;", *")/$B10*100</f>
        <v>0</v>
      </c>
      <c r="AO10" s="41">
        <f>COUNTIFS(集計用!$P:$P, "*"&amp;AO$4&amp;",*",集計用!$G:$G,"*, "&amp;$C10&amp;", *")/$B10*100</f>
        <v>0</v>
      </c>
      <c r="AP10" s="41">
        <f>COUNTIFS(集計用!$P:$P, "*"&amp;AP$4&amp;",*",集計用!$G:$G,"*, "&amp;$C10&amp;", *")/$B10*100</f>
        <v>0</v>
      </c>
      <c r="AQ10" s="41">
        <f>COUNTIFS(集計用!$P:$P, "*"&amp;AQ$4&amp;",*",集計用!$G:$G,"*, "&amp;$C10&amp;", *")/$B10*100</f>
        <v>0</v>
      </c>
      <c r="AR10" s="41">
        <f>COUNTIFS(集計用!$P:$P, "*"&amp;AR$4&amp;",*",集計用!$G:$G,"*, "&amp;$C10&amp;", *")/$B10*100</f>
        <v>0</v>
      </c>
      <c r="AS10" s="41">
        <f>COUNTIFS(集計用!$P:$P, "*"&amp;AS$4&amp;",*",集計用!$G:$G,"*, "&amp;$C10&amp;", *")/$B10*100</f>
        <v>0</v>
      </c>
      <c r="AT10" s="41">
        <f>COUNTIFS(集計用!$P:$P, "*"&amp;AT$4&amp;",*",集計用!$G:$G,"*, "&amp;$C10&amp;", *")/$B10*100</f>
        <v>0</v>
      </c>
      <c r="AU10" s="41">
        <f>COUNTIFS(集計用!$P:$P, "*"&amp;AU$4&amp;",*",集計用!$G:$G,"*, "&amp;$C10&amp;", *")/$B10*100</f>
        <v>0</v>
      </c>
      <c r="AV10" s="41">
        <f>COUNTIFS(集計用!$P:$P, "*"&amp;AV$4&amp;",*",集計用!$G:$G,"*, "&amp;$C10&amp;", *")/$B10*100</f>
        <v>0</v>
      </c>
      <c r="AW10" s="41">
        <f>COUNTIFS(集計用!$P:$P, "*"&amp;AW$4&amp;",*",集計用!$G:$G,"*, "&amp;$C10&amp;", *")/$B10*100</f>
        <v>0</v>
      </c>
      <c r="AX10" s="41">
        <f>COUNTIFS(集計用!$P:$P, "*"&amp;AX$4&amp;",*",集計用!$G:$G,"*, "&amp;$C10&amp;", *")/$B10*100</f>
        <v>0</v>
      </c>
      <c r="AY10" s="41">
        <f>COUNTIFS(集計用!$P:$P, "*"&amp;AY$4&amp;",*",集計用!$G:$G,"*, "&amp;$C10&amp;", *")/$B10*100</f>
        <v>0</v>
      </c>
      <c r="AZ10" s="41">
        <f>COUNTIFS(集計用!$P:$P, "*"&amp;AZ$4&amp;",*",集計用!$G:$G,"*, "&amp;$C10&amp;", *")/$B10*100</f>
        <v>0</v>
      </c>
      <c r="BA10" s="41">
        <f>COUNTIFS(集計用!$P:$P, "*"&amp;BA$4&amp;",*",集計用!$G:$G,"*, "&amp;$C10&amp;", *")/$B10*100</f>
        <v>0</v>
      </c>
      <c r="BB10" s="41">
        <f>COUNTIFS(集計用!$P:$P, "*"&amp;BB$4&amp;",*",集計用!$G:$G,"*, "&amp;$C10&amp;", *")/$B10*100</f>
        <v>0</v>
      </c>
      <c r="BC10" s="41"/>
      <c r="BD10" s="41"/>
      <c r="BE10" s="41"/>
      <c r="BF10" s="41"/>
      <c r="BG10" s="41"/>
      <c r="BH10" s="41"/>
      <c r="BI10" s="41"/>
      <c r="BJ10" s="41"/>
      <c r="BK10" s="41"/>
      <c r="BL10" s="41"/>
      <c r="BM10" s="41"/>
      <c r="BN10" s="41"/>
      <c r="BO10" s="41"/>
      <c r="BP10" s="41"/>
      <c r="BQ10" s="41"/>
      <c r="BR10" s="41"/>
      <c r="BS10" s="41"/>
    </row>
    <row r="11" spans="1:71" ht="15.75" customHeight="1">
      <c r="A11" s="39">
        <v>4</v>
      </c>
      <c r="B11" s="39">
        <f>(COUNTIFS(集計用!$G:$G,"*, "&amp;$C11&amp;",*",集計用!$Q:$Q,"&lt;&gt;無回答"))</f>
        <v>75</v>
      </c>
      <c r="C11" s="42" t="s">
        <v>5</v>
      </c>
      <c r="D11" s="41">
        <f>COUNTIFS(集計用!$P:$P, "*"&amp;D$4&amp;",*",集計用!$G:$G,"*, "&amp;$C11&amp;", *")/$B11*100</f>
        <v>1.3333333333333335</v>
      </c>
      <c r="E11" s="41">
        <f>COUNTIFS(集計用!$P:$P, "*"&amp;E$4&amp;",*",集計用!$G:$G,"*, "&amp;$C11&amp;", *")/$B11*100</f>
        <v>2.666666666666667</v>
      </c>
      <c r="F11" s="41">
        <f>COUNTIFS(集計用!$P:$P, "*"&amp;F$4&amp;",*",集計用!$G:$G,"*, "&amp;$C11&amp;", *")/$B11*100</f>
        <v>2.666666666666667</v>
      </c>
      <c r="G11" s="41">
        <f>COUNTIFS(集計用!$P:$P, "*"&amp;G$4&amp;",*",集計用!$G:$G,"*, "&amp;$C11&amp;", *")/$B11*100</f>
        <v>4</v>
      </c>
      <c r="H11" s="41">
        <f>COUNTIFS(集計用!$P:$P, "*"&amp;H$4&amp;",*",集計用!$G:$G,"*, "&amp;$C11&amp;", *")/$B11*100</f>
        <v>0</v>
      </c>
      <c r="I11" s="41">
        <f>COUNTIFS(集計用!$P:$P, "*"&amp;I$4&amp;",*",集計用!$G:$G,"*, "&amp;$C11&amp;", *")/$B11*100</f>
        <v>1.3333333333333335</v>
      </c>
      <c r="J11" s="41">
        <f>COUNTIFS(集計用!$P:$P, "*"&amp;J$4&amp;",*",集計用!$G:$G,"*, "&amp;$C11&amp;", *")/$B11*100</f>
        <v>0</v>
      </c>
      <c r="K11" s="41">
        <f>COUNTIFS(集計用!$P:$P, "*"&amp;K$4&amp;",*",集計用!$G:$G,"*, "&amp;$C11&amp;", *")/$B11*100</f>
        <v>0</v>
      </c>
      <c r="L11" s="41">
        <f>COUNTIFS(集計用!$P:$P, "*"&amp;L$4&amp;",*",集計用!$G:$G,"*, "&amp;$C11&amp;", *")/$B11*100</f>
        <v>0</v>
      </c>
      <c r="M11" s="41">
        <f>COUNTIFS(集計用!$P:$P, "*"&amp;M$4&amp;",*",集計用!$G:$G,"*, "&amp;$C11&amp;", *")/$B11*100</f>
        <v>0</v>
      </c>
      <c r="N11" s="41">
        <f>COUNTIFS(集計用!$P:$P, "*"&amp;N$4&amp;",*",集計用!$G:$G,"*, "&amp;$C11&amp;", *")/$B11*100</f>
        <v>0</v>
      </c>
      <c r="O11" s="41">
        <f>COUNTIFS(集計用!$P:$P, "*"&amp;O$4&amp;",*",集計用!$G:$G,"*, "&amp;$C11&amp;", *")/$B11*100</f>
        <v>1.3333333333333335</v>
      </c>
      <c r="P11" s="41">
        <f>COUNTIFS(集計用!$P:$P, "*"&amp;P$4&amp;",*",集計用!$G:$G,"*, "&amp;$C11&amp;", *")/$B11*100</f>
        <v>0</v>
      </c>
      <c r="Q11" s="41">
        <f>COUNTIFS(集計用!$P:$P, "*"&amp;Q$4&amp;",*",集計用!$G:$G,"*, "&amp;$C11&amp;", *")/$B11*100</f>
        <v>0</v>
      </c>
      <c r="R11" s="41">
        <f>COUNTIFS(集計用!$P:$P, "*"&amp;R$4&amp;",*",集計用!$G:$G,"*, "&amp;$C11&amp;", *")/$B11*100</f>
        <v>1.3333333333333335</v>
      </c>
      <c r="S11" s="41">
        <f>COUNTIFS(集計用!$P:$P, "*"&amp;S$4&amp;",*",集計用!$G:$G,"*, "&amp;$C11&amp;", *")/$B11*100</f>
        <v>0</v>
      </c>
      <c r="T11" s="41">
        <f>COUNTIFS(集計用!$P:$P, "*"&amp;T$4&amp;",*",集計用!$G:$G,"*, "&amp;$C11&amp;", *")/$B11*100</f>
        <v>1.3333333333333335</v>
      </c>
      <c r="U11" s="41">
        <f>COUNTIFS(集計用!$P:$P, "*"&amp;U$4&amp;",*",集計用!$G:$G,"*, "&amp;$C11&amp;", *")/$B11*100</f>
        <v>0</v>
      </c>
      <c r="V11" s="41">
        <f>COUNTIFS(集計用!$P:$P, "*"&amp;V$4&amp;",*",集計用!$G:$G,"*, "&amp;$C11&amp;", *")/$B11*100</f>
        <v>1.3333333333333335</v>
      </c>
      <c r="W11" s="41">
        <f>COUNTIFS(集計用!$P:$P, "*"&amp;W$4&amp;",*",集計用!$G:$G,"*, "&amp;$C11&amp;", *")/$B11*100</f>
        <v>1.3333333333333335</v>
      </c>
      <c r="X11" s="41">
        <f>COUNTIFS(集計用!$P:$P, "*"&amp;X$4&amp;",*",集計用!$G:$G,"*, "&amp;$C11&amp;", *")/$B11*100</f>
        <v>0</v>
      </c>
      <c r="Y11" s="41">
        <f>COUNTIFS(集計用!$P:$P, "*"&amp;Y$4&amp;",*",集計用!$G:$G,"*, "&amp;$C11&amp;", *")/$B11*100</f>
        <v>0</v>
      </c>
      <c r="Z11" s="41">
        <f>COUNTIFS(集計用!$P:$P, "*"&amp;Z$4&amp;",*",集計用!$G:$G,"*, "&amp;$C11&amp;", *")/$B11*100</f>
        <v>0</v>
      </c>
      <c r="AA11" s="41">
        <f>COUNTIFS(集計用!$P:$P, "*"&amp;AA$4&amp;",*",集計用!$G:$G,"*, "&amp;$C11&amp;", *")/$B11*100</f>
        <v>1.3333333333333335</v>
      </c>
      <c r="AB11" s="41">
        <f>COUNTIFS(集計用!$P:$P, "*"&amp;AB$4&amp;",*",集計用!$G:$G,"*, "&amp;$C11&amp;", *")/$B11*100</f>
        <v>0</v>
      </c>
      <c r="AC11" s="41">
        <f>COUNTIFS(集計用!$P:$P, "*"&amp;AC$4&amp;",*",集計用!$G:$G,"*, "&amp;$C11&amp;", *")/$B11*100</f>
        <v>1.3333333333333335</v>
      </c>
      <c r="AD11" s="41">
        <f>COUNTIFS(集計用!$P:$P, "*"&amp;AD$4&amp;",*",集計用!$G:$G,"*, "&amp;$C11&amp;", *")/$B11*100</f>
        <v>1.3333333333333335</v>
      </c>
      <c r="AE11" s="41">
        <f>COUNTIFS(集計用!$P:$P, "*"&amp;AE$4&amp;",*",集計用!$G:$G,"*, "&amp;$C11&amp;", *")/$B11*100</f>
        <v>0</v>
      </c>
      <c r="AF11" s="41">
        <f>COUNTIFS(集計用!$P:$P, "*"&amp;AF$4&amp;",*",集計用!$G:$G,"*, "&amp;$C11&amp;", *")/$B11*100</f>
        <v>0</v>
      </c>
      <c r="AG11" s="41">
        <f>COUNTIFS(集計用!$P:$P, "*"&amp;AG$4&amp;",*",集計用!$G:$G,"*, "&amp;$C11&amp;", *")/$B11*100</f>
        <v>0</v>
      </c>
      <c r="AH11" s="41">
        <f>COUNTIFS(集計用!$P:$P, "*"&amp;AH$4&amp;",*",集計用!$G:$G,"*, "&amp;$C11&amp;", *")/$B11*100</f>
        <v>0</v>
      </c>
      <c r="AI11" s="41">
        <f>COUNTIFS(集計用!$P:$P, "*"&amp;AI$4&amp;",*",集計用!$G:$G,"*, "&amp;$C11&amp;", *")/$B11*100</f>
        <v>0</v>
      </c>
      <c r="AJ11" s="41">
        <f>COUNTIFS(集計用!$P:$P, "*"&amp;AJ$4&amp;",*",集計用!$G:$G,"*, "&amp;$C11&amp;", *")/$B11*100</f>
        <v>0</v>
      </c>
      <c r="AK11" s="41">
        <f>COUNTIFS(集計用!$P:$P, "*"&amp;AK$4&amp;",*",集計用!$G:$G,"*, "&amp;$C11&amp;", *")/$B11*100</f>
        <v>0</v>
      </c>
      <c r="AL11" s="41">
        <f>COUNTIFS(集計用!$P:$P, "*"&amp;AL$4&amp;",*",集計用!$G:$G,"*, "&amp;$C11&amp;", *")/$B11*100</f>
        <v>0</v>
      </c>
      <c r="AM11" s="41">
        <f>COUNTIFS(集計用!$P:$P, "*"&amp;AM$4&amp;",*",集計用!$G:$G,"*, "&amp;$C11&amp;", *")/$B11*100</f>
        <v>1.3333333333333335</v>
      </c>
      <c r="AN11" s="41">
        <f>COUNTIFS(集計用!$P:$P, "*"&amp;AN$4&amp;",*",集計用!$G:$G,"*, "&amp;$C11&amp;", *")/$B11*100</f>
        <v>0</v>
      </c>
      <c r="AO11" s="41">
        <f>COUNTIFS(集計用!$P:$P, "*"&amp;AO$4&amp;",*",集計用!$G:$G,"*, "&amp;$C11&amp;", *")/$B11*100</f>
        <v>0</v>
      </c>
      <c r="AP11" s="41">
        <f>COUNTIFS(集計用!$P:$P, "*"&amp;AP$4&amp;",*",集計用!$G:$G,"*, "&amp;$C11&amp;", *")/$B11*100</f>
        <v>0</v>
      </c>
      <c r="AQ11" s="41">
        <f>COUNTIFS(集計用!$P:$P, "*"&amp;AQ$4&amp;",*",集計用!$G:$G,"*, "&amp;$C11&amp;", *")/$B11*100</f>
        <v>0</v>
      </c>
      <c r="AR11" s="41">
        <f>COUNTIFS(集計用!$P:$P, "*"&amp;AR$4&amp;",*",集計用!$G:$G,"*, "&amp;$C11&amp;", *")/$B11*100</f>
        <v>0</v>
      </c>
      <c r="AS11" s="41">
        <f>COUNTIFS(集計用!$P:$P, "*"&amp;AS$4&amp;",*",集計用!$G:$G,"*, "&amp;$C11&amp;", *")/$B11*100</f>
        <v>0</v>
      </c>
      <c r="AT11" s="41">
        <f>COUNTIFS(集計用!$P:$P, "*"&amp;AT$4&amp;",*",集計用!$G:$G,"*, "&amp;$C11&amp;", *")/$B11*100</f>
        <v>0</v>
      </c>
      <c r="AU11" s="41">
        <f>COUNTIFS(集計用!$P:$P, "*"&amp;AU$4&amp;",*",集計用!$G:$G,"*, "&amp;$C11&amp;", *")/$B11*100</f>
        <v>0</v>
      </c>
      <c r="AV11" s="41">
        <f>COUNTIFS(集計用!$P:$P, "*"&amp;AV$4&amp;",*",集計用!$G:$G,"*, "&amp;$C11&amp;", *")/$B11*100</f>
        <v>1.3333333333333335</v>
      </c>
      <c r="AW11" s="41">
        <f>COUNTIFS(集計用!$P:$P, "*"&amp;AW$4&amp;",*",集計用!$G:$G,"*, "&amp;$C11&amp;", *")/$B11*100</f>
        <v>0</v>
      </c>
      <c r="AX11" s="41">
        <f>COUNTIFS(集計用!$P:$P, "*"&amp;AX$4&amp;",*",集計用!$G:$G,"*, "&amp;$C11&amp;", *")/$B11*100</f>
        <v>0</v>
      </c>
      <c r="AY11" s="41">
        <f>COUNTIFS(集計用!$P:$P, "*"&amp;AY$4&amp;",*",集計用!$G:$G,"*, "&amp;$C11&amp;", *")/$B11*100</f>
        <v>0</v>
      </c>
      <c r="AZ11" s="41">
        <f>COUNTIFS(集計用!$P:$P, "*"&amp;AZ$4&amp;",*",集計用!$G:$G,"*, "&amp;$C11&amp;", *")/$B11*100</f>
        <v>0</v>
      </c>
      <c r="BA11" s="41">
        <f>COUNTIFS(集計用!$P:$P, "*"&amp;BA$4&amp;",*",集計用!$G:$G,"*, "&amp;$C11&amp;", *")/$B11*100</f>
        <v>0</v>
      </c>
      <c r="BB11" s="41">
        <f>COUNTIFS(集計用!$P:$P, "*"&amp;BB$4&amp;",*",集計用!$G:$G,"*, "&amp;$C11&amp;", *")/$B11*100</f>
        <v>0</v>
      </c>
      <c r="BC11" s="41"/>
      <c r="BD11" s="41"/>
      <c r="BE11" s="41"/>
      <c r="BF11" s="41"/>
      <c r="BG11" s="41"/>
      <c r="BH11" s="41"/>
      <c r="BI11" s="41"/>
      <c r="BJ11" s="41"/>
      <c r="BK11" s="41"/>
      <c r="BL11" s="41"/>
      <c r="BM11" s="41"/>
      <c r="BN11" s="41"/>
      <c r="BO11" s="41"/>
      <c r="BP11" s="41"/>
      <c r="BQ11" s="41"/>
      <c r="BR11" s="41"/>
      <c r="BS11" s="41"/>
    </row>
    <row r="12" spans="1:71" ht="15.75" customHeight="1">
      <c r="A12" s="39">
        <v>1</v>
      </c>
      <c r="B12" s="39">
        <f>(COUNTIFS(集計用!$G:$G,"*, "&amp;$C12&amp;",*",集計用!$Q:$Q,"&lt;&gt;無回答"))</f>
        <v>74</v>
      </c>
      <c r="C12" s="42" t="s">
        <v>6</v>
      </c>
      <c r="D12" s="41">
        <f>COUNTIFS(集計用!$P:$P, "*"&amp;D$4&amp;",*",集計用!$G:$G,"*, "&amp;$C12&amp;", *")/$B12*100</f>
        <v>2.7027027027027026</v>
      </c>
      <c r="E12" s="41">
        <f>COUNTIFS(集計用!$P:$P, "*"&amp;E$4&amp;",*",集計用!$G:$G,"*, "&amp;$C12&amp;", *")/$B12*100</f>
        <v>2.7027027027027026</v>
      </c>
      <c r="F12" s="41">
        <f>COUNTIFS(集計用!$P:$P, "*"&amp;F$4&amp;",*",集計用!$G:$G,"*, "&amp;$C12&amp;", *")/$B12*100</f>
        <v>1.3513513513513513</v>
      </c>
      <c r="G12" s="41">
        <f>COUNTIFS(集計用!$P:$P, "*"&amp;G$4&amp;",*",集計用!$G:$G,"*, "&amp;$C12&amp;", *")/$B12*100</f>
        <v>1.3513513513513513</v>
      </c>
      <c r="H12" s="41">
        <f>COUNTIFS(集計用!$P:$P, "*"&amp;H$4&amp;",*",集計用!$G:$G,"*, "&amp;$C12&amp;", *")/$B12*100</f>
        <v>0</v>
      </c>
      <c r="I12" s="41">
        <f>COUNTIFS(集計用!$P:$P, "*"&amp;I$4&amp;",*",集計用!$G:$G,"*, "&amp;$C12&amp;", *")/$B12*100</f>
        <v>1.3513513513513513</v>
      </c>
      <c r="J12" s="41">
        <f>COUNTIFS(集計用!$P:$P, "*"&amp;J$4&amp;",*",集計用!$G:$G,"*, "&amp;$C12&amp;", *")/$B12*100</f>
        <v>0</v>
      </c>
      <c r="K12" s="41">
        <f>COUNTIFS(集計用!$P:$P, "*"&amp;K$4&amp;",*",集計用!$G:$G,"*, "&amp;$C12&amp;", *")/$B12*100</f>
        <v>0</v>
      </c>
      <c r="L12" s="41">
        <f>COUNTIFS(集計用!$P:$P, "*"&amp;L$4&amp;",*",集計用!$G:$G,"*, "&amp;$C12&amp;", *")/$B12*100</f>
        <v>0</v>
      </c>
      <c r="M12" s="41">
        <f>COUNTIFS(集計用!$P:$P, "*"&amp;M$4&amp;",*",集計用!$G:$G,"*, "&amp;$C12&amp;", *")/$B12*100</f>
        <v>0</v>
      </c>
      <c r="N12" s="41">
        <f>COUNTIFS(集計用!$P:$P, "*"&amp;N$4&amp;",*",集計用!$G:$G,"*, "&amp;$C12&amp;", *")/$B12*100</f>
        <v>0</v>
      </c>
      <c r="O12" s="41">
        <f>COUNTIFS(集計用!$P:$P, "*"&amp;O$4&amp;",*",集計用!$G:$G,"*, "&amp;$C12&amp;", *")/$B12*100</f>
        <v>0</v>
      </c>
      <c r="P12" s="41">
        <f>COUNTIFS(集計用!$P:$P, "*"&amp;P$4&amp;",*",集計用!$G:$G,"*, "&amp;$C12&amp;", *")/$B12*100</f>
        <v>0</v>
      </c>
      <c r="Q12" s="41">
        <f>COUNTIFS(集計用!$P:$P, "*"&amp;Q$4&amp;",*",集計用!$G:$G,"*, "&amp;$C12&amp;", *")/$B12*100</f>
        <v>0</v>
      </c>
      <c r="R12" s="41">
        <f>COUNTIFS(集計用!$P:$P, "*"&amp;R$4&amp;",*",集計用!$G:$G,"*, "&amp;$C12&amp;", *")/$B12*100</f>
        <v>0</v>
      </c>
      <c r="S12" s="41">
        <f>COUNTIFS(集計用!$P:$P, "*"&amp;S$4&amp;",*",集計用!$G:$G,"*, "&amp;$C12&amp;", *")/$B12*100</f>
        <v>0</v>
      </c>
      <c r="T12" s="41">
        <f>COUNTIFS(集計用!$P:$P, "*"&amp;T$4&amp;",*",集計用!$G:$G,"*, "&amp;$C12&amp;", *")/$B12*100</f>
        <v>1.3513513513513513</v>
      </c>
      <c r="U12" s="41">
        <f>COUNTIFS(集計用!$P:$P, "*"&amp;U$4&amp;",*",集計用!$G:$G,"*, "&amp;$C12&amp;", *")/$B12*100</f>
        <v>0</v>
      </c>
      <c r="V12" s="41">
        <f>COUNTIFS(集計用!$P:$P, "*"&amp;V$4&amp;",*",集計用!$G:$G,"*, "&amp;$C12&amp;", *")/$B12*100</f>
        <v>1.3513513513513513</v>
      </c>
      <c r="W12" s="41">
        <f>COUNTIFS(集計用!$P:$P, "*"&amp;W$4&amp;",*",集計用!$G:$G,"*, "&amp;$C12&amp;", *")/$B12*100</f>
        <v>1.3513513513513513</v>
      </c>
      <c r="X12" s="41">
        <f>COUNTIFS(集計用!$P:$P, "*"&amp;X$4&amp;",*",集計用!$G:$G,"*, "&amp;$C12&amp;", *")/$B12*100</f>
        <v>0</v>
      </c>
      <c r="Y12" s="41">
        <f>COUNTIFS(集計用!$P:$P, "*"&amp;Y$4&amp;",*",集計用!$G:$G,"*, "&amp;$C12&amp;", *")/$B12*100</f>
        <v>0</v>
      </c>
      <c r="Z12" s="41">
        <f>COUNTIFS(集計用!$P:$P, "*"&amp;Z$4&amp;",*",集計用!$G:$G,"*, "&amp;$C12&amp;", *")/$B12*100</f>
        <v>0</v>
      </c>
      <c r="AA12" s="41">
        <f>COUNTIFS(集計用!$P:$P, "*"&amp;AA$4&amp;",*",集計用!$G:$G,"*, "&amp;$C12&amp;", *")/$B12*100</f>
        <v>1.3513513513513513</v>
      </c>
      <c r="AB12" s="41">
        <f>COUNTIFS(集計用!$P:$P, "*"&amp;AB$4&amp;",*",集計用!$G:$G,"*, "&amp;$C12&amp;", *")/$B12*100</f>
        <v>0</v>
      </c>
      <c r="AC12" s="41">
        <f>COUNTIFS(集計用!$P:$P, "*"&amp;AC$4&amp;",*",集計用!$G:$G,"*, "&amp;$C12&amp;", *")/$B12*100</f>
        <v>1.3513513513513513</v>
      </c>
      <c r="AD12" s="41">
        <f>COUNTIFS(集計用!$P:$P, "*"&amp;AD$4&amp;",*",集計用!$G:$G,"*, "&amp;$C12&amp;", *")/$B12*100</f>
        <v>1.3513513513513513</v>
      </c>
      <c r="AE12" s="41">
        <f>COUNTIFS(集計用!$P:$P, "*"&amp;AE$4&amp;",*",集計用!$G:$G,"*, "&amp;$C12&amp;", *")/$B12*100</f>
        <v>0</v>
      </c>
      <c r="AF12" s="41">
        <f>COUNTIFS(集計用!$P:$P, "*"&amp;AF$4&amp;",*",集計用!$G:$G,"*, "&amp;$C12&amp;", *")/$B12*100</f>
        <v>1.3513513513513513</v>
      </c>
      <c r="AG12" s="41">
        <f>COUNTIFS(集計用!$P:$P, "*"&amp;AG$4&amp;",*",集計用!$G:$G,"*, "&amp;$C12&amp;", *")/$B12*100</f>
        <v>0</v>
      </c>
      <c r="AH12" s="41">
        <f>COUNTIFS(集計用!$P:$P, "*"&amp;AH$4&amp;",*",集計用!$G:$G,"*, "&amp;$C12&amp;", *")/$B12*100</f>
        <v>0</v>
      </c>
      <c r="AI12" s="41">
        <f>COUNTIFS(集計用!$P:$P, "*"&amp;AI$4&amp;",*",集計用!$G:$G,"*, "&amp;$C12&amp;", *")/$B12*100</f>
        <v>0</v>
      </c>
      <c r="AJ12" s="41">
        <f>COUNTIFS(集計用!$P:$P, "*"&amp;AJ$4&amp;",*",集計用!$G:$G,"*, "&amp;$C12&amp;", *")/$B12*100</f>
        <v>0</v>
      </c>
      <c r="AK12" s="41">
        <f>COUNTIFS(集計用!$P:$P, "*"&amp;AK$4&amp;",*",集計用!$G:$G,"*, "&amp;$C12&amp;", *")/$B12*100</f>
        <v>0</v>
      </c>
      <c r="AL12" s="41">
        <f>COUNTIFS(集計用!$P:$P, "*"&amp;AL$4&amp;",*",集計用!$G:$G,"*, "&amp;$C12&amp;", *")/$B12*100</f>
        <v>0</v>
      </c>
      <c r="AM12" s="41">
        <f>COUNTIFS(集計用!$P:$P, "*"&amp;AM$4&amp;",*",集計用!$G:$G,"*, "&amp;$C12&amp;", *")/$B12*100</f>
        <v>0</v>
      </c>
      <c r="AN12" s="41">
        <f>COUNTIFS(集計用!$P:$P, "*"&amp;AN$4&amp;",*",集計用!$G:$G,"*, "&amp;$C12&amp;", *")/$B12*100</f>
        <v>0</v>
      </c>
      <c r="AO12" s="41">
        <f>COUNTIFS(集計用!$P:$P, "*"&amp;AO$4&amp;",*",集計用!$G:$G,"*, "&amp;$C12&amp;", *")/$B12*100</f>
        <v>0</v>
      </c>
      <c r="AP12" s="41">
        <f>COUNTIFS(集計用!$P:$P, "*"&amp;AP$4&amp;",*",集計用!$G:$G,"*, "&amp;$C12&amp;", *")/$B12*100</f>
        <v>0</v>
      </c>
      <c r="AQ12" s="41">
        <f>COUNTIFS(集計用!$P:$P, "*"&amp;AQ$4&amp;",*",集計用!$G:$G,"*, "&amp;$C12&amp;", *")/$B12*100</f>
        <v>0</v>
      </c>
      <c r="AR12" s="41">
        <f>COUNTIFS(集計用!$P:$P, "*"&amp;AR$4&amp;",*",集計用!$G:$G,"*, "&amp;$C12&amp;", *")/$B12*100</f>
        <v>0</v>
      </c>
      <c r="AS12" s="41">
        <f>COUNTIFS(集計用!$P:$P, "*"&amp;AS$4&amp;",*",集計用!$G:$G,"*, "&amp;$C12&amp;", *")/$B12*100</f>
        <v>0</v>
      </c>
      <c r="AT12" s="41">
        <f>COUNTIFS(集計用!$P:$P, "*"&amp;AT$4&amp;",*",集計用!$G:$G,"*, "&amp;$C12&amp;", *")/$B12*100</f>
        <v>0</v>
      </c>
      <c r="AU12" s="41">
        <f>COUNTIFS(集計用!$P:$P, "*"&amp;AU$4&amp;",*",集計用!$G:$G,"*, "&amp;$C12&amp;", *")/$B12*100</f>
        <v>0</v>
      </c>
      <c r="AV12" s="41">
        <f>COUNTIFS(集計用!$P:$P, "*"&amp;AV$4&amp;",*",集計用!$G:$G,"*, "&amp;$C12&amp;", *")/$B12*100</f>
        <v>1.3513513513513513</v>
      </c>
      <c r="AW12" s="41">
        <f>COUNTIFS(集計用!$P:$P, "*"&amp;AW$4&amp;",*",集計用!$G:$G,"*, "&amp;$C12&amp;", *")/$B12*100</f>
        <v>0</v>
      </c>
      <c r="AX12" s="41">
        <f>COUNTIFS(集計用!$P:$P, "*"&amp;AX$4&amp;",*",集計用!$G:$G,"*, "&amp;$C12&amp;", *")/$B12*100</f>
        <v>0</v>
      </c>
      <c r="AY12" s="41">
        <f>COUNTIFS(集計用!$P:$P, "*"&amp;AY$4&amp;",*",集計用!$G:$G,"*, "&amp;$C12&amp;", *")/$B12*100</f>
        <v>0</v>
      </c>
      <c r="AZ12" s="41">
        <f>COUNTIFS(集計用!$P:$P, "*"&amp;AZ$4&amp;",*",集計用!$G:$G,"*, "&amp;$C12&amp;", *")/$B12*100</f>
        <v>0</v>
      </c>
      <c r="BA12" s="41">
        <f>COUNTIFS(集計用!$P:$P, "*"&amp;BA$4&amp;",*",集計用!$G:$G,"*, "&amp;$C12&amp;", *")/$B12*100</f>
        <v>0</v>
      </c>
      <c r="BB12" s="41">
        <f>COUNTIFS(集計用!$P:$P, "*"&amp;BB$4&amp;",*",集計用!$G:$G,"*, "&amp;$C12&amp;", *")/$B12*100</f>
        <v>0</v>
      </c>
      <c r="BC12" s="41"/>
      <c r="BD12" s="41"/>
      <c r="BE12" s="41"/>
      <c r="BF12" s="41"/>
      <c r="BG12" s="41"/>
      <c r="BH12" s="41"/>
      <c r="BI12" s="41"/>
      <c r="BJ12" s="41"/>
      <c r="BK12" s="41"/>
      <c r="BL12" s="41"/>
      <c r="BM12" s="41"/>
      <c r="BN12" s="41"/>
      <c r="BO12" s="41"/>
      <c r="BP12" s="41"/>
      <c r="BQ12" s="41"/>
      <c r="BR12" s="41"/>
      <c r="BS12" s="41"/>
    </row>
    <row r="13" spans="1:71" ht="15.75" customHeight="1">
      <c r="A13" s="39">
        <v>1</v>
      </c>
      <c r="B13" s="39">
        <f>(COUNTIFS(集計用!$G:$G,"*, "&amp;$C13&amp;",*",集計用!$Q:$Q,"&lt;&gt;無回答"))</f>
        <v>71</v>
      </c>
      <c r="C13" s="42" t="s">
        <v>7</v>
      </c>
      <c r="D13" s="41">
        <f>COUNTIFS(集計用!$P:$P, "*"&amp;D$4&amp;",*",集計用!$G:$G,"*, "&amp;$C13&amp;", *")/$B13*100</f>
        <v>1.4084507042253522</v>
      </c>
      <c r="E13" s="41">
        <f>COUNTIFS(集計用!$P:$P, "*"&amp;E$4&amp;",*",集計用!$G:$G,"*, "&amp;$C13&amp;", *")/$B13*100</f>
        <v>4.225352112676056</v>
      </c>
      <c r="F13" s="41">
        <f>COUNTIFS(集計用!$P:$P, "*"&amp;F$4&amp;",*",集計用!$G:$G,"*, "&amp;$C13&amp;", *")/$B13*100</f>
        <v>1.4084507042253522</v>
      </c>
      <c r="G13" s="41">
        <f>COUNTIFS(集計用!$P:$P, "*"&amp;G$4&amp;",*",集計用!$G:$G,"*, "&amp;$C13&amp;", *")/$B13*100</f>
        <v>0</v>
      </c>
      <c r="H13" s="41">
        <f>COUNTIFS(集計用!$P:$P, "*"&amp;H$4&amp;",*",集計用!$G:$G,"*, "&amp;$C13&amp;", *")/$B13*100</f>
        <v>1.4084507042253522</v>
      </c>
      <c r="I13" s="41">
        <f>COUNTIFS(集計用!$P:$P, "*"&amp;I$4&amp;",*",集計用!$G:$G,"*, "&amp;$C13&amp;", *")/$B13*100</f>
        <v>2.8169014084507045</v>
      </c>
      <c r="J13" s="41">
        <f>COUNTIFS(集計用!$P:$P, "*"&amp;J$4&amp;",*",集計用!$G:$G,"*, "&amp;$C13&amp;", *")/$B13*100</f>
        <v>0</v>
      </c>
      <c r="K13" s="41">
        <f>COUNTIFS(集計用!$P:$P, "*"&amp;K$4&amp;",*",集計用!$G:$G,"*, "&amp;$C13&amp;", *")/$B13*100</f>
        <v>2.8169014084507045</v>
      </c>
      <c r="L13" s="41">
        <f>COUNTIFS(集計用!$P:$P, "*"&amp;L$4&amp;",*",集計用!$G:$G,"*, "&amp;$C13&amp;", *")/$B13*100</f>
        <v>0</v>
      </c>
      <c r="M13" s="41">
        <f>COUNTIFS(集計用!$P:$P, "*"&amp;M$4&amp;",*",集計用!$G:$G,"*, "&amp;$C13&amp;", *")/$B13*100</f>
        <v>1.4084507042253522</v>
      </c>
      <c r="N13" s="41">
        <f>COUNTIFS(集計用!$P:$P, "*"&amp;N$4&amp;",*",集計用!$G:$G,"*, "&amp;$C13&amp;", *")/$B13*100</f>
        <v>0</v>
      </c>
      <c r="O13" s="41">
        <f>COUNTIFS(集計用!$P:$P, "*"&amp;O$4&amp;",*",集計用!$G:$G,"*, "&amp;$C13&amp;", *")/$B13*100</f>
        <v>0</v>
      </c>
      <c r="P13" s="41">
        <f>COUNTIFS(集計用!$P:$P, "*"&amp;P$4&amp;",*",集計用!$G:$G,"*, "&amp;$C13&amp;", *")/$B13*100</f>
        <v>0</v>
      </c>
      <c r="Q13" s="41">
        <f>COUNTIFS(集計用!$P:$P, "*"&amp;Q$4&amp;",*",集計用!$G:$G,"*, "&amp;$C13&amp;", *")/$B13*100</f>
        <v>2.8169014084507045</v>
      </c>
      <c r="R13" s="41">
        <f>COUNTIFS(集計用!$P:$P, "*"&amp;R$4&amp;",*",集計用!$G:$G,"*, "&amp;$C13&amp;", *")/$B13*100</f>
        <v>0</v>
      </c>
      <c r="S13" s="41">
        <f>COUNTIFS(集計用!$P:$P, "*"&amp;S$4&amp;",*",集計用!$G:$G,"*, "&amp;$C13&amp;", *")/$B13*100</f>
        <v>0</v>
      </c>
      <c r="T13" s="41">
        <f>COUNTIFS(集計用!$P:$P, "*"&amp;T$4&amp;",*",集計用!$G:$G,"*, "&amp;$C13&amp;", *")/$B13*100</f>
        <v>1.4084507042253522</v>
      </c>
      <c r="U13" s="41">
        <f>COUNTIFS(集計用!$P:$P, "*"&amp;U$4&amp;",*",集計用!$G:$G,"*, "&amp;$C13&amp;", *")/$B13*100</f>
        <v>0</v>
      </c>
      <c r="V13" s="41">
        <f>COUNTIFS(集計用!$P:$P, "*"&amp;V$4&amp;",*",集計用!$G:$G,"*, "&amp;$C13&amp;", *")/$B13*100</f>
        <v>1.4084507042253522</v>
      </c>
      <c r="W13" s="41">
        <f>COUNTIFS(集計用!$P:$P, "*"&amp;W$4&amp;",*",集計用!$G:$G,"*, "&amp;$C13&amp;", *")/$B13*100</f>
        <v>1.4084507042253522</v>
      </c>
      <c r="X13" s="41">
        <f>COUNTIFS(集計用!$P:$P, "*"&amp;X$4&amp;",*",集計用!$G:$G,"*, "&amp;$C13&amp;", *")/$B13*100</f>
        <v>0</v>
      </c>
      <c r="Y13" s="41">
        <f>COUNTIFS(集計用!$P:$P, "*"&amp;Y$4&amp;",*",集計用!$G:$G,"*, "&amp;$C13&amp;", *")/$B13*100</f>
        <v>0</v>
      </c>
      <c r="Z13" s="41">
        <f>COUNTIFS(集計用!$P:$P, "*"&amp;Z$4&amp;",*",集計用!$G:$G,"*, "&amp;$C13&amp;", *")/$B13*100</f>
        <v>0</v>
      </c>
      <c r="AA13" s="41">
        <f>COUNTIFS(集計用!$P:$P, "*"&amp;AA$4&amp;",*",集計用!$G:$G,"*, "&amp;$C13&amp;", *")/$B13*100</f>
        <v>1.4084507042253522</v>
      </c>
      <c r="AB13" s="41">
        <f>COUNTIFS(集計用!$P:$P, "*"&amp;AB$4&amp;",*",集計用!$G:$G,"*, "&amp;$C13&amp;", *")/$B13*100</f>
        <v>0</v>
      </c>
      <c r="AC13" s="41">
        <f>COUNTIFS(集計用!$P:$P, "*"&amp;AC$4&amp;",*",集計用!$G:$G,"*, "&amp;$C13&amp;", *")/$B13*100</f>
        <v>1.4084507042253522</v>
      </c>
      <c r="AD13" s="41">
        <f>COUNTIFS(集計用!$P:$P, "*"&amp;AD$4&amp;",*",集計用!$G:$G,"*, "&amp;$C13&amp;", *")/$B13*100</f>
        <v>1.4084507042253522</v>
      </c>
      <c r="AE13" s="41">
        <f>COUNTIFS(集計用!$P:$P, "*"&amp;AE$4&amp;",*",集計用!$G:$G,"*, "&amp;$C13&amp;", *")/$B13*100</f>
        <v>1.4084507042253522</v>
      </c>
      <c r="AF13" s="41">
        <f>COUNTIFS(集計用!$P:$P, "*"&amp;AF$4&amp;",*",集計用!$G:$G,"*, "&amp;$C13&amp;", *")/$B13*100</f>
        <v>0</v>
      </c>
      <c r="AG13" s="41">
        <f>COUNTIFS(集計用!$P:$P, "*"&amp;AG$4&amp;",*",集計用!$G:$G,"*, "&amp;$C13&amp;", *")/$B13*100</f>
        <v>1.4084507042253522</v>
      </c>
      <c r="AH13" s="41">
        <f>COUNTIFS(集計用!$P:$P, "*"&amp;AH$4&amp;",*",集計用!$G:$G,"*, "&amp;$C13&amp;", *")/$B13*100</f>
        <v>0</v>
      </c>
      <c r="AI13" s="41">
        <f>COUNTIFS(集計用!$P:$P, "*"&amp;AI$4&amp;",*",集計用!$G:$G,"*, "&amp;$C13&amp;", *")/$B13*100</f>
        <v>0</v>
      </c>
      <c r="AJ13" s="41">
        <f>COUNTIFS(集計用!$P:$P, "*"&amp;AJ$4&amp;",*",集計用!$G:$G,"*, "&amp;$C13&amp;", *")/$B13*100</f>
        <v>0</v>
      </c>
      <c r="AK13" s="41">
        <f>COUNTIFS(集計用!$P:$P, "*"&amp;AK$4&amp;",*",集計用!$G:$G,"*, "&amp;$C13&amp;", *")/$B13*100</f>
        <v>0</v>
      </c>
      <c r="AL13" s="41">
        <f>COUNTIFS(集計用!$P:$P, "*"&amp;AL$4&amp;",*",集計用!$G:$G,"*, "&amp;$C13&amp;", *")/$B13*100</f>
        <v>0</v>
      </c>
      <c r="AM13" s="41">
        <f>COUNTIFS(集計用!$P:$P, "*"&amp;AM$4&amp;",*",集計用!$G:$G,"*, "&amp;$C13&amp;", *")/$B13*100</f>
        <v>0</v>
      </c>
      <c r="AN13" s="41">
        <f>COUNTIFS(集計用!$P:$P, "*"&amp;AN$4&amp;",*",集計用!$G:$G,"*, "&amp;$C13&amp;", *")/$B13*100</f>
        <v>0</v>
      </c>
      <c r="AO13" s="41">
        <f>COUNTIFS(集計用!$P:$P, "*"&amp;AO$4&amp;",*",集計用!$G:$G,"*, "&amp;$C13&amp;", *")/$B13*100</f>
        <v>0</v>
      </c>
      <c r="AP13" s="41">
        <f>COUNTIFS(集計用!$P:$P, "*"&amp;AP$4&amp;",*",集計用!$G:$G,"*, "&amp;$C13&amp;", *")/$B13*100</f>
        <v>1.4084507042253522</v>
      </c>
      <c r="AQ13" s="41">
        <f>COUNTIFS(集計用!$P:$P, "*"&amp;AQ$4&amp;",*",集計用!$G:$G,"*, "&amp;$C13&amp;", *")/$B13*100</f>
        <v>0</v>
      </c>
      <c r="AR13" s="41">
        <f>COUNTIFS(集計用!$P:$P, "*"&amp;AR$4&amp;",*",集計用!$G:$G,"*, "&amp;$C13&amp;", *")/$B13*100</f>
        <v>0</v>
      </c>
      <c r="AS13" s="41">
        <f>COUNTIFS(集計用!$P:$P, "*"&amp;AS$4&amp;",*",集計用!$G:$G,"*, "&amp;$C13&amp;", *")/$B13*100</f>
        <v>0</v>
      </c>
      <c r="AT13" s="41">
        <f>COUNTIFS(集計用!$P:$P, "*"&amp;AT$4&amp;",*",集計用!$G:$G,"*, "&amp;$C13&amp;", *")/$B13*100</f>
        <v>0</v>
      </c>
      <c r="AU13" s="41">
        <f>COUNTIFS(集計用!$P:$P, "*"&amp;AU$4&amp;",*",集計用!$G:$G,"*, "&amp;$C13&amp;", *")/$B13*100</f>
        <v>0</v>
      </c>
      <c r="AV13" s="41">
        <f>COUNTIFS(集計用!$P:$P, "*"&amp;AV$4&amp;",*",集計用!$G:$G,"*, "&amp;$C13&amp;", *")/$B13*100</f>
        <v>1.4084507042253522</v>
      </c>
      <c r="AW13" s="41">
        <f>COUNTIFS(集計用!$P:$P, "*"&amp;AW$4&amp;",*",集計用!$G:$G,"*, "&amp;$C13&amp;", *")/$B13*100</f>
        <v>0</v>
      </c>
      <c r="AX13" s="41">
        <f>COUNTIFS(集計用!$P:$P, "*"&amp;AX$4&amp;",*",集計用!$G:$G,"*, "&amp;$C13&amp;", *")/$B13*100</f>
        <v>1.4084507042253522</v>
      </c>
      <c r="AY13" s="41">
        <f>COUNTIFS(集計用!$P:$P, "*"&amp;AY$4&amp;",*",集計用!$G:$G,"*, "&amp;$C13&amp;", *")/$B13*100</f>
        <v>0</v>
      </c>
      <c r="AZ13" s="41">
        <f>COUNTIFS(集計用!$P:$P, "*"&amp;AZ$4&amp;",*",集計用!$G:$G,"*, "&amp;$C13&amp;", *")/$B13*100</f>
        <v>0</v>
      </c>
      <c r="BA13" s="41">
        <f>COUNTIFS(集計用!$P:$P, "*"&amp;BA$4&amp;",*",集計用!$G:$G,"*, "&amp;$C13&amp;", *")/$B13*100</f>
        <v>0</v>
      </c>
      <c r="BB13" s="41">
        <f>COUNTIFS(集計用!$P:$P, "*"&amp;BB$4&amp;",*",集計用!$G:$G,"*, "&amp;$C13&amp;", *")/$B13*100</f>
        <v>0</v>
      </c>
      <c r="BC13" s="41"/>
      <c r="BD13" s="41"/>
      <c r="BE13" s="41"/>
      <c r="BF13" s="41"/>
      <c r="BG13" s="41"/>
      <c r="BH13" s="41"/>
      <c r="BI13" s="41"/>
      <c r="BJ13" s="41"/>
      <c r="BK13" s="41"/>
      <c r="BL13" s="41"/>
      <c r="BM13" s="41"/>
      <c r="BN13" s="41"/>
      <c r="BO13" s="41"/>
      <c r="BP13" s="41"/>
      <c r="BQ13" s="41"/>
      <c r="BR13" s="41"/>
      <c r="BS13" s="41"/>
    </row>
    <row r="14" spans="1:71" ht="15.75" customHeight="1">
      <c r="A14" s="39">
        <v>3</v>
      </c>
      <c r="B14" s="39">
        <f>(COUNTIFS(集計用!$G:$G,"*, "&amp;$C14&amp;",*",集計用!$Q:$Q,"&lt;&gt;無回答"))</f>
        <v>71</v>
      </c>
      <c r="C14" s="42" t="s">
        <v>8</v>
      </c>
      <c r="D14" s="41">
        <f>COUNTIFS(集計用!$P:$P, "*"&amp;D$4&amp;",*",集計用!$G:$G,"*, "&amp;$C14&amp;", *")/$B14*100</f>
        <v>0</v>
      </c>
      <c r="E14" s="41">
        <f>COUNTIFS(集計用!$P:$P, "*"&amp;E$4&amp;",*",集計用!$G:$G,"*, "&amp;$C14&amp;", *")/$B14*100</f>
        <v>1.4084507042253522</v>
      </c>
      <c r="F14" s="41">
        <f>COUNTIFS(集計用!$P:$P, "*"&amp;F$4&amp;",*",集計用!$G:$G,"*, "&amp;$C14&amp;", *")/$B14*100</f>
        <v>1.4084507042253522</v>
      </c>
      <c r="G14" s="41">
        <f>COUNTIFS(集計用!$P:$P, "*"&amp;G$4&amp;",*",集計用!$G:$G,"*, "&amp;$C14&amp;", *")/$B14*100</f>
        <v>0</v>
      </c>
      <c r="H14" s="41">
        <f>COUNTIFS(集計用!$P:$P, "*"&amp;H$4&amp;",*",集計用!$G:$G,"*, "&amp;$C14&amp;", *")/$B14*100</f>
        <v>1.4084507042253522</v>
      </c>
      <c r="I14" s="41">
        <f>COUNTIFS(集計用!$P:$P, "*"&amp;I$4&amp;",*",集計用!$G:$G,"*, "&amp;$C14&amp;", *")/$B14*100</f>
        <v>1.4084507042253522</v>
      </c>
      <c r="J14" s="41">
        <f>COUNTIFS(集計用!$P:$P, "*"&amp;J$4&amp;",*",集計用!$G:$G,"*, "&amp;$C14&amp;", *")/$B14*100</f>
        <v>1.4084507042253522</v>
      </c>
      <c r="K14" s="41">
        <f>COUNTIFS(集計用!$P:$P, "*"&amp;K$4&amp;",*",集計用!$G:$G,"*, "&amp;$C14&amp;", *")/$B14*100</f>
        <v>0</v>
      </c>
      <c r="L14" s="41">
        <f>COUNTIFS(集計用!$P:$P, "*"&amp;L$4&amp;",*",集計用!$G:$G,"*, "&amp;$C14&amp;", *")/$B14*100</f>
        <v>1.4084507042253522</v>
      </c>
      <c r="M14" s="41">
        <f>COUNTIFS(集計用!$P:$P, "*"&amp;M$4&amp;",*",集計用!$G:$G,"*, "&amp;$C14&amp;", *")/$B14*100</f>
        <v>1.4084507042253522</v>
      </c>
      <c r="N14" s="41">
        <f>COUNTIFS(集計用!$P:$P, "*"&amp;N$4&amp;",*",集計用!$G:$G,"*, "&amp;$C14&amp;", *")/$B14*100</f>
        <v>1.4084507042253522</v>
      </c>
      <c r="O14" s="41">
        <f>COUNTIFS(集計用!$P:$P, "*"&amp;O$4&amp;",*",集計用!$G:$G,"*, "&amp;$C14&amp;", *")/$B14*100</f>
        <v>0</v>
      </c>
      <c r="P14" s="41">
        <f>COUNTIFS(集計用!$P:$P, "*"&amp;P$4&amp;",*",集計用!$G:$G,"*, "&amp;$C14&amp;", *")/$B14*100</f>
        <v>0</v>
      </c>
      <c r="Q14" s="41">
        <f>COUNTIFS(集計用!$P:$P, "*"&amp;Q$4&amp;",*",集計用!$G:$G,"*, "&amp;$C14&amp;", *")/$B14*100</f>
        <v>0</v>
      </c>
      <c r="R14" s="41">
        <f>COUNTIFS(集計用!$P:$P, "*"&amp;R$4&amp;",*",集計用!$G:$G,"*, "&amp;$C14&amp;", *")/$B14*100</f>
        <v>0</v>
      </c>
      <c r="S14" s="41">
        <f>COUNTIFS(集計用!$P:$P, "*"&amp;S$4&amp;",*",集計用!$G:$G,"*, "&amp;$C14&amp;", *")/$B14*100</f>
        <v>0</v>
      </c>
      <c r="T14" s="41">
        <f>COUNTIFS(集計用!$P:$P, "*"&amp;T$4&amp;",*",集計用!$G:$G,"*, "&amp;$C14&amp;", *")/$B14*100</f>
        <v>0</v>
      </c>
      <c r="U14" s="41">
        <f>COUNTIFS(集計用!$P:$P, "*"&amp;U$4&amp;",*",集計用!$G:$G,"*, "&amp;$C14&amp;", *")/$B14*100</f>
        <v>0</v>
      </c>
      <c r="V14" s="41">
        <f>COUNTIFS(集計用!$P:$P, "*"&amp;V$4&amp;",*",集計用!$G:$G,"*, "&amp;$C14&amp;", *")/$B14*100</f>
        <v>0</v>
      </c>
      <c r="W14" s="41">
        <f>COUNTIFS(集計用!$P:$P, "*"&amp;W$4&amp;",*",集計用!$G:$G,"*, "&amp;$C14&amp;", *")/$B14*100</f>
        <v>0</v>
      </c>
      <c r="X14" s="41">
        <f>COUNTIFS(集計用!$P:$P, "*"&amp;X$4&amp;",*",集計用!$G:$G,"*, "&amp;$C14&amp;", *")/$B14*100</f>
        <v>0</v>
      </c>
      <c r="Y14" s="41">
        <f>COUNTIFS(集計用!$P:$P, "*"&amp;Y$4&amp;",*",集計用!$G:$G,"*, "&amp;$C14&amp;", *")/$B14*100</f>
        <v>0</v>
      </c>
      <c r="Z14" s="41">
        <f>COUNTIFS(集計用!$P:$P, "*"&amp;Z$4&amp;",*",集計用!$G:$G,"*, "&amp;$C14&amp;", *")/$B14*100</f>
        <v>0</v>
      </c>
      <c r="AA14" s="41">
        <f>COUNTIFS(集計用!$P:$P, "*"&amp;AA$4&amp;",*",集計用!$G:$G,"*, "&amp;$C14&amp;", *")/$B14*100</f>
        <v>0</v>
      </c>
      <c r="AB14" s="41">
        <f>COUNTIFS(集計用!$P:$P, "*"&amp;AB$4&amp;",*",集計用!$G:$G,"*, "&amp;$C14&amp;", *")/$B14*100</f>
        <v>1.4084507042253522</v>
      </c>
      <c r="AC14" s="41">
        <f>COUNTIFS(集計用!$P:$P, "*"&amp;AC$4&amp;",*",集計用!$G:$G,"*, "&amp;$C14&amp;", *")/$B14*100</f>
        <v>0</v>
      </c>
      <c r="AD14" s="41">
        <f>COUNTIFS(集計用!$P:$P, "*"&amp;AD$4&amp;",*",集計用!$G:$G,"*, "&amp;$C14&amp;", *")/$B14*100</f>
        <v>0</v>
      </c>
      <c r="AE14" s="41">
        <f>COUNTIFS(集計用!$P:$P, "*"&amp;AE$4&amp;",*",集計用!$G:$G,"*, "&amp;$C14&amp;", *")/$B14*100</f>
        <v>0</v>
      </c>
      <c r="AF14" s="41">
        <f>COUNTIFS(集計用!$P:$P, "*"&amp;AF$4&amp;",*",集計用!$G:$G,"*, "&amp;$C14&amp;", *")/$B14*100</f>
        <v>1.4084507042253522</v>
      </c>
      <c r="AG14" s="41">
        <f>COUNTIFS(集計用!$P:$P, "*"&amp;AG$4&amp;",*",集計用!$G:$G,"*, "&amp;$C14&amp;", *")/$B14*100</f>
        <v>0</v>
      </c>
      <c r="AH14" s="41">
        <f>COUNTIFS(集計用!$P:$P, "*"&amp;AH$4&amp;",*",集計用!$G:$G,"*, "&amp;$C14&amp;", *")/$B14*100</f>
        <v>0</v>
      </c>
      <c r="AI14" s="41">
        <f>COUNTIFS(集計用!$P:$P, "*"&amp;AI$4&amp;",*",集計用!$G:$G,"*, "&amp;$C14&amp;", *")/$B14*100</f>
        <v>1.4084507042253522</v>
      </c>
      <c r="AJ14" s="41">
        <f>COUNTIFS(集計用!$P:$P, "*"&amp;AJ$4&amp;",*",集計用!$G:$G,"*, "&amp;$C14&amp;", *")/$B14*100</f>
        <v>0</v>
      </c>
      <c r="AK14" s="41">
        <f>COUNTIFS(集計用!$P:$P, "*"&amp;AK$4&amp;",*",集計用!$G:$G,"*, "&amp;$C14&amp;", *")/$B14*100</f>
        <v>0</v>
      </c>
      <c r="AL14" s="41">
        <f>COUNTIFS(集計用!$P:$P, "*"&amp;AL$4&amp;",*",集計用!$G:$G,"*, "&amp;$C14&amp;", *")/$B14*100</f>
        <v>0</v>
      </c>
      <c r="AM14" s="41">
        <f>COUNTIFS(集計用!$P:$P, "*"&amp;AM$4&amp;",*",集計用!$G:$G,"*, "&amp;$C14&amp;", *")/$B14*100</f>
        <v>0</v>
      </c>
      <c r="AN14" s="41">
        <f>COUNTIFS(集計用!$P:$P, "*"&amp;AN$4&amp;",*",集計用!$G:$G,"*, "&amp;$C14&amp;", *")/$B14*100</f>
        <v>0</v>
      </c>
      <c r="AO14" s="41">
        <f>COUNTIFS(集計用!$P:$P, "*"&amp;AO$4&amp;",*",集計用!$G:$G,"*, "&amp;$C14&amp;", *")/$B14*100</f>
        <v>1.4084507042253522</v>
      </c>
      <c r="AP14" s="41">
        <f>COUNTIFS(集計用!$P:$P, "*"&amp;AP$4&amp;",*",集計用!$G:$G,"*, "&amp;$C14&amp;", *")/$B14*100</f>
        <v>0</v>
      </c>
      <c r="AQ14" s="41">
        <f>COUNTIFS(集計用!$P:$P, "*"&amp;AQ$4&amp;",*",集計用!$G:$G,"*, "&amp;$C14&amp;", *")/$B14*100</f>
        <v>1.4084507042253522</v>
      </c>
      <c r="AR14" s="41">
        <f>COUNTIFS(集計用!$P:$P, "*"&amp;AR$4&amp;",*",集計用!$G:$G,"*, "&amp;$C14&amp;", *")/$B14*100</f>
        <v>0</v>
      </c>
      <c r="AS14" s="41">
        <f>COUNTIFS(集計用!$P:$P, "*"&amp;AS$4&amp;",*",集計用!$G:$G,"*, "&amp;$C14&amp;", *")/$B14*100</f>
        <v>0</v>
      </c>
      <c r="AT14" s="41">
        <f>COUNTIFS(集計用!$P:$P, "*"&amp;AT$4&amp;",*",集計用!$G:$G,"*, "&amp;$C14&amp;", *")/$B14*100</f>
        <v>0</v>
      </c>
      <c r="AU14" s="41">
        <f>COUNTIFS(集計用!$P:$P, "*"&amp;AU$4&amp;",*",集計用!$G:$G,"*, "&amp;$C14&amp;", *")/$B14*100</f>
        <v>1.4084507042253522</v>
      </c>
      <c r="AV14" s="41">
        <f>COUNTIFS(集計用!$P:$P, "*"&amp;AV$4&amp;",*",集計用!$G:$G,"*, "&amp;$C14&amp;", *")/$B14*100</f>
        <v>0</v>
      </c>
      <c r="AW14" s="41">
        <f>COUNTIFS(集計用!$P:$P, "*"&amp;AW$4&amp;",*",集計用!$G:$G,"*, "&amp;$C14&amp;", *")/$B14*100</f>
        <v>0</v>
      </c>
      <c r="AX14" s="41">
        <f>COUNTIFS(集計用!$P:$P, "*"&amp;AX$4&amp;",*",集計用!$G:$G,"*, "&amp;$C14&amp;", *")/$B14*100</f>
        <v>0</v>
      </c>
      <c r="AY14" s="41">
        <f>COUNTIFS(集計用!$P:$P, "*"&amp;AY$4&amp;",*",集計用!$G:$G,"*, "&amp;$C14&amp;", *")/$B14*100</f>
        <v>0</v>
      </c>
      <c r="AZ14" s="41">
        <f>COUNTIFS(集計用!$P:$P, "*"&amp;AZ$4&amp;",*",集計用!$G:$G,"*, "&amp;$C14&amp;", *")/$B14*100</f>
        <v>0</v>
      </c>
      <c r="BA14" s="41">
        <f>COUNTIFS(集計用!$P:$P, "*"&amp;BA$4&amp;",*",集計用!$G:$G,"*, "&amp;$C14&amp;", *")/$B14*100</f>
        <v>0</v>
      </c>
      <c r="BB14" s="41">
        <f>COUNTIFS(集計用!$P:$P, "*"&amp;BB$4&amp;",*",集計用!$G:$G,"*, "&amp;$C14&amp;", *")/$B14*100</f>
        <v>1.4084507042253522</v>
      </c>
      <c r="BC14" s="41"/>
      <c r="BD14" s="41"/>
      <c r="BE14" s="41"/>
      <c r="BF14" s="41"/>
      <c r="BG14" s="41"/>
      <c r="BH14" s="41"/>
      <c r="BI14" s="41"/>
      <c r="BJ14" s="41"/>
      <c r="BK14" s="41"/>
      <c r="BL14" s="41"/>
      <c r="BM14" s="41"/>
      <c r="BN14" s="41"/>
      <c r="BO14" s="41"/>
      <c r="BP14" s="41"/>
      <c r="BQ14" s="41"/>
      <c r="BR14" s="41"/>
      <c r="BS14" s="41"/>
    </row>
    <row r="15" spans="1:71" ht="15.75" customHeight="1">
      <c r="A15" s="39">
        <v>2</v>
      </c>
      <c r="B15" s="39">
        <f>(COUNTIFS(集計用!$G:$G,"*, "&amp;$C15&amp;",*",集計用!$Q:$Q,"&lt;&gt;無回答"))</f>
        <v>69</v>
      </c>
      <c r="C15" s="42" t="s">
        <v>9</v>
      </c>
      <c r="D15" s="41">
        <f>COUNTIFS(集計用!$P:$P, "*"&amp;D$4&amp;",*",集計用!$G:$G,"*, "&amp;$C15&amp;", *")/$B15*100</f>
        <v>1.4492753623188406</v>
      </c>
      <c r="E15" s="41">
        <f>COUNTIFS(集計用!$P:$P, "*"&amp;E$4&amp;",*",集計用!$G:$G,"*, "&amp;$C15&amp;", *")/$B15*100</f>
        <v>4.3478260869565215</v>
      </c>
      <c r="F15" s="41">
        <f>COUNTIFS(集計用!$P:$P, "*"&amp;F$4&amp;",*",集計用!$G:$G,"*, "&amp;$C15&amp;", *")/$B15*100</f>
        <v>0</v>
      </c>
      <c r="G15" s="41">
        <f>COUNTIFS(集計用!$P:$P, "*"&amp;G$4&amp;",*",集計用!$G:$G,"*, "&amp;$C15&amp;", *")/$B15*100</f>
        <v>1.4492753623188406</v>
      </c>
      <c r="H15" s="41">
        <f>COUNTIFS(集計用!$P:$P, "*"&amp;H$4&amp;",*",集計用!$G:$G,"*, "&amp;$C15&amp;", *")/$B15*100</f>
        <v>0</v>
      </c>
      <c r="I15" s="41">
        <f>COUNTIFS(集計用!$P:$P, "*"&amp;I$4&amp;",*",集計用!$G:$G,"*, "&amp;$C15&amp;", *")/$B15*100</f>
        <v>0</v>
      </c>
      <c r="J15" s="41">
        <f>COUNTIFS(集計用!$P:$P, "*"&amp;J$4&amp;",*",集計用!$G:$G,"*, "&amp;$C15&amp;", *")/$B15*100</f>
        <v>1.4492753623188406</v>
      </c>
      <c r="K15" s="41">
        <f>COUNTIFS(集計用!$P:$P, "*"&amp;K$4&amp;",*",集計用!$G:$G,"*, "&amp;$C15&amp;", *")/$B15*100</f>
        <v>0</v>
      </c>
      <c r="L15" s="41">
        <f>COUNTIFS(集計用!$P:$P, "*"&amp;L$4&amp;",*",集計用!$G:$G,"*, "&amp;$C15&amp;", *")/$B15*100</f>
        <v>0</v>
      </c>
      <c r="M15" s="41">
        <f>COUNTIFS(集計用!$P:$P, "*"&amp;M$4&amp;",*",集計用!$G:$G,"*, "&amp;$C15&amp;", *")/$B15*100</f>
        <v>0</v>
      </c>
      <c r="N15" s="41">
        <f>COUNTIFS(集計用!$P:$P, "*"&amp;N$4&amp;",*",集計用!$G:$G,"*, "&amp;$C15&amp;", *")/$B15*100</f>
        <v>0</v>
      </c>
      <c r="O15" s="41">
        <f>COUNTIFS(集計用!$P:$P, "*"&amp;O$4&amp;",*",集計用!$G:$G,"*, "&amp;$C15&amp;", *")/$B15*100</f>
        <v>1.4492753623188406</v>
      </c>
      <c r="P15" s="41">
        <f>COUNTIFS(集計用!$P:$P, "*"&amp;P$4&amp;",*",集計用!$G:$G,"*, "&amp;$C15&amp;", *")/$B15*100</f>
        <v>0</v>
      </c>
      <c r="Q15" s="41">
        <f>COUNTIFS(集計用!$P:$P, "*"&amp;Q$4&amp;",*",集計用!$G:$G,"*, "&amp;$C15&amp;", *")/$B15*100</f>
        <v>0</v>
      </c>
      <c r="R15" s="41">
        <f>COUNTIFS(集計用!$P:$P, "*"&amp;R$4&amp;",*",集計用!$G:$G,"*, "&amp;$C15&amp;", *")/$B15*100</f>
        <v>0</v>
      </c>
      <c r="S15" s="41">
        <f>COUNTIFS(集計用!$P:$P, "*"&amp;S$4&amp;",*",集計用!$G:$G,"*, "&amp;$C15&amp;", *")/$B15*100</f>
        <v>0</v>
      </c>
      <c r="T15" s="41">
        <f>COUNTIFS(集計用!$P:$P, "*"&amp;T$4&amp;",*",集計用!$G:$G,"*, "&amp;$C15&amp;", *")/$B15*100</f>
        <v>0</v>
      </c>
      <c r="U15" s="41">
        <f>COUNTIFS(集計用!$P:$P, "*"&amp;U$4&amp;",*",集計用!$G:$G,"*, "&amp;$C15&amp;", *")/$B15*100</f>
        <v>0</v>
      </c>
      <c r="V15" s="41">
        <f>COUNTIFS(集計用!$P:$P, "*"&amp;V$4&amp;",*",集計用!$G:$G,"*, "&amp;$C15&amp;", *")/$B15*100</f>
        <v>0</v>
      </c>
      <c r="W15" s="41">
        <f>COUNTIFS(集計用!$P:$P, "*"&amp;W$4&amp;",*",集計用!$G:$G,"*, "&amp;$C15&amp;", *")/$B15*100</f>
        <v>0</v>
      </c>
      <c r="X15" s="41">
        <f>COUNTIFS(集計用!$P:$P, "*"&amp;X$4&amp;",*",集計用!$G:$G,"*, "&amp;$C15&amp;", *")/$B15*100</f>
        <v>0</v>
      </c>
      <c r="Y15" s="41">
        <f>COUNTIFS(集計用!$P:$P, "*"&amp;Y$4&amp;",*",集計用!$G:$G,"*, "&amp;$C15&amp;", *")/$B15*100</f>
        <v>1.4492753623188406</v>
      </c>
      <c r="Z15" s="41">
        <f>COUNTIFS(集計用!$P:$P, "*"&amp;Z$4&amp;",*",集計用!$G:$G,"*, "&amp;$C15&amp;", *")/$B15*100</f>
        <v>0</v>
      </c>
      <c r="AA15" s="41">
        <f>COUNTIFS(集計用!$P:$P, "*"&amp;AA$4&amp;",*",集計用!$G:$G,"*, "&amp;$C15&amp;", *")/$B15*100</f>
        <v>0</v>
      </c>
      <c r="AB15" s="41">
        <f>COUNTIFS(集計用!$P:$P, "*"&amp;AB$4&amp;",*",集計用!$G:$G,"*, "&amp;$C15&amp;", *")/$B15*100</f>
        <v>0</v>
      </c>
      <c r="AC15" s="41">
        <f>COUNTIFS(集計用!$P:$P, "*"&amp;AC$4&amp;",*",集計用!$G:$G,"*, "&amp;$C15&amp;", *")/$B15*100</f>
        <v>0</v>
      </c>
      <c r="AD15" s="41">
        <f>COUNTIFS(集計用!$P:$P, "*"&amp;AD$4&amp;",*",集計用!$G:$G,"*, "&amp;$C15&amp;", *")/$B15*100</f>
        <v>0</v>
      </c>
      <c r="AE15" s="41">
        <f>COUNTIFS(集計用!$P:$P, "*"&amp;AE$4&amp;",*",集計用!$G:$G,"*, "&amp;$C15&amp;", *")/$B15*100</f>
        <v>1.4492753623188406</v>
      </c>
      <c r="AF15" s="41">
        <f>COUNTIFS(集計用!$P:$P, "*"&amp;AF$4&amp;",*",集計用!$G:$G,"*, "&amp;$C15&amp;", *")/$B15*100</f>
        <v>0</v>
      </c>
      <c r="AG15" s="41">
        <f>COUNTIFS(集計用!$P:$P, "*"&amp;AG$4&amp;",*",集計用!$G:$G,"*, "&amp;$C15&amp;", *")/$B15*100</f>
        <v>0</v>
      </c>
      <c r="AH15" s="41">
        <f>COUNTIFS(集計用!$P:$P, "*"&amp;AH$4&amp;",*",集計用!$G:$G,"*, "&amp;$C15&amp;", *")/$B15*100</f>
        <v>0</v>
      </c>
      <c r="AI15" s="41">
        <f>COUNTIFS(集計用!$P:$P, "*"&amp;AI$4&amp;",*",集計用!$G:$G,"*, "&amp;$C15&amp;", *")/$B15*100</f>
        <v>0</v>
      </c>
      <c r="AJ15" s="41">
        <f>COUNTIFS(集計用!$P:$P, "*"&amp;AJ$4&amp;",*",集計用!$G:$G,"*, "&amp;$C15&amp;", *")/$B15*100</f>
        <v>0</v>
      </c>
      <c r="AK15" s="41">
        <f>COUNTIFS(集計用!$P:$P, "*"&amp;AK$4&amp;",*",集計用!$G:$G,"*, "&amp;$C15&amp;", *")/$B15*100</f>
        <v>1.4492753623188406</v>
      </c>
      <c r="AL15" s="41">
        <f>COUNTIFS(集計用!$P:$P, "*"&amp;AL$4&amp;",*",集計用!$G:$G,"*, "&amp;$C15&amp;", *")/$B15*100</f>
        <v>0</v>
      </c>
      <c r="AM15" s="41">
        <f>COUNTIFS(集計用!$P:$P, "*"&amp;AM$4&amp;",*",集計用!$G:$G,"*, "&amp;$C15&amp;", *")/$B15*100</f>
        <v>1.4492753623188406</v>
      </c>
      <c r="AN15" s="41">
        <f>COUNTIFS(集計用!$P:$P, "*"&amp;AN$4&amp;",*",集計用!$G:$G,"*, "&amp;$C15&amp;", *")/$B15*100</f>
        <v>1.4492753623188406</v>
      </c>
      <c r="AO15" s="41">
        <f>COUNTIFS(集計用!$P:$P, "*"&amp;AO$4&amp;",*",集計用!$G:$G,"*, "&amp;$C15&amp;", *")/$B15*100</f>
        <v>0</v>
      </c>
      <c r="AP15" s="41">
        <f>COUNTIFS(集計用!$P:$P, "*"&amp;AP$4&amp;",*",集計用!$G:$G,"*, "&amp;$C15&amp;", *")/$B15*100</f>
        <v>0</v>
      </c>
      <c r="AQ15" s="41">
        <f>COUNTIFS(集計用!$P:$P, "*"&amp;AQ$4&amp;",*",集計用!$G:$G,"*, "&amp;$C15&amp;", *")/$B15*100</f>
        <v>0</v>
      </c>
      <c r="AR15" s="41">
        <f>COUNTIFS(集計用!$P:$P, "*"&amp;AR$4&amp;",*",集計用!$G:$G,"*, "&amp;$C15&amp;", *")/$B15*100</f>
        <v>0</v>
      </c>
      <c r="AS15" s="41">
        <f>COUNTIFS(集計用!$P:$P, "*"&amp;AS$4&amp;",*",集計用!$G:$G,"*, "&amp;$C15&amp;", *")/$B15*100</f>
        <v>0</v>
      </c>
      <c r="AT15" s="41">
        <f>COUNTIFS(集計用!$P:$P, "*"&amp;AT$4&amp;",*",集計用!$G:$G,"*, "&amp;$C15&amp;", *")/$B15*100</f>
        <v>0</v>
      </c>
      <c r="AU15" s="41">
        <f>COUNTIFS(集計用!$P:$P, "*"&amp;AU$4&amp;",*",集計用!$G:$G,"*, "&amp;$C15&amp;", *")/$B15*100</f>
        <v>1.4492753623188406</v>
      </c>
      <c r="AV15" s="41">
        <f>COUNTIFS(集計用!$P:$P, "*"&amp;AV$4&amp;",*",集計用!$G:$G,"*, "&amp;$C15&amp;", *")/$B15*100</f>
        <v>0</v>
      </c>
      <c r="AW15" s="41">
        <f>COUNTIFS(集計用!$P:$P, "*"&amp;AW$4&amp;",*",集計用!$G:$G,"*, "&amp;$C15&amp;", *")/$B15*100</f>
        <v>0</v>
      </c>
      <c r="AX15" s="41">
        <f>COUNTIFS(集計用!$P:$P, "*"&amp;AX$4&amp;",*",集計用!$G:$G,"*, "&amp;$C15&amp;", *")/$B15*100</f>
        <v>0</v>
      </c>
      <c r="AY15" s="41">
        <f>COUNTIFS(集計用!$P:$P, "*"&amp;AY$4&amp;",*",集計用!$G:$G,"*, "&amp;$C15&amp;", *")/$B15*100</f>
        <v>0</v>
      </c>
      <c r="AZ15" s="41">
        <f>COUNTIFS(集計用!$P:$P, "*"&amp;AZ$4&amp;",*",集計用!$G:$G,"*, "&amp;$C15&amp;", *")/$B15*100</f>
        <v>0</v>
      </c>
      <c r="BA15" s="41">
        <f>COUNTIFS(集計用!$P:$P, "*"&amp;BA$4&amp;",*",集計用!$G:$G,"*, "&amp;$C15&amp;", *")/$B15*100</f>
        <v>0</v>
      </c>
      <c r="BB15" s="41">
        <f>COUNTIFS(集計用!$P:$P, "*"&amp;BB$4&amp;",*",集計用!$G:$G,"*, "&amp;$C15&amp;", *")/$B15*100</f>
        <v>0</v>
      </c>
      <c r="BC15" s="41"/>
      <c r="BD15" s="41"/>
      <c r="BE15" s="41"/>
      <c r="BF15" s="41"/>
      <c r="BG15" s="41"/>
      <c r="BH15" s="41"/>
      <c r="BI15" s="41"/>
      <c r="BJ15" s="41"/>
      <c r="BK15" s="41"/>
      <c r="BL15" s="41"/>
      <c r="BM15" s="41"/>
      <c r="BN15" s="41"/>
      <c r="BO15" s="41"/>
      <c r="BP15" s="41"/>
      <c r="BQ15" s="41"/>
      <c r="BR15" s="41"/>
      <c r="BS15" s="41"/>
    </row>
    <row r="16" spans="1:71" ht="15.75" customHeight="1">
      <c r="A16" s="39">
        <v>5</v>
      </c>
      <c r="B16" s="39">
        <f>(COUNTIFS(集計用!$G:$G,"*, "&amp;$C16&amp;",*",集計用!$Q:$Q,"&lt;&gt;無回答"))</f>
        <v>60</v>
      </c>
      <c r="C16" s="42" t="s">
        <v>10</v>
      </c>
      <c r="D16" s="41">
        <f>COUNTIFS(集計用!$P:$P, "*"&amp;D$4&amp;",*",集計用!$G:$G,"*, "&amp;$C16&amp;", *")/$B16*100</f>
        <v>0</v>
      </c>
      <c r="E16" s="41">
        <f>COUNTIFS(集計用!$P:$P, "*"&amp;E$4&amp;",*",集計用!$G:$G,"*, "&amp;$C16&amp;", *")/$B16*100</f>
        <v>0</v>
      </c>
      <c r="F16" s="41">
        <f>COUNTIFS(集計用!$P:$P, "*"&amp;F$4&amp;",*",集計用!$G:$G,"*, "&amp;$C16&amp;", *")/$B16*100</f>
        <v>0</v>
      </c>
      <c r="G16" s="41">
        <f>COUNTIFS(集計用!$P:$P, "*"&amp;G$4&amp;",*",集計用!$G:$G,"*, "&amp;$C16&amp;", *")/$B16*100</f>
        <v>1.6666666666666667</v>
      </c>
      <c r="H16" s="41">
        <f>COUNTIFS(集計用!$P:$P, "*"&amp;H$4&amp;",*",集計用!$G:$G,"*, "&amp;$C16&amp;", *")/$B16*100</f>
        <v>0</v>
      </c>
      <c r="I16" s="41">
        <f>COUNTIFS(集計用!$P:$P, "*"&amp;I$4&amp;",*",集計用!$G:$G,"*, "&amp;$C16&amp;", *")/$B16*100</f>
        <v>0</v>
      </c>
      <c r="J16" s="41">
        <f>COUNTIFS(集計用!$P:$P, "*"&amp;J$4&amp;",*",集計用!$G:$G,"*, "&amp;$C16&amp;", *")/$B16*100</f>
        <v>0</v>
      </c>
      <c r="K16" s="41">
        <f>COUNTIFS(集計用!$P:$P, "*"&amp;K$4&amp;",*",集計用!$G:$G,"*, "&amp;$C16&amp;", *")/$B16*100</f>
        <v>0</v>
      </c>
      <c r="L16" s="41">
        <f>COUNTIFS(集計用!$P:$P, "*"&amp;L$4&amp;",*",集計用!$G:$G,"*, "&amp;$C16&amp;", *")/$B16*100</f>
        <v>0</v>
      </c>
      <c r="M16" s="41">
        <f>COUNTIFS(集計用!$P:$P, "*"&amp;M$4&amp;",*",集計用!$G:$G,"*, "&amp;$C16&amp;", *")/$B16*100</f>
        <v>0</v>
      </c>
      <c r="N16" s="41">
        <f>COUNTIFS(集計用!$P:$P, "*"&amp;N$4&amp;",*",集計用!$G:$G,"*, "&amp;$C16&amp;", *")/$B16*100</f>
        <v>0</v>
      </c>
      <c r="O16" s="41">
        <f>COUNTIFS(集計用!$P:$P, "*"&amp;O$4&amp;",*",集計用!$G:$G,"*, "&amp;$C16&amp;", *")/$B16*100</f>
        <v>1.6666666666666667</v>
      </c>
      <c r="P16" s="41">
        <f>COUNTIFS(集計用!$P:$P, "*"&amp;P$4&amp;",*",集計用!$G:$G,"*, "&amp;$C16&amp;", *")/$B16*100</f>
        <v>0</v>
      </c>
      <c r="Q16" s="41">
        <f>COUNTIFS(集計用!$P:$P, "*"&amp;Q$4&amp;",*",集計用!$G:$G,"*, "&amp;$C16&amp;", *")/$B16*100</f>
        <v>0</v>
      </c>
      <c r="R16" s="41">
        <f>COUNTIFS(集計用!$P:$P, "*"&amp;R$4&amp;",*",集計用!$G:$G,"*, "&amp;$C16&amp;", *")/$B16*100</f>
        <v>0</v>
      </c>
      <c r="S16" s="41">
        <f>COUNTIFS(集計用!$P:$P, "*"&amp;S$4&amp;",*",集計用!$G:$G,"*, "&amp;$C16&amp;", *")/$B16*100</f>
        <v>0</v>
      </c>
      <c r="T16" s="41">
        <f>COUNTIFS(集計用!$P:$P, "*"&amp;T$4&amp;",*",集計用!$G:$G,"*, "&amp;$C16&amp;", *")/$B16*100</f>
        <v>0</v>
      </c>
      <c r="U16" s="41">
        <f>COUNTIFS(集計用!$P:$P, "*"&amp;U$4&amp;",*",集計用!$G:$G,"*, "&amp;$C16&amp;", *")/$B16*100</f>
        <v>0</v>
      </c>
      <c r="V16" s="41">
        <f>COUNTIFS(集計用!$P:$P, "*"&amp;V$4&amp;",*",集計用!$G:$G,"*, "&amp;$C16&amp;", *")/$B16*100</f>
        <v>0</v>
      </c>
      <c r="W16" s="41">
        <f>COUNTIFS(集計用!$P:$P, "*"&amp;W$4&amp;",*",集計用!$G:$G,"*, "&amp;$C16&amp;", *")/$B16*100</f>
        <v>0</v>
      </c>
      <c r="X16" s="41">
        <f>COUNTIFS(集計用!$P:$P, "*"&amp;X$4&amp;",*",集計用!$G:$G,"*, "&amp;$C16&amp;", *")/$B16*100</f>
        <v>1.6666666666666667</v>
      </c>
      <c r="Y16" s="41">
        <f>COUNTIFS(集計用!$P:$P, "*"&amp;Y$4&amp;",*",集計用!$G:$G,"*, "&amp;$C16&amp;", *")/$B16*100</f>
        <v>0</v>
      </c>
      <c r="Z16" s="41">
        <f>COUNTIFS(集計用!$P:$P, "*"&amp;Z$4&amp;",*",集計用!$G:$G,"*, "&amp;$C16&amp;", *")/$B16*100</f>
        <v>1.6666666666666667</v>
      </c>
      <c r="AA16" s="41">
        <f>COUNTIFS(集計用!$P:$P, "*"&amp;AA$4&amp;",*",集計用!$G:$G,"*, "&amp;$C16&amp;", *")/$B16*100</f>
        <v>0</v>
      </c>
      <c r="AB16" s="41">
        <f>COUNTIFS(集計用!$P:$P, "*"&amp;AB$4&amp;",*",集計用!$G:$G,"*, "&amp;$C16&amp;", *")/$B16*100</f>
        <v>0</v>
      </c>
      <c r="AC16" s="41">
        <f>COUNTIFS(集計用!$P:$P, "*"&amp;AC$4&amp;",*",集計用!$G:$G,"*, "&amp;$C16&amp;", *")/$B16*100</f>
        <v>0</v>
      </c>
      <c r="AD16" s="41">
        <f>COUNTIFS(集計用!$P:$P, "*"&amp;AD$4&amp;",*",集計用!$G:$G,"*, "&amp;$C16&amp;", *")/$B16*100</f>
        <v>0</v>
      </c>
      <c r="AE16" s="41">
        <f>COUNTIFS(集計用!$P:$P, "*"&amp;AE$4&amp;",*",集計用!$G:$G,"*, "&amp;$C16&amp;", *")/$B16*100</f>
        <v>0</v>
      </c>
      <c r="AF16" s="41">
        <f>COUNTIFS(集計用!$P:$P, "*"&amp;AF$4&amp;",*",集計用!$G:$G,"*, "&amp;$C16&amp;", *")/$B16*100</f>
        <v>0</v>
      </c>
      <c r="AG16" s="41">
        <f>COUNTIFS(集計用!$P:$P, "*"&amp;AG$4&amp;",*",集計用!$G:$G,"*, "&amp;$C16&amp;", *")/$B16*100</f>
        <v>0</v>
      </c>
      <c r="AH16" s="41">
        <f>COUNTIFS(集計用!$P:$P, "*"&amp;AH$4&amp;",*",集計用!$G:$G,"*, "&amp;$C16&amp;", *")/$B16*100</f>
        <v>1.6666666666666667</v>
      </c>
      <c r="AI16" s="41">
        <f>COUNTIFS(集計用!$P:$P, "*"&amp;AI$4&amp;",*",集計用!$G:$G,"*, "&amp;$C16&amp;", *")/$B16*100</f>
        <v>0</v>
      </c>
      <c r="AJ16" s="41">
        <f>COUNTIFS(集計用!$P:$P, "*"&amp;AJ$4&amp;",*",集計用!$G:$G,"*, "&amp;$C16&amp;", *")/$B16*100</f>
        <v>1.6666666666666667</v>
      </c>
      <c r="AK16" s="41">
        <f>COUNTIFS(集計用!$P:$P, "*"&amp;AK$4&amp;",*",集計用!$G:$G,"*, "&amp;$C16&amp;", *")/$B16*100</f>
        <v>0</v>
      </c>
      <c r="AL16" s="41">
        <f>COUNTIFS(集計用!$P:$P, "*"&amp;AL$4&amp;",*",集計用!$G:$G,"*, "&amp;$C16&amp;", *")/$B16*100</f>
        <v>1.6666666666666667</v>
      </c>
      <c r="AM16" s="41">
        <f>COUNTIFS(集計用!$P:$P, "*"&amp;AM$4&amp;",*",集計用!$G:$G,"*, "&amp;$C16&amp;", *")/$B16*100</f>
        <v>0</v>
      </c>
      <c r="AN16" s="41">
        <f>COUNTIFS(集計用!$P:$P, "*"&amp;AN$4&amp;",*",集計用!$G:$G,"*, "&amp;$C16&amp;", *")/$B16*100</f>
        <v>0</v>
      </c>
      <c r="AO16" s="41">
        <f>COUNTIFS(集計用!$P:$P, "*"&amp;AO$4&amp;",*",集計用!$G:$G,"*, "&amp;$C16&amp;", *")/$B16*100</f>
        <v>1.6666666666666667</v>
      </c>
      <c r="AP16" s="41">
        <f>COUNTIFS(集計用!$P:$P, "*"&amp;AP$4&amp;",*",集計用!$G:$G,"*, "&amp;$C16&amp;", *")/$B16*100</f>
        <v>0</v>
      </c>
      <c r="AQ16" s="41">
        <f>COUNTIFS(集計用!$P:$P, "*"&amp;AQ$4&amp;",*",集計用!$G:$G,"*, "&amp;$C16&amp;", *")/$B16*100</f>
        <v>0</v>
      </c>
      <c r="AR16" s="41">
        <f>COUNTIFS(集計用!$P:$P, "*"&amp;AR$4&amp;",*",集計用!$G:$G,"*, "&amp;$C16&amp;", *")/$B16*100</f>
        <v>0</v>
      </c>
      <c r="AS16" s="41">
        <f>COUNTIFS(集計用!$P:$P, "*"&amp;AS$4&amp;",*",集計用!$G:$G,"*, "&amp;$C16&amp;", *")/$B16*100</f>
        <v>1.6666666666666667</v>
      </c>
      <c r="AT16" s="41">
        <f>COUNTIFS(集計用!$P:$P, "*"&amp;AT$4&amp;",*",集計用!$G:$G,"*, "&amp;$C16&amp;", *")/$B16*100</f>
        <v>0</v>
      </c>
      <c r="AU16" s="41">
        <f>COUNTIFS(集計用!$P:$P, "*"&amp;AU$4&amp;",*",集計用!$G:$G,"*, "&amp;$C16&amp;", *")/$B16*100</f>
        <v>0</v>
      </c>
      <c r="AV16" s="41">
        <f>COUNTIFS(集計用!$P:$P, "*"&amp;AV$4&amp;",*",集計用!$G:$G,"*, "&amp;$C16&amp;", *")/$B16*100</f>
        <v>0</v>
      </c>
      <c r="AW16" s="41">
        <f>COUNTIFS(集計用!$P:$P, "*"&amp;AW$4&amp;",*",集計用!$G:$G,"*, "&amp;$C16&amp;", *")/$B16*100</f>
        <v>0</v>
      </c>
      <c r="AX16" s="41">
        <f>COUNTIFS(集計用!$P:$P, "*"&amp;AX$4&amp;",*",集計用!$G:$G,"*, "&amp;$C16&amp;", *")/$B16*100</f>
        <v>0</v>
      </c>
      <c r="AY16" s="41">
        <f>COUNTIFS(集計用!$P:$P, "*"&amp;AY$4&amp;",*",集計用!$G:$G,"*, "&amp;$C16&amp;", *")/$B16*100</f>
        <v>1.6666666666666667</v>
      </c>
      <c r="AZ16" s="41">
        <f>COUNTIFS(集計用!$P:$P, "*"&amp;AZ$4&amp;",*",集計用!$G:$G,"*, "&amp;$C16&amp;", *")/$B16*100</f>
        <v>0</v>
      </c>
      <c r="BA16" s="41">
        <f>COUNTIFS(集計用!$P:$P, "*"&amp;BA$4&amp;",*",集計用!$G:$G,"*, "&amp;$C16&amp;", *")/$B16*100</f>
        <v>0</v>
      </c>
      <c r="BB16" s="41">
        <f>COUNTIFS(集計用!$P:$P, "*"&amp;BB$4&amp;",*",集計用!$G:$G,"*, "&amp;$C16&amp;", *")/$B16*100</f>
        <v>0</v>
      </c>
      <c r="BC16" s="41"/>
      <c r="BD16" s="41"/>
      <c r="BE16" s="41"/>
      <c r="BF16" s="41"/>
      <c r="BG16" s="41"/>
      <c r="BH16" s="41"/>
      <c r="BI16" s="41"/>
      <c r="BJ16" s="41"/>
      <c r="BK16" s="41"/>
      <c r="BL16" s="41"/>
      <c r="BM16" s="41"/>
      <c r="BN16" s="41"/>
      <c r="BO16" s="41"/>
      <c r="BP16" s="41"/>
      <c r="BQ16" s="41"/>
      <c r="BR16" s="41"/>
      <c r="BS16" s="41"/>
    </row>
    <row r="17" spans="1:71" ht="15.75" customHeight="1">
      <c r="A17" s="39">
        <v>2</v>
      </c>
      <c r="B17" s="39">
        <f>(COUNTIFS(集計用!$G:$G,"*, "&amp;$C17&amp;",*",集計用!$Q:$Q,"&lt;&gt;無回答"))</f>
        <v>60</v>
      </c>
      <c r="C17" s="42" t="s">
        <v>11</v>
      </c>
      <c r="D17" s="41">
        <f>COUNTIFS(集計用!$P:$P, "*"&amp;D$4&amp;",*",集計用!$G:$G,"*, "&amp;$C17&amp;", *")/$B17*100</f>
        <v>3.3333333333333335</v>
      </c>
      <c r="E17" s="41">
        <f>COUNTIFS(集計用!$P:$P, "*"&amp;E$4&amp;",*",集計用!$G:$G,"*, "&amp;$C17&amp;", *")/$B17*100</f>
        <v>0</v>
      </c>
      <c r="F17" s="41">
        <f>COUNTIFS(集計用!$P:$P, "*"&amp;F$4&amp;",*",集計用!$G:$G,"*, "&amp;$C17&amp;", *")/$B17*100</f>
        <v>1.6666666666666667</v>
      </c>
      <c r="G17" s="41">
        <f>COUNTIFS(集計用!$P:$P, "*"&amp;G$4&amp;",*",集計用!$G:$G,"*, "&amp;$C17&amp;", *")/$B17*100</f>
        <v>3.3333333333333335</v>
      </c>
      <c r="H17" s="41">
        <f>COUNTIFS(集計用!$P:$P, "*"&amp;H$4&amp;",*",集計用!$G:$G,"*, "&amp;$C17&amp;", *")/$B17*100</f>
        <v>0</v>
      </c>
      <c r="I17" s="41">
        <f>COUNTIFS(集計用!$P:$P, "*"&amp;I$4&amp;",*",集計用!$G:$G,"*, "&amp;$C17&amp;", *")/$B17*100</f>
        <v>1.6666666666666667</v>
      </c>
      <c r="J17" s="41">
        <f>COUNTIFS(集計用!$P:$P, "*"&amp;J$4&amp;",*",集計用!$G:$G,"*, "&amp;$C17&amp;", *")/$B17*100</f>
        <v>0</v>
      </c>
      <c r="K17" s="41">
        <f>COUNTIFS(集計用!$P:$P, "*"&amp;K$4&amp;",*",集計用!$G:$G,"*, "&amp;$C17&amp;", *")/$B17*100</f>
        <v>0</v>
      </c>
      <c r="L17" s="41">
        <f>COUNTIFS(集計用!$P:$P, "*"&amp;L$4&amp;",*",集計用!$G:$G,"*, "&amp;$C17&amp;", *")/$B17*100</f>
        <v>0</v>
      </c>
      <c r="M17" s="41">
        <f>COUNTIFS(集計用!$P:$P, "*"&amp;M$4&amp;",*",集計用!$G:$G,"*, "&amp;$C17&amp;", *")/$B17*100</f>
        <v>0</v>
      </c>
      <c r="N17" s="41">
        <f>COUNTIFS(集計用!$P:$P, "*"&amp;N$4&amp;",*",集計用!$G:$G,"*, "&amp;$C17&amp;", *")/$B17*100</f>
        <v>0</v>
      </c>
      <c r="O17" s="41">
        <f>COUNTIFS(集計用!$P:$P, "*"&amp;O$4&amp;",*",集計用!$G:$G,"*, "&amp;$C17&amp;", *")/$B17*100</f>
        <v>3.3333333333333335</v>
      </c>
      <c r="P17" s="41">
        <f>COUNTIFS(集計用!$P:$P, "*"&amp;P$4&amp;",*",集計用!$G:$G,"*, "&amp;$C17&amp;", *")/$B17*100</f>
        <v>0</v>
      </c>
      <c r="Q17" s="41">
        <f>COUNTIFS(集計用!$P:$P, "*"&amp;Q$4&amp;",*",集計用!$G:$G,"*, "&amp;$C17&amp;", *")/$B17*100</f>
        <v>0</v>
      </c>
      <c r="R17" s="41">
        <f>COUNTIFS(集計用!$P:$P, "*"&amp;R$4&amp;",*",集計用!$G:$G,"*, "&amp;$C17&amp;", *")/$B17*100</f>
        <v>0</v>
      </c>
      <c r="S17" s="41">
        <f>COUNTIFS(集計用!$P:$P, "*"&amp;S$4&amp;",*",集計用!$G:$G,"*, "&amp;$C17&amp;", *")/$B17*100</f>
        <v>0</v>
      </c>
      <c r="T17" s="41">
        <f>COUNTIFS(集計用!$P:$P, "*"&amp;T$4&amp;",*",集計用!$G:$G,"*, "&amp;$C17&amp;", *")/$B17*100</f>
        <v>0</v>
      </c>
      <c r="U17" s="41">
        <f>COUNTIFS(集計用!$P:$P, "*"&amp;U$4&amp;",*",集計用!$G:$G,"*, "&amp;$C17&amp;", *")/$B17*100</f>
        <v>0</v>
      </c>
      <c r="V17" s="41">
        <f>COUNTIFS(集計用!$P:$P, "*"&amp;V$4&amp;",*",集計用!$G:$G,"*, "&amp;$C17&amp;", *")/$B17*100</f>
        <v>0</v>
      </c>
      <c r="W17" s="41">
        <f>COUNTIFS(集計用!$P:$P, "*"&amp;W$4&amp;",*",集計用!$G:$G,"*, "&amp;$C17&amp;", *")/$B17*100</f>
        <v>0</v>
      </c>
      <c r="X17" s="41">
        <f>COUNTIFS(集計用!$P:$P, "*"&amp;X$4&amp;",*",集計用!$G:$G,"*, "&amp;$C17&amp;", *")/$B17*100</f>
        <v>0</v>
      </c>
      <c r="Y17" s="41">
        <f>COUNTIFS(集計用!$P:$P, "*"&amp;Y$4&amp;",*",集計用!$G:$G,"*, "&amp;$C17&amp;", *")/$B17*100</f>
        <v>0</v>
      </c>
      <c r="Z17" s="41">
        <f>COUNTIFS(集計用!$P:$P, "*"&amp;Z$4&amp;",*",集計用!$G:$G,"*, "&amp;$C17&amp;", *")/$B17*100</f>
        <v>0</v>
      </c>
      <c r="AA17" s="41">
        <f>COUNTIFS(集計用!$P:$P, "*"&amp;AA$4&amp;",*",集計用!$G:$G,"*, "&amp;$C17&amp;", *")/$B17*100</f>
        <v>0</v>
      </c>
      <c r="AB17" s="41">
        <f>COUNTIFS(集計用!$P:$P, "*"&amp;AB$4&amp;",*",集計用!$G:$G,"*, "&amp;$C17&amp;", *")/$B17*100</f>
        <v>0</v>
      </c>
      <c r="AC17" s="41">
        <f>COUNTIFS(集計用!$P:$P, "*"&amp;AC$4&amp;",*",集計用!$G:$G,"*, "&amp;$C17&amp;", *")/$B17*100</f>
        <v>0</v>
      </c>
      <c r="AD17" s="41">
        <f>COUNTIFS(集計用!$P:$P, "*"&amp;AD$4&amp;",*",集計用!$G:$G,"*, "&amp;$C17&amp;", *")/$B17*100</f>
        <v>0</v>
      </c>
      <c r="AE17" s="41">
        <f>COUNTIFS(集計用!$P:$P, "*"&amp;AE$4&amp;",*",集計用!$G:$G,"*, "&amp;$C17&amp;", *")/$B17*100</f>
        <v>0</v>
      </c>
      <c r="AF17" s="41">
        <f>COUNTIFS(集計用!$P:$P, "*"&amp;AF$4&amp;",*",集計用!$G:$G,"*, "&amp;$C17&amp;", *")/$B17*100</f>
        <v>0</v>
      </c>
      <c r="AG17" s="41">
        <f>COUNTIFS(集計用!$P:$P, "*"&amp;AG$4&amp;",*",集計用!$G:$G,"*, "&amp;$C17&amp;", *")/$B17*100</f>
        <v>0</v>
      </c>
      <c r="AH17" s="41">
        <f>COUNTIFS(集計用!$P:$P, "*"&amp;AH$4&amp;",*",集計用!$G:$G,"*, "&amp;$C17&amp;", *")/$B17*100</f>
        <v>0</v>
      </c>
      <c r="AI17" s="41">
        <f>COUNTIFS(集計用!$P:$P, "*"&amp;AI$4&amp;",*",集計用!$G:$G,"*, "&amp;$C17&amp;", *")/$B17*100</f>
        <v>0</v>
      </c>
      <c r="AJ17" s="41">
        <f>COUNTIFS(集計用!$P:$P, "*"&amp;AJ$4&amp;",*",集計用!$G:$G,"*, "&amp;$C17&amp;", *")/$B17*100</f>
        <v>0</v>
      </c>
      <c r="AK17" s="41">
        <f>COUNTIFS(集計用!$P:$P, "*"&amp;AK$4&amp;",*",集計用!$G:$G,"*, "&amp;$C17&amp;", *")/$B17*100</f>
        <v>0</v>
      </c>
      <c r="AL17" s="41">
        <f>COUNTIFS(集計用!$P:$P, "*"&amp;AL$4&amp;",*",集計用!$G:$G,"*, "&amp;$C17&amp;", *")/$B17*100</f>
        <v>0</v>
      </c>
      <c r="AM17" s="41">
        <f>COUNTIFS(集計用!$P:$P, "*"&amp;AM$4&amp;",*",集計用!$G:$G,"*, "&amp;$C17&amp;", *")/$B17*100</f>
        <v>0</v>
      </c>
      <c r="AN17" s="41">
        <f>COUNTIFS(集計用!$P:$P, "*"&amp;AN$4&amp;",*",集計用!$G:$G,"*, "&amp;$C17&amp;", *")/$B17*100</f>
        <v>0</v>
      </c>
      <c r="AO17" s="41">
        <f>COUNTIFS(集計用!$P:$P, "*"&amp;AO$4&amp;",*",集計用!$G:$G,"*, "&amp;$C17&amp;", *")/$B17*100</f>
        <v>0</v>
      </c>
      <c r="AP17" s="41">
        <f>COUNTIFS(集計用!$P:$P, "*"&amp;AP$4&amp;",*",集計用!$G:$G,"*, "&amp;$C17&amp;", *")/$B17*100</f>
        <v>0</v>
      </c>
      <c r="AQ17" s="41">
        <f>COUNTIFS(集計用!$P:$P, "*"&amp;AQ$4&amp;",*",集計用!$G:$G,"*, "&amp;$C17&amp;", *")/$B17*100</f>
        <v>0</v>
      </c>
      <c r="AR17" s="41">
        <f>COUNTIFS(集計用!$P:$P, "*"&amp;AR$4&amp;",*",集計用!$G:$G,"*, "&amp;$C17&amp;", *")/$B17*100</f>
        <v>0</v>
      </c>
      <c r="AS17" s="41">
        <f>COUNTIFS(集計用!$P:$P, "*"&amp;AS$4&amp;",*",集計用!$G:$G,"*, "&amp;$C17&amp;", *")/$B17*100</f>
        <v>0</v>
      </c>
      <c r="AT17" s="41">
        <f>COUNTIFS(集計用!$P:$P, "*"&amp;AT$4&amp;",*",集計用!$G:$G,"*, "&amp;$C17&amp;", *")/$B17*100</f>
        <v>0</v>
      </c>
      <c r="AU17" s="41">
        <f>COUNTIFS(集計用!$P:$P, "*"&amp;AU$4&amp;",*",集計用!$G:$G,"*, "&amp;$C17&amp;", *")/$B17*100</f>
        <v>1.6666666666666667</v>
      </c>
      <c r="AV17" s="41">
        <f>COUNTIFS(集計用!$P:$P, "*"&amp;AV$4&amp;",*",集計用!$G:$G,"*, "&amp;$C17&amp;", *")/$B17*100</f>
        <v>0</v>
      </c>
      <c r="AW17" s="41">
        <f>COUNTIFS(集計用!$P:$P, "*"&amp;AW$4&amp;",*",集計用!$G:$G,"*, "&amp;$C17&amp;", *")/$B17*100</f>
        <v>0</v>
      </c>
      <c r="AX17" s="41">
        <f>COUNTIFS(集計用!$P:$P, "*"&amp;AX$4&amp;",*",集計用!$G:$G,"*, "&amp;$C17&amp;", *")/$B17*100</f>
        <v>0</v>
      </c>
      <c r="AY17" s="41">
        <f>COUNTIFS(集計用!$P:$P, "*"&amp;AY$4&amp;",*",集計用!$G:$G,"*, "&amp;$C17&amp;", *")/$B17*100</f>
        <v>0</v>
      </c>
      <c r="AZ17" s="41">
        <f>COUNTIFS(集計用!$P:$P, "*"&amp;AZ$4&amp;",*",集計用!$G:$G,"*, "&amp;$C17&amp;", *")/$B17*100</f>
        <v>0</v>
      </c>
      <c r="BA17" s="41">
        <f>COUNTIFS(集計用!$P:$P, "*"&amp;BA$4&amp;",*",集計用!$G:$G,"*, "&amp;$C17&amp;", *")/$B17*100</f>
        <v>0</v>
      </c>
      <c r="BB17" s="41">
        <f>COUNTIFS(集計用!$P:$P, "*"&amp;BB$4&amp;",*",集計用!$G:$G,"*, "&amp;$C17&amp;", *")/$B17*100</f>
        <v>0</v>
      </c>
      <c r="BC17" s="41"/>
      <c r="BD17" s="41"/>
      <c r="BE17" s="41"/>
      <c r="BF17" s="41"/>
      <c r="BG17" s="41"/>
      <c r="BH17" s="41"/>
      <c r="BI17" s="41"/>
      <c r="BJ17" s="41"/>
      <c r="BK17" s="41"/>
      <c r="BL17" s="41"/>
      <c r="BM17" s="41"/>
      <c r="BN17" s="41"/>
      <c r="BO17" s="41"/>
      <c r="BP17" s="41"/>
      <c r="BQ17" s="41"/>
      <c r="BR17" s="41"/>
      <c r="BS17" s="41"/>
    </row>
    <row r="18" spans="1:71" ht="15.75" customHeight="1">
      <c r="A18" s="39">
        <v>6</v>
      </c>
      <c r="B18" s="39">
        <f>(COUNTIFS(集計用!$G:$G,"*, "&amp;$C18&amp;",*",集計用!$Q:$Q,"&lt;&gt;無回答"))</f>
        <v>57</v>
      </c>
      <c r="C18" s="42" t="s">
        <v>12</v>
      </c>
      <c r="D18" s="41">
        <f>COUNTIFS(集計用!$P:$P, "*"&amp;D$4&amp;",*",集計用!$G:$G,"*, "&amp;$C18&amp;", *")/$B18*100</f>
        <v>3.5087719298245612</v>
      </c>
      <c r="E18" s="41">
        <f>COUNTIFS(集計用!$P:$P, "*"&amp;E$4&amp;",*",集計用!$G:$G,"*, "&amp;$C18&amp;", *")/$B18*100</f>
        <v>1.7543859649122806</v>
      </c>
      <c r="F18" s="41">
        <f>COUNTIFS(集計用!$P:$P, "*"&amp;F$4&amp;",*",集計用!$G:$G,"*, "&amp;$C18&amp;", *")/$B18*100</f>
        <v>3.5087719298245612</v>
      </c>
      <c r="G18" s="41">
        <f>COUNTIFS(集計用!$P:$P, "*"&amp;G$4&amp;",*",集計用!$G:$G,"*, "&amp;$C18&amp;", *")/$B18*100</f>
        <v>1.7543859649122806</v>
      </c>
      <c r="H18" s="41">
        <f>COUNTIFS(集計用!$P:$P, "*"&amp;H$4&amp;",*",集計用!$G:$G,"*, "&amp;$C18&amp;", *")/$B18*100</f>
        <v>1.7543859649122806</v>
      </c>
      <c r="I18" s="41">
        <f>COUNTIFS(集計用!$P:$P, "*"&amp;I$4&amp;",*",集計用!$G:$G,"*, "&amp;$C18&amp;", *")/$B18*100</f>
        <v>0</v>
      </c>
      <c r="J18" s="41">
        <f>COUNTIFS(集計用!$P:$P, "*"&amp;J$4&amp;",*",集計用!$G:$G,"*, "&amp;$C18&amp;", *")/$B18*100</f>
        <v>0</v>
      </c>
      <c r="K18" s="41">
        <f>COUNTIFS(集計用!$P:$P, "*"&amp;K$4&amp;",*",集計用!$G:$G,"*, "&amp;$C18&amp;", *")/$B18*100</f>
        <v>1.7543859649122806</v>
      </c>
      <c r="L18" s="41">
        <f>COUNTIFS(集計用!$P:$P, "*"&amp;L$4&amp;",*",集計用!$G:$G,"*, "&amp;$C18&amp;", *")/$B18*100</f>
        <v>0</v>
      </c>
      <c r="M18" s="41">
        <f>COUNTIFS(集計用!$P:$P, "*"&amp;M$4&amp;",*",集計用!$G:$G,"*, "&amp;$C18&amp;", *")/$B18*100</f>
        <v>0</v>
      </c>
      <c r="N18" s="41">
        <f>COUNTIFS(集計用!$P:$P, "*"&amp;N$4&amp;",*",集計用!$G:$G,"*, "&amp;$C18&amp;", *")/$B18*100</f>
        <v>0</v>
      </c>
      <c r="O18" s="41">
        <f>COUNTIFS(集計用!$P:$P, "*"&amp;O$4&amp;",*",集計用!$G:$G,"*, "&amp;$C18&amp;", *")/$B18*100</f>
        <v>0</v>
      </c>
      <c r="P18" s="41">
        <f>COUNTIFS(集計用!$P:$P, "*"&amp;P$4&amp;",*",集計用!$G:$G,"*, "&amp;$C18&amp;", *")/$B18*100</f>
        <v>0</v>
      </c>
      <c r="Q18" s="41">
        <f>COUNTIFS(集計用!$P:$P, "*"&amp;Q$4&amp;",*",集計用!$G:$G,"*, "&amp;$C18&amp;", *")/$B18*100</f>
        <v>1.7543859649122806</v>
      </c>
      <c r="R18" s="41">
        <f>COUNTIFS(集計用!$P:$P, "*"&amp;R$4&amp;",*",集計用!$G:$G,"*, "&amp;$C18&amp;", *")/$B18*100</f>
        <v>0</v>
      </c>
      <c r="S18" s="41">
        <f>COUNTIFS(集計用!$P:$P, "*"&amp;S$4&amp;",*",集計用!$G:$G,"*, "&amp;$C18&amp;", *")/$B18*100</f>
        <v>0</v>
      </c>
      <c r="T18" s="41">
        <f>COUNTIFS(集計用!$P:$P, "*"&amp;T$4&amp;",*",集計用!$G:$G,"*, "&amp;$C18&amp;", *")/$B18*100</f>
        <v>0</v>
      </c>
      <c r="U18" s="41">
        <f>COUNTIFS(集計用!$P:$P, "*"&amp;U$4&amp;",*",集計用!$G:$G,"*, "&amp;$C18&amp;", *")/$B18*100</f>
        <v>0</v>
      </c>
      <c r="V18" s="41">
        <f>COUNTIFS(集計用!$P:$P, "*"&amp;V$4&amp;",*",集計用!$G:$G,"*, "&amp;$C18&amp;", *")/$B18*100</f>
        <v>0</v>
      </c>
      <c r="W18" s="41">
        <f>COUNTIFS(集計用!$P:$P, "*"&amp;W$4&amp;",*",集計用!$G:$G,"*, "&amp;$C18&amp;", *")/$B18*100</f>
        <v>0</v>
      </c>
      <c r="X18" s="41">
        <f>COUNTIFS(集計用!$P:$P, "*"&amp;X$4&amp;",*",集計用!$G:$G,"*, "&amp;$C18&amp;", *")/$B18*100</f>
        <v>0</v>
      </c>
      <c r="Y18" s="41">
        <f>COUNTIFS(集計用!$P:$P, "*"&amp;Y$4&amp;",*",集計用!$G:$G,"*, "&amp;$C18&amp;", *")/$B18*100</f>
        <v>0</v>
      </c>
      <c r="Z18" s="41">
        <f>COUNTIFS(集計用!$P:$P, "*"&amp;Z$4&amp;",*",集計用!$G:$G,"*, "&amp;$C18&amp;", *")/$B18*100</f>
        <v>0</v>
      </c>
      <c r="AA18" s="41">
        <f>COUNTIFS(集計用!$P:$P, "*"&amp;AA$4&amp;",*",集計用!$G:$G,"*, "&amp;$C18&amp;", *")/$B18*100</f>
        <v>0</v>
      </c>
      <c r="AB18" s="41">
        <f>COUNTIFS(集計用!$P:$P, "*"&amp;AB$4&amp;",*",集計用!$G:$G,"*, "&amp;$C18&amp;", *")/$B18*100</f>
        <v>0</v>
      </c>
      <c r="AC18" s="41">
        <f>COUNTIFS(集計用!$P:$P, "*"&amp;AC$4&amp;",*",集計用!$G:$G,"*, "&amp;$C18&amp;", *")/$B18*100</f>
        <v>0</v>
      </c>
      <c r="AD18" s="41">
        <f>COUNTIFS(集計用!$P:$P, "*"&amp;AD$4&amp;",*",集計用!$G:$G,"*, "&amp;$C18&amp;", *")/$B18*100</f>
        <v>0</v>
      </c>
      <c r="AE18" s="41">
        <f>COUNTIFS(集計用!$P:$P, "*"&amp;AE$4&amp;",*",集計用!$G:$G,"*, "&amp;$C18&amp;", *")/$B18*100</f>
        <v>0</v>
      </c>
      <c r="AF18" s="41">
        <f>COUNTIFS(集計用!$P:$P, "*"&amp;AF$4&amp;",*",集計用!$G:$G,"*, "&amp;$C18&amp;", *")/$B18*100</f>
        <v>0</v>
      </c>
      <c r="AG18" s="41">
        <f>COUNTIFS(集計用!$P:$P, "*"&amp;AG$4&amp;",*",集計用!$G:$G,"*, "&amp;$C18&amp;", *")/$B18*100</f>
        <v>1.7543859649122806</v>
      </c>
      <c r="AH18" s="41">
        <f>COUNTIFS(集計用!$P:$P, "*"&amp;AH$4&amp;",*",集計用!$G:$G,"*, "&amp;$C18&amp;", *")/$B18*100</f>
        <v>0</v>
      </c>
      <c r="AI18" s="41">
        <f>COUNTIFS(集計用!$P:$P, "*"&amp;AI$4&amp;",*",集計用!$G:$G,"*, "&amp;$C18&amp;", *")/$B18*100</f>
        <v>0</v>
      </c>
      <c r="AJ18" s="41">
        <f>COUNTIFS(集計用!$P:$P, "*"&amp;AJ$4&amp;",*",集計用!$G:$G,"*, "&amp;$C18&amp;", *")/$B18*100</f>
        <v>0</v>
      </c>
      <c r="AK18" s="41">
        <f>COUNTIFS(集計用!$P:$P, "*"&amp;AK$4&amp;",*",集計用!$G:$G,"*, "&amp;$C18&amp;", *")/$B18*100</f>
        <v>0</v>
      </c>
      <c r="AL18" s="41">
        <f>COUNTIFS(集計用!$P:$P, "*"&amp;AL$4&amp;",*",集計用!$G:$G,"*, "&amp;$C18&amp;", *")/$B18*100</f>
        <v>1.7543859649122806</v>
      </c>
      <c r="AM18" s="41">
        <f>COUNTIFS(集計用!$P:$P, "*"&amp;AM$4&amp;",*",集計用!$G:$G,"*, "&amp;$C18&amp;", *")/$B18*100</f>
        <v>1.7543859649122806</v>
      </c>
      <c r="AN18" s="41">
        <f>COUNTIFS(集計用!$P:$P, "*"&amp;AN$4&amp;",*",集計用!$G:$G,"*, "&amp;$C18&amp;", *")/$B18*100</f>
        <v>0</v>
      </c>
      <c r="AO18" s="41">
        <f>COUNTIFS(集計用!$P:$P, "*"&amp;AO$4&amp;",*",集計用!$G:$G,"*, "&amp;$C18&amp;", *")/$B18*100</f>
        <v>0</v>
      </c>
      <c r="AP18" s="41">
        <f>COUNTIFS(集計用!$P:$P, "*"&amp;AP$4&amp;",*",集計用!$G:$G,"*, "&amp;$C18&amp;", *")/$B18*100</f>
        <v>1.7543859649122806</v>
      </c>
      <c r="AQ18" s="41">
        <f>COUNTIFS(集計用!$P:$P, "*"&amp;AQ$4&amp;",*",集計用!$G:$G,"*, "&amp;$C18&amp;", *")/$B18*100</f>
        <v>0</v>
      </c>
      <c r="AR18" s="41">
        <f>COUNTIFS(集計用!$P:$P, "*"&amp;AR$4&amp;",*",集計用!$G:$G,"*, "&amp;$C18&amp;", *")/$B18*100</f>
        <v>0</v>
      </c>
      <c r="AS18" s="41">
        <f>COUNTIFS(集計用!$P:$P, "*"&amp;AS$4&amp;",*",集計用!$G:$G,"*, "&amp;$C18&amp;", *")/$B18*100</f>
        <v>0</v>
      </c>
      <c r="AT18" s="41">
        <f>COUNTIFS(集計用!$P:$P, "*"&amp;AT$4&amp;",*",集計用!$G:$G,"*, "&amp;$C18&amp;", *")/$B18*100</f>
        <v>0</v>
      </c>
      <c r="AU18" s="41">
        <f>COUNTIFS(集計用!$P:$P, "*"&amp;AU$4&amp;",*",集計用!$G:$G,"*, "&amp;$C18&amp;", *")/$B18*100</f>
        <v>0</v>
      </c>
      <c r="AV18" s="41">
        <f>COUNTIFS(集計用!$P:$P, "*"&amp;AV$4&amp;",*",集計用!$G:$G,"*, "&amp;$C18&amp;", *")/$B18*100</f>
        <v>0</v>
      </c>
      <c r="AW18" s="41">
        <f>COUNTIFS(集計用!$P:$P, "*"&amp;AW$4&amp;",*",集計用!$G:$G,"*, "&amp;$C18&amp;", *")/$B18*100</f>
        <v>1.7543859649122806</v>
      </c>
      <c r="AX18" s="41">
        <f>COUNTIFS(集計用!$P:$P, "*"&amp;AX$4&amp;",*",集計用!$G:$G,"*, "&amp;$C18&amp;", *")/$B18*100</f>
        <v>0</v>
      </c>
      <c r="AY18" s="41">
        <f>COUNTIFS(集計用!$P:$P, "*"&amp;AY$4&amp;",*",集計用!$G:$G,"*, "&amp;$C18&amp;", *")/$B18*100</f>
        <v>0</v>
      </c>
      <c r="AZ18" s="41">
        <f>COUNTIFS(集計用!$P:$P, "*"&amp;AZ$4&amp;",*",集計用!$G:$G,"*, "&amp;$C18&amp;", *")/$B18*100</f>
        <v>0</v>
      </c>
      <c r="BA18" s="41">
        <f>COUNTIFS(集計用!$P:$P, "*"&amp;BA$4&amp;",*",集計用!$G:$G,"*, "&amp;$C18&amp;", *")/$B18*100</f>
        <v>0</v>
      </c>
      <c r="BB18" s="41">
        <f>COUNTIFS(集計用!$P:$P, "*"&amp;BB$4&amp;",*",集計用!$G:$G,"*, "&amp;$C18&amp;", *")/$B18*100</f>
        <v>0</v>
      </c>
      <c r="BC18" s="41"/>
      <c r="BD18" s="41"/>
      <c r="BE18" s="41"/>
      <c r="BF18" s="41"/>
      <c r="BG18" s="41"/>
      <c r="BH18" s="41"/>
      <c r="BI18" s="41"/>
      <c r="BJ18" s="41"/>
      <c r="BK18" s="41"/>
      <c r="BL18" s="41"/>
      <c r="BM18" s="41"/>
      <c r="BN18" s="41"/>
      <c r="BO18" s="41"/>
      <c r="BP18" s="41"/>
      <c r="BQ18" s="41"/>
      <c r="BR18" s="41"/>
      <c r="BS18" s="41"/>
    </row>
    <row r="19" spans="1:71" ht="15.75" customHeight="1">
      <c r="A19" s="39">
        <v>6</v>
      </c>
      <c r="B19" s="39">
        <f>(COUNTIFS(集計用!$G:$G,"*, "&amp;$C19&amp;",*",集計用!$Q:$Q,"&lt;&gt;無回答"))</f>
        <v>54</v>
      </c>
      <c r="C19" s="42" t="s">
        <v>13</v>
      </c>
      <c r="D19" s="41">
        <f>COUNTIFS(集計用!$P:$P, "*"&amp;D$4&amp;",*",集計用!$G:$G,"*, "&amp;$C19&amp;", *")/$B19*100</f>
        <v>1.8518518518518516</v>
      </c>
      <c r="E19" s="41">
        <f>COUNTIFS(集計用!$P:$P, "*"&amp;E$4&amp;",*",集計用!$G:$G,"*, "&amp;$C19&amp;", *")/$B19*100</f>
        <v>0</v>
      </c>
      <c r="F19" s="41">
        <f>COUNTIFS(集計用!$P:$P, "*"&amp;F$4&amp;",*",集計用!$G:$G,"*, "&amp;$C19&amp;", *")/$B19*100</f>
        <v>0</v>
      </c>
      <c r="G19" s="41">
        <f>COUNTIFS(集計用!$P:$P, "*"&amp;G$4&amp;",*",集計用!$G:$G,"*, "&amp;$C19&amp;", *")/$B19*100</f>
        <v>3.7037037037037033</v>
      </c>
      <c r="H19" s="41">
        <f>COUNTIFS(集計用!$P:$P, "*"&amp;H$4&amp;",*",集計用!$G:$G,"*, "&amp;$C19&amp;", *")/$B19*100</f>
        <v>0</v>
      </c>
      <c r="I19" s="41">
        <f>COUNTIFS(集計用!$P:$P, "*"&amp;I$4&amp;",*",集計用!$G:$G,"*, "&amp;$C19&amp;", *")/$B19*100</f>
        <v>0</v>
      </c>
      <c r="J19" s="41">
        <f>COUNTIFS(集計用!$P:$P, "*"&amp;J$4&amp;",*",集計用!$G:$G,"*, "&amp;$C19&amp;", *")/$B19*100</f>
        <v>0</v>
      </c>
      <c r="K19" s="41">
        <f>COUNTIFS(集計用!$P:$P, "*"&amp;K$4&amp;",*",集計用!$G:$G,"*, "&amp;$C19&amp;", *")/$B19*100</f>
        <v>3.7037037037037033</v>
      </c>
      <c r="L19" s="41">
        <f>COUNTIFS(集計用!$P:$P, "*"&amp;L$4&amp;",*",集計用!$G:$G,"*, "&amp;$C19&amp;", *")/$B19*100</f>
        <v>0</v>
      </c>
      <c r="M19" s="41">
        <f>COUNTIFS(集計用!$P:$P, "*"&amp;M$4&amp;",*",集計用!$G:$G,"*, "&amp;$C19&amp;", *")/$B19*100</f>
        <v>0</v>
      </c>
      <c r="N19" s="41">
        <f>COUNTIFS(集計用!$P:$P, "*"&amp;N$4&amp;",*",集計用!$G:$G,"*, "&amp;$C19&amp;", *")/$B19*100</f>
        <v>0</v>
      </c>
      <c r="O19" s="41">
        <f>COUNTIFS(集計用!$P:$P, "*"&amp;O$4&amp;",*",集計用!$G:$G,"*, "&amp;$C19&amp;", *")/$B19*100</f>
        <v>0</v>
      </c>
      <c r="P19" s="41">
        <f>COUNTIFS(集計用!$P:$P, "*"&amp;P$4&amp;",*",集計用!$G:$G,"*, "&amp;$C19&amp;", *")/$B19*100</f>
        <v>0</v>
      </c>
      <c r="Q19" s="41">
        <f>COUNTIFS(集計用!$P:$P, "*"&amp;Q$4&amp;",*",集計用!$G:$G,"*, "&amp;$C19&amp;", *")/$B19*100</f>
        <v>3.7037037037037033</v>
      </c>
      <c r="R19" s="41">
        <f>COUNTIFS(集計用!$P:$P, "*"&amp;R$4&amp;",*",集計用!$G:$G,"*, "&amp;$C19&amp;", *")/$B19*100</f>
        <v>1.8518518518518516</v>
      </c>
      <c r="S19" s="41">
        <f>COUNTIFS(集計用!$P:$P, "*"&amp;S$4&amp;",*",集計用!$G:$G,"*, "&amp;$C19&amp;", *")/$B19*100</f>
        <v>0</v>
      </c>
      <c r="T19" s="41">
        <f>COUNTIFS(集計用!$P:$P, "*"&amp;T$4&amp;",*",集計用!$G:$G,"*, "&amp;$C19&amp;", *")/$B19*100</f>
        <v>0</v>
      </c>
      <c r="U19" s="41">
        <f>COUNTIFS(集計用!$P:$P, "*"&amp;U$4&amp;",*",集計用!$G:$G,"*, "&amp;$C19&amp;", *")/$B19*100</f>
        <v>0</v>
      </c>
      <c r="V19" s="41">
        <f>COUNTIFS(集計用!$P:$P, "*"&amp;V$4&amp;",*",集計用!$G:$G,"*, "&amp;$C19&amp;", *")/$B19*100</f>
        <v>0</v>
      </c>
      <c r="W19" s="41">
        <f>COUNTIFS(集計用!$P:$P, "*"&amp;W$4&amp;",*",集計用!$G:$G,"*, "&amp;$C19&amp;", *")/$B19*100</f>
        <v>0</v>
      </c>
      <c r="X19" s="41">
        <f>COUNTIFS(集計用!$P:$P, "*"&amp;X$4&amp;",*",集計用!$G:$G,"*, "&amp;$C19&amp;", *")/$B19*100</f>
        <v>0</v>
      </c>
      <c r="Y19" s="41">
        <f>COUNTIFS(集計用!$P:$P, "*"&amp;Y$4&amp;",*",集計用!$G:$G,"*, "&amp;$C19&amp;", *")/$B19*100</f>
        <v>0</v>
      </c>
      <c r="Z19" s="41">
        <f>COUNTIFS(集計用!$P:$P, "*"&amp;Z$4&amp;",*",集計用!$G:$G,"*, "&amp;$C19&amp;", *")/$B19*100</f>
        <v>0</v>
      </c>
      <c r="AA19" s="41">
        <f>COUNTIFS(集計用!$P:$P, "*"&amp;AA$4&amp;",*",集計用!$G:$G,"*, "&amp;$C19&amp;", *")/$B19*100</f>
        <v>0</v>
      </c>
      <c r="AB19" s="41">
        <f>COUNTIFS(集計用!$P:$P, "*"&amp;AB$4&amp;",*",集計用!$G:$G,"*, "&amp;$C19&amp;", *")/$B19*100</f>
        <v>0</v>
      </c>
      <c r="AC19" s="41">
        <f>COUNTIFS(集計用!$P:$P, "*"&amp;AC$4&amp;",*",集計用!$G:$G,"*, "&amp;$C19&amp;", *")/$B19*100</f>
        <v>0</v>
      </c>
      <c r="AD19" s="41">
        <f>COUNTIFS(集計用!$P:$P, "*"&amp;AD$4&amp;",*",集計用!$G:$G,"*, "&amp;$C19&amp;", *")/$B19*100</f>
        <v>0</v>
      </c>
      <c r="AE19" s="41">
        <f>COUNTIFS(集計用!$P:$P, "*"&amp;AE$4&amp;",*",集計用!$G:$G,"*, "&amp;$C19&amp;", *")/$B19*100</f>
        <v>0</v>
      </c>
      <c r="AF19" s="41">
        <f>COUNTIFS(集計用!$P:$P, "*"&amp;AF$4&amp;",*",集計用!$G:$G,"*, "&amp;$C19&amp;", *")/$B19*100</f>
        <v>0</v>
      </c>
      <c r="AG19" s="41">
        <f>COUNTIFS(集計用!$P:$P, "*"&amp;AG$4&amp;",*",集計用!$G:$G,"*, "&amp;$C19&amp;", *")/$B19*100</f>
        <v>1.8518518518518516</v>
      </c>
      <c r="AH19" s="41">
        <f>COUNTIFS(集計用!$P:$P, "*"&amp;AH$4&amp;",*",集計用!$G:$G,"*, "&amp;$C19&amp;", *")/$B19*100</f>
        <v>0</v>
      </c>
      <c r="AI19" s="41">
        <f>COUNTIFS(集計用!$P:$P, "*"&amp;AI$4&amp;",*",集計用!$G:$G,"*, "&amp;$C19&amp;", *")/$B19*100</f>
        <v>0</v>
      </c>
      <c r="AJ19" s="41">
        <f>COUNTIFS(集計用!$P:$P, "*"&amp;AJ$4&amp;",*",集計用!$G:$G,"*, "&amp;$C19&amp;", *")/$B19*100</f>
        <v>0</v>
      </c>
      <c r="AK19" s="41">
        <f>COUNTIFS(集計用!$P:$P, "*"&amp;AK$4&amp;",*",集計用!$G:$G,"*, "&amp;$C19&amp;", *")/$B19*100</f>
        <v>0</v>
      </c>
      <c r="AL19" s="41">
        <f>COUNTIFS(集計用!$P:$P, "*"&amp;AL$4&amp;",*",集計用!$G:$G,"*, "&amp;$C19&amp;", *")/$B19*100</f>
        <v>0</v>
      </c>
      <c r="AM19" s="41">
        <f>COUNTIFS(集計用!$P:$P, "*"&amp;AM$4&amp;",*",集計用!$G:$G,"*, "&amp;$C19&amp;", *")/$B19*100</f>
        <v>0</v>
      </c>
      <c r="AN19" s="41">
        <f>COUNTIFS(集計用!$P:$P, "*"&amp;AN$4&amp;",*",集計用!$G:$G,"*, "&amp;$C19&amp;", *")/$B19*100</f>
        <v>0</v>
      </c>
      <c r="AO19" s="41">
        <f>COUNTIFS(集計用!$P:$P, "*"&amp;AO$4&amp;",*",集計用!$G:$G,"*, "&amp;$C19&amp;", *")/$B19*100</f>
        <v>0</v>
      </c>
      <c r="AP19" s="41">
        <f>COUNTIFS(集計用!$P:$P, "*"&amp;AP$4&amp;",*",集計用!$G:$G,"*, "&amp;$C19&amp;", *")/$B19*100</f>
        <v>0</v>
      </c>
      <c r="AQ19" s="41">
        <f>COUNTIFS(集計用!$P:$P, "*"&amp;AQ$4&amp;",*",集計用!$G:$G,"*, "&amp;$C19&amp;", *")/$B19*100</f>
        <v>0</v>
      </c>
      <c r="AR19" s="41">
        <f>COUNTIFS(集計用!$P:$P, "*"&amp;AR$4&amp;",*",集計用!$G:$G,"*, "&amp;$C19&amp;", *")/$B19*100</f>
        <v>0</v>
      </c>
      <c r="AS19" s="41">
        <f>COUNTIFS(集計用!$P:$P, "*"&amp;AS$4&amp;",*",集計用!$G:$G,"*, "&amp;$C19&amp;", *")/$B19*100</f>
        <v>0</v>
      </c>
      <c r="AT19" s="41">
        <f>COUNTIFS(集計用!$P:$P, "*"&amp;AT$4&amp;",*",集計用!$G:$G,"*, "&amp;$C19&amp;", *")/$B19*100</f>
        <v>1.8518518518518516</v>
      </c>
      <c r="AU19" s="41">
        <f>COUNTIFS(集計用!$P:$P, "*"&amp;AU$4&amp;",*",集計用!$G:$G,"*, "&amp;$C19&amp;", *")/$B19*100</f>
        <v>0</v>
      </c>
      <c r="AV19" s="41">
        <f>COUNTIFS(集計用!$P:$P, "*"&amp;AV$4&amp;",*",集計用!$G:$G,"*, "&amp;$C19&amp;", *")/$B19*100</f>
        <v>0</v>
      </c>
      <c r="AW19" s="41">
        <f>COUNTIFS(集計用!$P:$P, "*"&amp;AW$4&amp;",*",集計用!$G:$G,"*, "&amp;$C19&amp;", *")/$B19*100</f>
        <v>0</v>
      </c>
      <c r="AX19" s="41">
        <f>COUNTIFS(集計用!$P:$P, "*"&amp;AX$4&amp;",*",集計用!$G:$G,"*, "&amp;$C19&amp;", *")/$B19*100</f>
        <v>0</v>
      </c>
      <c r="AY19" s="41">
        <f>COUNTIFS(集計用!$P:$P, "*"&amp;AY$4&amp;",*",集計用!$G:$G,"*, "&amp;$C19&amp;", *")/$B19*100</f>
        <v>0</v>
      </c>
      <c r="AZ19" s="41">
        <f>COUNTIFS(集計用!$P:$P, "*"&amp;AZ$4&amp;",*",集計用!$G:$G,"*, "&amp;$C19&amp;", *")/$B19*100</f>
        <v>0</v>
      </c>
      <c r="BA19" s="41">
        <f>COUNTIFS(集計用!$P:$P, "*"&amp;BA$4&amp;",*",集計用!$G:$G,"*, "&amp;$C19&amp;", *")/$B19*100</f>
        <v>0</v>
      </c>
      <c r="BB19" s="41">
        <f>COUNTIFS(集計用!$P:$P, "*"&amp;BB$4&amp;",*",集計用!$G:$G,"*, "&amp;$C19&amp;", *")/$B19*100</f>
        <v>0</v>
      </c>
      <c r="BC19" s="41"/>
      <c r="BD19" s="41"/>
      <c r="BE19" s="41"/>
      <c r="BF19" s="41"/>
      <c r="BG19" s="41"/>
      <c r="BH19" s="41"/>
      <c r="BI19" s="41"/>
      <c r="BJ19" s="41"/>
      <c r="BK19" s="41"/>
      <c r="BL19" s="41"/>
      <c r="BM19" s="41"/>
      <c r="BN19" s="41"/>
      <c r="BO19" s="41"/>
      <c r="BP19" s="41"/>
      <c r="BQ19" s="41"/>
      <c r="BR19" s="41"/>
      <c r="BS19" s="41"/>
    </row>
    <row r="20" spans="1:71" ht="15.75" customHeight="1">
      <c r="A20" s="39">
        <v>4</v>
      </c>
      <c r="B20" s="39">
        <f>(COUNTIFS(集計用!$G:$G,"*, "&amp;$C20&amp;",*",集計用!$Q:$Q,"&lt;&gt;無回答"))</f>
        <v>49</v>
      </c>
      <c r="C20" s="42" t="s">
        <v>14</v>
      </c>
      <c r="D20" s="41">
        <f>COUNTIFS(集計用!$P:$P, "*"&amp;D$4&amp;",*",集計用!$G:$G,"*, "&amp;$C20&amp;", *")/$B20*100</f>
        <v>4.0816326530612246</v>
      </c>
      <c r="E20" s="41">
        <f>COUNTIFS(集計用!$P:$P, "*"&amp;E$4&amp;",*",集計用!$G:$G,"*, "&amp;$C20&amp;", *")/$B20*100</f>
        <v>0</v>
      </c>
      <c r="F20" s="41">
        <f>COUNTIFS(集計用!$P:$P, "*"&amp;F$4&amp;",*",集計用!$G:$G,"*, "&amp;$C20&amp;", *")/$B20*100</f>
        <v>0</v>
      </c>
      <c r="G20" s="41">
        <f>COUNTIFS(集計用!$P:$P, "*"&amp;G$4&amp;",*",集計用!$G:$G,"*, "&amp;$C20&amp;", *")/$B20*100</f>
        <v>2.0408163265306123</v>
      </c>
      <c r="H20" s="41">
        <f>COUNTIFS(集計用!$P:$P, "*"&amp;H$4&amp;",*",集計用!$G:$G,"*, "&amp;$C20&amp;", *")/$B20*100</f>
        <v>0</v>
      </c>
      <c r="I20" s="41">
        <f>COUNTIFS(集計用!$P:$P, "*"&amp;I$4&amp;",*",集計用!$G:$G,"*, "&amp;$C20&amp;", *")/$B20*100</f>
        <v>0</v>
      </c>
      <c r="J20" s="41">
        <f>COUNTIFS(集計用!$P:$P, "*"&amp;J$4&amp;",*",集計用!$G:$G,"*, "&amp;$C20&amp;", *")/$B20*100</f>
        <v>0</v>
      </c>
      <c r="K20" s="41">
        <f>COUNTIFS(集計用!$P:$P, "*"&amp;K$4&amp;",*",集計用!$G:$G,"*, "&amp;$C20&amp;", *")/$B20*100</f>
        <v>0</v>
      </c>
      <c r="L20" s="41">
        <f>COUNTIFS(集計用!$P:$P, "*"&amp;L$4&amp;",*",集計用!$G:$G,"*, "&amp;$C20&amp;", *")/$B20*100</f>
        <v>0</v>
      </c>
      <c r="M20" s="41">
        <f>COUNTIFS(集計用!$P:$P, "*"&amp;M$4&amp;",*",集計用!$G:$G,"*, "&amp;$C20&amp;", *")/$B20*100</f>
        <v>0</v>
      </c>
      <c r="N20" s="41">
        <f>COUNTIFS(集計用!$P:$P, "*"&amp;N$4&amp;",*",集計用!$G:$G,"*, "&amp;$C20&amp;", *")/$B20*100</f>
        <v>0</v>
      </c>
      <c r="O20" s="41">
        <f>COUNTIFS(集計用!$P:$P, "*"&amp;O$4&amp;",*",集計用!$G:$G,"*, "&amp;$C20&amp;", *")/$B20*100</f>
        <v>0</v>
      </c>
      <c r="P20" s="41">
        <f>COUNTIFS(集計用!$P:$P, "*"&amp;P$4&amp;",*",集計用!$G:$G,"*, "&amp;$C20&amp;", *")/$B20*100</f>
        <v>0</v>
      </c>
      <c r="Q20" s="41">
        <f>COUNTIFS(集計用!$P:$P, "*"&amp;Q$4&amp;",*",集計用!$G:$G,"*, "&amp;$C20&amp;", *")/$B20*100</f>
        <v>0</v>
      </c>
      <c r="R20" s="41">
        <f>COUNTIFS(集計用!$P:$P, "*"&amp;R$4&amp;",*",集計用!$G:$G,"*, "&amp;$C20&amp;", *")/$B20*100</f>
        <v>0</v>
      </c>
      <c r="S20" s="41">
        <f>COUNTIFS(集計用!$P:$P, "*"&amp;S$4&amp;",*",集計用!$G:$G,"*, "&amp;$C20&amp;", *")/$B20*100</f>
        <v>0</v>
      </c>
      <c r="T20" s="41">
        <f>COUNTIFS(集計用!$P:$P, "*"&amp;T$4&amp;",*",集計用!$G:$G,"*, "&amp;$C20&amp;", *")/$B20*100</f>
        <v>0</v>
      </c>
      <c r="U20" s="41">
        <f>COUNTIFS(集計用!$P:$P, "*"&amp;U$4&amp;",*",集計用!$G:$G,"*, "&amp;$C20&amp;", *")/$B20*100</f>
        <v>0</v>
      </c>
      <c r="V20" s="41">
        <f>COUNTIFS(集計用!$P:$P, "*"&amp;V$4&amp;",*",集計用!$G:$G,"*, "&amp;$C20&amp;", *")/$B20*100</f>
        <v>0</v>
      </c>
      <c r="W20" s="41">
        <f>COUNTIFS(集計用!$P:$P, "*"&amp;W$4&amp;",*",集計用!$G:$G,"*, "&amp;$C20&amp;", *")/$B20*100</f>
        <v>0</v>
      </c>
      <c r="X20" s="41">
        <f>COUNTIFS(集計用!$P:$P, "*"&amp;X$4&amp;",*",集計用!$G:$G,"*, "&amp;$C20&amp;", *")/$B20*100</f>
        <v>0</v>
      </c>
      <c r="Y20" s="41">
        <f>COUNTIFS(集計用!$P:$P, "*"&amp;Y$4&amp;",*",集計用!$G:$G,"*, "&amp;$C20&amp;", *")/$B20*100</f>
        <v>0</v>
      </c>
      <c r="Z20" s="41">
        <f>COUNTIFS(集計用!$P:$P, "*"&amp;Z$4&amp;",*",集計用!$G:$G,"*, "&amp;$C20&amp;", *")/$B20*100</f>
        <v>0</v>
      </c>
      <c r="AA20" s="41">
        <f>COUNTIFS(集計用!$P:$P, "*"&amp;AA$4&amp;",*",集計用!$G:$G,"*, "&amp;$C20&amp;", *")/$B20*100</f>
        <v>0</v>
      </c>
      <c r="AB20" s="41">
        <f>COUNTIFS(集計用!$P:$P, "*"&amp;AB$4&amp;",*",集計用!$G:$G,"*, "&amp;$C20&amp;", *")/$B20*100</f>
        <v>0</v>
      </c>
      <c r="AC20" s="41">
        <f>COUNTIFS(集計用!$P:$P, "*"&amp;AC$4&amp;",*",集計用!$G:$G,"*, "&amp;$C20&amp;", *")/$B20*100</f>
        <v>0</v>
      </c>
      <c r="AD20" s="41">
        <f>COUNTIFS(集計用!$P:$P, "*"&amp;AD$4&amp;",*",集計用!$G:$G,"*, "&amp;$C20&amp;", *")/$B20*100</f>
        <v>0</v>
      </c>
      <c r="AE20" s="41">
        <f>COUNTIFS(集計用!$P:$P, "*"&amp;AE$4&amp;",*",集計用!$G:$G,"*, "&amp;$C20&amp;", *")/$B20*100</f>
        <v>0</v>
      </c>
      <c r="AF20" s="41">
        <f>COUNTIFS(集計用!$P:$P, "*"&amp;AF$4&amp;",*",集計用!$G:$G,"*, "&amp;$C20&amp;", *")/$B20*100</f>
        <v>0</v>
      </c>
      <c r="AG20" s="41">
        <f>COUNTIFS(集計用!$P:$P, "*"&amp;AG$4&amp;",*",集計用!$G:$G,"*, "&amp;$C20&amp;", *")/$B20*100</f>
        <v>0</v>
      </c>
      <c r="AH20" s="41">
        <f>COUNTIFS(集計用!$P:$P, "*"&amp;AH$4&amp;",*",集計用!$G:$G,"*, "&amp;$C20&amp;", *")/$B20*100</f>
        <v>0</v>
      </c>
      <c r="AI20" s="41">
        <f>COUNTIFS(集計用!$P:$P, "*"&amp;AI$4&amp;",*",集計用!$G:$G,"*, "&amp;$C20&amp;", *")/$B20*100</f>
        <v>0</v>
      </c>
      <c r="AJ20" s="41">
        <f>COUNTIFS(集計用!$P:$P, "*"&amp;AJ$4&amp;",*",集計用!$G:$G,"*, "&amp;$C20&amp;", *")/$B20*100</f>
        <v>0</v>
      </c>
      <c r="AK20" s="41">
        <f>COUNTIFS(集計用!$P:$P, "*"&amp;AK$4&amp;",*",集計用!$G:$G,"*, "&amp;$C20&amp;", *")/$B20*100</f>
        <v>0</v>
      </c>
      <c r="AL20" s="41">
        <f>COUNTIFS(集計用!$P:$P, "*"&amp;AL$4&amp;",*",集計用!$G:$G,"*, "&amp;$C20&amp;", *")/$B20*100</f>
        <v>0</v>
      </c>
      <c r="AM20" s="41">
        <f>COUNTIFS(集計用!$P:$P, "*"&amp;AM$4&amp;",*",集計用!$G:$G,"*, "&amp;$C20&amp;", *")/$B20*100</f>
        <v>2.0408163265306123</v>
      </c>
      <c r="AN20" s="41">
        <f>COUNTIFS(集計用!$P:$P, "*"&amp;AN$4&amp;",*",集計用!$G:$G,"*, "&amp;$C20&amp;", *")/$B20*100</f>
        <v>0</v>
      </c>
      <c r="AO20" s="41">
        <f>COUNTIFS(集計用!$P:$P, "*"&amp;AO$4&amp;",*",集計用!$G:$G,"*, "&amp;$C20&amp;", *")/$B20*100</f>
        <v>0</v>
      </c>
      <c r="AP20" s="41">
        <f>COUNTIFS(集計用!$P:$P, "*"&amp;AP$4&amp;",*",集計用!$G:$G,"*, "&amp;$C20&amp;", *")/$B20*100</f>
        <v>0</v>
      </c>
      <c r="AQ20" s="41">
        <f>COUNTIFS(集計用!$P:$P, "*"&amp;AQ$4&amp;",*",集計用!$G:$G,"*, "&amp;$C20&amp;", *")/$B20*100</f>
        <v>0</v>
      </c>
      <c r="AR20" s="41">
        <f>COUNTIFS(集計用!$P:$P, "*"&amp;AR$4&amp;",*",集計用!$G:$G,"*, "&amp;$C20&amp;", *")/$B20*100</f>
        <v>0</v>
      </c>
      <c r="AS20" s="41">
        <f>COUNTIFS(集計用!$P:$P, "*"&amp;AS$4&amp;",*",集計用!$G:$G,"*, "&amp;$C20&amp;", *")/$B20*100</f>
        <v>0</v>
      </c>
      <c r="AT20" s="41">
        <f>COUNTIFS(集計用!$P:$P, "*"&amp;AT$4&amp;",*",集計用!$G:$G,"*, "&amp;$C20&amp;", *")/$B20*100</f>
        <v>0</v>
      </c>
      <c r="AU20" s="41">
        <f>COUNTIFS(集計用!$P:$P, "*"&amp;AU$4&amp;",*",集計用!$G:$G,"*, "&amp;$C20&amp;", *")/$B20*100</f>
        <v>0</v>
      </c>
      <c r="AV20" s="41">
        <f>COUNTIFS(集計用!$P:$P, "*"&amp;AV$4&amp;",*",集計用!$G:$G,"*, "&amp;$C20&amp;", *")/$B20*100</f>
        <v>0</v>
      </c>
      <c r="AW20" s="41">
        <f>COUNTIFS(集計用!$P:$P, "*"&amp;AW$4&amp;",*",集計用!$G:$G,"*, "&amp;$C20&amp;", *")/$B20*100</f>
        <v>0</v>
      </c>
      <c r="AX20" s="41">
        <f>COUNTIFS(集計用!$P:$P, "*"&amp;AX$4&amp;",*",集計用!$G:$G,"*, "&amp;$C20&amp;", *")/$B20*100</f>
        <v>0</v>
      </c>
      <c r="AY20" s="41">
        <f>COUNTIFS(集計用!$P:$P, "*"&amp;AY$4&amp;",*",集計用!$G:$G,"*, "&amp;$C20&amp;", *")/$B20*100</f>
        <v>0</v>
      </c>
      <c r="AZ20" s="41">
        <f>COUNTIFS(集計用!$P:$P, "*"&amp;AZ$4&amp;",*",集計用!$G:$G,"*, "&amp;$C20&amp;", *")/$B20*100</f>
        <v>0</v>
      </c>
      <c r="BA20" s="41">
        <f>COUNTIFS(集計用!$P:$P, "*"&amp;BA$4&amp;",*",集計用!$G:$G,"*, "&amp;$C20&amp;", *")/$B20*100</f>
        <v>0</v>
      </c>
      <c r="BB20" s="41">
        <f>COUNTIFS(集計用!$P:$P, "*"&amp;BB$4&amp;",*",集計用!$G:$G,"*, "&amp;$C20&amp;", *")/$B20*100</f>
        <v>0</v>
      </c>
      <c r="BC20" s="41"/>
      <c r="BD20" s="41"/>
      <c r="BE20" s="41"/>
      <c r="BF20" s="41"/>
      <c r="BG20" s="41"/>
      <c r="BH20" s="41"/>
      <c r="BI20" s="41"/>
      <c r="BJ20" s="41"/>
      <c r="BK20" s="41"/>
      <c r="BL20" s="41"/>
      <c r="BM20" s="41"/>
      <c r="BN20" s="41"/>
      <c r="BO20" s="41"/>
      <c r="BP20" s="41"/>
      <c r="BQ20" s="41"/>
      <c r="BR20" s="41"/>
      <c r="BS20" s="41"/>
    </row>
    <row r="21" spans="1:71" ht="15.75" customHeight="1">
      <c r="A21" s="39">
        <v>3</v>
      </c>
      <c r="B21" s="39">
        <f>(COUNTIFS(集計用!$G:$G,"*, "&amp;$C21&amp;",*",集計用!$Q:$Q,"&lt;&gt;無回答"))</f>
        <v>48</v>
      </c>
      <c r="C21" s="42" t="s">
        <v>15</v>
      </c>
      <c r="D21" s="41">
        <f>COUNTIFS(集計用!$P:$P, "*"&amp;D$4&amp;",*",集計用!$G:$G,"*, "&amp;$C21&amp;", *")/$B21*100</f>
        <v>2.083333333333333</v>
      </c>
      <c r="E21" s="41">
        <f>COUNTIFS(集計用!$P:$P, "*"&amp;E$4&amp;",*",集計用!$G:$G,"*, "&amp;$C21&amp;", *")/$B21*100</f>
        <v>6.25</v>
      </c>
      <c r="F21" s="41">
        <f>COUNTIFS(集計用!$P:$P, "*"&amp;F$4&amp;",*",集計用!$G:$G,"*, "&amp;$C21&amp;", *")/$B21*100</f>
        <v>4.1666666666666661</v>
      </c>
      <c r="G21" s="41">
        <f>COUNTIFS(集計用!$P:$P, "*"&amp;G$4&amp;",*",集計用!$G:$G,"*, "&amp;$C21&amp;", *")/$B21*100</f>
        <v>2.083333333333333</v>
      </c>
      <c r="H21" s="41">
        <f>COUNTIFS(集計用!$P:$P, "*"&amp;H$4&amp;",*",集計用!$G:$G,"*, "&amp;$C21&amp;", *")/$B21*100</f>
        <v>0</v>
      </c>
      <c r="I21" s="41">
        <f>COUNTIFS(集計用!$P:$P, "*"&amp;I$4&amp;",*",集計用!$G:$G,"*, "&amp;$C21&amp;", *")/$B21*100</f>
        <v>2.083333333333333</v>
      </c>
      <c r="J21" s="41">
        <f>COUNTIFS(集計用!$P:$P, "*"&amp;J$4&amp;",*",集計用!$G:$G,"*, "&amp;$C21&amp;", *")/$B21*100</f>
        <v>0</v>
      </c>
      <c r="K21" s="41">
        <f>COUNTIFS(集計用!$P:$P, "*"&amp;K$4&amp;",*",集計用!$G:$G,"*, "&amp;$C21&amp;", *")/$B21*100</f>
        <v>0</v>
      </c>
      <c r="L21" s="41">
        <f>COUNTIFS(集計用!$P:$P, "*"&amp;L$4&amp;",*",集計用!$G:$G,"*, "&amp;$C21&amp;", *")/$B21*100</f>
        <v>0</v>
      </c>
      <c r="M21" s="41">
        <f>COUNTIFS(集計用!$P:$P, "*"&amp;M$4&amp;",*",集計用!$G:$G,"*, "&amp;$C21&amp;", *")/$B21*100</f>
        <v>0</v>
      </c>
      <c r="N21" s="41">
        <f>COUNTIFS(集計用!$P:$P, "*"&amp;N$4&amp;",*",集計用!$G:$G,"*, "&amp;$C21&amp;", *")/$B21*100</f>
        <v>0</v>
      </c>
      <c r="O21" s="41">
        <f>COUNTIFS(集計用!$P:$P, "*"&amp;O$4&amp;",*",集計用!$G:$G,"*, "&amp;$C21&amp;", *")/$B21*100</f>
        <v>0</v>
      </c>
      <c r="P21" s="41">
        <f>COUNTIFS(集計用!$P:$P, "*"&amp;P$4&amp;",*",集計用!$G:$G,"*, "&amp;$C21&amp;", *")/$B21*100</f>
        <v>0</v>
      </c>
      <c r="Q21" s="41">
        <f>COUNTIFS(集計用!$P:$P, "*"&amp;Q$4&amp;",*",集計用!$G:$G,"*, "&amp;$C21&amp;", *")/$B21*100</f>
        <v>0</v>
      </c>
      <c r="R21" s="41">
        <f>COUNTIFS(集計用!$P:$P, "*"&amp;R$4&amp;",*",集計用!$G:$G,"*, "&amp;$C21&amp;", *")/$B21*100</f>
        <v>0</v>
      </c>
      <c r="S21" s="41">
        <f>COUNTIFS(集計用!$P:$P, "*"&amp;S$4&amp;",*",集計用!$G:$G,"*, "&amp;$C21&amp;", *")/$B21*100</f>
        <v>0</v>
      </c>
      <c r="T21" s="41">
        <f>COUNTIFS(集計用!$P:$P, "*"&amp;T$4&amp;",*",集計用!$G:$G,"*, "&amp;$C21&amp;", *")/$B21*100</f>
        <v>2.083333333333333</v>
      </c>
      <c r="U21" s="41">
        <f>COUNTIFS(集計用!$P:$P, "*"&amp;U$4&amp;",*",集計用!$G:$G,"*, "&amp;$C21&amp;", *")/$B21*100</f>
        <v>0</v>
      </c>
      <c r="V21" s="41">
        <f>COUNTIFS(集計用!$P:$P, "*"&amp;V$4&amp;",*",集計用!$G:$G,"*, "&amp;$C21&amp;", *")/$B21*100</f>
        <v>2.083333333333333</v>
      </c>
      <c r="W21" s="41">
        <f>COUNTIFS(集計用!$P:$P, "*"&amp;W$4&amp;",*",集計用!$G:$G,"*, "&amp;$C21&amp;", *")/$B21*100</f>
        <v>2.083333333333333</v>
      </c>
      <c r="X21" s="41">
        <f>COUNTIFS(集計用!$P:$P, "*"&amp;X$4&amp;",*",集計用!$G:$G,"*, "&amp;$C21&amp;", *")/$B21*100</f>
        <v>2.083333333333333</v>
      </c>
      <c r="Y21" s="41">
        <f>COUNTIFS(集計用!$P:$P, "*"&amp;Y$4&amp;",*",集計用!$G:$G,"*, "&amp;$C21&amp;", *")/$B21*100</f>
        <v>0</v>
      </c>
      <c r="Z21" s="41">
        <f>COUNTIFS(集計用!$P:$P, "*"&amp;Z$4&amp;",*",集計用!$G:$G,"*, "&amp;$C21&amp;", *")/$B21*100</f>
        <v>2.083333333333333</v>
      </c>
      <c r="AA21" s="41">
        <f>COUNTIFS(集計用!$P:$P, "*"&amp;AA$4&amp;",*",集計用!$G:$G,"*, "&amp;$C21&amp;", *")/$B21*100</f>
        <v>2.083333333333333</v>
      </c>
      <c r="AB21" s="41">
        <f>COUNTIFS(集計用!$P:$P, "*"&amp;AB$4&amp;",*",集計用!$G:$G,"*, "&amp;$C21&amp;", *")/$B21*100</f>
        <v>0</v>
      </c>
      <c r="AC21" s="41">
        <f>COUNTIFS(集計用!$P:$P, "*"&amp;AC$4&amp;",*",集計用!$G:$G,"*, "&amp;$C21&amp;", *")/$B21*100</f>
        <v>2.083333333333333</v>
      </c>
      <c r="AD21" s="41">
        <f>COUNTIFS(集計用!$P:$P, "*"&amp;AD$4&amp;",*",集計用!$G:$G,"*, "&amp;$C21&amp;", *")/$B21*100</f>
        <v>2.083333333333333</v>
      </c>
      <c r="AE21" s="41">
        <f>COUNTIFS(集計用!$P:$P, "*"&amp;AE$4&amp;",*",集計用!$G:$G,"*, "&amp;$C21&amp;", *")/$B21*100</f>
        <v>2.083333333333333</v>
      </c>
      <c r="AF21" s="41">
        <f>COUNTIFS(集計用!$P:$P, "*"&amp;AF$4&amp;",*",集計用!$G:$G,"*, "&amp;$C21&amp;", *")/$B21*100</f>
        <v>0</v>
      </c>
      <c r="AG21" s="41">
        <f>COUNTIFS(集計用!$P:$P, "*"&amp;AG$4&amp;",*",集計用!$G:$G,"*, "&amp;$C21&amp;", *")/$B21*100</f>
        <v>0</v>
      </c>
      <c r="AH21" s="41">
        <f>COUNTIFS(集計用!$P:$P, "*"&amp;AH$4&amp;",*",集計用!$G:$G,"*, "&amp;$C21&amp;", *")/$B21*100</f>
        <v>0</v>
      </c>
      <c r="AI21" s="41">
        <f>COUNTIFS(集計用!$P:$P, "*"&amp;AI$4&amp;",*",集計用!$G:$G,"*, "&amp;$C21&amp;", *")/$B21*100</f>
        <v>0</v>
      </c>
      <c r="AJ21" s="41">
        <f>COUNTIFS(集計用!$P:$P, "*"&amp;AJ$4&amp;",*",集計用!$G:$G,"*, "&amp;$C21&amp;", *")/$B21*100</f>
        <v>0</v>
      </c>
      <c r="AK21" s="41">
        <f>COUNTIFS(集計用!$P:$P, "*"&amp;AK$4&amp;",*",集計用!$G:$G,"*, "&amp;$C21&amp;", *")/$B21*100</f>
        <v>0</v>
      </c>
      <c r="AL21" s="41">
        <f>COUNTIFS(集計用!$P:$P, "*"&amp;AL$4&amp;",*",集計用!$G:$G,"*, "&amp;$C21&amp;", *")/$B21*100</f>
        <v>0</v>
      </c>
      <c r="AM21" s="41">
        <f>COUNTIFS(集計用!$P:$P, "*"&amp;AM$4&amp;",*",集計用!$G:$G,"*, "&amp;$C21&amp;", *")/$B21*100</f>
        <v>0</v>
      </c>
      <c r="AN21" s="41">
        <f>COUNTIFS(集計用!$P:$P, "*"&amp;AN$4&amp;",*",集計用!$G:$G,"*, "&amp;$C21&amp;", *")/$B21*100</f>
        <v>0</v>
      </c>
      <c r="AO21" s="41">
        <f>COUNTIFS(集計用!$P:$P, "*"&amp;AO$4&amp;",*",集計用!$G:$G,"*, "&amp;$C21&amp;", *")/$B21*100</f>
        <v>0</v>
      </c>
      <c r="AP21" s="41">
        <f>COUNTIFS(集計用!$P:$P, "*"&amp;AP$4&amp;",*",集計用!$G:$G,"*, "&amp;$C21&amp;", *")/$B21*100</f>
        <v>0</v>
      </c>
      <c r="AQ21" s="41">
        <f>COUNTIFS(集計用!$P:$P, "*"&amp;AQ$4&amp;",*",集計用!$G:$G,"*, "&amp;$C21&amp;", *")/$B21*100</f>
        <v>0</v>
      </c>
      <c r="AR21" s="41">
        <f>COUNTIFS(集計用!$P:$P, "*"&amp;AR$4&amp;",*",集計用!$G:$G,"*, "&amp;$C21&amp;", *")/$B21*100</f>
        <v>0</v>
      </c>
      <c r="AS21" s="41">
        <f>COUNTIFS(集計用!$P:$P, "*"&amp;AS$4&amp;",*",集計用!$G:$G,"*, "&amp;$C21&amp;", *")/$B21*100</f>
        <v>2.083333333333333</v>
      </c>
      <c r="AT21" s="41">
        <f>COUNTIFS(集計用!$P:$P, "*"&amp;AT$4&amp;",*",集計用!$G:$G,"*, "&amp;$C21&amp;", *")/$B21*100</f>
        <v>0</v>
      </c>
      <c r="AU21" s="41">
        <f>COUNTIFS(集計用!$P:$P, "*"&amp;AU$4&amp;",*",集計用!$G:$G,"*, "&amp;$C21&amp;", *")/$B21*100</f>
        <v>0</v>
      </c>
      <c r="AV21" s="41">
        <f>COUNTIFS(集計用!$P:$P, "*"&amp;AV$4&amp;",*",集計用!$G:$G,"*, "&amp;$C21&amp;", *")/$B21*100</f>
        <v>2.083333333333333</v>
      </c>
      <c r="AW21" s="41">
        <f>COUNTIFS(集計用!$P:$P, "*"&amp;AW$4&amp;",*",集計用!$G:$G,"*, "&amp;$C21&amp;", *")/$B21*100</f>
        <v>2.083333333333333</v>
      </c>
      <c r="AX21" s="41">
        <f>COUNTIFS(集計用!$P:$P, "*"&amp;AX$4&amp;",*",集計用!$G:$G,"*, "&amp;$C21&amp;", *")/$B21*100</f>
        <v>0</v>
      </c>
      <c r="AY21" s="41">
        <f>COUNTIFS(集計用!$P:$P, "*"&amp;AY$4&amp;",*",集計用!$G:$G,"*, "&amp;$C21&amp;", *")/$B21*100</f>
        <v>0</v>
      </c>
      <c r="AZ21" s="41">
        <f>COUNTIFS(集計用!$P:$P, "*"&amp;AZ$4&amp;",*",集計用!$G:$G,"*, "&amp;$C21&amp;", *")/$B21*100</f>
        <v>0</v>
      </c>
      <c r="BA21" s="41">
        <f>COUNTIFS(集計用!$P:$P, "*"&amp;BA$4&amp;",*",集計用!$G:$G,"*, "&amp;$C21&amp;", *")/$B21*100</f>
        <v>0</v>
      </c>
      <c r="BB21" s="41">
        <f>COUNTIFS(集計用!$P:$P, "*"&amp;BB$4&amp;",*",集計用!$G:$G,"*, "&amp;$C21&amp;", *")/$B21*100</f>
        <v>0</v>
      </c>
      <c r="BC21" s="41"/>
      <c r="BD21" s="41"/>
      <c r="BE21" s="41"/>
      <c r="BF21" s="41"/>
      <c r="BG21" s="41"/>
      <c r="BH21" s="41"/>
      <c r="BI21" s="41"/>
      <c r="BJ21" s="41"/>
      <c r="BK21" s="41"/>
      <c r="BL21" s="41"/>
      <c r="BM21" s="41"/>
      <c r="BN21" s="41"/>
      <c r="BO21" s="41"/>
      <c r="BP21" s="41"/>
      <c r="BQ21" s="41"/>
      <c r="BR21" s="41"/>
      <c r="BS21" s="41"/>
    </row>
    <row r="22" spans="1:71" ht="15.75" customHeight="1">
      <c r="A22" s="39">
        <v>5</v>
      </c>
      <c r="B22" s="39">
        <f>(COUNTIFS(集計用!$G:$G,"*, "&amp;$C22&amp;",*",集計用!$Q:$Q,"&lt;&gt;無回答"))</f>
        <v>46</v>
      </c>
      <c r="C22" s="42" t="s">
        <v>16</v>
      </c>
      <c r="D22" s="41">
        <f>COUNTIFS(集計用!$P:$P, "*"&amp;D$4&amp;",*",集計用!$G:$G,"*, "&amp;$C22&amp;", *")/$B22*100</f>
        <v>0</v>
      </c>
      <c r="E22" s="41">
        <f>COUNTIFS(集計用!$P:$P, "*"&amp;E$4&amp;",*",集計用!$G:$G,"*, "&amp;$C22&amp;", *")/$B22*100</f>
        <v>2.1739130434782608</v>
      </c>
      <c r="F22" s="41">
        <f>COUNTIFS(集計用!$P:$P, "*"&amp;F$4&amp;",*",集計用!$G:$G,"*, "&amp;$C22&amp;", *")/$B22*100</f>
        <v>0</v>
      </c>
      <c r="G22" s="41">
        <f>COUNTIFS(集計用!$P:$P, "*"&amp;G$4&amp;",*",集計用!$G:$G,"*, "&amp;$C22&amp;", *")/$B22*100</f>
        <v>0</v>
      </c>
      <c r="H22" s="41">
        <f>COUNTIFS(集計用!$P:$P, "*"&amp;H$4&amp;",*",集計用!$G:$G,"*, "&amp;$C22&amp;", *")/$B22*100</f>
        <v>2.1739130434782608</v>
      </c>
      <c r="I22" s="41">
        <f>COUNTIFS(集計用!$P:$P, "*"&amp;I$4&amp;",*",集計用!$G:$G,"*, "&amp;$C22&amp;", *")/$B22*100</f>
        <v>0</v>
      </c>
      <c r="J22" s="41">
        <f>COUNTIFS(集計用!$P:$P, "*"&amp;J$4&amp;",*",集計用!$G:$G,"*, "&amp;$C22&amp;", *")/$B22*100</f>
        <v>0</v>
      </c>
      <c r="K22" s="41">
        <f>COUNTIFS(集計用!$P:$P, "*"&amp;K$4&amp;",*",集計用!$G:$G,"*, "&amp;$C22&amp;", *")/$B22*100</f>
        <v>0</v>
      </c>
      <c r="L22" s="41">
        <f>COUNTIFS(集計用!$P:$P, "*"&amp;L$4&amp;",*",集計用!$G:$G,"*, "&amp;$C22&amp;", *")/$B22*100</f>
        <v>0</v>
      </c>
      <c r="M22" s="41">
        <f>COUNTIFS(集計用!$P:$P, "*"&amp;M$4&amp;",*",集計用!$G:$G,"*, "&amp;$C22&amp;", *")/$B22*100</f>
        <v>0</v>
      </c>
      <c r="N22" s="41">
        <f>COUNTIFS(集計用!$P:$P, "*"&amp;N$4&amp;",*",集計用!$G:$G,"*, "&amp;$C22&amp;", *")/$B22*100</f>
        <v>0</v>
      </c>
      <c r="O22" s="41">
        <f>COUNTIFS(集計用!$P:$P, "*"&amp;O$4&amp;",*",集計用!$G:$G,"*, "&amp;$C22&amp;", *")/$B22*100</f>
        <v>0</v>
      </c>
      <c r="P22" s="41">
        <f>COUNTIFS(集計用!$P:$P, "*"&amp;P$4&amp;",*",集計用!$G:$G,"*, "&amp;$C22&amp;", *")/$B22*100</f>
        <v>0</v>
      </c>
      <c r="Q22" s="41">
        <f>COUNTIFS(集計用!$P:$P, "*"&amp;Q$4&amp;",*",集計用!$G:$G,"*, "&amp;$C22&amp;", *")/$B22*100</f>
        <v>0</v>
      </c>
      <c r="R22" s="41">
        <f>COUNTIFS(集計用!$P:$P, "*"&amp;R$4&amp;",*",集計用!$G:$G,"*, "&amp;$C22&amp;", *")/$B22*100</f>
        <v>0</v>
      </c>
      <c r="S22" s="41">
        <f>COUNTIFS(集計用!$P:$P, "*"&amp;S$4&amp;",*",集計用!$G:$G,"*, "&amp;$C22&amp;", *")/$B22*100</f>
        <v>0</v>
      </c>
      <c r="T22" s="41">
        <f>COUNTIFS(集計用!$P:$P, "*"&amp;T$4&amp;",*",集計用!$G:$G,"*, "&amp;$C22&amp;", *")/$B22*100</f>
        <v>0</v>
      </c>
      <c r="U22" s="41">
        <f>COUNTIFS(集計用!$P:$P, "*"&amp;U$4&amp;",*",集計用!$G:$G,"*, "&amp;$C22&amp;", *")/$B22*100</f>
        <v>0</v>
      </c>
      <c r="V22" s="41">
        <f>COUNTIFS(集計用!$P:$P, "*"&amp;V$4&amp;",*",集計用!$G:$G,"*, "&amp;$C22&amp;", *")/$B22*100</f>
        <v>0</v>
      </c>
      <c r="W22" s="41">
        <f>COUNTIFS(集計用!$P:$P, "*"&amp;W$4&amp;",*",集計用!$G:$G,"*, "&amp;$C22&amp;", *")/$B22*100</f>
        <v>0</v>
      </c>
      <c r="X22" s="41">
        <f>COUNTIFS(集計用!$P:$P, "*"&amp;X$4&amp;",*",集計用!$G:$G,"*, "&amp;$C22&amp;", *")/$B22*100</f>
        <v>2.1739130434782608</v>
      </c>
      <c r="Y22" s="41">
        <f>COUNTIFS(集計用!$P:$P, "*"&amp;Y$4&amp;",*",集計用!$G:$G,"*, "&amp;$C22&amp;", *")/$B22*100</f>
        <v>0</v>
      </c>
      <c r="Z22" s="41">
        <f>COUNTIFS(集計用!$P:$P, "*"&amp;Z$4&amp;",*",集計用!$G:$G,"*, "&amp;$C22&amp;", *")/$B22*100</f>
        <v>2.1739130434782608</v>
      </c>
      <c r="AA22" s="41">
        <f>COUNTIFS(集計用!$P:$P, "*"&amp;AA$4&amp;",*",集計用!$G:$G,"*, "&amp;$C22&amp;", *")/$B22*100</f>
        <v>0</v>
      </c>
      <c r="AB22" s="41">
        <f>COUNTIFS(集計用!$P:$P, "*"&amp;AB$4&amp;",*",集計用!$G:$G,"*, "&amp;$C22&amp;", *")/$B22*100</f>
        <v>0</v>
      </c>
      <c r="AC22" s="41">
        <f>COUNTIFS(集計用!$P:$P, "*"&amp;AC$4&amp;",*",集計用!$G:$G,"*, "&amp;$C22&amp;", *")/$B22*100</f>
        <v>0</v>
      </c>
      <c r="AD22" s="41">
        <f>COUNTIFS(集計用!$P:$P, "*"&amp;AD$4&amp;",*",集計用!$G:$G,"*, "&amp;$C22&amp;", *")/$B22*100</f>
        <v>0</v>
      </c>
      <c r="AE22" s="41">
        <f>COUNTIFS(集計用!$P:$P, "*"&amp;AE$4&amp;",*",集計用!$G:$G,"*, "&amp;$C22&amp;", *")/$B22*100</f>
        <v>0</v>
      </c>
      <c r="AF22" s="41">
        <f>COUNTIFS(集計用!$P:$P, "*"&amp;AF$4&amp;",*",集計用!$G:$G,"*, "&amp;$C22&amp;", *")/$B22*100</f>
        <v>0</v>
      </c>
      <c r="AG22" s="41">
        <f>COUNTIFS(集計用!$P:$P, "*"&amp;AG$4&amp;",*",集計用!$G:$G,"*, "&amp;$C22&amp;", *")/$B22*100</f>
        <v>0</v>
      </c>
      <c r="AH22" s="41">
        <f>COUNTIFS(集計用!$P:$P, "*"&amp;AH$4&amp;",*",集計用!$G:$G,"*, "&amp;$C22&amp;", *")/$B22*100</f>
        <v>0</v>
      </c>
      <c r="AI22" s="41">
        <f>COUNTIFS(集計用!$P:$P, "*"&amp;AI$4&amp;",*",集計用!$G:$G,"*, "&amp;$C22&amp;", *")/$B22*100</f>
        <v>0</v>
      </c>
      <c r="AJ22" s="41">
        <f>COUNTIFS(集計用!$P:$P, "*"&amp;AJ$4&amp;",*",集計用!$G:$G,"*, "&amp;$C22&amp;", *")/$B22*100</f>
        <v>0</v>
      </c>
      <c r="AK22" s="41">
        <f>COUNTIFS(集計用!$P:$P, "*"&amp;AK$4&amp;",*",集計用!$G:$G,"*, "&amp;$C22&amp;", *")/$B22*100</f>
        <v>2.1739130434782608</v>
      </c>
      <c r="AL22" s="41">
        <f>COUNTIFS(集計用!$P:$P, "*"&amp;AL$4&amp;",*",集計用!$G:$G,"*, "&amp;$C22&amp;", *")/$B22*100</f>
        <v>2.1739130434782608</v>
      </c>
      <c r="AM22" s="41">
        <f>COUNTIFS(集計用!$P:$P, "*"&amp;AM$4&amp;",*",集計用!$G:$G,"*, "&amp;$C22&amp;", *")/$B22*100</f>
        <v>0</v>
      </c>
      <c r="AN22" s="41">
        <f>COUNTIFS(集計用!$P:$P, "*"&amp;AN$4&amp;",*",集計用!$G:$G,"*, "&amp;$C22&amp;", *")/$B22*100</f>
        <v>0</v>
      </c>
      <c r="AO22" s="41">
        <f>COUNTIFS(集計用!$P:$P, "*"&amp;AO$4&amp;",*",集計用!$G:$G,"*, "&amp;$C22&amp;", *")/$B22*100</f>
        <v>2.1739130434782608</v>
      </c>
      <c r="AP22" s="41">
        <f>COUNTIFS(集計用!$P:$P, "*"&amp;AP$4&amp;",*",集計用!$G:$G,"*, "&amp;$C22&amp;", *")/$B22*100</f>
        <v>0</v>
      </c>
      <c r="AQ22" s="41">
        <f>COUNTIFS(集計用!$P:$P, "*"&amp;AQ$4&amp;",*",集計用!$G:$G,"*, "&amp;$C22&amp;", *")/$B22*100</f>
        <v>0</v>
      </c>
      <c r="AR22" s="41">
        <f>COUNTIFS(集計用!$P:$P, "*"&amp;AR$4&amp;",*",集計用!$G:$G,"*, "&amp;$C22&amp;", *")/$B22*100</f>
        <v>0</v>
      </c>
      <c r="AS22" s="41">
        <f>COUNTIFS(集計用!$P:$P, "*"&amp;AS$4&amp;",*",集計用!$G:$G,"*, "&amp;$C22&amp;", *")/$B22*100</f>
        <v>2.1739130434782608</v>
      </c>
      <c r="AT22" s="41">
        <f>COUNTIFS(集計用!$P:$P, "*"&amp;AT$4&amp;",*",集計用!$G:$G,"*, "&amp;$C22&amp;", *")/$B22*100</f>
        <v>0</v>
      </c>
      <c r="AU22" s="41">
        <f>COUNTIFS(集計用!$P:$P, "*"&amp;AU$4&amp;",*",集計用!$G:$G,"*, "&amp;$C22&amp;", *")/$B22*100</f>
        <v>0</v>
      </c>
      <c r="AV22" s="41">
        <f>COUNTIFS(集計用!$P:$P, "*"&amp;AV$4&amp;",*",集計用!$G:$G,"*, "&amp;$C22&amp;", *")/$B22*100</f>
        <v>0</v>
      </c>
      <c r="AW22" s="41">
        <f>COUNTIFS(集計用!$P:$P, "*"&amp;AW$4&amp;",*",集計用!$G:$G,"*, "&amp;$C22&amp;", *")/$B22*100</f>
        <v>0</v>
      </c>
      <c r="AX22" s="41">
        <f>COUNTIFS(集計用!$P:$P, "*"&amp;AX$4&amp;",*",集計用!$G:$G,"*, "&amp;$C22&amp;", *")/$B22*100</f>
        <v>0</v>
      </c>
      <c r="AY22" s="41">
        <f>COUNTIFS(集計用!$P:$P, "*"&amp;AY$4&amp;",*",集計用!$G:$G,"*, "&amp;$C22&amp;", *")/$B22*100</f>
        <v>0</v>
      </c>
      <c r="AZ22" s="41">
        <f>COUNTIFS(集計用!$P:$P, "*"&amp;AZ$4&amp;",*",集計用!$G:$G,"*, "&amp;$C22&amp;", *")/$B22*100</f>
        <v>0</v>
      </c>
      <c r="BA22" s="41">
        <f>COUNTIFS(集計用!$P:$P, "*"&amp;BA$4&amp;",*",集計用!$G:$G,"*, "&amp;$C22&amp;", *")/$B22*100</f>
        <v>0</v>
      </c>
      <c r="BB22" s="41">
        <f>COUNTIFS(集計用!$P:$P, "*"&amp;BB$4&amp;",*",集計用!$G:$G,"*, "&amp;$C22&amp;", *")/$B22*100</f>
        <v>0</v>
      </c>
      <c r="BC22" s="41"/>
      <c r="BD22" s="41"/>
      <c r="BE22" s="41"/>
      <c r="BF22" s="41"/>
      <c r="BG22" s="41"/>
      <c r="BH22" s="41"/>
      <c r="BI22" s="41"/>
      <c r="BJ22" s="41"/>
      <c r="BK22" s="41"/>
      <c r="BL22" s="41"/>
      <c r="BM22" s="41"/>
      <c r="BN22" s="41"/>
      <c r="BO22" s="41"/>
      <c r="BP22" s="41"/>
      <c r="BQ22" s="41"/>
      <c r="BR22" s="41"/>
      <c r="BS22" s="41"/>
    </row>
    <row r="23" spans="1:71" ht="15.75" customHeight="1">
      <c r="A23" s="39">
        <v>5</v>
      </c>
      <c r="B23" s="39">
        <f>(COUNTIFS(集計用!$G:$G,"*, "&amp;$C23&amp;",*",集計用!$Q:$Q,"&lt;&gt;無回答"))</f>
        <v>39</v>
      </c>
      <c r="C23" s="42" t="s">
        <v>17</v>
      </c>
      <c r="D23" s="41">
        <f>COUNTIFS(集計用!$P:$P, "*"&amp;D$4&amp;",*",集計用!$G:$G,"*, "&amp;$C23&amp;", *")/$B23*100</f>
        <v>2.5641025641025639</v>
      </c>
      <c r="E23" s="41">
        <f>COUNTIFS(集計用!$P:$P, "*"&amp;E$4&amp;",*",集計用!$G:$G,"*, "&amp;$C23&amp;", *")/$B23*100</f>
        <v>2.5641025641025639</v>
      </c>
      <c r="F23" s="41">
        <f>COUNTIFS(集計用!$P:$P, "*"&amp;F$4&amp;",*",集計用!$G:$G,"*, "&amp;$C23&amp;", *")/$B23*100</f>
        <v>2.5641025641025639</v>
      </c>
      <c r="G23" s="41">
        <f>COUNTIFS(集計用!$P:$P, "*"&amp;G$4&amp;",*",集計用!$G:$G,"*, "&amp;$C23&amp;", *")/$B23*100</f>
        <v>0</v>
      </c>
      <c r="H23" s="41">
        <f>COUNTIFS(集計用!$P:$P, "*"&amp;H$4&amp;",*",集計用!$G:$G,"*, "&amp;$C23&amp;", *")/$B23*100</f>
        <v>0</v>
      </c>
      <c r="I23" s="41">
        <f>COUNTIFS(集計用!$P:$P, "*"&amp;I$4&amp;",*",集計用!$G:$G,"*, "&amp;$C23&amp;", *")/$B23*100</f>
        <v>0</v>
      </c>
      <c r="J23" s="41">
        <f>COUNTIFS(集計用!$P:$P, "*"&amp;J$4&amp;",*",集計用!$G:$G,"*, "&amp;$C23&amp;", *")/$B23*100</f>
        <v>0</v>
      </c>
      <c r="K23" s="41">
        <f>COUNTIFS(集計用!$P:$P, "*"&amp;K$4&amp;",*",集計用!$G:$G,"*, "&amp;$C23&amp;", *")/$B23*100</f>
        <v>2.5641025641025639</v>
      </c>
      <c r="L23" s="41">
        <f>COUNTIFS(集計用!$P:$P, "*"&amp;L$4&amp;",*",集計用!$G:$G,"*, "&amp;$C23&amp;", *")/$B23*100</f>
        <v>0</v>
      </c>
      <c r="M23" s="41">
        <f>COUNTIFS(集計用!$P:$P, "*"&amp;M$4&amp;",*",集計用!$G:$G,"*, "&amp;$C23&amp;", *")/$B23*100</f>
        <v>0</v>
      </c>
      <c r="N23" s="41">
        <f>COUNTIFS(集計用!$P:$P, "*"&amp;N$4&amp;",*",集計用!$G:$G,"*, "&amp;$C23&amp;", *")/$B23*100</f>
        <v>0</v>
      </c>
      <c r="O23" s="41">
        <f>COUNTIFS(集計用!$P:$P, "*"&amp;O$4&amp;",*",集計用!$G:$G,"*, "&amp;$C23&amp;", *")/$B23*100</f>
        <v>0</v>
      </c>
      <c r="P23" s="41">
        <f>COUNTIFS(集計用!$P:$P, "*"&amp;P$4&amp;",*",集計用!$G:$G,"*, "&amp;$C23&amp;", *")/$B23*100</f>
        <v>0</v>
      </c>
      <c r="Q23" s="41">
        <f>COUNTIFS(集計用!$P:$P, "*"&amp;Q$4&amp;",*",集計用!$G:$G,"*, "&amp;$C23&amp;", *")/$B23*100</f>
        <v>2.5641025641025639</v>
      </c>
      <c r="R23" s="41">
        <f>COUNTIFS(集計用!$P:$P, "*"&amp;R$4&amp;",*",集計用!$G:$G,"*, "&amp;$C23&amp;", *")/$B23*100</f>
        <v>0</v>
      </c>
      <c r="S23" s="41">
        <f>COUNTIFS(集計用!$P:$P, "*"&amp;S$4&amp;",*",集計用!$G:$G,"*, "&amp;$C23&amp;", *")/$B23*100</f>
        <v>0</v>
      </c>
      <c r="T23" s="41">
        <f>COUNTIFS(集計用!$P:$P, "*"&amp;T$4&amp;",*",集計用!$G:$G,"*, "&amp;$C23&amp;", *")/$B23*100</f>
        <v>0</v>
      </c>
      <c r="U23" s="41">
        <f>COUNTIFS(集計用!$P:$P, "*"&amp;U$4&amp;",*",集計用!$G:$G,"*, "&amp;$C23&amp;", *")/$B23*100</f>
        <v>0</v>
      </c>
      <c r="V23" s="41">
        <f>COUNTIFS(集計用!$P:$P, "*"&amp;V$4&amp;",*",集計用!$G:$G,"*, "&amp;$C23&amp;", *")/$B23*100</f>
        <v>0</v>
      </c>
      <c r="W23" s="41">
        <f>COUNTIFS(集計用!$P:$P, "*"&amp;W$4&amp;",*",集計用!$G:$G,"*, "&amp;$C23&amp;", *")/$B23*100</f>
        <v>0</v>
      </c>
      <c r="X23" s="41">
        <f>COUNTIFS(集計用!$P:$P, "*"&amp;X$4&amp;",*",集計用!$G:$G,"*, "&amp;$C23&amp;", *")/$B23*100</f>
        <v>0</v>
      </c>
      <c r="Y23" s="41">
        <f>COUNTIFS(集計用!$P:$P, "*"&amp;Y$4&amp;",*",集計用!$G:$G,"*, "&amp;$C23&amp;", *")/$B23*100</f>
        <v>0</v>
      </c>
      <c r="Z23" s="41">
        <f>COUNTIFS(集計用!$P:$P, "*"&amp;Z$4&amp;",*",集計用!$G:$G,"*, "&amp;$C23&amp;", *")/$B23*100</f>
        <v>0</v>
      </c>
      <c r="AA23" s="41">
        <f>COUNTIFS(集計用!$P:$P, "*"&amp;AA$4&amp;",*",集計用!$G:$G,"*, "&amp;$C23&amp;", *")/$B23*100</f>
        <v>0</v>
      </c>
      <c r="AB23" s="41">
        <f>COUNTIFS(集計用!$P:$P, "*"&amp;AB$4&amp;",*",集計用!$G:$G,"*, "&amp;$C23&amp;", *")/$B23*100</f>
        <v>0</v>
      </c>
      <c r="AC23" s="41">
        <f>COUNTIFS(集計用!$P:$P, "*"&amp;AC$4&amp;",*",集計用!$G:$G,"*, "&amp;$C23&amp;", *")/$B23*100</f>
        <v>0</v>
      </c>
      <c r="AD23" s="41">
        <f>COUNTIFS(集計用!$P:$P, "*"&amp;AD$4&amp;",*",集計用!$G:$G,"*, "&amp;$C23&amp;", *")/$B23*100</f>
        <v>0</v>
      </c>
      <c r="AE23" s="41">
        <f>COUNTIFS(集計用!$P:$P, "*"&amp;AE$4&amp;",*",集計用!$G:$G,"*, "&amp;$C23&amp;", *")/$B23*100</f>
        <v>0</v>
      </c>
      <c r="AF23" s="41">
        <f>COUNTIFS(集計用!$P:$P, "*"&amp;AF$4&amp;",*",集計用!$G:$G,"*, "&amp;$C23&amp;", *")/$B23*100</f>
        <v>0</v>
      </c>
      <c r="AG23" s="41">
        <f>COUNTIFS(集計用!$P:$P, "*"&amp;AG$4&amp;",*",集計用!$G:$G,"*, "&amp;$C23&amp;", *")/$B23*100</f>
        <v>0</v>
      </c>
      <c r="AH23" s="41">
        <f>COUNTIFS(集計用!$P:$P, "*"&amp;AH$4&amp;",*",集計用!$G:$G,"*, "&amp;$C23&amp;", *")/$B23*100</f>
        <v>0</v>
      </c>
      <c r="AI23" s="41">
        <f>COUNTIFS(集計用!$P:$P, "*"&amp;AI$4&amp;",*",集計用!$G:$G,"*, "&amp;$C23&amp;", *")/$B23*100</f>
        <v>0</v>
      </c>
      <c r="AJ23" s="41">
        <f>COUNTIFS(集計用!$P:$P, "*"&amp;AJ$4&amp;",*",集計用!$G:$G,"*, "&amp;$C23&amp;", *")/$B23*100</f>
        <v>0</v>
      </c>
      <c r="AK23" s="41">
        <f>COUNTIFS(集計用!$P:$P, "*"&amp;AK$4&amp;",*",集計用!$G:$G,"*, "&amp;$C23&amp;", *")/$B23*100</f>
        <v>0</v>
      </c>
      <c r="AL23" s="41">
        <f>COUNTIFS(集計用!$P:$P, "*"&amp;AL$4&amp;",*",集計用!$G:$G,"*, "&amp;$C23&amp;", *")/$B23*100</f>
        <v>0</v>
      </c>
      <c r="AM23" s="41">
        <f>COUNTIFS(集計用!$P:$P, "*"&amp;AM$4&amp;",*",集計用!$G:$G,"*, "&amp;$C23&amp;", *")/$B23*100</f>
        <v>0</v>
      </c>
      <c r="AN23" s="41">
        <f>COUNTIFS(集計用!$P:$P, "*"&amp;AN$4&amp;",*",集計用!$G:$G,"*, "&amp;$C23&amp;", *")/$B23*100</f>
        <v>0</v>
      </c>
      <c r="AO23" s="41">
        <f>COUNTIFS(集計用!$P:$P, "*"&amp;AO$4&amp;",*",集計用!$G:$G,"*, "&amp;$C23&amp;", *")/$B23*100</f>
        <v>2.5641025641025639</v>
      </c>
      <c r="AP23" s="41">
        <f>COUNTIFS(集計用!$P:$P, "*"&amp;AP$4&amp;",*",集計用!$G:$G,"*, "&amp;$C23&amp;", *")/$B23*100</f>
        <v>0</v>
      </c>
      <c r="AQ23" s="41">
        <f>COUNTIFS(集計用!$P:$P, "*"&amp;AQ$4&amp;",*",集計用!$G:$G,"*, "&amp;$C23&amp;", *")/$B23*100</f>
        <v>0</v>
      </c>
      <c r="AR23" s="41">
        <f>COUNTIFS(集計用!$P:$P, "*"&amp;AR$4&amp;",*",集計用!$G:$G,"*, "&amp;$C23&amp;", *")/$B23*100</f>
        <v>0</v>
      </c>
      <c r="AS23" s="41">
        <f>COUNTIFS(集計用!$P:$P, "*"&amp;AS$4&amp;",*",集計用!$G:$G,"*, "&amp;$C23&amp;", *")/$B23*100</f>
        <v>0</v>
      </c>
      <c r="AT23" s="41">
        <f>COUNTIFS(集計用!$P:$P, "*"&amp;AT$4&amp;",*",集計用!$G:$G,"*, "&amp;$C23&amp;", *")/$B23*100</f>
        <v>0</v>
      </c>
      <c r="AU23" s="41">
        <f>COUNTIFS(集計用!$P:$P, "*"&amp;AU$4&amp;",*",集計用!$G:$G,"*, "&amp;$C23&amp;", *")/$B23*100</f>
        <v>0</v>
      </c>
      <c r="AV23" s="41">
        <f>COUNTIFS(集計用!$P:$P, "*"&amp;AV$4&amp;",*",集計用!$G:$G,"*, "&amp;$C23&amp;", *")/$B23*100</f>
        <v>0</v>
      </c>
      <c r="AW23" s="41">
        <f>COUNTIFS(集計用!$P:$P, "*"&amp;AW$4&amp;",*",集計用!$G:$G,"*, "&amp;$C23&amp;", *")/$B23*100</f>
        <v>2.5641025641025639</v>
      </c>
      <c r="AX23" s="41">
        <f>COUNTIFS(集計用!$P:$P, "*"&amp;AX$4&amp;",*",集計用!$G:$G,"*, "&amp;$C23&amp;", *")/$B23*100</f>
        <v>0</v>
      </c>
      <c r="AY23" s="41">
        <f>COUNTIFS(集計用!$P:$P, "*"&amp;AY$4&amp;",*",集計用!$G:$G,"*, "&amp;$C23&amp;", *")/$B23*100</f>
        <v>0</v>
      </c>
      <c r="AZ23" s="41">
        <f>COUNTIFS(集計用!$P:$P, "*"&amp;AZ$4&amp;",*",集計用!$G:$G,"*, "&amp;$C23&amp;", *")/$B23*100</f>
        <v>0</v>
      </c>
      <c r="BA23" s="41">
        <f>COUNTIFS(集計用!$P:$P, "*"&amp;BA$4&amp;",*",集計用!$G:$G,"*, "&amp;$C23&amp;", *")/$B23*100</f>
        <v>0</v>
      </c>
      <c r="BB23" s="41">
        <f>COUNTIFS(集計用!$P:$P, "*"&amp;BB$4&amp;",*",集計用!$G:$G,"*, "&amp;$C23&amp;", *")/$B23*100</f>
        <v>0</v>
      </c>
      <c r="BC23" s="41"/>
      <c r="BD23" s="41"/>
      <c r="BE23" s="41"/>
      <c r="BF23" s="41"/>
      <c r="BG23" s="41"/>
      <c r="BH23" s="41"/>
      <c r="BI23" s="41"/>
      <c r="BJ23" s="41"/>
      <c r="BK23" s="41"/>
      <c r="BL23" s="41"/>
      <c r="BM23" s="41"/>
      <c r="BN23" s="41"/>
      <c r="BO23" s="41"/>
      <c r="BP23" s="41"/>
      <c r="BQ23" s="41"/>
      <c r="BR23" s="41"/>
      <c r="BS23" s="41"/>
    </row>
    <row r="24" spans="1:71" ht="15.75" customHeight="1">
      <c r="A24" s="39">
        <v>4</v>
      </c>
      <c r="B24" s="39">
        <f>(COUNTIFS(集計用!$G:$G,"*, "&amp;$C24&amp;",*",集計用!$Q:$Q,"&lt;&gt;無回答"))</f>
        <v>36</v>
      </c>
      <c r="C24" s="42" t="s">
        <v>18</v>
      </c>
      <c r="D24" s="41">
        <f>COUNTIFS(集計用!$P:$P, "*"&amp;D$4&amp;",*",集計用!$G:$G,"*, "&amp;$C24&amp;", *")/$B24*100</f>
        <v>2.7777777777777777</v>
      </c>
      <c r="E24" s="41">
        <f>COUNTIFS(集計用!$P:$P, "*"&amp;E$4&amp;",*",集計用!$G:$G,"*, "&amp;$C24&amp;", *")/$B24*100</f>
        <v>0</v>
      </c>
      <c r="F24" s="41">
        <f>COUNTIFS(集計用!$P:$P, "*"&amp;F$4&amp;",*",集計用!$G:$G,"*, "&amp;$C24&amp;", *")/$B24*100</f>
        <v>0</v>
      </c>
      <c r="G24" s="41">
        <f>COUNTIFS(集計用!$P:$P, "*"&amp;G$4&amp;",*",集計用!$G:$G,"*, "&amp;$C24&amp;", *")/$B24*100</f>
        <v>0</v>
      </c>
      <c r="H24" s="41">
        <f>COUNTIFS(集計用!$P:$P, "*"&amp;H$4&amp;",*",集計用!$G:$G,"*, "&amp;$C24&amp;", *")/$B24*100</f>
        <v>0</v>
      </c>
      <c r="I24" s="41">
        <f>COUNTIFS(集計用!$P:$P, "*"&amp;I$4&amp;",*",集計用!$G:$G,"*, "&amp;$C24&amp;", *")/$B24*100</f>
        <v>0</v>
      </c>
      <c r="J24" s="41">
        <f>COUNTIFS(集計用!$P:$P, "*"&amp;J$4&amp;",*",集計用!$G:$G,"*, "&amp;$C24&amp;", *")/$B24*100</f>
        <v>0</v>
      </c>
      <c r="K24" s="41">
        <f>COUNTIFS(集計用!$P:$P, "*"&amp;K$4&amp;",*",集計用!$G:$G,"*, "&amp;$C24&amp;", *")/$B24*100</f>
        <v>2.7777777777777777</v>
      </c>
      <c r="L24" s="41">
        <f>COUNTIFS(集計用!$P:$P, "*"&amp;L$4&amp;",*",集計用!$G:$G,"*, "&amp;$C24&amp;", *")/$B24*100</f>
        <v>0</v>
      </c>
      <c r="M24" s="41">
        <f>COUNTIFS(集計用!$P:$P, "*"&amp;M$4&amp;",*",集計用!$G:$G,"*, "&amp;$C24&amp;", *")/$B24*100</f>
        <v>0</v>
      </c>
      <c r="N24" s="41">
        <f>COUNTIFS(集計用!$P:$P, "*"&amp;N$4&amp;",*",集計用!$G:$G,"*, "&amp;$C24&amp;", *")/$B24*100</f>
        <v>0</v>
      </c>
      <c r="O24" s="41">
        <f>COUNTIFS(集計用!$P:$P, "*"&amp;O$4&amp;",*",集計用!$G:$G,"*, "&amp;$C24&amp;", *")/$B24*100</f>
        <v>0</v>
      </c>
      <c r="P24" s="41">
        <f>COUNTIFS(集計用!$P:$P, "*"&amp;P$4&amp;",*",集計用!$G:$G,"*, "&amp;$C24&amp;", *")/$B24*100</f>
        <v>2.7777777777777777</v>
      </c>
      <c r="Q24" s="41">
        <f>COUNTIFS(集計用!$P:$P, "*"&amp;Q$4&amp;",*",集計用!$G:$G,"*, "&amp;$C24&amp;", *")/$B24*100</f>
        <v>2.7777777777777777</v>
      </c>
      <c r="R24" s="41">
        <f>COUNTIFS(集計用!$P:$P, "*"&amp;R$4&amp;",*",集計用!$G:$G,"*, "&amp;$C24&amp;", *")/$B24*100</f>
        <v>0</v>
      </c>
      <c r="S24" s="41">
        <f>COUNTIFS(集計用!$P:$P, "*"&amp;S$4&amp;",*",集計用!$G:$G,"*, "&amp;$C24&amp;", *")/$B24*100</f>
        <v>0</v>
      </c>
      <c r="T24" s="41">
        <f>COUNTIFS(集計用!$P:$P, "*"&amp;T$4&amp;",*",集計用!$G:$G,"*, "&amp;$C24&amp;", *")/$B24*100</f>
        <v>0</v>
      </c>
      <c r="U24" s="41">
        <f>COUNTIFS(集計用!$P:$P, "*"&amp;U$4&amp;",*",集計用!$G:$G,"*, "&amp;$C24&amp;", *")/$B24*100</f>
        <v>0</v>
      </c>
      <c r="V24" s="41">
        <f>COUNTIFS(集計用!$P:$P, "*"&amp;V$4&amp;",*",集計用!$G:$G,"*, "&amp;$C24&amp;", *")/$B24*100</f>
        <v>0</v>
      </c>
      <c r="W24" s="41">
        <f>COUNTIFS(集計用!$P:$P, "*"&amp;W$4&amp;",*",集計用!$G:$G,"*, "&amp;$C24&amp;", *")/$B24*100</f>
        <v>0</v>
      </c>
      <c r="X24" s="41">
        <f>COUNTIFS(集計用!$P:$P, "*"&amp;X$4&amp;",*",集計用!$G:$G,"*, "&amp;$C24&amp;", *")/$B24*100</f>
        <v>0</v>
      </c>
      <c r="Y24" s="41">
        <f>COUNTIFS(集計用!$P:$P, "*"&amp;Y$4&amp;",*",集計用!$G:$G,"*, "&amp;$C24&amp;", *")/$B24*100</f>
        <v>0</v>
      </c>
      <c r="Z24" s="41">
        <f>COUNTIFS(集計用!$P:$P, "*"&amp;Z$4&amp;",*",集計用!$G:$G,"*, "&amp;$C24&amp;", *")/$B24*100</f>
        <v>0</v>
      </c>
      <c r="AA24" s="41">
        <f>COUNTIFS(集計用!$P:$P, "*"&amp;AA$4&amp;",*",集計用!$G:$G,"*, "&amp;$C24&amp;", *")/$B24*100</f>
        <v>0</v>
      </c>
      <c r="AB24" s="41">
        <f>COUNTIFS(集計用!$P:$P, "*"&amp;AB$4&amp;",*",集計用!$G:$G,"*, "&amp;$C24&amp;", *")/$B24*100</f>
        <v>0</v>
      </c>
      <c r="AC24" s="41">
        <f>COUNTIFS(集計用!$P:$P, "*"&amp;AC$4&amp;",*",集計用!$G:$G,"*, "&amp;$C24&amp;", *")/$B24*100</f>
        <v>0</v>
      </c>
      <c r="AD24" s="41">
        <f>COUNTIFS(集計用!$P:$P, "*"&amp;AD$4&amp;",*",集計用!$G:$G,"*, "&amp;$C24&amp;", *")/$B24*100</f>
        <v>0</v>
      </c>
      <c r="AE24" s="41">
        <f>COUNTIFS(集計用!$P:$P, "*"&amp;AE$4&amp;",*",集計用!$G:$G,"*, "&amp;$C24&amp;", *")/$B24*100</f>
        <v>0</v>
      </c>
      <c r="AF24" s="41">
        <f>COUNTIFS(集計用!$P:$P, "*"&amp;AF$4&amp;",*",集計用!$G:$G,"*, "&amp;$C24&amp;", *")/$B24*100</f>
        <v>0</v>
      </c>
      <c r="AG24" s="41">
        <f>COUNTIFS(集計用!$P:$P, "*"&amp;AG$4&amp;",*",集計用!$G:$G,"*, "&amp;$C24&amp;", *")/$B24*100</f>
        <v>0</v>
      </c>
      <c r="AH24" s="41">
        <f>COUNTIFS(集計用!$P:$P, "*"&amp;AH$4&amp;",*",集計用!$G:$G,"*, "&amp;$C24&amp;", *")/$B24*100</f>
        <v>0</v>
      </c>
      <c r="AI24" s="41">
        <f>COUNTIFS(集計用!$P:$P, "*"&amp;AI$4&amp;",*",集計用!$G:$G,"*, "&amp;$C24&amp;", *")/$B24*100</f>
        <v>0</v>
      </c>
      <c r="AJ24" s="41">
        <f>COUNTIFS(集計用!$P:$P, "*"&amp;AJ$4&amp;",*",集計用!$G:$G,"*, "&amp;$C24&amp;", *")/$B24*100</f>
        <v>0</v>
      </c>
      <c r="AK24" s="41">
        <f>COUNTIFS(集計用!$P:$P, "*"&amp;AK$4&amp;",*",集計用!$G:$G,"*, "&amp;$C24&amp;", *")/$B24*100</f>
        <v>0</v>
      </c>
      <c r="AL24" s="41">
        <f>COUNTIFS(集計用!$P:$P, "*"&amp;AL$4&amp;",*",集計用!$G:$G,"*, "&amp;$C24&amp;", *")/$B24*100</f>
        <v>0</v>
      </c>
      <c r="AM24" s="41">
        <f>COUNTIFS(集計用!$P:$P, "*"&amp;AM$4&amp;",*",集計用!$G:$G,"*, "&amp;$C24&amp;", *")/$B24*100</f>
        <v>0</v>
      </c>
      <c r="AN24" s="41">
        <f>COUNTIFS(集計用!$P:$P, "*"&amp;AN$4&amp;",*",集計用!$G:$G,"*, "&amp;$C24&amp;", *")/$B24*100</f>
        <v>0</v>
      </c>
      <c r="AO24" s="41">
        <f>COUNTIFS(集計用!$P:$P, "*"&amp;AO$4&amp;",*",集計用!$G:$G,"*, "&amp;$C24&amp;", *")/$B24*100</f>
        <v>0</v>
      </c>
      <c r="AP24" s="41">
        <f>COUNTIFS(集計用!$P:$P, "*"&amp;AP$4&amp;",*",集計用!$G:$G,"*, "&amp;$C24&amp;", *")/$B24*100</f>
        <v>0</v>
      </c>
      <c r="AQ24" s="41">
        <f>COUNTIFS(集計用!$P:$P, "*"&amp;AQ$4&amp;",*",集計用!$G:$G,"*, "&amp;$C24&amp;", *")/$B24*100</f>
        <v>0</v>
      </c>
      <c r="AR24" s="41">
        <f>COUNTIFS(集計用!$P:$P, "*"&amp;AR$4&amp;",*",集計用!$G:$G,"*, "&amp;$C24&amp;", *")/$B24*100</f>
        <v>0</v>
      </c>
      <c r="AS24" s="41">
        <f>COUNTIFS(集計用!$P:$P, "*"&amp;AS$4&amp;",*",集計用!$G:$G,"*, "&amp;$C24&amp;", *")/$B24*100</f>
        <v>0</v>
      </c>
      <c r="AT24" s="41">
        <f>COUNTIFS(集計用!$P:$P, "*"&amp;AT$4&amp;",*",集計用!$G:$G,"*, "&amp;$C24&amp;", *")/$B24*100</f>
        <v>0</v>
      </c>
      <c r="AU24" s="41">
        <f>COUNTIFS(集計用!$P:$P, "*"&amp;AU$4&amp;",*",集計用!$G:$G,"*, "&amp;$C24&amp;", *")/$B24*100</f>
        <v>0</v>
      </c>
      <c r="AV24" s="41">
        <f>COUNTIFS(集計用!$P:$P, "*"&amp;AV$4&amp;",*",集計用!$G:$G,"*, "&amp;$C24&amp;", *")/$B24*100</f>
        <v>0</v>
      </c>
      <c r="AW24" s="41">
        <f>COUNTIFS(集計用!$P:$P, "*"&amp;AW$4&amp;",*",集計用!$G:$G,"*, "&amp;$C24&amp;", *")/$B24*100</f>
        <v>0</v>
      </c>
      <c r="AX24" s="41">
        <f>COUNTIFS(集計用!$P:$P, "*"&amp;AX$4&amp;",*",集計用!$G:$G,"*, "&amp;$C24&amp;", *")/$B24*100</f>
        <v>0</v>
      </c>
      <c r="AY24" s="41">
        <f>COUNTIFS(集計用!$P:$P, "*"&amp;AY$4&amp;",*",集計用!$G:$G,"*, "&amp;$C24&amp;", *")/$B24*100</f>
        <v>0</v>
      </c>
      <c r="AZ24" s="41">
        <f>COUNTIFS(集計用!$P:$P, "*"&amp;AZ$4&amp;",*",集計用!$G:$G,"*, "&amp;$C24&amp;", *")/$B24*100</f>
        <v>0</v>
      </c>
      <c r="BA24" s="41">
        <f>COUNTIFS(集計用!$P:$P, "*"&amp;BA$4&amp;",*",集計用!$G:$G,"*, "&amp;$C24&amp;", *")/$B24*100</f>
        <v>0</v>
      </c>
      <c r="BB24" s="41">
        <f>COUNTIFS(集計用!$P:$P, "*"&amp;BB$4&amp;",*",集計用!$G:$G,"*, "&amp;$C24&amp;", *")/$B24*100</f>
        <v>0</v>
      </c>
      <c r="BC24" s="41"/>
      <c r="BD24" s="41"/>
      <c r="BE24" s="41"/>
      <c r="BF24" s="41"/>
      <c r="BG24" s="41"/>
      <c r="BH24" s="41"/>
      <c r="BI24" s="41"/>
      <c r="BJ24" s="41"/>
      <c r="BK24" s="41"/>
      <c r="BL24" s="41"/>
      <c r="BM24" s="41"/>
      <c r="BN24" s="41"/>
      <c r="BO24" s="41"/>
      <c r="BP24" s="41"/>
      <c r="BQ24" s="41"/>
      <c r="BR24" s="41"/>
      <c r="BS24" s="41"/>
    </row>
    <row r="25" spans="1:71" ht="12.75">
      <c r="A25" s="39">
        <v>2</v>
      </c>
      <c r="B25" s="39">
        <f>(COUNTIFS(集計用!$G:$G,"*, "&amp;$C25&amp;",*",集計用!$Q:$Q,"&lt;&gt;無回答"))</f>
        <v>34</v>
      </c>
      <c r="C25" s="42" t="s">
        <v>19</v>
      </c>
      <c r="D25" s="41">
        <f>COUNTIFS(集計用!$P:$P, "*"&amp;D$4&amp;",*",集計用!$G:$G,"*, "&amp;$C25&amp;", *")/$B25*100</f>
        <v>0</v>
      </c>
      <c r="E25" s="41">
        <f>COUNTIFS(集計用!$P:$P, "*"&amp;E$4&amp;",*",集計用!$G:$G,"*, "&amp;$C25&amp;", *")/$B25*100</f>
        <v>0</v>
      </c>
      <c r="F25" s="41">
        <f>COUNTIFS(集計用!$P:$P, "*"&amp;F$4&amp;",*",集計用!$G:$G,"*, "&amp;$C25&amp;", *")/$B25*100</f>
        <v>0</v>
      </c>
      <c r="G25" s="41">
        <f>COUNTIFS(集計用!$P:$P, "*"&amp;G$4&amp;",*",集計用!$G:$G,"*, "&amp;$C25&amp;", *")/$B25*100</f>
        <v>5.8823529411764701</v>
      </c>
      <c r="H25" s="41">
        <f>COUNTIFS(集計用!$P:$P, "*"&amp;H$4&amp;",*",集計用!$G:$G,"*, "&amp;$C25&amp;", *")/$B25*100</f>
        <v>0</v>
      </c>
      <c r="I25" s="41">
        <f>COUNTIFS(集計用!$P:$P, "*"&amp;I$4&amp;",*",集計用!$G:$G,"*, "&amp;$C25&amp;", *")/$B25*100</f>
        <v>0</v>
      </c>
      <c r="J25" s="41">
        <f>COUNTIFS(集計用!$P:$P, "*"&amp;J$4&amp;",*",集計用!$G:$G,"*, "&amp;$C25&amp;", *")/$B25*100</f>
        <v>0</v>
      </c>
      <c r="K25" s="41">
        <f>COUNTIFS(集計用!$P:$P, "*"&amp;K$4&amp;",*",集計用!$G:$G,"*, "&amp;$C25&amp;", *")/$B25*100</f>
        <v>0</v>
      </c>
      <c r="L25" s="41">
        <f>COUNTIFS(集計用!$P:$P, "*"&amp;L$4&amp;",*",集計用!$G:$G,"*, "&amp;$C25&amp;", *")/$B25*100</f>
        <v>0</v>
      </c>
      <c r="M25" s="41">
        <f>COUNTIFS(集計用!$P:$P, "*"&amp;M$4&amp;",*",集計用!$G:$G,"*, "&amp;$C25&amp;", *")/$B25*100</f>
        <v>0</v>
      </c>
      <c r="N25" s="41">
        <f>COUNTIFS(集計用!$P:$P, "*"&amp;N$4&amp;",*",集計用!$G:$G,"*, "&amp;$C25&amp;", *")/$B25*100</f>
        <v>0</v>
      </c>
      <c r="O25" s="41">
        <f>COUNTIFS(集計用!$P:$P, "*"&amp;O$4&amp;",*",集計用!$G:$G,"*, "&amp;$C25&amp;", *")/$B25*100</f>
        <v>0</v>
      </c>
      <c r="P25" s="41">
        <f>COUNTIFS(集計用!$P:$P, "*"&amp;P$4&amp;",*",集計用!$G:$G,"*, "&amp;$C25&amp;", *")/$B25*100</f>
        <v>0</v>
      </c>
      <c r="Q25" s="41">
        <f>COUNTIFS(集計用!$P:$P, "*"&amp;Q$4&amp;",*",集計用!$G:$G,"*, "&amp;$C25&amp;", *")/$B25*100</f>
        <v>0</v>
      </c>
      <c r="R25" s="41">
        <f>COUNTIFS(集計用!$P:$P, "*"&amp;R$4&amp;",*",集計用!$G:$G,"*, "&amp;$C25&amp;", *")/$B25*100</f>
        <v>0</v>
      </c>
      <c r="S25" s="41">
        <f>COUNTIFS(集計用!$P:$P, "*"&amp;S$4&amp;",*",集計用!$G:$G,"*, "&amp;$C25&amp;", *")/$B25*100</f>
        <v>0</v>
      </c>
      <c r="T25" s="41">
        <f>COUNTIFS(集計用!$P:$P, "*"&amp;T$4&amp;",*",集計用!$G:$G,"*, "&amp;$C25&amp;", *")/$B25*100</f>
        <v>0</v>
      </c>
      <c r="U25" s="41">
        <f>COUNTIFS(集計用!$P:$P, "*"&amp;U$4&amp;",*",集計用!$G:$G,"*, "&amp;$C25&amp;", *")/$B25*100</f>
        <v>0</v>
      </c>
      <c r="V25" s="41">
        <f>COUNTIFS(集計用!$P:$P, "*"&amp;V$4&amp;",*",集計用!$G:$G,"*, "&amp;$C25&amp;", *")/$B25*100</f>
        <v>0</v>
      </c>
      <c r="W25" s="41">
        <f>COUNTIFS(集計用!$P:$P, "*"&amp;W$4&amp;",*",集計用!$G:$G,"*, "&amp;$C25&amp;", *")/$B25*100</f>
        <v>0</v>
      </c>
      <c r="X25" s="41">
        <f>COUNTIFS(集計用!$P:$P, "*"&amp;X$4&amp;",*",集計用!$G:$G,"*, "&amp;$C25&amp;", *")/$B25*100</f>
        <v>0</v>
      </c>
      <c r="Y25" s="41">
        <f>COUNTIFS(集計用!$P:$P, "*"&amp;Y$4&amp;",*",集計用!$G:$G,"*, "&amp;$C25&amp;", *")/$B25*100</f>
        <v>0</v>
      </c>
      <c r="Z25" s="41">
        <f>COUNTIFS(集計用!$P:$P, "*"&amp;Z$4&amp;",*",集計用!$G:$G,"*, "&amp;$C25&amp;", *")/$B25*100</f>
        <v>0</v>
      </c>
      <c r="AA25" s="41">
        <f>COUNTIFS(集計用!$P:$P, "*"&amp;AA$4&amp;",*",集計用!$G:$G,"*, "&amp;$C25&amp;", *")/$B25*100</f>
        <v>0</v>
      </c>
      <c r="AB25" s="41">
        <f>COUNTIFS(集計用!$P:$P, "*"&amp;AB$4&amp;",*",集計用!$G:$G,"*, "&amp;$C25&amp;", *")/$B25*100</f>
        <v>0</v>
      </c>
      <c r="AC25" s="41">
        <f>COUNTIFS(集計用!$P:$P, "*"&amp;AC$4&amp;",*",集計用!$G:$G,"*, "&amp;$C25&amp;", *")/$B25*100</f>
        <v>0</v>
      </c>
      <c r="AD25" s="41">
        <f>COUNTIFS(集計用!$P:$P, "*"&amp;AD$4&amp;",*",集計用!$G:$G,"*, "&amp;$C25&amp;", *")/$B25*100</f>
        <v>0</v>
      </c>
      <c r="AE25" s="41">
        <f>COUNTIFS(集計用!$P:$P, "*"&amp;AE$4&amp;",*",集計用!$G:$G,"*, "&amp;$C25&amp;", *")/$B25*100</f>
        <v>0</v>
      </c>
      <c r="AF25" s="41">
        <f>COUNTIFS(集計用!$P:$P, "*"&amp;AF$4&amp;",*",集計用!$G:$G,"*, "&amp;$C25&amp;", *")/$B25*100</f>
        <v>0</v>
      </c>
      <c r="AG25" s="41">
        <f>COUNTIFS(集計用!$P:$P, "*"&amp;AG$4&amp;",*",集計用!$G:$G,"*, "&amp;$C25&amp;", *")/$B25*100</f>
        <v>0</v>
      </c>
      <c r="AH25" s="41">
        <f>COUNTIFS(集計用!$P:$P, "*"&amp;AH$4&amp;",*",集計用!$G:$G,"*, "&amp;$C25&amp;", *")/$B25*100</f>
        <v>0</v>
      </c>
      <c r="AI25" s="41">
        <f>COUNTIFS(集計用!$P:$P, "*"&amp;AI$4&amp;",*",集計用!$G:$G,"*, "&amp;$C25&amp;", *")/$B25*100</f>
        <v>0</v>
      </c>
      <c r="AJ25" s="41">
        <f>COUNTIFS(集計用!$P:$P, "*"&amp;AJ$4&amp;",*",集計用!$G:$G,"*, "&amp;$C25&amp;", *")/$B25*100</f>
        <v>0</v>
      </c>
      <c r="AK25" s="41">
        <f>COUNTIFS(集計用!$P:$P, "*"&amp;AK$4&amp;",*",集計用!$G:$G,"*, "&amp;$C25&amp;", *")/$B25*100</f>
        <v>0</v>
      </c>
      <c r="AL25" s="41">
        <f>COUNTIFS(集計用!$P:$P, "*"&amp;AL$4&amp;",*",集計用!$G:$G,"*, "&amp;$C25&amp;", *")/$B25*100</f>
        <v>0</v>
      </c>
      <c r="AM25" s="41">
        <f>COUNTIFS(集計用!$P:$P, "*"&amp;AM$4&amp;",*",集計用!$G:$G,"*, "&amp;$C25&amp;", *")/$B25*100</f>
        <v>0</v>
      </c>
      <c r="AN25" s="41">
        <f>COUNTIFS(集計用!$P:$P, "*"&amp;AN$4&amp;",*",集計用!$G:$G,"*, "&amp;$C25&amp;", *")/$B25*100</f>
        <v>0</v>
      </c>
      <c r="AO25" s="41">
        <f>COUNTIFS(集計用!$P:$P, "*"&amp;AO$4&amp;",*",集計用!$G:$G,"*, "&amp;$C25&amp;", *")/$B25*100</f>
        <v>0</v>
      </c>
      <c r="AP25" s="41">
        <f>COUNTIFS(集計用!$P:$P, "*"&amp;AP$4&amp;",*",集計用!$G:$G,"*, "&amp;$C25&amp;", *")/$B25*100</f>
        <v>0</v>
      </c>
      <c r="AQ25" s="41">
        <f>COUNTIFS(集計用!$P:$P, "*"&amp;AQ$4&amp;",*",集計用!$G:$G,"*, "&amp;$C25&amp;", *")/$B25*100</f>
        <v>0</v>
      </c>
      <c r="AR25" s="41">
        <f>COUNTIFS(集計用!$P:$P, "*"&amp;AR$4&amp;",*",集計用!$G:$G,"*, "&amp;$C25&amp;", *")/$B25*100</f>
        <v>0</v>
      </c>
      <c r="AS25" s="41">
        <f>COUNTIFS(集計用!$P:$P, "*"&amp;AS$4&amp;",*",集計用!$G:$G,"*, "&amp;$C25&amp;", *")/$B25*100</f>
        <v>0</v>
      </c>
      <c r="AT25" s="41">
        <f>COUNTIFS(集計用!$P:$P, "*"&amp;AT$4&amp;",*",集計用!$G:$G,"*, "&amp;$C25&amp;", *")/$B25*100</f>
        <v>0</v>
      </c>
      <c r="AU25" s="41">
        <f>COUNTIFS(集計用!$P:$P, "*"&amp;AU$4&amp;",*",集計用!$G:$G,"*, "&amp;$C25&amp;", *")/$B25*100</f>
        <v>0</v>
      </c>
      <c r="AV25" s="41">
        <f>COUNTIFS(集計用!$P:$P, "*"&amp;AV$4&amp;",*",集計用!$G:$G,"*, "&amp;$C25&amp;", *")/$B25*100</f>
        <v>0</v>
      </c>
      <c r="AW25" s="41">
        <f>COUNTIFS(集計用!$P:$P, "*"&amp;AW$4&amp;",*",集計用!$G:$G,"*, "&amp;$C25&amp;", *")/$B25*100</f>
        <v>0</v>
      </c>
      <c r="AX25" s="41">
        <f>COUNTIFS(集計用!$P:$P, "*"&amp;AX$4&amp;",*",集計用!$G:$G,"*, "&amp;$C25&amp;", *")/$B25*100</f>
        <v>0</v>
      </c>
      <c r="AY25" s="41">
        <f>COUNTIFS(集計用!$P:$P, "*"&amp;AY$4&amp;",*",集計用!$G:$G,"*, "&amp;$C25&amp;", *")/$B25*100</f>
        <v>0</v>
      </c>
      <c r="AZ25" s="41">
        <f>COUNTIFS(集計用!$P:$P, "*"&amp;AZ$4&amp;",*",集計用!$G:$G,"*, "&amp;$C25&amp;", *")/$B25*100</f>
        <v>0</v>
      </c>
      <c r="BA25" s="41">
        <f>COUNTIFS(集計用!$P:$P, "*"&amp;BA$4&amp;",*",集計用!$G:$G,"*, "&amp;$C25&amp;", *")/$B25*100</f>
        <v>0</v>
      </c>
      <c r="BB25" s="41">
        <f>COUNTIFS(集計用!$P:$P, "*"&amp;BB$4&amp;",*",集計用!$G:$G,"*, "&amp;$C25&amp;", *")/$B25*100</f>
        <v>0</v>
      </c>
      <c r="BC25" s="41"/>
      <c r="BD25" s="41"/>
      <c r="BE25" s="41"/>
      <c r="BF25" s="41"/>
      <c r="BG25" s="41"/>
      <c r="BH25" s="41"/>
      <c r="BI25" s="41"/>
      <c r="BJ25" s="41"/>
      <c r="BK25" s="41"/>
      <c r="BL25" s="41"/>
      <c r="BM25" s="41"/>
      <c r="BN25" s="41"/>
      <c r="BO25" s="41"/>
      <c r="BP25" s="41"/>
      <c r="BQ25" s="41"/>
      <c r="BR25" s="41"/>
      <c r="BS25" s="41"/>
    </row>
    <row r="26" spans="1:71" ht="12.75">
      <c r="A26" s="39">
        <v>4</v>
      </c>
      <c r="B26" s="39">
        <f>(COUNTIFS(集計用!$G:$G,"*, "&amp;$C26&amp;",*",集計用!$Q:$Q,"&lt;&gt;無回答"))</f>
        <v>26</v>
      </c>
      <c r="C26" s="42" t="s">
        <v>20</v>
      </c>
      <c r="D26" s="41">
        <f>COUNTIFS(集計用!$P:$P, "*"&amp;D$4&amp;",*",集計用!$G:$G,"*, "&amp;$C26&amp;", *")/$B26*100</f>
        <v>3.8461538461538463</v>
      </c>
      <c r="E26" s="41">
        <f>COUNTIFS(集計用!$P:$P, "*"&amp;E$4&amp;",*",集計用!$G:$G,"*, "&amp;$C26&amp;", *")/$B26*100</f>
        <v>3.8461538461538463</v>
      </c>
      <c r="F26" s="41">
        <f>COUNTIFS(集計用!$P:$P, "*"&amp;F$4&amp;",*",集計用!$G:$G,"*, "&amp;$C26&amp;", *")/$B26*100</f>
        <v>0</v>
      </c>
      <c r="G26" s="41">
        <f>COUNTIFS(集計用!$P:$P, "*"&amp;G$4&amp;",*",集計用!$G:$G,"*, "&amp;$C26&amp;", *")/$B26*100</f>
        <v>0</v>
      </c>
      <c r="H26" s="41">
        <f>COUNTIFS(集計用!$P:$P, "*"&amp;H$4&amp;",*",集計用!$G:$G,"*, "&amp;$C26&amp;", *")/$B26*100</f>
        <v>0</v>
      </c>
      <c r="I26" s="41">
        <f>COUNTIFS(集計用!$P:$P, "*"&amp;I$4&amp;",*",集計用!$G:$G,"*, "&amp;$C26&amp;", *")/$B26*100</f>
        <v>0</v>
      </c>
      <c r="J26" s="41">
        <f>COUNTIFS(集計用!$P:$P, "*"&amp;J$4&amp;",*",集計用!$G:$G,"*, "&amp;$C26&amp;", *")/$B26*100</f>
        <v>0</v>
      </c>
      <c r="K26" s="41">
        <f>COUNTIFS(集計用!$P:$P, "*"&amp;K$4&amp;",*",集計用!$G:$G,"*, "&amp;$C26&amp;", *")/$B26*100</f>
        <v>0</v>
      </c>
      <c r="L26" s="41">
        <f>COUNTIFS(集計用!$P:$P, "*"&amp;L$4&amp;",*",集計用!$G:$G,"*, "&amp;$C26&amp;", *")/$B26*100</f>
        <v>0</v>
      </c>
      <c r="M26" s="41">
        <f>COUNTIFS(集計用!$P:$P, "*"&amp;M$4&amp;",*",集計用!$G:$G,"*, "&amp;$C26&amp;", *")/$B26*100</f>
        <v>0</v>
      </c>
      <c r="N26" s="41">
        <f>COUNTIFS(集計用!$P:$P, "*"&amp;N$4&amp;",*",集計用!$G:$G,"*, "&amp;$C26&amp;", *")/$B26*100</f>
        <v>0</v>
      </c>
      <c r="O26" s="41">
        <f>COUNTIFS(集計用!$P:$P, "*"&amp;O$4&amp;",*",集計用!$G:$G,"*, "&amp;$C26&amp;", *")/$B26*100</f>
        <v>0</v>
      </c>
      <c r="P26" s="41">
        <f>COUNTIFS(集計用!$P:$P, "*"&amp;P$4&amp;",*",集計用!$G:$G,"*, "&amp;$C26&amp;", *")/$B26*100</f>
        <v>0</v>
      </c>
      <c r="Q26" s="41">
        <f>COUNTIFS(集計用!$P:$P, "*"&amp;Q$4&amp;",*",集計用!$G:$G,"*, "&amp;$C26&amp;", *")/$B26*100</f>
        <v>0</v>
      </c>
      <c r="R26" s="41">
        <f>COUNTIFS(集計用!$P:$P, "*"&amp;R$4&amp;",*",集計用!$G:$G,"*, "&amp;$C26&amp;", *")/$B26*100</f>
        <v>0</v>
      </c>
      <c r="S26" s="41">
        <f>COUNTIFS(集計用!$P:$P, "*"&amp;S$4&amp;",*",集計用!$G:$G,"*, "&amp;$C26&amp;", *")/$B26*100</f>
        <v>0</v>
      </c>
      <c r="T26" s="41">
        <f>COUNTIFS(集計用!$P:$P, "*"&amp;T$4&amp;",*",集計用!$G:$G,"*, "&amp;$C26&amp;", *")/$B26*100</f>
        <v>0</v>
      </c>
      <c r="U26" s="41">
        <f>COUNTIFS(集計用!$P:$P, "*"&amp;U$4&amp;",*",集計用!$G:$G,"*, "&amp;$C26&amp;", *")/$B26*100</f>
        <v>0</v>
      </c>
      <c r="V26" s="41">
        <f>COUNTIFS(集計用!$P:$P, "*"&amp;V$4&amp;",*",集計用!$G:$G,"*, "&amp;$C26&amp;", *")/$B26*100</f>
        <v>0</v>
      </c>
      <c r="W26" s="41">
        <f>COUNTIFS(集計用!$P:$P, "*"&amp;W$4&amp;",*",集計用!$G:$G,"*, "&amp;$C26&amp;", *")/$B26*100</f>
        <v>0</v>
      </c>
      <c r="X26" s="41">
        <f>COUNTIFS(集計用!$P:$P, "*"&amp;X$4&amp;",*",集計用!$G:$G,"*, "&amp;$C26&amp;", *")/$B26*100</f>
        <v>0</v>
      </c>
      <c r="Y26" s="41">
        <f>COUNTIFS(集計用!$P:$P, "*"&amp;Y$4&amp;",*",集計用!$G:$G,"*, "&amp;$C26&amp;", *")/$B26*100</f>
        <v>0</v>
      </c>
      <c r="Z26" s="41">
        <f>COUNTIFS(集計用!$P:$P, "*"&amp;Z$4&amp;",*",集計用!$G:$G,"*, "&amp;$C26&amp;", *")/$B26*100</f>
        <v>0</v>
      </c>
      <c r="AA26" s="41">
        <f>COUNTIFS(集計用!$P:$P, "*"&amp;AA$4&amp;",*",集計用!$G:$G,"*, "&amp;$C26&amp;", *")/$B26*100</f>
        <v>0</v>
      </c>
      <c r="AB26" s="41">
        <f>COUNTIFS(集計用!$P:$P, "*"&amp;AB$4&amp;",*",集計用!$G:$G,"*, "&amp;$C26&amp;", *")/$B26*100</f>
        <v>0</v>
      </c>
      <c r="AC26" s="41">
        <f>COUNTIFS(集計用!$P:$P, "*"&amp;AC$4&amp;",*",集計用!$G:$G,"*, "&amp;$C26&amp;", *")/$B26*100</f>
        <v>0</v>
      </c>
      <c r="AD26" s="41">
        <f>COUNTIFS(集計用!$P:$P, "*"&amp;AD$4&amp;",*",集計用!$G:$G,"*, "&amp;$C26&amp;", *")/$B26*100</f>
        <v>0</v>
      </c>
      <c r="AE26" s="41">
        <f>COUNTIFS(集計用!$P:$P, "*"&amp;AE$4&amp;",*",集計用!$G:$G,"*, "&amp;$C26&amp;", *")/$B26*100</f>
        <v>0</v>
      </c>
      <c r="AF26" s="41">
        <f>COUNTIFS(集計用!$P:$P, "*"&amp;AF$4&amp;",*",集計用!$G:$G,"*, "&amp;$C26&amp;", *")/$B26*100</f>
        <v>0</v>
      </c>
      <c r="AG26" s="41">
        <f>COUNTIFS(集計用!$P:$P, "*"&amp;AG$4&amp;",*",集計用!$G:$G,"*, "&amp;$C26&amp;", *")/$B26*100</f>
        <v>0</v>
      </c>
      <c r="AH26" s="41">
        <f>COUNTIFS(集計用!$P:$P, "*"&amp;AH$4&amp;",*",集計用!$G:$G,"*, "&amp;$C26&amp;", *")/$B26*100</f>
        <v>0</v>
      </c>
      <c r="AI26" s="41">
        <f>COUNTIFS(集計用!$P:$P, "*"&amp;AI$4&amp;",*",集計用!$G:$G,"*, "&amp;$C26&amp;", *")/$B26*100</f>
        <v>0</v>
      </c>
      <c r="AJ26" s="41">
        <f>COUNTIFS(集計用!$P:$P, "*"&amp;AJ$4&amp;",*",集計用!$G:$G,"*, "&amp;$C26&amp;", *")/$B26*100</f>
        <v>0</v>
      </c>
      <c r="AK26" s="41">
        <f>COUNTIFS(集計用!$P:$P, "*"&amp;AK$4&amp;",*",集計用!$G:$G,"*, "&amp;$C26&amp;", *")/$B26*100</f>
        <v>3.8461538461538463</v>
      </c>
      <c r="AL26" s="41">
        <f>COUNTIFS(集計用!$P:$P, "*"&amp;AL$4&amp;",*",集計用!$G:$G,"*, "&amp;$C26&amp;", *")/$B26*100</f>
        <v>0</v>
      </c>
      <c r="AM26" s="41">
        <f>COUNTIFS(集計用!$P:$P, "*"&amp;AM$4&amp;",*",集計用!$G:$G,"*, "&amp;$C26&amp;", *")/$B26*100</f>
        <v>0</v>
      </c>
      <c r="AN26" s="41">
        <f>COUNTIFS(集計用!$P:$P, "*"&amp;AN$4&amp;",*",集計用!$G:$G,"*, "&amp;$C26&amp;", *")/$B26*100</f>
        <v>0</v>
      </c>
      <c r="AO26" s="41">
        <f>COUNTIFS(集計用!$P:$P, "*"&amp;AO$4&amp;",*",集計用!$G:$G,"*, "&amp;$C26&amp;", *")/$B26*100</f>
        <v>0</v>
      </c>
      <c r="AP26" s="41">
        <f>COUNTIFS(集計用!$P:$P, "*"&amp;AP$4&amp;",*",集計用!$G:$G,"*, "&amp;$C26&amp;", *")/$B26*100</f>
        <v>0</v>
      </c>
      <c r="AQ26" s="41">
        <f>COUNTIFS(集計用!$P:$P, "*"&amp;AQ$4&amp;",*",集計用!$G:$G,"*, "&amp;$C26&amp;", *")/$B26*100</f>
        <v>0</v>
      </c>
      <c r="AR26" s="41">
        <f>COUNTIFS(集計用!$P:$P, "*"&amp;AR$4&amp;",*",集計用!$G:$G,"*, "&amp;$C26&amp;", *")/$B26*100</f>
        <v>0</v>
      </c>
      <c r="AS26" s="41">
        <f>COUNTIFS(集計用!$P:$P, "*"&amp;AS$4&amp;",*",集計用!$G:$G,"*, "&amp;$C26&amp;", *")/$B26*100</f>
        <v>0</v>
      </c>
      <c r="AT26" s="41">
        <f>COUNTIFS(集計用!$P:$P, "*"&amp;AT$4&amp;",*",集計用!$G:$G,"*, "&amp;$C26&amp;", *")/$B26*100</f>
        <v>0</v>
      </c>
      <c r="AU26" s="41">
        <f>COUNTIFS(集計用!$P:$P, "*"&amp;AU$4&amp;",*",集計用!$G:$G,"*, "&amp;$C26&amp;", *")/$B26*100</f>
        <v>0</v>
      </c>
      <c r="AV26" s="41">
        <f>COUNTIFS(集計用!$P:$P, "*"&amp;AV$4&amp;",*",集計用!$G:$G,"*, "&amp;$C26&amp;", *")/$B26*100</f>
        <v>0</v>
      </c>
      <c r="AW26" s="41">
        <f>COUNTIFS(集計用!$P:$P, "*"&amp;AW$4&amp;",*",集計用!$G:$G,"*, "&amp;$C26&amp;", *")/$B26*100</f>
        <v>0</v>
      </c>
      <c r="AX26" s="41">
        <f>COUNTIFS(集計用!$P:$P, "*"&amp;AX$4&amp;",*",集計用!$G:$G,"*, "&amp;$C26&amp;", *")/$B26*100</f>
        <v>0</v>
      </c>
      <c r="AY26" s="41">
        <f>COUNTIFS(集計用!$P:$P, "*"&amp;AY$4&amp;",*",集計用!$G:$G,"*, "&amp;$C26&amp;", *")/$B26*100</f>
        <v>0</v>
      </c>
      <c r="AZ26" s="41">
        <f>COUNTIFS(集計用!$P:$P, "*"&amp;AZ$4&amp;",*",集計用!$G:$G,"*, "&amp;$C26&amp;", *")/$B26*100</f>
        <v>0</v>
      </c>
      <c r="BA26" s="41">
        <f>COUNTIFS(集計用!$P:$P, "*"&amp;BA$4&amp;",*",集計用!$G:$G,"*, "&amp;$C26&amp;", *")/$B26*100</f>
        <v>0</v>
      </c>
      <c r="BB26" s="41">
        <f>COUNTIFS(集計用!$P:$P, "*"&amp;BB$4&amp;",*",集計用!$G:$G,"*, "&amp;$C26&amp;", *")/$B26*100</f>
        <v>0</v>
      </c>
      <c r="BC26" s="41"/>
      <c r="BD26" s="41"/>
      <c r="BE26" s="41"/>
      <c r="BF26" s="41"/>
      <c r="BG26" s="41"/>
      <c r="BH26" s="41"/>
      <c r="BI26" s="41"/>
      <c r="BJ26" s="41"/>
      <c r="BK26" s="41"/>
      <c r="BL26" s="41"/>
      <c r="BM26" s="41"/>
      <c r="BN26" s="41"/>
      <c r="BO26" s="41"/>
      <c r="BP26" s="41"/>
      <c r="BQ26" s="41"/>
      <c r="BR26" s="41"/>
      <c r="BS26" s="41"/>
    </row>
    <row r="27" spans="1:71" ht="12.75">
      <c r="A27" s="39">
        <v>4</v>
      </c>
      <c r="B27" s="39">
        <f>(COUNTIFS(集計用!$G:$G,"*, "&amp;$C27&amp;",*",集計用!$Q:$Q,"&lt;&gt;無回答"))</f>
        <v>25</v>
      </c>
      <c r="C27" s="42" t="s">
        <v>23</v>
      </c>
      <c r="D27" s="41">
        <f>COUNTIFS(集計用!$P:$P, "*"&amp;D$4&amp;",*",集計用!$G:$G,"*, "&amp;$C27&amp;", *")/$B27*100</f>
        <v>4</v>
      </c>
      <c r="E27" s="41">
        <f>COUNTIFS(集計用!$P:$P, "*"&amp;E$4&amp;",*",集計用!$G:$G,"*, "&amp;$C27&amp;", *")/$B27*100</f>
        <v>0</v>
      </c>
      <c r="F27" s="41">
        <f>COUNTIFS(集計用!$P:$P, "*"&amp;F$4&amp;",*",集計用!$G:$G,"*, "&amp;$C27&amp;", *")/$B27*100</f>
        <v>4</v>
      </c>
      <c r="G27" s="41">
        <f>COUNTIFS(集計用!$P:$P, "*"&amp;G$4&amp;",*",集計用!$G:$G,"*, "&amp;$C27&amp;", *")/$B27*100</f>
        <v>0</v>
      </c>
      <c r="H27" s="41">
        <f>COUNTIFS(集計用!$P:$P, "*"&amp;H$4&amp;",*",集計用!$G:$G,"*, "&amp;$C27&amp;", *")/$B27*100</f>
        <v>0</v>
      </c>
      <c r="I27" s="41">
        <f>COUNTIFS(集計用!$P:$P, "*"&amp;I$4&amp;",*",集計用!$G:$G,"*, "&amp;$C27&amp;", *")/$B27*100</f>
        <v>0</v>
      </c>
      <c r="J27" s="41">
        <f>COUNTIFS(集計用!$P:$P, "*"&amp;J$4&amp;",*",集計用!$G:$G,"*, "&amp;$C27&amp;", *")/$B27*100</f>
        <v>0</v>
      </c>
      <c r="K27" s="41">
        <f>COUNTIFS(集計用!$P:$P, "*"&amp;K$4&amp;",*",集計用!$G:$G,"*, "&amp;$C27&amp;", *")/$B27*100</f>
        <v>0</v>
      </c>
      <c r="L27" s="41">
        <f>COUNTIFS(集計用!$P:$P, "*"&amp;L$4&amp;",*",集計用!$G:$G,"*, "&amp;$C27&amp;", *")/$B27*100</f>
        <v>0</v>
      </c>
      <c r="M27" s="41">
        <f>COUNTIFS(集計用!$P:$P, "*"&amp;M$4&amp;",*",集計用!$G:$G,"*, "&amp;$C27&amp;", *")/$B27*100</f>
        <v>0</v>
      </c>
      <c r="N27" s="41">
        <f>COUNTIFS(集計用!$P:$P, "*"&amp;N$4&amp;",*",集計用!$G:$G,"*, "&amp;$C27&amp;", *")/$B27*100</f>
        <v>0</v>
      </c>
      <c r="O27" s="41">
        <f>COUNTIFS(集計用!$P:$P, "*"&amp;O$4&amp;",*",集計用!$G:$G,"*, "&amp;$C27&amp;", *")/$B27*100</f>
        <v>4</v>
      </c>
      <c r="P27" s="41">
        <f>COUNTIFS(集計用!$P:$P, "*"&amp;P$4&amp;",*",集計用!$G:$G,"*, "&amp;$C27&amp;", *")/$B27*100</f>
        <v>0</v>
      </c>
      <c r="Q27" s="41">
        <f>COUNTIFS(集計用!$P:$P, "*"&amp;Q$4&amp;",*",集計用!$G:$G,"*, "&amp;$C27&amp;", *")/$B27*100</f>
        <v>0</v>
      </c>
      <c r="R27" s="41">
        <f>COUNTIFS(集計用!$P:$P, "*"&amp;R$4&amp;",*",集計用!$G:$G,"*, "&amp;$C27&amp;", *")/$B27*100</f>
        <v>0</v>
      </c>
      <c r="S27" s="41">
        <f>COUNTIFS(集計用!$P:$P, "*"&amp;S$4&amp;",*",集計用!$G:$G,"*, "&amp;$C27&amp;", *")/$B27*100</f>
        <v>0</v>
      </c>
      <c r="T27" s="41">
        <f>COUNTIFS(集計用!$P:$P, "*"&amp;T$4&amp;",*",集計用!$G:$G,"*, "&amp;$C27&amp;", *")/$B27*100</f>
        <v>0</v>
      </c>
      <c r="U27" s="41">
        <f>COUNTIFS(集計用!$P:$P, "*"&amp;U$4&amp;",*",集計用!$G:$G,"*, "&amp;$C27&amp;", *")/$B27*100</f>
        <v>0</v>
      </c>
      <c r="V27" s="41">
        <f>COUNTIFS(集計用!$P:$P, "*"&amp;V$4&amp;",*",集計用!$G:$G,"*, "&amp;$C27&amp;", *")/$B27*100</f>
        <v>0</v>
      </c>
      <c r="W27" s="41">
        <f>COUNTIFS(集計用!$P:$P, "*"&amp;W$4&amp;",*",集計用!$G:$G,"*, "&amp;$C27&amp;", *")/$B27*100</f>
        <v>0</v>
      </c>
      <c r="X27" s="41">
        <f>COUNTIFS(集計用!$P:$P, "*"&amp;X$4&amp;",*",集計用!$G:$G,"*, "&amp;$C27&amp;", *")/$B27*100</f>
        <v>0</v>
      </c>
      <c r="Y27" s="41">
        <f>COUNTIFS(集計用!$P:$P, "*"&amp;Y$4&amp;",*",集計用!$G:$G,"*, "&amp;$C27&amp;", *")/$B27*100</f>
        <v>0</v>
      </c>
      <c r="Z27" s="41">
        <f>COUNTIFS(集計用!$P:$P, "*"&amp;Z$4&amp;",*",集計用!$G:$G,"*, "&amp;$C27&amp;", *")/$B27*100</f>
        <v>0</v>
      </c>
      <c r="AA27" s="41">
        <f>COUNTIFS(集計用!$P:$P, "*"&amp;AA$4&amp;",*",集計用!$G:$G,"*, "&amp;$C27&amp;", *")/$B27*100</f>
        <v>0</v>
      </c>
      <c r="AB27" s="41">
        <f>COUNTIFS(集計用!$P:$P, "*"&amp;AB$4&amp;",*",集計用!$G:$G,"*, "&amp;$C27&amp;", *")/$B27*100</f>
        <v>0</v>
      </c>
      <c r="AC27" s="41">
        <f>COUNTIFS(集計用!$P:$P, "*"&amp;AC$4&amp;",*",集計用!$G:$G,"*, "&amp;$C27&amp;", *")/$B27*100</f>
        <v>0</v>
      </c>
      <c r="AD27" s="41">
        <f>COUNTIFS(集計用!$P:$P, "*"&amp;AD$4&amp;",*",集計用!$G:$G,"*, "&amp;$C27&amp;", *")/$B27*100</f>
        <v>0</v>
      </c>
      <c r="AE27" s="41">
        <f>COUNTIFS(集計用!$P:$P, "*"&amp;AE$4&amp;",*",集計用!$G:$G,"*, "&amp;$C27&amp;", *")/$B27*100</f>
        <v>0</v>
      </c>
      <c r="AF27" s="41">
        <f>COUNTIFS(集計用!$P:$P, "*"&amp;AF$4&amp;",*",集計用!$G:$G,"*, "&amp;$C27&amp;", *")/$B27*100</f>
        <v>0</v>
      </c>
      <c r="AG27" s="41">
        <f>COUNTIFS(集計用!$P:$P, "*"&amp;AG$4&amp;",*",集計用!$G:$G,"*, "&amp;$C27&amp;", *")/$B27*100</f>
        <v>0</v>
      </c>
      <c r="AH27" s="41">
        <f>COUNTIFS(集計用!$P:$P, "*"&amp;AH$4&amp;",*",集計用!$G:$G,"*, "&amp;$C27&amp;", *")/$B27*100</f>
        <v>0</v>
      </c>
      <c r="AI27" s="41">
        <f>COUNTIFS(集計用!$P:$P, "*"&amp;AI$4&amp;",*",集計用!$G:$G,"*, "&amp;$C27&amp;", *")/$B27*100</f>
        <v>0</v>
      </c>
      <c r="AJ27" s="41">
        <f>COUNTIFS(集計用!$P:$P, "*"&amp;AJ$4&amp;",*",集計用!$G:$G,"*, "&amp;$C27&amp;", *")/$B27*100</f>
        <v>0</v>
      </c>
      <c r="AK27" s="41">
        <f>COUNTIFS(集計用!$P:$P, "*"&amp;AK$4&amp;",*",集計用!$G:$G,"*, "&amp;$C27&amp;", *")/$B27*100</f>
        <v>0</v>
      </c>
      <c r="AL27" s="41">
        <f>COUNTIFS(集計用!$P:$P, "*"&amp;AL$4&amp;",*",集計用!$G:$G,"*, "&amp;$C27&amp;", *")/$B27*100</f>
        <v>0</v>
      </c>
      <c r="AM27" s="41">
        <f>COUNTIFS(集計用!$P:$P, "*"&amp;AM$4&amp;",*",集計用!$G:$G,"*, "&amp;$C27&amp;", *")/$B27*100</f>
        <v>0</v>
      </c>
      <c r="AN27" s="41">
        <f>COUNTIFS(集計用!$P:$P, "*"&amp;AN$4&amp;",*",集計用!$G:$G,"*, "&amp;$C27&amp;", *")/$B27*100</f>
        <v>0</v>
      </c>
      <c r="AO27" s="41">
        <f>COUNTIFS(集計用!$P:$P, "*"&amp;AO$4&amp;",*",集計用!$G:$G,"*, "&amp;$C27&amp;", *")/$B27*100</f>
        <v>0</v>
      </c>
      <c r="AP27" s="41">
        <f>COUNTIFS(集計用!$P:$P, "*"&amp;AP$4&amp;",*",集計用!$G:$G,"*, "&amp;$C27&amp;", *")/$B27*100</f>
        <v>0</v>
      </c>
      <c r="AQ27" s="41">
        <f>COUNTIFS(集計用!$P:$P, "*"&amp;AQ$4&amp;",*",集計用!$G:$G,"*, "&amp;$C27&amp;", *")/$B27*100</f>
        <v>0</v>
      </c>
      <c r="AR27" s="41">
        <f>COUNTIFS(集計用!$P:$P, "*"&amp;AR$4&amp;",*",集計用!$G:$G,"*, "&amp;$C27&amp;", *")/$B27*100</f>
        <v>0</v>
      </c>
      <c r="AS27" s="41">
        <f>COUNTIFS(集計用!$P:$P, "*"&amp;AS$4&amp;",*",集計用!$G:$G,"*, "&amp;$C27&amp;", *")/$B27*100</f>
        <v>0</v>
      </c>
      <c r="AT27" s="41">
        <f>COUNTIFS(集計用!$P:$P, "*"&amp;AT$4&amp;",*",集計用!$G:$G,"*, "&amp;$C27&amp;", *")/$B27*100</f>
        <v>0</v>
      </c>
      <c r="AU27" s="41">
        <f>COUNTIFS(集計用!$P:$P, "*"&amp;AU$4&amp;",*",集計用!$G:$G,"*, "&amp;$C27&amp;", *")/$B27*100</f>
        <v>4</v>
      </c>
      <c r="AV27" s="41">
        <f>COUNTIFS(集計用!$P:$P, "*"&amp;AV$4&amp;",*",集計用!$G:$G,"*, "&amp;$C27&amp;", *")/$B27*100</f>
        <v>0</v>
      </c>
      <c r="AW27" s="41">
        <f>COUNTIFS(集計用!$P:$P, "*"&amp;AW$4&amp;",*",集計用!$G:$G,"*, "&amp;$C27&amp;", *")/$B27*100</f>
        <v>4</v>
      </c>
      <c r="AX27" s="41">
        <f>COUNTIFS(集計用!$P:$P, "*"&amp;AX$4&amp;",*",集計用!$G:$G,"*, "&amp;$C27&amp;", *")/$B27*100</f>
        <v>0</v>
      </c>
      <c r="AY27" s="41">
        <f>COUNTIFS(集計用!$P:$P, "*"&amp;AY$4&amp;",*",集計用!$G:$G,"*, "&amp;$C27&amp;", *")/$B27*100</f>
        <v>0</v>
      </c>
      <c r="AZ27" s="41">
        <f>COUNTIFS(集計用!$P:$P, "*"&amp;AZ$4&amp;",*",集計用!$G:$G,"*, "&amp;$C27&amp;", *")/$B27*100</f>
        <v>0</v>
      </c>
      <c r="BA27" s="41">
        <f>COUNTIFS(集計用!$P:$P, "*"&amp;BA$4&amp;",*",集計用!$G:$G,"*, "&amp;$C27&amp;", *")/$B27*100</f>
        <v>0</v>
      </c>
      <c r="BB27" s="41">
        <f>COUNTIFS(集計用!$P:$P, "*"&amp;BB$4&amp;",*",集計用!$G:$G,"*, "&amp;$C27&amp;", *")/$B27*100</f>
        <v>0</v>
      </c>
      <c r="BC27" s="41"/>
      <c r="BD27" s="41"/>
      <c r="BE27" s="41"/>
      <c r="BF27" s="41"/>
      <c r="BG27" s="41"/>
      <c r="BH27" s="41"/>
      <c r="BI27" s="41"/>
      <c r="BJ27" s="41"/>
      <c r="BK27" s="41"/>
      <c r="BL27" s="41"/>
      <c r="BM27" s="41"/>
      <c r="BN27" s="41"/>
      <c r="BO27" s="41"/>
      <c r="BP27" s="41"/>
      <c r="BQ27" s="41"/>
      <c r="BR27" s="41"/>
      <c r="BS27" s="41"/>
    </row>
    <row r="28" spans="1:71" ht="15.75" customHeight="1">
      <c r="A28" s="39">
        <v>5</v>
      </c>
      <c r="B28" s="39">
        <f>(COUNTIFS(集計用!$G:$G,"*, "&amp;$C28&amp;",*",集計用!$Q:$Q,"&lt;&gt;無回答"))</f>
        <v>25</v>
      </c>
      <c r="C28" s="42" t="s">
        <v>22</v>
      </c>
      <c r="D28" s="41">
        <f>COUNTIFS(集計用!$P:$P, "*"&amp;D$4&amp;",*",集計用!$G:$G,"*, "&amp;$C28&amp;", *")/$B28*100</f>
        <v>4</v>
      </c>
      <c r="E28" s="41">
        <f>COUNTIFS(集計用!$P:$P, "*"&amp;E$4&amp;",*",集計用!$G:$G,"*, "&amp;$C28&amp;", *")/$B28*100</f>
        <v>0</v>
      </c>
      <c r="F28" s="41">
        <f>COUNTIFS(集計用!$P:$P, "*"&amp;F$4&amp;",*",集計用!$G:$G,"*, "&amp;$C28&amp;", *")/$B28*100</f>
        <v>4</v>
      </c>
      <c r="G28" s="41">
        <f>COUNTIFS(集計用!$P:$P, "*"&amp;G$4&amp;",*",集計用!$G:$G,"*, "&amp;$C28&amp;", *")/$B28*100</f>
        <v>0</v>
      </c>
      <c r="H28" s="41">
        <f>COUNTIFS(集計用!$P:$P, "*"&amp;H$4&amp;",*",集計用!$G:$G,"*, "&amp;$C28&amp;", *")/$B28*100</f>
        <v>4</v>
      </c>
      <c r="I28" s="41">
        <f>COUNTIFS(集計用!$P:$P, "*"&amp;I$4&amp;",*",集計用!$G:$G,"*, "&amp;$C28&amp;", *")/$B28*100</f>
        <v>0</v>
      </c>
      <c r="J28" s="41">
        <f>COUNTIFS(集計用!$P:$P, "*"&amp;J$4&amp;",*",集計用!$G:$G,"*, "&amp;$C28&amp;", *")/$B28*100</f>
        <v>0</v>
      </c>
      <c r="K28" s="41">
        <f>COUNTIFS(集計用!$P:$P, "*"&amp;K$4&amp;",*",集計用!$G:$G,"*, "&amp;$C28&amp;", *")/$B28*100</f>
        <v>0</v>
      </c>
      <c r="L28" s="41">
        <f>COUNTIFS(集計用!$P:$P, "*"&amp;L$4&amp;",*",集計用!$G:$G,"*, "&amp;$C28&amp;", *")/$B28*100</f>
        <v>0</v>
      </c>
      <c r="M28" s="41">
        <f>COUNTIFS(集計用!$P:$P, "*"&amp;M$4&amp;",*",集計用!$G:$G,"*, "&amp;$C28&amp;", *")/$B28*100</f>
        <v>0</v>
      </c>
      <c r="N28" s="41">
        <f>COUNTIFS(集計用!$P:$P, "*"&amp;N$4&amp;",*",集計用!$G:$G,"*, "&amp;$C28&amp;", *")/$B28*100</f>
        <v>0</v>
      </c>
      <c r="O28" s="41">
        <f>COUNTIFS(集計用!$P:$P, "*"&amp;O$4&amp;",*",集計用!$G:$G,"*, "&amp;$C28&amp;", *")/$B28*100</f>
        <v>4</v>
      </c>
      <c r="P28" s="41">
        <f>COUNTIFS(集計用!$P:$P, "*"&amp;P$4&amp;",*",集計用!$G:$G,"*, "&amp;$C28&amp;", *")/$B28*100</f>
        <v>0</v>
      </c>
      <c r="Q28" s="41">
        <f>COUNTIFS(集計用!$P:$P, "*"&amp;Q$4&amp;",*",集計用!$G:$G,"*, "&amp;$C28&amp;", *")/$B28*100</f>
        <v>0</v>
      </c>
      <c r="R28" s="41">
        <f>COUNTIFS(集計用!$P:$P, "*"&amp;R$4&amp;",*",集計用!$G:$G,"*, "&amp;$C28&amp;", *")/$B28*100</f>
        <v>0</v>
      </c>
      <c r="S28" s="41">
        <f>COUNTIFS(集計用!$P:$P, "*"&amp;S$4&amp;",*",集計用!$G:$G,"*, "&amp;$C28&amp;", *")/$B28*100</f>
        <v>0</v>
      </c>
      <c r="T28" s="41">
        <f>COUNTIFS(集計用!$P:$P, "*"&amp;T$4&amp;",*",集計用!$G:$G,"*, "&amp;$C28&amp;", *")/$B28*100</f>
        <v>0</v>
      </c>
      <c r="U28" s="41">
        <f>COUNTIFS(集計用!$P:$P, "*"&amp;U$4&amp;",*",集計用!$G:$G,"*, "&amp;$C28&amp;", *")/$B28*100</f>
        <v>0</v>
      </c>
      <c r="V28" s="41">
        <f>COUNTIFS(集計用!$P:$P, "*"&amp;V$4&amp;",*",集計用!$G:$G,"*, "&amp;$C28&amp;", *")/$B28*100</f>
        <v>0</v>
      </c>
      <c r="W28" s="41">
        <f>COUNTIFS(集計用!$P:$P, "*"&amp;W$4&amp;",*",集計用!$G:$G,"*, "&amp;$C28&amp;", *")/$B28*100</f>
        <v>0</v>
      </c>
      <c r="X28" s="41">
        <f>COUNTIFS(集計用!$P:$P, "*"&amp;X$4&amp;",*",集計用!$G:$G,"*, "&amp;$C28&amp;", *")/$B28*100</f>
        <v>0</v>
      </c>
      <c r="Y28" s="41">
        <f>COUNTIFS(集計用!$P:$P, "*"&amp;Y$4&amp;",*",集計用!$G:$G,"*, "&amp;$C28&amp;", *")/$B28*100</f>
        <v>0</v>
      </c>
      <c r="Z28" s="41">
        <f>COUNTIFS(集計用!$P:$P, "*"&amp;Z$4&amp;",*",集計用!$G:$G,"*, "&amp;$C28&amp;", *")/$B28*100</f>
        <v>0</v>
      </c>
      <c r="AA28" s="41">
        <f>COUNTIFS(集計用!$P:$P, "*"&amp;AA$4&amp;",*",集計用!$G:$G,"*, "&amp;$C28&amp;", *")/$B28*100</f>
        <v>0</v>
      </c>
      <c r="AB28" s="41">
        <f>COUNTIFS(集計用!$P:$P, "*"&amp;AB$4&amp;",*",集計用!$G:$G,"*, "&amp;$C28&amp;", *")/$B28*100</f>
        <v>0</v>
      </c>
      <c r="AC28" s="41">
        <f>COUNTIFS(集計用!$P:$P, "*"&amp;AC$4&amp;",*",集計用!$G:$G,"*, "&amp;$C28&amp;", *")/$B28*100</f>
        <v>0</v>
      </c>
      <c r="AD28" s="41">
        <f>COUNTIFS(集計用!$P:$P, "*"&amp;AD$4&amp;",*",集計用!$G:$G,"*, "&amp;$C28&amp;", *")/$B28*100</f>
        <v>0</v>
      </c>
      <c r="AE28" s="41">
        <f>COUNTIFS(集計用!$P:$P, "*"&amp;AE$4&amp;",*",集計用!$G:$G,"*, "&amp;$C28&amp;", *")/$B28*100</f>
        <v>0</v>
      </c>
      <c r="AF28" s="41">
        <f>COUNTIFS(集計用!$P:$P, "*"&amp;AF$4&amp;",*",集計用!$G:$G,"*, "&amp;$C28&amp;", *")/$B28*100</f>
        <v>0</v>
      </c>
      <c r="AG28" s="41">
        <f>COUNTIFS(集計用!$P:$P, "*"&amp;AG$4&amp;",*",集計用!$G:$G,"*, "&amp;$C28&amp;", *")/$B28*100</f>
        <v>0</v>
      </c>
      <c r="AH28" s="41">
        <f>COUNTIFS(集計用!$P:$P, "*"&amp;AH$4&amp;",*",集計用!$G:$G,"*, "&amp;$C28&amp;", *")/$B28*100</f>
        <v>0</v>
      </c>
      <c r="AI28" s="41">
        <f>COUNTIFS(集計用!$P:$P, "*"&amp;AI$4&amp;",*",集計用!$G:$G,"*, "&amp;$C28&amp;", *")/$B28*100</f>
        <v>0</v>
      </c>
      <c r="AJ28" s="41">
        <f>COUNTIFS(集計用!$P:$P, "*"&amp;AJ$4&amp;",*",集計用!$G:$G,"*, "&amp;$C28&amp;", *")/$B28*100</f>
        <v>0</v>
      </c>
      <c r="AK28" s="41">
        <f>COUNTIFS(集計用!$P:$P, "*"&amp;AK$4&amp;",*",集計用!$G:$G,"*, "&amp;$C28&amp;", *")/$B28*100</f>
        <v>0</v>
      </c>
      <c r="AL28" s="41">
        <f>COUNTIFS(集計用!$P:$P, "*"&amp;AL$4&amp;",*",集計用!$G:$G,"*, "&amp;$C28&amp;", *")/$B28*100</f>
        <v>0</v>
      </c>
      <c r="AM28" s="41">
        <f>COUNTIFS(集計用!$P:$P, "*"&amp;AM$4&amp;",*",集計用!$G:$G,"*, "&amp;$C28&amp;", *")/$B28*100</f>
        <v>0</v>
      </c>
      <c r="AN28" s="41">
        <f>COUNTIFS(集計用!$P:$P, "*"&amp;AN$4&amp;",*",集計用!$G:$G,"*, "&amp;$C28&amp;", *")/$B28*100</f>
        <v>0</v>
      </c>
      <c r="AO28" s="41">
        <f>COUNTIFS(集計用!$P:$P, "*"&amp;AO$4&amp;",*",集計用!$G:$G,"*, "&amp;$C28&amp;", *")/$B28*100</f>
        <v>0</v>
      </c>
      <c r="AP28" s="41">
        <f>COUNTIFS(集計用!$P:$P, "*"&amp;AP$4&amp;",*",集計用!$G:$G,"*, "&amp;$C28&amp;", *")/$B28*100</f>
        <v>0</v>
      </c>
      <c r="AQ28" s="41">
        <f>COUNTIFS(集計用!$P:$P, "*"&amp;AQ$4&amp;",*",集計用!$G:$G,"*, "&amp;$C28&amp;", *")/$B28*100</f>
        <v>0</v>
      </c>
      <c r="AR28" s="41">
        <f>COUNTIFS(集計用!$P:$P, "*"&amp;AR$4&amp;",*",集計用!$G:$G,"*, "&amp;$C28&amp;", *")/$B28*100</f>
        <v>0</v>
      </c>
      <c r="AS28" s="41">
        <f>COUNTIFS(集計用!$P:$P, "*"&amp;AS$4&amp;",*",集計用!$G:$G,"*, "&amp;$C28&amp;", *")/$B28*100</f>
        <v>0</v>
      </c>
      <c r="AT28" s="41">
        <f>COUNTIFS(集計用!$P:$P, "*"&amp;AT$4&amp;",*",集計用!$G:$G,"*, "&amp;$C28&amp;", *")/$B28*100</f>
        <v>0</v>
      </c>
      <c r="AU28" s="41">
        <f>COUNTIFS(集計用!$P:$P, "*"&amp;AU$4&amp;",*",集計用!$G:$G,"*, "&amp;$C28&amp;", *")/$B28*100</f>
        <v>0</v>
      </c>
      <c r="AV28" s="41">
        <f>COUNTIFS(集計用!$P:$P, "*"&amp;AV$4&amp;",*",集計用!$G:$G,"*, "&amp;$C28&amp;", *")/$B28*100</f>
        <v>0</v>
      </c>
      <c r="AW28" s="41">
        <f>COUNTIFS(集計用!$P:$P, "*"&amp;AW$4&amp;",*",集計用!$G:$G,"*, "&amp;$C28&amp;", *")/$B28*100</f>
        <v>4</v>
      </c>
      <c r="AX28" s="41">
        <f>COUNTIFS(集計用!$P:$P, "*"&amp;AX$4&amp;",*",集計用!$G:$G,"*, "&amp;$C28&amp;", *")/$B28*100</f>
        <v>0</v>
      </c>
      <c r="AY28" s="41">
        <f>COUNTIFS(集計用!$P:$P, "*"&amp;AY$4&amp;",*",集計用!$G:$G,"*, "&amp;$C28&amp;", *")/$B28*100</f>
        <v>0</v>
      </c>
      <c r="AZ28" s="41">
        <f>COUNTIFS(集計用!$P:$P, "*"&amp;AZ$4&amp;",*",集計用!$G:$G,"*, "&amp;$C28&amp;", *")/$B28*100</f>
        <v>0</v>
      </c>
      <c r="BA28" s="41">
        <f>COUNTIFS(集計用!$P:$P, "*"&amp;BA$4&amp;",*",集計用!$G:$G,"*, "&amp;$C28&amp;", *")/$B28*100</f>
        <v>0</v>
      </c>
      <c r="BB28" s="41">
        <f>COUNTIFS(集計用!$P:$P, "*"&amp;BB$4&amp;",*",集計用!$G:$G,"*, "&amp;$C28&amp;", *")/$B28*100</f>
        <v>0</v>
      </c>
      <c r="BC28" s="41"/>
      <c r="BD28" s="41"/>
      <c r="BE28" s="41"/>
      <c r="BF28" s="41"/>
      <c r="BG28" s="41"/>
      <c r="BH28" s="41"/>
      <c r="BI28" s="41"/>
      <c r="BJ28" s="41"/>
      <c r="BK28" s="41"/>
      <c r="BL28" s="41"/>
      <c r="BM28" s="41"/>
      <c r="BN28" s="41"/>
      <c r="BO28" s="41"/>
      <c r="BP28" s="41"/>
      <c r="BQ28" s="41"/>
      <c r="BR28" s="41"/>
      <c r="BS28" s="41"/>
    </row>
    <row r="29" spans="1:71" ht="15.75" customHeight="1">
      <c r="A29" s="39">
        <v>5</v>
      </c>
      <c r="B29" s="39">
        <f>(COUNTIFS(集計用!$G:$G,"*, "&amp;$C29&amp;",*",集計用!$Q:$Q,"&lt;&gt;無回答"))</f>
        <v>25</v>
      </c>
      <c r="C29" s="42" t="s">
        <v>21</v>
      </c>
      <c r="D29" s="41">
        <f>COUNTIFS(集計用!$P:$P, "*"&amp;D$4&amp;",*",集計用!$G:$G,"*, "&amp;$C29&amp;", *")/$B29*100</f>
        <v>8</v>
      </c>
      <c r="E29" s="41">
        <f>COUNTIFS(集計用!$P:$P, "*"&amp;E$4&amp;",*",集計用!$G:$G,"*, "&amp;$C29&amp;", *")/$B29*100</f>
        <v>0</v>
      </c>
      <c r="F29" s="41">
        <f>COUNTIFS(集計用!$P:$P, "*"&amp;F$4&amp;",*",集計用!$G:$G,"*, "&amp;$C29&amp;", *")/$B29*100</f>
        <v>4</v>
      </c>
      <c r="G29" s="41">
        <f>COUNTIFS(集計用!$P:$P, "*"&amp;G$4&amp;",*",集計用!$G:$G,"*, "&amp;$C29&amp;", *")/$B29*100</f>
        <v>0</v>
      </c>
      <c r="H29" s="41">
        <f>COUNTIFS(集計用!$P:$P, "*"&amp;H$4&amp;",*",集計用!$G:$G,"*, "&amp;$C29&amp;", *")/$B29*100</f>
        <v>0</v>
      </c>
      <c r="I29" s="41">
        <f>COUNTIFS(集計用!$P:$P, "*"&amp;I$4&amp;",*",集計用!$G:$G,"*, "&amp;$C29&amp;", *")/$B29*100</f>
        <v>0</v>
      </c>
      <c r="J29" s="41">
        <f>COUNTIFS(集計用!$P:$P, "*"&amp;J$4&amp;",*",集計用!$G:$G,"*, "&amp;$C29&amp;", *")/$B29*100</f>
        <v>0</v>
      </c>
      <c r="K29" s="41">
        <f>COUNTIFS(集計用!$P:$P, "*"&amp;K$4&amp;",*",集計用!$G:$G,"*, "&amp;$C29&amp;", *")/$B29*100</f>
        <v>0</v>
      </c>
      <c r="L29" s="41">
        <f>COUNTIFS(集計用!$P:$P, "*"&amp;L$4&amp;",*",集計用!$G:$G,"*, "&amp;$C29&amp;", *")/$B29*100</f>
        <v>0</v>
      </c>
      <c r="M29" s="41">
        <f>COUNTIFS(集計用!$P:$P, "*"&amp;M$4&amp;",*",集計用!$G:$G,"*, "&amp;$C29&amp;", *")/$B29*100</f>
        <v>0</v>
      </c>
      <c r="N29" s="41">
        <f>COUNTIFS(集計用!$P:$P, "*"&amp;N$4&amp;",*",集計用!$G:$G,"*, "&amp;$C29&amp;", *")/$B29*100</f>
        <v>0</v>
      </c>
      <c r="O29" s="41">
        <f>COUNTIFS(集計用!$P:$P, "*"&amp;O$4&amp;",*",集計用!$G:$G,"*, "&amp;$C29&amp;", *")/$B29*100</f>
        <v>0</v>
      </c>
      <c r="P29" s="41">
        <f>COUNTIFS(集計用!$P:$P, "*"&amp;P$4&amp;",*",集計用!$G:$G,"*, "&amp;$C29&amp;", *")/$B29*100</f>
        <v>0</v>
      </c>
      <c r="Q29" s="41">
        <f>COUNTIFS(集計用!$P:$P, "*"&amp;Q$4&amp;",*",集計用!$G:$G,"*, "&amp;$C29&amp;", *")/$B29*100</f>
        <v>0</v>
      </c>
      <c r="R29" s="41">
        <f>COUNTIFS(集計用!$P:$P, "*"&amp;R$4&amp;",*",集計用!$G:$G,"*, "&amp;$C29&amp;", *")/$B29*100</f>
        <v>0</v>
      </c>
      <c r="S29" s="41">
        <f>COUNTIFS(集計用!$P:$P, "*"&amp;S$4&amp;",*",集計用!$G:$G,"*, "&amp;$C29&amp;", *")/$B29*100</f>
        <v>0</v>
      </c>
      <c r="T29" s="41">
        <f>COUNTIFS(集計用!$P:$P, "*"&amp;T$4&amp;",*",集計用!$G:$G,"*, "&amp;$C29&amp;", *")/$B29*100</f>
        <v>0</v>
      </c>
      <c r="U29" s="41">
        <f>COUNTIFS(集計用!$P:$P, "*"&amp;U$4&amp;",*",集計用!$G:$G,"*, "&amp;$C29&amp;", *")/$B29*100</f>
        <v>0</v>
      </c>
      <c r="V29" s="41">
        <f>COUNTIFS(集計用!$P:$P, "*"&amp;V$4&amp;",*",集計用!$G:$G,"*, "&amp;$C29&amp;", *")/$B29*100</f>
        <v>0</v>
      </c>
      <c r="W29" s="41">
        <f>COUNTIFS(集計用!$P:$P, "*"&amp;W$4&amp;",*",集計用!$G:$G,"*, "&amp;$C29&amp;", *")/$B29*100</f>
        <v>0</v>
      </c>
      <c r="X29" s="41">
        <f>COUNTIFS(集計用!$P:$P, "*"&amp;X$4&amp;",*",集計用!$G:$G,"*, "&amp;$C29&amp;", *")/$B29*100</f>
        <v>0</v>
      </c>
      <c r="Y29" s="41">
        <f>COUNTIFS(集計用!$P:$P, "*"&amp;Y$4&amp;",*",集計用!$G:$G,"*, "&amp;$C29&amp;", *")/$B29*100</f>
        <v>0</v>
      </c>
      <c r="Z29" s="41">
        <f>COUNTIFS(集計用!$P:$P, "*"&amp;Z$4&amp;",*",集計用!$G:$G,"*, "&amp;$C29&amp;", *")/$B29*100</f>
        <v>0</v>
      </c>
      <c r="AA29" s="41">
        <f>COUNTIFS(集計用!$P:$P, "*"&amp;AA$4&amp;",*",集計用!$G:$G,"*, "&amp;$C29&amp;", *")/$B29*100</f>
        <v>0</v>
      </c>
      <c r="AB29" s="41">
        <f>COUNTIFS(集計用!$P:$P, "*"&amp;AB$4&amp;",*",集計用!$G:$G,"*, "&amp;$C29&amp;", *")/$B29*100</f>
        <v>0</v>
      </c>
      <c r="AC29" s="41">
        <f>COUNTIFS(集計用!$P:$P, "*"&amp;AC$4&amp;",*",集計用!$G:$G,"*, "&amp;$C29&amp;", *")/$B29*100</f>
        <v>0</v>
      </c>
      <c r="AD29" s="41">
        <f>COUNTIFS(集計用!$P:$P, "*"&amp;AD$4&amp;",*",集計用!$G:$G,"*, "&amp;$C29&amp;", *")/$B29*100</f>
        <v>0</v>
      </c>
      <c r="AE29" s="41">
        <f>COUNTIFS(集計用!$P:$P, "*"&amp;AE$4&amp;",*",集計用!$G:$G,"*, "&amp;$C29&amp;", *")/$B29*100</f>
        <v>0</v>
      </c>
      <c r="AF29" s="41">
        <f>COUNTIFS(集計用!$P:$P, "*"&amp;AF$4&amp;",*",集計用!$G:$G,"*, "&amp;$C29&amp;", *")/$B29*100</f>
        <v>0</v>
      </c>
      <c r="AG29" s="41">
        <f>COUNTIFS(集計用!$P:$P, "*"&amp;AG$4&amp;",*",集計用!$G:$G,"*, "&amp;$C29&amp;", *")/$B29*100</f>
        <v>0</v>
      </c>
      <c r="AH29" s="41">
        <f>COUNTIFS(集計用!$P:$P, "*"&amp;AH$4&amp;",*",集計用!$G:$G,"*, "&amp;$C29&amp;", *")/$B29*100</f>
        <v>0</v>
      </c>
      <c r="AI29" s="41">
        <f>COUNTIFS(集計用!$P:$P, "*"&amp;AI$4&amp;",*",集計用!$G:$G,"*, "&amp;$C29&amp;", *")/$B29*100</f>
        <v>0</v>
      </c>
      <c r="AJ29" s="41">
        <f>COUNTIFS(集計用!$P:$P, "*"&amp;AJ$4&amp;",*",集計用!$G:$G,"*, "&amp;$C29&amp;", *")/$B29*100</f>
        <v>0</v>
      </c>
      <c r="AK29" s="41">
        <f>COUNTIFS(集計用!$P:$P, "*"&amp;AK$4&amp;",*",集計用!$G:$G,"*, "&amp;$C29&amp;", *")/$B29*100</f>
        <v>0</v>
      </c>
      <c r="AL29" s="41">
        <f>COUNTIFS(集計用!$P:$P, "*"&amp;AL$4&amp;",*",集計用!$G:$G,"*, "&amp;$C29&amp;", *")/$B29*100</f>
        <v>0</v>
      </c>
      <c r="AM29" s="41">
        <f>COUNTIFS(集計用!$P:$P, "*"&amp;AM$4&amp;",*",集計用!$G:$G,"*, "&amp;$C29&amp;", *")/$B29*100</f>
        <v>0</v>
      </c>
      <c r="AN29" s="41">
        <f>COUNTIFS(集計用!$P:$P, "*"&amp;AN$4&amp;",*",集計用!$G:$G,"*, "&amp;$C29&amp;", *")/$B29*100</f>
        <v>0</v>
      </c>
      <c r="AO29" s="41">
        <f>COUNTIFS(集計用!$P:$P, "*"&amp;AO$4&amp;",*",集計用!$G:$G,"*, "&amp;$C29&amp;", *")/$B29*100</f>
        <v>0</v>
      </c>
      <c r="AP29" s="41">
        <f>COUNTIFS(集計用!$P:$P, "*"&amp;AP$4&amp;",*",集計用!$G:$G,"*, "&amp;$C29&amp;", *")/$B29*100</f>
        <v>0</v>
      </c>
      <c r="AQ29" s="41">
        <f>COUNTIFS(集計用!$P:$P, "*"&amp;AQ$4&amp;",*",集計用!$G:$G,"*, "&amp;$C29&amp;", *")/$B29*100</f>
        <v>0</v>
      </c>
      <c r="AR29" s="41">
        <f>COUNTIFS(集計用!$P:$P, "*"&amp;AR$4&amp;",*",集計用!$G:$G,"*, "&amp;$C29&amp;", *")/$B29*100</f>
        <v>0</v>
      </c>
      <c r="AS29" s="41">
        <f>COUNTIFS(集計用!$P:$P, "*"&amp;AS$4&amp;",*",集計用!$G:$G,"*, "&amp;$C29&amp;", *")/$B29*100</f>
        <v>0</v>
      </c>
      <c r="AT29" s="41">
        <f>COUNTIFS(集計用!$P:$P, "*"&amp;AT$4&amp;",*",集計用!$G:$G,"*, "&amp;$C29&amp;", *")/$B29*100</f>
        <v>0</v>
      </c>
      <c r="AU29" s="41">
        <f>COUNTIFS(集計用!$P:$P, "*"&amp;AU$4&amp;",*",集計用!$G:$G,"*, "&amp;$C29&amp;", *")/$B29*100</f>
        <v>0</v>
      </c>
      <c r="AV29" s="41">
        <f>COUNTIFS(集計用!$P:$P, "*"&amp;AV$4&amp;",*",集計用!$G:$G,"*, "&amp;$C29&amp;", *")/$B29*100</f>
        <v>0</v>
      </c>
      <c r="AW29" s="41">
        <f>COUNTIFS(集計用!$P:$P, "*"&amp;AW$4&amp;",*",集計用!$G:$G,"*, "&amp;$C29&amp;", *")/$B29*100</f>
        <v>4</v>
      </c>
      <c r="AX29" s="41">
        <f>COUNTIFS(集計用!$P:$P, "*"&amp;AX$4&amp;",*",集計用!$G:$G,"*, "&amp;$C29&amp;", *")/$B29*100</f>
        <v>0</v>
      </c>
      <c r="AY29" s="41">
        <f>COUNTIFS(集計用!$P:$P, "*"&amp;AY$4&amp;",*",集計用!$G:$G,"*, "&amp;$C29&amp;", *")/$B29*100</f>
        <v>0</v>
      </c>
      <c r="AZ29" s="41">
        <f>COUNTIFS(集計用!$P:$P, "*"&amp;AZ$4&amp;",*",集計用!$G:$G,"*, "&amp;$C29&amp;", *")/$B29*100</f>
        <v>4</v>
      </c>
      <c r="BA29" s="41">
        <f>COUNTIFS(集計用!$P:$P, "*"&amp;BA$4&amp;",*",集計用!$G:$G,"*, "&amp;$C29&amp;", *")/$B29*100</f>
        <v>0</v>
      </c>
      <c r="BB29" s="41">
        <f>COUNTIFS(集計用!$P:$P, "*"&amp;BB$4&amp;",*",集計用!$G:$G,"*, "&amp;$C29&amp;", *")/$B29*100</f>
        <v>0</v>
      </c>
      <c r="BC29" s="41"/>
      <c r="BD29" s="41"/>
      <c r="BE29" s="41"/>
      <c r="BF29" s="41"/>
      <c r="BG29" s="41"/>
      <c r="BH29" s="41"/>
      <c r="BI29" s="41"/>
      <c r="BJ29" s="41"/>
      <c r="BK29" s="41"/>
      <c r="BL29" s="41"/>
      <c r="BM29" s="41"/>
      <c r="BN29" s="41"/>
      <c r="BO29" s="41"/>
      <c r="BP29" s="41"/>
      <c r="BQ29" s="41"/>
      <c r="BR29" s="41"/>
      <c r="BS29" s="41"/>
    </row>
    <row r="30" spans="1:71" ht="12.75">
      <c r="A30" s="39">
        <v>6</v>
      </c>
      <c r="B30" s="39">
        <f>(COUNTIFS(集計用!$G:$G,"*, "&amp;$C30&amp;",*",集計用!$Q:$Q,"&lt;&gt;無回答"))</f>
        <v>22</v>
      </c>
      <c r="C30" s="42" t="s">
        <v>25</v>
      </c>
      <c r="D30" s="41">
        <f>COUNTIFS(集計用!$P:$P, "*"&amp;D$4&amp;",*",集計用!$G:$G,"*, "&amp;$C30&amp;", *")/$B30*100</f>
        <v>4.5454545454545459</v>
      </c>
      <c r="E30" s="41">
        <f>COUNTIFS(集計用!$P:$P, "*"&amp;E$4&amp;",*",集計用!$G:$G,"*, "&amp;$C30&amp;", *")/$B30*100</f>
        <v>0</v>
      </c>
      <c r="F30" s="41">
        <f>COUNTIFS(集計用!$P:$P, "*"&amp;F$4&amp;",*",集計用!$G:$G,"*, "&amp;$C30&amp;", *")/$B30*100</f>
        <v>0</v>
      </c>
      <c r="G30" s="41">
        <f>COUNTIFS(集計用!$P:$P, "*"&amp;G$4&amp;",*",集計用!$G:$G,"*, "&amp;$C30&amp;", *")/$B30*100</f>
        <v>4.5454545454545459</v>
      </c>
      <c r="H30" s="41">
        <f>COUNTIFS(集計用!$P:$P, "*"&amp;H$4&amp;",*",集計用!$G:$G,"*, "&amp;$C30&amp;", *")/$B30*100</f>
        <v>0</v>
      </c>
      <c r="I30" s="41">
        <f>COUNTIFS(集計用!$P:$P, "*"&amp;I$4&amp;",*",集計用!$G:$G,"*, "&amp;$C30&amp;", *")/$B30*100</f>
        <v>0</v>
      </c>
      <c r="J30" s="41">
        <f>COUNTIFS(集計用!$P:$P, "*"&amp;J$4&amp;",*",集計用!$G:$G,"*, "&amp;$C30&amp;", *")/$B30*100</f>
        <v>0</v>
      </c>
      <c r="K30" s="41">
        <f>COUNTIFS(集計用!$P:$P, "*"&amp;K$4&amp;",*",集計用!$G:$G,"*, "&amp;$C30&amp;", *")/$B30*100</f>
        <v>0</v>
      </c>
      <c r="L30" s="41">
        <f>COUNTIFS(集計用!$P:$P, "*"&amp;L$4&amp;",*",集計用!$G:$G,"*, "&amp;$C30&amp;", *")/$B30*100</f>
        <v>0</v>
      </c>
      <c r="M30" s="41">
        <f>COUNTIFS(集計用!$P:$P, "*"&amp;M$4&amp;",*",集計用!$G:$G,"*, "&amp;$C30&amp;", *")/$B30*100</f>
        <v>0</v>
      </c>
      <c r="N30" s="41">
        <f>COUNTIFS(集計用!$P:$P, "*"&amp;N$4&amp;",*",集計用!$G:$G,"*, "&amp;$C30&amp;", *")/$B30*100</f>
        <v>0</v>
      </c>
      <c r="O30" s="41">
        <f>COUNTIFS(集計用!$P:$P, "*"&amp;O$4&amp;",*",集計用!$G:$G,"*, "&amp;$C30&amp;", *")/$B30*100</f>
        <v>0</v>
      </c>
      <c r="P30" s="41">
        <f>COUNTIFS(集計用!$P:$P, "*"&amp;P$4&amp;",*",集計用!$G:$G,"*, "&amp;$C30&amp;", *")/$B30*100</f>
        <v>0</v>
      </c>
      <c r="Q30" s="41">
        <f>COUNTIFS(集計用!$P:$P, "*"&amp;Q$4&amp;",*",集計用!$G:$G,"*, "&amp;$C30&amp;", *")/$B30*100</f>
        <v>0</v>
      </c>
      <c r="R30" s="41">
        <f>COUNTIFS(集計用!$P:$P, "*"&amp;R$4&amp;",*",集計用!$G:$G,"*, "&amp;$C30&amp;", *")/$B30*100</f>
        <v>4.5454545454545459</v>
      </c>
      <c r="S30" s="41">
        <f>COUNTIFS(集計用!$P:$P, "*"&amp;S$4&amp;",*",集計用!$G:$G,"*, "&amp;$C30&amp;", *")/$B30*100</f>
        <v>0</v>
      </c>
      <c r="T30" s="41">
        <f>COUNTIFS(集計用!$P:$P, "*"&amp;T$4&amp;",*",集計用!$G:$G,"*, "&amp;$C30&amp;", *")/$B30*100</f>
        <v>0</v>
      </c>
      <c r="U30" s="41">
        <f>COUNTIFS(集計用!$P:$P, "*"&amp;U$4&amp;",*",集計用!$G:$G,"*, "&amp;$C30&amp;", *")/$B30*100</f>
        <v>0</v>
      </c>
      <c r="V30" s="41">
        <f>COUNTIFS(集計用!$P:$P, "*"&amp;V$4&amp;",*",集計用!$G:$G,"*, "&amp;$C30&amp;", *")/$B30*100</f>
        <v>0</v>
      </c>
      <c r="W30" s="41">
        <f>COUNTIFS(集計用!$P:$P, "*"&amp;W$4&amp;",*",集計用!$G:$G,"*, "&amp;$C30&amp;", *")/$B30*100</f>
        <v>0</v>
      </c>
      <c r="X30" s="41">
        <f>COUNTIFS(集計用!$P:$P, "*"&amp;X$4&amp;",*",集計用!$G:$G,"*, "&amp;$C30&amp;", *")/$B30*100</f>
        <v>0</v>
      </c>
      <c r="Y30" s="41">
        <f>COUNTIFS(集計用!$P:$P, "*"&amp;Y$4&amp;",*",集計用!$G:$G,"*, "&amp;$C30&amp;", *")/$B30*100</f>
        <v>0</v>
      </c>
      <c r="Z30" s="41">
        <f>COUNTIFS(集計用!$P:$P, "*"&amp;Z$4&amp;",*",集計用!$G:$G,"*, "&amp;$C30&amp;", *")/$B30*100</f>
        <v>0</v>
      </c>
      <c r="AA30" s="41">
        <f>COUNTIFS(集計用!$P:$P, "*"&amp;AA$4&amp;",*",集計用!$G:$G,"*, "&amp;$C30&amp;", *")/$B30*100</f>
        <v>0</v>
      </c>
      <c r="AB30" s="41">
        <f>COUNTIFS(集計用!$P:$P, "*"&amp;AB$4&amp;",*",集計用!$G:$G,"*, "&amp;$C30&amp;", *")/$B30*100</f>
        <v>0</v>
      </c>
      <c r="AC30" s="41">
        <f>COUNTIFS(集計用!$P:$P, "*"&amp;AC$4&amp;",*",集計用!$G:$G,"*, "&amp;$C30&amp;", *")/$B30*100</f>
        <v>0</v>
      </c>
      <c r="AD30" s="41">
        <f>COUNTIFS(集計用!$P:$P, "*"&amp;AD$4&amp;",*",集計用!$G:$G,"*, "&amp;$C30&amp;", *")/$B30*100</f>
        <v>0</v>
      </c>
      <c r="AE30" s="41">
        <f>COUNTIFS(集計用!$P:$P, "*"&amp;AE$4&amp;",*",集計用!$G:$G,"*, "&amp;$C30&amp;", *")/$B30*100</f>
        <v>0</v>
      </c>
      <c r="AF30" s="41">
        <f>COUNTIFS(集計用!$P:$P, "*"&amp;AF$4&amp;",*",集計用!$G:$G,"*, "&amp;$C30&amp;", *")/$B30*100</f>
        <v>0</v>
      </c>
      <c r="AG30" s="41">
        <f>COUNTIFS(集計用!$P:$P, "*"&amp;AG$4&amp;",*",集計用!$G:$G,"*, "&amp;$C30&amp;", *")/$B30*100</f>
        <v>0</v>
      </c>
      <c r="AH30" s="41">
        <f>COUNTIFS(集計用!$P:$P, "*"&amp;AH$4&amp;",*",集計用!$G:$G,"*, "&amp;$C30&amp;", *")/$B30*100</f>
        <v>0</v>
      </c>
      <c r="AI30" s="41">
        <f>COUNTIFS(集計用!$P:$P, "*"&amp;AI$4&amp;",*",集計用!$G:$G,"*, "&amp;$C30&amp;", *")/$B30*100</f>
        <v>0</v>
      </c>
      <c r="AJ30" s="41">
        <f>COUNTIFS(集計用!$P:$P, "*"&amp;AJ$4&amp;",*",集計用!$G:$G,"*, "&amp;$C30&amp;", *")/$B30*100</f>
        <v>4.5454545454545459</v>
      </c>
      <c r="AK30" s="41">
        <f>COUNTIFS(集計用!$P:$P, "*"&amp;AK$4&amp;",*",集計用!$G:$G,"*, "&amp;$C30&amp;", *")/$B30*100</f>
        <v>0</v>
      </c>
      <c r="AL30" s="41">
        <f>COUNTIFS(集計用!$P:$P, "*"&amp;AL$4&amp;",*",集計用!$G:$G,"*, "&amp;$C30&amp;", *")/$B30*100</f>
        <v>0</v>
      </c>
      <c r="AM30" s="41">
        <f>COUNTIFS(集計用!$P:$P, "*"&amp;AM$4&amp;",*",集計用!$G:$G,"*, "&amp;$C30&amp;", *")/$B30*100</f>
        <v>0</v>
      </c>
      <c r="AN30" s="41">
        <f>COUNTIFS(集計用!$P:$P, "*"&amp;AN$4&amp;",*",集計用!$G:$G,"*, "&amp;$C30&amp;", *")/$B30*100</f>
        <v>0</v>
      </c>
      <c r="AO30" s="41">
        <f>COUNTIFS(集計用!$P:$P, "*"&amp;AO$4&amp;",*",集計用!$G:$G,"*, "&amp;$C30&amp;", *")/$B30*100</f>
        <v>0</v>
      </c>
      <c r="AP30" s="41">
        <f>COUNTIFS(集計用!$P:$P, "*"&amp;AP$4&amp;",*",集計用!$G:$G,"*, "&amp;$C30&amp;", *")/$B30*100</f>
        <v>0</v>
      </c>
      <c r="AQ30" s="41">
        <f>COUNTIFS(集計用!$P:$P, "*"&amp;AQ$4&amp;",*",集計用!$G:$G,"*, "&amp;$C30&amp;", *")/$B30*100</f>
        <v>0</v>
      </c>
      <c r="AR30" s="41">
        <f>COUNTIFS(集計用!$P:$P, "*"&amp;AR$4&amp;",*",集計用!$G:$G,"*, "&amp;$C30&amp;", *")/$B30*100</f>
        <v>0</v>
      </c>
      <c r="AS30" s="41">
        <f>COUNTIFS(集計用!$P:$P, "*"&amp;AS$4&amp;",*",集計用!$G:$G,"*, "&amp;$C30&amp;", *")/$B30*100</f>
        <v>0</v>
      </c>
      <c r="AT30" s="41">
        <f>COUNTIFS(集計用!$P:$P, "*"&amp;AT$4&amp;",*",集計用!$G:$G,"*, "&amp;$C30&amp;", *")/$B30*100</f>
        <v>0</v>
      </c>
      <c r="AU30" s="41">
        <f>COUNTIFS(集計用!$P:$P, "*"&amp;AU$4&amp;",*",集計用!$G:$G,"*, "&amp;$C30&amp;", *")/$B30*100</f>
        <v>0</v>
      </c>
      <c r="AV30" s="41">
        <f>COUNTIFS(集計用!$P:$P, "*"&amp;AV$4&amp;",*",集計用!$G:$G,"*, "&amp;$C30&amp;", *")/$B30*100</f>
        <v>0</v>
      </c>
      <c r="AW30" s="41">
        <f>COUNTIFS(集計用!$P:$P, "*"&amp;AW$4&amp;",*",集計用!$G:$G,"*, "&amp;$C30&amp;", *")/$B30*100</f>
        <v>0</v>
      </c>
      <c r="AX30" s="41">
        <f>COUNTIFS(集計用!$P:$P, "*"&amp;AX$4&amp;",*",集計用!$G:$G,"*, "&amp;$C30&amp;", *")/$B30*100</f>
        <v>0</v>
      </c>
      <c r="AY30" s="41">
        <f>COUNTIFS(集計用!$P:$P, "*"&amp;AY$4&amp;",*",集計用!$G:$G,"*, "&amp;$C30&amp;", *")/$B30*100</f>
        <v>0</v>
      </c>
      <c r="AZ30" s="41">
        <f>COUNTIFS(集計用!$P:$P, "*"&amp;AZ$4&amp;",*",集計用!$G:$G,"*, "&amp;$C30&amp;", *")/$B30*100</f>
        <v>0</v>
      </c>
      <c r="BA30" s="41">
        <f>COUNTIFS(集計用!$P:$P, "*"&amp;BA$4&amp;",*",集計用!$G:$G,"*, "&amp;$C30&amp;", *")/$B30*100</f>
        <v>0</v>
      </c>
      <c r="BB30" s="41">
        <f>COUNTIFS(集計用!$P:$P, "*"&amp;BB$4&amp;",*",集計用!$G:$G,"*, "&amp;$C30&amp;", *")/$B30*100</f>
        <v>0</v>
      </c>
      <c r="BC30" s="41"/>
      <c r="BD30" s="41"/>
      <c r="BE30" s="41"/>
      <c r="BF30" s="41"/>
      <c r="BG30" s="41"/>
      <c r="BH30" s="41"/>
      <c r="BI30" s="41"/>
      <c r="BJ30" s="41"/>
      <c r="BK30" s="41"/>
      <c r="BL30" s="41"/>
      <c r="BM30" s="41"/>
      <c r="BN30" s="41"/>
      <c r="BO30" s="41"/>
      <c r="BP30" s="41"/>
      <c r="BQ30" s="41"/>
      <c r="BR30" s="41"/>
      <c r="BS30" s="41"/>
    </row>
    <row r="31" spans="1:71" ht="15.75" customHeight="1">
      <c r="A31" s="39">
        <v>4</v>
      </c>
      <c r="B31" s="39">
        <f>(COUNTIFS(集計用!$G:$G,"*, "&amp;$C31&amp;",*",集計用!$Q:$Q,"&lt;&gt;無回答"))</f>
        <v>22</v>
      </c>
      <c r="C31" s="42" t="s">
        <v>24</v>
      </c>
      <c r="D31" s="41">
        <f>COUNTIFS(集計用!$P:$P, "*"&amp;D$4&amp;",*",集計用!$G:$G,"*, "&amp;$C31&amp;", *")/$B31*100</f>
        <v>0</v>
      </c>
      <c r="E31" s="41">
        <f>COUNTIFS(集計用!$P:$P, "*"&amp;E$4&amp;",*",集計用!$G:$G,"*, "&amp;$C31&amp;", *")/$B31*100</f>
        <v>0</v>
      </c>
      <c r="F31" s="41">
        <f>COUNTIFS(集計用!$P:$P, "*"&amp;F$4&amp;",*",集計用!$G:$G,"*, "&amp;$C31&amp;", *")/$B31*100</f>
        <v>0</v>
      </c>
      <c r="G31" s="41">
        <f>COUNTIFS(集計用!$P:$P, "*"&amp;G$4&amp;",*",集計用!$G:$G,"*, "&amp;$C31&amp;", *")/$B31*100</f>
        <v>0</v>
      </c>
      <c r="H31" s="41">
        <f>COUNTIFS(集計用!$P:$P, "*"&amp;H$4&amp;",*",集計用!$G:$G,"*, "&amp;$C31&amp;", *")/$B31*100</f>
        <v>0</v>
      </c>
      <c r="I31" s="41">
        <f>COUNTIFS(集計用!$P:$P, "*"&amp;I$4&amp;",*",集計用!$G:$G,"*, "&amp;$C31&amp;", *")/$B31*100</f>
        <v>0</v>
      </c>
      <c r="J31" s="41">
        <f>COUNTIFS(集計用!$P:$P, "*"&amp;J$4&amp;",*",集計用!$G:$G,"*, "&amp;$C31&amp;", *")/$B31*100</f>
        <v>0</v>
      </c>
      <c r="K31" s="41">
        <f>COUNTIFS(集計用!$P:$P, "*"&amp;K$4&amp;",*",集計用!$G:$G,"*, "&amp;$C31&amp;", *")/$B31*100</f>
        <v>0</v>
      </c>
      <c r="L31" s="41">
        <f>COUNTIFS(集計用!$P:$P, "*"&amp;L$4&amp;",*",集計用!$G:$G,"*, "&amp;$C31&amp;", *")/$B31*100</f>
        <v>0</v>
      </c>
      <c r="M31" s="41">
        <f>COUNTIFS(集計用!$P:$P, "*"&amp;M$4&amp;",*",集計用!$G:$G,"*, "&amp;$C31&amp;", *")/$B31*100</f>
        <v>0</v>
      </c>
      <c r="N31" s="41">
        <f>COUNTIFS(集計用!$P:$P, "*"&amp;N$4&amp;",*",集計用!$G:$G,"*, "&amp;$C31&amp;", *")/$B31*100</f>
        <v>0</v>
      </c>
      <c r="O31" s="41">
        <f>COUNTIFS(集計用!$P:$P, "*"&amp;O$4&amp;",*",集計用!$G:$G,"*, "&amp;$C31&amp;", *")/$B31*100</f>
        <v>0</v>
      </c>
      <c r="P31" s="41">
        <f>COUNTIFS(集計用!$P:$P, "*"&amp;P$4&amp;",*",集計用!$G:$G,"*, "&amp;$C31&amp;", *")/$B31*100</f>
        <v>0</v>
      </c>
      <c r="Q31" s="41">
        <f>COUNTIFS(集計用!$P:$P, "*"&amp;Q$4&amp;",*",集計用!$G:$G,"*, "&amp;$C31&amp;", *")/$B31*100</f>
        <v>0</v>
      </c>
      <c r="R31" s="41">
        <f>COUNTIFS(集計用!$P:$P, "*"&amp;R$4&amp;",*",集計用!$G:$G,"*, "&amp;$C31&amp;", *")/$B31*100</f>
        <v>0</v>
      </c>
      <c r="S31" s="41">
        <f>COUNTIFS(集計用!$P:$P, "*"&amp;S$4&amp;",*",集計用!$G:$G,"*, "&amp;$C31&amp;", *")/$B31*100</f>
        <v>0</v>
      </c>
      <c r="T31" s="41">
        <f>COUNTIFS(集計用!$P:$P, "*"&amp;T$4&amp;",*",集計用!$G:$G,"*, "&amp;$C31&amp;", *")/$B31*100</f>
        <v>0</v>
      </c>
      <c r="U31" s="41">
        <f>COUNTIFS(集計用!$P:$P, "*"&amp;U$4&amp;",*",集計用!$G:$G,"*, "&amp;$C31&amp;", *")/$B31*100</f>
        <v>0</v>
      </c>
      <c r="V31" s="41">
        <f>COUNTIFS(集計用!$P:$P, "*"&amp;V$4&amp;",*",集計用!$G:$G,"*, "&amp;$C31&amp;", *")/$B31*100</f>
        <v>0</v>
      </c>
      <c r="W31" s="41">
        <f>COUNTIFS(集計用!$P:$P, "*"&amp;W$4&amp;",*",集計用!$G:$G,"*, "&amp;$C31&amp;", *")/$B31*100</f>
        <v>0</v>
      </c>
      <c r="X31" s="41">
        <f>COUNTIFS(集計用!$P:$P, "*"&amp;X$4&amp;",*",集計用!$G:$G,"*, "&amp;$C31&amp;", *")/$B31*100</f>
        <v>4.5454545454545459</v>
      </c>
      <c r="Y31" s="41">
        <f>COUNTIFS(集計用!$P:$P, "*"&amp;Y$4&amp;",*",集計用!$G:$G,"*, "&amp;$C31&amp;", *")/$B31*100</f>
        <v>0</v>
      </c>
      <c r="Z31" s="41">
        <f>COUNTIFS(集計用!$P:$P, "*"&amp;Z$4&amp;",*",集計用!$G:$G,"*, "&amp;$C31&amp;", *")/$B31*100</f>
        <v>4.5454545454545459</v>
      </c>
      <c r="AA31" s="41">
        <f>COUNTIFS(集計用!$P:$P, "*"&amp;AA$4&amp;",*",集計用!$G:$G,"*, "&amp;$C31&amp;", *")/$B31*100</f>
        <v>0</v>
      </c>
      <c r="AB31" s="41">
        <f>COUNTIFS(集計用!$P:$P, "*"&amp;AB$4&amp;",*",集計用!$G:$G,"*, "&amp;$C31&amp;", *")/$B31*100</f>
        <v>0</v>
      </c>
      <c r="AC31" s="41">
        <f>COUNTIFS(集計用!$P:$P, "*"&amp;AC$4&amp;",*",集計用!$G:$G,"*, "&amp;$C31&amp;", *")/$B31*100</f>
        <v>0</v>
      </c>
      <c r="AD31" s="41">
        <f>COUNTIFS(集計用!$P:$P, "*"&amp;AD$4&amp;",*",集計用!$G:$G,"*, "&amp;$C31&amp;", *")/$B31*100</f>
        <v>0</v>
      </c>
      <c r="AE31" s="41">
        <f>COUNTIFS(集計用!$P:$P, "*"&amp;AE$4&amp;",*",集計用!$G:$G,"*, "&amp;$C31&amp;", *")/$B31*100</f>
        <v>0</v>
      </c>
      <c r="AF31" s="41">
        <f>COUNTIFS(集計用!$P:$P, "*"&amp;AF$4&amp;",*",集計用!$G:$G,"*, "&amp;$C31&amp;", *")/$B31*100</f>
        <v>0</v>
      </c>
      <c r="AG31" s="41">
        <f>COUNTIFS(集計用!$P:$P, "*"&amp;AG$4&amp;",*",集計用!$G:$G,"*, "&amp;$C31&amp;", *")/$B31*100</f>
        <v>0</v>
      </c>
      <c r="AH31" s="41">
        <f>COUNTIFS(集計用!$P:$P, "*"&amp;AH$4&amp;",*",集計用!$G:$G,"*, "&amp;$C31&amp;", *")/$B31*100</f>
        <v>0</v>
      </c>
      <c r="AI31" s="41">
        <f>COUNTIFS(集計用!$P:$P, "*"&amp;AI$4&amp;",*",集計用!$G:$G,"*, "&amp;$C31&amp;", *")/$B31*100</f>
        <v>4.5454545454545459</v>
      </c>
      <c r="AJ31" s="41">
        <f>COUNTIFS(集計用!$P:$P, "*"&amp;AJ$4&amp;",*",集計用!$G:$G,"*, "&amp;$C31&amp;", *")/$B31*100</f>
        <v>0</v>
      </c>
      <c r="AK31" s="41">
        <f>COUNTIFS(集計用!$P:$P, "*"&amp;AK$4&amp;",*",集計用!$G:$G,"*, "&amp;$C31&amp;", *")/$B31*100</f>
        <v>0</v>
      </c>
      <c r="AL31" s="41">
        <f>COUNTIFS(集計用!$P:$P, "*"&amp;AL$4&amp;",*",集計用!$G:$G,"*, "&amp;$C31&amp;", *")/$B31*100</f>
        <v>0</v>
      </c>
      <c r="AM31" s="41">
        <f>COUNTIFS(集計用!$P:$P, "*"&amp;AM$4&amp;",*",集計用!$G:$G,"*, "&amp;$C31&amp;", *")/$B31*100</f>
        <v>0</v>
      </c>
      <c r="AN31" s="41">
        <f>COUNTIFS(集計用!$P:$P, "*"&amp;AN$4&amp;",*",集計用!$G:$G,"*, "&amp;$C31&amp;", *")/$B31*100</f>
        <v>0</v>
      </c>
      <c r="AO31" s="41">
        <f>COUNTIFS(集計用!$P:$P, "*"&amp;AO$4&amp;",*",集計用!$G:$G,"*, "&amp;$C31&amp;", *")/$B31*100</f>
        <v>4.5454545454545459</v>
      </c>
      <c r="AP31" s="41">
        <f>COUNTIFS(集計用!$P:$P, "*"&amp;AP$4&amp;",*",集計用!$G:$G,"*, "&amp;$C31&amp;", *")/$B31*100</f>
        <v>0</v>
      </c>
      <c r="AQ31" s="41">
        <f>COUNTIFS(集計用!$P:$P, "*"&amp;AQ$4&amp;",*",集計用!$G:$G,"*, "&amp;$C31&amp;", *")/$B31*100</f>
        <v>0</v>
      </c>
      <c r="AR31" s="41">
        <f>COUNTIFS(集計用!$P:$P, "*"&amp;AR$4&amp;",*",集計用!$G:$G,"*, "&amp;$C31&amp;", *")/$B31*100</f>
        <v>0</v>
      </c>
      <c r="AS31" s="41">
        <f>COUNTIFS(集計用!$P:$P, "*"&amp;AS$4&amp;",*",集計用!$G:$G,"*, "&amp;$C31&amp;", *")/$B31*100</f>
        <v>4.5454545454545459</v>
      </c>
      <c r="AT31" s="41">
        <f>COUNTIFS(集計用!$P:$P, "*"&amp;AT$4&amp;",*",集計用!$G:$G,"*, "&amp;$C31&amp;", *")/$B31*100</f>
        <v>0</v>
      </c>
      <c r="AU31" s="41">
        <f>COUNTIFS(集計用!$P:$P, "*"&amp;AU$4&amp;",*",集計用!$G:$G,"*, "&amp;$C31&amp;", *")/$B31*100</f>
        <v>0</v>
      </c>
      <c r="AV31" s="41">
        <f>COUNTIFS(集計用!$P:$P, "*"&amp;AV$4&amp;",*",集計用!$G:$G,"*, "&amp;$C31&amp;", *")/$B31*100</f>
        <v>0</v>
      </c>
      <c r="AW31" s="41">
        <f>COUNTIFS(集計用!$P:$P, "*"&amp;AW$4&amp;",*",集計用!$G:$G,"*, "&amp;$C31&amp;", *")/$B31*100</f>
        <v>0</v>
      </c>
      <c r="AX31" s="41">
        <f>COUNTIFS(集計用!$P:$P, "*"&amp;AX$4&amp;",*",集計用!$G:$G,"*, "&amp;$C31&amp;", *")/$B31*100</f>
        <v>0</v>
      </c>
      <c r="AY31" s="41">
        <f>COUNTIFS(集計用!$P:$P, "*"&amp;AY$4&amp;",*",集計用!$G:$G,"*, "&amp;$C31&amp;", *")/$B31*100</f>
        <v>0</v>
      </c>
      <c r="AZ31" s="41">
        <f>COUNTIFS(集計用!$P:$P, "*"&amp;AZ$4&amp;",*",集計用!$G:$G,"*, "&amp;$C31&amp;", *")/$B31*100</f>
        <v>0</v>
      </c>
      <c r="BA31" s="41">
        <f>COUNTIFS(集計用!$P:$P, "*"&amp;BA$4&amp;",*",集計用!$G:$G,"*, "&amp;$C31&amp;", *")/$B31*100</f>
        <v>4.5454545454545459</v>
      </c>
      <c r="BB31" s="41">
        <f>COUNTIFS(集計用!$P:$P, "*"&amp;BB$4&amp;",*",集計用!$G:$G,"*, "&amp;$C31&amp;", *")/$B31*100</f>
        <v>0</v>
      </c>
      <c r="BC31" s="41"/>
      <c r="BD31" s="41"/>
      <c r="BE31" s="41"/>
      <c r="BF31" s="41"/>
      <c r="BG31" s="41"/>
      <c r="BH31" s="41"/>
      <c r="BI31" s="41"/>
      <c r="BJ31" s="41"/>
      <c r="BK31" s="41"/>
      <c r="BL31" s="41"/>
      <c r="BM31" s="41"/>
      <c r="BN31" s="41"/>
      <c r="BO31" s="41"/>
      <c r="BP31" s="41"/>
      <c r="BQ31" s="41"/>
      <c r="BR31" s="41"/>
      <c r="BS31" s="41"/>
    </row>
    <row r="32" spans="1:71" ht="12.75">
      <c r="A32" s="39">
        <v>6</v>
      </c>
      <c r="B32" s="39">
        <f>(COUNTIFS(集計用!$G:$G,"*, "&amp;$C32&amp;",*",集計用!$Q:$Q,"&lt;&gt;無回答"))</f>
        <v>20</v>
      </c>
      <c r="C32" s="42" t="s">
        <v>26</v>
      </c>
      <c r="D32" s="41">
        <f>COUNTIFS(集計用!$P:$P, "*"&amp;D$4&amp;",*",集計用!$G:$G,"*, "&amp;$C32&amp;", *")/$B32*100</f>
        <v>10</v>
      </c>
      <c r="E32" s="41">
        <f>COUNTIFS(集計用!$P:$P, "*"&amp;E$4&amp;",*",集計用!$G:$G,"*, "&amp;$C32&amp;", *")/$B32*100</f>
        <v>0</v>
      </c>
      <c r="F32" s="41">
        <f>COUNTIFS(集計用!$P:$P, "*"&amp;F$4&amp;",*",集計用!$G:$G,"*, "&amp;$C32&amp;", *")/$B32*100</f>
        <v>0</v>
      </c>
      <c r="G32" s="41">
        <f>COUNTIFS(集計用!$P:$P, "*"&amp;G$4&amp;",*",集計用!$G:$G,"*, "&amp;$C32&amp;", *")/$B32*100</f>
        <v>0</v>
      </c>
      <c r="H32" s="41">
        <f>COUNTIFS(集計用!$P:$P, "*"&amp;H$4&amp;",*",集計用!$G:$G,"*, "&amp;$C32&amp;", *")/$B32*100</f>
        <v>0</v>
      </c>
      <c r="I32" s="41">
        <f>COUNTIFS(集計用!$P:$P, "*"&amp;I$4&amp;",*",集計用!$G:$G,"*, "&amp;$C32&amp;", *")/$B32*100</f>
        <v>0</v>
      </c>
      <c r="J32" s="41">
        <f>COUNTIFS(集計用!$P:$P, "*"&amp;J$4&amp;",*",集計用!$G:$G,"*, "&amp;$C32&amp;", *")/$B32*100</f>
        <v>0</v>
      </c>
      <c r="K32" s="41">
        <f>COUNTIFS(集計用!$P:$P, "*"&amp;K$4&amp;",*",集計用!$G:$G,"*, "&amp;$C32&amp;", *")/$B32*100</f>
        <v>5</v>
      </c>
      <c r="L32" s="41">
        <f>COUNTIFS(集計用!$P:$P, "*"&amp;L$4&amp;",*",集計用!$G:$G,"*, "&amp;$C32&amp;", *")/$B32*100</f>
        <v>0</v>
      </c>
      <c r="M32" s="41">
        <f>COUNTIFS(集計用!$P:$P, "*"&amp;M$4&amp;",*",集計用!$G:$G,"*, "&amp;$C32&amp;", *")/$B32*100</f>
        <v>0</v>
      </c>
      <c r="N32" s="41">
        <f>COUNTIFS(集計用!$P:$P, "*"&amp;N$4&amp;",*",集計用!$G:$G,"*, "&amp;$C32&amp;", *")/$B32*100</f>
        <v>0</v>
      </c>
      <c r="O32" s="41">
        <f>COUNTIFS(集計用!$P:$P, "*"&amp;O$4&amp;",*",集計用!$G:$G,"*, "&amp;$C32&amp;", *")/$B32*100</f>
        <v>0</v>
      </c>
      <c r="P32" s="41">
        <f>COUNTIFS(集計用!$P:$P, "*"&amp;P$4&amp;",*",集計用!$G:$G,"*, "&amp;$C32&amp;", *")/$B32*100</f>
        <v>0</v>
      </c>
      <c r="Q32" s="41">
        <f>COUNTIFS(集計用!$P:$P, "*"&amp;Q$4&amp;",*",集計用!$G:$G,"*, "&amp;$C32&amp;", *")/$B32*100</f>
        <v>5</v>
      </c>
      <c r="R32" s="41">
        <f>COUNTIFS(集計用!$P:$P, "*"&amp;R$4&amp;",*",集計用!$G:$G,"*, "&amp;$C32&amp;", *")/$B32*100</f>
        <v>0</v>
      </c>
      <c r="S32" s="41">
        <f>COUNTIFS(集計用!$P:$P, "*"&amp;S$4&amp;",*",集計用!$G:$G,"*, "&amp;$C32&amp;", *")/$B32*100</f>
        <v>0</v>
      </c>
      <c r="T32" s="41">
        <f>COUNTIFS(集計用!$P:$P, "*"&amp;T$4&amp;",*",集計用!$G:$G,"*, "&amp;$C32&amp;", *")/$B32*100</f>
        <v>0</v>
      </c>
      <c r="U32" s="41">
        <f>COUNTIFS(集計用!$P:$P, "*"&amp;U$4&amp;",*",集計用!$G:$G,"*, "&amp;$C32&amp;", *")/$B32*100</f>
        <v>0</v>
      </c>
      <c r="V32" s="41">
        <f>COUNTIFS(集計用!$P:$P, "*"&amp;V$4&amp;",*",集計用!$G:$G,"*, "&amp;$C32&amp;", *")/$B32*100</f>
        <v>0</v>
      </c>
      <c r="W32" s="41">
        <f>COUNTIFS(集計用!$P:$P, "*"&amp;W$4&amp;",*",集計用!$G:$G,"*, "&amp;$C32&amp;", *")/$B32*100</f>
        <v>0</v>
      </c>
      <c r="X32" s="41">
        <f>COUNTIFS(集計用!$P:$P, "*"&amp;X$4&amp;",*",集計用!$G:$G,"*, "&amp;$C32&amp;", *")/$B32*100</f>
        <v>0</v>
      </c>
      <c r="Y32" s="41">
        <f>COUNTIFS(集計用!$P:$P, "*"&amp;Y$4&amp;",*",集計用!$G:$G,"*, "&amp;$C32&amp;", *")/$B32*100</f>
        <v>0</v>
      </c>
      <c r="Z32" s="41">
        <f>COUNTIFS(集計用!$P:$P, "*"&amp;Z$4&amp;",*",集計用!$G:$G,"*, "&amp;$C32&amp;", *")/$B32*100</f>
        <v>0</v>
      </c>
      <c r="AA32" s="41">
        <f>COUNTIFS(集計用!$P:$P, "*"&amp;AA$4&amp;",*",集計用!$G:$G,"*, "&amp;$C32&amp;", *")/$B32*100</f>
        <v>0</v>
      </c>
      <c r="AB32" s="41">
        <f>COUNTIFS(集計用!$P:$P, "*"&amp;AB$4&amp;",*",集計用!$G:$G,"*, "&amp;$C32&amp;", *")/$B32*100</f>
        <v>0</v>
      </c>
      <c r="AC32" s="41">
        <f>COUNTIFS(集計用!$P:$P, "*"&amp;AC$4&amp;",*",集計用!$G:$G,"*, "&amp;$C32&amp;", *")/$B32*100</f>
        <v>0</v>
      </c>
      <c r="AD32" s="41">
        <f>COUNTIFS(集計用!$P:$P, "*"&amp;AD$4&amp;",*",集計用!$G:$G,"*, "&amp;$C32&amp;", *")/$B32*100</f>
        <v>0</v>
      </c>
      <c r="AE32" s="41">
        <f>COUNTIFS(集計用!$P:$P, "*"&amp;AE$4&amp;",*",集計用!$G:$G,"*, "&amp;$C32&amp;", *")/$B32*100</f>
        <v>0</v>
      </c>
      <c r="AF32" s="41">
        <f>COUNTIFS(集計用!$P:$P, "*"&amp;AF$4&amp;",*",集計用!$G:$G,"*, "&amp;$C32&amp;", *")/$B32*100</f>
        <v>0</v>
      </c>
      <c r="AG32" s="41">
        <f>COUNTIFS(集計用!$P:$P, "*"&amp;AG$4&amp;",*",集計用!$G:$G,"*, "&amp;$C32&amp;", *")/$B32*100</f>
        <v>5</v>
      </c>
      <c r="AH32" s="41">
        <f>COUNTIFS(集計用!$P:$P, "*"&amp;AH$4&amp;",*",集計用!$G:$G,"*, "&amp;$C32&amp;", *")/$B32*100</f>
        <v>0</v>
      </c>
      <c r="AI32" s="41">
        <f>COUNTIFS(集計用!$P:$P, "*"&amp;AI$4&amp;",*",集計用!$G:$G,"*, "&amp;$C32&amp;", *")/$B32*100</f>
        <v>0</v>
      </c>
      <c r="AJ32" s="41">
        <f>COUNTIFS(集計用!$P:$P, "*"&amp;AJ$4&amp;",*",集計用!$G:$G,"*, "&amp;$C32&amp;", *")/$B32*100</f>
        <v>0</v>
      </c>
      <c r="AK32" s="41">
        <f>COUNTIFS(集計用!$P:$P, "*"&amp;AK$4&amp;",*",集計用!$G:$G,"*, "&amp;$C32&amp;", *")/$B32*100</f>
        <v>0</v>
      </c>
      <c r="AL32" s="41">
        <f>COUNTIFS(集計用!$P:$P, "*"&amp;AL$4&amp;",*",集計用!$G:$G,"*, "&amp;$C32&amp;", *")/$B32*100</f>
        <v>0</v>
      </c>
      <c r="AM32" s="41">
        <f>COUNTIFS(集計用!$P:$P, "*"&amp;AM$4&amp;",*",集計用!$G:$G,"*, "&amp;$C32&amp;", *")/$B32*100</f>
        <v>0</v>
      </c>
      <c r="AN32" s="41">
        <f>COUNTIFS(集計用!$P:$P, "*"&amp;AN$4&amp;",*",集計用!$G:$G,"*, "&amp;$C32&amp;", *")/$B32*100</f>
        <v>0</v>
      </c>
      <c r="AO32" s="41">
        <f>COUNTIFS(集計用!$P:$P, "*"&amp;AO$4&amp;",*",集計用!$G:$G,"*, "&amp;$C32&amp;", *")/$B32*100</f>
        <v>0</v>
      </c>
      <c r="AP32" s="41">
        <f>COUNTIFS(集計用!$P:$P, "*"&amp;AP$4&amp;",*",集計用!$G:$G,"*, "&amp;$C32&amp;", *")/$B32*100</f>
        <v>0</v>
      </c>
      <c r="AQ32" s="41">
        <f>COUNTIFS(集計用!$P:$P, "*"&amp;AQ$4&amp;",*",集計用!$G:$G,"*, "&amp;$C32&amp;", *")/$B32*100</f>
        <v>0</v>
      </c>
      <c r="AR32" s="41">
        <f>COUNTIFS(集計用!$P:$P, "*"&amp;AR$4&amp;",*",集計用!$G:$G,"*, "&amp;$C32&amp;", *")/$B32*100</f>
        <v>0</v>
      </c>
      <c r="AS32" s="41">
        <f>COUNTIFS(集計用!$P:$P, "*"&amp;AS$4&amp;",*",集計用!$G:$G,"*, "&amp;$C32&amp;", *")/$B32*100</f>
        <v>0</v>
      </c>
      <c r="AT32" s="41">
        <f>COUNTIFS(集計用!$P:$P, "*"&amp;AT$4&amp;",*",集計用!$G:$G,"*, "&amp;$C32&amp;", *")/$B32*100</f>
        <v>0</v>
      </c>
      <c r="AU32" s="41">
        <f>COUNTIFS(集計用!$P:$P, "*"&amp;AU$4&amp;",*",集計用!$G:$G,"*, "&amp;$C32&amp;", *")/$B32*100</f>
        <v>0</v>
      </c>
      <c r="AV32" s="41">
        <f>COUNTIFS(集計用!$P:$P, "*"&amp;AV$4&amp;",*",集計用!$G:$G,"*, "&amp;$C32&amp;", *")/$B32*100</f>
        <v>0</v>
      </c>
      <c r="AW32" s="41">
        <f>COUNTIFS(集計用!$P:$P, "*"&amp;AW$4&amp;",*",集計用!$G:$G,"*, "&amp;$C32&amp;", *")/$B32*100</f>
        <v>0</v>
      </c>
      <c r="AX32" s="41">
        <f>COUNTIFS(集計用!$P:$P, "*"&amp;AX$4&amp;",*",集計用!$G:$G,"*, "&amp;$C32&amp;", *")/$B32*100</f>
        <v>0</v>
      </c>
      <c r="AY32" s="41">
        <f>COUNTIFS(集計用!$P:$P, "*"&amp;AY$4&amp;",*",集計用!$G:$G,"*, "&amp;$C32&amp;", *")/$B32*100</f>
        <v>0</v>
      </c>
      <c r="AZ32" s="41">
        <f>COUNTIFS(集計用!$P:$P, "*"&amp;AZ$4&amp;",*",集計用!$G:$G,"*, "&amp;$C32&amp;", *")/$B32*100</f>
        <v>0</v>
      </c>
      <c r="BA32" s="41">
        <f>COUNTIFS(集計用!$P:$P, "*"&amp;BA$4&amp;",*",集計用!$G:$G,"*, "&amp;$C32&amp;", *")/$B32*100</f>
        <v>0</v>
      </c>
      <c r="BB32" s="41">
        <f>COUNTIFS(集計用!$P:$P, "*"&amp;BB$4&amp;",*",集計用!$G:$G,"*, "&amp;$C32&amp;", *")/$B32*100</f>
        <v>0</v>
      </c>
      <c r="BC32" s="41"/>
      <c r="BD32" s="41"/>
      <c r="BE32" s="41"/>
      <c r="BF32" s="41"/>
      <c r="BG32" s="41"/>
      <c r="BH32" s="41"/>
      <c r="BI32" s="41"/>
      <c r="BJ32" s="41"/>
      <c r="BK32" s="41"/>
      <c r="BL32" s="41"/>
      <c r="BM32" s="41"/>
      <c r="BN32" s="41"/>
      <c r="BO32" s="41"/>
      <c r="BP32" s="41"/>
      <c r="BQ32" s="41"/>
      <c r="BR32" s="41"/>
      <c r="BS32" s="41"/>
    </row>
    <row r="33" spans="1:71" ht="12.75">
      <c r="A33" s="39">
        <v>4</v>
      </c>
      <c r="B33" s="39">
        <f>(COUNTIFS(集計用!$G:$G,"*, "&amp;$C33&amp;",*",集計用!$Q:$Q,"&lt;&gt;無回答"))</f>
        <v>19</v>
      </c>
      <c r="C33" s="42" t="s">
        <v>27</v>
      </c>
      <c r="D33" s="41">
        <f>COUNTIFS(集計用!$P:$P, "*"&amp;D$4&amp;",*",集計用!$G:$G,"*, "&amp;$C33&amp;", *")/$B33*100</f>
        <v>0</v>
      </c>
      <c r="E33" s="41">
        <f>COUNTIFS(集計用!$P:$P, "*"&amp;E$4&amp;",*",集計用!$G:$G,"*, "&amp;$C33&amp;", *")/$B33*100</f>
        <v>0</v>
      </c>
      <c r="F33" s="41">
        <f>COUNTIFS(集計用!$P:$P, "*"&amp;F$4&amp;",*",集計用!$G:$G,"*, "&amp;$C33&amp;", *")/$B33*100</f>
        <v>0</v>
      </c>
      <c r="G33" s="41">
        <f>COUNTIFS(集計用!$P:$P, "*"&amp;G$4&amp;",*",集計用!$G:$G,"*, "&amp;$C33&amp;", *")/$B33*100</f>
        <v>5.2631578947368416</v>
      </c>
      <c r="H33" s="41">
        <f>COUNTIFS(集計用!$P:$P, "*"&amp;H$4&amp;",*",集計用!$G:$G,"*, "&amp;$C33&amp;", *")/$B33*100</f>
        <v>0</v>
      </c>
      <c r="I33" s="41">
        <f>COUNTIFS(集計用!$P:$P, "*"&amp;I$4&amp;",*",集計用!$G:$G,"*, "&amp;$C33&amp;", *")/$B33*100</f>
        <v>0</v>
      </c>
      <c r="J33" s="41">
        <f>COUNTIFS(集計用!$P:$P, "*"&amp;J$4&amp;",*",集計用!$G:$G,"*, "&amp;$C33&amp;", *")/$B33*100</f>
        <v>0</v>
      </c>
      <c r="K33" s="41">
        <f>COUNTIFS(集計用!$P:$P, "*"&amp;K$4&amp;",*",集計用!$G:$G,"*, "&amp;$C33&amp;", *")/$B33*100</f>
        <v>5.2631578947368416</v>
      </c>
      <c r="L33" s="41">
        <f>COUNTIFS(集計用!$P:$P, "*"&amp;L$4&amp;",*",集計用!$G:$G,"*, "&amp;$C33&amp;", *")/$B33*100</f>
        <v>0</v>
      </c>
      <c r="M33" s="41">
        <f>COUNTIFS(集計用!$P:$P, "*"&amp;M$4&amp;",*",集計用!$G:$G,"*, "&amp;$C33&amp;", *")/$B33*100</f>
        <v>0</v>
      </c>
      <c r="N33" s="41">
        <f>COUNTIFS(集計用!$P:$P, "*"&amp;N$4&amp;",*",集計用!$G:$G,"*, "&amp;$C33&amp;", *")/$B33*100</f>
        <v>0</v>
      </c>
      <c r="O33" s="41">
        <f>COUNTIFS(集計用!$P:$P, "*"&amp;O$4&amp;",*",集計用!$G:$G,"*, "&amp;$C33&amp;", *")/$B33*100</f>
        <v>0</v>
      </c>
      <c r="P33" s="41">
        <f>COUNTIFS(集計用!$P:$P, "*"&amp;P$4&amp;",*",集計用!$G:$G,"*, "&amp;$C33&amp;", *")/$B33*100</f>
        <v>0</v>
      </c>
      <c r="Q33" s="41">
        <f>COUNTIFS(集計用!$P:$P, "*"&amp;Q$4&amp;",*",集計用!$G:$G,"*, "&amp;$C33&amp;", *")/$B33*100</f>
        <v>5.2631578947368416</v>
      </c>
      <c r="R33" s="41">
        <f>COUNTIFS(集計用!$P:$P, "*"&amp;R$4&amp;",*",集計用!$G:$G,"*, "&amp;$C33&amp;", *")/$B33*100</f>
        <v>0</v>
      </c>
      <c r="S33" s="41">
        <f>COUNTIFS(集計用!$P:$P, "*"&amp;S$4&amp;",*",集計用!$G:$G,"*, "&amp;$C33&amp;", *")/$B33*100</f>
        <v>0</v>
      </c>
      <c r="T33" s="41">
        <f>COUNTIFS(集計用!$P:$P, "*"&amp;T$4&amp;",*",集計用!$G:$G,"*, "&amp;$C33&amp;", *")/$B33*100</f>
        <v>0</v>
      </c>
      <c r="U33" s="41">
        <f>COUNTIFS(集計用!$P:$P, "*"&amp;U$4&amp;",*",集計用!$G:$G,"*, "&amp;$C33&amp;", *")/$B33*100</f>
        <v>0</v>
      </c>
      <c r="V33" s="41">
        <f>COUNTIFS(集計用!$P:$P, "*"&amp;V$4&amp;",*",集計用!$G:$G,"*, "&amp;$C33&amp;", *")/$B33*100</f>
        <v>0</v>
      </c>
      <c r="W33" s="41">
        <f>COUNTIFS(集計用!$P:$P, "*"&amp;W$4&amp;",*",集計用!$G:$G,"*, "&amp;$C33&amp;", *")/$B33*100</f>
        <v>0</v>
      </c>
      <c r="X33" s="41">
        <f>COUNTIFS(集計用!$P:$P, "*"&amp;X$4&amp;",*",集計用!$G:$G,"*, "&amp;$C33&amp;", *")/$B33*100</f>
        <v>0</v>
      </c>
      <c r="Y33" s="41">
        <f>COUNTIFS(集計用!$P:$P, "*"&amp;Y$4&amp;",*",集計用!$G:$G,"*, "&amp;$C33&amp;", *")/$B33*100</f>
        <v>0</v>
      </c>
      <c r="Z33" s="41">
        <f>COUNTIFS(集計用!$P:$P, "*"&amp;Z$4&amp;",*",集計用!$G:$G,"*, "&amp;$C33&amp;", *")/$B33*100</f>
        <v>0</v>
      </c>
      <c r="AA33" s="41">
        <f>COUNTIFS(集計用!$P:$P, "*"&amp;AA$4&amp;",*",集計用!$G:$G,"*, "&amp;$C33&amp;", *")/$B33*100</f>
        <v>0</v>
      </c>
      <c r="AB33" s="41">
        <f>COUNTIFS(集計用!$P:$P, "*"&amp;AB$4&amp;",*",集計用!$G:$G,"*, "&amp;$C33&amp;", *")/$B33*100</f>
        <v>0</v>
      </c>
      <c r="AC33" s="41">
        <f>COUNTIFS(集計用!$P:$P, "*"&amp;AC$4&amp;",*",集計用!$G:$G,"*, "&amp;$C33&amp;", *")/$B33*100</f>
        <v>0</v>
      </c>
      <c r="AD33" s="41">
        <f>COUNTIFS(集計用!$P:$P, "*"&amp;AD$4&amp;",*",集計用!$G:$G,"*, "&amp;$C33&amp;", *")/$B33*100</f>
        <v>0</v>
      </c>
      <c r="AE33" s="41">
        <f>COUNTIFS(集計用!$P:$P, "*"&amp;AE$4&amp;",*",集計用!$G:$G,"*, "&amp;$C33&amp;", *")/$B33*100</f>
        <v>0</v>
      </c>
      <c r="AF33" s="41">
        <f>COUNTIFS(集計用!$P:$P, "*"&amp;AF$4&amp;",*",集計用!$G:$G,"*, "&amp;$C33&amp;", *")/$B33*100</f>
        <v>0</v>
      </c>
      <c r="AG33" s="41">
        <f>COUNTIFS(集計用!$P:$P, "*"&amp;AG$4&amp;",*",集計用!$G:$G,"*, "&amp;$C33&amp;", *")/$B33*100</f>
        <v>0</v>
      </c>
      <c r="AH33" s="41">
        <f>COUNTIFS(集計用!$P:$P, "*"&amp;AH$4&amp;",*",集計用!$G:$G,"*, "&amp;$C33&amp;", *")/$B33*100</f>
        <v>0</v>
      </c>
      <c r="AI33" s="41">
        <f>COUNTIFS(集計用!$P:$P, "*"&amp;AI$4&amp;",*",集計用!$G:$G,"*, "&amp;$C33&amp;", *")/$B33*100</f>
        <v>0</v>
      </c>
      <c r="AJ33" s="41">
        <f>COUNTIFS(集計用!$P:$P, "*"&amp;AJ$4&amp;",*",集計用!$G:$G,"*, "&amp;$C33&amp;", *")/$B33*100</f>
        <v>0</v>
      </c>
      <c r="AK33" s="41">
        <f>COUNTIFS(集計用!$P:$P, "*"&amp;AK$4&amp;",*",集計用!$G:$G,"*, "&amp;$C33&amp;", *")/$B33*100</f>
        <v>0</v>
      </c>
      <c r="AL33" s="41">
        <f>COUNTIFS(集計用!$P:$P, "*"&amp;AL$4&amp;",*",集計用!$G:$G,"*, "&amp;$C33&amp;", *")/$B33*100</f>
        <v>0</v>
      </c>
      <c r="AM33" s="41">
        <f>COUNTIFS(集計用!$P:$P, "*"&amp;AM$4&amp;",*",集計用!$G:$G,"*, "&amp;$C33&amp;", *")/$B33*100</f>
        <v>0</v>
      </c>
      <c r="AN33" s="41">
        <f>COUNTIFS(集計用!$P:$P, "*"&amp;AN$4&amp;",*",集計用!$G:$G,"*, "&amp;$C33&amp;", *")/$B33*100</f>
        <v>0</v>
      </c>
      <c r="AO33" s="41">
        <f>COUNTIFS(集計用!$P:$P, "*"&amp;AO$4&amp;",*",集計用!$G:$G,"*, "&amp;$C33&amp;", *")/$B33*100</f>
        <v>0</v>
      </c>
      <c r="AP33" s="41">
        <f>COUNTIFS(集計用!$P:$P, "*"&amp;AP$4&amp;",*",集計用!$G:$G,"*, "&amp;$C33&amp;", *")/$B33*100</f>
        <v>0</v>
      </c>
      <c r="AQ33" s="41">
        <f>COUNTIFS(集計用!$P:$P, "*"&amp;AQ$4&amp;",*",集計用!$G:$G,"*, "&amp;$C33&amp;", *")/$B33*100</f>
        <v>0</v>
      </c>
      <c r="AR33" s="41">
        <f>COUNTIFS(集計用!$P:$P, "*"&amp;AR$4&amp;",*",集計用!$G:$G,"*, "&amp;$C33&amp;", *")/$B33*100</f>
        <v>0</v>
      </c>
      <c r="AS33" s="41">
        <f>COUNTIFS(集計用!$P:$P, "*"&amp;AS$4&amp;",*",集計用!$G:$G,"*, "&amp;$C33&amp;", *")/$B33*100</f>
        <v>0</v>
      </c>
      <c r="AT33" s="41">
        <f>COUNTIFS(集計用!$P:$P, "*"&amp;AT$4&amp;",*",集計用!$G:$G,"*, "&amp;$C33&amp;", *")/$B33*100</f>
        <v>0</v>
      </c>
      <c r="AU33" s="41">
        <f>COUNTIFS(集計用!$P:$P, "*"&amp;AU$4&amp;",*",集計用!$G:$G,"*, "&amp;$C33&amp;", *")/$B33*100</f>
        <v>0</v>
      </c>
      <c r="AV33" s="41">
        <f>COUNTIFS(集計用!$P:$P, "*"&amp;AV$4&amp;",*",集計用!$G:$G,"*, "&amp;$C33&amp;", *")/$B33*100</f>
        <v>0</v>
      </c>
      <c r="AW33" s="41">
        <f>COUNTIFS(集計用!$P:$P, "*"&amp;AW$4&amp;",*",集計用!$G:$G,"*, "&amp;$C33&amp;", *")/$B33*100</f>
        <v>0</v>
      </c>
      <c r="AX33" s="41">
        <f>COUNTIFS(集計用!$P:$P, "*"&amp;AX$4&amp;",*",集計用!$G:$G,"*, "&amp;$C33&amp;", *")/$B33*100</f>
        <v>0</v>
      </c>
      <c r="AY33" s="41">
        <f>COUNTIFS(集計用!$P:$P, "*"&amp;AY$4&amp;",*",集計用!$G:$G,"*, "&amp;$C33&amp;", *")/$B33*100</f>
        <v>0</v>
      </c>
      <c r="AZ33" s="41">
        <f>COUNTIFS(集計用!$P:$P, "*"&amp;AZ$4&amp;",*",集計用!$G:$G,"*, "&amp;$C33&amp;", *")/$B33*100</f>
        <v>0</v>
      </c>
      <c r="BA33" s="41">
        <f>COUNTIFS(集計用!$P:$P, "*"&amp;BA$4&amp;",*",集計用!$G:$G,"*, "&amp;$C33&amp;", *")/$B33*100</f>
        <v>0</v>
      </c>
      <c r="BB33" s="41">
        <f>COUNTIFS(集計用!$P:$P, "*"&amp;BB$4&amp;",*",集計用!$G:$G,"*, "&amp;$C33&amp;", *")/$B33*100</f>
        <v>0</v>
      </c>
      <c r="BC33" s="41"/>
      <c r="BD33" s="41"/>
      <c r="BE33" s="41"/>
      <c r="BF33" s="41"/>
      <c r="BG33" s="41"/>
      <c r="BH33" s="41"/>
      <c r="BI33" s="41"/>
      <c r="BJ33" s="41"/>
      <c r="BK33" s="41"/>
      <c r="BL33" s="41"/>
      <c r="BM33" s="41"/>
      <c r="BN33" s="41"/>
      <c r="BO33" s="41"/>
      <c r="BP33" s="41"/>
      <c r="BQ33" s="41"/>
      <c r="BR33" s="41"/>
      <c r="BS33" s="41"/>
    </row>
    <row r="34" spans="1:71" ht="12.75">
      <c r="A34" s="39">
        <v>5</v>
      </c>
      <c r="B34" s="39">
        <f>(COUNTIFS(集計用!$G:$G,"*, "&amp;$C34&amp;",*",集計用!$Q:$Q,"&lt;&gt;無回答"))</f>
        <v>18</v>
      </c>
      <c r="C34" s="42" t="s">
        <v>28</v>
      </c>
      <c r="D34" s="41">
        <f>COUNTIFS(集計用!$P:$P, "*"&amp;D$4&amp;",*",集計用!$G:$G,"*, "&amp;$C34&amp;", *")/$B34*100</f>
        <v>0</v>
      </c>
      <c r="E34" s="41">
        <f>COUNTIFS(集計用!$P:$P, "*"&amp;E$4&amp;",*",集計用!$G:$G,"*, "&amp;$C34&amp;", *")/$B34*100</f>
        <v>0</v>
      </c>
      <c r="F34" s="41">
        <f>COUNTIFS(集計用!$P:$P, "*"&amp;F$4&amp;",*",集計用!$G:$G,"*, "&amp;$C34&amp;", *")/$B34*100</f>
        <v>0</v>
      </c>
      <c r="G34" s="41">
        <f>COUNTIFS(集計用!$P:$P, "*"&amp;G$4&amp;",*",集計用!$G:$G,"*, "&amp;$C34&amp;", *")/$B34*100</f>
        <v>0</v>
      </c>
      <c r="H34" s="41">
        <f>COUNTIFS(集計用!$P:$P, "*"&amp;H$4&amp;",*",集計用!$G:$G,"*, "&amp;$C34&amp;", *")/$B34*100</f>
        <v>5.5555555555555554</v>
      </c>
      <c r="I34" s="41">
        <f>COUNTIFS(集計用!$P:$P, "*"&amp;I$4&amp;",*",集計用!$G:$G,"*, "&amp;$C34&amp;", *")/$B34*100</f>
        <v>0</v>
      </c>
      <c r="J34" s="41">
        <f>COUNTIFS(集計用!$P:$P, "*"&amp;J$4&amp;",*",集計用!$G:$G,"*, "&amp;$C34&amp;", *")/$B34*100</f>
        <v>0</v>
      </c>
      <c r="K34" s="41">
        <f>COUNTIFS(集計用!$P:$P, "*"&amp;K$4&amp;",*",集計用!$G:$G,"*, "&amp;$C34&amp;", *")/$B34*100</f>
        <v>0</v>
      </c>
      <c r="L34" s="41">
        <f>COUNTIFS(集計用!$P:$P, "*"&amp;L$4&amp;",*",集計用!$G:$G,"*, "&amp;$C34&amp;", *")/$B34*100</f>
        <v>0</v>
      </c>
      <c r="M34" s="41">
        <f>COUNTIFS(集計用!$P:$P, "*"&amp;M$4&amp;",*",集計用!$G:$G,"*, "&amp;$C34&amp;", *")/$B34*100</f>
        <v>0</v>
      </c>
      <c r="N34" s="41">
        <f>COUNTIFS(集計用!$P:$P, "*"&amp;N$4&amp;",*",集計用!$G:$G,"*, "&amp;$C34&amp;", *")/$B34*100</f>
        <v>0</v>
      </c>
      <c r="O34" s="41">
        <f>COUNTIFS(集計用!$P:$P, "*"&amp;O$4&amp;",*",集計用!$G:$G,"*, "&amp;$C34&amp;", *")/$B34*100</f>
        <v>0</v>
      </c>
      <c r="P34" s="41">
        <f>COUNTIFS(集計用!$P:$P, "*"&amp;P$4&amp;",*",集計用!$G:$G,"*, "&amp;$C34&amp;", *")/$B34*100</f>
        <v>0</v>
      </c>
      <c r="Q34" s="41">
        <f>COUNTIFS(集計用!$P:$P, "*"&amp;Q$4&amp;",*",集計用!$G:$G,"*, "&amp;$C34&amp;", *")/$B34*100</f>
        <v>0</v>
      </c>
      <c r="R34" s="41">
        <f>COUNTIFS(集計用!$P:$P, "*"&amp;R$4&amp;",*",集計用!$G:$G,"*, "&amp;$C34&amp;", *")/$B34*100</f>
        <v>0</v>
      </c>
      <c r="S34" s="41">
        <f>COUNTIFS(集計用!$P:$P, "*"&amp;S$4&amp;",*",集計用!$G:$G,"*, "&amp;$C34&amp;", *")/$B34*100</f>
        <v>0</v>
      </c>
      <c r="T34" s="41">
        <f>COUNTIFS(集計用!$P:$P, "*"&amp;T$4&amp;",*",集計用!$G:$G,"*, "&amp;$C34&amp;", *")/$B34*100</f>
        <v>0</v>
      </c>
      <c r="U34" s="41">
        <f>COUNTIFS(集計用!$P:$P, "*"&amp;U$4&amp;",*",集計用!$G:$G,"*, "&amp;$C34&amp;", *")/$B34*100</f>
        <v>0</v>
      </c>
      <c r="V34" s="41">
        <f>COUNTIFS(集計用!$P:$P, "*"&amp;V$4&amp;",*",集計用!$G:$G,"*, "&amp;$C34&amp;", *")/$B34*100</f>
        <v>0</v>
      </c>
      <c r="W34" s="41">
        <f>COUNTIFS(集計用!$P:$P, "*"&amp;W$4&amp;",*",集計用!$G:$G,"*, "&amp;$C34&amp;", *")/$B34*100</f>
        <v>0</v>
      </c>
      <c r="X34" s="41">
        <f>COUNTIFS(集計用!$P:$P, "*"&amp;X$4&amp;",*",集計用!$G:$G,"*, "&amp;$C34&amp;", *")/$B34*100</f>
        <v>0</v>
      </c>
      <c r="Y34" s="41">
        <f>COUNTIFS(集計用!$P:$P, "*"&amp;Y$4&amp;",*",集計用!$G:$G,"*, "&amp;$C34&amp;", *")/$B34*100</f>
        <v>0</v>
      </c>
      <c r="Z34" s="41">
        <f>COUNTIFS(集計用!$P:$P, "*"&amp;Z$4&amp;",*",集計用!$G:$G,"*, "&amp;$C34&amp;", *")/$B34*100</f>
        <v>0</v>
      </c>
      <c r="AA34" s="41">
        <f>COUNTIFS(集計用!$P:$P, "*"&amp;AA$4&amp;",*",集計用!$G:$G,"*, "&amp;$C34&amp;", *")/$B34*100</f>
        <v>0</v>
      </c>
      <c r="AB34" s="41">
        <f>COUNTIFS(集計用!$P:$P, "*"&amp;AB$4&amp;",*",集計用!$G:$G,"*, "&amp;$C34&amp;", *")/$B34*100</f>
        <v>0</v>
      </c>
      <c r="AC34" s="41">
        <f>COUNTIFS(集計用!$P:$P, "*"&amp;AC$4&amp;",*",集計用!$G:$G,"*, "&amp;$C34&amp;", *")/$B34*100</f>
        <v>0</v>
      </c>
      <c r="AD34" s="41">
        <f>COUNTIFS(集計用!$P:$P, "*"&amp;AD$4&amp;",*",集計用!$G:$G,"*, "&amp;$C34&amp;", *")/$B34*100</f>
        <v>0</v>
      </c>
      <c r="AE34" s="41">
        <f>COUNTIFS(集計用!$P:$P, "*"&amp;AE$4&amp;",*",集計用!$G:$G,"*, "&amp;$C34&amp;", *")/$B34*100</f>
        <v>0</v>
      </c>
      <c r="AF34" s="41">
        <f>COUNTIFS(集計用!$P:$P, "*"&amp;AF$4&amp;",*",集計用!$G:$G,"*, "&amp;$C34&amp;", *")/$B34*100</f>
        <v>0</v>
      </c>
      <c r="AG34" s="41">
        <f>COUNTIFS(集計用!$P:$P, "*"&amp;AG$4&amp;",*",集計用!$G:$G,"*, "&amp;$C34&amp;", *")/$B34*100</f>
        <v>0</v>
      </c>
      <c r="AH34" s="41">
        <f>COUNTIFS(集計用!$P:$P, "*"&amp;AH$4&amp;",*",集計用!$G:$G,"*, "&amp;$C34&amp;", *")/$B34*100</f>
        <v>0</v>
      </c>
      <c r="AI34" s="41">
        <f>COUNTIFS(集計用!$P:$P, "*"&amp;AI$4&amp;",*",集計用!$G:$G,"*, "&amp;$C34&amp;", *")/$B34*100</f>
        <v>0</v>
      </c>
      <c r="AJ34" s="41">
        <f>COUNTIFS(集計用!$P:$P, "*"&amp;AJ$4&amp;",*",集計用!$G:$G,"*, "&amp;$C34&amp;", *")/$B34*100</f>
        <v>0</v>
      </c>
      <c r="AK34" s="41">
        <f>COUNTIFS(集計用!$P:$P, "*"&amp;AK$4&amp;",*",集計用!$G:$G,"*, "&amp;$C34&amp;", *")/$B34*100</f>
        <v>0</v>
      </c>
      <c r="AL34" s="41">
        <f>COUNTIFS(集計用!$P:$P, "*"&amp;AL$4&amp;",*",集計用!$G:$G,"*, "&amp;$C34&amp;", *")/$B34*100</f>
        <v>0</v>
      </c>
      <c r="AM34" s="41">
        <f>COUNTIFS(集計用!$P:$P, "*"&amp;AM$4&amp;",*",集計用!$G:$G,"*, "&amp;$C34&amp;", *")/$B34*100</f>
        <v>0</v>
      </c>
      <c r="AN34" s="41">
        <f>COUNTIFS(集計用!$P:$P, "*"&amp;AN$4&amp;",*",集計用!$G:$G,"*, "&amp;$C34&amp;", *")/$B34*100</f>
        <v>0</v>
      </c>
      <c r="AO34" s="41">
        <f>COUNTIFS(集計用!$P:$P, "*"&amp;AO$4&amp;",*",集計用!$G:$G,"*, "&amp;$C34&amp;", *")/$B34*100</f>
        <v>0</v>
      </c>
      <c r="AP34" s="41">
        <f>COUNTIFS(集計用!$P:$P, "*"&amp;AP$4&amp;",*",集計用!$G:$G,"*, "&amp;$C34&amp;", *")/$B34*100</f>
        <v>0</v>
      </c>
      <c r="AQ34" s="41">
        <f>COUNTIFS(集計用!$P:$P, "*"&amp;AQ$4&amp;",*",集計用!$G:$G,"*, "&amp;$C34&amp;", *")/$B34*100</f>
        <v>0</v>
      </c>
      <c r="AR34" s="41">
        <f>COUNTIFS(集計用!$P:$P, "*"&amp;AR$4&amp;",*",集計用!$G:$G,"*, "&amp;$C34&amp;", *")/$B34*100</f>
        <v>0</v>
      </c>
      <c r="AS34" s="41">
        <f>COUNTIFS(集計用!$P:$P, "*"&amp;AS$4&amp;",*",集計用!$G:$G,"*, "&amp;$C34&amp;", *")/$B34*100</f>
        <v>0</v>
      </c>
      <c r="AT34" s="41">
        <f>COUNTIFS(集計用!$P:$P, "*"&amp;AT$4&amp;",*",集計用!$G:$G,"*, "&amp;$C34&amp;", *")/$B34*100</f>
        <v>0</v>
      </c>
      <c r="AU34" s="41">
        <f>COUNTIFS(集計用!$P:$P, "*"&amp;AU$4&amp;",*",集計用!$G:$G,"*, "&amp;$C34&amp;", *")/$B34*100</f>
        <v>0</v>
      </c>
      <c r="AV34" s="41">
        <f>COUNTIFS(集計用!$P:$P, "*"&amp;AV$4&amp;",*",集計用!$G:$G,"*, "&amp;$C34&amp;", *")/$B34*100</f>
        <v>0</v>
      </c>
      <c r="AW34" s="41">
        <f>COUNTIFS(集計用!$P:$P, "*"&amp;AW$4&amp;",*",集計用!$G:$G,"*, "&amp;$C34&amp;", *")/$B34*100</f>
        <v>0</v>
      </c>
      <c r="AX34" s="41">
        <f>COUNTIFS(集計用!$P:$P, "*"&amp;AX$4&amp;",*",集計用!$G:$G,"*, "&amp;$C34&amp;", *")/$B34*100</f>
        <v>0</v>
      </c>
      <c r="AY34" s="41">
        <f>COUNTIFS(集計用!$P:$P, "*"&amp;AY$4&amp;",*",集計用!$G:$G,"*, "&amp;$C34&amp;", *")/$B34*100</f>
        <v>0</v>
      </c>
      <c r="AZ34" s="41">
        <f>COUNTIFS(集計用!$P:$P, "*"&amp;AZ$4&amp;",*",集計用!$G:$G,"*, "&amp;$C34&amp;", *")/$B34*100</f>
        <v>0</v>
      </c>
      <c r="BA34" s="41">
        <f>COUNTIFS(集計用!$P:$P, "*"&amp;BA$4&amp;",*",集計用!$G:$G,"*, "&amp;$C34&amp;", *")/$B34*100</f>
        <v>0</v>
      </c>
      <c r="BB34" s="41">
        <f>COUNTIFS(集計用!$P:$P, "*"&amp;BB$4&amp;",*",集計用!$G:$G,"*, "&amp;$C34&amp;", *")/$B34*100</f>
        <v>0</v>
      </c>
      <c r="BC34" s="41"/>
      <c r="BD34" s="41"/>
      <c r="BE34" s="41"/>
      <c r="BF34" s="41"/>
      <c r="BG34" s="41"/>
      <c r="BH34" s="41"/>
      <c r="BI34" s="41"/>
      <c r="BJ34" s="41"/>
      <c r="BK34" s="41"/>
      <c r="BL34" s="41"/>
      <c r="BM34" s="41"/>
      <c r="BN34" s="41"/>
      <c r="BO34" s="41"/>
      <c r="BP34" s="41"/>
      <c r="BQ34" s="41"/>
      <c r="BR34" s="41"/>
      <c r="BS34" s="41"/>
    </row>
    <row r="35" spans="1:71" ht="15.75" customHeight="1">
      <c r="A35" s="39">
        <v>5</v>
      </c>
      <c r="B35" s="39">
        <f>(COUNTIFS(集計用!$G:$G,"*, "&amp;$C35&amp;",*",集計用!$Q:$Q,"&lt;&gt;無回答"))</f>
        <v>18</v>
      </c>
      <c r="C35" s="42" t="s">
        <v>29</v>
      </c>
      <c r="D35" s="41">
        <f>COUNTIFS(集計用!$P:$P, "*"&amp;D$4&amp;",*",集計用!$G:$G,"*, "&amp;$C35&amp;", *")/$B35*100</f>
        <v>0</v>
      </c>
      <c r="E35" s="41">
        <f>COUNTIFS(集計用!$P:$P, "*"&amp;E$4&amp;",*",集計用!$G:$G,"*, "&amp;$C35&amp;", *")/$B35*100</f>
        <v>0</v>
      </c>
      <c r="F35" s="41">
        <f>COUNTIFS(集計用!$P:$P, "*"&amp;F$4&amp;",*",集計用!$G:$G,"*, "&amp;$C35&amp;", *")/$B35*100</f>
        <v>0</v>
      </c>
      <c r="G35" s="41">
        <f>COUNTIFS(集計用!$P:$P, "*"&amp;G$4&amp;",*",集計用!$G:$G,"*, "&amp;$C35&amp;", *")/$B35*100</f>
        <v>5.5555555555555554</v>
      </c>
      <c r="H35" s="41">
        <f>COUNTIFS(集計用!$P:$P, "*"&amp;H$4&amp;",*",集計用!$G:$G,"*, "&amp;$C35&amp;", *")/$B35*100</f>
        <v>5.5555555555555554</v>
      </c>
      <c r="I35" s="41">
        <f>COUNTIFS(集計用!$P:$P, "*"&amp;I$4&amp;",*",集計用!$G:$G,"*, "&amp;$C35&amp;", *")/$B35*100</f>
        <v>0</v>
      </c>
      <c r="J35" s="41">
        <f>COUNTIFS(集計用!$P:$P, "*"&amp;J$4&amp;",*",集計用!$G:$G,"*, "&amp;$C35&amp;", *")/$B35*100</f>
        <v>0</v>
      </c>
      <c r="K35" s="41">
        <f>COUNTIFS(集計用!$P:$P, "*"&amp;K$4&amp;",*",集計用!$G:$G,"*, "&amp;$C35&amp;", *")/$B35*100</f>
        <v>0</v>
      </c>
      <c r="L35" s="41">
        <f>COUNTIFS(集計用!$P:$P, "*"&amp;L$4&amp;",*",集計用!$G:$G,"*, "&amp;$C35&amp;", *")/$B35*100</f>
        <v>0</v>
      </c>
      <c r="M35" s="41">
        <f>COUNTIFS(集計用!$P:$P, "*"&amp;M$4&amp;",*",集計用!$G:$G,"*, "&amp;$C35&amp;", *")/$B35*100</f>
        <v>0</v>
      </c>
      <c r="N35" s="41">
        <f>COUNTIFS(集計用!$P:$P, "*"&amp;N$4&amp;",*",集計用!$G:$G,"*, "&amp;$C35&amp;", *")/$B35*100</f>
        <v>0</v>
      </c>
      <c r="O35" s="41">
        <f>COUNTIFS(集計用!$P:$P, "*"&amp;O$4&amp;",*",集計用!$G:$G,"*, "&amp;$C35&amp;", *")/$B35*100</f>
        <v>0</v>
      </c>
      <c r="P35" s="41">
        <f>COUNTIFS(集計用!$P:$P, "*"&amp;P$4&amp;",*",集計用!$G:$G,"*, "&amp;$C35&amp;", *")/$B35*100</f>
        <v>0</v>
      </c>
      <c r="Q35" s="41">
        <f>COUNTIFS(集計用!$P:$P, "*"&amp;Q$4&amp;",*",集計用!$G:$G,"*, "&amp;$C35&amp;", *")/$B35*100</f>
        <v>0</v>
      </c>
      <c r="R35" s="41">
        <f>COUNTIFS(集計用!$P:$P, "*"&amp;R$4&amp;",*",集計用!$G:$G,"*, "&amp;$C35&amp;", *")/$B35*100</f>
        <v>0</v>
      </c>
      <c r="S35" s="41">
        <f>COUNTIFS(集計用!$P:$P, "*"&amp;S$4&amp;",*",集計用!$G:$G,"*, "&amp;$C35&amp;", *")/$B35*100</f>
        <v>0</v>
      </c>
      <c r="T35" s="41">
        <f>COUNTIFS(集計用!$P:$P, "*"&amp;T$4&amp;",*",集計用!$G:$G,"*, "&amp;$C35&amp;", *")/$B35*100</f>
        <v>0</v>
      </c>
      <c r="U35" s="41">
        <f>COUNTIFS(集計用!$P:$P, "*"&amp;U$4&amp;",*",集計用!$G:$G,"*, "&amp;$C35&amp;", *")/$B35*100</f>
        <v>0</v>
      </c>
      <c r="V35" s="41">
        <f>COUNTIFS(集計用!$P:$P, "*"&amp;V$4&amp;",*",集計用!$G:$G,"*, "&amp;$C35&amp;", *")/$B35*100</f>
        <v>0</v>
      </c>
      <c r="W35" s="41">
        <f>COUNTIFS(集計用!$P:$P, "*"&amp;W$4&amp;",*",集計用!$G:$G,"*, "&amp;$C35&amp;", *")/$B35*100</f>
        <v>0</v>
      </c>
      <c r="X35" s="41">
        <f>COUNTIFS(集計用!$P:$P, "*"&amp;X$4&amp;",*",集計用!$G:$G,"*, "&amp;$C35&amp;", *")/$B35*100</f>
        <v>0</v>
      </c>
      <c r="Y35" s="41">
        <f>COUNTIFS(集計用!$P:$P, "*"&amp;Y$4&amp;",*",集計用!$G:$G,"*, "&amp;$C35&amp;", *")/$B35*100</f>
        <v>0</v>
      </c>
      <c r="Z35" s="41">
        <f>COUNTIFS(集計用!$P:$P, "*"&amp;Z$4&amp;",*",集計用!$G:$G,"*, "&amp;$C35&amp;", *")/$B35*100</f>
        <v>0</v>
      </c>
      <c r="AA35" s="41">
        <f>COUNTIFS(集計用!$P:$P, "*"&amp;AA$4&amp;",*",集計用!$G:$G,"*, "&amp;$C35&amp;", *")/$B35*100</f>
        <v>0</v>
      </c>
      <c r="AB35" s="41">
        <f>COUNTIFS(集計用!$P:$P, "*"&amp;AB$4&amp;",*",集計用!$G:$G,"*, "&amp;$C35&amp;", *")/$B35*100</f>
        <v>0</v>
      </c>
      <c r="AC35" s="41">
        <f>COUNTIFS(集計用!$P:$P, "*"&amp;AC$4&amp;",*",集計用!$G:$G,"*, "&amp;$C35&amp;", *")/$B35*100</f>
        <v>0</v>
      </c>
      <c r="AD35" s="41">
        <f>COUNTIFS(集計用!$P:$P, "*"&amp;AD$4&amp;",*",集計用!$G:$G,"*, "&amp;$C35&amp;", *")/$B35*100</f>
        <v>0</v>
      </c>
      <c r="AE35" s="41">
        <f>COUNTIFS(集計用!$P:$P, "*"&amp;AE$4&amp;",*",集計用!$G:$G,"*, "&amp;$C35&amp;", *")/$B35*100</f>
        <v>0</v>
      </c>
      <c r="AF35" s="41">
        <f>COUNTIFS(集計用!$P:$P, "*"&amp;AF$4&amp;",*",集計用!$G:$G,"*, "&amp;$C35&amp;", *")/$B35*100</f>
        <v>0</v>
      </c>
      <c r="AG35" s="41">
        <f>COUNTIFS(集計用!$P:$P, "*"&amp;AG$4&amp;",*",集計用!$G:$G,"*, "&amp;$C35&amp;", *")/$B35*100</f>
        <v>0</v>
      </c>
      <c r="AH35" s="41">
        <f>COUNTIFS(集計用!$P:$P, "*"&amp;AH$4&amp;",*",集計用!$G:$G,"*, "&amp;$C35&amp;", *")/$B35*100</f>
        <v>0</v>
      </c>
      <c r="AI35" s="41">
        <f>COUNTIFS(集計用!$P:$P, "*"&amp;AI$4&amp;",*",集計用!$G:$G,"*, "&amp;$C35&amp;", *")/$B35*100</f>
        <v>0</v>
      </c>
      <c r="AJ35" s="41">
        <f>COUNTIFS(集計用!$P:$P, "*"&amp;AJ$4&amp;",*",集計用!$G:$G,"*, "&amp;$C35&amp;", *")/$B35*100</f>
        <v>0</v>
      </c>
      <c r="AK35" s="41">
        <f>COUNTIFS(集計用!$P:$P, "*"&amp;AK$4&amp;",*",集計用!$G:$G,"*, "&amp;$C35&amp;", *")/$B35*100</f>
        <v>0</v>
      </c>
      <c r="AL35" s="41">
        <f>COUNTIFS(集計用!$P:$P, "*"&amp;AL$4&amp;",*",集計用!$G:$G,"*, "&amp;$C35&amp;", *")/$B35*100</f>
        <v>0</v>
      </c>
      <c r="AM35" s="41">
        <f>COUNTIFS(集計用!$P:$P, "*"&amp;AM$4&amp;",*",集計用!$G:$G,"*, "&amp;$C35&amp;", *")/$B35*100</f>
        <v>0</v>
      </c>
      <c r="AN35" s="41">
        <f>COUNTIFS(集計用!$P:$P, "*"&amp;AN$4&amp;",*",集計用!$G:$G,"*, "&amp;$C35&amp;", *")/$B35*100</f>
        <v>0</v>
      </c>
      <c r="AO35" s="41">
        <f>COUNTIFS(集計用!$P:$P, "*"&amp;AO$4&amp;",*",集計用!$G:$G,"*, "&amp;$C35&amp;", *")/$B35*100</f>
        <v>0</v>
      </c>
      <c r="AP35" s="41">
        <f>COUNTIFS(集計用!$P:$P, "*"&amp;AP$4&amp;",*",集計用!$G:$G,"*, "&amp;$C35&amp;", *")/$B35*100</f>
        <v>0</v>
      </c>
      <c r="AQ35" s="41">
        <f>COUNTIFS(集計用!$P:$P, "*"&amp;AQ$4&amp;",*",集計用!$G:$G,"*, "&amp;$C35&amp;", *")/$B35*100</f>
        <v>0</v>
      </c>
      <c r="AR35" s="41">
        <f>COUNTIFS(集計用!$P:$P, "*"&amp;AR$4&amp;",*",集計用!$G:$G,"*, "&amp;$C35&amp;", *")/$B35*100</f>
        <v>0</v>
      </c>
      <c r="AS35" s="41">
        <f>COUNTIFS(集計用!$P:$P, "*"&amp;AS$4&amp;",*",集計用!$G:$G,"*, "&amp;$C35&amp;", *")/$B35*100</f>
        <v>0</v>
      </c>
      <c r="AT35" s="41">
        <f>COUNTIFS(集計用!$P:$P, "*"&amp;AT$4&amp;",*",集計用!$G:$G,"*, "&amp;$C35&amp;", *")/$B35*100</f>
        <v>0</v>
      </c>
      <c r="AU35" s="41">
        <f>COUNTIFS(集計用!$P:$P, "*"&amp;AU$4&amp;",*",集計用!$G:$G,"*, "&amp;$C35&amp;", *")/$B35*100</f>
        <v>0</v>
      </c>
      <c r="AV35" s="41">
        <f>COUNTIFS(集計用!$P:$P, "*"&amp;AV$4&amp;",*",集計用!$G:$G,"*, "&amp;$C35&amp;", *")/$B35*100</f>
        <v>0</v>
      </c>
      <c r="AW35" s="41">
        <f>COUNTIFS(集計用!$P:$P, "*"&amp;AW$4&amp;",*",集計用!$G:$G,"*, "&amp;$C35&amp;", *")/$B35*100</f>
        <v>0</v>
      </c>
      <c r="AX35" s="41">
        <f>COUNTIFS(集計用!$P:$P, "*"&amp;AX$4&amp;",*",集計用!$G:$G,"*, "&amp;$C35&amp;", *")/$B35*100</f>
        <v>0</v>
      </c>
      <c r="AY35" s="41">
        <f>COUNTIFS(集計用!$P:$P, "*"&amp;AY$4&amp;",*",集計用!$G:$G,"*, "&amp;$C35&amp;", *")/$B35*100</f>
        <v>0</v>
      </c>
      <c r="AZ35" s="41">
        <f>COUNTIFS(集計用!$P:$P, "*"&amp;AZ$4&amp;",*",集計用!$G:$G,"*, "&amp;$C35&amp;", *")/$B35*100</f>
        <v>0</v>
      </c>
      <c r="BA35" s="41">
        <f>COUNTIFS(集計用!$P:$P, "*"&amp;BA$4&amp;",*",集計用!$G:$G,"*, "&amp;$C35&amp;", *")/$B35*100</f>
        <v>0</v>
      </c>
      <c r="BB35" s="41">
        <f>COUNTIFS(集計用!$P:$P, "*"&amp;BB$4&amp;",*",集計用!$G:$G,"*, "&amp;$C35&amp;", *")/$B35*100</f>
        <v>0</v>
      </c>
      <c r="BC35" s="41"/>
      <c r="BD35" s="41"/>
      <c r="BE35" s="41"/>
      <c r="BF35" s="41"/>
      <c r="BG35" s="41"/>
      <c r="BH35" s="41"/>
      <c r="BI35" s="41"/>
      <c r="BJ35" s="41"/>
      <c r="BK35" s="41"/>
      <c r="BL35" s="41"/>
      <c r="BM35" s="41"/>
      <c r="BN35" s="41"/>
      <c r="BO35" s="41"/>
      <c r="BP35" s="41"/>
      <c r="BQ35" s="41"/>
      <c r="BR35" s="41"/>
      <c r="BS35" s="41"/>
    </row>
    <row r="36" spans="1:71" ht="15.75" customHeight="1">
      <c r="A36" s="39">
        <v>4</v>
      </c>
      <c r="B36" s="39">
        <f>(COUNTIFS(集計用!$G:$G,"*, "&amp;$C36&amp;",*",集計用!$Q:$Q,"&lt;&gt;無回答"))</f>
        <v>16</v>
      </c>
      <c r="C36" s="42" t="s">
        <v>31</v>
      </c>
      <c r="D36" s="41">
        <f>COUNTIFS(集計用!$P:$P, "*"&amp;D$4&amp;",*",集計用!$G:$G,"*, "&amp;$C36&amp;", *")/$B36*100</f>
        <v>0</v>
      </c>
      <c r="E36" s="41">
        <f>COUNTIFS(集計用!$P:$P, "*"&amp;E$4&amp;",*",集計用!$G:$G,"*, "&amp;$C36&amp;", *")/$B36*100</f>
        <v>0</v>
      </c>
      <c r="F36" s="41">
        <f>COUNTIFS(集計用!$P:$P, "*"&amp;F$4&amp;",*",集計用!$G:$G,"*, "&amp;$C36&amp;", *")/$B36*100</f>
        <v>0</v>
      </c>
      <c r="G36" s="41">
        <f>COUNTIFS(集計用!$P:$P, "*"&amp;G$4&amp;",*",集計用!$G:$G,"*, "&amp;$C36&amp;", *")/$B36*100</f>
        <v>0</v>
      </c>
      <c r="H36" s="41">
        <f>COUNTIFS(集計用!$P:$P, "*"&amp;H$4&amp;",*",集計用!$G:$G,"*, "&amp;$C36&amp;", *")/$B36*100</f>
        <v>0</v>
      </c>
      <c r="I36" s="41">
        <f>COUNTIFS(集計用!$P:$P, "*"&amp;I$4&amp;",*",集計用!$G:$G,"*, "&amp;$C36&amp;", *")/$B36*100</f>
        <v>0</v>
      </c>
      <c r="J36" s="41">
        <f>COUNTIFS(集計用!$P:$P, "*"&amp;J$4&amp;",*",集計用!$G:$G,"*, "&amp;$C36&amp;", *")/$B36*100</f>
        <v>0</v>
      </c>
      <c r="K36" s="41">
        <f>COUNTIFS(集計用!$P:$P, "*"&amp;K$4&amp;",*",集計用!$G:$G,"*, "&amp;$C36&amp;", *")/$B36*100</f>
        <v>0</v>
      </c>
      <c r="L36" s="41">
        <f>COUNTIFS(集計用!$P:$P, "*"&amp;L$4&amp;",*",集計用!$G:$G,"*, "&amp;$C36&amp;", *")/$B36*100</f>
        <v>0</v>
      </c>
      <c r="M36" s="41">
        <f>COUNTIFS(集計用!$P:$P, "*"&amp;M$4&amp;",*",集計用!$G:$G,"*, "&amp;$C36&amp;", *")/$B36*100</f>
        <v>0</v>
      </c>
      <c r="N36" s="41">
        <f>COUNTIFS(集計用!$P:$P, "*"&amp;N$4&amp;",*",集計用!$G:$G,"*, "&amp;$C36&amp;", *")/$B36*100</f>
        <v>0</v>
      </c>
      <c r="O36" s="41">
        <f>COUNTIFS(集計用!$P:$P, "*"&amp;O$4&amp;",*",集計用!$G:$G,"*, "&amp;$C36&amp;", *")/$B36*100</f>
        <v>0</v>
      </c>
      <c r="P36" s="41">
        <f>COUNTIFS(集計用!$P:$P, "*"&amp;P$4&amp;",*",集計用!$G:$G,"*, "&amp;$C36&amp;", *")/$B36*100</f>
        <v>0</v>
      </c>
      <c r="Q36" s="41">
        <f>COUNTIFS(集計用!$P:$P, "*"&amp;Q$4&amp;",*",集計用!$G:$G,"*, "&amp;$C36&amp;", *")/$B36*100</f>
        <v>0</v>
      </c>
      <c r="R36" s="41">
        <f>COUNTIFS(集計用!$P:$P, "*"&amp;R$4&amp;",*",集計用!$G:$G,"*, "&amp;$C36&amp;", *")/$B36*100</f>
        <v>0</v>
      </c>
      <c r="S36" s="41">
        <f>COUNTIFS(集計用!$P:$P, "*"&amp;S$4&amp;",*",集計用!$G:$G,"*, "&amp;$C36&amp;", *")/$B36*100</f>
        <v>0</v>
      </c>
      <c r="T36" s="41">
        <f>COUNTIFS(集計用!$P:$P, "*"&amp;T$4&amp;",*",集計用!$G:$G,"*, "&amp;$C36&amp;", *")/$B36*100</f>
        <v>0</v>
      </c>
      <c r="U36" s="41">
        <f>COUNTIFS(集計用!$P:$P, "*"&amp;U$4&amp;",*",集計用!$G:$G,"*, "&amp;$C36&amp;", *")/$B36*100</f>
        <v>0</v>
      </c>
      <c r="V36" s="41">
        <f>COUNTIFS(集計用!$P:$P, "*"&amp;V$4&amp;",*",集計用!$G:$G,"*, "&amp;$C36&amp;", *")/$B36*100</f>
        <v>0</v>
      </c>
      <c r="W36" s="41">
        <f>COUNTIFS(集計用!$P:$P, "*"&amp;W$4&amp;",*",集計用!$G:$G,"*, "&amp;$C36&amp;", *")/$B36*100</f>
        <v>0</v>
      </c>
      <c r="X36" s="41">
        <f>COUNTIFS(集計用!$P:$P, "*"&amp;X$4&amp;",*",集計用!$G:$G,"*, "&amp;$C36&amp;", *")/$B36*100</f>
        <v>0</v>
      </c>
      <c r="Y36" s="41">
        <f>COUNTIFS(集計用!$P:$P, "*"&amp;Y$4&amp;",*",集計用!$G:$G,"*, "&amp;$C36&amp;", *")/$B36*100</f>
        <v>0</v>
      </c>
      <c r="Z36" s="41">
        <f>COUNTIFS(集計用!$P:$P, "*"&amp;Z$4&amp;",*",集計用!$G:$G,"*, "&amp;$C36&amp;", *")/$B36*100</f>
        <v>0</v>
      </c>
      <c r="AA36" s="41">
        <f>COUNTIFS(集計用!$P:$P, "*"&amp;AA$4&amp;",*",集計用!$G:$G,"*, "&amp;$C36&amp;", *")/$B36*100</f>
        <v>0</v>
      </c>
      <c r="AB36" s="41">
        <f>COUNTIFS(集計用!$P:$P, "*"&amp;AB$4&amp;",*",集計用!$G:$G,"*, "&amp;$C36&amp;", *")/$B36*100</f>
        <v>0</v>
      </c>
      <c r="AC36" s="41">
        <f>COUNTIFS(集計用!$P:$P, "*"&amp;AC$4&amp;",*",集計用!$G:$G,"*, "&amp;$C36&amp;", *")/$B36*100</f>
        <v>0</v>
      </c>
      <c r="AD36" s="41">
        <f>COUNTIFS(集計用!$P:$P, "*"&amp;AD$4&amp;",*",集計用!$G:$G,"*, "&amp;$C36&amp;", *")/$B36*100</f>
        <v>0</v>
      </c>
      <c r="AE36" s="41">
        <f>COUNTIFS(集計用!$P:$P, "*"&amp;AE$4&amp;",*",集計用!$G:$G,"*, "&amp;$C36&amp;", *")/$B36*100</f>
        <v>0</v>
      </c>
      <c r="AF36" s="41">
        <f>COUNTIFS(集計用!$P:$P, "*"&amp;AF$4&amp;",*",集計用!$G:$G,"*, "&amp;$C36&amp;", *")/$B36*100</f>
        <v>0</v>
      </c>
      <c r="AG36" s="41">
        <f>COUNTIFS(集計用!$P:$P, "*"&amp;AG$4&amp;",*",集計用!$G:$G,"*, "&amp;$C36&amp;", *")/$B36*100</f>
        <v>0</v>
      </c>
      <c r="AH36" s="41">
        <f>COUNTIFS(集計用!$P:$P, "*"&amp;AH$4&amp;",*",集計用!$G:$G,"*, "&amp;$C36&amp;", *")/$B36*100</f>
        <v>0</v>
      </c>
      <c r="AI36" s="41">
        <f>COUNTIFS(集計用!$P:$P, "*"&amp;AI$4&amp;",*",集計用!$G:$G,"*, "&amp;$C36&amp;", *")/$B36*100</f>
        <v>0</v>
      </c>
      <c r="AJ36" s="41">
        <f>COUNTIFS(集計用!$P:$P, "*"&amp;AJ$4&amp;",*",集計用!$G:$G,"*, "&amp;$C36&amp;", *")/$B36*100</f>
        <v>0</v>
      </c>
      <c r="AK36" s="41">
        <f>COUNTIFS(集計用!$P:$P, "*"&amp;AK$4&amp;",*",集計用!$G:$G,"*, "&amp;$C36&amp;", *")/$B36*100</f>
        <v>0</v>
      </c>
      <c r="AL36" s="41">
        <f>COUNTIFS(集計用!$P:$P, "*"&amp;AL$4&amp;",*",集計用!$G:$G,"*, "&amp;$C36&amp;", *")/$B36*100</f>
        <v>0</v>
      </c>
      <c r="AM36" s="41">
        <f>COUNTIFS(集計用!$P:$P, "*"&amp;AM$4&amp;",*",集計用!$G:$G,"*, "&amp;$C36&amp;", *")/$B36*100</f>
        <v>0</v>
      </c>
      <c r="AN36" s="41">
        <f>COUNTIFS(集計用!$P:$P, "*"&amp;AN$4&amp;",*",集計用!$G:$G,"*, "&amp;$C36&amp;", *")/$B36*100</f>
        <v>0</v>
      </c>
      <c r="AO36" s="41">
        <f>COUNTIFS(集計用!$P:$P, "*"&amp;AO$4&amp;",*",集計用!$G:$G,"*, "&amp;$C36&amp;", *")/$B36*100</f>
        <v>0</v>
      </c>
      <c r="AP36" s="41">
        <f>COUNTIFS(集計用!$P:$P, "*"&amp;AP$4&amp;",*",集計用!$G:$G,"*, "&amp;$C36&amp;", *")/$B36*100</f>
        <v>0</v>
      </c>
      <c r="AQ36" s="41">
        <f>COUNTIFS(集計用!$P:$P, "*"&amp;AQ$4&amp;",*",集計用!$G:$G,"*, "&amp;$C36&amp;", *")/$B36*100</f>
        <v>0</v>
      </c>
      <c r="AR36" s="41">
        <f>COUNTIFS(集計用!$P:$P, "*"&amp;AR$4&amp;",*",集計用!$G:$G,"*, "&amp;$C36&amp;", *")/$B36*100</f>
        <v>0</v>
      </c>
      <c r="AS36" s="41">
        <f>COUNTIFS(集計用!$P:$P, "*"&amp;AS$4&amp;",*",集計用!$G:$G,"*, "&amp;$C36&amp;", *")/$B36*100</f>
        <v>0</v>
      </c>
      <c r="AT36" s="41">
        <f>COUNTIFS(集計用!$P:$P, "*"&amp;AT$4&amp;",*",集計用!$G:$G,"*, "&amp;$C36&amp;", *")/$B36*100</f>
        <v>0</v>
      </c>
      <c r="AU36" s="41">
        <f>COUNTIFS(集計用!$P:$P, "*"&amp;AU$4&amp;",*",集計用!$G:$G,"*, "&amp;$C36&amp;", *")/$B36*100</f>
        <v>0</v>
      </c>
      <c r="AV36" s="41">
        <f>COUNTIFS(集計用!$P:$P, "*"&amp;AV$4&amp;",*",集計用!$G:$G,"*, "&amp;$C36&amp;", *")/$B36*100</f>
        <v>0</v>
      </c>
      <c r="AW36" s="41">
        <f>COUNTIFS(集計用!$P:$P, "*"&amp;AW$4&amp;",*",集計用!$G:$G,"*, "&amp;$C36&amp;", *")/$B36*100</f>
        <v>0</v>
      </c>
      <c r="AX36" s="41">
        <f>COUNTIFS(集計用!$P:$P, "*"&amp;AX$4&amp;",*",集計用!$G:$G,"*, "&amp;$C36&amp;", *")/$B36*100</f>
        <v>0</v>
      </c>
      <c r="AY36" s="41">
        <f>COUNTIFS(集計用!$P:$P, "*"&amp;AY$4&amp;",*",集計用!$G:$G,"*, "&amp;$C36&amp;", *")/$B36*100</f>
        <v>0</v>
      </c>
      <c r="AZ36" s="41">
        <f>COUNTIFS(集計用!$P:$P, "*"&amp;AZ$4&amp;",*",集計用!$G:$G,"*, "&amp;$C36&amp;", *")/$B36*100</f>
        <v>0</v>
      </c>
      <c r="BA36" s="41">
        <f>COUNTIFS(集計用!$P:$P, "*"&amp;BA$4&amp;",*",集計用!$G:$G,"*, "&amp;$C36&amp;", *")/$B36*100</f>
        <v>0</v>
      </c>
      <c r="BB36" s="41">
        <f>COUNTIFS(集計用!$P:$P, "*"&amp;BB$4&amp;",*",集計用!$G:$G,"*, "&amp;$C36&amp;", *")/$B36*100</f>
        <v>0</v>
      </c>
      <c r="BC36" s="41"/>
      <c r="BD36" s="41"/>
      <c r="BE36" s="41"/>
      <c r="BF36" s="41"/>
      <c r="BG36" s="41"/>
      <c r="BH36" s="41"/>
      <c r="BI36" s="41"/>
      <c r="BJ36" s="41"/>
      <c r="BK36" s="41"/>
      <c r="BL36" s="41"/>
      <c r="BM36" s="41"/>
      <c r="BN36" s="41"/>
      <c r="BO36" s="41"/>
      <c r="BP36" s="41"/>
      <c r="BQ36" s="41"/>
      <c r="BR36" s="41"/>
      <c r="BS36" s="41"/>
    </row>
    <row r="37" spans="1:71" ht="15.75" customHeight="1">
      <c r="A37" s="39">
        <v>4</v>
      </c>
      <c r="B37" s="39">
        <f>(COUNTIFS(集計用!$G:$G,"*, "&amp;$C37&amp;",*",集計用!$Q:$Q,"&lt;&gt;無回答"))</f>
        <v>16</v>
      </c>
      <c r="C37" s="42" t="s">
        <v>32</v>
      </c>
      <c r="D37" s="41">
        <f>COUNTIFS(集計用!$P:$P, "*"&amp;D$4&amp;",*",集計用!$G:$G,"*, "&amp;$C37&amp;", *")/$B37*100</f>
        <v>0</v>
      </c>
      <c r="E37" s="41">
        <f>COUNTIFS(集計用!$P:$P, "*"&amp;E$4&amp;",*",集計用!$G:$G,"*, "&amp;$C37&amp;", *")/$B37*100</f>
        <v>0</v>
      </c>
      <c r="F37" s="41">
        <f>COUNTIFS(集計用!$P:$P, "*"&amp;F$4&amp;",*",集計用!$G:$G,"*, "&amp;$C37&amp;", *")/$B37*100</f>
        <v>0</v>
      </c>
      <c r="G37" s="41">
        <f>COUNTIFS(集計用!$P:$P, "*"&amp;G$4&amp;",*",集計用!$G:$G,"*, "&amp;$C37&amp;", *")/$B37*100</f>
        <v>12.5</v>
      </c>
      <c r="H37" s="41">
        <f>COUNTIFS(集計用!$P:$P, "*"&amp;H$4&amp;",*",集計用!$G:$G,"*, "&amp;$C37&amp;", *")/$B37*100</f>
        <v>0</v>
      </c>
      <c r="I37" s="41">
        <f>COUNTIFS(集計用!$P:$P, "*"&amp;I$4&amp;",*",集計用!$G:$G,"*, "&amp;$C37&amp;", *")/$B37*100</f>
        <v>0</v>
      </c>
      <c r="J37" s="41">
        <f>COUNTIFS(集計用!$P:$P, "*"&amp;J$4&amp;",*",集計用!$G:$G,"*, "&amp;$C37&amp;", *")/$B37*100</f>
        <v>0</v>
      </c>
      <c r="K37" s="41">
        <f>COUNTIFS(集計用!$P:$P, "*"&amp;K$4&amp;",*",集計用!$G:$G,"*, "&amp;$C37&amp;", *")/$B37*100</f>
        <v>0</v>
      </c>
      <c r="L37" s="41">
        <f>COUNTIFS(集計用!$P:$P, "*"&amp;L$4&amp;",*",集計用!$G:$G,"*, "&amp;$C37&amp;", *")/$B37*100</f>
        <v>0</v>
      </c>
      <c r="M37" s="41">
        <f>COUNTIFS(集計用!$P:$P, "*"&amp;M$4&amp;",*",集計用!$G:$G,"*, "&amp;$C37&amp;", *")/$B37*100</f>
        <v>0</v>
      </c>
      <c r="N37" s="41">
        <f>COUNTIFS(集計用!$P:$P, "*"&amp;N$4&amp;",*",集計用!$G:$G,"*, "&amp;$C37&amp;", *")/$B37*100</f>
        <v>0</v>
      </c>
      <c r="O37" s="41">
        <f>COUNTIFS(集計用!$P:$P, "*"&amp;O$4&amp;",*",集計用!$G:$G,"*, "&amp;$C37&amp;", *")/$B37*100</f>
        <v>0</v>
      </c>
      <c r="P37" s="41">
        <f>COUNTIFS(集計用!$P:$P, "*"&amp;P$4&amp;",*",集計用!$G:$G,"*, "&amp;$C37&amp;", *")/$B37*100</f>
        <v>0</v>
      </c>
      <c r="Q37" s="41">
        <f>COUNTIFS(集計用!$P:$P, "*"&amp;Q$4&amp;",*",集計用!$G:$G,"*, "&amp;$C37&amp;", *")/$B37*100</f>
        <v>0</v>
      </c>
      <c r="R37" s="41">
        <f>COUNTIFS(集計用!$P:$P, "*"&amp;R$4&amp;",*",集計用!$G:$G,"*, "&amp;$C37&amp;", *")/$B37*100</f>
        <v>6.25</v>
      </c>
      <c r="S37" s="41">
        <f>COUNTIFS(集計用!$P:$P, "*"&amp;S$4&amp;",*",集計用!$G:$G,"*, "&amp;$C37&amp;", *")/$B37*100</f>
        <v>0</v>
      </c>
      <c r="T37" s="41">
        <f>COUNTIFS(集計用!$P:$P, "*"&amp;T$4&amp;",*",集計用!$G:$G,"*, "&amp;$C37&amp;", *")/$B37*100</f>
        <v>0</v>
      </c>
      <c r="U37" s="41">
        <f>COUNTIFS(集計用!$P:$P, "*"&amp;U$4&amp;",*",集計用!$G:$G,"*, "&amp;$C37&amp;", *")/$B37*100</f>
        <v>0</v>
      </c>
      <c r="V37" s="41">
        <f>COUNTIFS(集計用!$P:$P, "*"&amp;V$4&amp;",*",集計用!$G:$G,"*, "&amp;$C37&amp;", *")/$B37*100</f>
        <v>0</v>
      </c>
      <c r="W37" s="41">
        <f>COUNTIFS(集計用!$P:$P, "*"&amp;W$4&amp;",*",集計用!$G:$G,"*, "&amp;$C37&amp;", *")/$B37*100</f>
        <v>0</v>
      </c>
      <c r="X37" s="41">
        <f>COUNTIFS(集計用!$P:$P, "*"&amp;X$4&amp;",*",集計用!$G:$G,"*, "&amp;$C37&amp;", *")/$B37*100</f>
        <v>0</v>
      </c>
      <c r="Y37" s="41">
        <f>COUNTIFS(集計用!$P:$P, "*"&amp;Y$4&amp;",*",集計用!$G:$G,"*, "&amp;$C37&amp;", *")/$B37*100</f>
        <v>0</v>
      </c>
      <c r="Z37" s="41">
        <f>COUNTIFS(集計用!$P:$P, "*"&amp;Z$4&amp;",*",集計用!$G:$G,"*, "&amp;$C37&amp;", *")/$B37*100</f>
        <v>0</v>
      </c>
      <c r="AA37" s="41">
        <f>COUNTIFS(集計用!$P:$P, "*"&amp;AA$4&amp;",*",集計用!$G:$G,"*, "&amp;$C37&amp;", *")/$B37*100</f>
        <v>0</v>
      </c>
      <c r="AB37" s="41">
        <f>COUNTIFS(集計用!$P:$P, "*"&amp;AB$4&amp;",*",集計用!$G:$G,"*, "&amp;$C37&amp;", *")/$B37*100</f>
        <v>0</v>
      </c>
      <c r="AC37" s="41">
        <f>COUNTIFS(集計用!$P:$P, "*"&amp;AC$4&amp;",*",集計用!$G:$G,"*, "&amp;$C37&amp;", *")/$B37*100</f>
        <v>0</v>
      </c>
      <c r="AD37" s="41">
        <f>COUNTIFS(集計用!$P:$P, "*"&amp;AD$4&amp;",*",集計用!$G:$G,"*, "&amp;$C37&amp;", *")/$B37*100</f>
        <v>0</v>
      </c>
      <c r="AE37" s="41">
        <f>COUNTIFS(集計用!$P:$P, "*"&amp;AE$4&amp;",*",集計用!$G:$G,"*, "&amp;$C37&amp;", *")/$B37*100</f>
        <v>0</v>
      </c>
      <c r="AF37" s="41">
        <f>COUNTIFS(集計用!$P:$P, "*"&amp;AF$4&amp;",*",集計用!$G:$G,"*, "&amp;$C37&amp;", *")/$B37*100</f>
        <v>0</v>
      </c>
      <c r="AG37" s="41">
        <f>COUNTIFS(集計用!$P:$P, "*"&amp;AG$4&amp;",*",集計用!$G:$G,"*, "&amp;$C37&amp;", *")/$B37*100</f>
        <v>0</v>
      </c>
      <c r="AH37" s="41">
        <f>COUNTIFS(集計用!$P:$P, "*"&amp;AH$4&amp;",*",集計用!$G:$G,"*, "&amp;$C37&amp;", *")/$B37*100</f>
        <v>0</v>
      </c>
      <c r="AI37" s="41">
        <f>COUNTIFS(集計用!$P:$P, "*"&amp;AI$4&amp;",*",集計用!$G:$G,"*, "&amp;$C37&amp;", *")/$B37*100</f>
        <v>0</v>
      </c>
      <c r="AJ37" s="41">
        <f>COUNTIFS(集計用!$P:$P, "*"&amp;AJ$4&amp;",*",集計用!$G:$G,"*, "&amp;$C37&amp;", *")/$B37*100</f>
        <v>0</v>
      </c>
      <c r="AK37" s="41">
        <f>COUNTIFS(集計用!$P:$P, "*"&amp;AK$4&amp;",*",集計用!$G:$G,"*, "&amp;$C37&amp;", *")/$B37*100</f>
        <v>0</v>
      </c>
      <c r="AL37" s="41">
        <f>COUNTIFS(集計用!$P:$P, "*"&amp;AL$4&amp;",*",集計用!$G:$G,"*, "&amp;$C37&amp;", *")/$B37*100</f>
        <v>0</v>
      </c>
      <c r="AM37" s="41">
        <f>COUNTIFS(集計用!$P:$P, "*"&amp;AM$4&amp;",*",集計用!$G:$G,"*, "&amp;$C37&amp;", *")/$B37*100</f>
        <v>0</v>
      </c>
      <c r="AN37" s="41">
        <f>COUNTIFS(集計用!$P:$P, "*"&amp;AN$4&amp;",*",集計用!$G:$G,"*, "&amp;$C37&amp;", *")/$B37*100</f>
        <v>0</v>
      </c>
      <c r="AO37" s="41">
        <f>COUNTIFS(集計用!$P:$P, "*"&amp;AO$4&amp;",*",集計用!$G:$G,"*, "&amp;$C37&amp;", *")/$B37*100</f>
        <v>0</v>
      </c>
      <c r="AP37" s="41">
        <f>COUNTIFS(集計用!$P:$P, "*"&amp;AP$4&amp;",*",集計用!$G:$G,"*, "&amp;$C37&amp;", *")/$B37*100</f>
        <v>0</v>
      </c>
      <c r="AQ37" s="41">
        <f>COUNTIFS(集計用!$P:$P, "*"&amp;AQ$4&amp;",*",集計用!$G:$G,"*, "&amp;$C37&amp;", *")/$B37*100</f>
        <v>0</v>
      </c>
      <c r="AR37" s="41">
        <f>COUNTIFS(集計用!$P:$P, "*"&amp;AR$4&amp;",*",集計用!$G:$G,"*, "&amp;$C37&amp;", *")/$B37*100</f>
        <v>0</v>
      </c>
      <c r="AS37" s="41">
        <f>COUNTIFS(集計用!$P:$P, "*"&amp;AS$4&amp;",*",集計用!$G:$G,"*, "&amp;$C37&amp;", *")/$B37*100</f>
        <v>0</v>
      </c>
      <c r="AT37" s="41">
        <f>COUNTIFS(集計用!$P:$P, "*"&amp;AT$4&amp;",*",集計用!$G:$G,"*, "&amp;$C37&amp;", *")/$B37*100</f>
        <v>0</v>
      </c>
      <c r="AU37" s="41">
        <f>COUNTIFS(集計用!$P:$P, "*"&amp;AU$4&amp;",*",集計用!$G:$G,"*, "&amp;$C37&amp;", *")/$B37*100</f>
        <v>0</v>
      </c>
      <c r="AV37" s="41">
        <f>COUNTIFS(集計用!$P:$P, "*"&amp;AV$4&amp;",*",集計用!$G:$G,"*, "&amp;$C37&amp;", *")/$B37*100</f>
        <v>0</v>
      </c>
      <c r="AW37" s="41">
        <f>COUNTIFS(集計用!$P:$P, "*"&amp;AW$4&amp;",*",集計用!$G:$G,"*, "&amp;$C37&amp;", *")/$B37*100</f>
        <v>0</v>
      </c>
      <c r="AX37" s="41">
        <f>COUNTIFS(集計用!$P:$P, "*"&amp;AX$4&amp;",*",集計用!$G:$G,"*, "&amp;$C37&amp;", *")/$B37*100</f>
        <v>0</v>
      </c>
      <c r="AY37" s="41">
        <f>COUNTIFS(集計用!$P:$P, "*"&amp;AY$4&amp;",*",集計用!$G:$G,"*, "&amp;$C37&amp;", *")/$B37*100</f>
        <v>0</v>
      </c>
      <c r="AZ37" s="41">
        <f>COUNTIFS(集計用!$P:$P, "*"&amp;AZ$4&amp;",*",集計用!$G:$G,"*, "&amp;$C37&amp;", *")/$B37*100</f>
        <v>0</v>
      </c>
      <c r="BA37" s="41">
        <f>COUNTIFS(集計用!$P:$P, "*"&amp;BA$4&amp;",*",集計用!$G:$G,"*, "&amp;$C37&amp;", *")/$B37*100</f>
        <v>0</v>
      </c>
      <c r="BB37" s="41">
        <f>COUNTIFS(集計用!$P:$P, "*"&amp;BB$4&amp;",*",集計用!$G:$G,"*, "&amp;$C37&amp;", *")/$B37*100</f>
        <v>0</v>
      </c>
      <c r="BC37" s="41"/>
      <c r="BD37" s="41"/>
      <c r="BE37" s="41"/>
      <c r="BF37" s="41"/>
      <c r="BG37" s="41"/>
      <c r="BH37" s="41"/>
      <c r="BI37" s="41"/>
      <c r="BJ37" s="41"/>
      <c r="BK37" s="41"/>
      <c r="BL37" s="41"/>
      <c r="BM37" s="41"/>
      <c r="BN37" s="41"/>
      <c r="BO37" s="41"/>
      <c r="BP37" s="41"/>
      <c r="BQ37" s="41"/>
      <c r="BR37" s="41"/>
      <c r="BS37" s="41"/>
    </row>
    <row r="38" spans="1:71" ht="15.75" customHeight="1">
      <c r="A38" s="39">
        <v>5</v>
      </c>
      <c r="B38" s="39">
        <f>(COUNTIFS(集計用!$G:$G,"*, "&amp;$C38&amp;",*",集計用!$Q:$Q,"&lt;&gt;無回答"))</f>
        <v>16</v>
      </c>
      <c r="C38" s="42" t="s">
        <v>30</v>
      </c>
      <c r="D38" s="41">
        <f>COUNTIFS(集計用!$P:$P, "*"&amp;D$4&amp;",*",集計用!$G:$G,"*, "&amp;$C38&amp;", *")/$B38*100</f>
        <v>6.25</v>
      </c>
      <c r="E38" s="41">
        <f>COUNTIFS(集計用!$P:$P, "*"&amp;E$4&amp;",*",集計用!$G:$G,"*, "&amp;$C38&amp;", *")/$B38*100</f>
        <v>0</v>
      </c>
      <c r="F38" s="41">
        <f>COUNTIFS(集計用!$P:$P, "*"&amp;F$4&amp;",*",集計用!$G:$G,"*, "&amp;$C38&amp;", *")/$B38*100</f>
        <v>0</v>
      </c>
      <c r="G38" s="41">
        <f>COUNTIFS(集計用!$P:$P, "*"&amp;G$4&amp;",*",集計用!$G:$G,"*, "&amp;$C38&amp;", *")/$B38*100</f>
        <v>6.25</v>
      </c>
      <c r="H38" s="41">
        <f>COUNTIFS(集計用!$P:$P, "*"&amp;H$4&amp;",*",集計用!$G:$G,"*, "&amp;$C38&amp;", *")/$B38*100</f>
        <v>0</v>
      </c>
      <c r="I38" s="41">
        <f>COUNTIFS(集計用!$P:$P, "*"&amp;I$4&amp;",*",集計用!$G:$G,"*, "&amp;$C38&amp;", *")/$B38*100</f>
        <v>6.25</v>
      </c>
      <c r="J38" s="41">
        <f>COUNTIFS(集計用!$P:$P, "*"&amp;J$4&amp;",*",集計用!$G:$G,"*, "&amp;$C38&amp;", *")/$B38*100</f>
        <v>0</v>
      </c>
      <c r="K38" s="41">
        <f>COUNTIFS(集計用!$P:$P, "*"&amp;K$4&amp;",*",集計用!$G:$G,"*, "&amp;$C38&amp;", *")/$B38*100</f>
        <v>0</v>
      </c>
      <c r="L38" s="41">
        <f>COUNTIFS(集計用!$P:$P, "*"&amp;L$4&amp;",*",集計用!$G:$G,"*, "&amp;$C38&amp;", *")/$B38*100</f>
        <v>0</v>
      </c>
      <c r="M38" s="41">
        <f>COUNTIFS(集計用!$P:$P, "*"&amp;M$4&amp;",*",集計用!$G:$G,"*, "&amp;$C38&amp;", *")/$B38*100</f>
        <v>0</v>
      </c>
      <c r="N38" s="41">
        <f>COUNTIFS(集計用!$P:$P, "*"&amp;N$4&amp;",*",集計用!$G:$G,"*, "&amp;$C38&amp;", *")/$B38*100</f>
        <v>0</v>
      </c>
      <c r="O38" s="41">
        <f>COUNTIFS(集計用!$P:$P, "*"&amp;O$4&amp;",*",集計用!$G:$G,"*, "&amp;$C38&amp;", *")/$B38*100</f>
        <v>0</v>
      </c>
      <c r="P38" s="41">
        <f>COUNTIFS(集計用!$P:$P, "*"&amp;P$4&amp;",*",集計用!$G:$G,"*, "&amp;$C38&amp;", *")/$B38*100</f>
        <v>0</v>
      </c>
      <c r="Q38" s="41">
        <f>COUNTIFS(集計用!$P:$P, "*"&amp;Q$4&amp;",*",集計用!$G:$G,"*, "&amp;$C38&amp;", *")/$B38*100</f>
        <v>0</v>
      </c>
      <c r="R38" s="41">
        <f>COUNTIFS(集計用!$P:$P, "*"&amp;R$4&amp;",*",集計用!$G:$G,"*, "&amp;$C38&amp;", *")/$B38*100</f>
        <v>6.25</v>
      </c>
      <c r="S38" s="41">
        <f>COUNTIFS(集計用!$P:$P, "*"&amp;S$4&amp;",*",集計用!$G:$G,"*, "&amp;$C38&amp;", *")/$B38*100</f>
        <v>0</v>
      </c>
      <c r="T38" s="41">
        <f>COUNTIFS(集計用!$P:$P, "*"&amp;T$4&amp;",*",集計用!$G:$G,"*, "&amp;$C38&amp;", *")/$B38*100</f>
        <v>0</v>
      </c>
      <c r="U38" s="41">
        <f>COUNTIFS(集計用!$P:$P, "*"&amp;U$4&amp;",*",集計用!$G:$G,"*, "&amp;$C38&amp;", *")/$B38*100</f>
        <v>0</v>
      </c>
      <c r="V38" s="41">
        <f>COUNTIFS(集計用!$P:$P, "*"&amp;V$4&amp;",*",集計用!$G:$G,"*, "&amp;$C38&amp;", *")/$B38*100</f>
        <v>0</v>
      </c>
      <c r="W38" s="41">
        <f>COUNTIFS(集計用!$P:$P, "*"&amp;W$4&amp;",*",集計用!$G:$G,"*, "&amp;$C38&amp;", *")/$B38*100</f>
        <v>0</v>
      </c>
      <c r="X38" s="41">
        <f>COUNTIFS(集計用!$P:$P, "*"&amp;X$4&amp;",*",集計用!$G:$G,"*, "&amp;$C38&amp;", *")/$B38*100</f>
        <v>0</v>
      </c>
      <c r="Y38" s="41">
        <f>COUNTIFS(集計用!$P:$P, "*"&amp;Y$4&amp;",*",集計用!$G:$G,"*, "&amp;$C38&amp;", *")/$B38*100</f>
        <v>0</v>
      </c>
      <c r="Z38" s="41">
        <f>COUNTIFS(集計用!$P:$P, "*"&amp;Z$4&amp;",*",集計用!$G:$G,"*, "&amp;$C38&amp;", *")/$B38*100</f>
        <v>0</v>
      </c>
      <c r="AA38" s="41">
        <f>COUNTIFS(集計用!$P:$P, "*"&amp;AA$4&amp;",*",集計用!$G:$G,"*, "&amp;$C38&amp;", *")/$B38*100</f>
        <v>0</v>
      </c>
      <c r="AB38" s="41">
        <f>COUNTIFS(集計用!$P:$P, "*"&amp;AB$4&amp;",*",集計用!$G:$G,"*, "&amp;$C38&amp;", *")/$B38*100</f>
        <v>0</v>
      </c>
      <c r="AC38" s="41">
        <f>COUNTIFS(集計用!$P:$P, "*"&amp;AC$4&amp;",*",集計用!$G:$G,"*, "&amp;$C38&amp;", *")/$B38*100</f>
        <v>0</v>
      </c>
      <c r="AD38" s="41">
        <f>COUNTIFS(集計用!$P:$P, "*"&amp;AD$4&amp;",*",集計用!$G:$G,"*, "&amp;$C38&amp;", *")/$B38*100</f>
        <v>0</v>
      </c>
      <c r="AE38" s="41">
        <f>COUNTIFS(集計用!$P:$P, "*"&amp;AE$4&amp;",*",集計用!$G:$G,"*, "&amp;$C38&amp;", *")/$B38*100</f>
        <v>0</v>
      </c>
      <c r="AF38" s="41">
        <f>COUNTIFS(集計用!$P:$P, "*"&amp;AF$4&amp;",*",集計用!$G:$G,"*, "&amp;$C38&amp;", *")/$B38*100</f>
        <v>0</v>
      </c>
      <c r="AG38" s="41">
        <f>COUNTIFS(集計用!$P:$P, "*"&amp;AG$4&amp;",*",集計用!$G:$G,"*, "&amp;$C38&amp;", *")/$B38*100</f>
        <v>0</v>
      </c>
      <c r="AH38" s="41">
        <f>COUNTIFS(集計用!$P:$P, "*"&amp;AH$4&amp;",*",集計用!$G:$G,"*, "&amp;$C38&amp;", *")/$B38*100</f>
        <v>0</v>
      </c>
      <c r="AI38" s="41">
        <f>COUNTIFS(集計用!$P:$P, "*"&amp;AI$4&amp;",*",集計用!$G:$G,"*, "&amp;$C38&amp;", *")/$B38*100</f>
        <v>0</v>
      </c>
      <c r="AJ38" s="41">
        <f>COUNTIFS(集計用!$P:$P, "*"&amp;AJ$4&amp;",*",集計用!$G:$G,"*, "&amp;$C38&amp;", *")/$B38*100</f>
        <v>0</v>
      </c>
      <c r="AK38" s="41">
        <f>COUNTIFS(集計用!$P:$P, "*"&amp;AK$4&amp;",*",集計用!$G:$G,"*, "&amp;$C38&amp;", *")/$B38*100</f>
        <v>0</v>
      </c>
      <c r="AL38" s="41">
        <f>COUNTIFS(集計用!$P:$P, "*"&amp;AL$4&amp;",*",集計用!$G:$G,"*, "&amp;$C38&amp;", *")/$B38*100</f>
        <v>0</v>
      </c>
      <c r="AM38" s="41">
        <f>COUNTIFS(集計用!$P:$P, "*"&amp;AM$4&amp;",*",集計用!$G:$G,"*, "&amp;$C38&amp;", *")/$B38*100</f>
        <v>0</v>
      </c>
      <c r="AN38" s="41">
        <f>COUNTIFS(集計用!$P:$P, "*"&amp;AN$4&amp;",*",集計用!$G:$G,"*, "&amp;$C38&amp;", *")/$B38*100</f>
        <v>0</v>
      </c>
      <c r="AO38" s="41">
        <f>COUNTIFS(集計用!$P:$P, "*"&amp;AO$4&amp;",*",集計用!$G:$G,"*, "&amp;$C38&amp;", *")/$B38*100</f>
        <v>0</v>
      </c>
      <c r="AP38" s="41">
        <f>COUNTIFS(集計用!$P:$P, "*"&amp;AP$4&amp;",*",集計用!$G:$G,"*, "&amp;$C38&amp;", *")/$B38*100</f>
        <v>0</v>
      </c>
      <c r="AQ38" s="41">
        <f>COUNTIFS(集計用!$P:$P, "*"&amp;AQ$4&amp;",*",集計用!$G:$G,"*, "&amp;$C38&amp;", *")/$B38*100</f>
        <v>0</v>
      </c>
      <c r="AR38" s="41">
        <f>COUNTIFS(集計用!$P:$P, "*"&amp;AR$4&amp;",*",集計用!$G:$G,"*, "&amp;$C38&amp;", *")/$B38*100</f>
        <v>0</v>
      </c>
      <c r="AS38" s="41">
        <f>COUNTIFS(集計用!$P:$P, "*"&amp;AS$4&amp;",*",集計用!$G:$G,"*, "&amp;$C38&amp;", *")/$B38*100</f>
        <v>0</v>
      </c>
      <c r="AT38" s="41">
        <f>COUNTIFS(集計用!$P:$P, "*"&amp;AT$4&amp;",*",集計用!$G:$G,"*, "&amp;$C38&amp;", *")/$B38*100</f>
        <v>0</v>
      </c>
      <c r="AU38" s="41">
        <f>COUNTIFS(集計用!$P:$P, "*"&amp;AU$4&amp;",*",集計用!$G:$G,"*, "&amp;$C38&amp;", *")/$B38*100</f>
        <v>0</v>
      </c>
      <c r="AV38" s="41">
        <f>COUNTIFS(集計用!$P:$P, "*"&amp;AV$4&amp;",*",集計用!$G:$G,"*, "&amp;$C38&amp;", *")/$B38*100</f>
        <v>0</v>
      </c>
      <c r="AW38" s="41">
        <f>COUNTIFS(集計用!$P:$P, "*"&amp;AW$4&amp;",*",集計用!$G:$G,"*, "&amp;$C38&amp;", *")/$B38*100</f>
        <v>0</v>
      </c>
      <c r="AX38" s="41">
        <f>COUNTIFS(集計用!$P:$P, "*"&amp;AX$4&amp;",*",集計用!$G:$G,"*, "&amp;$C38&amp;", *")/$B38*100</f>
        <v>0</v>
      </c>
      <c r="AY38" s="41">
        <f>COUNTIFS(集計用!$P:$P, "*"&amp;AY$4&amp;",*",集計用!$G:$G,"*, "&amp;$C38&amp;", *")/$B38*100</f>
        <v>0</v>
      </c>
      <c r="AZ38" s="41">
        <f>COUNTIFS(集計用!$P:$P, "*"&amp;AZ$4&amp;",*",集計用!$G:$G,"*, "&amp;$C38&amp;", *")/$B38*100</f>
        <v>0</v>
      </c>
      <c r="BA38" s="41">
        <f>COUNTIFS(集計用!$P:$P, "*"&amp;BA$4&amp;",*",集計用!$G:$G,"*, "&amp;$C38&amp;", *")/$B38*100</f>
        <v>0</v>
      </c>
      <c r="BB38" s="41">
        <f>COUNTIFS(集計用!$P:$P, "*"&amp;BB$4&amp;",*",集計用!$G:$G,"*, "&amp;$C38&amp;", *")/$B38*100</f>
        <v>0</v>
      </c>
      <c r="BC38" s="41"/>
      <c r="BD38" s="41"/>
      <c r="BE38" s="41"/>
      <c r="BF38" s="41"/>
      <c r="BG38" s="41"/>
      <c r="BH38" s="41"/>
      <c r="BI38" s="41"/>
      <c r="BJ38" s="41"/>
      <c r="BK38" s="41"/>
      <c r="BL38" s="41"/>
      <c r="BM38" s="41"/>
      <c r="BN38" s="41"/>
      <c r="BO38" s="41"/>
      <c r="BP38" s="41"/>
      <c r="BQ38" s="41"/>
      <c r="BR38" s="41"/>
      <c r="BS38" s="41"/>
    </row>
    <row r="39" spans="1:71" ht="12.75">
      <c r="A39" s="39">
        <v>5</v>
      </c>
      <c r="B39" s="39">
        <f>(COUNTIFS(集計用!$G:$G,"*, "&amp;$C39&amp;",*",集計用!$Q:$Q,"&lt;&gt;無回答"))</f>
        <v>15</v>
      </c>
      <c r="C39" s="42" t="s">
        <v>35</v>
      </c>
      <c r="D39" s="41">
        <f>COUNTIFS(集計用!$P:$P, "*"&amp;D$4&amp;",*",集計用!$G:$G,"*, "&amp;$C39&amp;", *")/$B39*100</f>
        <v>0</v>
      </c>
      <c r="E39" s="41">
        <f>COUNTIFS(集計用!$P:$P, "*"&amp;E$4&amp;",*",集計用!$G:$G,"*, "&amp;$C39&amp;", *")/$B39*100</f>
        <v>0</v>
      </c>
      <c r="F39" s="41">
        <f>COUNTIFS(集計用!$P:$P, "*"&amp;F$4&amp;",*",集計用!$G:$G,"*, "&amp;$C39&amp;", *")/$B39*100</f>
        <v>0</v>
      </c>
      <c r="G39" s="41">
        <f>COUNTIFS(集計用!$P:$P, "*"&amp;G$4&amp;",*",集計用!$G:$G,"*, "&amp;$C39&amp;", *")/$B39*100</f>
        <v>0</v>
      </c>
      <c r="H39" s="41">
        <f>COUNTIFS(集計用!$P:$P, "*"&amp;H$4&amp;",*",集計用!$G:$G,"*, "&amp;$C39&amp;", *")/$B39*100</f>
        <v>0</v>
      </c>
      <c r="I39" s="41">
        <f>COUNTIFS(集計用!$P:$P, "*"&amp;I$4&amp;",*",集計用!$G:$G,"*, "&amp;$C39&amp;", *")/$B39*100</f>
        <v>0</v>
      </c>
      <c r="J39" s="41">
        <f>COUNTIFS(集計用!$P:$P, "*"&amp;J$4&amp;",*",集計用!$G:$G,"*, "&amp;$C39&amp;", *")/$B39*100</f>
        <v>0</v>
      </c>
      <c r="K39" s="41">
        <f>COUNTIFS(集計用!$P:$P, "*"&amp;K$4&amp;",*",集計用!$G:$G,"*, "&amp;$C39&amp;", *")/$B39*100</f>
        <v>0</v>
      </c>
      <c r="L39" s="41">
        <f>COUNTIFS(集計用!$P:$P, "*"&amp;L$4&amp;",*",集計用!$G:$G,"*, "&amp;$C39&amp;", *")/$B39*100</f>
        <v>0</v>
      </c>
      <c r="M39" s="41">
        <f>COUNTIFS(集計用!$P:$P, "*"&amp;M$4&amp;",*",集計用!$G:$G,"*, "&amp;$C39&amp;", *")/$B39*100</f>
        <v>0</v>
      </c>
      <c r="N39" s="41">
        <f>COUNTIFS(集計用!$P:$P, "*"&amp;N$4&amp;",*",集計用!$G:$G,"*, "&amp;$C39&amp;", *")/$B39*100</f>
        <v>0</v>
      </c>
      <c r="O39" s="41">
        <f>COUNTIFS(集計用!$P:$P, "*"&amp;O$4&amp;",*",集計用!$G:$G,"*, "&amp;$C39&amp;", *")/$B39*100</f>
        <v>0</v>
      </c>
      <c r="P39" s="41">
        <f>COUNTIFS(集計用!$P:$P, "*"&amp;P$4&amp;",*",集計用!$G:$G,"*, "&amp;$C39&amp;", *")/$B39*100</f>
        <v>0</v>
      </c>
      <c r="Q39" s="41">
        <f>COUNTIFS(集計用!$P:$P, "*"&amp;Q$4&amp;",*",集計用!$G:$G,"*, "&amp;$C39&amp;", *")/$B39*100</f>
        <v>0</v>
      </c>
      <c r="R39" s="41">
        <f>COUNTIFS(集計用!$P:$P, "*"&amp;R$4&amp;",*",集計用!$G:$G,"*, "&amp;$C39&amp;", *")/$B39*100</f>
        <v>0</v>
      </c>
      <c r="S39" s="41">
        <f>COUNTIFS(集計用!$P:$P, "*"&amp;S$4&amp;",*",集計用!$G:$G,"*, "&amp;$C39&amp;", *")/$B39*100</f>
        <v>0</v>
      </c>
      <c r="T39" s="41">
        <f>COUNTIFS(集計用!$P:$P, "*"&amp;T$4&amp;",*",集計用!$G:$G,"*, "&amp;$C39&amp;", *")/$B39*100</f>
        <v>0</v>
      </c>
      <c r="U39" s="41">
        <f>COUNTIFS(集計用!$P:$P, "*"&amp;U$4&amp;",*",集計用!$G:$G,"*, "&amp;$C39&amp;", *")/$B39*100</f>
        <v>0</v>
      </c>
      <c r="V39" s="41">
        <f>COUNTIFS(集計用!$P:$P, "*"&amp;V$4&amp;",*",集計用!$G:$G,"*, "&amp;$C39&amp;", *")/$B39*100</f>
        <v>0</v>
      </c>
      <c r="W39" s="41">
        <f>COUNTIFS(集計用!$P:$P, "*"&amp;W$4&amp;",*",集計用!$G:$G,"*, "&amp;$C39&amp;", *")/$B39*100</f>
        <v>0</v>
      </c>
      <c r="X39" s="41">
        <f>COUNTIFS(集計用!$P:$P, "*"&amp;X$4&amp;",*",集計用!$G:$G,"*, "&amp;$C39&amp;", *")/$B39*100</f>
        <v>0</v>
      </c>
      <c r="Y39" s="41">
        <f>COUNTIFS(集計用!$P:$P, "*"&amp;Y$4&amp;",*",集計用!$G:$G,"*, "&amp;$C39&amp;", *")/$B39*100</f>
        <v>0</v>
      </c>
      <c r="Z39" s="41">
        <f>COUNTIFS(集計用!$P:$P, "*"&amp;Z$4&amp;",*",集計用!$G:$G,"*, "&amp;$C39&amp;", *")/$B39*100</f>
        <v>0</v>
      </c>
      <c r="AA39" s="41">
        <f>COUNTIFS(集計用!$P:$P, "*"&amp;AA$4&amp;",*",集計用!$G:$G,"*, "&amp;$C39&amp;", *")/$B39*100</f>
        <v>0</v>
      </c>
      <c r="AB39" s="41">
        <f>COUNTIFS(集計用!$P:$P, "*"&amp;AB$4&amp;",*",集計用!$G:$G,"*, "&amp;$C39&amp;", *")/$B39*100</f>
        <v>0</v>
      </c>
      <c r="AC39" s="41">
        <f>COUNTIFS(集計用!$P:$P, "*"&amp;AC$4&amp;",*",集計用!$G:$G,"*, "&amp;$C39&amp;", *")/$B39*100</f>
        <v>0</v>
      </c>
      <c r="AD39" s="41">
        <f>COUNTIFS(集計用!$P:$P, "*"&amp;AD$4&amp;",*",集計用!$G:$G,"*, "&amp;$C39&amp;", *")/$B39*100</f>
        <v>0</v>
      </c>
      <c r="AE39" s="41">
        <f>COUNTIFS(集計用!$P:$P, "*"&amp;AE$4&amp;",*",集計用!$G:$G,"*, "&amp;$C39&amp;", *")/$B39*100</f>
        <v>0</v>
      </c>
      <c r="AF39" s="41">
        <f>COUNTIFS(集計用!$P:$P, "*"&amp;AF$4&amp;",*",集計用!$G:$G,"*, "&amp;$C39&amp;", *")/$B39*100</f>
        <v>0</v>
      </c>
      <c r="AG39" s="41">
        <f>COUNTIFS(集計用!$P:$P, "*"&amp;AG$4&amp;",*",集計用!$G:$G,"*, "&amp;$C39&amp;", *")/$B39*100</f>
        <v>0</v>
      </c>
      <c r="AH39" s="41">
        <f>COUNTIFS(集計用!$P:$P, "*"&amp;AH$4&amp;",*",集計用!$G:$G,"*, "&amp;$C39&amp;", *")/$B39*100</f>
        <v>0</v>
      </c>
      <c r="AI39" s="41">
        <f>COUNTIFS(集計用!$P:$P, "*"&amp;AI$4&amp;",*",集計用!$G:$G,"*, "&amp;$C39&amp;", *")/$B39*100</f>
        <v>0</v>
      </c>
      <c r="AJ39" s="41">
        <f>COUNTIFS(集計用!$P:$P, "*"&amp;AJ$4&amp;",*",集計用!$G:$G,"*, "&amp;$C39&amp;", *")/$B39*100</f>
        <v>6.666666666666667</v>
      </c>
      <c r="AK39" s="41">
        <f>COUNTIFS(集計用!$P:$P, "*"&amp;AK$4&amp;",*",集計用!$G:$G,"*, "&amp;$C39&amp;", *")/$B39*100</f>
        <v>0</v>
      </c>
      <c r="AL39" s="41">
        <f>COUNTIFS(集計用!$P:$P, "*"&amp;AL$4&amp;",*",集計用!$G:$G,"*, "&amp;$C39&amp;", *")/$B39*100</f>
        <v>6.666666666666667</v>
      </c>
      <c r="AM39" s="41">
        <f>COUNTIFS(集計用!$P:$P, "*"&amp;AM$4&amp;",*",集計用!$G:$G,"*, "&amp;$C39&amp;", *")/$B39*100</f>
        <v>0</v>
      </c>
      <c r="AN39" s="41">
        <f>COUNTIFS(集計用!$P:$P, "*"&amp;AN$4&amp;",*",集計用!$G:$G,"*, "&amp;$C39&amp;", *")/$B39*100</f>
        <v>0</v>
      </c>
      <c r="AO39" s="41">
        <f>COUNTIFS(集計用!$P:$P, "*"&amp;AO$4&amp;",*",集計用!$G:$G,"*, "&amp;$C39&amp;", *")/$B39*100</f>
        <v>0</v>
      </c>
      <c r="AP39" s="41">
        <f>COUNTIFS(集計用!$P:$P, "*"&amp;AP$4&amp;",*",集計用!$G:$G,"*, "&amp;$C39&amp;", *")/$B39*100</f>
        <v>0</v>
      </c>
      <c r="AQ39" s="41">
        <f>COUNTIFS(集計用!$P:$P, "*"&amp;AQ$4&amp;",*",集計用!$G:$G,"*, "&amp;$C39&amp;", *")/$B39*100</f>
        <v>0</v>
      </c>
      <c r="AR39" s="41">
        <f>COUNTIFS(集計用!$P:$P, "*"&amp;AR$4&amp;",*",集計用!$G:$G,"*, "&amp;$C39&amp;", *")/$B39*100</f>
        <v>0</v>
      </c>
      <c r="AS39" s="41">
        <f>COUNTIFS(集計用!$P:$P, "*"&amp;AS$4&amp;",*",集計用!$G:$G,"*, "&amp;$C39&amp;", *")/$B39*100</f>
        <v>0</v>
      </c>
      <c r="AT39" s="41">
        <f>COUNTIFS(集計用!$P:$P, "*"&amp;AT$4&amp;",*",集計用!$G:$G,"*, "&amp;$C39&amp;", *")/$B39*100</f>
        <v>0</v>
      </c>
      <c r="AU39" s="41">
        <f>COUNTIFS(集計用!$P:$P, "*"&amp;AU$4&amp;",*",集計用!$G:$G,"*, "&amp;$C39&amp;", *")/$B39*100</f>
        <v>0</v>
      </c>
      <c r="AV39" s="41">
        <f>COUNTIFS(集計用!$P:$P, "*"&amp;AV$4&amp;",*",集計用!$G:$G,"*, "&amp;$C39&amp;", *")/$B39*100</f>
        <v>0</v>
      </c>
      <c r="AW39" s="41">
        <f>COUNTIFS(集計用!$P:$P, "*"&amp;AW$4&amp;",*",集計用!$G:$G,"*, "&amp;$C39&amp;", *")/$B39*100</f>
        <v>0</v>
      </c>
      <c r="AX39" s="41">
        <f>COUNTIFS(集計用!$P:$P, "*"&amp;AX$4&amp;",*",集計用!$G:$G,"*, "&amp;$C39&amp;", *")/$B39*100</f>
        <v>0</v>
      </c>
      <c r="AY39" s="41">
        <f>COUNTIFS(集計用!$P:$P, "*"&amp;AY$4&amp;",*",集計用!$G:$G,"*, "&amp;$C39&amp;", *")/$B39*100</f>
        <v>0</v>
      </c>
      <c r="AZ39" s="41">
        <f>COUNTIFS(集計用!$P:$P, "*"&amp;AZ$4&amp;",*",集計用!$G:$G,"*, "&amp;$C39&amp;", *")/$B39*100</f>
        <v>0</v>
      </c>
      <c r="BA39" s="41">
        <f>COUNTIFS(集計用!$P:$P, "*"&amp;BA$4&amp;",*",集計用!$G:$G,"*, "&amp;$C39&amp;", *")/$B39*100</f>
        <v>0</v>
      </c>
      <c r="BB39" s="41">
        <f>COUNTIFS(集計用!$P:$P, "*"&amp;BB$4&amp;",*",集計用!$G:$G,"*, "&amp;$C39&amp;", *")/$B39*100</f>
        <v>0</v>
      </c>
      <c r="BC39" s="41"/>
      <c r="BD39" s="41"/>
      <c r="BE39" s="41"/>
      <c r="BF39" s="41"/>
      <c r="BG39" s="41"/>
      <c r="BH39" s="41"/>
      <c r="BI39" s="41"/>
      <c r="BJ39" s="41"/>
      <c r="BK39" s="41"/>
      <c r="BL39" s="41"/>
      <c r="BM39" s="41"/>
      <c r="BN39" s="41"/>
      <c r="BO39" s="41"/>
      <c r="BP39" s="41"/>
      <c r="BQ39" s="41"/>
      <c r="BR39" s="41"/>
      <c r="BS39" s="41"/>
    </row>
    <row r="40" spans="1:71" ht="12.75">
      <c r="A40" s="39">
        <v>5</v>
      </c>
      <c r="B40" s="39">
        <f>(COUNTIFS(集計用!$G:$G,"*, "&amp;$C40&amp;",*",集計用!$Q:$Q,"&lt;&gt;無回答"))</f>
        <v>15</v>
      </c>
      <c r="C40" s="42" t="s">
        <v>34</v>
      </c>
      <c r="D40" s="41">
        <f>COUNTIFS(集計用!$P:$P, "*"&amp;D$4&amp;",*",集計用!$G:$G,"*, "&amp;$C40&amp;", *")/$B40*100</f>
        <v>6.666666666666667</v>
      </c>
      <c r="E40" s="41">
        <f>COUNTIFS(集計用!$P:$P, "*"&amp;E$4&amp;",*",集計用!$G:$G,"*, "&amp;$C40&amp;", *")/$B40*100</f>
        <v>0</v>
      </c>
      <c r="F40" s="41">
        <f>COUNTIFS(集計用!$P:$P, "*"&amp;F$4&amp;",*",集計用!$G:$G,"*, "&amp;$C40&amp;", *")/$B40*100</f>
        <v>6.666666666666667</v>
      </c>
      <c r="G40" s="41">
        <f>COUNTIFS(集計用!$P:$P, "*"&amp;G$4&amp;",*",集計用!$G:$G,"*, "&amp;$C40&amp;", *")/$B40*100</f>
        <v>0</v>
      </c>
      <c r="H40" s="41">
        <f>COUNTIFS(集計用!$P:$P, "*"&amp;H$4&amp;",*",集計用!$G:$G,"*, "&amp;$C40&amp;", *")/$B40*100</f>
        <v>0</v>
      </c>
      <c r="I40" s="41">
        <f>COUNTIFS(集計用!$P:$P, "*"&amp;I$4&amp;",*",集計用!$G:$G,"*, "&amp;$C40&amp;", *")/$B40*100</f>
        <v>0</v>
      </c>
      <c r="J40" s="41">
        <f>COUNTIFS(集計用!$P:$P, "*"&amp;J$4&amp;",*",集計用!$G:$G,"*, "&amp;$C40&amp;", *")/$B40*100</f>
        <v>0</v>
      </c>
      <c r="K40" s="41">
        <f>COUNTIFS(集計用!$P:$P, "*"&amp;K$4&amp;",*",集計用!$G:$G,"*, "&amp;$C40&amp;", *")/$B40*100</f>
        <v>0</v>
      </c>
      <c r="L40" s="41">
        <f>COUNTIFS(集計用!$P:$P, "*"&amp;L$4&amp;",*",集計用!$G:$G,"*, "&amp;$C40&amp;", *")/$B40*100</f>
        <v>0</v>
      </c>
      <c r="M40" s="41">
        <f>COUNTIFS(集計用!$P:$P, "*"&amp;M$4&amp;",*",集計用!$G:$G,"*, "&amp;$C40&amp;", *")/$B40*100</f>
        <v>0</v>
      </c>
      <c r="N40" s="41">
        <f>COUNTIFS(集計用!$P:$P, "*"&amp;N$4&amp;",*",集計用!$G:$G,"*, "&amp;$C40&amp;", *")/$B40*100</f>
        <v>0</v>
      </c>
      <c r="O40" s="41">
        <f>COUNTIFS(集計用!$P:$P, "*"&amp;O$4&amp;",*",集計用!$G:$G,"*, "&amp;$C40&amp;", *")/$B40*100</f>
        <v>0</v>
      </c>
      <c r="P40" s="41">
        <f>COUNTIFS(集計用!$P:$P, "*"&amp;P$4&amp;",*",集計用!$G:$G,"*, "&amp;$C40&amp;", *")/$B40*100</f>
        <v>0</v>
      </c>
      <c r="Q40" s="41">
        <f>COUNTIFS(集計用!$P:$P, "*"&amp;Q$4&amp;",*",集計用!$G:$G,"*, "&amp;$C40&amp;", *")/$B40*100</f>
        <v>0</v>
      </c>
      <c r="R40" s="41">
        <f>COUNTIFS(集計用!$P:$P, "*"&amp;R$4&amp;",*",集計用!$G:$G,"*, "&amp;$C40&amp;", *")/$B40*100</f>
        <v>0</v>
      </c>
      <c r="S40" s="41">
        <f>COUNTIFS(集計用!$P:$P, "*"&amp;S$4&amp;",*",集計用!$G:$G,"*, "&amp;$C40&amp;", *")/$B40*100</f>
        <v>0</v>
      </c>
      <c r="T40" s="41">
        <f>COUNTIFS(集計用!$P:$P, "*"&amp;T$4&amp;",*",集計用!$G:$G,"*, "&amp;$C40&amp;", *")/$B40*100</f>
        <v>0</v>
      </c>
      <c r="U40" s="41">
        <f>COUNTIFS(集計用!$P:$P, "*"&amp;U$4&amp;",*",集計用!$G:$G,"*, "&amp;$C40&amp;", *")/$B40*100</f>
        <v>0</v>
      </c>
      <c r="V40" s="41">
        <f>COUNTIFS(集計用!$P:$P, "*"&amp;V$4&amp;",*",集計用!$G:$G,"*, "&amp;$C40&amp;", *")/$B40*100</f>
        <v>0</v>
      </c>
      <c r="W40" s="41">
        <f>COUNTIFS(集計用!$P:$P, "*"&amp;W$4&amp;",*",集計用!$G:$G,"*, "&amp;$C40&amp;", *")/$B40*100</f>
        <v>0</v>
      </c>
      <c r="X40" s="41">
        <f>COUNTIFS(集計用!$P:$P, "*"&amp;X$4&amp;",*",集計用!$G:$G,"*, "&amp;$C40&amp;", *")/$B40*100</f>
        <v>0</v>
      </c>
      <c r="Y40" s="41">
        <f>COUNTIFS(集計用!$P:$P, "*"&amp;Y$4&amp;",*",集計用!$G:$G,"*, "&amp;$C40&amp;", *")/$B40*100</f>
        <v>0</v>
      </c>
      <c r="Z40" s="41">
        <f>COUNTIFS(集計用!$P:$P, "*"&amp;Z$4&amp;",*",集計用!$G:$G,"*, "&amp;$C40&amp;", *")/$B40*100</f>
        <v>0</v>
      </c>
      <c r="AA40" s="41">
        <f>COUNTIFS(集計用!$P:$P, "*"&amp;AA$4&amp;",*",集計用!$G:$G,"*, "&amp;$C40&amp;", *")/$B40*100</f>
        <v>0</v>
      </c>
      <c r="AB40" s="41">
        <f>COUNTIFS(集計用!$P:$P, "*"&amp;AB$4&amp;",*",集計用!$G:$G,"*, "&amp;$C40&amp;", *")/$B40*100</f>
        <v>0</v>
      </c>
      <c r="AC40" s="41">
        <f>COUNTIFS(集計用!$P:$P, "*"&amp;AC$4&amp;",*",集計用!$G:$G,"*, "&amp;$C40&amp;", *")/$B40*100</f>
        <v>0</v>
      </c>
      <c r="AD40" s="41">
        <f>COUNTIFS(集計用!$P:$P, "*"&amp;AD$4&amp;",*",集計用!$G:$G,"*, "&amp;$C40&amp;", *")/$B40*100</f>
        <v>0</v>
      </c>
      <c r="AE40" s="41">
        <f>COUNTIFS(集計用!$P:$P, "*"&amp;AE$4&amp;",*",集計用!$G:$G,"*, "&amp;$C40&amp;", *")/$B40*100</f>
        <v>0</v>
      </c>
      <c r="AF40" s="41">
        <f>COUNTIFS(集計用!$P:$P, "*"&amp;AF$4&amp;",*",集計用!$G:$G,"*, "&amp;$C40&amp;", *")/$B40*100</f>
        <v>0</v>
      </c>
      <c r="AG40" s="41">
        <f>COUNTIFS(集計用!$P:$P, "*"&amp;AG$4&amp;",*",集計用!$G:$G,"*, "&amp;$C40&amp;", *")/$B40*100</f>
        <v>0</v>
      </c>
      <c r="AH40" s="41">
        <f>COUNTIFS(集計用!$P:$P, "*"&amp;AH$4&amp;",*",集計用!$G:$G,"*, "&amp;$C40&amp;", *")/$B40*100</f>
        <v>0</v>
      </c>
      <c r="AI40" s="41">
        <f>COUNTIFS(集計用!$P:$P, "*"&amp;AI$4&amp;",*",集計用!$G:$G,"*, "&amp;$C40&amp;", *")/$B40*100</f>
        <v>0</v>
      </c>
      <c r="AJ40" s="41">
        <f>COUNTIFS(集計用!$P:$P, "*"&amp;AJ$4&amp;",*",集計用!$G:$G,"*, "&amp;$C40&amp;", *")/$B40*100</f>
        <v>0</v>
      </c>
      <c r="AK40" s="41">
        <f>COUNTIFS(集計用!$P:$P, "*"&amp;AK$4&amp;",*",集計用!$G:$G,"*, "&amp;$C40&amp;", *")/$B40*100</f>
        <v>0</v>
      </c>
      <c r="AL40" s="41">
        <f>COUNTIFS(集計用!$P:$P, "*"&amp;AL$4&amp;",*",集計用!$G:$G,"*, "&amp;$C40&amp;", *")/$B40*100</f>
        <v>0</v>
      </c>
      <c r="AM40" s="41">
        <f>COUNTIFS(集計用!$P:$P, "*"&amp;AM$4&amp;",*",集計用!$G:$G,"*, "&amp;$C40&amp;", *")/$B40*100</f>
        <v>0</v>
      </c>
      <c r="AN40" s="41">
        <f>COUNTIFS(集計用!$P:$P, "*"&amp;AN$4&amp;",*",集計用!$G:$G,"*, "&amp;$C40&amp;", *")/$B40*100</f>
        <v>0</v>
      </c>
      <c r="AO40" s="41">
        <f>COUNTIFS(集計用!$P:$P, "*"&amp;AO$4&amp;",*",集計用!$G:$G,"*, "&amp;$C40&amp;", *")/$B40*100</f>
        <v>0</v>
      </c>
      <c r="AP40" s="41">
        <f>COUNTIFS(集計用!$P:$P, "*"&amp;AP$4&amp;",*",集計用!$G:$G,"*, "&amp;$C40&amp;", *")/$B40*100</f>
        <v>0</v>
      </c>
      <c r="AQ40" s="41">
        <f>COUNTIFS(集計用!$P:$P, "*"&amp;AQ$4&amp;",*",集計用!$G:$G,"*, "&amp;$C40&amp;", *")/$B40*100</f>
        <v>0</v>
      </c>
      <c r="AR40" s="41">
        <f>COUNTIFS(集計用!$P:$P, "*"&amp;AR$4&amp;",*",集計用!$G:$G,"*, "&amp;$C40&amp;", *")/$B40*100</f>
        <v>0</v>
      </c>
      <c r="AS40" s="41">
        <f>COUNTIFS(集計用!$P:$P, "*"&amp;AS$4&amp;",*",集計用!$G:$G,"*, "&amp;$C40&amp;", *")/$B40*100</f>
        <v>0</v>
      </c>
      <c r="AT40" s="41">
        <f>COUNTIFS(集計用!$P:$P, "*"&amp;AT$4&amp;",*",集計用!$G:$G,"*, "&amp;$C40&amp;", *")/$B40*100</f>
        <v>0</v>
      </c>
      <c r="AU40" s="41">
        <f>COUNTIFS(集計用!$P:$P, "*"&amp;AU$4&amp;",*",集計用!$G:$G,"*, "&amp;$C40&amp;", *")/$B40*100</f>
        <v>0</v>
      </c>
      <c r="AV40" s="41">
        <f>COUNTIFS(集計用!$P:$P, "*"&amp;AV$4&amp;",*",集計用!$G:$G,"*, "&amp;$C40&amp;", *")/$B40*100</f>
        <v>0</v>
      </c>
      <c r="AW40" s="41">
        <f>COUNTIFS(集計用!$P:$P, "*"&amp;AW$4&amp;",*",集計用!$G:$G,"*, "&amp;$C40&amp;", *")/$B40*100</f>
        <v>6.666666666666667</v>
      </c>
      <c r="AX40" s="41">
        <f>COUNTIFS(集計用!$P:$P, "*"&amp;AX$4&amp;",*",集計用!$G:$G,"*, "&amp;$C40&amp;", *")/$B40*100</f>
        <v>0</v>
      </c>
      <c r="AY40" s="41">
        <f>COUNTIFS(集計用!$P:$P, "*"&amp;AY$4&amp;",*",集計用!$G:$G,"*, "&amp;$C40&amp;", *")/$B40*100</f>
        <v>0</v>
      </c>
      <c r="AZ40" s="41">
        <f>COUNTIFS(集計用!$P:$P, "*"&amp;AZ$4&amp;",*",集計用!$G:$G,"*, "&amp;$C40&amp;", *")/$B40*100</f>
        <v>0</v>
      </c>
      <c r="BA40" s="41">
        <f>COUNTIFS(集計用!$P:$P, "*"&amp;BA$4&amp;",*",集計用!$G:$G,"*, "&amp;$C40&amp;", *")/$B40*100</f>
        <v>0</v>
      </c>
      <c r="BB40" s="41">
        <f>COUNTIFS(集計用!$P:$P, "*"&amp;BB$4&amp;",*",集計用!$G:$G,"*, "&amp;$C40&amp;", *")/$B40*100</f>
        <v>0</v>
      </c>
      <c r="BC40" s="41"/>
      <c r="BD40" s="41"/>
      <c r="BE40" s="41"/>
      <c r="BF40" s="41"/>
      <c r="BG40" s="41"/>
      <c r="BH40" s="41"/>
      <c r="BI40" s="41"/>
      <c r="BJ40" s="41"/>
      <c r="BK40" s="41"/>
      <c r="BL40" s="41"/>
      <c r="BM40" s="41"/>
      <c r="BN40" s="41"/>
      <c r="BO40" s="41"/>
      <c r="BP40" s="41"/>
      <c r="BQ40" s="41"/>
      <c r="BR40" s="41"/>
      <c r="BS40" s="41"/>
    </row>
    <row r="41" spans="1:71" ht="12.75">
      <c r="A41" s="39">
        <v>4</v>
      </c>
      <c r="B41" s="39">
        <f>(COUNTIFS(集計用!$G:$G,"*, "&amp;$C41&amp;",*",集計用!$Q:$Q,"&lt;&gt;無回答"))</f>
        <v>15</v>
      </c>
      <c r="C41" s="42" t="s">
        <v>33</v>
      </c>
      <c r="D41" s="41">
        <f>COUNTIFS(集計用!$P:$P, "*"&amp;D$4&amp;",*",集計用!$G:$G,"*, "&amp;$C41&amp;", *")/$B41*100</f>
        <v>0</v>
      </c>
      <c r="E41" s="41">
        <f>COUNTIFS(集計用!$P:$P, "*"&amp;E$4&amp;",*",集計用!$G:$G,"*, "&amp;$C41&amp;", *")/$B41*100</f>
        <v>0</v>
      </c>
      <c r="F41" s="41">
        <f>COUNTIFS(集計用!$P:$P, "*"&amp;F$4&amp;",*",集計用!$G:$G,"*, "&amp;$C41&amp;", *")/$B41*100</f>
        <v>0</v>
      </c>
      <c r="G41" s="41">
        <f>COUNTIFS(集計用!$P:$P, "*"&amp;G$4&amp;",*",集計用!$G:$G,"*, "&amp;$C41&amp;", *")/$B41*100</f>
        <v>13.333333333333334</v>
      </c>
      <c r="H41" s="41">
        <f>COUNTIFS(集計用!$P:$P, "*"&amp;H$4&amp;",*",集計用!$G:$G,"*, "&amp;$C41&amp;", *")/$B41*100</f>
        <v>0</v>
      </c>
      <c r="I41" s="41">
        <f>COUNTIFS(集計用!$P:$P, "*"&amp;I$4&amp;",*",集計用!$G:$G,"*, "&amp;$C41&amp;", *")/$B41*100</f>
        <v>0</v>
      </c>
      <c r="J41" s="41">
        <f>COUNTIFS(集計用!$P:$P, "*"&amp;J$4&amp;",*",集計用!$G:$G,"*, "&amp;$C41&amp;", *")/$B41*100</f>
        <v>0</v>
      </c>
      <c r="K41" s="41">
        <f>COUNTIFS(集計用!$P:$P, "*"&amp;K$4&amp;",*",集計用!$G:$G,"*, "&amp;$C41&amp;", *")/$B41*100</f>
        <v>0</v>
      </c>
      <c r="L41" s="41">
        <f>COUNTIFS(集計用!$P:$P, "*"&amp;L$4&amp;",*",集計用!$G:$G,"*, "&amp;$C41&amp;", *")/$B41*100</f>
        <v>0</v>
      </c>
      <c r="M41" s="41">
        <f>COUNTIFS(集計用!$P:$P, "*"&amp;M$4&amp;",*",集計用!$G:$G,"*, "&amp;$C41&amp;", *")/$B41*100</f>
        <v>0</v>
      </c>
      <c r="N41" s="41">
        <f>COUNTIFS(集計用!$P:$P, "*"&amp;N$4&amp;",*",集計用!$G:$G,"*, "&amp;$C41&amp;", *")/$B41*100</f>
        <v>0</v>
      </c>
      <c r="O41" s="41">
        <f>COUNTIFS(集計用!$P:$P, "*"&amp;O$4&amp;",*",集計用!$G:$G,"*, "&amp;$C41&amp;", *")/$B41*100</f>
        <v>0</v>
      </c>
      <c r="P41" s="41">
        <f>COUNTIFS(集計用!$P:$P, "*"&amp;P$4&amp;",*",集計用!$G:$G,"*, "&amp;$C41&amp;", *")/$B41*100</f>
        <v>0</v>
      </c>
      <c r="Q41" s="41">
        <f>COUNTIFS(集計用!$P:$P, "*"&amp;Q$4&amp;",*",集計用!$G:$G,"*, "&amp;$C41&amp;", *")/$B41*100</f>
        <v>0</v>
      </c>
      <c r="R41" s="41">
        <f>COUNTIFS(集計用!$P:$P, "*"&amp;R$4&amp;",*",集計用!$G:$G,"*, "&amp;$C41&amp;", *")/$B41*100</f>
        <v>0</v>
      </c>
      <c r="S41" s="41">
        <f>COUNTIFS(集計用!$P:$P, "*"&amp;S$4&amp;",*",集計用!$G:$G,"*, "&amp;$C41&amp;", *")/$B41*100</f>
        <v>0</v>
      </c>
      <c r="T41" s="41">
        <f>COUNTIFS(集計用!$P:$P, "*"&amp;T$4&amp;",*",集計用!$G:$G,"*, "&amp;$C41&amp;", *")/$B41*100</f>
        <v>0</v>
      </c>
      <c r="U41" s="41">
        <f>COUNTIFS(集計用!$P:$P, "*"&amp;U$4&amp;",*",集計用!$G:$G,"*, "&amp;$C41&amp;", *")/$B41*100</f>
        <v>0</v>
      </c>
      <c r="V41" s="41">
        <f>COUNTIFS(集計用!$P:$P, "*"&amp;V$4&amp;",*",集計用!$G:$G,"*, "&amp;$C41&amp;", *")/$B41*100</f>
        <v>0</v>
      </c>
      <c r="W41" s="41">
        <f>COUNTIFS(集計用!$P:$P, "*"&amp;W$4&amp;",*",集計用!$G:$G,"*, "&amp;$C41&amp;", *")/$B41*100</f>
        <v>0</v>
      </c>
      <c r="X41" s="41">
        <f>COUNTIFS(集計用!$P:$P, "*"&amp;X$4&amp;",*",集計用!$G:$G,"*, "&amp;$C41&amp;", *")/$B41*100</f>
        <v>0</v>
      </c>
      <c r="Y41" s="41">
        <f>COUNTIFS(集計用!$P:$P, "*"&amp;Y$4&amp;",*",集計用!$G:$G,"*, "&amp;$C41&amp;", *")/$B41*100</f>
        <v>0</v>
      </c>
      <c r="Z41" s="41">
        <f>COUNTIFS(集計用!$P:$P, "*"&amp;Z$4&amp;",*",集計用!$G:$G,"*, "&amp;$C41&amp;", *")/$B41*100</f>
        <v>0</v>
      </c>
      <c r="AA41" s="41">
        <f>COUNTIFS(集計用!$P:$P, "*"&amp;AA$4&amp;",*",集計用!$G:$G,"*, "&amp;$C41&amp;", *")/$B41*100</f>
        <v>0</v>
      </c>
      <c r="AB41" s="41">
        <f>COUNTIFS(集計用!$P:$P, "*"&amp;AB$4&amp;",*",集計用!$G:$G,"*, "&amp;$C41&amp;", *")/$B41*100</f>
        <v>0</v>
      </c>
      <c r="AC41" s="41">
        <f>COUNTIFS(集計用!$P:$P, "*"&amp;AC$4&amp;",*",集計用!$G:$G,"*, "&amp;$C41&amp;", *")/$B41*100</f>
        <v>0</v>
      </c>
      <c r="AD41" s="41">
        <f>COUNTIFS(集計用!$P:$P, "*"&amp;AD$4&amp;",*",集計用!$G:$G,"*, "&amp;$C41&amp;", *")/$B41*100</f>
        <v>0</v>
      </c>
      <c r="AE41" s="41">
        <f>COUNTIFS(集計用!$P:$P, "*"&amp;AE$4&amp;",*",集計用!$G:$G,"*, "&amp;$C41&amp;", *")/$B41*100</f>
        <v>0</v>
      </c>
      <c r="AF41" s="41">
        <f>COUNTIFS(集計用!$P:$P, "*"&amp;AF$4&amp;",*",集計用!$G:$G,"*, "&amp;$C41&amp;", *")/$B41*100</f>
        <v>0</v>
      </c>
      <c r="AG41" s="41">
        <f>COUNTIFS(集計用!$P:$P, "*"&amp;AG$4&amp;",*",集計用!$G:$G,"*, "&amp;$C41&amp;", *")/$B41*100</f>
        <v>0</v>
      </c>
      <c r="AH41" s="41">
        <f>COUNTIFS(集計用!$P:$P, "*"&amp;AH$4&amp;",*",集計用!$G:$G,"*, "&amp;$C41&amp;", *")/$B41*100</f>
        <v>0</v>
      </c>
      <c r="AI41" s="41">
        <f>COUNTIFS(集計用!$P:$P, "*"&amp;AI$4&amp;",*",集計用!$G:$G,"*, "&amp;$C41&amp;", *")/$B41*100</f>
        <v>0</v>
      </c>
      <c r="AJ41" s="41">
        <f>COUNTIFS(集計用!$P:$P, "*"&amp;AJ$4&amp;",*",集計用!$G:$G,"*, "&amp;$C41&amp;", *")/$B41*100</f>
        <v>0</v>
      </c>
      <c r="AK41" s="41">
        <f>COUNTIFS(集計用!$P:$P, "*"&amp;AK$4&amp;",*",集計用!$G:$G,"*, "&amp;$C41&amp;", *")/$B41*100</f>
        <v>0</v>
      </c>
      <c r="AL41" s="41">
        <f>COUNTIFS(集計用!$P:$P, "*"&amp;AL$4&amp;",*",集計用!$G:$G,"*, "&amp;$C41&amp;", *")/$B41*100</f>
        <v>0</v>
      </c>
      <c r="AM41" s="41">
        <f>COUNTIFS(集計用!$P:$P, "*"&amp;AM$4&amp;",*",集計用!$G:$G,"*, "&amp;$C41&amp;", *")/$B41*100</f>
        <v>0</v>
      </c>
      <c r="AN41" s="41">
        <f>COUNTIFS(集計用!$P:$P, "*"&amp;AN$4&amp;",*",集計用!$G:$G,"*, "&amp;$C41&amp;", *")/$B41*100</f>
        <v>0</v>
      </c>
      <c r="AO41" s="41">
        <f>COUNTIFS(集計用!$P:$P, "*"&amp;AO$4&amp;",*",集計用!$G:$G,"*, "&amp;$C41&amp;", *")/$B41*100</f>
        <v>0</v>
      </c>
      <c r="AP41" s="41">
        <f>COUNTIFS(集計用!$P:$P, "*"&amp;AP$4&amp;",*",集計用!$G:$G,"*, "&amp;$C41&amp;", *")/$B41*100</f>
        <v>0</v>
      </c>
      <c r="AQ41" s="41">
        <f>COUNTIFS(集計用!$P:$P, "*"&amp;AQ$4&amp;",*",集計用!$G:$G,"*, "&amp;$C41&amp;", *")/$B41*100</f>
        <v>0</v>
      </c>
      <c r="AR41" s="41">
        <f>COUNTIFS(集計用!$P:$P, "*"&amp;AR$4&amp;",*",集計用!$G:$G,"*, "&amp;$C41&amp;", *")/$B41*100</f>
        <v>0</v>
      </c>
      <c r="AS41" s="41">
        <f>COUNTIFS(集計用!$P:$P, "*"&amp;AS$4&amp;",*",集計用!$G:$G,"*, "&amp;$C41&amp;", *")/$B41*100</f>
        <v>0</v>
      </c>
      <c r="AT41" s="41">
        <f>COUNTIFS(集計用!$P:$P, "*"&amp;AT$4&amp;",*",集計用!$G:$G,"*, "&amp;$C41&amp;", *")/$B41*100</f>
        <v>0</v>
      </c>
      <c r="AU41" s="41">
        <f>COUNTIFS(集計用!$P:$P, "*"&amp;AU$4&amp;",*",集計用!$G:$G,"*, "&amp;$C41&amp;", *")/$B41*100</f>
        <v>0</v>
      </c>
      <c r="AV41" s="41">
        <f>COUNTIFS(集計用!$P:$P, "*"&amp;AV$4&amp;",*",集計用!$G:$G,"*, "&amp;$C41&amp;", *")/$B41*100</f>
        <v>0</v>
      </c>
      <c r="AW41" s="41">
        <f>COUNTIFS(集計用!$P:$P, "*"&amp;AW$4&amp;",*",集計用!$G:$G,"*, "&amp;$C41&amp;", *")/$B41*100</f>
        <v>0</v>
      </c>
      <c r="AX41" s="41">
        <f>COUNTIFS(集計用!$P:$P, "*"&amp;AX$4&amp;",*",集計用!$G:$G,"*, "&amp;$C41&amp;", *")/$B41*100</f>
        <v>0</v>
      </c>
      <c r="AY41" s="41">
        <f>COUNTIFS(集計用!$P:$P, "*"&amp;AY$4&amp;",*",集計用!$G:$G,"*, "&amp;$C41&amp;", *")/$B41*100</f>
        <v>0</v>
      </c>
      <c r="AZ41" s="41">
        <f>COUNTIFS(集計用!$P:$P, "*"&amp;AZ$4&amp;",*",集計用!$G:$G,"*, "&amp;$C41&amp;", *")/$B41*100</f>
        <v>0</v>
      </c>
      <c r="BA41" s="41">
        <f>COUNTIFS(集計用!$P:$P, "*"&amp;BA$4&amp;",*",集計用!$G:$G,"*, "&amp;$C41&amp;", *")/$B41*100</f>
        <v>0</v>
      </c>
      <c r="BB41" s="41">
        <f>COUNTIFS(集計用!$P:$P, "*"&amp;BB$4&amp;",*",集計用!$G:$G,"*, "&amp;$C41&amp;", *")/$B41*100</f>
        <v>0</v>
      </c>
      <c r="BC41" s="41"/>
      <c r="BD41" s="41"/>
      <c r="BE41" s="41"/>
      <c r="BF41" s="41"/>
      <c r="BG41" s="41"/>
      <c r="BH41" s="41"/>
      <c r="BI41" s="41"/>
      <c r="BJ41" s="41"/>
      <c r="BK41" s="41"/>
      <c r="BL41" s="41"/>
      <c r="BM41" s="41"/>
      <c r="BN41" s="41"/>
      <c r="BO41" s="41"/>
      <c r="BP41" s="41"/>
      <c r="BQ41" s="41"/>
      <c r="BR41" s="41"/>
      <c r="BS41" s="41"/>
    </row>
    <row r="42" spans="1:71" ht="12.75">
      <c r="A42" s="39">
        <v>4</v>
      </c>
      <c r="B42" s="39">
        <f>(COUNTIFS(集計用!$G:$G,"*, "&amp;$C42&amp;",*",集計用!$Q:$Q,"&lt;&gt;無回答"))</f>
        <v>13</v>
      </c>
      <c r="C42" s="42" t="s">
        <v>36</v>
      </c>
      <c r="D42" s="41">
        <f>COUNTIFS(集計用!$P:$P, "*"&amp;D$4&amp;",*",集計用!$G:$G,"*, "&amp;$C42&amp;", *")/$B42*100</f>
        <v>7.6923076923076925</v>
      </c>
      <c r="E42" s="41">
        <f>COUNTIFS(集計用!$P:$P, "*"&amp;E$4&amp;",*",集計用!$G:$G,"*, "&amp;$C42&amp;", *")/$B42*100</f>
        <v>0</v>
      </c>
      <c r="F42" s="41">
        <f>COUNTIFS(集計用!$P:$P, "*"&amp;F$4&amp;",*",集計用!$G:$G,"*, "&amp;$C42&amp;", *")/$B42*100</f>
        <v>0</v>
      </c>
      <c r="G42" s="41">
        <f>COUNTIFS(集計用!$P:$P, "*"&amp;G$4&amp;",*",集計用!$G:$G,"*, "&amp;$C42&amp;", *")/$B42*100</f>
        <v>0</v>
      </c>
      <c r="H42" s="41">
        <f>COUNTIFS(集計用!$P:$P, "*"&amp;H$4&amp;",*",集計用!$G:$G,"*, "&amp;$C42&amp;", *")/$B42*100</f>
        <v>0</v>
      </c>
      <c r="I42" s="41">
        <f>COUNTIFS(集計用!$P:$P, "*"&amp;I$4&amp;",*",集計用!$G:$G,"*, "&amp;$C42&amp;", *")/$B42*100</f>
        <v>7.6923076923076925</v>
      </c>
      <c r="J42" s="41">
        <f>COUNTIFS(集計用!$P:$P, "*"&amp;J$4&amp;",*",集計用!$G:$G,"*, "&amp;$C42&amp;", *")/$B42*100</f>
        <v>0</v>
      </c>
      <c r="K42" s="41">
        <f>COUNTIFS(集計用!$P:$P, "*"&amp;K$4&amp;",*",集計用!$G:$G,"*, "&amp;$C42&amp;", *")/$B42*100</f>
        <v>0</v>
      </c>
      <c r="L42" s="41">
        <f>COUNTIFS(集計用!$P:$P, "*"&amp;L$4&amp;",*",集計用!$G:$G,"*, "&amp;$C42&amp;", *")/$B42*100</f>
        <v>0</v>
      </c>
      <c r="M42" s="41">
        <f>COUNTIFS(集計用!$P:$P, "*"&amp;M$4&amp;",*",集計用!$G:$G,"*, "&amp;$C42&amp;", *")/$B42*100</f>
        <v>0</v>
      </c>
      <c r="N42" s="41">
        <f>COUNTIFS(集計用!$P:$P, "*"&amp;N$4&amp;",*",集計用!$G:$G,"*, "&amp;$C42&amp;", *")/$B42*100</f>
        <v>0</v>
      </c>
      <c r="O42" s="41">
        <f>COUNTIFS(集計用!$P:$P, "*"&amp;O$4&amp;",*",集計用!$G:$G,"*, "&amp;$C42&amp;", *")/$B42*100</f>
        <v>0</v>
      </c>
      <c r="P42" s="41">
        <f>COUNTIFS(集計用!$P:$P, "*"&amp;P$4&amp;",*",集計用!$G:$G,"*, "&amp;$C42&amp;", *")/$B42*100</f>
        <v>0</v>
      </c>
      <c r="Q42" s="41">
        <f>COUNTIFS(集計用!$P:$P, "*"&amp;Q$4&amp;",*",集計用!$G:$G,"*, "&amp;$C42&amp;", *")/$B42*100</f>
        <v>0</v>
      </c>
      <c r="R42" s="41">
        <f>COUNTIFS(集計用!$P:$P, "*"&amp;R$4&amp;",*",集計用!$G:$G,"*, "&amp;$C42&amp;", *")/$B42*100</f>
        <v>0</v>
      </c>
      <c r="S42" s="41">
        <f>COUNTIFS(集計用!$P:$P, "*"&amp;S$4&amp;",*",集計用!$G:$G,"*, "&amp;$C42&amp;", *")/$B42*100</f>
        <v>0</v>
      </c>
      <c r="T42" s="41">
        <f>COUNTIFS(集計用!$P:$P, "*"&amp;T$4&amp;",*",集計用!$G:$G,"*, "&amp;$C42&amp;", *")/$B42*100</f>
        <v>0</v>
      </c>
      <c r="U42" s="41">
        <f>COUNTIFS(集計用!$P:$P, "*"&amp;U$4&amp;",*",集計用!$G:$G,"*, "&amp;$C42&amp;", *")/$B42*100</f>
        <v>0</v>
      </c>
      <c r="V42" s="41">
        <f>COUNTIFS(集計用!$P:$P, "*"&amp;V$4&amp;",*",集計用!$G:$G,"*, "&amp;$C42&amp;", *")/$B42*100</f>
        <v>0</v>
      </c>
      <c r="W42" s="41">
        <f>COUNTIFS(集計用!$P:$P, "*"&amp;W$4&amp;",*",集計用!$G:$G,"*, "&amp;$C42&amp;", *")/$B42*100</f>
        <v>0</v>
      </c>
      <c r="X42" s="41">
        <f>COUNTIFS(集計用!$P:$P, "*"&amp;X$4&amp;",*",集計用!$G:$G,"*, "&amp;$C42&amp;", *")/$B42*100</f>
        <v>0</v>
      </c>
      <c r="Y42" s="41">
        <f>COUNTIFS(集計用!$P:$P, "*"&amp;Y$4&amp;",*",集計用!$G:$G,"*, "&amp;$C42&amp;", *")/$B42*100</f>
        <v>0</v>
      </c>
      <c r="Z42" s="41">
        <f>COUNTIFS(集計用!$P:$P, "*"&amp;Z$4&amp;",*",集計用!$G:$G,"*, "&amp;$C42&amp;", *")/$B42*100</f>
        <v>0</v>
      </c>
      <c r="AA42" s="41">
        <f>COUNTIFS(集計用!$P:$P, "*"&amp;AA$4&amp;",*",集計用!$G:$G,"*, "&amp;$C42&amp;", *")/$B42*100</f>
        <v>0</v>
      </c>
      <c r="AB42" s="41">
        <f>COUNTIFS(集計用!$P:$P, "*"&amp;AB$4&amp;",*",集計用!$G:$G,"*, "&amp;$C42&amp;", *")/$B42*100</f>
        <v>0</v>
      </c>
      <c r="AC42" s="41">
        <f>COUNTIFS(集計用!$P:$P, "*"&amp;AC$4&amp;",*",集計用!$G:$G,"*, "&amp;$C42&amp;", *")/$B42*100</f>
        <v>0</v>
      </c>
      <c r="AD42" s="41">
        <f>COUNTIFS(集計用!$P:$P, "*"&amp;AD$4&amp;",*",集計用!$G:$G,"*, "&amp;$C42&amp;", *")/$B42*100</f>
        <v>0</v>
      </c>
      <c r="AE42" s="41">
        <f>COUNTIFS(集計用!$P:$P, "*"&amp;AE$4&amp;",*",集計用!$G:$G,"*, "&amp;$C42&amp;", *")/$B42*100</f>
        <v>0</v>
      </c>
      <c r="AF42" s="41">
        <f>COUNTIFS(集計用!$P:$P, "*"&amp;AF$4&amp;",*",集計用!$G:$G,"*, "&amp;$C42&amp;", *")/$B42*100</f>
        <v>0</v>
      </c>
      <c r="AG42" s="41">
        <f>COUNTIFS(集計用!$P:$P, "*"&amp;AG$4&amp;",*",集計用!$G:$G,"*, "&amp;$C42&amp;", *")/$B42*100</f>
        <v>0</v>
      </c>
      <c r="AH42" s="41">
        <f>COUNTIFS(集計用!$P:$P, "*"&amp;AH$4&amp;",*",集計用!$G:$G,"*, "&amp;$C42&amp;", *")/$B42*100</f>
        <v>0</v>
      </c>
      <c r="AI42" s="41">
        <f>COUNTIFS(集計用!$P:$P, "*"&amp;AI$4&amp;",*",集計用!$G:$G,"*, "&amp;$C42&amp;", *")/$B42*100</f>
        <v>0</v>
      </c>
      <c r="AJ42" s="41">
        <f>COUNTIFS(集計用!$P:$P, "*"&amp;AJ$4&amp;",*",集計用!$G:$G,"*, "&amp;$C42&amp;", *")/$B42*100</f>
        <v>0</v>
      </c>
      <c r="AK42" s="41">
        <f>COUNTIFS(集計用!$P:$P, "*"&amp;AK$4&amp;",*",集計用!$G:$G,"*, "&amp;$C42&amp;", *")/$B42*100</f>
        <v>0</v>
      </c>
      <c r="AL42" s="41">
        <f>COUNTIFS(集計用!$P:$P, "*"&amp;AL$4&amp;",*",集計用!$G:$G,"*, "&amp;$C42&amp;", *")/$B42*100</f>
        <v>0</v>
      </c>
      <c r="AM42" s="41">
        <f>COUNTIFS(集計用!$P:$P, "*"&amp;AM$4&amp;",*",集計用!$G:$G,"*, "&amp;$C42&amp;", *")/$B42*100</f>
        <v>0</v>
      </c>
      <c r="AN42" s="41">
        <f>COUNTIFS(集計用!$P:$P, "*"&amp;AN$4&amp;",*",集計用!$G:$G,"*, "&amp;$C42&amp;", *")/$B42*100</f>
        <v>0</v>
      </c>
      <c r="AO42" s="41">
        <f>COUNTIFS(集計用!$P:$P, "*"&amp;AO$4&amp;",*",集計用!$G:$G,"*, "&amp;$C42&amp;", *")/$B42*100</f>
        <v>0</v>
      </c>
      <c r="AP42" s="41">
        <f>COUNTIFS(集計用!$P:$P, "*"&amp;AP$4&amp;",*",集計用!$G:$G,"*, "&amp;$C42&amp;", *")/$B42*100</f>
        <v>0</v>
      </c>
      <c r="AQ42" s="41">
        <f>COUNTIFS(集計用!$P:$P, "*"&amp;AQ$4&amp;",*",集計用!$G:$G,"*, "&amp;$C42&amp;", *")/$B42*100</f>
        <v>0</v>
      </c>
      <c r="AR42" s="41">
        <f>COUNTIFS(集計用!$P:$P, "*"&amp;AR$4&amp;",*",集計用!$G:$G,"*, "&amp;$C42&amp;", *")/$B42*100</f>
        <v>0</v>
      </c>
      <c r="AS42" s="41">
        <f>COUNTIFS(集計用!$P:$P, "*"&amp;AS$4&amp;",*",集計用!$G:$G,"*, "&amp;$C42&amp;", *")/$B42*100</f>
        <v>0</v>
      </c>
      <c r="AT42" s="41">
        <f>COUNTIFS(集計用!$P:$P, "*"&amp;AT$4&amp;",*",集計用!$G:$G,"*, "&amp;$C42&amp;", *")/$B42*100</f>
        <v>0</v>
      </c>
      <c r="AU42" s="41">
        <f>COUNTIFS(集計用!$P:$P, "*"&amp;AU$4&amp;",*",集計用!$G:$G,"*, "&amp;$C42&amp;", *")/$B42*100</f>
        <v>0</v>
      </c>
      <c r="AV42" s="41">
        <f>COUNTIFS(集計用!$P:$P, "*"&amp;AV$4&amp;",*",集計用!$G:$G,"*, "&amp;$C42&amp;", *")/$B42*100</f>
        <v>0</v>
      </c>
      <c r="AW42" s="41">
        <f>COUNTIFS(集計用!$P:$P, "*"&amp;AW$4&amp;",*",集計用!$G:$G,"*, "&amp;$C42&amp;", *")/$B42*100</f>
        <v>0</v>
      </c>
      <c r="AX42" s="41">
        <f>COUNTIFS(集計用!$P:$P, "*"&amp;AX$4&amp;",*",集計用!$G:$G,"*, "&amp;$C42&amp;", *")/$B42*100</f>
        <v>0</v>
      </c>
      <c r="AY42" s="41">
        <f>COUNTIFS(集計用!$P:$P, "*"&amp;AY$4&amp;",*",集計用!$G:$G,"*, "&amp;$C42&amp;", *")/$B42*100</f>
        <v>0</v>
      </c>
      <c r="AZ42" s="41">
        <f>COUNTIFS(集計用!$P:$P, "*"&amp;AZ$4&amp;",*",集計用!$G:$G,"*, "&amp;$C42&amp;", *")/$B42*100</f>
        <v>0</v>
      </c>
      <c r="BA42" s="41">
        <f>COUNTIFS(集計用!$P:$P, "*"&amp;BA$4&amp;",*",集計用!$G:$G,"*, "&amp;$C42&amp;", *")/$B42*100</f>
        <v>0</v>
      </c>
      <c r="BB42" s="41">
        <f>COUNTIFS(集計用!$P:$P, "*"&amp;BB$4&amp;",*",集計用!$G:$G,"*, "&amp;$C42&amp;", *")/$B42*100</f>
        <v>0</v>
      </c>
      <c r="BC42" s="41"/>
      <c r="BD42" s="41"/>
      <c r="BE42" s="41"/>
      <c r="BF42" s="41"/>
      <c r="BG42" s="41"/>
      <c r="BH42" s="41"/>
      <c r="BI42" s="41"/>
      <c r="BJ42" s="41"/>
      <c r="BK42" s="41"/>
      <c r="BL42" s="41"/>
      <c r="BM42" s="41"/>
      <c r="BN42" s="41"/>
      <c r="BO42" s="41"/>
      <c r="BP42" s="41"/>
      <c r="BQ42" s="41"/>
      <c r="BR42" s="41"/>
      <c r="BS42" s="41"/>
    </row>
    <row r="43" spans="1:71" ht="12.75">
      <c r="A43" s="39">
        <v>4</v>
      </c>
      <c r="B43" s="39">
        <f>(COUNTIFS(集計用!$G:$G,"*, "&amp;$C43&amp;",*",集計用!$Q:$Q,"&lt;&gt;無回答"))</f>
        <v>13</v>
      </c>
      <c r="C43" s="42" t="s">
        <v>37</v>
      </c>
      <c r="D43" s="41">
        <f>COUNTIFS(集計用!$P:$P, "*"&amp;D$4&amp;",*",集計用!$G:$G,"*, "&amp;$C43&amp;", *")/$B43*100</f>
        <v>0</v>
      </c>
      <c r="E43" s="41">
        <f>COUNTIFS(集計用!$P:$P, "*"&amp;E$4&amp;",*",集計用!$G:$G,"*, "&amp;$C43&amp;", *")/$B43*100</f>
        <v>0</v>
      </c>
      <c r="F43" s="41">
        <f>COUNTIFS(集計用!$P:$P, "*"&amp;F$4&amp;",*",集計用!$G:$G,"*, "&amp;$C43&amp;", *")/$B43*100</f>
        <v>0</v>
      </c>
      <c r="G43" s="41">
        <f>COUNTIFS(集計用!$P:$P, "*"&amp;G$4&amp;",*",集計用!$G:$G,"*, "&amp;$C43&amp;", *")/$B43*100</f>
        <v>0</v>
      </c>
      <c r="H43" s="41">
        <f>COUNTIFS(集計用!$P:$P, "*"&amp;H$4&amp;",*",集計用!$G:$G,"*, "&amp;$C43&amp;", *")/$B43*100</f>
        <v>0</v>
      </c>
      <c r="I43" s="41">
        <f>COUNTIFS(集計用!$P:$P, "*"&amp;I$4&amp;",*",集計用!$G:$G,"*, "&amp;$C43&amp;", *")/$B43*100</f>
        <v>0</v>
      </c>
      <c r="J43" s="41">
        <f>COUNTIFS(集計用!$P:$P, "*"&amp;J$4&amp;",*",集計用!$G:$G,"*, "&amp;$C43&amp;", *")/$B43*100</f>
        <v>0</v>
      </c>
      <c r="K43" s="41">
        <f>COUNTIFS(集計用!$P:$P, "*"&amp;K$4&amp;",*",集計用!$G:$G,"*, "&amp;$C43&amp;", *")/$B43*100</f>
        <v>0</v>
      </c>
      <c r="L43" s="41">
        <f>COUNTIFS(集計用!$P:$P, "*"&amp;L$4&amp;",*",集計用!$G:$G,"*, "&amp;$C43&amp;", *")/$B43*100</f>
        <v>0</v>
      </c>
      <c r="M43" s="41">
        <f>COUNTIFS(集計用!$P:$P, "*"&amp;M$4&amp;",*",集計用!$G:$G,"*, "&amp;$C43&amp;", *")/$B43*100</f>
        <v>0</v>
      </c>
      <c r="N43" s="41">
        <f>COUNTIFS(集計用!$P:$P, "*"&amp;N$4&amp;",*",集計用!$G:$G,"*, "&amp;$C43&amp;", *")/$B43*100</f>
        <v>0</v>
      </c>
      <c r="O43" s="41">
        <f>COUNTIFS(集計用!$P:$P, "*"&amp;O$4&amp;",*",集計用!$G:$G,"*, "&amp;$C43&amp;", *")/$B43*100</f>
        <v>0</v>
      </c>
      <c r="P43" s="41">
        <f>COUNTIFS(集計用!$P:$P, "*"&amp;P$4&amp;",*",集計用!$G:$G,"*, "&amp;$C43&amp;", *")/$B43*100</f>
        <v>0</v>
      </c>
      <c r="Q43" s="41">
        <f>COUNTIFS(集計用!$P:$P, "*"&amp;Q$4&amp;",*",集計用!$G:$G,"*, "&amp;$C43&amp;", *")/$B43*100</f>
        <v>0</v>
      </c>
      <c r="R43" s="41">
        <f>COUNTIFS(集計用!$P:$P, "*"&amp;R$4&amp;",*",集計用!$G:$G,"*, "&amp;$C43&amp;", *")/$B43*100</f>
        <v>0</v>
      </c>
      <c r="S43" s="41">
        <f>COUNTIFS(集計用!$P:$P, "*"&amp;S$4&amp;",*",集計用!$G:$G,"*, "&amp;$C43&amp;", *")/$B43*100</f>
        <v>0</v>
      </c>
      <c r="T43" s="41">
        <f>COUNTIFS(集計用!$P:$P, "*"&amp;T$4&amp;",*",集計用!$G:$G,"*, "&amp;$C43&amp;", *")/$B43*100</f>
        <v>0</v>
      </c>
      <c r="U43" s="41">
        <f>COUNTIFS(集計用!$P:$P, "*"&amp;U$4&amp;",*",集計用!$G:$G,"*, "&amp;$C43&amp;", *")/$B43*100</f>
        <v>0</v>
      </c>
      <c r="V43" s="41">
        <f>COUNTIFS(集計用!$P:$P, "*"&amp;V$4&amp;",*",集計用!$G:$G,"*, "&amp;$C43&amp;", *")/$B43*100</f>
        <v>0</v>
      </c>
      <c r="W43" s="41">
        <f>COUNTIFS(集計用!$P:$P, "*"&amp;W$4&amp;",*",集計用!$G:$G,"*, "&amp;$C43&amp;", *")/$B43*100</f>
        <v>0</v>
      </c>
      <c r="X43" s="41">
        <f>COUNTIFS(集計用!$P:$P, "*"&amp;X$4&amp;",*",集計用!$G:$G,"*, "&amp;$C43&amp;", *")/$B43*100</f>
        <v>0</v>
      </c>
      <c r="Y43" s="41">
        <f>COUNTIFS(集計用!$P:$P, "*"&amp;Y$4&amp;",*",集計用!$G:$G,"*, "&amp;$C43&amp;", *")/$B43*100</f>
        <v>0</v>
      </c>
      <c r="Z43" s="41">
        <f>COUNTIFS(集計用!$P:$P, "*"&amp;Z$4&amp;",*",集計用!$G:$G,"*, "&amp;$C43&amp;", *")/$B43*100</f>
        <v>0</v>
      </c>
      <c r="AA43" s="41">
        <f>COUNTIFS(集計用!$P:$P, "*"&amp;AA$4&amp;",*",集計用!$G:$G,"*, "&amp;$C43&amp;", *")/$B43*100</f>
        <v>0</v>
      </c>
      <c r="AB43" s="41">
        <f>COUNTIFS(集計用!$P:$P, "*"&amp;AB$4&amp;",*",集計用!$G:$G,"*, "&amp;$C43&amp;", *")/$B43*100</f>
        <v>0</v>
      </c>
      <c r="AC43" s="41">
        <f>COUNTIFS(集計用!$P:$P, "*"&amp;AC$4&amp;",*",集計用!$G:$G,"*, "&amp;$C43&amp;", *")/$B43*100</f>
        <v>0</v>
      </c>
      <c r="AD43" s="41">
        <f>COUNTIFS(集計用!$P:$P, "*"&amp;AD$4&amp;",*",集計用!$G:$G,"*, "&amp;$C43&amp;", *")/$B43*100</f>
        <v>0</v>
      </c>
      <c r="AE43" s="41">
        <f>COUNTIFS(集計用!$P:$P, "*"&amp;AE$4&amp;",*",集計用!$G:$G,"*, "&amp;$C43&amp;", *")/$B43*100</f>
        <v>0</v>
      </c>
      <c r="AF43" s="41">
        <f>COUNTIFS(集計用!$P:$P, "*"&amp;AF$4&amp;",*",集計用!$G:$G,"*, "&amp;$C43&amp;", *")/$B43*100</f>
        <v>0</v>
      </c>
      <c r="AG43" s="41">
        <f>COUNTIFS(集計用!$P:$P, "*"&amp;AG$4&amp;",*",集計用!$G:$G,"*, "&amp;$C43&amp;", *")/$B43*100</f>
        <v>0</v>
      </c>
      <c r="AH43" s="41">
        <f>COUNTIFS(集計用!$P:$P, "*"&amp;AH$4&amp;",*",集計用!$G:$G,"*, "&amp;$C43&amp;", *")/$B43*100</f>
        <v>0</v>
      </c>
      <c r="AI43" s="41">
        <f>COUNTIFS(集計用!$P:$P, "*"&amp;AI$4&amp;",*",集計用!$G:$G,"*, "&amp;$C43&amp;", *")/$B43*100</f>
        <v>0</v>
      </c>
      <c r="AJ43" s="41">
        <f>COUNTIFS(集計用!$P:$P, "*"&amp;AJ$4&amp;",*",集計用!$G:$G,"*, "&amp;$C43&amp;", *")/$B43*100</f>
        <v>0</v>
      </c>
      <c r="AK43" s="41">
        <f>COUNTIFS(集計用!$P:$P, "*"&amp;AK$4&amp;",*",集計用!$G:$G,"*, "&amp;$C43&amp;", *")/$B43*100</f>
        <v>0</v>
      </c>
      <c r="AL43" s="41">
        <f>COUNTIFS(集計用!$P:$P, "*"&amp;AL$4&amp;",*",集計用!$G:$G,"*, "&amp;$C43&amp;", *")/$B43*100</f>
        <v>0</v>
      </c>
      <c r="AM43" s="41">
        <f>COUNTIFS(集計用!$P:$P, "*"&amp;AM$4&amp;",*",集計用!$G:$G,"*, "&amp;$C43&amp;", *")/$B43*100</f>
        <v>0</v>
      </c>
      <c r="AN43" s="41">
        <f>COUNTIFS(集計用!$P:$P, "*"&amp;AN$4&amp;",*",集計用!$G:$G,"*, "&amp;$C43&amp;", *")/$B43*100</f>
        <v>0</v>
      </c>
      <c r="AO43" s="41">
        <f>COUNTIFS(集計用!$P:$P, "*"&amp;AO$4&amp;",*",集計用!$G:$G,"*, "&amp;$C43&amp;", *")/$B43*100</f>
        <v>0</v>
      </c>
      <c r="AP43" s="41">
        <f>COUNTIFS(集計用!$P:$P, "*"&amp;AP$4&amp;",*",集計用!$G:$G,"*, "&amp;$C43&amp;", *")/$B43*100</f>
        <v>0</v>
      </c>
      <c r="AQ43" s="41">
        <f>COUNTIFS(集計用!$P:$P, "*"&amp;AQ$4&amp;",*",集計用!$G:$G,"*, "&amp;$C43&amp;", *")/$B43*100</f>
        <v>0</v>
      </c>
      <c r="AR43" s="41">
        <f>COUNTIFS(集計用!$P:$P, "*"&amp;AR$4&amp;",*",集計用!$G:$G,"*, "&amp;$C43&amp;", *")/$B43*100</f>
        <v>0</v>
      </c>
      <c r="AS43" s="41">
        <f>COUNTIFS(集計用!$P:$P, "*"&amp;AS$4&amp;",*",集計用!$G:$G,"*, "&amp;$C43&amp;", *")/$B43*100</f>
        <v>0</v>
      </c>
      <c r="AT43" s="41">
        <f>COUNTIFS(集計用!$P:$P, "*"&amp;AT$4&amp;",*",集計用!$G:$G,"*, "&amp;$C43&amp;", *")/$B43*100</f>
        <v>0</v>
      </c>
      <c r="AU43" s="41">
        <f>COUNTIFS(集計用!$P:$P, "*"&amp;AU$4&amp;",*",集計用!$G:$G,"*, "&amp;$C43&amp;", *")/$B43*100</f>
        <v>0</v>
      </c>
      <c r="AV43" s="41">
        <f>COUNTIFS(集計用!$P:$P, "*"&amp;AV$4&amp;",*",集計用!$G:$G,"*, "&amp;$C43&amp;", *")/$B43*100</f>
        <v>0</v>
      </c>
      <c r="AW43" s="41">
        <f>COUNTIFS(集計用!$P:$P, "*"&amp;AW$4&amp;",*",集計用!$G:$G,"*, "&amp;$C43&amp;", *")/$B43*100</f>
        <v>0</v>
      </c>
      <c r="AX43" s="41">
        <f>COUNTIFS(集計用!$P:$P, "*"&amp;AX$4&amp;",*",集計用!$G:$G,"*, "&amp;$C43&amp;", *")/$B43*100</f>
        <v>0</v>
      </c>
      <c r="AY43" s="41">
        <f>COUNTIFS(集計用!$P:$P, "*"&amp;AY$4&amp;",*",集計用!$G:$G,"*, "&amp;$C43&amp;", *")/$B43*100</f>
        <v>0</v>
      </c>
      <c r="AZ43" s="41">
        <f>COUNTIFS(集計用!$P:$P, "*"&amp;AZ$4&amp;",*",集計用!$G:$G,"*, "&amp;$C43&amp;", *")/$B43*100</f>
        <v>0</v>
      </c>
      <c r="BA43" s="41">
        <f>COUNTIFS(集計用!$P:$P, "*"&amp;BA$4&amp;",*",集計用!$G:$G,"*, "&amp;$C43&amp;", *")/$B43*100</f>
        <v>0</v>
      </c>
      <c r="BB43" s="41">
        <f>COUNTIFS(集計用!$P:$P, "*"&amp;BB$4&amp;",*",集計用!$G:$G,"*, "&amp;$C43&amp;", *")/$B43*100</f>
        <v>0</v>
      </c>
      <c r="BC43" s="41"/>
      <c r="BD43" s="41"/>
      <c r="BE43" s="41"/>
      <c r="BF43" s="41"/>
      <c r="BG43" s="41"/>
      <c r="BH43" s="41"/>
      <c r="BI43" s="41"/>
      <c r="BJ43" s="41"/>
      <c r="BK43" s="41"/>
      <c r="BL43" s="41"/>
      <c r="BM43" s="41"/>
      <c r="BN43" s="41"/>
      <c r="BO43" s="41"/>
      <c r="BP43" s="41"/>
      <c r="BQ43" s="41"/>
      <c r="BR43" s="41"/>
      <c r="BS43" s="41"/>
    </row>
    <row r="44" spans="1:71" ht="12.75">
      <c r="A44" s="39">
        <v>5</v>
      </c>
      <c r="B44" s="39">
        <f>(COUNTIFS(集計用!$G:$G,"*, "&amp;$C44&amp;",*",集計用!$Q:$Q,"&lt;&gt;無回答"))</f>
        <v>12</v>
      </c>
      <c r="C44" s="42" t="s">
        <v>39</v>
      </c>
      <c r="D44" s="41">
        <f>COUNTIFS(集計用!$P:$P, "*"&amp;D$4&amp;",*",集計用!$G:$G,"*, "&amp;$C44&amp;", *")/$B44*100</f>
        <v>0</v>
      </c>
      <c r="E44" s="41">
        <f>COUNTIFS(集計用!$P:$P, "*"&amp;E$4&amp;",*",集計用!$G:$G,"*, "&amp;$C44&amp;", *")/$B44*100</f>
        <v>0</v>
      </c>
      <c r="F44" s="41">
        <f>COUNTIFS(集計用!$P:$P, "*"&amp;F$4&amp;",*",集計用!$G:$G,"*, "&amp;$C44&amp;", *")/$B44*100</f>
        <v>0</v>
      </c>
      <c r="G44" s="41">
        <f>COUNTIFS(集計用!$P:$P, "*"&amp;G$4&amp;",*",集計用!$G:$G,"*, "&amp;$C44&amp;", *")/$B44*100</f>
        <v>0</v>
      </c>
      <c r="H44" s="41">
        <f>COUNTIFS(集計用!$P:$P, "*"&amp;H$4&amp;",*",集計用!$G:$G,"*, "&amp;$C44&amp;", *")/$B44*100</f>
        <v>0</v>
      </c>
      <c r="I44" s="41">
        <f>COUNTIFS(集計用!$P:$P, "*"&amp;I$4&amp;",*",集計用!$G:$G,"*, "&amp;$C44&amp;", *")/$B44*100</f>
        <v>0</v>
      </c>
      <c r="J44" s="41">
        <f>COUNTIFS(集計用!$P:$P, "*"&amp;J$4&amp;",*",集計用!$G:$G,"*, "&amp;$C44&amp;", *")/$B44*100</f>
        <v>0</v>
      </c>
      <c r="K44" s="41">
        <f>COUNTIFS(集計用!$P:$P, "*"&amp;K$4&amp;",*",集計用!$G:$G,"*, "&amp;$C44&amp;", *")/$B44*100</f>
        <v>0</v>
      </c>
      <c r="L44" s="41">
        <f>COUNTIFS(集計用!$P:$P, "*"&amp;L$4&amp;",*",集計用!$G:$G,"*, "&amp;$C44&amp;", *")/$B44*100</f>
        <v>0</v>
      </c>
      <c r="M44" s="41">
        <f>COUNTIFS(集計用!$P:$P, "*"&amp;M$4&amp;",*",集計用!$G:$G,"*, "&amp;$C44&amp;", *")/$B44*100</f>
        <v>0</v>
      </c>
      <c r="N44" s="41">
        <f>COUNTIFS(集計用!$P:$P, "*"&amp;N$4&amp;",*",集計用!$G:$G,"*, "&amp;$C44&amp;", *")/$B44*100</f>
        <v>0</v>
      </c>
      <c r="O44" s="41">
        <f>COUNTIFS(集計用!$P:$P, "*"&amp;O$4&amp;",*",集計用!$G:$G,"*, "&amp;$C44&amp;", *")/$B44*100</f>
        <v>0</v>
      </c>
      <c r="P44" s="41">
        <f>COUNTIFS(集計用!$P:$P, "*"&amp;P$4&amp;",*",集計用!$G:$G,"*, "&amp;$C44&amp;", *")/$B44*100</f>
        <v>0</v>
      </c>
      <c r="Q44" s="41">
        <f>COUNTIFS(集計用!$P:$P, "*"&amp;Q$4&amp;",*",集計用!$G:$G,"*, "&amp;$C44&amp;", *")/$B44*100</f>
        <v>0</v>
      </c>
      <c r="R44" s="41">
        <f>COUNTIFS(集計用!$P:$P, "*"&amp;R$4&amp;",*",集計用!$G:$G,"*, "&amp;$C44&amp;", *")/$B44*100</f>
        <v>0</v>
      </c>
      <c r="S44" s="41">
        <f>COUNTIFS(集計用!$P:$P, "*"&amp;S$4&amp;",*",集計用!$G:$G,"*, "&amp;$C44&amp;", *")/$B44*100</f>
        <v>0</v>
      </c>
      <c r="T44" s="41">
        <f>COUNTIFS(集計用!$P:$P, "*"&amp;T$4&amp;",*",集計用!$G:$G,"*, "&amp;$C44&amp;", *")/$B44*100</f>
        <v>0</v>
      </c>
      <c r="U44" s="41">
        <f>COUNTIFS(集計用!$P:$P, "*"&amp;U$4&amp;",*",集計用!$G:$G,"*, "&amp;$C44&amp;", *")/$B44*100</f>
        <v>0</v>
      </c>
      <c r="V44" s="41">
        <f>COUNTIFS(集計用!$P:$P, "*"&amp;V$4&amp;",*",集計用!$G:$G,"*, "&amp;$C44&amp;", *")/$B44*100</f>
        <v>0</v>
      </c>
      <c r="W44" s="41">
        <f>COUNTIFS(集計用!$P:$P, "*"&amp;W$4&amp;",*",集計用!$G:$G,"*, "&amp;$C44&amp;", *")/$B44*100</f>
        <v>0</v>
      </c>
      <c r="X44" s="41">
        <f>COUNTIFS(集計用!$P:$P, "*"&amp;X$4&amp;",*",集計用!$G:$G,"*, "&amp;$C44&amp;", *")/$B44*100</f>
        <v>0</v>
      </c>
      <c r="Y44" s="41">
        <f>COUNTIFS(集計用!$P:$P, "*"&amp;Y$4&amp;",*",集計用!$G:$G,"*, "&amp;$C44&amp;", *")/$B44*100</f>
        <v>0</v>
      </c>
      <c r="Z44" s="41">
        <f>COUNTIFS(集計用!$P:$P, "*"&amp;Z$4&amp;",*",集計用!$G:$G,"*, "&amp;$C44&amp;", *")/$B44*100</f>
        <v>0</v>
      </c>
      <c r="AA44" s="41">
        <f>COUNTIFS(集計用!$P:$P, "*"&amp;AA$4&amp;",*",集計用!$G:$G,"*, "&amp;$C44&amp;", *")/$B44*100</f>
        <v>0</v>
      </c>
      <c r="AB44" s="41">
        <f>COUNTIFS(集計用!$P:$P, "*"&amp;AB$4&amp;",*",集計用!$G:$G,"*, "&amp;$C44&amp;", *")/$B44*100</f>
        <v>0</v>
      </c>
      <c r="AC44" s="41">
        <f>COUNTIFS(集計用!$P:$P, "*"&amp;AC$4&amp;",*",集計用!$G:$G,"*, "&amp;$C44&amp;", *")/$B44*100</f>
        <v>0</v>
      </c>
      <c r="AD44" s="41">
        <f>COUNTIFS(集計用!$P:$P, "*"&amp;AD$4&amp;",*",集計用!$G:$G,"*, "&amp;$C44&amp;", *")/$B44*100</f>
        <v>0</v>
      </c>
      <c r="AE44" s="41">
        <f>COUNTIFS(集計用!$P:$P, "*"&amp;AE$4&amp;",*",集計用!$G:$G,"*, "&amp;$C44&amp;", *")/$B44*100</f>
        <v>0</v>
      </c>
      <c r="AF44" s="41">
        <f>COUNTIFS(集計用!$P:$P, "*"&amp;AF$4&amp;",*",集計用!$G:$G,"*, "&amp;$C44&amp;", *")/$B44*100</f>
        <v>0</v>
      </c>
      <c r="AG44" s="41">
        <f>COUNTIFS(集計用!$P:$P, "*"&amp;AG$4&amp;",*",集計用!$G:$G,"*, "&amp;$C44&amp;", *")/$B44*100</f>
        <v>0</v>
      </c>
      <c r="AH44" s="41">
        <f>COUNTIFS(集計用!$P:$P, "*"&amp;AH$4&amp;",*",集計用!$G:$G,"*, "&amp;$C44&amp;", *")/$B44*100</f>
        <v>0</v>
      </c>
      <c r="AI44" s="41">
        <f>COUNTIFS(集計用!$P:$P, "*"&amp;AI$4&amp;",*",集計用!$G:$G,"*, "&amp;$C44&amp;", *")/$B44*100</f>
        <v>0</v>
      </c>
      <c r="AJ44" s="41">
        <f>COUNTIFS(集計用!$P:$P, "*"&amp;AJ$4&amp;",*",集計用!$G:$G,"*, "&amp;$C44&amp;", *")/$B44*100</f>
        <v>8.3333333333333321</v>
      </c>
      <c r="AK44" s="41">
        <f>COUNTIFS(集計用!$P:$P, "*"&amp;AK$4&amp;",*",集計用!$G:$G,"*, "&amp;$C44&amp;", *")/$B44*100</f>
        <v>0</v>
      </c>
      <c r="AL44" s="41">
        <f>COUNTIFS(集計用!$P:$P, "*"&amp;AL$4&amp;",*",集計用!$G:$G,"*, "&amp;$C44&amp;", *")/$B44*100</f>
        <v>8.3333333333333321</v>
      </c>
      <c r="AM44" s="41">
        <f>COUNTIFS(集計用!$P:$P, "*"&amp;AM$4&amp;",*",集計用!$G:$G,"*, "&amp;$C44&amp;", *")/$B44*100</f>
        <v>0</v>
      </c>
      <c r="AN44" s="41">
        <f>COUNTIFS(集計用!$P:$P, "*"&amp;AN$4&amp;",*",集計用!$G:$G,"*, "&amp;$C44&amp;", *")/$B44*100</f>
        <v>0</v>
      </c>
      <c r="AO44" s="41">
        <f>COUNTIFS(集計用!$P:$P, "*"&amp;AO$4&amp;",*",集計用!$G:$G,"*, "&amp;$C44&amp;", *")/$B44*100</f>
        <v>0</v>
      </c>
      <c r="AP44" s="41">
        <f>COUNTIFS(集計用!$P:$P, "*"&amp;AP$4&amp;",*",集計用!$G:$G,"*, "&amp;$C44&amp;", *")/$B44*100</f>
        <v>0</v>
      </c>
      <c r="AQ44" s="41">
        <f>COUNTIFS(集計用!$P:$P, "*"&amp;AQ$4&amp;",*",集計用!$G:$G,"*, "&amp;$C44&amp;", *")/$B44*100</f>
        <v>0</v>
      </c>
      <c r="AR44" s="41">
        <f>COUNTIFS(集計用!$P:$P, "*"&amp;AR$4&amp;",*",集計用!$G:$G,"*, "&amp;$C44&amp;", *")/$B44*100</f>
        <v>0</v>
      </c>
      <c r="AS44" s="41">
        <f>COUNTIFS(集計用!$P:$P, "*"&amp;AS$4&amp;",*",集計用!$G:$G,"*, "&amp;$C44&amp;", *")/$B44*100</f>
        <v>0</v>
      </c>
      <c r="AT44" s="41">
        <f>COUNTIFS(集計用!$P:$P, "*"&amp;AT$4&amp;",*",集計用!$G:$G,"*, "&amp;$C44&amp;", *")/$B44*100</f>
        <v>0</v>
      </c>
      <c r="AU44" s="41">
        <f>COUNTIFS(集計用!$P:$P, "*"&amp;AU$4&amp;",*",集計用!$G:$G,"*, "&amp;$C44&amp;", *")/$B44*100</f>
        <v>0</v>
      </c>
      <c r="AV44" s="41">
        <f>COUNTIFS(集計用!$P:$P, "*"&amp;AV$4&amp;",*",集計用!$G:$G,"*, "&amp;$C44&amp;", *")/$B44*100</f>
        <v>0</v>
      </c>
      <c r="AW44" s="41">
        <f>COUNTIFS(集計用!$P:$P, "*"&amp;AW$4&amp;",*",集計用!$G:$G,"*, "&amp;$C44&amp;", *")/$B44*100</f>
        <v>0</v>
      </c>
      <c r="AX44" s="41">
        <f>COUNTIFS(集計用!$P:$P, "*"&amp;AX$4&amp;",*",集計用!$G:$G,"*, "&amp;$C44&amp;", *")/$B44*100</f>
        <v>0</v>
      </c>
      <c r="AY44" s="41">
        <f>COUNTIFS(集計用!$P:$P, "*"&amp;AY$4&amp;",*",集計用!$G:$G,"*, "&amp;$C44&amp;", *")/$B44*100</f>
        <v>0</v>
      </c>
      <c r="AZ44" s="41">
        <f>COUNTIFS(集計用!$P:$P, "*"&amp;AZ$4&amp;",*",集計用!$G:$G,"*, "&amp;$C44&amp;", *")/$B44*100</f>
        <v>0</v>
      </c>
      <c r="BA44" s="41">
        <f>COUNTIFS(集計用!$P:$P, "*"&amp;BA$4&amp;",*",集計用!$G:$G,"*, "&amp;$C44&amp;", *")/$B44*100</f>
        <v>0</v>
      </c>
      <c r="BB44" s="41">
        <f>COUNTIFS(集計用!$P:$P, "*"&amp;BB$4&amp;",*",集計用!$G:$G,"*, "&amp;$C44&amp;", *")/$B44*100</f>
        <v>0</v>
      </c>
      <c r="BC44" s="41"/>
      <c r="BD44" s="41"/>
      <c r="BE44" s="41"/>
      <c r="BF44" s="41"/>
      <c r="BG44" s="41"/>
      <c r="BH44" s="41"/>
      <c r="BI44" s="41"/>
      <c r="BJ44" s="41"/>
      <c r="BK44" s="41"/>
      <c r="BL44" s="41"/>
      <c r="BM44" s="41"/>
      <c r="BN44" s="41"/>
      <c r="BO44" s="41"/>
      <c r="BP44" s="41"/>
      <c r="BQ44" s="41"/>
      <c r="BR44" s="41"/>
      <c r="BS44" s="41"/>
    </row>
    <row r="45" spans="1:71" ht="14.25" customHeight="1">
      <c r="A45" s="39">
        <v>5</v>
      </c>
      <c r="B45" s="39">
        <f>(COUNTIFS(集計用!$G:$G,"*, "&amp;$C45&amp;",*",集計用!$Q:$Q,"&lt;&gt;無回答"))</f>
        <v>12</v>
      </c>
      <c r="C45" s="42" t="s">
        <v>38</v>
      </c>
      <c r="D45" s="41">
        <f>COUNTIFS(集計用!$P:$P, "*"&amp;D$4&amp;",*",集計用!$G:$G,"*, "&amp;$C45&amp;", *")/$B45*100</f>
        <v>16.666666666666664</v>
      </c>
      <c r="E45" s="41">
        <f>COUNTIFS(集計用!$P:$P, "*"&amp;E$4&amp;",*",集計用!$G:$G,"*, "&amp;$C45&amp;", *")/$B45*100</f>
        <v>0</v>
      </c>
      <c r="F45" s="41">
        <f>COUNTIFS(集計用!$P:$P, "*"&amp;F$4&amp;",*",集計用!$G:$G,"*, "&amp;$C45&amp;", *")/$B45*100</f>
        <v>0</v>
      </c>
      <c r="G45" s="41">
        <f>COUNTIFS(集計用!$P:$P, "*"&amp;G$4&amp;",*",集計用!$G:$G,"*, "&amp;$C45&amp;", *")/$B45*100</f>
        <v>0</v>
      </c>
      <c r="H45" s="41">
        <f>COUNTIFS(集計用!$P:$P, "*"&amp;H$4&amp;",*",集計用!$G:$G,"*, "&amp;$C45&amp;", *")/$B45*100</f>
        <v>0</v>
      </c>
      <c r="I45" s="41">
        <f>COUNTIFS(集計用!$P:$P, "*"&amp;I$4&amp;",*",集計用!$G:$G,"*, "&amp;$C45&amp;", *")/$B45*100</f>
        <v>0</v>
      </c>
      <c r="J45" s="41">
        <f>COUNTIFS(集計用!$P:$P, "*"&amp;J$4&amp;",*",集計用!$G:$G,"*, "&amp;$C45&amp;", *")/$B45*100</f>
        <v>0</v>
      </c>
      <c r="K45" s="41">
        <f>COUNTIFS(集計用!$P:$P, "*"&amp;K$4&amp;",*",集計用!$G:$G,"*, "&amp;$C45&amp;", *")/$B45*100</f>
        <v>0</v>
      </c>
      <c r="L45" s="41">
        <f>COUNTIFS(集計用!$P:$P, "*"&amp;L$4&amp;",*",集計用!$G:$G,"*, "&amp;$C45&amp;", *")/$B45*100</f>
        <v>0</v>
      </c>
      <c r="M45" s="41">
        <f>COUNTIFS(集計用!$P:$P, "*"&amp;M$4&amp;",*",集計用!$G:$G,"*, "&amp;$C45&amp;", *")/$B45*100</f>
        <v>0</v>
      </c>
      <c r="N45" s="41">
        <f>COUNTIFS(集計用!$P:$P, "*"&amp;N$4&amp;",*",集計用!$G:$G,"*, "&amp;$C45&amp;", *")/$B45*100</f>
        <v>0</v>
      </c>
      <c r="O45" s="41">
        <f>COUNTIFS(集計用!$P:$P, "*"&amp;O$4&amp;",*",集計用!$G:$G,"*, "&amp;$C45&amp;", *")/$B45*100</f>
        <v>0</v>
      </c>
      <c r="P45" s="41">
        <f>COUNTIFS(集計用!$P:$P, "*"&amp;P$4&amp;",*",集計用!$G:$G,"*, "&amp;$C45&amp;", *")/$B45*100</f>
        <v>0</v>
      </c>
      <c r="Q45" s="41">
        <f>COUNTIFS(集計用!$P:$P, "*"&amp;Q$4&amp;",*",集計用!$G:$G,"*, "&amp;$C45&amp;", *")/$B45*100</f>
        <v>0</v>
      </c>
      <c r="R45" s="41">
        <f>COUNTIFS(集計用!$P:$P, "*"&amp;R$4&amp;",*",集計用!$G:$G,"*, "&amp;$C45&amp;", *")/$B45*100</f>
        <v>0</v>
      </c>
      <c r="S45" s="41">
        <f>COUNTIFS(集計用!$P:$P, "*"&amp;S$4&amp;",*",集計用!$G:$G,"*, "&amp;$C45&amp;", *")/$B45*100</f>
        <v>0</v>
      </c>
      <c r="T45" s="41">
        <f>COUNTIFS(集計用!$P:$P, "*"&amp;T$4&amp;",*",集計用!$G:$G,"*, "&amp;$C45&amp;", *")/$B45*100</f>
        <v>0</v>
      </c>
      <c r="U45" s="41">
        <f>COUNTIFS(集計用!$P:$P, "*"&amp;U$4&amp;",*",集計用!$G:$G,"*, "&amp;$C45&amp;", *")/$B45*100</f>
        <v>0</v>
      </c>
      <c r="V45" s="41">
        <f>COUNTIFS(集計用!$P:$P, "*"&amp;V$4&amp;",*",集計用!$G:$G,"*, "&amp;$C45&amp;", *")/$B45*100</f>
        <v>0</v>
      </c>
      <c r="W45" s="41">
        <f>COUNTIFS(集計用!$P:$P, "*"&amp;W$4&amp;",*",集計用!$G:$G,"*, "&amp;$C45&amp;", *")/$B45*100</f>
        <v>0</v>
      </c>
      <c r="X45" s="41">
        <f>COUNTIFS(集計用!$P:$P, "*"&amp;X$4&amp;",*",集計用!$G:$G,"*, "&amp;$C45&amp;", *")/$B45*100</f>
        <v>0</v>
      </c>
      <c r="Y45" s="41">
        <f>COUNTIFS(集計用!$P:$P, "*"&amp;Y$4&amp;",*",集計用!$G:$G,"*, "&amp;$C45&amp;", *")/$B45*100</f>
        <v>0</v>
      </c>
      <c r="Z45" s="41">
        <f>COUNTIFS(集計用!$P:$P, "*"&amp;Z$4&amp;",*",集計用!$G:$G,"*, "&amp;$C45&amp;", *")/$B45*100</f>
        <v>0</v>
      </c>
      <c r="AA45" s="41">
        <f>COUNTIFS(集計用!$P:$P, "*"&amp;AA$4&amp;",*",集計用!$G:$G,"*, "&amp;$C45&amp;", *")/$B45*100</f>
        <v>0</v>
      </c>
      <c r="AB45" s="41">
        <f>COUNTIFS(集計用!$P:$P, "*"&amp;AB$4&amp;",*",集計用!$G:$G,"*, "&amp;$C45&amp;", *")/$B45*100</f>
        <v>0</v>
      </c>
      <c r="AC45" s="41">
        <f>COUNTIFS(集計用!$P:$P, "*"&amp;AC$4&amp;",*",集計用!$G:$G,"*, "&amp;$C45&amp;", *")/$B45*100</f>
        <v>0</v>
      </c>
      <c r="AD45" s="41">
        <f>COUNTIFS(集計用!$P:$P, "*"&amp;AD$4&amp;",*",集計用!$G:$G,"*, "&amp;$C45&amp;", *")/$B45*100</f>
        <v>0</v>
      </c>
      <c r="AE45" s="41">
        <f>COUNTIFS(集計用!$P:$P, "*"&amp;AE$4&amp;",*",集計用!$G:$G,"*, "&amp;$C45&amp;", *")/$B45*100</f>
        <v>0</v>
      </c>
      <c r="AF45" s="41">
        <f>COUNTIFS(集計用!$P:$P, "*"&amp;AF$4&amp;",*",集計用!$G:$G,"*, "&amp;$C45&amp;", *")/$B45*100</f>
        <v>0</v>
      </c>
      <c r="AG45" s="41">
        <f>COUNTIFS(集計用!$P:$P, "*"&amp;AG$4&amp;",*",集計用!$G:$G,"*, "&amp;$C45&amp;", *")/$B45*100</f>
        <v>0</v>
      </c>
      <c r="AH45" s="41">
        <f>COUNTIFS(集計用!$P:$P, "*"&amp;AH$4&amp;",*",集計用!$G:$G,"*, "&amp;$C45&amp;", *")/$B45*100</f>
        <v>0</v>
      </c>
      <c r="AI45" s="41">
        <f>COUNTIFS(集計用!$P:$P, "*"&amp;AI$4&amp;",*",集計用!$G:$G,"*, "&amp;$C45&amp;", *")/$B45*100</f>
        <v>0</v>
      </c>
      <c r="AJ45" s="41">
        <f>COUNTIFS(集計用!$P:$P, "*"&amp;AJ$4&amp;",*",集計用!$G:$G,"*, "&amp;$C45&amp;", *")/$B45*100</f>
        <v>0</v>
      </c>
      <c r="AK45" s="41">
        <f>COUNTIFS(集計用!$P:$P, "*"&amp;AK$4&amp;",*",集計用!$G:$G,"*, "&amp;$C45&amp;", *")/$B45*100</f>
        <v>0</v>
      </c>
      <c r="AL45" s="41">
        <f>COUNTIFS(集計用!$P:$P, "*"&amp;AL$4&amp;",*",集計用!$G:$G,"*, "&amp;$C45&amp;", *")/$B45*100</f>
        <v>0</v>
      </c>
      <c r="AM45" s="41">
        <f>COUNTIFS(集計用!$P:$P, "*"&amp;AM$4&amp;",*",集計用!$G:$G,"*, "&amp;$C45&amp;", *")/$B45*100</f>
        <v>0</v>
      </c>
      <c r="AN45" s="41">
        <f>COUNTIFS(集計用!$P:$P, "*"&amp;AN$4&amp;",*",集計用!$G:$G,"*, "&amp;$C45&amp;", *")/$B45*100</f>
        <v>0</v>
      </c>
      <c r="AO45" s="41">
        <f>COUNTIFS(集計用!$P:$P, "*"&amp;AO$4&amp;",*",集計用!$G:$G,"*, "&amp;$C45&amp;", *")/$B45*100</f>
        <v>0</v>
      </c>
      <c r="AP45" s="41">
        <f>COUNTIFS(集計用!$P:$P, "*"&amp;AP$4&amp;",*",集計用!$G:$G,"*, "&amp;$C45&amp;", *")/$B45*100</f>
        <v>0</v>
      </c>
      <c r="AQ45" s="41">
        <f>COUNTIFS(集計用!$P:$P, "*"&amp;AQ$4&amp;",*",集計用!$G:$G,"*, "&amp;$C45&amp;", *")/$B45*100</f>
        <v>0</v>
      </c>
      <c r="AR45" s="41">
        <f>COUNTIFS(集計用!$P:$P, "*"&amp;AR$4&amp;",*",集計用!$G:$G,"*, "&amp;$C45&amp;", *")/$B45*100</f>
        <v>0</v>
      </c>
      <c r="AS45" s="41">
        <f>COUNTIFS(集計用!$P:$P, "*"&amp;AS$4&amp;",*",集計用!$G:$G,"*, "&amp;$C45&amp;", *")/$B45*100</f>
        <v>0</v>
      </c>
      <c r="AT45" s="41">
        <f>COUNTIFS(集計用!$P:$P, "*"&amp;AT$4&amp;",*",集計用!$G:$G,"*, "&amp;$C45&amp;", *")/$B45*100</f>
        <v>0</v>
      </c>
      <c r="AU45" s="41">
        <f>COUNTIFS(集計用!$P:$P, "*"&amp;AU$4&amp;",*",集計用!$G:$G,"*, "&amp;$C45&amp;", *")/$B45*100</f>
        <v>0</v>
      </c>
      <c r="AV45" s="41">
        <f>COUNTIFS(集計用!$P:$P, "*"&amp;AV$4&amp;",*",集計用!$G:$G,"*, "&amp;$C45&amp;", *")/$B45*100</f>
        <v>0</v>
      </c>
      <c r="AW45" s="41">
        <f>COUNTIFS(集計用!$P:$P, "*"&amp;AW$4&amp;",*",集計用!$G:$G,"*, "&amp;$C45&amp;", *")/$B45*100</f>
        <v>0</v>
      </c>
      <c r="AX45" s="41">
        <f>COUNTIFS(集計用!$P:$P, "*"&amp;AX$4&amp;",*",集計用!$G:$G,"*, "&amp;$C45&amp;", *")/$B45*100</f>
        <v>0</v>
      </c>
      <c r="AY45" s="41">
        <f>COUNTIFS(集計用!$P:$P, "*"&amp;AY$4&amp;",*",集計用!$G:$G,"*, "&amp;$C45&amp;", *")/$B45*100</f>
        <v>0</v>
      </c>
      <c r="AZ45" s="41">
        <f>COUNTIFS(集計用!$P:$P, "*"&amp;AZ$4&amp;",*",集計用!$G:$G,"*, "&amp;$C45&amp;", *")/$B45*100</f>
        <v>0</v>
      </c>
      <c r="BA45" s="41">
        <f>COUNTIFS(集計用!$P:$P, "*"&amp;BA$4&amp;",*",集計用!$G:$G,"*, "&amp;$C45&amp;", *")/$B45*100</f>
        <v>0</v>
      </c>
      <c r="BB45" s="41">
        <f>COUNTIFS(集計用!$P:$P, "*"&amp;BB$4&amp;",*",集計用!$G:$G,"*, "&amp;$C45&amp;", *")/$B45*100</f>
        <v>0</v>
      </c>
      <c r="BC45" s="41"/>
      <c r="BD45" s="41"/>
      <c r="BE45" s="41"/>
      <c r="BF45" s="41"/>
      <c r="BG45" s="41"/>
      <c r="BH45" s="41"/>
      <c r="BI45" s="41"/>
      <c r="BJ45" s="41"/>
      <c r="BK45" s="41"/>
      <c r="BL45" s="41"/>
      <c r="BM45" s="41"/>
      <c r="BN45" s="41"/>
      <c r="BO45" s="41"/>
      <c r="BP45" s="41"/>
      <c r="BQ45" s="41"/>
      <c r="BR45" s="41"/>
      <c r="BS45" s="41"/>
    </row>
    <row r="46" spans="1:71" ht="14.25" customHeight="1">
      <c r="A46" s="39">
        <v>4</v>
      </c>
      <c r="B46" s="39">
        <f>(COUNTIFS(集計用!$G:$G,"*, "&amp;$C46&amp;",*",集計用!$Q:$Q,"&lt;&gt;無回答"))</f>
        <v>9</v>
      </c>
      <c r="C46" s="42" t="s">
        <v>40</v>
      </c>
      <c r="D46" s="41">
        <f>COUNTIFS(集計用!$P:$P, "*"&amp;D$4&amp;",*",集計用!$G:$G,"*, "&amp;$C46&amp;", *")/$B46*100</f>
        <v>0</v>
      </c>
      <c r="E46" s="41">
        <f>COUNTIFS(集計用!$P:$P, "*"&amp;E$4&amp;",*",集計用!$G:$G,"*, "&amp;$C46&amp;", *")/$B46*100</f>
        <v>0</v>
      </c>
      <c r="F46" s="41">
        <f>COUNTIFS(集計用!$P:$P, "*"&amp;F$4&amp;",*",集計用!$G:$G,"*, "&amp;$C46&amp;", *")/$B46*100</f>
        <v>0</v>
      </c>
      <c r="G46" s="41">
        <f>COUNTIFS(集計用!$P:$P, "*"&amp;G$4&amp;",*",集計用!$G:$G,"*, "&amp;$C46&amp;", *")/$B46*100</f>
        <v>11.111111111111111</v>
      </c>
      <c r="H46" s="41">
        <f>COUNTIFS(集計用!$P:$P, "*"&amp;H$4&amp;",*",集計用!$G:$G,"*, "&amp;$C46&amp;", *")/$B46*100</f>
        <v>0</v>
      </c>
      <c r="I46" s="41">
        <f>COUNTIFS(集計用!$P:$P, "*"&amp;I$4&amp;",*",集計用!$G:$G,"*, "&amp;$C46&amp;", *")/$B46*100</f>
        <v>0</v>
      </c>
      <c r="J46" s="41">
        <f>COUNTIFS(集計用!$P:$P, "*"&amp;J$4&amp;",*",集計用!$G:$G,"*, "&amp;$C46&amp;", *")/$B46*100</f>
        <v>0</v>
      </c>
      <c r="K46" s="41">
        <f>COUNTIFS(集計用!$P:$P, "*"&amp;K$4&amp;",*",集計用!$G:$G,"*, "&amp;$C46&amp;", *")/$B46*100</f>
        <v>0</v>
      </c>
      <c r="L46" s="41">
        <f>COUNTIFS(集計用!$P:$P, "*"&amp;L$4&amp;",*",集計用!$G:$G,"*, "&amp;$C46&amp;", *")/$B46*100</f>
        <v>0</v>
      </c>
      <c r="M46" s="41">
        <f>COUNTIFS(集計用!$P:$P, "*"&amp;M$4&amp;",*",集計用!$G:$G,"*, "&amp;$C46&amp;", *")/$B46*100</f>
        <v>0</v>
      </c>
      <c r="N46" s="41">
        <f>COUNTIFS(集計用!$P:$P, "*"&amp;N$4&amp;",*",集計用!$G:$G,"*, "&amp;$C46&amp;", *")/$B46*100</f>
        <v>0</v>
      </c>
      <c r="O46" s="41">
        <f>COUNTIFS(集計用!$P:$P, "*"&amp;O$4&amp;",*",集計用!$G:$G,"*, "&amp;$C46&amp;", *")/$B46*100</f>
        <v>0</v>
      </c>
      <c r="P46" s="41">
        <f>COUNTIFS(集計用!$P:$P, "*"&amp;P$4&amp;",*",集計用!$G:$G,"*, "&amp;$C46&amp;", *")/$B46*100</f>
        <v>0</v>
      </c>
      <c r="Q46" s="41">
        <f>COUNTIFS(集計用!$P:$P, "*"&amp;Q$4&amp;",*",集計用!$G:$G,"*, "&amp;$C46&amp;", *")/$B46*100</f>
        <v>0</v>
      </c>
      <c r="R46" s="41">
        <f>COUNTIFS(集計用!$P:$P, "*"&amp;R$4&amp;",*",集計用!$G:$G,"*, "&amp;$C46&amp;", *")/$B46*100</f>
        <v>0</v>
      </c>
      <c r="S46" s="41">
        <f>COUNTIFS(集計用!$P:$P, "*"&amp;S$4&amp;",*",集計用!$G:$G,"*, "&amp;$C46&amp;", *")/$B46*100</f>
        <v>0</v>
      </c>
      <c r="T46" s="41">
        <f>COUNTIFS(集計用!$P:$P, "*"&amp;T$4&amp;",*",集計用!$G:$G,"*, "&amp;$C46&amp;", *")/$B46*100</f>
        <v>0</v>
      </c>
      <c r="U46" s="41">
        <f>COUNTIFS(集計用!$P:$P, "*"&amp;U$4&amp;",*",集計用!$G:$G,"*, "&amp;$C46&amp;", *")/$B46*100</f>
        <v>0</v>
      </c>
      <c r="V46" s="41">
        <f>COUNTIFS(集計用!$P:$P, "*"&amp;V$4&amp;",*",集計用!$G:$G,"*, "&amp;$C46&amp;", *")/$B46*100</f>
        <v>0</v>
      </c>
      <c r="W46" s="41">
        <f>COUNTIFS(集計用!$P:$P, "*"&amp;W$4&amp;",*",集計用!$G:$G,"*, "&amp;$C46&amp;", *")/$B46*100</f>
        <v>0</v>
      </c>
      <c r="X46" s="41">
        <f>COUNTIFS(集計用!$P:$P, "*"&amp;X$4&amp;",*",集計用!$G:$G,"*, "&amp;$C46&amp;", *")/$B46*100</f>
        <v>0</v>
      </c>
      <c r="Y46" s="41">
        <f>COUNTIFS(集計用!$P:$P, "*"&amp;Y$4&amp;",*",集計用!$G:$G,"*, "&amp;$C46&amp;", *")/$B46*100</f>
        <v>0</v>
      </c>
      <c r="Z46" s="41">
        <f>COUNTIFS(集計用!$P:$P, "*"&amp;Z$4&amp;",*",集計用!$G:$G,"*, "&amp;$C46&amp;", *")/$B46*100</f>
        <v>0</v>
      </c>
      <c r="AA46" s="41">
        <f>COUNTIFS(集計用!$P:$P, "*"&amp;AA$4&amp;",*",集計用!$G:$G,"*, "&amp;$C46&amp;", *")/$B46*100</f>
        <v>0</v>
      </c>
      <c r="AB46" s="41">
        <f>COUNTIFS(集計用!$P:$P, "*"&amp;AB$4&amp;",*",集計用!$G:$G,"*, "&amp;$C46&amp;", *")/$B46*100</f>
        <v>0</v>
      </c>
      <c r="AC46" s="41">
        <f>COUNTIFS(集計用!$P:$P, "*"&amp;AC$4&amp;",*",集計用!$G:$G,"*, "&amp;$C46&amp;", *")/$B46*100</f>
        <v>0</v>
      </c>
      <c r="AD46" s="41">
        <f>COUNTIFS(集計用!$P:$P, "*"&amp;AD$4&amp;",*",集計用!$G:$G,"*, "&amp;$C46&amp;", *")/$B46*100</f>
        <v>0</v>
      </c>
      <c r="AE46" s="41">
        <f>COUNTIFS(集計用!$P:$P, "*"&amp;AE$4&amp;",*",集計用!$G:$G,"*, "&amp;$C46&amp;", *")/$B46*100</f>
        <v>0</v>
      </c>
      <c r="AF46" s="41">
        <f>COUNTIFS(集計用!$P:$P, "*"&amp;AF$4&amp;",*",集計用!$G:$G,"*, "&amp;$C46&amp;", *")/$B46*100</f>
        <v>0</v>
      </c>
      <c r="AG46" s="41">
        <f>COUNTIFS(集計用!$P:$P, "*"&amp;AG$4&amp;",*",集計用!$G:$G,"*, "&amp;$C46&amp;", *")/$B46*100</f>
        <v>0</v>
      </c>
      <c r="AH46" s="41">
        <f>COUNTIFS(集計用!$P:$P, "*"&amp;AH$4&amp;",*",集計用!$G:$G,"*, "&amp;$C46&amp;", *")/$B46*100</f>
        <v>0</v>
      </c>
      <c r="AI46" s="41">
        <f>COUNTIFS(集計用!$P:$P, "*"&amp;AI$4&amp;",*",集計用!$G:$G,"*, "&amp;$C46&amp;", *")/$B46*100</f>
        <v>0</v>
      </c>
      <c r="AJ46" s="41">
        <f>COUNTIFS(集計用!$P:$P, "*"&amp;AJ$4&amp;",*",集計用!$G:$G,"*, "&amp;$C46&amp;", *")/$B46*100</f>
        <v>0</v>
      </c>
      <c r="AK46" s="41">
        <f>COUNTIFS(集計用!$P:$P, "*"&amp;AK$4&amp;",*",集計用!$G:$G,"*, "&amp;$C46&amp;", *")/$B46*100</f>
        <v>11.111111111111111</v>
      </c>
      <c r="AL46" s="41">
        <f>COUNTIFS(集計用!$P:$P, "*"&amp;AL$4&amp;",*",集計用!$G:$G,"*, "&amp;$C46&amp;", *")/$B46*100</f>
        <v>0</v>
      </c>
      <c r="AM46" s="41">
        <f>COUNTIFS(集計用!$P:$P, "*"&amp;AM$4&amp;",*",集計用!$G:$G,"*, "&amp;$C46&amp;", *")/$B46*100</f>
        <v>0</v>
      </c>
      <c r="AN46" s="41">
        <f>COUNTIFS(集計用!$P:$P, "*"&amp;AN$4&amp;",*",集計用!$G:$G,"*, "&amp;$C46&amp;", *")/$B46*100</f>
        <v>0</v>
      </c>
      <c r="AO46" s="41">
        <f>COUNTIFS(集計用!$P:$P, "*"&amp;AO$4&amp;",*",集計用!$G:$G,"*, "&amp;$C46&amp;", *")/$B46*100</f>
        <v>0</v>
      </c>
      <c r="AP46" s="41">
        <f>COUNTIFS(集計用!$P:$P, "*"&amp;AP$4&amp;",*",集計用!$G:$G,"*, "&amp;$C46&amp;", *")/$B46*100</f>
        <v>0</v>
      </c>
      <c r="AQ46" s="41">
        <f>COUNTIFS(集計用!$P:$P, "*"&amp;AQ$4&amp;",*",集計用!$G:$G,"*, "&amp;$C46&amp;", *")/$B46*100</f>
        <v>0</v>
      </c>
      <c r="AR46" s="41">
        <f>COUNTIFS(集計用!$P:$P, "*"&amp;AR$4&amp;",*",集計用!$G:$G,"*, "&amp;$C46&amp;", *")/$B46*100</f>
        <v>0</v>
      </c>
      <c r="AS46" s="41">
        <f>COUNTIFS(集計用!$P:$P, "*"&amp;AS$4&amp;",*",集計用!$G:$G,"*, "&amp;$C46&amp;", *")/$B46*100</f>
        <v>0</v>
      </c>
      <c r="AT46" s="41">
        <f>COUNTIFS(集計用!$P:$P, "*"&amp;AT$4&amp;",*",集計用!$G:$G,"*, "&amp;$C46&amp;", *")/$B46*100</f>
        <v>0</v>
      </c>
      <c r="AU46" s="41">
        <f>COUNTIFS(集計用!$P:$P, "*"&amp;AU$4&amp;",*",集計用!$G:$G,"*, "&amp;$C46&amp;", *")/$B46*100</f>
        <v>0</v>
      </c>
      <c r="AV46" s="41">
        <f>COUNTIFS(集計用!$P:$P, "*"&amp;AV$4&amp;",*",集計用!$G:$G,"*, "&amp;$C46&amp;", *")/$B46*100</f>
        <v>0</v>
      </c>
      <c r="AW46" s="41">
        <f>COUNTIFS(集計用!$P:$P, "*"&amp;AW$4&amp;",*",集計用!$G:$G,"*, "&amp;$C46&amp;", *")/$B46*100</f>
        <v>0</v>
      </c>
      <c r="AX46" s="41">
        <f>COUNTIFS(集計用!$P:$P, "*"&amp;AX$4&amp;",*",集計用!$G:$G,"*, "&amp;$C46&amp;", *")/$B46*100</f>
        <v>0</v>
      </c>
      <c r="AY46" s="41">
        <f>COUNTIFS(集計用!$P:$P, "*"&amp;AY$4&amp;",*",集計用!$G:$G,"*, "&amp;$C46&amp;", *")/$B46*100</f>
        <v>0</v>
      </c>
      <c r="AZ46" s="41">
        <f>COUNTIFS(集計用!$P:$P, "*"&amp;AZ$4&amp;",*",集計用!$G:$G,"*, "&amp;$C46&amp;", *")/$B46*100</f>
        <v>0</v>
      </c>
      <c r="BA46" s="41">
        <f>COUNTIFS(集計用!$P:$P, "*"&amp;BA$4&amp;",*",集計用!$G:$G,"*, "&amp;$C46&amp;", *")/$B46*100</f>
        <v>0</v>
      </c>
      <c r="BB46" s="41">
        <f>COUNTIFS(集計用!$P:$P, "*"&amp;BB$4&amp;",*",集計用!$G:$G,"*, "&amp;$C46&amp;", *")/$B46*100</f>
        <v>0</v>
      </c>
      <c r="BC46" s="41"/>
      <c r="BD46" s="41"/>
      <c r="BE46" s="41"/>
      <c r="BF46" s="41"/>
      <c r="BG46" s="41"/>
      <c r="BH46" s="41"/>
      <c r="BI46" s="41"/>
      <c r="BJ46" s="41"/>
      <c r="BK46" s="41"/>
      <c r="BL46" s="41"/>
      <c r="BM46" s="41"/>
      <c r="BN46" s="41"/>
      <c r="BO46" s="41"/>
      <c r="BP46" s="41"/>
      <c r="BQ46" s="41"/>
      <c r="BR46" s="41"/>
      <c r="BS46" s="41"/>
    </row>
    <row r="47" spans="1:71" ht="14.25" customHeight="1">
      <c r="A47" s="39">
        <v>6</v>
      </c>
      <c r="B47" s="39">
        <f>(COUNTIFS(集計用!$G:$G,"*, "&amp;$C47&amp;",*",集計用!$Q:$Q,"&lt;&gt;無回答"))</f>
        <v>9</v>
      </c>
      <c r="C47" s="42" t="s">
        <v>41</v>
      </c>
      <c r="D47" s="41">
        <f>COUNTIFS(集計用!$P:$P, "*"&amp;D$4&amp;",*",集計用!$G:$G,"*, "&amp;$C47&amp;", *")/$B47*100</f>
        <v>11.111111111111111</v>
      </c>
      <c r="E47" s="41">
        <f>COUNTIFS(集計用!$P:$P, "*"&amp;E$4&amp;",*",集計用!$G:$G,"*, "&amp;$C47&amp;", *")/$B47*100</f>
        <v>0</v>
      </c>
      <c r="F47" s="41">
        <f>COUNTIFS(集計用!$P:$P, "*"&amp;F$4&amp;",*",集計用!$G:$G,"*, "&amp;$C47&amp;", *")/$B47*100</f>
        <v>0</v>
      </c>
      <c r="G47" s="41">
        <f>COUNTIFS(集計用!$P:$P, "*"&amp;G$4&amp;",*",集計用!$G:$G,"*, "&amp;$C47&amp;", *")/$B47*100</f>
        <v>0</v>
      </c>
      <c r="H47" s="41">
        <f>COUNTIFS(集計用!$P:$P, "*"&amp;H$4&amp;",*",集計用!$G:$G,"*, "&amp;$C47&amp;", *")/$B47*100</f>
        <v>0</v>
      </c>
      <c r="I47" s="41">
        <f>COUNTIFS(集計用!$P:$P, "*"&amp;I$4&amp;",*",集計用!$G:$G,"*, "&amp;$C47&amp;", *")/$B47*100</f>
        <v>0</v>
      </c>
      <c r="J47" s="41">
        <f>COUNTIFS(集計用!$P:$P, "*"&amp;J$4&amp;",*",集計用!$G:$G,"*, "&amp;$C47&amp;", *")/$B47*100</f>
        <v>0</v>
      </c>
      <c r="K47" s="41">
        <f>COUNTIFS(集計用!$P:$P, "*"&amp;K$4&amp;",*",集計用!$G:$G,"*, "&amp;$C47&amp;", *")/$B47*100</f>
        <v>0</v>
      </c>
      <c r="L47" s="41">
        <f>COUNTIFS(集計用!$P:$P, "*"&amp;L$4&amp;",*",集計用!$G:$G,"*, "&amp;$C47&amp;", *")/$B47*100</f>
        <v>0</v>
      </c>
      <c r="M47" s="41">
        <f>COUNTIFS(集計用!$P:$P, "*"&amp;M$4&amp;",*",集計用!$G:$G,"*, "&amp;$C47&amp;", *")/$B47*100</f>
        <v>0</v>
      </c>
      <c r="N47" s="41">
        <f>COUNTIFS(集計用!$P:$P, "*"&amp;N$4&amp;",*",集計用!$G:$G,"*, "&amp;$C47&amp;", *")/$B47*100</f>
        <v>0</v>
      </c>
      <c r="O47" s="41">
        <f>COUNTIFS(集計用!$P:$P, "*"&amp;O$4&amp;",*",集計用!$G:$G,"*, "&amp;$C47&amp;", *")/$B47*100</f>
        <v>0</v>
      </c>
      <c r="P47" s="41">
        <f>COUNTIFS(集計用!$P:$P, "*"&amp;P$4&amp;",*",集計用!$G:$G,"*, "&amp;$C47&amp;", *")/$B47*100</f>
        <v>0</v>
      </c>
      <c r="Q47" s="41">
        <f>COUNTIFS(集計用!$P:$P, "*"&amp;Q$4&amp;",*",集計用!$G:$G,"*, "&amp;$C47&amp;", *")/$B47*100</f>
        <v>0</v>
      </c>
      <c r="R47" s="41">
        <f>COUNTIFS(集計用!$P:$P, "*"&amp;R$4&amp;",*",集計用!$G:$G,"*, "&amp;$C47&amp;", *")/$B47*100</f>
        <v>0</v>
      </c>
      <c r="S47" s="41">
        <f>COUNTIFS(集計用!$P:$P, "*"&amp;S$4&amp;",*",集計用!$G:$G,"*, "&amp;$C47&amp;", *")/$B47*100</f>
        <v>0</v>
      </c>
      <c r="T47" s="41">
        <f>COUNTIFS(集計用!$P:$P, "*"&amp;T$4&amp;",*",集計用!$G:$G,"*, "&amp;$C47&amp;", *")/$B47*100</f>
        <v>0</v>
      </c>
      <c r="U47" s="41">
        <f>COUNTIFS(集計用!$P:$P, "*"&amp;U$4&amp;",*",集計用!$G:$G,"*, "&amp;$C47&amp;", *")/$B47*100</f>
        <v>0</v>
      </c>
      <c r="V47" s="41">
        <f>COUNTIFS(集計用!$P:$P, "*"&amp;V$4&amp;",*",集計用!$G:$G,"*, "&amp;$C47&amp;", *")/$B47*100</f>
        <v>0</v>
      </c>
      <c r="W47" s="41">
        <f>COUNTIFS(集計用!$P:$P, "*"&amp;W$4&amp;",*",集計用!$G:$G,"*, "&amp;$C47&amp;", *")/$B47*100</f>
        <v>0</v>
      </c>
      <c r="X47" s="41">
        <f>COUNTIFS(集計用!$P:$P, "*"&amp;X$4&amp;",*",集計用!$G:$G,"*, "&amp;$C47&amp;", *")/$B47*100</f>
        <v>0</v>
      </c>
      <c r="Y47" s="41">
        <f>COUNTIFS(集計用!$P:$P, "*"&amp;Y$4&amp;",*",集計用!$G:$G,"*, "&amp;$C47&amp;", *")/$B47*100</f>
        <v>0</v>
      </c>
      <c r="Z47" s="41">
        <f>COUNTIFS(集計用!$P:$P, "*"&amp;Z$4&amp;",*",集計用!$G:$G,"*, "&amp;$C47&amp;", *")/$B47*100</f>
        <v>0</v>
      </c>
      <c r="AA47" s="41">
        <f>COUNTIFS(集計用!$P:$P, "*"&amp;AA$4&amp;",*",集計用!$G:$G,"*, "&amp;$C47&amp;", *")/$B47*100</f>
        <v>0</v>
      </c>
      <c r="AB47" s="41">
        <f>COUNTIFS(集計用!$P:$P, "*"&amp;AB$4&amp;",*",集計用!$G:$G,"*, "&amp;$C47&amp;", *")/$B47*100</f>
        <v>0</v>
      </c>
      <c r="AC47" s="41">
        <f>COUNTIFS(集計用!$P:$P, "*"&amp;AC$4&amp;",*",集計用!$G:$G,"*, "&amp;$C47&amp;", *")/$B47*100</f>
        <v>0</v>
      </c>
      <c r="AD47" s="41">
        <f>COUNTIFS(集計用!$P:$P, "*"&amp;AD$4&amp;",*",集計用!$G:$G,"*, "&amp;$C47&amp;", *")/$B47*100</f>
        <v>0</v>
      </c>
      <c r="AE47" s="41">
        <f>COUNTIFS(集計用!$P:$P, "*"&amp;AE$4&amp;",*",集計用!$G:$G,"*, "&amp;$C47&amp;", *")/$B47*100</f>
        <v>0</v>
      </c>
      <c r="AF47" s="41">
        <f>COUNTIFS(集計用!$P:$P, "*"&amp;AF$4&amp;",*",集計用!$G:$G,"*, "&amp;$C47&amp;", *")/$B47*100</f>
        <v>0</v>
      </c>
      <c r="AG47" s="41">
        <f>COUNTIFS(集計用!$P:$P, "*"&amp;AG$4&amp;",*",集計用!$G:$G,"*, "&amp;$C47&amp;", *")/$B47*100</f>
        <v>0</v>
      </c>
      <c r="AH47" s="41">
        <f>COUNTIFS(集計用!$P:$P, "*"&amp;AH$4&amp;",*",集計用!$G:$G,"*, "&amp;$C47&amp;", *")/$B47*100</f>
        <v>0</v>
      </c>
      <c r="AI47" s="41">
        <f>COUNTIFS(集計用!$P:$P, "*"&amp;AI$4&amp;",*",集計用!$G:$G,"*, "&amp;$C47&amp;", *")/$B47*100</f>
        <v>0</v>
      </c>
      <c r="AJ47" s="41">
        <f>COUNTIFS(集計用!$P:$P, "*"&amp;AJ$4&amp;",*",集計用!$G:$G,"*, "&amp;$C47&amp;", *")/$B47*100</f>
        <v>0</v>
      </c>
      <c r="AK47" s="41">
        <f>COUNTIFS(集計用!$P:$P, "*"&amp;AK$4&amp;",*",集計用!$G:$G,"*, "&amp;$C47&amp;", *")/$B47*100</f>
        <v>0</v>
      </c>
      <c r="AL47" s="41">
        <f>COUNTIFS(集計用!$P:$P, "*"&amp;AL$4&amp;",*",集計用!$G:$G,"*, "&amp;$C47&amp;", *")/$B47*100</f>
        <v>0</v>
      </c>
      <c r="AM47" s="41">
        <f>COUNTIFS(集計用!$P:$P, "*"&amp;AM$4&amp;",*",集計用!$G:$G,"*, "&amp;$C47&amp;", *")/$B47*100</f>
        <v>0</v>
      </c>
      <c r="AN47" s="41">
        <f>COUNTIFS(集計用!$P:$P, "*"&amp;AN$4&amp;",*",集計用!$G:$G,"*, "&amp;$C47&amp;", *")/$B47*100</f>
        <v>0</v>
      </c>
      <c r="AO47" s="41">
        <f>COUNTIFS(集計用!$P:$P, "*"&amp;AO$4&amp;",*",集計用!$G:$G,"*, "&amp;$C47&amp;", *")/$B47*100</f>
        <v>0</v>
      </c>
      <c r="AP47" s="41">
        <f>COUNTIFS(集計用!$P:$P, "*"&amp;AP$4&amp;",*",集計用!$G:$G,"*, "&amp;$C47&amp;", *")/$B47*100</f>
        <v>0</v>
      </c>
      <c r="AQ47" s="41">
        <f>COUNTIFS(集計用!$P:$P, "*"&amp;AQ$4&amp;",*",集計用!$G:$G,"*, "&amp;$C47&amp;", *")/$B47*100</f>
        <v>0</v>
      </c>
      <c r="AR47" s="41">
        <f>COUNTIFS(集計用!$P:$P, "*"&amp;AR$4&amp;",*",集計用!$G:$G,"*, "&amp;$C47&amp;", *")/$B47*100</f>
        <v>0</v>
      </c>
      <c r="AS47" s="41">
        <f>COUNTIFS(集計用!$P:$P, "*"&amp;AS$4&amp;",*",集計用!$G:$G,"*, "&amp;$C47&amp;", *")/$B47*100</f>
        <v>0</v>
      </c>
      <c r="AT47" s="41">
        <f>COUNTIFS(集計用!$P:$P, "*"&amp;AT$4&amp;",*",集計用!$G:$G,"*, "&amp;$C47&amp;", *")/$B47*100</f>
        <v>0</v>
      </c>
      <c r="AU47" s="41">
        <f>COUNTIFS(集計用!$P:$P, "*"&amp;AU$4&amp;",*",集計用!$G:$G,"*, "&amp;$C47&amp;", *")/$B47*100</f>
        <v>0</v>
      </c>
      <c r="AV47" s="41">
        <f>COUNTIFS(集計用!$P:$P, "*"&amp;AV$4&amp;",*",集計用!$G:$G,"*, "&amp;$C47&amp;", *")/$B47*100</f>
        <v>0</v>
      </c>
      <c r="AW47" s="41">
        <f>COUNTIFS(集計用!$P:$P, "*"&amp;AW$4&amp;",*",集計用!$G:$G,"*, "&amp;$C47&amp;", *")/$B47*100</f>
        <v>0</v>
      </c>
      <c r="AX47" s="41">
        <f>COUNTIFS(集計用!$P:$P, "*"&amp;AX$4&amp;",*",集計用!$G:$G,"*, "&amp;$C47&amp;", *")/$B47*100</f>
        <v>0</v>
      </c>
      <c r="AY47" s="41">
        <f>COUNTIFS(集計用!$P:$P, "*"&amp;AY$4&amp;",*",集計用!$G:$G,"*, "&amp;$C47&amp;", *")/$B47*100</f>
        <v>0</v>
      </c>
      <c r="AZ47" s="41">
        <f>COUNTIFS(集計用!$P:$P, "*"&amp;AZ$4&amp;",*",集計用!$G:$G,"*, "&amp;$C47&amp;", *")/$B47*100</f>
        <v>0</v>
      </c>
      <c r="BA47" s="41">
        <f>COUNTIFS(集計用!$P:$P, "*"&amp;BA$4&amp;",*",集計用!$G:$G,"*, "&amp;$C47&amp;", *")/$B47*100</f>
        <v>0</v>
      </c>
      <c r="BB47" s="41">
        <f>COUNTIFS(集計用!$P:$P, "*"&amp;BB$4&amp;",*",集計用!$G:$G,"*, "&amp;$C47&amp;", *")/$B47*100</f>
        <v>0</v>
      </c>
      <c r="BC47" s="41"/>
      <c r="BD47" s="41"/>
      <c r="BE47" s="41"/>
      <c r="BF47" s="41"/>
      <c r="BG47" s="41"/>
      <c r="BH47" s="41"/>
      <c r="BI47" s="41"/>
      <c r="BJ47" s="41"/>
      <c r="BK47" s="41"/>
      <c r="BL47" s="41"/>
      <c r="BM47" s="41"/>
      <c r="BN47" s="41"/>
      <c r="BO47" s="41"/>
      <c r="BP47" s="41"/>
      <c r="BQ47" s="41"/>
      <c r="BR47" s="41"/>
      <c r="BS47" s="41"/>
    </row>
    <row r="48" spans="1:71" ht="12.75">
      <c r="A48" s="39">
        <v>4</v>
      </c>
      <c r="B48" s="39">
        <f>(COUNTIFS(集計用!$G:$G,"*, "&amp;$C48&amp;",*",集計用!$Q:$Q,"&lt;&gt;無回答"))</f>
        <v>8</v>
      </c>
      <c r="C48" s="42" t="s">
        <v>44</v>
      </c>
      <c r="D48" s="41">
        <f>COUNTIFS(集計用!$P:$P, "*"&amp;D$4&amp;",*",集計用!$G:$G,"*, "&amp;$C48&amp;", *")/$B48*100</f>
        <v>12.5</v>
      </c>
      <c r="E48" s="41">
        <f>COUNTIFS(集計用!$P:$P, "*"&amp;E$4&amp;",*",集計用!$G:$G,"*, "&amp;$C48&amp;", *")/$B48*100</f>
        <v>0</v>
      </c>
      <c r="F48" s="41">
        <f>COUNTIFS(集計用!$P:$P, "*"&amp;F$4&amp;",*",集計用!$G:$G,"*, "&amp;$C48&amp;", *")/$B48*100</f>
        <v>12.5</v>
      </c>
      <c r="G48" s="41">
        <f>COUNTIFS(集計用!$P:$P, "*"&amp;G$4&amp;",*",集計用!$G:$G,"*, "&amp;$C48&amp;", *")/$B48*100</f>
        <v>0</v>
      </c>
      <c r="H48" s="41">
        <f>COUNTIFS(集計用!$P:$P, "*"&amp;H$4&amp;",*",集計用!$G:$G,"*, "&amp;$C48&amp;", *")/$B48*100</f>
        <v>0</v>
      </c>
      <c r="I48" s="41">
        <f>COUNTIFS(集計用!$P:$P, "*"&amp;I$4&amp;",*",集計用!$G:$G,"*, "&amp;$C48&amp;", *")/$B48*100</f>
        <v>0</v>
      </c>
      <c r="J48" s="41">
        <f>COUNTIFS(集計用!$P:$P, "*"&amp;J$4&amp;",*",集計用!$G:$G,"*, "&amp;$C48&amp;", *")/$B48*100</f>
        <v>0</v>
      </c>
      <c r="K48" s="41">
        <f>COUNTIFS(集計用!$P:$P, "*"&amp;K$4&amp;",*",集計用!$G:$G,"*, "&amp;$C48&amp;", *")/$B48*100</f>
        <v>0</v>
      </c>
      <c r="L48" s="41">
        <f>COUNTIFS(集計用!$P:$P, "*"&amp;L$4&amp;",*",集計用!$G:$G,"*, "&amp;$C48&amp;", *")/$B48*100</f>
        <v>0</v>
      </c>
      <c r="M48" s="41">
        <f>COUNTIFS(集計用!$P:$P, "*"&amp;M$4&amp;",*",集計用!$G:$G,"*, "&amp;$C48&amp;", *")/$B48*100</f>
        <v>0</v>
      </c>
      <c r="N48" s="41">
        <f>COUNTIFS(集計用!$P:$P, "*"&amp;N$4&amp;",*",集計用!$G:$G,"*, "&amp;$C48&amp;", *")/$B48*100</f>
        <v>0</v>
      </c>
      <c r="O48" s="41">
        <f>COUNTIFS(集計用!$P:$P, "*"&amp;O$4&amp;",*",集計用!$G:$G,"*, "&amp;$C48&amp;", *")/$B48*100</f>
        <v>0</v>
      </c>
      <c r="P48" s="41">
        <f>COUNTIFS(集計用!$P:$P, "*"&amp;P$4&amp;",*",集計用!$G:$G,"*, "&amp;$C48&amp;", *")/$B48*100</f>
        <v>0</v>
      </c>
      <c r="Q48" s="41">
        <f>COUNTIFS(集計用!$P:$P, "*"&amp;Q$4&amp;",*",集計用!$G:$G,"*, "&amp;$C48&amp;", *")/$B48*100</f>
        <v>0</v>
      </c>
      <c r="R48" s="41">
        <f>COUNTIFS(集計用!$P:$P, "*"&amp;R$4&amp;",*",集計用!$G:$G,"*, "&amp;$C48&amp;", *")/$B48*100</f>
        <v>0</v>
      </c>
      <c r="S48" s="41">
        <f>COUNTIFS(集計用!$P:$P, "*"&amp;S$4&amp;",*",集計用!$G:$G,"*, "&amp;$C48&amp;", *")/$B48*100</f>
        <v>0</v>
      </c>
      <c r="T48" s="41">
        <f>COUNTIFS(集計用!$P:$P, "*"&amp;T$4&amp;",*",集計用!$G:$G,"*, "&amp;$C48&amp;", *")/$B48*100</f>
        <v>0</v>
      </c>
      <c r="U48" s="41">
        <f>COUNTIFS(集計用!$P:$P, "*"&amp;U$4&amp;",*",集計用!$G:$G,"*, "&amp;$C48&amp;", *")/$B48*100</f>
        <v>0</v>
      </c>
      <c r="V48" s="41">
        <f>COUNTIFS(集計用!$P:$P, "*"&amp;V$4&amp;",*",集計用!$G:$G,"*, "&amp;$C48&amp;", *")/$B48*100</f>
        <v>0</v>
      </c>
      <c r="W48" s="41">
        <f>COUNTIFS(集計用!$P:$P, "*"&amp;W$4&amp;",*",集計用!$G:$G,"*, "&amp;$C48&amp;", *")/$B48*100</f>
        <v>0</v>
      </c>
      <c r="X48" s="41">
        <f>COUNTIFS(集計用!$P:$P, "*"&amp;X$4&amp;",*",集計用!$G:$G,"*, "&amp;$C48&amp;", *")/$B48*100</f>
        <v>0</v>
      </c>
      <c r="Y48" s="41">
        <f>COUNTIFS(集計用!$P:$P, "*"&amp;Y$4&amp;",*",集計用!$G:$G,"*, "&amp;$C48&amp;", *")/$B48*100</f>
        <v>0</v>
      </c>
      <c r="Z48" s="41">
        <f>COUNTIFS(集計用!$P:$P, "*"&amp;Z$4&amp;",*",集計用!$G:$G,"*, "&amp;$C48&amp;", *")/$B48*100</f>
        <v>0</v>
      </c>
      <c r="AA48" s="41">
        <f>COUNTIFS(集計用!$P:$P, "*"&amp;AA$4&amp;",*",集計用!$G:$G,"*, "&amp;$C48&amp;", *")/$B48*100</f>
        <v>0</v>
      </c>
      <c r="AB48" s="41">
        <f>COUNTIFS(集計用!$P:$P, "*"&amp;AB$4&amp;",*",集計用!$G:$G,"*, "&amp;$C48&amp;", *")/$B48*100</f>
        <v>0</v>
      </c>
      <c r="AC48" s="41">
        <f>COUNTIFS(集計用!$P:$P, "*"&amp;AC$4&amp;",*",集計用!$G:$G,"*, "&amp;$C48&amp;", *")/$B48*100</f>
        <v>0</v>
      </c>
      <c r="AD48" s="41">
        <f>COUNTIFS(集計用!$P:$P, "*"&amp;AD$4&amp;",*",集計用!$G:$G,"*, "&amp;$C48&amp;", *")/$B48*100</f>
        <v>0</v>
      </c>
      <c r="AE48" s="41">
        <f>COUNTIFS(集計用!$P:$P, "*"&amp;AE$4&amp;",*",集計用!$G:$G,"*, "&amp;$C48&amp;", *")/$B48*100</f>
        <v>0</v>
      </c>
      <c r="AF48" s="41">
        <f>COUNTIFS(集計用!$P:$P, "*"&amp;AF$4&amp;",*",集計用!$G:$G,"*, "&amp;$C48&amp;", *")/$B48*100</f>
        <v>0</v>
      </c>
      <c r="AG48" s="41">
        <f>COUNTIFS(集計用!$P:$P, "*"&amp;AG$4&amp;",*",集計用!$G:$G,"*, "&amp;$C48&amp;", *")/$B48*100</f>
        <v>0</v>
      </c>
      <c r="AH48" s="41">
        <f>COUNTIFS(集計用!$P:$P, "*"&amp;AH$4&amp;",*",集計用!$G:$G,"*, "&amp;$C48&amp;", *")/$B48*100</f>
        <v>0</v>
      </c>
      <c r="AI48" s="41">
        <f>COUNTIFS(集計用!$P:$P, "*"&amp;AI$4&amp;",*",集計用!$G:$G,"*, "&amp;$C48&amp;", *")/$B48*100</f>
        <v>0</v>
      </c>
      <c r="AJ48" s="41">
        <f>COUNTIFS(集計用!$P:$P, "*"&amp;AJ$4&amp;",*",集計用!$G:$G,"*, "&amp;$C48&amp;", *")/$B48*100</f>
        <v>0</v>
      </c>
      <c r="AK48" s="41">
        <f>COUNTIFS(集計用!$P:$P, "*"&amp;AK$4&amp;",*",集計用!$G:$G,"*, "&amp;$C48&amp;", *")/$B48*100</f>
        <v>0</v>
      </c>
      <c r="AL48" s="41">
        <f>COUNTIFS(集計用!$P:$P, "*"&amp;AL$4&amp;",*",集計用!$G:$G,"*, "&amp;$C48&amp;", *")/$B48*100</f>
        <v>0</v>
      </c>
      <c r="AM48" s="41">
        <f>COUNTIFS(集計用!$P:$P, "*"&amp;AM$4&amp;",*",集計用!$G:$G,"*, "&amp;$C48&amp;", *")/$B48*100</f>
        <v>0</v>
      </c>
      <c r="AN48" s="41">
        <f>COUNTIFS(集計用!$P:$P, "*"&amp;AN$4&amp;",*",集計用!$G:$G,"*, "&amp;$C48&amp;", *")/$B48*100</f>
        <v>0</v>
      </c>
      <c r="AO48" s="41">
        <f>COUNTIFS(集計用!$P:$P, "*"&amp;AO$4&amp;",*",集計用!$G:$G,"*, "&amp;$C48&amp;", *")/$B48*100</f>
        <v>12.5</v>
      </c>
      <c r="AP48" s="41">
        <f>COUNTIFS(集計用!$P:$P, "*"&amp;AP$4&amp;",*",集計用!$G:$G,"*, "&amp;$C48&amp;", *")/$B48*100</f>
        <v>0</v>
      </c>
      <c r="AQ48" s="41">
        <f>COUNTIFS(集計用!$P:$P, "*"&amp;AQ$4&amp;",*",集計用!$G:$G,"*, "&amp;$C48&amp;", *")/$B48*100</f>
        <v>0</v>
      </c>
      <c r="AR48" s="41">
        <f>COUNTIFS(集計用!$P:$P, "*"&amp;AR$4&amp;",*",集計用!$G:$G,"*, "&amp;$C48&amp;", *")/$B48*100</f>
        <v>0</v>
      </c>
      <c r="AS48" s="41">
        <f>COUNTIFS(集計用!$P:$P, "*"&amp;AS$4&amp;",*",集計用!$G:$G,"*, "&amp;$C48&amp;", *")/$B48*100</f>
        <v>0</v>
      </c>
      <c r="AT48" s="41">
        <f>COUNTIFS(集計用!$P:$P, "*"&amp;AT$4&amp;",*",集計用!$G:$G,"*, "&amp;$C48&amp;", *")/$B48*100</f>
        <v>12.5</v>
      </c>
      <c r="AU48" s="41">
        <f>COUNTIFS(集計用!$P:$P, "*"&amp;AU$4&amp;",*",集計用!$G:$G,"*, "&amp;$C48&amp;", *")/$B48*100</f>
        <v>0</v>
      </c>
      <c r="AV48" s="41">
        <f>COUNTIFS(集計用!$P:$P, "*"&amp;AV$4&amp;",*",集計用!$G:$G,"*, "&amp;$C48&amp;", *")/$B48*100</f>
        <v>0</v>
      </c>
      <c r="AW48" s="41">
        <f>COUNTIFS(集計用!$P:$P, "*"&amp;AW$4&amp;",*",集計用!$G:$G,"*, "&amp;$C48&amp;", *")/$B48*100</f>
        <v>12.5</v>
      </c>
      <c r="AX48" s="41">
        <f>COUNTIFS(集計用!$P:$P, "*"&amp;AX$4&amp;",*",集計用!$G:$G,"*, "&amp;$C48&amp;", *")/$B48*100</f>
        <v>0</v>
      </c>
      <c r="AY48" s="41">
        <f>COUNTIFS(集計用!$P:$P, "*"&amp;AY$4&amp;",*",集計用!$G:$G,"*, "&amp;$C48&amp;", *")/$B48*100</f>
        <v>0</v>
      </c>
      <c r="AZ48" s="41">
        <f>COUNTIFS(集計用!$P:$P, "*"&amp;AZ$4&amp;",*",集計用!$G:$G,"*, "&amp;$C48&amp;", *")/$B48*100</f>
        <v>0</v>
      </c>
      <c r="BA48" s="41">
        <f>COUNTIFS(集計用!$P:$P, "*"&amp;BA$4&amp;",*",集計用!$G:$G,"*, "&amp;$C48&amp;", *")/$B48*100</f>
        <v>0</v>
      </c>
      <c r="BB48" s="41">
        <f>COUNTIFS(集計用!$P:$P, "*"&amp;BB$4&amp;",*",集計用!$G:$G,"*, "&amp;$C48&amp;", *")/$B48*100</f>
        <v>0</v>
      </c>
      <c r="BC48" s="41"/>
      <c r="BD48" s="41"/>
      <c r="BE48" s="41"/>
      <c r="BF48" s="41"/>
      <c r="BG48" s="41"/>
      <c r="BH48" s="41"/>
      <c r="BI48" s="41"/>
      <c r="BJ48" s="41"/>
      <c r="BK48" s="41"/>
      <c r="BL48" s="41"/>
      <c r="BM48" s="41"/>
      <c r="BN48" s="41"/>
      <c r="BO48" s="41"/>
      <c r="BP48" s="41"/>
      <c r="BQ48" s="41"/>
      <c r="BR48" s="41"/>
      <c r="BS48" s="41"/>
    </row>
    <row r="49" spans="1:71" ht="14.25" customHeight="1">
      <c r="A49" s="39">
        <v>4</v>
      </c>
      <c r="B49" s="39">
        <f>(COUNTIFS(集計用!$G:$G,"*, "&amp;$C49&amp;",*",集計用!$Q:$Q,"&lt;&gt;無回答"))</f>
        <v>8</v>
      </c>
      <c r="C49" s="42" t="s">
        <v>43</v>
      </c>
      <c r="D49" s="41">
        <f>COUNTIFS(集計用!$P:$P, "*"&amp;D$4&amp;",*",集計用!$G:$G,"*, "&amp;$C49&amp;", *")/$B49*100</f>
        <v>0</v>
      </c>
      <c r="E49" s="41">
        <f>COUNTIFS(集計用!$P:$P, "*"&amp;E$4&amp;",*",集計用!$G:$G,"*, "&amp;$C49&amp;", *")/$B49*100</f>
        <v>0</v>
      </c>
      <c r="F49" s="41">
        <f>COUNTIFS(集計用!$P:$P, "*"&amp;F$4&amp;",*",集計用!$G:$G,"*, "&amp;$C49&amp;", *")/$B49*100</f>
        <v>0</v>
      </c>
      <c r="G49" s="41">
        <f>COUNTIFS(集計用!$P:$P, "*"&amp;G$4&amp;",*",集計用!$G:$G,"*, "&amp;$C49&amp;", *")/$B49*100</f>
        <v>0</v>
      </c>
      <c r="H49" s="41">
        <f>COUNTIFS(集計用!$P:$P, "*"&amp;H$4&amp;",*",集計用!$G:$G,"*, "&amp;$C49&amp;", *")/$B49*100</f>
        <v>0</v>
      </c>
      <c r="I49" s="41">
        <f>COUNTIFS(集計用!$P:$P, "*"&amp;I$4&amp;",*",集計用!$G:$G,"*, "&amp;$C49&amp;", *")/$B49*100</f>
        <v>0</v>
      </c>
      <c r="J49" s="41">
        <f>COUNTIFS(集計用!$P:$P, "*"&amp;J$4&amp;",*",集計用!$G:$G,"*, "&amp;$C49&amp;", *")/$B49*100</f>
        <v>0</v>
      </c>
      <c r="K49" s="41">
        <f>COUNTIFS(集計用!$P:$P, "*"&amp;K$4&amp;",*",集計用!$G:$G,"*, "&amp;$C49&amp;", *")/$B49*100</f>
        <v>0</v>
      </c>
      <c r="L49" s="41">
        <f>COUNTIFS(集計用!$P:$P, "*"&amp;L$4&amp;",*",集計用!$G:$G,"*, "&amp;$C49&amp;", *")/$B49*100</f>
        <v>0</v>
      </c>
      <c r="M49" s="41">
        <f>COUNTIFS(集計用!$P:$P, "*"&amp;M$4&amp;",*",集計用!$G:$G,"*, "&amp;$C49&amp;", *")/$B49*100</f>
        <v>0</v>
      </c>
      <c r="N49" s="41">
        <f>COUNTIFS(集計用!$P:$P, "*"&amp;N$4&amp;",*",集計用!$G:$G,"*, "&amp;$C49&amp;", *")/$B49*100</f>
        <v>0</v>
      </c>
      <c r="O49" s="41">
        <f>COUNTIFS(集計用!$P:$P, "*"&amp;O$4&amp;",*",集計用!$G:$G,"*, "&amp;$C49&amp;", *")/$B49*100</f>
        <v>0</v>
      </c>
      <c r="P49" s="41">
        <f>COUNTIFS(集計用!$P:$P, "*"&amp;P$4&amp;",*",集計用!$G:$G,"*, "&amp;$C49&amp;", *")/$B49*100</f>
        <v>0</v>
      </c>
      <c r="Q49" s="41">
        <f>COUNTIFS(集計用!$P:$P, "*"&amp;Q$4&amp;",*",集計用!$G:$G,"*, "&amp;$C49&amp;", *")/$B49*100</f>
        <v>0</v>
      </c>
      <c r="R49" s="41">
        <f>COUNTIFS(集計用!$P:$P, "*"&amp;R$4&amp;",*",集計用!$G:$G,"*, "&amp;$C49&amp;", *")/$B49*100</f>
        <v>0</v>
      </c>
      <c r="S49" s="41">
        <f>COUNTIFS(集計用!$P:$P, "*"&amp;S$4&amp;",*",集計用!$G:$G,"*, "&amp;$C49&amp;", *")/$B49*100</f>
        <v>0</v>
      </c>
      <c r="T49" s="41">
        <f>COUNTIFS(集計用!$P:$P, "*"&amp;T$4&amp;",*",集計用!$G:$G,"*, "&amp;$C49&amp;", *")/$B49*100</f>
        <v>0</v>
      </c>
      <c r="U49" s="41">
        <f>COUNTIFS(集計用!$P:$P, "*"&amp;U$4&amp;",*",集計用!$G:$G,"*, "&amp;$C49&amp;", *")/$B49*100</f>
        <v>0</v>
      </c>
      <c r="V49" s="41">
        <f>COUNTIFS(集計用!$P:$P, "*"&amp;V$4&amp;",*",集計用!$G:$G,"*, "&amp;$C49&amp;", *")/$B49*100</f>
        <v>0</v>
      </c>
      <c r="W49" s="41">
        <f>COUNTIFS(集計用!$P:$P, "*"&amp;W$4&amp;",*",集計用!$G:$G,"*, "&amp;$C49&amp;", *")/$B49*100</f>
        <v>0</v>
      </c>
      <c r="X49" s="41">
        <f>COUNTIFS(集計用!$P:$P, "*"&amp;X$4&amp;",*",集計用!$G:$G,"*, "&amp;$C49&amp;", *")/$B49*100</f>
        <v>0</v>
      </c>
      <c r="Y49" s="41">
        <f>COUNTIFS(集計用!$P:$P, "*"&amp;Y$4&amp;",*",集計用!$G:$G,"*, "&amp;$C49&amp;", *")/$B49*100</f>
        <v>0</v>
      </c>
      <c r="Z49" s="41">
        <f>COUNTIFS(集計用!$P:$P, "*"&amp;Z$4&amp;",*",集計用!$G:$G,"*, "&amp;$C49&amp;", *")/$B49*100</f>
        <v>0</v>
      </c>
      <c r="AA49" s="41">
        <f>COUNTIFS(集計用!$P:$P, "*"&amp;AA$4&amp;",*",集計用!$G:$G,"*, "&amp;$C49&amp;", *")/$B49*100</f>
        <v>0</v>
      </c>
      <c r="AB49" s="41">
        <f>COUNTIFS(集計用!$P:$P, "*"&amp;AB$4&amp;",*",集計用!$G:$G,"*, "&amp;$C49&amp;", *")/$B49*100</f>
        <v>0</v>
      </c>
      <c r="AC49" s="41">
        <f>COUNTIFS(集計用!$P:$P, "*"&amp;AC$4&amp;",*",集計用!$G:$G,"*, "&amp;$C49&amp;", *")/$B49*100</f>
        <v>0</v>
      </c>
      <c r="AD49" s="41">
        <f>COUNTIFS(集計用!$P:$P, "*"&amp;AD$4&amp;",*",集計用!$G:$G,"*, "&amp;$C49&amp;", *")/$B49*100</f>
        <v>0</v>
      </c>
      <c r="AE49" s="41">
        <f>COUNTIFS(集計用!$P:$P, "*"&amp;AE$4&amp;",*",集計用!$G:$G,"*, "&amp;$C49&amp;", *")/$B49*100</f>
        <v>0</v>
      </c>
      <c r="AF49" s="41">
        <f>COUNTIFS(集計用!$P:$P, "*"&amp;AF$4&amp;",*",集計用!$G:$G,"*, "&amp;$C49&amp;", *")/$B49*100</f>
        <v>0</v>
      </c>
      <c r="AG49" s="41">
        <f>COUNTIFS(集計用!$P:$P, "*"&amp;AG$4&amp;",*",集計用!$G:$G,"*, "&amp;$C49&amp;", *")/$B49*100</f>
        <v>0</v>
      </c>
      <c r="AH49" s="41">
        <f>COUNTIFS(集計用!$P:$P, "*"&amp;AH$4&amp;",*",集計用!$G:$G,"*, "&amp;$C49&amp;", *")/$B49*100</f>
        <v>0</v>
      </c>
      <c r="AI49" s="41">
        <f>COUNTIFS(集計用!$P:$P, "*"&amp;AI$4&amp;",*",集計用!$G:$G,"*, "&amp;$C49&amp;", *")/$B49*100</f>
        <v>0</v>
      </c>
      <c r="AJ49" s="41">
        <f>COUNTIFS(集計用!$P:$P, "*"&amp;AJ$4&amp;",*",集計用!$G:$G,"*, "&amp;$C49&amp;", *")/$B49*100</f>
        <v>0</v>
      </c>
      <c r="AK49" s="41">
        <f>COUNTIFS(集計用!$P:$P, "*"&amp;AK$4&amp;",*",集計用!$G:$G,"*, "&amp;$C49&amp;", *")/$B49*100</f>
        <v>0</v>
      </c>
      <c r="AL49" s="41">
        <f>COUNTIFS(集計用!$P:$P, "*"&amp;AL$4&amp;",*",集計用!$G:$G,"*, "&amp;$C49&amp;", *")/$B49*100</f>
        <v>0</v>
      </c>
      <c r="AM49" s="41">
        <f>COUNTIFS(集計用!$P:$P, "*"&amp;AM$4&amp;",*",集計用!$G:$G,"*, "&amp;$C49&amp;", *")/$B49*100</f>
        <v>12.5</v>
      </c>
      <c r="AN49" s="41">
        <f>COUNTIFS(集計用!$P:$P, "*"&amp;AN$4&amp;",*",集計用!$G:$G,"*, "&amp;$C49&amp;", *")/$B49*100</f>
        <v>0</v>
      </c>
      <c r="AO49" s="41">
        <f>COUNTIFS(集計用!$P:$P, "*"&amp;AO$4&amp;",*",集計用!$G:$G,"*, "&amp;$C49&amp;", *")/$B49*100</f>
        <v>12.5</v>
      </c>
      <c r="AP49" s="41">
        <f>COUNTIFS(集計用!$P:$P, "*"&amp;AP$4&amp;",*",集計用!$G:$G,"*, "&amp;$C49&amp;", *")/$B49*100</f>
        <v>0</v>
      </c>
      <c r="AQ49" s="41">
        <f>COUNTIFS(集計用!$P:$P, "*"&amp;AQ$4&amp;",*",集計用!$G:$G,"*, "&amp;$C49&amp;", *")/$B49*100</f>
        <v>0</v>
      </c>
      <c r="AR49" s="41">
        <f>COUNTIFS(集計用!$P:$P, "*"&amp;AR$4&amp;",*",集計用!$G:$G,"*, "&amp;$C49&amp;", *")/$B49*100</f>
        <v>0</v>
      </c>
      <c r="AS49" s="41">
        <f>COUNTIFS(集計用!$P:$P, "*"&amp;AS$4&amp;",*",集計用!$G:$G,"*, "&amp;$C49&amp;", *")/$B49*100</f>
        <v>0</v>
      </c>
      <c r="AT49" s="41">
        <f>COUNTIFS(集計用!$P:$P, "*"&amp;AT$4&amp;",*",集計用!$G:$G,"*, "&amp;$C49&amp;", *")/$B49*100</f>
        <v>0</v>
      </c>
      <c r="AU49" s="41">
        <f>COUNTIFS(集計用!$P:$P, "*"&amp;AU$4&amp;",*",集計用!$G:$G,"*, "&amp;$C49&amp;", *")/$B49*100</f>
        <v>0</v>
      </c>
      <c r="AV49" s="41">
        <f>COUNTIFS(集計用!$P:$P, "*"&amp;AV$4&amp;",*",集計用!$G:$G,"*, "&amp;$C49&amp;", *")/$B49*100</f>
        <v>0</v>
      </c>
      <c r="AW49" s="41">
        <f>COUNTIFS(集計用!$P:$P, "*"&amp;AW$4&amp;",*",集計用!$G:$G,"*, "&amp;$C49&amp;", *")/$B49*100</f>
        <v>0</v>
      </c>
      <c r="AX49" s="41">
        <f>COUNTIFS(集計用!$P:$P, "*"&amp;AX$4&amp;",*",集計用!$G:$G,"*, "&amp;$C49&amp;", *")/$B49*100</f>
        <v>0</v>
      </c>
      <c r="AY49" s="41">
        <f>COUNTIFS(集計用!$P:$P, "*"&amp;AY$4&amp;",*",集計用!$G:$G,"*, "&amp;$C49&amp;", *")/$B49*100</f>
        <v>0</v>
      </c>
      <c r="AZ49" s="41">
        <f>COUNTIFS(集計用!$P:$P, "*"&amp;AZ$4&amp;",*",集計用!$G:$G,"*, "&amp;$C49&amp;", *")/$B49*100</f>
        <v>0</v>
      </c>
      <c r="BA49" s="41">
        <f>COUNTIFS(集計用!$P:$P, "*"&amp;BA$4&amp;",*",集計用!$G:$G,"*, "&amp;$C49&amp;", *")/$B49*100</f>
        <v>0</v>
      </c>
      <c r="BB49" s="41">
        <f>COUNTIFS(集計用!$P:$P, "*"&amp;BB$4&amp;",*",集計用!$G:$G,"*, "&amp;$C49&amp;", *")/$B49*100</f>
        <v>0</v>
      </c>
      <c r="BC49" s="41"/>
      <c r="BD49" s="41"/>
      <c r="BE49" s="41"/>
      <c r="BF49" s="41"/>
      <c r="BG49" s="41"/>
      <c r="BH49" s="41"/>
      <c r="BI49" s="41"/>
      <c r="BJ49" s="41"/>
      <c r="BK49" s="41"/>
      <c r="BL49" s="41"/>
      <c r="BM49" s="41"/>
      <c r="BN49" s="41"/>
      <c r="BO49" s="41"/>
      <c r="BP49" s="41"/>
      <c r="BQ49" s="41"/>
      <c r="BR49" s="41"/>
      <c r="BS49" s="41"/>
    </row>
    <row r="50" spans="1:71" ht="14.25" customHeight="1">
      <c r="A50" s="39">
        <v>4</v>
      </c>
      <c r="B50" s="39">
        <f>(COUNTIFS(集計用!$G:$G,"*, "&amp;$C50&amp;",*",集計用!$Q:$Q,"&lt;&gt;無回答"))</f>
        <v>8</v>
      </c>
      <c r="C50" s="42" t="s">
        <v>42</v>
      </c>
      <c r="D50" s="41">
        <f>COUNTIFS(集計用!$P:$P, "*"&amp;D$4&amp;",*",集計用!$G:$G,"*, "&amp;$C50&amp;", *")/$B50*100</f>
        <v>0</v>
      </c>
      <c r="E50" s="41">
        <f>COUNTIFS(集計用!$P:$P, "*"&amp;E$4&amp;",*",集計用!$G:$G,"*, "&amp;$C50&amp;", *")/$B50*100</f>
        <v>0</v>
      </c>
      <c r="F50" s="41">
        <f>COUNTIFS(集計用!$P:$P, "*"&amp;F$4&amp;",*",集計用!$G:$G,"*, "&amp;$C50&amp;", *")/$B50*100</f>
        <v>0</v>
      </c>
      <c r="G50" s="41">
        <f>COUNTIFS(集計用!$P:$P, "*"&amp;G$4&amp;",*",集計用!$G:$G,"*, "&amp;$C50&amp;", *")/$B50*100</f>
        <v>12.5</v>
      </c>
      <c r="H50" s="41">
        <f>COUNTIFS(集計用!$P:$P, "*"&amp;H$4&amp;",*",集計用!$G:$G,"*, "&amp;$C50&amp;", *")/$B50*100</f>
        <v>0</v>
      </c>
      <c r="I50" s="41">
        <f>COUNTIFS(集計用!$P:$P, "*"&amp;I$4&amp;",*",集計用!$G:$G,"*, "&amp;$C50&amp;", *")/$B50*100</f>
        <v>0</v>
      </c>
      <c r="J50" s="41">
        <f>COUNTIFS(集計用!$P:$P, "*"&amp;J$4&amp;",*",集計用!$G:$G,"*, "&amp;$C50&amp;", *")/$B50*100</f>
        <v>0</v>
      </c>
      <c r="K50" s="41">
        <f>COUNTIFS(集計用!$P:$P, "*"&amp;K$4&amp;",*",集計用!$G:$G,"*, "&amp;$C50&amp;", *")/$B50*100</f>
        <v>12.5</v>
      </c>
      <c r="L50" s="41">
        <f>COUNTIFS(集計用!$P:$P, "*"&amp;L$4&amp;",*",集計用!$G:$G,"*, "&amp;$C50&amp;", *")/$B50*100</f>
        <v>0</v>
      </c>
      <c r="M50" s="41">
        <f>COUNTIFS(集計用!$P:$P, "*"&amp;M$4&amp;",*",集計用!$G:$G,"*, "&amp;$C50&amp;", *")/$B50*100</f>
        <v>0</v>
      </c>
      <c r="N50" s="41">
        <f>COUNTIFS(集計用!$P:$P, "*"&amp;N$4&amp;",*",集計用!$G:$G,"*, "&amp;$C50&amp;", *")/$B50*100</f>
        <v>0</v>
      </c>
      <c r="O50" s="41">
        <f>COUNTIFS(集計用!$P:$P, "*"&amp;O$4&amp;",*",集計用!$G:$G,"*, "&amp;$C50&amp;", *")/$B50*100</f>
        <v>0</v>
      </c>
      <c r="P50" s="41">
        <f>COUNTIFS(集計用!$P:$P, "*"&amp;P$4&amp;",*",集計用!$G:$G,"*, "&amp;$C50&amp;", *")/$B50*100</f>
        <v>0</v>
      </c>
      <c r="Q50" s="41">
        <f>COUNTIFS(集計用!$P:$P, "*"&amp;Q$4&amp;",*",集計用!$G:$G,"*, "&amp;$C50&amp;", *")/$B50*100</f>
        <v>12.5</v>
      </c>
      <c r="R50" s="41">
        <f>COUNTIFS(集計用!$P:$P, "*"&amp;R$4&amp;",*",集計用!$G:$G,"*, "&amp;$C50&amp;", *")/$B50*100</f>
        <v>0</v>
      </c>
      <c r="S50" s="41">
        <f>COUNTIFS(集計用!$P:$P, "*"&amp;S$4&amp;",*",集計用!$G:$G,"*, "&amp;$C50&amp;", *")/$B50*100</f>
        <v>0</v>
      </c>
      <c r="T50" s="41">
        <f>COUNTIFS(集計用!$P:$P, "*"&amp;T$4&amp;",*",集計用!$G:$G,"*, "&amp;$C50&amp;", *")/$B50*100</f>
        <v>0</v>
      </c>
      <c r="U50" s="41">
        <f>COUNTIFS(集計用!$P:$P, "*"&amp;U$4&amp;",*",集計用!$G:$G,"*, "&amp;$C50&amp;", *")/$B50*100</f>
        <v>0</v>
      </c>
      <c r="V50" s="41">
        <f>COUNTIFS(集計用!$P:$P, "*"&amp;V$4&amp;",*",集計用!$G:$G,"*, "&amp;$C50&amp;", *")/$B50*100</f>
        <v>0</v>
      </c>
      <c r="W50" s="41">
        <f>COUNTIFS(集計用!$P:$P, "*"&amp;W$4&amp;",*",集計用!$G:$G,"*, "&amp;$C50&amp;", *")/$B50*100</f>
        <v>0</v>
      </c>
      <c r="X50" s="41">
        <f>COUNTIFS(集計用!$P:$P, "*"&amp;X$4&amp;",*",集計用!$G:$G,"*, "&amp;$C50&amp;", *")/$B50*100</f>
        <v>0</v>
      </c>
      <c r="Y50" s="41">
        <f>COUNTIFS(集計用!$P:$P, "*"&amp;Y$4&amp;",*",集計用!$G:$G,"*, "&amp;$C50&amp;", *")/$B50*100</f>
        <v>0</v>
      </c>
      <c r="Z50" s="41">
        <f>COUNTIFS(集計用!$P:$P, "*"&amp;Z$4&amp;",*",集計用!$G:$G,"*, "&amp;$C50&amp;", *")/$B50*100</f>
        <v>0</v>
      </c>
      <c r="AA50" s="41">
        <f>COUNTIFS(集計用!$P:$P, "*"&amp;AA$4&amp;",*",集計用!$G:$G,"*, "&amp;$C50&amp;", *")/$B50*100</f>
        <v>0</v>
      </c>
      <c r="AB50" s="41">
        <f>COUNTIFS(集計用!$P:$P, "*"&amp;AB$4&amp;",*",集計用!$G:$G,"*, "&amp;$C50&amp;", *")/$B50*100</f>
        <v>0</v>
      </c>
      <c r="AC50" s="41">
        <f>COUNTIFS(集計用!$P:$P, "*"&amp;AC$4&amp;",*",集計用!$G:$G,"*, "&amp;$C50&amp;", *")/$B50*100</f>
        <v>0</v>
      </c>
      <c r="AD50" s="41">
        <f>COUNTIFS(集計用!$P:$P, "*"&amp;AD$4&amp;",*",集計用!$G:$G,"*, "&amp;$C50&amp;", *")/$B50*100</f>
        <v>0</v>
      </c>
      <c r="AE50" s="41">
        <f>COUNTIFS(集計用!$P:$P, "*"&amp;AE$4&amp;",*",集計用!$G:$G,"*, "&amp;$C50&amp;", *")/$B50*100</f>
        <v>0</v>
      </c>
      <c r="AF50" s="41">
        <f>COUNTIFS(集計用!$P:$P, "*"&amp;AF$4&amp;",*",集計用!$G:$G,"*, "&amp;$C50&amp;", *")/$B50*100</f>
        <v>0</v>
      </c>
      <c r="AG50" s="41">
        <f>COUNTIFS(集計用!$P:$P, "*"&amp;AG$4&amp;",*",集計用!$G:$G,"*, "&amp;$C50&amp;", *")/$B50*100</f>
        <v>12.5</v>
      </c>
      <c r="AH50" s="41">
        <f>COUNTIFS(集計用!$P:$P, "*"&amp;AH$4&amp;",*",集計用!$G:$G,"*, "&amp;$C50&amp;", *")/$B50*100</f>
        <v>0</v>
      </c>
      <c r="AI50" s="41">
        <f>COUNTIFS(集計用!$P:$P, "*"&amp;AI$4&amp;",*",集計用!$G:$G,"*, "&amp;$C50&amp;", *")/$B50*100</f>
        <v>0</v>
      </c>
      <c r="AJ50" s="41">
        <f>COUNTIFS(集計用!$P:$P, "*"&amp;AJ$4&amp;",*",集計用!$G:$G,"*, "&amp;$C50&amp;", *")/$B50*100</f>
        <v>0</v>
      </c>
      <c r="AK50" s="41">
        <f>COUNTIFS(集計用!$P:$P, "*"&amp;AK$4&amp;",*",集計用!$G:$G,"*, "&amp;$C50&amp;", *")/$B50*100</f>
        <v>0</v>
      </c>
      <c r="AL50" s="41">
        <f>COUNTIFS(集計用!$P:$P, "*"&amp;AL$4&amp;",*",集計用!$G:$G,"*, "&amp;$C50&amp;", *")/$B50*100</f>
        <v>0</v>
      </c>
      <c r="AM50" s="41">
        <f>COUNTIFS(集計用!$P:$P, "*"&amp;AM$4&amp;",*",集計用!$G:$G,"*, "&amp;$C50&amp;", *")/$B50*100</f>
        <v>0</v>
      </c>
      <c r="AN50" s="41">
        <f>COUNTIFS(集計用!$P:$P, "*"&amp;AN$4&amp;",*",集計用!$G:$G,"*, "&amp;$C50&amp;", *")/$B50*100</f>
        <v>0</v>
      </c>
      <c r="AO50" s="41">
        <f>COUNTIFS(集計用!$P:$P, "*"&amp;AO$4&amp;",*",集計用!$G:$G,"*, "&amp;$C50&amp;", *")/$B50*100</f>
        <v>0</v>
      </c>
      <c r="AP50" s="41">
        <f>COUNTIFS(集計用!$P:$P, "*"&amp;AP$4&amp;",*",集計用!$G:$G,"*, "&amp;$C50&amp;", *")/$B50*100</f>
        <v>0</v>
      </c>
      <c r="AQ50" s="41">
        <f>COUNTIFS(集計用!$P:$P, "*"&amp;AQ$4&amp;",*",集計用!$G:$G,"*, "&amp;$C50&amp;", *")/$B50*100</f>
        <v>0</v>
      </c>
      <c r="AR50" s="41">
        <f>COUNTIFS(集計用!$P:$P, "*"&amp;AR$4&amp;",*",集計用!$G:$G,"*, "&amp;$C50&amp;", *")/$B50*100</f>
        <v>0</v>
      </c>
      <c r="AS50" s="41">
        <f>COUNTIFS(集計用!$P:$P, "*"&amp;AS$4&amp;",*",集計用!$G:$G,"*, "&amp;$C50&amp;", *")/$B50*100</f>
        <v>0</v>
      </c>
      <c r="AT50" s="41">
        <f>COUNTIFS(集計用!$P:$P, "*"&amp;AT$4&amp;",*",集計用!$G:$G,"*, "&amp;$C50&amp;", *")/$B50*100</f>
        <v>0</v>
      </c>
      <c r="AU50" s="41">
        <f>COUNTIFS(集計用!$P:$P, "*"&amp;AU$4&amp;",*",集計用!$G:$G,"*, "&amp;$C50&amp;", *")/$B50*100</f>
        <v>0</v>
      </c>
      <c r="AV50" s="41">
        <f>COUNTIFS(集計用!$P:$P, "*"&amp;AV$4&amp;",*",集計用!$G:$G,"*, "&amp;$C50&amp;", *")/$B50*100</f>
        <v>0</v>
      </c>
      <c r="AW50" s="41">
        <f>COUNTIFS(集計用!$P:$P, "*"&amp;AW$4&amp;",*",集計用!$G:$G,"*, "&amp;$C50&amp;", *")/$B50*100</f>
        <v>0</v>
      </c>
      <c r="AX50" s="41">
        <f>COUNTIFS(集計用!$P:$P, "*"&amp;AX$4&amp;",*",集計用!$G:$G,"*, "&amp;$C50&amp;", *")/$B50*100</f>
        <v>0</v>
      </c>
      <c r="AY50" s="41">
        <f>COUNTIFS(集計用!$P:$P, "*"&amp;AY$4&amp;",*",集計用!$G:$G,"*, "&amp;$C50&amp;", *")/$B50*100</f>
        <v>0</v>
      </c>
      <c r="AZ50" s="41">
        <f>COUNTIFS(集計用!$P:$P, "*"&amp;AZ$4&amp;",*",集計用!$G:$G,"*, "&amp;$C50&amp;", *")/$B50*100</f>
        <v>0</v>
      </c>
      <c r="BA50" s="41">
        <f>COUNTIFS(集計用!$P:$P, "*"&amp;BA$4&amp;",*",集計用!$G:$G,"*, "&amp;$C50&amp;", *")/$B50*100</f>
        <v>0</v>
      </c>
      <c r="BB50" s="41">
        <f>COUNTIFS(集計用!$P:$P, "*"&amp;BB$4&amp;",*",集計用!$G:$G,"*, "&amp;$C50&amp;", *")/$B50*100</f>
        <v>0</v>
      </c>
      <c r="BC50" s="41"/>
      <c r="BD50" s="41"/>
      <c r="BE50" s="41"/>
      <c r="BF50" s="41"/>
      <c r="BG50" s="41"/>
      <c r="BH50" s="41"/>
      <c r="BI50" s="41"/>
      <c r="BJ50" s="41"/>
      <c r="BK50" s="41"/>
      <c r="BL50" s="41"/>
      <c r="BM50" s="41"/>
      <c r="BN50" s="41"/>
      <c r="BO50" s="41"/>
      <c r="BP50" s="41"/>
      <c r="BQ50" s="41"/>
      <c r="BR50" s="41"/>
      <c r="BS50" s="41"/>
    </row>
    <row r="51" spans="1:71" ht="14.25" customHeight="1">
      <c r="A51" s="39">
        <v>5</v>
      </c>
      <c r="B51" s="39">
        <f>(COUNTIFS(集計用!$G:$G,"*, "&amp;$C51&amp;",*",集計用!$Q:$Q,"&lt;&gt;無回答"))</f>
        <v>7</v>
      </c>
      <c r="C51" s="42" t="s">
        <v>46</v>
      </c>
      <c r="D51" s="41">
        <f>COUNTIFS(集計用!$P:$P, "*"&amp;D$4&amp;",*",集計用!$G:$G,"*, "&amp;$C51&amp;", *")/$B51*100</f>
        <v>28.571428571428569</v>
      </c>
      <c r="E51" s="41">
        <f>COUNTIFS(集計用!$P:$P, "*"&amp;E$4&amp;",*",集計用!$G:$G,"*, "&amp;$C51&amp;", *")/$B51*100</f>
        <v>0</v>
      </c>
      <c r="F51" s="41">
        <f>COUNTIFS(集計用!$P:$P, "*"&amp;F$4&amp;",*",集計用!$G:$G,"*, "&amp;$C51&amp;", *")/$B51*100</f>
        <v>14.285714285714285</v>
      </c>
      <c r="G51" s="41">
        <f>COUNTIFS(集計用!$P:$P, "*"&amp;G$4&amp;",*",集計用!$G:$G,"*, "&amp;$C51&amp;", *")/$B51*100</f>
        <v>0</v>
      </c>
      <c r="H51" s="41">
        <f>COUNTIFS(集計用!$P:$P, "*"&amp;H$4&amp;",*",集計用!$G:$G,"*, "&amp;$C51&amp;", *")/$B51*100</f>
        <v>0</v>
      </c>
      <c r="I51" s="41">
        <f>COUNTIFS(集計用!$P:$P, "*"&amp;I$4&amp;",*",集計用!$G:$G,"*, "&amp;$C51&amp;", *")/$B51*100</f>
        <v>0</v>
      </c>
      <c r="J51" s="41">
        <f>COUNTIFS(集計用!$P:$P, "*"&amp;J$4&amp;",*",集計用!$G:$G,"*, "&amp;$C51&amp;", *")/$B51*100</f>
        <v>0</v>
      </c>
      <c r="K51" s="41">
        <f>COUNTIFS(集計用!$P:$P, "*"&amp;K$4&amp;",*",集計用!$G:$G,"*, "&amp;$C51&amp;", *")/$B51*100</f>
        <v>0</v>
      </c>
      <c r="L51" s="41">
        <f>COUNTIFS(集計用!$P:$P, "*"&amp;L$4&amp;",*",集計用!$G:$G,"*, "&amp;$C51&amp;", *")/$B51*100</f>
        <v>0</v>
      </c>
      <c r="M51" s="41">
        <f>COUNTIFS(集計用!$P:$P, "*"&amp;M$4&amp;",*",集計用!$G:$G,"*, "&amp;$C51&amp;", *")/$B51*100</f>
        <v>0</v>
      </c>
      <c r="N51" s="41">
        <f>COUNTIFS(集計用!$P:$P, "*"&amp;N$4&amp;",*",集計用!$G:$G,"*, "&amp;$C51&amp;", *")/$B51*100</f>
        <v>0</v>
      </c>
      <c r="O51" s="41">
        <f>COUNTIFS(集計用!$P:$P, "*"&amp;O$4&amp;",*",集計用!$G:$G,"*, "&amp;$C51&amp;", *")/$B51*100</f>
        <v>0</v>
      </c>
      <c r="P51" s="41">
        <f>COUNTIFS(集計用!$P:$P, "*"&amp;P$4&amp;",*",集計用!$G:$G,"*, "&amp;$C51&amp;", *")/$B51*100</f>
        <v>0</v>
      </c>
      <c r="Q51" s="41">
        <f>COUNTIFS(集計用!$P:$P, "*"&amp;Q$4&amp;",*",集計用!$G:$G,"*, "&amp;$C51&amp;", *")/$B51*100</f>
        <v>0</v>
      </c>
      <c r="R51" s="41">
        <f>COUNTIFS(集計用!$P:$P, "*"&amp;R$4&amp;",*",集計用!$G:$G,"*, "&amp;$C51&amp;", *")/$B51*100</f>
        <v>0</v>
      </c>
      <c r="S51" s="41">
        <f>COUNTIFS(集計用!$P:$P, "*"&amp;S$4&amp;",*",集計用!$G:$G,"*, "&amp;$C51&amp;", *")/$B51*100</f>
        <v>0</v>
      </c>
      <c r="T51" s="41">
        <f>COUNTIFS(集計用!$P:$P, "*"&amp;T$4&amp;",*",集計用!$G:$G,"*, "&amp;$C51&amp;", *")/$B51*100</f>
        <v>0</v>
      </c>
      <c r="U51" s="41">
        <f>COUNTIFS(集計用!$P:$P, "*"&amp;U$4&amp;",*",集計用!$G:$G,"*, "&amp;$C51&amp;", *")/$B51*100</f>
        <v>0</v>
      </c>
      <c r="V51" s="41">
        <f>COUNTIFS(集計用!$P:$P, "*"&amp;V$4&amp;",*",集計用!$G:$G,"*, "&amp;$C51&amp;", *")/$B51*100</f>
        <v>0</v>
      </c>
      <c r="W51" s="41">
        <f>COUNTIFS(集計用!$P:$P, "*"&amp;W$4&amp;",*",集計用!$G:$G,"*, "&amp;$C51&amp;", *")/$B51*100</f>
        <v>0</v>
      </c>
      <c r="X51" s="41">
        <f>COUNTIFS(集計用!$P:$P, "*"&amp;X$4&amp;",*",集計用!$G:$G,"*, "&amp;$C51&amp;", *")/$B51*100</f>
        <v>0</v>
      </c>
      <c r="Y51" s="41">
        <f>COUNTIFS(集計用!$P:$P, "*"&amp;Y$4&amp;",*",集計用!$G:$G,"*, "&amp;$C51&amp;", *")/$B51*100</f>
        <v>0</v>
      </c>
      <c r="Z51" s="41">
        <f>COUNTIFS(集計用!$P:$P, "*"&amp;Z$4&amp;",*",集計用!$G:$G,"*, "&amp;$C51&amp;", *")/$B51*100</f>
        <v>0</v>
      </c>
      <c r="AA51" s="41">
        <f>COUNTIFS(集計用!$P:$P, "*"&amp;AA$4&amp;",*",集計用!$G:$G,"*, "&amp;$C51&amp;", *")/$B51*100</f>
        <v>0</v>
      </c>
      <c r="AB51" s="41">
        <f>COUNTIFS(集計用!$P:$P, "*"&amp;AB$4&amp;",*",集計用!$G:$G,"*, "&amp;$C51&amp;", *")/$B51*100</f>
        <v>0</v>
      </c>
      <c r="AC51" s="41">
        <f>COUNTIFS(集計用!$P:$P, "*"&amp;AC$4&amp;",*",集計用!$G:$G,"*, "&amp;$C51&amp;", *")/$B51*100</f>
        <v>0</v>
      </c>
      <c r="AD51" s="41">
        <f>COUNTIFS(集計用!$P:$P, "*"&amp;AD$4&amp;",*",集計用!$G:$G,"*, "&amp;$C51&amp;", *")/$B51*100</f>
        <v>0</v>
      </c>
      <c r="AE51" s="41">
        <f>COUNTIFS(集計用!$P:$P, "*"&amp;AE$4&amp;",*",集計用!$G:$G,"*, "&amp;$C51&amp;", *")/$B51*100</f>
        <v>0</v>
      </c>
      <c r="AF51" s="41">
        <f>COUNTIFS(集計用!$P:$P, "*"&amp;AF$4&amp;",*",集計用!$G:$G,"*, "&amp;$C51&amp;", *")/$B51*100</f>
        <v>0</v>
      </c>
      <c r="AG51" s="41">
        <f>COUNTIFS(集計用!$P:$P, "*"&amp;AG$4&amp;",*",集計用!$G:$G,"*, "&amp;$C51&amp;", *")/$B51*100</f>
        <v>0</v>
      </c>
      <c r="AH51" s="41">
        <f>COUNTIFS(集計用!$P:$P, "*"&amp;AH$4&amp;",*",集計用!$G:$G,"*, "&amp;$C51&amp;", *")/$B51*100</f>
        <v>0</v>
      </c>
      <c r="AI51" s="41">
        <f>COUNTIFS(集計用!$P:$P, "*"&amp;AI$4&amp;",*",集計用!$G:$G,"*, "&amp;$C51&amp;", *")/$B51*100</f>
        <v>0</v>
      </c>
      <c r="AJ51" s="41">
        <f>COUNTIFS(集計用!$P:$P, "*"&amp;AJ$4&amp;",*",集計用!$G:$G,"*, "&amp;$C51&amp;", *")/$B51*100</f>
        <v>0</v>
      </c>
      <c r="AK51" s="41">
        <f>COUNTIFS(集計用!$P:$P, "*"&amp;AK$4&amp;",*",集計用!$G:$G,"*, "&amp;$C51&amp;", *")/$B51*100</f>
        <v>0</v>
      </c>
      <c r="AL51" s="41">
        <f>COUNTIFS(集計用!$P:$P, "*"&amp;AL$4&amp;",*",集計用!$G:$G,"*, "&amp;$C51&amp;", *")/$B51*100</f>
        <v>14.285714285714285</v>
      </c>
      <c r="AM51" s="41">
        <f>COUNTIFS(集計用!$P:$P, "*"&amp;AM$4&amp;",*",集計用!$G:$G,"*, "&amp;$C51&amp;", *")/$B51*100</f>
        <v>0</v>
      </c>
      <c r="AN51" s="41">
        <f>COUNTIFS(集計用!$P:$P, "*"&amp;AN$4&amp;",*",集計用!$G:$G,"*, "&amp;$C51&amp;", *")/$B51*100</f>
        <v>0</v>
      </c>
      <c r="AO51" s="41">
        <f>COUNTIFS(集計用!$P:$P, "*"&amp;AO$4&amp;",*",集計用!$G:$G,"*, "&amp;$C51&amp;", *")/$B51*100</f>
        <v>0</v>
      </c>
      <c r="AP51" s="41">
        <f>COUNTIFS(集計用!$P:$P, "*"&amp;AP$4&amp;",*",集計用!$G:$G,"*, "&amp;$C51&amp;", *")/$B51*100</f>
        <v>0</v>
      </c>
      <c r="AQ51" s="41">
        <f>COUNTIFS(集計用!$P:$P, "*"&amp;AQ$4&amp;",*",集計用!$G:$G,"*, "&amp;$C51&amp;", *")/$B51*100</f>
        <v>0</v>
      </c>
      <c r="AR51" s="41">
        <f>COUNTIFS(集計用!$P:$P, "*"&amp;AR$4&amp;",*",集計用!$G:$G,"*, "&amp;$C51&amp;", *")/$B51*100</f>
        <v>0</v>
      </c>
      <c r="AS51" s="41">
        <f>COUNTIFS(集計用!$P:$P, "*"&amp;AS$4&amp;",*",集計用!$G:$G,"*, "&amp;$C51&amp;", *")/$B51*100</f>
        <v>0</v>
      </c>
      <c r="AT51" s="41">
        <f>COUNTIFS(集計用!$P:$P, "*"&amp;AT$4&amp;",*",集計用!$G:$G,"*, "&amp;$C51&amp;", *")/$B51*100</f>
        <v>0</v>
      </c>
      <c r="AU51" s="41">
        <f>COUNTIFS(集計用!$P:$P, "*"&amp;AU$4&amp;",*",集計用!$G:$G,"*, "&amp;$C51&amp;", *")/$B51*100</f>
        <v>0</v>
      </c>
      <c r="AV51" s="41">
        <f>COUNTIFS(集計用!$P:$P, "*"&amp;AV$4&amp;",*",集計用!$G:$G,"*, "&amp;$C51&amp;", *")/$B51*100</f>
        <v>0</v>
      </c>
      <c r="AW51" s="41">
        <f>COUNTIFS(集計用!$P:$P, "*"&amp;AW$4&amp;",*",集計用!$G:$G,"*, "&amp;$C51&amp;", *")/$B51*100</f>
        <v>14.285714285714285</v>
      </c>
      <c r="AX51" s="41">
        <f>COUNTIFS(集計用!$P:$P, "*"&amp;AX$4&amp;",*",集計用!$G:$G,"*, "&amp;$C51&amp;", *")/$B51*100</f>
        <v>0</v>
      </c>
      <c r="AY51" s="41">
        <f>COUNTIFS(集計用!$P:$P, "*"&amp;AY$4&amp;",*",集計用!$G:$G,"*, "&amp;$C51&amp;", *")/$B51*100</f>
        <v>0</v>
      </c>
      <c r="AZ51" s="41">
        <f>COUNTIFS(集計用!$P:$P, "*"&amp;AZ$4&amp;",*",集計用!$G:$G,"*, "&amp;$C51&amp;", *")/$B51*100</f>
        <v>0</v>
      </c>
      <c r="BA51" s="41">
        <f>COUNTIFS(集計用!$P:$P, "*"&amp;BA$4&amp;",*",集計用!$G:$G,"*, "&amp;$C51&amp;", *")/$B51*100</f>
        <v>0</v>
      </c>
      <c r="BB51" s="41">
        <f>COUNTIFS(集計用!$P:$P, "*"&amp;BB$4&amp;",*",集計用!$G:$G,"*, "&amp;$C51&amp;", *")/$B51*100</f>
        <v>0</v>
      </c>
      <c r="BC51" s="41"/>
      <c r="BD51" s="41"/>
      <c r="BE51" s="41"/>
      <c r="BF51" s="41"/>
      <c r="BG51" s="41"/>
      <c r="BH51" s="41"/>
      <c r="BI51" s="41"/>
      <c r="BJ51" s="41"/>
      <c r="BK51" s="41"/>
      <c r="BL51" s="41"/>
      <c r="BM51" s="41"/>
      <c r="BN51" s="41"/>
      <c r="BO51" s="41"/>
      <c r="BP51" s="41"/>
      <c r="BQ51" s="41"/>
      <c r="BR51" s="41"/>
      <c r="BS51" s="41"/>
    </row>
    <row r="52" spans="1:71" ht="14.25" customHeight="1">
      <c r="A52" s="39">
        <v>4</v>
      </c>
      <c r="B52" s="39">
        <f>(COUNTIFS(集計用!$G:$G,"*, "&amp;$C52&amp;",*",集計用!$Q:$Q,"&lt;&gt;無回答"))</f>
        <v>7</v>
      </c>
      <c r="C52" s="42" t="s">
        <v>47</v>
      </c>
      <c r="D52" s="41">
        <f>COUNTIFS(集計用!$P:$P, "*"&amp;D$4&amp;",*",集計用!$G:$G,"*, "&amp;$C52&amp;", *")/$B52*100</f>
        <v>14.285714285714285</v>
      </c>
      <c r="E52" s="41">
        <f>COUNTIFS(集計用!$P:$P, "*"&amp;E$4&amp;",*",集計用!$G:$G,"*, "&amp;$C52&amp;", *")/$B52*100</f>
        <v>0</v>
      </c>
      <c r="F52" s="41">
        <f>COUNTIFS(集計用!$P:$P, "*"&amp;F$4&amp;",*",集計用!$G:$G,"*, "&amp;$C52&amp;", *")/$B52*100</f>
        <v>14.285714285714285</v>
      </c>
      <c r="G52" s="41">
        <f>COUNTIFS(集計用!$P:$P, "*"&amp;G$4&amp;",*",集計用!$G:$G,"*, "&amp;$C52&amp;", *")/$B52*100</f>
        <v>0</v>
      </c>
      <c r="H52" s="41">
        <f>COUNTIFS(集計用!$P:$P, "*"&amp;H$4&amp;",*",集計用!$G:$G,"*, "&amp;$C52&amp;", *")/$B52*100</f>
        <v>0</v>
      </c>
      <c r="I52" s="41">
        <f>COUNTIFS(集計用!$P:$P, "*"&amp;I$4&amp;",*",集計用!$G:$G,"*, "&amp;$C52&amp;", *")/$B52*100</f>
        <v>0</v>
      </c>
      <c r="J52" s="41">
        <f>COUNTIFS(集計用!$P:$P, "*"&amp;J$4&amp;",*",集計用!$G:$G,"*, "&amp;$C52&amp;", *")/$B52*100</f>
        <v>0</v>
      </c>
      <c r="K52" s="41">
        <f>COUNTIFS(集計用!$P:$P, "*"&amp;K$4&amp;",*",集計用!$G:$G,"*, "&amp;$C52&amp;", *")/$B52*100</f>
        <v>0</v>
      </c>
      <c r="L52" s="41">
        <f>COUNTIFS(集計用!$P:$P, "*"&amp;L$4&amp;",*",集計用!$G:$G,"*, "&amp;$C52&amp;", *")/$B52*100</f>
        <v>0</v>
      </c>
      <c r="M52" s="41">
        <f>COUNTIFS(集計用!$P:$P, "*"&amp;M$4&amp;",*",集計用!$G:$G,"*, "&amp;$C52&amp;", *")/$B52*100</f>
        <v>0</v>
      </c>
      <c r="N52" s="41">
        <f>COUNTIFS(集計用!$P:$P, "*"&amp;N$4&amp;",*",集計用!$G:$G,"*, "&amp;$C52&amp;", *")/$B52*100</f>
        <v>0</v>
      </c>
      <c r="O52" s="41">
        <f>COUNTIFS(集計用!$P:$P, "*"&amp;O$4&amp;",*",集計用!$G:$G,"*, "&amp;$C52&amp;", *")/$B52*100</f>
        <v>0</v>
      </c>
      <c r="P52" s="41">
        <f>COUNTIFS(集計用!$P:$P, "*"&amp;P$4&amp;",*",集計用!$G:$G,"*, "&amp;$C52&amp;", *")/$B52*100</f>
        <v>0</v>
      </c>
      <c r="Q52" s="41">
        <f>COUNTIFS(集計用!$P:$P, "*"&amp;Q$4&amp;",*",集計用!$G:$G,"*, "&amp;$C52&amp;", *")/$B52*100</f>
        <v>0</v>
      </c>
      <c r="R52" s="41">
        <f>COUNTIFS(集計用!$P:$P, "*"&amp;R$4&amp;",*",集計用!$G:$G,"*, "&amp;$C52&amp;", *")/$B52*100</f>
        <v>0</v>
      </c>
      <c r="S52" s="41">
        <f>COUNTIFS(集計用!$P:$P, "*"&amp;S$4&amp;",*",集計用!$G:$G,"*, "&amp;$C52&amp;", *")/$B52*100</f>
        <v>0</v>
      </c>
      <c r="T52" s="41">
        <f>COUNTIFS(集計用!$P:$P, "*"&amp;T$4&amp;",*",集計用!$G:$G,"*, "&amp;$C52&amp;", *")/$B52*100</f>
        <v>0</v>
      </c>
      <c r="U52" s="41">
        <f>COUNTIFS(集計用!$P:$P, "*"&amp;U$4&amp;",*",集計用!$G:$G,"*, "&amp;$C52&amp;", *")/$B52*100</f>
        <v>0</v>
      </c>
      <c r="V52" s="41">
        <f>COUNTIFS(集計用!$P:$P, "*"&amp;V$4&amp;",*",集計用!$G:$G,"*, "&amp;$C52&amp;", *")/$B52*100</f>
        <v>0</v>
      </c>
      <c r="W52" s="41">
        <f>COUNTIFS(集計用!$P:$P, "*"&amp;W$4&amp;",*",集計用!$G:$G,"*, "&amp;$C52&amp;", *")/$B52*100</f>
        <v>0</v>
      </c>
      <c r="X52" s="41">
        <f>COUNTIFS(集計用!$P:$P, "*"&amp;X$4&amp;",*",集計用!$G:$G,"*, "&amp;$C52&amp;", *")/$B52*100</f>
        <v>14.285714285714285</v>
      </c>
      <c r="Y52" s="41">
        <f>COUNTIFS(集計用!$P:$P, "*"&amp;Y$4&amp;",*",集計用!$G:$G,"*, "&amp;$C52&amp;", *")/$B52*100</f>
        <v>0</v>
      </c>
      <c r="Z52" s="41">
        <f>COUNTIFS(集計用!$P:$P, "*"&amp;Z$4&amp;",*",集計用!$G:$G,"*, "&amp;$C52&amp;", *")/$B52*100</f>
        <v>14.285714285714285</v>
      </c>
      <c r="AA52" s="41">
        <f>COUNTIFS(集計用!$P:$P, "*"&amp;AA$4&amp;",*",集計用!$G:$G,"*, "&amp;$C52&amp;", *")/$B52*100</f>
        <v>0</v>
      </c>
      <c r="AB52" s="41">
        <f>COUNTIFS(集計用!$P:$P, "*"&amp;AB$4&amp;",*",集計用!$G:$G,"*, "&amp;$C52&amp;", *")/$B52*100</f>
        <v>0</v>
      </c>
      <c r="AC52" s="41">
        <f>COUNTIFS(集計用!$P:$P, "*"&amp;AC$4&amp;",*",集計用!$G:$G,"*, "&amp;$C52&amp;", *")/$B52*100</f>
        <v>0</v>
      </c>
      <c r="AD52" s="41">
        <f>COUNTIFS(集計用!$P:$P, "*"&amp;AD$4&amp;",*",集計用!$G:$G,"*, "&amp;$C52&amp;", *")/$B52*100</f>
        <v>0</v>
      </c>
      <c r="AE52" s="41">
        <f>COUNTIFS(集計用!$P:$P, "*"&amp;AE$4&amp;",*",集計用!$G:$G,"*, "&amp;$C52&amp;", *")/$B52*100</f>
        <v>0</v>
      </c>
      <c r="AF52" s="41">
        <f>COUNTIFS(集計用!$P:$P, "*"&amp;AF$4&amp;",*",集計用!$G:$G,"*, "&amp;$C52&amp;", *")/$B52*100</f>
        <v>0</v>
      </c>
      <c r="AG52" s="41">
        <f>COUNTIFS(集計用!$P:$P, "*"&amp;AG$4&amp;",*",集計用!$G:$G,"*, "&amp;$C52&amp;", *")/$B52*100</f>
        <v>0</v>
      </c>
      <c r="AH52" s="41">
        <f>COUNTIFS(集計用!$P:$P, "*"&amp;AH$4&amp;",*",集計用!$G:$G,"*, "&amp;$C52&amp;", *")/$B52*100</f>
        <v>0</v>
      </c>
      <c r="AI52" s="41">
        <f>COUNTIFS(集計用!$P:$P, "*"&amp;AI$4&amp;",*",集計用!$G:$G,"*, "&amp;$C52&amp;", *")/$B52*100</f>
        <v>0</v>
      </c>
      <c r="AJ52" s="41">
        <f>COUNTIFS(集計用!$P:$P, "*"&amp;AJ$4&amp;",*",集計用!$G:$G,"*, "&amp;$C52&amp;", *")/$B52*100</f>
        <v>0</v>
      </c>
      <c r="AK52" s="41">
        <f>COUNTIFS(集計用!$P:$P, "*"&amp;AK$4&amp;",*",集計用!$G:$G,"*, "&amp;$C52&amp;", *")/$B52*100</f>
        <v>0</v>
      </c>
      <c r="AL52" s="41">
        <f>COUNTIFS(集計用!$P:$P, "*"&amp;AL$4&amp;",*",集計用!$G:$G,"*, "&amp;$C52&amp;", *")/$B52*100</f>
        <v>0</v>
      </c>
      <c r="AM52" s="41">
        <f>COUNTIFS(集計用!$P:$P, "*"&amp;AM$4&amp;",*",集計用!$G:$G,"*, "&amp;$C52&amp;", *")/$B52*100</f>
        <v>0</v>
      </c>
      <c r="AN52" s="41">
        <f>COUNTIFS(集計用!$P:$P, "*"&amp;AN$4&amp;",*",集計用!$G:$G,"*, "&amp;$C52&amp;", *")/$B52*100</f>
        <v>0</v>
      </c>
      <c r="AO52" s="41">
        <f>COUNTIFS(集計用!$P:$P, "*"&amp;AO$4&amp;",*",集計用!$G:$G,"*, "&amp;$C52&amp;", *")/$B52*100</f>
        <v>0</v>
      </c>
      <c r="AP52" s="41">
        <f>COUNTIFS(集計用!$P:$P, "*"&amp;AP$4&amp;",*",集計用!$G:$G,"*, "&amp;$C52&amp;", *")/$B52*100</f>
        <v>0</v>
      </c>
      <c r="AQ52" s="41">
        <f>COUNTIFS(集計用!$P:$P, "*"&amp;AQ$4&amp;",*",集計用!$G:$G,"*, "&amp;$C52&amp;", *")/$B52*100</f>
        <v>0</v>
      </c>
      <c r="AR52" s="41">
        <f>COUNTIFS(集計用!$P:$P, "*"&amp;AR$4&amp;",*",集計用!$G:$G,"*, "&amp;$C52&amp;", *")/$B52*100</f>
        <v>0</v>
      </c>
      <c r="AS52" s="41">
        <f>COUNTIFS(集計用!$P:$P, "*"&amp;AS$4&amp;",*",集計用!$G:$G,"*, "&amp;$C52&amp;", *")/$B52*100</f>
        <v>14.285714285714285</v>
      </c>
      <c r="AT52" s="41">
        <f>COUNTIFS(集計用!$P:$P, "*"&amp;AT$4&amp;",*",集計用!$G:$G,"*, "&amp;$C52&amp;", *")/$B52*100</f>
        <v>0</v>
      </c>
      <c r="AU52" s="41">
        <f>COUNTIFS(集計用!$P:$P, "*"&amp;AU$4&amp;",*",集計用!$G:$G,"*, "&amp;$C52&amp;", *")/$B52*100</f>
        <v>0</v>
      </c>
      <c r="AV52" s="41">
        <f>COUNTIFS(集計用!$P:$P, "*"&amp;AV$4&amp;",*",集計用!$G:$G,"*, "&amp;$C52&amp;", *")/$B52*100</f>
        <v>0</v>
      </c>
      <c r="AW52" s="41">
        <f>COUNTIFS(集計用!$P:$P, "*"&amp;AW$4&amp;",*",集計用!$G:$G,"*, "&amp;$C52&amp;", *")/$B52*100</f>
        <v>14.285714285714285</v>
      </c>
      <c r="AX52" s="41">
        <f>COUNTIFS(集計用!$P:$P, "*"&amp;AX$4&amp;",*",集計用!$G:$G,"*, "&amp;$C52&amp;", *")/$B52*100</f>
        <v>0</v>
      </c>
      <c r="AY52" s="41">
        <f>COUNTIFS(集計用!$P:$P, "*"&amp;AY$4&amp;",*",集計用!$G:$G,"*, "&amp;$C52&amp;", *")/$B52*100</f>
        <v>0</v>
      </c>
      <c r="AZ52" s="41">
        <f>COUNTIFS(集計用!$P:$P, "*"&amp;AZ$4&amp;",*",集計用!$G:$G,"*, "&amp;$C52&amp;", *")/$B52*100</f>
        <v>0</v>
      </c>
      <c r="BA52" s="41">
        <f>COUNTIFS(集計用!$P:$P, "*"&amp;BA$4&amp;",*",集計用!$G:$G,"*, "&amp;$C52&amp;", *")/$B52*100</f>
        <v>14.285714285714285</v>
      </c>
      <c r="BB52" s="41">
        <f>COUNTIFS(集計用!$P:$P, "*"&amp;BB$4&amp;",*",集計用!$G:$G,"*, "&amp;$C52&amp;", *")/$B52*100</f>
        <v>0</v>
      </c>
      <c r="BC52" s="41"/>
      <c r="BD52" s="41"/>
      <c r="BE52" s="41"/>
      <c r="BF52" s="41"/>
      <c r="BG52" s="41"/>
      <c r="BH52" s="41"/>
      <c r="BI52" s="41"/>
      <c r="BJ52" s="41"/>
      <c r="BK52" s="41"/>
      <c r="BL52" s="41"/>
      <c r="BM52" s="41"/>
      <c r="BN52" s="41"/>
      <c r="BO52" s="41"/>
      <c r="BP52" s="41"/>
      <c r="BQ52" s="41"/>
      <c r="BR52" s="41"/>
      <c r="BS52" s="41"/>
    </row>
    <row r="53" spans="1:71" ht="14.25" customHeight="1">
      <c r="A53" s="39">
        <v>5</v>
      </c>
      <c r="B53" s="39">
        <f>(COUNTIFS(集計用!$G:$G,"*, "&amp;$C53&amp;",*",集計用!$Q:$Q,"&lt;&gt;無回答"))</f>
        <v>7</v>
      </c>
      <c r="C53" s="42" t="s">
        <v>45</v>
      </c>
      <c r="D53" s="41">
        <f>COUNTIFS(集計用!$P:$P, "*"&amp;D$4&amp;",*",集計用!$G:$G,"*, "&amp;$C53&amp;", *")/$B53*100</f>
        <v>14.285714285714285</v>
      </c>
      <c r="E53" s="41">
        <f>COUNTIFS(集計用!$P:$P, "*"&amp;E$4&amp;",*",集計用!$G:$G,"*, "&amp;$C53&amp;", *")/$B53*100</f>
        <v>0</v>
      </c>
      <c r="F53" s="41">
        <f>COUNTIFS(集計用!$P:$P, "*"&amp;F$4&amp;",*",集計用!$G:$G,"*, "&amp;$C53&amp;", *")/$B53*100</f>
        <v>0</v>
      </c>
      <c r="G53" s="41">
        <f>COUNTIFS(集計用!$P:$P, "*"&amp;G$4&amp;",*",集計用!$G:$G,"*, "&amp;$C53&amp;", *")/$B53*100</f>
        <v>0</v>
      </c>
      <c r="H53" s="41">
        <f>COUNTIFS(集計用!$P:$P, "*"&amp;H$4&amp;",*",集計用!$G:$G,"*, "&amp;$C53&amp;", *")/$B53*100</f>
        <v>0</v>
      </c>
      <c r="I53" s="41">
        <f>COUNTIFS(集計用!$P:$P, "*"&amp;I$4&amp;",*",集計用!$G:$G,"*, "&amp;$C53&amp;", *")/$B53*100</f>
        <v>0</v>
      </c>
      <c r="J53" s="41">
        <f>COUNTIFS(集計用!$P:$P, "*"&amp;J$4&amp;",*",集計用!$G:$G,"*, "&amp;$C53&amp;", *")/$B53*100</f>
        <v>0</v>
      </c>
      <c r="K53" s="41">
        <f>COUNTIFS(集計用!$P:$P, "*"&amp;K$4&amp;",*",集計用!$G:$G,"*, "&amp;$C53&amp;", *")/$B53*100</f>
        <v>0</v>
      </c>
      <c r="L53" s="41">
        <f>COUNTIFS(集計用!$P:$P, "*"&amp;L$4&amp;",*",集計用!$G:$G,"*, "&amp;$C53&amp;", *")/$B53*100</f>
        <v>0</v>
      </c>
      <c r="M53" s="41">
        <f>COUNTIFS(集計用!$P:$P, "*"&amp;M$4&amp;",*",集計用!$G:$G,"*, "&amp;$C53&amp;", *")/$B53*100</f>
        <v>0</v>
      </c>
      <c r="N53" s="41">
        <f>COUNTIFS(集計用!$P:$P, "*"&amp;N$4&amp;",*",集計用!$G:$G,"*, "&amp;$C53&amp;", *")/$B53*100</f>
        <v>0</v>
      </c>
      <c r="O53" s="41">
        <f>COUNTIFS(集計用!$P:$P, "*"&amp;O$4&amp;",*",集計用!$G:$G,"*, "&amp;$C53&amp;", *")/$B53*100</f>
        <v>0</v>
      </c>
      <c r="P53" s="41">
        <f>COUNTIFS(集計用!$P:$P, "*"&amp;P$4&amp;",*",集計用!$G:$G,"*, "&amp;$C53&amp;", *")/$B53*100</f>
        <v>0</v>
      </c>
      <c r="Q53" s="41">
        <f>COUNTIFS(集計用!$P:$P, "*"&amp;Q$4&amp;",*",集計用!$G:$G,"*, "&amp;$C53&amp;", *")/$B53*100</f>
        <v>0</v>
      </c>
      <c r="R53" s="41">
        <f>COUNTIFS(集計用!$P:$P, "*"&amp;R$4&amp;",*",集計用!$G:$G,"*, "&amp;$C53&amp;", *")/$B53*100</f>
        <v>0</v>
      </c>
      <c r="S53" s="41">
        <f>COUNTIFS(集計用!$P:$P, "*"&amp;S$4&amp;",*",集計用!$G:$G,"*, "&amp;$C53&amp;", *")/$B53*100</f>
        <v>0</v>
      </c>
      <c r="T53" s="41">
        <f>COUNTIFS(集計用!$P:$P, "*"&amp;T$4&amp;",*",集計用!$G:$G,"*, "&amp;$C53&amp;", *")/$B53*100</f>
        <v>0</v>
      </c>
      <c r="U53" s="41">
        <f>COUNTIFS(集計用!$P:$P, "*"&amp;U$4&amp;",*",集計用!$G:$G,"*, "&amp;$C53&amp;", *")/$B53*100</f>
        <v>0</v>
      </c>
      <c r="V53" s="41">
        <f>COUNTIFS(集計用!$P:$P, "*"&amp;V$4&amp;",*",集計用!$G:$G,"*, "&amp;$C53&amp;", *")/$B53*100</f>
        <v>0</v>
      </c>
      <c r="W53" s="41">
        <f>COUNTIFS(集計用!$P:$P, "*"&amp;W$4&amp;",*",集計用!$G:$G,"*, "&amp;$C53&amp;", *")/$B53*100</f>
        <v>0</v>
      </c>
      <c r="X53" s="41">
        <f>COUNTIFS(集計用!$P:$P, "*"&amp;X$4&amp;",*",集計用!$G:$G,"*, "&amp;$C53&amp;", *")/$B53*100</f>
        <v>0</v>
      </c>
      <c r="Y53" s="41">
        <f>COUNTIFS(集計用!$P:$P, "*"&amp;Y$4&amp;",*",集計用!$G:$G,"*, "&amp;$C53&amp;", *")/$B53*100</f>
        <v>0</v>
      </c>
      <c r="Z53" s="41">
        <f>COUNTIFS(集計用!$P:$P, "*"&amp;Z$4&amp;",*",集計用!$G:$G,"*, "&amp;$C53&amp;", *")/$B53*100</f>
        <v>0</v>
      </c>
      <c r="AA53" s="41">
        <f>COUNTIFS(集計用!$P:$P, "*"&amp;AA$4&amp;",*",集計用!$G:$G,"*, "&amp;$C53&amp;", *")/$B53*100</f>
        <v>0</v>
      </c>
      <c r="AB53" s="41">
        <f>COUNTIFS(集計用!$P:$P, "*"&amp;AB$4&amp;",*",集計用!$G:$G,"*, "&amp;$C53&amp;", *")/$B53*100</f>
        <v>0</v>
      </c>
      <c r="AC53" s="41">
        <f>COUNTIFS(集計用!$P:$P, "*"&amp;AC$4&amp;",*",集計用!$G:$G,"*, "&amp;$C53&amp;", *")/$B53*100</f>
        <v>0</v>
      </c>
      <c r="AD53" s="41">
        <f>COUNTIFS(集計用!$P:$P, "*"&amp;AD$4&amp;",*",集計用!$G:$G,"*, "&amp;$C53&amp;", *")/$B53*100</f>
        <v>0</v>
      </c>
      <c r="AE53" s="41">
        <f>COUNTIFS(集計用!$P:$P, "*"&amp;AE$4&amp;",*",集計用!$G:$G,"*, "&amp;$C53&amp;", *")/$B53*100</f>
        <v>0</v>
      </c>
      <c r="AF53" s="41">
        <f>COUNTIFS(集計用!$P:$P, "*"&amp;AF$4&amp;",*",集計用!$G:$G,"*, "&amp;$C53&amp;", *")/$B53*100</f>
        <v>0</v>
      </c>
      <c r="AG53" s="41">
        <f>COUNTIFS(集計用!$P:$P, "*"&amp;AG$4&amp;",*",集計用!$G:$G,"*, "&amp;$C53&amp;", *")/$B53*100</f>
        <v>0</v>
      </c>
      <c r="AH53" s="41">
        <f>COUNTIFS(集計用!$P:$P, "*"&amp;AH$4&amp;",*",集計用!$G:$G,"*, "&amp;$C53&amp;", *")/$B53*100</f>
        <v>0</v>
      </c>
      <c r="AI53" s="41">
        <f>COUNTIFS(集計用!$P:$P, "*"&amp;AI$4&amp;",*",集計用!$G:$G,"*, "&amp;$C53&amp;", *")/$B53*100</f>
        <v>0</v>
      </c>
      <c r="AJ53" s="41">
        <f>COUNTIFS(集計用!$P:$P, "*"&amp;AJ$4&amp;",*",集計用!$G:$G,"*, "&amp;$C53&amp;", *")/$B53*100</f>
        <v>0</v>
      </c>
      <c r="AK53" s="41">
        <f>COUNTIFS(集計用!$P:$P, "*"&amp;AK$4&amp;",*",集計用!$G:$G,"*, "&amp;$C53&amp;", *")/$B53*100</f>
        <v>0</v>
      </c>
      <c r="AL53" s="41">
        <f>COUNTIFS(集計用!$P:$P, "*"&amp;AL$4&amp;",*",集計用!$G:$G,"*, "&amp;$C53&amp;", *")/$B53*100</f>
        <v>0</v>
      </c>
      <c r="AM53" s="41">
        <f>COUNTIFS(集計用!$P:$P, "*"&amp;AM$4&amp;",*",集計用!$G:$G,"*, "&amp;$C53&amp;", *")/$B53*100</f>
        <v>0</v>
      </c>
      <c r="AN53" s="41">
        <f>COUNTIFS(集計用!$P:$P, "*"&amp;AN$4&amp;",*",集計用!$G:$G,"*, "&amp;$C53&amp;", *")/$B53*100</f>
        <v>0</v>
      </c>
      <c r="AO53" s="41">
        <f>COUNTIFS(集計用!$P:$P, "*"&amp;AO$4&amp;",*",集計用!$G:$G,"*, "&amp;$C53&amp;", *")/$B53*100</f>
        <v>0</v>
      </c>
      <c r="AP53" s="41">
        <f>COUNTIFS(集計用!$P:$P, "*"&amp;AP$4&amp;",*",集計用!$G:$G,"*, "&amp;$C53&amp;", *")/$B53*100</f>
        <v>0</v>
      </c>
      <c r="AQ53" s="41">
        <f>COUNTIFS(集計用!$P:$P, "*"&amp;AQ$4&amp;",*",集計用!$G:$G,"*, "&amp;$C53&amp;", *")/$B53*100</f>
        <v>0</v>
      </c>
      <c r="AR53" s="41">
        <f>COUNTIFS(集計用!$P:$P, "*"&amp;AR$4&amp;",*",集計用!$G:$G,"*, "&amp;$C53&amp;", *")/$B53*100</f>
        <v>0</v>
      </c>
      <c r="AS53" s="41">
        <f>COUNTIFS(集計用!$P:$P, "*"&amp;AS$4&amp;",*",集計用!$G:$G,"*, "&amp;$C53&amp;", *")/$B53*100</f>
        <v>0</v>
      </c>
      <c r="AT53" s="41">
        <f>COUNTIFS(集計用!$P:$P, "*"&amp;AT$4&amp;",*",集計用!$G:$G,"*, "&amp;$C53&amp;", *")/$B53*100</f>
        <v>0</v>
      </c>
      <c r="AU53" s="41">
        <f>COUNTIFS(集計用!$P:$P, "*"&amp;AU$4&amp;",*",集計用!$G:$G,"*, "&amp;$C53&amp;", *")/$B53*100</f>
        <v>14.285714285714285</v>
      </c>
      <c r="AV53" s="41">
        <f>COUNTIFS(集計用!$P:$P, "*"&amp;AV$4&amp;",*",集計用!$G:$G,"*, "&amp;$C53&amp;", *")/$B53*100</f>
        <v>0</v>
      </c>
      <c r="AW53" s="41">
        <f>COUNTIFS(集計用!$P:$P, "*"&amp;AW$4&amp;",*",集計用!$G:$G,"*, "&amp;$C53&amp;", *")/$B53*100</f>
        <v>0</v>
      </c>
      <c r="AX53" s="41">
        <f>COUNTIFS(集計用!$P:$P, "*"&amp;AX$4&amp;",*",集計用!$G:$G,"*, "&amp;$C53&amp;", *")/$B53*100</f>
        <v>0</v>
      </c>
      <c r="AY53" s="41">
        <f>COUNTIFS(集計用!$P:$P, "*"&amp;AY$4&amp;",*",集計用!$G:$G,"*, "&amp;$C53&amp;", *")/$B53*100</f>
        <v>0</v>
      </c>
      <c r="AZ53" s="41">
        <f>COUNTIFS(集計用!$P:$P, "*"&amp;AZ$4&amp;",*",集計用!$G:$G,"*, "&amp;$C53&amp;", *")/$B53*100</f>
        <v>0</v>
      </c>
      <c r="BA53" s="41">
        <f>COUNTIFS(集計用!$P:$P, "*"&amp;BA$4&amp;",*",集計用!$G:$G,"*, "&amp;$C53&amp;", *")/$B53*100</f>
        <v>0</v>
      </c>
      <c r="BB53" s="41">
        <f>COUNTIFS(集計用!$P:$P, "*"&amp;BB$4&amp;",*",集計用!$G:$G,"*, "&amp;$C53&amp;", *")/$B53*100</f>
        <v>0</v>
      </c>
      <c r="BC53" s="41"/>
      <c r="BD53" s="41"/>
      <c r="BE53" s="41"/>
      <c r="BF53" s="41"/>
      <c r="BG53" s="41"/>
      <c r="BH53" s="41"/>
      <c r="BI53" s="41"/>
      <c r="BJ53" s="41"/>
      <c r="BK53" s="41"/>
      <c r="BL53" s="41"/>
      <c r="BM53" s="41"/>
      <c r="BN53" s="41"/>
      <c r="BO53" s="41"/>
      <c r="BP53" s="41"/>
      <c r="BQ53" s="41"/>
      <c r="BR53" s="41"/>
      <c r="BS53" s="41"/>
    </row>
    <row r="54" spans="1:71" ht="14.25" customHeight="1">
      <c r="A54" s="39">
        <v>2</v>
      </c>
      <c r="B54" s="39">
        <f>(COUNTIFS(集計用!$G:$G,"*, "&amp;$C54&amp;",*",集計用!$Q:$Q,"&lt;&gt;無回答"))</f>
        <v>6</v>
      </c>
      <c r="C54" s="42" t="s">
        <v>48</v>
      </c>
      <c r="D54" s="41">
        <f>COUNTIFS(集計用!$P:$P, "*"&amp;D$4&amp;",*",集計用!$G:$G,"*, "&amp;$C54&amp;", *")/$B54*100</f>
        <v>0</v>
      </c>
      <c r="E54" s="41">
        <f>COUNTIFS(集計用!$P:$P, "*"&amp;E$4&amp;",*",集計用!$G:$G,"*, "&amp;$C54&amp;", *")/$B54*100</f>
        <v>0</v>
      </c>
      <c r="F54" s="41">
        <f>COUNTIFS(集計用!$P:$P, "*"&amp;F$4&amp;",*",集計用!$G:$G,"*, "&amp;$C54&amp;", *")/$B54*100</f>
        <v>0</v>
      </c>
      <c r="G54" s="41">
        <f>COUNTIFS(集計用!$P:$P, "*"&amp;G$4&amp;",*",集計用!$G:$G,"*, "&amp;$C54&amp;", *")/$B54*100</f>
        <v>0</v>
      </c>
      <c r="H54" s="41">
        <f>COUNTIFS(集計用!$P:$P, "*"&amp;H$4&amp;",*",集計用!$G:$G,"*, "&amp;$C54&amp;", *")/$B54*100</f>
        <v>0</v>
      </c>
      <c r="I54" s="41">
        <f>COUNTIFS(集計用!$P:$P, "*"&amp;I$4&amp;",*",集計用!$G:$G,"*, "&amp;$C54&amp;", *")/$B54*100</f>
        <v>0</v>
      </c>
      <c r="J54" s="41">
        <f>COUNTIFS(集計用!$P:$P, "*"&amp;J$4&amp;",*",集計用!$G:$G,"*, "&amp;$C54&amp;", *")/$B54*100</f>
        <v>0</v>
      </c>
      <c r="K54" s="41">
        <f>COUNTIFS(集計用!$P:$P, "*"&amp;K$4&amp;",*",集計用!$G:$G,"*, "&amp;$C54&amp;", *")/$B54*100</f>
        <v>0</v>
      </c>
      <c r="L54" s="41">
        <f>COUNTIFS(集計用!$P:$P, "*"&amp;L$4&amp;",*",集計用!$G:$G,"*, "&amp;$C54&amp;", *")/$B54*100</f>
        <v>0</v>
      </c>
      <c r="M54" s="41">
        <f>COUNTIFS(集計用!$P:$P, "*"&amp;M$4&amp;",*",集計用!$G:$G,"*, "&amp;$C54&amp;", *")/$B54*100</f>
        <v>0</v>
      </c>
      <c r="N54" s="41">
        <f>COUNTIFS(集計用!$P:$P, "*"&amp;N$4&amp;",*",集計用!$G:$G,"*, "&amp;$C54&amp;", *")/$B54*100</f>
        <v>0</v>
      </c>
      <c r="O54" s="41">
        <f>COUNTIFS(集計用!$P:$P, "*"&amp;O$4&amp;",*",集計用!$G:$G,"*, "&amp;$C54&amp;", *")/$B54*100</f>
        <v>0</v>
      </c>
      <c r="P54" s="41">
        <f>COUNTIFS(集計用!$P:$P, "*"&amp;P$4&amp;",*",集計用!$G:$G,"*, "&amp;$C54&amp;", *")/$B54*100</f>
        <v>0</v>
      </c>
      <c r="Q54" s="41">
        <f>COUNTIFS(集計用!$P:$P, "*"&amp;Q$4&amp;",*",集計用!$G:$G,"*, "&amp;$C54&amp;", *")/$B54*100</f>
        <v>0</v>
      </c>
      <c r="R54" s="41">
        <f>COUNTIFS(集計用!$P:$P, "*"&amp;R$4&amp;",*",集計用!$G:$G,"*, "&amp;$C54&amp;", *")/$B54*100</f>
        <v>0</v>
      </c>
      <c r="S54" s="41">
        <f>COUNTIFS(集計用!$P:$P, "*"&amp;S$4&amp;",*",集計用!$G:$G,"*, "&amp;$C54&amp;", *")/$B54*100</f>
        <v>0</v>
      </c>
      <c r="T54" s="41">
        <f>COUNTIFS(集計用!$P:$P, "*"&amp;T$4&amp;",*",集計用!$G:$G,"*, "&amp;$C54&amp;", *")/$B54*100</f>
        <v>0</v>
      </c>
      <c r="U54" s="41">
        <f>COUNTIFS(集計用!$P:$P, "*"&amp;U$4&amp;",*",集計用!$G:$G,"*, "&amp;$C54&amp;", *")/$B54*100</f>
        <v>0</v>
      </c>
      <c r="V54" s="41">
        <f>COUNTIFS(集計用!$P:$P, "*"&amp;V$4&amp;",*",集計用!$G:$G,"*, "&amp;$C54&amp;", *")/$B54*100</f>
        <v>0</v>
      </c>
      <c r="W54" s="41">
        <f>COUNTIFS(集計用!$P:$P, "*"&amp;W$4&amp;",*",集計用!$G:$G,"*, "&amp;$C54&amp;", *")/$B54*100</f>
        <v>0</v>
      </c>
      <c r="X54" s="41">
        <f>COUNTIFS(集計用!$P:$P, "*"&amp;X$4&amp;",*",集計用!$G:$G,"*, "&amp;$C54&amp;", *")/$B54*100</f>
        <v>0</v>
      </c>
      <c r="Y54" s="41">
        <f>COUNTIFS(集計用!$P:$P, "*"&amp;Y$4&amp;",*",集計用!$G:$G,"*, "&amp;$C54&amp;", *")/$B54*100</f>
        <v>0</v>
      </c>
      <c r="Z54" s="41">
        <f>COUNTIFS(集計用!$P:$P, "*"&amp;Z$4&amp;",*",集計用!$G:$G,"*, "&amp;$C54&amp;", *")/$B54*100</f>
        <v>0</v>
      </c>
      <c r="AA54" s="41">
        <f>COUNTIFS(集計用!$P:$P, "*"&amp;AA$4&amp;",*",集計用!$G:$G,"*, "&amp;$C54&amp;", *")/$B54*100</f>
        <v>0</v>
      </c>
      <c r="AB54" s="41">
        <f>COUNTIFS(集計用!$P:$P, "*"&amp;AB$4&amp;",*",集計用!$G:$G,"*, "&amp;$C54&amp;", *")/$B54*100</f>
        <v>0</v>
      </c>
      <c r="AC54" s="41">
        <f>COUNTIFS(集計用!$P:$P, "*"&amp;AC$4&amp;",*",集計用!$G:$G,"*, "&amp;$C54&amp;", *")/$B54*100</f>
        <v>0</v>
      </c>
      <c r="AD54" s="41">
        <f>COUNTIFS(集計用!$P:$P, "*"&amp;AD$4&amp;",*",集計用!$G:$G,"*, "&amp;$C54&amp;", *")/$B54*100</f>
        <v>0</v>
      </c>
      <c r="AE54" s="41">
        <f>COUNTIFS(集計用!$P:$P, "*"&amp;AE$4&amp;",*",集計用!$G:$G,"*, "&amp;$C54&amp;", *")/$B54*100</f>
        <v>0</v>
      </c>
      <c r="AF54" s="41">
        <f>COUNTIFS(集計用!$P:$P, "*"&amp;AF$4&amp;",*",集計用!$G:$G,"*, "&amp;$C54&amp;", *")/$B54*100</f>
        <v>0</v>
      </c>
      <c r="AG54" s="41">
        <f>COUNTIFS(集計用!$P:$P, "*"&amp;AG$4&amp;",*",集計用!$G:$G,"*, "&amp;$C54&amp;", *")/$B54*100</f>
        <v>0</v>
      </c>
      <c r="AH54" s="41">
        <f>COUNTIFS(集計用!$P:$P, "*"&amp;AH$4&amp;",*",集計用!$G:$G,"*, "&amp;$C54&amp;", *")/$B54*100</f>
        <v>0</v>
      </c>
      <c r="AI54" s="41">
        <f>COUNTIFS(集計用!$P:$P, "*"&amp;AI$4&amp;",*",集計用!$G:$G,"*, "&amp;$C54&amp;", *")/$B54*100</f>
        <v>0</v>
      </c>
      <c r="AJ54" s="41">
        <f>COUNTIFS(集計用!$P:$P, "*"&amp;AJ$4&amp;",*",集計用!$G:$G,"*, "&amp;$C54&amp;", *")/$B54*100</f>
        <v>0</v>
      </c>
      <c r="AK54" s="41">
        <f>COUNTIFS(集計用!$P:$P, "*"&amp;AK$4&amp;",*",集計用!$G:$G,"*, "&amp;$C54&amp;", *")/$B54*100</f>
        <v>0</v>
      </c>
      <c r="AL54" s="41">
        <f>COUNTIFS(集計用!$P:$P, "*"&amp;AL$4&amp;",*",集計用!$G:$G,"*, "&amp;$C54&amp;", *")/$B54*100</f>
        <v>0</v>
      </c>
      <c r="AM54" s="41">
        <f>COUNTIFS(集計用!$P:$P, "*"&amp;AM$4&amp;",*",集計用!$G:$G,"*, "&amp;$C54&amp;", *")/$B54*100</f>
        <v>0</v>
      </c>
      <c r="AN54" s="41">
        <f>COUNTIFS(集計用!$P:$P, "*"&amp;AN$4&amp;",*",集計用!$G:$G,"*, "&amp;$C54&amp;", *")/$B54*100</f>
        <v>0</v>
      </c>
      <c r="AO54" s="41">
        <f>COUNTIFS(集計用!$P:$P, "*"&amp;AO$4&amp;",*",集計用!$G:$G,"*, "&amp;$C54&amp;", *")/$B54*100</f>
        <v>0</v>
      </c>
      <c r="AP54" s="41">
        <f>COUNTIFS(集計用!$P:$P, "*"&amp;AP$4&amp;",*",集計用!$G:$G,"*, "&amp;$C54&amp;", *")/$B54*100</f>
        <v>0</v>
      </c>
      <c r="AQ54" s="41">
        <f>COUNTIFS(集計用!$P:$P, "*"&amp;AQ$4&amp;",*",集計用!$G:$G,"*, "&amp;$C54&amp;", *")/$B54*100</f>
        <v>0</v>
      </c>
      <c r="AR54" s="41">
        <f>COUNTIFS(集計用!$P:$P, "*"&amp;AR$4&amp;",*",集計用!$G:$G,"*, "&amp;$C54&amp;", *")/$B54*100</f>
        <v>0</v>
      </c>
      <c r="AS54" s="41">
        <f>COUNTIFS(集計用!$P:$P, "*"&amp;AS$4&amp;",*",集計用!$G:$G,"*, "&amp;$C54&amp;", *")/$B54*100</f>
        <v>0</v>
      </c>
      <c r="AT54" s="41">
        <f>COUNTIFS(集計用!$P:$P, "*"&amp;AT$4&amp;",*",集計用!$G:$G,"*, "&amp;$C54&amp;", *")/$B54*100</f>
        <v>0</v>
      </c>
      <c r="AU54" s="41">
        <f>COUNTIFS(集計用!$P:$P, "*"&amp;AU$4&amp;",*",集計用!$G:$G,"*, "&amp;$C54&amp;", *")/$B54*100</f>
        <v>0</v>
      </c>
      <c r="AV54" s="41">
        <f>COUNTIFS(集計用!$P:$P, "*"&amp;AV$4&amp;",*",集計用!$G:$G,"*, "&amp;$C54&amp;", *")/$B54*100</f>
        <v>0</v>
      </c>
      <c r="AW54" s="41">
        <f>COUNTIFS(集計用!$P:$P, "*"&amp;AW$4&amp;",*",集計用!$G:$G,"*, "&amp;$C54&amp;", *")/$B54*100</f>
        <v>0</v>
      </c>
      <c r="AX54" s="41">
        <f>COUNTIFS(集計用!$P:$P, "*"&amp;AX$4&amp;",*",集計用!$G:$G,"*, "&amp;$C54&amp;", *")/$B54*100</f>
        <v>0</v>
      </c>
      <c r="AY54" s="41">
        <f>COUNTIFS(集計用!$P:$P, "*"&amp;AY$4&amp;",*",集計用!$G:$G,"*, "&amp;$C54&amp;", *")/$B54*100</f>
        <v>0</v>
      </c>
      <c r="AZ54" s="41">
        <f>COUNTIFS(集計用!$P:$P, "*"&amp;AZ$4&amp;",*",集計用!$G:$G,"*, "&amp;$C54&amp;", *")/$B54*100</f>
        <v>0</v>
      </c>
      <c r="BA54" s="41">
        <f>COUNTIFS(集計用!$P:$P, "*"&amp;BA$4&amp;",*",集計用!$G:$G,"*, "&amp;$C54&amp;", *")/$B54*100</f>
        <v>0</v>
      </c>
      <c r="BB54" s="41">
        <f>COUNTIFS(集計用!$P:$P, "*"&amp;BB$4&amp;",*",集計用!$G:$G,"*, "&amp;$C54&amp;", *")/$B54*100</f>
        <v>0</v>
      </c>
      <c r="BC54" s="41"/>
      <c r="BD54" s="41"/>
      <c r="BE54" s="41"/>
      <c r="BF54" s="41"/>
      <c r="BG54" s="41"/>
      <c r="BH54" s="41"/>
      <c r="BI54" s="41"/>
      <c r="BJ54" s="41"/>
      <c r="BK54" s="41"/>
      <c r="BL54" s="41"/>
      <c r="BM54" s="41"/>
      <c r="BN54" s="41"/>
      <c r="BO54" s="41"/>
      <c r="BP54" s="41"/>
      <c r="BQ54" s="41"/>
      <c r="BR54" s="41"/>
      <c r="BS54" s="41"/>
    </row>
    <row r="55" spans="1:71" ht="12.75">
      <c r="A55" s="39">
        <v>5</v>
      </c>
      <c r="B55" s="39">
        <f>(COUNTIFS(集計用!$G:$G,"*, "&amp;$C55&amp;",*",集計用!$Q:$Q,"&lt;&gt;無回答"))</f>
        <v>6</v>
      </c>
      <c r="C55" s="42" t="s">
        <v>49</v>
      </c>
      <c r="D55" s="41">
        <f>COUNTIFS(集計用!$P:$P, "*"&amp;D$4&amp;",*",集計用!$G:$G,"*, "&amp;$C55&amp;", *")/$B55*100</f>
        <v>16.666666666666664</v>
      </c>
      <c r="E55" s="41">
        <f>COUNTIFS(集計用!$P:$P, "*"&amp;E$4&amp;",*",集計用!$G:$G,"*, "&amp;$C55&amp;", *")/$B55*100</f>
        <v>0</v>
      </c>
      <c r="F55" s="41">
        <f>COUNTIFS(集計用!$P:$P, "*"&amp;F$4&amp;",*",集計用!$G:$G,"*, "&amp;$C55&amp;", *")/$B55*100</f>
        <v>0</v>
      </c>
      <c r="G55" s="41">
        <f>COUNTIFS(集計用!$P:$P, "*"&amp;G$4&amp;",*",集計用!$G:$G,"*, "&amp;$C55&amp;", *")/$B55*100</f>
        <v>16.666666666666664</v>
      </c>
      <c r="H55" s="41">
        <f>COUNTIFS(集計用!$P:$P, "*"&amp;H$4&amp;",*",集計用!$G:$G,"*, "&amp;$C55&amp;", *")/$B55*100</f>
        <v>0</v>
      </c>
      <c r="I55" s="41">
        <f>COUNTIFS(集計用!$P:$P, "*"&amp;I$4&amp;",*",集計用!$G:$G,"*, "&amp;$C55&amp;", *")/$B55*100</f>
        <v>0</v>
      </c>
      <c r="J55" s="41">
        <f>COUNTIFS(集計用!$P:$P, "*"&amp;J$4&amp;",*",集計用!$G:$G,"*, "&amp;$C55&amp;", *")/$B55*100</f>
        <v>0</v>
      </c>
      <c r="K55" s="41">
        <f>COUNTIFS(集計用!$P:$P, "*"&amp;K$4&amp;",*",集計用!$G:$G,"*, "&amp;$C55&amp;", *")/$B55*100</f>
        <v>0</v>
      </c>
      <c r="L55" s="41">
        <f>COUNTIFS(集計用!$P:$P, "*"&amp;L$4&amp;",*",集計用!$G:$G,"*, "&amp;$C55&amp;", *")/$B55*100</f>
        <v>0</v>
      </c>
      <c r="M55" s="41">
        <f>COUNTIFS(集計用!$P:$P, "*"&amp;M$4&amp;",*",集計用!$G:$G,"*, "&amp;$C55&amp;", *")/$B55*100</f>
        <v>0</v>
      </c>
      <c r="N55" s="41">
        <f>COUNTIFS(集計用!$P:$P, "*"&amp;N$4&amp;",*",集計用!$G:$G,"*, "&amp;$C55&amp;", *")/$B55*100</f>
        <v>0</v>
      </c>
      <c r="O55" s="41">
        <f>COUNTIFS(集計用!$P:$P, "*"&amp;O$4&amp;",*",集計用!$G:$G,"*, "&amp;$C55&amp;", *")/$B55*100</f>
        <v>0</v>
      </c>
      <c r="P55" s="41">
        <f>COUNTIFS(集計用!$P:$P, "*"&amp;P$4&amp;",*",集計用!$G:$G,"*, "&amp;$C55&amp;", *")/$B55*100</f>
        <v>0</v>
      </c>
      <c r="Q55" s="41">
        <f>COUNTIFS(集計用!$P:$P, "*"&amp;Q$4&amp;",*",集計用!$G:$G,"*, "&amp;$C55&amp;", *")/$B55*100</f>
        <v>0</v>
      </c>
      <c r="R55" s="41">
        <f>COUNTIFS(集計用!$P:$P, "*"&amp;R$4&amp;",*",集計用!$G:$G,"*, "&amp;$C55&amp;", *")/$B55*100</f>
        <v>0</v>
      </c>
      <c r="S55" s="41">
        <f>COUNTIFS(集計用!$P:$P, "*"&amp;S$4&amp;",*",集計用!$G:$G,"*, "&amp;$C55&amp;", *")/$B55*100</f>
        <v>0</v>
      </c>
      <c r="T55" s="41">
        <f>COUNTIFS(集計用!$P:$P, "*"&amp;T$4&amp;",*",集計用!$G:$G,"*, "&amp;$C55&amp;", *")/$B55*100</f>
        <v>0</v>
      </c>
      <c r="U55" s="41">
        <f>COUNTIFS(集計用!$P:$P, "*"&amp;U$4&amp;",*",集計用!$G:$G,"*, "&amp;$C55&amp;", *")/$B55*100</f>
        <v>0</v>
      </c>
      <c r="V55" s="41">
        <f>COUNTIFS(集計用!$P:$P, "*"&amp;V$4&amp;",*",集計用!$G:$G,"*, "&amp;$C55&amp;", *")/$B55*100</f>
        <v>0</v>
      </c>
      <c r="W55" s="41">
        <f>COUNTIFS(集計用!$P:$P, "*"&amp;W$4&amp;",*",集計用!$G:$G,"*, "&amp;$C55&amp;", *")/$B55*100</f>
        <v>0</v>
      </c>
      <c r="X55" s="41">
        <f>COUNTIFS(集計用!$P:$P, "*"&amp;X$4&amp;",*",集計用!$G:$G,"*, "&amp;$C55&amp;", *")/$B55*100</f>
        <v>0</v>
      </c>
      <c r="Y55" s="41">
        <f>COUNTIFS(集計用!$P:$P, "*"&amp;Y$4&amp;",*",集計用!$G:$G,"*, "&amp;$C55&amp;", *")/$B55*100</f>
        <v>0</v>
      </c>
      <c r="Z55" s="41">
        <f>COUNTIFS(集計用!$P:$P, "*"&amp;Z$4&amp;",*",集計用!$G:$G,"*, "&amp;$C55&amp;", *")/$B55*100</f>
        <v>0</v>
      </c>
      <c r="AA55" s="41">
        <f>COUNTIFS(集計用!$P:$P, "*"&amp;AA$4&amp;",*",集計用!$G:$G,"*, "&amp;$C55&amp;", *")/$B55*100</f>
        <v>0</v>
      </c>
      <c r="AB55" s="41">
        <f>COUNTIFS(集計用!$P:$P, "*"&amp;AB$4&amp;",*",集計用!$G:$G,"*, "&amp;$C55&amp;", *")/$B55*100</f>
        <v>0</v>
      </c>
      <c r="AC55" s="41">
        <f>COUNTIFS(集計用!$P:$P, "*"&amp;AC$4&amp;",*",集計用!$G:$G,"*, "&amp;$C55&amp;", *")/$B55*100</f>
        <v>0</v>
      </c>
      <c r="AD55" s="41">
        <f>COUNTIFS(集計用!$P:$P, "*"&amp;AD$4&amp;",*",集計用!$G:$G,"*, "&amp;$C55&amp;", *")/$B55*100</f>
        <v>0</v>
      </c>
      <c r="AE55" s="41">
        <f>COUNTIFS(集計用!$P:$P, "*"&amp;AE$4&amp;",*",集計用!$G:$G,"*, "&amp;$C55&amp;", *")/$B55*100</f>
        <v>0</v>
      </c>
      <c r="AF55" s="41">
        <f>COUNTIFS(集計用!$P:$P, "*"&amp;AF$4&amp;",*",集計用!$G:$G,"*, "&amp;$C55&amp;", *")/$B55*100</f>
        <v>0</v>
      </c>
      <c r="AG55" s="41">
        <f>COUNTIFS(集計用!$P:$P, "*"&amp;AG$4&amp;",*",集計用!$G:$G,"*, "&amp;$C55&amp;", *")/$B55*100</f>
        <v>0</v>
      </c>
      <c r="AH55" s="41">
        <f>COUNTIFS(集計用!$P:$P, "*"&amp;AH$4&amp;",*",集計用!$G:$G,"*, "&amp;$C55&amp;", *")/$B55*100</f>
        <v>0</v>
      </c>
      <c r="AI55" s="41">
        <f>COUNTIFS(集計用!$P:$P, "*"&amp;AI$4&amp;",*",集計用!$G:$G,"*, "&amp;$C55&amp;", *")/$B55*100</f>
        <v>0</v>
      </c>
      <c r="AJ55" s="41">
        <f>COUNTIFS(集計用!$P:$P, "*"&amp;AJ$4&amp;",*",集計用!$G:$G,"*, "&amp;$C55&amp;", *")/$B55*100</f>
        <v>0</v>
      </c>
      <c r="AK55" s="41">
        <f>COUNTIFS(集計用!$P:$P, "*"&amp;AK$4&amp;",*",集計用!$G:$G,"*, "&amp;$C55&amp;", *")/$B55*100</f>
        <v>0</v>
      </c>
      <c r="AL55" s="41">
        <f>COUNTIFS(集計用!$P:$P, "*"&amp;AL$4&amp;",*",集計用!$G:$G,"*, "&amp;$C55&amp;", *")/$B55*100</f>
        <v>0</v>
      </c>
      <c r="AM55" s="41">
        <f>COUNTIFS(集計用!$P:$P, "*"&amp;AM$4&amp;",*",集計用!$G:$G,"*, "&amp;$C55&amp;", *")/$B55*100</f>
        <v>0</v>
      </c>
      <c r="AN55" s="41">
        <f>COUNTIFS(集計用!$P:$P, "*"&amp;AN$4&amp;",*",集計用!$G:$G,"*, "&amp;$C55&amp;", *")/$B55*100</f>
        <v>0</v>
      </c>
      <c r="AO55" s="41">
        <f>COUNTIFS(集計用!$P:$P, "*"&amp;AO$4&amp;",*",集計用!$G:$G,"*, "&amp;$C55&amp;", *")/$B55*100</f>
        <v>0</v>
      </c>
      <c r="AP55" s="41">
        <f>COUNTIFS(集計用!$P:$P, "*"&amp;AP$4&amp;",*",集計用!$G:$G,"*, "&amp;$C55&amp;", *")/$B55*100</f>
        <v>0</v>
      </c>
      <c r="AQ55" s="41">
        <f>COUNTIFS(集計用!$P:$P, "*"&amp;AQ$4&amp;",*",集計用!$G:$G,"*, "&amp;$C55&amp;", *")/$B55*100</f>
        <v>0</v>
      </c>
      <c r="AR55" s="41">
        <f>COUNTIFS(集計用!$P:$P, "*"&amp;AR$4&amp;",*",集計用!$G:$G,"*, "&amp;$C55&amp;", *")/$B55*100</f>
        <v>0</v>
      </c>
      <c r="AS55" s="41">
        <f>COUNTIFS(集計用!$P:$P, "*"&amp;AS$4&amp;",*",集計用!$G:$G,"*, "&amp;$C55&amp;", *")/$B55*100</f>
        <v>0</v>
      </c>
      <c r="AT55" s="41">
        <f>COUNTIFS(集計用!$P:$P, "*"&amp;AT$4&amp;",*",集計用!$G:$G,"*, "&amp;$C55&amp;", *")/$B55*100</f>
        <v>0</v>
      </c>
      <c r="AU55" s="41">
        <f>COUNTIFS(集計用!$P:$P, "*"&amp;AU$4&amp;",*",集計用!$G:$G,"*, "&amp;$C55&amp;", *")/$B55*100</f>
        <v>0</v>
      </c>
      <c r="AV55" s="41">
        <f>COUNTIFS(集計用!$P:$P, "*"&amp;AV$4&amp;",*",集計用!$G:$G,"*, "&amp;$C55&amp;", *")/$B55*100</f>
        <v>0</v>
      </c>
      <c r="AW55" s="41">
        <f>COUNTIFS(集計用!$P:$P, "*"&amp;AW$4&amp;",*",集計用!$G:$G,"*, "&amp;$C55&amp;", *")/$B55*100</f>
        <v>0</v>
      </c>
      <c r="AX55" s="41">
        <f>COUNTIFS(集計用!$P:$P, "*"&amp;AX$4&amp;",*",集計用!$G:$G,"*, "&amp;$C55&amp;", *")/$B55*100</f>
        <v>0</v>
      </c>
      <c r="AY55" s="41">
        <f>COUNTIFS(集計用!$P:$P, "*"&amp;AY$4&amp;",*",集計用!$G:$G,"*, "&amp;$C55&amp;", *")/$B55*100</f>
        <v>0</v>
      </c>
      <c r="AZ55" s="41">
        <f>COUNTIFS(集計用!$P:$P, "*"&amp;AZ$4&amp;",*",集計用!$G:$G,"*, "&amp;$C55&amp;", *")/$B55*100</f>
        <v>0</v>
      </c>
      <c r="BA55" s="41">
        <f>COUNTIFS(集計用!$P:$P, "*"&amp;BA$4&amp;",*",集計用!$G:$G,"*, "&amp;$C55&amp;", *")/$B55*100</f>
        <v>0</v>
      </c>
      <c r="BB55" s="41">
        <f>COUNTIFS(集計用!$P:$P, "*"&amp;BB$4&amp;",*",集計用!$G:$G,"*, "&amp;$C55&amp;", *")/$B55*100</f>
        <v>0</v>
      </c>
      <c r="BC55" s="41"/>
      <c r="BD55" s="41"/>
      <c r="BE55" s="41"/>
      <c r="BF55" s="41"/>
      <c r="BG55" s="41"/>
      <c r="BH55" s="41"/>
      <c r="BI55" s="41"/>
      <c r="BJ55" s="41"/>
      <c r="BK55" s="41"/>
      <c r="BL55" s="41"/>
      <c r="BM55" s="41"/>
      <c r="BN55" s="41"/>
      <c r="BO55" s="41"/>
      <c r="BP55" s="41"/>
      <c r="BQ55" s="41"/>
      <c r="BR55" s="41"/>
      <c r="BS55" s="41"/>
    </row>
    <row r="56" spans="1:71" ht="14.25" customHeight="1">
      <c r="A56" s="39">
        <v>4</v>
      </c>
      <c r="B56" s="39">
        <f>(COUNTIFS(集計用!$G:$G,"*, "&amp;$C56&amp;",*",集計用!$Q:$Q,"&lt;&gt;無回答"))</f>
        <v>5</v>
      </c>
      <c r="C56" s="42" t="s">
        <v>51</v>
      </c>
      <c r="D56" s="41">
        <f>COUNTIFS(集計用!$P:$P, "*"&amp;D$4&amp;",*",集計用!$G:$G,"*, "&amp;$C56&amp;", *")/$B56*100</f>
        <v>0</v>
      </c>
      <c r="E56" s="41">
        <f>COUNTIFS(集計用!$P:$P, "*"&amp;E$4&amp;",*",集計用!$G:$G,"*, "&amp;$C56&amp;", *")/$B56*100</f>
        <v>0</v>
      </c>
      <c r="F56" s="41">
        <f>COUNTIFS(集計用!$P:$P, "*"&amp;F$4&amp;",*",集計用!$G:$G,"*, "&amp;$C56&amp;", *")/$B56*100</f>
        <v>0</v>
      </c>
      <c r="G56" s="41">
        <f>COUNTIFS(集計用!$P:$P, "*"&amp;G$4&amp;",*",集計用!$G:$G,"*, "&amp;$C56&amp;", *")/$B56*100</f>
        <v>0</v>
      </c>
      <c r="H56" s="41">
        <f>COUNTIFS(集計用!$P:$P, "*"&amp;H$4&amp;",*",集計用!$G:$G,"*, "&amp;$C56&amp;", *")/$B56*100</f>
        <v>0</v>
      </c>
      <c r="I56" s="41">
        <f>COUNTIFS(集計用!$P:$P, "*"&amp;I$4&amp;",*",集計用!$G:$G,"*, "&amp;$C56&amp;", *")/$B56*100</f>
        <v>0</v>
      </c>
      <c r="J56" s="41">
        <f>COUNTIFS(集計用!$P:$P, "*"&amp;J$4&amp;",*",集計用!$G:$G,"*, "&amp;$C56&amp;", *")/$B56*100</f>
        <v>0</v>
      </c>
      <c r="K56" s="41">
        <f>COUNTIFS(集計用!$P:$P, "*"&amp;K$4&amp;",*",集計用!$G:$G,"*, "&amp;$C56&amp;", *")/$B56*100</f>
        <v>0</v>
      </c>
      <c r="L56" s="41">
        <f>COUNTIFS(集計用!$P:$P, "*"&amp;L$4&amp;",*",集計用!$G:$G,"*, "&amp;$C56&amp;", *")/$B56*100</f>
        <v>0</v>
      </c>
      <c r="M56" s="41">
        <f>COUNTIFS(集計用!$P:$P, "*"&amp;M$4&amp;",*",集計用!$G:$G,"*, "&amp;$C56&amp;", *")/$B56*100</f>
        <v>0</v>
      </c>
      <c r="N56" s="41">
        <f>COUNTIFS(集計用!$P:$P, "*"&amp;N$4&amp;",*",集計用!$G:$G,"*, "&amp;$C56&amp;", *")/$B56*100</f>
        <v>0</v>
      </c>
      <c r="O56" s="41">
        <f>COUNTIFS(集計用!$P:$P, "*"&amp;O$4&amp;",*",集計用!$G:$G,"*, "&amp;$C56&amp;", *")/$B56*100</f>
        <v>0</v>
      </c>
      <c r="P56" s="41">
        <f>COUNTIFS(集計用!$P:$P, "*"&amp;P$4&amp;",*",集計用!$G:$G,"*, "&amp;$C56&amp;", *")/$B56*100</f>
        <v>0</v>
      </c>
      <c r="Q56" s="41">
        <f>COUNTIFS(集計用!$P:$P, "*"&amp;Q$4&amp;",*",集計用!$G:$G,"*, "&amp;$C56&amp;", *")/$B56*100</f>
        <v>0</v>
      </c>
      <c r="R56" s="41">
        <f>COUNTIFS(集計用!$P:$P, "*"&amp;R$4&amp;",*",集計用!$G:$G,"*, "&amp;$C56&amp;", *")/$B56*100</f>
        <v>0</v>
      </c>
      <c r="S56" s="41">
        <f>COUNTIFS(集計用!$P:$P, "*"&amp;S$4&amp;",*",集計用!$G:$G,"*, "&amp;$C56&amp;", *")/$B56*100</f>
        <v>0</v>
      </c>
      <c r="T56" s="41">
        <f>COUNTIFS(集計用!$P:$P, "*"&amp;T$4&amp;",*",集計用!$G:$G,"*, "&amp;$C56&amp;", *")/$B56*100</f>
        <v>0</v>
      </c>
      <c r="U56" s="41">
        <f>COUNTIFS(集計用!$P:$P, "*"&amp;U$4&amp;",*",集計用!$G:$G,"*, "&amp;$C56&amp;", *")/$B56*100</f>
        <v>0</v>
      </c>
      <c r="V56" s="41">
        <f>COUNTIFS(集計用!$P:$P, "*"&amp;V$4&amp;",*",集計用!$G:$G,"*, "&amp;$C56&amp;", *")/$B56*100</f>
        <v>0</v>
      </c>
      <c r="W56" s="41">
        <f>COUNTIFS(集計用!$P:$P, "*"&amp;W$4&amp;",*",集計用!$G:$G,"*, "&amp;$C56&amp;", *")/$B56*100</f>
        <v>0</v>
      </c>
      <c r="X56" s="41">
        <f>COUNTIFS(集計用!$P:$P, "*"&amp;X$4&amp;",*",集計用!$G:$G,"*, "&amp;$C56&amp;", *")/$B56*100</f>
        <v>0</v>
      </c>
      <c r="Y56" s="41">
        <f>COUNTIFS(集計用!$P:$P, "*"&amp;Y$4&amp;",*",集計用!$G:$G,"*, "&amp;$C56&amp;", *")/$B56*100</f>
        <v>0</v>
      </c>
      <c r="Z56" s="41">
        <f>COUNTIFS(集計用!$P:$P, "*"&amp;Z$4&amp;",*",集計用!$G:$G,"*, "&amp;$C56&amp;", *")/$B56*100</f>
        <v>0</v>
      </c>
      <c r="AA56" s="41">
        <f>COUNTIFS(集計用!$P:$P, "*"&amp;AA$4&amp;",*",集計用!$G:$G,"*, "&amp;$C56&amp;", *")/$B56*100</f>
        <v>0</v>
      </c>
      <c r="AB56" s="41">
        <f>COUNTIFS(集計用!$P:$P, "*"&amp;AB$4&amp;",*",集計用!$G:$G,"*, "&amp;$C56&amp;", *")/$B56*100</f>
        <v>0</v>
      </c>
      <c r="AC56" s="41">
        <f>COUNTIFS(集計用!$P:$P, "*"&amp;AC$4&amp;",*",集計用!$G:$G,"*, "&amp;$C56&amp;", *")/$B56*100</f>
        <v>0</v>
      </c>
      <c r="AD56" s="41">
        <f>COUNTIFS(集計用!$P:$P, "*"&amp;AD$4&amp;",*",集計用!$G:$G,"*, "&amp;$C56&amp;", *")/$B56*100</f>
        <v>0</v>
      </c>
      <c r="AE56" s="41">
        <f>COUNTIFS(集計用!$P:$P, "*"&amp;AE$4&amp;",*",集計用!$G:$G,"*, "&amp;$C56&amp;", *")/$B56*100</f>
        <v>0</v>
      </c>
      <c r="AF56" s="41">
        <f>COUNTIFS(集計用!$P:$P, "*"&amp;AF$4&amp;",*",集計用!$G:$G,"*, "&amp;$C56&amp;", *")/$B56*100</f>
        <v>0</v>
      </c>
      <c r="AG56" s="41">
        <f>COUNTIFS(集計用!$P:$P, "*"&amp;AG$4&amp;",*",集計用!$G:$G,"*, "&amp;$C56&amp;", *")/$B56*100</f>
        <v>0</v>
      </c>
      <c r="AH56" s="41">
        <f>COUNTIFS(集計用!$P:$P, "*"&amp;AH$4&amp;",*",集計用!$G:$G,"*, "&amp;$C56&amp;", *")/$B56*100</f>
        <v>0</v>
      </c>
      <c r="AI56" s="41">
        <f>COUNTIFS(集計用!$P:$P, "*"&amp;AI$4&amp;",*",集計用!$G:$G,"*, "&amp;$C56&amp;", *")/$B56*100</f>
        <v>0</v>
      </c>
      <c r="AJ56" s="41">
        <f>COUNTIFS(集計用!$P:$P, "*"&amp;AJ$4&amp;",*",集計用!$G:$G,"*, "&amp;$C56&amp;", *")/$B56*100</f>
        <v>0</v>
      </c>
      <c r="AK56" s="41">
        <f>COUNTIFS(集計用!$P:$P, "*"&amp;AK$4&amp;",*",集計用!$G:$G,"*, "&amp;$C56&amp;", *")/$B56*100</f>
        <v>0</v>
      </c>
      <c r="AL56" s="41">
        <f>COUNTIFS(集計用!$P:$P, "*"&amp;AL$4&amp;",*",集計用!$G:$G,"*, "&amp;$C56&amp;", *")/$B56*100</f>
        <v>0</v>
      </c>
      <c r="AM56" s="41">
        <f>COUNTIFS(集計用!$P:$P, "*"&amp;AM$4&amp;",*",集計用!$G:$G,"*, "&amp;$C56&amp;", *")/$B56*100</f>
        <v>0</v>
      </c>
      <c r="AN56" s="41">
        <f>COUNTIFS(集計用!$P:$P, "*"&amp;AN$4&amp;",*",集計用!$G:$G,"*, "&amp;$C56&amp;", *")/$B56*100</f>
        <v>0</v>
      </c>
      <c r="AO56" s="41">
        <f>COUNTIFS(集計用!$P:$P, "*"&amp;AO$4&amp;",*",集計用!$G:$G,"*, "&amp;$C56&amp;", *")/$B56*100</f>
        <v>0</v>
      </c>
      <c r="AP56" s="41">
        <f>COUNTIFS(集計用!$P:$P, "*"&amp;AP$4&amp;",*",集計用!$G:$G,"*, "&amp;$C56&amp;", *")/$B56*100</f>
        <v>0</v>
      </c>
      <c r="AQ56" s="41">
        <f>COUNTIFS(集計用!$P:$P, "*"&amp;AQ$4&amp;",*",集計用!$G:$G,"*, "&amp;$C56&amp;", *")/$B56*100</f>
        <v>0</v>
      </c>
      <c r="AR56" s="41">
        <f>COUNTIFS(集計用!$P:$P, "*"&amp;AR$4&amp;",*",集計用!$G:$G,"*, "&amp;$C56&amp;", *")/$B56*100</f>
        <v>0</v>
      </c>
      <c r="AS56" s="41">
        <f>COUNTIFS(集計用!$P:$P, "*"&amp;AS$4&amp;",*",集計用!$G:$G,"*, "&amp;$C56&amp;", *")/$B56*100</f>
        <v>0</v>
      </c>
      <c r="AT56" s="41">
        <f>COUNTIFS(集計用!$P:$P, "*"&amp;AT$4&amp;",*",集計用!$G:$G,"*, "&amp;$C56&amp;", *")/$B56*100</f>
        <v>0</v>
      </c>
      <c r="AU56" s="41">
        <f>COUNTIFS(集計用!$P:$P, "*"&amp;AU$4&amp;",*",集計用!$G:$G,"*, "&amp;$C56&amp;", *")/$B56*100</f>
        <v>0</v>
      </c>
      <c r="AV56" s="41">
        <f>COUNTIFS(集計用!$P:$P, "*"&amp;AV$4&amp;",*",集計用!$G:$G,"*, "&amp;$C56&amp;", *")/$B56*100</f>
        <v>0</v>
      </c>
      <c r="AW56" s="41">
        <f>COUNTIFS(集計用!$P:$P, "*"&amp;AW$4&amp;",*",集計用!$G:$G,"*, "&amp;$C56&amp;", *")/$B56*100</f>
        <v>0</v>
      </c>
      <c r="AX56" s="41">
        <f>COUNTIFS(集計用!$P:$P, "*"&amp;AX$4&amp;",*",集計用!$G:$G,"*, "&amp;$C56&amp;", *")/$B56*100</f>
        <v>0</v>
      </c>
      <c r="AY56" s="41">
        <f>COUNTIFS(集計用!$P:$P, "*"&amp;AY$4&amp;",*",集計用!$G:$G,"*, "&amp;$C56&amp;", *")/$B56*100</f>
        <v>0</v>
      </c>
      <c r="AZ56" s="41">
        <f>COUNTIFS(集計用!$P:$P, "*"&amp;AZ$4&amp;",*",集計用!$G:$G,"*, "&amp;$C56&amp;", *")/$B56*100</f>
        <v>0</v>
      </c>
      <c r="BA56" s="41">
        <f>COUNTIFS(集計用!$P:$P, "*"&amp;BA$4&amp;",*",集計用!$G:$G,"*, "&amp;$C56&amp;", *")/$B56*100</f>
        <v>0</v>
      </c>
      <c r="BB56" s="41">
        <f>COUNTIFS(集計用!$P:$P, "*"&amp;BB$4&amp;",*",集計用!$G:$G,"*, "&amp;$C56&amp;", *")/$B56*100</f>
        <v>0</v>
      </c>
      <c r="BC56" s="41"/>
      <c r="BD56" s="41"/>
      <c r="BE56" s="41"/>
      <c r="BF56" s="41"/>
      <c r="BG56" s="41"/>
      <c r="BH56" s="41"/>
      <c r="BI56" s="41"/>
      <c r="BJ56" s="41"/>
      <c r="BK56" s="41"/>
      <c r="BL56" s="41"/>
      <c r="BM56" s="41"/>
      <c r="BN56" s="41"/>
      <c r="BO56" s="41"/>
      <c r="BP56" s="41"/>
      <c r="BQ56" s="41"/>
      <c r="BR56" s="41"/>
      <c r="BS56" s="41"/>
    </row>
    <row r="57" spans="1:71" ht="14.25" customHeight="1">
      <c r="A57" s="39">
        <v>4</v>
      </c>
      <c r="B57" s="39">
        <f>(COUNTIFS(集計用!$G:$G,"*, "&amp;$C57&amp;",*",集計用!$Q:$Q,"&lt;&gt;無回答"))</f>
        <v>5</v>
      </c>
      <c r="C57" s="42" t="s">
        <v>50</v>
      </c>
      <c r="D57" s="41">
        <f>COUNTIFS(集計用!$P:$P, "*"&amp;D$4&amp;",*",集計用!$G:$G,"*, "&amp;$C57&amp;", *")/$B57*100</f>
        <v>0</v>
      </c>
      <c r="E57" s="41">
        <f>COUNTIFS(集計用!$P:$P, "*"&amp;E$4&amp;",*",集計用!$G:$G,"*, "&amp;$C57&amp;", *")/$B57*100</f>
        <v>0</v>
      </c>
      <c r="F57" s="41">
        <f>COUNTIFS(集計用!$P:$P, "*"&amp;F$4&amp;",*",集計用!$G:$G,"*, "&amp;$C57&amp;", *")/$B57*100</f>
        <v>0</v>
      </c>
      <c r="G57" s="41">
        <f>COUNTIFS(集計用!$P:$P, "*"&amp;G$4&amp;",*",集計用!$G:$G,"*, "&amp;$C57&amp;", *")/$B57*100</f>
        <v>0</v>
      </c>
      <c r="H57" s="41">
        <f>COUNTIFS(集計用!$P:$P, "*"&amp;H$4&amp;",*",集計用!$G:$G,"*, "&amp;$C57&amp;", *")/$B57*100</f>
        <v>0</v>
      </c>
      <c r="I57" s="41">
        <f>COUNTIFS(集計用!$P:$P, "*"&amp;I$4&amp;",*",集計用!$G:$G,"*, "&amp;$C57&amp;", *")/$B57*100</f>
        <v>0</v>
      </c>
      <c r="J57" s="41">
        <f>COUNTIFS(集計用!$P:$P, "*"&amp;J$4&amp;",*",集計用!$G:$G,"*, "&amp;$C57&amp;", *")/$B57*100</f>
        <v>0</v>
      </c>
      <c r="K57" s="41">
        <f>COUNTIFS(集計用!$P:$P, "*"&amp;K$4&amp;",*",集計用!$G:$G,"*, "&amp;$C57&amp;", *")/$B57*100</f>
        <v>0</v>
      </c>
      <c r="L57" s="41">
        <f>COUNTIFS(集計用!$P:$P, "*"&amp;L$4&amp;",*",集計用!$G:$G,"*, "&amp;$C57&amp;", *")/$B57*100</f>
        <v>0</v>
      </c>
      <c r="M57" s="41">
        <f>COUNTIFS(集計用!$P:$P, "*"&amp;M$4&amp;",*",集計用!$G:$G,"*, "&amp;$C57&amp;", *")/$B57*100</f>
        <v>0</v>
      </c>
      <c r="N57" s="41">
        <f>COUNTIFS(集計用!$P:$P, "*"&amp;N$4&amp;",*",集計用!$G:$G,"*, "&amp;$C57&amp;", *")/$B57*100</f>
        <v>0</v>
      </c>
      <c r="O57" s="41">
        <f>COUNTIFS(集計用!$P:$P, "*"&amp;O$4&amp;",*",集計用!$G:$G,"*, "&amp;$C57&amp;", *")/$B57*100</f>
        <v>0</v>
      </c>
      <c r="P57" s="41">
        <f>COUNTIFS(集計用!$P:$P, "*"&amp;P$4&amp;",*",集計用!$G:$G,"*, "&amp;$C57&amp;", *")/$B57*100</f>
        <v>0</v>
      </c>
      <c r="Q57" s="41">
        <f>COUNTIFS(集計用!$P:$P, "*"&amp;Q$4&amp;",*",集計用!$G:$G,"*, "&amp;$C57&amp;", *")/$B57*100</f>
        <v>0</v>
      </c>
      <c r="R57" s="41">
        <f>COUNTIFS(集計用!$P:$P, "*"&amp;R$4&amp;",*",集計用!$G:$G,"*, "&amp;$C57&amp;", *")/$B57*100</f>
        <v>0</v>
      </c>
      <c r="S57" s="41">
        <f>COUNTIFS(集計用!$P:$P, "*"&amp;S$4&amp;",*",集計用!$G:$G,"*, "&amp;$C57&amp;", *")/$B57*100</f>
        <v>0</v>
      </c>
      <c r="T57" s="41">
        <f>COUNTIFS(集計用!$P:$P, "*"&amp;T$4&amp;",*",集計用!$G:$G,"*, "&amp;$C57&amp;", *")/$B57*100</f>
        <v>0</v>
      </c>
      <c r="U57" s="41">
        <f>COUNTIFS(集計用!$P:$P, "*"&amp;U$4&amp;",*",集計用!$G:$G,"*, "&amp;$C57&amp;", *")/$B57*100</f>
        <v>0</v>
      </c>
      <c r="V57" s="41">
        <f>COUNTIFS(集計用!$P:$P, "*"&amp;V$4&amp;",*",集計用!$G:$G,"*, "&amp;$C57&amp;", *")/$B57*100</f>
        <v>0</v>
      </c>
      <c r="W57" s="41">
        <f>COUNTIFS(集計用!$P:$P, "*"&amp;W$4&amp;",*",集計用!$G:$G,"*, "&amp;$C57&amp;", *")/$B57*100</f>
        <v>0</v>
      </c>
      <c r="X57" s="41">
        <f>COUNTIFS(集計用!$P:$P, "*"&amp;X$4&amp;",*",集計用!$G:$G,"*, "&amp;$C57&amp;", *")/$B57*100</f>
        <v>20</v>
      </c>
      <c r="Y57" s="41">
        <f>COUNTIFS(集計用!$P:$P, "*"&amp;Y$4&amp;",*",集計用!$G:$G,"*, "&amp;$C57&amp;", *")/$B57*100</f>
        <v>0</v>
      </c>
      <c r="Z57" s="41">
        <f>COUNTIFS(集計用!$P:$P, "*"&amp;Z$4&amp;",*",集計用!$G:$G,"*, "&amp;$C57&amp;", *")/$B57*100</f>
        <v>20</v>
      </c>
      <c r="AA57" s="41">
        <f>COUNTIFS(集計用!$P:$P, "*"&amp;AA$4&amp;",*",集計用!$G:$G,"*, "&amp;$C57&amp;", *")/$B57*100</f>
        <v>0</v>
      </c>
      <c r="AB57" s="41">
        <f>COUNTIFS(集計用!$P:$P, "*"&amp;AB$4&amp;",*",集計用!$G:$G,"*, "&amp;$C57&amp;", *")/$B57*100</f>
        <v>0</v>
      </c>
      <c r="AC57" s="41">
        <f>COUNTIFS(集計用!$P:$P, "*"&amp;AC$4&amp;",*",集計用!$G:$G,"*, "&amp;$C57&amp;", *")/$B57*100</f>
        <v>0</v>
      </c>
      <c r="AD57" s="41">
        <f>COUNTIFS(集計用!$P:$P, "*"&amp;AD$4&amp;",*",集計用!$G:$G,"*, "&amp;$C57&amp;", *")/$B57*100</f>
        <v>0</v>
      </c>
      <c r="AE57" s="41">
        <f>COUNTIFS(集計用!$P:$P, "*"&amp;AE$4&amp;",*",集計用!$G:$G,"*, "&amp;$C57&amp;", *")/$B57*100</f>
        <v>0</v>
      </c>
      <c r="AF57" s="41">
        <f>COUNTIFS(集計用!$P:$P, "*"&amp;AF$4&amp;",*",集計用!$G:$G,"*, "&amp;$C57&amp;", *")/$B57*100</f>
        <v>0</v>
      </c>
      <c r="AG57" s="41">
        <f>COUNTIFS(集計用!$P:$P, "*"&amp;AG$4&amp;",*",集計用!$G:$G,"*, "&amp;$C57&amp;", *")/$B57*100</f>
        <v>0</v>
      </c>
      <c r="AH57" s="41">
        <f>COUNTIFS(集計用!$P:$P, "*"&amp;AH$4&amp;",*",集計用!$G:$G,"*, "&amp;$C57&amp;", *")/$B57*100</f>
        <v>0</v>
      </c>
      <c r="AI57" s="41">
        <f>COUNTIFS(集計用!$P:$P, "*"&amp;AI$4&amp;",*",集計用!$G:$G,"*, "&amp;$C57&amp;", *")/$B57*100</f>
        <v>0</v>
      </c>
      <c r="AJ57" s="41">
        <f>COUNTIFS(集計用!$P:$P, "*"&amp;AJ$4&amp;",*",集計用!$G:$G,"*, "&amp;$C57&amp;", *")/$B57*100</f>
        <v>0</v>
      </c>
      <c r="AK57" s="41">
        <f>COUNTIFS(集計用!$P:$P, "*"&amp;AK$4&amp;",*",集計用!$G:$G,"*, "&amp;$C57&amp;", *")/$B57*100</f>
        <v>0</v>
      </c>
      <c r="AL57" s="41">
        <f>COUNTIFS(集計用!$P:$P, "*"&amp;AL$4&amp;",*",集計用!$G:$G,"*, "&amp;$C57&amp;", *")/$B57*100</f>
        <v>0</v>
      </c>
      <c r="AM57" s="41">
        <f>COUNTIFS(集計用!$P:$P, "*"&amp;AM$4&amp;",*",集計用!$G:$G,"*, "&amp;$C57&amp;", *")/$B57*100</f>
        <v>0</v>
      </c>
      <c r="AN57" s="41">
        <f>COUNTIFS(集計用!$P:$P, "*"&amp;AN$4&amp;",*",集計用!$G:$G,"*, "&amp;$C57&amp;", *")/$B57*100</f>
        <v>0</v>
      </c>
      <c r="AO57" s="41">
        <f>COUNTIFS(集計用!$P:$P, "*"&amp;AO$4&amp;",*",集計用!$G:$G,"*, "&amp;$C57&amp;", *")/$B57*100</f>
        <v>0</v>
      </c>
      <c r="AP57" s="41">
        <f>COUNTIFS(集計用!$P:$P, "*"&amp;AP$4&amp;",*",集計用!$G:$G,"*, "&amp;$C57&amp;", *")/$B57*100</f>
        <v>0</v>
      </c>
      <c r="AQ57" s="41">
        <f>COUNTIFS(集計用!$P:$P, "*"&amp;AQ$4&amp;",*",集計用!$G:$G,"*, "&amp;$C57&amp;", *")/$B57*100</f>
        <v>0</v>
      </c>
      <c r="AR57" s="41">
        <f>COUNTIFS(集計用!$P:$P, "*"&amp;AR$4&amp;",*",集計用!$G:$G,"*, "&amp;$C57&amp;", *")/$B57*100</f>
        <v>0</v>
      </c>
      <c r="AS57" s="41">
        <f>COUNTIFS(集計用!$P:$P, "*"&amp;AS$4&amp;",*",集計用!$G:$G,"*, "&amp;$C57&amp;", *")/$B57*100</f>
        <v>20</v>
      </c>
      <c r="AT57" s="41">
        <f>COUNTIFS(集計用!$P:$P, "*"&amp;AT$4&amp;",*",集計用!$G:$G,"*, "&amp;$C57&amp;", *")/$B57*100</f>
        <v>0</v>
      </c>
      <c r="AU57" s="41">
        <f>COUNTIFS(集計用!$P:$P, "*"&amp;AU$4&amp;",*",集計用!$G:$G,"*, "&amp;$C57&amp;", *")/$B57*100</f>
        <v>0</v>
      </c>
      <c r="AV57" s="41">
        <f>COUNTIFS(集計用!$P:$P, "*"&amp;AV$4&amp;",*",集計用!$G:$G,"*, "&amp;$C57&amp;", *")/$B57*100</f>
        <v>0</v>
      </c>
      <c r="AW57" s="41">
        <f>COUNTIFS(集計用!$P:$P, "*"&amp;AW$4&amp;",*",集計用!$G:$G,"*, "&amp;$C57&amp;", *")/$B57*100</f>
        <v>0</v>
      </c>
      <c r="AX57" s="41">
        <f>COUNTIFS(集計用!$P:$P, "*"&amp;AX$4&amp;",*",集計用!$G:$G,"*, "&amp;$C57&amp;", *")/$B57*100</f>
        <v>0</v>
      </c>
      <c r="AY57" s="41">
        <f>COUNTIFS(集計用!$P:$P, "*"&amp;AY$4&amp;",*",集計用!$G:$G,"*, "&amp;$C57&amp;", *")/$B57*100</f>
        <v>0</v>
      </c>
      <c r="AZ57" s="41">
        <f>COUNTIFS(集計用!$P:$P, "*"&amp;AZ$4&amp;",*",集計用!$G:$G,"*, "&amp;$C57&amp;", *")/$B57*100</f>
        <v>0</v>
      </c>
      <c r="BA57" s="41">
        <f>COUNTIFS(集計用!$P:$P, "*"&amp;BA$4&amp;",*",集計用!$G:$G,"*, "&amp;$C57&amp;", *")/$B57*100</f>
        <v>0</v>
      </c>
      <c r="BB57" s="41">
        <f>COUNTIFS(集計用!$P:$P, "*"&amp;BB$4&amp;",*",集計用!$G:$G,"*, "&amp;$C57&amp;", *")/$B57*100</f>
        <v>0</v>
      </c>
      <c r="BC57" s="41"/>
      <c r="BD57" s="41"/>
      <c r="BE57" s="41"/>
      <c r="BF57" s="41"/>
      <c r="BG57" s="41"/>
      <c r="BH57" s="41"/>
      <c r="BI57" s="41"/>
      <c r="BJ57" s="41"/>
      <c r="BK57" s="41"/>
      <c r="BL57" s="41"/>
      <c r="BM57" s="41"/>
      <c r="BN57" s="41"/>
      <c r="BO57" s="41"/>
      <c r="BP57" s="41"/>
      <c r="BQ57" s="41"/>
      <c r="BR57" s="41"/>
      <c r="BS57" s="41"/>
    </row>
    <row r="58" spans="1:71" ht="14.25" customHeight="1">
      <c r="A58" s="39" t="s">
        <v>2180</v>
      </c>
      <c r="B58" s="39">
        <f>(COUNTIFS(集計用!$G:$G,"*, "&amp;$C58&amp;",*",集計用!$Q:$Q,"&lt;&gt;無回答"))</f>
        <v>4</v>
      </c>
      <c r="C58" s="42" t="s">
        <v>53</v>
      </c>
      <c r="D58" s="41">
        <f>COUNTIFS(集計用!$P:$P, "*"&amp;D$4&amp;",*",集計用!$G:$G,"*, "&amp;$C58&amp;", *")/$B58*100</f>
        <v>0</v>
      </c>
      <c r="E58" s="41">
        <f>COUNTIFS(集計用!$P:$P, "*"&amp;E$4&amp;",*",集計用!$G:$G,"*, "&amp;$C58&amp;", *")/$B58*100</f>
        <v>0</v>
      </c>
      <c r="F58" s="41">
        <f>COUNTIFS(集計用!$P:$P, "*"&amp;F$4&amp;",*",集計用!$G:$G,"*, "&amp;$C58&amp;", *")/$B58*100</f>
        <v>0</v>
      </c>
      <c r="G58" s="41">
        <f>COUNTIFS(集計用!$P:$P, "*"&amp;G$4&amp;",*",集計用!$G:$G,"*, "&amp;$C58&amp;", *")/$B58*100</f>
        <v>0</v>
      </c>
      <c r="H58" s="41">
        <f>COUNTIFS(集計用!$P:$P, "*"&amp;H$4&amp;",*",集計用!$G:$G,"*, "&amp;$C58&amp;", *")/$B58*100</f>
        <v>0</v>
      </c>
      <c r="I58" s="41">
        <f>COUNTIFS(集計用!$P:$P, "*"&amp;I$4&amp;",*",集計用!$G:$G,"*, "&amp;$C58&amp;", *")/$B58*100</f>
        <v>0</v>
      </c>
      <c r="J58" s="41">
        <f>COUNTIFS(集計用!$P:$P, "*"&amp;J$4&amp;",*",集計用!$G:$G,"*, "&amp;$C58&amp;", *")/$B58*100</f>
        <v>0</v>
      </c>
      <c r="K58" s="41">
        <f>COUNTIFS(集計用!$P:$P, "*"&amp;K$4&amp;",*",集計用!$G:$G,"*, "&amp;$C58&amp;", *")/$B58*100</f>
        <v>0</v>
      </c>
      <c r="L58" s="41">
        <f>COUNTIFS(集計用!$P:$P, "*"&amp;L$4&amp;",*",集計用!$G:$G,"*, "&amp;$C58&amp;", *")/$B58*100</f>
        <v>0</v>
      </c>
      <c r="M58" s="41">
        <f>COUNTIFS(集計用!$P:$P, "*"&amp;M$4&amp;",*",集計用!$G:$G,"*, "&amp;$C58&amp;", *")/$B58*100</f>
        <v>0</v>
      </c>
      <c r="N58" s="41">
        <f>COUNTIFS(集計用!$P:$P, "*"&amp;N$4&amp;",*",集計用!$G:$G,"*, "&amp;$C58&amp;", *")/$B58*100</f>
        <v>0</v>
      </c>
      <c r="O58" s="41">
        <f>COUNTIFS(集計用!$P:$P, "*"&amp;O$4&amp;",*",集計用!$G:$G,"*, "&amp;$C58&amp;", *")/$B58*100</f>
        <v>0</v>
      </c>
      <c r="P58" s="41">
        <f>COUNTIFS(集計用!$P:$P, "*"&amp;P$4&amp;",*",集計用!$G:$G,"*, "&amp;$C58&amp;", *")/$B58*100</f>
        <v>0</v>
      </c>
      <c r="Q58" s="41">
        <f>COUNTIFS(集計用!$P:$P, "*"&amp;Q$4&amp;",*",集計用!$G:$G,"*, "&amp;$C58&amp;", *")/$B58*100</f>
        <v>0</v>
      </c>
      <c r="R58" s="41">
        <f>COUNTIFS(集計用!$P:$P, "*"&amp;R$4&amp;",*",集計用!$G:$G,"*, "&amp;$C58&amp;", *")/$B58*100</f>
        <v>0</v>
      </c>
      <c r="S58" s="41">
        <f>COUNTIFS(集計用!$P:$P, "*"&amp;S$4&amp;",*",集計用!$G:$G,"*, "&amp;$C58&amp;", *")/$B58*100</f>
        <v>0</v>
      </c>
      <c r="T58" s="41">
        <f>COUNTIFS(集計用!$P:$P, "*"&amp;T$4&amp;",*",集計用!$G:$G,"*, "&amp;$C58&amp;", *")/$B58*100</f>
        <v>0</v>
      </c>
      <c r="U58" s="41">
        <f>COUNTIFS(集計用!$P:$P, "*"&amp;U$4&amp;",*",集計用!$G:$G,"*, "&amp;$C58&amp;", *")/$B58*100</f>
        <v>0</v>
      </c>
      <c r="V58" s="41">
        <f>COUNTIFS(集計用!$P:$P, "*"&amp;V$4&amp;",*",集計用!$G:$G,"*, "&amp;$C58&amp;", *")/$B58*100</f>
        <v>0</v>
      </c>
      <c r="W58" s="41">
        <f>COUNTIFS(集計用!$P:$P, "*"&amp;W$4&amp;",*",集計用!$G:$G,"*, "&amp;$C58&amp;", *")/$B58*100</f>
        <v>0</v>
      </c>
      <c r="X58" s="41">
        <f>COUNTIFS(集計用!$P:$P, "*"&amp;X$4&amp;",*",集計用!$G:$G,"*, "&amp;$C58&amp;", *")/$B58*100</f>
        <v>0</v>
      </c>
      <c r="Y58" s="41">
        <f>COUNTIFS(集計用!$P:$P, "*"&amp;Y$4&amp;",*",集計用!$G:$G,"*, "&amp;$C58&amp;", *")/$B58*100</f>
        <v>0</v>
      </c>
      <c r="Z58" s="41">
        <f>COUNTIFS(集計用!$P:$P, "*"&amp;Z$4&amp;",*",集計用!$G:$G,"*, "&amp;$C58&amp;", *")/$B58*100</f>
        <v>0</v>
      </c>
      <c r="AA58" s="41">
        <f>COUNTIFS(集計用!$P:$P, "*"&amp;AA$4&amp;",*",集計用!$G:$G,"*, "&amp;$C58&amp;", *")/$B58*100</f>
        <v>0</v>
      </c>
      <c r="AB58" s="41">
        <f>COUNTIFS(集計用!$P:$P, "*"&amp;AB$4&amp;",*",集計用!$G:$G,"*, "&amp;$C58&amp;", *")/$B58*100</f>
        <v>0</v>
      </c>
      <c r="AC58" s="41">
        <f>COUNTIFS(集計用!$P:$P, "*"&amp;AC$4&amp;",*",集計用!$G:$G,"*, "&amp;$C58&amp;", *")/$B58*100</f>
        <v>0</v>
      </c>
      <c r="AD58" s="41">
        <f>COUNTIFS(集計用!$P:$P, "*"&amp;AD$4&amp;",*",集計用!$G:$G,"*, "&amp;$C58&amp;", *")/$B58*100</f>
        <v>0</v>
      </c>
      <c r="AE58" s="41">
        <f>COUNTIFS(集計用!$P:$P, "*"&amp;AE$4&amp;",*",集計用!$G:$G,"*, "&amp;$C58&amp;", *")/$B58*100</f>
        <v>0</v>
      </c>
      <c r="AF58" s="41">
        <f>COUNTIFS(集計用!$P:$P, "*"&amp;AF$4&amp;",*",集計用!$G:$G,"*, "&amp;$C58&amp;", *")/$B58*100</f>
        <v>0</v>
      </c>
      <c r="AG58" s="41">
        <f>COUNTIFS(集計用!$P:$P, "*"&amp;AG$4&amp;",*",集計用!$G:$G,"*, "&amp;$C58&amp;", *")/$B58*100</f>
        <v>0</v>
      </c>
      <c r="AH58" s="41">
        <f>COUNTIFS(集計用!$P:$P, "*"&amp;AH$4&amp;",*",集計用!$G:$G,"*, "&amp;$C58&amp;", *")/$B58*100</f>
        <v>0</v>
      </c>
      <c r="AI58" s="41">
        <f>COUNTIFS(集計用!$P:$P, "*"&amp;AI$4&amp;",*",集計用!$G:$G,"*, "&amp;$C58&amp;", *")/$B58*100</f>
        <v>0</v>
      </c>
      <c r="AJ58" s="41">
        <f>COUNTIFS(集計用!$P:$P, "*"&amp;AJ$4&amp;",*",集計用!$G:$G,"*, "&amp;$C58&amp;", *")/$B58*100</f>
        <v>0</v>
      </c>
      <c r="AK58" s="41">
        <f>COUNTIFS(集計用!$P:$P, "*"&amp;AK$4&amp;",*",集計用!$G:$G,"*, "&amp;$C58&amp;", *")/$B58*100</f>
        <v>0</v>
      </c>
      <c r="AL58" s="41">
        <f>COUNTIFS(集計用!$P:$P, "*"&amp;AL$4&amp;",*",集計用!$G:$G,"*, "&amp;$C58&amp;", *")/$B58*100</f>
        <v>0</v>
      </c>
      <c r="AM58" s="41">
        <f>COUNTIFS(集計用!$P:$P, "*"&amp;AM$4&amp;",*",集計用!$G:$G,"*, "&amp;$C58&amp;", *")/$B58*100</f>
        <v>0</v>
      </c>
      <c r="AN58" s="41">
        <f>COUNTIFS(集計用!$P:$P, "*"&amp;AN$4&amp;",*",集計用!$G:$G,"*, "&amp;$C58&amp;", *")/$B58*100</f>
        <v>0</v>
      </c>
      <c r="AO58" s="41">
        <f>COUNTIFS(集計用!$P:$P, "*"&amp;AO$4&amp;",*",集計用!$G:$G,"*, "&amp;$C58&amp;", *")/$B58*100</f>
        <v>0</v>
      </c>
      <c r="AP58" s="41">
        <f>COUNTIFS(集計用!$P:$P, "*"&amp;AP$4&amp;",*",集計用!$G:$G,"*, "&amp;$C58&amp;", *")/$B58*100</f>
        <v>0</v>
      </c>
      <c r="AQ58" s="41">
        <f>COUNTIFS(集計用!$P:$P, "*"&amp;AQ$4&amp;",*",集計用!$G:$G,"*, "&amp;$C58&amp;", *")/$B58*100</f>
        <v>0</v>
      </c>
      <c r="AR58" s="41">
        <f>COUNTIFS(集計用!$P:$P, "*"&amp;AR$4&amp;",*",集計用!$G:$G,"*, "&amp;$C58&amp;", *")/$B58*100</f>
        <v>0</v>
      </c>
      <c r="AS58" s="41">
        <f>COUNTIFS(集計用!$P:$P, "*"&amp;AS$4&amp;",*",集計用!$G:$G,"*, "&amp;$C58&amp;", *")/$B58*100</f>
        <v>0</v>
      </c>
      <c r="AT58" s="41">
        <f>COUNTIFS(集計用!$P:$P, "*"&amp;AT$4&amp;",*",集計用!$G:$G,"*, "&amp;$C58&amp;", *")/$B58*100</f>
        <v>0</v>
      </c>
      <c r="AU58" s="41">
        <f>COUNTIFS(集計用!$P:$P, "*"&amp;AU$4&amp;",*",集計用!$G:$G,"*, "&amp;$C58&amp;", *")/$B58*100</f>
        <v>0</v>
      </c>
      <c r="AV58" s="41">
        <f>COUNTIFS(集計用!$P:$P, "*"&amp;AV$4&amp;",*",集計用!$G:$G,"*, "&amp;$C58&amp;", *")/$B58*100</f>
        <v>0</v>
      </c>
      <c r="AW58" s="41">
        <f>COUNTIFS(集計用!$P:$P, "*"&amp;AW$4&amp;",*",集計用!$G:$G,"*, "&amp;$C58&amp;", *")/$B58*100</f>
        <v>0</v>
      </c>
      <c r="AX58" s="41">
        <f>COUNTIFS(集計用!$P:$P, "*"&amp;AX$4&amp;",*",集計用!$G:$G,"*, "&amp;$C58&amp;", *")/$B58*100</f>
        <v>0</v>
      </c>
      <c r="AY58" s="41">
        <f>COUNTIFS(集計用!$P:$P, "*"&amp;AY$4&amp;",*",集計用!$G:$G,"*, "&amp;$C58&amp;", *")/$B58*100</f>
        <v>0</v>
      </c>
      <c r="AZ58" s="41">
        <f>COUNTIFS(集計用!$P:$P, "*"&amp;AZ$4&amp;",*",集計用!$G:$G,"*, "&amp;$C58&amp;", *")/$B58*100</f>
        <v>0</v>
      </c>
      <c r="BA58" s="41">
        <f>COUNTIFS(集計用!$P:$P, "*"&amp;BA$4&amp;",*",集計用!$G:$G,"*, "&amp;$C58&amp;", *")/$B58*100</f>
        <v>0</v>
      </c>
      <c r="BB58" s="41">
        <f>COUNTIFS(集計用!$P:$P, "*"&amp;BB$4&amp;",*",集計用!$G:$G,"*, "&amp;$C58&amp;", *")/$B58*100</f>
        <v>0</v>
      </c>
      <c r="BC58" s="41"/>
      <c r="BD58" s="41"/>
      <c r="BE58" s="41"/>
      <c r="BF58" s="41"/>
      <c r="BG58" s="41"/>
      <c r="BH58" s="41"/>
      <c r="BI58" s="41"/>
      <c r="BJ58" s="41"/>
      <c r="BK58" s="41"/>
      <c r="BL58" s="41"/>
      <c r="BM58" s="41"/>
      <c r="BN58" s="41"/>
      <c r="BO58" s="41"/>
      <c r="BP58" s="41"/>
      <c r="BQ58" s="41"/>
      <c r="BR58" s="41"/>
      <c r="BS58" s="41"/>
    </row>
    <row r="59" spans="1:71" ht="14.25" customHeight="1">
      <c r="A59" s="39" t="s">
        <v>2180</v>
      </c>
      <c r="B59" s="39">
        <f>(COUNTIFS(集計用!$G:$G,"*, "&amp;$C59&amp;",*",集計用!$Q:$Q,"&lt;&gt;無回答"))</f>
        <v>4</v>
      </c>
      <c r="C59" s="42" t="s">
        <v>52</v>
      </c>
      <c r="D59" s="41">
        <f>COUNTIFS(集計用!$P:$P, "*"&amp;D$4&amp;",*",集計用!$G:$G,"*, "&amp;$C59&amp;", *")/$B59*100</f>
        <v>0</v>
      </c>
      <c r="E59" s="41">
        <f>COUNTIFS(集計用!$P:$P, "*"&amp;E$4&amp;",*",集計用!$G:$G,"*, "&amp;$C59&amp;", *")/$B59*100</f>
        <v>0</v>
      </c>
      <c r="F59" s="41">
        <f>COUNTIFS(集計用!$P:$P, "*"&amp;F$4&amp;",*",集計用!$G:$G,"*, "&amp;$C59&amp;", *")/$B59*100</f>
        <v>0</v>
      </c>
      <c r="G59" s="41">
        <f>COUNTIFS(集計用!$P:$P, "*"&amp;G$4&amp;",*",集計用!$G:$G,"*, "&amp;$C59&amp;", *")/$B59*100</f>
        <v>0</v>
      </c>
      <c r="H59" s="41">
        <f>COUNTIFS(集計用!$P:$P, "*"&amp;H$4&amp;",*",集計用!$G:$G,"*, "&amp;$C59&amp;", *")/$B59*100</f>
        <v>0</v>
      </c>
      <c r="I59" s="41">
        <f>COUNTIFS(集計用!$P:$P, "*"&amp;I$4&amp;",*",集計用!$G:$G,"*, "&amp;$C59&amp;", *")/$B59*100</f>
        <v>0</v>
      </c>
      <c r="J59" s="41">
        <f>COUNTIFS(集計用!$P:$P, "*"&amp;J$4&amp;",*",集計用!$G:$G,"*, "&amp;$C59&amp;", *")/$B59*100</f>
        <v>0</v>
      </c>
      <c r="K59" s="41">
        <f>COUNTIFS(集計用!$P:$P, "*"&amp;K$4&amp;",*",集計用!$G:$G,"*, "&amp;$C59&amp;", *")/$B59*100</f>
        <v>0</v>
      </c>
      <c r="L59" s="41">
        <f>COUNTIFS(集計用!$P:$P, "*"&amp;L$4&amp;",*",集計用!$G:$G,"*, "&amp;$C59&amp;", *")/$B59*100</f>
        <v>0</v>
      </c>
      <c r="M59" s="41">
        <f>COUNTIFS(集計用!$P:$P, "*"&amp;M$4&amp;",*",集計用!$G:$G,"*, "&amp;$C59&amp;", *")/$B59*100</f>
        <v>0</v>
      </c>
      <c r="N59" s="41">
        <f>COUNTIFS(集計用!$P:$P, "*"&amp;N$4&amp;",*",集計用!$G:$G,"*, "&amp;$C59&amp;", *")/$B59*100</f>
        <v>0</v>
      </c>
      <c r="O59" s="41">
        <f>COUNTIFS(集計用!$P:$P, "*"&amp;O$4&amp;",*",集計用!$G:$G,"*, "&amp;$C59&amp;", *")/$B59*100</f>
        <v>0</v>
      </c>
      <c r="P59" s="41">
        <f>COUNTIFS(集計用!$P:$P, "*"&amp;P$4&amp;",*",集計用!$G:$G,"*, "&amp;$C59&amp;", *")/$B59*100</f>
        <v>0</v>
      </c>
      <c r="Q59" s="41">
        <f>COUNTIFS(集計用!$P:$P, "*"&amp;Q$4&amp;",*",集計用!$G:$G,"*, "&amp;$C59&amp;", *")/$B59*100</f>
        <v>0</v>
      </c>
      <c r="R59" s="41">
        <f>COUNTIFS(集計用!$P:$P, "*"&amp;R$4&amp;",*",集計用!$G:$G,"*, "&amp;$C59&amp;", *")/$B59*100</f>
        <v>0</v>
      </c>
      <c r="S59" s="41">
        <f>COUNTIFS(集計用!$P:$P, "*"&amp;S$4&amp;",*",集計用!$G:$G,"*, "&amp;$C59&amp;", *")/$B59*100</f>
        <v>0</v>
      </c>
      <c r="T59" s="41">
        <f>COUNTIFS(集計用!$P:$P, "*"&amp;T$4&amp;",*",集計用!$G:$G,"*, "&amp;$C59&amp;", *")/$B59*100</f>
        <v>0</v>
      </c>
      <c r="U59" s="41">
        <f>COUNTIFS(集計用!$P:$P, "*"&amp;U$4&amp;",*",集計用!$G:$G,"*, "&amp;$C59&amp;", *")/$B59*100</f>
        <v>0</v>
      </c>
      <c r="V59" s="41">
        <f>COUNTIFS(集計用!$P:$P, "*"&amp;V$4&amp;",*",集計用!$G:$G,"*, "&amp;$C59&amp;", *")/$B59*100</f>
        <v>0</v>
      </c>
      <c r="W59" s="41">
        <f>COUNTIFS(集計用!$P:$P, "*"&amp;W$4&amp;",*",集計用!$G:$G,"*, "&amp;$C59&amp;", *")/$B59*100</f>
        <v>0</v>
      </c>
      <c r="X59" s="41">
        <f>COUNTIFS(集計用!$P:$P, "*"&amp;X$4&amp;",*",集計用!$G:$G,"*, "&amp;$C59&amp;", *")/$B59*100</f>
        <v>0</v>
      </c>
      <c r="Y59" s="41">
        <f>COUNTIFS(集計用!$P:$P, "*"&amp;Y$4&amp;",*",集計用!$G:$G,"*, "&amp;$C59&amp;", *")/$B59*100</f>
        <v>0</v>
      </c>
      <c r="Z59" s="41">
        <f>COUNTIFS(集計用!$P:$P, "*"&amp;Z$4&amp;",*",集計用!$G:$G,"*, "&amp;$C59&amp;", *")/$B59*100</f>
        <v>0</v>
      </c>
      <c r="AA59" s="41">
        <f>COUNTIFS(集計用!$P:$P, "*"&amp;AA$4&amp;",*",集計用!$G:$G,"*, "&amp;$C59&amp;", *")/$B59*100</f>
        <v>0</v>
      </c>
      <c r="AB59" s="41">
        <f>COUNTIFS(集計用!$P:$P, "*"&amp;AB$4&amp;",*",集計用!$G:$G,"*, "&amp;$C59&amp;", *")/$B59*100</f>
        <v>0</v>
      </c>
      <c r="AC59" s="41">
        <f>COUNTIFS(集計用!$P:$P, "*"&amp;AC$4&amp;",*",集計用!$G:$G,"*, "&amp;$C59&amp;", *")/$B59*100</f>
        <v>0</v>
      </c>
      <c r="AD59" s="41">
        <f>COUNTIFS(集計用!$P:$P, "*"&amp;AD$4&amp;",*",集計用!$G:$G,"*, "&amp;$C59&amp;", *")/$B59*100</f>
        <v>0</v>
      </c>
      <c r="AE59" s="41">
        <f>COUNTIFS(集計用!$P:$P, "*"&amp;AE$4&amp;",*",集計用!$G:$G,"*, "&amp;$C59&amp;", *")/$B59*100</f>
        <v>0</v>
      </c>
      <c r="AF59" s="41">
        <f>COUNTIFS(集計用!$P:$P, "*"&amp;AF$4&amp;",*",集計用!$G:$G,"*, "&amp;$C59&amp;", *")/$B59*100</f>
        <v>0</v>
      </c>
      <c r="AG59" s="41">
        <f>COUNTIFS(集計用!$P:$P, "*"&amp;AG$4&amp;",*",集計用!$G:$G,"*, "&amp;$C59&amp;", *")/$B59*100</f>
        <v>0</v>
      </c>
      <c r="AH59" s="41">
        <f>COUNTIFS(集計用!$P:$P, "*"&amp;AH$4&amp;",*",集計用!$G:$G,"*, "&amp;$C59&amp;", *")/$B59*100</f>
        <v>0</v>
      </c>
      <c r="AI59" s="41">
        <f>COUNTIFS(集計用!$P:$P, "*"&amp;AI$4&amp;",*",集計用!$G:$G,"*, "&amp;$C59&amp;", *")/$B59*100</f>
        <v>0</v>
      </c>
      <c r="AJ59" s="41">
        <f>COUNTIFS(集計用!$P:$P, "*"&amp;AJ$4&amp;",*",集計用!$G:$G,"*, "&amp;$C59&amp;", *")/$B59*100</f>
        <v>0</v>
      </c>
      <c r="AK59" s="41">
        <f>COUNTIFS(集計用!$P:$P, "*"&amp;AK$4&amp;",*",集計用!$G:$G,"*, "&amp;$C59&amp;", *")/$B59*100</f>
        <v>0</v>
      </c>
      <c r="AL59" s="41">
        <f>COUNTIFS(集計用!$P:$P, "*"&amp;AL$4&amp;",*",集計用!$G:$G,"*, "&amp;$C59&amp;", *")/$B59*100</f>
        <v>0</v>
      </c>
      <c r="AM59" s="41">
        <f>COUNTIFS(集計用!$P:$P, "*"&amp;AM$4&amp;",*",集計用!$G:$G,"*, "&amp;$C59&amp;", *")/$B59*100</f>
        <v>0</v>
      </c>
      <c r="AN59" s="41">
        <f>COUNTIFS(集計用!$P:$P, "*"&amp;AN$4&amp;",*",集計用!$G:$G,"*, "&amp;$C59&amp;", *")/$B59*100</f>
        <v>0</v>
      </c>
      <c r="AO59" s="41">
        <f>COUNTIFS(集計用!$P:$P, "*"&amp;AO$4&amp;",*",集計用!$G:$G,"*, "&amp;$C59&amp;", *")/$B59*100</f>
        <v>0</v>
      </c>
      <c r="AP59" s="41">
        <f>COUNTIFS(集計用!$P:$P, "*"&amp;AP$4&amp;",*",集計用!$G:$G,"*, "&amp;$C59&amp;", *")/$B59*100</f>
        <v>0</v>
      </c>
      <c r="AQ59" s="41">
        <f>COUNTIFS(集計用!$P:$P, "*"&amp;AQ$4&amp;",*",集計用!$G:$G,"*, "&amp;$C59&amp;", *")/$B59*100</f>
        <v>0</v>
      </c>
      <c r="AR59" s="41">
        <f>COUNTIFS(集計用!$P:$P, "*"&amp;AR$4&amp;",*",集計用!$G:$G,"*, "&amp;$C59&amp;", *")/$B59*100</f>
        <v>0</v>
      </c>
      <c r="AS59" s="41">
        <f>COUNTIFS(集計用!$P:$P, "*"&amp;AS$4&amp;",*",集計用!$G:$G,"*, "&amp;$C59&amp;", *")/$B59*100</f>
        <v>0</v>
      </c>
      <c r="AT59" s="41">
        <f>COUNTIFS(集計用!$P:$P, "*"&amp;AT$4&amp;",*",集計用!$G:$G,"*, "&amp;$C59&amp;", *")/$B59*100</f>
        <v>0</v>
      </c>
      <c r="AU59" s="41">
        <f>COUNTIFS(集計用!$P:$P, "*"&amp;AU$4&amp;",*",集計用!$G:$G,"*, "&amp;$C59&amp;", *")/$B59*100</f>
        <v>0</v>
      </c>
      <c r="AV59" s="41">
        <f>COUNTIFS(集計用!$P:$P, "*"&amp;AV$4&amp;",*",集計用!$G:$G,"*, "&amp;$C59&amp;", *")/$B59*100</f>
        <v>0</v>
      </c>
      <c r="AW59" s="41">
        <f>COUNTIFS(集計用!$P:$P, "*"&amp;AW$4&amp;",*",集計用!$G:$G,"*, "&amp;$C59&amp;", *")/$B59*100</f>
        <v>0</v>
      </c>
      <c r="AX59" s="41">
        <f>COUNTIFS(集計用!$P:$P, "*"&amp;AX$4&amp;",*",集計用!$G:$G,"*, "&amp;$C59&amp;", *")/$B59*100</f>
        <v>0</v>
      </c>
      <c r="AY59" s="41">
        <f>COUNTIFS(集計用!$P:$P, "*"&amp;AY$4&amp;",*",集計用!$G:$G,"*, "&amp;$C59&amp;", *")/$B59*100</f>
        <v>0</v>
      </c>
      <c r="AZ59" s="41">
        <f>COUNTIFS(集計用!$P:$P, "*"&amp;AZ$4&amp;",*",集計用!$G:$G,"*, "&amp;$C59&amp;", *")/$B59*100</f>
        <v>0</v>
      </c>
      <c r="BA59" s="41">
        <f>COUNTIFS(集計用!$P:$P, "*"&amp;BA$4&amp;",*",集計用!$G:$G,"*, "&amp;$C59&amp;", *")/$B59*100</f>
        <v>0</v>
      </c>
      <c r="BB59" s="41">
        <f>COUNTIFS(集計用!$P:$P, "*"&amp;BB$4&amp;",*",集計用!$G:$G,"*, "&amp;$C59&amp;", *")/$B59*100</f>
        <v>0</v>
      </c>
      <c r="BC59" s="41"/>
      <c r="BD59" s="41"/>
      <c r="BE59" s="41"/>
      <c r="BF59" s="41"/>
      <c r="BG59" s="41"/>
      <c r="BH59" s="41"/>
      <c r="BI59" s="41"/>
      <c r="BJ59" s="41"/>
      <c r="BK59" s="41"/>
      <c r="BL59" s="41"/>
      <c r="BM59" s="41"/>
      <c r="BN59" s="41"/>
      <c r="BO59" s="41"/>
      <c r="BP59" s="41"/>
      <c r="BQ59" s="41"/>
      <c r="BR59" s="41"/>
      <c r="BS59" s="41"/>
    </row>
    <row r="60" spans="1:71" ht="12.75">
      <c r="A60" s="39" t="s">
        <v>2180</v>
      </c>
      <c r="B60" s="39">
        <f>(COUNTIFS(集計用!$G:$G,"*, "&amp;$C60&amp;",*",集計用!$Q:$Q,"&lt;&gt;無回答"))</f>
        <v>3</v>
      </c>
      <c r="C60" s="42" t="s">
        <v>54</v>
      </c>
      <c r="D60" s="41">
        <f>COUNTIFS(集計用!$P:$P, "*"&amp;D$4&amp;",*",集計用!$G:$G,"*, "&amp;$C60&amp;", *")/$B60*100</f>
        <v>33.333333333333329</v>
      </c>
      <c r="E60" s="41">
        <f>COUNTIFS(集計用!$P:$P, "*"&amp;E$4&amp;",*",集計用!$G:$G,"*, "&amp;$C60&amp;", *")/$B60*100</f>
        <v>0</v>
      </c>
      <c r="F60" s="41">
        <f>COUNTIFS(集計用!$P:$P, "*"&amp;F$4&amp;",*",集計用!$G:$G,"*, "&amp;$C60&amp;", *")/$B60*100</f>
        <v>0</v>
      </c>
      <c r="G60" s="41">
        <f>COUNTIFS(集計用!$P:$P, "*"&amp;G$4&amp;",*",集計用!$G:$G,"*, "&amp;$C60&amp;", *")/$B60*100</f>
        <v>0</v>
      </c>
      <c r="H60" s="41">
        <f>COUNTIFS(集計用!$P:$P, "*"&amp;H$4&amp;",*",集計用!$G:$G,"*, "&amp;$C60&amp;", *")/$B60*100</f>
        <v>0</v>
      </c>
      <c r="I60" s="41">
        <f>COUNTIFS(集計用!$P:$P, "*"&amp;I$4&amp;",*",集計用!$G:$G,"*, "&amp;$C60&amp;", *")/$B60*100</f>
        <v>0</v>
      </c>
      <c r="J60" s="41">
        <f>COUNTIFS(集計用!$P:$P, "*"&amp;J$4&amp;",*",集計用!$G:$G,"*, "&amp;$C60&amp;", *")/$B60*100</f>
        <v>0</v>
      </c>
      <c r="K60" s="41">
        <f>COUNTIFS(集計用!$P:$P, "*"&amp;K$4&amp;",*",集計用!$G:$G,"*, "&amp;$C60&amp;", *")/$B60*100</f>
        <v>0</v>
      </c>
      <c r="L60" s="41">
        <f>COUNTIFS(集計用!$P:$P, "*"&amp;L$4&amp;",*",集計用!$G:$G,"*, "&amp;$C60&amp;", *")/$B60*100</f>
        <v>0</v>
      </c>
      <c r="M60" s="41">
        <f>COUNTIFS(集計用!$P:$P, "*"&amp;M$4&amp;",*",集計用!$G:$G,"*, "&amp;$C60&amp;", *")/$B60*100</f>
        <v>0</v>
      </c>
      <c r="N60" s="41">
        <f>COUNTIFS(集計用!$P:$P, "*"&amp;N$4&amp;",*",集計用!$G:$G,"*, "&amp;$C60&amp;", *")/$B60*100</f>
        <v>0</v>
      </c>
      <c r="O60" s="41">
        <f>COUNTIFS(集計用!$P:$P, "*"&amp;O$4&amp;",*",集計用!$G:$G,"*, "&amp;$C60&amp;", *")/$B60*100</f>
        <v>0</v>
      </c>
      <c r="P60" s="41">
        <f>COUNTIFS(集計用!$P:$P, "*"&amp;P$4&amp;",*",集計用!$G:$G,"*, "&amp;$C60&amp;", *")/$B60*100</f>
        <v>0</v>
      </c>
      <c r="Q60" s="41">
        <f>COUNTIFS(集計用!$P:$P, "*"&amp;Q$4&amp;",*",集計用!$G:$G,"*, "&amp;$C60&amp;", *")/$B60*100</f>
        <v>0</v>
      </c>
      <c r="R60" s="41">
        <f>COUNTIFS(集計用!$P:$P, "*"&amp;R$4&amp;",*",集計用!$G:$G,"*, "&amp;$C60&amp;", *")/$B60*100</f>
        <v>0</v>
      </c>
      <c r="S60" s="41">
        <f>COUNTIFS(集計用!$P:$P, "*"&amp;S$4&amp;",*",集計用!$G:$G,"*, "&amp;$C60&amp;", *")/$B60*100</f>
        <v>0</v>
      </c>
      <c r="T60" s="41">
        <f>COUNTIFS(集計用!$P:$P, "*"&amp;T$4&amp;",*",集計用!$G:$G,"*, "&amp;$C60&amp;", *")/$B60*100</f>
        <v>0</v>
      </c>
      <c r="U60" s="41">
        <f>COUNTIFS(集計用!$P:$P, "*"&amp;U$4&amp;",*",集計用!$G:$G,"*, "&amp;$C60&amp;", *")/$B60*100</f>
        <v>0</v>
      </c>
      <c r="V60" s="41">
        <f>COUNTIFS(集計用!$P:$P, "*"&amp;V$4&amp;",*",集計用!$G:$G,"*, "&amp;$C60&amp;", *")/$B60*100</f>
        <v>0</v>
      </c>
      <c r="W60" s="41">
        <f>COUNTIFS(集計用!$P:$P, "*"&amp;W$4&amp;",*",集計用!$G:$G,"*, "&amp;$C60&amp;", *")/$B60*100</f>
        <v>0</v>
      </c>
      <c r="X60" s="41">
        <f>COUNTIFS(集計用!$P:$P, "*"&amp;X$4&amp;",*",集計用!$G:$G,"*, "&amp;$C60&amp;", *")/$B60*100</f>
        <v>0</v>
      </c>
      <c r="Y60" s="41">
        <f>COUNTIFS(集計用!$P:$P, "*"&amp;Y$4&amp;",*",集計用!$G:$G,"*, "&amp;$C60&amp;", *")/$B60*100</f>
        <v>0</v>
      </c>
      <c r="Z60" s="41">
        <f>COUNTIFS(集計用!$P:$P, "*"&amp;Z$4&amp;",*",集計用!$G:$G,"*, "&amp;$C60&amp;", *")/$B60*100</f>
        <v>0</v>
      </c>
      <c r="AA60" s="41">
        <f>COUNTIFS(集計用!$P:$P, "*"&amp;AA$4&amp;",*",集計用!$G:$G,"*, "&amp;$C60&amp;", *")/$B60*100</f>
        <v>0</v>
      </c>
      <c r="AB60" s="41">
        <f>COUNTIFS(集計用!$P:$P, "*"&amp;AB$4&amp;",*",集計用!$G:$G,"*, "&amp;$C60&amp;", *")/$B60*100</f>
        <v>0</v>
      </c>
      <c r="AC60" s="41">
        <f>COUNTIFS(集計用!$P:$P, "*"&amp;AC$4&amp;",*",集計用!$G:$G,"*, "&amp;$C60&amp;", *")/$B60*100</f>
        <v>0</v>
      </c>
      <c r="AD60" s="41">
        <f>COUNTIFS(集計用!$P:$P, "*"&amp;AD$4&amp;",*",集計用!$G:$G,"*, "&amp;$C60&amp;", *")/$B60*100</f>
        <v>0</v>
      </c>
      <c r="AE60" s="41">
        <f>COUNTIFS(集計用!$P:$P, "*"&amp;AE$4&amp;",*",集計用!$G:$G,"*, "&amp;$C60&amp;", *")/$B60*100</f>
        <v>0</v>
      </c>
      <c r="AF60" s="41">
        <f>COUNTIFS(集計用!$P:$P, "*"&amp;AF$4&amp;",*",集計用!$G:$G,"*, "&amp;$C60&amp;", *")/$B60*100</f>
        <v>0</v>
      </c>
      <c r="AG60" s="41">
        <f>COUNTIFS(集計用!$P:$P, "*"&amp;AG$4&amp;",*",集計用!$G:$G,"*, "&amp;$C60&amp;", *")/$B60*100</f>
        <v>0</v>
      </c>
      <c r="AH60" s="41">
        <f>COUNTIFS(集計用!$P:$P, "*"&amp;AH$4&amp;",*",集計用!$G:$G,"*, "&amp;$C60&amp;", *")/$B60*100</f>
        <v>0</v>
      </c>
      <c r="AI60" s="41">
        <f>COUNTIFS(集計用!$P:$P, "*"&amp;AI$4&amp;",*",集計用!$G:$G,"*, "&amp;$C60&amp;", *")/$B60*100</f>
        <v>0</v>
      </c>
      <c r="AJ60" s="41">
        <f>COUNTIFS(集計用!$P:$P, "*"&amp;AJ$4&amp;",*",集計用!$G:$G,"*, "&amp;$C60&amp;", *")/$B60*100</f>
        <v>0</v>
      </c>
      <c r="AK60" s="41">
        <f>COUNTIFS(集計用!$P:$P, "*"&amp;AK$4&amp;",*",集計用!$G:$G,"*, "&amp;$C60&amp;", *")/$B60*100</f>
        <v>0</v>
      </c>
      <c r="AL60" s="41">
        <f>COUNTIFS(集計用!$P:$P, "*"&amp;AL$4&amp;",*",集計用!$G:$G,"*, "&amp;$C60&amp;", *")/$B60*100</f>
        <v>0</v>
      </c>
      <c r="AM60" s="41">
        <f>COUNTIFS(集計用!$P:$P, "*"&amp;AM$4&amp;",*",集計用!$G:$G,"*, "&amp;$C60&amp;", *")/$B60*100</f>
        <v>0</v>
      </c>
      <c r="AN60" s="41">
        <f>COUNTIFS(集計用!$P:$P, "*"&amp;AN$4&amp;",*",集計用!$G:$G,"*, "&amp;$C60&amp;", *")/$B60*100</f>
        <v>0</v>
      </c>
      <c r="AO60" s="41">
        <f>COUNTIFS(集計用!$P:$P, "*"&amp;AO$4&amp;",*",集計用!$G:$G,"*, "&amp;$C60&amp;", *")/$B60*100</f>
        <v>0</v>
      </c>
      <c r="AP60" s="41">
        <f>COUNTIFS(集計用!$P:$P, "*"&amp;AP$4&amp;",*",集計用!$G:$G,"*, "&amp;$C60&amp;", *")/$B60*100</f>
        <v>0</v>
      </c>
      <c r="AQ60" s="41">
        <f>COUNTIFS(集計用!$P:$P, "*"&amp;AQ$4&amp;",*",集計用!$G:$G,"*, "&amp;$C60&amp;", *")/$B60*100</f>
        <v>0</v>
      </c>
      <c r="AR60" s="41">
        <f>COUNTIFS(集計用!$P:$P, "*"&amp;AR$4&amp;",*",集計用!$G:$G,"*, "&amp;$C60&amp;", *")/$B60*100</f>
        <v>0</v>
      </c>
      <c r="AS60" s="41">
        <f>COUNTIFS(集計用!$P:$P, "*"&amp;AS$4&amp;",*",集計用!$G:$G,"*, "&amp;$C60&amp;", *")/$B60*100</f>
        <v>0</v>
      </c>
      <c r="AT60" s="41">
        <f>COUNTIFS(集計用!$P:$P, "*"&amp;AT$4&amp;",*",集計用!$G:$G,"*, "&amp;$C60&amp;", *")/$B60*100</f>
        <v>0</v>
      </c>
      <c r="AU60" s="41">
        <f>COUNTIFS(集計用!$P:$P, "*"&amp;AU$4&amp;",*",集計用!$G:$G,"*, "&amp;$C60&amp;", *")/$B60*100</f>
        <v>0</v>
      </c>
      <c r="AV60" s="41">
        <f>COUNTIFS(集計用!$P:$P, "*"&amp;AV$4&amp;",*",集計用!$G:$G,"*, "&amp;$C60&amp;", *")/$B60*100</f>
        <v>0</v>
      </c>
      <c r="AW60" s="41">
        <f>COUNTIFS(集計用!$P:$P, "*"&amp;AW$4&amp;",*",集計用!$G:$G,"*, "&amp;$C60&amp;", *")/$B60*100</f>
        <v>0</v>
      </c>
      <c r="AX60" s="41">
        <f>COUNTIFS(集計用!$P:$P, "*"&amp;AX$4&amp;",*",集計用!$G:$G,"*, "&amp;$C60&amp;", *")/$B60*100</f>
        <v>0</v>
      </c>
      <c r="AY60" s="41">
        <f>COUNTIFS(集計用!$P:$P, "*"&amp;AY$4&amp;",*",集計用!$G:$G,"*, "&amp;$C60&amp;", *")/$B60*100</f>
        <v>0</v>
      </c>
      <c r="AZ60" s="41">
        <f>COUNTIFS(集計用!$P:$P, "*"&amp;AZ$4&amp;",*",集計用!$G:$G,"*, "&amp;$C60&amp;", *")/$B60*100</f>
        <v>0</v>
      </c>
      <c r="BA60" s="41">
        <f>COUNTIFS(集計用!$P:$P, "*"&amp;BA$4&amp;",*",集計用!$G:$G,"*, "&amp;$C60&amp;", *")/$B60*100</f>
        <v>0</v>
      </c>
      <c r="BB60" s="41">
        <f>COUNTIFS(集計用!$P:$P, "*"&amp;BB$4&amp;",*",集計用!$G:$G,"*, "&amp;$C60&amp;", *")/$B60*100</f>
        <v>0</v>
      </c>
      <c r="BC60" s="41"/>
      <c r="BD60" s="41"/>
      <c r="BE60" s="41"/>
      <c r="BF60" s="41"/>
      <c r="BG60" s="41"/>
      <c r="BH60" s="41"/>
      <c r="BI60" s="41"/>
      <c r="BJ60" s="41"/>
      <c r="BK60" s="41"/>
      <c r="BL60" s="41"/>
      <c r="BM60" s="41"/>
      <c r="BN60" s="41"/>
      <c r="BO60" s="41"/>
      <c r="BP60" s="41"/>
      <c r="BQ60" s="41"/>
      <c r="BR60" s="41"/>
      <c r="BS60" s="41"/>
    </row>
    <row r="61" spans="1:71" ht="14.25" customHeight="1">
      <c r="A61" s="39" t="s">
        <v>2180</v>
      </c>
      <c r="B61" s="39">
        <f>(COUNTIFS(集計用!$G:$G,"*, "&amp;$C61&amp;",*",集計用!$Q:$Q,"&lt;&gt;無回答"))</f>
        <v>2</v>
      </c>
      <c r="C61" s="42" t="s">
        <v>55</v>
      </c>
      <c r="D61" s="41">
        <f>COUNTIFS(集計用!$P:$P, "*"&amp;D$4&amp;",*",集計用!$G:$G,"*, "&amp;$C61&amp;", *")/$B61*100</f>
        <v>0</v>
      </c>
      <c r="E61" s="41">
        <f>COUNTIFS(集計用!$P:$P, "*"&amp;E$4&amp;",*",集計用!$G:$G,"*, "&amp;$C61&amp;", *")/$B61*100</f>
        <v>0</v>
      </c>
      <c r="F61" s="41">
        <f>COUNTIFS(集計用!$P:$P, "*"&amp;F$4&amp;",*",集計用!$G:$G,"*, "&amp;$C61&amp;", *")/$B61*100</f>
        <v>0</v>
      </c>
      <c r="G61" s="41">
        <f>COUNTIFS(集計用!$P:$P, "*"&amp;G$4&amp;",*",集計用!$G:$G,"*, "&amp;$C61&amp;", *")/$B61*100</f>
        <v>0</v>
      </c>
      <c r="H61" s="41">
        <f>COUNTIFS(集計用!$P:$P, "*"&amp;H$4&amp;",*",集計用!$G:$G,"*, "&amp;$C61&amp;", *")/$B61*100</f>
        <v>0</v>
      </c>
      <c r="I61" s="41">
        <f>COUNTIFS(集計用!$P:$P, "*"&amp;I$4&amp;",*",集計用!$G:$G,"*, "&amp;$C61&amp;", *")/$B61*100</f>
        <v>0</v>
      </c>
      <c r="J61" s="41">
        <f>COUNTIFS(集計用!$P:$P, "*"&amp;J$4&amp;",*",集計用!$G:$G,"*, "&amp;$C61&amp;", *")/$B61*100</f>
        <v>0</v>
      </c>
      <c r="K61" s="41">
        <f>COUNTIFS(集計用!$P:$P, "*"&amp;K$4&amp;",*",集計用!$G:$G,"*, "&amp;$C61&amp;", *")/$B61*100</f>
        <v>0</v>
      </c>
      <c r="L61" s="41">
        <f>COUNTIFS(集計用!$P:$P, "*"&amp;L$4&amp;",*",集計用!$G:$G,"*, "&amp;$C61&amp;", *")/$B61*100</f>
        <v>0</v>
      </c>
      <c r="M61" s="41">
        <f>COUNTIFS(集計用!$P:$P, "*"&amp;M$4&amp;",*",集計用!$G:$G,"*, "&amp;$C61&amp;", *")/$B61*100</f>
        <v>0</v>
      </c>
      <c r="N61" s="41">
        <f>COUNTIFS(集計用!$P:$P, "*"&amp;N$4&amp;",*",集計用!$G:$G,"*, "&amp;$C61&amp;", *")/$B61*100</f>
        <v>0</v>
      </c>
      <c r="O61" s="41">
        <f>COUNTIFS(集計用!$P:$P, "*"&amp;O$4&amp;",*",集計用!$G:$G,"*, "&amp;$C61&amp;", *")/$B61*100</f>
        <v>0</v>
      </c>
      <c r="P61" s="41">
        <f>COUNTIFS(集計用!$P:$P, "*"&amp;P$4&amp;",*",集計用!$G:$G,"*, "&amp;$C61&amp;", *")/$B61*100</f>
        <v>0</v>
      </c>
      <c r="Q61" s="41">
        <f>COUNTIFS(集計用!$P:$P, "*"&amp;Q$4&amp;",*",集計用!$G:$G,"*, "&amp;$C61&amp;", *")/$B61*100</f>
        <v>0</v>
      </c>
      <c r="R61" s="41">
        <f>COUNTIFS(集計用!$P:$P, "*"&amp;R$4&amp;",*",集計用!$G:$G,"*, "&amp;$C61&amp;", *")/$B61*100</f>
        <v>0</v>
      </c>
      <c r="S61" s="41">
        <f>COUNTIFS(集計用!$P:$P, "*"&amp;S$4&amp;",*",集計用!$G:$G,"*, "&amp;$C61&amp;", *")/$B61*100</f>
        <v>0</v>
      </c>
      <c r="T61" s="41">
        <f>COUNTIFS(集計用!$P:$P, "*"&amp;T$4&amp;",*",集計用!$G:$G,"*, "&amp;$C61&amp;", *")/$B61*100</f>
        <v>0</v>
      </c>
      <c r="U61" s="41">
        <f>COUNTIFS(集計用!$P:$P, "*"&amp;U$4&amp;",*",集計用!$G:$G,"*, "&amp;$C61&amp;", *")/$B61*100</f>
        <v>0</v>
      </c>
      <c r="V61" s="41">
        <f>COUNTIFS(集計用!$P:$P, "*"&amp;V$4&amp;",*",集計用!$G:$G,"*, "&amp;$C61&amp;", *")/$B61*100</f>
        <v>0</v>
      </c>
      <c r="W61" s="41">
        <f>COUNTIFS(集計用!$P:$P, "*"&amp;W$4&amp;",*",集計用!$G:$G,"*, "&amp;$C61&amp;", *")/$B61*100</f>
        <v>0</v>
      </c>
      <c r="X61" s="41">
        <f>COUNTIFS(集計用!$P:$P, "*"&amp;X$4&amp;",*",集計用!$G:$G,"*, "&amp;$C61&amp;", *")/$B61*100</f>
        <v>0</v>
      </c>
      <c r="Y61" s="41">
        <f>COUNTIFS(集計用!$P:$P, "*"&amp;Y$4&amp;",*",集計用!$G:$G,"*, "&amp;$C61&amp;", *")/$B61*100</f>
        <v>0</v>
      </c>
      <c r="Z61" s="41">
        <f>COUNTIFS(集計用!$P:$P, "*"&amp;Z$4&amp;",*",集計用!$G:$G,"*, "&amp;$C61&amp;", *")/$B61*100</f>
        <v>0</v>
      </c>
      <c r="AA61" s="41">
        <f>COUNTIFS(集計用!$P:$P, "*"&amp;AA$4&amp;",*",集計用!$G:$G,"*, "&amp;$C61&amp;", *")/$B61*100</f>
        <v>0</v>
      </c>
      <c r="AB61" s="41">
        <f>COUNTIFS(集計用!$P:$P, "*"&amp;AB$4&amp;",*",集計用!$G:$G,"*, "&amp;$C61&amp;", *")/$B61*100</f>
        <v>0</v>
      </c>
      <c r="AC61" s="41">
        <f>COUNTIFS(集計用!$P:$P, "*"&amp;AC$4&amp;",*",集計用!$G:$G,"*, "&amp;$C61&amp;", *")/$B61*100</f>
        <v>0</v>
      </c>
      <c r="AD61" s="41">
        <f>COUNTIFS(集計用!$P:$P, "*"&amp;AD$4&amp;",*",集計用!$G:$G,"*, "&amp;$C61&amp;", *")/$B61*100</f>
        <v>0</v>
      </c>
      <c r="AE61" s="41">
        <f>COUNTIFS(集計用!$P:$P, "*"&amp;AE$4&amp;",*",集計用!$G:$G,"*, "&amp;$C61&amp;", *")/$B61*100</f>
        <v>0</v>
      </c>
      <c r="AF61" s="41">
        <f>COUNTIFS(集計用!$P:$P, "*"&amp;AF$4&amp;",*",集計用!$G:$G,"*, "&amp;$C61&amp;", *")/$B61*100</f>
        <v>0</v>
      </c>
      <c r="AG61" s="41">
        <f>COUNTIFS(集計用!$P:$P, "*"&amp;AG$4&amp;",*",集計用!$G:$G,"*, "&amp;$C61&amp;", *")/$B61*100</f>
        <v>0</v>
      </c>
      <c r="AH61" s="41">
        <f>COUNTIFS(集計用!$P:$P, "*"&amp;AH$4&amp;",*",集計用!$G:$G,"*, "&amp;$C61&amp;", *")/$B61*100</f>
        <v>0</v>
      </c>
      <c r="AI61" s="41">
        <f>COUNTIFS(集計用!$P:$P, "*"&amp;AI$4&amp;",*",集計用!$G:$G,"*, "&amp;$C61&amp;", *")/$B61*100</f>
        <v>0</v>
      </c>
      <c r="AJ61" s="41">
        <f>COUNTIFS(集計用!$P:$P, "*"&amp;AJ$4&amp;",*",集計用!$G:$G,"*, "&amp;$C61&amp;", *")/$B61*100</f>
        <v>0</v>
      </c>
      <c r="AK61" s="41">
        <f>COUNTIFS(集計用!$P:$P, "*"&amp;AK$4&amp;",*",集計用!$G:$G,"*, "&amp;$C61&amp;", *")/$B61*100</f>
        <v>0</v>
      </c>
      <c r="AL61" s="41">
        <f>COUNTIFS(集計用!$P:$P, "*"&amp;AL$4&amp;",*",集計用!$G:$G,"*, "&amp;$C61&amp;", *")/$B61*100</f>
        <v>0</v>
      </c>
      <c r="AM61" s="41">
        <f>COUNTIFS(集計用!$P:$P, "*"&amp;AM$4&amp;",*",集計用!$G:$G,"*, "&amp;$C61&amp;", *")/$B61*100</f>
        <v>0</v>
      </c>
      <c r="AN61" s="41">
        <f>COUNTIFS(集計用!$P:$P, "*"&amp;AN$4&amp;",*",集計用!$G:$G,"*, "&amp;$C61&amp;", *")/$B61*100</f>
        <v>0</v>
      </c>
      <c r="AO61" s="41">
        <f>COUNTIFS(集計用!$P:$P, "*"&amp;AO$4&amp;",*",集計用!$G:$G,"*, "&amp;$C61&amp;", *")/$B61*100</f>
        <v>0</v>
      </c>
      <c r="AP61" s="41">
        <f>COUNTIFS(集計用!$P:$P, "*"&amp;AP$4&amp;",*",集計用!$G:$G,"*, "&amp;$C61&amp;", *")/$B61*100</f>
        <v>0</v>
      </c>
      <c r="AQ61" s="41">
        <f>COUNTIFS(集計用!$P:$P, "*"&amp;AQ$4&amp;",*",集計用!$G:$G,"*, "&amp;$C61&amp;", *")/$B61*100</f>
        <v>0</v>
      </c>
      <c r="AR61" s="41">
        <f>COUNTIFS(集計用!$P:$P, "*"&amp;AR$4&amp;",*",集計用!$G:$G,"*, "&amp;$C61&amp;", *")/$B61*100</f>
        <v>0</v>
      </c>
      <c r="AS61" s="41">
        <f>COUNTIFS(集計用!$P:$P, "*"&amp;AS$4&amp;",*",集計用!$G:$G,"*, "&amp;$C61&amp;", *")/$B61*100</f>
        <v>0</v>
      </c>
      <c r="AT61" s="41">
        <f>COUNTIFS(集計用!$P:$P, "*"&amp;AT$4&amp;",*",集計用!$G:$G,"*, "&amp;$C61&amp;", *")/$B61*100</f>
        <v>0</v>
      </c>
      <c r="AU61" s="41">
        <f>COUNTIFS(集計用!$P:$P, "*"&amp;AU$4&amp;",*",集計用!$G:$G,"*, "&amp;$C61&amp;", *")/$B61*100</f>
        <v>0</v>
      </c>
      <c r="AV61" s="41">
        <f>COUNTIFS(集計用!$P:$P, "*"&amp;AV$4&amp;",*",集計用!$G:$G,"*, "&amp;$C61&amp;", *")/$B61*100</f>
        <v>0</v>
      </c>
      <c r="AW61" s="41">
        <f>COUNTIFS(集計用!$P:$P, "*"&amp;AW$4&amp;",*",集計用!$G:$G,"*, "&amp;$C61&amp;", *")/$B61*100</f>
        <v>0</v>
      </c>
      <c r="AX61" s="41">
        <f>COUNTIFS(集計用!$P:$P, "*"&amp;AX$4&amp;",*",集計用!$G:$G,"*, "&amp;$C61&amp;", *")/$B61*100</f>
        <v>0</v>
      </c>
      <c r="AY61" s="41">
        <f>COUNTIFS(集計用!$P:$P, "*"&amp;AY$4&amp;",*",集計用!$G:$G,"*, "&amp;$C61&amp;", *")/$B61*100</f>
        <v>0</v>
      </c>
      <c r="AZ61" s="41">
        <f>COUNTIFS(集計用!$P:$P, "*"&amp;AZ$4&amp;",*",集計用!$G:$G,"*, "&amp;$C61&amp;", *")/$B61*100</f>
        <v>0</v>
      </c>
      <c r="BA61" s="41">
        <f>COUNTIFS(集計用!$P:$P, "*"&amp;BA$4&amp;",*",集計用!$G:$G,"*, "&amp;$C61&amp;", *")/$B61*100</f>
        <v>0</v>
      </c>
      <c r="BB61" s="41">
        <f>COUNTIFS(集計用!$P:$P, "*"&amp;BB$4&amp;",*",集計用!$G:$G,"*, "&amp;$C61&amp;", *")/$B61*100</f>
        <v>0</v>
      </c>
      <c r="BC61" s="41"/>
      <c r="BD61" s="41"/>
      <c r="BE61" s="41"/>
      <c r="BF61" s="41"/>
      <c r="BG61" s="41"/>
      <c r="BH61" s="41"/>
      <c r="BI61" s="41"/>
      <c r="BJ61" s="41"/>
      <c r="BK61" s="41"/>
      <c r="BL61" s="41"/>
      <c r="BM61" s="41"/>
      <c r="BN61" s="41"/>
      <c r="BO61" s="41"/>
      <c r="BP61" s="41"/>
      <c r="BQ61" s="41"/>
      <c r="BR61" s="41"/>
      <c r="BS61" s="41"/>
    </row>
    <row r="62" spans="1:71" ht="14.25" customHeight="1">
      <c r="A62" s="39" t="s">
        <v>2180</v>
      </c>
      <c r="B62" s="39">
        <f>(COUNTIFS(集計用!$G:$G,"*, "&amp;$C62&amp;",*",集計用!$Q:$Q,"&lt;&gt;無回答"))</f>
        <v>1</v>
      </c>
      <c r="C62" s="42" t="s">
        <v>56</v>
      </c>
      <c r="D62" s="41">
        <f>COUNTIFS(集計用!$P:$P, "*"&amp;D$4&amp;",*",集計用!$G:$G,"*, "&amp;$C62&amp;", *")/$B62*100</f>
        <v>0</v>
      </c>
      <c r="E62" s="41">
        <f>COUNTIFS(集計用!$P:$P, "*"&amp;E$4&amp;",*",集計用!$G:$G,"*, "&amp;$C62&amp;", *")/$B62*100</f>
        <v>0</v>
      </c>
      <c r="F62" s="41">
        <f>COUNTIFS(集計用!$P:$P, "*"&amp;F$4&amp;",*",集計用!$G:$G,"*, "&amp;$C62&amp;", *")/$B62*100</f>
        <v>0</v>
      </c>
      <c r="G62" s="41">
        <f>COUNTIFS(集計用!$P:$P, "*"&amp;G$4&amp;",*",集計用!$G:$G,"*, "&amp;$C62&amp;", *")/$B62*100</f>
        <v>0</v>
      </c>
      <c r="H62" s="41">
        <f>COUNTIFS(集計用!$P:$P, "*"&amp;H$4&amp;",*",集計用!$G:$G,"*, "&amp;$C62&amp;", *")/$B62*100</f>
        <v>0</v>
      </c>
      <c r="I62" s="41">
        <f>COUNTIFS(集計用!$P:$P, "*"&amp;I$4&amp;",*",集計用!$G:$G,"*, "&amp;$C62&amp;", *")/$B62*100</f>
        <v>0</v>
      </c>
      <c r="J62" s="41">
        <f>COUNTIFS(集計用!$P:$P, "*"&amp;J$4&amp;",*",集計用!$G:$G,"*, "&amp;$C62&amp;", *")/$B62*100</f>
        <v>0</v>
      </c>
      <c r="K62" s="41">
        <f>COUNTIFS(集計用!$P:$P, "*"&amp;K$4&amp;",*",集計用!$G:$G,"*, "&amp;$C62&amp;", *")/$B62*100</f>
        <v>0</v>
      </c>
      <c r="L62" s="41">
        <f>COUNTIFS(集計用!$P:$P, "*"&amp;L$4&amp;",*",集計用!$G:$G,"*, "&amp;$C62&amp;", *")/$B62*100</f>
        <v>0</v>
      </c>
      <c r="M62" s="41">
        <f>COUNTIFS(集計用!$P:$P, "*"&amp;M$4&amp;",*",集計用!$G:$G,"*, "&amp;$C62&amp;", *")/$B62*100</f>
        <v>0</v>
      </c>
      <c r="N62" s="41">
        <f>COUNTIFS(集計用!$P:$P, "*"&amp;N$4&amp;",*",集計用!$G:$G,"*, "&amp;$C62&amp;", *")/$B62*100</f>
        <v>0</v>
      </c>
      <c r="O62" s="41">
        <f>COUNTIFS(集計用!$P:$P, "*"&amp;O$4&amp;",*",集計用!$G:$G,"*, "&amp;$C62&amp;", *")/$B62*100</f>
        <v>0</v>
      </c>
      <c r="P62" s="41">
        <f>COUNTIFS(集計用!$P:$P, "*"&amp;P$4&amp;",*",集計用!$G:$G,"*, "&amp;$C62&amp;", *")/$B62*100</f>
        <v>0</v>
      </c>
      <c r="Q62" s="41">
        <f>COUNTIFS(集計用!$P:$P, "*"&amp;Q$4&amp;",*",集計用!$G:$G,"*, "&amp;$C62&amp;", *")/$B62*100</f>
        <v>0</v>
      </c>
      <c r="R62" s="41">
        <f>COUNTIFS(集計用!$P:$P, "*"&amp;R$4&amp;",*",集計用!$G:$G,"*, "&amp;$C62&amp;", *")/$B62*100</f>
        <v>0</v>
      </c>
      <c r="S62" s="41">
        <f>COUNTIFS(集計用!$P:$P, "*"&amp;S$4&amp;",*",集計用!$G:$G,"*, "&amp;$C62&amp;", *")/$B62*100</f>
        <v>0</v>
      </c>
      <c r="T62" s="41">
        <f>COUNTIFS(集計用!$P:$P, "*"&amp;T$4&amp;",*",集計用!$G:$G,"*, "&amp;$C62&amp;", *")/$B62*100</f>
        <v>0</v>
      </c>
      <c r="U62" s="41">
        <f>COUNTIFS(集計用!$P:$P, "*"&amp;U$4&amp;",*",集計用!$G:$G,"*, "&amp;$C62&amp;", *")/$B62*100</f>
        <v>0</v>
      </c>
      <c r="V62" s="41">
        <f>COUNTIFS(集計用!$P:$P, "*"&amp;V$4&amp;",*",集計用!$G:$G,"*, "&amp;$C62&amp;", *")/$B62*100</f>
        <v>0</v>
      </c>
      <c r="W62" s="41">
        <f>COUNTIFS(集計用!$P:$P, "*"&amp;W$4&amp;",*",集計用!$G:$G,"*, "&amp;$C62&amp;", *")/$B62*100</f>
        <v>0</v>
      </c>
      <c r="X62" s="41">
        <f>COUNTIFS(集計用!$P:$P, "*"&amp;X$4&amp;",*",集計用!$G:$G,"*, "&amp;$C62&amp;", *")/$B62*100</f>
        <v>0</v>
      </c>
      <c r="Y62" s="41">
        <f>COUNTIFS(集計用!$P:$P, "*"&amp;Y$4&amp;",*",集計用!$G:$G,"*, "&amp;$C62&amp;", *")/$B62*100</f>
        <v>0</v>
      </c>
      <c r="Z62" s="41">
        <f>COUNTIFS(集計用!$P:$P, "*"&amp;Z$4&amp;",*",集計用!$G:$G,"*, "&amp;$C62&amp;", *")/$B62*100</f>
        <v>0</v>
      </c>
      <c r="AA62" s="41">
        <f>COUNTIFS(集計用!$P:$P, "*"&amp;AA$4&amp;",*",集計用!$G:$G,"*, "&amp;$C62&amp;", *")/$B62*100</f>
        <v>0</v>
      </c>
      <c r="AB62" s="41">
        <f>COUNTIFS(集計用!$P:$P, "*"&amp;AB$4&amp;",*",集計用!$G:$G,"*, "&amp;$C62&amp;", *")/$B62*100</f>
        <v>0</v>
      </c>
      <c r="AC62" s="41">
        <f>COUNTIFS(集計用!$P:$P, "*"&amp;AC$4&amp;",*",集計用!$G:$G,"*, "&amp;$C62&amp;", *")/$B62*100</f>
        <v>0</v>
      </c>
      <c r="AD62" s="41">
        <f>COUNTIFS(集計用!$P:$P, "*"&amp;AD$4&amp;",*",集計用!$G:$G,"*, "&amp;$C62&amp;", *")/$B62*100</f>
        <v>0</v>
      </c>
      <c r="AE62" s="41">
        <f>COUNTIFS(集計用!$P:$P, "*"&amp;AE$4&amp;",*",集計用!$G:$G,"*, "&amp;$C62&amp;", *")/$B62*100</f>
        <v>0</v>
      </c>
      <c r="AF62" s="41">
        <f>COUNTIFS(集計用!$P:$P, "*"&amp;AF$4&amp;",*",集計用!$G:$G,"*, "&amp;$C62&amp;", *")/$B62*100</f>
        <v>0</v>
      </c>
      <c r="AG62" s="41">
        <f>COUNTIFS(集計用!$P:$P, "*"&amp;AG$4&amp;",*",集計用!$G:$G,"*, "&amp;$C62&amp;", *")/$B62*100</f>
        <v>0</v>
      </c>
      <c r="AH62" s="41">
        <f>COUNTIFS(集計用!$P:$P, "*"&amp;AH$4&amp;",*",集計用!$G:$G,"*, "&amp;$C62&amp;", *")/$B62*100</f>
        <v>0</v>
      </c>
      <c r="AI62" s="41">
        <f>COUNTIFS(集計用!$P:$P, "*"&amp;AI$4&amp;",*",集計用!$G:$G,"*, "&amp;$C62&amp;", *")/$B62*100</f>
        <v>0</v>
      </c>
      <c r="AJ62" s="41">
        <f>COUNTIFS(集計用!$P:$P, "*"&amp;AJ$4&amp;",*",集計用!$G:$G,"*, "&amp;$C62&amp;", *")/$B62*100</f>
        <v>0</v>
      </c>
      <c r="AK62" s="41">
        <f>COUNTIFS(集計用!$P:$P, "*"&amp;AK$4&amp;",*",集計用!$G:$G,"*, "&amp;$C62&amp;", *")/$B62*100</f>
        <v>0</v>
      </c>
      <c r="AL62" s="41">
        <f>COUNTIFS(集計用!$P:$P, "*"&amp;AL$4&amp;",*",集計用!$G:$G,"*, "&amp;$C62&amp;", *")/$B62*100</f>
        <v>0</v>
      </c>
      <c r="AM62" s="41">
        <f>COUNTIFS(集計用!$P:$P, "*"&amp;AM$4&amp;",*",集計用!$G:$G,"*, "&amp;$C62&amp;", *")/$B62*100</f>
        <v>0</v>
      </c>
      <c r="AN62" s="41">
        <f>COUNTIFS(集計用!$P:$P, "*"&amp;AN$4&amp;",*",集計用!$G:$G,"*, "&amp;$C62&amp;", *")/$B62*100</f>
        <v>0</v>
      </c>
      <c r="AO62" s="41">
        <f>COUNTIFS(集計用!$P:$P, "*"&amp;AO$4&amp;",*",集計用!$G:$G,"*, "&amp;$C62&amp;", *")/$B62*100</f>
        <v>0</v>
      </c>
      <c r="AP62" s="41">
        <f>COUNTIFS(集計用!$P:$P, "*"&amp;AP$4&amp;",*",集計用!$G:$G,"*, "&amp;$C62&amp;", *")/$B62*100</f>
        <v>0</v>
      </c>
      <c r="AQ62" s="41">
        <f>COUNTIFS(集計用!$P:$P, "*"&amp;AQ$4&amp;",*",集計用!$G:$G,"*, "&amp;$C62&amp;", *")/$B62*100</f>
        <v>0</v>
      </c>
      <c r="AR62" s="41">
        <f>COUNTIFS(集計用!$P:$P, "*"&amp;AR$4&amp;",*",集計用!$G:$G,"*, "&amp;$C62&amp;", *")/$B62*100</f>
        <v>0</v>
      </c>
      <c r="AS62" s="41">
        <f>COUNTIFS(集計用!$P:$P, "*"&amp;AS$4&amp;",*",集計用!$G:$G,"*, "&amp;$C62&amp;", *")/$B62*100</f>
        <v>0</v>
      </c>
      <c r="AT62" s="41">
        <f>COUNTIFS(集計用!$P:$P, "*"&amp;AT$4&amp;",*",集計用!$G:$G,"*, "&amp;$C62&amp;", *")/$B62*100</f>
        <v>0</v>
      </c>
      <c r="AU62" s="41">
        <f>COUNTIFS(集計用!$P:$P, "*"&amp;AU$4&amp;",*",集計用!$G:$G,"*, "&amp;$C62&amp;", *")/$B62*100</f>
        <v>0</v>
      </c>
      <c r="AV62" s="41">
        <f>COUNTIFS(集計用!$P:$P, "*"&amp;AV$4&amp;",*",集計用!$G:$G,"*, "&amp;$C62&amp;", *")/$B62*100</f>
        <v>0</v>
      </c>
      <c r="AW62" s="41">
        <f>COUNTIFS(集計用!$P:$P, "*"&amp;AW$4&amp;",*",集計用!$G:$G,"*, "&amp;$C62&amp;", *")/$B62*100</f>
        <v>0</v>
      </c>
      <c r="AX62" s="41">
        <f>COUNTIFS(集計用!$P:$P, "*"&amp;AX$4&amp;",*",集計用!$G:$G,"*, "&amp;$C62&amp;", *")/$B62*100</f>
        <v>0</v>
      </c>
      <c r="AY62" s="41">
        <f>COUNTIFS(集計用!$P:$P, "*"&amp;AY$4&amp;",*",集計用!$G:$G,"*, "&amp;$C62&amp;", *")/$B62*100</f>
        <v>0</v>
      </c>
      <c r="AZ62" s="41">
        <f>COUNTIFS(集計用!$P:$P, "*"&amp;AZ$4&amp;",*",集計用!$G:$G,"*, "&amp;$C62&amp;", *")/$B62*100</f>
        <v>0</v>
      </c>
      <c r="BA62" s="41">
        <f>COUNTIFS(集計用!$P:$P, "*"&amp;BA$4&amp;",*",集計用!$G:$G,"*, "&amp;$C62&amp;", *")/$B62*100</f>
        <v>0</v>
      </c>
      <c r="BB62" s="41">
        <f>COUNTIFS(集計用!$P:$P, "*"&amp;BB$4&amp;",*",集計用!$G:$G,"*, "&amp;$C62&amp;", *")/$B62*100</f>
        <v>0</v>
      </c>
      <c r="BC62" s="41"/>
      <c r="BD62" s="41"/>
      <c r="BE62" s="41"/>
      <c r="BF62" s="41"/>
      <c r="BG62" s="41"/>
      <c r="BH62" s="41"/>
      <c r="BI62" s="41"/>
      <c r="BJ62" s="41"/>
      <c r="BK62" s="41"/>
      <c r="BL62" s="41"/>
      <c r="BM62" s="41"/>
      <c r="BN62" s="41"/>
      <c r="BO62" s="41"/>
      <c r="BP62" s="41"/>
      <c r="BQ62" s="41"/>
      <c r="BR62" s="41"/>
      <c r="BS62" s="41"/>
    </row>
    <row r="63" spans="1:71" ht="14.25" customHeight="1">
      <c r="C63" s="23"/>
    </row>
    <row r="64" spans="1:71" ht="12.75">
      <c r="C64" s="23"/>
    </row>
    <row r="65" spans="3:3" ht="15.75" customHeight="1">
      <c r="C65" s="23"/>
    </row>
    <row r="66" spans="3:3" ht="15.75" customHeight="1">
      <c r="C66" s="23"/>
    </row>
    <row r="67" spans="3:3" ht="15.75" customHeight="1">
      <c r="C67" s="23"/>
    </row>
    <row r="68" spans="3:3" ht="15.75" customHeight="1">
      <c r="C68" s="23"/>
    </row>
  </sheetData>
  <phoneticPr fontId="8"/>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8736-65A5-47BF-98A7-D9E9C31747A2}">
  <sheetPr>
    <outlinePr summaryBelow="0" summaryRight="0"/>
  </sheetPr>
  <dimension ref="A1:M68"/>
  <sheetViews>
    <sheetView zoomScaleNormal="100" workbookViewId="0">
      <selection activeCell="B5" sqref="B5"/>
    </sheetView>
  </sheetViews>
  <sheetFormatPr defaultColWidth="12.5703125" defaultRowHeight="15.75" customHeight="1"/>
  <cols>
    <col min="1" max="2" width="12.5703125" style="2"/>
    <col min="3" max="3" width="26.7109375" style="2" customWidth="1"/>
    <col min="4" max="4" width="23.5703125" style="2" customWidth="1"/>
    <col min="5" max="9" width="13.7109375" style="2" bestFit="1" customWidth="1"/>
    <col min="10" max="10" width="12.5703125" style="2"/>
    <col min="11" max="13" width="13.7109375" style="2" bestFit="1" customWidth="1"/>
    <col min="14" max="16384" width="12.5703125" style="2"/>
  </cols>
  <sheetData>
    <row r="1" spans="1:13" ht="15.75" customHeight="1">
      <c r="A1" s="10" t="s">
        <v>2435</v>
      </c>
    </row>
    <row r="2" spans="1:13" ht="15.75" customHeight="1">
      <c r="A2" s="10"/>
    </row>
    <row r="3" spans="1:13" ht="13.5" customHeight="1">
      <c r="C3" s="2" t="s">
        <v>2261</v>
      </c>
      <c r="D3" s="2">
        <f>COUNTIFS(集計用!$R:$R, "*, "&amp;D$4&amp;", *")</f>
        <v>248</v>
      </c>
      <c r="E3" s="2">
        <f>COUNTIFS(集計用!$R:$R, "*, "&amp;E$4&amp;", *")</f>
        <v>131</v>
      </c>
      <c r="F3" s="2">
        <f>COUNTIFS(集計用!$R:$R, "*, "&amp;F$4&amp;", *")</f>
        <v>72</v>
      </c>
      <c r="G3" s="2">
        <f>COUNTIFS(集計用!$R:$R, "*, "&amp;G$4&amp;", *")</f>
        <v>60</v>
      </c>
      <c r="H3" s="2">
        <f>COUNTIFS(集計用!$R:$R, "*, "&amp;H$4&amp;", *")</f>
        <v>60</v>
      </c>
      <c r="I3" s="2">
        <f>COUNTIFS(集計用!$R:$R, "*, "&amp;I$4&amp;", *")</f>
        <v>49</v>
      </c>
      <c r="J3" s="2">
        <f>COUNTIFS(集計用!$R:$R, "*, "&amp;J$4&amp;", *")</f>
        <v>32</v>
      </c>
      <c r="K3" s="2">
        <f>COUNTIFS(集計用!$R:$R, "*, "&amp;K$4&amp;", *")</f>
        <v>31</v>
      </c>
      <c r="L3" s="2">
        <f>COUNTIFS(集計用!$R:$R, "*, "&amp;L$4&amp;", *")</f>
        <v>5</v>
      </c>
      <c r="M3" s="2">
        <f>COUNTIFS(集計用!$R:$R, "*, "&amp;M$4&amp;", *")</f>
        <v>2</v>
      </c>
    </row>
    <row r="4" spans="1:13" ht="14.25">
      <c r="A4" s="50" t="s">
        <v>2178</v>
      </c>
      <c r="B4" s="50" t="s">
        <v>2179</v>
      </c>
      <c r="C4" s="50" t="s">
        <v>2182</v>
      </c>
      <c r="D4" s="100" t="s">
        <v>2436</v>
      </c>
      <c r="E4" s="100" t="s">
        <v>106</v>
      </c>
      <c r="F4" s="100" t="s">
        <v>107</v>
      </c>
      <c r="G4" s="100" t="s">
        <v>108</v>
      </c>
      <c r="H4" s="100" t="s">
        <v>109</v>
      </c>
      <c r="I4" s="100" t="s">
        <v>110</v>
      </c>
      <c r="J4" s="100" t="s">
        <v>111</v>
      </c>
      <c r="K4" s="100" t="s">
        <v>112</v>
      </c>
      <c r="L4" s="100" t="s">
        <v>113</v>
      </c>
      <c r="M4" s="100" t="s">
        <v>114</v>
      </c>
    </row>
    <row r="5" spans="1:13" ht="12.75">
      <c r="A5" s="27">
        <v>0</v>
      </c>
      <c r="B5" s="27">
        <f>COUNTA(集計用!$T:$T)-1-COUNTIF(集計用!$T:$T, "無回答 , ")</f>
        <v>426</v>
      </c>
      <c r="C5" s="35" t="s">
        <v>2245</v>
      </c>
      <c r="D5" s="29">
        <f>COUNTIFS(集計用!$R:$R, "*, "&amp;D$4&amp;", *")/$B5*100</f>
        <v>58.215962441314552</v>
      </c>
      <c r="E5" s="29">
        <f>COUNTIFS(集計用!$R:$R, "*, "&amp;E$4&amp;", *")/$B5*100</f>
        <v>30.751173708920188</v>
      </c>
      <c r="F5" s="29">
        <f>COUNTIFS(集計用!$R:$R, "*, "&amp;F$4&amp;", *")/$B5*100</f>
        <v>16.901408450704224</v>
      </c>
      <c r="G5" s="29">
        <f>COUNTIFS(集計用!$R:$R, "*, "&amp;G$4&amp;", *")/$B5*100</f>
        <v>14.084507042253522</v>
      </c>
      <c r="H5" s="29">
        <f>COUNTIFS(集計用!$R:$R, "*, "&amp;H$4&amp;", *")/$B5*100</f>
        <v>14.084507042253522</v>
      </c>
      <c r="I5" s="29">
        <f>COUNTIFS(集計用!$R:$R, "*, "&amp;I$4&amp;", *")/$B5*100</f>
        <v>11.502347417840376</v>
      </c>
      <c r="J5" s="29">
        <f>COUNTIFS(集計用!$R:$R, "*, "&amp;J$4&amp;", *")/$B5*100</f>
        <v>7.511737089201878</v>
      </c>
      <c r="K5" s="29">
        <f>COUNTIFS(集計用!$R:$R, "*, "&amp;K$4&amp;", *")/$B5*100</f>
        <v>7.276995305164319</v>
      </c>
      <c r="L5" s="29">
        <f>COUNTIFS(集計用!$R:$R, "*, "&amp;L$4&amp;", *")/$B5*100</f>
        <v>1.1737089201877933</v>
      </c>
      <c r="M5" s="29">
        <f>COUNTIFS(集計用!$R:$R, "*, "&amp;M$4&amp;", *")/$B5*100</f>
        <v>0.46948356807511737</v>
      </c>
    </row>
    <row r="6" spans="1:13" ht="15.75" customHeight="1">
      <c r="A6" s="27">
        <v>1</v>
      </c>
      <c r="B6" s="27">
        <f>(COUNTIFS(集計用!$G:$G,"*, "&amp;$C6&amp;",*",集計用!$T:$T, "&lt;&gt;無回答"))</f>
        <v>256</v>
      </c>
      <c r="C6" s="36" t="s">
        <v>0</v>
      </c>
      <c r="D6" s="29">
        <f>COUNTIFS(集計用!$R:$R, "*, "&amp;D$4&amp;", *",集計用!$G:$G,"*, "&amp;$C6&amp;", *")/$B6*100</f>
        <v>52.34375</v>
      </c>
      <c r="E6" s="29">
        <f>COUNTIFS(集計用!$R:$R, "*, "&amp;E$4&amp;", *",集計用!$G:$G,"*, "&amp;$C6&amp;", *")/$B6*100</f>
        <v>28.515625</v>
      </c>
      <c r="F6" s="29">
        <f>COUNTIFS(集計用!$R:$R, "*, "&amp;F$4&amp;", *",集計用!$G:$G,"*, "&amp;$C6&amp;", *")/$B6*100</f>
        <v>18.359375</v>
      </c>
      <c r="G6" s="29">
        <f>COUNTIFS(集計用!$R:$R, "*, "&amp;G$4&amp;", *",集計用!$G:$G,"*, "&amp;$C6&amp;", *")/$B6*100</f>
        <v>12.5</v>
      </c>
      <c r="H6" s="29">
        <f>COUNTIFS(集計用!$R:$R, "*, "&amp;H$4&amp;", *",集計用!$G:$G,"*, "&amp;$C6&amp;", *")/$B6*100</f>
        <v>12.109375</v>
      </c>
      <c r="I6" s="29">
        <f>COUNTIFS(集計用!$R:$R, "*, "&amp;I$4&amp;", *",集計用!$G:$G,"*, "&amp;$C6&amp;", *")/$B6*100</f>
        <v>12.890625</v>
      </c>
      <c r="J6" s="29">
        <f>COUNTIFS(集計用!$R:$R, "*, "&amp;J$4&amp;", *",集計用!$G:$G,"*, "&amp;$C6&amp;", *")/$B6*100</f>
        <v>8.203125</v>
      </c>
      <c r="K6" s="29">
        <f>COUNTIFS(集計用!$R:$R, "*, "&amp;K$4&amp;", *",集計用!$G:$G,"*, "&amp;$C6&amp;", *")/$B6*100</f>
        <v>8.984375</v>
      </c>
      <c r="L6" s="29">
        <f>COUNTIFS(集計用!$R:$R, "*, "&amp;L$4&amp;", *",集計用!$G:$G,"*, "&amp;$C6&amp;", *")/$B6*100</f>
        <v>1.171875</v>
      </c>
      <c r="M6" s="29">
        <f>COUNTIFS(集計用!$R:$R, "*, "&amp;M$4&amp;", *",集計用!$G:$G,"*, "&amp;$C6&amp;", *")/$B6*100</f>
        <v>0.390625</v>
      </c>
    </row>
    <row r="7" spans="1:13" ht="15.75" customHeight="1">
      <c r="A7" s="27">
        <v>1</v>
      </c>
      <c r="B7" s="27">
        <f>(COUNTIFS(集計用!$G:$G,"*, "&amp;$C7&amp;",*",集計用!$T:$T, "&lt;&gt;無回答"))</f>
        <v>144</v>
      </c>
      <c r="C7" s="36" t="s">
        <v>1</v>
      </c>
      <c r="D7" s="29">
        <f>COUNTIFS(集計用!$R:$R, "*, "&amp;D$4&amp;", *",集計用!$G:$G,"*, "&amp;$C7&amp;", *")/$B7*100</f>
        <v>56.944444444444443</v>
      </c>
      <c r="E7" s="29">
        <f>COUNTIFS(集計用!$R:$R, "*, "&amp;E$4&amp;", *",集計用!$G:$G,"*, "&amp;$C7&amp;", *")/$B7*100</f>
        <v>28.472222222222221</v>
      </c>
      <c r="F7" s="29">
        <f>COUNTIFS(集計用!$R:$R, "*, "&amp;F$4&amp;", *",集計用!$G:$G,"*, "&amp;$C7&amp;", *")/$B7*100</f>
        <v>17.361111111111111</v>
      </c>
      <c r="G7" s="29">
        <f>COUNTIFS(集計用!$R:$R, "*, "&amp;G$4&amp;", *",集計用!$G:$G,"*, "&amp;$C7&amp;", *")/$B7*100</f>
        <v>13.194444444444445</v>
      </c>
      <c r="H7" s="29">
        <f>COUNTIFS(集計用!$R:$R, "*, "&amp;H$4&amp;", *",集計用!$G:$G,"*, "&amp;$C7&amp;", *")/$B7*100</f>
        <v>12.5</v>
      </c>
      <c r="I7" s="29">
        <f>COUNTIFS(集計用!$R:$R, "*, "&amp;I$4&amp;", *",集計用!$G:$G,"*, "&amp;$C7&amp;", *")/$B7*100</f>
        <v>13.888888888888889</v>
      </c>
      <c r="J7" s="29">
        <f>COUNTIFS(集計用!$R:$R, "*, "&amp;J$4&amp;", *",集計用!$G:$G,"*, "&amp;$C7&amp;", *")/$B7*100</f>
        <v>11.111111111111111</v>
      </c>
      <c r="K7" s="29">
        <f>COUNTIFS(集計用!$R:$R, "*, "&amp;K$4&amp;", *",集計用!$G:$G,"*, "&amp;$C7&amp;", *")/$B7*100</f>
        <v>10.416666666666668</v>
      </c>
      <c r="L7" s="29">
        <f>COUNTIFS(集計用!$R:$R, "*, "&amp;L$4&amp;", *",集計用!$G:$G,"*, "&amp;$C7&amp;", *")/$B7*100</f>
        <v>2.7777777777777777</v>
      </c>
      <c r="M7" s="29">
        <f>COUNTIFS(集計用!$R:$R, "*, "&amp;M$4&amp;", *",集計用!$G:$G,"*, "&amp;$C7&amp;", *")/$B7*100</f>
        <v>0.69444444444444442</v>
      </c>
    </row>
    <row r="8" spans="1:13" ht="15.75" customHeight="1">
      <c r="A8" s="27">
        <v>2</v>
      </c>
      <c r="B8" s="27">
        <f>(COUNTIFS(集計用!$G:$G,"*, "&amp;$C8&amp;",*",集計用!$T:$T, "&lt;&gt;無回答"))</f>
        <v>121</v>
      </c>
      <c r="C8" s="36" t="s">
        <v>2</v>
      </c>
      <c r="D8" s="29">
        <f>COUNTIFS(集計用!$R:$R, "*, "&amp;D$4&amp;", *",集計用!$G:$G,"*, "&amp;$C8&amp;", *")/$B8*100</f>
        <v>54.54545454545454</v>
      </c>
      <c r="E8" s="29">
        <f>COUNTIFS(集計用!$R:$R, "*, "&amp;E$4&amp;", *",集計用!$G:$G,"*, "&amp;$C8&amp;", *")/$B8*100</f>
        <v>32.231404958677686</v>
      </c>
      <c r="F8" s="29">
        <f>COUNTIFS(集計用!$R:$R, "*, "&amp;F$4&amp;", *",集計用!$G:$G,"*, "&amp;$C8&amp;", *")/$B8*100</f>
        <v>19.834710743801654</v>
      </c>
      <c r="G8" s="29">
        <f>COUNTIFS(集計用!$R:$R, "*, "&amp;G$4&amp;", *",集計用!$G:$G,"*, "&amp;$C8&amp;", *")/$B8*100</f>
        <v>12.396694214876034</v>
      </c>
      <c r="H8" s="29">
        <f>COUNTIFS(集計用!$R:$R, "*, "&amp;H$4&amp;", *",集計用!$G:$G,"*, "&amp;$C8&amp;", *")/$B8*100</f>
        <v>14.87603305785124</v>
      </c>
      <c r="I8" s="29">
        <f>COUNTIFS(集計用!$R:$R, "*, "&amp;I$4&amp;", *",集計用!$G:$G,"*, "&amp;$C8&amp;", *")/$B8*100</f>
        <v>9.0909090909090917</v>
      </c>
      <c r="J8" s="29">
        <f>COUNTIFS(集計用!$R:$R, "*, "&amp;J$4&amp;", *",集計用!$G:$G,"*, "&amp;$C8&amp;", *")/$B8*100</f>
        <v>7.4380165289256199</v>
      </c>
      <c r="K8" s="29">
        <f>COUNTIFS(集計用!$R:$R, "*, "&amp;K$4&amp;", *",集計用!$G:$G,"*, "&amp;$C8&amp;", *")/$B8*100</f>
        <v>4.9586776859504136</v>
      </c>
      <c r="L8" s="29">
        <f>COUNTIFS(集計用!$R:$R, "*, "&amp;L$4&amp;", *",集計用!$G:$G,"*, "&amp;$C8&amp;", *")/$B8*100</f>
        <v>0.82644628099173556</v>
      </c>
      <c r="M8" s="29">
        <f>COUNTIFS(集計用!$R:$R, "*, "&amp;M$4&amp;", *",集計用!$G:$G,"*, "&amp;$C8&amp;", *")/$B8*100</f>
        <v>0.82644628099173556</v>
      </c>
    </row>
    <row r="9" spans="1:13" ht="15.75" customHeight="1">
      <c r="A9" s="27">
        <v>1</v>
      </c>
      <c r="B9" s="27">
        <f>(COUNTIFS(集計用!$G:$G,"*, "&amp;$C9&amp;",*",集計用!$T:$T, "&lt;&gt;無回答"))</f>
        <v>86</v>
      </c>
      <c r="C9" s="36" t="s">
        <v>3</v>
      </c>
      <c r="D9" s="29">
        <f>COUNTIFS(集計用!$R:$R, "*, "&amp;D$4&amp;", *",集計用!$G:$G,"*, "&amp;$C9&amp;", *")/$B9*100</f>
        <v>60.465116279069761</v>
      </c>
      <c r="E9" s="29">
        <f>COUNTIFS(集計用!$R:$R, "*, "&amp;E$4&amp;", *",集計用!$G:$G,"*, "&amp;$C9&amp;", *")/$B9*100</f>
        <v>30.232558139534881</v>
      </c>
      <c r="F9" s="29">
        <f>COUNTIFS(集計用!$R:$R, "*, "&amp;F$4&amp;", *",集計用!$G:$G,"*, "&amp;$C9&amp;", *")/$B9*100</f>
        <v>20.930232558139537</v>
      </c>
      <c r="G9" s="29">
        <f>COUNTIFS(集計用!$R:$R, "*, "&amp;G$4&amp;", *",集計用!$G:$G,"*, "&amp;$C9&amp;", *")/$B9*100</f>
        <v>12.790697674418606</v>
      </c>
      <c r="H9" s="29">
        <f>COUNTIFS(集計用!$R:$R, "*, "&amp;H$4&amp;", *",集計用!$G:$G,"*, "&amp;$C9&amp;", *")/$B9*100</f>
        <v>8.1395348837209305</v>
      </c>
      <c r="I9" s="29">
        <f>COUNTIFS(集計用!$R:$R, "*, "&amp;I$4&amp;", *",集計用!$G:$G,"*, "&amp;$C9&amp;", *")/$B9*100</f>
        <v>13.953488372093023</v>
      </c>
      <c r="J9" s="29">
        <f>COUNTIFS(集計用!$R:$R, "*, "&amp;J$4&amp;", *",集計用!$G:$G,"*, "&amp;$C9&amp;", *")/$B9*100</f>
        <v>6.9767441860465116</v>
      </c>
      <c r="K9" s="29">
        <f>COUNTIFS(集計用!$R:$R, "*, "&amp;K$4&amp;", *",集計用!$G:$G,"*, "&amp;$C9&amp;", *")/$B9*100</f>
        <v>11.627906976744185</v>
      </c>
      <c r="L9" s="29">
        <f>COUNTIFS(集計用!$R:$R, "*, "&amp;L$4&amp;", *",集計用!$G:$G,"*, "&amp;$C9&amp;", *")/$B9*100</f>
        <v>2.3255813953488373</v>
      </c>
      <c r="M9" s="29">
        <f>COUNTIFS(集計用!$R:$R, "*, "&amp;M$4&amp;", *",集計用!$G:$G,"*, "&amp;$C9&amp;", *")/$B9*100</f>
        <v>1.1627906976744187</v>
      </c>
    </row>
    <row r="10" spans="1:13" ht="15.75" customHeight="1">
      <c r="A10" s="27">
        <v>3</v>
      </c>
      <c r="B10" s="27">
        <f>(COUNTIFS(集計用!$G:$G,"*, "&amp;$C10&amp;",*",集計用!$T:$T, "&lt;&gt;無回答"))</f>
        <v>86</v>
      </c>
      <c r="C10" s="36" t="s">
        <v>4</v>
      </c>
      <c r="D10" s="29">
        <f>COUNTIFS(集計用!$R:$R, "*, "&amp;D$4&amp;", *",集計用!$G:$G,"*, "&amp;$C10&amp;", *")/$B10*100</f>
        <v>50</v>
      </c>
      <c r="E10" s="29">
        <f>COUNTIFS(集計用!$R:$R, "*, "&amp;E$4&amp;", *",集計用!$G:$G,"*, "&amp;$C10&amp;", *")/$B10*100</f>
        <v>30.232558139534881</v>
      </c>
      <c r="F10" s="29">
        <f>COUNTIFS(集計用!$R:$R, "*, "&amp;F$4&amp;", *",集計用!$G:$G,"*, "&amp;$C10&amp;", *")/$B10*100</f>
        <v>22.093023255813954</v>
      </c>
      <c r="G10" s="29">
        <f>COUNTIFS(集計用!$R:$R, "*, "&amp;G$4&amp;", *",集計用!$G:$G,"*, "&amp;$C10&amp;", *")/$B10*100</f>
        <v>17.441860465116278</v>
      </c>
      <c r="H10" s="29">
        <f>COUNTIFS(集計用!$R:$R, "*, "&amp;H$4&amp;", *",集計用!$G:$G,"*, "&amp;$C10&amp;", *")/$B10*100</f>
        <v>18.604651162790699</v>
      </c>
      <c r="I10" s="29">
        <f>COUNTIFS(集計用!$R:$R, "*, "&amp;I$4&amp;", *",集計用!$G:$G,"*, "&amp;$C10&amp;", *")/$B10*100</f>
        <v>11.627906976744185</v>
      </c>
      <c r="J10" s="29">
        <f>COUNTIFS(集計用!$R:$R, "*, "&amp;J$4&amp;", *",集計用!$G:$G,"*, "&amp;$C10&amp;", *")/$B10*100</f>
        <v>10.465116279069768</v>
      </c>
      <c r="K10" s="29">
        <f>COUNTIFS(集計用!$R:$R, "*, "&amp;K$4&amp;", *",集計用!$G:$G,"*, "&amp;$C10&amp;", *")/$B10*100</f>
        <v>10.465116279069768</v>
      </c>
      <c r="L10" s="29">
        <f>COUNTIFS(集計用!$R:$R, "*, "&amp;L$4&amp;", *",集計用!$G:$G,"*, "&amp;$C10&amp;", *")/$B10*100</f>
        <v>1.1627906976744187</v>
      </c>
      <c r="M10" s="29">
        <f>COUNTIFS(集計用!$R:$R, "*, "&amp;M$4&amp;", *",集計用!$G:$G,"*, "&amp;$C10&amp;", *")/$B10*100</f>
        <v>1.1627906976744187</v>
      </c>
    </row>
    <row r="11" spans="1:13" ht="15.75" customHeight="1">
      <c r="A11" s="27">
        <v>4</v>
      </c>
      <c r="B11" s="27">
        <f>(COUNTIFS(集計用!$G:$G,"*, "&amp;$C11&amp;",*",集計用!$T:$T, "&lt;&gt;無回答"))</f>
        <v>75</v>
      </c>
      <c r="C11" s="36" t="s">
        <v>5</v>
      </c>
      <c r="D11" s="29">
        <f>COUNTIFS(集計用!$R:$R, "*, "&amp;D$4&amp;", *",集計用!$G:$G,"*, "&amp;$C11&amp;", *")/$B11*100</f>
        <v>53.333333333333336</v>
      </c>
      <c r="E11" s="29">
        <f>COUNTIFS(集計用!$R:$R, "*, "&amp;E$4&amp;", *",集計用!$G:$G,"*, "&amp;$C11&amp;", *")/$B11*100</f>
        <v>34.666666666666671</v>
      </c>
      <c r="F11" s="29">
        <f>COUNTIFS(集計用!$R:$R, "*, "&amp;F$4&amp;", *",集計用!$G:$G,"*, "&amp;$C11&amp;", *")/$B11*100</f>
        <v>22.666666666666664</v>
      </c>
      <c r="G11" s="29">
        <f>COUNTIFS(集計用!$R:$R, "*, "&amp;G$4&amp;", *",集計用!$G:$G,"*, "&amp;$C11&amp;", *")/$B11*100</f>
        <v>12</v>
      </c>
      <c r="H11" s="29">
        <f>COUNTIFS(集計用!$R:$R, "*, "&amp;H$4&amp;", *",集計用!$G:$G,"*, "&amp;$C11&amp;", *")/$B11*100</f>
        <v>13.333333333333334</v>
      </c>
      <c r="I11" s="29">
        <f>COUNTIFS(集計用!$R:$R, "*, "&amp;I$4&amp;", *",集計用!$G:$G,"*, "&amp;$C11&amp;", *")/$B11*100</f>
        <v>13.333333333333334</v>
      </c>
      <c r="J11" s="29">
        <f>COUNTIFS(集計用!$R:$R, "*, "&amp;J$4&amp;", *",集計用!$G:$G,"*, "&amp;$C11&amp;", *")/$B11*100</f>
        <v>8</v>
      </c>
      <c r="K11" s="29">
        <f>COUNTIFS(集計用!$R:$R, "*, "&amp;K$4&amp;", *",集計用!$G:$G,"*, "&amp;$C11&amp;", *")/$B11*100</f>
        <v>10.666666666666668</v>
      </c>
      <c r="L11" s="29">
        <f>COUNTIFS(集計用!$R:$R, "*, "&amp;L$4&amp;", *",集計用!$G:$G,"*, "&amp;$C11&amp;", *")/$B11*100</f>
        <v>4</v>
      </c>
      <c r="M11" s="29">
        <f>COUNTIFS(集計用!$R:$R, "*, "&amp;M$4&amp;", *",集計用!$G:$G,"*, "&amp;$C11&amp;", *")/$B11*100</f>
        <v>1.3333333333333335</v>
      </c>
    </row>
    <row r="12" spans="1:13" ht="15.75" customHeight="1">
      <c r="A12" s="27">
        <v>1</v>
      </c>
      <c r="B12" s="27">
        <f>(COUNTIFS(集計用!$G:$G,"*, "&amp;$C12&amp;",*",集計用!$T:$T, "&lt;&gt;無回答"))</f>
        <v>74</v>
      </c>
      <c r="C12" s="36" t="s">
        <v>6</v>
      </c>
      <c r="D12" s="29">
        <f>COUNTIFS(集計用!$R:$R, "*, "&amp;D$4&amp;", *",集計用!$G:$G,"*, "&amp;$C12&amp;", *")/$B12*100</f>
        <v>55.405405405405403</v>
      </c>
      <c r="E12" s="29">
        <f>COUNTIFS(集計用!$R:$R, "*, "&amp;E$4&amp;", *",集計用!$G:$G,"*, "&amp;$C12&amp;", *")/$B12*100</f>
        <v>29.72972972972973</v>
      </c>
      <c r="F12" s="29">
        <f>COUNTIFS(集計用!$R:$R, "*, "&amp;F$4&amp;", *",集計用!$G:$G,"*, "&amp;$C12&amp;", *")/$B12*100</f>
        <v>14.864864864864865</v>
      </c>
      <c r="G12" s="29">
        <f>COUNTIFS(集計用!$R:$R, "*, "&amp;G$4&amp;", *",集計用!$G:$G,"*, "&amp;$C12&amp;", *")/$B12*100</f>
        <v>12.162162162162163</v>
      </c>
      <c r="H12" s="29">
        <f>COUNTIFS(集計用!$R:$R, "*, "&amp;H$4&amp;", *",集計用!$G:$G,"*, "&amp;$C12&amp;", *")/$B12*100</f>
        <v>8.1081081081081088</v>
      </c>
      <c r="I12" s="29">
        <f>COUNTIFS(集計用!$R:$R, "*, "&amp;I$4&amp;", *",集計用!$G:$G,"*, "&amp;$C12&amp;", *")/$B12*100</f>
        <v>21.621621621621621</v>
      </c>
      <c r="J12" s="29">
        <f>COUNTIFS(集計用!$R:$R, "*, "&amp;J$4&amp;", *",集計用!$G:$G,"*, "&amp;$C12&amp;", *")/$B12*100</f>
        <v>12.162162162162163</v>
      </c>
      <c r="K12" s="29">
        <f>COUNTIFS(集計用!$R:$R, "*, "&amp;K$4&amp;", *",集計用!$G:$G,"*, "&amp;$C12&amp;", *")/$B12*100</f>
        <v>12.162162162162163</v>
      </c>
      <c r="L12" s="29">
        <f>COUNTIFS(集計用!$R:$R, "*, "&amp;L$4&amp;", *",集計用!$G:$G,"*, "&amp;$C12&amp;", *")/$B12*100</f>
        <v>5.4054054054054053</v>
      </c>
      <c r="M12" s="29">
        <f>COUNTIFS(集計用!$R:$R, "*, "&amp;M$4&amp;", *",集計用!$G:$G,"*, "&amp;$C12&amp;", *")/$B12*100</f>
        <v>1.3513513513513513</v>
      </c>
    </row>
    <row r="13" spans="1:13" ht="15.75" customHeight="1">
      <c r="A13" s="27">
        <v>1</v>
      </c>
      <c r="B13" s="27">
        <f>(COUNTIFS(集計用!$G:$G,"*, "&amp;$C13&amp;",*",集計用!$T:$T, "&lt;&gt;無回答"))</f>
        <v>71</v>
      </c>
      <c r="C13" s="36" t="s">
        <v>7</v>
      </c>
      <c r="D13" s="29">
        <f>COUNTIFS(集計用!$R:$R, "*, "&amp;D$4&amp;", *",集計用!$G:$G,"*, "&amp;$C13&amp;", *")/$B13*100</f>
        <v>57.74647887323944</v>
      </c>
      <c r="E13" s="29">
        <f>COUNTIFS(集計用!$R:$R, "*, "&amp;E$4&amp;", *",集計用!$G:$G,"*, "&amp;$C13&amp;", *")/$B13*100</f>
        <v>28.169014084507044</v>
      </c>
      <c r="F13" s="29">
        <f>COUNTIFS(集計用!$R:$R, "*, "&amp;F$4&amp;", *",集計用!$G:$G,"*, "&amp;$C13&amp;", *")/$B13*100</f>
        <v>22.535211267605636</v>
      </c>
      <c r="G13" s="29">
        <f>COUNTIFS(集計用!$R:$R, "*, "&amp;G$4&amp;", *",集計用!$G:$G,"*, "&amp;$C13&amp;", *")/$B13*100</f>
        <v>15.492957746478872</v>
      </c>
      <c r="H13" s="29">
        <f>COUNTIFS(集計用!$R:$R, "*, "&amp;H$4&amp;", *",集計用!$G:$G,"*, "&amp;$C13&amp;", *")/$B13*100</f>
        <v>14.084507042253522</v>
      </c>
      <c r="I13" s="29">
        <f>COUNTIFS(集計用!$R:$R, "*, "&amp;I$4&amp;", *",集計用!$G:$G,"*, "&amp;$C13&amp;", *")/$B13*100</f>
        <v>16.901408450704224</v>
      </c>
      <c r="J13" s="29">
        <f>COUNTIFS(集計用!$R:$R, "*, "&amp;J$4&amp;", *",集計用!$G:$G,"*, "&amp;$C13&amp;", *")/$B13*100</f>
        <v>8.4507042253521121</v>
      </c>
      <c r="K13" s="29">
        <f>COUNTIFS(集計用!$R:$R, "*, "&amp;K$4&amp;", *",集計用!$G:$G,"*, "&amp;$C13&amp;", *")/$B13*100</f>
        <v>11.267605633802818</v>
      </c>
      <c r="L13" s="29">
        <f>COUNTIFS(集計用!$R:$R, "*, "&amp;L$4&amp;", *",集計用!$G:$G,"*, "&amp;$C13&amp;", *")/$B13*100</f>
        <v>1.4084507042253522</v>
      </c>
      <c r="M13" s="29">
        <f>COUNTIFS(集計用!$R:$R, "*, "&amp;M$4&amp;", *",集計用!$G:$G,"*, "&amp;$C13&amp;", *")/$B13*100</f>
        <v>1.4084507042253522</v>
      </c>
    </row>
    <row r="14" spans="1:13" ht="15.75" customHeight="1">
      <c r="A14" s="27">
        <v>3</v>
      </c>
      <c r="B14" s="27">
        <f>(COUNTIFS(集計用!$G:$G,"*, "&amp;$C14&amp;",*",集計用!$T:$T, "&lt;&gt;無回答"))</f>
        <v>71</v>
      </c>
      <c r="C14" s="36" t="s">
        <v>8</v>
      </c>
      <c r="D14" s="29">
        <f>COUNTIFS(集計用!$R:$R, "*, "&amp;D$4&amp;", *",集計用!$G:$G,"*, "&amp;$C14&amp;", *")/$B14*100</f>
        <v>50.704225352112672</v>
      </c>
      <c r="E14" s="29">
        <f>COUNTIFS(集計用!$R:$R, "*, "&amp;E$4&amp;", *",集計用!$G:$G,"*, "&amp;$C14&amp;", *")/$B14*100</f>
        <v>28.169014084507044</v>
      </c>
      <c r="F14" s="29">
        <f>COUNTIFS(集計用!$R:$R, "*, "&amp;F$4&amp;", *",集計用!$G:$G,"*, "&amp;$C14&amp;", *")/$B14*100</f>
        <v>12.676056338028168</v>
      </c>
      <c r="G14" s="29">
        <f>COUNTIFS(集計用!$R:$R, "*, "&amp;G$4&amp;", *",集計用!$G:$G,"*, "&amp;$C14&amp;", *")/$B14*100</f>
        <v>15.492957746478872</v>
      </c>
      <c r="H14" s="29">
        <f>COUNTIFS(集計用!$R:$R, "*, "&amp;H$4&amp;", *",集計用!$G:$G,"*, "&amp;$C14&amp;", *")/$B14*100</f>
        <v>14.084507042253522</v>
      </c>
      <c r="I14" s="29">
        <f>COUNTIFS(集計用!$R:$R, "*, "&amp;I$4&amp;", *",集計用!$G:$G,"*, "&amp;$C14&amp;", *")/$B14*100</f>
        <v>15.492957746478872</v>
      </c>
      <c r="J14" s="29">
        <f>COUNTIFS(集計用!$R:$R, "*, "&amp;J$4&amp;", *",集計用!$G:$G,"*, "&amp;$C14&amp;", *")/$B14*100</f>
        <v>9.8591549295774641</v>
      </c>
      <c r="K14" s="29">
        <f>COUNTIFS(集計用!$R:$R, "*, "&amp;K$4&amp;", *",集計用!$G:$G,"*, "&amp;$C14&amp;", *")/$B14*100</f>
        <v>7.042253521126761</v>
      </c>
      <c r="L14" s="29">
        <f>COUNTIFS(集計用!$R:$R, "*, "&amp;L$4&amp;", *",集計用!$G:$G,"*, "&amp;$C14&amp;", *")/$B14*100</f>
        <v>4.225352112676056</v>
      </c>
      <c r="M14" s="29">
        <f>COUNTIFS(集計用!$R:$R, "*, "&amp;M$4&amp;", *",集計用!$G:$G,"*, "&amp;$C14&amp;", *")/$B14*100</f>
        <v>1.4084507042253522</v>
      </c>
    </row>
    <row r="15" spans="1:13" ht="15.75" customHeight="1">
      <c r="A15" s="27">
        <v>2</v>
      </c>
      <c r="B15" s="27">
        <f>(COUNTIFS(集計用!$G:$G,"*, "&amp;$C15&amp;",*",集計用!$T:$T, "&lt;&gt;無回答"))</f>
        <v>69</v>
      </c>
      <c r="C15" s="36" t="s">
        <v>9</v>
      </c>
      <c r="D15" s="29">
        <f>COUNTIFS(集計用!$R:$R, "*, "&amp;D$4&amp;", *",集計用!$G:$G,"*, "&amp;$C15&amp;", *")/$B15*100</f>
        <v>57.971014492753625</v>
      </c>
      <c r="E15" s="29">
        <f>COUNTIFS(集計用!$R:$R, "*, "&amp;E$4&amp;", *",集計用!$G:$G,"*, "&amp;$C15&amp;", *")/$B15*100</f>
        <v>33.333333333333329</v>
      </c>
      <c r="F15" s="29">
        <f>COUNTIFS(集計用!$R:$R, "*, "&amp;F$4&amp;", *",集計用!$G:$G,"*, "&amp;$C15&amp;", *")/$B15*100</f>
        <v>20.289855072463769</v>
      </c>
      <c r="G15" s="29">
        <f>COUNTIFS(集計用!$R:$R, "*, "&amp;G$4&amp;", *",集計用!$G:$G,"*, "&amp;$C15&amp;", *")/$B15*100</f>
        <v>15.942028985507244</v>
      </c>
      <c r="H15" s="29">
        <f>COUNTIFS(集計用!$R:$R, "*, "&amp;H$4&amp;", *",集計用!$G:$G,"*, "&amp;$C15&amp;", *")/$B15*100</f>
        <v>10.144927536231885</v>
      </c>
      <c r="I15" s="29">
        <f>COUNTIFS(集計用!$R:$R, "*, "&amp;I$4&amp;", *",集計用!$G:$G,"*, "&amp;$C15&amp;", *")/$B15*100</f>
        <v>10.144927536231885</v>
      </c>
      <c r="J15" s="29">
        <f>COUNTIFS(集計用!$R:$R, "*, "&amp;J$4&amp;", *",集計用!$G:$G,"*, "&amp;$C15&amp;", *")/$B15*100</f>
        <v>7.2463768115942031</v>
      </c>
      <c r="K15" s="29">
        <f>COUNTIFS(集計用!$R:$R, "*, "&amp;K$4&amp;", *",集計用!$G:$G,"*, "&amp;$C15&amp;", *")/$B15*100</f>
        <v>8.695652173913043</v>
      </c>
      <c r="L15" s="29">
        <f>COUNTIFS(集計用!$R:$R, "*, "&amp;L$4&amp;", *",集計用!$G:$G,"*, "&amp;$C15&amp;", *")/$B15*100</f>
        <v>1.4492753623188406</v>
      </c>
      <c r="M15" s="29">
        <f>COUNTIFS(集計用!$R:$R, "*, "&amp;M$4&amp;", *",集計用!$G:$G,"*, "&amp;$C15&amp;", *")/$B15*100</f>
        <v>1.4492753623188406</v>
      </c>
    </row>
    <row r="16" spans="1:13" ht="15.75" customHeight="1">
      <c r="A16" s="27">
        <v>5</v>
      </c>
      <c r="B16" s="27">
        <f>(COUNTIFS(集計用!$G:$G,"*, "&amp;$C16&amp;",*",集計用!$T:$T, "&lt;&gt;無回答"))</f>
        <v>60</v>
      </c>
      <c r="C16" s="36" t="s">
        <v>10</v>
      </c>
      <c r="D16" s="29">
        <f>COUNTIFS(集計用!$R:$R, "*, "&amp;D$4&amp;", *",集計用!$G:$G,"*, "&amp;$C16&amp;", *")/$B16*100</f>
        <v>58.333333333333336</v>
      </c>
      <c r="E16" s="29">
        <f>COUNTIFS(集計用!$R:$R, "*, "&amp;E$4&amp;", *",集計用!$G:$G,"*, "&amp;$C16&amp;", *")/$B16*100</f>
        <v>40</v>
      </c>
      <c r="F16" s="29">
        <f>COUNTIFS(集計用!$R:$R, "*, "&amp;F$4&amp;", *",集計用!$G:$G,"*, "&amp;$C16&amp;", *")/$B16*100</f>
        <v>16.666666666666664</v>
      </c>
      <c r="G16" s="29">
        <f>COUNTIFS(集計用!$R:$R, "*, "&amp;G$4&amp;", *",集計用!$G:$G,"*, "&amp;$C16&amp;", *")/$B16*100</f>
        <v>11.666666666666666</v>
      </c>
      <c r="H16" s="29">
        <f>COUNTIFS(集計用!$R:$R, "*, "&amp;H$4&amp;", *",集計用!$G:$G,"*, "&amp;$C16&amp;", *")/$B16*100</f>
        <v>15</v>
      </c>
      <c r="I16" s="29">
        <f>COUNTIFS(集計用!$R:$R, "*, "&amp;I$4&amp;", *",集計用!$G:$G,"*, "&amp;$C16&amp;", *")/$B16*100</f>
        <v>11.666666666666666</v>
      </c>
      <c r="J16" s="29">
        <f>COUNTIFS(集計用!$R:$R, "*, "&amp;J$4&amp;", *",集計用!$G:$G,"*, "&amp;$C16&amp;", *")/$B16*100</f>
        <v>11.666666666666666</v>
      </c>
      <c r="K16" s="29">
        <f>COUNTIFS(集計用!$R:$R, "*, "&amp;K$4&amp;", *",集計用!$G:$G,"*, "&amp;$C16&amp;", *")/$B16*100</f>
        <v>6.666666666666667</v>
      </c>
      <c r="L16" s="29">
        <f>COUNTIFS(集計用!$R:$R, "*, "&amp;L$4&amp;", *",集計用!$G:$G,"*, "&amp;$C16&amp;", *")/$B16*100</f>
        <v>1.6666666666666667</v>
      </c>
      <c r="M16" s="29">
        <f>COUNTIFS(集計用!$R:$R, "*, "&amp;M$4&amp;", *",集計用!$G:$G,"*, "&amp;$C16&amp;", *")/$B16*100</f>
        <v>1.6666666666666667</v>
      </c>
    </row>
    <row r="17" spans="1:13" ht="15.75" customHeight="1">
      <c r="A17" s="27">
        <v>2</v>
      </c>
      <c r="B17" s="27">
        <f>(COUNTIFS(集計用!$G:$G,"*, "&amp;$C17&amp;",*",集計用!$T:$T, "&lt;&gt;無回答"))</f>
        <v>60</v>
      </c>
      <c r="C17" s="36" t="s">
        <v>11</v>
      </c>
      <c r="D17" s="29">
        <f>COUNTIFS(集計用!$R:$R, "*, "&amp;D$4&amp;", *",集計用!$G:$G,"*, "&amp;$C17&amp;", *")/$B17*100</f>
        <v>58.333333333333336</v>
      </c>
      <c r="E17" s="29">
        <f>COUNTIFS(集計用!$R:$R, "*, "&amp;E$4&amp;", *",集計用!$G:$G,"*, "&amp;$C17&amp;", *")/$B17*100</f>
        <v>26.666666666666668</v>
      </c>
      <c r="F17" s="29">
        <f>COUNTIFS(集計用!$R:$R, "*, "&amp;F$4&amp;", *",集計用!$G:$G,"*, "&amp;$C17&amp;", *")/$B17*100</f>
        <v>18.333333333333332</v>
      </c>
      <c r="G17" s="29">
        <f>COUNTIFS(集計用!$R:$R, "*, "&amp;G$4&amp;", *",集計用!$G:$G,"*, "&amp;$C17&amp;", *")/$B17*100</f>
        <v>11.666666666666666</v>
      </c>
      <c r="H17" s="29">
        <f>COUNTIFS(集計用!$R:$R, "*, "&amp;H$4&amp;", *",集計用!$G:$G,"*, "&amp;$C17&amp;", *")/$B17*100</f>
        <v>16.666666666666664</v>
      </c>
      <c r="I17" s="29">
        <f>COUNTIFS(集計用!$R:$R, "*, "&amp;I$4&amp;", *",集計用!$G:$G,"*, "&amp;$C17&amp;", *")/$B17*100</f>
        <v>6.666666666666667</v>
      </c>
      <c r="J17" s="29">
        <f>COUNTIFS(集計用!$R:$R, "*, "&amp;J$4&amp;", *",集計用!$G:$G,"*, "&amp;$C17&amp;", *")/$B17*100</f>
        <v>8.3333333333333321</v>
      </c>
      <c r="K17" s="29">
        <f>COUNTIFS(集計用!$R:$R, "*, "&amp;K$4&amp;", *",集計用!$G:$G,"*, "&amp;$C17&amp;", *")/$B17*100</f>
        <v>5</v>
      </c>
      <c r="L17" s="29">
        <f>COUNTIFS(集計用!$R:$R, "*, "&amp;L$4&amp;", *",集計用!$G:$G,"*, "&amp;$C17&amp;", *")/$B17*100</f>
        <v>3.3333333333333335</v>
      </c>
      <c r="M17" s="29">
        <f>COUNTIFS(集計用!$R:$R, "*, "&amp;M$4&amp;", *",集計用!$G:$G,"*, "&amp;$C17&amp;", *")/$B17*100</f>
        <v>1.6666666666666667</v>
      </c>
    </row>
    <row r="18" spans="1:13" ht="15.75" customHeight="1">
      <c r="A18" s="27">
        <v>6</v>
      </c>
      <c r="B18" s="27">
        <f>(COUNTIFS(集計用!$G:$G,"*, "&amp;$C18&amp;",*",集計用!$T:$T, "&lt;&gt;無回答"))</f>
        <v>57</v>
      </c>
      <c r="C18" s="36" t="s">
        <v>12</v>
      </c>
      <c r="D18" s="29">
        <f>COUNTIFS(集計用!$R:$R, "*, "&amp;D$4&amp;", *",集計用!$G:$G,"*, "&amp;$C18&amp;", *")/$B18*100</f>
        <v>52.631578947368418</v>
      </c>
      <c r="E18" s="29">
        <f>COUNTIFS(集計用!$R:$R, "*, "&amp;E$4&amp;", *",集計用!$G:$G,"*, "&amp;$C18&amp;", *")/$B18*100</f>
        <v>28.07017543859649</v>
      </c>
      <c r="F18" s="29">
        <f>COUNTIFS(集計用!$R:$R, "*, "&amp;F$4&amp;", *",集計用!$G:$G,"*, "&amp;$C18&amp;", *")/$B18*100</f>
        <v>24.561403508771928</v>
      </c>
      <c r="G18" s="29">
        <f>COUNTIFS(集計用!$R:$R, "*, "&amp;G$4&amp;", *",集計用!$G:$G,"*, "&amp;$C18&amp;", *")/$B18*100</f>
        <v>19.298245614035086</v>
      </c>
      <c r="H18" s="29">
        <f>COUNTIFS(集計用!$R:$R, "*, "&amp;H$4&amp;", *",集計用!$G:$G,"*, "&amp;$C18&amp;", *")/$B18*100</f>
        <v>19.298245614035086</v>
      </c>
      <c r="I18" s="29">
        <f>COUNTIFS(集計用!$R:$R, "*, "&amp;I$4&amp;", *",集計用!$G:$G,"*, "&amp;$C18&amp;", *")/$B18*100</f>
        <v>8.7719298245614024</v>
      </c>
      <c r="J18" s="29">
        <f>COUNTIFS(集計用!$R:$R, "*, "&amp;J$4&amp;", *",集計用!$G:$G,"*, "&amp;$C18&amp;", *")/$B18*100</f>
        <v>8.7719298245614024</v>
      </c>
      <c r="K18" s="29">
        <f>COUNTIFS(集計用!$R:$R, "*, "&amp;K$4&amp;", *",集計用!$G:$G,"*, "&amp;$C18&amp;", *")/$B18*100</f>
        <v>5.2631578947368416</v>
      </c>
      <c r="L18" s="29">
        <f>COUNTIFS(集計用!$R:$R, "*, "&amp;L$4&amp;", *",集計用!$G:$G,"*, "&amp;$C18&amp;", *")/$B18*100</f>
        <v>1.7543859649122806</v>
      </c>
      <c r="M18" s="29">
        <f>COUNTIFS(集計用!$R:$R, "*, "&amp;M$4&amp;", *",集計用!$G:$G,"*, "&amp;$C18&amp;", *")/$B18*100</f>
        <v>1.7543859649122806</v>
      </c>
    </row>
    <row r="19" spans="1:13" ht="15.75" customHeight="1">
      <c r="A19" s="27">
        <v>6</v>
      </c>
      <c r="B19" s="27">
        <f>(COUNTIFS(集計用!$G:$G,"*, "&amp;$C19&amp;",*",集計用!$T:$T, "&lt;&gt;無回答"))</f>
        <v>54</v>
      </c>
      <c r="C19" s="36" t="s">
        <v>13</v>
      </c>
      <c r="D19" s="29">
        <f>COUNTIFS(集計用!$R:$R, "*, "&amp;D$4&amp;", *",集計用!$G:$G,"*, "&amp;$C19&amp;", *")/$B19*100</f>
        <v>57.407407407407405</v>
      </c>
      <c r="E19" s="29">
        <f>COUNTIFS(集計用!$R:$R, "*, "&amp;E$4&amp;", *",集計用!$G:$G,"*, "&amp;$C19&amp;", *")/$B19*100</f>
        <v>35.185185185185183</v>
      </c>
      <c r="F19" s="29">
        <f>COUNTIFS(集計用!$R:$R, "*, "&amp;F$4&amp;", *",集計用!$G:$G,"*, "&amp;$C19&amp;", *")/$B19*100</f>
        <v>18.518518518518519</v>
      </c>
      <c r="G19" s="29">
        <f>COUNTIFS(集計用!$R:$R, "*, "&amp;G$4&amp;", *",集計用!$G:$G,"*, "&amp;$C19&amp;", *")/$B19*100</f>
        <v>11.111111111111111</v>
      </c>
      <c r="H19" s="29">
        <f>COUNTIFS(集計用!$R:$R, "*, "&amp;H$4&amp;", *",集計用!$G:$G,"*, "&amp;$C19&amp;", *")/$B19*100</f>
        <v>11.111111111111111</v>
      </c>
      <c r="I19" s="29">
        <f>COUNTIFS(集計用!$R:$R, "*, "&amp;I$4&amp;", *",集計用!$G:$G,"*, "&amp;$C19&amp;", *")/$B19*100</f>
        <v>12.962962962962962</v>
      </c>
      <c r="J19" s="29">
        <f>COUNTIFS(集計用!$R:$R, "*, "&amp;J$4&amp;", *",集計用!$G:$G,"*, "&amp;$C19&amp;", *")/$B19*100</f>
        <v>12.962962962962962</v>
      </c>
      <c r="K19" s="29">
        <f>COUNTIFS(集計用!$R:$R, "*, "&amp;K$4&amp;", *",集計用!$G:$G,"*, "&amp;$C19&amp;", *")/$B19*100</f>
        <v>9.2592592592592595</v>
      </c>
      <c r="L19" s="29">
        <f>COUNTIFS(集計用!$R:$R, "*, "&amp;L$4&amp;", *",集計用!$G:$G,"*, "&amp;$C19&amp;", *")/$B19*100</f>
        <v>1.8518518518518516</v>
      </c>
      <c r="M19" s="29">
        <f>COUNTIFS(集計用!$R:$R, "*, "&amp;M$4&amp;", *",集計用!$G:$G,"*, "&amp;$C19&amp;", *")/$B19*100</f>
        <v>1.8518518518518516</v>
      </c>
    </row>
    <row r="20" spans="1:13" ht="15.75" customHeight="1">
      <c r="A20" s="27">
        <v>4</v>
      </c>
      <c r="B20" s="27">
        <f>(COUNTIFS(集計用!$G:$G,"*, "&amp;$C20&amp;",*",集計用!$T:$T, "&lt;&gt;無回答"))</f>
        <v>49</v>
      </c>
      <c r="C20" s="36" t="s">
        <v>14</v>
      </c>
      <c r="D20" s="29">
        <f>COUNTIFS(集計用!$R:$R, "*, "&amp;D$4&amp;", *",集計用!$G:$G,"*, "&amp;$C20&amp;", *")/$B20*100</f>
        <v>65.306122448979593</v>
      </c>
      <c r="E20" s="29">
        <f>COUNTIFS(集計用!$R:$R, "*, "&amp;E$4&amp;", *",集計用!$G:$G,"*, "&amp;$C20&amp;", *")/$B20*100</f>
        <v>30.612244897959183</v>
      </c>
      <c r="F20" s="29">
        <f>COUNTIFS(集計用!$R:$R, "*, "&amp;F$4&amp;", *",集計用!$G:$G,"*, "&amp;$C20&amp;", *")/$B20*100</f>
        <v>26.530612244897959</v>
      </c>
      <c r="G20" s="29">
        <f>COUNTIFS(集計用!$R:$R, "*, "&amp;G$4&amp;", *",集計用!$G:$G,"*, "&amp;$C20&amp;", *")/$B20*100</f>
        <v>12.244897959183673</v>
      </c>
      <c r="H20" s="29">
        <f>COUNTIFS(集計用!$R:$R, "*, "&amp;H$4&amp;", *",集計用!$G:$G,"*, "&amp;$C20&amp;", *")/$B20*100</f>
        <v>16.326530612244898</v>
      </c>
      <c r="I20" s="29">
        <f>COUNTIFS(集計用!$R:$R, "*, "&amp;I$4&amp;", *",集計用!$G:$G,"*, "&amp;$C20&amp;", *")/$B20*100</f>
        <v>10.204081632653061</v>
      </c>
      <c r="J20" s="29">
        <f>COUNTIFS(集計用!$R:$R, "*, "&amp;J$4&amp;", *",集計用!$G:$G,"*, "&amp;$C20&amp;", *")/$B20*100</f>
        <v>4.0816326530612246</v>
      </c>
      <c r="K20" s="29">
        <f>COUNTIFS(集計用!$R:$R, "*, "&amp;K$4&amp;", *",集計用!$G:$G,"*, "&amp;$C20&amp;", *")/$B20*100</f>
        <v>10.204081632653061</v>
      </c>
      <c r="L20" s="29">
        <f>COUNTIFS(集計用!$R:$R, "*, "&amp;L$4&amp;", *",集計用!$G:$G,"*, "&amp;$C20&amp;", *")/$B20*100</f>
        <v>2.0408163265306123</v>
      </c>
      <c r="M20" s="29">
        <f>COUNTIFS(集計用!$R:$R, "*, "&amp;M$4&amp;", *",集計用!$G:$G,"*, "&amp;$C20&amp;", *")/$B20*100</f>
        <v>2.0408163265306123</v>
      </c>
    </row>
    <row r="21" spans="1:13" ht="15.75" customHeight="1">
      <c r="A21" s="27">
        <v>3</v>
      </c>
      <c r="B21" s="27">
        <f>(COUNTIFS(集計用!$G:$G,"*, "&amp;$C21&amp;",*",集計用!$T:$T, "&lt;&gt;無回答"))</f>
        <v>48</v>
      </c>
      <c r="C21" s="36" t="s">
        <v>15</v>
      </c>
      <c r="D21" s="29">
        <f>COUNTIFS(集計用!$R:$R, "*, "&amp;D$4&amp;", *",集計用!$G:$G,"*, "&amp;$C21&amp;", *")/$B21*100</f>
        <v>47.916666666666671</v>
      </c>
      <c r="E21" s="29">
        <f>COUNTIFS(集計用!$R:$R, "*, "&amp;E$4&amp;", *",集計用!$G:$G,"*, "&amp;$C21&amp;", *")/$B21*100</f>
        <v>29.166666666666668</v>
      </c>
      <c r="F21" s="29">
        <f>COUNTIFS(集計用!$R:$R, "*, "&amp;F$4&amp;", *",集計用!$G:$G,"*, "&amp;$C21&amp;", *")/$B21*100</f>
        <v>18.75</v>
      </c>
      <c r="G21" s="29">
        <f>COUNTIFS(集計用!$R:$R, "*, "&amp;G$4&amp;", *",集計用!$G:$G,"*, "&amp;$C21&amp;", *")/$B21*100</f>
        <v>18.75</v>
      </c>
      <c r="H21" s="29">
        <f>COUNTIFS(集計用!$R:$R, "*, "&amp;H$4&amp;", *",集計用!$G:$G,"*, "&amp;$C21&amp;", *")/$B21*100</f>
        <v>16.666666666666664</v>
      </c>
      <c r="I21" s="29">
        <f>COUNTIFS(集計用!$R:$R, "*, "&amp;I$4&amp;", *",集計用!$G:$G,"*, "&amp;$C21&amp;", *")/$B21*100</f>
        <v>12.5</v>
      </c>
      <c r="J21" s="29">
        <f>COUNTIFS(集計用!$R:$R, "*, "&amp;J$4&amp;", *",集計用!$G:$G,"*, "&amp;$C21&amp;", *")/$B21*100</f>
        <v>10.416666666666668</v>
      </c>
      <c r="K21" s="29">
        <f>COUNTIFS(集計用!$R:$R, "*, "&amp;K$4&amp;", *",集計用!$G:$G,"*, "&amp;$C21&amp;", *")/$B21*100</f>
        <v>10.416666666666668</v>
      </c>
      <c r="L21" s="29">
        <f>COUNTIFS(集計用!$R:$R, "*, "&amp;L$4&amp;", *",集計用!$G:$G,"*, "&amp;$C21&amp;", *")/$B21*100</f>
        <v>2.083333333333333</v>
      </c>
      <c r="M21" s="29">
        <f>COUNTIFS(集計用!$R:$R, "*, "&amp;M$4&amp;", *",集計用!$G:$G,"*, "&amp;$C21&amp;", *")/$B21*100</f>
        <v>2.083333333333333</v>
      </c>
    </row>
    <row r="22" spans="1:13" ht="15.75" customHeight="1">
      <c r="A22" s="27">
        <v>5</v>
      </c>
      <c r="B22" s="27">
        <f>(COUNTIFS(集計用!$G:$G,"*, "&amp;$C22&amp;",*",集計用!$T:$T, "&lt;&gt;無回答"))</f>
        <v>46</v>
      </c>
      <c r="C22" s="36" t="s">
        <v>16</v>
      </c>
      <c r="D22" s="29">
        <f>COUNTIFS(集計用!$R:$R, "*, "&amp;D$4&amp;", *",集計用!$G:$G,"*, "&amp;$C22&amp;", *")/$B22*100</f>
        <v>54.347826086956516</v>
      </c>
      <c r="E22" s="29">
        <f>COUNTIFS(集計用!$R:$R, "*, "&amp;E$4&amp;", *",集計用!$G:$G,"*, "&amp;$C22&amp;", *")/$B22*100</f>
        <v>32.608695652173914</v>
      </c>
      <c r="F22" s="29">
        <f>COUNTIFS(集計用!$R:$R, "*, "&amp;F$4&amp;", *",集計用!$G:$G,"*, "&amp;$C22&amp;", *")/$B22*100</f>
        <v>15.217391304347828</v>
      </c>
      <c r="G22" s="29">
        <f>COUNTIFS(集計用!$R:$R, "*, "&amp;G$4&amp;", *",集計用!$G:$G,"*, "&amp;$C22&amp;", *")/$B22*100</f>
        <v>13.043478260869565</v>
      </c>
      <c r="H22" s="29">
        <f>COUNTIFS(集計用!$R:$R, "*, "&amp;H$4&amp;", *",集計用!$G:$G,"*, "&amp;$C22&amp;", *")/$B22*100</f>
        <v>17.391304347826086</v>
      </c>
      <c r="I22" s="29">
        <f>COUNTIFS(集計用!$R:$R, "*, "&amp;I$4&amp;", *",集計用!$G:$G,"*, "&amp;$C22&amp;", *")/$B22*100</f>
        <v>10.869565217391305</v>
      </c>
      <c r="J22" s="29">
        <f>COUNTIFS(集計用!$R:$R, "*, "&amp;J$4&amp;", *",集計用!$G:$G,"*, "&amp;$C22&amp;", *")/$B22*100</f>
        <v>10.869565217391305</v>
      </c>
      <c r="K22" s="29">
        <f>COUNTIFS(集計用!$R:$R, "*, "&amp;K$4&amp;", *",集計用!$G:$G,"*, "&amp;$C22&amp;", *")/$B22*100</f>
        <v>4.3478260869565215</v>
      </c>
      <c r="L22" s="29">
        <f>COUNTIFS(集計用!$R:$R, "*, "&amp;L$4&amp;", *",集計用!$G:$G,"*, "&amp;$C22&amp;", *")/$B22*100</f>
        <v>2.1739130434782608</v>
      </c>
      <c r="M22" s="29">
        <f>COUNTIFS(集計用!$R:$R, "*, "&amp;M$4&amp;", *",集計用!$G:$G,"*, "&amp;$C22&amp;", *")/$B22*100</f>
        <v>2.1739130434782608</v>
      </c>
    </row>
    <row r="23" spans="1:13" ht="15.75" customHeight="1">
      <c r="A23" s="27">
        <v>5</v>
      </c>
      <c r="B23" s="27">
        <f>(COUNTIFS(集計用!$G:$G,"*, "&amp;$C23&amp;",*",集計用!$T:$T, "&lt;&gt;無回答"))</f>
        <v>39</v>
      </c>
      <c r="C23" s="36" t="s">
        <v>17</v>
      </c>
      <c r="D23" s="29">
        <f>COUNTIFS(集計用!$R:$R, "*, "&amp;D$4&amp;", *",集計用!$G:$G,"*, "&amp;$C23&amp;", *")/$B23*100</f>
        <v>53.846153846153847</v>
      </c>
      <c r="E23" s="29">
        <f>COUNTIFS(集計用!$R:$R, "*, "&amp;E$4&amp;", *",集計用!$G:$G,"*, "&amp;$C23&amp;", *")/$B23*100</f>
        <v>38.461538461538467</v>
      </c>
      <c r="F23" s="29">
        <f>COUNTIFS(集計用!$R:$R, "*, "&amp;F$4&amp;", *",集計用!$G:$G,"*, "&amp;$C23&amp;", *")/$B23*100</f>
        <v>20.512820512820511</v>
      </c>
      <c r="G23" s="29">
        <f>COUNTIFS(集計用!$R:$R, "*, "&amp;G$4&amp;", *",集計用!$G:$G,"*, "&amp;$C23&amp;", *")/$B23*100</f>
        <v>10.256410256410255</v>
      </c>
      <c r="H23" s="29">
        <f>COUNTIFS(集計用!$R:$R, "*, "&amp;H$4&amp;", *",集計用!$G:$G,"*, "&amp;$C23&amp;", *")/$B23*100</f>
        <v>12.820512820512819</v>
      </c>
      <c r="I23" s="29">
        <f>COUNTIFS(集計用!$R:$R, "*, "&amp;I$4&amp;", *",集計用!$G:$G,"*, "&amp;$C23&amp;", *")/$B23*100</f>
        <v>7.6923076923076925</v>
      </c>
      <c r="J23" s="29">
        <f>COUNTIFS(集計用!$R:$R, "*, "&amp;J$4&amp;", *",集計用!$G:$G,"*, "&amp;$C23&amp;", *")/$B23*100</f>
        <v>5.1282051282051277</v>
      </c>
      <c r="K23" s="29">
        <f>COUNTIFS(集計用!$R:$R, "*, "&amp;K$4&amp;", *",集計用!$G:$G,"*, "&amp;$C23&amp;", *")/$B23*100</f>
        <v>2.5641025641025639</v>
      </c>
      <c r="L23" s="29">
        <f>COUNTIFS(集計用!$R:$R, "*, "&amp;L$4&amp;", *",集計用!$G:$G,"*, "&amp;$C23&amp;", *")/$B23*100</f>
        <v>2.5641025641025639</v>
      </c>
      <c r="M23" s="29">
        <f>COUNTIFS(集計用!$R:$R, "*, "&amp;M$4&amp;", *",集計用!$G:$G,"*, "&amp;$C23&amp;", *")/$B23*100</f>
        <v>5.1282051282051277</v>
      </c>
    </row>
    <row r="24" spans="1:13" ht="15.75" customHeight="1">
      <c r="A24" s="27">
        <v>4</v>
      </c>
      <c r="B24" s="27">
        <f>(COUNTIFS(集計用!$G:$G,"*, "&amp;$C24&amp;",*",集計用!$T:$T, "&lt;&gt;無回答"))</f>
        <v>36</v>
      </c>
      <c r="C24" s="36" t="s">
        <v>18</v>
      </c>
      <c r="D24" s="29">
        <f>COUNTIFS(集計用!$R:$R, "*, "&amp;D$4&amp;", *",集計用!$G:$G,"*, "&amp;$C24&amp;", *")/$B24*100</f>
        <v>61.111111111111114</v>
      </c>
      <c r="E24" s="29">
        <f>COUNTIFS(集計用!$R:$R, "*, "&amp;E$4&amp;", *",集計用!$G:$G,"*, "&amp;$C24&amp;", *")/$B24*100</f>
        <v>30.555555555555557</v>
      </c>
      <c r="F24" s="29">
        <f>COUNTIFS(集計用!$R:$R, "*, "&amp;F$4&amp;", *",集計用!$G:$G,"*, "&amp;$C24&amp;", *")/$B24*100</f>
        <v>19.444444444444446</v>
      </c>
      <c r="G24" s="29">
        <f>COUNTIFS(集計用!$R:$R, "*, "&amp;G$4&amp;", *",集計用!$G:$G,"*, "&amp;$C24&amp;", *")/$B24*100</f>
        <v>8.3333333333333321</v>
      </c>
      <c r="H24" s="29">
        <f>COUNTIFS(集計用!$R:$R, "*, "&amp;H$4&amp;", *",集計用!$G:$G,"*, "&amp;$C24&amp;", *")/$B24*100</f>
        <v>19.444444444444446</v>
      </c>
      <c r="I24" s="29">
        <f>COUNTIFS(集計用!$R:$R, "*, "&amp;I$4&amp;", *",集計用!$G:$G,"*, "&amp;$C24&amp;", *")/$B24*100</f>
        <v>19.444444444444446</v>
      </c>
      <c r="J24" s="29">
        <f>COUNTIFS(集計用!$R:$R, "*, "&amp;J$4&amp;", *",集計用!$G:$G,"*, "&amp;$C24&amp;", *")/$B24*100</f>
        <v>8.3333333333333321</v>
      </c>
      <c r="K24" s="29">
        <f>COUNTIFS(集計用!$R:$R, "*, "&amp;K$4&amp;", *",集計用!$G:$G,"*, "&amp;$C24&amp;", *")/$B24*100</f>
        <v>16.666666666666664</v>
      </c>
      <c r="L24" s="29">
        <f>COUNTIFS(集計用!$R:$R, "*, "&amp;L$4&amp;", *",集計用!$G:$G,"*, "&amp;$C24&amp;", *")/$B24*100</f>
        <v>5.5555555555555554</v>
      </c>
      <c r="M24" s="29">
        <f>COUNTIFS(集計用!$R:$R, "*, "&amp;M$4&amp;", *",集計用!$G:$G,"*, "&amp;$C24&amp;", *")/$B24*100</f>
        <v>2.7777777777777777</v>
      </c>
    </row>
    <row r="25" spans="1:13" ht="12.75">
      <c r="A25" s="27">
        <v>2</v>
      </c>
      <c r="B25" s="27">
        <f>(COUNTIFS(集計用!$G:$G,"*, "&amp;$C25&amp;",*",集計用!$T:$T, "&lt;&gt;無回答"))</f>
        <v>34</v>
      </c>
      <c r="C25" s="36" t="s">
        <v>19</v>
      </c>
      <c r="D25" s="29">
        <f>COUNTIFS(集計用!$R:$R, "*, "&amp;D$4&amp;", *",集計用!$G:$G,"*, "&amp;$C25&amp;", *")/$B25*100</f>
        <v>52.941176470588239</v>
      </c>
      <c r="E25" s="29">
        <f>COUNTIFS(集計用!$R:$R, "*, "&amp;E$4&amp;", *",集計用!$G:$G,"*, "&amp;$C25&amp;", *")/$B25*100</f>
        <v>38.235294117647058</v>
      </c>
      <c r="F25" s="29">
        <f>COUNTIFS(集計用!$R:$R, "*, "&amp;F$4&amp;", *",集計用!$G:$G,"*, "&amp;$C25&amp;", *")/$B25*100</f>
        <v>14.705882352941178</v>
      </c>
      <c r="G25" s="29">
        <f>COUNTIFS(集計用!$R:$R, "*, "&amp;G$4&amp;", *",集計用!$G:$G,"*, "&amp;$C25&amp;", *")/$B25*100</f>
        <v>14.705882352941178</v>
      </c>
      <c r="H25" s="29">
        <f>COUNTIFS(集計用!$R:$R, "*, "&amp;H$4&amp;", *",集計用!$G:$G,"*, "&amp;$C25&amp;", *")/$B25*100</f>
        <v>8.8235294117647065</v>
      </c>
      <c r="I25" s="29">
        <f>COUNTIFS(集計用!$R:$R, "*, "&amp;I$4&amp;", *",集計用!$G:$G,"*, "&amp;$C25&amp;", *")/$B25*100</f>
        <v>8.8235294117647065</v>
      </c>
      <c r="J25" s="29">
        <f>COUNTIFS(集計用!$R:$R, "*, "&amp;J$4&amp;", *",集計用!$G:$G,"*, "&amp;$C25&amp;", *")/$B25*100</f>
        <v>8.8235294117647065</v>
      </c>
      <c r="K25" s="29">
        <f>COUNTIFS(集計用!$R:$R, "*, "&amp;K$4&amp;", *",集計用!$G:$G,"*, "&amp;$C25&amp;", *")/$B25*100</f>
        <v>5.8823529411764701</v>
      </c>
      <c r="L25" s="29">
        <f>COUNTIFS(集計用!$R:$R, "*, "&amp;L$4&amp;", *",集計用!$G:$G,"*, "&amp;$C25&amp;", *")/$B25*100</f>
        <v>2.9411764705882351</v>
      </c>
      <c r="M25" s="29">
        <f>COUNTIFS(集計用!$R:$R, "*, "&amp;M$4&amp;", *",集計用!$G:$G,"*, "&amp;$C25&amp;", *")/$B25*100</f>
        <v>2.9411764705882351</v>
      </c>
    </row>
    <row r="26" spans="1:13" ht="12.75">
      <c r="A26" s="27">
        <v>4</v>
      </c>
      <c r="B26" s="27">
        <f>(COUNTIFS(集計用!$G:$G,"*, "&amp;$C26&amp;",*",集計用!$T:$T, "&lt;&gt;無回答"))</f>
        <v>26</v>
      </c>
      <c r="C26" s="36" t="s">
        <v>20</v>
      </c>
      <c r="D26" s="29">
        <f>COUNTIFS(集計用!$R:$R, "*, "&amp;D$4&amp;", *",集計用!$G:$G,"*, "&amp;$C26&amp;", *")/$B26*100</f>
        <v>69.230769230769226</v>
      </c>
      <c r="E26" s="29">
        <f>COUNTIFS(集計用!$R:$R, "*, "&amp;E$4&amp;", *",集計用!$G:$G,"*, "&amp;$C26&amp;", *")/$B26*100</f>
        <v>30.76923076923077</v>
      </c>
      <c r="F26" s="29">
        <f>COUNTIFS(集計用!$R:$R, "*, "&amp;F$4&amp;", *",集計用!$G:$G,"*, "&amp;$C26&amp;", *")/$B26*100</f>
        <v>26.923076923076923</v>
      </c>
      <c r="G26" s="29">
        <f>COUNTIFS(集計用!$R:$R, "*, "&amp;G$4&amp;", *",集計用!$G:$G,"*, "&amp;$C26&amp;", *")/$B26*100</f>
        <v>19.230769230769234</v>
      </c>
      <c r="H26" s="29">
        <f>COUNTIFS(集計用!$R:$R, "*, "&amp;H$4&amp;", *",集計用!$G:$G,"*, "&amp;$C26&amp;", *")/$B26*100</f>
        <v>23.076923076923077</v>
      </c>
      <c r="I26" s="29">
        <f>COUNTIFS(集計用!$R:$R, "*, "&amp;I$4&amp;", *",集計用!$G:$G,"*, "&amp;$C26&amp;", *")/$B26*100</f>
        <v>19.230769230769234</v>
      </c>
      <c r="J26" s="29">
        <f>COUNTIFS(集計用!$R:$R, "*, "&amp;J$4&amp;", *",集計用!$G:$G,"*, "&amp;$C26&amp;", *")/$B26*100</f>
        <v>11.538461538461538</v>
      </c>
      <c r="K26" s="29">
        <f>COUNTIFS(集計用!$R:$R, "*, "&amp;K$4&amp;", *",集計用!$G:$G,"*, "&amp;$C26&amp;", *")/$B26*100</f>
        <v>15.384615384615385</v>
      </c>
      <c r="L26" s="29">
        <f>COUNTIFS(集計用!$R:$R, "*, "&amp;L$4&amp;", *",集計用!$G:$G,"*, "&amp;$C26&amp;", *")/$B26*100</f>
        <v>3.8461538461538463</v>
      </c>
      <c r="M26" s="29">
        <f>COUNTIFS(集計用!$R:$R, "*, "&amp;M$4&amp;", *",集計用!$G:$G,"*, "&amp;$C26&amp;", *")/$B26*100</f>
        <v>3.8461538461538463</v>
      </c>
    </row>
    <row r="27" spans="1:13" ht="12.75">
      <c r="A27" s="27">
        <v>4</v>
      </c>
      <c r="B27" s="27">
        <f>(COUNTIFS(集計用!$G:$G,"*, "&amp;$C27&amp;",*",集計用!$T:$T, "&lt;&gt;無回答"))</f>
        <v>25</v>
      </c>
      <c r="C27" s="36" t="s">
        <v>23</v>
      </c>
      <c r="D27" s="29">
        <f>COUNTIFS(集計用!$R:$R, "*, "&amp;D$4&amp;", *",集計用!$G:$G,"*, "&amp;$C27&amp;", *")/$B27*100</f>
        <v>52</v>
      </c>
      <c r="E27" s="29">
        <f>COUNTIFS(集計用!$R:$R, "*, "&amp;E$4&amp;", *",集計用!$G:$G,"*, "&amp;$C27&amp;", *")/$B27*100</f>
        <v>32</v>
      </c>
      <c r="F27" s="29">
        <f>COUNTIFS(集計用!$R:$R, "*, "&amp;F$4&amp;", *",集計用!$G:$G,"*, "&amp;$C27&amp;", *")/$B27*100</f>
        <v>24</v>
      </c>
      <c r="G27" s="29">
        <f>COUNTIFS(集計用!$R:$R, "*, "&amp;G$4&amp;", *",集計用!$G:$G,"*, "&amp;$C27&amp;", *")/$B27*100</f>
        <v>8</v>
      </c>
      <c r="H27" s="29">
        <f>COUNTIFS(集計用!$R:$R, "*, "&amp;H$4&amp;", *",集計用!$G:$G,"*, "&amp;$C27&amp;", *")/$B27*100</f>
        <v>24</v>
      </c>
      <c r="I27" s="29">
        <f>COUNTIFS(集計用!$R:$R, "*, "&amp;I$4&amp;", *",集計用!$G:$G,"*, "&amp;$C27&amp;", *")/$B27*100</f>
        <v>16</v>
      </c>
      <c r="J27" s="29">
        <f>COUNTIFS(集計用!$R:$R, "*, "&amp;J$4&amp;", *",集計用!$G:$G,"*, "&amp;$C27&amp;", *")/$B27*100</f>
        <v>8</v>
      </c>
      <c r="K27" s="29">
        <f>COUNTIFS(集計用!$R:$R, "*, "&amp;K$4&amp;", *",集計用!$G:$G,"*, "&amp;$C27&amp;", *")/$B27*100</f>
        <v>8</v>
      </c>
      <c r="L27" s="29">
        <f>COUNTIFS(集計用!$R:$R, "*, "&amp;L$4&amp;", *",集計用!$G:$G,"*, "&amp;$C27&amp;", *")/$B27*100</f>
        <v>4</v>
      </c>
      <c r="M27" s="29">
        <f>COUNTIFS(集計用!$R:$R, "*, "&amp;M$4&amp;", *",集計用!$G:$G,"*, "&amp;$C27&amp;", *")/$B27*100</f>
        <v>4</v>
      </c>
    </row>
    <row r="28" spans="1:13" ht="15.75" customHeight="1">
      <c r="A28" s="27">
        <v>5</v>
      </c>
      <c r="B28" s="27">
        <f>(COUNTIFS(集計用!$G:$G,"*, "&amp;$C28&amp;",*",集計用!$T:$T, "&lt;&gt;無回答"))</f>
        <v>25</v>
      </c>
      <c r="C28" s="36" t="s">
        <v>22</v>
      </c>
      <c r="D28" s="29">
        <f>COUNTIFS(集計用!$R:$R, "*, "&amp;D$4&amp;", *",集計用!$G:$G,"*, "&amp;$C28&amp;", *")/$B28*100</f>
        <v>44</v>
      </c>
      <c r="E28" s="29">
        <f>COUNTIFS(集計用!$R:$R, "*, "&amp;E$4&amp;", *",集計用!$G:$G,"*, "&amp;$C28&amp;", *")/$B28*100</f>
        <v>36</v>
      </c>
      <c r="F28" s="29">
        <f>COUNTIFS(集計用!$R:$R, "*, "&amp;F$4&amp;", *",集計用!$G:$G,"*, "&amp;$C28&amp;", *")/$B28*100</f>
        <v>28.000000000000004</v>
      </c>
      <c r="G28" s="29">
        <f>COUNTIFS(集計用!$R:$R, "*, "&amp;G$4&amp;", *",集計用!$G:$G,"*, "&amp;$C28&amp;", *")/$B28*100</f>
        <v>12</v>
      </c>
      <c r="H28" s="29">
        <f>COUNTIFS(集計用!$R:$R, "*, "&amp;H$4&amp;", *",集計用!$G:$G,"*, "&amp;$C28&amp;", *")/$B28*100</f>
        <v>12</v>
      </c>
      <c r="I28" s="29">
        <f>COUNTIFS(集計用!$R:$R, "*, "&amp;I$4&amp;", *",集計用!$G:$G,"*, "&amp;$C28&amp;", *")/$B28*100</f>
        <v>24</v>
      </c>
      <c r="J28" s="29">
        <f>COUNTIFS(集計用!$R:$R, "*, "&amp;J$4&amp;", *",集計用!$G:$G,"*, "&amp;$C28&amp;", *")/$B28*100</f>
        <v>12</v>
      </c>
      <c r="K28" s="29">
        <f>COUNTIFS(集計用!$R:$R, "*, "&amp;K$4&amp;", *",集計用!$G:$G,"*, "&amp;$C28&amp;", *")/$B28*100</f>
        <v>16</v>
      </c>
      <c r="L28" s="29">
        <f>COUNTIFS(集計用!$R:$R, "*, "&amp;L$4&amp;", *",集計用!$G:$G,"*, "&amp;$C28&amp;", *")/$B28*100</f>
        <v>4</v>
      </c>
      <c r="M28" s="29">
        <f>COUNTIFS(集計用!$R:$R, "*, "&amp;M$4&amp;", *",集計用!$G:$G,"*, "&amp;$C28&amp;", *")/$B28*100</f>
        <v>4</v>
      </c>
    </row>
    <row r="29" spans="1:13" ht="15.75" customHeight="1">
      <c r="A29" s="27">
        <v>5</v>
      </c>
      <c r="B29" s="27">
        <f>(COUNTIFS(集計用!$G:$G,"*, "&amp;$C29&amp;",*",集計用!$T:$T, "&lt;&gt;無回答"))</f>
        <v>25</v>
      </c>
      <c r="C29" s="36" t="s">
        <v>21</v>
      </c>
      <c r="D29" s="29">
        <f>COUNTIFS(集計用!$R:$R, "*, "&amp;D$4&amp;", *",集計用!$G:$G,"*, "&amp;$C29&amp;", *")/$B29*100</f>
        <v>60</v>
      </c>
      <c r="E29" s="29">
        <f>COUNTIFS(集計用!$R:$R, "*, "&amp;E$4&amp;", *",集計用!$G:$G,"*, "&amp;$C29&amp;", *")/$B29*100</f>
        <v>32</v>
      </c>
      <c r="F29" s="29">
        <f>COUNTIFS(集計用!$R:$R, "*, "&amp;F$4&amp;", *",集計用!$G:$G,"*, "&amp;$C29&amp;", *")/$B29*100</f>
        <v>24</v>
      </c>
      <c r="G29" s="29">
        <f>COUNTIFS(集計用!$R:$R, "*, "&amp;G$4&amp;", *",集計用!$G:$G,"*, "&amp;$C29&amp;", *")/$B29*100</f>
        <v>12</v>
      </c>
      <c r="H29" s="29">
        <f>COUNTIFS(集計用!$R:$R, "*, "&amp;H$4&amp;", *",集計用!$G:$G,"*, "&amp;$C29&amp;", *")/$B29*100</f>
        <v>20</v>
      </c>
      <c r="I29" s="29">
        <f>COUNTIFS(集計用!$R:$R, "*, "&amp;I$4&amp;", *",集計用!$G:$G,"*, "&amp;$C29&amp;", *")/$B29*100</f>
        <v>16</v>
      </c>
      <c r="J29" s="29">
        <f>COUNTIFS(集計用!$R:$R, "*, "&amp;J$4&amp;", *",集計用!$G:$G,"*, "&amp;$C29&amp;", *")/$B29*100</f>
        <v>16</v>
      </c>
      <c r="K29" s="29">
        <f>COUNTIFS(集計用!$R:$R, "*, "&amp;K$4&amp;", *",集計用!$G:$G,"*, "&amp;$C29&amp;", *")/$B29*100</f>
        <v>16</v>
      </c>
      <c r="L29" s="29">
        <f>COUNTIFS(集計用!$R:$R, "*, "&amp;L$4&amp;", *",集計用!$G:$G,"*, "&amp;$C29&amp;", *")/$B29*100</f>
        <v>4</v>
      </c>
      <c r="M29" s="29">
        <f>COUNTIFS(集計用!$R:$R, "*, "&amp;M$4&amp;", *",集計用!$G:$G,"*, "&amp;$C29&amp;", *")/$B29*100</f>
        <v>4</v>
      </c>
    </row>
    <row r="30" spans="1:13" ht="12.75">
      <c r="A30" s="27">
        <v>6</v>
      </c>
      <c r="B30" s="27">
        <f>(COUNTIFS(集計用!$G:$G,"*, "&amp;$C30&amp;",*",集計用!$T:$T, "&lt;&gt;無回答"))</f>
        <v>22</v>
      </c>
      <c r="C30" s="36" t="s">
        <v>25</v>
      </c>
      <c r="D30" s="29">
        <f>COUNTIFS(集計用!$R:$R, "*, "&amp;D$4&amp;", *",集計用!$G:$G,"*, "&amp;$C30&amp;", *")/$B30*100</f>
        <v>45.454545454545453</v>
      </c>
      <c r="E30" s="29">
        <f>COUNTIFS(集計用!$R:$R, "*, "&amp;E$4&amp;", *",集計用!$G:$G,"*, "&amp;$C30&amp;", *")/$B30*100</f>
        <v>31.818181818181817</v>
      </c>
      <c r="F30" s="29">
        <f>COUNTIFS(集計用!$R:$R, "*, "&amp;F$4&amp;", *",集計用!$G:$G,"*, "&amp;$C30&amp;", *")/$B30*100</f>
        <v>27.27272727272727</v>
      </c>
      <c r="G30" s="29">
        <f>COUNTIFS(集計用!$R:$R, "*, "&amp;G$4&amp;", *",集計用!$G:$G,"*, "&amp;$C30&amp;", *")/$B30*100</f>
        <v>13.636363636363635</v>
      </c>
      <c r="H30" s="29">
        <f>COUNTIFS(集計用!$R:$R, "*, "&amp;H$4&amp;", *",集計用!$G:$G,"*, "&amp;$C30&amp;", *")/$B30*100</f>
        <v>13.636363636363635</v>
      </c>
      <c r="I30" s="29">
        <f>COUNTIFS(集計用!$R:$R, "*, "&amp;I$4&amp;", *",集計用!$G:$G,"*, "&amp;$C30&amp;", *")/$B30*100</f>
        <v>9.0909090909090917</v>
      </c>
      <c r="J30" s="29">
        <f>COUNTIFS(集計用!$R:$R, "*, "&amp;J$4&amp;", *",集計用!$G:$G,"*, "&amp;$C30&amp;", *")/$B30*100</f>
        <v>4.5454545454545459</v>
      </c>
      <c r="K30" s="29">
        <f>COUNTIFS(集計用!$R:$R, "*, "&amp;K$4&amp;", *",集計用!$G:$G,"*, "&amp;$C30&amp;", *")/$B30*100</f>
        <v>9.0909090909090917</v>
      </c>
      <c r="L30" s="29">
        <f>COUNTIFS(集計用!$R:$R, "*, "&amp;L$4&amp;", *",集計用!$G:$G,"*, "&amp;$C30&amp;", *")/$B30*100</f>
        <v>4.5454545454545459</v>
      </c>
      <c r="M30" s="29">
        <f>COUNTIFS(集計用!$R:$R, "*, "&amp;M$4&amp;", *",集計用!$G:$G,"*, "&amp;$C30&amp;", *")/$B30*100</f>
        <v>4.5454545454545459</v>
      </c>
    </row>
    <row r="31" spans="1:13" ht="15.75" customHeight="1">
      <c r="A31" s="27">
        <v>4</v>
      </c>
      <c r="B31" s="27">
        <f>(COUNTIFS(集計用!$G:$G,"*, "&amp;$C31&amp;",*",集計用!$T:$T, "&lt;&gt;無回答"))</f>
        <v>22</v>
      </c>
      <c r="C31" s="36" t="s">
        <v>24</v>
      </c>
      <c r="D31" s="29">
        <f>COUNTIFS(集計用!$R:$R, "*, "&amp;D$4&amp;", *",集計用!$G:$G,"*, "&amp;$C31&amp;", *")/$B31*100</f>
        <v>72.727272727272734</v>
      </c>
      <c r="E31" s="29">
        <f>COUNTIFS(集計用!$R:$R, "*, "&amp;E$4&amp;", *",集計用!$G:$G,"*, "&amp;$C31&amp;", *")/$B31*100</f>
        <v>18.181818181818183</v>
      </c>
      <c r="F31" s="29">
        <f>COUNTIFS(集計用!$R:$R, "*, "&amp;F$4&amp;", *",集計用!$G:$G,"*, "&amp;$C31&amp;", *")/$B31*100</f>
        <v>27.27272727272727</v>
      </c>
      <c r="G31" s="29">
        <f>COUNTIFS(集計用!$R:$R, "*, "&amp;G$4&amp;", *",集計用!$G:$G,"*, "&amp;$C31&amp;", *")/$B31*100</f>
        <v>4.5454545454545459</v>
      </c>
      <c r="H31" s="29">
        <f>COUNTIFS(集計用!$R:$R, "*, "&amp;H$4&amp;", *",集計用!$G:$G,"*, "&amp;$C31&amp;", *")/$B31*100</f>
        <v>27.27272727272727</v>
      </c>
      <c r="I31" s="29">
        <f>COUNTIFS(集計用!$R:$R, "*, "&amp;I$4&amp;", *",集計用!$G:$G,"*, "&amp;$C31&amp;", *")/$B31*100</f>
        <v>27.27272727272727</v>
      </c>
      <c r="J31" s="29">
        <f>COUNTIFS(集計用!$R:$R, "*, "&amp;J$4&amp;", *",集計用!$G:$G,"*, "&amp;$C31&amp;", *")/$B31*100</f>
        <v>13.636363636363635</v>
      </c>
      <c r="K31" s="29">
        <f>COUNTIFS(集計用!$R:$R, "*, "&amp;K$4&amp;", *",集計用!$G:$G,"*, "&amp;$C31&amp;", *")/$B31*100</f>
        <v>18.181818181818183</v>
      </c>
      <c r="L31" s="29">
        <f>COUNTIFS(集計用!$R:$R, "*, "&amp;L$4&amp;", *",集計用!$G:$G,"*, "&amp;$C31&amp;", *")/$B31*100</f>
        <v>4.5454545454545459</v>
      </c>
      <c r="M31" s="29">
        <f>COUNTIFS(集計用!$R:$R, "*, "&amp;M$4&amp;", *",集計用!$G:$G,"*, "&amp;$C31&amp;", *")/$B31*100</f>
        <v>4.5454545454545459</v>
      </c>
    </row>
    <row r="32" spans="1:13" ht="12.75">
      <c r="A32" s="27">
        <v>6</v>
      </c>
      <c r="B32" s="27">
        <f>(COUNTIFS(集計用!$G:$G,"*, "&amp;$C32&amp;",*",集計用!$T:$T, "&lt;&gt;無回答"))</f>
        <v>20</v>
      </c>
      <c r="C32" s="36" t="s">
        <v>26</v>
      </c>
      <c r="D32" s="29">
        <f>COUNTIFS(集計用!$R:$R, "*, "&amp;D$4&amp;", *",集計用!$G:$G,"*, "&amp;$C32&amp;", *")/$B32*100</f>
        <v>60</v>
      </c>
      <c r="E32" s="29">
        <f>COUNTIFS(集計用!$R:$R, "*, "&amp;E$4&amp;", *",集計用!$G:$G,"*, "&amp;$C32&amp;", *")/$B32*100</f>
        <v>25</v>
      </c>
      <c r="F32" s="29">
        <f>COUNTIFS(集計用!$R:$R, "*, "&amp;F$4&amp;", *",集計用!$G:$G,"*, "&amp;$C32&amp;", *")/$B32*100</f>
        <v>30</v>
      </c>
      <c r="G32" s="29">
        <f>COUNTIFS(集計用!$R:$R, "*, "&amp;G$4&amp;", *",集計用!$G:$G,"*, "&amp;$C32&amp;", *")/$B32*100</f>
        <v>10</v>
      </c>
      <c r="H32" s="29">
        <f>COUNTIFS(集計用!$R:$R, "*, "&amp;H$4&amp;", *",集計用!$G:$G,"*, "&amp;$C32&amp;", *")/$B32*100</f>
        <v>20</v>
      </c>
      <c r="I32" s="29">
        <f>COUNTIFS(集計用!$R:$R, "*, "&amp;I$4&amp;", *",集計用!$G:$G,"*, "&amp;$C32&amp;", *")/$B32*100</f>
        <v>25</v>
      </c>
      <c r="J32" s="29">
        <f>COUNTIFS(集計用!$R:$R, "*, "&amp;J$4&amp;", *",集計用!$G:$G,"*, "&amp;$C32&amp;", *")/$B32*100</f>
        <v>5</v>
      </c>
      <c r="K32" s="29">
        <f>COUNTIFS(集計用!$R:$R, "*, "&amp;K$4&amp;", *",集計用!$G:$G,"*, "&amp;$C32&amp;", *")/$B32*100</f>
        <v>10</v>
      </c>
      <c r="L32" s="29">
        <f>COUNTIFS(集計用!$R:$R, "*, "&amp;L$4&amp;", *",集計用!$G:$G,"*, "&amp;$C32&amp;", *")/$B32*100</f>
        <v>5</v>
      </c>
      <c r="M32" s="29">
        <f>COUNTIFS(集計用!$R:$R, "*, "&amp;M$4&amp;", *",集計用!$G:$G,"*, "&amp;$C32&amp;", *")/$B32*100</f>
        <v>5</v>
      </c>
    </row>
    <row r="33" spans="1:13" ht="12.75">
      <c r="A33" s="27">
        <v>4</v>
      </c>
      <c r="B33" s="27">
        <f>(COUNTIFS(集計用!$G:$G,"*, "&amp;$C33&amp;",*",集計用!$T:$T, "&lt;&gt;無回答"))</f>
        <v>19</v>
      </c>
      <c r="C33" s="36" t="s">
        <v>27</v>
      </c>
      <c r="D33" s="29">
        <f>COUNTIFS(集計用!$R:$R, "*, "&amp;D$4&amp;", *",集計用!$G:$G,"*, "&amp;$C33&amp;", *")/$B33*100</f>
        <v>73.68421052631578</v>
      </c>
      <c r="E33" s="29">
        <f>COUNTIFS(集計用!$R:$R, "*, "&amp;E$4&amp;", *",集計用!$G:$G,"*, "&amp;$C33&amp;", *")/$B33*100</f>
        <v>47.368421052631575</v>
      </c>
      <c r="F33" s="29">
        <f>COUNTIFS(集計用!$R:$R, "*, "&amp;F$4&amp;", *",集計用!$G:$G,"*, "&amp;$C33&amp;", *")/$B33*100</f>
        <v>21.052631578947366</v>
      </c>
      <c r="G33" s="29">
        <f>COUNTIFS(集計用!$R:$R, "*, "&amp;G$4&amp;", *",集計用!$G:$G,"*, "&amp;$C33&amp;", *")/$B33*100</f>
        <v>21.052631578947366</v>
      </c>
      <c r="H33" s="29">
        <f>COUNTIFS(集計用!$R:$R, "*, "&amp;H$4&amp;", *",集計用!$G:$G,"*, "&amp;$C33&amp;", *")/$B33*100</f>
        <v>15.789473684210526</v>
      </c>
      <c r="I33" s="29">
        <f>COUNTIFS(集計用!$R:$R, "*, "&amp;I$4&amp;", *",集計用!$G:$G,"*, "&amp;$C33&amp;", *")/$B33*100</f>
        <v>15.789473684210526</v>
      </c>
      <c r="J33" s="29">
        <f>COUNTIFS(集計用!$R:$R, "*, "&amp;J$4&amp;", *",集計用!$G:$G,"*, "&amp;$C33&amp;", *")/$B33*100</f>
        <v>10.526315789473683</v>
      </c>
      <c r="K33" s="29">
        <f>COUNTIFS(集計用!$R:$R, "*, "&amp;K$4&amp;", *",集計用!$G:$G,"*, "&amp;$C33&amp;", *")/$B33*100</f>
        <v>15.789473684210526</v>
      </c>
      <c r="L33" s="29">
        <f>COUNTIFS(集計用!$R:$R, "*, "&amp;L$4&amp;", *",集計用!$G:$G,"*, "&amp;$C33&amp;", *")/$B33*100</f>
        <v>5.2631578947368416</v>
      </c>
      <c r="M33" s="29">
        <f>COUNTIFS(集計用!$R:$R, "*, "&amp;M$4&amp;", *",集計用!$G:$G,"*, "&amp;$C33&amp;", *")/$B33*100</f>
        <v>5.2631578947368416</v>
      </c>
    </row>
    <row r="34" spans="1:13" ht="12.75">
      <c r="A34" s="27">
        <v>5</v>
      </c>
      <c r="B34" s="27">
        <f>(COUNTIFS(集計用!$G:$G,"*, "&amp;$C34&amp;",*",集計用!$T:$T, "&lt;&gt;無回答"))</f>
        <v>18</v>
      </c>
      <c r="C34" s="36" t="s">
        <v>28</v>
      </c>
      <c r="D34" s="29">
        <f>COUNTIFS(集計用!$R:$R, "*, "&amp;D$4&amp;", *",集計用!$G:$G,"*, "&amp;$C34&amp;", *")/$B34*100</f>
        <v>61.111111111111114</v>
      </c>
      <c r="E34" s="29">
        <f>COUNTIFS(集計用!$R:$R, "*, "&amp;E$4&amp;", *",集計用!$G:$G,"*, "&amp;$C34&amp;", *")/$B34*100</f>
        <v>55.555555555555557</v>
      </c>
      <c r="F34" s="29">
        <f>COUNTIFS(集計用!$R:$R, "*, "&amp;F$4&amp;", *",集計用!$G:$G,"*, "&amp;$C34&amp;", *")/$B34*100</f>
        <v>16.666666666666664</v>
      </c>
      <c r="G34" s="29">
        <f>COUNTIFS(集計用!$R:$R, "*, "&amp;G$4&amp;", *",集計用!$G:$G,"*, "&amp;$C34&amp;", *")/$B34*100</f>
        <v>27.777777777777779</v>
      </c>
      <c r="H34" s="29">
        <f>COUNTIFS(集計用!$R:$R, "*, "&amp;H$4&amp;", *",集計用!$G:$G,"*, "&amp;$C34&amp;", *")/$B34*100</f>
        <v>5.5555555555555554</v>
      </c>
      <c r="I34" s="29">
        <f>COUNTIFS(集計用!$R:$R, "*, "&amp;I$4&amp;", *",集計用!$G:$G,"*, "&amp;$C34&amp;", *")/$B34*100</f>
        <v>11.111111111111111</v>
      </c>
      <c r="J34" s="29">
        <f>COUNTIFS(集計用!$R:$R, "*, "&amp;J$4&amp;", *",集計用!$G:$G,"*, "&amp;$C34&amp;", *")/$B34*100</f>
        <v>16.666666666666664</v>
      </c>
      <c r="K34" s="29">
        <f>COUNTIFS(集計用!$R:$R, "*, "&amp;K$4&amp;", *",集計用!$G:$G,"*, "&amp;$C34&amp;", *")/$B34*100</f>
        <v>11.111111111111111</v>
      </c>
      <c r="L34" s="29">
        <f>COUNTIFS(集計用!$R:$R, "*, "&amp;L$4&amp;", *",集計用!$G:$G,"*, "&amp;$C34&amp;", *")/$B34*100</f>
        <v>5.5555555555555554</v>
      </c>
      <c r="M34" s="29">
        <f>COUNTIFS(集計用!$R:$R, "*, "&amp;M$4&amp;", *",集計用!$G:$G,"*, "&amp;$C34&amp;", *")/$B34*100</f>
        <v>5.5555555555555554</v>
      </c>
    </row>
    <row r="35" spans="1:13" ht="15.75" customHeight="1">
      <c r="A35" s="27">
        <v>5</v>
      </c>
      <c r="B35" s="27">
        <f>(COUNTIFS(集計用!$G:$G,"*, "&amp;$C35&amp;",*",集計用!$T:$T, "&lt;&gt;無回答"))</f>
        <v>18</v>
      </c>
      <c r="C35" s="36" t="s">
        <v>29</v>
      </c>
      <c r="D35" s="29">
        <f>COUNTIFS(集計用!$R:$R, "*, "&amp;D$4&amp;", *",集計用!$G:$G,"*, "&amp;$C35&amp;", *")/$B35*100</f>
        <v>44.444444444444443</v>
      </c>
      <c r="E35" s="29">
        <f>COUNTIFS(集計用!$R:$R, "*, "&amp;E$4&amp;", *",集計用!$G:$G,"*, "&amp;$C35&amp;", *")/$B35*100</f>
        <v>33.333333333333329</v>
      </c>
      <c r="F35" s="29">
        <f>COUNTIFS(集計用!$R:$R, "*, "&amp;F$4&amp;", *",集計用!$G:$G,"*, "&amp;$C35&amp;", *")/$B35*100</f>
        <v>27.777777777777779</v>
      </c>
      <c r="G35" s="29">
        <f>COUNTIFS(集計用!$R:$R, "*, "&amp;G$4&amp;", *",集計用!$G:$G,"*, "&amp;$C35&amp;", *")/$B35*100</f>
        <v>16.666666666666664</v>
      </c>
      <c r="H35" s="29">
        <f>COUNTIFS(集計用!$R:$R, "*, "&amp;H$4&amp;", *",集計用!$G:$G,"*, "&amp;$C35&amp;", *")/$B35*100</f>
        <v>16.666666666666664</v>
      </c>
      <c r="I35" s="29">
        <f>COUNTIFS(集計用!$R:$R, "*, "&amp;I$4&amp;", *",集計用!$G:$G,"*, "&amp;$C35&amp;", *")/$B35*100</f>
        <v>22.222222222222221</v>
      </c>
      <c r="J35" s="29">
        <f>COUNTIFS(集計用!$R:$R, "*, "&amp;J$4&amp;", *",集計用!$G:$G,"*, "&amp;$C35&amp;", *")/$B35*100</f>
        <v>22.222222222222221</v>
      </c>
      <c r="K35" s="29">
        <f>COUNTIFS(集計用!$R:$R, "*, "&amp;K$4&amp;", *",集計用!$G:$G,"*, "&amp;$C35&amp;", *")/$B35*100</f>
        <v>11.111111111111111</v>
      </c>
      <c r="L35" s="29">
        <f>COUNTIFS(集計用!$R:$R, "*, "&amp;L$4&amp;", *",集計用!$G:$G,"*, "&amp;$C35&amp;", *")/$B35*100</f>
        <v>11.111111111111111</v>
      </c>
      <c r="M35" s="29">
        <f>COUNTIFS(集計用!$R:$R, "*, "&amp;M$4&amp;", *",集計用!$G:$G,"*, "&amp;$C35&amp;", *")/$B35*100</f>
        <v>5.5555555555555554</v>
      </c>
    </row>
    <row r="36" spans="1:13" ht="15.75" customHeight="1">
      <c r="A36" s="27">
        <v>4</v>
      </c>
      <c r="B36" s="27">
        <f>(COUNTIFS(集計用!$G:$G,"*, "&amp;$C36&amp;",*",集計用!$T:$T, "&lt;&gt;無回答"))</f>
        <v>16</v>
      </c>
      <c r="C36" s="36" t="s">
        <v>31</v>
      </c>
      <c r="D36" s="29">
        <f>COUNTIFS(集計用!$R:$R, "*, "&amp;D$4&amp;", *",集計用!$G:$G,"*, "&amp;$C36&amp;", *")/$B36*100</f>
        <v>62.5</v>
      </c>
      <c r="E36" s="29">
        <f>COUNTIFS(集計用!$R:$R, "*, "&amp;E$4&amp;", *",集計用!$G:$G,"*, "&amp;$C36&amp;", *")/$B36*100</f>
        <v>43.75</v>
      </c>
      <c r="F36" s="29">
        <f>COUNTIFS(集計用!$R:$R, "*, "&amp;F$4&amp;", *",集計用!$G:$G,"*, "&amp;$C36&amp;", *")/$B36*100</f>
        <v>18.75</v>
      </c>
      <c r="G36" s="29">
        <f>COUNTIFS(集計用!$R:$R, "*, "&amp;G$4&amp;", *",集計用!$G:$G,"*, "&amp;$C36&amp;", *")/$B36*100</f>
        <v>18.75</v>
      </c>
      <c r="H36" s="29">
        <f>COUNTIFS(集計用!$R:$R, "*, "&amp;H$4&amp;", *",集計用!$G:$G,"*, "&amp;$C36&amp;", *")/$B36*100</f>
        <v>25</v>
      </c>
      <c r="I36" s="29">
        <f>COUNTIFS(集計用!$R:$R, "*, "&amp;I$4&amp;", *",集計用!$G:$G,"*, "&amp;$C36&amp;", *")/$B36*100</f>
        <v>12.5</v>
      </c>
      <c r="J36" s="29">
        <f>COUNTIFS(集計用!$R:$R, "*, "&amp;J$4&amp;", *",集計用!$G:$G,"*, "&amp;$C36&amp;", *")/$B36*100</f>
        <v>18.75</v>
      </c>
      <c r="K36" s="29">
        <f>COUNTIFS(集計用!$R:$R, "*, "&amp;K$4&amp;", *",集計用!$G:$G,"*, "&amp;$C36&amp;", *")/$B36*100</f>
        <v>12.5</v>
      </c>
      <c r="L36" s="29">
        <f>COUNTIFS(集計用!$R:$R, "*, "&amp;L$4&amp;", *",集計用!$G:$G,"*, "&amp;$C36&amp;", *")/$B36*100</f>
        <v>12.5</v>
      </c>
      <c r="M36" s="29">
        <f>COUNTIFS(集計用!$R:$R, "*, "&amp;M$4&amp;", *",集計用!$G:$G,"*, "&amp;$C36&amp;", *")/$B36*100</f>
        <v>6.25</v>
      </c>
    </row>
    <row r="37" spans="1:13" ht="15.75" customHeight="1">
      <c r="A37" s="27">
        <v>4</v>
      </c>
      <c r="B37" s="27">
        <f>(COUNTIFS(集計用!$G:$G,"*, "&amp;$C37&amp;",*",集計用!$T:$T, "&lt;&gt;無回答"))</f>
        <v>16</v>
      </c>
      <c r="C37" s="36" t="s">
        <v>32</v>
      </c>
      <c r="D37" s="29">
        <f>COUNTIFS(集計用!$R:$R, "*, "&amp;D$4&amp;", *",集計用!$G:$G,"*, "&amp;$C37&amp;", *")/$B37*100</f>
        <v>62.5</v>
      </c>
      <c r="E37" s="29">
        <f>COUNTIFS(集計用!$R:$R, "*, "&amp;E$4&amp;", *",集計用!$G:$G,"*, "&amp;$C37&amp;", *")/$B37*100</f>
        <v>37.5</v>
      </c>
      <c r="F37" s="29">
        <f>COUNTIFS(集計用!$R:$R, "*, "&amp;F$4&amp;", *",集計用!$G:$G,"*, "&amp;$C37&amp;", *")/$B37*100</f>
        <v>31.25</v>
      </c>
      <c r="G37" s="29">
        <f>COUNTIFS(集計用!$R:$R, "*, "&amp;G$4&amp;", *",集計用!$G:$G,"*, "&amp;$C37&amp;", *")/$B37*100</f>
        <v>25</v>
      </c>
      <c r="H37" s="29">
        <f>COUNTIFS(集計用!$R:$R, "*, "&amp;H$4&amp;", *",集計用!$G:$G,"*, "&amp;$C37&amp;", *")/$B37*100</f>
        <v>25</v>
      </c>
      <c r="I37" s="29">
        <f>COUNTIFS(集計用!$R:$R, "*, "&amp;I$4&amp;", *",集計用!$G:$G,"*, "&amp;$C37&amp;", *")/$B37*100</f>
        <v>37.5</v>
      </c>
      <c r="J37" s="29">
        <f>COUNTIFS(集計用!$R:$R, "*, "&amp;J$4&amp;", *",集計用!$G:$G,"*, "&amp;$C37&amp;", *")/$B37*100</f>
        <v>12.5</v>
      </c>
      <c r="K37" s="29">
        <f>COUNTIFS(集計用!$R:$R, "*, "&amp;K$4&amp;", *",集計用!$G:$G,"*, "&amp;$C37&amp;", *")/$B37*100</f>
        <v>25</v>
      </c>
      <c r="L37" s="29">
        <f>COUNTIFS(集計用!$R:$R, "*, "&amp;L$4&amp;", *",集計用!$G:$G,"*, "&amp;$C37&amp;", *")/$B37*100</f>
        <v>6.25</v>
      </c>
      <c r="M37" s="29">
        <f>COUNTIFS(集計用!$R:$R, "*, "&amp;M$4&amp;", *",集計用!$G:$G,"*, "&amp;$C37&amp;", *")/$B37*100</f>
        <v>6.25</v>
      </c>
    </row>
    <row r="38" spans="1:13" ht="15.75" customHeight="1">
      <c r="A38" s="27">
        <v>5</v>
      </c>
      <c r="B38" s="27">
        <f>(COUNTIFS(集計用!$G:$G,"*, "&amp;$C38&amp;",*",集計用!$T:$T, "&lt;&gt;無回答"))</f>
        <v>16</v>
      </c>
      <c r="C38" s="36" t="s">
        <v>30</v>
      </c>
      <c r="D38" s="29">
        <f>COUNTIFS(集計用!$R:$R, "*, "&amp;D$4&amp;", *",集計用!$G:$G,"*, "&amp;$C38&amp;", *")/$B38*100</f>
        <v>68.75</v>
      </c>
      <c r="E38" s="29">
        <f>COUNTIFS(集計用!$R:$R, "*, "&amp;E$4&amp;", *",集計用!$G:$G,"*, "&amp;$C38&amp;", *")/$B38*100</f>
        <v>25</v>
      </c>
      <c r="F38" s="29">
        <f>COUNTIFS(集計用!$R:$R, "*, "&amp;F$4&amp;", *",集計用!$G:$G,"*, "&amp;$C38&amp;", *")/$B38*100</f>
        <v>6.25</v>
      </c>
      <c r="G38" s="29">
        <f>COUNTIFS(集計用!$R:$R, "*, "&amp;G$4&amp;", *",集計用!$G:$G,"*, "&amp;$C38&amp;", *")/$B38*100</f>
        <v>18.75</v>
      </c>
      <c r="H38" s="29">
        <f>COUNTIFS(集計用!$R:$R, "*, "&amp;H$4&amp;", *",集計用!$G:$G,"*, "&amp;$C38&amp;", *")/$B38*100</f>
        <v>12.5</v>
      </c>
      <c r="I38" s="29">
        <f>COUNTIFS(集計用!$R:$R, "*, "&amp;I$4&amp;", *",集計用!$G:$G,"*, "&amp;$C38&amp;", *")/$B38*100</f>
        <v>12.5</v>
      </c>
      <c r="J38" s="29">
        <f>COUNTIFS(集計用!$R:$R, "*, "&amp;J$4&amp;", *",集計用!$G:$G,"*, "&amp;$C38&amp;", *")/$B38*100</f>
        <v>12.5</v>
      </c>
      <c r="K38" s="29">
        <f>COUNTIFS(集計用!$R:$R, "*, "&amp;K$4&amp;", *",集計用!$G:$G,"*, "&amp;$C38&amp;", *")/$B38*100</f>
        <v>6.25</v>
      </c>
      <c r="L38" s="29">
        <f>COUNTIFS(集計用!$R:$R, "*, "&amp;L$4&amp;", *",集計用!$G:$G,"*, "&amp;$C38&amp;", *")/$B38*100</f>
        <v>6.25</v>
      </c>
      <c r="M38" s="29">
        <f>COUNTIFS(集計用!$R:$R, "*, "&amp;M$4&amp;", *",集計用!$G:$G,"*, "&amp;$C38&amp;", *")/$B38*100</f>
        <v>6.25</v>
      </c>
    </row>
    <row r="39" spans="1:13" ht="12.75">
      <c r="A39" s="27">
        <v>5</v>
      </c>
      <c r="B39" s="27">
        <f>(COUNTIFS(集計用!$G:$G,"*, "&amp;$C39&amp;",*",集計用!$T:$T, "&lt;&gt;無回答"))</f>
        <v>15</v>
      </c>
      <c r="C39" s="36" t="s">
        <v>35</v>
      </c>
      <c r="D39" s="29">
        <f>COUNTIFS(集計用!$R:$R, "*, "&amp;D$4&amp;", *",集計用!$G:$G,"*, "&amp;$C39&amp;", *")/$B39*100</f>
        <v>33.333333333333329</v>
      </c>
      <c r="E39" s="29">
        <f>COUNTIFS(集計用!$R:$R, "*, "&amp;E$4&amp;", *",集計用!$G:$G,"*, "&amp;$C39&amp;", *")/$B39*100</f>
        <v>40</v>
      </c>
      <c r="F39" s="29">
        <f>COUNTIFS(集計用!$R:$R, "*, "&amp;F$4&amp;", *",集計用!$G:$G,"*, "&amp;$C39&amp;", *")/$B39*100</f>
        <v>33.333333333333329</v>
      </c>
      <c r="G39" s="29">
        <f>COUNTIFS(集計用!$R:$R, "*, "&amp;G$4&amp;", *",集計用!$G:$G,"*, "&amp;$C39&amp;", *")/$B39*100</f>
        <v>6.666666666666667</v>
      </c>
      <c r="H39" s="29">
        <f>COUNTIFS(集計用!$R:$R, "*, "&amp;H$4&amp;", *",集計用!$G:$G,"*, "&amp;$C39&amp;", *")/$B39*100</f>
        <v>26.666666666666668</v>
      </c>
      <c r="I39" s="29">
        <f>COUNTIFS(集計用!$R:$R, "*, "&amp;I$4&amp;", *",集計用!$G:$G,"*, "&amp;$C39&amp;", *")/$B39*100</f>
        <v>20</v>
      </c>
      <c r="J39" s="29">
        <f>COUNTIFS(集計用!$R:$R, "*, "&amp;J$4&amp;", *",集計用!$G:$G,"*, "&amp;$C39&amp;", *")/$B39*100</f>
        <v>6.666666666666667</v>
      </c>
      <c r="K39" s="29">
        <f>COUNTIFS(集計用!$R:$R, "*, "&amp;K$4&amp;", *",集計用!$G:$G,"*, "&amp;$C39&amp;", *")/$B39*100</f>
        <v>20</v>
      </c>
      <c r="L39" s="29">
        <f>COUNTIFS(集計用!$R:$R, "*, "&amp;L$4&amp;", *",集計用!$G:$G,"*, "&amp;$C39&amp;", *")/$B39*100</f>
        <v>6.666666666666667</v>
      </c>
      <c r="M39" s="29">
        <f>COUNTIFS(集計用!$R:$R, "*, "&amp;M$4&amp;", *",集計用!$G:$G,"*, "&amp;$C39&amp;", *")/$B39*100</f>
        <v>6.666666666666667</v>
      </c>
    </row>
    <row r="40" spans="1:13" ht="12.75">
      <c r="A40" s="27">
        <v>5</v>
      </c>
      <c r="B40" s="27">
        <f>(COUNTIFS(集計用!$G:$G,"*, "&amp;$C40&amp;",*",集計用!$T:$T, "&lt;&gt;無回答"))</f>
        <v>15</v>
      </c>
      <c r="C40" s="36" t="s">
        <v>34</v>
      </c>
      <c r="D40" s="29">
        <f>COUNTIFS(集計用!$R:$R, "*, "&amp;D$4&amp;", *",集計用!$G:$G,"*, "&amp;$C40&amp;", *")/$B40*100</f>
        <v>53.333333333333336</v>
      </c>
      <c r="E40" s="29">
        <f>COUNTIFS(集計用!$R:$R, "*, "&amp;E$4&amp;", *",集計用!$G:$G,"*, "&amp;$C40&amp;", *")/$B40*100</f>
        <v>33.333333333333329</v>
      </c>
      <c r="F40" s="29">
        <f>COUNTIFS(集計用!$R:$R, "*, "&amp;F$4&amp;", *",集計用!$G:$G,"*, "&amp;$C40&amp;", *")/$B40*100</f>
        <v>13.333333333333334</v>
      </c>
      <c r="G40" s="29">
        <f>COUNTIFS(集計用!$R:$R, "*, "&amp;G$4&amp;", *",集計用!$G:$G,"*, "&amp;$C40&amp;", *")/$B40*100</f>
        <v>13.333333333333334</v>
      </c>
      <c r="H40" s="29">
        <f>COUNTIFS(集計用!$R:$R, "*, "&amp;H$4&amp;", *",集計用!$G:$G,"*, "&amp;$C40&amp;", *")/$B40*100</f>
        <v>26.666666666666668</v>
      </c>
      <c r="I40" s="29">
        <f>COUNTIFS(集計用!$R:$R, "*, "&amp;I$4&amp;", *",集計用!$G:$G,"*, "&amp;$C40&amp;", *")/$B40*100</f>
        <v>6.666666666666667</v>
      </c>
      <c r="J40" s="29">
        <f>COUNTIFS(集計用!$R:$R, "*, "&amp;J$4&amp;", *",集計用!$G:$G,"*, "&amp;$C40&amp;", *")/$B40*100</f>
        <v>6.666666666666667</v>
      </c>
      <c r="K40" s="29">
        <f>COUNTIFS(集計用!$R:$R, "*, "&amp;K$4&amp;", *",集計用!$G:$G,"*, "&amp;$C40&amp;", *")/$B40*100</f>
        <v>6.666666666666667</v>
      </c>
      <c r="L40" s="29">
        <f>COUNTIFS(集計用!$R:$R, "*, "&amp;L$4&amp;", *",集計用!$G:$G,"*, "&amp;$C40&amp;", *")/$B40*100</f>
        <v>6.666666666666667</v>
      </c>
      <c r="M40" s="29">
        <f>COUNTIFS(集計用!$R:$R, "*, "&amp;M$4&amp;", *",集計用!$G:$G,"*, "&amp;$C40&amp;", *")/$B40*100</f>
        <v>13.333333333333334</v>
      </c>
    </row>
    <row r="41" spans="1:13" ht="12.75">
      <c r="A41" s="27">
        <v>4</v>
      </c>
      <c r="B41" s="27">
        <f>(COUNTIFS(集計用!$G:$G,"*, "&amp;$C41&amp;",*",集計用!$T:$T, "&lt;&gt;無回答"))</f>
        <v>15</v>
      </c>
      <c r="C41" s="36" t="s">
        <v>33</v>
      </c>
      <c r="D41" s="29">
        <f>COUNTIFS(集計用!$R:$R, "*, "&amp;D$4&amp;", *",集計用!$G:$G,"*, "&amp;$C41&amp;", *")/$B41*100</f>
        <v>80</v>
      </c>
      <c r="E41" s="29">
        <f>COUNTIFS(集計用!$R:$R, "*, "&amp;E$4&amp;", *",集計用!$G:$G,"*, "&amp;$C41&amp;", *")/$B41*100</f>
        <v>13.333333333333334</v>
      </c>
      <c r="F41" s="29">
        <f>COUNTIFS(集計用!$R:$R, "*, "&amp;F$4&amp;", *",集計用!$G:$G,"*, "&amp;$C41&amp;", *")/$B41*100</f>
        <v>33.333333333333329</v>
      </c>
      <c r="G41" s="29">
        <f>COUNTIFS(集計用!$R:$R, "*, "&amp;G$4&amp;", *",集計用!$G:$G,"*, "&amp;$C41&amp;", *")/$B41*100</f>
        <v>26.666666666666668</v>
      </c>
      <c r="H41" s="29">
        <f>COUNTIFS(集計用!$R:$R, "*, "&amp;H$4&amp;", *",集計用!$G:$G,"*, "&amp;$C41&amp;", *")/$B41*100</f>
        <v>40</v>
      </c>
      <c r="I41" s="29">
        <f>COUNTIFS(集計用!$R:$R, "*, "&amp;I$4&amp;", *",集計用!$G:$G,"*, "&amp;$C41&amp;", *")/$B41*100</f>
        <v>26.666666666666668</v>
      </c>
      <c r="J41" s="29">
        <f>COUNTIFS(集計用!$R:$R, "*, "&amp;J$4&amp;", *",集計用!$G:$G,"*, "&amp;$C41&amp;", *")/$B41*100</f>
        <v>13.333333333333334</v>
      </c>
      <c r="K41" s="29">
        <f>COUNTIFS(集計用!$R:$R, "*, "&amp;K$4&amp;", *",集計用!$G:$G,"*, "&amp;$C41&amp;", *")/$B41*100</f>
        <v>26.666666666666668</v>
      </c>
      <c r="L41" s="29">
        <f>COUNTIFS(集計用!$R:$R, "*, "&amp;L$4&amp;", *",集計用!$G:$G,"*, "&amp;$C41&amp;", *")/$B41*100</f>
        <v>13.333333333333334</v>
      </c>
      <c r="M41" s="29">
        <f>COUNTIFS(集計用!$R:$R, "*, "&amp;M$4&amp;", *",集計用!$G:$G,"*, "&amp;$C41&amp;", *")/$B41*100</f>
        <v>6.666666666666667</v>
      </c>
    </row>
    <row r="42" spans="1:13" ht="12.75">
      <c r="A42" s="27">
        <v>4</v>
      </c>
      <c r="B42" s="27">
        <f>(COUNTIFS(集計用!$G:$G,"*, "&amp;$C42&amp;",*",集計用!$T:$T, "&lt;&gt;無回答"))</f>
        <v>13</v>
      </c>
      <c r="C42" s="36" t="s">
        <v>36</v>
      </c>
      <c r="D42" s="29">
        <f>COUNTIFS(集計用!$R:$R, "*, "&amp;D$4&amp;", *",集計用!$G:$G,"*, "&amp;$C42&amp;", *")/$B42*100</f>
        <v>69.230769230769226</v>
      </c>
      <c r="E42" s="29">
        <f>COUNTIFS(集計用!$R:$R, "*, "&amp;E$4&amp;", *",集計用!$G:$G,"*, "&amp;$C42&amp;", *")/$B42*100</f>
        <v>46.153846153846153</v>
      </c>
      <c r="F42" s="29">
        <f>COUNTIFS(集計用!$R:$R, "*, "&amp;F$4&amp;", *",集計用!$G:$G,"*, "&amp;$C42&amp;", *")/$B42*100</f>
        <v>15.384615384615385</v>
      </c>
      <c r="G42" s="29">
        <f>COUNTIFS(集計用!$R:$R, "*, "&amp;G$4&amp;", *",集計用!$G:$G,"*, "&amp;$C42&amp;", *")/$B42*100</f>
        <v>23.076923076923077</v>
      </c>
      <c r="H42" s="29">
        <f>COUNTIFS(集計用!$R:$R, "*, "&amp;H$4&amp;", *",集計用!$G:$G,"*, "&amp;$C42&amp;", *")/$B42*100</f>
        <v>30.76923076923077</v>
      </c>
      <c r="I42" s="29">
        <f>COUNTIFS(集計用!$R:$R, "*, "&amp;I$4&amp;", *",集計用!$G:$G,"*, "&amp;$C42&amp;", *")/$B42*100</f>
        <v>15.384615384615385</v>
      </c>
      <c r="J42" s="29">
        <f>COUNTIFS(集計用!$R:$R, "*, "&amp;J$4&amp;", *",集計用!$G:$G,"*, "&amp;$C42&amp;", *")/$B42*100</f>
        <v>15.384615384615385</v>
      </c>
      <c r="K42" s="29">
        <f>COUNTIFS(集計用!$R:$R, "*, "&amp;K$4&amp;", *",集計用!$G:$G,"*, "&amp;$C42&amp;", *")/$B42*100</f>
        <v>15.384615384615385</v>
      </c>
      <c r="L42" s="29">
        <f>COUNTIFS(集計用!$R:$R, "*, "&amp;L$4&amp;", *",集計用!$G:$G,"*, "&amp;$C42&amp;", *")/$B42*100</f>
        <v>15.384615384615385</v>
      </c>
      <c r="M42" s="29">
        <f>COUNTIFS(集計用!$R:$R, "*, "&amp;M$4&amp;", *",集計用!$G:$G,"*, "&amp;$C42&amp;", *")/$B42*100</f>
        <v>7.6923076923076925</v>
      </c>
    </row>
    <row r="43" spans="1:13" ht="12.75">
      <c r="A43" s="27">
        <v>4</v>
      </c>
      <c r="B43" s="27">
        <f>(COUNTIFS(集計用!$G:$G,"*, "&amp;$C43&amp;",*",集計用!$T:$T, "&lt;&gt;無回答"))</f>
        <v>13</v>
      </c>
      <c r="C43" s="36" t="s">
        <v>37</v>
      </c>
      <c r="D43" s="29">
        <f>COUNTIFS(集計用!$R:$R, "*, "&amp;D$4&amp;", *",集計用!$G:$G,"*, "&amp;$C43&amp;", *")/$B43*100</f>
        <v>38.461538461538467</v>
      </c>
      <c r="E43" s="29">
        <f>COUNTIFS(集計用!$R:$R, "*, "&amp;E$4&amp;", *",集計用!$G:$G,"*, "&amp;$C43&amp;", *")/$B43*100</f>
        <v>38.461538461538467</v>
      </c>
      <c r="F43" s="29">
        <f>COUNTIFS(集計用!$R:$R, "*, "&amp;F$4&amp;", *",集計用!$G:$G,"*, "&amp;$C43&amp;", *")/$B43*100</f>
        <v>15.384615384615385</v>
      </c>
      <c r="G43" s="29">
        <f>COUNTIFS(集計用!$R:$R, "*, "&amp;G$4&amp;", *",集計用!$G:$G,"*, "&amp;$C43&amp;", *")/$B43*100</f>
        <v>15.384615384615385</v>
      </c>
      <c r="H43" s="29">
        <f>COUNTIFS(集計用!$R:$R, "*, "&amp;H$4&amp;", *",集計用!$G:$G,"*, "&amp;$C43&amp;", *")/$B43*100</f>
        <v>23.076923076923077</v>
      </c>
      <c r="I43" s="29">
        <f>COUNTIFS(集計用!$R:$R, "*, "&amp;I$4&amp;", *",集計用!$G:$G,"*, "&amp;$C43&amp;", *")/$B43*100</f>
        <v>23.076923076923077</v>
      </c>
      <c r="J43" s="29">
        <f>COUNTIFS(集計用!$R:$R, "*, "&amp;J$4&amp;", *",集計用!$G:$G,"*, "&amp;$C43&amp;", *")/$B43*100</f>
        <v>7.6923076923076925</v>
      </c>
      <c r="K43" s="29">
        <f>COUNTIFS(集計用!$R:$R, "*, "&amp;K$4&amp;", *",集計用!$G:$G,"*, "&amp;$C43&amp;", *")/$B43*100</f>
        <v>15.384615384615385</v>
      </c>
      <c r="L43" s="29">
        <f>COUNTIFS(集計用!$R:$R, "*, "&amp;L$4&amp;", *",集計用!$G:$G,"*, "&amp;$C43&amp;", *")/$B43*100</f>
        <v>7.6923076923076925</v>
      </c>
      <c r="M43" s="29">
        <f>COUNTIFS(集計用!$R:$R, "*, "&amp;M$4&amp;", *",集計用!$G:$G,"*, "&amp;$C43&amp;", *")/$B43*100</f>
        <v>7.6923076923076925</v>
      </c>
    </row>
    <row r="44" spans="1:13" ht="12.75">
      <c r="A44" s="27">
        <v>5</v>
      </c>
      <c r="B44" s="27">
        <f>(COUNTIFS(集計用!$G:$G,"*, "&amp;$C44&amp;",*",集計用!$T:$T, "&lt;&gt;無回答"))</f>
        <v>12</v>
      </c>
      <c r="C44" s="36" t="s">
        <v>39</v>
      </c>
      <c r="D44" s="29">
        <f>COUNTIFS(集計用!$R:$R, "*, "&amp;D$4&amp;", *",集計用!$G:$G,"*, "&amp;$C44&amp;", *")/$B44*100</f>
        <v>58.333333333333336</v>
      </c>
      <c r="E44" s="29">
        <f>COUNTIFS(集計用!$R:$R, "*, "&amp;E$4&amp;", *",集計用!$G:$G,"*, "&amp;$C44&amp;", *")/$B44*100</f>
        <v>25</v>
      </c>
      <c r="F44" s="29">
        <f>COUNTIFS(集計用!$R:$R, "*, "&amp;F$4&amp;", *",集計用!$G:$G,"*, "&amp;$C44&amp;", *")/$B44*100</f>
        <v>25</v>
      </c>
      <c r="G44" s="29">
        <f>COUNTIFS(集計用!$R:$R, "*, "&amp;G$4&amp;", *",集計用!$G:$G,"*, "&amp;$C44&amp;", *")/$B44*100</f>
        <v>8.3333333333333321</v>
      </c>
      <c r="H44" s="29">
        <f>COUNTIFS(集計用!$R:$R, "*, "&amp;H$4&amp;", *",集計用!$G:$G,"*, "&amp;$C44&amp;", *")/$B44*100</f>
        <v>25</v>
      </c>
      <c r="I44" s="29">
        <f>COUNTIFS(集計用!$R:$R, "*, "&amp;I$4&amp;", *",集計用!$G:$G,"*, "&amp;$C44&amp;", *")/$B44*100</f>
        <v>33.333333333333329</v>
      </c>
      <c r="J44" s="29">
        <f>COUNTIFS(集計用!$R:$R, "*, "&amp;J$4&amp;", *",集計用!$G:$G,"*, "&amp;$C44&amp;", *")/$B44*100</f>
        <v>8.3333333333333321</v>
      </c>
      <c r="K44" s="29">
        <f>COUNTIFS(集計用!$R:$R, "*, "&amp;K$4&amp;", *",集計用!$G:$G,"*, "&amp;$C44&amp;", *")/$B44*100</f>
        <v>33.333333333333329</v>
      </c>
      <c r="L44" s="29">
        <f>COUNTIFS(集計用!$R:$R, "*, "&amp;L$4&amp;", *",集計用!$G:$G,"*, "&amp;$C44&amp;", *")/$B44*100</f>
        <v>8.3333333333333321</v>
      </c>
      <c r="M44" s="29">
        <f>COUNTIFS(集計用!$R:$R, "*, "&amp;M$4&amp;", *",集計用!$G:$G,"*, "&amp;$C44&amp;", *")/$B44*100</f>
        <v>8.3333333333333321</v>
      </c>
    </row>
    <row r="45" spans="1:13" ht="14.25" customHeight="1">
      <c r="A45" s="27">
        <v>5</v>
      </c>
      <c r="B45" s="27">
        <f>(COUNTIFS(集計用!$G:$G,"*, "&amp;$C45&amp;",*",集計用!$T:$T, "&lt;&gt;無回答"))</f>
        <v>12</v>
      </c>
      <c r="C45" s="36" t="s">
        <v>38</v>
      </c>
      <c r="D45" s="29">
        <f>COUNTIFS(集計用!$R:$R, "*, "&amp;D$4&amp;", *",集計用!$G:$G,"*, "&amp;$C45&amp;", *")/$B45*100</f>
        <v>58.333333333333336</v>
      </c>
      <c r="E45" s="29">
        <f>COUNTIFS(集計用!$R:$R, "*, "&amp;E$4&amp;", *",集計用!$G:$G,"*, "&amp;$C45&amp;", *")/$B45*100</f>
        <v>33.333333333333329</v>
      </c>
      <c r="F45" s="29">
        <f>COUNTIFS(集計用!$R:$R, "*, "&amp;F$4&amp;", *",集計用!$G:$G,"*, "&amp;$C45&amp;", *")/$B45*100</f>
        <v>16.666666666666664</v>
      </c>
      <c r="G45" s="29">
        <f>COUNTIFS(集計用!$R:$R, "*, "&amp;G$4&amp;", *",集計用!$G:$G,"*, "&amp;$C45&amp;", *")/$B45*100</f>
        <v>16.666666666666664</v>
      </c>
      <c r="H45" s="29">
        <f>COUNTIFS(集計用!$R:$R, "*, "&amp;H$4&amp;", *",集計用!$G:$G,"*, "&amp;$C45&amp;", *")/$B45*100</f>
        <v>16.666666666666664</v>
      </c>
      <c r="I45" s="29">
        <f>COUNTIFS(集計用!$R:$R, "*, "&amp;I$4&amp;", *",集計用!$G:$G,"*, "&amp;$C45&amp;", *")/$B45*100</f>
        <v>16.666666666666664</v>
      </c>
      <c r="J45" s="29">
        <f>COUNTIFS(集計用!$R:$R, "*, "&amp;J$4&amp;", *",集計用!$G:$G,"*, "&amp;$C45&amp;", *")/$B45*100</f>
        <v>16.666666666666664</v>
      </c>
      <c r="K45" s="29">
        <f>COUNTIFS(集計用!$R:$R, "*, "&amp;K$4&amp;", *",集計用!$G:$G,"*, "&amp;$C45&amp;", *")/$B45*100</f>
        <v>16.666666666666664</v>
      </c>
      <c r="L45" s="29">
        <f>COUNTIFS(集計用!$R:$R, "*, "&amp;L$4&amp;", *",集計用!$G:$G,"*, "&amp;$C45&amp;", *")/$B45*100</f>
        <v>8.3333333333333321</v>
      </c>
      <c r="M45" s="29">
        <f>COUNTIFS(集計用!$R:$R, "*, "&amp;M$4&amp;", *",集計用!$G:$G,"*, "&amp;$C45&amp;", *")/$B45*100</f>
        <v>8.3333333333333321</v>
      </c>
    </row>
    <row r="46" spans="1:13" ht="14.25" customHeight="1">
      <c r="A46" s="27">
        <v>4</v>
      </c>
      <c r="B46" s="27">
        <f>(COUNTIFS(集計用!$G:$G,"*, "&amp;$C46&amp;",*",集計用!$T:$T, "&lt;&gt;無回答"))</f>
        <v>9</v>
      </c>
      <c r="C46" s="36" t="s">
        <v>40</v>
      </c>
      <c r="D46" s="29">
        <f>COUNTIFS(集計用!$R:$R, "*, "&amp;D$4&amp;", *",集計用!$G:$G,"*, "&amp;$C46&amp;", *")/$B46*100</f>
        <v>77.777777777777786</v>
      </c>
      <c r="E46" s="29">
        <f>COUNTIFS(集計用!$R:$R, "*, "&amp;E$4&amp;", *",集計用!$G:$G,"*, "&amp;$C46&amp;", *")/$B46*100</f>
        <v>33.333333333333329</v>
      </c>
      <c r="F46" s="29">
        <f>COUNTIFS(集計用!$R:$R, "*, "&amp;F$4&amp;", *",集計用!$G:$G,"*, "&amp;$C46&amp;", *")/$B46*100</f>
        <v>33.333333333333329</v>
      </c>
      <c r="G46" s="29">
        <f>COUNTIFS(集計用!$R:$R, "*, "&amp;G$4&amp;", *",集計用!$G:$G,"*, "&amp;$C46&amp;", *")/$B46*100</f>
        <v>22.222222222222221</v>
      </c>
      <c r="H46" s="29">
        <f>COUNTIFS(集計用!$R:$R, "*, "&amp;H$4&amp;", *",集計用!$G:$G,"*, "&amp;$C46&amp;", *")/$B46*100</f>
        <v>44.444444444444443</v>
      </c>
      <c r="I46" s="29">
        <f>COUNTIFS(集計用!$R:$R, "*, "&amp;I$4&amp;", *",集計用!$G:$G,"*, "&amp;$C46&amp;", *")/$B46*100</f>
        <v>22.222222222222221</v>
      </c>
      <c r="J46" s="29">
        <f>COUNTIFS(集計用!$R:$R, "*, "&amp;J$4&amp;", *",集計用!$G:$G,"*, "&amp;$C46&amp;", *")/$B46*100</f>
        <v>11.111111111111111</v>
      </c>
      <c r="K46" s="29">
        <f>COUNTIFS(集計用!$R:$R, "*, "&amp;K$4&amp;", *",集計用!$G:$G,"*, "&amp;$C46&amp;", *")/$B46*100</f>
        <v>22.222222222222221</v>
      </c>
      <c r="L46" s="29">
        <f>COUNTIFS(集計用!$R:$R, "*, "&amp;L$4&amp;", *",集計用!$G:$G,"*, "&amp;$C46&amp;", *")/$B46*100</f>
        <v>11.111111111111111</v>
      </c>
      <c r="M46" s="29">
        <f>COUNTIFS(集計用!$R:$R, "*, "&amp;M$4&amp;", *",集計用!$G:$G,"*, "&amp;$C46&amp;", *")/$B46*100</f>
        <v>11.111111111111111</v>
      </c>
    </row>
    <row r="47" spans="1:13" ht="14.25" customHeight="1">
      <c r="A47" s="27">
        <v>6</v>
      </c>
      <c r="B47" s="27">
        <f>(COUNTIFS(集計用!$G:$G,"*, "&amp;$C47&amp;",*",集計用!$T:$T, "&lt;&gt;無回答"))</f>
        <v>9</v>
      </c>
      <c r="C47" s="36" t="s">
        <v>41</v>
      </c>
      <c r="D47" s="29">
        <f>COUNTIFS(集計用!$R:$R, "*, "&amp;D$4&amp;", *",集計用!$G:$G,"*, "&amp;$C47&amp;", *")/$B47*100</f>
        <v>44.444444444444443</v>
      </c>
      <c r="E47" s="29">
        <f>COUNTIFS(集計用!$R:$R, "*, "&amp;E$4&amp;", *",集計用!$G:$G,"*, "&amp;$C47&amp;", *")/$B47*100</f>
        <v>44.444444444444443</v>
      </c>
      <c r="F47" s="29">
        <f>COUNTIFS(集計用!$R:$R, "*, "&amp;F$4&amp;", *",集計用!$G:$G,"*, "&amp;$C47&amp;", *")/$B47*100</f>
        <v>33.333333333333329</v>
      </c>
      <c r="G47" s="29">
        <f>COUNTIFS(集計用!$R:$R, "*, "&amp;G$4&amp;", *",集計用!$G:$G,"*, "&amp;$C47&amp;", *")/$B47*100</f>
        <v>22.222222222222221</v>
      </c>
      <c r="H47" s="29">
        <f>COUNTIFS(集計用!$R:$R, "*, "&amp;H$4&amp;", *",集計用!$G:$G,"*, "&amp;$C47&amp;", *")/$B47*100</f>
        <v>33.333333333333329</v>
      </c>
      <c r="I47" s="29">
        <f>COUNTIFS(集計用!$R:$R, "*, "&amp;I$4&amp;", *",集計用!$G:$G,"*, "&amp;$C47&amp;", *")/$B47*100</f>
        <v>11.111111111111111</v>
      </c>
      <c r="J47" s="29">
        <f>COUNTIFS(集計用!$R:$R, "*, "&amp;J$4&amp;", *",集計用!$G:$G,"*, "&amp;$C47&amp;", *")/$B47*100</f>
        <v>11.111111111111111</v>
      </c>
      <c r="K47" s="29">
        <f>COUNTIFS(集計用!$R:$R, "*, "&amp;K$4&amp;", *",集計用!$G:$G,"*, "&amp;$C47&amp;", *")/$B47*100</f>
        <v>22.222222222222221</v>
      </c>
      <c r="L47" s="29">
        <f>COUNTIFS(集計用!$R:$R, "*, "&amp;L$4&amp;", *",集計用!$G:$G,"*, "&amp;$C47&amp;", *")/$B47*100</f>
        <v>11.111111111111111</v>
      </c>
      <c r="M47" s="29">
        <f>COUNTIFS(集計用!$R:$R, "*, "&amp;M$4&amp;", *",集計用!$G:$G,"*, "&amp;$C47&amp;", *")/$B47*100</f>
        <v>11.111111111111111</v>
      </c>
    </row>
    <row r="48" spans="1:13" ht="12.75">
      <c r="A48" s="27">
        <v>4</v>
      </c>
      <c r="B48" s="27">
        <f>(COUNTIFS(集計用!$G:$G,"*, "&amp;$C48&amp;",*",集計用!$T:$T, "&lt;&gt;無回答"))</f>
        <v>8</v>
      </c>
      <c r="C48" s="36" t="s">
        <v>44</v>
      </c>
      <c r="D48" s="29">
        <f>COUNTIFS(集計用!$R:$R, "*, "&amp;D$4&amp;", *",集計用!$G:$G,"*, "&amp;$C48&amp;", *")/$B48*100</f>
        <v>62.5</v>
      </c>
      <c r="E48" s="29">
        <f>COUNTIFS(集計用!$R:$R, "*, "&amp;E$4&amp;", *",集計用!$G:$G,"*, "&amp;$C48&amp;", *")/$B48*100</f>
        <v>12.5</v>
      </c>
      <c r="F48" s="29">
        <f>COUNTIFS(集計用!$R:$R, "*, "&amp;F$4&amp;", *",集計用!$G:$G,"*, "&amp;$C48&amp;", *")/$B48*100</f>
        <v>25</v>
      </c>
      <c r="G48" s="29">
        <f>COUNTIFS(集計用!$R:$R, "*, "&amp;G$4&amp;", *",集計用!$G:$G,"*, "&amp;$C48&amp;", *")/$B48*100</f>
        <v>25</v>
      </c>
      <c r="H48" s="29">
        <f>COUNTIFS(集計用!$R:$R, "*, "&amp;H$4&amp;", *",集計用!$G:$G,"*, "&amp;$C48&amp;", *")/$B48*100</f>
        <v>50</v>
      </c>
      <c r="I48" s="29">
        <f>COUNTIFS(集計用!$R:$R, "*, "&amp;I$4&amp;", *",集計用!$G:$G,"*, "&amp;$C48&amp;", *")/$B48*100</f>
        <v>25</v>
      </c>
      <c r="J48" s="29">
        <f>COUNTIFS(集計用!$R:$R, "*, "&amp;J$4&amp;", *",集計用!$G:$G,"*, "&amp;$C48&amp;", *")/$B48*100</f>
        <v>25</v>
      </c>
      <c r="K48" s="29">
        <f>COUNTIFS(集計用!$R:$R, "*, "&amp;K$4&amp;", *",集計用!$G:$G,"*, "&amp;$C48&amp;", *")/$B48*100</f>
        <v>12.5</v>
      </c>
      <c r="L48" s="29">
        <f>COUNTIFS(集計用!$R:$R, "*, "&amp;L$4&amp;", *",集計用!$G:$G,"*, "&amp;$C48&amp;", *")/$B48*100</f>
        <v>12.5</v>
      </c>
      <c r="M48" s="29">
        <f>COUNTIFS(集計用!$R:$R, "*, "&amp;M$4&amp;", *",集計用!$G:$G,"*, "&amp;$C48&amp;", *")/$B48*100</f>
        <v>12.5</v>
      </c>
    </row>
    <row r="49" spans="1:13" ht="14.25" customHeight="1">
      <c r="A49" s="27">
        <v>4</v>
      </c>
      <c r="B49" s="27">
        <f>(COUNTIFS(集計用!$G:$G,"*, "&amp;$C49&amp;",*",集計用!$T:$T, "&lt;&gt;無回答"))</f>
        <v>8</v>
      </c>
      <c r="C49" s="36" t="s">
        <v>43</v>
      </c>
      <c r="D49" s="29">
        <f>COUNTIFS(集計用!$R:$R, "*, "&amp;D$4&amp;", *",集計用!$G:$G,"*, "&amp;$C49&amp;", *")/$B49*100</f>
        <v>75</v>
      </c>
      <c r="E49" s="29">
        <f>COUNTIFS(集計用!$R:$R, "*, "&amp;E$4&amp;", *",集計用!$G:$G,"*, "&amp;$C49&amp;", *")/$B49*100</f>
        <v>37.5</v>
      </c>
      <c r="F49" s="29">
        <f>COUNTIFS(集計用!$R:$R, "*, "&amp;F$4&amp;", *",集計用!$G:$G,"*, "&amp;$C49&amp;", *")/$B49*100</f>
        <v>12.5</v>
      </c>
      <c r="G49" s="29">
        <f>COUNTIFS(集計用!$R:$R, "*, "&amp;G$4&amp;", *",集計用!$G:$G,"*, "&amp;$C49&amp;", *")/$B49*100</f>
        <v>12.5</v>
      </c>
      <c r="H49" s="29">
        <f>COUNTIFS(集計用!$R:$R, "*, "&amp;H$4&amp;", *",集計用!$G:$G,"*, "&amp;$C49&amp;", *")/$B49*100</f>
        <v>37.5</v>
      </c>
      <c r="I49" s="29">
        <f>COUNTIFS(集計用!$R:$R, "*, "&amp;I$4&amp;", *",集計用!$G:$G,"*, "&amp;$C49&amp;", *")/$B49*100</f>
        <v>37.5</v>
      </c>
      <c r="J49" s="29">
        <f>COUNTIFS(集計用!$R:$R, "*, "&amp;J$4&amp;", *",集計用!$G:$G,"*, "&amp;$C49&amp;", *")/$B49*100</f>
        <v>25</v>
      </c>
      <c r="K49" s="29">
        <f>COUNTIFS(集計用!$R:$R, "*, "&amp;K$4&amp;", *",集計用!$G:$G,"*, "&amp;$C49&amp;", *")/$B49*100</f>
        <v>37.5</v>
      </c>
      <c r="L49" s="29">
        <f>COUNTIFS(集計用!$R:$R, "*, "&amp;L$4&amp;", *",集計用!$G:$G,"*, "&amp;$C49&amp;", *")/$B49*100</f>
        <v>25</v>
      </c>
      <c r="M49" s="29">
        <f>COUNTIFS(集計用!$R:$R, "*, "&amp;M$4&amp;", *",集計用!$G:$G,"*, "&amp;$C49&amp;", *")/$B49*100</f>
        <v>12.5</v>
      </c>
    </row>
    <row r="50" spans="1:13" ht="14.25" customHeight="1">
      <c r="A50" s="27">
        <v>4</v>
      </c>
      <c r="B50" s="27">
        <f>(COUNTIFS(集計用!$G:$G,"*, "&amp;$C50&amp;",*",集計用!$T:$T, "&lt;&gt;無回答"))</f>
        <v>8</v>
      </c>
      <c r="C50" s="36" t="s">
        <v>42</v>
      </c>
      <c r="D50" s="29">
        <f>COUNTIFS(集計用!$R:$R, "*, "&amp;D$4&amp;", *",集計用!$G:$G,"*, "&amp;$C50&amp;", *")/$B50*100</f>
        <v>75</v>
      </c>
      <c r="E50" s="29">
        <f>COUNTIFS(集計用!$R:$R, "*, "&amp;E$4&amp;", *",集計用!$G:$G,"*, "&amp;$C50&amp;", *")/$B50*100</f>
        <v>62.5</v>
      </c>
      <c r="F50" s="29">
        <f>COUNTIFS(集計用!$R:$R, "*, "&amp;F$4&amp;", *",集計用!$G:$G,"*, "&amp;$C50&amp;", *")/$B50*100</f>
        <v>25</v>
      </c>
      <c r="G50" s="29">
        <f>COUNTIFS(集計用!$R:$R, "*, "&amp;G$4&amp;", *",集計用!$G:$G,"*, "&amp;$C50&amp;", *")/$B50*100</f>
        <v>12.5</v>
      </c>
      <c r="H50" s="29">
        <f>COUNTIFS(集計用!$R:$R, "*, "&amp;H$4&amp;", *",集計用!$G:$G,"*, "&amp;$C50&amp;", *")/$B50*100</f>
        <v>62.5</v>
      </c>
      <c r="I50" s="29">
        <f>COUNTIFS(集計用!$R:$R, "*, "&amp;I$4&amp;", *",集計用!$G:$G,"*, "&amp;$C50&amp;", *")/$B50*100</f>
        <v>25</v>
      </c>
      <c r="J50" s="29">
        <f>COUNTIFS(集計用!$R:$R, "*, "&amp;J$4&amp;", *",集計用!$G:$G,"*, "&amp;$C50&amp;", *")/$B50*100</f>
        <v>12.5</v>
      </c>
      <c r="K50" s="29">
        <f>COUNTIFS(集計用!$R:$R, "*, "&amp;K$4&amp;", *",集計用!$G:$G,"*, "&amp;$C50&amp;", *")/$B50*100</f>
        <v>25</v>
      </c>
      <c r="L50" s="29">
        <f>COUNTIFS(集計用!$R:$R, "*, "&amp;L$4&amp;", *",集計用!$G:$G,"*, "&amp;$C50&amp;", *")/$B50*100</f>
        <v>12.5</v>
      </c>
      <c r="M50" s="29">
        <f>COUNTIFS(集計用!$R:$R, "*, "&amp;M$4&amp;", *",集計用!$G:$G,"*, "&amp;$C50&amp;", *")/$B50*100</f>
        <v>12.5</v>
      </c>
    </row>
    <row r="51" spans="1:13" ht="14.25" customHeight="1">
      <c r="A51" s="27">
        <v>5</v>
      </c>
      <c r="B51" s="27">
        <f>(COUNTIFS(集計用!$G:$G,"*, "&amp;$C51&amp;",*",集計用!$T:$T, "&lt;&gt;無回答"))</f>
        <v>7</v>
      </c>
      <c r="C51" s="36" t="s">
        <v>46</v>
      </c>
      <c r="D51" s="29">
        <f>COUNTIFS(集計用!$R:$R, "*, "&amp;D$4&amp;", *",集計用!$G:$G,"*, "&amp;$C51&amp;", *")/$B51*100</f>
        <v>42.857142857142854</v>
      </c>
      <c r="E51" s="29">
        <f>COUNTIFS(集計用!$R:$R, "*, "&amp;E$4&amp;", *",集計用!$G:$G,"*, "&amp;$C51&amp;", *")/$B51*100</f>
        <v>42.857142857142854</v>
      </c>
      <c r="F51" s="29">
        <f>COUNTIFS(集計用!$R:$R, "*, "&amp;F$4&amp;", *",集計用!$G:$G,"*, "&amp;$C51&amp;", *")/$B51*100</f>
        <v>28.571428571428569</v>
      </c>
      <c r="G51" s="29">
        <f>COUNTIFS(集計用!$R:$R, "*, "&amp;G$4&amp;", *",集計用!$G:$G,"*, "&amp;$C51&amp;", *")/$B51*100</f>
        <v>28.571428571428569</v>
      </c>
      <c r="H51" s="29">
        <f>COUNTIFS(集計用!$R:$R, "*, "&amp;H$4&amp;", *",集計用!$G:$G,"*, "&amp;$C51&amp;", *")/$B51*100</f>
        <v>14.285714285714285</v>
      </c>
      <c r="I51" s="29">
        <f>COUNTIFS(集計用!$R:$R, "*, "&amp;I$4&amp;", *",集計用!$G:$G,"*, "&amp;$C51&amp;", *")/$B51*100</f>
        <v>14.285714285714285</v>
      </c>
      <c r="J51" s="29">
        <f>COUNTIFS(集計用!$R:$R, "*, "&amp;J$4&amp;", *",集計用!$G:$G,"*, "&amp;$C51&amp;", *")/$B51*100</f>
        <v>14.285714285714285</v>
      </c>
      <c r="K51" s="29">
        <f>COUNTIFS(集計用!$R:$R, "*, "&amp;K$4&amp;", *",集計用!$G:$G,"*, "&amp;$C51&amp;", *")/$B51*100</f>
        <v>14.285714285714285</v>
      </c>
      <c r="L51" s="29">
        <f>COUNTIFS(集計用!$R:$R, "*, "&amp;L$4&amp;", *",集計用!$G:$G,"*, "&amp;$C51&amp;", *")/$B51*100</f>
        <v>14.285714285714285</v>
      </c>
      <c r="M51" s="29">
        <f>COUNTIFS(集計用!$R:$R, "*, "&amp;M$4&amp;", *",集計用!$G:$G,"*, "&amp;$C51&amp;", *")/$B51*100</f>
        <v>14.285714285714285</v>
      </c>
    </row>
    <row r="52" spans="1:13" ht="14.25" customHeight="1">
      <c r="A52" s="27">
        <v>4</v>
      </c>
      <c r="B52" s="27">
        <f>(COUNTIFS(集計用!$G:$G,"*, "&amp;$C52&amp;",*",集計用!$T:$T, "&lt;&gt;無回答"))</f>
        <v>7</v>
      </c>
      <c r="C52" s="36" t="s">
        <v>47</v>
      </c>
      <c r="D52" s="29">
        <f>COUNTIFS(集計用!$R:$R, "*, "&amp;D$4&amp;", *",集計用!$G:$G,"*, "&amp;$C52&amp;", *")/$B52*100</f>
        <v>42.857142857142854</v>
      </c>
      <c r="E52" s="29">
        <f>COUNTIFS(集計用!$R:$R, "*, "&amp;E$4&amp;", *",集計用!$G:$G,"*, "&amp;$C52&amp;", *")/$B52*100</f>
        <v>14.285714285714285</v>
      </c>
      <c r="F52" s="29">
        <f>COUNTIFS(集計用!$R:$R, "*, "&amp;F$4&amp;", *",集計用!$G:$G,"*, "&amp;$C52&amp;", *")/$B52*100</f>
        <v>28.571428571428569</v>
      </c>
      <c r="G52" s="29">
        <f>COUNTIFS(集計用!$R:$R, "*, "&amp;G$4&amp;", *",集計用!$G:$G,"*, "&amp;$C52&amp;", *")/$B52*100</f>
        <v>28.571428571428569</v>
      </c>
      <c r="H52" s="29">
        <f>COUNTIFS(集計用!$R:$R, "*, "&amp;H$4&amp;", *",集計用!$G:$G,"*, "&amp;$C52&amp;", *")/$B52*100</f>
        <v>42.857142857142854</v>
      </c>
      <c r="I52" s="29">
        <f>COUNTIFS(集計用!$R:$R, "*, "&amp;I$4&amp;", *",集計用!$G:$G,"*, "&amp;$C52&amp;", *")/$B52*100</f>
        <v>14.285714285714285</v>
      </c>
      <c r="J52" s="29">
        <f>COUNTIFS(集計用!$R:$R, "*, "&amp;J$4&amp;", *",集計用!$G:$G,"*, "&amp;$C52&amp;", *")/$B52*100</f>
        <v>42.857142857142854</v>
      </c>
      <c r="K52" s="29">
        <f>COUNTIFS(集計用!$R:$R, "*, "&amp;K$4&amp;", *",集計用!$G:$G,"*, "&amp;$C52&amp;", *")/$B52*100</f>
        <v>14.285714285714285</v>
      </c>
      <c r="L52" s="29">
        <f>COUNTIFS(集計用!$R:$R, "*, "&amp;L$4&amp;", *",集計用!$G:$G,"*, "&amp;$C52&amp;", *")/$B52*100</f>
        <v>14.285714285714285</v>
      </c>
      <c r="M52" s="29">
        <f>COUNTIFS(集計用!$R:$R, "*, "&amp;M$4&amp;", *",集計用!$G:$G,"*, "&amp;$C52&amp;", *")/$B52*100</f>
        <v>14.285714285714285</v>
      </c>
    </row>
    <row r="53" spans="1:13" ht="14.25" customHeight="1">
      <c r="A53" s="27">
        <v>5</v>
      </c>
      <c r="B53" s="27">
        <f>(COUNTIFS(集計用!$G:$G,"*, "&amp;$C53&amp;",*",集計用!$T:$T, "&lt;&gt;無回答"))</f>
        <v>7</v>
      </c>
      <c r="C53" s="36" t="s">
        <v>45</v>
      </c>
      <c r="D53" s="29">
        <f>COUNTIFS(集計用!$R:$R, "*, "&amp;D$4&amp;", *",集計用!$G:$G,"*, "&amp;$C53&amp;", *")/$B53*100</f>
        <v>57.142857142857139</v>
      </c>
      <c r="E53" s="29">
        <f>COUNTIFS(集計用!$R:$R, "*, "&amp;E$4&amp;", *",集計用!$G:$G,"*, "&amp;$C53&amp;", *")/$B53*100</f>
        <v>28.571428571428569</v>
      </c>
      <c r="F53" s="29">
        <f>COUNTIFS(集計用!$R:$R, "*, "&amp;F$4&amp;", *",集計用!$G:$G,"*, "&amp;$C53&amp;", *")/$B53*100</f>
        <v>14.285714285714285</v>
      </c>
      <c r="G53" s="29">
        <f>COUNTIFS(集計用!$R:$R, "*, "&amp;G$4&amp;", *",集計用!$G:$G,"*, "&amp;$C53&amp;", *")/$B53*100</f>
        <v>14.285714285714285</v>
      </c>
      <c r="H53" s="29">
        <f>COUNTIFS(集計用!$R:$R, "*, "&amp;H$4&amp;", *",集計用!$G:$G,"*, "&amp;$C53&amp;", *")/$B53*100</f>
        <v>28.571428571428569</v>
      </c>
      <c r="I53" s="29">
        <f>COUNTIFS(集計用!$R:$R, "*, "&amp;I$4&amp;", *",集計用!$G:$G,"*, "&amp;$C53&amp;", *")/$B53*100</f>
        <v>14.285714285714285</v>
      </c>
      <c r="J53" s="29">
        <f>COUNTIFS(集計用!$R:$R, "*, "&amp;J$4&amp;", *",集計用!$G:$G,"*, "&amp;$C53&amp;", *")/$B53*100</f>
        <v>14.285714285714285</v>
      </c>
      <c r="K53" s="29">
        <f>COUNTIFS(集計用!$R:$R, "*, "&amp;K$4&amp;", *",集計用!$G:$G,"*, "&amp;$C53&amp;", *")/$B53*100</f>
        <v>14.285714285714285</v>
      </c>
      <c r="L53" s="29">
        <f>COUNTIFS(集計用!$R:$R, "*, "&amp;L$4&amp;", *",集計用!$G:$G,"*, "&amp;$C53&amp;", *")/$B53*100</f>
        <v>14.285714285714285</v>
      </c>
      <c r="M53" s="29">
        <f>COUNTIFS(集計用!$R:$R, "*, "&amp;M$4&amp;", *",集計用!$G:$G,"*, "&amp;$C53&amp;", *")/$B53*100</f>
        <v>14.285714285714285</v>
      </c>
    </row>
    <row r="54" spans="1:13" ht="14.25" customHeight="1">
      <c r="A54" s="27">
        <v>2</v>
      </c>
      <c r="B54" s="27">
        <f>(COUNTIFS(集計用!$G:$G,"*, "&amp;$C54&amp;",*",集計用!$T:$T, "&lt;&gt;無回答"))</f>
        <v>6</v>
      </c>
      <c r="C54" s="36" t="s">
        <v>48</v>
      </c>
      <c r="D54" s="29">
        <f>COUNTIFS(集計用!$R:$R, "*, "&amp;D$4&amp;", *",集計用!$G:$G,"*, "&amp;$C54&amp;", *")/$B54*100</f>
        <v>100</v>
      </c>
      <c r="E54" s="29">
        <f>COUNTIFS(集計用!$R:$R, "*, "&amp;E$4&amp;", *",集計用!$G:$G,"*, "&amp;$C54&amp;", *")/$B54*100</f>
        <v>33.333333333333329</v>
      </c>
      <c r="F54" s="29">
        <f>COUNTIFS(集計用!$R:$R, "*, "&amp;F$4&amp;", *",集計用!$G:$G,"*, "&amp;$C54&amp;", *")/$B54*100</f>
        <v>50</v>
      </c>
      <c r="G54" s="29">
        <f>COUNTIFS(集計用!$R:$R, "*, "&amp;G$4&amp;", *",集計用!$G:$G,"*, "&amp;$C54&amp;", *")/$B54*100</f>
        <v>16.666666666666664</v>
      </c>
      <c r="H54" s="29">
        <f>COUNTIFS(集計用!$R:$R, "*, "&amp;H$4&amp;", *",集計用!$G:$G,"*, "&amp;$C54&amp;", *")/$B54*100</f>
        <v>33.333333333333329</v>
      </c>
      <c r="I54" s="29">
        <f>COUNTIFS(集計用!$R:$R, "*, "&amp;I$4&amp;", *",集計用!$G:$G,"*, "&amp;$C54&amp;", *")/$B54*100</f>
        <v>16.666666666666664</v>
      </c>
      <c r="J54" s="29">
        <f>COUNTIFS(集計用!$R:$R, "*, "&amp;J$4&amp;", *",集計用!$G:$G,"*, "&amp;$C54&amp;", *")/$B54*100</f>
        <v>16.666666666666664</v>
      </c>
      <c r="K54" s="29">
        <f>COUNTIFS(集計用!$R:$R, "*, "&amp;K$4&amp;", *",集計用!$G:$G,"*, "&amp;$C54&amp;", *")/$B54*100</f>
        <v>16.666666666666664</v>
      </c>
      <c r="L54" s="29">
        <f>COUNTIFS(集計用!$R:$R, "*, "&amp;L$4&amp;", *",集計用!$G:$G,"*, "&amp;$C54&amp;", *")/$B54*100</f>
        <v>16.666666666666664</v>
      </c>
      <c r="M54" s="29">
        <f>COUNTIFS(集計用!$R:$R, "*, "&amp;M$4&amp;", *",集計用!$G:$G,"*, "&amp;$C54&amp;", *")/$B54*100</f>
        <v>16.666666666666664</v>
      </c>
    </row>
    <row r="55" spans="1:13" ht="12.75">
      <c r="A55" s="27">
        <v>5</v>
      </c>
      <c r="B55" s="27">
        <f>(COUNTIFS(集計用!$G:$G,"*, "&amp;$C55&amp;",*",集計用!$T:$T, "&lt;&gt;無回答"))</f>
        <v>6</v>
      </c>
      <c r="C55" s="36" t="s">
        <v>49</v>
      </c>
      <c r="D55" s="29">
        <f>COUNTIFS(集計用!$R:$R, "*, "&amp;D$4&amp;", *",集計用!$G:$G,"*, "&amp;$C55&amp;", *")/$B55*100</f>
        <v>50</v>
      </c>
      <c r="E55" s="29">
        <f>COUNTIFS(集計用!$R:$R, "*, "&amp;E$4&amp;", *",集計用!$G:$G,"*, "&amp;$C55&amp;", *")/$B55*100</f>
        <v>33.333333333333329</v>
      </c>
      <c r="F55" s="29">
        <f>COUNTIFS(集計用!$R:$R, "*, "&amp;F$4&amp;", *",集計用!$G:$G,"*, "&amp;$C55&amp;", *")/$B55*100</f>
        <v>33.333333333333329</v>
      </c>
      <c r="G55" s="29">
        <f>COUNTIFS(集計用!$R:$R, "*, "&amp;G$4&amp;", *",集計用!$G:$G,"*, "&amp;$C55&amp;", *")/$B55*100</f>
        <v>33.333333333333329</v>
      </c>
      <c r="H55" s="29">
        <f>COUNTIFS(集計用!$R:$R, "*, "&amp;H$4&amp;", *",集計用!$G:$G,"*, "&amp;$C55&amp;", *")/$B55*100</f>
        <v>16.666666666666664</v>
      </c>
      <c r="I55" s="29">
        <f>COUNTIFS(集計用!$R:$R, "*, "&amp;I$4&amp;", *",集計用!$G:$G,"*, "&amp;$C55&amp;", *")/$B55*100</f>
        <v>16.666666666666664</v>
      </c>
      <c r="J55" s="29">
        <f>COUNTIFS(集計用!$R:$R, "*, "&amp;J$4&amp;", *",集計用!$G:$G,"*, "&amp;$C55&amp;", *")/$B55*100</f>
        <v>16.666666666666664</v>
      </c>
      <c r="K55" s="29">
        <f>COUNTIFS(集計用!$R:$R, "*, "&amp;K$4&amp;", *",集計用!$G:$G,"*, "&amp;$C55&amp;", *")/$B55*100</f>
        <v>16.666666666666664</v>
      </c>
      <c r="L55" s="29">
        <f>COUNTIFS(集計用!$R:$R, "*, "&amp;L$4&amp;", *",集計用!$G:$G,"*, "&amp;$C55&amp;", *")/$B55*100</f>
        <v>16.666666666666664</v>
      </c>
      <c r="M55" s="29">
        <f>COUNTIFS(集計用!$R:$R, "*, "&amp;M$4&amp;", *",集計用!$G:$G,"*, "&amp;$C55&amp;", *")/$B55*100</f>
        <v>16.666666666666664</v>
      </c>
    </row>
    <row r="56" spans="1:13" ht="14.25" customHeight="1">
      <c r="A56" s="27">
        <v>4</v>
      </c>
      <c r="B56" s="27">
        <f>(COUNTIFS(集計用!$G:$G,"*, "&amp;$C56&amp;",*",集計用!$T:$T, "&lt;&gt;無回答"))</f>
        <v>5</v>
      </c>
      <c r="C56" s="36" t="s">
        <v>51</v>
      </c>
      <c r="D56" s="29">
        <f>COUNTIFS(集計用!$R:$R, "*, "&amp;D$4&amp;", *",集計用!$G:$G,"*, "&amp;$C56&amp;", *")/$B56*100</f>
        <v>80</v>
      </c>
      <c r="E56" s="29">
        <f>COUNTIFS(集計用!$R:$R, "*, "&amp;E$4&amp;", *",集計用!$G:$G,"*, "&amp;$C56&amp;", *")/$B56*100</f>
        <v>40</v>
      </c>
      <c r="F56" s="29">
        <f>COUNTIFS(集計用!$R:$R, "*, "&amp;F$4&amp;", *",集計用!$G:$G,"*, "&amp;$C56&amp;", *")/$B56*100</f>
        <v>40</v>
      </c>
      <c r="G56" s="29">
        <f>COUNTIFS(集計用!$R:$R, "*, "&amp;G$4&amp;", *",集計用!$G:$G,"*, "&amp;$C56&amp;", *")/$B56*100</f>
        <v>20</v>
      </c>
      <c r="H56" s="29">
        <f>COUNTIFS(集計用!$R:$R, "*, "&amp;H$4&amp;", *",集計用!$G:$G,"*, "&amp;$C56&amp;", *")/$B56*100</f>
        <v>20</v>
      </c>
      <c r="I56" s="29">
        <f>COUNTIFS(集計用!$R:$R, "*, "&amp;I$4&amp;", *",集計用!$G:$G,"*, "&amp;$C56&amp;", *")/$B56*100</f>
        <v>80</v>
      </c>
      <c r="J56" s="29">
        <f>COUNTIFS(集計用!$R:$R, "*, "&amp;J$4&amp;", *",集計用!$G:$G,"*, "&amp;$C56&amp;", *")/$B56*100</f>
        <v>20</v>
      </c>
      <c r="K56" s="29">
        <f>COUNTIFS(集計用!$R:$R, "*, "&amp;K$4&amp;", *",集計用!$G:$G,"*, "&amp;$C56&amp;", *")/$B56*100</f>
        <v>80</v>
      </c>
      <c r="L56" s="29">
        <f>COUNTIFS(集計用!$R:$R, "*, "&amp;L$4&amp;", *",集計用!$G:$G,"*, "&amp;$C56&amp;", *")/$B56*100</f>
        <v>20</v>
      </c>
      <c r="M56" s="29">
        <f>COUNTIFS(集計用!$R:$R, "*, "&amp;M$4&amp;", *",集計用!$G:$G,"*, "&amp;$C56&amp;", *")/$B56*100</f>
        <v>20</v>
      </c>
    </row>
    <row r="57" spans="1:13" ht="14.25" customHeight="1">
      <c r="A57" s="27">
        <v>4</v>
      </c>
      <c r="B57" s="27">
        <f>(COUNTIFS(集計用!$G:$G,"*, "&amp;$C57&amp;",*",集計用!$T:$T, "&lt;&gt;無回答"))</f>
        <v>5</v>
      </c>
      <c r="C57" s="36" t="s">
        <v>50</v>
      </c>
      <c r="D57" s="29">
        <f>COUNTIFS(集計用!$R:$R, "*, "&amp;D$4&amp;", *",集計用!$G:$G,"*, "&amp;$C57&amp;", *")/$B57*100</f>
        <v>60</v>
      </c>
      <c r="E57" s="29">
        <f>COUNTIFS(集計用!$R:$R, "*, "&amp;E$4&amp;", *",集計用!$G:$G,"*, "&amp;$C57&amp;", *")/$B57*100</f>
        <v>60</v>
      </c>
      <c r="F57" s="29">
        <f>COUNTIFS(集計用!$R:$R, "*, "&amp;F$4&amp;", *",集計用!$G:$G,"*, "&amp;$C57&amp;", *")/$B57*100</f>
        <v>20</v>
      </c>
      <c r="G57" s="29">
        <f>COUNTIFS(集計用!$R:$R, "*, "&amp;G$4&amp;", *",集計用!$G:$G,"*, "&amp;$C57&amp;", *")/$B57*100</f>
        <v>40</v>
      </c>
      <c r="H57" s="29">
        <f>COUNTIFS(集計用!$R:$R, "*, "&amp;H$4&amp;", *",集計用!$G:$G,"*, "&amp;$C57&amp;", *")/$B57*100</f>
        <v>60</v>
      </c>
      <c r="I57" s="29">
        <f>COUNTIFS(集計用!$R:$R, "*, "&amp;I$4&amp;", *",集計用!$G:$G,"*, "&amp;$C57&amp;", *")/$B57*100</f>
        <v>40</v>
      </c>
      <c r="J57" s="29">
        <f>COUNTIFS(集計用!$R:$R, "*, "&amp;J$4&amp;", *",集計用!$G:$G,"*, "&amp;$C57&amp;", *")/$B57*100</f>
        <v>20</v>
      </c>
      <c r="K57" s="29">
        <f>COUNTIFS(集計用!$R:$R, "*, "&amp;K$4&amp;", *",集計用!$G:$G,"*, "&amp;$C57&amp;", *")/$B57*100</f>
        <v>40</v>
      </c>
      <c r="L57" s="29">
        <f>COUNTIFS(集計用!$R:$R, "*, "&amp;L$4&amp;", *",集計用!$G:$G,"*, "&amp;$C57&amp;", *")/$B57*100</f>
        <v>20</v>
      </c>
      <c r="M57" s="29">
        <f>COUNTIFS(集計用!$R:$R, "*, "&amp;M$4&amp;", *",集計用!$G:$G,"*, "&amp;$C57&amp;", *")/$B57*100</f>
        <v>20</v>
      </c>
    </row>
    <row r="58" spans="1:13" ht="14.25" customHeight="1">
      <c r="A58" s="27" t="s">
        <v>2180</v>
      </c>
      <c r="B58" s="27">
        <f>(COUNTIFS(集計用!$G:$G,"*, "&amp;$C58&amp;",*",集計用!$T:$T, "&lt;&gt;無回答"))</f>
        <v>4</v>
      </c>
      <c r="C58" s="36" t="s">
        <v>53</v>
      </c>
      <c r="D58" s="29">
        <f>COUNTIFS(集計用!$R:$R, "*, "&amp;D$4&amp;", *",集計用!$G:$G,"*, "&amp;$C58&amp;", *")/$B58*100</f>
        <v>75</v>
      </c>
      <c r="E58" s="29">
        <f>COUNTIFS(集計用!$R:$R, "*, "&amp;E$4&amp;", *",集計用!$G:$G,"*, "&amp;$C58&amp;", *")/$B58*100</f>
        <v>25</v>
      </c>
      <c r="F58" s="29">
        <f>COUNTIFS(集計用!$R:$R, "*, "&amp;F$4&amp;", *",集計用!$G:$G,"*, "&amp;$C58&amp;", *")/$B58*100</f>
        <v>25</v>
      </c>
      <c r="G58" s="29">
        <f>COUNTIFS(集計用!$R:$R, "*, "&amp;G$4&amp;", *",集計用!$G:$G,"*, "&amp;$C58&amp;", *")/$B58*100</f>
        <v>25</v>
      </c>
      <c r="H58" s="29">
        <f>COUNTIFS(集計用!$R:$R, "*, "&amp;H$4&amp;", *",集計用!$G:$G,"*, "&amp;$C58&amp;", *")/$B58*100</f>
        <v>50</v>
      </c>
      <c r="I58" s="29">
        <f>COUNTIFS(集計用!$R:$R, "*, "&amp;I$4&amp;", *",集計用!$G:$G,"*, "&amp;$C58&amp;", *")/$B58*100</f>
        <v>25</v>
      </c>
      <c r="J58" s="29">
        <f>COUNTIFS(集計用!$R:$R, "*, "&amp;J$4&amp;", *",集計用!$G:$G,"*, "&amp;$C58&amp;", *")/$B58*100</f>
        <v>25</v>
      </c>
      <c r="K58" s="29">
        <f>COUNTIFS(集計用!$R:$R, "*, "&amp;K$4&amp;", *",集計用!$G:$G,"*, "&amp;$C58&amp;", *")/$B58*100</f>
        <v>25</v>
      </c>
      <c r="L58" s="29">
        <f>COUNTIFS(集計用!$R:$R, "*, "&amp;L$4&amp;", *",集計用!$G:$G,"*, "&amp;$C58&amp;", *")/$B58*100</f>
        <v>25</v>
      </c>
      <c r="M58" s="29">
        <f>COUNTIFS(集計用!$R:$R, "*, "&amp;M$4&amp;", *",集計用!$G:$G,"*, "&amp;$C58&amp;", *")/$B58*100</f>
        <v>25</v>
      </c>
    </row>
    <row r="59" spans="1:13" ht="14.25" customHeight="1">
      <c r="A59" s="27" t="s">
        <v>2180</v>
      </c>
      <c r="B59" s="27">
        <f>(COUNTIFS(集計用!$G:$G,"*, "&amp;$C59&amp;",*",集計用!$T:$T, "&lt;&gt;無回答"))</f>
        <v>4</v>
      </c>
      <c r="C59" s="36" t="s">
        <v>52</v>
      </c>
      <c r="D59" s="29">
        <f>COUNTIFS(集計用!$R:$R, "*, "&amp;D$4&amp;", *",集計用!$G:$G,"*, "&amp;$C59&amp;", *")/$B59*100</f>
        <v>50</v>
      </c>
      <c r="E59" s="29">
        <f>COUNTIFS(集計用!$R:$R, "*, "&amp;E$4&amp;", *",集計用!$G:$G,"*, "&amp;$C59&amp;", *")/$B59*100</f>
        <v>50</v>
      </c>
      <c r="F59" s="29">
        <f>COUNTIFS(集計用!$R:$R, "*, "&amp;F$4&amp;", *",集計用!$G:$G,"*, "&amp;$C59&amp;", *")/$B59*100</f>
        <v>50</v>
      </c>
      <c r="G59" s="29">
        <f>COUNTIFS(集計用!$R:$R, "*, "&amp;G$4&amp;", *",集計用!$G:$G,"*, "&amp;$C59&amp;", *")/$B59*100</f>
        <v>25</v>
      </c>
      <c r="H59" s="29">
        <f>COUNTIFS(集計用!$R:$R, "*, "&amp;H$4&amp;", *",集計用!$G:$G,"*, "&amp;$C59&amp;", *")/$B59*100</f>
        <v>25</v>
      </c>
      <c r="I59" s="29">
        <f>COUNTIFS(集計用!$R:$R, "*, "&amp;I$4&amp;", *",集計用!$G:$G,"*, "&amp;$C59&amp;", *")/$B59*100</f>
        <v>25</v>
      </c>
      <c r="J59" s="29">
        <f>COUNTIFS(集計用!$R:$R, "*, "&amp;J$4&amp;", *",集計用!$G:$G,"*, "&amp;$C59&amp;", *")/$B59*100</f>
        <v>50</v>
      </c>
      <c r="K59" s="29">
        <f>COUNTIFS(集計用!$R:$R, "*, "&amp;K$4&amp;", *",集計用!$G:$G,"*, "&amp;$C59&amp;", *")/$B59*100</f>
        <v>25</v>
      </c>
      <c r="L59" s="29">
        <f>COUNTIFS(集計用!$R:$R, "*, "&amp;L$4&amp;", *",集計用!$G:$G,"*, "&amp;$C59&amp;", *")/$B59*100</f>
        <v>50</v>
      </c>
      <c r="M59" s="29">
        <f>COUNTIFS(集計用!$R:$R, "*, "&amp;M$4&amp;", *",集計用!$G:$G,"*, "&amp;$C59&amp;", *")/$B59*100</f>
        <v>25</v>
      </c>
    </row>
    <row r="60" spans="1:13" ht="12.75">
      <c r="A60" s="27" t="s">
        <v>2180</v>
      </c>
      <c r="B60" s="27">
        <f>(COUNTIFS(集計用!$G:$G,"*, "&amp;$C60&amp;",*",集計用!$T:$T, "&lt;&gt;無回答"))</f>
        <v>3</v>
      </c>
      <c r="C60" s="36" t="s">
        <v>54</v>
      </c>
      <c r="D60" s="29">
        <f>COUNTIFS(集計用!$R:$R, "*, "&amp;D$4&amp;", *",集計用!$G:$G,"*, "&amp;$C60&amp;", *")/$B60*100</f>
        <v>100</v>
      </c>
      <c r="E60" s="29">
        <f>COUNTIFS(集計用!$R:$R, "*, "&amp;E$4&amp;", *",集計用!$G:$G,"*, "&amp;$C60&amp;", *")/$B60*100</f>
        <v>33.333333333333329</v>
      </c>
      <c r="F60" s="29">
        <f>COUNTIFS(集計用!$R:$R, "*, "&amp;F$4&amp;", *",集計用!$G:$G,"*, "&amp;$C60&amp;", *")/$B60*100</f>
        <v>33.333333333333329</v>
      </c>
      <c r="G60" s="29">
        <f>COUNTIFS(集計用!$R:$R, "*, "&amp;G$4&amp;", *",集計用!$G:$G,"*, "&amp;$C60&amp;", *")/$B60*100</f>
        <v>33.333333333333329</v>
      </c>
      <c r="H60" s="29">
        <f>COUNTIFS(集計用!$R:$R, "*, "&amp;H$4&amp;", *",集計用!$G:$G,"*, "&amp;$C60&amp;", *")/$B60*100</f>
        <v>33.333333333333329</v>
      </c>
      <c r="I60" s="29">
        <f>COUNTIFS(集計用!$R:$R, "*, "&amp;I$4&amp;", *",集計用!$G:$G,"*, "&amp;$C60&amp;", *")/$B60*100</f>
        <v>33.333333333333329</v>
      </c>
      <c r="J60" s="29">
        <f>COUNTIFS(集計用!$R:$R, "*, "&amp;J$4&amp;", *",集計用!$G:$G,"*, "&amp;$C60&amp;", *")/$B60*100</f>
        <v>33.333333333333329</v>
      </c>
      <c r="K60" s="29">
        <f>COUNTIFS(集計用!$R:$R, "*, "&amp;K$4&amp;", *",集計用!$G:$G,"*, "&amp;$C60&amp;", *")/$B60*100</f>
        <v>33.333333333333329</v>
      </c>
      <c r="L60" s="29">
        <f>COUNTIFS(集計用!$R:$R, "*, "&amp;L$4&amp;", *",集計用!$G:$G,"*, "&amp;$C60&amp;", *")/$B60*100</f>
        <v>33.333333333333329</v>
      </c>
      <c r="M60" s="29">
        <f>COUNTIFS(集計用!$R:$R, "*, "&amp;M$4&amp;", *",集計用!$G:$G,"*, "&amp;$C60&amp;", *")/$B60*100</f>
        <v>33.333333333333329</v>
      </c>
    </row>
    <row r="61" spans="1:13" ht="14.25" customHeight="1">
      <c r="A61" s="27" t="s">
        <v>2180</v>
      </c>
      <c r="B61" s="27">
        <f>(COUNTIFS(集計用!$G:$G,"*, "&amp;$C61&amp;",*",集計用!$T:$T, "&lt;&gt;無回答"))</f>
        <v>2</v>
      </c>
      <c r="C61" s="36" t="s">
        <v>55</v>
      </c>
      <c r="D61" s="29">
        <f>COUNTIFS(集計用!$R:$R, "*, "&amp;D$4&amp;", *",集計用!$G:$G,"*, "&amp;$C61&amp;", *")/$B61*100</f>
        <v>100</v>
      </c>
      <c r="E61" s="29">
        <f>COUNTIFS(集計用!$R:$R, "*, "&amp;E$4&amp;", *",集計用!$G:$G,"*, "&amp;$C61&amp;", *")/$B61*100</f>
        <v>50</v>
      </c>
      <c r="F61" s="29">
        <f>COUNTIFS(集計用!$R:$R, "*, "&amp;F$4&amp;", *",集計用!$G:$G,"*, "&amp;$C61&amp;", *")/$B61*100</f>
        <v>100</v>
      </c>
      <c r="G61" s="29">
        <f>COUNTIFS(集計用!$R:$R, "*, "&amp;G$4&amp;", *",集計用!$G:$G,"*, "&amp;$C61&amp;", *")/$B61*100</f>
        <v>50</v>
      </c>
      <c r="H61" s="29">
        <f>COUNTIFS(集計用!$R:$R, "*, "&amp;H$4&amp;", *",集計用!$G:$G,"*, "&amp;$C61&amp;", *")/$B61*100</f>
        <v>50</v>
      </c>
      <c r="I61" s="29">
        <f>COUNTIFS(集計用!$R:$R, "*, "&amp;I$4&amp;", *",集計用!$G:$G,"*, "&amp;$C61&amp;", *")/$B61*100</f>
        <v>50</v>
      </c>
      <c r="J61" s="29">
        <f>COUNTIFS(集計用!$R:$R, "*, "&amp;J$4&amp;", *",集計用!$G:$G,"*, "&amp;$C61&amp;", *")/$B61*100</f>
        <v>50</v>
      </c>
      <c r="K61" s="29">
        <f>COUNTIFS(集計用!$R:$R, "*, "&amp;K$4&amp;", *",集計用!$G:$G,"*, "&amp;$C61&amp;", *")/$B61*100</f>
        <v>50</v>
      </c>
      <c r="L61" s="29">
        <f>COUNTIFS(集計用!$R:$R, "*, "&amp;L$4&amp;", *",集計用!$G:$G,"*, "&amp;$C61&amp;", *")/$B61*100</f>
        <v>50</v>
      </c>
      <c r="M61" s="29">
        <f>COUNTIFS(集計用!$R:$R, "*, "&amp;M$4&amp;", *",集計用!$G:$G,"*, "&amp;$C61&amp;", *")/$B61*100</f>
        <v>50</v>
      </c>
    </row>
    <row r="62" spans="1:13" ht="14.25" customHeight="1">
      <c r="A62" s="27" t="s">
        <v>2180</v>
      </c>
      <c r="B62" s="27">
        <f>(COUNTIFS(集計用!$G:$G,"*, "&amp;$C62&amp;",*",集計用!$T:$T, "&lt;&gt;無回答"))</f>
        <v>1</v>
      </c>
      <c r="C62" s="36" t="s">
        <v>56</v>
      </c>
      <c r="D62" s="29">
        <f>COUNTIFS(集計用!$R:$R, "*, "&amp;D$4&amp;", *",集計用!$G:$G,"*, "&amp;$C62&amp;", *")/$B62*100</f>
        <v>0</v>
      </c>
      <c r="E62" s="29">
        <f>COUNTIFS(集計用!$R:$R, "*, "&amp;E$4&amp;", *",集計用!$G:$G,"*, "&amp;$C62&amp;", *")/$B62*100</f>
        <v>0</v>
      </c>
      <c r="F62" s="29">
        <f>COUNTIFS(集計用!$R:$R, "*, "&amp;F$4&amp;", *",集計用!$G:$G,"*, "&amp;$C62&amp;", *")/$B62*100</f>
        <v>100</v>
      </c>
      <c r="G62" s="29">
        <f>COUNTIFS(集計用!$R:$R, "*, "&amp;G$4&amp;", *",集計用!$G:$G,"*, "&amp;$C62&amp;", *")/$B62*100</f>
        <v>0</v>
      </c>
      <c r="H62" s="29">
        <f>COUNTIFS(集計用!$R:$R, "*, "&amp;H$4&amp;", *",集計用!$G:$G,"*, "&amp;$C62&amp;", *")/$B62*100</f>
        <v>0</v>
      </c>
      <c r="I62" s="29">
        <f>COUNTIFS(集計用!$R:$R, "*, "&amp;I$4&amp;", *",集計用!$G:$G,"*, "&amp;$C62&amp;", *")/$B62*100</f>
        <v>0</v>
      </c>
      <c r="J62" s="29">
        <f>COUNTIFS(集計用!$R:$R, "*, "&amp;J$4&amp;", *",集計用!$G:$G,"*, "&amp;$C62&amp;", *")/$B62*100</f>
        <v>0</v>
      </c>
      <c r="K62" s="29">
        <f>COUNTIFS(集計用!$R:$R, "*, "&amp;K$4&amp;", *",集計用!$G:$G,"*, "&amp;$C62&amp;", *")/$B62*100</f>
        <v>0</v>
      </c>
      <c r="L62" s="29">
        <f>COUNTIFS(集計用!$R:$R, "*, "&amp;L$4&amp;", *",集計用!$G:$G,"*, "&amp;$C62&amp;", *")/$B62*100</f>
        <v>0</v>
      </c>
      <c r="M62" s="29">
        <f>COUNTIFS(集計用!$R:$R, "*, "&amp;M$4&amp;", *",集計用!$G:$G,"*, "&amp;$C62&amp;", *")/$B62*100</f>
        <v>0</v>
      </c>
    </row>
    <row r="63" spans="1:13" ht="14.25" customHeight="1">
      <c r="C63" s="19"/>
      <c r="D63" s="101"/>
      <c r="E63" s="101"/>
      <c r="F63" s="101"/>
      <c r="G63" s="101"/>
      <c r="H63" s="101"/>
      <c r="I63" s="101"/>
      <c r="J63" s="101"/>
      <c r="K63" s="101"/>
      <c r="L63" s="101"/>
      <c r="M63" s="101"/>
    </row>
    <row r="64" spans="1:13" ht="12.75">
      <c r="C64" s="19"/>
      <c r="D64" s="101"/>
      <c r="E64" s="101"/>
      <c r="F64" s="101"/>
      <c r="G64" s="101"/>
      <c r="H64" s="101"/>
      <c r="I64" s="101"/>
      <c r="J64" s="101"/>
      <c r="K64" s="101"/>
      <c r="L64" s="101"/>
      <c r="M64" s="101"/>
    </row>
    <row r="65" spans="3:13" ht="15.75" customHeight="1">
      <c r="C65" s="19"/>
      <c r="D65" s="101"/>
      <c r="E65" s="101"/>
      <c r="F65" s="101"/>
      <c r="G65" s="101"/>
      <c r="H65" s="101"/>
      <c r="I65" s="101"/>
      <c r="J65" s="101"/>
      <c r="K65" s="101"/>
      <c r="L65" s="101"/>
      <c r="M65" s="101"/>
    </row>
    <row r="66" spans="3:13" ht="15.75" customHeight="1">
      <c r="C66" s="19"/>
      <c r="D66" s="101"/>
      <c r="E66" s="101"/>
      <c r="F66" s="101"/>
      <c r="G66" s="101"/>
      <c r="H66" s="101"/>
      <c r="I66" s="101"/>
      <c r="J66" s="101"/>
      <c r="K66" s="101"/>
      <c r="L66" s="101"/>
      <c r="M66" s="101"/>
    </row>
    <row r="67" spans="3:13" ht="15.75" customHeight="1">
      <c r="C67" s="19"/>
      <c r="D67" s="101"/>
      <c r="E67" s="101"/>
      <c r="F67" s="101"/>
      <c r="G67" s="101"/>
      <c r="H67" s="101"/>
      <c r="I67" s="101"/>
      <c r="J67" s="101"/>
      <c r="K67" s="101"/>
      <c r="L67" s="101"/>
      <c r="M67" s="101"/>
    </row>
    <row r="68" spans="3:13" ht="15.75" customHeight="1">
      <c r="C68" s="19"/>
      <c r="D68" s="101"/>
      <c r="E68" s="101"/>
      <c r="F68" s="101"/>
      <c r="G68" s="101"/>
      <c r="H68" s="101"/>
      <c r="I68" s="101"/>
      <c r="J68" s="101"/>
      <c r="K68" s="101"/>
      <c r="L68" s="101"/>
      <c r="M68" s="101"/>
    </row>
  </sheetData>
  <phoneticPr fontId="8"/>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02194-CB5A-4342-B8E6-13C09B1F1195}">
  <sheetPr>
    <outlinePr summaryBelow="0" summaryRight="0"/>
  </sheetPr>
  <dimension ref="A1:AI68"/>
  <sheetViews>
    <sheetView zoomScaleNormal="100" workbookViewId="0">
      <selection activeCell="B5" sqref="B5"/>
    </sheetView>
  </sheetViews>
  <sheetFormatPr defaultColWidth="12.5703125" defaultRowHeight="15.75" customHeight="1"/>
  <cols>
    <col min="1" max="2" width="12.5703125" style="20"/>
    <col min="3" max="3" width="26.7109375" style="20" customWidth="1"/>
    <col min="4" max="16384" width="12.5703125" style="20"/>
  </cols>
  <sheetData>
    <row r="1" spans="1:35" ht="15.75" customHeight="1">
      <c r="A1" s="30" t="s">
        <v>2331</v>
      </c>
    </row>
    <row r="2" spans="1:35" ht="15.75" customHeight="1">
      <c r="A2" s="30"/>
    </row>
    <row r="3" spans="1:35" ht="13.5" customHeight="1">
      <c r="C3" s="75" t="s">
        <v>2261</v>
      </c>
      <c r="D3" s="84">
        <f>COUNTIF(集計用!$S$2:$S$444,"*"&amp;D4&amp;",*")</f>
        <v>51</v>
      </c>
      <c r="E3" s="84">
        <f>COUNTIF(集計用!$S$2:$S$444,"*"&amp;E4&amp;",*")</f>
        <v>7</v>
      </c>
      <c r="F3" s="84">
        <f>COUNTIF(集計用!$S$2:$S$444,"*"&amp;F4&amp;",*")</f>
        <v>6</v>
      </c>
      <c r="G3" s="84">
        <f>COUNTIF(集計用!$S$2:$S$444,"*"&amp;G4&amp;",*")</f>
        <v>4</v>
      </c>
      <c r="H3" s="84">
        <f>COUNTIF(集計用!$S$2:$S$444,"*"&amp;H4&amp;",*")</f>
        <v>2</v>
      </c>
      <c r="I3" s="84">
        <f>COUNTIF(集計用!$S$2:$S$444,"*"&amp;I4&amp;",*")</f>
        <v>2</v>
      </c>
      <c r="J3" s="84">
        <f>COUNTIF(集計用!$S$2:$S$444,"*"&amp;J4&amp;",*")</f>
        <v>0</v>
      </c>
      <c r="K3" s="84">
        <f>COUNTIF(集計用!$S$2:$S$444,"*"&amp;K4&amp;",*")</f>
        <v>1</v>
      </c>
      <c r="L3" s="84">
        <f>COUNTIF(集計用!$S$2:$S$444,"*"&amp;L4&amp;",*")</f>
        <v>1</v>
      </c>
      <c r="M3" s="84">
        <f>COUNTIF(集計用!$S$2:$S$444,"*"&amp;M4&amp;",*")</f>
        <v>1</v>
      </c>
      <c r="N3" s="84">
        <f>COUNTIF(集計用!$S$2:$S$444,"*"&amp;N4&amp;",*")</f>
        <v>1</v>
      </c>
      <c r="O3" s="84">
        <f>COUNTIF(集計用!$S$2:$S$444,"*"&amp;O4&amp;",*")</f>
        <v>1</v>
      </c>
      <c r="P3" s="84">
        <f>COUNTIF(集計用!$S$2:$S$444,"*"&amp;P4&amp;",*")</f>
        <v>1</v>
      </c>
      <c r="Q3" s="84">
        <f>COUNTIF(集計用!$S$2:$S$444,"*"&amp;Q4&amp;",*")</f>
        <v>1</v>
      </c>
      <c r="R3" s="84">
        <f>COUNTIF(集計用!$S$2:$S$444,"*"&amp;R4&amp;",*")</f>
        <v>1</v>
      </c>
      <c r="S3" s="84">
        <f>COUNTIF(集計用!$S$2:$S$444,"*"&amp;S4&amp;",*")</f>
        <v>1</v>
      </c>
      <c r="T3" s="84">
        <f>COUNTIF(集計用!$S$2:$S$444,"*"&amp;T4&amp;",*")</f>
        <v>1</v>
      </c>
      <c r="U3" s="84">
        <f>COUNTIF(集計用!$S$2:$S$444,"*"&amp;U4&amp;",*")</f>
        <v>1</v>
      </c>
      <c r="V3" s="84">
        <f>COUNTIF(集計用!$S$2:$S$444,"*"&amp;V4&amp;",*")</f>
        <v>1</v>
      </c>
      <c r="W3" s="84">
        <f>COUNTIF(集計用!$S$2:$S$444,"*"&amp;W4&amp;",*")</f>
        <v>1</v>
      </c>
      <c r="X3" s="84">
        <f>COUNTIF(集計用!$S$2:$S$444,"*"&amp;X4&amp;",*")</f>
        <v>1</v>
      </c>
      <c r="Y3" s="84">
        <f>COUNTIF(集計用!$S$2:$S$444,"*"&amp;Y4&amp;",*")</f>
        <v>1</v>
      </c>
      <c r="Z3" s="84">
        <f>COUNTIF(集計用!$S$2:$S$444,"*"&amp;Z4&amp;",*")</f>
        <v>1</v>
      </c>
      <c r="AA3" s="84">
        <f>COUNTIF(集計用!$S$2:$S$444,"*"&amp;AA4&amp;",*")</f>
        <v>1</v>
      </c>
      <c r="AB3" s="84">
        <f>COUNTIF(集計用!$S$2:$S$444,"*"&amp;AB4&amp;",*")</f>
        <v>1</v>
      </c>
      <c r="AC3" s="84">
        <v>1</v>
      </c>
      <c r="AD3" s="84">
        <f>COUNTIF(集計用!$S$2:$S$444,"*"&amp;AD4&amp;",*")</f>
        <v>1</v>
      </c>
      <c r="AE3" s="84">
        <f>COUNTIF(集計用!$S$2:$S$444,"*"&amp;AE4&amp;",*")</f>
        <v>1</v>
      </c>
      <c r="AF3" s="84">
        <f>COUNTIF(集計用!$S$2:$S$444,"*"&amp;AF4&amp;",*")</f>
        <v>1</v>
      </c>
      <c r="AG3" s="84">
        <f>COUNTIF(集計用!$S$2:$S$444,"*"&amp;AG4&amp;",*")</f>
        <v>1</v>
      </c>
      <c r="AH3" s="84">
        <f>COUNTIF(集計用!$S$2:$S$444,"*"&amp;AH4&amp;",*")</f>
        <v>1</v>
      </c>
      <c r="AI3" s="84">
        <f>COUNTIF(集計用!$S$2:$S$444,"*"&amp;AI4&amp;",*")</f>
        <v>1</v>
      </c>
    </row>
    <row r="4" spans="1:35" ht="12.75">
      <c r="A4" s="46" t="s">
        <v>2178</v>
      </c>
      <c r="B4" s="46" t="s">
        <v>2179</v>
      </c>
      <c r="C4" s="46" t="s">
        <v>2182</v>
      </c>
      <c r="D4" s="82" t="s">
        <v>2333</v>
      </c>
      <c r="E4" s="83" t="s">
        <v>2302</v>
      </c>
      <c r="F4" s="83" t="s">
        <v>2303</v>
      </c>
      <c r="G4" s="103" t="s">
        <v>2437</v>
      </c>
      <c r="H4" s="83" t="s">
        <v>2304</v>
      </c>
      <c r="I4" s="82" t="s">
        <v>2305</v>
      </c>
      <c r="J4" s="83" t="s">
        <v>2306</v>
      </c>
      <c r="K4" s="83" t="s">
        <v>2307</v>
      </c>
      <c r="L4" s="83" t="s">
        <v>2308</v>
      </c>
      <c r="M4" s="82" t="s">
        <v>2309</v>
      </c>
      <c r="N4" s="82" t="s">
        <v>2310</v>
      </c>
      <c r="O4" s="83" t="s">
        <v>2311</v>
      </c>
      <c r="P4" s="83" t="s">
        <v>2312</v>
      </c>
      <c r="Q4" s="83" t="s">
        <v>2313</v>
      </c>
      <c r="R4" s="83" t="s">
        <v>2314</v>
      </c>
      <c r="S4" s="83" t="s">
        <v>2315</v>
      </c>
      <c r="T4" s="82" t="s">
        <v>2316</v>
      </c>
      <c r="U4" s="82" t="s">
        <v>2317</v>
      </c>
      <c r="V4" s="83" t="s">
        <v>2318</v>
      </c>
      <c r="W4" s="83" t="s">
        <v>2319</v>
      </c>
      <c r="X4" s="83" t="s">
        <v>2320</v>
      </c>
      <c r="Y4" s="83" t="s">
        <v>2321</v>
      </c>
      <c r="Z4" s="82" t="s">
        <v>2322</v>
      </c>
      <c r="AA4" s="83" t="s">
        <v>2323</v>
      </c>
      <c r="AB4" s="82" t="s">
        <v>2324</v>
      </c>
      <c r="AC4" s="83" t="s">
        <v>2325</v>
      </c>
      <c r="AD4" s="82" t="s">
        <v>2326</v>
      </c>
      <c r="AE4" s="83" t="s">
        <v>2327</v>
      </c>
      <c r="AF4" s="82" t="s">
        <v>2328</v>
      </c>
      <c r="AG4" s="82" t="s">
        <v>2329</v>
      </c>
      <c r="AH4" s="85" t="s">
        <v>2332</v>
      </c>
      <c r="AI4" s="83" t="s">
        <v>2330</v>
      </c>
    </row>
    <row r="5" spans="1:35" ht="12.75">
      <c r="A5" s="39">
        <v>0</v>
      </c>
      <c r="B5" s="39">
        <f>COUNTA(集計用!$T:$T)-1-COUNTIF(集計用!$T:$T, "無回答 , ")</f>
        <v>426</v>
      </c>
      <c r="C5" s="40" t="s">
        <v>2249</v>
      </c>
      <c r="D5" s="41">
        <f>COUNTIFS(集計用!$S:$S, "*"&amp;D$4&amp;",*")/$B5*100</f>
        <v>11.971830985915492</v>
      </c>
      <c r="E5" s="41">
        <f>COUNTIFS(集計用!$S:$S, "*"&amp;E$4&amp;",*")/$B5*100</f>
        <v>1.643192488262911</v>
      </c>
      <c r="F5" s="41">
        <f>COUNTIFS(集計用!$S:$S, "*"&amp;F$4&amp;",*")/$B5*100</f>
        <v>1.4084507042253522</v>
      </c>
      <c r="G5" s="41">
        <f>COUNTIFS(集計用!$S:$S, "*"&amp;G$4&amp;",*")/$B5*100</f>
        <v>0.93896713615023475</v>
      </c>
      <c r="H5" s="41">
        <f>COUNTIFS(集計用!$S:$S, "*"&amp;H$4&amp;",*")/$B5*100</f>
        <v>0.46948356807511737</v>
      </c>
      <c r="I5" s="41">
        <f>COUNTIFS(集計用!$S:$S, "*"&amp;I$4&amp;",*")/$B5*100</f>
        <v>0.46948356807511737</v>
      </c>
      <c r="J5" s="41">
        <f>COUNTIFS(集計用!$S:$S, "*"&amp;J$4&amp;",*")/$B5*100</f>
        <v>0</v>
      </c>
      <c r="K5" s="41">
        <f>COUNTIFS(集計用!$S:$S, "*"&amp;K$4&amp;",*")/$B5*100</f>
        <v>0.23474178403755869</v>
      </c>
      <c r="L5" s="41">
        <f>COUNTIFS(集計用!$S:$S, "*"&amp;L$4&amp;",*")/$B5*100</f>
        <v>0.23474178403755869</v>
      </c>
      <c r="M5" s="41">
        <f>COUNTIFS(集計用!$S:$S, "*"&amp;M$4&amp;",*")/$B5*100</f>
        <v>0.23474178403755869</v>
      </c>
      <c r="N5" s="41">
        <f>COUNTIFS(集計用!$S:$S, "*"&amp;N$4&amp;",*")/$B5*100</f>
        <v>0.23474178403755869</v>
      </c>
      <c r="O5" s="41">
        <f>COUNTIFS(集計用!$S:$S, "*"&amp;O$4&amp;",*")/$B5*100</f>
        <v>0.23474178403755869</v>
      </c>
      <c r="P5" s="41">
        <f>COUNTIFS(集計用!$S:$S, "*"&amp;P$4&amp;",*")/$B5*100</f>
        <v>0.23474178403755869</v>
      </c>
      <c r="Q5" s="41">
        <f>COUNTIFS(集計用!$S:$S, "*"&amp;Q$4&amp;",*")/$B5*100</f>
        <v>0.23474178403755869</v>
      </c>
      <c r="R5" s="41">
        <f>COUNTIFS(集計用!$S:$S, "*"&amp;R$4&amp;",*")/$B5*100</f>
        <v>0.23474178403755869</v>
      </c>
      <c r="S5" s="41">
        <f>COUNTIFS(集計用!$S:$S, "*"&amp;S$4&amp;",*")/$B5*100</f>
        <v>0.23474178403755869</v>
      </c>
      <c r="T5" s="41">
        <f>COUNTIFS(集計用!$S:$S, "*"&amp;T$4&amp;",*")/$B5*100</f>
        <v>0.23474178403755869</v>
      </c>
      <c r="U5" s="41">
        <f>COUNTIFS(集計用!$S:$S, "*"&amp;U$4&amp;",*")/$B5*100</f>
        <v>0.23474178403755869</v>
      </c>
      <c r="V5" s="41">
        <f>COUNTIFS(集計用!$S:$S, "*"&amp;V$4&amp;",*")/$B5*100</f>
        <v>0.23474178403755869</v>
      </c>
      <c r="W5" s="41">
        <f>COUNTIFS(集計用!$S:$S, "*"&amp;W$4&amp;",*")/$B5*100</f>
        <v>0.23474178403755869</v>
      </c>
      <c r="X5" s="41">
        <f>COUNTIFS(集計用!$S:$S, "*"&amp;X$4&amp;",*")/$B5*100</f>
        <v>0.23474178403755869</v>
      </c>
      <c r="Y5" s="41">
        <f>COUNTIFS(集計用!$S:$S, "*"&amp;Y$4&amp;",*")/$B5*100</f>
        <v>0.23474178403755869</v>
      </c>
      <c r="Z5" s="41">
        <f>COUNTIFS(集計用!$S:$S, "*"&amp;Z$4&amp;",*")/$B5*100</f>
        <v>0.23474178403755869</v>
      </c>
      <c r="AA5" s="41">
        <f>COUNTIFS(集計用!$S:$S, "*"&amp;AA$4&amp;",*")/$B5*100</f>
        <v>0.23474178403755869</v>
      </c>
      <c r="AB5" s="41">
        <f>COUNTIFS(集計用!$S:$S, "*"&amp;AB$4&amp;",*")/$B5*100</f>
        <v>0.23474178403755869</v>
      </c>
      <c r="AC5" s="41">
        <f>COUNTIFS(集計用!$S:$S, "*"&amp;AC$4&amp;",*")/$B5*100</f>
        <v>12.44131455399061</v>
      </c>
      <c r="AD5" s="41">
        <f>COUNTIFS(集計用!$S:$S, "*"&amp;AD$4&amp;",*")/$B5*100</f>
        <v>0.23474178403755869</v>
      </c>
      <c r="AE5" s="41">
        <f>COUNTIFS(集計用!$S:$S, "*"&amp;AE$4&amp;",*")/$B5*100</f>
        <v>0.23474178403755869</v>
      </c>
      <c r="AF5" s="41">
        <f>COUNTIFS(集計用!$S:$S, "*"&amp;AF$4&amp;",*")/$B5*100</f>
        <v>0.23474178403755869</v>
      </c>
      <c r="AG5" s="41">
        <f>COUNTIFS(集計用!$S:$S, "*"&amp;AG$4&amp;",*")/$B5*100</f>
        <v>0.23474178403755869</v>
      </c>
      <c r="AH5" s="41">
        <f>COUNTIFS(集計用!$S:$S, "*"&amp;AH$4&amp;",*")/$B5*100</f>
        <v>0.23474178403755869</v>
      </c>
      <c r="AI5" s="41">
        <f>COUNTIFS(集計用!$S:$S, "*"&amp;AI$4&amp;",*")/$B5*100</f>
        <v>0.23474178403755869</v>
      </c>
    </row>
    <row r="6" spans="1:35" ht="15.75" customHeight="1">
      <c r="A6" s="39">
        <v>1</v>
      </c>
      <c r="B6" s="39">
        <f>(COUNTIFS(集計用!$G:$G,"*, "&amp;$C6&amp;",*",集計用!$T:$T, "&lt;&gt;無回答 ,"))</f>
        <v>256</v>
      </c>
      <c r="C6" s="42" t="s">
        <v>0</v>
      </c>
      <c r="D6" s="41">
        <f>COUNTIFS(集計用!$S:$S, "*"&amp;D$4&amp;", *",集計用!$G:$G,"*, "&amp;$C6&amp;", *")/$B6*100</f>
        <v>3.515625</v>
      </c>
      <c r="E6" s="41">
        <f>COUNTIFS(集計用!$S:$S, "*"&amp;E$4&amp;", *",集計用!$G:$G,"*, "&amp;$C6&amp;", *")/$B6*100</f>
        <v>0</v>
      </c>
      <c r="F6" s="41">
        <f>COUNTIFS(集計用!$S:$S, "*"&amp;F$4&amp;", *",集計用!$G:$G,"*, "&amp;$C6&amp;", *")/$B6*100</f>
        <v>0</v>
      </c>
      <c r="G6" s="41">
        <f>COUNTIFS(集計用!$S:$S, "*"&amp;G$4&amp;", *",集計用!$G:$G,"*, "&amp;$C6&amp;", *")/$B6*100</f>
        <v>0</v>
      </c>
      <c r="H6" s="41">
        <f>COUNTIFS(集計用!$S:$S, "*"&amp;H$4&amp;", *",集計用!$G:$G,"*, "&amp;$C6&amp;", *")/$B6*100</f>
        <v>0.390625</v>
      </c>
      <c r="I6" s="41">
        <f>COUNTIFS(集計用!$S:$S, "*"&amp;I$4&amp;", *",集計用!$G:$G,"*, "&amp;$C6&amp;", *")/$B6*100</f>
        <v>0</v>
      </c>
      <c r="J6" s="41">
        <f>COUNTIFS(集計用!$S:$S, "*"&amp;J$4&amp;", *",集計用!$G:$G,"*, "&amp;$C6&amp;", *")/$B6*100</f>
        <v>0</v>
      </c>
      <c r="K6" s="41">
        <f>COUNTIFS(集計用!$S:$S, "*"&amp;K$4&amp;", *",集計用!$G:$G,"*, "&amp;$C6&amp;", *")/$B6*100</f>
        <v>0</v>
      </c>
      <c r="L6" s="41">
        <f>COUNTIFS(集計用!$S:$S, "*"&amp;L$4&amp;", *",集計用!$G:$G,"*, "&amp;$C6&amp;", *")/$B6*100</f>
        <v>0</v>
      </c>
      <c r="M6" s="41">
        <f>COUNTIFS(集計用!$S:$S, "*"&amp;M$4&amp;", *",集計用!$G:$G,"*, "&amp;$C6&amp;", *")/$B6*100</f>
        <v>0</v>
      </c>
      <c r="N6" s="41">
        <f>COUNTIFS(集計用!$S:$S, "*"&amp;N$4&amp;", *",集計用!$G:$G,"*, "&amp;$C6&amp;", *")/$B6*100</f>
        <v>0</v>
      </c>
      <c r="O6" s="41">
        <f>COUNTIFS(集計用!$S:$S, "*"&amp;O$4&amp;", *",集計用!$G:$G,"*, "&amp;$C6&amp;", *")/$B6*100</f>
        <v>0</v>
      </c>
      <c r="P6" s="41">
        <f>COUNTIFS(集計用!$S:$S, "*"&amp;P$4&amp;", *",集計用!$G:$G,"*, "&amp;$C6&amp;", *")/$B6*100</f>
        <v>0</v>
      </c>
      <c r="Q6" s="41">
        <f>COUNTIFS(集計用!$S:$S, "*"&amp;Q$4&amp;", *",集計用!$G:$G,"*, "&amp;$C6&amp;", *")/$B6*100</f>
        <v>0</v>
      </c>
      <c r="R6" s="41">
        <f>COUNTIFS(集計用!$S:$S, "*"&amp;R$4&amp;", *",集計用!$G:$G,"*, "&amp;$C6&amp;", *")/$B6*100</f>
        <v>0</v>
      </c>
      <c r="S6" s="41">
        <f>COUNTIFS(集計用!$S:$S, "*"&amp;S$4&amp;", *",集計用!$G:$G,"*, "&amp;$C6&amp;", *")/$B6*100</f>
        <v>0</v>
      </c>
      <c r="T6" s="41">
        <f>COUNTIFS(集計用!$S:$S, "*"&amp;T$4&amp;", *",集計用!$G:$G,"*, "&amp;$C6&amp;", *")/$B6*100</f>
        <v>0</v>
      </c>
      <c r="U6" s="41">
        <f>COUNTIFS(集計用!$S:$S, "*"&amp;U$4&amp;", *",集計用!$G:$G,"*, "&amp;$C6&amp;", *")/$B6*100</f>
        <v>0</v>
      </c>
      <c r="V6" s="41">
        <f>COUNTIFS(集計用!$S:$S, "*"&amp;V$4&amp;", *",集計用!$G:$G,"*, "&amp;$C6&amp;", *")/$B6*100</f>
        <v>0</v>
      </c>
      <c r="W6" s="41">
        <f>COUNTIFS(集計用!$S:$S, "*"&amp;W$4&amp;", *",集計用!$G:$G,"*, "&amp;$C6&amp;", *")/$B6*100</f>
        <v>0</v>
      </c>
      <c r="X6" s="41">
        <f>COUNTIFS(集計用!$S:$S, "*"&amp;X$4&amp;", *",集計用!$G:$G,"*, "&amp;$C6&amp;", *")/$B6*100</f>
        <v>0</v>
      </c>
      <c r="Y6" s="41">
        <f>COUNTIFS(集計用!$S:$S, "*"&amp;Y$4&amp;", *",集計用!$G:$G,"*, "&amp;$C6&amp;", *")/$B6*100</f>
        <v>0.390625</v>
      </c>
      <c r="Z6" s="41">
        <f>COUNTIFS(集計用!$S:$S, "*"&amp;Z$4&amp;", *",集計用!$G:$G,"*, "&amp;$C6&amp;", *")/$B6*100</f>
        <v>0</v>
      </c>
      <c r="AA6" s="41">
        <f>COUNTIFS(集計用!$S:$S, "*"&amp;AA$4&amp;", *",集計用!$G:$G,"*, "&amp;$C6&amp;", *")/$B6*100</f>
        <v>0</v>
      </c>
      <c r="AB6" s="41">
        <f>COUNTIFS(集計用!$S:$S, "*"&amp;AB$4&amp;", *",集計用!$G:$G,"*, "&amp;$C6&amp;", *")/$B6*100</f>
        <v>0</v>
      </c>
      <c r="AC6" s="41">
        <f>COUNTIFS(集計用!$S:$S, "*"&amp;AC$4&amp;", *",集計用!$G:$G,"*, "&amp;$C6&amp;", *")/$B6*100</f>
        <v>3.515625</v>
      </c>
      <c r="AD6" s="41">
        <f>COUNTIFS(集計用!$S:$S, "*"&amp;AD$4&amp;", *",集計用!$G:$G,"*, "&amp;$C6&amp;", *")/$B6*100</f>
        <v>0.390625</v>
      </c>
      <c r="AE6" s="41">
        <f>COUNTIFS(集計用!$S:$S, "*"&amp;AE$4&amp;", *",集計用!$G:$G,"*, "&amp;$C6&amp;", *")/$B6*100</f>
        <v>0</v>
      </c>
      <c r="AF6" s="41">
        <f>COUNTIFS(集計用!$S:$S, "*"&amp;AF$4&amp;", *",集計用!$G:$G,"*, "&amp;$C6&amp;", *")/$B6*100</f>
        <v>0</v>
      </c>
      <c r="AG6" s="41">
        <f>COUNTIFS(集計用!$S:$S, "*"&amp;AG$4&amp;", *",集計用!$G:$G,"*, "&amp;$C6&amp;", *")/$B6*100</f>
        <v>0</v>
      </c>
      <c r="AH6" s="41">
        <f>COUNTIFS(集計用!$S:$S, "*"&amp;AH$4&amp;", *",集計用!$G:$G,"*, "&amp;$C6&amp;", *")/$B6*100</f>
        <v>0.390625</v>
      </c>
      <c r="AI6" s="41">
        <f>COUNTIFS(集計用!$S:$S, "*"&amp;AI$4&amp;", *",集計用!$G:$G,"*, "&amp;$C6&amp;", *")/$B6*100</f>
        <v>0</v>
      </c>
    </row>
    <row r="7" spans="1:35" ht="15.75" customHeight="1">
      <c r="A7" s="39">
        <v>1</v>
      </c>
      <c r="B7" s="39">
        <f>(COUNTIFS(集計用!$G:$G,"*, "&amp;$C7&amp;",*",集計用!$T:$T, "&lt;&gt;無回答 ,"))</f>
        <v>144</v>
      </c>
      <c r="C7" s="42" t="s">
        <v>1</v>
      </c>
      <c r="D7" s="41">
        <f>COUNTIFS(集計用!$S:$S, "*"&amp;D$4&amp;", *",集計用!$G:$G,"*, "&amp;$C7&amp;", *")/$B7*100</f>
        <v>2.7777777777777777</v>
      </c>
      <c r="E7" s="41">
        <f>COUNTIFS(集計用!$S:$S, "*"&amp;E$4&amp;", *",集計用!$G:$G,"*, "&amp;$C7&amp;", *")/$B7*100</f>
        <v>0</v>
      </c>
      <c r="F7" s="41">
        <f>COUNTIFS(集計用!$S:$S, "*"&amp;F$4&amp;", *",集計用!$G:$G,"*, "&amp;$C7&amp;", *")/$B7*100</f>
        <v>0</v>
      </c>
      <c r="G7" s="41">
        <f>COUNTIFS(集計用!$S:$S, "*"&amp;G$4&amp;", *",集計用!$G:$G,"*, "&amp;$C7&amp;", *")/$B7*100</f>
        <v>0</v>
      </c>
      <c r="H7" s="41">
        <f>COUNTIFS(集計用!$S:$S, "*"&amp;H$4&amp;", *",集計用!$G:$G,"*, "&amp;$C7&amp;", *")/$B7*100</f>
        <v>0.69444444444444442</v>
      </c>
      <c r="I7" s="41">
        <f>COUNTIFS(集計用!$S:$S, "*"&amp;I$4&amp;", *",集計用!$G:$G,"*, "&amp;$C7&amp;", *")/$B7*100</f>
        <v>0</v>
      </c>
      <c r="J7" s="41">
        <f>COUNTIFS(集計用!$S:$S, "*"&amp;J$4&amp;", *",集計用!$G:$G,"*, "&amp;$C7&amp;", *")/$B7*100</f>
        <v>0</v>
      </c>
      <c r="K7" s="41">
        <f>COUNTIFS(集計用!$S:$S, "*"&amp;K$4&amp;", *",集計用!$G:$G,"*, "&amp;$C7&amp;", *")/$B7*100</f>
        <v>0</v>
      </c>
      <c r="L7" s="41">
        <f>COUNTIFS(集計用!$S:$S, "*"&amp;L$4&amp;", *",集計用!$G:$G,"*, "&amp;$C7&amp;", *")/$B7*100</f>
        <v>0</v>
      </c>
      <c r="M7" s="41">
        <f>COUNTIFS(集計用!$S:$S, "*"&amp;M$4&amp;", *",集計用!$G:$G,"*, "&amp;$C7&amp;", *")/$B7*100</f>
        <v>0</v>
      </c>
      <c r="N7" s="41">
        <f>COUNTIFS(集計用!$S:$S, "*"&amp;N$4&amp;", *",集計用!$G:$G,"*, "&amp;$C7&amp;", *")/$B7*100</f>
        <v>0</v>
      </c>
      <c r="O7" s="41">
        <f>COUNTIFS(集計用!$S:$S, "*"&amp;O$4&amp;", *",集計用!$G:$G,"*, "&amp;$C7&amp;", *")/$B7*100</f>
        <v>0</v>
      </c>
      <c r="P7" s="41">
        <f>COUNTIFS(集計用!$S:$S, "*"&amp;P$4&amp;", *",集計用!$G:$G,"*, "&amp;$C7&amp;", *")/$B7*100</f>
        <v>0</v>
      </c>
      <c r="Q7" s="41">
        <f>COUNTIFS(集計用!$S:$S, "*"&amp;Q$4&amp;", *",集計用!$G:$G,"*, "&amp;$C7&amp;", *")/$B7*100</f>
        <v>0</v>
      </c>
      <c r="R7" s="41">
        <f>COUNTIFS(集計用!$S:$S, "*"&amp;R$4&amp;", *",集計用!$G:$G,"*, "&amp;$C7&amp;", *")/$B7*100</f>
        <v>0</v>
      </c>
      <c r="S7" s="41">
        <f>COUNTIFS(集計用!$S:$S, "*"&amp;S$4&amp;", *",集計用!$G:$G,"*, "&amp;$C7&amp;", *")/$B7*100</f>
        <v>0</v>
      </c>
      <c r="T7" s="41">
        <f>COUNTIFS(集計用!$S:$S, "*"&amp;T$4&amp;", *",集計用!$G:$G,"*, "&amp;$C7&amp;", *")/$B7*100</f>
        <v>0</v>
      </c>
      <c r="U7" s="41">
        <f>COUNTIFS(集計用!$S:$S, "*"&amp;U$4&amp;", *",集計用!$G:$G,"*, "&amp;$C7&amp;", *")/$B7*100</f>
        <v>0</v>
      </c>
      <c r="V7" s="41">
        <f>COUNTIFS(集計用!$S:$S, "*"&amp;V$4&amp;", *",集計用!$G:$G,"*, "&amp;$C7&amp;", *")/$B7*100</f>
        <v>0</v>
      </c>
      <c r="W7" s="41">
        <f>COUNTIFS(集計用!$S:$S, "*"&amp;W$4&amp;", *",集計用!$G:$G,"*, "&amp;$C7&amp;", *")/$B7*100</f>
        <v>0</v>
      </c>
      <c r="X7" s="41">
        <f>COUNTIFS(集計用!$S:$S, "*"&amp;X$4&amp;", *",集計用!$G:$G,"*, "&amp;$C7&amp;", *")/$B7*100</f>
        <v>0</v>
      </c>
      <c r="Y7" s="41">
        <f>COUNTIFS(集計用!$S:$S, "*"&amp;Y$4&amp;", *",集計用!$G:$G,"*, "&amp;$C7&amp;", *")/$B7*100</f>
        <v>0</v>
      </c>
      <c r="Z7" s="41">
        <f>COUNTIFS(集計用!$S:$S, "*"&amp;Z$4&amp;", *",集計用!$G:$G,"*, "&amp;$C7&amp;", *")/$B7*100</f>
        <v>0</v>
      </c>
      <c r="AA7" s="41">
        <f>COUNTIFS(集計用!$S:$S, "*"&amp;AA$4&amp;", *",集計用!$G:$G,"*, "&amp;$C7&amp;", *")/$B7*100</f>
        <v>0</v>
      </c>
      <c r="AB7" s="41">
        <f>COUNTIFS(集計用!$S:$S, "*"&amp;AB$4&amp;", *",集計用!$G:$G,"*, "&amp;$C7&amp;", *")/$B7*100</f>
        <v>0</v>
      </c>
      <c r="AC7" s="41">
        <f>COUNTIFS(集計用!$S:$S, "*"&amp;AC$4&amp;", *",集計用!$G:$G,"*, "&amp;$C7&amp;", *")/$B7*100</f>
        <v>2.7777777777777777</v>
      </c>
      <c r="AD7" s="41">
        <f>COUNTIFS(集計用!$S:$S, "*"&amp;AD$4&amp;", *",集計用!$G:$G,"*, "&amp;$C7&amp;", *")/$B7*100</f>
        <v>0</v>
      </c>
      <c r="AE7" s="41">
        <f>COUNTIFS(集計用!$S:$S, "*"&amp;AE$4&amp;", *",集計用!$G:$G,"*, "&amp;$C7&amp;", *")/$B7*100</f>
        <v>0</v>
      </c>
      <c r="AF7" s="41">
        <f>COUNTIFS(集計用!$S:$S, "*"&amp;AF$4&amp;", *",集計用!$G:$G,"*, "&amp;$C7&amp;", *")/$B7*100</f>
        <v>0</v>
      </c>
      <c r="AG7" s="41">
        <f>COUNTIFS(集計用!$S:$S, "*"&amp;AG$4&amp;", *",集計用!$G:$G,"*, "&amp;$C7&amp;", *")/$B7*100</f>
        <v>0</v>
      </c>
      <c r="AH7" s="41">
        <f>COUNTIFS(集計用!$S:$S, "*"&amp;AH$4&amp;", *",集計用!$G:$G,"*, "&amp;$C7&amp;", *")/$B7*100</f>
        <v>0</v>
      </c>
      <c r="AI7" s="41">
        <f>COUNTIFS(集計用!$S:$S, "*"&amp;AI$4&amp;", *",集計用!$G:$G,"*, "&amp;$C7&amp;", *")/$B7*100</f>
        <v>0</v>
      </c>
    </row>
    <row r="8" spans="1:35" ht="15.75" customHeight="1">
      <c r="A8" s="39">
        <v>2</v>
      </c>
      <c r="B8" s="39">
        <f>(COUNTIFS(集計用!$G:$G,"*, "&amp;$C8&amp;",*",集計用!$T:$T, "&lt;&gt;無回答 ,"))</f>
        <v>121</v>
      </c>
      <c r="C8" s="42" t="s">
        <v>2</v>
      </c>
      <c r="D8" s="41">
        <f>COUNTIFS(集計用!$S:$S, "*"&amp;D$4&amp;", *",集計用!$G:$G,"*, "&amp;$C8&amp;", *")/$B8*100</f>
        <v>2.4793388429752068</v>
      </c>
      <c r="E8" s="41">
        <f>COUNTIFS(集計用!$S:$S, "*"&amp;E$4&amp;", *",集計用!$G:$G,"*, "&amp;$C8&amp;", *")/$B8*100</f>
        <v>0</v>
      </c>
      <c r="F8" s="41">
        <f>COUNTIFS(集計用!$S:$S, "*"&amp;F$4&amp;", *",集計用!$G:$G,"*, "&amp;$C8&amp;", *")/$B8*100</f>
        <v>0</v>
      </c>
      <c r="G8" s="41">
        <f>COUNTIFS(集計用!$S:$S, "*"&amp;G$4&amp;", *",集計用!$G:$G,"*, "&amp;$C8&amp;", *")/$B8*100</f>
        <v>0</v>
      </c>
      <c r="H8" s="41">
        <f>COUNTIFS(集計用!$S:$S, "*"&amp;H$4&amp;", *",集計用!$G:$G,"*, "&amp;$C8&amp;", *")/$B8*100</f>
        <v>0</v>
      </c>
      <c r="I8" s="41">
        <f>COUNTIFS(集計用!$S:$S, "*"&amp;I$4&amp;", *",集計用!$G:$G,"*, "&amp;$C8&amp;", *")/$B8*100</f>
        <v>0</v>
      </c>
      <c r="J8" s="41">
        <f>COUNTIFS(集計用!$S:$S, "*"&amp;J$4&amp;", *",集計用!$G:$G,"*, "&amp;$C8&amp;", *")/$B8*100</f>
        <v>0</v>
      </c>
      <c r="K8" s="41">
        <f>COUNTIFS(集計用!$S:$S, "*"&amp;K$4&amp;", *",集計用!$G:$G,"*, "&amp;$C8&amp;", *")/$B8*100</f>
        <v>0</v>
      </c>
      <c r="L8" s="41">
        <f>COUNTIFS(集計用!$S:$S, "*"&amp;L$4&amp;", *",集計用!$G:$G,"*, "&amp;$C8&amp;", *")/$B8*100</f>
        <v>0</v>
      </c>
      <c r="M8" s="41">
        <f>COUNTIFS(集計用!$S:$S, "*"&amp;M$4&amp;", *",集計用!$G:$G,"*, "&amp;$C8&amp;", *")/$B8*100</f>
        <v>0</v>
      </c>
      <c r="N8" s="41">
        <f>COUNTIFS(集計用!$S:$S, "*"&amp;N$4&amp;", *",集計用!$G:$G,"*, "&amp;$C8&amp;", *")/$B8*100</f>
        <v>0</v>
      </c>
      <c r="O8" s="41">
        <f>COUNTIFS(集計用!$S:$S, "*"&amp;O$4&amp;", *",集計用!$G:$G,"*, "&amp;$C8&amp;", *")/$B8*100</f>
        <v>0</v>
      </c>
      <c r="P8" s="41">
        <f>COUNTIFS(集計用!$S:$S, "*"&amp;P$4&amp;", *",集計用!$G:$G,"*, "&amp;$C8&amp;", *")/$B8*100</f>
        <v>0</v>
      </c>
      <c r="Q8" s="41">
        <f>COUNTIFS(集計用!$S:$S, "*"&amp;Q$4&amp;", *",集計用!$G:$G,"*, "&amp;$C8&amp;", *")/$B8*100</f>
        <v>0</v>
      </c>
      <c r="R8" s="41">
        <f>COUNTIFS(集計用!$S:$S, "*"&amp;R$4&amp;", *",集計用!$G:$G,"*, "&amp;$C8&amp;", *")/$B8*100</f>
        <v>0</v>
      </c>
      <c r="S8" s="41">
        <f>COUNTIFS(集計用!$S:$S, "*"&amp;S$4&amp;", *",集計用!$G:$G,"*, "&amp;$C8&amp;", *")/$B8*100</f>
        <v>0</v>
      </c>
      <c r="T8" s="41">
        <f>COUNTIFS(集計用!$S:$S, "*"&amp;T$4&amp;", *",集計用!$G:$G,"*, "&amp;$C8&amp;", *")/$B8*100</f>
        <v>0</v>
      </c>
      <c r="U8" s="41">
        <f>COUNTIFS(集計用!$S:$S, "*"&amp;U$4&amp;", *",集計用!$G:$G,"*, "&amp;$C8&amp;", *")/$B8*100</f>
        <v>0</v>
      </c>
      <c r="V8" s="41">
        <f>COUNTIFS(集計用!$S:$S, "*"&amp;V$4&amp;", *",集計用!$G:$G,"*, "&amp;$C8&amp;", *")/$B8*100</f>
        <v>0</v>
      </c>
      <c r="W8" s="41">
        <f>COUNTIFS(集計用!$S:$S, "*"&amp;W$4&amp;", *",集計用!$G:$G,"*, "&amp;$C8&amp;", *")/$B8*100</f>
        <v>0</v>
      </c>
      <c r="X8" s="41">
        <f>COUNTIFS(集計用!$S:$S, "*"&amp;X$4&amp;", *",集計用!$G:$G,"*, "&amp;$C8&amp;", *")/$B8*100</f>
        <v>0</v>
      </c>
      <c r="Y8" s="41">
        <f>COUNTIFS(集計用!$S:$S, "*"&amp;Y$4&amp;", *",集計用!$G:$G,"*, "&amp;$C8&amp;", *")/$B8*100</f>
        <v>0</v>
      </c>
      <c r="Z8" s="41">
        <f>COUNTIFS(集計用!$S:$S, "*"&amp;Z$4&amp;", *",集計用!$G:$G,"*, "&amp;$C8&amp;", *")/$B8*100</f>
        <v>0</v>
      </c>
      <c r="AA8" s="41">
        <f>COUNTIFS(集計用!$S:$S, "*"&amp;AA$4&amp;", *",集計用!$G:$G,"*, "&amp;$C8&amp;", *")/$B8*100</f>
        <v>0</v>
      </c>
      <c r="AB8" s="41">
        <f>COUNTIFS(集計用!$S:$S, "*"&amp;AB$4&amp;", *",集計用!$G:$G,"*, "&amp;$C8&amp;", *")/$B8*100</f>
        <v>0</v>
      </c>
      <c r="AC8" s="41">
        <f>COUNTIFS(集計用!$S:$S, "*"&amp;AC$4&amp;", *",集計用!$G:$G,"*, "&amp;$C8&amp;", *")/$B8*100</f>
        <v>2.4793388429752068</v>
      </c>
      <c r="AD8" s="41">
        <f>COUNTIFS(集計用!$S:$S, "*"&amp;AD$4&amp;", *",集計用!$G:$G,"*, "&amp;$C8&amp;", *")/$B8*100</f>
        <v>0</v>
      </c>
      <c r="AE8" s="41">
        <f>COUNTIFS(集計用!$S:$S, "*"&amp;AE$4&amp;", *",集計用!$G:$G,"*, "&amp;$C8&amp;", *")/$B8*100</f>
        <v>0</v>
      </c>
      <c r="AF8" s="41">
        <f>COUNTIFS(集計用!$S:$S, "*"&amp;AF$4&amp;", *",集計用!$G:$G,"*, "&amp;$C8&amp;", *")/$B8*100</f>
        <v>0</v>
      </c>
      <c r="AG8" s="41">
        <f>COUNTIFS(集計用!$S:$S, "*"&amp;AG$4&amp;", *",集計用!$G:$G,"*, "&amp;$C8&amp;", *")/$B8*100</f>
        <v>0</v>
      </c>
      <c r="AH8" s="41">
        <f>COUNTIFS(集計用!$S:$S, "*"&amp;AH$4&amp;", *",集計用!$G:$G,"*, "&amp;$C8&amp;", *")/$B8*100</f>
        <v>0</v>
      </c>
      <c r="AI8" s="41">
        <f>COUNTIFS(集計用!$S:$S, "*"&amp;AI$4&amp;", *",集計用!$G:$G,"*, "&amp;$C8&amp;", *")/$B8*100</f>
        <v>0</v>
      </c>
    </row>
    <row r="9" spans="1:35" ht="15.75" customHeight="1">
      <c r="A9" s="39">
        <v>1</v>
      </c>
      <c r="B9" s="39">
        <f>(COUNTIFS(集計用!$G:$G,"*, "&amp;$C9&amp;",*",集計用!$T:$T, "&lt;&gt;無回答 ,"))</f>
        <v>86</v>
      </c>
      <c r="C9" s="42" t="s">
        <v>3</v>
      </c>
      <c r="D9" s="41">
        <f>COUNTIFS(集計用!$S:$S, "*"&amp;D$4&amp;", *",集計用!$G:$G,"*, "&amp;$C9&amp;", *")/$B9*100</f>
        <v>0</v>
      </c>
      <c r="E9" s="41">
        <f>COUNTIFS(集計用!$S:$S, "*"&amp;E$4&amp;", *",集計用!$G:$G,"*, "&amp;$C9&amp;", *")/$B9*100</f>
        <v>0</v>
      </c>
      <c r="F9" s="41">
        <f>COUNTIFS(集計用!$S:$S, "*"&amp;F$4&amp;", *",集計用!$G:$G,"*, "&amp;$C9&amp;", *")/$B9*100</f>
        <v>0</v>
      </c>
      <c r="G9" s="41">
        <f>COUNTIFS(集計用!$S:$S, "*"&amp;G$4&amp;", *",集計用!$G:$G,"*, "&amp;$C9&amp;", *")/$B9*100</f>
        <v>0</v>
      </c>
      <c r="H9" s="41">
        <f>COUNTIFS(集計用!$S:$S, "*"&amp;H$4&amp;", *",集計用!$G:$G,"*, "&amp;$C9&amp;", *")/$B9*100</f>
        <v>0</v>
      </c>
      <c r="I9" s="41">
        <f>COUNTIFS(集計用!$S:$S, "*"&amp;I$4&amp;", *",集計用!$G:$G,"*, "&amp;$C9&amp;", *")/$B9*100</f>
        <v>0</v>
      </c>
      <c r="J9" s="41">
        <f>COUNTIFS(集計用!$S:$S, "*"&amp;J$4&amp;", *",集計用!$G:$G,"*, "&amp;$C9&amp;", *")/$B9*100</f>
        <v>0</v>
      </c>
      <c r="K9" s="41">
        <f>COUNTIFS(集計用!$S:$S, "*"&amp;K$4&amp;", *",集計用!$G:$G,"*, "&amp;$C9&amp;", *")/$B9*100</f>
        <v>0</v>
      </c>
      <c r="L9" s="41">
        <f>COUNTIFS(集計用!$S:$S, "*"&amp;L$4&amp;", *",集計用!$G:$G,"*, "&amp;$C9&amp;", *")/$B9*100</f>
        <v>0</v>
      </c>
      <c r="M9" s="41">
        <f>COUNTIFS(集計用!$S:$S, "*"&amp;M$4&amp;", *",集計用!$G:$G,"*, "&amp;$C9&amp;", *")/$B9*100</f>
        <v>0</v>
      </c>
      <c r="N9" s="41">
        <f>COUNTIFS(集計用!$S:$S, "*"&amp;N$4&amp;", *",集計用!$G:$G,"*, "&amp;$C9&amp;", *")/$B9*100</f>
        <v>0</v>
      </c>
      <c r="O9" s="41">
        <f>COUNTIFS(集計用!$S:$S, "*"&amp;O$4&amp;", *",集計用!$G:$G,"*, "&amp;$C9&amp;", *")/$B9*100</f>
        <v>0</v>
      </c>
      <c r="P9" s="41">
        <f>COUNTIFS(集計用!$S:$S, "*"&amp;P$4&amp;", *",集計用!$G:$G,"*, "&amp;$C9&amp;", *")/$B9*100</f>
        <v>0</v>
      </c>
      <c r="Q9" s="41">
        <f>COUNTIFS(集計用!$S:$S, "*"&amp;Q$4&amp;", *",集計用!$G:$G,"*, "&amp;$C9&amp;", *")/$B9*100</f>
        <v>0</v>
      </c>
      <c r="R9" s="41">
        <f>COUNTIFS(集計用!$S:$S, "*"&amp;R$4&amp;", *",集計用!$G:$G,"*, "&amp;$C9&amp;", *")/$B9*100</f>
        <v>0</v>
      </c>
      <c r="S9" s="41">
        <f>COUNTIFS(集計用!$S:$S, "*"&amp;S$4&amp;", *",集計用!$G:$G,"*, "&amp;$C9&amp;", *")/$B9*100</f>
        <v>0</v>
      </c>
      <c r="T9" s="41">
        <f>COUNTIFS(集計用!$S:$S, "*"&amp;T$4&amp;", *",集計用!$G:$G,"*, "&amp;$C9&amp;", *")/$B9*100</f>
        <v>0</v>
      </c>
      <c r="U9" s="41">
        <f>COUNTIFS(集計用!$S:$S, "*"&amp;U$4&amp;", *",集計用!$G:$G,"*, "&amp;$C9&amp;", *")/$B9*100</f>
        <v>0</v>
      </c>
      <c r="V9" s="41">
        <f>COUNTIFS(集計用!$S:$S, "*"&amp;V$4&amp;", *",集計用!$G:$G,"*, "&amp;$C9&amp;", *")/$B9*100</f>
        <v>0</v>
      </c>
      <c r="W9" s="41">
        <f>COUNTIFS(集計用!$S:$S, "*"&amp;W$4&amp;", *",集計用!$G:$G,"*, "&amp;$C9&amp;", *")/$B9*100</f>
        <v>0</v>
      </c>
      <c r="X9" s="41">
        <f>COUNTIFS(集計用!$S:$S, "*"&amp;X$4&amp;", *",集計用!$G:$G,"*, "&amp;$C9&amp;", *")/$B9*100</f>
        <v>0</v>
      </c>
      <c r="Y9" s="41">
        <f>COUNTIFS(集計用!$S:$S, "*"&amp;Y$4&amp;", *",集計用!$G:$G,"*, "&amp;$C9&amp;", *")/$B9*100</f>
        <v>0</v>
      </c>
      <c r="Z9" s="41">
        <f>COUNTIFS(集計用!$S:$S, "*"&amp;Z$4&amp;", *",集計用!$G:$G,"*, "&amp;$C9&amp;", *")/$B9*100</f>
        <v>0</v>
      </c>
      <c r="AA9" s="41">
        <f>COUNTIFS(集計用!$S:$S, "*"&amp;AA$4&amp;", *",集計用!$G:$G,"*, "&amp;$C9&amp;", *")/$B9*100</f>
        <v>0</v>
      </c>
      <c r="AB9" s="41">
        <f>COUNTIFS(集計用!$S:$S, "*"&amp;AB$4&amp;", *",集計用!$G:$G,"*, "&amp;$C9&amp;", *")/$B9*100</f>
        <v>0</v>
      </c>
      <c r="AC9" s="41">
        <f>COUNTIFS(集計用!$S:$S, "*"&amp;AC$4&amp;", *",集計用!$G:$G,"*, "&amp;$C9&amp;", *")/$B9*100</f>
        <v>0</v>
      </c>
      <c r="AD9" s="41">
        <f>COUNTIFS(集計用!$S:$S, "*"&amp;AD$4&amp;", *",集計用!$G:$G,"*, "&amp;$C9&amp;", *")/$B9*100</f>
        <v>0</v>
      </c>
      <c r="AE9" s="41">
        <f>COUNTIFS(集計用!$S:$S, "*"&amp;AE$4&amp;", *",集計用!$G:$G,"*, "&amp;$C9&amp;", *")/$B9*100</f>
        <v>0</v>
      </c>
      <c r="AF9" s="41">
        <f>COUNTIFS(集計用!$S:$S, "*"&amp;AF$4&amp;", *",集計用!$G:$G,"*, "&amp;$C9&amp;", *")/$B9*100</f>
        <v>0</v>
      </c>
      <c r="AG9" s="41">
        <f>COUNTIFS(集計用!$S:$S, "*"&amp;AG$4&amp;", *",集計用!$G:$G,"*, "&amp;$C9&amp;", *")/$B9*100</f>
        <v>0</v>
      </c>
      <c r="AH9" s="41">
        <f>COUNTIFS(集計用!$S:$S, "*"&amp;AH$4&amp;", *",集計用!$G:$G,"*, "&amp;$C9&amp;", *")/$B9*100</f>
        <v>1.1627906976744187</v>
      </c>
      <c r="AI9" s="41">
        <f>COUNTIFS(集計用!$S:$S, "*"&amp;AI$4&amp;", *",集計用!$G:$G,"*, "&amp;$C9&amp;", *")/$B9*100</f>
        <v>0</v>
      </c>
    </row>
    <row r="10" spans="1:35" ht="15.75" customHeight="1">
      <c r="A10" s="39">
        <v>3</v>
      </c>
      <c r="B10" s="39">
        <f>(COUNTIFS(集計用!$G:$G,"*, "&amp;$C10&amp;",*",集計用!$T:$T, "&lt;&gt;無回答 ,"))</f>
        <v>86</v>
      </c>
      <c r="C10" s="42" t="s">
        <v>4</v>
      </c>
      <c r="D10" s="41">
        <f>COUNTIFS(集計用!$S:$S, "*"&amp;D$4&amp;", *",集計用!$G:$G,"*, "&amp;$C10&amp;", *")/$B10*100</f>
        <v>1.1627906976744187</v>
      </c>
      <c r="E10" s="41">
        <f>COUNTIFS(集計用!$S:$S, "*"&amp;E$4&amp;", *",集計用!$G:$G,"*, "&amp;$C10&amp;", *")/$B10*100</f>
        <v>0</v>
      </c>
      <c r="F10" s="41">
        <f>COUNTIFS(集計用!$S:$S, "*"&amp;F$4&amp;", *",集計用!$G:$G,"*, "&amp;$C10&amp;", *")/$B10*100</f>
        <v>0</v>
      </c>
      <c r="G10" s="41">
        <f>COUNTIFS(集計用!$S:$S, "*"&amp;G$4&amp;", *",集計用!$G:$G,"*, "&amp;$C10&amp;", *")/$B10*100</f>
        <v>0</v>
      </c>
      <c r="H10" s="41">
        <f>COUNTIFS(集計用!$S:$S, "*"&amp;H$4&amp;", *",集計用!$G:$G,"*, "&amp;$C10&amp;", *")/$B10*100</f>
        <v>0</v>
      </c>
      <c r="I10" s="41">
        <f>COUNTIFS(集計用!$S:$S, "*"&amp;I$4&amp;", *",集計用!$G:$G,"*, "&amp;$C10&amp;", *")/$B10*100</f>
        <v>0</v>
      </c>
      <c r="J10" s="41">
        <f>COUNTIFS(集計用!$S:$S, "*"&amp;J$4&amp;", *",集計用!$G:$G,"*, "&amp;$C10&amp;", *")/$B10*100</f>
        <v>0</v>
      </c>
      <c r="K10" s="41">
        <f>COUNTIFS(集計用!$S:$S, "*"&amp;K$4&amp;", *",集計用!$G:$G,"*, "&amp;$C10&amp;", *")/$B10*100</f>
        <v>0</v>
      </c>
      <c r="L10" s="41">
        <f>COUNTIFS(集計用!$S:$S, "*"&amp;L$4&amp;", *",集計用!$G:$G,"*, "&amp;$C10&amp;", *")/$B10*100</f>
        <v>1.1627906976744187</v>
      </c>
      <c r="M10" s="41">
        <f>COUNTIFS(集計用!$S:$S, "*"&amp;M$4&amp;", *",集計用!$G:$G,"*, "&amp;$C10&amp;", *")/$B10*100</f>
        <v>0</v>
      </c>
      <c r="N10" s="41">
        <f>COUNTIFS(集計用!$S:$S, "*"&amp;N$4&amp;", *",集計用!$G:$G,"*, "&amp;$C10&amp;", *")/$B10*100</f>
        <v>0</v>
      </c>
      <c r="O10" s="41">
        <f>COUNTIFS(集計用!$S:$S, "*"&amp;O$4&amp;", *",集計用!$G:$G,"*, "&amp;$C10&amp;", *")/$B10*100</f>
        <v>0</v>
      </c>
      <c r="P10" s="41">
        <f>COUNTIFS(集計用!$S:$S, "*"&amp;P$4&amp;", *",集計用!$G:$G,"*, "&amp;$C10&amp;", *")/$B10*100</f>
        <v>0</v>
      </c>
      <c r="Q10" s="41">
        <f>COUNTIFS(集計用!$S:$S, "*"&amp;Q$4&amp;", *",集計用!$G:$G,"*, "&amp;$C10&amp;", *")/$B10*100</f>
        <v>0</v>
      </c>
      <c r="R10" s="41">
        <f>COUNTIFS(集計用!$S:$S, "*"&amp;R$4&amp;", *",集計用!$G:$G,"*, "&amp;$C10&amp;", *")/$B10*100</f>
        <v>0</v>
      </c>
      <c r="S10" s="41">
        <f>COUNTIFS(集計用!$S:$S, "*"&amp;S$4&amp;", *",集計用!$G:$G,"*, "&amp;$C10&amp;", *")/$B10*100</f>
        <v>0</v>
      </c>
      <c r="T10" s="41">
        <f>COUNTIFS(集計用!$S:$S, "*"&amp;T$4&amp;", *",集計用!$G:$G,"*, "&amp;$C10&amp;", *")/$B10*100</f>
        <v>0</v>
      </c>
      <c r="U10" s="41">
        <f>COUNTIFS(集計用!$S:$S, "*"&amp;U$4&amp;", *",集計用!$G:$G,"*, "&amp;$C10&amp;", *")/$B10*100</f>
        <v>0</v>
      </c>
      <c r="V10" s="41">
        <f>COUNTIFS(集計用!$S:$S, "*"&amp;V$4&amp;", *",集計用!$G:$G,"*, "&amp;$C10&amp;", *")/$B10*100</f>
        <v>0</v>
      </c>
      <c r="W10" s="41">
        <f>COUNTIFS(集計用!$S:$S, "*"&amp;W$4&amp;", *",集計用!$G:$G,"*, "&amp;$C10&amp;", *")/$B10*100</f>
        <v>0</v>
      </c>
      <c r="X10" s="41">
        <f>COUNTIFS(集計用!$S:$S, "*"&amp;X$4&amp;", *",集計用!$G:$G,"*, "&amp;$C10&amp;", *")/$B10*100</f>
        <v>0</v>
      </c>
      <c r="Y10" s="41">
        <f>COUNTIFS(集計用!$S:$S, "*"&amp;Y$4&amp;", *",集計用!$G:$G,"*, "&amp;$C10&amp;", *")/$B10*100</f>
        <v>1.1627906976744187</v>
      </c>
      <c r="Z10" s="41">
        <f>COUNTIFS(集計用!$S:$S, "*"&amp;Z$4&amp;", *",集計用!$G:$G,"*, "&amp;$C10&amp;", *")/$B10*100</f>
        <v>0</v>
      </c>
      <c r="AA10" s="41">
        <f>COUNTIFS(集計用!$S:$S, "*"&amp;AA$4&amp;", *",集計用!$G:$G,"*, "&amp;$C10&amp;", *")/$B10*100</f>
        <v>0</v>
      </c>
      <c r="AB10" s="41">
        <f>COUNTIFS(集計用!$S:$S, "*"&amp;AB$4&amp;", *",集計用!$G:$G,"*, "&amp;$C10&amp;", *")/$B10*100</f>
        <v>0</v>
      </c>
      <c r="AC10" s="41">
        <f>COUNTIFS(集計用!$S:$S, "*"&amp;AC$4&amp;", *",集計用!$G:$G,"*, "&amp;$C10&amp;", *")/$B10*100</f>
        <v>1.1627906976744187</v>
      </c>
      <c r="AD10" s="41">
        <f>COUNTIFS(集計用!$S:$S, "*"&amp;AD$4&amp;", *",集計用!$G:$G,"*, "&amp;$C10&amp;", *")/$B10*100</f>
        <v>1.1627906976744187</v>
      </c>
      <c r="AE10" s="41">
        <f>COUNTIFS(集計用!$S:$S, "*"&amp;AE$4&amp;", *",集計用!$G:$G,"*, "&amp;$C10&amp;", *")/$B10*100</f>
        <v>0</v>
      </c>
      <c r="AF10" s="41">
        <f>COUNTIFS(集計用!$S:$S, "*"&amp;AF$4&amp;", *",集計用!$G:$G,"*, "&amp;$C10&amp;", *")/$B10*100</f>
        <v>0</v>
      </c>
      <c r="AG10" s="41">
        <f>COUNTIFS(集計用!$S:$S, "*"&amp;AG$4&amp;", *",集計用!$G:$G,"*, "&amp;$C10&amp;", *")/$B10*100</f>
        <v>0</v>
      </c>
      <c r="AH10" s="41">
        <f>COUNTIFS(集計用!$S:$S, "*"&amp;AH$4&amp;", *",集計用!$G:$G,"*, "&amp;$C10&amp;", *")/$B10*100</f>
        <v>0</v>
      </c>
      <c r="AI10" s="41">
        <f>COUNTIFS(集計用!$S:$S, "*"&amp;AI$4&amp;", *",集計用!$G:$G,"*, "&amp;$C10&amp;", *")/$B10*100</f>
        <v>0</v>
      </c>
    </row>
    <row r="11" spans="1:35" ht="15.75" customHeight="1">
      <c r="A11" s="39">
        <v>4</v>
      </c>
      <c r="B11" s="39">
        <f>(COUNTIFS(集計用!$G:$G,"*, "&amp;$C11&amp;",*",集計用!$T:$T, "&lt;&gt;無回答 ,"))</f>
        <v>75</v>
      </c>
      <c r="C11" s="42" t="s">
        <v>5</v>
      </c>
      <c r="D11" s="41">
        <f>COUNTIFS(集計用!$S:$S, "*"&amp;D$4&amp;", *",集計用!$G:$G,"*, "&amp;$C11&amp;", *")/$B11*100</f>
        <v>1.3333333333333335</v>
      </c>
      <c r="E11" s="41">
        <f>COUNTIFS(集計用!$S:$S, "*"&amp;E$4&amp;", *",集計用!$G:$G,"*, "&amp;$C11&amp;", *")/$B11*100</f>
        <v>0</v>
      </c>
      <c r="F11" s="41">
        <f>COUNTIFS(集計用!$S:$S, "*"&amp;F$4&amp;", *",集計用!$G:$G,"*, "&amp;$C11&amp;", *")/$B11*100</f>
        <v>0</v>
      </c>
      <c r="G11" s="41">
        <f>COUNTIFS(集計用!$S:$S, "*"&amp;G$4&amp;", *",集計用!$G:$G,"*, "&amp;$C11&amp;", *")/$B11*100</f>
        <v>0</v>
      </c>
      <c r="H11" s="41">
        <f>COUNTIFS(集計用!$S:$S, "*"&amp;H$4&amp;", *",集計用!$G:$G,"*, "&amp;$C11&amp;", *")/$B11*100</f>
        <v>0</v>
      </c>
      <c r="I11" s="41">
        <f>COUNTIFS(集計用!$S:$S, "*"&amp;I$4&amp;", *",集計用!$G:$G,"*, "&amp;$C11&amp;", *")/$B11*100</f>
        <v>0</v>
      </c>
      <c r="J11" s="41">
        <f>COUNTIFS(集計用!$S:$S, "*"&amp;J$4&amp;", *",集計用!$G:$G,"*, "&amp;$C11&amp;", *")/$B11*100</f>
        <v>0</v>
      </c>
      <c r="K11" s="41">
        <f>COUNTIFS(集計用!$S:$S, "*"&amp;K$4&amp;", *",集計用!$G:$G,"*, "&amp;$C11&amp;", *")/$B11*100</f>
        <v>0</v>
      </c>
      <c r="L11" s="41">
        <f>COUNTIFS(集計用!$S:$S, "*"&amp;L$4&amp;", *",集計用!$G:$G,"*, "&amp;$C11&amp;", *")/$B11*100</f>
        <v>0</v>
      </c>
      <c r="M11" s="41">
        <f>COUNTIFS(集計用!$S:$S, "*"&amp;M$4&amp;", *",集計用!$G:$G,"*, "&amp;$C11&amp;", *")/$B11*100</f>
        <v>0</v>
      </c>
      <c r="N11" s="41">
        <f>COUNTIFS(集計用!$S:$S, "*"&amp;N$4&amp;", *",集計用!$G:$G,"*, "&amp;$C11&amp;", *")/$B11*100</f>
        <v>0</v>
      </c>
      <c r="O11" s="41">
        <f>COUNTIFS(集計用!$S:$S, "*"&amp;O$4&amp;", *",集計用!$G:$G,"*, "&amp;$C11&amp;", *")/$B11*100</f>
        <v>0</v>
      </c>
      <c r="P11" s="41">
        <f>COUNTIFS(集計用!$S:$S, "*"&amp;P$4&amp;", *",集計用!$G:$G,"*, "&amp;$C11&amp;", *")/$B11*100</f>
        <v>0</v>
      </c>
      <c r="Q11" s="41">
        <f>COUNTIFS(集計用!$S:$S, "*"&amp;Q$4&amp;", *",集計用!$G:$G,"*, "&amp;$C11&amp;", *")/$B11*100</f>
        <v>0</v>
      </c>
      <c r="R11" s="41">
        <f>COUNTIFS(集計用!$S:$S, "*"&amp;R$4&amp;", *",集計用!$G:$G,"*, "&amp;$C11&amp;", *")/$B11*100</f>
        <v>0</v>
      </c>
      <c r="S11" s="41">
        <f>COUNTIFS(集計用!$S:$S, "*"&amp;S$4&amp;", *",集計用!$G:$G,"*, "&amp;$C11&amp;", *")/$B11*100</f>
        <v>0</v>
      </c>
      <c r="T11" s="41">
        <f>COUNTIFS(集計用!$S:$S, "*"&amp;T$4&amp;", *",集計用!$G:$G,"*, "&amp;$C11&amp;", *")/$B11*100</f>
        <v>0</v>
      </c>
      <c r="U11" s="41">
        <f>COUNTIFS(集計用!$S:$S, "*"&amp;U$4&amp;", *",集計用!$G:$G,"*, "&amp;$C11&amp;", *")/$B11*100</f>
        <v>0</v>
      </c>
      <c r="V11" s="41">
        <f>COUNTIFS(集計用!$S:$S, "*"&amp;V$4&amp;", *",集計用!$G:$G,"*, "&amp;$C11&amp;", *")/$B11*100</f>
        <v>0</v>
      </c>
      <c r="W11" s="41">
        <f>COUNTIFS(集計用!$S:$S, "*"&amp;W$4&amp;", *",集計用!$G:$G,"*, "&amp;$C11&amp;", *")/$B11*100</f>
        <v>0</v>
      </c>
      <c r="X11" s="41">
        <f>COUNTIFS(集計用!$S:$S, "*"&amp;X$4&amp;", *",集計用!$G:$G,"*, "&amp;$C11&amp;", *")/$B11*100</f>
        <v>0</v>
      </c>
      <c r="Y11" s="41">
        <f>COUNTIFS(集計用!$S:$S, "*"&amp;Y$4&amp;", *",集計用!$G:$G,"*, "&amp;$C11&amp;", *")/$B11*100</f>
        <v>0</v>
      </c>
      <c r="Z11" s="41">
        <f>COUNTIFS(集計用!$S:$S, "*"&amp;Z$4&amp;", *",集計用!$G:$G,"*, "&amp;$C11&amp;", *")/$B11*100</f>
        <v>0</v>
      </c>
      <c r="AA11" s="41">
        <f>COUNTIFS(集計用!$S:$S, "*"&amp;AA$4&amp;", *",集計用!$G:$G,"*, "&amp;$C11&amp;", *")/$B11*100</f>
        <v>0</v>
      </c>
      <c r="AB11" s="41">
        <f>COUNTIFS(集計用!$S:$S, "*"&amp;AB$4&amp;", *",集計用!$G:$G,"*, "&amp;$C11&amp;", *")/$B11*100</f>
        <v>0</v>
      </c>
      <c r="AC11" s="41">
        <f>COUNTIFS(集計用!$S:$S, "*"&amp;AC$4&amp;", *",集計用!$G:$G,"*, "&amp;$C11&amp;", *")/$B11*100</f>
        <v>1.3333333333333335</v>
      </c>
      <c r="AD11" s="41">
        <f>COUNTIFS(集計用!$S:$S, "*"&amp;AD$4&amp;", *",集計用!$G:$G,"*, "&amp;$C11&amp;", *")/$B11*100</f>
        <v>0</v>
      </c>
      <c r="AE11" s="41">
        <f>COUNTIFS(集計用!$S:$S, "*"&amp;AE$4&amp;", *",集計用!$G:$G,"*, "&amp;$C11&amp;", *")/$B11*100</f>
        <v>0</v>
      </c>
      <c r="AF11" s="41">
        <f>COUNTIFS(集計用!$S:$S, "*"&amp;AF$4&amp;", *",集計用!$G:$G,"*, "&amp;$C11&amp;", *")/$B11*100</f>
        <v>0</v>
      </c>
      <c r="AG11" s="41">
        <f>COUNTIFS(集計用!$S:$S, "*"&amp;AG$4&amp;", *",集計用!$G:$G,"*, "&amp;$C11&amp;", *")/$B11*100</f>
        <v>0</v>
      </c>
      <c r="AH11" s="41">
        <f>COUNTIFS(集計用!$S:$S, "*"&amp;AH$4&amp;", *",集計用!$G:$G,"*, "&amp;$C11&amp;", *")/$B11*100</f>
        <v>0</v>
      </c>
      <c r="AI11" s="41">
        <f>COUNTIFS(集計用!$S:$S, "*"&amp;AI$4&amp;", *",集計用!$G:$G,"*, "&amp;$C11&amp;", *")/$B11*100</f>
        <v>0</v>
      </c>
    </row>
    <row r="12" spans="1:35" ht="15.75" customHeight="1">
      <c r="A12" s="39">
        <v>1</v>
      </c>
      <c r="B12" s="39">
        <f>(COUNTIFS(集計用!$G:$G,"*, "&amp;$C12&amp;",*",集計用!$T:$T, "&lt;&gt;無回答"))</f>
        <v>74</v>
      </c>
      <c r="C12" s="42" t="s">
        <v>6</v>
      </c>
      <c r="D12" s="41">
        <f>COUNTIFS(集計用!$S:$S, "*"&amp;D$4&amp;", *",集計用!$G:$G,"*, "&amp;$C12&amp;", *")/$B12*100</f>
        <v>2.7027027027027026</v>
      </c>
      <c r="E12" s="41">
        <f>COUNTIFS(集計用!$S:$S, "*"&amp;E$4&amp;", *",集計用!$G:$G,"*, "&amp;$C12&amp;", *")/$B12*100</f>
        <v>0</v>
      </c>
      <c r="F12" s="41">
        <f>COUNTIFS(集計用!$S:$S, "*"&amp;F$4&amp;", *",集計用!$G:$G,"*, "&amp;$C12&amp;", *")/$B12*100</f>
        <v>0</v>
      </c>
      <c r="G12" s="41">
        <f>COUNTIFS(集計用!$S:$S, "*"&amp;G$4&amp;", *",集計用!$G:$G,"*, "&amp;$C12&amp;", *")/$B12*100</f>
        <v>0</v>
      </c>
      <c r="H12" s="41">
        <f>COUNTIFS(集計用!$S:$S, "*"&amp;H$4&amp;", *",集計用!$G:$G,"*, "&amp;$C12&amp;", *")/$B12*100</f>
        <v>1.3513513513513513</v>
      </c>
      <c r="I12" s="41">
        <f>COUNTIFS(集計用!$S:$S, "*"&amp;I$4&amp;", *",集計用!$G:$G,"*, "&amp;$C12&amp;", *")/$B12*100</f>
        <v>0</v>
      </c>
      <c r="J12" s="41">
        <f>COUNTIFS(集計用!$S:$S, "*"&amp;J$4&amp;", *",集計用!$G:$G,"*, "&amp;$C12&amp;", *")/$B12*100</f>
        <v>0</v>
      </c>
      <c r="K12" s="41">
        <f>COUNTIFS(集計用!$S:$S, "*"&amp;K$4&amp;", *",集計用!$G:$G,"*, "&amp;$C12&amp;", *")/$B12*100</f>
        <v>0</v>
      </c>
      <c r="L12" s="41">
        <f>COUNTIFS(集計用!$S:$S, "*"&amp;L$4&amp;", *",集計用!$G:$G,"*, "&amp;$C12&amp;", *")/$B12*100</f>
        <v>0</v>
      </c>
      <c r="M12" s="41">
        <f>COUNTIFS(集計用!$S:$S, "*"&amp;M$4&amp;", *",集計用!$G:$G,"*, "&amp;$C12&amp;", *")/$B12*100</f>
        <v>0</v>
      </c>
      <c r="N12" s="41">
        <f>COUNTIFS(集計用!$S:$S, "*"&amp;N$4&amp;", *",集計用!$G:$G,"*, "&amp;$C12&amp;", *")/$B12*100</f>
        <v>0</v>
      </c>
      <c r="O12" s="41">
        <f>COUNTIFS(集計用!$S:$S, "*"&amp;O$4&amp;", *",集計用!$G:$G,"*, "&amp;$C12&amp;", *")/$B12*100</f>
        <v>0</v>
      </c>
      <c r="P12" s="41">
        <f>COUNTIFS(集計用!$S:$S, "*"&amp;P$4&amp;", *",集計用!$G:$G,"*, "&amp;$C12&amp;", *")/$B12*100</f>
        <v>0</v>
      </c>
      <c r="Q12" s="41">
        <f>COUNTIFS(集計用!$S:$S, "*"&amp;Q$4&amp;", *",集計用!$G:$G,"*, "&amp;$C12&amp;", *")/$B12*100</f>
        <v>0</v>
      </c>
      <c r="R12" s="41">
        <f>COUNTIFS(集計用!$S:$S, "*"&amp;R$4&amp;", *",集計用!$G:$G,"*, "&amp;$C12&amp;", *")/$B12*100</f>
        <v>0</v>
      </c>
      <c r="S12" s="41">
        <f>COUNTIFS(集計用!$S:$S, "*"&amp;S$4&amp;", *",集計用!$G:$G,"*, "&amp;$C12&amp;", *")/$B12*100</f>
        <v>0</v>
      </c>
      <c r="T12" s="41">
        <f>COUNTIFS(集計用!$S:$S, "*"&amp;T$4&amp;", *",集計用!$G:$G,"*, "&amp;$C12&amp;", *")/$B12*100</f>
        <v>0</v>
      </c>
      <c r="U12" s="41">
        <f>COUNTIFS(集計用!$S:$S, "*"&amp;U$4&amp;", *",集計用!$G:$G,"*, "&amp;$C12&amp;", *")/$B12*100</f>
        <v>0</v>
      </c>
      <c r="V12" s="41">
        <f>COUNTIFS(集計用!$S:$S, "*"&amp;V$4&amp;", *",集計用!$G:$G,"*, "&amp;$C12&amp;", *")/$B12*100</f>
        <v>0</v>
      </c>
      <c r="W12" s="41">
        <f>COUNTIFS(集計用!$S:$S, "*"&amp;W$4&amp;", *",集計用!$G:$G,"*, "&amp;$C12&amp;", *")/$B12*100</f>
        <v>0</v>
      </c>
      <c r="X12" s="41">
        <f>COUNTIFS(集計用!$S:$S, "*"&amp;X$4&amp;", *",集計用!$G:$G,"*, "&amp;$C12&amp;", *")/$B12*100</f>
        <v>0</v>
      </c>
      <c r="Y12" s="41">
        <f>COUNTIFS(集計用!$S:$S, "*"&amp;Y$4&amp;", *",集計用!$G:$G,"*, "&amp;$C12&amp;", *")/$B12*100</f>
        <v>0</v>
      </c>
      <c r="Z12" s="41">
        <f>COUNTIFS(集計用!$S:$S, "*"&amp;Z$4&amp;", *",集計用!$G:$G,"*, "&amp;$C12&amp;", *")/$B12*100</f>
        <v>0</v>
      </c>
      <c r="AA12" s="41">
        <f>COUNTIFS(集計用!$S:$S, "*"&amp;AA$4&amp;", *",集計用!$G:$G,"*, "&amp;$C12&amp;", *")/$B12*100</f>
        <v>0</v>
      </c>
      <c r="AB12" s="41">
        <f>COUNTIFS(集計用!$S:$S, "*"&amp;AB$4&amp;", *",集計用!$G:$G,"*, "&amp;$C12&amp;", *")/$B12*100</f>
        <v>0</v>
      </c>
      <c r="AC12" s="41">
        <f>COUNTIFS(集計用!$S:$S, "*"&amp;AC$4&amp;", *",集計用!$G:$G,"*, "&amp;$C12&amp;", *")/$B12*100</f>
        <v>2.7027027027027026</v>
      </c>
      <c r="AD12" s="41">
        <f>COUNTIFS(集計用!$S:$S, "*"&amp;AD$4&amp;", *",集計用!$G:$G,"*, "&amp;$C12&amp;", *")/$B12*100</f>
        <v>0</v>
      </c>
      <c r="AE12" s="41">
        <f>COUNTIFS(集計用!$S:$S, "*"&amp;AE$4&amp;", *",集計用!$G:$G,"*, "&amp;$C12&amp;", *")/$B12*100</f>
        <v>0</v>
      </c>
      <c r="AF12" s="41">
        <f>COUNTIFS(集計用!$S:$S, "*"&amp;AF$4&amp;", *",集計用!$G:$G,"*, "&amp;$C12&amp;", *")/$B12*100</f>
        <v>0</v>
      </c>
      <c r="AG12" s="41">
        <f>COUNTIFS(集計用!$S:$S, "*"&amp;AG$4&amp;", *",集計用!$G:$G,"*, "&amp;$C12&amp;", *")/$B12*100</f>
        <v>0</v>
      </c>
      <c r="AH12" s="41">
        <f>COUNTIFS(集計用!$S:$S, "*"&amp;AH$4&amp;", *",集計用!$G:$G,"*, "&amp;$C12&amp;", *")/$B12*100</f>
        <v>0</v>
      </c>
      <c r="AI12" s="41">
        <f>COUNTIFS(集計用!$S:$S, "*"&amp;AI$4&amp;", *",集計用!$G:$G,"*, "&amp;$C12&amp;", *")/$B12*100</f>
        <v>0</v>
      </c>
    </row>
    <row r="13" spans="1:35" ht="15.75" customHeight="1">
      <c r="A13" s="39">
        <v>1</v>
      </c>
      <c r="B13" s="39">
        <f>(COUNTIFS(集計用!$G:$G,"*, "&amp;$C13&amp;",*",集計用!$T:$T, "&lt;&gt;無回答"))</f>
        <v>71</v>
      </c>
      <c r="C13" s="42" t="s">
        <v>7</v>
      </c>
      <c r="D13" s="41">
        <f>COUNTIFS(集計用!$S:$S, "*"&amp;D$4&amp;", *",集計用!$G:$G,"*, "&amp;$C13&amp;", *")/$B13*100</f>
        <v>0</v>
      </c>
      <c r="E13" s="41">
        <f>COUNTIFS(集計用!$S:$S, "*"&amp;E$4&amp;", *",集計用!$G:$G,"*, "&amp;$C13&amp;", *")/$B13*100</f>
        <v>0</v>
      </c>
      <c r="F13" s="41">
        <f>COUNTIFS(集計用!$S:$S, "*"&amp;F$4&amp;", *",集計用!$G:$G,"*, "&amp;$C13&amp;", *")/$B13*100</f>
        <v>0</v>
      </c>
      <c r="G13" s="41">
        <f>COUNTIFS(集計用!$S:$S, "*"&amp;G$4&amp;", *",集計用!$G:$G,"*, "&amp;$C13&amp;", *")/$B13*100</f>
        <v>0</v>
      </c>
      <c r="H13" s="41">
        <f>COUNTIFS(集計用!$S:$S, "*"&amp;H$4&amp;", *",集計用!$G:$G,"*, "&amp;$C13&amp;", *")/$B13*100</f>
        <v>0</v>
      </c>
      <c r="I13" s="41">
        <f>COUNTIFS(集計用!$S:$S, "*"&amp;I$4&amp;", *",集計用!$G:$G,"*, "&amp;$C13&amp;", *")/$B13*100</f>
        <v>0</v>
      </c>
      <c r="J13" s="41">
        <f>COUNTIFS(集計用!$S:$S, "*"&amp;J$4&amp;", *",集計用!$G:$G,"*, "&amp;$C13&amp;", *")/$B13*100</f>
        <v>0</v>
      </c>
      <c r="K13" s="41">
        <f>COUNTIFS(集計用!$S:$S, "*"&amp;K$4&amp;", *",集計用!$G:$G,"*, "&amp;$C13&amp;", *")/$B13*100</f>
        <v>0</v>
      </c>
      <c r="L13" s="41">
        <f>COUNTIFS(集計用!$S:$S, "*"&amp;L$4&amp;", *",集計用!$G:$G,"*, "&amp;$C13&amp;", *")/$B13*100</f>
        <v>0</v>
      </c>
      <c r="M13" s="41">
        <f>COUNTIFS(集計用!$S:$S, "*"&amp;M$4&amp;", *",集計用!$G:$G,"*, "&amp;$C13&amp;", *")/$B13*100</f>
        <v>0</v>
      </c>
      <c r="N13" s="41">
        <f>COUNTIFS(集計用!$S:$S, "*"&amp;N$4&amp;", *",集計用!$G:$G,"*, "&amp;$C13&amp;", *")/$B13*100</f>
        <v>0</v>
      </c>
      <c r="O13" s="41">
        <f>COUNTIFS(集計用!$S:$S, "*"&amp;O$4&amp;", *",集計用!$G:$G,"*, "&amp;$C13&amp;", *")/$B13*100</f>
        <v>0</v>
      </c>
      <c r="P13" s="41">
        <f>COUNTIFS(集計用!$S:$S, "*"&amp;P$4&amp;", *",集計用!$G:$G,"*, "&amp;$C13&amp;", *")/$B13*100</f>
        <v>0</v>
      </c>
      <c r="Q13" s="41">
        <f>COUNTIFS(集計用!$S:$S, "*"&amp;Q$4&amp;", *",集計用!$G:$G,"*, "&amp;$C13&amp;", *")/$B13*100</f>
        <v>0</v>
      </c>
      <c r="R13" s="41">
        <f>COUNTIFS(集計用!$S:$S, "*"&amp;R$4&amp;", *",集計用!$G:$G,"*, "&amp;$C13&amp;", *")/$B13*100</f>
        <v>0</v>
      </c>
      <c r="S13" s="41">
        <f>COUNTIFS(集計用!$S:$S, "*"&amp;S$4&amp;", *",集計用!$G:$G,"*, "&amp;$C13&amp;", *")/$B13*100</f>
        <v>0</v>
      </c>
      <c r="T13" s="41">
        <f>COUNTIFS(集計用!$S:$S, "*"&amp;T$4&amp;", *",集計用!$G:$G,"*, "&amp;$C13&amp;", *")/$B13*100</f>
        <v>0</v>
      </c>
      <c r="U13" s="41">
        <f>COUNTIFS(集計用!$S:$S, "*"&amp;U$4&amp;", *",集計用!$G:$G,"*, "&amp;$C13&amp;", *")/$B13*100</f>
        <v>0</v>
      </c>
      <c r="V13" s="41">
        <f>COUNTIFS(集計用!$S:$S, "*"&amp;V$4&amp;", *",集計用!$G:$G,"*, "&amp;$C13&amp;", *")/$B13*100</f>
        <v>0</v>
      </c>
      <c r="W13" s="41">
        <f>COUNTIFS(集計用!$S:$S, "*"&amp;W$4&amp;", *",集計用!$G:$G,"*, "&amp;$C13&amp;", *")/$B13*100</f>
        <v>0</v>
      </c>
      <c r="X13" s="41">
        <f>COUNTIFS(集計用!$S:$S, "*"&amp;X$4&amp;", *",集計用!$G:$G,"*, "&amp;$C13&amp;", *")/$B13*100</f>
        <v>0</v>
      </c>
      <c r="Y13" s="41">
        <f>COUNTIFS(集計用!$S:$S, "*"&amp;Y$4&amp;", *",集計用!$G:$G,"*, "&amp;$C13&amp;", *")/$B13*100</f>
        <v>0</v>
      </c>
      <c r="Z13" s="41">
        <f>COUNTIFS(集計用!$S:$S, "*"&amp;Z$4&amp;", *",集計用!$G:$G,"*, "&amp;$C13&amp;", *")/$B13*100</f>
        <v>0</v>
      </c>
      <c r="AA13" s="41">
        <f>COUNTIFS(集計用!$S:$S, "*"&amp;AA$4&amp;", *",集計用!$G:$G,"*, "&amp;$C13&amp;", *")/$B13*100</f>
        <v>0</v>
      </c>
      <c r="AB13" s="41">
        <f>COUNTIFS(集計用!$S:$S, "*"&amp;AB$4&amp;", *",集計用!$G:$G,"*, "&amp;$C13&amp;", *")/$B13*100</f>
        <v>0</v>
      </c>
      <c r="AC13" s="41">
        <f>COUNTIFS(集計用!$S:$S, "*"&amp;AC$4&amp;", *",集計用!$G:$G,"*, "&amp;$C13&amp;", *")/$B13*100</f>
        <v>0</v>
      </c>
      <c r="AD13" s="41">
        <f>COUNTIFS(集計用!$S:$S, "*"&amp;AD$4&amp;", *",集計用!$G:$G,"*, "&amp;$C13&amp;", *")/$B13*100</f>
        <v>1.4084507042253522</v>
      </c>
      <c r="AE13" s="41">
        <f>COUNTIFS(集計用!$S:$S, "*"&amp;AE$4&amp;", *",集計用!$G:$G,"*, "&amp;$C13&amp;", *")/$B13*100</f>
        <v>0</v>
      </c>
      <c r="AF13" s="41">
        <f>COUNTIFS(集計用!$S:$S, "*"&amp;AF$4&amp;", *",集計用!$G:$G,"*, "&amp;$C13&amp;", *")/$B13*100</f>
        <v>0</v>
      </c>
      <c r="AG13" s="41">
        <f>COUNTIFS(集計用!$S:$S, "*"&amp;AG$4&amp;", *",集計用!$G:$G,"*, "&amp;$C13&amp;", *")/$B13*100</f>
        <v>0</v>
      </c>
      <c r="AH13" s="41">
        <f>COUNTIFS(集計用!$S:$S, "*"&amp;AH$4&amp;", *",集計用!$G:$G,"*, "&amp;$C13&amp;", *")/$B13*100</f>
        <v>0</v>
      </c>
      <c r="AI13" s="41">
        <f>COUNTIFS(集計用!$S:$S, "*"&amp;AI$4&amp;", *",集計用!$G:$G,"*, "&amp;$C13&amp;", *")/$B13*100</f>
        <v>0</v>
      </c>
    </row>
    <row r="14" spans="1:35" ht="15.75" customHeight="1">
      <c r="A14" s="39">
        <v>3</v>
      </c>
      <c r="B14" s="39">
        <f>(COUNTIFS(集計用!$G:$G,"*, "&amp;$C14&amp;",*",集計用!$T:$T, "&lt;&gt;無回答"))</f>
        <v>71</v>
      </c>
      <c r="C14" s="42" t="s">
        <v>8</v>
      </c>
      <c r="D14" s="41">
        <f>COUNTIFS(集計用!$S:$S, "*"&amp;D$4&amp;", *",集計用!$G:$G,"*, "&amp;$C14&amp;", *")/$B14*100</f>
        <v>1.4084507042253522</v>
      </c>
      <c r="E14" s="41">
        <f>COUNTIFS(集計用!$S:$S, "*"&amp;E$4&amp;", *",集計用!$G:$G,"*, "&amp;$C14&amp;", *")/$B14*100</f>
        <v>1.4084507042253522</v>
      </c>
      <c r="F14" s="41">
        <f>COUNTIFS(集計用!$S:$S, "*"&amp;F$4&amp;", *",集計用!$G:$G,"*, "&amp;$C14&amp;", *")/$B14*100</f>
        <v>0</v>
      </c>
      <c r="G14" s="41">
        <f>COUNTIFS(集計用!$S:$S, "*"&amp;G$4&amp;", *",集計用!$G:$G,"*, "&amp;$C14&amp;", *")/$B14*100</f>
        <v>0</v>
      </c>
      <c r="H14" s="41">
        <f>COUNTIFS(集計用!$S:$S, "*"&amp;H$4&amp;", *",集計用!$G:$G,"*, "&amp;$C14&amp;", *")/$B14*100</f>
        <v>1.4084507042253522</v>
      </c>
      <c r="I14" s="41">
        <f>COUNTIFS(集計用!$S:$S, "*"&amp;I$4&amp;", *",集計用!$G:$G,"*, "&amp;$C14&amp;", *")/$B14*100</f>
        <v>0</v>
      </c>
      <c r="J14" s="41">
        <f>COUNTIFS(集計用!$S:$S, "*"&amp;J$4&amp;", *",集計用!$G:$G,"*, "&amp;$C14&amp;", *")/$B14*100</f>
        <v>0</v>
      </c>
      <c r="K14" s="41">
        <f>COUNTIFS(集計用!$S:$S, "*"&amp;K$4&amp;", *",集計用!$G:$G,"*, "&amp;$C14&amp;", *")/$B14*100</f>
        <v>0</v>
      </c>
      <c r="L14" s="41">
        <f>COUNTIFS(集計用!$S:$S, "*"&amp;L$4&amp;", *",集計用!$G:$G,"*, "&amp;$C14&amp;", *")/$B14*100</f>
        <v>0</v>
      </c>
      <c r="M14" s="41">
        <f>COUNTIFS(集計用!$S:$S, "*"&amp;M$4&amp;", *",集計用!$G:$G,"*, "&amp;$C14&amp;", *")/$B14*100</f>
        <v>0</v>
      </c>
      <c r="N14" s="41">
        <f>COUNTIFS(集計用!$S:$S, "*"&amp;N$4&amp;", *",集計用!$G:$G,"*, "&amp;$C14&amp;", *")/$B14*100</f>
        <v>0</v>
      </c>
      <c r="O14" s="41">
        <f>COUNTIFS(集計用!$S:$S, "*"&amp;O$4&amp;", *",集計用!$G:$G,"*, "&amp;$C14&amp;", *")/$B14*100</f>
        <v>0</v>
      </c>
      <c r="P14" s="41">
        <f>COUNTIFS(集計用!$S:$S, "*"&amp;P$4&amp;", *",集計用!$G:$G,"*, "&amp;$C14&amp;", *")/$B14*100</f>
        <v>0</v>
      </c>
      <c r="Q14" s="41">
        <f>COUNTIFS(集計用!$S:$S, "*"&amp;Q$4&amp;", *",集計用!$G:$G,"*, "&amp;$C14&amp;", *")/$B14*100</f>
        <v>0</v>
      </c>
      <c r="R14" s="41">
        <f>COUNTIFS(集計用!$S:$S, "*"&amp;R$4&amp;", *",集計用!$G:$G,"*, "&amp;$C14&amp;", *")/$B14*100</f>
        <v>0</v>
      </c>
      <c r="S14" s="41">
        <f>COUNTIFS(集計用!$S:$S, "*"&amp;S$4&amp;", *",集計用!$G:$G,"*, "&amp;$C14&amp;", *")/$B14*100</f>
        <v>0</v>
      </c>
      <c r="T14" s="41">
        <f>COUNTIFS(集計用!$S:$S, "*"&amp;T$4&amp;", *",集計用!$G:$G,"*, "&amp;$C14&amp;", *")/$B14*100</f>
        <v>0</v>
      </c>
      <c r="U14" s="41">
        <f>COUNTIFS(集計用!$S:$S, "*"&amp;U$4&amp;", *",集計用!$G:$G,"*, "&amp;$C14&amp;", *")/$B14*100</f>
        <v>0</v>
      </c>
      <c r="V14" s="41">
        <f>COUNTIFS(集計用!$S:$S, "*"&amp;V$4&amp;", *",集計用!$G:$G,"*, "&amp;$C14&amp;", *")/$B14*100</f>
        <v>0</v>
      </c>
      <c r="W14" s="41">
        <f>COUNTIFS(集計用!$S:$S, "*"&amp;W$4&amp;", *",集計用!$G:$G,"*, "&amp;$C14&amp;", *")/$B14*100</f>
        <v>0</v>
      </c>
      <c r="X14" s="41">
        <f>COUNTIFS(集計用!$S:$S, "*"&amp;X$4&amp;", *",集計用!$G:$G,"*, "&amp;$C14&amp;", *")/$B14*100</f>
        <v>0</v>
      </c>
      <c r="Y14" s="41">
        <f>COUNTIFS(集計用!$S:$S, "*"&amp;Y$4&amp;", *",集計用!$G:$G,"*, "&amp;$C14&amp;", *")/$B14*100</f>
        <v>1.4084507042253522</v>
      </c>
      <c r="Z14" s="41">
        <f>COUNTIFS(集計用!$S:$S, "*"&amp;Z$4&amp;", *",集計用!$G:$G,"*, "&amp;$C14&amp;", *")/$B14*100</f>
        <v>0</v>
      </c>
      <c r="AA14" s="41">
        <f>COUNTIFS(集計用!$S:$S, "*"&amp;AA$4&amp;", *",集計用!$G:$G,"*, "&amp;$C14&amp;", *")/$B14*100</f>
        <v>0</v>
      </c>
      <c r="AB14" s="41">
        <f>COUNTIFS(集計用!$S:$S, "*"&amp;AB$4&amp;", *",集計用!$G:$G,"*, "&amp;$C14&amp;", *")/$B14*100</f>
        <v>0</v>
      </c>
      <c r="AC14" s="41">
        <f>COUNTIFS(集計用!$S:$S, "*"&amp;AC$4&amp;", *",集計用!$G:$G,"*, "&amp;$C14&amp;", *")/$B14*100</f>
        <v>1.4084507042253522</v>
      </c>
      <c r="AD14" s="41">
        <f>COUNTIFS(集計用!$S:$S, "*"&amp;AD$4&amp;", *",集計用!$G:$G,"*, "&amp;$C14&amp;", *")/$B14*100</f>
        <v>0</v>
      </c>
      <c r="AE14" s="41">
        <f>COUNTIFS(集計用!$S:$S, "*"&amp;AE$4&amp;", *",集計用!$G:$G,"*, "&amp;$C14&amp;", *")/$B14*100</f>
        <v>0</v>
      </c>
      <c r="AF14" s="41">
        <f>COUNTIFS(集計用!$S:$S, "*"&amp;AF$4&amp;", *",集計用!$G:$G,"*, "&amp;$C14&amp;", *")/$B14*100</f>
        <v>0</v>
      </c>
      <c r="AG14" s="41">
        <f>COUNTIFS(集計用!$S:$S, "*"&amp;AG$4&amp;", *",集計用!$G:$G,"*, "&amp;$C14&amp;", *")/$B14*100</f>
        <v>0</v>
      </c>
      <c r="AH14" s="41">
        <f>COUNTIFS(集計用!$S:$S, "*"&amp;AH$4&amp;", *",集計用!$G:$G,"*, "&amp;$C14&amp;", *")/$B14*100</f>
        <v>0</v>
      </c>
      <c r="AI14" s="41">
        <f>COUNTIFS(集計用!$S:$S, "*"&amp;AI$4&amp;", *",集計用!$G:$G,"*, "&amp;$C14&amp;", *")/$B14*100</f>
        <v>0</v>
      </c>
    </row>
    <row r="15" spans="1:35" ht="15.75" customHeight="1">
      <c r="A15" s="39">
        <v>2</v>
      </c>
      <c r="B15" s="39">
        <f>(COUNTIFS(集計用!$G:$G,"*, "&amp;$C15&amp;",*",集計用!$T:$T, "&lt;&gt;無回答"))</f>
        <v>69</v>
      </c>
      <c r="C15" s="42" t="s">
        <v>9</v>
      </c>
      <c r="D15" s="41">
        <f>COUNTIFS(集計用!$S:$S, "*"&amp;D$4&amp;", *",集計用!$G:$G,"*, "&amp;$C15&amp;", *")/$B15*100</f>
        <v>4.3478260869565215</v>
      </c>
      <c r="E15" s="41">
        <f>COUNTIFS(集計用!$S:$S, "*"&amp;E$4&amp;", *",集計用!$G:$G,"*, "&amp;$C15&amp;", *")/$B15*100</f>
        <v>0</v>
      </c>
      <c r="F15" s="41">
        <f>COUNTIFS(集計用!$S:$S, "*"&amp;F$4&amp;", *",集計用!$G:$G,"*, "&amp;$C15&amp;", *")/$B15*100</f>
        <v>0</v>
      </c>
      <c r="G15" s="41">
        <f>COUNTIFS(集計用!$S:$S, "*"&amp;G$4&amp;", *",集計用!$G:$G,"*, "&amp;$C15&amp;", *")/$B15*100</f>
        <v>0</v>
      </c>
      <c r="H15" s="41">
        <f>COUNTIFS(集計用!$S:$S, "*"&amp;H$4&amp;", *",集計用!$G:$G,"*, "&amp;$C15&amp;", *")/$B15*100</f>
        <v>0</v>
      </c>
      <c r="I15" s="41">
        <f>COUNTIFS(集計用!$S:$S, "*"&amp;I$4&amp;", *",集計用!$G:$G,"*, "&amp;$C15&amp;", *")/$B15*100</f>
        <v>0</v>
      </c>
      <c r="J15" s="41">
        <f>COUNTIFS(集計用!$S:$S, "*"&amp;J$4&amp;", *",集計用!$G:$G,"*, "&amp;$C15&amp;", *")/$B15*100</f>
        <v>0</v>
      </c>
      <c r="K15" s="41">
        <f>COUNTIFS(集計用!$S:$S, "*"&amp;K$4&amp;", *",集計用!$G:$G,"*, "&amp;$C15&amp;", *")/$B15*100</f>
        <v>0</v>
      </c>
      <c r="L15" s="41">
        <f>COUNTIFS(集計用!$S:$S, "*"&amp;L$4&amp;", *",集計用!$G:$G,"*, "&amp;$C15&amp;", *")/$B15*100</f>
        <v>0</v>
      </c>
      <c r="M15" s="41">
        <f>COUNTIFS(集計用!$S:$S, "*"&amp;M$4&amp;", *",集計用!$G:$G,"*, "&amp;$C15&amp;", *")/$B15*100</f>
        <v>0</v>
      </c>
      <c r="N15" s="41">
        <f>COUNTIFS(集計用!$S:$S, "*"&amp;N$4&amp;", *",集計用!$G:$G,"*, "&amp;$C15&amp;", *")/$B15*100</f>
        <v>0</v>
      </c>
      <c r="O15" s="41">
        <f>COUNTIFS(集計用!$S:$S, "*"&amp;O$4&amp;", *",集計用!$G:$G,"*, "&amp;$C15&amp;", *")/$B15*100</f>
        <v>0</v>
      </c>
      <c r="P15" s="41">
        <f>COUNTIFS(集計用!$S:$S, "*"&amp;P$4&amp;", *",集計用!$G:$G,"*, "&amp;$C15&amp;", *")/$B15*100</f>
        <v>0</v>
      </c>
      <c r="Q15" s="41">
        <f>COUNTIFS(集計用!$S:$S, "*"&amp;Q$4&amp;", *",集計用!$G:$G,"*, "&amp;$C15&amp;", *")/$B15*100</f>
        <v>0</v>
      </c>
      <c r="R15" s="41">
        <f>COUNTIFS(集計用!$S:$S, "*"&amp;R$4&amp;", *",集計用!$G:$G,"*, "&amp;$C15&amp;", *")/$B15*100</f>
        <v>0</v>
      </c>
      <c r="S15" s="41">
        <f>COUNTIFS(集計用!$S:$S, "*"&amp;S$4&amp;", *",集計用!$G:$G,"*, "&amp;$C15&amp;", *")/$B15*100</f>
        <v>0</v>
      </c>
      <c r="T15" s="41">
        <f>COUNTIFS(集計用!$S:$S, "*"&amp;T$4&amp;", *",集計用!$G:$G,"*, "&amp;$C15&amp;", *")/$B15*100</f>
        <v>0</v>
      </c>
      <c r="U15" s="41">
        <f>COUNTIFS(集計用!$S:$S, "*"&amp;U$4&amp;", *",集計用!$G:$G,"*, "&amp;$C15&amp;", *")/$B15*100</f>
        <v>0</v>
      </c>
      <c r="V15" s="41">
        <f>COUNTIFS(集計用!$S:$S, "*"&amp;V$4&amp;", *",集計用!$G:$G,"*, "&amp;$C15&amp;", *")/$B15*100</f>
        <v>0</v>
      </c>
      <c r="W15" s="41">
        <f>COUNTIFS(集計用!$S:$S, "*"&amp;W$4&amp;", *",集計用!$G:$G,"*, "&amp;$C15&amp;", *")/$B15*100</f>
        <v>0</v>
      </c>
      <c r="X15" s="41">
        <f>COUNTIFS(集計用!$S:$S, "*"&amp;X$4&amp;", *",集計用!$G:$G,"*, "&amp;$C15&amp;", *")/$B15*100</f>
        <v>0</v>
      </c>
      <c r="Y15" s="41">
        <f>COUNTIFS(集計用!$S:$S, "*"&amp;Y$4&amp;", *",集計用!$G:$G,"*, "&amp;$C15&amp;", *")/$B15*100</f>
        <v>0</v>
      </c>
      <c r="Z15" s="41">
        <f>COUNTIFS(集計用!$S:$S, "*"&amp;Z$4&amp;", *",集計用!$G:$G,"*, "&amp;$C15&amp;", *")/$B15*100</f>
        <v>0</v>
      </c>
      <c r="AA15" s="41">
        <f>COUNTIFS(集計用!$S:$S, "*"&amp;AA$4&amp;", *",集計用!$G:$G,"*, "&amp;$C15&amp;", *")/$B15*100</f>
        <v>0</v>
      </c>
      <c r="AB15" s="41">
        <f>COUNTIFS(集計用!$S:$S, "*"&amp;AB$4&amp;", *",集計用!$G:$G,"*, "&amp;$C15&amp;", *")/$B15*100</f>
        <v>0</v>
      </c>
      <c r="AC15" s="41">
        <f>COUNTIFS(集計用!$S:$S, "*"&amp;AC$4&amp;", *",集計用!$G:$G,"*, "&amp;$C15&amp;", *")/$B15*100</f>
        <v>4.3478260869565215</v>
      </c>
      <c r="AD15" s="41">
        <f>COUNTIFS(集計用!$S:$S, "*"&amp;AD$4&amp;", *",集計用!$G:$G,"*, "&amp;$C15&amp;", *")/$B15*100</f>
        <v>0</v>
      </c>
      <c r="AE15" s="41">
        <f>COUNTIFS(集計用!$S:$S, "*"&amp;AE$4&amp;", *",集計用!$G:$G,"*, "&amp;$C15&amp;", *")/$B15*100</f>
        <v>0</v>
      </c>
      <c r="AF15" s="41">
        <f>COUNTIFS(集計用!$S:$S, "*"&amp;AF$4&amp;", *",集計用!$G:$G,"*, "&amp;$C15&amp;", *")/$B15*100</f>
        <v>0</v>
      </c>
      <c r="AG15" s="41">
        <f>COUNTIFS(集計用!$S:$S, "*"&amp;AG$4&amp;", *",集計用!$G:$G,"*, "&amp;$C15&amp;", *")/$B15*100</f>
        <v>0</v>
      </c>
      <c r="AH15" s="41">
        <f>COUNTIFS(集計用!$S:$S, "*"&amp;AH$4&amp;", *",集計用!$G:$G,"*, "&amp;$C15&amp;", *")/$B15*100</f>
        <v>0</v>
      </c>
      <c r="AI15" s="41">
        <f>COUNTIFS(集計用!$S:$S, "*"&amp;AI$4&amp;", *",集計用!$G:$G,"*, "&amp;$C15&amp;", *")/$B15*100</f>
        <v>0</v>
      </c>
    </row>
    <row r="16" spans="1:35" ht="15.75" customHeight="1">
      <c r="A16" s="39">
        <v>5</v>
      </c>
      <c r="B16" s="39">
        <f>(COUNTIFS(集計用!$G:$G,"*, "&amp;$C16&amp;",*",集計用!$T:$T, "&lt;&gt;無回答"))</f>
        <v>60</v>
      </c>
      <c r="C16" s="42" t="s">
        <v>10</v>
      </c>
      <c r="D16" s="41">
        <f>COUNTIFS(集計用!$S:$S, "*"&amp;D$4&amp;", *",集計用!$G:$G,"*, "&amp;$C16&amp;", *")/$B16*100</f>
        <v>1.6666666666666667</v>
      </c>
      <c r="E16" s="41">
        <f>COUNTIFS(集計用!$S:$S, "*"&amp;E$4&amp;", *",集計用!$G:$G,"*, "&amp;$C16&amp;", *")/$B16*100</f>
        <v>0</v>
      </c>
      <c r="F16" s="41">
        <f>COUNTIFS(集計用!$S:$S, "*"&amp;F$4&amp;", *",集計用!$G:$G,"*, "&amp;$C16&amp;", *")/$B16*100</f>
        <v>0</v>
      </c>
      <c r="G16" s="41">
        <f>COUNTIFS(集計用!$S:$S, "*"&amp;G$4&amp;", *",集計用!$G:$G,"*, "&amp;$C16&amp;", *")/$B16*100</f>
        <v>0</v>
      </c>
      <c r="H16" s="41">
        <f>COUNTIFS(集計用!$S:$S, "*"&amp;H$4&amp;", *",集計用!$G:$G,"*, "&amp;$C16&amp;", *")/$B16*100</f>
        <v>0</v>
      </c>
      <c r="I16" s="41">
        <f>COUNTIFS(集計用!$S:$S, "*"&amp;I$4&amp;", *",集計用!$G:$G,"*, "&amp;$C16&amp;", *")/$B16*100</f>
        <v>0</v>
      </c>
      <c r="J16" s="41">
        <f>COUNTIFS(集計用!$S:$S, "*"&amp;J$4&amp;", *",集計用!$G:$G,"*, "&amp;$C16&amp;", *")/$B16*100</f>
        <v>0</v>
      </c>
      <c r="K16" s="41">
        <f>COUNTIFS(集計用!$S:$S, "*"&amp;K$4&amp;", *",集計用!$G:$G,"*, "&amp;$C16&amp;", *")/$B16*100</f>
        <v>0</v>
      </c>
      <c r="L16" s="41">
        <f>COUNTIFS(集計用!$S:$S, "*"&amp;L$4&amp;", *",集計用!$G:$G,"*, "&amp;$C16&amp;", *")/$B16*100</f>
        <v>0</v>
      </c>
      <c r="M16" s="41">
        <f>COUNTIFS(集計用!$S:$S, "*"&amp;M$4&amp;", *",集計用!$G:$G,"*, "&amp;$C16&amp;", *")/$B16*100</f>
        <v>0</v>
      </c>
      <c r="N16" s="41">
        <f>COUNTIFS(集計用!$S:$S, "*"&amp;N$4&amp;", *",集計用!$G:$G,"*, "&amp;$C16&amp;", *")/$B16*100</f>
        <v>0</v>
      </c>
      <c r="O16" s="41">
        <f>COUNTIFS(集計用!$S:$S, "*"&amp;O$4&amp;", *",集計用!$G:$G,"*, "&amp;$C16&amp;", *")/$B16*100</f>
        <v>0</v>
      </c>
      <c r="P16" s="41">
        <f>COUNTIFS(集計用!$S:$S, "*"&amp;P$4&amp;", *",集計用!$G:$G,"*, "&amp;$C16&amp;", *")/$B16*100</f>
        <v>0</v>
      </c>
      <c r="Q16" s="41">
        <f>COUNTIFS(集計用!$S:$S, "*"&amp;Q$4&amp;", *",集計用!$G:$G,"*, "&amp;$C16&amp;", *")/$B16*100</f>
        <v>0</v>
      </c>
      <c r="R16" s="41">
        <f>COUNTIFS(集計用!$S:$S, "*"&amp;R$4&amp;", *",集計用!$G:$G,"*, "&amp;$C16&amp;", *")/$B16*100</f>
        <v>0</v>
      </c>
      <c r="S16" s="41">
        <f>COUNTIFS(集計用!$S:$S, "*"&amp;S$4&amp;", *",集計用!$G:$G,"*, "&amp;$C16&amp;", *")/$B16*100</f>
        <v>0</v>
      </c>
      <c r="T16" s="41">
        <f>COUNTIFS(集計用!$S:$S, "*"&amp;T$4&amp;", *",集計用!$G:$G,"*, "&amp;$C16&amp;", *")/$B16*100</f>
        <v>0</v>
      </c>
      <c r="U16" s="41">
        <f>COUNTIFS(集計用!$S:$S, "*"&amp;U$4&amp;", *",集計用!$G:$G,"*, "&amp;$C16&amp;", *")/$B16*100</f>
        <v>0</v>
      </c>
      <c r="V16" s="41">
        <f>COUNTIFS(集計用!$S:$S, "*"&amp;V$4&amp;", *",集計用!$G:$G,"*, "&amp;$C16&amp;", *")/$B16*100</f>
        <v>0</v>
      </c>
      <c r="W16" s="41">
        <f>COUNTIFS(集計用!$S:$S, "*"&amp;W$4&amp;", *",集計用!$G:$G,"*, "&amp;$C16&amp;", *")/$B16*100</f>
        <v>0</v>
      </c>
      <c r="X16" s="41">
        <f>COUNTIFS(集計用!$S:$S, "*"&amp;X$4&amp;", *",集計用!$G:$G,"*, "&amp;$C16&amp;", *")/$B16*100</f>
        <v>0</v>
      </c>
      <c r="Y16" s="41">
        <f>COUNTIFS(集計用!$S:$S, "*"&amp;Y$4&amp;", *",集計用!$G:$G,"*, "&amp;$C16&amp;", *")/$B16*100</f>
        <v>0</v>
      </c>
      <c r="Z16" s="41">
        <f>COUNTIFS(集計用!$S:$S, "*"&amp;Z$4&amp;", *",集計用!$G:$G,"*, "&amp;$C16&amp;", *")/$B16*100</f>
        <v>0</v>
      </c>
      <c r="AA16" s="41">
        <f>COUNTIFS(集計用!$S:$S, "*"&amp;AA$4&amp;", *",集計用!$G:$G,"*, "&amp;$C16&amp;", *")/$B16*100</f>
        <v>0</v>
      </c>
      <c r="AB16" s="41">
        <f>COUNTIFS(集計用!$S:$S, "*"&amp;AB$4&amp;", *",集計用!$G:$G,"*, "&amp;$C16&amp;", *")/$B16*100</f>
        <v>0</v>
      </c>
      <c r="AC16" s="41">
        <f>COUNTIFS(集計用!$S:$S, "*"&amp;AC$4&amp;", *",集計用!$G:$G,"*, "&amp;$C16&amp;", *")/$B16*100</f>
        <v>1.6666666666666667</v>
      </c>
      <c r="AD16" s="41">
        <f>COUNTIFS(集計用!$S:$S, "*"&amp;AD$4&amp;", *",集計用!$G:$G,"*, "&amp;$C16&amp;", *")/$B16*100</f>
        <v>0</v>
      </c>
      <c r="AE16" s="41">
        <f>COUNTIFS(集計用!$S:$S, "*"&amp;AE$4&amp;", *",集計用!$G:$G,"*, "&amp;$C16&amp;", *")/$B16*100</f>
        <v>0</v>
      </c>
      <c r="AF16" s="41">
        <f>COUNTIFS(集計用!$S:$S, "*"&amp;AF$4&amp;", *",集計用!$G:$G,"*, "&amp;$C16&amp;", *")/$B16*100</f>
        <v>0</v>
      </c>
      <c r="AG16" s="41">
        <f>COUNTIFS(集計用!$S:$S, "*"&amp;AG$4&amp;", *",集計用!$G:$G,"*, "&amp;$C16&amp;", *")/$B16*100</f>
        <v>0</v>
      </c>
      <c r="AH16" s="41">
        <f>COUNTIFS(集計用!$S:$S, "*"&amp;AH$4&amp;", *",集計用!$G:$G,"*, "&amp;$C16&amp;", *")/$B16*100</f>
        <v>0</v>
      </c>
      <c r="AI16" s="41">
        <f>COUNTIFS(集計用!$S:$S, "*"&amp;AI$4&amp;", *",集計用!$G:$G,"*, "&amp;$C16&amp;", *")/$B16*100</f>
        <v>0</v>
      </c>
    </row>
    <row r="17" spans="1:35" ht="15.75" customHeight="1">
      <c r="A17" s="39">
        <v>2</v>
      </c>
      <c r="B17" s="39">
        <f>(COUNTIFS(集計用!$G:$G,"*, "&amp;$C17&amp;",*",集計用!$T:$T, "&lt;&gt;無回答"))</f>
        <v>60</v>
      </c>
      <c r="C17" s="42" t="s">
        <v>11</v>
      </c>
      <c r="D17" s="41">
        <f>COUNTIFS(集計用!$S:$S, "*"&amp;D$4&amp;", *",集計用!$G:$G,"*, "&amp;$C17&amp;", *")/$B17*100</f>
        <v>6.666666666666667</v>
      </c>
      <c r="E17" s="41">
        <f>COUNTIFS(集計用!$S:$S, "*"&amp;E$4&amp;", *",集計用!$G:$G,"*, "&amp;$C17&amp;", *")/$B17*100</f>
        <v>0</v>
      </c>
      <c r="F17" s="41">
        <f>COUNTIFS(集計用!$S:$S, "*"&amp;F$4&amp;", *",集計用!$G:$G,"*, "&amp;$C17&amp;", *")/$B17*100</f>
        <v>0</v>
      </c>
      <c r="G17" s="41">
        <f>COUNTIFS(集計用!$S:$S, "*"&amp;G$4&amp;", *",集計用!$G:$G,"*, "&amp;$C17&amp;", *")/$B17*100</f>
        <v>0</v>
      </c>
      <c r="H17" s="41">
        <f>COUNTIFS(集計用!$S:$S, "*"&amp;H$4&amp;", *",集計用!$G:$G,"*, "&amp;$C17&amp;", *")/$B17*100</f>
        <v>0</v>
      </c>
      <c r="I17" s="41">
        <f>COUNTIFS(集計用!$S:$S, "*"&amp;I$4&amp;", *",集計用!$G:$G,"*, "&amp;$C17&amp;", *")/$B17*100</f>
        <v>0</v>
      </c>
      <c r="J17" s="41">
        <f>COUNTIFS(集計用!$S:$S, "*"&amp;J$4&amp;", *",集計用!$G:$G,"*, "&amp;$C17&amp;", *")/$B17*100</f>
        <v>0</v>
      </c>
      <c r="K17" s="41">
        <f>COUNTIFS(集計用!$S:$S, "*"&amp;K$4&amp;", *",集計用!$G:$G,"*, "&amp;$C17&amp;", *")/$B17*100</f>
        <v>0</v>
      </c>
      <c r="L17" s="41">
        <f>COUNTIFS(集計用!$S:$S, "*"&amp;L$4&amp;", *",集計用!$G:$G,"*, "&amp;$C17&amp;", *")/$B17*100</f>
        <v>0</v>
      </c>
      <c r="M17" s="41">
        <f>COUNTIFS(集計用!$S:$S, "*"&amp;M$4&amp;", *",集計用!$G:$G,"*, "&amp;$C17&amp;", *")/$B17*100</f>
        <v>0</v>
      </c>
      <c r="N17" s="41">
        <f>COUNTIFS(集計用!$S:$S, "*"&amp;N$4&amp;", *",集計用!$G:$G,"*, "&amp;$C17&amp;", *")/$B17*100</f>
        <v>0</v>
      </c>
      <c r="O17" s="41">
        <f>COUNTIFS(集計用!$S:$S, "*"&amp;O$4&amp;", *",集計用!$G:$G,"*, "&amp;$C17&amp;", *")/$B17*100</f>
        <v>0</v>
      </c>
      <c r="P17" s="41">
        <f>COUNTIFS(集計用!$S:$S, "*"&amp;P$4&amp;", *",集計用!$G:$G,"*, "&amp;$C17&amp;", *")/$B17*100</f>
        <v>0</v>
      </c>
      <c r="Q17" s="41">
        <f>COUNTIFS(集計用!$S:$S, "*"&amp;Q$4&amp;", *",集計用!$G:$G,"*, "&amp;$C17&amp;", *")/$B17*100</f>
        <v>0</v>
      </c>
      <c r="R17" s="41">
        <f>COUNTIFS(集計用!$S:$S, "*"&amp;R$4&amp;", *",集計用!$G:$G,"*, "&amp;$C17&amp;", *")/$B17*100</f>
        <v>0</v>
      </c>
      <c r="S17" s="41">
        <f>COUNTIFS(集計用!$S:$S, "*"&amp;S$4&amp;", *",集計用!$G:$G,"*, "&amp;$C17&amp;", *")/$B17*100</f>
        <v>0</v>
      </c>
      <c r="T17" s="41">
        <f>COUNTIFS(集計用!$S:$S, "*"&amp;T$4&amp;", *",集計用!$G:$G,"*, "&amp;$C17&amp;", *")/$B17*100</f>
        <v>0</v>
      </c>
      <c r="U17" s="41">
        <f>COUNTIFS(集計用!$S:$S, "*"&amp;U$4&amp;", *",集計用!$G:$G,"*, "&amp;$C17&amp;", *")/$B17*100</f>
        <v>0</v>
      </c>
      <c r="V17" s="41">
        <f>COUNTIFS(集計用!$S:$S, "*"&amp;V$4&amp;", *",集計用!$G:$G,"*, "&amp;$C17&amp;", *")/$B17*100</f>
        <v>0</v>
      </c>
      <c r="W17" s="41">
        <f>COUNTIFS(集計用!$S:$S, "*"&amp;W$4&amp;", *",集計用!$G:$G,"*, "&amp;$C17&amp;", *")/$B17*100</f>
        <v>0</v>
      </c>
      <c r="X17" s="41">
        <f>COUNTIFS(集計用!$S:$S, "*"&amp;X$4&amp;", *",集計用!$G:$G,"*, "&amp;$C17&amp;", *")/$B17*100</f>
        <v>0</v>
      </c>
      <c r="Y17" s="41">
        <f>COUNTIFS(集計用!$S:$S, "*"&amp;Y$4&amp;", *",集計用!$G:$G,"*, "&amp;$C17&amp;", *")/$B17*100</f>
        <v>0</v>
      </c>
      <c r="Z17" s="41">
        <f>COUNTIFS(集計用!$S:$S, "*"&amp;Z$4&amp;", *",集計用!$G:$G,"*, "&amp;$C17&amp;", *")/$B17*100</f>
        <v>0</v>
      </c>
      <c r="AA17" s="41">
        <f>COUNTIFS(集計用!$S:$S, "*"&amp;AA$4&amp;", *",集計用!$G:$G,"*, "&amp;$C17&amp;", *")/$B17*100</f>
        <v>0</v>
      </c>
      <c r="AB17" s="41">
        <f>COUNTIFS(集計用!$S:$S, "*"&amp;AB$4&amp;", *",集計用!$G:$G,"*, "&amp;$C17&amp;", *")/$B17*100</f>
        <v>0</v>
      </c>
      <c r="AC17" s="41">
        <f>COUNTIFS(集計用!$S:$S, "*"&amp;AC$4&amp;", *",集計用!$G:$G,"*, "&amp;$C17&amp;", *")/$B17*100</f>
        <v>6.666666666666667</v>
      </c>
      <c r="AD17" s="41">
        <f>COUNTIFS(集計用!$S:$S, "*"&amp;AD$4&amp;", *",集計用!$G:$G,"*, "&amp;$C17&amp;", *")/$B17*100</f>
        <v>0</v>
      </c>
      <c r="AE17" s="41">
        <f>COUNTIFS(集計用!$S:$S, "*"&amp;AE$4&amp;", *",集計用!$G:$G,"*, "&amp;$C17&amp;", *")/$B17*100</f>
        <v>0</v>
      </c>
      <c r="AF17" s="41">
        <f>COUNTIFS(集計用!$S:$S, "*"&amp;AF$4&amp;", *",集計用!$G:$G,"*, "&amp;$C17&amp;", *")/$B17*100</f>
        <v>0</v>
      </c>
      <c r="AG17" s="41">
        <f>COUNTIFS(集計用!$S:$S, "*"&amp;AG$4&amp;", *",集計用!$G:$G,"*, "&amp;$C17&amp;", *")/$B17*100</f>
        <v>0</v>
      </c>
      <c r="AH17" s="41">
        <f>COUNTIFS(集計用!$S:$S, "*"&amp;AH$4&amp;", *",集計用!$G:$G,"*, "&amp;$C17&amp;", *")/$B17*100</f>
        <v>0</v>
      </c>
      <c r="AI17" s="41">
        <f>COUNTIFS(集計用!$S:$S, "*"&amp;AI$4&amp;", *",集計用!$G:$G,"*, "&amp;$C17&amp;", *")/$B17*100</f>
        <v>0</v>
      </c>
    </row>
    <row r="18" spans="1:35" ht="15.75" customHeight="1">
      <c r="A18" s="39">
        <v>6</v>
      </c>
      <c r="B18" s="39">
        <f>(COUNTIFS(集計用!$G:$G,"*, "&amp;$C18&amp;",*",集計用!$T:$T, "&lt;&gt;無回答"))</f>
        <v>57</v>
      </c>
      <c r="C18" s="42" t="s">
        <v>12</v>
      </c>
      <c r="D18" s="41">
        <f>COUNTIFS(集計用!$S:$S, "*"&amp;D$4&amp;", *",集計用!$G:$G,"*, "&amp;$C18&amp;", *")/$B18*100</f>
        <v>1.7543859649122806</v>
      </c>
      <c r="E18" s="41">
        <f>COUNTIFS(集計用!$S:$S, "*"&amp;E$4&amp;", *",集計用!$G:$G,"*, "&amp;$C18&amp;", *")/$B18*100</f>
        <v>0</v>
      </c>
      <c r="F18" s="41">
        <f>COUNTIFS(集計用!$S:$S, "*"&amp;F$4&amp;", *",集計用!$G:$G,"*, "&amp;$C18&amp;", *")/$B18*100</f>
        <v>0</v>
      </c>
      <c r="G18" s="41">
        <f>COUNTIFS(集計用!$S:$S, "*"&amp;G$4&amp;", *",集計用!$G:$G,"*, "&amp;$C18&amp;", *")/$B18*100</f>
        <v>0</v>
      </c>
      <c r="H18" s="41">
        <f>COUNTIFS(集計用!$S:$S, "*"&amp;H$4&amp;", *",集計用!$G:$G,"*, "&amp;$C18&amp;", *")/$B18*100</f>
        <v>0</v>
      </c>
      <c r="I18" s="41">
        <f>COUNTIFS(集計用!$S:$S, "*"&amp;I$4&amp;", *",集計用!$G:$G,"*, "&amp;$C18&amp;", *")/$B18*100</f>
        <v>0</v>
      </c>
      <c r="J18" s="41">
        <f>COUNTIFS(集計用!$S:$S, "*"&amp;J$4&amp;", *",集計用!$G:$G,"*, "&amp;$C18&amp;", *")/$B18*100</f>
        <v>0</v>
      </c>
      <c r="K18" s="41">
        <f>COUNTIFS(集計用!$S:$S, "*"&amp;K$4&amp;", *",集計用!$G:$G,"*, "&amp;$C18&amp;", *")/$B18*100</f>
        <v>0</v>
      </c>
      <c r="L18" s="41">
        <f>COUNTIFS(集計用!$S:$S, "*"&amp;L$4&amp;", *",集計用!$G:$G,"*, "&amp;$C18&amp;", *")/$B18*100</f>
        <v>0</v>
      </c>
      <c r="M18" s="41">
        <f>COUNTIFS(集計用!$S:$S, "*"&amp;M$4&amp;", *",集計用!$G:$G,"*, "&amp;$C18&amp;", *")/$B18*100</f>
        <v>0</v>
      </c>
      <c r="N18" s="41">
        <f>COUNTIFS(集計用!$S:$S, "*"&amp;N$4&amp;", *",集計用!$G:$G,"*, "&amp;$C18&amp;", *")/$B18*100</f>
        <v>0</v>
      </c>
      <c r="O18" s="41">
        <f>COUNTIFS(集計用!$S:$S, "*"&amp;O$4&amp;", *",集計用!$G:$G,"*, "&amp;$C18&amp;", *")/$B18*100</f>
        <v>0</v>
      </c>
      <c r="P18" s="41">
        <f>COUNTIFS(集計用!$S:$S, "*"&amp;P$4&amp;", *",集計用!$G:$G,"*, "&amp;$C18&amp;", *")/$B18*100</f>
        <v>0</v>
      </c>
      <c r="Q18" s="41">
        <f>COUNTIFS(集計用!$S:$S, "*"&amp;Q$4&amp;", *",集計用!$G:$G,"*, "&amp;$C18&amp;", *")/$B18*100</f>
        <v>0</v>
      </c>
      <c r="R18" s="41">
        <f>COUNTIFS(集計用!$S:$S, "*"&amp;R$4&amp;", *",集計用!$G:$G,"*, "&amp;$C18&amp;", *")/$B18*100</f>
        <v>0</v>
      </c>
      <c r="S18" s="41">
        <f>COUNTIFS(集計用!$S:$S, "*"&amp;S$4&amp;", *",集計用!$G:$G,"*, "&amp;$C18&amp;", *")/$B18*100</f>
        <v>0</v>
      </c>
      <c r="T18" s="41">
        <f>COUNTIFS(集計用!$S:$S, "*"&amp;T$4&amp;", *",集計用!$G:$G,"*, "&amp;$C18&amp;", *")/$B18*100</f>
        <v>0</v>
      </c>
      <c r="U18" s="41">
        <f>COUNTIFS(集計用!$S:$S, "*"&amp;U$4&amp;", *",集計用!$G:$G,"*, "&amp;$C18&amp;", *")/$B18*100</f>
        <v>0</v>
      </c>
      <c r="V18" s="41">
        <f>COUNTIFS(集計用!$S:$S, "*"&amp;V$4&amp;", *",集計用!$G:$G,"*, "&amp;$C18&amp;", *")/$B18*100</f>
        <v>0</v>
      </c>
      <c r="W18" s="41">
        <f>COUNTIFS(集計用!$S:$S, "*"&amp;W$4&amp;", *",集計用!$G:$G,"*, "&amp;$C18&amp;", *")/$B18*100</f>
        <v>0</v>
      </c>
      <c r="X18" s="41">
        <f>COUNTIFS(集計用!$S:$S, "*"&amp;X$4&amp;", *",集計用!$G:$G,"*, "&amp;$C18&amp;", *")/$B18*100</f>
        <v>0</v>
      </c>
      <c r="Y18" s="41">
        <f>COUNTIFS(集計用!$S:$S, "*"&amp;Y$4&amp;", *",集計用!$G:$G,"*, "&amp;$C18&amp;", *")/$B18*100</f>
        <v>0</v>
      </c>
      <c r="Z18" s="41">
        <f>COUNTIFS(集計用!$S:$S, "*"&amp;Z$4&amp;", *",集計用!$G:$G,"*, "&amp;$C18&amp;", *")/$B18*100</f>
        <v>0</v>
      </c>
      <c r="AA18" s="41">
        <f>COUNTIFS(集計用!$S:$S, "*"&amp;AA$4&amp;", *",集計用!$G:$G,"*, "&amp;$C18&amp;", *")/$B18*100</f>
        <v>1.7543859649122806</v>
      </c>
      <c r="AB18" s="41">
        <f>COUNTIFS(集計用!$S:$S, "*"&amp;AB$4&amp;", *",集計用!$G:$G,"*, "&amp;$C18&amp;", *")/$B18*100</f>
        <v>0</v>
      </c>
      <c r="AC18" s="41">
        <f>COUNTIFS(集計用!$S:$S, "*"&amp;AC$4&amp;", *",集計用!$G:$G,"*, "&amp;$C18&amp;", *")/$B18*100</f>
        <v>1.7543859649122806</v>
      </c>
      <c r="AD18" s="41">
        <f>COUNTIFS(集計用!$S:$S, "*"&amp;AD$4&amp;", *",集計用!$G:$G,"*, "&amp;$C18&amp;", *")/$B18*100</f>
        <v>0</v>
      </c>
      <c r="AE18" s="41">
        <f>COUNTIFS(集計用!$S:$S, "*"&amp;AE$4&amp;", *",集計用!$G:$G,"*, "&amp;$C18&amp;", *")/$B18*100</f>
        <v>0</v>
      </c>
      <c r="AF18" s="41">
        <f>COUNTIFS(集計用!$S:$S, "*"&amp;AF$4&amp;", *",集計用!$G:$G,"*, "&amp;$C18&amp;", *")/$B18*100</f>
        <v>0</v>
      </c>
      <c r="AG18" s="41">
        <f>COUNTIFS(集計用!$S:$S, "*"&amp;AG$4&amp;", *",集計用!$G:$G,"*, "&amp;$C18&amp;", *")/$B18*100</f>
        <v>1.7543859649122806</v>
      </c>
      <c r="AH18" s="41">
        <f>COUNTIFS(集計用!$S:$S, "*"&amp;AH$4&amp;", *",集計用!$G:$G,"*, "&amp;$C18&amp;", *")/$B18*100</f>
        <v>0</v>
      </c>
      <c r="AI18" s="41">
        <f>COUNTIFS(集計用!$S:$S, "*"&amp;AI$4&amp;", *",集計用!$G:$G,"*, "&amp;$C18&amp;", *")/$B18*100</f>
        <v>0</v>
      </c>
    </row>
    <row r="19" spans="1:35" ht="15.75" customHeight="1">
      <c r="A19" s="39">
        <v>6</v>
      </c>
      <c r="B19" s="39">
        <f>(COUNTIFS(集計用!$G:$G,"*, "&amp;$C19&amp;",*",集計用!$T:$T, "&lt;&gt;無回答"))</f>
        <v>54</v>
      </c>
      <c r="C19" s="42" t="s">
        <v>13</v>
      </c>
      <c r="D19" s="41">
        <f>COUNTIFS(集計用!$S:$S, "*"&amp;D$4&amp;", *",集計用!$G:$G,"*, "&amp;$C19&amp;", *")/$B19*100</f>
        <v>3.7037037037037033</v>
      </c>
      <c r="E19" s="41">
        <f>COUNTIFS(集計用!$S:$S, "*"&amp;E$4&amp;", *",集計用!$G:$G,"*, "&amp;$C19&amp;", *")/$B19*100</f>
        <v>0</v>
      </c>
      <c r="F19" s="41">
        <f>COUNTIFS(集計用!$S:$S, "*"&amp;F$4&amp;", *",集計用!$G:$G,"*, "&amp;$C19&amp;", *")/$B19*100</f>
        <v>0</v>
      </c>
      <c r="G19" s="41">
        <f>COUNTIFS(集計用!$S:$S, "*"&amp;G$4&amp;", *",集計用!$G:$G,"*, "&amp;$C19&amp;", *")/$B19*100</f>
        <v>0</v>
      </c>
      <c r="H19" s="41">
        <f>COUNTIFS(集計用!$S:$S, "*"&amp;H$4&amp;", *",集計用!$G:$G,"*, "&amp;$C19&amp;", *")/$B19*100</f>
        <v>0</v>
      </c>
      <c r="I19" s="41">
        <f>COUNTIFS(集計用!$S:$S, "*"&amp;I$4&amp;", *",集計用!$G:$G,"*, "&amp;$C19&amp;", *")/$B19*100</f>
        <v>0</v>
      </c>
      <c r="J19" s="41">
        <f>COUNTIFS(集計用!$S:$S, "*"&amp;J$4&amp;", *",集計用!$G:$G,"*, "&amp;$C19&amp;", *")/$B19*100</f>
        <v>0</v>
      </c>
      <c r="K19" s="41">
        <f>COUNTIFS(集計用!$S:$S, "*"&amp;K$4&amp;", *",集計用!$G:$G,"*, "&amp;$C19&amp;", *")/$B19*100</f>
        <v>0</v>
      </c>
      <c r="L19" s="41">
        <f>COUNTIFS(集計用!$S:$S, "*"&amp;L$4&amp;", *",集計用!$G:$G,"*, "&amp;$C19&amp;", *")/$B19*100</f>
        <v>0</v>
      </c>
      <c r="M19" s="41">
        <f>COUNTIFS(集計用!$S:$S, "*"&amp;M$4&amp;", *",集計用!$G:$G,"*, "&amp;$C19&amp;", *")/$B19*100</f>
        <v>0</v>
      </c>
      <c r="N19" s="41">
        <f>COUNTIFS(集計用!$S:$S, "*"&amp;N$4&amp;", *",集計用!$G:$G,"*, "&amp;$C19&amp;", *")/$B19*100</f>
        <v>0</v>
      </c>
      <c r="O19" s="41">
        <f>COUNTIFS(集計用!$S:$S, "*"&amp;O$4&amp;", *",集計用!$G:$G,"*, "&amp;$C19&amp;", *")/$B19*100</f>
        <v>0</v>
      </c>
      <c r="P19" s="41">
        <f>COUNTIFS(集計用!$S:$S, "*"&amp;P$4&amp;", *",集計用!$G:$G,"*, "&amp;$C19&amp;", *")/$B19*100</f>
        <v>0</v>
      </c>
      <c r="Q19" s="41">
        <f>COUNTIFS(集計用!$S:$S, "*"&amp;Q$4&amp;", *",集計用!$G:$G,"*, "&amp;$C19&amp;", *")/$B19*100</f>
        <v>0</v>
      </c>
      <c r="R19" s="41">
        <f>COUNTIFS(集計用!$S:$S, "*"&amp;R$4&amp;", *",集計用!$G:$G,"*, "&amp;$C19&amp;", *")/$B19*100</f>
        <v>0</v>
      </c>
      <c r="S19" s="41">
        <f>COUNTIFS(集計用!$S:$S, "*"&amp;S$4&amp;", *",集計用!$G:$G,"*, "&amp;$C19&amp;", *")/$B19*100</f>
        <v>0</v>
      </c>
      <c r="T19" s="41">
        <f>COUNTIFS(集計用!$S:$S, "*"&amp;T$4&amp;", *",集計用!$G:$G,"*, "&amp;$C19&amp;", *")/$B19*100</f>
        <v>0</v>
      </c>
      <c r="U19" s="41">
        <f>COUNTIFS(集計用!$S:$S, "*"&amp;U$4&amp;", *",集計用!$G:$G,"*, "&amp;$C19&amp;", *")/$B19*100</f>
        <v>0</v>
      </c>
      <c r="V19" s="41">
        <f>COUNTIFS(集計用!$S:$S, "*"&amp;V$4&amp;", *",集計用!$G:$G,"*, "&amp;$C19&amp;", *")/$B19*100</f>
        <v>0</v>
      </c>
      <c r="W19" s="41">
        <f>COUNTIFS(集計用!$S:$S, "*"&amp;W$4&amp;", *",集計用!$G:$G,"*, "&amp;$C19&amp;", *")/$B19*100</f>
        <v>0</v>
      </c>
      <c r="X19" s="41">
        <f>COUNTIFS(集計用!$S:$S, "*"&amp;X$4&amp;", *",集計用!$G:$G,"*, "&amp;$C19&amp;", *")/$B19*100</f>
        <v>0</v>
      </c>
      <c r="Y19" s="41">
        <f>COUNTIFS(集計用!$S:$S, "*"&amp;Y$4&amp;", *",集計用!$G:$G,"*, "&amp;$C19&amp;", *")/$B19*100</f>
        <v>0</v>
      </c>
      <c r="Z19" s="41">
        <f>COUNTIFS(集計用!$S:$S, "*"&amp;Z$4&amp;", *",集計用!$G:$G,"*, "&amp;$C19&amp;", *")/$B19*100</f>
        <v>0</v>
      </c>
      <c r="AA19" s="41">
        <f>COUNTIFS(集計用!$S:$S, "*"&amp;AA$4&amp;", *",集計用!$G:$G,"*, "&amp;$C19&amp;", *")/$B19*100</f>
        <v>0</v>
      </c>
      <c r="AB19" s="41">
        <f>COUNTIFS(集計用!$S:$S, "*"&amp;AB$4&amp;", *",集計用!$G:$G,"*, "&amp;$C19&amp;", *")/$B19*100</f>
        <v>0</v>
      </c>
      <c r="AC19" s="41">
        <f>COUNTIFS(集計用!$S:$S, "*"&amp;AC$4&amp;", *",集計用!$G:$G,"*, "&amp;$C19&amp;", *")/$B19*100</f>
        <v>3.7037037037037033</v>
      </c>
      <c r="AD19" s="41">
        <f>COUNTIFS(集計用!$S:$S, "*"&amp;AD$4&amp;", *",集計用!$G:$G,"*, "&amp;$C19&amp;", *")/$B19*100</f>
        <v>0</v>
      </c>
      <c r="AE19" s="41">
        <f>COUNTIFS(集計用!$S:$S, "*"&amp;AE$4&amp;", *",集計用!$G:$G,"*, "&amp;$C19&amp;", *")/$B19*100</f>
        <v>0</v>
      </c>
      <c r="AF19" s="41">
        <f>COUNTIFS(集計用!$S:$S, "*"&amp;AF$4&amp;", *",集計用!$G:$G,"*, "&amp;$C19&amp;", *")/$B19*100</f>
        <v>0</v>
      </c>
      <c r="AG19" s="41">
        <f>COUNTIFS(集計用!$S:$S, "*"&amp;AG$4&amp;", *",集計用!$G:$G,"*, "&amp;$C19&amp;", *")/$B19*100</f>
        <v>0</v>
      </c>
      <c r="AH19" s="41">
        <f>COUNTIFS(集計用!$S:$S, "*"&amp;AH$4&amp;", *",集計用!$G:$G,"*, "&amp;$C19&amp;", *")/$B19*100</f>
        <v>0</v>
      </c>
      <c r="AI19" s="41">
        <f>COUNTIFS(集計用!$S:$S, "*"&amp;AI$4&amp;", *",集計用!$G:$G,"*, "&amp;$C19&amp;", *")/$B19*100</f>
        <v>0</v>
      </c>
    </row>
    <row r="20" spans="1:35" ht="15.75" customHeight="1">
      <c r="A20" s="39">
        <v>4</v>
      </c>
      <c r="B20" s="39">
        <f>(COUNTIFS(集計用!$G:$G,"*, "&amp;$C20&amp;",*",集計用!$T:$T, "&lt;&gt;無回答"))</f>
        <v>49</v>
      </c>
      <c r="C20" s="42" t="s">
        <v>14</v>
      </c>
      <c r="D20" s="41">
        <f>COUNTIFS(集計用!$S:$S, "*"&amp;D$4&amp;", *",集計用!$G:$G,"*, "&amp;$C20&amp;", *")/$B20*100</f>
        <v>2.0408163265306123</v>
      </c>
      <c r="E20" s="41">
        <f>COUNTIFS(集計用!$S:$S, "*"&amp;E$4&amp;", *",集計用!$G:$G,"*, "&amp;$C20&amp;", *")/$B20*100</f>
        <v>0</v>
      </c>
      <c r="F20" s="41">
        <f>COUNTIFS(集計用!$S:$S, "*"&amp;F$4&amp;", *",集計用!$G:$G,"*, "&amp;$C20&amp;", *")/$B20*100</f>
        <v>0</v>
      </c>
      <c r="G20" s="41">
        <f>COUNTIFS(集計用!$S:$S, "*"&amp;G$4&amp;", *",集計用!$G:$G,"*, "&amp;$C20&amp;", *")/$B20*100</f>
        <v>0</v>
      </c>
      <c r="H20" s="41">
        <f>COUNTIFS(集計用!$S:$S, "*"&amp;H$4&amp;", *",集計用!$G:$G,"*, "&amp;$C20&amp;", *")/$B20*100</f>
        <v>0</v>
      </c>
      <c r="I20" s="41">
        <f>COUNTIFS(集計用!$S:$S, "*"&amp;I$4&amp;", *",集計用!$G:$G,"*, "&amp;$C20&amp;", *")/$B20*100</f>
        <v>0</v>
      </c>
      <c r="J20" s="41">
        <f>COUNTIFS(集計用!$S:$S, "*"&amp;J$4&amp;", *",集計用!$G:$G,"*, "&amp;$C20&amp;", *")/$B20*100</f>
        <v>0</v>
      </c>
      <c r="K20" s="41">
        <f>COUNTIFS(集計用!$S:$S, "*"&amp;K$4&amp;", *",集計用!$G:$G,"*, "&amp;$C20&amp;", *")/$B20*100</f>
        <v>0</v>
      </c>
      <c r="L20" s="41">
        <f>COUNTIFS(集計用!$S:$S, "*"&amp;L$4&amp;", *",集計用!$G:$G,"*, "&amp;$C20&amp;", *")/$B20*100</f>
        <v>0</v>
      </c>
      <c r="M20" s="41">
        <f>COUNTIFS(集計用!$S:$S, "*"&amp;M$4&amp;", *",集計用!$G:$G,"*, "&amp;$C20&amp;", *")/$B20*100</f>
        <v>0</v>
      </c>
      <c r="N20" s="41">
        <f>COUNTIFS(集計用!$S:$S, "*"&amp;N$4&amp;", *",集計用!$G:$G,"*, "&amp;$C20&amp;", *")/$B20*100</f>
        <v>0</v>
      </c>
      <c r="O20" s="41">
        <f>COUNTIFS(集計用!$S:$S, "*"&amp;O$4&amp;", *",集計用!$G:$G,"*, "&amp;$C20&amp;", *")/$B20*100</f>
        <v>0</v>
      </c>
      <c r="P20" s="41">
        <f>COUNTIFS(集計用!$S:$S, "*"&amp;P$4&amp;", *",集計用!$G:$G,"*, "&amp;$C20&amp;", *")/$B20*100</f>
        <v>0</v>
      </c>
      <c r="Q20" s="41">
        <f>COUNTIFS(集計用!$S:$S, "*"&amp;Q$4&amp;", *",集計用!$G:$G,"*, "&amp;$C20&amp;", *")/$B20*100</f>
        <v>0</v>
      </c>
      <c r="R20" s="41">
        <f>COUNTIFS(集計用!$S:$S, "*"&amp;R$4&amp;", *",集計用!$G:$G,"*, "&amp;$C20&amp;", *")/$B20*100</f>
        <v>0</v>
      </c>
      <c r="S20" s="41">
        <f>COUNTIFS(集計用!$S:$S, "*"&amp;S$4&amp;", *",集計用!$G:$G,"*, "&amp;$C20&amp;", *")/$B20*100</f>
        <v>0</v>
      </c>
      <c r="T20" s="41">
        <f>COUNTIFS(集計用!$S:$S, "*"&amp;T$4&amp;", *",集計用!$G:$G,"*, "&amp;$C20&amp;", *")/$B20*100</f>
        <v>0</v>
      </c>
      <c r="U20" s="41">
        <f>COUNTIFS(集計用!$S:$S, "*"&amp;U$4&amp;", *",集計用!$G:$G,"*, "&amp;$C20&amp;", *")/$B20*100</f>
        <v>0</v>
      </c>
      <c r="V20" s="41">
        <f>COUNTIFS(集計用!$S:$S, "*"&amp;V$4&amp;", *",集計用!$G:$G,"*, "&amp;$C20&amp;", *")/$B20*100</f>
        <v>0</v>
      </c>
      <c r="W20" s="41">
        <f>COUNTIFS(集計用!$S:$S, "*"&amp;W$4&amp;", *",集計用!$G:$G,"*, "&amp;$C20&amp;", *")/$B20*100</f>
        <v>0</v>
      </c>
      <c r="X20" s="41">
        <f>COUNTIFS(集計用!$S:$S, "*"&amp;X$4&amp;", *",集計用!$G:$G,"*, "&amp;$C20&amp;", *")/$B20*100</f>
        <v>0</v>
      </c>
      <c r="Y20" s="41">
        <f>COUNTIFS(集計用!$S:$S, "*"&amp;Y$4&amp;", *",集計用!$G:$G,"*, "&amp;$C20&amp;", *")/$B20*100</f>
        <v>0</v>
      </c>
      <c r="Z20" s="41">
        <f>COUNTIFS(集計用!$S:$S, "*"&amp;Z$4&amp;", *",集計用!$G:$G,"*, "&amp;$C20&amp;", *")/$B20*100</f>
        <v>0</v>
      </c>
      <c r="AA20" s="41">
        <f>COUNTIFS(集計用!$S:$S, "*"&amp;AA$4&amp;", *",集計用!$G:$G,"*, "&amp;$C20&amp;", *")/$B20*100</f>
        <v>0</v>
      </c>
      <c r="AB20" s="41">
        <f>COUNTIFS(集計用!$S:$S, "*"&amp;AB$4&amp;", *",集計用!$G:$G,"*, "&amp;$C20&amp;", *")/$B20*100</f>
        <v>0</v>
      </c>
      <c r="AC20" s="41">
        <f>COUNTIFS(集計用!$S:$S, "*"&amp;AC$4&amp;", *",集計用!$G:$G,"*, "&amp;$C20&amp;", *")/$B20*100</f>
        <v>2.0408163265306123</v>
      </c>
      <c r="AD20" s="41">
        <f>COUNTIFS(集計用!$S:$S, "*"&amp;AD$4&amp;", *",集計用!$G:$G,"*, "&amp;$C20&amp;", *")/$B20*100</f>
        <v>0</v>
      </c>
      <c r="AE20" s="41">
        <f>COUNTIFS(集計用!$S:$S, "*"&amp;AE$4&amp;", *",集計用!$G:$G,"*, "&amp;$C20&amp;", *")/$B20*100</f>
        <v>0</v>
      </c>
      <c r="AF20" s="41">
        <f>COUNTIFS(集計用!$S:$S, "*"&amp;AF$4&amp;", *",集計用!$G:$G,"*, "&amp;$C20&amp;", *")/$B20*100</f>
        <v>0</v>
      </c>
      <c r="AG20" s="41">
        <f>COUNTIFS(集計用!$S:$S, "*"&amp;AG$4&amp;", *",集計用!$G:$G,"*, "&amp;$C20&amp;", *")/$B20*100</f>
        <v>0</v>
      </c>
      <c r="AH20" s="41">
        <f>COUNTIFS(集計用!$S:$S, "*"&amp;AH$4&amp;", *",集計用!$G:$G,"*, "&amp;$C20&amp;", *")/$B20*100</f>
        <v>0</v>
      </c>
      <c r="AI20" s="41">
        <f>COUNTIFS(集計用!$S:$S, "*"&amp;AI$4&amp;", *",集計用!$G:$G,"*, "&amp;$C20&amp;", *")/$B20*100</f>
        <v>0</v>
      </c>
    </row>
    <row r="21" spans="1:35" ht="15.75" customHeight="1">
      <c r="A21" s="39">
        <v>3</v>
      </c>
      <c r="B21" s="39">
        <f>(COUNTIFS(集計用!$G:$G,"*, "&amp;$C21&amp;",*",集計用!$T:$T, "&lt;&gt;無回答"))</f>
        <v>48</v>
      </c>
      <c r="C21" s="42" t="s">
        <v>15</v>
      </c>
      <c r="D21" s="41">
        <f>COUNTIFS(集計用!$S:$S, "*"&amp;D$4&amp;", *",集計用!$G:$G,"*, "&amp;$C21&amp;", *")/$B21*100</f>
        <v>4.1666666666666661</v>
      </c>
      <c r="E21" s="41">
        <f>COUNTIFS(集計用!$S:$S, "*"&amp;E$4&amp;", *",集計用!$G:$G,"*, "&amp;$C21&amp;", *")/$B21*100</f>
        <v>0</v>
      </c>
      <c r="F21" s="41">
        <f>COUNTIFS(集計用!$S:$S, "*"&amp;F$4&amp;", *",集計用!$G:$G,"*, "&amp;$C21&amp;", *")/$B21*100</f>
        <v>0</v>
      </c>
      <c r="G21" s="41">
        <f>COUNTIFS(集計用!$S:$S, "*"&amp;G$4&amp;", *",集計用!$G:$G,"*, "&amp;$C21&amp;", *")/$B21*100</f>
        <v>0</v>
      </c>
      <c r="H21" s="41">
        <f>COUNTIFS(集計用!$S:$S, "*"&amp;H$4&amp;", *",集計用!$G:$G,"*, "&amp;$C21&amp;", *")/$B21*100</f>
        <v>0</v>
      </c>
      <c r="I21" s="41">
        <f>COUNTIFS(集計用!$S:$S, "*"&amp;I$4&amp;", *",集計用!$G:$G,"*, "&amp;$C21&amp;", *")/$B21*100</f>
        <v>0</v>
      </c>
      <c r="J21" s="41">
        <f>COUNTIFS(集計用!$S:$S, "*"&amp;J$4&amp;", *",集計用!$G:$G,"*, "&amp;$C21&amp;", *")/$B21*100</f>
        <v>0</v>
      </c>
      <c r="K21" s="41">
        <f>COUNTIFS(集計用!$S:$S, "*"&amp;K$4&amp;", *",集計用!$G:$G,"*, "&amp;$C21&amp;", *")/$B21*100</f>
        <v>0</v>
      </c>
      <c r="L21" s="41">
        <f>COUNTIFS(集計用!$S:$S, "*"&amp;L$4&amp;", *",集計用!$G:$G,"*, "&amp;$C21&amp;", *")/$B21*100</f>
        <v>2.083333333333333</v>
      </c>
      <c r="M21" s="41">
        <f>COUNTIFS(集計用!$S:$S, "*"&amp;M$4&amp;", *",集計用!$G:$G,"*, "&amp;$C21&amp;", *")/$B21*100</f>
        <v>0</v>
      </c>
      <c r="N21" s="41">
        <f>COUNTIFS(集計用!$S:$S, "*"&amp;N$4&amp;", *",集計用!$G:$G,"*, "&amp;$C21&amp;", *")/$B21*100</f>
        <v>0</v>
      </c>
      <c r="O21" s="41">
        <f>COUNTIFS(集計用!$S:$S, "*"&amp;O$4&amp;", *",集計用!$G:$G,"*, "&amp;$C21&amp;", *")/$B21*100</f>
        <v>0</v>
      </c>
      <c r="P21" s="41">
        <f>COUNTIFS(集計用!$S:$S, "*"&amp;P$4&amp;", *",集計用!$G:$G,"*, "&amp;$C21&amp;", *")/$B21*100</f>
        <v>0</v>
      </c>
      <c r="Q21" s="41">
        <f>COUNTIFS(集計用!$S:$S, "*"&amp;Q$4&amp;", *",集計用!$G:$G,"*, "&amp;$C21&amp;", *")/$B21*100</f>
        <v>0</v>
      </c>
      <c r="R21" s="41">
        <f>COUNTIFS(集計用!$S:$S, "*"&amp;R$4&amp;", *",集計用!$G:$G,"*, "&amp;$C21&amp;", *")/$B21*100</f>
        <v>0</v>
      </c>
      <c r="S21" s="41">
        <f>COUNTIFS(集計用!$S:$S, "*"&amp;S$4&amp;", *",集計用!$G:$G,"*, "&amp;$C21&amp;", *")/$B21*100</f>
        <v>0</v>
      </c>
      <c r="T21" s="41">
        <f>COUNTIFS(集計用!$S:$S, "*"&amp;T$4&amp;", *",集計用!$G:$G,"*, "&amp;$C21&amp;", *")/$B21*100</f>
        <v>0</v>
      </c>
      <c r="U21" s="41">
        <f>COUNTIFS(集計用!$S:$S, "*"&amp;U$4&amp;", *",集計用!$G:$G,"*, "&amp;$C21&amp;", *")/$B21*100</f>
        <v>0</v>
      </c>
      <c r="V21" s="41">
        <f>COUNTIFS(集計用!$S:$S, "*"&amp;V$4&amp;", *",集計用!$G:$G,"*, "&amp;$C21&amp;", *")/$B21*100</f>
        <v>0</v>
      </c>
      <c r="W21" s="41">
        <f>COUNTIFS(集計用!$S:$S, "*"&amp;W$4&amp;", *",集計用!$G:$G,"*, "&amp;$C21&amp;", *")/$B21*100</f>
        <v>0</v>
      </c>
      <c r="X21" s="41">
        <f>COUNTIFS(集計用!$S:$S, "*"&amp;X$4&amp;", *",集計用!$G:$G,"*, "&amp;$C21&amp;", *")/$B21*100</f>
        <v>0</v>
      </c>
      <c r="Y21" s="41">
        <f>COUNTIFS(集計用!$S:$S, "*"&amp;Y$4&amp;", *",集計用!$G:$G,"*, "&amp;$C21&amp;", *")/$B21*100</f>
        <v>0</v>
      </c>
      <c r="Z21" s="41">
        <f>COUNTIFS(集計用!$S:$S, "*"&amp;Z$4&amp;", *",集計用!$G:$G,"*, "&amp;$C21&amp;", *")/$B21*100</f>
        <v>0</v>
      </c>
      <c r="AA21" s="41">
        <f>COUNTIFS(集計用!$S:$S, "*"&amp;AA$4&amp;", *",集計用!$G:$G,"*, "&amp;$C21&amp;", *")/$B21*100</f>
        <v>2.083333333333333</v>
      </c>
      <c r="AB21" s="41">
        <f>COUNTIFS(集計用!$S:$S, "*"&amp;AB$4&amp;", *",集計用!$G:$G,"*, "&amp;$C21&amp;", *")/$B21*100</f>
        <v>0</v>
      </c>
      <c r="AC21" s="41">
        <f>COUNTIFS(集計用!$S:$S, "*"&amp;AC$4&amp;", *",集計用!$G:$G,"*, "&amp;$C21&amp;", *")/$B21*100</f>
        <v>4.1666666666666661</v>
      </c>
      <c r="AD21" s="41">
        <f>COUNTIFS(集計用!$S:$S, "*"&amp;AD$4&amp;", *",集計用!$G:$G,"*, "&amp;$C21&amp;", *")/$B21*100</f>
        <v>0</v>
      </c>
      <c r="AE21" s="41">
        <f>COUNTIFS(集計用!$S:$S, "*"&amp;AE$4&amp;", *",集計用!$G:$G,"*, "&amp;$C21&amp;", *")/$B21*100</f>
        <v>0</v>
      </c>
      <c r="AF21" s="41">
        <f>COUNTIFS(集計用!$S:$S, "*"&amp;AF$4&amp;", *",集計用!$G:$G,"*, "&amp;$C21&amp;", *")/$B21*100</f>
        <v>0</v>
      </c>
      <c r="AG21" s="41">
        <f>COUNTIFS(集計用!$S:$S, "*"&amp;AG$4&amp;", *",集計用!$G:$G,"*, "&amp;$C21&amp;", *")/$B21*100</f>
        <v>2.083333333333333</v>
      </c>
      <c r="AH21" s="41">
        <f>COUNTIFS(集計用!$S:$S, "*"&amp;AH$4&amp;", *",集計用!$G:$G,"*, "&amp;$C21&amp;", *")/$B21*100</f>
        <v>0</v>
      </c>
      <c r="AI21" s="41">
        <f>COUNTIFS(集計用!$S:$S, "*"&amp;AI$4&amp;", *",集計用!$G:$G,"*, "&amp;$C21&amp;", *")/$B21*100</f>
        <v>0</v>
      </c>
    </row>
    <row r="22" spans="1:35" ht="15.75" customHeight="1">
      <c r="A22" s="39">
        <v>5</v>
      </c>
      <c r="B22" s="39">
        <f>(COUNTIFS(集計用!$G:$G,"*, "&amp;$C22&amp;",*",集計用!$T:$T, "&lt;&gt;無回答"))</f>
        <v>46</v>
      </c>
      <c r="C22" s="42" t="s">
        <v>16</v>
      </c>
      <c r="D22" s="41">
        <f>COUNTIFS(集計用!$S:$S, "*"&amp;D$4&amp;", *",集計用!$G:$G,"*, "&amp;$C22&amp;", *")/$B22*100</f>
        <v>2.1739130434782608</v>
      </c>
      <c r="E22" s="41">
        <f>COUNTIFS(集計用!$S:$S, "*"&amp;E$4&amp;", *",集計用!$G:$G,"*, "&amp;$C22&amp;", *")/$B22*100</f>
        <v>0</v>
      </c>
      <c r="F22" s="41">
        <f>COUNTIFS(集計用!$S:$S, "*"&amp;F$4&amp;", *",集計用!$G:$G,"*, "&amp;$C22&amp;", *")/$B22*100</f>
        <v>0</v>
      </c>
      <c r="G22" s="41">
        <f>COUNTIFS(集計用!$S:$S, "*"&amp;G$4&amp;", *",集計用!$G:$G,"*, "&amp;$C22&amp;", *")/$B22*100</f>
        <v>0</v>
      </c>
      <c r="H22" s="41">
        <f>COUNTIFS(集計用!$S:$S, "*"&amp;H$4&amp;", *",集計用!$G:$G,"*, "&amp;$C22&amp;", *")/$B22*100</f>
        <v>0</v>
      </c>
      <c r="I22" s="41">
        <f>COUNTIFS(集計用!$S:$S, "*"&amp;I$4&amp;", *",集計用!$G:$G,"*, "&amp;$C22&amp;", *")/$B22*100</f>
        <v>0</v>
      </c>
      <c r="J22" s="41">
        <f>COUNTIFS(集計用!$S:$S, "*"&amp;J$4&amp;", *",集計用!$G:$G,"*, "&amp;$C22&amp;", *")/$B22*100</f>
        <v>0</v>
      </c>
      <c r="K22" s="41">
        <f>COUNTIFS(集計用!$S:$S, "*"&amp;K$4&amp;", *",集計用!$G:$G,"*, "&amp;$C22&amp;", *")/$B22*100</f>
        <v>0</v>
      </c>
      <c r="L22" s="41">
        <f>COUNTIFS(集計用!$S:$S, "*"&amp;L$4&amp;", *",集計用!$G:$G,"*, "&amp;$C22&amp;", *")/$B22*100</f>
        <v>0</v>
      </c>
      <c r="M22" s="41">
        <f>COUNTIFS(集計用!$S:$S, "*"&amp;M$4&amp;", *",集計用!$G:$G,"*, "&amp;$C22&amp;", *")/$B22*100</f>
        <v>0</v>
      </c>
      <c r="N22" s="41">
        <f>COUNTIFS(集計用!$S:$S, "*"&amp;N$4&amp;", *",集計用!$G:$G,"*, "&amp;$C22&amp;", *")/$B22*100</f>
        <v>0</v>
      </c>
      <c r="O22" s="41">
        <f>COUNTIFS(集計用!$S:$S, "*"&amp;O$4&amp;", *",集計用!$G:$G,"*, "&amp;$C22&amp;", *")/$B22*100</f>
        <v>0</v>
      </c>
      <c r="P22" s="41">
        <f>COUNTIFS(集計用!$S:$S, "*"&amp;P$4&amp;", *",集計用!$G:$G,"*, "&amp;$C22&amp;", *")/$B22*100</f>
        <v>0</v>
      </c>
      <c r="Q22" s="41">
        <f>COUNTIFS(集計用!$S:$S, "*"&amp;Q$4&amp;", *",集計用!$G:$G,"*, "&amp;$C22&amp;", *")/$B22*100</f>
        <v>0</v>
      </c>
      <c r="R22" s="41">
        <f>COUNTIFS(集計用!$S:$S, "*"&amp;R$4&amp;", *",集計用!$G:$G,"*, "&amp;$C22&amp;", *")/$B22*100</f>
        <v>0</v>
      </c>
      <c r="S22" s="41">
        <f>COUNTIFS(集計用!$S:$S, "*"&amp;S$4&amp;", *",集計用!$G:$G,"*, "&amp;$C22&amp;", *")/$B22*100</f>
        <v>0</v>
      </c>
      <c r="T22" s="41">
        <f>COUNTIFS(集計用!$S:$S, "*"&amp;T$4&amp;", *",集計用!$G:$G,"*, "&amp;$C22&amp;", *")/$B22*100</f>
        <v>0</v>
      </c>
      <c r="U22" s="41">
        <f>COUNTIFS(集計用!$S:$S, "*"&amp;U$4&amp;", *",集計用!$G:$G,"*, "&amp;$C22&amp;", *")/$B22*100</f>
        <v>0</v>
      </c>
      <c r="V22" s="41">
        <f>COUNTIFS(集計用!$S:$S, "*"&amp;V$4&amp;", *",集計用!$G:$G,"*, "&amp;$C22&amp;", *")/$B22*100</f>
        <v>0</v>
      </c>
      <c r="W22" s="41">
        <f>COUNTIFS(集計用!$S:$S, "*"&amp;W$4&amp;", *",集計用!$G:$G,"*, "&amp;$C22&amp;", *")/$B22*100</f>
        <v>0</v>
      </c>
      <c r="X22" s="41">
        <f>COUNTIFS(集計用!$S:$S, "*"&amp;X$4&amp;", *",集計用!$G:$G,"*, "&amp;$C22&amp;", *")/$B22*100</f>
        <v>0</v>
      </c>
      <c r="Y22" s="41">
        <f>COUNTIFS(集計用!$S:$S, "*"&amp;Y$4&amp;", *",集計用!$G:$G,"*, "&amp;$C22&amp;", *")/$B22*100</f>
        <v>0</v>
      </c>
      <c r="Z22" s="41">
        <f>COUNTIFS(集計用!$S:$S, "*"&amp;Z$4&amp;", *",集計用!$G:$G,"*, "&amp;$C22&amp;", *")/$B22*100</f>
        <v>0</v>
      </c>
      <c r="AA22" s="41">
        <f>COUNTIFS(集計用!$S:$S, "*"&amp;AA$4&amp;", *",集計用!$G:$G,"*, "&amp;$C22&amp;", *")/$B22*100</f>
        <v>0</v>
      </c>
      <c r="AB22" s="41">
        <f>COUNTIFS(集計用!$S:$S, "*"&amp;AB$4&amp;", *",集計用!$G:$G,"*, "&amp;$C22&amp;", *")/$B22*100</f>
        <v>0</v>
      </c>
      <c r="AC22" s="41">
        <f>COUNTIFS(集計用!$S:$S, "*"&amp;AC$4&amp;", *",集計用!$G:$G,"*, "&amp;$C22&amp;", *")/$B22*100</f>
        <v>2.1739130434782608</v>
      </c>
      <c r="AD22" s="41">
        <f>COUNTIFS(集計用!$S:$S, "*"&amp;AD$4&amp;", *",集計用!$G:$G,"*, "&amp;$C22&amp;", *")/$B22*100</f>
        <v>0</v>
      </c>
      <c r="AE22" s="41">
        <f>COUNTIFS(集計用!$S:$S, "*"&amp;AE$4&amp;", *",集計用!$G:$G,"*, "&amp;$C22&amp;", *")/$B22*100</f>
        <v>0</v>
      </c>
      <c r="AF22" s="41">
        <f>COUNTIFS(集計用!$S:$S, "*"&amp;AF$4&amp;", *",集計用!$G:$G,"*, "&amp;$C22&amp;", *")/$B22*100</f>
        <v>0</v>
      </c>
      <c r="AG22" s="41">
        <f>COUNTIFS(集計用!$S:$S, "*"&amp;AG$4&amp;", *",集計用!$G:$G,"*, "&amp;$C22&amp;", *")/$B22*100</f>
        <v>0</v>
      </c>
      <c r="AH22" s="41">
        <f>COUNTIFS(集計用!$S:$S, "*"&amp;AH$4&amp;", *",集計用!$G:$G,"*, "&amp;$C22&amp;", *")/$B22*100</f>
        <v>0</v>
      </c>
      <c r="AI22" s="41">
        <f>COUNTIFS(集計用!$S:$S, "*"&amp;AI$4&amp;", *",集計用!$G:$G,"*, "&amp;$C22&amp;", *")/$B22*100</f>
        <v>0</v>
      </c>
    </row>
    <row r="23" spans="1:35" ht="15.75" customHeight="1">
      <c r="A23" s="39">
        <v>5</v>
      </c>
      <c r="B23" s="39">
        <f>(COUNTIFS(集計用!$G:$G,"*, "&amp;$C23&amp;",*",集計用!$T:$T, "&lt;&gt;無回答"))</f>
        <v>39</v>
      </c>
      <c r="C23" s="42" t="s">
        <v>17</v>
      </c>
      <c r="D23" s="41">
        <f>COUNTIFS(集計用!$S:$S, "*"&amp;D$4&amp;", *",集計用!$G:$G,"*, "&amp;$C23&amp;", *")/$B23*100</f>
        <v>2.5641025641025639</v>
      </c>
      <c r="E23" s="41">
        <f>COUNTIFS(集計用!$S:$S, "*"&amp;E$4&amp;", *",集計用!$G:$G,"*, "&amp;$C23&amp;", *")/$B23*100</f>
        <v>0</v>
      </c>
      <c r="F23" s="41">
        <f>COUNTIFS(集計用!$S:$S, "*"&amp;F$4&amp;", *",集計用!$G:$G,"*, "&amp;$C23&amp;", *")/$B23*100</f>
        <v>0</v>
      </c>
      <c r="G23" s="41">
        <f>COUNTIFS(集計用!$S:$S, "*"&amp;G$4&amp;", *",集計用!$G:$G,"*, "&amp;$C23&amp;", *")/$B23*100</f>
        <v>0</v>
      </c>
      <c r="H23" s="41">
        <f>COUNTIFS(集計用!$S:$S, "*"&amp;H$4&amp;", *",集計用!$G:$G,"*, "&amp;$C23&amp;", *")/$B23*100</f>
        <v>0</v>
      </c>
      <c r="I23" s="41">
        <f>COUNTIFS(集計用!$S:$S, "*"&amp;I$4&amp;", *",集計用!$G:$G,"*, "&amp;$C23&amp;", *")/$B23*100</f>
        <v>0</v>
      </c>
      <c r="J23" s="41">
        <f>COUNTIFS(集計用!$S:$S, "*"&amp;J$4&amp;", *",集計用!$G:$G,"*, "&amp;$C23&amp;", *")/$B23*100</f>
        <v>0</v>
      </c>
      <c r="K23" s="41">
        <f>COUNTIFS(集計用!$S:$S, "*"&amp;K$4&amp;", *",集計用!$G:$G,"*, "&amp;$C23&amp;", *")/$B23*100</f>
        <v>0</v>
      </c>
      <c r="L23" s="41">
        <f>COUNTIFS(集計用!$S:$S, "*"&amp;L$4&amp;", *",集計用!$G:$G,"*, "&amp;$C23&amp;", *")/$B23*100</f>
        <v>0</v>
      </c>
      <c r="M23" s="41">
        <f>COUNTIFS(集計用!$S:$S, "*"&amp;M$4&amp;", *",集計用!$G:$G,"*, "&amp;$C23&amp;", *")/$B23*100</f>
        <v>0</v>
      </c>
      <c r="N23" s="41">
        <f>COUNTIFS(集計用!$S:$S, "*"&amp;N$4&amp;", *",集計用!$G:$G,"*, "&amp;$C23&amp;", *")/$B23*100</f>
        <v>0</v>
      </c>
      <c r="O23" s="41">
        <f>COUNTIFS(集計用!$S:$S, "*"&amp;O$4&amp;", *",集計用!$G:$G,"*, "&amp;$C23&amp;", *")/$B23*100</f>
        <v>0</v>
      </c>
      <c r="P23" s="41">
        <f>COUNTIFS(集計用!$S:$S, "*"&amp;P$4&amp;", *",集計用!$G:$G,"*, "&amp;$C23&amp;", *")/$B23*100</f>
        <v>0</v>
      </c>
      <c r="Q23" s="41">
        <f>COUNTIFS(集計用!$S:$S, "*"&amp;Q$4&amp;", *",集計用!$G:$G,"*, "&amp;$C23&amp;", *")/$B23*100</f>
        <v>0</v>
      </c>
      <c r="R23" s="41">
        <f>COUNTIFS(集計用!$S:$S, "*"&amp;R$4&amp;", *",集計用!$G:$G,"*, "&amp;$C23&amp;", *")/$B23*100</f>
        <v>0</v>
      </c>
      <c r="S23" s="41">
        <f>COUNTIFS(集計用!$S:$S, "*"&amp;S$4&amp;", *",集計用!$G:$G,"*, "&amp;$C23&amp;", *")/$B23*100</f>
        <v>0</v>
      </c>
      <c r="T23" s="41">
        <f>COUNTIFS(集計用!$S:$S, "*"&amp;T$4&amp;", *",集計用!$G:$G,"*, "&amp;$C23&amp;", *")/$B23*100</f>
        <v>0</v>
      </c>
      <c r="U23" s="41">
        <f>COUNTIFS(集計用!$S:$S, "*"&amp;U$4&amp;", *",集計用!$G:$G,"*, "&amp;$C23&amp;", *")/$B23*100</f>
        <v>0</v>
      </c>
      <c r="V23" s="41">
        <f>COUNTIFS(集計用!$S:$S, "*"&amp;V$4&amp;", *",集計用!$G:$G,"*, "&amp;$C23&amp;", *")/$B23*100</f>
        <v>0</v>
      </c>
      <c r="W23" s="41">
        <f>COUNTIFS(集計用!$S:$S, "*"&amp;W$4&amp;", *",集計用!$G:$G,"*, "&amp;$C23&amp;", *")/$B23*100</f>
        <v>0</v>
      </c>
      <c r="X23" s="41">
        <f>COUNTIFS(集計用!$S:$S, "*"&amp;X$4&amp;", *",集計用!$G:$G,"*, "&amp;$C23&amp;", *")/$B23*100</f>
        <v>0</v>
      </c>
      <c r="Y23" s="41">
        <f>COUNTIFS(集計用!$S:$S, "*"&amp;Y$4&amp;", *",集計用!$G:$G,"*, "&amp;$C23&amp;", *")/$B23*100</f>
        <v>0</v>
      </c>
      <c r="Z23" s="41">
        <f>COUNTIFS(集計用!$S:$S, "*"&amp;Z$4&amp;", *",集計用!$G:$G,"*, "&amp;$C23&amp;", *")/$B23*100</f>
        <v>0</v>
      </c>
      <c r="AA23" s="41">
        <f>COUNTIFS(集計用!$S:$S, "*"&amp;AA$4&amp;", *",集計用!$G:$G,"*, "&amp;$C23&amp;", *")/$B23*100</f>
        <v>2.5641025641025639</v>
      </c>
      <c r="AB23" s="41">
        <f>COUNTIFS(集計用!$S:$S, "*"&amp;AB$4&amp;", *",集計用!$G:$G,"*, "&amp;$C23&amp;", *")/$B23*100</f>
        <v>0</v>
      </c>
      <c r="AC23" s="41">
        <f>COUNTIFS(集計用!$S:$S, "*"&amp;AC$4&amp;", *",集計用!$G:$G,"*, "&amp;$C23&amp;", *")/$B23*100</f>
        <v>2.5641025641025639</v>
      </c>
      <c r="AD23" s="41">
        <f>COUNTIFS(集計用!$S:$S, "*"&amp;AD$4&amp;", *",集計用!$G:$G,"*, "&amp;$C23&amp;", *")/$B23*100</f>
        <v>0</v>
      </c>
      <c r="AE23" s="41">
        <f>COUNTIFS(集計用!$S:$S, "*"&amp;AE$4&amp;", *",集計用!$G:$G,"*, "&amp;$C23&amp;", *")/$B23*100</f>
        <v>0</v>
      </c>
      <c r="AF23" s="41">
        <f>COUNTIFS(集計用!$S:$S, "*"&amp;AF$4&amp;", *",集計用!$G:$G,"*, "&amp;$C23&amp;", *")/$B23*100</f>
        <v>0</v>
      </c>
      <c r="AG23" s="41">
        <f>COUNTIFS(集計用!$S:$S, "*"&amp;AG$4&amp;", *",集計用!$G:$G,"*, "&amp;$C23&amp;", *")/$B23*100</f>
        <v>2.5641025641025639</v>
      </c>
      <c r="AH23" s="41">
        <f>COUNTIFS(集計用!$S:$S, "*"&amp;AH$4&amp;", *",集計用!$G:$G,"*, "&amp;$C23&amp;", *")/$B23*100</f>
        <v>0</v>
      </c>
      <c r="AI23" s="41">
        <f>COUNTIFS(集計用!$S:$S, "*"&amp;AI$4&amp;", *",集計用!$G:$G,"*, "&amp;$C23&amp;", *")/$B23*100</f>
        <v>0</v>
      </c>
    </row>
    <row r="24" spans="1:35" ht="15.75" customHeight="1">
      <c r="A24" s="39">
        <v>4</v>
      </c>
      <c r="B24" s="39">
        <f>(COUNTIFS(集計用!$G:$G,"*, "&amp;$C24&amp;",*",集計用!$T:$T, "&lt;&gt;無回答"))</f>
        <v>36</v>
      </c>
      <c r="C24" s="42" t="s">
        <v>18</v>
      </c>
      <c r="D24" s="41">
        <f>COUNTIFS(集計用!$S:$S, "*"&amp;D$4&amp;", *",集計用!$G:$G,"*, "&amp;$C24&amp;", *")/$B24*100</f>
        <v>2.7777777777777777</v>
      </c>
      <c r="E24" s="41">
        <f>COUNTIFS(集計用!$S:$S, "*"&amp;E$4&amp;", *",集計用!$G:$G,"*, "&amp;$C24&amp;", *")/$B24*100</f>
        <v>0</v>
      </c>
      <c r="F24" s="41">
        <f>COUNTIFS(集計用!$S:$S, "*"&amp;F$4&amp;", *",集計用!$G:$G,"*, "&amp;$C24&amp;", *")/$B24*100</f>
        <v>0</v>
      </c>
      <c r="G24" s="41">
        <f>COUNTIFS(集計用!$S:$S, "*"&amp;G$4&amp;", *",集計用!$G:$G,"*, "&amp;$C24&amp;", *")/$B24*100</f>
        <v>0</v>
      </c>
      <c r="H24" s="41">
        <f>COUNTIFS(集計用!$S:$S, "*"&amp;H$4&amp;", *",集計用!$G:$G,"*, "&amp;$C24&amp;", *")/$B24*100</f>
        <v>0</v>
      </c>
      <c r="I24" s="41">
        <f>COUNTIFS(集計用!$S:$S, "*"&amp;I$4&amp;", *",集計用!$G:$G,"*, "&amp;$C24&amp;", *")/$B24*100</f>
        <v>0</v>
      </c>
      <c r="J24" s="41">
        <f>COUNTIFS(集計用!$S:$S, "*"&amp;J$4&amp;", *",集計用!$G:$G,"*, "&amp;$C24&amp;", *")/$B24*100</f>
        <v>0</v>
      </c>
      <c r="K24" s="41">
        <f>COUNTIFS(集計用!$S:$S, "*"&amp;K$4&amp;", *",集計用!$G:$G,"*, "&amp;$C24&amp;", *")/$B24*100</f>
        <v>0</v>
      </c>
      <c r="L24" s="41">
        <f>COUNTIFS(集計用!$S:$S, "*"&amp;L$4&amp;", *",集計用!$G:$G,"*, "&amp;$C24&amp;", *")/$B24*100</f>
        <v>0</v>
      </c>
      <c r="M24" s="41">
        <f>COUNTIFS(集計用!$S:$S, "*"&amp;M$4&amp;", *",集計用!$G:$G,"*, "&amp;$C24&amp;", *")/$B24*100</f>
        <v>0</v>
      </c>
      <c r="N24" s="41">
        <f>COUNTIFS(集計用!$S:$S, "*"&amp;N$4&amp;", *",集計用!$G:$G,"*, "&amp;$C24&amp;", *")/$B24*100</f>
        <v>0</v>
      </c>
      <c r="O24" s="41">
        <f>COUNTIFS(集計用!$S:$S, "*"&amp;O$4&amp;", *",集計用!$G:$G,"*, "&amp;$C24&amp;", *")/$B24*100</f>
        <v>0</v>
      </c>
      <c r="P24" s="41">
        <f>COUNTIFS(集計用!$S:$S, "*"&amp;P$4&amp;", *",集計用!$G:$G,"*, "&amp;$C24&amp;", *")/$B24*100</f>
        <v>0</v>
      </c>
      <c r="Q24" s="41">
        <f>COUNTIFS(集計用!$S:$S, "*"&amp;Q$4&amp;", *",集計用!$G:$G,"*, "&amp;$C24&amp;", *")/$B24*100</f>
        <v>0</v>
      </c>
      <c r="R24" s="41">
        <f>COUNTIFS(集計用!$S:$S, "*"&amp;R$4&amp;", *",集計用!$G:$G,"*, "&amp;$C24&amp;", *")/$B24*100</f>
        <v>0</v>
      </c>
      <c r="S24" s="41">
        <f>COUNTIFS(集計用!$S:$S, "*"&amp;S$4&amp;", *",集計用!$G:$G,"*, "&amp;$C24&amp;", *")/$B24*100</f>
        <v>0</v>
      </c>
      <c r="T24" s="41">
        <f>COUNTIFS(集計用!$S:$S, "*"&amp;T$4&amp;", *",集計用!$G:$G,"*, "&amp;$C24&amp;", *")/$B24*100</f>
        <v>0</v>
      </c>
      <c r="U24" s="41">
        <f>COUNTIFS(集計用!$S:$S, "*"&amp;U$4&amp;", *",集計用!$G:$G,"*, "&amp;$C24&amp;", *")/$B24*100</f>
        <v>0</v>
      </c>
      <c r="V24" s="41">
        <f>COUNTIFS(集計用!$S:$S, "*"&amp;V$4&amp;", *",集計用!$G:$G,"*, "&amp;$C24&amp;", *")/$B24*100</f>
        <v>0</v>
      </c>
      <c r="W24" s="41">
        <f>COUNTIFS(集計用!$S:$S, "*"&amp;W$4&amp;", *",集計用!$G:$G,"*, "&amp;$C24&amp;", *")/$B24*100</f>
        <v>0</v>
      </c>
      <c r="X24" s="41">
        <f>COUNTIFS(集計用!$S:$S, "*"&amp;X$4&amp;", *",集計用!$G:$G,"*, "&amp;$C24&amp;", *")/$B24*100</f>
        <v>0</v>
      </c>
      <c r="Y24" s="41">
        <f>COUNTIFS(集計用!$S:$S, "*"&amp;Y$4&amp;", *",集計用!$G:$G,"*, "&amp;$C24&amp;", *")/$B24*100</f>
        <v>0</v>
      </c>
      <c r="Z24" s="41">
        <f>COUNTIFS(集計用!$S:$S, "*"&amp;Z$4&amp;", *",集計用!$G:$G,"*, "&amp;$C24&amp;", *")/$B24*100</f>
        <v>0</v>
      </c>
      <c r="AA24" s="41">
        <f>COUNTIFS(集計用!$S:$S, "*"&amp;AA$4&amp;", *",集計用!$G:$G,"*, "&amp;$C24&amp;", *")/$B24*100</f>
        <v>0</v>
      </c>
      <c r="AB24" s="41">
        <f>COUNTIFS(集計用!$S:$S, "*"&amp;AB$4&amp;", *",集計用!$G:$G,"*, "&amp;$C24&amp;", *")/$B24*100</f>
        <v>0</v>
      </c>
      <c r="AC24" s="41">
        <f>COUNTIFS(集計用!$S:$S, "*"&amp;AC$4&amp;", *",集計用!$G:$G,"*, "&amp;$C24&amp;", *")/$B24*100</f>
        <v>2.7777777777777777</v>
      </c>
      <c r="AD24" s="41">
        <f>COUNTIFS(集計用!$S:$S, "*"&amp;AD$4&amp;", *",集計用!$G:$G,"*, "&amp;$C24&amp;", *")/$B24*100</f>
        <v>0</v>
      </c>
      <c r="AE24" s="41">
        <f>COUNTIFS(集計用!$S:$S, "*"&amp;AE$4&amp;", *",集計用!$G:$G,"*, "&amp;$C24&amp;", *")/$B24*100</f>
        <v>0</v>
      </c>
      <c r="AF24" s="41">
        <f>COUNTIFS(集計用!$S:$S, "*"&amp;AF$4&amp;", *",集計用!$G:$G,"*, "&amp;$C24&amp;", *")/$B24*100</f>
        <v>0</v>
      </c>
      <c r="AG24" s="41">
        <f>COUNTIFS(集計用!$S:$S, "*"&amp;AG$4&amp;", *",集計用!$G:$G,"*, "&amp;$C24&amp;", *")/$B24*100</f>
        <v>0</v>
      </c>
      <c r="AH24" s="41">
        <f>COUNTIFS(集計用!$S:$S, "*"&amp;AH$4&amp;", *",集計用!$G:$G,"*, "&amp;$C24&amp;", *")/$B24*100</f>
        <v>0</v>
      </c>
      <c r="AI24" s="41">
        <f>COUNTIFS(集計用!$S:$S, "*"&amp;AI$4&amp;", *",集計用!$G:$G,"*, "&amp;$C24&amp;", *")/$B24*100</f>
        <v>0</v>
      </c>
    </row>
    <row r="25" spans="1:35" ht="12.75">
      <c r="A25" s="39">
        <v>2</v>
      </c>
      <c r="B25" s="39">
        <f>(COUNTIFS(集計用!$G:$G,"*, "&amp;$C25&amp;",*",集計用!$T:$T, "&lt;&gt;無回答"))</f>
        <v>34</v>
      </c>
      <c r="C25" s="42" t="s">
        <v>19</v>
      </c>
      <c r="D25" s="41">
        <f>COUNTIFS(集計用!$S:$S, "*"&amp;D$4&amp;", *",集計用!$G:$G,"*, "&amp;$C25&amp;", *")/$B25*100</f>
        <v>0</v>
      </c>
      <c r="E25" s="41">
        <f>COUNTIFS(集計用!$S:$S, "*"&amp;E$4&amp;", *",集計用!$G:$G,"*, "&amp;$C25&amp;", *")/$B25*100</f>
        <v>0</v>
      </c>
      <c r="F25" s="41">
        <f>COUNTIFS(集計用!$S:$S, "*"&amp;F$4&amp;", *",集計用!$G:$G,"*, "&amp;$C25&amp;", *")/$B25*100</f>
        <v>0</v>
      </c>
      <c r="G25" s="41">
        <f>COUNTIFS(集計用!$S:$S, "*"&amp;G$4&amp;", *",集計用!$G:$G,"*, "&amp;$C25&amp;", *")/$B25*100</f>
        <v>0</v>
      </c>
      <c r="H25" s="41">
        <f>COUNTIFS(集計用!$S:$S, "*"&amp;H$4&amp;", *",集計用!$G:$G,"*, "&amp;$C25&amp;", *")/$B25*100</f>
        <v>0</v>
      </c>
      <c r="I25" s="41">
        <f>COUNTIFS(集計用!$S:$S, "*"&amp;I$4&amp;", *",集計用!$G:$G,"*, "&amp;$C25&amp;", *")/$B25*100</f>
        <v>0</v>
      </c>
      <c r="J25" s="41">
        <f>COUNTIFS(集計用!$S:$S, "*"&amp;J$4&amp;", *",集計用!$G:$G,"*, "&amp;$C25&amp;", *")/$B25*100</f>
        <v>0</v>
      </c>
      <c r="K25" s="41">
        <f>COUNTIFS(集計用!$S:$S, "*"&amp;K$4&amp;", *",集計用!$G:$G,"*, "&amp;$C25&amp;", *")/$B25*100</f>
        <v>0</v>
      </c>
      <c r="L25" s="41">
        <f>COUNTIFS(集計用!$S:$S, "*"&amp;L$4&amp;", *",集計用!$G:$G,"*, "&amp;$C25&amp;", *")/$B25*100</f>
        <v>0</v>
      </c>
      <c r="M25" s="41">
        <f>COUNTIFS(集計用!$S:$S, "*"&amp;M$4&amp;", *",集計用!$G:$G,"*, "&amp;$C25&amp;", *")/$B25*100</f>
        <v>0</v>
      </c>
      <c r="N25" s="41">
        <f>COUNTIFS(集計用!$S:$S, "*"&amp;N$4&amp;", *",集計用!$G:$G,"*, "&amp;$C25&amp;", *")/$B25*100</f>
        <v>0</v>
      </c>
      <c r="O25" s="41">
        <f>COUNTIFS(集計用!$S:$S, "*"&amp;O$4&amp;", *",集計用!$G:$G,"*, "&amp;$C25&amp;", *")/$B25*100</f>
        <v>0</v>
      </c>
      <c r="P25" s="41">
        <f>COUNTIFS(集計用!$S:$S, "*"&amp;P$4&amp;", *",集計用!$G:$G,"*, "&amp;$C25&amp;", *")/$B25*100</f>
        <v>0</v>
      </c>
      <c r="Q25" s="41">
        <f>COUNTIFS(集計用!$S:$S, "*"&amp;Q$4&amp;", *",集計用!$G:$G,"*, "&amp;$C25&amp;", *")/$B25*100</f>
        <v>0</v>
      </c>
      <c r="R25" s="41">
        <f>COUNTIFS(集計用!$S:$S, "*"&amp;R$4&amp;", *",集計用!$G:$G,"*, "&amp;$C25&amp;", *")/$B25*100</f>
        <v>0</v>
      </c>
      <c r="S25" s="41">
        <f>COUNTIFS(集計用!$S:$S, "*"&amp;S$4&amp;", *",集計用!$G:$G,"*, "&amp;$C25&amp;", *")/$B25*100</f>
        <v>0</v>
      </c>
      <c r="T25" s="41">
        <f>COUNTIFS(集計用!$S:$S, "*"&amp;T$4&amp;", *",集計用!$G:$G,"*, "&amp;$C25&amp;", *")/$B25*100</f>
        <v>0</v>
      </c>
      <c r="U25" s="41">
        <f>COUNTIFS(集計用!$S:$S, "*"&amp;U$4&amp;", *",集計用!$G:$G,"*, "&amp;$C25&amp;", *")/$B25*100</f>
        <v>0</v>
      </c>
      <c r="V25" s="41">
        <f>COUNTIFS(集計用!$S:$S, "*"&amp;V$4&amp;", *",集計用!$G:$G,"*, "&amp;$C25&amp;", *")/$B25*100</f>
        <v>0</v>
      </c>
      <c r="W25" s="41">
        <f>COUNTIFS(集計用!$S:$S, "*"&amp;W$4&amp;", *",集計用!$G:$G,"*, "&amp;$C25&amp;", *")/$B25*100</f>
        <v>0</v>
      </c>
      <c r="X25" s="41">
        <f>COUNTIFS(集計用!$S:$S, "*"&amp;X$4&amp;", *",集計用!$G:$G,"*, "&amp;$C25&amp;", *")/$B25*100</f>
        <v>0</v>
      </c>
      <c r="Y25" s="41">
        <f>COUNTIFS(集計用!$S:$S, "*"&amp;Y$4&amp;", *",集計用!$G:$G,"*, "&amp;$C25&amp;", *")/$B25*100</f>
        <v>0</v>
      </c>
      <c r="Z25" s="41">
        <f>COUNTIFS(集計用!$S:$S, "*"&amp;Z$4&amp;", *",集計用!$G:$G,"*, "&amp;$C25&amp;", *")/$B25*100</f>
        <v>0</v>
      </c>
      <c r="AA25" s="41">
        <f>COUNTIFS(集計用!$S:$S, "*"&amp;AA$4&amp;", *",集計用!$G:$G,"*, "&amp;$C25&amp;", *")/$B25*100</f>
        <v>0</v>
      </c>
      <c r="AB25" s="41">
        <f>COUNTIFS(集計用!$S:$S, "*"&amp;AB$4&amp;", *",集計用!$G:$G,"*, "&amp;$C25&amp;", *")/$B25*100</f>
        <v>0</v>
      </c>
      <c r="AC25" s="41">
        <f>COUNTIFS(集計用!$S:$S, "*"&amp;AC$4&amp;", *",集計用!$G:$G,"*, "&amp;$C25&amp;", *")/$B25*100</f>
        <v>0</v>
      </c>
      <c r="AD25" s="41">
        <f>COUNTIFS(集計用!$S:$S, "*"&amp;AD$4&amp;", *",集計用!$G:$G,"*, "&amp;$C25&amp;", *")/$B25*100</f>
        <v>0</v>
      </c>
      <c r="AE25" s="41">
        <f>COUNTIFS(集計用!$S:$S, "*"&amp;AE$4&amp;", *",集計用!$G:$G,"*, "&amp;$C25&amp;", *")/$B25*100</f>
        <v>0</v>
      </c>
      <c r="AF25" s="41">
        <f>COUNTIFS(集計用!$S:$S, "*"&amp;AF$4&amp;", *",集計用!$G:$G,"*, "&amp;$C25&amp;", *")/$B25*100</f>
        <v>0</v>
      </c>
      <c r="AG25" s="41">
        <f>COUNTIFS(集計用!$S:$S, "*"&amp;AG$4&amp;", *",集計用!$G:$G,"*, "&amp;$C25&amp;", *")/$B25*100</f>
        <v>0</v>
      </c>
      <c r="AH25" s="41">
        <f>COUNTIFS(集計用!$S:$S, "*"&amp;AH$4&amp;", *",集計用!$G:$G,"*, "&amp;$C25&amp;", *")/$B25*100</f>
        <v>0</v>
      </c>
      <c r="AI25" s="41">
        <f>COUNTIFS(集計用!$S:$S, "*"&amp;AI$4&amp;", *",集計用!$G:$G,"*, "&amp;$C25&amp;", *")/$B25*100</f>
        <v>0</v>
      </c>
    </row>
    <row r="26" spans="1:35" ht="12.75">
      <c r="A26" s="39">
        <v>4</v>
      </c>
      <c r="B26" s="39">
        <f>(COUNTIFS(集計用!$G:$G,"*, "&amp;$C26&amp;",*",集計用!$T:$T, "&lt;&gt;無回答"))</f>
        <v>26</v>
      </c>
      <c r="C26" s="42" t="s">
        <v>20</v>
      </c>
      <c r="D26" s="41">
        <f>COUNTIFS(集計用!$S:$S, "*"&amp;D$4&amp;", *",集計用!$G:$G,"*, "&amp;$C26&amp;", *")/$B26*100</f>
        <v>0</v>
      </c>
      <c r="E26" s="41">
        <f>COUNTIFS(集計用!$S:$S, "*"&amp;E$4&amp;", *",集計用!$G:$G,"*, "&amp;$C26&amp;", *")/$B26*100</f>
        <v>0</v>
      </c>
      <c r="F26" s="41">
        <f>COUNTIFS(集計用!$S:$S, "*"&amp;F$4&amp;", *",集計用!$G:$G,"*, "&amp;$C26&amp;", *")/$B26*100</f>
        <v>0</v>
      </c>
      <c r="G26" s="41">
        <f>COUNTIFS(集計用!$S:$S, "*"&amp;G$4&amp;", *",集計用!$G:$G,"*, "&amp;$C26&amp;", *")/$B26*100</f>
        <v>0</v>
      </c>
      <c r="H26" s="41">
        <f>COUNTIFS(集計用!$S:$S, "*"&amp;H$4&amp;", *",集計用!$G:$G,"*, "&amp;$C26&amp;", *")/$B26*100</f>
        <v>0</v>
      </c>
      <c r="I26" s="41">
        <f>COUNTIFS(集計用!$S:$S, "*"&amp;I$4&amp;", *",集計用!$G:$G,"*, "&amp;$C26&amp;", *")/$B26*100</f>
        <v>0</v>
      </c>
      <c r="J26" s="41">
        <f>COUNTIFS(集計用!$S:$S, "*"&amp;J$4&amp;", *",集計用!$G:$G,"*, "&amp;$C26&amp;", *")/$B26*100</f>
        <v>0</v>
      </c>
      <c r="K26" s="41">
        <f>COUNTIFS(集計用!$S:$S, "*"&amp;K$4&amp;", *",集計用!$G:$G,"*, "&amp;$C26&amp;", *")/$B26*100</f>
        <v>0</v>
      </c>
      <c r="L26" s="41">
        <f>COUNTIFS(集計用!$S:$S, "*"&amp;L$4&amp;", *",集計用!$G:$G,"*, "&amp;$C26&amp;", *")/$B26*100</f>
        <v>0</v>
      </c>
      <c r="M26" s="41">
        <f>COUNTIFS(集計用!$S:$S, "*"&amp;M$4&amp;", *",集計用!$G:$G,"*, "&amp;$C26&amp;", *")/$B26*100</f>
        <v>0</v>
      </c>
      <c r="N26" s="41">
        <f>COUNTIFS(集計用!$S:$S, "*"&amp;N$4&amp;", *",集計用!$G:$G,"*, "&amp;$C26&amp;", *")/$B26*100</f>
        <v>0</v>
      </c>
      <c r="O26" s="41">
        <f>COUNTIFS(集計用!$S:$S, "*"&amp;O$4&amp;", *",集計用!$G:$G,"*, "&amp;$C26&amp;", *")/$B26*100</f>
        <v>0</v>
      </c>
      <c r="P26" s="41">
        <f>COUNTIFS(集計用!$S:$S, "*"&amp;P$4&amp;", *",集計用!$G:$G,"*, "&amp;$C26&amp;", *")/$B26*100</f>
        <v>0</v>
      </c>
      <c r="Q26" s="41">
        <f>COUNTIFS(集計用!$S:$S, "*"&amp;Q$4&amp;", *",集計用!$G:$G,"*, "&amp;$C26&amp;", *")/$B26*100</f>
        <v>0</v>
      </c>
      <c r="R26" s="41">
        <f>COUNTIFS(集計用!$S:$S, "*"&amp;R$4&amp;", *",集計用!$G:$G,"*, "&amp;$C26&amp;", *")/$B26*100</f>
        <v>0</v>
      </c>
      <c r="S26" s="41">
        <f>COUNTIFS(集計用!$S:$S, "*"&amp;S$4&amp;", *",集計用!$G:$G,"*, "&amp;$C26&amp;", *")/$B26*100</f>
        <v>0</v>
      </c>
      <c r="T26" s="41">
        <f>COUNTIFS(集計用!$S:$S, "*"&amp;T$4&amp;", *",集計用!$G:$G,"*, "&amp;$C26&amp;", *")/$B26*100</f>
        <v>0</v>
      </c>
      <c r="U26" s="41">
        <f>COUNTIFS(集計用!$S:$S, "*"&amp;U$4&amp;", *",集計用!$G:$G,"*, "&amp;$C26&amp;", *")/$B26*100</f>
        <v>0</v>
      </c>
      <c r="V26" s="41">
        <f>COUNTIFS(集計用!$S:$S, "*"&amp;V$4&amp;", *",集計用!$G:$G,"*, "&amp;$C26&amp;", *")/$B26*100</f>
        <v>0</v>
      </c>
      <c r="W26" s="41">
        <f>COUNTIFS(集計用!$S:$S, "*"&amp;W$4&amp;", *",集計用!$G:$G,"*, "&amp;$C26&amp;", *")/$B26*100</f>
        <v>0</v>
      </c>
      <c r="X26" s="41">
        <f>COUNTIFS(集計用!$S:$S, "*"&amp;X$4&amp;", *",集計用!$G:$G,"*, "&amp;$C26&amp;", *")/$B26*100</f>
        <v>0</v>
      </c>
      <c r="Y26" s="41">
        <f>COUNTIFS(集計用!$S:$S, "*"&amp;Y$4&amp;", *",集計用!$G:$G,"*, "&amp;$C26&amp;", *")/$B26*100</f>
        <v>0</v>
      </c>
      <c r="Z26" s="41">
        <f>COUNTIFS(集計用!$S:$S, "*"&amp;Z$4&amp;", *",集計用!$G:$G,"*, "&amp;$C26&amp;", *")/$B26*100</f>
        <v>0</v>
      </c>
      <c r="AA26" s="41">
        <f>COUNTIFS(集計用!$S:$S, "*"&amp;AA$4&amp;", *",集計用!$G:$G,"*, "&amp;$C26&amp;", *")/$B26*100</f>
        <v>0</v>
      </c>
      <c r="AB26" s="41">
        <f>COUNTIFS(集計用!$S:$S, "*"&amp;AB$4&amp;", *",集計用!$G:$G,"*, "&amp;$C26&amp;", *")/$B26*100</f>
        <v>0</v>
      </c>
      <c r="AC26" s="41">
        <f>COUNTIFS(集計用!$S:$S, "*"&amp;AC$4&amp;", *",集計用!$G:$G,"*, "&amp;$C26&amp;", *")/$B26*100</f>
        <v>0</v>
      </c>
      <c r="AD26" s="41">
        <f>COUNTIFS(集計用!$S:$S, "*"&amp;AD$4&amp;", *",集計用!$G:$G,"*, "&amp;$C26&amp;", *")/$B26*100</f>
        <v>0</v>
      </c>
      <c r="AE26" s="41">
        <f>COUNTIFS(集計用!$S:$S, "*"&amp;AE$4&amp;", *",集計用!$G:$G,"*, "&amp;$C26&amp;", *")/$B26*100</f>
        <v>0</v>
      </c>
      <c r="AF26" s="41">
        <f>COUNTIFS(集計用!$S:$S, "*"&amp;AF$4&amp;", *",集計用!$G:$G,"*, "&amp;$C26&amp;", *")/$B26*100</f>
        <v>0</v>
      </c>
      <c r="AG26" s="41">
        <f>COUNTIFS(集計用!$S:$S, "*"&amp;AG$4&amp;", *",集計用!$G:$G,"*, "&amp;$C26&amp;", *")/$B26*100</f>
        <v>0</v>
      </c>
      <c r="AH26" s="41">
        <f>COUNTIFS(集計用!$S:$S, "*"&amp;AH$4&amp;", *",集計用!$G:$G,"*, "&amp;$C26&amp;", *")/$B26*100</f>
        <v>3.8461538461538463</v>
      </c>
      <c r="AI26" s="41">
        <f>COUNTIFS(集計用!$S:$S, "*"&amp;AI$4&amp;", *",集計用!$G:$G,"*, "&amp;$C26&amp;", *")/$B26*100</f>
        <v>0</v>
      </c>
    </row>
    <row r="27" spans="1:35" ht="12.75">
      <c r="A27" s="39">
        <v>4</v>
      </c>
      <c r="B27" s="39">
        <f>(COUNTIFS(集計用!$G:$G,"*, "&amp;$C27&amp;",*",集計用!$T:$T, "&lt;&gt;無回答"))</f>
        <v>25</v>
      </c>
      <c r="C27" s="42" t="s">
        <v>23</v>
      </c>
      <c r="D27" s="41">
        <f>COUNTIFS(集計用!$S:$S, "*"&amp;D$4&amp;", *",集計用!$G:$G,"*, "&amp;$C27&amp;", *")/$B27*100</f>
        <v>4</v>
      </c>
      <c r="E27" s="41">
        <f>COUNTIFS(集計用!$S:$S, "*"&amp;E$4&amp;", *",集計用!$G:$G,"*, "&amp;$C27&amp;", *")/$B27*100</f>
        <v>0</v>
      </c>
      <c r="F27" s="41">
        <f>COUNTIFS(集計用!$S:$S, "*"&amp;F$4&amp;", *",集計用!$G:$G,"*, "&amp;$C27&amp;", *")/$B27*100</f>
        <v>0</v>
      </c>
      <c r="G27" s="41">
        <f>COUNTIFS(集計用!$S:$S, "*"&amp;G$4&amp;", *",集計用!$G:$G,"*, "&amp;$C27&amp;", *")/$B27*100</f>
        <v>0</v>
      </c>
      <c r="H27" s="41">
        <f>COUNTIFS(集計用!$S:$S, "*"&amp;H$4&amp;", *",集計用!$G:$G,"*, "&amp;$C27&amp;", *")/$B27*100</f>
        <v>0</v>
      </c>
      <c r="I27" s="41">
        <f>COUNTIFS(集計用!$S:$S, "*"&amp;I$4&amp;", *",集計用!$G:$G,"*, "&amp;$C27&amp;", *")/$B27*100</f>
        <v>0</v>
      </c>
      <c r="J27" s="41">
        <f>COUNTIFS(集計用!$S:$S, "*"&amp;J$4&amp;", *",集計用!$G:$G,"*, "&amp;$C27&amp;", *")/$B27*100</f>
        <v>0</v>
      </c>
      <c r="K27" s="41">
        <f>COUNTIFS(集計用!$S:$S, "*"&amp;K$4&amp;", *",集計用!$G:$G,"*, "&amp;$C27&amp;", *")/$B27*100</f>
        <v>0</v>
      </c>
      <c r="L27" s="41">
        <f>COUNTIFS(集計用!$S:$S, "*"&amp;L$4&amp;", *",集計用!$G:$G,"*, "&amp;$C27&amp;", *")/$B27*100</f>
        <v>0</v>
      </c>
      <c r="M27" s="41">
        <f>COUNTIFS(集計用!$S:$S, "*"&amp;M$4&amp;", *",集計用!$G:$G,"*, "&amp;$C27&amp;", *")/$B27*100</f>
        <v>0</v>
      </c>
      <c r="N27" s="41">
        <f>COUNTIFS(集計用!$S:$S, "*"&amp;N$4&amp;", *",集計用!$G:$G,"*, "&amp;$C27&amp;", *")/$B27*100</f>
        <v>0</v>
      </c>
      <c r="O27" s="41">
        <f>COUNTIFS(集計用!$S:$S, "*"&amp;O$4&amp;", *",集計用!$G:$G,"*, "&amp;$C27&amp;", *")/$B27*100</f>
        <v>0</v>
      </c>
      <c r="P27" s="41">
        <f>COUNTIFS(集計用!$S:$S, "*"&amp;P$4&amp;", *",集計用!$G:$G,"*, "&amp;$C27&amp;", *")/$B27*100</f>
        <v>0</v>
      </c>
      <c r="Q27" s="41">
        <f>COUNTIFS(集計用!$S:$S, "*"&amp;Q$4&amp;", *",集計用!$G:$G,"*, "&amp;$C27&amp;", *")/$B27*100</f>
        <v>0</v>
      </c>
      <c r="R27" s="41">
        <f>COUNTIFS(集計用!$S:$S, "*"&amp;R$4&amp;", *",集計用!$G:$G,"*, "&amp;$C27&amp;", *")/$B27*100</f>
        <v>0</v>
      </c>
      <c r="S27" s="41">
        <f>COUNTIFS(集計用!$S:$S, "*"&amp;S$4&amp;", *",集計用!$G:$G,"*, "&amp;$C27&amp;", *")/$B27*100</f>
        <v>0</v>
      </c>
      <c r="T27" s="41">
        <f>COUNTIFS(集計用!$S:$S, "*"&amp;T$4&amp;", *",集計用!$G:$G,"*, "&amp;$C27&amp;", *")/$B27*100</f>
        <v>0</v>
      </c>
      <c r="U27" s="41">
        <f>COUNTIFS(集計用!$S:$S, "*"&amp;U$4&amp;", *",集計用!$G:$G,"*, "&amp;$C27&amp;", *")/$B27*100</f>
        <v>0</v>
      </c>
      <c r="V27" s="41">
        <f>COUNTIFS(集計用!$S:$S, "*"&amp;V$4&amp;", *",集計用!$G:$G,"*, "&amp;$C27&amp;", *")/$B27*100</f>
        <v>0</v>
      </c>
      <c r="W27" s="41">
        <f>COUNTIFS(集計用!$S:$S, "*"&amp;W$4&amp;", *",集計用!$G:$G,"*, "&amp;$C27&amp;", *")/$B27*100</f>
        <v>0</v>
      </c>
      <c r="X27" s="41">
        <f>COUNTIFS(集計用!$S:$S, "*"&amp;X$4&amp;", *",集計用!$G:$G,"*, "&amp;$C27&amp;", *")/$B27*100</f>
        <v>0</v>
      </c>
      <c r="Y27" s="41">
        <f>COUNTIFS(集計用!$S:$S, "*"&amp;Y$4&amp;", *",集計用!$G:$G,"*, "&amp;$C27&amp;", *")/$B27*100</f>
        <v>0</v>
      </c>
      <c r="Z27" s="41">
        <f>COUNTIFS(集計用!$S:$S, "*"&amp;Z$4&amp;", *",集計用!$G:$G,"*, "&amp;$C27&amp;", *")/$B27*100</f>
        <v>0</v>
      </c>
      <c r="AA27" s="41">
        <f>COUNTIFS(集計用!$S:$S, "*"&amp;AA$4&amp;", *",集計用!$G:$G,"*, "&amp;$C27&amp;", *")/$B27*100</f>
        <v>4</v>
      </c>
      <c r="AB27" s="41">
        <f>COUNTIFS(集計用!$S:$S, "*"&amp;AB$4&amp;", *",集計用!$G:$G,"*, "&amp;$C27&amp;", *")/$B27*100</f>
        <v>0</v>
      </c>
      <c r="AC27" s="41">
        <f>COUNTIFS(集計用!$S:$S, "*"&amp;AC$4&amp;", *",集計用!$G:$G,"*, "&amp;$C27&amp;", *")/$B27*100</f>
        <v>4</v>
      </c>
      <c r="AD27" s="41">
        <f>COUNTIFS(集計用!$S:$S, "*"&amp;AD$4&amp;", *",集計用!$G:$G,"*, "&amp;$C27&amp;", *")/$B27*100</f>
        <v>0</v>
      </c>
      <c r="AE27" s="41">
        <f>COUNTIFS(集計用!$S:$S, "*"&amp;AE$4&amp;", *",集計用!$G:$G,"*, "&amp;$C27&amp;", *")/$B27*100</f>
        <v>0</v>
      </c>
      <c r="AF27" s="41">
        <f>COUNTIFS(集計用!$S:$S, "*"&amp;AF$4&amp;", *",集計用!$G:$G,"*, "&amp;$C27&amp;", *")/$B27*100</f>
        <v>0</v>
      </c>
      <c r="AG27" s="41">
        <f>COUNTIFS(集計用!$S:$S, "*"&amp;AG$4&amp;", *",集計用!$G:$G,"*, "&amp;$C27&amp;", *")/$B27*100</f>
        <v>4</v>
      </c>
      <c r="AH27" s="41">
        <f>COUNTIFS(集計用!$S:$S, "*"&amp;AH$4&amp;", *",集計用!$G:$G,"*, "&amp;$C27&amp;", *")/$B27*100</f>
        <v>0</v>
      </c>
      <c r="AI27" s="41">
        <f>COUNTIFS(集計用!$S:$S, "*"&amp;AI$4&amp;", *",集計用!$G:$G,"*, "&amp;$C27&amp;", *")/$B27*100</f>
        <v>0</v>
      </c>
    </row>
    <row r="28" spans="1:35" ht="15.75" customHeight="1">
      <c r="A28" s="39">
        <v>5</v>
      </c>
      <c r="B28" s="39">
        <f>(COUNTIFS(集計用!$G:$G,"*, "&amp;$C28&amp;",*",集計用!$T:$T, "&lt;&gt;無回答"))</f>
        <v>25</v>
      </c>
      <c r="C28" s="42" t="s">
        <v>22</v>
      </c>
      <c r="D28" s="41">
        <f>COUNTIFS(集計用!$S:$S, "*"&amp;D$4&amp;", *",集計用!$G:$G,"*, "&amp;$C28&amp;", *")/$B28*100</f>
        <v>12</v>
      </c>
      <c r="E28" s="41">
        <f>COUNTIFS(集計用!$S:$S, "*"&amp;E$4&amp;", *",集計用!$G:$G,"*, "&amp;$C28&amp;", *")/$B28*100</f>
        <v>0</v>
      </c>
      <c r="F28" s="41">
        <f>COUNTIFS(集計用!$S:$S, "*"&amp;F$4&amp;", *",集計用!$G:$G,"*, "&amp;$C28&amp;", *")/$B28*100</f>
        <v>0</v>
      </c>
      <c r="G28" s="41">
        <f>COUNTIFS(集計用!$S:$S, "*"&amp;G$4&amp;", *",集計用!$G:$G,"*, "&amp;$C28&amp;", *")/$B28*100</f>
        <v>0</v>
      </c>
      <c r="H28" s="41">
        <f>COUNTIFS(集計用!$S:$S, "*"&amp;H$4&amp;", *",集計用!$G:$G,"*, "&amp;$C28&amp;", *")/$B28*100</f>
        <v>0</v>
      </c>
      <c r="I28" s="41">
        <f>COUNTIFS(集計用!$S:$S, "*"&amp;I$4&amp;", *",集計用!$G:$G,"*, "&amp;$C28&amp;", *")/$B28*100</f>
        <v>0</v>
      </c>
      <c r="J28" s="41">
        <f>COUNTIFS(集計用!$S:$S, "*"&amp;J$4&amp;", *",集計用!$G:$G,"*, "&amp;$C28&amp;", *")/$B28*100</f>
        <v>0</v>
      </c>
      <c r="K28" s="41">
        <f>COUNTIFS(集計用!$S:$S, "*"&amp;K$4&amp;", *",集計用!$G:$G,"*, "&amp;$C28&amp;", *")/$B28*100</f>
        <v>0</v>
      </c>
      <c r="L28" s="41">
        <f>COUNTIFS(集計用!$S:$S, "*"&amp;L$4&amp;", *",集計用!$G:$G,"*, "&amp;$C28&amp;", *")/$B28*100</f>
        <v>0</v>
      </c>
      <c r="M28" s="41">
        <f>COUNTIFS(集計用!$S:$S, "*"&amp;M$4&amp;", *",集計用!$G:$G,"*, "&amp;$C28&amp;", *")/$B28*100</f>
        <v>0</v>
      </c>
      <c r="N28" s="41">
        <f>COUNTIFS(集計用!$S:$S, "*"&amp;N$4&amp;", *",集計用!$G:$G,"*, "&amp;$C28&amp;", *")/$B28*100</f>
        <v>0</v>
      </c>
      <c r="O28" s="41">
        <f>COUNTIFS(集計用!$S:$S, "*"&amp;O$4&amp;", *",集計用!$G:$G,"*, "&amp;$C28&amp;", *")/$B28*100</f>
        <v>0</v>
      </c>
      <c r="P28" s="41">
        <f>COUNTIFS(集計用!$S:$S, "*"&amp;P$4&amp;", *",集計用!$G:$G,"*, "&amp;$C28&amp;", *")/$B28*100</f>
        <v>0</v>
      </c>
      <c r="Q28" s="41">
        <f>COUNTIFS(集計用!$S:$S, "*"&amp;Q$4&amp;", *",集計用!$G:$G,"*, "&amp;$C28&amp;", *")/$B28*100</f>
        <v>0</v>
      </c>
      <c r="R28" s="41">
        <f>COUNTIFS(集計用!$S:$S, "*"&amp;R$4&amp;", *",集計用!$G:$G,"*, "&amp;$C28&amp;", *")/$B28*100</f>
        <v>0</v>
      </c>
      <c r="S28" s="41">
        <f>COUNTIFS(集計用!$S:$S, "*"&amp;S$4&amp;", *",集計用!$G:$G,"*, "&amp;$C28&amp;", *")/$B28*100</f>
        <v>0</v>
      </c>
      <c r="T28" s="41">
        <f>COUNTIFS(集計用!$S:$S, "*"&amp;T$4&amp;", *",集計用!$G:$G,"*, "&amp;$C28&amp;", *")/$B28*100</f>
        <v>0</v>
      </c>
      <c r="U28" s="41">
        <f>COUNTIFS(集計用!$S:$S, "*"&amp;U$4&amp;", *",集計用!$G:$G,"*, "&amp;$C28&amp;", *")/$B28*100</f>
        <v>0</v>
      </c>
      <c r="V28" s="41">
        <f>COUNTIFS(集計用!$S:$S, "*"&amp;V$4&amp;", *",集計用!$G:$G,"*, "&amp;$C28&amp;", *")/$B28*100</f>
        <v>0</v>
      </c>
      <c r="W28" s="41">
        <f>COUNTIFS(集計用!$S:$S, "*"&amp;W$4&amp;", *",集計用!$G:$G,"*, "&amp;$C28&amp;", *")/$B28*100</f>
        <v>0</v>
      </c>
      <c r="X28" s="41">
        <f>COUNTIFS(集計用!$S:$S, "*"&amp;X$4&amp;", *",集計用!$G:$G,"*, "&amp;$C28&amp;", *")/$B28*100</f>
        <v>0</v>
      </c>
      <c r="Y28" s="41">
        <f>COUNTIFS(集計用!$S:$S, "*"&amp;Y$4&amp;", *",集計用!$G:$G,"*, "&amp;$C28&amp;", *")/$B28*100</f>
        <v>0</v>
      </c>
      <c r="Z28" s="41">
        <f>COUNTIFS(集計用!$S:$S, "*"&amp;Z$4&amp;", *",集計用!$G:$G,"*, "&amp;$C28&amp;", *")/$B28*100</f>
        <v>0</v>
      </c>
      <c r="AA28" s="41">
        <f>COUNTIFS(集計用!$S:$S, "*"&amp;AA$4&amp;", *",集計用!$G:$G,"*, "&amp;$C28&amp;", *")/$B28*100</f>
        <v>4</v>
      </c>
      <c r="AB28" s="41">
        <f>COUNTIFS(集計用!$S:$S, "*"&amp;AB$4&amp;", *",集計用!$G:$G,"*, "&amp;$C28&amp;", *")/$B28*100</f>
        <v>0</v>
      </c>
      <c r="AC28" s="41">
        <f>COUNTIFS(集計用!$S:$S, "*"&amp;AC$4&amp;", *",集計用!$G:$G,"*, "&amp;$C28&amp;", *")/$B28*100</f>
        <v>12</v>
      </c>
      <c r="AD28" s="41">
        <f>COUNTIFS(集計用!$S:$S, "*"&amp;AD$4&amp;", *",集計用!$G:$G,"*, "&amp;$C28&amp;", *")/$B28*100</f>
        <v>0</v>
      </c>
      <c r="AE28" s="41">
        <f>COUNTIFS(集計用!$S:$S, "*"&amp;AE$4&amp;", *",集計用!$G:$G,"*, "&amp;$C28&amp;", *")/$B28*100</f>
        <v>0</v>
      </c>
      <c r="AF28" s="41">
        <f>COUNTIFS(集計用!$S:$S, "*"&amp;AF$4&amp;", *",集計用!$G:$G,"*, "&amp;$C28&amp;", *")/$B28*100</f>
        <v>0</v>
      </c>
      <c r="AG28" s="41">
        <f>COUNTIFS(集計用!$S:$S, "*"&amp;AG$4&amp;", *",集計用!$G:$G,"*, "&amp;$C28&amp;", *")/$B28*100</f>
        <v>4</v>
      </c>
      <c r="AH28" s="41">
        <f>COUNTIFS(集計用!$S:$S, "*"&amp;AH$4&amp;", *",集計用!$G:$G,"*, "&amp;$C28&amp;", *")/$B28*100</f>
        <v>0</v>
      </c>
      <c r="AI28" s="41">
        <f>COUNTIFS(集計用!$S:$S, "*"&amp;AI$4&amp;", *",集計用!$G:$G,"*, "&amp;$C28&amp;", *")/$B28*100</f>
        <v>0</v>
      </c>
    </row>
    <row r="29" spans="1:35" ht="15.75" customHeight="1">
      <c r="A29" s="39">
        <v>5</v>
      </c>
      <c r="B29" s="39">
        <f>(COUNTIFS(集計用!$G:$G,"*, "&amp;$C29&amp;",*",集計用!$T:$T, "&lt;&gt;無回答"))</f>
        <v>25</v>
      </c>
      <c r="C29" s="42" t="s">
        <v>21</v>
      </c>
      <c r="D29" s="41">
        <f>COUNTIFS(集計用!$S:$S, "*"&amp;D$4&amp;", *",集計用!$G:$G,"*, "&amp;$C29&amp;", *")/$B29*100</f>
        <v>4</v>
      </c>
      <c r="E29" s="41">
        <f>COUNTIFS(集計用!$S:$S, "*"&amp;E$4&amp;", *",集計用!$G:$G,"*, "&amp;$C29&amp;", *")/$B29*100</f>
        <v>0</v>
      </c>
      <c r="F29" s="41">
        <f>COUNTIFS(集計用!$S:$S, "*"&amp;F$4&amp;", *",集計用!$G:$G,"*, "&amp;$C29&amp;", *")/$B29*100</f>
        <v>0</v>
      </c>
      <c r="G29" s="41">
        <f>COUNTIFS(集計用!$S:$S, "*"&amp;G$4&amp;", *",集計用!$G:$G,"*, "&amp;$C29&amp;", *")/$B29*100</f>
        <v>0</v>
      </c>
      <c r="H29" s="41">
        <f>COUNTIFS(集計用!$S:$S, "*"&amp;H$4&amp;", *",集計用!$G:$G,"*, "&amp;$C29&amp;", *")/$B29*100</f>
        <v>0</v>
      </c>
      <c r="I29" s="41">
        <f>COUNTIFS(集計用!$S:$S, "*"&amp;I$4&amp;", *",集計用!$G:$G,"*, "&amp;$C29&amp;", *")/$B29*100</f>
        <v>0</v>
      </c>
      <c r="J29" s="41">
        <f>COUNTIFS(集計用!$S:$S, "*"&amp;J$4&amp;", *",集計用!$G:$G,"*, "&amp;$C29&amp;", *")/$B29*100</f>
        <v>0</v>
      </c>
      <c r="K29" s="41">
        <f>COUNTIFS(集計用!$S:$S, "*"&amp;K$4&amp;", *",集計用!$G:$G,"*, "&amp;$C29&amp;", *")/$B29*100</f>
        <v>0</v>
      </c>
      <c r="L29" s="41">
        <f>COUNTIFS(集計用!$S:$S, "*"&amp;L$4&amp;", *",集計用!$G:$G,"*, "&amp;$C29&amp;", *")/$B29*100</f>
        <v>0</v>
      </c>
      <c r="M29" s="41">
        <f>COUNTIFS(集計用!$S:$S, "*"&amp;M$4&amp;", *",集計用!$G:$G,"*, "&amp;$C29&amp;", *")/$B29*100</f>
        <v>0</v>
      </c>
      <c r="N29" s="41">
        <f>COUNTIFS(集計用!$S:$S, "*"&amp;N$4&amp;", *",集計用!$G:$G,"*, "&amp;$C29&amp;", *")/$B29*100</f>
        <v>0</v>
      </c>
      <c r="O29" s="41">
        <f>COUNTIFS(集計用!$S:$S, "*"&amp;O$4&amp;", *",集計用!$G:$G,"*, "&amp;$C29&amp;", *")/$B29*100</f>
        <v>0</v>
      </c>
      <c r="P29" s="41">
        <f>COUNTIFS(集計用!$S:$S, "*"&amp;P$4&amp;", *",集計用!$G:$G,"*, "&amp;$C29&amp;", *")/$B29*100</f>
        <v>0</v>
      </c>
      <c r="Q29" s="41">
        <f>COUNTIFS(集計用!$S:$S, "*"&amp;Q$4&amp;", *",集計用!$G:$G,"*, "&amp;$C29&amp;", *")/$B29*100</f>
        <v>0</v>
      </c>
      <c r="R29" s="41">
        <f>COUNTIFS(集計用!$S:$S, "*"&amp;R$4&amp;", *",集計用!$G:$G,"*, "&amp;$C29&amp;", *")/$B29*100</f>
        <v>0</v>
      </c>
      <c r="S29" s="41">
        <f>COUNTIFS(集計用!$S:$S, "*"&amp;S$4&amp;", *",集計用!$G:$G,"*, "&amp;$C29&amp;", *")/$B29*100</f>
        <v>0</v>
      </c>
      <c r="T29" s="41">
        <f>COUNTIFS(集計用!$S:$S, "*"&amp;T$4&amp;", *",集計用!$G:$G,"*, "&amp;$C29&amp;", *")/$B29*100</f>
        <v>0</v>
      </c>
      <c r="U29" s="41">
        <f>COUNTIFS(集計用!$S:$S, "*"&amp;U$4&amp;", *",集計用!$G:$G,"*, "&amp;$C29&amp;", *")/$B29*100</f>
        <v>0</v>
      </c>
      <c r="V29" s="41">
        <f>COUNTIFS(集計用!$S:$S, "*"&amp;V$4&amp;", *",集計用!$G:$G,"*, "&amp;$C29&amp;", *")/$B29*100</f>
        <v>0</v>
      </c>
      <c r="W29" s="41">
        <f>COUNTIFS(集計用!$S:$S, "*"&amp;W$4&amp;", *",集計用!$G:$G,"*, "&amp;$C29&amp;", *")/$B29*100</f>
        <v>0</v>
      </c>
      <c r="X29" s="41">
        <f>COUNTIFS(集計用!$S:$S, "*"&amp;X$4&amp;", *",集計用!$G:$G,"*, "&amp;$C29&amp;", *")/$B29*100</f>
        <v>0</v>
      </c>
      <c r="Y29" s="41">
        <f>COUNTIFS(集計用!$S:$S, "*"&amp;Y$4&amp;", *",集計用!$G:$G,"*, "&amp;$C29&amp;", *")/$B29*100</f>
        <v>0</v>
      </c>
      <c r="Z29" s="41">
        <f>COUNTIFS(集計用!$S:$S, "*"&amp;Z$4&amp;", *",集計用!$G:$G,"*, "&amp;$C29&amp;", *")/$B29*100</f>
        <v>0</v>
      </c>
      <c r="AA29" s="41">
        <f>COUNTIFS(集計用!$S:$S, "*"&amp;AA$4&amp;", *",集計用!$G:$G,"*, "&amp;$C29&amp;", *")/$B29*100</f>
        <v>4</v>
      </c>
      <c r="AB29" s="41">
        <f>COUNTIFS(集計用!$S:$S, "*"&amp;AB$4&amp;", *",集計用!$G:$G,"*, "&amp;$C29&amp;", *")/$B29*100</f>
        <v>0</v>
      </c>
      <c r="AC29" s="41">
        <f>COUNTIFS(集計用!$S:$S, "*"&amp;AC$4&amp;", *",集計用!$G:$G,"*, "&amp;$C29&amp;", *")/$B29*100</f>
        <v>4</v>
      </c>
      <c r="AD29" s="41">
        <f>COUNTIFS(集計用!$S:$S, "*"&amp;AD$4&amp;", *",集計用!$G:$G,"*, "&amp;$C29&amp;", *")/$B29*100</f>
        <v>0</v>
      </c>
      <c r="AE29" s="41">
        <f>COUNTIFS(集計用!$S:$S, "*"&amp;AE$4&amp;", *",集計用!$G:$G,"*, "&amp;$C29&amp;", *")/$B29*100</f>
        <v>0</v>
      </c>
      <c r="AF29" s="41">
        <f>COUNTIFS(集計用!$S:$S, "*"&amp;AF$4&amp;", *",集計用!$G:$G,"*, "&amp;$C29&amp;", *")/$B29*100</f>
        <v>0</v>
      </c>
      <c r="AG29" s="41">
        <f>COUNTIFS(集計用!$S:$S, "*"&amp;AG$4&amp;", *",集計用!$G:$G,"*, "&amp;$C29&amp;", *")/$B29*100</f>
        <v>4</v>
      </c>
      <c r="AH29" s="41">
        <f>COUNTIFS(集計用!$S:$S, "*"&amp;AH$4&amp;", *",集計用!$G:$G,"*, "&amp;$C29&amp;", *")/$B29*100</f>
        <v>0</v>
      </c>
      <c r="AI29" s="41">
        <f>COUNTIFS(集計用!$S:$S, "*"&amp;AI$4&amp;", *",集計用!$G:$G,"*, "&amp;$C29&amp;", *")/$B29*100</f>
        <v>0</v>
      </c>
    </row>
    <row r="30" spans="1:35" ht="12.75">
      <c r="A30" s="39">
        <v>6</v>
      </c>
      <c r="B30" s="39">
        <f>(COUNTIFS(集計用!$G:$G,"*, "&amp;$C30&amp;",*",集計用!$T:$T, "&lt;&gt;無回答"))</f>
        <v>22</v>
      </c>
      <c r="C30" s="42" t="s">
        <v>25</v>
      </c>
      <c r="D30" s="41">
        <f>COUNTIFS(集計用!$S:$S, "*"&amp;D$4&amp;", *",集計用!$G:$G,"*, "&amp;$C30&amp;", *")/$B30*100</f>
        <v>4.5454545454545459</v>
      </c>
      <c r="E30" s="41">
        <f>COUNTIFS(集計用!$S:$S, "*"&amp;E$4&amp;", *",集計用!$G:$G,"*, "&amp;$C30&amp;", *")/$B30*100</f>
        <v>0</v>
      </c>
      <c r="F30" s="41">
        <f>COUNTIFS(集計用!$S:$S, "*"&amp;F$4&amp;", *",集計用!$G:$G,"*, "&amp;$C30&amp;", *")/$B30*100</f>
        <v>0</v>
      </c>
      <c r="G30" s="41">
        <f>COUNTIFS(集計用!$S:$S, "*"&amp;G$4&amp;", *",集計用!$G:$G,"*, "&amp;$C30&amp;", *")/$B30*100</f>
        <v>0</v>
      </c>
      <c r="H30" s="41">
        <f>COUNTIFS(集計用!$S:$S, "*"&amp;H$4&amp;", *",集計用!$G:$G,"*, "&amp;$C30&amp;", *")/$B30*100</f>
        <v>0</v>
      </c>
      <c r="I30" s="41">
        <f>COUNTIFS(集計用!$S:$S, "*"&amp;I$4&amp;", *",集計用!$G:$G,"*, "&amp;$C30&amp;", *")/$B30*100</f>
        <v>0</v>
      </c>
      <c r="J30" s="41">
        <f>COUNTIFS(集計用!$S:$S, "*"&amp;J$4&amp;", *",集計用!$G:$G,"*, "&amp;$C30&amp;", *")/$B30*100</f>
        <v>0</v>
      </c>
      <c r="K30" s="41">
        <f>COUNTIFS(集計用!$S:$S, "*"&amp;K$4&amp;", *",集計用!$G:$G,"*, "&amp;$C30&amp;", *")/$B30*100</f>
        <v>0</v>
      </c>
      <c r="L30" s="41">
        <f>COUNTIFS(集計用!$S:$S, "*"&amp;L$4&amp;", *",集計用!$G:$G,"*, "&amp;$C30&amp;", *")/$B30*100</f>
        <v>0</v>
      </c>
      <c r="M30" s="41">
        <f>COUNTIFS(集計用!$S:$S, "*"&amp;M$4&amp;", *",集計用!$G:$G,"*, "&amp;$C30&amp;", *")/$B30*100</f>
        <v>0</v>
      </c>
      <c r="N30" s="41">
        <f>COUNTIFS(集計用!$S:$S, "*"&amp;N$4&amp;", *",集計用!$G:$G,"*, "&amp;$C30&amp;", *")/$B30*100</f>
        <v>0</v>
      </c>
      <c r="O30" s="41">
        <f>COUNTIFS(集計用!$S:$S, "*"&amp;O$4&amp;", *",集計用!$G:$G,"*, "&amp;$C30&amp;", *")/$B30*100</f>
        <v>0</v>
      </c>
      <c r="P30" s="41">
        <f>COUNTIFS(集計用!$S:$S, "*"&amp;P$4&amp;", *",集計用!$G:$G,"*, "&amp;$C30&amp;", *")/$B30*100</f>
        <v>0</v>
      </c>
      <c r="Q30" s="41">
        <f>COUNTIFS(集計用!$S:$S, "*"&amp;Q$4&amp;", *",集計用!$G:$G,"*, "&amp;$C30&amp;", *")/$B30*100</f>
        <v>0</v>
      </c>
      <c r="R30" s="41">
        <f>COUNTIFS(集計用!$S:$S, "*"&amp;R$4&amp;", *",集計用!$G:$G,"*, "&amp;$C30&amp;", *")/$B30*100</f>
        <v>0</v>
      </c>
      <c r="S30" s="41">
        <f>COUNTIFS(集計用!$S:$S, "*"&amp;S$4&amp;", *",集計用!$G:$G,"*, "&amp;$C30&amp;", *")/$B30*100</f>
        <v>0</v>
      </c>
      <c r="T30" s="41">
        <f>COUNTIFS(集計用!$S:$S, "*"&amp;T$4&amp;", *",集計用!$G:$G,"*, "&amp;$C30&amp;", *")/$B30*100</f>
        <v>0</v>
      </c>
      <c r="U30" s="41">
        <f>COUNTIFS(集計用!$S:$S, "*"&amp;U$4&amp;", *",集計用!$G:$G,"*, "&amp;$C30&amp;", *")/$B30*100</f>
        <v>0</v>
      </c>
      <c r="V30" s="41">
        <f>COUNTIFS(集計用!$S:$S, "*"&amp;V$4&amp;", *",集計用!$G:$G,"*, "&amp;$C30&amp;", *")/$B30*100</f>
        <v>0</v>
      </c>
      <c r="W30" s="41">
        <f>COUNTIFS(集計用!$S:$S, "*"&amp;W$4&amp;", *",集計用!$G:$G,"*, "&amp;$C30&amp;", *")/$B30*100</f>
        <v>0</v>
      </c>
      <c r="X30" s="41">
        <f>COUNTIFS(集計用!$S:$S, "*"&amp;X$4&amp;", *",集計用!$G:$G,"*, "&amp;$C30&amp;", *")/$B30*100</f>
        <v>0</v>
      </c>
      <c r="Y30" s="41">
        <f>COUNTIFS(集計用!$S:$S, "*"&amp;Y$4&amp;", *",集計用!$G:$G,"*, "&amp;$C30&amp;", *")/$B30*100</f>
        <v>0</v>
      </c>
      <c r="Z30" s="41">
        <f>COUNTIFS(集計用!$S:$S, "*"&amp;Z$4&amp;", *",集計用!$G:$G,"*, "&amp;$C30&amp;", *")/$B30*100</f>
        <v>0</v>
      </c>
      <c r="AA30" s="41">
        <f>COUNTIFS(集計用!$S:$S, "*"&amp;AA$4&amp;", *",集計用!$G:$G,"*, "&amp;$C30&amp;", *")/$B30*100</f>
        <v>0</v>
      </c>
      <c r="AB30" s="41">
        <f>COUNTIFS(集計用!$S:$S, "*"&amp;AB$4&amp;", *",集計用!$G:$G,"*, "&amp;$C30&amp;", *")/$B30*100</f>
        <v>0</v>
      </c>
      <c r="AC30" s="41">
        <f>COUNTIFS(集計用!$S:$S, "*"&amp;AC$4&amp;", *",集計用!$G:$G,"*, "&amp;$C30&amp;", *")/$B30*100</f>
        <v>4.5454545454545459</v>
      </c>
      <c r="AD30" s="41">
        <f>COUNTIFS(集計用!$S:$S, "*"&amp;AD$4&amp;", *",集計用!$G:$G,"*, "&amp;$C30&amp;", *")/$B30*100</f>
        <v>0</v>
      </c>
      <c r="AE30" s="41">
        <f>COUNTIFS(集計用!$S:$S, "*"&amp;AE$4&amp;", *",集計用!$G:$G,"*, "&amp;$C30&amp;", *")/$B30*100</f>
        <v>0</v>
      </c>
      <c r="AF30" s="41">
        <f>COUNTIFS(集計用!$S:$S, "*"&amp;AF$4&amp;", *",集計用!$G:$G,"*, "&amp;$C30&amp;", *")/$B30*100</f>
        <v>0</v>
      </c>
      <c r="AG30" s="41">
        <f>COUNTIFS(集計用!$S:$S, "*"&amp;AG$4&amp;", *",集計用!$G:$G,"*, "&amp;$C30&amp;", *")/$B30*100</f>
        <v>0</v>
      </c>
      <c r="AH30" s="41">
        <f>COUNTIFS(集計用!$S:$S, "*"&amp;AH$4&amp;", *",集計用!$G:$G,"*, "&amp;$C30&amp;", *")/$B30*100</f>
        <v>0</v>
      </c>
      <c r="AI30" s="41">
        <f>COUNTIFS(集計用!$S:$S, "*"&amp;AI$4&amp;", *",集計用!$G:$G,"*, "&amp;$C30&amp;", *")/$B30*100</f>
        <v>0</v>
      </c>
    </row>
    <row r="31" spans="1:35" ht="15.75" customHeight="1">
      <c r="A31" s="39">
        <v>4</v>
      </c>
      <c r="B31" s="39">
        <f>(COUNTIFS(集計用!$G:$G,"*, "&amp;$C31&amp;",*",集計用!$T:$T, "&lt;&gt;無回答"))</f>
        <v>22</v>
      </c>
      <c r="C31" s="42" t="s">
        <v>24</v>
      </c>
      <c r="D31" s="41">
        <f>COUNTIFS(集計用!$S:$S, "*"&amp;D$4&amp;", *",集計用!$G:$G,"*, "&amp;$C31&amp;", *")/$B31*100</f>
        <v>0</v>
      </c>
      <c r="E31" s="41">
        <f>COUNTIFS(集計用!$S:$S, "*"&amp;E$4&amp;", *",集計用!$G:$G,"*, "&amp;$C31&amp;", *")/$B31*100</f>
        <v>0</v>
      </c>
      <c r="F31" s="41">
        <f>COUNTIFS(集計用!$S:$S, "*"&amp;F$4&amp;", *",集計用!$G:$G,"*, "&amp;$C31&amp;", *")/$B31*100</f>
        <v>0</v>
      </c>
      <c r="G31" s="41">
        <f>COUNTIFS(集計用!$S:$S, "*"&amp;G$4&amp;", *",集計用!$G:$G,"*, "&amp;$C31&amp;", *")/$B31*100</f>
        <v>0</v>
      </c>
      <c r="H31" s="41">
        <f>COUNTIFS(集計用!$S:$S, "*"&amp;H$4&amp;", *",集計用!$G:$G,"*, "&amp;$C31&amp;", *")/$B31*100</f>
        <v>0</v>
      </c>
      <c r="I31" s="41">
        <f>COUNTIFS(集計用!$S:$S, "*"&amp;I$4&amp;", *",集計用!$G:$G,"*, "&amp;$C31&amp;", *")/$B31*100</f>
        <v>0</v>
      </c>
      <c r="J31" s="41">
        <f>COUNTIFS(集計用!$S:$S, "*"&amp;J$4&amp;", *",集計用!$G:$G,"*, "&amp;$C31&amp;", *")/$B31*100</f>
        <v>0</v>
      </c>
      <c r="K31" s="41">
        <f>COUNTIFS(集計用!$S:$S, "*"&amp;K$4&amp;", *",集計用!$G:$G,"*, "&amp;$C31&amp;", *")/$B31*100</f>
        <v>0</v>
      </c>
      <c r="L31" s="41">
        <f>COUNTIFS(集計用!$S:$S, "*"&amp;L$4&amp;", *",集計用!$G:$G,"*, "&amp;$C31&amp;", *")/$B31*100</f>
        <v>0</v>
      </c>
      <c r="M31" s="41">
        <f>COUNTIFS(集計用!$S:$S, "*"&amp;M$4&amp;", *",集計用!$G:$G,"*, "&amp;$C31&amp;", *")/$B31*100</f>
        <v>0</v>
      </c>
      <c r="N31" s="41">
        <f>COUNTIFS(集計用!$S:$S, "*"&amp;N$4&amp;", *",集計用!$G:$G,"*, "&amp;$C31&amp;", *")/$B31*100</f>
        <v>0</v>
      </c>
      <c r="O31" s="41">
        <f>COUNTIFS(集計用!$S:$S, "*"&amp;O$4&amp;", *",集計用!$G:$G,"*, "&amp;$C31&amp;", *")/$B31*100</f>
        <v>0</v>
      </c>
      <c r="P31" s="41">
        <f>COUNTIFS(集計用!$S:$S, "*"&amp;P$4&amp;", *",集計用!$G:$G,"*, "&amp;$C31&amp;", *")/$B31*100</f>
        <v>0</v>
      </c>
      <c r="Q31" s="41">
        <f>COUNTIFS(集計用!$S:$S, "*"&amp;Q$4&amp;", *",集計用!$G:$G,"*, "&amp;$C31&amp;", *")/$B31*100</f>
        <v>0</v>
      </c>
      <c r="R31" s="41">
        <f>COUNTIFS(集計用!$S:$S, "*"&amp;R$4&amp;", *",集計用!$G:$G,"*, "&amp;$C31&amp;", *")/$B31*100</f>
        <v>0</v>
      </c>
      <c r="S31" s="41">
        <f>COUNTIFS(集計用!$S:$S, "*"&amp;S$4&amp;", *",集計用!$G:$G,"*, "&amp;$C31&amp;", *")/$B31*100</f>
        <v>0</v>
      </c>
      <c r="T31" s="41">
        <f>COUNTIFS(集計用!$S:$S, "*"&amp;T$4&amp;", *",集計用!$G:$G,"*, "&amp;$C31&amp;", *")/$B31*100</f>
        <v>0</v>
      </c>
      <c r="U31" s="41">
        <f>COUNTIFS(集計用!$S:$S, "*"&amp;U$4&amp;", *",集計用!$G:$G,"*, "&amp;$C31&amp;", *")/$B31*100</f>
        <v>0</v>
      </c>
      <c r="V31" s="41">
        <f>COUNTIFS(集計用!$S:$S, "*"&amp;V$4&amp;", *",集計用!$G:$G,"*, "&amp;$C31&amp;", *")/$B31*100</f>
        <v>0</v>
      </c>
      <c r="W31" s="41">
        <f>COUNTIFS(集計用!$S:$S, "*"&amp;W$4&amp;", *",集計用!$G:$G,"*, "&amp;$C31&amp;", *")/$B31*100</f>
        <v>0</v>
      </c>
      <c r="X31" s="41">
        <f>COUNTIFS(集計用!$S:$S, "*"&amp;X$4&amp;", *",集計用!$G:$G,"*, "&amp;$C31&amp;", *")/$B31*100</f>
        <v>0</v>
      </c>
      <c r="Y31" s="41">
        <f>COUNTIFS(集計用!$S:$S, "*"&amp;Y$4&amp;", *",集計用!$G:$G,"*, "&amp;$C31&amp;", *")/$B31*100</f>
        <v>4.5454545454545459</v>
      </c>
      <c r="Z31" s="41">
        <f>COUNTIFS(集計用!$S:$S, "*"&amp;Z$4&amp;", *",集計用!$G:$G,"*, "&amp;$C31&amp;", *")/$B31*100</f>
        <v>0</v>
      </c>
      <c r="AA31" s="41">
        <f>COUNTIFS(集計用!$S:$S, "*"&amp;AA$4&amp;", *",集計用!$G:$G,"*, "&amp;$C31&amp;", *")/$B31*100</f>
        <v>0</v>
      </c>
      <c r="AB31" s="41">
        <f>COUNTIFS(集計用!$S:$S, "*"&amp;AB$4&amp;", *",集計用!$G:$G,"*, "&amp;$C31&amp;", *")/$B31*100</f>
        <v>0</v>
      </c>
      <c r="AC31" s="41">
        <f>COUNTIFS(集計用!$S:$S, "*"&amp;AC$4&amp;", *",集計用!$G:$G,"*, "&amp;$C31&amp;", *")/$B31*100</f>
        <v>0</v>
      </c>
      <c r="AD31" s="41">
        <f>COUNTIFS(集計用!$S:$S, "*"&amp;AD$4&amp;", *",集計用!$G:$G,"*, "&amp;$C31&amp;", *")/$B31*100</f>
        <v>0</v>
      </c>
      <c r="AE31" s="41">
        <f>COUNTIFS(集計用!$S:$S, "*"&amp;AE$4&amp;", *",集計用!$G:$G,"*, "&amp;$C31&amp;", *")/$B31*100</f>
        <v>0</v>
      </c>
      <c r="AF31" s="41">
        <f>COUNTIFS(集計用!$S:$S, "*"&amp;AF$4&amp;", *",集計用!$G:$G,"*, "&amp;$C31&amp;", *")/$B31*100</f>
        <v>0</v>
      </c>
      <c r="AG31" s="41">
        <f>COUNTIFS(集計用!$S:$S, "*"&amp;AG$4&amp;", *",集計用!$G:$G,"*, "&amp;$C31&amp;", *")/$B31*100</f>
        <v>0</v>
      </c>
      <c r="AH31" s="41">
        <f>COUNTIFS(集計用!$S:$S, "*"&amp;AH$4&amp;", *",集計用!$G:$G,"*, "&amp;$C31&amp;", *")/$B31*100</f>
        <v>0</v>
      </c>
      <c r="AI31" s="41">
        <f>COUNTIFS(集計用!$S:$S, "*"&amp;AI$4&amp;", *",集計用!$G:$G,"*, "&amp;$C31&amp;", *")/$B31*100</f>
        <v>0</v>
      </c>
    </row>
    <row r="32" spans="1:35" ht="12.75">
      <c r="A32" s="39">
        <v>6</v>
      </c>
      <c r="B32" s="39">
        <f>(COUNTIFS(集計用!$G:$G,"*, "&amp;$C32&amp;",*",集計用!$T:$T, "&lt;&gt;無回答"))</f>
        <v>20</v>
      </c>
      <c r="C32" s="42" t="s">
        <v>26</v>
      </c>
      <c r="D32" s="41">
        <f>COUNTIFS(集計用!$S:$S, "*"&amp;D$4&amp;", *",集計用!$G:$G,"*, "&amp;$C32&amp;", *")/$B32*100</f>
        <v>0</v>
      </c>
      <c r="E32" s="41">
        <f>COUNTIFS(集計用!$S:$S, "*"&amp;E$4&amp;", *",集計用!$G:$G,"*, "&amp;$C32&amp;", *")/$B32*100</f>
        <v>0</v>
      </c>
      <c r="F32" s="41">
        <f>COUNTIFS(集計用!$S:$S, "*"&amp;F$4&amp;", *",集計用!$G:$G,"*, "&amp;$C32&amp;", *")/$B32*100</f>
        <v>0</v>
      </c>
      <c r="G32" s="41">
        <f>COUNTIFS(集計用!$S:$S, "*"&amp;G$4&amp;", *",集計用!$G:$G,"*, "&amp;$C32&amp;", *")/$B32*100</f>
        <v>0</v>
      </c>
      <c r="H32" s="41">
        <f>COUNTIFS(集計用!$S:$S, "*"&amp;H$4&amp;", *",集計用!$G:$G,"*, "&amp;$C32&amp;", *")/$B32*100</f>
        <v>0</v>
      </c>
      <c r="I32" s="41">
        <f>COUNTIFS(集計用!$S:$S, "*"&amp;I$4&amp;", *",集計用!$G:$G,"*, "&amp;$C32&amp;", *")/$B32*100</f>
        <v>0</v>
      </c>
      <c r="J32" s="41">
        <f>COUNTIFS(集計用!$S:$S, "*"&amp;J$4&amp;", *",集計用!$G:$G,"*, "&amp;$C32&amp;", *")/$B32*100</f>
        <v>0</v>
      </c>
      <c r="K32" s="41">
        <f>COUNTIFS(集計用!$S:$S, "*"&amp;K$4&amp;", *",集計用!$G:$G,"*, "&amp;$C32&amp;", *")/$B32*100</f>
        <v>0</v>
      </c>
      <c r="L32" s="41">
        <f>COUNTIFS(集計用!$S:$S, "*"&amp;L$4&amp;", *",集計用!$G:$G,"*, "&amp;$C32&amp;", *")/$B32*100</f>
        <v>0</v>
      </c>
      <c r="M32" s="41">
        <f>COUNTIFS(集計用!$S:$S, "*"&amp;M$4&amp;", *",集計用!$G:$G,"*, "&amp;$C32&amp;", *")/$B32*100</f>
        <v>0</v>
      </c>
      <c r="N32" s="41">
        <f>COUNTIFS(集計用!$S:$S, "*"&amp;N$4&amp;", *",集計用!$G:$G,"*, "&amp;$C32&amp;", *")/$B32*100</f>
        <v>0</v>
      </c>
      <c r="O32" s="41">
        <f>COUNTIFS(集計用!$S:$S, "*"&amp;O$4&amp;", *",集計用!$G:$G,"*, "&amp;$C32&amp;", *")/$B32*100</f>
        <v>0</v>
      </c>
      <c r="P32" s="41">
        <f>COUNTIFS(集計用!$S:$S, "*"&amp;P$4&amp;", *",集計用!$G:$G,"*, "&amp;$C32&amp;", *")/$B32*100</f>
        <v>0</v>
      </c>
      <c r="Q32" s="41">
        <f>COUNTIFS(集計用!$S:$S, "*"&amp;Q$4&amp;", *",集計用!$G:$G,"*, "&amp;$C32&amp;", *")/$B32*100</f>
        <v>0</v>
      </c>
      <c r="R32" s="41">
        <f>COUNTIFS(集計用!$S:$S, "*"&amp;R$4&amp;", *",集計用!$G:$G,"*, "&amp;$C32&amp;", *")/$B32*100</f>
        <v>0</v>
      </c>
      <c r="S32" s="41">
        <f>COUNTIFS(集計用!$S:$S, "*"&amp;S$4&amp;", *",集計用!$G:$G,"*, "&amp;$C32&amp;", *")/$B32*100</f>
        <v>0</v>
      </c>
      <c r="T32" s="41">
        <f>COUNTIFS(集計用!$S:$S, "*"&amp;T$4&amp;", *",集計用!$G:$G,"*, "&amp;$C32&amp;", *")/$B32*100</f>
        <v>0</v>
      </c>
      <c r="U32" s="41">
        <f>COUNTIFS(集計用!$S:$S, "*"&amp;U$4&amp;", *",集計用!$G:$G,"*, "&amp;$C32&amp;", *")/$B32*100</f>
        <v>0</v>
      </c>
      <c r="V32" s="41">
        <f>COUNTIFS(集計用!$S:$S, "*"&amp;V$4&amp;", *",集計用!$G:$G,"*, "&amp;$C32&amp;", *")/$B32*100</f>
        <v>0</v>
      </c>
      <c r="W32" s="41">
        <f>COUNTIFS(集計用!$S:$S, "*"&amp;W$4&amp;", *",集計用!$G:$G,"*, "&amp;$C32&amp;", *")/$B32*100</f>
        <v>0</v>
      </c>
      <c r="X32" s="41">
        <f>COUNTIFS(集計用!$S:$S, "*"&amp;X$4&amp;", *",集計用!$G:$G,"*, "&amp;$C32&amp;", *")/$B32*100</f>
        <v>0</v>
      </c>
      <c r="Y32" s="41">
        <f>COUNTIFS(集計用!$S:$S, "*"&amp;Y$4&amp;", *",集計用!$G:$G,"*, "&amp;$C32&amp;", *")/$B32*100</f>
        <v>0</v>
      </c>
      <c r="Z32" s="41">
        <f>COUNTIFS(集計用!$S:$S, "*"&amp;Z$4&amp;", *",集計用!$G:$G,"*, "&amp;$C32&amp;", *")/$B32*100</f>
        <v>0</v>
      </c>
      <c r="AA32" s="41">
        <f>COUNTIFS(集計用!$S:$S, "*"&amp;AA$4&amp;", *",集計用!$G:$G,"*, "&amp;$C32&amp;", *")/$B32*100</f>
        <v>0</v>
      </c>
      <c r="AB32" s="41">
        <f>COUNTIFS(集計用!$S:$S, "*"&amp;AB$4&amp;", *",集計用!$G:$G,"*, "&amp;$C32&amp;", *")/$B32*100</f>
        <v>0</v>
      </c>
      <c r="AC32" s="41">
        <f>COUNTIFS(集計用!$S:$S, "*"&amp;AC$4&amp;", *",集計用!$G:$G,"*, "&amp;$C32&amp;", *")/$B32*100</f>
        <v>0</v>
      </c>
      <c r="AD32" s="41">
        <f>COUNTIFS(集計用!$S:$S, "*"&amp;AD$4&amp;", *",集計用!$G:$G,"*, "&amp;$C32&amp;", *")/$B32*100</f>
        <v>0</v>
      </c>
      <c r="AE32" s="41">
        <f>COUNTIFS(集計用!$S:$S, "*"&amp;AE$4&amp;", *",集計用!$G:$G,"*, "&amp;$C32&amp;", *")/$B32*100</f>
        <v>0</v>
      </c>
      <c r="AF32" s="41">
        <f>COUNTIFS(集計用!$S:$S, "*"&amp;AF$4&amp;", *",集計用!$G:$G,"*, "&amp;$C32&amp;", *")/$B32*100</f>
        <v>0</v>
      </c>
      <c r="AG32" s="41">
        <f>COUNTIFS(集計用!$S:$S, "*"&amp;AG$4&amp;", *",集計用!$G:$G,"*, "&amp;$C32&amp;", *")/$B32*100</f>
        <v>0</v>
      </c>
      <c r="AH32" s="41">
        <f>COUNTIFS(集計用!$S:$S, "*"&amp;AH$4&amp;", *",集計用!$G:$G,"*, "&amp;$C32&amp;", *")/$B32*100</f>
        <v>0</v>
      </c>
      <c r="AI32" s="41">
        <f>COUNTIFS(集計用!$S:$S, "*"&amp;AI$4&amp;", *",集計用!$G:$G,"*, "&amp;$C32&amp;", *")/$B32*100</f>
        <v>0</v>
      </c>
    </row>
    <row r="33" spans="1:35" ht="12.75">
      <c r="A33" s="39">
        <v>4</v>
      </c>
      <c r="B33" s="39">
        <f>(COUNTIFS(集計用!$G:$G,"*, "&amp;$C33&amp;",*",集計用!$T:$T, "&lt;&gt;無回答"))</f>
        <v>19</v>
      </c>
      <c r="C33" s="42" t="s">
        <v>27</v>
      </c>
      <c r="D33" s="41">
        <f>COUNTIFS(集計用!$S:$S, "*"&amp;D$4&amp;", *",集計用!$G:$G,"*, "&amp;$C33&amp;", *")/$B33*100</f>
        <v>0</v>
      </c>
      <c r="E33" s="41">
        <f>COUNTIFS(集計用!$S:$S, "*"&amp;E$4&amp;", *",集計用!$G:$G,"*, "&amp;$C33&amp;", *")/$B33*100</f>
        <v>0</v>
      </c>
      <c r="F33" s="41">
        <f>COUNTIFS(集計用!$S:$S, "*"&amp;F$4&amp;", *",集計用!$G:$G,"*, "&amp;$C33&amp;", *")/$B33*100</f>
        <v>0</v>
      </c>
      <c r="G33" s="41">
        <f>COUNTIFS(集計用!$S:$S, "*"&amp;G$4&amp;", *",集計用!$G:$G,"*, "&amp;$C33&amp;", *")/$B33*100</f>
        <v>0</v>
      </c>
      <c r="H33" s="41">
        <f>COUNTIFS(集計用!$S:$S, "*"&amp;H$4&amp;", *",集計用!$G:$G,"*, "&amp;$C33&amp;", *")/$B33*100</f>
        <v>0</v>
      </c>
      <c r="I33" s="41">
        <f>COUNTIFS(集計用!$S:$S, "*"&amp;I$4&amp;", *",集計用!$G:$G,"*, "&amp;$C33&amp;", *")/$B33*100</f>
        <v>0</v>
      </c>
      <c r="J33" s="41">
        <f>COUNTIFS(集計用!$S:$S, "*"&amp;J$4&amp;", *",集計用!$G:$G,"*, "&amp;$C33&amp;", *")/$B33*100</f>
        <v>0</v>
      </c>
      <c r="K33" s="41">
        <f>COUNTIFS(集計用!$S:$S, "*"&amp;K$4&amp;", *",集計用!$G:$G,"*, "&amp;$C33&amp;", *")/$B33*100</f>
        <v>0</v>
      </c>
      <c r="L33" s="41">
        <f>COUNTIFS(集計用!$S:$S, "*"&amp;L$4&amp;", *",集計用!$G:$G,"*, "&amp;$C33&amp;", *")/$B33*100</f>
        <v>0</v>
      </c>
      <c r="M33" s="41">
        <f>COUNTIFS(集計用!$S:$S, "*"&amp;M$4&amp;", *",集計用!$G:$G,"*, "&amp;$C33&amp;", *")/$B33*100</f>
        <v>0</v>
      </c>
      <c r="N33" s="41">
        <f>COUNTIFS(集計用!$S:$S, "*"&amp;N$4&amp;", *",集計用!$G:$G,"*, "&amp;$C33&amp;", *")/$B33*100</f>
        <v>0</v>
      </c>
      <c r="O33" s="41">
        <f>COUNTIFS(集計用!$S:$S, "*"&amp;O$4&amp;", *",集計用!$G:$G,"*, "&amp;$C33&amp;", *")/$B33*100</f>
        <v>0</v>
      </c>
      <c r="P33" s="41">
        <f>COUNTIFS(集計用!$S:$S, "*"&amp;P$4&amp;", *",集計用!$G:$G,"*, "&amp;$C33&amp;", *")/$B33*100</f>
        <v>0</v>
      </c>
      <c r="Q33" s="41">
        <f>COUNTIFS(集計用!$S:$S, "*"&amp;Q$4&amp;", *",集計用!$G:$G,"*, "&amp;$C33&amp;", *")/$B33*100</f>
        <v>0</v>
      </c>
      <c r="R33" s="41">
        <f>COUNTIFS(集計用!$S:$S, "*"&amp;R$4&amp;", *",集計用!$G:$G,"*, "&amp;$C33&amp;", *")/$B33*100</f>
        <v>0</v>
      </c>
      <c r="S33" s="41">
        <f>COUNTIFS(集計用!$S:$S, "*"&amp;S$4&amp;", *",集計用!$G:$G,"*, "&amp;$C33&amp;", *")/$B33*100</f>
        <v>0</v>
      </c>
      <c r="T33" s="41">
        <f>COUNTIFS(集計用!$S:$S, "*"&amp;T$4&amp;", *",集計用!$G:$G,"*, "&amp;$C33&amp;", *")/$B33*100</f>
        <v>0</v>
      </c>
      <c r="U33" s="41">
        <f>COUNTIFS(集計用!$S:$S, "*"&amp;U$4&amp;", *",集計用!$G:$G,"*, "&amp;$C33&amp;", *")/$B33*100</f>
        <v>0</v>
      </c>
      <c r="V33" s="41">
        <f>COUNTIFS(集計用!$S:$S, "*"&amp;V$4&amp;", *",集計用!$G:$G,"*, "&amp;$C33&amp;", *")/$B33*100</f>
        <v>0</v>
      </c>
      <c r="W33" s="41">
        <f>COUNTIFS(集計用!$S:$S, "*"&amp;W$4&amp;", *",集計用!$G:$G,"*, "&amp;$C33&amp;", *")/$B33*100</f>
        <v>0</v>
      </c>
      <c r="X33" s="41">
        <f>COUNTIFS(集計用!$S:$S, "*"&amp;X$4&amp;", *",集計用!$G:$G,"*, "&amp;$C33&amp;", *")/$B33*100</f>
        <v>0</v>
      </c>
      <c r="Y33" s="41">
        <f>COUNTIFS(集計用!$S:$S, "*"&amp;Y$4&amp;", *",集計用!$G:$G,"*, "&amp;$C33&amp;", *")/$B33*100</f>
        <v>0</v>
      </c>
      <c r="Z33" s="41">
        <f>COUNTIFS(集計用!$S:$S, "*"&amp;Z$4&amp;", *",集計用!$G:$G,"*, "&amp;$C33&amp;", *")/$B33*100</f>
        <v>0</v>
      </c>
      <c r="AA33" s="41">
        <f>COUNTIFS(集計用!$S:$S, "*"&amp;AA$4&amp;", *",集計用!$G:$G,"*, "&amp;$C33&amp;", *")/$B33*100</f>
        <v>0</v>
      </c>
      <c r="AB33" s="41">
        <f>COUNTIFS(集計用!$S:$S, "*"&amp;AB$4&amp;", *",集計用!$G:$G,"*, "&amp;$C33&amp;", *")/$B33*100</f>
        <v>0</v>
      </c>
      <c r="AC33" s="41">
        <f>COUNTIFS(集計用!$S:$S, "*"&amp;AC$4&amp;", *",集計用!$G:$G,"*, "&amp;$C33&amp;", *")/$B33*100</f>
        <v>0</v>
      </c>
      <c r="AD33" s="41">
        <f>COUNTIFS(集計用!$S:$S, "*"&amp;AD$4&amp;", *",集計用!$G:$G,"*, "&amp;$C33&amp;", *")/$B33*100</f>
        <v>0</v>
      </c>
      <c r="AE33" s="41">
        <f>COUNTIFS(集計用!$S:$S, "*"&amp;AE$4&amp;", *",集計用!$G:$G,"*, "&amp;$C33&amp;", *")/$B33*100</f>
        <v>0</v>
      </c>
      <c r="AF33" s="41">
        <f>COUNTIFS(集計用!$S:$S, "*"&amp;AF$4&amp;", *",集計用!$G:$G,"*, "&amp;$C33&amp;", *")/$B33*100</f>
        <v>0</v>
      </c>
      <c r="AG33" s="41">
        <f>COUNTIFS(集計用!$S:$S, "*"&amp;AG$4&amp;", *",集計用!$G:$G,"*, "&amp;$C33&amp;", *")/$B33*100</f>
        <v>0</v>
      </c>
      <c r="AH33" s="41">
        <f>COUNTIFS(集計用!$S:$S, "*"&amp;AH$4&amp;", *",集計用!$G:$G,"*, "&amp;$C33&amp;", *")/$B33*100</f>
        <v>0</v>
      </c>
      <c r="AI33" s="41">
        <f>COUNTIFS(集計用!$S:$S, "*"&amp;AI$4&amp;", *",集計用!$G:$G,"*, "&amp;$C33&amp;", *")/$B33*100</f>
        <v>0</v>
      </c>
    </row>
    <row r="34" spans="1:35" ht="12.75">
      <c r="A34" s="39">
        <v>5</v>
      </c>
      <c r="B34" s="39">
        <f>(COUNTIFS(集計用!$G:$G,"*, "&amp;$C34&amp;",*",集計用!$T:$T, "&lt;&gt;無回答"))</f>
        <v>18</v>
      </c>
      <c r="C34" s="42" t="s">
        <v>28</v>
      </c>
      <c r="D34" s="41">
        <f>COUNTIFS(集計用!$S:$S, "*"&amp;D$4&amp;", *",集計用!$G:$G,"*, "&amp;$C34&amp;", *")/$B34*100</f>
        <v>0</v>
      </c>
      <c r="E34" s="41">
        <f>COUNTIFS(集計用!$S:$S, "*"&amp;E$4&amp;", *",集計用!$G:$G,"*, "&amp;$C34&amp;", *")/$B34*100</f>
        <v>0</v>
      </c>
      <c r="F34" s="41">
        <f>COUNTIFS(集計用!$S:$S, "*"&amp;F$4&amp;", *",集計用!$G:$G,"*, "&amp;$C34&amp;", *")/$B34*100</f>
        <v>0</v>
      </c>
      <c r="G34" s="41">
        <f>COUNTIFS(集計用!$S:$S, "*"&amp;G$4&amp;", *",集計用!$G:$G,"*, "&amp;$C34&amp;", *")/$B34*100</f>
        <v>0</v>
      </c>
      <c r="H34" s="41">
        <f>COUNTIFS(集計用!$S:$S, "*"&amp;H$4&amp;", *",集計用!$G:$G,"*, "&amp;$C34&amp;", *")/$B34*100</f>
        <v>0</v>
      </c>
      <c r="I34" s="41">
        <f>COUNTIFS(集計用!$S:$S, "*"&amp;I$4&amp;", *",集計用!$G:$G,"*, "&amp;$C34&amp;", *")/$B34*100</f>
        <v>0</v>
      </c>
      <c r="J34" s="41">
        <f>COUNTIFS(集計用!$S:$S, "*"&amp;J$4&amp;", *",集計用!$G:$G,"*, "&amp;$C34&amp;", *")/$B34*100</f>
        <v>0</v>
      </c>
      <c r="K34" s="41">
        <f>COUNTIFS(集計用!$S:$S, "*"&amp;K$4&amp;", *",集計用!$G:$G,"*, "&amp;$C34&amp;", *")/$B34*100</f>
        <v>0</v>
      </c>
      <c r="L34" s="41">
        <f>COUNTIFS(集計用!$S:$S, "*"&amp;L$4&amp;", *",集計用!$G:$G,"*, "&amp;$C34&amp;", *")/$B34*100</f>
        <v>0</v>
      </c>
      <c r="M34" s="41">
        <f>COUNTIFS(集計用!$S:$S, "*"&amp;M$4&amp;", *",集計用!$G:$G,"*, "&amp;$C34&amp;", *")/$B34*100</f>
        <v>0</v>
      </c>
      <c r="N34" s="41">
        <f>COUNTIFS(集計用!$S:$S, "*"&amp;N$4&amp;", *",集計用!$G:$G,"*, "&amp;$C34&amp;", *")/$B34*100</f>
        <v>0</v>
      </c>
      <c r="O34" s="41">
        <f>COUNTIFS(集計用!$S:$S, "*"&amp;O$4&amp;", *",集計用!$G:$G,"*, "&amp;$C34&amp;", *")/$B34*100</f>
        <v>0</v>
      </c>
      <c r="P34" s="41">
        <f>COUNTIFS(集計用!$S:$S, "*"&amp;P$4&amp;", *",集計用!$G:$G,"*, "&amp;$C34&amp;", *")/$B34*100</f>
        <v>0</v>
      </c>
      <c r="Q34" s="41">
        <f>COUNTIFS(集計用!$S:$S, "*"&amp;Q$4&amp;", *",集計用!$G:$G,"*, "&amp;$C34&amp;", *")/$B34*100</f>
        <v>0</v>
      </c>
      <c r="R34" s="41">
        <f>COUNTIFS(集計用!$S:$S, "*"&amp;R$4&amp;", *",集計用!$G:$G,"*, "&amp;$C34&amp;", *")/$B34*100</f>
        <v>0</v>
      </c>
      <c r="S34" s="41">
        <f>COUNTIFS(集計用!$S:$S, "*"&amp;S$4&amp;", *",集計用!$G:$G,"*, "&amp;$C34&amp;", *")/$B34*100</f>
        <v>0</v>
      </c>
      <c r="T34" s="41">
        <f>COUNTIFS(集計用!$S:$S, "*"&amp;T$4&amp;", *",集計用!$G:$G,"*, "&amp;$C34&amp;", *")/$B34*100</f>
        <v>0</v>
      </c>
      <c r="U34" s="41">
        <f>COUNTIFS(集計用!$S:$S, "*"&amp;U$4&amp;", *",集計用!$G:$G,"*, "&amp;$C34&amp;", *")/$B34*100</f>
        <v>0</v>
      </c>
      <c r="V34" s="41">
        <f>COUNTIFS(集計用!$S:$S, "*"&amp;V$4&amp;", *",集計用!$G:$G,"*, "&amp;$C34&amp;", *")/$B34*100</f>
        <v>0</v>
      </c>
      <c r="W34" s="41">
        <f>COUNTIFS(集計用!$S:$S, "*"&amp;W$4&amp;", *",集計用!$G:$G,"*, "&amp;$C34&amp;", *")/$B34*100</f>
        <v>0</v>
      </c>
      <c r="X34" s="41">
        <f>COUNTIFS(集計用!$S:$S, "*"&amp;X$4&amp;", *",集計用!$G:$G,"*, "&amp;$C34&amp;", *")/$B34*100</f>
        <v>0</v>
      </c>
      <c r="Y34" s="41">
        <f>COUNTIFS(集計用!$S:$S, "*"&amp;Y$4&amp;", *",集計用!$G:$G,"*, "&amp;$C34&amp;", *")/$B34*100</f>
        <v>0</v>
      </c>
      <c r="Z34" s="41">
        <f>COUNTIFS(集計用!$S:$S, "*"&amp;Z$4&amp;", *",集計用!$G:$G,"*, "&amp;$C34&amp;", *")/$B34*100</f>
        <v>0</v>
      </c>
      <c r="AA34" s="41">
        <f>COUNTIFS(集計用!$S:$S, "*"&amp;AA$4&amp;", *",集計用!$G:$G,"*, "&amp;$C34&amp;", *")/$B34*100</f>
        <v>0</v>
      </c>
      <c r="AB34" s="41">
        <f>COUNTIFS(集計用!$S:$S, "*"&amp;AB$4&amp;", *",集計用!$G:$G,"*, "&amp;$C34&amp;", *")/$B34*100</f>
        <v>0</v>
      </c>
      <c r="AC34" s="41">
        <f>COUNTIFS(集計用!$S:$S, "*"&amp;AC$4&amp;", *",集計用!$G:$G,"*, "&amp;$C34&amp;", *")/$B34*100</f>
        <v>0</v>
      </c>
      <c r="AD34" s="41">
        <f>COUNTIFS(集計用!$S:$S, "*"&amp;AD$4&amp;", *",集計用!$G:$G,"*, "&amp;$C34&amp;", *")/$B34*100</f>
        <v>0</v>
      </c>
      <c r="AE34" s="41">
        <f>COUNTIFS(集計用!$S:$S, "*"&amp;AE$4&amp;", *",集計用!$G:$G,"*, "&amp;$C34&amp;", *")/$B34*100</f>
        <v>0</v>
      </c>
      <c r="AF34" s="41">
        <f>COUNTIFS(集計用!$S:$S, "*"&amp;AF$4&amp;", *",集計用!$G:$G,"*, "&amp;$C34&amp;", *")/$B34*100</f>
        <v>0</v>
      </c>
      <c r="AG34" s="41">
        <f>COUNTIFS(集計用!$S:$S, "*"&amp;AG$4&amp;", *",集計用!$G:$G,"*, "&amp;$C34&amp;", *")/$B34*100</f>
        <v>0</v>
      </c>
      <c r="AH34" s="41">
        <f>COUNTIFS(集計用!$S:$S, "*"&amp;AH$4&amp;", *",集計用!$G:$G,"*, "&amp;$C34&amp;", *")/$B34*100</f>
        <v>5.5555555555555554</v>
      </c>
      <c r="AI34" s="41">
        <f>COUNTIFS(集計用!$S:$S, "*"&amp;AI$4&amp;", *",集計用!$G:$G,"*, "&amp;$C34&amp;", *")/$B34*100</f>
        <v>0</v>
      </c>
    </row>
    <row r="35" spans="1:35" ht="15.75" customHeight="1">
      <c r="A35" s="39">
        <v>5</v>
      </c>
      <c r="B35" s="39">
        <f>(COUNTIFS(集計用!$G:$G,"*, "&amp;$C35&amp;",*",集計用!$T:$T, "&lt;&gt;無回答"))</f>
        <v>18</v>
      </c>
      <c r="C35" s="42" t="s">
        <v>29</v>
      </c>
      <c r="D35" s="41">
        <f>COUNTIFS(集計用!$S:$S, "*"&amp;D$4&amp;", *",集計用!$G:$G,"*, "&amp;$C35&amp;", *")/$B35*100</f>
        <v>0</v>
      </c>
      <c r="E35" s="41">
        <f>COUNTIFS(集計用!$S:$S, "*"&amp;E$4&amp;", *",集計用!$G:$G,"*, "&amp;$C35&amp;", *")/$B35*100</f>
        <v>0</v>
      </c>
      <c r="F35" s="41">
        <f>COUNTIFS(集計用!$S:$S, "*"&amp;F$4&amp;", *",集計用!$G:$G,"*, "&amp;$C35&amp;", *")/$B35*100</f>
        <v>0</v>
      </c>
      <c r="G35" s="41">
        <f>COUNTIFS(集計用!$S:$S, "*"&amp;G$4&amp;", *",集計用!$G:$G,"*, "&amp;$C35&amp;", *")/$B35*100</f>
        <v>0</v>
      </c>
      <c r="H35" s="41">
        <f>COUNTIFS(集計用!$S:$S, "*"&amp;H$4&amp;", *",集計用!$G:$G,"*, "&amp;$C35&amp;", *")/$B35*100</f>
        <v>0</v>
      </c>
      <c r="I35" s="41">
        <f>COUNTIFS(集計用!$S:$S, "*"&amp;I$4&amp;", *",集計用!$G:$G,"*, "&amp;$C35&amp;", *")/$B35*100</f>
        <v>0</v>
      </c>
      <c r="J35" s="41">
        <f>COUNTIFS(集計用!$S:$S, "*"&amp;J$4&amp;", *",集計用!$G:$G,"*, "&amp;$C35&amp;", *")/$B35*100</f>
        <v>0</v>
      </c>
      <c r="K35" s="41">
        <f>COUNTIFS(集計用!$S:$S, "*"&amp;K$4&amp;", *",集計用!$G:$G,"*, "&amp;$C35&amp;", *")/$B35*100</f>
        <v>0</v>
      </c>
      <c r="L35" s="41">
        <f>COUNTIFS(集計用!$S:$S, "*"&amp;L$4&amp;", *",集計用!$G:$G,"*, "&amp;$C35&amp;", *")/$B35*100</f>
        <v>0</v>
      </c>
      <c r="M35" s="41">
        <f>COUNTIFS(集計用!$S:$S, "*"&amp;M$4&amp;", *",集計用!$G:$G,"*, "&amp;$C35&amp;", *")/$B35*100</f>
        <v>0</v>
      </c>
      <c r="N35" s="41">
        <f>COUNTIFS(集計用!$S:$S, "*"&amp;N$4&amp;", *",集計用!$G:$G,"*, "&amp;$C35&amp;", *")/$B35*100</f>
        <v>0</v>
      </c>
      <c r="O35" s="41">
        <f>COUNTIFS(集計用!$S:$S, "*"&amp;O$4&amp;", *",集計用!$G:$G,"*, "&amp;$C35&amp;", *")/$B35*100</f>
        <v>0</v>
      </c>
      <c r="P35" s="41">
        <f>COUNTIFS(集計用!$S:$S, "*"&amp;P$4&amp;", *",集計用!$G:$G,"*, "&amp;$C35&amp;", *")/$B35*100</f>
        <v>0</v>
      </c>
      <c r="Q35" s="41">
        <f>COUNTIFS(集計用!$S:$S, "*"&amp;Q$4&amp;", *",集計用!$G:$G,"*, "&amp;$C35&amp;", *")/$B35*100</f>
        <v>0</v>
      </c>
      <c r="R35" s="41">
        <f>COUNTIFS(集計用!$S:$S, "*"&amp;R$4&amp;", *",集計用!$G:$G,"*, "&amp;$C35&amp;", *")/$B35*100</f>
        <v>0</v>
      </c>
      <c r="S35" s="41">
        <f>COUNTIFS(集計用!$S:$S, "*"&amp;S$4&amp;", *",集計用!$G:$G,"*, "&amp;$C35&amp;", *")/$B35*100</f>
        <v>0</v>
      </c>
      <c r="T35" s="41">
        <f>COUNTIFS(集計用!$S:$S, "*"&amp;T$4&amp;", *",集計用!$G:$G,"*, "&amp;$C35&amp;", *")/$B35*100</f>
        <v>0</v>
      </c>
      <c r="U35" s="41">
        <f>COUNTIFS(集計用!$S:$S, "*"&amp;U$4&amp;", *",集計用!$G:$G,"*, "&amp;$C35&amp;", *")/$B35*100</f>
        <v>0</v>
      </c>
      <c r="V35" s="41">
        <f>COUNTIFS(集計用!$S:$S, "*"&amp;V$4&amp;", *",集計用!$G:$G,"*, "&amp;$C35&amp;", *")/$B35*100</f>
        <v>0</v>
      </c>
      <c r="W35" s="41">
        <f>COUNTIFS(集計用!$S:$S, "*"&amp;W$4&amp;", *",集計用!$G:$G,"*, "&amp;$C35&amp;", *")/$B35*100</f>
        <v>0</v>
      </c>
      <c r="X35" s="41">
        <f>COUNTIFS(集計用!$S:$S, "*"&amp;X$4&amp;", *",集計用!$G:$G,"*, "&amp;$C35&amp;", *")/$B35*100</f>
        <v>0</v>
      </c>
      <c r="Y35" s="41">
        <f>COUNTIFS(集計用!$S:$S, "*"&amp;Y$4&amp;", *",集計用!$G:$G,"*, "&amp;$C35&amp;", *")/$B35*100</f>
        <v>0</v>
      </c>
      <c r="Z35" s="41">
        <f>COUNTIFS(集計用!$S:$S, "*"&amp;Z$4&amp;", *",集計用!$G:$G,"*, "&amp;$C35&amp;", *")/$B35*100</f>
        <v>0</v>
      </c>
      <c r="AA35" s="41">
        <f>COUNTIFS(集計用!$S:$S, "*"&amp;AA$4&amp;", *",集計用!$G:$G,"*, "&amp;$C35&amp;", *")/$B35*100</f>
        <v>0</v>
      </c>
      <c r="AB35" s="41">
        <f>COUNTIFS(集計用!$S:$S, "*"&amp;AB$4&amp;", *",集計用!$G:$G,"*, "&amp;$C35&amp;", *")/$B35*100</f>
        <v>0</v>
      </c>
      <c r="AC35" s="41">
        <f>COUNTIFS(集計用!$S:$S, "*"&amp;AC$4&amp;", *",集計用!$G:$G,"*, "&amp;$C35&amp;", *")/$B35*100</f>
        <v>0</v>
      </c>
      <c r="AD35" s="41">
        <f>COUNTIFS(集計用!$S:$S, "*"&amp;AD$4&amp;", *",集計用!$G:$G,"*, "&amp;$C35&amp;", *")/$B35*100</f>
        <v>0</v>
      </c>
      <c r="AE35" s="41">
        <f>COUNTIFS(集計用!$S:$S, "*"&amp;AE$4&amp;", *",集計用!$G:$G,"*, "&amp;$C35&amp;", *")/$B35*100</f>
        <v>0</v>
      </c>
      <c r="AF35" s="41">
        <f>COUNTIFS(集計用!$S:$S, "*"&amp;AF$4&amp;", *",集計用!$G:$G,"*, "&amp;$C35&amp;", *")/$B35*100</f>
        <v>0</v>
      </c>
      <c r="AG35" s="41">
        <f>COUNTIFS(集計用!$S:$S, "*"&amp;AG$4&amp;", *",集計用!$G:$G,"*, "&amp;$C35&amp;", *")/$B35*100</f>
        <v>0</v>
      </c>
      <c r="AH35" s="41">
        <f>COUNTIFS(集計用!$S:$S, "*"&amp;AH$4&amp;", *",集計用!$G:$G,"*, "&amp;$C35&amp;", *")/$B35*100</f>
        <v>0</v>
      </c>
      <c r="AI35" s="41">
        <f>COUNTIFS(集計用!$S:$S, "*"&amp;AI$4&amp;", *",集計用!$G:$G,"*, "&amp;$C35&amp;", *")/$B35*100</f>
        <v>0</v>
      </c>
    </row>
    <row r="36" spans="1:35" ht="15.75" customHeight="1">
      <c r="A36" s="39">
        <v>4</v>
      </c>
      <c r="B36" s="39">
        <f>(COUNTIFS(集計用!$G:$G,"*, "&amp;$C36&amp;",*",集計用!$T:$T, "&lt;&gt;無回答"))</f>
        <v>16</v>
      </c>
      <c r="C36" s="42" t="s">
        <v>31</v>
      </c>
      <c r="D36" s="41">
        <f>COUNTIFS(集計用!$S:$S, "*"&amp;D$4&amp;", *",集計用!$G:$G,"*, "&amp;$C36&amp;", *")/$B36*100</f>
        <v>0</v>
      </c>
      <c r="E36" s="41">
        <f>COUNTIFS(集計用!$S:$S, "*"&amp;E$4&amp;", *",集計用!$G:$G,"*, "&amp;$C36&amp;", *")/$B36*100</f>
        <v>0</v>
      </c>
      <c r="F36" s="41">
        <f>COUNTIFS(集計用!$S:$S, "*"&amp;F$4&amp;", *",集計用!$G:$G,"*, "&amp;$C36&amp;", *")/$B36*100</f>
        <v>0</v>
      </c>
      <c r="G36" s="41">
        <f>COUNTIFS(集計用!$S:$S, "*"&amp;G$4&amp;", *",集計用!$G:$G,"*, "&amp;$C36&amp;", *")/$B36*100</f>
        <v>0</v>
      </c>
      <c r="H36" s="41">
        <f>COUNTIFS(集計用!$S:$S, "*"&amp;H$4&amp;", *",集計用!$G:$G,"*, "&amp;$C36&amp;", *")/$B36*100</f>
        <v>0</v>
      </c>
      <c r="I36" s="41">
        <f>COUNTIFS(集計用!$S:$S, "*"&amp;I$4&amp;", *",集計用!$G:$G,"*, "&amp;$C36&amp;", *")/$B36*100</f>
        <v>0</v>
      </c>
      <c r="J36" s="41">
        <f>COUNTIFS(集計用!$S:$S, "*"&amp;J$4&amp;", *",集計用!$G:$G,"*, "&amp;$C36&amp;", *")/$B36*100</f>
        <v>0</v>
      </c>
      <c r="K36" s="41">
        <f>COUNTIFS(集計用!$S:$S, "*"&amp;K$4&amp;", *",集計用!$G:$G,"*, "&amp;$C36&amp;", *")/$B36*100</f>
        <v>0</v>
      </c>
      <c r="L36" s="41">
        <f>COUNTIFS(集計用!$S:$S, "*"&amp;L$4&amp;", *",集計用!$G:$G,"*, "&amp;$C36&amp;", *")/$B36*100</f>
        <v>0</v>
      </c>
      <c r="M36" s="41">
        <f>COUNTIFS(集計用!$S:$S, "*"&amp;M$4&amp;", *",集計用!$G:$G,"*, "&amp;$C36&amp;", *")/$B36*100</f>
        <v>0</v>
      </c>
      <c r="N36" s="41">
        <f>COUNTIFS(集計用!$S:$S, "*"&amp;N$4&amp;", *",集計用!$G:$G,"*, "&amp;$C36&amp;", *")/$B36*100</f>
        <v>0</v>
      </c>
      <c r="O36" s="41">
        <f>COUNTIFS(集計用!$S:$S, "*"&amp;O$4&amp;", *",集計用!$G:$G,"*, "&amp;$C36&amp;", *")/$B36*100</f>
        <v>0</v>
      </c>
      <c r="P36" s="41">
        <f>COUNTIFS(集計用!$S:$S, "*"&amp;P$4&amp;", *",集計用!$G:$G,"*, "&amp;$C36&amp;", *")/$B36*100</f>
        <v>0</v>
      </c>
      <c r="Q36" s="41">
        <f>COUNTIFS(集計用!$S:$S, "*"&amp;Q$4&amp;", *",集計用!$G:$G,"*, "&amp;$C36&amp;", *")/$B36*100</f>
        <v>0</v>
      </c>
      <c r="R36" s="41">
        <f>COUNTIFS(集計用!$S:$S, "*"&amp;R$4&amp;", *",集計用!$G:$G,"*, "&amp;$C36&amp;", *")/$B36*100</f>
        <v>0</v>
      </c>
      <c r="S36" s="41">
        <f>COUNTIFS(集計用!$S:$S, "*"&amp;S$4&amp;", *",集計用!$G:$G,"*, "&amp;$C36&amp;", *")/$B36*100</f>
        <v>0</v>
      </c>
      <c r="T36" s="41">
        <f>COUNTIFS(集計用!$S:$S, "*"&amp;T$4&amp;", *",集計用!$G:$G,"*, "&amp;$C36&amp;", *")/$B36*100</f>
        <v>0</v>
      </c>
      <c r="U36" s="41">
        <f>COUNTIFS(集計用!$S:$S, "*"&amp;U$4&amp;", *",集計用!$G:$G,"*, "&amp;$C36&amp;", *")/$B36*100</f>
        <v>0</v>
      </c>
      <c r="V36" s="41">
        <f>COUNTIFS(集計用!$S:$S, "*"&amp;V$4&amp;", *",集計用!$G:$G,"*, "&amp;$C36&amp;", *")/$B36*100</f>
        <v>0</v>
      </c>
      <c r="W36" s="41">
        <f>COUNTIFS(集計用!$S:$S, "*"&amp;W$4&amp;", *",集計用!$G:$G,"*, "&amp;$C36&amp;", *")/$B36*100</f>
        <v>0</v>
      </c>
      <c r="X36" s="41">
        <f>COUNTIFS(集計用!$S:$S, "*"&amp;X$4&amp;", *",集計用!$G:$G,"*, "&amp;$C36&amp;", *")/$B36*100</f>
        <v>0</v>
      </c>
      <c r="Y36" s="41">
        <f>COUNTIFS(集計用!$S:$S, "*"&amp;Y$4&amp;", *",集計用!$G:$G,"*, "&amp;$C36&amp;", *")/$B36*100</f>
        <v>0</v>
      </c>
      <c r="Z36" s="41">
        <f>COUNTIFS(集計用!$S:$S, "*"&amp;Z$4&amp;", *",集計用!$G:$G,"*, "&amp;$C36&amp;", *")/$B36*100</f>
        <v>0</v>
      </c>
      <c r="AA36" s="41">
        <f>COUNTIFS(集計用!$S:$S, "*"&amp;AA$4&amp;", *",集計用!$G:$G,"*, "&amp;$C36&amp;", *")/$B36*100</f>
        <v>0</v>
      </c>
      <c r="AB36" s="41">
        <f>COUNTIFS(集計用!$S:$S, "*"&amp;AB$4&amp;", *",集計用!$G:$G,"*, "&amp;$C36&amp;", *")/$B36*100</f>
        <v>0</v>
      </c>
      <c r="AC36" s="41">
        <f>COUNTIFS(集計用!$S:$S, "*"&amp;AC$4&amp;", *",集計用!$G:$G,"*, "&amp;$C36&amp;", *")/$B36*100</f>
        <v>0</v>
      </c>
      <c r="AD36" s="41">
        <f>COUNTIFS(集計用!$S:$S, "*"&amp;AD$4&amp;", *",集計用!$G:$G,"*, "&amp;$C36&amp;", *")/$B36*100</f>
        <v>0</v>
      </c>
      <c r="AE36" s="41">
        <f>COUNTIFS(集計用!$S:$S, "*"&amp;AE$4&amp;", *",集計用!$G:$G,"*, "&amp;$C36&amp;", *")/$B36*100</f>
        <v>0</v>
      </c>
      <c r="AF36" s="41">
        <f>COUNTIFS(集計用!$S:$S, "*"&amp;AF$4&amp;", *",集計用!$G:$G,"*, "&amp;$C36&amp;", *")/$B36*100</f>
        <v>0</v>
      </c>
      <c r="AG36" s="41">
        <f>COUNTIFS(集計用!$S:$S, "*"&amp;AG$4&amp;", *",集計用!$G:$G,"*, "&amp;$C36&amp;", *")/$B36*100</f>
        <v>0</v>
      </c>
      <c r="AH36" s="41">
        <f>COUNTIFS(集計用!$S:$S, "*"&amp;AH$4&amp;", *",集計用!$G:$G,"*, "&amp;$C36&amp;", *")/$B36*100</f>
        <v>0</v>
      </c>
      <c r="AI36" s="41">
        <f>COUNTIFS(集計用!$S:$S, "*"&amp;AI$4&amp;", *",集計用!$G:$G,"*, "&amp;$C36&amp;", *")/$B36*100</f>
        <v>0</v>
      </c>
    </row>
    <row r="37" spans="1:35" ht="15.75" customHeight="1">
      <c r="A37" s="39">
        <v>4</v>
      </c>
      <c r="B37" s="39">
        <f>(COUNTIFS(集計用!$G:$G,"*, "&amp;$C37&amp;",*",集計用!$T:$T, "&lt;&gt;無回答"))</f>
        <v>16</v>
      </c>
      <c r="C37" s="42" t="s">
        <v>32</v>
      </c>
      <c r="D37" s="41">
        <f>COUNTIFS(集計用!$S:$S, "*"&amp;D$4&amp;", *",集計用!$G:$G,"*, "&amp;$C37&amp;", *")/$B37*100</f>
        <v>0</v>
      </c>
      <c r="E37" s="41">
        <f>COUNTIFS(集計用!$S:$S, "*"&amp;E$4&amp;", *",集計用!$G:$G,"*, "&amp;$C37&amp;", *")/$B37*100</f>
        <v>0</v>
      </c>
      <c r="F37" s="41">
        <f>COUNTIFS(集計用!$S:$S, "*"&amp;F$4&amp;", *",集計用!$G:$G,"*, "&amp;$C37&amp;", *")/$B37*100</f>
        <v>0</v>
      </c>
      <c r="G37" s="41">
        <f>COUNTIFS(集計用!$S:$S, "*"&amp;G$4&amp;", *",集計用!$G:$G,"*, "&amp;$C37&amp;", *")/$B37*100</f>
        <v>0</v>
      </c>
      <c r="H37" s="41">
        <f>COUNTIFS(集計用!$S:$S, "*"&amp;H$4&amp;", *",集計用!$G:$G,"*, "&amp;$C37&amp;", *")/$B37*100</f>
        <v>0</v>
      </c>
      <c r="I37" s="41">
        <f>COUNTIFS(集計用!$S:$S, "*"&amp;I$4&amp;", *",集計用!$G:$G,"*, "&amp;$C37&amp;", *")/$B37*100</f>
        <v>0</v>
      </c>
      <c r="J37" s="41">
        <f>COUNTIFS(集計用!$S:$S, "*"&amp;J$4&amp;", *",集計用!$G:$G,"*, "&amp;$C37&amp;", *")/$B37*100</f>
        <v>0</v>
      </c>
      <c r="K37" s="41">
        <f>COUNTIFS(集計用!$S:$S, "*"&amp;K$4&amp;", *",集計用!$G:$G,"*, "&amp;$C37&amp;", *")/$B37*100</f>
        <v>0</v>
      </c>
      <c r="L37" s="41">
        <f>COUNTIFS(集計用!$S:$S, "*"&amp;L$4&amp;", *",集計用!$G:$G,"*, "&amp;$C37&amp;", *")/$B37*100</f>
        <v>0</v>
      </c>
      <c r="M37" s="41">
        <f>COUNTIFS(集計用!$S:$S, "*"&amp;M$4&amp;", *",集計用!$G:$G,"*, "&amp;$C37&amp;", *")/$B37*100</f>
        <v>0</v>
      </c>
      <c r="N37" s="41">
        <f>COUNTIFS(集計用!$S:$S, "*"&amp;N$4&amp;", *",集計用!$G:$G,"*, "&amp;$C37&amp;", *")/$B37*100</f>
        <v>0</v>
      </c>
      <c r="O37" s="41">
        <f>COUNTIFS(集計用!$S:$S, "*"&amp;O$4&amp;", *",集計用!$G:$G,"*, "&amp;$C37&amp;", *")/$B37*100</f>
        <v>0</v>
      </c>
      <c r="P37" s="41">
        <f>COUNTIFS(集計用!$S:$S, "*"&amp;P$4&amp;", *",集計用!$G:$G,"*, "&amp;$C37&amp;", *")/$B37*100</f>
        <v>0</v>
      </c>
      <c r="Q37" s="41">
        <f>COUNTIFS(集計用!$S:$S, "*"&amp;Q$4&amp;", *",集計用!$G:$G,"*, "&amp;$C37&amp;", *")/$B37*100</f>
        <v>0</v>
      </c>
      <c r="R37" s="41">
        <f>COUNTIFS(集計用!$S:$S, "*"&amp;R$4&amp;", *",集計用!$G:$G,"*, "&amp;$C37&amp;", *")/$B37*100</f>
        <v>0</v>
      </c>
      <c r="S37" s="41">
        <f>COUNTIFS(集計用!$S:$S, "*"&amp;S$4&amp;", *",集計用!$G:$G,"*, "&amp;$C37&amp;", *")/$B37*100</f>
        <v>0</v>
      </c>
      <c r="T37" s="41">
        <f>COUNTIFS(集計用!$S:$S, "*"&amp;T$4&amp;", *",集計用!$G:$G,"*, "&amp;$C37&amp;", *")/$B37*100</f>
        <v>0</v>
      </c>
      <c r="U37" s="41">
        <f>COUNTIFS(集計用!$S:$S, "*"&amp;U$4&amp;", *",集計用!$G:$G,"*, "&amp;$C37&amp;", *")/$B37*100</f>
        <v>0</v>
      </c>
      <c r="V37" s="41">
        <f>COUNTIFS(集計用!$S:$S, "*"&amp;V$4&amp;", *",集計用!$G:$G,"*, "&amp;$C37&amp;", *")/$B37*100</f>
        <v>0</v>
      </c>
      <c r="W37" s="41">
        <f>COUNTIFS(集計用!$S:$S, "*"&amp;W$4&amp;", *",集計用!$G:$G,"*, "&amp;$C37&amp;", *")/$B37*100</f>
        <v>0</v>
      </c>
      <c r="X37" s="41">
        <f>COUNTIFS(集計用!$S:$S, "*"&amp;X$4&amp;", *",集計用!$G:$G,"*, "&amp;$C37&amp;", *")/$B37*100</f>
        <v>0</v>
      </c>
      <c r="Y37" s="41">
        <f>COUNTIFS(集計用!$S:$S, "*"&amp;Y$4&amp;", *",集計用!$G:$G,"*, "&amp;$C37&amp;", *")/$B37*100</f>
        <v>0</v>
      </c>
      <c r="Z37" s="41">
        <f>COUNTIFS(集計用!$S:$S, "*"&amp;Z$4&amp;", *",集計用!$G:$G,"*, "&amp;$C37&amp;", *")/$B37*100</f>
        <v>0</v>
      </c>
      <c r="AA37" s="41">
        <f>COUNTIFS(集計用!$S:$S, "*"&amp;AA$4&amp;", *",集計用!$G:$G,"*, "&amp;$C37&amp;", *")/$B37*100</f>
        <v>0</v>
      </c>
      <c r="AB37" s="41">
        <f>COUNTIFS(集計用!$S:$S, "*"&amp;AB$4&amp;", *",集計用!$G:$G,"*, "&amp;$C37&amp;", *")/$B37*100</f>
        <v>0</v>
      </c>
      <c r="AC37" s="41">
        <f>COUNTIFS(集計用!$S:$S, "*"&amp;AC$4&amp;", *",集計用!$G:$G,"*, "&amp;$C37&amp;", *")/$B37*100</f>
        <v>0</v>
      </c>
      <c r="AD37" s="41">
        <f>COUNTIFS(集計用!$S:$S, "*"&amp;AD$4&amp;", *",集計用!$G:$G,"*, "&amp;$C37&amp;", *")/$B37*100</f>
        <v>0</v>
      </c>
      <c r="AE37" s="41">
        <f>COUNTIFS(集計用!$S:$S, "*"&amp;AE$4&amp;", *",集計用!$G:$G,"*, "&amp;$C37&amp;", *")/$B37*100</f>
        <v>0</v>
      </c>
      <c r="AF37" s="41">
        <f>COUNTIFS(集計用!$S:$S, "*"&amp;AF$4&amp;", *",集計用!$G:$G,"*, "&amp;$C37&amp;", *")/$B37*100</f>
        <v>0</v>
      </c>
      <c r="AG37" s="41">
        <f>COUNTIFS(集計用!$S:$S, "*"&amp;AG$4&amp;", *",集計用!$G:$G,"*, "&amp;$C37&amp;", *")/$B37*100</f>
        <v>0</v>
      </c>
      <c r="AH37" s="41">
        <f>COUNTIFS(集計用!$S:$S, "*"&amp;AH$4&amp;", *",集計用!$G:$G,"*, "&amp;$C37&amp;", *")/$B37*100</f>
        <v>0</v>
      </c>
      <c r="AI37" s="41">
        <f>COUNTIFS(集計用!$S:$S, "*"&amp;AI$4&amp;", *",集計用!$G:$G,"*, "&amp;$C37&amp;", *")/$B37*100</f>
        <v>0</v>
      </c>
    </row>
    <row r="38" spans="1:35" ht="15.75" customHeight="1">
      <c r="A38" s="39">
        <v>5</v>
      </c>
      <c r="B38" s="39">
        <f>(COUNTIFS(集計用!$G:$G,"*, "&amp;$C38&amp;",*",集計用!$T:$T, "&lt;&gt;無回答"))</f>
        <v>16</v>
      </c>
      <c r="C38" s="42" t="s">
        <v>30</v>
      </c>
      <c r="D38" s="41">
        <f>COUNTIFS(集計用!$S:$S, "*"&amp;D$4&amp;", *",集計用!$G:$G,"*, "&amp;$C38&amp;", *")/$B38*100</f>
        <v>6.25</v>
      </c>
      <c r="E38" s="41">
        <f>COUNTIFS(集計用!$S:$S, "*"&amp;E$4&amp;", *",集計用!$G:$G,"*, "&amp;$C38&amp;", *")/$B38*100</f>
        <v>0</v>
      </c>
      <c r="F38" s="41">
        <f>COUNTIFS(集計用!$S:$S, "*"&amp;F$4&amp;", *",集計用!$G:$G,"*, "&amp;$C38&amp;", *")/$B38*100</f>
        <v>0</v>
      </c>
      <c r="G38" s="41">
        <f>COUNTIFS(集計用!$S:$S, "*"&amp;G$4&amp;", *",集計用!$G:$G,"*, "&amp;$C38&amp;", *")/$B38*100</f>
        <v>0</v>
      </c>
      <c r="H38" s="41">
        <f>COUNTIFS(集計用!$S:$S, "*"&amp;H$4&amp;", *",集計用!$G:$G,"*, "&amp;$C38&amp;", *")/$B38*100</f>
        <v>0</v>
      </c>
      <c r="I38" s="41">
        <f>COUNTIFS(集計用!$S:$S, "*"&amp;I$4&amp;", *",集計用!$G:$G,"*, "&amp;$C38&amp;", *")/$B38*100</f>
        <v>0</v>
      </c>
      <c r="J38" s="41">
        <f>COUNTIFS(集計用!$S:$S, "*"&amp;J$4&amp;", *",集計用!$G:$G,"*, "&amp;$C38&amp;", *")/$B38*100</f>
        <v>0</v>
      </c>
      <c r="K38" s="41">
        <f>COUNTIFS(集計用!$S:$S, "*"&amp;K$4&amp;", *",集計用!$G:$G,"*, "&amp;$C38&amp;", *")/$B38*100</f>
        <v>0</v>
      </c>
      <c r="L38" s="41">
        <f>COUNTIFS(集計用!$S:$S, "*"&amp;L$4&amp;", *",集計用!$G:$G,"*, "&amp;$C38&amp;", *")/$B38*100</f>
        <v>0</v>
      </c>
      <c r="M38" s="41">
        <f>COUNTIFS(集計用!$S:$S, "*"&amp;M$4&amp;", *",集計用!$G:$G,"*, "&amp;$C38&amp;", *")/$B38*100</f>
        <v>0</v>
      </c>
      <c r="N38" s="41">
        <f>COUNTIFS(集計用!$S:$S, "*"&amp;N$4&amp;", *",集計用!$G:$G,"*, "&amp;$C38&amp;", *")/$B38*100</f>
        <v>0</v>
      </c>
      <c r="O38" s="41">
        <f>COUNTIFS(集計用!$S:$S, "*"&amp;O$4&amp;", *",集計用!$G:$G,"*, "&amp;$C38&amp;", *")/$B38*100</f>
        <v>0</v>
      </c>
      <c r="P38" s="41">
        <f>COUNTIFS(集計用!$S:$S, "*"&amp;P$4&amp;", *",集計用!$G:$G,"*, "&amp;$C38&amp;", *")/$B38*100</f>
        <v>0</v>
      </c>
      <c r="Q38" s="41">
        <f>COUNTIFS(集計用!$S:$S, "*"&amp;Q$4&amp;", *",集計用!$G:$G,"*, "&amp;$C38&amp;", *")/$B38*100</f>
        <v>0</v>
      </c>
      <c r="R38" s="41">
        <f>COUNTIFS(集計用!$S:$S, "*"&amp;R$4&amp;", *",集計用!$G:$G,"*, "&amp;$C38&amp;", *")/$B38*100</f>
        <v>0</v>
      </c>
      <c r="S38" s="41">
        <f>COUNTIFS(集計用!$S:$S, "*"&amp;S$4&amp;", *",集計用!$G:$G,"*, "&amp;$C38&amp;", *")/$B38*100</f>
        <v>0</v>
      </c>
      <c r="T38" s="41">
        <f>COUNTIFS(集計用!$S:$S, "*"&amp;T$4&amp;", *",集計用!$G:$G,"*, "&amp;$C38&amp;", *")/$B38*100</f>
        <v>0</v>
      </c>
      <c r="U38" s="41">
        <f>COUNTIFS(集計用!$S:$S, "*"&amp;U$4&amp;", *",集計用!$G:$G,"*, "&amp;$C38&amp;", *")/$B38*100</f>
        <v>0</v>
      </c>
      <c r="V38" s="41">
        <f>COUNTIFS(集計用!$S:$S, "*"&amp;V$4&amp;", *",集計用!$G:$G,"*, "&amp;$C38&amp;", *")/$B38*100</f>
        <v>0</v>
      </c>
      <c r="W38" s="41">
        <f>COUNTIFS(集計用!$S:$S, "*"&amp;W$4&amp;", *",集計用!$G:$G,"*, "&amp;$C38&amp;", *")/$B38*100</f>
        <v>0</v>
      </c>
      <c r="X38" s="41">
        <f>COUNTIFS(集計用!$S:$S, "*"&amp;X$4&amp;", *",集計用!$G:$G,"*, "&amp;$C38&amp;", *")/$B38*100</f>
        <v>0</v>
      </c>
      <c r="Y38" s="41">
        <f>COUNTIFS(集計用!$S:$S, "*"&amp;Y$4&amp;", *",集計用!$G:$G,"*, "&amp;$C38&amp;", *")/$B38*100</f>
        <v>0</v>
      </c>
      <c r="Z38" s="41">
        <f>COUNTIFS(集計用!$S:$S, "*"&amp;Z$4&amp;", *",集計用!$G:$G,"*, "&amp;$C38&amp;", *")/$B38*100</f>
        <v>0</v>
      </c>
      <c r="AA38" s="41">
        <f>COUNTIFS(集計用!$S:$S, "*"&amp;AA$4&amp;", *",集計用!$G:$G,"*, "&amp;$C38&amp;", *")/$B38*100</f>
        <v>0</v>
      </c>
      <c r="AB38" s="41">
        <f>COUNTIFS(集計用!$S:$S, "*"&amp;AB$4&amp;", *",集計用!$G:$G,"*, "&amp;$C38&amp;", *")/$B38*100</f>
        <v>0</v>
      </c>
      <c r="AC38" s="41">
        <f>COUNTIFS(集計用!$S:$S, "*"&amp;AC$4&amp;", *",集計用!$G:$G,"*, "&amp;$C38&amp;", *")/$B38*100</f>
        <v>6.25</v>
      </c>
      <c r="AD38" s="41">
        <f>COUNTIFS(集計用!$S:$S, "*"&amp;AD$4&amp;", *",集計用!$G:$G,"*, "&amp;$C38&amp;", *")/$B38*100</f>
        <v>0</v>
      </c>
      <c r="AE38" s="41">
        <f>COUNTIFS(集計用!$S:$S, "*"&amp;AE$4&amp;", *",集計用!$G:$G,"*, "&amp;$C38&amp;", *")/$B38*100</f>
        <v>0</v>
      </c>
      <c r="AF38" s="41">
        <f>COUNTIFS(集計用!$S:$S, "*"&amp;AF$4&amp;", *",集計用!$G:$G,"*, "&amp;$C38&amp;", *")/$B38*100</f>
        <v>0</v>
      </c>
      <c r="AG38" s="41">
        <f>COUNTIFS(集計用!$S:$S, "*"&amp;AG$4&amp;", *",集計用!$G:$G,"*, "&amp;$C38&amp;", *")/$B38*100</f>
        <v>0</v>
      </c>
      <c r="AH38" s="41">
        <f>COUNTIFS(集計用!$S:$S, "*"&amp;AH$4&amp;", *",集計用!$G:$G,"*, "&amp;$C38&amp;", *")/$B38*100</f>
        <v>6.25</v>
      </c>
      <c r="AI38" s="41">
        <f>COUNTIFS(集計用!$S:$S, "*"&amp;AI$4&amp;", *",集計用!$G:$G,"*, "&amp;$C38&amp;", *")/$B38*100</f>
        <v>0</v>
      </c>
    </row>
    <row r="39" spans="1:35" ht="12.75">
      <c r="A39" s="39">
        <v>5</v>
      </c>
      <c r="B39" s="39">
        <f>(COUNTIFS(集計用!$G:$G,"*, "&amp;$C39&amp;",*",集計用!$T:$T, "&lt;&gt;無回答"))</f>
        <v>15</v>
      </c>
      <c r="C39" s="42" t="s">
        <v>35</v>
      </c>
      <c r="D39" s="41">
        <f>COUNTIFS(集計用!$S:$S, "*"&amp;D$4&amp;", *",集計用!$G:$G,"*, "&amp;$C39&amp;", *")/$B39*100</f>
        <v>0</v>
      </c>
      <c r="E39" s="41">
        <f>COUNTIFS(集計用!$S:$S, "*"&amp;E$4&amp;", *",集計用!$G:$G,"*, "&amp;$C39&amp;", *")/$B39*100</f>
        <v>0</v>
      </c>
      <c r="F39" s="41">
        <f>COUNTIFS(集計用!$S:$S, "*"&amp;F$4&amp;", *",集計用!$G:$G,"*, "&amp;$C39&amp;", *")/$B39*100</f>
        <v>0</v>
      </c>
      <c r="G39" s="41">
        <f>COUNTIFS(集計用!$S:$S, "*"&amp;G$4&amp;", *",集計用!$G:$G,"*, "&amp;$C39&amp;", *")/$B39*100</f>
        <v>0</v>
      </c>
      <c r="H39" s="41">
        <f>COUNTIFS(集計用!$S:$S, "*"&amp;H$4&amp;", *",集計用!$G:$G,"*, "&amp;$C39&amp;", *")/$B39*100</f>
        <v>0</v>
      </c>
      <c r="I39" s="41">
        <f>COUNTIFS(集計用!$S:$S, "*"&amp;I$4&amp;", *",集計用!$G:$G,"*, "&amp;$C39&amp;", *")/$B39*100</f>
        <v>0</v>
      </c>
      <c r="J39" s="41">
        <f>COUNTIFS(集計用!$S:$S, "*"&amp;J$4&amp;", *",集計用!$G:$G,"*, "&amp;$C39&amp;", *")/$B39*100</f>
        <v>0</v>
      </c>
      <c r="K39" s="41">
        <f>COUNTIFS(集計用!$S:$S, "*"&amp;K$4&amp;", *",集計用!$G:$G,"*, "&amp;$C39&amp;", *")/$B39*100</f>
        <v>0</v>
      </c>
      <c r="L39" s="41">
        <f>COUNTIFS(集計用!$S:$S, "*"&amp;L$4&amp;", *",集計用!$G:$G,"*, "&amp;$C39&amp;", *")/$B39*100</f>
        <v>0</v>
      </c>
      <c r="M39" s="41">
        <f>COUNTIFS(集計用!$S:$S, "*"&amp;M$4&amp;", *",集計用!$G:$G,"*, "&amp;$C39&amp;", *")/$B39*100</f>
        <v>0</v>
      </c>
      <c r="N39" s="41">
        <f>COUNTIFS(集計用!$S:$S, "*"&amp;N$4&amp;", *",集計用!$G:$G,"*, "&amp;$C39&amp;", *")/$B39*100</f>
        <v>0</v>
      </c>
      <c r="O39" s="41">
        <f>COUNTIFS(集計用!$S:$S, "*"&amp;O$4&amp;", *",集計用!$G:$G,"*, "&amp;$C39&amp;", *")/$B39*100</f>
        <v>0</v>
      </c>
      <c r="P39" s="41">
        <f>COUNTIFS(集計用!$S:$S, "*"&amp;P$4&amp;", *",集計用!$G:$G,"*, "&amp;$C39&amp;", *")/$B39*100</f>
        <v>0</v>
      </c>
      <c r="Q39" s="41">
        <f>COUNTIFS(集計用!$S:$S, "*"&amp;Q$4&amp;", *",集計用!$G:$G,"*, "&amp;$C39&amp;", *")/$B39*100</f>
        <v>0</v>
      </c>
      <c r="R39" s="41">
        <f>COUNTIFS(集計用!$S:$S, "*"&amp;R$4&amp;", *",集計用!$G:$G,"*, "&amp;$C39&amp;", *")/$B39*100</f>
        <v>0</v>
      </c>
      <c r="S39" s="41">
        <f>COUNTIFS(集計用!$S:$S, "*"&amp;S$4&amp;", *",集計用!$G:$G,"*, "&amp;$C39&amp;", *")/$B39*100</f>
        <v>0</v>
      </c>
      <c r="T39" s="41">
        <f>COUNTIFS(集計用!$S:$S, "*"&amp;T$4&amp;", *",集計用!$G:$G,"*, "&amp;$C39&amp;", *")/$B39*100</f>
        <v>0</v>
      </c>
      <c r="U39" s="41">
        <f>COUNTIFS(集計用!$S:$S, "*"&amp;U$4&amp;", *",集計用!$G:$G,"*, "&amp;$C39&amp;", *")/$B39*100</f>
        <v>0</v>
      </c>
      <c r="V39" s="41">
        <f>COUNTIFS(集計用!$S:$S, "*"&amp;V$4&amp;", *",集計用!$G:$G,"*, "&amp;$C39&amp;", *")/$B39*100</f>
        <v>0</v>
      </c>
      <c r="W39" s="41">
        <f>COUNTIFS(集計用!$S:$S, "*"&amp;W$4&amp;", *",集計用!$G:$G,"*, "&amp;$C39&amp;", *")/$B39*100</f>
        <v>0</v>
      </c>
      <c r="X39" s="41">
        <f>COUNTIFS(集計用!$S:$S, "*"&amp;X$4&amp;", *",集計用!$G:$G,"*, "&amp;$C39&amp;", *")/$B39*100</f>
        <v>0</v>
      </c>
      <c r="Y39" s="41">
        <f>COUNTIFS(集計用!$S:$S, "*"&amp;Y$4&amp;", *",集計用!$G:$G,"*, "&amp;$C39&amp;", *")/$B39*100</f>
        <v>0</v>
      </c>
      <c r="Z39" s="41">
        <f>COUNTIFS(集計用!$S:$S, "*"&amp;Z$4&amp;", *",集計用!$G:$G,"*, "&amp;$C39&amp;", *")/$B39*100</f>
        <v>0</v>
      </c>
      <c r="AA39" s="41">
        <f>COUNTIFS(集計用!$S:$S, "*"&amp;AA$4&amp;", *",集計用!$G:$G,"*, "&amp;$C39&amp;", *")/$B39*100</f>
        <v>0</v>
      </c>
      <c r="AB39" s="41">
        <f>COUNTIFS(集計用!$S:$S, "*"&amp;AB$4&amp;", *",集計用!$G:$G,"*, "&amp;$C39&amp;", *")/$B39*100</f>
        <v>0</v>
      </c>
      <c r="AC39" s="41">
        <f>COUNTIFS(集計用!$S:$S, "*"&amp;AC$4&amp;", *",集計用!$G:$G,"*, "&amp;$C39&amp;", *")/$B39*100</f>
        <v>0</v>
      </c>
      <c r="AD39" s="41">
        <f>COUNTIFS(集計用!$S:$S, "*"&amp;AD$4&amp;", *",集計用!$G:$G,"*, "&amp;$C39&amp;", *")/$B39*100</f>
        <v>0</v>
      </c>
      <c r="AE39" s="41">
        <f>COUNTIFS(集計用!$S:$S, "*"&amp;AE$4&amp;", *",集計用!$G:$G,"*, "&amp;$C39&amp;", *")/$B39*100</f>
        <v>0</v>
      </c>
      <c r="AF39" s="41">
        <f>COUNTIFS(集計用!$S:$S, "*"&amp;AF$4&amp;", *",集計用!$G:$G,"*, "&amp;$C39&amp;", *")/$B39*100</f>
        <v>0</v>
      </c>
      <c r="AG39" s="41">
        <f>COUNTIFS(集計用!$S:$S, "*"&amp;AG$4&amp;", *",集計用!$G:$G,"*, "&amp;$C39&amp;", *")/$B39*100</f>
        <v>0</v>
      </c>
      <c r="AH39" s="41">
        <f>COUNTIFS(集計用!$S:$S, "*"&amp;AH$4&amp;", *",集計用!$G:$G,"*, "&amp;$C39&amp;", *")/$B39*100</f>
        <v>0</v>
      </c>
      <c r="AI39" s="41">
        <f>COUNTIFS(集計用!$S:$S, "*"&amp;AI$4&amp;", *",集計用!$G:$G,"*, "&amp;$C39&amp;", *")/$B39*100</f>
        <v>0</v>
      </c>
    </row>
    <row r="40" spans="1:35" ht="12.75">
      <c r="A40" s="39">
        <v>5</v>
      </c>
      <c r="B40" s="39">
        <f>(COUNTIFS(集計用!$G:$G,"*, "&amp;$C40&amp;",*",集計用!$T:$T, "&lt;&gt;無回答"))</f>
        <v>15</v>
      </c>
      <c r="C40" s="42" t="s">
        <v>34</v>
      </c>
      <c r="D40" s="41">
        <f>COUNTIFS(集計用!$S:$S, "*"&amp;D$4&amp;", *",集計用!$G:$G,"*, "&amp;$C40&amp;", *")/$B40*100</f>
        <v>6.666666666666667</v>
      </c>
      <c r="E40" s="41">
        <f>COUNTIFS(集計用!$S:$S, "*"&amp;E$4&amp;", *",集計用!$G:$G,"*, "&amp;$C40&amp;", *")/$B40*100</f>
        <v>0</v>
      </c>
      <c r="F40" s="41">
        <f>COUNTIFS(集計用!$S:$S, "*"&amp;F$4&amp;", *",集計用!$G:$G,"*, "&amp;$C40&amp;", *")/$B40*100</f>
        <v>0</v>
      </c>
      <c r="G40" s="41">
        <f>COUNTIFS(集計用!$S:$S, "*"&amp;G$4&amp;", *",集計用!$G:$G,"*, "&amp;$C40&amp;", *")/$B40*100</f>
        <v>0</v>
      </c>
      <c r="H40" s="41">
        <f>COUNTIFS(集計用!$S:$S, "*"&amp;H$4&amp;", *",集計用!$G:$G,"*, "&amp;$C40&amp;", *")/$B40*100</f>
        <v>0</v>
      </c>
      <c r="I40" s="41">
        <f>COUNTIFS(集計用!$S:$S, "*"&amp;I$4&amp;", *",集計用!$G:$G,"*, "&amp;$C40&amp;", *")/$B40*100</f>
        <v>0</v>
      </c>
      <c r="J40" s="41">
        <f>COUNTIFS(集計用!$S:$S, "*"&amp;J$4&amp;", *",集計用!$G:$G,"*, "&amp;$C40&amp;", *")/$B40*100</f>
        <v>0</v>
      </c>
      <c r="K40" s="41">
        <f>COUNTIFS(集計用!$S:$S, "*"&amp;K$4&amp;", *",集計用!$G:$G,"*, "&amp;$C40&amp;", *")/$B40*100</f>
        <v>0</v>
      </c>
      <c r="L40" s="41">
        <f>COUNTIFS(集計用!$S:$S, "*"&amp;L$4&amp;", *",集計用!$G:$G,"*, "&amp;$C40&amp;", *")/$B40*100</f>
        <v>0</v>
      </c>
      <c r="M40" s="41">
        <f>COUNTIFS(集計用!$S:$S, "*"&amp;M$4&amp;", *",集計用!$G:$G,"*, "&amp;$C40&amp;", *")/$B40*100</f>
        <v>0</v>
      </c>
      <c r="N40" s="41">
        <f>COUNTIFS(集計用!$S:$S, "*"&amp;N$4&amp;", *",集計用!$G:$G,"*, "&amp;$C40&amp;", *")/$B40*100</f>
        <v>0</v>
      </c>
      <c r="O40" s="41">
        <f>COUNTIFS(集計用!$S:$S, "*"&amp;O$4&amp;", *",集計用!$G:$G,"*, "&amp;$C40&amp;", *")/$B40*100</f>
        <v>0</v>
      </c>
      <c r="P40" s="41">
        <f>COUNTIFS(集計用!$S:$S, "*"&amp;P$4&amp;", *",集計用!$G:$G,"*, "&amp;$C40&amp;", *")/$B40*100</f>
        <v>0</v>
      </c>
      <c r="Q40" s="41">
        <f>COUNTIFS(集計用!$S:$S, "*"&amp;Q$4&amp;", *",集計用!$G:$G,"*, "&amp;$C40&amp;", *")/$B40*100</f>
        <v>0</v>
      </c>
      <c r="R40" s="41">
        <f>COUNTIFS(集計用!$S:$S, "*"&amp;R$4&amp;", *",集計用!$G:$G,"*, "&amp;$C40&amp;", *")/$B40*100</f>
        <v>0</v>
      </c>
      <c r="S40" s="41">
        <f>COUNTIFS(集計用!$S:$S, "*"&amp;S$4&amp;", *",集計用!$G:$G,"*, "&amp;$C40&amp;", *")/$B40*100</f>
        <v>0</v>
      </c>
      <c r="T40" s="41">
        <f>COUNTIFS(集計用!$S:$S, "*"&amp;T$4&amp;", *",集計用!$G:$G,"*, "&amp;$C40&amp;", *")/$B40*100</f>
        <v>0</v>
      </c>
      <c r="U40" s="41">
        <f>COUNTIFS(集計用!$S:$S, "*"&amp;U$4&amp;", *",集計用!$G:$G,"*, "&amp;$C40&amp;", *")/$B40*100</f>
        <v>0</v>
      </c>
      <c r="V40" s="41">
        <f>COUNTIFS(集計用!$S:$S, "*"&amp;V$4&amp;", *",集計用!$G:$G,"*, "&amp;$C40&amp;", *")/$B40*100</f>
        <v>0</v>
      </c>
      <c r="W40" s="41">
        <f>COUNTIFS(集計用!$S:$S, "*"&amp;W$4&amp;", *",集計用!$G:$G,"*, "&amp;$C40&amp;", *")/$B40*100</f>
        <v>0</v>
      </c>
      <c r="X40" s="41">
        <f>COUNTIFS(集計用!$S:$S, "*"&amp;X$4&amp;", *",集計用!$G:$G,"*, "&amp;$C40&amp;", *")/$B40*100</f>
        <v>0</v>
      </c>
      <c r="Y40" s="41">
        <f>COUNTIFS(集計用!$S:$S, "*"&amp;Y$4&amp;", *",集計用!$G:$G,"*, "&amp;$C40&amp;", *")/$B40*100</f>
        <v>0</v>
      </c>
      <c r="Z40" s="41">
        <f>COUNTIFS(集計用!$S:$S, "*"&amp;Z$4&amp;", *",集計用!$G:$G,"*, "&amp;$C40&amp;", *")/$B40*100</f>
        <v>0</v>
      </c>
      <c r="AA40" s="41">
        <f>COUNTIFS(集計用!$S:$S, "*"&amp;AA$4&amp;", *",集計用!$G:$G,"*, "&amp;$C40&amp;", *")/$B40*100</f>
        <v>6.666666666666667</v>
      </c>
      <c r="AB40" s="41">
        <f>COUNTIFS(集計用!$S:$S, "*"&amp;AB$4&amp;", *",集計用!$G:$G,"*, "&amp;$C40&amp;", *")/$B40*100</f>
        <v>0</v>
      </c>
      <c r="AC40" s="41">
        <f>COUNTIFS(集計用!$S:$S, "*"&amp;AC$4&amp;", *",集計用!$G:$G,"*, "&amp;$C40&amp;", *")/$B40*100</f>
        <v>6.666666666666667</v>
      </c>
      <c r="AD40" s="41">
        <f>COUNTIFS(集計用!$S:$S, "*"&amp;AD$4&amp;", *",集計用!$G:$G,"*, "&amp;$C40&amp;", *")/$B40*100</f>
        <v>0</v>
      </c>
      <c r="AE40" s="41">
        <f>COUNTIFS(集計用!$S:$S, "*"&amp;AE$4&amp;", *",集計用!$G:$G,"*, "&amp;$C40&amp;", *")/$B40*100</f>
        <v>0</v>
      </c>
      <c r="AF40" s="41">
        <f>COUNTIFS(集計用!$S:$S, "*"&amp;AF$4&amp;", *",集計用!$G:$G,"*, "&amp;$C40&amp;", *")/$B40*100</f>
        <v>0</v>
      </c>
      <c r="AG40" s="41">
        <f>COUNTIFS(集計用!$S:$S, "*"&amp;AG$4&amp;", *",集計用!$G:$G,"*, "&amp;$C40&amp;", *")/$B40*100</f>
        <v>6.666666666666667</v>
      </c>
      <c r="AH40" s="41">
        <f>COUNTIFS(集計用!$S:$S, "*"&amp;AH$4&amp;", *",集計用!$G:$G,"*, "&amp;$C40&amp;", *")/$B40*100</f>
        <v>0</v>
      </c>
      <c r="AI40" s="41">
        <f>COUNTIFS(集計用!$S:$S, "*"&amp;AI$4&amp;", *",集計用!$G:$G,"*, "&amp;$C40&amp;", *")/$B40*100</f>
        <v>0</v>
      </c>
    </row>
    <row r="41" spans="1:35" ht="12.75">
      <c r="A41" s="39">
        <v>4</v>
      </c>
      <c r="B41" s="39">
        <f>(COUNTIFS(集計用!$G:$G,"*, "&amp;$C41&amp;",*",集計用!$T:$T, "&lt;&gt;無回答"))</f>
        <v>15</v>
      </c>
      <c r="C41" s="42" t="s">
        <v>33</v>
      </c>
      <c r="D41" s="41">
        <f>COUNTIFS(集計用!$S:$S, "*"&amp;D$4&amp;", *",集計用!$G:$G,"*, "&amp;$C41&amp;", *")/$B41*100</f>
        <v>0</v>
      </c>
      <c r="E41" s="41">
        <f>COUNTIFS(集計用!$S:$S, "*"&amp;E$4&amp;", *",集計用!$G:$G,"*, "&amp;$C41&amp;", *")/$B41*100</f>
        <v>0</v>
      </c>
      <c r="F41" s="41">
        <f>COUNTIFS(集計用!$S:$S, "*"&amp;F$4&amp;", *",集計用!$G:$G,"*, "&amp;$C41&amp;", *")/$B41*100</f>
        <v>0</v>
      </c>
      <c r="G41" s="41">
        <f>COUNTIFS(集計用!$S:$S, "*"&amp;G$4&amp;", *",集計用!$G:$G,"*, "&amp;$C41&amp;", *")/$B41*100</f>
        <v>0</v>
      </c>
      <c r="H41" s="41">
        <f>COUNTIFS(集計用!$S:$S, "*"&amp;H$4&amp;", *",集計用!$G:$G,"*, "&amp;$C41&amp;", *")/$B41*100</f>
        <v>0</v>
      </c>
      <c r="I41" s="41">
        <f>COUNTIFS(集計用!$S:$S, "*"&amp;I$4&amp;", *",集計用!$G:$G,"*, "&amp;$C41&amp;", *")/$B41*100</f>
        <v>0</v>
      </c>
      <c r="J41" s="41">
        <f>COUNTIFS(集計用!$S:$S, "*"&amp;J$4&amp;", *",集計用!$G:$G,"*, "&amp;$C41&amp;", *")/$B41*100</f>
        <v>0</v>
      </c>
      <c r="K41" s="41">
        <f>COUNTIFS(集計用!$S:$S, "*"&amp;K$4&amp;", *",集計用!$G:$G,"*, "&amp;$C41&amp;", *")/$B41*100</f>
        <v>0</v>
      </c>
      <c r="L41" s="41">
        <f>COUNTIFS(集計用!$S:$S, "*"&amp;L$4&amp;", *",集計用!$G:$G,"*, "&amp;$C41&amp;", *")/$B41*100</f>
        <v>0</v>
      </c>
      <c r="M41" s="41">
        <f>COUNTIFS(集計用!$S:$S, "*"&amp;M$4&amp;", *",集計用!$G:$G,"*, "&amp;$C41&amp;", *")/$B41*100</f>
        <v>0</v>
      </c>
      <c r="N41" s="41">
        <f>COUNTIFS(集計用!$S:$S, "*"&amp;N$4&amp;", *",集計用!$G:$G,"*, "&amp;$C41&amp;", *")/$B41*100</f>
        <v>0</v>
      </c>
      <c r="O41" s="41">
        <f>COUNTIFS(集計用!$S:$S, "*"&amp;O$4&amp;", *",集計用!$G:$G,"*, "&amp;$C41&amp;", *")/$B41*100</f>
        <v>0</v>
      </c>
      <c r="P41" s="41">
        <f>COUNTIFS(集計用!$S:$S, "*"&amp;P$4&amp;", *",集計用!$G:$G,"*, "&amp;$C41&amp;", *")/$B41*100</f>
        <v>0</v>
      </c>
      <c r="Q41" s="41">
        <f>COUNTIFS(集計用!$S:$S, "*"&amp;Q$4&amp;", *",集計用!$G:$G,"*, "&amp;$C41&amp;", *")/$B41*100</f>
        <v>0</v>
      </c>
      <c r="R41" s="41">
        <f>COUNTIFS(集計用!$S:$S, "*"&amp;R$4&amp;", *",集計用!$G:$G,"*, "&amp;$C41&amp;", *")/$B41*100</f>
        <v>0</v>
      </c>
      <c r="S41" s="41">
        <f>COUNTIFS(集計用!$S:$S, "*"&amp;S$4&amp;", *",集計用!$G:$G,"*, "&amp;$C41&amp;", *")/$B41*100</f>
        <v>0</v>
      </c>
      <c r="T41" s="41">
        <f>COUNTIFS(集計用!$S:$S, "*"&amp;T$4&amp;", *",集計用!$G:$G,"*, "&amp;$C41&amp;", *")/$B41*100</f>
        <v>0</v>
      </c>
      <c r="U41" s="41">
        <f>COUNTIFS(集計用!$S:$S, "*"&amp;U$4&amp;", *",集計用!$G:$G,"*, "&amp;$C41&amp;", *")/$B41*100</f>
        <v>0</v>
      </c>
      <c r="V41" s="41">
        <f>COUNTIFS(集計用!$S:$S, "*"&amp;V$4&amp;", *",集計用!$G:$G,"*, "&amp;$C41&amp;", *")/$B41*100</f>
        <v>0</v>
      </c>
      <c r="W41" s="41">
        <f>COUNTIFS(集計用!$S:$S, "*"&amp;W$4&amp;", *",集計用!$G:$G,"*, "&amp;$C41&amp;", *")/$B41*100</f>
        <v>0</v>
      </c>
      <c r="X41" s="41">
        <f>COUNTIFS(集計用!$S:$S, "*"&amp;X$4&amp;", *",集計用!$G:$G,"*, "&amp;$C41&amp;", *")/$B41*100</f>
        <v>0</v>
      </c>
      <c r="Y41" s="41">
        <f>COUNTIFS(集計用!$S:$S, "*"&amp;Y$4&amp;", *",集計用!$G:$G,"*, "&amp;$C41&amp;", *")/$B41*100</f>
        <v>0</v>
      </c>
      <c r="Z41" s="41">
        <f>COUNTIFS(集計用!$S:$S, "*"&amp;Z$4&amp;", *",集計用!$G:$G,"*, "&amp;$C41&amp;", *")/$B41*100</f>
        <v>0</v>
      </c>
      <c r="AA41" s="41">
        <f>COUNTIFS(集計用!$S:$S, "*"&amp;AA$4&amp;", *",集計用!$G:$G,"*, "&amp;$C41&amp;", *")/$B41*100</f>
        <v>0</v>
      </c>
      <c r="AB41" s="41">
        <f>COUNTIFS(集計用!$S:$S, "*"&amp;AB$4&amp;", *",集計用!$G:$G,"*, "&amp;$C41&amp;", *")/$B41*100</f>
        <v>0</v>
      </c>
      <c r="AC41" s="41">
        <f>COUNTIFS(集計用!$S:$S, "*"&amp;AC$4&amp;", *",集計用!$G:$G,"*, "&amp;$C41&amp;", *")/$B41*100</f>
        <v>0</v>
      </c>
      <c r="AD41" s="41">
        <f>COUNTIFS(集計用!$S:$S, "*"&amp;AD$4&amp;", *",集計用!$G:$G,"*, "&amp;$C41&amp;", *")/$B41*100</f>
        <v>0</v>
      </c>
      <c r="AE41" s="41">
        <f>COUNTIFS(集計用!$S:$S, "*"&amp;AE$4&amp;", *",集計用!$G:$G,"*, "&amp;$C41&amp;", *")/$B41*100</f>
        <v>0</v>
      </c>
      <c r="AF41" s="41">
        <f>COUNTIFS(集計用!$S:$S, "*"&amp;AF$4&amp;", *",集計用!$G:$G,"*, "&amp;$C41&amp;", *")/$B41*100</f>
        <v>0</v>
      </c>
      <c r="AG41" s="41">
        <f>COUNTIFS(集計用!$S:$S, "*"&amp;AG$4&amp;", *",集計用!$G:$G,"*, "&amp;$C41&amp;", *")/$B41*100</f>
        <v>0</v>
      </c>
      <c r="AH41" s="41">
        <f>COUNTIFS(集計用!$S:$S, "*"&amp;AH$4&amp;", *",集計用!$G:$G,"*, "&amp;$C41&amp;", *")/$B41*100</f>
        <v>0</v>
      </c>
      <c r="AI41" s="41">
        <f>COUNTIFS(集計用!$S:$S, "*"&amp;AI$4&amp;", *",集計用!$G:$G,"*, "&amp;$C41&amp;", *")/$B41*100</f>
        <v>0</v>
      </c>
    </row>
    <row r="42" spans="1:35" ht="12.75">
      <c r="A42" s="39">
        <v>4</v>
      </c>
      <c r="B42" s="39">
        <f>(COUNTIFS(集計用!$G:$G,"*, "&amp;$C42&amp;",*",集計用!$T:$T, "&lt;&gt;無回答"))</f>
        <v>13</v>
      </c>
      <c r="C42" s="42" t="s">
        <v>36</v>
      </c>
      <c r="D42" s="41">
        <f>COUNTIFS(集計用!$S:$S, "*"&amp;D$4&amp;", *",集計用!$G:$G,"*, "&amp;$C42&amp;", *")/$B42*100</f>
        <v>0</v>
      </c>
      <c r="E42" s="41">
        <f>COUNTIFS(集計用!$S:$S, "*"&amp;E$4&amp;", *",集計用!$G:$G,"*, "&amp;$C42&amp;", *")/$B42*100</f>
        <v>0</v>
      </c>
      <c r="F42" s="41">
        <f>COUNTIFS(集計用!$S:$S, "*"&amp;F$4&amp;", *",集計用!$G:$G,"*, "&amp;$C42&amp;", *")/$B42*100</f>
        <v>0</v>
      </c>
      <c r="G42" s="41">
        <f>COUNTIFS(集計用!$S:$S, "*"&amp;G$4&amp;", *",集計用!$G:$G,"*, "&amp;$C42&amp;", *")/$B42*100</f>
        <v>0</v>
      </c>
      <c r="H42" s="41">
        <f>COUNTIFS(集計用!$S:$S, "*"&amp;H$4&amp;", *",集計用!$G:$G,"*, "&amp;$C42&amp;", *")/$B42*100</f>
        <v>0</v>
      </c>
      <c r="I42" s="41">
        <f>COUNTIFS(集計用!$S:$S, "*"&amp;I$4&amp;", *",集計用!$G:$G,"*, "&amp;$C42&amp;", *")/$B42*100</f>
        <v>0</v>
      </c>
      <c r="J42" s="41">
        <f>COUNTIFS(集計用!$S:$S, "*"&amp;J$4&amp;", *",集計用!$G:$G,"*, "&amp;$C42&amp;", *")/$B42*100</f>
        <v>0</v>
      </c>
      <c r="K42" s="41">
        <f>COUNTIFS(集計用!$S:$S, "*"&amp;K$4&amp;", *",集計用!$G:$G,"*, "&amp;$C42&amp;", *")/$B42*100</f>
        <v>0</v>
      </c>
      <c r="L42" s="41">
        <f>COUNTIFS(集計用!$S:$S, "*"&amp;L$4&amp;", *",集計用!$G:$G,"*, "&amp;$C42&amp;", *")/$B42*100</f>
        <v>0</v>
      </c>
      <c r="M42" s="41">
        <f>COUNTIFS(集計用!$S:$S, "*"&amp;M$4&amp;", *",集計用!$G:$G,"*, "&amp;$C42&amp;", *")/$B42*100</f>
        <v>0</v>
      </c>
      <c r="N42" s="41">
        <f>COUNTIFS(集計用!$S:$S, "*"&amp;N$4&amp;", *",集計用!$G:$G,"*, "&amp;$C42&amp;", *")/$B42*100</f>
        <v>0</v>
      </c>
      <c r="O42" s="41">
        <f>COUNTIFS(集計用!$S:$S, "*"&amp;O$4&amp;", *",集計用!$G:$G,"*, "&amp;$C42&amp;", *")/$B42*100</f>
        <v>0</v>
      </c>
      <c r="P42" s="41">
        <f>COUNTIFS(集計用!$S:$S, "*"&amp;P$4&amp;", *",集計用!$G:$G,"*, "&amp;$C42&amp;", *")/$B42*100</f>
        <v>0</v>
      </c>
      <c r="Q42" s="41">
        <f>COUNTIFS(集計用!$S:$S, "*"&amp;Q$4&amp;", *",集計用!$G:$G,"*, "&amp;$C42&amp;", *")/$B42*100</f>
        <v>0</v>
      </c>
      <c r="R42" s="41">
        <f>COUNTIFS(集計用!$S:$S, "*"&amp;R$4&amp;", *",集計用!$G:$G,"*, "&amp;$C42&amp;", *")/$B42*100</f>
        <v>0</v>
      </c>
      <c r="S42" s="41">
        <f>COUNTIFS(集計用!$S:$S, "*"&amp;S$4&amp;", *",集計用!$G:$G,"*, "&amp;$C42&amp;", *")/$B42*100</f>
        <v>0</v>
      </c>
      <c r="T42" s="41">
        <f>COUNTIFS(集計用!$S:$S, "*"&amp;T$4&amp;", *",集計用!$G:$G,"*, "&amp;$C42&amp;", *")/$B42*100</f>
        <v>0</v>
      </c>
      <c r="U42" s="41">
        <f>COUNTIFS(集計用!$S:$S, "*"&amp;U$4&amp;", *",集計用!$G:$G,"*, "&amp;$C42&amp;", *")/$B42*100</f>
        <v>0</v>
      </c>
      <c r="V42" s="41">
        <f>COUNTIFS(集計用!$S:$S, "*"&amp;V$4&amp;", *",集計用!$G:$G,"*, "&amp;$C42&amp;", *")/$B42*100</f>
        <v>0</v>
      </c>
      <c r="W42" s="41">
        <f>COUNTIFS(集計用!$S:$S, "*"&amp;W$4&amp;", *",集計用!$G:$G,"*, "&amp;$C42&amp;", *")/$B42*100</f>
        <v>0</v>
      </c>
      <c r="X42" s="41">
        <f>COUNTIFS(集計用!$S:$S, "*"&amp;X$4&amp;", *",集計用!$G:$G,"*, "&amp;$C42&amp;", *")/$B42*100</f>
        <v>0</v>
      </c>
      <c r="Y42" s="41">
        <f>COUNTIFS(集計用!$S:$S, "*"&amp;Y$4&amp;", *",集計用!$G:$G,"*, "&amp;$C42&amp;", *")/$B42*100</f>
        <v>0</v>
      </c>
      <c r="Z42" s="41">
        <f>COUNTIFS(集計用!$S:$S, "*"&amp;Z$4&amp;", *",集計用!$G:$G,"*, "&amp;$C42&amp;", *")/$B42*100</f>
        <v>0</v>
      </c>
      <c r="AA42" s="41">
        <f>COUNTIFS(集計用!$S:$S, "*"&amp;AA$4&amp;", *",集計用!$G:$G,"*, "&amp;$C42&amp;", *")/$B42*100</f>
        <v>0</v>
      </c>
      <c r="AB42" s="41">
        <f>COUNTIFS(集計用!$S:$S, "*"&amp;AB$4&amp;", *",集計用!$G:$G,"*, "&amp;$C42&amp;", *")/$B42*100</f>
        <v>0</v>
      </c>
      <c r="AC42" s="41">
        <f>COUNTIFS(集計用!$S:$S, "*"&amp;AC$4&amp;", *",集計用!$G:$G,"*, "&amp;$C42&amp;", *")/$B42*100</f>
        <v>0</v>
      </c>
      <c r="AD42" s="41">
        <f>COUNTIFS(集計用!$S:$S, "*"&amp;AD$4&amp;", *",集計用!$G:$G,"*, "&amp;$C42&amp;", *")/$B42*100</f>
        <v>0</v>
      </c>
      <c r="AE42" s="41">
        <f>COUNTIFS(集計用!$S:$S, "*"&amp;AE$4&amp;", *",集計用!$G:$G,"*, "&amp;$C42&amp;", *")/$B42*100</f>
        <v>0</v>
      </c>
      <c r="AF42" s="41">
        <f>COUNTIFS(集計用!$S:$S, "*"&amp;AF$4&amp;", *",集計用!$G:$G,"*, "&amp;$C42&amp;", *")/$B42*100</f>
        <v>0</v>
      </c>
      <c r="AG42" s="41">
        <f>COUNTIFS(集計用!$S:$S, "*"&amp;AG$4&amp;", *",集計用!$G:$G,"*, "&amp;$C42&amp;", *")/$B42*100</f>
        <v>0</v>
      </c>
      <c r="AH42" s="41">
        <f>COUNTIFS(集計用!$S:$S, "*"&amp;AH$4&amp;", *",集計用!$G:$G,"*, "&amp;$C42&amp;", *")/$B42*100</f>
        <v>0</v>
      </c>
      <c r="AI42" s="41">
        <f>COUNTIFS(集計用!$S:$S, "*"&amp;AI$4&amp;", *",集計用!$G:$G,"*, "&amp;$C42&amp;", *")/$B42*100</f>
        <v>0</v>
      </c>
    </row>
    <row r="43" spans="1:35" ht="12.75">
      <c r="A43" s="39">
        <v>4</v>
      </c>
      <c r="B43" s="39">
        <f>(COUNTIFS(集計用!$G:$G,"*, "&amp;$C43&amp;",*",集計用!$T:$T, "&lt;&gt;無回答"))</f>
        <v>13</v>
      </c>
      <c r="C43" s="42" t="s">
        <v>37</v>
      </c>
      <c r="D43" s="41">
        <f>COUNTIFS(集計用!$S:$S, "*"&amp;D$4&amp;", *",集計用!$G:$G,"*, "&amp;$C43&amp;", *")/$B43*100</f>
        <v>0</v>
      </c>
      <c r="E43" s="41">
        <f>COUNTIFS(集計用!$S:$S, "*"&amp;E$4&amp;", *",集計用!$G:$G,"*, "&amp;$C43&amp;", *")/$B43*100</f>
        <v>0</v>
      </c>
      <c r="F43" s="41">
        <f>COUNTIFS(集計用!$S:$S, "*"&amp;F$4&amp;", *",集計用!$G:$G,"*, "&amp;$C43&amp;", *")/$B43*100</f>
        <v>0</v>
      </c>
      <c r="G43" s="41">
        <f>COUNTIFS(集計用!$S:$S, "*"&amp;G$4&amp;", *",集計用!$G:$G,"*, "&amp;$C43&amp;", *")/$B43*100</f>
        <v>0</v>
      </c>
      <c r="H43" s="41">
        <f>COUNTIFS(集計用!$S:$S, "*"&amp;H$4&amp;", *",集計用!$G:$G,"*, "&amp;$C43&amp;", *")/$B43*100</f>
        <v>0</v>
      </c>
      <c r="I43" s="41">
        <f>COUNTIFS(集計用!$S:$S, "*"&amp;I$4&amp;", *",集計用!$G:$G,"*, "&amp;$C43&amp;", *")/$B43*100</f>
        <v>0</v>
      </c>
      <c r="J43" s="41">
        <f>COUNTIFS(集計用!$S:$S, "*"&amp;J$4&amp;", *",集計用!$G:$G,"*, "&amp;$C43&amp;", *")/$B43*100</f>
        <v>0</v>
      </c>
      <c r="K43" s="41">
        <f>COUNTIFS(集計用!$S:$S, "*"&amp;K$4&amp;", *",集計用!$G:$G,"*, "&amp;$C43&amp;", *")/$B43*100</f>
        <v>0</v>
      </c>
      <c r="L43" s="41">
        <f>COUNTIFS(集計用!$S:$S, "*"&amp;L$4&amp;", *",集計用!$G:$G,"*, "&amp;$C43&amp;", *")/$B43*100</f>
        <v>0</v>
      </c>
      <c r="M43" s="41">
        <f>COUNTIFS(集計用!$S:$S, "*"&amp;M$4&amp;", *",集計用!$G:$G,"*, "&amp;$C43&amp;", *")/$B43*100</f>
        <v>0</v>
      </c>
      <c r="N43" s="41">
        <f>COUNTIFS(集計用!$S:$S, "*"&amp;N$4&amp;", *",集計用!$G:$G,"*, "&amp;$C43&amp;", *")/$B43*100</f>
        <v>0</v>
      </c>
      <c r="O43" s="41">
        <f>COUNTIFS(集計用!$S:$S, "*"&amp;O$4&amp;", *",集計用!$G:$G,"*, "&amp;$C43&amp;", *")/$B43*100</f>
        <v>0</v>
      </c>
      <c r="P43" s="41">
        <f>COUNTIFS(集計用!$S:$S, "*"&amp;P$4&amp;", *",集計用!$G:$G,"*, "&amp;$C43&amp;", *")/$B43*100</f>
        <v>0</v>
      </c>
      <c r="Q43" s="41">
        <f>COUNTIFS(集計用!$S:$S, "*"&amp;Q$4&amp;", *",集計用!$G:$G,"*, "&amp;$C43&amp;", *")/$B43*100</f>
        <v>0</v>
      </c>
      <c r="R43" s="41">
        <f>COUNTIFS(集計用!$S:$S, "*"&amp;R$4&amp;", *",集計用!$G:$G,"*, "&amp;$C43&amp;", *")/$B43*100</f>
        <v>0</v>
      </c>
      <c r="S43" s="41">
        <f>COUNTIFS(集計用!$S:$S, "*"&amp;S$4&amp;", *",集計用!$G:$G,"*, "&amp;$C43&amp;", *")/$B43*100</f>
        <v>0</v>
      </c>
      <c r="T43" s="41">
        <f>COUNTIFS(集計用!$S:$S, "*"&amp;T$4&amp;", *",集計用!$G:$G,"*, "&amp;$C43&amp;", *")/$B43*100</f>
        <v>0</v>
      </c>
      <c r="U43" s="41">
        <f>COUNTIFS(集計用!$S:$S, "*"&amp;U$4&amp;", *",集計用!$G:$G,"*, "&amp;$C43&amp;", *")/$B43*100</f>
        <v>0</v>
      </c>
      <c r="V43" s="41">
        <f>COUNTIFS(集計用!$S:$S, "*"&amp;V$4&amp;", *",集計用!$G:$G,"*, "&amp;$C43&amp;", *")/$B43*100</f>
        <v>0</v>
      </c>
      <c r="W43" s="41">
        <f>COUNTIFS(集計用!$S:$S, "*"&amp;W$4&amp;", *",集計用!$G:$G,"*, "&amp;$C43&amp;", *")/$B43*100</f>
        <v>0</v>
      </c>
      <c r="X43" s="41">
        <f>COUNTIFS(集計用!$S:$S, "*"&amp;X$4&amp;", *",集計用!$G:$G,"*, "&amp;$C43&amp;", *")/$B43*100</f>
        <v>0</v>
      </c>
      <c r="Y43" s="41">
        <f>COUNTIFS(集計用!$S:$S, "*"&amp;Y$4&amp;", *",集計用!$G:$G,"*, "&amp;$C43&amp;", *")/$B43*100</f>
        <v>0</v>
      </c>
      <c r="Z43" s="41">
        <f>COUNTIFS(集計用!$S:$S, "*"&amp;Z$4&amp;", *",集計用!$G:$G,"*, "&amp;$C43&amp;", *")/$B43*100</f>
        <v>0</v>
      </c>
      <c r="AA43" s="41">
        <f>COUNTIFS(集計用!$S:$S, "*"&amp;AA$4&amp;", *",集計用!$G:$G,"*, "&amp;$C43&amp;", *")/$B43*100</f>
        <v>0</v>
      </c>
      <c r="AB43" s="41">
        <f>COUNTIFS(集計用!$S:$S, "*"&amp;AB$4&amp;", *",集計用!$G:$G,"*, "&amp;$C43&amp;", *")/$B43*100</f>
        <v>0</v>
      </c>
      <c r="AC43" s="41">
        <f>COUNTIFS(集計用!$S:$S, "*"&amp;AC$4&amp;", *",集計用!$G:$G,"*, "&amp;$C43&amp;", *")/$B43*100</f>
        <v>0</v>
      </c>
      <c r="AD43" s="41">
        <f>COUNTIFS(集計用!$S:$S, "*"&amp;AD$4&amp;", *",集計用!$G:$G,"*, "&amp;$C43&amp;", *")/$B43*100</f>
        <v>0</v>
      </c>
      <c r="AE43" s="41">
        <f>COUNTIFS(集計用!$S:$S, "*"&amp;AE$4&amp;", *",集計用!$G:$G,"*, "&amp;$C43&amp;", *")/$B43*100</f>
        <v>0</v>
      </c>
      <c r="AF43" s="41">
        <f>COUNTIFS(集計用!$S:$S, "*"&amp;AF$4&amp;", *",集計用!$G:$G,"*, "&amp;$C43&amp;", *")/$B43*100</f>
        <v>0</v>
      </c>
      <c r="AG43" s="41">
        <f>COUNTIFS(集計用!$S:$S, "*"&amp;AG$4&amp;", *",集計用!$G:$G,"*, "&amp;$C43&amp;", *")/$B43*100</f>
        <v>0</v>
      </c>
      <c r="AH43" s="41">
        <f>COUNTIFS(集計用!$S:$S, "*"&amp;AH$4&amp;", *",集計用!$G:$G,"*, "&amp;$C43&amp;", *")/$B43*100</f>
        <v>0</v>
      </c>
      <c r="AI43" s="41">
        <f>COUNTIFS(集計用!$S:$S, "*"&amp;AI$4&amp;", *",集計用!$G:$G,"*, "&amp;$C43&amp;", *")/$B43*100</f>
        <v>0</v>
      </c>
    </row>
    <row r="44" spans="1:35" ht="12.75">
      <c r="A44" s="39">
        <v>5</v>
      </c>
      <c r="B44" s="39">
        <f>(COUNTIFS(集計用!$G:$G,"*, "&amp;$C44&amp;",*",集計用!$T:$T, "&lt;&gt;無回答"))</f>
        <v>12</v>
      </c>
      <c r="C44" s="42" t="s">
        <v>39</v>
      </c>
      <c r="D44" s="41">
        <f>COUNTIFS(集計用!$S:$S, "*"&amp;D$4&amp;", *",集計用!$G:$G,"*, "&amp;$C44&amp;", *")/$B44*100</f>
        <v>0</v>
      </c>
      <c r="E44" s="41">
        <f>COUNTIFS(集計用!$S:$S, "*"&amp;E$4&amp;", *",集計用!$G:$G,"*, "&amp;$C44&amp;", *")/$B44*100</f>
        <v>0</v>
      </c>
      <c r="F44" s="41">
        <f>COUNTIFS(集計用!$S:$S, "*"&amp;F$4&amp;", *",集計用!$G:$G,"*, "&amp;$C44&amp;", *")/$B44*100</f>
        <v>0</v>
      </c>
      <c r="G44" s="41">
        <f>COUNTIFS(集計用!$S:$S, "*"&amp;G$4&amp;", *",集計用!$G:$G,"*, "&amp;$C44&amp;", *")/$B44*100</f>
        <v>0</v>
      </c>
      <c r="H44" s="41">
        <f>COUNTIFS(集計用!$S:$S, "*"&amp;H$4&amp;", *",集計用!$G:$G,"*, "&amp;$C44&amp;", *")/$B44*100</f>
        <v>0</v>
      </c>
      <c r="I44" s="41">
        <f>COUNTIFS(集計用!$S:$S, "*"&amp;I$4&amp;", *",集計用!$G:$G,"*, "&amp;$C44&amp;", *")/$B44*100</f>
        <v>0</v>
      </c>
      <c r="J44" s="41">
        <f>COUNTIFS(集計用!$S:$S, "*"&amp;J$4&amp;", *",集計用!$G:$G,"*, "&amp;$C44&amp;", *")/$B44*100</f>
        <v>0</v>
      </c>
      <c r="K44" s="41">
        <f>COUNTIFS(集計用!$S:$S, "*"&amp;K$4&amp;", *",集計用!$G:$G,"*, "&amp;$C44&amp;", *")/$B44*100</f>
        <v>0</v>
      </c>
      <c r="L44" s="41">
        <f>COUNTIFS(集計用!$S:$S, "*"&amp;L$4&amp;", *",集計用!$G:$G,"*, "&amp;$C44&amp;", *")/$B44*100</f>
        <v>0</v>
      </c>
      <c r="M44" s="41">
        <f>COUNTIFS(集計用!$S:$S, "*"&amp;M$4&amp;", *",集計用!$G:$G,"*, "&amp;$C44&amp;", *")/$B44*100</f>
        <v>0</v>
      </c>
      <c r="N44" s="41">
        <f>COUNTIFS(集計用!$S:$S, "*"&amp;N$4&amp;", *",集計用!$G:$G,"*, "&amp;$C44&amp;", *")/$B44*100</f>
        <v>0</v>
      </c>
      <c r="O44" s="41">
        <f>COUNTIFS(集計用!$S:$S, "*"&amp;O$4&amp;", *",集計用!$G:$G,"*, "&amp;$C44&amp;", *")/$B44*100</f>
        <v>0</v>
      </c>
      <c r="P44" s="41">
        <f>COUNTIFS(集計用!$S:$S, "*"&amp;P$4&amp;", *",集計用!$G:$G,"*, "&amp;$C44&amp;", *")/$B44*100</f>
        <v>0</v>
      </c>
      <c r="Q44" s="41">
        <f>COUNTIFS(集計用!$S:$S, "*"&amp;Q$4&amp;", *",集計用!$G:$G,"*, "&amp;$C44&amp;", *")/$B44*100</f>
        <v>0</v>
      </c>
      <c r="R44" s="41">
        <f>COUNTIFS(集計用!$S:$S, "*"&amp;R$4&amp;", *",集計用!$G:$G,"*, "&amp;$C44&amp;", *")/$B44*100</f>
        <v>0</v>
      </c>
      <c r="S44" s="41">
        <f>COUNTIFS(集計用!$S:$S, "*"&amp;S$4&amp;", *",集計用!$G:$G,"*, "&amp;$C44&amp;", *")/$B44*100</f>
        <v>0</v>
      </c>
      <c r="T44" s="41">
        <f>COUNTIFS(集計用!$S:$S, "*"&amp;T$4&amp;", *",集計用!$G:$G,"*, "&amp;$C44&amp;", *")/$B44*100</f>
        <v>0</v>
      </c>
      <c r="U44" s="41">
        <f>COUNTIFS(集計用!$S:$S, "*"&amp;U$4&amp;", *",集計用!$G:$G,"*, "&amp;$C44&amp;", *")/$B44*100</f>
        <v>0</v>
      </c>
      <c r="V44" s="41">
        <f>COUNTIFS(集計用!$S:$S, "*"&amp;V$4&amp;", *",集計用!$G:$G,"*, "&amp;$C44&amp;", *")/$B44*100</f>
        <v>0</v>
      </c>
      <c r="W44" s="41">
        <f>COUNTIFS(集計用!$S:$S, "*"&amp;W$4&amp;", *",集計用!$G:$G,"*, "&amp;$C44&amp;", *")/$B44*100</f>
        <v>0</v>
      </c>
      <c r="X44" s="41">
        <f>COUNTIFS(集計用!$S:$S, "*"&amp;X$4&amp;", *",集計用!$G:$G,"*, "&amp;$C44&amp;", *")/$B44*100</f>
        <v>0</v>
      </c>
      <c r="Y44" s="41">
        <f>COUNTIFS(集計用!$S:$S, "*"&amp;Y$4&amp;", *",集計用!$G:$G,"*, "&amp;$C44&amp;", *")/$B44*100</f>
        <v>0</v>
      </c>
      <c r="Z44" s="41">
        <f>COUNTIFS(集計用!$S:$S, "*"&amp;Z$4&amp;", *",集計用!$G:$G,"*, "&amp;$C44&amp;", *")/$B44*100</f>
        <v>0</v>
      </c>
      <c r="AA44" s="41">
        <f>COUNTIFS(集計用!$S:$S, "*"&amp;AA$4&amp;", *",集計用!$G:$G,"*, "&amp;$C44&amp;", *")/$B44*100</f>
        <v>0</v>
      </c>
      <c r="AB44" s="41">
        <f>COUNTIFS(集計用!$S:$S, "*"&amp;AB$4&amp;", *",集計用!$G:$G,"*, "&amp;$C44&amp;", *")/$B44*100</f>
        <v>0</v>
      </c>
      <c r="AC44" s="41">
        <f>COUNTIFS(集計用!$S:$S, "*"&amp;AC$4&amp;", *",集計用!$G:$G,"*, "&amp;$C44&amp;", *")/$B44*100</f>
        <v>0</v>
      </c>
      <c r="AD44" s="41">
        <f>COUNTIFS(集計用!$S:$S, "*"&amp;AD$4&amp;", *",集計用!$G:$G,"*, "&amp;$C44&amp;", *")/$B44*100</f>
        <v>0</v>
      </c>
      <c r="AE44" s="41">
        <f>COUNTIFS(集計用!$S:$S, "*"&amp;AE$4&amp;", *",集計用!$G:$G,"*, "&amp;$C44&amp;", *")/$B44*100</f>
        <v>0</v>
      </c>
      <c r="AF44" s="41">
        <f>COUNTIFS(集計用!$S:$S, "*"&amp;AF$4&amp;", *",集計用!$G:$G,"*, "&amp;$C44&amp;", *")/$B44*100</f>
        <v>0</v>
      </c>
      <c r="AG44" s="41">
        <f>COUNTIFS(集計用!$S:$S, "*"&amp;AG$4&amp;", *",集計用!$G:$G,"*, "&amp;$C44&amp;", *")/$B44*100</f>
        <v>0</v>
      </c>
      <c r="AH44" s="41">
        <f>COUNTIFS(集計用!$S:$S, "*"&amp;AH$4&amp;", *",集計用!$G:$G,"*, "&amp;$C44&amp;", *")/$B44*100</f>
        <v>0</v>
      </c>
      <c r="AI44" s="41">
        <f>COUNTIFS(集計用!$S:$S, "*"&amp;AI$4&amp;", *",集計用!$G:$G,"*, "&amp;$C44&amp;", *")/$B44*100</f>
        <v>0</v>
      </c>
    </row>
    <row r="45" spans="1:35" ht="14.25" customHeight="1">
      <c r="A45" s="39">
        <v>5</v>
      </c>
      <c r="B45" s="39">
        <f>(COUNTIFS(集計用!$G:$G,"*, "&amp;$C45&amp;",*",集計用!$T:$T, "&lt;&gt;無回答"))</f>
        <v>12</v>
      </c>
      <c r="C45" s="42" t="s">
        <v>38</v>
      </c>
      <c r="D45" s="41">
        <f>COUNTIFS(集計用!$S:$S, "*"&amp;D$4&amp;", *",集計用!$G:$G,"*, "&amp;$C45&amp;", *")/$B45*100</f>
        <v>0</v>
      </c>
      <c r="E45" s="41">
        <f>COUNTIFS(集計用!$S:$S, "*"&amp;E$4&amp;", *",集計用!$G:$G,"*, "&amp;$C45&amp;", *")/$B45*100</f>
        <v>0</v>
      </c>
      <c r="F45" s="41">
        <f>COUNTIFS(集計用!$S:$S, "*"&amp;F$4&amp;", *",集計用!$G:$G,"*, "&amp;$C45&amp;", *")/$B45*100</f>
        <v>0</v>
      </c>
      <c r="G45" s="41">
        <f>COUNTIFS(集計用!$S:$S, "*"&amp;G$4&amp;", *",集計用!$G:$G,"*, "&amp;$C45&amp;", *")/$B45*100</f>
        <v>0</v>
      </c>
      <c r="H45" s="41">
        <f>COUNTIFS(集計用!$S:$S, "*"&amp;H$4&amp;", *",集計用!$G:$G,"*, "&amp;$C45&amp;", *")/$B45*100</f>
        <v>0</v>
      </c>
      <c r="I45" s="41">
        <f>COUNTIFS(集計用!$S:$S, "*"&amp;I$4&amp;", *",集計用!$G:$G,"*, "&amp;$C45&amp;", *")/$B45*100</f>
        <v>0</v>
      </c>
      <c r="J45" s="41">
        <f>COUNTIFS(集計用!$S:$S, "*"&amp;J$4&amp;", *",集計用!$G:$G,"*, "&amp;$C45&amp;", *")/$B45*100</f>
        <v>0</v>
      </c>
      <c r="K45" s="41">
        <f>COUNTIFS(集計用!$S:$S, "*"&amp;K$4&amp;", *",集計用!$G:$G,"*, "&amp;$C45&amp;", *")/$B45*100</f>
        <v>0</v>
      </c>
      <c r="L45" s="41">
        <f>COUNTIFS(集計用!$S:$S, "*"&amp;L$4&amp;", *",集計用!$G:$G,"*, "&amp;$C45&amp;", *")/$B45*100</f>
        <v>0</v>
      </c>
      <c r="M45" s="41">
        <f>COUNTIFS(集計用!$S:$S, "*"&amp;M$4&amp;", *",集計用!$G:$G,"*, "&amp;$C45&amp;", *")/$B45*100</f>
        <v>0</v>
      </c>
      <c r="N45" s="41">
        <f>COUNTIFS(集計用!$S:$S, "*"&amp;N$4&amp;", *",集計用!$G:$G,"*, "&amp;$C45&amp;", *")/$B45*100</f>
        <v>0</v>
      </c>
      <c r="O45" s="41">
        <f>COUNTIFS(集計用!$S:$S, "*"&amp;O$4&amp;", *",集計用!$G:$G,"*, "&amp;$C45&amp;", *")/$B45*100</f>
        <v>0</v>
      </c>
      <c r="P45" s="41">
        <f>COUNTIFS(集計用!$S:$S, "*"&amp;P$4&amp;", *",集計用!$G:$G,"*, "&amp;$C45&amp;", *")/$B45*100</f>
        <v>0</v>
      </c>
      <c r="Q45" s="41">
        <f>COUNTIFS(集計用!$S:$S, "*"&amp;Q$4&amp;", *",集計用!$G:$G,"*, "&amp;$C45&amp;", *")/$B45*100</f>
        <v>0</v>
      </c>
      <c r="R45" s="41">
        <f>COUNTIFS(集計用!$S:$S, "*"&amp;R$4&amp;", *",集計用!$G:$G,"*, "&amp;$C45&amp;", *")/$B45*100</f>
        <v>0</v>
      </c>
      <c r="S45" s="41">
        <f>COUNTIFS(集計用!$S:$S, "*"&amp;S$4&amp;", *",集計用!$G:$G,"*, "&amp;$C45&amp;", *")/$B45*100</f>
        <v>0</v>
      </c>
      <c r="T45" s="41">
        <f>COUNTIFS(集計用!$S:$S, "*"&amp;T$4&amp;", *",集計用!$G:$G,"*, "&amp;$C45&amp;", *")/$B45*100</f>
        <v>0</v>
      </c>
      <c r="U45" s="41">
        <f>COUNTIFS(集計用!$S:$S, "*"&amp;U$4&amp;", *",集計用!$G:$G,"*, "&amp;$C45&amp;", *")/$B45*100</f>
        <v>0</v>
      </c>
      <c r="V45" s="41">
        <f>COUNTIFS(集計用!$S:$S, "*"&amp;V$4&amp;", *",集計用!$G:$G,"*, "&amp;$C45&amp;", *")/$B45*100</f>
        <v>0</v>
      </c>
      <c r="W45" s="41">
        <f>COUNTIFS(集計用!$S:$S, "*"&amp;W$4&amp;", *",集計用!$G:$G,"*, "&amp;$C45&amp;", *")/$B45*100</f>
        <v>0</v>
      </c>
      <c r="X45" s="41">
        <f>COUNTIFS(集計用!$S:$S, "*"&amp;X$4&amp;", *",集計用!$G:$G,"*, "&amp;$C45&amp;", *")/$B45*100</f>
        <v>0</v>
      </c>
      <c r="Y45" s="41">
        <f>COUNTIFS(集計用!$S:$S, "*"&amp;Y$4&amp;", *",集計用!$G:$G,"*, "&amp;$C45&amp;", *")/$B45*100</f>
        <v>0</v>
      </c>
      <c r="Z45" s="41">
        <f>COUNTIFS(集計用!$S:$S, "*"&amp;Z$4&amp;", *",集計用!$G:$G,"*, "&amp;$C45&amp;", *")/$B45*100</f>
        <v>0</v>
      </c>
      <c r="AA45" s="41">
        <f>COUNTIFS(集計用!$S:$S, "*"&amp;AA$4&amp;", *",集計用!$G:$G,"*, "&amp;$C45&amp;", *")/$B45*100</f>
        <v>0</v>
      </c>
      <c r="AB45" s="41">
        <f>COUNTIFS(集計用!$S:$S, "*"&amp;AB$4&amp;", *",集計用!$G:$G,"*, "&amp;$C45&amp;", *")/$B45*100</f>
        <v>0</v>
      </c>
      <c r="AC45" s="41">
        <f>COUNTIFS(集計用!$S:$S, "*"&amp;AC$4&amp;", *",集計用!$G:$G,"*, "&amp;$C45&amp;", *")/$B45*100</f>
        <v>0</v>
      </c>
      <c r="AD45" s="41">
        <f>COUNTIFS(集計用!$S:$S, "*"&amp;AD$4&amp;", *",集計用!$G:$G,"*, "&amp;$C45&amp;", *")/$B45*100</f>
        <v>0</v>
      </c>
      <c r="AE45" s="41">
        <f>COUNTIFS(集計用!$S:$S, "*"&amp;AE$4&amp;", *",集計用!$G:$G,"*, "&amp;$C45&amp;", *")/$B45*100</f>
        <v>0</v>
      </c>
      <c r="AF45" s="41">
        <f>COUNTIFS(集計用!$S:$S, "*"&amp;AF$4&amp;", *",集計用!$G:$G,"*, "&amp;$C45&amp;", *")/$B45*100</f>
        <v>0</v>
      </c>
      <c r="AG45" s="41">
        <f>COUNTIFS(集計用!$S:$S, "*"&amp;AG$4&amp;", *",集計用!$G:$G,"*, "&amp;$C45&amp;", *")/$B45*100</f>
        <v>0</v>
      </c>
      <c r="AH45" s="41">
        <f>COUNTIFS(集計用!$S:$S, "*"&amp;AH$4&amp;", *",集計用!$G:$G,"*, "&amp;$C45&amp;", *")/$B45*100</f>
        <v>0</v>
      </c>
      <c r="AI45" s="41">
        <f>COUNTIFS(集計用!$S:$S, "*"&amp;AI$4&amp;", *",集計用!$G:$G,"*, "&amp;$C45&amp;", *")/$B45*100</f>
        <v>0</v>
      </c>
    </row>
    <row r="46" spans="1:35" ht="14.25" customHeight="1">
      <c r="A46" s="39">
        <v>4</v>
      </c>
      <c r="B46" s="39">
        <f>(COUNTIFS(集計用!$G:$G,"*, "&amp;$C46&amp;",*",集計用!$T:$T, "&lt;&gt;無回答"))</f>
        <v>9</v>
      </c>
      <c r="C46" s="42" t="s">
        <v>40</v>
      </c>
      <c r="D46" s="41">
        <f>COUNTIFS(集計用!$S:$S, "*"&amp;D$4&amp;", *",集計用!$G:$G,"*, "&amp;$C46&amp;", *")/$B46*100</f>
        <v>0</v>
      </c>
      <c r="E46" s="41">
        <f>COUNTIFS(集計用!$S:$S, "*"&amp;E$4&amp;", *",集計用!$G:$G,"*, "&amp;$C46&amp;", *")/$B46*100</f>
        <v>0</v>
      </c>
      <c r="F46" s="41">
        <f>COUNTIFS(集計用!$S:$S, "*"&amp;F$4&amp;", *",集計用!$G:$G,"*, "&amp;$C46&amp;", *")/$B46*100</f>
        <v>0</v>
      </c>
      <c r="G46" s="41">
        <f>COUNTIFS(集計用!$S:$S, "*"&amp;G$4&amp;", *",集計用!$G:$G,"*, "&amp;$C46&amp;", *")/$B46*100</f>
        <v>0</v>
      </c>
      <c r="H46" s="41">
        <f>COUNTIFS(集計用!$S:$S, "*"&amp;H$4&amp;", *",集計用!$G:$G,"*, "&amp;$C46&amp;", *")/$B46*100</f>
        <v>0</v>
      </c>
      <c r="I46" s="41">
        <f>COUNTIFS(集計用!$S:$S, "*"&amp;I$4&amp;", *",集計用!$G:$G,"*, "&amp;$C46&amp;", *")/$B46*100</f>
        <v>0</v>
      </c>
      <c r="J46" s="41">
        <f>COUNTIFS(集計用!$S:$S, "*"&amp;J$4&amp;", *",集計用!$G:$G,"*, "&amp;$C46&amp;", *")/$B46*100</f>
        <v>0</v>
      </c>
      <c r="K46" s="41">
        <f>COUNTIFS(集計用!$S:$S, "*"&amp;K$4&amp;", *",集計用!$G:$G,"*, "&amp;$C46&amp;", *")/$B46*100</f>
        <v>0</v>
      </c>
      <c r="L46" s="41">
        <f>COUNTIFS(集計用!$S:$S, "*"&amp;L$4&amp;", *",集計用!$G:$G,"*, "&amp;$C46&amp;", *")/$B46*100</f>
        <v>0</v>
      </c>
      <c r="M46" s="41">
        <f>COUNTIFS(集計用!$S:$S, "*"&amp;M$4&amp;", *",集計用!$G:$G,"*, "&amp;$C46&amp;", *")/$B46*100</f>
        <v>0</v>
      </c>
      <c r="N46" s="41">
        <f>COUNTIFS(集計用!$S:$S, "*"&amp;N$4&amp;", *",集計用!$G:$G,"*, "&amp;$C46&amp;", *")/$B46*100</f>
        <v>0</v>
      </c>
      <c r="O46" s="41">
        <f>COUNTIFS(集計用!$S:$S, "*"&amp;O$4&amp;", *",集計用!$G:$G,"*, "&amp;$C46&amp;", *")/$B46*100</f>
        <v>0</v>
      </c>
      <c r="P46" s="41">
        <f>COUNTIFS(集計用!$S:$S, "*"&amp;P$4&amp;", *",集計用!$G:$G,"*, "&amp;$C46&amp;", *")/$B46*100</f>
        <v>0</v>
      </c>
      <c r="Q46" s="41">
        <f>COUNTIFS(集計用!$S:$S, "*"&amp;Q$4&amp;", *",集計用!$G:$G,"*, "&amp;$C46&amp;", *")/$B46*100</f>
        <v>0</v>
      </c>
      <c r="R46" s="41">
        <f>COUNTIFS(集計用!$S:$S, "*"&amp;R$4&amp;", *",集計用!$G:$G,"*, "&amp;$C46&amp;", *")/$B46*100</f>
        <v>0</v>
      </c>
      <c r="S46" s="41">
        <f>COUNTIFS(集計用!$S:$S, "*"&amp;S$4&amp;", *",集計用!$G:$G,"*, "&amp;$C46&amp;", *")/$B46*100</f>
        <v>0</v>
      </c>
      <c r="T46" s="41">
        <f>COUNTIFS(集計用!$S:$S, "*"&amp;T$4&amp;", *",集計用!$G:$G,"*, "&amp;$C46&amp;", *")/$B46*100</f>
        <v>0</v>
      </c>
      <c r="U46" s="41">
        <f>COUNTIFS(集計用!$S:$S, "*"&amp;U$4&amp;", *",集計用!$G:$G,"*, "&amp;$C46&amp;", *")/$B46*100</f>
        <v>0</v>
      </c>
      <c r="V46" s="41">
        <f>COUNTIFS(集計用!$S:$S, "*"&amp;V$4&amp;", *",集計用!$G:$G,"*, "&amp;$C46&amp;", *")/$B46*100</f>
        <v>0</v>
      </c>
      <c r="W46" s="41">
        <f>COUNTIFS(集計用!$S:$S, "*"&amp;W$4&amp;", *",集計用!$G:$G,"*, "&amp;$C46&amp;", *")/$B46*100</f>
        <v>0</v>
      </c>
      <c r="X46" s="41">
        <f>COUNTIFS(集計用!$S:$S, "*"&amp;X$4&amp;", *",集計用!$G:$G,"*, "&amp;$C46&amp;", *")/$B46*100</f>
        <v>0</v>
      </c>
      <c r="Y46" s="41">
        <f>COUNTIFS(集計用!$S:$S, "*"&amp;Y$4&amp;", *",集計用!$G:$G,"*, "&amp;$C46&amp;", *")/$B46*100</f>
        <v>0</v>
      </c>
      <c r="Z46" s="41">
        <f>COUNTIFS(集計用!$S:$S, "*"&amp;Z$4&amp;", *",集計用!$G:$G,"*, "&amp;$C46&amp;", *")/$B46*100</f>
        <v>0</v>
      </c>
      <c r="AA46" s="41">
        <f>COUNTIFS(集計用!$S:$S, "*"&amp;AA$4&amp;", *",集計用!$G:$G,"*, "&amp;$C46&amp;", *")/$B46*100</f>
        <v>0</v>
      </c>
      <c r="AB46" s="41">
        <f>COUNTIFS(集計用!$S:$S, "*"&amp;AB$4&amp;", *",集計用!$G:$G,"*, "&amp;$C46&amp;", *")/$B46*100</f>
        <v>0</v>
      </c>
      <c r="AC46" s="41">
        <f>COUNTIFS(集計用!$S:$S, "*"&amp;AC$4&amp;", *",集計用!$G:$G,"*, "&amp;$C46&amp;", *")/$B46*100</f>
        <v>0</v>
      </c>
      <c r="AD46" s="41">
        <f>COUNTIFS(集計用!$S:$S, "*"&amp;AD$4&amp;", *",集計用!$G:$G,"*, "&amp;$C46&amp;", *")/$B46*100</f>
        <v>0</v>
      </c>
      <c r="AE46" s="41">
        <f>COUNTIFS(集計用!$S:$S, "*"&amp;AE$4&amp;", *",集計用!$G:$G,"*, "&amp;$C46&amp;", *")/$B46*100</f>
        <v>0</v>
      </c>
      <c r="AF46" s="41">
        <f>COUNTIFS(集計用!$S:$S, "*"&amp;AF$4&amp;", *",集計用!$G:$G,"*, "&amp;$C46&amp;", *")/$B46*100</f>
        <v>0</v>
      </c>
      <c r="AG46" s="41">
        <f>COUNTIFS(集計用!$S:$S, "*"&amp;AG$4&amp;", *",集計用!$G:$G,"*, "&amp;$C46&amp;", *")/$B46*100</f>
        <v>0</v>
      </c>
      <c r="AH46" s="41">
        <f>COUNTIFS(集計用!$S:$S, "*"&amp;AH$4&amp;", *",集計用!$G:$G,"*, "&amp;$C46&amp;", *")/$B46*100</f>
        <v>0</v>
      </c>
      <c r="AI46" s="41">
        <f>COUNTIFS(集計用!$S:$S, "*"&amp;AI$4&amp;", *",集計用!$G:$G,"*, "&amp;$C46&amp;", *")/$B46*100</f>
        <v>0</v>
      </c>
    </row>
    <row r="47" spans="1:35" ht="14.25" customHeight="1">
      <c r="A47" s="39">
        <v>6</v>
      </c>
      <c r="B47" s="39">
        <f>(COUNTIFS(集計用!$G:$G,"*, "&amp;$C47&amp;",*",集計用!$T:$T, "&lt;&gt;無回答"))</f>
        <v>9</v>
      </c>
      <c r="C47" s="42" t="s">
        <v>41</v>
      </c>
      <c r="D47" s="41">
        <f>COUNTIFS(集計用!$S:$S, "*"&amp;D$4&amp;", *",集計用!$G:$G,"*, "&amp;$C47&amp;", *")/$B47*100</f>
        <v>0</v>
      </c>
      <c r="E47" s="41">
        <f>COUNTIFS(集計用!$S:$S, "*"&amp;E$4&amp;", *",集計用!$G:$G,"*, "&amp;$C47&amp;", *")/$B47*100</f>
        <v>0</v>
      </c>
      <c r="F47" s="41">
        <f>COUNTIFS(集計用!$S:$S, "*"&amp;F$4&amp;", *",集計用!$G:$G,"*, "&amp;$C47&amp;", *")/$B47*100</f>
        <v>0</v>
      </c>
      <c r="G47" s="41">
        <f>COUNTIFS(集計用!$S:$S, "*"&amp;G$4&amp;", *",集計用!$G:$G,"*, "&amp;$C47&amp;", *")/$B47*100</f>
        <v>0</v>
      </c>
      <c r="H47" s="41">
        <f>COUNTIFS(集計用!$S:$S, "*"&amp;H$4&amp;", *",集計用!$G:$G,"*, "&amp;$C47&amp;", *")/$B47*100</f>
        <v>0</v>
      </c>
      <c r="I47" s="41">
        <f>COUNTIFS(集計用!$S:$S, "*"&amp;I$4&amp;", *",集計用!$G:$G,"*, "&amp;$C47&amp;", *")/$B47*100</f>
        <v>0</v>
      </c>
      <c r="J47" s="41">
        <f>COUNTIFS(集計用!$S:$S, "*"&amp;J$4&amp;", *",集計用!$G:$G,"*, "&amp;$C47&amp;", *")/$B47*100</f>
        <v>0</v>
      </c>
      <c r="K47" s="41">
        <f>COUNTIFS(集計用!$S:$S, "*"&amp;K$4&amp;", *",集計用!$G:$G,"*, "&amp;$C47&amp;", *")/$B47*100</f>
        <v>0</v>
      </c>
      <c r="L47" s="41">
        <f>COUNTIFS(集計用!$S:$S, "*"&amp;L$4&amp;", *",集計用!$G:$G,"*, "&amp;$C47&amp;", *")/$B47*100</f>
        <v>0</v>
      </c>
      <c r="M47" s="41">
        <f>COUNTIFS(集計用!$S:$S, "*"&amp;M$4&amp;", *",集計用!$G:$G,"*, "&amp;$C47&amp;", *")/$B47*100</f>
        <v>0</v>
      </c>
      <c r="N47" s="41">
        <f>COUNTIFS(集計用!$S:$S, "*"&amp;N$4&amp;", *",集計用!$G:$G,"*, "&amp;$C47&amp;", *")/$B47*100</f>
        <v>0</v>
      </c>
      <c r="O47" s="41">
        <f>COUNTIFS(集計用!$S:$S, "*"&amp;O$4&amp;", *",集計用!$G:$G,"*, "&amp;$C47&amp;", *")/$B47*100</f>
        <v>0</v>
      </c>
      <c r="P47" s="41">
        <f>COUNTIFS(集計用!$S:$S, "*"&amp;P$4&amp;", *",集計用!$G:$G,"*, "&amp;$C47&amp;", *")/$B47*100</f>
        <v>0</v>
      </c>
      <c r="Q47" s="41">
        <f>COUNTIFS(集計用!$S:$S, "*"&amp;Q$4&amp;", *",集計用!$G:$G,"*, "&amp;$C47&amp;", *")/$B47*100</f>
        <v>0</v>
      </c>
      <c r="R47" s="41">
        <f>COUNTIFS(集計用!$S:$S, "*"&amp;R$4&amp;", *",集計用!$G:$G,"*, "&amp;$C47&amp;", *")/$B47*100</f>
        <v>0</v>
      </c>
      <c r="S47" s="41">
        <f>COUNTIFS(集計用!$S:$S, "*"&amp;S$4&amp;", *",集計用!$G:$G,"*, "&amp;$C47&amp;", *")/$B47*100</f>
        <v>0</v>
      </c>
      <c r="T47" s="41">
        <f>COUNTIFS(集計用!$S:$S, "*"&amp;T$4&amp;", *",集計用!$G:$G,"*, "&amp;$C47&amp;", *")/$B47*100</f>
        <v>0</v>
      </c>
      <c r="U47" s="41">
        <f>COUNTIFS(集計用!$S:$S, "*"&amp;U$4&amp;", *",集計用!$G:$G,"*, "&amp;$C47&amp;", *")/$B47*100</f>
        <v>0</v>
      </c>
      <c r="V47" s="41">
        <f>COUNTIFS(集計用!$S:$S, "*"&amp;V$4&amp;", *",集計用!$G:$G,"*, "&amp;$C47&amp;", *")/$B47*100</f>
        <v>0</v>
      </c>
      <c r="W47" s="41">
        <f>COUNTIFS(集計用!$S:$S, "*"&amp;W$4&amp;", *",集計用!$G:$G,"*, "&amp;$C47&amp;", *")/$B47*100</f>
        <v>0</v>
      </c>
      <c r="X47" s="41">
        <f>COUNTIFS(集計用!$S:$S, "*"&amp;X$4&amp;", *",集計用!$G:$G,"*, "&amp;$C47&amp;", *")/$B47*100</f>
        <v>0</v>
      </c>
      <c r="Y47" s="41">
        <f>COUNTIFS(集計用!$S:$S, "*"&amp;Y$4&amp;", *",集計用!$G:$G,"*, "&amp;$C47&amp;", *")/$B47*100</f>
        <v>0</v>
      </c>
      <c r="Z47" s="41">
        <f>COUNTIFS(集計用!$S:$S, "*"&amp;Z$4&amp;", *",集計用!$G:$G,"*, "&amp;$C47&amp;", *")/$B47*100</f>
        <v>0</v>
      </c>
      <c r="AA47" s="41">
        <f>COUNTIFS(集計用!$S:$S, "*"&amp;AA$4&amp;", *",集計用!$G:$G,"*, "&amp;$C47&amp;", *")/$B47*100</f>
        <v>0</v>
      </c>
      <c r="AB47" s="41">
        <f>COUNTIFS(集計用!$S:$S, "*"&amp;AB$4&amp;", *",集計用!$G:$G,"*, "&amp;$C47&amp;", *")/$B47*100</f>
        <v>0</v>
      </c>
      <c r="AC47" s="41">
        <f>COUNTIFS(集計用!$S:$S, "*"&amp;AC$4&amp;", *",集計用!$G:$G,"*, "&amp;$C47&amp;", *")/$B47*100</f>
        <v>0</v>
      </c>
      <c r="AD47" s="41">
        <f>COUNTIFS(集計用!$S:$S, "*"&amp;AD$4&amp;", *",集計用!$G:$G,"*, "&amp;$C47&amp;", *")/$B47*100</f>
        <v>0</v>
      </c>
      <c r="AE47" s="41">
        <f>COUNTIFS(集計用!$S:$S, "*"&amp;AE$4&amp;", *",集計用!$G:$G,"*, "&amp;$C47&amp;", *")/$B47*100</f>
        <v>0</v>
      </c>
      <c r="AF47" s="41">
        <f>COUNTIFS(集計用!$S:$S, "*"&amp;AF$4&amp;", *",集計用!$G:$G,"*, "&amp;$C47&amp;", *")/$B47*100</f>
        <v>0</v>
      </c>
      <c r="AG47" s="41">
        <f>COUNTIFS(集計用!$S:$S, "*"&amp;AG$4&amp;", *",集計用!$G:$G,"*, "&amp;$C47&amp;", *")/$B47*100</f>
        <v>0</v>
      </c>
      <c r="AH47" s="41">
        <f>COUNTIFS(集計用!$S:$S, "*"&amp;AH$4&amp;", *",集計用!$G:$G,"*, "&amp;$C47&amp;", *")/$B47*100</f>
        <v>0</v>
      </c>
      <c r="AI47" s="41">
        <f>COUNTIFS(集計用!$S:$S, "*"&amp;AI$4&amp;", *",集計用!$G:$G,"*, "&amp;$C47&amp;", *")/$B47*100</f>
        <v>0</v>
      </c>
    </row>
    <row r="48" spans="1:35" ht="12.75">
      <c r="A48" s="39">
        <v>4</v>
      </c>
      <c r="B48" s="39">
        <f>(COUNTIFS(集計用!$G:$G,"*, "&amp;$C48&amp;",*",集計用!$T:$T, "&lt;&gt;無回答"))</f>
        <v>8</v>
      </c>
      <c r="C48" s="42" t="s">
        <v>44</v>
      </c>
      <c r="D48" s="41">
        <f>COUNTIFS(集計用!$S:$S, "*"&amp;D$4&amp;", *",集計用!$G:$G,"*, "&amp;$C48&amp;", *")/$B48*100</f>
        <v>12.5</v>
      </c>
      <c r="E48" s="41">
        <f>COUNTIFS(集計用!$S:$S, "*"&amp;E$4&amp;", *",集計用!$G:$G,"*, "&amp;$C48&amp;", *")/$B48*100</f>
        <v>0</v>
      </c>
      <c r="F48" s="41">
        <f>COUNTIFS(集計用!$S:$S, "*"&amp;F$4&amp;", *",集計用!$G:$G,"*, "&amp;$C48&amp;", *")/$B48*100</f>
        <v>0</v>
      </c>
      <c r="G48" s="41">
        <f>COUNTIFS(集計用!$S:$S, "*"&amp;G$4&amp;", *",集計用!$G:$G,"*, "&amp;$C48&amp;", *")/$B48*100</f>
        <v>0</v>
      </c>
      <c r="H48" s="41">
        <f>COUNTIFS(集計用!$S:$S, "*"&amp;H$4&amp;", *",集計用!$G:$G,"*, "&amp;$C48&amp;", *")/$B48*100</f>
        <v>0</v>
      </c>
      <c r="I48" s="41">
        <f>COUNTIFS(集計用!$S:$S, "*"&amp;I$4&amp;", *",集計用!$G:$G,"*, "&amp;$C48&amp;", *")/$B48*100</f>
        <v>0</v>
      </c>
      <c r="J48" s="41">
        <f>COUNTIFS(集計用!$S:$S, "*"&amp;J$4&amp;", *",集計用!$G:$G,"*, "&amp;$C48&amp;", *")/$B48*100</f>
        <v>0</v>
      </c>
      <c r="K48" s="41">
        <f>COUNTIFS(集計用!$S:$S, "*"&amp;K$4&amp;", *",集計用!$G:$G,"*, "&amp;$C48&amp;", *")/$B48*100</f>
        <v>0</v>
      </c>
      <c r="L48" s="41">
        <f>COUNTIFS(集計用!$S:$S, "*"&amp;L$4&amp;", *",集計用!$G:$G,"*, "&amp;$C48&amp;", *")/$B48*100</f>
        <v>0</v>
      </c>
      <c r="M48" s="41">
        <f>COUNTIFS(集計用!$S:$S, "*"&amp;M$4&amp;", *",集計用!$G:$G,"*, "&amp;$C48&amp;", *")/$B48*100</f>
        <v>0</v>
      </c>
      <c r="N48" s="41">
        <f>COUNTIFS(集計用!$S:$S, "*"&amp;N$4&amp;", *",集計用!$G:$G,"*, "&amp;$C48&amp;", *")/$B48*100</f>
        <v>0</v>
      </c>
      <c r="O48" s="41">
        <f>COUNTIFS(集計用!$S:$S, "*"&amp;O$4&amp;", *",集計用!$G:$G,"*, "&amp;$C48&amp;", *")/$B48*100</f>
        <v>0</v>
      </c>
      <c r="P48" s="41">
        <f>COUNTIFS(集計用!$S:$S, "*"&amp;P$4&amp;", *",集計用!$G:$G,"*, "&amp;$C48&amp;", *")/$B48*100</f>
        <v>0</v>
      </c>
      <c r="Q48" s="41">
        <f>COUNTIFS(集計用!$S:$S, "*"&amp;Q$4&amp;", *",集計用!$G:$G,"*, "&amp;$C48&amp;", *")/$B48*100</f>
        <v>0</v>
      </c>
      <c r="R48" s="41">
        <f>COUNTIFS(集計用!$S:$S, "*"&amp;R$4&amp;", *",集計用!$G:$G,"*, "&amp;$C48&amp;", *")/$B48*100</f>
        <v>0</v>
      </c>
      <c r="S48" s="41">
        <f>COUNTIFS(集計用!$S:$S, "*"&amp;S$4&amp;", *",集計用!$G:$G,"*, "&amp;$C48&amp;", *")/$B48*100</f>
        <v>0</v>
      </c>
      <c r="T48" s="41">
        <f>COUNTIFS(集計用!$S:$S, "*"&amp;T$4&amp;", *",集計用!$G:$G,"*, "&amp;$C48&amp;", *")/$B48*100</f>
        <v>0</v>
      </c>
      <c r="U48" s="41">
        <f>COUNTIFS(集計用!$S:$S, "*"&amp;U$4&amp;", *",集計用!$G:$G,"*, "&amp;$C48&amp;", *")/$B48*100</f>
        <v>0</v>
      </c>
      <c r="V48" s="41">
        <f>COUNTIFS(集計用!$S:$S, "*"&amp;V$4&amp;", *",集計用!$G:$G,"*, "&amp;$C48&amp;", *")/$B48*100</f>
        <v>0</v>
      </c>
      <c r="W48" s="41">
        <f>COUNTIFS(集計用!$S:$S, "*"&amp;W$4&amp;", *",集計用!$G:$G,"*, "&amp;$C48&amp;", *")/$B48*100</f>
        <v>0</v>
      </c>
      <c r="X48" s="41">
        <f>COUNTIFS(集計用!$S:$S, "*"&amp;X$4&amp;", *",集計用!$G:$G,"*, "&amp;$C48&amp;", *")/$B48*100</f>
        <v>0</v>
      </c>
      <c r="Y48" s="41">
        <f>COUNTIFS(集計用!$S:$S, "*"&amp;Y$4&amp;", *",集計用!$G:$G,"*, "&amp;$C48&amp;", *")/$B48*100</f>
        <v>0</v>
      </c>
      <c r="Z48" s="41">
        <f>COUNTIFS(集計用!$S:$S, "*"&amp;Z$4&amp;", *",集計用!$G:$G,"*, "&amp;$C48&amp;", *")/$B48*100</f>
        <v>0</v>
      </c>
      <c r="AA48" s="41">
        <f>COUNTIFS(集計用!$S:$S, "*"&amp;AA$4&amp;", *",集計用!$G:$G,"*, "&amp;$C48&amp;", *")/$B48*100</f>
        <v>12.5</v>
      </c>
      <c r="AB48" s="41">
        <f>COUNTIFS(集計用!$S:$S, "*"&amp;AB$4&amp;", *",集計用!$G:$G,"*, "&amp;$C48&amp;", *")/$B48*100</f>
        <v>0</v>
      </c>
      <c r="AC48" s="41">
        <f>COUNTIFS(集計用!$S:$S, "*"&amp;AC$4&amp;", *",集計用!$G:$G,"*, "&amp;$C48&amp;", *")/$B48*100</f>
        <v>12.5</v>
      </c>
      <c r="AD48" s="41">
        <f>COUNTIFS(集計用!$S:$S, "*"&amp;AD$4&amp;", *",集計用!$G:$G,"*, "&amp;$C48&amp;", *")/$B48*100</f>
        <v>0</v>
      </c>
      <c r="AE48" s="41">
        <f>COUNTIFS(集計用!$S:$S, "*"&amp;AE$4&amp;", *",集計用!$G:$G,"*, "&amp;$C48&amp;", *")/$B48*100</f>
        <v>0</v>
      </c>
      <c r="AF48" s="41">
        <f>COUNTIFS(集計用!$S:$S, "*"&amp;AF$4&amp;", *",集計用!$G:$G,"*, "&amp;$C48&amp;", *")/$B48*100</f>
        <v>0</v>
      </c>
      <c r="AG48" s="41">
        <f>COUNTIFS(集計用!$S:$S, "*"&amp;AG$4&amp;", *",集計用!$G:$G,"*, "&amp;$C48&amp;", *")/$B48*100</f>
        <v>12.5</v>
      </c>
      <c r="AH48" s="41">
        <f>COUNTIFS(集計用!$S:$S, "*"&amp;AH$4&amp;", *",集計用!$G:$G,"*, "&amp;$C48&amp;", *")/$B48*100</f>
        <v>0</v>
      </c>
      <c r="AI48" s="41">
        <f>COUNTIFS(集計用!$S:$S, "*"&amp;AI$4&amp;", *",集計用!$G:$G,"*, "&amp;$C48&amp;", *")/$B48*100</f>
        <v>0</v>
      </c>
    </row>
    <row r="49" spans="1:35" ht="14.25" customHeight="1">
      <c r="A49" s="39">
        <v>4</v>
      </c>
      <c r="B49" s="39">
        <f>(COUNTIFS(集計用!$G:$G,"*, "&amp;$C49&amp;",*",集計用!$T:$T, "&lt;&gt;無回答"))</f>
        <v>8</v>
      </c>
      <c r="C49" s="42" t="s">
        <v>43</v>
      </c>
      <c r="D49" s="41">
        <f>COUNTIFS(集計用!$S:$S, "*"&amp;D$4&amp;", *",集計用!$G:$G,"*, "&amp;$C49&amp;", *")/$B49*100</f>
        <v>0</v>
      </c>
      <c r="E49" s="41">
        <f>COUNTIFS(集計用!$S:$S, "*"&amp;E$4&amp;", *",集計用!$G:$G,"*, "&amp;$C49&amp;", *")/$B49*100</f>
        <v>0</v>
      </c>
      <c r="F49" s="41">
        <f>COUNTIFS(集計用!$S:$S, "*"&amp;F$4&amp;", *",集計用!$G:$G,"*, "&amp;$C49&amp;", *")/$B49*100</f>
        <v>0</v>
      </c>
      <c r="G49" s="41">
        <f>COUNTIFS(集計用!$S:$S, "*"&amp;G$4&amp;", *",集計用!$G:$G,"*, "&amp;$C49&amp;", *")/$B49*100</f>
        <v>0</v>
      </c>
      <c r="H49" s="41">
        <f>COUNTIFS(集計用!$S:$S, "*"&amp;H$4&amp;", *",集計用!$G:$G,"*, "&amp;$C49&amp;", *")/$B49*100</f>
        <v>0</v>
      </c>
      <c r="I49" s="41">
        <f>COUNTIFS(集計用!$S:$S, "*"&amp;I$4&amp;", *",集計用!$G:$G,"*, "&amp;$C49&amp;", *")/$B49*100</f>
        <v>0</v>
      </c>
      <c r="J49" s="41">
        <f>COUNTIFS(集計用!$S:$S, "*"&amp;J$4&amp;", *",集計用!$G:$G,"*, "&amp;$C49&amp;", *")/$B49*100</f>
        <v>0</v>
      </c>
      <c r="K49" s="41">
        <f>COUNTIFS(集計用!$S:$S, "*"&amp;K$4&amp;", *",集計用!$G:$G,"*, "&amp;$C49&amp;", *")/$B49*100</f>
        <v>0</v>
      </c>
      <c r="L49" s="41">
        <f>COUNTIFS(集計用!$S:$S, "*"&amp;L$4&amp;", *",集計用!$G:$G,"*, "&amp;$C49&amp;", *")/$B49*100</f>
        <v>0</v>
      </c>
      <c r="M49" s="41">
        <f>COUNTIFS(集計用!$S:$S, "*"&amp;M$4&amp;", *",集計用!$G:$G,"*, "&amp;$C49&amp;", *")/$B49*100</f>
        <v>0</v>
      </c>
      <c r="N49" s="41">
        <f>COUNTIFS(集計用!$S:$S, "*"&amp;N$4&amp;", *",集計用!$G:$G,"*, "&amp;$C49&amp;", *")/$B49*100</f>
        <v>0</v>
      </c>
      <c r="O49" s="41">
        <f>COUNTIFS(集計用!$S:$S, "*"&amp;O$4&amp;", *",集計用!$G:$G,"*, "&amp;$C49&amp;", *")/$B49*100</f>
        <v>0</v>
      </c>
      <c r="P49" s="41">
        <f>COUNTIFS(集計用!$S:$S, "*"&amp;P$4&amp;", *",集計用!$G:$G,"*, "&amp;$C49&amp;", *")/$B49*100</f>
        <v>0</v>
      </c>
      <c r="Q49" s="41">
        <f>COUNTIFS(集計用!$S:$S, "*"&amp;Q$4&amp;", *",集計用!$G:$G,"*, "&amp;$C49&amp;", *")/$B49*100</f>
        <v>0</v>
      </c>
      <c r="R49" s="41">
        <f>COUNTIFS(集計用!$S:$S, "*"&amp;R$4&amp;", *",集計用!$G:$G,"*, "&amp;$C49&amp;", *")/$B49*100</f>
        <v>0</v>
      </c>
      <c r="S49" s="41">
        <f>COUNTIFS(集計用!$S:$S, "*"&amp;S$4&amp;", *",集計用!$G:$G,"*, "&amp;$C49&amp;", *")/$B49*100</f>
        <v>0</v>
      </c>
      <c r="T49" s="41">
        <f>COUNTIFS(集計用!$S:$S, "*"&amp;T$4&amp;", *",集計用!$G:$G,"*, "&amp;$C49&amp;", *")/$B49*100</f>
        <v>0</v>
      </c>
      <c r="U49" s="41">
        <f>COUNTIFS(集計用!$S:$S, "*"&amp;U$4&amp;", *",集計用!$G:$G,"*, "&amp;$C49&amp;", *")/$B49*100</f>
        <v>0</v>
      </c>
      <c r="V49" s="41">
        <f>COUNTIFS(集計用!$S:$S, "*"&amp;V$4&amp;", *",集計用!$G:$G,"*, "&amp;$C49&amp;", *")/$B49*100</f>
        <v>0</v>
      </c>
      <c r="W49" s="41">
        <f>COUNTIFS(集計用!$S:$S, "*"&amp;W$4&amp;", *",集計用!$G:$G,"*, "&amp;$C49&amp;", *")/$B49*100</f>
        <v>0</v>
      </c>
      <c r="X49" s="41">
        <f>COUNTIFS(集計用!$S:$S, "*"&amp;X$4&amp;", *",集計用!$G:$G,"*, "&amp;$C49&amp;", *")/$B49*100</f>
        <v>0</v>
      </c>
      <c r="Y49" s="41">
        <f>COUNTIFS(集計用!$S:$S, "*"&amp;Y$4&amp;", *",集計用!$G:$G,"*, "&amp;$C49&amp;", *")/$B49*100</f>
        <v>0</v>
      </c>
      <c r="Z49" s="41">
        <f>COUNTIFS(集計用!$S:$S, "*"&amp;Z$4&amp;", *",集計用!$G:$G,"*, "&amp;$C49&amp;", *")/$B49*100</f>
        <v>0</v>
      </c>
      <c r="AA49" s="41">
        <f>COUNTIFS(集計用!$S:$S, "*"&amp;AA$4&amp;", *",集計用!$G:$G,"*, "&amp;$C49&amp;", *")/$B49*100</f>
        <v>0</v>
      </c>
      <c r="AB49" s="41">
        <f>COUNTIFS(集計用!$S:$S, "*"&amp;AB$4&amp;", *",集計用!$G:$G,"*, "&amp;$C49&amp;", *")/$B49*100</f>
        <v>0</v>
      </c>
      <c r="AC49" s="41">
        <f>COUNTIFS(集計用!$S:$S, "*"&amp;AC$4&amp;", *",集計用!$G:$G,"*, "&amp;$C49&amp;", *")/$B49*100</f>
        <v>0</v>
      </c>
      <c r="AD49" s="41">
        <f>COUNTIFS(集計用!$S:$S, "*"&amp;AD$4&amp;", *",集計用!$G:$G,"*, "&amp;$C49&amp;", *")/$B49*100</f>
        <v>0</v>
      </c>
      <c r="AE49" s="41">
        <f>COUNTIFS(集計用!$S:$S, "*"&amp;AE$4&amp;", *",集計用!$G:$G,"*, "&amp;$C49&amp;", *")/$B49*100</f>
        <v>0</v>
      </c>
      <c r="AF49" s="41">
        <f>COUNTIFS(集計用!$S:$S, "*"&amp;AF$4&amp;", *",集計用!$G:$G,"*, "&amp;$C49&amp;", *")/$B49*100</f>
        <v>0</v>
      </c>
      <c r="AG49" s="41">
        <f>COUNTIFS(集計用!$S:$S, "*"&amp;AG$4&amp;", *",集計用!$G:$G,"*, "&amp;$C49&amp;", *")/$B49*100</f>
        <v>0</v>
      </c>
      <c r="AH49" s="41">
        <f>COUNTIFS(集計用!$S:$S, "*"&amp;AH$4&amp;", *",集計用!$G:$G,"*, "&amp;$C49&amp;", *")/$B49*100</f>
        <v>0</v>
      </c>
      <c r="AI49" s="41">
        <f>COUNTIFS(集計用!$S:$S, "*"&amp;AI$4&amp;", *",集計用!$G:$G,"*, "&amp;$C49&amp;", *")/$B49*100</f>
        <v>0</v>
      </c>
    </row>
    <row r="50" spans="1:35" ht="14.25" customHeight="1">
      <c r="A50" s="39">
        <v>4</v>
      </c>
      <c r="B50" s="39">
        <f>(COUNTIFS(集計用!$G:$G,"*, "&amp;$C50&amp;",*",集計用!$T:$T, "&lt;&gt;無回答"))</f>
        <v>8</v>
      </c>
      <c r="C50" s="42" t="s">
        <v>42</v>
      </c>
      <c r="D50" s="41">
        <f>COUNTIFS(集計用!$S:$S, "*"&amp;D$4&amp;", *",集計用!$G:$G,"*, "&amp;$C50&amp;", *")/$B50*100</f>
        <v>0</v>
      </c>
      <c r="E50" s="41">
        <f>COUNTIFS(集計用!$S:$S, "*"&amp;E$4&amp;", *",集計用!$G:$G,"*, "&amp;$C50&amp;", *")/$B50*100</f>
        <v>0</v>
      </c>
      <c r="F50" s="41">
        <f>COUNTIFS(集計用!$S:$S, "*"&amp;F$4&amp;", *",集計用!$G:$G,"*, "&amp;$C50&amp;", *")/$B50*100</f>
        <v>0</v>
      </c>
      <c r="G50" s="41">
        <f>COUNTIFS(集計用!$S:$S, "*"&amp;G$4&amp;", *",集計用!$G:$G,"*, "&amp;$C50&amp;", *")/$B50*100</f>
        <v>0</v>
      </c>
      <c r="H50" s="41">
        <f>COUNTIFS(集計用!$S:$S, "*"&amp;H$4&amp;", *",集計用!$G:$G,"*, "&amp;$C50&amp;", *")/$B50*100</f>
        <v>0</v>
      </c>
      <c r="I50" s="41">
        <f>COUNTIFS(集計用!$S:$S, "*"&amp;I$4&amp;", *",集計用!$G:$G,"*, "&amp;$C50&amp;", *")/$B50*100</f>
        <v>0</v>
      </c>
      <c r="J50" s="41">
        <f>COUNTIFS(集計用!$S:$S, "*"&amp;J$4&amp;", *",集計用!$G:$G,"*, "&amp;$C50&amp;", *")/$B50*100</f>
        <v>0</v>
      </c>
      <c r="K50" s="41">
        <f>COUNTIFS(集計用!$S:$S, "*"&amp;K$4&amp;", *",集計用!$G:$G,"*, "&amp;$C50&amp;", *")/$B50*100</f>
        <v>0</v>
      </c>
      <c r="L50" s="41">
        <f>COUNTIFS(集計用!$S:$S, "*"&amp;L$4&amp;", *",集計用!$G:$G,"*, "&amp;$C50&amp;", *")/$B50*100</f>
        <v>0</v>
      </c>
      <c r="M50" s="41">
        <f>COUNTIFS(集計用!$S:$S, "*"&amp;M$4&amp;", *",集計用!$G:$G,"*, "&amp;$C50&amp;", *")/$B50*100</f>
        <v>0</v>
      </c>
      <c r="N50" s="41">
        <f>COUNTIFS(集計用!$S:$S, "*"&amp;N$4&amp;", *",集計用!$G:$G,"*, "&amp;$C50&amp;", *")/$B50*100</f>
        <v>0</v>
      </c>
      <c r="O50" s="41">
        <f>COUNTIFS(集計用!$S:$S, "*"&amp;O$4&amp;", *",集計用!$G:$G,"*, "&amp;$C50&amp;", *")/$B50*100</f>
        <v>0</v>
      </c>
      <c r="P50" s="41">
        <f>COUNTIFS(集計用!$S:$S, "*"&amp;P$4&amp;", *",集計用!$G:$G,"*, "&amp;$C50&amp;", *")/$B50*100</f>
        <v>0</v>
      </c>
      <c r="Q50" s="41">
        <f>COUNTIFS(集計用!$S:$S, "*"&amp;Q$4&amp;", *",集計用!$G:$G,"*, "&amp;$C50&amp;", *")/$B50*100</f>
        <v>0</v>
      </c>
      <c r="R50" s="41">
        <f>COUNTIFS(集計用!$S:$S, "*"&amp;R$4&amp;", *",集計用!$G:$G,"*, "&amp;$C50&amp;", *")/$B50*100</f>
        <v>0</v>
      </c>
      <c r="S50" s="41">
        <f>COUNTIFS(集計用!$S:$S, "*"&amp;S$4&amp;", *",集計用!$G:$G,"*, "&amp;$C50&amp;", *")/$B50*100</f>
        <v>0</v>
      </c>
      <c r="T50" s="41">
        <f>COUNTIFS(集計用!$S:$S, "*"&amp;T$4&amp;", *",集計用!$G:$G,"*, "&amp;$C50&amp;", *")/$B50*100</f>
        <v>0</v>
      </c>
      <c r="U50" s="41">
        <f>COUNTIFS(集計用!$S:$S, "*"&amp;U$4&amp;", *",集計用!$G:$G,"*, "&amp;$C50&amp;", *")/$B50*100</f>
        <v>0</v>
      </c>
      <c r="V50" s="41">
        <f>COUNTIFS(集計用!$S:$S, "*"&amp;V$4&amp;", *",集計用!$G:$G,"*, "&amp;$C50&amp;", *")/$B50*100</f>
        <v>0</v>
      </c>
      <c r="W50" s="41">
        <f>COUNTIFS(集計用!$S:$S, "*"&amp;W$4&amp;", *",集計用!$G:$G,"*, "&amp;$C50&amp;", *")/$B50*100</f>
        <v>0</v>
      </c>
      <c r="X50" s="41">
        <f>COUNTIFS(集計用!$S:$S, "*"&amp;X$4&amp;", *",集計用!$G:$G,"*, "&amp;$C50&amp;", *")/$B50*100</f>
        <v>0</v>
      </c>
      <c r="Y50" s="41">
        <f>COUNTIFS(集計用!$S:$S, "*"&amp;Y$4&amp;", *",集計用!$G:$G,"*, "&amp;$C50&amp;", *")/$B50*100</f>
        <v>0</v>
      </c>
      <c r="Z50" s="41">
        <f>COUNTIFS(集計用!$S:$S, "*"&amp;Z$4&amp;", *",集計用!$G:$G,"*, "&amp;$C50&amp;", *")/$B50*100</f>
        <v>0</v>
      </c>
      <c r="AA50" s="41">
        <f>COUNTIFS(集計用!$S:$S, "*"&amp;AA$4&amp;", *",集計用!$G:$G,"*, "&amp;$C50&amp;", *")/$B50*100</f>
        <v>0</v>
      </c>
      <c r="AB50" s="41">
        <f>COUNTIFS(集計用!$S:$S, "*"&amp;AB$4&amp;", *",集計用!$G:$G,"*, "&amp;$C50&amp;", *")/$B50*100</f>
        <v>0</v>
      </c>
      <c r="AC50" s="41">
        <f>COUNTIFS(集計用!$S:$S, "*"&amp;AC$4&amp;", *",集計用!$G:$G,"*, "&amp;$C50&amp;", *")/$B50*100</f>
        <v>0</v>
      </c>
      <c r="AD50" s="41">
        <f>COUNTIFS(集計用!$S:$S, "*"&amp;AD$4&amp;", *",集計用!$G:$G,"*, "&amp;$C50&amp;", *")/$B50*100</f>
        <v>0</v>
      </c>
      <c r="AE50" s="41">
        <f>COUNTIFS(集計用!$S:$S, "*"&amp;AE$4&amp;", *",集計用!$G:$G,"*, "&amp;$C50&amp;", *")/$B50*100</f>
        <v>0</v>
      </c>
      <c r="AF50" s="41">
        <f>COUNTIFS(集計用!$S:$S, "*"&amp;AF$4&amp;", *",集計用!$G:$G,"*, "&amp;$C50&amp;", *")/$B50*100</f>
        <v>0</v>
      </c>
      <c r="AG50" s="41">
        <f>COUNTIFS(集計用!$S:$S, "*"&amp;AG$4&amp;", *",集計用!$G:$G,"*, "&amp;$C50&amp;", *")/$B50*100</f>
        <v>0</v>
      </c>
      <c r="AH50" s="41">
        <f>COUNTIFS(集計用!$S:$S, "*"&amp;AH$4&amp;", *",集計用!$G:$G,"*, "&amp;$C50&amp;", *")/$B50*100</f>
        <v>0</v>
      </c>
      <c r="AI50" s="41">
        <f>COUNTIFS(集計用!$S:$S, "*"&amp;AI$4&amp;", *",集計用!$G:$G,"*, "&amp;$C50&amp;", *")/$B50*100</f>
        <v>0</v>
      </c>
    </row>
    <row r="51" spans="1:35" ht="14.25" customHeight="1">
      <c r="A51" s="39">
        <v>5</v>
      </c>
      <c r="B51" s="39">
        <f>(COUNTIFS(集計用!$G:$G,"*, "&amp;$C51&amp;",*",集計用!$T:$T, "&lt;&gt;無回答"))</f>
        <v>7</v>
      </c>
      <c r="C51" s="42" t="s">
        <v>46</v>
      </c>
      <c r="D51" s="41">
        <f>COUNTIFS(集計用!$S:$S, "*"&amp;D$4&amp;", *",集計用!$G:$G,"*, "&amp;$C51&amp;", *")/$B51*100</f>
        <v>14.285714285714285</v>
      </c>
      <c r="E51" s="41">
        <f>COUNTIFS(集計用!$S:$S, "*"&amp;E$4&amp;", *",集計用!$G:$G,"*, "&amp;$C51&amp;", *")/$B51*100</f>
        <v>0</v>
      </c>
      <c r="F51" s="41">
        <f>COUNTIFS(集計用!$S:$S, "*"&amp;F$4&amp;", *",集計用!$G:$G,"*, "&amp;$C51&amp;", *")/$B51*100</f>
        <v>0</v>
      </c>
      <c r="G51" s="41">
        <f>COUNTIFS(集計用!$S:$S, "*"&amp;G$4&amp;", *",集計用!$G:$G,"*, "&amp;$C51&amp;", *")/$B51*100</f>
        <v>0</v>
      </c>
      <c r="H51" s="41">
        <f>COUNTIFS(集計用!$S:$S, "*"&amp;H$4&amp;", *",集計用!$G:$G,"*, "&amp;$C51&amp;", *")/$B51*100</f>
        <v>0</v>
      </c>
      <c r="I51" s="41">
        <f>COUNTIFS(集計用!$S:$S, "*"&amp;I$4&amp;", *",集計用!$G:$G,"*, "&amp;$C51&amp;", *")/$B51*100</f>
        <v>0</v>
      </c>
      <c r="J51" s="41">
        <f>COUNTIFS(集計用!$S:$S, "*"&amp;J$4&amp;", *",集計用!$G:$G,"*, "&amp;$C51&amp;", *")/$B51*100</f>
        <v>0</v>
      </c>
      <c r="K51" s="41">
        <f>COUNTIFS(集計用!$S:$S, "*"&amp;K$4&amp;", *",集計用!$G:$G,"*, "&amp;$C51&amp;", *")/$B51*100</f>
        <v>0</v>
      </c>
      <c r="L51" s="41">
        <f>COUNTIFS(集計用!$S:$S, "*"&amp;L$4&amp;", *",集計用!$G:$G,"*, "&amp;$C51&amp;", *")/$B51*100</f>
        <v>0</v>
      </c>
      <c r="M51" s="41">
        <f>COUNTIFS(集計用!$S:$S, "*"&amp;M$4&amp;", *",集計用!$G:$G,"*, "&amp;$C51&amp;", *")/$B51*100</f>
        <v>0</v>
      </c>
      <c r="N51" s="41">
        <f>COUNTIFS(集計用!$S:$S, "*"&amp;N$4&amp;", *",集計用!$G:$G,"*, "&amp;$C51&amp;", *")/$B51*100</f>
        <v>0</v>
      </c>
      <c r="O51" s="41">
        <f>COUNTIFS(集計用!$S:$S, "*"&amp;O$4&amp;", *",集計用!$G:$G,"*, "&amp;$C51&amp;", *")/$B51*100</f>
        <v>0</v>
      </c>
      <c r="P51" s="41">
        <f>COUNTIFS(集計用!$S:$S, "*"&amp;P$4&amp;", *",集計用!$G:$G,"*, "&amp;$C51&amp;", *")/$B51*100</f>
        <v>0</v>
      </c>
      <c r="Q51" s="41">
        <f>COUNTIFS(集計用!$S:$S, "*"&amp;Q$4&amp;", *",集計用!$G:$G,"*, "&amp;$C51&amp;", *")/$B51*100</f>
        <v>0</v>
      </c>
      <c r="R51" s="41">
        <f>COUNTIFS(集計用!$S:$S, "*"&amp;R$4&amp;", *",集計用!$G:$G,"*, "&amp;$C51&amp;", *")/$B51*100</f>
        <v>0</v>
      </c>
      <c r="S51" s="41">
        <f>COUNTIFS(集計用!$S:$S, "*"&amp;S$4&amp;", *",集計用!$G:$G,"*, "&amp;$C51&amp;", *")/$B51*100</f>
        <v>0</v>
      </c>
      <c r="T51" s="41">
        <f>COUNTIFS(集計用!$S:$S, "*"&amp;T$4&amp;", *",集計用!$G:$G,"*, "&amp;$C51&amp;", *")/$B51*100</f>
        <v>0</v>
      </c>
      <c r="U51" s="41">
        <f>COUNTIFS(集計用!$S:$S, "*"&amp;U$4&amp;", *",集計用!$G:$G,"*, "&amp;$C51&amp;", *")/$B51*100</f>
        <v>0</v>
      </c>
      <c r="V51" s="41">
        <f>COUNTIFS(集計用!$S:$S, "*"&amp;V$4&amp;", *",集計用!$G:$G,"*, "&amp;$C51&amp;", *")/$B51*100</f>
        <v>0</v>
      </c>
      <c r="W51" s="41">
        <f>COUNTIFS(集計用!$S:$S, "*"&amp;W$4&amp;", *",集計用!$G:$G,"*, "&amp;$C51&amp;", *")/$B51*100</f>
        <v>0</v>
      </c>
      <c r="X51" s="41">
        <f>COUNTIFS(集計用!$S:$S, "*"&amp;X$4&amp;", *",集計用!$G:$G,"*, "&amp;$C51&amp;", *")/$B51*100</f>
        <v>0</v>
      </c>
      <c r="Y51" s="41">
        <f>COUNTIFS(集計用!$S:$S, "*"&amp;Y$4&amp;", *",集計用!$G:$G,"*, "&amp;$C51&amp;", *")/$B51*100</f>
        <v>0</v>
      </c>
      <c r="Z51" s="41">
        <f>COUNTIFS(集計用!$S:$S, "*"&amp;Z$4&amp;", *",集計用!$G:$G,"*, "&amp;$C51&amp;", *")/$B51*100</f>
        <v>0</v>
      </c>
      <c r="AA51" s="41">
        <f>COUNTIFS(集計用!$S:$S, "*"&amp;AA$4&amp;", *",集計用!$G:$G,"*, "&amp;$C51&amp;", *")/$B51*100</f>
        <v>14.285714285714285</v>
      </c>
      <c r="AB51" s="41">
        <f>COUNTIFS(集計用!$S:$S, "*"&amp;AB$4&amp;", *",集計用!$G:$G,"*, "&amp;$C51&amp;", *")/$B51*100</f>
        <v>0</v>
      </c>
      <c r="AC51" s="41">
        <f>COUNTIFS(集計用!$S:$S, "*"&amp;AC$4&amp;", *",集計用!$G:$G,"*, "&amp;$C51&amp;", *")/$B51*100</f>
        <v>14.285714285714285</v>
      </c>
      <c r="AD51" s="41">
        <f>COUNTIFS(集計用!$S:$S, "*"&amp;AD$4&amp;", *",集計用!$G:$G,"*, "&amp;$C51&amp;", *")/$B51*100</f>
        <v>0</v>
      </c>
      <c r="AE51" s="41">
        <f>COUNTIFS(集計用!$S:$S, "*"&amp;AE$4&amp;", *",集計用!$G:$G,"*, "&amp;$C51&amp;", *")/$B51*100</f>
        <v>0</v>
      </c>
      <c r="AF51" s="41">
        <f>COUNTIFS(集計用!$S:$S, "*"&amp;AF$4&amp;", *",集計用!$G:$G,"*, "&amp;$C51&amp;", *")/$B51*100</f>
        <v>0</v>
      </c>
      <c r="AG51" s="41">
        <f>COUNTIFS(集計用!$S:$S, "*"&amp;AG$4&amp;", *",集計用!$G:$G,"*, "&amp;$C51&amp;", *")/$B51*100</f>
        <v>14.285714285714285</v>
      </c>
      <c r="AH51" s="41">
        <f>COUNTIFS(集計用!$S:$S, "*"&amp;AH$4&amp;", *",集計用!$G:$G,"*, "&amp;$C51&amp;", *")/$B51*100</f>
        <v>0</v>
      </c>
      <c r="AI51" s="41">
        <f>COUNTIFS(集計用!$S:$S, "*"&amp;AI$4&amp;", *",集計用!$G:$G,"*, "&amp;$C51&amp;", *")/$B51*100</f>
        <v>0</v>
      </c>
    </row>
    <row r="52" spans="1:35" ht="14.25" customHeight="1">
      <c r="A52" s="39">
        <v>4</v>
      </c>
      <c r="B52" s="39">
        <f>(COUNTIFS(集計用!$G:$G,"*, "&amp;$C52&amp;",*",集計用!$T:$T, "&lt;&gt;無回答"))</f>
        <v>7</v>
      </c>
      <c r="C52" s="42" t="s">
        <v>47</v>
      </c>
      <c r="D52" s="41">
        <f>COUNTIFS(集計用!$S:$S, "*"&amp;D$4&amp;", *",集計用!$G:$G,"*, "&amp;$C52&amp;", *")/$B52*100</f>
        <v>14.285714285714285</v>
      </c>
      <c r="E52" s="41">
        <f>COUNTIFS(集計用!$S:$S, "*"&amp;E$4&amp;", *",集計用!$G:$G,"*, "&amp;$C52&amp;", *")/$B52*100</f>
        <v>0</v>
      </c>
      <c r="F52" s="41">
        <f>COUNTIFS(集計用!$S:$S, "*"&amp;F$4&amp;", *",集計用!$G:$G,"*, "&amp;$C52&amp;", *")/$B52*100</f>
        <v>0</v>
      </c>
      <c r="G52" s="41">
        <f>COUNTIFS(集計用!$S:$S, "*"&amp;G$4&amp;", *",集計用!$G:$G,"*, "&amp;$C52&amp;", *")/$B52*100</f>
        <v>0</v>
      </c>
      <c r="H52" s="41">
        <f>COUNTIFS(集計用!$S:$S, "*"&amp;H$4&amp;", *",集計用!$G:$G,"*, "&amp;$C52&amp;", *")/$B52*100</f>
        <v>0</v>
      </c>
      <c r="I52" s="41">
        <f>COUNTIFS(集計用!$S:$S, "*"&amp;I$4&amp;", *",集計用!$G:$G,"*, "&amp;$C52&amp;", *")/$B52*100</f>
        <v>0</v>
      </c>
      <c r="J52" s="41">
        <f>COUNTIFS(集計用!$S:$S, "*"&amp;J$4&amp;", *",集計用!$G:$G,"*, "&amp;$C52&amp;", *")/$B52*100</f>
        <v>0</v>
      </c>
      <c r="K52" s="41">
        <f>COUNTIFS(集計用!$S:$S, "*"&amp;K$4&amp;", *",集計用!$G:$G,"*, "&amp;$C52&amp;", *")/$B52*100</f>
        <v>0</v>
      </c>
      <c r="L52" s="41">
        <f>COUNTIFS(集計用!$S:$S, "*"&amp;L$4&amp;", *",集計用!$G:$G,"*, "&amp;$C52&amp;", *")/$B52*100</f>
        <v>0</v>
      </c>
      <c r="M52" s="41">
        <f>COUNTIFS(集計用!$S:$S, "*"&amp;M$4&amp;", *",集計用!$G:$G,"*, "&amp;$C52&amp;", *")/$B52*100</f>
        <v>0</v>
      </c>
      <c r="N52" s="41">
        <f>COUNTIFS(集計用!$S:$S, "*"&amp;N$4&amp;", *",集計用!$G:$G,"*, "&amp;$C52&amp;", *")/$B52*100</f>
        <v>0</v>
      </c>
      <c r="O52" s="41">
        <f>COUNTIFS(集計用!$S:$S, "*"&amp;O$4&amp;", *",集計用!$G:$G,"*, "&amp;$C52&amp;", *")/$B52*100</f>
        <v>0</v>
      </c>
      <c r="P52" s="41">
        <f>COUNTIFS(集計用!$S:$S, "*"&amp;P$4&amp;", *",集計用!$G:$G,"*, "&amp;$C52&amp;", *")/$B52*100</f>
        <v>0</v>
      </c>
      <c r="Q52" s="41">
        <f>COUNTIFS(集計用!$S:$S, "*"&amp;Q$4&amp;", *",集計用!$G:$G,"*, "&amp;$C52&amp;", *")/$B52*100</f>
        <v>0</v>
      </c>
      <c r="R52" s="41">
        <f>COUNTIFS(集計用!$S:$S, "*"&amp;R$4&amp;", *",集計用!$G:$G,"*, "&amp;$C52&amp;", *")/$B52*100</f>
        <v>0</v>
      </c>
      <c r="S52" s="41">
        <f>COUNTIFS(集計用!$S:$S, "*"&amp;S$4&amp;", *",集計用!$G:$G,"*, "&amp;$C52&amp;", *")/$B52*100</f>
        <v>0</v>
      </c>
      <c r="T52" s="41">
        <f>COUNTIFS(集計用!$S:$S, "*"&amp;T$4&amp;", *",集計用!$G:$G,"*, "&amp;$C52&amp;", *")/$B52*100</f>
        <v>0</v>
      </c>
      <c r="U52" s="41">
        <f>COUNTIFS(集計用!$S:$S, "*"&amp;U$4&amp;", *",集計用!$G:$G,"*, "&amp;$C52&amp;", *")/$B52*100</f>
        <v>0</v>
      </c>
      <c r="V52" s="41">
        <f>COUNTIFS(集計用!$S:$S, "*"&amp;V$4&amp;", *",集計用!$G:$G,"*, "&amp;$C52&amp;", *")/$B52*100</f>
        <v>0</v>
      </c>
      <c r="W52" s="41">
        <f>COUNTIFS(集計用!$S:$S, "*"&amp;W$4&amp;", *",集計用!$G:$G,"*, "&amp;$C52&amp;", *")/$B52*100</f>
        <v>0</v>
      </c>
      <c r="X52" s="41">
        <f>COUNTIFS(集計用!$S:$S, "*"&amp;X$4&amp;", *",集計用!$G:$G,"*, "&amp;$C52&amp;", *")/$B52*100</f>
        <v>0</v>
      </c>
      <c r="Y52" s="41">
        <f>COUNTIFS(集計用!$S:$S, "*"&amp;Y$4&amp;", *",集計用!$G:$G,"*, "&amp;$C52&amp;", *")/$B52*100</f>
        <v>0</v>
      </c>
      <c r="Z52" s="41">
        <f>COUNTIFS(集計用!$S:$S, "*"&amp;Z$4&amp;", *",集計用!$G:$G,"*, "&amp;$C52&amp;", *")/$B52*100</f>
        <v>0</v>
      </c>
      <c r="AA52" s="41">
        <f>COUNTIFS(集計用!$S:$S, "*"&amp;AA$4&amp;", *",集計用!$G:$G,"*, "&amp;$C52&amp;", *")/$B52*100</f>
        <v>14.285714285714285</v>
      </c>
      <c r="AB52" s="41">
        <f>COUNTIFS(集計用!$S:$S, "*"&amp;AB$4&amp;", *",集計用!$G:$G,"*, "&amp;$C52&amp;", *")/$B52*100</f>
        <v>0</v>
      </c>
      <c r="AC52" s="41">
        <f>COUNTIFS(集計用!$S:$S, "*"&amp;AC$4&amp;", *",集計用!$G:$G,"*, "&amp;$C52&amp;", *")/$B52*100</f>
        <v>14.285714285714285</v>
      </c>
      <c r="AD52" s="41">
        <f>COUNTIFS(集計用!$S:$S, "*"&amp;AD$4&amp;", *",集計用!$G:$G,"*, "&amp;$C52&amp;", *")/$B52*100</f>
        <v>0</v>
      </c>
      <c r="AE52" s="41">
        <f>COUNTIFS(集計用!$S:$S, "*"&amp;AE$4&amp;", *",集計用!$G:$G,"*, "&amp;$C52&amp;", *")/$B52*100</f>
        <v>0</v>
      </c>
      <c r="AF52" s="41">
        <f>COUNTIFS(集計用!$S:$S, "*"&amp;AF$4&amp;", *",集計用!$G:$G,"*, "&amp;$C52&amp;", *")/$B52*100</f>
        <v>0</v>
      </c>
      <c r="AG52" s="41">
        <f>COUNTIFS(集計用!$S:$S, "*"&amp;AG$4&amp;", *",集計用!$G:$G,"*, "&amp;$C52&amp;", *")/$B52*100</f>
        <v>14.285714285714285</v>
      </c>
      <c r="AH52" s="41">
        <f>COUNTIFS(集計用!$S:$S, "*"&amp;AH$4&amp;", *",集計用!$G:$G,"*, "&amp;$C52&amp;", *")/$B52*100</f>
        <v>0</v>
      </c>
      <c r="AI52" s="41">
        <f>COUNTIFS(集計用!$S:$S, "*"&amp;AI$4&amp;", *",集計用!$G:$G,"*, "&amp;$C52&amp;", *")/$B52*100</f>
        <v>0</v>
      </c>
    </row>
    <row r="53" spans="1:35" ht="14.25" customHeight="1">
      <c r="A53" s="39">
        <v>5</v>
      </c>
      <c r="B53" s="39">
        <f>(COUNTIFS(集計用!$G:$G,"*, "&amp;$C53&amp;",*",集計用!$T:$T, "&lt;&gt;無回答"))</f>
        <v>7</v>
      </c>
      <c r="C53" s="42" t="s">
        <v>45</v>
      </c>
      <c r="D53" s="41">
        <f>COUNTIFS(集計用!$S:$S, "*"&amp;D$4&amp;", *",集計用!$G:$G,"*, "&amp;$C53&amp;", *")/$B53*100</f>
        <v>0</v>
      </c>
      <c r="E53" s="41">
        <f>COUNTIFS(集計用!$S:$S, "*"&amp;E$4&amp;", *",集計用!$G:$G,"*, "&amp;$C53&amp;", *")/$B53*100</f>
        <v>0</v>
      </c>
      <c r="F53" s="41">
        <f>COUNTIFS(集計用!$S:$S, "*"&amp;F$4&amp;", *",集計用!$G:$G,"*, "&amp;$C53&amp;", *")/$B53*100</f>
        <v>0</v>
      </c>
      <c r="G53" s="41">
        <f>COUNTIFS(集計用!$S:$S, "*"&amp;G$4&amp;", *",集計用!$G:$G,"*, "&amp;$C53&amp;", *")/$B53*100</f>
        <v>0</v>
      </c>
      <c r="H53" s="41">
        <f>COUNTIFS(集計用!$S:$S, "*"&amp;H$4&amp;", *",集計用!$G:$G,"*, "&amp;$C53&amp;", *")/$B53*100</f>
        <v>0</v>
      </c>
      <c r="I53" s="41">
        <f>COUNTIFS(集計用!$S:$S, "*"&amp;I$4&amp;", *",集計用!$G:$G,"*, "&amp;$C53&amp;", *")/$B53*100</f>
        <v>0</v>
      </c>
      <c r="J53" s="41">
        <f>COUNTIFS(集計用!$S:$S, "*"&amp;J$4&amp;", *",集計用!$G:$G,"*, "&amp;$C53&amp;", *")/$B53*100</f>
        <v>0</v>
      </c>
      <c r="K53" s="41">
        <f>COUNTIFS(集計用!$S:$S, "*"&amp;K$4&amp;", *",集計用!$G:$G,"*, "&amp;$C53&amp;", *")/$B53*100</f>
        <v>0</v>
      </c>
      <c r="L53" s="41">
        <f>COUNTIFS(集計用!$S:$S, "*"&amp;L$4&amp;", *",集計用!$G:$G,"*, "&amp;$C53&amp;", *")/$B53*100</f>
        <v>0</v>
      </c>
      <c r="M53" s="41">
        <f>COUNTIFS(集計用!$S:$S, "*"&amp;M$4&amp;", *",集計用!$G:$G,"*, "&amp;$C53&amp;", *")/$B53*100</f>
        <v>0</v>
      </c>
      <c r="N53" s="41">
        <f>COUNTIFS(集計用!$S:$S, "*"&amp;N$4&amp;", *",集計用!$G:$G,"*, "&amp;$C53&amp;", *")/$B53*100</f>
        <v>0</v>
      </c>
      <c r="O53" s="41">
        <f>COUNTIFS(集計用!$S:$S, "*"&amp;O$4&amp;", *",集計用!$G:$G,"*, "&amp;$C53&amp;", *")/$B53*100</f>
        <v>0</v>
      </c>
      <c r="P53" s="41">
        <f>COUNTIFS(集計用!$S:$S, "*"&amp;P$4&amp;", *",集計用!$G:$G,"*, "&amp;$C53&amp;", *")/$B53*100</f>
        <v>0</v>
      </c>
      <c r="Q53" s="41">
        <f>COUNTIFS(集計用!$S:$S, "*"&amp;Q$4&amp;", *",集計用!$G:$G,"*, "&amp;$C53&amp;", *")/$B53*100</f>
        <v>0</v>
      </c>
      <c r="R53" s="41">
        <f>COUNTIFS(集計用!$S:$S, "*"&amp;R$4&amp;", *",集計用!$G:$G,"*, "&amp;$C53&amp;", *")/$B53*100</f>
        <v>0</v>
      </c>
      <c r="S53" s="41">
        <f>COUNTIFS(集計用!$S:$S, "*"&amp;S$4&amp;", *",集計用!$G:$G,"*, "&amp;$C53&amp;", *")/$B53*100</f>
        <v>0</v>
      </c>
      <c r="T53" s="41">
        <f>COUNTIFS(集計用!$S:$S, "*"&amp;T$4&amp;", *",集計用!$G:$G,"*, "&amp;$C53&amp;", *")/$B53*100</f>
        <v>0</v>
      </c>
      <c r="U53" s="41">
        <f>COUNTIFS(集計用!$S:$S, "*"&amp;U$4&amp;", *",集計用!$G:$G,"*, "&amp;$C53&amp;", *")/$B53*100</f>
        <v>0</v>
      </c>
      <c r="V53" s="41">
        <f>COUNTIFS(集計用!$S:$S, "*"&amp;V$4&amp;", *",集計用!$G:$G,"*, "&amp;$C53&amp;", *")/$B53*100</f>
        <v>0</v>
      </c>
      <c r="W53" s="41">
        <f>COUNTIFS(集計用!$S:$S, "*"&amp;W$4&amp;", *",集計用!$G:$G,"*, "&amp;$C53&amp;", *")/$B53*100</f>
        <v>0</v>
      </c>
      <c r="X53" s="41">
        <f>COUNTIFS(集計用!$S:$S, "*"&amp;X$4&amp;", *",集計用!$G:$G,"*, "&amp;$C53&amp;", *")/$B53*100</f>
        <v>0</v>
      </c>
      <c r="Y53" s="41">
        <f>COUNTIFS(集計用!$S:$S, "*"&amp;Y$4&amp;", *",集計用!$G:$G,"*, "&amp;$C53&amp;", *")/$B53*100</f>
        <v>0</v>
      </c>
      <c r="Z53" s="41">
        <f>COUNTIFS(集計用!$S:$S, "*"&amp;Z$4&amp;", *",集計用!$G:$G,"*, "&amp;$C53&amp;", *")/$B53*100</f>
        <v>0</v>
      </c>
      <c r="AA53" s="41">
        <f>COUNTIFS(集計用!$S:$S, "*"&amp;AA$4&amp;", *",集計用!$G:$G,"*, "&amp;$C53&amp;", *")/$B53*100</f>
        <v>0</v>
      </c>
      <c r="AB53" s="41">
        <f>COUNTIFS(集計用!$S:$S, "*"&amp;AB$4&amp;", *",集計用!$G:$G,"*, "&amp;$C53&amp;", *")/$B53*100</f>
        <v>0</v>
      </c>
      <c r="AC53" s="41">
        <f>COUNTIFS(集計用!$S:$S, "*"&amp;AC$4&amp;", *",集計用!$G:$G,"*, "&amp;$C53&amp;", *")/$B53*100</f>
        <v>0</v>
      </c>
      <c r="AD53" s="41">
        <f>COUNTIFS(集計用!$S:$S, "*"&amp;AD$4&amp;", *",集計用!$G:$G,"*, "&amp;$C53&amp;", *")/$B53*100</f>
        <v>0</v>
      </c>
      <c r="AE53" s="41">
        <f>COUNTIFS(集計用!$S:$S, "*"&amp;AE$4&amp;", *",集計用!$G:$G,"*, "&amp;$C53&amp;", *")/$B53*100</f>
        <v>0</v>
      </c>
      <c r="AF53" s="41">
        <f>COUNTIFS(集計用!$S:$S, "*"&amp;AF$4&amp;", *",集計用!$G:$G,"*, "&amp;$C53&amp;", *")/$B53*100</f>
        <v>0</v>
      </c>
      <c r="AG53" s="41">
        <f>COUNTIFS(集計用!$S:$S, "*"&amp;AG$4&amp;", *",集計用!$G:$G,"*, "&amp;$C53&amp;", *")/$B53*100</f>
        <v>0</v>
      </c>
      <c r="AH53" s="41">
        <f>COUNTIFS(集計用!$S:$S, "*"&amp;AH$4&amp;", *",集計用!$G:$G,"*, "&amp;$C53&amp;", *")/$B53*100</f>
        <v>0</v>
      </c>
      <c r="AI53" s="41">
        <f>COUNTIFS(集計用!$S:$S, "*"&amp;AI$4&amp;", *",集計用!$G:$G,"*, "&amp;$C53&amp;", *")/$B53*100</f>
        <v>0</v>
      </c>
    </row>
    <row r="54" spans="1:35" ht="14.25" customHeight="1">
      <c r="A54" s="39">
        <v>2</v>
      </c>
      <c r="B54" s="39">
        <f>(COUNTIFS(集計用!$G:$G,"*, "&amp;$C54&amp;",*",集計用!$T:$T, "&lt;&gt;無回答"))</f>
        <v>6</v>
      </c>
      <c r="C54" s="42" t="s">
        <v>48</v>
      </c>
      <c r="D54" s="41">
        <f>COUNTIFS(集計用!$S:$S, "*"&amp;D$4&amp;", *",集計用!$G:$G,"*, "&amp;$C54&amp;", *")/$B54*100</f>
        <v>0</v>
      </c>
      <c r="E54" s="41">
        <f>COUNTIFS(集計用!$S:$S, "*"&amp;E$4&amp;", *",集計用!$G:$G,"*, "&amp;$C54&amp;", *")/$B54*100</f>
        <v>0</v>
      </c>
      <c r="F54" s="41">
        <f>COUNTIFS(集計用!$S:$S, "*"&amp;F$4&amp;", *",集計用!$G:$G,"*, "&amp;$C54&amp;", *")/$B54*100</f>
        <v>0</v>
      </c>
      <c r="G54" s="41">
        <f>COUNTIFS(集計用!$S:$S, "*"&amp;G$4&amp;", *",集計用!$G:$G,"*, "&amp;$C54&amp;", *")/$B54*100</f>
        <v>0</v>
      </c>
      <c r="H54" s="41">
        <f>COUNTIFS(集計用!$S:$S, "*"&amp;H$4&amp;", *",集計用!$G:$G,"*, "&amp;$C54&amp;", *")/$B54*100</f>
        <v>0</v>
      </c>
      <c r="I54" s="41">
        <f>COUNTIFS(集計用!$S:$S, "*"&amp;I$4&amp;", *",集計用!$G:$G,"*, "&amp;$C54&amp;", *")/$B54*100</f>
        <v>0</v>
      </c>
      <c r="J54" s="41">
        <f>COUNTIFS(集計用!$S:$S, "*"&amp;J$4&amp;", *",集計用!$G:$G,"*, "&amp;$C54&amp;", *")/$B54*100</f>
        <v>0</v>
      </c>
      <c r="K54" s="41">
        <f>COUNTIFS(集計用!$S:$S, "*"&amp;K$4&amp;", *",集計用!$G:$G,"*, "&amp;$C54&amp;", *")/$B54*100</f>
        <v>0</v>
      </c>
      <c r="L54" s="41">
        <f>COUNTIFS(集計用!$S:$S, "*"&amp;L$4&amp;", *",集計用!$G:$G,"*, "&amp;$C54&amp;", *")/$B54*100</f>
        <v>0</v>
      </c>
      <c r="M54" s="41">
        <f>COUNTIFS(集計用!$S:$S, "*"&amp;M$4&amp;", *",集計用!$G:$G,"*, "&amp;$C54&amp;", *")/$B54*100</f>
        <v>0</v>
      </c>
      <c r="N54" s="41">
        <f>COUNTIFS(集計用!$S:$S, "*"&amp;N$4&amp;", *",集計用!$G:$G,"*, "&amp;$C54&amp;", *")/$B54*100</f>
        <v>0</v>
      </c>
      <c r="O54" s="41">
        <f>COUNTIFS(集計用!$S:$S, "*"&amp;O$4&amp;", *",集計用!$G:$G,"*, "&amp;$C54&amp;", *")/$B54*100</f>
        <v>0</v>
      </c>
      <c r="P54" s="41">
        <f>COUNTIFS(集計用!$S:$S, "*"&amp;P$4&amp;", *",集計用!$G:$G,"*, "&amp;$C54&amp;", *")/$B54*100</f>
        <v>0</v>
      </c>
      <c r="Q54" s="41">
        <f>COUNTIFS(集計用!$S:$S, "*"&amp;Q$4&amp;", *",集計用!$G:$G,"*, "&amp;$C54&amp;", *")/$B54*100</f>
        <v>0</v>
      </c>
      <c r="R54" s="41">
        <f>COUNTIFS(集計用!$S:$S, "*"&amp;R$4&amp;", *",集計用!$G:$G,"*, "&amp;$C54&amp;", *")/$B54*100</f>
        <v>0</v>
      </c>
      <c r="S54" s="41">
        <f>COUNTIFS(集計用!$S:$S, "*"&amp;S$4&amp;", *",集計用!$G:$G,"*, "&amp;$C54&amp;", *")/$B54*100</f>
        <v>0</v>
      </c>
      <c r="T54" s="41">
        <f>COUNTIFS(集計用!$S:$S, "*"&amp;T$4&amp;", *",集計用!$G:$G,"*, "&amp;$C54&amp;", *")/$B54*100</f>
        <v>0</v>
      </c>
      <c r="U54" s="41">
        <f>COUNTIFS(集計用!$S:$S, "*"&amp;U$4&amp;", *",集計用!$G:$G,"*, "&amp;$C54&amp;", *")/$B54*100</f>
        <v>0</v>
      </c>
      <c r="V54" s="41">
        <f>COUNTIFS(集計用!$S:$S, "*"&amp;V$4&amp;", *",集計用!$G:$G,"*, "&amp;$C54&amp;", *")/$B54*100</f>
        <v>0</v>
      </c>
      <c r="W54" s="41">
        <f>COUNTIFS(集計用!$S:$S, "*"&amp;W$4&amp;", *",集計用!$G:$G,"*, "&amp;$C54&amp;", *")/$B54*100</f>
        <v>0</v>
      </c>
      <c r="X54" s="41">
        <f>COUNTIFS(集計用!$S:$S, "*"&amp;X$4&amp;", *",集計用!$G:$G,"*, "&amp;$C54&amp;", *")/$B54*100</f>
        <v>0</v>
      </c>
      <c r="Y54" s="41">
        <f>COUNTIFS(集計用!$S:$S, "*"&amp;Y$4&amp;", *",集計用!$G:$G,"*, "&amp;$C54&amp;", *")/$B54*100</f>
        <v>0</v>
      </c>
      <c r="Z54" s="41">
        <f>COUNTIFS(集計用!$S:$S, "*"&amp;Z$4&amp;", *",集計用!$G:$G,"*, "&amp;$C54&amp;", *")/$B54*100</f>
        <v>0</v>
      </c>
      <c r="AA54" s="41">
        <f>COUNTIFS(集計用!$S:$S, "*"&amp;AA$4&amp;", *",集計用!$G:$G,"*, "&amp;$C54&amp;", *")/$B54*100</f>
        <v>0</v>
      </c>
      <c r="AB54" s="41">
        <f>COUNTIFS(集計用!$S:$S, "*"&amp;AB$4&amp;", *",集計用!$G:$G,"*, "&amp;$C54&amp;", *")/$B54*100</f>
        <v>0</v>
      </c>
      <c r="AC54" s="41">
        <f>COUNTIFS(集計用!$S:$S, "*"&amp;AC$4&amp;", *",集計用!$G:$G,"*, "&amp;$C54&amp;", *")/$B54*100</f>
        <v>0</v>
      </c>
      <c r="AD54" s="41">
        <f>COUNTIFS(集計用!$S:$S, "*"&amp;AD$4&amp;", *",集計用!$G:$G,"*, "&amp;$C54&amp;", *")/$B54*100</f>
        <v>0</v>
      </c>
      <c r="AE54" s="41">
        <f>COUNTIFS(集計用!$S:$S, "*"&amp;AE$4&amp;", *",集計用!$G:$G,"*, "&amp;$C54&amp;", *")/$B54*100</f>
        <v>0</v>
      </c>
      <c r="AF54" s="41">
        <f>COUNTIFS(集計用!$S:$S, "*"&amp;AF$4&amp;", *",集計用!$G:$G,"*, "&amp;$C54&amp;", *")/$B54*100</f>
        <v>0</v>
      </c>
      <c r="AG54" s="41">
        <f>COUNTIFS(集計用!$S:$S, "*"&amp;AG$4&amp;", *",集計用!$G:$G,"*, "&amp;$C54&amp;", *")/$B54*100</f>
        <v>0</v>
      </c>
      <c r="AH54" s="41">
        <f>COUNTIFS(集計用!$S:$S, "*"&amp;AH$4&amp;", *",集計用!$G:$G,"*, "&amp;$C54&amp;", *")/$B54*100</f>
        <v>0</v>
      </c>
      <c r="AI54" s="41">
        <f>COUNTIFS(集計用!$S:$S, "*"&amp;AI$4&amp;", *",集計用!$G:$G,"*, "&amp;$C54&amp;", *")/$B54*100</f>
        <v>0</v>
      </c>
    </row>
    <row r="55" spans="1:35" ht="12.75">
      <c r="A55" s="39">
        <v>5</v>
      </c>
      <c r="B55" s="39">
        <f>(COUNTIFS(集計用!$G:$G,"*, "&amp;$C55&amp;",*",集計用!$T:$T, "&lt;&gt;無回答"))</f>
        <v>6</v>
      </c>
      <c r="C55" s="42" t="s">
        <v>49</v>
      </c>
      <c r="D55" s="41">
        <f>COUNTIFS(集計用!$S:$S, "*"&amp;D$4&amp;", *",集計用!$G:$G,"*, "&amp;$C55&amp;", *")/$B55*100</f>
        <v>0</v>
      </c>
      <c r="E55" s="41">
        <f>COUNTIFS(集計用!$S:$S, "*"&amp;E$4&amp;", *",集計用!$G:$G,"*, "&amp;$C55&amp;", *")/$B55*100</f>
        <v>0</v>
      </c>
      <c r="F55" s="41">
        <f>COUNTIFS(集計用!$S:$S, "*"&amp;F$4&amp;", *",集計用!$G:$G,"*, "&amp;$C55&amp;", *")/$B55*100</f>
        <v>0</v>
      </c>
      <c r="G55" s="41">
        <f>COUNTIFS(集計用!$S:$S, "*"&amp;G$4&amp;", *",集計用!$G:$G,"*, "&amp;$C55&amp;", *")/$B55*100</f>
        <v>0</v>
      </c>
      <c r="H55" s="41">
        <f>COUNTIFS(集計用!$S:$S, "*"&amp;H$4&amp;", *",集計用!$G:$G,"*, "&amp;$C55&amp;", *")/$B55*100</f>
        <v>0</v>
      </c>
      <c r="I55" s="41">
        <f>COUNTIFS(集計用!$S:$S, "*"&amp;I$4&amp;", *",集計用!$G:$G,"*, "&amp;$C55&amp;", *")/$B55*100</f>
        <v>0</v>
      </c>
      <c r="J55" s="41">
        <f>COUNTIFS(集計用!$S:$S, "*"&amp;J$4&amp;", *",集計用!$G:$G,"*, "&amp;$C55&amp;", *")/$B55*100</f>
        <v>0</v>
      </c>
      <c r="K55" s="41">
        <f>COUNTIFS(集計用!$S:$S, "*"&amp;K$4&amp;", *",集計用!$G:$G,"*, "&amp;$C55&amp;", *")/$B55*100</f>
        <v>0</v>
      </c>
      <c r="L55" s="41">
        <f>COUNTIFS(集計用!$S:$S, "*"&amp;L$4&amp;", *",集計用!$G:$G,"*, "&amp;$C55&amp;", *")/$B55*100</f>
        <v>0</v>
      </c>
      <c r="M55" s="41">
        <f>COUNTIFS(集計用!$S:$S, "*"&amp;M$4&amp;", *",集計用!$G:$G,"*, "&amp;$C55&amp;", *")/$B55*100</f>
        <v>0</v>
      </c>
      <c r="N55" s="41">
        <f>COUNTIFS(集計用!$S:$S, "*"&amp;N$4&amp;", *",集計用!$G:$G,"*, "&amp;$C55&amp;", *")/$B55*100</f>
        <v>0</v>
      </c>
      <c r="O55" s="41">
        <f>COUNTIFS(集計用!$S:$S, "*"&amp;O$4&amp;", *",集計用!$G:$G,"*, "&amp;$C55&amp;", *")/$B55*100</f>
        <v>0</v>
      </c>
      <c r="P55" s="41">
        <f>COUNTIFS(集計用!$S:$S, "*"&amp;P$4&amp;", *",集計用!$G:$G,"*, "&amp;$C55&amp;", *")/$B55*100</f>
        <v>0</v>
      </c>
      <c r="Q55" s="41">
        <f>COUNTIFS(集計用!$S:$S, "*"&amp;Q$4&amp;", *",集計用!$G:$G,"*, "&amp;$C55&amp;", *")/$B55*100</f>
        <v>0</v>
      </c>
      <c r="R55" s="41">
        <f>COUNTIFS(集計用!$S:$S, "*"&amp;R$4&amp;", *",集計用!$G:$G,"*, "&amp;$C55&amp;", *")/$B55*100</f>
        <v>0</v>
      </c>
      <c r="S55" s="41">
        <f>COUNTIFS(集計用!$S:$S, "*"&amp;S$4&amp;", *",集計用!$G:$G,"*, "&amp;$C55&amp;", *")/$B55*100</f>
        <v>0</v>
      </c>
      <c r="T55" s="41">
        <f>COUNTIFS(集計用!$S:$S, "*"&amp;T$4&amp;", *",集計用!$G:$G,"*, "&amp;$C55&amp;", *")/$B55*100</f>
        <v>0</v>
      </c>
      <c r="U55" s="41">
        <f>COUNTIFS(集計用!$S:$S, "*"&amp;U$4&amp;", *",集計用!$G:$G,"*, "&amp;$C55&amp;", *")/$B55*100</f>
        <v>0</v>
      </c>
      <c r="V55" s="41">
        <f>COUNTIFS(集計用!$S:$S, "*"&amp;V$4&amp;", *",集計用!$G:$G,"*, "&amp;$C55&amp;", *")/$B55*100</f>
        <v>0</v>
      </c>
      <c r="W55" s="41">
        <f>COUNTIFS(集計用!$S:$S, "*"&amp;W$4&amp;", *",集計用!$G:$G,"*, "&amp;$C55&amp;", *")/$B55*100</f>
        <v>0</v>
      </c>
      <c r="X55" s="41">
        <f>COUNTIFS(集計用!$S:$S, "*"&amp;X$4&amp;", *",集計用!$G:$G,"*, "&amp;$C55&amp;", *")/$B55*100</f>
        <v>0</v>
      </c>
      <c r="Y55" s="41">
        <f>COUNTIFS(集計用!$S:$S, "*"&amp;Y$4&amp;", *",集計用!$G:$G,"*, "&amp;$C55&amp;", *")/$B55*100</f>
        <v>0</v>
      </c>
      <c r="Z55" s="41">
        <f>COUNTIFS(集計用!$S:$S, "*"&amp;Z$4&amp;", *",集計用!$G:$G,"*, "&amp;$C55&amp;", *")/$B55*100</f>
        <v>0</v>
      </c>
      <c r="AA55" s="41">
        <f>COUNTIFS(集計用!$S:$S, "*"&amp;AA$4&amp;", *",集計用!$G:$G,"*, "&amp;$C55&amp;", *")/$B55*100</f>
        <v>0</v>
      </c>
      <c r="AB55" s="41">
        <f>COUNTIFS(集計用!$S:$S, "*"&amp;AB$4&amp;", *",集計用!$G:$G,"*, "&amp;$C55&amp;", *")/$B55*100</f>
        <v>0</v>
      </c>
      <c r="AC55" s="41">
        <f>COUNTIFS(集計用!$S:$S, "*"&amp;AC$4&amp;", *",集計用!$G:$G,"*, "&amp;$C55&amp;", *")/$B55*100</f>
        <v>0</v>
      </c>
      <c r="AD55" s="41">
        <f>COUNTIFS(集計用!$S:$S, "*"&amp;AD$4&amp;", *",集計用!$G:$G,"*, "&amp;$C55&amp;", *")/$B55*100</f>
        <v>0</v>
      </c>
      <c r="AE55" s="41">
        <f>COUNTIFS(集計用!$S:$S, "*"&amp;AE$4&amp;", *",集計用!$G:$G,"*, "&amp;$C55&amp;", *")/$B55*100</f>
        <v>0</v>
      </c>
      <c r="AF55" s="41">
        <f>COUNTIFS(集計用!$S:$S, "*"&amp;AF$4&amp;", *",集計用!$G:$G,"*, "&amp;$C55&amp;", *")/$B55*100</f>
        <v>0</v>
      </c>
      <c r="AG55" s="41">
        <f>COUNTIFS(集計用!$S:$S, "*"&amp;AG$4&amp;", *",集計用!$G:$G,"*, "&amp;$C55&amp;", *")/$B55*100</f>
        <v>0</v>
      </c>
      <c r="AH55" s="41">
        <f>COUNTIFS(集計用!$S:$S, "*"&amp;AH$4&amp;", *",集計用!$G:$G,"*, "&amp;$C55&amp;", *")/$B55*100</f>
        <v>0</v>
      </c>
      <c r="AI55" s="41">
        <f>COUNTIFS(集計用!$S:$S, "*"&amp;AI$4&amp;", *",集計用!$G:$G,"*, "&amp;$C55&amp;", *")/$B55*100</f>
        <v>0</v>
      </c>
    </row>
    <row r="56" spans="1:35" ht="14.25" customHeight="1">
      <c r="A56" s="39">
        <v>4</v>
      </c>
      <c r="B56" s="39">
        <f>(COUNTIFS(集計用!$G:$G,"*, "&amp;$C56&amp;",*",集計用!$T:$T, "&lt;&gt;無回答"))</f>
        <v>5</v>
      </c>
      <c r="C56" s="42" t="s">
        <v>51</v>
      </c>
      <c r="D56" s="41">
        <f>COUNTIFS(集計用!$S:$S, "*"&amp;D$4&amp;", *",集計用!$G:$G,"*, "&amp;$C56&amp;", *")/$B56*100</f>
        <v>0</v>
      </c>
      <c r="E56" s="41">
        <f>COUNTIFS(集計用!$S:$S, "*"&amp;E$4&amp;", *",集計用!$G:$G,"*, "&amp;$C56&amp;", *")/$B56*100</f>
        <v>0</v>
      </c>
      <c r="F56" s="41">
        <f>COUNTIFS(集計用!$S:$S, "*"&amp;F$4&amp;", *",集計用!$G:$G,"*, "&amp;$C56&amp;", *")/$B56*100</f>
        <v>0</v>
      </c>
      <c r="G56" s="41">
        <f>COUNTIFS(集計用!$S:$S, "*"&amp;G$4&amp;", *",集計用!$G:$G,"*, "&amp;$C56&amp;", *")/$B56*100</f>
        <v>0</v>
      </c>
      <c r="H56" s="41">
        <f>COUNTIFS(集計用!$S:$S, "*"&amp;H$4&amp;", *",集計用!$G:$G,"*, "&amp;$C56&amp;", *")/$B56*100</f>
        <v>0</v>
      </c>
      <c r="I56" s="41">
        <f>COUNTIFS(集計用!$S:$S, "*"&amp;I$4&amp;", *",集計用!$G:$G,"*, "&amp;$C56&amp;", *")/$B56*100</f>
        <v>0</v>
      </c>
      <c r="J56" s="41">
        <f>COUNTIFS(集計用!$S:$S, "*"&amp;J$4&amp;", *",集計用!$G:$G,"*, "&amp;$C56&amp;", *")/$B56*100</f>
        <v>0</v>
      </c>
      <c r="K56" s="41">
        <f>COUNTIFS(集計用!$S:$S, "*"&amp;K$4&amp;", *",集計用!$G:$G,"*, "&amp;$C56&amp;", *")/$B56*100</f>
        <v>0</v>
      </c>
      <c r="L56" s="41">
        <f>COUNTIFS(集計用!$S:$S, "*"&amp;L$4&amp;", *",集計用!$G:$G,"*, "&amp;$C56&amp;", *")/$B56*100</f>
        <v>0</v>
      </c>
      <c r="M56" s="41">
        <f>COUNTIFS(集計用!$S:$S, "*"&amp;M$4&amp;", *",集計用!$G:$G,"*, "&amp;$C56&amp;", *")/$B56*100</f>
        <v>0</v>
      </c>
      <c r="N56" s="41">
        <f>COUNTIFS(集計用!$S:$S, "*"&amp;N$4&amp;", *",集計用!$G:$G,"*, "&amp;$C56&amp;", *")/$B56*100</f>
        <v>0</v>
      </c>
      <c r="O56" s="41">
        <f>COUNTIFS(集計用!$S:$S, "*"&amp;O$4&amp;", *",集計用!$G:$G,"*, "&amp;$C56&amp;", *")/$B56*100</f>
        <v>0</v>
      </c>
      <c r="P56" s="41">
        <f>COUNTIFS(集計用!$S:$S, "*"&amp;P$4&amp;", *",集計用!$G:$G,"*, "&amp;$C56&amp;", *")/$B56*100</f>
        <v>0</v>
      </c>
      <c r="Q56" s="41">
        <f>COUNTIFS(集計用!$S:$S, "*"&amp;Q$4&amp;", *",集計用!$G:$G,"*, "&amp;$C56&amp;", *")/$B56*100</f>
        <v>0</v>
      </c>
      <c r="R56" s="41">
        <f>COUNTIFS(集計用!$S:$S, "*"&amp;R$4&amp;", *",集計用!$G:$G,"*, "&amp;$C56&amp;", *")/$B56*100</f>
        <v>0</v>
      </c>
      <c r="S56" s="41">
        <f>COUNTIFS(集計用!$S:$S, "*"&amp;S$4&amp;", *",集計用!$G:$G,"*, "&amp;$C56&amp;", *")/$B56*100</f>
        <v>0</v>
      </c>
      <c r="T56" s="41">
        <f>COUNTIFS(集計用!$S:$S, "*"&amp;T$4&amp;", *",集計用!$G:$G,"*, "&amp;$C56&amp;", *")/$B56*100</f>
        <v>0</v>
      </c>
      <c r="U56" s="41">
        <f>COUNTIFS(集計用!$S:$S, "*"&amp;U$4&amp;", *",集計用!$G:$G,"*, "&amp;$C56&amp;", *")/$B56*100</f>
        <v>0</v>
      </c>
      <c r="V56" s="41">
        <f>COUNTIFS(集計用!$S:$S, "*"&amp;V$4&amp;", *",集計用!$G:$G,"*, "&amp;$C56&amp;", *")/$B56*100</f>
        <v>0</v>
      </c>
      <c r="W56" s="41">
        <f>COUNTIFS(集計用!$S:$S, "*"&amp;W$4&amp;", *",集計用!$G:$G,"*, "&amp;$C56&amp;", *")/$B56*100</f>
        <v>0</v>
      </c>
      <c r="X56" s="41">
        <f>COUNTIFS(集計用!$S:$S, "*"&amp;X$4&amp;", *",集計用!$G:$G,"*, "&amp;$C56&amp;", *")/$B56*100</f>
        <v>0</v>
      </c>
      <c r="Y56" s="41">
        <f>COUNTIFS(集計用!$S:$S, "*"&amp;Y$4&amp;", *",集計用!$G:$G,"*, "&amp;$C56&amp;", *")/$B56*100</f>
        <v>0</v>
      </c>
      <c r="Z56" s="41">
        <f>COUNTIFS(集計用!$S:$S, "*"&amp;Z$4&amp;", *",集計用!$G:$G,"*, "&amp;$C56&amp;", *")/$B56*100</f>
        <v>0</v>
      </c>
      <c r="AA56" s="41">
        <f>COUNTIFS(集計用!$S:$S, "*"&amp;AA$4&amp;", *",集計用!$G:$G,"*, "&amp;$C56&amp;", *")/$B56*100</f>
        <v>0</v>
      </c>
      <c r="AB56" s="41">
        <f>COUNTIFS(集計用!$S:$S, "*"&amp;AB$4&amp;", *",集計用!$G:$G,"*, "&amp;$C56&amp;", *")/$B56*100</f>
        <v>0</v>
      </c>
      <c r="AC56" s="41">
        <f>COUNTIFS(集計用!$S:$S, "*"&amp;AC$4&amp;", *",集計用!$G:$G,"*, "&amp;$C56&amp;", *")/$B56*100</f>
        <v>0</v>
      </c>
      <c r="AD56" s="41">
        <f>COUNTIFS(集計用!$S:$S, "*"&amp;AD$4&amp;", *",集計用!$G:$G,"*, "&amp;$C56&amp;", *")/$B56*100</f>
        <v>0</v>
      </c>
      <c r="AE56" s="41">
        <f>COUNTIFS(集計用!$S:$S, "*"&amp;AE$4&amp;", *",集計用!$G:$G,"*, "&amp;$C56&amp;", *")/$B56*100</f>
        <v>0</v>
      </c>
      <c r="AF56" s="41">
        <f>COUNTIFS(集計用!$S:$S, "*"&amp;AF$4&amp;", *",集計用!$G:$G,"*, "&amp;$C56&amp;", *")/$B56*100</f>
        <v>0</v>
      </c>
      <c r="AG56" s="41">
        <f>COUNTIFS(集計用!$S:$S, "*"&amp;AG$4&amp;", *",集計用!$G:$G,"*, "&amp;$C56&amp;", *")/$B56*100</f>
        <v>0</v>
      </c>
      <c r="AH56" s="41">
        <f>COUNTIFS(集計用!$S:$S, "*"&amp;AH$4&amp;", *",集計用!$G:$G,"*, "&amp;$C56&amp;", *")/$B56*100</f>
        <v>0</v>
      </c>
      <c r="AI56" s="41">
        <f>COUNTIFS(集計用!$S:$S, "*"&amp;AI$4&amp;", *",集計用!$G:$G,"*, "&amp;$C56&amp;", *")/$B56*100</f>
        <v>0</v>
      </c>
    </row>
    <row r="57" spans="1:35" ht="14.25" customHeight="1">
      <c r="A57" s="39">
        <v>4</v>
      </c>
      <c r="B57" s="39">
        <f>(COUNTIFS(集計用!$G:$G,"*, "&amp;$C57&amp;",*",集計用!$T:$T, "&lt;&gt;無回答"))</f>
        <v>5</v>
      </c>
      <c r="C57" s="42" t="s">
        <v>50</v>
      </c>
      <c r="D57" s="41">
        <f>COUNTIFS(集計用!$S:$S, "*"&amp;D$4&amp;", *",集計用!$G:$G,"*, "&amp;$C57&amp;", *")/$B57*100</f>
        <v>0</v>
      </c>
      <c r="E57" s="41">
        <f>COUNTIFS(集計用!$S:$S, "*"&amp;E$4&amp;", *",集計用!$G:$G,"*, "&amp;$C57&amp;", *")/$B57*100</f>
        <v>0</v>
      </c>
      <c r="F57" s="41">
        <f>COUNTIFS(集計用!$S:$S, "*"&amp;F$4&amp;", *",集計用!$G:$G,"*, "&amp;$C57&amp;", *")/$B57*100</f>
        <v>0</v>
      </c>
      <c r="G57" s="41">
        <f>COUNTIFS(集計用!$S:$S, "*"&amp;G$4&amp;", *",集計用!$G:$G,"*, "&amp;$C57&amp;", *")/$B57*100</f>
        <v>0</v>
      </c>
      <c r="H57" s="41">
        <f>COUNTIFS(集計用!$S:$S, "*"&amp;H$4&amp;", *",集計用!$G:$G,"*, "&amp;$C57&amp;", *")/$B57*100</f>
        <v>0</v>
      </c>
      <c r="I57" s="41">
        <f>COUNTIFS(集計用!$S:$S, "*"&amp;I$4&amp;", *",集計用!$G:$G,"*, "&amp;$C57&amp;", *")/$B57*100</f>
        <v>0</v>
      </c>
      <c r="J57" s="41">
        <f>COUNTIFS(集計用!$S:$S, "*"&amp;J$4&amp;", *",集計用!$G:$G,"*, "&amp;$C57&amp;", *")/$B57*100</f>
        <v>0</v>
      </c>
      <c r="K57" s="41">
        <f>COUNTIFS(集計用!$S:$S, "*"&amp;K$4&amp;", *",集計用!$G:$G,"*, "&amp;$C57&amp;", *")/$B57*100</f>
        <v>0</v>
      </c>
      <c r="L57" s="41">
        <f>COUNTIFS(集計用!$S:$S, "*"&amp;L$4&amp;", *",集計用!$G:$G,"*, "&amp;$C57&amp;", *")/$B57*100</f>
        <v>0</v>
      </c>
      <c r="M57" s="41">
        <f>COUNTIFS(集計用!$S:$S, "*"&amp;M$4&amp;", *",集計用!$G:$G,"*, "&amp;$C57&amp;", *")/$B57*100</f>
        <v>0</v>
      </c>
      <c r="N57" s="41">
        <f>COUNTIFS(集計用!$S:$S, "*"&amp;N$4&amp;", *",集計用!$G:$G,"*, "&amp;$C57&amp;", *")/$B57*100</f>
        <v>0</v>
      </c>
      <c r="O57" s="41">
        <f>COUNTIFS(集計用!$S:$S, "*"&amp;O$4&amp;", *",集計用!$G:$G,"*, "&amp;$C57&amp;", *")/$B57*100</f>
        <v>0</v>
      </c>
      <c r="P57" s="41">
        <f>COUNTIFS(集計用!$S:$S, "*"&amp;P$4&amp;", *",集計用!$G:$G,"*, "&amp;$C57&amp;", *")/$B57*100</f>
        <v>0</v>
      </c>
      <c r="Q57" s="41">
        <f>COUNTIFS(集計用!$S:$S, "*"&amp;Q$4&amp;", *",集計用!$G:$G,"*, "&amp;$C57&amp;", *")/$B57*100</f>
        <v>0</v>
      </c>
      <c r="R57" s="41">
        <f>COUNTIFS(集計用!$S:$S, "*"&amp;R$4&amp;", *",集計用!$G:$G,"*, "&amp;$C57&amp;", *")/$B57*100</f>
        <v>0</v>
      </c>
      <c r="S57" s="41">
        <f>COUNTIFS(集計用!$S:$S, "*"&amp;S$4&amp;", *",集計用!$G:$G,"*, "&amp;$C57&amp;", *")/$B57*100</f>
        <v>0</v>
      </c>
      <c r="T57" s="41">
        <f>COUNTIFS(集計用!$S:$S, "*"&amp;T$4&amp;", *",集計用!$G:$G,"*, "&amp;$C57&amp;", *")/$B57*100</f>
        <v>0</v>
      </c>
      <c r="U57" s="41">
        <f>COUNTIFS(集計用!$S:$S, "*"&amp;U$4&amp;", *",集計用!$G:$G,"*, "&amp;$C57&amp;", *")/$B57*100</f>
        <v>0</v>
      </c>
      <c r="V57" s="41">
        <f>COUNTIFS(集計用!$S:$S, "*"&amp;V$4&amp;", *",集計用!$G:$G,"*, "&amp;$C57&amp;", *")/$B57*100</f>
        <v>0</v>
      </c>
      <c r="W57" s="41">
        <f>COUNTIFS(集計用!$S:$S, "*"&amp;W$4&amp;", *",集計用!$G:$G,"*, "&amp;$C57&amp;", *")/$B57*100</f>
        <v>0</v>
      </c>
      <c r="X57" s="41">
        <f>COUNTIFS(集計用!$S:$S, "*"&amp;X$4&amp;", *",集計用!$G:$G,"*, "&amp;$C57&amp;", *")/$B57*100</f>
        <v>0</v>
      </c>
      <c r="Y57" s="41">
        <f>COUNTIFS(集計用!$S:$S, "*"&amp;Y$4&amp;", *",集計用!$G:$G,"*, "&amp;$C57&amp;", *")/$B57*100</f>
        <v>0</v>
      </c>
      <c r="Z57" s="41">
        <f>COUNTIFS(集計用!$S:$S, "*"&amp;Z$4&amp;", *",集計用!$G:$G,"*, "&amp;$C57&amp;", *")/$B57*100</f>
        <v>0</v>
      </c>
      <c r="AA57" s="41">
        <f>COUNTIFS(集計用!$S:$S, "*"&amp;AA$4&amp;", *",集計用!$G:$G,"*, "&amp;$C57&amp;", *")/$B57*100</f>
        <v>0</v>
      </c>
      <c r="AB57" s="41">
        <f>COUNTIFS(集計用!$S:$S, "*"&amp;AB$4&amp;", *",集計用!$G:$G,"*, "&amp;$C57&amp;", *")/$B57*100</f>
        <v>0</v>
      </c>
      <c r="AC57" s="41">
        <f>COUNTIFS(集計用!$S:$S, "*"&amp;AC$4&amp;", *",集計用!$G:$G,"*, "&amp;$C57&amp;", *")/$B57*100</f>
        <v>0</v>
      </c>
      <c r="AD57" s="41">
        <f>COUNTIFS(集計用!$S:$S, "*"&amp;AD$4&amp;", *",集計用!$G:$G,"*, "&amp;$C57&amp;", *")/$B57*100</f>
        <v>0</v>
      </c>
      <c r="AE57" s="41">
        <f>COUNTIFS(集計用!$S:$S, "*"&amp;AE$4&amp;", *",集計用!$G:$G,"*, "&amp;$C57&amp;", *")/$B57*100</f>
        <v>0</v>
      </c>
      <c r="AF57" s="41">
        <f>COUNTIFS(集計用!$S:$S, "*"&amp;AF$4&amp;", *",集計用!$G:$G,"*, "&amp;$C57&amp;", *")/$B57*100</f>
        <v>0</v>
      </c>
      <c r="AG57" s="41">
        <f>COUNTIFS(集計用!$S:$S, "*"&amp;AG$4&amp;", *",集計用!$G:$G,"*, "&amp;$C57&amp;", *")/$B57*100</f>
        <v>0</v>
      </c>
      <c r="AH57" s="41">
        <f>COUNTIFS(集計用!$S:$S, "*"&amp;AH$4&amp;", *",集計用!$G:$G,"*, "&amp;$C57&amp;", *")/$B57*100</f>
        <v>0</v>
      </c>
      <c r="AI57" s="41">
        <f>COUNTIFS(集計用!$S:$S, "*"&amp;AI$4&amp;", *",集計用!$G:$G,"*, "&amp;$C57&amp;", *")/$B57*100</f>
        <v>0</v>
      </c>
    </row>
    <row r="58" spans="1:35" ht="14.25" customHeight="1">
      <c r="A58" s="39" t="s">
        <v>2180</v>
      </c>
      <c r="B58" s="39">
        <f>(COUNTIFS(集計用!$G:$G,"*, "&amp;$C58&amp;",*",集計用!$T:$T, "&lt;&gt;無回答"))</f>
        <v>4</v>
      </c>
      <c r="C58" s="42" t="s">
        <v>53</v>
      </c>
      <c r="D58" s="41">
        <f>COUNTIFS(集計用!$S:$S, "*"&amp;D$4&amp;", *",集計用!$G:$G,"*, "&amp;$C58&amp;", *")/$B58*100</f>
        <v>0</v>
      </c>
      <c r="E58" s="41">
        <f>COUNTIFS(集計用!$S:$S, "*"&amp;E$4&amp;", *",集計用!$G:$G,"*, "&amp;$C58&amp;", *")/$B58*100</f>
        <v>0</v>
      </c>
      <c r="F58" s="41">
        <f>COUNTIFS(集計用!$S:$S, "*"&amp;F$4&amp;", *",集計用!$G:$G,"*, "&amp;$C58&amp;", *")/$B58*100</f>
        <v>0</v>
      </c>
      <c r="G58" s="41">
        <f>COUNTIFS(集計用!$S:$S, "*"&amp;G$4&amp;", *",集計用!$G:$G,"*, "&amp;$C58&amp;", *")/$B58*100</f>
        <v>0</v>
      </c>
      <c r="H58" s="41">
        <f>COUNTIFS(集計用!$S:$S, "*"&amp;H$4&amp;", *",集計用!$G:$G,"*, "&amp;$C58&amp;", *")/$B58*100</f>
        <v>0</v>
      </c>
      <c r="I58" s="41">
        <f>COUNTIFS(集計用!$S:$S, "*"&amp;I$4&amp;", *",集計用!$G:$G,"*, "&amp;$C58&amp;", *")/$B58*100</f>
        <v>0</v>
      </c>
      <c r="J58" s="41">
        <f>COUNTIFS(集計用!$S:$S, "*"&amp;J$4&amp;", *",集計用!$G:$G,"*, "&amp;$C58&amp;", *")/$B58*100</f>
        <v>0</v>
      </c>
      <c r="K58" s="41">
        <f>COUNTIFS(集計用!$S:$S, "*"&amp;K$4&amp;", *",集計用!$G:$G,"*, "&amp;$C58&amp;", *")/$B58*100</f>
        <v>0</v>
      </c>
      <c r="L58" s="41">
        <f>COUNTIFS(集計用!$S:$S, "*"&amp;L$4&amp;", *",集計用!$G:$G,"*, "&amp;$C58&amp;", *")/$B58*100</f>
        <v>0</v>
      </c>
      <c r="M58" s="41">
        <f>COUNTIFS(集計用!$S:$S, "*"&amp;M$4&amp;", *",集計用!$G:$G,"*, "&amp;$C58&amp;", *")/$B58*100</f>
        <v>0</v>
      </c>
      <c r="N58" s="41">
        <f>COUNTIFS(集計用!$S:$S, "*"&amp;N$4&amp;", *",集計用!$G:$G,"*, "&amp;$C58&amp;", *")/$B58*100</f>
        <v>0</v>
      </c>
      <c r="O58" s="41">
        <f>COUNTIFS(集計用!$S:$S, "*"&amp;O$4&amp;", *",集計用!$G:$G,"*, "&amp;$C58&amp;", *")/$B58*100</f>
        <v>0</v>
      </c>
      <c r="P58" s="41">
        <f>COUNTIFS(集計用!$S:$S, "*"&amp;P$4&amp;", *",集計用!$G:$G,"*, "&amp;$C58&amp;", *")/$B58*100</f>
        <v>0</v>
      </c>
      <c r="Q58" s="41">
        <f>COUNTIFS(集計用!$S:$S, "*"&amp;Q$4&amp;", *",集計用!$G:$G,"*, "&amp;$C58&amp;", *")/$B58*100</f>
        <v>0</v>
      </c>
      <c r="R58" s="41">
        <f>COUNTIFS(集計用!$S:$S, "*"&amp;R$4&amp;", *",集計用!$G:$G,"*, "&amp;$C58&amp;", *")/$B58*100</f>
        <v>0</v>
      </c>
      <c r="S58" s="41">
        <f>COUNTIFS(集計用!$S:$S, "*"&amp;S$4&amp;", *",集計用!$G:$G,"*, "&amp;$C58&amp;", *")/$B58*100</f>
        <v>0</v>
      </c>
      <c r="T58" s="41">
        <f>COUNTIFS(集計用!$S:$S, "*"&amp;T$4&amp;", *",集計用!$G:$G,"*, "&amp;$C58&amp;", *")/$B58*100</f>
        <v>0</v>
      </c>
      <c r="U58" s="41">
        <f>COUNTIFS(集計用!$S:$S, "*"&amp;U$4&amp;", *",集計用!$G:$G,"*, "&amp;$C58&amp;", *")/$B58*100</f>
        <v>0</v>
      </c>
      <c r="V58" s="41">
        <f>COUNTIFS(集計用!$S:$S, "*"&amp;V$4&amp;", *",集計用!$G:$G,"*, "&amp;$C58&amp;", *")/$B58*100</f>
        <v>0</v>
      </c>
      <c r="W58" s="41">
        <f>COUNTIFS(集計用!$S:$S, "*"&amp;W$4&amp;", *",集計用!$G:$G,"*, "&amp;$C58&amp;", *")/$B58*100</f>
        <v>0</v>
      </c>
      <c r="X58" s="41">
        <f>COUNTIFS(集計用!$S:$S, "*"&amp;X$4&amp;", *",集計用!$G:$G,"*, "&amp;$C58&amp;", *")/$B58*100</f>
        <v>0</v>
      </c>
      <c r="Y58" s="41">
        <f>COUNTIFS(集計用!$S:$S, "*"&amp;Y$4&amp;", *",集計用!$G:$G,"*, "&amp;$C58&amp;", *")/$B58*100</f>
        <v>0</v>
      </c>
      <c r="Z58" s="41">
        <f>COUNTIFS(集計用!$S:$S, "*"&amp;Z$4&amp;", *",集計用!$G:$G,"*, "&amp;$C58&amp;", *")/$B58*100</f>
        <v>0</v>
      </c>
      <c r="AA58" s="41">
        <f>COUNTIFS(集計用!$S:$S, "*"&amp;AA$4&amp;", *",集計用!$G:$G,"*, "&amp;$C58&amp;", *")/$B58*100</f>
        <v>0</v>
      </c>
      <c r="AB58" s="41">
        <f>COUNTIFS(集計用!$S:$S, "*"&amp;AB$4&amp;", *",集計用!$G:$G,"*, "&amp;$C58&amp;", *")/$B58*100</f>
        <v>0</v>
      </c>
      <c r="AC58" s="41">
        <f>COUNTIFS(集計用!$S:$S, "*"&amp;AC$4&amp;", *",集計用!$G:$G,"*, "&amp;$C58&amp;", *")/$B58*100</f>
        <v>0</v>
      </c>
      <c r="AD58" s="41">
        <f>COUNTIFS(集計用!$S:$S, "*"&amp;AD$4&amp;", *",集計用!$G:$G,"*, "&amp;$C58&amp;", *")/$B58*100</f>
        <v>0</v>
      </c>
      <c r="AE58" s="41">
        <f>COUNTIFS(集計用!$S:$S, "*"&amp;AE$4&amp;", *",集計用!$G:$G,"*, "&amp;$C58&amp;", *")/$B58*100</f>
        <v>0</v>
      </c>
      <c r="AF58" s="41">
        <f>COUNTIFS(集計用!$S:$S, "*"&amp;AF$4&amp;", *",集計用!$G:$G,"*, "&amp;$C58&amp;", *")/$B58*100</f>
        <v>0</v>
      </c>
      <c r="AG58" s="41">
        <f>COUNTIFS(集計用!$S:$S, "*"&amp;AG$4&amp;", *",集計用!$G:$G,"*, "&amp;$C58&amp;", *")/$B58*100</f>
        <v>0</v>
      </c>
      <c r="AH58" s="41">
        <f>COUNTIFS(集計用!$S:$S, "*"&amp;AH$4&amp;", *",集計用!$G:$G,"*, "&amp;$C58&amp;", *")/$B58*100</f>
        <v>0</v>
      </c>
      <c r="AI58" s="41">
        <f>COUNTIFS(集計用!$S:$S, "*"&amp;AI$4&amp;", *",集計用!$G:$G,"*, "&amp;$C58&amp;", *")/$B58*100</f>
        <v>0</v>
      </c>
    </row>
    <row r="59" spans="1:35" ht="14.25" customHeight="1">
      <c r="A59" s="39" t="s">
        <v>2180</v>
      </c>
      <c r="B59" s="39">
        <f>(COUNTIFS(集計用!$G:$G,"*, "&amp;$C59&amp;",*",集計用!$T:$T, "&lt;&gt;無回答"))</f>
        <v>4</v>
      </c>
      <c r="C59" s="42" t="s">
        <v>52</v>
      </c>
      <c r="D59" s="41">
        <f>COUNTIFS(集計用!$S:$S, "*"&amp;D$4&amp;", *",集計用!$G:$G,"*, "&amp;$C59&amp;", *")/$B59*100</f>
        <v>0</v>
      </c>
      <c r="E59" s="41">
        <f>COUNTIFS(集計用!$S:$S, "*"&amp;E$4&amp;", *",集計用!$G:$G,"*, "&amp;$C59&amp;", *")/$B59*100</f>
        <v>0</v>
      </c>
      <c r="F59" s="41">
        <f>COUNTIFS(集計用!$S:$S, "*"&amp;F$4&amp;", *",集計用!$G:$G,"*, "&amp;$C59&amp;", *")/$B59*100</f>
        <v>0</v>
      </c>
      <c r="G59" s="41">
        <f>COUNTIFS(集計用!$S:$S, "*"&amp;G$4&amp;", *",集計用!$G:$G,"*, "&amp;$C59&amp;", *")/$B59*100</f>
        <v>0</v>
      </c>
      <c r="H59" s="41">
        <f>COUNTIFS(集計用!$S:$S, "*"&amp;H$4&amp;", *",集計用!$G:$G,"*, "&amp;$C59&amp;", *")/$B59*100</f>
        <v>0</v>
      </c>
      <c r="I59" s="41">
        <f>COUNTIFS(集計用!$S:$S, "*"&amp;I$4&amp;", *",集計用!$G:$G,"*, "&amp;$C59&amp;", *")/$B59*100</f>
        <v>0</v>
      </c>
      <c r="J59" s="41">
        <f>COUNTIFS(集計用!$S:$S, "*"&amp;J$4&amp;", *",集計用!$G:$G,"*, "&amp;$C59&amp;", *")/$B59*100</f>
        <v>0</v>
      </c>
      <c r="K59" s="41">
        <f>COUNTIFS(集計用!$S:$S, "*"&amp;K$4&amp;", *",集計用!$G:$G,"*, "&amp;$C59&amp;", *")/$B59*100</f>
        <v>0</v>
      </c>
      <c r="L59" s="41">
        <f>COUNTIFS(集計用!$S:$S, "*"&amp;L$4&amp;", *",集計用!$G:$G,"*, "&amp;$C59&amp;", *")/$B59*100</f>
        <v>0</v>
      </c>
      <c r="M59" s="41">
        <f>COUNTIFS(集計用!$S:$S, "*"&amp;M$4&amp;", *",集計用!$G:$G,"*, "&amp;$C59&amp;", *")/$B59*100</f>
        <v>0</v>
      </c>
      <c r="N59" s="41">
        <f>COUNTIFS(集計用!$S:$S, "*"&amp;N$4&amp;", *",集計用!$G:$G,"*, "&amp;$C59&amp;", *")/$B59*100</f>
        <v>0</v>
      </c>
      <c r="O59" s="41">
        <f>COUNTIFS(集計用!$S:$S, "*"&amp;O$4&amp;", *",集計用!$G:$G,"*, "&amp;$C59&amp;", *")/$B59*100</f>
        <v>0</v>
      </c>
      <c r="P59" s="41">
        <f>COUNTIFS(集計用!$S:$S, "*"&amp;P$4&amp;", *",集計用!$G:$G,"*, "&amp;$C59&amp;", *")/$B59*100</f>
        <v>0</v>
      </c>
      <c r="Q59" s="41">
        <f>COUNTIFS(集計用!$S:$S, "*"&amp;Q$4&amp;", *",集計用!$G:$G,"*, "&amp;$C59&amp;", *")/$B59*100</f>
        <v>0</v>
      </c>
      <c r="R59" s="41">
        <f>COUNTIFS(集計用!$S:$S, "*"&amp;R$4&amp;", *",集計用!$G:$G,"*, "&amp;$C59&amp;", *")/$B59*100</f>
        <v>0</v>
      </c>
      <c r="S59" s="41">
        <f>COUNTIFS(集計用!$S:$S, "*"&amp;S$4&amp;", *",集計用!$G:$G,"*, "&amp;$C59&amp;", *")/$B59*100</f>
        <v>0</v>
      </c>
      <c r="T59" s="41">
        <f>COUNTIFS(集計用!$S:$S, "*"&amp;T$4&amp;", *",集計用!$G:$G,"*, "&amp;$C59&amp;", *")/$B59*100</f>
        <v>0</v>
      </c>
      <c r="U59" s="41">
        <f>COUNTIFS(集計用!$S:$S, "*"&amp;U$4&amp;", *",集計用!$G:$G,"*, "&amp;$C59&amp;", *")/$B59*100</f>
        <v>0</v>
      </c>
      <c r="V59" s="41">
        <f>COUNTIFS(集計用!$S:$S, "*"&amp;V$4&amp;", *",集計用!$G:$G,"*, "&amp;$C59&amp;", *")/$B59*100</f>
        <v>0</v>
      </c>
      <c r="W59" s="41">
        <f>COUNTIFS(集計用!$S:$S, "*"&amp;W$4&amp;", *",集計用!$G:$G,"*, "&amp;$C59&amp;", *")/$B59*100</f>
        <v>0</v>
      </c>
      <c r="X59" s="41">
        <f>COUNTIFS(集計用!$S:$S, "*"&amp;X$4&amp;", *",集計用!$G:$G,"*, "&amp;$C59&amp;", *")/$B59*100</f>
        <v>0</v>
      </c>
      <c r="Y59" s="41">
        <f>COUNTIFS(集計用!$S:$S, "*"&amp;Y$4&amp;", *",集計用!$G:$G,"*, "&amp;$C59&amp;", *")/$B59*100</f>
        <v>0</v>
      </c>
      <c r="Z59" s="41">
        <f>COUNTIFS(集計用!$S:$S, "*"&amp;Z$4&amp;", *",集計用!$G:$G,"*, "&amp;$C59&amp;", *")/$B59*100</f>
        <v>0</v>
      </c>
      <c r="AA59" s="41">
        <f>COUNTIFS(集計用!$S:$S, "*"&amp;AA$4&amp;", *",集計用!$G:$G,"*, "&amp;$C59&amp;", *")/$B59*100</f>
        <v>0</v>
      </c>
      <c r="AB59" s="41">
        <f>COUNTIFS(集計用!$S:$S, "*"&amp;AB$4&amp;", *",集計用!$G:$G,"*, "&amp;$C59&amp;", *")/$B59*100</f>
        <v>0</v>
      </c>
      <c r="AC59" s="41">
        <f>COUNTIFS(集計用!$S:$S, "*"&amp;AC$4&amp;", *",集計用!$G:$G,"*, "&amp;$C59&amp;", *")/$B59*100</f>
        <v>0</v>
      </c>
      <c r="AD59" s="41">
        <f>COUNTIFS(集計用!$S:$S, "*"&amp;AD$4&amp;", *",集計用!$G:$G,"*, "&amp;$C59&amp;", *")/$B59*100</f>
        <v>0</v>
      </c>
      <c r="AE59" s="41">
        <f>COUNTIFS(集計用!$S:$S, "*"&amp;AE$4&amp;", *",集計用!$G:$G,"*, "&amp;$C59&amp;", *")/$B59*100</f>
        <v>0</v>
      </c>
      <c r="AF59" s="41">
        <f>COUNTIFS(集計用!$S:$S, "*"&amp;AF$4&amp;", *",集計用!$G:$G,"*, "&amp;$C59&amp;", *")/$B59*100</f>
        <v>0</v>
      </c>
      <c r="AG59" s="41">
        <f>COUNTIFS(集計用!$S:$S, "*"&amp;AG$4&amp;", *",集計用!$G:$G,"*, "&amp;$C59&amp;", *")/$B59*100</f>
        <v>0</v>
      </c>
      <c r="AH59" s="41">
        <f>COUNTIFS(集計用!$S:$S, "*"&amp;AH$4&amp;", *",集計用!$G:$G,"*, "&amp;$C59&amp;", *")/$B59*100</f>
        <v>0</v>
      </c>
      <c r="AI59" s="41">
        <f>COUNTIFS(集計用!$S:$S, "*"&amp;AI$4&amp;", *",集計用!$G:$G,"*, "&amp;$C59&amp;", *")/$B59*100</f>
        <v>0</v>
      </c>
    </row>
    <row r="60" spans="1:35" ht="12.75">
      <c r="A60" s="39" t="s">
        <v>2180</v>
      </c>
      <c r="B60" s="39">
        <f>(COUNTIFS(集計用!$G:$G,"*, "&amp;$C60&amp;",*",集計用!$T:$T, "&lt;&gt;無回答"))</f>
        <v>3</v>
      </c>
      <c r="C60" s="42" t="s">
        <v>54</v>
      </c>
      <c r="D60" s="41">
        <f>COUNTIFS(集計用!$S:$S, "*"&amp;D$4&amp;", *",集計用!$G:$G,"*, "&amp;$C60&amp;", *")/$B60*100</f>
        <v>0</v>
      </c>
      <c r="E60" s="41">
        <f>COUNTIFS(集計用!$S:$S, "*"&amp;E$4&amp;", *",集計用!$G:$G,"*, "&amp;$C60&amp;", *")/$B60*100</f>
        <v>0</v>
      </c>
      <c r="F60" s="41">
        <f>COUNTIFS(集計用!$S:$S, "*"&amp;F$4&amp;", *",集計用!$G:$G,"*, "&amp;$C60&amp;", *")/$B60*100</f>
        <v>0</v>
      </c>
      <c r="G60" s="41">
        <f>COUNTIFS(集計用!$S:$S, "*"&amp;G$4&amp;", *",集計用!$G:$G,"*, "&amp;$C60&amp;", *")/$B60*100</f>
        <v>0</v>
      </c>
      <c r="H60" s="41">
        <f>COUNTIFS(集計用!$S:$S, "*"&amp;H$4&amp;", *",集計用!$G:$G,"*, "&amp;$C60&amp;", *")/$B60*100</f>
        <v>0</v>
      </c>
      <c r="I60" s="41">
        <f>COUNTIFS(集計用!$S:$S, "*"&amp;I$4&amp;", *",集計用!$G:$G,"*, "&amp;$C60&amp;", *")/$B60*100</f>
        <v>0</v>
      </c>
      <c r="J60" s="41">
        <f>COUNTIFS(集計用!$S:$S, "*"&amp;J$4&amp;", *",集計用!$G:$G,"*, "&amp;$C60&amp;", *")/$B60*100</f>
        <v>0</v>
      </c>
      <c r="K60" s="41">
        <f>COUNTIFS(集計用!$S:$S, "*"&amp;K$4&amp;", *",集計用!$G:$G,"*, "&amp;$C60&amp;", *")/$B60*100</f>
        <v>0</v>
      </c>
      <c r="L60" s="41">
        <f>COUNTIFS(集計用!$S:$S, "*"&amp;L$4&amp;", *",集計用!$G:$G,"*, "&amp;$C60&amp;", *")/$B60*100</f>
        <v>0</v>
      </c>
      <c r="M60" s="41">
        <f>COUNTIFS(集計用!$S:$S, "*"&amp;M$4&amp;", *",集計用!$G:$G,"*, "&amp;$C60&amp;", *")/$B60*100</f>
        <v>0</v>
      </c>
      <c r="N60" s="41">
        <f>COUNTIFS(集計用!$S:$S, "*"&amp;N$4&amp;", *",集計用!$G:$G,"*, "&amp;$C60&amp;", *")/$B60*100</f>
        <v>0</v>
      </c>
      <c r="O60" s="41">
        <f>COUNTIFS(集計用!$S:$S, "*"&amp;O$4&amp;", *",集計用!$G:$G,"*, "&amp;$C60&amp;", *")/$B60*100</f>
        <v>0</v>
      </c>
      <c r="P60" s="41">
        <f>COUNTIFS(集計用!$S:$S, "*"&amp;P$4&amp;", *",集計用!$G:$G,"*, "&amp;$C60&amp;", *")/$B60*100</f>
        <v>0</v>
      </c>
      <c r="Q60" s="41">
        <f>COUNTIFS(集計用!$S:$S, "*"&amp;Q$4&amp;", *",集計用!$G:$G,"*, "&amp;$C60&amp;", *")/$B60*100</f>
        <v>0</v>
      </c>
      <c r="R60" s="41">
        <f>COUNTIFS(集計用!$S:$S, "*"&amp;R$4&amp;", *",集計用!$G:$G,"*, "&amp;$C60&amp;", *")/$B60*100</f>
        <v>0</v>
      </c>
      <c r="S60" s="41">
        <f>COUNTIFS(集計用!$S:$S, "*"&amp;S$4&amp;", *",集計用!$G:$G,"*, "&amp;$C60&amp;", *")/$B60*100</f>
        <v>0</v>
      </c>
      <c r="T60" s="41">
        <f>COUNTIFS(集計用!$S:$S, "*"&amp;T$4&amp;", *",集計用!$G:$G,"*, "&amp;$C60&amp;", *")/$B60*100</f>
        <v>0</v>
      </c>
      <c r="U60" s="41">
        <f>COUNTIFS(集計用!$S:$S, "*"&amp;U$4&amp;", *",集計用!$G:$G,"*, "&amp;$C60&amp;", *")/$B60*100</f>
        <v>0</v>
      </c>
      <c r="V60" s="41">
        <f>COUNTIFS(集計用!$S:$S, "*"&amp;V$4&amp;", *",集計用!$G:$G,"*, "&amp;$C60&amp;", *")/$B60*100</f>
        <v>0</v>
      </c>
      <c r="W60" s="41">
        <f>COUNTIFS(集計用!$S:$S, "*"&amp;W$4&amp;", *",集計用!$G:$G,"*, "&amp;$C60&amp;", *")/$B60*100</f>
        <v>0</v>
      </c>
      <c r="X60" s="41">
        <f>COUNTIFS(集計用!$S:$S, "*"&amp;X$4&amp;", *",集計用!$G:$G,"*, "&amp;$C60&amp;", *")/$B60*100</f>
        <v>0</v>
      </c>
      <c r="Y60" s="41">
        <f>COUNTIFS(集計用!$S:$S, "*"&amp;Y$4&amp;", *",集計用!$G:$G,"*, "&amp;$C60&amp;", *")/$B60*100</f>
        <v>0</v>
      </c>
      <c r="Z60" s="41">
        <f>COUNTIFS(集計用!$S:$S, "*"&amp;Z$4&amp;", *",集計用!$G:$G,"*, "&amp;$C60&amp;", *")/$B60*100</f>
        <v>0</v>
      </c>
      <c r="AA60" s="41">
        <f>COUNTIFS(集計用!$S:$S, "*"&amp;AA$4&amp;", *",集計用!$G:$G,"*, "&amp;$C60&amp;", *")/$B60*100</f>
        <v>0</v>
      </c>
      <c r="AB60" s="41">
        <f>COUNTIFS(集計用!$S:$S, "*"&amp;AB$4&amp;", *",集計用!$G:$G,"*, "&amp;$C60&amp;", *")/$B60*100</f>
        <v>0</v>
      </c>
      <c r="AC60" s="41">
        <f>COUNTIFS(集計用!$S:$S, "*"&amp;AC$4&amp;", *",集計用!$G:$G,"*, "&amp;$C60&amp;", *")/$B60*100</f>
        <v>0</v>
      </c>
      <c r="AD60" s="41">
        <f>COUNTIFS(集計用!$S:$S, "*"&amp;AD$4&amp;", *",集計用!$G:$G,"*, "&amp;$C60&amp;", *")/$B60*100</f>
        <v>0</v>
      </c>
      <c r="AE60" s="41">
        <f>COUNTIFS(集計用!$S:$S, "*"&amp;AE$4&amp;", *",集計用!$G:$G,"*, "&amp;$C60&amp;", *")/$B60*100</f>
        <v>0</v>
      </c>
      <c r="AF60" s="41">
        <f>COUNTIFS(集計用!$S:$S, "*"&amp;AF$4&amp;", *",集計用!$G:$G,"*, "&amp;$C60&amp;", *")/$B60*100</f>
        <v>0</v>
      </c>
      <c r="AG60" s="41">
        <f>COUNTIFS(集計用!$S:$S, "*"&amp;AG$4&amp;", *",集計用!$G:$G,"*, "&amp;$C60&amp;", *")/$B60*100</f>
        <v>0</v>
      </c>
      <c r="AH60" s="41">
        <f>COUNTIFS(集計用!$S:$S, "*"&amp;AH$4&amp;", *",集計用!$G:$G,"*, "&amp;$C60&amp;", *")/$B60*100</f>
        <v>0</v>
      </c>
      <c r="AI60" s="41">
        <f>COUNTIFS(集計用!$S:$S, "*"&amp;AI$4&amp;", *",集計用!$G:$G,"*, "&amp;$C60&amp;", *")/$B60*100</f>
        <v>0</v>
      </c>
    </row>
    <row r="61" spans="1:35" ht="14.25" customHeight="1">
      <c r="A61" s="39" t="s">
        <v>2180</v>
      </c>
      <c r="B61" s="39">
        <f>(COUNTIFS(集計用!$G:$G,"*, "&amp;$C61&amp;",*",集計用!$T:$T, "&lt;&gt;無回答"))</f>
        <v>2</v>
      </c>
      <c r="C61" s="42" t="s">
        <v>55</v>
      </c>
      <c r="D61" s="41">
        <f>COUNTIFS(集計用!$S:$S, "*"&amp;D$4&amp;", *",集計用!$G:$G,"*, "&amp;$C61&amp;", *")/$B61*100</f>
        <v>0</v>
      </c>
      <c r="E61" s="41">
        <f>COUNTIFS(集計用!$S:$S, "*"&amp;E$4&amp;", *",集計用!$G:$G,"*, "&amp;$C61&amp;", *")/$B61*100</f>
        <v>0</v>
      </c>
      <c r="F61" s="41">
        <f>COUNTIFS(集計用!$S:$S, "*"&amp;F$4&amp;", *",集計用!$G:$G,"*, "&amp;$C61&amp;", *")/$B61*100</f>
        <v>0</v>
      </c>
      <c r="G61" s="41">
        <f>COUNTIFS(集計用!$S:$S, "*"&amp;G$4&amp;", *",集計用!$G:$G,"*, "&amp;$C61&amp;", *")/$B61*100</f>
        <v>0</v>
      </c>
      <c r="H61" s="41">
        <f>COUNTIFS(集計用!$S:$S, "*"&amp;H$4&amp;", *",集計用!$G:$G,"*, "&amp;$C61&amp;", *")/$B61*100</f>
        <v>0</v>
      </c>
      <c r="I61" s="41">
        <f>COUNTIFS(集計用!$S:$S, "*"&amp;I$4&amp;", *",集計用!$G:$G,"*, "&amp;$C61&amp;", *")/$B61*100</f>
        <v>0</v>
      </c>
      <c r="J61" s="41">
        <f>COUNTIFS(集計用!$S:$S, "*"&amp;J$4&amp;", *",集計用!$G:$G,"*, "&amp;$C61&amp;", *")/$B61*100</f>
        <v>0</v>
      </c>
      <c r="K61" s="41">
        <f>COUNTIFS(集計用!$S:$S, "*"&amp;K$4&amp;", *",集計用!$G:$G,"*, "&amp;$C61&amp;", *")/$B61*100</f>
        <v>0</v>
      </c>
      <c r="L61" s="41">
        <f>COUNTIFS(集計用!$S:$S, "*"&amp;L$4&amp;", *",集計用!$G:$G,"*, "&amp;$C61&amp;", *")/$B61*100</f>
        <v>0</v>
      </c>
      <c r="M61" s="41">
        <f>COUNTIFS(集計用!$S:$S, "*"&amp;M$4&amp;", *",集計用!$G:$G,"*, "&amp;$C61&amp;", *")/$B61*100</f>
        <v>0</v>
      </c>
      <c r="N61" s="41">
        <f>COUNTIFS(集計用!$S:$S, "*"&amp;N$4&amp;", *",集計用!$G:$G,"*, "&amp;$C61&amp;", *")/$B61*100</f>
        <v>0</v>
      </c>
      <c r="O61" s="41">
        <f>COUNTIFS(集計用!$S:$S, "*"&amp;O$4&amp;", *",集計用!$G:$G,"*, "&amp;$C61&amp;", *")/$B61*100</f>
        <v>0</v>
      </c>
      <c r="P61" s="41">
        <f>COUNTIFS(集計用!$S:$S, "*"&amp;P$4&amp;", *",集計用!$G:$G,"*, "&amp;$C61&amp;", *")/$B61*100</f>
        <v>0</v>
      </c>
      <c r="Q61" s="41">
        <f>COUNTIFS(集計用!$S:$S, "*"&amp;Q$4&amp;", *",集計用!$G:$G,"*, "&amp;$C61&amp;", *")/$B61*100</f>
        <v>0</v>
      </c>
      <c r="R61" s="41">
        <f>COUNTIFS(集計用!$S:$S, "*"&amp;R$4&amp;", *",集計用!$G:$G,"*, "&amp;$C61&amp;", *")/$B61*100</f>
        <v>0</v>
      </c>
      <c r="S61" s="41">
        <f>COUNTIFS(集計用!$S:$S, "*"&amp;S$4&amp;", *",集計用!$G:$G,"*, "&amp;$C61&amp;", *")/$B61*100</f>
        <v>0</v>
      </c>
      <c r="T61" s="41">
        <f>COUNTIFS(集計用!$S:$S, "*"&amp;T$4&amp;", *",集計用!$G:$G,"*, "&amp;$C61&amp;", *")/$B61*100</f>
        <v>0</v>
      </c>
      <c r="U61" s="41">
        <f>COUNTIFS(集計用!$S:$S, "*"&amp;U$4&amp;", *",集計用!$G:$G,"*, "&amp;$C61&amp;", *")/$B61*100</f>
        <v>0</v>
      </c>
      <c r="V61" s="41">
        <f>COUNTIFS(集計用!$S:$S, "*"&amp;V$4&amp;", *",集計用!$G:$G,"*, "&amp;$C61&amp;", *")/$B61*100</f>
        <v>0</v>
      </c>
      <c r="W61" s="41">
        <f>COUNTIFS(集計用!$S:$S, "*"&amp;W$4&amp;", *",集計用!$G:$G,"*, "&amp;$C61&amp;", *")/$B61*100</f>
        <v>0</v>
      </c>
      <c r="X61" s="41">
        <f>COUNTIFS(集計用!$S:$S, "*"&amp;X$4&amp;", *",集計用!$G:$G,"*, "&amp;$C61&amp;", *")/$B61*100</f>
        <v>0</v>
      </c>
      <c r="Y61" s="41">
        <f>COUNTIFS(集計用!$S:$S, "*"&amp;Y$4&amp;", *",集計用!$G:$G,"*, "&amp;$C61&amp;", *")/$B61*100</f>
        <v>0</v>
      </c>
      <c r="Z61" s="41">
        <f>COUNTIFS(集計用!$S:$S, "*"&amp;Z$4&amp;", *",集計用!$G:$G,"*, "&amp;$C61&amp;", *")/$B61*100</f>
        <v>0</v>
      </c>
      <c r="AA61" s="41">
        <f>COUNTIFS(集計用!$S:$S, "*"&amp;AA$4&amp;", *",集計用!$G:$G,"*, "&amp;$C61&amp;", *")/$B61*100</f>
        <v>0</v>
      </c>
      <c r="AB61" s="41">
        <f>COUNTIFS(集計用!$S:$S, "*"&amp;AB$4&amp;", *",集計用!$G:$G,"*, "&amp;$C61&amp;", *")/$B61*100</f>
        <v>0</v>
      </c>
      <c r="AC61" s="41">
        <f>COUNTIFS(集計用!$S:$S, "*"&amp;AC$4&amp;", *",集計用!$G:$G,"*, "&amp;$C61&amp;", *")/$B61*100</f>
        <v>0</v>
      </c>
      <c r="AD61" s="41">
        <f>COUNTIFS(集計用!$S:$S, "*"&amp;AD$4&amp;", *",集計用!$G:$G,"*, "&amp;$C61&amp;", *")/$B61*100</f>
        <v>0</v>
      </c>
      <c r="AE61" s="41">
        <f>COUNTIFS(集計用!$S:$S, "*"&amp;AE$4&amp;", *",集計用!$G:$G,"*, "&amp;$C61&amp;", *")/$B61*100</f>
        <v>0</v>
      </c>
      <c r="AF61" s="41">
        <f>COUNTIFS(集計用!$S:$S, "*"&amp;AF$4&amp;", *",集計用!$G:$G,"*, "&amp;$C61&amp;", *")/$B61*100</f>
        <v>0</v>
      </c>
      <c r="AG61" s="41">
        <f>COUNTIFS(集計用!$S:$S, "*"&amp;AG$4&amp;", *",集計用!$G:$G,"*, "&amp;$C61&amp;", *")/$B61*100</f>
        <v>0</v>
      </c>
      <c r="AH61" s="41">
        <f>COUNTIFS(集計用!$S:$S, "*"&amp;AH$4&amp;", *",集計用!$G:$G,"*, "&amp;$C61&amp;", *")/$B61*100</f>
        <v>0</v>
      </c>
      <c r="AI61" s="41">
        <f>COUNTIFS(集計用!$S:$S, "*"&amp;AI$4&amp;", *",集計用!$G:$G,"*, "&amp;$C61&amp;", *")/$B61*100</f>
        <v>0</v>
      </c>
    </row>
    <row r="62" spans="1:35" ht="14.25" customHeight="1">
      <c r="A62" s="39" t="s">
        <v>2180</v>
      </c>
      <c r="B62" s="39">
        <f>(COUNTIFS(集計用!$G:$G,"*, "&amp;$C62&amp;",*",集計用!$T:$T, "&lt;&gt;無回答"))</f>
        <v>1</v>
      </c>
      <c r="C62" s="42" t="s">
        <v>56</v>
      </c>
      <c r="D62" s="41">
        <f>COUNTIFS(集計用!$S:$S, "*"&amp;D$4&amp;", *",集計用!$G:$G,"*, "&amp;$C62&amp;", *")/$B62*100</f>
        <v>0</v>
      </c>
      <c r="E62" s="41">
        <f>COUNTIFS(集計用!$S:$S, "*"&amp;E$4&amp;", *",集計用!$G:$G,"*, "&amp;$C62&amp;", *")/$B62*100</f>
        <v>0</v>
      </c>
      <c r="F62" s="41">
        <f>COUNTIFS(集計用!$S:$S, "*"&amp;F$4&amp;", *",集計用!$G:$G,"*, "&amp;$C62&amp;", *")/$B62*100</f>
        <v>0</v>
      </c>
      <c r="G62" s="41">
        <f>COUNTIFS(集計用!$S:$S, "*"&amp;G$4&amp;", *",集計用!$G:$G,"*, "&amp;$C62&amp;", *")/$B62*100</f>
        <v>0</v>
      </c>
      <c r="H62" s="41">
        <f>COUNTIFS(集計用!$S:$S, "*"&amp;H$4&amp;", *",集計用!$G:$G,"*, "&amp;$C62&amp;", *")/$B62*100</f>
        <v>0</v>
      </c>
      <c r="I62" s="41">
        <f>COUNTIFS(集計用!$S:$S, "*"&amp;I$4&amp;", *",集計用!$G:$G,"*, "&amp;$C62&amp;", *")/$B62*100</f>
        <v>0</v>
      </c>
      <c r="J62" s="41">
        <f>COUNTIFS(集計用!$S:$S, "*"&amp;J$4&amp;", *",集計用!$G:$G,"*, "&amp;$C62&amp;", *")/$B62*100</f>
        <v>0</v>
      </c>
      <c r="K62" s="41">
        <f>COUNTIFS(集計用!$S:$S, "*"&amp;K$4&amp;", *",集計用!$G:$G,"*, "&amp;$C62&amp;", *")/$B62*100</f>
        <v>0</v>
      </c>
      <c r="L62" s="41">
        <f>COUNTIFS(集計用!$S:$S, "*"&amp;L$4&amp;", *",集計用!$G:$G,"*, "&amp;$C62&amp;", *")/$B62*100</f>
        <v>0</v>
      </c>
      <c r="M62" s="41">
        <f>COUNTIFS(集計用!$S:$S, "*"&amp;M$4&amp;", *",集計用!$G:$G,"*, "&amp;$C62&amp;", *")/$B62*100</f>
        <v>0</v>
      </c>
      <c r="N62" s="41">
        <f>COUNTIFS(集計用!$S:$S, "*"&amp;N$4&amp;", *",集計用!$G:$G,"*, "&amp;$C62&amp;", *")/$B62*100</f>
        <v>0</v>
      </c>
      <c r="O62" s="41">
        <f>COUNTIFS(集計用!$S:$S, "*"&amp;O$4&amp;", *",集計用!$G:$G,"*, "&amp;$C62&amp;", *")/$B62*100</f>
        <v>0</v>
      </c>
      <c r="P62" s="41">
        <f>COUNTIFS(集計用!$S:$S, "*"&amp;P$4&amp;", *",集計用!$G:$G,"*, "&amp;$C62&amp;", *")/$B62*100</f>
        <v>0</v>
      </c>
      <c r="Q62" s="41">
        <f>COUNTIFS(集計用!$S:$S, "*"&amp;Q$4&amp;", *",集計用!$G:$G,"*, "&amp;$C62&amp;", *")/$B62*100</f>
        <v>0</v>
      </c>
      <c r="R62" s="41">
        <f>COUNTIFS(集計用!$S:$S, "*"&amp;R$4&amp;", *",集計用!$G:$G,"*, "&amp;$C62&amp;", *")/$B62*100</f>
        <v>0</v>
      </c>
      <c r="S62" s="41">
        <f>COUNTIFS(集計用!$S:$S, "*"&amp;S$4&amp;", *",集計用!$G:$G,"*, "&amp;$C62&amp;", *")/$B62*100</f>
        <v>0</v>
      </c>
      <c r="T62" s="41">
        <f>COUNTIFS(集計用!$S:$S, "*"&amp;T$4&amp;", *",集計用!$G:$G,"*, "&amp;$C62&amp;", *")/$B62*100</f>
        <v>0</v>
      </c>
      <c r="U62" s="41">
        <f>COUNTIFS(集計用!$S:$S, "*"&amp;U$4&amp;", *",集計用!$G:$G,"*, "&amp;$C62&amp;", *")/$B62*100</f>
        <v>0</v>
      </c>
      <c r="V62" s="41">
        <f>COUNTIFS(集計用!$S:$S, "*"&amp;V$4&amp;", *",集計用!$G:$G,"*, "&amp;$C62&amp;", *")/$B62*100</f>
        <v>0</v>
      </c>
      <c r="W62" s="41">
        <f>COUNTIFS(集計用!$S:$S, "*"&amp;W$4&amp;", *",集計用!$G:$G,"*, "&amp;$C62&amp;", *")/$B62*100</f>
        <v>0</v>
      </c>
      <c r="X62" s="41">
        <f>COUNTIFS(集計用!$S:$S, "*"&amp;X$4&amp;", *",集計用!$G:$G,"*, "&amp;$C62&amp;", *")/$B62*100</f>
        <v>0</v>
      </c>
      <c r="Y62" s="41">
        <f>COUNTIFS(集計用!$S:$S, "*"&amp;Y$4&amp;", *",集計用!$G:$G,"*, "&amp;$C62&amp;", *")/$B62*100</f>
        <v>0</v>
      </c>
      <c r="Z62" s="41">
        <f>COUNTIFS(集計用!$S:$S, "*"&amp;Z$4&amp;", *",集計用!$G:$G,"*, "&amp;$C62&amp;", *")/$B62*100</f>
        <v>0</v>
      </c>
      <c r="AA62" s="41">
        <f>COUNTIFS(集計用!$S:$S, "*"&amp;AA$4&amp;", *",集計用!$G:$G,"*, "&amp;$C62&amp;", *")/$B62*100</f>
        <v>0</v>
      </c>
      <c r="AB62" s="41">
        <f>COUNTIFS(集計用!$S:$S, "*"&amp;AB$4&amp;", *",集計用!$G:$G,"*, "&amp;$C62&amp;", *")/$B62*100</f>
        <v>0</v>
      </c>
      <c r="AC62" s="41">
        <f>COUNTIFS(集計用!$S:$S, "*"&amp;AC$4&amp;", *",集計用!$G:$G,"*, "&amp;$C62&amp;", *")/$B62*100</f>
        <v>0</v>
      </c>
      <c r="AD62" s="41">
        <f>COUNTIFS(集計用!$S:$S, "*"&amp;AD$4&amp;", *",集計用!$G:$G,"*, "&amp;$C62&amp;", *")/$B62*100</f>
        <v>0</v>
      </c>
      <c r="AE62" s="41">
        <f>COUNTIFS(集計用!$S:$S, "*"&amp;AE$4&amp;", *",集計用!$G:$G,"*, "&amp;$C62&amp;", *")/$B62*100</f>
        <v>0</v>
      </c>
      <c r="AF62" s="41">
        <f>COUNTIFS(集計用!$S:$S, "*"&amp;AF$4&amp;", *",集計用!$G:$G,"*, "&amp;$C62&amp;", *")/$B62*100</f>
        <v>0</v>
      </c>
      <c r="AG62" s="41">
        <f>COUNTIFS(集計用!$S:$S, "*"&amp;AG$4&amp;", *",集計用!$G:$G,"*, "&amp;$C62&amp;", *")/$B62*100</f>
        <v>0</v>
      </c>
      <c r="AH62" s="41">
        <f>COUNTIFS(集計用!$S:$S, "*"&amp;AH$4&amp;", *",集計用!$G:$G,"*, "&amp;$C62&amp;", *")/$B62*100</f>
        <v>0</v>
      </c>
      <c r="AI62" s="41">
        <f>COUNTIFS(集計用!$S:$S, "*"&amp;AI$4&amp;", *",集計用!$G:$G,"*, "&amp;$C62&amp;", *")/$B62*100</f>
        <v>0</v>
      </c>
    </row>
    <row r="63" spans="1:35" ht="14.25" customHeight="1">
      <c r="C63" s="23"/>
    </row>
    <row r="64" spans="1:35" ht="12.75">
      <c r="C64" s="23"/>
    </row>
    <row r="65" spans="3:3" ht="15.75" customHeight="1">
      <c r="C65" s="23"/>
    </row>
    <row r="66" spans="3:3" ht="15.75" customHeight="1">
      <c r="C66" s="23"/>
    </row>
    <row r="67" spans="3:3" ht="15.75" customHeight="1">
      <c r="C67" s="23"/>
    </row>
    <row r="68" spans="3:3" ht="15.75" customHeight="1">
      <c r="C68" s="23"/>
    </row>
  </sheetData>
  <phoneticPr fontId="8"/>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5E85-76D7-4DAA-9FBD-CF5A2F8BF61B}">
  <sheetPr>
    <outlinePr summaryBelow="0" summaryRight="0"/>
  </sheetPr>
  <dimension ref="A1:R68"/>
  <sheetViews>
    <sheetView zoomScaleNormal="100" workbookViewId="0">
      <selection activeCell="B5" sqref="B5"/>
    </sheetView>
  </sheetViews>
  <sheetFormatPr defaultColWidth="12.5703125" defaultRowHeight="15.75" customHeight="1"/>
  <cols>
    <col min="1" max="2" width="12.5703125" style="39"/>
    <col min="3" max="3" width="26.7109375" style="39" customWidth="1"/>
    <col min="4" max="4" width="23.5703125" style="39" customWidth="1"/>
    <col min="5" max="9" width="13.7109375" style="39" bestFit="1" customWidth="1"/>
    <col min="10" max="10" width="12.5703125" style="39"/>
    <col min="11" max="13" width="13.7109375" style="39" bestFit="1" customWidth="1"/>
    <col min="14" max="16384" width="12.5703125" style="39"/>
  </cols>
  <sheetData>
    <row r="1" spans="1:18" ht="15.75" customHeight="1">
      <c r="A1" s="38" t="s">
        <v>2430</v>
      </c>
    </row>
    <row r="2" spans="1:18" ht="15.75" customHeight="1">
      <c r="A2" s="38"/>
    </row>
    <row r="3" spans="1:18" ht="13.5" customHeight="1">
      <c r="C3" s="102" t="s">
        <v>2261</v>
      </c>
      <c r="D3" s="39">
        <f>COUNTIFS(集計用!$S$2:$U$444,"*"&amp;D4&amp;",*",集計用!$S$2:$U$444,"&lt;&gt;*英語を日常的に*")</f>
        <v>72</v>
      </c>
      <c r="E3" s="39">
        <f>COUNTIFS(集計用!$S$2:$U$444,"*"&amp;E4&amp;",*",集計用!$S$2:$U$444,"&lt;&gt;*英語を日常的に*")</f>
        <v>57</v>
      </c>
      <c r="F3" s="39">
        <f>COUNTIFS(集計用!$S$2:$U$444,"*"&amp;F4&amp;",*",集計用!$S$2:$U$444,"&lt;&gt;*英語を日常的に*")</f>
        <v>37</v>
      </c>
      <c r="G3" s="39">
        <f>COUNTIFS(集計用!$S$2:$U$444,"*"&amp;G4&amp;",*",集計用!$S$2:$U$444,"&lt;&gt;*英語を日常的に*")</f>
        <v>19</v>
      </c>
      <c r="H3" s="39">
        <f>COUNTIFS(集計用!$S$2:$U$444,"*"&amp;H4&amp;",*",集計用!$S$2:$U$444,"&lt;&gt;*英語を日常的に*")</f>
        <v>21</v>
      </c>
      <c r="I3" s="39">
        <f>COUNTIFS(集計用!$S$2:$U$444,"*"&amp;I4&amp;",*",集計用!$S$2:$U$444,"&lt;&gt;*英語を日常的に*")</f>
        <v>51</v>
      </c>
      <c r="J3" s="39">
        <f>COUNTIFS(集計用!$S$2:$U$444,"*"&amp;J4&amp;",*",集計用!$S$2:$U$444,"&lt;&gt;*英語を日常的に*")</f>
        <v>11</v>
      </c>
      <c r="K3" s="39">
        <f>COUNTIFS(集計用!$S$2:$U$444,"*"&amp;K4&amp;",*",集計用!$S$2:$U$444,"&lt;&gt;*英語を日常的に*")</f>
        <v>7</v>
      </c>
      <c r="L3" s="39">
        <f>COUNTIFS(集計用!$S$2:$U$444,"*"&amp;L4&amp;",*",集計用!$S$2:$U$444,"&lt;&gt;*英語を日常的に*")</f>
        <v>3</v>
      </c>
      <c r="M3" s="39">
        <f>COUNTIFS(集計用!$S$2:$U$444,"*"&amp;M4&amp;",*",集計用!$S$2:$U$444,"&lt;&gt;*英語を日常的に*")</f>
        <v>2</v>
      </c>
      <c r="N3" s="39">
        <f>COUNTIFS(集計用!$S$2:$U$444,"*"&amp;N4&amp;",*",集計用!$S$2:$U$444,"&lt;&gt;*英語を日常的に*")</f>
        <v>1</v>
      </c>
      <c r="O3" s="39">
        <f>COUNTIFS(集計用!$S$2:$U$444,"*"&amp;O4&amp;",*",集計用!$S$2:$U$444,"&lt;&gt;*英語を日常的に*")</f>
        <v>0</v>
      </c>
      <c r="P3" s="39">
        <f>COUNTIFS(集計用!$S$2:$U$444,"*"&amp;P4&amp;",*",集計用!$S$2:$U$444,"&lt;&gt;*英語を日常的に*")</f>
        <v>0</v>
      </c>
      <c r="Q3" s="39">
        <f>COUNTIFS(集計用!$S$2:$U$444,"*"&amp;Q4&amp;",*",集計用!$S$2:$U$444,"&lt;&gt;*英語を日常的に*")</f>
        <v>0</v>
      </c>
      <c r="R3" s="39">
        <f>COUNTIFS(集計用!$S$2:$U$444,"*"&amp;R4&amp;",*",集計用!$S$2:$U$444,"&lt;&gt;*英語を日常的に*")</f>
        <v>0</v>
      </c>
    </row>
    <row r="4" spans="1:18" ht="14.25">
      <c r="A4" s="46" t="s">
        <v>2178</v>
      </c>
      <c r="B4" s="46" t="s">
        <v>2179</v>
      </c>
      <c r="C4" s="46" t="s">
        <v>2182</v>
      </c>
      <c r="D4" s="47" t="s">
        <v>118</v>
      </c>
      <c r="E4" s="47" t="s">
        <v>119</v>
      </c>
      <c r="F4" s="47" t="s">
        <v>120</v>
      </c>
      <c r="G4" s="47" t="s">
        <v>121</v>
      </c>
      <c r="H4" s="47" t="s">
        <v>122</v>
      </c>
      <c r="I4" s="47" t="s">
        <v>123</v>
      </c>
      <c r="J4" s="47" t="s">
        <v>124</v>
      </c>
      <c r="K4" s="47" t="s">
        <v>125</v>
      </c>
      <c r="L4" s="47" t="s">
        <v>126</v>
      </c>
      <c r="M4" s="47" t="s">
        <v>127</v>
      </c>
      <c r="N4" s="48" t="s">
        <v>128</v>
      </c>
      <c r="O4" s="48" t="s">
        <v>129</v>
      </c>
      <c r="P4" s="48" t="s">
        <v>130</v>
      </c>
      <c r="Q4" s="48" t="s">
        <v>131</v>
      </c>
      <c r="R4" s="48" t="s">
        <v>132</v>
      </c>
    </row>
    <row r="5" spans="1:18" ht="12.75">
      <c r="A5" s="39">
        <v>0</v>
      </c>
      <c r="B5" s="39">
        <f>(COUNTA(集計用!$U:$U)-1)-COUNTIF(集計用!$U:$U, "*英語を日常的に*")-COUNTIF(集計用!$U:$U, "無回答")</f>
        <v>149</v>
      </c>
      <c r="C5" s="40" t="s">
        <v>2249</v>
      </c>
      <c r="D5" s="41">
        <f>(COUNTIFS(集計用!$U:$U, "*, "&amp;D$4&amp;", *")-COUNTIFS(集計用!$U:$U, "*英語を日常的に*",集計用!$U:$U, "*, "&amp;D$4&amp;", *"))/$B5*100</f>
        <v>48.322147651006716</v>
      </c>
      <c r="E5" s="41">
        <f>(COUNTIFS(集計用!$U:$U, "*, "&amp;E$4&amp;", *")-COUNTIFS(集計用!$U:$U, "*英語を日常的に*",集計用!$U:$U, "*, "&amp;E$4&amp;", *"))/$B5*100</f>
        <v>38.255033557046978</v>
      </c>
      <c r="F5" s="41">
        <f>(COUNTIFS(集計用!$U:$U, "*, "&amp;F$4&amp;", *")-COUNTIFS(集計用!$U:$U, "*英語を日常的に*",集計用!$U:$U, "*, "&amp;F$4&amp;", *"))/$B5*100</f>
        <v>24.832214765100673</v>
      </c>
      <c r="G5" s="41">
        <f>(COUNTIFS(集計用!$U:$U, "*, "&amp;G$4&amp;", *")-COUNTIFS(集計用!$U:$U, "*英語を日常的に*",集計用!$U:$U, "*, "&amp;G$4&amp;", *"))/$B5*100</f>
        <v>12.751677852348994</v>
      </c>
      <c r="H5" s="41">
        <f>(COUNTIFS(集計用!$U:$U, "*, "&amp;H$4&amp;", *")-COUNTIFS(集計用!$U:$U, "*英語を日常的に*",集計用!$U:$U, "*, "&amp;H$4&amp;", *"))/$B5*100</f>
        <v>14.093959731543624</v>
      </c>
      <c r="I5" s="41">
        <f>(COUNTIFS(集計用!$U:$U, "*, "&amp;I$4&amp;", *")-COUNTIFS(集計用!$U:$U, "*英語を日常的に*",集計用!$U:$U, "*, "&amp;I$4&amp;", *"))/$B5*100</f>
        <v>10.067114093959731</v>
      </c>
      <c r="J5" s="41">
        <f>(COUNTIFS(集計用!$U:$U, "*, "&amp;J$4&amp;", *")-COUNTIFS(集計用!$U:$U, "*英語を日常的に*",集計用!$U:$U, "*, "&amp;J$4&amp;", *"))/$B5*100</f>
        <v>7.3825503355704702</v>
      </c>
      <c r="K5" s="41">
        <f>(COUNTIFS(集計用!$U:$U, "*, "&amp;K$4&amp;", *")-COUNTIFS(集計用!$U:$U, "*英語を日常的に*",集計用!$U:$U, "*, "&amp;K$4&amp;", *"))/$B5*100</f>
        <v>4.6979865771812079</v>
      </c>
      <c r="L5" s="41">
        <f>(COUNTIFS(集計用!$U:$U, "*, "&amp;L$4&amp;", *")-COUNTIFS(集計用!$U:$U, "*英語を日常的に*",集計用!$U:$U, "*, "&amp;L$4&amp;", *"))/$B5*100</f>
        <v>2.0134228187919461</v>
      </c>
      <c r="M5" s="41">
        <f>(COUNTIFS(集計用!$U:$U, "*, "&amp;M$4&amp;", *")-COUNTIFS(集計用!$U:$U, "*英語を日常的に*",集計用!$U:$U, "*, "&amp;M$4&amp;", *"))/$B5*100</f>
        <v>1.3422818791946309</v>
      </c>
      <c r="N5" s="41">
        <f>(COUNTIFS(集計用!$U:$U, "*, "&amp;N$4&amp;", *")-COUNTIFS(集計用!$U:$U, "*英語を日常的に*",集計用!$U:$U, "*, "&amp;N$4&amp;", *"))/$B5*100</f>
        <v>0.67114093959731547</v>
      </c>
      <c r="O5" s="41">
        <f>(COUNTIFS(集計用!$U:$U, "*, "&amp;O$4&amp;", *")-COUNTIFS(集計用!$U:$U, "*英語を日常的に*",集計用!$U:$U, "*, "&amp;O$4&amp;", *"))/$B5*100</f>
        <v>0</v>
      </c>
      <c r="P5" s="41">
        <f>(COUNTIFS(集計用!$U:$U, "*, "&amp;P$4&amp;", *")-COUNTIFS(集計用!$U:$U, "*英語を日常的に*",集計用!$U:$U, "*, "&amp;P$4&amp;", *"))/$B5*100</f>
        <v>0</v>
      </c>
      <c r="Q5" s="41">
        <f>(COUNTIFS(集計用!$U:$U, "*, "&amp;Q$4&amp;", *")-COUNTIFS(集計用!$U:$U, "*英語を日常的に*",集計用!$U:$U, "*, "&amp;Q$4&amp;", *"))/$B5*100</f>
        <v>0</v>
      </c>
      <c r="R5" s="41">
        <f>(COUNTIFS(集計用!$U:$U, "*, "&amp;R$4&amp;", *")-COUNTIFS(集計用!$U:$U, "*英語を日常的に*",集計用!$U:$U, "*, "&amp;R$4&amp;", *"))/$B5*100</f>
        <v>0</v>
      </c>
    </row>
    <row r="6" spans="1:18" ht="15.75" customHeight="1">
      <c r="A6" s="39">
        <v>1</v>
      </c>
      <c r="B6" s="39">
        <f>(COUNTIFS(集計用!$G:$G,"*, "&amp;$C6&amp;",*"))-COUNTIFS(集計用!U:U, "*英語を日常的に*",集計用!$G:$G,"*, "&amp;$C6&amp;",*")</f>
        <v>96</v>
      </c>
      <c r="C6" s="42" t="s">
        <v>0</v>
      </c>
      <c r="D6" s="41">
        <f>(COUNTIFS(集計用!$U:$U, "*, "&amp;D$4&amp;", *",集計用!$G:$G,"*, "&amp;$C6&amp;", *")-COUNTIFS(集計用!$U:$U, "*, "&amp;D$4&amp;", *",集計用!$G:$G,"*, "&amp;$C6&amp;", *",集計用!$U:$U, "*英語を日常的に*"))/$B6*100</f>
        <v>54.166666666666664</v>
      </c>
      <c r="E6" s="41">
        <f>(COUNTIFS(集計用!$U:$U, "*, "&amp;E$4&amp;", *",集計用!$G:$G,"*, "&amp;$C6&amp;", *")-COUNTIFS(集計用!$U:$U, "*, "&amp;E$4&amp;", *",集計用!$G:$G,"*, "&amp;$C6&amp;", *",集計用!$U:$U, "*英語を日常的に*"))/$B6*100</f>
        <v>41.666666666666671</v>
      </c>
      <c r="F6" s="41">
        <f>(COUNTIFS(集計用!$U:$U, "*, "&amp;F$4&amp;", *",集計用!$G:$G,"*, "&amp;$C6&amp;", *")-COUNTIFS(集計用!$U:$U, "*, "&amp;F$4&amp;", *",集計用!$G:$G,"*, "&amp;$C6&amp;", *",集計用!$U:$U, "*英語を日常的に*"))/$B6*100</f>
        <v>12.5</v>
      </c>
      <c r="G6" s="41">
        <f>(COUNTIFS(集計用!$U:$U, "*, "&amp;G$4&amp;", *",集計用!$G:$G,"*, "&amp;$C6&amp;", *")-COUNTIFS(集計用!$U:$U, "*, "&amp;G$4&amp;", *",集計用!$G:$G,"*, "&amp;$C6&amp;", *",集計用!$U:$U, "*英語を日常的に*"))/$B6*100</f>
        <v>16.666666666666664</v>
      </c>
      <c r="H6" s="41">
        <f>(COUNTIFS(集計用!$U:$U, "*, "&amp;H$4&amp;", *",集計用!$G:$G,"*, "&amp;$C6&amp;", *")-COUNTIFS(集計用!$U:$U, "*, "&amp;H$4&amp;", *",集計用!$G:$G,"*, "&amp;$C6&amp;", *",集計用!$U:$U, "*英語を日常的に*"))/$B6*100</f>
        <v>13.541666666666666</v>
      </c>
      <c r="I6" s="41">
        <f>(COUNTIFS(集計用!$U:$U, "*, "&amp;I$4&amp;", *",集計用!$G:$G,"*, "&amp;$C6&amp;", *")-COUNTIFS(集計用!$U:$U, "*, "&amp;I$4&amp;", *",集計用!$G:$G,"*, "&amp;$C6&amp;", *",集計用!$U:$U, "*英語を日常的に*"))/$B6*100</f>
        <v>9.375</v>
      </c>
      <c r="J6" s="41">
        <f>(COUNTIFS(集計用!$U:$U, "*, "&amp;J$4&amp;", *",集計用!$G:$G,"*, "&amp;$C6&amp;", *")-COUNTIFS(集計用!$U:$U, "*, "&amp;J$4&amp;", *",集計用!$G:$G,"*, "&amp;$C6&amp;", *",集計用!$U:$U, "*英語を日常的に*"))/$B6*100</f>
        <v>5.2083333333333339</v>
      </c>
      <c r="K6" s="41">
        <f>(COUNTIFS(集計用!$U:$U, "*, "&amp;K$4&amp;", *",集計用!$G:$G,"*, "&amp;$C6&amp;", *")-COUNTIFS(集計用!$U:$U, "*, "&amp;K$4&amp;", *",集計用!$G:$G,"*, "&amp;$C6&amp;", *",集計用!$U:$U, "*英語を日常的に*"))/$B6*100</f>
        <v>5.2083333333333339</v>
      </c>
      <c r="L6" s="41">
        <f>(COUNTIFS(集計用!$U:$U, "*, "&amp;L$4&amp;", *",集計用!$G:$G,"*, "&amp;$C6&amp;", *")-COUNTIFS(集計用!$U:$U, "*, "&amp;L$4&amp;", *",集計用!$G:$G,"*, "&amp;$C6&amp;", *",集計用!$U:$U, "*英語を日常的に*"))/$B6*100</f>
        <v>3.125</v>
      </c>
      <c r="M6" s="41">
        <f>(COUNTIFS(集計用!$U:$U, "*, "&amp;M$4&amp;", *",集計用!$G:$G,"*, "&amp;$C6&amp;", *")-COUNTIFS(集計用!$U:$U, "*, "&amp;M$4&amp;", *",集計用!$G:$G,"*, "&amp;$C6&amp;", *",集計用!$U:$U, "*英語を日常的に*"))/$B6*100</f>
        <v>2.083333333333333</v>
      </c>
      <c r="N6" s="41">
        <f>(COUNTIFS(集計用!$U:$U, "*, "&amp;N$4&amp;", *",集計用!$G:$G,"*, "&amp;$C6&amp;", *")-COUNTIFS(集計用!$U:$U, "*, "&amp;N$4&amp;", *",集計用!$G:$G,"*, "&amp;$C6&amp;", *",集計用!$U:$U, "*英語を日常的に*"))/$B6*100</f>
        <v>1.0416666666666665</v>
      </c>
      <c r="O6" s="41">
        <f>(COUNTIFS(集計用!$U:$U, "*, "&amp;O$4&amp;", *",集計用!$G:$G,"*, "&amp;$C6&amp;", *")-COUNTIFS(集計用!$U:$U, "*, "&amp;O$4&amp;", *",集計用!$G:$G,"*, "&amp;$C6&amp;", *",集計用!$U:$U, "*英語を日常的に*"))/$B6*100</f>
        <v>0</v>
      </c>
      <c r="P6" s="41">
        <f>(COUNTIFS(集計用!$U:$U, "*, "&amp;P$4&amp;", *",集計用!$G:$G,"*, "&amp;$C6&amp;", *")-COUNTIFS(集計用!$U:$U, "*, "&amp;P$4&amp;", *",集計用!$G:$G,"*, "&amp;$C6&amp;", *",集計用!$U:$U, "*英語を日常的に*"))/$B6*100</f>
        <v>0</v>
      </c>
      <c r="Q6" s="41">
        <f>(COUNTIFS(集計用!$U:$U, "*, "&amp;Q$4&amp;", *",集計用!$G:$G,"*, "&amp;$C6&amp;", *")-COUNTIFS(集計用!$U:$U, "*, "&amp;Q$4&amp;", *",集計用!$G:$G,"*, "&amp;$C6&amp;", *",集計用!$U:$U, "*英語を日常的に*"))/$B6*100</f>
        <v>0</v>
      </c>
      <c r="R6" s="41">
        <f>(COUNTIFS(集計用!$U:$U, "*, "&amp;R$4&amp;", *",集計用!$G:$G,"*, "&amp;$C6&amp;", *")-COUNTIFS(集計用!$U:$U, "*, "&amp;R$4&amp;", *",集計用!$G:$G,"*, "&amp;$C6&amp;", *",集計用!$U:$U, "*英語を日常的に*"))/$B6*100</f>
        <v>0</v>
      </c>
    </row>
    <row r="7" spans="1:18" ht="15.75" customHeight="1">
      <c r="A7" s="39">
        <v>1</v>
      </c>
      <c r="B7" s="39">
        <f>(COUNTIFS(集計用!$G:$G,"*, "&amp;$C7&amp;",*"))-COUNTIFS(集計用!U:U, "*英語を日常的に*",集計用!$G:$G,"*, "&amp;$C7&amp;",*")</f>
        <v>63</v>
      </c>
      <c r="C7" s="42" t="s">
        <v>1</v>
      </c>
      <c r="D7" s="41">
        <f>(COUNTIFS(集計用!$U:$U, "*, "&amp;D$4&amp;", *",集計用!$G:$G,"*, "&amp;$C7&amp;", *")-COUNTIFS(集計用!$U:$U, "*, "&amp;D$4&amp;", *",集計用!$G:$G,"*, "&amp;$C7&amp;", *",集計用!$U:$U, "*英語を日常的に*"))/$B7*100</f>
        <v>55.555555555555557</v>
      </c>
      <c r="E7" s="41">
        <f>(COUNTIFS(集計用!$U:$U, "*, "&amp;E$4&amp;", *",集計用!$G:$G,"*, "&amp;$C7&amp;", *")-COUNTIFS(集計用!$U:$U, "*, "&amp;E$4&amp;", *",集計用!$G:$G,"*, "&amp;$C7&amp;", *",集計用!$U:$U, "*英語を日常的に*"))/$B7*100</f>
        <v>39.682539682539684</v>
      </c>
      <c r="F7" s="41">
        <f>(COUNTIFS(集計用!$U:$U, "*, "&amp;F$4&amp;", *",集計用!$G:$G,"*, "&amp;$C7&amp;", *")-COUNTIFS(集計用!$U:$U, "*, "&amp;F$4&amp;", *",集計用!$G:$G,"*, "&amp;$C7&amp;", *",集計用!$U:$U, "*英語を日常的に*"))/$B7*100</f>
        <v>28.571428571428569</v>
      </c>
      <c r="G7" s="41">
        <f>(COUNTIFS(集計用!$U:$U, "*, "&amp;G$4&amp;", *",集計用!$G:$G,"*, "&amp;$C7&amp;", *")-COUNTIFS(集計用!$U:$U, "*, "&amp;G$4&amp;", *",集計用!$G:$G,"*, "&amp;$C7&amp;", *",集計用!$U:$U, "*英語を日常的に*"))/$B7*100</f>
        <v>11.111111111111111</v>
      </c>
      <c r="H7" s="41">
        <f>(COUNTIFS(集計用!$U:$U, "*, "&amp;H$4&amp;", *",集計用!$G:$G,"*, "&amp;$C7&amp;", *")-COUNTIFS(集計用!$U:$U, "*, "&amp;H$4&amp;", *",集計用!$G:$G,"*, "&amp;$C7&amp;", *",集計用!$U:$U, "*英語を日常的に*"))/$B7*100</f>
        <v>17.460317460317459</v>
      </c>
      <c r="I7" s="41">
        <f>(COUNTIFS(集計用!$U:$U, "*, "&amp;I$4&amp;", *",集計用!$G:$G,"*, "&amp;$C7&amp;", *")-COUNTIFS(集計用!$U:$U, "*, "&amp;I$4&amp;", *",集計用!$G:$G,"*, "&amp;$C7&amp;", *",集計用!$U:$U, "*英語を日常的に*"))/$B7*100</f>
        <v>11.111111111111111</v>
      </c>
      <c r="J7" s="41">
        <f>(COUNTIFS(集計用!$U:$U, "*, "&amp;J$4&amp;", *",集計用!$G:$G,"*, "&amp;$C7&amp;", *")-COUNTIFS(集計用!$U:$U, "*, "&amp;J$4&amp;", *",集計用!$G:$G,"*, "&amp;$C7&amp;", *",集計用!$U:$U, "*英語を日常的に*"))/$B7*100</f>
        <v>4.7619047619047619</v>
      </c>
      <c r="K7" s="41">
        <f>(COUNTIFS(集計用!$U:$U, "*, "&amp;K$4&amp;", *",集計用!$G:$G,"*, "&amp;$C7&amp;", *")-COUNTIFS(集計用!$U:$U, "*, "&amp;K$4&amp;", *",集計用!$G:$G,"*, "&amp;$C7&amp;", *",集計用!$U:$U, "*英語を日常的に*"))/$B7*100</f>
        <v>7.9365079365079358</v>
      </c>
      <c r="L7" s="41">
        <f>(COUNTIFS(集計用!$U:$U, "*, "&amp;L$4&amp;", *",集計用!$G:$G,"*, "&amp;$C7&amp;", *")-COUNTIFS(集計用!$U:$U, "*, "&amp;L$4&amp;", *",集計用!$G:$G,"*, "&amp;$C7&amp;", *",集計用!$U:$U, "*英語を日常的に*"))/$B7*100</f>
        <v>1.5873015873015872</v>
      </c>
      <c r="M7" s="41">
        <f>(COUNTIFS(集計用!$U:$U, "*, "&amp;M$4&amp;", *",集計用!$G:$G,"*, "&amp;$C7&amp;", *")-COUNTIFS(集計用!$U:$U, "*, "&amp;M$4&amp;", *",集計用!$G:$G,"*, "&amp;$C7&amp;", *",集計用!$U:$U, "*英語を日常的に*"))/$B7*100</f>
        <v>1.5873015873015872</v>
      </c>
      <c r="N7" s="41">
        <f>(COUNTIFS(集計用!$U:$U, "*, "&amp;N$4&amp;", *",集計用!$G:$G,"*, "&amp;$C7&amp;", *")-COUNTIFS(集計用!$U:$U, "*, "&amp;N$4&amp;", *",集計用!$G:$G,"*, "&amp;$C7&amp;", *",集計用!$U:$U, "*英語を日常的に*"))/$B7*100</f>
        <v>1.5873015873015872</v>
      </c>
      <c r="O7" s="41">
        <f>(COUNTIFS(集計用!$U:$U, "*, "&amp;O$4&amp;", *",集計用!$G:$G,"*, "&amp;$C7&amp;", *")-COUNTIFS(集計用!$U:$U, "*, "&amp;O$4&amp;", *",集計用!$G:$G,"*, "&amp;$C7&amp;", *",集計用!$U:$U, "*英語を日常的に*"))/$B7*100</f>
        <v>0</v>
      </c>
      <c r="P7" s="41">
        <f>(COUNTIFS(集計用!$U:$U, "*, "&amp;P$4&amp;", *",集計用!$G:$G,"*, "&amp;$C7&amp;", *")-COUNTIFS(集計用!$U:$U, "*, "&amp;P$4&amp;", *",集計用!$G:$G,"*, "&amp;$C7&amp;", *",集計用!$U:$U, "*英語を日常的に*"))/$B7*100</f>
        <v>0</v>
      </c>
      <c r="Q7" s="41">
        <f>(COUNTIFS(集計用!$U:$U, "*, "&amp;Q$4&amp;", *",集計用!$G:$G,"*, "&amp;$C7&amp;", *")-COUNTIFS(集計用!$U:$U, "*, "&amp;Q$4&amp;", *",集計用!$G:$G,"*, "&amp;$C7&amp;", *",集計用!$U:$U, "*英語を日常的に*"))/$B7*100</f>
        <v>0</v>
      </c>
      <c r="R7" s="41">
        <f>(COUNTIFS(集計用!$U:$U, "*, "&amp;R$4&amp;", *",集計用!$G:$G,"*, "&amp;$C7&amp;", *")-COUNTIFS(集計用!$U:$U, "*, "&amp;R$4&amp;", *",集計用!$G:$G,"*, "&amp;$C7&amp;", *",集計用!$U:$U, "*英語を日常的に*"))/$B7*100</f>
        <v>0</v>
      </c>
    </row>
    <row r="8" spans="1:18" ht="15.75" customHeight="1">
      <c r="A8" s="39">
        <v>2</v>
      </c>
      <c r="B8" s="39">
        <f>(COUNTIFS(集計用!$G:$G,"*, "&amp;$C8&amp;",*"))-COUNTIFS(集計用!U:U, "*英語を日常的に*",集計用!$G:$G,"*, "&amp;$C8&amp;",*")</f>
        <v>40</v>
      </c>
      <c r="C8" s="42" t="s">
        <v>2</v>
      </c>
      <c r="D8" s="41">
        <f>(COUNTIFS(集計用!$U:$U, "*, "&amp;D$4&amp;", *",集計用!$G:$G,"*, "&amp;$C8&amp;", *")-COUNTIFS(集計用!$U:$U, "*, "&amp;D$4&amp;", *",集計用!$G:$G,"*, "&amp;$C8&amp;", *",集計用!$U:$U, "*英語を日常的に*"))/$B8*100</f>
        <v>37.5</v>
      </c>
      <c r="E8" s="41">
        <f>(COUNTIFS(集計用!$U:$U, "*, "&amp;E$4&amp;", *",集計用!$G:$G,"*, "&amp;$C8&amp;", *")-COUNTIFS(集計用!$U:$U, "*, "&amp;E$4&amp;", *",集計用!$G:$G,"*, "&amp;$C8&amp;", *",集計用!$U:$U, "*英語を日常的に*"))/$B8*100</f>
        <v>42.5</v>
      </c>
      <c r="F8" s="41">
        <f>(COUNTIFS(集計用!$U:$U, "*, "&amp;F$4&amp;", *",集計用!$G:$G,"*, "&amp;$C8&amp;", *")-COUNTIFS(集計用!$U:$U, "*, "&amp;F$4&amp;", *",集計用!$G:$G,"*, "&amp;$C8&amp;", *",集計用!$U:$U, "*英語を日常的に*"))/$B8*100</f>
        <v>12.5</v>
      </c>
      <c r="G8" s="41">
        <f>(COUNTIFS(集計用!$U:$U, "*, "&amp;G$4&amp;", *",集計用!$G:$G,"*, "&amp;$C8&amp;", *")-COUNTIFS(集計用!$U:$U, "*, "&amp;G$4&amp;", *",集計用!$G:$G,"*, "&amp;$C8&amp;", *",集計用!$U:$U, "*英語を日常的に*"))/$B8*100</f>
        <v>20</v>
      </c>
      <c r="H8" s="41">
        <f>(COUNTIFS(集計用!$U:$U, "*, "&amp;H$4&amp;", *",集計用!$G:$G,"*, "&amp;$C8&amp;", *")-COUNTIFS(集計用!$U:$U, "*, "&amp;H$4&amp;", *",集計用!$G:$G,"*, "&amp;$C8&amp;", *",集計用!$U:$U, "*英語を日常的に*"))/$B8*100</f>
        <v>15</v>
      </c>
      <c r="I8" s="41">
        <f>(COUNTIFS(集計用!$U:$U, "*, "&amp;I$4&amp;", *",集計用!$G:$G,"*, "&amp;$C8&amp;", *")-COUNTIFS(集計用!$U:$U, "*, "&amp;I$4&amp;", *",集計用!$G:$G,"*, "&amp;$C8&amp;", *",集計用!$U:$U, "*英語を日常的に*"))/$B8*100</f>
        <v>10</v>
      </c>
      <c r="J8" s="41">
        <f>(COUNTIFS(集計用!$U:$U, "*, "&amp;J$4&amp;", *",集計用!$G:$G,"*, "&amp;$C8&amp;", *")-COUNTIFS(集計用!$U:$U, "*, "&amp;J$4&amp;", *",集計用!$G:$G,"*, "&amp;$C8&amp;", *",集計用!$U:$U, "*英語を日常的に*"))/$B8*100</f>
        <v>12.5</v>
      </c>
      <c r="K8" s="41">
        <f>(COUNTIFS(集計用!$U:$U, "*, "&amp;K$4&amp;", *",集計用!$G:$G,"*, "&amp;$C8&amp;", *")-COUNTIFS(集計用!$U:$U, "*, "&amp;K$4&amp;", *",集計用!$G:$G,"*, "&amp;$C8&amp;", *",集計用!$U:$U, "*英語を日常的に*"))/$B8*100</f>
        <v>7.5</v>
      </c>
      <c r="L8" s="41">
        <f>(COUNTIFS(集計用!$U:$U, "*, "&amp;L$4&amp;", *",集計用!$G:$G,"*, "&amp;$C8&amp;", *")-COUNTIFS(集計用!$U:$U, "*, "&amp;L$4&amp;", *",集計用!$G:$G,"*, "&amp;$C8&amp;", *",集計用!$U:$U, "*英語を日常的に*"))/$B8*100</f>
        <v>2.5</v>
      </c>
      <c r="M8" s="41">
        <f>(COUNTIFS(集計用!$U:$U, "*, "&amp;M$4&amp;", *",集計用!$G:$G,"*, "&amp;$C8&amp;", *")-COUNTIFS(集計用!$U:$U, "*, "&amp;M$4&amp;", *",集計用!$G:$G,"*, "&amp;$C8&amp;", *",集計用!$U:$U, "*英語を日常的に*"))/$B8*100</f>
        <v>0</v>
      </c>
      <c r="N8" s="41">
        <f>(COUNTIFS(集計用!$U:$U, "*, "&amp;N$4&amp;", *",集計用!$G:$G,"*, "&amp;$C8&amp;", *")-COUNTIFS(集計用!$U:$U, "*, "&amp;N$4&amp;", *",集計用!$G:$G,"*, "&amp;$C8&amp;", *",集計用!$U:$U, "*英語を日常的に*"))/$B8*100</f>
        <v>0</v>
      </c>
      <c r="O8" s="41">
        <f>(COUNTIFS(集計用!$U:$U, "*, "&amp;O$4&amp;", *",集計用!$G:$G,"*, "&amp;$C8&amp;", *")-COUNTIFS(集計用!$U:$U, "*, "&amp;O$4&amp;", *",集計用!$G:$G,"*, "&amp;$C8&amp;", *",集計用!$U:$U, "*英語を日常的に*"))/$B8*100</f>
        <v>0</v>
      </c>
      <c r="P8" s="41">
        <f>(COUNTIFS(集計用!$U:$U, "*, "&amp;P$4&amp;", *",集計用!$G:$G,"*, "&amp;$C8&amp;", *")-COUNTIFS(集計用!$U:$U, "*, "&amp;P$4&amp;", *",集計用!$G:$G,"*, "&amp;$C8&amp;", *",集計用!$U:$U, "*英語を日常的に*"))/$B8*100</f>
        <v>0</v>
      </c>
      <c r="Q8" s="41">
        <f>(COUNTIFS(集計用!$U:$U, "*, "&amp;Q$4&amp;", *",集計用!$G:$G,"*, "&amp;$C8&amp;", *")-COUNTIFS(集計用!$U:$U, "*, "&amp;Q$4&amp;", *",集計用!$G:$G,"*, "&amp;$C8&amp;", *",集計用!$U:$U, "*英語を日常的に*"))/$B8*100</f>
        <v>0</v>
      </c>
      <c r="R8" s="41">
        <f>(COUNTIFS(集計用!$U:$U, "*, "&amp;R$4&amp;", *",集計用!$G:$G,"*, "&amp;$C8&amp;", *")-COUNTIFS(集計用!$U:$U, "*, "&amp;R$4&amp;", *",集計用!$G:$G,"*, "&amp;$C8&amp;", *",集計用!$U:$U, "*英語を日常的に*"))/$B8*100</f>
        <v>0</v>
      </c>
    </row>
    <row r="9" spans="1:18" ht="15.75" customHeight="1">
      <c r="A9" s="39">
        <v>1</v>
      </c>
      <c r="B9" s="39">
        <f>(COUNTIFS(集計用!$G:$G,"*, "&amp;$C9&amp;",*"))-COUNTIFS(集計用!U:U, "*英語を日常的に*",集計用!$G:$G,"*, "&amp;$C9&amp;",*")</f>
        <v>30</v>
      </c>
      <c r="C9" s="42" t="s">
        <v>3</v>
      </c>
      <c r="D9" s="41">
        <f>(COUNTIFS(集計用!$U:$U, "*, "&amp;D$4&amp;", *",集計用!$G:$G,"*, "&amp;$C9&amp;", *")-COUNTIFS(集計用!$U:$U, "*, "&amp;D$4&amp;", *",集計用!$G:$G,"*, "&amp;$C9&amp;", *",集計用!$U:$U, "*英語を日常的に*"))/$B9*100</f>
        <v>56.666666666666664</v>
      </c>
      <c r="E9" s="41">
        <f>(COUNTIFS(集計用!$U:$U, "*, "&amp;E$4&amp;", *",集計用!$G:$G,"*, "&amp;$C9&amp;", *")-COUNTIFS(集計用!$U:$U, "*, "&amp;E$4&amp;", *",集計用!$G:$G,"*, "&amp;$C9&amp;", *",集計用!$U:$U, "*英語を日常的に*"))/$B9*100</f>
        <v>33.333333333333329</v>
      </c>
      <c r="F9" s="41">
        <f>(COUNTIFS(集計用!$U:$U, "*, "&amp;F$4&amp;", *",集計用!$G:$G,"*, "&amp;$C9&amp;", *")-COUNTIFS(集計用!$U:$U, "*, "&amp;F$4&amp;", *",集計用!$G:$G,"*, "&amp;$C9&amp;", *",集計用!$U:$U, "*英語を日常的に*"))/$B9*100</f>
        <v>26.666666666666668</v>
      </c>
      <c r="G9" s="41">
        <f>(COUNTIFS(集計用!$U:$U, "*, "&amp;G$4&amp;", *",集計用!$G:$G,"*, "&amp;$C9&amp;", *")-COUNTIFS(集計用!$U:$U, "*, "&amp;G$4&amp;", *",集計用!$G:$G,"*, "&amp;$C9&amp;", *",集計用!$U:$U, "*英語を日常的に*"))/$B9*100</f>
        <v>16.666666666666664</v>
      </c>
      <c r="H9" s="41">
        <f>(COUNTIFS(集計用!$U:$U, "*, "&amp;H$4&amp;", *",集計用!$G:$G,"*, "&amp;$C9&amp;", *")-COUNTIFS(集計用!$U:$U, "*, "&amp;H$4&amp;", *",集計用!$G:$G,"*, "&amp;$C9&amp;", *",集計用!$U:$U, "*英語を日常的に*"))/$B9*100</f>
        <v>26.666666666666668</v>
      </c>
      <c r="I9" s="41">
        <f>(COUNTIFS(集計用!$U:$U, "*, "&amp;I$4&amp;", *",集計用!$G:$G,"*, "&amp;$C9&amp;", *")-COUNTIFS(集計用!$U:$U, "*, "&amp;I$4&amp;", *",集計用!$G:$G,"*, "&amp;$C9&amp;", *",集計用!$U:$U, "*英語を日常的に*"))/$B9*100</f>
        <v>10</v>
      </c>
      <c r="J9" s="41">
        <f>(COUNTIFS(集計用!$U:$U, "*, "&amp;J$4&amp;", *",集計用!$G:$G,"*, "&amp;$C9&amp;", *")-COUNTIFS(集計用!$U:$U, "*, "&amp;J$4&amp;", *",集計用!$G:$G,"*, "&amp;$C9&amp;", *",集計用!$U:$U, "*英語を日常的に*"))/$B9*100</f>
        <v>13.333333333333334</v>
      </c>
      <c r="K9" s="41">
        <f>(COUNTIFS(集計用!$U:$U, "*, "&amp;K$4&amp;", *",集計用!$G:$G,"*, "&amp;$C9&amp;", *")-COUNTIFS(集計用!$U:$U, "*, "&amp;K$4&amp;", *",集計用!$G:$G,"*, "&amp;$C9&amp;", *",集計用!$U:$U, "*英語を日常的に*"))/$B9*100</f>
        <v>6.666666666666667</v>
      </c>
      <c r="L9" s="41">
        <f>(COUNTIFS(集計用!$U:$U, "*, "&amp;L$4&amp;", *",集計用!$G:$G,"*, "&amp;$C9&amp;", *")-COUNTIFS(集計用!$U:$U, "*, "&amp;L$4&amp;", *",集計用!$G:$G,"*, "&amp;$C9&amp;", *",集計用!$U:$U, "*英語を日常的に*"))/$B9*100</f>
        <v>3.3333333333333335</v>
      </c>
      <c r="M9" s="41">
        <f>(COUNTIFS(集計用!$U:$U, "*, "&amp;M$4&amp;", *",集計用!$G:$G,"*, "&amp;$C9&amp;", *")-COUNTIFS(集計用!$U:$U, "*, "&amp;M$4&amp;", *",集計用!$G:$G,"*, "&amp;$C9&amp;", *",集計用!$U:$U, "*英語を日常的に*"))/$B9*100</f>
        <v>0</v>
      </c>
      <c r="N9" s="41">
        <f>(COUNTIFS(集計用!$U:$U, "*, "&amp;N$4&amp;", *",集計用!$G:$G,"*, "&amp;$C9&amp;", *")-COUNTIFS(集計用!$U:$U, "*, "&amp;N$4&amp;", *",集計用!$G:$G,"*, "&amp;$C9&amp;", *",集計用!$U:$U, "*英語を日常的に*"))/$B9*100</f>
        <v>0</v>
      </c>
      <c r="O9" s="41">
        <f>(COUNTIFS(集計用!$U:$U, "*, "&amp;O$4&amp;", *",集計用!$G:$G,"*, "&amp;$C9&amp;", *")-COUNTIFS(集計用!$U:$U, "*, "&amp;O$4&amp;", *",集計用!$G:$G,"*, "&amp;$C9&amp;", *",集計用!$U:$U, "*英語を日常的に*"))/$B9*100</f>
        <v>0</v>
      </c>
      <c r="P9" s="41">
        <f>(COUNTIFS(集計用!$U:$U, "*, "&amp;P$4&amp;", *",集計用!$G:$G,"*, "&amp;$C9&amp;", *")-COUNTIFS(集計用!$U:$U, "*, "&amp;P$4&amp;", *",集計用!$G:$G,"*, "&amp;$C9&amp;", *",集計用!$U:$U, "*英語を日常的に*"))/$B9*100</f>
        <v>0</v>
      </c>
      <c r="Q9" s="41">
        <f>(COUNTIFS(集計用!$U:$U, "*, "&amp;Q$4&amp;", *",集計用!$G:$G,"*, "&amp;$C9&amp;", *")-COUNTIFS(集計用!$U:$U, "*, "&amp;Q$4&amp;", *",集計用!$G:$G,"*, "&amp;$C9&amp;", *",集計用!$U:$U, "*英語を日常的に*"))/$B9*100</f>
        <v>0</v>
      </c>
      <c r="R9" s="41">
        <f>(COUNTIFS(集計用!$U:$U, "*, "&amp;R$4&amp;", *",集計用!$G:$G,"*, "&amp;$C9&amp;", *")-COUNTIFS(集計用!$U:$U, "*, "&amp;R$4&amp;", *",集計用!$G:$G,"*, "&amp;$C9&amp;", *",集計用!$U:$U, "*英語を日常的に*"))/$B9*100</f>
        <v>0</v>
      </c>
    </row>
    <row r="10" spans="1:18" ht="15.75" customHeight="1">
      <c r="A10" s="39">
        <v>3</v>
      </c>
      <c r="B10" s="39">
        <f>(COUNTIFS(集計用!$G:$G,"*, "&amp;$C10&amp;",*"))-COUNTIFS(集計用!U:U, "*英語を日常的に*",集計用!$G:$G,"*, "&amp;$C10&amp;",*")</f>
        <v>26</v>
      </c>
      <c r="C10" s="42" t="s">
        <v>4</v>
      </c>
      <c r="D10" s="41">
        <f>(COUNTIFS(集計用!$U:$U, "*, "&amp;D$4&amp;", *",集計用!$G:$G,"*, "&amp;$C10&amp;", *")-COUNTIFS(集計用!$U:$U, "*, "&amp;D$4&amp;", *",集計用!$G:$G,"*, "&amp;$C10&amp;", *",集計用!$U:$U, "*英語を日常的に*"))/$B10*100</f>
        <v>73.076923076923066</v>
      </c>
      <c r="E10" s="41">
        <f>(COUNTIFS(集計用!$U:$U, "*, "&amp;E$4&amp;", *",集計用!$G:$G,"*, "&amp;$C10&amp;", *")-COUNTIFS(集計用!$U:$U, "*, "&amp;E$4&amp;", *",集計用!$G:$G,"*, "&amp;$C10&amp;", *",集計用!$U:$U, "*英語を日常的に*"))/$B10*100</f>
        <v>46.153846153846153</v>
      </c>
      <c r="F10" s="41">
        <f>(COUNTIFS(集計用!$U:$U, "*, "&amp;F$4&amp;", *",集計用!$G:$G,"*, "&amp;$C10&amp;", *")-COUNTIFS(集計用!$U:$U, "*, "&amp;F$4&amp;", *",集計用!$G:$G,"*, "&amp;$C10&amp;", *",集計用!$U:$U, "*英語を日常的に*"))/$B10*100</f>
        <v>15.384615384615385</v>
      </c>
      <c r="G10" s="41">
        <f>(COUNTIFS(集計用!$U:$U, "*, "&amp;G$4&amp;", *",集計用!$G:$G,"*, "&amp;$C10&amp;", *")-COUNTIFS(集計用!$U:$U, "*, "&amp;G$4&amp;", *",集計用!$G:$G,"*, "&amp;$C10&amp;", *",集計用!$U:$U, "*英語を日常的に*"))/$B10*100</f>
        <v>11.538461538461538</v>
      </c>
      <c r="H10" s="41">
        <f>(COUNTIFS(集計用!$U:$U, "*, "&amp;H$4&amp;", *",集計用!$G:$G,"*, "&amp;$C10&amp;", *")-COUNTIFS(集計用!$U:$U, "*, "&amp;H$4&amp;", *",集計用!$G:$G,"*, "&amp;$C10&amp;", *",集計用!$U:$U, "*英語を日常的に*"))/$B10*100</f>
        <v>11.538461538461538</v>
      </c>
      <c r="I10" s="41">
        <f>(COUNTIFS(集計用!$U:$U, "*, "&amp;I$4&amp;", *",集計用!$G:$G,"*, "&amp;$C10&amp;", *")-COUNTIFS(集計用!$U:$U, "*, "&amp;I$4&amp;", *",集計用!$G:$G,"*, "&amp;$C10&amp;", *",集計用!$U:$U, "*英語を日常的に*"))/$B10*100</f>
        <v>11.538461538461538</v>
      </c>
      <c r="J10" s="41">
        <f>(COUNTIFS(集計用!$U:$U, "*, "&amp;J$4&amp;", *",集計用!$G:$G,"*, "&amp;$C10&amp;", *")-COUNTIFS(集計用!$U:$U, "*, "&amp;J$4&amp;", *",集計用!$G:$G,"*, "&amp;$C10&amp;", *",集計用!$U:$U, "*英語を日常的に*"))/$B10*100</f>
        <v>3.8461538461538463</v>
      </c>
      <c r="K10" s="41">
        <f>(COUNTIFS(集計用!$U:$U, "*, "&amp;K$4&amp;", *",集計用!$G:$G,"*, "&amp;$C10&amp;", *")-COUNTIFS(集計用!$U:$U, "*, "&amp;K$4&amp;", *",集計用!$G:$G,"*, "&amp;$C10&amp;", *",集計用!$U:$U, "*英語を日常的に*"))/$B10*100</f>
        <v>11.538461538461538</v>
      </c>
      <c r="L10" s="41">
        <f>(COUNTIFS(集計用!$U:$U, "*, "&amp;L$4&amp;", *",集計用!$G:$G,"*, "&amp;$C10&amp;", *")-COUNTIFS(集計用!$U:$U, "*, "&amp;L$4&amp;", *",集計用!$G:$G,"*, "&amp;$C10&amp;", *",集計用!$U:$U, "*英語を日常的に*"))/$B10*100</f>
        <v>0</v>
      </c>
      <c r="M10" s="41">
        <f>(COUNTIFS(集計用!$U:$U, "*, "&amp;M$4&amp;", *",集計用!$G:$G,"*, "&amp;$C10&amp;", *")-COUNTIFS(集計用!$U:$U, "*, "&amp;M$4&amp;", *",集計用!$G:$G,"*, "&amp;$C10&amp;", *",集計用!$U:$U, "*英語を日常的に*"))/$B10*100</f>
        <v>0</v>
      </c>
      <c r="N10" s="41">
        <f>(COUNTIFS(集計用!$U:$U, "*, "&amp;N$4&amp;", *",集計用!$G:$G,"*, "&amp;$C10&amp;", *")-COUNTIFS(集計用!$U:$U, "*, "&amp;N$4&amp;", *",集計用!$G:$G,"*, "&amp;$C10&amp;", *",集計用!$U:$U, "*英語を日常的に*"))/$B10*100</f>
        <v>0</v>
      </c>
      <c r="O10" s="41">
        <f>(COUNTIFS(集計用!$U:$U, "*, "&amp;O$4&amp;", *",集計用!$G:$G,"*, "&amp;$C10&amp;", *")-COUNTIFS(集計用!$U:$U, "*, "&amp;O$4&amp;", *",集計用!$G:$G,"*, "&amp;$C10&amp;", *",集計用!$U:$U, "*英語を日常的に*"))/$B10*100</f>
        <v>0</v>
      </c>
      <c r="P10" s="41">
        <f>(COUNTIFS(集計用!$U:$U, "*, "&amp;P$4&amp;", *",集計用!$G:$G,"*, "&amp;$C10&amp;", *")-COUNTIFS(集計用!$U:$U, "*, "&amp;P$4&amp;", *",集計用!$G:$G,"*, "&amp;$C10&amp;", *",集計用!$U:$U, "*英語を日常的に*"))/$B10*100</f>
        <v>0</v>
      </c>
      <c r="Q10" s="41">
        <f>(COUNTIFS(集計用!$U:$U, "*, "&amp;Q$4&amp;", *",集計用!$G:$G,"*, "&amp;$C10&amp;", *")-COUNTIFS(集計用!$U:$U, "*, "&amp;Q$4&amp;", *",集計用!$G:$G,"*, "&amp;$C10&amp;", *",集計用!$U:$U, "*英語を日常的に*"))/$B10*100</f>
        <v>0</v>
      </c>
      <c r="R10" s="41">
        <f>(COUNTIFS(集計用!$U:$U, "*, "&amp;R$4&amp;", *",集計用!$G:$G,"*, "&amp;$C10&amp;", *")-COUNTIFS(集計用!$U:$U, "*, "&amp;R$4&amp;", *",集計用!$G:$G,"*, "&amp;$C10&amp;", *",集計用!$U:$U, "*英語を日常的に*"))/$B10*100</f>
        <v>0</v>
      </c>
    </row>
    <row r="11" spans="1:18" ht="15.75" customHeight="1">
      <c r="A11" s="39">
        <v>4</v>
      </c>
      <c r="B11" s="39">
        <f>(COUNTIFS(集計用!$G:$G,"*, "&amp;$C11&amp;",*"))-COUNTIFS(集計用!U:U, "*英語を日常的に*",集計用!$G:$G,"*, "&amp;$C11&amp;",*")</f>
        <v>26</v>
      </c>
      <c r="C11" s="42" t="s">
        <v>5</v>
      </c>
      <c r="D11" s="41">
        <f>(COUNTIFS(集計用!$U:$U, "*, "&amp;D$4&amp;", *",集計用!$G:$G,"*, "&amp;$C11&amp;", *")-COUNTIFS(集計用!$U:$U, "*, "&amp;D$4&amp;", *",集計用!$G:$G,"*, "&amp;$C11&amp;", *",集計用!$U:$U, "*英語を日常的に*"))/$B11*100</f>
        <v>61.53846153846154</v>
      </c>
      <c r="E11" s="41">
        <f>(COUNTIFS(集計用!$U:$U, "*, "&amp;E$4&amp;", *",集計用!$G:$G,"*, "&amp;$C11&amp;", *")-COUNTIFS(集計用!$U:$U, "*, "&amp;E$4&amp;", *",集計用!$G:$G,"*, "&amp;$C11&amp;", *",集計用!$U:$U, "*英語を日常的に*"))/$B11*100</f>
        <v>30.76923076923077</v>
      </c>
      <c r="F11" s="41">
        <f>(COUNTIFS(集計用!$U:$U, "*, "&amp;F$4&amp;", *",集計用!$G:$G,"*, "&amp;$C11&amp;", *")-COUNTIFS(集計用!$U:$U, "*, "&amp;F$4&amp;", *",集計用!$G:$G,"*, "&amp;$C11&amp;", *",集計用!$U:$U, "*英語を日常的に*"))/$B11*100</f>
        <v>34.615384615384613</v>
      </c>
      <c r="G11" s="41">
        <f>(COUNTIFS(集計用!$U:$U, "*, "&amp;G$4&amp;", *",集計用!$G:$G,"*, "&amp;$C11&amp;", *")-COUNTIFS(集計用!$U:$U, "*, "&amp;G$4&amp;", *",集計用!$G:$G,"*, "&amp;$C11&amp;", *",集計用!$U:$U, "*英語を日常的に*"))/$B11*100</f>
        <v>23.076923076923077</v>
      </c>
      <c r="H11" s="41">
        <f>(COUNTIFS(集計用!$U:$U, "*, "&amp;H$4&amp;", *",集計用!$G:$G,"*, "&amp;$C11&amp;", *")-COUNTIFS(集計用!$U:$U, "*, "&amp;H$4&amp;", *",集計用!$G:$G,"*, "&amp;$C11&amp;", *",集計用!$U:$U, "*英語を日常的に*"))/$B11*100</f>
        <v>15.384615384615385</v>
      </c>
      <c r="I11" s="41">
        <f>(COUNTIFS(集計用!$U:$U, "*, "&amp;I$4&amp;", *",集計用!$G:$G,"*, "&amp;$C11&amp;", *")-COUNTIFS(集計用!$U:$U, "*, "&amp;I$4&amp;", *",集計用!$G:$G,"*, "&amp;$C11&amp;", *",集計用!$U:$U, "*英語を日常的に*"))/$B11*100</f>
        <v>15.384615384615385</v>
      </c>
      <c r="J11" s="41">
        <f>(COUNTIFS(集計用!$U:$U, "*, "&amp;J$4&amp;", *",集計用!$G:$G,"*, "&amp;$C11&amp;", *")-COUNTIFS(集計用!$U:$U, "*, "&amp;J$4&amp;", *",集計用!$G:$G,"*, "&amp;$C11&amp;", *",集計用!$U:$U, "*英語を日常的に*"))/$B11*100</f>
        <v>7.6923076923076925</v>
      </c>
      <c r="K11" s="41">
        <f>(COUNTIFS(集計用!$U:$U, "*, "&amp;K$4&amp;", *",集計用!$G:$G,"*, "&amp;$C11&amp;", *")-COUNTIFS(集計用!$U:$U, "*, "&amp;K$4&amp;", *",集計用!$G:$G,"*, "&amp;$C11&amp;", *",集計用!$U:$U, "*英語を日常的に*"))/$B11*100</f>
        <v>11.538461538461538</v>
      </c>
      <c r="L11" s="41">
        <f>(COUNTIFS(集計用!$U:$U, "*, "&amp;L$4&amp;", *",集計用!$G:$G,"*, "&amp;$C11&amp;", *")-COUNTIFS(集計用!$U:$U, "*, "&amp;L$4&amp;", *",集計用!$G:$G,"*, "&amp;$C11&amp;", *",集計用!$U:$U, "*英語を日常的に*"))/$B11*100</f>
        <v>3.8461538461538463</v>
      </c>
      <c r="M11" s="41">
        <f>(COUNTIFS(集計用!$U:$U, "*, "&amp;M$4&amp;", *",集計用!$G:$G,"*, "&amp;$C11&amp;", *")-COUNTIFS(集計用!$U:$U, "*, "&amp;M$4&amp;", *",集計用!$G:$G,"*, "&amp;$C11&amp;", *",集計用!$U:$U, "*英語を日常的に*"))/$B11*100</f>
        <v>0</v>
      </c>
      <c r="N11" s="41">
        <f>(COUNTIFS(集計用!$U:$U, "*, "&amp;N$4&amp;", *",集計用!$G:$G,"*, "&amp;$C11&amp;", *")-COUNTIFS(集計用!$U:$U, "*, "&amp;N$4&amp;", *",集計用!$G:$G,"*, "&amp;$C11&amp;", *",集計用!$U:$U, "*英語を日常的に*"))/$B11*100</f>
        <v>0</v>
      </c>
      <c r="O11" s="41">
        <f>(COUNTIFS(集計用!$U:$U, "*, "&amp;O$4&amp;", *",集計用!$G:$G,"*, "&amp;$C11&amp;", *")-COUNTIFS(集計用!$U:$U, "*, "&amp;O$4&amp;", *",集計用!$G:$G,"*, "&amp;$C11&amp;", *",集計用!$U:$U, "*英語を日常的に*"))/$B11*100</f>
        <v>0</v>
      </c>
      <c r="P11" s="41">
        <f>(COUNTIFS(集計用!$U:$U, "*, "&amp;P$4&amp;", *",集計用!$G:$G,"*, "&amp;$C11&amp;", *")-COUNTIFS(集計用!$U:$U, "*, "&amp;P$4&amp;", *",集計用!$G:$G,"*, "&amp;$C11&amp;", *",集計用!$U:$U, "*英語を日常的に*"))/$B11*100</f>
        <v>0</v>
      </c>
      <c r="Q11" s="41">
        <f>(COUNTIFS(集計用!$U:$U, "*, "&amp;Q$4&amp;", *",集計用!$G:$G,"*, "&amp;$C11&amp;", *")-COUNTIFS(集計用!$U:$U, "*, "&amp;Q$4&amp;", *",集計用!$G:$G,"*, "&amp;$C11&amp;", *",集計用!$U:$U, "*英語を日常的に*"))/$B11*100</f>
        <v>0</v>
      </c>
      <c r="R11" s="41">
        <f>(COUNTIFS(集計用!$U:$U, "*, "&amp;R$4&amp;", *",集計用!$G:$G,"*, "&amp;$C11&amp;", *")-COUNTIFS(集計用!$U:$U, "*, "&amp;R$4&amp;", *",集計用!$G:$G,"*, "&amp;$C11&amp;", *",集計用!$U:$U, "*英語を日常的に*"))/$B11*100</f>
        <v>0</v>
      </c>
    </row>
    <row r="12" spans="1:18" ht="15.75" customHeight="1">
      <c r="A12" s="39">
        <v>1</v>
      </c>
      <c r="B12" s="39">
        <f>(COUNTIFS(集計用!$G:$G,"*, "&amp;$C12&amp;",*"))-COUNTIFS(集計用!U:U, "*英語を日常的に*",集計用!$G:$G,"*, "&amp;$C12&amp;",*")</f>
        <v>30</v>
      </c>
      <c r="C12" s="42" t="s">
        <v>6</v>
      </c>
      <c r="D12" s="41">
        <f>(COUNTIFS(集計用!$U:$U, "*, "&amp;D$4&amp;", *",集計用!$G:$G,"*, "&amp;$C12&amp;", *")-COUNTIFS(集計用!$U:$U, "*, "&amp;D$4&amp;", *",集計用!$G:$G,"*, "&amp;$C12&amp;", *",集計用!$U:$U, "*英語を日常的に*"))/$B12*100</f>
        <v>60</v>
      </c>
      <c r="E12" s="41">
        <f>(COUNTIFS(集計用!$U:$U, "*, "&amp;E$4&amp;", *",集計用!$G:$G,"*, "&amp;$C12&amp;", *")-COUNTIFS(集計用!$U:$U, "*, "&amp;E$4&amp;", *",集計用!$G:$G,"*, "&amp;$C12&amp;", *",集計用!$U:$U, "*英語を日常的に*"))/$B12*100</f>
        <v>30</v>
      </c>
      <c r="F12" s="41">
        <f>(COUNTIFS(集計用!$U:$U, "*, "&amp;F$4&amp;", *",集計用!$G:$G,"*, "&amp;$C12&amp;", *")-COUNTIFS(集計用!$U:$U, "*, "&amp;F$4&amp;", *",集計用!$G:$G,"*, "&amp;$C12&amp;", *",集計用!$U:$U, "*英語を日常的に*"))/$B12*100</f>
        <v>13.333333333333334</v>
      </c>
      <c r="G12" s="41">
        <f>(COUNTIFS(集計用!$U:$U, "*, "&amp;G$4&amp;", *",集計用!$G:$G,"*, "&amp;$C12&amp;", *")-COUNTIFS(集計用!$U:$U, "*, "&amp;G$4&amp;", *",集計用!$G:$G,"*, "&amp;$C12&amp;", *",集計用!$U:$U, "*英語を日常的に*"))/$B12*100</f>
        <v>13.333333333333334</v>
      </c>
      <c r="H12" s="41">
        <f>(COUNTIFS(集計用!$U:$U, "*, "&amp;H$4&amp;", *",集計用!$G:$G,"*, "&amp;$C12&amp;", *")-COUNTIFS(集計用!$U:$U, "*, "&amp;H$4&amp;", *",集計用!$G:$G,"*, "&amp;$C12&amp;", *",集計用!$U:$U, "*英語を日常的に*"))/$B12*100</f>
        <v>16.666666666666664</v>
      </c>
      <c r="I12" s="41">
        <f>(COUNTIFS(集計用!$U:$U, "*, "&amp;I$4&amp;", *",集計用!$G:$G,"*, "&amp;$C12&amp;", *")-COUNTIFS(集計用!$U:$U, "*, "&amp;I$4&amp;", *",集計用!$G:$G,"*, "&amp;$C12&amp;", *",集計用!$U:$U, "*英語を日常的に*"))/$B12*100</f>
        <v>16.666666666666664</v>
      </c>
      <c r="J12" s="41">
        <f>(COUNTIFS(集計用!$U:$U, "*, "&amp;J$4&amp;", *",集計用!$G:$G,"*, "&amp;$C12&amp;", *")-COUNTIFS(集計用!$U:$U, "*, "&amp;J$4&amp;", *",集計用!$G:$G,"*, "&amp;$C12&amp;", *",集計用!$U:$U, "*英語を日常的に*"))/$B12*100</f>
        <v>6.666666666666667</v>
      </c>
      <c r="K12" s="41">
        <f>(COUNTIFS(集計用!$U:$U, "*, "&amp;K$4&amp;", *",集計用!$G:$G,"*, "&amp;$C12&amp;", *")-COUNTIFS(集計用!$U:$U, "*, "&amp;K$4&amp;", *",集計用!$G:$G,"*, "&amp;$C12&amp;", *",集計用!$U:$U, "*英語を日常的に*"))/$B12*100</f>
        <v>10</v>
      </c>
      <c r="L12" s="41">
        <f>(COUNTIFS(集計用!$U:$U, "*, "&amp;L$4&amp;", *",集計用!$G:$G,"*, "&amp;$C12&amp;", *")-COUNTIFS(集計用!$U:$U, "*, "&amp;L$4&amp;", *",集計用!$G:$G,"*, "&amp;$C12&amp;", *",集計用!$U:$U, "*英語を日常的に*"))/$B12*100</f>
        <v>3.3333333333333335</v>
      </c>
      <c r="M12" s="41">
        <f>(COUNTIFS(集計用!$U:$U, "*, "&amp;M$4&amp;", *",集計用!$G:$G,"*, "&amp;$C12&amp;", *")-COUNTIFS(集計用!$U:$U, "*, "&amp;M$4&amp;", *",集計用!$G:$G,"*, "&amp;$C12&amp;", *",集計用!$U:$U, "*英語を日常的に*"))/$B12*100</f>
        <v>3.3333333333333335</v>
      </c>
      <c r="N12" s="41">
        <f>(COUNTIFS(集計用!$U:$U, "*, "&amp;N$4&amp;", *",集計用!$G:$G,"*, "&amp;$C12&amp;", *")-COUNTIFS(集計用!$U:$U, "*, "&amp;N$4&amp;", *",集計用!$G:$G,"*, "&amp;$C12&amp;", *",集計用!$U:$U, "*英語を日常的に*"))/$B12*100</f>
        <v>3.3333333333333335</v>
      </c>
      <c r="O12" s="41">
        <f>(COUNTIFS(集計用!$U:$U, "*, "&amp;O$4&amp;", *",集計用!$G:$G,"*, "&amp;$C12&amp;", *")-COUNTIFS(集計用!$U:$U, "*, "&amp;O$4&amp;", *",集計用!$G:$G,"*, "&amp;$C12&amp;", *",集計用!$U:$U, "*英語を日常的に*"))/$B12*100</f>
        <v>0</v>
      </c>
      <c r="P12" s="41">
        <f>(COUNTIFS(集計用!$U:$U, "*, "&amp;P$4&amp;", *",集計用!$G:$G,"*, "&amp;$C12&amp;", *")-COUNTIFS(集計用!$U:$U, "*, "&amp;P$4&amp;", *",集計用!$G:$G,"*, "&amp;$C12&amp;", *",集計用!$U:$U, "*英語を日常的に*"))/$B12*100</f>
        <v>0</v>
      </c>
      <c r="Q12" s="41">
        <f>(COUNTIFS(集計用!$U:$U, "*, "&amp;Q$4&amp;", *",集計用!$G:$G,"*, "&amp;$C12&amp;", *")-COUNTIFS(集計用!$U:$U, "*, "&amp;Q$4&amp;", *",集計用!$G:$G,"*, "&amp;$C12&amp;", *",集計用!$U:$U, "*英語を日常的に*"))/$B12*100</f>
        <v>0</v>
      </c>
      <c r="R12" s="41">
        <f>(COUNTIFS(集計用!$U:$U, "*, "&amp;R$4&amp;", *",集計用!$G:$G,"*, "&amp;$C12&amp;", *")-COUNTIFS(集計用!$U:$U, "*, "&amp;R$4&amp;", *",集計用!$G:$G,"*, "&amp;$C12&amp;", *",集計用!$U:$U, "*英語を日常的に*"))/$B12*100</f>
        <v>0</v>
      </c>
    </row>
    <row r="13" spans="1:18" ht="15.75" customHeight="1">
      <c r="A13" s="39">
        <v>1</v>
      </c>
      <c r="B13" s="39">
        <f>(COUNTIFS(集計用!$G:$G,"*, "&amp;$C13&amp;",*"))-COUNTIFS(集計用!U:U, "*英語を日常的に*",集計用!$G:$G,"*, "&amp;$C13&amp;",*")</f>
        <v>23</v>
      </c>
      <c r="C13" s="42" t="s">
        <v>7</v>
      </c>
      <c r="D13" s="41">
        <f>(COUNTIFS(集計用!$U:$U, "*, "&amp;D$4&amp;", *",集計用!$G:$G,"*, "&amp;$C13&amp;", *")-COUNTIFS(集計用!$U:$U, "*, "&amp;D$4&amp;", *",集計用!$G:$G,"*, "&amp;$C13&amp;", *",集計用!$U:$U, "*英語を日常的に*"))/$B13*100</f>
        <v>34.782608695652172</v>
      </c>
      <c r="E13" s="41">
        <f>(COUNTIFS(集計用!$U:$U, "*, "&amp;E$4&amp;", *",集計用!$G:$G,"*, "&amp;$C13&amp;", *")-COUNTIFS(集計用!$U:$U, "*, "&amp;E$4&amp;", *",集計用!$G:$G,"*, "&amp;$C13&amp;", *",集計用!$U:$U, "*英語を日常的に*"))/$B13*100</f>
        <v>52.173913043478258</v>
      </c>
      <c r="F13" s="41">
        <f>(COUNTIFS(集計用!$U:$U, "*, "&amp;F$4&amp;", *",集計用!$G:$G,"*, "&amp;$C13&amp;", *")-COUNTIFS(集計用!$U:$U, "*, "&amp;F$4&amp;", *",集計用!$G:$G,"*, "&amp;$C13&amp;", *",集計用!$U:$U, "*英語を日常的に*"))/$B13*100</f>
        <v>21.739130434782609</v>
      </c>
      <c r="G13" s="41">
        <f>(COUNTIFS(集計用!$U:$U, "*, "&amp;G$4&amp;", *",集計用!$G:$G,"*, "&amp;$C13&amp;", *")-COUNTIFS(集計用!$U:$U, "*, "&amp;G$4&amp;", *",集計用!$G:$G,"*, "&amp;$C13&amp;", *",集計用!$U:$U, "*英語を日常的に*"))/$B13*100</f>
        <v>17.391304347826086</v>
      </c>
      <c r="H13" s="41">
        <f>(COUNTIFS(集計用!$U:$U, "*, "&amp;H$4&amp;", *",集計用!$G:$G,"*, "&amp;$C13&amp;", *")-COUNTIFS(集計用!$U:$U, "*, "&amp;H$4&amp;", *",集計用!$G:$G,"*, "&amp;$C13&amp;", *",集計用!$U:$U, "*英語を日常的に*"))/$B13*100</f>
        <v>13.043478260869565</v>
      </c>
      <c r="I13" s="41">
        <f>(COUNTIFS(集計用!$U:$U, "*, "&amp;I$4&amp;", *",集計用!$G:$G,"*, "&amp;$C13&amp;", *")-COUNTIFS(集計用!$U:$U, "*, "&amp;I$4&amp;", *",集計用!$G:$G,"*, "&amp;$C13&amp;", *",集計用!$U:$U, "*英語を日常的に*"))/$B13*100</f>
        <v>8.695652173913043</v>
      </c>
      <c r="J13" s="41">
        <f>(COUNTIFS(集計用!$U:$U, "*, "&amp;J$4&amp;", *",集計用!$G:$G,"*, "&amp;$C13&amp;", *")-COUNTIFS(集計用!$U:$U, "*, "&amp;J$4&amp;", *",集計用!$G:$G,"*, "&amp;$C13&amp;", *",集計用!$U:$U, "*英語を日常的に*"))/$B13*100</f>
        <v>8.695652173913043</v>
      </c>
      <c r="K13" s="41">
        <f>(COUNTIFS(集計用!$U:$U, "*, "&amp;K$4&amp;", *",集計用!$G:$G,"*, "&amp;$C13&amp;", *")-COUNTIFS(集計用!$U:$U, "*, "&amp;K$4&amp;", *",集計用!$G:$G,"*, "&amp;$C13&amp;", *",集計用!$U:$U, "*英語を日常的に*"))/$B13*100</f>
        <v>0</v>
      </c>
      <c r="L13" s="41">
        <f>(COUNTIFS(集計用!$U:$U, "*, "&amp;L$4&amp;", *",集計用!$G:$G,"*, "&amp;$C13&amp;", *")-COUNTIFS(集計用!$U:$U, "*, "&amp;L$4&amp;", *",集計用!$G:$G,"*, "&amp;$C13&amp;", *",集計用!$U:$U, "*英語を日常的に*"))/$B13*100</f>
        <v>0</v>
      </c>
      <c r="M13" s="41">
        <f>(COUNTIFS(集計用!$U:$U, "*, "&amp;M$4&amp;", *",集計用!$G:$G,"*, "&amp;$C13&amp;", *")-COUNTIFS(集計用!$U:$U, "*, "&amp;M$4&amp;", *",集計用!$G:$G,"*, "&amp;$C13&amp;", *",集計用!$U:$U, "*英語を日常的に*"))/$B13*100</f>
        <v>0</v>
      </c>
      <c r="N13" s="41">
        <f>(COUNTIFS(集計用!$U:$U, "*, "&amp;N$4&amp;", *",集計用!$G:$G,"*, "&amp;$C13&amp;", *")-COUNTIFS(集計用!$U:$U, "*, "&amp;N$4&amp;", *",集計用!$G:$G,"*, "&amp;$C13&amp;", *",集計用!$U:$U, "*英語を日常的に*"))/$B13*100</f>
        <v>4.3478260869565215</v>
      </c>
      <c r="O13" s="41">
        <f>(COUNTIFS(集計用!$U:$U, "*, "&amp;O$4&amp;", *",集計用!$G:$G,"*, "&amp;$C13&amp;", *")-COUNTIFS(集計用!$U:$U, "*, "&amp;O$4&amp;", *",集計用!$G:$G,"*, "&amp;$C13&amp;", *",集計用!$U:$U, "*英語を日常的に*"))/$B13*100</f>
        <v>0</v>
      </c>
      <c r="P13" s="41">
        <f>(COUNTIFS(集計用!$U:$U, "*, "&amp;P$4&amp;", *",集計用!$G:$G,"*, "&amp;$C13&amp;", *")-COUNTIFS(集計用!$U:$U, "*, "&amp;P$4&amp;", *",集計用!$G:$G,"*, "&amp;$C13&amp;", *",集計用!$U:$U, "*英語を日常的に*"))/$B13*100</f>
        <v>0</v>
      </c>
      <c r="Q13" s="41">
        <f>(COUNTIFS(集計用!$U:$U, "*, "&amp;Q$4&amp;", *",集計用!$G:$G,"*, "&amp;$C13&amp;", *")-COUNTIFS(集計用!$U:$U, "*, "&amp;Q$4&amp;", *",集計用!$G:$G,"*, "&amp;$C13&amp;", *",集計用!$U:$U, "*英語を日常的に*"))/$B13*100</f>
        <v>0</v>
      </c>
      <c r="R13" s="41">
        <f>(COUNTIFS(集計用!$U:$U, "*, "&amp;R$4&amp;", *",集計用!$G:$G,"*, "&amp;$C13&amp;", *")-COUNTIFS(集計用!$U:$U, "*, "&amp;R$4&amp;", *",集計用!$G:$G,"*, "&amp;$C13&amp;", *",集計用!$U:$U, "*英語を日常的に*"))/$B13*100</f>
        <v>0</v>
      </c>
    </row>
    <row r="14" spans="1:18" ht="15.75" customHeight="1">
      <c r="A14" s="39">
        <v>3</v>
      </c>
      <c r="B14" s="39">
        <f>(COUNTIFS(集計用!$G:$G,"*, "&amp;$C14&amp;",*"))-COUNTIFS(集計用!U:U, "*英語を日常的に*",集計用!$G:$G,"*, "&amp;$C14&amp;",*")</f>
        <v>26</v>
      </c>
      <c r="C14" s="42" t="s">
        <v>8</v>
      </c>
      <c r="D14" s="41">
        <f>(COUNTIFS(集計用!$U:$U, "*, "&amp;D$4&amp;", *",集計用!$G:$G,"*, "&amp;$C14&amp;", *")-COUNTIFS(集計用!$U:$U, "*, "&amp;D$4&amp;", *",集計用!$G:$G,"*, "&amp;$C14&amp;", *",集計用!$U:$U, "*英語を日常的に*"))/$B14*100</f>
        <v>53.846153846153847</v>
      </c>
      <c r="E14" s="41">
        <f>(COUNTIFS(集計用!$U:$U, "*, "&amp;E$4&amp;", *",集計用!$G:$G,"*, "&amp;$C14&amp;", *")-COUNTIFS(集計用!$U:$U, "*, "&amp;E$4&amp;", *",集計用!$G:$G,"*, "&amp;$C14&amp;", *",集計用!$U:$U, "*英語を日常的に*"))/$B14*100</f>
        <v>61.53846153846154</v>
      </c>
      <c r="F14" s="41">
        <f>(COUNTIFS(集計用!$U:$U, "*, "&amp;F$4&amp;", *",集計用!$G:$G,"*, "&amp;$C14&amp;", *")-COUNTIFS(集計用!$U:$U, "*, "&amp;F$4&amp;", *",集計用!$G:$G,"*, "&amp;$C14&amp;", *",集計用!$U:$U, "*英語を日常的に*"))/$B14*100</f>
        <v>15.384615384615385</v>
      </c>
      <c r="G14" s="41">
        <f>(COUNTIFS(集計用!$U:$U, "*, "&amp;G$4&amp;", *",集計用!$G:$G,"*, "&amp;$C14&amp;", *")-COUNTIFS(集計用!$U:$U, "*, "&amp;G$4&amp;", *",集計用!$G:$G,"*, "&amp;$C14&amp;", *",集計用!$U:$U, "*英語を日常的に*"))/$B14*100</f>
        <v>11.538461538461538</v>
      </c>
      <c r="H14" s="41">
        <f>(COUNTIFS(集計用!$U:$U, "*, "&amp;H$4&amp;", *",集計用!$G:$G,"*, "&amp;$C14&amp;", *")-COUNTIFS(集計用!$U:$U, "*, "&amp;H$4&amp;", *",集計用!$G:$G,"*, "&amp;$C14&amp;", *",集計用!$U:$U, "*英語を日常的に*"))/$B14*100</f>
        <v>15.384615384615385</v>
      </c>
      <c r="I14" s="41">
        <f>(COUNTIFS(集計用!$U:$U, "*, "&amp;I$4&amp;", *",集計用!$G:$G,"*, "&amp;$C14&amp;", *")-COUNTIFS(集計用!$U:$U, "*, "&amp;I$4&amp;", *",集計用!$G:$G,"*, "&amp;$C14&amp;", *",集計用!$U:$U, "*英語を日常的に*"))/$B14*100</f>
        <v>15.384615384615385</v>
      </c>
      <c r="J14" s="41">
        <f>(COUNTIFS(集計用!$U:$U, "*, "&amp;J$4&amp;", *",集計用!$G:$G,"*, "&amp;$C14&amp;", *")-COUNTIFS(集計用!$U:$U, "*, "&amp;J$4&amp;", *",集計用!$G:$G,"*, "&amp;$C14&amp;", *",集計用!$U:$U, "*英語を日常的に*"))/$B14*100</f>
        <v>0</v>
      </c>
      <c r="K14" s="41">
        <f>(COUNTIFS(集計用!$U:$U, "*, "&amp;K$4&amp;", *",集計用!$G:$G,"*, "&amp;$C14&amp;", *")-COUNTIFS(集計用!$U:$U, "*, "&amp;K$4&amp;", *",集計用!$G:$G,"*, "&amp;$C14&amp;", *",集計用!$U:$U, "*英語を日常的に*"))/$B14*100</f>
        <v>7.6923076923076925</v>
      </c>
      <c r="L14" s="41">
        <f>(COUNTIFS(集計用!$U:$U, "*, "&amp;L$4&amp;", *",集計用!$G:$G,"*, "&amp;$C14&amp;", *")-COUNTIFS(集計用!$U:$U, "*, "&amp;L$4&amp;", *",集計用!$G:$G,"*, "&amp;$C14&amp;", *",集計用!$U:$U, "*英語を日常的に*"))/$B14*100</f>
        <v>0</v>
      </c>
      <c r="M14" s="41">
        <f>(COUNTIFS(集計用!$U:$U, "*, "&amp;M$4&amp;", *",集計用!$G:$G,"*, "&amp;$C14&amp;", *")-COUNTIFS(集計用!$U:$U, "*, "&amp;M$4&amp;", *",集計用!$G:$G,"*, "&amp;$C14&amp;", *",集計用!$U:$U, "*英語を日常的に*"))/$B14*100</f>
        <v>0</v>
      </c>
      <c r="N14" s="41">
        <f>(COUNTIFS(集計用!$U:$U, "*, "&amp;N$4&amp;", *",集計用!$G:$G,"*, "&amp;$C14&amp;", *")-COUNTIFS(集計用!$U:$U, "*, "&amp;N$4&amp;", *",集計用!$G:$G,"*, "&amp;$C14&amp;", *",集計用!$U:$U, "*英語を日常的に*"))/$B14*100</f>
        <v>0</v>
      </c>
      <c r="O14" s="41">
        <f>(COUNTIFS(集計用!$U:$U, "*, "&amp;O$4&amp;", *",集計用!$G:$G,"*, "&amp;$C14&amp;", *")-COUNTIFS(集計用!$U:$U, "*, "&amp;O$4&amp;", *",集計用!$G:$G,"*, "&amp;$C14&amp;", *",集計用!$U:$U, "*英語を日常的に*"))/$B14*100</f>
        <v>0</v>
      </c>
      <c r="P14" s="41">
        <f>(COUNTIFS(集計用!$U:$U, "*, "&amp;P$4&amp;", *",集計用!$G:$G,"*, "&amp;$C14&amp;", *")-COUNTIFS(集計用!$U:$U, "*, "&amp;P$4&amp;", *",集計用!$G:$G,"*, "&amp;$C14&amp;", *",集計用!$U:$U, "*英語を日常的に*"))/$B14*100</f>
        <v>0</v>
      </c>
      <c r="Q14" s="41">
        <f>(COUNTIFS(集計用!$U:$U, "*, "&amp;Q$4&amp;", *",集計用!$G:$G,"*, "&amp;$C14&amp;", *")-COUNTIFS(集計用!$U:$U, "*, "&amp;Q$4&amp;", *",集計用!$G:$G,"*, "&amp;$C14&amp;", *",集計用!$U:$U, "*英語を日常的に*"))/$B14*100</f>
        <v>0</v>
      </c>
      <c r="R14" s="41">
        <f>(COUNTIFS(集計用!$U:$U, "*, "&amp;R$4&amp;", *",集計用!$G:$G,"*, "&amp;$C14&amp;", *")-COUNTIFS(集計用!$U:$U, "*, "&amp;R$4&amp;", *",集計用!$G:$G,"*, "&amp;$C14&amp;", *",集計用!$U:$U, "*英語を日常的に*"))/$B14*100</f>
        <v>0</v>
      </c>
    </row>
    <row r="15" spans="1:18" ht="15.75" customHeight="1">
      <c r="A15" s="39">
        <v>2</v>
      </c>
      <c r="B15" s="39">
        <f>(COUNTIFS(集計用!$G:$G,"*, "&amp;$C15&amp;",*"))-COUNTIFS(集計用!U:U, "*英語を日常的に*",集計用!$G:$G,"*, "&amp;$C15&amp;",*")</f>
        <v>21</v>
      </c>
      <c r="C15" s="42" t="s">
        <v>9</v>
      </c>
      <c r="D15" s="41">
        <f>(COUNTIFS(集計用!$U:$U, "*, "&amp;D$4&amp;", *",集計用!$G:$G,"*, "&amp;$C15&amp;", *")-COUNTIFS(集計用!$U:$U, "*, "&amp;D$4&amp;", *",集計用!$G:$G,"*, "&amp;$C15&amp;", *",集計用!$U:$U, "*英語を日常的に*"))/$B15*100</f>
        <v>47.619047619047613</v>
      </c>
      <c r="E15" s="41">
        <f>(COUNTIFS(集計用!$U:$U, "*, "&amp;E$4&amp;", *",集計用!$G:$G,"*, "&amp;$C15&amp;", *")-COUNTIFS(集計用!$U:$U, "*, "&amp;E$4&amp;", *",集計用!$G:$G,"*, "&amp;$C15&amp;", *",集計用!$U:$U, "*英語を日常的に*"))/$B15*100</f>
        <v>42.857142857142854</v>
      </c>
      <c r="F15" s="41">
        <f>(COUNTIFS(集計用!$U:$U, "*, "&amp;F$4&amp;", *",集計用!$G:$G,"*, "&amp;$C15&amp;", *")-COUNTIFS(集計用!$U:$U, "*, "&amp;F$4&amp;", *",集計用!$G:$G,"*, "&amp;$C15&amp;", *",集計用!$U:$U, "*英語を日常的に*"))/$B15*100</f>
        <v>9.5238095238095237</v>
      </c>
      <c r="G15" s="41">
        <f>(COUNTIFS(集計用!$U:$U, "*, "&amp;G$4&amp;", *",集計用!$G:$G,"*, "&amp;$C15&amp;", *")-COUNTIFS(集計用!$U:$U, "*, "&amp;G$4&amp;", *",集計用!$G:$G,"*, "&amp;$C15&amp;", *",集計用!$U:$U, "*英語を日常的に*"))/$B15*100</f>
        <v>19.047619047619047</v>
      </c>
      <c r="H15" s="41">
        <f>(COUNTIFS(集計用!$U:$U, "*, "&amp;H$4&amp;", *",集計用!$G:$G,"*, "&amp;$C15&amp;", *")-COUNTIFS(集計用!$U:$U, "*, "&amp;H$4&amp;", *",集計用!$G:$G,"*, "&amp;$C15&amp;", *",集計用!$U:$U, "*英語を日常的に*"))/$B15*100</f>
        <v>23.809523809523807</v>
      </c>
      <c r="I15" s="41">
        <f>(COUNTIFS(集計用!$U:$U, "*, "&amp;I$4&amp;", *",集計用!$G:$G,"*, "&amp;$C15&amp;", *")-COUNTIFS(集計用!$U:$U, "*, "&amp;I$4&amp;", *",集計用!$G:$G,"*, "&amp;$C15&amp;", *",集計用!$U:$U, "*英語を日常的に*"))/$B15*100</f>
        <v>14.285714285714285</v>
      </c>
      <c r="J15" s="41">
        <f>(COUNTIFS(集計用!$U:$U, "*, "&amp;J$4&amp;", *",集計用!$G:$G,"*, "&amp;$C15&amp;", *")-COUNTIFS(集計用!$U:$U, "*, "&amp;J$4&amp;", *",集計用!$G:$G,"*, "&amp;$C15&amp;", *",集計用!$U:$U, "*英語を日常的に*"))/$B15*100</f>
        <v>14.285714285714285</v>
      </c>
      <c r="K15" s="41">
        <f>(COUNTIFS(集計用!$U:$U, "*, "&amp;K$4&amp;", *",集計用!$G:$G,"*, "&amp;$C15&amp;", *")-COUNTIFS(集計用!$U:$U, "*, "&amp;K$4&amp;", *",集計用!$G:$G,"*, "&amp;$C15&amp;", *",集計用!$U:$U, "*英語を日常的に*"))/$B15*100</f>
        <v>4.7619047619047619</v>
      </c>
      <c r="L15" s="41">
        <f>(COUNTIFS(集計用!$U:$U, "*, "&amp;L$4&amp;", *",集計用!$G:$G,"*, "&amp;$C15&amp;", *")-COUNTIFS(集計用!$U:$U, "*, "&amp;L$4&amp;", *",集計用!$G:$G,"*, "&amp;$C15&amp;", *",集計用!$U:$U, "*英語を日常的に*"))/$B15*100</f>
        <v>0</v>
      </c>
      <c r="M15" s="41">
        <f>(COUNTIFS(集計用!$U:$U, "*, "&amp;M$4&amp;", *",集計用!$G:$G,"*, "&amp;$C15&amp;", *")-COUNTIFS(集計用!$U:$U, "*, "&amp;M$4&amp;", *",集計用!$G:$G,"*, "&amp;$C15&amp;", *",集計用!$U:$U, "*英語を日常的に*"))/$B15*100</f>
        <v>0</v>
      </c>
      <c r="N15" s="41">
        <f>(COUNTIFS(集計用!$U:$U, "*, "&amp;N$4&amp;", *",集計用!$G:$G,"*, "&amp;$C15&amp;", *")-COUNTIFS(集計用!$U:$U, "*, "&amp;N$4&amp;", *",集計用!$G:$G,"*, "&amp;$C15&amp;", *",集計用!$U:$U, "*英語を日常的に*"))/$B15*100</f>
        <v>0</v>
      </c>
      <c r="O15" s="41">
        <f>(COUNTIFS(集計用!$U:$U, "*, "&amp;O$4&amp;", *",集計用!$G:$G,"*, "&amp;$C15&amp;", *")-COUNTIFS(集計用!$U:$U, "*, "&amp;O$4&amp;", *",集計用!$G:$G,"*, "&amp;$C15&amp;", *",集計用!$U:$U, "*英語を日常的に*"))/$B15*100</f>
        <v>0</v>
      </c>
      <c r="P15" s="41">
        <f>(COUNTIFS(集計用!$U:$U, "*, "&amp;P$4&amp;", *",集計用!$G:$G,"*, "&amp;$C15&amp;", *")-COUNTIFS(集計用!$U:$U, "*, "&amp;P$4&amp;", *",集計用!$G:$G,"*, "&amp;$C15&amp;", *",集計用!$U:$U, "*英語を日常的に*"))/$B15*100</f>
        <v>0</v>
      </c>
      <c r="Q15" s="41">
        <f>(COUNTIFS(集計用!$U:$U, "*, "&amp;Q$4&amp;", *",集計用!$G:$G,"*, "&amp;$C15&amp;", *")-COUNTIFS(集計用!$U:$U, "*, "&amp;Q$4&amp;", *",集計用!$G:$G,"*, "&amp;$C15&amp;", *",集計用!$U:$U, "*英語を日常的に*"))/$B15*100</f>
        <v>0</v>
      </c>
      <c r="R15" s="41">
        <f>(COUNTIFS(集計用!$U:$U, "*, "&amp;R$4&amp;", *",集計用!$G:$G,"*, "&amp;$C15&amp;", *")-COUNTIFS(集計用!$U:$U, "*, "&amp;R$4&amp;", *",集計用!$G:$G,"*, "&amp;$C15&amp;", *",集計用!$U:$U, "*英語を日常的に*"))/$B15*100</f>
        <v>0</v>
      </c>
    </row>
    <row r="16" spans="1:18" ht="15.75" customHeight="1">
      <c r="A16" s="39">
        <v>5</v>
      </c>
      <c r="B16" s="39">
        <f>(COUNTIFS(集計用!$G:$G,"*, "&amp;$C16&amp;",*"))-COUNTIFS(集計用!U:U, "*英語を日常的に*",集計用!$G:$G,"*, "&amp;$C16&amp;",*")</f>
        <v>20</v>
      </c>
      <c r="C16" s="42" t="s">
        <v>10</v>
      </c>
      <c r="D16" s="41">
        <f>(COUNTIFS(集計用!$U:$U, "*, "&amp;D$4&amp;", *",集計用!$G:$G,"*, "&amp;$C16&amp;", *")-COUNTIFS(集計用!$U:$U, "*, "&amp;D$4&amp;", *",集計用!$G:$G,"*, "&amp;$C16&amp;", *",集計用!$U:$U, "*英語を日常的に*"))/$B16*100</f>
        <v>65</v>
      </c>
      <c r="E16" s="41">
        <f>(COUNTIFS(集計用!$U:$U, "*, "&amp;E$4&amp;", *",集計用!$G:$G,"*, "&amp;$C16&amp;", *")-COUNTIFS(集計用!$U:$U, "*, "&amp;E$4&amp;", *",集計用!$G:$G,"*, "&amp;$C16&amp;", *",集計用!$U:$U, "*英語を日常的に*"))/$B16*100</f>
        <v>40</v>
      </c>
      <c r="F16" s="41">
        <f>(COUNTIFS(集計用!$U:$U, "*, "&amp;F$4&amp;", *",集計用!$G:$G,"*, "&amp;$C16&amp;", *")-COUNTIFS(集計用!$U:$U, "*, "&amp;F$4&amp;", *",集計用!$G:$G,"*, "&amp;$C16&amp;", *",集計用!$U:$U, "*英語を日常的に*"))/$B16*100</f>
        <v>20</v>
      </c>
      <c r="G16" s="41">
        <f>(COUNTIFS(集計用!$U:$U, "*, "&amp;G$4&amp;", *",集計用!$G:$G,"*, "&amp;$C16&amp;", *")-COUNTIFS(集計用!$U:$U, "*, "&amp;G$4&amp;", *",集計用!$G:$G,"*, "&amp;$C16&amp;", *",集計用!$U:$U, "*英語を日常的に*"))/$B16*100</f>
        <v>5</v>
      </c>
      <c r="H16" s="41">
        <f>(COUNTIFS(集計用!$U:$U, "*, "&amp;H$4&amp;", *",集計用!$G:$G,"*, "&amp;$C16&amp;", *")-COUNTIFS(集計用!$U:$U, "*, "&amp;H$4&amp;", *",集計用!$G:$G,"*, "&amp;$C16&amp;", *",集計用!$U:$U, "*英語を日常的に*"))/$B16*100</f>
        <v>5</v>
      </c>
      <c r="I16" s="41">
        <f>(COUNTIFS(集計用!$U:$U, "*, "&amp;I$4&amp;", *",集計用!$G:$G,"*, "&amp;$C16&amp;", *")-COUNTIFS(集計用!$U:$U, "*, "&amp;I$4&amp;", *",集計用!$G:$G,"*, "&amp;$C16&amp;", *",集計用!$U:$U, "*英語を日常的に*"))/$B16*100</f>
        <v>25</v>
      </c>
      <c r="J16" s="41">
        <f>(COUNTIFS(集計用!$U:$U, "*, "&amp;J$4&amp;", *",集計用!$G:$G,"*, "&amp;$C16&amp;", *")-COUNTIFS(集計用!$U:$U, "*, "&amp;J$4&amp;", *",集計用!$G:$G,"*, "&amp;$C16&amp;", *",集計用!$U:$U, "*英語を日常的に*"))/$B16*100</f>
        <v>0</v>
      </c>
      <c r="K16" s="41">
        <f>(COUNTIFS(集計用!$U:$U, "*, "&amp;K$4&amp;", *",集計用!$G:$G,"*, "&amp;$C16&amp;", *")-COUNTIFS(集計用!$U:$U, "*, "&amp;K$4&amp;", *",集計用!$G:$G,"*, "&amp;$C16&amp;", *",集計用!$U:$U, "*英語を日常的に*"))/$B16*100</f>
        <v>5</v>
      </c>
      <c r="L16" s="41">
        <f>(COUNTIFS(集計用!$U:$U, "*, "&amp;L$4&amp;", *",集計用!$G:$G,"*, "&amp;$C16&amp;", *")-COUNTIFS(集計用!$U:$U, "*, "&amp;L$4&amp;", *",集計用!$G:$G,"*, "&amp;$C16&amp;", *",集計用!$U:$U, "*英語を日常的に*"))/$B16*100</f>
        <v>5</v>
      </c>
      <c r="M16" s="41">
        <f>(COUNTIFS(集計用!$U:$U, "*, "&amp;M$4&amp;", *",集計用!$G:$G,"*, "&amp;$C16&amp;", *")-COUNTIFS(集計用!$U:$U, "*, "&amp;M$4&amp;", *",集計用!$G:$G,"*, "&amp;$C16&amp;", *",集計用!$U:$U, "*英語を日常的に*"))/$B16*100</f>
        <v>0</v>
      </c>
      <c r="N16" s="41">
        <f>(COUNTIFS(集計用!$U:$U, "*, "&amp;N$4&amp;", *",集計用!$G:$G,"*, "&amp;$C16&amp;", *")-COUNTIFS(集計用!$U:$U, "*, "&amp;N$4&amp;", *",集計用!$G:$G,"*, "&amp;$C16&amp;", *",集計用!$U:$U, "*英語を日常的に*"))/$B16*100</f>
        <v>0</v>
      </c>
      <c r="O16" s="41">
        <f>(COUNTIFS(集計用!$U:$U, "*, "&amp;O$4&amp;", *",集計用!$G:$G,"*, "&amp;$C16&amp;", *")-COUNTIFS(集計用!$U:$U, "*, "&amp;O$4&amp;", *",集計用!$G:$G,"*, "&amp;$C16&amp;", *",集計用!$U:$U, "*英語を日常的に*"))/$B16*100</f>
        <v>0</v>
      </c>
      <c r="P16" s="41">
        <f>(COUNTIFS(集計用!$U:$U, "*, "&amp;P$4&amp;", *",集計用!$G:$G,"*, "&amp;$C16&amp;", *")-COUNTIFS(集計用!$U:$U, "*, "&amp;P$4&amp;", *",集計用!$G:$G,"*, "&amp;$C16&amp;", *",集計用!$U:$U, "*英語を日常的に*"))/$B16*100</f>
        <v>0</v>
      </c>
      <c r="Q16" s="41">
        <f>(COUNTIFS(集計用!$U:$U, "*, "&amp;Q$4&amp;", *",集計用!$G:$G,"*, "&amp;$C16&amp;", *")-COUNTIFS(集計用!$U:$U, "*, "&amp;Q$4&amp;", *",集計用!$G:$G,"*, "&amp;$C16&amp;", *",集計用!$U:$U, "*英語を日常的に*"))/$B16*100</f>
        <v>0</v>
      </c>
      <c r="R16" s="41">
        <f>(COUNTIFS(集計用!$U:$U, "*, "&amp;R$4&amp;", *",集計用!$G:$G,"*, "&amp;$C16&amp;", *")-COUNTIFS(集計用!$U:$U, "*, "&amp;R$4&amp;", *",集計用!$G:$G,"*, "&amp;$C16&amp;", *",集計用!$U:$U, "*英語を日常的に*"))/$B16*100</f>
        <v>0</v>
      </c>
    </row>
    <row r="17" spans="1:18" ht="15.75" customHeight="1">
      <c r="A17" s="39">
        <v>2</v>
      </c>
      <c r="B17" s="39">
        <f>(COUNTIFS(集計用!$G:$G,"*, "&amp;$C17&amp;",*"))-COUNTIFS(集計用!U:U, "*英語を日常的に*",集計用!$G:$G,"*, "&amp;$C17&amp;",*")</f>
        <v>15</v>
      </c>
      <c r="C17" s="42" t="s">
        <v>11</v>
      </c>
      <c r="D17" s="41">
        <f>(COUNTIFS(集計用!$U:$U, "*, "&amp;D$4&amp;", *",集計用!$G:$G,"*, "&amp;$C17&amp;", *")-COUNTIFS(集計用!$U:$U, "*, "&amp;D$4&amp;", *",集計用!$G:$G,"*, "&amp;$C17&amp;", *",集計用!$U:$U, "*英語を日常的に*"))/$B17*100</f>
        <v>60</v>
      </c>
      <c r="E17" s="41">
        <f>(COUNTIFS(集計用!$U:$U, "*, "&amp;E$4&amp;", *",集計用!$G:$G,"*, "&amp;$C17&amp;", *")-COUNTIFS(集計用!$U:$U, "*, "&amp;E$4&amp;", *",集計用!$G:$G,"*, "&amp;$C17&amp;", *",集計用!$U:$U, "*英語を日常的に*"))/$B17*100</f>
        <v>40</v>
      </c>
      <c r="F17" s="41">
        <f>(COUNTIFS(集計用!$U:$U, "*, "&amp;F$4&amp;", *",集計用!$G:$G,"*, "&amp;$C17&amp;", *")-COUNTIFS(集計用!$U:$U, "*, "&amp;F$4&amp;", *",集計用!$G:$G,"*, "&amp;$C17&amp;", *",集計用!$U:$U, "*英語を日常的に*"))/$B17*100</f>
        <v>20</v>
      </c>
      <c r="G17" s="41">
        <f>(COUNTIFS(集計用!$U:$U, "*, "&amp;G$4&amp;", *",集計用!$G:$G,"*, "&amp;$C17&amp;", *")-COUNTIFS(集計用!$U:$U, "*, "&amp;G$4&amp;", *",集計用!$G:$G,"*, "&amp;$C17&amp;", *",集計用!$U:$U, "*英語を日常的に*"))/$B17*100</f>
        <v>26.666666666666668</v>
      </c>
      <c r="H17" s="41">
        <f>(COUNTIFS(集計用!$U:$U, "*, "&amp;H$4&amp;", *",集計用!$G:$G,"*, "&amp;$C17&amp;", *")-COUNTIFS(集計用!$U:$U, "*, "&amp;H$4&amp;", *",集計用!$G:$G,"*, "&amp;$C17&amp;", *",集計用!$U:$U, "*英語を日常的に*"))/$B17*100</f>
        <v>20</v>
      </c>
      <c r="I17" s="41">
        <f>(COUNTIFS(集計用!$U:$U, "*, "&amp;I$4&amp;", *",集計用!$G:$G,"*, "&amp;$C17&amp;", *")-COUNTIFS(集計用!$U:$U, "*, "&amp;I$4&amp;", *",集計用!$G:$G,"*, "&amp;$C17&amp;", *",集計用!$U:$U, "*英語を日常的に*"))/$B17*100</f>
        <v>6.666666666666667</v>
      </c>
      <c r="J17" s="41">
        <f>(COUNTIFS(集計用!$U:$U, "*, "&amp;J$4&amp;", *",集計用!$G:$G,"*, "&amp;$C17&amp;", *")-COUNTIFS(集計用!$U:$U, "*, "&amp;J$4&amp;", *",集計用!$G:$G,"*, "&amp;$C17&amp;", *",集計用!$U:$U, "*英語を日常的に*"))/$B17*100</f>
        <v>13.333333333333334</v>
      </c>
      <c r="K17" s="41">
        <f>(COUNTIFS(集計用!$U:$U, "*, "&amp;K$4&amp;", *",集計用!$G:$G,"*, "&amp;$C17&amp;", *")-COUNTIFS(集計用!$U:$U, "*, "&amp;K$4&amp;", *",集計用!$G:$G,"*, "&amp;$C17&amp;", *",集計用!$U:$U, "*英語を日常的に*"))/$B17*100</f>
        <v>6.666666666666667</v>
      </c>
      <c r="L17" s="41">
        <f>(COUNTIFS(集計用!$U:$U, "*, "&amp;L$4&amp;", *",集計用!$G:$G,"*, "&amp;$C17&amp;", *")-COUNTIFS(集計用!$U:$U, "*, "&amp;L$4&amp;", *",集計用!$G:$G,"*, "&amp;$C17&amp;", *",集計用!$U:$U, "*英語を日常的に*"))/$B17*100</f>
        <v>6.666666666666667</v>
      </c>
      <c r="M17" s="41">
        <f>(COUNTIFS(集計用!$U:$U, "*, "&amp;M$4&amp;", *",集計用!$G:$G,"*, "&amp;$C17&amp;", *")-COUNTIFS(集計用!$U:$U, "*, "&amp;M$4&amp;", *",集計用!$G:$G,"*, "&amp;$C17&amp;", *",集計用!$U:$U, "*英語を日常的に*"))/$B17*100</f>
        <v>0</v>
      </c>
      <c r="N17" s="41">
        <f>(COUNTIFS(集計用!$U:$U, "*, "&amp;N$4&amp;", *",集計用!$G:$G,"*, "&amp;$C17&amp;", *")-COUNTIFS(集計用!$U:$U, "*, "&amp;N$4&amp;", *",集計用!$G:$G,"*, "&amp;$C17&amp;", *",集計用!$U:$U, "*英語を日常的に*"))/$B17*100</f>
        <v>0</v>
      </c>
      <c r="O17" s="41">
        <f>(COUNTIFS(集計用!$U:$U, "*, "&amp;O$4&amp;", *",集計用!$G:$G,"*, "&amp;$C17&amp;", *")-COUNTIFS(集計用!$U:$U, "*, "&amp;O$4&amp;", *",集計用!$G:$G,"*, "&amp;$C17&amp;", *",集計用!$U:$U, "*英語を日常的に*"))/$B17*100</f>
        <v>0</v>
      </c>
      <c r="P17" s="41">
        <f>(COUNTIFS(集計用!$U:$U, "*, "&amp;P$4&amp;", *",集計用!$G:$G,"*, "&amp;$C17&amp;", *")-COUNTIFS(集計用!$U:$U, "*, "&amp;P$4&amp;", *",集計用!$G:$G,"*, "&amp;$C17&amp;", *",集計用!$U:$U, "*英語を日常的に*"))/$B17*100</f>
        <v>0</v>
      </c>
      <c r="Q17" s="41">
        <f>(COUNTIFS(集計用!$U:$U, "*, "&amp;Q$4&amp;", *",集計用!$G:$G,"*, "&amp;$C17&amp;", *")-COUNTIFS(集計用!$U:$U, "*, "&amp;Q$4&amp;", *",集計用!$G:$G,"*, "&amp;$C17&amp;", *",集計用!$U:$U, "*英語を日常的に*"))/$B17*100</f>
        <v>0</v>
      </c>
      <c r="R17" s="41">
        <f>(COUNTIFS(集計用!$U:$U, "*, "&amp;R$4&amp;", *",集計用!$G:$G,"*, "&amp;$C17&amp;", *")-COUNTIFS(集計用!$U:$U, "*, "&amp;R$4&amp;", *",集計用!$G:$G,"*, "&amp;$C17&amp;", *",集計用!$U:$U, "*英語を日常的に*"))/$B17*100</f>
        <v>0</v>
      </c>
    </row>
    <row r="18" spans="1:18" ht="15.75" customHeight="1">
      <c r="A18" s="39">
        <v>6</v>
      </c>
      <c r="B18" s="39">
        <f>(COUNTIFS(集計用!$G:$G,"*, "&amp;$C18&amp;",*"))-COUNTIFS(集計用!U:U, "*英語を日常的に*",集計用!$G:$G,"*, "&amp;$C18&amp;",*")</f>
        <v>22</v>
      </c>
      <c r="C18" s="42" t="s">
        <v>12</v>
      </c>
      <c r="D18" s="41">
        <f>(COUNTIFS(集計用!$U:$U, "*, "&amp;D$4&amp;", *",集計用!$G:$G,"*, "&amp;$C18&amp;", *")-COUNTIFS(集計用!$U:$U, "*, "&amp;D$4&amp;", *",集計用!$G:$G,"*, "&amp;$C18&amp;", *",集計用!$U:$U, "*英語を日常的に*"))/$B18*100</f>
        <v>50</v>
      </c>
      <c r="E18" s="41">
        <f>(COUNTIFS(集計用!$U:$U, "*, "&amp;E$4&amp;", *",集計用!$G:$G,"*, "&amp;$C18&amp;", *")-COUNTIFS(集計用!$U:$U, "*, "&amp;E$4&amp;", *",集計用!$G:$G,"*, "&amp;$C18&amp;", *",集計用!$U:$U, "*英語を日常的に*"))/$B18*100</f>
        <v>18.181818181818183</v>
      </c>
      <c r="F18" s="41">
        <f>(COUNTIFS(集計用!$U:$U, "*, "&amp;F$4&amp;", *",集計用!$G:$G,"*, "&amp;$C18&amp;", *")-COUNTIFS(集計用!$U:$U, "*, "&amp;F$4&amp;", *",集計用!$G:$G,"*, "&amp;$C18&amp;", *",集計用!$U:$U, "*英語を日常的に*"))/$B18*100</f>
        <v>77.272727272727266</v>
      </c>
      <c r="G18" s="41">
        <f>(COUNTIFS(集計用!$U:$U, "*, "&amp;G$4&amp;", *",集計用!$G:$G,"*, "&amp;$C18&amp;", *")-COUNTIFS(集計用!$U:$U, "*, "&amp;G$4&amp;", *",集計用!$G:$G,"*, "&amp;$C18&amp;", *",集計用!$U:$U, "*英語を日常的に*"))/$B18*100</f>
        <v>9.0909090909090917</v>
      </c>
      <c r="H18" s="41">
        <f>(COUNTIFS(集計用!$U:$U, "*, "&amp;H$4&amp;", *",集計用!$G:$G,"*, "&amp;$C18&amp;", *")-COUNTIFS(集計用!$U:$U, "*, "&amp;H$4&amp;", *",集計用!$G:$G,"*, "&amp;$C18&amp;", *",集計用!$U:$U, "*英語を日常的に*"))/$B18*100</f>
        <v>27.27272727272727</v>
      </c>
      <c r="I18" s="41">
        <f>(COUNTIFS(集計用!$U:$U, "*, "&amp;I$4&amp;", *",集計用!$G:$G,"*, "&amp;$C18&amp;", *")-COUNTIFS(集計用!$U:$U, "*, "&amp;I$4&amp;", *",集計用!$G:$G,"*, "&amp;$C18&amp;", *",集計用!$U:$U, "*英語を日常的に*"))/$B18*100</f>
        <v>4.5454545454545459</v>
      </c>
      <c r="J18" s="41">
        <f>(COUNTIFS(集計用!$U:$U, "*, "&amp;J$4&amp;", *",集計用!$G:$G,"*, "&amp;$C18&amp;", *")-COUNTIFS(集計用!$U:$U, "*, "&amp;J$4&amp;", *",集計用!$G:$G,"*, "&amp;$C18&amp;", *",集計用!$U:$U, "*英語を日常的に*"))/$B18*100</f>
        <v>9.0909090909090917</v>
      </c>
      <c r="K18" s="41">
        <f>(COUNTIFS(集計用!$U:$U, "*, "&amp;K$4&amp;", *",集計用!$G:$G,"*, "&amp;$C18&amp;", *")-COUNTIFS(集計用!$U:$U, "*, "&amp;K$4&amp;", *",集計用!$G:$G,"*, "&amp;$C18&amp;", *",集計用!$U:$U, "*英語を日常的に*"))/$B18*100</f>
        <v>4.5454545454545459</v>
      </c>
      <c r="L18" s="41">
        <f>(COUNTIFS(集計用!$U:$U, "*, "&amp;L$4&amp;", *",集計用!$G:$G,"*, "&amp;$C18&amp;", *")-COUNTIFS(集計用!$U:$U, "*, "&amp;L$4&amp;", *",集計用!$G:$G,"*, "&amp;$C18&amp;", *",集計用!$U:$U, "*英語を日常的に*"))/$B18*100</f>
        <v>0</v>
      </c>
      <c r="M18" s="41">
        <f>(COUNTIFS(集計用!$U:$U, "*, "&amp;M$4&amp;", *",集計用!$G:$G,"*, "&amp;$C18&amp;", *")-COUNTIFS(集計用!$U:$U, "*, "&amp;M$4&amp;", *",集計用!$G:$G,"*, "&amp;$C18&amp;", *",集計用!$U:$U, "*英語を日常的に*"))/$B18*100</f>
        <v>0</v>
      </c>
      <c r="N18" s="41">
        <f>(COUNTIFS(集計用!$U:$U, "*, "&amp;N$4&amp;", *",集計用!$G:$G,"*, "&amp;$C18&amp;", *")-COUNTIFS(集計用!$U:$U, "*, "&amp;N$4&amp;", *",集計用!$G:$G,"*, "&amp;$C18&amp;", *",集計用!$U:$U, "*英語を日常的に*"))/$B18*100</f>
        <v>0</v>
      </c>
      <c r="O18" s="41">
        <f>(COUNTIFS(集計用!$U:$U, "*, "&amp;O$4&amp;", *",集計用!$G:$G,"*, "&amp;$C18&amp;", *")-COUNTIFS(集計用!$U:$U, "*, "&amp;O$4&amp;", *",集計用!$G:$G,"*, "&amp;$C18&amp;", *",集計用!$U:$U, "*英語を日常的に*"))/$B18*100</f>
        <v>0</v>
      </c>
      <c r="P18" s="41">
        <f>(COUNTIFS(集計用!$U:$U, "*, "&amp;P$4&amp;", *",集計用!$G:$G,"*, "&amp;$C18&amp;", *")-COUNTIFS(集計用!$U:$U, "*, "&amp;P$4&amp;", *",集計用!$G:$G,"*, "&amp;$C18&amp;", *",集計用!$U:$U, "*英語を日常的に*"))/$B18*100</f>
        <v>0</v>
      </c>
      <c r="Q18" s="41">
        <f>(COUNTIFS(集計用!$U:$U, "*, "&amp;Q$4&amp;", *",集計用!$G:$G,"*, "&amp;$C18&amp;", *")-COUNTIFS(集計用!$U:$U, "*, "&amp;Q$4&amp;", *",集計用!$G:$G,"*, "&amp;$C18&amp;", *",集計用!$U:$U, "*英語を日常的に*"))/$B18*100</f>
        <v>0</v>
      </c>
      <c r="R18" s="41">
        <f>(COUNTIFS(集計用!$U:$U, "*, "&amp;R$4&amp;", *",集計用!$G:$G,"*, "&amp;$C18&amp;", *")-COUNTIFS(集計用!$U:$U, "*, "&amp;R$4&amp;", *",集計用!$G:$G,"*, "&amp;$C18&amp;", *",集計用!$U:$U, "*英語を日常的に*"))/$B18*100</f>
        <v>0</v>
      </c>
    </row>
    <row r="19" spans="1:18" ht="15.75" customHeight="1">
      <c r="A19" s="39">
        <v>6</v>
      </c>
      <c r="B19" s="39">
        <f>(COUNTIFS(集計用!$G:$G,"*, "&amp;$C19&amp;",*"))-COUNTIFS(集計用!U:U, "*英語を日常的に*",集計用!$G:$G,"*, "&amp;$C19&amp;",*")</f>
        <v>18</v>
      </c>
      <c r="C19" s="42" t="s">
        <v>13</v>
      </c>
      <c r="D19" s="41">
        <f>(COUNTIFS(集計用!$U:$U, "*, "&amp;D$4&amp;", *",集計用!$G:$G,"*, "&amp;$C19&amp;", *")-COUNTIFS(集計用!$U:$U, "*, "&amp;D$4&amp;", *",集計用!$G:$G,"*, "&amp;$C19&amp;", *",集計用!$U:$U, "*英語を日常的に*"))/$B19*100</f>
        <v>50</v>
      </c>
      <c r="E19" s="41">
        <f>(COUNTIFS(集計用!$U:$U, "*, "&amp;E$4&amp;", *",集計用!$G:$G,"*, "&amp;$C19&amp;", *")-COUNTIFS(集計用!$U:$U, "*, "&amp;E$4&amp;", *",集計用!$G:$G,"*, "&amp;$C19&amp;", *",集計用!$U:$U, "*英語を日常的に*"))/$B19*100</f>
        <v>33.333333333333329</v>
      </c>
      <c r="F19" s="41">
        <f>(COUNTIFS(集計用!$U:$U, "*, "&amp;F$4&amp;", *",集計用!$G:$G,"*, "&amp;$C19&amp;", *")-COUNTIFS(集計用!$U:$U, "*, "&amp;F$4&amp;", *",集計用!$G:$G,"*, "&amp;$C19&amp;", *",集計用!$U:$U, "*英語を日常的に*"))/$B19*100</f>
        <v>50</v>
      </c>
      <c r="G19" s="41">
        <f>(COUNTIFS(集計用!$U:$U, "*, "&amp;G$4&amp;", *",集計用!$G:$G,"*, "&amp;$C19&amp;", *")-COUNTIFS(集計用!$U:$U, "*, "&amp;G$4&amp;", *",集計用!$G:$G,"*, "&amp;$C19&amp;", *",集計用!$U:$U, "*英語を日常的に*"))/$B19*100</f>
        <v>16.666666666666664</v>
      </c>
      <c r="H19" s="41">
        <f>(COUNTIFS(集計用!$U:$U, "*, "&amp;H$4&amp;", *",集計用!$G:$G,"*, "&amp;$C19&amp;", *")-COUNTIFS(集計用!$U:$U, "*, "&amp;H$4&amp;", *",集計用!$G:$G,"*, "&amp;$C19&amp;", *",集計用!$U:$U, "*英語を日常的に*"))/$B19*100</f>
        <v>16.666666666666664</v>
      </c>
      <c r="I19" s="41">
        <f>(COUNTIFS(集計用!$U:$U, "*, "&amp;I$4&amp;", *",集計用!$G:$G,"*, "&amp;$C19&amp;", *")-COUNTIFS(集計用!$U:$U, "*, "&amp;I$4&amp;", *",集計用!$G:$G,"*, "&amp;$C19&amp;", *",集計用!$U:$U, "*英語を日常的に*"))/$B19*100</f>
        <v>11.111111111111111</v>
      </c>
      <c r="J19" s="41">
        <f>(COUNTIFS(集計用!$U:$U, "*, "&amp;J$4&amp;", *",集計用!$G:$G,"*, "&amp;$C19&amp;", *")-COUNTIFS(集計用!$U:$U, "*, "&amp;J$4&amp;", *",集計用!$G:$G,"*, "&amp;$C19&amp;", *",集計用!$U:$U, "*英語を日常的に*"))/$B19*100</f>
        <v>11.111111111111111</v>
      </c>
      <c r="K19" s="41">
        <f>(COUNTIFS(集計用!$U:$U, "*, "&amp;K$4&amp;", *",集計用!$G:$G,"*, "&amp;$C19&amp;", *")-COUNTIFS(集計用!$U:$U, "*, "&amp;K$4&amp;", *",集計用!$G:$G,"*, "&amp;$C19&amp;", *",集計用!$U:$U, "*英語を日常的に*"))/$B19*100</f>
        <v>11.111111111111111</v>
      </c>
      <c r="L19" s="41">
        <f>(COUNTIFS(集計用!$U:$U, "*, "&amp;L$4&amp;", *",集計用!$G:$G,"*, "&amp;$C19&amp;", *")-COUNTIFS(集計用!$U:$U, "*, "&amp;L$4&amp;", *",集計用!$G:$G,"*, "&amp;$C19&amp;", *",集計用!$U:$U, "*英語を日常的に*"))/$B19*100</f>
        <v>5.5555555555555554</v>
      </c>
      <c r="M19" s="41">
        <f>(COUNTIFS(集計用!$U:$U, "*, "&amp;M$4&amp;", *",集計用!$G:$G,"*, "&amp;$C19&amp;", *")-COUNTIFS(集計用!$U:$U, "*, "&amp;M$4&amp;", *",集計用!$G:$G,"*, "&amp;$C19&amp;", *",集計用!$U:$U, "*英語を日常的に*"))/$B19*100</f>
        <v>0</v>
      </c>
      <c r="N19" s="41">
        <f>(COUNTIFS(集計用!$U:$U, "*, "&amp;N$4&amp;", *",集計用!$G:$G,"*, "&amp;$C19&amp;", *")-COUNTIFS(集計用!$U:$U, "*, "&amp;N$4&amp;", *",集計用!$G:$G,"*, "&amp;$C19&amp;", *",集計用!$U:$U, "*英語を日常的に*"))/$B19*100</f>
        <v>5.5555555555555554</v>
      </c>
      <c r="O19" s="41">
        <f>(COUNTIFS(集計用!$U:$U, "*, "&amp;O$4&amp;", *",集計用!$G:$G,"*, "&amp;$C19&amp;", *")-COUNTIFS(集計用!$U:$U, "*, "&amp;O$4&amp;", *",集計用!$G:$G,"*, "&amp;$C19&amp;", *",集計用!$U:$U, "*英語を日常的に*"))/$B19*100</f>
        <v>0</v>
      </c>
      <c r="P19" s="41">
        <f>(COUNTIFS(集計用!$U:$U, "*, "&amp;P$4&amp;", *",集計用!$G:$G,"*, "&amp;$C19&amp;", *")-COUNTIFS(集計用!$U:$U, "*, "&amp;P$4&amp;", *",集計用!$G:$G,"*, "&amp;$C19&amp;", *",集計用!$U:$U, "*英語を日常的に*"))/$B19*100</f>
        <v>0</v>
      </c>
      <c r="Q19" s="41">
        <f>(COUNTIFS(集計用!$U:$U, "*, "&amp;Q$4&amp;", *",集計用!$G:$G,"*, "&amp;$C19&amp;", *")-COUNTIFS(集計用!$U:$U, "*, "&amp;Q$4&amp;", *",集計用!$G:$G,"*, "&amp;$C19&amp;", *",集計用!$U:$U, "*英語を日常的に*"))/$B19*100</f>
        <v>0</v>
      </c>
      <c r="R19" s="41">
        <f>(COUNTIFS(集計用!$U:$U, "*, "&amp;R$4&amp;", *",集計用!$G:$G,"*, "&amp;$C19&amp;", *")-COUNTIFS(集計用!$U:$U, "*, "&amp;R$4&amp;", *",集計用!$G:$G,"*, "&amp;$C19&amp;", *",集計用!$U:$U, "*英語を日常的に*"))/$B19*100</f>
        <v>0</v>
      </c>
    </row>
    <row r="20" spans="1:18" ht="15.75" customHeight="1">
      <c r="A20" s="39">
        <v>4</v>
      </c>
      <c r="B20" s="39">
        <f>(COUNTIFS(集計用!$G:$G,"*, "&amp;$C20&amp;",*"))-COUNTIFS(集計用!U:U, "*英語を日常的に*",集計用!$G:$G,"*, "&amp;$C20&amp;",*")</f>
        <v>14</v>
      </c>
      <c r="C20" s="42" t="s">
        <v>14</v>
      </c>
      <c r="D20" s="41">
        <f>(COUNTIFS(集計用!$U:$U, "*, "&amp;D$4&amp;", *",集計用!$G:$G,"*, "&amp;$C20&amp;", *")-COUNTIFS(集計用!$U:$U, "*, "&amp;D$4&amp;", *",集計用!$G:$G,"*, "&amp;$C20&amp;", *",集計用!$U:$U, "*英語を日常的に*"))/$B20*100</f>
        <v>71.428571428571431</v>
      </c>
      <c r="E20" s="41">
        <f>(COUNTIFS(集計用!$U:$U, "*, "&amp;E$4&amp;", *",集計用!$G:$G,"*, "&amp;$C20&amp;", *")-COUNTIFS(集計用!$U:$U, "*, "&amp;E$4&amp;", *",集計用!$G:$G,"*, "&amp;$C20&amp;", *",集計用!$U:$U, "*英語を日常的に*"))/$B20*100</f>
        <v>21.428571428571427</v>
      </c>
      <c r="F20" s="41">
        <f>(COUNTIFS(集計用!$U:$U, "*, "&amp;F$4&amp;", *",集計用!$G:$G,"*, "&amp;$C20&amp;", *")-COUNTIFS(集計用!$U:$U, "*, "&amp;F$4&amp;", *",集計用!$G:$G,"*, "&amp;$C20&amp;", *",集計用!$U:$U, "*英語を日常的に*"))/$B20*100</f>
        <v>28.571428571428569</v>
      </c>
      <c r="G20" s="41">
        <f>(COUNTIFS(集計用!$U:$U, "*, "&amp;G$4&amp;", *",集計用!$G:$G,"*, "&amp;$C20&amp;", *")-COUNTIFS(集計用!$U:$U, "*, "&amp;G$4&amp;", *",集計用!$G:$G,"*, "&amp;$C20&amp;", *",集計用!$U:$U, "*英語を日常的に*"))/$B20*100</f>
        <v>21.428571428571427</v>
      </c>
      <c r="H20" s="41">
        <f>(COUNTIFS(集計用!$U:$U, "*, "&amp;H$4&amp;", *",集計用!$G:$G,"*, "&amp;$C20&amp;", *")-COUNTIFS(集計用!$U:$U, "*, "&amp;H$4&amp;", *",集計用!$G:$G,"*, "&amp;$C20&amp;", *",集計用!$U:$U, "*英語を日常的に*"))/$B20*100</f>
        <v>28.571428571428569</v>
      </c>
      <c r="I20" s="41">
        <f>(COUNTIFS(集計用!$U:$U, "*, "&amp;I$4&amp;", *",集計用!$G:$G,"*, "&amp;$C20&amp;", *")-COUNTIFS(集計用!$U:$U, "*, "&amp;I$4&amp;", *",集計用!$G:$G,"*, "&amp;$C20&amp;", *",集計用!$U:$U, "*英語を日常的に*"))/$B20*100</f>
        <v>21.428571428571427</v>
      </c>
      <c r="J20" s="41">
        <f>(COUNTIFS(集計用!$U:$U, "*, "&amp;J$4&amp;", *",集計用!$G:$G,"*, "&amp;$C20&amp;", *")-COUNTIFS(集計用!$U:$U, "*, "&amp;J$4&amp;", *",集計用!$G:$G,"*, "&amp;$C20&amp;", *",集計用!$U:$U, "*英語を日常的に*"))/$B20*100</f>
        <v>21.428571428571427</v>
      </c>
      <c r="K20" s="41">
        <f>(COUNTIFS(集計用!$U:$U, "*, "&amp;K$4&amp;", *",集計用!$G:$G,"*, "&amp;$C20&amp;", *")-COUNTIFS(集計用!$U:$U, "*, "&amp;K$4&amp;", *",集計用!$G:$G,"*, "&amp;$C20&amp;", *",集計用!$U:$U, "*英語を日常的に*"))/$B20*100</f>
        <v>7.1428571428571423</v>
      </c>
      <c r="L20" s="41">
        <f>(COUNTIFS(集計用!$U:$U, "*, "&amp;L$4&amp;", *",集計用!$G:$G,"*, "&amp;$C20&amp;", *")-COUNTIFS(集計用!$U:$U, "*, "&amp;L$4&amp;", *",集計用!$G:$G,"*, "&amp;$C20&amp;", *",集計用!$U:$U, "*英語を日常的に*"))/$B20*100</f>
        <v>0</v>
      </c>
      <c r="M20" s="41">
        <f>(COUNTIFS(集計用!$U:$U, "*, "&amp;M$4&amp;", *",集計用!$G:$G,"*, "&amp;$C20&amp;", *")-COUNTIFS(集計用!$U:$U, "*, "&amp;M$4&amp;", *",集計用!$G:$G,"*, "&amp;$C20&amp;", *",集計用!$U:$U, "*英語を日常的に*"))/$B20*100</f>
        <v>0</v>
      </c>
      <c r="N20" s="41">
        <f>(COUNTIFS(集計用!$U:$U, "*, "&amp;N$4&amp;", *",集計用!$G:$G,"*, "&amp;$C20&amp;", *")-COUNTIFS(集計用!$U:$U, "*, "&amp;N$4&amp;", *",集計用!$G:$G,"*, "&amp;$C20&amp;", *",集計用!$U:$U, "*英語を日常的に*"))/$B20*100</f>
        <v>0</v>
      </c>
      <c r="O20" s="41">
        <f>(COUNTIFS(集計用!$U:$U, "*, "&amp;O$4&amp;", *",集計用!$G:$G,"*, "&amp;$C20&amp;", *")-COUNTIFS(集計用!$U:$U, "*, "&amp;O$4&amp;", *",集計用!$G:$G,"*, "&amp;$C20&amp;", *",集計用!$U:$U, "*英語を日常的に*"))/$B20*100</f>
        <v>0</v>
      </c>
      <c r="P20" s="41">
        <f>(COUNTIFS(集計用!$U:$U, "*, "&amp;P$4&amp;", *",集計用!$G:$G,"*, "&amp;$C20&amp;", *")-COUNTIFS(集計用!$U:$U, "*, "&amp;P$4&amp;", *",集計用!$G:$G,"*, "&amp;$C20&amp;", *",集計用!$U:$U, "*英語を日常的に*"))/$B20*100</f>
        <v>0</v>
      </c>
      <c r="Q20" s="41">
        <f>(COUNTIFS(集計用!$U:$U, "*, "&amp;Q$4&amp;", *",集計用!$G:$G,"*, "&amp;$C20&amp;", *")-COUNTIFS(集計用!$U:$U, "*, "&amp;Q$4&amp;", *",集計用!$G:$G,"*, "&amp;$C20&amp;", *",集計用!$U:$U, "*英語を日常的に*"))/$B20*100</f>
        <v>0</v>
      </c>
      <c r="R20" s="41">
        <f>(COUNTIFS(集計用!$U:$U, "*, "&amp;R$4&amp;", *",集計用!$G:$G,"*, "&amp;$C20&amp;", *")-COUNTIFS(集計用!$U:$U, "*, "&amp;R$4&amp;", *",集計用!$G:$G,"*, "&amp;$C20&amp;", *",集計用!$U:$U, "*英語を日常的に*"))/$B20*100</f>
        <v>0</v>
      </c>
    </row>
    <row r="21" spans="1:18" ht="15.75" customHeight="1">
      <c r="A21" s="39">
        <v>3</v>
      </c>
      <c r="B21" s="39">
        <f>(COUNTIFS(集計用!$G:$G,"*, "&amp;$C21&amp;",*"))-COUNTIFS(集計用!U:U, "*英語を日常的に*",集計用!$G:$G,"*, "&amp;$C21&amp;",*")</f>
        <v>14</v>
      </c>
      <c r="C21" s="42" t="s">
        <v>15</v>
      </c>
      <c r="D21" s="41">
        <f>(COUNTIFS(集計用!$U:$U, "*, "&amp;D$4&amp;", *",集計用!$G:$G,"*, "&amp;$C21&amp;", *")-COUNTIFS(集計用!$U:$U, "*, "&amp;D$4&amp;", *",集計用!$G:$G,"*, "&amp;$C21&amp;", *",集計用!$U:$U, "*英語を日常的に*"))/$B21*100</f>
        <v>50</v>
      </c>
      <c r="E21" s="41">
        <f>(COUNTIFS(集計用!$U:$U, "*, "&amp;E$4&amp;", *",集計用!$G:$G,"*, "&amp;$C21&amp;", *")-COUNTIFS(集計用!$U:$U, "*, "&amp;E$4&amp;", *",集計用!$G:$G,"*, "&amp;$C21&amp;", *",集計用!$U:$U, "*英語を日常的に*"))/$B21*100</f>
        <v>42.857142857142854</v>
      </c>
      <c r="F21" s="41">
        <f>(COUNTIFS(集計用!$U:$U, "*, "&amp;F$4&amp;", *",集計用!$G:$G,"*, "&amp;$C21&amp;", *")-COUNTIFS(集計用!$U:$U, "*, "&amp;F$4&amp;", *",集計用!$G:$G,"*, "&amp;$C21&amp;", *",集計用!$U:$U, "*英語を日常的に*"))/$B21*100</f>
        <v>28.571428571428569</v>
      </c>
      <c r="G21" s="41">
        <f>(COUNTIFS(集計用!$U:$U, "*, "&amp;G$4&amp;", *",集計用!$G:$G,"*, "&amp;$C21&amp;", *")-COUNTIFS(集計用!$U:$U, "*, "&amp;G$4&amp;", *",集計用!$G:$G,"*, "&amp;$C21&amp;", *",集計用!$U:$U, "*英語を日常的に*"))/$B21*100</f>
        <v>21.428571428571427</v>
      </c>
      <c r="H21" s="41">
        <f>(COUNTIFS(集計用!$U:$U, "*, "&amp;H$4&amp;", *",集計用!$G:$G,"*, "&amp;$C21&amp;", *")-COUNTIFS(集計用!$U:$U, "*, "&amp;H$4&amp;", *",集計用!$G:$G,"*, "&amp;$C21&amp;", *",集計用!$U:$U, "*英語を日常的に*"))/$B21*100</f>
        <v>7.1428571428571423</v>
      </c>
      <c r="I21" s="41">
        <f>(COUNTIFS(集計用!$U:$U, "*, "&amp;I$4&amp;", *",集計用!$G:$G,"*, "&amp;$C21&amp;", *")-COUNTIFS(集計用!$U:$U, "*, "&amp;I$4&amp;", *",集計用!$G:$G,"*, "&amp;$C21&amp;", *",集計用!$U:$U, "*英語を日常的に*"))/$B21*100</f>
        <v>14.285714285714285</v>
      </c>
      <c r="J21" s="41">
        <f>(COUNTIFS(集計用!$U:$U, "*, "&amp;J$4&amp;", *",集計用!$G:$G,"*, "&amp;$C21&amp;", *")-COUNTIFS(集計用!$U:$U, "*, "&amp;J$4&amp;", *",集計用!$G:$G,"*, "&amp;$C21&amp;", *",集計用!$U:$U, "*英語を日常的に*"))/$B21*100</f>
        <v>0</v>
      </c>
      <c r="K21" s="41">
        <f>(COUNTIFS(集計用!$U:$U, "*, "&amp;K$4&amp;", *",集計用!$G:$G,"*, "&amp;$C21&amp;", *")-COUNTIFS(集計用!$U:$U, "*, "&amp;K$4&amp;", *",集計用!$G:$G,"*, "&amp;$C21&amp;", *",集計用!$U:$U, "*英語を日常的に*"))/$B21*100</f>
        <v>0</v>
      </c>
      <c r="L21" s="41">
        <f>(COUNTIFS(集計用!$U:$U, "*, "&amp;L$4&amp;", *",集計用!$G:$G,"*, "&amp;$C21&amp;", *")-COUNTIFS(集計用!$U:$U, "*, "&amp;L$4&amp;", *",集計用!$G:$G,"*, "&amp;$C21&amp;", *",集計用!$U:$U, "*英語を日常的に*"))/$B21*100</f>
        <v>0</v>
      </c>
      <c r="M21" s="41">
        <f>(COUNTIFS(集計用!$U:$U, "*, "&amp;M$4&amp;", *",集計用!$G:$G,"*, "&amp;$C21&amp;", *")-COUNTIFS(集計用!$U:$U, "*, "&amp;M$4&amp;", *",集計用!$G:$G,"*, "&amp;$C21&amp;", *",集計用!$U:$U, "*英語を日常的に*"))/$B21*100</f>
        <v>0</v>
      </c>
      <c r="N21" s="41">
        <f>(COUNTIFS(集計用!$U:$U, "*, "&amp;N$4&amp;", *",集計用!$G:$G,"*, "&amp;$C21&amp;", *")-COUNTIFS(集計用!$U:$U, "*, "&amp;N$4&amp;", *",集計用!$G:$G,"*, "&amp;$C21&amp;", *",集計用!$U:$U, "*英語を日常的に*"))/$B21*100</f>
        <v>0</v>
      </c>
      <c r="O21" s="41">
        <f>(COUNTIFS(集計用!$U:$U, "*, "&amp;O$4&amp;", *",集計用!$G:$G,"*, "&amp;$C21&amp;", *")-COUNTIFS(集計用!$U:$U, "*, "&amp;O$4&amp;", *",集計用!$G:$G,"*, "&amp;$C21&amp;", *",集計用!$U:$U, "*英語を日常的に*"))/$B21*100</f>
        <v>0</v>
      </c>
      <c r="P21" s="41">
        <f>(COUNTIFS(集計用!$U:$U, "*, "&amp;P$4&amp;", *",集計用!$G:$G,"*, "&amp;$C21&amp;", *")-COUNTIFS(集計用!$U:$U, "*, "&amp;P$4&amp;", *",集計用!$G:$G,"*, "&amp;$C21&amp;", *",集計用!$U:$U, "*英語を日常的に*"))/$B21*100</f>
        <v>0</v>
      </c>
      <c r="Q21" s="41">
        <f>(COUNTIFS(集計用!$U:$U, "*, "&amp;Q$4&amp;", *",集計用!$G:$G,"*, "&amp;$C21&amp;", *")-COUNTIFS(集計用!$U:$U, "*, "&amp;Q$4&amp;", *",集計用!$G:$G,"*, "&amp;$C21&amp;", *",集計用!$U:$U, "*英語を日常的に*"))/$B21*100</f>
        <v>0</v>
      </c>
      <c r="R21" s="41">
        <f>(COUNTIFS(集計用!$U:$U, "*, "&amp;R$4&amp;", *",集計用!$G:$G,"*, "&amp;$C21&amp;", *")-COUNTIFS(集計用!$U:$U, "*, "&amp;R$4&amp;", *",集計用!$G:$G,"*, "&amp;$C21&amp;", *",集計用!$U:$U, "*英語を日常的に*"))/$B21*100</f>
        <v>0</v>
      </c>
    </row>
    <row r="22" spans="1:18" ht="15.75" customHeight="1">
      <c r="A22" s="39">
        <v>5</v>
      </c>
      <c r="B22" s="39">
        <f>(COUNTIFS(集計用!$G:$G,"*, "&amp;$C22&amp;",*"))-COUNTIFS(集計用!U:U, "*英語を日常的に*",集計用!$G:$G,"*, "&amp;$C22&amp;",*")</f>
        <v>16</v>
      </c>
      <c r="C22" s="42" t="s">
        <v>16</v>
      </c>
      <c r="D22" s="41">
        <f>(COUNTIFS(集計用!$U:$U, "*, "&amp;D$4&amp;", *",集計用!$G:$G,"*, "&amp;$C22&amp;", *")-COUNTIFS(集計用!$U:$U, "*, "&amp;D$4&amp;", *",集計用!$G:$G,"*, "&amp;$C22&amp;", *",集計用!$U:$U, "*英語を日常的に*"))/$B22*100</f>
        <v>56.25</v>
      </c>
      <c r="E22" s="41">
        <f>(COUNTIFS(集計用!$U:$U, "*, "&amp;E$4&amp;", *",集計用!$G:$G,"*, "&amp;$C22&amp;", *")-COUNTIFS(集計用!$U:$U, "*, "&amp;E$4&amp;", *",集計用!$G:$G,"*, "&amp;$C22&amp;", *",集計用!$U:$U, "*英語を日常的に*"))/$B22*100</f>
        <v>37.5</v>
      </c>
      <c r="F22" s="41">
        <f>(COUNTIFS(集計用!$U:$U, "*, "&amp;F$4&amp;", *",集計用!$G:$G,"*, "&amp;$C22&amp;", *")-COUNTIFS(集計用!$U:$U, "*, "&amp;F$4&amp;", *",集計用!$G:$G,"*, "&amp;$C22&amp;", *",集計用!$U:$U, "*英語を日常的に*"))/$B22*100</f>
        <v>18.75</v>
      </c>
      <c r="G22" s="41">
        <f>(COUNTIFS(集計用!$U:$U, "*, "&amp;G$4&amp;", *",集計用!$G:$G,"*, "&amp;$C22&amp;", *")-COUNTIFS(集計用!$U:$U, "*, "&amp;G$4&amp;", *",集計用!$G:$G,"*, "&amp;$C22&amp;", *",集計用!$U:$U, "*英語を日常的に*"))/$B22*100</f>
        <v>0</v>
      </c>
      <c r="H22" s="41">
        <f>(COUNTIFS(集計用!$U:$U, "*, "&amp;H$4&amp;", *",集計用!$G:$G,"*, "&amp;$C22&amp;", *")-COUNTIFS(集計用!$U:$U, "*, "&amp;H$4&amp;", *",集計用!$G:$G,"*, "&amp;$C22&amp;", *",集計用!$U:$U, "*英語を日常的に*"))/$B22*100</f>
        <v>6.25</v>
      </c>
      <c r="I22" s="41">
        <f>(COUNTIFS(集計用!$U:$U, "*, "&amp;I$4&amp;", *",集計用!$G:$G,"*, "&amp;$C22&amp;", *")-COUNTIFS(集計用!$U:$U, "*, "&amp;I$4&amp;", *",集計用!$G:$G,"*, "&amp;$C22&amp;", *",集計用!$U:$U, "*英語を日常的に*"))/$B22*100</f>
        <v>37.5</v>
      </c>
      <c r="J22" s="41">
        <f>(COUNTIFS(集計用!$U:$U, "*, "&amp;J$4&amp;", *",集計用!$G:$G,"*, "&amp;$C22&amp;", *")-COUNTIFS(集計用!$U:$U, "*, "&amp;J$4&amp;", *",集計用!$G:$G,"*, "&amp;$C22&amp;", *",集計用!$U:$U, "*英語を日常的に*"))/$B22*100</f>
        <v>0</v>
      </c>
      <c r="K22" s="41">
        <f>(COUNTIFS(集計用!$U:$U, "*, "&amp;K$4&amp;", *",集計用!$G:$G,"*, "&amp;$C22&amp;", *")-COUNTIFS(集計用!$U:$U, "*, "&amp;K$4&amp;", *",集計用!$G:$G,"*, "&amp;$C22&amp;", *",集計用!$U:$U, "*英語を日常的に*"))/$B22*100</f>
        <v>6.25</v>
      </c>
      <c r="L22" s="41">
        <f>(COUNTIFS(集計用!$U:$U, "*, "&amp;L$4&amp;", *",集計用!$G:$G,"*, "&amp;$C22&amp;", *")-COUNTIFS(集計用!$U:$U, "*, "&amp;L$4&amp;", *",集計用!$G:$G,"*, "&amp;$C22&amp;", *",集計用!$U:$U, "*英語を日常的に*"))/$B22*100</f>
        <v>0</v>
      </c>
      <c r="M22" s="41">
        <f>(COUNTIFS(集計用!$U:$U, "*, "&amp;M$4&amp;", *",集計用!$G:$G,"*, "&amp;$C22&amp;", *")-COUNTIFS(集計用!$U:$U, "*, "&amp;M$4&amp;", *",集計用!$G:$G,"*, "&amp;$C22&amp;", *",集計用!$U:$U, "*英語を日常的に*"))/$B22*100</f>
        <v>0</v>
      </c>
      <c r="N22" s="41">
        <f>(COUNTIFS(集計用!$U:$U, "*, "&amp;N$4&amp;", *",集計用!$G:$G,"*, "&amp;$C22&amp;", *")-COUNTIFS(集計用!$U:$U, "*, "&amp;N$4&amp;", *",集計用!$G:$G,"*, "&amp;$C22&amp;", *",集計用!$U:$U, "*英語を日常的に*"))/$B22*100</f>
        <v>0</v>
      </c>
      <c r="O22" s="41">
        <f>(COUNTIFS(集計用!$U:$U, "*, "&amp;O$4&amp;", *",集計用!$G:$G,"*, "&amp;$C22&amp;", *")-COUNTIFS(集計用!$U:$U, "*, "&amp;O$4&amp;", *",集計用!$G:$G,"*, "&amp;$C22&amp;", *",集計用!$U:$U, "*英語を日常的に*"))/$B22*100</f>
        <v>0</v>
      </c>
      <c r="P22" s="41">
        <f>(COUNTIFS(集計用!$U:$U, "*, "&amp;P$4&amp;", *",集計用!$G:$G,"*, "&amp;$C22&amp;", *")-COUNTIFS(集計用!$U:$U, "*, "&amp;P$4&amp;", *",集計用!$G:$G,"*, "&amp;$C22&amp;", *",集計用!$U:$U, "*英語を日常的に*"))/$B22*100</f>
        <v>0</v>
      </c>
      <c r="Q22" s="41">
        <f>(COUNTIFS(集計用!$U:$U, "*, "&amp;Q$4&amp;", *",集計用!$G:$G,"*, "&amp;$C22&amp;", *")-COUNTIFS(集計用!$U:$U, "*, "&amp;Q$4&amp;", *",集計用!$G:$G,"*, "&amp;$C22&amp;", *",集計用!$U:$U, "*英語を日常的に*"))/$B22*100</f>
        <v>0</v>
      </c>
      <c r="R22" s="41">
        <f>(COUNTIFS(集計用!$U:$U, "*, "&amp;R$4&amp;", *",集計用!$G:$G,"*, "&amp;$C22&amp;", *")-COUNTIFS(集計用!$U:$U, "*, "&amp;R$4&amp;", *",集計用!$G:$G,"*, "&amp;$C22&amp;", *",集計用!$U:$U, "*英語を日常的に*"))/$B22*100</f>
        <v>0</v>
      </c>
    </row>
    <row r="23" spans="1:18" ht="15.75" customHeight="1">
      <c r="A23" s="39">
        <v>5</v>
      </c>
      <c r="B23" s="39">
        <f>(COUNTIFS(集計用!$G:$G,"*, "&amp;$C23&amp;",*"))-COUNTIFS(集計用!U:U, "*英語を日常的に*",集計用!$G:$G,"*, "&amp;$C23&amp;",*")</f>
        <v>18</v>
      </c>
      <c r="C23" s="42" t="s">
        <v>17</v>
      </c>
      <c r="D23" s="41">
        <f>(COUNTIFS(集計用!$U:$U, "*, "&amp;D$4&amp;", *",集計用!$G:$G,"*, "&amp;$C23&amp;", *")-COUNTIFS(集計用!$U:$U, "*, "&amp;D$4&amp;", *",集計用!$G:$G,"*, "&amp;$C23&amp;", *",集計用!$U:$U, "*英語を日常的に*"))/$B23*100</f>
        <v>50</v>
      </c>
      <c r="E23" s="41">
        <f>(COUNTIFS(集計用!$U:$U, "*, "&amp;E$4&amp;", *",集計用!$G:$G,"*, "&amp;$C23&amp;", *")-COUNTIFS(集計用!$U:$U, "*, "&amp;E$4&amp;", *",集計用!$G:$G,"*, "&amp;$C23&amp;", *",集計用!$U:$U, "*英語を日常的に*"))/$B23*100</f>
        <v>33.333333333333329</v>
      </c>
      <c r="F23" s="41">
        <f>(COUNTIFS(集計用!$U:$U, "*, "&amp;F$4&amp;", *",集計用!$G:$G,"*, "&amp;$C23&amp;", *")-COUNTIFS(集計用!$U:$U, "*, "&amp;F$4&amp;", *",集計用!$G:$G,"*, "&amp;$C23&amp;", *",集計用!$U:$U, "*英語を日常的に*"))/$B23*100</f>
        <v>27.777777777777779</v>
      </c>
      <c r="G23" s="41">
        <f>(COUNTIFS(集計用!$U:$U, "*, "&amp;G$4&amp;", *",集計用!$G:$G,"*, "&amp;$C23&amp;", *")-COUNTIFS(集計用!$U:$U, "*, "&amp;G$4&amp;", *",集計用!$G:$G,"*, "&amp;$C23&amp;", *",集計用!$U:$U, "*英語を日常的に*"))/$B23*100</f>
        <v>0</v>
      </c>
      <c r="H23" s="41">
        <f>(COUNTIFS(集計用!$U:$U, "*, "&amp;H$4&amp;", *",集計用!$G:$G,"*, "&amp;$C23&amp;", *")-COUNTIFS(集計用!$U:$U, "*, "&amp;H$4&amp;", *",集計用!$G:$G,"*, "&amp;$C23&amp;", *",集計用!$U:$U, "*英語を日常的に*"))/$B23*100</f>
        <v>0</v>
      </c>
      <c r="I23" s="41">
        <f>(COUNTIFS(集計用!$U:$U, "*, "&amp;I$4&amp;", *",集計用!$G:$G,"*, "&amp;$C23&amp;", *")-COUNTIFS(集計用!$U:$U, "*, "&amp;I$4&amp;", *",集計用!$G:$G,"*, "&amp;$C23&amp;", *",集計用!$U:$U, "*英語を日常的に*"))/$B23*100</f>
        <v>27.777777777777779</v>
      </c>
      <c r="J23" s="41">
        <f>(COUNTIFS(集計用!$U:$U, "*, "&amp;J$4&amp;", *",集計用!$G:$G,"*, "&amp;$C23&amp;", *")-COUNTIFS(集計用!$U:$U, "*, "&amp;J$4&amp;", *",集計用!$G:$G,"*, "&amp;$C23&amp;", *",集計用!$U:$U, "*英語を日常的に*"))/$B23*100</f>
        <v>0</v>
      </c>
      <c r="K23" s="41">
        <f>(COUNTIFS(集計用!$U:$U, "*, "&amp;K$4&amp;", *",集計用!$G:$G,"*, "&amp;$C23&amp;", *")-COUNTIFS(集計用!$U:$U, "*, "&amp;K$4&amp;", *",集計用!$G:$G,"*, "&amp;$C23&amp;", *",集計用!$U:$U, "*英語を日常的に*"))/$B23*100</f>
        <v>5.5555555555555554</v>
      </c>
      <c r="L23" s="41">
        <f>(COUNTIFS(集計用!$U:$U, "*, "&amp;L$4&amp;", *",集計用!$G:$G,"*, "&amp;$C23&amp;", *")-COUNTIFS(集計用!$U:$U, "*, "&amp;L$4&amp;", *",集計用!$G:$G,"*, "&amp;$C23&amp;", *",集計用!$U:$U, "*英語を日常的に*"))/$B23*100</f>
        <v>0</v>
      </c>
      <c r="M23" s="41">
        <f>(COUNTIFS(集計用!$U:$U, "*, "&amp;M$4&amp;", *",集計用!$G:$G,"*, "&amp;$C23&amp;", *")-COUNTIFS(集計用!$U:$U, "*, "&amp;M$4&amp;", *",集計用!$G:$G,"*, "&amp;$C23&amp;", *",集計用!$U:$U, "*英語を日常的に*"))/$B23*100</f>
        <v>0</v>
      </c>
      <c r="N23" s="41">
        <f>(COUNTIFS(集計用!$U:$U, "*, "&amp;N$4&amp;", *",集計用!$G:$G,"*, "&amp;$C23&amp;", *")-COUNTIFS(集計用!$U:$U, "*, "&amp;N$4&amp;", *",集計用!$G:$G,"*, "&amp;$C23&amp;", *",集計用!$U:$U, "*英語を日常的に*"))/$B23*100</f>
        <v>0</v>
      </c>
      <c r="O23" s="41">
        <f>(COUNTIFS(集計用!$U:$U, "*, "&amp;O$4&amp;", *",集計用!$G:$G,"*, "&amp;$C23&amp;", *")-COUNTIFS(集計用!$U:$U, "*, "&amp;O$4&amp;", *",集計用!$G:$G,"*, "&amp;$C23&amp;", *",集計用!$U:$U, "*英語を日常的に*"))/$B23*100</f>
        <v>0</v>
      </c>
      <c r="P23" s="41">
        <f>(COUNTIFS(集計用!$U:$U, "*, "&amp;P$4&amp;", *",集計用!$G:$G,"*, "&amp;$C23&amp;", *")-COUNTIFS(集計用!$U:$U, "*, "&amp;P$4&amp;", *",集計用!$G:$G,"*, "&amp;$C23&amp;", *",集計用!$U:$U, "*英語を日常的に*"))/$B23*100</f>
        <v>0</v>
      </c>
      <c r="Q23" s="41">
        <f>(COUNTIFS(集計用!$U:$U, "*, "&amp;Q$4&amp;", *",集計用!$G:$G,"*, "&amp;$C23&amp;", *")-COUNTIFS(集計用!$U:$U, "*, "&amp;Q$4&amp;", *",集計用!$G:$G,"*, "&amp;$C23&amp;", *",集計用!$U:$U, "*英語を日常的に*"))/$B23*100</f>
        <v>0</v>
      </c>
      <c r="R23" s="41">
        <f>(COUNTIFS(集計用!$U:$U, "*, "&amp;R$4&amp;", *",集計用!$G:$G,"*, "&amp;$C23&amp;", *")-COUNTIFS(集計用!$U:$U, "*, "&amp;R$4&amp;", *",集計用!$G:$G,"*, "&amp;$C23&amp;", *",集計用!$U:$U, "*英語を日常的に*"))/$B23*100</f>
        <v>0</v>
      </c>
    </row>
    <row r="24" spans="1:18" ht="15.75" customHeight="1">
      <c r="A24" s="39">
        <v>4</v>
      </c>
      <c r="B24" s="39">
        <f>(COUNTIFS(集計用!$G:$G,"*, "&amp;$C24&amp;",*"))-COUNTIFS(集計用!U:U, "*英語を日常的に*",集計用!$G:$G,"*, "&amp;$C24&amp;",*")</f>
        <v>18</v>
      </c>
      <c r="C24" s="42" t="s">
        <v>18</v>
      </c>
      <c r="D24" s="41">
        <f>(COUNTIFS(集計用!$U:$U, "*, "&amp;D$4&amp;", *",集計用!$G:$G,"*, "&amp;$C24&amp;", *")-COUNTIFS(集計用!$U:$U, "*, "&amp;D$4&amp;", *",集計用!$G:$G,"*, "&amp;$C24&amp;", *",集計用!$U:$U, "*英語を日常的に*"))/$B24*100</f>
        <v>55.555555555555557</v>
      </c>
      <c r="E24" s="41">
        <f>(COUNTIFS(集計用!$U:$U, "*, "&amp;E$4&amp;", *",集計用!$G:$G,"*, "&amp;$C24&amp;", *")-COUNTIFS(集計用!$U:$U, "*, "&amp;E$4&amp;", *",集計用!$G:$G,"*, "&amp;$C24&amp;", *",集計用!$U:$U, "*英語を日常的に*"))/$B24*100</f>
        <v>72.222222222222214</v>
      </c>
      <c r="F24" s="41">
        <f>(COUNTIFS(集計用!$U:$U, "*, "&amp;F$4&amp;", *",集計用!$G:$G,"*, "&amp;$C24&amp;", *")-COUNTIFS(集計用!$U:$U, "*, "&amp;F$4&amp;", *",集計用!$G:$G,"*, "&amp;$C24&amp;", *",集計用!$U:$U, "*英語を日常的に*"))/$B24*100</f>
        <v>16.666666666666664</v>
      </c>
      <c r="G24" s="41">
        <f>(COUNTIFS(集計用!$U:$U, "*, "&amp;G$4&amp;", *",集計用!$G:$G,"*, "&amp;$C24&amp;", *")-COUNTIFS(集計用!$U:$U, "*, "&amp;G$4&amp;", *",集計用!$G:$G,"*, "&amp;$C24&amp;", *",集計用!$U:$U, "*英語を日常的に*"))/$B24*100</f>
        <v>5.5555555555555554</v>
      </c>
      <c r="H24" s="41">
        <f>(COUNTIFS(集計用!$U:$U, "*, "&amp;H$4&amp;", *",集計用!$G:$G,"*, "&amp;$C24&amp;", *")-COUNTIFS(集計用!$U:$U, "*, "&amp;H$4&amp;", *",集計用!$G:$G,"*, "&amp;$C24&amp;", *",集計用!$U:$U, "*英語を日常的に*"))/$B24*100</f>
        <v>5.5555555555555554</v>
      </c>
      <c r="I24" s="41">
        <f>(COUNTIFS(集計用!$U:$U, "*, "&amp;I$4&amp;", *",集計用!$G:$G,"*, "&amp;$C24&amp;", *")-COUNTIFS(集計用!$U:$U, "*, "&amp;I$4&amp;", *",集計用!$G:$G,"*, "&amp;$C24&amp;", *",集計用!$U:$U, "*英語を日常的に*"))/$B24*100</f>
        <v>11.111111111111111</v>
      </c>
      <c r="J24" s="41">
        <f>(COUNTIFS(集計用!$U:$U, "*, "&amp;J$4&amp;", *",集計用!$G:$G,"*, "&amp;$C24&amp;", *")-COUNTIFS(集計用!$U:$U, "*, "&amp;J$4&amp;", *",集計用!$G:$G,"*, "&amp;$C24&amp;", *",集計用!$U:$U, "*英語を日常的に*"))/$B24*100</f>
        <v>5.5555555555555554</v>
      </c>
      <c r="K24" s="41">
        <f>(COUNTIFS(集計用!$U:$U, "*, "&amp;K$4&amp;", *",集計用!$G:$G,"*, "&amp;$C24&amp;", *")-COUNTIFS(集計用!$U:$U, "*, "&amp;K$4&amp;", *",集計用!$G:$G,"*, "&amp;$C24&amp;", *",集計用!$U:$U, "*英語を日常的に*"))/$B24*100</f>
        <v>11.111111111111111</v>
      </c>
      <c r="L24" s="41">
        <f>(COUNTIFS(集計用!$U:$U, "*, "&amp;L$4&amp;", *",集計用!$G:$G,"*, "&amp;$C24&amp;", *")-COUNTIFS(集計用!$U:$U, "*, "&amp;L$4&amp;", *",集計用!$G:$G,"*, "&amp;$C24&amp;", *",集計用!$U:$U, "*英語を日常的に*"))/$B24*100</f>
        <v>0</v>
      </c>
      <c r="M24" s="41">
        <f>(COUNTIFS(集計用!$U:$U, "*, "&amp;M$4&amp;", *",集計用!$G:$G,"*, "&amp;$C24&amp;", *")-COUNTIFS(集計用!$U:$U, "*, "&amp;M$4&amp;", *",集計用!$G:$G,"*, "&amp;$C24&amp;", *",集計用!$U:$U, "*英語を日常的に*"))/$B24*100</f>
        <v>0</v>
      </c>
      <c r="N24" s="41">
        <f>(COUNTIFS(集計用!$U:$U, "*, "&amp;N$4&amp;", *",集計用!$G:$G,"*, "&amp;$C24&amp;", *")-COUNTIFS(集計用!$U:$U, "*, "&amp;N$4&amp;", *",集計用!$G:$G,"*, "&amp;$C24&amp;", *",集計用!$U:$U, "*英語を日常的に*"))/$B24*100</f>
        <v>0</v>
      </c>
      <c r="O24" s="41">
        <f>(COUNTIFS(集計用!$U:$U, "*, "&amp;O$4&amp;", *",集計用!$G:$G,"*, "&amp;$C24&amp;", *")-COUNTIFS(集計用!$U:$U, "*, "&amp;O$4&amp;", *",集計用!$G:$G,"*, "&amp;$C24&amp;", *",集計用!$U:$U, "*英語を日常的に*"))/$B24*100</f>
        <v>0</v>
      </c>
      <c r="P24" s="41">
        <f>(COUNTIFS(集計用!$U:$U, "*, "&amp;P$4&amp;", *",集計用!$G:$G,"*, "&amp;$C24&amp;", *")-COUNTIFS(集計用!$U:$U, "*, "&amp;P$4&amp;", *",集計用!$G:$G,"*, "&amp;$C24&amp;", *",集計用!$U:$U, "*英語を日常的に*"))/$B24*100</f>
        <v>0</v>
      </c>
      <c r="Q24" s="41">
        <f>(COUNTIFS(集計用!$U:$U, "*, "&amp;Q$4&amp;", *",集計用!$G:$G,"*, "&amp;$C24&amp;", *")-COUNTIFS(集計用!$U:$U, "*, "&amp;Q$4&amp;", *",集計用!$G:$G,"*, "&amp;$C24&amp;", *",集計用!$U:$U, "*英語を日常的に*"))/$B24*100</f>
        <v>0</v>
      </c>
      <c r="R24" s="41">
        <f>(COUNTIFS(集計用!$U:$U, "*, "&amp;R$4&amp;", *",集計用!$G:$G,"*, "&amp;$C24&amp;", *")-COUNTIFS(集計用!$U:$U, "*, "&amp;R$4&amp;", *",集計用!$G:$G,"*, "&amp;$C24&amp;", *",集計用!$U:$U, "*英語を日常的に*"))/$B24*100</f>
        <v>0</v>
      </c>
    </row>
    <row r="25" spans="1:18" ht="12.75">
      <c r="A25" s="39">
        <v>2</v>
      </c>
      <c r="B25" s="39">
        <f>(COUNTIFS(集計用!$G:$G,"*, "&amp;$C25&amp;",*"))-COUNTIFS(集計用!U:U, "*英語を日常的に*",集計用!$G:$G,"*, "&amp;$C25&amp;",*")</f>
        <v>11</v>
      </c>
      <c r="C25" s="42" t="s">
        <v>19</v>
      </c>
      <c r="D25" s="41">
        <f>(COUNTIFS(集計用!$U:$U, "*, "&amp;D$4&amp;", *",集計用!$G:$G,"*, "&amp;$C25&amp;", *")-COUNTIFS(集計用!$U:$U, "*, "&amp;D$4&amp;", *",集計用!$G:$G,"*, "&amp;$C25&amp;", *",集計用!$U:$U, "*英語を日常的に*"))/$B25*100</f>
        <v>54.54545454545454</v>
      </c>
      <c r="E25" s="41">
        <f>(COUNTIFS(集計用!$U:$U, "*, "&amp;E$4&amp;", *",集計用!$G:$G,"*, "&amp;$C25&amp;", *")-COUNTIFS(集計用!$U:$U, "*, "&amp;E$4&amp;", *",集計用!$G:$G,"*, "&amp;$C25&amp;", *",集計用!$U:$U, "*英語を日常的に*"))/$B25*100</f>
        <v>45.454545454545453</v>
      </c>
      <c r="F25" s="41">
        <f>(COUNTIFS(集計用!$U:$U, "*, "&amp;F$4&amp;", *",集計用!$G:$G,"*, "&amp;$C25&amp;", *")-COUNTIFS(集計用!$U:$U, "*, "&amp;F$4&amp;", *",集計用!$G:$G,"*, "&amp;$C25&amp;", *",集計用!$U:$U, "*英語を日常的に*"))/$B25*100</f>
        <v>18.181818181818183</v>
      </c>
      <c r="G25" s="41">
        <f>(COUNTIFS(集計用!$U:$U, "*, "&amp;G$4&amp;", *",集計用!$G:$G,"*, "&amp;$C25&amp;", *")-COUNTIFS(集計用!$U:$U, "*, "&amp;G$4&amp;", *",集計用!$G:$G,"*, "&amp;$C25&amp;", *",集計用!$U:$U, "*英語を日常的に*"))/$B25*100</f>
        <v>27.27272727272727</v>
      </c>
      <c r="H25" s="41">
        <f>(COUNTIFS(集計用!$U:$U, "*, "&amp;H$4&amp;", *",集計用!$G:$G,"*, "&amp;$C25&amp;", *")-COUNTIFS(集計用!$U:$U, "*, "&amp;H$4&amp;", *",集計用!$G:$G,"*, "&amp;$C25&amp;", *",集計用!$U:$U, "*英語を日常的に*"))/$B25*100</f>
        <v>9.0909090909090917</v>
      </c>
      <c r="I25" s="41">
        <f>(COUNTIFS(集計用!$U:$U, "*, "&amp;I$4&amp;", *",集計用!$G:$G,"*, "&amp;$C25&amp;", *")-COUNTIFS(集計用!$U:$U, "*, "&amp;I$4&amp;", *",集計用!$G:$G,"*, "&amp;$C25&amp;", *",集計用!$U:$U, "*英語を日常的に*"))/$B25*100</f>
        <v>0</v>
      </c>
      <c r="J25" s="41">
        <f>(COUNTIFS(集計用!$U:$U, "*, "&amp;J$4&amp;", *",集計用!$G:$G,"*, "&amp;$C25&amp;", *")-COUNTIFS(集計用!$U:$U, "*, "&amp;J$4&amp;", *",集計用!$G:$G,"*, "&amp;$C25&amp;", *",集計用!$U:$U, "*英語を日常的に*"))/$B25*100</f>
        <v>9.0909090909090917</v>
      </c>
      <c r="K25" s="41">
        <f>(COUNTIFS(集計用!$U:$U, "*, "&amp;K$4&amp;", *",集計用!$G:$G,"*, "&amp;$C25&amp;", *")-COUNTIFS(集計用!$U:$U, "*, "&amp;K$4&amp;", *",集計用!$G:$G,"*, "&amp;$C25&amp;", *",集計用!$U:$U, "*英語を日常的に*"))/$B25*100</f>
        <v>0</v>
      </c>
      <c r="L25" s="41">
        <f>(COUNTIFS(集計用!$U:$U, "*, "&amp;L$4&amp;", *",集計用!$G:$G,"*, "&amp;$C25&amp;", *")-COUNTIFS(集計用!$U:$U, "*, "&amp;L$4&amp;", *",集計用!$G:$G,"*, "&amp;$C25&amp;", *",集計用!$U:$U, "*英語を日常的に*"))/$B25*100</f>
        <v>0</v>
      </c>
      <c r="M25" s="41">
        <f>(COUNTIFS(集計用!$U:$U, "*, "&amp;M$4&amp;", *",集計用!$G:$G,"*, "&amp;$C25&amp;", *")-COUNTIFS(集計用!$U:$U, "*, "&amp;M$4&amp;", *",集計用!$G:$G,"*, "&amp;$C25&amp;", *",集計用!$U:$U, "*英語を日常的に*"))/$B25*100</f>
        <v>0</v>
      </c>
      <c r="N25" s="41">
        <f>(COUNTIFS(集計用!$U:$U, "*, "&amp;N$4&amp;", *",集計用!$G:$G,"*, "&amp;$C25&amp;", *")-COUNTIFS(集計用!$U:$U, "*, "&amp;N$4&amp;", *",集計用!$G:$G,"*, "&amp;$C25&amp;", *",集計用!$U:$U, "*英語を日常的に*"))/$B25*100</f>
        <v>0</v>
      </c>
      <c r="O25" s="41">
        <f>(COUNTIFS(集計用!$U:$U, "*, "&amp;O$4&amp;", *",集計用!$G:$G,"*, "&amp;$C25&amp;", *")-COUNTIFS(集計用!$U:$U, "*, "&amp;O$4&amp;", *",集計用!$G:$G,"*, "&amp;$C25&amp;", *",集計用!$U:$U, "*英語を日常的に*"))/$B25*100</f>
        <v>0</v>
      </c>
      <c r="P25" s="41">
        <f>(COUNTIFS(集計用!$U:$U, "*, "&amp;P$4&amp;", *",集計用!$G:$G,"*, "&amp;$C25&amp;", *")-COUNTIFS(集計用!$U:$U, "*, "&amp;P$4&amp;", *",集計用!$G:$G,"*, "&amp;$C25&amp;", *",集計用!$U:$U, "*英語を日常的に*"))/$B25*100</f>
        <v>0</v>
      </c>
      <c r="Q25" s="41">
        <f>(COUNTIFS(集計用!$U:$U, "*, "&amp;Q$4&amp;", *",集計用!$G:$G,"*, "&amp;$C25&amp;", *")-COUNTIFS(集計用!$U:$U, "*, "&amp;Q$4&amp;", *",集計用!$G:$G,"*, "&amp;$C25&amp;", *",集計用!$U:$U, "*英語を日常的に*"))/$B25*100</f>
        <v>0</v>
      </c>
      <c r="R25" s="41">
        <f>(COUNTIFS(集計用!$U:$U, "*, "&amp;R$4&amp;", *",集計用!$G:$G,"*, "&amp;$C25&amp;", *")-COUNTIFS(集計用!$U:$U, "*, "&amp;R$4&amp;", *",集計用!$G:$G,"*, "&amp;$C25&amp;", *",集計用!$U:$U, "*英語を日常的に*"))/$B25*100</f>
        <v>0</v>
      </c>
    </row>
    <row r="26" spans="1:18" ht="12.75">
      <c r="A26" s="39">
        <v>4</v>
      </c>
      <c r="B26" s="39">
        <f>(COUNTIFS(集計用!$G:$G,"*, "&amp;$C26&amp;",*"))-COUNTIFS(集計用!U:U, "*英語を日常的に*",集計用!$G:$G,"*, "&amp;$C26&amp;",*")</f>
        <v>9</v>
      </c>
      <c r="C26" s="42" t="s">
        <v>20</v>
      </c>
      <c r="D26" s="41">
        <f>(COUNTIFS(集計用!$U:$U, "*, "&amp;D$4&amp;", *",集計用!$G:$G,"*, "&amp;$C26&amp;", *")-COUNTIFS(集計用!$U:$U, "*, "&amp;D$4&amp;", *",集計用!$G:$G,"*, "&amp;$C26&amp;", *",集計用!$U:$U, "*英語を日常的に*"))/$B26*100</f>
        <v>55.555555555555557</v>
      </c>
      <c r="E26" s="41">
        <f>(COUNTIFS(集計用!$U:$U, "*, "&amp;E$4&amp;", *",集計用!$G:$G,"*, "&amp;$C26&amp;", *")-COUNTIFS(集計用!$U:$U, "*, "&amp;E$4&amp;", *",集計用!$G:$G,"*, "&amp;$C26&amp;", *",集計用!$U:$U, "*英語を日常的に*"))/$B26*100</f>
        <v>33.333333333333329</v>
      </c>
      <c r="F26" s="41">
        <f>(COUNTIFS(集計用!$U:$U, "*, "&amp;F$4&amp;", *",集計用!$G:$G,"*, "&amp;$C26&amp;", *")-COUNTIFS(集計用!$U:$U, "*, "&amp;F$4&amp;", *",集計用!$G:$G,"*, "&amp;$C26&amp;", *",集計用!$U:$U, "*英語を日常的に*"))/$B26*100</f>
        <v>33.333333333333329</v>
      </c>
      <c r="G26" s="41">
        <f>(COUNTIFS(集計用!$U:$U, "*, "&amp;G$4&amp;", *",集計用!$G:$G,"*, "&amp;$C26&amp;", *")-COUNTIFS(集計用!$U:$U, "*, "&amp;G$4&amp;", *",集計用!$G:$G,"*, "&amp;$C26&amp;", *",集計用!$U:$U, "*英語を日常的に*"))/$B26*100</f>
        <v>11.111111111111111</v>
      </c>
      <c r="H26" s="41">
        <f>(COUNTIFS(集計用!$U:$U, "*, "&amp;H$4&amp;", *",集計用!$G:$G,"*, "&amp;$C26&amp;", *")-COUNTIFS(集計用!$U:$U, "*, "&amp;H$4&amp;", *",集計用!$G:$G,"*, "&amp;$C26&amp;", *",集計用!$U:$U, "*英語を日常的に*"))/$B26*100</f>
        <v>22.222222222222221</v>
      </c>
      <c r="I26" s="41">
        <f>(COUNTIFS(集計用!$U:$U, "*, "&amp;I$4&amp;", *",集計用!$G:$G,"*, "&amp;$C26&amp;", *")-COUNTIFS(集計用!$U:$U, "*, "&amp;I$4&amp;", *",集計用!$G:$G,"*, "&amp;$C26&amp;", *",集計用!$U:$U, "*英語を日常的に*"))/$B26*100</f>
        <v>33.333333333333329</v>
      </c>
      <c r="J26" s="41">
        <f>(COUNTIFS(集計用!$U:$U, "*, "&amp;J$4&amp;", *",集計用!$G:$G,"*, "&amp;$C26&amp;", *")-COUNTIFS(集計用!$U:$U, "*, "&amp;J$4&amp;", *",集計用!$G:$G,"*, "&amp;$C26&amp;", *",集計用!$U:$U, "*英語を日常的に*"))/$B26*100</f>
        <v>22.222222222222221</v>
      </c>
      <c r="K26" s="41">
        <f>(COUNTIFS(集計用!$U:$U, "*, "&amp;K$4&amp;", *",集計用!$G:$G,"*, "&amp;$C26&amp;", *")-COUNTIFS(集計用!$U:$U, "*, "&amp;K$4&amp;", *",集計用!$G:$G,"*, "&amp;$C26&amp;", *",集計用!$U:$U, "*英語を日常的に*"))/$B26*100</f>
        <v>0</v>
      </c>
      <c r="L26" s="41">
        <f>(COUNTIFS(集計用!$U:$U, "*, "&amp;L$4&amp;", *",集計用!$G:$G,"*, "&amp;$C26&amp;", *")-COUNTIFS(集計用!$U:$U, "*, "&amp;L$4&amp;", *",集計用!$G:$G,"*, "&amp;$C26&amp;", *",集計用!$U:$U, "*英語を日常的に*"))/$B26*100</f>
        <v>0</v>
      </c>
      <c r="M26" s="41">
        <f>(COUNTIFS(集計用!$U:$U, "*, "&amp;M$4&amp;", *",集計用!$G:$G,"*, "&amp;$C26&amp;", *")-COUNTIFS(集計用!$U:$U, "*, "&amp;M$4&amp;", *",集計用!$G:$G,"*, "&amp;$C26&amp;", *",集計用!$U:$U, "*英語を日常的に*"))/$B26*100</f>
        <v>0</v>
      </c>
      <c r="N26" s="41">
        <f>(COUNTIFS(集計用!$U:$U, "*, "&amp;N$4&amp;", *",集計用!$G:$G,"*, "&amp;$C26&amp;", *")-COUNTIFS(集計用!$U:$U, "*, "&amp;N$4&amp;", *",集計用!$G:$G,"*, "&amp;$C26&amp;", *",集計用!$U:$U, "*英語を日常的に*"))/$B26*100</f>
        <v>11.111111111111111</v>
      </c>
      <c r="O26" s="41">
        <f>(COUNTIFS(集計用!$U:$U, "*, "&amp;O$4&amp;", *",集計用!$G:$G,"*, "&amp;$C26&amp;", *")-COUNTIFS(集計用!$U:$U, "*, "&amp;O$4&amp;", *",集計用!$G:$G,"*, "&amp;$C26&amp;", *",集計用!$U:$U, "*英語を日常的に*"))/$B26*100</f>
        <v>0</v>
      </c>
      <c r="P26" s="41">
        <f>(COUNTIFS(集計用!$U:$U, "*, "&amp;P$4&amp;", *",集計用!$G:$G,"*, "&amp;$C26&amp;", *")-COUNTIFS(集計用!$U:$U, "*, "&amp;P$4&amp;", *",集計用!$G:$G,"*, "&amp;$C26&amp;", *",集計用!$U:$U, "*英語を日常的に*"))/$B26*100</f>
        <v>0</v>
      </c>
      <c r="Q26" s="41">
        <f>(COUNTIFS(集計用!$U:$U, "*, "&amp;Q$4&amp;", *",集計用!$G:$G,"*, "&amp;$C26&amp;", *")-COUNTIFS(集計用!$U:$U, "*, "&amp;Q$4&amp;", *",集計用!$G:$G,"*, "&amp;$C26&amp;", *",集計用!$U:$U, "*英語を日常的に*"))/$B26*100</f>
        <v>0</v>
      </c>
      <c r="R26" s="41">
        <f>(COUNTIFS(集計用!$U:$U, "*, "&amp;R$4&amp;", *",集計用!$G:$G,"*, "&amp;$C26&amp;", *")-COUNTIFS(集計用!$U:$U, "*, "&amp;R$4&amp;", *",集計用!$G:$G,"*, "&amp;$C26&amp;", *",集計用!$U:$U, "*英語を日常的に*"))/$B26*100</f>
        <v>0</v>
      </c>
    </row>
    <row r="27" spans="1:18" ht="12.75">
      <c r="A27" s="39">
        <v>4</v>
      </c>
      <c r="B27" s="39">
        <f>(COUNTIFS(集計用!$G:$G,"*, "&amp;$C27&amp;",*"))-COUNTIFS(集計用!U:U, "*英語を日常的に*",集計用!$G:$G,"*, "&amp;$C27&amp;",*")</f>
        <v>10</v>
      </c>
      <c r="C27" s="42" t="s">
        <v>23</v>
      </c>
      <c r="D27" s="41">
        <f>(COUNTIFS(集計用!$U:$U, "*, "&amp;D$4&amp;", *",集計用!$G:$G,"*, "&amp;$C27&amp;", *")-COUNTIFS(集計用!$U:$U, "*, "&amp;D$4&amp;", *",集計用!$G:$G,"*, "&amp;$C27&amp;", *",集計用!$U:$U, "*英語を日常的に*"))/$B27*100</f>
        <v>40</v>
      </c>
      <c r="E27" s="41">
        <f>(COUNTIFS(集計用!$U:$U, "*, "&amp;E$4&amp;", *",集計用!$G:$G,"*, "&amp;$C27&amp;", *")-COUNTIFS(集計用!$U:$U, "*, "&amp;E$4&amp;", *",集計用!$G:$G,"*, "&amp;$C27&amp;", *",集計用!$U:$U, "*英語を日常的に*"))/$B27*100</f>
        <v>30</v>
      </c>
      <c r="F27" s="41">
        <f>(COUNTIFS(集計用!$U:$U, "*, "&amp;F$4&amp;", *",集計用!$G:$G,"*, "&amp;$C27&amp;", *")-COUNTIFS(集計用!$U:$U, "*, "&amp;F$4&amp;", *",集計用!$G:$G,"*, "&amp;$C27&amp;", *",集計用!$U:$U, "*英語を日常的に*"))/$B27*100</f>
        <v>40</v>
      </c>
      <c r="G27" s="41">
        <f>(COUNTIFS(集計用!$U:$U, "*, "&amp;G$4&amp;", *",集計用!$G:$G,"*, "&amp;$C27&amp;", *")-COUNTIFS(集計用!$U:$U, "*, "&amp;G$4&amp;", *",集計用!$G:$G,"*, "&amp;$C27&amp;", *",集計用!$U:$U, "*英語を日常的に*"))/$B27*100</f>
        <v>10</v>
      </c>
      <c r="H27" s="41">
        <f>(COUNTIFS(集計用!$U:$U, "*, "&amp;H$4&amp;", *",集計用!$G:$G,"*, "&amp;$C27&amp;", *")-COUNTIFS(集計用!$U:$U, "*, "&amp;H$4&amp;", *",集計用!$G:$G,"*, "&amp;$C27&amp;", *",集計用!$U:$U, "*英語を日常的に*"))/$B27*100</f>
        <v>20</v>
      </c>
      <c r="I27" s="41">
        <f>(COUNTIFS(集計用!$U:$U, "*, "&amp;I$4&amp;", *",集計用!$G:$G,"*, "&amp;$C27&amp;", *")-COUNTIFS(集計用!$U:$U, "*, "&amp;I$4&amp;", *",集計用!$G:$G,"*, "&amp;$C27&amp;", *",集計用!$U:$U, "*英語を日常的に*"))/$B27*100</f>
        <v>0</v>
      </c>
      <c r="J27" s="41">
        <f>(COUNTIFS(集計用!$U:$U, "*, "&amp;J$4&amp;", *",集計用!$G:$G,"*, "&amp;$C27&amp;", *")-COUNTIFS(集計用!$U:$U, "*, "&amp;J$4&amp;", *",集計用!$G:$G,"*, "&amp;$C27&amp;", *",集計用!$U:$U, "*英語を日常的に*"))/$B27*100</f>
        <v>10</v>
      </c>
      <c r="K27" s="41">
        <f>(COUNTIFS(集計用!$U:$U, "*, "&amp;K$4&amp;", *",集計用!$G:$G,"*, "&amp;$C27&amp;", *")-COUNTIFS(集計用!$U:$U, "*, "&amp;K$4&amp;", *",集計用!$G:$G,"*, "&amp;$C27&amp;", *",集計用!$U:$U, "*英語を日常的に*"))/$B27*100</f>
        <v>10</v>
      </c>
      <c r="L27" s="41">
        <f>(COUNTIFS(集計用!$U:$U, "*, "&amp;L$4&amp;", *",集計用!$G:$G,"*, "&amp;$C27&amp;", *")-COUNTIFS(集計用!$U:$U, "*, "&amp;L$4&amp;", *",集計用!$G:$G,"*, "&amp;$C27&amp;", *",集計用!$U:$U, "*英語を日常的に*"))/$B27*100</f>
        <v>0</v>
      </c>
      <c r="M27" s="41">
        <f>(COUNTIFS(集計用!$U:$U, "*, "&amp;M$4&amp;", *",集計用!$G:$G,"*, "&amp;$C27&amp;", *")-COUNTIFS(集計用!$U:$U, "*, "&amp;M$4&amp;", *",集計用!$G:$G,"*, "&amp;$C27&amp;", *",集計用!$U:$U, "*英語を日常的に*"))/$B27*100</f>
        <v>0</v>
      </c>
      <c r="N27" s="41">
        <f>(COUNTIFS(集計用!$U:$U, "*, "&amp;N$4&amp;", *",集計用!$G:$G,"*, "&amp;$C27&amp;", *")-COUNTIFS(集計用!$U:$U, "*, "&amp;N$4&amp;", *",集計用!$G:$G,"*, "&amp;$C27&amp;", *",集計用!$U:$U, "*英語を日常的に*"))/$B27*100</f>
        <v>0</v>
      </c>
      <c r="O27" s="41">
        <f>(COUNTIFS(集計用!$U:$U, "*, "&amp;O$4&amp;", *",集計用!$G:$G,"*, "&amp;$C27&amp;", *")-COUNTIFS(集計用!$U:$U, "*, "&amp;O$4&amp;", *",集計用!$G:$G,"*, "&amp;$C27&amp;", *",集計用!$U:$U, "*英語を日常的に*"))/$B27*100</f>
        <v>0</v>
      </c>
      <c r="P27" s="41">
        <f>(COUNTIFS(集計用!$U:$U, "*, "&amp;P$4&amp;", *",集計用!$G:$G,"*, "&amp;$C27&amp;", *")-COUNTIFS(集計用!$U:$U, "*, "&amp;P$4&amp;", *",集計用!$G:$G,"*, "&amp;$C27&amp;", *",集計用!$U:$U, "*英語を日常的に*"))/$B27*100</f>
        <v>0</v>
      </c>
      <c r="Q27" s="41">
        <f>(COUNTIFS(集計用!$U:$U, "*, "&amp;Q$4&amp;", *",集計用!$G:$G,"*, "&amp;$C27&amp;", *")-COUNTIFS(集計用!$U:$U, "*, "&amp;Q$4&amp;", *",集計用!$G:$G,"*, "&amp;$C27&amp;", *",集計用!$U:$U, "*英語を日常的に*"))/$B27*100</f>
        <v>0</v>
      </c>
      <c r="R27" s="41">
        <f>(COUNTIFS(集計用!$U:$U, "*, "&amp;R$4&amp;", *",集計用!$G:$G,"*, "&amp;$C27&amp;", *")-COUNTIFS(集計用!$U:$U, "*, "&amp;R$4&amp;", *",集計用!$G:$G,"*, "&amp;$C27&amp;", *",集計用!$U:$U, "*英語を日常的に*"))/$B27*100</f>
        <v>0</v>
      </c>
    </row>
    <row r="28" spans="1:18" ht="15.75" customHeight="1">
      <c r="A28" s="39">
        <v>5</v>
      </c>
      <c r="B28" s="39">
        <f>(COUNTIFS(集計用!$G:$G,"*, "&amp;$C28&amp;",*"))-COUNTIFS(集計用!U:U, "*英語を日常的に*",集計用!$G:$G,"*, "&amp;$C28&amp;",*")</f>
        <v>10</v>
      </c>
      <c r="C28" s="42" t="s">
        <v>22</v>
      </c>
      <c r="D28" s="41">
        <f>(COUNTIFS(集計用!$U:$U, "*, "&amp;D$4&amp;", *",集計用!$G:$G,"*, "&amp;$C28&amp;", *")-COUNTIFS(集計用!$U:$U, "*, "&amp;D$4&amp;", *",集計用!$G:$G,"*, "&amp;$C28&amp;", *",集計用!$U:$U, "*英語を日常的に*"))/$B28*100</f>
        <v>50</v>
      </c>
      <c r="E28" s="41">
        <f>(COUNTIFS(集計用!$U:$U, "*, "&amp;E$4&amp;", *",集計用!$G:$G,"*, "&amp;$C28&amp;", *")-COUNTIFS(集計用!$U:$U, "*, "&amp;E$4&amp;", *",集計用!$G:$G,"*, "&amp;$C28&amp;", *",集計用!$U:$U, "*英語を日常的に*"))/$B28*100</f>
        <v>40</v>
      </c>
      <c r="F28" s="41">
        <f>(COUNTIFS(集計用!$U:$U, "*, "&amp;F$4&amp;", *",集計用!$G:$G,"*, "&amp;$C28&amp;", *")-COUNTIFS(集計用!$U:$U, "*, "&amp;F$4&amp;", *",集計用!$G:$G,"*, "&amp;$C28&amp;", *",集計用!$U:$U, "*英語を日常的に*"))/$B28*100</f>
        <v>20</v>
      </c>
      <c r="G28" s="41">
        <f>(COUNTIFS(集計用!$U:$U, "*, "&amp;G$4&amp;", *",集計用!$G:$G,"*, "&amp;$C28&amp;", *")-COUNTIFS(集計用!$U:$U, "*, "&amp;G$4&amp;", *",集計用!$G:$G,"*, "&amp;$C28&amp;", *",集計用!$U:$U, "*英語を日常的に*"))/$B28*100</f>
        <v>0</v>
      </c>
      <c r="H28" s="41">
        <f>(COUNTIFS(集計用!$U:$U, "*, "&amp;H$4&amp;", *",集計用!$G:$G,"*, "&amp;$C28&amp;", *")-COUNTIFS(集計用!$U:$U, "*, "&amp;H$4&amp;", *",集計用!$G:$G,"*, "&amp;$C28&amp;", *",集計用!$U:$U, "*英語を日常的に*"))/$B28*100</f>
        <v>30</v>
      </c>
      <c r="I28" s="41">
        <f>(COUNTIFS(集計用!$U:$U, "*, "&amp;I$4&amp;", *",集計用!$G:$G,"*, "&amp;$C28&amp;", *")-COUNTIFS(集計用!$U:$U, "*, "&amp;I$4&amp;", *",集計用!$G:$G,"*, "&amp;$C28&amp;", *",集計用!$U:$U, "*英語を日常的に*"))/$B28*100</f>
        <v>60</v>
      </c>
      <c r="J28" s="41">
        <f>(COUNTIFS(集計用!$U:$U, "*, "&amp;J$4&amp;", *",集計用!$G:$G,"*, "&amp;$C28&amp;", *")-COUNTIFS(集計用!$U:$U, "*, "&amp;J$4&amp;", *",集計用!$G:$G,"*, "&amp;$C28&amp;", *",集計用!$U:$U, "*英語を日常的に*"))/$B28*100</f>
        <v>0</v>
      </c>
      <c r="K28" s="41">
        <f>(COUNTIFS(集計用!$U:$U, "*, "&amp;K$4&amp;", *",集計用!$G:$G,"*, "&amp;$C28&amp;", *")-COUNTIFS(集計用!$U:$U, "*, "&amp;K$4&amp;", *",集計用!$G:$G,"*, "&amp;$C28&amp;", *",集計用!$U:$U, "*英語を日常的に*"))/$B28*100</f>
        <v>0</v>
      </c>
      <c r="L28" s="41">
        <f>(COUNTIFS(集計用!$U:$U, "*, "&amp;L$4&amp;", *",集計用!$G:$G,"*, "&amp;$C28&amp;", *")-COUNTIFS(集計用!$U:$U, "*, "&amp;L$4&amp;", *",集計用!$G:$G,"*, "&amp;$C28&amp;", *",集計用!$U:$U, "*英語を日常的に*"))/$B28*100</f>
        <v>0</v>
      </c>
      <c r="M28" s="41">
        <f>(COUNTIFS(集計用!$U:$U, "*, "&amp;M$4&amp;", *",集計用!$G:$G,"*, "&amp;$C28&amp;", *")-COUNTIFS(集計用!$U:$U, "*, "&amp;M$4&amp;", *",集計用!$G:$G,"*, "&amp;$C28&amp;", *",集計用!$U:$U, "*英語を日常的に*"))/$B28*100</f>
        <v>0</v>
      </c>
      <c r="N28" s="41">
        <f>(COUNTIFS(集計用!$U:$U, "*, "&amp;N$4&amp;", *",集計用!$G:$G,"*, "&amp;$C28&amp;", *")-COUNTIFS(集計用!$U:$U, "*, "&amp;N$4&amp;", *",集計用!$G:$G,"*, "&amp;$C28&amp;", *",集計用!$U:$U, "*英語を日常的に*"))/$B28*100</f>
        <v>10</v>
      </c>
      <c r="O28" s="41">
        <f>(COUNTIFS(集計用!$U:$U, "*, "&amp;O$4&amp;", *",集計用!$G:$G,"*, "&amp;$C28&amp;", *")-COUNTIFS(集計用!$U:$U, "*, "&amp;O$4&amp;", *",集計用!$G:$G,"*, "&amp;$C28&amp;", *",集計用!$U:$U, "*英語を日常的に*"))/$B28*100</f>
        <v>0</v>
      </c>
      <c r="P28" s="41">
        <f>(COUNTIFS(集計用!$U:$U, "*, "&amp;P$4&amp;", *",集計用!$G:$G,"*, "&amp;$C28&amp;", *")-COUNTIFS(集計用!$U:$U, "*, "&amp;P$4&amp;", *",集計用!$G:$G,"*, "&amp;$C28&amp;", *",集計用!$U:$U, "*英語を日常的に*"))/$B28*100</f>
        <v>0</v>
      </c>
      <c r="Q28" s="41">
        <f>(COUNTIFS(集計用!$U:$U, "*, "&amp;Q$4&amp;", *",集計用!$G:$G,"*, "&amp;$C28&amp;", *")-COUNTIFS(集計用!$U:$U, "*, "&amp;Q$4&amp;", *",集計用!$G:$G,"*, "&amp;$C28&amp;", *",集計用!$U:$U, "*英語を日常的に*"))/$B28*100</f>
        <v>0</v>
      </c>
      <c r="R28" s="41">
        <f>(COUNTIFS(集計用!$U:$U, "*, "&amp;R$4&amp;", *",集計用!$G:$G,"*, "&amp;$C28&amp;", *")-COUNTIFS(集計用!$U:$U, "*, "&amp;R$4&amp;", *",集計用!$G:$G,"*, "&amp;$C28&amp;", *",集計用!$U:$U, "*英語を日常的に*"))/$B28*100</f>
        <v>0</v>
      </c>
    </row>
    <row r="29" spans="1:18" ht="15.75" customHeight="1">
      <c r="A29" s="39">
        <v>5</v>
      </c>
      <c r="B29" s="39">
        <f>(COUNTIFS(集計用!$G:$G,"*, "&amp;$C29&amp;",*"))-COUNTIFS(集計用!U:U, "*英語を日常的に*",集計用!$G:$G,"*, "&amp;$C29&amp;",*")</f>
        <v>8</v>
      </c>
      <c r="C29" s="42" t="s">
        <v>21</v>
      </c>
      <c r="D29" s="41">
        <f>(COUNTIFS(集計用!$U:$U, "*, "&amp;D$4&amp;", *",集計用!$G:$G,"*, "&amp;$C29&amp;", *")-COUNTIFS(集計用!$U:$U, "*, "&amp;D$4&amp;", *",集計用!$G:$G,"*, "&amp;$C29&amp;", *",集計用!$U:$U, "*英語を日常的に*"))/$B29*100</f>
        <v>37.5</v>
      </c>
      <c r="E29" s="41">
        <f>(COUNTIFS(集計用!$U:$U, "*, "&amp;E$4&amp;", *",集計用!$G:$G,"*, "&amp;$C29&amp;", *")-COUNTIFS(集計用!$U:$U, "*, "&amp;E$4&amp;", *",集計用!$G:$G,"*, "&amp;$C29&amp;", *",集計用!$U:$U, "*英語を日常的に*"))/$B29*100</f>
        <v>37.5</v>
      </c>
      <c r="F29" s="41">
        <f>(COUNTIFS(集計用!$U:$U, "*, "&amp;F$4&amp;", *",集計用!$G:$G,"*, "&amp;$C29&amp;", *")-COUNTIFS(集計用!$U:$U, "*, "&amp;F$4&amp;", *",集計用!$G:$G,"*, "&amp;$C29&amp;", *",集計用!$U:$U, "*英語を日常的に*"))/$B29*100</f>
        <v>25</v>
      </c>
      <c r="G29" s="41">
        <f>(COUNTIFS(集計用!$U:$U, "*, "&amp;G$4&amp;", *",集計用!$G:$G,"*, "&amp;$C29&amp;", *")-COUNTIFS(集計用!$U:$U, "*, "&amp;G$4&amp;", *",集計用!$G:$G,"*, "&amp;$C29&amp;", *",集計用!$U:$U, "*英語を日常的に*"))/$B29*100</f>
        <v>0</v>
      </c>
      <c r="H29" s="41">
        <f>(COUNTIFS(集計用!$U:$U, "*, "&amp;H$4&amp;", *",集計用!$G:$G,"*, "&amp;$C29&amp;", *")-COUNTIFS(集計用!$U:$U, "*, "&amp;H$4&amp;", *",集計用!$G:$G,"*, "&amp;$C29&amp;", *",集計用!$U:$U, "*英語を日常的に*"))/$B29*100</f>
        <v>25</v>
      </c>
      <c r="I29" s="41">
        <f>(COUNTIFS(集計用!$U:$U, "*, "&amp;I$4&amp;", *",集計用!$G:$G,"*, "&amp;$C29&amp;", *")-COUNTIFS(集計用!$U:$U, "*, "&amp;I$4&amp;", *",集計用!$G:$G,"*, "&amp;$C29&amp;", *",集計用!$U:$U, "*英語を日常的に*"))/$B29*100</f>
        <v>37.5</v>
      </c>
      <c r="J29" s="41">
        <f>(COUNTIFS(集計用!$U:$U, "*, "&amp;J$4&amp;", *",集計用!$G:$G,"*, "&amp;$C29&amp;", *")-COUNTIFS(集計用!$U:$U, "*, "&amp;J$4&amp;", *",集計用!$G:$G,"*, "&amp;$C29&amp;", *",集計用!$U:$U, "*英語を日常的に*"))/$B29*100</f>
        <v>0</v>
      </c>
      <c r="K29" s="41">
        <f>(COUNTIFS(集計用!$U:$U, "*, "&amp;K$4&amp;", *",集計用!$G:$G,"*, "&amp;$C29&amp;", *")-COUNTIFS(集計用!$U:$U, "*, "&amp;K$4&amp;", *",集計用!$G:$G,"*, "&amp;$C29&amp;", *",集計用!$U:$U, "*英語を日常的に*"))/$B29*100</f>
        <v>0</v>
      </c>
      <c r="L29" s="41">
        <f>(COUNTIFS(集計用!$U:$U, "*, "&amp;L$4&amp;", *",集計用!$G:$G,"*, "&amp;$C29&amp;", *")-COUNTIFS(集計用!$U:$U, "*, "&amp;L$4&amp;", *",集計用!$G:$G,"*, "&amp;$C29&amp;", *",集計用!$U:$U, "*英語を日常的に*"))/$B29*100</f>
        <v>0</v>
      </c>
      <c r="M29" s="41">
        <f>(COUNTIFS(集計用!$U:$U, "*, "&amp;M$4&amp;", *",集計用!$G:$G,"*, "&amp;$C29&amp;", *")-COUNTIFS(集計用!$U:$U, "*, "&amp;M$4&amp;", *",集計用!$G:$G,"*, "&amp;$C29&amp;", *",集計用!$U:$U, "*英語を日常的に*"))/$B29*100</f>
        <v>0</v>
      </c>
      <c r="N29" s="41">
        <f>(COUNTIFS(集計用!$U:$U, "*, "&amp;N$4&amp;", *",集計用!$G:$G,"*, "&amp;$C29&amp;", *")-COUNTIFS(集計用!$U:$U, "*, "&amp;N$4&amp;", *",集計用!$G:$G,"*, "&amp;$C29&amp;", *",集計用!$U:$U, "*英語を日常的に*"))/$B29*100</f>
        <v>0</v>
      </c>
      <c r="O29" s="41">
        <f>(COUNTIFS(集計用!$U:$U, "*, "&amp;O$4&amp;", *",集計用!$G:$G,"*, "&amp;$C29&amp;", *")-COUNTIFS(集計用!$U:$U, "*, "&amp;O$4&amp;", *",集計用!$G:$G,"*, "&amp;$C29&amp;", *",集計用!$U:$U, "*英語を日常的に*"))/$B29*100</f>
        <v>0</v>
      </c>
      <c r="P29" s="41">
        <f>(COUNTIFS(集計用!$U:$U, "*, "&amp;P$4&amp;", *",集計用!$G:$G,"*, "&amp;$C29&amp;", *")-COUNTIFS(集計用!$U:$U, "*, "&amp;P$4&amp;", *",集計用!$G:$G,"*, "&amp;$C29&amp;", *",集計用!$U:$U, "*英語を日常的に*"))/$B29*100</f>
        <v>0</v>
      </c>
      <c r="Q29" s="41">
        <f>(COUNTIFS(集計用!$U:$U, "*, "&amp;Q$4&amp;", *",集計用!$G:$G,"*, "&amp;$C29&amp;", *")-COUNTIFS(集計用!$U:$U, "*, "&amp;Q$4&amp;", *",集計用!$G:$G,"*, "&amp;$C29&amp;", *",集計用!$U:$U, "*英語を日常的に*"))/$B29*100</f>
        <v>0</v>
      </c>
      <c r="R29" s="41">
        <f>(COUNTIFS(集計用!$U:$U, "*, "&amp;R$4&amp;", *",集計用!$G:$G,"*, "&amp;$C29&amp;", *")-COUNTIFS(集計用!$U:$U, "*, "&amp;R$4&amp;", *",集計用!$G:$G,"*, "&amp;$C29&amp;", *",集計用!$U:$U, "*英語を日常的に*"))/$B29*100</f>
        <v>0</v>
      </c>
    </row>
    <row r="30" spans="1:18" ht="12.75">
      <c r="A30" s="39">
        <v>6</v>
      </c>
      <c r="B30" s="39">
        <f>(COUNTIFS(集計用!$G:$G,"*, "&amp;$C30&amp;",*"))-COUNTIFS(集計用!U:U, "*英語を日常的に*",集計用!$G:$G,"*, "&amp;$C30&amp;",*")</f>
        <v>4</v>
      </c>
      <c r="C30" s="42" t="s">
        <v>25</v>
      </c>
      <c r="D30" s="41">
        <f>(COUNTIFS(集計用!$U:$U, "*, "&amp;D$4&amp;", *",集計用!$G:$G,"*, "&amp;$C30&amp;", *")-COUNTIFS(集計用!$U:$U, "*, "&amp;D$4&amp;", *",集計用!$G:$G,"*, "&amp;$C30&amp;", *",集計用!$U:$U, "*英語を日常的に*"))/$B30*100</f>
        <v>50</v>
      </c>
      <c r="E30" s="41">
        <f>(COUNTIFS(集計用!$U:$U, "*, "&amp;E$4&amp;", *",集計用!$G:$G,"*, "&amp;$C30&amp;", *")-COUNTIFS(集計用!$U:$U, "*, "&amp;E$4&amp;", *",集計用!$G:$G,"*, "&amp;$C30&amp;", *",集計用!$U:$U, "*英語を日常的に*"))/$B30*100</f>
        <v>0</v>
      </c>
      <c r="F30" s="41">
        <f>(COUNTIFS(集計用!$U:$U, "*, "&amp;F$4&amp;", *",集計用!$G:$G,"*, "&amp;$C30&amp;", *")-COUNTIFS(集計用!$U:$U, "*, "&amp;F$4&amp;", *",集計用!$G:$G,"*, "&amp;$C30&amp;", *",集計用!$U:$U, "*英語を日常的に*"))/$B30*100</f>
        <v>50</v>
      </c>
      <c r="G30" s="41">
        <f>(COUNTIFS(集計用!$U:$U, "*, "&amp;G$4&amp;", *",集計用!$G:$G,"*, "&amp;$C30&amp;", *")-COUNTIFS(集計用!$U:$U, "*, "&amp;G$4&amp;", *",集計用!$G:$G,"*, "&amp;$C30&amp;", *",集計用!$U:$U, "*英語を日常的に*"))/$B30*100</f>
        <v>0</v>
      </c>
      <c r="H30" s="41">
        <f>(COUNTIFS(集計用!$U:$U, "*, "&amp;H$4&amp;", *",集計用!$G:$G,"*, "&amp;$C30&amp;", *")-COUNTIFS(集計用!$U:$U, "*, "&amp;H$4&amp;", *",集計用!$G:$G,"*, "&amp;$C30&amp;", *",集計用!$U:$U, "*英語を日常的に*"))/$B30*100</f>
        <v>25</v>
      </c>
      <c r="I30" s="41">
        <f>(COUNTIFS(集計用!$U:$U, "*, "&amp;I$4&amp;", *",集計用!$G:$G,"*, "&amp;$C30&amp;", *")-COUNTIFS(集計用!$U:$U, "*, "&amp;I$4&amp;", *",集計用!$G:$G,"*, "&amp;$C30&amp;", *",集計用!$U:$U, "*英語を日常的に*"))/$B30*100</f>
        <v>25</v>
      </c>
      <c r="J30" s="41">
        <f>(COUNTIFS(集計用!$U:$U, "*, "&amp;J$4&amp;", *",集計用!$G:$G,"*, "&amp;$C30&amp;", *")-COUNTIFS(集計用!$U:$U, "*, "&amp;J$4&amp;", *",集計用!$G:$G,"*, "&amp;$C30&amp;", *",集計用!$U:$U, "*英語を日常的に*"))/$B30*100</f>
        <v>50</v>
      </c>
      <c r="K30" s="41">
        <f>(COUNTIFS(集計用!$U:$U, "*, "&amp;K$4&amp;", *",集計用!$G:$G,"*, "&amp;$C30&amp;", *")-COUNTIFS(集計用!$U:$U, "*, "&amp;K$4&amp;", *",集計用!$G:$G,"*, "&amp;$C30&amp;", *",集計用!$U:$U, "*英語を日常的に*"))/$B30*100</f>
        <v>0</v>
      </c>
      <c r="L30" s="41">
        <f>(COUNTIFS(集計用!$U:$U, "*, "&amp;L$4&amp;", *",集計用!$G:$G,"*, "&amp;$C30&amp;", *")-COUNTIFS(集計用!$U:$U, "*, "&amp;L$4&amp;", *",集計用!$G:$G,"*, "&amp;$C30&amp;", *",集計用!$U:$U, "*英語を日常的に*"))/$B30*100</f>
        <v>0</v>
      </c>
      <c r="M30" s="41">
        <f>(COUNTIFS(集計用!$U:$U, "*, "&amp;M$4&amp;", *",集計用!$G:$G,"*, "&amp;$C30&amp;", *")-COUNTIFS(集計用!$U:$U, "*, "&amp;M$4&amp;", *",集計用!$G:$G,"*, "&amp;$C30&amp;", *",集計用!$U:$U, "*英語を日常的に*"))/$B30*100</f>
        <v>0</v>
      </c>
      <c r="N30" s="41">
        <f>(COUNTIFS(集計用!$U:$U, "*, "&amp;N$4&amp;", *",集計用!$G:$G,"*, "&amp;$C30&amp;", *")-COUNTIFS(集計用!$U:$U, "*, "&amp;N$4&amp;", *",集計用!$G:$G,"*, "&amp;$C30&amp;", *",集計用!$U:$U, "*英語を日常的に*"))/$B30*100</f>
        <v>0</v>
      </c>
      <c r="O30" s="41">
        <f>(COUNTIFS(集計用!$U:$U, "*, "&amp;O$4&amp;", *",集計用!$G:$G,"*, "&amp;$C30&amp;", *")-COUNTIFS(集計用!$U:$U, "*, "&amp;O$4&amp;", *",集計用!$G:$G,"*, "&amp;$C30&amp;", *",集計用!$U:$U, "*英語を日常的に*"))/$B30*100</f>
        <v>0</v>
      </c>
      <c r="P30" s="41">
        <f>(COUNTIFS(集計用!$U:$U, "*, "&amp;P$4&amp;", *",集計用!$G:$G,"*, "&amp;$C30&amp;", *")-COUNTIFS(集計用!$U:$U, "*, "&amp;P$4&amp;", *",集計用!$G:$G,"*, "&amp;$C30&amp;", *",集計用!$U:$U, "*英語を日常的に*"))/$B30*100</f>
        <v>0</v>
      </c>
      <c r="Q30" s="41">
        <f>(COUNTIFS(集計用!$U:$U, "*, "&amp;Q$4&amp;", *",集計用!$G:$G,"*, "&amp;$C30&amp;", *")-COUNTIFS(集計用!$U:$U, "*, "&amp;Q$4&amp;", *",集計用!$G:$G,"*, "&amp;$C30&amp;", *",集計用!$U:$U, "*英語を日常的に*"))/$B30*100</f>
        <v>0</v>
      </c>
      <c r="R30" s="41">
        <f>(COUNTIFS(集計用!$U:$U, "*, "&amp;R$4&amp;", *",集計用!$G:$G,"*, "&amp;$C30&amp;", *")-COUNTIFS(集計用!$U:$U, "*, "&amp;R$4&amp;", *",集計用!$G:$G,"*, "&amp;$C30&amp;", *",集計用!$U:$U, "*英語を日常的に*"))/$B30*100</f>
        <v>0</v>
      </c>
    </row>
    <row r="31" spans="1:18" ht="15.75" customHeight="1">
      <c r="A31" s="39">
        <v>4</v>
      </c>
      <c r="B31" s="39">
        <f>(COUNTIFS(集計用!$G:$G,"*, "&amp;$C31&amp;",*"))-COUNTIFS(集計用!U:U, "*英語を日常的に*",集計用!$G:$G,"*, "&amp;$C31&amp;",*")</f>
        <v>11</v>
      </c>
      <c r="C31" s="42" t="s">
        <v>24</v>
      </c>
      <c r="D31" s="41">
        <f>(COUNTIFS(集計用!$U:$U, "*, "&amp;D$4&amp;", *",集計用!$G:$G,"*, "&amp;$C31&amp;", *")-COUNTIFS(集計用!$U:$U, "*, "&amp;D$4&amp;", *",集計用!$G:$G,"*, "&amp;$C31&amp;", *",集計用!$U:$U, "*英語を日常的に*"))/$B31*100</f>
        <v>81.818181818181827</v>
      </c>
      <c r="E31" s="41">
        <f>(COUNTIFS(集計用!$U:$U, "*, "&amp;E$4&amp;", *",集計用!$G:$G,"*, "&amp;$C31&amp;", *")-COUNTIFS(集計用!$U:$U, "*, "&amp;E$4&amp;", *",集計用!$G:$G,"*, "&amp;$C31&amp;", *",集計用!$U:$U, "*英語を日常的に*"))/$B31*100</f>
        <v>36.363636363636367</v>
      </c>
      <c r="F31" s="41">
        <f>(COUNTIFS(集計用!$U:$U, "*, "&amp;F$4&amp;", *",集計用!$G:$G,"*, "&amp;$C31&amp;", *")-COUNTIFS(集計用!$U:$U, "*, "&amp;F$4&amp;", *",集計用!$G:$G,"*, "&amp;$C31&amp;", *",集計用!$U:$U, "*英語を日常的に*"))/$B31*100</f>
        <v>18.181818181818183</v>
      </c>
      <c r="G31" s="41">
        <f>(COUNTIFS(集計用!$U:$U, "*, "&amp;G$4&amp;", *",集計用!$G:$G,"*, "&amp;$C31&amp;", *")-COUNTIFS(集計用!$U:$U, "*, "&amp;G$4&amp;", *",集計用!$G:$G,"*, "&amp;$C31&amp;", *",集計用!$U:$U, "*英語を日常的に*"))/$B31*100</f>
        <v>27.27272727272727</v>
      </c>
      <c r="H31" s="41">
        <f>(COUNTIFS(集計用!$U:$U, "*, "&amp;H$4&amp;", *",集計用!$G:$G,"*, "&amp;$C31&amp;", *")-COUNTIFS(集計用!$U:$U, "*, "&amp;H$4&amp;", *",集計用!$G:$G,"*, "&amp;$C31&amp;", *",集計用!$U:$U, "*英語を日常的に*"))/$B31*100</f>
        <v>18.181818181818183</v>
      </c>
      <c r="I31" s="41">
        <f>(COUNTIFS(集計用!$U:$U, "*, "&amp;I$4&amp;", *",集計用!$G:$G,"*, "&amp;$C31&amp;", *")-COUNTIFS(集計用!$U:$U, "*, "&amp;I$4&amp;", *",集計用!$G:$G,"*, "&amp;$C31&amp;", *",集計用!$U:$U, "*英語を日常的に*"))/$B31*100</f>
        <v>9.0909090909090917</v>
      </c>
      <c r="J31" s="41">
        <f>(COUNTIFS(集計用!$U:$U, "*, "&amp;J$4&amp;", *",集計用!$G:$G,"*, "&amp;$C31&amp;", *")-COUNTIFS(集計用!$U:$U, "*, "&amp;J$4&amp;", *",集計用!$G:$G,"*, "&amp;$C31&amp;", *",集計用!$U:$U, "*英語を日常的に*"))/$B31*100</f>
        <v>0</v>
      </c>
      <c r="K31" s="41">
        <f>(COUNTIFS(集計用!$U:$U, "*, "&amp;K$4&amp;", *",集計用!$G:$G,"*, "&amp;$C31&amp;", *")-COUNTIFS(集計用!$U:$U, "*, "&amp;K$4&amp;", *",集計用!$G:$G,"*, "&amp;$C31&amp;", *",集計用!$U:$U, "*英語を日常的に*"))/$B31*100</f>
        <v>0</v>
      </c>
      <c r="L31" s="41">
        <f>(COUNTIFS(集計用!$U:$U, "*, "&amp;L$4&amp;", *",集計用!$G:$G,"*, "&amp;$C31&amp;", *")-COUNTIFS(集計用!$U:$U, "*, "&amp;L$4&amp;", *",集計用!$G:$G,"*, "&amp;$C31&amp;", *",集計用!$U:$U, "*英語を日常的に*"))/$B31*100</f>
        <v>9.0909090909090917</v>
      </c>
      <c r="M31" s="41">
        <f>(COUNTIFS(集計用!$U:$U, "*, "&amp;M$4&amp;", *",集計用!$G:$G,"*, "&amp;$C31&amp;", *")-COUNTIFS(集計用!$U:$U, "*, "&amp;M$4&amp;", *",集計用!$G:$G,"*, "&amp;$C31&amp;", *",集計用!$U:$U, "*英語を日常的に*"))/$B31*100</f>
        <v>9.0909090909090917</v>
      </c>
      <c r="N31" s="41">
        <f>(COUNTIFS(集計用!$U:$U, "*, "&amp;N$4&amp;", *",集計用!$G:$G,"*, "&amp;$C31&amp;", *")-COUNTIFS(集計用!$U:$U, "*, "&amp;N$4&amp;", *",集計用!$G:$G,"*, "&amp;$C31&amp;", *",集計用!$U:$U, "*英語を日常的に*"))/$B31*100</f>
        <v>0</v>
      </c>
      <c r="O31" s="41">
        <f>(COUNTIFS(集計用!$U:$U, "*, "&amp;O$4&amp;", *",集計用!$G:$G,"*, "&amp;$C31&amp;", *")-COUNTIFS(集計用!$U:$U, "*, "&amp;O$4&amp;", *",集計用!$G:$G,"*, "&amp;$C31&amp;", *",集計用!$U:$U, "*英語を日常的に*"))/$B31*100</f>
        <v>0</v>
      </c>
      <c r="P31" s="41">
        <f>(COUNTIFS(集計用!$U:$U, "*, "&amp;P$4&amp;", *",集計用!$G:$G,"*, "&amp;$C31&amp;", *")-COUNTIFS(集計用!$U:$U, "*, "&amp;P$4&amp;", *",集計用!$G:$G,"*, "&amp;$C31&amp;", *",集計用!$U:$U, "*英語を日常的に*"))/$B31*100</f>
        <v>0</v>
      </c>
      <c r="Q31" s="41">
        <f>(COUNTIFS(集計用!$U:$U, "*, "&amp;Q$4&amp;", *",集計用!$G:$G,"*, "&amp;$C31&amp;", *")-COUNTIFS(集計用!$U:$U, "*, "&amp;Q$4&amp;", *",集計用!$G:$G,"*, "&amp;$C31&amp;", *",集計用!$U:$U, "*英語を日常的に*"))/$B31*100</f>
        <v>0</v>
      </c>
      <c r="R31" s="41">
        <f>(COUNTIFS(集計用!$U:$U, "*, "&amp;R$4&amp;", *",集計用!$G:$G,"*, "&amp;$C31&amp;", *")-COUNTIFS(集計用!$U:$U, "*, "&amp;R$4&amp;", *",集計用!$G:$G,"*, "&amp;$C31&amp;", *",集計用!$U:$U, "*英語を日常的に*"))/$B31*100</f>
        <v>0</v>
      </c>
    </row>
    <row r="32" spans="1:18" ht="12.75">
      <c r="A32" s="39">
        <v>6</v>
      </c>
      <c r="B32" s="39">
        <f>(COUNTIFS(集計用!$G:$G,"*, "&amp;$C32&amp;",*"))-COUNTIFS(集計用!U:U, "*英語を日常的に*",集計用!$G:$G,"*, "&amp;$C32&amp;",*")</f>
        <v>5</v>
      </c>
      <c r="C32" s="42" t="s">
        <v>26</v>
      </c>
      <c r="D32" s="41">
        <f>(COUNTIFS(集計用!$U:$U, "*, "&amp;D$4&amp;", *",集計用!$G:$G,"*, "&amp;$C32&amp;", *")-COUNTIFS(集計用!$U:$U, "*, "&amp;D$4&amp;", *",集計用!$G:$G,"*, "&amp;$C32&amp;", *",集計用!$U:$U, "*英語を日常的に*"))/$B32*100</f>
        <v>40</v>
      </c>
      <c r="E32" s="41">
        <f>(COUNTIFS(集計用!$U:$U, "*, "&amp;E$4&amp;", *",集計用!$G:$G,"*, "&amp;$C32&amp;", *")-COUNTIFS(集計用!$U:$U, "*, "&amp;E$4&amp;", *",集計用!$G:$G,"*, "&amp;$C32&amp;", *",集計用!$U:$U, "*英語を日常的に*"))/$B32*100</f>
        <v>40</v>
      </c>
      <c r="F32" s="41">
        <f>(COUNTIFS(集計用!$U:$U, "*, "&amp;F$4&amp;", *",集計用!$G:$G,"*, "&amp;$C32&amp;", *")-COUNTIFS(集計用!$U:$U, "*, "&amp;F$4&amp;", *",集計用!$G:$G,"*, "&amp;$C32&amp;", *",集計用!$U:$U, "*英語を日常的に*"))/$B32*100</f>
        <v>60</v>
      </c>
      <c r="G32" s="41">
        <f>(COUNTIFS(集計用!$U:$U, "*, "&amp;G$4&amp;", *",集計用!$G:$G,"*, "&amp;$C32&amp;", *")-COUNTIFS(集計用!$U:$U, "*, "&amp;G$4&amp;", *",集計用!$G:$G,"*, "&amp;$C32&amp;", *",集計用!$U:$U, "*英語を日常的に*"))/$B32*100</f>
        <v>0</v>
      </c>
      <c r="H32" s="41">
        <f>(COUNTIFS(集計用!$U:$U, "*, "&amp;H$4&amp;", *",集計用!$G:$G,"*, "&amp;$C32&amp;", *")-COUNTIFS(集計用!$U:$U, "*, "&amp;H$4&amp;", *",集計用!$G:$G,"*, "&amp;$C32&amp;", *",集計用!$U:$U, "*英語を日常的に*"))/$B32*100</f>
        <v>60</v>
      </c>
      <c r="I32" s="41">
        <f>(COUNTIFS(集計用!$U:$U, "*, "&amp;I$4&amp;", *",集計用!$G:$G,"*, "&amp;$C32&amp;", *")-COUNTIFS(集計用!$U:$U, "*, "&amp;I$4&amp;", *",集計用!$G:$G,"*, "&amp;$C32&amp;", *",集計用!$U:$U, "*英語を日常的に*"))/$B32*100</f>
        <v>20</v>
      </c>
      <c r="J32" s="41">
        <f>(COUNTIFS(集計用!$U:$U, "*, "&amp;J$4&amp;", *",集計用!$G:$G,"*, "&amp;$C32&amp;", *")-COUNTIFS(集計用!$U:$U, "*, "&amp;J$4&amp;", *",集計用!$G:$G,"*, "&amp;$C32&amp;", *",集計用!$U:$U, "*英語を日常的に*"))/$B32*100</f>
        <v>40</v>
      </c>
      <c r="K32" s="41">
        <f>(COUNTIFS(集計用!$U:$U, "*, "&amp;K$4&amp;", *",集計用!$G:$G,"*, "&amp;$C32&amp;", *")-COUNTIFS(集計用!$U:$U, "*, "&amp;K$4&amp;", *",集計用!$G:$G,"*, "&amp;$C32&amp;", *",集計用!$U:$U, "*英語を日常的に*"))/$B32*100</f>
        <v>0</v>
      </c>
      <c r="L32" s="41">
        <f>(COUNTIFS(集計用!$U:$U, "*, "&amp;L$4&amp;", *",集計用!$G:$G,"*, "&amp;$C32&amp;", *")-COUNTIFS(集計用!$U:$U, "*, "&amp;L$4&amp;", *",集計用!$G:$G,"*, "&amp;$C32&amp;", *",集計用!$U:$U, "*英語を日常的に*"))/$B32*100</f>
        <v>0</v>
      </c>
      <c r="M32" s="41">
        <f>(COUNTIFS(集計用!$U:$U, "*, "&amp;M$4&amp;", *",集計用!$G:$G,"*, "&amp;$C32&amp;", *")-COUNTIFS(集計用!$U:$U, "*, "&amp;M$4&amp;", *",集計用!$G:$G,"*, "&amp;$C32&amp;", *",集計用!$U:$U, "*英語を日常的に*"))/$B32*100</f>
        <v>0</v>
      </c>
      <c r="N32" s="41">
        <f>(COUNTIFS(集計用!$U:$U, "*, "&amp;N$4&amp;", *",集計用!$G:$G,"*, "&amp;$C32&amp;", *")-COUNTIFS(集計用!$U:$U, "*, "&amp;N$4&amp;", *",集計用!$G:$G,"*, "&amp;$C32&amp;", *",集計用!$U:$U, "*英語を日常的に*"))/$B32*100</f>
        <v>0</v>
      </c>
      <c r="O32" s="41">
        <f>(COUNTIFS(集計用!$U:$U, "*, "&amp;O$4&amp;", *",集計用!$G:$G,"*, "&amp;$C32&amp;", *")-COUNTIFS(集計用!$U:$U, "*, "&amp;O$4&amp;", *",集計用!$G:$G,"*, "&amp;$C32&amp;", *",集計用!$U:$U, "*英語を日常的に*"))/$B32*100</f>
        <v>0</v>
      </c>
      <c r="P32" s="41">
        <f>(COUNTIFS(集計用!$U:$U, "*, "&amp;P$4&amp;", *",集計用!$G:$G,"*, "&amp;$C32&amp;", *")-COUNTIFS(集計用!$U:$U, "*, "&amp;P$4&amp;", *",集計用!$G:$G,"*, "&amp;$C32&amp;", *",集計用!$U:$U, "*英語を日常的に*"))/$B32*100</f>
        <v>0</v>
      </c>
      <c r="Q32" s="41">
        <f>(COUNTIFS(集計用!$U:$U, "*, "&amp;Q$4&amp;", *",集計用!$G:$G,"*, "&amp;$C32&amp;", *")-COUNTIFS(集計用!$U:$U, "*, "&amp;Q$4&amp;", *",集計用!$G:$G,"*, "&amp;$C32&amp;", *",集計用!$U:$U, "*英語を日常的に*"))/$B32*100</f>
        <v>0</v>
      </c>
      <c r="R32" s="41">
        <f>(COUNTIFS(集計用!$U:$U, "*, "&amp;R$4&amp;", *",集計用!$G:$G,"*, "&amp;$C32&amp;", *")-COUNTIFS(集計用!$U:$U, "*, "&amp;R$4&amp;", *",集計用!$G:$G,"*, "&amp;$C32&amp;", *",集計用!$U:$U, "*英語を日常的に*"))/$B32*100</f>
        <v>0</v>
      </c>
    </row>
    <row r="33" spans="1:18" ht="12.75">
      <c r="A33" s="39">
        <v>4</v>
      </c>
      <c r="B33" s="39">
        <f>(COUNTIFS(集計用!$G:$G,"*, "&amp;$C33&amp;",*"))-COUNTIFS(集計用!U:U, "*英語を日常的に*",集計用!$G:$G,"*, "&amp;$C33&amp;",*")</f>
        <v>7</v>
      </c>
      <c r="C33" s="42" t="s">
        <v>27</v>
      </c>
      <c r="D33" s="41">
        <f>(COUNTIFS(集計用!$U:$U, "*, "&amp;D$4&amp;", *",集計用!$G:$G,"*, "&amp;$C33&amp;", *")-COUNTIFS(集計用!$U:$U, "*, "&amp;D$4&amp;", *",集計用!$G:$G,"*, "&amp;$C33&amp;", *",集計用!$U:$U, "*英語を日常的に*"))/$B33*100</f>
        <v>28.571428571428569</v>
      </c>
      <c r="E33" s="41">
        <f>(COUNTIFS(集計用!$U:$U, "*, "&amp;E$4&amp;", *",集計用!$G:$G,"*, "&amp;$C33&amp;", *")-COUNTIFS(集計用!$U:$U, "*, "&amp;E$4&amp;", *",集計用!$G:$G,"*, "&amp;$C33&amp;", *",集計用!$U:$U, "*英語を日常的に*"))/$B33*100</f>
        <v>57.142857142857139</v>
      </c>
      <c r="F33" s="41">
        <f>(COUNTIFS(集計用!$U:$U, "*, "&amp;F$4&amp;", *",集計用!$G:$G,"*, "&amp;$C33&amp;", *")-COUNTIFS(集計用!$U:$U, "*, "&amp;F$4&amp;", *",集計用!$G:$G,"*, "&amp;$C33&amp;", *",集計用!$U:$U, "*英語を日常的に*"))/$B33*100</f>
        <v>71.428571428571431</v>
      </c>
      <c r="G33" s="41">
        <f>(COUNTIFS(集計用!$U:$U, "*, "&amp;G$4&amp;", *",集計用!$G:$G,"*, "&amp;$C33&amp;", *")-COUNTIFS(集計用!$U:$U, "*, "&amp;G$4&amp;", *",集計用!$G:$G,"*, "&amp;$C33&amp;", *",集計用!$U:$U, "*英語を日常的に*"))/$B33*100</f>
        <v>14.285714285714285</v>
      </c>
      <c r="H33" s="41">
        <f>(COUNTIFS(集計用!$U:$U, "*, "&amp;H$4&amp;", *",集計用!$G:$G,"*, "&amp;$C33&amp;", *")-COUNTIFS(集計用!$U:$U, "*, "&amp;H$4&amp;", *",集計用!$G:$G,"*, "&amp;$C33&amp;", *",集計用!$U:$U, "*英語を日常的に*"))/$B33*100</f>
        <v>0</v>
      </c>
      <c r="I33" s="41">
        <f>(COUNTIFS(集計用!$U:$U, "*, "&amp;I$4&amp;", *",集計用!$G:$G,"*, "&amp;$C33&amp;", *")-COUNTIFS(集計用!$U:$U, "*, "&amp;I$4&amp;", *",集計用!$G:$G,"*, "&amp;$C33&amp;", *",集計用!$U:$U, "*英語を日常的に*"))/$B33*100</f>
        <v>0</v>
      </c>
      <c r="J33" s="41">
        <f>(COUNTIFS(集計用!$U:$U, "*, "&amp;J$4&amp;", *",集計用!$G:$G,"*, "&amp;$C33&amp;", *")-COUNTIFS(集計用!$U:$U, "*, "&amp;J$4&amp;", *",集計用!$G:$G,"*, "&amp;$C33&amp;", *",集計用!$U:$U, "*英語を日常的に*"))/$B33*100</f>
        <v>28.571428571428569</v>
      </c>
      <c r="K33" s="41">
        <f>(COUNTIFS(集計用!$U:$U, "*, "&amp;K$4&amp;", *",集計用!$G:$G,"*, "&amp;$C33&amp;", *")-COUNTIFS(集計用!$U:$U, "*, "&amp;K$4&amp;", *",集計用!$G:$G,"*, "&amp;$C33&amp;", *",集計用!$U:$U, "*英語を日常的に*"))/$B33*100</f>
        <v>14.285714285714285</v>
      </c>
      <c r="L33" s="41">
        <f>(COUNTIFS(集計用!$U:$U, "*, "&amp;L$4&amp;", *",集計用!$G:$G,"*, "&amp;$C33&amp;", *")-COUNTIFS(集計用!$U:$U, "*, "&amp;L$4&amp;", *",集計用!$G:$G,"*, "&amp;$C33&amp;", *",集計用!$U:$U, "*英語を日常的に*"))/$B33*100</f>
        <v>0</v>
      </c>
      <c r="M33" s="41">
        <f>(COUNTIFS(集計用!$U:$U, "*, "&amp;M$4&amp;", *",集計用!$G:$G,"*, "&amp;$C33&amp;", *")-COUNTIFS(集計用!$U:$U, "*, "&amp;M$4&amp;", *",集計用!$G:$G,"*, "&amp;$C33&amp;", *",集計用!$U:$U, "*英語を日常的に*"))/$B33*100</f>
        <v>0</v>
      </c>
      <c r="N33" s="41">
        <f>(COUNTIFS(集計用!$U:$U, "*, "&amp;N$4&amp;", *",集計用!$G:$G,"*, "&amp;$C33&amp;", *")-COUNTIFS(集計用!$U:$U, "*, "&amp;N$4&amp;", *",集計用!$G:$G,"*, "&amp;$C33&amp;", *",集計用!$U:$U, "*英語を日常的に*"))/$B33*100</f>
        <v>0</v>
      </c>
      <c r="O33" s="41">
        <f>(COUNTIFS(集計用!$U:$U, "*, "&amp;O$4&amp;", *",集計用!$G:$G,"*, "&amp;$C33&amp;", *")-COUNTIFS(集計用!$U:$U, "*, "&amp;O$4&amp;", *",集計用!$G:$G,"*, "&amp;$C33&amp;", *",集計用!$U:$U, "*英語を日常的に*"))/$B33*100</f>
        <v>0</v>
      </c>
      <c r="P33" s="41">
        <f>(COUNTIFS(集計用!$U:$U, "*, "&amp;P$4&amp;", *",集計用!$G:$G,"*, "&amp;$C33&amp;", *")-COUNTIFS(集計用!$U:$U, "*, "&amp;P$4&amp;", *",集計用!$G:$G,"*, "&amp;$C33&amp;", *",集計用!$U:$U, "*英語を日常的に*"))/$B33*100</f>
        <v>0</v>
      </c>
      <c r="Q33" s="41">
        <f>(COUNTIFS(集計用!$U:$U, "*, "&amp;Q$4&amp;", *",集計用!$G:$G,"*, "&amp;$C33&amp;", *")-COUNTIFS(集計用!$U:$U, "*, "&amp;Q$4&amp;", *",集計用!$G:$G,"*, "&amp;$C33&amp;", *",集計用!$U:$U, "*英語を日常的に*"))/$B33*100</f>
        <v>0</v>
      </c>
      <c r="R33" s="41">
        <f>(COUNTIFS(集計用!$U:$U, "*, "&amp;R$4&amp;", *",集計用!$G:$G,"*, "&amp;$C33&amp;", *")-COUNTIFS(集計用!$U:$U, "*, "&amp;R$4&amp;", *",集計用!$G:$G,"*, "&amp;$C33&amp;", *",集計用!$U:$U, "*英語を日常的に*"))/$B33*100</f>
        <v>0</v>
      </c>
    </row>
    <row r="34" spans="1:18" ht="12.75">
      <c r="A34" s="39">
        <v>5</v>
      </c>
      <c r="B34" s="39">
        <f>(COUNTIFS(集計用!$G:$G,"*, "&amp;$C34&amp;",*"))-COUNTIFS(集計用!U:U, "*英語を日常的に*",集計用!$G:$G,"*, "&amp;$C34&amp;",*")</f>
        <v>4</v>
      </c>
      <c r="C34" s="42" t="s">
        <v>28</v>
      </c>
      <c r="D34" s="41">
        <f>(COUNTIFS(集計用!$U:$U, "*, "&amp;D$4&amp;", *",集計用!$G:$G,"*, "&amp;$C34&amp;", *")-COUNTIFS(集計用!$U:$U, "*, "&amp;D$4&amp;", *",集計用!$G:$G,"*, "&amp;$C34&amp;", *",集計用!$U:$U, "*英語を日常的に*"))/$B34*100</f>
        <v>50</v>
      </c>
      <c r="E34" s="41">
        <f>(COUNTIFS(集計用!$U:$U, "*, "&amp;E$4&amp;", *",集計用!$G:$G,"*, "&amp;$C34&amp;", *")-COUNTIFS(集計用!$U:$U, "*, "&amp;E$4&amp;", *",集計用!$G:$G,"*, "&amp;$C34&amp;", *",集計用!$U:$U, "*英語を日常的に*"))/$B34*100</f>
        <v>50</v>
      </c>
      <c r="F34" s="41">
        <f>(COUNTIFS(集計用!$U:$U, "*, "&amp;F$4&amp;", *",集計用!$G:$G,"*, "&amp;$C34&amp;", *")-COUNTIFS(集計用!$U:$U, "*, "&amp;F$4&amp;", *",集計用!$G:$G,"*, "&amp;$C34&amp;", *",集計用!$U:$U, "*英語を日常的に*"))/$B34*100</f>
        <v>0</v>
      </c>
      <c r="G34" s="41">
        <f>(COUNTIFS(集計用!$U:$U, "*, "&amp;G$4&amp;", *",集計用!$G:$G,"*, "&amp;$C34&amp;", *")-COUNTIFS(集計用!$U:$U, "*, "&amp;G$4&amp;", *",集計用!$G:$G,"*, "&amp;$C34&amp;", *",集計用!$U:$U, "*英語を日常的に*"))/$B34*100</f>
        <v>0</v>
      </c>
      <c r="H34" s="41">
        <f>(COUNTIFS(集計用!$U:$U, "*, "&amp;H$4&amp;", *",集計用!$G:$G,"*, "&amp;$C34&amp;", *")-COUNTIFS(集計用!$U:$U, "*, "&amp;H$4&amp;", *",集計用!$G:$G,"*, "&amp;$C34&amp;", *",集計用!$U:$U, "*英語を日常的に*"))/$B34*100</f>
        <v>0</v>
      </c>
      <c r="I34" s="41">
        <f>(COUNTIFS(集計用!$U:$U, "*, "&amp;I$4&amp;", *",集計用!$G:$G,"*, "&amp;$C34&amp;", *")-COUNTIFS(集計用!$U:$U, "*, "&amp;I$4&amp;", *",集計用!$G:$G,"*, "&amp;$C34&amp;", *",集計用!$U:$U, "*英語を日常的に*"))/$B34*100</f>
        <v>100</v>
      </c>
      <c r="J34" s="41">
        <f>(COUNTIFS(集計用!$U:$U, "*, "&amp;J$4&amp;", *",集計用!$G:$G,"*, "&amp;$C34&amp;", *")-COUNTIFS(集計用!$U:$U, "*, "&amp;J$4&amp;", *",集計用!$G:$G,"*, "&amp;$C34&amp;", *",集計用!$U:$U, "*英語を日常的に*"))/$B34*100</f>
        <v>0</v>
      </c>
      <c r="K34" s="41">
        <f>(COUNTIFS(集計用!$U:$U, "*, "&amp;K$4&amp;", *",集計用!$G:$G,"*, "&amp;$C34&amp;", *")-COUNTIFS(集計用!$U:$U, "*, "&amp;K$4&amp;", *",集計用!$G:$G,"*, "&amp;$C34&amp;", *",集計用!$U:$U, "*英語を日常的に*"))/$B34*100</f>
        <v>0</v>
      </c>
      <c r="L34" s="41">
        <f>(COUNTIFS(集計用!$U:$U, "*, "&amp;L$4&amp;", *",集計用!$G:$G,"*, "&amp;$C34&amp;", *")-COUNTIFS(集計用!$U:$U, "*, "&amp;L$4&amp;", *",集計用!$G:$G,"*, "&amp;$C34&amp;", *",集計用!$U:$U, "*英語を日常的に*"))/$B34*100</f>
        <v>0</v>
      </c>
      <c r="M34" s="41">
        <f>(COUNTIFS(集計用!$U:$U, "*, "&amp;M$4&amp;", *",集計用!$G:$G,"*, "&amp;$C34&amp;", *")-COUNTIFS(集計用!$U:$U, "*, "&amp;M$4&amp;", *",集計用!$G:$G,"*, "&amp;$C34&amp;", *",集計用!$U:$U, "*英語を日常的に*"))/$B34*100</f>
        <v>0</v>
      </c>
      <c r="N34" s="41">
        <f>(COUNTIFS(集計用!$U:$U, "*, "&amp;N$4&amp;", *",集計用!$G:$G,"*, "&amp;$C34&amp;", *")-COUNTIFS(集計用!$U:$U, "*, "&amp;N$4&amp;", *",集計用!$G:$G,"*, "&amp;$C34&amp;", *",集計用!$U:$U, "*英語を日常的に*"))/$B34*100</f>
        <v>0</v>
      </c>
      <c r="O34" s="41">
        <f>(COUNTIFS(集計用!$U:$U, "*, "&amp;O$4&amp;", *",集計用!$G:$G,"*, "&amp;$C34&amp;", *")-COUNTIFS(集計用!$U:$U, "*, "&amp;O$4&amp;", *",集計用!$G:$G,"*, "&amp;$C34&amp;", *",集計用!$U:$U, "*英語を日常的に*"))/$B34*100</f>
        <v>0</v>
      </c>
      <c r="P34" s="41">
        <f>(COUNTIFS(集計用!$U:$U, "*, "&amp;P$4&amp;", *",集計用!$G:$G,"*, "&amp;$C34&amp;", *")-COUNTIFS(集計用!$U:$U, "*, "&amp;P$4&amp;", *",集計用!$G:$G,"*, "&amp;$C34&amp;", *",集計用!$U:$U, "*英語を日常的に*"))/$B34*100</f>
        <v>0</v>
      </c>
      <c r="Q34" s="41">
        <f>(COUNTIFS(集計用!$U:$U, "*, "&amp;Q$4&amp;", *",集計用!$G:$G,"*, "&amp;$C34&amp;", *")-COUNTIFS(集計用!$U:$U, "*, "&amp;Q$4&amp;", *",集計用!$G:$G,"*, "&amp;$C34&amp;", *",集計用!$U:$U, "*英語を日常的に*"))/$B34*100</f>
        <v>0</v>
      </c>
      <c r="R34" s="41">
        <f>(COUNTIFS(集計用!$U:$U, "*, "&amp;R$4&amp;", *",集計用!$G:$G,"*, "&amp;$C34&amp;", *")-COUNTIFS(集計用!$U:$U, "*, "&amp;R$4&amp;", *",集計用!$G:$G,"*, "&amp;$C34&amp;", *",集計用!$U:$U, "*英語を日常的に*"))/$B34*100</f>
        <v>0</v>
      </c>
    </row>
    <row r="35" spans="1:18" ht="15.75" customHeight="1">
      <c r="A35" s="39">
        <v>5</v>
      </c>
      <c r="B35" s="39">
        <f>(COUNTIFS(集計用!$G:$G,"*, "&amp;$C35&amp;",*"))-COUNTIFS(集計用!U:U, "*英語を日常的に*",集計用!$G:$G,"*, "&amp;$C35&amp;",*")</f>
        <v>7</v>
      </c>
      <c r="C35" s="42" t="s">
        <v>29</v>
      </c>
      <c r="D35" s="41">
        <f>(COUNTIFS(集計用!$U:$U, "*, "&amp;D$4&amp;", *",集計用!$G:$G,"*, "&amp;$C35&amp;", *")-COUNTIFS(集計用!$U:$U, "*, "&amp;D$4&amp;", *",集計用!$G:$G,"*, "&amp;$C35&amp;", *",集計用!$U:$U, "*英語を日常的に*"))/$B35*100</f>
        <v>71.428571428571431</v>
      </c>
      <c r="E35" s="41">
        <f>(COUNTIFS(集計用!$U:$U, "*, "&amp;E$4&amp;", *",集計用!$G:$G,"*, "&amp;$C35&amp;", *")-COUNTIFS(集計用!$U:$U, "*, "&amp;E$4&amp;", *",集計用!$G:$G,"*, "&amp;$C35&amp;", *",集計用!$U:$U, "*英語を日常的に*"))/$B35*100</f>
        <v>42.857142857142854</v>
      </c>
      <c r="F35" s="41">
        <f>(COUNTIFS(集計用!$U:$U, "*, "&amp;F$4&amp;", *",集計用!$G:$G,"*, "&amp;$C35&amp;", *")-COUNTIFS(集計用!$U:$U, "*, "&amp;F$4&amp;", *",集計用!$G:$G,"*, "&amp;$C35&amp;", *",集計用!$U:$U, "*英語を日常的に*"))/$B35*100</f>
        <v>14.285714285714285</v>
      </c>
      <c r="G35" s="41">
        <f>(COUNTIFS(集計用!$U:$U, "*, "&amp;G$4&amp;", *",集計用!$G:$G,"*, "&amp;$C35&amp;", *")-COUNTIFS(集計用!$U:$U, "*, "&amp;G$4&amp;", *",集計用!$G:$G,"*, "&amp;$C35&amp;", *",集計用!$U:$U, "*英語を日常的に*"))/$B35*100</f>
        <v>28.571428571428569</v>
      </c>
      <c r="H35" s="41">
        <f>(COUNTIFS(集計用!$U:$U, "*, "&amp;H$4&amp;", *",集計用!$G:$G,"*, "&amp;$C35&amp;", *")-COUNTIFS(集計用!$U:$U, "*, "&amp;H$4&amp;", *",集計用!$G:$G,"*, "&amp;$C35&amp;", *",集計用!$U:$U, "*英語を日常的に*"))/$B35*100</f>
        <v>14.285714285714285</v>
      </c>
      <c r="I35" s="41">
        <f>(COUNTIFS(集計用!$U:$U, "*, "&amp;I$4&amp;", *",集計用!$G:$G,"*, "&amp;$C35&amp;", *")-COUNTIFS(集計用!$U:$U, "*, "&amp;I$4&amp;", *",集計用!$G:$G,"*, "&amp;$C35&amp;", *",集計用!$U:$U, "*英語を日常的に*"))/$B35*100</f>
        <v>42.857142857142854</v>
      </c>
      <c r="J35" s="41">
        <f>(COUNTIFS(集計用!$U:$U, "*, "&amp;J$4&amp;", *",集計用!$G:$G,"*, "&amp;$C35&amp;", *")-COUNTIFS(集計用!$U:$U, "*, "&amp;J$4&amp;", *",集計用!$G:$G,"*, "&amp;$C35&amp;", *",集計用!$U:$U, "*英語を日常的に*"))/$B35*100</f>
        <v>14.285714285714285</v>
      </c>
      <c r="K35" s="41">
        <f>(COUNTIFS(集計用!$U:$U, "*, "&amp;K$4&amp;", *",集計用!$G:$G,"*, "&amp;$C35&amp;", *")-COUNTIFS(集計用!$U:$U, "*, "&amp;K$4&amp;", *",集計用!$G:$G,"*, "&amp;$C35&amp;", *",集計用!$U:$U, "*英語を日常的に*"))/$B35*100</f>
        <v>14.285714285714285</v>
      </c>
      <c r="L35" s="41">
        <f>(COUNTIFS(集計用!$U:$U, "*, "&amp;L$4&amp;", *",集計用!$G:$G,"*, "&amp;$C35&amp;", *")-COUNTIFS(集計用!$U:$U, "*, "&amp;L$4&amp;", *",集計用!$G:$G,"*, "&amp;$C35&amp;", *",集計用!$U:$U, "*英語を日常的に*"))/$B35*100</f>
        <v>0</v>
      </c>
      <c r="M35" s="41">
        <f>(COUNTIFS(集計用!$U:$U, "*, "&amp;M$4&amp;", *",集計用!$G:$G,"*, "&amp;$C35&amp;", *")-COUNTIFS(集計用!$U:$U, "*, "&amp;M$4&amp;", *",集計用!$G:$G,"*, "&amp;$C35&amp;", *",集計用!$U:$U, "*英語を日常的に*"))/$B35*100</f>
        <v>0</v>
      </c>
      <c r="N35" s="41">
        <f>(COUNTIFS(集計用!$U:$U, "*, "&amp;N$4&amp;", *",集計用!$G:$G,"*, "&amp;$C35&amp;", *")-COUNTIFS(集計用!$U:$U, "*, "&amp;N$4&amp;", *",集計用!$G:$G,"*, "&amp;$C35&amp;", *",集計用!$U:$U, "*英語を日常的に*"))/$B35*100</f>
        <v>0</v>
      </c>
      <c r="O35" s="41">
        <f>(COUNTIFS(集計用!$U:$U, "*, "&amp;O$4&amp;", *",集計用!$G:$G,"*, "&amp;$C35&amp;", *")-COUNTIFS(集計用!$U:$U, "*, "&amp;O$4&amp;", *",集計用!$G:$G,"*, "&amp;$C35&amp;", *",集計用!$U:$U, "*英語を日常的に*"))/$B35*100</f>
        <v>0</v>
      </c>
      <c r="P35" s="41">
        <f>(COUNTIFS(集計用!$U:$U, "*, "&amp;P$4&amp;", *",集計用!$G:$G,"*, "&amp;$C35&amp;", *")-COUNTIFS(集計用!$U:$U, "*, "&amp;P$4&amp;", *",集計用!$G:$G,"*, "&amp;$C35&amp;", *",集計用!$U:$U, "*英語を日常的に*"))/$B35*100</f>
        <v>0</v>
      </c>
      <c r="Q35" s="41">
        <f>(COUNTIFS(集計用!$U:$U, "*, "&amp;Q$4&amp;", *",集計用!$G:$G,"*, "&amp;$C35&amp;", *")-COUNTIFS(集計用!$U:$U, "*, "&amp;Q$4&amp;", *",集計用!$G:$G,"*, "&amp;$C35&amp;", *",集計用!$U:$U, "*英語を日常的に*"))/$B35*100</f>
        <v>0</v>
      </c>
      <c r="R35" s="41">
        <f>(COUNTIFS(集計用!$U:$U, "*, "&amp;R$4&amp;", *",集計用!$G:$G,"*, "&amp;$C35&amp;", *")-COUNTIFS(集計用!$U:$U, "*, "&amp;R$4&amp;", *",集計用!$G:$G,"*, "&amp;$C35&amp;", *",集計用!$U:$U, "*英語を日常的に*"))/$B35*100</f>
        <v>0</v>
      </c>
    </row>
    <row r="36" spans="1:18" ht="15.75" customHeight="1">
      <c r="A36" s="39">
        <v>4</v>
      </c>
      <c r="B36" s="39">
        <f>(COUNTIFS(集計用!$G:$G,"*, "&amp;$C36&amp;",*"))-COUNTIFS(集計用!U:U, "*英語を日常的に*",集計用!$G:$G,"*, "&amp;$C36&amp;",*")</f>
        <v>8</v>
      </c>
      <c r="C36" s="42" t="s">
        <v>31</v>
      </c>
      <c r="D36" s="41">
        <f>(COUNTIFS(集計用!$U:$U, "*, "&amp;D$4&amp;", *",集計用!$G:$G,"*, "&amp;$C36&amp;", *")-COUNTIFS(集計用!$U:$U, "*, "&amp;D$4&amp;", *",集計用!$G:$G,"*, "&amp;$C36&amp;", *",集計用!$U:$U, "*英語を日常的に*"))/$B36*100</f>
        <v>25</v>
      </c>
      <c r="E36" s="41">
        <f>(COUNTIFS(集計用!$U:$U, "*, "&amp;E$4&amp;", *",集計用!$G:$G,"*, "&amp;$C36&amp;", *")-COUNTIFS(集計用!$U:$U, "*, "&amp;E$4&amp;", *",集計用!$G:$G,"*, "&amp;$C36&amp;", *",集計用!$U:$U, "*英語を日常的に*"))/$B36*100</f>
        <v>37.5</v>
      </c>
      <c r="F36" s="41">
        <f>(COUNTIFS(集計用!$U:$U, "*, "&amp;F$4&amp;", *",集計用!$G:$G,"*, "&amp;$C36&amp;", *")-COUNTIFS(集計用!$U:$U, "*, "&amp;F$4&amp;", *",集計用!$G:$G,"*, "&amp;$C36&amp;", *",集計用!$U:$U, "*英語を日常的に*"))/$B36*100</f>
        <v>62.5</v>
      </c>
      <c r="G36" s="41">
        <f>(COUNTIFS(集計用!$U:$U, "*, "&amp;G$4&amp;", *",集計用!$G:$G,"*, "&amp;$C36&amp;", *")-COUNTIFS(集計用!$U:$U, "*, "&amp;G$4&amp;", *",集計用!$G:$G,"*, "&amp;$C36&amp;", *",集計用!$U:$U, "*英語を日常的に*"))/$B36*100</f>
        <v>25</v>
      </c>
      <c r="H36" s="41">
        <f>(COUNTIFS(集計用!$U:$U, "*, "&amp;H$4&amp;", *",集計用!$G:$G,"*, "&amp;$C36&amp;", *")-COUNTIFS(集計用!$U:$U, "*, "&amp;H$4&amp;", *",集計用!$G:$G,"*, "&amp;$C36&amp;", *",集計用!$U:$U, "*英語を日常的に*"))/$B36*100</f>
        <v>0</v>
      </c>
      <c r="I36" s="41">
        <f>(COUNTIFS(集計用!$U:$U, "*, "&amp;I$4&amp;", *",集計用!$G:$G,"*, "&amp;$C36&amp;", *")-COUNTIFS(集計用!$U:$U, "*, "&amp;I$4&amp;", *",集計用!$G:$G,"*, "&amp;$C36&amp;", *",集計用!$U:$U, "*英語を日常的に*"))/$B36*100</f>
        <v>12.5</v>
      </c>
      <c r="J36" s="41">
        <f>(COUNTIFS(集計用!$U:$U, "*, "&amp;J$4&amp;", *",集計用!$G:$G,"*, "&amp;$C36&amp;", *")-COUNTIFS(集計用!$U:$U, "*, "&amp;J$4&amp;", *",集計用!$G:$G,"*, "&amp;$C36&amp;", *",集計用!$U:$U, "*英語を日常的に*"))/$B36*100</f>
        <v>25</v>
      </c>
      <c r="K36" s="41">
        <f>(COUNTIFS(集計用!$U:$U, "*, "&amp;K$4&amp;", *",集計用!$G:$G,"*, "&amp;$C36&amp;", *")-COUNTIFS(集計用!$U:$U, "*, "&amp;K$4&amp;", *",集計用!$G:$G,"*, "&amp;$C36&amp;", *",集計用!$U:$U, "*英語を日常的に*"))/$B36*100</f>
        <v>12.5</v>
      </c>
      <c r="L36" s="41">
        <f>(COUNTIFS(集計用!$U:$U, "*, "&amp;L$4&amp;", *",集計用!$G:$G,"*, "&amp;$C36&amp;", *")-COUNTIFS(集計用!$U:$U, "*, "&amp;L$4&amp;", *",集計用!$G:$G,"*, "&amp;$C36&amp;", *",集計用!$U:$U, "*英語を日常的に*"))/$B36*100</f>
        <v>0</v>
      </c>
      <c r="M36" s="41">
        <f>(COUNTIFS(集計用!$U:$U, "*, "&amp;M$4&amp;", *",集計用!$G:$G,"*, "&amp;$C36&amp;", *")-COUNTIFS(集計用!$U:$U, "*, "&amp;M$4&amp;", *",集計用!$G:$G,"*, "&amp;$C36&amp;", *",集計用!$U:$U, "*英語を日常的に*"))/$B36*100</f>
        <v>0</v>
      </c>
      <c r="N36" s="41">
        <f>(COUNTIFS(集計用!$U:$U, "*, "&amp;N$4&amp;", *",集計用!$G:$G,"*, "&amp;$C36&amp;", *")-COUNTIFS(集計用!$U:$U, "*, "&amp;N$4&amp;", *",集計用!$G:$G,"*, "&amp;$C36&amp;", *",集計用!$U:$U, "*英語を日常的に*"))/$B36*100</f>
        <v>0</v>
      </c>
      <c r="O36" s="41">
        <f>(COUNTIFS(集計用!$U:$U, "*, "&amp;O$4&amp;", *",集計用!$G:$G,"*, "&amp;$C36&amp;", *")-COUNTIFS(集計用!$U:$U, "*, "&amp;O$4&amp;", *",集計用!$G:$G,"*, "&amp;$C36&amp;", *",集計用!$U:$U, "*英語を日常的に*"))/$B36*100</f>
        <v>0</v>
      </c>
      <c r="P36" s="41">
        <f>(COUNTIFS(集計用!$U:$U, "*, "&amp;P$4&amp;", *",集計用!$G:$G,"*, "&amp;$C36&amp;", *")-COUNTIFS(集計用!$U:$U, "*, "&amp;P$4&amp;", *",集計用!$G:$G,"*, "&amp;$C36&amp;", *",集計用!$U:$U, "*英語を日常的に*"))/$B36*100</f>
        <v>0</v>
      </c>
      <c r="Q36" s="41">
        <f>(COUNTIFS(集計用!$U:$U, "*, "&amp;Q$4&amp;", *",集計用!$G:$G,"*, "&amp;$C36&amp;", *")-COUNTIFS(集計用!$U:$U, "*, "&amp;Q$4&amp;", *",集計用!$G:$G,"*, "&amp;$C36&amp;", *",集計用!$U:$U, "*英語を日常的に*"))/$B36*100</f>
        <v>0</v>
      </c>
      <c r="R36" s="41">
        <f>(COUNTIFS(集計用!$U:$U, "*, "&amp;R$4&amp;", *",集計用!$G:$G,"*, "&amp;$C36&amp;", *")-COUNTIFS(集計用!$U:$U, "*, "&amp;R$4&amp;", *",集計用!$G:$G,"*, "&amp;$C36&amp;", *",集計用!$U:$U, "*英語を日常的に*"))/$B36*100</f>
        <v>0</v>
      </c>
    </row>
    <row r="37" spans="1:18" ht="15.75" customHeight="1">
      <c r="A37" s="39">
        <v>4</v>
      </c>
      <c r="B37" s="39">
        <f>(COUNTIFS(集計用!$G:$G,"*, "&amp;$C37&amp;",*"))-COUNTIFS(集計用!U:U, "*英語を日常的に*",集計用!$G:$G,"*, "&amp;$C37&amp;",*")</f>
        <v>4</v>
      </c>
      <c r="C37" s="42" t="s">
        <v>32</v>
      </c>
      <c r="D37" s="41">
        <f>(COUNTIFS(集計用!$U:$U, "*, "&amp;D$4&amp;", *",集計用!$G:$G,"*, "&amp;$C37&amp;", *")-COUNTIFS(集計用!$U:$U, "*, "&amp;D$4&amp;", *",集計用!$G:$G,"*, "&amp;$C37&amp;", *",集計用!$U:$U, "*英語を日常的に*"))/$B37*100</f>
        <v>75</v>
      </c>
      <c r="E37" s="41">
        <f>(COUNTIFS(集計用!$U:$U, "*, "&amp;E$4&amp;", *",集計用!$G:$G,"*, "&amp;$C37&amp;", *")-COUNTIFS(集計用!$U:$U, "*, "&amp;E$4&amp;", *",集計用!$G:$G,"*, "&amp;$C37&amp;", *",集計用!$U:$U, "*英語を日常的に*"))/$B37*100</f>
        <v>25</v>
      </c>
      <c r="F37" s="41">
        <f>(COUNTIFS(集計用!$U:$U, "*, "&amp;F$4&amp;", *",集計用!$G:$G,"*, "&amp;$C37&amp;", *")-COUNTIFS(集計用!$U:$U, "*, "&amp;F$4&amp;", *",集計用!$G:$G,"*, "&amp;$C37&amp;", *",集計用!$U:$U, "*英語を日常的に*"))/$B37*100</f>
        <v>50</v>
      </c>
      <c r="G37" s="41">
        <f>(COUNTIFS(集計用!$U:$U, "*, "&amp;G$4&amp;", *",集計用!$G:$G,"*, "&amp;$C37&amp;", *")-COUNTIFS(集計用!$U:$U, "*, "&amp;G$4&amp;", *",集計用!$G:$G,"*, "&amp;$C37&amp;", *",集計用!$U:$U, "*英語を日常的に*"))/$B37*100</f>
        <v>25</v>
      </c>
      <c r="H37" s="41">
        <f>(COUNTIFS(集計用!$U:$U, "*, "&amp;H$4&amp;", *",集計用!$G:$G,"*, "&amp;$C37&amp;", *")-COUNTIFS(集計用!$U:$U, "*, "&amp;H$4&amp;", *",集計用!$G:$G,"*, "&amp;$C37&amp;", *",集計用!$U:$U, "*英語を日常的に*"))/$B37*100</f>
        <v>0</v>
      </c>
      <c r="I37" s="41">
        <f>(COUNTIFS(集計用!$U:$U, "*, "&amp;I$4&amp;", *",集計用!$G:$G,"*, "&amp;$C37&amp;", *")-COUNTIFS(集計用!$U:$U, "*, "&amp;I$4&amp;", *",集計用!$G:$G,"*, "&amp;$C37&amp;", *",集計用!$U:$U, "*英語を日常的に*"))/$B37*100</f>
        <v>0</v>
      </c>
      <c r="J37" s="41">
        <f>(COUNTIFS(集計用!$U:$U, "*, "&amp;J$4&amp;", *",集計用!$G:$G,"*, "&amp;$C37&amp;", *")-COUNTIFS(集計用!$U:$U, "*, "&amp;J$4&amp;", *",集計用!$G:$G,"*, "&amp;$C37&amp;", *",集計用!$U:$U, "*英語を日常的に*"))/$B37*100</f>
        <v>0</v>
      </c>
      <c r="K37" s="41">
        <f>(COUNTIFS(集計用!$U:$U, "*, "&amp;K$4&amp;", *",集計用!$G:$G,"*, "&amp;$C37&amp;", *")-COUNTIFS(集計用!$U:$U, "*, "&amp;K$4&amp;", *",集計用!$G:$G,"*, "&amp;$C37&amp;", *",集計用!$U:$U, "*英語を日常的に*"))/$B37*100</f>
        <v>0</v>
      </c>
      <c r="L37" s="41">
        <f>(COUNTIFS(集計用!$U:$U, "*, "&amp;L$4&amp;", *",集計用!$G:$G,"*, "&amp;$C37&amp;", *")-COUNTIFS(集計用!$U:$U, "*, "&amp;L$4&amp;", *",集計用!$G:$G,"*, "&amp;$C37&amp;", *",集計用!$U:$U, "*英語を日常的に*"))/$B37*100</f>
        <v>0</v>
      </c>
      <c r="M37" s="41">
        <f>(COUNTIFS(集計用!$U:$U, "*, "&amp;M$4&amp;", *",集計用!$G:$G,"*, "&amp;$C37&amp;", *")-COUNTIFS(集計用!$U:$U, "*, "&amp;M$4&amp;", *",集計用!$G:$G,"*, "&amp;$C37&amp;", *",集計用!$U:$U, "*英語を日常的に*"))/$B37*100</f>
        <v>0</v>
      </c>
      <c r="N37" s="41">
        <f>(COUNTIFS(集計用!$U:$U, "*, "&amp;N$4&amp;", *",集計用!$G:$G,"*, "&amp;$C37&amp;", *")-COUNTIFS(集計用!$U:$U, "*, "&amp;N$4&amp;", *",集計用!$G:$G,"*, "&amp;$C37&amp;", *",集計用!$U:$U, "*英語を日常的に*"))/$B37*100</f>
        <v>0</v>
      </c>
      <c r="O37" s="41">
        <f>(COUNTIFS(集計用!$U:$U, "*, "&amp;O$4&amp;", *",集計用!$G:$G,"*, "&amp;$C37&amp;", *")-COUNTIFS(集計用!$U:$U, "*, "&amp;O$4&amp;", *",集計用!$G:$G,"*, "&amp;$C37&amp;", *",集計用!$U:$U, "*英語を日常的に*"))/$B37*100</f>
        <v>0</v>
      </c>
      <c r="P37" s="41">
        <f>(COUNTIFS(集計用!$U:$U, "*, "&amp;P$4&amp;", *",集計用!$G:$G,"*, "&amp;$C37&amp;", *")-COUNTIFS(集計用!$U:$U, "*, "&amp;P$4&amp;", *",集計用!$G:$G,"*, "&amp;$C37&amp;", *",集計用!$U:$U, "*英語を日常的に*"))/$B37*100</f>
        <v>0</v>
      </c>
      <c r="Q37" s="41">
        <f>(COUNTIFS(集計用!$U:$U, "*, "&amp;Q$4&amp;", *",集計用!$G:$G,"*, "&amp;$C37&amp;", *")-COUNTIFS(集計用!$U:$U, "*, "&amp;Q$4&amp;", *",集計用!$G:$G,"*, "&amp;$C37&amp;", *",集計用!$U:$U, "*英語を日常的に*"))/$B37*100</f>
        <v>0</v>
      </c>
      <c r="R37" s="41">
        <f>(COUNTIFS(集計用!$U:$U, "*, "&amp;R$4&amp;", *",集計用!$G:$G,"*, "&amp;$C37&amp;", *")-COUNTIFS(集計用!$U:$U, "*, "&amp;R$4&amp;", *",集計用!$G:$G,"*, "&amp;$C37&amp;", *",集計用!$U:$U, "*英語を日常的に*"))/$B37*100</f>
        <v>0</v>
      </c>
    </row>
    <row r="38" spans="1:18" ht="15.75" customHeight="1">
      <c r="A38" s="39">
        <v>5</v>
      </c>
      <c r="B38" s="39">
        <f>(COUNTIFS(集計用!$G:$G,"*, "&amp;$C38&amp;",*"))-COUNTIFS(集計用!U:U, "*英語を日常的に*",集計用!$G:$G,"*, "&amp;$C38&amp;",*")</f>
        <v>5</v>
      </c>
      <c r="C38" s="42" t="s">
        <v>30</v>
      </c>
      <c r="D38" s="41">
        <f>(COUNTIFS(集計用!$U:$U, "*, "&amp;D$4&amp;", *",集計用!$G:$G,"*, "&amp;$C38&amp;", *")-COUNTIFS(集計用!$U:$U, "*, "&amp;D$4&amp;", *",集計用!$G:$G,"*, "&amp;$C38&amp;", *",集計用!$U:$U, "*英語を日常的に*"))/$B38*100</f>
        <v>40</v>
      </c>
      <c r="E38" s="41">
        <f>(COUNTIFS(集計用!$U:$U, "*, "&amp;E$4&amp;", *",集計用!$G:$G,"*, "&amp;$C38&amp;", *")-COUNTIFS(集計用!$U:$U, "*, "&amp;E$4&amp;", *",集計用!$G:$G,"*, "&amp;$C38&amp;", *",集計用!$U:$U, "*英語を日常的に*"))/$B38*100</f>
        <v>40</v>
      </c>
      <c r="F38" s="41">
        <f>(COUNTIFS(集計用!$U:$U, "*, "&amp;F$4&amp;", *",集計用!$G:$G,"*, "&amp;$C38&amp;", *")-COUNTIFS(集計用!$U:$U, "*, "&amp;F$4&amp;", *",集計用!$G:$G,"*, "&amp;$C38&amp;", *",集計用!$U:$U, "*英語を日常的に*"))/$B38*100</f>
        <v>0</v>
      </c>
      <c r="G38" s="41">
        <f>(COUNTIFS(集計用!$U:$U, "*, "&amp;G$4&amp;", *",集計用!$G:$G,"*, "&amp;$C38&amp;", *")-COUNTIFS(集計用!$U:$U, "*, "&amp;G$4&amp;", *",集計用!$G:$G,"*, "&amp;$C38&amp;", *",集計用!$U:$U, "*英語を日常的に*"))/$B38*100</f>
        <v>0</v>
      </c>
      <c r="H38" s="41">
        <f>(COUNTIFS(集計用!$U:$U, "*, "&amp;H$4&amp;", *",集計用!$G:$G,"*, "&amp;$C38&amp;", *")-COUNTIFS(集計用!$U:$U, "*, "&amp;H$4&amp;", *",集計用!$G:$G,"*, "&amp;$C38&amp;", *",集計用!$U:$U, "*英語を日常的に*"))/$B38*100</f>
        <v>0</v>
      </c>
      <c r="I38" s="41">
        <f>(COUNTIFS(集計用!$U:$U, "*, "&amp;I$4&amp;", *",集計用!$G:$G,"*, "&amp;$C38&amp;", *")-COUNTIFS(集計用!$U:$U, "*, "&amp;I$4&amp;", *",集計用!$G:$G,"*, "&amp;$C38&amp;", *",集計用!$U:$U, "*英語を日常的に*"))/$B38*100</f>
        <v>20</v>
      </c>
      <c r="J38" s="41">
        <f>(COUNTIFS(集計用!$U:$U, "*, "&amp;J$4&amp;", *",集計用!$G:$G,"*, "&amp;$C38&amp;", *")-COUNTIFS(集計用!$U:$U, "*, "&amp;J$4&amp;", *",集計用!$G:$G,"*, "&amp;$C38&amp;", *",集計用!$U:$U, "*英語を日常的に*"))/$B38*100</f>
        <v>0</v>
      </c>
      <c r="K38" s="41">
        <f>(COUNTIFS(集計用!$U:$U, "*, "&amp;K$4&amp;", *",集計用!$G:$G,"*, "&amp;$C38&amp;", *")-COUNTIFS(集計用!$U:$U, "*, "&amp;K$4&amp;", *",集計用!$G:$G,"*, "&amp;$C38&amp;", *",集計用!$U:$U, "*英語を日常的に*"))/$B38*100</f>
        <v>0</v>
      </c>
      <c r="L38" s="41">
        <f>(COUNTIFS(集計用!$U:$U, "*, "&amp;L$4&amp;", *",集計用!$G:$G,"*, "&amp;$C38&amp;", *")-COUNTIFS(集計用!$U:$U, "*, "&amp;L$4&amp;", *",集計用!$G:$G,"*, "&amp;$C38&amp;", *",集計用!$U:$U, "*英語を日常的に*"))/$B38*100</f>
        <v>0</v>
      </c>
      <c r="M38" s="41">
        <f>(COUNTIFS(集計用!$U:$U, "*, "&amp;M$4&amp;", *",集計用!$G:$G,"*, "&amp;$C38&amp;", *")-COUNTIFS(集計用!$U:$U, "*, "&amp;M$4&amp;", *",集計用!$G:$G,"*, "&amp;$C38&amp;", *",集計用!$U:$U, "*英語を日常的に*"))/$B38*100</f>
        <v>0</v>
      </c>
      <c r="N38" s="41">
        <f>(COUNTIFS(集計用!$U:$U, "*, "&amp;N$4&amp;", *",集計用!$G:$G,"*, "&amp;$C38&amp;", *")-COUNTIFS(集計用!$U:$U, "*, "&amp;N$4&amp;", *",集計用!$G:$G,"*, "&amp;$C38&amp;", *",集計用!$U:$U, "*英語を日常的に*"))/$B38*100</f>
        <v>0</v>
      </c>
      <c r="O38" s="41">
        <f>(COUNTIFS(集計用!$U:$U, "*, "&amp;O$4&amp;", *",集計用!$G:$G,"*, "&amp;$C38&amp;", *")-COUNTIFS(集計用!$U:$U, "*, "&amp;O$4&amp;", *",集計用!$G:$G,"*, "&amp;$C38&amp;", *",集計用!$U:$U, "*英語を日常的に*"))/$B38*100</f>
        <v>0</v>
      </c>
      <c r="P38" s="41">
        <f>(COUNTIFS(集計用!$U:$U, "*, "&amp;P$4&amp;", *",集計用!$G:$G,"*, "&amp;$C38&amp;", *")-COUNTIFS(集計用!$U:$U, "*, "&amp;P$4&amp;", *",集計用!$G:$G,"*, "&amp;$C38&amp;", *",集計用!$U:$U, "*英語を日常的に*"))/$B38*100</f>
        <v>0</v>
      </c>
      <c r="Q38" s="41">
        <f>(COUNTIFS(集計用!$U:$U, "*, "&amp;Q$4&amp;", *",集計用!$G:$G,"*, "&amp;$C38&amp;", *")-COUNTIFS(集計用!$U:$U, "*, "&amp;Q$4&amp;", *",集計用!$G:$G,"*, "&amp;$C38&amp;", *",集計用!$U:$U, "*英語を日常的に*"))/$B38*100</f>
        <v>0</v>
      </c>
      <c r="R38" s="41">
        <f>(COUNTIFS(集計用!$U:$U, "*, "&amp;R$4&amp;", *",集計用!$G:$G,"*, "&amp;$C38&amp;", *")-COUNTIFS(集計用!$U:$U, "*, "&amp;R$4&amp;", *",集計用!$G:$G,"*, "&amp;$C38&amp;", *",集計用!$U:$U, "*英語を日常的に*"))/$B38*100</f>
        <v>0</v>
      </c>
    </row>
    <row r="39" spans="1:18" ht="12.75">
      <c r="A39" s="39">
        <v>5</v>
      </c>
      <c r="B39" s="39">
        <f>(COUNTIFS(集計用!$G:$G,"*, "&amp;$C39&amp;",*"))-COUNTIFS(集計用!U:U, "*英語を日常的に*",集計用!$G:$G,"*, "&amp;$C39&amp;",*")</f>
        <v>8</v>
      </c>
      <c r="C39" s="42" t="s">
        <v>35</v>
      </c>
      <c r="D39" s="41">
        <f>(COUNTIFS(集計用!$U:$U, "*, "&amp;D$4&amp;", *",集計用!$G:$G,"*, "&amp;$C39&amp;", *")-COUNTIFS(集計用!$U:$U, "*, "&amp;D$4&amp;", *",集計用!$G:$G,"*, "&amp;$C39&amp;", *",集計用!$U:$U, "*英語を日常的に*"))/$B39*100</f>
        <v>87.5</v>
      </c>
      <c r="E39" s="41">
        <f>(COUNTIFS(集計用!$U:$U, "*, "&amp;E$4&amp;", *",集計用!$G:$G,"*, "&amp;$C39&amp;", *")-COUNTIFS(集計用!$U:$U, "*, "&amp;E$4&amp;", *",集計用!$G:$G,"*, "&amp;$C39&amp;", *",集計用!$U:$U, "*英語を日常的に*"))/$B39*100</f>
        <v>0</v>
      </c>
      <c r="F39" s="41">
        <f>(COUNTIFS(集計用!$U:$U, "*, "&amp;F$4&amp;", *",集計用!$G:$G,"*, "&amp;$C39&amp;", *")-COUNTIFS(集計用!$U:$U, "*, "&amp;F$4&amp;", *",集計用!$G:$G,"*, "&amp;$C39&amp;", *",集計用!$U:$U, "*英語を日常的に*"))/$B39*100</f>
        <v>87.5</v>
      </c>
      <c r="G39" s="41">
        <f>(COUNTIFS(集計用!$U:$U, "*, "&amp;G$4&amp;", *",集計用!$G:$G,"*, "&amp;$C39&amp;", *")-COUNTIFS(集計用!$U:$U, "*, "&amp;G$4&amp;", *",集計用!$G:$G,"*, "&amp;$C39&amp;", *",集計用!$U:$U, "*英語を日常的に*"))/$B39*100</f>
        <v>0</v>
      </c>
      <c r="H39" s="41">
        <f>(COUNTIFS(集計用!$U:$U, "*, "&amp;H$4&amp;", *",集計用!$G:$G,"*, "&amp;$C39&amp;", *")-COUNTIFS(集計用!$U:$U, "*, "&amp;H$4&amp;", *",集計用!$G:$G,"*, "&amp;$C39&amp;", *",集計用!$U:$U, "*英語を日常的に*"))/$B39*100</f>
        <v>12.5</v>
      </c>
      <c r="I39" s="41">
        <f>(COUNTIFS(集計用!$U:$U, "*, "&amp;I$4&amp;", *",集計用!$G:$G,"*, "&amp;$C39&amp;", *")-COUNTIFS(集計用!$U:$U, "*, "&amp;I$4&amp;", *",集計用!$G:$G,"*, "&amp;$C39&amp;", *",集計用!$U:$U, "*英語を日常的に*"))/$B39*100</f>
        <v>0</v>
      </c>
      <c r="J39" s="41">
        <f>(COUNTIFS(集計用!$U:$U, "*, "&amp;J$4&amp;", *",集計用!$G:$G,"*, "&amp;$C39&amp;", *")-COUNTIFS(集計用!$U:$U, "*, "&amp;J$4&amp;", *",集計用!$G:$G,"*, "&amp;$C39&amp;", *",集計用!$U:$U, "*英語を日常的に*"))/$B39*100</f>
        <v>0</v>
      </c>
      <c r="K39" s="41">
        <f>(COUNTIFS(集計用!$U:$U, "*, "&amp;K$4&amp;", *",集計用!$G:$G,"*, "&amp;$C39&amp;", *")-COUNTIFS(集計用!$U:$U, "*, "&amp;K$4&amp;", *",集計用!$G:$G,"*, "&amp;$C39&amp;", *",集計用!$U:$U, "*英語を日常的に*"))/$B39*100</f>
        <v>0</v>
      </c>
      <c r="L39" s="41">
        <f>(COUNTIFS(集計用!$U:$U, "*, "&amp;L$4&amp;", *",集計用!$G:$G,"*, "&amp;$C39&amp;", *")-COUNTIFS(集計用!$U:$U, "*, "&amp;L$4&amp;", *",集計用!$G:$G,"*, "&amp;$C39&amp;", *",集計用!$U:$U, "*英語を日常的に*"))/$B39*100</f>
        <v>0</v>
      </c>
      <c r="M39" s="41">
        <f>(COUNTIFS(集計用!$U:$U, "*, "&amp;M$4&amp;", *",集計用!$G:$G,"*, "&amp;$C39&amp;", *")-COUNTIFS(集計用!$U:$U, "*, "&amp;M$4&amp;", *",集計用!$G:$G,"*, "&amp;$C39&amp;", *",集計用!$U:$U, "*英語を日常的に*"))/$B39*100</f>
        <v>0</v>
      </c>
      <c r="N39" s="41">
        <f>(COUNTIFS(集計用!$U:$U, "*, "&amp;N$4&amp;", *",集計用!$G:$G,"*, "&amp;$C39&amp;", *")-COUNTIFS(集計用!$U:$U, "*, "&amp;N$4&amp;", *",集計用!$G:$G,"*, "&amp;$C39&amp;", *",集計用!$U:$U, "*英語を日常的に*"))/$B39*100</f>
        <v>0</v>
      </c>
      <c r="O39" s="41">
        <f>(COUNTIFS(集計用!$U:$U, "*, "&amp;O$4&amp;", *",集計用!$G:$G,"*, "&amp;$C39&amp;", *")-COUNTIFS(集計用!$U:$U, "*, "&amp;O$4&amp;", *",集計用!$G:$G,"*, "&amp;$C39&amp;", *",集計用!$U:$U, "*英語を日常的に*"))/$B39*100</f>
        <v>0</v>
      </c>
      <c r="P39" s="41">
        <f>(COUNTIFS(集計用!$U:$U, "*, "&amp;P$4&amp;", *",集計用!$G:$G,"*, "&amp;$C39&amp;", *")-COUNTIFS(集計用!$U:$U, "*, "&amp;P$4&amp;", *",集計用!$G:$G,"*, "&amp;$C39&amp;", *",集計用!$U:$U, "*英語を日常的に*"))/$B39*100</f>
        <v>0</v>
      </c>
      <c r="Q39" s="41">
        <f>(COUNTIFS(集計用!$U:$U, "*, "&amp;Q$4&amp;", *",集計用!$G:$G,"*, "&amp;$C39&amp;", *")-COUNTIFS(集計用!$U:$U, "*, "&amp;Q$4&amp;", *",集計用!$G:$G,"*, "&amp;$C39&amp;", *",集計用!$U:$U, "*英語を日常的に*"))/$B39*100</f>
        <v>0</v>
      </c>
      <c r="R39" s="41">
        <f>(COUNTIFS(集計用!$U:$U, "*, "&amp;R$4&amp;", *",集計用!$G:$G,"*, "&amp;$C39&amp;", *")-COUNTIFS(集計用!$U:$U, "*, "&amp;R$4&amp;", *",集計用!$G:$G,"*, "&amp;$C39&amp;", *",集計用!$U:$U, "*英語を日常的に*"))/$B39*100</f>
        <v>0</v>
      </c>
    </row>
    <row r="40" spans="1:18" ht="12.75">
      <c r="A40" s="39">
        <v>5</v>
      </c>
      <c r="B40" s="39">
        <f>(COUNTIFS(集計用!$G:$G,"*, "&amp;$C40&amp;",*"))-COUNTIFS(集計用!U:U, "*英語を日常的に*",集計用!$G:$G,"*, "&amp;$C40&amp;",*")</f>
        <v>7</v>
      </c>
      <c r="C40" s="42" t="s">
        <v>34</v>
      </c>
      <c r="D40" s="41">
        <f>(COUNTIFS(集計用!$U:$U, "*, "&amp;D$4&amp;", *",集計用!$G:$G,"*, "&amp;$C40&amp;", *")-COUNTIFS(集計用!$U:$U, "*, "&amp;D$4&amp;", *",集計用!$G:$G,"*, "&amp;$C40&amp;", *",集計用!$U:$U, "*英語を日常的に*"))/$B40*100</f>
        <v>57.142857142857139</v>
      </c>
      <c r="E40" s="41">
        <f>(COUNTIFS(集計用!$U:$U, "*, "&amp;E$4&amp;", *",集計用!$G:$G,"*, "&amp;$C40&amp;", *")-COUNTIFS(集計用!$U:$U, "*, "&amp;E$4&amp;", *",集計用!$G:$G,"*, "&amp;$C40&amp;", *",集計用!$U:$U, "*英語を日常的に*"))/$B40*100</f>
        <v>28.571428571428569</v>
      </c>
      <c r="F40" s="41">
        <f>(COUNTIFS(集計用!$U:$U, "*, "&amp;F$4&amp;", *",集計用!$G:$G,"*, "&amp;$C40&amp;", *")-COUNTIFS(集計用!$U:$U, "*, "&amp;F$4&amp;", *",集計用!$G:$G,"*, "&amp;$C40&amp;", *",集計用!$U:$U, "*英語を日常的に*"))/$B40*100</f>
        <v>57.142857142857139</v>
      </c>
      <c r="G40" s="41">
        <f>(COUNTIFS(集計用!$U:$U, "*, "&amp;G$4&amp;", *",集計用!$G:$G,"*, "&amp;$C40&amp;", *")-COUNTIFS(集計用!$U:$U, "*, "&amp;G$4&amp;", *",集計用!$G:$G,"*, "&amp;$C40&amp;", *",集計用!$U:$U, "*英語を日常的に*"))/$B40*100</f>
        <v>0</v>
      </c>
      <c r="H40" s="41">
        <f>(COUNTIFS(集計用!$U:$U, "*, "&amp;H$4&amp;", *",集計用!$G:$G,"*, "&amp;$C40&amp;", *")-COUNTIFS(集計用!$U:$U, "*, "&amp;H$4&amp;", *",集計用!$G:$G,"*, "&amp;$C40&amp;", *",集計用!$U:$U, "*英語を日常的に*"))/$B40*100</f>
        <v>0</v>
      </c>
      <c r="I40" s="41">
        <f>(COUNTIFS(集計用!$U:$U, "*, "&amp;I$4&amp;", *",集計用!$G:$G,"*, "&amp;$C40&amp;", *")-COUNTIFS(集計用!$U:$U, "*, "&amp;I$4&amp;", *",集計用!$G:$G,"*, "&amp;$C40&amp;", *",集計用!$U:$U, "*英語を日常的に*"))/$B40*100</f>
        <v>28.571428571428569</v>
      </c>
      <c r="J40" s="41">
        <f>(COUNTIFS(集計用!$U:$U, "*, "&amp;J$4&amp;", *",集計用!$G:$G,"*, "&amp;$C40&amp;", *")-COUNTIFS(集計用!$U:$U, "*, "&amp;J$4&amp;", *",集計用!$G:$G,"*, "&amp;$C40&amp;", *",集計用!$U:$U, "*英語を日常的に*"))/$B40*100</f>
        <v>0</v>
      </c>
      <c r="K40" s="41">
        <f>(COUNTIFS(集計用!$U:$U, "*, "&amp;K$4&amp;", *",集計用!$G:$G,"*, "&amp;$C40&amp;", *")-COUNTIFS(集計用!$U:$U, "*, "&amp;K$4&amp;", *",集計用!$G:$G,"*, "&amp;$C40&amp;", *",集計用!$U:$U, "*英語を日常的に*"))/$B40*100</f>
        <v>0</v>
      </c>
      <c r="L40" s="41">
        <f>(COUNTIFS(集計用!$U:$U, "*, "&amp;L$4&amp;", *",集計用!$G:$G,"*, "&amp;$C40&amp;", *")-COUNTIFS(集計用!$U:$U, "*, "&amp;L$4&amp;", *",集計用!$G:$G,"*, "&amp;$C40&amp;", *",集計用!$U:$U, "*英語を日常的に*"))/$B40*100</f>
        <v>0</v>
      </c>
      <c r="M40" s="41">
        <f>(COUNTIFS(集計用!$U:$U, "*, "&amp;M$4&amp;", *",集計用!$G:$G,"*, "&amp;$C40&amp;", *")-COUNTIFS(集計用!$U:$U, "*, "&amp;M$4&amp;", *",集計用!$G:$G,"*, "&amp;$C40&amp;", *",集計用!$U:$U, "*英語を日常的に*"))/$B40*100</f>
        <v>0</v>
      </c>
      <c r="N40" s="41">
        <f>(COUNTIFS(集計用!$U:$U, "*, "&amp;N$4&amp;", *",集計用!$G:$G,"*, "&amp;$C40&amp;", *")-COUNTIFS(集計用!$U:$U, "*, "&amp;N$4&amp;", *",集計用!$G:$G,"*, "&amp;$C40&amp;", *",集計用!$U:$U, "*英語を日常的に*"))/$B40*100</f>
        <v>0</v>
      </c>
      <c r="O40" s="41">
        <f>(COUNTIFS(集計用!$U:$U, "*, "&amp;O$4&amp;", *",集計用!$G:$G,"*, "&amp;$C40&amp;", *")-COUNTIFS(集計用!$U:$U, "*, "&amp;O$4&amp;", *",集計用!$G:$G,"*, "&amp;$C40&amp;", *",集計用!$U:$U, "*英語を日常的に*"))/$B40*100</f>
        <v>0</v>
      </c>
      <c r="P40" s="41">
        <f>(COUNTIFS(集計用!$U:$U, "*, "&amp;P$4&amp;", *",集計用!$G:$G,"*, "&amp;$C40&amp;", *")-COUNTIFS(集計用!$U:$U, "*, "&amp;P$4&amp;", *",集計用!$G:$G,"*, "&amp;$C40&amp;", *",集計用!$U:$U, "*英語を日常的に*"))/$B40*100</f>
        <v>0</v>
      </c>
      <c r="Q40" s="41">
        <f>(COUNTIFS(集計用!$U:$U, "*, "&amp;Q$4&amp;", *",集計用!$G:$G,"*, "&amp;$C40&amp;", *")-COUNTIFS(集計用!$U:$U, "*, "&amp;Q$4&amp;", *",集計用!$G:$G,"*, "&amp;$C40&amp;", *",集計用!$U:$U, "*英語を日常的に*"))/$B40*100</f>
        <v>0</v>
      </c>
      <c r="R40" s="41">
        <f>(COUNTIFS(集計用!$U:$U, "*, "&amp;R$4&amp;", *",集計用!$G:$G,"*, "&amp;$C40&amp;", *")-COUNTIFS(集計用!$U:$U, "*, "&amp;R$4&amp;", *",集計用!$G:$G,"*, "&amp;$C40&amp;", *",集計用!$U:$U, "*英語を日常的に*"))/$B40*100</f>
        <v>0</v>
      </c>
    </row>
    <row r="41" spans="1:18" ht="12.75">
      <c r="A41" s="39">
        <v>4</v>
      </c>
      <c r="B41" s="39">
        <f>(COUNTIFS(集計用!$G:$G,"*, "&amp;$C41&amp;",*"))-COUNTIFS(集計用!U:U, "*英語を日常的に*",集計用!$G:$G,"*, "&amp;$C41&amp;",*")</f>
        <v>7</v>
      </c>
      <c r="C41" s="42" t="s">
        <v>33</v>
      </c>
      <c r="D41" s="41">
        <f>(COUNTIFS(集計用!$U:$U, "*, "&amp;D$4&amp;", *",集計用!$G:$G,"*, "&amp;$C41&amp;", *")-COUNTIFS(集計用!$U:$U, "*, "&amp;D$4&amp;", *",集計用!$G:$G,"*, "&amp;$C41&amp;", *",集計用!$U:$U, "*英語を日常的に*"))/$B41*100</f>
        <v>57.142857142857139</v>
      </c>
      <c r="E41" s="41">
        <f>(COUNTIFS(集計用!$U:$U, "*, "&amp;E$4&amp;", *",集計用!$G:$G,"*, "&amp;$C41&amp;", *")-COUNTIFS(集計用!$U:$U, "*, "&amp;E$4&amp;", *",集計用!$G:$G,"*, "&amp;$C41&amp;", *",集計用!$U:$U, "*英語を日常的に*"))/$B41*100</f>
        <v>28.571428571428569</v>
      </c>
      <c r="F41" s="41">
        <f>(COUNTIFS(集計用!$U:$U, "*, "&amp;F$4&amp;", *",集計用!$G:$G,"*, "&amp;$C41&amp;", *")-COUNTIFS(集計用!$U:$U, "*, "&amp;F$4&amp;", *",集計用!$G:$G,"*, "&amp;$C41&amp;", *",集計用!$U:$U, "*英語を日常的に*"))/$B41*100</f>
        <v>28.571428571428569</v>
      </c>
      <c r="G41" s="41">
        <f>(COUNTIFS(集計用!$U:$U, "*, "&amp;G$4&amp;", *",集計用!$G:$G,"*, "&amp;$C41&amp;", *")-COUNTIFS(集計用!$U:$U, "*, "&amp;G$4&amp;", *",集計用!$G:$G,"*, "&amp;$C41&amp;", *",集計用!$U:$U, "*英語を日常的に*"))/$B41*100</f>
        <v>42.857142857142854</v>
      </c>
      <c r="H41" s="41">
        <f>(COUNTIFS(集計用!$U:$U, "*, "&amp;H$4&amp;", *",集計用!$G:$G,"*, "&amp;$C41&amp;", *")-COUNTIFS(集計用!$U:$U, "*, "&amp;H$4&amp;", *",集計用!$G:$G,"*, "&amp;$C41&amp;", *",集計用!$U:$U, "*英語を日常的に*"))/$B41*100</f>
        <v>14.285714285714285</v>
      </c>
      <c r="I41" s="41">
        <f>(COUNTIFS(集計用!$U:$U, "*, "&amp;I$4&amp;", *",集計用!$G:$G,"*, "&amp;$C41&amp;", *")-COUNTIFS(集計用!$U:$U, "*, "&amp;I$4&amp;", *",集計用!$G:$G,"*, "&amp;$C41&amp;", *",集計用!$U:$U, "*英語を日常的に*"))/$B41*100</f>
        <v>14.285714285714285</v>
      </c>
      <c r="J41" s="41">
        <f>(COUNTIFS(集計用!$U:$U, "*, "&amp;J$4&amp;", *",集計用!$G:$G,"*, "&amp;$C41&amp;", *")-COUNTIFS(集計用!$U:$U, "*, "&amp;J$4&amp;", *",集計用!$G:$G,"*, "&amp;$C41&amp;", *",集計用!$U:$U, "*英語を日常的に*"))/$B41*100</f>
        <v>28.571428571428569</v>
      </c>
      <c r="K41" s="41">
        <f>(COUNTIFS(集計用!$U:$U, "*, "&amp;K$4&amp;", *",集計用!$G:$G,"*, "&amp;$C41&amp;", *")-COUNTIFS(集計用!$U:$U, "*, "&amp;K$4&amp;", *",集計用!$G:$G,"*, "&amp;$C41&amp;", *",集計用!$U:$U, "*英語を日常的に*"))/$B41*100</f>
        <v>14.285714285714285</v>
      </c>
      <c r="L41" s="41">
        <f>(COUNTIFS(集計用!$U:$U, "*, "&amp;L$4&amp;", *",集計用!$G:$G,"*, "&amp;$C41&amp;", *")-COUNTIFS(集計用!$U:$U, "*, "&amp;L$4&amp;", *",集計用!$G:$G,"*, "&amp;$C41&amp;", *",集計用!$U:$U, "*英語を日常的に*"))/$B41*100</f>
        <v>0</v>
      </c>
      <c r="M41" s="41">
        <f>(COUNTIFS(集計用!$U:$U, "*, "&amp;M$4&amp;", *",集計用!$G:$G,"*, "&amp;$C41&amp;", *")-COUNTIFS(集計用!$U:$U, "*, "&amp;M$4&amp;", *",集計用!$G:$G,"*, "&amp;$C41&amp;", *",集計用!$U:$U, "*英語を日常的に*"))/$B41*100</f>
        <v>0</v>
      </c>
      <c r="N41" s="41">
        <f>(COUNTIFS(集計用!$U:$U, "*, "&amp;N$4&amp;", *",集計用!$G:$G,"*, "&amp;$C41&amp;", *")-COUNTIFS(集計用!$U:$U, "*, "&amp;N$4&amp;", *",集計用!$G:$G,"*, "&amp;$C41&amp;", *",集計用!$U:$U, "*英語を日常的に*"))/$B41*100</f>
        <v>0</v>
      </c>
      <c r="O41" s="41">
        <f>(COUNTIFS(集計用!$U:$U, "*, "&amp;O$4&amp;", *",集計用!$G:$G,"*, "&amp;$C41&amp;", *")-COUNTIFS(集計用!$U:$U, "*, "&amp;O$4&amp;", *",集計用!$G:$G,"*, "&amp;$C41&amp;", *",集計用!$U:$U, "*英語を日常的に*"))/$B41*100</f>
        <v>0</v>
      </c>
      <c r="P41" s="41">
        <f>(COUNTIFS(集計用!$U:$U, "*, "&amp;P$4&amp;", *",集計用!$G:$G,"*, "&amp;$C41&amp;", *")-COUNTIFS(集計用!$U:$U, "*, "&amp;P$4&amp;", *",集計用!$G:$G,"*, "&amp;$C41&amp;", *",集計用!$U:$U, "*英語を日常的に*"))/$B41*100</f>
        <v>0</v>
      </c>
      <c r="Q41" s="41">
        <f>(COUNTIFS(集計用!$U:$U, "*, "&amp;Q$4&amp;", *",集計用!$G:$G,"*, "&amp;$C41&amp;", *")-COUNTIFS(集計用!$U:$U, "*, "&amp;Q$4&amp;", *",集計用!$G:$G,"*, "&amp;$C41&amp;", *",集計用!$U:$U, "*英語を日常的に*"))/$B41*100</f>
        <v>0</v>
      </c>
      <c r="R41" s="41">
        <f>(COUNTIFS(集計用!$U:$U, "*, "&amp;R$4&amp;", *",集計用!$G:$G,"*, "&amp;$C41&amp;", *")-COUNTIFS(集計用!$U:$U, "*, "&amp;R$4&amp;", *",集計用!$G:$G,"*, "&amp;$C41&amp;", *",集計用!$U:$U, "*英語を日常的に*"))/$B41*100</f>
        <v>0</v>
      </c>
    </row>
    <row r="42" spans="1:18" ht="12.75">
      <c r="A42" s="39">
        <v>4</v>
      </c>
      <c r="B42" s="39">
        <f>(COUNTIFS(集計用!$G:$G,"*, "&amp;$C42&amp;",*"))-COUNTIFS(集計用!U:U, "*英語を日常的に*",集計用!$G:$G,"*, "&amp;$C42&amp;",*")</f>
        <v>6</v>
      </c>
      <c r="C42" s="42" t="s">
        <v>36</v>
      </c>
      <c r="D42" s="41">
        <f>(COUNTIFS(集計用!$U:$U, "*, "&amp;D$4&amp;", *",集計用!$G:$G,"*, "&amp;$C42&amp;", *")-COUNTIFS(集計用!$U:$U, "*, "&amp;D$4&amp;", *",集計用!$G:$G,"*, "&amp;$C42&amp;", *",集計用!$U:$U, "*英語を日常的に*"))/$B42*100</f>
        <v>33.333333333333329</v>
      </c>
      <c r="E42" s="41">
        <f>(COUNTIFS(集計用!$U:$U, "*, "&amp;E$4&amp;", *",集計用!$G:$G,"*, "&amp;$C42&amp;", *")-COUNTIFS(集計用!$U:$U, "*, "&amp;E$4&amp;", *",集計用!$G:$G,"*, "&amp;$C42&amp;", *",集計用!$U:$U, "*英語を日常的に*"))/$B42*100</f>
        <v>50</v>
      </c>
      <c r="F42" s="41">
        <f>(COUNTIFS(集計用!$U:$U, "*, "&amp;F$4&amp;", *",集計用!$G:$G,"*, "&amp;$C42&amp;", *")-COUNTIFS(集計用!$U:$U, "*, "&amp;F$4&amp;", *",集計用!$G:$G,"*, "&amp;$C42&amp;", *",集計用!$U:$U, "*英語を日常的に*"))/$B42*100</f>
        <v>33.333333333333329</v>
      </c>
      <c r="G42" s="41">
        <f>(COUNTIFS(集計用!$U:$U, "*, "&amp;G$4&amp;", *",集計用!$G:$G,"*, "&amp;$C42&amp;", *")-COUNTIFS(集計用!$U:$U, "*, "&amp;G$4&amp;", *",集計用!$G:$G,"*, "&amp;$C42&amp;", *",集計用!$U:$U, "*英語を日常的に*"))/$B42*100</f>
        <v>16.666666666666664</v>
      </c>
      <c r="H42" s="41">
        <f>(COUNTIFS(集計用!$U:$U, "*, "&amp;H$4&amp;", *",集計用!$G:$G,"*, "&amp;$C42&amp;", *")-COUNTIFS(集計用!$U:$U, "*, "&amp;H$4&amp;", *",集計用!$G:$G,"*, "&amp;$C42&amp;", *",集計用!$U:$U, "*英語を日常的に*"))/$B42*100</f>
        <v>0</v>
      </c>
      <c r="I42" s="41">
        <f>(COUNTIFS(集計用!$U:$U, "*, "&amp;I$4&amp;", *",集計用!$G:$G,"*, "&amp;$C42&amp;", *")-COUNTIFS(集計用!$U:$U, "*, "&amp;I$4&amp;", *",集計用!$G:$G,"*, "&amp;$C42&amp;", *",集計用!$U:$U, "*英語を日常的に*"))/$B42*100</f>
        <v>33.333333333333329</v>
      </c>
      <c r="J42" s="41">
        <f>(COUNTIFS(集計用!$U:$U, "*, "&amp;J$4&amp;", *",集計用!$G:$G,"*, "&amp;$C42&amp;", *")-COUNTIFS(集計用!$U:$U, "*, "&amp;J$4&amp;", *",集計用!$G:$G,"*, "&amp;$C42&amp;", *",集計用!$U:$U, "*英語を日常的に*"))/$B42*100</f>
        <v>16.666666666666664</v>
      </c>
      <c r="K42" s="41">
        <f>(COUNTIFS(集計用!$U:$U, "*, "&amp;K$4&amp;", *",集計用!$G:$G,"*, "&amp;$C42&amp;", *")-COUNTIFS(集計用!$U:$U, "*, "&amp;K$4&amp;", *",集計用!$G:$G,"*, "&amp;$C42&amp;", *",集計用!$U:$U, "*英語を日常的に*"))/$B42*100</f>
        <v>16.666666666666664</v>
      </c>
      <c r="L42" s="41">
        <f>(COUNTIFS(集計用!$U:$U, "*, "&amp;L$4&amp;", *",集計用!$G:$G,"*, "&amp;$C42&amp;", *")-COUNTIFS(集計用!$U:$U, "*, "&amp;L$4&amp;", *",集計用!$G:$G,"*, "&amp;$C42&amp;", *",集計用!$U:$U, "*英語を日常的に*"))/$B42*100</f>
        <v>0</v>
      </c>
      <c r="M42" s="41">
        <f>(COUNTIFS(集計用!$U:$U, "*, "&amp;M$4&amp;", *",集計用!$G:$G,"*, "&amp;$C42&amp;", *")-COUNTIFS(集計用!$U:$U, "*, "&amp;M$4&amp;", *",集計用!$G:$G,"*, "&amp;$C42&amp;", *",集計用!$U:$U, "*英語を日常的に*"))/$B42*100</f>
        <v>0</v>
      </c>
      <c r="N42" s="41">
        <f>(COUNTIFS(集計用!$U:$U, "*, "&amp;N$4&amp;", *",集計用!$G:$G,"*, "&amp;$C42&amp;", *")-COUNTIFS(集計用!$U:$U, "*, "&amp;N$4&amp;", *",集計用!$G:$G,"*, "&amp;$C42&amp;", *",集計用!$U:$U, "*英語を日常的に*"))/$B42*100</f>
        <v>0</v>
      </c>
      <c r="O42" s="41">
        <f>(COUNTIFS(集計用!$U:$U, "*, "&amp;O$4&amp;", *",集計用!$G:$G,"*, "&amp;$C42&amp;", *")-COUNTIFS(集計用!$U:$U, "*, "&amp;O$4&amp;", *",集計用!$G:$G,"*, "&amp;$C42&amp;", *",集計用!$U:$U, "*英語を日常的に*"))/$B42*100</f>
        <v>0</v>
      </c>
      <c r="P42" s="41">
        <f>(COUNTIFS(集計用!$U:$U, "*, "&amp;P$4&amp;", *",集計用!$G:$G,"*, "&amp;$C42&amp;", *")-COUNTIFS(集計用!$U:$U, "*, "&amp;P$4&amp;", *",集計用!$G:$G,"*, "&amp;$C42&amp;", *",集計用!$U:$U, "*英語を日常的に*"))/$B42*100</f>
        <v>0</v>
      </c>
      <c r="Q42" s="41">
        <f>(COUNTIFS(集計用!$U:$U, "*, "&amp;Q$4&amp;", *",集計用!$G:$G,"*, "&amp;$C42&amp;", *")-COUNTIFS(集計用!$U:$U, "*, "&amp;Q$4&amp;", *",集計用!$G:$G,"*, "&amp;$C42&amp;", *",集計用!$U:$U, "*英語を日常的に*"))/$B42*100</f>
        <v>0</v>
      </c>
      <c r="R42" s="41">
        <f>(COUNTIFS(集計用!$U:$U, "*, "&amp;R$4&amp;", *",集計用!$G:$G,"*, "&amp;$C42&amp;", *")-COUNTIFS(集計用!$U:$U, "*, "&amp;R$4&amp;", *",集計用!$G:$G,"*, "&amp;$C42&amp;", *",集計用!$U:$U, "*英語を日常的に*"))/$B42*100</f>
        <v>0</v>
      </c>
    </row>
    <row r="43" spans="1:18" ht="12.75">
      <c r="A43" s="39">
        <v>4</v>
      </c>
      <c r="B43" s="39">
        <f>(COUNTIFS(集計用!$G:$G,"*, "&amp;$C43&amp;",*"))-COUNTIFS(集計用!U:U, "*英語を日常的に*",集計用!$G:$G,"*, "&amp;$C43&amp;",*")</f>
        <v>4</v>
      </c>
      <c r="C43" s="42" t="s">
        <v>37</v>
      </c>
      <c r="D43" s="41">
        <f>(COUNTIFS(集計用!$U:$U, "*, "&amp;D$4&amp;", *",集計用!$G:$G,"*, "&amp;$C43&amp;", *")-COUNTIFS(集計用!$U:$U, "*, "&amp;D$4&amp;", *",集計用!$G:$G,"*, "&amp;$C43&amp;", *",集計用!$U:$U, "*英語を日常的に*"))/$B43*100</f>
        <v>25</v>
      </c>
      <c r="E43" s="41">
        <f>(COUNTIFS(集計用!$U:$U, "*, "&amp;E$4&amp;", *",集計用!$G:$G,"*, "&amp;$C43&amp;", *")-COUNTIFS(集計用!$U:$U, "*, "&amp;E$4&amp;", *",集計用!$G:$G,"*, "&amp;$C43&amp;", *",集計用!$U:$U, "*英語を日常的に*"))/$B43*100</f>
        <v>50</v>
      </c>
      <c r="F43" s="41">
        <f>(COUNTIFS(集計用!$U:$U, "*, "&amp;F$4&amp;", *",集計用!$G:$G,"*, "&amp;$C43&amp;", *")-COUNTIFS(集計用!$U:$U, "*, "&amp;F$4&amp;", *",集計用!$G:$G,"*, "&amp;$C43&amp;", *",集計用!$U:$U, "*英語を日常的に*"))/$B43*100</f>
        <v>50</v>
      </c>
      <c r="G43" s="41">
        <f>(COUNTIFS(集計用!$U:$U, "*, "&amp;G$4&amp;", *",集計用!$G:$G,"*, "&amp;$C43&amp;", *")-COUNTIFS(集計用!$U:$U, "*, "&amp;G$4&amp;", *",集計用!$G:$G,"*, "&amp;$C43&amp;", *",集計用!$U:$U, "*英語を日常的に*"))/$B43*100</f>
        <v>0</v>
      </c>
      <c r="H43" s="41">
        <f>(COUNTIFS(集計用!$U:$U, "*, "&amp;H$4&amp;", *",集計用!$G:$G,"*, "&amp;$C43&amp;", *")-COUNTIFS(集計用!$U:$U, "*, "&amp;H$4&amp;", *",集計用!$G:$G,"*, "&amp;$C43&amp;", *",集計用!$U:$U, "*英語を日常的に*"))/$B43*100</f>
        <v>0</v>
      </c>
      <c r="I43" s="41">
        <f>(COUNTIFS(集計用!$U:$U, "*, "&amp;I$4&amp;", *",集計用!$G:$G,"*, "&amp;$C43&amp;", *")-COUNTIFS(集計用!$U:$U, "*, "&amp;I$4&amp;", *",集計用!$G:$G,"*, "&amp;$C43&amp;", *",集計用!$U:$U, "*英語を日常的に*"))/$B43*100</f>
        <v>25</v>
      </c>
      <c r="J43" s="41">
        <f>(COUNTIFS(集計用!$U:$U, "*, "&amp;J$4&amp;", *",集計用!$G:$G,"*, "&amp;$C43&amp;", *")-COUNTIFS(集計用!$U:$U, "*, "&amp;J$4&amp;", *",集計用!$G:$G,"*, "&amp;$C43&amp;", *",集計用!$U:$U, "*英語を日常的に*"))/$B43*100</f>
        <v>25</v>
      </c>
      <c r="K43" s="41">
        <f>(COUNTIFS(集計用!$U:$U, "*, "&amp;K$4&amp;", *",集計用!$G:$G,"*, "&amp;$C43&amp;", *")-COUNTIFS(集計用!$U:$U, "*, "&amp;K$4&amp;", *",集計用!$G:$G,"*, "&amp;$C43&amp;", *",集計用!$U:$U, "*英語を日常的に*"))/$B43*100</f>
        <v>0</v>
      </c>
      <c r="L43" s="41">
        <f>(COUNTIFS(集計用!$U:$U, "*, "&amp;L$4&amp;", *",集計用!$G:$G,"*, "&amp;$C43&amp;", *")-COUNTIFS(集計用!$U:$U, "*, "&amp;L$4&amp;", *",集計用!$G:$G,"*, "&amp;$C43&amp;", *",集計用!$U:$U, "*英語を日常的に*"))/$B43*100</f>
        <v>0</v>
      </c>
      <c r="M43" s="41">
        <f>(COUNTIFS(集計用!$U:$U, "*, "&amp;M$4&amp;", *",集計用!$G:$G,"*, "&amp;$C43&amp;", *")-COUNTIFS(集計用!$U:$U, "*, "&amp;M$4&amp;", *",集計用!$G:$G,"*, "&amp;$C43&amp;", *",集計用!$U:$U, "*英語を日常的に*"))/$B43*100</f>
        <v>0</v>
      </c>
      <c r="N43" s="41">
        <f>(COUNTIFS(集計用!$U:$U, "*, "&amp;N$4&amp;", *",集計用!$G:$G,"*, "&amp;$C43&amp;", *")-COUNTIFS(集計用!$U:$U, "*, "&amp;N$4&amp;", *",集計用!$G:$G,"*, "&amp;$C43&amp;", *",集計用!$U:$U, "*英語を日常的に*"))/$B43*100</f>
        <v>0</v>
      </c>
      <c r="O43" s="41">
        <f>(COUNTIFS(集計用!$U:$U, "*, "&amp;O$4&amp;", *",集計用!$G:$G,"*, "&amp;$C43&amp;", *")-COUNTIFS(集計用!$U:$U, "*, "&amp;O$4&amp;", *",集計用!$G:$G,"*, "&amp;$C43&amp;", *",集計用!$U:$U, "*英語を日常的に*"))/$B43*100</f>
        <v>0</v>
      </c>
      <c r="P43" s="41">
        <f>(COUNTIFS(集計用!$U:$U, "*, "&amp;P$4&amp;", *",集計用!$G:$G,"*, "&amp;$C43&amp;", *")-COUNTIFS(集計用!$U:$U, "*, "&amp;P$4&amp;", *",集計用!$G:$G,"*, "&amp;$C43&amp;", *",集計用!$U:$U, "*英語を日常的に*"))/$B43*100</f>
        <v>0</v>
      </c>
      <c r="Q43" s="41">
        <f>(COUNTIFS(集計用!$U:$U, "*, "&amp;Q$4&amp;", *",集計用!$G:$G,"*, "&amp;$C43&amp;", *")-COUNTIFS(集計用!$U:$U, "*, "&amp;Q$4&amp;", *",集計用!$G:$G,"*, "&amp;$C43&amp;", *",集計用!$U:$U, "*英語を日常的に*"))/$B43*100</f>
        <v>0</v>
      </c>
      <c r="R43" s="41">
        <f>(COUNTIFS(集計用!$U:$U, "*, "&amp;R$4&amp;", *",集計用!$G:$G,"*, "&amp;$C43&amp;", *")-COUNTIFS(集計用!$U:$U, "*, "&amp;R$4&amp;", *",集計用!$G:$G,"*, "&amp;$C43&amp;", *",集計用!$U:$U, "*英語を日常的に*"))/$B43*100</f>
        <v>0</v>
      </c>
    </row>
    <row r="44" spans="1:18" ht="12.75">
      <c r="A44" s="39">
        <v>5</v>
      </c>
      <c r="B44" s="39">
        <f>(COUNTIFS(集計用!$G:$G,"*, "&amp;$C44&amp;",*"))-COUNTIFS(集計用!U:U, "*英語を日常的に*",集計用!$G:$G,"*, "&amp;$C44&amp;",*")</f>
        <v>5</v>
      </c>
      <c r="C44" s="42" t="s">
        <v>39</v>
      </c>
      <c r="D44" s="41">
        <f>(COUNTIFS(集計用!$U:$U, "*, "&amp;D$4&amp;", *",集計用!$G:$G,"*, "&amp;$C44&amp;", *")-COUNTIFS(集計用!$U:$U, "*, "&amp;D$4&amp;", *",集計用!$G:$G,"*, "&amp;$C44&amp;", *",集計用!$U:$U, "*英語を日常的に*"))/$B44*100</f>
        <v>80</v>
      </c>
      <c r="E44" s="41">
        <f>(COUNTIFS(集計用!$U:$U, "*, "&amp;E$4&amp;", *",集計用!$G:$G,"*, "&amp;$C44&amp;", *")-COUNTIFS(集計用!$U:$U, "*, "&amp;E$4&amp;", *",集計用!$G:$G,"*, "&amp;$C44&amp;", *",集計用!$U:$U, "*英語を日常的に*"))/$B44*100</f>
        <v>20</v>
      </c>
      <c r="F44" s="41">
        <f>(COUNTIFS(集計用!$U:$U, "*, "&amp;F$4&amp;", *",集計用!$G:$G,"*, "&amp;$C44&amp;", *")-COUNTIFS(集計用!$U:$U, "*, "&amp;F$4&amp;", *",集計用!$G:$G,"*, "&amp;$C44&amp;", *",集計用!$U:$U, "*英語を日常的に*"))/$B44*100</f>
        <v>80</v>
      </c>
      <c r="G44" s="41">
        <f>(COUNTIFS(集計用!$U:$U, "*, "&amp;G$4&amp;", *",集計用!$G:$G,"*, "&amp;$C44&amp;", *")-COUNTIFS(集計用!$U:$U, "*, "&amp;G$4&amp;", *",集計用!$G:$G,"*, "&amp;$C44&amp;", *",集計用!$U:$U, "*英語を日常的に*"))/$B44*100</f>
        <v>20</v>
      </c>
      <c r="H44" s="41">
        <f>(COUNTIFS(集計用!$U:$U, "*, "&amp;H$4&amp;", *",集計用!$G:$G,"*, "&amp;$C44&amp;", *")-COUNTIFS(集計用!$U:$U, "*, "&amp;H$4&amp;", *",集計用!$G:$G,"*, "&amp;$C44&amp;", *",集計用!$U:$U, "*英語を日常的に*"))/$B44*100</f>
        <v>20</v>
      </c>
      <c r="I44" s="41">
        <f>(COUNTIFS(集計用!$U:$U, "*, "&amp;I$4&amp;", *",集計用!$G:$G,"*, "&amp;$C44&amp;", *")-COUNTIFS(集計用!$U:$U, "*, "&amp;I$4&amp;", *",集計用!$G:$G,"*, "&amp;$C44&amp;", *",集計用!$U:$U, "*英語を日常的に*"))/$B44*100</f>
        <v>0</v>
      </c>
      <c r="J44" s="41">
        <f>(COUNTIFS(集計用!$U:$U, "*, "&amp;J$4&amp;", *",集計用!$G:$G,"*, "&amp;$C44&amp;", *")-COUNTIFS(集計用!$U:$U, "*, "&amp;J$4&amp;", *",集計用!$G:$G,"*, "&amp;$C44&amp;", *",集計用!$U:$U, "*英語を日常的に*"))/$B44*100</f>
        <v>0</v>
      </c>
      <c r="K44" s="41">
        <f>(COUNTIFS(集計用!$U:$U, "*, "&amp;K$4&amp;", *",集計用!$G:$G,"*, "&amp;$C44&amp;", *")-COUNTIFS(集計用!$U:$U, "*, "&amp;K$4&amp;", *",集計用!$G:$G,"*, "&amp;$C44&amp;", *",集計用!$U:$U, "*英語を日常的に*"))/$B44*100</f>
        <v>0</v>
      </c>
      <c r="L44" s="41">
        <f>(COUNTIFS(集計用!$U:$U, "*, "&amp;L$4&amp;", *",集計用!$G:$G,"*, "&amp;$C44&amp;", *")-COUNTIFS(集計用!$U:$U, "*, "&amp;L$4&amp;", *",集計用!$G:$G,"*, "&amp;$C44&amp;", *",集計用!$U:$U, "*英語を日常的に*"))/$B44*100</f>
        <v>0</v>
      </c>
      <c r="M44" s="41">
        <f>(COUNTIFS(集計用!$U:$U, "*, "&amp;M$4&amp;", *",集計用!$G:$G,"*, "&amp;$C44&amp;", *")-COUNTIFS(集計用!$U:$U, "*, "&amp;M$4&amp;", *",集計用!$G:$G,"*, "&amp;$C44&amp;", *",集計用!$U:$U, "*英語を日常的に*"))/$B44*100</f>
        <v>0</v>
      </c>
      <c r="N44" s="41">
        <f>(COUNTIFS(集計用!$U:$U, "*, "&amp;N$4&amp;", *",集計用!$G:$G,"*, "&amp;$C44&amp;", *")-COUNTIFS(集計用!$U:$U, "*, "&amp;N$4&amp;", *",集計用!$G:$G,"*, "&amp;$C44&amp;", *",集計用!$U:$U, "*英語を日常的に*"))/$B44*100</f>
        <v>0</v>
      </c>
      <c r="O44" s="41">
        <f>(COUNTIFS(集計用!$U:$U, "*, "&amp;O$4&amp;", *",集計用!$G:$G,"*, "&amp;$C44&amp;", *")-COUNTIFS(集計用!$U:$U, "*, "&amp;O$4&amp;", *",集計用!$G:$G,"*, "&amp;$C44&amp;", *",集計用!$U:$U, "*英語を日常的に*"))/$B44*100</f>
        <v>0</v>
      </c>
      <c r="P44" s="41">
        <f>(COUNTIFS(集計用!$U:$U, "*, "&amp;P$4&amp;", *",集計用!$G:$G,"*, "&amp;$C44&amp;", *")-COUNTIFS(集計用!$U:$U, "*, "&amp;P$4&amp;", *",集計用!$G:$G,"*, "&amp;$C44&amp;", *",集計用!$U:$U, "*英語を日常的に*"))/$B44*100</f>
        <v>0</v>
      </c>
      <c r="Q44" s="41">
        <f>(COUNTIFS(集計用!$U:$U, "*, "&amp;Q$4&amp;", *",集計用!$G:$G,"*, "&amp;$C44&amp;", *")-COUNTIFS(集計用!$U:$U, "*, "&amp;Q$4&amp;", *",集計用!$G:$G,"*, "&amp;$C44&amp;", *",集計用!$U:$U, "*英語を日常的に*"))/$B44*100</f>
        <v>0</v>
      </c>
      <c r="R44" s="41">
        <f>(COUNTIFS(集計用!$U:$U, "*, "&amp;R$4&amp;", *",集計用!$G:$G,"*, "&amp;$C44&amp;", *")-COUNTIFS(集計用!$U:$U, "*, "&amp;R$4&amp;", *",集計用!$G:$G,"*, "&amp;$C44&amp;", *",集計用!$U:$U, "*英語を日常的に*"))/$B44*100</f>
        <v>0</v>
      </c>
    </row>
    <row r="45" spans="1:18" ht="14.25" customHeight="1">
      <c r="A45" s="39">
        <v>5</v>
      </c>
      <c r="B45" s="39">
        <f>(COUNTIFS(集計用!$G:$G,"*, "&amp;$C45&amp;",*"))-COUNTIFS(集計用!U:U, "*英語を日常的に*",集計用!$G:$G,"*, "&amp;$C45&amp;",*")</f>
        <v>4</v>
      </c>
      <c r="C45" s="42" t="s">
        <v>38</v>
      </c>
      <c r="D45" s="41">
        <f>(COUNTIFS(集計用!$U:$U, "*, "&amp;D$4&amp;", *",集計用!$G:$G,"*, "&amp;$C45&amp;", *")-COUNTIFS(集計用!$U:$U, "*, "&amp;D$4&amp;", *",集計用!$G:$G,"*, "&amp;$C45&amp;", *",集計用!$U:$U, "*英語を日常的に*"))/$B45*100</f>
        <v>25</v>
      </c>
      <c r="E45" s="41">
        <f>(COUNTIFS(集計用!$U:$U, "*, "&amp;E$4&amp;", *",集計用!$G:$G,"*, "&amp;$C45&amp;", *")-COUNTIFS(集計用!$U:$U, "*, "&amp;E$4&amp;", *",集計用!$G:$G,"*, "&amp;$C45&amp;", *",集計用!$U:$U, "*英語を日常的に*"))/$B45*100</f>
        <v>25</v>
      </c>
      <c r="F45" s="41">
        <f>(COUNTIFS(集計用!$U:$U, "*, "&amp;F$4&amp;", *",集計用!$G:$G,"*, "&amp;$C45&amp;", *")-COUNTIFS(集計用!$U:$U, "*, "&amp;F$4&amp;", *",集計用!$G:$G,"*, "&amp;$C45&amp;", *",集計用!$U:$U, "*英語を日常的に*"))/$B45*100</f>
        <v>0</v>
      </c>
      <c r="G45" s="41">
        <f>(COUNTIFS(集計用!$U:$U, "*, "&amp;G$4&amp;", *",集計用!$G:$G,"*, "&amp;$C45&amp;", *")-COUNTIFS(集計用!$U:$U, "*, "&amp;G$4&amp;", *",集計用!$G:$G,"*, "&amp;$C45&amp;", *",集計用!$U:$U, "*英語を日常的に*"))/$B45*100</f>
        <v>0</v>
      </c>
      <c r="H45" s="41">
        <f>(COUNTIFS(集計用!$U:$U, "*, "&amp;H$4&amp;", *",集計用!$G:$G,"*, "&amp;$C45&amp;", *")-COUNTIFS(集計用!$U:$U, "*, "&amp;H$4&amp;", *",集計用!$G:$G,"*, "&amp;$C45&amp;", *",集計用!$U:$U, "*英語を日常的に*"))/$B45*100</f>
        <v>0</v>
      </c>
      <c r="I45" s="41">
        <f>(COUNTIFS(集計用!$U:$U, "*, "&amp;I$4&amp;", *",集計用!$G:$G,"*, "&amp;$C45&amp;", *")-COUNTIFS(集計用!$U:$U, "*, "&amp;I$4&amp;", *",集計用!$G:$G,"*, "&amp;$C45&amp;", *",集計用!$U:$U, "*英語を日常的に*"))/$B45*100</f>
        <v>50</v>
      </c>
      <c r="J45" s="41">
        <f>(COUNTIFS(集計用!$U:$U, "*, "&amp;J$4&amp;", *",集計用!$G:$G,"*, "&amp;$C45&amp;", *")-COUNTIFS(集計用!$U:$U, "*, "&amp;J$4&amp;", *",集計用!$G:$G,"*, "&amp;$C45&amp;", *",集計用!$U:$U, "*英語を日常的に*"))/$B45*100</f>
        <v>0</v>
      </c>
      <c r="K45" s="41">
        <f>(COUNTIFS(集計用!$U:$U, "*, "&amp;K$4&amp;", *",集計用!$G:$G,"*, "&amp;$C45&amp;", *")-COUNTIFS(集計用!$U:$U, "*, "&amp;K$4&amp;", *",集計用!$G:$G,"*, "&amp;$C45&amp;", *",集計用!$U:$U, "*英語を日常的に*"))/$B45*100</f>
        <v>0</v>
      </c>
      <c r="L45" s="41">
        <f>(COUNTIFS(集計用!$U:$U, "*, "&amp;L$4&amp;", *",集計用!$G:$G,"*, "&amp;$C45&amp;", *")-COUNTIFS(集計用!$U:$U, "*, "&amp;L$4&amp;", *",集計用!$G:$G,"*, "&amp;$C45&amp;", *",集計用!$U:$U, "*英語を日常的に*"))/$B45*100</f>
        <v>0</v>
      </c>
      <c r="M45" s="41">
        <f>(COUNTIFS(集計用!$U:$U, "*, "&amp;M$4&amp;", *",集計用!$G:$G,"*, "&amp;$C45&amp;", *")-COUNTIFS(集計用!$U:$U, "*, "&amp;M$4&amp;", *",集計用!$G:$G,"*, "&amp;$C45&amp;", *",集計用!$U:$U, "*英語を日常的に*"))/$B45*100</f>
        <v>0</v>
      </c>
      <c r="N45" s="41">
        <f>(COUNTIFS(集計用!$U:$U, "*, "&amp;N$4&amp;", *",集計用!$G:$G,"*, "&amp;$C45&amp;", *")-COUNTIFS(集計用!$U:$U, "*, "&amp;N$4&amp;", *",集計用!$G:$G,"*, "&amp;$C45&amp;", *",集計用!$U:$U, "*英語を日常的に*"))/$B45*100</f>
        <v>0</v>
      </c>
      <c r="O45" s="41">
        <f>(COUNTIFS(集計用!$U:$U, "*, "&amp;O$4&amp;", *",集計用!$G:$G,"*, "&amp;$C45&amp;", *")-COUNTIFS(集計用!$U:$U, "*, "&amp;O$4&amp;", *",集計用!$G:$G,"*, "&amp;$C45&amp;", *",集計用!$U:$U, "*英語を日常的に*"))/$B45*100</f>
        <v>0</v>
      </c>
      <c r="P45" s="41">
        <f>(COUNTIFS(集計用!$U:$U, "*, "&amp;P$4&amp;", *",集計用!$G:$G,"*, "&amp;$C45&amp;", *")-COUNTIFS(集計用!$U:$U, "*, "&amp;P$4&amp;", *",集計用!$G:$G,"*, "&amp;$C45&amp;", *",集計用!$U:$U, "*英語を日常的に*"))/$B45*100</f>
        <v>0</v>
      </c>
      <c r="Q45" s="41">
        <f>(COUNTIFS(集計用!$U:$U, "*, "&amp;Q$4&amp;", *",集計用!$G:$G,"*, "&amp;$C45&amp;", *")-COUNTIFS(集計用!$U:$U, "*, "&amp;Q$4&amp;", *",集計用!$G:$G,"*, "&amp;$C45&amp;", *",集計用!$U:$U, "*英語を日常的に*"))/$B45*100</f>
        <v>0</v>
      </c>
      <c r="R45" s="41">
        <f>(COUNTIFS(集計用!$U:$U, "*, "&amp;R$4&amp;", *",集計用!$G:$G,"*, "&amp;$C45&amp;", *")-COUNTIFS(集計用!$U:$U, "*, "&amp;R$4&amp;", *",集計用!$G:$G,"*, "&amp;$C45&amp;", *",集計用!$U:$U, "*英語を日常的に*"))/$B45*100</f>
        <v>0</v>
      </c>
    </row>
    <row r="46" spans="1:18" ht="14.25" customHeight="1">
      <c r="A46" s="39">
        <v>4</v>
      </c>
      <c r="B46" s="39">
        <f>(COUNTIFS(集計用!$G:$G,"*, "&amp;$C46&amp;",*"))-COUNTIFS(集計用!U:U, "*英語を日常的に*",集計用!$G:$G,"*, "&amp;$C46&amp;",*")</f>
        <v>4</v>
      </c>
      <c r="C46" s="42" t="s">
        <v>40</v>
      </c>
      <c r="D46" s="41">
        <f>(COUNTIFS(集計用!$U:$U, "*, "&amp;D$4&amp;", *",集計用!$G:$G,"*, "&amp;$C46&amp;", *")-COUNTIFS(集計用!$U:$U, "*, "&amp;D$4&amp;", *",集計用!$G:$G,"*, "&amp;$C46&amp;", *",集計用!$U:$U, "*英語を日常的に*"))/$B46*100</f>
        <v>50</v>
      </c>
      <c r="E46" s="41">
        <f>(COUNTIFS(集計用!$U:$U, "*, "&amp;E$4&amp;", *",集計用!$G:$G,"*, "&amp;$C46&amp;", *")-COUNTIFS(集計用!$U:$U, "*, "&amp;E$4&amp;", *",集計用!$G:$G,"*, "&amp;$C46&amp;", *",集計用!$U:$U, "*英語を日常的に*"))/$B46*100</f>
        <v>25</v>
      </c>
      <c r="F46" s="41">
        <f>(COUNTIFS(集計用!$U:$U, "*, "&amp;F$4&amp;", *",集計用!$G:$G,"*, "&amp;$C46&amp;", *")-COUNTIFS(集計用!$U:$U, "*, "&amp;F$4&amp;", *",集計用!$G:$G,"*, "&amp;$C46&amp;", *",集計用!$U:$U, "*英語を日常的に*"))/$B46*100</f>
        <v>50</v>
      </c>
      <c r="G46" s="41">
        <f>(COUNTIFS(集計用!$U:$U, "*, "&amp;G$4&amp;", *",集計用!$G:$G,"*, "&amp;$C46&amp;", *")-COUNTIFS(集計用!$U:$U, "*, "&amp;G$4&amp;", *",集計用!$G:$G,"*, "&amp;$C46&amp;", *",集計用!$U:$U, "*英語を日常的に*"))/$B46*100</f>
        <v>25</v>
      </c>
      <c r="H46" s="41">
        <f>(COUNTIFS(集計用!$U:$U, "*, "&amp;H$4&amp;", *",集計用!$G:$G,"*, "&amp;$C46&amp;", *")-COUNTIFS(集計用!$U:$U, "*, "&amp;H$4&amp;", *",集計用!$G:$G,"*, "&amp;$C46&amp;", *",集計用!$U:$U, "*英語を日常的に*"))/$B46*100</f>
        <v>25</v>
      </c>
      <c r="I46" s="41">
        <f>(COUNTIFS(集計用!$U:$U, "*, "&amp;I$4&amp;", *",集計用!$G:$G,"*, "&amp;$C46&amp;", *")-COUNTIFS(集計用!$U:$U, "*, "&amp;I$4&amp;", *",集計用!$G:$G,"*, "&amp;$C46&amp;", *",集計用!$U:$U, "*英語を日常的に*"))/$B46*100</f>
        <v>50</v>
      </c>
      <c r="J46" s="41">
        <f>(COUNTIFS(集計用!$U:$U, "*, "&amp;J$4&amp;", *",集計用!$G:$G,"*, "&amp;$C46&amp;", *")-COUNTIFS(集計用!$U:$U, "*, "&amp;J$4&amp;", *",集計用!$G:$G,"*, "&amp;$C46&amp;", *",集計用!$U:$U, "*英語を日常的に*"))/$B46*100</f>
        <v>25</v>
      </c>
      <c r="K46" s="41">
        <f>(COUNTIFS(集計用!$U:$U, "*, "&amp;K$4&amp;", *",集計用!$G:$G,"*, "&amp;$C46&amp;", *")-COUNTIFS(集計用!$U:$U, "*, "&amp;K$4&amp;", *",集計用!$G:$G,"*, "&amp;$C46&amp;", *",集計用!$U:$U, "*英語を日常的に*"))/$B46*100</f>
        <v>0</v>
      </c>
      <c r="L46" s="41">
        <f>(COUNTIFS(集計用!$U:$U, "*, "&amp;L$4&amp;", *",集計用!$G:$G,"*, "&amp;$C46&amp;", *")-COUNTIFS(集計用!$U:$U, "*, "&amp;L$4&amp;", *",集計用!$G:$G,"*, "&amp;$C46&amp;", *",集計用!$U:$U, "*英語を日常的に*"))/$B46*100</f>
        <v>0</v>
      </c>
      <c r="M46" s="41">
        <f>(COUNTIFS(集計用!$U:$U, "*, "&amp;M$4&amp;", *",集計用!$G:$G,"*, "&amp;$C46&amp;", *")-COUNTIFS(集計用!$U:$U, "*, "&amp;M$4&amp;", *",集計用!$G:$G,"*, "&amp;$C46&amp;", *",集計用!$U:$U, "*英語を日常的に*"))/$B46*100</f>
        <v>0</v>
      </c>
      <c r="N46" s="41">
        <f>(COUNTIFS(集計用!$U:$U, "*, "&amp;N$4&amp;", *",集計用!$G:$G,"*, "&amp;$C46&amp;", *")-COUNTIFS(集計用!$U:$U, "*, "&amp;N$4&amp;", *",集計用!$G:$G,"*, "&amp;$C46&amp;", *",集計用!$U:$U, "*英語を日常的に*"))/$B46*100</f>
        <v>0</v>
      </c>
      <c r="O46" s="41">
        <f>(COUNTIFS(集計用!$U:$U, "*, "&amp;O$4&amp;", *",集計用!$G:$G,"*, "&amp;$C46&amp;", *")-COUNTIFS(集計用!$U:$U, "*, "&amp;O$4&amp;", *",集計用!$G:$G,"*, "&amp;$C46&amp;", *",集計用!$U:$U, "*英語を日常的に*"))/$B46*100</f>
        <v>0</v>
      </c>
      <c r="P46" s="41">
        <f>(COUNTIFS(集計用!$U:$U, "*, "&amp;P$4&amp;", *",集計用!$G:$G,"*, "&amp;$C46&amp;", *")-COUNTIFS(集計用!$U:$U, "*, "&amp;P$4&amp;", *",集計用!$G:$G,"*, "&amp;$C46&amp;", *",集計用!$U:$U, "*英語を日常的に*"))/$B46*100</f>
        <v>0</v>
      </c>
      <c r="Q46" s="41">
        <f>(COUNTIFS(集計用!$U:$U, "*, "&amp;Q$4&amp;", *",集計用!$G:$G,"*, "&amp;$C46&amp;", *")-COUNTIFS(集計用!$U:$U, "*, "&amp;Q$4&amp;", *",集計用!$G:$G,"*, "&amp;$C46&amp;", *",集計用!$U:$U, "*英語を日常的に*"))/$B46*100</f>
        <v>0</v>
      </c>
      <c r="R46" s="41">
        <f>(COUNTIFS(集計用!$U:$U, "*, "&amp;R$4&amp;", *",集計用!$G:$G,"*, "&amp;$C46&amp;", *")-COUNTIFS(集計用!$U:$U, "*, "&amp;R$4&amp;", *",集計用!$G:$G,"*, "&amp;$C46&amp;", *",集計用!$U:$U, "*英語を日常的に*"))/$B46*100</f>
        <v>0</v>
      </c>
    </row>
    <row r="47" spans="1:18" ht="14.25" customHeight="1">
      <c r="A47" s="39">
        <v>6</v>
      </c>
      <c r="B47" s="39">
        <f>(COUNTIFS(集計用!$G:$G,"*, "&amp;$C47&amp;",*"))-COUNTIFS(集計用!U:U, "*英語を日常的に*",集計用!$G:$G,"*, "&amp;$C47&amp;",*")</f>
        <v>5</v>
      </c>
      <c r="C47" s="42" t="s">
        <v>41</v>
      </c>
      <c r="D47" s="41">
        <f>(COUNTIFS(集計用!$U:$U, "*, "&amp;D$4&amp;", *",集計用!$G:$G,"*, "&amp;$C47&amp;", *")-COUNTIFS(集計用!$U:$U, "*, "&amp;D$4&amp;", *",集計用!$G:$G,"*, "&amp;$C47&amp;", *",集計用!$U:$U, "*英語を日常的に*"))/$B47*100</f>
        <v>80</v>
      </c>
      <c r="E47" s="41">
        <f>(COUNTIFS(集計用!$U:$U, "*, "&amp;E$4&amp;", *",集計用!$G:$G,"*, "&amp;$C47&amp;", *")-COUNTIFS(集計用!$U:$U, "*, "&amp;E$4&amp;", *",集計用!$G:$G,"*, "&amp;$C47&amp;", *",集計用!$U:$U, "*英語を日常的に*"))/$B47*100</f>
        <v>20</v>
      </c>
      <c r="F47" s="41">
        <f>(COUNTIFS(集計用!$U:$U, "*, "&amp;F$4&amp;", *",集計用!$G:$G,"*, "&amp;$C47&amp;", *")-COUNTIFS(集計用!$U:$U, "*, "&amp;F$4&amp;", *",集計用!$G:$G,"*, "&amp;$C47&amp;", *",集計用!$U:$U, "*英語を日常的に*"))/$B47*100</f>
        <v>80</v>
      </c>
      <c r="G47" s="41">
        <f>(COUNTIFS(集計用!$U:$U, "*, "&amp;G$4&amp;", *",集計用!$G:$G,"*, "&amp;$C47&amp;", *")-COUNTIFS(集計用!$U:$U, "*, "&amp;G$4&amp;", *",集計用!$G:$G,"*, "&amp;$C47&amp;", *",集計用!$U:$U, "*英語を日常的に*"))/$B47*100</f>
        <v>0</v>
      </c>
      <c r="H47" s="41">
        <f>(COUNTIFS(集計用!$U:$U, "*, "&amp;H$4&amp;", *",集計用!$G:$G,"*, "&amp;$C47&amp;", *")-COUNTIFS(集計用!$U:$U, "*, "&amp;H$4&amp;", *",集計用!$G:$G,"*, "&amp;$C47&amp;", *",集計用!$U:$U, "*英語を日常的に*"))/$B47*100</f>
        <v>0</v>
      </c>
      <c r="I47" s="41">
        <f>(COUNTIFS(集計用!$U:$U, "*, "&amp;I$4&amp;", *",集計用!$G:$G,"*, "&amp;$C47&amp;", *")-COUNTIFS(集計用!$U:$U, "*, "&amp;I$4&amp;", *",集計用!$G:$G,"*, "&amp;$C47&amp;", *",集計用!$U:$U, "*英語を日常的に*"))/$B47*100</f>
        <v>0</v>
      </c>
      <c r="J47" s="41">
        <f>(COUNTIFS(集計用!$U:$U, "*, "&amp;J$4&amp;", *",集計用!$G:$G,"*, "&amp;$C47&amp;", *")-COUNTIFS(集計用!$U:$U, "*, "&amp;J$4&amp;", *",集計用!$G:$G,"*, "&amp;$C47&amp;", *",集計用!$U:$U, "*英語を日常的に*"))/$B47*100</f>
        <v>40</v>
      </c>
      <c r="K47" s="41">
        <f>(COUNTIFS(集計用!$U:$U, "*, "&amp;K$4&amp;", *",集計用!$G:$G,"*, "&amp;$C47&amp;", *")-COUNTIFS(集計用!$U:$U, "*, "&amp;K$4&amp;", *",集計用!$G:$G,"*, "&amp;$C47&amp;", *",集計用!$U:$U, "*英語を日常的に*"))/$B47*100</f>
        <v>0</v>
      </c>
      <c r="L47" s="41">
        <f>(COUNTIFS(集計用!$U:$U, "*, "&amp;L$4&amp;", *",集計用!$G:$G,"*, "&amp;$C47&amp;", *")-COUNTIFS(集計用!$U:$U, "*, "&amp;L$4&amp;", *",集計用!$G:$G,"*, "&amp;$C47&amp;", *",集計用!$U:$U, "*英語を日常的に*"))/$B47*100</f>
        <v>0</v>
      </c>
      <c r="M47" s="41">
        <f>(COUNTIFS(集計用!$U:$U, "*, "&amp;M$4&amp;", *",集計用!$G:$G,"*, "&amp;$C47&amp;", *")-COUNTIFS(集計用!$U:$U, "*, "&amp;M$4&amp;", *",集計用!$G:$G,"*, "&amp;$C47&amp;", *",集計用!$U:$U, "*英語を日常的に*"))/$B47*100</f>
        <v>0</v>
      </c>
      <c r="N47" s="41">
        <f>(COUNTIFS(集計用!$U:$U, "*, "&amp;N$4&amp;", *",集計用!$G:$G,"*, "&amp;$C47&amp;", *")-COUNTIFS(集計用!$U:$U, "*, "&amp;N$4&amp;", *",集計用!$G:$G,"*, "&amp;$C47&amp;", *",集計用!$U:$U, "*英語を日常的に*"))/$B47*100</f>
        <v>0</v>
      </c>
      <c r="O47" s="41">
        <f>(COUNTIFS(集計用!$U:$U, "*, "&amp;O$4&amp;", *",集計用!$G:$G,"*, "&amp;$C47&amp;", *")-COUNTIFS(集計用!$U:$U, "*, "&amp;O$4&amp;", *",集計用!$G:$G,"*, "&amp;$C47&amp;", *",集計用!$U:$U, "*英語を日常的に*"))/$B47*100</f>
        <v>0</v>
      </c>
      <c r="P47" s="41">
        <f>(COUNTIFS(集計用!$U:$U, "*, "&amp;P$4&amp;", *",集計用!$G:$G,"*, "&amp;$C47&amp;", *")-COUNTIFS(集計用!$U:$U, "*, "&amp;P$4&amp;", *",集計用!$G:$G,"*, "&amp;$C47&amp;", *",集計用!$U:$U, "*英語を日常的に*"))/$B47*100</f>
        <v>0</v>
      </c>
      <c r="Q47" s="41">
        <f>(COUNTIFS(集計用!$U:$U, "*, "&amp;Q$4&amp;", *",集計用!$G:$G,"*, "&amp;$C47&amp;", *")-COUNTIFS(集計用!$U:$U, "*, "&amp;Q$4&amp;", *",集計用!$G:$G,"*, "&amp;$C47&amp;", *",集計用!$U:$U, "*英語を日常的に*"))/$B47*100</f>
        <v>0</v>
      </c>
      <c r="R47" s="41">
        <f>(COUNTIFS(集計用!$U:$U, "*, "&amp;R$4&amp;", *",集計用!$G:$G,"*, "&amp;$C47&amp;", *")-COUNTIFS(集計用!$U:$U, "*, "&amp;R$4&amp;", *",集計用!$G:$G,"*, "&amp;$C47&amp;", *",集計用!$U:$U, "*英語を日常的に*"))/$B47*100</f>
        <v>0</v>
      </c>
    </row>
    <row r="48" spans="1:18" ht="12.75">
      <c r="A48" s="39">
        <v>4</v>
      </c>
      <c r="B48" s="39">
        <f>(COUNTIFS(集計用!$G:$G,"*, "&amp;$C48&amp;",*"))-COUNTIFS(集計用!U:U, "*英語を日常的に*",集計用!$G:$G,"*, "&amp;$C48&amp;",*")</f>
        <v>3</v>
      </c>
      <c r="C48" s="42" t="s">
        <v>44</v>
      </c>
      <c r="D48" s="41">
        <f>(COUNTIFS(集計用!$U:$U, "*, "&amp;D$4&amp;", *",集計用!$G:$G,"*, "&amp;$C48&amp;", *")-COUNTIFS(集計用!$U:$U, "*, "&amp;D$4&amp;", *",集計用!$G:$G,"*, "&amp;$C48&amp;", *",集計用!$U:$U, "*英語を日常的に*"))/$B48*100</f>
        <v>33.333333333333329</v>
      </c>
      <c r="E48" s="41">
        <f>(COUNTIFS(集計用!$U:$U, "*, "&amp;E$4&amp;", *",集計用!$G:$G,"*, "&amp;$C48&amp;", *")-COUNTIFS(集計用!$U:$U, "*, "&amp;E$4&amp;", *",集計用!$G:$G,"*, "&amp;$C48&amp;", *",集計用!$U:$U, "*英語を日常的に*"))/$B48*100</f>
        <v>66.666666666666657</v>
      </c>
      <c r="F48" s="41">
        <f>(COUNTIFS(集計用!$U:$U, "*, "&amp;F$4&amp;", *",集計用!$G:$G,"*, "&amp;$C48&amp;", *")-COUNTIFS(集計用!$U:$U, "*, "&amp;F$4&amp;", *",集計用!$G:$G,"*, "&amp;$C48&amp;", *",集計用!$U:$U, "*英語を日常的に*"))/$B48*100</f>
        <v>33.333333333333329</v>
      </c>
      <c r="G48" s="41">
        <f>(COUNTIFS(集計用!$U:$U, "*, "&amp;G$4&amp;", *",集計用!$G:$G,"*, "&amp;$C48&amp;", *")-COUNTIFS(集計用!$U:$U, "*, "&amp;G$4&amp;", *",集計用!$G:$G,"*, "&amp;$C48&amp;", *",集計用!$U:$U, "*英語を日常的に*"))/$B48*100</f>
        <v>0</v>
      </c>
      <c r="H48" s="41">
        <f>(COUNTIFS(集計用!$U:$U, "*, "&amp;H$4&amp;", *",集計用!$G:$G,"*, "&amp;$C48&amp;", *")-COUNTIFS(集計用!$U:$U, "*, "&amp;H$4&amp;", *",集計用!$G:$G,"*, "&amp;$C48&amp;", *",集計用!$U:$U, "*英語を日常的に*"))/$B48*100</f>
        <v>0</v>
      </c>
      <c r="I48" s="41">
        <f>(COUNTIFS(集計用!$U:$U, "*, "&amp;I$4&amp;", *",集計用!$G:$G,"*, "&amp;$C48&amp;", *")-COUNTIFS(集計用!$U:$U, "*, "&amp;I$4&amp;", *",集計用!$G:$G,"*, "&amp;$C48&amp;", *",集計用!$U:$U, "*英語を日常的に*"))/$B48*100</f>
        <v>0</v>
      </c>
      <c r="J48" s="41">
        <f>(COUNTIFS(集計用!$U:$U, "*, "&amp;J$4&amp;", *",集計用!$G:$G,"*, "&amp;$C48&amp;", *")-COUNTIFS(集計用!$U:$U, "*, "&amp;J$4&amp;", *",集計用!$G:$G,"*, "&amp;$C48&amp;", *",集計用!$U:$U, "*英語を日常的に*"))/$B48*100</f>
        <v>0</v>
      </c>
      <c r="K48" s="41">
        <f>(COUNTIFS(集計用!$U:$U, "*, "&amp;K$4&amp;", *",集計用!$G:$G,"*, "&amp;$C48&amp;", *")-COUNTIFS(集計用!$U:$U, "*, "&amp;K$4&amp;", *",集計用!$G:$G,"*, "&amp;$C48&amp;", *",集計用!$U:$U, "*英語を日常的に*"))/$B48*100</f>
        <v>33.333333333333329</v>
      </c>
      <c r="L48" s="41">
        <f>(COUNTIFS(集計用!$U:$U, "*, "&amp;L$4&amp;", *",集計用!$G:$G,"*, "&amp;$C48&amp;", *")-COUNTIFS(集計用!$U:$U, "*, "&amp;L$4&amp;", *",集計用!$G:$G,"*, "&amp;$C48&amp;", *",集計用!$U:$U, "*英語を日常的に*"))/$B48*100</f>
        <v>33.333333333333329</v>
      </c>
      <c r="M48" s="41">
        <f>(COUNTIFS(集計用!$U:$U, "*, "&amp;M$4&amp;", *",集計用!$G:$G,"*, "&amp;$C48&amp;", *")-COUNTIFS(集計用!$U:$U, "*, "&amp;M$4&amp;", *",集計用!$G:$G,"*, "&amp;$C48&amp;", *",集計用!$U:$U, "*英語を日常的に*"))/$B48*100</f>
        <v>0</v>
      </c>
      <c r="N48" s="41">
        <f>(COUNTIFS(集計用!$U:$U, "*, "&amp;N$4&amp;", *",集計用!$G:$G,"*, "&amp;$C48&amp;", *")-COUNTIFS(集計用!$U:$U, "*, "&amp;N$4&amp;", *",集計用!$G:$G,"*, "&amp;$C48&amp;", *",集計用!$U:$U, "*英語を日常的に*"))/$B48*100</f>
        <v>0</v>
      </c>
      <c r="O48" s="41">
        <f>(COUNTIFS(集計用!$U:$U, "*, "&amp;O$4&amp;", *",集計用!$G:$G,"*, "&amp;$C48&amp;", *")-COUNTIFS(集計用!$U:$U, "*, "&amp;O$4&amp;", *",集計用!$G:$G,"*, "&amp;$C48&amp;", *",集計用!$U:$U, "*英語を日常的に*"))/$B48*100</f>
        <v>0</v>
      </c>
      <c r="P48" s="41">
        <f>(COUNTIFS(集計用!$U:$U, "*, "&amp;P$4&amp;", *",集計用!$G:$G,"*, "&amp;$C48&amp;", *")-COUNTIFS(集計用!$U:$U, "*, "&amp;P$4&amp;", *",集計用!$G:$G,"*, "&amp;$C48&amp;", *",集計用!$U:$U, "*英語を日常的に*"))/$B48*100</f>
        <v>0</v>
      </c>
      <c r="Q48" s="41">
        <f>(COUNTIFS(集計用!$U:$U, "*, "&amp;Q$4&amp;", *",集計用!$G:$G,"*, "&amp;$C48&amp;", *")-COUNTIFS(集計用!$U:$U, "*, "&amp;Q$4&amp;", *",集計用!$G:$G,"*, "&amp;$C48&amp;", *",集計用!$U:$U, "*英語を日常的に*"))/$B48*100</f>
        <v>0</v>
      </c>
      <c r="R48" s="41">
        <f>(COUNTIFS(集計用!$U:$U, "*, "&amp;R$4&amp;", *",集計用!$G:$G,"*, "&amp;$C48&amp;", *")-COUNTIFS(集計用!$U:$U, "*, "&amp;R$4&amp;", *",集計用!$G:$G,"*, "&amp;$C48&amp;", *",集計用!$U:$U, "*英語を日常的に*"))/$B48*100</f>
        <v>0</v>
      </c>
    </row>
    <row r="49" spans="1:18" ht="14.25" customHeight="1">
      <c r="A49" s="39">
        <v>4</v>
      </c>
      <c r="B49" s="39">
        <f>(COUNTIFS(集計用!$G:$G,"*, "&amp;$C49&amp;",*"))-COUNTIFS(集計用!U:U, "*英語を日常的に*",集計用!$G:$G,"*, "&amp;$C49&amp;",*")</f>
        <v>4</v>
      </c>
      <c r="C49" s="42" t="s">
        <v>43</v>
      </c>
      <c r="D49" s="41">
        <f>(COUNTIFS(集計用!$U:$U, "*, "&amp;D$4&amp;", *",集計用!$G:$G,"*, "&amp;$C49&amp;", *")-COUNTIFS(集計用!$U:$U, "*, "&amp;D$4&amp;", *",集計用!$G:$G,"*, "&amp;$C49&amp;", *",集計用!$U:$U, "*英語を日常的に*"))/$B49*100</f>
        <v>100</v>
      </c>
      <c r="E49" s="41">
        <f>(COUNTIFS(集計用!$U:$U, "*, "&amp;E$4&amp;", *",集計用!$G:$G,"*, "&amp;$C49&amp;", *")-COUNTIFS(集計用!$U:$U, "*, "&amp;E$4&amp;", *",集計用!$G:$G,"*, "&amp;$C49&amp;", *",集計用!$U:$U, "*英語を日常的に*"))/$B49*100</f>
        <v>25</v>
      </c>
      <c r="F49" s="41">
        <f>(COUNTIFS(集計用!$U:$U, "*, "&amp;F$4&amp;", *",集計用!$G:$G,"*, "&amp;$C49&amp;", *")-COUNTIFS(集計用!$U:$U, "*, "&amp;F$4&amp;", *",集計用!$G:$G,"*, "&amp;$C49&amp;", *",集計用!$U:$U, "*英語を日常的に*"))/$B49*100</f>
        <v>25</v>
      </c>
      <c r="G49" s="41">
        <f>(COUNTIFS(集計用!$U:$U, "*, "&amp;G$4&amp;", *",集計用!$G:$G,"*, "&amp;$C49&amp;", *")-COUNTIFS(集計用!$U:$U, "*, "&amp;G$4&amp;", *",集計用!$G:$G,"*, "&amp;$C49&amp;", *",集計用!$U:$U, "*英語を日常的に*"))/$B49*100</f>
        <v>0</v>
      </c>
      <c r="H49" s="41">
        <f>(COUNTIFS(集計用!$U:$U, "*, "&amp;H$4&amp;", *",集計用!$G:$G,"*, "&amp;$C49&amp;", *")-COUNTIFS(集計用!$U:$U, "*, "&amp;H$4&amp;", *",集計用!$G:$G,"*, "&amp;$C49&amp;", *",集計用!$U:$U, "*英語を日常的に*"))/$B49*100</f>
        <v>25</v>
      </c>
      <c r="I49" s="41">
        <f>(COUNTIFS(集計用!$U:$U, "*, "&amp;I$4&amp;", *",集計用!$G:$G,"*, "&amp;$C49&amp;", *")-COUNTIFS(集計用!$U:$U, "*, "&amp;I$4&amp;", *",集計用!$G:$G,"*, "&amp;$C49&amp;", *",集計用!$U:$U, "*英語を日常的に*"))/$B49*100</f>
        <v>0</v>
      </c>
      <c r="J49" s="41">
        <f>(COUNTIFS(集計用!$U:$U, "*, "&amp;J$4&amp;", *",集計用!$G:$G,"*, "&amp;$C49&amp;", *")-COUNTIFS(集計用!$U:$U, "*, "&amp;J$4&amp;", *",集計用!$G:$G,"*, "&amp;$C49&amp;", *",集計用!$U:$U, "*英語を日常的に*"))/$B49*100</f>
        <v>0</v>
      </c>
      <c r="K49" s="41">
        <f>(COUNTIFS(集計用!$U:$U, "*, "&amp;K$4&amp;", *",集計用!$G:$G,"*, "&amp;$C49&amp;", *")-COUNTIFS(集計用!$U:$U, "*, "&amp;K$4&amp;", *",集計用!$G:$G,"*, "&amp;$C49&amp;", *",集計用!$U:$U, "*英語を日常的に*"))/$B49*100</f>
        <v>25</v>
      </c>
      <c r="L49" s="41">
        <f>(COUNTIFS(集計用!$U:$U, "*, "&amp;L$4&amp;", *",集計用!$G:$G,"*, "&amp;$C49&amp;", *")-COUNTIFS(集計用!$U:$U, "*, "&amp;L$4&amp;", *",集計用!$G:$G,"*, "&amp;$C49&amp;", *",集計用!$U:$U, "*英語を日常的に*"))/$B49*100</f>
        <v>0</v>
      </c>
      <c r="M49" s="41">
        <f>(COUNTIFS(集計用!$U:$U, "*, "&amp;M$4&amp;", *",集計用!$G:$G,"*, "&amp;$C49&amp;", *")-COUNTIFS(集計用!$U:$U, "*, "&amp;M$4&amp;", *",集計用!$G:$G,"*, "&amp;$C49&amp;", *",集計用!$U:$U, "*英語を日常的に*"))/$B49*100</f>
        <v>0</v>
      </c>
      <c r="N49" s="41">
        <f>(COUNTIFS(集計用!$U:$U, "*, "&amp;N$4&amp;", *",集計用!$G:$G,"*, "&amp;$C49&amp;", *")-COUNTIFS(集計用!$U:$U, "*, "&amp;N$4&amp;", *",集計用!$G:$G,"*, "&amp;$C49&amp;", *",集計用!$U:$U, "*英語を日常的に*"))/$B49*100</f>
        <v>0</v>
      </c>
      <c r="O49" s="41">
        <f>(COUNTIFS(集計用!$U:$U, "*, "&amp;O$4&amp;", *",集計用!$G:$G,"*, "&amp;$C49&amp;", *")-COUNTIFS(集計用!$U:$U, "*, "&amp;O$4&amp;", *",集計用!$G:$G,"*, "&amp;$C49&amp;", *",集計用!$U:$U, "*英語を日常的に*"))/$B49*100</f>
        <v>0</v>
      </c>
      <c r="P49" s="41">
        <f>(COUNTIFS(集計用!$U:$U, "*, "&amp;P$4&amp;", *",集計用!$G:$G,"*, "&amp;$C49&amp;", *")-COUNTIFS(集計用!$U:$U, "*, "&amp;P$4&amp;", *",集計用!$G:$G,"*, "&amp;$C49&amp;", *",集計用!$U:$U, "*英語を日常的に*"))/$B49*100</f>
        <v>0</v>
      </c>
      <c r="Q49" s="41">
        <f>(COUNTIFS(集計用!$U:$U, "*, "&amp;Q$4&amp;", *",集計用!$G:$G,"*, "&amp;$C49&amp;", *")-COUNTIFS(集計用!$U:$U, "*, "&amp;Q$4&amp;", *",集計用!$G:$G,"*, "&amp;$C49&amp;", *",集計用!$U:$U, "*英語を日常的に*"))/$B49*100</f>
        <v>0</v>
      </c>
      <c r="R49" s="41">
        <f>(COUNTIFS(集計用!$U:$U, "*, "&amp;R$4&amp;", *",集計用!$G:$G,"*, "&amp;$C49&amp;", *")-COUNTIFS(集計用!$U:$U, "*, "&amp;R$4&amp;", *",集計用!$G:$G,"*, "&amp;$C49&amp;", *",集計用!$U:$U, "*英語を日常的に*"))/$B49*100</f>
        <v>0</v>
      </c>
    </row>
    <row r="50" spans="1:18" ht="14.25" customHeight="1">
      <c r="A50" s="39">
        <v>4</v>
      </c>
      <c r="B50" s="39">
        <f>(COUNTIFS(集計用!$G:$G,"*, "&amp;$C50&amp;",*"))-COUNTIFS(集計用!U:U, "*英語を日常的に*",集計用!$G:$G,"*, "&amp;$C50&amp;",*")</f>
        <v>3</v>
      </c>
      <c r="C50" s="42" t="s">
        <v>42</v>
      </c>
      <c r="D50" s="41">
        <f>(COUNTIFS(集計用!$U:$U, "*, "&amp;D$4&amp;", *",集計用!$G:$G,"*, "&amp;$C50&amp;", *")-COUNTIFS(集計用!$U:$U, "*, "&amp;D$4&amp;", *",集計用!$G:$G,"*, "&amp;$C50&amp;", *",集計用!$U:$U, "*英語を日常的に*"))/$B50*100</f>
        <v>0</v>
      </c>
      <c r="E50" s="41">
        <f>(COUNTIFS(集計用!$U:$U, "*, "&amp;E$4&amp;", *",集計用!$G:$G,"*, "&amp;$C50&amp;", *")-COUNTIFS(集計用!$U:$U, "*, "&amp;E$4&amp;", *",集計用!$G:$G,"*, "&amp;$C50&amp;", *",集計用!$U:$U, "*英語を日常的に*"))/$B50*100</f>
        <v>33.333333333333329</v>
      </c>
      <c r="F50" s="41">
        <f>(COUNTIFS(集計用!$U:$U, "*, "&amp;F$4&amp;", *",集計用!$G:$G,"*, "&amp;$C50&amp;", *")-COUNTIFS(集計用!$U:$U, "*, "&amp;F$4&amp;", *",集計用!$G:$G,"*, "&amp;$C50&amp;", *",集計用!$U:$U, "*英語を日常的に*"))/$B50*100</f>
        <v>100</v>
      </c>
      <c r="G50" s="41">
        <f>(COUNTIFS(集計用!$U:$U, "*, "&amp;G$4&amp;", *",集計用!$G:$G,"*, "&amp;$C50&amp;", *")-COUNTIFS(集計用!$U:$U, "*, "&amp;G$4&amp;", *",集計用!$G:$G,"*, "&amp;$C50&amp;", *",集計用!$U:$U, "*英語を日常的に*"))/$B50*100</f>
        <v>0</v>
      </c>
      <c r="H50" s="41">
        <f>(COUNTIFS(集計用!$U:$U, "*, "&amp;H$4&amp;", *",集計用!$G:$G,"*, "&amp;$C50&amp;", *")-COUNTIFS(集計用!$U:$U, "*, "&amp;H$4&amp;", *",集計用!$G:$G,"*, "&amp;$C50&amp;", *",集計用!$U:$U, "*英語を日常的に*"))/$B50*100</f>
        <v>0</v>
      </c>
      <c r="I50" s="41">
        <f>(COUNTIFS(集計用!$U:$U, "*, "&amp;I$4&amp;", *",集計用!$G:$G,"*, "&amp;$C50&amp;", *")-COUNTIFS(集計用!$U:$U, "*, "&amp;I$4&amp;", *",集計用!$G:$G,"*, "&amp;$C50&amp;", *",集計用!$U:$U, "*英語を日常的に*"))/$B50*100</f>
        <v>0</v>
      </c>
      <c r="J50" s="41">
        <f>(COUNTIFS(集計用!$U:$U, "*, "&amp;J$4&amp;", *",集計用!$G:$G,"*, "&amp;$C50&amp;", *")-COUNTIFS(集計用!$U:$U, "*, "&amp;J$4&amp;", *",集計用!$G:$G,"*, "&amp;$C50&amp;", *",集計用!$U:$U, "*英語を日常的に*"))/$B50*100</f>
        <v>0</v>
      </c>
      <c r="K50" s="41">
        <f>(COUNTIFS(集計用!$U:$U, "*, "&amp;K$4&amp;", *",集計用!$G:$G,"*, "&amp;$C50&amp;", *")-COUNTIFS(集計用!$U:$U, "*, "&amp;K$4&amp;", *",集計用!$G:$G,"*, "&amp;$C50&amp;", *",集計用!$U:$U, "*英語を日常的に*"))/$B50*100</f>
        <v>0</v>
      </c>
      <c r="L50" s="41">
        <f>(COUNTIFS(集計用!$U:$U, "*, "&amp;L$4&amp;", *",集計用!$G:$G,"*, "&amp;$C50&amp;", *")-COUNTIFS(集計用!$U:$U, "*, "&amp;L$4&amp;", *",集計用!$G:$G,"*, "&amp;$C50&amp;", *",集計用!$U:$U, "*英語を日常的に*"))/$B50*100</f>
        <v>0</v>
      </c>
      <c r="M50" s="41">
        <f>(COUNTIFS(集計用!$U:$U, "*, "&amp;M$4&amp;", *",集計用!$G:$G,"*, "&amp;$C50&amp;", *")-COUNTIFS(集計用!$U:$U, "*, "&amp;M$4&amp;", *",集計用!$G:$G,"*, "&amp;$C50&amp;", *",集計用!$U:$U, "*英語を日常的に*"))/$B50*100</f>
        <v>0</v>
      </c>
      <c r="N50" s="41">
        <f>(COUNTIFS(集計用!$U:$U, "*, "&amp;N$4&amp;", *",集計用!$G:$G,"*, "&amp;$C50&amp;", *")-COUNTIFS(集計用!$U:$U, "*, "&amp;N$4&amp;", *",集計用!$G:$G,"*, "&amp;$C50&amp;", *",集計用!$U:$U, "*英語を日常的に*"))/$B50*100</f>
        <v>0</v>
      </c>
      <c r="O50" s="41">
        <f>(COUNTIFS(集計用!$U:$U, "*, "&amp;O$4&amp;", *",集計用!$G:$G,"*, "&amp;$C50&amp;", *")-COUNTIFS(集計用!$U:$U, "*, "&amp;O$4&amp;", *",集計用!$G:$G,"*, "&amp;$C50&amp;", *",集計用!$U:$U, "*英語を日常的に*"))/$B50*100</f>
        <v>0</v>
      </c>
      <c r="P50" s="41">
        <f>(COUNTIFS(集計用!$U:$U, "*, "&amp;P$4&amp;", *",集計用!$G:$G,"*, "&amp;$C50&amp;", *")-COUNTIFS(集計用!$U:$U, "*, "&amp;P$4&amp;", *",集計用!$G:$G,"*, "&amp;$C50&amp;", *",集計用!$U:$U, "*英語を日常的に*"))/$B50*100</f>
        <v>0</v>
      </c>
      <c r="Q50" s="41">
        <f>(COUNTIFS(集計用!$U:$U, "*, "&amp;Q$4&amp;", *",集計用!$G:$G,"*, "&amp;$C50&amp;", *")-COUNTIFS(集計用!$U:$U, "*, "&amp;Q$4&amp;", *",集計用!$G:$G,"*, "&amp;$C50&amp;", *",集計用!$U:$U, "*英語を日常的に*"))/$B50*100</f>
        <v>0</v>
      </c>
      <c r="R50" s="41">
        <f>(COUNTIFS(集計用!$U:$U, "*, "&amp;R$4&amp;", *",集計用!$G:$G,"*, "&amp;$C50&amp;", *")-COUNTIFS(集計用!$U:$U, "*, "&amp;R$4&amp;", *",集計用!$G:$G,"*, "&amp;$C50&amp;", *",集計用!$U:$U, "*英語を日常的に*"))/$B50*100</f>
        <v>0</v>
      </c>
    </row>
    <row r="51" spans="1:18" ht="14.25" customHeight="1">
      <c r="A51" s="39">
        <v>5</v>
      </c>
      <c r="B51" s="39">
        <f>(COUNTIFS(集計用!$G:$G,"*, "&amp;$C51&amp;",*"))-COUNTIFS(集計用!U:U, "*英語を日常的に*",集計用!$G:$G,"*, "&amp;$C51&amp;",*")</f>
        <v>4</v>
      </c>
      <c r="C51" s="42" t="s">
        <v>46</v>
      </c>
      <c r="D51" s="41">
        <f>(COUNTIFS(集計用!$U:$U, "*, "&amp;D$4&amp;", *",集計用!$G:$G,"*, "&amp;$C51&amp;", *")-COUNTIFS(集計用!$U:$U, "*, "&amp;D$4&amp;", *",集計用!$G:$G,"*, "&amp;$C51&amp;", *",集計用!$U:$U, "*英語を日常的に*"))/$B51*100</f>
        <v>75</v>
      </c>
      <c r="E51" s="41">
        <f>(COUNTIFS(集計用!$U:$U, "*, "&amp;E$4&amp;", *",集計用!$G:$G,"*, "&amp;$C51&amp;", *")-COUNTIFS(集計用!$U:$U, "*, "&amp;E$4&amp;", *",集計用!$G:$G,"*, "&amp;$C51&amp;", *",集計用!$U:$U, "*英語を日常的に*"))/$B51*100</f>
        <v>25</v>
      </c>
      <c r="F51" s="41">
        <f>(COUNTIFS(集計用!$U:$U, "*, "&amp;F$4&amp;", *",集計用!$G:$G,"*, "&amp;$C51&amp;", *")-COUNTIFS(集計用!$U:$U, "*, "&amp;F$4&amp;", *",集計用!$G:$G,"*, "&amp;$C51&amp;", *",集計用!$U:$U, "*英語を日常的に*"))/$B51*100</f>
        <v>75</v>
      </c>
      <c r="G51" s="41">
        <f>(COUNTIFS(集計用!$U:$U, "*, "&amp;G$4&amp;", *",集計用!$G:$G,"*, "&amp;$C51&amp;", *")-COUNTIFS(集計用!$U:$U, "*, "&amp;G$4&amp;", *",集計用!$G:$G,"*, "&amp;$C51&amp;", *",集計用!$U:$U, "*英語を日常的に*"))/$B51*100</f>
        <v>0</v>
      </c>
      <c r="H51" s="41">
        <f>(COUNTIFS(集計用!$U:$U, "*, "&amp;H$4&amp;", *",集計用!$G:$G,"*, "&amp;$C51&amp;", *")-COUNTIFS(集計用!$U:$U, "*, "&amp;H$4&amp;", *",集計用!$G:$G,"*, "&amp;$C51&amp;", *",集計用!$U:$U, "*英語を日常的に*"))/$B51*100</f>
        <v>25</v>
      </c>
      <c r="I51" s="41">
        <f>(COUNTIFS(集計用!$U:$U, "*, "&amp;I$4&amp;", *",集計用!$G:$G,"*, "&amp;$C51&amp;", *")-COUNTIFS(集計用!$U:$U, "*, "&amp;I$4&amp;", *",集計用!$G:$G,"*, "&amp;$C51&amp;", *",集計用!$U:$U, "*英語を日常的に*"))/$B51*100</f>
        <v>25</v>
      </c>
      <c r="J51" s="41">
        <f>(COUNTIFS(集計用!$U:$U, "*, "&amp;J$4&amp;", *",集計用!$G:$G,"*, "&amp;$C51&amp;", *")-COUNTIFS(集計用!$U:$U, "*, "&amp;J$4&amp;", *",集計用!$G:$G,"*, "&amp;$C51&amp;", *",集計用!$U:$U, "*英語を日常的に*"))/$B51*100</f>
        <v>25</v>
      </c>
      <c r="K51" s="41">
        <f>(COUNTIFS(集計用!$U:$U, "*, "&amp;K$4&amp;", *",集計用!$G:$G,"*, "&amp;$C51&amp;", *")-COUNTIFS(集計用!$U:$U, "*, "&amp;K$4&amp;", *",集計用!$G:$G,"*, "&amp;$C51&amp;", *",集計用!$U:$U, "*英語を日常的に*"))/$B51*100</f>
        <v>0</v>
      </c>
      <c r="L51" s="41">
        <f>(COUNTIFS(集計用!$U:$U, "*, "&amp;L$4&amp;", *",集計用!$G:$G,"*, "&amp;$C51&amp;", *")-COUNTIFS(集計用!$U:$U, "*, "&amp;L$4&amp;", *",集計用!$G:$G,"*, "&amp;$C51&amp;", *",集計用!$U:$U, "*英語を日常的に*"))/$B51*100</f>
        <v>0</v>
      </c>
      <c r="M51" s="41">
        <f>(COUNTIFS(集計用!$U:$U, "*, "&amp;M$4&amp;", *",集計用!$G:$G,"*, "&amp;$C51&amp;", *")-COUNTIFS(集計用!$U:$U, "*, "&amp;M$4&amp;", *",集計用!$G:$G,"*, "&amp;$C51&amp;", *",集計用!$U:$U, "*英語を日常的に*"))/$B51*100</f>
        <v>0</v>
      </c>
      <c r="N51" s="41">
        <f>(COUNTIFS(集計用!$U:$U, "*, "&amp;N$4&amp;", *",集計用!$G:$G,"*, "&amp;$C51&amp;", *")-COUNTIFS(集計用!$U:$U, "*, "&amp;N$4&amp;", *",集計用!$G:$G,"*, "&amp;$C51&amp;", *",集計用!$U:$U, "*英語を日常的に*"))/$B51*100</f>
        <v>0</v>
      </c>
      <c r="O51" s="41">
        <f>(COUNTIFS(集計用!$U:$U, "*, "&amp;O$4&amp;", *",集計用!$G:$G,"*, "&amp;$C51&amp;", *")-COUNTIFS(集計用!$U:$U, "*, "&amp;O$4&amp;", *",集計用!$G:$G,"*, "&amp;$C51&amp;", *",集計用!$U:$U, "*英語を日常的に*"))/$B51*100</f>
        <v>0</v>
      </c>
      <c r="P51" s="41">
        <f>(COUNTIFS(集計用!$U:$U, "*, "&amp;P$4&amp;", *",集計用!$G:$G,"*, "&amp;$C51&amp;", *")-COUNTIFS(集計用!$U:$U, "*, "&amp;P$4&amp;", *",集計用!$G:$G,"*, "&amp;$C51&amp;", *",集計用!$U:$U, "*英語を日常的に*"))/$B51*100</f>
        <v>0</v>
      </c>
      <c r="Q51" s="41">
        <f>(COUNTIFS(集計用!$U:$U, "*, "&amp;Q$4&amp;", *",集計用!$G:$G,"*, "&amp;$C51&amp;", *")-COUNTIFS(集計用!$U:$U, "*, "&amp;Q$4&amp;", *",集計用!$G:$G,"*, "&amp;$C51&amp;", *",集計用!$U:$U, "*英語を日常的に*"))/$B51*100</f>
        <v>0</v>
      </c>
      <c r="R51" s="41">
        <f>(COUNTIFS(集計用!$U:$U, "*, "&amp;R$4&amp;", *",集計用!$G:$G,"*, "&amp;$C51&amp;", *")-COUNTIFS(集計用!$U:$U, "*, "&amp;R$4&amp;", *",集計用!$G:$G,"*, "&amp;$C51&amp;", *",集計用!$U:$U, "*英語を日常的に*"))/$B51*100</f>
        <v>0</v>
      </c>
    </row>
    <row r="52" spans="1:18" ht="14.25" customHeight="1">
      <c r="A52" s="39">
        <v>4</v>
      </c>
      <c r="B52" s="39">
        <f>(COUNTIFS(集計用!$G:$G,"*, "&amp;$C52&amp;",*"))-COUNTIFS(集計用!U:U, "*英語を日常的に*",集計用!$G:$G,"*, "&amp;$C52&amp;",*")</f>
        <v>2</v>
      </c>
      <c r="C52" s="42" t="s">
        <v>47</v>
      </c>
      <c r="D52" s="41">
        <f>(COUNTIFS(集計用!$U:$U, "*, "&amp;D$4&amp;", *",集計用!$G:$G,"*, "&amp;$C52&amp;", *")-COUNTIFS(集計用!$U:$U, "*, "&amp;D$4&amp;", *",集計用!$G:$G,"*, "&amp;$C52&amp;", *",集計用!$U:$U, "*英語を日常的に*"))/$B52*100</f>
        <v>0</v>
      </c>
      <c r="E52" s="41">
        <f>(COUNTIFS(集計用!$U:$U, "*, "&amp;E$4&amp;", *",集計用!$G:$G,"*, "&amp;$C52&amp;", *")-COUNTIFS(集計用!$U:$U, "*, "&amp;E$4&amp;", *",集計用!$G:$G,"*, "&amp;$C52&amp;", *",集計用!$U:$U, "*英語を日常的に*"))/$B52*100</f>
        <v>0</v>
      </c>
      <c r="F52" s="41">
        <f>(COUNTIFS(集計用!$U:$U, "*, "&amp;F$4&amp;", *",集計用!$G:$G,"*, "&amp;$C52&amp;", *")-COUNTIFS(集計用!$U:$U, "*, "&amp;F$4&amp;", *",集計用!$G:$G,"*, "&amp;$C52&amp;", *",集計用!$U:$U, "*英語を日常的に*"))/$B52*100</f>
        <v>50</v>
      </c>
      <c r="G52" s="41">
        <f>(COUNTIFS(集計用!$U:$U, "*, "&amp;G$4&amp;", *",集計用!$G:$G,"*, "&amp;$C52&amp;", *")-COUNTIFS(集計用!$U:$U, "*, "&amp;G$4&amp;", *",集計用!$G:$G,"*, "&amp;$C52&amp;", *",集計用!$U:$U, "*英語を日常的に*"))/$B52*100</f>
        <v>0</v>
      </c>
      <c r="H52" s="41">
        <f>(COUNTIFS(集計用!$U:$U, "*, "&amp;H$4&amp;", *",集計用!$G:$G,"*, "&amp;$C52&amp;", *")-COUNTIFS(集計用!$U:$U, "*, "&amp;H$4&amp;", *",集計用!$G:$G,"*, "&amp;$C52&amp;", *",集計用!$U:$U, "*英語を日常的に*"))/$B52*100</f>
        <v>50</v>
      </c>
      <c r="I52" s="41">
        <f>(COUNTIFS(集計用!$U:$U, "*, "&amp;I$4&amp;", *",集計用!$G:$G,"*, "&amp;$C52&amp;", *")-COUNTIFS(集計用!$U:$U, "*, "&amp;I$4&amp;", *",集計用!$G:$G,"*, "&amp;$C52&amp;", *",集計用!$U:$U, "*英語を日常的に*"))/$B52*100</f>
        <v>0</v>
      </c>
      <c r="J52" s="41">
        <f>(COUNTIFS(集計用!$U:$U, "*, "&amp;J$4&amp;", *",集計用!$G:$G,"*, "&amp;$C52&amp;", *")-COUNTIFS(集計用!$U:$U, "*, "&amp;J$4&amp;", *",集計用!$G:$G,"*, "&amp;$C52&amp;", *",集計用!$U:$U, "*英語を日常的に*"))/$B52*100</f>
        <v>0</v>
      </c>
      <c r="K52" s="41">
        <f>(COUNTIFS(集計用!$U:$U, "*, "&amp;K$4&amp;", *",集計用!$G:$G,"*, "&amp;$C52&amp;", *")-COUNTIFS(集計用!$U:$U, "*, "&amp;K$4&amp;", *",集計用!$G:$G,"*, "&amp;$C52&amp;", *",集計用!$U:$U, "*英語を日常的に*"))/$B52*100</f>
        <v>0</v>
      </c>
      <c r="L52" s="41">
        <f>(COUNTIFS(集計用!$U:$U, "*, "&amp;L$4&amp;", *",集計用!$G:$G,"*, "&amp;$C52&amp;", *")-COUNTIFS(集計用!$U:$U, "*, "&amp;L$4&amp;", *",集計用!$G:$G,"*, "&amp;$C52&amp;", *",集計用!$U:$U, "*英語を日常的に*"))/$B52*100</f>
        <v>0</v>
      </c>
      <c r="M52" s="41">
        <f>(COUNTIFS(集計用!$U:$U, "*, "&amp;M$4&amp;", *",集計用!$G:$G,"*, "&amp;$C52&amp;", *")-COUNTIFS(集計用!$U:$U, "*, "&amp;M$4&amp;", *",集計用!$G:$G,"*, "&amp;$C52&amp;", *",集計用!$U:$U, "*英語を日常的に*"))/$B52*100</f>
        <v>0</v>
      </c>
      <c r="N52" s="41">
        <f>(COUNTIFS(集計用!$U:$U, "*, "&amp;N$4&amp;", *",集計用!$G:$G,"*, "&amp;$C52&amp;", *")-COUNTIFS(集計用!$U:$U, "*, "&amp;N$4&amp;", *",集計用!$G:$G,"*, "&amp;$C52&amp;", *",集計用!$U:$U, "*英語を日常的に*"))/$B52*100</f>
        <v>0</v>
      </c>
      <c r="O52" s="41">
        <f>(COUNTIFS(集計用!$U:$U, "*, "&amp;O$4&amp;", *",集計用!$G:$G,"*, "&amp;$C52&amp;", *")-COUNTIFS(集計用!$U:$U, "*, "&amp;O$4&amp;", *",集計用!$G:$G,"*, "&amp;$C52&amp;", *",集計用!$U:$U, "*英語を日常的に*"))/$B52*100</f>
        <v>0</v>
      </c>
      <c r="P52" s="41">
        <f>(COUNTIFS(集計用!$U:$U, "*, "&amp;P$4&amp;", *",集計用!$G:$G,"*, "&amp;$C52&amp;", *")-COUNTIFS(集計用!$U:$U, "*, "&amp;P$4&amp;", *",集計用!$G:$G,"*, "&amp;$C52&amp;", *",集計用!$U:$U, "*英語を日常的に*"))/$B52*100</f>
        <v>0</v>
      </c>
      <c r="Q52" s="41">
        <f>(COUNTIFS(集計用!$U:$U, "*, "&amp;Q$4&amp;", *",集計用!$G:$G,"*, "&amp;$C52&amp;", *")-COUNTIFS(集計用!$U:$U, "*, "&amp;Q$4&amp;", *",集計用!$G:$G,"*, "&amp;$C52&amp;", *",集計用!$U:$U, "*英語を日常的に*"))/$B52*100</f>
        <v>0</v>
      </c>
      <c r="R52" s="41">
        <f>(COUNTIFS(集計用!$U:$U, "*, "&amp;R$4&amp;", *",集計用!$G:$G,"*, "&amp;$C52&amp;", *")-COUNTIFS(集計用!$U:$U, "*, "&amp;R$4&amp;", *",集計用!$G:$G,"*, "&amp;$C52&amp;", *",集計用!$U:$U, "*英語を日常的に*"))/$B52*100</f>
        <v>0</v>
      </c>
    </row>
    <row r="53" spans="1:18" ht="14.25" customHeight="1">
      <c r="A53" s="39">
        <v>5</v>
      </c>
      <c r="B53" s="39">
        <f>(COUNTIFS(集計用!$G:$G,"*, "&amp;$C53&amp;",*"))-COUNTIFS(集計用!U:U, "*英語を日常的に*",集計用!$G:$G,"*, "&amp;$C53&amp;",*")</f>
        <v>1</v>
      </c>
      <c r="C53" s="42" t="s">
        <v>45</v>
      </c>
      <c r="D53" s="41">
        <f>(COUNTIFS(集計用!$U:$U, "*, "&amp;D$4&amp;", *",集計用!$G:$G,"*, "&amp;$C53&amp;", *")-COUNTIFS(集計用!$U:$U, "*, "&amp;D$4&amp;", *",集計用!$G:$G,"*, "&amp;$C53&amp;", *",集計用!$U:$U, "*英語を日常的に*"))/$B53*100</f>
        <v>0</v>
      </c>
      <c r="E53" s="41">
        <f>(COUNTIFS(集計用!$U:$U, "*, "&amp;E$4&amp;", *",集計用!$G:$G,"*, "&amp;$C53&amp;", *")-COUNTIFS(集計用!$U:$U, "*, "&amp;E$4&amp;", *",集計用!$G:$G,"*, "&amp;$C53&amp;", *",集計用!$U:$U, "*英語を日常的に*"))/$B53*100</f>
        <v>100</v>
      </c>
      <c r="F53" s="41">
        <f>(COUNTIFS(集計用!$U:$U, "*, "&amp;F$4&amp;", *",集計用!$G:$G,"*, "&amp;$C53&amp;", *")-COUNTIFS(集計用!$U:$U, "*, "&amp;F$4&amp;", *",集計用!$G:$G,"*, "&amp;$C53&amp;", *",集計用!$U:$U, "*英語を日常的に*"))/$B53*100</f>
        <v>0</v>
      </c>
      <c r="G53" s="41">
        <f>(COUNTIFS(集計用!$U:$U, "*, "&amp;G$4&amp;", *",集計用!$G:$G,"*, "&amp;$C53&amp;", *")-COUNTIFS(集計用!$U:$U, "*, "&amp;G$4&amp;", *",集計用!$G:$G,"*, "&amp;$C53&amp;", *",集計用!$U:$U, "*英語を日常的に*"))/$B53*100</f>
        <v>0</v>
      </c>
      <c r="H53" s="41">
        <f>(COUNTIFS(集計用!$U:$U, "*, "&amp;H$4&amp;", *",集計用!$G:$G,"*, "&amp;$C53&amp;", *")-COUNTIFS(集計用!$U:$U, "*, "&amp;H$4&amp;", *",集計用!$G:$G,"*, "&amp;$C53&amp;", *",集計用!$U:$U, "*英語を日常的に*"))/$B53*100</f>
        <v>0</v>
      </c>
      <c r="I53" s="41">
        <f>(COUNTIFS(集計用!$U:$U, "*, "&amp;I$4&amp;", *",集計用!$G:$G,"*, "&amp;$C53&amp;", *")-COUNTIFS(集計用!$U:$U, "*, "&amp;I$4&amp;", *",集計用!$G:$G,"*, "&amp;$C53&amp;", *",集計用!$U:$U, "*英語を日常的に*"))/$B53*100</f>
        <v>0</v>
      </c>
      <c r="J53" s="41">
        <f>(COUNTIFS(集計用!$U:$U, "*, "&amp;J$4&amp;", *",集計用!$G:$G,"*, "&amp;$C53&amp;", *")-COUNTIFS(集計用!$U:$U, "*, "&amp;J$4&amp;", *",集計用!$G:$G,"*, "&amp;$C53&amp;", *",集計用!$U:$U, "*英語を日常的に*"))/$B53*100</f>
        <v>0</v>
      </c>
      <c r="K53" s="41">
        <f>(COUNTIFS(集計用!$U:$U, "*, "&amp;K$4&amp;", *",集計用!$G:$G,"*, "&amp;$C53&amp;", *")-COUNTIFS(集計用!$U:$U, "*, "&amp;K$4&amp;", *",集計用!$G:$G,"*, "&amp;$C53&amp;", *",集計用!$U:$U, "*英語を日常的に*"))/$B53*100</f>
        <v>0</v>
      </c>
      <c r="L53" s="41">
        <f>(COUNTIFS(集計用!$U:$U, "*, "&amp;L$4&amp;", *",集計用!$G:$G,"*, "&amp;$C53&amp;", *")-COUNTIFS(集計用!$U:$U, "*, "&amp;L$4&amp;", *",集計用!$G:$G,"*, "&amp;$C53&amp;", *",集計用!$U:$U, "*英語を日常的に*"))/$B53*100</f>
        <v>0</v>
      </c>
      <c r="M53" s="41">
        <f>(COUNTIFS(集計用!$U:$U, "*, "&amp;M$4&amp;", *",集計用!$G:$G,"*, "&amp;$C53&amp;", *")-COUNTIFS(集計用!$U:$U, "*, "&amp;M$4&amp;", *",集計用!$G:$G,"*, "&amp;$C53&amp;", *",集計用!$U:$U, "*英語を日常的に*"))/$B53*100</f>
        <v>0</v>
      </c>
      <c r="N53" s="41">
        <f>(COUNTIFS(集計用!$U:$U, "*, "&amp;N$4&amp;", *",集計用!$G:$G,"*, "&amp;$C53&amp;", *")-COUNTIFS(集計用!$U:$U, "*, "&amp;N$4&amp;", *",集計用!$G:$G,"*, "&amp;$C53&amp;", *",集計用!$U:$U, "*英語を日常的に*"))/$B53*100</f>
        <v>0</v>
      </c>
      <c r="O53" s="41">
        <f>(COUNTIFS(集計用!$U:$U, "*, "&amp;O$4&amp;", *",集計用!$G:$G,"*, "&amp;$C53&amp;", *")-COUNTIFS(集計用!$U:$U, "*, "&amp;O$4&amp;", *",集計用!$G:$G,"*, "&amp;$C53&amp;", *",集計用!$U:$U, "*英語を日常的に*"))/$B53*100</f>
        <v>0</v>
      </c>
      <c r="P53" s="41">
        <f>(COUNTIFS(集計用!$U:$U, "*, "&amp;P$4&amp;", *",集計用!$G:$G,"*, "&amp;$C53&amp;", *")-COUNTIFS(集計用!$U:$U, "*, "&amp;P$4&amp;", *",集計用!$G:$G,"*, "&amp;$C53&amp;", *",集計用!$U:$U, "*英語を日常的に*"))/$B53*100</f>
        <v>0</v>
      </c>
      <c r="Q53" s="41">
        <f>(COUNTIFS(集計用!$U:$U, "*, "&amp;Q$4&amp;", *",集計用!$G:$G,"*, "&amp;$C53&amp;", *")-COUNTIFS(集計用!$U:$U, "*, "&amp;Q$4&amp;", *",集計用!$G:$G,"*, "&amp;$C53&amp;", *",集計用!$U:$U, "*英語を日常的に*"))/$B53*100</f>
        <v>0</v>
      </c>
      <c r="R53" s="41">
        <f>(COUNTIFS(集計用!$U:$U, "*, "&amp;R$4&amp;", *",集計用!$G:$G,"*, "&amp;$C53&amp;", *")-COUNTIFS(集計用!$U:$U, "*, "&amp;R$4&amp;", *",集計用!$G:$G,"*, "&amp;$C53&amp;", *",集計用!$U:$U, "*英語を日常的に*"))/$B53*100</f>
        <v>0</v>
      </c>
    </row>
    <row r="54" spans="1:18" ht="14.25" customHeight="1">
      <c r="A54" s="39">
        <v>2</v>
      </c>
      <c r="B54" s="39">
        <f>(COUNTIFS(集計用!$G:$G,"*, "&amp;$C54&amp;",*"))-COUNTIFS(集計用!U:U, "*英語を日常的に*",集計用!$G:$G,"*, "&amp;$C54&amp;",*")</f>
        <v>2</v>
      </c>
      <c r="C54" s="42" t="s">
        <v>48</v>
      </c>
      <c r="D54" s="41">
        <f>(COUNTIFS(集計用!$U:$U, "*, "&amp;D$4&amp;", *",集計用!$G:$G,"*, "&amp;$C54&amp;", *")-COUNTIFS(集計用!$U:$U, "*, "&amp;D$4&amp;", *",集計用!$G:$G,"*, "&amp;$C54&amp;", *",集計用!$U:$U, "*英語を日常的に*"))/$B54*100</f>
        <v>0</v>
      </c>
      <c r="E54" s="41">
        <f>(COUNTIFS(集計用!$U:$U, "*, "&amp;E$4&amp;", *",集計用!$G:$G,"*, "&amp;$C54&amp;", *")-COUNTIFS(集計用!$U:$U, "*, "&amp;E$4&amp;", *",集計用!$G:$G,"*, "&amp;$C54&amp;", *",集計用!$U:$U, "*英語を日常的に*"))/$B54*100</f>
        <v>0</v>
      </c>
      <c r="F54" s="41">
        <f>(COUNTIFS(集計用!$U:$U, "*, "&amp;F$4&amp;", *",集計用!$G:$G,"*, "&amp;$C54&amp;", *")-COUNTIFS(集計用!$U:$U, "*, "&amp;F$4&amp;", *",集計用!$G:$G,"*, "&amp;$C54&amp;", *",集計用!$U:$U, "*英語を日常的に*"))/$B54*100</f>
        <v>0</v>
      </c>
      <c r="G54" s="41">
        <f>(COUNTIFS(集計用!$U:$U, "*, "&amp;G$4&amp;", *",集計用!$G:$G,"*, "&amp;$C54&amp;", *")-COUNTIFS(集計用!$U:$U, "*, "&amp;G$4&amp;", *",集計用!$G:$G,"*, "&amp;$C54&amp;", *",集計用!$U:$U, "*英語を日常的に*"))/$B54*100</f>
        <v>0</v>
      </c>
      <c r="H54" s="41">
        <f>(COUNTIFS(集計用!$U:$U, "*, "&amp;H$4&amp;", *",集計用!$G:$G,"*, "&amp;$C54&amp;", *")-COUNTIFS(集計用!$U:$U, "*, "&amp;H$4&amp;", *",集計用!$G:$G,"*, "&amp;$C54&amp;", *",集計用!$U:$U, "*英語を日常的に*"))/$B54*100</f>
        <v>50</v>
      </c>
      <c r="I54" s="41">
        <f>(COUNTIFS(集計用!$U:$U, "*, "&amp;I$4&amp;", *",集計用!$G:$G,"*, "&amp;$C54&amp;", *")-COUNTIFS(集計用!$U:$U, "*, "&amp;I$4&amp;", *",集計用!$G:$G,"*, "&amp;$C54&amp;", *",集計用!$U:$U, "*英語を日常的に*"))/$B54*100</f>
        <v>50</v>
      </c>
      <c r="J54" s="41">
        <f>(COUNTIFS(集計用!$U:$U, "*, "&amp;J$4&amp;", *",集計用!$G:$G,"*, "&amp;$C54&amp;", *")-COUNTIFS(集計用!$U:$U, "*, "&amp;J$4&amp;", *",集計用!$G:$G,"*, "&amp;$C54&amp;", *",集計用!$U:$U, "*英語を日常的に*"))/$B54*100</f>
        <v>50</v>
      </c>
      <c r="K54" s="41">
        <f>(COUNTIFS(集計用!$U:$U, "*, "&amp;K$4&amp;", *",集計用!$G:$G,"*, "&amp;$C54&amp;", *")-COUNTIFS(集計用!$U:$U, "*, "&amp;K$4&amp;", *",集計用!$G:$G,"*, "&amp;$C54&amp;", *",集計用!$U:$U, "*英語を日常的に*"))/$B54*100</f>
        <v>0</v>
      </c>
      <c r="L54" s="41">
        <f>(COUNTIFS(集計用!$U:$U, "*, "&amp;L$4&amp;", *",集計用!$G:$G,"*, "&amp;$C54&amp;", *")-COUNTIFS(集計用!$U:$U, "*, "&amp;L$4&amp;", *",集計用!$G:$G,"*, "&amp;$C54&amp;", *",集計用!$U:$U, "*英語を日常的に*"))/$B54*100</f>
        <v>0</v>
      </c>
      <c r="M54" s="41">
        <f>(COUNTIFS(集計用!$U:$U, "*, "&amp;M$4&amp;", *",集計用!$G:$G,"*, "&amp;$C54&amp;", *")-COUNTIFS(集計用!$U:$U, "*, "&amp;M$4&amp;", *",集計用!$G:$G,"*, "&amp;$C54&amp;", *",集計用!$U:$U, "*英語を日常的に*"))/$B54*100</f>
        <v>0</v>
      </c>
      <c r="N54" s="41">
        <f>(COUNTIFS(集計用!$U:$U, "*, "&amp;N$4&amp;", *",集計用!$G:$G,"*, "&amp;$C54&amp;", *")-COUNTIFS(集計用!$U:$U, "*, "&amp;N$4&amp;", *",集計用!$G:$G,"*, "&amp;$C54&amp;", *",集計用!$U:$U, "*英語を日常的に*"))/$B54*100</f>
        <v>0</v>
      </c>
      <c r="O54" s="41">
        <f>(COUNTIFS(集計用!$U:$U, "*, "&amp;O$4&amp;", *",集計用!$G:$G,"*, "&amp;$C54&amp;", *")-COUNTIFS(集計用!$U:$U, "*, "&amp;O$4&amp;", *",集計用!$G:$G,"*, "&amp;$C54&amp;", *",集計用!$U:$U, "*英語を日常的に*"))/$B54*100</f>
        <v>0</v>
      </c>
      <c r="P54" s="41">
        <f>(COUNTIFS(集計用!$U:$U, "*, "&amp;P$4&amp;", *",集計用!$G:$G,"*, "&amp;$C54&amp;", *")-COUNTIFS(集計用!$U:$U, "*, "&amp;P$4&amp;", *",集計用!$G:$G,"*, "&amp;$C54&amp;", *",集計用!$U:$U, "*英語を日常的に*"))/$B54*100</f>
        <v>0</v>
      </c>
      <c r="Q54" s="41">
        <f>(COUNTIFS(集計用!$U:$U, "*, "&amp;Q$4&amp;", *",集計用!$G:$G,"*, "&amp;$C54&amp;", *")-COUNTIFS(集計用!$U:$U, "*, "&amp;Q$4&amp;", *",集計用!$G:$G,"*, "&amp;$C54&amp;", *",集計用!$U:$U, "*英語を日常的に*"))/$B54*100</f>
        <v>0</v>
      </c>
      <c r="R54" s="41">
        <f>(COUNTIFS(集計用!$U:$U, "*, "&amp;R$4&amp;", *",集計用!$G:$G,"*, "&amp;$C54&amp;", *")-COUNTIFS(集計用!$U:$U, "*, "&amp;R$4&amp;", *",集計用!$G:$G,"*, "&amp;$C54&amp;", *",集計用!$U:$U, "*英語を日常的に*"))/$B54*100</f>
        <v>0</v>
      </c>
    </row>
    <row r="55" spans="1:18" ht="12.75">
      <c r="A55" s="39">
        <v>5</v>
      </c>
      <c r="B55" s="39">
        <f>(COUNTIFS(集計用!$G:$G,"*, "&amp;$C55&amp;",*"))-COUNTIFS(集計用!U:U, "*英語を日常的に*",集計用!$G:$G,"*, "&amp;$C55&amp;",*")</f>
        <v>1</v>
      </c>
      <c r="C55" s="42" t="s">
        <v>49</v>
      </c>
      <c r="D55" s="41">
        <f>(COUNTIFS(集計用!$U:$U, "*, "&amp;D$4&amp;", *",集計用!$G:$G,"*, "&amp;$C55&amp;", *")-COUNTIFS(集計用!$U:$U, "*, "&amp;D$4&amp;", *",集計用!$G:$G,"*, "&amp;$C55&amp;", *",集計用!$U:$U, "*英語を日常的に*"))/$B55*100</f>
        <v>0</v>
      </c>
      <c r="E55" s="41">
        <f>(COUNTIFS(集計用!$U:$U, "*, "&amp;E$4&amp;", *",集計用!$G:$G,"*, "&amp;$C55&amp;", *")-COUNTIFS(集計用!$U:$U, "*, "&amp;E$4&amp;", *",集計用!$G:$G,"*, "&amp;$C55&amp;", *",集計用!$U:$U, "*英語を日常的に*"))/$B55*100</f>
        <v>100</v>
      </c>
      <c r="F55" s="41">
        <f>(COUNTIFS(集計用!$U:$U, "*, "&amp;F$4&amp;", *",集計用!$G:$G,"*, "&amp;$C55&amp;", *")-COUNTIFS(集計用!$U:$U, "*, "&amp;F$4&amp;", *",集計用!$G:$G,"*, "&amp;$C55&amp;", *",集計用!$U:$U, "*英語を日常的に*"))/$B55*100</f>
        <v>0</v>
      </c>
      <c r="G55" s="41">
        <f>(COUNTIFS(集計用!$U:$U, "*, "&amp;G$4&amp;", *",集計用!$G:$G,"*, "&amp;$C55&amp;", *")-COUNTIFS(集計用!$U:$U, "*, "&amp;G$4&amp;", *",集計用!$G:$G,"*, "&amp;$C55&amp;", *",集計用!$U:$U, "*英語を日常的に*"))/$B55*100</f>
        <v>0</v>
      </c>
      <c r="H55" s="41">
        <f>(COUNTIFS(集計用!$U:$U, "*, "&amp;H$4&amp;", *",集計用!$G:$G,"*, "&amp;$C55&amp;", *")-COUNTIFS(集計用!$U:$U, "*, "&amp;H$4&amp;", *",集計用!$G:$G,"*, "&amp;$C55&amp;", *",集計用!$U:$U, "*英語を日常的に*"))/$B55*100</f>
        <v>0</v>
      </c>
      <c r="I55" s="41">
        <f>(COUNTIFS(集計用!$U:$U, "*, "&amp;I$4&amp;", *",集計用!$G:$G,"*, "&amp;$C55&amp;", *")-COUNTIFS(集計用!$U:$U, "*, "&amp;I$4&amp;", *",集計用!$G:$G,"*, "&amp;$C55&amp;", *",集計用!$U:$U, "*英語を日常的に*"))/$B55*100</f>
        <v>0</v>
      </c>
      <c r="J55" s="41">
        <f>(COUNTIFS(集計用!$U:$U, "*, "&amp;J$4&amp;", *",集計用!$G:$G,"*, "&amp;$C55&amp;", *")-COUNTIFS(集計用!$U:$U, "*, "&amp;J$4&amp;", *",集計用!$G:$G,"*, "&amp;$C55&amp;", *",集計用!$U:$U, "*英語を日常的に*"))/$B55*100</f>
        <v>0</v>
      </c>
      <c r="K55" s="41">
        <f>(COUNTIFS(集計用!$U:$U, "*, "&amp;K$4&amp;", *",集計用!$G:$G,"*, "&amp;$C55&amp;", *")-COUNTIFS(集計用!$U:$U, "*, "&amp;K$4&amp;", *",集計用!$G:$G,"*, "&amp;$C55&amp;", *",集計用!$U:$U, "*英語を日常的に*"))/$B55*100</f>
        <v>0</v>
      </c>
      <c r="L55" s="41">
        <f>(COUNTIFS(集計用!$U:$U, "*, "&amp;L$4&amp;", *",集計用!$G:$G,"*, "&amp;$C55&amp;", *")-COUNTIFS(集計用!$U:$U, "*, "&amp;L$4&amp;", *",集計用!$G:$G,"*, "&amp;$C55&amp;", *",集計用!$U:$U, "*英語を日常的に*"))/$B55*100</f>
        <v>0</v>
      </c>
      <c r="M55" s="41">
        <f>(COUNTIFS(集計用!$U:$U, "*, "&amp;M$4&amp;", *",集計用!$G:$G,"*, "&amp;$C55&amp;", *")-COUNTIFS(集計用!$U:$U, "*, "&amp;M$4&amp;", *",集計用!$G:$G,"*, "&amp;$C55&amp;", *",集計用!$U:$U, "*英語を日常的に*"))/$B55*100</f>
        <v>0</v>
      </c>
      <c r="N55" s="41">
        <f>(COUNTIFS(集計用!$U:$U, "*, "&amp;N$4&amp;", *",集計用!$G:$G,"*, "&amp;$C55&amp;", *")-COUNTIFS(集計用!$U:$U, "*, "&amp;N$4&amp;", *",集計用!$G:$G,"*, "&amp;$C55&amp;", *",集計用!$U:$U, "*英語を日常的に*"))/$B55*100</f>
        <v>0</v>
      </c>
      <c r="O55" s="41">
        <f>(COUNTIFS(集計用!$U:$U, "*, "&amp;O$4&amp;", *",集計用!$G:$G,"*, "&amp;$C55&amp;", *")-COUNTIFS(集計用!$U:$U, "*, "&amp;O$4&amp;", *",集計用!$G:$G,"*, "&amp;$C55&amp;", *",集計用!$U:$U, "*英語を日常的に*"))/$B55*100</f>
        <v>0</v>
      </c>
      <c r="P55" s="41">
        <f>(COUNTIFS(集計用!$U:$U, "*, "&amp;P$4&amp;", *",集計用!$G:$G,"*, "&amp;$C55&amp;", *")-COUNTIFS(集計用!$U:$U, "*, "&amp;P$4&amp;", *",集計用!$G:$G,"*, "&amp;$C55&amp;", *",集計用!$U:$U, "*英語を日常的に*"))/$B55*100</f>
        <v>0</v>
      </c>
      <c r="Q55" s="41">
        <f>(COUNTIFS(集計用!$U:$U, "*, "&amp;Q$4&amp;", *",集計用!$G:$G,"*, "&amp;$C55&amp;", *")-COUNTIFS(集計用!$U:$U, "*, "&amp;Q$4&amp;", *",集計用!$G:$G,"*, "&amp;$C55&amp;", *",集計用!$U:$U, "*英語を日常的に*"))/$B55*100</f>
        <v>0</v>
      </c>
      <c r="R55" s="41">
        <f>(COUNTIFS(集計用!$U:$U, "*, "&amp;R$4&amp;", *",集計用!$G:$G,"*, "&amp;$C55&amp;", *")-COUNTIFS(集計用!$U:$U, "*, "&amp;R$4&amp;", *",集計用!$G:$G,"*, "&amp;$C55&amp;", *",集計用!$U:$U, "*英語を日常的に*"))/$B55*100</f>
        <v>0</v>
      </c>
    </row>
    <row r="56" spans="1:18" ht="14.25" customHeight="1">
      <c r="A56" s="39">
        <v>4</v>
      </c>
      <c r="B56" s="39">
        <f>(COUNTIFS(集計用!$G:$G,"*, "&amp;$C56&amp;",*"))-COUNTIFS(集計用!U:U, "*英語を日常的に*",集計用!$G:$G,"*, "&amp;$C56&amp;",*")</f>
        <v>0</v>
      </c>
      <c r="C56" s="42" t="s">
        <v>51</v>
      </c>
      <c r="D56" s="41" t="e">
        <f>(COUNTIFS(集計用!$U:$U, "*, "&amp;D$4&amp;", *",集計用!$G:$G,"*, "&amp;$C56&amp;", *")-COUNTIFS(集計用!$U:$U, "*, "&amp;D$4&amp;", *",集計用!$G:$G,"*, "&amp;$C56&amp;", *",集計用!$U:$U, "*英語を日常的に*"))/$B56*100</f>
        <v>#DIV/0!</v>
      </c>
      <c r="E56" s="41" t="e">
        <f>(COUNTIFS(集計用!$U:$U, "*, "&amp;E$4&amp;", *",集計用!$G:$G,"*, "&amp;$C56&amp;", *")-COUNTIFS(集計用!$U:$U, "*, "&amp;E$4&amp;", *",集計用!$G:$G,"*, "&amp;$C56&amp;", *",集計用!$U:$U, "*英語を日常的に*"))/$B56*100</f>
        <v>#DIV/0!</v>
      </c>
      <c r="F56" s="41" t="e">
        <f>(COUNTIFS(集計用!$U:$U, "*, "&amp;F$4&amp;", *",集計用!$G:$G,"*, "&amp;$C56&amp;", *")-COUNTIFS(集計用!$U:$U, "*, "&amp;F$4&amp;", *",集計用!$G:$G,"*, "&amp;$C56&amp;", *",集計用!$U:$U, "*英語を日常的に*"))/$B56*100</f>
        <v>#DIV/0!</v>
      </c>
      <c r="G56" s="41" t="e">
        <f>(COUNTIFS(集計用!$U:$U, "*, "&amp;G$4&amp;", *",集計用!$G:$G,"*, "&amp;$C56&amp;", *")-COUNTIFS(集計用!$U:$U, "*, "&amp;G$4&amp;", *",集計用!$G:$G,"*, "&amp;$C56&amp;", *",集計用!$U:$U, "*英語を日常的に*"))/$B56*100</f>
        <v>#DIV/0!</v>
      </c>
      <c r="H56" s="41" t="e">
        <f>(COUNTIFS(集計用!$U:$U, "*, "&amp;H$4&amp;", *",集計用!$G:$G,"*, "&amp;$C56&amp;", *")-COUNTIFS(集計用!$U:$U, "*, "&amp;H$4&amp;", *",集計用!$G:$G,"*, "&amp;$C56&amp;", *",集計用!$U:$U, "*英語を日常的に*"))/$B56*100</f>
        <v>#DIV/0!</v>
      </c>
      <c r="I56" s="41" t="e">
        <f>(COUNTIFS(集計用!$U:$U, "*, "&amp;I$4&amp;", *",集計用!$G:$G,"*, "&amp;$C56&amp;", *")-COUNTIFS(集計用!$U:$U, "*, "&amp;I$4&amp;", *",集計用!$G:$G,"*, "&amp;$C56&amp;", *",集計用!$U:$U, "*英語を日常的に*"))/$B56*100</f>
        <v>#DIV/0!</v>
      </c>
      <c r="J56" s="41" t="e">
        <f>(COUNTIFS(集計用!$U:$U, "*, "&amp;J$4&amp;", *",集計用!$G:$G,"*, "&amp;$C56&amp;", *")-COUNTIFS(集計用!$U:$U, "*, "&amp;J$4&amp;", *",集計用!$G:$G,"*, "&amp;$C56&amp;", *",集計用!$U:$U, "*英語を日常的に*"))/$B56*100</f>
        <v>#DIV/0!</v>
      </c>
      <c r="K56" s="41" t="e">
        <f>(COUNTIFS(集計用!$U:$U, "*, "&amp;K$4&amp;", *",集計用!$G:$G,"*, "&amp;$C56&amp;", *")-COUNTIFS(集計用!$U:$U, "*, "&amp;K$4&amp;", *",集計用!$G:$G,"*, "&amp;$C56&amp;", *",集計用!$U:$U, "*英語を日常的に*"))/$B56*100</f>
        <v>#DIV/0!</v>
      </c>
      <c r="L56" s="41" t="e">
        <f>(COUNTIFS(集計用!$U:$U, "*, "&amp;L$4&amp;", *",集計用!$G:$G,"*, "&amp;$C56&amp;", *")-COUNTIFS(集計用!$U:$U, "*, "&amp;L$4&amp;", *",集計用!$G:$G,"*, "&amp;$C56&amp;", *",集計用!$U:$U, "*英語を日常的に*"))/$B56*100</f>
        <v>#DIV/0!</v>
      </c>
      <c r="M56" s="41" t="e">
        <f>(COUNTIFS(集計用!$U:$U, "*, "&amp;M$4&amp;", *",集計用!$G:$G,"*, "&amp;$C56&amp;", *")-COUNTIFS(集計用!$U:$U, "*, "&amp;M$4&amp;", *",集計用!$G:$G,"*, "&amp;$C56&amp;", *",集計用!$U:$U, "*英語を日常的に*"))/$B56*100</f>
        <v>#DIV/0!</v>
      </c>
      <c r="N56" s="41" t="e">
        <f>(COUNTIFS(集計用!$U:$U, "*, "&amp;N$4&amp;", *",集計用!$G:$G,"*, "&amp;$C56&amp;", *")-COUNTIFS(集計用!$U:$U, "*, "&amp;N$4&amp;", *",集計用!$G:$G,"*, "&amp;$C56&amp;", *",集計用!$U:$U, "*英語を日常的に*"))/$B56*100</f>
        <v>#DIV/0!</v>
      </c>
      <c r="O56" s="41" t="e">
        <f>(COUNTIFS(集計用!$U:$U, "*, "&amp;O$4&amp;", *",集計用!$G:$G,"*, "&amp;$C56&amp;", *")-COUNTIFS(集計用!$U:$U, "*, "&amp;O$4&amp;", *",集計用!$G:$G,"*, "&amp;$C56&amp;", *",集計用!$U:$U, "*英語を日常的に*"))/$B56*100</f>
        <v>#DIV/0!</v>
      </c>
      <c r="P56" s="41" t="e">
        <f>(COUNTIFS(集計用!$U:$U, "*, "&amp;P$4&amp;", *",集計用!$G:$G,"*, "&amp;$C56&amp;", *")-COUNTIFS(集計用!$U:$U, "*, "&amp;P$4&amp;", *",集計用!$G:$G,"*, "&amp;$C56&amp;", *",集計用!$U:$U, "*英語を日常的に*"))/$B56*100</f>
        <v>#DIV/0!</v>
      </c>
      <c r="Q56" s="41" t="e">
        <f>(COUNTIFS(集計用!$U:$U, "*, "&amp;Q$4&amp;", *",集計用!$G:$G,"*, "&amp;$C56&amp;", *")-COUNTIFS(集計用!$U:$U, "*, "&amp;Q$4&amp;", *",集計用!$G:$G,"*, "&amp;$C56&amp;", *",集計用!$U:$U, "*英語を日常的に*"))/$B56*100</f>
        <v>#DIV/0!</v>
      </c>
      <c r="R56" s="41" t="e">
        <f>(COUNTIFS(集計用!$U:$U, "*, "&amp;R$4&amp;", *",集計用!$G:$G,"*, "&amp;$C56&amp;", *")-COUNTIFS(集計用!$U:$U, "*, "&amp;R$4&amp;", *",集計用!$G:$G,"*, "&amp;$C56&amp;", *",集計用!$U:$U, "*英語を日常的に*"))/$B56*100</f>
        <v>#DIV/0!</v>
      </c>
    </row>
    <row r="57" spans="1:18" ht="14.25" customHeight="1">
      <c r="A57" s="39">
        <v>4</v>
      </c>
      <c r="B57" s="39">
        <f>(COUNTIFS(集計用!$G:$G,"*, "&amp;$C57&amp;",*"))-COUNTIFS(集計用!U:U, "*英語を日常的に*",集計用!$G:$G,"*, "&amp;$C57&amp;",*")</f>
        <v>2</v>
      </c>
      <c r="C57" s="42" t="s">
        <v>50</v>
      </c>
      <c r="D57" s="41">
        <f>(COUNTIFS(集計用!$U:$U, "*, "&amp;D$4&amp;", *",集計用!$G:$G,"*, "&amp;$C57&amp;", *")-COUNTIFS(集計用!$U:$U, "*, "&amp;D$4&amp;", *",集計用!$G:$G,"*, "&amp;$C57&amp;", *",集計用!$U:$U, "*英語を日常的に*"))/$B57*100</f>
        <v>0</v>
      </c>
      <c r="E57" s="41">
        <f>(COUNTIFS(集計用!$U:$U, "*, "&amp;E$4&amp;", *",集計用!$G:$G,"*, "&amp;$C57&amp;", *")-COUNTIFS(集計用!$U:$U, "*, "&amp;E$4&amp;", *",集計用!$G:$G,"*, "&amp;$C57&amp;", *",集計用!$U:$U, "*英語を日常的に*"))/$B57*100</f>
        <v>50</v>
      </c>
      <c r="F57" s="41">
        <f>(COUNTIFS(集計用!$U:$U, "*, "&amp;F$4&amp;", *",集計用!$G:$G,"*, "&amp;$C57&amp;", *")-COUNTIFS(集計用!$U:$U, "*, "&amp;F$4&amp;", *",集計用!$G:$G,"*, "&amp;$C57&amp;", *",集計用!$U:$U, "*英語を日常的に*"))/$B57*100</f>
        <v>0</v>
      </c>
      <c r="G57" s="41">
        <f>(COUNTIFS(集計用!$U:$U, "*, "&amp;G$4&amp;", *",集計用!$G:$G,"*, "&amp;$C57&amp;", *")-COUNTIFS(集計用!$U:$U, "*, "&amp;G$4&amp;", *",集計用!$G:$G,"*, "&amp;$C57&amp;", *",集計用!$U:$U, "*英語を日常的に*"))/$B57*100</f>
        <v>50</v>
      </c>
      <c r="H57" s="41">
        <f>(COUNTIFS(集計用!$U:$U, "*, "&amp;H$4&amp;", *",集計用!$G:$G,"*, "&amp;$C57&amp;", *")-COUNTIFS(集計用!$U:$U, "*, "&amp;H$4&amp;", *",集計用!$G:$G,"*, "&amp;$C57&amp;", *",集計用!$U:$U, "*英語を日常的に*"))/$B57*100</f>
        <v>0</v>
      </c>
      <c r="I57" s="41">
        <f>(COUNTIFS(集計用!$U:$U, "*, "&amp;I$4&amp;", *",集計用!$G:$G,"*, "&amp;$C57&amp;", *")-COUNTIFS(集計用!$U:$U, "*, "&amp;I$4&amp;", *",集計用!$G:$G,"*, "&amp;$C57&amp;", *",集計用!$U:$U, "*英語を日常的に*"))/$B57*100</f>
        <v>0</v>
      </c>
      <c r="J57" s="41">
        <f>(COUNTIFS(集計用!$U:$U, "*, "&amp;J$4&amp;", *",集計用!$G:$G,"*, "&amp;$C57&amp;", *")-COUNTIFS(集計用!$U:$U, "*, "&amp;J$4&amp;", *",集計用!$G:$G,"*, "&amp;$C57&amp;", *",集計用!$U:$U, "*英語を日常的に*"))/$B57*100</f>
        <v>0</v>
      </c>
      <c r="K57" s="41">
        <f>(COUNTIFS(集計用!$U:$U, "*, "&amp;K$4&amp;", *",集計用!$G:$G,"*, "&amp;$C57&amp;", *")-COUNTIFS(集計用!$U:$U, "*, "&amp;K$4&amp;", *",集計用!$G:$G,"*, "&amp;$C57&amp;", *",集計用!$U:$U, "*英語を日常的に*"))/$B57*100</f>
        <v>0</v>
      </c>
      <c r="L57" s="41">
        <f>(COUNTIFS(集計用!$U:$U, "*, "&amp;L$4&amp;", *",集計用!$G:$G,"*, "&amp;$C57&amp;", *")-COUNTIFS(集計用!$U:$U, "*, "&amp;L$4&amp;", *",集計用!$G:$G,"*, "&amp;$C57&amp;", *",集計用!$U:$U, "*英語を日常的に*"))/$B57*100</f>
        <v>0</v>
      </c>
      <c r="M57" s="41">
        <f>(COUNTIFS(集計用!$U:$U, "*, "&amp;M$4&amp;", *",集計用!$G:$G,"*, "&amp;$C57&amp;", *")-COUNTIFS(集計用!$U:$U, "*, "&amp;M$4&amp;", *",集計用!$G:$G,"*, "&amp;$C57&amp;", *",集計用!$U:$U, "*英語を日常的に*"))/$B57*100</f>
        <v>0</v>
      </c>
      <c r="N57" s="41">
        <f>(COUNTIFS(集計用!$U:$U, "*, "&amp;N$4&amp;", *",集計用!$G:$G,"*, "&amp;$C57&amp;", *")-COUNTIFS(集計用!$U:$U, "*, "&amp;N$4&amp;", *",集計用!$G:$G,"*, "&amp;$C57&amp;", *",集計用!$U:$U, "*英語を日常的に*"))/$B57*100</f>
        <v>0</v>
      </c>
      <c r="O57" s="41">
        <f>(COUNTIFS(集計用!$U:$U, "*, "&amp;O$4&amp;", *",集計用!$G:$G,"*, "&amp;$C57&amp;", *")-COUNTIFS(集計用!$U:$U, "*, "&amp;O$4&amp;", *",集計用!$G:$G,"*, "&amp;$C57&amp;", *",集計用!$U:$U, "*英語を日常的に*"))/$B57*100</f>
        <v>0</v>
      </c>
      <c r="P57" s="41">
        <f>(COUNTIFS(集計用!$U:$U, "*, "&amp;P$4&amp;", *",集計用!$G:$G,"*, "&amp;$C57&amp;", *")-COUNTIFS(集計用!$U:$U, "*, "&amp;P$4&amp;", *",集計用!$G:$G,"*, "&amp;$C57&amp;", *",集計用!$U:$U, "*英語を日常的に*"))/$B57*100</f>
        <v>0</v>
      </c>
      <c r="Q57" s="41">
        <f>(COUNTIFS(集計用!$U:$U, "*, "&amp;Q$4&amp;", *",集計用!$G:$G,"*, "&amp;$C57&amp;", *")-COUNTIFS(集計用!$U:$U, "*, "&amp;Q$4&amp;", *",集計用!$G:$G,"*, "&amp;$C57&amp;", *",集計用!$U:$U, "*英語を日常的に*"))/$B57*100</f>
        <v>0</v>
      </c>
      <c r="R57" s="41">
        <f>(COUNTIFS(集計用!$U:$U, "*, "&amp;R$4&amp;", *",集計用!$G:$G,"*, "&amp;$C57&amp;", *")-COUNTIFS(集計用!$U:$U, "*, "&amp;R$4&amp;", *",集計用!$G:$G,"*, "&amp;$C57&amp;", *",集計用!$U:$U, "*英語を日常的に*"))/$B57*100</f>
        <v>0</v>
      </c>
    </row>
    <row r="58" spans="1:18" ht="14.25" customHeight="1">
      <c r="A58" s="39" t="s">
        <v>2180</v>
      </c>
      <c r="B58" s="39">
        <f>(COUNTIFS(集計用!$G:$G,"*, "&amp;$C58&amp;",*"))-COUNTIFS(集計用!U:U, "*英語を日常的に*",集計用!$G:$G,"*, "&amp;$C58&amp;",*")</f>
        <v>1</v>
      </c>
      <c r="C58" s="42" t="s">
        <v>53</v>
      </c>
      <c r="D58" s="41">
        <f>(COUNTIFS(集計用!$U:$U, "*, "&amp;D$4&amp;", *",集計用!$G:$G,"*, "&amp;$C58&amp;", *")-COUNTIFS(集計用!$U:$U, "*, "&amp;D$4&amp;", *",集計用!$G:$G,"*, "&amp;$C58&amp;", *",集計用!$U:$U, "*英語を日常的に*"))/$B58*100</f>
        <v>0</v>
      </c>
      <c r="E58" s="41">
        <f>(COUNTIFS(集計用!$U:$U, "*, "&amp;E$4&amp;", *",集計用!$G:$G,"*, "&amp;$C58&amp;", *")-COUNTIFS(集計用!$U:$U, "*, "&amp;E$4&amp;", *",集計用!$G:$G,"*, "&amp;$C58&amp;", *",集計用!$U:$U, "*英語を日常的に*"))/$B58*100</f>
        <v>0</v>
      </c>
      <c r="F58" s="41">
        <f>(COUNTIFS(集計用!$U:$U, "*, "&amp;F$4&amp;", *",集計用!$G:$G,"*, "&amp;$C58&amp;", *")-COUNTIFS(集計用!$U:$U, "*, "&amp;F$4&amp;", *",集計用!$G:$G,"*, "&amp;$C58&amp;", *",集計用!$U:$U, "*英語を日常的に*"))/$B58*100</f>
        <v>100</v>
      </c>
      <c r="G58" s="41">
        <f>(COUNTIFS(集計用!$U:$U, "*, "&amp;G$4&amp;", *",集計用!$G:$G,"*, "&amp;$C58&amp;", *")-COUNTIFS(集計用!$U:$U, "*, "&amp;G$4&amp;", *",集計用!$G:$G,"*, "&amp;$C58&amp;", *",集計用!$U:$U, "*英語を日常的に*"))/$B58*100</f>
        <v>0</v>
      </c>
      <c r="H58" s="41">
        <f>(COUNTIFS(集計用!$U:$U, "*, "&amp;H$4&amp;", *",集計用!$G:$G,"*, "&amp;$C58&amp;", *")-COUNTIFS(集計用!$U:$U, "*, "&amp;H$4&amp;", *",集計用!$G:$G,"*, "&amp;$C58&amp;", *",集計用!$U:$U, "*英語を日常的に*"))/$B58*100</f>
        <v>0</v>
      </c>
      <c r="I58" s="41">
        <f>(COUNTIFS(集計用!$U:$U, "*, "&amp;I$4&amp;", *",集計用!$G:$G,"*, "&amp;$C58&amp;", *")-COUNTIFS(集計用!$U:$U, "*, "&amp;I$4&amp;", *",集計用!$G:$G,"*, "&amp;$C58&amp;", *",集計用!$U:$U, "*英語を日常的に*"))/$B58*100</f>
        <v>0</v>
      </c>
      <c r="J58" s="41">
        <f>(COUNTIFS(集計用!$U:$U, "*, "&amp;J$4&amp;", *",集計用!$G:$G,"*, "&amp;$C58&amp;", *")-COUNTIFS(集計用!$U:$U, "*, "&amp;J$4&amp;", *",集計用!$G:$G,"*, "&amp;$C58&amp;", *",集計用!$U:$U, "*英語を日常的に*"))/$B58*100</f>
        <v>0</v>
      </c>
      <c r="K58" s="41">
        <f>(COUNTIFS(集計用!$U:$U, "*, "&amp;K$4&amp;", *",集計用!$G:$G,"*, "&amp;$C58&amp;", *")-COUNTIFS(集計用!$U:$U, "*, "&amp;K$4&amp;", *",集計用!$G:$G,"*, "&amp;$C58&amp;", *",集計用!$U:$U, "*英語を日常的に*"))/$B58*100</f>
        <v>0</v>
      </c>
      <c r="L58" s="41">
        <f>(COUNTIFS(集計用!$U:$U, "*, "&amp;L$4&amp;", *",集計用!$G:$G,"*, "&amp;$C58&amp;", *")-COUNTIFS(集計用!$U:$U, "*, "&amp;L$4&amp;", *",集計用!$G:$G,"*, "&amp;$C58&amp;", *",集計用!$U:$U, "*英語を日常的に*"))/$B58*100</f>
        <v>0</v>
      </c>
      <c r="M58" s="41">
        <f>(COUNTIFS(集計用!$U:$U, "*, "&amp;M$4&amp;", *",集計用!$G:$G,"*, "&amp;$C58&amp;", *")-COUNTIFS(集計用!$U:$U, "*, "&amp;M$4&amp;", *",集計用!$G:$G,"*, "&amp;$C58&amp;", *",集計用!$U:$U, "*英語を日常的に*"))/$B58*100</f>
        <v>0</v>
      </c>
      <c r="N58" s="41">
        <f>(COUNTIFS(集計用!$U:$U, "*, "&amp;N$4&amp;", *",集計用!$G:$G,"*, "&amp;$C58&amp;", *")-COUNTIFS(集計用!$U:$U, "*, "&amp;N$4&amp;", *",集計用!$G:$G,"*, "&amp;$C58&amp;", *",集計用!$U:$U, "*英語を日常的に*"))/$B58*100</f>
        <v>0</v>
      </c>
      <c r="O58" s="41">
        <f>(COUNTIFS(集計用!$U:$U, "*, "&amp;O$4&amp;", *",集計用!$G:$G,"*, "&amp;$C58&amp;", *")-COUNTIFS(集計用!$U:$U, "*, "&amp;O$4&amp;", *",集計用!$G:$G,"*, "&amp;$C58&amp;", *",集計用!$U:$U, "*英語を日常的に*"))/$B58*100</f>
        <v>0</v>
      </c>
      <c r="P58" s="41">
        <f>(COUNTIFS(集計用!$U:$U, "*, "&amp;P$4&amp;", *",集計用!$G:$G,"*, "&amp;$C58&amp;", *")-COUNTIFS(集計用!$U:$U, "*, "&amp;P$4&amp;", *",集計用!$G:$G,"*, "&amp;$C58&amp;", *",集計用!$U:$U, "*英語を日常的に*"))/$B58*100</f>
        <v>0</v>
      </c>
      <c r="Q58" s="41">
        <f>(COUNTIFS(集計用!$U:$U, "*, "&amp;Q$4&amp;", *",集計用!$G:$G,"*, "&amp;$C58&amp;", *")-COUNTIFS(集計用!$U:$U, "*, "&amp;Q$4&amp;", *",集計用!$G:$G,"*, "&amp;$C58&amp;", *",集計用!$U:$U, "*英語を日常的に*"))/$B58*100</f>
        <v>0</v>
      </c>
      <c r="R58" s="41">
        <f>(COUNTIFS(集計用!$U:$U, "*, "&amp;R$4&amp;", *",集計用!$G:$G,"*, "&amp;$C58&amp;", *")-COUNTIFS(集計用!$U:$U, "*, "&amp;R$4&amp;", *",集計用!$G:$G,"*, "&amp;$C58&amp;", *",集計用!$U:$U, "*英語を日常的に*"))/$B58*100</f>
        <v>0</v>
      </c>
    </row>
    <row r="59" spans="1:18" ht="14.25" customHeight="1">
      <c r="A59" s="39" t="s">
        <v>2180</v>
      </c>
      <c r="B59" s="39">
        <f>(COUNTIFS(集計用!$G:$G,"*, "&amp;$C59&amp;",*"))-COUNTIFS(集計用!U:U, "*英語を日常的に*",集計用!$G:$G,"*, "&amp;$C59&amp;",*")</f>
        <v>3</v>
      </c>
      <c r="C59" s="42" t="s">
        <v>52</v>
      </c>
      <c r="D59" s="41">
        <f>(COUNTIFS(集計用!$U:$U, "*, "&amp;D$4&amp;", *",集計用!$G:$G,"*, "&amp;$C59&amp;", *")-COUNTIFS(集計用!$U:$U, "*, "&amp;D$4&amp;", *",集計用!$G:$G,"*, "&amp;$C59&amp;", *",集計用!$U:$U, "*英語を日常的に*"))/$B59*100</f>
        <v>33.333333333333329</v>
      </c>
      <c r="E59" s="41">
        <f>(COUNTIFS(集計用!$U:$U, "*, "&amp;E$4&amp;", *",集計用!$G:$G,"*, "&amp;$C59&amp;", *")-COUNTIFS(集計用!$U:$U, "*, "&amp;E$4&amp;", *",集計用!$G:$G,"*, "&amp;$C59&amp;", *",集計用!$U:$U, "*英語を日常的に*"))/$B59*100</f>
        <v>0</v>
      </c>
      <c r="F59" s="41">
        <f>(COUNTIFS(集計用!$U:$U, "*, "&amp;F$4&amp;", *",集計用!$G:$G,"*, "&amp;$C59&amp;", *")-COUNTIFS(集計用!$U:$U, "*, "&amp;F$4&amp;", *",集計用!$G:$G,"*, "&amp;$C59&amp;", *",集計用!$U:$U, "*英語を日常的に*"))/$B59*100</f>
        <v>33.333333333333329</v>
      </c>
      <c r="G59" s="41">
        <f>(COUNTIFS(集計用!$U:$U, "*, "&amp;G$4&amp;", *",集計用!$G:$G,"*, "&amp;$C59&amp;", *")-COUNTIFS(集計用!$U:$U, "*, "&amp;G$4&amp;", *",集計用!$G:$G,"*, "&amp;$C59&amp;", *",集計用!$U:$U, "*英語を日常的に*"))/$B59*100</f>
        <v>0</v>
      </c>
      <c r="H59" s="41">
        <f>(COUNTIFS(集計用!$U:$U, "*, "&amp;H$4&amp;", *",集計用!$G:$G,"*, "&amp;$C59&amp;", *")-COUNTIFS(集計用!$U:$U, "*, "&amp;H$4&amp;", *",集計用!$G:$G,"*, "&amp;$C59&amp;", *",集計用!$U:$U, "*英語を日常的に*"))/$B59*100</f>
        <v>33.333333333333329</v>
      </c>
      <c r="I59" s="41">
        <f>(COUNTIFS(集計用!$U:$U, "*, "&amp;I$4&amp;", *",集計用!$G:$G,"*, "&amp;$C59&amp;", *")-COUNTIFS(集計用!$U:$U, "*, "&amp;I$4&amp;", *",集計用!$G:$G,"*, "&amp;$C59&amp;", *",集計用!$U:$U, "*英語を日常的に*"))/$B59*100</f>
        <v>0</v>
      </c>
      <c r="J59" s="41">
        <f>(COUNTIFS(集計用!$U:$U, "*, "&amp;J$4&amp;", *",集計用!$G:$G,"*, "&amp;$C59&amp;", *")-COUNTIFS(集計用!$U:$U, "*, "&amp;J$4&amp;", *",集計用!$G:$G,"*, "&amp;$C59&amp;", *",集計用!$U:$U, "*英語を日常的に*"))/$B59*100</f>
        <v>0</v>
      </c>
      <c r="K59" s="41">
        <f>(COUNTIFS(集計用!$U:$U, "*, "&amp;K$4&amp;", *",集計用!$G:$G,"*, "&amp;$C59&amp;", *")-COUNTIFS(集計用!$U:$U, "*, "&amp;K$4&amp;", *",集計用!$G:$G,"*, "&amp;$C59&amp;", *",集計用!$U:$U, "*英語を日常的に*"))/$B59*100</f>
        <v>33.333333333333329</v>
      </c>
      <c r="L59" s="41">
        <f>(COUNTIFS(集計用!$U:$U, "*, "&amp;L$4&amp;", *",集計用!$G:$G,"*, "&amp;$C59&amp;", *")-COUNTIFS(集計用!$U:$U, "*, "&amp;L$4&amp;", *",集計用!$G:$G,"*, "&amp;$C59&amp;", *",集計用!$U:$U, "*英語を日常的に*"))/$B59*100</f>
        <v>0</v>
      </c>
      <c r="M59" s="41">
        <f>(COUNTIFS(集計用!$U:$U, "*, "&amp;M$4&amp;", *",集計用!$G:$G,"*, "&amp;$C59&amp;", *")-COUNTIFS(集計用!$U:$U, "*, "&amp;M$4&amp;", *",集計用!$G:$G,"*, "&amp;$C59&amp;", *",集計用!$U:$U, "*英語を日常的に*"))/$B59*100</f>
        <v>0</v>
      </c>
      <c r="N59" s="41">
        <f>(COUNTIFS(集計用!$U:$U, "*, "&amp;N$4&amp;", *",集計用!$G:$G,"*, "&amp;$C59&amp;", *")-COUNTIFS(集計用!$U:$U, "*, "&amp;N$4&amp;", *",集計用!$G:$G,"*, "&amp;$C59&amp;", *",集計用!$U:$U, "*英語を日常的に*"))/$B59*100</f>
        <v>0</v>
      </c>
      <c r="O59" s="41">
        <f>(COUNTIFS(集計用!$U:$U, "*, "&amp;O$4&amp;", *",集計用!$G:$G,"*, "&amp;$C59&amp;", *")-COUNTIFS(集計用!$U:$U, "*, "&amp;O$4&amp;", *",集計用!$G:$G,"*, "&amp;$C59&amp;", *",集計用!$U:$U, "*英語を日常的に*"))/$B59*100</f>
        <v>0</v>
      </c>
      <c r="P59" s="41">
        <f>(COUNTIFS(集計用!$U:$U, "*, "&amp;P$4&amp;", *",集計用!$G:$G,"*, "&amp;$C59&amp;", *")-COUNTIFS(集計用!$U:$U, "*, "&amp;P$4&amp;", *",集計用!$G:$G,"*, "&amp;$C59&amp;", *",集計用!$U:$U, "*英語を日常的に*"))/$B59*100</f>
        <v>0</v>
      </c>
      <c r="Q59" s="41">
        <f>(COUNTIFS(集計用!$U:$U, "*, "&amp;Q$4&amp;", *",集計用!$G:$G,"*, "&amp;$C59&amp;", *")-COUNTIFS(集計用!$U:$U, "*, "&amp;Q$4&amp;", *",集計用!$G:$G,"*, "&amp;$C59&amp;", *",集計用!$U:$U, "*英語を日常的に*"))/$B59*100</f>
        <v>0</v>
      </c>
      <c r="R59" s="41">
        <f>(COUNTIFS(集計用!$U:$U, "*, "&amp;R$4&amp;", *",集計用!$G:$G,"*, "&amp;$C59&amp;", *")-COUNTIFS(集計用!$U:$U, "*, "&amp;R$4&amp;", *",集計用!$G:$G,"*, "&amp;$C59&amp;", *",集計用!$U:$U, "*英語を日常的に*"))/$B59*100</f>
        <v>0</v>
      </c>
    </row>
    <row r="60" spans="1:18" ht="12.75">
      <c r="A60" s="39" t="s">
        <v>2180</v>
      </c>
      <c r="B60" s="39">
        <f>(COUNTIFS(集計用!$G:$G,"*, "&amp;$C60&amp;",*"))-COUNTIFS(集計用!U:U, "*英語を日常的に*",集計用!$G:$G,"*, "&amp;$C60&amp;",*")</f>
        <v>2</v>
      </c>
      <c r="C60" s="42" t="s">
        <v>54</v>
      </c>
      <c r="D60" s="41">
        <f>(COUNTIFS(集計用!$U:$U, "*, "&amp;D$4&amp;", *",集計用!$G:$G,"*, "&amp;$C60&amp;", *")-COUNTIFS(集計用!$U:$U, "*, "&amp;D$4&amp;", *",集計用!$G:$G,"*, "&amp;$C60&amp;", *",集計用!$U:$U, "*英語を日常的に*"))/$B60*100</f>
        <v>50</v>
      </c>
      <c r="E60" s="41">
        <f>(COUNTIFS(集計用!$U:$U, "*, "&amp;E$4&amp;", *",集計用!$G:$G,"*, "&amp;$C60&amp;", *")-COUNTIFS(集計用!$U:$U, "*, "&amp;E$4&amp;", *",集計用!$G:$G,"*, "&amp;$C60&amp;", *",集計用!$U:$U, "*英語を日常的に*"))/$B60*100</f>
        <v>50</v>
      </c>
      <c r="F60" s="41">
        <f>(COUNTIFS(集計用!$U:$U, "*, "&amp;F$4&amp;", *",集計用!$G:$G,"*, "&amp;$C60&amp;", *")-COUNTIFS(集計用!$U:$U, "*, "&amp;F$4&amp;", *",集計用!$G:$G,"*, "&amp;$C60&amp;", *",集計用!$U:$U, "*英語を日常的に*"))/$B60*100</f>
        <v>0</v>
      </c>
      <c r="G60" s="41">
        <f>(COUNTIFS(集計用!$U:$U, "*, "&amp;G$4&amp;", *",集計用!$G:$G,"*, "&amp;$C60&amp;", *")-COUNTIFS(集計用!$U:$U, "*, "&amp;G$4&amp;", *",集計用!$G:$G,"*, "&amp;$C60&amp;", *",集計用!$U:$U, "*英語を日常的に*"))/$B60*100</f>
        <v>0</v>
      </c>
      <c r="H60" s="41">
        <f>(COUNTIFS(集計用!$U:$U, "*, "&amp;H$4&amp;", *",集計用!$G:$G,"*, "&amp;$C60&amp;", *")-COUNTIFS(集計用!$U:$U, "*, "&amp;H$4&amp;", *",集計用!$G:$G,"*, "&amp;$C60&amp;", *",集計用!$U:$U, "*英語を日常的に*"))/$B60*100</f>
        <v>0</v>
      </c>
      <c r="I60" s="41">
        <f>(COUNTIFS(集計用!$U:$U, "*, "&amp;I$4&amp;", *",集計用!$G:$G,"*, "&amp;$C60&amp;", *")-COUNTIFS(集計用!$U:$U, "*, "&amp;I$4&amp;", *",集計用!$G:$G,"*, "&amp;$C60&amp;", *",集計用!$U:$U, "*英語を日常的に*"))/$B60*100</f>
        <v>0</v>
      </c>
      <c r="J60" s="41">
        <f>(COUNTIFS(集計用!$U:$U, "*, "&amp;J$4&amp;", *",集計用!$G:$G,"*, "&amp;$C60&amp;", *")-COUNTIFS(集計用!$U:$U, "*, "&amp;J$4&amp;", *",集計用!$G:$G,"*, "&amp;$C60&amp;", *",集計用!$U:$U, "*英語を日常的に*"))/$B60*100</f>
        <v>0</v>
      </c>
      <c r="K60" s="41">
        <f>(COUNTIFS(集計用!$U:$U, "*, "&amp;K$4&amp;", *",集計用!$G:$G,"*, "&amp;$C60&amp;", *")-COUNTIFS(集計用!$U:$U, "*, "&amp;K$4&amp;", *",集計用!$G:$G,"*, "&amp;$C60&amp;", *",集計用!$U:$U, "*英語を日常的に*"))/$B60*100</f>
        <v>0</v>
      </c>
      <c r="L60" s="41">
        <f>(COUNTIFS(集計用!$U:$U, "*, "&amp;L$4&amp;", *",集計用!$G:$G,"*, "&amp;$C60&amp;", *")-COUNTIFS(集計用!$U:$U, "*, "&amp;L$4&amp;", *",集計用!$G:$G,"*, "&amp;$C60&amp;", *",集計用!$U:$U, "*英語を日常的に*"))/$B60*100</f>
        <v>0</v>
      </c>
      <c r="M60" s="41">
        <f>(COUNTIFS(集計用!$U:$U, "*, "&amp;M$4&amp;", *",集計用!$G:$G,"*, "&amp;$C60&amp;", *")-COUNTIFS(集計用!$U:$U, "*, "&amp;M$4&amp;", *",集計用!$G:$G,"*, "&amp;$C60&amp;", *",集計用!$U:$U, "*英語を日常的に*"))/$B60*100</f>
        <v>0</v>
      </c>
      <c r="N60" s="41">
        <f>(COUNTIFS(集計用!$U:$U, "*, "&amp;N$4&amp;", *",集計用!$G:$G,"*, "&amp;$C60&amp;", *")-COUNTIFS(集計用!$U:$U, "*, "&amp;N$4&amp;", *",集計用!$G:$G,"*, "&amp;$C60&amp;", *",集計用!$U:$U, "*英語を日常的に*"))/$B60*100</f>
        <v>0</v>
      </c>
      <c r="O60" s="41">
        <f>(COUNTIFS(集計用!$U:$U, "*, "&amp;O$4&amp;", *",集計用!$G:$G,"*, "&amp;$C60&amp;", *")-COUNTIFS(集計用!$U:$U, "*, "&amp;O$4&amp;", *",集計用!$G:$G,"*, "&amp;$C60&amp;", *",集計用!$U:$U, "*英語を日常的に*"))/$B60*100</f>
        <v>0</v>
      </c>
      <c r="P60" s="41">
        <f>(COUNTIFS(集計用!$U:$U, "*, "&amp;P$4&amp;", *",集計用!$G:$G,"*, "&amp;$C60&amp;", *")-COUNTIFS(集計用!$U:$U, "*, "&amp;P$4&amp;", *",集計用!$G:$G,"*, "&amp;$C60&amp;", *",集計用!$U:$U, "*英語を日常的に*"))/$B60*100</f>
        <v>0</v>
      </c>
      <c r="Q60" s="41">
        <f>(COUNTIFS(集計用!$U:$U, "*, "&amp;Q$4&amp;", *",集計用!$G:$G,"*, "&amp;$C60&amp;", *")-COUNTIFS(集計用!$U:$U, "*, "&amp;Q$4&amp;", *",集計用!$G:$G,"*, "&amp;$C60&amp;", *",集計用!$U:$U, "*英語を日常的に*"))/$B60*100</f>
        <v>0</v>
      </c>
      <c r="R60" s="41">
        <f>(COUNTIFS(集計用!$U:$U, "*, "&amp;R$4&amp;", *",集計用!$G:$G,"*, "&amp;$C60&amp;", *")-COUNTIFS(集計用!$U:$U, "*, "&amp;R$4&amp;", *",集計用!$G:$G,"*, "&amp;$C60&amp;", *",集計用!$U:$U, "*英語を日常的に*"))/$B60*100</f>
        <v>0</v>
      </c>
    </row>
    <row r="61" spans="1:18" ht="14.25" customHeight="1">
      <c r="A61" s="39" t="s">
        <v>2180</v>
      </c>
      <c r="B61" s="39">
        <f>(COUNTIFS(集計用!$G:$G,"*, "&amp;$C61&amp;",*"))-COUNTIFS(集計用!U:U, "*英語を日常的に*",集計用!$G:$G,"*, "&amp;$C61&amp;",*")</f>
        <v>0</v>
      </c>
      <c r="C61" s="42" t="s">
        <v>55</v>
      </c>
      <c r="D61" s="41" t="e">
        <f>(COUNTIFS(集計用!$U:$U, "*, "&amp;D$4&amp;", *",集計用!$G:$G,"*, "&amp;$C61&amp;", *")-COUNTIFS(集計用!$U:$U, "*, "&amp;D$4&amp;", *",集計用!$G:$G,"*, "&amp;$C61&amp;", *",集計用!$U:$U, "*英語を日常的に*"))/$B61*100</f>
        <v>#DIV/0!</v>
      </c>
      <c r="E61" s="41" t="e">
        <f>(COUNTIFS(集計用!$U:$U, "*, "&amp;E$4&amp;", *",集計用!$G:$G,"*, "&amp;$C61&amp;", *")-COUNTIFS(集計用!$U:$U, "*, "&amp;E$4&amp;", *",集計用!$G:$G,"*, "&amp;$C61&amp;", *",集計用!$U:$U, "*英語を日常的に*"))/$B61*100</f>
        <v>#DIV/0!</v>
      </c>
      <c r="F61" s="41" t="e">
        <f>(COUNTIFS(集計用!$U:$U, "*, "&amp;F$4&amp;", *",集計用!$G:$G,"*, "&amp;$C61&amp;", *")-COUNTIFS(集計用!$U:$U, "*, "&amp;F$4&amp;", *",集計用!$G:$G,"*, "&amp;$C61&amp;", *",集計用!$U:$U, "*英語を日常的に*"))/$B61*100</f>
        <v>#DIV/0!</v>
      </c>
      <c r="G61" s="41" t="e">
        <f>(COUNTIFS(集計用!$U:$U, "*, "&amp;G$4&amp;", *",集計用!$G:$G,"*, "&amp;$C61&amp;", *")-COUNTIFS(集計用!$U:$U, "*, "&amp;G$4&amp;", *",集計用!$G:$G,"*, "&amp;$C61&amp;", *",集計用!$U:$U, "*英語を日常的に*"))/$B61*100</f>
        <v>#DIV/0!</v>
      </c>
      <c r="H61" s="41" t="e">
        <f>(COUNTIFS(集計用!$U:$U, "*, "&amp;H$4&amp;", *",集計用!$G:$G,"*, "&amp;$C61&amp;", *")-COUNTIFS(集計用!$U:$U, "*, "&amp;H$4&amp;", *",集計用!$G:$G,"*, "&amp;$C61&amp;", *",集計用!$U:$U, "*英語を日常的に*"))/$B61*100</f>
        <v>#DIV/0!</v>
      </c>
      <c r="I61" s="41" t="e">
        <f>(COUNTIFS(集計用!$U:$U, "*, "&amp;I$4&amp;", *",集計用!$G:$G,"*, "&amp;$C61&amp;", *")-COUNTIFS(集計用!$U:$U, "*, "&amp;I$4&amp;", *",集計用!$G:$G,"*, "&amp;$C61&amp;", *",集計用!$U:$U, "*英語を日常的に*"))/$B61*100</f>
        <v>#DIV/0!</v>
      </c>
      <c r="J61" s="41" t="e">
        <f>(COUNTIFS(集計用!$U:$U, "*, "&amp;J$4&amp;", *",集計用!$G:$G,"*, "&amp;$C61&amp;", *")-COUNTIFS(集計用!$U:$U, "*, "&amp;J$4&amp;", *",集計用!$G:$G,"*, "&amp;$C61&amp;", *",集計用!$U:$U, "*英語を日常的に*"))/$B61*100</f>
        <v>#DIV/0!</v>
      </c>
      <c r="K61" s="41" t="e">
        <f>(COUNTIFS(集計用!$U:$U, "*, "&amp;K$4&amp;", *",集計用!$G:$G,"*, "&amp;$C61&amp;", *")-COUNTIFS(集計用!$U:$U, "*, "&amp;K$4&amp;", *",集計用!$G:$G,"*, "&amp;$C61&amp;", *",集計用!$U:$U, "*英語を日常的に*"))/$B61*100</f>
        <v>#DIV/0!</v>
      </c>
      <c r="L61" s="41" t="e">
        <f>(COUNTIFS(集計用!$U:$U, "*, "&amp;L$4&amp;", *",集計用!$G:$G,"*, "&amp;$C61&amp;", *")-COUNTIFS(集計用!$U:$U, "*, "&amp;L$4&amp;", *",集計用!$G:$G,"*, "&amp;$C61&amp;", *",集計用!$U:$U, "*英語を日常的に*"))/$B61*100</f>
        <v>#DIV/0!</v>
      </c>
      <c r="M61" s="41" t="e">
        <f>(COUNTIFS(集計用!$U:$U, "*, "&amp;M$4&amp;", *",集計用!$G:$G,"*, "&amp;$C61&amp;", *")-COUNTIFS(集計用!$U:$U, "*, "&amp;M$4&amp;", *",集計用!$G:$G,"*, "&amp;$C61&amp;", *",集計用!$U:$U, "*英語を日常的に*"))/$B61*100</f>
        <v>#DIV/0!</v>
      </c>
      <c r="N61" s="41" t="e">
        <f>(COUNTIFS(集計用!$U:$U, "*, "&amp;N$4&amp;", *",集計用!$G:$G,"*, "&amp;$C61&amp;", *")-COUNTIFS(集計用!$U:$U, "*, "&amp;N$4&amp;", *",集計用!$G:$G,"*, "&amp;$C61&amp;", *",集計用!$U:$U, "*英語を日常的に*"))/$B61*100</f>
        <v>#DIV/0!</v>
      </c>
      <c r="O61" s="41" t="e">
        <f>(COUNTIFS(集計用!$U:$U, "*, "&amp;O$4&amp;", *",集計用!$G:$G,"*, "&amp;$C61&amp;", *")-COUNTIFS(集計用!$U:$U, "*, "&amp;O$4&amp;", *",集計用!$G:$G,"*, "&amp;$C61&amp;", *",集計用!$U:$U, "*英語を日常的に*"))/$B61*100</f>
        <v>#DIV/0!</v>
      </c>
      <c r="P61" s="41" t="e">
        <f>(COUNTIFS(集計用!$U:$U, "*, "&amp;P$4&amp;", *",集計用!$G:$G,"*, "&amp;$C61&amp;", *")-COUNTIFS(集計用!$U:$U, "*, "&amp;P$4&amp;", *",集計用!$G:$G,"*, "&amp;$C61&amp;", *",集計用!$U:$U, "*英語を日常的に*"))/$B61*100</f>
        <v>#DIV/0!</v>
      </c>
      <c r="Q61" s="41" t="e">
        <f>(COUNTIFS(集計用!$U:$U, "*, "&amp;Q$4&amp;", *",集計用!$G:$G,"*, "&amp;$C61&amp;", *")-COUNTIFS(集計用!$U:$U, "*, "&amp;Q$4&amp;", *",集計用!$G:$G,"*, "&amp;$C61&amp;", *",集計用!$U:$U, "*英語を日常的に*"))/$B61*100</f>
        <v>#DIV/0!</v>
      </c>
      <c r="R61" s="41" t="e">
        <f>(COUNTIFS(集計用!$U:$U, "*, "&amp;R$4&amp;", *",集計用!$G:$G,"*, "&amp;$C61&amp;", *")-COUNTIFS(集計用!$U:$U, "*, "&amp;R$4&amp;", *",集計用!$G:$G,"*, "&amp;$C61&amp;", *",集計用!$U:$U, "*英語を日常的に*"))/$B61*100</f>
        <v>#DIV/0!</v>
      </c>
    </row>
    <row r="62" spans="1:18" ht="14.25" customHeight="1">
      <c r="A62" s="39" t="s">
        <v>2180</v>
      </c>
      <c r="B62" s="39">
        <f>(COUNTIFS(集計用!$G:$G,"*, "&amp;$C62&amp;",*"))-COUNTIFS(集計用!U:U, "*英語を日常的に*",集計用!$G:$G,"*, "&amp;$C62&amp;",*")</f>
        <v>0</v>
      </c>
      <c r="C62" s="42" t="s">
        <v>56</v>
      </c>
      <c r="D62" s="41" t="e">
        <f>(COUNTIFS(集計用!$U:$U, "*, "&amp;D$4&amp;", *",集計用!$G:$G,"*, "&amp;$C62&amp;", *")-COUNTIFS(集計用!$U:$U, "*, "&amp;D$4&amp;", *",集計用!$G:$G,"*, "&amp;$C62&amp;", *",集計用!$U:$U, "*英語を日常的に*"))/$B62*100</f>
        <v>#DIV/0!</v>
      </c>
      <c r="E62" s="41" t="e">
        <f>(COUNTIFS(集計用!$U:$U, "*, "&amp;E$4&amp;", *",集計用!$G:$G,"*, "&amp;$C62&amp;", *")-COUNTIFS(集計用!$U:$U, "*, "&amp;E$4&amp;", *",集計用!$G:$G,"*, "&amp;$C62&amp;", *",集計用!$U:$U, "*英語を日常的に*"))/$B62*100</f>
        <v>#DIV/0!</v>
      </c>
      <c r="F62" s="41" t="e">
        <f>(COUNTIFS(集計用!$U:$U, "*, "&amp;F$4&amp;", *",集計用!$G:$G,"*, "&amp;$C62&amp;", *")-COUNTIFS(集計用!$U:$U, "*, "&amp;F$4&amp;", *",集計用!$G:$G,"*, "&amp;$C62&amp;", *",集計用!$U:$U, "*英語を日常的に*"))/$B62*100</f>
        <v>#DIV/0!</v>
      </c>
      <c r="G62" s="41" t="e">
        <f>(COUNTIFS(集計用!$U:$U, "*, "&amp;G$4&amp;", *",集計用!$G:$G,"*, "&amp;$C62&amp;", *")-COUNTIFS(集計用!$U:$U, "*, "&amp;G$4&amp;", *",集計用!$G:$G,"*, "&amp;$C62&amp;", *",集計用!$U:$U, "*英語を日常的に*"))/$B62*100</f>
        <v>#DIV/0!</v>
      </c>
      <c r="H62" s="41" t="e">
        <f>(COUNTIFS(集計用!$U:$U, "*, "&amp;H$4&amp;", *",集計用!$G:$G,"*, "&amp;$C62&amp;", *")-COUNTIFS(集計用!$U:$U, "*, "&amp;H$4&amp;", *",集計用!$G:$G,"*, "&amp;$C62&amp;", *",集計用!$U:$U, "*英語を日常的に*"))/$B62*100</f>
        <v>#DIV/0!</v>
      </c>
      <c r="I62" s="41" t="e">
        <f>(COUNTIFS(集計用!$U:$U, "*, "&amp;I$4&amp;", *",集計用!$G:$G,"*, "&amp;$C62&amp;", *")-COUNTIFS(集計用!$U:$U, "*, "&amp;I$4&amp;", *",集計用!$G:$G,"*, "&amp;$C62&amp;", *",集計用!$U:$U, "*英語を日常的に*"))/$B62*100</f>
        <v>#DIV/0!</v>
      </c>
      <c r="J62" s="41" t="e">
        <f>(COUNTIFS(集計用!$U:$U, "*, "&amp;J$4&amp;", *",集計用!$G:$G,"*, "&amp;$C62&amp;", *")-COUNTIFS(集計用!$U:$U, "*, "&amp;J$4&amp;", *",集計用!$G:$G,"*, "&amp;$C62&amp;", *",集計用!$U:$U, "*英語を日常的に*"))/$B62*100</f>
        <v>#DIV/0!</v>
      </c>
      <c r="K62" s="41" t="e">
        <f>(COUNTIFS(集計用!$U:$U, "*, "&amp;K$4&amp;", *",集計用!$G:$G,"*, "&amp;$C62&amp;", *")-COUNTIFS(集計用!$U:$U, "*, "&amp;K$4&amp;", *",集計用!$G:$G,"*, "&amp;$C62&amp;", *",集計用!$U:$U, "*英語を日常的に*"))/$B62*100</f>
        <v>#DIV/0!</v>
      </c>
      <c r="L62" s="41" t="e">
        <f>(COUNTIFS(集計用!$U:$U, "*, "&amp;L$4&amp;", *",集計用!$G:$G,"*, "&amp;$C62&amp;", *")-COUNTIFS(集計用!$U:$U, "*, "&amp;L$4&amp;", *",集計用!$G:$G,"*, "&amp;$C62&amp;", *",集計用!$U:$U, "*英語を日常的に*"))/$B62*100</f>
        <v>#DIV/0!</v>
      </c>
      <c r="M62" s="41" t="e">
        <f>(COUNTIFS(集計用!$U:$U, "*, "&amp;M$4&amp;", *",集計用!$G:$G,"*, "&amp;$C62&amp;", *")-COUNTIFS(集計用!$U:$U, "*, "&amp;M$4&amp;", *",集計用!$G:$G,"*, "&amp;$C62&amp;", *",集計用!$U:$U, "*英語を日常的に*"))/$B62*100</f>
        <v>#DIV/0!</v>
      </c>
      <c r="N62" s="41" t="e">
        <f>(COUNTIFS(集計用!$U:$U, "*, "&amp;N$4&amp;", *",集計用!$G:$G,"*, "&amp;$C62&amp;", *")-COUNTIFS(集計用!$U:$U, "*, "&amp;N$4&amp;", *",集計用!$G:$G,"*, "&amp;$C62&amp;", *",集計用!$U:$U, "*英語を日常的に*"))/$B62*100</f>
        <v>#DIV/0!</v>
      </c>
      <c r="O62" s="41" t="e">
        <f>(COUNTIFS(集計用!$U:$U, "*, "&amp;O$4&amp;", *",集計用!$G:$G,"*, "&amp;$C62&amp;", *")-COUNTIFS(集計用!$U:$U, "*, "&amp;O$4&amp;", *",集計用!$G:$G,"*, "&amp;$C62&amp;", *",集計用!$U:$U, "*英語を日常的に*"))/$B62*100</f>
        <v>#DIV/0!</v>
      </c>
      <c r="P62" s="41" t="e">
        <f>(COUNTIFS(集計用!$U:$U, "*, "&amp;P$4&amp;", *",集計用!$G:$G,"*, "&amp;$C62&amp;", *")-COUNTIFS(集計用!$U:$U, "*, "&amp;P$4&amp;", *",集計用!$G:$G,"*, "&amp;$C62&amp;", *",集計用!$U:$U, "*英語を日常的に*"))/$B62*100</f>
        <v>#DIV/0!</v>
      </c>
      <c r="Q62" s="41" t="e">
        <f>(COUNTIFS(集計用!$U:$U, "*, "&amp;Q$4&amp;", *",集計用!$G:$G,"*, "&amp;$C62&amp;", *")-COUNTIFS(集計用!$U:$U, "*, "&amp;Q$4&amp;", *",集計用!$G:$G,"*, "&amp;$C62&amp;", *",集計用!$U:$U, "*英語を日常的に*"))/$B62*100</f>
        <v>#DIV/0!</v>
      </c>
      <c r="R62" s="41" t="e">
        <f>(COUNTIFS(集計用!$U:$U, "*, "&amp;R$4&amp;", *",集計用!$G:$G,"*, "&amp;$C62&amp;", *")-COUNTIFS(集計用!$U:$U, "*, "&amp;R$4&amp;", *",集計用!$G:$G,"*, "&amp;$C62&amp;", *",集計用!$U:$U, "*英語を日常的に*"))/$B62*100</f>
        <v>#DIV/0!</v>
      </c>
    </row>
    <row r="63" spans="1:18" ht="14.25" customHeight="1">
      <c r="C63" s="43"/>
      <c r="D63" s="44"/>
      <c r="E63" s="44"/>
      <c r="F63" s="44"/>
      <c r="G63" s="44"/>
      <c r="H63" s="44"/>
      <c r="I63" s="44"/>
      <c r="J63" s="44"/>
      <c r="K63" s="44"/>
      <c r="L63" s="44"/>
      <c r="M63" s="44"/>
    </row>
    <row r="64" spans="1:18" ht="12.75">
      <c r="C64" s="43"/>
      <c r="D64" s="44"/>
      <c r="E64" s="44"/>
      <c r="F64" s="44"/>
      <c r="G64" s="44"/>
      <c r="H64" s="44"/>
      <c r="I64" s="44"/>
      <c r="J64" s="44"/>
      <c r="K64" s="44"/>
      <c r="L64" s="44"/>
      <c r="M64" s="44"/>
    </row>
    <row r="65" spans="3:13" ht="15.75" customHeight="1">
      <c r="C65" s="43"/>
      <c r="D65" s="44"/>
      <c r="E65" s="44"/>
      <c r="F65" s="44"/>
      <c r="G65" s="44"/>
      <c r="H65" s="44"/>
      <c r="I65" s="44"/>
      <c r="J65" s="44"/>
      <c r="K65" s="44"/>
      <c r="L65" s="44"/>
      <c r="M65" s="44"/>
    </row>
    <row r="66" spans="3:13" ht="15.75" customHeight="1">
      <c r="C66" s="43"/>
      <c r="D66" s="44"/>
      <c r="E66" s="44"/>
      <c r="F66" s="44"/>
      <c r="G66" s="44"/>
      <c r="H66" s="44"/>
      <c r="I66" s="44"/>
      <c r="J66" s="44"/>
      <c r="K66" s="44"/>
      <c r="L66" s="44"/>
      <c r="M66" s="44"/>
    </row>
    <row r="67" spans="3:13" ht="15.75" customHeight="1">
      <c r="C67" s="43"/>
      <c r="D67" s="44"/>
      <c r="E67" s="44"/>
      <c r="F67" s="44"/>
      <c r="G67" s="44"/>
      <c r="H67" s="44"/>
      <c r="I67" s="44"/>
      <c r="J67" s="44"/>
      <c r="K67" s="44"/>
      <c r="L67" s="44"/>
      <c r="M67" s="44"/>
    </row>
    <row r="68" spans="3:13" ht="15.75" customHeight="1">
      <c r="C68" s="43"/>
      <c r="D68" s="44"/>
      <c r="E68" s="44"/>
      <c r="F68" s="44"/>
      <c r="G68" s="44"/>
      <c r="H68" s="44"/>
      <c r="I68" s="44"/>
      <c r="J68" s="44"/>
      <c r="K68" s="44"/>
      <c r="L68" s="44"/>
      <c r="M68" s="44"/>
    </row>
  </sheetData>
  <phoneticPr fontId="8"/>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E42D5-4F9B-490D-9A49-9CC3802B93B7}">
  <sheetPr>
    <outlinePr summaryBelow="0" summaryRight="0"/>
  </sheetPr>
  <dimension ref="A1:R20"/>
  <sheetViews>
    <sheetView zoomScaleNormal="100" workbookViewId="0">
      <selection activeCell="F6" sqref="F6"/>
    </sheetView>
  </sheetViews>
  <sheetFormatPr defaultColWidth="12.5703125" defaultRowHeight="15.75" customHeight="1"/>
  <cols>
    <col min="1" max="1" width="12.5703125" style="39"/>
    <col min="2" max="2" width="26.7109375" style="39" customWidth="1"/>
    <col min="3" max="3" width="23.5703125" style="39" customWidth="1"/>
    <col min="4" max="8" width="13.7109375" style="39" bestFit="1" customWidth="1"/>
    <col min="10" max="10" width="12.5703125" style="39"/>
    <col min="11" max="12" width="13.7109375" style="39" bestFit="1" customWidth="1"/>
    <col min="13" max="13" width="25.140625" style="39" bestFit="1" customWidth="1"/>
    <col min="14" max="16384" width="12.5703125" style="39"/>
  </cols>
  <sheetData>
    <row r="1" spans="1:18" ht="15.75" customHeight="1">
      <c r="A1" s="38" t="s">
        <v>2432</v>
      </c>
      <c r="I1" s="39"/>
    </row>
    <row r="2" spans="1:18" ht="15.75" customHeight="1">
      <c r="A2" s="38"/>
      <c r="I2" s="39"/>
    </row>
    <row r="3" spans="1:18" ht="13.5" customHeight="1">
      <c r="B3" s="39" t="s">
        <v>2261</v>
      </c>
      <c r="C3" s="39">
        <f>(COUNTIFS(集計用!$U:$U, "&lt;&gt;無回答",集計用!$U:$U, "&lt;&gt;*英語を日常的に*", 集計用!$T:$T, "*, "&amp;C$4&amp;",*" ))</f>
        <v>81</v>
      </c>
      <c r="D3" s="39">
        <f>(COUNTIFS(集計用!$U:$U, "&lt;&gt;無回答",集計用!$U:$U, "&lt;&gt;*英語を日常的に*", 集計用!$T:$T, "*, "&amp;D$4&amp;",*" ))</f>
        <v>39</v>
      </c>
      <c r="E3" s="39">
        <f>(COUNTIFS(集計用!$U:$U, "&lt;&gt;無回答",集計用!$U:$U, "&lt;&gt;*英語を日常的に*", 集計用!$T:$T, "*, "&amp;E$4&amp;",*" ))</f>
        <v>26</v>
      </c>
      <c r="F3" s="39">
        <f>(COUNTIFS(集計用!$U:$U, "&lt;&gt;無回答",集計用!$U:$U, "&lt;&gt;*英語を日常的に*", 集計用!$T:$T, "*, "&amp;F$4&amp;",*" ))</f>
        <v>20</v>
      </c>
      <c r="G3" s="39">
        <f>(COUNTIFS(集計用!$U:$U, "&lt;&gt;無回答",集計用!$U:$U, "&lt;&gt;*英語を日常的に*", 集計用!$T:$T, "*, "&amp;G$4&amp;",*" ))</f>
        <v>18</v>
      </c>
      <c r="H3" s="39">
        <f>(COUNTIFS(集計用!$U:$U, "&lt;&gt;無回答",集計用!$U:$U, "&lt;&gt;*英語を日常的に*", 集計用!$T:$T, "*, "&amp;H$4&amp;",*" ))</f>
        <v>18</v>
      </c>
      <c r="I3" s="39">
        <f>(COUNTIFS(集計用!$U:$U, "&lt;&gt;無回答",集計用!$U:$U, "&lt;&gt;*英語を日常的に*", 集計用!$T:$T, "*, "&amp;I$4&amp;",*" ))</f>
        <v>9</v>
      </c>
      <c r="J3" s="39">
        <f>(COUNTIFS(集計用!$U:$U, "&lt;&gt;無回答",集計用!$U:$U, "&lt;&gt;*英語を日常的に*", 集計用!$T:$T, "*, "&amp;J$4&amp;",*" ))</f>
        <v>13</v>
      </c>
      <c r="K3" s="39">
        <f>(COUNTIFS(集計用!$U:$U, "&lt;&gt;無回答",集計用!$U:$U, "&lt;&gt;*英語を日常的に*", 集計用!$T:$T, "*, "&amp;K$4&amp;",*" ))</f>
        <v>3</v>
      </c>
      <c r="L3" s="39">
        <f>(COUNTIFS(集計用!$U:$U, "&lt;&gt;無回答",集計用!$U:$U, "&lt;&gt;*英語を日常的に*", 集計用!$T:$T, "*, "&amp;L$4&amp;",*" ))</f>
        <v>1</v>
      </c>
      <c r="M3" s="39">
        <f>(COUNTIFS(集計用!$U:$U, "&lt;&gt;無回答",集計用!$U:$U, "&lt;&gt;*英語を日常的に*", 集計用!$T:$T, "*, "&amp;M$4&amp;",*" ))</f>
        <v>18</v>
      </c>
      <c r="N3" s="39">
        <f>(COUNTIFS(集計用!$U:$U, "&lt;&gt;無回答",集計用!$U:$U, "&lt;&gt;*英語を日常的に*", 集計用!$T:$T, "*, "&amp;N$4&amp;",*" ))</f>
        <v>2</v>
      </c>
      <c r="O3" s="39">
        <f>(COUNTIFS(集計用!$U:$U, "&lt;&gt;無回答",集計用!$U:$U, "&lt;&gt;*英語を日常的に*", 集計用!$T:$T, "*, "&amp;O$4&amp;",*" ))</f>
        <v>2</v>
      </c>
    </row>
    <row r="4" spans="1:18" ht="15">
      <c r="A4" s="46" t="s">
        <v>2179</v>
      </c>
      <c r="B4" s="55" t="s">
        <v>2438</v>
      </c>
      <c r="C4" s="60" t="s">
        <v>2248</v>
      </c>
      <c r="D4" s="61" t="s">
        <v>106</v>
      </c>
      <c r="E4" s="61" t="s">
        <v>107</v>
      </c>
      <c r="F4" s="61" t="s">
        <v>108</v>
      </c>
      <c r="G4" s="61" t="s">
        <v>110</v>
      </c>
      <c r="H4" s="61" t="s">
        <v>109</v>
      </c>
      <c r="I4" s="61" t="s">
        <v>112</v>
      </c>
      <c r="J4" s="61" t="s">
        <v>111</v>
      </c>
      <c r="K4" s="61" t="s">
        <v>113</v>
      </c>
      <c r="L4" s="60" t="s">
        <v>2251</v>
      </c>
      <c r="M4" s="49" t="s">
        <v>2301</v>
      </c>
      <c r="N4" s="83" t="s">
        <v>2302</v>
      </c>
      <c r="O4" s="83" t="s">
        <v>2303</v>
      </c>
      <c r="P4" s="45"/>
      <c r="Q4" s="45"/>
      <c r="R4" s="45"/>
    </row>
    <row r="5" spans="1:18" ht="14.25" customHeight="1">
      <c r="A5" s="39">
        <f>(COUNTIF(集計用!U2:U444,"&lt;&gt;*英語を日常的に*")-COUNTIF(集計用!$T:$T,"無回答 , ")-COUNTIF(集計用!$U:$U,"無回答")+COUNTIFS(集計用!$T:$T,"無回答",集計用!$U:$U,"無回答"))</f>
        <v>133</v>
      </c>
      <c r="B5" s="37" t="s">
        <v>2433</v>
      </c>
      <c r="C5" s="41">
        <f>(COUNTIFS(集計用!$U:$U, "&lt;&gt;無回答",集計用!$U:$U, "&lt;&gt;*英語を日常的に*", 集計用!$T:$T, "*, "&amp;C$4&amp;",*" ))/$A5*100</f>
        <v>60.902255639097746</v>
      </c>
      <c r="D5" s="41">
        <f>(COUNTIFS(集計用!$U:$U, "&lt;&gt;無回答",集計用!$U:$U, "&lt;&gt;*英語を日常的に*", 集計用!$T:$T, "*, "&amp;D$4&amp;",*" ))/$A5*100</f>
        <v>29.323308270676691</v>
      </c>
      <c r="E5" s="41">
        <f>(COUNTIFS(集計用!$U:$U, "&lt;&gt;無回答",集計用!$U:$U, "&lt;&gt;*英語を日常的に*", 集計用!$T:$T, "*, "&amp;E$4&amp;",*" ))/$A5*100</f>
        <v>19.548872180451127</v>
      </c>
      <c r="F5" s="41">
        <f>(COUNTIFS(集計用!$U:$U, "&lt;&gt;無回答",集計用!$U:$U, "&lt;&gt;*英語を日常的に*", 集計用!$T:$T, "*, "&amp;F$4&amp;",*" ))/$A5*100</f>
        <v>15.037593984962406</v>
      </c>
      <c r="G5" s="41">
        <f>(COUNTIFS(集計用!$U:$U, "&lt;&gt;無回答",集計用!$U:$U, "&lt;&gt;*英語を日常的に*", 集計用!$T:$T, "*, "&amp;G$4&amp;",*" ))/$A5*100</f>
        <v>13.533834586466165</v>
      </c>
      <c r="H5" s="41">
        <f>(COUNTIFS(集計用!$U:$U, "&lt;&gt;無回答",集計用!$U:$U, "&lt;&gt;*英語を日常的に*", 集計用!$T:$T, "*, "&amp;H$4&amp;",*" ))/$A5*100</f>
        <v>13.533834586466165</v>
      </c>
      <c r="I5" s="41">
        <f>(COUNTIFS(集計用!$U:$U, "&lt;&gt;無回答",集計用!$U:$U, "&lt;&gt;*英語を日常的に*", 集計用!$T:$T, "*, "&amp;I$4&amp;",*" ))/$A5*100</f>
        <v>6.7669172932330826</v>
      </c>
      <c r="J5" s="41">
        <f>(COUNTIFS(集計用!$U:$U, "&lt;&gt;無回答",集計用!$U:$U, "&lt;&gt;*英語を日常的に*", 集計用!$T:$T, "*, "&amp;J$4&amp;",*" ))/$A5*100</f>
        <v>9.7744360902255636</v>
      </c>
      <c r="K5" s="41">
        <f>(COUNTIFS(集計用!$U:$U, "&lt;&gt;無回答",集計用!$U:$U, "&lt;&gt;*英語を日常的に*", 集計用!$T:$T, "*, "&amp;K$4&amp;",*" ))/$A5*100</f>
        <v>2.2556390977443606</v>
      </c>
      <c r="L5" s="41">
        <f>(COUNTIFS(集計用!$U:$U, "&lt;&gt;無回答",集計用!$U:$U, "&lt;&gt;*英語を日常的に*", 集計用!$T:$T, "*, "&amp;L$4&amp;",*" ))/$A5*100</f>
        <v>0.75187969924812026</v>
      </c>
      <c r="M5" s="41">
        <f>(COUNTIFS(集計用!$U:$U, "&lt;&gt;無回答",集計用!$U:$U, "&lt;&gt;*英語を日常的に*", 集計用!$T:$T, "*, "&amp;M$4&amp;",*" ))/$A5*100</f>
        <v>13.533834586466165</v>
      </c>
      <c r="N5" s="41">
        <f>(COUNTIFS(集計用!$U:$U, "&lt;&gt;無回答",集計用!$U:$U, "&lt;&gt;*英語を日常的に*", 集計用!$T:$T, "*, "&amp;N$4&amp;",*" ))/$A5*100</f>
        <v>1.5037593984962405</v>
      </c>
      <c r="O5" s="41">
        <f>(COUNTIFS(集計用!$U:$U, "&lt;&gt;無回答",集計用!$U:$U, "&lt;&gt;*英語を日常的に*", 集計用!$T:$T, "*, "&amp;O$4&amp;",*" ))/$A5*100</f>
        <v>1.5037593984962405</v>
      </c>
      <c r="P5" s="56"/>
      <c r="Q5" s="56"/>
    </row>
    <row r="6" spans="1:18" ht="12.75">
      <c r="A6" s="39">
        <f>(COUNTIFS(集計用!$U:$U,"*, "&amp;$B6&amp;",*", 集計用!$U:$U,"&lt;&gt;*英語を日常的に*", 集計用!$T:$T,"&lt;&gt;無回答 , "))</f>
        <v>69</v>
      </c>
      <c r="B6" s="62" t="s">
        <v>118</v>
      </c>
      <c r="C6" s="44">
        <f>(COUNTIFS(集計用!$U:$U, "*, "&amp;$B6&amp;",*",集計用!$U:$U, "&lt;&gt;*英語を日常的に*", 集計用!$T:$T, "*, "&amp;C$4&amp;",*" ))/$A6*100</f>
        <v>60.869565217391312</v>
      </c>
      <c r="D6" s="44">
        <f>(COUNTIFS(集計用!$U:$U, "*, "&amp;$B6&amp;",*",集計用!$U:$U, "&lt;&gt;*英語を日常的に*", 集計用!$T:$T, "*, "&amp;D$4&amp;",*" ))/$A6*100</f>
        <v>28.985507246376812</v>
      </c>
      <c r="E6" s="44">
        <f>(COUNTIFS(集計用!$U:$U, "*, "&amp;$B6&amp;",*",集計用!$U:$U, "&lt;&gt;*英語を日常的に*", 集計用!$T:$T, "*, "&amp;E$4&amp;",*" ))/$A6*100</f>
        <v>18.840579710144929</v>
      </c>
      <c r="F6" s="44">
        <f>(COUNTIFS(集計用!$U:$U, "*, "&amp;$B6&amp;",*",集計用!$U:$U, "&lt;&gt;*英語を日常的に*", 集計用!$T:$T, "*, "&amp;F$4&amp;",*" ))/$A6*100</f>
        <v>11.594202898550725</v>
      </c>
      <c r="G6" s="44">
        <f>(COUNTIFS(集計用!$U:$U, "*, "&amp;$B6&amp;",*",集計用!$U:$U, "&lt;&gt;*英語を日常的に*", 集計用!$T:$T, "*, "&amp;G$4&amp;",*" ))/$A6*100</f>
        <v>15.942028985507244</v>
      </c>
      <c r="H6" s="44">
        <f>(COUNTIFS(集計用!$U:$U, "*, "&amp;$B6&amp;",*",集計用!$U:$U, "&lt;&gt;*英語を日常的に*", 集計用!$T:$T, "*, "&amp;H$4&amp;",*" ))/$A6*100</f>
        <v>14.492753623188406</v>
      </c>
      <c r="I6" s="44">
        <f>(COUNTIFS(集計用!$U:$U, "*, "&amp;$B6&amp;",*",集計用!$U:$U, "&lt;&gt;*英語を日常的に*", 集計用!$T:$T, "*, "&amp;I$4&amp;",*" ))/$A6*100</f>
        <v>8.695652173913043</v>
      </c>
      <c r="J6" s="44">
        <f>(COUNTIFS(集計用!$U:$U, "*, "&amp;$B6&amp;",*",集計用!$U:$U, "&lt;&gt;*英語を日常的に*", 集計用!$T:$T, "*, "&amp;J$4&amp;",*" ))/$A6*100</f>
        <v>11.594202898550725</v>
      </c>
      <c r="K6" s="44">
        <f>(COUNTIFS(集計用!$U:$U, "*, "&amp;$B6&amp;",*",集計用!$U:$U, "&lt;&gt;*英語を日常的に*", 集計用!$T:$T, "*, "&amp;K$4&amp;",*" ))/$A6*100</f>
        <v>2.8985507246376812</v>
      </c>
      <c r="L6" s="44">
        <f>(COUNTIFS(集計用!$U:$U, "*, "&amp;$B6&amp;",*",集計用!$U:$U, "&lt;&gt;*英語を日常的に*", 集計用!$T:$T, "*, "&amp;L$4&amp;",*" ))/$A6*100</f>
        <v>0</v>
      </c>
      <c r="M6" s="44">
        <f>(COUNTIFS(集計用!$U:$U, "*, "&amp;$B6&amp;",*",集計用!$U:$U, "&lt;&gt;*英語を日常的に*", 集計用!$T:$T, "*, "&amp;M$4&amp;",*" ))/$A6*100</f>
        <v>15.942028985507244</v>
      </c>
      <c r="N6" s="44">
        <f>(COUNTIFS(集計用!$U:$U, "*, "&amp;$B6&amp;",*",集計用!$U:$U, "&lt;&gt;*英語を日常的に*", 集計用!$T:$T, "*, "&amp;N$4&amp;",*" ))/$A6*100</f>
        <v>2.8985507246376812</v>
      </c>
      <c r="O6" s="44">
        <f>(COUNTIFS(集計用!$U:$U, "*, "&amp;$B6&amp;",*",集計用!$U:$U, "&lt;&gt;*英語を日常的に*", 集計用!$T:$T, "*, "&amp;O$4&amp;",*" ))/$A6*100</f>
        <v>1.4492753623188406</v>
      </c>
      <c r="P6" s="56"/>
      <c r="Q6" s="56"/>
    </row>
    <row r="7" spans="1:18" ht="15.75" customHeight="1">
      <c r="A7" s="39">
        <f>(COUNTIFS(集計用!$U:$U,"*, "&amp;$B7&amp;",*", 集計用!$U:$U,"&lt;&gt;*英語を日常的に*", 集計用!$T:$T,"&lt;&gt;無回答 , "))</f>
        <v>54</v>
      </c>
      <c r="B7" s="62" t="s">
        <v>119</v>
      </c>
      <c r="C7" s="44">
        <f>(COUNTIFS(集計用!$U:$U, "*, "&amp;$B7&amp;",*",集計用!$U:$U, "&lt;&gt;*英語を日常的に*", 集計用!$T:$T, "*, "&amp;C$4&amp;",*" ))/$A7*100</f>
        <v>55.555555555555557</v>
      </c>
      <c r="D7" s="44">
        <f>(COUNTIFS(集計用!$U:$U, "*, "&amp;$B7&amp;",*",集計用!$U:$U, "&lt;&gt;*英語を日常的に*", 集計用!$T:$T, "*, "&amp;D$4&amp;",*" ))/$A7*100</f>
        <v>24.074074074074073</v>
      </c>
      <c r="E7" s="44">
        <f>(COUNTIFS(集計用!$U:$U, "*, "&amp;$B7&amp;",*",集計用!$U:$U, "&lt;&gt;*英語を日常的に*", 集計用!$T:$T, "*, "&amp;E$4&amp;",*" ))/$A7*100</f>
        <v>14.814814814814813</v>
      </c>
      <c r="F7" s="44">
        <f>(COUNTIFS(集計用!$U:$U, "*, "&amp;$B7&amp;",*",集計用!$U:$U, "&lt;&gt;*英語を日常的に*", 集計用!$T:$T, "*, "&amp;F$4&amp;",*" ))/$A7*100</f>
        <v>16.666666666666664</v>
      </c>
      <c r="G7" s="44">
        <f>(COUNTIFS(集計用!$U:$U, "*, "&amp;$B7&amp;",*",集計用!$U:$U, "&lt;&gt;*英語を日常的に*", 集計用!$T:$T, "*, "&amp;G$4&amp;",*" ))/$A7*100</f>
        <v>14.814814814814813</v>
      </c>
      <c r="H7" s="44">
        <f>(COUNTIFS(集計用!$U:$U, "*, "&amp;$B7&amp;",*",集計用!$U:$U, "&lt;&gt;*英語を日常的に*", 集計用!$T:$T, "*, "&amp;H$4&amp;",*" ))/$A7*100</f>
        <v>11.111111111111111</v>
      </c>
      <c r="I7" s="44">
        <f>(COUNTIFS(集計用!$U:$U, "*, "&amp;$B7&amp;",*",集計用!$U:$U, "&lt;&gt;*英語を日常的に*", 集計用!$T:$T, "*, "&amp;I$4&amp;",*" ))/$A7*100</f>
        <v>7.4074074074074066</v>
      </c>
      <c r="J7" s="44">
        <f>(COUNTIFS(集計用!$U:$U, "*, "&amp;$B7&amp;",*",集計用!$U:$U, "&lt;&gt;*英語を日常的に*", 集計用!$T:$T, "*, "&amp;J$4&amp;",*" ))/$A7*100</f>
        <v>12.962962962962962</v>
      </c>
      <c r="K7" s="44">
        <f>(COUNTIFS(集計用!$U:$U, "*, "&amp;$B7&amp;",*",集計用!$U:$U, "&lt;&gt;*英語を日常的に*", 集計用!$T:$T, "*, "&amp;K$4&amp;",*" ))/$A7*100</f>
        <v>0</v>
      </c>
      <c r="L7" s="44">
        <f>(COUNTIFS(集計用!$U:$U, "*, "&amp;$B7&amp;",*",集計用!$U:$U, "&lt;&gt;*英語を日常的に*", 集計用!$T:$T, "*, "&amp;L$4&amp;",*" ))/$A7*100</f>
        <v>0</v>
      </c>
      <c r="M7" s="44">
        <f>(COUNTIFS(集計用!$U:$U, "*, "&amp;$B7&amp;",*",集計用!$U:$U, "&lt;&gt;*英語を日常的に*", 集計用!$T:$T, "*, "&amp;M$4&amp;",*" ))/$A7*100</f>
        <v>12.962962962962962</v>
      </c>
      <c r="N7" s="44">
        <f>(COUNTIFS(集計用!$U:$U, "*, "&amp;$B7&amp;",*",集計用!$U:$U, "&lt;&gt;*英語を日常的に*", 集計用!$T:$T, "*, "&amp;N$4&amp;",*" ))/$A7*100</f>
        <v>1.8518518518518516</v>
      </c>
      <c r="O7" s="44">
        <f>(COUNTIFS(集計用!$U:$U, "*, "&amp;$B7&amp;",*",集計用!$U:$U, "&lt;&gt;*英語を日常的に*", 集計用!$T:$T, "*, "&amp;O$4&amp;",*" ))/$A7*100</f>
        <v>1.8518518518518516</v>
      </c>
      <c r="P7" s="56"/>
      <c r="Q7" s="56"/>
    </row>
    <row r="8" spans="1:18" ht="15.75" customHeight="1">
      <c r="A8" s="39">
        <f>(COUNTIFS(集計用!$U:$U,"*, "&amp;$B8&amp;",*", 集計用!$U:$U,"&lt;&gt;*英語を日常的に*", 集計用!$T:$T,"&lt;&gt;無回答 , "))</f>
        <v>35</v>
      </c>
      <c r="B8" s="62" t="s">
        <v>120</v>
      </c>
      <c r="C8" s="44">
        <f>(COUNTIFS(集計用!$U:$U, "*, "&amp;$B8&amp;",*",集計用!$U:$U, "&lt;&gt;*英語を日常的に*", 集計用!$T:$T, "*, "&amp;C$4&amp;",*" ))/$A8*100</f>
        <v>54.285714285714285</v>
      </c>
      <c r="D8" s="44">
        <f>(COUNTIFS(集計用!$U:$U, "*, "&amp;$B8&amp;",*",集計用!$U:$U, "&lt;&gt;*英語を日常的に*", 集計用!$T:$T, "*, "&amp;D$4&amp;",*" ))/$A8*100</f>
        <v>28.571428571428569</v>
      </c>
      <c r="E8" s="44">
        <f>(COUNTIFS(集計用!$U:$U, "*, "&amp;$B8&amp;",*",集計用!$U:$U, "&lt;&gt;*英語を日常的に*", 集計用!$T:$T, "*, "&amp;E$4&amp;",*" ))/$A8*100</f>
        <v>14.285714285714285</v>
      </c>
      <c r="F8" s="44">
        <f>(COUNTIFS(集計用!$U:$U, "*, "&amp;$B8&amp;",*",集計用!$U:$U, "&lt;&gt;*英語を日常的に*", 集計用!$T:$T, "*, "&amp;F$4&amp;",*" ))/$A8*100</f>
        <v>25.714285714285712</v>
      </c>
      <c r="G8" s="44">
        <f>(COUNTIFS(集計用!$U:$U, "*, "&amp;$B8&amp;",*",集計用!$U:$U, "&lt;&gt;*英語を日常的に*", 集計用!$T:$T, "*, "&amp;G$4&amp;",*" ))/$A8*100</f>
        <v>0</v>
      </c>
      <c r="H8" s="44">
        <f>(COUNTIFS(集計用!$U:$U, "*, "&amp;$B8&amp;",*",集計用!$U:$U, "&lt;&gt;*英語を日常的に*", 集計用!$T:$T, "*, "&amp;H$4&amp;",*" ))/$A8*100</f>
        <v>20</v>
      </c>
      <c r="I8" s="44">
        <f>(COUNTIFS(集計用!$U:$U, "*, "&amp;$B8&amp;",*",集計用!$U:$U, "&lt;&gt;*英語を日常的に*", 集計用!$T:$T, "*, "&amp;I$4&amp;",*" ))/$A8*100</f>
        <v>2.8571428571428572</v>
      </c>
      <c r="J8" s="44">
        <f>(COUNTIFS(集計用!$U:$U, "*, "&amp;$B8&amp;",*",集計用!$U:$U, "&lt;&gt;*英語を日常的に*", 集計用!$T:$T, "*, "&amp;J$4&amp;",*" ))/$A8*100</f>
        <v>2.8571428571428572</v>
      </c>
      <c r="K8" s="44">
        <f>(COUNTIFS(集計用!$U:$U, "*, "&amp;$B8&amp;",*",集計用!$U:$U, "&lt;&gt;*英語を日常的に*", 集計用!$T:$T, "*, "&amp;K$4&amp;",*" ))/$A8*100</f>
        <v>0</v>
      </c>
      <c r="L8" s="44">
        <f>(COUNTIFS(集計用!$U:$U, "*, "&amp;$B8&amp;",*",集計用!$U:$U, "&lt;&gt;*英語を日常的に*", 集計用!$T:$T, "*, "&amp;L$4&amp;",*" ))/$A8*100</f>
        <v>2.8571428571428572</v>
      </c>
      <c r="M8" s="44">
        <f>(COUNTIFS(集計用!$U:$U, "*, "&amp;$B8&amp;",*",集計用!$U:$U, "&lt;&gt;*英語を日常的に*", 集計用!$T:$T, "*, "&amp;M$4&amp;",*" ))/$A8*100</f>
        <v>11.428571428571429</v>
      </c>
      <c r="N8" s="44">
        <f>(COUNTIFS(集計用!$U:$U, "*, "&amp;$B8&amp;",*",集計用!$U:$U, "&lt;&gt;*英語を日常的に*", 集計用!$T:$T, "*, "&amp;N$4&amp;",*" ))/$A8*100</f>
        <v>0</v>
      </c>
      <c r="O8" s="44">
        <f>(COUNTIFS(集計用!$U:$U, "*, "&amp;$B8&amp;",*",集計用!$U:$U, "&lt;&gt;*英語を日常的に*", 集計用!$T:$T, "*, "&amp;O$4&amp;",*" ))/$A8*100</f>
        <v>2.8571428571428572</v>
      </c>
      <c r="P8" s="56"/>
      <c r="Q8" s="56"/>
    </row>
    <row r="9" spans="1:18" ht="15.75" customHeight="1">
      <c r="A9" s="39">
        <f>(COUNTIFS(集計用!$U:$U,"*, "&amp;$B9&amp;",*", 集計用!$U:$U,"&lt;&gt;*英語を日常的に*", 集計用!$T:$T,"&lt;&gt;無回答 , "))</f>
        <v>18</v>
      </c>
      <c r="B9" s="62" t="s">
        <v>121</v>
      </c>
      <c r="C9" s="44">
        <f>(COUNTIFS(集計用!$U:$U, "*, "&amp;$B9&amp;",*",集計用!$U:$U, "&lt;&gt;*英語を日常的に*", 集計用!$T:$T, "*, "&amp;C$4&amp;",*" ))/$A9*100</f>
        <v>72.222222222222214</v>
      </c>
      <c r="D9" s="44">
        <f>(COUNTIFS(集計用!$U:$U, "*, "&amp;$B9&amp;",*",集計用!$U:$U, "&lt;&gt;*英語を日常的に*", 集計用!$T:$T, "*, "&amp;D$4&amp;",*" ))/$A9*100</f>
        <v>22.222222222222221</v>
      </c>
      <c r="E9" s="44">
        <f>(COUNTIFS(集計用!$U:$U, "*, "&amp;$B9&amp;",*",集計用!$U:$U, "&lt;&gt;*英語を日常的に*", 集計用!$T:$T, "*, "&amp;E$4&amp;",*" ))/$A9*100</f>
        <v>33.333333333333329</v>
      </c>
      <c r="F9" s="44">
        <f>(COUNTIFS(集計用!$U:$U, "*, "&amp;$B9&amp;",*",集計用!$U:$U, "&lt;&gt;*英語を日常的に*", 集計用!$T:$T, "*, "&amp;F$4&amp;",*" ))/$A9*100</f>
        <v>16.666666666666664</v>
      </c>
      <c r="G9" s="44">
        <f>(COUNTIFS(集計用!$U:$U, "*, "&amp;$B9&amp;",*",集計用!$U:$U, "&lt;&gt;*英語を日常的に*", 集計用!$T:$T, "*, "&amp;G$4&amp;",*" ))/$A9*100</f>
        <v>5.5555555555555554</v>
      </c>
      <c r="H9" s="44">
        <f>(COUNTIFS(集計用!$U:$U, "*, "&amp;$B9&amp;",*",集計用!$U:$U, "&lt;&gt;*英語を日常的に*", 集計用!$T:$T, "*, "&amp;H$4&amp;",*" ))/$A9*100</f>
        <v>11.111111111111111</v>
      </c>
      <c r="I9" s="44">
        <f>(COUNTIFS(集計用!$U:$U, "*, "&amp;$B9&amp;",*",集計用!$U:$U, "&lt;&gt;*英語を日常的に*", 集計用!$T:$T, "*, "&amp;I$4&amp;",*" ))/$A9*100</f>
        <v>11.111111111111111</v>
      </c>
      <c r="J9" s="44">
        <f>(COUNTIFS(集計用!$U:$U, "*, "&amp;$B9&amp;",*",集計用!$U:$U, "&lt;&gt;*英語を日常的に*", 集計用!$T:$T, "*, "&amp;J$4&amp;",*" ))/$A9*100</f>
        <v>11.111111111111111</v>
      </c>
      <c r="K9" s="44">
        <f>(COUNTIFS(集計用!$U:$U, "*, "&amp;$B9&amp;",*",集計用!$U:$U, "&lt;&gt;*英語を日常的に*", 集計用!$T:$T, "*, "&amp;K$4&amp;",*" ))/$A9*100</f>
        <v>5.5555555555555554</v>
      </c>
      <c r="L9" s="44">
        <f>(COUNTIFS(集計用!$U:$U, "*, "&amp;$B9&amp;",*",集計用!$U:$U, "&lt;&gt;*英語を日常的に*", 集計用!$T:$T, "*, "&amp;L$4&amp;",*" ))/$A9*100</f>
        <v>0</v>
      </c>
      <c r="M9" s="44">
        <f>(COUNTIFS(集計用!$U:$U, "*, "&amp;$B9&amp;",*",集計用!$U:$U, "&lt;&gt;*英語を日常的に*", 集計用!$T:$T, "*, "&amp;M$4&amp;",*" ))/$A9*100</f>
        <v>5.5555555555555554</v>
      </c>
      <c r="N9" s="44">
        <f>(COUNTIFS(集計用!$U:$U, "*, "&amp;$B9&amp;",*",集計用!$U:$U, "&lt;&gt;*英語を日常的に*", 集計用!$T:$T, "*, "&amp;N$4&amp;",*" ))/$A9*100</f>
        <v>0</v>
      </c>
      <c r="O9" s="44">
        <f>(COUNTIFS(集計用!$U:$U, "*, "&amp;$B9&amp;",*",集計用!$U:$U, "&lt;&gt;*英語を日常的に*", 集計用!$T:$T, "*, "&amp;O$4&amp;",*" ))/$A9*100</f>
        <v>5.5555555555555554</v>
      </c>
      <c r="P9" s="56"/>
      <c r="Q9" s="56"/>
    </row>
    <row r="10" spans="1:18" ht="15.75" customHeight="1">
      <c r="A10" s="39">
        <f>(COUNTIFS(集計用!$U:$U,"*, "&amp;$B10&amp;",*", 集計用!$U:$U,"&lt;&gt;*英語を日常的に*", 集計用!$T:$T,"&lt;&gt;無回答 , "))</f>
        <v>21</v>
      </c>
      <c r="B10" s="62" t="s">
        <v>122</v>
      </c>
      <c r="C10" s="44">
        <f>(COUNTIFS(集計用!$U:$U, "*, "&amp;$B10&amp;",*",集計用!$U:$U, "&lt;&gt;*英語を日常的に*", 集計用!$T:$T, "*, "&amp;C$4&amp;",*" ))/$A10*100</f>
        <v>57.142857142857139</v>
      </c>
      <c r="D10" s="44">
        <f>(COUNTIFS(集計用!$U:$U, "*, "&amp;$B10&amp;",*",集計用!$U:$U, "&lt;&gt;*英語を日常的に*", 集計用!$T:$T, "*, "&amp;D$4&amp;",*" ))/$A10*100</f>
        <v>14.285714285714285</v>
      </c>
      <c r="E10" s="44">
        <f>(COUNTIFS(集計用!$U:$U, "*, "&amp;$B10&amp;",*",集計用!$U:$U, "&lt;&gt;*英語を日常的に*", 集計用!$T:$T, "*, "&amp;E$4&amp;",*" ))/$A10*100</f>
        <v>42.857142857142854</v>
      </c>
      <c r="F10" s="44">
        <f>(COUNTIFS(集計用!$U:$U, "*, "&amp;$B10&amp;",*",集計用!$U:$U, "&lt;&gt;*英語を日常的に*", 集計用!$T:$T, "*, "&amp;F$4&amp;",*" ))/$A10*100</f>
        <v>9.5238095238095237</v>
      </c>
      <c r="G10" s="44">
        <f>(COUNTIFS(集計用!$U:$U, "*, "&amp;$B10&amp;",*",集計用!$U:$U, "&lt;&gt;*英語を日常的に*", 集計用!$T:$T, "*, "&amp;G$4&amp;",*" ))/$A10*100</f>
        <v>14.285714285714285</v>
      </c>
      <c r="H10" s="44">
        <f>(COUNTIFS(集計用!$U:$U, "*, "&amp;$B10&amp;",*",集計用!$U:$U, "&lt;&gt;*英語を日常的に*", 集計用!$T:$T, "*, "&amp;H$4&amp;",*" ))/$A10*100</f>
        <v>4.7619047619047619</v>
      </c>
      <c r="I10" s="44">
        <f>(COUNTIFS(集計用!$U:$U, "*, "&amp;$B10&amp;",*",集計用!$U:$U, "&lt;&gt;*英語を日常的に*", 集計用!$T:$T, "*, "&amp;I$4&amp;",*" ))/$A10*100</f>
        <v>9.5238095238095237</v>
      </c>
      <c r="J10" s="44">
        <f>(COUNTIFS(集計用!$U:$U, "*, "&amp;$B10&amp;",*",集計用!$U:$U, "&lt;&gt;*英語を日常的に*", 集計用!$T:$T, "*, "&amp;J$4&amp;",*" ))/$A10*100</f>
        <v>9.5238095238095237</v>
      </c>
      <c r="K10" s="44">
        <f>(COUNTIFS(集計用!$U:$U, "*, "&amp;$B10&amp;",*",集計用!$U:$U, "&lt;&gt;*英語を日常的に*", 集計用!$T:$T, "*, "&amp;K$4&amp;",*" ))/$A10*100</f>
        <v>0</v>
      </c>
      <c r="L10" s="44">
        <f>(COUNTIFS(集計用!$U:$U, "*, "&amp;$B10&amp;",*",集計用!$U:$U, "&lt;&gt;*英語を日常的に*", 集計用!$T:$T, "*, "&amp;L$4&amp;",*" ))/$A10*100</f>
        <v>0</v>
      </c>
      <c r="M10" s="44">
        <f>(COUNTIFS(集計用!$U:$U, "*, "&amp;$B10&amp;",*",集計用!$U:$U, "&lt;&gt;*英語を日常的に*", 集計用!$T:$T, "*, "&amp;M$4&amp;",*" ))/$A10*100</f>
        <v>0</v>
      </c>
      <c r="N10" s="44">
        <f>(COUNTIFS(集計用!$U:$U, "*, "&amp;$B10&amp;",*",集計用!$U:$U, "&lt;&gt;*英語を日常的に*", 集計用!$T:$T, "*, "&amp;N$4&amp;",*" ))/$A10*100</f>
        <v>0</v>
      </c>
      <c r="O10" s="44">
        <f>(COUNTIFS(集計用!$U:$U, "*, "&amp;$B10&amp;",*",集計用!$U:$U, "&lt;&gt;*英語を日常的に*", 集計用!$T:$T, "*, "&amp;O$4&amp;",*" ))/$A10*100</f>
        <v>0</v>
      </c>
      <c r="P10" s="56"/>
      <c r="Q10" s="56"/>
    </row>
    <row r="11" spans="1:18" ht="15.75" customHeight="1">
      <c r="A11" s="39">
        <f>(COUNTIFS(集計用!$U:$U,"*, "&amp;$B11&amp;",*", 集計用!$U:$U,"&lt;&gt;*英語を日常的に*", 集計用!$T:$T,"&lt;&gt;無回答 , "))</f>
        <v>14</v>
      </c>
      <c r="B11" s="62" t="s">
        <v>123</v>
      </c>
      <c r="C11" s="44">
        <f>(COUNTIFS(集計用!$U:$U, "*, "&amp;$B11&amp;",*",集計用!$U:$U, "&lt;&gt;*英語を日常的に*", 集計用!$T:$T, "*, "&amp;C$4&amp;",*" ))/$A11*100</f>
        <v>14.285714285714285</v>
      </c>
      <c r="D11" s="44">
        <f>(COUNTIFS(集計用!$U:$U, "*, "&amp;$B11&amp;",*",集計用!$U:$U, "&lt;&gt;*英語を日常的に*", 集計用!$T:$T, "*, "&amp;D$4&amp;",*" ))/$A11*100</f>
        <v>42.857142857142854</v>
      </c>
      <c r="E11" s="44">
        <f>(COUNTIFS(集計用!$U:$U, "*, "&amp;$B11&amp;",*",集計用!$U:$U, "&lt;&gt;*英語を日常的に*", 集計用!$T:$T, "*, "&amp;E$4&amp;",*" ))/$A11*100</f>
        <v>14.285714285714285</v>
      </c>
      <c r="F11" s="44">
        <f>(COUNTIFS(集計用!$U:$U, "*, "&amp;$B11&amp;",*",集計用!$U:$U, "&lt;&gt;*英語を日常的に*", 集計用!$T:$T, "*, "&amp;F$4&amp;",*" ))/$A11*100</f>
        <v>7.1428571428571423</v>
      </c>
      <c r="G11" s="44">
        <f>(COUNTIFS(集計用!$U:$U, "*, "&amp;$B11&amp;",*",集計用!$U:$U, "&lt;&gt;*英語を日常的に*", 集計用!$T:$T, "*, "&amp;G$4&amp;",*" ))/$A11*100</f>
        <v>21.428571428571427</v>
      </c>
      <c r="H11" s="44">
        <f>(COUNTIFS(集計用!$U:$U, "*, "&amp;$B11&amp;",*",集計用!$U:$U, "&lt;&gt;*英語を日常的に*", 集計用!$T:$T, "*, "&amp;H$4&amp;",*" ))/$A11*100</f>
        <v>7.1428571428571423</v>
      </c>
      <c r="I11" s="44">
        <f>(COUNTIFS(集計用!$U:$U, "*, "&amp;$B11&amp;",*",集計用!$U:$U, "&lt;&gt;*英語を日常的に*", 集計用!$T:$T, "*, "&amp;I$4&amp;",*" ))/$A11*100</f>
        <v>0</v>
      </c>
      <c r="J11" s="44">
        <f>(COUNTIFS(集計用!$U:$U, "*, "&amp;$B11&amp;",*",集計用!$U:$U, "&lt;&gt;*英語を日常的に*", 集計用!$T:$T, "*, "&amp;J$4&amp;",*" ))/$A11*100</f>
        <v>0</v>
      </c>
      <c r="K11" s="44">
        <f>(COUNTIFS(集計用!$U:$U, "*, "&amp;$B11&amp;",*",集計用!$U:$U, "&lt;&gt;*英語を日常的に*", 集計用!$T:$T, "*, "&amp;K$4&amp;",*" ))/$A11*100</f>
        <v>0</v>
      </c>
      <c r="L11" s="44">
        <f>(COUNTIFS(集計用!$U:$U, "*, "&amp;$B11&amp;",*",集計用!$U:$U, "&lt;&gt;*英語を日常的に*", 集計用!$T:$T, "*, "&amp;L$4&amp;",*" ))/$A11*100</f>
        <v>0</v>
      </c>
      <c r="M11" s="44">
        <f>(COUNTIFS(集計用!$U:$U, "*, "&amp;$B11&amp;",*",集計用!$U:$U, "&lt;&gt;*英語を日常的に*", 集計用!$T:$T, "*, "&amp;M$4&amp;",*" ))/$A11*100</f>
        <v>21.428571428571427</v>
      </c>
      <c r="N11" s="44">
        <f>(COUNTIFS(集計用!$U:$U, "*, "&amp;$B11&amp;",*",集計用!$U:$U, "&lt;&gt;*英語を日常的に*", 集計用!$T:$T, "*, "&amp;N$4&amp;",*" ))/$A11*100</f>
        <v>0</v>
      </c>
      <c r="O11" s="44">
        <f>(COUNTIFS(集計用!$U:$U, "*, "&amp;$B11&amp;",*",集計用!$U:$U, "&lt;&gt;*英語を日常的に*", 集計用!$T:$T, "*, "&amp;O$4&amp;",*" ))/$A11*100</f>
        <v>0</v>
      </c>
      <c r="P11" s="56"/>
      <c r="Q11" s="56"/>
    </row>
    <row r="12" spans="1:18" ht="15.75" customHeight="1">
      <c r="A12" s="39">
        <f>(COUNTIFS(集計用!$U:$U,"*, "&amp;$B12&amp;",*", 集計用!$U:$U,"&lt;&gt;*英語を日常的に*", 集計用!$T:$T,"&lt;&gt;無回答 , "))</f>
        <v>11</v>
      </c>
      <c r="B12" s="62" t="s">
        <v>124</v>
      </c>
      <c r="C12" s="44">
        <f>(COUNTIFS(集計用!$U:$U, "*, "&amp;$B12&amp;",*",集計用!$U:$U, "&lt;&gt;*英語を日常的に*", 集計用!$T:$T, "*, "&amp;C$4&amp;",*" ))/$A12*100</f>
        <v>63.636363636363633</v>
      </c>
      <c r="D12" s="44">
        <f>(COUNTIFS(集計用!$U:$U, "*, "&amp;$B12&amp;",*",集計用!$U:$U, "&lt;&gt;*英語を日常的に*", 集計用!$T:$T, "*, "&amp;D$4&amp;",*" ))/$A12*100</f>
        <v>18.181818181818183</v>
      </c>
      <c r="E12" s="44">
        <f>(COUNTIFS(集計用!$U:$U, "*, "&amp;$B12&amp;",*",集計用!$U:$U, "&lt;&gt;*英語を日常的に*", 集計用!$T:$T, "*, "&amp;E$4&amp;",*" ))/$A12*100</f>
        <v>18.181818181818183</v>
      </c>
      <c r="F12" s="44">
        <f>(COUNTIFS(集計用!$U:$U, "*, "&amp;$B12&amp;",*",集計用!$U:$U, "&lt;&gt;*英語を日常的に*", 集計用!$T:$T, "*, "&amp;F$4&amp;",*" ))/$A12*100</f>
        <v>9.0909090909090917</v>
      </c>
      <c r="G12" s="44">
        <f>(COUNTIFS(集計用!$U:$U, "*, "&amp;$B12&amp;",*",集計用!$U:$U, "&lt;&gt;*英語を日常的に*", 集計用!$T:$T, "*, "&amp;G$4&amp;",*" ))/$A12*100</f>
        <v>0</v>
      </c>
      <c r="H12" s="44">
        <f>(COUNTIFS(集計用!$U:$U, "*, "&amp;$B12&amp;",*",集計用!$U:$U, "&lt;&gt;*英語を日常的に*", 集計用!$T:$T, "*, "&amp;H$4&amp;",*" ))/$A12*100</f>
        <v>18.181818181818183</v>
      </c>
      <c r="I12" s="44">
        <f>(COUNTIFS(集計用!$U:$U, "*, "&amp;$B12&amp;",*",集計用!$U:$U, "&lt;&gt;*英語を日常的に*", 集計用!$T:$T, "*, "&amp;I$4&amp;",*" ))/$A12*100</f>
        <v>0</v>
      </c>
      <c r="J12" s="44">
        <f>(COUNTIFS(集計用!$U:$U, "*, "&amp;$B12&amp;",*",集計用!$U:$U, "&lt;&gt;*英語を日常的に*", 集計用!$T:$T, "*, "&amp;J$4&amp;",*" ))/$A12*100</f>
        <v>0</v>
      </c>
      <c r="K12" s="44">
        <f>(COUNTIFS(集計用!$U:$U, "*, "&amp;$B12&amp;",*",集計用!$U:$U, "&lt;&gt;*英語を日常的に*", 集計用!$T:$T, "*, "&amp;K$4&amp;",*" ))/$A12*100</f>
        <v>0</v>
      </c>
      <c r="L12" s="44">
        <f>(COUNTIFS(集計用!$U:$U, "*, "&amp;$B12&amp;",*",集計用!$U:$U, "&lt;&gt;*英語を日常的に*", 集計用!$T:$T, "*, "&amp;L$4&amp;",*" ))/$A12*100</f>
        <v>0</v>
      </c>
      <c r="M12" s="44">
        <f>(COUNTIFS(集計用!$U:$U, "*, "&amp;$B12&amp;",*",集計用!$U:$U, "&lt;&gt;*英語を日常的に*", 集計用!$T:$T, "*, "&amp;M$4&amp;",*" ))/$A12*100</f>
        <v>27.27272727272727</v>
      </c>
      <c r="N12" s="44">
        <f>(COUNTIFS(集計用!$U:$U, "*, "&amp;$B12&amp;",*",集計用!$U:$U, "&lt;&gt;*英語を日常的に*", 集計用!$T:$T, "*, "&amp;N$4&amp;",*" ))/$A12*100</f>
        <v>0</v>
      </c>
      <c r="O12" s="44">
        <f>(COUNTIFS(集計用!$U:$U, "*, "&amp;$B12&amp;",*",集計用!$U:$U, "&lt;&gt;*英語を日常的に*", 集計用!$T:$T, "*, "&amp;O$4&amp;",*" ))/$A12*100</f>
        <v>0</v>
      </c>
      <c r="P12" s="56"/>
      <c r="Q12" s="56"/>
    </row>
    <row r="13" spans="1:18" ht="15.75" customHeight="1">
      <c r="A13" s="39">
        <f>(COUNTIFS(集計用!$U:$U,"*, "&amp;$B13&amp;",*", 集計用!$U:$U,"&lt;&gt;*英語を日常的に*", 集計用!$T:$T,"&lt;&gt;無回答 , "))</f>
        <v>7</v>
      </c>
      <c r="B13" s="62" t="s">
        <v>125</v>
      </c>
      <c r="C13" s="44">
        <f>(COUNTIFS(集計用!$U:$U, "*, "&amp;$B13&amp;",*",集計用!$U:$U, "&lt;&gt;*英語を日常的に*", 集計用!$T:$T, "*, "&amp;C$4&amp;",*" ))/$A13*100</f>
        <v>57.142857142857139</v>
      </c>
      <c r="D13" s="44">
        <f>(COUNTIFS(集計用!$U:$U, "*, "&amp;$B13&amp;",*",集計用!$U:$U, "&lt;&gt;*英語を日常的に*", 集計用!$T:$T, "*, "&amp;D$4&amp;",*" ))/$A13*100</f>
        <v>28.571428571428569</v>
      </c>
      <c r="E13" s="44">
        <f>(COUNTIFS(集計用!$U:$U, "*, "&amp;$B13&amp;",*",集計用!$U:$U, "&lt;&gt;*英語を日常的に*", 集計用!$T:$T, "*, "&amp;E$4&amp;",*" ))/$A13*100</f>
        <v>0</v>
      </c>
      <c r="F13" s="44">
        <f>(COUNTIFS(集計用!$U:$U, "*, "&amp;$B13&amp;",*",集計用!$U:$U, "&lt;&gt;*英語を日常的に*", 集計用!$T:$T, "*, "&amp;F$4&amp;",*" ))/$A13*100</f>
        <v>42.857142857142854</v>
      </c>
      <c r="G13" s="44">
        <f>(COUNTIFS(集計用!$U:$U, "*, "&amp;$B13&amp;",*",集計用!$U:$U, "&lt;&gt;*英語を日常的に*", 集計用!$T:$T, "*, "&amp;G$4&amp;",*" ))/$A13*100</f>
        <v>14.285714285714285</v>
      </c>
      <c r="H13" s="44">
        <f>(COUNTIFS(集計用!$U:$U, "*, "&amp;$B13&amp;",*",集計用!$U:$U, "&lt;&gt;*英語を日常的に*", 集計用!$T:$T, "*, "&amp;H$4&amp;",*" ))/$A13*100</f>
        <v>28.571428571428569</v>
      </c>
      <c r="I13" s="44">
        <f>(COUNTIFS(集計用!$U:$U, "*, "&amp;$B13&amp;",*",集計用!$U:$U, "&lt;&gt;*英語を日常的に*", 集計用!$T:$T, "*, "&amp;I$4&amp;",*" ))/$A13*100</f>
        <v>14.285714285714285</v>
      </c>
      <c r="J13" s="44">
        <f>(COUNTIFS(集計用!$U:$U, "*, "&amp;$B13&amp;",*",集計用!$U:$U, "&lt;&gt;*英語を日常的に*", 集計用!$T:$T, "*, "&amp;J$4&amp;",*" ))/$A13*100</f>
        <v>57.142857142857139</v>
      </c>
      <c r="K13" s="44">
        <f>(COUNTIFS(集計用!$U:$U, "*, "&amp;$B13&amp;",*",集計用!$U:$U, "&lt;&gt;*英語を日常的に*", 集計用!$T:$T, "*, "&amp;K$4&amp;",*" ))/$A13*100</f>
        <v>28.571428571428569</v>
      </c>
      <c r="L13" s="44">
        <f>(COUNTIFS(集計用!$U:$U, "*, "&amp;$B13&amp;",*",集計用!$U:$U, "&lt;&gt;*英語を日常的に*", 集計用!$T:$T, "*, "&amp;L$4&amp;",*" ))/$A13*100</f>
        <v>0</v>
      </c>
      <c r="M13" s="44">
        <f>(COUNTIFS(集計用!$U:$U, "*, "&amp;$B13&amp;",*",集計用!$U:$U, "&lt;&gt;*英語を日常的に*", 集計用!$T:$T, "*, "&amp;M$4&amp;",*" ))/$A13*100</f>
        <v>14.285714285714285</v>
      </c>
      <c r="N13" s="44">
        <f>(COUNTIFS(集計用!$U:$U, "*, "&amp;$B13&amp;",*",集計用!$U:$U, "&lt;&gt;*英語を日常的に*", 集計用!$T:$T, "*, "&amp;N$4&amp;",*" ))/$A13*100</f>
        <v>0</v>
      </c>
      <c r="O13" s="44">
        <f>(COUNTIFS(集計用!$U:$U, "*, "&amp;$B13&amp;",*",集計用!$U:$U, "&lt;&gt;*英語を日常的に*", 集計用!$T:$T, "*, "&amp;O$4&amp;",*" ))/$A13*100</f>
        <v>0</v>
      </c>
      <c r="P13" s="56"/>
      <c r="Q13" s="56"/>
    </row>
    <row r="14" spans="1:18" ht="15.75" customHeight="1">
      <c r="A14" s="39">
        <f>(COUNTIFS(集計用!$U:$U,"*, "&amp;$B14&amp;",*", 集計用!$U:$U,"&lt;&gt;*英語を日常的に*", 集計用!$T:$T,"&lt;&gt;無回答 , "))</f>
        <v>2</v>
      </c>
      <c r="B14" s="62" t="s">
        <v>126</v>
      </c>
      <c r="C14" s="44">
        <f>(COUNTIFS(集計用!$U:$U, "*, "&amp;$B14&amp;",*",集計用!$U:$U, "&lt;&gt;*英語を日常的に*", 集計用!$T:$T, "*, "&amp;C$4&amp;",*" ))/$A14*100</f>
        <v>100</v>
      </c>
      <c r="D14" s="44">
        <f>(COUNTIFS(集計用!$U:$U, "*, "&amp;$B14&amp;",*",集計用!$U:$U, "&lt;&gt;*英語を日常的に*", 集計用!$T:$T, "*, "&amp;D$4&amp;",*" ))/$A14*100</f>
        <v>0</v>
      </c>
      <c r="E14" s="44">
        <f>(COUNTIFS(集計用!$U:$U, "*, "&amp;$B14&amp;",*",集計用!$U:$U, "&lt;&gt;*英語を日常的に*", 集計用!$T:$T, "*, "&amp;E$4&amp;",*" ))/$A14*100</f>
        <v>0</v>
      </c>
      <c r="F14" s="44">
        <f>(COUNTIFS(集計用!$U:$U, "*, "&amp;$B14&amp;",*",集計用!$U:$U, "&lt;&gt;*英語を日常的に*", 集計用!$T:$T, "*, "&amp;F$4&amp;",*" ))/$A14*100</f>
        <v>0</v>
      </c>
      <c r="G14" s="44">
        <f>(COUNTIFS(集計用!$U:$U, "*, "&amp;$B14&amp;",*",集計用!$U:$U, "&lt;&gt;*英語を日常的に*", 集計用!$T:$T, "*, "&amp;G$4&amp;",*" ))/$A14*100</f>
        <v>50</v>
      </c>
      <c r="H14" s="44">
        <f>(COUNTIFS(集計用!$U:$U, "*, "&amp;$B14&amp;",*",集計用!$U:$U, "&lt;&gt;*英語を日常的に*", 集計用!$T:$T, "*, "&amp;H$4&amp;",*" ))/$A14*100</f>
        <v>0</v>
      </c>
      <c r="I14" s="44">
        <f>(COUNTIFS(集計用!$U:$U, "*, "&amp;$B14&amp;",*",集計用!$U:$U, "&lt;&gt;*英語を日常的に*", 集計用!$T:$T, "*, "&amp;I$4&amp;",*" ))/$A14*100</f>
        <v>0</v>
      </c>
      <c r="J14" s="44">
        <f>(COUNTIFS(集計用!$U:$U, "*, "&amp;$B14&amp;",*",集計用!$U:$U, "&lt;&gt;*英語を日常的に*", 集計用!$T:$T, "*, "&amp;J$4&amp;",*" ))/$A14*100</f>
        <v>50</v>
      </c>
      <c r="K14" s="44">
        <f>(COUNTIFS(集計用!$U:$U, "*, "&amp;$B14&amp;",*",集計用!$U:$U, "&lt;&gt;*英語を日常的に*", 集計用!$T:$T, "*, "&amp;K$4&amp;",*" ))/$A14*100</f>
        <v>0</v>
      </c>
      <c r="L14" s="44">
        <f>(COUNTIFS(集計用!$U:$U, "*, "&amp;$B14&amp;",*",集計用!$U:$U, "&lt;&gt;*英語を日常的に*", 集計用!$T:$T, "*, "&amp;L$4&amp;",*" ))/$A14*100</f>
        <v>0</v>
      </c>
      <c r="M14" s="44">
        <f>(COUNTIFS(集計用!$U:$U, "*, "&amp;$B14&amp;",*",集計用!$U:$U, "&lt;&gt;*英語を日常的に*", 集計用!$T:$T, "*, "&amp;M$4&amp;",*" ))/$A14*100</f>
        <v>0</v>
      </c>
      <c r="N14" s="44">
        <f>(COUNTIFS(集計用!$U:$U, "*, "&amp;$B14&amp;",*",集計用!$U:$U, "&lt;&gt;*英語を日常的に*", 集計用!$T:$T, "*, "&amp;N$4&amp;",*" ))/$A14*100</f>
        <v>0</v>
      </c>
      <c r="O14" s="44">
        <f>(COUNTIFS(集計用!$U:$U, "*, "&amp;$B14&amp;",*",集計用!$U:$U, "&lt;&gt;*英語を日常的に*", 集計用!$T:$T, "*, "&amp;O$4&amp;",*" ))/$A14*100</f>
        <v>0</v>
      </c>
      <c r="P14" s="56"/>
      <c r="Q14" s="56"/>
    </row>
    <row r="15" spans="1:18" ht="15.75" customHeight="1">
      <c r="A15" s="39">
        <f>(COUNTIFS(集計用!$U:$U,"*, "&amp;$B15&amp;",*", 集計用!$U:$U,"&lt;&gt;*英語を日常的に*", 集計用!$T:$T,"&lt;&gt;無回答 , "))</f>
        <v>1</v>
      </c>
      <c r="B15" s="62" t="s">
        <v>127</v>
      </c>
      <c r="C15" s="44">
        <f>(COUNTIFS(集計用!$U:$U, "*, "&amp;$B15&amp;",*",集計用!$U:$U, "&lt;&gt;*英語を日常的に*", 集計用!$T:$T, "*, "&amp;C$4&amp;",*" ))/$A15*100</f>
        <v>100</v>
      </c>
      <c r="D15" s="44">
        <f>(COUNTIFS(集計用!$U:$U, "*, "&amp;$B15&amp;",*",集計用!$U:$U, "&lt;&gt;*英語を日常的に*", 集計用!$T:$T, "*, "&amp;D$4&amp;",*" ))/$A15*100</f>
        <v>0</v>
      </c>
      <c r="E15" s="44">
        <f>(COUNTIFS(集計用!$U:$U, "*, "&amp;$B15&amp;",*",集計用!$U:$U, "&lt;&gt;*英語を日常的に*", 集計用!$T:$T, "*, "&amp;E$4&amp;",*" ))/$A15*100</f>
        <v>0</v>
      </c>
      <c r="F15" s="44">
        <f>(COUNTIFS(集計用!$U:$U, "*, "&amp;$B15&amp;",*",集計用!$U:$U, "&lt;&gt;*英語を日常的に*", 集計用!$T:$T, "*, "&amp;F$4&amp;",*" ))/$A15*100</f>
        <v>0</v>
      </c>
      <c r="G15" s="44">
        <f>(COUNTIFS(集計用!$U:$U, "*, "&amp;$B15&amp;",*",集計用!$U:$U, "&lt;&gt;*英語を日常的に*", 集計用!$T:$T, "*, "&amp;G$4&amp;",*" ))/$A15*100</f>
        <v>100</v>
      </c>
      <c r="H15" s="44">
        <f>(COUNTIFS(集計用!$U:$U, "*, "&amp;$B15&amp;",*",集計用!$U:$U, "&lt;&gt;*英語を日常的に*", 集計用!$T:$T, "*, "&amp;H$4&amp;",*" ))/$A15*100</f>
        <v>0</v>
      </c>
      <c r="I15" s="44">
        <f>(COUNTIFS(集計用!$U:$U, "*, "&amp;$B15&amp;",*",集計用!$U:$U, "&lt;&gt;*英語を日常的に*", 集計用!$T:$T, "*, "&amp;I$4&amp;",*" ))/$A15*100</f>
        <v>0</v>
      </c>
      <c r="J15" s="44">
        <f>(COUNTIFS(集計用!$U:$U, "*, "&amp;$B15&amp;",*",集計用!$U:$U, "&lt;&gt;*英語を日常的に*", 集計用!$T:$T, "*, "&amp;J$4&amp;",*" ))/$A15*100</f>
        <v>0</v>
      </c>
      <c r="K15" s="44">
        <f>(COUNTIFS(集計用!$U:$U, "*, "&amp;$B15&amp;",*",集計用!$U:$U, "&lt;&gt;*英語を日常的に*", 集計用!$T:$T, "*, "&amp;K$4&amp;",*" ))/$A15*100</f>
        <v>0</v>
      </c>
      <c r="L15" s="44">
        <f>(COUNTIFS(集計用!$U:$U, "*, "&amp;$B15&amp;",*",集計用!$U:$U, "&lt;&gt;*英語を日常的に*", 集計用!$T:$T, "*, "&amp;L$4&amp;",*" ))/$A15*100</f>
        <v>0</v>
      </c>
      <c r="M15" s="44">
        <f>(COUNTIFS(集計用!$U:$U, "*, "&amp;$B15&amp;",*",集計用!$U:$U, "&lt;&gt;*英語を日常的に*", 集計用!$T:$T, "*, "&amp;M$4&amp;",*" ))/$A15*100</f>
        <v>0</v>
      </c>
      <c r="N15" s="44">
        <f>(COUNTIFS(集計用!$U:$U, "*, "&amp;$B15&amp;",*",集計用!$U:$U, "&lt;&gt;*英語を日常的に*", 集計用!$T:$T, "*, "&amp;N$4&amp;",*" ))/$A15*100</f>
        <v>0</v>
      </c>
      <c r="O15" s="44">
        <f>(COUNTIFS(集計用!$U:$U, "*, "&amp;$B15&amp;",*",集計用!$U:$U, "&lt;&gt;*英語を日常的に*", 集計用!$T:$T, "*, "&amp;O$4&amp;",*" ))/$A15*100</f>
        <v>0</v>
      </c>
      <c r="P15" s="56"/>
      <c r="Q15" s="56"/>
    </row>
    <row r="16" spans="1:18" ht="15.75" customHeight="1">
      <c r="A16" s="39">
        <f>(COUNTIFS(集計用!$U:$U,"*, "&amp;$B16&amp;",*", 集計用!$U:$U,"&lt;&gt;*英語を日常的に*", 集計用!$T:$T,"&lt;&gt;無回答 , "))</f>
        <v>1</v>
      </c>
      <c r="B16" s="63" t="s">
        <v>128</v>
      </c>
      <c r="C16" s="44">
        <f>(COUNTIFS(集計用!$U:$U, "*, "&amp;$B16&amp;",*",集計用!$U:$U, "&lt;&gt;*英語を日常的に*", 集計用!$T:$T, "*, "&amp;C$4&amp;",*" ))/$A16*100</f>
        <v>100</v>
      </c>
      <c r="D16" s="44">
        <f>(COUNTIFS(集計用!$U:$U, "*, "&amp;$B16&amp;",*",集計用!$U:$U, "&lt;&gt;*英語を日常的に*", 集計用!$T:$T, "*, "&amp;D$4&amp;",*" ))/$A16*100</f>
        <v>0</v>
      </c>
      <c r="E16" s="44">
        <f>(COUNTIFS(集計用!$U:$U, "*, "&amp;$B16&amp;",*",集計用!$U:$U, "&lt;&gt;*英語を日常的に*", 集計用!$T:$T, "*, "&amp;E$4&amp;",*" ))/$A16*100</f>
        <v>0</v>
      </c>
      <c r="F16" s="44">
        <f>(COUNTIFS(集計用!$U:$U, "*, "&amp;$B16&amp;",*",集計用!$U:$U, "&lt;&gt;*英語を日常的に*", 集計用!$T:$T, "*, "&amp;F$4&amp;",*" ))/$A16*100</f>
        <v>100</v>
      </c>
      <c r="G16" s="44">
        <f>(COUNTIFS(集計用!$U:$U, "*, "&amp;$B16&amp;",*",集計用!$U:$U, "&lt;&gt;*英語を日常的に*", 集計用!$T:$T, "*, "&amp;G$4&amp;",*" ))/$A16*100</f>
        <v>100</v>
      </c>
      <c r="H16" s="44">
        <f>(COUNTIFS(集計用!$U:$U, "*, "&amp;$B16&amp;",*",集計用!$U:$U, "&lt;&gt;*英語を日常的に*", 集計用!$T:$T, "*, "&amp;H$4&amp;",*" ))/$A16*100</f>
        <v>0</v>
      </c>
      <c r="I16" s="44">
        <f>(COUNTIFS(集計用!$U:$U, "*, "&amp;$B16&amp;",*",集計用!$U:$U, "&lt;&gt;*英語を日常的に*", 集計用!$T:$T, "*, "&amp;I$4&amp;",*" ))/$A16*100</f>
        <v>100</v>
      </c>
      <c r="J16" s="44">
        <f>(COUNTIFS(集計用!$U:$U, "*, "&amp;$B16&amp;",*",集計用!$U:$U, "&lt;&gt;*英語を日常的に*", 集計用!$T:$T, "*, "&amp;J$4&amp;",*" ))/$A16*100</f>
        <v>100</v>
      </c>
      <c r="K16" s="44">
        <f>(COUNTIFS(集計用!$U:$U, "*, "&amp;$B16&amp;",*",集計用!$U:$U, "&lt;&gt;*英語を日常的に*", 集計用!$T:$T, "*, "&amp;K$4&amp;",*" ))/$A16*100</f>
        <v>0</v>
      </c>
      <c r="L16" s="44">
        <f>(COUNTIFS(集計用!$U:$U, "*, "&amp;$B16&amp;",*",集計用!$U:$U, "&lt;&gt;*英語を日常的に*", 集計用!$T:$T, "*, "&amp;L$4&amp;",*" ))/$A16*100</f>
        <v>0</v>
      </c>
      <c r="M16" s="44">
        <f>(COUNTIFS(集計用!$U:$U, "*, "&amp;$B16&amp;",*",集計用!$U:$U, "&lt;&gt;*英語を日常的に*", 集計用!$T:$T, "*, "&amp;M$4&amp;",*" ))/$A16*100</f>
        <v>0</v>
      </c>
      <c r="N16" s="44">
        <f>(COUNTIFS(集計用!$U:$U, "*, "&amp;$B16&amp;",*",集計用!$U:$U, "&lt;&gt;*英語を日常的に*", 集計用!$T:$T, "*, "&amp;N$4&amp;",*" ))/$A16*100</f>
        <v>0</v>
      </c>
      <c r="O16" s="44">
        <f>(COUNTIFS(集計用!$U:$U, "*, "&amp;$B16&amp;",*",集計用!$U:$U, "&lt;&gt;*英語を日常的に*", 集計用!$T:$T, "*, "&amp;O$4&amp;",*" ))/$A16*100</f>
        <v>0</v>
      </c>
      <c r="P16" s="56"/>
      <c r="Q16" s="56"/>
    </row>
    <row r="17" spans="1:17" ht="15.75" customHeight="1">
      <c r="A17" s="39">
        <f>(COUNTIFS(集計用!$U:$U,"*, "&amp;$B17&amp;",*", 集計用!$U:$U,"&lt;&gt;*英語を日常的に*", 集計用!$T:$T,"&lt;&gt;無回答 , "))</f>
        <v>0</v>
      </c>
      <c r="B17" s="63" t="s">
        <v>129</v>
      </c>
      <c r="C17" s="44" t="e">
        <f>(COUNTIFS(集計用!$U:$U, "*, "&amp;$B17&amp;",*",集計用!$U:$U, "&lt;&gt;*英語を日常的に*", 集計用!$T:$T, "*, "&amp;C$4&amp;",*" ))/$A17*100</f>
        <v>#DIV/0!</v>
      </c>
      <c r="D17" s="44" t="e">
        <f>(COUNTIFS(集計用!$U:$U, "*, "&amp;$B17&amp;",*",集計用!$U:$U, "&lt;&gt;*英語を日常的に*", 集計用!$T:$T, "*, "&amp;D$4&amp;",*" ))/$A17*100</f>
        <v>#DIV/0!</v>
      </c>
      <c r="E17" s="44" t="e">
        <f>(COUNTIFS(集計用!$U:$U, "*, "&amp;$B17&amp;",*",集計用!$U:$U, "&lt;&gt;*英語を日常的に*", 集計用!$T:$T, "*, "&amp;E$4&amp;",*" ))/$A17*100</f>
        <v>#DIV/0!</v>
      </c>
      <c r="F17" s="44" t="e">
        <f>(COUNTIFS(集計用!$U:$U, "*, "&amp;$B17&amp;",*",集計用!$U:$U, "&lt;&gt;*英語を日常的に*", 集計用!$T:$T, "*, "&amp;F$4&amp;",*" ))/$A17*100</f>
        <v>#DIV/0!</v>
      </c>
      <c r="G17" s="44" t="e">
        <f>(COUNTIFS(集計用!$U:$U, "*, "&amp;$B17&amp;",*",集計用!$U:$U, "&lt;&gt;*英語を日常的に*", 集計用!$T:$T, "*, "&amp;G$4&amp;",*" ))/$A17*100</f>
        <v>#DIV/0!</v>
      </c>
      <c r="H17" s="44" t="e">
        <f>(COUNTIFS(集計用!$U:$U, "*, "&amp;$B17&amp;",*",集計用!$U:$U, "&lt;&gt;*英語を日常的に*", 集計用!$T:$T, "*, "&amp;H$4&amp;",*" ))/$A17*100</f>
        <v>#DIV/0!</v>
      </c>
      <c r="I17" s="44" t="e">
        <f>(COUNTIFS(集計用!$U:$U, "*, "&amp;$B17&amp;",*",集計用!$U:$U, "&lt;&gt;*英語を日常的に*", 集計用!$T:$T, "*, "&amp;I$4&amp;",*" ))/$A17*100</f>
        <v>#DIV/0!</v>
      </c>
      <c r="J17" s="44" t="e">
        <f>(COUNTIFS(集計用!$U:$U, "*, "&amp;$B17&amp;",*",集計用!$U:$U, "&lt;&gt;*英語を日常的に*", 集計用!$T:$T, "*, "&amp;J$4&amp;",*" ))/$A17*100</f>
        <v>#DIV/0!</v>
      </c>
      <c r="K17" s="44" t="e">
        <f>(COUNTIFS(集計用!$U:$U, "*, "&amp;$B17&amp;",*",集計用!$U:$U, "&lt;&gt;*英語を日常的に*", 集計用!$T:$T, "*, "&amp;K$4&amp;",*" ))/$A17*100</f>
        <v>#DIV/0!</v>
      </c>
      <c r="L17" s="44" t="e">
        <f>(COUNTIFS(集計用!$U:$U, "*, "&amp;$B17&amp;",*",集計用!$U:$U, "&lt;&gt;*英語を日常的に*", 集計用!$T:$T, "*, "&amp;L$4&amp;",*" ))/$A17*100</f>
        <v>#DIV/0!</v>
      </c>
      <c r="M17" s="44" t="e">
        <f>(COUNTIFS(集計用!$U:$U, "*, "&amp;$B17&amp;",*",集計用!$U:$U, "&lt;&gt;*英語を日常的に*", 集計用!$T:$T, "*, "&amp;M$4&amp;",*" ))/$A17*100</f>
        <v>#DIV/0!</v>
      </c>
      <c r="N17" s="44" t="e">
        <f>(COUNTIFS(集計用!$U:$U, "*, "&amp;$B17&amp;",*",集計用!$U:$U, "&lt;&gt;*英語を日常的に*", 集計用!$T:$T, "*, "&amp;N$4&amp;",*" ))/$A17*100</f>
        <v>#DIV/0!</v>
      </c>
      <c r="O17" s="44" t="e">
        <f>(COUNTIFS(集計用!$U:$U, "*, "&amp;$B17&amp;",*",集計用!$U:$U, "&lt;&gt;*英語を日常的に*", 集計用!$T:$T, "*, "&amp;O$4&amp;",*" ))/$A17*100</f>
        <v>#DIV/0!</v>
      </c>
      <c r="P17" s="56"/>
      <c r="Q17" s="56"/>
    </row>
    <row r="18" spans="1:17" ht="15.75" customHeight="1">
      <c r="A18" s="39">
        <f>(COUNTIFS(集計用!$U:$U,"*, "&amp;$B18&amp;",*", 集計用!$U:$U,"&lt;&gt;*英語を日常的に*", 集計用!$T:$T,"&lt;&gt;無回答 , "))</f>
        <v>0</v>
      </c>
      <c r="B18" s="63" t="s">
        <v>130</v>
      </c>
      <c r="C18" s="44" t="e">
        <f>(COUNTIFS(集計用!$U:$U, "*, "&amp;$B18&amp;",*",集計用!$U:$U, "&lt;&gt;*英語を日常的に*", 集計用!$T:$T, "*, "&amp;C$4&amp;",*" ))/$A18*100</f>
        <v>#DIV/0!</v>
      </c>
      <c r="D18" s="44" t="e">
        <f>(COUNTIFS(集計用!$U:$U, "*, "&amp;$B18&amp;",*",集計用!$U:$U, "&lt;&gt;*英語を日常的に*", 集計用!$T:$T, "*, "&amp;D$4&amp;",*" ))/$A18*100</f>
        <v>#DIV/0!</v>
      </c>
      <c r="E18" s="44" t="e">
        <f>(COUNTIFS(集計用!$U:$U, "*, "&amp;$B18&amp;",*",集計用!$U:$U, "&lt;&gt;*英語を日常的に*", 集計用!$T:$T, "*, "&amp;E$4&amp;",*" ))/$A18*100</f>
        <v>#DIV/0!</v>
      </c>
      <c r="F18" s="44" t="e">
        <f>(COUNTIFS(集計用!$U:$U, "*, "&amp;$B18&amp;",*",集計用!$U:$U, "&lt;&gt;*英語を日常的に*", 集計用!$T:$T, "*, "&amp;F$4&amp;",*" ))/$A18*100</f>
        <v>#DIV/0!</v>
      </c>
      <c r="G18" s="44" t="e">
        <f>(COUNTIFS(集計用!$U:$U, "*, "&amp;$B18&amp;",*",集計用!$U:$U, "&lt;&gt;*英語を日常的に*", 集計用!$T:$T, "*, "&amp;G$4&amp;",*" ))/$A18*100</f>
        <v>#DIV/0!</v>
      </c>
      <c r="H18" s="44" t="e">
        <f>(COUNTIFS(集計用!$U:$U, "*, "&amp;$B18&amp;",*",集計用!$U:$U, "&lt;&gt;*英語を日常的に*", 集計用!$T:$T, "*, "&amp;H$4&amp;",*" ))/$A18*100</f>
        <v>#DIV/0!</v>
      </c>
      <c r="I18" s="44" t="e">
        <f>(COUNTIFS(集計用!$U:$U, "*, "&amp;$B18&amp;",*",集計用!$U:$U, "&lt;&gt;*英語を日常的に*", 集計用!$T:$T, "*, "&amp;I$4&amp;",*" ))/$A18*100</f>
        <v>#DIV/0!</v>
      </c>
      <c r="J18" s="44" t="e">
        <f>(COUNTIFS(集計用!$U:$U, "*, "&amp;$B18&amp;",*",集計用!$U:$U, "&lt;&gt;*英語を日常的に*", 集計用!$T:$T, "*, "&amp;J$4&amp;",*" ))/$A18*100</f>
        <v>#DIV/0!</v>
      </c>
      <c r="K18" s="44" t="e">
        <f>(COUNTIFS(集計用!$U:$U, "*, "&amp;$B18&amp;",*",集計用!$U:$U, "&lt;&gt;*英語を日常的に*", 集計用!$T:$T, "*, "&amp;K$4&amp;",*" ))/$A18*100</f>
        <v>#DIV/0!</v>
      </c>
      <c r="L18" s="44" t="e">
        <f>(COUNTIFS(集計用!$U:$U, "*, "&amp;$B18&amp;",*",集計用!$U:$U, "&lt;&gt;*英語を日常的に*", 集計用!$T:$T, "*, "&amp;L$4&amp;",*" ))/$A18*100</f>
        <v>#DIV/0!</v>
      </c>
      <c r="M18" s="44" t="e">
        <f>(COUNTIFS(集計用!$U:$U, "*, "&amp;$B18&amp;",*",集計用!$U:$U, "&lt;&gt;*英語を日常的に*", 集計用!$T:$T, "*, "&amp;M$4&amp;",*" ))/$A18*100</f>
        <v>#DIV/0!</v>
      </c>
      <c r="N18" s="44" t="e">
        <f>(COUNTIFS(集計用!$U:$U, "*, "&amp;$B18&amp;",*",集計用!$U:$U, "&lt;&gt;*英語を日常的に*", 集計用!$T:$T, "*, "&amp;N$4&amp;",*" ))/$A18*100</f>
        <v>#DIV/0!</v>
      </c>
      <c r="O18" s="44" t="e">
        <f>(COUNTIFS(集計用!$U:$U, "*, "&amp;$B18&amp;",*",集計用!$U:$U, "&lt;&gt;*英語を日常的に*", 集計用!$T:$T, "*, "&amp;O$4&amp;",*" ))/$A18*100</f>
        <v>#DIV/0!</v>
      </c>
      <c r="P18" s="56"/>
      <c r="Q18" s="56"/>
    </row>
    <row r="19" spans="1:17" ht="15.75" customHeight="1">
      <c r="A19" s="39">
        <f>(COUNTIFS(集計用!$U:$U,"*, "&amp;$B19&amp;",*", 集計用!$U:$U,"&lt;&gt;*英語を日常的に*", 集計用!$T:$T,"&lt;&gt;無回答 , "))</f>
        <v>0</v>
      </c>
      <c r="B19" s="63" t="s">
        <v>131</v>
      </c>
      <c r="C19" s="44" t="e">
        <f>(COUNTIFS(集計用!$U:$U, "*, "&amp;$B19&amp;",*",集計用!$U:$U, "&lt;&gt;*英語を日常的に*", 集計用!$T:$T, "*, "&amp;C$4&amp;",*" ))/$A19*100</f>
        <v>#DIV/0!</v>
      </c>
      <c r="D19" s="44" t="e">
        <f>(COUNTIFS(集計用!$U:$U, "*, "&amp;$B19&amp;",*",集計用!$U:$U, "&lt;&gt;*英語を日常的に*", 集計用!$T:$T, "*, "&amp;D$4&amp;",*" ))/$A19*100</f>
        <v>#DIV/0!</v>
      </c>
      <c r="E19" s="44" t="e">
        <f>(COUNTIFS(集計用!$U:$U, "*, "&amp;$B19&amp;",*",集計用!$U:$U, "&lt;&gt;*英語を日常的に*", 集計用!$T:$T, "*, "&amp;E$4&amp;",*" ))/$A19*100</f>
        <v>#DIV/0!</v>
      </c>
      <c r="F19" s="44" t="e">
        <f>(COUNTIFS(集計用!$U:$U, "*, "&amp;$B19&amp;",*",集計用!$U:$U, "&lt;&gt;*英語を日常的に*", 集計用!$T:$T, "*, "&amp;F$4&amp;",*" ))/$A19*100</f>
        <v>#DIV/0!</v>
      </c>
      <c r="G19" s="44" t="e">
        <f>(COUNTIFS(集計用!$U:$U, "*, "&amp;$B19&amp;",*",集計用!$U:$U, "&lt;&gt;*英語を日常的に*", 集計用!$T:$T, "*, "&amp;G$4&amp;",*" ))/$A19*100</f>
        <v>#DIV/0!</v>
      </c>
      <c r="H19" s="44" t="e">
        <f>(COUNTIFS(集計用!$U:$U, "*, "&amp;$B19&amp;",*",集計用!$U:$U, "&lt;&gt;*英語を日常的に*", 集計用!$T:$T, "*, "&amp;H$4&amp;",*" ))/$A19*100</f>
        <v>#DIV/0!</v>
      </c>
      <c r="I19" s="44" t="e">
        <f>(COUNTIFS(集計用!$U:$U, "*, "&amp;$B19&amp;",*",集計用!$U:$U, "&lt;&gt;*英語を日常的に*", 集計用!$T:$T, "*, "&amp;I$4&amp;",*" ))/$A19*100</f>
        <v>#DIV/0!</v>
      </c>
      <c r="J19" s="44" t="e">
        <f>(COUNTIFS(集計用!$U:$U, "*, "&amp;$B19&amp;",*",集計用!$U:$U, "&lt;&gt;*英語を日常的に*", 集計用!$T:$T, "*, "&amp;J$4&amp;",*" ))/$A19*100</f>
        <v>#DIV/0!</v>
      </c>
      <c r="K19" s="44" t="e">
        <f>(COUNTIFS(集計用!$U:$U, "*, "&amp;$B19&amp;",*",集計用!$U:$U, "&lt;&gt;*英語を日常的に*", 集計用!$T:$T, "*, "&amp;K$4&amp;",*" ))/$A19*100</f>
        <v>#DIV/0!</v>
      </c>
      <c r="L19" s="44" t="e">
        <f>(COUNTIFS(集計用!$U:$U, "*, "&amp;$B19&amp;",*",集計用!$U:$U, "&lt;&gt;*英語を日常的に*", 集計用!$T:$T, "*, "&amp;L$4&amp;",*" ))/$A19*100</f>
        <v>#DIV/0!</v>
      </c>
      <c r="M19" s="44" t="e">
        <f>(COUNTIFS(集計用!$U:$U, "*, "&amp;$B19&amp;",*",集計用!$U:$U, "&lt;&gt;*英語を日常的に*", 集計用!$T:$T, "*, "&amp;M$4&amp;",*" ))/$A19*100</f>
        <v>#DIV/0!</v>
      </c>
      <c r="N19" s="44" t="e">
        <f>(COUNTIFS(集計用!$U:$U, "*, "&amp;$B19&amp;",*",集計用!$U:$U, "&lt;&gt;*英語を日常的に*", 集計用!$T:$T, "*, "&amp;N$4&amp;",*" ))/$A19*100</f>
        <v>#DIV/0!</v>
      </c>
      <c r="O19" s="44" t="e">
        <f>(COUNTIFS(集計用!$U:$U, "*, "&amp;$B19&amp;",*",集計用!$U:$U, "&lt;&gt;*英語を日常的に*", 集計用!$T:$T, "*, "&amp;O$4&amp;",*" ))/$A19*100</f>
        <v>#DIV/0!</v>
      </c>
      <c r="P19" s="56"/>
      <c r="Q19" s="56"/>
    </row>
    <row r="20" spans="1:17" ht="15.75" customHeight="1">
      <c r="A20" s="39">
        <f>(COUNTIFS(集計用!$U:$U,"*, "&amp;$B20&amp;",*", 集計用!$U:$U,"&lt;&gt;*英語を日常的に*", 集計用!$T:$T,"&lt;&gt;無回答 , "))</f>
        <v>0</v>
      </c>
      <c r="B20" s="64" t="s">
        <v>132</v>
      </c>
      <c r="C20" s="44" t="e">
        <f>(COUNTIFS(集計用!$U:$U, "*, "&amp;$B20&amp;",*",集計用!$U:$U, "&lt;&gt;*英語を日常的に*", 集計用!$T:$T, "*, "&amp;C$4&amp;",*" ))/$A20*100</f>
        <v>#DIV/0!</v>
      </c>
      <c r="D20" s="44" t="e">
        <f>(COUNTIFS(集計用!$U:$U, "*, "&amp;$B20&amp;",*",集計用!$U:$U, "&lt;&gt;*英語を日常的に*", 集計用!$T:$T, "*, "&amp;D$4&amp;",*" ))/$A20*100</f>
        <v>#DIV/0!</v>
      </c>
      <c r="E20" s="44" t="e">
        <f>(COUNTIFS(集計用!$U:$U, "*, "&amp;$B20&amp;",*",集計用!$U:$U, "&lt;&gt;*英語を日常的に*", 集計用!$T:$T, "*, "&amp;E$4&amp;",*" ))/$A20*100</f>
        <v>#DIV/0!</v>
      </c>
      <c r="F20" s="44" t="e">
        <f>(COUNTIFS(集計用!$U:$U, "*, "&amp;$B20&amp;",*",集計用!$U:$U, "&lt;&gt;*英語を日常的に*", 集計用!$T:$T, "*, "&amp;F$4&amp;",*" ))/$A20*100</f>
        <v>#DIV/0!</v>
      </c>
      <c r="G20" s="44" t="e">
        <f>(COUNTIFS(集計用!$U:$U, "*, "&amp;$B20&amp;",*",集計用!$U:$U, "&lt;&gt;*英語を日常的に*", 集計用!$T:$T, "*, "&amp;G$4&amp;",*" ))/$A20*100</f>
        <v>#DIV/0!</v>
      </c>
      <c r="H20" s="44" t="e">
        <f>(COUNTIFS(集計用!$U:$U, "*, "&amp;$B20&amp;",*",集計用!$U:$U, "&lt;&gt;*英語を日常的に*", 集計用!$T:$T, "*, "&amp;H$4&amp;",*" ))/$A20*100</f>
        <v>#DIV/0!</v>
      </c>
      <c r="I20" s="44" t="e">
        <f>(COUNTIFS(集計用!$U:$U, "*, "&amp;$B20&amp;",*",集計用!$U:$U, "&lt;&gt;*英語を日常的に*", 集計用!$T:$T, "*, "&amp;I$4&amp;",*" ))/$A20*100</f>
        <v>#DIV/0!</v>
      </c>
      <c r="J20" s="44" t="e">
        <f>(COUNTIFS(集計用!$U:$U, "*, "&amp;$B20&amp;",*",集計用!$U:$U, "&lt;&gt;*英語を日常的に*", 集計用!$T:$T, "*, "&amp;J$4&amp;",*" ))/$A20*100</f>
        <v>#DIV/0!</v>
      </c>
      <c r="K20" s="44" t="e">
        <f>(COUNTIFS(集計用!$U:$U, "*, "&amp;$B20&amp;",*",集計用!$U:$U, "&lt;&gt;*英語を日常的に*", 集計用!$T:$T, "*, "&amp;K$4&amp;",*" ))/$A20*100</f>
        <v>#DIV/0!</v>
      </c>
      <c r="L20" s="44" t="e">
        <f>(COUNTIFS(集計用!$U:$U, "*, "&amp;$B20&amp;",*",集計用!$U:$U, "&lt;&gt;*英語を日常的に*", 集計用!$T:$T, "*, "&amp;L$4&amp;",*" ))/$A20*100</f>
        <v>#DIV/0!</v>
      </c>
      <c r="M20" s="44" t="e">
        <f>(COUNTIFS(集計用!$U:$U, "*, "&amp;$B20&amp;",*",集計用!$U:$U, "&lt;&gt;*英語を日常的に*", 集計用!$T:$T, "*, "&amp;M$4&amp;",*" ))/$A20*100</f>
        <v>#DIV/0!</v>
      </c>
      <c r="N20" s="44" t="e">
        <f>(COUNTIFS(集計用!$U:$U, "*, "&amp;$B20&amp;",*",集計用!$U:$U, "&lt;&gt;*英語を日常的に*", 集計用!$T:$T, "*, "&amp;N$4&amp;",*" ))/$A20*100</f>
        <v>#DIV/0!</v>
      </c>
      <c r="O20" s="44" t="e">
        <f>(COUNTIFS(集計用!$U:$U, "*, "&amp;$B20&amp;",*",集計用!$U:$U, "&lt;&gt;*英語を日常的に*", 集計用!$T:$T, "*, "&amp;O$4&amp;",*" ))/$A20*100</f>
        <v>#DIV/0!</v>
      </c>
      <c r="P20" s="56"/>
      <c r="Q20" s="56"/>
    </row>
  </sheetData>
  <phoneticPr fontId="8"/>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DF6A-855A-459D-A9C1-3FFB97E1335B}">
  <sheetPr>
    <outlinePr summaryBelow="0" summaryRight="0"/>
  </sheetPr>
  <dimension ref="A1:W68"/>
  <sheetViews>
    <sheetView zoomScaleNormal="100" workbookViewId="0">
      <selection activeCell="B5" sqref="B5"/>
    </sheetView>
  </sheetViews>
  <sheetFormatPr defaultColWidth="12.5703125" defaultRowHeight="15.75" customHeight="1"/>
  <cols>
    <col min="1" max="2" width="12.5703125" style="39"/>
    <col min="3" max="3" width="26.7109375" style="39" customWidth="1"/>
    <col min="4" max="4" width="23.5703125" style="39" customWidth="1"/>
    <col min="5" max="9" width="13.7109375" style="39" bestFit="1" customWidth="1"/>
    <col min="10" max="10" width="12.5703125" style="39"/>
    <col min="11" max="13" width="13.7109375" style="39" bestFit="1" customWidth="1"/>
    <col min="14" max="14" width="13.7109375" style="39" customWidth="1"/>
    <col min="15" max="16384" width="12.5703125" style="39"/>
  </cols>
  <sheetData>
    <row r="1" spans="1:23" ht="15.75" customHeight="1">
      <c r="A1" s="38" t="s">
        <v>2254</v>
      </c>
    </row>
    <row r="2" spans="1:23" ht="15.75" customHeight="1">
      <c r="A2" s="38"/>
    </row>
    <row r="3" spans="1:23" ht="13.5" customHeight="1">
      <c r="C3" s="39" t="s">
        <v>2261</v>
      </c>
      <c r="D3" s="57">
        <f>(COUNTIFS(集計用!$K:$K, "*, "&amp;D$4&amp;", *"))</f>
        <v>365</v>
      </c>
      <c r="E3" s="57">
        <f>(COUNTIFS(集計用!$K:$K, "*, "&amp;E$4&amp;", *"))</f>
        <v>117</v>
      </c>
      <c r="F3" s="57">
        <f>(COUNTIFS(集計用!$K:$K, "*, "&amp;F$4&amp;", *"))</f>
        <v>102</v>
      </c>
      <c r="G3" s="57">
        <f>(COUNTIFS(集計用!$K:$K, "*, "&amp;G$4&amp;", *"))</f>
        <v>96</v>
      </c>
      <c r="H3" s="57">
        <f>(COUNTIFS(集計用!$K:$K, "*, "&amp;H$4&amp;", *"))</f>
        <v>80</v>
      </c>
      <c r="I3" s="57">
        <f>(COUNTIFS(集計用!$K:$K, "*, "&amp;I$4&amp;", *"))</f>
        <v>67</v>
      </c>
      <c r="J3" s="57">
        <f>(COUNTIFS(集計用!$K:$K, "*, "&amp;J$4&amp;", *"))</f>
        <v>52</v>
      </c>
      <c r="K3" s="57">
        <f>(COUNTIFS(集計用!$K:$K, "*, "&amp;K$4&amp;", *"))</f>
        <v>14</v>
      </c>
      <c r="L3" s="57">
        <f>(COUNTIFS(集計用!$J:$J, "*"&amp;L$4&amp;"*"))</f>
        <v>9</v>
      </c>
      <c r="M3" s="57">
        <f>(COUNTIFS(集計用!$J:$J, "*"&amp;M$4&amp;"*"))</f>
        <v>2</v>
      </c>
      <c r="N3" s="57">
        <f>(COUNTIFS(集計用!$J:$J, "*"&amp;N$4&amp;"*"))</f>
        <v>2</v>
      </c>
      <c r="O3" s="57">
        <f>(COUNTIFS(集計用!$J:$J, "*"&amp;O$4&amp;"*"))</f>
        <v>1</v>
      </c>
      <c r="P3" s="57">
        <f>(COUNTIFS(集計用!$J:$J, "*"&amp;P$4&amp;"*"))</f>
        <v>1</v>
      </c>
      <c r="Q3" s="57">
        <f>(COUNTIFS(集計用!$J:$J, "*"&amp;Q$4&amp;"*"))</f>
        <v>1</v>
      </c>
      <c r="R3" s="57">
        <f>(COUNTIFS(集計用!$J:$J, "*"&amp;R$4&amp;"*"))</f>
        <v>1</v>
      </c>
      <c r="S3" s="57">
        <f>(COUNTIFS(集計用!$J:$J, "*"&amp;S$4&amp;"*"))</f>
        <v>1</v>
      </c>
      <c r="T3" s="57">
        <f>(COUNTIFS(集計用!$J:$J, "*"&amp;T$4&amp;"*"))</f>
        <v>1</v>
      </c>
      <c r="U3" s="57">
        <f>(COUNTIFS(集計用!$J:$J, "*"&amp;U$4&amp;"*"))</f>
        <v>1</v>
      </c>
      <c r="V3" s="57">
        <f>(COUNTIFS(集計用!$J:$J, "*"&amp;V$4&amp;"*"))</f>
        <v>1</v>
      </c>
      <c r="W3" s="58">
        <f>(COUNTIFS(集計用!$J:$J, "*"&amp;W$4&amp;"*"))</f>
        <v>1</v>
      </c>
    </row>
    <row r="4" spans="1:23" ht="12.75">
      <c r="A4" s="46" t="s">
        <v>2178</v>
      </c>
      <c r="B4" s="46" t="s">
        <v>2179</v>
      </c>
      <c r="C4" s="46" t="s">
        <v>2182</v>
      </c>
      <c r="D4" s="65" t="s">
        <v>139</v>
      </c>
      <c r="E4" s="65" t="s">
        <v>140</v>
      </c>
      <c r="F4" s="65" t="s">
        <v>107</v>
      </c>
      <c r="G4" s="65" t="s">
        <v>141</v>
      </c>
      <c r="H4" s="65" t="s">
        <v>142</v>
      </c>
      <c r="I4" s="65" t="s">
        <v>121</v>
      </c>
      <c r="J4" s="65" t="s">
        <v>124</v>
      </c>
      <c r="K4" s="65" t="s">
        <v>143</v>
      </c>
      <c r="L4" s="66" t="s">
        <v>144</v>
      </c>
      <c r="M4" s="67" t="s">
        <v>145</v>
      </c>
      <c r="N4" s="69" t="s">
        <v>104</v>
      </c>
      <c r="O4" s="66" t="s">
        <v>2252</v>
      </c>
      <c r="P4" s="67" t="s">
        <v>2253</v>
      </c>
      <c r="Q4" s="67" t="s">
        <v>146</v>
      </c>
      <c r="R4" s="66" t="s">
        <v>147</v>
      </c>
      <c r="S4" s="66" t="s">
        <v>2176</v>
      </c>
      <c r="T4" s="68" t="s">
        <v>148</v>
      </c>
      <c r="U4" s="69" t="s">
        <v>149</v>
      </c>
      <c r="V4" s="69" t="s">
        <v>2177</v>
      </c>
      <c r="W4" s="69" t="s">
        <v>152</v>
      </c>
    </row>
    <row r="5" spans="1:23" ht="12.75">
      <c r="A5" s="39">
        <v>0</v>
      </c>
      <c r="B5" s="39">
        <f>(COUNTA(集計用!$K:$K)-1)-COUNTIF(集計用!$K:$K, "無回答 , ")</f>
        <v>442</v>
      </c>
      <c r="C5" s="40" t="s">
        <v>2249</v>
      </c>
      <c r="D5" s="41">
        <f>(COUNTIFS(集計用!$K:$K, "*, "&amp;D$4&amp;", *"))/$B5*100</f>
        <v>82.579185520361989</v>
      </c>
      <c r="E5" s="41">
        <f>(COUNTIFS(集計用!$K:$K, "*, "&amp;E$4&amp;", *"))/$B5*100</f>
        <v>26.47058823529412</v>
      </c>
      <c r="F5" s="41">
        <f>(COUNTIFS(集計用!$K:$K, "*, "&amp;F$4&amp;", *"))/$B5*100</f>
        <v>23.076923076923077</v>
      </c>
      <c r="G5" s="41">
        <f>(COUNTIFS(集計用!$K:$K, "*, "&amp;G$4&amp;", *"))/$B5*100</f>
        <v>21.719457013574662</v>
      </c>
      <c r="H5" s="41">
        <f>(COUNTIFS(集計用!$K:$K, "*, "&amp;H$4&amp;", *"))/$B5*100</f>
        <v>18.099547511312217</v>
      </c>
      <c r="I5" s="41">
        <f>(COUNTIFS(集計用!$K:$K, "*, "&amp;I$4&amp;", *"))/$B5*100</f>
        <v>15.158371040723981</v>
      </c>
      <c r="J5" s="41">
        <f>(COUNTIFS(集計用!$K:$K, "*, "&amp;J$4&amp;", *"))/$B5*100</f>
        <v>11.76470588235294</v>
      </c>
      <c r="K5" s="41">
        <f>(COUNTIFS(集計用!$K:$K, "*, "&amp;K$4&amp;", *"))/$B5*100</f>
        <v>3.1674208144796379</v>
      </c>
      <c r="L5" s="41">
        <f>(COUNTIFS(集計用!$J:$J, "*"&amp;L$4&amp;"*"))/$B5*100</f>
        <v>2.0361990950226243</v>
      </c>
      <c r="M5" s="41">
        <f>(COUNTIFS(集計用!$J:$J, "*"&amp;M$4&amp;"*"))/$B5*100</f>
        <v>0.45248868778280549</v>
      </c>
      <c r="N5" s="41">
        <f>(COUNTIFS(集計用!$J:$J, "*"&amp;N$4&amp;"*"))/$B5*100</f>
        <v>0.45248868778280549</v>
      </c>
      <c r="O5" s="41">
        <f>(COUNTIFS(集計用!$J:$J, "*"&amp;O$4&amp;"*"))/$B5*100</f>
        <v>0.22624434389140274</v>
      </c>
      <c r="P5" s="41">
        <f>(COUNTIFS(集計用!$J:$J, "*"&amp;P$4&amp;"*"))/$B5*100</f>
        <v>0.22624434389140274</v>
      </c>
      <c r="Q5" s="41">
        <f>(COUNTIFS(集計用!$J:$J, "*"&amp;Q$4&amp;"*"))/$B5*100</f>
        <v>0.22624434389140274</v>
      </c>
      <c r="R5" s="41">
        <f>(COUNTIFS(集計用!$J:$J, "*"&amp;R$4&amp;"*"))/$B5*100</f>
        <v>0.22624434389140274</v>
      </c>
      <c r="S5" s="41">
        <f>(COUNTIFS(集計用!$J:$J, "*"&amp;S$4&amp;"*"))/$B5*100</f>
        <v>0.22624434389140274</v>
      </c>
      <c r="T5" s="41">
        <f>(COUNTIFS(集計用!$J:$J, "*"&amp;T$4&amp;"*"))/$B5*100</f>
        <v>0.22624434389140274</v>
      </c>
      <c r="U5" s="41">
        <f>(COUNTIFS(集計用!$J:$J, "*"&amp;U$4&amp;"*"))/$B5*100</f>
        <v>0.22624434389140274</v>
      </c>
      <c r="V5" s="41">
        <f>(COUNTIFS(集計用!$J:$J, "*"&amp;V$4&amp;"*"))/$B5*100</f>
        <v>0.22624434389140274</v>
      </c>
      <c r="W5" s="41">
        <f>(COUNTIFS(集計用!$J:$J, "*"&amp;W$4&amp;"*"))/$B5*100</f>
        <v>0.22624434389140274</v>
      </c>
    </row>
    <row r="6" spans="1:23" ht="15.75" customHeight="1">
      <c r="A6" s="39">
        <v>1</v>
      </c>
      <c r="B6" s="39">
        <f>(COUNTIFS(集計用!$G:$G,"*, "&amp;$C6&amp;",*",集計用!$G:$G, "&lt;&gt;無回答 , "))</f>
        <v>256</v>
      </c>
      <c r="C6" s="42" t="s">
        <v>0</v>
      </c>
      <c r="D6" s="41">
        <f>(COUNTIFS(集計用!$K:$K, "*, "&amp;D$4&amp;", *",集計用!$G:$G, "*, "&amp;$C6&amp;",*"))/$B6*100</f>
        <v>85.15625</v>
      </c>
      <c r="E6" s="41">
        <f>(COUNTIFS(集計用!$K:$K, "*, "&amp;E$4&amp;", *",集計用!$G:$G, "*, "&amp;$C6&amp;",*"))/$B6*100</f>
        <v>30.46875</v>
      </c>
      <c r="F6" s="41">
        <f>(COUNTIFS(集計用!$K:$K, "*, "&amp;F$4&amp;", *",集計用!$G:$G, "*, "&amp;$C6&amp;",*"))/$B6*100</f>
        <v>23.4375</v>
      </c>
      <c r="G6" s="41">
        <f>(COUNTIFS(集計用!$K:$K, "*, "&amp;G$4&amp;", *",集計用!$G:$G, "*, "&amp;$C6&amp;",*"))/$B6*100</f>
        <v>23.4375</v>
      </c>
      <c r="H6" s="41">
        <f>(COUNTIFS(集計用!$K:$K, "*, "&amp;H$4&amp;", *",集計用!$G:$G, "*, "&amp;$C6&amp;",*"))/$B6*100</f>
        <v>18.359375</v>
      </c>
      <c r="I6" s="41">
        <f>(COUNTIFS(集計用!$K:$K, "*, "&amp;I$4&amp;", *",集計用!$G:$G, "*, "&amp;$C6&amp;",*"))/$B6*100</f>
        <v>19.921875</v>
      </c>
      <c r="J6" s="41">
        <f>(COUNTIFS(集計用!$K:$K, "*, "&amp;J$4&amp;", *",集計用!$G:$G, "*, "&amp;$C6&amp;",*"))/$B6*100</f>
        <v>11.71875</v>
      </c>
      <c r="K6" s="41">
        <f>(COUNTIFS(集計用!$K:$K, "*, "&amp;K$4&amp;", *",集計用!$G:$G, "*, "&amp;$C6&amp;",*"))/$B6*100</f>
        <v>3.90625</v>
      </c>
      <c r="L6" s="41">
        <f>(COUNTIFS(集計用!$J:$J, "*"&amp;L$4&amp;"*",集計用!$G:$G, "*, "&amp;$C6&amp;",*"))/$B6*100</f>
        <v>1.953125</v>
      </c>
      <c r="M6" s="41">
        <f>(COUNTIFS(集計用!$J:$J, "*"&amp;M$4&amp;"*",集計用!$G:$G, "*, "&amp;$C6&amp;",*"))/$B6*100</f>
        <v>0.78125</v>
      </c>
      <c r="N6" s="41">
        <f>(COUNTIFS(集計用!$J:$J, "*"&amp;N$4&amp;"*",集計用!$G:$G, "*, "&amp;$C6&amp;",*"))/$B6*100</f>
        <v>0.78125</v>
      </c>
      <c r="O6" s="41">
        <f>(COUNTIFS(集計用!$J:$J, "*"&amp;O$4&amp;"*",集計用!$G:$G, "*, "&amp;$C6&amp;",*"))/$B6*100</f>
        <v>0.390625</v>
      </c>
      <c r="P6" s="41">
        <f>(COUNTIFS(集計用!$J:$J, "*"&amp;P$4&amp;"*",集計用!$G:$G, "*, "&amp;$C6&amp;",*"))/$B6*100</f>
        <v>0.390625</v>
      </c>
      <c r="Q6" s="41">
        <f>(COUNTIFS(集計用!$J:$J, "*"&amp;Q$4&amp;"*",集計用!$G:$G, "*, "&amp;$C6&amp;",*"))/$B6*100</f>
        <v>0.390625</v>
      </c>
      <c r="R6" s="41">
        <f>(COUNTIFS(集計用!$J:$J, "*"&amp;R$4&amp;"*",集計用!$G:$G, "*, "&amp;$C6&amp;",*"))/$B6*100</f>
        <v>0.390625</v>
      </c>
      <c r="S6" s="41">
        <f>(COUNTIFS(集計用!$J:$J, "*"&amp;S$4&amp;"*",集計用!$G:$G, "*, "&amp;$C6&amp;",*"))/$B6*100</f>
        <v>0.390625</v>
      </c>
      <c r="T6" s="41">
        <f>(COUNTIFS(集計用!$J:$J, "*"&amp;T$4&amp;"*",集計用!$G:$G, "*, "&amp;$C6&amp;",*"))/$B6*100</f>
        <v>0</v>
      </c>
      <c r="U6" s="41">
        <f>(COUNTIFS(集計用!$J:$J, "*"&amp;U$4&amp;"*",集計用!$G:$G, "*, "&amp;$C6&amp;",*"))/$B6*100</f>
        <v>0.390625</v>
      </c>
      <c r="V6" s="41">
        <f>(COUNTIFS(集計用!$J:$J, "*"&amp;V$4&amp;"*",集計用!$G:$G, "*, "&amp;$C6&amp;",*"))/$B6*100</f>
        <v>0.390625</v>
      </c>
      <c r="W6" s="41">
        <f>(COUNTIFS(集計用!$J:$J, "*"&amp;W$4&amp;"*",集計用!$G:$G, "*, "&amp;$C6&amp;",*"))/$B6*100</f>
        <v>0.390625</v>
      </c>
    </row>
    <row r="7" spans="1:23" ht="15.75" customHeight="1">
      <c r="A7" s="39">
        <v>1</v>
      </c>
      <c r="B7" s="39">
        <f>(COUNTIFS(集計用!$G:$G,"*, "&amp;$C7&amp;",*",集計用!$G:$G, "&lt;&gt;無回答 , "))</f>
        <v>144</v>
      </c>
      <c r="C7" s="42" t="s">
        <v>1</v>
      </c>
      <c r="D7" s="41">
        <f>(COUNTIFS(集計用!$K:$K, "*, "&amp;D$4&amp;", *",集計用!$G:$G, "*, "&amp;$C7&amp;",*"))/$B7*100</f>
        <v>88.888888888888886</v>
      </c>
      <c r="E7" s="41">
        <f>(COUNTIFS(集計用!$K:$K, "*, "&amp;E$4&amp;", *",集計用!$G:$G, "*, "&amp;$C7&amp;",*"))/$B7*100</f>
        <v>35.416666666666671</v>
      </c>
      <c r="F7" s="41">
        <f>(COUNTIFS(集計用!$K:$K, "*, "&amp;F$4&amp;", *",集計用!$G:$G, "*, "&amp;$C7&amp;",*"))/$B7*100</f>
        <v>27.083333333333332</v>
      </c>
      <c r="G7" s="41">
        <f>(COUNTIFS(集計用!$K:$K, "*, "&amp;G$4&amp;", *",集計用!$G:$G, "*, "&amp;$C7&amp;",*"))/$B7*100</f>
        <v>29.861111111111111</v>
      </c>
      <c r="H7" s="41">
        <f>(COUNTIFS(集計用!$K:$K, "*, "&amp;H$4&amp;", *",集計用!$G:$G, "*, "&amp;$C7&amp;",*"))/$B7*100</f>
        <v>17.361111111111111</v>
      </c>
      <c r="I7" s="41">
        <f>(COUNTIFS(集計用!$K:$K, "*, "&amp;I$4&amp;", *",集計用!$G:$G, "*, "&amp;$C7&amp;",*"))/$B7*100</f>
        <v>18.055555555555554</v>
      </c>
      <c r="J7" s="41">
        <f>(COUNTIFS(集計用!$K:$K, "*, "&amp;J$4&amp;", *",集計用!$G:$G, "*, "&amp;$C7&amp;",*"))/$B7*100</f>
        <v>12.5</v>
      </c>
      <c r="K7" s="41">
        <f>(COUNTIFS(集計用!$K:$K, "*, "&amp;K$4&amp;", *",集計用!$G:$G, "*, "&amp;$C7&amp;",*"))/$B7*100</f>
        <v>3.4722222222222223</v>
      </c>
      <c r="L7" s="41">
        <f>(COUNTIFS(集計用!$J:$J, "*"&amp;L$4&amp;"*",集計用!$G:$G, "*, "&amp;$C7&amp;",*"))/$B7*100</f>
        <v>1.3888888888888888</v>
      </c>
      <c r="M7" s="41">
        <f>(COUNTIFS(集計用!$J:$J, "*"&amp;M$4&amp;"*",集計用!$G:$G, "*, "&amp;$C7&amp;",*"))/$B7*100</f>
        <v>0.69444444444444442</v>
      </c>
      <c r="N7" s="41">
        <f>(COUNTIFS(集計用!$J:$J, "*"&amp;N$4&amp;"*",集計用!$G:$G, "*, "&amp;$C7&amp;",*"))/$B7*100</f>
        <v>0</v>
      </c>
      <c r="O7" s="41">
        <f>(COUNTIFS(集計用!$J:$J, "*"&amp;O$4&amp;"*",集計用!$G:$G, "*, "&amp;$C7&amp;",*"))/$B7*100</f>
        <v>0</v>
      </c>
      <c r="P7" s="41">
        <f>(COUNTIFS(集計用!$J:$J, "*"&amp;P$4&amp;"*",集計用!$G:$G, "*, "&amp;$C7&amp;",*"))/$B7*100</f>
        <v>0.69444444444444442</v>
      </c>
      <c r="Q7" s="41">
        <f>(COUNTIFS(集計用!$J:$J, "*"&amp;Q$4&amp;"*",集計用!$G:$G, "*, "&amp;$C7&amp;",*"))/$B7*100</f>
        <v>0</v>
      </c>
      <c r="R7" s="41">
        <f>(COUNTIFS(集計用!$J:$J, "*"&amp;R$4&amp;"*",集計用!$G:$G, "*, "&amp;$C7&amp;",*"))/$B7*100</f>
        <v>0.69444444444444442</v>
      </c>
      <c r="S7" s="41">
        <f>(COUNTIFS(集計用!$J:$J, "*"&amp;S$4&amp;"*",集計用!$G:$G, "*, "&amp;$C7&amp;",*"))/$B7*100</f>
        <v>0</v>
      </c>
      <c r="T7" s="41">
        <f>(COUNTIFS(集計用!$J:$J, "*"&amp;T$4&amp;"*",集計用!$G:$G, "*, "&amp;$C7&amp;",*"))/$B7*100</f>
        <v>0.69444444444444442</v>
      </c>
      <c r="U7" s="41">
        <f>(COUNTIFS(集計用!$J:$J, "*"&amp;U$4&amp;"*",集計用!$G:$G, "*, "&amp;$C7&amp;",*"))/$B7*100</f>
        <v>0</v>
      </c>
      <c r="V7" s="41">
        <f>(COUNTIFS(集計用!$J:$J, "*"&amp;V$4&amp;"*",集計用!$G:$G, "*, "&amp;$C7&amp;",*"))/$B7*100</f>
        <v>0</v>
      </c>
      <c r="W7" s="41">
        <f>(COUNTIFS(集計用!$J:$J, "*"&amp;W$4&amp;"*",集計用!$G:$G, "*, "&amp;$C7&amp;",*"))/$B7*100</f>
        <v>0.69444444444444442</v>
      </c>
    </row>
    <row r="8" spans="1:23" ht="15.75" customHeight="1">
      <c r="A8" s="39">
        <v>2</v>
      </c>
      <c r="B8" s="39">
        <f>(COUNTIFS(集計用!$G:$G,"*, "&amp;$C8&amp;",*",集計用!$G:$G, "&lt;&gt;無回答 , "))</f>
        <v>121</v>
      </c>
      <c r="C8" s="42" t="s">
        <v>2</v>
      </c>
      <c r="D8" s="41">
        <f>(COUNTIFS(集計用!$K:$K, "*, "&amp;D$4&amp;", *",集計用!$G:$G, "*, "&amp;$C8&amp;",*"))/$B8*100</f>
        <v>85.123966942148769</v>
      </c>
      <c r="E8" s="41">
        <f>(COUNTIFS(集計用!$K:$K, "*, "&amp;E$4&amp;", *",集計用!$G:$G, "*, "&amp;$C8&amp;",*"))/$B8*100</f>
        <v>28.925619834710741</v>
      </c>
      <c r="F8" s="41">
        <f>(COUNTIFS(集計用!$K:$K, "*, "&amp;F$4&amp;", *",集計用!$G:$G, "*, "&amp;$C8&amp;",*"))/$B8*100</f>
        <v>26.446280991735538</v>
      </c>
      <c r="G8" s="41">
        <f>(COUNTIFS(集計用!$K:$K, "*, "&amp;G$4&amp;", *",集計用!$G:$G, "*, "&amp;$C8&amp;",*"))/$B8*100</f>
        <v>19.834710743801654</v>
      </c>
      <c r="H8" s="41">
        <f>(COUNTIFS(集計用!$K:$K, "*, "&amp;H$4&amp;", *",集計用!$G:$G, "*, "&amp;$C8&amp;",*"))/$B8*100</f>
        <v>16.528925619834713</v>
      </c>
      <c r="I8" s="41">
        <f>(COUNTIFS(集計用!$K:$K, "*, "&amp;I$4&amp;", *",集計用!$G:$G, "*, "&amp;$C8&amp;",*"))/$B8*100</f>
        <v>19.008264462809919</v>
      </c>
      <c r="J8" s="41">
        <f>(COUNTIFS(集計用!$K:$K, "*, "&amp;J$4&amp;", *",集計用!$G:$G, "*, "&amp;$C8&amp;",*"))/$B8*100</f>
        <v>15.702479338842975</v>
      </c>
      <c r="K8" s="41">
        <f>(COUNTIFS(集計用!$K:$K, "*, "&amp;K$4&amp;", *",集計用!$G:$G, "*, "&amp;$C8&amp;",*"))/$B8*100</f>
        <v>4.1322314049586781</v>
      </c>
      <c r="L8" s="41">
        <f>(COUNTIFS(集計用!$J:$J, "*"&amp;L$4&amp;"*",集計用!$G:$G, "*, "&amp;$C8&amp;",*"))/$B8*100</f>
        <v>0.82644628099173556</v>
      </c>
      <c r="M8" s="41">
        <f>(COUNTIFS(集計用!$J:$J, "*"&amp;M$4&amp;"*",集計用!$G:$G, "*, "&amp;$C8&amp;",*"))/$B8*100</f>
        <v>0</v>
      </c>
      <c r="N8" s="41">
        <f>(COUNTIFS(集計用!$J:$J, "*"&amp;N$4&amp;"*",集計用!$G:$G, "*, "&amp;$C8&amp;",*"))/$B8*100</f>
        <v>0.82644628099173556</v>
      </c>
      <c r="O8" s="41">
        <f>(COUNTIFS(集計用!$J:$J, "*"&amp;O$4&amp;"*",集計用!$G:$G, "*, "&amp;$C8&amp;",*"))/$B8*100</f>
        <v>0.82644628099173556</v>
      </c>
      <c r="P8" s="41">
        <f>(COUNTIFS(集計用!$J:$J, "*"&amp;P$4&amp;"*",集計用!$G:$G, "*, "&amp;$C8&amp;",*"))/$B8*100</f>
        <v>0.82644628099173556</v>
      </c>
      <c r="Q8" s="41">
        <f>(COUNTIFS(集計用!$J:$J, "*"&amp;Q$4&amp;"*",集計用!$G:$G, "*, "&amp;$C8&amp;",*"))/$B8*100</f>
        <v>0</v>
      </c>
      <c r="R8" s="41">
        <f>(COUNTIFS(集計用!$J:$J, "*"&amp;R$4&amp;"*",集計用!$G:$G, "*, "&amp;$C8&amp;",*"))/$B8*100</f>
        <v>0</v>
      </c>
      <c r="S8" s="41">
        <f>(COUNTIFS(集計用!$J:$J, "*"&amp;S$4&amp;"*",集計用!$G:$G, "*, "&amp;$C8&amp;",*"))/$B8*100</f>
        <v>0.82644628099173556</v>
      </c>
      <c r="T8" s="41">
        <f>(COUNTIFS(集計用!$J:$J, "*"&amp;T$4&amp;"*",集計用!$G:$G, "*, "&amp;$C8&amp;",*"))/$B8*100</f>
        <v>0</v>
      </c>
      <c r="U8" s="41">
        <f>(COUNTIFS(集計用!$J:$J, "*"&amp;U$4&amp;"*",集計用!$G:$G, "*, "&amp;$C8&amp;",*"))/$B8*100</f>
        <v>0.82644628099173556</v>
      </c>
      <c r="V8" s="41">
        <f>(COUNTIFS(集計用!$J:$J, "*"&amp;V$4&amp;"*",集計用!$G:$G, "*, "&amp;$C8&amp;",*"))/$B8*100</f>
        <v>0</v>
      </c>
      <c r="W8" s="41">
        <f>(COUNTIFS(集計用!$J:$J, "*"&amp;W$4&amp;"*",集計用!$G:$G, "*, "&amp;$C8&amp;",*"))/$B8*100</f>
        <v>0</v>
      </c>
    </row>
    <row r="9" spans="1:23" ht="15.75" customHeight="1">
      <c r="A9" s="39">
        <v>1</v>
      </c>
      <c r="B9" s="39">
        <f>(COUNTIFS(集計用!$G:$G,"*, "&amp;$C9&amp;",*",集計用!$G:$G, "&lt;&gt;無回答 , "))</f>
        <v>86</v>
      </c>
      <c r="C9" s="42" t="s">
        <v>3</v>
      </c>
      <c r="D9" s="41">
        <f>(COUNTIFS(集計用!$K:$K, "*, "&amp;D$4&amp;", *",集計用!$G:$G, "*, "&amp;$C9&amp;",*"))/$B9*100</f>
        <v>80.232558139534888</v>
      </c>
      <c r="E9" s="41">
        <f>(COUNTIFS(集計用!$K:$K, "*, "&amp;E$4&amp;", *",集計用!$G:$G, "*, "&amp;$C9&amp;",*"))/$B9*100</f>
        <v>30.232558139534881</v>
      </c>
      <c r="F9" s="41">
        <f>(COUNTIFS(集計用!$K:$K, "*, "&amp;F$4&amp;", *",集計用!$G:$G, "*, "&amp;$C9&amp;",*"))/$B9*100</f>
        <v>32.558139534883722</v>
      </c>
      <c r="G9" s="41">
        <f>(COUNTIFS(集計用!$K:$K, "*, "&amp;G$4&amp;", *",集計用!$G:$G, "*, "&amp;$C9&amp;",*"))/$B9*100</f>
        <v>24.418604651162788</v>
      </c>
      <c r="H9" s="41">
        <f>(COUNTIFS(集計用!$K:$K, "*, "&amp;H$4&amp;", *",集計用!$G:$G, "*, "&amp;$C9&amp;",*"))/$B9*100</f>
        <v>20.930232558139537</v>
      </c>
      <c r="I9" s="41">
        <f>(COUNTIFS(集計用!$K:$K, "*, "&amp;I$4&amp;", *",集計用!$G:$G, "*, "&amp;$C9&amp;",*"))/$B9*100</f>
        <v>26.744186046511626</v>
      </c>
      <c r="J9" s="41">
        <f>(COUNTIFS(集計用!$K:$K, "*, "&amp;J$4&amp;", *",集計用!$G:$G, "*, "&amp;$C9&amp;",*"))/$B9*100</f>
        <v>19.767441860465116</v>
      </c>
      <c r="K9" s="41">
        <f>(COUNTIFS(集計用!$K:$K, "*, "&amp;K$4&amp;", *",集計用!$G:$G, "*, "&amp;$C9&amp;",*"))/$B9*100</f>
        <v>3.4883720930232558</v>
      </c>
      <c r="L9" s="41">
        <f>(COUNTIFS(集計用!$J:$J, "*"&amp;L$4&amp;"*",集計用!$G:$G, "*, "&amp;$C9&amp;",*"))/$B9*100</f>
        <v>1.1627906976744187</v>
      </c>
      <c r="M9" s="41">
        <f>(COUNTIFS(集計用!$J:$J, "*"&amp;M$4&amp;"*",集計用!$G:$G, "*, "&amp;$C9&amp;",*"))/$B9*100</f>
        <v>0</v>
      </c>
      <c r="N9" s="41">
        <f>(COUNTIFS(集計用!$J:$J, "*"&amp;N$4&amp;"*",集計用!$G:$G, "*, "&amp;$C9&amp;",*"))/$B9*100</f>
        <v>0</v>
      </c>
      <c r="O9" s="41">
        <f>(COUNTIFS(集計用!$J:$J, "*"&amp;O$4&amp;"*",集計用!$G:$G, "*, "&amp;$C9&amp;",*"))/$B9*100</f>
        <v>0</v>
      </c>
      <c r="P9" s="41">
        <f>(COUNTIFS(集計用!$J:$J, "*"&amp;P$4&amp;"*",集計用!$G:$G, "*, "&amp;$C9&amp;",*"))/$B9*100</f>
        <v>1.1627906976744187</v>
      </c>
      <c r="Q9" s="41">
        <f>(COUNTIFS(集計用!$J:$J, "*"&amp;Q$4&amp;"*",集計用!$G:$G, "*, "&amp;$C9&amp;",*"))/$B9*100</f>
        <v>1.1627906976744187</v>
      </c>
      <c r="R9" s="41">
        <f>(COUNTIFS(集計用!$J:$J, "*"&amp;R$4&amp;"*",集計用!$G:$G, "*, "&amp;$C9&amp;",*"))/$B9*100</f>
        <v>0</v>
      </c>
      <c r="S9" s="41">
        <f>(COUNTIFS(集計用!$J:$J, "*"&amp;S$4&amp;"*",集計用!$G:$G, "*, "&amp;$C9&amp;",*"))/$B9*100</f>
        <v>1.1627906976744187</v>
      </c>
      <c r="T9" s="41">
        <f>(COUNTIFS(集計用!$J:$J, "*"&amp;T$4&amp;"*",集計用!$G:$G, "*, "&amp;$C9&amp;",*"))/$B9*100</f>
        <v>0</v>
      </c>
      <c r="U9" s="41">
        <f>(COUNTIFS(集計用!$J:$J, "*"&amp;U$4&amp;"*",集計用!$G:$G, "*, "&amp;$C9&amp;",*"))/$B9*100</f>
        <v>0</v>
      </c>
      <c r="V9" s="41">
        <f>(COUNTIFS(集計用!$J:$J, "*"&amp;V$4&amp;"*",集計用!$G:$G, "*, "&amp;$C9&amp;",*"))/$B9*100</f>
        <v>0</v>
      </c>
      <c r="W9" s="41">
        <f>(COUNTIFS(集計用!$J:$J, "*"&amp;W$4&amp;"*",集計用!$G:$G, "*, "&amp;$C9&amp;",*"))/$B9*100</f>
        <v>1.1627906976744187</v>
      </c>
    </row>
    <row r="10" spans="1:23" ht="15.75" customHeight="1">
      <c r="A10" s="39">
        <v>3</v>
      </c>
      <c r="B10" s="39">
        <f>(COUNTIFS(集計用!$G:$G,"*, "&amp;$C10&amp;",*",集計用!$G:$G, "&lt;&gt;無回答 , "))</f>
        <v>86</v>
      </c>
      <c r="C10" s="42" t="s">
        <v>4</v>
      </c>
      <c r="D10" s="41">
        <f>(COUNTIFS(集計用!$K:$K, "*, "&amp;D$4&amp;", *",集計用!$G:$G, "*, "&amp;$C10&amp;",*"))/$B10*100</f>
        <v>74.418604651162795</v>
      </c>
      <c r="E10" s="41">
        <f>(COUNTIFS(集計用!$K:$K, "*, "&amp;E$4&amp;", *",集計用!$G:$G, "*, "&amp;$C10&amp;",*"))/$B10*100</f>
        <v>30.232558139534881</v>
      </c>
      <c r="F10" s="41">
        <f>(COUNTIFS(集計用!$K:$K, "*, "&amp;F$4&amp;", *",集計用!$G:$G, "*, "&amp;$C10&amp;",*"))/$B10*100</f>
        <v>31.395348837209301</v>
      </c>
      <c r="G10" s="41">
        <f>(COUNTIFS(集計用!$K:$K, "*, "&amp;G$4&amp;", *",集計用!$G:$G, "*, "&amp;$C10&amp;",*"))/$B10*100</f>
        <v>20.930232558139537</v>
      </c>
      <c r="H10" s="41">
        <f>(COUNTIFS(集計用!$K:$K, "*, "&amp;H$4&amp;", *",集計用!$G:$G, "*, "&amp;$C10&amp;",*"))/$B10*100</f>
        <v>17.441860465116278</v>
      </c>
      <c r="I10" s="41">
        <f>(COUNTIFS(集計用!$K:$K, "*, "&amp;I$4&amp;", *",集計用!$G:$G, "*, "&amp;$C10&amp;",*"))/$B10*100</f>
        <v>17.441860465116278</v>
      </c>
      <c r="J10" s="41">
        <f>(COUNTIFS(集計用!$K:$K, "*, "&amp;J$4&amp;", *",集計用!$G:$G, "*, "&amp;$C10&amp;",*"))/$B10*100</f>
        <v>17.441860465116278</v>
      </c>
      <c r="K10" s="41">
        <f>(COUNTIFS(集計用!$K:$K, "*, "&amp;K$4&amp;", *",集計用!$G:$G, "*, "&amp;$C10&amp;",*"))/$B10*100</f>
        <v>1.1627906976744187</v>
      </c>
      <c r="L10" s="41">
        <f>(COUNTIFS(集計用!$J:$J, "*"&amp;L$4&amp;"*",集計用!$G:$G, "*, "&amp;$C10&amp;",*"))/$B10*100</f>
        <v>5.8139534883720927</v>
      </c>
      <c r="M10" s="41">
        <f>(COUNTIFS(集計用!$J:$J, "*"&amp;M$4&amp;"*",集計用!$G:$G, "*, "&amp;$C10&amp;",*"))/$B10*100</f>
        <v>0</v>
      </c>
      <c r="N10" s="41">
        <f>(COUNTIFS(集計用!$J:$J, "*"&amp;N$4&amp;"*",集計用!$G:$G, "*, "&amp;$C10&amp;",*"))/$B10*100</f>
        <v>0</v>
      </c>
      <c r="O10" s="41">
        <f>(COUNTIFS(集計用!$J:$J, "*"&amp;O$4&amp;"*",集計用!$G:$G, "*, "&amp;$C10&amp;",*"))/$B10*100</f>
        <v>0</v>
      </c>
      <c r="P10" s="41">
        <f>(COUNTIFS(集計用!$J:$J, "*"&amp;P$4&amp;"*",集計用!$G:$G, "*, "&amp;$C10&amp;",*"))/$B10*100</f>
        <v>0</v>
      </c>
      <c r="Q10" s="41">
        <f>(COUNTIFS(集計用!$J:$J, "*"&amp;Q$4&amp;"*",集計用!$G:$G, "*, "&amp;$C10&amp;",*"))/$B10*100</f>
        <v>0</v>
      </c>
      <c r="R10" s="41">
        <f>(COUNTIFS(集計用!$J:$J, "*"&amp;R$4&amp;"*",集計用!$G:$G, "*, "&amp;$C10&amp;",*"))/$B10*100</f>
        <v>1.1627906976744187</v>
      </c>
      <c r="S10" s="41">
        <f>(COUNTIFS(集計用!$J:$J, "*"&amp;S$4&amp;"*",集計用!$G:$G, "*, "&amp;$C10&amp;",*"))/$B10*100</f>
        <v>0</v>
      </c>
      <c r="T10" s="41">
        <f>(COUNTIFS(集計用!$J:$J, "*"&amp;T$4&amp;"*",集計用!$G:$G, "*, "&amp;$C10&amp;",*"))/$B10*100</f>
        <v>0</v>
      </c>
      <c r="U10" s="41">
        <f>(COUNTIFS(集計用!$J:$J, "*"&amp;U$4&amp;"*",集計用!$G:$G, "*, "&amp;$C10&amp;",*"))/$B10*100</f>
        <v>0</v>
      </c>
      <c r="V10" s="41">
        <f>(COUNTIFS(集計用!$J:$J, "*"&amp;V$4&amp;"*",集計用!$G:$G, "*, "&amp;$C10&amp;",*"))/$B10*100</f>
        <v>0</v>
      </c>
      <c r="W10" s="41">
        <f>(COUNTIFS(集計用!$J:$J, "*"&amp;W$4&amp;"*",集計用!$G:$G, "*, "&amp;$C10&amp;",*"))/$B10*100</f>
        <v>0</v>
      </c>
    </row>
    <row r="11" spans="1:23" ht="15.75" customHeight="1">
      <c r="A11" s="39">
        <v>4</v>
      </c>
      <c r="B11" s="39">
        <f>(COUNTIFS(集計用!$G:$G,"*, "&amp;$C11&amp;",*",集計用!$G:$G, "&lt;&gt;無回答 , "))</f>
        <v>75</v>
      </c>
      <c r="C11" s="42" t="s">
        <v>5</v>
      </c>
      <c r="D11" s="41">
        <f>(COUNTIFS(集計用!$K:$K, "*, "&amp;D$4&amp;", *",集計用!$G:$G, "*, "&amp;$C11&amp;",*"))/$B11*100</f>
        <v>90.666666666666657</v>
      </c>
      <c r="E11" s="41">
        <f>(COUNTIFS(集計用!$K:$K, "*, "&amp;E$4&amp;", *",集計用!$G:$G, "*, "&amp;$C11&amp;",*"))/$B11*100</f>
        <v>29.333333333333332</v>
      </c>
      <c r="F11" s="41">
        <f>(COUNTIFS(集計用!$K:$K, "*, "&amp;F$4&amp;", *",集計用!$G:$G, "*, "&amp;$C11&amp;",*"))/$B11*100</f>
        <v>26.666666666666668</v>
      </c>
      <c r="G11" s="41">
        <f>(COUNTIFS(集計用!$K:$K, "*, "&amp;G$4&amp;", *",集計用!$G:$G, "*, "&amp;$C11&amp;",*"))/$B11*100</f>
        <v>33.333333333333329</v>
      </c>
      <c r="H11" s="41">
        <f>(COUNTIFS(集計用!$K:$K, "*, "&amp;H$4&amp;", *",集計用!$G:$G, "*, "&amp;$C11&amp;",*"))/$B11*100</f>
        <v>24</v>
      </c>
      <c r="I11" s="41">
        <f>(COUNTIFS(集計用!$K:$K, "*, "&amp;I$4&amp;", *",集計用!$G:$G, "*, "&amp;$C11&amp;",*"))/$B11*100</f>
        <v>25.333333333333336</v>
      </c>
      <c r="J11" s="41">
        <f>(COUNTIFS(集計用!$K:$K, "*, "&amp;J$4&amp;", *",集計用!$G:$G, "*, "&amp;$C11&amp;",*"))/$B11*100</f>
        <v>20</v>
      </c>
      <c r="K11" s="41">
        <f>(COUNTIFS(集計用!$K:$K, "*, "&amp;K$4&amp;", *",集計用!$G:$G, "*, "&amp;$C11&amp;",*"))/$B11*100</f>
        <v>6.666666666666667</v>
      </c>
      <c r="L11" s="41">
        <f>(COUNTIFS(集計用!$J:$J, "*"&amp;L$4&amp;"*",集計用!$G:$G, "*, "&amp;$C11&amp;",*"))/$B11*100</f>
        <v>1.3333333333333335</v>
      </c>
      <c r="M11" s="41">
        <f>(COUNTIFS(集計用!$J:$J, "*"&amp;M$4&amp;"*",集計用!$G:$G, "*, "&amp;$C11&amp;",*"))/$B11*100</f>
        <v>0</v>
      </c>
      <c r="N11" s="41">
        <f>(COUNTIFS(集計用!$J:$J, "*"&amp;N$4&amp;"*",集計用!$G:$G, "*, "&amp;$C11&amp;",*"))/$B11*100</f>
        <v>0</v>
      </c>
      <c r="O11" s="41">
        <f>(COUNTIFS(集計用!$J:$J, "*"&amp;O$4&amp;"*",集計用!$G:$G, "*, "&amp;$C11&amp;",*"))/$B11*100</f>
        <v>0</v>
      </c>
      <c r="P11" s="41">
        <f>(COUNTIFS(集計用!$J:$J, "*"&amp;P$4&amp;"*",集計用!$G:$G, "*, "&amp;$C11&amp;",*"))/$B11*100</f>
        <v>1.3333333333333335</v>
      </c>
      <c r="Q11" s="41">
        <f>(COUNTIFS(集計用!$J:$J, "*"&amp;Q$4&amp;"*",集計用!$G:$G, "*, "&amp;$C11&amp;",*"))/$B11*100</f>
        <v>1.3333333333333335</v>
      </c>
      <c r="R11" s="41">
        <f>(COUNTIFS(集計用!$J:$J, "*"&amp;R$4&amp;"*",集計用!$G:$G, "*, "&amp;$C11&amp;",*"))/$B11*100</f>
        <v>1.3333333333333335</v>
      </c>
      <c r="S11" s="41">
        <f>(COUNTIFS(集計用!$J:$J, "*"&amp;S$4&amp;"*",集計用!$G:$G, "*, "&amp;$C11&amp;",*"))/$B11*100</f>
        <v>0</v>
      </c>
      <c r="T11" s="41">
        <f>(COUNTIFS(集計用!$J:$J, "*"&amp;T$4&amp;"*",集計用!$G:$G, "*, "&amp;$C11&amp;",*"))/$B11*100</f>
        <v>0</v>
      </c>
      <c r="U11" s="41">
        <f>(COUNTIFS(集計用!$J:$J, "*"&amp;U$4&amp;"*",集計用!$G:$G, "*, "&amp;$C11&amp;",*"))/$B11*100</f>
        <v>0</v>
      </c>
      <c r="V11" s="41">
        <f>(COUNTIFS(集計用!$J:$J, "*"&amp;V$4&amp;"*",集計用!$G:$G, "*, "&amp;$C11&amp;",*"))/$B11*100</f>
        <v>0</v>
      </c>
      <c r="W11" s="41">
        <f>(COUNTIFS(集計用!$J:$J, "*"&amp;W$4&amp;"*",集計用!$G:$G, "*, "&amp;$C11&amp;",*"))/$B11*100</f>
        <v>0</v>
      </c>
    </row>
    <row r="12" spans="1:23" ht="15.75" customHeight="1">
      <c r="A12" s="39">
        <v>1</v>
      </c>
      <c r="B12" s="39">
        <f>(COUNTIFS(集計用!$G:$G,"*, "&amp;$C12&amp;",*",集計用!$G:$G, "&lt;&gt;無回答 , "))</f>
        <v>74</v>
      </c>
      <c r="C12" s="42" t="s">
        <v>6</v>
      </c>
      <c r="D12" s="41">
        <f>(COUNTIFS(集計用!$K:$K, "*, "&amp;D$4&amp;", *",集計用!$G:$G, "*, "&amp;$C12&amp;",*"))/$B12*100</f>
        <v>90.540540540540533</v>
      </c>
      <c r="E12" s="41">
        <f>(COUNTIFS(集計用!$K:$K, "*, "&amp;E$4&amp;", *",集計用!$G:$G, "*, "&amp;$C12&amp;",*"))/$B12*100</f>
        <v>32.432432432432435</v>
      </c>
      <c r="F12" s="41">
        <f>(COUNTIFS(集計用!$K:$K, "*, "&amp;F$4&amp;", *",集計用!$G:$G, "*, "&amp;$C12&amp;",*"))/$B12*100</f>
        <v>24.324324324324326</v>
      </c>
      <c r="G12" s="41">
        <f>(COUNTIFS(集計用!$K:$K, "*, "&amp;G$4&amp;", *",集計用!$G:$G, "*, "&amp;$C12&amp;",*"))/$B12*100</f>
        <v>25.675675675675674</v>
      </c>
      <c r="H12" s="41">
        <f>(COUNTIFS(集計用!$K:$K, "*, "&amp;H$4&amp;", *",集計用!$G:$G, "*, "&amp;$C12&amp;",*"))/$B12*100</f>
        <v>20.27027027027027</v>
      </c>
      <c r="I12" s="41">
        <f>(COUNTIFS(集計用!$K:$K, "*, "&amp;I$4&amp;", *",集計用!$G:$G, "*, "&amp;$C12&amp;",*"))/$B12*100</f>
        <v>24.324324324324326</v>
      </c>
      <c r="J12" s="41">
        <f>(COUNTIFS(集計用!$K:$K, "*, "&amp;J$4&amp;", *",集計用!$G:$G, "*, "&amp;$C12&amp;",*"))/$B12*100</f>
        <v>14.864864864864865</v>
      </c>
      <c r="K12" s="41">
        <f>(COUNTIFS(集計用!$K:$K, "*, "&amp;K$4&amp;", *",集計用!$G:$G, "*, "&amp;$C12&amp;",*"))/$B12*100</f>
        <v>4.0540540540540544</v>
      </c>
      <c r="L12" s="41">
        <f>(COUNTIFS(集計用!$J:$J, "*"&amp;L$4&amp;"*",集計用!$G:$G, "*, "&amp;$C12&amp;",*"))/$B12*100</f>
        <v>2.7027027027027026</v>
      </c>
      <c r="M12" s="41">
        <f>(COUNTIFS(集計用!$J:$J, "*"&amp;M$4&amp;"*",集計用!$G:$G, "*, "&amp;$C12&amp;",*"))/$B12*100</f>
        <v>0</v>
      </c>
      <c r="N12" s="41">
        <f>(COUNTIFS(集計用!$J:$J, "*"&amp;N$4&amp;"*",集計用!$G:$G, "*, "&amp;$C12&amp;",*"))/$B12*100</f>
        <v>0</v>
      </c>
      <c r="O12" s="41">
        <f>(COUNTIFS(集計用!$J:$J, "*"&amp;O$4&amp;"*",集計用!$G:$G, "*, "&amp;$C12&amp;",*"))/$B12*100</f>
        <v>0</v>
      </c>
      <c r="P12" s="41">
        <f>(COUNTIFS(集計用!$J:$J, "*"&amp;P$4&amp;"*",集計用!$G:$G, "*, "&amp;$C12&amp;",*"))/$B12*100</f>
        <v>1.3513513513513513</v>
      </c>
      <c r="Q12" s="41">
        <f>(COUNTIFS(集計用!$J:$J, "*"&amp;Q$4&amp;"*",集計用!$G:$G, "*, "&amp;$C12&amp;",*"))/$B12*100</f>
        <v>0</v>
      </c>
      <c r="R12" s="41">
        <f>(COUNTIFS(集計用!$J:$J, "*"&amp;R$4&amp;"*",集計用!$G:$G, "*, "&amp;$C12&amp;",*"))/$B12*100</f>
        <v>1.3513513513513513</v>
      </c>
      <c r="S12" s="41">
        <f>(COUNTIFS(集計用!$J:$J, "*"&amp;S$4&amp;"*",集計用!$G:$G, "*, "&amp;$C12&amp;",*"))/$B12*100</f>
        <v>0</v>
      </c>
      <c r="T12" s="41">
        <f>(COUNTIFS(集計用!$J:$J, "*"&amp;T$4&amp;"*",集計用!$G:$G, "*, "&amp;$C12&amp;",*"))/$B12*100</f>
        <v>0</v>
      </c>
      <c r="U12" s="41">
        <f>(COUNTIFS(集計用!$J:$J, "*"&amp;U$4&amp;"*",集計用!$G:$G, "*, "&amp;$C12&amp;",*"))/$B12*100</f>
        <v>0</v>
      </c>
      <c r="V12" s="41">
        <f>(COUNTIFS(集計用!$J:$J, "*"&amp;V$4&amp;"*",集計用!$G:$G, "*, "&amp;$C12&amp;",*"))/$B12*100</f>
        <v>0</v>
      </c>
      <c r="W12" s="41">
        <f>(COUNTIFS(集計用!$J:$J, "*"&amp;W$4&amp;"*",集計用!$G:$G, "*, "&amp;$C12&amp;",*"))/$B12*100</f>
        <v>0</v>
      </c>
    </row>
    <row r="13" spans="1:23" ht="15.75" customHeight="1">
      <c r="A13" s="39">
        <v>1</v>
      </c>
      <c r="B13" s="39">
        <f>(COUNTIFS(集計用!$G:$G,"*, "&amp;$C13&amp;",*",集計用!$G:$G, "&lt;&gt;無回答 , "))</f>
        <v>71</v>
      </c>
      <c r="C13" s="42" t="s">
        <v>7</v>
      </c>
      <c r="D13" s="41">
        <f>(COUNTIFS(集計用!$K:$K, "*, "&amp;D$4&amp;", *",集計用!$G:$G, "*, "&amp;$C13&amp;",*"))/$B13*100</f>
        <v>85.91549295774648</v>
      </c>
      <c r="E13" s="41">
        <f>(COUNTIFS(集計用!$K:$K, "*, "&amp;E$4&amp;", *",集計用!$G:$G, "*, "&amp;$C13&amp;",*"))/$B13*100</f>
        <v>32.394366197183103</v>
      </c>
      <c r="F13" s="41">
        <f>(COUNTIFS(集計用!$K:$K, "*, "&amp;F$4&amp;", *",集計用!$G:$G, "*, "&amp;$C13&amp;",*"))/$B13*100</f>
        <v>32.394366197183103</v>
      </c>
      <c r="G13" s="41">
        <f>(COUNTIFS(集計用!$K:$K, "*, "&amp;G$4&amp;", *",集計用!$G:$G, "*, "&amp;$C13&amp;",*"))/$B13*100</f>
        <v>19.718309859154928</v>
      </c>
      <c r="H13" s="41">
        <f>(COUNTIFS(集計用!$K:$K, "*, "&amp;H$4&amp;", *",集計用!$G:$G, "*, "&amp;$C13&amp;",*"))/$B13*100</f>
        <v>23.943661971830984</v>
      </c>
      <c r="I13" s="41">
        <f>(COUNTIFS(集計用!$K:$K, "*, "&amp;I$4&amp;", *",集計用!$G:$G, "*, "&amp;$C13&amp;",*"))/$B13*100</f>
        <v>25.352112676056336</v>
      </c>
      <c r="J13" s="41">
        <f>(COUNTIFS(集計用!$K:$K, "*, "&amp;J$4&amp;", *",集計用!$G:$G, "*, "&amp;$C13&amp;",*"))/$B13*100</f>
        <v>21.12676056338028</v>
      </c>
      <c r="K13" s="41">
        <f>(COUNTIFS(集計用!$K:$K, "*, "&amp;K$4&amp;", *",集計用!$G:$G, "*, "&amp;$C13&amp;",*"))/$B13*100</f>
        <v>5.6338028169014089</v>
      </c>
      <c r="L13" s="41">
        <f>(COUNTIFS(集計用!$J:$J, "*"&amp;L$4&amp;"*",集計用!$G:$G, "*, "&amp;$C13&amp;",*"))/$B13*100</f>
        <v>2.8169014084507045</v>
      </c>
      <c r="M13" s="41">
        <f>(COUNTIFS(集計用!$J:$J, "*"&amp;M$4&amp;"*",集計用!$G:$G, "*, "&amp;$C13&amp;",*"))/$B13*100</f>
        <v>0</v>
      </c>
      <c r="N13" s="41">
        <f>(COUNTIFS(集計用!$J:$J, "*"&amp;N$4&amp;"*",集計用!$G:$G, "*, "&amp;$C13&amp;",*"))/$B13*100</f>
        <v>0</v>
      </c>
      <c r="O13" s="41">
        <f>(COUNTIFS(集計用!$J:$J, "*"&amp;O$4&amp;"*",集計用!$G:$G, "*, "&amp;$C13&amp;",*"))/$B13*100</f>
        <v>0</v>
      </c>
      <c r="P13" s="41">
        <f>(COUNTIFS(集計用!$J:$J, "*"&amp;P$4&amp;"*",集計用!$G:$G, "*, "&amp;$C13&amp;",*"))/$B13*100</f>
        <v>0</v>
      </c>
      <c r="Q13" s="41">
        <f>(COUNTIFS(集計用!$J:$J, "*"&amp;Q$4&amp;"*",集計用!$G:$G, "*, "&amp;$C13&amp;",*"))/$B13*100</f>
        <v>0</v>
      </c>
      <c r="R13" s="41">
        <f>(COUNTIFS(集計用!$J:$J, "*"&amp;R$4&amp;"*",集計用!$G:$G, "*, "&amp;$C13&amp;",*"))/$B13*100</f>
        <v>0</v>
      </c>
      <c r="S13" s="41">
        <f>(COUNTIFS(集計用!$J:$J, "*"&amp;S$4&amp;"*",集計用!$G:$G, "*, "&amp;$C13&amp;",*"))/$B13*100</f>
        <v>0</v>
      </c>
      <c r="T13" s="41">
        <f>(COUNTIFS(集計用!$J:$J, "*"&amp;T$4&amp;"*",集計用!$G:$G, "*, "&amp;$C13&amp;",*"))/$B13*100</f>
        <v>0</v>
      </c>
      <c r="U13" s="41">
        <f>(COUNTIFS(集計用!$J:$J, "*"&amp;U$4&amp;"*",集計用!$G:$G, "*, "&amp;$C13&amp;",*"))/$B13*100</f>
        <v>0</v>
      </c>
      <c r="V13" s="41">
        <f>(COUNTIFS(集計用!$J:$J, "*"&amp;V$4&amp;"*",集計用!$G:$G, "*, "&amp;$C13&amp;",*"))/$B13*100</f>
        <v>1.4084507042253522</v>
      </c>
      <c r="W13" s="41">
        <f>(COUNTIFS(集計用!$J:$J, "*"&amp;W$4&amp;"*",集計用!$G:$G, "*, "&amp;$C13&amp;",*"))/$B13*100</f>
        <v>0</v>
      </c>
    </row>
    <row r="14" spans="1:23" ht="15.75" customHeight="1">
      <c r="A14" s="39">
        <v>3</v>
      </c>
      <c r="B14" s="39">
        <f>(COUNTIFS(集計用!$G:$G,"*, "&amp;$C14&amp;",*",集計用!$G:$G, "&lt;&gt;無回答 , "))</f>
        <v>71</v>
      </c>
      <c r="C14" s="42" t="s">
        <v>8</v>
      </c>
      <c r="D14" s="41">
        <f>(COUNTIFS(集計用!$K:$K, "*, "&amp;D$4&amp;", *",集計用!$G:$G, "*, "&amp;$C14&amp;",*"))/$B14*100</f>
        <v>83.098591549295776</v>
      </c>
      <c r="E14" s="41">
        <f>(COUNTIFS(集計用!$K:$K, "*, "&amp;E$4&amp;", *",集計用!$G:$G, "*, "&amp;$C14&amp;",*"))/$B14*100</f>
        <v>22.535211267605636</v>
      </c>
      <c r="F14" s="41">
        <f>(COUNTIFS(集計用!$K:$K, "*, "&amp;F$4&amp;", *",集計用!$G:$G, "*, "&amp;$C14&amp;",*"))/$B14*100</f>
        <v>21.12676056338028</v>
      </c>
      <c r="G14" s="41">
        <f>(COUNTIFS(集計用!$K:$K, "*, "&amp;G$4&amp;", *",集計用!$G:$G, "*, "&amp;$C14&amp;",*"))/$B14*100</f>
        <v>14.084507042253522</v>
      </c>
      <c r="H14" s="41">
        <f>(COUNTIFS(集計用!$K:$K, "*, "&amp;H$4&amp;", *",集計用!$G:$G, "*, "&amp;$C14&amp;",*"))/$B14*100</f>
        <v>19.718309859154928</v>
      </c>
      <c r="I14" s="41">
        <f>(COUNTIFS(集計用!$K:$K, "*, "&amp;I$4&amp;", *",集計用!$G:$G, "*, "&amp;$C14&amp;",*"))/$B14*100</f>
        <v>19.718309859154928</v>
      </c>
      <c r="J14" s="41">
        <f>(COUNTIFS(集計用!$K:$K, "*, "&amp;J$4&amp;", *",集計用!$G:$G, "*, "&amp;$C14&amp;",*"))/$B14*100</f>
        <v>15.492957746478872</v>
      </c>
      <c r="K14" s="41">
        <f>(COUNTIFS(集計用!$K:$K, "*, "&amp;K$4&amp;", *",集計用!$G:$G, "*, "&amp;$C14&amp;",*"))/$B14*100</f>
        <v>2.8169014084507045</v>
      </c>
      <c r="L14" s="41">
        <f>(COUNTIFS(集計用!$J:$J, "*"&amp;L$4&amp;"*",集計用!$G:$G, "*, "&amp;$C14&amp;",*"))/$B14*100</f>
        <v>4.225352112676056</v>
      </c>
      <c r="M14" s="41">
        <f>(COUNTIFS(集計用!$J:$J, "*"&amp;M$4&amp;"*",集計用!$G:$G, "*, "&amp;$C14&amp;",*"))/$B14*100</f>
        <v>0</v>
      </c>
      <c r="N14" s="41">
        <f>(COUNTIFS(集計用!$J:$J, "*"&amp;N$4&amp;"*",集計用!$G:$G, "*, "&amp;$C14&amp;",*"))/$B14*100</f>
        <v>0</v>
      </c>
      <c r="O14" s="41">
        <f>(COUNTIFS(集計用!$J:$J, "*"&amp;O$4&amp;"*",集計用!$G:$G, "*, "&amp;$C14&amp;",*"))/$B14*100</f>
        <v>0</v>
      </c>
      <c r="P14" s="41">
        <f>(COUNTIFS(集計用!$J:$J, "*"&amp;P$4&amp;"*",集計用!$G:$G, "*, "&amp;$C14&amp;",*"))/$B14*100</f>
        <v>0</v>
      </c>
      <c r="Q14" s="41">
        <f>(COUNTIFS(集計用!$J:$J, "*"&amp;Q$4&amp;"*",集計用!$G:$G, "*, "&amp;$C14&amp;",*"))/$B14*100</f>
        <v>0</v>
      </c>
      <c r="R14" s="41">
        <f>(COUNTIFS(集計用!$J:$J, "*"&amp;R$4&amp;"*",集計用!$G:$G, "*, "&amp;$C14&amp;",*"))/$B14*100</f>
        <v>0</v>
      </c>
      <c r="S14" s="41">
        <f>(COUNTIFS(集計用!$J:$J, "*"&amp;S$4&amp;"*",集計用!$G:$G, "*, "&amp;$C14&amp;",*"))/$B14*100</f>
        <v>1.4084507042253522</v>
      </c>
      <c r="T14" s="41">
        <f>(COUNTIFS(集計用!$J:$J, "*"&amp;T$4&amp;"*",集計用!$G:$G, "*, "&amp;$C14&amp;",*"))/$B14*100</f>
        <v>0</v>
      </c>
      <c r="U14" s="41">
        <f>(COUNTIFS(集計用!$J:$J, "*"&amp;U$4&amp;"*",集計用!$G:$G, "*, "&amp;$C14&amp;",*"))/$B14*100</f>
        <v>0</v>
      </c>
      <c r="V14" s="41">
        <f>(COUNTIFS(集計用!$J:$J, "*"&amp;V$4&amp;"*",集計用!$G:$G, "*, "&amp;$C14&amp;",*"))/$B14*100</f>
        <v>0</v>
      </c>
      <c r="W14" s="41">
        <f>(COUNTIFS(集計用!$J:$J, "*"&amp;W$4&amp;"*",集計用!$G:$G, "*, "&amp;$C14&amp;",*"))/$B14*100</f>
        <v>0</v>
      </c>
    </row>
    <row r="15" spans="1:23" ht="15.75" customHeight="1">
      <c r="A15" s="39">
        <v>2</v>
      </c>
      <c r="B15" s="39">
        <f>(COUNTIFS(集計用!$G:$G,"*, "&amp;$C15&amp;",*",集計用!$G:$G, "&lt;&gt;無回答 , "))</f>
        <v>69</v>
      </c>
      <c r="C15" s="42" t="s">
        <v>9</v>
      </c>
      <c r="D15" s="41">
        <f>(COUNTIFS(集計用!$K:$K, "*, "&amp;D$4&amp;", *",集計用!$G:$G, "*, "&amp;$C15&amp;",*"))/$B15*100</f>
        <v>84.05797101449275</v>
      </c>
      <c r="E15" s="41">
        <f>(COUNTIFS(集計用!$K:$K, "*, "&amp;E$4&amp;", *",集計用!$G:$G, "*, "&amp;$C15&amp;",*"))/$B15*100</f>
        <v>30.434782608695656</v>
      </c>
      <c r="F15" s="41">
        <f>(COUNTIFS(集計用!$K:$K, "*, "&amp;F$4&amp;", *",集計用!$G:$G, "*, "&amp;$C15&amp;",*"))/$B15*100</f>
        <v>24.637681159420293</v>
      </c>
      <c r="G15" s="41">
        <f>(COUNTIFS(集計用!$K:$K, "*, "&amp;G$4&amp;", *",集計用!$G:$G, "*, "&amp;$C15&amp;",*"))/$B15*100</f>
        <v>20.289855072463769</v>
      </c>
      <c r="H15" s="41">
        <f>(COUNTIFS(集計用!$K:$K, "*, "&amp;H$4&amp;", *",集計用!$G:$G, "*, "&amp;$C15&amp;",*"))/$B15*100</f>
        <v>21.739130434782609</v>
      </c>
      <c r="I15" s="41">
        <f>(COUNTIFS(集計用!$K:$K, "*, "&amp;I$4&amp;", *",集計用!$G:$G, "*, "&amp;$C15&amp;",*"))/$B15*100</f>
        <v>15.942028985507244</v>
      </c>
      <c r="J15" s="41">
        <f>(COUNTIFS(集計用!$K:$K, "*, "&amp;J$4&amp;", *",集計用!$G:$G, "*, "&amp;$C15&amp;",*"))/$B15*100</f>
        <v>17.391304347826086</v>
      </c>
      <c r="K15" s="41">
        <f>(COUNTIFS(集計用!$K:$K, "*, "&amp;K$4&amp;", *",集計用!$G:$G, "*, "&amp;$C15&amp;",*"))/$B15*100</f>
        <v>5.7971014492753623</v>
      </c>
      <c r="L15" s="41">
        <f>(COUNTIFS(集計用!$J:$J, "*"&amp;L$4&amp;"*",集計用!$G:$G, "*, "&amp;$C15&amp;",*"))/$B15*100</f>
        <v>0</v>
      </c>
      <c r="M15" s="41">
        <f>(COUNTIFS(集計用!$J:$J, "*"&amp;M$4&amp;"*",集計用!$G:$G, "*, "&amp;$C15&amp;",*"))/$B15*100</f>
        <v>0</v>
      </c>
      <c r="N15" s="41">
        <f>(COUNTIFS(集計用!$J:$J, "*"&amp;N$4&amp;"*",集計用!$G:$G, "*, "&amp;$C15&amp;",*"))/$B15*100</f>
        <v>0</v>
      </c>
      <c r="O15" s="41">
        <f>(COUNTIFS(集計用!$J:$J, "*"&amp;O$4&amp;"*",集計用!$G:$G, "*, "&amp;$C15&amp;",*"))/$B15*100</f>
        <v>1.4492753623188406</v>
      </c>
      <c r="P15" s="41">
        <f>(COUNTIFS(集計用!$J:$J, "*"&amp;P$4&amp;"*",集計用!$G:$G, "*, "&amp;$C15&amp;",*"))/$B15*100</f>
        <v>0</v>
      </c>
      <c r="Q15" s="41">
        <f>(COUNTIFS(集計用!$J:$J, "*"&amp;Q$4&amp;"*",集計用!$G:$G, "*, "&amp;$C15&amp;",*"))/$B15*100</f>
        <v>0</v>
      </c>
      <c r="R15" s="41">
        <f>(COUNTIFS(集計用!$J:$J, "*"&amp;R$4&amp;"*",集計用!$G:$G, "*, "&amp;$C15&amp;",*"))/$B15*100</f>
        <v>0</v>
      </c>
      <c r="S15" s="41">
        <f>(COUNTIFS(集計用!$J:$J, "*"&amp;S$4&amp;"*",集計用!$G:$G, "*, "&amp;$C15&amp;",*"))/$B15*100</f>
        <v>1.4492753623188406</v>
      </c>
      <c r="T15" s="41">
        <f>(COUNTIFS(集計用!$J:$J, "*"&amp;T$4&amp;"*",集計用!$G:$G, "*, "&amp;$C15&amp;",*"))/$B15*100</f>
        <v>0</v>
      </c>
      <c r="U15" s="41">
        <f>(COUNTIFS(集計用!$J:$J, "*"&amp;U$4&amp;"*",集計用!$G:$G, "*, "&amp;$C15&amp;",*"))/$B15*100</f>
        <v>1.4492753623188406</v>
      </c>
      <c r="V15" s="41">
        <f>(COUNTIFS(集計用!$J:$J, "*"&amp;V$4&amp;"*",集計用!$G:$G, "*, "&amp;$C15&amp;",*"))/$B15*100</f>
        <v>0</v>
      </c>
      <c r="W15" s="41">
        <f>(COUNTIFS(集計用!$J:$J, "*"&amp;W$4&amp;"*",集計用!$G:$G, "*, "&amp;$C15&amp;",*"))/$B15*100</f>
        <v>0</v>
      </c>
    </row>
    <row r="16" spans="1:23" ht="15.75" customHeight="1">
      <c r="A16" s="39">
        <v>5</v>
      </c>
      <c r="B16" s="39">
        <f>(COUNTIFS(集計用!$G:$G,"*, "&amp;$C16&amp;",*",集計用!$G:$G, "&lt;&gt;無回答 , "))</f>
        <v>60</v>
      </c>
      <c r="C16" s="42" t="s">
        <v>10</v>
      </c>
      <c r="D16" s="41">
        <f>(COUNTIFS(集計用!$K:$K, "*, "&amp;D$4&amp;", *",集計用!$G:$G, "*, "&amp;$C16&amp;",*"))/$B16*100</f>
        <v>86.666666666666671</v>
      </c>
      <c r="E16" s="41">
        <f>(COUNTIFS(集計用!$K:$K, "*, "&amp;E$4&amp;", *",集計用!$G:$G, "*, "&amp;$C16&amp;",*"))/$B16*100</f>
        <v>41.666666666666671</v>
      </c>
      <c r="F16" s="41">
        <f>(COUNTIFS(集計用!$K:$K, "*, "&amp;F$4&amp;", *",集計用!$G:$G, "*, "&amp;$C16&amp;",*"))/$B16*100</f>
        <v>20</v>
      </c>
      <c r="G16" s="41">
        <f>(COUNTIFS(集計用!$K:$K, "*, "&amp;G$4&amp;", *",集計用!$G:$G, "*, "&amp;$C16&amp;",*"))/$B16*100</f>
        <v>25</v>
      </c>
      <c r="H16" s="41">
        <f>(COUNTIFS(集計用!$K:$K, "*, "&amp;H$4&amp;", *",集計用!$G:$G, "*, "&amp;$C16&amp;",*"))/$B16*100</f>
        <v>23.333333333333332</v>
      </c>
      <c r="I16" s="41">
        <f>(COUNTIFS(集計用!$K:$K, "*, "&amp;I$4&amp;", *",集計用!$G:$G, "*, "&amp;$C16&amp;",*"))/$B16*100</f>
        <v>13.333333333333334</v>
      </c>
      <c r="J16" s="41">
        <f>(COUNTIFS(集計用!$K:$K, "*, "&amp;J$4&amp;", *",集計用!$G:$G, "*, "&amp;$C16&amp;",*"))/$B16*100</f>
        <v>8.3333333333333321</v>
      </c>
      <c r="K16" s="41">
        <f>(COUNTIFS(集計用!$K:$K, "*, "&amp;K$4&amp;", *",集計用!$G:$G, "*, "&amp;$C16&amp;",*"))/$B16*100</f>
        <v>10</v>
      </c>
      <c r="L16" s="41">
        <f>(COUNTIFS(集計用!$J:$J, "*"&amp;L$4&amp;"*",集計用!$G:$G, "*, "&amp;$C16&amp;",*"))/$B16*100</f>
        <v>3.3333333333333335</v>
      </c>
      <c r="M16" s="41">
        <f>(COUNTIFS(集計用!$J:$J, "*"&amp;M$4&amp;"*",集計用!$G:$G, "*, "&amp;$C16&amp;",*"))/$B16*100</f>
        <v>1.6666666666666667</v>
      </c>
      <c r="N16" s="41">
        <f>(COUNTIFS(集計用!$J:$J, "*"&amp;N$4&amp;"*",集計用!$G:$G, "*, "&amp;$C16&amp;",*"))/$B16*100</f>
        <v>1.6666666666666667</v>
      </c>
      <c r="O16" s="41">
        <f>(COUNTIFS(集計用!$J:$J, "*"&amp;O$4&amp;"*",集計用!$G:$G, "*, "&amp;$C16&amp;",*"))/$B16*100</f>
        <v>1.6666666666666667</v>
      </c>
      <c r="P16" s="41">
        <f>(COUNTIFS(集計用!$J:$J, "*"&amp;P$4&amp;"*",集計用!$G:$G, "*, "&amp;$C16&amp;",*"))/$B16*100</f>
        <v>0</v>
      </c>
      <c r="Q16" s="41">
        <f>(COUNTIFS(集計用!$J:$J, "*"&amp;Q$4&amp;"*",集計用!$G:$G, "*, "&amp;$C16&amp;",*"))/$B16*100</f>
        <v>0</v>
      </c>
      <c r="R16" s="41">
        <f>(COUNTIFS(集計用!$J:$J, "*"&amp;R$4&amp;"*",集計用!$G:$G, "*, "&amp;$C16&amp;",*"))/$B16*100</f>
        <v>0</v>
      </c>
      <c r="S16" s="41">
        <f>(COUNTIFS(集計用!$J:$J, "*"&amp;S$4&amp;"*",集計用!$G:$G, "*, "&amp;$C16&amp;",*"))/$B16*100</f>
        <v>0</v>
      </c>
      <c r="T16" s="41">
        <f>(COUNTIFS(集計用!$J:$J, "*"&amp;T$4&amp;"*",集計用!$G:$G, "*, "&amp;$C16&amp;",*"))/$B16*100</f>
        <v>1.6666666666666667</v>
      </c>
      <c r="U16" s="41">
        <f>(COUNTIFS(集計用!$J:$J, "*"&amp;U$4&amp;"*",集計用!$G:$G, "*, "&amp;$C16&amp;",*"))/$B16*100</f>
        <v>0</v>
      </c>
      <c r="V16" s="41">
        <f>(COUNTIFS(集計用!$J:$J, "*"&amp;V$4&amp;"*",集計用!$G:$G, "*, "&amp;$C16&amp;",*"))/$B16*100</f>
        <v>0</v>
      </c>
      <c r="W16" s="41">
        <f>(COUNTIFS(集計用!$J:$J, "*"&amp;W$4&amp;"*",集計用!$G:$G, "*, "&amp;$C16&amp;",*"))/$B16*100</f>
        <v>0</v>
      </c>
    </row>
    <row r="17" spans="1:23" ht="15.75" customHeight="1">
      <c r="A17" s="39">
        <v>2</v>
      </c>
      <c r="B17" s="39">
        <f>(COUNTIFS(集計用!$G:$G,"*, "&amp;$C17&amp;",*",集計用!$G:$G, "&lt;&gt;無回答 , "))</f>
        <v>60</v>
      </c>
      <c r="C17" s="42" t="s">
        <v>11</v>
      </c>
      <c r="D17" s="41">
        <f>(COUNTIFS(集計用!$K:$K, "*, "&amp;D$4&amp;", *",集計用!$G:$G, "*, "&amp;$C17&amp;",*"))/$B17*100</f>
        <v>81.666666666666671</v>
      </c>
      <c r="E17" s="41">
        <f>(COUNTIFS(集計用!$K:$K, "*, "&amp;E$4&amp;", *",集計用!$G:$G, "*, "&amp;$C17&amp;",*"))/$B17*100</f>
        <v>26.666666666666668</v>
      </c>
      <c r="F17" s="41">
        <f>(COUNTIFS(集計用!$K:$K, "*, "&amp;F$4&amp;", *",集計用!$G:$G, "*, "&amp;$C17&amp;",*"))/$B17*100</f>
        <v>28.333333333333332</v>
      </c>
      <c r="G17" s="41">
        <f>(COUNTIFS(集計用!$K:$K, "*, "&amp;G$4&amp;", *",集計用!$G:$G, "*, "&amp;$C17&amp;",*"))/$B17*100</f>
        <v>25</v>
      </c>
      <c r="H17" s="41">
        <f>(COUNTIFS(集計用!$K:$K, "*, "&amp;H$4&amp;", *",集計用!$G:$G, "*, "&amp;$C17&amp;",*"))/$B17*100</f>
        <v>16.666666666666664</v>
      </c>
      <c r="I17" s="41">
        <f>(COUNTIFS(集計用!$K:$K, "*, "&amp;I$4&amp;", *",集計用!$G:$G, "*, "&amp;$C17&amp;",*"))/$B17*100</f>
        <v>21.666666666666668</v>
      </c>
      <c r="J17" s="41">
        <f>(COUNTIFS(集計用!$K:$K, "*, "&amp;J$4&amp;", *",集計用!$G:$G, "*, "&amp;$C17&amp;",*"))/$B17*100</f>
        <v>13.333333333333334</v>
      </c>
      <c r="K17" s="41">
        <f>(COUNTIFS(集計用!$K:$K, "*, "&amp;K$4&amp;", *",集計用!$G:$G, "*, "&amp;$C17&amp;",*"))/$B17*100</f>
        <v>6.666666666666667</v>
      </c>
      <c r="L17" s="41">
        <f>(COUNTIFS(集計用!$J:$J, "*"&amp;L$4&amp;"*",集計用!$G:$G, "*, "&amp;$C17&amp;",*"))/$B17*100</f>
        <v>0</v>
      </c>
      <c r="M17" s="41">
        <f>(COUNTIFS(集計用!$J:$J, "*"&amp;M$4&amp;"*",集計用!$G:$G, "*, "&amp;$C17&amp;",*"))/$B17*100</f>
        <v>0</v>
      </c>
      <c r="N17" s="41">
        <f>(COUNTIFS(集計用!$J:$J, "*"&amp;N$4&amp;"*",集計用!$G:$G, "*, "&amp;$C17&amp;",*"))/$B17*100</f>
        <v>0</v>
      </c>
      <c r="O17" s="41">
        <f>(COUNTIFS(集計用!$J:$J, "*"&amp;O$4&amp;"*",集計用!$G:$G, "*, "&amp;$C17&amp;",*"))/$B17*100</f>
        <v>1.6666666666666667</v>
      </c>
      <c r="P17" s="41">
        <f>(COUNTIFS(集計用!$J:$J, "*"&amp;P$4&amp;"*",集計用!$G:$G, "*, "&amp;$C17&amp;",*"))/$B17*100</f>
        <v>0</v>
      </c>
      <c r="Q17" s="41">
        <f>(COUNTIFS(集計用!$J:$J, "*"&amp;Q$4&amp;"*",集計用!$G:$G, "*, "&amp;$C17&amp;",*"))/$B17*100</f>
        <v>0</v>
      </c>
      <c r="R17" s="41">
        <f>(COUNTIFS(集計用!$J:$J, "*"&amp;R$4&amp;"*",集計用!$G:$G, "*, "&amp;$C17&amp;",*"))/$B17*100</f>
        <v>0</v>
      </c>
      <c r="S17" s="41">
        <f>(COUNTIFS(集計用!$J:$J, "*"&amp;S$4&amp;"*",集計用!$G:$G, "*, "&amp;$C17&amp;",*"))/$B17*100</f>
        <v>1.6666666666666667</v>
      </c>
      <c r="T17" s="41">
        <f>(COUNTIFS(集計用!$J:$J, "*"&amp;T$4&amp;"*",集計用!$G:$G, "*, "&amp;$C17&amp;",*"))/$B17*100</f>
        <v>0</v>
      </c>
      <c r="U17" s="41">
        <f>(COUNTIFS(集計用!$J:$J, "*"&amp;U$4&amp;"*",集計用!$G:$G, "*, "&amp;$C17&amp;",*"))/$B17*100</f>
        <v>0</v>
      </c>
      <c r="V17" s="41">
        <f>(COUNTIFS(集計用!$J:$J, "*"&amp;V$4&amp;"*",集計用!$G:$G, "*, "&amp;$C17&amp;",*"))/$B17*100</f>
        <v>0</v>
      </c>
      <c r="W17" s="41">
        <f>(COUNTIFS(集計用!$J:$J, "*"&amp;W$4&amp;"*",集計用!$G:$G, "*, "&amp;$C17&amp;",*"))/$B17*100</f>
        <v>0</v>
      </c>
    </row>
    <row r="18" spans="1:23" ht="15.75" customHeight="1">
      <c r="A18" s="39">
        <v>6</v>
      </c>
      <c r="B18" s="39">
        <f>(COUNTIFS(集計用!$G:$G,"*, "&amp;$C18&amp;",*",集計用!$G:$G, "&lt;&gt;無回答 , "))</f>
        <v>57</v>
      </c>
      <c r="C18" s="42" t="s">
        <v>12</v>
      </c>
      <c r="D18" s="41">
        <f>(COUNTIFS(集計用!$K:$K, "*, "&amp;D$4&amp;", *",集計用!$G:$G, "*, "&amp;$C18&amp;",*"))/$B18*100</f>
        <v>87.719298245614027</v>
      </c>
      <c r="E18" s="41">
        <f>(COUNTIFS(集計用!$K:$K, "*, "&amp;E$4&amp;", *",集計用!$G:$G, "*, "&amp;$C18&amp;",*"))/$B18*100</f>
        <v>28.07017543859649</v>
      </c>
      <c r="F18" s="41">
        <f>(COUNTIFS(集計用!$K:$K, "*, "&amp;F$4&amp;", *",集計用!$G:$G, "*, "&amp;$C18&amp;",*"))/$B18*100</f>
        <v>19.298245614035086</v>
      </c>
      <c r="G18" s="41">
        <f>(COUNTIFS(集計用!$K:$K, "*, "&amp;G$4&amp;", *",集計用!$G:$G, "*, "&amp;$C18&amp;",*"))/$B18*100</f>
        <v>38.596491228070171</v>
      </c>
      <c r="H18" s="41">
        <f>(COUNTIFS(集計用!$K:$K, "*, "&amp;H$4&amp;", *",集計用!$G:$G, "*, "&amp;$C18&amp;",*"))/$B18*100</f>
        <v>10.526315789473683</v>
      </c>
      <c r="I18" s="41">
        <f>(COUNTIFS(集計用!$K:$K, "*, "&amp;I$4&amp;", *",集計用!$G:$G, "*, "&amp;$C18&amp;",*"))/$B18*100</f>
        <v>12.280701754385964</v>
      </c>
      <c r="J18" s="41">
        <f>(COUNTIFS(集計用!$K:$K, "*, "&amp;J$4&amp;", *",集計用!$G:$G, "*, "&amp;$C18&amp;",*"))/$B18*100</f>
        <v>7.0175438596491224</v>
      </c>
      <c r="K18" s="41">
        <f>(COUNTIFS(集計用!$K:$K, "*, "&amp;K$4&amp;", *",集計用!$G:$G, "*, "&amp;$C18&amp;",*"))/$B18*100</f>
        <v>7.0175438596491224</v>
      </c>
      <c r="L18" s="41">
        <f>(COUNTIFS(集計用!$J:$J, "*"&amp;L$4&amp;"*",集計用!$G:$G, "*, "&amp;$C18&amp;",*"))/$B18*100</f>
        <v>0</v>
      </c>
      <c r="M18" s="41">
        <f>(COUNTIFS(集計用!$J:$J, "*"&amp;M$4&amp;"*",集計用!$G:$G, "*, "&amp;$C18&amp;",*"))/$B18*100</f>
        <v>1.7543859649122806</v>
      </c>
      <c r="N18" s="41">
        <f>(COUNTIFS(集計用!$J:$J, "*"&amp;N$4&amp;"*",集計用!$G:$G, "*, "&amp;$C18&amp;",*"))/$B18*100</f>
        <v>0</v>
      </c>
      <c r="O18" s="41">
        <f>(COUNTIFS(集計用!$J:$J, "*"&amp;O$4&amp;"*",集計用!$G:$G, "*, "&amp;$C18&amp;",*"))/$B18*100</f>
        <v>0</v>
      </c>
      <c r="P18" s="41">
        <f>(COUNTIFS(集計用!$J:$J, "*"&amp;P$4&amp;"*",集計用!$G:$G, "*, "&amp;$C18&amp;",*"))/$B18*100</f>
        <v>0</v>
      </c>
      <c r="Q18" s="41">
        <f>(COUNTIFS(集計用!$J:$J, "*"&amp;Q$4&amp;"*",集計用!$G:$G, "*, "&amp;$C18&amp;",*"))/$B18*100</f>
        <v>1.7543859649122806</v>
      </c>
      <c r="R18" s="41">
        <f>(COUNTIFS(集計用!$J:$J, "*"&amp;R$4&amp;"*",集計用!$G:$G, "*, "&amp;$C18&amp;",*"))/$B18*100</f>
        <v>0</v>
      </c>
      <c r="S18" s="41">
        <f>(COUNTIFS(集計用!$J:$J, "*"&amp;S$4&amp;"*",集計用!$G:$G, "*, "&amp;$C18&amp;",*"))/$B18*100</f>
        <v>0</v>
      </c>
      <c r="T18" s="41">
        <f>(COUNTIFS(集計用!$J:$J, "*"&amp;T$4&amp;"*",集計用!$G:$G, "*, "&amp;$C18&amp;",*"))/$B18*100</f>
        <v>1.7543859649122806</v>
      </c>
      <c r="U18" s="41">
        <f>(COUNTIFS(集計用!$J:$J, "*"&amp;U$4&amp;"*",集計用!$G:$G, "*, "&amp;$C18&amp;",*"))/$B18*100</f>
        <v>0</v>
      </c>
      <c r="V18" s="41">
        <f>(COUNTIFS(集計用!$J:$J, "*"&amp;V$4&amp;"*",集計用!$G:$G, "*, "&amp;$C18&amp;",*"))/$B18*100</f>
        <v>1.7543859649122806</v>
      </c>
      <c r="W18" s="41">
        <f>(COUNTIFS(集計用!$J:$J, "*"&amp;W$4&amp;"*",集計用!$G:$G, "*, "&amp;$C18&amp;",*"))/$B18*100</f>
        <v>0</v>
      </c>
    </row>
    <row r="19" spans="1:23" ht="15.75" customHeight="1">
      <c r="A19" s="39">
        <v>6</v>
      </c>
      <c r="B19" s="39">
        <f>(COUNTIFS(集計用!$G:$G,"*, "&amp;$C19&amp;",*",集計用!$G:$G, "&lt;&gt;無回答 , "))</f>
        <v>54</v>
      </c>
      <c r="C19" s="42" t="s">
        <v>13</v>
      </c>
      <c r="D19" s="41">
        <f>(COUNTIFS(集計用!$K:$K, "*, "&amp;D$4&amp;", *",集計用!$G:$G, "*, "&amp;$C19&amp;",*"))/$B19*100</f>
        <v>87.037037037037038</v>
      </c>
      <c r="E19" s="41">
        <f>(COUNTIFS(集計用!$K:$K, "*, "&amp;E$4&amp;", *",集計用!$G:$G, "*, "&amp;$C19&amp;",*"))/$B19*100</f>
        <v>20.37037037037037</v>
      </c>
      <c r="F19" s="41">
        <f>(COUNTIFS(集計用!$K:$K, "*, "&amp;F$4&amp;", *",集計用!$G:$G, "*, "&amp;$C19&amp;",*"))/$B19*100</f>
        <v>25.925925925925924</v>
      </c>
      <c r="G19" s="41">
        <f>(COUNTIFS(集計用!$K:$K, "*, "&amp;G$4&amp;", *",集計用!$G:$G, "*, "&amp;$C19&amp;",*"))/$B19*100</f>
        <v>25.925925925925924</v>
      </c>
      <c r="H19" s="41">
        <f>(COUNTIFS(集計用!$K:$K, "*, "&amp;H$4&amp;", *",集計用!$G:$G, "*, "&amp;$C19&amp;",*"))/$B19*100</f>
        <v>11.111111111111111</v>
      </c>
      <c r="I19" s="41">
        <f>(COUNTIFS(集計用!$K:$K, "*, "&amp;I$4&amp;", *",集計用!$G:$G, "*, "&amp;$C19&amp;",*"))/$B19*100</f>
        <v>18.518518518518519</v>
      </c>
      <c r="J19" s="41">
        <f>(COUNTIFS(集計用!$K:$K, "*, "&amp;J$4&amp;", *",集計用!$G:$G, "*, "&amp;$C19&amp;",*"))/$B19*100</f>
        <v>16.666666666666664</v>
      </c>
      <c r="K19" s="41">
        <f>(COUNTIFS(集計用!$K:$K, "*, "&amp;K$4&amp;", *",集計用!$G:$G, "*, "&amp;$C19&amp;",*"))/$B19*100</f>
        <v>7.4074074074074066</v>
      </c>
      <c r="L19" s="41">
        <f>(COUNTIFS(集計用!$J:$J, "*"&amp;L$4&amp;"*",集計用!$G:$G, "*, "&amp;$C19&amp;",*"))/$B19*100</f>
        <v>1.8518518518518516</v>
      </c>
      <c r="M19" s="41">
        <f>(COUNTIFS(集計用!$J:$J, "*"&amp;M$4&amp;"*",集計用!$G:$G, "*, "&amp;$C19&amp;",*"))/$B19*100</f>
        <v>0</v>
      </c>
      <c r="N19" s="41">
        <f>(COUNTIFS(集計用!$J:$J, "*"&amp;N$4&amp;"*",集計用!$G:$G, "*, "&amp;$C19&amp;",*"))/$B19*100</f>
        <v>0</v>
      </c>
      <c r="O19" s="41">
        <f>(COUNTIFS(集計用!$J:$J, "*"&amp;O$4&amp;"*",集計用!$G:$G, "*, "&amp;$C19&amp;",*"))/$B19*100</f>
        <v>0</v>
      </c>
      <c r="P19" s="41">
        <f>(COUNTIFS(集計用!$J:$J, "*"&amp;P$4&amp;"*",集計用!$G:$G, "*, "&amp;$C19&amp;",*"))/$B19*100</f>
        <v>0</v>
      </c>
      <c r="Q19" s="41">
        <f>(COUNTIFS(集計用!$J:$J, "*"&amp;Q$4&amp;"*",集計用!$G:$G, "*, "&amp;$C19&amp;",*"))/$B19*100</f>
        <v>0</v>
      </c>
      <c r="R19" s="41">
        <f>(COUNTIFS(集計用!$J:$J, "*"&amp;R$4&amp;"*",集計用!$G:$G, "*, "&amp;$C19&amp;",*"))/$B19*100</f>
        <v>1.8518518518518516</v>
      </c>
      <c r="S19" s="41">
        <f>(COUNTIFS(集計用!$J:$J, "*"&amp;S$4&amp;"*",集計用!$G:$G, "*, "&amp;$C19&amp;",*"))/$B19*100</f>
        <v>0</v>
      </c>
      <c r="T19" s="41">
        <f>(COUNTIFS(集計用!$J:$J, "*"&amp;T$4&amp;"*",集計用!$G:$G, "*, "&amp;$C19&amp;",*"))/$B19*100</f>
        <v>0</v>
      </c>
      <c r="U19" s="41">
        <f>(COUNTIFS(集計用!$J:$J, "*"&amp;U$4&amp;"*",集計用!$G:$G, "*, "&amp;$C19&amp;",*"))/$B19*100</f>
        <v>0</v>
      </c>
      <c r="V19" s="41">
        <f>(COUNTIFS(集計用!$J:$J, "*"&amp;V$4&amp;"*",集計用!$G:$G, "*, "&amp;$C19&amp;",*"))/$B19*100</f>
        <v>1.8518518518518516</v>
      </c>
      <c r="W19" s="41">
        <f>(COUNTIFS(集計用!$J:$J, "*"&amp;W$4&amp;"*",集計用!$G:$G, "*, "&amp;$C19&amp;",*"))/$B19*100</f>
        <v>0</v>
      </c>
    </row>
    <row r="20" spans="1:23" ht="15.75" customHeight="1">
      <c r="A20" s="39">
        <v>4</v>
      </c>
      <c r="B20" s="39">
        <f>(COUNTIFS(集計用!$G:$G,"*, "&amp;$C20&amp;",*",集計用!$G:$G, "&lt;&gt;無回答 , "))</f>
        <v>49</v>
      </c>
      <c r="C20" s="42" t="s">
        <v>14</v>
      </c>
      <c r="D20" s="41">
        <f>(COUNTIFS(集計用!$K:$K, "*, "&amp;D$4&amp;", *",集計用!$G:$G, "*, "&amp;$C20&amp;",*"))/$B20*100</f>
        <v>79.591836734693871</v>
      </c>
      <c r="E20" s="41">
        <f>(COUNTIFS(集計用!$K:$K, "*, "&amp;E$4&amp;", *",集計用!$G:$G, "*, "&amp;$C20&amp;",*"))/$B20*100</f>
        <v>32.653061224489797</v>
      </c>
      <c r="F20" s="41">
        <f>(COUNTIFS(集計用!$K:$K, "*, "&amp;F$4&amp;", *",集計用!$G:$G, "*, "&amp;$C20&amp;",*"))/$B20*100</f>
        <v>38.775510204081634</v>
      </c>
      <c r="G20" s="41">
        <f>(COUNTIFS(集計用!$K:$K, "*, "&amp;G$4&amp;", *",集計用!$G:$G, "*, "&amp;$C20&amp;",*"))/$B20*100</f>
        <v>22.448979591836736</v>
      </c>
      <c r="H20" s="41">
        <f>(COUNTIFS(集計用!$K:$K, "*, "&amp;H$4&amp;", *",集計用!$G:$G, "*, "&amp;$C20&amp;",*"))/$B20*100</f>
        <v>20.408163265306122</v>
      </c>
      <c r="I20" s="41">
        <f>(COUNTIFS(集計用!$K:$K, "*, "&amp;I$4&amp;", *",集計用!$G:$G, "*, "&amp;$C20&amp;",*"))/$B20*100</f>
        <v>30.612244897959183</v>
      </c>
      <c r="J20" s="41">
        <f>(COUNTIFS(集計用!$K:$K, "*, "&amp;J$4&amp;", *",集計用!$G:$G, "*, "&amp;$C20&amp;",*"))/$B20*100</f>
        <v>24.489795918367346</v>
      </c>
      <c r="K20" s="41">
        <f>(COUNTIFS(集計用!$K:$K, "*, "&amp;K$4&amp;", *",集計用!$G:$G, "*, "&amp;$C20&amp;",*"))/$B20*100</f>
        <v>6.1224489795918364</v>
      </c>
      <c r="L20" s="41">
        <f>(COUNTIFS(集計用!$J:$J, "*"&amp;L$4&amp;"*",集計用!$G:$G, "*, "&amp;$C20&amp;",*"))/$B20*100</f>
        <v>0</v>
      </c>
      <c r="M20" s="41">
        <f>(COUNTIFS(集計用!$J:$J, "*"&amp;M$4&amp;"*",集計用!$G:$G, "*, "&amp;$C20&amp;",*"))/$B20*100</f>
        <v>0</v>
      </c>
      <c r="N20" s="41">
        <f>(COUNTIFS(集計用!$J:$J, "*"&amp;N$4&amp;"*",集計用!$G:$G, "*, "&amp;$C20&amp;",*"))/$B20*100</f>
        <v>0</v>
      </c>
      <c r="O20" s="41">
        <f>(COUNTIFS(集計用!$J:$J, "*"&amp;O$4&amp;"*",集計用!$G:$G, "*, "&amp;$C20&amp;",*"))/$B20*100</f>
        <v>0</v>
      </c>
      <c r="P20" s="41">
        <f>(COUNTIFS(集計用!$J:$J, "*"&amp;P$4&amp;"*",集計用!$G:$G, "*, "&amp;$C20&amp;",*"))/$B20*100</f>
        <v>2.0408163265306123</v>
      </c>
      <c r="Q20" s="41">
        <f>(COUNTIFS(集計用!$J:$J, "*"&amp;Q$4&amp;"*",集計用!$G:$G, "*, "&amp;$C20&amp;",*"))/$B20*100</f>
        <v>0</v>
      </c>
      <c r="R20" s="41">
        <f>(COUNTIFS(集計用!$J:$J, "*"&amp;R$4&amp;"*",集計用!$G:$G, "*, "&amp;$C20&amp;",*"))/$B20*100</f>
        <v>2.0408163265306123</v>
      </c>
      <c r="S20" s="41">
        <f>(COUNTIFS(集計用!$J:$J, "*"&amp;S$4&amp;"*",集計用!$G:$G, "*, "&amp;$C20&amp;",*"))/$B20*100</f>
        <v>0</v>
      </c>
      <c r="T20" s="41">
        <f>(COUNTIFS(集計用!$J:$J, "*"&amp;T$4&amp;"*",集計用!$G:$G, "*, "&amp;$C20&amp;",*"))/$B20*100</f>
        <v>0</v>
      </c>
      <c r="U20" s="41">
        <f>(COUNTIFS(集計用!$J:$J, "*"&amp;U$4&amp;"*",集計用!$G:$G, "*, "&amp;$C20&amp;",*"))/$B20*100</f>
        <v>0</v>
      </c>
      <c r="V20" s="41">
        <f>(COUNTIFS(集計用!$J:$J, "*"&amp;V$4&amp;"*",集計用!$G:$G, "*, "&amp;$C20&amp;",*"))/$B20*100</f>
        <v>0</v>
      </c>
      <c r="W20" s="41">
        <f>(COUNTIFS(集計用!$J:$J, "*"&amp;W$4&amp;"*",集計用!$G:$G, "*, "&amp;$C20&amp;",*"))/$B20*100</f>
        <v>0</v>
      </c>
    </row>
    <row r="21" spans="1:23" ht="15.75" customHeight="1">
      <c r="A21" s="39">
        <v>3</v>
      </c>
      <c r="B21" s="39">
        <f>(COUNTIFS(集計用!$G:$G,"*, "&amp;$C21&amp;",*",集計用!$G:$G, "&lt;&gt;無回答 , "))</f>
        <v>48</v>
      </c>
      <c r="C21" s="42" t="s">
        <v>15</v>
      </c>
      <c r="D21" s="41">
        <f>(COUNTIFS(集計用!$K:$K, "*, "&amp;D$4&amp;", *",集計用!$G:$G, "*, "&amp;$C21&amp;",*"))/$B21*100</f>
        <v>83.333333333333343</v>
      </c>
      <c r="E21" s="41">
        <f>(COUNTIFS(集計用!$K:$K, "*, "&amp;E$4&amp;", *",集計用!$G:$G, "*, "&amp;$C21&amp;",*"))/$B21*100</f>
        <v>35.416666666666671</v>
      </c>
      <c r="F21" s="41">
        <f>(COUNTIFS(集計用!$K:$K, "*, "&amp;F$4&amp;", *",集計用!$G:$G, "*, "&amp;$C21&amp;",*"))/$B21*100</f>
        <v>37.5</v>
      </c>
      <c r="G21" s="41">
        <f>(COUNTIFS(集計用!$K:$K, "*, "&amp;G$4&amp;", *",集計用!$G:$G, "*, "&amp;$C21&amp;",*"))/$B21*100</f>
        <v>20.833333333333336</v>
      </c>
      <c r="H21" s="41">
        <f>(COUNTIFS(集計用!$K:$K, "*, "&amp;H$4&amp;", *",集計用!$G:$G, "*, "&amp;$C21&amp;",*"))/$B21*100</f>
        <v>18.75</v>
      </c>
      <c r="I21" s="41">
        <f>(COUNTIFS(集計用!$K:$K, "*, "&amp;I$4&amp;", *",集計用!$G:$G, "*, "&amp;$C21&amp;",*"))/$B21*100</f>
        <v>12.5</v>
      </c>
      <c r="J21" s="41">
        <f>(COUNTIFS(集計用!$K:$K, "*, "&amp;J$4&amp;", *",集計用!$G:$G, "*, "&amp;$C21&amp;",*"))/$B21*100</f>
        <v>22.916666666666664</v>
      </c>
      <c r="K21" s="41">
        <f>(COUNTIFS(集計用!$K:$K, "*, "&amp;K$4&amp;", *",集計用!$G:$G, "*, "&amp;$C21&amp;",*"))/$B21*100</f>
        <v>4.1666666666666661</v>
      </c>
      <c r="L21" s="41">
        <f>(COUNTIFS(集計用!$J:$J, "*"&amp;L$4&amp;"*",集計用!$G:$G, "*, "&amp;$C21&amp;",*"))/$B21*100</f>
        <v>2.083333333333333</v>
      </c>
      <c r="M21" s="41">
        <f>(COUNTIFS(集計用!$J:$J, "*"&amp;M$4&amp;"*",集計用!$G:$G, "*, "&amp;$C21&amp;",*"))/$B21*100</f>
        <v>0</v>
      </c>
      <c r="N21" s="41">
        <f>(COUNTIFS(集計用!$J:$J, "*"&amp;N$4&amp;"*",集計用!$G:$G, "*, "&amp;$C21&amp;",*"))/$B21*100</f>
        <v>0</v>
      </c>
      <c r="O21" s="41">
        <f>(COUNTIFS(集計用!$J:$J, "*"&amp;O$4&amp;"*",集計用!$G:$G, "*, "&amp;$C21&amp;",*"))/$B21*100</f>
        <v>0</v>
      </c>
      <c r="P21" s="41">
        <f>(COUNTIFS(集計用!$J:$J, "*"&amp;P$4&amp;"*",集計用!$G:$G, "*, "&amp;$C21&amp;",*"))/$B21*100</f>
        <v>0</v>
      </c>
      <c r="Q21" s="41">
        <f>(COUNTIFS(集計用!$J:$J, "*"&amp;Q$4&amp;"*",集計用!$G:$G, "*, "&amp;$C21&amp;",*"))/$B21*100</f>
        <v>0</v>
      </c>
      <c r="R21" s="41">
        <f>(COUNTIFS(集計用!$J:$J, "*"&amp;R$4&amp;"*",集計用!$G:$G, "*, "&amp;$C21&amp;",*"))/$B21*100</f>
        <v>0</v>
      </c>
      <c r="S21" s="41">
        <f>(COUNTIFS(集計用!$J:$J, "*"&amp;S$4&amp;"*",集計用!$G:$G, "*, "&amp;$C21&amp;",*"))/$B21*100</f>
        <v>0</v>
      </c>
      <c r="T21" s="41">
        <f>(COUNTIFS(集計用!$J:$J, "*"&amp;T$4&amp;"*",集計用!$G:$G, "*, "&amp;$C21&amp;",*"))/$B21*100</f>
        <v>0</v>
      </c>
      <c r="U21" s="41">
        <f>(COUNTIFS(集計用!$J:$J, "*"&amp;U$4&amp;"*",集計用!$G:$G, "*, "&amp;$C21&amp;",*"))/$B21*100</f>
        <v>0</v>
      </c>
      <c r="V21" s="41">
        <f>(COUNTIFS(集計用!$J:$J, "*"&amp;V$4&amp;"*",集計用!$G:$G, "*, "&amp;$C21&amp;",*"))/$B21*100</f>
        <v>0</v>
      </c>
      <c r="W21" s="41">
        <f>(COUNTIFS(集計用!$J:$J, "*"&amp;W$4&amp;"*",集計用!$G:$G, "*, "&amp;$C21&amp;",*"))/$B21*100</f>
        <v>0</v>
      </c>
    </row>
    <row r="22" spans="1:23" ht="15.75" customHeight="1">
      <c r="A22" s="39">
        <v>5</v>
      </c>
      <c r="B22" s="39">
        <f>(COUNTIFS(集計用!$G:$G,"*, "&amp;$C22&amp;",*",集計用!$G:$G, "&lt;&gt;無回答 , "))</f>
        <v>46</v>
      </c>
      <c r="C22" s="42" t="s">
        <v>16</v>
      </c>
      <c r="D22" s="41">
        <f>(COUNTIFS(集計用!$K:$K, "*, "&amp;D$4&amp;", *",集計用!$G:$G, "*, "&amp;$C22&amp;",*"))/$B22*100</f>
        <v>93.478260869565219</v>
      </c>
      <c r="E22" s="41">
        <f>(COUNTIFS(集計用!$K:$K, "*, "&amp;E$4&amp;", *",集計用!$G:$G, "*, "&amp;$C22&amp;",*"))/$B22*100</f>
        <v>36.95652173913043</v>
      </c>
      <c r="F22" s="41">
        <f>(COUNTIFS(集計用!$K:$K, "*, "&amp;F$4&amp;", *",集計用!$G:$G, "*, "&amp;$C22&amp;",*"))/$B22*100</f>
        <v>26.086956521739129</v>
      </c>
      <c r="G22" s="41">
        <f>(COUNTIFS(集計用!$K:$K, "*, "&amp;G$4&amp;", *",集計用!$G:$G, "*, "&amp;$C22&amp;",*"))/$B22*100</f>
        <v>32.608695652173914</v>
      </c>
      <c r="H22" s="41">
        <f>(COUNTIFS(集計用!$K:$K, "*, "&amp;H$4&amp;", *",集計用!$G:$G, "*, "&amp;$C22&amp;",*"))/$B22*100</f>
        <v>39.130434782608695</v>
      </c>
      <c r="I22" s="41">
        <f>(COUNTIFS(集計用!$K:$K, "*, "&amp;I$4&amp;", *",集計用!$G:$G, "*, "&amp;$C22&amp;",*"))/$B22*100</f>
        <v>15.217391304347828</v>
      </c>
      <c r="J22" s="41">
        <f>(COUNTIFS(集計用!$K:$K, "*, "&amp;J$4&amp;", *",集計用!$G:$G, "*, "&amp;$C22&amp;",*"))/$B22*100</f>
        <v>13.043478260869565</v>
      </c>
      <c r="K22" s="41">
        <f>(COUNTIFS(集計用!$K:$K, "*, "&amp;K$4&amp;", *",集計用!$G:$G, "*, "&amp;$C22&amp;",*"))/$B22*100</f>
        <v>8.695652173913043</v>
      </c>
      <c r="L22" s="41">
        <f>(COUNTIFS(集計用!$J:$J, "*"&amp;L$4&amp;"*",集計用!$G:$G, "*, "&amp;$C22&amp;",*"))/$B22*100</f>
        <v>0</v>
      </c>
      <c r="M22" s="41">
        <f>(COUNTIFS(集計用!$J:$J, "*"&amp;M$4&amp;"*",集計用!$G:$G, "*, "&amp;$C22&amp;",*"))/$B22*100</f>
        <v>0</v>
      </c>
      <c r="N22" s="41">
        <f>(COUNTIFS(集計用!$J:$J, "*"&amp;N$4&amp;"*",集計用!$G:$G, "*, "&amp;$C22&amp;",*"))/$B22*100</f>
        <v>0</v>
      </c>
      <c r="O22" s="41">
        <f>(COUNTIFS(集計用!$J:$J, "*"&amp;O$4&amp;"*",集計用!$G:$G, "*, "&amp;$C22&amp;",*"))/$B22*100</f>
        <v>0</v>
      </c>
      <c r="P22" s="41">
        <f>(COUNTIFS(集計用!$J:$J, "*"&amp;P$4&amp;"*",集計用!$G:$G, "*, "&amp;$C22&amp;",*"))/$B22*100</f>
        <v>0</v>
      </c>
      <c r="Q22" s="41">
        <f>(COUNTIFS(集計用!$J:$J, "*"&amp;Q$4&amp;"*",集計用!$G:$G, "*, "&amp;$C22&amp;",*"))/$B22*100</f>
        <v>0</v>
      </c>
      <c r="R22" s="41">
        <f>(COUNTIFS(集計用!$J:$J, "*"&amp;R$4&amp;"*",集計用!$G:$G, "*, "&amp;$C22&amp;",*"))/$B22*100</f>
        <v>0</v>
      </c>
      <c r="S22" s="41">
        <f>(COUNTIFS(集計用!$J:$J, "*"&amp;S$4&amp;"*",集計用!$G:$G, "*, "&amp;$C22&amp;",*"))/$B22*100</f>
        <v>0</v>
      </c>
      <c r="T22" s="41">
        <f>(COUNTIFS(集計用!$J:$J, "*"&amp;T$4&amp;"*",集計用!$G:$G, "*, "&amp;$C22&amp;",*"))/$B22*100</f>
        <v>2.1739130434782608</v>
      </c>
      <c r="U22" s="41">
        <f>(COUNTIFS(集計用!$J:$J, "*"&amp;U$4&amp;"*",集計用!$G:$G, "*, "&amp;$C22&amp;",*"))/$B22*100</f>
        <v>0</v>
      </c>
      <c r="V22" s="41">
        <f>(COUNTIFS(集計用!$J:$J, "*"&amp;V$4&amp;"*",集計用!$G:$G, "*, "&amp;$C22&amp;",*"))/$B22*100</f>
        <v>0</v>
      </c>
      <c r="W22" s="41">
        <f>(COUNTIFS(集計用!$J:$J, "*"&amp;W$4&amp;"*",集計用!$G:$G, "*, "&amp;$C22&amp;",*"))/$B22*100</f>
        <v>0</v>
      </c>
    </row>
    <row r="23" spans="1:23" ht="15.75" customHeight="1">
      <c r="A23" s="39">
        <v>5</v>
      </c>
      <c r="B23" s="39">
        <f>(COUNTIFS(集計用!$G:$G,"*, "&amp;$C23&amp;",*",集計用!$G:$G, "&lt;&gt;無回答 , "))</f>
        <v>39</v>
      </c>
      <c r="C23" s="42" t="s">
        <v>17</v>
      </c>
      <c r="D23" s="41">
        <f>(COUNTIFS(集計用!$K:$K, "*, "&amp;D$4&amp;", *",集計用!$G:$G, "*, "&amp;$C23&amp;",*"))/$B23*100</f>
        <v>89.743589743589752</v>
      </c>
      <c r="E23" s="41">
        <f>(COUNTIFS(集計用!$K:$K, "*, "&amp;E$4&amp;", *",集計用!$G:$G, "*, "&amp;$C23&amp;",*"))/$B23*100</f>
        <v>33.333333333333329</v>
      </c>
      <c r="F23" s="41">
        <f>(COUNTIFS(集計用!$K:$K, "*, "&amp;F$4&amp;", *",集計用!$G:$G, "*, "&amp;$C23&amp;",*"))/$B23*100</f>
        <v>17.948717948717949</v>
      </c>
      <c r="G23" s="41">
        <f>(COUNTIFS(集計用!$K:$K, "*, "&amp;G$4&amp;", *",集計用!$G:$G, "*, "&amp;$C23&amp;",*"))/$B23*100</f>
        <v>33.333333333333329</v>
      </c>
      <c r="H23" s="41">
        <f>(COUNTIFS(集計用!$K:$K, "*, "&amp;H$4&amp;", *",集計用!$G:$G, "*, "&amp;$C23&amp;",*"))/$B23*100</f>
        <v>20.512820512820511</v>
      </c>
      <c r="I23" s="41">
        <f>(COUNTIFS(集計用!$K:$K, "*, "&amp;I$4&amp;", *",集計用!$G:$G, "*, "&amp;$C23&amp;",*"))/$B23*100</f>
        <v>10.256410256410255</v>
      </c>
      <c r="J23" s="41">
        <f>(COUNTIFS(集計用!$K:$K, "*, "&amp;J$4&amp;", *",集計用!$G:$G, "*, "&amp;$C23&amp;",*"))/$B23*100</f>
        <v>10.256410256410255</v>
      </c>
      <c r="K23" s="41">
        <f>(COUNTIFS(集計用!$K:$K, "*, "&amp;K$4&amp;", *",集計用!$G:$G, "*, "&amp;$C23&amp;",*"))/$B23*100</f>
        <v>7.6923076923076925</v>
      </c>
      <c r="L23" s="41">
        <f>(COUNTIFS(集計用!$J:$J, "*"&amp;L$4&amp;"*",集計用!$G:$G, "*, "&amp;$C23&amp;",*"))/$B23*100</f>
        <v>5.1282051282051277</v>
      </c>
      <c r="M23" s="41">
        <f>(COUNTIFS(集計用!$J:$J, "*"&amp;M$4&amp;"*",集計用!$G:$G, "*, "&amp;$C23&amp;",*"))/$B23*100</f>
        <v>2.5641025641025639</v>
      </c>
      <c r="N23" s="41">
        <f>(COUNTIFS(集計用!$J:$J, "*"&amp;N$4&amp;"*",集計用!$G:$G, "*, "&amp;$C23&amp;",*"))/$B23*100</f>
        <v>0</v>
      </c>
      <c r="O23" s="41">
        <f>(COUNTIFS(集計用!$J:$J, "*"&amp;O$4&amp;"*",集計用!$G:$G, "*, "&amp;$C23&amp;",*"))/$B23*100</f>
        <v>0</v>
      </c>
      <c r="P23" s="41">
        <f>(COUNTIFS(集計用!$J:$J, "*"&amp;P$4&amp;"*",集計用!$G:$G, "*, "&amp;$C23&amp;",*"))/$B23*100</f>
        <v>0</v>
      </c>
      <c r="Q23" s="41">
        <f>(COUNTIFS(集計用!$J:$J, "*"&amp;Q$4&amp;"*",集計用!$G:$G, "*, "&amp;$C23&amp;",*"))/$B23*100</f>
        <v>0</v>
      </c>
      <c r="R23" s="41">
        <f>(COUNTIFS(集計用!$J:$J, "*"&amp;R$4&amp;"*",集計用!$G:$G, "*, "&amp;$C23&amp;",*"))/$B23*100</f>
        <v>0</v>
      </c>
      <c r="S23" s="41">
        <f>(COUNTIFS(集計用!$J:$J, "*"&amp;S$4&amp;"*",集計用!$G:$G, "*, "&amp;$C23&amp;",*"))/$B23*100</f>
        <v>0</v>
      </c>
      <c r="T23" s="41">
        <f>(COUNTIFS(集計用!$J:$J, "*"&amp;T$4&amp;"*",集計用!$G:$G, "*, "&amp;$C23&amp;",*"))/$B23*100</f>
        <v>0</v>
      </c>
      <c r="U23" s="41">
        <f>(COUNTIFS(集計用!$J:$J, "*"&amp;U$4&amp;"*",集計用!$G:$G, "*, "&amp;$C23&amp;",*"))/$B23*100</f>
        <v>0</v>
      </c>
      <c r="V23" s="41">
        <f>(COUNTIFS(集計用!$J:$J, "*"&amp;V$4&amp;"*",集計用!$G:$G, "*, "&amp;$C23&amp;",*"))/$B23*100</f>
        <v>0</v>
      </c>
      <c r="W23" s="41">
        <f>(COUNTIFS(集計用!$J:$J, "*"&amp;W$4&amp;"*",集計用!$G:$G, "*, "&amp;$C23&amp;",*"))/$B23*100</f>
        <v>0</v>
      </c>
    </row>
    <row r="24" spans="1:23" ht="15.75" customHeight="1">
      <c r="A24" s="39">
        <v>4</v>
      </c>
      <c r="B24" s="39">
        <f>(COUNTIFS(集計用!$G:$G,"*, "&amp;$C24&amp;",*",集計用!$G:$G, "&lt;&gt;無回答 , "))</f>
        <v>36</v>
      </c>
      <c r="C24" s="42" t="s">
        <v>18</v>
      </c>
      <c r="D24" s="41">
        <f>(COUNTIFS(集計用!$K:$K, "*, "&amp;D$4&amp;", *",集計用!$G:$G, "*, "&amp;$C24&amp;",*"))/$B24*100</f>
        <v>88.888888888888886</v>
      </c>
      <c r="E24" s="41">
        <f>(COUNTIFS(集計用!$K:$K, "*, "&amp;E$4&amp;", *",集計用!$G:$G, "*, "&amp;$C24&amp;",*"))/$B24*100</f>
        <v>33.333333333333329</v>
      </c>
      <c r="F24" s="41">
        <f>(COUNTIFS(集計用!$K:$K, "*, "&amp;F$4&amp;", *",集計用!$G:$G, "*, "&amp;$C24&amp;",*"))/$B24*100</f>
        <v>25</v>
      </c>
      <c r="G24" s="41">
        <f>(COUNTIFS(集計用!$K:$K, "*, "&amp;G$4&amp;", *",集計用!$G:$G, "*, "&amp;$C24&amp;",*"))/$B24*100</f>
        <v>22.222222222222221</v>
      </c>
      <c r="H24" s="41">
        <f>(COUNTIFS(集計用!$K:$K, "*, "&amp;H$4&amp;", *",集計用!$G:$G, "*, "&amp;$C24&amp;",*"))/$B24*100</f>
        <v>19.444444444444446</v>
      </c>
      <c r="I24" s="41">
        <f>(COUNTIFS(集計用!$K:$K, "*, "&amp;I$4&amp;", *",集計用!$G:$G, "*, "&amp;$C24&amp;",*"))/$B24*100</f>
        <v>22.222222222222221</v>
      </c>
      <c r="J24" s="41">
        <f>(COUNTIFS(集計用!$K:$K, "*, "&amp;J$4&amp;", *",集計用!$G:$G, "*, "&amp;$C24&amp;",*"))/$B24*100</f>
        <v>16.666666666666664</v>
      </c>
      <c r="K24" s="41">
        <f>(COUNTIFS(集計用!$K:$K, "*, "&amp;K$4&amp;", *",集計用!$G:$G, "*, "&amp;$C24&amp;",*"))/$B24*100</f>
        <v>8.3333333333333321</v>
      </c>
      <c r="L24" s="41">
        <f>(COUNTIFS(集計用!$J:$J, "*"&amp;L$4&amp;"*",集計用!$G:$G, "*, "&amp;$C24&amp;",*"))/$B24*100</f>
        <v>2.7777777777777777</v>
      </c>
      <c r="M24" s="41">
        <f>(COUNTIFS(集計用!$J:$J, "*"&amp;M$4&amp;"*",集計用!$G:$G, "*, "&amp;$C24&amp;",*"))/$B24*100</f>
        <v>0</v>
      </c>
      <c r="N24" s="41">
        <f>(COUNTIFS(集計用!$J:$J, "*"&amp;N$4&amp;"*",集計用!$G:$G, "*, "&amp;$C24&amp;",*"))/$B24*100</f>
        <v>0</v>
      </c>
      <c r="O24" s="41">
        <f>(COUNTIFS(集計用!$J:$J, "*"&amp;O$4&amp;"*",集計用!$G:$G, "*, "&amp;$C24&amp;",*"))/$B24*100</f>
        <v>0</v>
      </c>
      <c r="P24" s="41">
        <f>(COUNTIFS(集計用!$J:$J, "*"&amp;P$4&amp;"*",集計用!$G:$G, "*, "&amp;$C24&amp;",*"))/$B24*100</f>
        <v>0</v>
      </c>
      <c r="Q24" s="41">
        <f>(COUNTIFS(集計用!$J:$J, "*"&amp;Q$4&amp;"*",集計用!$G:$G, "*, "&amp;$C24&amp;",*"))/$B24*100</f>
        <v>0</v>
      </c>
      <c r="R24" s="41">
        <f>(COUNTIFS(集計用!$J:$J, "*"&amp;R$4&amp;"*",集計用!$G:$G, "*, "&amp;$C24&amp;",*"))/$B24*100</f>
        <v>0</v>
      </c>
      <c r="S24" s="41">
        <f>(COUNTIFS(集計用!$J:$J, "*"&amp;S$4&amp;"*",集計用!$G:$G, "*, "&amp;$C24&amp;",*"))/$B24*100</f>
        <v>0</v>
      </c>
      <c r="T24" s="41">
        <f>(COUNTIFS(集計用!$J:$J, "*"&amp;T$4&amp;"*",集計用!$G:$G, "*, "&amp;$C24&amp;",*"))/$B24*100</f>
        <v>0</v>
      </c>
      <c r="U24" s="41">
        <f>(COUNTIFS(集計用!$J:$J, "*"&amp;U$4&amp;"*",集計用!$G:$G, "*, "&amp;$C24&amp;",*"))/$B24*100</f>
        <v>0</v>
      </c>
      <c r="V24" s="41">
        <f>(COUNTIFS(集計用!$J:$J, "*"&amp;V$4&amp;"*",集計用!$G:$G, "*, "&amp;$C24&amp;",*"))/$B24*100</f>
        <v>0</v>
      </c>
      <c r="W24" s="41">
        <f>(COUNTIFS(集計用!$J:$J, "*"&amp;W$4&amp;"*",集計用!$G:$G, "*, "&amp;$C24&amp;",*"))/$B24*100</f>
        <v>0</v>
      </c>
    </row>
    <row r="25" spans="1:23" ht="12.75">
      <c r="A25" s="39">
        <v>2</v>
      </c>
      <c r="B25" s="39">
        <f>(COUNTIFS(集計用!$G:$G,"*, "&amp;$C25&amp;",*",集計用!$G:$G, "&lt;&gt;無回答 , "))</f>
        <v>34</v>
      </c>
      <c r="C25" s="42" t="s">
        <v>19</v>
      </c>
      <c r="D25" s="41">
        <f>(COUNTIFS(集計用!$K:$K, "*, "&amp;D$4&amp;", *",集計用!$G:$G, "*, "&amp;$C25&amp;",*"))/$B25*100</f>
        <v>91.17647058823529</v>
      </c>
      <c r="E25" s="41">
        <f>(COUNTIFS(集計用!$K:$K, "*, "&amp;E$4&amp;", *",集計用!$G:$G, "*, "&amp;$C25&amp;",*"))/$B25*100</f>
        <v>32.352941176470587</v>
      </c>
      <c r="F25" s="41">
        <f>(COUNTIFS(集計用!$K:$K, "*, "&amp;F$4&amp;", *",集計用!$G:$G, "*, "&amp;$C25&amp;",*"))/$B25*100</f>
        <v>26.47058823529412</v>
      </c>
      <c r="G25" s="41">
        <f>(COUNTIFS(集計用!$K:$K, "*, "&amp;G$4&amp;", *",集計用!$G:$G, "*, "&amp;$C25&amp;",*"))/$B25*100</f>
        <v>23.52941176470588</v>
      </c>
      <c r="H25" s="41">
        <f>(COUNTIFS(集計用!$K:$K, "*, "&amp;H$4&amp;", *",集計用!$G:$G, "*, "&amp;$C25&amp;",*"))/$B25*100</f>
        <v>14.705882352941178</v>
      </c>
      <c r="I25" s="41">
        <f>(COUNTIFS(集計用!$K:$K, "*, "&amp;I$4&amp;", *",集計用!$G:$G, "*, "&amp;$C25&amp;",*"))/$B25*100</f>
        <v>17.647058823529413</v>
      </c>
      <c r="J25" s="41">
        <f>(COUNTIFS(集計用!$K:$K, "*, "&amp;J$4&amp;", *",集計用!$G:$G, "*, "&amp;$C25&amp;",*"))/$B25*100</f>
        <v>17.647058823529413</v>
      </c>
      <c r="K25" s="41">
        <f>(COUNTIFS(集計用!$K:$K, "*, "&amp;K$4&amp;", *",集計用!$G:$G, "*, "&amp;$C25&amp;",*"))/$B25*100</f>
        <v>2.9411764705882351</v>
      </c>
      <c r="L25" s="41">
        <f>(COUNTIFS(集計用!$J:$J, "*"&amp;L$4&amp;"*",集計用!$G:$G, "*, "&amp;$C25&amp;",*"))/$B25*100</f>
        <v>2.9411764705882351</v>
      </c>
      <c r="M25" s="41">
        <f>(COUNTIFS(集計用!$J:$J, "*"&amp;M$4&amp;"*",集計用!$G:$G, "*, "&amp;$C25&amp;",*"))/$B25*100</f>
        <v>0</v>
      </c>
      <c r="N25" s="41">
        <f>(COUNTIFS(集計用!$J:$J, "*"&amp;N$4&amp;"*",集計用!$G:$G, "*, "&amp;$C25&amp;",*"))/$B25*100</f>
        <v>0</v>
      </c>
      <c r="O25" s="41">
        <f>(COUNTIFS(集計用!$J:$J, "*"&amp;O$4&amp;"*",集計用!$G:$G, "*, "&amp;$C25&amp;",*"))/$B25*100</f>
        <v>0</v>
      </c>
      <c r="P25" s="41">
        <f>(COUNTIFS(集計用!$J:$J, "*"&amp;P$4&amp;"*",集計用!$G:$G, "*, "&amp;$C25&amp;",*"))/$B25*100</f>
        <v>0</v>
      </c>
      <c r="Q25" s="41">
        <f>(COUNTIFS(集計用!$J:$J, "*"&amp;Q$4&amp;"*",集計用!$G:$G, "*, "&amp;$C25&amp;",*"))/$B25*100</f>
        <v>0</v>
      </c>
      <c r="R25" s="41">
        <f>(COUNTIFS(集計用!$J:$J, "*"&amp;R$4&amp;"*",集計用!$G:$G, "*, "&amp;$C25&amp;",*"))/$B25*100</f>
        <v>0</v>
      </c>
      <c r="S25" s="41">
        <f>(COUNTIFS(集計用!$J:$J, "*"&amp;S$4&amp;"*",集計用!$G:$G, "*, "&amp;$C25&amp;",*"))/$B25*100</f>
        <v>0</v>
      </c>
      <c r="T25" s="41">
        <f>(COUNTIFS(集計用!$J:$J, "*"&amp;T$4&amp;"*",集計用!$G:$G, "*, "&amp;$C25&amp;",*"))/$B25*100</f>
        <v>0</v>
      </c>
      <c r="U25" s="41">
        <f>(COUNTIFS(集計用!$J:$J, "*"&amp;U$4&amp;"*",集計用!$G:$G, "*, "&amp;$C25&amp;",*"))/$B25*100</f>
        <v>0</v>
      </c>
      <c r="V25" s="41">
        <f>(COUNTIFS(集計用!$J:$J, "*"&amp;V$4&amp;"*",集計用!$G:$G, "*, "&amp;$C25&amp;",*"))/$B25*100</f>
        <v>0</v>
      </c>
      <c r="W25" s="41">
        <f>(COUNTIFS(集計用!$J:$J, "*"&amp;W$4&amp;"*",集計用!$G:$G, "*, "&amp;$C25&amp;",*"))/$B25*100</f>
        <v>0</v>
      </c>
    </row>
    <row r="26" spans="1:23" ht="12.75">
      <c r="A26" s="39">
        <v>4</v>
      </c>
      <c r="B26" s="39">
        <f>(COUNTIFS(集計用!$G:$G,"*, "&amp;$C26&amp;",*",集計用!$G:$G, "&lt;&gt;無回答 , "))</f>
        <v>26</v>
      </c>
      <c r="C26" s="42" t="s">
        <v>20</v>
      </c>
      <c r="D26" s="41">
        <f>(COUNTIFS(集計用!$K:$K, "*, "&amp;D$4&amp;", *",集計用!$G:$G, "*, "&amp;$C26&amp;",*"))/$B26*100</f>
        <v>84.615384615384613</v>
      </c>
      <c r="E26" s="41">
        <f>(COUNTIFS(集計用!$K:$K, "*, "&amp;E$4&amp;", *",集計用!$G:$G, "*, "&amp;$C26&amp;",*"))/$B26*100</f>
        <v>23.076923076923077</v>
      </c>
      <c r="F26" s="41">
        <f>(COUNTIFS(集計用!$K:$K, "*, "&amp;F$4&amp;", *",集計用!$G:$G, "*, "&amp;$C26&amp;",*"))/$B26*100</f>
        <v>38.461538461538467</v>
      </c>
      <c r="G26" s="41">
        <f>(COUNTIFS(集計用!$K:$K, "*, "&amp;G$4&amp;", *",集計用!$G:$G, "*, "&amp;$C26&amp;",*"))/$B26*100</f>
        <v>34.615384615384613</v>
      </c>
      <c r="H26" s="41">
        <f>(COUNTIFS(集計用!$K:$K, "*, "&amp;H$4&amp;", *",集計用!$G:$G, "*, "&amp;$C26&amp;",*"))/$B26*100</f>
        <v>34.615384615384613</v>
      </c>
      <c r="I26" s="41">
        <f>(COUNTIFS(集計用!$K:$K, "*, "&amp;I$4&amp;", *",集計用!$G:$G, "*, "&amp;$C26&amp;",*"))/$B26*100</f>
        <v>23.076923076923077</v>
      </c>
      <c r="J26" s="41">
        <f>(COUNTIFS(集計用!$K:$K, "*, "&amp;J$4&amp;", *",集計用!$G:$G, "*, "&amp;$C26&amp;",*"))/$B26*100</f>
        <v>23.076923076923077</v>
      </c>
      <c r="K26" s="41">
        <f>(COUNTIFS(集計用!$K:$K, "*, "&amp;K$4&amp;", *",集計用!$G:$G, "*, "&amp;$C26&amp;",*"))/$B26*100</f>
        <v>11.538461538461538</v>
      </c>
      <c r="L26" s="41">
        <f>(COUNTIFS(集計用!$J:$J, "*"&amp;L$4&amp;"*",集計用!$G:$G, "*, "&amp;$C26&amp;",*"))/$B26*100</f>
        <v>0</v>
      </c>
      <c r="M26" s="41">
        <f>(COUNTIFS(集計用!$J:$J, "*"&amp;M$4&amp;"*",集計用!$G:$G, "*, "&amp;$C26&amp;",*"))/$B26*100</f>
        <v>0</v>
      </c>
      <c r="N26" s="41">
        <f>(COUNTIFS(集計用!$J:$J, "*"&amp;N$4&amp;"*",集計用!$G:$G, "*, "&amp;$C26&amp;",*"))/$B26*100</f>
        <v>3.8461538461538463</v>
      </c>
      <c r="O26" s="41">
        <f>(COUNTIFS(集計用!$J:$J, "*"&amp;O$4&amp;"*",集計用!$G:$G, "*, "&amp;$C26&amp;",*"))/$B26*100</f>
        <v>0</v>
      </c>
      <c r="P26" s="41">
        <f>(COUNTIFS(集計用!$J:$J, "*"&amp;P$4&amp;"*",集計用!$G:$G, "*, "&amp;$C26&amp;",*"))/$B26*100</f>
        <v>0</v>
      </c>
      <c r="Q26" s="41">
        <f>(COUNTIFS(集計用!$J:$J, "*"&amp;Q$4&amp;"*",集計用!$G:$G, "*, "&amp;$C26&amp;",*"))/$B26*100</f>
        <v>0</v>
      </c>
      <c r="R26" s="41">
        <f>(COUNTIFS(集計用!$J:$J, "*"&amp;R$4&amp;"*",集計用!$G:$G, "*, "&amp;$C26&amp;",*"))/$B26*100</f>
        <v>0</v>
      </c>
      <c r="S26" s="41">
        <f>(COUNTIFS(集計用!$J:$J, "*"&amp;S$4&amp;"*",集計用!$G:$G, "*, "&amp;$C26&amp;",*"))/$B26*100</f>
        <v>0</v>
      </c>
      <c r="T26" s="41">
        <f>(COUNTIFS(集計用!$J:$J, "*"&amp;T$4&amp;"*",集計用!$G:$G, "*, "&amp;$C26&amp;",*"))/$B26*100</f>
        <v>0</v>
      </c>
      <c r="U26" s="41">
        <f>(COUNTIFS(集計用!$J:$J, "*"&amp;U$4&amp;"*",集計用!$G:$G, "*, "&amp;$C26&amp;",*"))/$B26*100</f>
        <v>0</v>
      </c>
      <c r="V26" s="41">
        <f>(COUNTIFS(集計用!$J:$J, "*"&amp;V$4&amp;"*",集計用!$G:$G, "*, "&amp;$C26&amp;",*"))/$B26*100</f>
        <v>0</v>
      </c>
      <c r="W26" s="41">
        <f>(COUNTIFS(集計用!$J:$J, "*"&amp;W$4&amp;"*",集計用!$G:$G, "*, "&amp;$C26&amp;",*"))/$B26*100</f>
        <v>0</v>
      </c>
    </row>
    <row r="27" spans="1:23" ht="12.75">
      <c r="A27" s="39">
        <v>4</v>
      </c>
      <c r="B27" s="39">
        <f>(COUNTIFS(集計用!$G:$G,"*, "&amp;$C27&amp;",*",集計用!$G:$G, "&lt;&gt;無回答 , "))</f>
        <v>25</v>
      </c>
      <c r="C27" s="42" t="s">
        <v>23</v>
      </c>
      <c r="D27" s="41">
        <f>(COUNTIFS(集計用!$K:$K, "*, "&amp;D$4&amp;", *",集計用!$G:$G, "*, "&amp;$C27&amp;",*"))/$B27*100</f>
        <v>92</v>
      </c>
      <c r="E27" s="41">
        <f>(COUNTIFS(集計用!$K:$K, "*, "&amp;E$4&amp;", *",集計用!$G:$G, "*, "&amp;$C27&amp;",*"))/$B27*100</f>
        <v>20</v>
      </c>
      <c r="F27" s="41">
        <f>(COUNTIFS(集計用!$K:$K, "*, "&amp;F$4&amp;", *",集計用!$G:$G, "*, "&amp;$C27&amp;",*"))/$B27*100</f>
        <v>24</v>
      </c>
      <c r="G27" s="41">
        <f>(COUNTIFS(集計用!$K:$K, "*, "&amp;G$4&amp;", *",集計用!$G:$G, "*, "&amp;$C27&amp;",*"))/$B27*100</f>
        <v>8</v>
      </c>
      <c r="H27" s="41">
        <f>(COUNTIFS(集計用!$K:$K, "*, "&amp;H$4&amp;", *",集計用!$G:$G, "*, "&amp;$C27&amp;",*"))/$B27*100</f>
        <v>16</v>
      </c>
      <c r="I27" s="41">
        <f>(COUNTIFS(集計用!$K:$K, "*, "&amp;I$4&amp;", *",集計用!$G:$G, "*, "&amp;$C27&amp;",*"))/$B27*100</f>
        <v>36</v>
      </c>
      <c r="J27" s="41">
        <f>(COUNTIFS(集計用!$K:$K, "*, "&amp;J$4&amp;", *",集計用!$G:$G, "*, "&amp;$C27&amp;",*"))/$B27*100</f>
        <v>16</v>
      </c>
      <c r="K27" s="41">
        <f>(COUNTIFS(集計用!$K:$K, "*, "&amp;K$4&amp;", *",集計用!$G:$G, "*, "&amp;$C27&amp;",*"))/$B27*100</f>
        <v>8</v>
      </c>
      <c r="L27" s="41">
        <f>(COUNTIFS(集計用!$J:$J, "*"&amp;L$4&amp;"*",集計用!$G:$G, "*, "&amp;$C27&amp;",*"))/$B27*100</f>
        <v>0</v>
      </c>
      <c r="M27" s="41">
        <f>(COUNTIFS(集計用!$J:$J, "*"&amp;M$4&amp;"*",集計用!$G:$G, "*, "&amp;$C27&amp;",*"))/$B27*100</f>
        <v>0</v>
      </c>
      <c r="N27" s="41">
        <f>(COUNTIFS(集計用!$J:$J, "*"&amp;N$4&amp;"*",集計用!$G:$G, "*, "&amp;$C27&amp;",*"))/$B27*100</f>
        <v>0</v>
      </c>
      <c r="O27" s="41">
        <f>(COUNTIFS(集計用!$J:$J, "*"&amp;O$4&amp;"*",集計用!$G:$G, "*, "&amp;$C27&amp;",*"))/$B27*100</f>
        <v>0</v>
      </c>
      <c r="P27" s="41">
        <f>(COUNTIFS(集計用!$J:$J, "*"&amp;P$4&amp;"*",集計用!$G:$G, "*, "&amp;$C27&amp;",*"))/$B27*100</f>
        <v>0</v>
      </c>
      <c r="Q27" s="41">
        <f>(COUNTIFS(集計用!$J:$J, "*"&amp;Q$4&amp;"*",集計用!$G:$G, "*, "&amp;$C27&amp;",*"))/$B27*100</f>
        <v>0</v>
      </c>
      <c r="R27" s="41">
        <f>(COUNTIFS(集計用!$J:$J, "*"&amp;R$4&amp;"*",集計用!$G:$G, "*, "&amp;$C27&amp;",*"))/$B27*100</f>
        <v>0</v>
      </c>
      <c r="S27" s="41">
        <f>(COUNTIFS(集計用!$J:$J, "*"&amp;S$4&amp;"*",集計用!$G:$G, "*, "&amp;$C27&amp;",*"))/$B27*100</f>
        <v>4</v>
      </c>
      <c r="T27" s="41">
        <f>(COUNTIFS(集計用!$J:$J, "*"&amp;T$4&amp;"*",集計用!$G:$G, "*, "&amp;$C27&amp;",*"))/$B27*100</f>
        <v>0</v>
      </c>
      <c r="U27" s="41">
        <f>(COUNTIFS(集計用!$J:$J, "*"&amp;U$4&amp;"*",集計用!$G:$G, "*, "&amp;$C27&amp;",*"))/$B27*100</f>
        <v>0</v>
      </c>
      <c r="V27" s="41">
        <f>(COUNTIFS(集計用!$J:$J, "*"&amp;V$4&amp;"*",集計用!$G:$G, "*, "&amp;$C27&amp;",*"))/$B27*100</f>
        <v>0</v>
      </c>
      <c r="W27" s="41">
        <f>(COUNTIFS(集計用!$J:$J, "*"&amp;W$4&amp;"*",集計用!$G:$G, "*, "&amp;$C27&amp;",*"))/$B27*100</f>
        <v>0</v>
      </c>
    </row>
    <row r="28" spans="1:23" ht="15.75" customHeight="1">
      <c r="A28" s="39">
        <v>5</v>
      </c>
      <c r="B28" s="39">
        <f>(COUNTIFS(集計用!$G:$G,"*, "&amp;$C28&amp;",*",集計用!$G:$G, "&lt;&gt;無回答 , "))</f>
        <v>25</v>
      </c>
      <c r="C28" s="42" t="s">
        <v>22</v>
      </c>
      <c r="D28" s="41">
        <f>(COUNTIFS(集計用!$K:$K, "*, "&amp;D$4&amp;", *",集計用!$G:$G, "*, "&amp;$C28&amp;",*"))/$B28*100</f>
        <v>80</v>
      </c>
      <c r="E28" s="41">
        <f>(COUNTIFS(集計用!$K:$K, "*, "&amp;E$4&amp;", *",集計用!$G:$G, "*, "&amp;$C28&amp;",*"))/$B28*100</f>
        <v>28.000000000000004</v>
      </c>
      <c r="F28" s="41">
        <f>(COUNTIFS(集計用!$K:$K, "*, "&amp;F$4&amp;", *",集計用!$G:$G, "*, "&amp;$C28&amp;",*"))/$B28*100</f>
        <v>40</v>
      </c>
      <c r="G28" s="41">
        <f>(COUNTIFS(集計用!$K:$K, "*, "&amp;G$4&amp;", *",集計用!$G:$G, "*, "&amp;$C28&amp;",*"))/$B28*100</f>
        <v>16</v>
      </c>
      <c r="H28" s="41">
        <f>(COUNTIFS(集計用!$K:$K, "*, "&amp;H$4&amp;", *",集計用!$G:$G, "*, "&amp;$C28&amp;",*"))/$B28*100</f>
        <v>40</v>
      </c>
      <c r="I28" s="41">
        <f>(COUNTIFS(集計用!$K:$K, "*, "&amp;I$4&amp;", *",集計用!$G:$G, "*, "&amp;$C28&amp;",*"))/$B28*100</f>
        <v>20</v>
      </c>
      <c r="J28" s="41">
        <f>(COUNTIFS(集計用!$K:$K, "*, "&amp;J$4&amp;", *",集計用!$G:$G, "*, "&amp;$C28&amp;",*"))/$B28*100</f>
        <v>28.000000000000004</v>
      </c>
      <c r="K28" s="41">
        <f>(COUNTIFS(集計用!$K:$K, "*, "&amp;K$4&amp;", *",集計用!$G:$G, "*, "&amp;$C28&amp;",*"))/$B28*100</f>
        <v>12</v>
      </c>
      <c r="L28" s="41">
        <f>(COUNTIFS(集計用!$J:$J, "*"&amp;L$4&amp;"*",集計用!$G:$G, "*, "&amp;$C28&amp;",*"))/$B28*100</f>
        <v>0</v>
      </c>
      <c r="M28" s="41">
        <f>(COUNTIFS(集計用!$J:$J, "*"&amp;M$4&amp;"*",集計用!$G:$G, "*, "&amp;$C28&amp;",*"))/$B28*100</f>
        <v>0</v>
      </c>
      <c r="N28" s="41">
        <f>(COUNTIFS(集計用!$J:$J, "*"&amp;N$4&amp;"*",集計用!$G:$G, "*, "&amp;$C28&amp;",*"))/$B28*100</f>
        <v>0</v>
      </c>
      <c r="O28" s="41">
        <f>(COUNTIFS(集計用!$J:$J, "*"&amp;O$4&amp;"*",集計用!$G:$G, "*, "&amp;$C28&amp;",*"))/$B28*100</f>
        <v>0</v>
      </c>
      <c r="P28" s="41">
        <f>(COUNTIFS(集計用!$J:$J, "*"&amp;P$4&amp;"*",集計用!$G:$G, "*, "&amp;$C28&amp;",*"))/$B28*100</f>
        <v>0</v>
      </c>
      <c r="Q28" s="41">
        <f>(COUNTIFS(集計用!$J:$J, "*"&amp;Q$4&amp;"*",集計用!$G:$G, "*, "&amp;$C28&amp;",*"))/$B28*100</f>
        <v>0</v>
      </c>
      <c r="R28" s="41">
        <f>(COUNTIFS(集計用!$J:$J, "*"&amp;R$4&amp;"*",集計用!$G:$G, "*, "&amp;$C28&amp;",*"))/$B28*100</f>
        <v>0</v>
      </c>
      <c r="S28" s="41">
        <f>(COUNTIFS(集計用!$J:$J, "*"&amp;S$4&amp;"*",集計用!$G:$G, "*, "&amp;$C28&amp;",*"))/$B28*100</f>
        <v>0</v>
      </c>
      <c r="T28" s="41">
        <f>(COUNTIFS(集計用!$J:$J, "*"&amp;T$4&amp;"*",集計用!$G:$G, "*, "&amp;$C28&amp;",*"))/$B28*100</f>
        <v>0</v>
      </c>
      <c r="U28" s="41">
        <f>(COUNTIFS(集計用!$J:$J, "*"&amp;U$4&amp;"*",集計用!$G:$G, "*, "&amp;$C28&amp;",*"))/$B28*100</f>
        <v>0</v>
      </c>
      <c r="V28" s="41">
        <f>(COUNTIFS(集計用!$J:$J, "*"&amp;V$4&amp;"*",集計用!$G:$G, "*, "&amp;$C28&amp;",*"))/$B28*100</f>
        <v>0</v>
      </c>
      <c r="W28" s="41">
        <f>(COUNTIFS(集計用!$J:$J, "*"&amp;W$4&amp;"*",集計用!$G:$G, "*, "&amp;$C28&amp;",*"))/$B28*100</f>
        <v>0</v>
      </c>
    </row>
    <row r="29" spans="1:23" ht="15.75" customHeight="1">
      <c r="A29" s="39">
        <v>5</v>
      </c>
      <c r="B29" s="39">
        <f>(COUNTIFS(集計用!$G:$G,"*, "&amp;$C29&amp;",*",集計用!$G:$G, "&lt;&gt;無回答 , "))</f>
        <v>25</v>
      </c>
      <c r="C29" s="42" t="s">
        <v>21</v>
      </c>
      <c r="D29" s="41">
        <f>(COUNTIFS(集計用!$K:$K, "*, "&amp;D$4&amp;", *",集計用!$G:$G, "*, "&amp;$C29&amp;",*"))/$B29*100</f>
        <v>76</v>
      </c>
      <c r="E29" s="41">
        <f>(COUNTIFS(集計用!$K:$K, "*, "&amp;E$4&amp;", *",集計用!$G:$G, "*, "&amp;$C29&amp;",*"))/$B29*100</f>
        <v>28.000000000000004</v>
      </c>
      <c r="F29" s="41">
        <f>(COUNTIFS(集計用!$K:$K, "*, "&amp;F$4&amp;", *",集計用!$G:$G, "*, "&amp;$C29&amp;",*"))/$B29*100</f>
        <v>32</v>
      </c>
      <c r="G29" s="41">
        <f>(COUNTIFS(集計用!$K:$K, "*, "&amp;G$4&amp;", *",集計用!$G:$G, "*, "&amp;$C29&amp;",*"))/$B29*100</f>
        <v>12</v>
      </c>
      <c r="H29" s="41">
        <f>(COUNTIFS(集計用!$K:$K, "*, "&amp;H$4&amp;", *",集計用!$G:$G, "*, "&amp;$C29&amp;",*"))/$B29*100</f>
        <v>40</v>
      </c>
      <c r="I29" s="41">
        <f>(COUNTIFS(集計用!$K:$K, "*, "&amp;I$4&amp;", *",集計用!$G:$G, "*, "&amp;$C29&amp;",*"))/$B29*100</f>
        <v>4</v>
      </c>
      <c r="J29" s="41">
        <f>(COUNTIFS(集計用!$K:$K, "*, "&amp;J$4&amp;", *",集計用!$G:$G, "*, "&amp;$C29&amp;",*"))/$B29*100</f>
        <v>8</v>
      </c>
      <c r="K29" s="41">
        <f>(COUNTIFS(集計用!$K:$K, "*, "&amp;K$4&amp;", *",集計用!$G:$G, "*, "&amp;$C29&amp;",*"))/$B29*100</f>
        <v>4</v>
      </c>
      <c r="L29" s="41">
        <f>(COUNTIFS(集計用!$J:$J, "*"&amp;L$4&amp;"*",集計用!$G:$G, "*, "&amp;$C29&amp;",*"))/$B29*100</f>
        <v>0</v>
      </c>
      <c r="M29" s="41">
        <f>(COUNTIFS(集計用!$J:$J, "*"&amp;M$4&amp;"*",集計用!$G:$G, "*, "&amp;$C29&amp;",*"))/$B29*100</f>
        <v>4</v>
      </c>
      <c r="N29" s="41">
        <f>(COUNTIFS(集計用!$J:$J, "*"&amp;N$4&amp;"*",集計用!$G:$G, "*, "&amp;$C29&amp;",*"))/$B29*100</f>
        <v>0</v>
      </c>
      <c r="O29" s="41">
        <f>(COUNTIFS(集計用!$J:$J, "*"&amp;O$4&amp;"*",集計用!$G:$G, "*, "&amp;$C29&amp;",*"))/$B29*100</f>
        <v>0</v>
      </c>
      <c r="P29" s="41">
        <f>(COUNTIFS(集計用!$J:$J, "*"&amp;P$4&amp;"*",集計用!$G:$G, "*, "&amp;$C29&amp;",*"))/$B29*100</f>
        <v>0</v>
      </c>
      <c r="Q29" s="41">
        <f>(COUNTIFS(集計用!$J:$J, "*"&amp;Q$4&amp;"*",集計用!$G:$G, "*, "&amp;$C29&amp;",*"))/$B29*100</f>
        <v>0</v>
      </c>
      <c r="R29" s="41">
        <f>(COUNTIFS(集計用!$J:$J, "*"&amp;R$4&amp;"*",集計用!$G:$G, "*, "&amp;$C29&amp;",*"))/$B29*100</f>
        <v>0</v>
      </c>
      <c r="S29" s="41">
        <f>(COUNTIFS(集計用!$J:$J, "*"&amp;S$4&amp;"*",集計用!$G:$G, "*, "&amp;$C29&amp;",*"))/$B29*100</f>
        <v>0</v>
      </c>
      <c r="T29" s="41">
        <f>(COUNTIFS(集計用!$J:$J, "*"&amp;T$4&amp;"*",集計用!$G:$G, "*, "&amp;$C29&amp;",*"))/$B29*100</f>
        <v>0</v>
      </c>
      <c r="U29" s="41">
        <f>(COUNTIFS(集計用!$J:$J, "*"&amp;U$4&amp;"*",集計用!$G:$G, "*, "&amp;$C29&amp;",*"))/$B29*100</f>
        <v>0</v>
      </c>
      <c r="V29" s="41">
        <f>(COUNTIFS(集計用!$J:$J, "*"&amp;V$4&amp;"*",集計用!$G:$G, "*, "&amp;$C29&amp;",*"))/$B29*100</f>
        <v>0</v>
      </c>
      <c r="W29" s="41">
        <f>(COUNTIFS(集計用!$J:$J, "*"&amp;W$4&amp;"*",集計用!$G:$G, "*, "&amp;$C29&amp;",*"))/$B29*100</f>
        <v>0</v>
      </c>
    </row>
    <row r="30" spans="1:23" ht="12.75">
      <c r="A30" s="39">
        <v>6</v>
      </c>
      <c r="B30" s="39">
        <f>(COUNTIFS(集計用!$G:$G,"*, "&amp;$C30&amp;",*",集計用!$G:$G, "&lt;&gt;無回答 , "))</f>
        <v>22</v>
      </c>
      <c r="C30" s="42" t="s">
        <v>25</v>
      </c>
      <c r="D30" s="41">
        <f>(COUNTIFS(集計用!$K:$K, "*, "&amp;D$4&amp;", *",集計用!$G:$G, "*, "&amp;$C30&amp;",*"))/$B30*100</f>
        <v>86.36363636363636</v>
      </c>
      <c r="E30" s="41">
        <f>(COUNTIFS(集計用!$K:$K, "*, "&amp;E$4&amp;", *",集計用!$G:$G, "*, "&amp;$C30&amp;",*"))/$B30*100</f>
        <v>22.727272727272727</v>
      </c>
      <c r="F30" s="41">
        <f>(COUNTIFS(集計用!$K:$K, "*, "&amp;F$4&amp;", *",集計用!$G:$G, "*, "&amp;$C30&amp;",*"))/$B30*100</f>
        <v>22.727272727272727</v>
      </c>
      <c r="G30" s="41">
        <f>(COUNTIFS(集計用!$K:$K, "*, "&amp;G$4&amp;", *",集計用!$G:$G, "*, "&amp;$C30&amp;",*"))/$B30*100</f>
        <v>9.0909090909090917</v>
      </c>
      <c r="H30" s="41">
        <f>(COUNTIFS(集計用!$K:$K, "*, "&amp;H$4&amp;", *",集計用!$G:$G, "*, "&amp;$C30&amp;",*"))/$B30*100</f>
        <v>9.0909090909090917</v>
      </c>
      <c r="I30" s="41">
        <f>(COUNTIFS(集計用!$K:$K, "*, "&amp;I$4&amp;", *",集計用!$G:$G, "*, "&amp;$C30&amp;",*"))/$B30*100</f>
        <v>27.27272727272727</v>
      </c>
      <c r="J30" s="41">
        <f>(COUNTIFS(集計用!$K:$K, "*, "&amp;J$4&amp;", *",集計用!$G:$G, "*, "&amp;$C30&amp;",*"))/$B30*100</f>
        <v>36.363636363636367</v>
      </c>
      <c r="K30" s="41">
        <f>(COUNTIFS(集計用!$K:$K, "*, "&amp;K$4&amp;", *",集計用!$G:$G, "*, "&amp;$C30&amp;",*"))/$B30*100</f>
        <v>4.5454545454545459</v>
      </c>
      <c r="L30" s="41">
        <f>(COUNTIFS(集計用!$J:$J, "*"&amp;L$4&amp;"*",集計用!$G:$G, "*, "&amp;$C30&amp;",*"))/$B30*100</f>
        <v>0</v>
      </c>
      <c r="M30" s="41">
        <f>(COUNTIFS(集計用!$J:$J, "*"&amp;M$4&amp;"*",集計用!$G:$G, "*, "&amp;$C30&amp;",*"))/$B30*100</f>
        <v>0</v>
      </c>
      <c r="N30" s="41">
        <f>(COUNTIFS(集計用!$J:$J, "*"&amp;N$4&amp;"*",集計用!$G:$G, "*, "&amp;$C30&amp;",*"))/$B30*100</f>
        <v>0</v>
      </c>
      <c r="O30" s="41">
        <f>(COUNTIFS(集計用!$J:$J, "*"&amp;O$4&amp;"*",集計用!$G:$G, "*, "&amp;$C30&amp;",*"))/$B30*100</f>
        <v>0</v>
      </c>
      <c r="P30" s="41">
        <f>(COUNTIFS(集計用!$J:$J, "*"&amp;P$4&amp;"*",集計用!$G:$G, "*, "&amp;$C30&amp;",*"))/$B30*100</f>
        <v>0</v>
      </c>
      <c r="Q30" s="41">
        <f>(COUNTIFS(集計用!$J:$J, "*"&amp;Q$4&amp;"*",集計用!$G:$G, "*, "&amp;$C30&amp;",*"))/$B30*100</f>
        <v>4.5454545454545459</v>
      </c>
      <c r="R30" s="41">
        <f>(COUNTIFS(集計用!$J:$J, "*"&amp;R$4&amp;"*",集計用!$G:$G, "*, "&amp;$C30&amp;",*"))/$B30*100</f>
        <v>0</v>
      </c>
      <c r="S30" s="41">
        <f>(COUNTIFS(集計用!$J:$J, "*"&amp;S$4&amp;"*",集計用!$G:$G, "*, "&amp;$C30&amp;",*"))/$B30*100</f>
        <v>0</v>
      </c>
      <c r="T30" s="41">
        <f>(COUNTIFS(集計用!$J:$J, "*"&amp;T$4&amp;"*",集計用!$G:$G, "*, "&amp;$C30&amp;",*"))/$B30*100</f>
        <v>0</v>
      </c>
      <c r="U30" s="41">
        <f>(COUNTIFS(集計用!$J:$J, "*"&amp;U$4&amp;"*",集計用!$G:$G, "*, "&amp;$C30&amp;",*"))/$B30*100</f>
        <v>0</v>
      </c>
      <c r="V30" s="41">
        <f>(COUNTIFS(集計用!$J:$J, "*"&amp;V$4&amp;"*",集計用!$G:$G, "*, "&amp;$C30&amp;",*"))/$B30*100</f>
        <v>0</v>
      </c>
      <c r="W30" s="41">
        <f>(COUNTIFS(集計用!$J:$J, "*"&amp;W$4&amp;"*",集計用!$G:$G, "*, "&amp;$C30&amp;",*"))/$B30*100</f>
        <v>0</v>
      </c>
    </row>
    <row r="31" spans="1:23" ht="15.75" customHeight="1">
      <c r="A31" s="39">
        <v>4</v>
      </c>
      <c r="B31" s="39">
        <f>(COUNTIFS(集計用!$G:$G,"*, "&amp;$C31&amp;",*",集計用!$G:$G, "&lt;&gt;無回答 , "))</f>
        <v>22</v>
      </c>
      <c r="C31" s="42" t="s">
        <v>24</v>
      </c>
      <c r="D31" s="41">
        <f>(COUNTIFS(集計用!$K:$K, "*, "&amp;D$4&amp;", *",集計用!$G:$G, "*, "&amp;$C31&amp;",*"))/$B31*100</f>
        <v>81.818181818181827</v>
      </c>
      <c r="E31" s="41">
        <f>(COUNTIFS(集計用!$K:$K, "*, "&amp;E$4&amp;", *",集計用!$G:$G, "*, "&amp;$C31&amp;",*"))/$B31*100</f>
        <v>31.818181818181817</v>
      </c>
      <c r="F31" s="41">
        <f>(COUNTIFS(集計用!$K:$K, "*, "&amp;F$4&amp;", *",集計用!$G:$G, "*, "&amp;$C31&amp;",*"))/$B31*100</f>
        <v>27.27272727272727</v>
      </c>
      <c r="G31" s="41">
        <f>(COUNTIFS(集計用!$K:$K, "*, "&amp;G$4&amp;", *",集計用!$G:$G, "*, "&amp;$C31&amp;",*"))/$B31*100</f>
        <v>40.909090909090914</v>
      </c>
      <c r="H31" s="41">
        <f>(COUNTIFS(集計用!$K:$K, "*, "&amp;H$4&amp;", *",集計用!$G:$G, "*, "&amp;$C31&amp;",*"))/$B31*100</f>
        <v>31.818181818181817</v>
      </c>
      <c r="I31" s="41">
        <f>(COUNTIFS(集計用!$K:$K, "*, "&amp;I$4&amp;", *",集計用!$G:$G, "*, "&amp;$C31&amp;",*"))/$B31*100</f>
        <v>18.181818181818183</v>
      </c>
      <c r="J31" s="41">
        <f>(COUNTIFS(集計用!$K:$K, "*, "&amp;J$4&amp;", *",集計用!$G:$G, "*, "&amp;$C31&amp;",*"))/$B31*100</f>
        <v>22.727272727272727</v>
      </c>
      <c r="K31" s="41">
        <f>(COUNTIFS(集計用!$K:$K, "*, "&amp;K$4&amp;", *",集計用!$G:$G, "*, "&amp;$C31&amp;",*"))/$B31*100</f>
        <v>4.5454545454545459</v>
      </c>
      <c r="L31" s="41">
        <f>(COUNTIFS(集計用!$J:$J, "*"&amp;L$4&amp;"*",集計用!$G:$G, "*, "&amp;$C31&amp;",*"))/$B31*100</f>
        <v>4.5454545454545459</v>
      </c>
      <c r="M31" s="41">
        <f>(COUNTIFS(集計用!$J:$J, "*"&amp;M$4&amp;"*",集計用!$G:$G, "*, "&amp;$C31&amp;",*"))/$B31*100</f>
        <v>4.5454545454545459</v>
      </c>
      <c r="N31" s="41">
        <f>(COUNTIFS(集計用!$J:$J, "*"&amp;N$4&amp;"*",集計用!$G:$G, "*, "&amp;$C31&amp;",*"))/$B31*100</f>
        <v>0</v>
      </c>
      <c r="O31" s="41">
        <f>(COUNTIFS(集計用!$J:$J, "*"&amp;O$4&amp;"*",集計用!$G:$G, "*, "&amp;$C31&amp;",*"))/$B31*100</f>
        <v>0</v>
      </c>
      <c r="P31" s="41">
        <f>(COUNTIFS(集計用!$J:$J, "*"&amp;P$4&amp;"*",集計用!$G:$G, "*, "&amp;$C31&amp;",*"))/$B31*100</f>
        <v>0</v>
      </c>
      <c r="Q31" s="41">
        <f>(COUNTIFS(集計用!$J:$J, "*"&amp;Q$4&amp;"*",集計用!$G:$G, "*, "&amp;$C31&amp;",*"))/$B31*100</f>
        <v>0</v>
      </c>
      <c r="R31" s="41">
        <f>(COUNTIFS(集計用!$J:$J, "*"&amp;R$4&amp;"*",集計用!$G:$G, "*, "&amp;$C31&amp;",*"))/$B31*100</f>
        <v>0</v>
      </c>
      <c r="S31" s="41">
        <f>(COUNTIFS(集計用!$J:$J, "*"&amp;S$4&amp;"*",集計用!$G:$G, "*, "&amp;$C31&amp;",*"))/$B31*100</f>
        <v>0</v>
      </c>
      <c r="T31" s="41">
        <f>(COUNTIFS(集計用!$J:$J, "*"&amp;T$4&amp;"*",集計用!$G:$G, "*, "&amp;$C31&amp;",*"))/$B31*100</f>
        <v>0</v>
      </c>
      <c r="U31" s="41">
        <f>(COUNTIFS(集計用!$J:$J, "*"&amp;U$4&amp;"*",集計用!$G:$G, "*, "&amp;$C31&amp;",*"))/$B31*100</f>
        <v>0</v>
      </c>
      <c r="V31" s="41">
        <f>(COUNTIFS(集計用!$J:$J, "*"&amp;V$4&amp;"*",集計用!$G:$G, "*, "&amp;$C31&amp;",*"))/$B31*100</f>
        <v>0</v>
      </c>
      <c r="W31" s="41">
        <f>(COUNTIFS(集計用!$J:$J, "*"&amp;W$4&amp;"*",集計用!$G:$G, "*, "&amp;$C31&amp;",*"))/$B31*100</f>
        <v>4.5454545454545459</v>
      </c>
    </row>
    <row r="32" spans="1:23" ht="12.75">
      <c r="A32" s="39">
        <v>6</v>
      </c>
      <c r="B32" s="39">
        <f>(COUNTIFS(集計用!$G:$G,"*, "&amp;$C32&amp;",*",集計用!$G:$G, "&lt;&gt;無回答 , "))</f>
        <v>20</v>
      </c>
      <c r="C32" s="42" t="s">
        <v>26</v>
      </c>
      <c r="D32" s="41">
        <f>(COUNTIFS(集計用!$K:$K, "*, "&amp;D$4&amp;", *",集計用!$G:$G, "*, "&amp;$C32&amp;",*"))/$B32*100</f>
        <v>85</v>
      </c>
      <c r="E32" s="41">
        <f>(COUNTIFS(集計用!$K:$K, "*, "&amp;E$4&amp;", *",集計用!$G:$G, "*, "&amp;$C32&amp;",*"))/$B32*100</f>
        <v>35</v>
      </c>
      <c r="F32" s="41">
        <f>(COUNTIFS(集計用!$K:$K, "*, "&amp;F$4&amp;", *",集計用!$G:$G, "*, "&amp;$C32&amp;",*"))/$B32*100</f>
        <v>35</v>
      </c>
      <c r="G32" s="41">
        <f>(COUNTIFS(集計用!$K:$K, "*, "&amp;G$4&amp;", *",集計用!$G:$G, "*, "&amp;$C32&amp;",*"))/$B32*100</f>
        <v>30</v>
      </c>
      <c r="H32" s="41">
        <f>(COUNTIFS(集計用!$K:$K, "*, "&amp;H$4&amp;", *",集計用!$G:$G, "*, "&amp;$C32&amp;",*"))/$B32*100</f>
        <v>30</v>
      </c>
      <c r="I32" s="41">
        <f>(COUNTIFS(集計用!$K:$K, "*, "&amp;I$4&amp;", *",集計用!$G:$G, "*, "&amp;$C32&amp;",*"))/$B32*100</f>
        <v>20</v>
      </c>
      <c r="J32" s="41">
        <f>(COUNTIFS(集計用!$K:$K, "*, "&amp;J$4&amp;", *",集計用!$G:$G, "*, "&amp;$C32&amp;",*"))/$B32*100</f>
        <v>25</v>
      </c>
      <c r="K32" s="41">
        <f>(COUNTIFS(集計用!$K:$K, "*, "&amp;K$4&amp;", *",集計用!$G:$G, "*, "&amp;$C32&amp;",*"))/$B32*100</f>
        <v>15</v>
      </c>
      <c r="L32" s="41">
        <f>(COUNTIFS(集計用!$J:$J, "*"&amp;L$4&amp;"*",集計用!$G:$G, "*, "&amp;$C32&amp;",*"))/$B32*100</f>
        <v>0</v>
      </c>
      <c r="M32" s="41">
        <f>(COUNTIFS(集計用!$J:$J, "*"&amp;M$4&amp;"*",集計用!$G:$G, "*, "&amp;$C32&amp;",*"))/$B32*100</f>
        <v>0</v>
      </c>
      <c r="N32" s="41">
        <f>(COUNTIFS(集計用!$J:$J, "*"&amp;N$4&amp;"*",集計用!$G:$G, "*, "&amp;$C32&amp;",*"))/$B32*100</f>
        <v>0</v>
      </c>
      <c r="O32" s="41">
        <f>(COUNTIFS(集計用!$J:$J, "*"&amp;O$4&amp;"*",集計用!$G:$G, "*, "&amp;$C32&amp;",*"))/$B32*100</f>
        <v>0</v>
      </c>
      <c r="P32" s="41">
        <f>(COUNTIFS(集計用!$J:$J, "*"&amp;P$4&amp;"*",集計用!$G:$G, "*, "&amp;$C32&amp;",*"))/$B32*100</f>
        <v>0</v>
      </c>
      <c r="Q32" s="41">
        <f>(COUNTIFS(集計用!$J:$J, "*"&amp;Q$4&amp;"*",集計用!$G:$G, "*, "&amp;$C32&amp;",*"))/$B32*100</f>
        <v>5</v>
      </c>
      <c r="R32" s="41">
        <f>(COUNTIFS(集計用!$J:$J, "*"&amp;R$4&amp;"*",集計用!$G:$G, "*, "&amp;$C32&amp;",*"))/$B32*100</f>
        <v>0</v>
      </c>
      <c r="S32" s="41">
        <f>(COUNTIFS(集計用!$J:$J, "*"&amp;S$4&amp;"*",集計用!$G:$G, "*, "&amp;$C32&amp;",*"))/$B32*100</f>
        <v>0</v>
      </c>
      <c r="T32" s="41">
        <f>(COUNTIFS(集計用!$J:$J, "*"&amp;T$4&amp;"*",集計用!$G:$G, "*, "&amp;$C32&amp;",*"))/$B32*100</f>
        <v>0</v>
      </c>
      <c r="U32" s="41">
        <f>(COUNTIFS(集計用!$J:$J, "*"&amp;U$4&amp;"*",集計用!$G:$G, "*, "&amp;$C32&amp;",*"))/$B32*100</f>
        <v>0</v>
      </c>
      <c r="V32" s="41">
        <f>(COUNTIFS(集計用!$J:$J, "*"&amp;V$4&amp;"*",集計用!$G:$G, "*, "&amp;$C32&amp;",*"))/$B32*100</f>
        <v>5</v>
      </c>
      <c r="W32" s="41">
        <f>(COUNTIFS(集計用!$J:$J, "*"&amp;W$4&amp;"*",集計用!$G:$G, "*, "&amp;$C32&amp;",*"))/$B32*100</f>
        <v>0</v>
      </c>
    </row>
    <row r="33" spans="1:23" ht="12.75">
      <c r="A33" s="39">
        <v>4</v>
      </c>
      <c r="B33" s="39">
        <f>(COUNTIFS(集計用!$G:$G,"*, "&amp;$C33&amp;",*",集計用!$G:$G, "&lt;&gt;無回答 , "))</f>
        <v>19</v>
      </c>
      <c r="C33" s="42" t="s">
        <v>27</v>
      </c>
      <c r="D33" s="41">
        <f>(COUNTIFS(集計用!$K:$K, "*, "&amp;D$4&amp;", *",集計用!$G:$G, "*, "&amp;$C33&amp;",*"))/$B33*100</f>
        <v>94.73684210526315</v>
      </c>
      <c r="E33" s="41">
        <f>(COUNTIFS(集計用!$K:$K, "*, "&amp;E$4&amp;", *",集計用!$G:$G, "*, "&amp;$C33&amp;",*"))/$B33*100</f>
        <v>47.368421052631575</v>
      </c>
      <c r="F33" s="41">
        <f>(COUNTIFS(集計用!$K:$K, "*, "&amp;F$4&amp;", *",集計用!$G:$G, "*, "&amp;$C33&amp;",*"))/$B33*100</f>
        <v>31.578947368421051</v>
      </c>
      <c r="G33" s="41">
        <f>(COUNTIFS(集計用!$K:$K, "*, "&amp;G$4&amp;", *",集計用!$G:$G, "*, "&amp;$C33&amp;",*"))/$B33*100</f>
        <v>36.84210526315789</v>
      </c>
      <c r="H33" s="41">
        <f>(COUNTIFS(集計用!$K:$K, "*, "&amp;H$4&amp;", *",集計用!$G:$G, "*, "&amp;$C33&amp;",*"))/$B33*100</f>
        <v>10.526315789473683</v>
      </c>
      <c r="I33" s="41">
        <f>(COUNTIFS(集計用!$K:$K, "*, "&amp;I$4&amp;", *",集計用!$G:$G, "*, "&amp;$C33&amp;",*"))/$B33*100</f>
        <v>15.789473684210526</v>
      </c>
      <c r="J33" s="41">
        <f>(COUNTIFS(集計用!$K:$K, "*, "&amp;J$4&amp;", *",集計用!$G:$G, "*, "&amp;$C33&amp;",*"))/$B33*100</f>
        <v>10.526315789473683</v>
      </c>
      <c r="K33" s="41">
        <f>(COUNTIFS(集計用!$K:$K, "*, "&amp;K$4&amp;", *",集計用!$G:$G, "*, "&amp;$C33&amp;",*"))/$B33*100</f>
        <v>5.2631578947368416</v>
      </c>
      <c r="L33" s="41">
        <f>(COUNTIFS(集計用!$J:$J, "*"&amp;L$4&amp;"*",集計用!$G:$G, "*, "&amp;$C33&amp;",*"))/$B33*100</f>
        <v>15.789473684210526</v>
      </c>
      <c r="M33" s="41">
        <f>(COUNTIFS(集計用!$J:$J, "*"&amp;M$4&amp;"*",集計用!$G:$G, "*, "&amp;$C33&amp;",*"))/$B33*100</f>
        <v>0</v>
      </c>
      <c r="N33" s="41">
        <f>(COUNTIFS(集計用!$J:$J, "*"&amp;N$4&amp;"*",集計用!$G:$G, "*, "&amp;$C33&amp;",*"))/$B33*100</f>
        <v>0</v>
      </c>
      <c r="O33" s="41">
        <f>(COUNTIFS(集計用!$J:$J, "*"&amp;O$4&amp;"*",集計用!$G:$G, "*, "&amp;$C33&amp;",*"))/$B33*100</f>
        <v>0</v>
      </c>
      <c r="P33" s="41">
        <f>(COUNTIFS(集計用!$J:$J, "*"&amp;P$4&amp;"*",集計用!$G:$G, "*, "&amp;$C33&amp;",*"))/$B33*100</f>
        <v>0</v>
      </c>
      <c r="Q33" s="41">
        <f>(COUNTIFS(集計用!$J:$J, "*"&amp;Q$4&amp;"*",集計用!$G:$G, "*, "&amp;$C33&amp;",*"))/$B33*100</f>
        <v>0</v>
      </c>
      <c r="R33" s="41">
        <f>(COUNTIFS(集計用!$J:$J, "*"&amp;R$4&amp;"*",集計用!$G:$G, "*, "&amp;$C33&amp;",*"))/$B33*100</f>
        <v>5.2631578947368416</v>
      </c>
      <c r="S33" s="41">
        <f>(COUNTIFS(集計用!$J:$J, "*"&amp;S$4&amp;"*",集計用!$G:$G, "*, "&amp;$C33&amp;",*"))/$B33*100</f>
        <v>0</v>
      </c>
      <c r="T33" s="41">
        <f>(COUNTIFS(集計用!$J:$J, "*"&amp;T$4&amp;"*",集計用!$G:$G, "*, "&amp;$C33&amp;",*"))/$B33*100</f>
        <v>0</v>
      </c>
      <c r="U33" s="41">
        <f>(COUNTIFS(集計用!$J:$J, "*"&amp;U$4&amp;"*",集計用!$G:$G, "*, "&amp;$C33&amp;",*"))/$B33*100</f>
        <v>0</v>
      </c>
      <c r="V33" s="41">
        <f>(COUNTIFS(集計用!$J:$J, "*"&amp;V$4&amp;"*",集計用!$G:$G, "*, "&amp;$C33&amp;",*"))/$B33*100</f>
        <v>0</v>
      </c>
      <c r="W33" s="41">
        <f>(COUNTIFS(集計用!$J:$J, "*"&amp;W$4&amp;"*",集計用!$G:$G, "*, "&amp;$C33&amp;",*"))/$B33*100</f>
        <v>0</v>
      </c>
    </row>
    <row r="34" spans="1:23" ht="12.75">
      <c r="A34" s="39">
        <v>5</v>
      </c>
      <c r="B34" s="39">
        <f>(COUNTIFS(集計用!$G:$G,"*, "&amp;$C34&amp;",*",集計用!$G:$G, "&lt;&gt;無回答 , "))</f>
        <v>18</v>
      </c>
      <c r="C34" s="42" t="s">
        <v>28</v>
      </c>
      <c r="D34" s="41">
        <f>(COUNTIFS(集計用!$K:$K, "*, "&amp;D$4&amp;", *",集計用!$G:$G, "*, "&amp;$C34&amp;",*"))/$B34*100</f>
        <v>77.777777777777786</v>
      </c>
      <c r="E34" s="41">
        <f>(COUNTIFS(集計用!$K:$K, "*, "&amp;E$4&amp;", *",集計用!$G:$G, "*, "&amp;$C34&amp;",*"))/$B34*100</f>
        <v>38.888888888888893</v>
      </c>
      <c r="F34" s="41">
        <f>(COUNTIFS(集計用!$K:$K, "*, "&amp;F$4&amp;", *",集計用!$G:$G, "*, "&amp;$C34&amp;",*"))/$B34*100</f>
        <v>38.888888888888893</v>
      </c>
      <c r="G34" s="41">
        <f>(COUNTIFS(集計用!$K:$K, "*, "&amp;G$4&amp;", *",集計用!$G:$G, "*, "&amp;$C34&amp;",*"))/$B34*100</f>
        <v>11.111111111111111</v>
      </c>
      <c r="H34" s="41">
        <f>(COUNTIFS(集計用!$K:$K, "*, "&amp;H$4&amp;", *",集計用!$G:$G, "*, "&amp;$C34&amp;",*"))/$B34*100</f>
        <v>44.444444444444443</v>
      </c>
      <c r="I34" s="41">
        <f>(COUNTIFS(集計用!$K:$K, "*, "&amp;I$4&amp;", *",集計用!$G:$G, "*, "&amp;$C34&amp;",*"))/$B34*100</f>
        <v>5.5555555555555554</v>
      </c>
      <c r="J34" s="41">
        <f>(COUNTIFS(集計用!$K:$K, "*, "&amp;J$4&amp;", *",集計用!$G:$G, "*, "&amp;$C34&amp;",*"))/$B34*100</f>
        <v>5.5555555555555554</v>
      </c>
      <c r="K34" s="41">
        <f>(COUNTIFS(集計用!$K:$K, "*, "&amp;K$4&amp;", *",集計用!$G:$G, "*, "&amp;$C34&amp;",*"))/$B34*100</f>
        <v>5.5555555555555554</v>
      </c>
      <c r="L34" s="41">
        <f>(COUNTIFS(集計用!$J:$J, "*"&amp;L$4&amp;"*",集計用!$G:$G, "*, "&amp;$C34&amp;",*"))/$B34*100</f>
        <v>0</v>
      </c>
      <c r="M34" s="41">
        <f>(COUNTIFS(集計用!$J:$J, "*"&amp;M$4&amp;"*",集計用!$G:$G, "*, "&amp;$C34&amp;",*"))/$B34*100</f>
        <v>0</v>
      </c>
      <c r="N34" s="41">
        <f>(COUNTIFS(集計用!$J:$J, "*"&amp;N$4&amp;"*",集計用!$G:$G, "*, "&amp;$C34&amp;",*"))/$B34*100</f>
        <v>0</v>
      </c>
      <c r="O34" s="41">
        <f>(COUNTIFS(集計用!$J:$J, "*"&amp;O$4&amp;"*",集計用!$G:$G, "*, "&amp;$C34&amp;",*"))/$B34*100</f>
        <v>0</v>
      </c>
      <c r="P34" s="41">
        <f>(COUNTIFS(集計用!$J:$J, "*"&amp;P$4&amp;"*",集計用!$G:$G, "*, "&amp;$C34&amp;",*"))/$B34*100</f>
        <v>0</v>
      </c>
      <c r="Q34" s="41">
        <f>(COUNTIFS(集計用!$J:$J, "*"&amp;Q$4&amp;"*",集計用!$G:$G, "*, "&amp;$C34&amp;",*"))/$B34*100</f>
        <v>0</v>
      </c>
      <c r="R34" s="41">
        <f>(COUNTIFS(集計用!$J:$J, "*"&amp;R$4&amp;"*",集計用!$G:$G, "*, "&amp;$C34&amp;",*"))/$B34*100</f>
        <v>0</v>
      </c>
      <c r="S34" s="41">
        <f>(COUNTIFS(集計用!$J:$J, "*"&amp;S$4&amp;"*",集計用!$G:$G, "*, "&amp;$C34&amp;",*"))/$B34*100</f>
        <v>0</v>
      </c>
      <c r="T34" s="41">
        <f>(COUNTIFS(集計用!$J:$J, "*"&amp;T$4&amp;"*",集計用!$G:$G, "*, "&amp;$C34&amp;",*"))/$B34*100</f>
        <v>0</v>
      </c>
      <c r="U34" s="41">
        <f>(COUNTIFS(集計用!$J:$J, "*"&amp;U$4&amp;"*",集計用!$G:$G, "*, "&amp;$C34&amp;",*"))/$B34*100</f>
        <v>0</v>
      </c>
      <c r="V34" s="41">
        <f>(COUNTIFS(集計用!$J:$J, "*"&amp;V$4&amp;"*",集計用!$G:$G, "*, "&amp;$C34&amp;",*"))/$B34*100</f>
        <v>0</v>
      </c>
      <c r="W34" s="41">
        <f>(COUNTIFS(集計用!$J:$J, "*"&amp;W$4&amp;"*",集計用!$G:$G, "*, "&amp;$C34&amp;",*"))/$B34*100</f>
        <v>0</v>
      </c>
    </row>
    <row r="35" spans="1:23" ht="15.75" customHeight="1">
      <c r="A35" s="39">
        <v>5</v>
      </c>
      <c r="B35" s="39">
        <f>(COUNTIFS(集計用!$G:$G,"*, "&amp;$C35&amp;",*",集計用!$G:$G, "&lt;&gt;無回答 , "))</f>
        <v>18</v>
      </c>
      <c r="C35" s="42" t="s">
        <v>29</v>
      </c>
      <c r="D35" s="41">
        <f>(COUNTIFS(集計用!$K:$K, "*, "&amp;D$4&amp;", *",集計用!$G:$G, "*, "&amp;$C35&amp;",*"))/$B35*100</f>
        <v>88.888888888888886</v>
      </c>
      <c r="E35" s="41">
        <f>(COUNTIFS(集計用!$K:$K, "*, "&amp;E$4&amp;", *",集計用!$G:$G, "*, "&amp;$C35&amp;",*"))/$B35*100</f>
        <v>44.444444444444443</v>
      </c>
      <c r="F35" s="41">
        <f>(COUNTIFS(集計用!$K:$K, "*, "&amp;F$4&amp;", *",集計用!$G:$G, "*, "&amp;$C35&amp;",*"))/$B35*100</f>
        <v>16.666666666666664</v>
      </c>
      <c r="G35" s="41">
        <f>(COUNTIFS(集計用!$K:$K, "*, "&amp;G$4&amp;", *",集計用!$G:$G, "*, "&amp;$C35&amp;",*"))/$B35*100</f>
        <v>16.666666666666664</v>
      </c>
      <c r="H35" s="41">
        <f>(COUNTIFS(集計用!$K:$K, "*, "&amp;H$4&amp;", *",集計用!$G:$G, "*, "&amp;$C35&amp;",*"))/$B35*100</f>
        <v>55.555555555555557</v>
      </c>
      <c r="I35" s="41">
        <f>(COUNTIFS(集計用!$K:$K, "*, "&amp;I$4&amp;", *",集計用!$G:$G, "*, "&amp;$C35&amp;",*"))/$B35*100</f>
        <v>33.333333333333329</v>
      </c>
      <c r="J35" s="41">
        <f>(COUNTIFS(集計用!$K:$K, "*, "&amp;J$4&amp;", *",集計用!$G:$G, "*, "&amp;$C35&amp;",*"))/$B35*100</f>
        <v>22.222222222222221</v>
      </c>
      <c r="K35" s="41">
        <f>(COUNTIFS(集計用!$K:$K, "*, "&amp;K$4&amp;", *",集計用!$G:$G, "*, "&amp;$C35&amp;",*"))/$B35*100</f>
        <v>5.5555555555555554</v>
      </c>
      <c r="L35" s="41">
        <f>(COUNTIFS(集計用!$J:$J, "*"&amp;L$4&amp;"*",集計用!$G:$G, "*, "&amp;$C35&amp;",*"))/$B35*100</f>
        <v>0</v>
      </c>
      <c r="M35" s="41">
        <f>(COUNTIFS(集計用!$J:$J, "*"&amp;M$4&amp;"*",集計用!$G:$G, "*, "&amp;$C35&amp;",*"))/$B35*100</f>
        <v>0</v>
      </c>
      <c r="N35" s="41">
        <f>(COUNTIFS(集計用!$J:$J, "*"&amp;N$4&amp;"*",集計用!$G:$G, "*, "&amp;$C35&amp;",*"))/$B35*100</f>
        <v>0</v>
      </c>
      <c r="O35" s="41">
        <f>(COUNTIFS(集計用!$J:$J, "*"&amp;O$4&amp;"*",集計用!$G:$G, "*, "&amp;$C35&amp;",*"))/$B35*100</f>
        <v>0</v>
      </c>
      <c r="P35" s="41">
        <f>(COUNTIFS(集計用!$J:$J, "*"&amp;P$4&amp;"*",集計用!$G:$G, "*, "&amp;$C35&amp;",*"))/$B35*100</f>
        <v>0</v>
      </c>
      <c r="Q35" s="41">
        <f>(COUNTIFS(集計用!$J:$J, "*"&amp;Q$4&amp;"*",集計用!$G:$G, "*, "&amp;$C35&amp;",*"))/$B35*100</f>
        <v>0</v>
      </c>
      <c r="R35" s="41">
        <f>(COUNTIFS(集計用!$J:$J, "*"&amp;R$4&amp;"*",集計用!$G:$G, "*, "&amp;$C35&amp;",*"))/$B35*100</f>
        <v>0</v>
      </c>
      <c r="S35" s="41">
        <f>(COUNTIFS(集計用!$J:$J, "*"&amp;S$4&amp;"*",集計用!$G:$G, "*, "&amp;$C35&amp;",*"))/$B35*100</f>
        <v>0</v>
      </c>
      <c r="T35" s="41">
        <f>(COUNTIFS(集計用!$J:$J, "*"&amp;T$4&amp;"*",集計用!$G:$G, "*, "&amp;$C35&amp;",*"))/$B35*100</f>
        <v>0</v>
      </c>
      <c r="U35" s="41">
        <f>(COUNTIFS(集計用!$J:$J, "*"&amp;U$4&amp;"*",集計用!$G:$G, "*, "&amp;$C35&amp;",*"))/$B35*100</f>
        <v>0</v>
      </c>
      <c r="V35" s="41">
        <f>(COUNTIFS(集計用!$J:$J, "*"&amp;V$4&amp;"*",集計用!$G:$G, "*, "&amp;$C35&amp;",*"))/$B35*100</f>
        <v>0</v>
      </c>
      <c r="W35" s="41">
        <f>(COUNTIFS(集計用!$J:$J, "*"&amp;W$4&amp;"*",集計用!$G:$G, "*, "&amp;$C35&amp;",*"))/$B35*100</f>
        <v>0</v>
      </c>
    </row>
    <row r="36" spans="1:23" ht="15.75" customHeight="1">
      <c r="A36" s="39">
        <v>4</v>
      </c>
      <c r="B36" s="39">
        <f>(COUNTIFS(集計用!$G:$G,"*, "&amp;$C36&amp;",*",集計用!$G:$G, "&lt;&gt;無回答 , "))</f>
        <v>16</v>
      </c>
      <c r="C36" s="42" t="s">
        <v>31</v>
      </c>
      <c r="D36" s="41">
        <f>(COUNTIFS(集計用!$K:$K, "*, "&amp;D$4&amp;", *",集計用!$G:$G, "*, "&amp;$C36&amp;",*"))/$B36*100</f>
        <v>93.75</v>
      </c>
      <c r="E36" s="41">
        <f>(COUNTIFS(集計用!$K:$K, "*, "&amp;E$4&amp;", *",集計用!$G:$G, "*, "&amp;$C36&amp;",*"))/$B36*100</f>
        <v>37.5</v>
      </c>
      <c r="F36" s="41">
        <f>(COUNTIFS(集計用!$K:$K, "*, "&amp;F$4&amp;", *",集計用!$G:$G, "*, "&amp;$C36&amp;",*"))/$B36*100</f>
        <v>25</v>
      </c>
      <c r="G36" s="41">
        <f>(COUNTIFS(集計用!$K:$K, "*, "&amp;G$4&amp;", *",集計用!$G:$G, "*, "&amp;$C36&amp;",*"))/$B36*100</f>
        <v>50</v>
      </c>
      <c r="H36" s="41">
        <f>(COUNTIFS(集計用!$K:$K, "*, "&amp;H$4&amp;", *",集計用!$G:$G, "*, "&amp;$C36&amp;",*"))/$B36*100</f>
        <v>37.5</v>
      </c>
      <c r="I36" s="41">
        <f>(COUNTIFS(集計用!$K:$K, "*, "&amp;I$4&amp;", *",集計用!$G:$G, "*, "&amp;$C36&amp;",*"))/$B36*100</f>
        <v>31.25</v>
      </c>
      <c r="J36" s="41">
        <f>(COUNTIFS(集計用!$K:$K, "*, "&amp;J$4&amp;", *",集計用!$G:$G, "*, "&amp;$C36&amp;",*"))/$B36*100</f>
        <v>12.5</v>
      </c>
      <c r="K36" s="41">
        <f>(COUNTIFS(集計用!$K:$K, "*, "&amp;K$4&amp;", *",集計用!$G:$G, "*, "&amp;$C36&amp;",*"))/$B36*100</f>
        <v>12.5</v>
      </c>
      <c r="L36" s="41">
        <f>(COUNTIFS(集計用!$J:$J, "*"&amp;L$4&amp;"*",集計用!$G:$G, "*, "&amp;$C36&amp;",*"))/$B36*100</f>
        <v>6.25</v>
      </c>
      <c r="M36" s="41">
        <f>(COUNTIFS(集計用!$J:$J, "*"&amp;M$4&amp;"*",集計用!$G:$G, "*, "&amp;$C36&amp;",*"))/$B36*100</f>
        <v>6.25</v>
      </c>
      <c r="N36" s="41">
        <f>(COUNTIFS(集計用!$J:$J, "*"&amp;N$4&amp;"*",集計用!$G:$G, "*, "&amp;$C36&amp;",*"))/$B36*100</f>
        <v>0</v>
      </c>
      <c r="O36" s="41">
        <f>(COUNTIFS(集計用!$J:$J, "*"&amp;O$4&amp;"*",集計用!$G:$G, "*, "&amp;$C36&amp;",*"))/$B36*100</f>
        <v>0</v>
      </c>
      <c r="P36" s="41">
        <f>(COUNTIFS(集計用!$J:$J, "*"&amp;P$4&amp;"*",集計用!$G:$G, "*, "&amp;$C36&amp;",*"))/$B36*100</f>
        <v>0</v>
      </c>
      <c r="Q36" s="41">
        <f>(COUNTIFS(集計用!$J:$J, "*"&amp;Q$4&amp;"*",集計用!$G:$G, "*, "&amp;$C36&amp;",*"))/$B36*100</f>
        <v>0</v>
      </c>
      <c r="R36" s="41">
        <f>(COUNTIFS(集計用!$J:$J, "*"&amp;R$4&amp;"*",集計用!$G:$G, "*, "&amp;$C36&amp;",*"))/$B36*100</f>
        <v>0</v>
      </c>
      <c r="S36" s="41">
        <f>(COUNTIFS(集計用!$J:$J, "*"&amp;S$4&amp;"*",集計用!$G:$G, "*, "&amp;$C36&amp;",*"))/$B36*100</f>
        <v>0</v>
      </c>
      <c r="T36" s="41">
        <f>(COUNTIFS(集計用!$J:$J, "*"&amp;T$4&amp;"*",集計用!$G:$G, "*, "&amp;$C36&amp;",*"))/$B36*100</f>
        <v>0</v>
      </c>
      <c r="U36" s="41">
        <f>(COUNTIFS(集計用!$J:$J, "*"&amp;U$4&amp;"*",集計用!$G:$G, "*, "&amp;$C36&amp;",*"))/$B36*100</f>
        <v>0</v>
      </c>
      <c r="V36" s="41">
        <f>(COUNTIFS(集計用!$J:$J, "*"&amp;V$4&amp;"*",集計用!$G:$G, "*, "&amp;$C36&amp;",*"))/$B36*100</f>
        <v>0</v>
      </c>
      <c r="W36" s="41">
        <f>(COUNTIFS(集計用!$J:$J, "*"&amp;W$4&amp;"*",集計用!$G:$G, "*, "&amp;$C36&amp;",*"))/$B36*100</f>
        <v>0</v>
      </c>
    </row>
    <row r="37" spans="1:23" ht="15.75" customHeight="1">
      <c r="A37" s="39">
        <v>4</v>
      </c>
      <c r="B37" s="39">
        <f>(COUNTIFS(集計用!$G:$G,"*, "&amp;$C37&amp;",*",集計用!$G:$G, "&lt;&gt;無回答 , "))</f>
        <v>16</v>
      </c>
      <c r="C37" s="42" t="s">
        <v>32</v>
      </c>
      <c r="D37" s="41">
        <f>(COUNTIFS(集計用!$K:$K, "*, "&amp;D$4&amp;", *",集計用!$G:$G, "*, "&amp;$C37&amp;",*"))/$B37*100</f>
        <v>81.25</v>
      </c>
      <c r="E37" s="41">
        <f>(COUNTIFS(集計用!$K:$K, "*, "&amp;E$4&amp;", *",集計用!$G:$G, "*, "&amp;$C37&amp;",*"))/$B37*100</f>
        <v>37.5</v>
      </c>
      <c r="F37" s="41">
        <f>(COUNTIFS(集計用!$K:$K, "*, "&amp;F$4&amp;", *",集計用!$G:$G, "*, "&amp;$C37&amp;",*"))/$B37*100</f>
        <v>18.75</v>
      </c>
      <c r="G37" s="41">
        <f>(COUNTIFS(集計用!$K:$K, "*, "&amp;G$4&amp;", *",集計用!$G:$G, "*, "&amp;$C37&amp;",*"))/$B37*100</f>
        <v>50</v>
      </c>
      <c r="H37" s="41">
        <f>(COUNTIFS(集計用!$K:$K, "*, "&amp;H$4&amp;", *",集計用!$G:$G, "*, "&amp;$C37&amp;",*"))/$B37*100</f>
        <v>18.75</v>
      </c>
      <c r="I37" s="41">
        <f>(COUNTIFS(集計用!$K:$K, "*, "&amp;I$4&amp;", *",集計用!$G:$G, "*, "&amp;$C37&amp;",*"))/$B37*100</f>
        <v>25</v>
      </c>
      <c r="J37" s="41">
        <f>(COUNTIFS(集計用!$K:$K, "*, "&amp;J$4&amp;", *",集計用!$G:$G, "*, "&amp;$C37&amp;",*"))/$B37*100</f>
        <v>6.25</v>
      </c>
      <c r="K37" s="41">
        <f>(COUNTIFS(集計用!$K:$K, "*, "&amp;K$4&amp;", *",集計用!$G:$G, "*, "&amp;$C37&amp;",*"))/$B37*100</f>
        <v>12.5</v>
      </c>
      <c r="L37" s="41">
        <f>(COUNTIFS(集計用!$J:$J, "*"&amp;L$4&amp;"*",集計用!$G:$G, "*, "&amp;$C37&amp;",*"))/$B37*100</f>
        <v>6.25</v>
      </c>
      <c r="M37" s="41">
        <f>(COUNTIFS(集計用!$J:$J, "*"&amp;M$4&amp;"*",集計用!$G:$G, "*, "&amp;$C37&amp;",*"))/$B37*100</f>
        <v>6.25</v>
      </c>
      <c r="N37" s="41">
        <f>(COUNTIFS(集計用!$J:$J, "*"&amp;N$4&amp;"*",集計用!$G:$G, "*, "&amp;$C37&amp;",*"))/$B37*100</f>
        <v>6.25</v>
      </c>
      <c r="O37" s="41">
        <f>(COUNTIFS(集計用!$J:$J, "*"&amp;O$4&amp;"*",集計用!$G:$G, "*, "&amp;$C37&amp;",*"))/$B37*100</f>
        <v>0</v>
      </c>
      <c r="P37" s="41">
        <f>(COUNTIFS(集計用!$J:$J, "*"&amp;P$4&amp;"*",集計用!$G:$G, "*, "&amp;$C37&amp;",*"))/$B37*100</f>
        <v>0</v>
      </c>
      <c r="Q37" s="41">
        <f>(COUNTIFS(集計用!$J:$J, "*"&amp;Q$4&amp;"*",集計用!$G:$G, "*, "&amp;$C37&amp;",*"))/$B37*100</f>
        <v>0</v>
      </c>
      <c r="R37" s="41">
        <f>(COUNTIFS(集計用!$J:$J, "*"&amp;R$4&amp;"*",集計用!$G:$G, "*, "&amp;$C37&amp;",*"))/$B37*100</f>
        <v>0</v>
      </c>
      <c r="S37" s="41">
        <f>(COUNTIFS(集計用!$J:$J, "*"&amp;S$4&amp;"*",集計用!$G:$G, "*, "&amp;$C37&amp;",*"))/$B37*100</f>
        <v>0</v>
      </c>
      <c r="T37" s="41">
        <f>(COUNTIFS(集計用!$J:$J, "*"&amp;T$4&amp;"*",集計用!$G:$G, "*, "&amp;$C37&amp;",*"))/$B37*100</f>
        <v>0</v>
      </c>
      <c r="U37" s="41">
        <f>(COUNTIFS(集計用!$J:$J, "*"&amp;U$4&amp;"*",集計用!$G:$G, "*, "&amp;$C37&amp;",*"))/$B37*100</f>
        <v>0</v>
      </c>
      <c r="V37" s="41">
        <f>(COUNTIFS(集計用!$J:$J, "*"&amp;V$4&amp;"*",集計用!$G:$G, "*, "&amp;$C37&amp;",*"))/$B37*100</f>
        <v>0</v>
      </c>
      <c r="W37" s="41">
        <f>(COUNTIFS(集計用!$J:$J, "*"&amp;W$4&amp;"*",集計用!$G:$G, "*, "&amp;$C37&amp;",*"))/$B37*100</f>
        <v>0</v>
      </c>
    </row>
    <row r="38" spans="1:23" ht="15.75" customHeight="1">
      <c r="A38" s="39">
        <v>5</v>
      </c>
      <c r="B38" s="39">
        <f>(COUNTIFS(集計用!$G:$G,"*, "&amp;$C38&amp;",*",集計用!$G:$G, "&lt;&gt;無回答 , "))</f>
        <v>16</v>
      </c>
      <c r="C38" s="42" t="s">
        <v>30</v>
      </c>
      <c r="D38" s="41">
        <f>(COUNTIFS(集計用!$K:$K, "*, "&amp;D$4&amp;", *",集計用!$G:$G, "*, "&amp;$C38&amp;",*"))/$B38*100</f>
        <v>81.25</v>
      </c>
      <c r="E38" s="41">
        <f>(COUNTIFS(集計用!$K:$K, "*, "&amp;E$4&amp;", *",集計用!$G:$G, "*, "&amp;$C38&amp;",*"))/$B38*100</f>
        <v>50</v>
      </c>
      <c r="F38" s="41">
        <f>(COUNTIFS(集計用!$K:$K, "*, "&amp;F$4&amp;", *",集計用!$G:$G, "*, "&amp;$C38&amp;",*"))/$B38*100</f>
        <v>31.25</v>
      </c>
      <c r="G38" s="41">
        <f>(COUNTIFS(集計用!$K:$K, "*, "&amp;G$4&amp;", *",集計用!$G:$G, "*, "&amp;$C38&amp;",*"))/$B38*100</f>
        <v>18.75</v>
      </c>
      <c r="H38" s="41">
        <f>(COUNTIFS(集計用!$K:$K, "*, "&amp;H$4&amp;", *",集計用!$G:$G, "*, "&amp;$C38&amp;",*"))/$B38*100</f>
        <v>43.75</v>
      </c>
      <c r="I38" s="41">
        <f>(COUNTIFS(集計用!$K:$K, "*, "&amp;I$4&amp;", *",集計用!$G:$G, "*, "&amp;$C38&amp;",*"))/$B38*100</f>
        <v>12.5</v>
      </c>
      <c r="J38" s="41">
        <f>(COUNTIFS(集計用!$K:$K, "*, "&amp;J$4&amp;", *",集計用!$G:$G, "*, "&amp;$C38&amp;",*"))/$B38*100</f>
        <v>25</v>
      </c>
      <c r="K38" s="41">
        <f>(COUNTIFS(集計用!$K:$K, "*, "&amp;K$4&amp;", *",集計用!$G:$G, "*, "&amp;$C38&amp;",*"))/$B38*100</f>
        <v>6.25</v>
      </c>
      <c r="L38" s="41">
        <f>(COUNTIFS(集計用!$J:$J, "*"&amp;L$4&amp;"*",集計用!$G:$G, "*, "&amp;$C38&amp;",*"))/$B38*100</f>
        <v>0</v>
      </c>
      <c r="M38" s="41">
        <f>(COUNTIFS(集計用!$J:$J, "*"&amp;M$4&amp;"*",集計用!$G:$G, "*, "&amp;$C38&amp;",*"))/$B38*100</f>
        <v>0</v>
      </c>
      <c r="N38" s="41">
        <f>(COUNTIFS(集計用!$J:$J, "*"&amp;N$4&amp;"*",集計用!$G:$G, "*, "&amp;$C38&amp;",*"))/$B38*100</f>
        <v>0</v>
      </c>
      <c r="O38" s="41">
        <f>(COUNTIFS(集計用!$J:$J, "*"&amp;O$4&amp;"*",集計用!$G:$G, "*, "&amp;$C38&amp;",*"))/$B38*100</f>
        <v>0</v>
      </c>
      <c r="P38" s="41">
        <f>(COUNTIFS(集計用!$J:$J, "*"&amp;P$4&amp;"*",集計用!$G:$G, "*, "&amp;$C38&amp;",*"))/$B38*100</f>
        <v>0</v>
      </c>
      <c r="Q38" s="41">
        <f>(COUNTIFS(集計用!$J:$J, "*"&amp;Q$4&amp;"*",集計用!$G:$G, "*, "&amp;$C38&amp;",*"))/$B38*100</f>
        <v>0</v>
      </c>
      <c r="R38" s="41">
        <f>(COUNTIFS(集計用!$J:$J, "*"&amp;R$4&amp;"*",集計用!$G:$G, "*, "&amp;$C38&amp;",*"))/$B38*100</f>
        <v>0</v>
      </c>
      <c r="S38" s="41">
        <f>(COUNTIFS(集計用!$J:$J, "*"&amp;S$4&amp;"*",集計用!$G:$G, "*, "&amp;$C38&amp;",*"))/$B38*100</f>
        <v>0</v>
      </c>
      <c r="T38" s="41">
        <f>(COUNTIFS(集計用!$J:$J, "*"&amp;T$4&amp;"*",集計用!$G:$G, "*, "&amp;$C38&amp;",*"))/$B38*100</f>
        <v>0</v>
      </c>
      <c r="U38" s="41">
        <f>(COUNTIFS(集計用!$J:$J, "*"&amp;U$4&amp;"*",集計用!$G:$G, "*, "&amp;$C38&amp;",*"))/$B38*100</f>
        <v>0</v>
      </c>
      <c r="V38" s="41">
        <f>(COUNTIFS(集計用!$J:$J, "*"&amp;V$4&amp;"*",集計用!$G:$G, "*, "&amp;$C38&amp;",*"))/$B38*100</f>
        <v>0</v>
      </c>
      <c r="W38" s="41">
        <f>(COUNTIFS(集計用!$J:$J, "*"&amp;W$4&amp;"*",集計用!$G:$G, "*, "&amp;$C38&amp;",*"))/$B38*100</f>
        <v>0</v>
      </c>
    </row>
    <row r="39" spans="1:23" ht="12.75">
      <c r="A39" s="39">
        <v>5</v>
      </c>
      <c r="B39" s="39">
        <f>(COUNTIFS(集計用!$G:$G,"*, "&amp;$C39&amp;",*",集計用!$G:$G, "&lt;&gt;無回答 , "))</f>
        <v>15</v>
      </c>
      <c r="C39" s="42" t="s">
        <v>35</v>
      </c>
      <c r="D39" s="41">
        <f>(COUNTIFS(集計用!$K:$K, "*, "&amp;D$4&amp;", *",集計用!$G:$G, "*, "&amp;$C39&amp;",*"))/$B39*100</f>
        <v>86.666666666666671</v>
      </c>
      <c r="E39" s="41">
        <f>(COUNTIFS(集計用!$K:$K, "*, "&amp;E$4&amp;", *",集計用!$G:$G, "*, "&amp;$C39&amp;",*"))/$B39*100</f>
        <v>33.333333333333329</v>
      </c>
      <c r="F39" s="41">
        <f>(COUNTIFS(集計用!$K:$K, "*, "&amp;F$4&amp;", *",集計用!$G:$G, "*, "&amp;$C39&amp;",*"))/$B39*100</f>
        <v>26.666666666666668</v>
      </c>
      <c r="G39" s="41">
        <f>(COUNTIFS(集計用!$K:$K, "*, "&amp;G$4&amp;", *",集計用!$G:$G, "*, "&amp;$C39&amp;",*"))/$B39*100</f>
        <v>60</v>
      </c>
      <c r="H39" s="41">
        <f>(COUNTIFS(集計用!$K:$K, "*, "&amp;H$4&amp;", *",集計用!$G:$G, "*, "&amp;$C39&amp;",*"))/$B39*100</f>
        <v>13.333333333333334</v>
      </c>
      <c r="I39" s="41">
        <f>(COUNTIFS(集計用!$K:$K, "*, "&amp;I$4&amp;", *",集計用!$G:$G, "*, "&amp;$C39&amp;",*"))/$B39*100</f>
        <v>6.666666666666667</v>
      </c>
      <c r="J39" s="41">
        <f>(COUNTIFS(集計用!$K:$K, "*, "&amp;J$4&amp;", *",集計用!$G:$G, "*, "&amp;$C39&amp;",*"))/$B39*100</f>
        <v>6.666666666666667</v>
      </c>
      <c r="K39" s="41">
        <f>(COUNTIFS(集計用!$K:$K, "*, "&amp;K$4&amp;", *",集計用!$G:$G, "*, "&amp;$C39&amp;",*"))/$B39*100</f>
        <v>13.333333333333334</v>
      </c>
      <c r="L39" s="41">
        <f>(COUNTIFS(集計用!$J:$J, "*"&amp;L$4&amp;"*",集計用!$G:$G, "*, "&amp;$C39&amp;",*"))/$B39*100</f>
        <v>0</v>
      </c>
      <c r="M39" s="41">
        <f>(COUNTIFS(集計用!$J:$J, "*"&amp;M$4&amp;"*",集計用!$G:$G, "*, "&amp;$C39&amp;",*"))/$B39*100</f>
        <v>6.666666666666667</v>
      </c>
      <c r="N39" s="41">
        <f>(COUNTIFS(集計用!$J:$J, "*"&amp;N$4&amp;"*",集計用!$G:$G, "*, "&amp;$C39&amp;",*"))/$B39*100</f>
        <v>0</v>
      </c>
      <c r="O39" s="41">
        <f>(COUNTIFS(集計用!$J:$J, "*"&amp;O$4&amp;"*",集計用!$G:$G, "*, "&amp;$C39&amp;",*"))/$B39*100</f>
        <v>0</v>
      </c>
      <c r="P39" s="41">
        <f>(COUNTIFS(集計用!$J:$J, "*"&amp;P$4&amp;"*",集計用!$G:$G, "*, "&amp;$C39&amp;",*"))/$B39*100</f>
        <v>0</v>
      </c>
      <c r="Q39" s="41">
        <f>(COUNTIFS(集計用!$J:$J, "*"&amp;Q$4&amp;"*",集計用!$G:$G, "*, "&amp;$C39&amp;",*"))/$B39*100</f>
        <v>0</v>
      </c>
      <c r="R39" s="41">
        <f>(COUNTIFS(集計用!$J:$J, "*"&amp;R$4&amp;"*",集計用!$G:$G, "*, "&amp;$C39&amp;",*"))/$B39*100</f>
        <v>0</v>
      </c>
      <c r="S39" s="41">
        <f>(COUNTIFS(集計用!$J:$J, "*"&amp;S$4&amp;"*",集計用!$G:$G, "*, "&amp;$C39&amp;",*"))/$B39*100</f>
        <v>0</v>
      </c>
      <c r="T39" s="41">
        <f>(COUNTIFS(集計用!$J:$J, "*"&amp;T$4&amp;"*",集計用!$G:$G, "*, "&amp;$C39&amp;",*"))/$B39*100</f>
        <v>6.666666666666667</v>
      </c>
      <c r="U39" s="41">
        <f>(COUNTIFS(集計用!$J:$J, "*"&amp;U$4&amp;"*",集計用!$G:$G, "*, "&amp;$C39&amp;",*"))/$B39*100</f>
        <v>0</v>
      </c>
      <c r="V39" s="41">
        <f>(COUNTIFS(集計用!$J:$J, "*"&amp;V$4&amp;"*",集計用!$G:$G, "*, "&amp;$C39&amp;",*"))/$B39*100</f>
        <v>0</v>
      </c>
      <c r="W39" s="41">
        <f>(COUNTIFS(集計用!$J:$J, "*"&amp;W$4&amp;"*",集計用!$G:$G, "*, "&amp;$C39&amp;",*"))/$B39*100</f>
        <v>0</v>
      </c>
    </row>
    <row r="40" spans="1:23" ht="12.75">
      <c r="A40" s="39">
        <v>5</v>
      </c>
      <c r="B40" s="39">
        <f>(COUNTIFS(集計用!$G:$G,"*, "&amp;$C40&amp;",*",集計用!$G:$G, "&lt;&gt;無回答 , "))</f>
        <v>15</v>
      </c>
      <c r="C40" s="42" t="s">
        <v>34</v>
      </c>
      <c r="D40" s="41">
        <f>(COUNTIFS(集計用!$K:$K, "*, "&amp;D$4&amp;", *",集計用!$G:$G, "*, "&amp;$C40&amp;",*"))/$B40*100</f>
        <v>93.333333333333329</v>
      </c>
      <c r="E40" s="41">
        <f>(COUNTIFS(集計用!$K:$K, "*, "&amp;E$4&amp;", *",集計用!$G:$G, "*, "&amp;$C40&amp;",*"))/$B40*100</f>
        <v>40</v>
      </c>
      <c r="F40" s="41">
        <f>(COUNTIFS(集計用!$K:$K, "*, "&amp;F$4&amp;", *",集計用!$G:$G, "*, "&amp;$C40&amp;",*"))/$B40*100</f>
        <v>20</v>
      </c>
      <c r="G40" s="41">
        <f>(COUNTIFS(集計用!$K:$K, "*, "&amp;G$4&amp;", *",集計用!$G:$G, "*, "&amp;$C40&amp;",*"))/$B40*100</f>
        <v>40</v>
      </c>
      <c r="H40" s="41">
        <f>(COUNTIFS(集計用!$K:$K, "*, "&amp;H$4&amp;", *",集計用!$G:$G, "*, "&amp;$C40&amp;",*"))/$B40*100</f>
        <v>26.666666666666668</v>
      </c>
      <c r="I40" s="41">
        <f>(COUNTIFS(集計用!$K:$K, "*, "&amp;I$4&amp;", *",集計用!$G:$G, "*, "&amp;$C40&amp;",*"))/$B40*100</f>
        <v>6.666666666666667</v>
      </c>
      <c r="J40" s="41">
        <f>(COUNTIFS(集計用!$K:$K, "*, "&amp;J$4&amp;", *",集計用!$G:$G, "*, "&amp;$C40&amp;",*"))/$B40*100</f>
        <v>13.333333333333334</v>
      </c>
      <c r="K40" s="41">
        <f>(COUNTIFS(集計用!$K:$K, "*, "&amp;K$4&amp;", *",集計用!$G:$G, "*, "&amp;$C40&amp;",*"))/$B40*100</f>
        <v>6.666666666666667</v>
      </c>
      <c r="L40" s="41">
        <f>(COUNTIFS(集計用!$J:$J, "*"&amp;L$4&amp;"*",集計用!$G:$G, "*, "&amp;$C40&amp;",*"))/$B40*100</f>
        <v>0</v>
      </c>
      <c r="M40" s="41">
        <f>(COUNTIFS(集計用!$J:$J, "*"&amp;M$4&amp;"*",集計用!$G:$G, "*, "&amp;$C40&amp;",*"))/$B40*100</f>
        <v>0</v>
      </c>
      <c r="N40" s="41">
        <f>(COUNTIFS(集計用!$J:$J, "*"&amp;N$4&amp;"*",集計用!$G:$G, "*, "&amp;$C40&amp;",*"))/$B40*100</f>
        <v>0</v>
      </c>
      <c r="O40" s="41">
        <f>(COUNTIFS(集計用!$J:$J, "*"&amp;O$4&amp;"*",集計用!$G:$G, "*, "&amp;$C40&amp;",*"))/$B40*100</f>
        <v>0</v>
      </c>
      <c r="P40" s="41">
        <f>(COUNTIFS(集計用!$J:$J, "*"&amp;P$4&amp;"*",集計用!$G:$G, "*, "&amp;$C40&amp;",*"))/$B40*100</f>
        <v>0</v>
      </c>
      <c r="Q40" s="41">
        <f>(COUNTIFS(集計用!$J:$J, "*"&amp;Q$4&amp;"*",集計用!$G:$G, "*, "&amp;$C40&amp;",*"))/$B40*100</f>
        <v>0</v>
      </c>
      <c r="R40" s="41">
        <f>(COUNTIFS(集計用!$J:$J, "*"&amp;R$4&amp;"*",集計用!$G:$G, "*, "&amp;$C40&amp;",*"))/$B40*100</f>
        <v>0</v>
      </c>
      <c r="S40" s="41">
        <f>(COUNTIFS(集計用!$J:$J, "*"&amp;S$4&amp;"*",集計用!$G:$G, "*, "&amp;$C40&amp;",*"))/$B40*100</f>
        <v>0</v>
      </c>
      <c r="T40" s="41">
        <f>(COUNTIFS(集計用!$J:$J, "*"&amp;T$4&amp;"*",集計用!$G:$G, "*, "&amp;$C40&amp;",*"))/$B40*100</f>
        <v>0</v>
      </c>
      <c r="U40" s="41">
        <f>(COUNTIFS(集計用!$J:$J, "*"&amp;U$4&amp;"*",集計用!$G:$G, "*, "&amp;$C40&amp;",*"))/$B40*100</f>
        <v>0</v>
      </c>
      <c r="V40" s="41">
        <f>(COUNTIFS(集計用!$J:$J, "*"&amp;V$4&amp;"*",集計用!$G:$G, "*, "&amp;$C40&amp;",*"))/$B40*100</f>
        <v>0</v>
      </c>
      <c r="W40" s="41">
        <f>(COUNTIFS(集計用!$J:$J, "*"&amp;W$4&amp;"*",集計用!$G:$G, "*, "&amp;$C40&amp;",*"))/$B40*100</f>
        <v>0</v>
      </c>
    </row>
    <row r="41" spans="1:23" ht="12.75">
      <c r="A41" s="39">
        <v>4</v>
      </c>
      <c r="B41" s="39">
        <f>(COUNTIFS(集計用!$G:$G,"*, "&amp;$C41&amp;",*",集計用!$G:$G, "&lt;&gt;無回答 , "))</f>
        <v>15</v>
      </c>
      <c r="C41" s="42" t="s">
        <v>33</v>
      </c>
      <c r="D41" s="41">
        <f>(COUNTIFS(集計用!$K:$K, "*, "&amp;D$4&amp;", *",集計用!$G:$G, "*, "&amp;$C41&amp;",*"))/$B41*100</f>
        <v>100</v>
      </c>
      <c r="E41" s="41">
        <f>(COUNTIFS(集計用!$K:$K, "*, "&amp;E$4&amp;", *",集計用!$G:$G, "*, "&amp;$C41&amp;",*"))/$B41*100</f>
        <v>26.666666666666668</v>
      </c>
      <c r="F41" s="41">
        <f>(COUNTIFS(集計用!$K:$K, "*, "&amp;F$4&amp;", *",集計用!$G:$G, "*, "&amp;$C41&amp;",*"))/$B41*100</f>
        <v>20</v>
      </c>
      <c r="G41" s="41">
        <f>(COUNTIFS(集計用!$K:$K, "*, "&amp;G$4&amp;", *",集計用!$G:$G, "*, "&amp;$C41&amp;",*"))/$B41*100</f>
        <v>53.333333333333336</v>
      </c>
      <c r="H41" s="41">
        <f>(COUNTIFS(集計用!$K:$K, "*, "&amp;H$4&amp;", *",集計用!$G:$G, "*, "&amp;$C41&amp;",*"))/$B41*100</f>
        <v>40</v>
      </c>
      <c r="I41" s="41">
        <f>(COUNTIFS(集計用!$K:$K, "*, "&amp;I$4&amp;", *",集計用!$G:$G, "*, "&amp;$C41&amp;",*"))/$B41*100</f>
        <v>33.333333333333329</v>
      </c>
      <c r="J41" s="41">
        <f>(COUNTIFS(集計用!$K:$K, "*, "&amp;J$4&amp;", *",集計用!$G:$G, "*, "&amp;$C41&amp;",*"))/$B41*100</f>
        <v>20</v>
      </c>
      <c r="K41" s="41">
        <f>(COUNTIFS(集計用!$K:$K, "*, "&amp;K$4&amp;", *",集計用!$G:$G, "*, "&amp;$C41&amp;",*"))/$B41*100</f>
        <v>13.333333333333334</v>
      </c>
      <c r="L41" s="41">
        <f>(COUNTIFS(集計用!$J:$J, "*"&amp;L$4&amp;"*",集計用!$G:$G, "*, "&amp;$C41&amp;",*"))/$B41*100</f>
        <v>6.666666666666667</v>
      </c>
      <c r="M41" s="41">
        <f>(COUNTIFS(集計用!$J:$J, "*"&amp;M$4&amp;"*",集計用!$G:$G, "*, "&amp;$C41&amp;",*"))/$B41*100</f>
        <v>0</v>
      </c>
      <c r="N41" s="41">
        <f>(COUNTIFS(集計用!$J:$J, "*"&amp;N$4&amp;"*",集計用!$G:$G, "*, "&amp;$C41&amp;",*"))/$B41*100</f>
        <v>0</v>
      </c>
      <c r="O41" s="41">
        <f>(COUNTIFS(集計用!$J:$J, "*"&amp;O$4&amp;"*",集計用!$G:$G, "*, "&amp;$C41&amp;",*"))/$B41*100</f>
        <v>0</v>
      </c>
      <c r="P41" s="41">
        <f>(COUNTIFS(集計用!$J:$J, "*"&amp;P$4&amp;"*",集計用!$G:$G, "*, "&amp;$C41&amp;",*"))/$B41*100</f>
        <v>0</v>
      </c>
      <c r="Q41" s="41">
        <f>(COUNTIFS(集計用!$J:$J, "*"&amp;Q$4&amp;"*",集計用!$G:$G, "*, "&amp;$C41&amp;",*"))/$B41*100</f>
        <v>0</v>
      </c>
      <c r="R41" s="41">
        <f>(COUNTIFS(集計用!$J:$J, "*"&amp;R$4&amp;"*",集計用!$G:$G, "*, "&amp;$C41&amp;",*"))/$B41*100</f>
        <v>0</v>
      </c>
      <c r="S41" s="41">
        <f>(COUNTIFS(集計用!$J:$J, "*"&amp;S$4&amp;"*",集計用!$G:$G, "*, "&amp;$C41&amp;",*"))/$B41*100</f>
        <v>0</v>
      </c>
      <c r="T41" s="41">
        <f>(COUNTIFS(集計用!$J:$J, "*"&amp;T$4&amp;"*",集計用!$G:$G, "*, "&amp;$C41&amp;",*"))/$B41*100</f>
        <v>0</v>
      </c>
      <c r="U41" s="41">
        <f>(COUNTIFS(集計用!$J:$J, "*"&amp;U$4&amp;"*",集計用!$G:$G, "*, "&amp;$C41&amp;",*"))/$B41*100</f>
        <v>0</v>
      </c>
      <c r="V41" s="41">
        <f>(COUNTIFS(集計用!$J:$J, "*"&amp;V$4&amp;"*",集計用!$G:$G, "*, "&amp;$C41&amp;",*"))/$B41*100</f>
        <v>0</v>
      </c>
      <c r="W41" s="41">
        <f>(COUNTIFS(集計用!$J:$J, "*"&amp;W$4&amp;"*",集計用!$G:$G, "*, "&amp;$C41&amp;",*"))/$B41*100</f>
        <v>0</v>
      </c>
    </row>
    <row r="42" spans="1:23" ht="12.75">
      <c r="A42" s="39">
        <v>4</v>
      </c>
      <c r="B42" s="39">
        <f>(COUNTIFS(集計用!$G:$G,"*, "&amp;$C42&amp;",*",集計用!$G:$G, "&lt;&gt;無回答 , "))</f>
        <v>13</v>
      </c>
      <c r="C42" s="42" t="s">
        <v>36</v>
      </c>
      <c r="D42" s="41">
        <f>(COUNTIFS(集計用!$K:$K, "*, "&amp;D$4&amp;", *",集計用!$G:$G, "*, "&amp;$C42&amp;",*"))/$B42*100</f>
        <v>84.615384615384613</v>
      </c>
      <c r="E42" s="41">
        <f>(COUNTIFS(集計用!$K:$K, "*, "&amp;E$4&amp;", *",集計用!$G:$G, "*, "&amp;$C42&amp;",*"))/$B42*100</f>
        <v>38.461538461538467</v>
      </c>
      <c r="F42" s="41">
        <f>(COUNTIFS(集計用!$K:$K, "*, "&amp;F$4&amp;", *",集計用!$G:$G, "*, "&amp;$C42&amp;",*"))/$B42*100</f>
        <v>46.153846153846153</v>
      </c>
      <c r="G42" s="41">
        <f>(COUNTIFS(集計用!$K:$K, "*, "&amp;G$4&amp;", *",集計用!$G:$G, "*, "&amp;$C42&amp;",*"))/$B42*100</f>
        <v>30.76923076923077</v>
      </c>
      <c r="H42" s="41">
        <f>(COUNTIFS(集計用!$K:$K, "*, "&amp;H$4&amp;", *",集計用!$G:$G, "*, "&amp;$C42&amp;",*"))/$B42*100</f>
        <v>61.53846153846154</v>
      </c>
      <c r="I42" s="41">
        <f>(COUNTIFS(集計用!$K:$K, "*, "&amp;I$4&amp;", *",集計用!$G:$G, "*, "&amp;$C42&amp;",*"))/$B42*100</f>
        <v>23.076923076923077</v>
      </c>
      <c r="J42" s="41">
        <f>(COUNTIFS(集計用!$K:$K, "*, "&amp;J$4&amp;", *",集計用!$G:$G, "*, "&amp;$C42&amp;",*"))/$B42*100</f>
        <v>15.384615384615385</v>
      </c>
      <c r="K42" s="41">
        <f>(COUNTIFS(集計用!$K:$K, "*, "&amp;K$4&amp;", *",集計用!$G:$G, "*, "&amp;$C42&amp;",*"))/$B42*100</f>
        <v>7.6923076923076925</v>
      </c>
      <c r="L42" s="41">
        <f>(COUNTIFS(集計用!$J:$J, "*"&amp;L$4&amp;"*",集計用!$G:$G, "*, "&amp;$C42&amp;",*"))/$B42*100</f>
        <v>7.6923076923076925</v>
      </c>
      <c r="M42" s="41">
        <f>(COUNTIFS(集計用!$J:$J, "*"&amp;M$4&amp;"*",集計用!$G:$G, "*, "&amp;$C42&amp;",*"))/$B42*100</f>
        <v>0</v>
      </c>
      <c r="N42" s="41">
        <f>(COUNTIFS(集計用!$J:$J, "*"&amp;N$4&amp;"*",集計用!$G:$G, "*, "&amp;$C42&amp;",*"))/$B42*100</f>
        <v>0</v>
      </c>
      <c r="O42" s="41">
        <f>(COUNTIFS(集計用!$J:$J, "*"&amp;O$4&amp;"*",集計用!$G:$G, "*, "&amp;$C42&amp;",*"))/$B42*100</f>
        <v>0</v>
      </c>
      <c r="P42" s="41">
        <f>(COUNTIFS(集計用!$J:$J, "*"&amp;P$4&amp;"*",集計用!$G:$G, "*, "&amp;$C42&amp;",*"))/$B42*100</f>
        <v>0</v>
      </c>
      <c r="Q42" s="41">
        <f>(COUNTIFS(集計用!$J:$J, "*"&amp;Q$4&amp;"*",集計用!$G:$G, "*, "&amp;$C42&amp;",*"))/$B42*100</f>
        <v>0</v>
      </c>
      <c r="R42" s="41">
        <f>(COUNTIFS(集計用!$J:$J, "*"&amp;R$4&amp;"*",集計用!$G:$G, "*, "&amp;$C42&amp;",*"))/$B42*100</f>
        <v>0</v>
      </c>
      <c r="S42" s="41">
        <f>(COUNTIFS(集計用!$J:$J, "*"&amp;S$4&amp;"*",集計用!$G:$G, "*, "&amp;$C42&amp;",*"))/$B42*100</f>
        <v>0</v>
      </c>
      <c r="T42" s="41">
        <f>(COUNTIFS(集計用!$J:$J, "*"&amp;T$4&amp;"*",集計用!$G:$G, "*, "&amp;$C42&amp;",*"))/$B42*100</f>
        <v>0</v>
      </c>
      <c r="U42" s="41">
        <f>(COUNTIFS(集計用!$J:$J, "*"&amp;U$4&amp;"*",集計用!$G:$G, "*, "&amp;$C42&amp;",*"))/$B42*100</f>
        <v>0</v>
      </c>
      <c r="V42" s="41">
        <f>(COUNTIFS(集計用!$J:$J, "*"&amp;V$4&amp;"*",集計用!$G:$G, "*, "&amp;$C42&amp;",*"))/$B42*100</f>
        <v>0</v>
      </c>
      <c r="W42" s="41">
        <f>(COUNTIFS(集計用!$J:$J, "*"&amp;W$4&amp;"*",集計用!$G:$G, "*, "&amp;$C42&amp;",*"))/$B42*100</f>
        <v>0</v>
      </c>
    </row>
    <row r="43" spans="1:23" ht="12.75">
      <c r="A43" s="39">
        <v>4</v>
      </c>
      <c r="B43" s="39">
        <f>(COUNTIFS(集計用!$G:$G,"*, "&amp;$C43&amp;",*",集計用!$G:$G, "&lt;&gt;無回答 , "))</f>
        <v>13</v>
      </c>
      <c r="C43" s="42" t="s">
        <v>37</v>
      </c>
      <c r="D43" s="41">
        <f>(COUNTIFS(集計用!$K:$K, "*, "&amp;D$4&amp;", *",集計用!$G:$G, "*, "&amp;$C43&amp;",*"))/$B43*100</f>
        <v>92.307692307692307</v>
      </c>
      <c r="E43" s="41">
        <f>(COUNTIFS(集計用!$K:$K, "*, "&amp;E$4&amp;", *",集計用!$G:$G, "*, "&amp;$C43&amp;",*"))/$B43*100</f>
        <v>53.846153846153847</v>
      </c>
      <c r="F43" s="41">
        <f>(COUNTIFS(集計用!$K:$K, "*, "&amp;F$4&amp;", *",集計用!$G:$G, "*, "&amp;$C43&amp;",*"))/$B43*100</f>
        <v>38.461538461538467</v>
      </c>
      <c r="G43" s="41">
        <f>(COUNTIFS(集計用!$K:$K, "*, "&amp;G$4&amp;", *",集計用!$G:$G, "*, "&amp;$C43&amp;",*"))/$B43*100</f>
        <v>46.153846153846153</v>
      </c>
      <c r="H43" s="41">
        <f>(COUNTIFS(集計用!$K:$K, "*, "&amp;H$4&amp;", *",集計用!$G:$G, "*, "&amp;$C43&amp;",*"))/$B43*100</f>
        <v>38.461538461538467</v>
      </c>
      <c r="I43" s="41">
        <f>(COUNTIFS(集計用!$K:$K, "*, "&amp;I$4&amp;", *",集計用!$G:$G, "*, "&amp;$C43&amp;",*"))/$B43*100</f>
        <v>23.076923076923077</v>
      </c>
      <c r="J43" s="41">
        <f>(COUNTIFS(集計用!$K:$K, "*, "&amp;J$4&amp;", *",集計用!$G:$G, "*, "&amp;$C43&amp;",*"))/$B43*100</f>
        <v>15.384615384615385</v>
      </c>
      <c r="K43" s="41">
        <f>(COUNTIFS(集計用!$K:$K, "*, "&amp;K$4&amp;", *",集計用!$G:$G, "*, "&amp;$C43&amp;",*"))/$B43*100</f>
        <v>15.384615384615385</v>
      </c>
      <c r="L43" s="41">
        <f>(COUNTIFS(集計用!$J:$J, "*"&amp;L$4&amp;"*",集計用!$G:$G, "*, "&amp;$C43&amp;",*"))/$B43*100</f>
        <v>7.6923076923076925</v>
      </c>
      <c r="M43" s="41">
        <f>(COUNTIFS(集計用!$J:$J, "*"&amp;M$4&amp;"*",集計用!$G:$G, "*, "&amp;$C43&amp;",*"))/$B43*100</f>
        <v>0</v>
      </c>
      <c r="N43" s="41">
        <f>(COUNTIFS(集計用!$J:$J, "*"&amp;N$4&amp;"*",集計用!$G:$G, "*, "&amp;$C43&amp;",*"))/$B43*100</f>
        <v>0</v>
      </c>
      <c r="O43" s="41">
        <f>(COUNTIFS(集計用!$J:$J, "*"&amp;O$4&amp;"*",集計用!$G:$G, "*, "&amp;$C43&amp;",*"))/$B43*100</f>
        <v>0</v>
      </c>
      <c r="P43" s="41">
        <f>(COUNTIFS(集計用!$J:$J, "*"&amp;P$4&amp;"*",集計用!$G:$G, "*, "&amp;$C43&amp;",*"))/$B43*100</f>
        <v>0</v>
      </c>
      <c r="Q43" s="41">
        <f>(COUNTIFS(集計用!$J:$J, "*"&amp;Q$4&amp;"*",集計用!$G:$G, "*, "&amp;$C43&amp;",*"))/$B43*100</f>
        <v>0</v>
      </c>
      <c r="R43" s="41">
        <f>(COUNTIFS(集計用!$J:$J, "*"&amp;R$4&amp;"*",集計用!$G:$G, "*, "&amp;$C43&amp;",*"))/$B43*100</f>
        <v>0</v>
      </c>
      <c r="S43" s="41">
        <f>(COUNTIFS(集計用!$J:$J, "*"&amp;S$4&amp;"*",集計用!$G:$G, "*, "&amp;$C43&amp;",*"))/$B43*100</f>
        <v>0</v>
      </c>
      <c r="T43" s="41">
        <f>(COUNTIFS(集計用!$J:$J, "*"&amp;T$4&amp;"*",集計用!$G:$G, "*, "&amp;$C43&amp;",*"))/$B43*100</f>
        <v>0</v>
      </c>
      <c r="U43" s="41">
        <f>(COUNTIFS(集計用!$J:$J, "*"&amp;U$4&amp;"*",集計用!$G:$G, "*, "&amp;$C43&amp;",*"))/$B43*100</f>
        <v>0</v>
      </c>
      <c r="V43" s="41">
        <f>(COUNTIFS(集計用!$J:$J, "*"&amp;V$4&amp;"*",集計用!$G:$G, "*, "&amp;$C43&amp;",*"))/$B43*100</f>
        <v>0</v>
      </c>
      <c r="W43" s="41">
        <f>(COUNTIFS(集計用!$J:$J, "*"&amp;W$4&amp;"*",集計用!$G:$G, "*, "&amp;$C43&amp;",*"))/$B43*100</f>
        <v>0</v>
      </c>
    </row>
    <row r="44" spans="1:23" ht="12.75">
      <c r="A44" s="39">
        <v>5</v>
      </c>
      <c r="B44" s="39">
        <f>(COUNTIFS(集計用!$G:$G,"*, "&amp;$C44&amp;",*",集計用!$G:$G, "&lt;&gt;無回答 , "))</f>
        <v>12</v>
      </c>
      <c r="C44" s="42" t="s">
        <v>39</v>
      </c>
      <c r="D44" s="41">
        <f>(COUNTIFS(集計用!$K:$K, "*, "&amp;D$4&amp;", *",集計用!$G:$G, "*, "&amp;$C44&amp;",*"))/$B44*100</f>
        <v>91.666666666666657</v>
      </c>
      <c r="E44" s="41">
        <f>(COUNTIFS(集計用!$K:$K, "*, "&amp;E$4&amp;", *",集計用!$G:$G, "*, "&amp;$C44&amp;",*"))/$B44*100</f>
        <v>50</v>
      </c>
      <c r="F44" s="41">
        <f>(COUNTIFS(集計用!$K:$K, "*, "&amp;F$4&amp;", *",集計用!$G:$G, "*, "&amp;$C44&amp;",*"))/$B44*100</f>
        <v>25</v>
      </c>
      <c r="G44" s="41">
        <f>(COUNTIFS(集計用!$K:$K, "*, "&amp;G$4&amp;", *",集計用!$G:$G, "*, "&amp;$C44&amp;",*"))/$B44*100</f>
        <v>75</v>
      </c>
      <c r="H44" s="41">
        <f>(COUNTIFS(集計用!$K:$K, "*, "&amp;H$4&amp;", *",集計用!$G:$G, "*, "&amp;$C44&amp;",*"))/$B44*100</f>
        <v>8.3333333333333321</v>
      </c>
      <c r="I44" s="41">
        <f>(COUNTIFS(集計用!$K:$K, "*, "&amp;I$4&amp;", *",集計用!$G:$G, "*, "&amp;$C44&amp;",*"))/$B44*100</f>
        <v>25</v>
      </c>
      <c r="J44" s="41">
        <f>(COUNTIFS(集計用!$K:$K, "*, "&amp;J$4&amp;", *",集計用!$G:$G, "*, "&amp;$C44&amp;",*"))/$B44*100</f>
        <v>8.3333333333333321</v>
      </c>
      <c r="K44" s="41">
        <f>(COUNTIFS(集計用!$K:$K, "*, "&amp;K$4&amp;", *",集計用!$G:$G, "*, "&amp;$C44&amp;",*"))/$B44*100</f>
        <v>16.666666666666664</v>
      </c>
      <c r="L44" s="41">
        <f>(COUNTIFS(集計用!$J:$J, "*"&amp;L$4&amp;"*",集計用!$G:$G, "*, "&amp;$C44&amp;",*"))/$B44*100</f>
        <v>0</v>
      </c>
      <c r="M44" s="41">
        <f>(COUNTIFS(集計用!$J:$J, "*"&amp;M$4&amp;"*",集計用!$G:$G, "*, "&amp;$C44&amp;",*"))/$B44*100</f>
        <v>0</v>
      </c>
      <c r="N44" s="41">
        <f>(COUNTIFS(集計用!$J:$J, "*"&amp;N$4&amp;"*",集計用!$G:$G, "*, "&amp;$C44&amp;",*"))/$B44*100</f>
        <v>0</v>
      </c>
      <c r="O44" s="41">
        <f>(COUNTIFS(集計用!$J:$J, "*"&amp;O$4&amp;"*",集計用!$G:$G, "*, "&amp;$C44&amp;",*"))/$B44*100</f>
        <v>0</v>
      </c>
      <c r="P44" s="41">
        <f>(COUNTIFS(集計用!$J:$J, "*"&amp;P$4&amp;"*",集計用!$G:$G, "*, "&amp;$C44&amp;",*"))/$B44*100</f>
        <v>0</v>
      </c>
      <c r="Q44" s="41">
        <f>(COUNTIFS(集計用!$J:$J, "*"&amp;Q$4&amp;"*",集計用!$G:$G, "*, "&amp;$C44&amp;",*"))/$B44*100</f>
        <v>0</v>
      </c>
      <c r="R44" s="41">
        <f>(COUNTIFS(集計用!$J:$J, "*"&amp;R$4&amp;"*",集計用!$G:$G, "*, "&amp;$C44&amp;",*"))/$B44*100</f>
        <v>0</v>
      </c>
      <c r="S44" s="41">
        <f>(COUNTIFS(集計用!$J:$J, "*"&amp;S$4&amp;"*",集計用!$G:$G, "*, "&amp;$C44&amp;",*"))/$B44*100</f>
        <v>0</v>
      </c>
      <c r="T44" s="41">
        <f>(COUNTIFS(集計用!$J:$J, "*"&amp;T$4&amp;"*",集計用!$G:$G, "*, "&amp;$C44&amp;",*"))/$B44*100</f>
        <v>8.3333333333333321</v>
      </c>
      <c r="U44" s="41">
        <f>(COUNTIFS(集計用!$J:$J, "*"&amp;U$4&amp;"*",集計用!$G:$G, "*, "&amp;$C44&amp;",*"))/$B44*100</f>
        <v>0</v>
      </c>
      <c r="V44" s="41">
        <f>(COUNTIFS(集計用!$J:$J, "*"&amp;V$4&amp;"*",集計用!$G:$G, "*, "&amp;$C44&amp;",*"))/$B44*100</f>
        <v>0</v>
      </c>
      <c r="W44" s="41">
        <f>(COUNTIFS(集計用!$J:$J, "*"&amp;W$4&amp;"*",集計用!$G:$G, "*, "&amp;$C44&amp;",*"))/$B44*100</f>
        <v>0</v>
      </c>
    </row>
    <row r="45" spans="1:23" ht="14.25" customHeight="1">
      <c r="A45" s="39">
        <v>5</v>
      </c>
      <c r="B45" s="39">
        <f>(COUNTIFS(集計用!$G:$G,"*, "&amp;$C45&amp;",*",集計用!$G:$G, "&lt;&gt;無回答 , "))</f>
        <v>12</v>
      </c>
      <c r="C45" s="42" t="s">
        <v>38</v>
      </c>
      <c r="D45" s="41">
        <f>(COUNTIFS(集計用!$K:$K, "*, "&amp;D$4&amp;", *",集計用!$G:$G, "*, "&amp;$C45&amp;",*"))/$B45*100</f>
        <v>100</v>
      </c>
      <c r="E45" s="41">
        <f>(COUNTIFS(集計用!$K:$K, "*, "&amp;E$4&amp;", *",集計用!$G:$G, "*, "&amp;$C45&amp;",*"))/$B45*100</f>
        <v>25</v>
      </c>
      <c r="F45" s="41">
        <f>(COUNTIFS(集計用!$K:$K, "*, "&amp;F$4&amp;", *",集計用!$G:$G, "*, "&amp;$C45&amp;",*"))/$B45*100</f>
        <v>25</v>
      </c>
      <c r="G45" s="41">
        <f>(COUNTIFS(集計用!$K:$K, "*, "&amp;G$4&amp;", *",集計用!$G:$G, "*, "&amp;$C45&amp;",*"))/$B45*100</f>
        <v>8.3333333333333321</v>
      </c>
      <c r="H45" s="41">
        <f>(COUNTIFS(集計用!$K:$K, "*, "&amp;H$4&amp;", *",集計用!$G:$G, "*, "&amp;$C45&amp;",*"))/$B45*100</f>
        <v>66.666666666666657</v>
      </c>
      <c r="I45" s="41">
        <f>(COUNTIFS(集計用!$K:$K, "*, "&amp;I$4&amp;", *",集計用!$G:$G, "*, "&amp;$C45&amp;",*"))/$B45*100</f>
        <v>16.666666666666664</v>
      </c>
      <c r="J45" s="41">
        <f>(COUNTIFS(集計用!$K:$K, "*, "&amp;J$4&amp;", *",集計用!$G:$G, "*, "&amp;$C45&amp;",*"))/$B45*100</f>
        <v>8.3333333333333321</v>
      </c>
      <c r="K45" s="41">
        <f>(COUNTIFS(集計用!$K:$K, "*, "&amp;K$4&amp;", *",集計用!$G:$G, "*, "&amp;$C45&amp;",*"))/$B45*100</f>
        <v>8.3333333333333321</v>
      </c>
      <c r="L45" s="41">
        <f>(COUNTIFS(集計用!$J:$J, "*"&amp;L$4&amp;"*",集計用!$G:$G, "*, "&amp;$C45&amp;",*"))/$B45*100</f>
        <v>0</v>
      </c>
      <c r="M45" s="41">
        <f>(COUNTIFS(集計用!$J:$J, "*"&amp;M$4&amp;"*",集計用!$G:$G, "*, "&amp;$C45&amp;",*"))/$B45*100</f>
        <v>0</v>
      </c>
      <c r="N45" s="41">
        <f>(COUNTIFS(集計用!$J:$J, "*"&amp;N$4&amp;"*",集計用!$G:$G, "*, "&amp;$C45&amp;",*"))/$B45*100</f>
        <v>0</v>
      </c>
      <c r="O45" s="41">
        <f>(COUNTIFS(集計用!$J:$J, "*"&amp;O$4&amp;"*",集計用!$G:$G, "*, "&amp;$C45&amp;",*"))/$B45*100</f>
        <v>0</v>
      </c>
      <c r="P45" s="41">
        <f>(COUNTIFS(集計用!$J:$J, "*"&amp;P$4&amp;"*",集計用!$G:$G, "*, "&amp;$C45&amp;",*"))/$B45*100</f>
        <v>0</v>
      </c>
      <c r="Q45" s="41">
        <f>(COUNTIFS(集計用!$J:$J, "*"&amp;Q$4&amp;"*",集計用!$G:$G, "*, "&amp;$C45&amp;",*"))/$B45*100</f>
        <v>0</v>
      </c>
      <c r="R45" s="41">
        <f>(COUNTIFS(集計用!$J:$J, "*"&amp;R$4&amp;"*",集計用!$G:$G, "*, "&amp;$C45&amp;",*"))/$B45*100</f>
        <v>0</v>
      </c>
      <c r="S45" s="41">
        <f>(COUNTIFS(集計用!$J:$J, "*"&amp;S$4&amp;"*",集計用!$G:$G, "*, "&amp;$C45&amp;",*"))/$B45*100</f>
        <v>0</v>
      </c>
      <c r="T45" s="41">
        <f>(COUNTIFS(集計用!$J:$J, "*"&amp;T$4&amp;"*",集計用!$G:$G, "*, "&amp;$C45&amp;",*"))/$B45*100</f>
        <v>0</v>
      </c>
      <c r="U45" s="41">
        <f>(COUNTIFS(集計用!$J:$J, "*"&amp;U$4&amp;"*",集計用!$G:$G, "*, "&amp;$C45&amp;",*"))/$B45*100</f>
        <v>0</v>
      </c>
      <c r="V45" s="41">
        <f>(COUNTIFS(集計用!$J:$J, "*"&amp;V$4&amp;"*",集計用!$G:$G, "*, "&amp;$C45&amp;",*"))/$B45*100</f>
        <v>0</v>
      </c>
      <c r="W45" s="41">
        <f>(COUNTIFS(集計用!$J:$J, "*"&amp;W$4&amp;"*",集計用!$G:$G, "*, "&amp;$C45&amp;",*"))/$B45*100</f>
        <v>0</v>
      </c>
    </row>
    <row r="46" spans="1:23" ht="14.25" customHeight="1">
      <c r="A46" s="39">
        <v>4</v>
      </c>
      <c r="B46" s="39">
        <f>(COUNTIFS(集計用!$G:$G,"*, "&amp;$C46&amp;",*",集計用!$G:$G, "&lt;&gt;無回答 , "))</f>
        <v>9</v>
      </c>
      <c r="C46" s="42" t="s">
        <v>40</v>
      </c>
      <c r="D46" s="41">
        <f>(COUNTIFS(集計用!$K:$K, "*, "&amp;D$4&amp;", *",集計用!$G:$G, "*, "&amp;$C46&amp;",*"))/$B46*100</f>
        <v>77.777777777777786</v>
      </c>
      <c r="E46" s="41">
        <f>(COUNTIFS(集計用!$K:$K, "*, "&amp;E$4&amp;", *",集計用!$G:$G, "*, "&amp;$C46&amp;",*"))/$B46*100</f>
        <v>22.222222222222221</v>
      </c>
      <c r="F46" s="41">
        <f>(COUNTIFS(集計用!$K:$K, "*, "&amp;F$4&amp;", *",集計用!$G:$G, "*, "&amp;$C46&amp;",*"))/$B46*100</f>
        <v>44.444444444444443</v>
      </c>
      <c r="G46" s="41">
        <f>(COUNTIFS(集計用!$K:$K, "*, "&amp;G$4&amp;", *",集計用!$G:$G, "*, "&amp;$C46&amp;",*"))/$B46*100</f>
        <v>44.444444444444443</v>
      </c>
      <c r="H46" s="41">
        <f>(COUNTIFS(集計用!$K:$K, "*, "&amp;H$4&amp;", *",集計用!$G:$G, "*, "&amp;$C46&amp;",*"))/$B46*100</f>
        <v>44.444444444444443</v>
      </c>
      <c r="I46" s="41">
        <f>(COUNTIFS(集計用!$K:$K, "*, "&amp;I$4&amp;", *",集計用!$G:$G, "*, "&amp;$C46&amp;",*"))/$B46*100</f>
        <v>22.222222222222221</v>
      </c>
      <c r="J46" s="41">
        <f>(COUNTIFS(集計用!$K:$K, "*, "&amp;J$4&amp;", *",集計用!$G:$G, "*, "&amp;$C46&amp;",*"))/$B46*100</f>
        <v>33.333333333333329</v>
      </c>
      <c r="K46" s="41">
        <f>(COUNTIFS(集計用!$K:$K, "*, "&amp;K$4&amp;", *",集計用!$G:$G, "*, "&amp;$C46&amp;",*"))/$B46*100</f>
        <v>22.222222222222221</v>
      </c>
      <c r="L46" s="41">
        <f>(COUNTIFS(集計用!$J:$J, "*"&amp;L$4&amp;"*",集計用!$G:$G, "*, "&amp;$C46&amp;",*"))/$B46*100</f>
        <v>0</v>
      </c>
      <c r="M46" s="41">
        <f>(COUNTIFS(集計用!$J:$J, "*"&amp;M$4&amp;"*",集計用!$G:$G, "*, "&amp;$C46&amp;",*"))/$B46*100</f>
        <v>0</v>
      </c>
      <c r="N46" s="41">
        <f>(COUNTIFS(集計用!$J:$J, "*"&amp;N$4&amp;"*",集計用!$G:$G, "*, "&amp;$C46&amp;",*"))/$B46*100</f>
        <v>0</v>
      </c>
      <c r="O46" s="41">
        <f>(COUNTIFS(集計用!$J:$J, "*"&amp;O$4&amp;"*",集計用!$G:$G, "*, "&amp;$C46&amp;",*"))/$B46*100</f>
        <v>0</v>
      </c>
      <c r="P46" s="41">
        <f>(COUNTIFS(集計用!$J:$J, "*"&amp;P$4&amp;"*",集計用!$G:$G, "*, "&amp;$C46&amp;",*"))/$B46*100</f>
        <v>0</v>
      </c>
      <c r="Q46" s="41">
        <f>(COUNTIFS(集計用!$J:$J, "*"&amp;Q$4&amp;"*",集計用!$G:$G, "*, "&amp;$C46&amp;",*"))/$B46*100</f>
        <v>0</v>
      </c>
      <c r="R46" s="41">
        <f>(COUNTIFS(集計用!$J:$J, "*"&amp;R$4&amp;"*",集計用!$G:$G, "*, "&amp;$C46&amp;",*"))/$B46*100</f>
        <v>0</v>
      </c>
      <c r="S46" s="41">
        <f>(COUNTIFS(集計用!$J:$J, "*"&amp;S$4&amp;"*",集計用!$G:$G, "*, "&amp;$C46&amp;",*"))/$B46*100</f>
        <v>0</v>
      </c>
      <c r="T46" s="41">
        <f>(COUNTIFS(集計用!$J:$J, "*"&amp;T$4&amp;"*",集計用!$G:$G, "*, "&amp;$C46&amp;",*"))/$B46*100</f>
        <v>0</v>
      </c>
      <c r="U46" s="41">
        <f>(COUNTIFS(集計用!$J:$J, "*"&amp;U$4&amp;"*",集計用!$G:$G, "*, "&amp;$C46&amp;",*"))/$B46*100</f>
        <v>0</v>
      </c>
      <c r="V46" s="41">
        <f>(COUNTIFS(集計用!$J:$J, "*"&amp;V$4&amp;"*",集計用!$G:$G, "*, "&amp;$C46&amp;",*"))/$B46*100</f>
        <v>0</v>
      </c>
      <c r="W46" s="41">
        <f>(COUNTIFS(集計用!$J:$J, "*"&amp;W$4&amp;"*",集計用!$G:$G, "*, "&amp;$C46&amp;",*"))/$B46*100</f>
        <v>0</v>
      </c>
    </row>
    <row r="47" spans="1:23" ht="14.25" customHeight="1">
      <c r="A47" s="39">
        <v>6</v>
      </c>
      <c r="B47" s="39">
        <f>(COUNTIFS(集計用!$G:$G,"*, "&amp;$C47&amp;",*",集計用!$G:$G, "&lt;&gt;無回答 , "))</f>
        <v>9</v>
      </c>
      <c r="C47" s="42" t="s">
        <v>41</v>
      </c>
      <c r="D47" s="41">
        <f>(COUNTIFS(集計用!$K:$K, "*, "&amp;D$4&amp;", *",集計用!$G:$G, "*, "&amp;$C47&amp;",*"))/$B47*100</f>
        <v>77.777777777777786</v>
      </c>
      <c r="E47" s="41">
        <f>(COUNTIFS(集計用!$K:$K, "*, "&amp;E$4&amp;", *",集計用!$G:$G, "*, "&amp;$C47&amp;",*"))/$B47*100</f>
        <v>44.444444444444443</v>
      </c>
      <c r="F47" s="41">
        <f>(COUNTIFS(集計用!$K:$K, "*, "&amp;F$4&amp;", *",集計用!$G:$G, "*, "&amp;$C47&amp;",*"))/$B47*100</f>
        <v>11.111111111111111</v>
      </c>
      <c r="G47" s="41">
        <f>(COUNTIFS(集計用!$K:$K, "*, "&amp;G$4&amp;", *",集計用!$G:$G, "*, "&amp;$C47&amp;",*"))/$B47*100</f>
        <v>55.555555555555557</v>
      </c>
      <c r="H47" s="41">
        <f>(COUNTIFS(集計用!$K:$K, "*, "&amp;H$4&amp;", *",集計用!$G:$G, "*, "&amp;$C47&amp;",*"))/$B47*100</f>
        <v>11.111111111111111</v>
      </c>
      <c r="I47" s="41">
        <f>(COUNTIFS(集計用!$K:$K, "*, "&amp;I$4&amp;", *",集計用!$G:$G, "*, "&amp;$C47&amp;",*"))/$B47*100</f>
        <v>22.222222222222221</v>
      </c>
      <c r="J47" s="41">
        <f>(COUNTIFS(集計用!$K:$K, "*, "&amp;J$4&amp;", *",集計用!$G:$G, "*, "&amp;$C47&amp;",*"))/$B47*100</f>
        <v>22.222222222222221</v>
      </c>
      <c r="K47" s="41">
        <f>(COUNTIFS(集計用!$K:$K, "*, "&amp;K$4&amp;", *",集計用!$G:$G, "*, "&amp;$C47&amp;",*"))/$B47*100</f>
        <v>22.222222222222221</v>
      </c>
      <c r="L47" s="41">
        <f>(COUNTIFS(集計用!$J:$J, "*"&amp;L$4&amp;"*",集計用!$G:$G, "*, "&amp;$C47&amp;",*"))/$B47*100</f>
        <v>11.111111111111111</v>
      </c>
      <c r="M47" s="41">
        <f>(COUNTIFS(集計用!$J:$J, "*"&amp;M$4&amp;"*",集計用!$G:$G, "*, "&amp;$C47&amp;",*"))/$B47*100</f>
        <v>11.111111111111111</v>
      </c>
      <c r="N47" s="41">
        <f>(COUNTIFS(集計用!$J:$J, "*"&amp;N$4&amp;"*",集計用!$G:$G, "*, "&amp;$C47&amp;",*"))/$B47*100</f>
        <v>0</v>
      </c>
      <c r="O47" s="41">
        <f>(COUNTIFS(集計用!$J:$J, "*"&amp;O$4&amp;"*",集計用!$G:$G, "*, "&amp;$C47&amp;",*"))/$B47*100</f>
        <v>0</v>
      </c>
      <c r="P47" s="41">
        <f>(COUNTIFS(集計用!$J:$J, "*"&amp;P$4&amp;"*",集計用!$G:$G, "*, "&amp;$C47&amp;",*"))/$B47*100</f>
        <v>0</v>
      </c>
      <c r="Q47" s="41">
        <f>(COUNTIFS(集計用!$J:$J, "*"&amp;Q$4&amp;"*",集計用!$G:$G, "*, "&amp;$C47&amp;",*"))/$B47*100</f>
        <v>11.111111111111111</v>
      </c>
      <c r="R47" s="41">
        <f>(COUNTIFS(集計用!$J:$J, "*"&amp;R$4&amp;"*",集計用!$G:$G, "*, "&amp;$C47&amp;",*"))/$B47*100</f>
        <v>0</v>
      </c>
      <c r="S47" s="41">
        <f>(COUNTIFS(集計用!$J:$J, "*"&amp;S$4&amp;"*",集計用!$G:$G, "*, "&amp;$C47&amp;",*"))/$B47*100</f>
        <v>0</v>
      </c>
      <c r="T47" s="41">
        <f>(COUNTIFS(集計用!$J:$J, "*"&amp;T$4&amp;"*",集計用!$G:$G, "*, "&amp;$C47&amp;",*"))/$B47*100</f>
        <v>0</v>
      </c>
      <c r="U47" s="41">
        <f>(COUNTIFS(集計用!$J:$J, "*"&amp;U$4&amp;"*",集計用!$G:$G, "*, "&amp;$C47&amp;",*"))/$B47*100</f>
        <v>0</v>
      </c>
      <c r="V47" s="41">
        <f>(COUNTIFS(集計用!$J:$J, "*"&amp;V$4&amp;"*",集計用!$G:$G, "*, "&amp;$C47&amp;",*"))/$B47*100</f>
        <v>0</v>
      </c>
      <c r="W47" s="41">
        <f>(COUNTIFS(集計用!$J:$J, "*"&amp;W$4&amp;"*",集計用!$G:$G, "*, "&amp;$C47&amp;",*"))/$B47*100</f>
        <v>0</v>
      </c>
    </row>
    <row r="48" spans="1:23" ht="12.75">
      <c r="A48" s="39">
        <v>4</v>
      </c>
      <c r="B48" s="39">
        <f>(COUNTIFS(集計用!$G:$G,"*, "&amp;$C48&amp;",*",集計用!$G:$G, "&lt;&gt;無回答 , "))</f>
        <v>8</v>
      </c>
      <c r="C48" s="42" t="s">
        <v>44</v>
      </c>
      <c r="D48" s="41">
        <f>(COUNTIFS(集計用!$K:$K, "*, "&amp;D$4&amp;", *",集計用!$G:$G, "*, "&amp;$C48&amp;",*"))/$B48*100</f>
        <v>87.5</v>
      </c>
      <c r="E48" s="41">
        <f>(COUNTIFS(集計用!$K:$K, "*, "&amp;E$4&amp;", *",集計用!$G:$G, "*, "&amp;$C48&amp;",*"))/$B48*100</f>
        <v>12.5</v>
      </c>
      <c r="F48" s="41">
        <f>(COUNTIFS(集計用!$K:$K, "*, "&amp;F$4&amp;", *",集計用!$G:$G, "*, "&amp;$C48&amp;",*"))/$B48*100</f>
        <v>37.5</v>
      </c>
      <c r="G48" s="41">
        <f>(COUNTIFS(集計用!$K:$K, "*, "&amp;G$4&amp;", *",集計用!$G:$G, "*, "&amp;$C48&amp;",*"))/$B48*100</f>
        <v>12.5</v>
      </c>
      <c r="H48" s="41">
        <f>(COUNTIFS(集計用!$K:$K, "*, "&amp;H$4&amp;", *",集計用!$G:$G, "*, "&amp;$C48&amp;",*"))/$B48*100</f>
        <v>25</v>
      </c>
      <c r="I48" s="41">
        <f>(COUNTIFS(集計用!$K:$K, "*, "&amp;I$4&amp;", *",集計用!$G:$G, "*, "&amp;$C48&amp;",*"))/$B48*100</f>
        <v>37.5</v>
      </c>
      <c r="J48" s="41">
        <f>(COUNTIFS(集計用!$K:$K, "*, "&amp;J$4&amp;", *",集計用!$G:$G, "*, "&amp;$C48&amp;",*"))/$B48*100</f>
        <v>12.5</v>
      </c>
      <c r="K48" s="41">
        <f>(COUNTIFS(集計用!$K:$K, "*, "&amp;K$4&amp;", *",集計用!$G:$G, "*, "&amp;$C48&amp;",*"))/$B48*100</f>
        <v>12.5</v>
      </c>
      <c r="L48" s="41">
        <f>(COUNTIFS(集計用!$J:$J, "*"&amp;L$4&amp;"*",集計用!$G:$G, "*, "&amp;$C48&amp;",*"))/$B48*100</f>
        <v>0</v>
      </c>
      <c r="M48" s="41">
        <f>(COUNTIFS(集計用!$J:$J, "*"&amp;M$4&amp;"*",集計用!$G:$G, "*, "&amp;$C48&amp;",*"))/$B48*100</f>
        <v>0</v>
      </c>
      <c r="N48" s="41">
        <f>(COUNTIFS(集計用!$J:$J, "*"&amp;N$4&amp;"*",集計用!$G:$G, "*, "&amp;$C48&amp;",*"))/$B48*100</f>
        <v>0</v>
      </c>
      <c r="O48" s="41">
        <f>(COUNTIFS(集計用!$J:$J, "*"&amp;O$4&amp;"*",集計用!$G:$G, "*, "&amp;$C48&amp;",*"))/$B48*100</f>
        <v>0</v>
      </c>
      <c r="P48" s="41">
        <f>(COUNTIFS(集計用!$J:$J, "*"&amp;P$4&amp;"*",集計用!$G:$G, "*, "&amp;$C48&amp;",*"))/$B48*100</f>
        <v>0</v>
      </c>
      <c r="Q48" s="41">
        <f>(COUNTIFS(集計用!$J:$J, "*"&amp;Q$4&amp;"*",集計用!$G:$G, "*, "&amp;$C48&amp;",*"))/$B48*100</f>
        <v>0</v>
      </c>
      <c r="R48" s="41">
        <f>(COUNTIFS(集計用!$J:$J, "*"&amp;R$4&amp;"*",集計用!$G:$G, "*, "&amp;$C48&amp;",*"))/$B48*100</f>
        <v>0</v>
      </c>
      <c r="S48" s="41">
        <f>(COUNTIFS(集計用!$J:$J, "*"&amp;S$4&amp;"*",集計用!$G:$G, "*, "&amp;$C48&amp;",*"))/$B48*100</f>
        <v>0</v>
      </c>
      <c r="T48" s="41">
        <f>(COUNTIFS(集計用!$J:$J, "*"&amp;T$4&amp;"*",集計用!$G:$G, "*, "&amp;$C48&amp;",*"))/$B48*100</f>
        <v>0</v>
      </c>
      <c r="U48" s="41">
        <f>(COUNTIFS(集計用!$J:$J, "*"&amp;U$4&amp;"*",集計用!$G:$G, "*, "&amp;$C48&amp;",*"))/$B48*100</f>
        <v>0</v>
      </c>
      <c r="V48" s="41">
        <f>(COUNTIFS(集計用!$J:$J, "*"&amp;V$4&amp;"*",集計用!$G:$G, "*, "&amp;$C48&amp;",*"))/$B48*100</f>
        <v>0</v>
      </c>
      <c r="W48" s="41">
        <f>(COUNTIFS(集計用!$J:$J, "*"&amp;W$4&amp;"*",集計用!$G:$G, "*, "&amp;$C48&amp;",*"))/$B48*100</f>
        <v>0</v>
      </c>
    </row>
    <row r="49" spans="1:23" ht="14.25" customHeight="1">
      <c r="A49" s="39">
        <v>4</v>
      </c>
      <c r="B49" s="39">
        <f>(COUNTIFS(集計用!$G:$G,"*, "&amp;$C49&amp;",*",集計用!$G:$G, "&lt;&gt;無回答 , "))</f>
        <v>8</v>
      </c>
      <c r="C49" s="42" t="s">
        <v>43</v>
      </c>
      <c r="D49" s="41">
        <f>(COUNTIFS(集計用!$K:$K, "*, "&amp;D$4&amp;", *",集計用!$G:$G, "*, "&amp;$C49&amp;",*"))/$B49*100</f>
        <v>87.5</v>
      </c>
      <c r="E49" s="41">
        <f>(COUNTIFS(集計用!$K:$K, "*, "&amp;E$4&amp;", *",集計用!$G:$G, "*, "&amp;$C49&amp;",*"))/$B49*100</f>
        <v>25</v>
      </c>
      <c r="F49" s="41">
        <f>(COUNTIFS(集計用!$K:$K, "*, "&amp;F$4&amp;", *",集計用!$G:$G, "*, "&amp;$C49&amp;",*"))/$B49*100</f>
        <v>25</v>
      </c>
      <c r="G49" s="41">
        <f>(COUNTIFS(集計用!$K:$K, "*, "&amp;G$4&amp;", *",集計用!$G:$G, "*, "&amp;$C49&amp;",*"))/$B49*100</f>
        <v>37.5</v>
      </c>
      <c r="H49" s="41">
        <f>(COUNTIFS(集計用!$K:$K, "*, "&amp;H$4&amp;", *",集計用!$G:$G, "*, "&amp;$C49&amp;",*"))/$B49*100</f>
        <v>25</v>
      </c>
      <c r="I49" s="41">
        <f>(COUNTIFS(集計用!$K:$K, "*, "&amp;I$4&amp;", *",集計用!$G:$G, "*, "&amp;$C49&amp;",*"))/$B49*100</f>
        <v>37.5</v>
      </c>
      <c r="J49" s="41">
        <f>(COUNTIFS(集計用!$K:$K, "*, "&amp;J$4&amp;", *",集計用!$G:$G, "*, "&amp;$C49&amp;",*"))/$B49*100</f>
        <v>12.5</v>
      </c>
      <c r="K49" s="41">
        <f>(COUNTIFS(集計用!$K:$K, "*, "&amp;K$4&amp;", *",集計用!$G:$G, "*, "&amp;$C49&amp;",*"))/$B49*100</f>
        <v>12.5</v>
      </c>
      <c r="L49" s="41">
        <f>(COUNTIFS(集計用!$J:$J, "*"&amp;L$4&amp;"*",集計用!$G:$G, "*, "&amp;$C49&amp;",*"))/$B49*100</f>
        <v>0</v>
      </c>
      <c r="M49" s="41">
        <f>(COUNTIFS(集計用!$J:$J, "*"&amp;M$4&amp;"*",集計用!$G:$G, "*, "&amp;$C49&amp;",*"))/$B49*100</f>
        <v>0</v>
      </c>
      <c r="N49" s="41">
        <f>(COUNTIFS(集計用!$J:$J, "*"&amp;N$4&amp;"*",集計用!$G:$G, "*, "&amp;$C49&amp;",*"))/$B49*100</f>
        <v>0</v>
      </c>
      <c r="O49" s="41">
        <f>(COUNTIFS(集計用!$J:$J, "*"&amp;O$4&amp;"*",集計用!$G:$G, "*, "&amp;$C49&amp;",*"))/$B49*100</f>
        <v>0</v>
      </c>
      <c r="P49" s="41">
        <f>(COUNTIFS(集計用!$J:$J, "*"&amp;P$4&amp;"*",集計用!$G:$G, "*, "&amp;$C49&amp;",*"))/$B49*100</f>
        <v>0</v>
      </c>
      <c r="Q49" s="41">
        <f>(COUNTIFS(集計用!$J:$J, "*"&amp;Q$4&amp;"*",集計用!$G:$G, "*, "&amp;$C49&amp;",*"))/$B49*100</f>
        <v>0</v>
      </c>
      <c r="R49" s="41">
        <f>(COUNTIFS(集計用!$J:$J, "*"&amp;R$4&amp;"*",集計用!$G:$G, "*, "&amp;$C49&amp;",*"))/$B49*100</f>
        <v>0</v>
      </c>
      <c r="S49" s="41">
        <f>(COUNTIFS(集計用!$J:$J, "*"&amp;S$4&amp;"*",集計用!$G:$G, "*, "&amp;$C49&amp;",*"))/$B49*100</f>
        <v>0</v>
      </c>
      <c r="T49" s="41">
        <f>(COUNTIFS(集計用!$J:$J, "*"&amp;T$4&amp;"*",集計用!$G:$G, "*, "&amp;$C49&amp;",*"))/$B49*100</f>
        <v>0</v>
      </c>
      <c r="U49" s="41">
        <f>(COUNTIFS(集計用!$J:$J, "*"&amp;U$4&amp;"*",集計用!$G:$G, "*, "&amp;$C49&amp;",*"))/$B49*100</f>
        <v>0</v>
      </c>
      <c r="V49" s="41">
        <f>(COUNTIFS(集計用!$J:$J, "*"&amp;V$4&amp;"*",集計用!$G:$G, "*, "&amp;$C49&amp;",*"))/$B49*100</f>
        <v>0</v>
      </c>
      <c r="W49" s="41">
        <f>(COUNTIFS(集計用!$J:$J, "*"&amp;W$4&amp;"*",集計用!$G:$G, "*, "&amp;$C49&amp;",*"))/$B49*100</f>
        <v>0</v>
      </c>
    </row>
    <row r="50" spans="1:23" ht="14.25" customHeight="1">
      <c r="A50" s="39">
        <v>4</v>
      </c>
      <c r="B50" s="39">
        <f>(COUNTIFS(集計用!$G:$G,"*, "&amp;$C50&amp;",*",集計用!$G:$G, "&lt;&gt;無回答 , "))</f>
        <v>8</v>
      </c>
      <c r="C50" s="42" t="s">
        <v>42</v>
      </c>
      <c r="D50" s="41">
        <f>(COUNTIFS(集計用!$K:$K, "*, "&amp;D$4&amp;", *",集計用!$G:$G, "*, "&amp;$C50&amp;",*"))/$B50*100</f>
        <v>100</v>
      </c>
      <c r="E50" s="41">
        <f>(COUNTIFS(集計用!$K:$K, "*, "&amp;E$4&amp;", *",集計用!$G:$G, "*, "&amp;$C50&amp;",*"))/$B50*100</f>
        <v>75</v>
      </c>
      <c r="F50" s="41">
        <f>(COUNTIFS(集計用!$K:$K, "*, "&amp;F$4&amp;", *",集計用!$G:$G, "*, "&amp;$C50&amp;",*"))/$B50*100</f>
        <v>25</v>
      </c>
      <c r="G50" s="41">
        <f>(COUNTIFS(集計用!$K:$K, "*, "&amp;G$4&amp;", *",集計用!$G:$G, "*, "&amp;$C50&amp;",*"))/$B50*100</f>
        <v>87.5</v>
      </c>
      <c r="H50" s="41">
        <f>(COUNTIFS(集計用!$K:$K, "*, "&amp;H$4&amp;", *",集計用!$G:$G, "*, "&amp;$C50&amp;",*"))/$B50*100</f>
        <v>37.5</v>
      </c>
      <c r="I50" s="41">
        <f>(COUNTIFS(集計用!$K:$K, "*, "&amp;I$4&amp;", *",集計用!$G:$G, "*, "&amp;$C50&amp;",*"))/$B50*100</f>
        <v>12.5</v>
      </c>
      <c r="J50" s="41">
        <f>(COUNTIFS(集計用!$K:$K, "*, "&amp;J$4&amp;", *",集計用!$G:$G, "*, "&amp;$C50&amp;",*"))/$B50*100</f>
        <v>25</v>
      </c>
      <c r="K50" s="41">
        <f>(COUNTIFS(集計用!$K:$K, "*, "&amp;K$4&amp;", *",集計用!$G:$G, "*, "&amp;$C50&amp;",*"))/$B50*100</f>
        <v>25</v>
      </c>
      <c r="L50" s="41">
        <f>(COUNTIFS(集計用!$J:$J, "*"&amp;L$4&amp;"*",集計用!$G:$G, "*, "&amp;$C50&amp;",*"))/$B50*100</f>
        <v>12.5</v>
      </c>
      <c r="M50" s="41">
        <f>(COUNTIFS(集計用!$J:$J, "*"&amp;M$4&amp;"*",集計用!$G:$G, "*, "&amp;$C50&amp;",*"))/$B50*100</f>
        <v>0</v>
      </c>
      <c r="N50" s="41">
        <f>(COUNTIFS(集計用!$J:$J, "*"&amp;N$4&amp;"*",集計用!$G:$G, "*, "&amp;$C50&amp;",*"))/$B50*100</f>
        <v>0</v>
      </c>
      <c r="O50" s="41">
        <f>(COUNTIFS(集計用!$J:$J, "*"&amp;O$4&amp;"*",集計用!$G:$G, "*, "&amp;$C50&amp;",*"))/$B50*100</f>
        <v>0</v>
      </c>
      <c r="P50" s="41">
        <f>(COUNTIFS(集計用!$J:$J, "*"&amp;P$4&amp;"*",集計用!$G:$G, "*, "&amp;$C50&amp;",*"))/$B50*100</f>
        <v>0</v>
      </c>
      <c r="Q50" s="41">
        <f>(COUNTIFS(集計用!$J:$J, "*"&amp;Q$4&amp;"*",集計用!$G:$G, "*, "&amp;$C50&amp;",*"))/$B50*100</f>
        <v>0</v>
      </c>
      <c r="R50" s="41">
        <f>(COUNTIFS(集計用!$J:$J, "*"&amp;R$4&amp;"*",集計用!$G:$G, "*, "&amp;$C50&amp;",*"))/$B50*100</f>
        <v>0</v>
      </c>
      <c r="S50" s="41">
        <f>(COUNTIFS(集計用!$J:$J, "*"&amp;S$4&amp;"*",集計用!$G:$G, "*, "&amp;$C50&amp;",*"))/$B50*100</f>
        <v>0</v>
      </c>
      <c r="T50" s="41">
        <f>(COUNTIFS(集計用!$J:$J, "*"&amp;T$4&amp;"*",集計用!$G:$G, "*, "&amp;$C50&amp;",*"))/$B50*100</f>
        <v>0</v>
      </c>
      <c r="U50" s="41">
        <f>(COUNTIFS(集計用!$J:$J, "*"&amp;U$4&amp;"*",集計用!$G:$G, "*, "&amp;$C50&amp;",*"))/$B50*100</f>
        <v>0</v>
      </c>
      <c r="V50" s="41">
        <f>(COUNTIFS(集計用!$J:$J, "*"&amp;V$4&amp;"*",集計用!$G:$G, "*, "&amp;$C50&amp;",*"))/$B50*100</f>
        <v>12.5</v>
      </c>
      <c r="W50" s="41">
        <f>(COUNTIFS(集計用!$J:$J, "*"&amp;W$4&amp;"*",集計用!$G:$G, "*, "&amp;$C50&amp;",*"))/$B50*100</f>
        <v>0</v>
      </c>
    </row>
    <row r="51" spans="1:23" ht="14.25" customHeight="1">
      <c r="A51" s="39">
        <v>5</v>
      </c>
      <c r="B51" s="39">
        <f>(COUNTIFS(集計用!$G:$G,"*, "&amp;$C51&amp;",*",集計用!$G:$G, "&lt;&gt;無回答 , "))</f>
        <v>7</v>
      </c>
      <c r="C51" s="42" t="s">
        <v>46</v>
      </c>
      <c r="D51" s="41">
        <f>(COUNTIFS(集計用!$K:$K, "*, "&amp;D$4&amp;", *",集計用!$G:$G, "*, "&amp;$C51&amp;",*"))/$B51*100</f>
        <v>85.714285714285708</v>
      </c>
      <c r="E51" s="41">
        <f>(COUNTIFS(集計用!$K:$K, "*, "&amp;E$4&amp;", *",集計用!$G:$G, "*, "&amp;$C51&amp;",*"))/$B51*100</f>
        <v>85.714285714285708</v>
      </c>
      <c r="F51" s="41">
        <f>(COUNTIFS(集計用!$K:$K, "*, "&amp;F$4&amp;", *",集計用!$G:$G, "*, "&amp;$C51&amp;",*"))/$B51*100</f>
        <v>42.857142857142854</v>
      </c>
      <c r="G51" s="41">
        <f>(COUNTIFS(集計用!$K:$K, "*, "&amp;G$4&amp;", *",集計用!$G:$G, "*, "&amp;$C51&amp;",*"))/$B51*100</f>
        <v>57.142857142857139</v>
      </c>
      <c r="H51" s="41">
        <f>(COUNTIFS(集計用!$K:$K, "*, "&amp;H$4&amp;", *",集計用!$G:$G, "*, "&amp;$C51&amp;",*"))/$B51*100</f>
        <v>42.857142857142854</v>
      </c>
      <c r="I51" s="41">
        <f>(COUNTIFS(集計用!$K:$K, "*, "&amp;I$4&amp;", *",集計用!$G:$G, "*, "&amp;$C51&amp;",*"))/$B51*100</f>
        <v>28.571428571428569</v>
      </c>
      <c r="J51" s="41">
        <f>(COUNTIFS(集計用!$K:$K, "*, "&amp;J$4&amp;", *",集計用!$G:$G, "*, "&amp;$C51&amp;",*"))/$B51*100</f>
        <v>28.571428571428569</v>
      </c>
      <c r="K51" s="41">
        <f>(COUNTIFS(集計用!$K:$K, "*, "&amp;K$4&amp;", *",集計用!$G:$G, "*, "&amp;$C51&amp;",*"))/$B51*100</f>
        <v>14.285714285714285</v>
      </c>
      <c r="L51" s="41">
        <f>(COUNTIFS(集計用!$J:$J, "*"&amp;L$4&amp;"*",集計用!$G:$G, "*, "&amp;$C51&amp;",*"))/$B51*100</f>
        <v>0</v>
      </c>
      <c r="M51" s="41">
        <f>(COUNTIFS(集計用!$J:$J, "*"&amp;M$4&amp;"*",集計用!$G:$G, "*, "&amp;$C51&amp;",*"))/$B51*100</f>
        <v>0</v>
      </c>
      <c r="N51" s="41">
        <f>(COUNTIFS(集計用!$J:$J, "*"&amp;N$4&amp;"*",集計用!$G:$G, "*, "&amp;$C51&amp;",*"))/$B51*100</f>
        <v>0</v>
      </c>
      <c r="O51" s="41">
        <f>(COUNTIFS(集計用!$J:$J, "*"&amp;O$4&amp;"*",集計用!$G:$G, "*, "&amp;$C51&amp;",*"))/$B51*100</f>
        <v>0</v>
      </c>
      <c r="P51" s="41">
        <f>(COUNTIFS(集計用!$J:$J, "*"&amp;P$4&amp;"*",集計用!$G:$G, "*, "&amp;$C51&amp;",*"))/$B51*100</f>
        <v>0</v>
      </c>
      <c r="Q51" s="41">
        <f>(COUNTIFS(集計用!$J:$J, "*"&amp;Q$4&amp;"*",集計用!$G:$G, "*, "&amp;$C51&amp;",*"))/$B51*100</f>
        <v>14.285714285714285</v>
      </c>
      <c r="R51" s="41">
        <f>(COUNTIFS(集計用!$J:$J, "*"&amp;R$4&amp;"*",集計用!$G:$G, "*, "&amp;$C51&amp;",*"))/$B51*100</f>
        <v>0</v>
      </c>
      <c r="S51" s="41">
        <f>(COUNTIFS(集計用!$J:$J, "*"&amp;S$4&amp;"*",集計用!$G:$G, "*, "&amp;$C51&amp;",*"))/$B51*100</f>
        <v>0</v>
      </c>
      <c r="T51" s="41">
        <f>(COUNTIFS(集計用!$J:$J, "*"&amp;T$4&amp;"*",集計用!$G:$G, "*, "&amp;$C51&amp;",*"))/$B51*100</f>
        <v>14.285714285714285</v>
      </c>
      <c r="U51" s="41">
        <f>(COUNTIFS(集計用!$J:$J, "*"&amp;U$4&amp;"*",集計用!$G:$G, "*, "&amp;$C51&amp;",*"))/$B51*100</f>
        <v>0</v>
      </c>
      <c r="V51" s="41">
        <f>(COUNTIFS(集計用!$J:$J, "*"&amp;V$4&amp;"*",集計用!$G:$G, "*, "&amp;$C51&amp;",*"))/$B51*100</f>
        <v>0</v>
      </c>
      <c r="W51" s="41">
        <f>(COUNTIFS(集計用!$J:$J, "*"&amp;W$4&amp;"*",集計用!$G:$G, "*, "&amp;$C51&amp;",*"))/$B51*100</f>
        <v>0</v>
      </c>
    </row>
    <row r="52" spans="1:23" ht="14.25" customHeight="1">
      <c r="A52" s="39">
        <v>4</v>
      </c>
      <c r="B52" s="39">
        <f>(COUNTIFS(集計用!$G:$G,"*, "&amp;$C52&amp;",*",集計用!$G:$G, "&lt;&gt;無回答 , "))</f>
        <v>7</v>
      </c>
      <c r="C52" s="42" t="s">
        <v>47</v>
      </c>
      <c r="D52" s="41">
        <f>(COUNTIFS(集計用!$K:$K, "*, "&amp;D$4&amp;", *",集計用!$G:$G, "*, "&amp;$C52&amp;",*"))/$B52*100</f>
        <v>85.714285714285708</v>
      </c>
      <c r="E52" s="41">
        <f>(COUNTIFS(集計用!$K:$K, "*, "&amp;E$4&amp;", *",集計用!$G:$G, "*, "&amp;$C52&amp;",*"))/$B52*100</f>
        <v>42.857142857142854</v>
      </c>
      <c r="F52" s="41">
        <f>(COUNTIFS(集計用!$K:$K, "*, "&amp;F$4&amp;", *",集計用!$G:$G, "*, "&amp;$C52&amp;",*"))/$B52*100</f>
        <v>57.142857142857139</v>
      </c>
      <c r="G52" s="41">
        <f>(COUNTIFS(集計用!$K:$K, "*, "&amp;G$4&amp;", *",集計用!$G:$G, "*, "&amp;$C52&amp;",*"))/$B52*100</f>
        <v>57.142857142857139</v>
      </c>
      <c r="H52" s="41">
        <f>(COUNTIFS(集計用!$K:$K, "*, "&amp;H$4&amp;", *",集計用!$G:$G, "*, "&amp;$C52&amp;",*"))/$B52*100</f>
        <v>42.857142857142854</v>
      </c>
      <c r="I52" s="41">
        <f>(COUNTIFS(集計用!$K:$K, "*, "&amp;I$4&amp;", *",集計用!$G:$G, "*, "&amp;$C52&amp;",*"))/$B52*100</f>
        <v>14.285714285714285</v>
      </c>
      <c r="J52" s="41">
        <f>(COUNTIFS(集計用!$K:$K, "*, "&amp;J$4&amp;", *",集計用!$G:$G, "*, "&amp;$C52&amp;",*"))/$B52*100</f>
        <v>28.571428571428569</v>
      </c>
      <c r="K52" s="41">
        <f>(COUNTIFS(集計用!$K:$K, "*, "&amp;K$4&amp;", *",集計用!$G:$G, "*, "&amp;$C52&amp;",*"))/$B52*100</f>
        <v>14.285714285714285</v>
      </c>
      <c r="L52" s="41">
        <f>(COUNTIFS(集計用!$J:$J, "*"&amp;L$4&amp;"*",集計用!$G:$G, "*, "&amp;$C52&amp;",*"))/$B52*100</f>
        <v>0</v>
      </c>
      <c r="M52" s="41">
        <f>(COUNTIFS(集計用!$J:$J, "*"&amp;M$4&amp;"*",集計用!$G:$G, "*, "&amp;$C52&amp;",*"))/$B52*100</f>
        <v>0</v>
      </c>
      <c r="N52" s="41">
        <f>(COUNTIFS(集計用!$J:$J, "*"&amp;N$4&amp;"*",集計用!$G:$G, "*, "&amp;$C52&amp;",*"))/$B52*100</f>
        <v>0</v>
      </c>
      <c r="O52" s="41">
        <f>(COUNTIFS(集計用!$J:$J, "*"&amp;O$4&amp;"*",集計用!$G:$G, "*, "&amp;$C52&amp;",*"))/$B52*100</f>
        <v>0</v>
      </c>
      <c r="P52" s="41">
        <f>(COUNTIFS(集計用!$J:$J, "*"&amp;P$4&amp;"*",集計用!$G:$G, "*, "&amp;$C52&amp;",*"))/$B52*100</f>
        <v>0</v>
      </c>
      <c r="Q52" s="41">
        <f>(COUNTIFS(集計用!$J:$J, "*"&amp;Q$4&amp;"*",集計用!$G:$G, "*, "&amp;$C52&amp;",*"))/$B52*100</f>
        <v>0</v>
      </c>
      <c r="R52" s="41">
        <f>(COUNTIFS(集計用!$J:$J, "*"&amp;R$4&amp;"*",集計用!$G:$G, "*, "&amp;$C52&amp;",*"))/$B52*100</f>
        <v>0</v>
      </c>
      <c r="S52" s="41">
        <f>(COUNTIFS(集計用!$J:$J, "*"&amp;S$4&amp;"*",集計用!$G:$G, "*, "&amp;$C52&amp;",*"))/$B52*100</f>
        <v>0</v>
      </c>
      <c r="T52" s="41">
        <f>(COUNTIFS(集計用!$J:$J, "*"&amp;T$4&amp;"*",集計用!$G:$G, "*, "&amp;$C52&amp;",*"))/$B52*100</f>
        <v>0</v>
      </c>
      <c r="U52" s="41">
        <f>(COUNTIFS(集計用!$J:$J, "*"&amp;U$4&amp;"*",集計用!$G:$G, "*, "&amp;$C52&amp;",*"))/$B52*100</f>
        <v>0</v>
      </c>
      <c r="V52" s="41">
        <f>(COUNTIFS(集計用!$J:$J, "*"&amp;V$4&amp;"*",集計用!$G:$G, "*, "&amp;$C52&amp;",*"))/$B52*100</f>
        <v>0</v>
      </c>
      <c r="W52" s="41">
        <f>(COUNTIFS(集計用!$J:$J, "*"&amp;W$4&amp;"*",集計用!$G:$G, "*, "&amp;$C52&amp;",*"))/$B52*100</f>
        <v>14.285714285714285</v>
      </c>
    </row>
    <row r="53" spans="1:23" ht="14.25" customHeight="1">
      <c r="A53" s="39">
        <v>5</v>
      </c>
      <c r="B53" s="39">
        <f>(COUNTIFS(集計用!$G:$G,"*, "&amp;$C53&amp;",*",集計用!$G:$G, "&lt;&gt;無回答 , "))</f>
        <v>7</v>
      </c>
      <c r="C53" s="42" t="s">
        <v>45</v>
      </c>
      <c r="D53" s="41">
        <f>(COUNTIFS(集計用!$K:$K, "*, "&amp;D$4&amp;", *",集計用!$G:$G, "*, "&amp;$C53&amp;",*"))/$B53*100</f>
        <v>71.428571428571431</v>
      </c>
      <c r="E53" s="41">
        <f>(COUNTIFS(集計用!$K:$K, "*, "&amp;E$4&amp;", *",集計用!$G:$G, "*, "&amp;$C53&amp;",*"))/$B53*100</f>
        <v>57.142857142857139</v>
      </c>
      <c r="F53" s="41">
        <f>(COUNTIFS(集計用!$K:$K, "*, "&amp;F$4&amp;", *",集計用!$G:$G, "*, "&amp;$C53&amp;",*"))/$B53*100</f>
        <v>28.571428571428569</v>
      </c>
      <c r="G53" s="41">
        <f>(COUNTIFS(集計用!$K:$K, "*, "&amp;G$4&amp;", *",集計用!$G:$G, "*, "&amp;$C53&amp;",*"))/$B53*100</f>
        <v>28.571428571428569</v>
      </c>
      <c r="H53" s="41">
        <f>(COUNTIFS(集計用!$K:$K, "*, "&amp;H$4&amp;", *",集計用!$G:$G, "*, "&amp;$C53&amp;",*"))/$B53*100</f>
        <v>57.142857142857139</v>
      </c>
      <c r="I53" s="41">
        <f>(COUNTIFS(集計用!$K:$K, "*, "&amp;I$4&amp;", *",集計用!$G:$G, "*, "&amp;$C53&amp;",*"))/$B53*100</f>
        <v>42.857142857142854</v>
      </c>
      <c r="J53" s="41">
        <f>(COUNTIFS(集計用!$K:$K, "*, "&amp;J$4&amp;", *",集計用!$G:$G, "*, "&amp;$C53&amp;",*"))/$B53*100</f>
        <v>42.857142857142854</v>
      </c>
      <c r="K53" s="41">
        <f>(COUNTIFS(集計用!$K:$K, "*, "&amp;K$4&amp;", *",集計用!$G:$G, "*, "&amp;$C53&amp;",*"))/$B53*100</f>
        <v>14.285714285714285</v>
      </c>
      <c r="L53" s="41">
        <f>(COUNTIFS(集計用!$J:$J, "*"&amp;L$4&amp;"*",集計用!$G:$G, "*, "&amp;$C53&amp;",*"))/$B53*100</f>
        <v>0</v>
      </c>
      <c r="M53" s="41">
        <f>(COUNTIFS(集計用!$J:$J, "*"&amp;M$4&amp;"*",集計用!$G:$G, "*, "&amp;$C53&amp;",*"))/$B53*100</f>
        <v>0</v>
      </c>
      <c r="N53" s="41">
        <f>(COUNTIFS(集計用!$J:$J, "*"&amp;N$4&amp;"*",集計用!$G:$G, "*, "&amp;$C53&amp;",*"))/$B53*100</f>
        <v>0</v>
      </c>
      <c r="O53" s="41">
        <f>(COUNTIFS(集計用!$J:$J, "*"&amp;O$4&amp;"*",集計用!$G:$G, "*, "&amp;$C53&amp;",*"))/$B53*100</f>
        <v>0</v>
      </c>
      <c r="P53" s="41">
        <f>(COUNTIFS(集計用!$J:$J, "*"&amp;P$4&amp;"*",集計用!$G:$G, "*, "&amp;$C53&amp;",*"))/$B53*100</f>
        <v>0</v>
      </c>
      <c r="Q53" s="41">
        <f>(COUNTIFS(集計用!$J:$J, "*"&amp;Q$4&amp;"*",集計用!$G:$G, "*, "&amp;$C53&amp;",*"))/$B53*100</f>
        <v>0</v>
      </c>
      <c r="R53" s="41">
        <f>(COUNTIFS(集計用!$J:$J, "*"&amp;R$4&amp;"*",集計用!$G:$G, "*, "&amp;$C53&amp;",*"))/$B53*100</f>
        <v>0</v>
      </c>
      <c r="S53" s="41">
        <f>(COUNTIFS(集計用!$J:$J, "*"&amp;S$4&amp;"*",集計用!$G:$G, "*, "&amp;$C53&amp;",*"))/$B53*100</f>
        <v>14.285714285714285</v>
      </c>
      <c r="T53" s="41">
        <f>(COUNTIFS(集計用!$J:$J, "*"&amp;T$4&amp;"*",集計用!$G:$G, "*, "&amp;$C53&amp;",*"))/$B53*100</f>
        <v>0</v>
      </c>
      <c r="U53" s="41">
        <f>(COUNTIFS(集計用!$J:$J, "*"&amp;U$4&amp;"*",集計用!$G:$G, "*, "&amp;$C53&amp;",*"))/$B53*100</f>
        <v>0</v>
      </c>
      <c r="V53" s="41">
        <f>(COUNTIFS(集計用!$J:$J, "*"&amp;V$4&amp;"*",集計用!$G:$G, "*, "&amp;$C53&amp;",*"))/$B53*100</f>
        <v>0</v>
      </c>
      <c r="W53" s="41">
        <f>(COUNTIFS(集計用!$J:$J, "*"&amp;W$4&amp;"*",集計用!$G:$G, "*, "&amp;$C53&amp;",*"))/$B53*100</f>
        <v>0</v>
      </c>
    </row>
    <row r="54" spans="1:23" ht="14.25" customHeight="1">
      <c r="A54" s="39">
        <v>2</v>
      </c>
      <c r="B54" s="39">
        <f>(COUNTIFS(集計用!$G:$G,"*, "&amp;$C54&amp;",*",集計用!$G:$G, "&lt;&gt;無回答 , "))</f>
        <v>6</v>
      </c>
      <c r="C54" s="42" t="s">
        <v>48</v>
      </c>
      <c r="D54" s="41">
        <f>(COUNTIFS(集計用!$K:$K, "*, "&amp;D$4&amp;", *",集計用!$G:$G, "*, "&amp;$C54&amp;",*"))/$B54*100</f>
        <v>66.666666666666657</v>
      </c>
      <c r="E54" s="41">
        <f>(COUNTIFS(集計用!$K:$K, "*, "&amp;E$4&amp;", *",集計用!$G:$G, "*, "&amp;$C54&amp;",*"))/$B54*100</f>
        <v>16.666666666666664</v>
      </c>
      <c r="F54" s="41">
        <f>(COUNTIFS(集計用!$K:$K, "*, "&amp;F$4&amp;", *",集計用!$G:$G, "*, "&amp;$C54&amp;",*"))/$B54*100</f>
        <v>50</v>
      </c>
      <c r="G54" s="41">
        <f>(COUNTIFS(集計用!$K:$K, "*, "&amp;G$4&amp;", *",集計用!$G:$G, "*, "&amp;$C54&amp;",*"))/$B54*100</f>
        <v>33.333333333333329</v>
      </c>
      <c r="H54" s="41">
        <f>(COUNTIFS(集計用!$K:$K, "*, "&amp;H$4&amp;", *",集計用!$G:$G, "*, "&amp;$C54&amp;",*"))/$B54*100</f>
        <v>33.333333333333329</v>
      </c>
      <c r="I54" s="41">
        <f>(COUNTIFS(集計用!$K:$K, "*, "&amp;I$4&amp;", *",集計用!$G:$G, "*, "&amp;$C54&amp;",*"))/$B54*100</f>
        <v>33.333333333333329</v>
      </c>
      <c r="J54" s="41">
        <f>(COUNTIFS(集計用!$K:$K, "*, "&amp;J$4&amp;", *",集計用!$G:$G, "*, "&amp;$C54&amp;",*"))/$B54*100</f>
        <v>50</v>
      </c>
      <c r="K54" s="41">
        <f>(COUNTIFS(集計用!$K:$K, "*, "&amp;K$4&amp;", *",集計用!$G:$G, "*, "&amp;$C54&amp;",*"))/$B54*100</f>
        <v>16.666666666666664</v>
      </c>
      <c r="L54" s="41">
        <f>(COUNTIFS(集計用!$J:$J, "*"&amp;L$4&amp;"*",集計用!$G:$G, "*, "&amp;$C54&amp;",*"))/$B54*100</f>
        <v>0</v>
      </c>
      <c r="M54" s="41">
        <f>(COUNTIFS(集計用!$J:$J, "*"&amp;M$4&amp;"*",集計用!$G:$G, "*, "&amp;$C54&amp;",*"))/$B54*100</f>
        <v>0</v>
      </c>
      <c r="N54" s="41">
        <f>(COUNTIFS(集計用!$J:$J, "*"&amp;N$4&amp;"*",集計用!$G:$G, "*, "&amp;$C54&amp;",*"))/$B54*100</f>
        <v>0</v>
      </c>
      <c r="O54" s="41">
        <f>(COUNTIFS(集計用!$J:$J, "*"&amp;O$4&amp;"*",集計用!$G:$G, "*, "&amp;$C54&amp;",*"))/$B54*100</f>
        <v>0</v>
      </c>
      <c r="P54" s="41">
        <f>(COUNTIFS(集計用!$J:$J, "*"&amp;P$4&amp;"*",集計用!$G:$G, "*, "&amp;$C54&amp;",*"))/$B54*100</f>
        <v>0</v>
      </c>
      <c r="Q54" s="41">
        <f>(COUNTIFS(集計用!$J:$J, "*"&amp;Q$4&amp;"*",集計用!$G:$G, "*, "&amp;$C54&amp;",*"))/$B54*100</f>
        <v>0</v>
      </c>
      <c r="R54" s="41">
        <f>(COUNTIFS(集計用!$J:$J, "*"&amp;R$4&amp;"*",集計用!$G:$G, "*, "&amp;$C54&amp;",*"))/$B54*100</f>
        <v>0</v>
      </c>
      <c r="S54" s="41">
        <f>(COUNTIFS(集計用!$J:$J, "*"&amp;S$4&amp;"*",集計用!$G:$G, "*, "&amp;$C54&amp;",*"))/$B54*100</f>
        <v>0</v>
      </c>
      <c r="T54" s="41">
        <f>(COUNTIFS(集計用!$J:$J, "*"&amp;T$4&amp;"*",集計用!$G:$G, "*, "&amp;$C54&amp;",*"))/$B54*100</f>
        <v>0</v>
      </c>
      <c r="U54" s="41">
        <f>(COUNTIFS(集計用!$J:$J, "*"&amp;U$4&amp;"*",集計用!$G:$G, "*, "&amp;$C54&amp;",*"))/$B54*100</f>
        <v>0</v>
      </c>
      <c r="V54" s="41">
        <f>(COUNTIFS(集計用!$J:$J, "*"&amp;V$4&amp;"*",集計用!$G:$G, "*, "&amp;$C54&amp;",*"))/$B54*100</f>
        <v>0</v>
      </c>
      <c r="W54" s="41">
        <f>(COUNTIFS(集計用!$J:$J, "*"&amp;W$4&amp;"*",集計用!$G:$G, "*, "&amp;$C54&amp;",*"))/$B54*100</f>
        <v>0</v>
      </c>
    </row>
    <row r="55" spans="1:23" ht="12.75">
      <c r="A55" s="39">
        <v>5</v>
      </c>
      <c r="B55" s="39">
        <f>(COUNTIFS(集計用!$G:$G,"*, "&amp;$C55&amp;",*",集計用!$G:$G, "&lt;&gt;無回答 , "))</f>
        <v>6</v>
      </c>
      <c r="C55" s="42" t="s">
        <v>49</v>
      </c>
      <c r="D55" s="41">
        <f>(COUNTIFS(集計用!$K:$K, "*, "&amp;D$4&amp;", *",集計用!$G:$G, "*, "&amp;$C55&amp;",*"))/$B55*100</f>
        <v>100</v>
      </c>
      <c r="E55" s="41">
        <f>(COUNTIFS(集計用!$K:$K, "*, "&amp;E$4&amp;", *",集計用!$G:$G, "*, "&amp;$C55&amp;",*"))/$B55*100</f>
        <v>66.666666666666657</v>
      </c>
      <c r="F55" s="41">
        <f>(COUNTIFS(集計用!$K:$K, "*, "&amp;F$4&amp;", *",集計用!$G:$G, "*, "&amp;$C55&amp;",*"))/$B55*100</f>
        <v>33.333333333333329</v>
      </c>
      <c r="G55" s="41">
        <f>(COUNTIFS(集計用!$K:$K, "*, "&amp;G$4&amp;", *",集計用!$G:$G, "*, "&amp;$C55&amp;",*"))/$B55*100</f>
        <v>50</v>
      </c>
      <c r="H55" s="41">
        <f>(COUNTIFS(集計用!$K:$K, "*, "&amp;H$4&amp;", *",集計用!$G:$G, "*, "&amp;$C55&amp;",*"))/$B55*100</f>
        <v>83.333333333333343</v>
      </c>
      <c r="I55" s="41">
        <f>(COUNTIFS(集計用!$K:$K, "*, "&amp;I$4&amp;", *",集計用!$G:$G, "*, "&amp;$C55&amp;",*"))/$B55*100</f>
        <v>16.666666666666664</v>
      </c>
      <c r="J55" s="41">
        <f>(COUNTIFS(集計用!$K:$K, "*, "&amp;J$4&amp;", *",集計用!$G:$G, "*, "&amp;$C55&amp;",*"))/$B55*100</f>
        <v>33.333333333333329</v>
      </c>
      <c r="K55" s="41">
        <f>(COUNTIFS(集計用!$K:$K, "*, "&amp;K$4&amp;", *",集計用!$G:$G, "*, "&amp;$C55&amp;",*"))/$B55*100</f>
        <v>16.666666666666664</v>
      </c>
      <c r="L55" s="41">
        <f>(COUNTIFS(集計用!$J:$J, "*"&amp;L$4&amp;"*",集計用!$G:$G, "*, "&amp;$C55&amp;",*"))/$B55*100</f>
        <v>16.666666666666664</v>
      </c>
      <c r="M55" s="41">
        <f>(COUNTIFS(集計用!$J:$J, "*"&amp;M$4&amp;"*",集計用!$G:$G, "*, "&amp;$C55&amp;",*"))/$B55*100</f>
        <v>0</v>
      </c>
      <c r="N55" s="41">
        <f>(COUNTIFS(集計用!$J:$J, "*"&amp;N$4&amp;"*",集計用!$G:$G, "*, "&amp;$C55&amp;",*"))/$B55*100</f>
        <v>0</v>
      </c>
      <c r="O55" s="41">
        <f>(COUNTIFS(集計用!$J:$J, "*"&amp;O$4&amp;"*",集計用!$G:$G, "*, "&amp;$C55&amp;",*"))/$B55*100</f>
        <v>0</v>
      </c>
      <c r="P55" s="41">
        <f>(COUNTIFS(集計用!$J:$J, "*"&amp;P$4&amp;"*",集計用!$G:$G, "*, "&amp;$C55&amp;",*"))/$B55*100</f>
        <v>0</v>
      </c>
      <c r="Q55" s="41">
        <f>(COUNTIFS(集計用!$J:$J, "*"&amp;Q$4&amp;"*",集計用!$G:$G, "*, "&amp;$C55&amp;",*"))/$B55*100</f>
        <v>0</v>
      </c>
      <c r="R55" s="41">
        <f>(COUNTIFS(集計用!$J:$J, "*"&amp;R$4&amp;"*",集計用!$G:$G, "*, "&amp;$C55&amp;",*"))/$B55*100</f>
        <v>0</v>
      </c>
      <c r="S55" s="41">
        <f>(COUNTIFS(集計用!$J:$J, "*"&amp;S$4&amp;"*",集計用!$G:$G, "*, "&amp;$C55&amp;",*"))/$B55*100</f>
        <v>0</v>
      </c>
      <c r="T55" s="41">
        <f>(COUNTIFS(集計用!$J:$J, "*"&amp;T$4&amp;"*",集計用!$G:$G, "*, "&amp;$C55&amp;",*"))/$B55*100</f>
        <v>0</v>
      </c>
      <c r="U55" s="41">
        <f>(COUNTIFS(集計用!$J:$J, "*"&amp;U$4&amp;"*",集計用!$G:$G, "*, "&amp;$C55&amp;",*"))/$B55*100</f>
        <v>0</v>
      </c>
      <c r="V55" s="41">
        <f>(COUNTIFS(集計用!$J:$J, "*"&amp;V$4&amp;"*",集計用!$G:$G, "*, "&amp;$C55&amp;",*"))/$B55*100</f>
        <v>0</v>
      </c>
      <c r="W55" s="41">
        <f>(COUNTIFS(集計用!$J:$J, "*"&amp;W$4&amp;"*",集計用!$G:$G, "*, "&amp;$C55&amp;",*"))/$B55*100</f>
        <v>0</v>
      </c>
    </row>
    <row r="56" spans="1:23" ht="14.25" customHeight="1">
      <c r="A56" s="39">
        <v>4</v>
      </c>
      <c r="B56" s="39">
        <f>(COUNTIFS(集計用!$G:$G,"*, "&amp;$C56&amp;",*",集計用!$G:$G, "&lt;&gt;無回答 , "))</f>
        <v>5</v>
      </c>
      <c r="C56" s="42" t="s">
        <v>51</v>
      </c>
      <c r="D56" s="41">
        <f>(COUNTIFS(集計用!$K:$K, "*, "&amp;D$4&amp;", *",集計用!$G:$G, "*, "&amp;$C56&amp;",*"))/$B56*100</f>
        <v>100</v>
      </c>
      <c r="E56" s="41">
        <f>(COUNTIFS(集計用!$K:$K, "*, "&amp;E$4&amp;", *",集計用!$G:$G, "*, "&amp;$C56&amp;",*"))/$B56*100</f>
        <v>20</v>
      </c>
      <c r="F56" s="41">
        <f>(COUNTIFS(集計用!$K:$K, "*, "&amp;F$4&amp;", *",集計用!$G:$G, "*, "&amp;$C56&amp;",*"))/$B56*100</f>
        <v>40</v>
      </c>
      <c r="G56" s="41">
        <f>(COUNTIFS(集計用!$K:$K, "*, "&amp;G$4&amp;", *",集計用!$G:$G, "*, "&amp;$C56&amp;",*"))/$B56*100</f>
        <v>40</v>
      </c>
      <c r="H56" s="41">
        <f>(COUNTIFS(集計用!$K:$K, "*, "&amp;H$4&amp;", *",集計用!$G:$G, "*, "&amp;$C56&amp;",*"))/$B56*100</f>
        <v>20</v>
      </c>
      <c r="I56" s="41">
        <f>(COUNTIFS(集計用!$K:$K, "*, "&amp;I$4&amp;", *",集計用!$G:$G, "*, "&amp;$C56&amp;",*"))/$B56*100</f>
        <v>60</v>
      </c>
      <c r="J56" s="41">
        <f>(COUNTIFS(集計用!$K:$K, "*, "&amp;J$4&amp;", *",集計用!$G:$G, "*, "&amp;$C56&amp;",*"))/$B56*100</f>
        <v>20</v>
      </c>
      <c r="K56" s="41">
        <f>(COUNTIFS(集計用!$K:$K, "*, "&amp;K$4&amp;", *",集計用!$G:$G, "*, "&amp;$C56&amp;",*"))/$B56*100</f>
        <v>20</v>
      </c>
      <c r="L56" s="41">
        <f>(COUNTIFS(集計用!$J:$J, "*"&amp;L$4&amp;"*",集計用!$G:$G, "*, "&amp;$C56&amp;",*"))/$B56*100</f>
        <v>0</v>
      </c>
      <c r="M56" s="41">
        <f>(COUNTIFS(集計用!$J:$J, "*"&amp;M$4&amp;"*",集計用!$G:$G, "*, "&amp;$C56&amp;",*"))/$B56*100</f>
        <v>0</v>
      </c>
      <c r="N56" s="41">
        <f>(COUNTIFS(集計用!$J:$J, "*"&amp;N$4&amp;"*",集計用!$G:$G, "*, "&amp;$C56&amp;",*"))/$B56*100</f>
        <v>0</v>
      </c>
      <c r="O56" s="41">
        <f>(COUNTIFS(集計用!$J:$J, "*"&amp;O$4&amp;"*",集計用!$G:$G, "*, "&amp;$C56&amp;",*"))/$B56*100</f>
        <v>0</v>
      </c>
      <c r="P56" s="41">
        <f>(COUNTIFS(集計用!$J:$J, "*"&amp;P$4&amp;"*",集計用!$G:$G, "*, "&amp;$C56&amp;",*"))/$B56*100</f>
        <v>0</v>
      </c>
      <c r="Q56" s="41">
        <f>(COUNTIFS(集計用!$J:$J, "*"&amp;Q$4&amp;"*",集計用!$G:$G, "*, "&amp;$C56&amp;",*"))/$B56*100</f>
        <v>0</v>
      </c>
      <c r="R56" s="41">
        <f>(COUNTIFS(集計用!$J:$J, "*"&amp;R$4&amp;"*",集計用!$G:$G, "*, "&amp;$C56&amp;",*"))/$B56*100</f>
        <v>0</v>
      </c>
      <c r="S56" s="41">
        <f>(COUNTIFS(集計用!$J:$J, "*"&amp;S$4&amp;"*",集計用!$G:$G, "*, "&amp;$C56&amp;",*"))/$B56*100</f>
        <v>0</v>
      </c>
      <c r="T56" s="41">
        <f>(COUNTIFS(集計用!$J:$J, "*"&amp;T$4&amp;"*",集計用!$G:$G, "*, "&amp;$C56&amp;",*"))/$B56*100</f>
        <v>0</v>
      </c>
      <c r="U56" s="41">
        <f>(COUNTIFS(集計用!$J:$J, "*"&amp;U$4&amp;"*",集計用!$G:$G, "*, "&amp;$C56&amp;",*"))/$B56*100</f>
        <v>0</v>
      </c>
      <c r="V56" s="41">
        <f>(COUNTIFS(集計用!$J:$J, "*"&amp;V$4&amp;"*",集計用!$G:$G, "*, "&amp;$C56&amp;",*"))/$B56*100</f>
        <v>0</v>
      </c>
      <c r="W56" s="41">
        <f>(COUNTIFS(集計用!$J:$J, "*"&amp;W$4&amp;"*",集計用!$G:$G, "*, "&amp;$C56&amp;",*"))/$B56*100</f>
        <v>0</v>
      </c>
    </row>
    <row r="57" spans="1:23" ht="14.25" customHeight="1">
      <c r="A57" s="39">
        <v>4</v>
      </c>
      <c r="B57" s="39">
        <f>(COUNTIFS(集計用!$G:$G,"*, "&amp;$C57&amp;",*",集計用!$G:$G, "&lt;&gt;無回答 , "))</f>
        <v>5</v>
      </c>
      <c r="C57" s="42" t="s">
        <v>50</v>
      </c>
      <c r="D57" s="41">
        <f>(COUNTIFS(集計用!$K:$K, "*, "&amp;D$4&amp;", *",集計用!$G:$G, "*, "&amp;$C57&amp;",*"))/$B57*100</f>
        <v>100</v>
      </c>
      <c r="E57" s="41">
        <f>(COUNTIFS(集計用!$K:$K, "*, "&amp;E$4&amp;", *",集計用!$G:$G, "*, "&amp;$C57&amp;",*"))/$B57*100</f>
        <v>60</v>
      </c>
      <c r="F57" s="41">
        <f>(COUNTIFS(集計用!$K:$K, "*, "&amp;F$4&amp;", *",集計用!$G:$G, "*, "&amp;$C57&amp;",*"))/$B57*100</f>
        <v>40</v>
      </c>
      <c r="G57" s="41">
        <f>(COUNTIFS(集計用!$K:$K, "*, "&amp;G$4&amp;", *",集計用!$G:$G, "*, "&amp;$C57&amp;",*"))/$B57*100</f>
        <v>80</v>
      </c>
      <c r="H57" s="41">
        <f>(COUNTIFS(集計用!$K:$K, "*, "&amp;H$4&amp;", *",集計用!$G:$G, "*, "&amp;$C57&amp;",*"))/$B57*100</f>
        <v>80</v>
      </c>
      <c r="I57" s="41">
        <f>(COUNTIFS(集計用!$K:$K, "*, "&amp;I$4&amp;", *",集計用!$G:$G, "*, "&amp;$C57&amp;",*"))/$B57*100</f>
        <v>20</v>
      </c>
      <c r="J57" s="41">
        <f>(COUNTIFS(集計用!$K:$K, "*, "&amp;J$4&amp;", *",集計用!$G:$G, "*, "&amp;$C57&amp;",*"))/$B57*100</f>
        <v>40</v>
      </c>
      <c r="K57" s="41">
        <f>(COUNTIFS(集計用!$K:$K, "*, "&amp;K$4&amp;", *",集計用!$G:$G, "*, "&amp;$C57&amp;",*"))/$B57*100</f>
        <v>20</v>
      </c>
      <c r="L57" s="41">
        <f>(COUNTIFS(集計用!$J:$J, "*"&amp;L$4&amp;"*",集計用!$G:$G, "*, "&amp;$C57&amp;",*"))/$B57*100</f>
        <v>0</v>
      </c>
      <c r="M57" s="41">
        <f>(COUNTIFS(集計用!$J:$J, "*"&amp;M$4&amp;"*",集計用!$G:$G, "*, "&amp;$C57&amp;",*"))/$B57*100</f>
        <v>0</v>
      </c>
      <c r="N57" s="41">
        <f>(COUNTIFS(集計用!$J:$J, "*"&amp;N$4&amp;"*",集計用!$G:$G, "*, "&amp;$C57&amp;",*"))/$B57*100</f>
        <v>0</v>
      </c>
      <c r="O57" s="41">
        <f>(COUNTIFS(集計用!$J:$J, "*"&amp;O$4&amp;"*",集計用!$G:$G, "*, "&amp;$C57&amp;",*"))/$B57*100</f>
        <v>0</v>
      </c>
      <c r="P57" s="41">
        <f>(COUNTIFS(集計用!$J:$J, "*"&amp;P$4&amp;"*",集計用!$G:$G, "*, "&amp;$C57&amp;",*"))/$B57*100</f>
        <v>0</v>
      </c>
      <c r="Q57" s="41">
        <f>(COUNTIFS(集計用!$J:$J, "*"&amp;Q$4&amp;"*",集計用!$G:$G, "*, "&amp;$C57&amp;",*"))/$B57*100</f>
        <v>0</v>
      </c>
      <c r="R57" s="41">
        <f>(COUNTIFS(集計用!$J:$J, "*"&amp;R$4&amp;"*",集計用!$G:$G, "*, "&amp;$C57&amp;",*"))/$B57*100</f>
        <v>0</v>
      </c>
      <c r="S57" s="41">
        <f>(COUNTIFS(集計用!$J:$J, "*"&amp;S$4&amp;"*",集計用!$G:$G, "*, "&amp;$C57&amp;",*"))/$B57*100</f>
        <v>0</v>
      </c>
      <c r="T57" s="41">
        <f>(COUNTIFS(集計用!$J:$J, "*"&amp;T$4&amp;"*",集計用!$G:$G, "*, "&amp;$C57&amp;",*"))/$B57*100</f>
        <v>0</v>
      </c>
      <c r="U57" s="41">
        <f>(COUNTIFS(集計用!$J:$J, "*"&amp;U$4&amp;"*",集計用!$G:$G, "*, "&amp;$C57&amp;",*"))/$B57*100</f>
        <v>0</v>
      </c>
      <c r="V57" s="41">
        <f>(COUNTIFS(集計用!$J:$J, "*"&amp;V$4&amp;"*",集計用!$G:$G, "*, "&amp;$C57&amp;",*"))/$B57*100</f>
        <v>0</v>
      </c>
      <c r="W57" s="41">
        <f>(COUNTIFS(集計用!$J:$J, "*"&amp;W$4&amp;"*",集計用!$G:$G, "*, "&amp;$C57&amp;",*"))/$B57*100</f>
        <v>0</v>
      </c>
    </row>
    <row r="58" spans="1:23" ht="14.25" customHeight="1">
      <c r="A58" s="39" t="s">
        <v>2180</v>
      </c>
      <c r="B58" s="39">
        <f>(COUNTIFS(集計用!$G:$G,"*, "&amp;$C58&amp;",*",集計用!$G:$G, "&lt;&gt;無回答 , "))</f>
        <v>4</v>
      </c>
      <c r="C58" s="42" t="s">
        <v>53</v>
      </c>
      <c r="D58" s="41">
        <f>(COUNTIFS(集計用!$K:$K, "*, "&amp;D$4&amp;", *",集計用!$G:$G, "*, "&amp;$C58&amp;",*"))/$B58*100</f>
        <v>100</v>
      </c>
      <c r="E58" s="41">
        <f>(COUNTIFS(集計用!$K:$K, "*, "&amp;E$4&amp;", *",集計用!$G:$G, "*, "&amp;$C58&amp;",*"))/$B58*100</f>
        <v>25</v>
      </c>
      <c r="F58" s="41">
        <f>(COUNTIFS(集計用!$K:$K, "*, "&amp;F$4&amp;", *",集計用!$G:$G, "*, "&amp;$C58&amp;",*"))/$B58*100</f>
        <v>25</v>
      </c>
      <c r="G58" s="41">
        <f>(COUNTIFS(集計用!$K:$K, "*, "&amp;G$4&amp;", *",集計用!$G:$G, "*, "&amp;$C58&amp;",*"))/$B58*100</f>
        <v>25</v>
      </c>
      <c r="H58" s="41">
        <f>(COUNTIFS(集計用!$K:$K, "*, "&amp;H$4&amp;", *",集計用!$G:$G, "*, "&amp;$C58&amp;",*"))/$B58*100</f>
        <v>25</v>
      </c>
      <c r="I58" s="41">
        <f>(COUNTIFS(集計用!$K:$K, "*, "&amp;I$4&amp;", *",集計用!$G:$G, "*, "&amp;$C58&amp;",*"))/$B58*100</f>
        <v>50</v>
      </c>
      <c r="J58" s="41">
        <f>(COUNTIFS(集計用!$K:$K, "*, "&amp;J$4&amp;", *",集計用!$G:$G, "*, "&amp;$C58&amp;",*"))/$B58*100</f>
        <v>50</v>
      </c>
      <c r="K58" s="41">
        <f>(COUNTIFS(集計用!$K:$K, "*, "&amp;K$4&amp;", *",集計用!$G:$G, "*, "&amp;$C58&amp;",*"))/$B58*100</f>
        <v>25</v>
      </c>
      <c r="L58" s="41">
        <f>(COUNTIFS(集計用!$J:$J, "*"&amp;L$4&amp;"*",集計用!$G:$G, "*, "&amp;$C58&amp;",*"))/$B58*100</f>
        <v>0</v>
      </c>
      <c r="M58" s="41">
        <f>(COUNTIFS(集計用!$J:$J, "*"&amp;M$4&amp;"*",集計用!$G:$G, "*, "&amp;$C58&amp;",*"))/$B58*100</f>
        <v>0</v>
      </c>
      <c r="N58" s="41">
        <f>(COUNTIFS(集計用!$J:$J, "*"&amp;N$4&amp;"*",集計用!$G:$G, "*, "&amp;$C58&amp;",*"))/$B58*100</f>
        <v>0</v>
      </c>
      <c r="O58" s="41">
        <f>(COUNTIFS(集計用!$J:$J, "*"&amp;O$4&amp;"*",集計用!$G:$G, "*, "&amp;$C58&amp;",*"))/$B58*100</f>
        <v>0</v>
      </c>
      <c r="P58" s="41">
        <f>(COUNTIFS(集計用!$J:$J, "*"&amp;P$4&amp;"*",集計用!$G:$G, "*, "&amp;$C58&amp;",*"))/$B58*100</f>
        <v>0</v>
      </c>
      <c r="Q58" s="41">
        <f>(COUNTIFS(集計用!$J:$J, "*"&amp;Q$4&amp;"*",集計用!$G:$G, "*, "&amp;$C58&amp;",*"))/$B58*100</f>
        <v>0</v>
      </c>
      <c r="R58" s="41">
        <f>(COUNTIFS(集計用!$J:$J, "*"&amp;R$4&amp;"*",集計用!$G:$G, "*, "&amp;$C58&amp;",*"))/$B58*100</f>
        <v>0</v>
      </c>
      <c r="S58" s="41">
        <f>(COUNTIFS(集計用!$J:$J, "*"&amp;S$4&amp;"*",集計用!$G:$G, "*, "&amp;$C58&amp;",*"))/$B58*100</f>
        <v>0</v>
      </c>
      <c r="T58" s="41">
        <f>(COUNTIFS(集計用!$J:$J, "*"&amp;T$4&amp;"*",集計用!$G:$G, "*, "&amp;$C58&amp;",*"))/$B58*100</f>
        <v>0</v>
      </c>
      <c r="U58" s="41">
        <f>(COUNTIFS(集計用!$J:$J, "*"&amp;U$4&amp;"*",集計用!$G:$G, "*, "&amp;$C58&amp;",*"))/$B58*100</f>
        <v>0</v>
      </c>
      <c r="V58" s="41">
        <f>(COUNTIFS(集計用!$J:$J, "*"&amp;V$4&amp;"*",集計用!$G:$G, "*, "&amp;$C58&amp;",*"))/$B58*100</f>
        <v>0</v>
      </c>
      <c r="W58" s="41">
        <f>(COUNTIFS(集計用!$J:$J, "*"&amp;W$4&amp;"*",集計用!$G:$G, "*, "&amp;$C58&amp;",*"))/$B58*100</f>
        <v>0</v>
      </c>
    </row>
    <row r="59" spans="1:23" ht="14.25" customHeight="1">
      <c r="A59" s="39" t="s">
        <v>2180</v>
      </c>
      <c r="B59" s="39">
        <f>(COUNTIFS(集計用!$G:$G,"*, "&amp;$C59&amp;",*",集計用!$G:$G, "&lt;&gt;無回答 , "))</f>
        <v>4</v>
      </c>
      <c r="C59" s="42" t="s">
        <v>52</v>
      </c>
      <c r="D59" s="41">
        <f>(COUNTIFS(集計用!$K:$K, "*, "&amp;D$4&amp;", *",集計用!$G:$G, "*, "&amp;$C59&amp;",*"))/$B59*100</f>
        <v>75</v>
      </c>
      <c r="E59" s="41">
        <f>(COUNTIFS(集計用!$K:$K, "*, "&amp;E$4&amp;", *",集計用!$G:$G, "*, "&amp;$C59&amp;",*"))/$B59*100</f>
        <v>25</v>
      </c>
      <c r="F59" s="41">
        <f>(COUNTIFS(集計用!$K:$K, "*, "&amp;F$4&amp;", *",集計用!$G:$G, "*, "&amp;$C59&amp;",*"))/$B59*100</f>
        <v>50</v>
      </c>
      <c r="G59" s="41">
        <f>(COUNTIFS(集計用!$K:$K, "*, "&amp;G$4&amp;", *",集計用!$G:$G, "*, "&amp;$C59&amp;",*"))/$B59*100</f>
        <v>25</v>
      </c>
      <c r="H59" s="41">
        <f>(COUNTIFS(集計用!$K:$K, "*, "&amp;H$4&amp;", *",集計用!$G:$G, "*, "&amp;$C59&amp;",*"))/$B59*100</f>
        <v>50</v>
      </c>
      <c r="I59" s="41">
        <f>(COUNTIFS(集計用!$K:$K, "*, "&amp;I$4&amp;", *",集計用!$G:$G, "*, "&amp;$C59&amp;",*"))/$B59*100</f>
        <v>50</v>
      </c>
      <c r="J59" s="41">
        <f>(COUNTIFS(集計用!$K:$K, "*, "&amp;J$4&amp;", *",集計用!$G:$G, "*, "&amp;$C59&amp;",*"))/$B59*100</f>
        <v>25</v>
      </c>
      <c r="K59" s="41">
        <f>(COUNTIFS(集計用!$K:$K, "*, "&amp;K$4&amp;", *",集計用!$G:$G, "*, "&amp;$C59&amp;",*"))/$B59*100</f>
        <v>25</v>
      </c>
      <c r="L59" s="41">
        <f>(COUNTIFS(集計用!$J:$J, "*"&amp;L$4&amp;"*",集計用!$G:$G, "*, "&amp;$C59&amp;",*"))/$B59*100</f>
        <v>0</v>
      </c>
      <c r="M59" s="41">
        <f>(COUNTIFS(集計用!$J:$J, "*"&amp;M$4&amp;"*",集計用!$G:$G, "*, "&amp;$C59&amp;",*"))/$B59*100</f>
        <v>0</v>
      </c>
      <c r="N59" s="41">
        <f>(COUNTIFS(集計用!$J:$J, "*"&amp;N$4&amp;"*",集計用!$G:$G, "*, "&amp;$C59&amp;",*"))/$B59*100</f>
        <v>0</v>
      </c>
      <c r="O59" s="41">
        <f>(COUNTIFS(集計用!$J:$J, "*"&amp;O$4&amp;"*",集計用!$G:$G, "*, "&amp;$C59&amp;",*"))/$B59*100</f>
        <v>0</v>
      </c>
      <c r="P59" s="41">
        <f>(COUNTIFS(集計用!$J:$J, "*"&amp;P$4&amp;"*",集計用!$G:$G, "*, "&amp;$C59&amp;",*"))/$B59*100</f>
        <v>0</v>
      </c>
      <c r="Q59" s="41">
        <f>(COUNTIFS(集計用!$J:$J, "*"&amp;Q$4&amp;"*",集計用!$G:$G, "*, "&amp;$C59&amp;",*"))/$B59*100</f>
        <v>0</v>
      </c>
      <c r="R59" s="41">
        <f>(COUNTIFS(集計用!$J:$J, "*"&amp;R$4&amp;"*",集計用!$G:$G, "*, "&amp;$C59&amp;",*"))/$B59*100</f>
        <v>0</v>
      </c>
      <c r="S59" s="41">
        <f>(COUNTIFS(集計用!$J:$J, "*"&amp;S$4&amp;"*",集計用!$G:$G, "*, "&amp;$C59&amp;",*"))/$B59*100</f>
        <v>0</v>
      </c>
      <c r="T59" s="41">
        <f>(COUNTIFS(集計用!$J:$J, "*"&amp;T$4&amp;"*",集計用!$G:$G, "*, "&amp;$C59&amp;",*"))/$B59*100</f>
        <v>0</v>
      </c>
      <c r="U59" s="41">
        <f>(COUNTIFS(集計用!$J:$J, "*"&amp;U$4&amp;"*",集計用!$G:$G, "*, "&amp;$C59&amp;",*"))/$B59*100</f>
        <v>0</v>
      </c>
      <c r="V59" s="41">
        <f>(COUNTIFS(集計用!$J:$J, "*"&amp;V$4&amp;"*",集計用!$G:$G, "*, "&amp;$C59&amp;",*"))/$B59*100</f>
        <v>0</v>
      </c>
      <c r="W59" s="41">
        <f>(COUNTIFS(集計用!$J:$J, "*"&amp;W$4&amp;"*",集計用!$G:$G, "*, "&amp;$C59&amp;",*"))/$B59*100</f>
        <v>0</v>
      </c>
    </row>
    <row r="60" spans="1:23" ht="12.75">
      <c r="A60" s="39" t="s">
        <v>2180</v>
      </c>
      <c r="B60" s="39">
        <f>(COUNTIFS(集計用!$G:$G,"*, "&amp;$C60&amp;",*",集計用!$G:$G, "&lt;&gt;無回答 , "))</f>
        <v>3</v>
      </c>
      <c r="C60" s="42" t="s">
        <v>54</v>
      </c>
      <c r="D60" s="41">
        <f>(COUNTIFS(集計用!$K:$K, "*, "&amp;D$4&amp;", *",集計用!$G:$G, "*, "&amp;$C60&amp;",*"))/$B60*100</f>
        <v>100</v>
      </c>
      <c r="E60" s="41">
        <f>(COUNTIFS(集計用!$K:$K, "*, "&amp;E$4&amp;", *",集計用!$G:$G, "*, "&amp;$C60&amp;",*"))/$B60*100</f>
        <v>66.666666666666657</v>
      </c>
      <c r="F60" s="41">
        <f>(COUNTIFS(集計用!$K:$K, "*, "&amp;F$4&amp;", *",集計用!$G:$G, "*, "&amp;$C60&amp;",*"))/$B60*100</f>
        <v>33.333333333333329</v>
      </c>
      <c r="G60" s="41">
        <f>(COUNTIFS(集計用!$K:$K, "*, "&amp;G$4&amp;", *",集計用!$G:$G, "*, "&amp;$C60&amp;",*"))/$B60*100</f>
        <v>66.666666666666657</v>
      </c>
      <c r="H60" s="41">
        <f>(COUNTIFS(集計用!$K:$K, "*, "&amp;H$4&amp;", *",集計用!$G:$G, "*, "&amp;$C60&amp;",*"))/$B60*100</f>
        <v>66.666666666666657</v>
      </c>
      <c r="I60" s="41">
        <f>(COUNTIFS(集計用!$K:$K, "*, "&amp;I$4&amp;", *",集計用!$G:$G, "*, "&amp;$C60&amp;",*"))/$B60*100</f>
        <v>33.333333333333329</v>
      </c>
      <c r="J60" s="41">
        <f>(COUNTIFS(集計用!$K:$K, "*, "&amp;J$4&amp;", *",集計用!$G:$G, "*, "&amp;$C60&amp;",*"))/$B60*100</f>
        <v>33.333333333333329</v>
      </c>
      <c r="K60" s="41">
        <f>(COUNTIFS(集計用!$K:$K, "*, "&amp;K$4&amp;", *",集計用!$G:$G, "*, "&amp;$C60&amp;",*"))/$B60*100</f>
        <v>33.333333333333329</v>
      </c>
      <c r="L60" s="41">
        <f>(COUNTIFS(集計用!$J:$J, "*"&amp;L$4&amp;"*",集計用!$G:$G, "*, "&amp;$C60&amp;",*"))/$B60*100</f>
        <v>0</v>
      </c>
      <c r="M60" s="41">
        <f>(COUNTIFS(集計用!$J:$J, "*"&amp;M$4&amp;"*",集計用!$G:$G, "*, "&amp;$C60&amp;",*"))/$B60*100</f>
        <v>0</v>
      </c>
      <c r="N60" s="41">
        <f>(COUNTIFS(集計用!$J:$J, "*"&amp;N$4&amp;"*",集計用!$G:$G, "*, "&amp;$C60&amp;",*"))/$B60*100</f>
        <v>0</v>
      </c>
      <c r="O60" s="41">
        <f>(COUNTIFS(集計用!$J:$J, "*"&amp;O$4&amp;"*",集計用!$G:$G, "*, "&amp;$C60&amp;",*"))/$B60*100</f>
        <v>0</v>
      </c>
      <c r="P60" s="41">
        <f>(COUNTIFS(集計用!$J:$J, "*"&amp;P$4&amp;"*",集計用!$G:$G, "*, "&amp;$C60&amp;",*"))/$B60*100</f>
        <v>0</v>
      </c>
      <c r="Q60" s="41">
        <f>(COUNTIFS(集計用!$J:$J, "*"&amp;Q$4&amp;"*",集計用!$G:$G, "*, "&amp;$C60&amp;",*"))/$B60*100</f>
        <v>0</v>
      </c>
      <c r="R60" s="41">
        <f>(COUNTIFS(集計用!$J:$J, "*"&amp;R$4&amp;"*",集計用!$G:$G, "*, "&amp;$C60&amp;",*"))/$B60*100</f>
        <v>0</v>
      </c>
      <c r="S60" s="41">
        <f>(COUNTIFS(集計用!$J:$J, "*"&amp;S$4&amp;"*",集計用!$G:$G, "*, "&amp;$C60&amp;",*"))/$B60*100</f>
        <v>0</v>
      </c>
      <c r="T60" s="41">
        <f>(COUNTIFS(集計用!$J:$J, "*"&amp;T$4&amp;"*",集計用!$G:$G, "*, "&amp;$C60&amp;",*"))/$B60*100</f>
        <v>0</v>
      </c>
      <c r="U60" s="41">
        <f>(COUNTIFS(集計用!$J:$J, "*"&amp;U$4&amp;"*",集計用!$G:$G, "*, "&amp;$C60&amp;",*"))/$B60*100</f>
        <v>0</v>
      </c>
      <c r="V60" s="41">
        <f>(COUNTIFS(集計用!$J:$J, "*"&amp;V$4&amp;"*",集計用!$G:$G, "*, "&amp;$C60&amp;",*"))/$B60*100</f>
        <v>0</v>
      </c>
      <c r="W60" s="41">
        <f>(COUNTIFS(集計用!$J:$J, "*"&amp;W$4&amp;"*",集計用!$G:$G, "*, "&amp;$C60&amp;",*"))/$B60*100</f>
        <v>0</v>
      </c>
    </row>
    <row r="61" spans="1:23" ht="14.25" customHeight="1">
      <c r="A61" s="39" t="s">
        <v>2180</v>
      </c>
      <c r="B61" s="39">
        <f>(COUNTIFS(集計用!$G:$G,"*, "&amp;$C61&amp;",*",集計用!$G:$G, "&lt;&gt;無回答 , "))</f>
        <v>2</v>
      </c>
      <c r="C61" s="42" t="s">
        <v>55</v>
      </c>
      <c r="D61" s="41">
        <f>(COUNTIFS(集計用!$K:$K, "*, "&amp;D$4&amp;", *",集計用!$G:$G, "*, "&amp;$C61&amp;",*"))/$B61*100</f>
        <v>100</v>
      </c>
      <c r="E61" s="41">
        <f>(COUNTIFS(集計用!$K:$K, "*, "&amp;E$4&amp;", *",集計用!$G:$G, "*, "&amp;$C61&amp;",*"))/$B61*100</f>
        <v>100</v>
      </c>
      <c r="F61" s="41">
        <f>(COUNTIFS(集計用!$K:$K, "*, "&amp;F$4&amp;", *",集計用!$G:$G, "*, "&amp;$C61&amp;",*"))/$B61*100</f>
        <v>100</v>
      </c>
      <c r="G61" s="41">
        <f>(COUNTIFS(集計用!$K:$K, "*, "&amp;G$4&amp;", *",集計用!$G:$G, "*, "&amp;$C61&amp;",*"))/$B61*100</f>
        <v>100</v>
      </c>
      <c r="H61" s="41">
        <f>(COUNTIFS(集計用!$K:$K, "*, "&amp;H$4&amp;", *",集計用!$G:$G, "*, "&amp;$C61&amp;",*"))/$B61*100</f>
        <v>50</v>
      </c>
      <c r="I61" s="41">
        <f>(COUNTIFS(集計用!$K:$K, "*, "&amp;I$4&amp;", *",集計用!$G:$G, "*, "&amp;$C61&amp;",*"))/$B61*100</f>
        <v>50</v>
      </c>
      <c r="J61" s="41">
        <f>(COUNTIFS(集計用!$K:$K, "*, "&amp;J$4&amp;", *",集計用!$G:$G, "*, "&amp;$C61&amp;",*"))/$B61*100</f>
        <v>50</v>
      </c>
      <c r="K61" s="41">
        <f>(COUNTIFS(集計用!$K:$K, "*, "&amp;K$4&amp;", *",集計用!$G:$G, "*, "&amp;$C61&amp;",*"))/$B61*100</f>
        <v>50</v>
      </c>
      <c r="L61" s="41">
        <f>(COUNTIFS(集計用!$J:$J, "*"&amp;L$4&amp;"*",集計用!$G:$G, "*, "&amp;$C61&amp;",*"))/$B61*100</f>
        <v>0</v>
      </c>
      <c r="M61" s="41">
        <f>(COUNTIFS(集計用!$J:$J, "*"&amp;M$4&amp;"*",集計用!$G:$G, "*, "&amp;$C61&amp;",*"))/$B61*100</f>
        <v>0</v>
      </c>
      <c r="N61" s="41">
        <f>(COUNTIFS(集計用!$J:$J, "*"&amp;N$4&amp;"*",集計用!$G:$G, "*, "&amp;$C61&amp;",*"))/$B61*100</f>
        <v>0</v>
      </c>
      <c r="O61" s="41">
        <f>(COUNTIFS(集計用!$J:$J, "*"&amp;O$4&amp;"*",集計用!$G:$G, "*, "&amp;$C61&amp;",*"))/$B61*100</f>
        <v>0</v>
      </c>
      <c r="P61" s="41">
        <f>(COUNTIFS(集計用!$J:$J, "*"&amp;P$4&amp;"*",集計用!$G:$G, "*, "&amp;$C61&amp;",*"))/$B61*100</f>
        <v>0</v>
      </c>
      <c r="Q61" s="41">
        <f>(COUNTIFS(集計用!$J:$J, "*"&amp;Q$4&amp;"*",集計用!$G:$G, "*, "&amp;$C61&amp;",*"))/$B61*100</f>
        <v>0</v>
      </c>
      <c r="R61" s="41">
        <f>(COUNTIFS(集計用!$J:$J, "*"&amp;R$4&amp;"*",集計用!$G:$G, "*, "&amp;$C61&amp;",*"))/$B61*100</f>
        <v>0</v>
      </c>
      <c r="S61" s="41">
        <f>(COUNTIFS(集計用!$J:$J, "*"&amp;S$4&amp;"*",集計用!$G:$G, "*, "&amp;$C61&amp;",*"))/$B61*100</f>
        <v>0</v>
      </c>
      <c r="T61" s="41">
        <f>(COUNTIFS(集計用!$J:$J, "*"&amp;T$4&amp;"*",集計用!$G:$G, "*, "&amp;$C61&amp;",*"))/$B61*100</f>
        <v>0</v>
      </c>
      <c r="U61" s="41">
        <f>(COUNTIFS(集計用!$J:$J, "*"&amp;U$4&amp;"*",集計用!$G:$G, "*, "&amp;$C61&amp;",*"))/$B61*100</f>
        <v>0</v>
      </c>
      <c r="V61" s="41">
        <f>(COUNTIFS(集計用!$J:$J, "*"&amp;V$4&amp;"*",集計用!$G:$G, "*, "&amp;$C61&amp;",*"))/$B61*100</f>
        <v>0</v>
      </c>
      <c r="W61" s="41">
        <f>(COUNTIFS(集計用!$J:$J, "*"&amp;W$4&amp;"*",集計用!$G:$G, "*, "&amp;$C61&amp;",*"))/$B61*100</f>
        <v>0</v>
      </c>
    </row>
    <row r="62" spans="1:23" ht="14.25" customHeight="1">
      <c r="A62" s="39" t="s">
        <v>2180</v>
      </c>
      <c r="B62" s="39">
        <f>(COUNTIFS(集計用!$G:$G,"*, "&amp;$C62&amp;",*",集計用!$G:$G, "&lt;&gt;無回答 , "))</f>
        <v>1</v>
      </c>
      <c r="C62" s="42" t="s">
        <v>56</v>
      </c>
      <c r="D62" s="41">
        <f>(COUNTIFS(集計用!$K:$K, "*, "&amp;D$4&amp;", *",集計用!$G:$G, "*, "&amp;$C62&amp;",*"))/$B62*100</f>
        <v>100</v>
      </c>
      <c r="E62" s="41">
        <f>(COUNTIFS(集計用!$K:$K, "*, "&amp;E$4&amp;", *",集計用!$G:$G, "*, "&amp;$C62&amp;",*"))/$B62*100</f>
        <v>100</v>
      </c>
      <c r="F62" s="41">
        <f>(COUNTIFS(集計用!$K:$K, "*, "&amp;F$4&amp;", *",集計用!$G:$G, "*, "&amp;$C62&amp;",*"))/$B62*100</f>
        <v>0</v>
      </c>
      <c r="G62" s="41">
        <f>(COUNTIFS(集計用!$K:$K, "*, "&amp;G$4&amp;", *",集計用!$G:$G, "*, "&amp;$C62&amp;",*"))/$B62*100</f>
        <v>0</v>
      </c>
      <c r="H62" s="41">
        <f>(COUNTIFS(集計用!$K:$K, "*, "&amp;H$4&amp;", *",集計用!$G:$G, "*, "&amp;$C62&amp;",*"))/$B62*100</f>
        <v>100</v>
      </c>
      <c r="I62" s="41">
        <f>(COUNTIFS(集計用!$K:$K, "*, "&amp;I$4&amp;", *",集計用!$G:$G, "*, "&amp;$C62&amp;",*"))/$B62*100</f>
        <v>0</v>
      </c>
      <c r="J62" s="41">
        <f>(COUNTIFS(集計用!$K:$K, "*, "&amp;J$4&amp;", *",集計用!$G:$G, "*, "&amp;$C62&amp;",*"))/$B62*100</f>
        <v>0</v>
      </c>
      <c r="K62" s="41">
        <f>(COUNTIFS(集計用!$K:$K, "*, "&amp;K$4&amp;", *",集計用!$G:$G, "*, "&amp;$C62&amp;",*"))/$B62*100</f>
        <v>0</v>
      </c>
      <c r="L62" s="41">
        <f>(COUNTIFS(集計用!$J:$J, "*"&amp;L$4&amp;"*",集計用!$G:$G, "*, "&amp;$C62&amp;",*"))/$B62*100</f>
        <v>0</v>
      </c>
      <c r="M62" s="41">
        <f>(COUNTIFS(集計用!$J:$J, "*"&amp;M$4&amp;"*",集計用!$G:$G, "*, "&amp;$C62&amp;",*"))/$B62*100</f>
        <v>0</v>
      </c>
      <c r="N62" s="41">
        <f>(COUNTIFS(集計用!$J:$J, "*"&amp;N$4&amp;"*",集計用!$G:$G, "*, "&amp;$C62&amp;",*"))/$B62*100</f>
        <v>0</v>
      </c>
      <c r="O62" s="41">
        <f>(COUNTIFS(集計用!$J:$J, "*"&amp;O$4&amp;"*",集計用!$G:$G, "*, "&amp;$C62&amp;",*"))/$B62*100</f>
        <v>0</v>
      </c>
      <c r="P62" s="41">
        <f>(COUNTIFS(集計用!$J:$J, "*"&amp;P$4&amp;"*",集計用!$G:$G, "*, "&amp;$C62&amp;",*"))/$B62*100</f>
        <v>0</v>
      </c>
      <c r="Q62" s="41">
        <f>(COUNTIFS(集計用!$J:$J, "*"&amp;Q$4&amp;"*",集計用!$G:$G, "*, "&amp;$C62&amp;",*"))/$B62*100</f>
        <v>0</v>
      </c>
      <c r="R62" s="41">
        <f>(COUNTIFS(集計用!$J:$J, "*"&amp;R$4&amp;"*",集計用!$G:$G, "*, "&amp;$C62&amp;",*"))/$B62*100</f>
        <v>0</v>
      </c>
      <c r="S62" s="41">
        <f>(COUNTIFS(集計用!$J:$J, "*"&amp;S$4&amp;"*",集計用!$G:$G, "*, "&amp;$C62&amp;",*"))/$B62*100</f>
        <v>0</v>
      </c>
      <c r="T62" s="41">
        <f>(COUNTIFS(集計用!$J:$J, "*"&amp;T$4&amp;"*",集計用!$G:$G, "*, "&amp;$C62&amp;",*"))/$B62*100</f>
        <v>0</v>
      </c>
      <c r="U62" s="41">
        <f>(COUNTIFS(集計用!$J:$J, "*"&amp;U$4&amp;"*",集計用!$G:$G, "*, "&amp;$C62&amp;",*"))/$B62*100</f>
        <v>0</v>
      </c>
      <c r="V62" s="41">
        <f>(COUNTIFS(集計用!$J:$J, "*"&amp;V$4&amp;"*",集計用!$G:$G, "*, "&amp;$C62&amp;",*"))/$B62*100</f>
        <v>0</v>
      </c>
      <c r="W62" s="41">
        <f>(COUNTIFS(集計用!$J:$J, "*"&amp;W$4&amp;"*",集計用!$G:$G, "*, "&amp;$C62&amp;",*"))/$B62*100</f>
        <v>0</v>
      </c>
    </row>
    <row r="63" spans="1:23" ht="14.25" customHeight="1">
      <c r="C63" s="43"/>
      <c r="D63" s="44"/>
      <c r="E63" s="44"/>
      <c r="F63" s="44"/>
      <c r="G63" s="44"/>
      <c r="H63" s="44"/>
      <c r="I63" s="44"/>
      <c r="J63" s="44"/>
      <c r="K63" s="44"/>
      <c r="L63" s="44"/>
      <c r="M63" s="44"/>
      <c r="N63" s="44"/>
    </row>
    <row r="64" spans="1:23" ht="12.75">
      <c r="C64" s="43"/>
      <c r="D64" s="44"/>
      <c r="E64" s="44"/>
      <c r="F64" s="44"/>
      <c r="G64" s="44"/>
      <c r="H64" s="44"/>
      <c r="I64" s="44"/>
      <c r="J64" s="44"/>
      <c r="K64" s="44"/>
      <c r="L64" s="44"/>
      <c r="M64" s="44"/>
      <c r="N64" s="44"/>
    </row>
    <row r="65" spans="3:14" ht="15.75" customHeight="1">
      <c r="C65" s="43"/>
      <c r="D65" s="44"/>
      <c r="E65" s="44"/>
      <c r="F65" s="44"/>
      <c r="G65" s="44"/>
      <c r="H65" s="44"/>
      <c r="I65" s="44"/>
      <c r="J65" s="44"/>
      <c r="K65" s="44"/>
      <c r="L65" s="44"/>
      <c r="M65" s="44"/>
      <c r="N65" s="44"/>
    </row>
    <row r="66" spans="3:14" ht="15.75" customHeight="1">
      <c r="C66" s="43"/>
      <c r="D66" s="44"/>
      <c r="E66" s="44"/>
      <c r="F66" s="44"/>
      <c r="G66" s="44"/>
      <c r="H66" s="44"/>
      <c r="I66" s="44"/>
      <c r="J66" s="44"/>
      <c r="K66" s="44"/>
      <c r="L66" s="44"/>
      <c r="M66" s="44"/>
      <c r="N66" s="44"/>
    </row>
    <row r="67" spans="3:14" ht="15.75" customHeight="1">
      <c r="C67" s="43"/>
      <c r="D67" s="44"/>
      <c r="E67" s="44"/>
      <c r="F67" s="44"/>
      <c r="G67" s="44"/>
      <c r="H67" s="44"/>
      <c r="I67" s="44"/>
      <c r="J67" s="44"/>
      <c r="K67" s="44"/>
      <c r="L67" s="44"/>
      <c r="M67" s="44"/>
      <c r="N67" s="44"/>
    </row>
    <row r="68" spans="3:14" ht="15.75" customHeight="1">
      <c r="C68" s="43"/>
      <c r="D68" s="44"/>
      <c r="E68" s="44"/>
      <c r="F68" s="44"/>
      <c r="G68" s="44"/>
      <c r="H68" s="44"/>
      <c r="I68" s="44"/>
      <c r="J68" s="44"/>
      <c r="K68" s="44"/>
      <c r="L68" s="44"/>
      <c r="M68" s="44"/>
      <c r="N68" s="44"/>
    </row>
  </sheetData>
  <phoneticPr fontId="8"/>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8AEB-1DF4-4F14-89E9-F61CA6781119}">
  <sheetPr>
    <outlinePr summaryBelow="0" summaryRight="0"/>
  </sheetPr>
  <dimension ref="A1:AD68"/>
  <sheetViews>
    <sheetView topLeftCell="A4" zoomScaleNormal="100" workbookViewId="0">
      <selection activeCell="B5" sqref="B5"/>
    </sheetView>
  </sheetViews>
  <sheetFormatPr defaultColWidth="12.5703125" defaultRowHeight="15.75" customHeight="1"/>
  <cols>
    <col min="1" max="2" width="12.5703125" style="39"/>
    <col min="3" max="3" width="26.7109375" style="39" customWidth="1"/>
    <col min="4" max="4" width="23.5703125" style="39" customWidth="1"/>
    <col min="5" max="9" width="13.7109375" style="39" bestFit="1" customWidth="1"/>
    <col min="10" max="10" width="12.5703125" style="39"/>
    <col min="11" max="12" width="13.7109375" style="39" bestFit="1" customWidth="1"/>
    <col min="17" max="17" width="12.5703125" style="39"/>
    <col min="20" max="21" width="12.5703125" style="39"/>
    <col min="23" max="24" width="12.5703125" style="39"/>
    <col min="26" max="29" width="12.5703125" style="39"/>
    <col min="30" max="30" width="13.7109375" style="39" bestFit="1" customWidth="1"/>
    <col min="31" max="16384" width="12.5703125" style="39"/>
  </cols>
  <sheetData>
    <row r="1" spans="1:25" ht="15.75" customHeight="1">
      <c r="A1" s="38" t="s">
        <v>2475</v>
      </c>
      <c r="M1" s="39"/>
      <c r="N1" s="39"/>
      <c r="O1" s="39"/>
      <c r="P1" s="39"/>
      <c r="R1" s="39"/>
      <c r="S1" s="39"/>
      <c r="V1" s="39"/>
      <c r="Y1" s="39"/>
    </row>
    <row r="2" spans="1:25" ht="15.75" customHeight="1">
      <c r="A2" s="38"/>
      <c r="D2" s="86" t="s">
        <v>2286</v>
      </c>
      <c r="M2" s="39"/>
      <c r="N2" s="39"/>
      <c r="O2" s="39"/>
      <c r="P2" s="39"/>
      <c r="R2" s="39"/>
      <c r="S2" s="39"/>
      <c r="U2" s="86" t="s">
        <v>2429</v>
      </c>
      <c r="V2" s="39"/>
      <c r="Y2" s="39"/>
    </row>
    <row r="3" spans="1:25" ht="13.5" customHeight="1">
      <c r="C3" s="86" t="s">
        <v>2261</v>
      </c>
      <c r="D3" s="39">
        <f>(COUNTIFS(集計用!$N:$N, "*, "&amp;D$4&amp;",*", 集計用!$N:$N, "&lt;&gt;*英語を日常的に*"))</f>
        <v>65</v>
      </c>
      <c r="E3" s="39">
        <f>(COUNTIFS(集計用!$N:$N, "*, "&amp;E$4&amp;",*", 集計用!$N:$N, "&lt;&gt;*英語を日常的に*"))</f>
        <v>47</v>
      </c>
      <c r="F3" s="39">
        <f>(COUNTIFS(集計用!$N:$N, "*, "&amp;F$4&amp;",*", 集計用!$N:$N, "&lt;&gt;*英語を日常的に*"))</f>
        <v>43</v>
      </c>
      <c r="G3" s="39">
        <f>(COUNTIFS(集計用!$N:$N, "*, "&amp;G$4&amp;",*", 集計用!$N:$N, "&lt;&gt;*英語を日常的に*"))</f>
        <v>22</v>
      </c>
      <c r="H3" s="39">
        <f>(COUNTIFS(集計用!$N:$N, "*, "&amp;H$4&amp;",*", 集計用!$N:$N, "&lt;&gt;*英語を日常的に*"))</f>
        <v>19</v>
      </c>
      <c r="I3" s="39">
        <f>(COUNTIFS(集計用!$N:$N, "*, "&amp;I$4&amp;",*", 集計用!$N:$N, "&lt;&gt;*英語を日常的に*"))</f>
        <v>15</v>
      </c>
      <c r="J3" s="39">
        <f>(COUNTIFS(集計用!$N:$N, "*, "&amp;J$4&amp;",*", 集計用!$N:$N, "&lt;&gt;*英語を日常的に*"))</f>
        <v>8</v>
      </c>
      <c r="K3" s="39">
        <f>(COUNTIFS(集計用!$N:$N, "*, "&amp;K$4&amp;",*", 集計用!$N:$N, "&lt;&gt;*英語を日常的に*"))</f>
        <v>7</v>
      </c>
      <c r="L3" s="39">
        <f>(COUNTIFS(集計用!$N:$N, "*, "&amp;L$4&amp;",*", 集計用!$N:$N, "&lt;&gt;*英語を日常的に*"))</f>
        <v>3</v>
      </c>
      <c r="M3" s="39">
        <f>(COUNTIFS(集計用!$N:$N, "*, "&amp;M$4&amp;",*", 集計用!$N:$N, "&lt;&gt;*英語を日常的に*"))</f>
        <v>1</v>
      </c>
      <c r="N3" s="39">
        <f>(COUNTIFS(集計用!$N:$N, "*, "&amp;N$4&amp;",*", 集計用!$N:$N, "&lt;&gt;*英語を日常的に*"))</f>
        <v>1</v>
      </c>
      <c r="O3" s="39">
        <f>(COUNTIFS(集計用!$N:$N, "*, "&amp;O$4&amp;",*", 集計用!$N:$N, "&lt;&gt;*英語を日常的に*"))</f>
        <v>0</v>
      </c>
      <c r="P3" s="39">
        <f>(COUNTIFS(集計用!$N:$N, "*, "&amp;P$4&amp;",*", 集計用!$N:$N, "&lt;&gt;*英語を日常的に*"))</f>
        <v>0</v>
      </c>
      <c r="Q3" s="39">
        <f>(COUNTIFS(集計用!$N:$N, "*, "&amp;Q$4&amp;",*", 集計用!$N:$N, "&lt;&gt;*英語を日常的に*"))</f>
        <v>0</v>
      </c>
      <c r="R3" s="39">
        <f>(COUNTIFS(集計用!$N:$N, "*, "&amp;R$4&amp;",*", 集計用!$N:$N, "&lt;&gt;*英語を日常的に*"))</f>
        <v>0</v>
      </c>
      <c r="S3" s="39">
        <f>(COUNTIFS(集計用!$N:$N, "*, "&amp;S$4&amp;",*", 集計用!$N:$N, "&lt;&gt;*英語を日常的に*"))</f>
        <v>0</v>
      </c>
      <c r="T3" s="39">
        <f>(COUNTIFS(集計用!$N:$N, "*, "&amp;T$4&amp;",*", 集計用!$N:$N, "&lt;&gt;*英語を日常的に*"))</f>
        <v>0</v>
      </c>
      <c r="U3" s="39">
        <f>(COUNTIFS(集計用!$N:$N, "*, "&amp;U$4&amp;",*", 集計用!$N:$N, "&lt;&gt;*英語を日常的に*"))</f>
        <v>1</v>
      </c>
      <c r="V3" s="39">
        <f>(COUNTIFS(集計用!$N:$N, "*, "&amp;V$4&amp;",*", 集計用!$N:$N, "&lt;&gt;*英語を日常的に*"))</f>
        <v>1</v>
      </c>
      <c r="W3" s="39">
        <f>(COUNTIFS(集計用!$N:$N, "*, "&amp;W$4&amp;",*", 集計用!$N:$N, "&lt;&gt;*英語を日常的に*"))</f>
        <v>1</v>
      </c>
      <c r="Y3" s="39"/>
    </row>
    <row r="4" spans="1:25" ht="16.5">
      <c r="A4" s="46" t="s">
        <v>2178</v>
      </c>
      <c r="B4" s="46" t="s">
        <v>2179</v>
      </c>
      <c r="C4" s="46" t="s">
        <v>2182</v>
      </c>
      <c r="D4" s="65" t="s">
        <v>153</v>
      </c>
      <c r="E4" s="65" t="s">
        <v>154</v>
      </c>
      <c r="F4" s="65" t="s">
        <v>140</v>
      </c>
      <c r="G4" s="65" t="s">
        <v>121</v>
      </c>
      <c r="H4" s="65" t="s">
        <v>107</v>
      </c>
      <c r="I4" s="71" t="s">
        <v>155</v>
      </c>
      <c r="J4" s="65" t="s">
        <v>156</v>
      </c>
      <c r="K4" s="65" t="s">
        <v>124</v>
      </c>
      <c r="L4" s="65" t="s">
        <v>157</v>
      </c>
      <c r="M4" s="65" t="s">
        <v>158</v>
      </c>
      <c r="N4" s="72" t="s">
        <v>159</v>
      </c>
      <c r="O4" s="48" t="s">
        <v>165</v>
      </c>
      <c r="P4" s="48" t="s">
        <v>166</v>
      </c>
      <c r="Q4" s="48" t="s">
        <v>164</v>
      </c>
      <c r="R4" s="48" t="s">
        <v>163</v>
      </c>
      <c r="S4" s="48" t="s">
        <v>162</v>
      </c>
      <c r="T4" s="87" t="s">
        <v>2419</v>
      </c>
      <c r="U4" s="88" t="s">
        <v>161</v>
      </c>
      <c r="V4" s="89" t="s">
        <v>2427</v>
      </c>
      <c r="W4" s="88" t="s">
        <v>2428</v>
      </c>
      <c r="Y4" s="39"/>
    </row>
    <row r="5" spans="1:25" ht="12.75">
      <c r="A5" s="39">
        <v>0</v>
      </c>
      <c r="B5" s="39">
        <f>(COUNTIFS(集計用!$N2:$N444,"&lt;&gt;*英語を日常的に*",集計用!$N2:$N444,"&lt;&gt;無回答, "))</f>
        <v>139</v>
      </c>
      <c r="C5" s="40" t="s">
        <v>2249</v>
      </c>
      <c r="D5" s="41">
        <f>(COUNTIFS(集計用!$N:$N, "*, "&amp;D$4&amp;",*", 集計用!$N:$N, "&lt;&gt;*英語を日常的に*"))/$B5*100</f>
        <v>46.762589928057551</v>
      </c>
      <c r="E5" s="41">
        <f>(COUNTIFS(集計用!$N:$N, "*, "&amp;E$4&amp;",*", 集計用!$N:$N, "&lt;&gt;*英語を日常的に*"))/$B5*100</f>
        <v>33.812949640287769</v>
      </c>
      <c r="F5" s="41">
        <f>(COUNTIFS(集計用!$N:$N, "*, "&amp;F$4&amp;",*", 集計用!$N:$N, "&lt;&gt;*英語を日常的に*"))/$B5*100</f>
        <v>30.935251798561154</v>
      </c>
      <c r="G5" s="41">
        <f>(COUNTIFS(集計用!$N:$N, "*, "&amp;G$4&amp;",*", 集計用!$N:$N, "&lt;&gt;*英語を日常的に*"))/$B5*100</f>
        <v>15.827338129496402</v>
      </c>
      <c r="H5" s="41">
        <f>(COUNTIFS(集計用!$N:$N, "*, "&amp;H$4&amp;",*", 集計用!$N:$N, "&lt;&gt;*英語を日常的に*"))/$B5*100</f>
        <v>13.669064748201439</v>
      </c>
      <c r="I5" s="41">
        <f>(COUNTIFS(集計用!$N:$N, "*, "&amp;I$4&amp;",*", 集計用!$N:$N, "&lt;&gt;*英語を日常的に*"))/$B5*100</f>
        <v>10.791366906474821</v>
      </c>
      <c r="J5" s="41">
        <f>(COUNTIFS(集計用!$N:$N, "*, "&amp;J$4&amp;",*", 集計用!$N:$N, "&lt;&gt;*英語を日常的に*"))/$B5*100</f>
        <v>5.755395683453238</v>
      </c>
      <c r="K5" s="41">
        <f>(COUNTIFS(集計用!$N:$N, "*, "&amp;K$4&amp;",*", 集計用!$N:$N, "&lt;&gt;*英語を日常的に*"))/$B5*100</f>
        <v>5.0359712230215825</v>
      </c>
      <c r="L5" s="41">
        <f>(COUNTIFS(集計用!$N:$N, "*, "&amp;L$4&amp;",*", 集計用!$N:$N, "&lt;&gt;*英語を日常的に*"))/$B5*100</f>
        <v>2.1582733812949639</v>
      </c>
      <c r="M5" s="41">
        <f>(COUNTIFS(集計用!$N:$N, "*, "&amp;M$4&amp;",*", 集計用!$N:$N, "&lt;&gt;*英語を日常的に*"))/$B5*100</f>
        <v>0.71942446043165476</v>
      </c>
      <c r="N5" s="41">
        <f>(COUNTIFS(集計用!$N:$N, "*, "&amp;N$4&amp;",*", 集計用!$N:$N, "&lt;&gt;*英語を日常的に*"))/$B5*100</f>
        <v>0.71942446043165476</v>
      </c>
      <c r="O5" s="41">
        <f>(COUNTIFS(集計用!$N:$N, "*, "&amp;O$4&amp;",*", 集計用!$N:$N, "&lt;&gt;*英語を日常的に*"))/$B5*100</f>
        <v>0</v>
      </c>
      <c r="P5" s="41">
        <f>(COUNTIFS(集計用!$N:$N, "*, "&amp;P$4&amp;",*", 集計用!$N:$N, "&lt;&gt;*英語を日常的に*"))/$B5*100</f>
        <v>0</v>
      </c>
      <c r="Q5" s="41">
        <f>(COUNTIFS(集計用!$N:$N, "*, "&amp;Q$4&amp;",*", 集計用!$N:$N, "&lt;&gt;*英語を日常的に*"))/$B5*100</f>
        <v>0</v>
      </c>
      <c r="R5" s="41">
        <f>(COUNTIFS(集計用!$N:$N, "*, "&amp;R$4&amp;",*", 集計用!$N:$N, "&lt;&gt;*英語を日常的に*"))/$B5*100</f>
        <v>0</v>
      </c>
      <c r="S5" s="41">
        <f>(COUNTIFS(集計用!$N:$N, "*, "&amp;S$4&amp;",*", 集計用!$N:$N, "&lt;&gt;*英語を日常的に*"))/$B5*100</f>
        <v>0</v>
      </c>
      <c r="T5" s="41">
        <f>(COUNTIFS(集計用!$N:$N, "*, "&amp;T$4&amp;",*", 集計用!$N:$N, "&lt;&gt;*英語を日常的に*"))/$B5*100</f>
        <v>0</v>
      </c>
      <c r="U5" s="41">
        <f>(COUNTIFS(集計用!$N:$N, "*, "&amp;U$4&amp;",*", 集計用!$N:$N, "&lt;&gt;*英語を日常的に*"))/$B5*100</f>
        <v>0.71942446043165476</v>
      </c>
      <c r="V5" s="41">
        <f>(COUNTIFS(集計用!$N:$N, "*, "&amp;V$4&amp;",*", 集計用!$N:$N, "&lt;&gt;*英語を日常的に*"))/$B5*100</f>
        <v>0.71942446043165476</v>
      </c>
      <c r="W5" s="41">
        <f>(COUNTIFS(集計用!$N:$N, "*, "&amp;W$4&amp;",*", 集計用!$N:$N, "&lt;&gt;*英語を日常的に*"))/$B5*100</f>
        <v>0.71942446043165476</v>
      </c>
      <c r="Y5" s="39"/>
    </row>
    <row r="6" spans="1:25" ht="15.75" customHeight="1">
      <c r="A6" s="39">
        <v>1</v>
      </c>
      <c r="B6" s="39">
        <f>(COUNTIFS(集計用!$G$2:$G$444,"*, "&amp;$C6&amp;",*",集計用!$N$2:$N$444,"&lt;&gt;*英語を日常的に*",集計用!$N$2:$N$444,"&lt;&gt;無回答, "))</f>
        <v>93</v>
      </c>
      <c r="C6" s="42" t="s">
        <v>0</v>
      </c>
      <c r="D6" s="41">
        <f>(COUNTIFS(集計用!$N:$N, "*, "&amp;D$4&amp;", *",集計用!$G:$G,"*, "&amp;$C6&amp;", *", 集計用!$N:$N, "&lt;&gt;*英語を日常的に*"))/$B6*100</f>
        <v>44.086021505376344</v>
      </c>
      <c r="E6" s="41">
        <f>(COUNTIFS(集計用!$N:$N, "*, "&amp;E$4&amp;", *",集計用!$G:$G,"*, "&amp;$C6&amp;", *", 集計用!$N:$N, "&lt;&gt;*英語を日常的に*"))/$B6*100</f>
        <v>37.634408602150536</v>
      </c>
      <c r="F6" s="41">
        <f>(COUNTIFS(集計用!$N:$N, "*, "&amp;F$4&amp;", *",集計用!$G:$G,"*, "&amp;$C6&amp;", *", 集計用!$N:$N, "&lt;&gt;*英語を日常的に*"))/$B6*100</f>
        <v>31.182795698924732</v>
      </c>
      <c r="G6" s="41">
        <f>(COUNTIFS(集計用!$N:$N, "*, "&amp;G$4&amp;", *",集計用!$G:$G,"*, "&amp;$C6&amp;", *", 集計用!$N:$N, "&lt;&gt;*英語を日常的に*"))/$B6*100</f>
        <v>18.27956989247312</v>
      </c>
      <c r="H6" s="41">
        <f>(COUNTIFS(集計用!$N:$N, "*, "&amp;H$4&amp;", *",集計用!$G:$G,"*, "&amp;$C6&amp;", *", 集計用!$N:$N, "&lt;&gt;*英語を日常的に*"))/$B6*100</f>
        <v>12.903225806451612</v>
      </c>
      <c r="I6" s="41">
        <f>(COUNTIFS(集計用!$N:$N, "*, "&amp;I$4&amp;", *",集計用!$G:$G,"*, "&amp;$C6&amp;", *", 集計用!$N:$N, "&lt;&gt;*英語を日常的に*"))/$B6*100</f>
        <v>5.376344086021505</v>
      </c>
      <c r="J6" s="41">
        <f>(COUNTIFS(集計用!$N:$N, "*, "&amp;J$4&amp;", *",集計用!$G:$G,"*, "&amp;$C6&amp;", *", 集計用!$N:$N, "&lt;&gt;*英語を日常的に*"))/$B6*100</f>
        <v>5.376344086021505</v>
      </c>
      <c r="K6" s="41">
        <f>(COUNTIFS(集計用!$N:$N, "*, "&amp;K$4&amp;", *",集計用!$G:$G,"*, "&amp;$C6&amp;", *", 集計用!$N:$N, "&lt;&gt;*英語を日常的に*"))/$B6*100</f>
        <v>6.4516129032258061</v>
      </c>
      <c r="L6" s="41">
        <f>(COUNTIFS(集計用!$N:$N, "*, "&amp;L$4&amp;", *",集計用!$G:$G,"*, "&amp;$C6&amp;", *", 集計用!$N:$N, "&lt;&gt;*英語を日常的に*"))/$B6*100</f>
        <v>1.0752688172043012</v>
      </c>
      <c r="M6" s="41">
        <f>(COUNTIFS(集計用!$N:$N, "*, "&amp;M$4&amp;", *",集計用!$G:$G,"*, "&amp;$C6&amp;", *", 集計用!$N:$N, "&lt;&gt;*英語を日常的に*"))/$B6*100</f>
        <v>0</v>
      </c>
      <c r="N6" s="41">
        <f>(COUNTIFS(集計用!$N:$N, "*, "&amp;N$4&amp;", *",集計用!$G:$G,"*, "&amp;$C6&amp;", *", 集計用!$N:$N, "&lt;&gt;*英語を日常的に*"))/$B6*100</f>
        <v>0</v>
      </c>
      <c r="O6" s="41">
        <f>(COUNTIFS(集計用!$N:$N, "*, "&amp;O$4&amp;", *",集計用!$G:$G,"*, "&amp;$C6&amp;", *", 集計用!$N:$N, "&lt;&gt;*英語を日常的に*"))/$B6*100</f>
        <v>0</v>
      </c>
      <c r="P6" s="41">
        <f>(COUNTIFS(集計用!$N:$N, "*, "&amp;P$4&amp;", *",集計用!$G:$G,"*, "&amp;$C6&amp;", *", 集計用!$N:$N, "&lt;&gt;*英語を日常的に*"))/$B6*100</f>
        <v>0</v>
      </c>
      <c r="Q6" s="41">
        <f>(COUNTIFS(集計用!$N:$N, "*, "&amp;Q$4&amp;", *",集計用!$G:$G,"*, "&amp;$C6&amp;", *", 集計用!$N:$N, "&lt;&gt;*英語を日常的に*"))/$B6*100</f>
        <v>0</v>
      </c>
      <c r="R6" s="41">
        <f>(COUNTIFS(集計用!$N:$N, "*, "&amp;R$4&amp;", *",集計用!$G:$G,"*, "&amp;$C6&amp;", *", 集計用!$N:$N, "&lt;&gt;*英語を日常的に*"))/$B6*100</f>
        <v>0</v>
      </c>
      <c r="S6" s="41">
        <f>(COUNTIFS(集計用!$N:$N, "*, "&amp;S$4&amp;", *",集計用!$G:$G,"*, "&amp;$C6&amp;", *", 集計用!$N:$N, "&lt;&gt;*英語を日常的に*"))/$B6*100</f>
        <v>0</v>
      </c>
      <c r="T6" s="41">
        <f>(COUNTIFS(集計用!$N:$N, "*, "&amp;T$4&amp;", *",集計用!$G:$G,"*, "&amp;$C6&amp;", *", 集計用!$N:$N, "&lt;&gt;*英語を日常的に*"))/$B6*100</f>
        <v>0</v>
      </c>
      <c r="U6" s="41">
        <f>(COUNTIFS(集計用!$N:$N, "*, "&amp;U$4&amp;", *",集計用!$G:$G,"*, "&amp;$C6&amp;", *", 集計用!$N:$N, "&lt;&gt;*英語を日常的に*"))/$B6*100</f>
        <v>0</v>
      </c>
      <c r="V6" s="41">
        <f>(COUNTIFS(集計用!$N:$N, "*, "&amp;V$4&amp;", *",集計用!$G:$G,"*, "&amp;$C6&amp;", *", 集計用!$N:$N, "&lt;&gt;*英語を日常的に*"))/$B6*100</f>
        <v>0</v>
      </c>
      <c r="W6" s="41">
        <f>(COUNTIFS(集計用!$N:$N, "*, "&amp;W$4&amp;", *",集計用!$G:$G,"*, "&amp;$C6&amp;", *", 集計用!$N:$N, "&lt;&gt;*英語を日常的に*"))/$B6*100</f>
        <v>0</v>
      </c>
      <c r="Y6" s="39"/>
    </row>
    <row r="7" spans="1:25" ht="15.75" customHeight="1">
      <c r="A7" s="39">
        <v>1</v>
      </c>
      <c r="B7" s="39">
        <f>(COUNTIFS(集計用!$G$2:$G$444,"*, "&amp;$C7&amp;",*",集計用!$N$2:$N$444,"&lt;&gt;*英語を日常的に*",集計用!$N$2:$N$444,"&lt;&gt;無回答, "))</f>
        <v>55</v>
      </c>
      <c r="C7" s="42" t="s">
        <v>1</v>
      </c>
      <c r="D7" s="41">
        <f>(COUNTIFS(集計用!$N:$N, "*, "&amp;D$4&amp;", *",集計用!$G:$G,"*, "&amp;$C7&amp;", *", 集計用!$N:$N, "&lt;&gt;*英語を日常的に*"))/$B7*100</f>
        <v>60</v>
      </c>
      <c r="E7" s="41">
        <f>(COUNTIFS(集計用!$N:$N, "*, "&amp;E$4&amp;", *",集計用!$G:$G,"*, "&amp;$C7&amp;", *", 集計用!$N:$N, "&lt;&gt;*英語を日常的に*"))/$B7*100</f>
        <v>40</v>
      </c>
      <c r="F7" s="41">
        <f>(COUNTIFS(集計用!$N:$N, "*, "&amp;F$4&amp;", *",集計用!$G:$G,"*, "&amp;$C7&amp;", *", 集計用!$N:$N, "&lt;&gt;*英語を日常的に*"))/$B7*100</f>
        <v>32.727272727272727</v>
      </c>
      <c r="G7" s="41">
        <f>(COUNTIFS(集計用!$N:$N, "*, "&amp;G$4&amp;", *",集計用!$G:$G,"*, "&amp;$C7&amp;", *", 集計用!$N:$N, "&lt;&gt;*英語を日常的に*"))/$B7*100</f>
        <v>16.363636363636363</v>
      </c>
      <c r="H7" s="41">
        <f>(COUNTIFS(集計用!$N:$N, "*, "&amp;H$4&amp;", *",集計用!$G:$G,"*, "&amp;$C7&amp;", *", 集計用!$N:$N, "&lt;&gt;*英語を日常的に*"))/$B7*100</f>
        <v>14.545454545454545</v>
      </c>
      <c r="I7" s="41">
        <f>(COUNTIFS(集計用!$N:$N, "*, "&amp;I$4&amp;", *",集計用!$G:$G,"*, "&amp;$C7&amp;", *", 集計用!$N:$N, "&lt;&gt;*英語を日常的に*"))/$B7*100</f>
        <v>10.909090909090908</v>
      </c>
      <c r="J7" s="41">
        <f>(COUNTIFS(集計用!$N:$N, "*, "&amp;J$4&amp;", *",集計用!$G:$G,"*, "&amp;$C7&amp;", *", 集計用!$N:$N, "&lt;&gt;*英語を日常的に*"))/$B7*100</f>
        <v>5.4545454545454541</v>
      </c>
      <c r="K7" s="41">
        <f>(COUNTIFS(集計用!$N:$N, "*, "&amp;K$4&amp;", *",集計用!$G:$G,"*, "&amp;$C7&amp;", *", 集計用!$N:$N, "&lt;&gt;*英語を日常的に*"))/$B7*100</f>
        <v>3.6363636363636362</v>
      </c>
      <c r="L7" s="41">
        <f>(COUNTIFS(集計用!$N:$N, "*, "&amp;L$4&amp;", *",集計用!$G:$G,"*, "&amp;$C7&amp;", *", 集計用!$N:$N, "&lt;&gt;*英語を日常的に*"))/$B7*100</f>
        <v>1.8181818181818181</v>
      </c>
      <c r="M7" s="41">
        <f>(COUNTIFS(集計用!$N:$N, "*, "&amp;M$4&amp;", *",集計用!$G:$G,"*, "&amp;$C7&amp;", *", 集計用!$N:$N, "&lt;&gt;*英語を日常的に*"))/$B7*100</f>
        <v>0</v>
      </c>
      <c r="N7" s="41">
        <f>(COUNTIFS(集計用!$N:$N, "*, "&amp;N$4&amp;", *",集計用!$G:$G,"*, "&amp;$C7&amp;", *", 集計用!$N:$N, "&lt;&gt;*英語を日常的に*"))/$B7*100</f>
        <v>0</v>
      </c>
      <c r="O7" s="41">
        <f>(COUNTIFS(集計用!$N:$N, "*, "&amp;O$4&amp;", *",集計用!$G:$G,"*, "&amp;$C7&amp;", *", 集計用!$N:$N, "&lt;&gt;*英語を日常的に*"))/$B7*100</f>
        <v>0</v>
      </c>
      <c r="P7" s="41">
        <f>(COUNTIFS(集計用!$N:$N, "*, "&amp;P$4&amp;", *",集計用!$G:$G,"*, "&amp;$C7&amp;", *", 集計用!$N:$N, "&lt;&gt;*英語を日常的に*"))/$B7*100</f>
        <v>0</v>
      </c>
      <c r="Q7" s="41">
        <f>(COUNTIFS(集計用!$N:$N, "*, "&amp;Q$4&amp;", *",集計用!$G:$G,"*, "&amp;$C7&amp;", *", 集計用!$N:$N, "&lt;&gt;*英語を日常的に*"))/$B7*100</f>
        <v>0</v>
      </c>
      <c r="R7" s="41">
        <f>(COUNTIFS(集計用!$N:$N, "*, "&amp;R$4&amp;", *",集計用!$G:$G,"*, "&amp;$C7&amp;", *", 集計用!$N:$N, "&lt;&gt;*英語を日常的に*"))/$B7*100</f>
        <v>0</v>
      </c>
      <c r="S7" s="41">
        <f>(COUNTIFS(集計用!$N:$N, "*, "&amp;S$4&amp;", *",集計用!$G:$G,"*, "&amp;$C7&amp;", *", 集計用!$N:$N, "&lt;&gt;*英語を日常的に*"))/$B7*100</f>
        <v>0</v>
      </c>
      <c r="T7" s="41">
        <f>(COUNTIFS(集計用!$N:$N, "*, "&amp;T$4&amp;", *",集計用!$G:$G,"*, "&amp;$C7&amp;", *", 集計用!$N:$N, "&lt;&gt;*英語を日常的に*"))/$B7*100</f>
        <v>0</v>
      </c>
      <c r="U7" s="41">
        <f>(COUNTIFS(集計用!$N:$N, "*, "&amp;U$4&amp;", *",集計用!$G:$G,"*, "&amp;$C7&amp;", *", 集計用!$N:$N, "&lt;&gt;*英語を日常的に*"))/$B7*100</f>
        <v>0</v>
      </c>
      <c r="V7" s="41">
        <f>(COUNTIFS(集計用!$N:$N, "*, "&amp;V$4&amp;", *",集計用!$G:$G,"*, "&amp;$C7&amp;", *", 集計用!$N:$N, "&lt;&gt;*英語を日常的に*"))/$B7*100</f>
        <v>0</v>
      </c>
      <c r="W7" s="41">
        <f>(COUNTIFS(集計用!$N:$N, "*, "&amp;W$4&amp;", *",集計用!$G:$G,"*, "&amp;$C7&amp;", *", 集計用!$N:$N, "&lt;&gt;*英語を日常的に*"))/$B7*100</f>
        <v>0</v>
      </c>
      <c r="Y7" s="39"/>
    </row>
    <row r="8" spans="1:25" ht="15.75" customHeight="1">
      <c r="A8" s="39">
        <v>2</v>
      </c>
      <c r="B8" s="39">
        <f>(COUNTIFS(集計用!$G$2:$G$444,"*, "&amp;$C8&amp;",*",集計用!$N$2:$N$444,"&lt;&gt;*英語を日常的に*",集計用!$N$2:$N$444,"&lt;&gt;無回答, "))</f>
        <v>35</v>
      </c>
      <c r="C8" s="42" t="s">
        <v>2</v>
      </c>
      <c r="D8" s="41">
        <f>(COUNTIFS(集計用!$N:$N, "*, "&amp;D$4&amp;", *",集計用!$G:$G,"*, "&amp;$C8&amp;", *", 集計用!$N:$N, "&lt;&gt;*英語を日常的に*"))/$B8*100</f>
        <v>45.714285714285715</v>
      </c>
      <c r="E8" s="41">
        <f>(COUNTIFS(集計用!$N:$N, "*, "&amp;E$4&amp;", *",集計用!$G:$G,"*, "&amp;$C8&amp;", *", 集計用!$N:$N, "&lt;&gt;*英語を日常的に*"))/$B8*100</f>
        <v>37.142857142857146</v>
      </c>
      <c r="F8" s="41">
        <f>(COUNTIFS(集計用!$N:$N, "*, "&amp;F$4&amp;", *",集計用!$G:$G,"*, "&amp;$C8&amp;", *", 集計用!$N:$N, "&lt;&gt;*英語を日常的に*"))/$B8*100</f>
        <v>25.714285714285712</v>
      </c>
      <c r="G8" s="41">
        <f>(COUNTIFS(集計用!$N:$N, "*, "&amp;G$4&amp;", *",集計用!$G:$G,"*, "&amp;$C8&amp;", *", 集計用!$N:$N, "&lt;&gt;*英語を日常的に*"))/$B8*100</f>
        <v>17.142857142857142</v>
      </c>
      <c r="H8" s="41">
        <f>(COUNTIFS(集計用!$N:$N, "*, "&amp;H$4&amp;", *",集計用!$G:$G,"*, "&amp;$C8&amp;", *", 集計用!$N:$N, "&lt;&gt;*英語を日常的に*"))/$B8*100</f>
        <v>14.285714285714285</v>
      </c>
      <c r="I8" s="41">
        <f>(COUNTIFS(集計用!$N:$N, "*, "&amp;I$4&amp;", *",集計用!$G:$G,"*, "&amp;$C8&amp;", *", 集計用!$N:$N, "&lt;&gt;*英語を日常的に*"))/$B8*100</f>
        <v>8.5714285714285712</v>
      </c>
      <c r="J8" s="41">
        <f>(COUNTIFS(集計用!$N:$N, "*, "&amp;J$4&amp;", *",集計用!$G:$G,"*, "&amp;$C8&amp;", *", 集計用!$N:$N, "&lt;&gt;*英語を日常的に*"))/$B8*100</f>
        <v>5.7142857142857144</v>
      </c>
      <c r="K8" s="41">
        <f>(COUNTIFS(集計用!$N:$N, "*, "&amp;K$4&amp;", *",集計用!$G:$G,"*, "&amp;$C8&amp;", *", 集計用!$N:$N, "&lt;&gt;*英語を日常的に*"))/$B8*100</f>
        <v>5.7142857142857144</v>
      </c>
      <c r="L8" s="41">
        <f>(COUNTIFS(集計用!$N:$N, "*, "&amp;L$4&amp;", *",集計用!$G:$G,"*, "&amp;$C8&amp;", *", 集計用!$N:$N, "&lt;&gt;*英語を日常的に*"))/$B8*100</f>
        <v>5.7142857142857144</v>
      </c>
      <c r="M8" s="41">
        <f>(COUNTIFS(集計用!$N:$N, "*, "&amp;M$4&amp;", *",集計用!$G:$G,"*, "&amp;$C8&amp;", *", 集計用!$N:$N, "&lt;&gt;*英語を日常的に*"))/$B8*100</f>
        <v>0</v>
      </c>
      <c r="N8" s="41">
        <f>(COUNTIFS(集計用!$N:$N, "*, "&amp;N$4&amp;", *",集計用!$G:$G,"*, "&amp;$C8&amp;", *", 集計用!$N:$N, "&lt;&gt;*英語を日常的に*"))/$B8*100</f>
        <v>0</v>
      </c>
      <c r="O8" s="41">
        <f>(COUNTIFS(集計用!$N:$N, "*, "&amp;O$4&amp;", *",集計用!$G:$G,"*, "&amp;$C8&amp;", *", 集計用!$N:$N, "&lt;&gt;*英語を日常的に*"))/$B8*100</f>
        <v>0</v>
      </c>
      <c r="P8" s="41">
        <f>(COUNTIFS(集計用!$N:$N, "*, "&amp;P$4&amp;", *",集計用!$G:$G,"*, "&amp;$C8&amp;", *", 集計用!$N:$N, "&lt;&gt;*英語を日常的に*"))/$B8*100</f>
        <v>0</v>
      </c>
      <c r="Q8" s="41">
        <f>(COUNTIFS(集計用!$N:$N, "*, "&amp;Q$4&amp;", *",集計用!$G:$G,"*, "&amp;$C8&amp;", *", 集計用!$N:$N, "&lt;&gt;*英語を日常的に*"))/$B8*100</f>
        <v>0</v>
      </c>
      <c r="R8" s="41">
        <f>(COUNTIFS(集計用!$N:$N, "*, "&amp;R$4&amp;", *",集計用!$G:$G,"*, "&amp;$C8&amp;", *", 集計用!$N:$N, "&lt;&gt;*英語を日常的に*"))/$B8*100</f>
        <v>0</v>
      </c>
      <c r="S8" s="41">
        <f>(COUNTIFS(集計用!$N:$N, "*, "&amp;S$4&amp;", *",集計用!$G:$G,"*, "&amp;$C8&amp;", *", 集計用!$N:$N, "&lt;&gt;*英語を日常的に*"))/$B8*100</f>
        <v>0</v>
      </c>
      <c r="T8" s="41">
        <f>(COUNTIFS(集計用!$N:$N, "*, "&amp;T$4&amp;", *",集計用!$G:$G,"*, "&amp;$C8&amp;", *", 集計用!$N:$N, "&lt;&gt;*英語を日常的に*"))/$B8*100</f>
        <v>0</v>
      </c>
      <c r="U8" s="41">
        <f>(COUNTIFS(集計用!$N:$N, "*, "&amp;U$4&amp;", *",集計用!$G:$G,"*, "&amp;$C8&amp;", *", 集計用!$N:$N, "&lt;&gt;*英語を日常的に*"))/$B8*100</f>
        <v>0</v>
      </c>
      <c r="V8" s="41">
        <f>(COUNTIFS(集計用!$N:$N, "*, "&amp;V$4&amp;", *",集計用!$G:$G,"*, "&amp;$C8&amp;", *", 集計用!$N:$N, "&lt;&gt;*英語を日常的に*"))/$B8*100</f>
        <v>0</v>
      </c>
      <c r="W8" s="41">
        <f>(COUNTIFS(集計用!$N:$N, "*, "&amp;W$4&amp;", *",集計用!$G:$G,"*, "&amp;$C8&amp;", *", 集計用!$N:$N, "&lt;&gt;*英語を日常的に*"))/$B8*100</f>
        <v>0</v>
      </c>
      <c r="Y8" s="39"/>
    </row>
    <row r="9" spans="1:25" ht="15.75" customHeight="1">
      <c r="A9" s="39">
        <v>1</v>
      </c>
      <c r="B9" s="39">
        <f>(COUNTIFS(集計用!$G$2:$G$444,"*, "&amp;$C9&amp;",*",集計用!$N$2:$N$444,"&lt;&gt;*英語を日常的に*",集計用!$N$2:$N$444,"&lt;&gt;無回答, "))</f>
        <v>29</v>
      </c>
      <c r="C9" s="42" t="s">
        <v>6</v>
      </c>
      <c r="D9" s="41">
        <f>(COUNTIFS(集計用!$N:$N, "*, "&amp;D$4&amp;", *",集計用!$G:$G,"*, "&amp;$C9&amp;", *", 集計用!$N:$N, "&lt;&gt;*英語を日常的に*"))/$B9*100</f>
        <v>51.724137931034484</v>
      </c>
      <c r="E9" s="41">
        <f>(COUNTIFS(集計用!$N:$N, "*, "&amp;E$4&amp;", *",集計用!$G:$G,"*, "&amp;$C9&amp;", *", 集計用!$N:$N, "&lt;&gt;*英語を日常的に*"))/$B9*100</f>
        <v>31.03448275862069</v>
      </c>
      <c r="F9" s="41">
        <f>(COUNTIFS(集計用!$N:$N, "*, "&amp;F$4&amp;", *",集計用!$G:$G,"*, "&amp;$C9&amp;", *", 集計用!$N:$N, "&lt;&gt;*英語を日常的に*"))/$B9*100</f>
        <v>41.379310344827587</v>
      </c>
      <c r="G9" s="41">
        <f>(COUNTIFS(集計用!$N:$N, "*, "&amp;G$4&amp;", *",集計用!$G:$G,"*, "&amp;$C9&amp;", *", 集計用!$N:$N, "&lt;&gt;*英語を日常的に*"))/$B9*100</f>
        <v>17.241379310344829</v>
      </c>
      <c r="H9" s="41">
        <f>(COUNTIFS(集計用!$N:$N, "*, "&amp;H$4&amp;", *",集計用!$G:$G,"*, "&amp;$C9&amp;", *", 集計用!$N:$N, "&lt;&gt;*英語を日常的に*"))/$B9*100</f>
        <v>27.586206896551722</v>
      </c>
      <c r="I9" s="41">
        <f>(COUNTIFS(集計用!$N:$N, "*, "&amp;I$4&amp;", *",集計用!$G:$G,"*, "&amp;$C9&amp;", *", 集計用!$N:$N, "&lt;&gt;*英語を日常的に*"))/$B9*100</f>
        <v>6.8965517241379306</v>
      </c>
      <c r="J9" s="41">
        <f>(COUNTIFS(集計用!$N:$N, "*, "&amp;J$4&amp;", *",集計用!$G:$G,"*, "&amp;$C9&amp;", *", 集計用!$N:$N, "&lt;&gt;*英語を日常的に*"))/$B9*100</f>
        <v>17.241379310344829</v>
      </c>
      <c r="K9" s="41">
        <f>(COUNTIFS(集計用!$N:$N, "*, "&amp;K$4&amp;", *",集計用!$G:$G,"*, "&amp;$C9&amp;", *", 集計用!$N:$N, "&lt;&gt;*英語を日常的に*"))/$B9*100</f>
        <v>0</v>
      </c>
      <c r="L9" s="41">
        <f>(COUNTIFS(集計用!$N:$N, "*, "&amp;L$4&amp;", *",集計用!$G:$G,"*, "&amp;$C9&amp;", *", 集計用!$N:$N, "&lt;&gt;*英語を日常的に*"))/$B9*100</f>
        <v>3.4482758620689653</v>
      </c>
      <c r="M9" s="41">
        <f>(COUNTIFS(集計用!$N:$N, "*, "&amp;M$4&amp;", *",集計用!$G:$G,"*, "&amp;$C9&amp;", *", 集計用!$N:$N, "&lt;&gt;*英語を日常的に*"))/$B9*100</f>
        <v>3.4482758620689653</v>
      </c>
      <c r="N9" s="41">
        <f>(COUNTIFS(集計用!$N:$N, "*, "&amp;N$4&amp;", *",集計用!$G:$G,"*, "&amp;$C9&amp;", *", 集計用!$N:$N, "&lt;&gt;*英語を日常的に*"))/$B9*100</f>
        <v>0</v>
      </c>
      <c r="O9" s="41">
        <f>(COUNTIFS(集計用!$N:$N, "*, "&amp;O$4&amp;", *",集計用!$G:$G,"*, "&amp;$C9&amp;", *", 集計用!$N:$N, "&lt;&gt;*英語を日常的に*"))/$B9*100</f>
        <v>0</v>
      </c>
      <c r="P9" s="41">
        <f>(COUNTIFS(集計用!$N:$N, "*, "&amp;P$4&amp;", *",集計用!$G:$G,"*, "&amp;$C9&amp;", *", 集計用!$N:$N, "&lt;&gt;*英語を日常的に*"))/$B9*100</f>
        <v>0</v>
      </c>
      <c r="Q9" s="41">
        <f>(COUNTIFS(集計用!$N:$N, "*, "&amp;Q$4&amp;", *",集計用!$G:$G,"*, "&amp;$C9&amp;", *", 集計用!$N:$N, "&lt;&gt;*英語を日常的に*"))/$B9*100</f>
        <v>0</v>
      </c>
      <c r="R9" s="41">
        <f>(COUNTIFS(集計用!$N:$N, "*, "&amp;R$4&amp;", *",集計用!$G:$G,"*, "&amp;$C9&amp;", *", 集計用!$N:$N, "&lt;&gt;*英語を日常的に*"))/$B9*100</f>
        <v>0</v>
      </c>
      <c r="S9" s="41">
        <f>(COUNTIFS(集計用!$N:$N, "*, "&amp;S$4&amp;", *",集計用!$G:$G,"*, "&amp;$C9&amp;", *", 集計用!$N:$N, "&lt;&gt;*英語を日常的に*"))/$B9*100</f>
        <v>0</v>
      </c>
      <c r="T9" s="41">
        <f>(COUNTIFS(集計用!$N:$N, "*, "&amp;T$4&amp;", *",集計用!$G:$G,"*, "&amp;$C9&amp;", *", 集計用!$N:$N, "&lt;&gt;*英語を日常的に*"))/$B9*100</f>
        <v>0</v>
      </c>
      <c r="U9" s="41">
        <f>(COUNTIFS(集計用!$N:$N, "*, "&amp;U$4&amp;", *",集計用!$G:$G,"*, "&amp;$C9&amp;", *", 集計用!$N:$N, "&lt;&gt;*英語を日常的に*"))/$B9*100</f>
        <v>0</v>
      </c>
      <c r="V9" s="41">
        <f>(COUNTIFS(集計用!$N:$N, "*, "&amp;V$4&amp;", *",集計用!$G:$G,"*, "&amp;$C9&amp;", *", 集計用!$N:$N, "&lt;&gt;*英語を日常的に*"))/$B9*100</f>
        <v>0</v>
      </c>
      <c r="W9" s="41">
        <f>(COUNTIFS(集計用!$N:$N, "*, "&amp;W$4&amp;", *",集計用!$G:$G,"*, "&amp;$C9&amp;", *", 集計用!$N:$N, "&lt;&gt;*英語を日常的に*"))/$B9*100</f>
        <v>0</v>
      </c>
      <c r="Y9" s="39"/>
    </row>
    <row r="10" spans="1:25" ht="15.75" customHeight="1">
      <c r="A10" s="39">
        <v>1</v>
      </c>
      <c r="B10" s="39">
        <f>(COUNTIFS(集計用!$G$2:$G$444,"*, "&amp;$C10&amp;",*",集計用!$N$2:$N$444,"&lt;&gt;*英語を日常的に*",集計用!$N$2:$N$444,"&lt;&gt;無回答, "))</f>
        <v>27</v>
      </c>
      <c r="C10" s="42" t="s">
        <v>3</v>
      </c>
      <c r="D10" s="41">
        <f>(COUNTIFS(集計用!$N:$N, "*, "&amp;D$4&amp;", *",集計用!$G:$G,"*, "&amp;$C10&amp;", *", 集計用!$N:$N, "&lt;&gt;*英語を日常的に*"))/$B10*100</f>
        <v>51.851851851851848</v>
      </c>
      <c r="E10" s="41">
        <f>(COUNTIFS(集計用!$N:$N, "*, "&amp;E$4&amp;", *",集計用!$G:$G,"*, "&amp;$C10&amp;", *", 集計用!$N:$N, "&lt;&gt;*英語を日常的に*"))/$B10*100</f>
        <v>29.629629629629626</v>
      </c>
      <c r="F10" s="41">
        <f>(COUNTIFS(集計用!$N:$N, "*, "&amp;F$4&amp;", *",集計用!$G:$G,"*, "&amp;$C10&amp;", *", 集計用!$N:$N, "&lt;&gt;*英語を日常的に*"))/$B10*100</f>
        <v>29.629629629629626</v>
      </c>
      <c r="G10" s="41">
        <f>(COUNTIFS(集計用!$N:$N, "*, "&amp;G$4&amp;", *",集計用!$G:$G,"*, "&amp;$C10&amp;", *", 集計用!$N:$N, "&lt;&gt;*英語を日常的に*"))/$B10*100</f>
        <v>40.74074074074074</v>
      </c>
      <c r="H10" s="41">
        <f>(COUNTIFS(集計用!$N:$N, "*, "&amp;H$4&amp;", *",集計用!$G:$G,"*, "&amp;$C10&amp;", *", 集計用!$N:$N, "&lt;&gt;*英語を日常的に*"))/$B10*100</f>
        <v>14.814814814814813</v>
      </c>
      <c r="I10" s="41">
        <f>(COUNTIFS(集計用!$N:$N, "*, "&amp;I$4&amp;", *",集計用!$G:$G,"*, "&amp;$C10&amp;", *", 集計用!$N:$N, "&lt;&gt;*英語を日常的に*"))/$B10*100</f>
        <v>3.7037037037037033</v>
      </c>
      <c r="J10" s="41">
        <f>(COUNTIFS(集計用!$N:$N, "*, "&amp;J$4&amp;", *",集計用!$G:$G,"*, "&amp;$C10&amp;", *", 集計用!$N:$N, "&lt;&gt;*英語を日常的に*"))/$B10*100</f>
        <v>0</v>
      </c>
      <c r="K10" s="41">
        <f>(COUNTIFS(集計用!$N:$N, "*, "&amp;K$4&amp;", *",集計用!$G:$G,"*, "&amp;$C10&amp;", *", 集計用!$N:$N, "&lt;&gt;*英語を日常的に*"))/$B10*100</f>
        <v>3.7037037037037033</v>
      </c>
      <c r="L10" s="41">
        <f>(COUNTIFS(集計用!$N:$N, "*, "&amp;L$4&amp;", *",集計用!$G:$G,"*, "&amp;$C10&amp;", *", 集計用!$N:$N, "&lt;&gt;*英語を日常的に*"))/$B10*100</f>
        <v>0</v>
      </c>
      <c r="M10" s="41">
        <f>(COUNTIFS(集計用!$N:$N, "*, "&amp;M$4&amp;", *",集計用!$G:$G,"*, "&amp;$C10&amp;", *", 集計用!$N:$N, "&lt;&gt;*英語を日常的に*"))/$B10*100</f>
        <v>0</v>
      </c>
      <c r="N10" s="41">
        <f>(COUNTIFS(集計用!$N:$N, "*, "&amp;N$4&amp;", *",集計用!$G:$G,"*, "&amp;$C10&amp;", *", 集計用!$N:$N, "&lt;&gt;*英語を日常的に*"))/$B10*100</f>
        <v>0</v>
      </c>
      <c r="O10" s="41">
        <f>(COUNTIFS(集計用!$N:$N, "*, "&amp;O$4&amp;", *",集計用!$G:$G,"*, "&amp;$C10&amp;", *", 集計用!$N:$N, "&lt;&gt;*英語を日常的に*"))/$B10*100</f>
        <v>0</v>
      </c>
      <c r="P10" s="41">
        <f>(COUNTIFS(集計用!$N:$N, "*, "&amp;P$4&amp;", *",集計用!$G:$G,"*, "&amp;$C10&amp;", *", 集計用!$N:$N, "&lt;&gt;*英語を日常的に*"))/$B10*100</f>
        <v>0</v>
      </c>
      <c r="Q10" s="41">
        <f>(COUNTIFS(集計用!$N:$N, "*, "&amp;Q$4&amp;", *",集計用!$G:$G,"*, "&amp;$C10&amp;", *", 集計用!$N:$N, "&lt;&gt;*英語を日常的に*"))/$B10*100</f>
        <v>0</v>
      </c>
      <c r="R10" s="41">
        <f>(COUNTIFS(集計用!$N:$N, "*, "&amp;R$4&amp;", *",集計用!$G:$G,"*, "&amp;$C10&amp;", *", 集計用!$N:$N, "&lt;&gt;*英語を日常的に*"))/$B10*100</f>
        <v>0</v>
      </c>
      <c r="S10" s="41">
        <f>(COUNTIFS(集計用!$N:$N, "*, "&amp;S$4&amp;", *",集計用!$G:$G,"*, "&amp;$C10&amp;", *", 集計用!$N:$N, "&lt;&gt;*英語を日常的に*"))/$B10*100</f>
        <v>0</v>
      </c>
      <c r="T10" s="41">
        <f>(COUNTIFS(集計用!$N:$N, "*, "&amp;T$4&amp;", *",集計用!$G:$G,"*, "&amp;$C10&amp;", *", 集計用!$N:$N, "&lt;&gt;*英語を日常的に*"))/$B10*100</f>
        <v>0</v>
      </c>
      <c r="U10" s="41">
        <f>(COUNTIFS(集計用!$N:$N, "*, "&amp;U$4&amp;", *",集計用!$G:$G,"*, "&amp;$C10&amp;", *", 集計用!$N:$N, "&lt;&gt;*英語を日常的に*"))/$B10*100</f>
        <v>0</v>
      </c>
      <c r="V10" s="41">
        <f>(COUNTIFS(集計用!$N:$N, "*, "&amp;V$4&amp;", *",集計用!$G:$G,"*, "&amp;$C10&amp;", *", 集計用!$N:$N, "&lt;&gt;*英語を日常的に*"))/$B10*100</f>
        <v>0</v>
      </c>
      <c r="W10" s="41">
        <f>(COUNTIFS(集計用!$N:$N, "*, "&amp;W$4&amp;", *",集計用!$G:$G,"*, "&amp;$C10&amp;", *", 集計用!$N:$N, "&lt;&gt;*英語を日常的に*"))/$B10*100</f>
        <v>0</v>
      </c>
      <c r="Y10" s="39"/>
    </row>
    <row r="11" spans="1:25" ht="15.75" customHeight="1">
      <c r="A11" s="39">
        <v>3</v>
      </c>
      <c r="B11" s="39">
        <f>(COUNTIFS(集計用!$G$2:$G$444,"*, "&amp;$C11&amp;",*",集計用!$N$2:$N$444,"&lt;&gt;*英語を日常的に*",集計用!$N$2:$N$444,"&lt;&gt;無回答, "))</f>
        <v>27</v>
      </c>
      <c r="C11" s="42" t="s">
        <v>8</v>
      </c>
      <c r="D11" s="41">
        <f>(COUNTIFS(集計用!$N:$N, "*, "&amp;D$4&amp;", *",集計用!$G:$G,"*, "&amp;$C11&amp;", *", 集計用!$N:$N, "&lt;&gt;*英語を日常的に*"))/$B11*100</f>
        <v>51.851851851851848</v>
      </c>
      <c r="E11" s="41">
        <f>(COUNTIFS(集計用!$N:$N, "*, "&amp;E$4&amp;", *",集計用!$G:$G,"*, "&amp;$C11&amp;", *", 集計用!$N:$N, "&lt;&gt;*英語を日常的に*"))/$B11*100</f>
        <v>44.444444444444443</v>
      </c>
      <c r="F11" s="41">
        <f>(COUNTIFS(集計用!$N:$N, "*, "&amp;F$4&amp;", *",集計用!$G:$G,"*, "&amp;$C11&amp;", *", 集計用!$N:$N, "&lt;&gt;*英語を日常的に*"))/$B11*100</f>
        <v>29.629629629629626</v>
      </c>
      <c r="G11" s="41">
        <f>(COUNTIFS(集計用!$N:$N, "*, "&amp;G$4&amp;", *",集計用!$G:$G,"*, "&amp;$C11&amp;", *", 集計用!$N:$N, "&lt;&gt;*英語を日常的に*"))/$B11*100</f>
        <v>11.111111111111111</v>
      </c>
      <c r="H11" s="41">
        <f>(COUNTIFS(集計用!$N:$N, "*, "&amp;H$4&amp;", *",集計用!$G:$G,"*, "&amp;$C11&amp;", *", 集計用!$N:$N, "&lt;&gt;*英語を日常的に*"))/$B11*100</f>
        <v>25.925925925925924</v>
      </c>
      <c r="I11" s="41">
        <f>(COUNTIFS(集計用!$N:$N, "*, "&amp;I$4&amp;", *",集計用!$G:$G,"*, "&amp;$C11&amp;", *", 集計用!$N:$N, "&lt;&gt;*英語を日常的に*"))/$B11*100</f>
        <v>11.111111111111111</v>
      </c>
      <c r="J11" s="41">
        <f>(COUNTIFS(集計用!$N:$N, "*, "&amp;J$4&amp;", *",集計用!$G:$G,"*, "&amp;$C11&amp;", *", 集計用!$N:$N, "&lt;&gt;*英語を日常的に*"))/$B11*100</f>
        <v>14.814814814814813</v>
      </c>
      <c r="K11" s="41">
        <f>(COUNTIFS(集計用!$N:$N, "*, "&amp;K$4&amp;", *",集計用!$G:$G,"*, "&amp;$C11&amp;", *", 集計用!$N:$N, "&lt;&gt;*英語を日常的に*"))/$B11*100</f>
        <v>0</v>
      </c>
      <c r="L11" s="41">
        <f>(COUNTIFS(集計用!$N:$N, "*, "&amp;L$4&amp;", *",集計用!$G:$G,"*, "&amp;$C11&amp;", *", 集計用!$N:$N, "&lt;&gt;*英語を日常的に*"))/$B11*100</f>
        <v>0</v>
      </c>
      <c r="M11" s="41">
        <f>(COUNTIFS(集計用!$N:$N, "*, "&amp;M$4&amp;", *",集計用!$G:$G,"*, "&amp;$C11&amp;", *", 集計用!$N:$N, "&lt;&gt;*英語を日常的に*"))/$B11*100</f>
        <v>0</v>
      </c>
      <c r="N11" s="41">
        <f>(COUNTIFS(集計用!$N:$N, "*, "&amp;N$4&amp;", *",集計用!$G:$G,"*, "&amp;$C11&amp;", *", 集計用!$N:$N, "&lt;&gt;*英語を日常的に*"))/$B11*100</f>
        <v>0</v>
      </c>
      <c r="O11" s="41">
        <f>(COUNTIFS(集計用!$N:$N, "*, "&amp;O$4&amp;", *",集計用!$G:$G,"*, "&amp;$C11&amp;", *", 集計用!$N:$N, "&lt;&gt;*英語を日常的に*"))/$B11*100</f>
        <v>0</v>
      </c>
      <c r="P11" s="41">
        <f>(COUNTIFS(集計用!$N:$N, "*, "&amp;P$4&amp;", *",集計用!$G:$G,"*, "&amp;$C11&amp;", *", 集計用!$N:$N, "&lt;&gt;*英語を日常的に*"))/$B11*100</f>
        <v>0</v>
      </c>
      <c r="Q11" s="41">
        <f>(COUNTIFS(集計用!$N:$N, "*, "&amp;Q$4&amp;", *",集計用!$G:$G,"*, "&amp;$C11&amp;", *", 集計用!$N:$N, "&lt;&gt;*英語を日常的に*"))/$B11*100</f>
        <v>0</v>
      </c>
      <c r="R11" s="41">
        <f>(COUNTIFS(集計用!$N:$N, "*, "&amp;R$4&amp;", *",集計用!$G:$G,"*, "&amp;$C11&amp;", *", 集計用!$N:$N, "&lt;&gt;*英語を日常的に*"))/$B11*100</f>
        <v>0</v>
      </c>
      <c r="S11" s="41">
        <f>(COUNTIFS(集計用!$N:$N, "*, "&amp;S$4&amp;", *",集計用!$G:$G,"*, "&amp;$C11&amp;", *", 集計用!$N:$N, "&lt;&gt;*英語を日常的に*"))/$B11*100</f>
        <v>0</v>
      </c>
      <c r="T11" s="41">
        <f>(COUNTIFS(集計用!$N:$N, "*, "&amp;T$4&amp;", *",集計用!$G:$G,"*, "&amp;$C11&amp;", *", 集計用!$N:$N, "&lt;&gt;*英語を日常的に*"))/$B11*100</f>
        <v>0</v>
      </c>
      <c r="U11" s="41">
        <f>(COUNTIFS(集計用!$N:$N, "*, "&amp;U$4&amp;", *",集計用!$G:$G,"*, "&amp;$C11&amp;", *", 集計用!$N:$N, "&lt;&gt;*英語を日常的に*"))/$B11*100</f>
        <v>0</v>
      </c>
      <c r="V11" s="41">
        <f>(COUNTIFS(集計用!$N:$N, "*, "&amp;V$4&amp;", *",集計用!$G:$G,"*, "&amp;$C11&amp;", *", 集計用!$N:$N, "&lt;&gt;*英語を日常的に*"))/$B11*100</f>
        <v>0</v>
      </c>
      <c r="W11" s="41">
        <f>(COUNTIFS(集計用!$N:$N, "*, "&amp;W$4&amp;", *",集計用!$G:$G,"*, "&amp;$C11&amp;", *", 集計用!$N:$N, "&lt;&gt;*英語を日常的に*"))/$B11*100</f>
        <v>0</v>
      </c>
      <c r="Y11" s="39"/>
    </row>
    <row r="12" spans="1:25" ht="15.75" customHeight="1">
      <c r="A12" s="39">
        <v>3</v>
      </c>
      <c r="B12" s="39">
        <f>(COUNTIFS(集計用!$G$2:$G$444,"*, "&amp;$C12&amp;",*",集計用!$N$2:$N$444,"&lt;&gt;*英語を日常的に*",集計用!$N$2:$N$444,"&lt;&gt;無回答, "))</f>
        <v>25</v>
      </c>
      <c r="C12" s="42" t="s">
        <v>4</v>
      </c>
      <c r="D12" s="41">
        <f>(COUNTIFS(集計用!$N:$N, "*, "&amp;D$4&amp;", *",集計用!$G:$G,"*, "&amp;$C12&amp;", *", 集計用!$N:$N, "&lt;&gt;*英語を日常的に*"))/$B12*100</f>
        <v>52</v>
      </c>
      <c r="E12" s="41">
        <f>(COUNTIFS(集計用!$N:$N, "*, "&amp;E$4&amp;", *",集計用!$G:$G,"*, "&amp;$C12&amp;", *", 集計用!$N:$N, "&lt;&gt;*英語を日常的に*"))/$B12*100</f>
        <v>52</v>
      </c>
      <c r="F12" s="41">
        <f>(COUNTIFS(集計用!$N:$N, "*, "&amp;F$4&amp;", *",集計用!$G:$G,"*, "&amp;$C12&amp;", *", 集計用!$N:$N, "&lt;&gt;*英語を日常的に*"))/$B12*100</f>
        <v>28.000000000000004</v>
      </c>
      <c r="G12" s="41">
        <f>(COUNTIFS(集計用!$N:$N, "*, "&amp;G$4&amp;", *",集計用!$G:$G,"*, "&amp;$C12&amp;", *", 集計用!$N:$N, "&lt;&gt;*英語を日常的に*"))/$B12*100</f>
        <v>12</v>
      </c>
      <c r="H12" s="41">
        <f>(COUNTIFS(集計用!$N:$N, "*, "&amp;H$4&amp;", *",集計用!$G:$G,"*, "&amp;$C12&amp;", *", 集計用!$N:$N, "&lt;&gt;*英語を日常的に*"))/$B12*100</f>
        <v>12</v>
      </c>
      <c r="I12" s="41">
        <f>(COUNTIFS(集計用!$N:$N, "*, "&amp;I$4&amp;", *",集計用!$G:$G,"*, "&amp;$C12&amp;", *", 集計用!$N:$N, "&lt;&gt;*英語を日常的に*"))/$B12*100</f>
        <v>16</v>
      </c>
      <c r="J12" s="41">
        <f>(COUNTIFS(集計用!$N:$N, "*, "&amp;J$4&amp;", *",集計用!$G:$G,"*, "&amp;$C12&amp;", *", 集計用!$N:$N, "&lt;&gt;*英語を日常的に*"))/$B12*100</f>
        <v>12</v>
      </c>
      <c r="K12" s="41">
        <f>(COUNTIFS(集計用!$N:$N, "*, "&amp;K$4&amp;", *",集計用!$G:$G,"*, "&amp;$C12&amp;", *", 集計用!$N:$N, "&lt;&gt;*英語を日常的に*"))/$B12*100</f>
        <v>0</v>
      </c>
      <c r="L12" s="41">
        <f>(COUNTIFS(集計用!$N:$N, "*, "&amp;L$4&amp;", *",集計用!$G:$G,"*, "&amp;$C12&amp;", *", 集計用!$N:$N, "&lt;&gt;*英語を日常的に*"))/$B12*100</f>
        <v>0</v>
      </c>
      <c r="M12" s="41">
        <f>(COUNTIFS(集計用!$N:$N, "*, "&amp;M$4&amp;", *",集計用!$G:$G,"*, "&amp;$C12&amp;", *", 集計用!$N:$N, "&lt;&gt;*英語を日常的に*"))/$B12*100</f>
        <v>4</v>
      </c>
      <c r="N12" s="41">
        <f>(COUNTIFS(集計用!$N:$N, "*, "&amp;N$4&amp;", *",集計用!$G:$G,"*, "&amp;$C12&amp;", *", 集計用!$N:$N, "&lt;&gt;*英語を日常的に*"))/$B12*100</f>
        <v>0</v>
      </c>
      <c r="O12" s="41">
        <f>(COUNTIFS(集計用!$N:$N, "*, "&amp;O$4&amp;", *",集計用!$G:$G,"*, "&amp;$C12&amp;", *", 集計用!$N:$N, "&lt;&gt;*英語を日常的に*"))/$B12*100</f>
        <v>0</v>
      </c>
      <c r="P12" s="41">
        <f>(COUNTIFS(集計用!$N:$N, "*, "&amp;P$4&amp;", *",集計用!$G:$G,"*, "&amp;$C12&amp;", *", 集計用!$N:$N, "&lt;&gt;*英語を日常的に*"))/$B12*100</f>
        <v>0</v>
      </c>
      <c r="Q12" s="41">
        <f>(COUNTIFS(集計用!$N:$N, "*, "&amp;Q$4&amp;", *",集計用!$G:$G,"*, "&amp;$C12&amp;", *", 集計用!$N:$N, "&lt;&gt;*英語を日常的に*"))/$B12*100</f>
        <v>0</v>
      </c>
      <c r="R12" s="41">
        <f>(COUNTIFS(集計用!$N:$N, "*, "&amp;R$4&amp;", *",集計用!$G:$G,"*, "&amp;$C12&amp;", *", 集計用!$N:$N, "&lt;&gt;*英語を日常的に*"))/$B12*100</f>
        <v>0</v>
      </c>
      <c r="S12" s="41">
        <f>(COUNTIFS(集計用!$N:$N, "*, "&amp;S$4&amp;", *",集計用!$G:$G,"*, "&amp;$C12&amp;", *", 集計用!$N:$N, "&lt;&gt;*英語を日常的に*"))/$B12*100</f>
        <v>0</v>
      </c>
      <c r="T12" s="41">
        <f>(COUNTIFS(集計用!$N:$N, "*, "&amp;T$4&amp;", *",集計用!$G:$G,"*, "&amp;$C12&amp;", *", 集計用!$N:$N, "&lt;&gt;*英語を日常的に*"))/$B12*100</f>
        <v>0</v>
      </c>
      <c r="U12" s="41">
        <f>(COUNTIFS(集計用!$N:$N, "*, "&amp;U$4&amp;", *",集計用!$G:$G,"*, "&amp;$C12&amp;", *", 集計用!$N:$N, "&lt;&gt;*英語を日常的に*"))/$B12*100</f>
        <v>0</v>
      </c>
      <c r="V12" s="41">
        <f>(COUNTIFS(集計用!$N:$N, "*, "&amp;V$4&amp;", *",集計用!$G:$G,"*, "&amp;$C12&amp;", *", 集計用!$N:$N, "&lt;&gt;*英語を日常的に*"))/$B12*100</f>
        <v>0</v>
      </c>
      <c r="W12" s="41">
        <f>(COUNTIFS(集計用!$N:$N, "*, "&amp;W$4&amp;", *",集計用!$G:$G,"*, "&amp;$C12&amp;", *", 集計用!$N:$N, "&lt;&gt;*英語を日常的に*"))/$B12*100</f>
        <v>0</v>
      </c>
      <c r="Y12" s="39"/>
    </row>
    <row r="13" spans="1:25" ht="15.75" customHeight="1">
      <c r="A13" s="39">
        <v>4</v>
      </c>
      <c r="B13" s="39">
        <f>(COUNTIFS(集計用!$G$2:$G$444,"*, "&amp;$C13&amp;",*",集計用!$N$2:$N$444,"&lt;&gt;*英語を日常的に*",集計用!$N$2:$N$444,"&lt;&gt;無回答, "))</f>
        <v>22</v>
      </c>
      <c r="C13" s="42" t="s">
        <v>5</v>
      </c>
      <c r="D13" s="41">
        <f>(COUNTIFS(集計用!$N:$N, "*, "&amp;D$4&amp;", *",集計用!$G:$G,"*, "&amp;$C13&amp;", *", 集計用!$N:$N, "&lt;&gt;*英語を日常的に*"))/$B13*100</f>
        <v>59.090909090909093</v>
      </c>
      <c r="E13" s="41">
        <f>(COUNTIFS(集計用!$N:$N, "*, "&amp;E$4&amp;", *",集計用!$G:$G,"*, "&amp;$C13&amp;", *", 集計用!$N:$N, "&lt;&gt;*英語を日常的に*"))/$B13*100</f>
        <v>50</v>
      </c>
      <c r="F13" s="41">
        <f>(COUNTIFS(集計用!$N:$N, "*, "&amp;F$4&amp;", *",集計用!$G:$G,"*, "&amp;$C13&amp;", *", 集計用!$N:$N, "&lt;&gt;*英語を日常的に*"))/$B13*100</f>
        <v>27.27272727272727</v>
      </c>
      <c r="G13" s="41">
        <f>(COUNTIFS(集計用!$N:$N, "*, "&amp;G$4&amp;", *",集計用!$G:$G,"*, "&amp;$C13&amp;", *", 集計用!$N:$N, "&lt;&gt;*英語を日常的に*"))/$B13*100</f>
        <v>40.909090909090914</v>
      </c>
      <c r="H13" s="41">
        <f>(COUNTIFS(集計用!$N:$N, "*, "&amp;H$4&amp;", *",集計用!$G:$G,"*, "&amp;$C13&amp;", *", 集計用!$N:$N, "&lt;&gt;*英語を日常的に*"))/$B13*100</f>
        <v>13.636363636363635</v>
      </c>
      <c r="I13" s="41">
        <f>(COUNTIFS(集計用!$N:$N, "*, "&amp;I$4&amp;", *",集計用!$G:$G,"*, "&amp;$C13&amp;", *", 集計用!$N:$N, "&lt;&gt;*英語を日常的に*"))/$B13*100</f>
        <v>18.181818181818183</v>
      </c>
      <c r="J13" s="41">
        <f>(COUNTIFS(集計用!$N:$N, "*, "&amp;J$4&amp;", *",集計用!$G:$G,"*, "&amp;$C13&amp;", *", 集計用!$N:$N, "&lt;&gt;*英語を日常的に*"))/$B13*100</f>
        <v>9.0909090909090917</v>
      </c>
      <c r="K13" s="41">
        <f>(COUNTIFS(集計用!$N:$N, "*, "&amp;K$4&amp;", *",集計用!$G:$G,"*, "&amp;$C13&amp;", *", 集計用!$N:$N, "&lt;&gt;*英語を日常的に*"))/$B13*100</f>
        <v>4.5454545454545459</v>
      </c>
      <c r="L13" s="41">
        <f>(COUNTIFS(集計用!$N:$N, "*, "&amp;L$4&amp;", *",集計用!$G:$G,"*, "&amp;$C13&amp;", *", 集計用!$N:$N, "&lt;&gt;*英語を日常的に*"))/$B13*100</f>
        <v>0</v>
      </c>
      <c r="M13" s="41">
        <f>(COUNTIFS(集計用!$N:$N, "*, "&amp;M$4&amp;", *",集計用!$G:$G,"*, "&amp;$C13&amp;", *", 集計用!$N:$N, "&lt;&gt;*英語を日常的に*"))/$B13*100</f>
        <v>0</v>
      </c>
      <c r="N13" s="41">
        <f>(COUNTIFS(集計用!$N:$N, "*, "&amp;N$4&amp;", *",集計用!$G:$G,"*, "&amp;$C13&amp;", *", 集計用!$N:$N, "&lt;&gt;*英語を日常的に*"))/$B13*100</f>
        <v>0</v>
      </c>
      <c r="O13" s="41">
        <f>(COUNTIFS(集計用!$N:$N, "*, "&amp;O$4&amp;", *",集計用!$G:$G,"*, "&amp;$C13&amp;", *", 集計用!$N:$N, "&lt;&gt;*英語を日常的に*"))/$B13*100</f>
        <v>0</v>
      </c>
      <c r="P13" s="41">
        <f>(COUNTIFS(集計用!$N:$N, "*, "&amp;P$4&amp;", *",集計用!$G:$G,"*, "&amp;$C13&amp;", *", 集計用!$N:$N, "&lt;&gt;*英語を日常的に*"))/$B13*100</f>
        <v>0</v>
      </c>
      <c r="Q13" s="41">
        <f>(COUNTIFS(集計用!$N:$N, "*, "&amp;Q$4&amp;", *",集計用!$G:$G,"*, "&amp;$C13&amp;", *", 集計用!$N:$N, "&lt;&gt;*英語を日常的に*"))/$B13*100</f>
        <v>0</v>
      </c>
      <c r="R13" s="41">
        <f>(COUNTIFS(集計用!$N:$N, "*, "&amp;R$4&amp;", *",集計用!$G:$G,"*, "&amp;$C13&amp;", *", 集計用!$N:$N, "&lt;&gt;*英語を日常的に*"))/$B13*100</f>
        <v>0</v>
      </c>
      <c r="S13" s="41">
        <f>(COUNTIFS(集計用!$N:$N, "*, "&amp;S$4&amp;", *",集計用!$G:$G,"*, "&amp;$C13&amp;", *", 集計用!$N:$N, "&lt;&gt;*英語を日常的に*"))/$B13*100</f>
        <v>0</v>
      </c>
      <c r="T13" s="41">
        <f>(COUNTIFS(集計用!$N:$N, "*, "&amp;T$4&amp;", *",集計用!$G:$G,"*, "&amp;$C13&amp;", *", 集計用!$N:$N, "&lt;&gt;*英語を日常的に*"))/$B13*100</f>
        <v>0</v>
      </c>
      <c r="U13" s="41">
        <f>(COUNTIFS(集計用!$N:$N, "*, "&amp;U$4&amp;", *",集計用!$G:$G,"*, "&amp;$C13&amp;", *", 集計用!$N:$N, "&lt;&gt;*英語を日常的に*"))/$B13*100</f>
        <v>0</v>
      </c>
      <c r="V13" s="41">
        <f>(COUNTIFS(集計用!$N:$N, "*, "&amp;V$4&amp;", *",集計用!$G:$G,"*, "&amp;$C13&amp;", *", 集計用!$N:$N, "&lt;&gt;*英語を日常的に*"))/$B13*100</f>
        <v>0</v>
      </c>
      <c r="W13" s="41">
        <f>(COUNTIFS(集計用!$N:$N, "*, "&amp;W$4&amp;", *",集計用!$G:$G,"*, "&amp;$C13&amp;", *", 集計用!$N:$N, "&lt;&gt;*英語を日常的に*"))/$B13*100</f>
        <v>0</v>
      </c>
      <c r="Y13" s="39"/>
    </row>
    <row r="14" spans="1:25" ht="15.75" customHeight="1">
      <c r="A14" s="39">
        <v>2</v>
      </c>
      <c r="B14" s="39">
        <f>(COUNTIFS(集計用!$G$2:$G$444,"*, "&amp;$C14&amp;",*",集計用!$N$2:$N$444,"&lt;&gt;*英語を日常的に*",集計用!$N$2:$N$444,"&lt;&gt;無回答, "))</f>
        <v>20</v>
      </c>
      <c r="C14" s="42" t="s">
        <v>9</v>
      </c>
      <c r="D14" s="41">
        <f>(COUNTIFS(集計用!$N:$N, "*, "&amp;D$4&amp;", *",集計用!$G:$G,"*, "&amp;$C14&amp;", *", 集計用!$N:$N, "&lt;&gt;*英語を日常的に*"))/$B14*100</f>
        <v>55.000000000000007</v>
      </c>
      <c r="E14" s="41">
        <f>(COUNTIFS(集計用!$N:$N, "*, "&amp;E$4&amp;", *",集計用!$G:$G,"*, "&amp;$C14&amp;", *", 集計用!$N:$N, "&lt;&gt;*英語を日常的に*"))/$B14*100</f>
        <v>30</v>
      </c>
      <c r="F14" s="41">
        <f>(COUNTIFS(集計用!$N:$N, "*, "&amp;F$4&amp;", *",集計用!$G:$G,"*, "&amp;$C14&amp;", *", 集計用!$N:$N, "&lt;&gt;*英語を日常的に*"))/$B14*100</f>
        <v>20</v>
      </c>
      <c r="G14" s="41">
        <f>(COUNTIFS(集計用!$N:$N, "*, "&amp;G$4&amp;", *",集計用!$G:$G,"*, "&amp;$C14&amp;", *", 集計用!$N:$N, "&lt;&gt;*英語を日常的に*"))/$B14*100</f>
        <v>20</v>
      </c>
      <c r="H14" s="41">
        <f>(COUNTIFS(集計用!$N:$N, "*, "&amp;H$4&amp;", *",集計用!$G:$G,"*, "&amp;$C14&amp;", *", 集計用!$N:$N, "&lt;&gt;*英語を日常的に*"))/$B14*100</f>
        <v>20</v>
      </c>
      <c r="I14" s="41">
        <f>(COUNTIFS(集計用!$N:$N, "*, "&amp;I$4&amp;", *",集計用!$G:$G,"*, "&amp;$C14&amp;", *", 集計用!$N:$N, "&lt;&gt;*英語を日常的に*"))/$B14*100</f>
        <v>5</v>
      </c>
      <c r="J14" s="41">
        <f>(COUNTIFS(集計用!$N:$N, "*, "&amp;J$4&amp;", *",集計用!$G:$G,"*, "&amp;$C14&amp;", *", 集計用!$N:$N, "&lt;&gt;*英語を日常的に*"))/$B14*100</f>
        <v>0</v>
      </c>
      <c r="K14" s="41">
        <f>(COUNTIFS(集計用!$N:$N, "*, "&amp;K$4&amp;", *",集計用!$G:$G,"*, "&amp;$C14&amp;", *", 集計用!$N:$N, "&lt;&gt;*英語を日常的に*"))/$B14*100</f>
        <v>10</v>
      </c>
      <c r="L14" s="41">
        <f>(COUNTIFS(集計用!$N:$N, "*, "&amp;L$4&amp;", *",集計用!$G:$G,"*, "&amp;$C14&amp;", *", 集計用!$N:$N, "&lt;&gt;*英語を日常的に*"))/$B14*100</f>
        <v>10</v>
      </c>
      <c r="M14" s="41">
        <f>(COUNTIFS(集計用!$N:$N, "*, "&amp;M$4&amp;", *",集計用!$G:$G,"*, "&amp;$C14&amp;", *", 集計用!$N:$N, "&lt;&gt;*英語を日常的に*"))/$B14*100</f>
        <v>0</v>
      </c>
      <c r="N14" s="41">
        <f>(COUNTIFS(集計用!$N:$N, "*, "&amp;N$4&amp;", *",集計用!$G:$G,"*, "&amp;$C14&amp;", *", 集計用!$N:$N, "&lt;&gt;*英語を日常的に*"))/$B14*100</f>
        <v>0</v>
      </c>
      <c r="O14" s="41">
        <f>(COUNTIFS(集計用!$N:$N, "*, "&amp;O$4&amp;", *",集計用!$G:$G,"*, "&amp;$C14&amp;", *", 集計用!$N:$N, "&lt;&gt;*英語を日常的に*"))/$B14*100</f>
        <v>0</v>
      </c>
      <c r="P14" s="41">
        <f>(COUNTIFS(集計用!$N:$N, "*, "&amp;P$4&amp;", *",集計用!$G:$G,"*, "&amp;$C14&amp;", *", 集計用!$N:$N, "&lt;&gt;*英語を日常的に*"))/$B14*100</f>
        <v>0</v>
      </c>
      <c r="Q14" s="41">
        <f>(COUNTIFS(集計用!$N:$N, "*, "&amp;Q$4&amp;", *",集計用!$G:$G,"*, "&amp;$C14&amp;", *", 集計用!$N:$N, "&lt;&gt;*英語を日常的に*"))/$B14*100</f>
        <v>0</v>
      </c>
      <c r="R14" s="41">
        <f>(COUNTIFS(集計用!$N:$N, "*, "&amp;R$4&amp;", *",集計用!$G:$G,"*, "&amp;$C14&amp;", *", 集計用!$N:$N, "&lt;&gt;*英語を日常的に*"))/$B14*100</f>
        <v>0</v>
      </c>
      <c r="S14" s="41">
        <f>(COUNTIFS(集計用!$N:$N, "*, "&amp;S$4&amp;", *",集計用!$G:$G,"*, "&amp;$C14&amp;", *", 集計用!$N:$N, "&lt;&gt;*英語を日常的に*"))/$B14*100</f>
        <v>0</v>
      </c>
      <c r="T14" s="41">
        <f>(COUNTIFS(集計用!$N:$N, "*, "&amp;T$4&amp;", *",集計用!$G:$G,"*, "&amp;$C14&amp;", *", 集計用!$N:$N, "&lt;&gt;*英語を日常的に*"))/$B14*100</f>
        <v>0</v>
      </c>
      <c r="U14" s="41">
        <f>(COUNTIFS(集計用!$N:$N, "*, "&amp;U$4&amp;", *",集計用!$G:$G,"*, "&amp;$C14&amp;", *", 集計用!$N:$N, "&lt;&gt;*英語を日常的に*"))/$B14*100</f>
        <v>0</v>
      </c>
      <c r="V14" s="41">
        <f>(COUNTIFS(集計用!$N:$N, "*, "&amp;V$4&amp;", *",集計用!$G:$G,"*, "&amp;$C14&amp;", *", 集計用!$N:$N, "&lt;&gt;*英語を日常的に*"))/$B14*100</f>
        <v>0</v>
      </c>
      <c r="W14" s="41">
        <f>(COUNTIFS(集計用!$N:$N, "*, "&amp;W$4&amp;", *",集計用!$G:$G,"*, "&amp;$C14&amp;", *", 集計用!$N:$N, "&lt;&gt;*英語を日常的に*"))/$B14*100</f>
        <v>0</v>
      </c>
      <c r="Y14" s="39"/>
    </row>
    <row r="15" spans="1:25" ht="15.75" customHeight="1">
      <c r="A15" s="39">
        <v>1</v>
      </c>
      <c r="B15" s="39">
        <f>(COUNTIFS(集計用!$G$2:$G$444,"*, "&amp;$C15&amp;",*",集計用!$N$2:$N$444,"&lt;&gt;*英語を日常的に*",集計用!$N$2:$N$444,"&lt;&gt;無回答, "))</f>
        <v>20</v>
      </c>
      <c r="C15" s="42" t="s">
        <v>7</v>
      </c>
      <c r="D15" s="41">
        <f>(COUNTIFS(集計用!$N:$N, "*, "&amp;D$4&amp;", *",集計用!$G:$G,"*, "&amp;$C15&amp;", *", 集計用!$N:$N, "&lt;&gt;*英語を日常的に*"))/$B15*100</f>
        <v>60</v>
      </c>
      <c r="E15" s="41">
        <f>(COUNTIFS(集計用!$N:$N, "*, "&amp;E$4&amp;", *",集計用!$G:$G,"*, "&amp;$C15&amp;", *", 集計用!$N:$N, "&lt;&gt;*英語を日常的に*"))/$B15*100</f>
        <v>30</v>
      </c>
      <c r="F15" s="41">
        <f>(COUNTIFS(集計用!$N:$N, "*, "&amp;F$4&amp;", *",集計用!$G:$G,"*, "&amp;$C15&amp;", *", 集計用!$N:$N, "&lt;&gt;*英語を日常的に*"))/$B15*100</f>
        <v>45</v>
      </c>
      <c r="G15" s="41">
        <f>(COUNTIFS(集計用!$N:$N, "*, "&amp;G$4&amp;", *",集計用!$G:$G,"*, "&amp;$C15&amp;", *", 集計用!$N:$N, "&lt;&gt;*英語を日常的に*"))/$B15*100</f>
        <v>20</v>
      </c>
      <c r="H15" s="41">
        <f>(COUNTIFS(集計用!$N:$N, "*, "&amp;H$4&amp;", *",集計用!$G:$G,"*, "&amp;$C15&amp;", *", 集計用!$N:$N, "&lt;&gt;*英語を日常的に*"))/$B15*100</f>
        <v>20</v>
      </c>
      <c r="I15" s="41">
        <f>(COUNTIFS(集計用!$N:$N, "*, "&amp;I$4&amp;", *",集計用!$G:$G,"*, "&amp;$C15&amp;", *", 集計用!$N:$N, "&lt;&gt;*英語を日常的に*"))/$B15*100</f>
        <v>15</v>
      </c>
      <c r="J15" s="41">
        <f>(COUNTIFS(集計用!$N:$N, "*, "&amp;J$4&amp;", *",集計用!$G:$G,"*, "&amp;$C15&amp;", *", 集計用!$N:$N, "&lt;&gt;*英語を日常的に*"))/$B15*100</f>
        <v>5</v>
      </c>
      <c r="K15" s="41">
        <f>(COUNTIFS(集計用!$N:$N, "*, "&amp;K$4&amp;", *",集計用!$G:$G,"*, "&amp;$C15&amp;", *", 集計用!$N:$N, "&lt;&gt;*英語を日常的に*"))/$B15*100</f>
        <v>10</v>
      </c>
      <c r="L15" s="41">
        <f>(COUNTIFS(集計用!$N:$N, "*, "&amp;L$4&amp;", *",集計用!$G:$G,"*, "&amp;$C15&amp;", *", 集計用!$N:$N, "&lt;&gt;*英語を日常的に*"))/$B15*100</f>
        <v>0</v>
      </c>
      <c r="M15" s="41">
        <f>(COUNTIFS(集計用!$N:$N, "*, "&amp;M$4&amp;", *",集計用!$G:$G,"*, "&amp;$C15&amp;", *", 集計用!$N:$N, "&lt;&gt;*英語を日常的に*"))/$B15*100</f>
        <v>0</v>
      </c>
      <c r="N15" s="41">
        <f>(COUNTIFS(集計用!$N:$N, "*, "&amp;N$4&amp;", *",集計用!$G:$G,"*, "&amp;$C15&amp;", *", 集計用!$N:$N, "&lt;&gt;*英語を日常的に*"))/$B15*100</f>
        <v>0</v>
      </c>
      <c r="O15" s="41">
        <f>(COUNTIFS(集計用!$N:$N, "*, "&amp;O$4&amp;", *",集計用!$G:$G,"*, "&amp;$C15&amp;", *", 集計用!$N:$N, "&lt;&gt;*英語を日常的に*"))/$B15*100</f>
        <v>0</v>
      </c>
      <c r="P15" s="41">
        <f>(COUNTIFS(集計用!$N:$N, "*, "&amp;P$4&amp;", *",集計用!$G:$G,"*, "&amp;$C15&amp;", *", 集計用!$N:$N, "&lt;&gt;*英語を日常的に*"))/$B15*100</f>
        <v>0</v>
      </c>
      <c r="Q15" s="41">
        <f>(COUNTIFS(集計用!$N:$N, "*, "&amp;Q$4&amp;", *",集計用!$G:$G,"*, "&amp;$C15&amp;", *", 集計用!$N:$N, "&lt;&gt;*英語を日常的に*"))/$B15*100</f>
        <v>0</v>
      </c>
      <c r="R15" s="41">
        <f>(COUNTIFS(集計用!$N:$N, "*, "&amp;R$4&amp;", *",集計用!$G:$G,"*, "&amp;$C15&amp;", *", 集計用!$N:$N, "&lt;&gt;*英語を日常的に*"))/$B15*100</f>
        <v>0</v>
      </c>
      <c r="S15" s="41">
        <f>(COUNTIFS(集計用!$N:$N, "*, "&amp;S$4&amp;", *",集計用!$G:$G,"*, "&amp;$C15&amp;", *", 集計用!$N:$N, "&lt;&gt;*英語を日常的に*"))/$B15*100</f>
        <v>0</v>
      </c>
      <c r="T15" s="41">
        <f>(COUNTIFS(集計用!$N:$N, "*, "&amp;T$4&amp;", *",集計用!$G:$G,"*, "&amp;$C15&amp;", *", 集計用!$N:$N, "&lt;&gt;*英語を日常的に*"))/$B15*100</f>
        <v>0</v>
      </c>
      <c r="U15" s="41">
        <f>(COUNTIFS(集計用!$N:$N, "*, "&amp;U$4&amp;", *",集計用!$G:$G,"*, "&amp;$C15&amp;", *", 集計用!$N:$N, "&lt;&gt;*英語を日常的に*"))/$B15*100</f>
        <v>0</v>
      </c>
      <c r="V15" s="41">
        <f>(COUNTIFS(集計用!$N:$N, "*, "&amp;V$4&amp;", *",集計用!$G:$G,"*, "&amp;$C15&amp;", *", 集計用!$N:$N, "&lt;&gt;*英語を日常的に*"))/$B15*100</f>
        <v>0</v>
      </c>
      <c r="W15" s="41">
        <f>(COUNTIFS(集計用!$N:$N, "*, "&amp;W$4&amp;", *",集計用!$G:$G,"*, "&amp;$C15&amp;", *", 集計用!$N:$N, "&lt;&gt;*英語を日常的に*"))/$B15*100</f>
        <v>0</v>
      </c>
      <c r="Y15" s="39"/>
    </row>
    <row r="16" spans="1:25" ht="15.75" customHeight="1">
      <c r="A16" s="39">
        <v>4</v>
      </c>
      <c r="B16" s="39">
        <f>(COUNTIFS(集計用!$G$2:$G$444,"*, "&amp;$C16&amp;",*",集計用!$N$2:$N$444,"&lt;&gt;*英語を日常的に*",集計用!$N$2:$N$444,"&lt;&gt;無回答, "))</f>
        <v>18</v>
      </c>
      <c r="C16" s="42" t="s">
        <v>18</v>
      </c>
      <c r="D16" s="41">
        <f>(COUNTIFS(集計用!$N:$N, "*, "&amp;D$4&amp;", *",集計用!$G:$G,"*, "&amp;$C16&amp;", *", 集計用!$N:$N, "&lt;&gt;*英語を日常的に*"))/$B16*100</f>
        <v>55.555555555555557</v>
      </c>
      <c r="E16" s="41">
        <f>(COUNTIFS(集計用!$N:$N, "*, "&amp;E$4&amp;", *",集計用!$G:$G,"*, "&amp;$C16&amp;", *", 集計用!$N:$N, "&lt;&gt;*英語を日常的に*"))/$B16*100</f>
        <v>61.111111111111114</v>
      </c>
      <c r="F16" s="41">
        <f>(COUNTIFS(集計用!$N:$N, "*, "&amp;F$4&amp;", *",集計用!$G:$G,"*, "&amp;$C16&amp;", *", 集計用!$N:$N, "&lt;&gt;*英語を日常的に*"))/$B16*100</f>
        <v>44.444444444444443</v>
      </c>
      <c r="G16" s="41">
        <f>(COUNTIFS(集計用!$N:$N, "*, "&amp;G$4&amp;", *",集計用!$G:$G,"*, "&amp;$C16&amp;", *", 集計用!$N:$N, "&lt;&gt;*英語を日常的に*"))/$B16*100</f>
        <v>27.777777777777779</v>
      </c>
      <c r="H16" s="41">
        <f>(COUNTIFS(集計用!$N:$N, "*, "&amp;H$4&amp;", *",集計用!$G:$G,"*, "&amp;$C16&amp;", *", 集計用!$N:$N, "&lt;&gt;*英語を日常的に*"))/$B16*100</f>
        <v>16.666666666666664</v>
      </c>
      <c r="I16" s="41">
        <f>(COUNTIFS(集計用!$N:$N, "*, "&amp;I$4&amp;", *",集計用!$G:$G,"*, "&amp;$C16&amp;", *", 集計用!$N:$N, "&lt;&gt;*英語を日常的に*"))/$B16*100</f>
        <v>5.5555555555555554</v>
      </c>
      <c r="J16" s="41">
        <f>(COUNTIFS(集計用!$N:$N, "*, "&amp;J$4&amp;", *",集計用!$G:$G,"*, "&amp;$C16&amp;", *", 集計用!$N:$N, "&lt;&gt;*英語を日常的に*"))/$B16*100</f>
        <v>11.111111111111111</v>
      </c>
      <c r="K16" s="41">
        <f>(COUNTIFS(集計用!$N:$N, "*, "&amp;K$4&amp;", *",集計用!$G:$G,"*, "&amp;$C16&amp;", *", 集計用!$N:$N, "&lt;&gt;*英語を日常的に*"))/$B16*100</f>
        <v>11.111111111111111</v>
      </c>
      <c r="L16" s="41">
        <f>(COUNTIFS(集計用!$N:$N, "*, "&amp;L$4&amp;", *",集計用!$G:$G,"*, "&amp;$C16&amp;", *", 集計用!$N:$N, "&lt;&gt;*英語を日常的に*"))/$B16*100</f>
        <v>0</v>
      </c>
      <c r="M16" s="41">
        <f>(COUNTIFS(集計用!$N:$N, "*, "&amp;M$4&amp;", *",集計用!$G:$G,"*, "&amp;$C16&amp;", *", 集計用!$N:$N, "&lt;&gt;*英語を日常的に*"))/$B16*100</f>
        <v>0</v>
      </c>
      <c r="N16" s="41">
        <f>(COUNTIFS(集計用!$N:$N, "*, "&amp;N$4&amp;", *",集計用!$G:$G,"*, "&amp;$C16&amp;", *", 集計用!$N:$N, "&lt;&gt;*英語を日常的に*"))/$B16*100</f>
        <v>0</v>
      </c>
      <c r="O16" s="41">
        <f>(COUNTIFS(集計用!$N:$N, "*, "&amp;O$4&amp;", *",集計用!$G:$G,"*, "&amp;$C16&amp;", *", 集計用!$N:$N, "&lt;&gt;*英語を日常的に*"))/$B16*100</f>
        <v>0</v>
      </c>
      <c r="P16" s="41">
        <f>(COUNTIFS(集計用!$N:$N, "*, "&amp;P$4&amp;", *",集計用!$G:$G,"*, "&amp;$C16&amp;", *", 集計用!$N:$N, "&lt;&gt;*英語を日常的に*"))/$B16*100</f>
        <v>0</v>
      </c>
      <c r="Q16" s="41">
        <f>(COUNTIFS(集計用!$N:$N, "*, "&amp;Q$4&amp;", *",集計用!$G:$G,"*, "&amp;$C16&amp;", *", 集計用!$N:$N, "&lt;&gt;*英語を日常的に*"))/$B16*100</f>
        <v>0</v>
      </c>
      <c r="R16" s="41">
        <f>(COUNTIFS(集計用!$N:$N, "*, "&amp;R$4&amp;", *",集計用!$G:$G,"*, "&amp;$C16&amp;", *", 集計用!$N:$N, "&lt;&gt;*英語を日常的に*"))/$B16*100</f>
        <v>0</v>
      </c>
      <c r="S16" s="41">
        <f>(COUNTIFS(集計用!$N:$N, "*, "&amp;S$4&amp;", *",集計用!$G:$G,"*, "&amp;$C16&amp;", *", 集計用!$N:$N, "&lt;&gt;*英語を日常的に*"))/$B16*100</f>
        <v>0</v>
      </c>
      <c r="T16" s="41">
        <f>(COUNTIFS(集計用!$N:$N, "*, "&amp;T$4&amp;", *",集計用!$G:$G,"*, "&amp;$C16&amp;", *", 集計用!$N:$N, "&lt;&gt;*英語を日常的に*"))/$B16*100</f>
        <v>0</v>
      </c>
      <c r="U16" s="41">
        <f>(COUNTIFS(集計用!$N:$N, "*, "&amp;U$4&amp;", *",集計用!$G:$G,"*, "&amp;$C16&amp;", *", 集計用!$N:$N, "&lt;&gt;*英語を日常的に*"))/$B16*100</f>
        <v>0</v>
      </c>
      <c r="V16" s="41">
        <f>(COUNTIFS(集計用!$N:$N, "*, "&amp;V$4&amp;", *",集計用!$G:$G,"*, "&amp;$C16&amp;", *", 集計用!$N:$N, "&lt;&gt;*英語を日常的に*"))/$B16*100</f>
        <v>0</v>
      </c>
      <c r="W16" s="41">
        <f>(COUNTIFS(集計用!$N:$N, "*, "&amp;W$4&amp;", *",集計用!$G:$G,"*, "&amp;$C16&amp;", *", 集計用!$N:$N, "&lt;&gt;*英語を日常的に*"))/$B16*100</f>
        <v>0</v>
      </c>
      <c r="Y16" s="39"/>
    </row>
    <row r="17" spans="1:25" ht="15.75" customHeight="1">
      <c r="A17" s="39">
        <v>5</v>
      </c>
      <c r="B17" s="39">
        <f>(COUNTIFS(集計用!$G$2:$G$444,"*, "&amp;$C17&amp;",*",集計用!$N$2:$N$444,"&lt;&gt;*英語を日常的に*",集計用!$N$2:$N$444,"&lt;&gt;無回答, "))</f>
        <v>17</v>
      </c>
      <c r="C17" s="42" t="s">
        <v>10</v>
      </c>
      <c r="D17" s="41">
        <f>(COUNTIFS(集計用!$N:$N, "*, "&amp;D$4&amp;", *",集計用!$G:$G,"*, "&amp;$C17&amp;", *", 集計用!$N:$N, "&lt;&gt;*英語を日常的に*"))/$B17*100</f>
        <v>41.17647058823529</v>
      </c>
      <c r="E17" s="41">
        <f>(COUNTIFS(集計用!$N:$N, "*, "&amp;E$4&amp;", *",集計用!$G:$G,"*, "&amp;$C17&amp;", *", 集計用!$N:$N, "&lt;&gt;*英語を日常的に*"))/$B17*100</f>
        <v>41.17647058823529</v>
      </c>
      <c r="F17" s="41">
        <f>(COUNTIFS(集計用!$N:$N, "*, "&amp;F$4&amp;", *",集計用!$G:$G,"*, "&amp;$C17&amp;", *", 集計用!$N:$N, "&lt;&gt;*英語を日常的に*"))/$B17*100</f>
        <v>47.058823529411761</v>
      </c>
      <c r="G17" s="41">
        <f>(COUNTIFS(集計用!$N:$N, "*, "&amp;G$4&amp;", *",集計用!$G:$G,"*, "&amp;$C17&amp;", *", 集計用!$N:$N, "&lt;&gt;*英語を日常的に*"))/$B17*100</f>
        <v>0</v>
      </c>
      <c r="H17" s="41">
        <f>(COUNTIFS(集計用!$N:$N, "*, "&amp;H$4&amp;", *",集計用!$G:$G,"*, "&amp;$C17&amp;", *", 集計用!$N:$N, "&lt;&gt;*英語を日常的に*"))/$B17*100</f>
        <v>29.411764705882355</v>
      </c>
      <c r="I17" s="41">
        <f>(COUNTIFS(集計用!$N:$N, "*, "&amp;I$4&amp;", *",集計用!$G:$G,"*, "&amp;$C17&amp;", *", 集計用!$N:$N, "&lt;&gt;*英語を日常的に*"))/$B17*100</f>
        <v>11.76470588235294</v>
      </c>
      <c r="J17" s="41">
        <f>(COUNTIFS(集計用!$N:$N, "*, "&amp;J$4&amp;", *",集計用!$G:$G,"*, "&amp;$C17&amp;", *", 集計用!$N:$N, "&lt;&gt;*英語を日常的に*"))/$B17*100</f>
        <v>11.76470588235294</v>
      </c>
      <c r="K17" s="41">
        <f>(COUNTIFS(集計用!$N:$N, "*, "&amp;K$4&amp;", *",集計用!$G:$G,"*, "&amp;$C17&amp;", *", 集計用!$N:$N, "&lt;&gt;*英語を日常的に*"))/$B17*100</f>
        <v>5.8823529411764701</v>
      </c>
      <c r="L17" s="41">
        <f>(COUNTIFS(集計用!$N:$N, "*, "&amp;L$4&amp;", *",集計用!$G:$G,"*, "&amp;$C17&amp;", *", 集計用!$N:$N, "&lt;&gt;*英語を日常的に*"))/$B17*100</f>
        <v>5.8823529411764701</v>
      </c>
      <c r="M17" s="41">
        <f>(COUNTIFS(集計用!$N:$N, "*, "&amp;M$4&amp;", *",集計用!$G:$G,"*, "&amp;$C17&amp;", *", 集計用!$N:$N, "&lt;&gt;*英語を日常的に*"))/$B17*100</f>
        <v>0</v>
      </c>
      <c r="N17" s="41">
        <f>(COUNTIFS(集計用!$N:$N, "*, "&amp;N$4&amp;", *",集計用!$G:$G,"*, "&amp;$C17&amp;", *", 集計用!$N:$N, "&lt;&gt;*英語を日常的に*"))/$B17*100</f>
        <v>0</v>
      </c>
      <c r="O17" s="41">
        <f>(COUNTIFS(集計用!$N:$N, "*, "&amp;O$4&amp;", *",集計用!$G:$G,"*, "&amp;$C17&amp;", *", 集計用!$N:$N, "&lt;&gt;*英語を日常的に*"))/$B17*100</f>
        <v>0</v>
      </c>
      <c r="P17" s="41">
        <f>(COUNTIFS(集計用!$N:$N, "*, "&amp;P$4&amp;", *",集計用!$G:$G,"*, "&amp;$C17&amp;", *", 集計用!$N:$N, "&lt;&gt;*英語を日常的に*"))/$B17*100</f>
        <v>0</v>
      </c>
      <c r="Q17" s="41">
        <f>(COUNTIFS(集計用!$N:$N, "*, "&amp;Q$4&amp;", *",集計用!$G:$G,"*, "&amp;$C17&amp;", *", 集計用!$N:$N, "&lt;&gt;*英語を日常的に*"))/$B17*100</f>
        <v>0</v>
      </c>
      <c r="R17" s="41">
        <f>(COUNTIFS(集計用!$N:$N, "*, "&amp;R$4&amp;", *",集計用!$G:$G,"*, "&amp;$C17&amp;", *", 集計用!$N:$N, "&lt;&gt;*英語を日常的に*"))/$B17*100</f>
        <v>0</v>
      </c>
      <c r="S17" s="41">
        <f>(COUNTIFS(集計用!$N:$N, "*, "&amp;S$4&amp;", *",集計用!$G:$G,"*, "&amp;$C17&amp;", *", 集計用!$N:$N, "&lt;&gt;*英語を日常的に*"))/$B17*100</f>
        <v>0</v>
      </c>
      <c r="T17" s="41">
        <f>(COUNTIFS(集計用!$N:$N, "*, "&amp;T$4&amp;", *",集計用!$G:$G,"*, "&amp;$C17&amp;", *", 集計用!$N:$N, "&lt;&gt;*英語を日常的に*"))/$B17*100</f>
        <v>0</v>
      </c>
      <c r="U17" s="41">
        <f>(COUNTIFS(集計用!$N:$N, "*, "&amp;U$4&amp;", *",集計用!$G:$G,"*, "&amp;$C17&amp;", *", 集計用!$N:$N, "&lt;&gt;*英語を日常的に*"))/$B17*100</f>
        <v>0</v>
      </c>
      <c r="V17" s="41">
        <f>(COUNTIFS(集計用!$N:$N, "*, "&amp;V$4&amp;", *",集計用!$G:$G,"*, "&amp;$C17&amp;", *", 集計用!$N:$N, "&lt;&gt;*英語を日常的に*"))/$B17*100</f>
        <v>0</v>
      </c>
      <c r="W17" s="41">
        <f>(COUNTIFS(集計用!$N:$N, "*, "&amp;W$4&amp;", *",集計用!$G:$G,"*, "&amp;$C17&amp;", *", 集計用!$N:$N, "&lt;&gt;*英語を日常的に*"))/$B17*100</f>
        <v>0</v>
      </c>
      <c r="Y17" s="39"/>
    </row>
    <row r="18" spans="1:25" ht="15.75" customHeight="1">
      <c r="A18" s="39">
        <v>6</v>
      </c>
      <c r="B18" s="39">
        <f>(COUNTIFS(集計用!$G$2:$G$444,"*, "&amp;$C18&amp;",*",集計用!$N$2:$N$444,"&lt;&gt;*英語を日常的に*",集計用!$N$2:$N$444,"&lt;&gt;無回答, "))</f>
        <v>17</v>
      </c>
      <c r="C18" s="42" t="s">
        <v>13</v>
      </c>
      <c r="D18" s="41">
        <f>(COUNTIFS(集計用!$N:$N, "*, "&amp;D$4&amp;", *",集計用!$G:$G,"*, "&amp;$C18&amp;", *", 集計用!$N:$N, "&lt;&gt;*英語を日常的に*"))/$B18*100</f>
        <v>41.17647058823529</v>
      </c>
      <c r="E18" s="41">
        <f>(COUNTIFS(集計用!$N:$N, "*, "&amp;E$4&amp;", *",集計用!$G:$G,"*, "&amp;$C18&amp;", *", 集計用!$N:$N, "&lt;&gt;*英語を日常的に*"))/$B18*100</f>
        <v>35.294117647058826</v>
      </c>
      <c r="F18" s="41">
        <f>(COUNTIFS(集計用!$N:$N, "*, "&amp;F$4&amp;", *",集計用!$G:$G,"*, "&amp;$C18&amp;", *", 集計用!$N:$N, "&lt;&gt;*英語を日常的に*"))/$B18*100</f>
        <v>17.647058823529413</v>
      </c>
      <c r="G18" s="41">
        <f>(COUNTIFS(集計用!$N:$N, "*, "&amp;G$4&amp;", *",集計用!$G:$G,"*, "&amp;$C18&amp;", *", 集計用!$N:$N, "&lt;&gt;*英語を日常的に*"))/$B18*100</f>
        <v>23.52941176470588</v>
      </c>
      <c r="H18" s="41">
        <f>(COUNTIFS(集計用!$N:$N, "*, "&amp;H$4&amp;", *",集計用!$G:$G,"*, "&amp;$C18&amp;", *", 集計用!$N:$N, "&lt;&gt;*英語を日常的に*"))/$B18*100</f>
        <v>11.76470588235294</v>
      </c>
      <c r="I18" s="41">
        <f>(COUNTIFS(集計用!$N:$N, "*, "&amp;I$4&amp;", *",集計用!$G:$G,"*, "&amp;$C18&amp;", *", 集計用!$N:$N, "&lt;&gt;*英語を日常的に*"))/$B18*100</f>
        <v>23.52941176470588</v>
      </c>
      <c r="J18" s="41">
        <f>(COUNTIFS(集計用!$N:$N, "*, "&amp;J$4&amp;", *",集計用!$G:$G,"*, "&amp;$C18&amp;", *", 集計用!$N:$N, "&lt;&gt;*英語を日常的に*"))/$B18*100</f>
        <v>5.8823529411764701</v>
      </c>
      <c r="K18" s="41">
        <f>(COUNTIFS(集計用!$N:$N, "*, "&amp;K$4&amp;", *",集計用!$G:$G,"*, "&amp;$C18&amp;", *", 集計用!$N:$N, "&lt;&gt;*英語を日常的に*"))/$B18*100</f>
        <v>5.8823529411764701</v>
      </c>
      <c r="L18" s="41">
        <f>(COUNTIFS(集計用!$N:$N, "*, "&amp;L$4&amp;", *",集計用!$G:$G,"*, "&amp;$C18&amp;", *", 集計用!$N:$N, "&lt;&gt;*英語を日常的に*"))/$B18*100</f>
        <v>0</v>
      </c>
      <c r="M18" s="41">
        <f>(COUNTIFS(集計用!$N:$N, "*, "&amp;M$4&amp;", *",集計用!$G:$G,"*, "&amp;$C18&amp;", *", 集計用!$N:$N, "&lt;&gt;*英語を日常的に*"))/$B18*100</f>
        <v>0</v>
      </c>
      <c r="N18" s="41">
        <f>(COUNTIFS(集計用!$N:$N, "*, "&amp;N$4&amp;", *",集計用!$G:$G,"*, "&amp;$C18&amp;", *", 集計用!$N:$N, "&lt;&gt;*英語を日常的に*"))/$B18*100</f>
        <v>0</v>
      </c>
      <c r="O18" s="41">
        <f>(COUNTIFS(集計用!$N:$N, "*, "&amp;O$4&amp;", *",集計用!$G:$G,"*, "&amp;$C18&amp;", *", 集計用!$N:$N, "&lt;&gt;*英語を日常的に*"))/$B18*100</f>
        <v>0</v>
      </c>
      <c r="P18" s="41">
        <f>(COUNTIFS(集計用!$N:$N, "*, "&amp;P$4&amp;", *",集計用!$G:$G,"*, "&amp;$C18&amp;", *", 集計用!$N:$N, "&lt;&gt;*英語を日常的に*"))/$B18*100</f>
        <v>0</v>
      </c>
      <c r="Q18" s="41">
        <f>(COUNTIFS(集計用!$N:$N, "*, "&amp;Q$4&amp;", *",集計用!$G:$G,"*, "&amp;$C18&amp;", *", 集計用!$N:$N, "&lt;&gt;*英語を日常的に*"))/$B18*100</f>
        <v>0</v>
      </c>
      <c r="R18" s="41">
        <f>(COUNTIFS(集計用!$N:$N, "*, "&amp;R$4&amp;", *",集計用!$G:$G,"*, "&amp;$C18&amp;", *", 集計用!$N:$N, "&lt;&gt;*英語を日常的に*"))/$B18*100</f>
        <v>0</v>
      </c>
      <c r="S18" s="41">
        <f>(COUNTIFS(集計用!$N:$N, "*, "&amp;S$4&amp;", *",集計用!$G:$G,"*, "&amp;$C18&amp;", *", 集計用!$N:$N, "&lt;&gt;*英語を日常的に*"))/$B18*100</f>
        <v>0</v>
      </c>
      <c r="T18" s="41">
        <f>(COUNTIFS(集計用!$N:$N, "*, "&amp;T$4&amp;", *",集計用!$G:$G,"*, "&amp;$C18&amp;", *", 集計用!$N:$N, "&lt;&gt;*英語を日常的に*"))/$B18*100</f>
        <v>0</v>
      </c>
      <c r="U18" s="41">
        <f>(COUNTIFS(集計用!$N:$N, "*, "&amp;U$4&amp;", *",集計用!$G:$G,"*, "&amp;$C18&amp;", *", 集計用!$N:$N, "&lt;&gt;*英語を日常的に*"))/$B18*100</f>
        <v>0</v>
      </c>
      <c r="V18" s="41">
        <f>(COUNTIFS(集計用!$N:$N, "*, "&amp;V$4&amp;", *",集計用!$G:$G,"*, "&amp;$C18&amp;", *", 集計用!$N:$N, "&lt;&gt;*英語を日常的に*"))/$B18*100</f>
        <v>0</v>
      </c>
      <c r="W18" s="41">
        <f>(COUNTIFS(集計用!$N:$N, "*, "&amp;W$4&amp;", *",集計用!$G:$G,"*, "&amp;$C18&amp;", *", 集計用!$N:$N, "&lt;&gt;*英語を日常的に*"))/$B18*100</f>
        <v>0</v>
      </c>
      <c r="Y18" s="39"/>
    </row>
    <row r="19" spans="1:25" ht="15.75" customHeight="1">
      <c r="A19" s="39">
        <v>2</v>
      </c>
      <c r="B19" s="39">
        <f>(COUNTIFS(集計用!$G$2:$G$444,"*, "&amp;$C19&amp;",*",集計用!$N$2:$N$444,"&lt;&gt;*英語を日常的に*",集計用!$N$2:$N$444,"&lt;&gt;無回答, "))</f>
        <v>15</v>
      </c>
      <c r="C19" s="42" t="s">
        <v>11</v>
      </c>
      <c r="D19" s="41">
        <f>(COUNTIFS(集計用!$N:$N, "*, "&amp;D$4&amp;", *",集計用!$G:$G,"*, "&amp;$C19&amp;", *", 集計用!$N:$N, "&lt;&gt;*英語を日常的に*"))/$B19*100</f>
        <v>53.333333333333336</v>
      </c>
      <c r="E19" s="41">
        <f>(COUNTIFS(集計用!$N:$N, "*, "&amp;E$4&amp;", *",集計用!$G:$G,"*, "&amp;$C19&amp;", *", 集計用!$N:$N, "&lt;&gt;*英語を日常的に*"))/$B19*100</f>
        <v>26.666666666666668</v>
      </c>
      <c r="F19" s="41">
        <f>(COUNTIFS(集計用!$N:$N, "*, "&amp;F$4&amp;", *",集計用!$G:$G,"*, "&amp;$C19&amp;", *", 集計用!$N:$N, "&lt;&gt;*英語を日常的に*"))/$B19*100</f>
        <v>40</v>
      </c>
      <c r="G19" s="41">
        <f>(COUNTIFS(集計用!$N:$N, "*, "&amp;G$4&amp;", *",集計用!$G:$G,"*, "&amp;$C19&amp;", *", 集計用!$N:$N, "&lt;&gt;*英語を日常的に*"))/$B19*100</f>
        <v>20</v>
      </c>
      <c r="H19" s="41">
        <f>(COUNTIFS(集計用!$N:$N, "*, "&amp;H$4&amp;", *",集計用!$G:$G,"*, "&amp;$C19&amp;", *", 集計用!$N:$N, "&lt;&gt;*英語を日常的に*"))/$B19*100</f>
        <v>6.666666666666667</v>
      </c>
      <c r="I19" s="41">
        <f>(COUNTIFS(集計用!$N:$N, "*, "&amp;I$4&amp;", *",集計用!$G:$G,"*, "&amp;$C19&amp;", *", 集計用!$N:$N, "&lt;&gt;*英語を日常的に*"))/$B19*100</f>
        <v>13.333333333333334</v>
      </c>
      <c r="J19" s="41">
        <f>(COUNTIFS(集計用!$N:$N, "*, "&amp;J$4&amp;", *",集計用!$G:$G,"*, "&amp;$C19&amp;", *", 集計用!$N:$N, "&lt;&gt;*英語を日常的に*"))/$B19*100</f>
        <v>0</v>
      </c>
      <c r="K19" s="41">
        <f>(COUNTIFS(集計用!$N:$N, "*, "&amp;K$4&amp;", *",集計用!$G:$G,"*, "&amp;$C19&amp;", *", 集計用!$N:$N, "&lt;&gt;*英語を日常的に*"))/$B19*100</f>
        <v>6.666666666666667</v>
      </c>
      <c r="L19" s="41">
        <f>(COUNTIFS(集計用!$N:$N, "*, "&amp;L$4&amp;", *",集計用!$G:$G,"*, "&amp;$C19&amp;", *", 集計用!$N:$N, "&lt;&gt;*英語を日常的に*"))/$B19*100</f>
        <v>6.666666666666667</v>
      </c>
      <c r="M19" s="41">
        <f>(COUNTIFS(集計用!$N:$N, "*, "&amp;M$4&amp;", *",集計用!$G:$G,"*, "&amp;$C19&amp;", *", 集計用!$N:$N, "&lt;&gt;*英語を日常的に*"))/$B19*100</f>
        <v>0</v>
      </c>
      <c r="N19" s="41">
        <f>(COUNTIFS(集計用!$N:$N, "*, "&amp;N$4&amp;", *",集計用!$G:$G,"*, "&amp;$C19&amp;", *", 集計用!$N:$N, "&lt;&gt;*英語を日常的に*"))/$B19*100</f>
        <v>0</v>
      </c>
      <c r="O19" s="41">
        <f>(COUNTIFS(集計用!$N:$N, "*, "&amp;O$4&amp;", *",集計用!$G:$G,"*, "&amp;$C19&amp;", *", 集計用!$N:$N, "&lt;&gt;*英語を日常的に*"))/$B19*100</f>
        <v>0</v>
      </c>
      <c r="P19" s="41">
        <f>(COUNTIFS(集計用!$N:$N, "*, "&amp;P$4&amp;", *",集計用!$G:$G,"*, "&amp;$C19&amp;", *", 集計用!$N:$N, "&lt;&gt;*英語を日常的に*"))/$B19*100</f>
        <v>0</v>
      </c>
      <c r="Q19" s="41">
        <f>(COUNTIFS(集計用!$N:$N, "*, "&amp;Q$4&amp;", *",集計用!$G:$G,"*, "&amp;$C19&amp;", *", 集計用!$N:$N, "&lt;&gt;*英語を日常的に*"))/$B19*100</f>
        <v>0</v>
      </c>
      <c r="R19" s="41">
        <f>(COUNTIFS(集計用!$N:$N, "*, "&amp;R$4&amp;", *",集計用!$G:$G,"*, "&amp;$C19&amp;", *", 集計用!$N:$N, "&lt;&gt;*英語を日常的に*"))/$B19*100</f>
        <v>0</v>
      </c>
      <c r="S19" s="41">
        <f>(COUNTIFS(集計用!$N:$N, "*, "&amp;S$4&amp;", *",集計用!$G:$G,"*, "&amp;$C19&amp;", *", 集計用!$N:$N, "&lt;&gt;*英語を日常的に*"))/$B19*100</f>
        <v>0</v>
      </c>
      <c r="T19" s="41">
        <f>(COUNTIFS(集計用!$N:$N, "*, "&amp;T$4&amp;", *",集計用!$G:$G,"*, "&amp;$C19&amp;", *", 集計用!$N:$N, "&lt;&gt;*英語を日常的に*"))/$B19*100</f>
        <v>0</v>
      </c>
      <c r="U19" s="41">
        <f>(COUNTIFS(集計用!$N:$N, "*, "&amp;U$4&amp;", *",集計用!$G:$G,"*, "&amp;$C19&amp;", *", 集計用!$N:$N, "&lt;&gt;*英語を日常的に*"))/$B19*100</f>
        <v>0</v>
      </c>
      <c r="V19" s="41">
        <f>(COUNTIFS(集計用!$N:$N, "*, "&amp;V$4&amp;", *",集計用!$G:$G,"*, "&amp;$C19&amp;", *", 集計用!$N:$N, "&lt;&gt;*英語を日常的に*"))/$B19*100</f>
        <v>0</v>
      </c>
      <c r="W19" s="41">
        <f>(COUNTIFS(集計用!$N:$N, "*, "&amp;W$4&amp;", *",集計用!$G:$G,"*, "&amp;$C19&amp;", *", 集計用!$N:$N, "&lt;&gt;*英語を日常的に*"))/$B19*100</f>
        <v>0</v>
      </c>
      <c r="Y19" s="39"/>
    </row>
    <row r="20" spans="1:25" ht="15.75" customHeight="1">
      <c r="A20" s="39">
        <v>6</v>
      </c>
      <c r="B20" s="39">
        <f>(COUNTIFS(集計用!$G$2:$G$444,"*, "&amp;$C20&amp;",*",集計用!$N$2:$N$444,"&lt;&gt;*英語を日常的に*",集計用!$N$2:$N$444,"&lt;&gt;無回答, "))</f>
        <v>15</v>
      </c>
      <c r="C20" s="42" t="s">
        <v>12</v>
      </c>
      <c r="D20" s="41">
        <f>(COUNTIFS(集計用!$N:$N, "*, "&amp;D$4&amp;", *",集計用!$G:$G,"*, "&amp;$C20&amp;", *", 集計用!$N:$N, "&lt;&gt;*英語を日常的に*"))/$B20*100</f>
        <v>33.333333333333329</v>
      </c>
      <c r="E20" s="41">
        <f>(COUNTIFS(集計用!$N:$N, "*, "&amp;E$4&amp;", *",集計用!$G:$G,"*, "&amp;$C20&amp;", *", 集計用!$N:$N, "&lt;&gt;*英語を日常的に*"))/$B20*100</f>
        <v>26.666666666666668</v>
      </c>
      <c r="F20" s="41">
        <f>(COUNTIFS(集計用!$N:$N, "*, "&amp;F$4&amp;", *",集計用!$G:$G,"*, "&amp;$C20&amp;", *", 集計用!$N:$N, "&lt;&gt;*英語を日常的に*"))/$B20*100</f>
        <v>26.666666666666668</v>
      </c>
      <c r="G20" s="41">
        <f>(COUNTIFS(集計用!$N:$N, "*, "&amp;G$4&amp;", *",集計用!$G:$G,"*, "&amp;$C20&amp;", *", 集計用!$N:$N, "&lt;&gt;*英語を日常的に*"))/$B20*100</f>
        <v>20</v>
      </c>
      <c r="H20" s="41">
        <f>(COUNTIFS(集計用!$N:$N, "*, "&amp;H$4&amp;", *",集計用!$G:$G,"*, "&amp;$C20&amp;", *", 集計用!$N:$N, "&lt;&gt;*英語を日常的に*"))/$B20*100</f>
        <v>20</v>
      </c>
      <c r="I20" s="41">
        <f>(COUNTIFS(集計用!$N:$N, "*, "&amp;I$4&amp;", *",集計用!$G:$G,"*, "&amp;$C20&amp;", *", 集計用!$N:$N, "&lt;&gt;*英語を日常的に*"))/$B20*100</f>
        <v>40</v>
      </c>
      <c r="J20" s="41">
        <f>(COUNTIFS(集計用!$N:$N, "*, "&amp;J$4&amp;", *",集計用!$G:$G,"*, "&amp;$C20&amp;", *", 集計用!$N:$N, "&lt;&gt;*英語を日常的に*"))/$B20*100</f>
        <v>6.666666666666667</v>
      </c>
      <c r="K20" s="41">
        <f>(COUNTIFS(集計用!$N:$N, "*, "&amp;K$4&amp;", *",集計用!$G:$G,"*, "&amp;$C20&amp;", *", 集計用!$N:$N, "&lt;&gt;*英語を日常的に*"))/$B20*100</f>
        <v>0</v>
      </c>
      <c r="L20" s="41">
        <f>(COUNTIFS(集計用!$N:$N, "*, "&amp;L$4&amp;", *",集計用!$G:$G,"*, "&amp;$C20&amp;", *", 集計用!$N:$N, "&lt;&gt;*英語を日常的に*"))/$B20*100</f>
        <v>0</v>
      </c>
      <c r="M20" s="41">
        <f>(COUNTIFS(集計用!$N:$N, "*, "&amp;M$4&amp;", *",集計用!$G:$G,"*, "&amp;$C20&amp;", *", 集計用!$N:$N, "&lt;&gt;*英語を日常的に*"))/$B20*100</f>
        <v>0</v>
      </c>
      <c r="N20" s="41">
        <f>(COUNTIFS(集計用!$N:$N, "*, "&amp;N$4&amp;", *",集計用!$G:$G,"*, "&amp;$C20&amp;", *", 集計用!$N:$N, "&lt;&gt;*英語を日常的に*"))/$B20*100</f>
        <v>0</v>
      </c>
      <c r="O20" s="41">
        <f>(COUNTIFS(集計用!$N:$N, "*, "&amp;O$4&amp;", *",集計用!$G:$G,"*, "&amp;$C20&amp;", *", 集計用!$N:$N, "&lt;&gt;*英語を日常的に*"))/$B20*100</f>
        <v>0</v>
      </c>
      <c r="P20" s="41">
        <f>(COUNTIFS(集計用!$N:$N, "*, "&amp;P$4&amp;", *",集計用!$G:$G,"*, "&amp;$C20&amp;", *", 集計用!$N:$N, "&lt;&gt;*英語を日常的に*"))/$B20*100</f>
        <v>0</v>
      </c>
      <c r="Q20" s="41">
        <f>(COUNTIFS(集計用!$N:$N, "*, "&amp;Q$4&amp;", *",集計用!$G:$G,"*, "&amp;$C20&amp;", *", 集計用!$N:$N, "&lt;&gt;*英語を日常的に*"))/$B20*100</f>
        <v>0</v>
      </c>
      <c r="R20" s="41">
        <f>(COUNTIFS(集計用!$N:$N, "*, "&amp;R$4&amp;", *",集計用!$G:$G,"*, "&amp;$C20&amp;", *", 集計用!$N:$N, "&lt;&gt;*英語を日常的に*"))/$B20*100</f>
        <v>0</v>
      </c>
      <c r="S20" s="41">
        <f>(COUNTIFS(集計用!$N:$N, "*, "&amp;S$4&amp;", *",集計用!$G:$G,"*, "&amp;$C20&amp;", *", 集計用!$N:$N, "&lt;&gt;*英語を日常的に*"))/$B20*100</f>
        <v>0</v>
      </c>
      <c r="T20" s="41">
        <f>(COUNTIFS(集計用!$N:$N, "*, "&amp;T$4&amp;", *",集計用!$G:$G,"*, "&amp;$C20&amp;", *", 集計用!$N:$N, "&lt;&gt;*英語を日常的に*"))/$B20*100</f>
        <v>0</v>
      </c>
      <c r="U20" s="41">
        <f>(COUNTIFS(集計用!$N:$N, "*, "&amp;U$4&amp;", *",集計用!$G:$G,"*, "&amp;$C20&amp;", *", 集計用!$N:$N, "&lt;&gt;*英語を日常的に*"))/$B20*100</f>
        <v>0</v>
      </c>
      <c r="V20" s="41">
        <f>(COUNTIFS(集計用!$N:$N, "*, "&amp;V$4&amp;", *",集計用!$G:$G,"*, "&amp;$C20&amp;", *", 集計用!$N:$N, "&lt;&gt;*英語を日常的に*"))/$B20*100</f>
        <v>0</v>
      </c>
      <c r="W20" s="41">
        <f>(COUNTIFS(集計用!$N:$N, "*, "&amp;W$4&amp;", *",集計用!$G:$G,"*, "&amp;$C20&amp;", *", 集計用!$N:$N, "&lt;&gt;*英語を日常的に*"))/$B20*100</f>
        <v>0</v>
      </c>
      <c r="Y20" s="39"/>
    </row>
    <row r="21" spans="1:25" ht="15.75" customHeight="1">
      <c r="A21" s="39">
        <v>5</v>
      </c>
      <c r="B21" s="39">
        <f>(COUNTIFS(集計用!$G$2:$G$444,"*, "&amp;$C21&amp;",*",集計用!$N$2:$N$444,"&lt;&gt;*英語を日常的に*",集計用!$N$2:$N$444,"&lt;&gt;無回答, "))</f>
        <v>14</v>
      </c>
      <c r="C21" s="42" t="s">
        <v>17</v>
      </c>
      <c r="D21" s="41">
        <f>(COUNTIFS(集計用!$N:$N, "*, "&amp;D$4&amp;", *",集計用!$G:$G,"*, "&amp;$C21&amp;", *", 集計用!$N:$N, "&lt;&gt;*英語を日常的に*"))/$B21*100</f>
        <v>50</v>
      </c>
      <c r="E21" s="41">
        <f>(COUNTIFS(集計用!$N:$N, "*, "&amp;E$4&amp;", *",集計用!$G:$G,"*, "&amp;$C21&amp;", *", 集計用!$N:$N, "&lt;&gt;*英語を日常的に*"))/$B21*100</f>
        <v>57.142857142857139</v>
      </c>
      <c r="F21" s="41">
        <f>(COUNTIFS(集計用!$N:$N, "*, "&amp;F$4&amp;", *",集計用!$G:$G,"*, "&amp;$C21&amp;", *", 集計用!$N:$N, "&lt;&gt;*英語を日常的に*"))/$B21*100</f>
        <v>42.857142857142854</v>
      </c>
      <c r="G21" s="41">
        <f>(COUNTIFS(集計用!$N:$N, "*, "&amp;G$4&amp;", *",集計用!$G:$G,"*, "&amp;$C21&amp;", *", 集計用!$N:$N, "&lt;&gt;*英語を日常的に*"))/$B21*100</f>
        <v>0</v>
      </c>
      <c r="H21" s="41">
        <f>(COUNTIFS(集計用!$N:$N, "*, "&amp;H$4&amp;", *",集計用!$G:$G,"*, "&amp;$C21&amp;", *", 集計用!$N:$N, "&lt;&gt;*英語を日常的に*"))/$B21*100</f>
        <v>0</v>
      </c>
      <c r="I21" s="41">
        <f>(COUNTIFS(集計用!$N:$N, "*, "&amp;I$4&amp;", *",集計用!$G:$G,"*, "&amp;$C21&amp;", *", 集計用!$N:$N, "&lt;&gt;*英語を日常的に*"))/$B21*100</f>
        <v>14.285714285714285</v>
      </c>
      <c r="J21" s="41">
        <f>(COUNTIFS(集計用!$N:$N, "*, "&amp;J$4&amp;", *",集計用!$G:$G,"*, "&amp;$C21&amp;", *", 集計用!$N:$N, "&lt;&gt;*英語を日常的に*"))/$B21*100</f>
        <v>7.1428571428571423</v>
      </c>
      <c r="K21" s="41">
        <f>(COUNTIFS(集計用!$N:$N, "*, "&amp;K$4&amp;", *",集計用!$G:$G,"*, "&amp;$C21&amp;", *", 集計用!$N:$N, "&lt;&gt;*英語を日常的に*"))/$B21*100</f>
        <v>7.1428571428571423</v>
      </c>
      <c r="L21" s="41">
        <f>(COUNTIFS(集計用!$N:$N, "*, "&amp;L$4&amp;", *",集計用!$G:$G,"*, "&amp;$C21&amp;", *", 集計用!$N:$N, "&lt;&gt;*英語を日常的に*"))/$B21*100</f>
        <v>14.285714285714285</v>
      </c>
      <c r="M21" s="41">
        <f>(COUNTIFS(集計用!$N:$N, "*, "&amp;M$4&amp;", *",集計用!$G:$G,"*, "&amp;$C21&amp;", *", 集計用!$N:$N, "&lt;&gt;*英語を日常的に*"))/$B21*100</f>
        <v>0</v>
      </c>
      <c r="N21" s="41">
        <f>(COUNTIFS(集計用!$N:$N, "*, "&amp;N$4&amp;", *",集計用!$G:$G,"*, "&amp;$C21&amp;", *", 集計用!$N:$N, "&lt;&gt;*英語を日常的に*"))/$B21*100</f>
        <v>0</v>
      </c>
      <c r="O21" s="41">
        <f>(COUNTIFS(集計用!$N:$N, "*, "&amp;O$4&amp;", *",集計用!$G:$G,"*, "&amp;$C21&amp;", *", 集計用!$N:$N, "&lt;&gt;*英語を日常的に*"))/$B21*100</f>
        <v>0</v>
      </c>
      <c r="P21" s="41">
        <f>(COUNTIFS(集計用!$N:$N, "*, "&amp;P$4&amp;", *",集計用!$G:$G,"*, "&amp;$C21&amp;", *", 集計用!$N:$N, "&lt;&gt;*英語を日常的に*"))/$B21*100</f>
        <v>0</v>
      </c>
      <c r="Q21" s="41">
        <f>(COUNTIFS(集計用!$N:$N, "*, "&amp;Q$4&amp;", *",集計用!$G:$G,"*, "&amp;$C21&amp;", *", 集計用!$N:$N, "&lt;&gt;*英語を日常的に*"))/$B21*100</f>
        <v>0</v>
      </c>
      <c r="R21" s="41">
        <f>(COUNTIFS(集計用!$N:$N, "*, "&amp;R$4&amp;", *",集計用!$G:$G,"*, "&amp;$C21&amp;", *", 集計用!$N:$N, "&lt;&gt;*英語を日常的に*"))/$B21*100</f>
        <v>0</v>
      </c>
      <c r="S21" s="41">
        <f>(COUNTIFS(集計用!$N:$N, "*, "&amp;S$4&amp;", *",集計用!$G:$G,"*, "&amp;$C21&amp;", *", 集計用!$N:$N, "&lt;&gt;*英語を日常的に*"))/$B21*100</f>
        <v>0</v>
      </c>
      <c r="T21" s="41">
        <f>(COUNTIFS(集計用!$N:$N, "*, "&amp;T$4&amp;", *",集計用!$G:$G,"*, "&amp;$C21&amp;", *", 集計用!$N:$N, "&lt;&gt;*英語を日常的に*"))/$B21*100</f>
        <v>0</v>
      </c>
      <c r="U21" s="41">
        <f>(COUNTIFS(集計用!$N:$N, "*, "&amp;U$4&amp;", *",集計用!$G:$G,"*, "&amp;$C21&amp;", *", 集計用!$N:$N, "&lt;&gt;*英語を日常的に*"))/$B21*100</f>
        <v>0</v>
      </c>
      <c r="V21" s="41">
        <f>(COUNTIFS(集計用!$N:$N, "*, "&amp;V$4&amp;", *",集計用!$G:$G,"*, "&amp;$C21&amp;", *", 集計用!$N:$N, "&lt;&gt;*英語を日常的に*"))/$B21*100</f>
        <v>0</v>
      </c>
      <c r="W21" s="41">
        <f>(COUNTIFS(集計用!$N:$N, "*, "&amp;W$4&amp;", *",集計用!$G:$G,"*, "&amp;$C21&amp;", *", 集計用!$N:$N, "&lt;&gt;*英語を日常的に*"))/$B21*100</f>
        <v>0</v>
      </c>
      <c r="Y21" s="39"/>
    </row>
    <row r="22" spans="1:25" ht="15.75" customHeight="1">
      <c r="A22" s="39">
        <v>3</v>
      </c>
      <c r="B22" s="39">
        <f>(COUNTIFS(集計用!$G$2:$G$444,"*, "&amp;$C22&amp;",*",集計用!$N$2:$N$444,"&lt;&gt;*英語を日常的に*",集計用!$N$2:$N$444,"&lt;&gt;無回答, "))</f>
        <v>14</v>
      </c>
      <c r="C22" s="42" t="s">
        <v>15</v>
      </c>
      <c r="D22" s="41">
        <f>(COUNTIFS(集計用!$N:$N, "*, "&amp;D$4&amp;", *",集計用!$G:$G,"*, "&amp;$C22&amp;", *", 集計用!$N:$N, "&lt;&gt;*英語を日常的に*"))/$B22*100</f>
        <v>42.857142857142854</v>
      </c>
      <c r="E22" s="41">
        <f>(COUNTIFS(集計用!$N:$N, "*, "&amp;E$4&amp;", *",集計用!$G:$G,"*, "&amp;$C22&amp;", *", 集計用!$N:$N, "&lt;&gt;*英語を日常的に*"))/$B22*100</f>
        <v>35.714285714285715</v>
      </c>
      <c r="F22" s="41">
        <f>(COUNTIFS(集計用!$N:$N, "*, "&amp;F$4&amp;", *",集計用!$G:$G,"*, "&amp;$C22&amp;", *", 集計用!$N:$N, "&lt;&gt;*英語を日常的に*"))/$B22*100</f>
        <v>42.857142857142854</v>
      </c>
      <c r="G22" s="41">
        <f>(COUNTIFS(集計用!$N:$N, "*, "&amp;G$4&amp;", *",集計用!$G:$G,"*, "&amp;$C22&amp;", *", 集計用!$N:$N, "&lt;&gt;*英語を日常的に*"))/$B22*100</f>
        <v>14.285714285714285</v>
      </c>
      <c r="H22" s="41">
        <f>(COUNTIFS(集計用!$N:$N, "*, "&amp;H$4&amp;", *",集計用!$G:$G,"*, "&amp;$C22&amp;", *", 集計用!$N:$N, "&lt;&gt;*英語を日常的に*"))/$B22*100</f>
        <v>21.428571428571427</v>
      </c>
      <c r="I22" s="41">
        <f>(COUNTIFS(集計用!$N:$N, "*, "&amp;I$4&amp;", *",集計用!$G:$G,"*, "&amp;$C22&amp;", *", 集計用!$N:$N, "&lt;&gt;*英語を日常的に*"))/$B22*100</f>
        <v>28.571428571428569</v>
      </c>
      <c r="J22" s="41">
        <f>(COUNTIFS(集計用!$N:$N, "*, "&amp;J$4&amp;", *",集計用!$G:$G,"*, "&amp;$C22&amp;", *", 集計用!$N:$N, "&lt;&gt;*英語を日常的に*"))/$B22*100</f>
        <v>7.1428571428571423</v>
      </c>
      <c r="K22" s="41">
        <f>(COUNTIFS(集計用!$N:$N, "*, "&amp;K$4&amp;", *",集計用!$G:$G,"*, "&amp;$C22&amp;", *", 集計用!$N:$N, "&lt;&gt;*英語を日常的に*"))/$B22*100</f>
        <v>7.1428571428571423</v>
      </c>
      <c r="L22" s="41">
        <f>(COUNTIFS(集計用!$N:$N, "*, "&amp;L$4&amp;", *",集計用!$G:$G,"*, "&amp;$C22&amp;", *", 集計用!$N:$N, "&lt;&gt;*英語を日常的に*"))/$B22*100</f>
        <v>7.1428571428571423</v>
      </c>
      <c r="M22" s="41">
        <f>(COUNTIFS(集計用!$N:$N, "*, "&amp;M$4&amp;", *",集計用!$G:$G,"*, "&amp;$C22&amp;", *", 集計用!$N:$N, "&lt;&gt;*英語を日常的に*"))/$B22*100</f>
        <v>0</v>
      </c>
      <c r="N22" s="41">
        <f>(COUNTIFS(集計用!$N:$N, "*, "&amp;N$4&amp;", *",集計用!$G:$G,"*, "&amp;$C22&amp;", *", 集計用!$N:$N, "&lt;&gt;*英語を日常的に*"))/$B22*100</f>
        <v>0</v>
      </c>
      <c r="O22" s="41">
        <f>(COUNTIFS(集計用!$N:$N, "*, "&amp;O$4&amp;", *",集計用!$G:$G,"*, "&amp;$C22&amp;", *", 集計用!$N:$N, "&lt;&gt;*英語を日常的に*"))/$B22*100</f>
        <v>0</v>
      </c>
      <c r="P22" s="41">
        <f>(COUNTIFS(集計用!$N:$N, "*, "&amp;P$4&amp;", *",集計用!$G:$G,"*, "&amp;$C22&amp;", *", 集計用!$N:$N, "&lt;&gt;*英語を日常的に*"))/$B22*100</f>
        <v>0</v>
      </c>
      <c r="Q22" s="41">
        <f>(COUNTIFS(集計用!$N:$N, "*, "&amp;Q$4&amp;", *",集計用!$G:$G,"*, "&amp;$C22&amp;", *", 集計用!$N:$N, "&lt;&gt;*英語を日常的に*"))/$B22*100</f>
        <v>0</v>
      </c>
      <c r="R22" s="41">
        <f>(COUNTIFS(集計用!$N:$N, "*, "&amp;R$4&amp;", *",集計用!$G:$G,"*, "&amp;$C22&amp;", *", 集計用!$N:$N, "&lt;&gt;*英語を日常的に*"))/$B22*100</f>
        <v>0</v>
      </c>
      <c r="S22" s="41">
        <f>(COUNTIFS(集計用!$N:$N, "*, "&amp;S$4&amp;", *",集計用!$G:$G,"*, "&amp;$C22&amp;", *", 集計用!$N:$N, "&lt;&gt;*英語を日常的に*"))/$B22*100</f>
        <v>0</v>
      </c>
      <c r="T22" s="41">
        <f>(COUNTIFS(集計用!$N:$N, "*, "&amp;T$4&amp;", *",集計用!$G:$G,"*, "&amp;$C22&amp;", *", 集計用!$N:$N, "&lt;&gt;*英語を日常的に*"))/$B22*100</f>
        <v>0</v>
      </c>
      <c r="U22" s="41">
        <f>(COUNTIFS(集計用!$N:$N, "*, "&amp;U$4&amp;", *",集計用!$G:$G,"*, "&amp;$C22&amp;", *", 集計用!$N:$N, "&lt;&gt;*英語を日常的に*"))/$B22*100</f>
        <v>0</v>
      </c>
      <c r="V22" s="41">
        <f>(COUNTIFS(集計用!$N:$N, "*, "&amp;V$4&amp;", *",集計用!$G:$G,"*, "&amp;$C22&amp;", *", 集計用!$N:$N, "&lt;&gt;*英語を日常的に*"))/$B22*100</f>
        <v>0</v>
      </c>
      <c r="W22" s="41">
        <f>(COUNTIFS(集計用!$N:$N, "*, "&amp;W$4&amp;", *",集計用!$G:$G,"*, "&amp;$C22&amp;", *", 集計用!$N:$N, "&lt;&gt;*英語を日常的に*"))/$B22*100</f>
        <v>0</v>
      </c>
      <c r="Y22" s="39"/>
    </row>
    <row r="23" spans="1:25" ht="15.75" customHeight="1">
      <c r="A23" s="39">
        <v>5</v>
      </c>
      <c r="B23" s="39">
        <f>(COUNTIFS(集計用!$G$2:$G$444,"*, "&amp;$C23&amp;",*",集計用!$N$2:$N$444,"&lt;&gt;*英語を日常的に*",集計用!$N$2:$N$444,"&lt;&gt;無回答, "))</f>
        <v>13</v>
      </c>
      <c r="C23" s="42" t="s">
        <v>16</v>
      </c>
      <c r="D23" s="41">
        <f>(COUNTIFS(集計用!$N:$N, "*, "&amp;D$4&amp;", *",集計用!$G:$G,"*, "&amp;$C23&amp;", *", 集計用!$N:$N, "&lt;&gt;*英語を日常的に*"))/$B23*100</f>
        <v>61.53846153846154</v>
      </c>
      <c r="E23" s="41">
        <f>(COUNTIFS(集計用!$N:$N, "*, "&amp;E$4&amp;", *",集計用!$G:$G,"*, "&amp;$C23&amp;", *", 集計用!$N:$N, "&lt;&gt;*英語を日常的に*"))/$B23*100</f>
        <v>53.846153846153847</v>
      </c>
      <c r="F23" s="41">
        <f>(COUNTIFS(集計用!$N:$N, "*, "&amp;F$4&amp;", *",集計用!$G:$G,"*, "&amp;$C23&amp;", *", 集計用!$N:$N, "&lt;&gt;*英語を日常的に*"))/$B23*100</f>
        <v>53.846153846153847</v>
      </c>
      <c r="G23" s="41">
        <f>(COUNTIFS(集計用!$N:$N, "*, "&amp;G$4&amp;", *",集計用!$G:$G,"*, "&amp;$C23&amp;", *", 集計用!$N:$N, "&lt;&gt;*英語を日常的に*"))/$B23*100</f>
        <v>0</v>
      </c>
      <c r="H23" s="41">
        <f>(COUNTIFS(集計用!$N:$N, "*, "&amp;H$4&amp;", *",集計用!$G:$G,"*, "&amp;$C23&amp;", *", 集計用!$N:$N, "&lt;&gt;*英語を日常的に*"))/$B23*100</f>
        <v>23.076923076923077</v>
      </c>
      <c r="I23" s="41">
        <f>(COUNTIFS(集計用!$N:$N, "*, "&amp;I$4&amp;", *",集計用!$G:$G,"*, "&amp;$C23&amp;", *", 集計用!$N:$N, "&lt;&gt;*英語を日常的に*"))/$B23*100</f>
        <v>15.384615384615385</v>
      </c>
      <c r="J23" s="41">
        <f>(COUNTIFS(集計用!$N:$N, "*, "&amp;J$4&amp;", *",集計用!$G:$G,"*, "&amp;$C23&amp;", *", 集計用!$N:$N, "&lt;&gt;*英語を日常的に*"))/$B23*100</f>
        <v>23.076923076923077</v>
      </c>
      <c r="K23" s="41">
        <f>(COUNTIFS(集計用!$N:$N, "*, "&amp;K$4&amp;", *",集計用!$G:$G,"*, "&amp;$C23&amp;", *", 集計用!$N:$N, "&lt;&gt;*英語を日常的に*"))/$B23*100</f>
        <v>0</v>
      </c>
      <c r="L23" s="41">
        <f>(COUNTIFS(集計用!$N:$N, "*, "&amp;L$4&amp;", *",集計用!$G:$G,"*, "&amp;$C23&amp;", *", 集計用!$N:$N, "&lt;&gt;*英語を日常的に*"))/$B23*100</f>
        <v>0</v>
      </c>
      <c r="M23" s="41">
        <f>(COUNTIFS(集計用!$N:$N, "*, "&amp;M$4&amp;", *",集計用!$G:$G,"*, "&amp;$C23&amp;", *", 集計用!$N:$N, "&lt;&gt;*英語を日常的に*"))/$B23*100</f>
        <v>0</v>
      </c>
      <c r="N23" s="41">
        <f>(COUNTIFS(集計用!$N:$N, "*, "&amp;N$4&amp;", *",集計用!$G:$G,"*, "&amp;$C23&amp;", *", 集計用!$N:$N, "&lt;&gt;*英語を日常的に*"))/$B23*100</f>
        <v>0</v>
      </c>
      <c r="O23" s="41">
        <f>(COUNTIFS(集計用!$N:$N, "*, "&amp;O$4&amp;", *",集計用!$G:$G,"*, "&amp;$C23&amp;", *", 集計用!$N:$N, "&lt;&gt;*英語を日常的に*"))/$B23*100</f>
        <v>0</v>
      </c>
      <c r="P23" s="41">
        <f>(COUNTIFS(集計用!$N:$N, "*, "&amp;P$4&amp;", *",集計用!$G:$G,"*, "&amp;$C23&amp;", *", 集計用!$N:$N, "&lt;&gt;*英語を日常的に*"))/$B23*100</f>
        <v>0</v>
      </c>
      <c r="Q23" s="41">
        <f>(COUNTIFS(集計用!$N:$N, "*, "&amp;Q$4&amp;", *",集計用!$G:$G,"*, "&amp;$C23&amp;", *", 集計用!$N:$N, "&lt;&gt;*英語を日常的に*"))/$B23*100</f>
        <v>0</v>
      </c>
      <c r="R23" s="41">
        <f>(COUNTIFS(集計用!$N:$N, "*, "&amp;R$4&amp;", *",集計用!$G:$G,"*, "&amp;$C23&amp;", *", 集計用!$N:$N, "&lt;&gt;*英語を日常的に*"))/$B23*100</f>
        <v>0</v>
      </c>
      <c r="S23" s="41">
        <f>(COUNTIFS(集計用!$N:$N, "*, "&amp;S$4&amp;", *",集計用!$G:$G,"*, "&amp;$C23&amp;", *", 集計用!$N:$N, "&lt;&gt;*英語を日常的に*"))/$B23*100</f>
        <v>0</v>
      </c>
      <c r="T23" s="41">
        <f>(COUNTIFS(集計用!$N:$N, "*, "&amp;T$4&amp;", *",集計用!$G:$G,"*, "&amp;$C23&amp;", *", 集計用!$N:$N, "&lt;&gt;*英語を日常的に*"))/$B23*100</f>
        <v>0</v>
      </c>
      <c r="U23" s="41">
        <f>(COUNTIFS(集計用!$N:$N, "*, "&amp;U$4&amp;", *",集計用!$G:$G,"*, "&amp;$C23&amp;", *", 集計用!$N:$N, "&lt;&gt;*英語を日常的に*"))/$B23*100</f>
        <v>0</v>
      </c>
      <c r="V23" s="41">
        <f>(COUNTIFS(集計用!$N:$N, "*, "&amp;V$4&amp;", *",集計用!$G:$G,"*, "&amp;$C23&amp;", *", 集計用!$N:$N, "&lt;&gt;*英語を日常的に*"))/$B23*100</f>
        <v>0</v>
      </c>
      <c r="W23" s="41">
        <f>(COUNTIFS(集計用!$N:$N, "*, "&amp;W$4&amp;", *",集計用!$G:$G,"*, "&amp;$C23&amp;", *", 集計用!$N:$N, "&lt;&gt;*英語を日常的に*"))/$B23*100</f>
        <v>0</v>
      </c>
      <c r="Y23" s="39"/>
    </row>
    <row r="24" spans="1:25" ht="15.75" customHeight="1">
      <c r="A24" s="39">
        <v>4</v>
      </c>
      <c r="B24" s="39">
        <f>(COUNTIFS(集計用!$G$2:$G$444,"*, "&amp;$C24&amp;",*",集計用!$N$2:$N$444,"&lt;&gt;*英語を日常的に*",集計用!$N$2:$N$444,"&lt;&gt;無回答, "))</f>
        <v>13</v>
      </c>
      <c r="C24" s="42" t="s">
        <v>14</v>
      </c>
      <c r="D24" s="41">
        <f>(COUNTIFS(集計用!$N:$N, "*, "&amp;D$4&amp;", *",集計用!$G:$G,"*, "&amp;$C24&amp;", *", 集計用!$N:$N, "&lt;&gt;*英語を日常的に*"))/$B24*100</f>
        <v>69.230769230769226</v>
      </c>
      <c r="E24" s="41">
        <f>(COUNTIFS(集計用!$N:$N, "*, "&amp;E$4&amp;", *",集計用!$G:$G,"*, "&amp;$C24&amp;", *", 集計用!$N:$N, "&lt;&gt;*英語を日常的に*"))/$B24*100</f>
        <v>38.461538461538467</v>
      </c>
      <c r="F24" s="41">
        <f>(COUNTIFS(集計用!$N:$N, "*, "&amp;F$4&amp;", *",集計用!$G:$G,"*, "&amp;$C24&amp;", *", 集計用!$N:$N, "&lt;&gt;*英語を日常的に*"))/$B24*100</f>
        <v>23.076923076923077</v>
      </c>
      <c r="G24" s="41">
        <f>(COUNTIFS(集計用!$N:$N, "*, "&amp;G$4&amp;", *",集計用!$G:$G,"*, "&amp;$C24&amp;", *", 集計用!$N:$N, "&lt;&gt;*英語を日常的に*"))/$B24*100</f>
        <v>23.076923076923077</v>
      </c>
      <c r="H24" s="41">
        <f>(COUNTIFS(集計用!$N:$N, "*, "&amp;H$4&amp;", *",集計用!$G:$G,"*, "&amp;$C24&amp;", *", 集計用!$N:$N, "&lt;&gt;*英語を日常的に*"))/$B24*100</f>
        <v>7.6923076923076925</v>
      </c>
      <c r="I24" s="41">
        <f>(COUNTIFS(集計用!$N:$N, "*, "&amp;I$4&amp;", *",集計用!$G:$G,"*, "&amp;$C24&amp;", *", 集計用!$N:$N, "&lt;&gt;*英語を日常的に*"))/$B24*100</f>
        <v>23.076923076923077</v>
      </c>
      <c r="J24" s="41">
        <f>(COUNTIFS(集計用!$N:$N, "*, "&amp;J$4&amp;", *",集計用!$G:$G,"*, "&amp;$C24&amp;", *", 集計用!$N:$N, "&lt;&gt;*英語を日常的に*"))/$B24*100</f>
        <v>7.6923076923076925</v>
      </c>
      <c r="K24" s="41">
        <f>(COUNTIFS(集計用!$N:$N, "*, "&amp;K$4&amp;", *",集計用!$G:$G,"*, "&amp;$C24&amp;", *", 集計用!$N:$N, "&lt;&gt;*英語を日常的に*"))/$B24*100</f>
        <v>0</v>
      </c>
      <c r="L24" s="41">
        <f>(COUNTIFS(集計用!$N:$N, "*, "&amp;L$4&amp;", *",集計用!$G:$G,"*, "&amp;$C24&amp;", *", 集計用!$N:$N, "&lt;&gt;*英語を日常的に*"))/$B24*100</f>
        <v>0</v>
      </c>
      <c r="M24" s="41">
        <f>(COUNTIFS(集計用!$N:$N, "*, "&amp;M$4&amp;", *",集計用!$G:$G,"*, "&amp;$C24&amp;", *", 集計用!$N:$N, "&lt;&gt;*英語を日常的に*"))/$B24*100</f>
        <v>0</v>
      </c>
      <c r="N24" s="41">
        <f>(COUNTIFS(集計用!$N:$N, "*, "&amp;N$4&amp;", *",集計用!$G:$G,"*, "&amp;$C24&amp;", *", 集計用!$N:$N, "&lt;&gt;*英語を日常的に*"))/$B24*100</f>
        <v>0</v>
      </c>
      <c r="O24" s="41">
        <f>(COUNTIFS(集計用!$N:$N, "*, "&amp;O$4&amp;", *",集計用!$G:$G,"*, "&amp;$C24&amp;", *", 集計用!$N:$N, "&lt;&gt;*英語を日常的に*"))/$B24*100</f>
        <v>0</v>
      </c>
      <c r="P24" s="41">
        <f>(COUNTIFS(集計用!$N:$N, "*, "&amp;P$4&amp;", *",集計用!$G:$G,"*, "&amp;$C24&amp;", *", 集計用!$N:$N, "&lt;&gt;*英語を日常的に*"))/$B24*100</f>
        <v>0</v>
      </c>
      <c r="Q24" s="41">
        <f>(COUNTIFS(集計用!$N:$N, "*, "&amp;Q$4&amp;", *",集計用!$G:$G,"*, "&amp;$C24&amp;", *", 集計用!$N:$N, "&lt;&gt;*英語を日常的に*"))/$B24*100</f>
        <v>0</v>
      </c>
      <c r="R24" s="41">
        <f>(COUNTIFS(集計用!$N:$N, "*, "&amp;R$4&amp;", *",集計用!$G:$G,"*, "&amp;$C24&amp;", *", 集計用!$N:$N, "&lt;&gt;*英語を日常的に*"))/$B24*100</f>
        <v>0</v>
      </c>
      <c r="S24" s="41">
        <f>(COUNTIFS(集計用!$N:$N, "*, "&amp;S$4&amp;", *",集計用!$G:$G,"*, "&amp;$C24&amp;", *", 集計用!$N:$N, "&lt;&gt;*英語を日常的に*"))/$B24*100</f>
        <v>0</v>
      </c>
      <c r="T24" s="41">
        <f>(COUNTIFS(集計用!$N:$N, "*, "&amp;T$4&amp;", *",集計用!$G:$G,"*, "&amp;$C24&amp;", *", 集計用!$N:$N, "&lt;&gt;*英語を日常的に*"))/$B24*100</f>
        <v>0</v>
      </c>
      <c r="U24" s="41">
        <f>(COUNTIFS(集計用!$N:$N, "*, "&amp;U$4&amp;", *",集計用!$G:$G,"*, "&amp;$C24&amp;", *", 集計用!$N:$N, "&lt;&gt;*英語を日常的に*"))/$B24*100</f>
        <v>0</v>
      </c>
      <c r="V24" s="41">
        <f>(COUNTIFS(集計用!$N:$N, "*, "&amp;V$4&amp;", *",集計用!$G:$G,"*, "&amp;$C24&amp;", *", 集計用!$N:$N, "&lt;&gt;*英語を日常的に*"))/$B24*100</f>
        <v>0</v>
      </c>
      <c r="W24" s="41">
        <f>(COUNTIFS(集計用!$N:$N, "*, "&amp;W$4&amp;", *",集計用!$G:$G,"*, "&amp;$C24&amp;", *", 集計用!$N:$N, "&lt;&gt;*英語を日常的に*"))/$B24*100</f>
        <v>0</v>
      </c>
      <c r="Y24" s="39"/>
    </row>
    <row r="25" spans="1:25" ht="12.75">
      <c r="A25" s="39">
        <v>2</v>
      </c>
      <c r="B25" s="39">
        <f>(COUNTIFS(集計用!$G$2:$G$444,"*, "&amp;$C25&amp;",*",集計用!$N$2:$N$444,"&lt;&gt;*英語を日常的に*",集計用!$N$2:$N$444,"&lt;&gt;無回答, "))</f>
        <v>13</v>
      </c>
      <c r="C25" s="42" t="s">
        <v>19</v>
      </c>
      <c r="D25" s="41">
        <f>(COUNTIFS(集計用!$N:$N, "*, "&amp;D$4&amp;", *",集計用!$G:$G,"*, "&amp;$C25&amp;", *", 集計用!$N:$N, "&lt;&gt;*英語を日常的に*"))/$B25*100</f>
        <v>38.461538461538467</v>
      </c>
      <c r="E25" s="41">
        <f>(COUNTIFS(集計用!$N:$N, "*, "&amp;E$4&amp;", *",集計用!$G:$G,"*, "&amp;$C25&amp;", *", 集計用!$N:$N, "&lt;&gt;*英語を日常的に*"))/$B25*100</f>
        <v>23.076923076923077</v>
      </c>
      <c r="F25" s="41">
        <f>(COUNTIFS(集計用!$N:$N, "*, "&amp;F$4&amp;", *",集計用!$G:$G,"*, "&amp;$C25&amp;", *", 集計用!$N:$N, "&lt;&gt;*英語を日常的に*"))/$B25*100</f>
        <v>30.76923076923077</v>
      </c>
      <c r="G25" s="41">
        <f>(COUNTIFS(集計用!$N:$N, "*, "&amp;G$4&amp;", *",集計用!$G:$G,"*, "&amp;$C25&amp;", *", 集計用!$N:$N, "&lt;&gt;*英語を日常的に*"))/$B25*100</f>
        <v>23.076923076923077</v>
      </c>
      <c r="H25" s="41">
        <f>(COUNTIFS(集計用!$N:$N, "*, "&amp;H$4&amp;", *",集計用!$G:$G,"*, "&amp;$C25&amp;", *", 集計用!$N:$N, "&lt;&gt;*英語を日常的に*"))/$B25*100</f>
        <v>23.076923076923077</v>
      </c>
      <c r="I25" s="41">
        <f>(COUNTIFS(集計用!$N:$N, "*, "&amp;I$4&amp;", *",集計用!$G:$G,"*, "&amp;$C25&amp;", *", 集計用!$N:$N, "&lt;&gt;*英語を日常的に*"))/$B25*100</f>
        <v>15.384615384615385</v>
      </c>
      <c r="J25" s="41">
        <f>(COUNTIFS(集計用!$N:$N, "*, "&amp;J$4&amp;", *",集計用!$G:$G,"*, "&amp;$C25&amp;", *", 集計用!$N:$N, "&lt;&gt;*英語を日常的に*"))/$B25*100</f>
        <v>0</v>
      </c>
      <c r="K25" s="41">
        <f>(COUNTIFS(集計用!$N:$N, "*, "&amp;K$4&amp;", *",集計用!$G:$G,"*, "&amp;$C25&amp;", *", 集計用!$N:$N, "&lt;&gt;*英語を日常的に*"))/$B25*100</f>
        <v>15.384615384615385</v>
      </c>
      <c r="L25" s="41">
        <f>(COUNTIFS(集計用!$N:$N, "*, "&amp;L$4&amp;", *",集計用!$G:$G,"*, "&amp;$C25&amp;", *", 集計用!$N:$N, "&lt;&gt;*英語を日常的に*"))/$B25*100</f>
        <v>15.384615384615385</v>
      </c>
      <c r="M25" s="41">
        <f>(COUNTIFS(集計用!$N:$N, "*, "&amp;M$4&amp;", *",集計用!$G:$G,"*, "&amp;$C25&amp;", *", 集計用!$N:$N, "&lt;&gt;*英語を日常的に*"))/$B25*100</f>
        <v>0</v>
      </c>
      <c r="N25" s="41">
        <f>(COUNTIFS(集計用!$N:$N, "*, "&amp;N$4&amp;", *",集計用!$G:$G,"*, "&amp;$C25&amp;", *", 集計用!$N:$N, "&lt;&gt;*英語を日常的に*"))/$B25*100</f>
        <v>0</v>
      </c>
      <c r="O25" s="41">
        <f>(COUNTIFS(集計用!$N:$N, "*, "&amp;O$4&amp;", *",集計用!$G:$G,"*, "&amp;$C25&amp;", *", 集計用!$N:$N, "&lt;&gt;*英語を日常的に*"))/$B25*100</f>
        <v>0</v>
      </c>
      <c r="P25" s="41">
        <f>(COUNTIFS(集計用!$N:$N, "*, "&amp;P$4&amp;", *",集計用!$G:$G,"*, "&amp;$C25&amp;", *", 集計用!$N:$N, "&lt;&gt;*英語を日常的に*"))/$B25*100</f>
        <v>0</v>
      </c>
      <c r="Q25" s="41">
        <f>(COUNTIFS(集計用!$N:$N, "*, "&amp;Q$4&amp;", *",集計用!$G:$G,"*, "&amp;$C25&amp;", *", 集計用!$N:$N, "&lt;&gt;*英語を日常的に*"))/$B25*100</f>
        <v>0</v>
      </c>
      <c r="R25" s="41">
        <f>(COUNTIFS(集計用!$N:$N, "*, "&amp;R$4&amp;", *",集計用!$G:$G,"*, "&amp;$C25&amp;", *", 集計用!$N:$N, "&lt;&gt;*英語を日常的に*"))/$B25*100</f>
        <v>0</v>
      </c>
      <c r="S25" s="41">
        <f>(COUNTIFS(集計用!$N:$N, "*, "&amp;S$4&amp;", *",集計用!$G:$G,"*, "&amp;$C25&amp;", *", 集計用!$N:$N, "&lt;&gt;*英語を日常的に*"))/$B25*100</f>
        <v>0</v>
      </c>
      <c r="T25" s="41">
        <f>(COUNTIFS(集計用!$N:$N, "*, "&amp;T$4&amp;", *",集計用!$G:$G,"*, "&amp;$C25&amp;", *", 集計用!$N:$N, "&lt;&gt;*英語を日常的に*"))/$B25*100</f>
        <v>0</v>
      </c>
      <c r="U25" s="41">
        <f>(COUNTIFS(集計用!$N:$N, "*, "&amp;U$4&amp;", *",集計用!$G:$G,"*, "&amp;$C25&amp;", *", 集計用!$N:$N, "&lt;&gt;*英語を日常的に*"))/$B25*100</f>
        <v>0</v>
      </c>
      <c r="V25" s="41">
        <f>(COUNTIFS(集計用!$N:$N, "*, "&amp;V$4&amp;", *",集計用!$G:$G,"*, "&amp;$C25&amp;", *", 集計用!$N:$N, "&lt;&gt;*英語を日常的に*"))/$B25*100</f>
        <v>0</v>
      </c>
      <c r="W25" s="41">
        <f>(COUNTIFS(集計用!$N:$N, "*, "&amp;W$4&amp;", *",集計用!$G:$G,"*, "&amp;$C25&amp;", *", 集計用!$N:$N, "&lt;&gt;*英語を日常的に*"))/$B25*100</f>
        <v>0</v>
      </c>
      <c r="Y25" s="39"/>
    </row>
    <row r="26" spans="1:25" ht="12.75">
      <c r="A26" s="39">
        <v>4</v>
      </c>
      <c r="B26" s="39">
        <f>(COUNTIFS(集計用!$G$2:$G$444,"*, "&amp;$C26&amp;",*",集計用!$N$2:$N$444,"&lt;&gt;*英語を日常的に*",集計用!$N$2:$N$444,"&lt;&gt;無回答, "))</f>
        <v>12</v>
      </c>
      <c r="C26" s="42" t="s">
        <v>24</v>
      </c>
      <c r="D26" s="41">
        <f>(COUNTIFS(集計用!$N:$N, "*, "&amp;D$4&amp;", *",集計用!$G:$G,"*, "&amp;$C26&amp;", *", 集計用!$N:$N, "&lt;&gt;*英語を日常的に*"))/$B26*100</f>
        <v>33.333333333333329</v>
      </c>
      <c r="E26" s="41">
        <f>(COUNTIFS(集計用!$N:$N, "*, "&amp;E$4&amp;", *",集計用!$G:$G,"*, "&amp;$C26&amp;", *", 集計用!$N:$N, "&lt;&gt;*英語を日常的に*"))/$B26*100</f>
        <v>50</v>
      </c>
      <c r="F26" s="41">
        <f>(COUNTIFS(集計用!$N:$N, "*, "&amp;F$4&amp;", *",集計用!$G:$G,"*, "&amp;$C26&amp;", *", 集計用!$N:$N, "&lt;&gt;*英語を日常的に*"))/$B26*100</f>
        <v>50</v>
      </c>
      <c r="G26" s="41">
        <f>(COUNTIFS(集計用!$N:$N, "*, "&amp;G$4&amp;", *",集計用!$G:$G,"*, "&amp;$C26&amp;", *", 集計用!$N:$N, "&lt;&gt;*英語を日常的に*"))/$B26*100</f>
        <v>16.666666666666664</v>
      </c>
      <c r="H26" s="41">
        <f>(COUNTIFS(集計用!$N:$N, "*, "&amp;H$4&amp;", *",集計用!$G:$G,"*, "&amp;$C26&amp;", *", 集計用!$N:$N, "&lt;&gt;*英語を日常的に*"))/$B26*100</f>
        <v>16.666666666666664</v>
      </c>
      <c r="I26" s="41">
        <f>(COUNTIFS(集計用!$N:$N, "*, "&amp;I$4&amp;", *",集計用!$G:$G,"*, "&amp;$C26&amp;", *", 集計用!$N:$N, "&lt;&gt;*英語を日常的に*"))/$B26*100</f>
        <v>8.3333333333333321</v>
      </c>
      <c r="J26" s="41">
        <f>(COUNTIFS(集計用!$N:$N, "*, "&amp;J$4&amp;", *",集計用!$G:$G,"*, "&amp;$C26&amp;", *", 集計用!$N:$N, "&lt;&gt;*英語を日常的に*"))/$B26*100</f>
        <v>8.3333333333333321</v>
      </c>
      <c r="K26" s="41">
        <f>(COUNTIFS(集計用!$N:$N, "*, "&amp;K$4&amp;", *",集計用!$G:$G,"*, "&amp;$C26&amp;", *", 集計用!$N:$N, "&lt;&gt;*英語を日常的に*"))/$B26*100</f>
        <v>8.3333333333333321</v>
      </c>
      <c r="L26" s="41">
        <f>(COUNTIFS(集計用!$N:$N, "*, "&amp;L$4&amp;", *",集計用!$G:$G,"*, "&amp;$C26&amp;", *", 集計用!$N:$N, "&lt;&gt;*英語を日常的に*"))/$B26*100</f>
        <v>0</v>
      </c>
      <c r="M26" s="41">
        <f>(COUNTIFS(集計用!$N:$N, "*, "&amp;M$4&amp;", *",集計用!$G:$G,"*, "&amp;$C26&amp;", *", 集計用!$N:$N, "&lt;&gt;*英語を日常的に*"))/$B26*100</f>
        <v>0</v>
      </c>
      <c r="N26" s="41">
        <f>(COUNTIFS(集計用!$N:$N, "*, "&amp;N$4&amp;", *",集計用!$G:$G,"*, "&amp;$C26&amp;", *", 集計用!$N:$N, "&lt;&gt;*英語を日常的に*"))/$B26*100</f>
        <v>0</v>
      </c>
      <c r="O26" s="41">
        <f>(COUNTIFS(集計用!$N:$N, "*, "&amp;O$4&amp;", *",集計用!$G:$G,"*, "&amp;$C26&amp;", *", 集計用!$N:$N, "&lt;&gt;*英語を日常的に*"))/$B26*100</f>
        <v>0</v>
      </c>
      <c r="P26" s="41">
        <f>(COUNTIFS(集計用!$N:$N, "*, "&amp;P$4&amp;", *",集計用!$G:$G,"*, "&amp;$C26&amp;", *", 集計用!$N:$N, "&lt;&gt;*英語を日常的に*"))/$B26*100</f>
        <v>0</v>
      </c>
      <c r="Q26" s="41">
        <f>(COUNTIFS(集計用!$N:$N, "*, "&amp;Q$4&amp;", *",集計用!$G:$G,"*, "&amp;$C26&amp;", *", 集計用!$N:$N, "&lt;&gt;*英語を日常的に*"))/$B26*100</f>
        <v>0</v>
      </c>
      <c r="R26" s="41">
        <f>(COUNTIFS(集計用!$N:$N, "*, "&amp;R$4&amp;", *",集計用!$G:$G,"*, "&amp;$C26&amp;", *", 集計用!$N:$N, "&lt;&gt;*英語を日常的に*"))/$B26*100</f>
        <v>0</v>
      </c>
      <c r="S26" s="41">
        <f>(COUNTIFS(集計用!$N:$N, "*, "&amp;S$4&amp;", *",集計用!$G:$G,"*, "&amp;$C26&amp;", *", 集計用!$N:$N, "&lt;&gt;*英語を日常的に*"))/$B26*100</f>
        <v>0</v>
      </c>
      <c r="T26" s="41">
        <f>(COUNTIFS(集計用!$N:$N, "*, "&amp;T$4&amp;", *",集計用!$G:$G,"*, "&amp;$C26&amp;", *", 集計用!$N:$N, "&lt;&gt;*英語を日常的に*"))/$B26*100</f>
        <v>0</v>
      </c>
      <c r="U26" s="41">
        <f>(COUNTIFS(集計用!$N:$N, "*, "&amp;U$4&amp;", *",集計用!$G:$G,"*, "&amp;$C26&amp;", *", 集計用!$N:$N, "&lt;&gt;*英語を日常的に*"))/$B26*100</f>
        <v>0</v>
      </c>
      <c r="V26" s="41">
        <f>(COUNTIFS(集計用!$N:$N, "*, "&amp;V$4&amp;", *",集計用!$G:$G,"*, "&amp;$C26&amp;", *", 集計用!$N:$N, "&lt;&gt;*英語を日常的に*"))/$B26*100</f>
        <v>0</v>
      </c>
      <c r="W26" s="41">
        <f>(COUNTIFS(集計用!$N:$N, "*, "&amp;W$4&amp;", *",集計用!$G:$G,"*, "&amp;$C26&amp;", *", 集計用!$N:$N, "&lt;&gt;*英語を日常的に*"))/$B26*100</f>
        <v>0</v>
      </c>
      <c r="Y26" s="39"/>
    </row>
    <row r="27" spans="1:25" ht="12.75">
      <c r="A27" s="39">
        <v>4</v>
      </c>
      <c r="B27" s="39">
        <f>(COUNTIFS(集計用!$G$2:$G$444,"*, "&amp;$C27&amp;",*",集計用!$N$2:$N$444,"&lt;&gt;*英語を日常的に*",集計用!$N$2:$N$444,"&lt;&gt;無回答, "))</f>
        <v>12</v>
      </c>
      <c r="C27" s="42" t="s">
        <v>23</v>
      </c>
      <c r="D27" s="41">
        <f>(COUNTIFS(集計用!$N:$N, "*, "&amp;D$4&amp;", *",集計用!$G:$G,"*, "&amp;$C27&amp;", *", 集計用!$N:$N, "&lt;&gt;*英語を日常的に*"))/$B27*100</f>
        <v>41.666666666666671</v>
      </c>
      <c r="E27" s="41">
        <f>(COUNTIFS(集計用!$N:$N, "*, "&amp;E$4&amp;", *",集計用!$G:$G,"*, "&amp;$C27&amp;", *", 集計用!$N:$N, "&lt;&gt;*英語を日常的に*"))/$B27*100</f>
        <v>16.666666666666664</v>
      </c>
      <c r="F27" s="41">
        <f>(COUNTIFS(集計用!$N:$N, "*, "&amp;F$4&amp;", *",集計用!$G:$G,"*, "&amp;$C27&amp;", *", 集計用!$N:$N, "&lt;&gt;*英語を日常的に*"))/$B27*100</f>
        <v>41.666666666666671</v>
      </c>
      <c r="G27" s="41">
        <f>(COUNTIFS(集計用!$N:$N, "*, "&amp;G$4&amp;", *",集計用!$G:$G,"*, "&amp;$C27&amp;", *", 集計用!$N:$N, "&lt;&gt;*英語を日常的に*"))/$B27*100</f>
        <v>33.333333333333329</v>
      </c>
      <c r="H27" s="41">
        <f>(COUNTIFS(集計用!$N:$N, "*, "&amp;H$4&amp;", *",集計用!$G:$G,"*, "&amp;$C27&amp;", *", 集計用!$N:$N, "&lt;&gt;*英語を日常的に*"))/$B27*100</f>
        <v>16.666666666666664</v>
      </c>
      <c r="I27" s="41">
        <f>(COUNTIFS(集計用!$N:$N, "*, "&amp;I$4&amp;", *",集計用!$G:$G,"*, "&amp;$C27&amp;", *", 集計用!$N:$N, "&lt;&gt;*英語を日常的に*"))/$B27*100</f>
        <v>8.3333333333333321</v>
      </c>
      <c r="J27" s="41">
        <f>(COUNTIFS(集計用!$N:$N, "*, "&amp;J$4&amp;", *",集計用!$G:$G,"*, "&amp;$C27&amp;", *", 集計用!$N:$N, "&lt;&gt;*英語を日常的に*"))/$B27*100</f>
        <v>0</v>
      </c>
      <c r="K27" s="41">
        <f>(COUNTIFS(集計用!$N:$N, "*, "&amp;K$4&amp;", *",集計用!$G:$G,"*, "&amp;$C27&amp;", *", 集計用!$N:$N, "&lt;&gt;*英語を日常的に*"))/$B27*100</f>
        <v>0</v>
      </c>
      <c r="L27" s="41">
        <f>(COUNTIFS(集計用!$N:$N, "*, "&amp;L$4&amp;", *",集計用!$G:$G,"*, "&amp;$C27&amp;", *", 集計用!$N:$N, "&lt;&gt;*英語を日常的に*"))/$B27*100</f>
        <v>0</v>
      </c>
      <c r="M27" s="41">
        <f>(COUNTIFS(集計用!$N:$N, "*, "&amp;M$4&amp;", *",集計用!$G:$G,"*, "&amp;$C27&amp;", *", 集計用!$N:$N, "&lt;&gt;*英語を日常的に*"))/$B27*100</f>
        <v>0</v>
      </c>
      <c r="N27" s="41">
        <f>(COUNTIFS(集計用!$N:$N, "*, "&amp;N$4&amp;", *",集計用!$G:$G,"*, "&amp;$C27&amp;", *", 集計用!$N:$N, "&lt;&gt;*英語を日常的に*"))/$B27*100</f>
        <v>0</v>
      </c>
      <c r="O27" s="41">
        <f>(COUNTIFS(集計用!$N:$N, "*, "&amp;O$4&amp;", *",集計用!$G:$G,"*, "&amp;$C27&amp;", *", 集計用!$N:$N, "&lt;&gt;*英語を日常的に*"))/$B27*100</f>
        <v>0</v>
      </c>
      <c r="P27" s="41">
        <f>(COUNTIFS(集計用!$N:$N, "*, "&amp;P$4&amp;", *",集計用!$G:$G,"*, "&amp;$C27&amp;", *", 集計用!$N:$N, "&lt;&gt;*英語を日常的に*"))/$B27*100</f>
        <v>0</v>
      </c>
      <c r="Q27" s="41">
        <f>(COUNTIFS(集計用!$N:$N, "*, "&amp;Q$4&amp;", *",集計用!$G:$G,"*, "&amp;$C27&amp;", *", 集計用!$N:$N, "&lt;&gt;*英語を日常的に*"))/$B27*100</f>
        <v>0</v>
      </c>
      <c r="R27" s="41">
        <f>(COUNTIFS(集計用!$N:$N, "*, "&amp;R$4&amp;", *",集計用!$G:$G,"*, "&amp;$C27&amp;", *", 集計用!$N:$N, "&lt;&gt;*英語を日常的に*"))/$B27*100</f>
        <v>0</v>
      </c>
      <c r="S27" s="41">
        <f>(COUNTIFS(集計用!$N:$N, "*, "&amp;S$4&amp;", *",集計用!$G:$G,"*, "&amp;$C27&amp;", *", 集計用!$N:$N, "&lt;&gt;*英語を日常的に*"))/$B27*100</f>
        <v>0</v>
      </c>
      <c r="T27" s="41">
        <f>(COUNTIFS(集計用!$N:$N, "*, "&amp;T$4&amp;", *",集計用!$G:$G,"*, "&amp;$C27&amp;", *", 集計用!$N:$N, "&lt;&gt;*英語を日常的に*"))/$B27*100</f>
        <v>0</v>
      </c>
      <c r="U27" s="41">
        <f>(COUNTIFS(集計用!$N:$N, "*, "&amp;U$4&amp;", *",集計用!$G:$G,"*, "&amp;$C27&amp;", *", 集計用!$N:$N, "&lt;&gt;*英語を日常的に*"))/$B27*100</f>
        <v>0</v>
      </c>
      <c r="V27" s="41">
        <f>(COUNTIFS(集計用!$N:$N, "*, "&amp;V$4&amp;", *",集計用!$G:$G,"*, "&amp;$C27&amp;", *", 集計用!$N:$N, "&lt;&gt;*英語を日常的に*"))/$B27*100</f>
        <v>0</v>
      </c>
      <c r="W27" s="41">
        <f>(COUNTIFS(集計用!$N:$N, "*, "&amp;W$4&amp;", *",集計用!$G:$G,"*, "&amp;$C27&amp;", *", 集計用!$N:$N, "&lt;&gt;*英語を日常的に*"))/$B27*100</f>
        <v>0</v>
      </c>
      <c r="Y27" s="39"/>
    </row>
    <row r="28" spans="1:25" ht="15.75" customHeight="1">
      <c r="A28" s="39">
        <v>5</v>
      </c>
      <c r="B28" s="39">
        <f>(COUNTIFS(集計用!$G$2:$G$444,"*, "&amp;$C28&amp;",*",集計用!$N$2:$N$444,"&lt;&gt;*英語を日常的に*",集計用!$N$2:$N$444,"&lt;&gt;無回答, "))</f>
        <v>9</v>
      </c>
      <c r="C28" s="42" t="s">
        <v>22</v>
      </c>
      <c r="D28" s="41">
        <f>(COUNTIFS(集計用!$N:$N, "*, "&amp;D$4&amp;", *",集計用!$G:$G,"*, "&amp;$C28&amp;", *", 集計用!$N:$N, "&lt;&gt;*英語を日常的に*"))/$B28*100</f>
        <v>66.666666666666657</v>
      </c>
      <c r="E28" s="41">
        <f>(COUNTIFS(集計用!$N:$N, "*, "&amp;E$4&amp;", *",集計用!$G:$G,"*, "&amp;$C28&amp;", *", 集計用!$N:$N, "&lt;&gt;*英語を日常的に*"))/$B28*100</f>
        <v>33.333333333333329</v>
      </c>
      <c r="F28" s="41">
        <f>(COUNTIFS(集計用!$N:$N, "*, "&amp;F$4&amp;", *",集計用!$G:$G,"*, "&amp;$C28&amp;", *", 集計用!$N:$N, "&lt;&gt;*英語を日常的に*"))/$B28*100</f>
        <v>33.333333333333329</v>
      </c>
      <c r="G28" s="41">
        <f>(COUNTIFS(集計用!$N:$N, "*, "&amp;G$4&amp;", *",集計用!$G:$G,"*, "&amp;$C28&amp;", *", 集計用!$N:$N, "&lt;&gt;*英語を日常的に*"))/$B28*100</f>
        <v>22.222222222222221</v>
      </c>
      <c r="H28" s="41">
        <f>(COUNTIFS(集計用!$N:$N, "*, "&amp;H$4&amp;", *",集計用!$G:$G,"*, "&amp;$C28&amp;", *", 集計用!$N:$N, "&lt;&gt;*英語を日常的に*"))/$B28*100</f>
        <v>33.333333333333329</v>
      </c>
      <c r="I28" s="41">
        <f>(COUNTIFS(集計用!$N:$N, "*, "&amp;I$4&amp;", *",集計用!$G:$G,"*, "&amp;$C28&amp;", *", 集計用!$N:$N, "&lt;&gt;*英語を日常的に*"))/$B28*100</f>
        <v>11.111111111111111</v>
      </c>
      <c r="J28" s="41">
        <f>(COUNTIFS(集計用!$N:$N, "*, "&amp;J$4&amp;", *",集計用!$G:$G,"*, "&amp;$C28&amp;", *", 集計用!$N:$N, "&lt;&gt;*英語を日常的に*"))/$B28*100</f>
        <v>44.444444444444443</v>
      </c>
      <c r="K28" s="41">
        <f>(COUNTIFS(集計用!$N:$N, "*, "&amp;K$4&amp;", *",集計用!$G:$G,"*, "&amp;$C28&amp;", *", 集計用!$N:$N, "&lt;&gt;*英語を日常的に*"))/$B28*100</f>
        <v>0</v>
      </c>
      <c r="L28" s="41">
        <f>(COUNTIFS(集計用!$N:$N, "*, "&amp;L$4&amp;", *",集計用!$G:$G,"*, "&amp;$C28&amp;", *", 集計用!$N:$N, "&lt;&gt;*英語を日常的に*"))/$B28*100</f>
        <v>0</v>
      </c>
      <c r="M28" s="41">
        <f>(COUNTIFS(集計用!$N:$N, "*, "&amp;M$4&amp;", *",集計用!$G:$G,"*, "&amp;$C28&amp;", *", 集計用!$N:$N, "&lt;&gt;*英語を日常的に*"))/$B28*100</f>
        <v>0</v>
      </c>
      <c r="N28" s="41">
        <f>(COUNTIFS(集計用!$N:$N, "*, "&amp;N$4&amp;", *",集計用!$G:$G,"*, "&amp;$C28&amp;", *", 集計用!$N:$N, "&lt;&gt;*英語を日常的に*"))/$B28*100</f>
        <v>0</v>
      </c>
      <c r="O28" s="41">
        <f>(COUNTIFS(集計用!$N:$N, "*, "&amp;O$4&amp;", *",集計用!$G:$G,"*, "&amp;$C28&amp;", *", 集計用!$N:$N, "&lt;&gt;*英語を日常的に*"))/$B28*100</f>
        <v>0</v>
      </c>
      <c r="P28" s="41">
        <f>(COUNTIFS(集計用!$N:$N, "*, "&amp;P$4&amp;", *",集計用!$G:$G,"*, "&amp;$C28&amp;", *", 集計用!$N:$N, "&lt;&gt;*英語を日常的に*"))/$B28*100</f>
        <v>0</v>
      </c>
      <c r="Q28" s="41">
        <f>(COUNTIFS(集計用!$N:$N, "*, "&amp;Q$4&amp;", *",集計用!$G:$G,"*, "&amp;$C28&amp;", *", 集計用!$N:$N, "&lt;&gt;*英語を日常的に*"))/$B28*100</f>
        <v>0</v>
      </c>
      <c r="R28" s="41">
        <f>(COUNTIFS(集計用!$N:$N, "*, "&amp;R$4&amp;", *",集計用!$G:$G,"*, "&amp;$C28&amp;", *", 集計用!$N:$N, "&lt;&gt;*英語を日常的に*"))/$B28*100</f>
        <v>0</v>
      </c>
      <c r="S28" s="41">
        <f>(COUNTIFS(集計用!$N:$N, "*, "&amp;S$4&amp;", *",集計用!$G:$G,"*, "&amp;$C28&amp;", *", 集計用!$N:$N, "&lt;&gt;*英語を日常的に*"))/$B28*100</f>
        <v>0</v>
      </c>
      <c r="T28" s="41">
        <f>(COUNTIFS(集計用!$N:$N, "*, "&amp;T$4&amp;", *",集計用!$G:$G,"*, "&amp;$C28&amp;", *", 集計用!$N:$N, "&lt;&gt;*英語を日常的に*"))/$B28*100</f>
        <v>0</v>
      </c>
      <c r="U28" s="41">
        <f>(COUNTIFS(集計用!$N:$N, "*, "&amp;U$4&amp;", *",集計用!$G:$G,"*, "&amp;$C28&amp;", *", 集計用!$N:$N, "&lt;&gt;*英語を日常的に*"))/$B28*100</f>
        <v>0</v>
      </c>
      <c r="V28" s="41">
        <f>(COUNTIFS(集計用!$N:$N, "*, "&amp;V$4&amp;", *",集計用!$G:$G,"*, "&amp;$C28&amp;", *", 集計用!$N:$N, "&lt;&gt;*英語を日常的に*"))/$B28*100</f>
        <v>0</v>
      </c>
      <c r="W28" s="41">
        <f>(COUNTIFS(集計用!$N:$N, "*, "&amp;W$4&amp;", *",集計用!$G:$G,"*, "&amp;$C28&amp;", *", 集計用!$N:$N, "&lt;&gt;*英語を日常的に*"))/$B28*100</f>
        <v>0</v>
      </c>
      <c r="Y28" s="39"/>
    </row>
    <row r="29" spans="1:25" ht="15.75" customHeight="1">
      <c r="A29" s="39">
        <v>4</v>
      </c>
      <c r="B29" s="39">
        <f>(COUNTIFS(集計用!$G$2:$G$444,"*, "&amp;$C29&amp;",*",集計用!$N$2:$N$444,"&lt;&gt;*英語を日常的に*",集計用!$N$2:$N$444,"&lt;&gt;無回答, "))</f>
        <v>8</v>
      </c>
      <c r="C29" s="42" t="s">
        <v>31</v>
      </c>
      <c r="D29" s="41">
        <f>(COUNTIFS(集計用!$N:$N, "*, "&amp;D$4&amp;", *",集計用!$G:$G,"*, "&amp;$C29&amp;", *", 集計用!$N:$N, "&lt;&gt;*英語を日常的に*"))/$B29*100</f>
        <v>62.5</v>
      </c>
      <c r="E29" s="41">
        <f>(COUNTIFS(集計用!$N:$N, "*, "&amp;E$4&amp;", *",集計用!$G:$G,"*, "&amp;$C29&amp;", *", 集計用!$N:$N, "&lt;&gt;*英語を日常的に*"))/$B29*100</f>
        <v>25</v>
      </c>
      <c r="F29" s="41">
        <f>(COUNTIFS(集計用!$N:$N, "*, "&amp;F$4&amp;", *",集計用!$G:$G,"*, "&amp;$C29&amp;", *", 集計用!$N:$N, "&lt;&gt;*英語を日常的に*"))/$B29*100</f>
        <v>25</v>
      </c>
      <c r="G29" s="41">
        <f>(COUNTIFS(集計用!$N:$N, "*, "&amp;G$4&amp;", *",集計用!$G:$G,"*, "&amp;$C29&amp;", *", 集計用!$N:$N, "&lt;&gt;*英語を日常的に*"))/$B29*100</f>
        <v>50</v>
      </c>
      <c r="H29" s="41">
        <f>(COUNTIFS(集計用!$N:$N, "*, "&amp;H$4&amp;", *",集計用!$G:$G,"*, "&amp;$C29&amp;", *", 集計用!$N:$N, "&lt;&gt;*英語を日常的に*"))/$B29*100</f>
        <v>12.5</v>
      </c>
      <c r="I29" s="41">
        <f>(COUNTIFS(集計用!$N:$N, "*, "&amp;I$4&amp;", *",集計用!$G:$G,"*, "&amp;$C29&amp;", *", 集計用!$N:$N, "&lt;&gt;*英語を日常的に*"))/$B29*100</f>
        <v>12.5</v>
      </c>
      <c r="J29" s="41">
        <f>(COUNTIFS(集計用!$N:$N, "*, "&amp;J$4&amp;", *",集計用!$G:$G,"*, "&amp;$C29&amp;", *", 集計用!$N:$N, "&lt;&gt;*英語を日常的に*"))/$B29*100</f>
        <v>12.5</v>
      </c>
      <c r="K29" s="41">
        <f>(COUNTIFS(集計用!$N:$N, "*, "&amp;K$4&amp;", *",集計用!$G:$G,"*, "&amp;$C29&amp;", *", 集計用!$N:$N, "&lt;&gt;*英語を日常的に*"))/$B29*100</f>
        <v>12.5</v>
      </c>
      <c r="L29" s="41">
        <f>(COUNTIFS(集計用!$N:$N, "*, "&amp;L$4&amp;", *",集計用!$G:$G,"*, "&amp;$C29&amp;", *", 集計用!$N:$N, "&lt;&gt;*英語を日常的に*"))/$B29*100</f>
        <v>0</v>
      </c>
      <c r="M29" s="41">
        <f>(COUNTIFS(集計用!$N:$N, "*, "&amp;M$4&amp;", *",集計用!$G:$G,"*, "&amp;$C29&amp;", *", 集計用!$N:$N, "&lt;&gt;*英語を日常的に*"))/$B29*100</f>
        <v>0</v>
      </c>
      <c r="N29" s="41">
        <f>(COUNTIFS(集計用!$N:$N, "*, "&amp;N$4&amp;", *",集計用!$G:$G,"*, "&amp;$C29&amp;", *", 集計用!$N:$N, "&lt;&gt;*英語を日常的に*"))/$B29*100</f>
        <v>0</v>
      </c>
      <c r="O29" s="41">
        <f>(COUNTIFS(集計用!$N:$N, "*, "&amp;O$4&amp;", *",集計用!$G:$G,"*, "&amp;$C29&amp;", *", 集計用!$N:$N, "&lt;&gt;*英語を日常的に*"))/$B29*100</f>
        <v>0</v>
      </c>
      <c r="P29" s="41">
        <f>(COUNTIFS(集計用!$N:$N, "*, "&amp;P$4&amp;", *",集計用!$G:$G,"*, "&amp;$C29&amp;", *", 集計用!$N:$N, "&lt;&gt;*英語を日常的に*"))/$B29*100</f>
        <v>0</v>
      </c>
      <c r="Q29" s="41">
        <f>(COUNTIFS(集計用!$N:$N, "*, "&amp;Q$4&amp;", *",集計用!$G:$G,"*, "&amp;$C29&amp;", *", 集計用!$N:$N, "&lt;&gt;*英語を日常的に*"))/$B29*100</f>
        <v>0</v>
      </c>
      <c r="R29" s="41">
        <f>(COUNTIFS(集計用!$N:$N, "*, "&amp;R$4&amp;", *",集計用!$G:$G,"*, "&amp;$C29&amp;", *", 集計用!$N:$N, "&lt;&gt;*英語を日常的に*"))/$B29*100</f>
        <v>0</v>
      </c>
      <c r="S29" s="41">
        <f>(COUNTIFS(集計用!$N:$N, "*, "&amp;S$4&amp;", *",集計用!$G:$G,"*, "&amp;$C29&amp;", *", 集計用!$N:$N, "&lt;&gt;*英語を日常的に*"))/$B29*100</f>
        <v>0</v>
      </c>
      <c r="T29" s="41">
        <f>(COUNTIFS(集計用!$N:$N, "*, "&amp;T$4&amp;", *",集計用!$G:$G,"*, "&amp;$C29&amp;", *", 集計用!$N:$N, "&lt;&gt;*英語を日常的に*"))/$B29*100</f>
        <v>0</v>
      </c>
      <c r="U29" s="41">
        <f>(COUNTIFS(集計用!$N:$N, "*, "&amp;U$4&amp;", *",集計用!$G:$G,"*, "&amp;$C29&amp;", *", 集計用!$N:$N, "&lt;&gt;*英語を日常的に*"))/$B29*100</f>
        <v>0</v>
      </c>
      <c r="V29" s="41">
        <f>(COUNTIFS(集計用!$N:$N, "*, "&amp;V$4&amp;", *",集計用!$G:$G,"*, "&amp;$C29&amp;", *", 集計用!$N:$N, "&lt;&gt;*英語を日常的に*"))/$B29*100</f>
        <v>0</v>
      </c>
      <c r="W29" s="41">
        <f>(COUNTIFS(集計用!$N:$N, "*, "&amp;W$4&amp;", *",集計用!$G:$G,"*, "&amp;$C29&amp;", *", 集計用!$N:$N, "&lt;&gt;*英語を日常的に*"))/$B29*100</f>
        <v>0</v>
      </c>
      <c r="Y29" s="39"/>
    </row>
    <row r="30" spans="1:25" ht="12.75">
      <c r="A30" s="39">
        <v>4</v>
      </c>
      <c r="B30" s="39">
        <f>(COUNTIFS(集計用!$G$2:$G$444,"*, "&amp;$C30&amp;",*",集計用!$N$2:$N$444,"&lt;&gt;*英語を日常的に*",集計用!$N$2:$N$444,"&lt;&gt;無回答, "))</f>
        <v>8</v>
      </c>
      <c r="C30" s="42" t="s">
        <v>20</v>
      </c>
      <c r="D30" s="41">
        <f>(COUNTIFS(集計用!$N:$N, "*, "&amp;D$4&amp;", *",集計用!$G:$G,"*, "&amp;$C30&amp;", *", 集計用!$N:$N, "&lt;&gt;*英語を日常的に*"))/$B30*100</f>
        <v>50</v>
      </c>
      <c r="E30" s="41">
        <f>(COUNTIFS(集計用!$N:$N, "*, "&amp;E$4&amp;", *",集計用!$G:$G,"*, "&amp;$C30&amp;", *", 集計用!$N:$N, "&lt;&gt;*英語を日常的に*"))/$B30*100</f>
        <v>12.5</v>
      </c>
      <c r="F30" s="41">
        <f>(COUNTIFS(集計用!$N:$N, "*, "&amp;F$4&amp;", *",集計用!$G:$G,"*, "&amp;$C30&amp;", *", 集計用!$N:$N, "&lt;&gt;*英語を日常的に*"))/$B30*100</f>
        <v>37.5</v>
      </c>
      <c r="G30" s="41">
        <f>(COUNTIFS(集計用!$N:$N, "*, "&amp;G$4&amp;", *",集計用!$G:$G,"*, "&amp;$C30&amp;", *", 集計用!$N:$N, "&lt;&gt;*英語を日常的に*"))/$B30*100</f>
        <v>12.5</v>
      </c>
      <c r="H30" s="41">
        <f>(COUNTIFS(集計用!$N:$N, "*, "&amp;H$4&amp;", *",集計用!$G:$G,"*, "&amp;$C30&amp;", *", 集計用!$N:$N, "&lt;&gt;*英語を日常的に*"))/$B30*100</f>
        <v>37.5</v>
      </c>
      <c r="I30" s="41">
        <f>(COUNTIFS(集計用!$N:$N, "*, "&amp;I$4&amp;", *",集計用!$G:$G,"*, "&amp;$C30&amp;", *", 集計用!$N:$N, "&lt;&gt;*英語を日常的に*"))/$B30*100</f>
        <v>12.5</v>
      </c>
      <c r="J30" s="41">
        <f>(COUNTIFS(集計用!$N:$N, "*, "&amp;J$4&amp;", *",集計用!$G:$G,"*, "&amp;$C30&amp;", *", 集計用!$N:$N, "&lt;&gt;*英語を日常的に*"))/$B30*100</f>
        <v>12.5</v>
      </c>
      <c r="K30" s="41">
        <f>(COUNTIFS(集計用!$N:$N, "*, "&amp;K$4&amp;", *",集計用!$G:$G,"*, "&amp;$C30&amp;", *", 集計用!$N:$N, "&lt;&gt;*英語を日常的に*"))/$B30*100</f>
        <v>12.5</v>
      </c>
      <c r="L30" s="41">
        <f>(COUNTIFS(集計用!$N:$N, "*, "&amp;L$4&amp;", *",集計用!$G:$G,"*, "&amp;$C30&amp;", *", 集計用!$N:$N, "&lt;&gt;*英語を日常的に*"))/$B30*100</f>
        <v>12.5</v>
      </c>
      <c r="M30" s="41">
        <f>(COUNTIFS(集計用!$N:$N, "*, "&amp;M$4&amp;", *",集計用!$G:$G,"*, "&amp;$C30&amp;", *", 集計用!$N:$N, "&lt;&gt;*英語を日常的に*"))/$B30*100</f>
        <v>0</v>
      </c>
      <c r="N30" s="41">
        <f>(COUNTIFS(集計用!$N:$N, "*, "&amp;N$4&amp;", *",集計用!$G:$G,"*, "&amp;$C30&amp;", *", 集計用!$N:$N, "&lt;&gt;*英語を日常的に*"))/$B30*100</f>
        <v>0</v>
      </c>
      <c r="O30" s="41">
        <f>(COUNTIFS(集計用!$N:$N, "*, "&amp;O$4&amp;", *",集計用!$G:$G,"*, "&amp;$C30&amp;", *", 集計用!$N:$N, "&lt;&gt;*英語を日常的に*"))/$B30*100</f>
        <v>0</v>
      </c>
      <c r="P30" s="41">
        <f>(COUNTIFS(集計用!$N:$N, "*, "&amp;P$4&amp;", *",集計用!$G:$G,"*, "&amp;$C30&amp;", *", 集計用!$N:$N, "&lt;&gt;*英語を日常的に*"))/$B30*100</f>
        <v>0</v>
      </c>
      <c r="Q30" s="41">
        <f>(COUNTIFS(集計用!$N:$N, "*, "&amp;Q$4&amp;", *",集計用!$G:$G,"*, "&amp;$C30&amp;", *", 集計用!$N:$N, "&lt;&gt;*英語を日常的に*"))/$B30*100</f>
        <v>0</v>
      </c>
      <c r="R30" s="41">
        <f>(COUNTIFS(集計用!$N:$N, "*, "&amp;R$4&amp;", *",集計用!$G:$G,"*, "&amp;$C30&amp;", *", 集計用!$N:$N, "&lt;&gt;*英語を日常的に*"))/$B30*100</f>
        <v>0</v>
      </c>
      <c r="S30" s="41">
        <f>(COUNTIFS(集計用!$N:$N, "*, "&amp;S$4&amp;", *",集計用!$G:$G,"*, "&amp;$C30&amp;", *", 集計用!$N:$N, "&lt;&gt;*英語を日常的に*"))/$B30*100</f>
        <v>0</v>
      </c>
      <c r="T30" s="41">
        <f>(COUNTIFS(集計用!$N:$N, "*, "&amp;T$4&amp;", *",集計用!$G:$G,"*, "&amp;$C30&amp;", *", 集計用!$N:$N, "&lt;&gt;*英語を日常的に*"))/$B30*100</f>
        <v>0</v>
      </c>
      <c r="U30" s="41">
        <f>(COUNTIFS(集計用!$N:$N, "*, "&amp;U$4&amp;", *",集計用!$G:$G,"*, "&amp;$C30&amp;", *", 集計用!$N:$N, "&lt;&gt;*英語を日常的に*"))/$B30*100</f>
        <v>0</v>
      </c>
      <c r="V30" s="41">
        <f>(COUNTIFS(集計用!$N:$N, "*, "&amp;V$4&amp;", *",集計用!$G:$G,"*, "&amp;$C30&amp;", *", 集計用!$N:$N, "&lt;&gt;*英語を日常的に*"))/$B30*100</f>
        <v>0</v>
      </c>
      <c r="W30" s="41">
        <f>(COUNTIFS(集計用!$N:$N, "*, "&amp;W$4&amp;", *",集計用!$G:$G,"*, "&amp;$C30&amp;", *", 集計用!$N:$N, "&lt;&gt;*英語を日常的に*"))/$B30*100</f>
        <v>0</v>
      </c>
      <c r="Y30" s="39"/>
    </row>
    <row r="31" spans="1:25" ht="15.75" customHeight="1">
      <c r="A31" s="39">
        <v>5</v>
      </c>
      <c r="B31" s="39">
        <f>(COUNTIFS(集計用!$G$2:$G$444,"*, "&amp;$C31&amp;",*",集計用!$N$2:$N$444,"&lt;&gt;*英語を日常的に*",集計用!$N$2:$N$444,"&lt;&gt;無回答, "))</f>
        <v>7</v>
      </c>
      <c r="C31" s="42" t="s">
        <v>29</v>
      </c>
      <c r="D31" s="41">
        <f>(COUNTIFS(集計用!$N:$N, "*, "&amp;D$4&amp;", *",集計用!$G:$G,"*, "&amp;$C31&amp;", *", 集計用!$N:$N, "&lt;&gt;*英語を日常的に*"))/$B31*100</f>
        <v>57.142857142857139</v>
      </c>
      <c r="E31" s="41">
        <f>(COUNTIFS(集計用!$N:$N, "*, "&amp;E$4&amp;", *",集計用!$G:$G,"*, "&amp;$C31&amp;", *", 集計用!$N:$N, "&lt;&gt;*英語を日常的に*"))/$B31*100</f>
        <v>85.714285714285708</v>
      </c>
      <c r="F31" s="41">
        <f>(COUNTIFS(集計用!$N:$N, "*, "&amp;F$4&amp;", *",集計用!$G:$G,"*, "&amp;$C31&amp;", *", 集計用!$N:$N, "&lt;&gt;*英語を日常的に*"))/$B31*100</f>
        <v>42.857142857142854</v>
      </c>
      <c r="G31" s="41">
        <f>(COUNTIFS(集計用!$N:$N, "*, "&amp;G$4&amp;", *",集計用!$G:$G,"*, "&amp;$C31&amp;", *", 集計用!$N:$N, "&lt;&gt;*英語を日常的に*"))/$B31*100</f>
        <v>28.571428571428569</v>
      </c>
      <c r="H31" s="41">
        <f>(COUNTIFS(集計用!$N:$N, "*, "&amp;H$4&amp;", *",集計用!$G:$G,"*, "&amp;$C31&amp;", *", 集計用!$N:$N, "&lt;&gt;*英語を日常的に*"))/$B31*100</f>
        <v>14.285714285714285</v>
      </c>
      <c r="I31" s="41">
        <f>(COUNTIFS(集計用!$N:$N, "*, "&amp;I$4&amp;", *",集計用!$G:$G,"*, "&amp;$C31&amp;", *", 集計用!$N:$N, "&lt;&gt;*英語を日常的に*"))/$B31*100</f>
        <v>14.285714285714285</v>
      </c>
      <c r="J31" s="41">
        <f>(COUNTIFS(集計用!$N:$N, "*, "&amp;J$4&amp;", *",集計用!$G:$G,"*, "&amp;$C31&amp;", *", 集計用!$N:$N, "&lt;&gt;*英語を日常的に*"))/$B31*100</f>
        <v>28.571428571428569</v>
      </c>
      <c r="K31" s="41">
        <f>(COUNTIFS(集計用!$N:$N, "*, "&amp;K$4&amp;", *",集計用!$G:$G,"*, "&amp;$C31&amp;", *", 集計用!$N:$N, "&lt;&gt;*英語を日常的に*"))/$B31*100</f>
        <v>0</v>
      </c>
      <c r="L31" s="41">
        <f>(COUNTIFS(集計用!$N:$N, "*, "&amp;L$4&amp;", *",集計用!$G:$G,"*, "&amp;$C31&amp;", *", 集計用!$N:$N, "&lt;&gt;*英語を日常的に*"))/$B31*100</f>
        <v>0</v>
      </c>
      <c r="M31" s="41">
        <f>(COUNTIFS(集計用!$N:$N, "*, "&amp;M$4&amp;", *",集計用!$G:$G,"*, "&amp;$C31&amp;", *", 集計用!$N:$N, "&lt;&gt;*英語を日常的に*"))/$B31*100</f>
        <v>0</v>
      </c>
      <c r="N31" s="41">
        <f>(COUNTIFS(集計用!$N:$N, "*, "&amp;N$4&amp;", *",集計用!$G:$G,"*, "&amp;$C31&amp;", *", 集計用!$N:$N, "&lt;&gt;*英語を日常的に*"))/$B31*100</f>
        <v>0</v>
      </c>
      <c r="O31" s="41">
        <f>(COUNTIFS(集計用!$N:$N, "*, "&amp;O$4&amp;", *",集計用!$G:$G,"*, "&amp;$C31&amp;", *", 集計用!$N:$N, "&lt;&gt;*英語を日常的に*"))/$B31*100</f>
        <v>0</v>
      </c>
      <c r="P31" s="41">
        <f>(COUNTIFS(集計用!$N:$N, "*, "&amp;P$4&amp;", *",集計用!$G:$G,"*, "&amp;$C31&amp;", *", 集計用!$N:$N, "&lt;&gt;*英語を日常的に*"))/$B31*100</f>
        <v>0</v>
      </c>
      <c r="Q31" s="41">
        <f>(COUNTIFS(集計用!$N:$N, "*, "&amp;Q$4&amp;", *",集計用!$G:$G,"*, "&amp;$C31&amp;", *", 集計用!$N:$N, "&lt;&gt;*英語を日常的に*"))/$B31*100</f>
        <v>0</v>
      </c>
      <c r="R31" s="41">
        <f>(COUNTIFS(集計用!$N:$N, "*, "&amp;R$4&amp;", *",集計用!$G:$G,"*, "&amp;$C31&amp;", *", 集計用!$N:$N, "&lt;&gt;*英語を日常的に*"))/$B31*100</f>
        <v>0</v>
      </c>
      <c r="S31" s="41">
        <f>(COUNTIFS(集計用!$N:$N, "*, "&amp;S$4&amp;", *",集計用!$G:$G,"*, "&amp;$C31&amp;", *", 集計用!$N:$N, "&lt;&gt;*英語を日常的に*"))/$B31*100</f>
        <v>0</v>
      </c>
      <c r="T31" s="41">
        <f>(COUNTIFS(集計用!$N:$N, "*, "&amp;T$4&amp;", *",集計用!$G:$G,"*, "&amp;$C31&amp;", *", 集計用!$N:$N, "&lt;&gt;*英語を日常的に*"))/$B31*100</f>
        <v>0</v>
      </c>
      <c r="U31" s="41">
        <f>(COUNTIFS(集計用!$N:$N, "*, "&amp;U$4&amp;", *",集計用!$G:$G,"*, "&amp;$C31&amp;", *", 集計用!$N:$N, "&lt;&gt;*英語を日常的に*"))/$B31*100</f>
        <v>0</v>
      </c>
      <c r="V31" s="41">
        <f>(COUNTIFS(集計用!$N:$N, "*, "&amp;V$4&amp;", *",集計用!$G:$G,"*, "&amp;$C31&amp;", *", 集計用!$N:$N, "&lt;&gt;*英語を日常的に*"))/$B31*100</f>
        <v>0</v>
      </c>
      <c r="W31" s="41">
        <f>(COUNTIFS(集計用!$N:$N, "*, "&amp;W$4&amp;", *",集計用!$G:$G,"*, "&amp;$C31&amp;", *", 集計用!$N:$N, "&lt;&gt;*英語を日常的に*"))/$B31*100</f>
        <v>0</v>
      </c>
      <c r="Y31" s="39"/>
    </row>
    <row r="32" spans="1:25" ht="12.75">
      <c r="A32" s="39">
        <v>5</v>
      </c>
      <c r="B32" s="39">
        <f>(COUNTIFS(集計用!$G$2:$G$444,"*, "&amp;$C32&amp;",*",集計用!$N$2:$N$444,"&lt;&gt;*英語を日常的に*",集計用!$N$2:$N$444,"&lt;&gt;無回答, "))</f>
        <v>7</v>
      </c>
      <c r="C32" s="42" t="s">
        <v>21</v>
      </c>
      <c r="D32" s="41">
        <f>(COUNTIFS(集計用!$N:$N, "*, "&amp;D$4&amp;", *",集計用!$G:$G,"*, "&amp;$C32&amp;", *", 集計用!$N:$N, "&lt;&gt;*英語を日常的に*"))/$B32*100</f>
        <v>42.857142857142854</v>
      </c>
      <c r="E32" s="41">
        <f>(COUNTIFS(集計用!$N:$N, "*, "&amp;E$4&amp;", *",集計用!$G:$G,"*, "&amp;$C32&amp;", *", 集計用!$N:$N, "&lt;&gt;*英語を日常的に*"))/$B32*100</f>
        <v>42.857142857142854</v>
      </c>
      <c r="F32" s="41">
        <f>(COUNTIFS(集計用!$N:$N, "*, "&amp;F$4&amp;", *",集計用!$G:$G,"*, "&amp;$C32&amp;", *", 集計用!$N:$N, "&lt;&gt;*英語を日常的に*"))/$B32*100</f>
        <v>57.142857142857139</v>
      </c>
      <c r="G32" s="41">
        <f>(COUNTIFS(集計用!$N:$N, "*, "&amp;G$4&amp;", *",集計用!$G:$G,"*, "&amp;$C32&amp;", *", 集計用!$N:$N, "&lt;&gt;*英語を日常的に*"))/$B32*100</f>
        <v>0</v>
      </c>
      <c r="H32" s="41">
        <f>(COUNTIFS(集計用!$N:$N, "*, "&amp;H$4&amp;", *",集計用!$G:$G,"*, "&amp;$C32&amp;", *", 集計用!$N:$N, "&lt;&gt;*英語を日常的に*"))/$B32*100</f>
        <v>14.285714285714285</v>
      </c>
      <c r="I32" s="41">
        <f>(COUNTIFS(集計用!$N:$N, "*, "&amp;I$4&amp;", *",集計用!$G:$G,"*, "&amp;$C32&amp;", *", 集計用!$N:$N, "&lt;&gt;*英語を日常的に*"))/$B32*100</f>
        <v>14.285714285714285</v>
      </c>
      <c r="J32" s="41">
        <f>(COUNTIFS(集計用!$N:$N, "*, "&amp;J$4&amp;", *",集計用!$G:$G,"*, "&amp;$C32&amp;", *", 集計用!$N:$N, "&lt;&gt;*英語を日常的に*"))/$B32*100</f>
        <v>42.857142857142854</v>
      </c>
      <c r="K32" s="41">
        <f>(COUNTIFS(集計用!$N:$N, "*, "&amp;K$4&amp;", *",集計用!$G:$G,"*, "&amp;$C32&amp;", *", 集計用!$N:$N, "&lt;&gt;*英語を日常的に*"))/$B32*100</f>
        <v>0</v>
      </c>
      <c r="L32" s="41">
        <f>(COUNTIFS(集計用!$N:$N, "*, "&amp;L$4&amp;", *",集計用!$G:$G,"*, "&amp;$C32&amp;", *", 集計用!$N:$N, "&lt;&gt;*英語を日常的に*"))/$B32*100</f>
        <v>0</v>
      </c>
      <c r="M32" s="41">
        <f>(COUNTIFS(集計用!$N:$N, "*, "&amp;M$4&amp;", *",集計用!$G:$G,"*, "&amp;$C32&amp;", *", 集計用!$N:$N, "&lt;&gt;*英語を日常的に*"))/$B32*100</f>
        <v>0</v>
      </c>
      <c r="N32" s="41">
        <f>(COUNTIFS(集計用!$N:$N, "*, "&amp;N$4&amp;", *",集計用!$G:$G,"*, "&amp;$C32&amp;", *", 集計用!$N:$N, "&lt;&gt;*英語を日常的に*"))/$B32*100</f>
        <v>0</v>
      </c>
      <c r="O32" s="41">
        <f>(COUNTIFS(集計用!$N:$N, "*, "&amp;O$4&amp;", *",集計用!$G:$G,"*, "&amp;$C32&amp;", *", 集計用!$N:$N, "&lt;&gt;*英語を日常的に*"))/$B32*100</f>
        <v>0</v>
      </c>
      <c r="P32" s="41">
        <f>(COUNTIFS(集計用!$N:$N, "*, "&amp;P$4&amp;", *",集計用!$G:$G,"*, "&amp;$C32&amp;", *", 集計用!$N:$N, "&lt;&gt;*英語を日常的に*"))/$B32*100</f>
        <v>0</v>
      </c>
      <c r="Q32" s="41">
        <f>(COUNTIFS(集計用!$N:$N, "*, "&amp;Q$4&amp;", *",集計用!$G:$G,"*, "&amp;$C32&amp;", *", 集計用!$N:$N, "&lt;&gt;*英語を日常的に*"))/$B32*100</f>
        <v>0</v>
      </c>
      <c r="R32" s="41">
        <f>(COUNTIFS(集計用!$N:$N, "*, "&amp;R$4&amp;", *",集計用!$G:$G,"*, "&amp;$C32&amp;", *", 集計用!$N:$N, "&lt;&gt;*英語を日常的に*"))/$B32*100</f>
        <v>0</v>
      </c>
      <c r="S32" s="41">
        <f>(COUNTIFS(集計用!$N:$N, "*, "&amp;S$4&amp;", *",集計用!$G:$G,"*, "&amp;$C32&amp;", *", 集計用!$N:$N, "&lt;&gt;*英語を日常的に*"))/$B32*100</f>
        <v>0</v>
      </c>
      <c r="T32" s="41">
        <f>(COUNTIFS(集計用!$N:$N, "*, "&amp;T$4&amp;", *",集計用!$G:$G,"*, "&amp;$C32&amp;", *", 集計用!$N:$N, "&lt;&gt;*英語を日常的に*"))/$B32*100</f>
        <v>0</v>
      </c>
      <c r="U32" s="41">
        <f>(COUNTIFS(集計用!$N:$N, "*, "&amp;U$4&amp;", *",集計用!$G:$G,"*, "&amp;$C32&amp;", *", 集計用!$N:$N, "&lt;&gt;*英語を日常的に*"))/$B32*100</f>
        <v>0</v>
      </c>
      <c r="V32" s="41">
        <f>(COUNTIFS(集計用!$N:$N, "*, "&amp;V$4&amp;", *",集計用!$G:$G,"*, "&amp;$C32&amp;", *", 集計用!$N:$N, "&lt;&gt;*英語を日常的に*"))/$B32*100</f>
        <v>0</v>
      </c>
      <c r="W32" s="41">
        <f>(COUNTIFS(集計用!$N:$N, "*, "&amp;W$4&amp;", *",集計用!$G:$G,"*, "&amp;$C32&amp;", *", 集計用!$N:$N, "&lt;&gt;*英語を日常的に*"))/$B32*100</f>
        <v>0</v>
      </c>
      <c r="Y32" s="39"/>
    </row>
    <row r="33" spans="1:25" ht="12.75">
      <c r="A33" s="39">
        <v>5</v>
      </c>
      <c r="B33" s="39">
        <f>(COUNTIFS(集計用!$G$2:$G$444,"*, "&amp;$C33&amp;",*",集計用!$N$2:$N$444,"&lt;&gt;*英語を日常的に*",集計用!$N$2:$N$444,"&lt;&gt;無回答, "))</f>
        <v>7</v>
      </c>
      <c r="C33" s="42" t="s">
        <v>35</v>
      </c>
      <c r="D33" s="41">
        <f>(COUNTIFS(集計用!$N:$N, "*, "&amp;D$4&amp;", *",集計用!$G:$G,"*, "&amp;$C33&amp;", *", 集計用!$N:$N, "&lt;&gt;*英語を日常的に*"))/$B33*100</f>
        <v>28.571428571428569</v>
      </c>
      <c r="E33" s="41">
        <f>(COUNTIFS(集計用!$N:$N, "*, "&amp;E$4&amp;", *",集計用!$G:$G,"*, "&amp;$C33&amp;", *", 集計用!$N:$N, "&lt;&gt;*英語を日常的に*"))/$B33*100</f>
        <v>42.857142857142854</v>
      </c>
      <c r="F33" s="41">
        <f>(COUNTIFS(集計用!$N:$N, "*, "&amp;F$4&amp;", *",集計用!$G:$G,"*, "&amp;$C33&amp;", *", 集計用!$N:$N, "&lt;&gt;*英語を日常的に*"))/$B33*100</f>
        <v>14.285714285714285</v>
      </c>
      <c r="G33" s="41">
        <f>(COUNTIFS(集計用!$N:$N, "*, "&amp;G$4&amp;", *",集計用!$G:$G,"*, "&amp;$C33&amp;", *", 集計用!$N:$N, "&lt;&gt;*英語を日常的に*"))/$B33*100</f>
        <v>0</v>
      </c>
      <c r="H33" s="41">
        <f>(COUNTIFS(集計用!$N:$N, "*, "&amp;H$4&amp;", *",集計用!$G:$G,"*, "&amp;$C33&amp;", *", 集計用!$N:$N, "&lt;&gt;*英語を日常的に*"))/$B33*100</f>
        <v>28.571428571428569</v>
      </c>
      <c r="I33" s="41">
        <f>(COUNTIFS(集計用!$N:$N, "*, "&amp;I$4&amp;", *",集計用!$G:$G,"*, "&amp;$C33&amp;", *", 集計用!$N:$N, "&lt;&gt;*英語を日常的に*"))/$B33*100</f>
        <v>57.142857142857139</v>
      </c>
      <c r="J33" s="41">
        <f>(COUNTIFS(集計用!$N:$N, "*, "&amp;J$4&amp;", *",集計用!$G:$G,"*, "&amp;$C33&amp;", *", 集計用!$N:$N, "&lt;&gt;*英語を日常的に*"))/$B33*100</f>
        <v>0</v>
      </c>
      <c r="K33" s="41">
        <f>(COUNTIFS(集計用!$N:$N, "*, "&amp;K$4&amp;", *",集計用!$G:$G,"*, "&amp;$C33&amp;", *", 集計用!$N:$N, "&lt;&gt;*英語を日常的に*"))/$B33*100</f>
        <v>0</v>
      </c>
      <c r="L33" s="41">
        <f>(COUNTIFS(集計用!$N:$N, "*, "&amp;L$4&amp;", *",集計用!$G:$G,"*, "&amp;$C33&amp;", *", 集計用!$N:$N, "&lt;&gt;*英語を日常的に*"))/$B33*100</f>
        <v>0</v>
      </c>
      <c r="M33" s="41">
        <f>(COUNTIFS(集計用!$N:$N, "*, "&amp;M$4&amp;", *",集計用!$G:$G,"*, "&amp;$C33&amp;", *", 集計用!$N:$N, "&lt;&gt;*英語を日常的に*"))/$B33*100</f>
        <v>0</v>
      </c>
      <c r="N33" s="41">
        <f>(COUNTIFS(集計用!$N:$N, "*, "&amp;N$4&amp;", *",集計用!$G:$G,"*, "&amp;$C33&amp;", *", 集計用!$N:$N, "&lt;&gt;*英語を日常的に*"))/$B33*100</f>
        <v>0</v>
      </c>
      <c r="O33" s="41">
        <f>(COUNTIFS(集計用!$N:$N, "*, "&amp;O$4&amp;", *",集計用!$G:$G,"*, "&amp;$C33&amp;", *", 集計用!$N:$N, "&lt;&gt;*英語を日常的に*"))/$B33*100</f>
        <v>0</v>
      </c>
      <c r="P33" s="41">
        <f>(COUNTIFS(集計用!$N:$N, "*, "&amp;P$4&amp;", *",集計用!$G:$G,"*, "&amp;$C33&amp;", *", 集計用!$N:$N, "&lt;&gt;*英語を日常的に*"))/$B33*100</f>
        <v>0</v>
      </c>
      <c r="Q33" s="41">
        <f>(COUNTIFS(集計用!$N:$N, "*, "&amp;Q$4&amp;", *",集計用!$G:$G,"*, "&amp;$C33&amp;", *", 集計用!$N:$N, "&lt;&gt;*英語を日常的に*"))/$B33*100</f>
        <v>0</v>
      </c>
      <c r="R33" s="41">
        <f>(COUNTIFS(集計用!$N:$N, "*, "&amp;R$4&amp;", *",集計用!$G:$G,"*, "&amp;$C33&amp;", *", 集計用!$N:$N, "&lt;&gt;*英語を日常的に*"))/$B33*100</f>
        <v>0</v>
      </c>
      <c r="S33" s="41">
        <f>(COUNTIFS(集計用!$N:$N, "*, "&amp;S$4&amp;", *",集計用!$G:$G,"*, "&amp;$C33&amp;", *", 集計用!$N:$N, "&lt;&gt;*英語を日常的に*"))/$B33*100</f>
        <v>0</v>
      </c>
      <c r="T33" s="41">
        <f>(COUNTIFS(集計用!$N:$N, "*, "&amp;T$4&amp;", *",集計用!$G:$G,"*, "&amp;$C33&amp;", *", 集計用!$N:$N, "&lt;&gt;*英語を日常的に*"))/$B33*100</f>
        <v>0</v>
      </c>
      <c r="U33" s="41">
        <f>(COUNTIFS(集計用!$N:$N, "*, "&amp;U$4&amp;", *",集計用!$G:$G,"*, "&amp;$C33&amp;", *", 集計用!$N:$N, "&lt;&gt;*英語を日常的に*"))/$B33*100</f>
        <v>0</v>
      </c>
      <c r="V33" s="41">
        <f>(COUNTIFS(集計用!$N:$N, "*, "&amp;V$4&amp;", *",集計用!$G:$G,"*, "&amp;$C33&amp;", *", 集計用!$N:$N, "&lt;&gt;*英語を日常的に*"))/$B33*100</f>
        <v>0</v>
      </c>
      <c r="W33" s="41">
        <f>(COUNTIFS(集計用!$N:$N, "*, "&amp;W$4&amp;", *",集計用!$G:$G,"*, "&amp;$C33&amp;", *", 集計用!$N:$N, "&lt;&gt;*英語を日常的に*"))/$B33*100</f>
        <v>0</v>
      </c>
      <c r="Y33" s="39"/>
    </row>
    <row r="34" spans="1:25" ht="12.75">
      <c r="A34" s="39">
        <v>4</v>
      </c>
      <c r="B34" s="39">
        <f>(COUNTIFS(集計用!$G$2:$G$444,"*, "&amp;$C34&amp;",*",集計用!$N$2:$N$444,"&lt;&gt;*英語を日常的に*",集計用!$N$2:$N$444,"&lt;&gt;無回答, "))</f>
        <v>6</v>
      </c>
      <c r="C34" s="42" t="s">
        <v>27</v>
      </c>
      <c r="D34" s="41">
        <f>(COUNTIFS(集計用!$N:$N, "*, "&amp;D$4&amp;", *",集計用!$G:$G,"*, "&amp;$C34&amp;", *", 集計用!$N:$N, "&lt;&gt;*英語を日常的に*"))/$B34*100</f>
        <v>66.666666666666657</v>
      </c>
      <c r="E34" s="41">
        <f>(COUNTIFS(集計用!$N:$N, "*, "&amp;E$4&amp;", *",集計用!$G:$G,"*, "&amp;$C34&amp;", *", 集計用!$N:$N, "&lt;&gt;*英語を日常的に*"))/$B34*100</f>
        <v>50</v>
      </c>
      <c r="F34" s="41">
        <f>(COUNTIFS(集計用!$N:$N, "*, "&amp;F$4&amp;", *",集計用!$G:$G,"*, "&amp;$C34&amp;", *", 集計用!$N:$N, "&lt;&gt;*英語を日常的に*"))/$B34*100</f>
        <v>16.666666666666664</v>
      </c>
      <c r="G34" s="41">
        <f>(COUNTIFS(集計用!$N:$N, "*, "&amp;G$4&amp;", *",集計用!$G:$G,"*, "&amp;$C34&amp;", *", 集計用!$N:$N, "&lt;&gt;*英語を日常的に*"))/$B34*100</f>
        <v>50</v>
      </c>
      <c r="H34" s="41">
        <f>(COUNTIFS(集計用!$N:$N, "*, "&amp;H$4&amp;", *",集計用!$G:$G,"*, "&amp;$C34&amp;", *", 集計用!$N:$N, "&lt;&gt;*英語を日常的に*"))/$B34*100</f>
        <v>0</v>
      </c>
      <c r="I34" s="41">
        <f>(COUNTIFS(集計用!$N:$N, "*, "&amp;I$4&amp;", *",集計用!$G:$G,"*, "&amp;$C34&amp;", *", 集計用!$N:$N, "&lt;&gt;*英語を日常的に*"))/$B34*100</f>
        <v>16.666666666666664</v>
      </c>
      <c r="J34" s="41">
        <f>(COUNTIFS(集計用!$N:$N, "*, "&amp;J$4&amp;", *",集計用!$G:$G,"*, "&amp;$C34&amp;", *", 集計用!$N:$N, "&lt;&gt;*英語を日常的に*"))/$B34*100</f>
        <v>0</v>
      </c>
      <c r="K34" s="41">
        <f>(COUNTIFS(集計用!$N:$N, "*, "&amp;K$4&amp;", *",集計用!$G:$G,"*, "&amp;$C34&amp;", *", 集計用!$N:$N, "&lt;&gt;*英語を日常的に*"))/$B34*100</f>
        <v>0</v>
      </c>
      <c r="L34" s="41">
        <f>(COUNTIFS(集計用!$N:$N, "*, "&amp;L$4&amp;", *",集計用!$G:$G,"*, "&amp;$C34&amp;", *", 集計用!$N:$N, "&lt;&gt;*英語を日常的に*"))/$B34*100</f>
        <v>0</v>
      </c>
      <c r="M34" s="41">
        <f>(COUNTIFS(集計用!$N:$N, "*, "&amp;M$4&amp;", *",集計用!$G:$G,"*, "&amp;$C34&amp;", *", 集計用!$N:$N, "&lt;&gt;*英語を日常的に*"))/$B34*100</f>
        <v>0</v>
      </c>
      <c r="N34" s="41">
        <f>(COUNTIFS(集計用!$N:$N, "*, "&amp;N$4&amp;", *",集計用!$G:$G,"*, "&amp;$C34&amp;", *", 集計用!$N:$N, "&lt;&gt;*英語を日常的に*"))/$B34*100</f>
        <v>0</v>
      </c>
      <c r="O34" s="41">
        <f>(COUNTIFS(集計用!$N:$N, "*, "&amp;O$4&amp;", *",集計用!$G:$G,"*, "&amp;$C34&amp;", *", 集計用!$N:$N, "&lt;&gt;*英語を日常的に*"))/$B34*100</f>
        <v>0</v>
      </c>
      <c r="P34" s="41">
        <f>(COUNTIFS(集計用!$N:$N, "*, "&amp;P$4&amp;", *",集計用!$G:$G,"*, "&amp;$C34&amp;", *", 集計用!$N:$N, "&lt;&gt;*英語を日常的に*"))/$B34*100</f>
        <v>0</v>
      </c>
      <c r="Q34" s="41">
        <f>(COUNTIFS(集計用!$N:$N, "*, "&amp;Q$4&amp;", *",集計用!$G:$G,"*, "&amp;$C34&amp;", *", 集計用!$N:$N, "&lt;&gt;*英語を日常的に*"))/$B34*100</f>
        <v>0</v>
      </c>
      <c r="R34" s="41">
        <f>(COUNTIFS(集計用!$N:$N, "*, "&amp;R$4&amp;", *",集計用!$G:$G,"*, "&amp;$C34&amp;", *", 集計用!$N:$N, "&lt;&gt;*英語を日常的に*"))/$B34*100</f>
        <v>0</v>
      </c>
      <c r="S34" s="41">
        <f>(COUNTIFS(集計用!$N:$N, "*, "&amp;S$4&amp;", *",集計用!$G:$G,"*, "&amp;$C34&amp;", *", 集計用!$N:$N, "&lt;&gt;*英語を日常的に*"))/$B34*100</f>
        <v>0</v>
      </c>
      <c r="T34" s="41">
        <f>(COUNTIFS(集計用!$N:$N, "*, "&amp;T$4&amp;", *",集計用!$G:$G,"*, "&amp;$C34&amp;", *", 集計用!$N:$N, "&lt;&gt;*英語を日常的に*"))/$B34*100</f>
        <v>0</v>
      </c>
      <c r="U34" s="41">
        <f>(COUNTIFS(集計用!$N:$N, "*, "&amp;U$4&amp;", *",集計用!$G:$G,"*, "&amp;$C34&amp;", *", 集計用!$N:$N, "&lt;&gt;*英語を日常的に*"))/$B34*100</f>
        <v>0</v>
      </c>
      <c r="V34" s="41">
        <f>(COUNTIFS(集計用!$N:$N, "*, "&amp;V$4&amp;", *",集計用!$G:$G,"*, "&amp;$C34&amp;", *", 集計用!$N:$N, "&lt;&gt;*英語を日常的に*"))/$B34*100</f>
        <v>0</v>
      </c>
      <c r="W34" s="41">
        <f>(COUNTIFS(集計用!$N:$N, "*, "&amp;W$4&amp;", *",集計用!$G:$G,"*, "&amp;$C34&amp;", *", 集計用!$N:$N, "&lt;&gt;*英語を日常的に*"))/$B34*100</f>
        <v>0</v>
      </c>
      <c r="Y34" s="39"/>
    </row>
    <row r="35" spans="1:25" ht="15.75" customHeight="1">
      <c r="A35" s="39">
        <v>4</v>
      </c>
      <c r="B35" s="39">
        <f>(COUNTIFS(集計用!$G$2:$G$444,"*, "&amp;$C35&amp;",*",集計用!$N$2:$N$444,"&lt;&gt;*英語を日常的に*",集計用!$N$2:$N$444,"&lt;&gt;無回答, "))</f>
        <v>6</v>
      </c>
      <c r="C35" s="42" t="s">
        <v>33</v>
      </c>
      <c r="D35" s="41">
        <f>(COUNTIFS(集計用!$N:$N, "*, "&amp;D$4&amp;", *",集計用!$G:$G,"*, "&amp;$C35&amp;", *", 集計用!$N:$N, "&lt;&gt;*英語を日常的に*"))/$B35*100</f>
        <v>83.333333333333343</v>
      </c>
      <c r="E35" s="41">
        <f>(COUNTIFS(集計用!$N:$N, "*, "&amp;E$4&amp;", *",集計用!$G:$G,"*, "&amp;$C35&amp;", *", 集計用!$N:$N, "&lt;&gt;*英語を日常的に*"))/$B35*100</f>
        <v>33.333333333333329</v>
      </c>
      <c r="F35" s="41">
        <f>(COUNTIFS(集計用!$N:$N, "*, "&amp;F$4&amp;", *",集計用!$G:$G,"*, "&amp;$C35&amp;", *", 集計用!$N:$N, "&lt;&gt;*英語を日常的に*"))/$B35*100</f>
        <v>50</v>
      </c>
      <c r="G35" s="41">
        <f>(COUNTIFS(集計用!$N:$N, "*, "&amp;G$4&amp;", *",集計用!$G:$G,"*, "&amp;$C35&amp;", *", 集計用!$N:$N, "&lt;&gt;*英語を日常的に*"))/$B35*100</f>
        <v>33.333333333333329</v>
      </c>
      <c r="H35" s="41">
        <f>(COUNTIFS(集計用!$N:$N, "*, "&amp;H$4&amp;", *",集計用!$G:$G,"*, "&amp;$C35&amp;", *", 集計用!$N:$N, "&lt;&gt;*英語を日常的に*"))/$B35*100</f>
        <v>0</v>
      </c>
      <c r="I35" s="41">
        <f>(COUNTIFS(集計用!$N:$N, "*, "&amp;I$4&amp;", *",集計用!$G:$G,"*, "&amp;$C35&amp;", *", 集計用!$N:$N, "&lt;&gt;*英語を日常的に*"))/$B35*100</f>
        <v>0</v>
      </c>
      <c r="J35" s="41">
        <f>(COUNTIFS(集計用!$N:$N, "*, "&amp;J$4&amp;", *",集計用!$G:$G,"*, "&amp;$C35&amp;", *", 集計用!$N:$N, "&lt;&gt;*英語を日常的に*"))/$B35*100</f>
        <v>16.666666666666664</v>
      </c>
      <c r="K35" s="41">
        <f>(COUNTIFS(集計用!$N:$N, "*, "&amp;K$4&amp;", *",集計用!$G:$G,"*, "&amp;$C35&amp;", *", 集計用!$N:$N, "&lt;&gt;*英語を日常的に*"))/$B35*100</f>
        <v>0</v>
      </c>
      <c r="L35" s="41">
        <f>(COUNTIFS(集計用!$N:$N, "*, "&amp;L$4&amp;", *",集計用!$G:$G,"*, "&amp;$C35&amp;", *", 集計用!$N:$N, "&lt;&gt;*英語を日常的に*"))/$B35*100</f>
        <v>0</v>
      </c>
      <c r="M35" s="41">
        <f>(COUNTIFS(集計用!$N:$N, "*, "&amp;M$4&amp;", *",集計用!$G:$G,"*, "&amp;$C35&amp;", *", 集計用!$N:$N, "&lt;&gt;*英語を日常的に*"))/$B35*100</f>
        <v>0</v>
      </c>
      <c r="N35" s="41">
        <f>(COUNTIFS(集計用!$N:$N, "*, "&amp;N$4&amp;", *",集計用!$G:$G,"*, "&amp;$C35&amp;", *", 集計用!$N:$N, "&lt;&gt;*英語を日常的に*"))/$B35*100</f>
        <v>0</v>
      </c>
      <c r="O35" s="41">
        <f>(COUNTIFS(集計用!$N:$N, "*, "&amp;O$4&amp;", *",集計用!$G:$G,"*, "&amp;$C35&amp;", *", 集計用!$N:$N, "&lt;&gt;*英語を日常的に*"))/$B35*100</f>
        <v>0</v>
      </c>
      <c r="P35" s="41">
        <f>(COUNTIFS(集計用!$N:$N, "*, "&amp;P$4&amp;", *",集計用!$G:$G,"*, "&amp;$C35&amp;", *", 集計用!$N:$N, "&lt;&gt;*英語を日常的に*"))/$B35*100</f>
        <v>0</v>
      </c>
      <c r="Q35" s="41">
        <f>(COUNTIFS(集計用!$N:$N, "*, "&amp;Q$4&amp;", *",集計用!$G:$G,"*, "&amp;$C35&amp;", *", 集計用!$N:$N, "&lt;&gt;*英語を日常的に*"))/$B35*100</f>
        <v>0</v>
      </c>
      <c r="R35" s="41">
        <f>(COUNTIFS(集計用!$N:$N, "*, "&amp;R$4&amp;", *",集計用!$G:$G,"*, "&amp;$C35&amp;", *", 集計用!$N:$N, "&lt;&gt;*英語を日常的に*"))/$B35*100</f>
        <v>0</v>
      </c>
      <c r="S35" s="41">
        <f>(COUNTIFS(集計用!$N:$N, "*, "&amp;S$4&amp;", *",集計用!$G:$G,"*, "&amp;$C35&amp;", *", 集計用!$N:$N, "&lt;&gt;*英語を日常的に*"))/$B35*100</f>
        <v>0</v>
      </c>
      <c r="T35" s="41">
        <f>(COUNTIFS(集計用!$N:$N, "*, "&amp;T$4&amp;", *",集計用!$G:$G,"*, "&amp;$C35&amp;", *", 集計用!$N:$N, "&lt;&gt;*英語を日常的に*"))/$B35*100</f>
        <v>0</v>
      </c>
      <c r="U35" s="41">
        <f>(COUNTIFS(集計用!$N:$N, "*, "&amp;U$4&amp;", *",集計用!$G:$G,"*, "&amp;$C35&amp;", *", 集計用!$N:$N, "&lt;&gt;*英語を日常的に*"))/$B35*100</f>
        <v>0</v>
      </c>
      <c r="V35" s="41">
        <f>(COUNTIFS(集計用!$N:$N, "*, "&amp;V$4&amp;", *",集計用!$G:$G,"*, "&amp;$C35&amp;", *", 集計用!$N:$N, "&lt;&gt;*英語を日常的に*"))/$B35*100</f>
        <v>0</v>
      </c>
      <c r="W35" s="41">
        <f>(COUNTIFS(集計用!$N:$N, "*, "&amp;W$4&amp;", *",集計用!$G:$G,"*, "&amp;$C35&amp;", *", 集計用!$N:$N, "&lt;&gt;*英語を日常的に*"))/$B35*100</f>
        <v>0</v>
      </c>
      <c r="Y35" s="39"/>
    </row>
    <row r="36" spans="1:25" ht="15.75" customHeight="1">
      <c r="A36" s="39">
        <v>6</v>
      </c>
      <c r="B36" s="39">
        <f>(COUNTIFS(集計用!$G$2:$G$444,"*, "&amp;$C36&amp;",*",集計用!$N$2:$N$444,"&lt;&gt;*英語を日常的に*",集計用!$N$2:$N$444,"&lt;&gt;無回答, "))</f>
        <v>6</v>
      </c>
      <c r="C36" s="42" t="s">
        <v>26</v>
      </c>
      <c r="D36" s="41">
        <f>(COUNTIFS(集計用!$N:$N, "*, "&amp;D$4&amp;", *",集計用!$G:$G,"*, "&amp;$C36&amp;", *", 集計用!$N:$N, "&lt;&gt;*英語を日常的に*"))/$B36*100</f>
        <v>16.666666666666664</v>
      </c>
      <c r="E36" s="41">
        <f>(COUNTIFS(集計用!$N:$N, "*, "&amp;E$4&amp;", *",集計用!$G:$G,"*, "&amp;$C36&amp;", *", 集計用!$N:$N, "&lt;&gt;*英語を日常的に*"))/$B36*100</f>
        <v>16.666666666666664</v>
      </c>
      <c r="F36" s="41">
        <f>(COUNTIFS(集計用!$N:$N, "*, "&amp;F$4&amp;", *",集計用!$G:$G,"*, "&amp;$C36&amp;", *", 集計用!$N:$N, "&lt;&gt;*英語を日常的に*"))/$B36*100</f>
        <v>66.666666666666657</v>
      </c>
      <c r="G36" s="41">
        <f>(COUNTIFS(集計用!$N:$N, "*, "&amp;G$4&amp;", *",集計用!$G:$G,"*, "&amp;$C36&amp;", *", 集計用!$N:$N, "&lt;&gt;*英語を日常的に*"))/$B36*100</f>
        <v>33.333333333333329</v>
      </c>
      <c r="H36" s="41">
        <f>(COUNTIFS(集計用!$N:$N, "*, "&amp;H$4&amp;", *",集計用!$G:$G,"*, "&amp;$C36&amp;", *", 集計用!$N:$N, "&lt;&gt;*英語を日常的に*"))/$B36*100</f>
        <v>16.666666666666664</v>
      </c>
      <c r="I36" s="41">
        <f>(COUNTIFS(集計用!$N:$N, "*, "&amp;I$4&amp;", *",集計用!$G:$G,"*, "&amp;$C36&amp;", *", 集計用!$N:$N, "&lt;&gt;*英語を日常的に*"))/$B36*100</f>
        <v>16.666666666666664</v>
      </c>
      <c r="J36" s="41">
        <f>(COUNTIFS(集計用!$N:$N, "*, "&amp;J$4&amp;", *",集計用!$G:$G,"*, "&amp;$C36&amp;", *", 集計用!$N:$N, "&lt;&gt;*英語を日常的に*"))/$B36*100</f>
        <v>16.666666666666664</v>
      </c>
      <c r="K36" s="41">
        <f>(COUNTIFS(集計用!$N:$N, "*, "&amp;K$4&amp;", *",集計用!$G:$G,"*, "&amp;$C36&amp;", *", 集計用!$N:$N, "&lt;&gt;*英語を日常的に*"))/$B36*100</f>
        <v>0</v>
      </c>
      <c r="L36" s="41">
        <f>(COUNTIFS(集計用!$N:$N, "*, "&amp;L$4&amp;", *",集計用!$G:$G,"*, "&amp;$C36&amp;", *", 集計用!$N:$N, "&lt;&gt;*英語を日常的に*"))/$B36*100</f>
        <v>0</v>
      </c>
      <c r="M36" s="41">
        <f>(COUNTIFS(集計用!$N:$N, "*, "&amp;M$4&amp;", *",集計用!$G:$G,"*, "&amp;$C36&amp;", *", 集計用!$N:$N, "&lt;&gt;*英語を日常的に*"))/$B36*100</f>
        <v>0</v>
      </c>
      <c r="N36" s="41">
        <f>(COUNTIFS(集計用!$N:$N, "*, "&amp;N$4&amp;", *",集計用!$G:$G,"*, "&amp;$C36&amp;", *", 集計用!$N:$N, "&lt;&gt;*英語を日常的に*"))/$B36*100</f>
        <v>0</v>
      </c>
      <c r="O36" s="41">
        <f>(COUNTIFS(集計用!$N:$N, "*, "&amp;O$4&amp;", *",集計用!$G:$G,"*, "&amp;$C36&amp;", *", 集計用!$N:$N, "&lt;&gt;*英語を日常的に*"))/$B36*100</f>
        <v>0</v>
      </c>
      <c r="P36" s="41">
        <f>(COUNTIFS(集計用!$N:$N, "*, "&amp;P$4&amp;", *",集計用!$G:$G,"*, "&amp;$C36&amp;", *", 集計用!$N:$N, "&lt;&gt;*英語を日常的に*"))/$B36*100</f>
        <v>0</v>
      </c>
      <c r="Q36" s="41">
        <f>(COUNTIFS(集計用!$N:$N, "*, "&amp;Q$4&amp;", *",集計用!$G:$G,"*, "&amp;$C36&amp;", *", 集計用!$N:$N, "&lt;&gt;*英語を日常的に*"))/$B36*100</f>
        <v>0</v>
      </c>
      <c r="R36" s="41">
        <f>(COUNTIFS(集計用!$N:$N, "*, "&amp;R$4&amp;", *",集計用!$G:$G,"*, "&amp;$C36&amp;", *", 集計用!$N:$N, "&lt;&gt;*英語を日常的に*"))/$B36*100</f>
        <v>0</v>
      </c>
      <c r="S36" s="41">
        <f>(COUNTIFS(集計用!$N:$N, "*, "&amp;S$4&amp;", *",集計用!$G:$G,"*, "&amp;$C36&amp;", *", 集計用!$N:$N, "&lt;&gt;*英語を日常的に*"))/$B36*100</f>
        <v>0</v>
      </c>
      <c r="T36" s="41">
        <f>(COUNTIFS(集計用!$N:$N, "*, "&amp;T$4&amp;", *",集計用!$G:$G,"*, "&amp;$C36&amp;", *", 集計用!$N:$N, "&lt;&gt;*英語を日常的に*"))/$B36*100</f>
        <v>0</v>
      </c>
      <c r="U36" s="41">
        <f>(COUNTIFS(集計用!$N:$N, "*, "&amp;U$4&amp;", *",集計用!$G:$G,"*, "&amp;$C36&amp;", *", 集計用!$N:$N, "&lt;&gt;*英語を日常的に*"))/$B36*100</f>
        <v>0</v>
      </c>
      <c r="V36" s="41">
        <f>(COUNTIFS(集計用!$N:$N, "*, "&amp;V$4&amp;", *",集計用!$G:$G,"*, "&amp;$C36&amp;", *", 集計用!$N:$N, "&lt;&gt;*英語を日常的に*"))/$B36*100</f>
        <v>0</v>
      </c>
      <c r="W36" s="41">
        <f>(COUNTIFS(集計用!$N:$N, "*, "&amp;W$4&amp;", *",集計用!$G:$G,"*, "&amp;$C36&amp;", *", 集計用!$N:$N, "&lt;&gt;*英語を日常的に*"))/$B36*100</f>
        <v>0</v>
      </c>
      <c r="Y36" s="39"/>
    </row>
    <row r="37" spans="1:25" ht="15.75" customHeight="1">
      <c r="A37" s="39">
        <v>5</v>
      </c>
      <c r="B37" s="39">
        <f>(COUNTIFS(集計用!$G$2:$G$444,"*, "&amp;$C37&amp;",*",集計用!$N$2:$N$444,"&lt;&gt;*英語を日常的に*",集計用!$N$2:$N$444,"&lt;&gt;無回答, "))</f>
        <v>5</v>
      </c>
      <c r="C37" s="42" t="s">
        <v>28</v>
      </c>
      <c r="D37" s="41">
        <f>(COUNTIFS(集計用!$N:$N, "*, "&amp;D$4&amp;", *",集計用!$G:$G,"*, "&amp;$C37&amp;", *", 集計用!$N:$N, "&lt;&gt;*英語を日常的に*"))/$B37*100</f>
        <v>80</v>
      </c>
      <c r="E37" s="41">
        <f>(COUNTIFS(集計用!$N:$N, "*, "&amp;E$4&amp;", *",集計用!$G:$G,"*, "&amp;$C37&amp;", *", 集計用!$N:$N, "&lt;&gt;*英語を日常的に*"))/$B37*100</f>
        <v>40</v>
      </c>
      <c r="F37" s="41">
        <f>(COUNTIFS(集計用!$N:$N, "*, "&amp;F$4&amp;", *",集計用!$G:$G,"*, "&amp;$C37&amp;", *", 集計用!$N:$N, "&lt;&gt;*英語を日常的に*"))/$B37*100</f>
        <v>60</v>
      </c>
      <c r="G37" s="41">
        <f>(COUNTIFS(集計用!$N:$N, "*, "&amp;G$4&amp;", *",集計用!$G:$G,"*, "&amp;$C37&amp;", *", 集計用!$N:$N, "&lt;&gt;*英語を日常的に*"))/$B37*100</f>
        <v>0</v>
      </c>
      <c r="H37" s="41">
        <f>(COUNTIFS(集計用!$N:$N, "*, "&amp;H$4&amp;", *",集計用!$G:$G,"*, "&amp;$C37&amp;", *", 集計用!$N:$N, "&lt;&gt;*英語を日常的に*"))/$B37*100</f>
        <v>20</v>
      </c>
      <c r="I37" s="41">
        <f>(COUNTIFS(集計用!$N:$N, "*, "&amp;I$4&amp;", *",集計用!$G:$G,"*, "&amp;$C37&amp;", *", 集計用!$N:$N, "&lt;&gt;*英語を日常的に*"))/$B37*100</f>
        <v>0</v>
      </c>
      <c r="J37" s="41">
        <f>(COUNTIFS(集計用!$N:$N, "*, "&amp;J$4&amp;", *",集計用!$G:$G,"*, "&amp;$C37&amp;", *", 集計用!$N:$N, "&lt;&gt;*英語を日常的に*"))/$B37*100</f>
        <v>60</v>
      </c>
      <c r="K37" s="41">
        <f>(COUNTIFS(集計用!$N:$N, "*, "&amp;K$4&amp;", *",集計用!$G:$G,"*, "&amp;$C37&amp;", *", 集計用!$N:$N, "&lt;&gt;*英語を日常的に*"))/$B37*100</f>
        <v>0</v>
      </c>
      <c r="L37" s="41">
        <f>(COUNTIFS(集計用!$N:$N, "*, "&amp;L$4&amp;", *",集計用!$G:$G,"*, "&amp;$C37&amp;", *", 集計用!$N:$N, "&lt;&gt;*英語を日常的に*"))/$B37*100</f>
        <v>0</v>
      </c>
      <c r="M37" s="41">
        <f>(COUNTIFS(集計用!$N:$N, "*, "&amp;M$4&amp;", *",集計用!$G:$G,"*, "&amp;$C37&amp;", *", 集計用!$N:$N, "&lt;&gt;*英語を日常的に*"))/$B37*100</f>
        <v>0</v>
      </c>
      <c r="N37" s="41">
        <f>(COUNTIFS(集計用!$N:$N, "*, "&amp;N$4&amp;", *",集計用!$G:$G,"*, "&amp;$C37&amp;", *", 集計用!$N:$N, "&lt;&gt;*英語を日常的に*"))/$B37*100</f>
        <v>0</v>
      </c>
      <c r="O37" s="41">
        <f>(COUNTIFS(集計用!$N:$N, "*, "&amp;O$4&amp;", *",集計用!$G:$G,"*, "&amp;$C37&amp;", *", 集計用!$N:$N, "&lt;&gt;*英語を日常的に*"))/$B37*100</f>
        <v>0</v>
      </c>
      <c r="P37" s="41">
        <f>(COUNTIFS(集計用!$N:$N, "*, "&amp;P$4&amp;", *",集計用!$G:$G,"*, "&amp;$C37&amp;", *", 集計用!$N:$N, "&lt;&gt;*英語を日常的に*"))/$B37*100</f>
        <v>0</v>
      </c>
      <c r="Q37" s="41">
        <f>(COUNTIFS(集計用!$N:$N, "*, "&amp;Q$4&amp;", *",集計用!$G:$G,"*, "&amp;$C37&amp;", *", 集計用!$N:$N, "&lt;&gt;*英語を日常的に*"))/$B37*100</f>
        <v>0</v>
      </c>
      <c r="R37" s="41">
        <f>(COUNTIFS(集計用!$N:$N, "*, "&amp;R$4&amp;", *",集計用!$G:$G,"*, "&amp;$C37&amp;", *", 集計用!$N:$N, "&lt;&gt;*英語を日常的に*"))/$B37*100</f>
        <v>0</v>
      </c>
      <c r="S37" s="41">
        <f>(COUNTIFS(集計用!$N:$N, "*, "&amp;S$4&amp;", *",集計用!$G:$G,"*, "&amp;$C37&amp;", *", 集計用!$N:$N, "&lt;&gt;*英語を日常的に*"))/$B37*100</f>
        <v>0</v>
      </c>
      <c r="T37" s="41">
        <f>(COUNTIFS(集計用!$N:$N, "*, "&amp;T$4&amp;", *",集計用!$G:$G,"*, "&amp;$C37&amp;", *", 集計用!$N:$N, "&lt;&gt;*英語を日常的に*"))/$B37*100</f>
        <v>0</v>
      </c>
      <c r="U37" s="41">
        <f>(COUNTIFS(集計用!$N:$N, "*, "&amp;U$4&amp;", *",集計用!$G:$G,"*, "&amp;$C37&amp;", *", 集計用!$N:$N, "&lt;&gt;*英語を日常的に*"))/$B37*100</f>
        <v>0</v>
      </c>
      <c r="V37" s="41">
        <f>(COUNTIFS(集計用!$N:$N, "*, "&amp;V$4&amp;", *",集計用!$G:$G,"*, "&amp;$C37&amp;", *", 集計用!$N:$N, "&lt;&gt;*英語を日常的に*"))/$B37*100</f>
        <v>0</v>
      </c>
      <c r="W37" s="41">
        <f>(COUNTIFS(集計用!$N:$N, "*, "&amp;W$4&amp;", *",集計用!$G:$G,"*, "&amp;$C37&amp;", *", 集計用!$N:$N, "&lt;&gt;*英語を日常的に*"))/$B37*100</f>
        <v>0</v>
      </c>
      <c r="Y37" s="39"/>
    </row>
    <row r="38" spans="1:25" ht="15.75" customHeight="1">
      <c r="A38" s="39">
        <v>5</v>
      </c>
      <c r="B38" s="39">
        <f>(COUNTIFS(集計用!$G$2:$G$444,"*, "&amp;$C38&amp;",*",集計用!$N$2:$N$444,"&lt;&gt;*英語を日常的に*",集計用!$N$2:$N$444,"&lt;&gt;無回答, "))</f>
        <v>5</v>
      </c>
      <c r="C38" s="42" t="s">
        <v>34</v>
      </c>
      <c r="D38" s="41">
        <f>(COUNTIFS(集計用!$N:$N, "*, "&amp;D$4&amp;", *",集計用!$G:$G,"*, "&amp;$C38&amp;", *", 集計用!$N:$N, "&lt;&gt;*英語を日常的に*"))/$B38*100</f>
        <v>60</v>
      </c>
      <c r="E38" s="41">
        <f>(COUNTIFS(集計用!$N:$N, "*, "&amp;E$4&amp;", *",集計用!$G:$G,"*, "&amp;$C38&amp;", *", 集計用!$N:$N, "&lt;&gt;*英語を日常的に*"))/$B38*100</f>
        <v>40</v>
      </c>
      <c r="F38" s="41">
        <f>(COUNTIFS(集計用!$N:$N, "*, "&amp;F$4&amp;", *",集計用!$G:$G,"*, "&amp;$C38&amp;", *", 集計用!$N:$N, "&lt;&gt;*英語を日常的に*"))/$B38*100</f>
        <v>60</v>
      </c>
      <c r="G38" s="41">
        <f>(COUNTIFS(集計用!$N:$N, "*, "&amp;G$4&amp;", *",集計用!$G:$G,"*, "&amp;$C38&amp;", *", 集計用!$N:$N, "&lt;&gt;*英語を日常的に*"))/$B38*100</f>
        <v>0</v>
      </c>
      <c r="H38" s="41">
        <f>(COUNTIFS(集計用!$N:$N, "*, "&amp;H$4&amp;", *",集計用!$G:$G,"*, "&amp;$C38&amp;", *", 集計用!$N:$N, "&lt;&gt;*英語を日常的に*"))/$B38*100</f>
        <v>0</v>
      </c>
      <c r="I38" s="41">
        <f>(COUNTIFS(集計用!$N:$N, "*, "&amp;I$4&amp;", *",集計用!$G:$G,"*, "&amp;$C38&amp;", *", 集計用!$N:$N, "&lt;&gt;*英語を日常的に*"))/$B38*100</f>
        <v>40</v>
      </c>
      <c r="J38" s="41">
        <f>(COUNTIFS(集計用!$N:$N, "*, "&amp;J$4&amp;", *",集計用!$G:$G,"*, "&amp;$C38&amp;", *", 集計用!$N:$N, "&lt;&gt;*英語を日常的に*"))/$B38*100</f>
        <v>20</v>
      </c>
      <c r="K38" s="41">
        <f>(COUNTIFS(集計用!$N:$N, "*, "&amp;K$4&amp;", *",集計用!$G:$G,"*, "&amp;$C38&amp;", *", 集計用!$N:$N, "&lt;&gt;*英語を日常的に*"))/$B38*100</f>
        <v>20</v>
      </c>
      <c r="L38" s="41">
        <f>(COUNTIFS(集計用!$N:$N, "*, "&amp;L$4&amp;", *",集計用!$G:$G,"*, "&amp;$C38&amp;", *", 集計用!$N:$N, "&lt;&gt;*英語を日常的に*"))/$B38*100</f>
        <v>40</v>
      </c>
      <c r="M38" s="41">
        <f>(COUNTIFS(集計用!$N:$N, "*, "&amp;M$4&amp;", *",集計用!$G:$G,"*, "&amp;$C38&amp;", *", 集計用!$N:$N, "&lt;&gt;*英語を日常的に*"))/$B38*100</f>
        <v>0</v>
      </c>
      <c r="N38" s="41">
        <f>(COUNTIFS(集計用!$N:$N, "*, "&amp;N$4&amp;", *",集計用!$G:$G,"*, "&amp;$C38&amp;", *", 集計用!$N:$N, "&lt;&gt;*英語を日常的に*"))/$B38*100</f>
        <v>0</v>
      </c>
      <c r="O38" s="41">
        <f>(COUNTIFS(集計用!$N:$N, "*, "&amp;O$4&amp;", *",集計用!$G:$G,"*, "&amp;$C38&amp;", *", 集計用!$N:$N, "&lt;&gt;*英語を日常的に*"))/$B38*100</f>
        <v>0</v>
      </c>
      <c r="P38" s="41">
        <f>(COUNTIFS(集計用!$N:$N, "*, "&amp;P$4&amp;", *",集計用!$G:$G,"*, "&amp;$C38&amp;", *", 集計用!$N:$N, "&lt;&gt;*英語を日常的に*"))/$B38*100</f>
        <v>0</v>
      </c>
      <c r="Q38" s="41">
        <f>(COUNTIFS(集計用!$N:$N, "*, "&amp;Q$4&amp;", *",集計用!$G:$G,"*, "&amp;$C38&amp;", *", 集計用!$N:$N, "&lt;&gt;*英語を日常的に*"))/$B38*100</f>
        <v>0</v>
      </c>
      <c r="R38" s="41">
        <f>(COUNTIFS(集計用!$N:$N, "*, "&amp;R$4&amp;", *",集計用!$G:$G,"*, "&amp;$C38&amp;", *", 集計用!$N:$N, "&lt;&gt;*英語を日常的に*"))/$B38*100</f>
        <v>0</v>
      </c>
      <c r="S38" s="41">
        <f>(COUNTIFS(集計用!$N:$N, "*, "&amp;S$4&amp;", *",集計用!$G:$G,"*, "&amp;$C38&amp;", *", 集計用!$N:$N, "&lt;&gt;*英語を日常的に*"))/$B38*100</f>
        <v>0</v>
      </c>
      <c r="T38" s="41">
        <f>(COUNTIFS(集計用!$N:$N, "*, "&amp;T$4&amp;", *",集計用!$G:$G,"*, "&amp;$C38&amp;", *", 集計用!$N:$N, "&lt;&gt;*英語を日常的に*"))/$B38*100</f>
        <v>0</v>
      </c>
      <c r="U38" s="41">
        <f>(COUNTIFS(集計用!$N:$N, "*, "&amp;U$4&amp;", *",集計用!$G:$G,"*, "&amp;$C38&amp;", *", 集計用!$N:$N, "&lt;&gt;*英語を日常的に*"))/$B38*100</f>
        <v>0</v>
      </c>
      <c r="V38" s="41">
        <f>(COUNTIFS(集計用!$N:$N, "*, "&amp;V$4&amp;", *",集計用!$G:$G,"*, "&amp;$C38&amp;", *", 集計用!$N:$N, "&lt;&gt;*英語を日常的に*"))/$B38*100</f>
        <v>0</v>
      </c>
      <c r="W38" s="41">
        <f>(COUNTIFS(集計用!$N:$N, "*, "&amp;W$4&amp;", *",集計用!$G:$G,"*, "&amp;$C38&amp;", *", 集計用!$N:$N, "&lt;&gt;*英語を日常的に*"))/$B38*100</f>
        <v>0</v>
      </c>
      <c r="Y38" s="39"/>
    </row>
    <row r="39" spans="1:25" ht="12.75">
      <c r="A39" s="39">
        <v>5</v>
      </c>
      <c r="B39" s="39">
        <f>(COUNTIFS(集計用!$G$2:$G$444,"*, "&amp;$C39&amp;",*",集計用!$N$2:$N$444,"&lt;&gt;*英語を日常的に*",集計用!$N$2:$N$444,"&lt;&gt;無回答, "))</f>
        <v>5</v>
      </c>
      <c r="C39" s="42" t="s">
        <v>39</v>
      </c>
      <c r="D39" s="41">
        <f>(COUNTIFS(集計用!$N:$N, "*, "&amp;D$4&amp;", *",集計用!$G:$G,"*, "&amp;$C39&amp;", *", 集計用!$N:$N, "&lt;&gt;*英語を日常的に*"))/$B39*100</f>
        <v>40</v>
      </c>
      <c r="E39" s="41">
        <f>(COUNTIFS(集計用!$N:$N, "*, "&amp;E$4&amp;", *",集計用!$G:$G,"*, "&amp;$C39&amp;", *", 集計用!$N:$N, "&lt;&gt;*英語を日常的に*"))/$B39*100</f>
        <v>40</v>
      </c>
      <c r="F39" s="41">
        <f>(COUNTIFS(集計用!$N:$N, "*, "&amp;F$4&amp;", *",集計用!$G:$G,"*, "&amp;$C39&amp;", *", 集計用!$N:$N, "&lt;&gt;*英語を日常的に*"))/$B39*100</f>
        <v>60</v>
      </c>
      <c r="G39" s="41">
        <f>(COUNTIFS(集計用!$N:$N, "*, "&amp;G$4&amp;", *",集計用!$G:$G,"*, "&amp;$C39&amp;", *", 集計用!$N:$N, "&lt;&gt;*英語を日常的に*"))/$B39*100</f>
        <v>20</v>
      </c>
      <c r="H39" s="41">
        <f>(COUNTIFS(集計用!$N:$N, "*, "&amp;H$4&amp;", *",集計用!$G:$G,"*, "&amp;$C39&amp;", *", 集計用!$N:$N, "&lt;&gt;*英語を日常的に*"))/$B39*100</f>
        <v>20</v>
      </c>
      <c r="I39" s="41">
        <f>(COUNTIFS(集計用!$N:$N, "*, "&amp;I$4&amp;", *",集計用!$G:$G,"*, "&amp;$C39&amp;", *", 集計用!$N:$N, "&lt;&gt;*英語を日常的に*"))/$B39*100</f>
        <v>40</v>
      </c>
      <c r="J39" s="41">
        <f>(COUNTIFS(集計用!$N:$N, "*, "&amp;J$4&amp;", *",集計用!$G:$G,"*, "&amp;$C39&amp;", *", 集計用!$N:$N, "&lt;&gt;*英語を日常的に*"))/$B39*100</f>
        <v>0</v>
      </c>
      <c r="K39" s="41">
        <f>(COUNTIFS(集計用!$N:$N, "*, "&amp;K$4&amp;", *",集計用!$G:$G,"*, "&amp;$C39&amp;", *", 集計用!$N:$N, "&lt;&gt;*英語を日常的に*"))/$B39*100</f>
        <v>0</v>
      </c>
      <c r="L39" s="41">
        <f>(COUNTIFS(集計用!$N:$N, "*, "&amp;L$4&amp;", *",集計用!$G:$G,"*, "&amp;$C39&amp;", *", 集計用!$N:$N, "&lt;&gt;*英語を日常的に*"))/$B39*100</f>
        <v>0</v>
      </c>
      <c r="M39" s="41">
        <f>(COUNTIFS(集計用!$N:$N, "*, "&amp;M$4&amp;", *",集計用!$G:$G,"*, "&amp;$C39&amp;", *", 集計用!$N:$N, "&lt;&gt;*英語を日常的に*"))/$B39*100</f>
        <v>0</v>
      </c>
      <c r="N39" s="41">
        <f>(COUNTIFS(集計用!$N:$N, "*, "&amp;N$4&amp;", *",集計用!$G:$G,"*, "&amp;$C39&amp;", *", 集計用!$N:$N, "&lt;&gt;*英語を日常的に*"))/$B39*100</f>
        <v>0</v>
      </c>
      <c r="O39" s="41">
        <f>(COUNTIFS(集計用!$N:$N, "*, "&amp;O$4&amp;", *",集計用!$G:$G,"*, "&amp;$C39&amp;", *", 集計用!$N:$N, "&lt;&gt;*英語を日常的に*"))/$B39*100</f>
        <v>0</v>
      </c>
      <c r="P39" s="41">
        <f>(COUNTIFS(集計用!$N:$N, "*, "&amp;P$4&amp;", *",集計用!$G:$G,"*, "&amp;$C39&amp;", *", 集計用!$N:$N, "&lt;&gt;*英語を日常的に*"))/$B39*100</f>
        <v>0</v>
      </c>
      <c r="Q39" s="41">
        <f>(COUNTIFS(集計用!$N:$N, "*, "&amp;Q$4&amp;", *",集計用!$G:$G,"*, "&amp;$C39&amp;", *", 集計用!$N:$N, "&lt;&gt;*英語を日常的に*"))/$B39*100</f>
        <v>0</v>
      </c>
      <c r="R39" s="41">
        <f>(COUNTIFS(集計用!$N:$N, "*, "&amp;R$4&amp;", *",集計用!$G:$G,"*, "&amp;$C39&amp;", *", 集計用!$N:$N, "&lt;&gt;*英語を日常的に*"))/$B39*100</f>
        <v>0</v>
      </c>
      <c r="S39" s="41">
        <f>(COUNTIFS(集計用!$N:$N, "*, "&amp;S$4&amp;", *",集計用!$G:$G,"*, "&amp;$C39&amp;", *", 集計用!$N:$N, "&lt;&gt;*英語を日常的に*"))/$B39*100</f>
        <v>0</v>
      </c>
      <c r="T39" s="41">
        <f>(COUNTIFS(集計用!$N:$N, "*, "&amp;T$4&amp;", *",集計用!$G:$G,"*, "&amp;$C39&amp;", *", 集計用!$N:$N, "&lt;&gt;*英語を日常的に*"))/$B39*100</f>
        <v>0</v>
      </c>
      <c r="U39" s="41">
        <f>(COUNTIFS(集計用!$N:$N, "*, "&amp;U$4&amp;", *",集計用!$G:$G,"*, "&amp;$C39&amp;", *", 集計用!$N:$N, "&lt;&gt;*英語を日常的に*"))/$B39*100</f>
        <v>0</v>
      </c>
      <c r="V39" s="41">
        <f>(COUNTIFS(集計用!$N:$N, "*, "&amp;V$4&amp;", *",集計用!$G:$G,"*, "&amp;$C39&amp;", *", 集計用!$N:$N, "&lt;&gt;*英語を日常的に*"))/$B39*100</f>
        <v>0</v>
      </c>
      <c r="W39" s="41">
        <f>(COUNTIFS(集計用!$N:$N, "*, "&amp;W$4&amp;", *",集計用!$G:$G,"*, "&amp;$C39&amp;", *", 集計用!$N:$N, "&lt;&gt;*英語を日常的に*"))/$B39*100</f>
        <v>0</v>
      </c>
      <c r="Y39" s="39"/>
    </row>
    <row r="40" spans="1:25" ht="12.75">
      <c r="A40" s="39">
        <v>4</v>
      </c>
      <c r="B40" s="39">
        <f>(COUNTIFS(集計用!$G$2:$G$444,"*, "&amp;$C40&amp;",*",集計用!$N$2:$N$444,"&lt;&gt;*英語を日常的に*",集計用!$N$2:$N$444,"&lt;&gt;無回答, "))</f>
        <v>5</v>
      </c>
      <c r="C40" s="42" t="s">
        <v>37</v>
      </c>
      <c r="D40" s="41">
        <f>(COUNTIFS(集計用!$N:$N, "*, "&amp;D$4&amp;", *",集計用!$G:$G,"*, "&amp;$C40&amp;", *", 集計用!$N:$N, "&lt;&gt;*英語を日常的に*"))/$B40*100</f>
        <v>40</v>
      </c>
      <c r="E40" s="41">
        <f>(COUNTIFS(集計用!$N:$N, "*, "&amp;E$4&amp;", *",集計用!$G:$G,"*, "&amp;$C40&amp;", *", 集計用!$N:$N, "&lt;&gt;*英語を日常的に*"))/$B40*100</f>
        <v>20</v>
      </c>
      <c r="F40" s="41">
        <f>(COUNTIFS(集計用!$N:$N, "*, "&amp;F$4&amp;", *",集計用!$G:$G,"*, "&amp;$C40&amp;", *", 集計用!$N:$N, "&lt;&gt;*英語を日常的に*"))/$B40*100</f>
        <v>40</v>
      </c>
      <c r="G40" s="41">
        <f>(COUNTIFS(集計用!$N:$N, "*, "&amp;G$4&amp;", *",集計用!$G:$G,"*, "&amp;$C40&amp;", *", 集計用!$N:$N, "&lt;&gt;*英語を日常的に*"))/$B40*100</f>
        <v>40</v>
      </c>
      <c r="H40" s="41">
        <f>(COUNTIFS(集計用!$N:$N, "*, "&amp;H$4&amp;", *",集計用!$G:$G,"*, "&amp;$C40&amp;", *", 集計用!$N:$N, "&lt;&gt;*英語を日常的に*"))/$B40*100</f>
        <v>60</v>
      </c>
      <c r="I40" s="41">
        <f>(COUNTIFS(集計用!$N:$N, "*, "&amp;I$4&amp;", *",集計用!$G:$G,"*, "&amp;$C40&amp;", *", 集計用!$N:$N, "&lt;&gt;*英語を日常的に*"))/$B40*100</f>
        <v>20</v>
      </c>
      <c r="J40" s="41">
        <f>(COUNTIFS(集計用!$N:$N, "*, "&amp;J$4&amp;", *",集計用!$G:$G,"*, "&amp;$C40&amp;", *", 集計用!$N:$N, "&lt;&gt;*英語を日常的に*"))/$B40*100</f>
        <v>20</v>
      </c>
      <c r="K40" s="41">
        <f>(COUNTIFS(集計用!$N:$N, "*, "&amp;K$4&amp;", *",集計用!$G:$G,"*, "&amp;$C40&amp;", *", 集計用!$N:$N, "&lt;&gt;*英語を日常的に*"))/$B40*100</f>
        <v>0</v>
      </c>
      <c r="L40" s="41">
        <f>(COUNTIFS(集計用!$N:$N, "*, "&amp;L$4&amp;", *",集計用!$G:$G,"*, "&amp;$C40&amp;", *", 集計用!$N:$N, "&lt;&gt;*英語を日常的に*"))/$B40*100</f>
        <v>0</v>
      </c>
      <c r="M40" s="41">
        <f>(COUNTIFS(集計用!$N:$N, "*, "&amp;M$4&amp;", *",集計用!$G:$G,"*, "&amp;$C40&amp;", *", 集計用!$N:$N, "&lt;&gt;*英語を日常的に*"))/$B40*100</f>
        <v>0</v>
      </c>
      <c r="N40" s="41">
        <f>(COUNTIFS(集計用!$N:$N, "*, "&amp;N$4&amp;", *",集計用!$G:$G,"*, "&amp;$C40&amp;", *", 集計用!$N:$N, "&lt;&gt;*英語を日常的に*"))/$B40*100</f>
        <v>0</v>
      </c>
      <c r="O40" s="41">
        <f>(COUNTIFS(集計用!$N:$N, "*, "&amp;O$4&amp;", *",集計用!$G:$G,"*, "&amp;$C40&amp;", *", 集計用!$N:$N, "&lt;&gt;*英語を日常的に*"))/$B40*100</f>
        <v>0</v>
      </c>
      <c r="P40" s="41">
        <f>(COUNTIFS(集計用!$N:$N, "*, "&amp;P$4&amp;", *",集計用!$G:$G,"*, "&amp;$C40&amp;", *", 集計用!$N:$N, "&lt;&gt;*英語を日常的に*"))/$B40*100</f>
        <v>0</v>
      </c>
      <c r="Q40" s="41">
        <f>(COUNTIFS(集計用!$N:$N, "*, "&amp;Q$4&amp;", *",集計用!$G:$G,"*, "&amp;$C40&amp;", *", 集計用!$N:$N, "&lt;&gt;*英語を日常的に*"))/$B40*100</f>
        <v>0</v>
      </c>
      <c r="R40" s="41">
        <f>(COUNTIFS(集計用!$N:$N, "*, "&amp;R$4&amp;", *",集計用!$G:$G,"*, "&amp;$C40&amp;", *", 集計用!$N:$N, "&lt;&gt;*英語を日常的に*"))/$B40*100</f>
        <v>0</v>
      </c>
      <c r="S40" s="41">
        <f>(COUNTIFS(集計用!$N:$N, "*, "&amp;S$4&amp;", *",集計用!$G:$G,"*, "&amp;$C40&amp;", *", 集計用!$N:$N, "&lt;&gt;*英語を日常的に*"))/$B40*100</f>
        <v>0</v>
      </c>
      <c r="T40" s="41">
        <f>(COUNTIFS(集計用!$N:$N, "*, "&amp;T$4&amp;", *",集計用!$G:$G,"*, "&amp;$C40&amp;", *", 集計用!$N:$N, "&lt;&gt;*英語を日常的に*"))/$B40*100</f>
        <v>0</v>
      </c>
      <c r="U40" s="41">
        <f>(COUNTIFS(集計用!$N:$N, "*, "&amp;U$4&amp;", *",集計用!$G:$G,"*, "&amp;$C40&amp;", *", 集計用!$N:$N, "&lt;&gt;*英語を日常的に*"))/$B40*100</f>
        <v>0</v>
      </c>
      <c r="V40" s="41">
        <f>(COUNTIFS(集計用!$N:$N, "*, "&amp;V$4&amp;", *",集計用!$G:$G,"*, "&amp;$C40&amp;", *", 集計用!$N:$N, "&lt;&gt;*英語を日常的に*"))/$B40*100</f>
        <v>0</v>
      </c>
      <c r="W40" s="41">
        <f>(COUNTIFS(集計用!$N:$N, "*, "&amp;W$4&amp;", *",集計用!$G:$G,"*, "&amp;$C40&amp;", *", 集計用!$N:$N, "&lt;&gt;*英語を日常的に*"))/$B40*100</f>
        <v>0</v>
      </c>
      <c r="Y40" s="39"/>
    </row>
    <row r="41" spans="1:25" ht="12.75">
      <c r="A41" s="39">
        <v>6</v>
      </c>
      <c r="B41" s="39">
        <f>(COUNTIFS(集計用!$G$2:$G$444,"*, "&amp;$C41&amp;",*",集計用!$N$2:$N$444,"&lt;&gt;*英語を日常的に*",集計用!$N$2:$N$444,"&lt;&gt;無回答, "))</f>
        <v>4</v>
      </c>
      <c r="C41" s="42" t="s">
        <v>25</v>
      </c>
      <c r="D41" s="41">
        <f>(COUNTIFS(集計用!$N:$N, "*, "&amp;D$4&amp;", *",集計用!$G:$G,"*, "&amp;$C41&amp;", *", 集計用!$N:$N, "&lt;&gt;*英語を日常的に*"))/$B41*100</f>
        <v>25</v>
      </c>
      <c r="E41" s="41">
        <f>(COUNTIFS(集計用!$N:$N, "*, "&amp;E$4&amp;", *",集計用!$G:$G,"*, "&amp;$C41&amp;", *", 集計用!$N:$N, "&lt;&gt;*英語を日常的に*"))/$B41*100</f>
        <v>0</v>
      </c>
      <c r="F41" s="41">
        <f>(COUNTIFS(集計用!$N:$N, "*, "&amp;F$4&amp;", *",集計用!$G:$G,"*, "&amp;$C41&amp;", *", 集計用!$N:$N, "&lt;&gt;*英語を日常的に*"))/$B41*100</f>
        <v>25</v>
      </c>
      <c r="G41" s="41">
        <f>(COUNTIFS(集計用!$N:$N, "*, "&amp;G$4&amp;", *",集計用!$G:$G,"*, "&amp;$C41&amp;", *", 集計用!$N:$N, "&lt;&gt;*英語を日常的に*"))/$B41*100</f>
        <v>25</v>
      </c>
      <c r="H41" s="41">
        <f>(COUNTIFS(集計用!$N:$N, "*, "&amp;H$4&amp;", *",集計用!$G:$G,"*, "&amp;$C41&amp;", *", 集計用!$N:$N, "&lt;&gt;*英語を日常的に*"))/$B41*100</f>
        <v>25</v>
      </c>
      <c r="I41" s="41">
        <f>(COUNTIFS(集計用!$N:$N, "*, "&amp;I$4&amp;", *",集計用!$G:$G,"*, "&amp;$C41&amp;", *", 集計用!$N:$N, "&lt;&gt;*英語を日常的に*"))/$B41*100</f>
        <v>25</v>
      </c>
      <c r="J41" s="41">
        <f>(COUNTIFS(集計用!$N:$N, "*, "&amp;J$4&amp;", *",集計用!$G:$G,"*, "&amp;$C41&amp;", *", 集計用!$N:$N, "&lt;&gt;*英語を日常的に*"))/$B41*100</f>
        <v>0</v>
      </c>
      <c r="K41" s="41">
        <f>(COUNTIFS(集計用!$N:$N, "*, "&amp;K$4&amp;", *",集計用!$G:$G,"*, "&amp;$C41&amp;", *", 集計用!$N:$N, "&lt;&gt;*英語を日常的に*"))/$B41*100</f>
        <v>0</v>
      </c>
      <c r="L41" s="41">
        <f>(COUNTIFS(集計用!$N:$N, "*, "&amp;L$4&amp;", *",集計用!$G:$G,"*, "&amp;$C41&amp;", *", 集計用!$N:$N, "&lt;&gt;*英語を日常的に*"))/$B41*100</f>
        <v>0</v>
      </c>
      <c r="M41" s="41">
        <f>(COUNTIFS(集計用!$N:$N, "*, "&amp;M$4&amp;", *",集計用!$G:$G,"*, "&amp;$C41&amp;", *", 集計用!$N:$N, "&lt;&gt;*英語を日常的に*"))/$B41*100</f>
        <v>0</v>
      </c>
      <c r="N41" s="41">
        <f>(COUNTIFS(集計用!$N:$N, "*, "&amp;N$4&amp;", *",集計用!$G:$G,"*, "&amp;$C41&amp;", *", 集計用!$N:$N, "&lt;&gt;*英語を日常的に*"))/$B41*100</f>
        <v>0</v>
      </c>
      <c r="O41" s="41">
        <f>(COUNTIFS(集計用!$N:$N, "*, "&amp;O$4&amp;", *",集計用!$G:$G,"*, "&amp;$C41&amp;", *", 集計用!$N:$N, "&lt;&gt;*英語を日常的に*"))/$B41*100</f>
        <v>0</v>
      </c>
      <c r="P41" s="41">
        <f>(COUNTIFS(集計用!$N:$N, "*, "&amp;P$4&amp;", *",集計用!$G:$G,"*, "&amp;$C41&amp;", *", 集計用!$N:$N, "&lt;&gt;*英語を日常的に*"))/$B41*100</f>
        <v>0</v>
      </c>
      <c r="Q41" s="41">
        <f>(COUNTIFS(集計用!$N:$N, "*, "&amp;Q$4&amp;", *",集計用!$G:$G,"*, "&amp;$C41&amp;", *", 集計用!$N:$N, "&lt;&gt;*英語を日常的に*"))/$B41*100</f>
        <v>0</v>
      </c>
      <c r="R41" s="41">
        <f>(COUNTIFS(集計用!$N:$N, "*, "&amp;R$4&amp;", *",集計用!$G:$G,"*, "&amp;$C41&amp;", *", 集計用!$N:$N, "&lt;&gt;*英語を日常的に*"))/$B41*100</f>
        <v>0</v>
      </c>
      <c r="S41" s="41">
        <f>(COUNTIFS(集計用!$N:$N, "*, "&amp;S$4&amp;", *",集計用!$G:$G,"*, "&amp;$C41&amp;", *", 集計用!$N:$N, "&lt;&gt;*英語を日常的に*"))/$B41*100</f>
        <v>0</v>
      </c>
      <c r="T41" s="41">
        <f>(COUNTIFS(集計用!$N:$N, "*, "&amp;T$4&amp;", *",集計用!$G:$G,"*, "&amp;$C41&amp;", *", 集計用!$N:$N, "&lt;&gt;*英語を日常的に*"))/$B41*100</f>
        <v>0</v>
      </c>
      <c r="U41" s="41">
        <f>(COUNTIFS(集計用!$N:$N, "*, "&amp;U$4&amp;", *",集計用!$G:$G,"*, "&amp;$C41&amp;", *", 集計用!$N:$N, "&lt;&gt;*英語を日常的に*"))/$B41*100</f>
        <v>0</v>
      </c>
      <c r="V41" s="41">
        <f>(COUNTIFS(集計用!$N:$N, "*, "&amp;V$4&amp;", *",集計用!$G:$G,"*, "&amp;$C41&amp;", *", 集計用!$N:$N, "&lt;&gt;*英語を日常的に*"))/$B41*100</f>
        <v>0</v>
      </c>
      <c r="W41" s="41">
        <f>(COUNTIFS(集計用!$N:$N, "*, "&amp;W$4&amp;", *",集計用!$G:$G,"*, "&amp;$C41&amp;", *", 集計用!$N:$N, "&lt;&gt;*英語を日常的に*"))/$B41*100</f>
        <v>0</v>
      </c>
      <c r="Y41" s="39"/>
    </row>
    <row r="42" spans="1:25" ht="12.75">
      <c r="A42" s="39">
        <v>4</v>
      </c>
      <c r="B42" s="39">
        <f>(COUNTIFS(集計用!$G$2:$G$444,"*, "&amp;$C42&amp;",*",集計用!$N$2:$N$444,"&lt;&gt;*英語を日常的に*",集計用!$N$2:$N$444,"&lt;&gt;無回答, "))</f>
        <v>4</v>
      </c>
      <c r="C42" s="42" t="s">
        <v>43</v>
      </c>
      <c r="D42" s="41">
        <f>(COUNTIFS(集計用!$N:$N, "*, "&amp;D$4&amp;", *",集計用!$G:$G,"*, "&amp;$C42&amp;", *", 集計用!$N:$N, "&lt;&gt;*英語を日常的に*"))/$B42*100</f>
        <v>75</v>
      </c>
      <c r="E42" s="41">
        <f>(COUNTIFS(集計用!$N:$N, "*, "&amp;E$4&amp;", *",集計用!$G:$G,"*, "&amp;$C42&amp;", *", 集計用!$N:$N, "&lt;&gt;*英語を日常的に*"))/$B42*100</f>
        <v>25</v>
      </c>
      <c r="F42" s="41">
        <f>(COUNTIFS(集計用!$N:$N, "*, "&amp;F$4&amp;", *",集計用!$G:$G,"*, "&amp;$C42&amp;", *", 集計用!$N:$N, "&lt;&gt;*英語を日常的に*"))/$B42*100</f>
        <v>50</v>
      </c>
      <c r="G42" s="41">
        <f>(COUNTIFS(集計用!$N:$N, "*, "&amp;G$4&amp;", *",集計用!$G:$G,"*, "&amp;$C42&amp;", *", 集計用!$N:$N, "&lt;&gt;*英語を日常的に*"))/$B42*100</f>
        <v>25</v>
      </c>
      <c r="H42" s="41">
        <f>(COUNTIFS(集計用!$N:$N, "*, "&amp;H$4&amp;", *",集計用!$G:$G,"*, "&amp;$C42&amp;", *", 集計用!$N:$N, "&lt;&gt;*英語を日常的に*"))/$B42*100</f>
        <v>0</v>
      </c>
      <c r="I42" s="41">
        <f>(COUNTIFS(集計用!$N:$N, "*, "&amp;I$4&amp;", *",集計用!$G:$G,"*, "&amp;$C42&amp;", *", 集計用!$N:$N, "&lt;&gt;*英語を日常的に*"))/$B42*100</f>
        <v>0</v>
      </c>
      <c r="J42" s="41">
        <f>(COUNTIFS(集計用!$N:$N, "*, "&amp;J$4&amp;", *",集計用!$G:$G,"*, "&amp;$C42&amp;", *", 集計用!$N:$N, "&lt;&gt;*英語を日常的に*"))/$B42*100</f>
        <v>0</v>
      </c>
      <c r="K42" s="41">
        <f>(COUNTIFS(集計用!$N:$N, "*, "&amp;K$4&amp;", *",集計用!$G:$G,"*, "&amp;$C42&amp;", *", 集計用!$N:$N, "&lt;&gt;*英語を日常的に*"))/$B42*100</f>
        <v>0</v>
      </c>
      <c r="L42" s="41">
        <f>(COUNTIFS(集計用!$N:$N, "*, "&amp;L$4&amp;", *",集計用!$G:$G,"*, "&amp;$C42&amp;", *", 集計用!$N:$N, "&lt;&gt;*英語を日常的に*"))/$B42*100</f>
        <v>0</v>
      </c>
      <c r="M42" s="41">
        <f>(COUNTIFS(集計用!$N:$N, "*, "&amp;M$4&amp;", *",集計用!$G:$G,"*, "&amp;$C42&amp;", *", 集計用!$N:$N, "&lt;&gt;*英語を日常的に*"))/$B42*100</f>
        <v>0</v>
      </c>
      <c r="N42" s="41">
        <f>(COUNTIFS(集計用!$N:$N, "*, "&amp;N$4&amp;", *",集計用!$G:$G,"*, "&amp;$C42&amp;", *", 集計用!$N:$N, "&lt;&gt;*英語を日常的に*"))/$B42*100</f>
        <v>0</v>
      </c>
      <c r="O42" s="41">
        <f>(COUNTIFS(集計用!$N:$N, "*, "&amp;O$4&amp;", *",集計用!$G:$G,"*, "&amp;$C42&amp;", *", 集計用!$N:$N, "&lt;&gt;*英語を日常的に*"))/$B42*100</f>
        <v>0</v>
      </c>
      <c r="P42" s="41">
        <f>(COUNTIFS(集計用!$N:$N, "*, "&amp;P$4&amp;", *",集計用!$G:$G,"*, "&amp;$C42&amp;", *", 集計用!$N:$N, "&lt;&gt;*英語を日常的に*"))/$B42*100</f>
        <v>0</v>
      </c>
      <c r="Q42" s="41">
        <f>(COUNTIFS(集計用!$N:$N, "*, "&amp;Q$4&amp;", *",集計用!$G:$G,"*, "&amp;$C42&amp;", *", 集計用!$N:$N, "&lt;&gt;*英語を日常的に*"))/$B42*100</f>
        <v>0</v>
      </c>
      <c r="R42" s="41">
        <f>(COUNTIFS(集計用!$N:$N, "*, "&amp;R$4&amp;", *",集計用!$G:$G,"*, "&amp;$C42&amp;", *", 集計用!$N:$N, "&lt;&gt;*英語を日常的に*"))/$B42*100</f>
        <v>0</v>
      </c>
      <c r="S42" s="41">
        <f>(COUNTIFS(集計用!$N:$N, "*, "&amp;S$4&amp;", *",集計用!$G:$G,"*, "&amp;$C42&amp;", *", 集計用!$N:$N, "&lt;&gt;*英語を日常的に*"))/$B42*100</f>
        <v>0</v>
      </c>
      <c r="T42" s="41">
        <f>(COUNTIFS(集計用!$N:$N, "*, "&amp;T$4&amp;", *",集計用!$G:$G,"*, "&amp;$C42&amp;", *", 集計用!$N:$N, "&lt;&gt;*英語を日常的に*"))/$B42*100</f>
        <v>0</v>
      </c>
      <c r="U42" s="41">
        <f>(COUNTIFS(集計用!$N:$N, "*, "&amp;U$4&amp;", *",集計用!$G:$G,"*, "&amp;$C42&amp;", *", 集計用!$N:$N, "&lt;&gt;*英語を日常的に*"))/$B42*100</f>
        <v>0</v>
      </c>
      <c r="V42" s="41">
        <f>(COUNTIFS(集計用!$N:$N, "*, "&amp;V$4&amp;", *",集計用!$G:$G,"*, "&amp;$C42&amp;", *", 集計用!$N:$N, "&lt;&gt;*英語を日常的に*"))/$B42*100</f>
        <v>0</v>
      </c>
      <c r="W42" s="41">
        <f>(COUNTIFS(集計用!$N:$N, "*, "&amp;W$4&amp;", *",集計用!$G:$G,"*, "&amp;$C42&amp;", *", 集計用!$N:$N, "&lt;&gt;*英語を日常的に*"))/$B42*100</f>
        <v>0</v>
      </c>
      <c r="Y42" s="39"/>
    </row>
    <row r="43" spans="1:25" ht="12.75">
      <c r="A43" s="39">
        <v>4</v>
      </c>
      <c r="B43" s="39">
        <f>(COUNTIFS(集計用!$G$2:$G$444,"*, "&amp;$C43&amp;",*",集計用!$N$2:$N$444,"&lt;&gt;*英語を日常的に*",集計用!$N$2:$N$444,"&lt;&gt;無回答, "))</f>
        <v>4</v>
      </c>
      <c r="C43" s="42" t="s">
        <v>32</v>
      </c>
      <c r="D43" s="41">
        <f>(COUNTIFS(集計用!$N:$N, "*, "&amp;D$4&amp;", *",集計用!$G:$G,"*, "&amp;$C43&amp;", *", 集計用!$N:$N, "&lt;&gt;*英語を日常的に*"))/$B43*100</f>
        <v>50</v>
      </c>
      <c r="E43" s="41">
        <f>(COUNTIFS(集計用!$N:$N, "*, "&amp;E$4&amp;", *",集計用!$G:$G,"*, "&amp;$C43&amp;", *", 集計用!$N:$N, "&lt;&gt;*英語を日常的に*"))/$B43*100</f>
        <v>25</v>
      </c>
      <c r="F43" s="41">
        <f>(COUNTIFS(集計用!$N:$N, "*, "&amp;F$4&amp;", *",集計用!$G:$G,"*, "&amp;$C43&amp;", *", 集計用!$N:$N, "&lt;&gt;*英語を日常的に*"))/$B43*100</f>
        <v>50</v>
      </c>
      <c r="G43" s="41">
        <f>(COUNTIFS(集計用!$N:$N, "*, "&amp;G$4&amp;", *",集計用!$G:$G,"*, "&amp;$C43&amp;", *", 集計用!$N:$N, "&lt;&gt;*英語を日常的に*"))/$B43*100</f>
        <v>25</v>
      </c>
      <c r="H43" s="41">
        <f>(COUNTIFS(集計用!$N:$N, "*, "&amp;H$4&amp;", *",集計用!$G:$G,"*, "&amp;$C43&amp;", *", 集計用!$N:$N, "&lt;&gt;*英語を日常的に*"))/$B43*100</f>
        <v>0</v>
      </c>
      <c r="I43" s="41">
        <f>(COUNTIFS(集計用!$N:$N, "*, "&amp;I$4&amp;", *",集計用!$G:$G,"*, "&amp;$C43&amp;", *", 集計用!$N:$N, "&lt;&gt;*英語を日常的に*"))/$B43*100</f>
        <v>0</v>
      </c>
      <c r="J43" s="41">
        <f>(COUNTIFS(集計用!$N:$N, "*, "&amp;J$4&amp;", *",集計用!$G:$G,"*, "&amp;$C43&amp;", *", 集計用!$N:$N, "&lt;&gt;*英語を日常的に*"))/$B43*100</f>
        <v>0</v>
      </c>
      <c r="K43" s="41">
        <f>(COUNTIFS(集計用!$N:$N, "*, "&amp;K$4&amp;", *",集計用!$G:$G,"*, "&amp;$C43&amp;", *", 集計用!$N:$N, "&lt;&gt;*英語を日常的に*"))/$B43*100</f>
        <v>0</v>
      </c>
      <c r="L43" s="41">
        <f>(COUNTIFS(集計用!$N:$N, "*, "&amp;L$4&amp;", *",集計用!$G:$G,"*, "&amp;$C43&amp;", *", 集計用!$N:$N, "&lt;&gt;*英語を日常的に*"))/$B43*100</f>
        <v>0</v>
      </c>
      <c r="M43" s="41">
        <f>(COUNTIFS(集計用!$N:$N, "*, "&amp;M$4&amp;", *",集計用!$G:$G,"*, "&amp;$C43&amp;", *", 集計用!$N:$N, "&lt;&gt;*英語を日常的に*"))/$B43*100</f>
        <v>0</v>
      </c>
      <c r="N43" s="41">
        <f>(COUNTIFS(集計用!$N:$N, "*, "&amp;N$4&amp;", *",集計用!$G:$G,"*, "&amp;$C43&amp;", *", 集計用!$N:$N, "&lt;&gt;*英語を日常的に*"))/$B43*100</f>
        <v>0</v>
      </c>
      <c r="O43" s="41">
        <f>(COUNTIFS(集計用!$N:$N, "*, "&amp;O$4&amp;", *",集計用!$G:$G,"*, "&amp;$C43&amp;", *", 集計用!$N:$N, "&lt;&gt;*英語を日常的に*"))/$B43*100</f>
        <v>0</v>
      </c>
      <c r="P43" s="41">
        <f>(COUNTIFS(集計用!$N:$N, "*, "&amp;P$4&amp;", *",集計用!$G:$G,"*, "&amp;$C43&amp;", *", 集計用!$N:$N, "&lt;&gt;*英語を日常的に*"))/$B43*100</f>
        <v>0</v>
      </c>
      <c r="Q43" s="41">
        <f>(COUNTIFS(集計用!$N:$N, "*, "&amp;Q$4&amp;", *",集計用!$G:$G,"*, "&amp;$C43&amp;", *", 集計用!$N:$N, "&lt;&gt;*英語を日常的に*"))/$B43*100</f>
        <v>0</v>
      </c>
      <c r="R43" s="41">
        <f>(COUNTIFS(集計用!$N:$N, "*, "&amp;R$4&amp;", *",集計用!$G:$G,"*, "&amp;$C43&amp;", *", 集計用!$N:$N, "&lt;&gt;*英語を日常的に*"))/$B43*100</f>
        <v>0</v>
      </c>
      <c r="S43" s="41">
        <f>(COUNTIFS(集計用!$N:$N, "*, "&amp;S$4&amp;", *",集計用!$G:$G,"*, "&amp;$C43&amp;", *", 集計用!$N:$N, "&lt;&gt;*英語を日常的に*"))/$B43*100</f>
        <v>0</v>
      </c>
      <c r="T43" s="41">
        <f>(COUNTIFS(集計用!$N:$N, "*, "&amp;T$4&amp;", *",集計用!$G:$G,"*, "&amp;$C43&amp;", *", 集計用!$N:$N, "&lt;&gt;*英語を日常的に*"))/$B43*100</f>
        <v>0</v>
      </c>
      <c r="U43" s="41">
        <f>(COUNTIFS(集計用!$N:$N, "*, "&amp;U$4&amp;", *",集計用!$G:$G,"*, "&amp;$C43&amp;", *", 集計用!$N:$N, "&lt;&gt;*英語を日常的に*"))/$B43*100</f>
        <v>0</v>
      </c>
      <c r="V43" s="41">
        <f>(COUNTIFS(集計用!$N:$N, "*, "&amp;V$4&amp;", *",集計用!$G:$G,"*, "&amp;$C43&amp;", *", 集計用!$N:$N, "&lt;&gt;*英語を日常的に*"))/$B43*100</f>
        <v>0</v>
      </c>
      <c r="W43" s="41">
        <f>(COUNTIFS(集計用!$N:$N, "*, "&amp;W$4&amp;", *",集計用!$G:$G,"*, "&amp;$C43&amp;", *", 集計用!$N:$N, "&lt;&gt;*英語を日常的に*"))/$B43*100</f>
        <v>0</v>
      </c>
      <c r="Y43" s="39"/>
    </row>
    <row r="44" spans="1:25" ht="12.75">
      <c r="A44" s="39">
        <v>4</v>
      </c>
      <c r="B44" s="39">
        <f>(COUNTIFS(集計用!$G$2:$G$444,"*, "&amp;$C44&amp;",*",集計用!$N$2:$N$444,"&lt;&gt;*英語を日常的に*",集計用!$N$2:$N$444,"&lt;&gt;無回答, "))</f>
        <v>4</v>
      </c>
      <c r="C44" s="42" t="s">
        <v>36</v>
      </c>
      <c r="D44" s="41">
        <f>(COUNTIFS(集計用!$N:$N, "*, "&amp;D$4&amp;", *",集計用!$G:$G,"*, "&amp;$C44&amp;", *", 集計用!$N:$N, "&lt;&gt;*英語を日常的に*"))/$B44*100</f>
        <v>100</v>
      </c>
      <c r="E44" s="41">
        <f>(COUNTIFS(集計用!$N:$N, "*, "&amp;E$4&amp;", *",集計用!$G:$G,"*, "&amp;$C44&amp;", *", 集計用!$N:$N, "&lt;&gt;*英語を日常的に*"))/$B44*100</f>
        <v>25</v>
      </c>
      <c r="F44" s="41">
        <f>(COUNTIFS(集計用!$N:$N, "*, "&amp;F$4&amp;", *",集計用!$G:$G,"*, "&amp;$C44&amp;", *", 集計用!$N:$N, "&lt;&gt;*英語を日常的に*"))/$B44*100</f>
        <v>25</v>
      </c>
      <c r="G44" s="41">
        <f>(COUNTIFS(集計用!$N:$N, "*, "&amp;G$4&amp;", *",集計用!$G:$G,"*, "&amp;$C44&amp;", *", 集計用!$N:$N, "&lt;&gt;*英語を日常的に*"))/$B44*100</f>
        <v>50</v>
      </c>
      <c r="H44" s="41">
        <f>(COUNTIFS(集計用!$N:$N, "*, "&amp;H$4&amp;", *",集計用!$G:$G,"*, "&amp;$C44&amp;", *", 集計用!$N:$N, "&lt;&gt;*英語を日常的に*"))/$B44*100</f>
        <v>25</v>
      </c>
      <c r="I44" s="41">
        <f>(COUNTIFS(集計用!$N:$N, "*, "&amp;I$4&amp;", *",集計用!$G:$G,"*, "&amp;$C44&amp;", *", 集計用!$N:$N, "&lt;&gt;*英語を日常的に*"))/$B44*100</f>
        <v>0</v>
      </c>
      <c r="J44" s="41">
        <f>(COUNTIFS(集計用!$N:$N, "*, "&amp;J$4&amp;", *",集計用!$G:$G,"*, "&amp;$C44&amp;", *", 集計用!$N:$N, "&lt;&gt;*英語を日常的に*"))/$B44*100</f>
        <v>25</v>
      </c>
      <c r="K44" s="41">
        <f>(COUNTIFS(集計用!$N:$N, "*, "&amp;K$4&amp;", *",集計用!$G:$G,"*, "&amp;$C44&amp;", *", 集計用!$N:$N, "&lt;&gt;*英語を日常的に*"))/$B44*100</f>
        <v>0</v>
      </c>
      <c r="L44" s="41">
        <f>(COUNTIFS(集計用!$N:$N, "*, "&amp;L$4&amp;", *",集計用!$G:$G,"*, "&amp;$C44&amp;", *", 集計用!$N:$N, "&lt;&gt;*英語を日常的に*"))/$B44*100</f>
        <v>0</v>
      </c>
      <c r="M44" s="41">
        <f>(COUNTIFS(集計用!$N:$N, "*, "&amp;M$4&amp;", *",集計用!$G:$G,"*, "&amp;$C44&amp;", *", 集計用!$N:$N, "&lt;&gt;*英語を日常的に*"))/$B44*100</f>
        <v>0</v>
      </c>
      <c r="N44" s="41">
        <f>(COUNTIFS(集計用!$N:$N, "*, "&amp;N$4&amp;", *",集計用!$G:$G,"*, "&amp;$C44&amp;", *", 集計用!$N:$N, "&lt;&gt;*英語を日常的に*"))/$B44*100</f>
        <v>0</v>
      </c>
      <c r="O44" s="41">
        <f>(COUNTIFS(集計用!$N:$N, "*, "&amp;O$4&amp;", *",集計用!$G:$G,"*, "&amp;$C44&amp;", *", 集計用!$N:$N, "&lt;&gt;*英語を日常的に*"))/$B44*100</f>
        <v>0</v>
      </c>
      <c r="P44" s="41">
        <f>(COUNTIFS(集計用!$N:$N, "*, "&amp;P$4&amp;", *",集計用!$G:$G,"*, "&amp;$C44&amp;", *", 集計用!$N:$N, "&lt;&gt;*英語を日常的に*"))/$B44*100</f>
        <v>0</v>
      </c>
      <c r="Q44" s="41">
        <f>(COUNTIFS(集計用!$N:$N, "*, "&amp;Q$4&amp;", *",集計用!$G:$G,"*, "&amp;$C44&amp;", *", 集計用!$N:$N, "&lt;&gt;*英語を日常的に*"))/$B44*100</f>
        <v>0</v>
      </c>
      <c r="R44" s="41">
        <f>(COUNTIFS(集計用!$N:$N, "*, "&amp;R$4&amp;", *",集計用!$G:$G,"*, "&amp;$C44&amp;", *", 集計用!$N:$N, "&lt;&gt;*英語を日常的に*"))/$B44*100</f>
        <v>0</v>
      </c>
      <c r="S44" s="41">
        <f>(COUNTIFS(集計用!$N:$N, "*, "&amp;S$4&amp;", *",集計用!$G:$G,"*, "&amp;$C44&amp;", *", 集計用!$N:$N, "&lt;&gt;*英語を日常的に*"))/$B44*100</f>
        <v>0</v>
      </c>
      <c r="T44" s="41">
        <f>(COUNTIFS(集計用!$N:$N, "*, "&amp;T$4&amp;", *",集計用!$G:$G,"*, "&amp;$C44&amp;", *", 集計用!$N:$N, "&lt;&gt;*英語を日常的に*"))/$B44*100</f>
        <v>0</v>
      </c>
      <c r="U44" s="41">
        <f>(COUNTIFS(集計用!$N:$N, "*, "&amp;U$4&amp;", *",集計用!$G:$G,"*, "&amp;$C44&amp;", *", 集計用!$N:$N, "&lt;&gt;*英語を日常的に*"))/$B44*100</f>
        <v>0</v>
      </c>
      <c r="V44" s="41">
        <f>(COUNTIFS(集計用!$N:$N, "*, "&amp;V$4&amp;", *",集計用!$G:$G,"*, "&amp;$C44&amp;", *", 集計用!$N:$N, "&lt;&gt;*英語を日常的に*"))/$B44*100</f>
        <v>0</v>
      </c>
      <c r="W44" s="41">
        <f>(COUNTIFS(集計用!$N:$N, "*, "&amp;W$4&amp;", *",集計用!$G:$G,"*, "&amp;$C44&amp;", *", 集計用!$N:$N, "&lt;&gt;*英語を日常的に*"))/$B44*100</f>
        <v>0</v>
      </c>
      <c r="Y44" s="39"/>
    </row>
    <row r="45" spans="1:25" ht="14.25" customHeight="1">
      <c r="A45" s="39">
        <v>5</v>
      </c>
      <c r="B45" s="39">
        <f>(COUNTIFS(集計用!$G$2:$G$444,"*, "&amp;$C45&amp;",*",集計用!$N$2:$N$444,"&lt;&gt;*英語を日常的に*",集計用!$N$2:$N$444,"&lt;&gt;無回答, "))</f>
        <v>4</v>
      </c>
      <c r="C45" s="42" t="s">
        <v>38</v>
      </c>
      <c r="D45" s="41">
        <f>(COUNTIFS(集計用!$N:$N, "*, "&amp;D$4&amp;", *",集計用!$G:$G,"*, "&amp;$C45&amp;", *", 集計用!$N:$N, "&lt;&gt;*英語を日常的に*"))/$B45*100</f>
        <v>100</v>
      </c>
      <c r="E45" s="41">
        <f>(COUNTIFS(集計用!$N:$N, "*, "&amp;E$4&amp;", *",集計用!$G:$G,"*, "&amp;$C45&amp;", *", 集計用!$N:$N, "&lt;&gt;*英語を日常的に*"))/$B45*100</f>
        <v>0</v>
      </c>
      <c r="F45" s="41">
        <f>(COUNTIFS(集計用!$N:$N, "*, "&amp;F$4&amp;", *",集計用!$G:$G,"*, "&amp;$C45&amp;", *", 集計用!$N:$N, "&lt;&gt;*英語を日常的に*"))/$B45*100</f>
        <v>50</v>
      </c>
      <c r="G45" s="41">
        <f>(COUNTIFS(集計用!$N:$N, "*, "&amp;G$4&amp;", *",集計用!$G:$G,"*, "&amp;$C45&amp;", *", 集計用!$N:$N, "&lt;&gt;*英語を日常的に*"))/$B45*100</f>
        <v>0</v>
      </c>
      <c r="H45" s="41">
        <f>(COUNTIFS(集計用!$N:$N, "*, "&amp;H$4&amp;", *",集計用!$G:$G,"*, "&amp;$C45&amp;", *", 集計用!$N:$N, "&lt;&gt;*英語を日常的に*"))/$B45*100</f>
        <v>25</v>
      </c>
      <c r="I45" s="41">
        <f>(COUNTIFS(集計用!$N:$N, "*, "&amp;I$4&amp;", *",集計用!$G:$G,"*, "&amp;$C45&amp;", *", 集計用!$N:$N, "&lt;&gt;*英語を日常的に*"))/$B45*100</f>
        <v>0</v>
      </c>
      <c r="J45" s="41">
        <f>(COUNTIFS(集計用!$N:$N, "*, "&amp;J$4&amp;", *",集計用!$G:$G,"*, "&amp;$C45&amp;", *", 集計用!$N:$N, "&lt;&gt;*英語を日常的に*"))/$B45*100</f>
        <v>50</v>
      </c>
      <c r="K45" s="41">
        <f>(COUNTIFS(集計用!$N:$N, "*, "&amp;K$4&amp;", *",集計用!$G:$G,"*, "&amp;$C45&amp;", *", 集計用!$N:$N, "&lt;&gt;*英語を日常的に*"))/$B45*100</f>
        <v>0</v>
      </c>
      <c r="L45" s="41">
        <f>(COUNTIFS(集計用!$N:$N, "*, "&amp;L$4&amp;", *",集計用!$G:$G,"*, "&amp;$C45&amp;", *", 集計用!$N:$N, "&lt;&gt;*英語を日常的に*"))/$B45*100</f>
        <v>0</v>
      </c>
      <c r="M45" s="41">
        <f>(COUNTIFS(集計用!$N:$N, "*, "&amp;M$4&amp;", *",集計用!$G:$G,"*, "&amp;$C45&amp;", *", 集計用!$N:$N, "&lt;&gt;*英語を日常的に*"))/$B45*100</f>
        <v>0</v>
      </c>
      <c r="N45" s="41">
        <f>(COUNTIFS(集計用!$N:$N, "*, "&amp;N$4&amp;", *",集計用!$G:$G,"*, "&amp;$C45&amp;", *", 集計用!$N:$N, "&lt;&gt;*英語を日常的に*"))/$B45*100</f>
        <v>0</v>
      </c>
      <c r="O45" s="41">
        <f>(COUNTIFS(集計用!$N:$N, "*, "&amp;O$4&amp;", *",集計用!$G:$G,"*, "&amp;$C45&amp;", *", 集計用!$N:$N, "&lt;&gt;*英語を日常的に*"))/$B45*100</f>
        <v>0</v>
      </c>
      <c r="P45" s="41">
        <f>(COUNTIFS(集計用!$N:$N, "*, "&amp;P$4&amp;", *",集計用!$G:$G,"*, "&amp;$C45&amp;", *", 集計用!$N:$N, "&lt;&gt;*英語を日常的に*"))/$B45*100</f>
        <v>0</v>
      </c>
      <c r="Q45" s="41">
        <f>(COUNTIFS(集計用!$N:$N, "*, "&amp;Q$4&amp;", *",集計用!$G:$G,"*, "&amp;$C45&amp;", *", 集計用!$N:$N, "&lt;&gt;*英語を日常的に*"))/$B45*100</f>
        <v>0</v>
      </c>
      <c r="R45" s="41">
        <f>(COUNTIFS(集計用!$N:$N, "*, "&amp;R$4&amp;", *",集計用!$G:$G,"*, "&amp;$C45&amp;", *", 集計用!$N:$N, "&lt;&gt;*英語を日常的に*"))/$B45*100</f>
        <v>0</v>
      </c>
      <c r="S45" s="41">
        <f>(COUNTIFS(集計用!$N:$N, "*, "&amp;S$4&amp;", *",集計用!$G:$G,"*, "&amp;$C45&amp;", *", 集計用!$N:$N, "&lt;&gt;*英語を日常的に*"))/$B45*100</f>
        <v>0</v>
      </c>
      <c r="T45" s="41">
        <f>(COUNTIFS(集計用!$N:$N, "*, "&amp;T$4&amp;", *",集計用!$G:$G,"*, "&amp;$C45&amp;", *", 集計用!$N:$N, "&lt;&gt;*英語を日常的に*"))/$B45*100</f>
        <v>0</v>
      </c>
      <c r="U45" s="41">
        <f>(COUNTIFS(集計用!$N:$N, "*, "&amp;U$4&amp;", *",集計用!$G:$G,"*, "&amp;$C45&amp;", *", 集計用!$N:$N, "&lt;&gt;*英語を日常的に*"))/$B45*100</f>
        <v>0</v>
      </c>
      <c r="V45" s="41">
        <f>(COUNTIFS(集計用!$N:$N, "*, "&amp;V$4&amp;", *",集計用!$G:$G,"*, "&amp;$C45&amp;", *", 集計用!$N:$N, "&lt;&gt;*英語を日常的に*"))/$B45*100</f>
        <v>0</v>
      </c>
      <c r="W45" s="41">
        <f>(COUNTIFS(集計用!$N:$N, "*, "&amp;W$4&amp;", *",集計用!$G:$G,"*, "&amp;$C45&amp;", *", 集計用!$N:$N, "&lt;&gt;*英語を日常的に*"))/$B45*100</f>
        <v>0</v>
      </c>
      <c r="Y45" s="39"/>
    </row>
    <row r="46" spans="1:25" ht="14.25" customHeight="1">
      <c r="A46" s="39">
        <v>6</v>
      </c>
      <c r="B46" s="39">
        <f>(COUNTIFS(集計用!$G$2:$G$444,"*, "&amp;$C46&amp;",*",集計用!$N$2:$N$444,"&lt;&gt;*英語を日常的に*",集計用!$N$2:$N$444,"&lt;&gt;無回答, "))</f>
        <v>3</v>
      </c>
      <c r="C46" s="42" t="s">
        <v>41</v>
      </c>
      <c r="D46" s="41">
        <f>(COUNTIFS(集計用!$N:$N, "*, "&amp;D$4&amp;", *",集計用!$G:$G,"*, "&amp;$C46&amp;", *", 集計用!$N:$N, "&lt;&gt;*英語を日常的に*"))/$B46*100</f>
        <v>0</v>
      </c>
      <c r="E46" s="41">
        <f>(COUNTIFS(集計用!$N:$N, "*, "&amp;E$4&amp;", *",集計用!$G:$G,"*, "&amp;$C46&amp;", *", 集計用!$N:$N, "&lt;&gt;*英語を日常的に*"))/$B46*100</f>
        <v>66.666666666666657</v>
      </c>
      <c r="F46" s="41">
        <f>(COUNTIFS(集計用!$N:$N, "*, "&amp;F$4&amp;", *",集計用!$G:$G,"*, "&amp;$C46&amp;", *", 集計用!$N:$N, "&lt;&gt;*英語を日常的に*"))/$B46*100</f>
        <v>0</v>
      </c>
      <c r="G46" s="41">
        <f>(COUNTIFS(集計用!$N:$N, "*, "&amp;G$4&amp;", *",集計用!$G:$G,"*, "&amp;$C46&amp;", *", 集計用!$N:$N, "&lt;&gt;*英語を日常的に*"))/$B46*100</f>
        <v>33.333333333333329</v>
      </c>
      <c r="H46" s="41">
        <f>(COUNTIFS(集計用!$N:$N, "*, "&amp;H$4&amp;", *",集計用!$G:$G,"*, "&amp;$C46&amp;", *", 集計用!$N:$N, "&lt;&gt;*英語を日常的に*"))/$B46*100</f>
        <v>0</v>
      </c>
      <c r="I46" s="41">
        <f>(COUNTIFS(集計用!$N:$N, "*, "&amp;I$4&amp;", *",集計用!$G:$G,"*, "&amp;$C46&amp;", *", 集計用!$N:$N, "&lt;&gt;*英語を日常的に*"))/$B46*100</f>
        <v>0</v>
      </c>
      <c r="J46" s="41">
        <f>(COUNTIFS(集計用!$N:$N, "*, "&amp;J$4&amp;", *",集計用!$G:$G,"*, "&amp;$C46&amp;", *", 集計用!$N:$N, "&lt;&gt;*英語を日常的に*"))/$B46*100</f>
        <v>0</v>
      </c>
      <c r="K46" s="41">
        <f>(COUNTIFS(集計用!$N:$N, "*, "&amp;K$4&amp;", *",集計用!$G:$G,"*, "&amp;$C46&amp;", *", 集計用!$N:$N, "&lt;&gt;*英語を日常的に*"))/$B46*100</f>
        <v>0</v>
      </c>
      <c r="L46" s="41">
        <f>(COUNTIFS(集計用!$N:$N, "*, "&amp;L$4&amp;", *",集計用!$G:$G,"*, "&amp;$C46&amp;", *", 集計用!$N:$N, "&lt;&gt;*英語を日常的に*"))/$B46*100</f>
        <v>0</v>
      </c>
      <c r="M46" s="41">
        <f>(COUNTIFS(集計用!$N:$N, "*, "&amp;M$4&amp;", *",集計用!$G:$G,"*, "&amp;$C46&amp;", *", 集計用!$N:$N, "&lt;&gt;*英語を日常的に*"))/$B46*100</f>
        <v>0</v>
      </c>
      <c r="N46" s="41">
        <f>(COUNTIFS(集計用!$N:$N, "*, "&amp;N$4&amp;", *",集計用!$G:$G,"*, "&amp;$C46&amp;", *", 集計用!$N:$N, "&lt;&gt;*英語を日常的に*"))/$B46*100</f>
        <v>0</v>
      </c>
      <c r="O46" s="41">
        <f>(COUNTIFS(集計用!$N:$N, "*, "&amp;O$4&amp;", *",集計用!$G:$G,"*, "&amp;$C46&amp;", *", 集計用!$N:$N, "&lt;&gt;*英語を日常的に*"))/$B46*100</f>
        <v>0</v>
      </c>
      <c r="P46" s="41">
        <f>(COUNTIFS(集計用!$N:$N, "*, "&amp;P$4&amp;", *",集計用!$G:$G,"*, "&amp;$C46&amp;", *", 集計用!$N:$N, "&lt;&gt;*英語を日常的に*"))/$B46*100</f>
        <v>0</v>
      </c>
      <c r="Q46" s="41">
        <f>(COUNTIFS(集計用!$N:$N, "*, "&amp;Q$4&amp;", *",集計用!$G:$G,"*, "&amp;$C46&amp;", *", 集計用!$N:$N, "&lt;&gt;*英語を日常的に*"))/$B46*100</f>
        <v>0</v>
      </c>
      <c r="R46" s="41">
        <f>(COUNTIFS(集計用!$N:$N, "*, "&amp;R$4&amp;", *",集計用!$G:$G,"*, "&amp;$C46&amp;", *", 集計用!$N:$N, "&lt;&gt;*英語を日常的に*"))/$B46*100</f>
        <v>0</v>
      </c>
      <c r="S46" s="41">
        <f>(COUNTIFS(集計用!$N:$N, "*, "&amp;S$4&amp;", *",集計用!$G:$G,"*, "&amp;$C46&amp;", *", 集計用!$N:$N, "&lt;&gt;*英語を日常的に*"))/$B46*100</f>
        <v>0</v>
      </c>
      <c r="T46" s="41">
        <f>(COUNTIFS(集計用!$N:$N, "*, "&amp;T$4&amp;", *",集計用!$G:$G,"*, "&amp;$C46&amp;", *", 集計用!$N:$N, "&lt;&gt;*英語を日常的に*"))/$B46*100</f>
        <v>0</v>
      </c>
      <c r="U46" s="41">
        <f>(COUNTIFS(集計用!$N:$N, "*, "&amp;U$4&amp;", *",集計用!$G:$G,"*, "&amp;$C46&amp;", *", 集計用!$N:$N, "&lt;&gt;*英語を日常的に*"))/$B46*100</f>
        <v>0</v>
      </c>
      <c r="V46" s="41">
        <f>(COUNTIFS(集計用!$N:$N, "*, "&amp;V$4&amp;", *",集計用!$G:$G,"*, "&amp;$C46&amp;", *", 集計用!$N:$N, "&lt;&gt;*英語を日常的に*"))/$B46*100</f>
        <v>0</v>
      </c>
      <c r="W46" s="41">
        <f>(COUNTIFS(集計用!$N:$N, "*, "&amp;W$4&amp;", *",集計用!$G:$G,"*, "&amp;$C46&amp;", *", 集計用!$N:$N, "&lt;&gt;*英語を日常的に*"))/$B46*100</f>
        <v>0</v>
      </c>
      <c r="Y46" s="39"/>
    </row>
    <row r="47" spans="1:25" ht="14.25" customHeight="1">
      <c r="A47" s="39">
        <v>5</v>
      </c>
      <c r="B47" s="39">
        <f>(COUNTIFS(集計用!$G$2:$G$444,"*, "&amp;$C47&amp;",*",集計用!$N$2:$N$444,"&lt;&gt;*英語を日常的に*",集計用!$N$2:$N$444,"&lt;&gt;無回答, "))</f>
        <v>3</v>
      </c>
      <c r="C47" s="42" t="s">
        <v>46</v>
      </c>
      <c r="D47" s="41">
        <f>(COUNTIFS(集計用!$N:$N, "*, "&amp;D$4&amp;", *",集計用!$G:$G,"*, "&amp;$C47&amp;", *", 集計用!$N:$N, "&lt;&gt;*英語を日常的に*"))/$B47*100</f>
        <v>33.333333333333329</v>
      </c>
      <c r="E47" s="41">
        <f>(COUNTIFS(集計用!$N:$N, "*, "&amp;E$4&amp;", *",集計用!$G:$G,"*, "&amp;$C47&amp;", *", 集計用!$N:$N, "&lt;&gt;*英語を日常的に*"))/$B47*100</f>
        <v>33.333333333333329</v>
      </c>
      <c r="F47" s="41">
        <f>(COUNTIFS(集計用!$N:$N, "*, "&amp;F$4&amp;", *",集計用!$G:$G,"*, "&amp;$C47&amp;", *", 集計用!$N:$N, "&lt;&gt;*英語を日常的に*"))/$B47*100</f>
        <v>33.333333333333329</v>
      </c>
      <c r="G47" s="41">
        <f>(COUNTIFS(集計用!$N:$N, "*, "&amp;G$4&amp;", *",集計用!$G:$G,"*, "&amp;$C47&amp;", *", 集計用!$N:$N, "&lt;&gt;*英語を日常的に*"))/$B47*100</f>
        <v>33.333333333333329</v>
      </c>
      <c r="H47" s="41">
        <f>(COUNTIFS(集計用!$N:$N, "*, "&amp;H$4&amp;", *",集計用!$G:$G,"*, "&amp;$C47&amp;", *", 集計用!$N:$N, "&lt;&gt;*英語を日常的に*"))/$B47*100</f>
        <v>33.333333333333329</v>
      </c>
      <c r="I47" s="41">
        <f>(COUNTIFS(集計用!$N:$N, "*, "&amp;I$4&amp;", *",集計用!$G:$G,"*, "&amp;$C47&amp;", *", 集計用!$N:$N, "&lt;&gt;*英語を日常的に*"))/$B47*100</f>
        <v>33.333333333333329</v>
      </c>
      <c r="J47" s="41">
        <f>(COUNTIFS(集計用!$N:$N, "*, "&amp;J$4&amp;", *",集計用!$G:$G,"*, "&amp;$C47&amp;", *", 集計用!$N:$N, "&lt;&gt;*英語を日常的に*"))/$B47*100</f>
        <v>33.333333333333329</v>
      </c>
      <c r="K47" s="41">
        <f>(COUNTIFS(集計用!$N:$N, "*, "&amp;K$4&amp;", *",集計用!$G:$G,"*, "&amp;$C47&amp;", *", 集計用!$N:$N, "&lt;&gt;*英語を日常的に*"))/$B47*100</f>
        <v>0</v>
      </c>
      <c r="L47" s="41">
        <f>(COUNTIFS(集計用!$N:$N, "*, "&amp;L$4&amp;", *",集計用!$G:$G,"*, "&amp;$C47&amp;", *", 集計用!$N:$N, "&lt;&gt;*英語を日常的に*"))/$B47*100</f>
        <v>0</v>
      </c>
      <c r="M47" s="41">
        <f>(COUNTIFS(集計用!$N:$N, "*, "&amp;M$4&amp;", *",集計用!$G:$G,"*, "&amp;$C47&amp;", *", 集計用!$N:$N, "&lt;&gt;*英語を日常的に*"))/$B47*100</f>
        <v>0</v>
      </c>
      <c r="N47" s="41">
        <f>(COUNTIFS(集計用!$N:$N, "*, "&amp;N$4&amp;", *",集計用!$G:$G,"*, "&amp;$C47&amp;", *", 集計用!$N:$N, "&lt;&gt;*英語を日常的に*"))/$B47*100</f>
        <v>0</v>
      </c>
      <c r="O47" s="41">
        <f>(COUNTIFS(集計用!$N:$N, "*, "&amp;O$4&amp;", *",集計用!$G:$G,"*, "&amp;$C47&amp;", *", 集計用!$N:$N, "&lt;&gt;*英語を日常的に*"))/$B47*100</f>
        <v>0</v>
      </c>
      <c r="P47" s="41">
        <f>(COUNTIFS(集計用!$N:$N, "*, "&amp;P$4&amp;", *",集計用!$G:$G,"*, "&amp;$C47&amp;", *", 集計用!$N:$N, "&lt;&gt;*英語を日常的に*"))/$B47*100</f>
        <v>0</v>
      </c>
      <c r="Q47" s="41">
        <f>(COUNTIFS(集計用!$N:$N, "*, "&amp;Q$4&amp;", *",集計用!$G:$G,"*, "&amp;$C47&amp;", *", 集計用!$N:$N, "&lt;&gt;*英語を日常的に*"))/$B47*100</f>
        <v>0</v>
      </c>
      <c r="R47" s="41">
        <f>(COUNTIFS(集計用!$N:$N, "*, "&amp;R$4&amp;", *",集計用!$G:$G,"*, "&amp;$C47&amp;", *", 集計用!$N:$N, "&lt;&gt;*英語を日常的に*"))/$B47*100</f>
        <v>0</v>
      </c>
      <c r="S47" s="41">
        <f>(COUNTIFS(集計用!$N:$N, "*, "&amp;S$4&amp;", *",集計用!$G:$G,"*, "&amp;$C47&amp;", *", 集計用!$N:$N, "&lt;&gt;*英語を日常的に*"))/$B47*100</f>
        <v>0</v>
      </c>
      <c r="T47" s="41">
        <f>(COUNTIFS(集計用!$N:$N, "*, "&amp;T$4&amp;", *",集計用!$G:$G,"*, "&amp;$C47&amp;", *", 集計用!$N:$N, "&lt;&gt;*英語を日常的に*"))/$B47*100</f>
        <v>0</v>
      </c>
      <c r="U47" s="41">
        <f>(COUNTIFS(集計用!$N:$N, "*, "&amp;U$4&amp;", *",集計用!$G:$G,"*, "&amp;$C47&amp;", *", 集計用!$N:$N, "&lt;&gt;*英語を日常的に*"))/$B47*100</f>
        <v>0</v>
      </c>
      <c r="V47" s="41">
        <f>(COUNTIFS(集計用!$N:$N, "*, "&amp;V$4&amp;", *",集計用!$G:$G,"*, "&amp;$C47&amp;", *", 集計用!$N:$N, "&lt;&gt;*英語を日常的に*"))/$B47*100</f>
        <v>0</v>
      </c>
      <c r="W47" s="41">
        <f>(COUNTIFS(集計用!$N:$N, "*, "&amp;W$4&amp;", *",集計用!$G:$G,"*, "&amp;$C47&amp;", *", 集計用!$N:$N, "&lt;&gt;*英語を日常的に*"))/$B47*100</f>
        <v>0</v>
      </c>
      <c r="Y47" s="39"/>
    </row>
    <row r="48" spans="1:25" ht="12.75">
      <c r="A48" s="39" t="s">
        <v>2180</v>
      </c>
      <c r="B48" s="39">
        <f>(COUNTIFS(集計用!$G$2:$G$444,"*, "&amp;$C48&amp;",*",集計用!$N$2:$N$444,"&lt;&gt;*英語を日常的に*",集計用!$N$2:$N$444,"&lt;&gt;無回答, "))</f>
        <v>3</v>
      </c>
      <c r="C48" s="42" t="s">
        <v>52</v>
      </c>
      <c r="D48" s="41">
        <f>(COUNTIFS(集計用!$N:$N, "*, "&amp;D$4&amp;", *",集計用!$G:$G,"*, "&amp;$C48&amp;", *", 集計用!$N:$N, "&lt;&gt;*英語を日常的に*"))/$B48*100</f>
        <v>66.666666666666657</v>
      </c>
      <c r="E48" s="41">
        <f>(COUNTIFS(集計用!$N:$N, "*, "&amp;E$4&amp;", *",集計用!$G:$G,"*, "&amp;$C48&amp;", *", 集計用!$N:$N, "&lt;&gt;*英語を日常的に*"))/$B48*100</f>
        <v>33.333333333333329</v>
      </c>
      <c r="F48" s="41">
        <f>(COUNTIFS(集計用!$N:$N, "*, "&amp;F$4&amp;", *",集計用!$G:$G,"*, "&amp;$C48&amp;", *", 集計用!$N:$N, "&lt;&gt;*英語を日常的に*"))/$B48*100</f>
        <v>0</v>
      </c>
      <c r="G48" s="41">
        <f>(COUNTIFS(集計用!$N:$N, "*, "&amp;G$4&amp;", *",集計用!$G:$G,"*, "&amp;$C48&amp;", *", 集計用!$N:$N, "&lt;&gt;*英語を日常的に*"))/$B48*100</f>
        <v>33.333333333333329</v>
      </c>
      <c r="H48" s="41">
        <f>(COUNTIFS(集計用!$N:$N, "*, "&amp;H$4&amp;", *",集計用!$G:$G,"*, "&amp;$C48&amp;", *", 集計用!$N:$N, "&lt;&gt;*英語を日常的に*"))/$B48*100</f>
        <v>33.333333333333329</v>
      </c>
      <c r="I48" s="41">
        <f>(COUNTIFS(集計用!$N:$N, "*, "&amp;I$4&amp;", *",集計用!$G:$G,"*, "&amp;$C48&amp;", *", 集計用!$N:$N, "&lt;&gt;*英語を日常的に*"))/$B48*100</f>
        <v>33.333333333333329</v>
      </c>
      <c r="J48" s="41">
        <f>(COUNTIFS(集計用!$N:$N, "*, "&amp;J$4&amp;", *",集計用!$G:$G,"*, "&amp;$C48&amp;", *", 集計用!$N:$N, "&lt;&gt;*英語を日常的に*"))/$B48*100</f>
        <v>0</v>
      </c>
      <c r="K48" s="41">
        <f>(COUNTIFS(集計用!$N:$N, "*, "&amp;K$4&amp;", *",集計用!$G:$G,"*, "&amp;$C48&amp;", *", 集計用!$N:$N, "&lt;&gt;*英語を日常的に*"))/$B48*100</f>
        <v>0</v>
      </c>
      <c r="L48" s="41">
        <f>(COUNTIFS(集計用!$N:$N, "*, "&amp;L$4&amp;", *",集計用!$G:$G,"*, "&amp;$C48&amp;", *", 集計用!$N:$N, "&lt;&gt;*英語を日常的に*"))/$B48*100</f>
        <v>0</v>
      </c>
      <c r="M48" s="41">
        <f>(COUNTIFS(集計用!$N:$N, "*, "&amp;M$4&amp;", *",集計用!$G:$G,"*, "&amp;$C48&amp;", *", 集計用!$N:$N, "&lt;&gt;*英語を日常的に*"))/$B48*100</f>
        <v>0</v>
      </c>
      <c r="N48" s="41">
        <f>(COUNTIFS(集計用!$N:$N, "*, "&amp;N$4&amp;", *",集計用!$G:$G,"*, "&amp;$C48&amp;", *", 集計用!$N:$N, "&lt;&gt;*英語を日常的に*"))/$B48*100</f>
        <v>0</v>
      </c>
      <c r="O48" s="41">
        <f>(COUNTIFS(集計用!$N:$N, "*, "&amp;O$4&amp;", *",集計用!$G:$G,"*, "&amp;$C48&amp;", *", 集計用!$N:$N, "&lt;&gt;*英語を日常的に*"))/$B48*100</f>
        <v>0</v>
      </c>
      <c r="P48" s="41">
        <f>(COUNTIFS(集計用!$N:$N, "*, "&amp;P$4&amp;", *",集計用!$G:$G,"*, "&amp;$C48&amp;", *", 集計用!$N:$N, "&lt;&gt;*英語を日常的に*"))/$B48*100</f>
        <v>0</v>
      </c>
      <c r="Q48" s="41">
        <f>(COUNTIFS(集計用!$N:$N, "*, "&amp;Q$4&amp;", *",集計用!$G:$G,"*, "&amp;$C48&amp;", *", 集計用!$N:$N, "&lt;&gt;*英語を日常的に*"))/$B48*100</f>
        <v>0</v>
      </c>
      <c r="R48" s="41">
        <f>(COUNTIFS(集計用!$N:$N, "*, "&amp;R$4&amp;", *",集計用!$G:$G,"*, "&amp;$C48&amp;", *", 集計用!$N:$N, "&lt;&gt;*英語を日常的に*"))/$B48*100</f>
        <v>0</v>
      </c>
      <c r="S48" s="41">
        <f>(COUNTIFS(集計用!$N:$N, "*, "&amp;S$4&amp;", *",集計用!$G:$G,"*, "&amp;$C48&amp;", *", 集計用!$N:$N, "&lt;&gt;*英語を日常的に*"))/$B48*100</f>
        <v>0</v>
      </c>
      <c r="T48" s="41">
        <f>(COUNTIFS(集計用!$N:$N, "*, "&amp;T$4&amp;", *",集計用!$G:$G,"*, "&amp;$C48&amp;", *", 集計用!$N:$N, "&lt;&gt;*英語を日常的に*"))/$B48*100</f>
        <v>0</v>
      </c>
      <c r="U48" s="41">
        <f>(COUNTIFS(集計用!$N:$N, "*, "&amp;U$4&amp;", *",集計用!$G:$G,"*, "&amp;$C48&amp;", *", 集計用!$N:$N, "&lt;&gt;*英語を日常的に*"))/$B48*100</f>
        <v>0</v>
      </c>
      <c r="V48" s="41">
        <f>(COUNTIFS(集計用!$N:$N, "*, "&amp;V$4&amp;", *",集計用!$G:$G,"*, "&amp;$C48&amp;", *", 集計用!$N:$N, "&lt;&gt;*英語を日常的に*"))/$B48*100</f>
        <v>0</v>
      </c>
      <c r="W48" s="41">
        <f>(COUNTIFS(集計用!$N:$N, "*, "&amp;W$4&amp;", *",集計用!$G:$G,"*, "&amp;$C48&amp;", *", 集計用!$N:$N, "&lt;&gt;*英語を日常的に*"))/$B48*100</f>
        <v>0</v>
      </c>
      <c r="Y48" s="39"/>
    </row>
    <row r="49" spans="1:30" ht="14.25" customHeight="1">
      <c r="A49" s="39">
        <v>4</v>
      </c>
      <c r="B49" s="39">
        <f>(COUNTIFS(集計用!$G$2:$G$444,"*, "&amp;$C49&amp;",*",集計用!$N$2:$N$444,"&lt;&gt;*英語を日常的に*",集計用!$N$2:$N$444,"&lt;&gt;無回答, "))</f>
        <v>3</v>
      </c>
      <c r="C49" s="42" t="s">
        <v>47</v>
      </c>
      <c r="D49" s="41">
        <f>(COUNTIFS(集計用!$N:$N, "*, "&amp;D$4&amp;", *",集計用!$G:$G,"*, "&amp;$C49&amp;", *", 集計用!$N:$N, "&lt;&gt;*英語を日常的に*"))/$B49*100</f>
        <v>0</v>
      </c>
      <c r="E49" s="41">
        <f>(COUNTIFS(集計用!$N:$N, "*, "&amp;E$4&amp;", *",集計用!$G:$G,"*, "&amp;$C49&amp;", *", 集計用!$N:$N, "&lt;&gt;*英語を日常的に*"))/$B49*100</f>
        <v>0</v>
      </c>
      <c r="F49" s="41">
        <f>(COUNTIFS(集計用!$N:$N, "*, "&amp;F$4&amp;", *",集計用!$G:$G,"*, "&amp;$C49&amp;", *", 集計用!$N:$N, "&lt;&gt;*英語を日常的に*"))/$B49*100</f>
        <v>100</v>
      </c>
      <c r="G49" s="41">
        <f>(COUNTIFS(集計用!$N:$N, "*, "&amp;G$4&amp;", *",集計用!$G:$G,"*, "&amp;$C49&amp;", *", 集計用!$N:$N, "&lt;&gt;*英語を日常的に*"))/$B49*100</f>
        <v>0</v>
      </c>
      <c r="H49" s="41">
        <f>(COUNTIFS(集計用!$N:$N, "*, "&amp;H$4&amp;", *",集計用!$G:$G,"*, "&amp;$C49&amp;", *", 集計用!$N:$N, "&lt;&gt;*英語を日常的に*"))/$B49*100</f>
        <v>33.333333333333329</v>
      </c>
      <c r="I49" s="41">
        <f>(COUNTIFS(集計用!$N:$N, "*, "&amp;I$4&amp;", *",集計用!$G:$G,"*, "&amp;$C49&amp;", *", 集計用!$N:$N, "&lt;&gt;*英語を日常的に*"))/$B49*100</f>
        <v>0</v>
      </c>
      <c r="J49" s="41">
        <f>(COUNTIFS(集計用!$N:$N, "*, "&amp;J$4&amp;", *",集計用!$G:$G,"*, "&amp;$C49&amp;", *", 集計用!$N:$N, "&lt;&gt;*英語を日常的に*"))/$B49*100</f>
        <v>0</v>
      </c>
      <c r="K49" s="41">
        <f>(COUNTIFS(集計用!$N:$N, "*, "&amp;K$4&amp;", *",集計用!$G:$G,"*, "&amp;$C49&amp;", *", 集計用!$N:$N, "&lt;&gt;*英語を日常的に*"))/$B49*100</f>
        <v>0</v>
      </c>
      <c r="L49" s="41">
        <f>(COUNTIFS(集計用!$N:$N, "*, "&amp;L$4&amp;", *",集計用!$G:$G,"*, "&amp;$C49&amp;", *", 集計用!$N:$N, "&lt;&gt;*英語を日常的に*"))/$B49*100</f>
        <v>0</v>
      </c>
      <c r="M49" s="41">
        <f>(COUNTIFS(集計用!$N:$N, "*, "&amp;M$4&amp;", *",集計用!$G:$G,"*, "&amp;$C49&amp;", *", 集計用!$N:$N, "&lt;&gt;*英語を日常的に*"))/$B49*100</f>
        <v>0</v>
      </c>
      <c r="N49" s="41">
        <f>(COUNTIFS(集計用!$N:$N, "*, "&amp;N$4&amp;", *",集計用!$G:$G,"*, "&amp;$C49&amp;", *", 集計用!$N:$N, "&lt;&gt;*英語を日常的に*"))/$B49*100</f>
        <v>0</v>
      </c>
      <c r="O49" s="41">
        <f>(COUNTIFS(集計用!$N:$N, "*, "&amp;O$4&amp;", *",集計用!$G:$G,"*, "&amp;$C49&amp;", *", 集計用!$N:$N, "&lt;&gt;*英語を日常的に*"))/$B49*100</f>
        <v>0</v>
      </c>
      <c r="P49" s="41">
        <f>(COUNTIFS(集計用!$N:$N, "*, "&amp;P$4&amp;", *",集計用!$G:$G,"*, "&amp;$C49&amp;", *", 集計用!$N:$N, "&lt;&gt;*英語を日常的に*"))/$B49*100</f>
        <v>0</v>
      </c>
      <c r="Q49" s="41">
        <f>(COUNTIFS(集計用!$N:$N, "*, "&amp;Q$4&amp;", *",集計用!$G:$G,"*, "&amp;$C49&amp;", *", 集計用!$N:$N, "&lt;&gt;*英語を日常的に*"))/$B49*100</f>
        <v>0</v>
      </c>
      <c r="R49" s="41">
        <f>(COUNTIFS(集計用!$N:$N, "*, "&amp;R$4&amp;", *",集計用!$G:$G,"*, "&amp;$C49&amp;", *", 集計用!$N:$N, "&lt;&gt;*英語を日常的に*"))/$B49*100</f>
        <v>0</v>
      </c>
      <c r="S49" s="41">
        <f>(COUNTIFS(集計用!$N:$N, "*, "&amp;S$4&amp;", *",集計用!$G:$G,"*, "&amp;$C49&amp;", *", 集計用!$N:$N, "&lt;&gt;*英語を日常的に*"))/$B49*100</f>
        <v>0</v>
      </c>
      <c r="T49" s="41">
        <f>(COUNTIFS(集計用!$N:$N, "*, "&amp;T$4&amp;", *",集計用!$G:$G,"*, "&amp;$C49&amp;", *", 集計用!$N:$N, "&lt;&gt;*英語を日常的に*"))/$B49*100</f>
        <v>0</v>
      </c>
      <c r="U49" s="41">
        <f>(COUNTIFS(集計用!$N:$N, "*, "&amp;U$4&amp;", *",集計用!$G:$G,"*, "&amp;$C49&amp;", *", 集計用!$N:$N, "&lt;&gt;*英語を日常的に*"))/$B49*100</f>
        <v>0</v>
      </c>
      <c r="V49" s="41">
        <f>(COUNTIFS(集計用!$N:$N, "*, "&amp;V$4&amp;", *",集計用!$G:$G,"*, "&amp;$C49&amp;", *", 集計用!$N:$N, "&lt;&gt;*英語を日常的に*"))/$B49*100</f>
        <v>0</v>
      </c>
      <c r="W49" s="41">
        <f>(COUNTIFS(集計用!$N:$N, "*, "&amp;W$4&amp;", *",集計用!$G:$G,"*, "&amp;$C49&amp;", *", 集計用!$N:$N, "&lt;&gt;*英語を日常的に*"))/$B49*100</f>
        <v>0</v>
      </c>
      <c r="Y49" s="39"/>
    </row>
    <row r="50" spans="1:30" ht="14.25" customHeight="1">
      <c r="A50" s="39">
        <v>5</v>
      </c>
      <c r="B50" s="39">
        <f>(COUNTIFS(集計用!$G$2:$G$444,"*, "&amp;$C50&amp;",*",集計用!$N$2:$N$444,"&lt;&gt;*英語を日常的に*",集計用!$N$2:$N$444,"&lt;&gt;無回答, "))</f>
        <v>3</v>
      </c>
      <c r="C50" s="42" t="s">
        <v>30</v>
      </c>
      <c r="D50" s="41">
        <f>(COUNTIFS(集計用!$N:$N, "*, "&amp;D$4&amp;", *",集計用!$G:$G,"*, "&amp;$C50&amp;", *", 集計用!$N:$N, "&lt;&gt;*英語を日常的に*"))/$B50*100</f>
        <v>100</v>
      </c>
      <c r="E50" s="41">
        <f>(COUNTIFS(集計用!$N:$N, "*, "&amp;E$4&amp;", *",集計用!$G:$G,"*, "&amp;$C50&amp;", *", 集計用!$N:$N, "&lt;&gt;*英語を日常的に*"))/$B50*100</f>
        <v>0</v>
      </c>
      <c r="F50" s="41">
        <f>(COUNTIFS(集計用!$N:$N, "*, "&amp;F$4&amp;", *",集計用!$G:$G,"*, "&amp;$C50&amp;", *", 集計用!$N:$N, "&lt;&gt;*英語を日常的に*"))/$B50*100</f>
        <v>33.333333333333329</v>
      </c>
      <c r="G50" s="41">
        <f>(COUNTIFS(集計用!$N:$N, "*, "&amp;G$4&amp;", *",集計用!$G:$G,"*, "&amp;$C50&amp;", *", 集計用!$N:$N, "&lt;&gt;*英語を日常的に*"))/$B50*100</f>
        <v>0</v>
      </c>
      <c r="H50" s="41">
        <f>(COUNTIFS(集計用!$N:$N, "*, "&amp;H$4&amp;", *",集計用!$G:$G,"*, "&amp;$C50&amp;", *", 集計用!$N:$N, "&lt;&gt;*英語を日常的に*"))/$B50*100</f>
        <v>0</v>
      </c>
      <c r="I50" s="41">
        <f>(COUNTIFS(集計用!$N:$N, "*, "&amp;I$4&amp;", *",集計用!$G:$G,"*, "&amp;$C50&amp;", *", 集計用!$N:$N, "&lt;&gt;*英語を日常的に*"))/$B50*100</f>
        <v>0</v>
      </c>
      <c r="J50" s="41">
        <f>(COUNTIFS(集計用!$N:$N, "*, "&amp;J$4&amp;", *",集計用!$G:$G,"*, "&amp;$C50&amp;", *", 集計用!$N:$N, "&lt;&gt;*英語を日常的に*"))/$B50*100</f>
        <v>0</v>
      </c>
      <c r="K50" s="41">
        <f>(COUNTIFS(集計用!$N:$N, "*, "&amp;K$4&amp;", *",集計用!$G:$G,"*, "&amp;$C50&amp;", *", 集計用!$N:$N, "&lt;&gt;*英語を日常的に*"))/$B50*100</f>
        <v>0</v>
      </c>
      <c r="L50" s="41">
        <f>(COUNTIFS(集計用!$N:$N, "*, "&amp;L$4&amp;", *",集計用!$G:$G,"*, "&amp;$C50&amp;", *", 集計用!$N:$N, "&lt;&gt;*英語を日常的に*"))/$B50*100</f>
        <v>0</v>
      </c>
      <c r="M50" s="41">
        <f>(COUNTIFS(集計用!$N:$N, "*, "&amp;M$4&amp;", *",集計用!$G:$G,"*, "&amp;$C50&amp;", *", 集計用!$N:$N, "&lt;&gt;*英語を日常的に*"))/$B50*100</f>
        <v>0</v>
      </c>
      <c r="N50" s="41">
        <f>(COUNTIFS(集計用!$N:$N, "*, "&amp;N$4&amp;", *",集計用!$G:$G,"*, "&amp;$C50&amp;", *", 集計用!$N:$N, "&lt;&gt;*英語を日常的に*"))/$B50*100</f>
        <v>0</v>
      </c>
      <c r="O50" s="41">
        <f>(COUNTIFS(集計用!$N:$N, "*, "&amp;O$4&amp;", *",集計用!$G:$G,"*, "&amp;$C50&amp;", *", 集計用!$N:$N, "&lt;&gt;*英語を日常的に*"))/$B50*100</f>
        <v>0</v>
      </c>
      <c r="P50" s="41">
        <f>(COUNTIFS(集計用!$N:$N, "*, "&amp;P$4&amp;", *",集計用!$G:$G,"*, "&amp;$C50&amp;", *", 集計用!$N:$N, "&lt;&gt;*英語を日常的に*"))/$B50*100</f>
        <v>0</v>
      </c>
      <c r="Q50" s="41">
        <f>(COUNTIFS(集計用!$N:$N, "*, "&amp;Q$4&amp;", *",集計用!$G:$G,"*, "&amp;$C50&amp;", *", 集計用!$N:$N, "&lt;&gt;*英語を日常的に*"))/$B50*100</f>
        <v>0</v>
      </c>
      <c r="R50" s="41">
        <f>(COUNTIFS(集計用!$N:$N, "*, "&amp;R$4&amp;", *",集計用!$G:$G,"*, "&amp;$C50&amp;", *", 集計用!$N:$N, "&lt;&gt;*英語を日常的に*"))/$B50*100</f>
        <v>0</v>
      </c>
      <c r="S50" s="41">
        <f>(COUNTIFS(集計用!$N:$N, "*, "&amp;S$4&amp;", *",集計用!$G:$G,"*, "&amp;$C50&amp;", *", 集計用!$N:$N, "&lt;&gt;*英語を日常的に*"))/$B50*100</f>
        <v>0</v>
      </c>
      <c r="T50" s="41">
        <f>(COUNTIFS(集計用!$N:$N, "*, "&amp;T$4&amp;", *",集計用!$G:$G,"*, "&amp;$C50&amp;", *", 集計用!$N:$N, "&lt;&gt;*英語を日常的に*"))/$B50*100</f>
        <v>0</v>
      </c>
      <c r="U50" s="41">
        <f>(COUNTIFS(集計用!$N:$N, "*, "&amp;U$4&amp;", *",集計用!$G:$G,"*, "&amp;$C50&amp;", *", 集計用!$N:$N, "&lt;&gt;*英語を日常的に*"))/$B50*100</f>
        <v>0</v>
      </c>
      <c r="V50" s="41">
        <f>(COUNTIFS(集計用!$N:$N, "*, "&amp;V$4&amp;", *",集計用!$G:$G,"*, "&amp;$C50&amp;", *", 集計用!$N:$N, "&lt;&gt;*英語を日常的に*"))/$B50*100</f>
        <v>0</v>
      </c>
      <c r="W50" s="41">
        <f>(COUNTIFS(集計用!$N:$N, "*, "&amp;W$4&amp;", *",集計用!$G:$G,"*, "&amp;$C50&amp;", *", 集計用!$N:$N, "&lt;&gt;*英語を日常的に*"))/$B50*100</f>
        <v>0</v>
      </c>
      <c r="Y50" s="39"/>
    </row>
    <row r="51" spans="1:30" ht="14.25" customHeight="1">
      <c r="A51" s="39">
        <v>4</v>
      </c>
      <c r="B51" s="39">
        <f>(COUNTIFS(集計用!$G$2:$G$444,"*, "&amp;$C51&amp;",*",集計用!$N$2:$N$444,"&lt;&gt;*英語を日常的に*",集計用!$N$2:$N$444,"&lt;&gt;無回答, "))</f>
        <v>2</v>
      </c>
      <c r="C51" s="42" t="s">
        <v>40</v>
      </c>
      <c r="D51" s="41">
        <f>(COUNTIFS(集計用!$N:$N, "*, "&amp;D$4&amp;", *",集計用!$G:$G,"*, "&amp;$C51&amp;", *", 集計用!$N:$N, "&lt;&gt;*英語を日常的に*"))/$B51*100</f>
        <v>50</v>
      </c>
      <c r="E51" s="41">
        <f>(COUNTIFS(集計用!$N:$N, "*, "&amp;E$4&amp;", *",集計用!$G:$G,"*, "&amp;$C51&amp;", *", 集計用!$N:$N, "&lt;&gt;*英語を日常的に*"))/$B51*100</f>
        <v>100</v>
      </c>
      <c r="F51" s="41">
        <f>(COUNTIFS(集計用!$N:$N, "*, "&amp;F$4&amp;", *",集計用!$G:$G,"*, "&amp;$C51&amp;", *", 集計用!$N:$N, "&lt;&gt;*英語を日常的に*"))/$B51*100</f>
        <v>50</v>
      </c>
      <c r="G51" s="41">
        <f>(COUNTIFS(集計用!$N:$N, "*, "&amp;G$4&amp;", *",集計用!$G:$G,"*, "&amp;$C51&amp;", *", 集計用!$N:$N, "&lt;&gt;*英語を日常的に*"))/$B51*100</f>
        <v>50</v>
      </c>
      <c r="H51" s="41">
        <f>(COUNTIFS(集計用!$N:$N, "*, "&amp;H$4&amp;", *",集計用!$G:$G,"*, "&amp;$C51&amp;", *", 集計用!$N:$N, "&lt;&gt;*英語を日常的に*"))/$B51*100</f>
        <v>0</v>
      </c>
      <c r="I51" s="41">
        <f>(COUNTIFS(集計用!$N:$N, "*, "&amp;I$4&amp;", *",集計用!$G:$G,"*, "&amp;$C51&amp;", *", 集計用!$N:$N, "&lt;&gt;*英語を日常的に*"))/$B51*100</f>
        <v>50</v>
      </c>
      <c r="J51" s="41">
        <f>(COUNTIFS(集計用!$N:$N, "*, "&amp;J$4&amp;", *",集計用!$G:$G,"*, "&amp;$C51&amp;", *", 集計用!$N:$N, "&lt;&gt;*英語を日常的に*"))/$B51*100</f>
        <v>50</v>
      </c>
      <c r="K51" s="41">
        <f>(COUNTIFS(集計用!$N:$N, "*, "&amp;K$4&amp;", *",集計用!$G:$G,"*, "&amp;$C51&amp;", *", 集計用!$N:$N, "&lt;&gt;*英語を日常的に*"))/$B51*100</f>
        <v>0</v>
      </c>
      <c r="L51" s="41">
        <f>(COUNTIFS(集計用!$N:$N, "*, "&amp;L$4&amp;", *",集計用!$G:$G,"*, "&amp;$C51&amp;", *", 集計用!$N:$N, "&lt;&gt;*英語を日常的に*"))/$B51*100</f>
        <v>0</v>
      </c>
      <c r="M51" s="41">
        <f>(COUNTIFS(集計用!$N:$N, "*, "&amp;M$4&amp;", *",集計用!$G:$G,"*, "&amp;$C51&amp;", *", 集計用!$N:$N, "&lt;&gt;*英語を日常的に*"))/$B51*100</f>
        <v>0</v>
      </c>
      <c r="N51" s="41">
        <f>(COUNTIFS(集計用!$N:$N, "*, "&amp;N$4&amp;", *",集計用!$G:$G,"*, "&amp;$C51&amp;", *", 集計用!$N:$N, "&lt;&gt;*英語を日常的に*"))/$B51*100</f>
        <v>0</v>
      </c>
      <c r="O51" s="41">
        <f>(COUNTIFS(集計用!$N:$N, "*, "&amp;O$4&amp;", *",集計用!$G:$G,"*, "&amp;$C51&amp;", *", 集計用!$N:$N, "&lt;&gt;*英語を日常的に*"))/$B51*100</f>
        <v>0</v>
      </c>
      <c r="P51" s="41">
        <f>(COUNTIFS(集計用!$N:$N, "*, "&amp;P$4&amp;", *",集計用!$G:$G,"*, "&amp;$C51&amp;", *", 集計用!$N:$N, "&lt;&gt;*英語を日常的に*"))/$B51*100</f>
        <v>0</v>
      </c>
      <c r="Q51" s="41">
        <f>(COUNTIFS(集計用!$N:$N, "*, "&amp;Q$4&amp;", *",集計用!$G:$G,"*, "&amp;$C51&amp;", *", 集計用!$N:$N, "&lt;&gt;*英語を日常的に*"))/$B51*100</f>
        <v>0</v>
      </c>
      <c r="R51" s="41">
        <f>(COUNTIFS(集計用!$N:$N, "*, "&amp;R$4&amp;", *",集計用!$G:$G,"*, "&amp;$C51&amp;", *", 集計用!$N:$N, "&lt;&gt;*英語を日常的に*"))/$B51*100</f>
        <v>0</v>
      </c>
      <c r="S51" s="41">
        <f>(COUNTIFS(集計用!$N:$N, "*, "&amp;S$4&amp;", *",集計用!$G:$G,"*, "&amp;$C51&amp;", *", 集計用!$N:$N, "&lt;&gt;*英語を日常的に*"))/$B51*100</f>
        <v>0</v>
      </c>
      <c r="T51" s="41">
        <f>(COUNTIFS(集計用!$N:$N, "*, "&amp;T$4&amp;", *",集計用!$G:$G,"*, "&amp;$C51&amp;", *", 集計用!$N:$N, "&lt;&gt;*英語を日常的に*"))/$B51*100</f>
        <v>0</v>
      </c>
      <c r="U51" s="41">
        <f>(COUNTIFS(集計用!$N:$N, "*, "&amp;U$4&amp;", *",集計用!$G:$G,"*, "&amp;$C51&amp;", *", 集計用!$N:$N, "&lt;&gt;*英語を日常的に*"))/$B51*100</f>
        <v>0</v>
      </c>
      <c r="V51" s="41">
        <f>(COUNTIFS(集計用!$N:$N, "*, "&amp;V$4&amp;", *",集計用!$G:$G,"*, "&amp;$C51&amp;", *", 集計用!$N:$N, "&lt;&gt;*英語を日常的に*"))/$B51*100</f>
        <v>0</v>
      </c>
      <c r="W51" s="41">
        <f>(COUNTIFS(集計用!$N:$N, "*, "&amp;W$4&amp;", *",集計用!$G:$G,"*, "&amp;$C51&amp;", *", 集計用!$N:$N, "&lt;&gt;*英語を日常的に*"))/$B51*100</f>
        <v>0</v>
      </c>
      <c r="Y51" s="39"/>
    </row>
    <row r="52" spans="1:30" ht="14.25" customHeight="1">
      <c r="A52" s="39">
        <v>4</v>
      </c>
      <c r="B52" s="39">
        <f>(COUNTIFS(集計用!$G$2:$G$444,"*, "&amp;$C52&amp;",*",集計用!$N$2:$N$444,"&lt;&gt;*英語を日常的に*",集計用!$N$2:$N$444,"&lt;&gt;無回答, "))</f>
        <v>2</v>
      </c>
      <c r="C52" s="42" t="s">
        <v>42</v>
      </c>
      <c r="D52" s="41">
        <f>(COUNTIFS(集計用!$N:$N, "*, "&amp;D$4&amp;", *",集計用!$G:$G,"*, "&amp;$C52&amp;", *", 集計用!$N:$N, "&lt;&gt;*英語を日常的に*"))/$B52*100</f>
        <v>50</v>
      </c>
      <c r="E52" s="41">
        <f>(COUNTIFS(集計用!$N:$N, "*, "&amp;E$4&amp;", *",集計用!$G:$G,"*, "&amp;$C52&amp;", *", 集計用!$N:$N, "&lt;&gt;*英語を日常的に*"))/$B52*100</f>
        <v>50</v>
      </c>
      <c r="F52" s="41">
        <f>(COUNTIFS(集計用!$N:$N, "*, "&amp;F$4&amp;", *",集計用!$G:$G,"*, "&amp;$C52&amp;", *", 集計用!$N:$N, "&lt;&gt;*英語を日常的に*"))/$B52*100</f>
        <v>50</v>
      </c>
      <c r="G52" s="41">
        <f>(COUNTIFS(集計用!$N:$N, "*, "&amp;G$4&amp;", *",集計用!$G:$G,"*, "&amp;$C52&amp;", *", 集計用!$N:$N, "&lt;&gt;*英語を日常的に*"))/$B52*100</f>
        <v>50</v>
      </c>
      <c r="H52" s="41">
        <f>(COUNTIFS(集計用!$N:$N, "*, "&amp;H$4&amp;", *",集計用!$G:$G,"*, "&amp;$C52&amp;", *", 集計用!$N:$N, "&lt;&gt;*英語を日常的に*"))/$B52*100</f>
        <v>0</v>
      </c>
      <c r="I52" s="41">
        <f>(COUNTIFS(集計用!$N:$N, "*, "&amp;I$4&amp;", *",集計用!$G:$G,"*, "&amp;$C52&amp;", *", 集計用!$N:$N, "&lt;&gt;*英語を日常的に*"))/$B52*100</f>
        <v>50</v>
      </c>
      <c r="J52" s="41">
        <f>(COUNTIFS(集計用!$N:$N, "*, "&amp;J$4&amp;", *",集計用!$G:$G,"*, "&amp;$C52&amp;", *", 集計用!$N:$N, "&lt;&gt;*英語を日常的に*"))/$B52*100</f>
        <v>0</v>
      </c>
      <c r="K52" s="41">
        <f>(COUNTIFS(集計用!$N:$N, "*, "&amp;K$4&amp;", *",集計用!$G:$G,"*, "&amp;$C52&amp;", *", 集計用!$N:$N, "&lt;&gt;*英語を日常的に*"))/$B52*100</f>
        <v>0</v>
      </c>
      <c r="L52" s="41">
        <f>(COUNTIFS(集計用!$N:$N, "*, "&amp;L$4&amp;", *",集計用!$G:$G,"*, "&amp;$C52&amp;", *", 集計用!$N:$N, "&lt;&gt;*英語を日常的に*"))/$B52*100</f>
        <v>0</v>
      </c>
      <c r="M52" s="41">
        <f>(COUNTIFS(集計用!$N:$N, "*, "&amp;M$4&amp;", *",集計用!$G:$G,"*, "&amp;$C52&amp;", *", 集計用!$N:$N, "&lt;&gt;*英語を日常的に*"))/$B52*100</f>
        <v>0</v>
      </c>
      <c r="N52" s="41">
        <f>(COUNTIFS(集計用!$N:$N, "*, "&amp;N$4&amp;", *",集計用!$G:$G,"*, "&amp;$C52&amp;", *", 集計用!$N:$N, "&lt;&gt;*英語を日常的に*"))/$B52*100</f>
        <v>0</v>
      </c>
      <c r="O52" s="41">
        <f>(COUNTIFS(集計用!$N:$N, "*, "&amp;O$4&amp;", *",集計用!$G:$G,"*, "&amp;$C52&amp;", *", 集計用!$N:$N, "&lt;&gt;*英語を日常的に*"))/$B52*100</f>
        <v>0</v>
      </c>
      <c r="P52" s="41">
        <f>(COUNTIFS(集計用!$N:$N, "*, "&amp;P$4&amp;", *",集計用!$G:$G,"*, "&amp;$C52&amp;", *", 集計用!$N:$N, "&lt;&gt;*英語を日常的に*"))/$B52*100</f>
        <v>0</v>
      </c>
      <c r="Q52" s="41">
        <f>(COUNTIFS(集計用!$N:$N, "*, "&amp;Q$4&amp;", *",集計用!$G:$G,"*, "&amp;$C52&amp;", *", 集計用!$N:$N, "&lt;&gt;*英語を日常的に*"))/$B52*100</f>
        <v>0</v>
      </c>
      <c r="R52" s="41">
        <f>(COUNTIFS(集計用!$N:$N, "*, "&amp;R$4&amp;", *",集計用!$G:$G,"*, "&amp;$C52&amp;", *", 集計用!$N:$N, "&lt;&gt;*英語を日常的に*"))/$B52*100</f>
        <v>0</v>
      </c>
      <c r="S52" s="41">
        <f>(COUNTIFS(集計用!$N:$N, "*, "&amp;S$4&amp;", *",集計用!$G:$G,"*, "&amp;$C52&amp;", *", 集計用!$N:$N, "&lt;&gt;*英語を日常的に*"))/$B52*100</f>
        <v>0</v>
      </c>
      <c r="T52" s="41">
        <f>(COUNTIFS(集計用!$N:$N, "*, "&amp;T$4&amp;", *",集計用!$G:$G,"*, "&amp;$C52&amp;", *", 集計用!$N:$N, "&lt;&gt;*英語を日常的に*"))/$B52*100</f>
        <v>0</v>
      </c>
      <c r="U52" s="41">
        <f>(COUNTIFS(集計用!$N:$N, "*, "&amp;U$4&amp;", *",集計用!$G:$G,"*, "&amp;$C52&amp;", *", 集計用!$N:$N, "&lt;&gt;*英語を日常的に*"))/$B52*100</f>
        <v>0</v>
      </c>
      <c r="V52" s="41">
        <f>(COUNTIFS(集計用!$N:$N, "*, "&amp;V$4&amp;", *",集計用!$G:$G,"*, "&amp;$C52&amp;", *", 集計用!$N:$N, "&lt;&gt;*英語を日常的に*"))/$B52*100</f>
        <v>0</v>
      </c>
      <c r="W52" s="41">
        <f>(COUNTIFS(集計用!$N:$N, "*, "&amp;W$4&amp;", *",集計用!$G:$G,"*, "&amp;$C52&amp;", *", 集計用!$N:$N, "&lt;&gt;*英語を日常的に*"))/$B52*100</f>
        <v>0</v>
      </c>
      <c r="Y52" s="39"/>
    </row>
    <row r="53" spans="1:30" ht="14.25" customHeight="1">
      <c r="A53" s="39">
        <v>4</v>
      </c>
      <c r="B53" s="39">
        <f>(COUNTIFS(集計用!$G$2:$G$444,"*, "&amp;$C53&amp;",*",集計用!$N$2:$N$444,"&lt;&gt;*英語を日常的に*",集計用!$N$2:$N$444,"&lt;&gt;無回答, "))</f>
        <v>2</v>
      </c>
      <c r="C53" s="42" t="s">
        <v>44</v>
      </c>
      <c r="D53" s="41">
        <f>(COUNTIFS(集計用!$N:$N, "*, "&amp;D$4&amp;", *",集計用!$G:$G,"*, "&amp;$C53&amp;", *", 集計用!$N:$N, "&lt;&gt;*英語を日常的に*"))/$B53*100</f>
        <v>50</v>
      </c>
      <c r="E53" s="41">
        <f>(COUNTIFS(集計用!$N:$N, "*, "&amp;E$4&amp;", *",集計用!$G:$G,"*, "&amp;$C53&amp;", *", 集計用!$N:$N, "&lt;&gt;*英語を日常的に*"))/$B53*100</f>
        <v>50</v>
      </c>
      <c r="F53" s="41">
        <f>(COUNTIFS(集計用!$N:$N, "*, "&amp;F$4&amp;", *",集計用!$G:$G,"*, "&amp;$C53&amp;", *", 集計用!$N:$N, "&lt;&gt;*英語を日常的に*"))/$B53*100</f>
        <v>50</v>
      </c>
      <c r="G53" s="41">
        <f>(COUNTIFS(集計用!$N:$N, "*, "&amp;G$4&amp;", *",集計用!$G:$G,"*, "&amp;$C53&amp;", *", 集計用!$N:$N, "&lt;&gt;*英語を日常的に*"))/$B53*100</f>
        <v>0</v>
      </c>
      <c r="H53" s="41">
        <f>(COUNTIFS(集計用!$N:$N, "*, "&amp;H$4&amp;", *",集計用!$G:$G,"*, "&amp;$C53&amp;", *", 集計用!$N:$N, "&lt;&gt;*英語を日常的に*"))/$B53*100</f>
        <v>0</v>
      </c>
      <c r="I53" s="41">
        <f>(COUNTIFS(集計用!$N:$N, "*, "&amp;I$4&amp;", *",集計用!$G:$G,"*, "&amp;$C53&amp;", *", 集計用!$N:$N, "&lt;&gt;*英語を日常的に*"))/$B53*100</f>
        <v>0</v>
      </c>
      <c r="J53" s="41">
        <f>(COUNTIFS(集計用!$N:$N, "*, "&amp;J$4&amp;", *",集計用!$G:$G,"*, "&amp;$C53&amp;", *", 集計用!$N:$N, "&lt;&gt;*英語を日常的に*"))/$B53*100</f>
        <v>0</v>
      </c>
      <c r="K53" s="41">
        <f>(COUNTIFS(集計用!$N:$N, "*, "&amp;K$4&amp;", *",集計用!$G:$G,"*, "&amp;$C53&amp;", *", 集計用!$N:$N, "&lt;&gt;*英語を日常的に*"))/$B53*100</f>
        <v>0</v>
      </c>
      <c r="L53" s="41">
        <f>(COUNTIFS(集計用!$N:$N, "*, "&amp;L$4&amp;", *",集計用!$G:$G,"*, "&amp;$C53&amp;", *", 集計用!$N:$N, "&lt;&gt;*英語を日常的に*"))/$B53*100</f>
        <v>0</v>
      </c>
      <c r="M53" s="41">
        <f>(COUNTIFS(集計用!$N:$N, "*, "&amp;M$4&amp;", *",集計用!$G:$G,"*, "&amp;$C53&amp;", *", 集計用!$N:$N, "&lt;&gt;*英語を日常的に*"))/$B53*100</f>
        <v>0</v>
      </c>
      <c r="N53" s="41">
        <f>(COUNTIFS(集計用!$N:$N, "*, "&amp;N$4&amp;", *",集計用!$G:$G,"*, "&amp;$C53&amp;", *", 集計用!$N:$N, "&lt;&gt;*英語を日常的に*"))/$B53*100</f>
        <v>0</v>
      </c>
      <c r="O53" s="41">
        <f>(COUNTIFS(集計用!$N:$N, "*, "&amp;O$4&amp;", *",集計用!$G:$G,"*, "&amp;$C53&amp;", *", 集計用!$N:$N, "&lt;&gt;*英語を日常的に*"))/$B53*100</f>
        <v>0</v>
      </c>
      <c r="P53" s="41">
        <f>(COUNTIFS(集計用!$N:$N, "*, "&amp;P$4&amp;", *",集計用!$G:$G,"*, "&amp;$C53&amp;", *", 集計用!$N:$N, "&lt;&gt;*英語を日常的に*"))/$B53*100</f>
        <v>0</v>
      </c>
      <c r="Q53" s="41">
        <f>(COUNTIFS(集計用!$N:$N, "*, "&amp;Q$4&amp;", *",集計用!$G:$G,"*, "&amp;$C53&amp;", *", 集計用!$N:$N, "&lt;&gt;*英語を日常的に*"))/$B53*100</f>
        <v>0</v>
      </c>
      <c r="R53" s="41">
        <f>(COUNTIFS(集計用!$N:$N, "*, "&amp;R$4&amp;", *",集計用!$G:$G,"*, "&amp;$C53&amp;", *", 集計用!$N:$N, "&lt;&gt;*英語を日常的に*"))/$B53*100</f>
        <v>0</v>
      </c>
      <c r="S53" s="41">
        <f>(COUNTIFS(集計用!$N:$N, "*, "&amp;S$4&amp;", *",集計用!$G:$G,"*, "&amp;$C53&amp;", *", 集計用!$N:$N, "&lt;&gt;*英語を日常的に*"))/$B53*100</f>
        <v>0</v>
      </c>
      <c r="T53" s="41">
        <f>(COUNTIFS(集計用!$N:$N, "*, "&amp;T$4&amp;", *",集計用!$G:$G,"*, "&amp;$C53&amp;", *", 集計用!$N:$N, "&lt;&gt;*英語を日常的に*"))/$B53*100</f>
        <v>0</v>
      </c>
      <c r="U53" s="41">
        <f>(COUNTIFS(集計用!$N:$N, "*, "&amp;U$4&amp;", *",集計用!$G:$G,"*, "&amp;$C53&amp;", *", 集計用!$N:$N, "&lt;&gt;*英語を日常的に*"))/$B53*100</f>
        <v>0</v>
      </c>
      <c r="V53" s="41">
        <f>(COUNTIFS(集計用!$N:$N, "*, "&amp;V$4&amp;", *",集計用!$G:$G,"*, "&amp;$C53&amp;", *", 集計用!$N:$N, "&lt;&gt;*英語を日常的に*"))/$B53*100</f>
        <v>0</v>
      </c>
      <c r="W53" s="41">
        <f>(COUNTIFS(集計用!$N:$N, "*, "&amp;W$4&amp;", *",集計用!$G:$G,"*, "&amp;$C53&amp;", *", 集計用!$N:$N, "&lt;&gt;*英語を日常的に*"))/$B53*100</f>
        <v>0</v>
      </c>
      <c r="Y53" s="39"/>
    </row>
    <row r="54" spans="1:30" ht="14.25" customHeight="1">
      <c r="A54" s="39">
        <v>4</v>
      </c>
      <c r="B54" s="39">
        <f>(COUNTIFS(集計用!$G$2:$G$444,"*, "&amp;$C54&amp;",*",集計用!$N$2:$N$444,"&lt;&gt;*英語を日常的に*",集計用!$N$2:$N$444,"&lt;&gt;無回答, "))</f>
        <v>2</v>
      </c>
      <c r="C54" s="42" t="s">
        <v>50</v>
      </c>
      <c r="D54" s="41">
        <f>(COUNTIFS(集計用!$N:$N, "*, "&amp;D$4&amp;", *",集計用!$G:$G,"*, "&amp;$C54&amp;", *", 集計用!$N:$N, "&lt;&gt;*英語を日常的に*"))/$B54*100</f>
        <v>50</v>
      </c>
      <c r="E54" s="41">
        <f>(COUNTIFS(集計用!$N:$N, "*, "&amp;E$4&amp;", *",集計用!$G:$G,"*, "&amp;$C54&amp;", *", 集計用!$N:$N, "&lt;&gt;*英語を日常的に*"))/$B54*100</f>
        <v>50</v>
      </c>
      <c r="F54" s="41">
        <f>(COUNTIFS(集計用!$N:$N, "*, "&amp;F$4&amp;", *",集計用!$G:$G,"*, "&amp;$C54&amp;", *", 集計用!$N:$N, "&lt;&gt;*英語を日常的に*"))/$B54*100</f>
        <v>50</v>
      </c>
      <c r="G54" s="41">
        <f>(COUNTIFS(集計用!$N:$N, "*, "&amp;G$4&amp;", *",集計用!$G:$G,"*, "&amp;$C54&amp;", *", 集計用!$N:$N, "&lt;&gt;*英語を日常的に*"))/$B54*100</f>
        <v>0</v>
      </c>
      <c r="H54" s="41">
        <f>(COUNTIFS(集計用!$N:$N, "*, "&amp;H$4&amp;", *",集計用!$G:$G,"*, "&amp;$C54&amp;", *", 集計用!$N:$N, "&lt;&gt;*英語を日常的に*"))/$B54*100</f>
        <v>50</v>
      </c>
      <c r="I54" s="41">
        <f>(COUNTIFS(集計用!$N:$N, "*, "&amp;I$4&amp;", *",集計用!$G:$G,"*, "&amp;$C54&amp;", *", 集計用!$N:$N, "&lt;&gt;*英語を日常的に*"))/$B54*100</f>
        <v>0</v>
      </c>
      <c r="J54" s="41">
        <f>(COUNTIFS(集計用!$N:$N, "*, "&amp;J$4&amp;", *",集計用!$G:$G,"*, "&amp;$C54&amp;", *", 集計用!$N:$N, "&lt;&gt;*英語を日常的に*"))/$B54*100</f>
        <v>0</v>
      </c>
      <c r="K54" s="41">
        <f>(COUNTIFS(集計用!$N:$N, "*, "&amp;K$4&amp;", *",集計用!$G:$G,"*, "&amp;$C54&amp;", *", 集計用!$N:$N, "&lt;&gt;*英語を日常的に*"))/$B54*100</f>
        <v>0</v>
      </c>
      <c r="L54" s="41">
        <f>(COUNTIFS(集計用!$N:$N, "*, "&amp;L$4&amp;", *",集計用!$G:$G,"*, "&amp;$C54&amp;", *", 集計用!$N:$N, "&lt;&gt;*英語を日常的に*"))/$B54*100</f>
        <v>0</v>
      </c>
      <c r="M54" s="41">
        <f>(COUNTIFS(集計用!$N:$N, "*, "&amp;M$4&amp;", *",集計用!$G:$G,"*, "&amp;$C54&amp;", *", 集計用!$N:$N, "&lt;&gt;*英語を日常的に*"))/$B54*100</f>
        <v>0</v>
      </c>
      <c r="N54" s="41">
        <f>(COUNTIFS(集計用!$N:$N, "*, "&amp;N$4&amp;", *",集計用!$G:$G,"*, "&amp;$C54&amp;", *", 集計用!$N:$N, "&lt;&gt;*英語を日常的に*"))/$B54*100</f>
        <v>0</v>
      </c>
      <c r="O54" s="41">
        <f>(COUNTIFS(集計用!$N:$N, "*, "&amp;O$4&amp;", *",集計用!$G:$G,"*, "&amp;$C54&amp;", *", 集計用!$N:$N, "&lt;&gt;*英語を日常的に*"))/$B54*100</f>
        <v>0</v>
      </c>
      <c r="P54" s="41">
        <f>(COUNTIFS(集計用!$N:$N, "*, "&amp;P$4&amp;", *",集計用!$G:$G,"*, "&amp;$C54&amp;", *", 集計用!$N:$N, "&lt;&gt;*英語を日常的に*"))/$B54*100</f>
        <v>0</v>
      </c>
      <c r="Q54" s="41">
        <f>(COUNTIFS(集計用!$N:$N, "*, "&amp;Q$4&amp;", *",集計用!$G:$G,"*, "&amp;$C54&amp;", *", 集計用!$N:$N, "&lt;&gt;*英語を日常的に*"))/$B54*100</f>
        <v>0</v>
      </c>
      <c r="R54" s="41">
        <f>(COUNTIFS(集計用!$N:$N, "*, "&amp;R$4&amp;", *",集計用!$G:$G,"*, "&amp;$C54&amp;", *", 集計用!$N:$N, "&lt;&gt;*英語を日常的に*"))/$B54*100</f>
        <v>0</v>
      </c>
      <c r="S54" s="41">
        <f>(COUNTIFS(集計用!$N:$N, "*, "&amp;S$4&amp;", *",集計用!$G:$G,"*, "&amp;$C54&amp;", *", 集計用!$N:$N, "&lt;&gt;*英語を日常的に*"))/$B54*100</f>
        <v>0</v>
      </c>
      <c r="T54" s="41">
        <f>(COUNTIFS(集計用!$N:$N, "*, "&amp;T$4&amp;", *",集計用!$G:$G,"*, "&amp;$C54&amp;", *", 集計用!$N:$N, "&lt;&gt;*英語を日常的に*"))/$B54*100</f>
        <v>0</v>
      </c>
      <c r="U54" s="41">
        <f>(COUNTIFS(集計用!$N:$N, "*, "&amp;U$4&amp;", *",集計用!$G:$G,"*, "&amp;$C54&amp;", *", 集計用!$N:$N, "&lt;&gt;*英語を日常的に*"))/$B54*100</f>
        <v>0</v>
      </c>
      <c r="V54" s="41">
        <f>(COUNTIFS(集計用!$N:$N, "*, "&amp;V$4&amp;", *",集計用!$G:$G,"*, "&amp;$C54&amp;", *", 集計用!$N:$N, "&lt;&gt;*英語を日常的に*"))/$B54*100</f>
        <v>0</v>
      </c>
      <c r="W54" s="41">
        <f>(COUNTIFS(集計用!$N:$N, "*, "&amp;W$4&amp;", *",集計用!$G:$G,"*, "&amp;$C54&amp;", *", 集計用!$N:$N, "&lt;&gt;*英語を日常的に*"))/$B54*100</f>
        <v>0</v>
      </c>
      <c r="Y54" s="39"/>
    </row>
    <row r="55" spans="1:30" ht="12.75">
      <c r="A55" s="39" t="s">
        <v>2180</v>
      </c>
      <c r="B55" s="39">
        <f>(COUNTIFS(集計用!$G$2:$G$444,"*, "&amp;$C55&amp;",*",集計用!$N$2:$N$444,"&lt;&gt;*英語を日常的に*",集計用!$N$2:$N$444,"&lt;&gt;無回答, "))</f>
        <v>2</v>
      </c>
      <c r="C55" s="42" t="s">
        <v>54</v>
      </c>
      <c r="D55" s="41">
        <f>(COUNTIFS(集計用!$N:$N, "*, "&amp;D$4&amp;", *",集計用!$G:$G,"*, "&amp;$C55&amp;", *", 集計用!$N:$N, "&lt;&gt;*英語を日常的に*"))/$B55*100</f>
        <v>50</v>
      </c>
      <c r="E55" s="41">
        <f>(COUNTIFS(集計用!$N:$N, "*, "&amp;E$4&amp;", *",集計用!$G:$G,"*, "&amp;$C55&amp;", *", 集計用!$N:$N, "&lt;&gt;*英語を日常的に*"))/$B55*100</f>
        <v>0</v>
      </c>
      <c r="F55" s="41">
        <f>(COUNTIFS(集計用!$N:$N, "*, "&amp;F$4&amp;", *",集計用!$G:$G,"*, "&amp;$C55&amp;", *", 集計用!$N:$N, "&lt;&gt;*英語を日常的に*"))/$B55*100</f>
        <v>100</v>
      </c>
      <c r="G55" s="41">
        <f>(COUNTIFS(集計用!$N:$N, "*, "&amp;G$4&amp;", *",集計用!$G:$G,"*, "&amp;$C55&amp;", *", 集計用!$N:$N, "&lt;&gt;*英語を日常的に*"))/$B55*100</f>
        <v>0</v>
      </c>
      <c r="H55" s="41">
        <f>(COUNTIFS(集計用!$N:$N, "*, "&amp;H$4&amp;", *",集計用!$G:$G,"*, "&amp;$C55&amp;", *", 集計用!$N:$N, "&lt;&gt;*英語を日常的に*"))/$B55*100</f>
        <v>0</v>
      </c>
      <c r="I55" s="41">
        <f>(COUNTIFS(集計用!$N:$N, "*, "&amp;I$4&amp;", *",集計用!$G:$G,"*, "&amp;$C55&amp;", *", 集計用!$N:$N, "&lt;&gt;*英語を日常的に*"))/$B55*100</f>
        <v>0</v>
      </c>
      <c r="J55" s="41">
        <f>(COUNTIFS(集計用!$N:$N, "*, "&amp;J$4&amp;", *",集計用!$G:$G,"*, "&amp;$C55&amp;", *", 集計用!$N:$N, "&lt;&gt;*英語を日常的に*"))/$B55*100</f>
        <v>0</v>
      </c>
      <c r="K55" s="41">
        <f>(COUNTIFS(集計用!$N:$N, "*, "&amp;K$4&amp;", *",集計用!$G:$G,"*, "&amp;$C55&amp;", *", 集計用!$N:$N, "&lt;&gt;*英語を日常的に*"))/$B55*100</f>
        <v>0</v>
      </c>
      <c r="L55" s="41">
        <f>(COUNTIFS(集計用!$N:$N, "*, "&amp;L$4&amp;", *",集計用!$G:$G,"*, "&amp;$C55&amp;", *", 集計用!$N:$N, "&lt;&gt;*英語を日常的に*"))/$B55*100</f>
        <v>0</v>
      </c>
      <c r="M55" s="41">
        <f>(COUNTIFS(集計用!$N:$N, "*, "&amp;M$4&amp;", *",集計用!$G:$G,"*, "&amp;$C55&amp;", *", 集計用!$N:$N, "&lt;&gt;*英語を日常的に*"))/$B55*100</f>
        <v>0</v>
      </c>
      <c r="N55" s="41">
        <f>(COUNTIFS(集計用!$N:$N, "*, "&amp;N$4&amp;", *",集計用!$G:$G,"*, "&amp;$C55&amp;", *", 集計用!$N:$N, "&lt;&gt;*英語を日常的に*"))/$B55*100</f>
        <v>0</v>
      </c>
      <c r="O55" s="41">
        <f>(COUNTIFS(集計用!$N:$N, "*, "&amp;O$4&amp;", *",集計用!$G:$G,"*, "&amp;$C55&amp;", *", 集計用!$N:$N, "&lt;&gt;*英語を日常的に*"))/$B55*100</f>
        <v>0</v>
      </c>
      <c r="P55" s="41">
        <f>(COUNTIFS(集計用!$N:$N, "*, "&amp;P$4&amp;", *",集計用!$G:$G,"*, "&amp;$C55&amp;", *", 集計用!$N:$N, "&lt;&gt;*英語を日常的に*"))/$B55*100</f>
        <v>0</v>
      </c>
      <c r="Q55" s="41">
        <f>(COUNTIFS(集計用!$N:$N, "*, "&amp;Q$4&amp;", *",集計用!$G:$G,"*, "&amp;$C55&amp;", *", 集計用!$N:$N, "&lt;&gt;*英語を日常的に*"))/$B55*100</f>
        <v>0</v>
      </c>
      <c r="R55" s="41">
        <f>(COUNTIFS(集計用!$N:$N, "*, "&amp;R$4&amp;", *",集計用!$G:$G,"*, "&amp;$C55&amp;", *", 集計用!$N:$N, "&lt;&gt;*英語を日常的に*"))/$B55*100</f>
        <v>0</v>
      </c>
      <c r="S55" s="41">
        <f>(COUNTIFS(集計用!$N:$N, "*, "&amp;S$4&amp;", *",集計用!$G:$G,"*, "&amp;$C55&amp;", *", 集計用!$N:$N, "&lt;&gt;*英語を日常的に*"))/$B55*100</f>
        <v>0</v>
      </c>
      <c r="T55" s="41">
        <f>(COUNTIFS(集計用!$N:$N, "*, "&amp;T$4&amp;", *",集計用!$G:$G,"*, "&amp;$C55&amp;", *", 集計用!$N:$N, "&lt;&gt;*英語を日常的に*"))/$B55*100</f>
        <v>0</v>
      </c>
      <c r="U55" s="41">
        <f>(COUNTIFS(集計用!$N:$N, "*, "&amp;U$4&amp;", *",集計用!$G:$G,"*, "&amp;$C55&amp;", *", 集計用!$N:$N, "&lt;&gt;*英語を日常的に*"))/$B55*100</f>
        <v>0</v>
      </c>
      <c r="V55" s="41">
        <f>(COUNTIFS(集計用!$N:$N, "*, "&amp;V$4&amp;", *",集計用!$G:$G,"*, "&amp;$C55&amp;", *", 集計用!$N:$N, "&lt;&gt;*英語を日常的に*"))/$B55*100</f>
        <v>0</v>
      </c>
      <c r="W55" s="41">
        <f>(COUNTIFS(集計用!$N:$N, "*, "&amp;W$4&amp;", *",集計用!$G:$G,"*, "&amp;$C55&amp;", *", 集計用!$N:$N, "&lt;&gt;*英語を日常的に*"))/$B55*100</f>
        <v>0</v>
      </c>
      <c r="Y55" s="39"/>
    </row>
    <row r="56" spans="1:30" ht="14.25" customHeight="1">
      <c r="A56" s="39">
        <v>2</v>
      </c>
      <c r="B56" s="39">
        <f>(COUNTIFS(集計用!$G$2:$G$444,"*, "&amp;$C56&amp;",*",集計用!$N$2:$N$444,"&lt;&gt;*英語を日常的に*",集計用!$N$2:$N$444,"&lt;&gt;無回答, "))</f>
        <v>1</v>
      </c>
      <c r="C56" s="42" t="s">
        <v>48</v>
      </c>
      <c r="D56" s="41">
        <f>(COUNTIFS(集計用!$N:$N, "*, "&amp;D$4&amp;", *",集計用!$G:$G,"*, "&amp;$C56&amp;", *", 集計用!$N:$N, "&lt;&gt;*英語を日常的に*"))/$B56*100</f>
        <v>100</v>
      </c>
      <c r="E56" s="41">
        <f>(COUNTIFS(集計用!$N:$N, "*, "&amp;E$4&amp;", *",集計用!$G:$G,"*, "&amp;$C56&amp;", *", 集計用!$N:$N, "&lt;&gt;*英語を日常的に*"))/$B56*100</f>
        <v>0</v>
      </c>
      <c r="F56" s="41">
        <f>(COUNTIFS(集計用!$N:$N, "*, "&amp;F$4&amp;", *",集計用!$G:$G,"*, "&amp;$C56&amp;", *", 集計用!$N:$N, "&lt;&gt;*英語を日常的に*"))/$B56*100</f>
        <v>0</v>
      </c>
      <c r="G56" s="41">
        <f>(COUNTIFS(集計用!$N:$N, "*, "&amp;G$4&amp;", *",集計用!$G:$G,"*, "&amp;$C56&amp;", *", 集計用!$N:$N, "&lt;&gt;*英語を日常的に*"))/$B56*100</f>
        <v>0</v>
      </c>
      <c r="H56" s="41">
        <f>(COUNTIFS(集計用!$N:$N, "*, "&amp;H$4&amp;", *",集計用!$G:$G,"*, "&amp;$C56&amp;", *", 集計用!$N:$N, "&lt;&gt;*英語を日常的に*"))/$B56*100</f>
        <v>0</v>
      </c>
      <c r="I56" s="41">
        <f>(COUNTIFS(集計用!$N:$N, "*, "&amp;I$4&amp;", *",集計用!$G:$G,"*, "&amp;$C56&amp;", *", 集計用!$N:$N, "&lt;&gt;*英語を日常的に*"))/$B56*100</f>
        <v>0</v>
      </c>
      <c r="J56" s="41">
        <f>(COUNTIFS(集計用!$N:$N, "*, "&amp;J$4&amp;", *",集計用!$G:$G,"*, "&amp;$C56&amp;", *", 集計用!$N:$N, "&lt;&gt;*英語を日常的に*"))/$B56*100</f>
        <v>0</v>
      </c>
      <c r="K56" s="41">
        <f>(COUNTIFS(集計用!$N:$N, "*, "&amp;K$4&amp;", *",集計用!$G:$G,"*, "&amp;$C56&amp;", *", 集計用!$N:$N, "&lt;&gt;*英語を日常的に*"))/$B56*100</f>
        <v>0</v>
      </c>
      <c r="L56" s="41">
        <f>(COUNTIFS(集計用!$N:$N, "*, "&amp;L$4&amp;", *",集計用!$G:$G,"*, "&amp;$C56&amp;", *", 集計用!$N:$N, "&lt;&gt;*英語を日常的に*"))/$B56*100</f>
        <v>0</v>
      </c>
      <c r="M56" s="41">
        <f>(COUNTIFS(集計用!$N:$N, "*, "&amp;M$4&amp;", *",集計用!$G:$G,"*, "&amp;$C56&amp;", *", 集計用!$N:$N, "&lt;&gt;*英語を日常的に*"))/$B56*100</f>
        <v>0</v>
      </c>
      <c r="N56" s="41">
        <f>(COUNTIFS(集計用!$N:$N, "*, "&amp;N$4&amp;", *",集計用!$G:$G,"*, "&amp;$C56&amp;", *", 集計用!$N:$N, "&lt;&gt;*英語を日常的に*"))/$B56*100</f>
        <v>0</v>
      </c>
      <c r="O56" s="41">
        <f>(COUNTIFS(集計用!$N:$N, "*, "&amp;O$4&amp;", *",集計用!$G:$G,"*, "&amp;$C56&amp;", *", 集計用!$N:$N, "&lt;&gt;*英語を日常的に*"))/$B56*100</f>
        <v>0</v>
      </c>
      <c r="P56" s="41">
        <f>(COUNTIFS(集計用!$N:$N, "*, "&amp;P$4&amp;", *",集計用!$G:$G,"*, "&amp;$C56&amp;", *", 集計用!$N:$N, "&lt;&gt;*英語を日常的に*"))/$B56*100</f>
        <v>0</v>
      </c>
      <c r="Q56" s="41">
        <f>(COUNTIFS(集計用!$N:$N, "*, "&amp;Q$4&amp;", *",集計用!$G:$G,"*, "&amp;$C56&amp;", *", 集計用!$N:$N, "&lt;&gt;*英語を日常的に*"))/$B56*100</f>
        <v>0</v>
      </c>
      <c r="R56" s="41">
        <f>(COUNTIFS(集計用!$N:$N, "*, "&amp;R$4&amp;", *",集計用!$G:$G,"*, "&amp;$C56&amp;", *", 集計用!$N:$N, "&lt;&gt;*英語を日常的に*"))/$B56*100</f>
        <v>0</v>
      </c>
      <c r="S56" s="41">
        <f>(COUNTIFS(集計用!$N:$N, "*, "&amp;S$4&amp;", *",集計用!$G:$G,"*, "&amp;$C56&amp;", *", 集計用!$N:$N, "&lt;&gt;*英語を日常的に*"))/$B56*100</f>
        <v>0</v>
      </c>
      <c r="T56" s="41">
        <f>(COUNTIFS(集計用!$N:$N, "*, "&amp;T$4&amp;", *",集計用!$G:$G,"*, "&amp;$C56&amp;", *", 集計用!$N:$N, "&lt;&gt;*英語を日常的に*"))/$B56*100</f>
        <v>0</v>
      </c>
      <c r="U56" s="41">
        <f>(COUNTIFS(集計用!$N:$N, "*, "&amp;U$4&amp;", *",集計用!$G:$G,"*, "&amp;$C56&amp;", *", 集計用!$N:$N, "&lt;&gt;*英語を日常的に*"))/$B56*100</f>
        <v>0</v>
      </c>
      <c r="V56" s="41">
        <f>(COUNTIFS(集計用!$N:$N, "*, "&amp;V$4&amp;", *",集計用!$G:$G,"*, "&amp;$C56&amp;", *", 集計用!$N:$N, "&lt;&gt;*英語を日常的に*"))/$B56*100</f>
        <v>0</v>
      </c>
      <c r="W56" s="41">
        <f>(COUNTIFS(集計用!$N:$N, "*, "&amp;W$4&amp;", *",集計用!$G:$G,"*, "&amp;$C56&amp;", *", 集計用!$N:$N, "&lt;&gt;*英語を日常的に*"))/$B56*100</f>
        <v>0</v>
      </c>
      <c r="Y56" s="39"/>
    </row>
    <row r="57" spans="1:30" ht="14.25" customHeight="1">
      <c r="A57" s="39">
        <v>5</v>
      </c>
      <c r="B57" s="39">
        <f>(COUNTIFS(集計用!$G$2:$G$444,"*, "&amp;$C57&amp;",*",集計用!$N$2:$N$444,"&lt;&gt;*英語を日常的に*",集計用!$N$2:$N$444,"&lt;&gt;無回答, "))</f>
        <v>1</v>
      </c>
      <c r="C57" s="42" t="s">
        <v>45</v>
      </c>
      <c r="D57" s="41">
        <f>(COUNTIFS(集計用!$N:$N, "*, "&amp;D$4&amp;", *",集計用!$G:$G,"*, "&amp;$C57&amp;", *", 集計用!$N:$N, "&lt;&gt;*英語を日常的に*"))/$B57*100</f>
        <v>100</v>
      </c>
      <c r="E57" s="41">
        <f>(COUNTIFS(集計用!$N:$N, "*, "&amp;E$4&amp;", *",集計用!$G:$G,"*, "&amp;$C57&amp;", *", 集計用!$N:$N, "&lt;&gt;*英語を日常的に*"))/$B57*100</f>
        <v>0</v>
      </c>
      <c r="F57" s="41">
        <f>(COUNTIFS(集計用!$N:$N, "*, "&amp;F$4&amp;", *",集計用!$G:$G,"*, "&amp;$C57&amp;", *", 集計用!$N:$N, "&lt;&gt;*英語を日常的に*"))/$B57*100</f>
        <v>100</v>
      </c>
      <c r="G57" s="41">
        <f>(COUNTIFS(集計用!$N:$N, "*, "&amp;G$4&amp;", *",集計用!$G:$G,"*, "&amp;$C57&amp;", *", 集計用!$N:$N, "&lt;&gt;*英語を日常的に*"))/$B57*100</f>
        <v>0</v>
      </c>
      <c r="H57" s="41">
        <f>(COUNTIFS(集計用!$N:$N, "*, "&amp;H$4&amp;", *",集計用!$G:$G,"*, "&amp;$C57&amp;", *", 集計用!$N:$N, "&lt;&gt;*英語を日常的に*"))/$B57*100</f>
        <v>0</v>
      </c>
      <c r="I57" s="41">
        <f>(COUNTIFS(集計用!$N:$N, "*, "&amp;I$4&amp;", *",集計用!$G:$G,"*, "&amp;$C57&amp;", *", 集計用!$N:$N, "&lt;&gt;*英語を日常的に*"))/$B57*100</f>
        <v>0</v>
      </c>
      <c r="J57" s="41">
        <f>(COUNTIFS(集計用!$N:$N, "*, "&amp;J$4&amp;", *",集計用!$G:$G,"*, "&amp;$C57&amp;", *", 集計用!$N:$N, "&lt;&gt;*英語を日常的に*"))/$B57*100</f>
        <v>0</v>
      </c>
      <c r="K57" s="41">
        <f>(COUNTIFS(集計用!$N:$N, "*, "&amp;K$4&amp;", *",集計用!$G:$G,"*, "&amp;$C57&amp;", *", 集計用!$N:$N, "&lt;&gt;*英語を日常的に*"))/$B57*100</f>
        <v>0</v>
      </c>
      <c r="L57" s="41">
        <f>(COUNTIFS(集計用!$N:$N, "*, "&amp;L$4&amp;", *",集計用!$G:$G,"*, "&amp;$C57&amp;", *", 集計用!$N:$N, "&lt;&gt;*英語を日常的に*"))/$B57*100</f>
        <v>0</v>
      </c>
      <c r="M57" s="41">
        <f>(COUNTIFS(集計用!$N:$N, "*, "&amp;M$4&amp;", *",集計用!$G:$G,"*, "&amp;$C57&amp;", *", 集計用!$N:$N, "&lt;&gt;*英語を日常的に*"))/$B57*100</f>
        <v>0</v>
      </c>
      <c r="N57" s="41">
        <f>(COUNTIFS(集計用!$N:$N, "*, "&amp;N$4&amp;", *",集計用!$G:$G,"*, "&amp;$C57&amp;", *", 集計用!$N:$N, "&lt;&gt;*英語を日常的に*"))/$B57*100</f>
        <v>0</v>
      </c>
      <c r="O57" s="41">
        <f>(COUNTIFS(集計用!$N:$N, "*, "&amp;O$4&amp;", *",集計用!$G:$G,"*, "&amp;$C57&amp;", *", 集計用!$N:$N, "&lt;&gt;*英語を日常的に*"))/$B57*100</f>
        <v>0</v>
      </c>
      <c r="P57" s="41">
        <f>(COUNTIFS(集計用!$N:$N, "*, "&amp;P$4&amp;", *",集計用!$G:$G,"*, "&amp;$C57&amp;", *", 集計用!$N:$N, "&lt;&gt;*英語を日常的に*"))/$B57*100</f>
        <v>0</v>
      </c>
      <c r="Q57" s="41">
        <f>(COUNTIFS(集計用!$N:$N, "*, "&amp;Q$4&amp;", *",集計用!$G:$G,"*, "&amp;$C57&amp;", *", 集計用!$N:$N, "&lt;&gt;*英語を日常的に*"))/$B57*100</f>
        <v>0</v>
      </c>
      <c r="R57" s="41">
        <f>(COUNTIFS(集計用!$N:$N, "*, "&amp;R$4&amp;", *",集計用!$G:$G,"*, "&amp;$C57&amp;", *", 集計用!$N:$N, "&lt;&gt;*英語を日常的に*"))/$B57*100</f>
        <v>0</v>
      </c>
      <c r="S57" s="41">
        <f>(COUNTIFS(集計用!$N:$N, "*, "&amp;S$4&amp;", *",集計用!$G:$G,"*, "&amp;$C57&amp;", *", 集計用!$N:$N, "&lt;&gt;*英語を日常的に*"))/$B57*100</f>
        <v>0</v>
      </c>
      <c r="T57" s="41">
        <f>(COUNTIFS(集計用!$N:$N, "*, "&amp;T$4&amp;", *",集計用!$G:$G,"*, "&amp;$C57&amp;", *", 集計用!$N:$N, "&lt;&gt;*英語を日常的に*"))/$B57*100</f>
        <v>0</v>
      </c>
      <c r="U57" s="41">
        <f>(COUNTIFS(集計用!$N:$N, "*, "&amp;U$4&amp;", *",集計用!$G:$G,"*, "&amp;$C57&amp;", *", 集計用!$N:$N, "&lt;&gt;*英語を日常的に*"))/$B57*100</f>
        <v>0</v>
      </c>
      <c r="V57" s="41">
        <f>(COUNTIFS(集計用!$N:$N, "*, "&amp;V$4&amp;", *",集計用!$G:$G,"*, "&amp;$C57&amp;", *", 集計用!$N:$N, "&lt;&gt;*英語を日常的に*"))/$B57*100</f>
        <v>0</v>
      </c>
      <c r="W57" s="41">
        <f>(COUNTIFS(集計用!$N:$N, "*, "&amp;W$4&amp;", *",集計用!$G:$G,"*, "&amp;$C57&amp;", *", 集計用!$N:$N, "&lt;&gt;*英語を日常的に*"))/$B57*100</f>
        <v>0</v>
      </c>
      <c r="Y57" s="39"/>
    </row>
    <row r="58" spans="1:30" ht="14.25" customHeight="1">
      <c r="A58" s="39">
        <v>5</v>
      </c>
      <c r="B58" s="39">
        <f>(COUNTIFS(集計用!$G$2:$G$444,"*, "&amp;$C58&amp;",*",集計用!$N$2:$N$444,"&lt;&gt;*英語を日常的に*",集計用!$N$2:$N$444,"&lt;&gt;無回答, "))</f>
        <v>1</v>
      </c>
      <c r="C58" s="42" t="s">
        <v>49</v>
      </c>
      <c r="D58" s="41">
        <f>(COUNTIFS(集計用!$N:$N, "*, "&amp;D$4&amp;", *",集計用!$G:$G,"*, "&amp;$C58&amp;", *", 集計用!$N:$N, "&lt;&gt;*英語を日常的に*"))/$B58*100</f>
        <v>100</v>
      </c>
      <c r="E58" s="41">
        <f>(COUNTIFS(集計用!$N:$N, "*, "&amp;E$4&amp;", *",集計用!$G:$G,"*, "&amp;$C58&amp;", *", 集計用!$N:$N, "&lt;&gt;*英語を日常的に*"))/$B58*100</f>
        <v>0</v>
      </c>
      <c r="F58" s="41">
        <f>(COUNTIFS(集計用!$N:$N, "*, "&amp;F$4&amp;", *",集計用!$G:$G,"*, "&amp;$C58&amp;", *", 集計用!$N:$N, "&lt;&gt;*英語を日常的に*"))/$B58*100</f>
        <v>100</v>
      </c>
      <c r="G58" s="41">
        <f>(COUNTIFS(集計用!$N:$N, "*, "&amp;G$4&amp;", *",集計用!$G:$G,"*, "&amp;$C58&amp;", *", 集計用!$N:$N, "&lt;&gt;*英語を日常的に*"))/$B58*100</f>
        <v>0</v>
      </c>
      <c r="H58" s="41">
        <f>(COUNTIFS(集計用!$N:$N, "*, "&amp;H$4&amp;", *",集計用!$G:$G,"*, "&amp;$C58&amp;", *", 集計用!$N:$N, "&lt;&gt;*英語を日常的に*"))/$B58*100</f>
        <v>0</v>
      </c>
      <c r="I58" s="41">
        <f>(COUNTIFS(集計用!$N:$N, "*, "&amp;I$4&amp;", *",集計用!$G:$G,"*, "&amp;$C58&amp;", *", 集計用!$N:$N, "&lt;&gt;*英語を日常的に*"))/$B58*100</f>
        <v>0</v>
      </c>
      <c r="J58" s="41">
        <f>(COUNTIFS(集計用!$N:$N, "*, "&amp;J$4&amp;", *",集計用!$G:$G,"*, "&amp;$C58&amp;", *", 集計用!$N:$N, "&lt;&gt;*英語を日常的に*"))/$B58*100</f>
        <v>0</v>
      </c>
      <c r="K58" s="41">
        <f>(COUNTIFS(集計用!$N:$N, "*, "&amp;K$4&amp;", *",集計用!$G:$G,"*, "&amp;$C58&amp;", *", 集計用!$N:$N, "&lt;&gt;*英語を日常的に*"))/$B58*100</f>
        <v>0</v>
      </c>
      <c r="L58" s="41">
        <f>(COUNTIFS(集計用!$N:$N, "*, "&amp;L$4&amp;", *",集計用!$G:$G,"*, "&amp;$C58&amp;", *", 集計用!$N:$N, "&lt;&gt;*英語を日常的に*"))/$B58*100</f>
        <v>0</v>
      </c>
      <c r="M58" s="41">
        <f>(COUNTIFS(集計用!$N:$N, "*, "&amp;M$4&amp;", *",集計用!$G:$G,"*, "&amp;$C58&amp;", *", 集計用!$N:$N, "&lt;&gt;*英語を日常的に*"))/$B58*100</f>
        <v>0</v>
      </c>
      <c r="N58" s="41">
        <f>(COUNTIFS(集計用!$N:$N, "*, "&amp;N$4&amp;", *",集計用!$G:$G,"*, "&amp;$C58&amp;", *", 集計用!$N:$N, "&lt;&gt;*英語を日常的に*"))/$B58*100</f>
        <v>0</v>
      </c>
      <c r="O58" s="41">
        <f>(COUNTIFS(集計用!$N:$N, "*, "&amp;O$4&amp;", *",集計用!$G:$G,"*, "&amp;$C58&amp;", *", 集計用!$N:$N, "&lt;&gt;*英語を日常的に*"))/$B58*100</f>
        <v>0</v>
      </c>
      <c r="P58" s="41">
        <f>(COUNTIFS(集計用!$N:$N, "*, "&amp;P$4&amp;", *",集計用!$G:$G,"*, "&amp;$C58&amp;", *", 集計用!$N:$N, "&lt;&gt;*英語を日常的に*"))/$B58*100</f>
        <v>0</v>
      </c>
      <c r="Q58" s="41">
        <f>(COUNTIFS(集計用!$N:$N, "*, "&amp;Q$4&amp;", *",集計用!$G:$G,"*, "&amp;$C58&amp;", *", 集計用!$N:$N, "&lt;&gt;*英語を日常的に*"))/$B58*100</f>
        <v>0</v>
      </c>
      <c r="R58" s="41">
        <f>(COUNTIFS(集計用!$N:$N, "*, "&amp;R$4&amp;", *",集計用!$G:$G,"*, "&amp;$C58&amp;", *", 集計用!$N:$N, "&lt;&gt;*英語を日常的に*"))/$B58*100</f>
        <v>0</v>
      </c>
      <c r="S58" s="41">
        <f>(COUNTIFS(集計用!$N:$N, "*, "&amp;S$4&amp;", *",集計用!$G:$G,"*, "&amp;$C58&amp;", *", 集計用!$N:$N, "&lt;&gt;*英語を日常的に*"))/$B58*100</f>
        <v>0</v>
      </c>
      <c r="T58" s="41">
        <f>(COUNTIFS(集計用!$N:$N, "*, "&amp;T$4&amp;", *",集計用!$G:$G,"*, "&amp;$C58&amp;", *", 集計用!$N:$N, "&lt;&gt;*英語を日常的に*"))/$B58*100</f>
        <v>0</v>
      </c>
      <c r="U58" s="41">
        <f>(COUNTIFS(集計用!$N:$N, "*, "&amp;U$4&amp;", *",集計用!$G:$G,"*, "&amp;$C58&amp;", *", 集計用!$N:$N, "&lt;&gt;*英語を日常的に*"))/$B58*100</f>
        <v>0</v>
      </c>
      <c r="V58" s="41">
        <f>(COUNTIFS(集計用!$N:$N, "*, "&amp;V$4&amp;", *",集計用!$G:$G,"*, "&amp;$C58&amp;", *", 集計用!$N:$N, "&lt;&gt;*英語を日常的に*"))/$B58*100</f>
        <v>0</v>
      </c>
      <c r="W58" s="41">
        <f>(COUNTIFS(集計用!$N:$N, "*, "&amp;W$4&amp;", *",集計用!$G:$G,"*, "&amp;$C58&amp;", *", 集計用!$N:$N, "&lt;&gt;*英語を日常的に*"))/$B58*100</f>
        <v>0</v>
      </c>
      <c r="Y58" s="39"/>
    </row>
    <row r="59" spans="1:30" ht="14.25" customHeight="1">
      <c r="A59" s="39">
        <v>4</v>
      </c>
      <c r="B59" s="39">
        <f>(COUNTIFS(集計用!$G$2:$G$444,"*, "&amp;$C59&amp;",*",集計用!$N$2:$N$444,"&lt;&gt;*英語を日常的に*",集計用!$N$2:$N$444,"&lt;&gt;無回答, "))</f>
        <v>1</v>
      </c>
      <c r="C59" s="42" t="s">
        <v>51</v>
      </c>
      <c r="D59" s="41">
        <f>(COUNTIFS(集計用!$N:$N, "*, "&amp;D$4&amp;", *",集計用!$G:$G,"*, "&amp;$C59&amp;", *", 集計用!$N:$N, "&lt;&gt;*英語を日常的に*"))/$B59*100</f>
        <v>0</v>
      </c>
      <c r="E59" s="41">
        <f>(COUNTIFS(集計用!$N:$N, "*, "&amp;E$4&amp;", *",集計用!$G:$G,"*, "&amp;$C59&amp;", *", 集計用!$N:$N, "&lt;&gt;*英語を日常的に*"))/$B59*100</f>
        <v>0</v>
      </c>
      <c r="F59" s="41">
        <f>(COUNTIFS(集計用!$N:$N, "*, "&amp;F$4&amp;", *",集計用!$G:$G,"*, "&amp;$C59&amp;", *", 集計用!$N:$N, "&lt;&gt;*英語を日常的に*"))/$B59*100</f>
        <v>100</v>
      </c>
      <c r="G59" s="41">
        <f>(COUNTIFS(集計用!$N:$N, "*, "&amp;G$4&amp;", *",集計用!$G:$G,"*, "&amp;$C59&amp;", *", 集計用!$N:$N, "&lt;&gt;*英語を日常的に*"))/$B59*100</f>
        <v>0</v>
      </c>
      <c r="H59" s="41">
        <f>(COUNTIFS(集計用!$N:$N, "*, "&amp;H$4&amp;", *",集計用!$G:$G,"*, "&amp;$C59&amp;", *", 集計用!$N:$N, "&lt;&gt;*英語を日常的に*"))/$B59*100</f>
        <v>0</v>
      </c>
      <c r="I59" s="41">
        <f>(COUNTIFS(集計用!$N:$N, "*, "&amp;I$4&amp;", *",集計用!$G:$G,"*, "&amp;$C59&amp;", *", 集計用!$N:$N, "&lt;&gt;*英語を日常的に*"))/$B59*100</f>
        <v>0</v>
      </c>
      <c r="J59" s="41">
        <f>(COUNTIFS(集計用!$N:$N, "*, "&amp;J$4&amp;", *",集計用!$G:$G,"*, "&amp;$C59&amp;", *", 集計用!$N:$N, "&lt;&gt;*英語を日常的に*"))/$B59*100</f>
        <v>0</v>
      </c>
      <c r="K59" s="41">
        <f>(COUNTIFS(集計用!$N:$N, "*, "&amp;K$4&amp;", *",集計用!$G:$G,"*, "&amp;$C59&amp;", *", 集計用!$N:$N, "&lt;&gt;*英語を日常的に*"))/$B59*100</f>
        <v>0</v>
      </c>
      <c r="L59" s="41">
        <f>(COUNTIFS(集計用!$N:$N, "*, "&amp;L$4&amp;", *",集計用!$G:$G,"*, "&amp;$C59&amp;", *", 集計用!$N:$N, "&lt;&gt;*英語を日常的に*"))/$B59*100</f>
        <v>0</v>
      </c>
      <c r="M59" s="41">
        <f>(COUNTIFS(集計用!$N:$N, "*, "&amp;M$4&amp;", *",集計用!$G:$G,"*, "&amp;$C59&amp;", *", 集計用!$N:$N, "&lt;&gt;*英語を日常的に*"))/$B59*100</f>
        <v>0</v>
      </c>
      <c r="N59" s="41">
        <f>(COUNTIFS(集計用!$N:$N, "*, "&amp;N$4&amp;", *",集計用!$G:$G,"*, "&amp;$C59&amp;", *", 集計用!$N:$N, "&lt;&gt;*英語を日常的に*"))/$B59*100</f>
        <v>0</v>
      </c>
      <c r="O59" s="41">
        <f>(COUNTIFS(集計用!$N:$N, "*, "&amp;O$4&amp;", *",集計用!$G:$G,"*, "&amp;$C59&amp;", *", 集計用!$N:$N, "&lt;&gt;*英語を日常的に*"))/$B59*100</f>
        <v>0</v>
      </c>
      <c r="P59" s="41">
        <f>(COUNTIFS(集計用!$N:$N, "*, "&amp;P$4&amp;", *",集計用!$G:$G,"*, "&amp;$C59&amp;", *", 集計用!$N:$N, "&lt;&gt;*英語を日常的に*"))/$B59*100</f>
        <v>0</v>
      </c>
      <c r="Q59" s="41">
        <f>(COUNTIFS(集計用!$N:$N, "*, "&amp;Q$4&amp;", *",集計用!$G:$G,"*, "&amp;$C59&amp;", *", 集計用!$N:$N, "&lt;&gt;*英語を日常的に*"))/$B59*100</f>
        <v>0</v>
      </c>
      <c r="R59" s="41">
        <f>(COUNTIFS(集計用!$N:$N, "*, "&amp;R$4&amp;", *",集計用!$G:$G,"*, "&amp;$C59&amp;", *", 集計用!$N:$N, "&lt;&gt;*英語を日常的に*"))/$B59*100</f>
        <v>0</v>
      </c>
      <c r="S59" s="41">
        <f>(COUNTIFS(集計用!$N:$N, "*, "&amp;S$4&amp;", *",集計用!$G:$G,"*, "&amp;$C59&amp;", *", 集計用!$N:$N, "&lt;&gt;*英語を日常的に*"))/$B59*100</f>
        <v>0</v>
      </c>
      <c r="T59" s="41">
        <f>(COUNTIFS(集計用!$N:$N, "*, "&amp;T$4&amp;", *",集計用!$G:$G,"*, "&amp;$C59&amp;", *", 集計用!$N:$N, "&lt;&gt;*英語を日常的に*"))/$B59*100</f>
        <v>0</v>
      </c>
      <c r="U59" s="41">
        <f>(COUNTIFS(集計用!$N:$N, "*, "&amp;U$4&amp;", *",集計用!$G:$G,"*, "&amp;$C59&amp;", *", 集計用!$N:$N, "&lt;&gt;*英語を日常的に*"))/$B59*100</f>
        <v>0</v>
      </c>
      <c r="V59" s="41">
        <f>(COUNTIFS(集計用!$N:$N, "*, "&amp;V$4&amp;", *",集計用!$G:$G,"*, "&amp;$C59&amp;", *", 集計用!$N:$N, "&lt;&gt;*英語を日常的に*"))/$B59*100</f>
        <v>0</v>
      </c>
      <c r="W59" s="41">
        <f>(COUNTIFS(集計用!$N:$N, "*, "&amp;W$4&amp;", *",集計用!$G:$G,"*, "&amp;$C59&amp;", *", 集計用!$N:$N, "&lt;&gt;*英語を日常的に*"))/$B59*100</f>
        <v>0</v>
      </c>
      <c r="Y59" s="39"/>
    </row>
    <row r="60" spans="1:30" ht="12.75">
      <c r="A60" s="39" t="s">
        <v>2180</v>
      </c>
      <c r="B60" s="39">
        <f>(COUNTIFS(集計用!$G$2:$G$444,"*, "&amp;$C60&amp;",*",集計用!$N$2:$N$444,"&lt;&gt;*英語を日常的に*",集計用!$N$2:$N$444,"&lt;&gt;無回答, "))</f>
        <v>1</v>
      </c>
      <c r="C60" s="42" t="s">
        <v>53</v>
      </c>
      <c r="D60" s="41">
        <f>(COUNTIFS(集計用!$N:$N, "*, "&amp;D$4&amp;", *",集計用!$G:$G,"*, "&amp;$C60&amp;", *", 集計用!$N:$N, "&lt;&gt;*英語を日常的に*"))/$B60*100</f>
        <v>100</v>
      </c>
      <c r="E60" s="41">
        <f>(COUNTIFS(集計用!$N:$N, "*, "&amp;E$4&amp;", *",集計用!$G:$G,"*, "&amp;$C60&amp;", *", 集計用!$N:$N, "&lt;&gt;*英語を日常的に*"))/$B60*100</f>
        <v>0</v>
      </c>
      <c r="F60" s="41">
        <f>(COUNTIFS(集計用!$N:$N, "*, "&amp;F$4&amp;", *",集計用!$G:$G,"*, "&amp;$C60&amp;", *", 集計用!$N:$N, "&lt;&gt;*英語を日常的に*"))/$B60*100</f>
        <v>0</v>
      </c>
      <c r="G60" s="41">
        <f>(COUNTIFS(集計用!$N:$N, "*, "&amp;G$4&amp;", *",集計用!$G:$G,"*, "&amp;$C60&amp;", *", 集計用!$N:$N, "&lt;&gt;*英語を日常的に*"))/$B60*100</f>
        <v>0</v>
      </c>
      <c r="H60" s="41">
        <f>(COUNTIFS(集計用!$N:$N, "*, "&amp;H$4&amp;", *",集計用!$G:$G,"*, "&amp;$C60&amp;", *", 集計用!$N:$N, "&lt;&gt;*英語を日常的に*"))/$B60*100</f>
        <v>0</v>
      </c>
      <c r="I60" s="41">
        <f>(COUNTIFS(集計用!$N:$N, "*, "&amp;I$4&amp;", *",集計用!$G:$G,"*, "&amp;$C60&amp;", *", 集計用!$N:$N, "&lt;&gt;*英語を日常的に*"))/$B60*100</f>
        <v>100</v>
      </c>
      <c r="J60" s="41">
        <f>(COUNTIFS(集計用!$N:$N, "*, "&amp;J$4&amp;", *",集計用!$G:$G,"*, "&amp;$C60&amp;", *", 集計用!$N:$N, "&lt;&gt;*英語を日常的に*"))/$B60*100</f>
        <v>0</v>
      </c>
      <c r="K60" s="41">
        <f>(COUNTIFS(集計用!$N:$N, "*, "&amp;K$4&amp;", *",集計用!$G:$G,"*, "&amp;$C60&amp;", *", 集計用!$N:$N, "&lt;&gt;*英語を日常的に*"))/$B60*100</f>
        <v>0</v>
      </c>
      <c r="L60" s="41">
        <f>(COUNTIFS(集計用!$N:$N, "*, "&amp;L$4&amp;", *",集計用!$G:$G,"*, "&amp;$C60&amp;", *", 集計用!$N:$N, "&lt;&gt;*英語を日常的に*"))/$B60*100</f>
        <v>0</v>
      </c>
      <c r="M60" s="41">
        <f>(COUNTIFS(集計用!$N:$N, "*, "&amp;M$4&amp;", *",集計用!$G:$G,"*, "&amp;$C60&amp;", *", 集計用!$N:$N, "&lt;&gt;*英語を日常的に*"))/$B60*100</f>
        <v>0</v>
      </c>
      <c r="N60" s="41">
        <f>(COUNTIFS(集計用!$N:$N, "*, "&amp;N$4&amp;", *",集計用!$G:$G,"*, "&amp;$C60&amp;", *", 集計用!$N:$N, "&lt;&gt;*英語を日常的に*"))/$B60*100</f>
        <v>0</v>
      </c>
      <c r="O60" s="41">
        <f>(COUNTIFS(集計用!$N:$N, "*, "&amp;O$4&amp;", *",集計用!$G:$G,"*, "&amp;$C60&amp;", *", 集計用!$N:$N, "&lt;&gt;*英語を日常的に*"))/$B60*100</f>
        <v>0</v>
      </c>
      <c r="P60" s="41">
        <f>(COUNTIFS(集計用!$N:$N, "*, "&amp;P$4&amp;", *",集計用!$G:$G,"*, "&amp;$C60&amp;", *", 集計用!$N:$N, "&lt;&gt;*英語を日常的に*"))/$B60*100</f>
        <v>0</v>
      </c>
      <c r="Q60" s="41">
        <f>(COUNTIFS(集計用!$N:$N, "*, "&amp;Q$4&amp;", *",集計用!$G:$G,"*, "&amp;$C60&amp;", *", 集計用!$N:$N, "&lt;&gt;*英語を日常的に*"))/$B60*100</f>
        <v>0</v>
      </c>
      <c r="R60" s="41">
        <f>(COUNTIFS(集計用!$N:$N, "*, "&amp;R$4&amp;", *",集計用!$G:$G,"*, "&amp;$C60&amp;", *", 集計用!$N:$N, "&lt;&gt;*英語を日常的に*"))/$B60*100</f>
        <v>0</v>
      </c>
      <c r="S60" s="41">
        <f>(COUNTIFS(集計用!$N:$N, "*, "&amp;S$4&amp;", *",集計用!$G:$G,"*, "&amp;$C60&amp;", *", 集計用!$N:$N, "&lt;&gt;*英語を日常的に*"))/$B60*100</f>
        <v>0</v>
      </c>
      <c r="T60" s="41">
        <f>(COUNTIFS(集計用!$N:$N, "*, "&amp;T$4&amp;", *",集計用!$G:$G,"*, "&amp;$C60&amp;", *", 集計用!$N:$N, "&lt;&gt;*英語を日常的に*"))/$B60*100</f>
        <v>0</v>
      </c>
      <c r="U60" s="41">
        <f>(COUNTIFS(集計用!$N:$N, "*, "&amp;U$4&amp;", *",集計用!$G:$G,"*, "&amp;$C60&amp;", *", 集計用!$N:$N, "&lt;&gt;*英語を日常的に*"))/$B60*100</f>
        <v>0</v>
      </c>
      <c r="V60" s="41">
        <f>(COUNTIFS(集計用!$N:$N, "*, "&amp;V$4&amp;", *",集計用!$G:$G,"*, "&amp;$C60&amp;", *", 集計用!$N:$N, "&lt;&gt;*英語を日常的に*"))/$B60*100</f>
        <v>0</v>
      </c>
      <c r="W60" s="41">
        <f>(COUNTIFS(集計用!$N:$N, "*, "&amp;W$4&amp;", *",集計用!$G:$G,"*, "&amp;$C60&amp;", *", 集計用!$N:$N, "&lt;&gt;*英語を日常的に*"))/$B60*100</f>
        <v>0</v>
      </c>
      <c r="Y60" s="39"/>
    </row>
    <row r="61" spans="1:30" ht="14.25" customHeight="1">
      <c r="A61" s="39" t="s">
        <v>2180</v>
      </c>
      <c r="B61" s="39">
        <f>(COUNTIFS(集計用!$G$2:$G$444,"*, "&amp;$C61&amp;",*",集計用!$N$2:$N$444,"&lt;&gt;*英語を日常的に*",集計用!$N$2:$N$444,"&lt;&gt;無回答, "))</f>
        <v>0</v>
      </c>
      <c r="C61" s="42" t="s">
        <v>56</v>
      </c>
      <c r="D61" s="41" t="e">
        <f>(COUNTIFS(集計用!$N:$N, "*, "&amp;D$4&amp;", *",集計用!$G:$G,"*, "&amp;$C61&amp;", *", 集計用!$N:$N, "&lt;&gt;*英語を日常的に*"))/$B61*100</f>
        <v>#DIV/0!</v>
      </c>
      <c r="E61" s="41" t="e">
        <f>(COUNTIFS(集計用!$N:$N, "*, "&amp;E$4&amp;", *",集計用!$G:$G,"*, "&amp;$C61&amp;", *", 集計用!$N:$N, "&lt;&gt;*英語を日常的に*"))/$B61*100</f>
        <v>#DIV/0!</v>
      </c>
      <c r="F61" s="41" t="e">
        <f>(COUNTIFS(集計用!$N:$N, "*, "&amp;F$4&amp;", *",集計用!$G:$G,"*, "&amp;$C61&amp;", *", 集計用!$N:$N, "&lt;&gt;*英語を日常的に*"))/$B61*100</f>
        <v>#DIV/0!</v>
      </c>
      <c r="G61" s="41" t="e">
        <f>(COUNTIFS(集計用!$N:$N, "*, "&amp;G$4&amp;", *",集計用!$G:$G,"*, "&amp;$C61&amp;", *", 集計用!$N:$N, "&lt;&gt;*英語を日常的に*"))/$B61*100</f>
        <v>#DIV/0!</v>
      </c>
      <c r="H61" s="41" t="e">
        <f>(COUNTIFS(集計用!$N:$N, "*, "&amp;H$4&amp;", *",集計用!$G:$G,"*, "&amp;$C61&amp;", *", 集計用!$N:$N, "&lt;&gt;*英語を日常的に*"))/$B61*100</f>
        <v>#DIV/0!</v>
      </c>
      <c r="I61" s="41" t="e">
        <f>(COUNTIFS(集計用!$N:$N, "*, "&amp;I$4&amp;", *",集計用!$G:$G,"*, "&amp;$C61&amp;", *", 集計用!$N:$N, "&lt;&gt;*英語を日常的に*"))/$B61*100</f>
        <v>#DIV/0!</v>
      </c>
      <c r="J61" s="41" t="e">
        <f>(COUNTIFS(集計用!$N:$N, "*, "&amp;J$4&amp;", *",集計用!$G:$G,"*, "&amp;$C61&amp;", *", 集計用!$N:$N, "&lt;&gt;*英語を日常的に*"))/$B61*100</f>
        <v>#DIV/0!</v>
      </c>
      <c r="K61" s="41" t="e">
        <f>(COUNTIFS(集計用!$N:$N, "*, "&amp;K$4&amp;", *",集計用!$G:$G,"*, "&amp;$C61&amp;", *", 集計用!$N:$N, "&lt;&gt;*英語を日常的に*"))/$B61*100</f>
        <v>#DIV/0!</v>
      </c>
      <c r="L61" s="41" t="e">
        <f>(COUNTIFS(集計用!$N:$N, "*, "&amp;L$4&amp;", *",集計用!$G:$G,"*, "&amp;$C61&amp;", *", 集計用!$N:$N, "&lt;&gt;*英語を日常的に*"))/$B61*100</f>
        <v>#DIV/0!</v>
      </c>
      <c r="M61" s="41" t="e">
        <f>(COUNTIFS(集計用!$N:$N, "*, "&amp;M$4&amp;", *",集計用!$G:$G,"*, "&amp;$C61&amp;", *", 集計用!$N:$N, "&lt;&gt;*英語を日常的に*"))/$B61*100</f>
        <v>#DIV/0!</v>
      </c>
      <c r="N61" s="41" t="e">
        <f>(COUNTIFS(集計用!$N:$N, "*, "&amp;N$4&amp;", *",集計用!$G:$G,"*, "&amp;$C61&amp;", *", 集計用!$N:$N, "&lt;&gt;*英語を日常的に*"))/$B61*100</f>
        <v>#DIV/0!</v>
      </c>
      <c r="O61" s="41" t="e">
        <f>(COUNTIFS(集計用!$N:$N, "*, "&amp;O$4&amp;", *",集計用!$G:$G,"*, "&amp;$C61&amp;", *", 集計用!$N:$N, "&lt;&gt;*英語を日常的に*"))/$B61*100</f>
        <v>#DIV/0!</v>
      </c>
      <c r="P61" s="41" t="e">
        <f>(COUNTIFS(集計用!$N:$N, "*, "&amp;P$4&amp;", *",集計用!$G:$G,"*, "&amp;$C61&amp;", *", 集計用!$N:$N, "&lt;&gt;*英語を日常的に*"))/$B61*100</f>
        <v>#DIV/0!</v>
      </c>
      <c r="Q61" s="41" t="e">
        <f>(COUNTIFS(集計用!$N:$N, "*, "&amp;Q$4&amp;", *",集計用!$G:$G,"*, "&amp;$C61&amp;", *", 集計用!$N:$N, "&lt;&gt;*英語を日常的に*"))/$B61*100</f>
        <v>#DIV/0!</v>
      </c>
      <c r="R61" s="41" t="e">
        <f>(COUNTIFS(集計用!$N:$N, "*, "&amp;R$4&amp;", *",集計用!$G:$G,"*, "&amp;$C61&amp;", *", 集計用!$N:$N, "&lt;&gt;*英語を日常的に*"))/$B61*100</f>
        <v>#DIV/0!</v>
      </c>
      <c r="S61" s="41" t="e">
        <f>(COUNTIFS(集計用!$N:$N, "*, "&amp;S$4&amp;", *",集計用!$G:$G,"*, "&amp;$C61&amp;", *", 集計用!$N:$N, "&lt;&gt;*英語を日常的に*"))/$B61*100</f>
        <v>#DIV/0!</v>
      </c>
      <c r="T61" s="41" t="e">
        <f>(COUNTIFS(集計用!$N:$N, "*, "&amp;T$4&amp;", *",集計用!$G:$G,"*, "&amp;$C61&amp;", *", 集計用!$N:$N, "&lt;&gt;*英語を日常的に*"))/$B61*100</f>
        <v>#DIV/0!</v>
      </c>
      <c r="U61" s="41" t="e">
        <f>(COUNTIFS(集計用!$N:$N, "*, "&amp;U$4&amp;", *",集計用!$G:$G,"*, "&amp;$C61&amp;", *", 集計用!$N:$N, "&lt;&gt;*英語を日常的に*"))/$B61*100</f>
        <v>#DIV/0!</v>
      </c>
      <c r="V61" s="41" t="e">
        <f>(COUNTIFS(集計用!$N:$N, "*, "&amp;V$4&amp;", *",集計用!$G:$G,"*, "&amp;$C61&amp;", *", 集計用!$N:$N, "&lt;&gt;*英語を日常的に*"))/$B61*100</f>
        <v>#DIV/0!</v>
      </c>
      <c r="W61" s="41" t="e">
        <f>(COUNTIFS(集計用!$N:$N, "*, "&amp;W$4&amp;", *",集計用!$G:$G,"*, "&amp;$C61&amp;", *", 集計用!$N:$N, "&lt;&gt;*英語を日常的に*"))/$B61*100</f>
        <v>#DIV/0!</v>
      </c>
      <c r="Y61" s="39"/>
    </row>
    <row r="62" spans="1:30" ht="14.25" customHeight="1">
      <c r="A62" s="39" t="s">
        <v>2180</v>
      </c>
      <c r="B62" s="39">
        <f>(COUNTIFS(集計用!$G$2:$G$444,"*, "&amp;$C62&amp;",*",集計用!$N$2:$N$444,"&lt;&gt;*英語を日常的に*",集計用!$N$2:$N$444,"&lt;&gt;無回答, "))</f>
        <v>0</v>
      </c>
      <c r="C62" s="42" t="s">
        <v>55</v>
      </c>
      <c r="D62" s="41" t="e">
        <f>(COUNTIFS(集計用!$N:$N, "*, "&amp;D$4&amp;", *",集計用!$G:$G,"*, "&amp;$C62&amp;", *", 集計用!$N:$N, "&lt;&gt;*英語を日常的に*"))/$B62*100</f>
        <v>#DIV/0!</v>
      </c>
      <c r="E62" s="41" t="e">
        <f>(COUNTIFS(集計用!$N:$N, "*, "&amp;E$4&amp;", *",集計用!$G:$G,"*, "&amp;$C62&amp;", *", 集計用!$N:$N, "&lt;&gt;*英語を日常的に*"))/$B62*100</f>
        <v>#DIV/0!</v>
      </c>
      <c r="F62" s="41" t="e">
        <f>(COUNTIFS(集計用!$N:$N, "*, "&amp;F$4&amp;", *",集計用!$G:$G,"*, "&amp;$C62&amp;", *", 集計用!$N:$N, "&lt;&gt;*英語を日常的に*"))/$B62*100</f>
        <v>#DIV/0!</v>
      </c>
      <c r="G62" s="41" t="e">
        <f>(COUNTIFS(集計用!$N:$N, "*, "&amp;G$4&amp;", *",集計用!$G:$G,"*, "&amp;$C62&amp;", *", 集計用!$N:$N, "&lt;&gt;*英語を日常的に*"))/$B62*100</f>
        <v>#DIV/0!</v>
      </c>
      <c r="H62" s="41" t="e">
        <f>(COUNTIFS(集計用!$N:$N, "*, "&amp;H$4&amp;", *",集計用!$G:$G,"*, "&amp;$C62&amp;", *", 集計用!$N:$N, "&lt;&gt;*英語を日常的に*"))/$B62*100</f>
        <v>#DIV/0!</v>
      </c>
      <c r="I62" s="41" t="e">
        <f>(COUNTIFS(集計用!$N:$N, "*, "&amp;I$4&amp;", *",集計用!$G:$G,"*, "&amp;$C62&amp;", *", 集計用!$N:$N, "&lt;&gt;*英語を日常的に*"))/$B62*100</f>
        <v>#DIV/0!</v>
      </c>
      <c r="J62" s="41" t="e">
        <f>(COUNTIFS(集計用!$N:$N, "*, "&amp;J$4&amp;", *",集計用!$G:$G,"*, "&amp;$C62&amp;", *", 集計用!$N:$N, "&lt;&gt;*英語を日常的に*"))/$B62*100</f>
        <v>#DIV/0!</v>
      </c>
      <c r="K62" s="41" t="e">
        <f>(COUNTIFS(集計用!$N:$N, "*, "&amp;K$4&amp;", *",集計用!$G:$G,"*, "&amp;$C62&amp;", *", 集計用!$N:$N, "&lt;&gt;*英語を日常的に*"))/$B62*100</f>
        <v>#DIV/0!</v>
      </c>
      <c r="L62" s="41" t="e">
        <f>(COUNTIFS(集計用!$N:$N, "*, "&amp;L$4&amp;", *",集計用!$G:$G,"*, "&amp;$C62&amp;", *", 集計用!$N:$N, "&lt;&gt;*英語を日常的に*"))/$B62*100</f>
        <v>#DIV/0!</v>
      </c>
      <c r="M62" s="41" t="e">
        <f>(COUNTIFS(集計用!$N:$N, "*, "&amp;M$4&amp;", *",集計用!$G:$G,"*, "&amp;$C62&amp;", *", 集計用!$N:$N, "&lt;&gt;*英語を日常的に*"))/$B62*100</f>
        <v>#DIV/0!</v>
      </c>
      <c r="N62" s="41" t="e">
        <f>(COUNTIFS(集計用!$N:$N, "*, "&amp;N$4&amp;", *",集計用!$G:$G,"*, "&amp;$C62&amp;", *", 集計用!$N:$N, "&lt;&gt;*英語を日常的に*"))/$B62*100</f>
        <v>#DIV/0!</v>
      </c>
      <c r="O62" s="41" t="e">
        <f>(COUNTIFS(集計用!$N:$N, "*, "&amp;O$4&amp;", *",集計用!$G:$G,"*, "&amp;$C62&amp;", *", 集計用!$N:$N, "&lt;&gt;*英語を日常的に*"))/$B62*100</f>
        <v>#DIV/0!</v>
      </c>
      <c r="P62" s="41" t="e">
        <f>(COUNTIFS(集計用!$N:$N, "*, "&amp;P$4&amp;", *",集計用!$G:$G,"*, "&amp;$C62&amp;", *", 集計用!$N:$N, "&lt;&gt;*英語を日常的に*"))/$B62*100</f>
        <v>#DIV/0!</v>
      </c>
      <c r="Q62" s="41" t="e">
        <f>(COUNTIFS(集計用!$N:$N, "*, "&amp;Q$4&amp;", *",集計用!$G:$G,"*, "&amp;$C62&amp;", *", 集計用!$N:$N, "&lt;&gt;*英語を日常的に*"))/$B62*100</f>
        <v>#DIV/0!</v>
      </c>
      <c r="R62" s="41" t="e">
        <f>(COUNTIFS(集計用!$N:$N, "*, "&amp;R$4&amp;", *",集計用!$G:$G,"*, "&amp;$C62&amp;", *", 集計用!$N:$N, "&lt;&gt;*英語を日常的に*"))/$B62*100</f>
        <v>#DIV/0!</v>
      </c>
      <c r="S62" s="41" t="e">
        <f>(COUNTIFS(集計用!$N:$N, "*, "&amp;S$4&amp;", *",集計用!$G:$G,"*, "&amp;$C62&amp;", *", 集計用!$N:$N, "&lt;&gt;*英語を日常的に*"))/$B62*100</f>
        <v>#DIV/0!</v>
      </c>
      <c r="T62" s="41" t="e">
        <f>(COUNTIFS(集計用!$N:$N, "*, "&amp;T$4&amp;", *",集計用!$G:$G,"*, "&amp;$C62&amp;", *", 集計用!$N:$N, "&lt;&gt;*英語を日常的に*"))/$B62*100</f>
        <v>#DIV/0!</v>
      </c>
      <c r="U62" s="41" t="e">
        <f>(COUNTIFS(集計用!$N:$N, "*, "&amp;U$4&amp;", *",集計用!$G:$G,"*, "&amp;$C62&amp;", *", 集計用!$N:$N, "&lt;&gt;*英語を日常的に*"))/$B62*100</f>
        <v>#DIV/0!</v>
      </c>
      <c r="V62" s="41" t="e">
        <f>(COUNTIFS(集計用!$N:$N, "*, "&amp;V$4&amp;", *",集計用!$G:$G,"*, "&amp;$C62&amp;", *", 集計用!$N:$N, "&lt;&gt;*英語を日常的に*"))/$B62*100</f>
        <v>#DIV/0!</v>
      </c>
      <c r="W62" s="41" t="e">
        <f>(COUNTIFS(集計用!$N:$N, "*, "&amp;W$4&amp;", *",集計用!$G:$G,"*, "&amp;$C62&amp;", *", 集計用!$N:$N, "&lt;&gt;*英語を日常的に*"))/$B62*100</f>
        <v>#DIV/0!</v>
      </c>
      <c r="Y62" s="39"/>
    </row>
    <row r="63" spans="1:30" ht="14.25" customHeight="1">
      <c r="C63" s="43"/>
      <c r="D63" s="44"/>
      <c r="E63" s="44"/>
      <c r="F63" s="44"/>
      <c r="G63" s="44"/>
      <c r="H63" s="44"/>
      <c r="I63" s="44"/>
      <c r="J63" s="44"/>
      <c r="K63" s="44"/>
      <c r="L63" s="44"/>
      <c r="AD63" s="44"/>
    </row>
    <row r="64" spans="1:30" ht="12.75">
      <c r="C64" s="43"/>
      <c r="D64" s="44"/>
      <c r="E64" s="44"/>
      <c r="F64" s="44"/>
      <c r="G64" s="44"/>
      <c r="H64" s="44"/>
      <c r="I64" s="44"/>
      <c r="J64" s="44"/>
      <c r="K64" s="44"/>
      <c r="L64" s="44"/>
      <c r="AD64" s="44"/>
    </row>
    <row r="65" spans="3:30" ht="15.75" customHeight="1">
      <c r="C65" s="43"/>
      <c r="D65" s="44"/>
      <c r="E65" s="44"/>
      <c r="F65" s="44"/>
      <c r="G65" s="44"/>
      <c r="H65" s="44"/>
      <c r="I65" s="44"/>
      <c r="J65" s="44"/>
      <c r="K65" s="44"/>
      <c r="L65" s="44"/>
      <c r="AD65" s="44"/>
    </row>
    <row r="66" spans="3:30" ht="15.75" customHeight="1">
      <c r="C66" s="43"/>
      <c r="D66" s="44"/>
      <c r="E66" s="44"/>
      <c r="F66" s="44"/>
      <c r="G66" s="44"/>
      <c r="H66" s="44"/>
      <c r="I66" s="44"/>
      <c r="J66" s="44"/>
      <c r="K66" s="44"/>
      <c r="L66" s="44"/>
      <c r="AD66" s="44"/>
    </row>
    <row r="67" spans="3:30" ht="15.75" customHeight="1">
      <c r="C67" s="43"/>
      <c r="D67" s="44"/>
      <c r="E67" s="44"/>
      <c r="F67" s="44"/>
      <c r="G67" s="44"/>
      <c r="H67" s="44"/>
      <c r="I67" s="44"/>
      <c r="J67" s="44"/>
      <c r="K67" s="44"/>
      <c r="L67" s="44"/>
      <c r="AD67" s="44"/>
    </row>
    <row r="68" spans="3:30" ht="15.75" customHeight="1">
      <c r="C68" s="43"/>
      <c r="D68" s="44"/>
      <c r="E68" s="44"/>
      <c r="F68" s="44"/>
      <c r="G68" s="44"/>
      <c r="H68" s="44"/>
      <c r="I68" s="44"/>
      <c r="J68" s="44"/>
      <c r="K68" s="44"/>
      <c r="L68" s="44"/>
      <c r="AD68" s="44"/>
    </row>
  </sheetData>
  <phoneticPr fontId="8"/>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9AFD1-ED9B-4B99-A55B-41A9A5B2C1EB}">
  <sheetPr>
    <outlinePr summaryBelow="0" summaryRight="0"/>
  </sheetPr>
  <dimension ref="A1:R27"/>
  <sheetViews>
    <sheetView tabSelected="1" zoomScaleNormal="100" workbookViewId="0">
      <selection activeCell="B6" sqref="B6:I13"/>
    </sheetView>
  </sheetViews>
  <sheetFormatPr defaultColWidth="12.5703125" defaultRowHeight="15.75" customHeight="1"/>
  <cols>
    <col min="1" max="1" width="12.5703125" style="39"/>
    <col min="2" max="2" width="26.7109375" style="39" customWidth="1"/>
    <col min="3" max="3" width="23.5703125" style="39" customWidth="1"/>
    <col min="4" max="8" width="13.7109375" style="39" bestFit="1" customWidth="1"/>
    <col min="9" max="9" width="12.5703125" style="39"/>
    <col min="10" max="10" width="13.7109375" style="39" bestFit="1" customWidth="1"/>
    <col min="11" max="11" width="25.140625" style="39" bestFit="1" customWidth="1"/>
    <col min="12" max="12" width="13.7109375" style="39" bestFit="1" customWidth="1"/>
    <col min="14" max="16384" width="12.5703125" style="39"/>
  </cols>
  <sheetData>
    <row r="1" spans="1:18" ht="15.75" customHeight="1">
      <c r="A1" s="38" t="s">
        <v>2431</v>
      </c>
      <c r="M1" s="39"/>
    </row>
    <row r="2" spans="1:18" ht="15.75" customHeight="1">
      <c r="A2" s="38"/>
      <c r="K2" s="124"/>
      <c r="M2" s="39"/>
    </row>
    <row r="3" spans="1:18" ht="13.5" customHeight="1">
      <c r="B3" s="39" t="s">
        <v>2261</v>
      </c>
      <c r="C3" s="39">
        <f>(COUNTIFS(集計用!$N:$N, "&lt;&gt;無回答, ",集計用!$N:$N, "&lt;&gt;*英語を日常的に*", 集計用!$K:$K, "*, "&amp;C$4&amp;",*" ))</f>
        <v>120</v>
      </c>
      <c r="D3" s="39">
        <f>(COUNTIFS(集計用!$N:$N, "&lt;&gt;無回答, ",集計用!$N:$N, "&lt;&gt;*英語を日常的に*", 集計用!$K:$K, "*, "&amp;D$4&amp;",*" ))</f>
        <v>40</v>
      </c>
      <c r="E3" s="39">
        <f>(COUNTIFS(集計用!$N:$N, "&lt;&gt;無回答, ",集計用!$N:$N, "&lt;&gt;*英語を日常的に*", 集計用!$K:$K, "*, "&amp;E$4&amp;",*" ))</f>
        <v>28</v>
      </c>
      <c r="F3" s="39">
        <f>(COUNTIFS(集計用!$N:$N, "&lt;&gt;無回答, ",集計用!$N:$N, "&lt;&gt;*英語を日常的に*", 集計用!$K:$K, "*, "&amp;F$4&amp;",*" ))</f>
        <v>26</v>
      </c>
      <c r="G3" s="39">
        <f>(COUNTIFS(集計用!$N:$N, "&lt;&gt;無回答, ",集計用!$N:$N, "&lt;&gt;*英語を日常的に*", 集計用!$K:$K, "*, "&amp;G$4&amp;",*" ))</f>
        <v>25</v>
      </c>
      <c r="H3" s="39">
        <f>(COUNTIFS(集計用!$N:$N, "&lt;&gt;無回答, ",集計用!$N:$N, "&lt;&gt;*英語を日常的に*", 集計用!$K:$K, "*, "&amp;H$4&amp;",*" ))</f>
        <v>25</v>
      </c>
      <c r="I3" s="39">
        <f>(COUNTIFS(集計用!$N:$N, "&lt;&gt;無回答, ",集計用!$N:$N, "&lt;&gt;*英語を日常的に*", 集計用!$K:$K, "*, "&amp;I$4&amp;",*" ))</f>
        <v>16</v>
      </c>
      <c r="J3" s="39">
        <f>(COUNTIFS(集計用!$N:$N, "&lt;&gt;無回答, ",集計用!$N:$N, "&lt;&gt;*英語を日常的に*", 集計用!$K:$K, "*, "&amp;J$4&amp;",*" ))</f>
        <v>5</v>
      </c>
      <c r="K3" s="39">
        <f>(COUNTIFS(集計用!$N:$N, "&lt;&gt;無回答, ",集計用!$N:$N, "&lt;&gt;*英語を日常的に*", 集計用!$K:$K, "*, "&amp;K$4&amp;",*" ))</f>
        <v>2</v>
      </c>
      <c r="L3" s="39">
        <f>(COUNTIFS(集計用!$N:$N, "&lt;&gt;無回答, ",集計用!$N:$N, "&lt;&gt;*英語を日常的に*", 集計用!$K:$K, "*, "&amp;L$4&amp;",*" ))</f>
        <v>1</v>
      </c>
      <c r="M3" s="39">
        <f>(COUNTIFS(集計用!$N:$N, "&lt;&gt;無回答, ",集計用!$N:$N, "&lt;&gt;*英語を日常的に*", 集計用!$K:$K, "*, "&amp;M$4&amp;",*" ))</f>
        <v>1</v>
      </c>
      <c r="N3"/>
      <c r="O3"/>
    </row>
    <row r="4" spans="1:18" ht="14.25">
      <c r="A4" s="104" t="s">
        <v>2179</v>
      </c>
      <c r="B4" s="54" t="s">
        <v>2439</v>
      </c>
      <c r="C4" s="65" t="s">
        <v>139</v>
      </c>
      <c r="D4" s="65" t="s">
        <v>140</v>
      </c>
      <c r="E4" s="65" t="s">
        <v>107</v>
      </c>
      <c r="F4" s="65" t="s">
        <v>141</v>
      </c>
      <c r="G4" s="65" t="s">
        <v>142</v>
      </c>
      <c r="H4" s="65" t="s">
        <v>121</v>
      </c>
      <c r="I4" s="65" t="s">
        <v>124</v>
      </c>
      <c r="J4" s="65" t="s">
        <v>143</v>
      </c>
      <c r="K4" s="67" t="s">
        <v>145</v>
      </c>
      <c r="L4" s="66" t="s">
        <v>144</v>
      </c>
      <c r="M4" s="69" t="s">
        <v>104</v>
      </c>
      <c r="N4"/>
      <c r="O4"/>
      <c r="P4" s="45"/>
      <c r="Q4" s="45"/>
      <c r="R4" s="45"/>
    </row>
    <row r="5" spans="1:18" ht="14.25" customHeight="1">
      <c r="A5" s="39">
        <f>(COUNTIFS(集計用!$N2:$N444,"&lt;&gt;*英語を日常的に*",集計用!$N2:$N444,"&lt;&gt;無回答, ",集計用!$K2:$K444,"&lt;&gt;無回答 , "))</f>
        <v>138</v>
      </c>
      <c r="B5" s="42" t="s">
        <v>2249</v>
      </c>
      <c r="C5" s="41">
        <f>(COUNTIFS(集計用!$N:$N, "&lt;&gt;無回答, ",集計用!$N:$N, "&lt;&gt;*英語を日常的に*", 集計用!$K:$K, "*, "&amp;C$4&amp;",*" ))/$A5*100</f>
        <v>86.956521739130437</v>
      </c>
      <c r="D5" s="41">
        <f>(COUNTIFS(集計用!$N:$N, "&lt;&gt;無回答, ",集計用!$N:$N, "&lt;&gt;*英語を日常的に*", 集計用!$K:$K, "*, "&amp;D$4&amp;",*" ))/$A5*100</f>
        <v>28.985507246376812</v>
      </c>
      <c r="E5" s="41">
        <f>(COUNTIFS(集計用!$N:$N, "&lt;&gt;無回答, ",集計用!$N:$N, "&lt;&gt;*英語を日常的に*", 集計用!$K:$K, "*, "&amp;E$4&amp;",*" ))/$A5*100</f>
        <v>20.289855072463769</v>
      </c>
      <c r="F5" s="41">
        <f>(COUNTIFS(集計用!$N:$N, "&lt;&gt;無回答, ",集計用!$N:$N, "&lt;&gt;*英語を日常的に*", 集計用!$K:$K, "*, "&amp;F$4&amp;",*" ))/$A5*100</f>
        <v>18.840579710144929</v>
      </c>
      <c r="G5" s="41">
        <f>(COUNTIFS(集計用!$N:$N, "&lt;&gt;無回答, ",集計用!$N:$N, "&lt;&gt;*英語を日常的に*", 集計用!$K:$K, "*, "&amp;G$4&amp;",*" ))/$A5*100</f>
        <v>18.115942028985508</v>
      </c>
      <c r="H5" s="41">
        <f>(COUNTIFS(集計用!$N:$N, "&lt;&gt;無回答, ",集計用!$N:$N, "&lt;&gt;*英語を日常的に*", 集計用!$K:$K, "*, "&amp;H$4&amp;",*" ))/$A5*100</f>
        <v>18.115942028985508</v>
      </c>
      <c r="I5" s="41">
        <f>(COUNTIFS(集計用!$N:$N, "&lt;&gt;無回答, ",集計用!$N:$N, "&lt;&gt;*英語を日常的に*", 集計用!$K:$K, "*, "&amp;I$4&amp;",*" ))/$A5*100</f>
        <v>11.594202898550725</v>
      </c>
      <c r="J5" s="41">
        <f>(COUNTIFS(集計用!$N:$N, "&lt;&gt;無回答, ",集計用!$N:$N, "&lt;&gt;*英語を日常的に*", 集計用!$K:$K, "*, "&amp;J$4&amp;",*" ))/$A5*100</f>
        <v>3.6231884057971016</v>
      </c>
      <c r="K5" s="41">
        <f>(COUNTIFS(集計用!$N:$N, "&lt;&gt;無回答, ",集計用!$N:$N, "&lt;&gt;*英語を日常的に*", 集計用!$K:$K, "*, "&amp;K$4&amp;",*" ))/$A5*100</f>
        <v>1.4492753623188406</v>
      </c>
      <c r="L5" s="41">
        <f>(COUNTIFS(集計用!$N:$N, "&lt;&gt;無回答, ",集計用!$N:$N, "&lt;&gt;*英語を日常的に*", 集計用!$K:$K, "*, "&amp;L$4&amp;",*" ))/$A5*100</f>
        <v>0.72463768115942029</v>
      </c>
      <c r="M5" s="41">
        <f>(COUNTIFS(集計用!$N:$N, "&lt;&gt;無回答, ",集計用!$N:$N, "&lt;&gt;*英語を日常的に*", 集計用!$K:$K, "*, "&amp;M$4&amp;",*" ))/$A5*100</f>
        <v>0.72463768115942029</v>
      </c>
      <c r="N5"/>
      <c r="O5"/>
      <c r="P5" s="56"/>
      <c r="Q5" s="56"/>
    </row>
    <row r="6" spans="1:18" ht="12.75">
      <c r="A6" s="39">
        <f>(COUNTIFS(集計用!$N:$N,"*, "&amp;B6&amp;",*", 集計用!$N:$N,"&lt;&gt;*英語を日常的に*", 集計用!$K:$K,"&lt;&gt;無回答 , "))</f>
        <v>65</v>
      </c>
      <c r="B6" s="90" t="s">
        <v>153</v>
      </c>
      <c r="C6" s="44">
        <f>(COUNTIFS(集計用!$N:$N,"*, "&amp;$B6&amp;",*",集計用!$N:$N, "&lt;&gt;*英語を日常的に*", 集計用!$K:$K, "*, "&amp;C$4&amp;",*" ))/$A6*100</f>
        <v>95.384615384615387</v>
      </c>
      <c r="D6" s="44">
        <f>(COUNTIFS(集計用!$N:$N,"*, "&amp;$B6&amp;",*",集計用!$N:$N, "&lt;&gt;*英語を日常的に*", 集計用!$K:$K, "*, "&amp;D$4&amp;",*" ))/$A6*100</f>
        <v>30.76923076923077</v>
      </c>
      <c r="E6" s="44">
        <f>(COUNTIFS(集計用!$N:$N,"*, "&amp;$B6&amp;",*",集計用!$N:$N, "&lt;&gt;*英語を日常的に*", 集計用!$K:$K, "*, "&amp;E$4&amp;",*" ))/$A6*100</f>
        <v>13.846153846153847</v>
      </c>
      <c r="F6" s="44">
        <f>(COUNTIFS(集計用!$N:$N,"*, "&amp;$B6&amp;",*",集計用!$N:$N, "&lt;&gt;*英語を日常的に*", 集計用!$K:$K, "*, "&amp;F$4&amp;",*" ))/$A6*100</f>
        <v>16.923076923076923</v>
      </c>
      <c r="G6" s="44">
        <f>(COUNTIFS(集計用!$N:$N,"*, "&amp;$B6&amp;",*",集計用!$N:$N, "&lt;&gt;*英語を日常的に*", 集計用!$K:$K, "*, "&amp;G$4&amp;",*" ))/$A6*100</f>
        <v>24.615384615384617</v>
      </c>
      <c r="H6" s="44">
        <f>(COUNTIFS(集計用!$N:$N,"*, "&amp;$B6&amp;",*",集計用!$N:$N, "&lt;&gt;*英語を日常的に*", 集計用!$K:$K, "*, "&amp;H$4&amp;",*" ))/$A6*100</f>
        <v>15.384615384615385</v>
      </c>
      <c r="I6" s="44">
        <f>(COUNTIFS(集計用!$N:$N,"*, "&amp;$B6&amp;",*",集計用!$N:$N, "&lt;&gt;*英語を日常的に*", 集計用!$K:$K, "*, "&amp;I$4&amp;",*" ))/$A6*100</f>
        <v>9.2307692307692317</v>
      </c>
      <c r="J6" s="44">
        <f>(COUNTIFS(集計用!$N:$N,"*, "&amp;$B6&amp;",*",集計用!$N:$N, "&lt;&gt;*英語を日常的に*", 集計用!$K:$K, "*, "&amp;J$4&amp;",*" ))/$A6*100</f>
        <v>4.6153846153846159</v>
      </c>
      <c r="K6" s="44">
        <f>(COUNTIFS(集計用!$N:$N,"*, "&amp;$B6&amp;",*",集計用!$N:$N, "&lt;&gt;*英語を日常的に*", 集計用!$K:$K, "*, "&amp;K$4&amp;",*" ))/$A6*100</f>
        <v>1.5384615384615385</v>
      </c>
      <c r="L6" s="44">
        <f>(COUNTIFS(集計用!$N:$N,"*, "&amp;$B6&amp;",*",集計用!$N:$N, "&lt;&gt;*英語を日常的に*", 集計用!$K:$K, "*, "&amp;L$4&amp;",*" ))/$A6*100</f>
        <v>0</v>
      </c>
      <c r="M6" s="44">
        <f>(COUNTIFS(集計用!$N:$N,"*, "&amp;$B6&amp;",*",集計用!$N:$N, "&lt;&gt;*英語を日常的に*", 集計用!$K:$K, "*, "&amp;M$4&amp;",*" ))/$A6*100</f>
        <v>0</v>
      </c>
      <c r="N6"/>
      <c r="O6"/>
      <c r="P6" s="56"/>
      <c r="Q6" s="56"/>
    </row>
    <row r="7" spans="1:18" ht="15.75" customHeight="1">
      <c r="A7" s="39">
        <f>(COUNTIFS(集計用!$N:$N,"*, "&amp;B7&amp;",*", 集計用!$N:$N,"&lt;&gt;*英語を日常的に*", 集計用!$K:$K,"&lt;&gt;無回答 , "))</f>
        <v>46</v>
      </c>
      <c r="B7" s="90" t="s">
        <v>154</v>
      </c>
      <c r="C7" s="44">
        <f>(COUNTIFS(集計用!$N:$N,"*, "&amp;$B7&amp;",*",集計用!$N:$N, "&lt;&gt;*英語を日常的に*", 集計用!$K:$K, "*, "&amp;C$4&amp;",*" ))/$A7*100</f>
        <v>89.130434782608688</v>
      </c>
      <c r="D7" s="44">
        <f>(COUNTIFS(集計用!$N:$N,"*, "&amp;$B7&amp;",*",集計用!$N:$N, "&lt;&gt;*英語を日常的に*", 集計用!$K:$K, "*, "&amp;D$4&amp;",*" ))/$A7*100</f>
        <v>30.434782608695656</v>
      </c>
      <c r="E7" s="44">
        <f>(COUNTIFS(集計用!$N:$N,"*, "&amp;$B7&amp;",*",集計用!$N:$N, "&lt;&gt;*英語を日常的に*", 集計用!$K:$K, "*, "&amp;E$4&amp;",*" ))/$A7*100</f>
        <v>8.695652173913043</v>
      </c>
      <c r="F7" s="44">
        <f>(COUNTIFS(集計用!$N:$N,"*, "&amp;$B7&amp;",*",集計用!$N:$N, "&lt;&gt;*英語を日常的に*", 集計用!$K:$K, "*, "&amp;F$4&amp;",*" ))/$A7*100</f>
        <v>15.217391304347828</v>
      </c>
      <c r="G7" s="44">
        <f>(COUNTIFS(集計用!$N:$N,"*, "&amp;$B7&amp;",*",集計用!$N:$N, "&lt;&gt;*英語を日常的に*", 集計用!$K:$K, "*, "&amp;G$4&amp;",*" ))/$A7*100</f>
        <v>21.739130434782609</v>
      </c>
      <c r="H7" s="44">
        <f>(COUNTIFS(集計用!$N:$N,"*, "&amp;$B7&amp;",*",集計用!$N:$N, "&lt;&gt;*英語を日常的に*", 集計用!$K:$K, "*, "&amp;H$4&amp;",*" ))/$A7*100</f>
        <v>19.565217391304348</v>
      </c>
      <c r="I7" s="44">
        <f>(COUNTIFS(集計用!$N:$N,"*, "&amp;$B7&amp;",*",集計用!$N:$N, "&lt;&gt;*英語を日常的に*", 集計用!$K:$K, "*, "&amp;I$4&amp;",*" ))/$A7*100</f>
        <v>13.043478260869565</v>
      </c>
      <c r="J7" s="44">
        <f>(COUNTIFS(集計用!$N:$N,"*, "&amp;$B7&amp;",*",集計用!$N:$N, "&lt;&gt;*英語を日常的に*", 集計用!$K:$K, "*, "&amp;J$4&amp;",*" ))/$A7*100</f>
        <v>6.5217391304347823</v>
      </c>
      <c r="K7" s="44">
        <f>(COUNTIFS(集計用!$N:$N,"*, "&amp;$B7&amp;",*",集計用!$N:$N, "&lt;&gt;*英語を日常的に*", 集計用!$K:$K, "*, "&amp;K$4&amp;",*" ))/$A7*100</f>
        <v>2.1739130434782608</v>
      </c>
      <c r="L7" s="44">
        <f>(COUNTIFS(集計用!$N:$N,"*, "&amp;$B7&amp;",*",集計用!$N:$N, "&lt;&gt;*英語を日常的に*", 集計用!$K:$K, "*, "&amp;L$4&amp;",*" ))/$A7*100</f>
        <v>2.1739130434782608</v>
      </c>
      <c r="M7" s="44">
        <f>(COUNTIFS(集計用!$N:$N,"*, "&amp;$B7&amp;",*",集計用!$N:$N, "&lt;&gt;*英語を日常的に*", 集計用!$K:$K, "*, "&amp;M$4&amp;",*" ))/$A7*100</f>
        <v>0</v>
      </c>
      <c r="N7"/>
      <c r="O7"/>
      <c r="P7" s="56"/>
      <c r="Q7" s="56"/>
    </row>
    <row r="8" spans="1:18" ht="15.75" customHeight="1">
      <c r="A8" s="39">
        <f>(COUNTIFS(集計用!$N:$N,"*, "&amp;B8&amp;",*", 集計用!$N:$N,"&lt;&gt;*英語を日常的に*", 集計用!$K:$K,"&lt;&gt;無回答 , "))</f>
        <v>43</v>
      </c>
      <c r="B8" s="90" t="s">
        <v>140</v>
      </c>
      <c r="C8" s="44">
        <f>(COUNTIFS(集計用!$N:$N,"*, "&amp;$B8&amp;",*",集計用!$N:$N, "&lt;&gt;*英語を日常的に*", 集計用!$K:$K, "*, "&amp;C$4&amp;",*" ))/$A8*100</f>
        <v>88.372093023255815</v>
      </c>
      <c r="D8" s="44">
        <f>(COUNTIFS(集計用!$N:$N,"*, "&amp;$B8&amp;",*",集計用!$N:$N, "&lt;&gt;*英語を日常的に*", 集計用!$K:$K, "*, "&amp;D$4&amp;",*" ))/$A8*100</f>
        <v>51.162790697674424</v>
      </c>
      <c r="E8" s="44">
        <f>(COUNTIFS(集計用!$N:$N,"*, "&amp;$B8&amp;",*",集計用!$N:$N, "&lt;&gt;*英語を日常的に*", 集計用!$K:$K, "*, "&amp;E$4&amp;",*" ))/$A8*100</f>
        <v>20.930232558139537</v>
      </c>
      <c r="F8" s="44">
        <f>(COUNTIFS(集計用!$N:$N,"*, "&amp;$B8&amp;",*",集計用!$N:$N, "&lt;&gt;*英語を日常的に*", 集計用!$K:$K, "*, "&amp;F$4&amp;",*" ))/$A8*100</f>
        <v>27.906976744186046</v>
      </c>
      <c r="G8" s="44">
        <f>(COUNTIFS(集計用!$N:$N,"*, "&amp;$B8&amp;",*",集計用!$N:$N, "&lt;&gt;*英語を日常的に*", 集計用!$K:$K, "*, "&amp;G$4&amp;",*" ))/$A8*100</f>
        <v>23.255813953488371</v>
      </c>
      <c r="H8" s="44">
        <f>(COUNTIFS(集計用!$N:$N,"*, "&amp;$B8&amp;",*",集計用!$N:$N, "&lt;&gt;*英語を日常的に*", 集計用!$K:$K, "*, "&amp;H$4&amp;",*" ))/$A8*100</f>
        <v>6.9767441860465116</v>
      </c>
      <c r="I8" s="44">
        <f>(COUNTIFS(集計用!$N:$N,"*, "&amp;$B8&amp;",*",集計用!$N:$N, "&lt;&gt;*英語を日常的に*", 集計用!$K:$K, "*, "&amp;I$4&amp;",*" ))/$A8*100</f>
        <v>6.9767441860465116</v>
      </c>
      <c r="J8" s="44">
        <f>(COUNTIFS(集計用!$N:$N,"*, "&amp;$B8&amp;",*",集計用!$N:$N, "&lt;&gt;*英語を日常的に*", 集計用!$K:$K, "*, "&amp;J$4&amp;",*" ))/$A8*100</f>
        <v>4.6511627906976747</v>
      </c>
      <c r="K8" s="44">
        <f>(COUNTIFS(集計用!$N:$N,"*, "&amp;$B8&amp;",*",集計用!$N:$N, "&lt;&gt;*英語を日常的に*", 集計用!$K:$K, "*, "&amp;K$4&amp;",*" ))/$A8*100</f>
        <v>0</v>
      </c>
      <c r="L8" s="44">
        <f>(COUNTIFS(集計用!$N:$N,"*, "&amp;$B8&amp;",*",集計用!$N:$N, "&lt;&gt;*英語を日常的に*", 集計用!$K:$K, "*, "&amp;L$4&amp;",*" ))/$A8*100</f>
        <v>0</v>
      </c>
      <c r="M8" s="44">
        <f>(COUNTIFS(集計用!$N:$N,"*, "&amp;$B8&amp;",*",集計用!$N:$N, "&lt;&gt;*英語を日常的に*", 集計用!$K:$K, "*, "&amp;M$4&amp;",*" ))/$A8*100</f>
        <v>0</v>
      </c>
      <c r="N8"/>
      <c r="O8"/>
      <c r="P8" s="56"/>
      <c r="Q8" s="56"/>
    </row>
    <row r="9" spans="1:18" ht="15.75" customHeight="1">
      <c r="A9" s="39">
        <f>(COUNTIFS(集計用!$N:$N,"*, "&amp;B9&amp;",*", 集計用!$N:$N,"&lt;&gt;*英語を日常的に*", 集計用!$K:$K,"&lt;&gt;無回答 , "))</f>
        <v>21</v>
      </c>
      <c r="B9" s="90" t="s">
        <v>121</v>
      </c>
      <c r="C9" s="44">
        <f>(COUNTIFS(集計用!$N:$N,"*, "&amp;$B9&amp;",*",集計用!$N:$N, "&lt;&gt;*英語を日常的に*", 集計用!$K:$K, "*, "&amp;C$4&amp;",*" ))/$A9*100</f>
        <v>90.476190476190482</v>
      </c>
      <c r="D9" s="44">
        <f>(COUNTIFS(集計用!$N:$N,"*, "&amp;$B9&amp;",*",集計用!$N:$N, "&lt;&gt;*英語を日常的に*", 集計用!$K:$K, "*, "&amp;D$4&amp;",*" ))/$A9*100</f>
        <v>23.809523809523807</v>
      </c>
      <c r="E9" s="44">
        <f>(COUNTIFS(集計用!$N:$N,"*, "&amp;$B9&amp;",*",集計用!$N:$N, "&lt;&gt;*英語を日常的に*", 集計用!$K:$K, "*, "&amp;E$4&amp;",*" ))/$A9*100</f>
        <v>33.333333333333329</v>
      </c>
      <c r="F9" s="44">
        <f>(COUNTIFS(集計用!$N:$N,"*, "&amp;$B9&amp;",*",集計用!$N:$N, "&lt;&gt;*英語を日常的に*", 集計用!$K:$K, "*, "&amp;F$4&amp;",*" ))/$A9*100</f>
        <v>28.571428571428569</v>
      </c>
      <c r="G9" s="44">
        <f>(COUNTIFS(集計用!$N:$N,"*, "&amp;$B9&amp;",*",集計用!$N:$N, "&lt;&gt;*英語を日常的に*", 集計用!$K:$K, "*, "&amp;G$4&amp;",*" ))/$A9*100</f>
        <v>28.571428571428569</v>
      </c>
      <c r="H9" s="44">
        <f>(COUNTIFS(集計用!$N:$N,"*, "&amp;$B9&amp;",*",集計用!$N:$N, "&lt;&gt;*英語を日常的に*", 集計用!$K:$K, "*, "&amp;H$4&amp;",*" ))/$A9*100</f>
        <v>61.904761904761905</v>
      </c>
      <c r="I9" s="44">
        <f>(COUNTIFS(集計用!$N:$N,"*, "&amp;$B9&amp;",*",集計用!$N:$N, "&lt;&gt;*英語を日常的に*", 集計用!$K:$K, "*, "&amp;I$4&amp;",*" ))/$A9*100</f>
        <v>38.095238095238095</v>
      </c>
      <c r="J9" s="44">
        <f>(COUNTIFS(集計用!$N:$N,"*, "&amp;$B9&amp;",*",集計用!$N:$N, "&lt;&gt;*英語を日常的に*", 集計用!$K:$K, "*, "&amp;J$4&amp;",*" ))/$A9*100</f>
        <v>4.7619047619047619</v>
      </c>
      <c r="K9" s="44">
        <f>(COUNTIFS(集計用!$N:$N,"*, "&amp;$B9&amp;",*",集計用!$N:$N, "&lt;&gt;*英語を日常的に*", 集計用!$K:$K, "*, "&amp;K$4&amp;",*" ))/$A9*100</f>
        <v>0</v>
      </c>
      <c r="L9" s="44">
        <f>(COUNTIFS(集計用!$N:$N,"*, "&amp;$B9&amp;",*",集計用!$N:$N, "&lt;&gt;*英語を日常的に*", 集計用!$K:$K, "*, "&amp;L$4&amp;",*" ))/$A9*100</f>
        <v>0</v>
      </c>
      <c r="M9" s="44">
        <f>(COUNTIFS(集計用!$N:$N,"*, "&amp;$B9&amp;",*",集計用!$N:$N, "&lt;&gt;*英語を日常的に*", 集計用!$K:$K, "*, "&amp;M$4&amp;",*" ))/$A9*100</f>
        <v>0</v>
      </c>
      <c r="N9"/>
      <c r="O9"/>
      <c r="P9" s="56"/>
      <c r="Q9" s="56"/>
    </row>
    <row r="10" spans="1:18" ht="15.75" customHeight="1">
      <c r="A10" s="39">
        <f>(COUNTIFS(集計用!$N:$N,"*, "&amp;B10&amp;",*", 集計用!$N:$N,"&lt;&gt;*英語を日常的に*", 集計用!$K:$K,"&lt;&gt;無回答 , "))</f>
        <v>19</v>
      </c>
      <c r="B10" s="90" t="s">
        <v>107</v>
      </c>
      <c r="C10" s="44">
        <f>(COUNTIFS(集計用!$N:$N,"*, "&amp;$B10&amp;",*",集計用!$N:$N, "&lt;&gt;*英語を日常的に*", 集計用!$K:$K, "*, "&amp;C$4&amp;",*" ))/$A10*100</f>
        <v>84.210526315789465</v>
      </c>
      <c r="D10" s="44">
        <f>(COUNTIFS(集計用!$N:$N,"*, "&amp;$B10&amp;",*",集計用!$N:$N, "&lt;&gt;*英語を日常的に*", 集計用!$K:$K, "*, "&amp;D$4&amp;",*" ))/$A10*100</f>
        <v>36.84210526315789</v>
      </c>
      <c r="E10" s="44">
        <f>(COUNTIFS(集計用!$N:$N,"*, "&amp;$B10&amp;",*",集計用!$N:$N, "&lt;&gt;*英語を日常的に*", 集計用!$K:$K, "*, "&amp;E$4&amp;",*" ))/$A10*100</f>
        <v>73.68421052631578</v>
      </c>
      <c r="F10" s="44">
        <f>(COUNTIFS(集計用!$N:$N,"*, "&amp;$B10&amp;",*",集計用!$N:$N, "&lt;&gt;*英語を日常的に*", 集計用!$K:$K, "*, "&amp;F$4&amp;",*" ))/$A10*100</f>
        <v>21.052631578947366</v>
      </c>
      <c r="G10" s="44">
        <f>(COUNTIFS(集計用!$N:$N,"*, "&amp;$B10&amp;",*",集計用!$N:$N, "&lt;&gt;*英語を日常的に*", 集計用!$K:$K, "*, "&amp;G$4&amp;",*" ))/$A10*100</f>
        <v>31.578947368421051</v>
      </c>
      <c r="H10" s="44">
        <f>(COUNTIFS(集計用!$N:$N,"*, "&amp;$B10&amp;",*",集計用!$N:$N, "&lt;&gt;*英語を日常的に*", 集計用!$K:$K, "*, "&amp;H$4&amp;",*" ))/$A10*100</f>
        <v>21.052631578947366</v>
      </c>
      <c r="I10" s="44">
        <f>(COUNTIFS(集計用!$N:$N,"*, "&amp;$B10&amp;",*",集計用!$N:$N, "&lt;&gt;*英語を日常的に*", 集計用!$K:$K, "*, "&amp;I$4&amp;",*" ))/$A10*100</f>
        <v>26.315789473684209</v>
      </c>
      <c r="J10" s="44">
        <f>(COUNTIFS(集計用!$N:$N,"*, "&amp;$B10&amp;",*",集計用!$N:$N, "&lt;&gt;*英語を日常的に*", 集計用!$K:$K, "*, "&amp;J$4&amp;",*" ))/$A10*100</f>
        <v>10.526315789473683</v>
      </c>
      <c r="K10" s="44">
        <f>(COUNTIFS(集計用!$N:$N,"*, "&amp;$B10&amp;",*",集計用!$N:$N, "&lt;&gt;*英語を日常的に*", 集計用!$K:$K, "*, "&amp;K$4&amp;",*" ))/$A10*100</f>
        <v>0</v>
      </c>
      <c r="L10" s="44">
        <f>(COUNTIFS(集計用!$N:$N,"*, "&amp;$B10&amp;",*",集計用!$N:$N, "&lt;&gt;*英語を日常的に*", 集計用!$K:$K, "*, "&amp;L$4&amp;",*" ))/$A10*100</f>
        <v>0</v>
      </c>
      <c r="M10" s="44">
        <f>(COUNTIFS(集計用!$N:$N,"*, "&amp;$B10&amp;",*",集計用!$N:$N, "&lt;&gt;*英語を日常的に*", 集計用!$K:$K, "*, "&amp;M$4&amp;",*" ))/$A10*100</f>
        <v>0</v>
      </c>
      <c r="N10"/>
      <c r="O10"/>
      <c r="P10" s="56"/>
      <c r="Q10" s="56"/>
    </row>
    <row r="11" spans="1:18" ht="15.75" customHeight="1">
      <c r="A11" s="39">
        <f>(COUNTIFS(集計用!$N:$N,"*, "&amp;B11&amp;",*", 集計用!$N:$N,"&lt;&gt;*英語を日常的に*", 集計用!$K:$K,"&lt;&gt;無回答 , "))</f>
        <v>15</v>
      </c>
      <c r="B11" s="91" t="s">
        <v>155</v>
      </c>
      <c r="C11" s="44">
        <f>(COUNTIFS(集計用!$N:$N,"*, "&amp;$B11&amp;",*",集計用!$N:$N, "&lt;&gt;*英語を日常的に*", 集計用!$K:$K, "*, "&amp;C$4&amp;",*" ))/$A11*100</f>
        <v>80</v>
      </c>
      <c r="D11" s="44">
        <f>(COUNTIFS(集計用!$N:$N,"*, "&amp;$B11&amp;",*",集計用!$N:$N, "&lt;&gt;*英語を日常的に*", 集計用!$K:$K, "*, "&amp;D$4&amp;",*" ))/$A11*100</f>
        <v>40</v>
      </c>
      <c r="E11" s="44">
        <f>(COUNTIFS(集計用!$N:$N,"*, "&amp;$B11&amp;",*",集計用!$N:$N, "&lt;&gt;*英語を日常的に*", 集計用!$K:$K, "*, "&amp;E$4&amp;",*" ))/$A11*100</f>
        <v>20</v>
      </c>
      <c r="F11" s="44">
        <f>(COUNTIFS(集計用!$N:$N,"*, "&amp;$B11&amp;",*",集計用!$N:$N, "&lt;&gt;*英語を日常的に*", 集計用!$K:$K, "*, "&amp;F$4&amp;",*" ))/$A11*100</f>
        <v>33.333333333333329</v>
      </c>
      <c r="G11" s="44">
        <f>(COUNTIFS(集計用!$N:$N,"*, "&amp;$B11&amp;",*",集計用!$N:$N, "&lt;&gt;*英語を日常的に*", 集計用!$K:$K, "*, "&amp;G$4&amp;",*" ))/$A11*100</f>
        <v>6.666666666666667</v>
      </c>
      <c r="H11" s="44">
        <f>(COUNTIFS(集計用!$N:$N,"*, "&amp;$B11&amp;",*",集計用!$N:$N, "&lt;&gt;*英語を日常的に*", 集計用!$K:$K, "*, "&amp;H$4&amp;",*" ))/$A11*100</f>
        <v>13.333333333333334</v>
      </c>
      <c r="I11" s="44">
        <f>(COUNTIFS(集計用!$N:$N,"*, "&amp;$B11&amp;",*",集計用!$N:$N, "&lt;&gt;*英語を日常的に*", 集計用!$K:$K, "*, "&amp;I$4&amp;",*" ))/$A11*100</f>
        <v>13.333333333333334</v>
      </c>
      <c r="J11" s="44">
        <f>(COUNTIFS(集計用!$N:$N,"*, "&amp;$B11&amp;",*",集計用!$N:$N, "&lt;&gt;*英語を日常的に*", 集計用!$K:$K, "*, "&amp;J$4&amp;",*" ))/$A11*100</f>
        <v>0</v>
      </c>
      <c r="K11" s="44">
        <f>(COUNTIFS(集計用!$N:$N,"*, "&amp;$B11&amp;",*",集計用!$N:$N, "&lt;&gt;*英語を日常的に*", 集計用!$K:$K, "*, "&amp;K$4&amp;",*" ))/$A11*100</f>
        <v>0</v>
      </c>
      <c r="L11" s="44">
        <f>(COUNTIFS(集計用!$N:$N,"*, "&amp;$B11&amp;",*",集計用!$N:$N, "&lt;&gt;*英語を日常的に*", 集計用!$K:$K, "*, "&amp;L$4&amp;",*" ))/$A11*100</f>
        <v>0</v>
      </c>
      <c r="M11" s="44">
        <f>(COUNTIFS(集計用!$N:$N,"*, "&amp;$B11&amp;",*",集計用!$N:$N, "&lt;&gt;*英語を日常的に*", 集計用!$K:$K, "*, "&amp;M$4&amp;",*" ))/$A11*100</f>
        <v>0</v>
      </c>
      <c r="N11"/>
      <c r="O11"/>
      <c r="P11" s="56"/>
      <c r="Q11" s="56"/>
    </row>
    <row r="12" spans="1:18" ht="15.75" customHeight="1">
      <c r="A12" s="39">
        <f>(COUNTIFS(集計用!$N:$N,"*, "&amp;B12&amp;",*", 集計用!$N:$N,"&lt;&gt;*英語を日常的に*", 集計用!$K:$K,"&lt;&gt;無回答 , "))</f>
        <v>8</v>
      </c>
      <c r="B12" s="90" t="s">
        <v>156</v>
      </c>
      <c r="C12" s="44">
        <f>(COUNTIFS(集計用!$N:$N,"*, "&amp;$B12&amp;",*",集計用!$N:$N, "&lt;&gt;*英語を日常的に*", 集計用!$K:$K, "*, "&amp;C$4&amp;",*" ))/$A12*100</f>
        <v>75</v>
      </c>
      <c r="D12" s="44">
        <f>(COUNTIFS(集計用!$N:$N,"*, "&amp;$B12&amp;",*",集計用!$N:$N, "&lt;&gt;*英語を日常的に*", 集計用!$K:$K, "*, "&amp;D$4&amp;",*" ))/$A12*100</f>
        <v>25</v>
      </c>
      <c r="E12" s="44">
        <f>(COUNTIFS(集計用!$N:$N,"*, "&amp;$B12&amp;",*",集計用!$N:$N, "&lt;&gt;*英語を日常的に*", 集計用!$K:$K, "*, "&amp;E$4&amp;",*" ))/$A12*100</f>
        <v>50</v>
      </c>
      <c r="F12" s="44">
        <f>(COUNTIFS(集計用!$N:$N,"*, "&amp;$B12&amp;",*",集計用!$N:$N, "&lt;&gt;*英語を日常的に*", 集計用!$K:$K, "*, "&amp;F$4&amp;",*" ))/$A12*100</f>
        <v>12.5</v>
      </c>
      <c r="G12" s="44">
        <f>(COUNTIFS(集計用!$N:$N,"*, "&amp;$B12&amp;",*",集計用!$N:$N, "&lt;&gt;*英語を日常的に*", 集計用!$K:$K, "*, "&amp;G$4&amp;",*" ))/$A12*100</f>
        <v>50</v>
      </c>
      <c r="H12" s="44">
        <f>(COUNTIFS(集計用!$N:$N,"*, "&amp;$B12&amp;",*",集計用!$N:$N, "&lt;&gt;*英語を日常的に*", 集計用!$K:$K, "*, "&amp;H$4&amp;",*" ))/$A12*100</f>
        <v>12.5</v>
      </c>
      <c r="I12" s="44">
        <f>(COUNTIFS(集計用!$N:$N,"*, "&amp;$B12&amp;",*",集計用!$N:$N, "&lt;&gt;*英語を日常的に*", 集計用!$K:$K, "*, "&amp;I$4&amp;",*" ))/$A12*100</f>
        <v>0</v>
      </c>
      <c r="J12" s="44">
        <f>(COUNTIFS(集計用!$N:$N,"*, "&amp;$B12&amp;",*",集計用!$N:$N, "&lt;&gt;*英語を日常的に*", 集計用!$K:$K, "*, "&amp;J$4&amp;",*" ))/$A12*100</f>
        <v>0</v>
      </c>
      <c r="K12" s="44">
        <f>(COUNTIFS(集計用!$N:$N,"*, "&amp;$B12&amp;",*",集計用!$N:$N, "&lt;&gt;*英語を日常的に*", 集計用!$K:$K, "*, "&amp;K$4&amp;",*" ))/$A12*100</f>
        <v>0</v>
      </c>
      <c r="L12" s="44">
        <f>(COUNTIFS(集計用!$N:$N,"*, "&amp;$B12&amp;",*",集計用!$N:$N, "&lt;&gt;*英語を日常的に*", 集計用!$K:$K, "*, "&amp;L$4&amp;",*" ))/$A12*100</f>
        <v>0</v>
      </c>
      <c r="M12" s="44">
        <f>(COUNTIFS(集計用!$N:$N,"*, "&amp;$B12&amp;",*",集計用!$N:$N, "&lt;&gt;*英語を日常的に*", 集計用!$K:$K, "*, "&amp;M$4&amp;",*" ))/$A12*100</f>
        <v>0</v>
      </c>
      <c r="N12"/>
      <c r="O12"/>
      <c r="P12" s="56"/>
      <c r="Q12" s="56"/>
    </row>
    <row r="13" spans="1:18" ht="15.75" customHeight="1">
      <c r="A13" s="39">
        <f>(COUNTIFS(集計用!$N:$N,"*, "&amp;B13&amp;",*", 集計用!$N:$N,"&lt;&gt;*英語を日常的に*", 集計用!$K:$K,"&lt;&gt;無回答 , "))</f>
        <v>6</v>
      </c>
      <c r="B13" s="90" t="s">
        <v>124</v>
      </c>
      <c r="C13" s="44">
        <f>(COUNTIFS(集計用!$N:$N,"*, "&amp;$B13&amp;",*",集計用!$N:$N, "&lt;&gt;*英語を日常的に*", 集計用!$K:$K, "*, "&amp;C$4&amp;",*" ))/$A13*100</f>
        <v>83.333333333333343</v>
      </c>
      <c r="D13" s="44">
        <f>(COUNTIFS(集計用!$N:$N,"*, "&amp;$B13&amp;",*",集計用!$N:$N, "&lt;&gt;*英語を日常的に*", 集計用!$K:$K, "*, "&amp;D$4&amp;",*" ))/$A13*100</f>
        <v>16.666666666666664</v>
      </c>
      <c r="E13" s="44">
        <f>(COUNTIFS(集計用!$N:$N,"*, "&amp;$B13&amp;",*",集計用!$N:$N, "&lt;&gt;*英語を日常的に*", 集計用!$K:$K, "*, "&amp;E$4&amp;",*" ))/$A13*100</f>
        <v>16.666666666666664</v>
      </c>
      <c r="F13" s="44">
        <f>(COUNTIFS(集計用!$N:$N,"*, "&amp;$B13&amp;",*",集計用!$N:$N, "&lt;&gt;*英語を日常的に*", 集計用!$K:$K, "*, "&amp;F$4&amp;",*" ))/$A13*100</f>
        <v>33.333333333333329</v>
      </c>
      <c r="G13" s="44">
        <f>(COUNTIFS(集計用!$N:$N,"*, "&amp;$B13&amp;",*",集計用!$N:$N, "&lt;&gt;*英語を日常的に*", 集計用!$K:$K, "*, "&amp;G$4&amp;",*" ))/$A13*100</f>
        <v>0</v>
      </c>
      <c r="H13" s="44">
        <f>(COUNTIFS(集計用!$N:$N,"*, "&amp;$B13&amp;",*",集計用!$N:$N, "&lt;&gt;*英語を日常的に*", 集計用!$K:$K, "*, "&amp;H$4&amp;",*" ))/$A13*100</f>
        <v>50</v>
      </c>
      <c r="I13" s="44">
        <f>(COUNTIFS(集計用!$N:$N,"*, "&amp;$B13&amp;",*",集計用!$N:$N, "&lt;&gt;*英語を日常的に*", 集計用!$K:$K, "*, "&amp;I$4&amp;",*" ))/$A13*100</f>
        <v>66.666666666666657</v>
      </c>
      <c r="J13" s="44">
        <f>(COUNTIFS(集計用!$N:$N,"*, "&amp;$B13&amp;",*",集計用!$N:$N, "&lt;&gt;*英語を日常的に*", 集計用!$K:$K, "*, "&amp;J$4&amp;",*" ))/$A13*100</f>
        <v>16.666666666666664</v>
      </c>
      <c r="K13" s="44">
        <f>(COUNTIFS(集計用!$N:$N,"*, "&amp;$B13&amp;",*",集計用!$N:$N, "&lt;&gt;*英語を日常的に*", 集計用!$K:$K, "*, "&amp;K$4&amp;",*" ))/$A13*100</f>
        <v>16.666666666666664</v>
      </c>
      <c r="L13" s="44">
        <f>(COUNTIFS(集計用!$N:$N,"*, "&amp;$B13&amp;",*",集計用!$N:$N, "&lt;&gt;*英語を日常的に*", 集計用!$K:$K, "*, "&amp;L$4&amp;",*" ))/$A13*100</f>
        <v>0</v>
      </c>
      <c r="M13" s="44">
        <f>(COUNTIFS(集計用!$N:$N,"*, "&amp;$B13&amp;",*",集計用!$N:$N, "&lt;&gt;*英語を日常的に*", 集計用!$K:$K, "*, "&amp;M$4&amp;",*" ))/$A13*100</f>
        <v>0</v>
      </c>
      <c r="N13"/>
      <c r="O13"/>
      <c r="P13" s="56"/>
      <c r="Q13" s="56"/>
    </row>
    <row r="14" spans="1:18" ht="15.75" customHeight="1">
      <c r="A14" s="39">
        <f>(COUNTIFS(集計用!$N:$N,"*, "&amp;B14&amp;",*", 集計用!$N:$N,"&lt;&gt;*英語を日常的に*", 集計用!$K:$K,"&lt;&gt;無回答 , "))</f>
        <v>3</v>
      </c>
      <c r="B14" s="90" t="s">
        <v>157</v>
      </c>
      <c r="C14" s="44">
        <f>(COUNTIFS(集計用!$N:$N,"*, "&amp;$B14&amp;",*",集計用!$N:$N, "&lt;&gt;*英語を日常的に*", 集計用!$K:$K, "*, "&amp;C$4&amp;",*" ))/$A14*100</f>
        <v>100</v>
      </c>
      <c r="D14" s="44">
        <f>(COUNTIFS(集計用!$N:$N,"*, "&amp;$B14&amp;",*",集計用!$N:$N, "&lt;&gt;*英語を日常的に*", 集計用!$K:$K, "*, "&amp;D$4&amp;",*" ))/$A14*100</f>
        <v>66.666666666666657</v>
      </c>
      <c r="E14" s="44">
        <f>(COUNTIFS(集計用!$N:$N,"*, "&amp;$B14&amp;",*",集計用!$N:$N, "&lt;&gt;*英語を日常的に*", 集計用!$K:$K, "*, "&amp;E$4&amp;",*" ))/$A14*100</f>
        <v>0</v>
      </c>
      <c r="F14" s="44">
        <f>(COUNTIFS(集計用!$N:$N,"*, "&amp;$B14&amp;",*",集計用!$N:$N, "&lt;&gt;*英語を日常的に*", 集計用!$K:$K, "*, "&amp;F$4&amp;",*" ))/$A14*100</f>
        <v>33.333333333333329</v>
      </c>
      <c r="G14" s="44">
        <f>(COUNTIFS(集計用!$N:$N,"*, "&amp;$B14&amp;",*",集計用!$N:$N, "&lt;&gt;*英語を日常的に*", 集計用!$K:$K, "*, "&amp;G$4&amp;",*" ))/$A14*100</f>
        <v>0</v>
      </c>
      <c r="H14" s="44">
        <f>(COUNTIFS(集計用!$N:$N,"*, "&amp;$B14&amp;",*",集計用!$N:$N, "&lt;&gt;*英語を日常的に*", 集計用!$K:$K, "*, "&amp;H$4&amp;",*" ))/$A14*100</f>
        <v>0</v>
      </c>
      <c r="I14" s="44">
        <f>(COUNTIFS(集計用!$N:$N,"*, "&amp;$B14&amp;",*",集計用!$N:$N, "&lt;&gt;*英語を日常的に*", 集計用!$K:$K, "*, "&amp;I$4&amp;",*" ))/$A14*100</f>
        <v>33.333333333333329</v>
      </c>
      <c r="J14" s="44">
        <f>(COUNTIFS(集計用!$N:$N,"*, "&amp;$B14&amp;",*",集計用!$N:$N, "&lt;&gt;*英語を日常的に*", 集計用!$K:$K, "*, "&amp;J$4&amp;",*" ))/$A14*100</f>
        <v>0</v>
      </c>
      <c r="K14" s="44">
        <f>(COUNTIFS(集計用!$N:$N,"*, "&amp;$B14&amp;",*",集計用!$N:$N, "&lt;&gt;*英語を日常的に*", 集計用!$K:$K, "*, "&amp;K$4&amp;",*" ))/$A14*100</f>
        <v>0</v>
      </c>
      <c r="L14" s="44">
        <f>(COUNTIFS(集計用!$N:$N,"*, "&amp;$B14&amp;",*",集計用!$N:$N, "&lt;&gt;*英語を日常的に*", 集計用!$K:$K, "*, "&amp;L$4&amp;",*" ))/$A14*100</f>
        <v>0</v>
      </c>
      <c r="M14" s="44">
        <f>(COUNTIFS(集計用!$N:$N,"*, "&amp;$B14&amp;",*",集計用!$N:$N, "&lt;&gt;*英語を日常的に*", 集計用!$K:$K, "*, "&amp;M$4&amp;",*" ))/$A14*100</f>
        <v>0</v>
      </c>
      <c r="N14"/>
      <c r="O14"/>
      <c r="P14" s="56"/>
      <c r="Q14" s="56"/>
    </row>
    <row r="15" spans="1:18" ht="15.75" customHeight="1">
      <c r="A15" s="39">
        <f>(COUNTIFS(集計用!$N:$N,"*, "&amp;B15&amp;",*", 集計用!$N:$N,"&lt;&gt;*英語を日常的に*", 集計用!$K:$K,"&lt;&gt;無回答 , "))</f>
        <v>1</v>
      </c>
      <c r="B15" s="90" t="s">
        <v>158</v>
      </c>
      <c r="C15" s="44">
        <f>(COUNTIFS(集計用!$N:$N,"*, "&amp;$B15&amp;",*",集計用!$N:$N, "&lt;&gt;*英語を日常的に*", 集計用!$K:$K, "*, "&amp;C$4&amp;",*" ))/$A15*100</f>
        <v>0</v>
      </c>
      <c r="D15" s="44">
        <f>(COUNTIFS(集計用!$N:$N,"*, "&amp;$B15&amp;",*",集計用!$N:$N, "&lt;&gt;*英語を日常的に*", 集計用!$K:$K, "*, "&amp;D$4&amp;",*" ))/$A15*100</f>
        <v>0</v>
      </c>
      <c r="E15" s="44">
        <f>(COUNTIFS(集計用!$N:$N,"*, "&amp;$B15&amp;",*",集計用!$N:$N, "&lt;&gt;*英語を日常的に*", 集計用!$K:$K, "*, "&amp;E$4&amp;",*" ))/$A15*100</f>
        <v>100</v>
      </c>
      <c r="F15" s="44">
        <f>(COUNTIFS(集計用!$N:$N,"*, "&amp;$B15&amp;",*",集計用!$N:$N, "&lt;&gt;*英語を日常的に*", 集計用!$K:$K, "*, "&amp;F$4&amp;",*" ))/$A15*100</f>
        <v>0</v>
      </c>
      <c r="G15" s="44">
        <f>(COUNTIFS(集計用!$N:$N,"*, "&amp;$B15&amp;",*",集計用!$N:$N, "&lt;&gt;*英語を日常的に*", 集計用!$K:$K, "*, "&amp;G$4&amp;",*" ))/$A15*100</f>
        <v>0</v>
      </c>
      <c r="H15" s="44">
        <f>(COUNTIFS(集計用!$N:$N,"*, "&amp;$B15&amp;",*",集計用!$N:$N, "&lt;&gt;*英語を日常的に*", 集計用!$K:$K, "*, "&amp;H$4&amp;",*" ))/$A15*100</f>
        <v>100</v>
      </c>
      <c r="I15" s="44">
        <f>(COUNTIFS(集計用!$N:$N,"*, "&amp;$B15&amp;",*",集計用!$N:$N, "&lt;&gt;*英語を日常的に*", 集計用!$K:$K, "*, "&amp;I$4&amp;",*" ))/$A15*100</f>
        <v>0</v>
      </c>
      <c r="J15" s="44">
        <f>(COUNTIFS(集計用!$N:$N,"*, "&amp;$B15&amp;",*",集計用!$N:$N, "&lt;&gt;*英語を日常的に*", 集計用!$K:$K, "*, "&amp;J$4&amp;",*" ))/$A15*100</f>
        <v>0</v>
      </c>
      <c r="K15" s="44">
        <f>(COUNTIFS(集計用!$N:$N,"*, "&amp;$B15&amp;",*",集計用!$N:$N, "&lt;&gt;*英語を日常的に*", 集計用!$K:$K, "*, "&amp;K$4&amp;",*" ))/$A15*100</f>
        <v>0</v>
      </c>
      <c r="L15" s="44">
        <f>(COUNTIFS(集計用!$N:$N,"*, "&amp;$B15&amp;",*",集計用!$N:$N, "&lt;&gt;*英語を日常的に*", 集計用!$K:$K, "*, "&amp;L$4&amp;",*" ))/$A15*100</f>
        <v>0</v>
      </c>
      <c r="M15" s="44">
        <f>(COUNTIFS(集計用!$N:$N,"*, "&amp;$B15&amp;",*",集計用!$N:$N, "&lt;&gt;*英語を日常的に*", 集計用!$K:$K, "*, "&amp;M$4&amp;",*" ))/$A15*100</f>
        <v>0</v>
      </c>
      <c r="N15"/>
      <c r="O15"/>
      <c r="P15" s="56"/>
      <c r="Q15" s="56"/>
    </row>
    <row r="16" spans="1:18" ht="15.75" customHeight="1">
      <c r="A16" s="39">
        <f>(COUNTIFS(集計用!$N:$N,"*, "&amp;B16&amp;",*", 集計用!$N:$N,"&lt;&gt;*英語を日常的に*", 集計用!$K:$K,"&lt;&gt;無回答 , "))</f>
        <v>1</v>
      </c>
      <c r="B16" s="91" t="s">
        <v>159</v>
      </c>
      <c r="C16" s="44">
        <f>(COUNTIFS(集計用!$N:$N,"*, "&amp;$B16&amp;",*",集計用!$N:$N, "&lt;&gt;*英語を日常的に*", 集計用!$K:$K, "*, "&amp;C$4&amp;",*" ))/$A16*100</f>
        <v>100</v>
      </c>
      <c r="D16" s="44">
        <f>(COUNTIFS(集計用!$N:$N,"*, "&amp;$B16&amp;",*",集計用!$N:$N, "&lt;&gt;*英語を日常的に*", 集計用!$K:$K, "*, "&amp;D$4&amp;",*" ))/$A16*100</f>
        <v>0</v>
      </c>
      <c r="E16" s="44">
        <f>(COUNTIFS(集計用!$N:$N,"*, "&amp;$B16&amp;",*",集計用!$N:$N, "&lt;&gt;*英語を日常的に*", 集計用!$K:$K, "*, "&amp;E$4&amp;",*" ))/$A16*100</f>
        <v>100</v>
      </c>
      <c r="F16" s="44">
        <f>(COUNTIFS(集計用!$N:$N,"*, "&amp;$B16&amp;",*",集計用!$N:$N, "&lt;&gt;*英語を日常的に*", 集計用!$K:$K, "*, "&amp;F$4&amp;",*" ))/$A16*100</f>
        <v>100</v>
      </c>
      <c r="G16" s="44">
        <f>(COUNTIFS(集計用!$N:$N,"*, "&amp;$B16&amp;",*",集計用!$N:$N, "&lt;&gt;*英語を日常的に*", 集計用!$K:$K, "*, "&amp;G$4&amp;",*" ))/$A16*100</f>
        <v>100</v>
      </c>
      <c r="H16" s="44">
        <f>(COUNTIFS(集計用!$N:$N,"*, "&amp;$B16&amp;",*",集計用!$N:$N, "&lt;&gt;*英語を日常的に*", 集計用!$K:$K, "*, "&amp;H$4&amp;",*" ))/$A16*100</f>
        <v>0</v>
      </c>
      <c r="I16" s="44">
        <f>(COUNTIFS(集計用!$N:$N,"*, "&amp;$B16&amp;",*",集計用!$N:$N, "&lt;&gt;*英語を日常的に*", 集計用!$K:$K, "*, "&amp;I$4&amp;",*" ))/$A16*100</f>
        <v>0</v>
      </c>
      <c r="J16" s="44">
        <f>(COUNTIFS(集計用!$N:$N,"*, "&amp;$B16&amp;",*",集計用!$N:$N, "&lt;&gt;*英語を日常的に*", 集計用!$K:$K, "*, "&amp;J$4&amp;",*" ))/$A16*100</f>
        <v>0</v>
      </c>
      <c r="K16" s="44">
        <f>(COUNTIFS(集計用!$N:$N,"*, "&amp;$B16&amp;",*",集計用!$N:$N, "&lt;&gt;*英語を日常的に*", 集計用!$K:$K, "*, "&amp;K$4&amp;",*" ))/$A16*100</f>
        <v>0</v>
      </c>
      <c r="L16" s="44">
        <f>(COUNTIFS(集計用!$N:$N,"*, "&amp;$B16&amp;",*",集計用!$N:$N, "&lt;&gt;*英語を日常的に*", 集計用!$K:$K, "*, "&amp;L$4&amp;",*" ))/$A16*100</f>
        <v>0</v>
      </c>
      <c r="M16" s="44">
        <f>(COUNTIFS(集計用!$N:$N,"*, "&amp;$B16&amp;",*",集計用!$N:$N, "&lt;&gt;*英語を日常的に*", 集計用!$K:$K, "*, "&amp;M$4&amp;",*" ))/$A16*100</f>
        <v>0</v>
      </c>
      <c r="N16"/>
      <c r="O16"/>
      <c r="P16" s="56"/>
      <c r="Q16" s="56"/>
    </row>
    <row r="17" spans="1:18" ht="15.75" customHeight="1">
      <c r="A17" s="39">
        <f>(COUNTIFS(集計用!$N:$N,"*, "&amp;B17&amp;",*", 集計用!$N:$N,"&lt;&gt;*英語を日常的に*", 集計用!$K:$K,"&lt;&gt;無回答 , "))</f>
        <v>1</v>
      </c>
      <c r="B17" s="92" t="s">
        <v>161</v>
      </c>
      <c r="C17" s="44">
        <f>(COUNTIFS(集計用!$N:$N,"*, "&amp;$B17&amp;",*",集計用!$N:$N, "&lt;&gt;*英語を日常的に*", 集計用!$K:$K, "*, "&amp;C$4&amp;",*" ))/$A17*100</f>
        <v>0</v>
      </c>
      <c r="D17" s="44">
        <f>(COUNTIFS(集計用!$N:$N,"*, "&amp;$B17&amp;",*",集計用!$N:$N, "&lt;&gt;*英語を日常的に*", 集計用!$K:$K, "*, "&amp;D$4&amp;",*" ))/$A17*100</f>
        <v>100</v>
      </c>
      <c r="E17" s="44">
        <f>(COUNTIFS(集計用!$N:$N,"*, "&amp;$B17&amp;",*",集計用!$N:$N, "&lt;&gt;*英語を日常的に*", 集計用!$K:$K, "*, "&amp;E$4&amp;",*" ))/$A17*100</f>
        <v>0</v>
      </c>
      <c r="F17" s="44">
        <f>(COUNTIFS(集計用!$N:$N,"*, "&amp;$B17&amp;",*",集計用!$N:$N, "&lt;&gt;*英語を日常的に*", 集計用!$K:$K, "*, "&amp;F$4&amp;",*" ))/$A17*100</f>
        <v>0</v>
      </c>
      <c r="G17" s="44">
        <f>(COUNTIFS(集計用!$N:$N,"*, "&amp;$B17&amp;",*",集計用!$N:$N, "&lt;&gt;*英語を日常的に*", 集計用!$K:$K, "*, "&amp;G$4&amp;",*" ))/$A17*100</f>
        <v>0</v>
      </c>
      <c r="H17" s="44">
        <f>(COUNTIFS(集計用!$N:$N,"*, "&amp;$B17&amp;",*",集計用!$N:$N, "&lt;&gt;*英語を日常的に*", 集計用!$K:$K, "*, "&amp;H$4&amp;",*" ))/$A17*100</f>
        <v>0</v>
      </c>
      <c r="I17" s="44">
        <f>(COUNTIFS(集計用!$N:$N,"*, "&amp;$B17&amp;",*",集計用!$N:$N, "&lt;&gt;*英語を日常的に*", 集計用!$K:$K, "*, "&amp;I$4&amp;",*" ))/$A17*100</f>
        <v>0</v>
      </c>
      <c r="J17" s="44">
        <f>(COUNTIFS(集計用!$N:$N,"*, "&amp;$B17&amp;",*",集計用!$N:$N, "&lt;&gt;*英語を日常的に*", 集計用!$K:$K, "*, "&amp;J$4&amp;",*" ))/$A17*100</f>
        <v>0</v>
      </c>
      <c r="K17" s="44">
        <f>(COUNTIFS(集計用!$N:$N,"*, "&amp;$B17&amp;",*",集計用!$N:$N, "&lt;&gt;*英語を日常的に*", 集計用!$K:$K, "*, "&amp;K$4&amp;",*" ))/$A17*100</f>
        <v>100</v>
      </c>
      <c r="L17" s="44">
        <f>(COUNTIFS(集計用!$N:$N,"*, "&amp;$B17&amp;",*",集計用!$N:$N, "&lt;&gt;*英語を日常的に*", 集計用!$K:$K, "*, "&amp;L$4&amp;",*" ))/$A17*100</f>
        <v>0</v>
      </c>
      <c r="M17" s="44">
        <f>(COUNTIFS(集計用!$N:$N,"*, "&amp;$B17&amp;",*",集計用!$N:$N, "&lt;&gt;*英語を日常的に*", 集計用!$K:$K, "*, "&amp;M$4&amp;",*" ))/$A17*100</f>
        <v>0</v>
      </c>
      <c r="N17"/>
      <c r="O17"/>
      <c r="P17" s="56"/>
      <c r="Q17" s="56"/>
    </row>
    <row r="18" spans="1:18" ht="15.75" customHeight="1">
      <c r="A18" s="39">
        <f>(COUNTIFS(集計用!$N:$N,"*, "&amp;B18&amp;",*", 集計用!$N:$N,"&lt;&gt;*英語を日常的に*", 集計用!$K:$K,"&lt;&gt;無回答 , "))</f>
        <v>1</v>
      </c>
      <c r="B18" s="93" t="s">
        <v>2427</v>
      </c>
      <c r="C18" s="44">
        <f>(COUNTIFS(集計用!$N:$N,"*, "&amp;$B18&amp;",*",集計用!$N:$N, "&lt;&gt;*英語を日常的に*", 集計用!$K:$K, "*, "&amp;C$4&amp;",*" ))/$A18*100</f>
        <v>100</v>
      </c>
      <c r="D18" s="44">
        <f>(COUNTIFS(集計用!$N:$N,"*, "&amp;$B18&amp;",*",集計用!$N:$N, "&lt;&gt;*英語を日常的に*", 集計用!$K:$K, "*, "&amp;D$4&amp;",*" ))/$A18*100</f>
        <v>0</v>
      </c>
      <c r="E18" s="44">
        <f>(COUNTIFS(集計用!$N:$N,"*, "&amp;$B18&amp;",*",集計用!$N:$N, "&lt;&gt;*英語を日常的に*", 集計用!$K:$K, "*, "&amp;E$4&amp;",*" ))/$A18*100</f>
        <v>0</v>
      </c>
      <c r="F18" s="44">
        <f>(COUNTIFS(集計用!$N:$N,"*, "&amp;$B18&amp;",*",集計用!$N:$N, "&lt;&gt;*英語を日常的に*", 集計用!$K:$K, "*, "&amp;F$4&amp;",*" ))/$A18*100</f>
        <v>0</v>
      </c>
      <c r="G18" s="44">
        <f>(COUNTIFS(集計用!$N:$N,"*, "&amp;$B18&amp;",*",集計用!$N:$N, "&lt;&gt;*英語を日常的に*", 集計用!$K:$K, "*, "&amp;G$4&amp;",*" ))/$A18*100</f>
        <v>0</v>
      </c>
      <c r="H18" s="44">
        <f>(COUNTIFS(集計用!$N:$N,"*, "&amp;$B18&amp;",*",集計用!$N:$N, "&lt;&gt;*英語を日常的に*", 集計用!$K:$K, "*, "&amp;H$4&amp;",*" ))/$A18*100</f>
        <v>0</v>
      </c>
      <c r="I18" s="44">
        <f>(COUNTIFS(集計用!$N:$N,"*, "&amp;$B18&amp;",*",集計用!$N:$N, "&lt;&gt;*英語を日常的に*", 集計用!$K:$K, "*, "&amp;I$4&amp;",*" ))/$A18*100</f>
        <v>0</v>
      </c>
      <c r="J18" s="44">
        <f>(COUNTIFS(集計用!$N:$N,"*, "&amp;$B18&amp;",*",集計用!$N:$N, "&lt;&gt;*英語を日常的に*", 集計用!$K:$K, "*, "&amp;J$4&amp;",*" ))/$A18*100</f>
        <v>0</v>
      </c>
      <c r="K18" s="44">
        <f>(COUNTIFS(集計用!$N:$N,"*, "&amp;$B18&amp;",*",集計用!$N:$N, "&lt;&gt;*英語を日常的に*", 集計用!$K:$K, "*, "&amp;K$4&amp;",*" ))/$A18*100</f>
        <v>0</v>
      </c>
      <c r="L18" s="44">
        <f>(COUNTIFS(集計用!$N:$N,"*, "&amp;$B18&amp;",*",集計用!$N:$N, "&lt;&gt;*英語を日常的に*", 集計用!$K:$K, "*, "&amp;L$4&amp;",*" ))/$A18*100</f>
        <v>0</v>
      </c>
      <c r="M18" s="44">
        <f>(COUNTIFS(集計用!$N:$N,"*, "&amp;$B18&amp;",*",集計用!$N:$N, "&lt;&gt;*英語を日常的に*", 集計用!$K:$K, "*, "&amp;M$4&amp;",*" ))/$A18*100</f>
        <v>0</v>
      </c>
      <c r="N18"/>
      <c r="O18"/>
      <c r="P18" s="56"/>
      <c r="Q18" s="56"/>
    </row>
    <row r="19" spans="1:18" ht="15.75" customHeight="1">
      <c r="A19" s="39">
        <f>(COUNTIFS(集計用!$N:$N,"*, "&amp;B19&amp;",*", 集計用!$N:$N,"&lt;&gt;*英語を日常的に*", 集計用!$K:$K,"&lt;&gt;無回答 , "))</f>
        <v>1</v>
      </c>
      <c r="B19" s="94" t="s">
        <v>2428</v>
      </c>
      <c r="C19" s="44">
        <f>(COUNTIFS(集計用!$N:$N,"*, "&amp;$B19&amp;",*",集計用!$N:$N, "&lt;&gt;*英語を日常的に*", 集計用!$K:$K, "*, "&amp;C$4&amp;",*" ))/$A19*100</f>
        <v>0</v>
      </c>
      <c r="D19" s="44">
        <f>(COUNTIFS(集計用!$N:$N,"*, "&amp;$B19&amp;",*",集計用!$N:$N, "&lt;&gt;*英語を日常的に*", 集計用!$K:$K, "*, "&amp;D$4&amp;",*" ))/$A19*100</f>
        <v>0</v>
      </c>
      <c r="E19" s="44">
        <f>(COUNTIFS(集計用!$N:$N,"*, "&amp;$B19&amp;",*",集計用!$N:$N, "&lt;&gt;*英語を日常的に*", 集計用!$K:$K, "*, "&amp;E$4&amp;",*" ))/$A19*100</f>
        <v>0</v>
      </c>
      <c r="F19" s="44">
        <f>(COUNTIFS(集計用!$N:$N,"*, "&amp;$B19&amp;",*",集計用!$N:$N, "&lt;&gt;*英語を日常的に*", 集計用!$K:$K, "*, "&amp;F$4&amp;",*" ))/$A19*100</f>
        <v>0</v>
      </c>
      <c r="G19" s="44">
        <f>(COUNTIFS(集計用!$N:$N,"*, "&amp;$B19&amp;",*",集計用!$N:$N, "&lt;&gt;*英語を日常的に*", 集計用!$K:$K, "*, "&amp;G$4&amp;",*" ))/$A19*100</f>
        <v>0</v>
      </c>
      <c r="H19" s="44">
        <f>(COUNTIFS(集計用!$N:$N,"*, "&amp;$B19&amp;",*",集計用!$N:$N, "&lt;&gt;*英語を日常的に*", 集計用!$K:$K, "*, "&amp;H$4&amp;",*" ))/$A19*100</f>
        <v>0</v>
      </c>
      <c r="I19" s="44">
        <f>(COUNTIFS(集計用!$N:$N,"*, "&amp;$B19&amp;",*",集計用!$N:$N, "&lt;&gt;*英語を日常的に*", 集計用!$K:$K, "*, "&amp;I$4&amp;",*" ))/$A19*100</f>
        <v>0</v>
      </c>
      <c r="J19" s="44">
        <f>(COUNTIFS(集計用!$N:$N,"*, "&amp;$B19&amp;",*",集計用!$N:$N, "&lt;&gt;*英語を日常的に*", 集計用!$K:$K, "*, "&amp;J$4&amp;",*" ))/$A19*100</f>
        <v>0</v>
      </c>
      <c r="K19" s="44">
        <f>(COUNTIFS(集計用!$N:$N,"*, "&amp;$B19&amp;",*",集計用!$N:$N, "&lt;&gt;*英語を日常的に*", 集計用!$K:$K, "*, "&amp;K$4&amp;",*" ))/$A19*100</f>
        <v>0</v>
      </c>
      <c r="L19" s="44">
        <f>(COUNTIFS(集計用!$N:$N,"*, "&amp;$B19&amp;",*",集計用!$N:$N, "&lt;&gt;*英語を日常的に*", 集計用!$K:$K, "*, "&amp;L$4&amp;",*" ))/$A19*100</f>
        <v>0</v>
      </c>
      <c r="M19" s="44">
        <f>(COUNTIFS(集計用!$N:$N,"*, "&amp;$B19&amp;",*",集計用!$N:$N, "&lt;&gt;*英語を日常的に*", 集計用!$K:$K, "*, "&amp;M$4&amp;",*" ))/$A19*100</f>
        <v>100</v>
      </c>
      <c r="N19"/>
      <c r="O19"/>
      <c r="P19" s="56"/>
      <c r="Q19" s="56"/>
    </row>
    <row r="20" spans="1:18" ht="15.75" customHeight="1">
      <c r="B20" s="64"/>
      <c r="C20" s="44"/>
      <c r="D20" s="44"/>
      <c r="E20" s="44"/>
      <c r="F20" s="44"/>
      <c r="G20" s="44"/>
      <c r="H20" s="44"/>
      <c r="I20" s="44"/>
      <c r="J20" s="44"/>
      <c r="K20" s="44"/>
      <c r="L20" s="44"/>
      <c r="N20" s="44"/>
      <c r="O20" s="44"/>
      <c r="P20" s="44"/>
      <c r="Q20" s="56"/>
      <c r="R20" s="56"/>
    </row>
    <row r="22" spans="1:18" ht="15.75" customHeight="1">
      <c r="B22" s="45"/>
      <c r="C22" s="45"/>
      <c r="D22" s="45"/>
      <c r="E22" s="45"/>
      <c r="F22" s="45"/>
      <c r="G22" s="45"/>
      <c r="H22" s="45"/>
      <c r="I22" s="45"/>
      <c r="J22" s="45"/>
      <c r="K22" s="45"/>
      <c r="L22" s="45"/>
      <c r="N22" s="45"/>
      <c r="O22" s="45"/>
      <c r="P22" s="45"/>
      <c r="Q22" s="45"/>
    </row>
    <row r="23" spans="1:18" ht="15.75" customHeight="1">
      <c r="B23" s="45"/>
      <c r="C23" s="45"/>
      <c r="D23" s="45"/>
      <c r="E23" s="45"/>
      <c r="F23" s="45"/>
      <c r="G23" s="45"/>
      <c r="H23" s="45"/>
      <c r="I23" s="45"/>
      <c r="J23" s="45"/>
      <c r="K23" s="45"/>
      <c r="L23" s="45"/>
      <c r="N23" s="45"/>
      <c r="O23" s="45"/>
      <c r="P23" s="45"/>
      <c r="Q23" s="45"/>
    </row>
    <row r="24" spans="1:18" ht="15.75" customHeight="1">
      <c r="B24" s="45"/>
      <c r="C24" s="45"/>
      <c r="D24" s="45"/>
      <c r="E24" s="45"/>
      <c r="F24" s="45"/>
      <c r="G24" s="45"/>
      <c r="H24" s="45"/>
      <c r="I24" s="45"/>
      <c r="J24" s="45"/>
      <c r="K24" s="45"/>
      <c r="L24" s="45"/>
      <c r="N24" s="45"/>
      <c r="O24" s="45"/>
      <c r="P24" s="45"/>
      <c r="Q24" s="45"/>
    </row>
    <row r="25" spans="1:18" ht="15.75" customHeight="1">
      <c r="B25" s="45"/>
      <c r="C25" s="45"/>
      <c r="D25" s="45"/>
      <c r="E25" s="45"/>
      <c r="F25" s="45"/>
      <c r="G25" s="45"/>
      <c r="H25" s="45"/>
      <c r="I25" s="45"/>
      <c r="J25" s="45"/>
      <c r="K25" s="45"/>
      <c r="L25" s="45"/>
      <c r="N25" s="45"/>
      <c r="O25" s="45"/>
      <c r="P25" s="45"/>
      <c r="Q25" s="45"/>
    </row>
    <row r="26" spans="1:18" ht="15.75" customHeight="1">
      <c r="B26" s="45"/>
      <c r="C26" s="45"/>
      <c r="D26" s="45"/>
      <c r="E26" s="45"/>
      <c r="F26" s="45"/>
      <c r="G26" s="45"/>
      <c r="H26" s="45"/>
      <c r="I26" s="45"/>
      <c r="J26" s="45"/>
      <c r="K26" s="45"/>
      <c r="L26" s="45"/>
      <c r="N26" s="45"/>
      <c r="O26" s="45"/>
      <c r="P26" s="45"/>
      <c r="Q26" s="45"/>
    </row>
    <row r="27" spans="1:18" ht="15.75" customHeight="1">
      <c r="B27" s="45"/>
      <c r="C27" s="45"/>
      <c r="D27" s="45"/>
      <c r="E27" s="45"/>
      <c r="F27" s="45"/>
      <c r="G27" s="45"/>
      <c r="H27" s="45"/>
      <c r="I27" s="45"/>
      <c r="J27" s="45"/>
      <c r="K27" s="45"/>
      <c r="L27" s="45"/>
      <c r="N27" s="45"/>
      <c r="O27" s="45"/>
      <c r="P27" s="45"/>
      <c r="Q27" s="45"/>
    </row>
  </sheetData>
  <phoneticPr fontId="8"/>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7842C-C8F1-41F5-A05D-3A7408C60624}">
  <sheetPr>
    <outlinePr summaryBelow="0" summaryRight="0"/>
  </sheetPr>
  <dimension ref="A1:AD68"/>
  <sheetViews>
    <sheetView zoomScale="70" zoomScaleNormal="70" workbookViewId="0">
      <selection activeCell="A2" sqref="A2"/>
    </sheetView>
  </sheetViews>
  <sheetFormatPr defaultColWidth="12.5703125" defaultRowHeight="15.75" customHeight="1"/>
  <cols>
    <col min="1" max="2" width="12.5703125" style="39"/>
    <col min="3" max="3" width="26.7109375" style="39" customWidth="1"/>
    <col min="4" max="4" width="23.5703125" style="39" customWidth="1"/>
    <col min="5" max="9" width="13.7109375" style="39" bestFit="1" customWidth="1"/>
    <col min="10" max="10" width="12.5703125" style="39"/>
    <col min="11" max="12" width="13.7109375" style="39" bestFit="1" customWidth="1"/>
    <col min="17" max="17" width="12.5703125" style="39"/>
    <col min="20" max="21" width="12.5703125" style="39"/>
    <col min="23" max="24" width="12.5703125" style="39"/>
    <col min="26" max="29" width="12.5703125" style="39"/>
    <col min="30" max="30" width="13.7109375" style="39" bestFit="1" customWidth="1"/>
    <col min="31" max="16384" width="12.5703125" style="39"/>
  </cols>
  <sheetData>
    <row r="1" spans="1:26" ht="15.75" customHeight="1">
      <c r="A1" s="38" t="s">
        <v>2444</v>
      </c>
      <c r="M1" s="39"/>
      <c r="N1" s="39"/>
      <c r="O1" s="39"/>
      <c r="P1" s="39"/>
      <c r="Q1"/>
      <c r="T1"/>
      <c r="U1"/>
      <c r="W1"/>
      <c r="Y1" s="39"/>
    </row>
    <row r="2" spans="1:26" ht="15.75" customHeight="1">
      <c r="A2" s="38"/>
      <c r="D2" s="86" t="s">
        <v>2286</v>
      </c>
      <c r="M2" s="39"/>
      <c r="N2" s="39"/>
      <c r="O2" s="39"/>
      <c r="P2" s="39"/>
      <c r="Q2"/>
      <c r="T2"/>
      <c r="U2"/>
      <c r="W2"/>
      <c r="Y2" s="39"/>
    </row>
    <row r="3" spans="1:26" ht="13.5" customHeight="1">
      <c r="C3" s="86" t="s">
        <v>2261</v>
      </c>
      <c r="D3" s="39">
        <f>(COUNTIFS(集計用!$Y:$Y, "*, "&amp;テーブル21011121426[[#Headers],[社会の中でいないことにされる]]&amp;",*", 集計用!$N:$N, "&lt;&gt;*英語を日常的に*"))</f>
        <v>103</v>
      </c>
      <c r="E3" s="39">
        <f>(COUNTIFS(集計用!$Y:$Y, "*, "&amp;テーブル21011121426[[#Headers],[ミスジェンダリング（誤った性別として扱うこと）]]&amp;",*", 集計用!$N:$N, "&lt;&gt;*英語を日常的に*"))</f>
        <v>92</v>
      </c>
      <c r="F3" s="39">
        <f>(COUNTIFS(集計用!$Y:$Y, "*, "&amp;テーブル21011121426[[#Headers],[職場や学校における無理解]]&amp;",*", 集計用!$N:$N, "&lt;&gt;*英語を日常的に*"))</f>
        <v>73</v>
      </c>
      <c r="G3" s="39">
        <f>(COUNTIFS(集計用!$Y:$Y, "*, "&amp;テーブル21011121426[[#Headers],[カムアウトできない]]&amp;",*", 集計用!$N:$N, "&lt;&gt;*英語を日常的に*"))</f>
        <v>70</v>
      </c>
      <c r="H3" s="39">
        <f>(COUNTIFS(集計用!$Y:$Y, "*, "&amp;テーブル21011121426[[#Headers],[家族／かぞくからの無理解]]&amp;",*", 集計用!$N:$N, "&lt;&gt;*英語を日常的に*"))</f>
        <v>80</v>
      </c>
      <c r="I3" s="39">
        <f>(COUNTIFS(集計用!$Y:$Y, "*, "&amp;テーブル21011121426[[#Headers],[トイレなどのジェンダー化されたスペースの使用]]&amp;",*", 集計用!$N:$N, "&lt;&gt;*英語を日常的に*"))</f>
        <v>63</v>
      </c>
      <c r="J3" s="39">
        <f>(COUNTIFS(集計用!$Y:$Y, "*, "&amp;テーブル21011121426[[#Headers],[必要なジェンダーケアへアクセスできない]]&amp;",*", 集計用!$N:$N, "&lt;&gt;*英語を日常的に*"))</f>
        <v>57</v>
      </c>
      <c r="K3" s="39">
        <f>(COUNTIFS(集計用!$Y:$Y, "*, "&amp;テーブル21011121426[[#Headers],[医療における無理解]]&amp;",*", 集計用!$N:$N, "&lt;&gt;*英語を日常的に*"))</f>
        <v>46</v>
      </c>
      <c r="L3" s="39">
        <f>(COUNTIFS(集計用!$Y:$Y, "*, "&amp;テーブル21011121426[[#Headers],[アウティング（勝手にジェンダーや指向についての情報を明かされること）]]&amp;",*", 集計用!$N:$N, "&lt;&gt;*英語を日常的に*"))</f>
        <v>38</v>
      </c>
      <c r="M3" s="39">
        <f>(COUNTIFS(集計用!$Y:$Y, "*, "&amp;テーブル21011121426[[#Headers],[LGBTQ+運動からの排斥]]&amp;",*", 集計用!$N:$N, "&lt;&gt;*英語を日常的に*"))</f>
        <v>44</v>
      </c>
      <c r="N3" s="39">
        <f>(COUNTIFS(集計用!$Y:$Y, "*, "&amp;テーブル21011121426[[#Headers],[性暴力]]&amp;",*", 集計用!$N:$N, "&lt;&gt;*英語を日常的に*"))</f>
        <v>38</v>
      </c>
      <c r="O3" s="39">
        <f>(COUNTIFS(集計用!$Y:$Y, "*, "&amp;テーブル21011121426[[#Headers],[デッドネーミング（誤った名前で呼ばれること）]]&amp;",*", 集計用!$N:$N, "&lt;&gt;*英語を日常的に*"))</f>
        <v>30</v>
      </c>
      <c r="P3" s="39">
        <f>(COUNTIFS(集計用!$Y:$Y, "*, "&amp;テーブル21011121426[[#Headers],[カムアウトを強制される]]&amp;",*", 集計用!$N:$N, "&lt;&gt;*英語を日常的に*"))</f>
        <v>27</v>
      </c>
      <c r="Q3"/>
      <c r="T3"/>
      <c r="U3"/>
      <c r="W3"/>
      <c r="Y3" s="39"/>
    </row>
    <row r="4" spans="1:26" ht="12.75">
      <c r="A4" s="46" t="s">
        <v>2178</v>
      </c>
      <c r="B4" s="46" t="s">
        <v>2179</v>
      </c>
      <c r="C4" s="46" t="s">
        <v>2182</v>
      </c>
      <c r="D4" s="2" t="s">
        <v>180</v>
      </c>
      <c r="E4" s="2" t="s">
        <v>181</v>
      </c>
      <c r="F4" s="2" t="s">
        <v>182</v>
      </c>
      <c r="G4" s="2" t="s">
        <v>183</v>
      </c>
      <c r="H4" s="2" t="s">
        <v>184</v>
      </c>
      <c r="I4" s="2" t="s">
        <v>185</v>
      </c>
      <c r="J4" s="2" t="s">
        <v>186</v>
      </c>
      <c r="K4" s="2" t="s">
        <v>187</v>
      </c>
      <c r="L4" s="2" t="s">
        <v>188</v>
      </c>
      <c r="M4" s="2" t="s">
        <v>189</v>
      </c>
      <c r="N4" s="2" t="s">
        <v>190</v>
      </c>
      <c r="O4" s="2" t="s">
        <v>191</v>
      </c>
      <c r="P4" s="2" t="s">
        <v>192</v>
      </c>
      <c r="Q4"/>
      <c r="T4"/>
      <c r="U4"/>
      <c r="W4"/>
      <c r="Y4" s="39"/>
    </row>
    <row r="5" spans="1:26" ht="12.75">
      <c r="A5" s="39">
        <v>0</v>
      </c>
      <c r="B5" s="39">
        <f>(COUNTIFS(集計用!$Y2:$Y444,"&lt;&gt;無回答 "))</f>
        <v>421</v>
      </c>
      <c r="C5" s="40" t="s">
        <v>2249</v>
      </c>
      <c r="D5" s="41">
        <f>(COUNTIFS(集計用!$Y:$Y, "*, "&amp;D$4&amp;",*"))/$B5*100</f>
        <v>71.258907363420434</v>
      </c>
      <c r="E5" s="41">
        <f>(COUNTIFS(集計用!$Y:$Y, "*, "&amp;E$4&amp;",*"))/$B5*100</f>
        <v>62.232779097387173</v>
      </c>
      <c r="F5" s="41">
        <f>(COUNTIFS(集計用!$Y:$Y, "*, "&amp;F$4&amp;",*"))/$B5*100</f>
        <v>53.919239904988125</v>
      </c>
      <c r="G5" s="41">
        <f>(COUNTIFS(集計用!$Y:$Y, "*, "&amp;G$4&amp;",*"))/$B5*100</f>
        <v>52.969121140142519</v>
      </c>
      <c r="H5" s="41">
        <f>(COUNTIFS(集計用!$Y:$Y, "*, "&amp;H$4&amp;",*"))/$B5*100</f>
        <v>48.931116389548698</v>
      </c>
      <c r="I5" s="41">
        <f>(COUNTIFS(集計用!$Y:$Y, "*, "&amp;I$4&amp;",*"))/$B5*100</f>
        <v>40.855106888361043</v>
      </c>
      <c r="J5" s="41">
        <f>(COUNTIFS(集計用!$Y:$Y, "*, "&amp;J$4&amp;",*"))/$B5*100</f>
        <v>34.679334916864605</v>
      </c>
      <c r="K5" s="41">
        <f>(COUNTIFS(集計用!$Y:$Y, "*, "&amp;K$4&amp;",*"))/$B5*100</f>
        <v>31.591448931116389</v>
      </c>
      <c r="L5" s="41">
        <f>(COUNTIFS(集計用!$Y:$Y, "*, "&amp;L$4&amp;",*"))/$B5*100</f>
        <v>28.978622327790976</v>
      </c>
      <c r="M5" s="41">
        <f>(COUNTIFS(集計用!$Y:$Y, "*, "&amp;M$4&amp;",*"))/$B5*100</f>
        <v>27.553444180522561</v>
      </c>
      <c r="N5" s="41">
        <f>(COUNTIFS(集計用!$Y:$Y, "*, "&amp;N$4&amp;",*"))/$B5*100</f>
        <v>25.890736342042754</v>
      </c>
      <c r="O5" s="41">
        <f>(COUNTIFS(集計用!$Y:$Y, "*, "&amp;O$4&amp;",*"))/$B5*100</f>
        <v>19.714964370546319</v>
      </c>
      <c r="P5" s="41">
        <f>(COUNTIFS(集計用!$Y:$Y, "*, "&amp;P$4&amp;",*"))/$B5*100</f>
        <v>17.102137767220903</v>
      </c>
      <c r="Q5"/>
      <c r="T5"/>
      <c r="U5"/>
      <c r="W5"/>
      <c r="Y5" s="39"/>
    </row>
    <row r="6" spans="1:26" ht="15.75" customHeight="1">
      <c r="A6" s="39">
        <v>1</v>
      </c>
      <c r="B6" s="39">
        <f>(COUNTIFS(集計用!$G$2:$G$444,"*, "&amp;$C6&amp;",*",集計用!$Y$2:$Y$444,"&lt;&gt;無回答 "))</f>
        <v>82</v>
      </c>
      <c r="C6" s="42" t="s">
        <v>3</v>
      </c>
      <c r="D6" s="41">
        <f>(COUNTIFS(集計用!$Y:$Y, "*, "&amp;D$4&amp;",*",集計用!$G:$G, "*, "&amp;$C6&amp;",*"))/$B6*100</f>
        <v>76.829268292682926</v>
      </c>
      <c r="E6" s="41">
        <f>(COUNTIFS(集計用!$Y:$Y, "*, "&amp;E$4&amp;",*",集計用!$G:$G, "*, "&amp;$C6&amp;",*"))/$B6*100</f>
        <v>62.195121951219512</v>
      </c>
      <c r="F6" s="41">
        <f>(COUNTIFS(集計用!$Y:$Y, "*, "&amp;F$4&amp;",*",集計用!$G:$G, "*, "&amp;$C6&amp;",*"))/$B6*100</f>
        <v>56.09756097560976</v>
      </c>
      <c r="G6" s="41">
        <f>(COUNTIFS(集計用!$Y:$Y, "*, "&amp;G$4&amp;",*",集計用!$G:$G, "*, "&amp;$C6&amp;",*"))/$B6*100</f>
        <v>59.756097560975604</v>
      </c>
      <c r="H6" s="41">
        <f>(COUNTIFS(集計用!$Y:$Y, "*, "&amp;H$4&amp;",*",集計用!$G:$G, "*, "&amp;$C6&amp;",*"))/$B6*100</f>
        <v>48.780487804878049</v>
      </c>
      <c r="I6" s="41">
        <f>(COUNTIFS(集計用!$Y:$Y, "*, "&amp;I$4&amp;",*",集計用!$G:$G, "*, "&amp;$C6&amp;",*"))/$B6*100</f>
        <v>37.804878048780488</v>
      </c>
      <c r="J6" s="41">
        <f>(COUNTIFS(集計用!$Y:$Y, "*, "&amp;J$4&amp;",*",集計用!$G:$G, "*, "&amp;$C6&amp;",*"))/$B6*100</f>
        <v>37.804878048780488</v>
      </c>
      <c r="K6" s="41">
        <f>(COUNTIFS(集計用!$Y:$Y, "*, "&amp;K$4&amp;",*",集計用!$G:$G, "*, "&amp;$C6&amp;",*"))/$B6*100</f>
        <v>21.951219512195124</v>
      </c>
      <c r="L6" s="41">
        <f>(COUNTIFS(集計用!$Y:$Y, "*, "&amp;L$4&amp;",*",集計用!$G:$G, "*, "&amp;$C6&amp;",*"))/$B6*100</f>
        <v>23.170731707317074</v>
      </c>
      <c r="M6" s="41">
        <f>(COUNTIFS(集計用!$Y:$Y, "*, "&amp;M$4&amp;",*",集計用!$G:$G, "*, "&amp;$C6&amp;",*"))/$B6*100</f>
        <v>31.707317073170731</v>
      </c>
      <c r="N6" s="41">
        <f>(COUNTIFS(集計用!$Y:$Y, "*, "&amp;N$4&amp;",*",集計用!$G:$G, "*, "&amp;$C6&amp;",*"))/$B6*100</f>
        <v>26.829268292682929</v>
      </c>
      <c r="O6" s="41">
        <f>(COUNTIFS(集計用!$Y:$Y, "*, "&amp;O$4&amp;",*",集計用!$G:$G, "*, "&amp;$C6&amp;",*"))/$B6*100</f>
        <v>19.512195121951219</v>
      </c>
      <c r="P6" s="41">
        <f>(COUNTIFS(集計用!$Y:$Y, "*, "&amp;P$4&amp;",*",集計用!$G:$G, "*, "&amp;$C6&amp;",*"))/$B6*100</f>
        <v>15.853658536585366</v>
      </c>
      <c r="Q6"/>
      <c r="T6"/>
      <c r="U6"/>
      <c r="W6"/>
      <c r="Y6" s="39"/>
    </row>
    <row r="7" spans="1:26" ht="15.75" customHeight="1">
      <c r="A7" s="39">
        <v>1</v>
      </c>
      <c r="B7" s="39">
        <f>(COUNTIFS(集計用!$G$2:$G$444,"*, "&amp;$C7&amp;",*",集計用!$Y$2:$Y$444,"&lt;&gt;無回答 "))</f>
        <v>67</v>
      </c>
      <c r="C7" s="42" t="s">
        <v>7</v>
      </c>
      <c r="D7" s="41">
        <f>(COUNTIFS(集計用!$Y:$Y, "*, "&amp;D$4&amp;",*",集計用!$G:$G, "*, "&amp;$C7&amp;",*"))/$B7*100</f>
        <v>74.626865671641795</v>
      </c>
      <c r="E7" s="41">
        <f>(COUNTIFS(集計用!$Y:$Y, "*, "&amp;E$4&amp;",*",集計用!$G:$G, "*, "&amp;$C7&amp;",*"))/$B7*100</f>
        <v>53.731343283582092</v>
      </c>
      <c r="F7" s="41">
        <f>(COUNTIFS(集計用!$Y:$Y, "*, "&amp;F$4&amp;",*",集計用!$G:$G, "*, "&amp;$C7&amp;",*"))/$B7*100</f>
        <v>58.208955223880601</v>
      </c>
      <c r="G7" s="41">
        <f>(COUNTIFS(集計用!$Y:$Y, "*, "&amp;G$4&amp;",*",集計用!$G:$G, "*, "&amp;$C7&amp;",*"))/$B7*100</f>
        <v>59.701492537313428</v>
      </c>
      <c r="H7" s="41">
        <f>(COUNTIFS(集計用!$Y:$Y, "*, "&amp;H$4&amp;",*",集計用!$G:$G, "*, "&amp;$C7&amp;",*"))/$B7*100</f>
        <v>44.776119402985074</v>
      </c>
      <c r="I7" s="41">
        <f>(COUNTIFS(集計用!$Y:$Y, "*, "&amp;I$4&amp;",*",集計用!$G:$G, "*, "&amp;$C7&amp;",*"))/$B7*100</f>
        <v>32.835820895522389</v>
      </c>
      <c r="J7" s="41">
        <f>(COUNTIFS(集計用!$Y:$Y, "*, "&amp;J$4&amp;",*",集計用!$G:$G, "*, "&amp;$C7&amp;",*"))/$B7*100</f>
        <v>29.850746268656714</v>
      </c>
      <c r="K7" s="41">
        <f>(COUNTIFS(集計用!$Y:$Y, "*, "&amp;K$4&amp;",*",集計用!$G:$G, "*, "&amp;$C7&amp;",*"))/$B7*100</f>
        <v>25.373134328358208</v>
      </c>
      <c r="L7" s="41">
        <f>(COUNTIFS(集計用!$Y:$Y, "*, "&amp;L$4&amp;",*",集計用!$G:$G, "*, "&amp;$C7&amp;",*"))/$B7*100</f>
        <v>22.388059701492537</v>
      </c>
      <c r="M7" s="41">
        <f>(COUNTIFS(集計用!$Y:$Y, "*, "&amp;M$4&amp;",*",集計用!$G:$G, "*, "&amp;$C7&amp;",*"))/$B7*100</f>
        <v>22.388059701492537</v>
      </c>
      <c r="N7" s="41">
        <f>(COUNTIFS(集計用!$Y:$Y, "*, "&amp;N$4&amp;",*",集計用!$G:$G, "*, "&amp;$C7&amp;",*"))/$B7*100</f>
        <v>25.373134328358208</v>
      </c>
      <c r="O7" s="41">
        <f>(COUNTIFS(集計用!$Y:$Y, "*, "&amp;O$4&amp;",*",集計用!$G:$G, "*, "&amp;$C7&amp;",*"))/$B7*100</f>
        <v>14.925373134328357</v>
      </c>
      <c r="P7" s="41">
        <f>(COUNTIFS(集計用!$Y:$Y, "*, "&amp;P$4&amp;",*",集計用!$G:$G, "*, "&amp;$C7&amp;",*"))/$B7*100</f>
        <v>17.910447761194028</v>
      </c>
      <c r="Q7"/>
      <c r="U7" s="76"/>
      <c r="V7" s="14"/>
      <c r="X7" s="14"/>
      <c r="Y7" s="41"/>
      <c r="Z7" s="59"/>
    </row>
    <row r="8" spans="1:26" ht="15.75" customHeight="1">
      <c r="A8" s="39">
        <v>1</v>
      </c>
      <c r="B8" s="39">
        <f>(COUNTIFS(集計用!$G$2:$G$444,"*, "&amp;$C8&amp;",*",集計用!$Y$2:$Y$444,"&lt;&gt;無回答 "))</f>
        <v>133</v>
      </c>
      <c r="C8" s="42" t="s">
        <v>1</v>
      </c>
      <c r="D8" s="41">
        <f>(COUNTIFS(集計用!$Y:$Y, "*, "&amp;D$4&amp;",*",集計用!$G:$G, "*, "&amp;$C8&amp;",*"))/$B8*100</f>
        <v>81.203007518796994</v>
      </c>
      <c r="E8" s="41">
        <f>(COUNTIFS(集計用!$Y:$Y, "*, "&amp;E$4&amp;",*",集計用!$G:$G, "*, "&amp;$C8&amp;",*"))/$B8*100</f>
        <v>72.932330827067673</v>
      </c>
      <c r="F8" s="41">
        <f>(COUNTIFS(集計用!$Y:$Y, "*, "&amp;F$4&amp;",*",集計用!$G:$G, "*, "&amp;$C8&amp;",*"))/$B8*100</f>
        <v>61.65413533834586</v>
      </c>
      <c r="G8" s="41">
        <f>(COUNTIFS(集計用!$Y:$Y, "*, "&amp;G$4&amp;",*",集計用!$G:$G, "*, "&amp;$C8&amp;",*"))/$B8*100</f>
        <v>63.157894736842103</v>
      </c>
      <c r="H8" s="41">
        <f>(COUNTIFS(集計用!$Y:$Y, "*, "&amp;H$4&amp;",*",集計用!$G:$G, "*, "&amp;$C8&amp;",*"))/$B8*100</f>
        <v>57.142857142857139</v>
      </c>
      <c r="I8" s="41">
        <f>(COUNTIFS(集計用!$Y:$Y, "*, "&amp;I$4&amp;",*",集計用!$G:$G, "*, "&amp;$C8&amp;",*"))/$B8*100</f>
        <v>48.120300751879697</v>
      </c>
      <c r="J8" s="41">
        <f>(COUNTIFS(集計用!$Y:$Y, "*, "&amp;J$4&amp;",*",集計用!$G:$G, "*, "&amp;$C8&amp;",*"))/$B8*100</f>
        <v>42.857142857142854</v>
      </c>
      <c r="K8" s="41">
        <f>(COUNTIFS(集計用!$Y:$Y, "*, "&amp;K$4&amp;",*",集計用!$G:$G, "*, "&amp;$C8&amp;",*"))/$B8*100</f>
        <v>37.593984962406012</v>
      </c>
      <c r="L8" s="41">
        <f>(COUNTIFS(集計用!$Y:$Y, "*, "&amp;L$4&amp;",*",集計用!$G:$G, "*, "&amp;$C8&amp;",*"))/$B8*100</f>
        <v>30.075187969924812</v>
      </c>
      <c r="M8" s="41">
        <f>(COUNTIFS(集計用!$Y:$Y, "*, "&amp;M$4&amp;",*",集計用!$G:$G, "*, "&amp;$C8&amp;",*"))/$B8*100</f>
        <v>31.578947368421051</v>
      </c>
      <c r="N8" s="41">
        <f>(COUNTIFS(集計用!$Y:$Y, "*, "&amp;N$4&amp;",*",集計用!$G:$G, "*, "&amp;$C8&amp;",*"))/$B8*100</f>
        <v>24.81203007518797</v>
      </c>
      <c r="O8" s="41">
        <f>(COUNTIFS(集計用!$Y:$Y, "*, "&amp;O$4&amp;",*",集計用!$G:$G, "*, "&amp;$C8&amp;",*"))/$B8*100</f>
        <v>18.796992481203006</v>
      </c>
      <c r="P8" s="41">
        <f>(COUNTIFS(集計用!$Y:$Y, "*, "&amp;P$4&amp;",*",集計用!$G:$G, "*, "&amp;$C8&amp;",*"))/$B8*100</f>
        <v>23.308270676691727</v>
      </c>
      <c r="Q8"/>
      <c r="U8" s="2"/>
      <c r="V8" s="14"/>
      <c r="X8" s="14"/>
      <c r="Y8" s="41"/>
      <c r="Z8" s="59"/>
    </row>
    <row r="9" spans="1:26" ht="15.75" customHeight="1">
      <c r="A9" s="39">
        <v>1</v>
      </c>
      <c r="B9" s="39">
        <f>(COUNTIFS(集計用!$G$2:$G$444,"*, "&amp;$C9&amp;",*",集計用!$Y$2:$Y$444,"&lt;&gt;無回答 "))</f>
        <v>248</v>
      </c>
      <c r="C9" s="42" t="s">
        <v>0</v>
      </c>
      <c r="D9" s="41">
        <f>(COUNTIFS(集計用!$Y:$Y, "*, "&amp;D$4&amp;",*",集計用!$G:$G, "*, "&amp;$C9&amp;",*"))/$B9*100</f>
        <v>80.645161290322577</v>
      </c>
      <c r="E9" s="41">
        <f>(COUNTIFS(集計用!$Y:$Y, "*, "&amp;E$4&amp;",*",集計用!$G:$G, "*, "&amp;$C9&amp;",*"))/$B9*100</f>
        <v>74.596774193548384</v>
      </c>
      <c r="F9" s="41">
        <f>(COUNTIFS(集計用!$Y:$Y, "*, "&amp;F$4&amp;",*",集計用!$G:$G, "*, "&amp;$C9&amp;",*"))/$B9*100</f>
        <v>60.080645161290327</v>
      </c>
      <c r="G9" s="41">
        <f>(COUNTIFS(集計用!$Y:$Y, "*, "&amp;G$4&amp;",*",集計用!$G:$G, "*, "&amp;$C9&amp;",*"))/$B9*100</f>
        <v>60.080645161290327</v>
      </c>
      <c r="H9" s="41">
        <f>(COUNTIFS(集計用!$Y:$Y, "*, "&amp;H$4&amp;",*",集計用!$G:$G, "*, "&amp;$C9&amp;",*"))/$B9*100</f>
        <v>51.20967741935484</v>
      </c>
      <c r="I9" s="41">
        <f>(COUNTIFS(集計用!$Y:$Y, "*, "&amp;I$4&amp;",*",集計用!$G:$G, "*, "&amp;$C9&amp;",*"))/$B9*100</f>
        <v>47.177419354838712</v>
      </c>
      <c r="J9" s="41">
        <f>(COUNTIFS(集計用!$Y:$Y, "*, "&amp;J$4&amp;",*",集計用!$G:$G, "*, "&amp;$C9&amp;",*"))/$B9*100</f>
        <v>40.322580645161288</v>
      </c>
      <c r="K9" s="41">
        <f>(COUNTIFS(集計用!$Y:$Y, "*, "&amp;K$4&amp;",*",集計用!$G:$G, "*, "&amp;$C9&amp;",*"))/$B9*100</f>
        <v>37.096774193548384</v>
      </c>
      <c r="L9" s="41">
        <f>(COUNTIFS(集計用!$Y:$Y, "*, "&amp;L$4&amp;",*",集計用!$G:$G, "*, "&amp;$C9&amp;",*"))/$B9*100</f>
        <v>30.64516129032258</v>
      </c>
      <c r="M9" s="41">
        <f>(COUNTIFS(集計用!$Y:$Y, "*, "&amp;M$4&amp;",*",集計用!$G:$G, "*, "&amp;$C9&amp;",*"))/$B9*100</f>
        <v>30.64516129032258</v>
      </c>
      <c r="N9" s="41">
        <f>(COUNTIFS(集計用!$Y:$Y, "*, "&amp;N$4&amp;",*",集計用!$G:$G, "*, "&amp;$C9&amp;",*"))/$B9*100</f>
        <v>24.596774193548388</v>
      </c>
      <c r="O9" s="41">
        <f>(COUNTIFS(集計用!$Y:$Y, "*, "&amp;O$4&amp;",*",集計用!$G:$G, "*, "&amp;$C9&amp;",*"))/$B9*100</f>
        <v>23.387096774193548</v>
      </c>
      <c r="P9" s="41">
        <f>(COUNTIFS(集計用!$Y:$Y, "*, "&amp;P$4&amp;",*",集計用!$G:$G, "*, "&amp;$C9&amp;",*"))/$B9*100</f>
        <v>18.548387096774192</v>
      </c>
      <c r="Q9"/>
      <c r="U9" s="2"/>
      <c r="V9" s="14"/>
      <c r="X9" s="14"/>
      <c r="Y9" s="41"/>
      <c r="Z9" s="59"/>
    </row>
    <row r="10" spans="1:26" ht="15.75" customHeight="1">
      <c r="A10" s="39">
        <v>1</v>
      </c>
      <c r="B10" s="39">
        <f>(COUNTIFS(集計用!$G$2:$G$444,"*, "&amp;$C10&amp;",*",集計用!$Y$2:$Y$444,"&lt;&gt;無回答 "))</f>
        <v>70</v>
      </c>
      <c r="C10" s="42" t="s">
        <v>6</v>
      </c>
      <c r="D10" s="41">
        <f>(COUNTIFS(集計用!$Y:$Y, "*, "&amp;D$4&amp;",*",集計用!$G:$G, "*, "&amp;$C10&amp;",*"))/$B10*100</f>
        <v>78.571428571428569</v>
      </c>
      <c r="E10" s="41">
        <f>(COUNTIFS(集計用!$Y:$Y, "*, "&amp;E$4&amp;",*",集計用!$G:$G, "*, "&amp;$C10&amp;",*"))/$B10*100</f>
        <v>68.571428571428569</v>
      </c>
      <c r="F10" s="41">
        <f>(COUNTIFS(集計用!$Y:$Y, "*, "&amp;F$4&amp;",*",集計用!$G:$G, "*, "&amp;$C10&amp;",*"))/$B10*100</f>
        <v>62.857142857142854</v>
      </c>
      <c r="G10" s="41">
        <f>(COUNTIFS(集計用!$Y:$Y, "*, "&amp;G$4&amp;",*",集計用!$G:$G, "*, "&amp;$C10&amp;",*"))/$B10*100</f>
        <v>68.571428571428569</v>
      </c>
      <c r="H10" s="41">
        <f>(COUNTIFS(集計用!$Y:$Y, "*, "&amp;H$4&amp;",*",集計用!$G:$G, "*, "&amp;$C10&amp;",*"))/$B10*100</f>
        <v>58.571428571428577</v>
      </c>
      <c r="I10" s="41">
        <f>(COUNTIFS(集計用!$Y:$Y, "*, "&amp;I$4&amp;",*",集計用!$G:$G, "*, "&amp;$C10&amp;",*"))/$B10*100</f>
        <v>47.142857142857139</v>
      </c>
      <c r="J10" s="41">
        <f>(COUNTIFS(集計用!$Y:$Y, "*, "&amp;J$4&amp;",*",集計用!$G:$G, "*, "&amp;$C10&amp;",*"))/$B10*100</f>
        <v>48.571428571428569</v>
      </c>
      <c r="K10" s="41">
        <f>(COUNTIFS(集計用!$Y:$Y, "*, "&amp;K$4&amp;",*",集計用!$G:$G, "*, "&amp;$C10&amp;",*"))/$B10*100</f>
        <v>31.428571428571427</v>
      </c>
      <c r="L10" s="41">
        <f>(COUNTIFS(集計用!$Y:$Y, "*, "&amp;L$4&amp;",*",集計用!$G:$G, "*, "&amp;$C10&amp;",*"))/$B10*100</f>
        <v>32.857142857142854</v>
      </c>
      <c r="M10" s="41">
        <f>(COUNTIFS(集計用!$Y:$Y, "*, "&amp;M$4&amp;",*",集計用!$G:$G, "*, "&amp;$C10&amp;",*"))/$B10*100</f>
        <v>24.285714285714285</v>
      </c>
      <c r="N10" s="41">
        <f>(COUNTIFS(集計用!$Y:$Y, "*, "&amp;N$4&amp;",*",集計用!$G:$G, "*, "&amp;$C10&amp;",*"))/$B10*100</f>
        <v>22.857142857142858</v>
      </c>
      <c r="O10" s="41">
        <f>(COUNTIFS(集計用!$Y:$Y, "*, "&amp;O$4&amp;",*",集計用!$G:$G, "*, "&amp;$C10&amp;",*"))/$B10*100</f>
        <v>18.571428571428573</v>
      </c>
      <c r="P10" s="41">
        <f>(COUNTIFS(集計用!$Y:$Y, "*, "&amp;P$4&amp;",*",集計用!$G:$G, "*, "&amp;$C10&amp;",*"))/$B10*100</f>
        <v>21.428571428571427</v>
      </c>
      <c r="Q10"/>
      <c r="U10" s="2"/>
      <c r="V10" s="14"/>
      <c r="X10" s="14"/>
      <c r="Y10" s="41"/>
      <c r="Z10" s="59"/>
    </row>
    <row r="11" spans="1:26" ht="15.75" customHeight="1">
      <c r="A11" s="39">
        <v>2</v>
      </c>
      <c r="B11" s="39">
        <f>(COUNTIFS(集計用!$G$2:$G$444,"*, "&amp;$C11&amp;",*",集計用!$Y$2:$Y$444,"&lt;&gt;無回答 "))</f>
        <v>4</v>
      </c>
      <c r="C11" s="42" t="s">
        <v>48</v>
      </c>
      <c r="D11" s="41">
        <f>(COUNTIFS(集計用!$Y:$Y, "*, "&amp;D$4&amp;",*",集計用!$G:$G, "*, "&amp;$C11&amp;",*"))/$B11*100</f>
        <v>75</v>
      </c>
      <c r="E11" s="41">
        <f>(COUNTIFS(集計用!$Y:$Y, "*, "&amp;E$4&amp;",*",集計用!$G:$G, "*, "&amp;$C11&amp;",*"))/$B11*100</f>
        <v>50</v>
      </c>
      <c r="F11" s="41">
        <f>(COUNTIFS(集計用!$Y:$Y, "*, "&amp;F$4&amp;",*",集計用!$G:$G, "*, "&amp;$C11&amp;",*"))/$B11*100</f>
        <v>100</v>
      </c>
      <c r="G11" s="41">
        <f>(COUNTIFS(集計用!$Y:$Y, "*, "&amp;G$4&amp;",*",集計用!$G:$G, "*, "&amp;$C11&amp;",*"))/$B11*100</f>
        <v>75</v>
      </c>
      <c r="H11" s="41">
        <f>(COUNTIFS(集計用!$Y:$Y, "*, "&amp;H$4&amp;",*",集計用!$G:$G, "*, "&amp;$C11&amp;",*"))/$B11*100</f>
        <v>100</v>
      </c>
      <c r="I11" s="41">
        <f>(COUNTIFS(集計用!$Y:$Y, "*, "&amp;I$4&amp;",*",集計用!$G:$G, "*, "&amp;$C11&amp;",*"))/$B11*100</f>
        <v>50</v>
      </c>
      <c r="J11" s="41">
        <f>(COUNTIFS(集計用!$Y:$Y, "*, "&amp;J$4&amp;",*",集計用!$G:$G, "*, "&amp;$C11&amp;",*"))/$B11*100</f>
        <v>25</v>
      </c>
      <c r="K11" s="41">
        <f>(COUNTIFS(集計用!$Y:$Y, "*, "&amp;K$4&amp;",*",集計用!$G:$G, "*, "&amp;$C11&amp;",*"))/$B11*100</f>
        <v>75</v>
      </c>
      <c r="L11" s="41">
        <f>(COUNTIFS(集計用!$Y:$Y, "*, "&amp;L$4&amp;",*",集計用!$G:$G, "*, "&amp;$C11&amp;",*"))/$B11*100</f>
        <v>25</v>
      </c>
      <c r="M11" s="41">
        <f>(COUNTIFS(集計用!$Y:$Y, "*, "&amp;M$4&amp;",*",集計用!$G:$G, "*, "&amp;$C11&amp;",*"))/$B11*100</f>
        <v>25</v>
      </c>
      <c r="N11" s="41">
        <f>(COUNTIFS(集計用!$Y:$Y, "*, "&amp;N$4&amp;",*",集計用!$G:$G, "*, "&amp;$C11&amp;",*"))/$B11*100</f>
        <v>50</v>
      </c>
      <c r="O11" s="41">
        <f>(COUNTIFS(集計用!$Y:$Y, "*, "&amp;O$4&amp;",*",集計用!$G:$G, "*, "&amp;$C11&amp;",*"))/$B11*100</f>
        <v>50</v>
      </c>
      <c r="P11" s="41">
        <f>(COUNTIFS(集計用!$Y:$Y, "*, "&amp;P$4&amp;",*",集計用!$G:$G, "*, "&amp;$C11&amp;",*"))/$B11*100</f>
        <v>25</v>
      </c>
      <c r="Q11"/>
      <c r="U11" s="2"/>
      <c r="V11" s="14"/>
      <c r="X11" s="14"/>
      <c r="Y11" s="41"/>
      <c r="Z11" s="59"/>
    </row>
    <row r="12" spans="1:26" ht="15.75" customHeight="1">
      <c r="A12" s="39">
        <v>2</v>
      </c>
      <c r="B12" s="39">
        <f>(COUNTIFS(集計用!$G$2:$G$444,"*, "&amp;$C12&amp;",*",集計用!$Y$2:$Y$444,"&lt;&gt;無回答 "))</f>
        <v>30</v>
      </c>
      <c r="C12" s="42" t="s">
        <v>19</v>
      </c>
      <c r="D12" s="41">
        <f>(COUNTIFS(集計用!$Y:$Y, "*, "&amp;D$4&amp;",*",集計用!$G:$G, "*, "&amp;$C12&amp;",*"))/$B12*100</f>
        <v>80</v>
      </c>
      <c r="E12" s="41">
        <f>(COUNTIFS(集計用!$Y:$Y, "*, "&amp;E$4&amp;",*",集計用!$G:$G, "*, "&amp;$C12&amp;",*"))/$B12*100</f>
        <v>46.666666666666664</v>
      </c>
      <c r="F12" s="41">
        <f>(COUNTIFS(集計用!$Y:$Y, "*, "&amp;F$4&amp;",*",集計用!$G:$G, "*, "&amp;$C12&amp;",*"))/$B12*100</f>
        <v>50</v>
      </c>
      <c r="G12" s="41">
        <f>(COUNTIFS(集計用!$Y:$Y, "*, "&amp;G$4&amp;",*",集計用!$G:$G, "*, "&amp;$C12&amp;",*"))/$B12*100</f>
        <v>66.666666666666657</v>
      </c>
      <c r="H12" s="41">
        <f>(COUNTIFS(集計用!$Y:$Y, "*, "&amp;H$4&amp;",*",集計用!$G:$G, "*, "&amp;$C12&amp;",*"))/$B12*100</f>
        <v>60</v>
      </c>
      <c r="I12" s="41">
        <f>(COUNTIFS(集計用!$Y:$Y, "*, "&amp;I$4&amp;",*",集計用!$G:$G, "*, "&amp;$C12&amp;",*"))/$B12*100</f>
        <v>43.333333333333336</v>
      </c>
      <c r="J12" s="41">
        <f>(COUNTIFS(集計用!$Y:$Y, "*, "&amp;J$4&amp;",*",集計用!$G:$G, "*, "&amp;$C12&amp;",*"))/$B12*100</f>
        <v>33.333333333333329</v>
      </c>
      <c r="K12" s="41">
        <f>(COUNTIFS(集計用!$Y:$Y, "*, "&amp;K$4&amp;",*",集計用!$G:$G, "*, "&amp;$C12&amp;",*"))/$B12*100</f>
        <v>33.333333333333329</v>
      </c>
      <c r="L12" s="41">
        <f>(COUNTIFS(集計用!$Y:$Y, "*, "&amp;L$4&amp;",*",集計用!$G:$G, "*, "&amp;$C12&amp;",*"))/$B12*100</f>
        <v>23.333333333333332</v>
      </c>
      <c r="M12" s="41">
        <f>(COUNTIFS(集計用!$Y:$Y, "*, "&amp;M$4&amp;",*",集計用!$G:$G, "*, "&amp;$C12&amp;",*"))/$B12*100</f>
        <v>16.666666666666664</v>
      </c>
      <c r="N12" s="41">
        <f>(COUNTIFS(集計用!$Y:$Y, "*, "&amp;N$4&amp;",*",集計用!$G:$G, "*, "&amp;$C12&amp;",*"))/$B12*100</f>
        <v>33.333333333333329</v>
      </c>
      <c r="O12" s="41">
        <f>(COUNTIFS(集計用!$Y:$Y, "*, "&amp;O$4&amp;",*",集計用!$G:$G, "*, "&amp;$C12&amp;",*"))/$B12*100</f>
        <v>33.333333333333329</v>
      </c>
      <c r="P12" s="41">
        <f>(COUNTIFS(集計用!$Y:$Y, "*, "&amp;P$4&amp;",*",集計用!$G:$G, "*, "&amp;$C12&amp;",*"))/$B12*100</f>
        <v>10</v>
      </c>
      <c r="Q12"/>
      <c r="U12" s="2"/>
      <c r="V12" s="14"/>
      <c r="X12" s="14"/>
      <c r="Y12" s="41"/>
      <c r="Z12" s="59"/>
    </row>
    <row r="13" spans="1:26" ht="15.75" customHeight="1">
      <c r="A13" s="39">
        <v>2</v>
      </c>
      <c r="B13" s="39">
        <f>(COUNTIFS(集計用!$G$2:$G$444,"*, "&amp;$C13&amp;",*",集計用!$Y$2:$Y$444,"&lt;&gt;無回答 "))</f>
        <v>54</v>
      </c>
      <c r="C13" s="42" t="s">
        <v>11</v>
      </c>
      <c r="D13" s="41">
        <f>(COUNTIFS(集計用!$Y:$Y, "*, "&amp;D$4&amp;",*",集計用!$G:$G, "*, "&amp;$C13&amp;",*"))/$B13*100</f>
        <v>66.666666666666657</v>
      </c>
      <c r="E13" s="41">
        <f>(COUNTIFS(集計用!$Y:$Y, "*, "&amp;E$4&amp;",*",集計用!$G:$G, "*, "&amp;$C13&amp;",*"))/$B13*100</f>
        <v>57.407407407407405</v>
      </c>
      <c r="F13" s="41">
        <f>(COUNTIFS(集計用!$Y:$Y, "*, "&amp;F$4&amp;",*",集計用!$G:$G, "*, "&amp;$C13&amp;",*"))/$B13*100</f>
        <v>62.962962962962962</v>
      </c>
      <c r="G13" s="41">
        <f>(COUNTIFS(集計用!$Y:$Y, "*, "&amp;G$4&amp;",*",集計用!$G:$G, "*, "&amp;$C13&amp;",*"))/$B13*100</f>
        <v>51.851851851851848</v>
      </c>
      <c r="H13" s="41">
        <f>(COUNTIFS(集計用!$Y:$Y, "*, "&amp;H$4&amp;",*",集計用!$G:$G, "*, "&amp;$C13&amp;",*"))/$B13*100</f>
        <v>48.148148148148145</v>
      </c>
      <c r="I13" s="41">
        <f>(COUNTIFS(集計用!$Y:$Y, "*, "&amp;I$4&amp;",*",集計用!$G:$G, "*, "&amp;$C13&amp;",*"))/$B13*100</f>
        <v>38.888888888888893</v>
      </c>
      <c r="J13" s="41">
        <f>(COUNTIFS(集計用!$Y:$Y, "*, "&amp;J$4&amp;",*",集計用!$G:$G, "*, "&amp;$C13&amp;",*"))/$B13*100</f>
        <v>44.444444444444443</v>
      </c>
      <c r="K13" s="41">
        <f>(COUNTIFS(集計用!$Y:$Y, "*, "&amp;K$4&amp;",*",集計用!$G:$G, "*, "&amp;$C13&amp;",*"))/$B13*100</f>
        <v>33.333333333333329</v>
      </c>
      <c r="L13" s="41">
        <f>(COUNTIFS(集計用!$Y:$Y, "*, "&amp;L$4&amp;",*",集計用!$G:$G, "*, "&amp;$C13&amp;",*"))/$B13*100</f>
        <v>27.777777777777779</v>
      </c>
      <c r="M13" s="41">
        <f>(COUNTIFS(集計用!$Y:$Y, "*, "&amp;M$4&amp;",*",集計用!$G:$G, "*, "&amp;$C13&amp;",*"))/$B13*100</f>
        <v>24.074074074074073</v>
      </c>
      <c r="N13" s="41">
        <f>(COUNTIFS(集計用!$Y:$Y, "*, "&amp;N$4&amp;",*",集計用!$G:$G, "*, "&amp;$C13&amp;",*"))/$B13*100</f>
        <v>29.629629629629626</v>
      </c>
      <c r="O13" s="41">
        <f>(COUNTIFS(集計用!$Y:$Y, "*, "&amp;O$4&amp;",*",集計用!$G:$G, "*, "&amp;$C13&amp;",*"))/$B13*100</f>
        <v>18.518518518518519</v>
      </c>
      <c r="P13" s="41">
        <f>(COUNTIFS(集計用!$Y:$Y, "*, "&amp;P$4&amp;",*",集計用!$G:$G, "*, "&amp;$C13&amp;",*"))/$B13*100</f>
        <v>20.37037037037037</v>
      </c>
      <c r="Q13"/>
      <c r="U13" s="2"/>
      <c r="V13" s="14"/>
      <c r="X13" s="14"/>
      <c r="Y13" s="41"/>
      <c r="Z13" s="59"/>
    </row>
    <row r="14" spans="1:26" ht="15.75" customHeight="1">
      <c r="A14" s="39">
        <v>2</v>
      </c>
      <c r="B14" s="39">
        <f>(COUNTIFS(集計用!$G$2:$G$444,"*, "&amp;$C14&amp;",*",集計用!$Y$2:$Y$444,"&lt;&gt;無回答 "))</f>
        <v>65</v>
      </c>
      <c r="C14" s="42" t="s">
        <v>9</v>
      </c>
      <c r="D14" s="41">
        <f>(COUNTIFS(集計用!$Y:$Y, "*, "&amp;D$4&amp;",*",集計用!$G:$G, "*, "&amp;$C14&amp;",*"))/$B14*100</f>
        <v>76.923076923076934</v>
      </c>
      <c r="E14" s="41">
        <f>(COUNTIFS(集計用!$Y:$Y, "*, "&amp;E$4&amp;",*",集計用!$G:$G, "*, "&amp;$C14&amp;",*"))/$B14*100</f>
        <v>63.076923076923073</v>
      </c>
      <c r="F14" s="41">
        <f>(COUNTIFS(集計用!$Y:$Y, "*, "&amp;F$4&amp;",*",集計用!$G:$G, "*, "&amp;$C14&amp;",*"))/$B14*100</f>
        <v>61.53846153846154</v>
      </c>
      <c r="G14" s="41">
        <f>(COUNTIFS(集計用!$Y:$Y, "*, "&amp;G$4&amp;",*",集計用!$G:$G, "*, "&amp;$C14&amp;",*"))/$B14*100</f>
        <v>58.461538461538467</v>
      </c>
      <c r="H14" s="41">
        <f>(COUNTIFS(集計用!$Y:$Y, "*, "&amp;H$4&amp;",*",集計用!$G:$G, "*, "&amp;$C14&amp;",*"))/$B14*100</f>
        <v>55.384615384615387</v>
      </c>
      <c r="I14" s="41">
        <f>(COUNTIFS(集計用!$Y:$Y, "*, "&amp;I$4&amp;",*",集計用!$G:$G, "*, "&amp;$C14&amp;",*"))/$B14*100</f>
        <v>46.153846153846153</v>
      </c>
      <c r="J14" s="41">
        <f>(COUNTIFS(集計用!$Y:$Y, "*, "&amp;J$4&amp;",*",集計用!$G:$G, "*, "&amp;$C14&amp;",*"))/$B14*100</f>
        <v>38.461538461538467</v>
      </c>
      <c r="K14" s="41">
        <f>(COUNTIFS(集計用!$Y:$Y, "*, "&amp;K$4&amp;",*",集計用!$G:$G, "*, "&amp;$C14&amp;",*"))/$B14*100</f>
        <v>36.923076923076927</v>
      </c>
      <c r="L14" s="41">
        <f>(COUNTIFS(集計用!$Y:$Y, "*, "&amp;L$4&amp;",*",集計用!$G:$G, "*, "&amp;$C14&amp;",*"))/$B14*100</f>
        <v>30.76923076923077</v>
      </c>
      <c r="M14" s="41">
        <f>(COUNTIFS(集計用!$Y:$Y, "*, "&amp;M$4&amp;",*",集計用!$G:$G, "*, "&amp;$C14&amp;",*"))/$B14*100</f>
        <v>23.076923076923077</v>
      </c>
      <c r="N14" s="41">
        <f>(COUNTIFS(集計用!$Y:$Y, "*, "&amp;N$4&amp;",*",集計用!$G:$G, "*, "&amp;$C14&amp;",*"))/$B14*100</f>
        <v>29.230769230769234</v>
      </c>
      <c r="O14" s="41">
        <f>(COUNTIFS(集計用!$Y:$Y, "*, "&amp;O$4&amp;",*",集計用!$G:$G, "*, "&amp;$C14&amp;",*"))/$B14*100</f>
        <v>29.230769230769234</v>
      </c>
      <c r="P14" s="41">
        <f>(COUNTIFS(集計用!$Y:$Y, "*, "&amp;P$4&amp;",*",集計用!$G:$G, "*, "&amp;$C14&amp;",*"))/$B14*100</f>
        <v>15.384615384615385</v>
      </c>
      <c r="Q14"/>
      <c r="U14" s="2"/>
      <c r="V14" s="14"/>
      <c r="X14" s="14"/>
      <c r="Y14" s="41"/>
      <c r="Z14" s="59"/>
    </row>
    <row r="15" spans="1:26" ht="15.75" customHeight="1">
      <c r="A15" s="39">
        <v>2</v>
      </c>
      <c r="B15" s="39">
        <f>(COUNTIFS(集計用!$G$2:$G$444,"*, "&amp;$C15&amp;",*",集計用!$Y$2:$Y$444,"&lt;&gt;無回答 "))</f>
        <v>116</v>
      </c>
      <c r="C15" s="42" t="s">
        <v>2</v>
      </c>
      <c r="D15" s="41">
        <f>(COUNTIFS(集計用!$Y:$Y, "*, "&amp;D$4&amp;",*",集計用!$G:$G, "*, "&amp;$C15&amp;",*"))/$B15*100</f>
        <v>76.724137931034491</v>
      </c>
      <c r="E15" s="41">
        <f>(COUNTIFS(集計用!$Y:$Y, "*, "&amp;E$4&amp;",*",集計用!$G:$G, "*, "&amp;$C15&amp;",*"))/$B15*100</f>
        <v>62.068965517241381</v>
      </c>
      <c r="F15" s="41">
        <f>(COUNTIFS(集計用!$Y:$Y, "*, "&amp;F$4&amp;",*",集計用!$G:$G, "*, "&amp;$C15&amp;",*"))/$B15*100</f>
        <v>62.068965517241381</v>
      </c>
      <c r="G15" s="41">
        <f>(COUNTIFS(集計用!$Y:$Y, "*, "&amp;G$4&amp;",*",集計用!$G:$G, "*, "&amp;$C15&amp;",*"))/$B15*100</f>
        <v>62.068965517241381</v>
      </c>
      <c r="H15" s="41">
        <f>(COUNTIFS(集計用!$Y:$Y, "*, "&amp;H$4&amp;",*",集計用!$G:$G, "*, "&amp;$C15&amp;",*"))/$B15*100</f>
        <v>57.758620689655174</v>
      </c>
      <c r="I15" s="41">
        <f>(COUNTIFS(集計用!$Y:$Y, "*, "&amp;I$4&amp;",*",集計用!$G:$G, "*, "&amp;$C15&amp;",*"))/$B15*100</f>
        <v>45.689655172413794</v>
      </c>
      <c r="J15" s="41">
        <f>(COUNTIFS(集計用!$Y:$Y, "*, "&amp;J$4&amp;",*",集計用!$G:$G, "*, "&amp;$C15&amp;",*"))/$B15*100</f>
        <v>37.931034482758619</v>
      </c>
      <c r="K15" s="41">
        <f>(COUNTIFS(集計用!$Y:$Y, "*, "&amp;K$4&amp;",*",集計用!$G:$G, "*, "&amp;$C15&amp;",*"))/$B15*100</f>
        <v>40.517241379310342</v>
      </c>
      <c r="L15" s="41">
        <f>(COUNTIFS(集計用!$Y:$Y, "*, "&amp;L$4&amp;",*",集計用!$G:$G, "*, "&amp;$C15&amp;",*"))/$B15*100</f>
        <v>35.344827586206897</v>
      </c>
      <c r="M15" s="41">
        <f>(COUNTIFS(集計用!$Y:$Y, "*, "&amp;M$4&amp;",*",集計用!$G:$G, "*, "&amp;$C15&amp;",*"))/$B15*100</f>
        <v>24.137931034482758</v>
      </c>
      <c r="N15" s="41">
        <f>(COUNTIFS(集計用!$Y:$Y, "*, "&amp;N$4&amp;",*",集計用!$G:$G, "*, "&amp;$C15&amp;",*"))/$B15*100</f>
        <v>27.586206896551722</v>
      </c>
      <c r="O15" s="41">
        <f>(COUNTIFS(集計用!$Y:$Y, "*, "&amp;O$4&amp;",*",集計用!$G:$G, "*, "&amp;$C15&amp;",*"))/$B15*100</f>
        <v>24.137931034482758</v>
      </c>
      <c r="P15" s="41">
        <f>(COUNTIFS(集計用!$Y:$Y, "*, "&amp;P$4&amp;",*",集計用!$G:$G, "*, "&amp;$C15&amp;",*"))/$B15*100</f>
        <v>17.241379310344829</v>
      </c>
      <c r="Q15"/>
      <c r="U15" s="2"/>
      <c r="V15" s="14"/>
      <c r="X15" s="14"/>
      <c r="Y15" s="41"/>
      <c r="Z15" s="59"/>
    </row>
    <row r="16" spans="1:26" ht="15.75" customHeight="1">
      <c r="A16" s="39">
        <v>3</v>
      </c>
      <c r="B16" s="39">
        <f>(COUNTIFS(集計用!$G$2:$G$444,"*, "&amp;$C16&amp;",*",集計用!$Y$2:$Y$444,"&lt;&gt;無回答 "))</f>
        <v>70</v>
      </c>
      <c r="C16" s="42" t="s">
        <v>8</v>
      </c>
      <c r="D16" s="41">
        <f>(COUNTIFS(集計用!$Y:$Y, "*, "&amp;D$4&amp;",*",集計用!$G:$G, "*, "&amp;$C16&amp;",*"))/$B16*100</f>
        <v>84.285714285714292</v>
      </c>
      <c r="E16" s="41">
        <f>(COUNTIFS(集計用!$Y:$Y, "*, "&amp;E$4&amp;",*",集計用!$G:$G, "*, "&amp;$C16&amp;",*"))/$B16*100</f>
        <v>77.142857142857153</v>
      </c>
      <c r="F16" s="41">
        <f>(COUNTIFS(集計用!$Y:$Y, "*, "&amp;F$4&amp;",*",集計用!$G:$G, "*, "&amp;$C16&amp;",*"))/$B16*100</f>
        <v>65.714285714285708</v>
      </c>
      <c r="G16" s="41">
        <f>(COUNTIFS(集計用!$Y:$Y, "*, "&amp;G$4&amp;",*",集計用!$G:$G, "*, "&amp;$C16&amp;",*"))/$B16*100</f>
        <v>60</v>
      </c>
      <c r="H16" s="41">
        <f>(COUNTIFS(集計用!$Y:$Y, "*, "&amp;H$4&amp;",*",集計用!$G:$G, "*, "&amp;$C16&amp;",*"))/$B16*100</f>
        <v>58.571428571428577</v>
      </c>
      <c r="I16" s="41">
        <f>(COUNTIFS(集計用!$Y:$Y, "*, "&amp;I$4&amp;",*",集計用!$G:$G, "*, "&amp;$C16&amp;",*"))/$B16*100</f>
        <v>50</v>
      </c>
      <c r="J16" s="41">
        <f>(COUNTIFS(集計用!$Y:$Y, "*, "&amp;J$4&amp;",*",集計用!$G:$G, "*, "&amp;$C16&amp;",*"))/$B16*100</f>
        <v>41.428571428571431</v>
      </c>
      <c r="K16" s="41">
        <f>(COUNTIFS(集計用!$Y:$Y, "*, "&amp;K$4&amp;",*",集計用!$G:$G, "*, "&amp;$C16&amp;",*"))/$B16*100</f>
        <v>47.142857142857139</v>
      </c>
      <c r="L16" s="41">
        <f>(COUNTIFS(集計用!$Y:$Y, "*, "&amp;L$4&amp;",*",集計用!$G:$G, "*, "&amp;$C16&amp;",*"))/$B16*100</f>
        <v>21.428571428571427</v>
      </c>
      <c r="M16" s="41">
        <f>(COUNTIFS(集計用!$Y:$Y, "*, "&amp;M$4&amp;",*",集計用!$G:$G, "*, "&amp;$C16&amp;",*"))/$B16*100</f>
        <v>30</v>
      </c>
      <c r="N16" s="41">
        <f>(COUNTIFS(集計用!$Y:$Y, "*, "&amp;N$4&amp;",*",集計用!$G:$G, "*, "&amp;$C16&amp;",*"))/$B16*100</f>
        <v>32.857142857142854</v>
      </c>
      <c r="O16" s="41">
        <f>(COUNTIFS(集計用!$Y:$Y, "*, "&amp;O$4&amp;",*",集計用!$G:$G, "*, "&amp;$C16&amp;",*"))/$B16*100</f>
        <v>21.428571428571427</v>
      </c>
      <c r="P16" s="41">
        <f>(COUNTIFS(集計用!$Y:$Y, "*, "&amp;P$4&amp;",*",集計用!$G:$G, "*, "&amp;$C16&amp;",*"))/$B16*100</f>
        <v>22.857142857142858</v>
      </c>
      <c r="Q16"/>
      <c r="U16" s="2"/>
      <c r="V16" s="14"/>
      <c r="X16" s="14"/>
      <c r="Y16" s="41"/>
      <c r="Z16" s="59"/>
    </row>
    <row r="17" spans="1:26" ht="15.75" customHeight="1">
      <c r="A17" s="39">
        <v>3</v>
      </c>
      <c r="B17" s="39">
        <f>(COUNTIFS(集計用!$G$2:$G$444,"*, "&amp;$C17&amp;",*",集計用!$Y$2:$Y$444,"&lt;&gt;無回答 "))</f>
        <v>81</v>
      </c>
      <c r="C17" s="42" t="s">
        <v>4</v>
      </c>
      <c r="D17" s="41">
        <f>(COUNTIFS(集計用!$Y:$Y, "*, "&amp;D$4&amp;",*",集計用!$G:$G, "*, "&amp;$C17&amp;",*"))/$B17*100</f>
        <v>71.604938271604937</v>
      </c>
      <c r="E17" s="41">
        <f>(COUNTIFS(集計用!$Y:$Y, "*, "&amp;E$4&amp;",*",集計用!$G:$G, "*, "&amp;$C17&amp;",*"))/$B17*100</f>
        <v>74.074074074074076</v>
      </c>
      <c r="F17" s="41">
        <f>(COUNTIFS(集計用!$Y:$Y, "*, "&amp;F$4&amp;",*",集計用!$G:$G, "*, "&amp;$C17&amp;",*"))/$B17*100</f>
        <v>55.555555555555557</v>
      </c>
      <c r="G17" s="41">
        <f>(COUNTIFS(集計用!$Y:$Y, "*, "&amp;G$4&amp;",*",集計用!$G:$G, "*, "&amp;$C17&amp;",*"))/$B17*100</f>
        <v>61.728395061728392</v>
      </c>
      <c r="H17" s="41">
        <f>(COUNTIFS(集計用!$Y:$Y, "*, "&amp;H$4&amp;",*",集計用!$G:$G, "*, "&amp;$C17&amp;",*"))/$B17*100</f>
        <v>50.617283950617285</v>
      </c>
      <c r="I17" s="41">
        <f>(COUNTIFS(集計用!$Y:$Y, "*, "&amp;I$4&amp;",*",集計用!$G:$G, "*, "&amp;$C17&amp;",*"))/$B17*100</f>
        <v>50.617283950617285</v>
      </c>
      <c r="J17" s="41">
        <f>(COUNTIFS(集計用!$Y:$Y, "*, "&amp;J$4&amp;",*",集計用!$G:$G, "*, "&amp;$C17&amp;",*"))/$B17*100</f>
        <v>39.506172839506171</v>
      </c>
      <c r="K17" s="41">
        <f>(COUNTIFS(集計用!$Y:$Y, "*, "&amp;K$4&amp;",*",集計用!$G:$G, "*, "&amp;$C17&amp;",*"))/$B17*100</f>
        <v>41.975308641975303</v>
      </c>
      <c r="L17" s="41">
        <f>(COUNTIFS(集計用!$Y:$Y, "*, "&amp;L$4&amp;",*",集計用!$G:$G, "*, "&amp;$C17&amp;",*"))/$B17*100</f>
        <v>27.160493827160494</v>
      </c>
      <c r="M17" s="41">
        <f>(COUNTIFS(集計用!$Y:$Y, "*, "&amp;M$4&amp;",*",集計用!$G:$G, "*, "&amp;$C17&amp;",*"))/$B17*100</f>
        <v>32.098765432098766</v>
      </c>
      <c r="N17" s="41">
        <f>(COUNTIFS(集計用!$Y:$Y, "*, "&amp;N$4&amp;",*",集計用!$G:$G, "*, "&amp;$C17&amp;",*"))/$B17*100</f>
        <v>32.098765432098766</v>
      </c>
      <c r="O17" s="41">
        <f>(COUNTIFS(集計用!$Y:$Y, "*, "&amp;O$4&amp;",*",集計用!$G:$G, "*, "&amp;$C17&amp;",*"))/$B17*100</f>
        <v>27.160493827160494</v>
      </c>
      <c r="P17" s="41">
        <f>(COUNTIFS(集計用!$Y:$Y, "*, "&amp;P$4&amp;",*",集計用!$G:$G, "*, "&amp;$C17&amp;",*"))/$B17*100</f>
        <v>18.518518518518519</v>
      </c>
      <c r="Q17"/>
      <c r="U17" s="2"/>
      <c r="V17" s="14"/>
      <c r="X17" s="14"/>
      <c r="Y17" s="41"/>
      <c r="Z17" s="59"/>
    </row>
    <row r="18" spans="1:26" ht="15.75" customHeight="1">
      <c r="A18" s="39">
        <v>3</v>
      </c>
      <c r="B18" s="39">
        <f>(COUNTIFS(集計用!$G$2:$G$444,"*, "&amp;$C18&amp;",*",集計用!$Y$2:$Y$444,"&lt;&gt;無回答 "))</f>
        <v>45</v>
      </c>
      <c r="C18" s="42" t="s">
        <v>15</v>
      </c>
      <c r="D18" s="41">
        <f>(COUNTIFS(集計用!$Y:$Y, "*, "&amp;D$4&amp;",*",集計用!$G:$G, "*, "&amp;$C18&amp;",*"))/$B18*100</f>
        <v>84.444444444444443</v>
      </c>
      <c r="E18" s="41">
        <f>(COUNTIFS(集計用!$Y:$Y, "*, "&amp;E$4&amp;",*",集計用!$G:$G, "*, "&amp;$C18&amp;",*"))/$B18*100</f>
        <v>73.333333333333329</v>
      </c>
      <c r="F18" s="41">
        <f>(COUNTIFS(集計用!$Y:$Y, "*, "&amp;F$4&amp;",*",集計用!$G:$G, "*, "&amp;$C18&amp;",*"))/$B18*100</f>
        <v>64.444444444444443</v>
      </c>
      <c r="G18" s="41">
        <f>(COUNTIFS(集計用!$Y:$Y, "*, "&amp;G$4&amp;",*",集計用!$G:$G, "*, "&amp;$C18&amp;",*"))/$B18*100</f>
        <v>55.555555555555557</v>
      </c>
      <c r="H18" s="41">
        <f>(COUNTIFS(集計用!$Y:$Y, "*, "&amp;H$4&amp;",*",集計用!$G:$G, "*, "&amp;$C18&amp;",*"))/$B18*100</f>
        <v>57.777777777777771</v>
      </c>
      <c r="I18" s="41">
        <f>(COUNTIFS(集計用!$Y:$Y, "*, "&amp;I$4&amp;",*",集計用!$G:$G, "*, "&amp;$C18&amp;",*"))/$B18*100</f>
        <v>46.666666666666664</v>
      </c>
      <c r="J18" s="41">
        <f>(COUNTIFS(集計用!$Y:$Y, "*, "&amp;J$4&amp;",*",集計用!$G:$G, "*, "&amp;$C18&amp;",*"))/$B18*100</f>
        <v>37.777777777777779</v>
      </c>
      <c r="K18" s="41">
        <f>(COUNTIFS(集計用!$Y:$Y, "*, "&amp;K$4&amp;",*",集計用!$G:$G, "*, "&amp;$C18&amp;",*"))/$B18*100</f>
        <v>44.444444444444443</v>
      </c>
      <c r="L18" s="41">
        <f>(COUNTIFS(集計用!$Y:$Y, "*, "&amp;L$4&amp;",*",集計用!$G:$G, "*, "&amp;$C18&amp;",*"))/$B18*100</f>
        <v>26.666666666666668</v>
      </c>
      <c r="M18" s="41">
        <f>(COUNTIFS(集計用!$Y:$Y, "*, "&amp;M$4&amp;",*",集計用!$G:$G, "*, "&amp;$C18&amp;",*"))/$B18*100</f>
        <v>35.555555555555557</v>
      </c>
      <c r="N18" s="41">
        <f>(COUNTIFS(集計用!$Y:$Y, "*, "&amp;N$4&amp;",*",集計用!$G:$G, "*, "&amp;$C18&amp;",*"))/$B18*100</f>
        <v>28.888888888888886</v>
      </c>
      <c r="O18" s="41">
        <f>(COUNTIFS(集計用!$Y:$Y, "*, "&amp;O$4&amp;",*",集計用!$G:$G, "*, "&amp;$C18&amp;",*"))/$B18*100</f>
        <v>20</v>
      </c>
      <c r="P18" s="41">
        <f>(COUNTIFS(集計用!$Y:$Y, "*, "&amp;P$4&amp;",*",集計用!$G:$G, "*, "&amp;$C18&amp;",*"))/$B18*100</f>
        <v>20</v>
      </c>
      <c r="Q18"/>
      <c r="U18" s="2"/>
      <c r="V18" s="14"/>
      <c r="X18" s="14"/>
      <c r="Y18" s="41"/>
      <c r="Z18" s="59"/>
    </row>
    <row r="19" spans="1:26" ht="15.75" customHeight="1">
      <c r="A19" s="39">
        <v>4</v>
      </c>
      <c r="B19" s="39">
        <f>(COUNTIFS(集計用!$G$2:$G$444,"*, "&amp;$C19&amp;",*",集計用!$Y$2:$Y$444,"&lt;&gt;無回答 "))</f>
        <v>5</v>
      </c>
      <c r="C19" s="42" t="s">
        <v>50</v>
      </c>
      <c r="D19" s="41">
        <f>(COUNTIFS(集計用!$Y:$Y, "*, "&amp;D$4&amp;",*",集計用!$G:$G, "*, "&amp;$C19&amp;",*"))/$B19*100</f>
        <v>100</v>
      </c>
      <c r="E19" s="41">
        <f>(COUNTIFS(集計用!$Y:$Y, "*, "&amp;E$4&amp;",*",集計用!$G:$G, "*, "&amp;$C19&amp;",*"))/$B19*100</f>
        <v>80</v>
      </c>
      <c r="F19" s="41">
        <f>(COUNTIFS(集計用!$Y:$Y, "*, "&amp;F$4&amp;",*",集計用!$G:$G, "*, "&amp;$C19&amp;",*"))/$B19*100</f>
        <v>40</v>
      </c>
      <c r="G19" s="41">
        <f>(COUNTIFS(集計用!$Y:$Y, "*, "&amp;G$4&amp;",*",集計用!$G:$G, "*, "&amp;$C19&amp;",*"))/$B19*100</f>
        <v>20</v>
      </c>
      <c r="H19" s="41">
        <f>(COUNTIFS(集計用!$Y:$Y, "*, "&amp;H$4&amp;",*",集計用!$G:$G, "*, "&amp;$C19&amp;",*"))/$B19*100</f>
        <v>60</v>
      </c>
      <c r="I19" s="41">
        <f>(COUNTIFS(集計用!$Y:$Y, "*, "&amp;I$4&amp;",*",集計用!$G:$G, "*, "&amp;$C19&amp;",*"))/$B19*100</f>
        <v>60</v>
      </c>
      <c r="J19" s="41">
        <f>(COUNTIFS(集計用!$Y:$Y, "*, "&amp;J$4&amp;",*",集計用!$G:$G, "*, "&amp;$C19&amp;",*"))/$B19*100</f>
        <v>40</v>
      </c>
      <c r="K19" s="41">
        <f>(COUNTIFS(集計用!$Y:$Y, "*, "&amp;K$4&amp;",*",集計用!$G:$G, "*, "&amp;$C19&amp;",*"))/$B19*100</f>
        <v>60</v>
      </c>
      <c r="L19" s="41">
        <f>(COUNTIFS(集計用!$Y:$Y, "*, "&amp;L$4&amp;",*",集計用!$G:$G, "*, "&amp;$C19&amp;",*"))/$B19*100</f>
        <v>0</v>
      </c>
      <c r="M19" s="41">
        <f>(COUNTIFS(集計用!$Y:$Y, "*, "&amp;M$4&amp;",*",集計用!$G:$G, "*, "&amp;$C19&amp;",*"))/$B19*100</f>
        <v>60</v>
      </c>
      <c r="N19" s="41">
        <f>(COUNTIFS(集計用!$Y:$Y, "*, "&amp;N$4&amp;",*",集計用!$G:$G, "*, "&amp;$C19&amp;",*"))/$B19*100</f>
        <v>60</v>
      </c>
      <c r="O19" s="41">
        <f>(COUNTIFS(集計用!$Y:$Y, "*, "&amp;O$4&amp;",*",集計用!$G:$G, "*, "&amp;$C19&amp;",*"))/$B19*100</f>
        <v>20</v>
      </c>
      <c r="P19" s="41">
        <f>(COUNTIFS(集計用!$Y:$Y, "*, "&amp;P$4&amp;",*",集計用!$G:$G, "*, "&amp;$C19&amp;",*"))/$B19*100</f>
        <v>20</v>
      </c>
      <c r="Q19"/>
      <c r="U19" s="2"/>
      <c r="V19" s="14"/>
      <c r="X19" s="14"/>
      <c r="Y19" s="41"/>
      <c r="Z19" s="59"/>
    </row>
    <row r="20" spans="1:26" ht="15.75" customHeight="1">
      <c r="A20" s="39">
        <v>4</v>
      </c>
      <c r="B20" s="39">
        <f>(COUNTIFS(集計用!$G$2:$G$444,"*, "&amp;$C20&amp;",*",集計用!$Y$2:$Y$444,"&lt;&gt;無回答 "))</f>
        <v>7</v>
      </c>
      <c r="C20" s="42" t="s">
        <v>47</v>
      </c>
      <c r="D20" s="41">
        <f>(COUNTIFS(集計用!$Y:$Y, "*, "&amp;D$4&amp;",*",集計用!$G:$G, "*, "&amp;$C20&amp;",*"))/$B20*100</f>
        <v>71.428571428571431</v>
      </c>
      <c r="E20" s="41">
        <f>(COUNTIFS(集計用!$Y:$Y, "*, "&amp;E$4&amp;",*",集計用!$G:$G, "*, "&amp;$C20&amp;",*"))/$B20*100</f>
        <v>42.857142857142854</v>
      </c>
      <c r="F20" s="41">
        <f>(COUNTIFS(集計用!$Y:$Y, "*, "&amp;F$4&amp;",*",集計用!$G:$G, "*, "&amp;$C20&amp;",*"))/$B20*100</f>
        <v>28.571428571428569</v>
      </c>
      <c r="G20" s="41">
        <f>(COUNTIFS(集計用!$Y:$Y, "*, "&amp;G$4&amp;",*",集計用!$G:$G, "*, "&amp;$C20&amp;",*"))/$B20*100</f>
        <v>28.571428571428569</v>
      </c>
      <c r="H20" s="41">
        <f>(COUNTIFS(集計用!$Y:$Y, "*, "&amp;H$4&amp;",*",集計用!$G:$G, "*, "&amp;$C20&amp;",*"))/$B20*100</f>
        <v>57.142857142857139</v>
      </c>
      <c r="I20" s="41">
        <f>(COUNTIFS(集計用!$Y:$Y, "*, "&amp;I$4&amp;",*",集計用!$G:$G, "*, "&amp;$C20&amp;",*"))/$B20*100</f>
        <v>71.428571428571431</v>
      </c>
      <c r="J20" s="41">
        <f>(COUNTIFS(集計用!$Y:$Y, "*, "&amp;J$4&amp;",*",集計用!$G:$G, "*, "&amp;$C20&amp;",*"))/$B20*100</f>
        <v>42.857142857142854</v>
      </c>
      <c r="K20" s="41">
        <f>(COUNTIFS(集計用!$Y:$Y, "*, "&amp;K$4&amp;",*",集計用!$G:$G, "*, "&amp;$C20&amp;",*"))/$B20*100</f>
        <v>42.857142857142854</v>
      </c>
      <c r="L20" s="41">
        <f>(COUNTIFS(集計用!$Y:$Y, "*, "&amp;L$4&amp;",*",集計用!$G:$G, "*, "&amp;$C20&amp;",*"))/$B20*100</f>
        <v>28.571428571428569</v>
      </c>
      <c r="M20" s="41">
        <f>(COUNTIFS(集計用!$Y:$Y, "*, "&amp;M$4&amp;",*",集計用!$G:$G, "*, "&amp;$C20&amp;",*"))/$B20*100</f>
        <v>42.857142857142854</v>
      </c>
      <c r="N20" s="41">
        <f>(COUNTIFS(集計用!$Y:$Y, "*, "&amp;N$4&amp;",*",集計用!$G:$G, "*, "&amp;$C20&amp;",*"))/$B20*100</f>
        <v>42.857142857142854</v>
      </c>
      <c r="O20" s="41">
        <f>(COUNTIFS(集計用!$Y:$Y, "*, "&amp;O$4&amp;",*",集計用!$G:$G, "*, "&amp;$C20&amp;",*"))/$B20*100</f>
        <v>14.285714285714285</v>
      </c>
      <c r="P20" s="41">
        <f>(COUNTIFS(集計用!$Y:$Y, "*, "&amp;P$4&amp;",*",集計用!$G:$G, "*, "&amp;$C20&amp;",*"))/$B20*100</f>
        <v>14.285714285714285</v>
      </c>
      <c r="Q20"/>
      <c r="T20"/>
      <c r="U20"/>
      <c r="W20"/>
      <c r="Y20" s="39"/>
    </row>
    <row r="21" spans="1:26" ht="15.75" customHeight="1">
      <c r="A21" s="39">
        <v>4</v>
      </c>
      <c r="B21" s="39">
        <f>(COUNTIFS(集計用!$G$2:$G$444,"*, "&amp;$C21&amp;",*",集計用!$Y$2:$Y$444,"&lt;&gt;無回答 "))</f>
        <v>21</v>
      </c>
      <c r="C21" s="42" t="s">
        <v>23</v>
      </c>
      <c r="D21" s="41">
        <f>(COUNTIFS(集計用!$Y:$Y, "*, "&amp;D$4&amp;",*",集計用!$G:$G, "*, "&amp;$C21&amp;",*"))/$B21*100</f>
        <v>76.19047619047619</v>
      </c>
      <c r="E21" s="41">
        <f>(COUNTIFS(集計用!$Y:$Y, "*, "&amp;E$4&amp;",*",集計用!$G:$G, "*, "&amp;$C21&amp;",*"))/$B21*100</f>
        <v>38.095238095238095</v>
      </c>
      <c r="F21" s="41">
        <f>(COUNTIFS(集計用!$Y:$Y, "*, "&amp;F$4&amp;",*",集計用!$G:$G, "*, "&amp;$C21&amp;",*"))/$B21*100</f>
        <v>57.142857142857139</v>
      </c>
      <c r="G21" s="41">
        <f>(COUNTIFS(集計用!$Y:$Y, "*, "&amp;G$4&amp;",*",集計用!$G:$G, "*, "&amp;$C21&amp;",*"))/$B21*100</f>
        <v>66.666666666666657</v>
      </c>
      <c r="H21" s="41">
        <f>(COUNTIFS(集計用!$Y:$Y, "*, "&amp;H$4&amp;",*",集計用!$G:$G, "*, "&amp;$C21&amp;",*"))/$B21*100</f>
        <v>47.619047619047613</v>
      </c>
      <c r="I21" s="41">
        <f>(COUNTIFS(集計用!$Y:$Y, "*, "&amp;I$4&amp;",*",集計用!$G:$G, "*, "&amp;$C21&amp;",*"))/$B21*100</f>
        <v>42.857142857142854</v>
      </c>
      <c r="J21" s="41">
        <f>(COUNTIFS(集計用!$Y:$Y, "*, "&amp;J$4&amp;",*",集計用!$G:$G, "*, "&amp;$C21&amp;",*"))/$B21*100</f>
        <v>42.857142857142854</v>
      </c>
      <c r="K21" s="41">
        <f>(COUNTIFS(集計用!$Y:$Y, "*, "&amp;K$4&amp;",*",集計用!$G:$G, "*, "&amp;$C21&amp;",*"))/$B21*100</f>
        <v>42.857142857142854</v>
      </c>
      <c r="L21" s="41">
        <f>(COUNTIFS(集計用!$Y:$Y, "*, "&amp;L$4&amp;",*",集計用!$G:$G, "*, "&amp;$C21&amp;",*"))/$B21*100</f>
        <v>42.857142857142854</v>
      </c>
      <c r="M21" s="41">
        <f>(COUNTIFS(集計用!$Y:$Y, "*, "&amp;M$4&amp;",*",集計用!$G:$G, "*, "&amp;$C21&amp;",*"))/$B21*100</f>
        <v>28.571428571428569</v>
      </c>
      <c r="N21" s="41">
        <f>(COUNTIFS(集計用!$Y:$Y, "*, "&amp;N$4&amp;",*",集計用!$G:$G, "*, "&amp;$C21&amp;",*"))/$B21*100</f>
        <v>42.857142857142854</v>
      </c>
      <c r="O21" s="41">
        <f>(COUNTIFS(集計用!$Y:$Y, "*, "&amp;O$4&amp;",*",集計用!$G:$G, "*, "&amp;$C21&amp;",*"))/$B21*100</f>
        <v>14.285714285714285</v>
      </c>
      <c r="P21" s="41">
        <f>(COUNTIFS(集計用!$Y:$Y, "*, "&amp;P$4&amp;",*",集計用!$G:$G, "*, "&amp;$C21&amp;",*"))/$B21*100</f>
        <v>23.809523809523807</v>
      </c>
      <c r="Q21"/>
      <c r="T21"/>
      <c r="U21"/>
      <c r="W21"/>
      <c r="Y21" s="39"/>
    </row>
    <row r="22" spans="1:26" ht="15.75" customHeight="1">
      <c r="A22" s="39">
        <v>4</v>
      </c>
      <c r="B22" s="39">
        <f>(COUNTIFS(集計用!$G$2:$G$444,"*, "&amp;$C22&amp;",*",集計用!$Y$2:$Y$444,"&lt;&gt;無回答 "))</f>
        <v>7</v>
      </c>
      <c r="C22" s="42" t="s">
        <v>44</v>
      </c>
      <c r="D22" s="41">
        <f>(COUNTIFS(集計用!$Y:$Y, "*, "&amp;D$4&amp;",*",集計用!$G:$G, "*, "&amp;$C22&amp;",*"))/$B22*100</f>
        <v>71.428571428571431</v>
      </c>
      <c r="E22" s="41">
        <f>(COUNTIFS(集計用!$Y:$Y, "*, "&amp;E$4&amp;",*",集計用!$G:$G, "*, "&amp;$C22&amp;",*"))/$B22*100</f>
        <v>28.571428571428569</v>
      </c>
      <c r="F22" s="41">
        <f>(COUNTIFS(集計用!$Y:$Y, "*, "&amp;F$4&amp;",*",集計用!$G:$G, "*, "&amp;$C22&amp;",*"))/$B22*100</f>
        <v>71.428571428571431</v>
      </c>
      <c r="G22" s="41">
        <f>(COUNTIFS(集計用!$Y:$Y, "*, "&amp;G$4&amp;",*",集計用!$G:$G, "*, "&amp;$C22&amp;",*"))/$B22*100</f>
        <v>42.857142857142854</v>
      </c>
      <c r="H22" s="41">
        <f>(COUNTIFS(集計用!$Y:$Y, "*, "&amp;H$4&amp;",*",集計用!$G:$G, "*, "&amp;$C22&amp;",*"))/$B22*100</f>
        <v>28.571428571428569</v>
      </c>
      <c r="I22" s="41">
        <f>(COUNTIFS(集計用!$Y:$Y, "*, "&amp;I$4&amp;",*",集計用!$G:$G, "*, "&amp;$C22&amp;",*"))/$B22*100</f>
        <v>42.857142857142854</v>
      </c>
      <c r="J22" s="41">
        <f>(COUNTIFS(集計用!$Y:$Y, "*, "&amp;J$4&amp;",*",集計用!$G:$G, "*, "&amp;$C22&amp;",*"))/$B22*100</f>
        <v>42.857142857142854</v>
      </c>
      <c r="K22" s="41">
        <f>(COUNTIFS(集計用!$Y:$Y, "*, "&amp;K$4&amp;",*",集計用!$G:$G, "*, "&amp;$C22&amp;",*"))/$B22*100</f>
        <v>28.571428571428569</v>
      </c>
      <c r="L22" s="41">
        <f>(COUNTIFS(集計用!$Y:$Y, "*, "&amp;L$4&amp;",*",集計用!$G:$G, "*, "&amp;$C22&amp;",*"))/$B22*100</f>
        <v>14.285714285714285</v>
      </c>
      <c r="M22" s="41">
        <f>(COUNTIFS(集計用!$Y:$Y, "*, "&amp;M$4&amp;",*",集計用!$G:$G, "*, "&amp;$C22&amp;",*"))/$B22*100</f>
        <v>42.857142857142854</v>
      </c>
      <c r="N22" s="41">
        <f>(COUNTIFS(集計用!$Y:$Y, "*, "&amp;N$4&amp;",*",集計用!$G:$G, "*, "&amp;$C22&amp;",*"))/$B22*100</f>
        <v>42.857142857142854</v>
      </c>
      <c r="O22" s="41">
        <f>(COUNTIFS(集計用!$Y:$Y, "*, "&amp;O$4&amp;",*",集計用!$G:$G, "*, "&amp;$C22&amp;",*"))/$B22*100</f>
        <v>14.285714285714285</v>
      </c>
      <c r="P22" s="41">
        <f>(COUNTIFS(集計用!$Y:$Y, "*, "&amp;P$4&amp;",*",集計用!$G:$G, "*, "&amp;$C22&amp;",*"))/$B22*100</f>
        <v>14.285714285714285</v>
      </c>
      <c r="Q22"/>
      <c r="T22"/>
      <c r="U22"/>
      <c r="W22"/>
      <c r="Y22" s="39"/>
    </row>
    <row r="23" spans="1:26" ht="15.75" customHeight="1">
      <c r="A23" s="39">
        <v>4</v>
      </c>
      <c r="B23" s="39">
        <f>(COUNTIFS(集計用!$G$2:$G$444,"*, "&amp;$C23&amp;",*",集計用!$Y$2:$Y$444,"&lt;&gt;無回答 "))</f>
        <v>13</v>
      </c>
      <c r="C23" s="42" t="s">
        <v>37</v>
      </c>
      <c r="D23" s="41">
        <f>(COUNTIFS(集計用!$Y:$Y, "*, "&amp;D$4&amp;",*",集計用!$G:$G, "*, "&amp;$C23&amp;",*"))/$B23*100</f>
        <v>92.307692307692307</v>
      </c>
      <c r="E23" s="41">
        <f>(COUNTIFS(集計用!$Y:$Y, "*, "&amp;E$4&amp;",*",集計用!$G:$G, "*, "&amp;$C23&amp;",*"))/$B23*100</f>
        <v>46.153846153846153</v>
      </c>
      <c r="F23" s="41">
        <f>(COUNTIFS(集計用!$Y:$Y, "*, "&amp;F$4&amp;",*",集計用!$G:$G, "*, "&amp;$C23&amp;",*"))/$B23*100</f>
        <v>61.53846153846154</v>
      </c>
      <c r="G23" s="41">
        <f>(COUNTIFS(集計用!$Y:$Y, "*, "&amp;G$4&amp;",*",集計用!$G:$G, "*, "&amp;$C23&amp;",*"))/$B23*100</f>
        <v>84.615384615384613</v>
      </c>
      <c r="H23" s="41">
        <f>(COUNTIFS(集計用!$Y:$Y, "*, "&amp;H$4&amp;",*",集計用!$G:$G, "*, "&amp;$C23&amp;",*"))/$B23*100</f>
        <v>61.53846153846154</v>
      </c>
      <c r="I23" s="41">
        <f>(COUNTIFS(集計用!$Y:$Y, "*, "&amp;I$4&amp;",*",集計用!$G:$G, "*, "&amp;$C23&amp;",*"))/$B23*100</f>
        <v>30.76923076923077</v>
      </c>
      <c r="J23" s="41">
        <f>(COUNTIFS(集計用!$Y:$Y, "*, "&amp;J$4&amp;",*",集計用!$G:$G, "*, "&amp;$C23&amp;",*"))/$B23*100</f>
        <v>30.76923076923077</v>
      </c>
      <c r="K23" s="41">
        <f>(COUNTIFS(集計用!$Y:$Y, "*, "&amp;K$4&amp;",*",集計用!$G:$G, "*, "&amp;$C23&amp;",*"))/$B23*100</f>
        <v>23.076923076923077</v>
      </c>
      <c r="L23" s="41">
        <f>(COUNTIFS(集計用!$Y:$Y, "*, "&amp;L$4&amp;",*",集計用!$G:$G, "*, "&amp;$C23&amp;",*"))/$B23*100</f>
        <v>7.6923076923076925</v>
      </c>
      <c r="M23" s="41">
        <f>(COUNTIFS(集計用!$Y:$Y, "*, "&amp;M$4&amp;",*",集計用!$G:$G, "*, "&amp;$C23&amp;",*"))/$B23*100</f>
        <v>46.153846153846153</v>
      </c>
      <c r="N23" s="41">
        <f>(COUNTIFS(集計用!$Y:$Y, "*, "&amp;N$4&amp;",*",集計用!$G:$G, "*, "&amp;$C23&amp;",*"))/$B23*100</f>
        <v>38.461538461538467</v>
      </c>
      <c r="O23" s="41">
        <f>(COUNTIFS(集計用!$Y:$Y, "*, "&amp;O$4&amp;",*",集計用!$G:$G, "*, "&amp;$C23&amp;",*"))/$B23*100</f>
        <v>15.384615384615385</v>
      </c>
      <c r="P23" s="41">
        <f>(COUNTIFS(集計用!$Y:$Y, "*, "&amp;P$4&amp;",*",集計用!$G:$G, "*, "&amp;$C23&amp;",*"))/$B23*100</f>
        <v>30.76923076923077</v>
      </c>
      <c r="Q23"/>
      <c r="T23"/>
      <c r="U23"/>
      <c r="W23"/>
      <c r="Y23" s="39"/>
    </row>
    <row r="24" spans="1:26" ht="15.75" customHeight="1">
      <c r="A24" s="39">
        <v>4</v>
      </c>
      <c r="B24" s="39">
        <f>(COUNTIFS(集計用!$G$2:$G$444,"*, "&amp;$C24&amp;",*",集計用!$Y$2:$Y$444,"&lt;&gt;無回答 "))</f>
        <v>8</v>
      </c>
      <c r="C24" s="42" t="s">
        <v>42</v>
      </c>
      <c r="D24" s="41">
        <f>(COUNTIFS(集計用!$Y:$Y, "*, "&amp;D$4&amp;",*",集計用!$G:$G, "*, "&amp;$C24&amp;",*"))/$B24*100</f>
        <v>75</v>
      </c>
      <c r="E24" s="41">
        <f>(COUNTIFS(集計用!$Y:$Y, "*, "&amp;E$4&amp;",*",集計用!$G:$G, "*, "&amp;$C24&amp;",*"))/$B24*100</f>
        <v>37.5</v>
      </c>
      <c r="F24" s="41">
        <f>(COUNTIFS(集計用!$Y:$Y, "*, "&amp;F$4&amp;",*",集計用!$G:$G, "*, "&amp;$C24&amp;",*"))/$B24*100</f>
        <v>50</v>
      </c>
      <c r="G24" s="41">
        <f>(COUNTIFS(集計用!$Y:$Y, "*, "&amp;G$4&amp;",*",集計用!$G:$G, "*, "&amp;$C24&amp;",*"))/$B24*100</f>
        <v>50</v>
      </c>
      <c r="H24" s="41">
        <f>(COUNTIFS(集計用!$Y:$Y, "*, "&amp;H$4&amp;",*",集計用!$G:$G, "*, "&amp;$C24&amp;",*"))/$B24*100</f>
        <v>50</v>
      </c>
      <c r="I24" s="41">
        <f>(COUNTIFS(集計用!$Y:$Y, "*, "&amp;I$4&amp;",*",集計用!$G:$G, "*, "&amp;$C24&amp;",*"))/$B24*100</f>
        <v>37.5</v>
      </c>
      <c r="J24" s="41">
        <f>(COUNTIFS(集計用!$Y:$Y, "*, "&amp;J$4&amp;",*",集計用!$G:$G, "*, "&amp;$C24&amp;",*"))/$B24*100</f>
        <v>12.5</v>
      </c>
      <c r="K24" s="41">
        <f>(COUNTIFS(集計用!$Y:$Y, "*, "&amp;K$4&amp;",*",集計用!$G:$G, "*, "&amp;$C24&amp;",*"))/$B24*100</f>
        <v>12.5</v>
      </c>
      <c r="L24" s="41">
        <f>(COUNTIFS(集計用!$Y:$Y, "*, "&amp;L$4&amp;",*",集計用!$G:$G, "*, "&amp;$C24&amp;",*"))/$B24*100</f>
        <v>0</v>
      </c>
      <c r="M24" s="41">
        <f>(COUNTIFS(集計用!$Y:$Y, "*, "&amp;M$4&amp;",*",集計用!$G:$G, "*, "&amp;$C24&amp;",*"))/$B24*100</f>
        <v>50</v>
      </c>
      <c r="N24" s="41">
        <f>(COUNTIFS(集計用!$Y:$Y, "*, "&amp;N$4&amp;",*",集計用!$G:$G, "*, "&amp;$C24&amp;",*"))/$B24*100</f>
        <v>37.5</v>
      </c>
      <c r="O24" s="41">
        <f>(COUNTIFS(集計用!$Y:$Y, "*, "&amp;O$4&amp;",*",集計用!$G:$G, "*, "&amp;$C24&amp;",*"))/$B24*100</f>
        <v>25</v>
      </c>
      <c r="P24" s="41">
        <f>(COUNTIFS(集計用!$Y:$Y, "*, "&amp;P$4&amp;",*",集計用!$G:$G, "*, "&amp;$C24&amp;",*"))/$B24*100</f>
        <v>12.5</v>
      </c>
      <c r="Q24"/>
      <c r="T24"/>
      <c r="U24"/>
      <c r="W24"/>
      <c r="Y24" s="39"/>
    </row>
    <row r="25" spans="1:26" ht="12.75">
      <c r="A25" s="39">
        <v>4</v>
      </c>
      <c r="B25" s="39">
        <f>(COUNTIFS(集計用!$G$2:$G$444,"*, "&amp;$C25&amp;",*",集計用!$Y$2:$Y$444,"&lt;&gt;無回答 "))</f>
        <v>9</v>
      </c>
      <c r="C25" s="42" t="s">
        <v>40</v>
      </c>
      <c r="D25" s="41">
        <f>(COUNTIFS(集計用!$Y:$Y, "*, "&amp;D$4&amp;",*",集計用!$G:$G, "*, "&amp;$C25&amp;",*"))/$B25*100</f>
        <v>88.888888888888886</v>
      </c>
      <c r="E25" s="41">
        <f>(COUNTIFS(集計用!$Y:$Y, "*, "&amp;E$4&amp;",*",集計用!$G:$G, "*, "&amp;$C25&amp;",*"))/$B25*100</f>
        <v>77.777777777777786</v>
      </c>
      <c r="F25" s="41">
        <f>(COUNTIFS(集計用!$Y:$Y, "*, "&amp;F$4&amp;",*",集計用!$G:$G, "*, "&amp;$C25&amp;",*"))/$B25*100</f>
        <v>55.555555555555557</v>
      </c>
      <c r="G25" s="41">
        <f>(COUNTIFS(集計用!$Y:$Y, "*, "&amp;G$4&amp;",*",集計用!$G:$G, "*, "&amp;$C25&amp;",*"))/$B25*100</f>
        <v>55.555555555555557</v>
      </c>
      <c r="H25" s="41">
        <f>(COUNTIFS(集計用!$Y:$Y, "*, "&amp;H$4&amp;",*",集計用!$G:$G, "*, "&amp;$C25&amp;",*"))/$B25*100</f>
        <v>77.777777777777786</v>
      </c>
      <c r="I25" s="41">
        <f>(COUNTIFS(集計用!$Y:$Y, "*, "&amp;I$4&amp;",*",集計用!$G:$G, "*, "&amp;$C25&amp;",*"))/$B25*100</f>
        <v>77.777777777777786</v>
      </c>
      <c r="J25" s="41">
        <f>(COUNTIFS(集計用!$Y:$Y, "*, "&amp;J$4&amp;",*",集計用!$G:$G, "*, "&amp;$C25&amp;",*"))/$B25*100</f>
        <v>44.444444444444443</v>
      </c>
      <c r="K25" s="41">
        <f>(COUNTIFS(集計用!$Y:$Y, "*, "&amp;K$4&amp;",*",集計用!$G:$G, "*, "&amp;$C25&amp;",*"))/$B25*100</f>
        <v>44.444444444444443</v>
      </c>
      <c r="L25" s="41">
        <f>(COUNTIFS(集計用!$Y:$Y, "*, "&amp;L$4&amp;",*",集計用!$G:$G, "*, "&amp;$C25&amp;",*"))/$B25*100</f>
        <v>22.222222222222221</v>
      </c>
      <c r="M25" s="41">
        <f>(COUNTIFS(集計用!$Y:$Y, "*, "&amp;M$4&amp;",*",集計用!$G:$G, "*, "&amp;$C25&amp;",*"))/$B25*100</f>
        <v>22.222222222222221</v>
      </c>
      <c r="N25" s="41">
        <f>(COUNTIFS(集計用!$Y:$Y, "*, "&amp;N$4&amp;",*",集計用!$G:$G, "*, "&amp;$C25&amp;",*"))/$B25*100</f>
        <v>33.333333333333329</v>
      </c>
      <c r="O25" s="41">
        <f>(COUNTIFS(集計用!$Y:$Y, "*, "&amp;O$4&amp;",*",集計用!$G:$G, "*, "&amp;$C25&amp;",*"))/$B25*100</f>
        <v>55.555555555555557</v>
      </c>
      <c r="P25" s="41">
        <f>(COUNTIFS(集計用!$Y:$Y, "*, "&amp;P$4&amp;",*",集計用!$G:$G, "*, "&amp;$C25&amp;",*"))/$B25*100</f>
        <v>22.222222222222221</v>
      </c>
      <c r="Q25"/>
      <c r="T25"/>
      <c r="U25"/>
      <c r="W25"/>
      <c r="Y25" s="39"/>
    </row>
    <row r="26" spans="1:26" ht="12.75">
      <c r="A26" s="39">
        <v>4</v>
      </c>
      <c r="B26" s="39">
        <f>(COUNTIFS(集計用!$G$2:$G$444,"*, "&amp;$C26&amp;",*",集計用!$Y$2:$Y$444,"&lt;&gt;無回答 "))</f>
        <v>12</v>
      </c>
      <c r="C26" s="42" t="s">
        <v>36</v>
      </c>
      <c r="D26" s="41">
        <f>(COUNTIFS(集計用!$Y:$Y, "*, "&amp;D$4&amp;",*",集計用!$G:$G, "*, "&amp;$C26&amp;",*"))/$B26*100</f>
        <v>75</v>
      </c>
      <c r="E26" s="41">
        <f>(COUNTIFS(集計用!$Y:$Y, "*, "&amp;E$4&amp;",*",集計用!$G:$G, "*, "&amp;$C26&amp;",*"))/$B26*100</f>
        <v>50</v>
      </c>
      <c r="F26" s="41">
        <f>(COUNTIFS(集計用!$Y:$Y, "*, "&amp;F$4&amp;",*",集計用!$G:$G, "*, "&amp;$C26&amp;",*"))/$B26*100</f>
        <v>41.666666666666671</v>
      </c>
      <c r="G26" s="41">
        <f>(COUNTIFS(集計用!$Y:$Y, "*, "&amp;G$4&amp;",*",集計用!$G:$G, "*, "&amp;$C26&amp;",*"))/$B26*100</f>
        <v>41.666666666666671</v>
      </c>
      <c r="H26" s="41">
        <f>(COUNTIFS(集計用!$Y:$Y, "*, "&amp;H$4&amp;",*",集計用!$G:$G, "*, "&amp;$C26&amp;",*"))/$B26*100</f>
        <v>41.666666666666671</v>
      </c>
      <c r="I26" s="41">
        <f>(COUNTIFS(集計用!$Y:$Y, "*, "&amp;I$4&amp;",*",集計用!$G:$G, "*, "&amp;$C26&amp;",*"))/$B26*100</f>
        <v>33.333333333333329</v>
      </c>
      <c r="J26" s="41">
        <f>(COUNTIFS(集計用!$Y:$Y, "*, "&amp;J$4&amp;",*",集計用!$G:$G, "*, "&amp;$C26&amp;",*"))/$B26*100</f>
        <v>50</v>
      </c>
      <c r="K26" s="41">
        <f>(COUNTIFS(集計用!$Y:$Y, "*, "&amp;K$4&amp;",*",集計用!$G:$G, "*, "&amp;$C26&amp;",*"))/$B26*100</f>
        <v>41.666666666666671</v>
      </c>
      <c r="L26" s="41">
        <f>(COUNTIFS(集計用!$Y:$Y, "*, "&amp;L$4&amp;",*",集計用!$G:$G, "*, "&amp;$C26&amp;",*"))/$B26*100</f>
        <v>33.333333333333329</v>
      </c>
      <c r="M26" s="41">
        <f>(COUNTIFS(集計用!$Y:$Y, "*, "&amp;M$4&amp;",*",集計用!$G:$G, "*, "&amp;$C26&amp;",*"))/$B26*100</f>
        <v>41.666666666666671</v>
      </c>
      <c r="N26" s="41">
        <f>(COUNTIFS(集計用!$Y:$Y, "*, "&amp;N$4&amp;",*",集計用!$G:$G, "*, "&amp;$C26&amp;",*"))/$B26*100</f>
        <v>33.333333333333329</v>
      </c>
      <c r="O26" s="41">
        <f>(COUNTIFS(集計用!$Y:$Y, "*, "&amp;O$4&amp;",*",集計用!$G:$G, "*, "&amp;$C26&amp;",*"))/$B26*100</f>
        <v>41.666666666666671</v>
      </c>
      <c r="P26" s="41">
        <f>(COUNTIFS(集計用!$Y:$Y, "*, "&amp;P$4&amp;",*",集計用!$G:$G, "*, "&amp;$C26&amp;",*"))/$B26*100</f>
        <v>41.666666666666671</v>
      </c>
      <c r="Q26"/>
      <c r="T26"/>
      <c r="U26"/>
      <c r="W26"/>
      <c r="Y26" s="39"/>
    </row>
    <row r="27" spans="1:26" ht="12.75">
      <c r="A27" s="39">
        <v>4</v>
      </c>
      <c r="B27" s="39">
        <f>(COUNTIFS(集計用!$G$2:$G$444,"*, "&amp;$C27&amp;",*",集計用!$Y$2:$Y$444,"&lt;&gt;無回答 "))</f>
        <v>25</v>
      </c>
      <c r="C27" s="42" t="s">
        <v>20</v>
      </c>
      <c r="D27" s="41">
        <f>(COUNTIFS(集計用!$Y:$Y, "*, "&amp;D$4&amp;",*",集計用!$G:$G, "*, "&amp;$C27&amp;",*"))/$B27*100</f>
        <v>72</v>
      </c>
      <c r="E27" s="41">
        <f>(COUNTIFS(集計用!$Y:$Y, "*, "&amp;E$4&amp;",*",集計用!$G:$G, "*, "&amp;$C27&amp;",*"))/$B27*100</f>
        <v>64</v>
      </c>
      <c r="F27" s="41">
        <f>(COUNTIFS(集計用!$Y:$Y, "*, "&amp;F$4&amp;",*",集計用!$G:$G, "*, "&amp;$C27&amp;",*"))/$B27*100</f>
        <v>52</v>
      </c>
      <c r="G27" s="41">
        <f>(COUNTIFS(集計用!$Y:$Y, "*, "&amp;G$4&amp;",*",集計用!$G:$G, "*, "&amp;$C27&amp;",*"))/$B27*100</f>
        <v>64</v>
      </c>
      <c r="H27" s="41">
        <f>(COUNTIFS(集計用!$Y:$Y, "*, "&amp;H$4&amp;",*",集計用!$G:$G, "*, "&amp;$C27&amp;",*"))/$B27*100</f>
        <v>60</v>
      </c>
      <c r="I27" s="41">
        <f>(COUNTIFS(集計用!$Y:$Y, "*, "&amp;I$4&amp;",*",集計用!$G:$G, "*, "&amp;$C27&amp;",*"))/$B27*100</f>
        <v>68</v>
      </c>
      <c r="J27" s="41">
        <f>(COUNTIFS(集計用!$Y:$Y, "*, "&amp;J$4&amp;",*",集計用!$G:$G, "*, "&amp;$C27&amp;",*"))/$B27*100</f>
        <v>48</v>
      </c>
      <c r="K27" s="41">
        <f>(COUNTIFS(集計用!$Y:$Y, "*, "&amp;K$4&amp;",*",集計用!$G:$G, "*, "&amp;$C27&amp;",*"))/$B27*100</f>
        <v>40</v>
      </c>
      <c r="L27" s="41">
        <f>(COUNTIFS(集計用!$Y:$Y, "*, "&amp;L$4&amp;",*",集計用!$G:$G, "*, "&amp;$C27&amp;",*"))/$B27*100</f>
        <v>24</v>
      </c>
      <c r="M27" s="41">
        <f>(COUNTIFS(集計用!$Y:$Y, "*, "&amp;M$4&amp;",*",集計用!$G:$G, "*, "&amp;$C27&amp;",*"))/$B27*100</f>
        <v>28.000000000000004</v>
      </c>
      <c r="N27" s="41">
        <f>(COUNTIFS(集計用!$Y:$Y, "*, "&amp;N$4&amp;",*",集計用!$G:$G, "*, "&amp;$C27&amp;",*"))/$B27*100</f>
        <v>32</v>
      </c>
      <c r="O27" s="41">
        <f>(COUNTIFS(集計用!$Y:$Y, "*, "&amp;O$4&amp;",*",集計用!$G:$G, "*, "&amp;$C27&amp;",*"))/$B27*100</f>
        <v>32</v>
      </c>
      <c r="P27" s="41">
        <f>(COUNTIFS(集計用!$Y:$Y, "*, "&amp;P$4&amp;",*",集計用!$G:$G, "*, "&amp;$C27&amp;",*"))/$B27*100</f>
        <v>20</v>
      </c>
      <c r="Q27"/>
      <c r="T27"/>
      <c r="U27"/>
      <c r="W27"/>
      <c r="Y27" s="39"/>
    </row>
    <row r="28" spans="1:26" ht="15.75" customHeight="1">
      <c r="A28" s="39">
        <v>4</v>
      </c>
      <c r="B28" s="39">
        <f>(COUNTIFS(集計用!$G$2:$G$444,"*, "&amp;$C28&amp;",*",集計用!$Y$2:$Y$444,"&lt;&gt;無回答 "))</f>
        <v>22</v>
      </c>
      <c r="C28" s="42" t="s">
        <v>24</v>
      </c>
      <c r="D28" s="41">
        <f>(COUNTIFS(集計用!$Y:$Y, "*, "&amp;D$4&amp;",*",集計用!$G:$G, "*, "&amp;$C28&amp;",*"))/$B28*100</f>
        <v>86.36363636363636</v>
      </c>
      <c r="E28" s="41">
        <f>(COUNTIFS(集計用!$Y:$Y, "*, "&amp;E$4&amp;",*",集計用!$G:$G, "*, "&amp;$C28&amp;",*"))/$B28*100</f>
        <v>90.909090909090907</v>
      </c>
      <c r="F28" s="41">
        <f>(COUNTIFS(集計用!$Y:$Y, "*, "&amp;F$4&amp;",*",集計用!$G:$G, "*, "&amp;$C28&amp;",*"))/$B28*100</f>
        <v>68.181818181818173</v>
      </c>
      <c r="G28" s="41">
        <f>(COUNTIFS(集計用!$Y:$Y, "*, "&amp;G$4&amp;",*",集計用!$G:$G, "*, "&amp;$C28&amp;",*"))/$B28*100</f>
        <v>68.181818181818173</v>
      </c>
      <c r="H28" s="41">
        <f>(COUNTIFS(集計用!$Y:$Y, "*, "&amp;H$4&amp;",*",集計用!$G:$G, "*, "&amp;$C28&amp;",*"))/$B28*100</f>
        <v>63.636363636363633</v>
      </c>
      <c r="I28" s="41">
        <f>(COUNTIFS(集計用!$Y:$Y, "*, "&amp;I$4&amp;",*",集計用!$G:$G, "*, "&amp;$C28&amp;",*"))/$B28*100</f>
        <v>81.818181818181827</v>
      </c>
      <c r="J28" s="41">
        <f>(COUNTIFS(集計用!$Y:$Y, "*, "&amp;J$4&amp;",*",集計用!$G:$G, "*, "&amp;$C28&amp;",*"))/$B28*100</f>
        <v>72.727272727272734</v>
      </c>
      <c r="K28" s="41">
        <f>(COUNTIFS(集計用!$Y:$Y, "*, "&amp;K$4&amp;",*",集計用!$G:$G, "*, "&amp;$C28&amp;",*"))/$B28*100</f>
        <v>63.636363636363633</v>
      </c>
      <c r="L28" s="41">
        <f>(COUNTIFS(集計用!$Y:$Y, "*, "&amp;L$4&amp;",*",集計用!$G:$G, "*, "&amp;$C28&amp;",*"))/$B28*100</f>
        <v>36.363636363636367</v>
      </c>
      <c r="M28" s="41">
        <f>(COUNTIFS(集計用!$Y:$Y, "*, "&amp;M$4&amp;",*",集計用!$G:$G, "*, "&amp;$C28&amp;",*"))/$B28*100</f>
        <v>36.363636363636367</v>
      </c>
      <c r="N28" s="41">
        <f>(COUNTIFS(集計用!$Y:$Y, "*, "&amp;N$4&amp;",*",集計用!$G:$G, "*, "&amp;$C28&amp;",*"))/$B28*100</f>
        <v>27.27272727272727</v>
      </c>
      <c r="O28" s="41">
        <f>(COUNTIFS(集計用!$Y:$Y, "*, "&amp;O$4&amp;",*",集計用!$G:$G, "*, "&amp;$C28&amp;",*"))/$B28*100</f>
        <v>22.727272727272727</v>
      </c>
      <c r="P28" s="41">
        <f>(COUNTIFS(集計用!$Y:$Y, "*, "&amp;P$4&amp;",*",集計用!$G:$G, "*, "&amp;$C28&amp;",*"))/$B28*100</f>
        <v>22.727272727272727</v>
      </c>
      <c r="Q28"/>
      <c r="T28"/>
      <c r="U28"/>
      <c r="W28"/>
      <c r="Y28" s="39"/>
    </row>
    <row r="29" spans="1:26" ht="15.75" customHeight="1">
      <c r="A29" s="39">
        <v>4</v>
      </c>
      <c r="B29" s="39">
        <f>(COUNTIFS(集計用!$G$2:$G$444,"*, "&amp;$C29&amp;",*",集計用!$Y$2:$Y$444,"&lt;&gt;無回答 "))</f>
        <v>19</v>
      </c>
      <c r="C29" s="42" t="s">
        <v>27</v>
      </c>
      <c r="D29" s="41">
        <f>(COUNTIFS(集計用!$Y:$Y, "*, "&amp;D$4&amp;",*",集計用!$G:$G, "*, "&amp;$C29&amp;",*"))/$B29*100</f>
        <v>84.210526315789465</v>
      </c>
      <c r="E29" s="41">
        <f>(COUNTIFS(集計用!$Y:$Y, "*, "&amp;E$4&amp;",*",集計用!$G:$G, "*, "&amp;$C29&amp;",*"))/$B29*100</f>
        <v>52.631578947368418</v>
      </c>
      <c r="F29" s="41">
        <f>(COUNTIFS(集計用!$Y:$Y, "*, "&amp;F$4&amp;",*",集計用!$G:$G, "*, "&amp;$C29&amp;",*"))/$B29*100</f>
        <v>57.894736842105267</v>
      </c>
      <c r="G29" s="41">
        <f>(COUNTIFS(集計用!$Y:$Y, "*, "&amp;G$4&amp;",*",集計用!$G:$G, "*, "&amp;$C29&amp;",*"))/$B29*100</f>
        <v>68.421052631578945</v>
      </c>
      <c r="H29" s="41">
        <f>(COUNTIFS(集計用!$Y:$Y, "*, "&amp;H$4&amp;",*",集計用!$G:$G, "*, "&amp;$C29&amp;",*"))/$B29*100</f>
        <v>47.368421052631575</v>
      </c>
      <c r="I29" s="41">
        <f>(COUNTIFS(集計用!$Y:$Y, "*, "&amp;I$4&amp;",*",集計用!$G:$G, "*, "&amp;$C29&amp;",*"))/$B29*100</f>
        <v>31.578947368421051</v>
      </c>
      <c r="J29" s="41">
        <f>(COUNTIFS(集計用!$Y:$Y, "*, "&amp;J$4&amp;",*",集計用!$G:$G, "*, "&amp;$C29&amp;",*"))/$B29*100</f>
        <v>31.578947368421051</v>
      </c>
      <c r="K29" s="41">
        <f>(COUNTIFS(集計用!$Y:$Y, "*, "&amp;K$4&amp;",*",集計用!$G:$G, "*, "&amp;$C29&amp;",*"))/$B29*100</f>
        <v>21.052631578947366</v>
      </c>
      <c r="L29" s="41">
        <f>(COUNTIFS(集計用!$Y:$Y, "*, "&amp;L$4&amp;",*",集計用!$G:$G, "*, "&amp;$C29&amp;",*"))/$B29*100</f>
        <v>21.052631578947366</v>
      </c>
      <c r="M29" s="41">
        <f>(COUNTIFS(集計用!$Y:$Y, "*, "&amp;M$4&amp;",*",集計用!$G:$G, "*, "&amp;$C29&amp;",*"))/$B29*100</f>
        <v>42.105263157894733</v>
      </c>
      <c r="N29" s="41">
        <f>(COUNTIFS(集計用!$Y:$Y, "*, "&amp;N$4&amp;",*",集計用!$G:$G, "*, "&amp;$C29&amp;",*"))/$B29*100</f>
        <v>26.315789473684209</v>
      </c>
      <c r="O29" s="41">
        <f>(COUNTIFS(集計用!$Y:$Y, "*, "&amp;O$4&amp;",*",集計用!$G:$G, "*, "&amp;$C29&amp;",*"))/$B29*100</f>
        <v>5.2631578947368416</v>
      </c>
      <c r="P29" s="41">
        <f>(COUNTIFS(集計用!$Y:$Y, "*, "&amp;P$4&amp;",*",集計用!$G:$G, "*, "&amp;$C29&amp;",*"))/$B29*100</f>
        <v>21.052631578947366</v>
      </c>
      <c r="Q29" s="41"/>
      <c r="R29" s="41"/>
      <c r="S29" s="41"/>
      <c r="T29" s="41"/>
      <c r="U29" s="41"/>
      <c r="V29" s="41"/>
      <c r="W29" s="41"/>
      <c r="Y29" s="39"/>
    </row>
    <row r="30" spans="1:26" ht="12.75">
      <c r="A30" s="39">
        <v>4</v>
      </c>
      <c r="B30" s="39">
        <f>(COUNTIFS(集計用!$G$2:$G$444,"*, "&amp;$C30&amp;",*",集計用!$Y$2:$Y$444,"&lt;&gt;無回答 "))</f>
        <v>35</v>
      </c>
      <c r="C30" s="42" t="s">
        <v>18</v>
      </c>
      <c r="D30" s="41">
        <f>(COUNTIFS(集計用!$Y:$Y, "*, "&amp;D$4&amp;",*",集計用!$G:$G, "*, "&amp;$C30&amp;",*"))/$B30*100</f>
        <v>85.714285714285708</v>
      </c>
      <c r="E30" s="41">
        <f>(COUNTIFS(集計用!$Y:$Y, "*, "&amp;E$4&amp;",*",集計用!$G:$G, "*, "&amp;$C30&amp;",*"))/$B30*100</f>
        <v>74.285714285714292</v>
      </c>
      <c r="F30" s="41">
        <f>(COUNTIFS(集計用!$Y:$Y, "*, "&amp;F$4&amp;",*",集計用!$G:$G, "*, "&amp;$C30&amp;",*"))/$B30*100</f>
        <v>74.285714285714292</v>
      </c>
      <c r="G30" s="41">
        <f>(COUNTIFS(集計用!$Y:$Y, "*, "&amp;G$4&amp;",*",集計用!$G:$G, "*, "&amp;$C30&amp;",*"))/$B30*100</f>
        <v>68.571428571428569</v>
      </c>
      <c r="H30" s="41">
        <f>(COUNTIFS(集計用!$Y:$Y, "*, "&amp;H$4&amp;",*",集計用!$G:$G, "*, "&amp;$C30&amp;",*"))/$B30*100</f>
        <v>74.285714285714292</v>
      </c>
      <c r="I30" s="41">
        <f>(COUNTIFS(集計用!$Y:$Y, "*, "&amp;I$4&amp;",*",集計用!$G:$G, "*, "&amp;$C30&amp;",*"))/$B30*100</f>
        <v>45.714285714285715</v>
      </c>
      <c r="J30" s="41">
        <f>(COUNTIFS(集計用!$Y:$Y, "*, "&amp;J$4&amp;",*",集計用!$G:$G, "*, "&amp;$C30&amp;",*"))/$B30*100</f>
        <v>51.428571428571423</v>
      </c>
      <c r="K30" s="41">
        <f>(COUNTIFS(集計用!$Y:$Y, "*, "&amp;K$4&amp;",*",集計用!$G:$G, "*, "&amp;$C30&amp;",*"))/$B30*100</f>
        <v>45.714285714285715</v>
      </c>
      <c r="L30" s="41">
        <f>(COUNTIFS(集計用!$Y:$Y, "*, "&amp;L$4&amp;",*",集計用!$G:$G, "*, "&amp;$C30&amp;",*"))/$B30*100</f>
        <v>31.428571428571427</v>
      </c>
      <c r="M30" s="41">
        <f>(COUNTIFS(集計用!$Y:$Y, "*, "&amp;M$4&amp;",*",集計用!$G:$G, "*, "&amp;$C30&amp;",*"))/$B30*100</f>
        <v>42.857142857142854</v>
      </c>
      <c r="N30" s="41">
        <f>(COUNTIFS(集計用!$Y:$Y, "*, "&amp;N$4&amp;",*",集計用!$G:$G, "*, "&amp;$C30&amp;",*"))/$B30*100</f>
        <v>25.714285714285712</v>
      </c>
      <c r="O30" s="41">
        <f>(COUNTIFS(集計用!$Y:$Y, "*, "&amp;O$4&amp;",*",集計用!$G:$G, "*, "&amp;$C30&amp;",*"))/$B30*100</f>
        <v>22.857142857142858</v>
      </c>
      <c r="P30" s="41">
        <f>(COUNTIFS(集計用!$Y:$Y, "*, "&amp;P$4&amp;",*",集計用!$G:$G, "*, "&amp;$C30&amp;",*"))/$B30*100</f>
        <v>28.571428571428569</v>
      </c>
      <c r="Q30" s="41"/>
      <c r="R30" s="41"/>
      <c r="S30" s="41"/>
      <c r="T30" s="41"/>
      <c r="U30" s="41"/>
      <c r="V30" s="41"/>
      <c r="W30" s="41"/>
      <c r="Y30" s="39"/>
    </row>
    <row r="31" spans="1:26" ht="15.75" customHeight="1">
      <c r="A31" s="39">
        <v>4</v>
      </c>
      <c r="B31" s="39">
        <f>(COUNTIFS(集計用!$G$2:$G$444,"*, "&amp;$C31&amp;",*",集計用!$Y$2:$Y$444,"&lt;&gt;無回答 "))</f>
        <v>16</v>
      </c>
      <c r="C31" s="42" t="s">
        <v>31</v>
      </c>
      <c r="D31" s="41">
        <f>(COUNTIFS(集計用!$Y:$Y, "*, "&amp;D$4&amp;",*",集計用!$G:$G, "*, "&amp;$C31&amp;",*"))/$B31*100</f>
        <v>93.75</v>
      </c>
      <c r="E31" s="41">
        <f>(COUNTIFS(集計用!$Y:$Y, "*, "&amp;E$4&amp;",*",集計用!$G:$G, "*, "&amp;$C31&amp;",*"))/$B31*100</f>
        <v>62.5</v>
      </c>
      <c r="F31" s="41">
        <f>(COUNTIFS(集計用!$Y:$Y, "*, "&amp;F$4&amp;",*",集計用!$G:$G, "*, "&amp;$C31&amp;",*"))/$B31*100</f>
        <v>62.5</v>
      </c>
      <c r="G31" s="41">
        <f>(COUNTIFS(集計用!$Y:$Y, "*, "&amp;G$4&amp;",*",集計用!$G:$G, "*, "&amp;$C31&amp;",*"))/$B31*100</f>
        <v>62.5</v>
      </c>
      <c r="H31" s="41">
        <f>(COUNTIFS(集計用!$Y:$Y, "*, "&amp;H$4&amp;",*",集計用!$G:$G, "*, "&amp;$C31&amp;",*"))/$B31*100</f>
        <v>62.5</v>
      </c>
      <c r="I31" s="41">
        <f>(COUNTIFS(集計用!$Y:$Y, "*, "&amp;I$4&amp;",*",集計用!$G:$G, "*, "&amp;$C31&amp;",*"))/$B31*100</f>
        <v>31.25</v>
      </c>
      <c r="J31" s="41">
        <f>(COUNTIFS(集計用!$Y:$Y, "*, "&amp;J$4&amp;",*",集計用!$G:$G, "*, "&amp;$C31&amp;",*"))/$B31*100</f>
        <v>37.5</v>
      </c>
      <c r="K31" s="41">
        <f>(COUNTIFS(集計用!$Y:$Y, "*, "&amp;K$4&amp;",*",集計用!$G:$G, "*, "&amp;$C31&amp;",*"))/$B31*100</f>
        <v>18.75</v>
      </c>
      <c r="L31" s="41">
        <f>(COUNTIFS(集計用!$Y:$Y, "*, "&amp;L$4&amp;",*",集計用!$G:$G, "*, "&amp;$C31&amp;",*"))/$B31*100</f>
        <v>18.75</v>
      </c>
      <c r="M31" s="41">
        <f>(COUNTIFS(集計用!$Y:$Y, "*, "&amp;M$4&amp;",*",集計用!$G:$G, "*, "&amp;$C31&amp;",*"))/$B31*100</f>
        <v>50</v>
      </c>
      <c r="N31" s="41">
        <f>(COUNTIFS(集計用!$Y:$Y, "*, "&amp;N$4&amp;",*",集計用!$G:$G, "*, "&amp;$C31&amp;",*"))/$B31*100</f>
        <v>25</v>
      </c>
      <c r="O31" s="41">
        <f>(COUNTIFS(集計用!$Y:$Y, "*, "&amp;O$4&amp;",*",集計用!$G:$G, "*, "&amp;$C31&amp;",*"))/$B31*100</f>
        <v>31.25</v>
      </c>
      <c r="P31" s="41">
        <f>(COUNTIFS(集計用!$Y:$Y, "*, "&amp;P$4&amp;",*",集計用!$G:$G, "*, "&amp;$C31&amp;",*"))/$B31*100</f>
        <v>25</v>
      </c>
      <c r="Q31" s="41"/>
      <c r="R31" s="41"/>
      <c r="S31" s="41"/>
      <c r="T31" s="41"/>
      <c r="U31" s="41"/>
      <c r="V31" s="41"/>
      <c r="W31" s="41"/>
      <c r="Y31" s="39"/>
    </row>
    <row r="32" spans="1:26" ht="12.75">
      <c r="A32" s="39">
        <v>4</v>
      </c>
      <c r="B32" s="39">
        <f>(COUNTIFS(集計用!$G$2:$G$444,"*, "&amp;$C32&amp;",*",集計用!$Y$2:$Y$444,"&lt;&gt;無回答 "))</f>
        <v>16</v>
      </c>
      <c r="C32" s="42" t="s">
        <v>32</v>
      </c>
      <c r="D32" s="41">
        <f>(COUNTIFS(集計用!$Y:$Y, "*, "&amp;D$4&amp;",*",集計用!$G:$G, "*, "&amp;$C32&amp;",*"))/$B32*100</f>
        <v>81.25</v>
      </c>
      <c r="E32" s="41">
        <f>(COUNTIFS(集計用!$Y:$Y, "*, "&amp;E$4&amp;",*",集計用!$G:$G, "*, "&amp;$C32&amp;",*"))/$B32*100</f>
        <v>62.5</v>
      </c>
      <c r="F32" s="41">
        <f>(COUNTIFS(集計用!$Y:$Y, "*, "&amp;F$4&amp;",*",集計用!$G:$G, "*, "&amp;$C32&amp;",*"))/$B32*100</f>
        <v>62.5</v>
      </c>
      <c r="G32" s="41">
        <f>(COUNTIFS(集計用!$Y:$Y, "*, "&amp;G$4&amp;",*",集計用!$G:$G, "*, "&amp;$C32&amp;",*"))/$B32*100</f>
        <v>50</v>
      </c>
      <c r="H32" s="41">
        <f>(COUNTIFS(集計用!$Y:$Y, "*, "&amp;H$4&amp;",*",集計用!$G:$G, "*, "&amp;$C32&amp;",*"))/$B32*100</f>
        <v>56.25</v>
      </c>
      <c r="I32" s="41">
        <f>(COUNTIFS(集計用!$Y:$Y, "*, "&amp;I$4&amp;",*",集計用!$G:$G, "*, "&amp;$C32&amp;",*"))/$B32*100</f>
        <v>43.75</v>
      </c>
      <c r="J32" s="41">
        <f>(COUNTIFS(集計用!$Y:$Y, "*, "&amp;J$4&amp;",*",集計用!$G:$G, "*, "&amp;$C32&amp;",*"))/$B32*100</f>
        <v>56.25</v>
      </c>
      <c r="K32" s="41">
        <f>(COUNTIFS(集計用!$Y:$Y, "*, "&amp;K$4&amp;",*",集計用!$G:$G, "*, "&amp;$C32&amp;",*"))/$B32*100</f>
        <v>43.75</v>
      </c>
      <c r="L32" s="41">
        <f>(COUNTIFS(集計用!$Y:$Y, "*, "&amp;L$4&amp;",*",集計用!$G:$G, "*, "&amp;$C32&amp;",*"))/$B32*100</f>
        <v>43.75</v>
      </c>
      <c r="M32" s="41">
        <f>(COUNTIFS(集計用!$Y:$Y, "*, "&amp;M$4&amp;",*",集計用!$G:$G, "*, "&amp;$C32&amp;",*"))/$B32*100</f>
        <v>43.75</v>
      </c>
      <c r="N32" s="41">
        <f>(COUNTIFS(集計用!$Y:$Y, "*, "&amp;N$4&amp;",*",集計用!$G:$G, "*, "&amp;$C32&amp;",*"))/$B32*100</f>
        <v>25</v>
      </c>
      <c r="O32" s="41">
        <f>(COUNTIFS(集計用!$Y:$Y, "*, "&amp;O$4&amp;",*",集計用!$G:$G, "*, "&amp;$C32&amp;",*"))/$B32*100</f>
        <v>18.75</v>
      </c>
      <c r="P32" s="41">
        <f>(COUNTIFS(集計用!$Y:$Y, "*, "&amp;P$4&amp;",*",集計用!$G:$G, "*, "&amp;$C32&amp;",*"))/$B32*100</f>
        <v>37.5</v>
      </c>
      <c r="Q32" s="41"/>
      <c r="R32" s="41"/>
      <c r="S32" s="41"/>
      <c r="T32" s="41"/>
      <c r="U32" s="41"/>
      <c r="V32" s="41"/>
      <c r="W32" s="41"/>
      <c r="Y32" s="39"/>
    </row>
    <row r="33" spans="1:25" ht="12.75">
      <c r="A33" s="39">
        <v>4</v>
      </c>
      <c r="B33" s="39">
        <f>(COUNTIFS(集計用!$G$2:$G$444,"*, "&amp;$C33&amp;",*",集計用!$Y$2:$Y$444,"&lt;&gt;無回答 "))</f>
        <v>47</v>
      </c>
      <c r="C33" s="42" t="s">
        <v>14</v>
      </c>
      <c r="D33" s="41">
        <f>(COUNTIFS(集計用!$Y:$Y, "*, "&amp;D$4&amp;",*",集計用!$G:$G, "*, "&amp;$C33&amp;",*"))/$B33*100</f>
        <v>80.851063829787222</v>
      </c>
      <c r="E33" s="41">
        <f>(COUNTIFS(集計用!$Y:$Y, "*, "&amp;E$4&amp;",*",集計用!$G:$G, "*, "&amp;$C33&amp;",*"))/$B33*100</f>
        <v>57.446808510638306</v>
      </c>
      <c r="F33" s="41">
        <f>(COUNTIFS(集計用!$Y:$Y, "*, "&amp;F$4&amp;",*",集計用!$G:$G, "*, "&amp;$C33&amp;",*"))/$B33*100</f>
        <v>61.702127659574465</v>
      </c>
      <c r="G33" s="41">
        <f>(COUNTIFS(集計用!$Y:$Y, "*, "&amp;G$4&amp;",*",集計用!$G:$G, "*, "&amp;$C33&amp;",*"))/$B33*100</f>
        <v>61.702127659574465</v>
      </c>
      <c r="H33" s="41">
        <f>(COUNTIFS(集計用!$Y:$Y, "*, "&amp;H$4&amp;",*",集計用!$G:$G, "*, "&amp;$C33&amp;",*"))/$B33*100</f>
        <v>53.191489361702125</v>
      </c>
      <c r="I33" s="41">
        <f>(COUNTIFS(集計用!$Y:$Y, "*, "&amp;I$4&amp;",*",集計用!$G:$G, "*, "&amp;$C33&amp;",*"))/$B33*100</f>
        <v>53.191489361702125</v>
      </c>
      <c r="J33" s="41">
        <f>(COUNTIFS(集計用!$Y:$Y, "*, "&amp;J$4&amp;",*",集計用!$G:$G, "*, "&amp;$C33&amp;",*"))/$B33*100</f>
        <v>42.553191489361701</v>
      </c>
      <c r="K33" s="41">
        <f>(COUNTIFS(集計用!$Y:$Y, "*, "&amp;K$4&amp;",*",集計用!$G:$G, "*, "&amp;$C33&amp;",*"))/$B33*100</f>
        <v>29.787234042553191</v>
      </c>
      <c r="L33" s="41">
        <f>(COUNTIFS(集計用!$Y:$Y, "*, "&amp;L$4&amp;",*",集計用!$G:$G, "*, "&amp;$C33&amp;",*"))/$B33*100</f>
        <v>34.042553191489361</v>
      </c>
      <c r="M33" s="41">
        <f>(COUNTIFS(集計用!$Y:$Y, "*, "&amp;M$4&amp;",*",集計用!$G:$G, "*, "&amp;$C33&amp;",*"))/$B33*100</f>
        <v>25.531914893617021</v>
      </c>
      <c r="N33" s="41">
        <f>(COUNTIFS(集計用!$Y:$Y, "*, "&amp;N$4&amp;",*",集計用!$G:$G, "*, "&amp;$C33&amp;",*"))/$B33*100</f>
        <v>23.404255319148938</v>
      </c>
      <c r="O33" s="41">
        <f>(COUNTIFS(集計用!$Y:$Y, "*, "&amp;O$4&amp;",*",集計用!$G:$G, "*, "&amp;$C33&amp;",*"))/$B33*100</f>
        <v>17.021276595744681</v>
      </c>
      <c r="P33" s="41">
        <f>(COUNTIFS(集計用!$Y:$Y, "*, "&amp;P$4&amp;",*",集計用!$G:$G, "*, "&amp;$C33&amp;",*"))/$B33*100</f>
        <v>19.148936170212767</v>
      </c>
      <c r="Q33" s="41"/>
      <c r="R33" s="41"/>
      <c r="S33" s="41"/>
      <c r="T33" s="41"/>
      <c r="U33" s="41"/>
      <c r="V33" s="41"/>
      <c r="W33" s="41"/>
      <c r="Y33" s="39"/>
    </row>
    <row r="34" spans="1:25" ht="12.75">
      <c r="A34" s="39">
        <v>4</v>
      </c>
      <c r="B34" s="39">
        <f>(COUNTIFS(集計用!$G$2:$G$444,"*, "&amp;$C34&amp;",*",集計用!$Y$2:$Y$444,"&lt;&gt;無回答 "))</f>
        <v>74</v>
      </c>
      <c r="C34" s="42" t="s">
        <v>5</v>
      </c>
      <c r="D34" s="41">
        <f>(COUNTIFS(集計用!$Y:$Y, "*, "&amp;D$4&amp;",*",集計用!$G:$G, "*, "&amp;$C34&amp;",*"))/$B34*100</f>
        <v>79.729729729729726</v>
      </c>
      <c r="E34" s="41">
        <f>(COUNTIFS(集計用!$Y:$Y, "*, "&amp;E$4&amp;",*",集計用!$G:$G, "*, "&amp;$C34&amp;",*"))/$B34*100</f>
        <v>68.918918918918919</v>
      </c>
      <c r="F34" s="41">
        <f>(COUNTIFS(集計用!$Y:$Y, "*, "&amp;F$4&amp;",*",集計用!$G:$G, "*, "&amp;$C34&amp;",*"))/$B34*100</f>
        <v>68.918918918918919</v>
      </c>
      <c r="G34" s="41">
        <f>(COUNTIFS(集計用!$Y:$Y, "*, "&amp;G$4&amp;",*",集計用!$G:$G, "*, "&amp;$C34&amp;",*"))/$B34*100</f>
        <v>64.86486486486487</v>
      </c>
      <c r="H34" s="41">
        <f>(COUNTIFS(集計用!$Y:$Y, "*, "&amp;H$4&amp;",*",集計用!$G:$G, "*, "&amp;$C34&amp;",*"))/$B34*100</f>
        <v>66.21621621621621</v>
      </c>
      <c r="I34" s="41">
        <f>(COUNTIFS(集計用!$Y:$Y, "*, "&amp;I$4&amp;",*",集計用!$G:$G, "*, "&amp;$C34&amp;",*"))/$B34*100</f>
        <v>50</v>
      </c>
      <c r="J34" s="41">
        <f>(COUNTIFS(集計用!$Y:$Y, "*, "&amp;J$4&amp;",*",集計用!$G:$G, "*, "&amp;$C34&amp;",*"))/$B34*100</f>
        <v>43.243243243243242</v>
      </c>
      <c r="K34" s="41">
        <f>(COUNTIFS(集計用!$Y:$Y, "*, "&amp;K$4&amp;",*",集計用!$G:$G, "*, "&amp;$C34&amp;",*"))/$B34*100</f>
        <v>37.837837837837839</v>
      </c>
      <c r="L34" s="41">
        <f>(COUNTIFS(集計用!$Y:$Y, "*, "&amp;L$4&amp;",*",集計用!$G:$G, "*, "&amp;$C34&amp;",*"))/$B34*100</f>
        <v>32.432432432432435</v>
      </c>
      <c r="M34" s="41">
        <f>(COUNTIFS(集計用!$Y:$Y, "*, "&amp;M$4&amp;",*",集計用!$G:$G, "*, "&amp;$C34&amp;",*"))/$B34*100</f>
        <v>27.027027027027028</v>
      </c>
      <c r="N34" s="41">
        <f>(COUNTIFS(集計用!$Y:$Y, "*, "&amp;N$4&amp;",*",集計用!$G:$G, "*, "&amp;$C34&amp;",*"))/$B34*100</f>
        <v>21.621621621621621</v>
      </c>
      <c r="O34" s="41">
        <f>(COUNTIFS(集計用!$Y:$Y, "*, "&amp;O$4&amp;",*",集計用!$G:$G, "*, "&amp;$C34&amp;",*"))/$B34*100</f>
        <v>17.567567567567568</v>
      </c>
      <c r="P34" s="41">
        <f>(COUNTIFS(集計用!$Y:$Y, "*, "&amp;P$4&amp;",*",集計用!$G:$G, "*, "&amp;$C34&amp;",*"))/$B34*100</f>
        <v>22.972972972972975</v>
      </c>
      <c r="Q34" s="41"/>
      <c r="R34" s="41"/>
      <c r="S34" s="41"/>
      <c r="T34" s="41"/>
      <c r="U34" s="41"/>
      <c r="V34" s="41"/>
      <c r="W34" s="41"/>
      <c r="Y34" s="39"/>
    </row>
    <row r="35" spans="1:25" ht="15.75" customHeight="1">
      <c r="A35" s="39">
        <v>4</v>
      </c>
      <c r="B35" s="39">
        <f>(COUNTIFS(集計用!$G$2:$G$444,"*, "&amp;$C35&amp;",*",集計用!$Y$2:$Y$444,"&lt;&gt;無回答 "))</f>
        <v>5</v>
      </c>
      <c r="C35" s="42" t="s">
        <v>51</v>
      </c>
      <c r="D35" s="41">
        <f>(COUNTIFS(集計用!$Y:$Y, "*, "&amp;D$4&amp;",*",集計用!$G:$G, "*, "&amp;$C35&amp;",*"))/$B35*100</f>
        <v>100</v>
      </c>
      <c r="E35" s="41">
        <f>(COUNTIFS(集計用!$Y:$Y, "*, "&amp;E$4&amp;",*",集計用!$G:$G, "*, "&amp;$C35&amp;",*"))/$B35*100</f>
        <v>80</v>
      </c>
      <c r="F35" s="41">
        <f>(COUNTIFS(集計用!$Y:$Y, "*, "&amp;F$4&amp;",*",集計用!$G:$G, "*, "&amp;$C35&amp;",*"))/$B35*100</f>
        <v>60</v>
      </c>
      <c r="G35" s="41">
        <f>(COUNTIFS(集計用!$Y:$Y, "*, "&amp;G$4&amp;",*",集計用!$G:$G, "*, "&amp;$C35&amp;",*"))/$B35*100</f>
        <v>100</v>
      </c>
      <c r="H35" s="41">
        <f>(COUNTIFS(集計用!$Y:$Y, "*, "&amp;H$4&amp;",*",集計用!$G:$G, "*, "&amp;$C35&amp;",*"))/$B35*100</f>
        <v>60</v>
      </c>
      <c r="I35" s="41">
        <f>(COUNTIFS(集計用!$Y:$Y, "*, "&amp;I$4&amp;",*",集計用!$G:$G, "*, "&amp;$C35&amp;",*"))/$B35*100</f>
        <v>60</v>
      </c>
      <c r="J35" s="41">
        <f>(COUNTIFS(集計用!$Y:$Y, "*, "&amp;J$4&amp;",*",集計用!$G:$G, "*, "&amp;$C35&amp;",*"))/$B35*100</f>
        <v>40</v>
      </c>
      <c r="K35" s="41">
        <f>(COUNTIFS(集計用!$Y:$Y, "*, "&amp;K$4&amp;",*",集計用!$G:$G, "*, "&amp;$C35&amp;",*"))/$B35*100</f>
        <v>20</v>
      </c>
      <c r="L35" s="41">
        <f>(COUNTIFS(集計用!$Y:$Y, "*, "&amp;L$4&amp;",*",集計用!$G:$G, "*, "&amp;$C35&amp;",*"))/$B35*100</f>
        <v>0</v>
      </c>
      <c r="M35" s="41">
        <f>(COUNTIFS(集計用!$Y:$Y, "*, "&amp;M$4&amp;",*",集計用!$G:$G, "*, "&amp;$C35&amp;",*"))/$B35*100</f>
        <v>20</v>
      </c>
      <c r="N35" s="41">
        <f>(COUNTIFS(集計用!$Y:$Y, "*, "&amp;N$4&amp;",*",集計用!$G:$G, "*, "&amp;$C35&amp;",*"))/$B35*100</f>
        <v>20</v>
      </c>
      <c r="O35" s="41">
        <f>(COUNTIFS(集計用!$Y:$Y, "*, "&amp;O$4&amp;",*",集計用!$G:$G, "*, "&amp;$C35&amp;",*"))/$B35*100</f>
        <v>20</v>
      </c>
      <c r="P35" s="41">
        <f>(COUNTIFS(集計用!$Y:$Y, "*, "&amp;P$4&amp;",*",集計用!$G:$G, "*, "&amp;$C35&amp;",*"))/$B35*100</f>
        <v>40</v>
      </c>
      <c r="Q35" s="41"/>
      <c r="R35" s="41"/>
      <c r="S35" s="41"/>
      <c r="T35" s="41"/>
      <c r="U35" s="41"/>
      <c r="V35" s="41"/>
      <c r="W35" s="41"/>
      <c r="Y35" s="39"/>
    </row>
    <row r="36" spans="1:25" ht="15.75" customHeight="1">
      <c r="A36" s="39">
        <v>4</v>
      </c>
      <c r="B36" s="39">
        <f>(COUNTIFS(集計用!$G$2:$G$444,"*, "&amp;$C36&amp;",*",集計用!$Y$2:$Y$444,"&lt;&gt;無回答 "))</f>
        <v>15</v>
      </c>
      <c r="C36" s="42" t="s">
        <v>33</v>
      </c>
      <c r="D36" s="41">
        <f>(COUNTIFS(集計用!$Y:$Y, "*, "&amp;D$4&amp;",*",集計用!$G:$G, "*, "&amp;$C36&amp;",*"))/$B36*100</f>
        <v>73.333333333333329</v>
      </c>
      <c r="E36" s="41">
        <f>(COUNTIFS(集計用!$Y:$Y, "*, "&amp;E$4&amp;",*",集計用!$G:$G, "*, "&amp;$C36&amp;",*"))/$B36*100</f>
        <v>46.666666666666664</v>
      </c>
      <c r="F36" s="41">
        <f>(COUNTIFS(集計用!$Y:$Y, "*, "&amp;F$4&amp;",*",集計用!$G:$G, "*, "&amp;$C36&amp;",*"))/$B36*100</f>
        <v>66.666666666666657</v>
      </c>
      <c r="G36" s="41">
        <f>(COUNTIFS(集計用!$Y:$Y, "*, "&amp;G$4&amp;",*",集計用!$G:$G, "*, "&amp;$C36&amp;",*"))/$B36*100</f>
        <v>46.666666666666664</v>
      </c>
      <c r="H36" s="41">
        <f>(COUNTIFS(集計用!$Y:$Y, "*, "&amp;H$4&amp;",*",集計用!$G:$G, "*, "&amp;$C36&amp;",*"))/$B36*100</f>
        <v>66.666666666666657</v>
      </c>
      <c r="I36" s="41">
        <f>(COUNTIFS(集計用!$Y:$Y, "*, "&amp;I$4&amp;",*",集計用!$G:$G, "*, "&amp;$C36&amp;",*"))/$B36*100</f>
        <v>53.333333333333336</v>
      </c>
      <c r="J36" s="41">
        <f>(COUNTIFS(集計用!$Y:$Y, "*, "&amp;J$4&amp;",*",集計用!$G:$G, "*, "&amp;$C36&amp;",*"))/$B36*100</f>
        <v>40</v>
      </c>
      <c r="K36" s="41">
        <f>(COUNTIFS(集計用!$Y:$Y, "*, "&amp;K$4&amp;",*",集計用!$G:$G, "*, "&amp;$C36&amp;",*"))/$B36*100</f>
        <v>26.666666666666668</v>
      </c>
      <c r="L36" s="41">
        <f>(COUNTIFS(集計用!$Y:$Y, "*, "&amp;L$4&amp;",*",集計用!$G:$G, "*, "&amp;$C36&amp;",*"))/$B36*100</f>
        <v>26.666666666666668</v>
      </c>
      <c r="M36" s="41">
        <f>(COUNTIFS(集計用!$Y:$Y, "*, "&amp;M$4&amp;",*",集計用!$G:$G, "*, "&amp;$C36&amp;",*"))/$B36*100</f>
        <v>40</v>
      </c>
      <c r="N36" s="41">
        <f>(COUNTIFS(集計用!$Y:$Y, "*, "&amp;N$4&amp;",*",集計用!$G:$G, "*, "&amp;$C36&amp;",*"))/$B36*100</f>
        <v>13.333333333333334</v>
      </c>
      <c r="O36" s="41">
        <f>(COUNTIFS(集計用!$Y:$Y, "*, "&amp;O$4&amp;",*",集計用!$G:$G, "*, "&amp;$C36&amp;",*"))/$B36*100</f>
        <v>20</v>
      </c>
      <c r="P36" s="41">
        <f>(COUNTIFS(集計用!$Y:$Y, "*, "&amp;P$4&amp;",*",集計用!$G:$G, "*, "&amp;$C36&amp;",*"))/$B36*100</f>
        <v>40</v>
      </c>
      <c r="Q36" s="41"/>
      <c r="R36" s="41"/>
      <c r="S36" s="41"/>
      <c r="T36" s="41"/>
      <c r="U36" s="41"/>
      <c r="V36" s="41"/>
      <c r="W36" s="41"/>
      <c r="Y36" s="39"/>
    </row>
    <row r="37" spans="1:25" ht="15.75" customHeight="1">
      <c r="A37" s="39">
        <v>4</v>
      </c>
      <c r="B37" s="39">
        <f>(COUNTIFS(集計用!$G$2:$G$444,"*, "&amp;$C37&amp;",*",集計用!$Y$2:$Y$444,"&lt;&gt;無回答 "))</f>
        <v>8</v>
      </c>
      <c r="C37" s="42" t="s">
        <v>43</v>
      </c>
      <c r="D37" s="41">
        <f>(COUNTIFS(集計用!$Y:$Y, "*, "&amp;D$4&amp;",*",集計用!$G:$G, "*, "&amp;$C37&amp;",*"))/$B37*100</f>
        <v>100</v>
      </c>
      <c r="E37" s="41">
        <f>(COUNTIFS(集計用!$Y:$Y, "*, "&amp;E$4&amp;",*",集計用!$G:$G, "*, "&amp;$C37&amp;",*"))/$B37*100</f>
        <v>87.5</v>
      </c>
      <c r="F37" s="41">
        <f>(COUNTIFS(集計用!$Y:$Y, "*, "&amp;F$4&amp;",*",集計用!$G:$G, "*, "&amp;$C37&amp;",*"))/$B37*100</f>
        <v>62.5</v>
      </c>
      <c r="G37" s="41">
        <f>(COUNTIFS(集計用!$Y:$Y, "*, "&amp;G$4&amp;",*",集計用!$G:$G, "*, "&amp;$C37&amp;",*"))/$B37*100</f>
        <v>62.5</v>
      </c>
      <c r="H37" s="41">
        <f>(COUNTIFS(集計用!$Y:$Y, "*, "&amp;H$4&amp;",*",集計用!$G:$G, "*, "&amp;$C37&amp;",*"))/$B37*100</f>
        <v>62.5</v>
      </c>
      <c r="I37" s="41">
        <f>(COUNTIFS(集計用!$Y:$Y, "*, "&amp;I$4&amp;",*",集計用!$G:$G, "*, "&amp;$C37&amp;",*"))/$B37*100</f>
        <v>50</v>
      </c>
      <c r="J37" s="41">
        <f>(COUNTIFS(集計用!$Y:$Y, "*, "&amp;J$4&amp;",*",集計用!$G:$G, "*, "&amp;$C37&amp;",*"))/$B37*100</f>
        <v>50</v>
      </c>
      <c r="K37" s="41">
        <f>(COUNTIFS(集計用!$Y:$Y, "*, "&amp;K$4&amp;",*",集計用!$G:$G, "*, "&amp;$C37&amp;",*"))/$B37*100</f>
        <v>62.5</v>
      </c>
      <c r="L37" s="41">
        <f>(COUNTIFS(集計用!$Y:$Y, "*, "&amp;L$4&amp;",*",集計用!$G:$G, "*, "&amp;$C37&amp;",*"))/$B37*100</f>
        <v>12.5</v>
      </c>
      <c r="M37" s="41">
        <f>(COUNTIFS(集計用!$Y:$Y, "*, "&amp;M$4&amp;",*",集計用!$G:$G, "*, "&amp;$C37&amp;",*"))/$B37*100</f>
        <v>37.5</v>
      </c>
      <c r="N37" s="41">
        <f>(COUNTIFS(集計用!$Y:$Y, "*, "&amp;N$4&amp;",*",集計用!$G:$G, "*, "&amp;$C37&amp;",*"))/$B37*100</f>
        <v>12.5</v>
      </c>
      <c r="O37" s="41">
        <f>(COUNTIFS(集計用!$Y:$Y, "*, "&amp;O$4&amp;",*",集計用!$G:$G, "*, "&amp;$C37&amp;",*"))/$B37*100</f>
        <v>37.5</v>
      </c>
      <c r="P37" s="41">
        <f>(COUNTIFS(集計用!$Y:$Y, "*, "&amp;P$4&amp;",*",集計用!$G:$G, "*, "&amp;$C37&amp;",*"))/$B37*100</f>
        <v>25</v>
      </c>
      <c r="Q37" s="41"/>
      <c r="R37" s="41"/>
      <c r="S37" s="41"/>
      <c r="T37" s="41"/>
      <c r="U37" s="41"/>
      <c r="V37" s="41"/>
      <c r="W37" s="41"/>
      <c r="Y37" s="39"/>
    </row>
    <row r="38" spans="1:25" ht="15.75" customHeight="1">
      <c r="A38" s="39">
        <v>5</v>
      </c>
      <c r="B38" s="39">
        <f>(COUNTIFS(集計用!$G$2:$G$444,"*, "&amp;$C38&amp;",*",集計用!$Y$2:$Y$444,"&lt;&gt;無回答 "))</f>
        <v>13</v>
      </c>
      <c r="C38" s="42" t="s">
        <v>35</v>
      </c>
      <c r="D38" s="41">
        <f>(COUNTIFS(集計用!$Y:$Y, "*, "&amp;D$4&amp;",*",集計用!$G:$G, "*, "&amp;$C38&amp;",*"))/$B38*100</f>
        <v>84.615384615384613</v>
      </c>
      <c r="E38" s="41">
        <f>(COUNTIFS(集計用!$Y:$Y, "*, "&amp;E$4&amp;",*",集計用!$G:$G, "*, "&amp;$C38&amp;",*"))/$B38*100</f>
        <v>84.615384615384613</v>
      </c>
      <c r="F38" s="41">
        <f>(COUNTIFS(集計用!$Y:$Y, "*, "&amp;F$4&amp;",*",集計用!$G:$G, "*, "&amp;$C38&amp;",*"))/$B38*100</f>
        <v>61.53846153846154</v>
      </c>
      <c r="G38" s="41">
        <f>(COUNTIFS(集計用!$Y:$Y, "*, "&amp;G$4&amp;",*",集計用!$G:$G, "*, "&amp;$C38&amp;",*"))/$B38*100</f>
        <v>46.153846153846153</v>
      </c>
      <c r="H38" s="41">
        <f>(COUNTIFS(集計用!$Y:$Y, "*, "&amp;H$4&amp;",*",集計用!$G:$G, "*, "&amp;$C38&amp;",*"))/$B38*100</f>
        <v>61.53846153846154</v>
      </c>
      <c r="I38" s="41">
        <f>(COUNTIFS(集計用!$Y:$Y, "*, "&amp;I$4&amp;",*",集計用!$G:$G, "*, "&amp;$C38&amp;",*"))/$B38*100</f>
        <v>92.307692307692307</v>
      </c>
      <c r="J38" s="41">
        <f>(COUNTIFS(集計用!$Y:$Y, "*, "&amp;J$4&amp;",*",集計用!$G:$G, "*, "&amp;$C38&amp;",*"))/$B38*100</f>
        <v>69.230769230769226</v>
      </c>
      <c r="K38" s="41">
        <f>(COUNTIFS(集計用!$Y:$Y, "*, "&amp;K$4&amp;",*",集計用!$G:$G, "*, "&amp;$C38&amp;",*"))/$B38*100</f>
        <v>46.153846153846153</v>
      </c>
      <c r="L38" s="41">
        <f>(COUNTIFS(集計用!$Y:$Y, "*, "&amp;L$4&amp;",*",集計用!$G:$G, "*, "&amp;$C38&amp;",*"))/$B38*100</f>
        <v>61.53846153846154</v>
      </c>
      <c r="M38" s="41">
        <f>(COUNTIFS(集計用!$Y:$Y, "*, "&amp;M$4&amp;",*",集計用!$G:$G, "*, "&amp;$C38&amp;",*"))/$B38*100</f>
        <v>53.846153846153847</v>
      </c>
      <c r="N38" s="41">
        <f>(COUNTIFS(集計用!$Y:$Y, "*, "&amp;N$4&amp;",*",集計用!$G:$G, "*, "&amp;$C38&amp;",*"))/$B38*100</f>
        <v>76.923076923076934</v>
      </c>
      <c r="O38" s="41">
        <f>(COUNTIFS(集計用!$Y:$Y, "*, "&amp;O$4&amp;",*",集計用!$G:$G, "*, "&amp;$C38&amp;",*"))/$B38*100</f>
        <v>61.53846153846154</v>
      </c>
      <c r="P38" s="41">
        <f>(COUNTIFS(集計用!$Y:$Y, "*, "&amp;P$4&amp;",*",集計用!$G:$G, "*, "&amp;$C38&amp;",*"))/$B38*100</f>
        <v>46.153846153846153</v>
      </c>
      <c r="Q38" s="41"/>
      <c r="R38" s="41"/>
      <c r="S38" s="41"/>
      <c r="T38" s="41"/>
      <c r="U38" s="41"/>
      <c r="V38" s="41"/>
      <c r="W38" s="41"/>
      <c r="Y38" s="39"/>
    </row>
    <row r="39" spans="1:25" ht="12.75">
      <c r="A39" s="39">
        <v>5</v>
      </c>
      <c r="B39" s="39">
        <f>(COUNTIFS(集計用!$G$2:$G$444,"*, "&amp;$C39&amp;",*",集計用!$Y$2:$Y$444,"&lt;&gt;無回答 "))</f>
        <v>14</v>
      </c>
      <c r="C39" s="42" t="s">
        <v>34</v>
      </c>
      <c r="D39" s="41">
        <f>(COUNTIFS(集計用!$Y:$Y, "*, "&amp;D$4&amp;",*",集計用!$G:$G, "*, "&amp;$C39&amp;",*"))/$B39*100</f>
        <v>71.428571428571431</v>
      </c>
      <c r="E39" s="41">
        <f>(COUNTIFS(集計用!$Y:$Y, "*, "&amp;E$4&amp;",*",集計用!$G:$G, "*, "&amp;$C39&amp;",*"))/$B39*100</f>
        <v>78.571428571428569</v>
      </c>
      <c r="F39" s="41">
        <f>(COUNTIFS(集計用!$Y:$Y, "*, "&amp;F$4&amp;",*",集計用!$G:$G, "*, "&amp;$C39&amp;",*"))/$B39*100</f>
        <v>64.285714285714292</v>
      </c>
      <c r="G39" s="41">
        <f>(COUNTIFS(集計用!$Y:$Y, "*, "&amp;G$4&amp;",*",集計用!$G:$G, "*, "&amp;$C39&amp;",*"))/$B39*100</f>
        <v>50</v>
      </c>
      <c r="H39" s="41">
        <f>(COUNTIFS(集計用!$Y:$Y, "*, "&amp;H$4&amp;",*",集計用!$G:$G, "*, "&amp;$C39&amp;",*"))/$B39*100</f>
        <v>64.285714285714292</v>
      </c>
      <c r="I39" s="41">
        <f>(COUNTIFS(集計用!$Y:$Y, "*, "&amp;I$4&amp;",*",集計用!$G:$G, "*, "&amp;$C39&amp;",*"))/$B39*100</f>
        <v>85.714285714285708</v>
      </c>
      <c r="J39" s="41">
        <f>(COUNTIFS(集計用!$Y:$Y, "*, "&amp;J$4&amp;",*",集計用!$G:$G, "*, "&amp;$C39&amp;",*"))/$B39*100</f>
        <v>50</v>
      </c>
      <c r="K39" s="41">
        <f>(COUNTIFS(集計用!$Y:$Y, "*, "&amp;K$4&amp;",*",集計用!$G:$G, "*, "&amp;$C39&amp;",*"))/$B39*100</f>
        <v>57.142857142857139</v>
      </c>
      <c r="L39" s="41">
        <f>(COUNTIFS(集計用!$Y:$Y, "*, "&amp;L$4&amp;",*",集計用!$G:$G, "*, "&amp;$C39&amp;",*"))/$B39*100</f>
        <v>50</v>
      </c>
      <c r="M39" s="41">
        <f>(COUNTIFS(集計用!$Y:$Y, "*, "&amp;M$4&amp;",*",集計用!$G:$G, "*, "&amp;$C39&amp;",*"))/$B39*100</f>
        <v>21.428571428571427</v>
      </c>
      <c r="N39" s="41">
        <f>(COUNTIFS(集計用!$Y:$Y, "*, "&amp;N$4&amp;",*",集計用!$G:$G, "*, "&amp;$C39&amp;",*"))/$B39*100</f>
        <v>50</v>
      </c>
      <c r="O39" s="41">
        <f>(COUNTIFS(集計用!$Y:$Y, "*, "&amp;O$4&amp;",*",集計用!$G:$G, "*, "&amp;$C39&amp;",*"))/$B39*100</f>
        <v>57.142857142857139</v>
      </c>
      <c r="P39" s="41">
        <f>(COUNTIFS(集計用!$Y:$Y, "*, "&amp;P$4&amp;",*",集計用!$G:$G, "*, "&amp;$C39&amp;",*"))/$B39*100</f>
        <v>35.714285714285715</v>
      </c>
      <c r="Q39" s="41"/>
      <c r="R39" s="41"/>
      <c r="S39" s="41"/>
      <c r="T39" s="41"/>
      <c r="U39" s="41"/>
      <c r="V39" s="41"/>
      <c r="W39" s="41"/>
      <c r="Y39" s="39"/>
    </row>
    <row r="40" spans="1:25" ht="12.75">
      <c r="A40" s="39">
        <v>5</v>
      </c>
      <c r="B40" s="39">
        <f>(COUNTIFS(集計用!$G$2:$G$444,"*, "&amp;$C40&amp;",*",集計用!$Y$2:$Y$444,"&lt;&gt;無回答 "))</f>
        <v>6</v>
      </c>
      <c r="C40" s="42" t="s">
        <v>49</v>
      </c>
      <c r="D40" s="41">
        <f>(COUNTIFS(集計用!$Y:$Y, "*, "&amp;D$4&amp;",*",集計用!$G:$G, "*, "&amp;$C40&amp;",*"))/$B40*100</f>
        <v>83.333333333333343</v>
      </c>
      <c r="E40" s="41">
        <f>(COUNTIFS(集計用!$Y:$Y, "*, "&amp;E$4&amp;",*",集計用!$G:$G, "*, "&amp;$C40&amp;",*"))/$B40*100</f>
        <v>50</v>
      </c>
      <c r="F40" s="41">
        <f>(COUNTIFS(集計用!$Y:$Y, "*, "&amp;F$4&amp;",*",集計用!$G:$G, "*, "&amp;$C40&amp;",*"))/$B40*100</f>
        <v>83.333333333333343</v>
      </c>
      <c r="G40" s="41">
        <f>(COUNTIFS(集計用!$Y:$Y, "*, "&amp;G$4&amp;",*",集計用!$G:$G, "*, "&amp;$C40&amp;",*"))/$B40*100</f>
        <v>50</v>
      </c>
      <c r="H40" s="41">
        <f>(COUNTIFS(集計用!$Y:$Y, "*, "&amp;H$4&amp;",*",集計用!$G:$G, "*, "&amp;$C40&amp;",*"))/$B40*100</f>
        <v>66.666666666666657</v>
      </c>
      <c r="I40" s="41">
        <f>(COUNTIFS(集計用!$Y:$Y, "*, "&amp;I$4&amp;",*",集計用!$G:$G, "*, "&amp;$C40&amp;",*"))/$B40*100</f>
        <v>66.666666666666657</v>
      </c>
      <c r="J40" s="41">
        <f>(COUNTIFS(集計用!$Y:$Y, "*, "&amp;J$4&amp;",*",集計用!$G:$G, "*, "&amp;$C40&amp;",*"))/$B40*100</f>
        <v>66.666666666666657</v>
      </c>
      <c r="K40" s="41">
        <f>(COUNTIFS(集計用!$Y:$Y, "*, "&amp;K$4&amp;",*",集計用!$G:$G, "*, "&amp;$C40&amp;",*"))/$B40*100</f>
        <v>50</v>
      </c>
      <c r="L40" s="41">
        <f>(COUNTIFS(集計用!$Y:$Y, "*, "&amp;L$4&amp;",*",集計用!$G:$G, "*, "&amp;$C40&amp;",*"))/$B40*100</f>
        <v>66.666666666666657</v>
      </c>
      <c r="M40" s="41">
        <f>(COUNTIFS(集計用!$Y:$Y, "*, "&amp;M$4&amp;",*",集計用!$G:$G, "*, "&amp;$C40&amp;",*"))/$B40*100</f>
        <v>50</v>
      </c>
      <c r="N40" s="41">
        <f>(COUNTIFS(集計用!$Y:$Y, "*, "&amp;N$4&amp;",*",集計用!$G:$G, "*, "&amp;$C40&amp;",*"))/$B40*100</f>
        <v>50</v>
      </c>
      <c r="O40" s="41">
        <f>(COUNTIFS(集計用!$Y:$Y, "*, "&amp;O$4&amp;",*",集計用!$G:$G, "*, "&amp;$C40&amp;",*"))/$B40*100</f>
        <v>33.333333333333329</v>
      </c>
      <c r="P40" s="41">
        <f>(COUNTIFS(集計用!$Y:$Y, "*, "&amp;P$4&amp;",*",集計用!$G:$G, "*, "&amp;$C40&amp;",*"))/$B40*100</f>
        <v>50</v>
      </c>
      <c r="Q40" s="41"/>
      <c r="R40" s="41"/>
      <c r="S40" s="41"/>
      <c r="T40" s="41"/>
      <c r="U40" s="41"/>
      <c r="V40" s="41"/>
      <c r="W40" s="41"/>
      <c r="Y40" s="39"/>
    </row>
    <row r="41" spans="1:25" ht="12.75">
      <c r="A41" s="39">
        <v>5</v>
      </c>
      <c r="B41" s="39">
        <f>(COUNTIFS(集計用!$G$2:$G$444,"*, "&amp;$C41&amp;",*",集計用!$Y$2:$Y$444,"&lt;&gt;無回答 "))</f>
        <v>12</v>
      </c>
      <c r="C41" s="42" t="s">
        <v>38</v>
      </c>
      <c r="D41" s="41">
        <f>(COUNTIFS(集計用!$Y:$Y, "*, "&amp;D$4&amp;",*",集計用!$G:$G, "*, "&amp;$C41&amp;",*"))/$B41*100</f>
        <v>75</v>
      </c>
      <c r="E41" s="41">
        <f>(COUNTIFS(集計用!$Y:$Y, "*, "&amp;E$4&amp;",*",集計用!$G:$G, "*, "&amp;$C41&amp;",*"))/$B41*100</f>
        <v>50</v>
      </c>
      <c r="F41" s="41">
        <f>(COUNTIFS(集計用!$Y:$Y, "*, "&amp;F$4&amp;",*",集計用!$G:$G, "*, "&amp;$C41&amp;",*"))/$B41*100</f>
        <v>50</v>
      </c>
      <c r="G41" s="41">
        <f>(COUNTIFS(集計用!$Y:$Y, "*, "&amp;G$4&amp;",*",集計用!$G:$G, "*, "&amp;$C41&amp;",*"))/$B41*100</f>
        <v>33.333333333333329</v>
      </c>
      <c r="H41" s="41">
        <f>(COUNTIFS(集計用!$Y:$Y, "*, "&amp;H$4&amp;",*",集計用!$G:$G, "*, "&amp;$C41&amp;",*"))/$B41*100</f>
        <v>41.666666666666671</v>
      </c>
      <c r="I41" s="41">
        <f>(COUNTIFS(集計用!$Y:$Y, "*, "&amp;I$4&amp;",*",集計用!$G:$G, "*, "&amp;$C41&amp;",*"))/$B41*100</f>
        <v>33.333333333333329</v>
      </c>
      <c r="J41" s="41">
        <f>(COUNTIFS(集計用!$Y:$Y, "*, "&amp;J$4&amp;",*",集計用!$G:$G, "*, "&amp;$C41&amp;",*"))/$B41*100</f>
        <v>33.333333333333329</v>
      </c>
      <c r="K41" s="41">
        <f>(COUNTIFS(集計用!$Y:$Y, "*, "&amp;K$4&amp;",*",集計用!$G:$G, "*, "&amp;$C41&amp;",*"))/$B41*100</f>
        <v>25</v>
      </c>
      <c r="L41" s="41">
        <f>(COUNTIFS(集計用!$Y:$Y, "*, "&amp;L$4&amp;",*",集計用!$G:$G, "*, "&amp;$C41&amp;",*"))/$B41*100</f>
        <v>41.666666666666671</v>
      </c>
      <c r="M41" s="41">
        <f>(COUNTIFS(集計用!$Y:$Y, "*, "&amp;M$4&amp;",*",集計用!$G:$G, "*, "&amp;$C41&amp;",*"))/$B41*100</f>
        <v>8.3333333333333321</v>
      </c>
      <c r="N41" s="41">
        <f>(COUNTIFS(集計用!$Y:$Y, "*, "&amp;N$4&amp;",*",集計用!$G:$G, "*, "&amp;$C41&amp;",*"))/$B41*100</f>
        <v>50</v>
      </c>
      <c r="O41" s="41">
        <f>(COUNTIFS(集計用!$Y:$Y, "*, "&amp;O$4&amp;",*",集計用!$G:$G, "*, "&amp;$C41&amp;",*"))/$B41*100</f>
        <v>25</v>
      </c>
      <c r="P41" s="41">
        <f>(COUNTIFS(集計用!$Y:$Y, "*, "&amp;P$4&amp;",*",集計用!$G:$G, "*, "&amp;$C41&amp;",*"))/$B41*100</f>
        <v>25</v>
      </c>
      <c r="Q41" s="41"/>
      <c r="R41" s="41"/>
      <c r="S41" s="41"/>
      <c r="T41" s="41"/>
      <c r="U41" s="41"/>
      <c r="V41" s="41"/>
      <c r="W41" s="41"/>
      <c r="Y41" s="39"/>
    </row>
    <row r="42" spans="1:25" ht="12.75">
      <c r="A42" s="39">
        <v>5</v>
      </c>
      <c r="B42" s="39">
        <f>(COUNTIFS(集計用!$G$2:$G$444,"*, "&amp;$C42&amp;",*",集計用!$Y$2:$Y$444,"&lt;&gt;無回答 "))</f>
        <v>11</v>
      </c>
      <c r="C42" s="42" t="s">
        <v>39</v>
      </c>
      <c r="D42" s="41">
        <f>(COUNTIFS(集計用!$Y:$Y, "*, "&amp;D$4&amp;",*",集計用!$G:$G, "*, "&amp;$C42&amp;",*"))/$B42*100</f>
        <v>90.909090909090907</v>
      </c>
      <c r="E42" s="41">
        <f>(COUNTIFS(集計用!$Y:$Y, "*, "&amp;E$4&amp;",*",集計用!$G:$G, "*, "&amp;$C42&amp;",*"))/$B42*100</f>
        <v>90.909090909090907</v>
      </c>
      <c r="F42" s="41">
        <f>(COUNTIFS(集計用!$Y:$Y, "*, "&amp;F$4&amp;",*",集計用!$G:$G, "*, "&amp;$C42&amp;",*"))/$B42*100</f>
        <v>63.636363636363633</v>
      </c>
      <c r="G42" s="41">
        <f>(COUNTIFS(集計用!$Y:$Y, "*, "&amp;G$4&amp;",*",集計用!$G:$G, "*, "&amp;$C42&amp;",*"))/$B42*100</f>
        <v>63.636363636363633</v>
      </c>
      <c r="H42" s="41">
        <f>(COUNTIFS(集計用!$Y:$Y, "*, "&amp;H$4&amp;",*",集計用!$G:$G, "*, "&amp;$C42&amp;",*"))/$B42*100</f>
        <v>63.636363636363633</v>
      </c>
      <c r="I42" s="41">
        <f>(COUNTIFS(集計用!$Y:$Y, "*, "&amp;I$4&amp;",*",集計用!$G:$G, "*, "&amp;$C42&amp;",*"))/$B42*100</f>
        <v>90.909090909090907</v>
      </c>
      <c r="J42" s="41">
        <f>(COUNTIFS(集計用!$Y:$Y, "*, "&amp;J$4&amp;",*",集計用!$G:$G, "*, "&amp;$C42&amp;",*"))/$B42*100</f>
        <v>81.818181818181827</v>
      </c>
      <c r="K42" s="41">
        <f>(COUNTIFS(集計用!$Y:$Y, "*, "&amp;K$4&amp;",*",集計用!$G:$G, "*, "&amp;$C42&amp;",*"))/$B42*100</f>
        <v>27.27272727272727</v>
      </c>
      <c r="L42" s="41">
        <f>(COUNTIFS(集計用!$Y:$Y, "*, "&amp;L$4&amp;",*",集計用!$G:$G, "*, "&amp;$C42&amp;",*"))/$B42*100</f>
        <v>36.363636363636367</v>
      </c>
      <c r="M42" s="41">
        <f>(COUNTIFS(集計用!$Y:$Y, "*, "&amp;M$4&amp;",*",集計用!$G:$G, "*, "&amp;$C42&amp;",*"))/$B42*100</f>
        <v>27.27272727272727</v>
      </c>
      <c r="N42" s="41">
        <f>(COUNTIFS(集計用!$Y:$Y, "*, "&amp;N$4&amp;",*",集計用!$G:$G, "*, "&amp;$C42&amp;",*"))/$B42*100</f>
        <v>45.454545454545453</v>
      </c>
      <c r="O42" s="41">
        <f>(COUNTIFS(集計用!$Y:$Y, "*, "&amp;O$4&amp;",*",集計用!$G:$G, "*, "&amp;$C42&amp;",*"))/$B42*100</f>
        <v>45.454545454545453</v>
      </c>
      <c r="P42" s="41">
        <f>(COUNTIFS(集計用!$Y:$Y, "*, "&amp;P$4&amp;",*",集計用!$G:$G, "*, "&amp;$C42&amp;",*"))/$B42*100</f>
        <v>36.363636363636367</v>
      </c>
      <c r="Q42" s="41"/>
      <c r="R42" s="41"/>
      <c r="S42" s="41"/>
      <c r="T42" s="41"/>
      <c r="U42" s="41"/>
      <c r="V42" s="41"/>
      <c r="W42" s="41"/>
      <c r="Y42" s="39"/>
    </row>
    <row r="43" spans="1:25" ht="12.75">
      <c r="A43" s="39">
        <v>5</v>
      </c>
      <c r="B43" s="39">
        <f>(COUNTIFS(集計用!$G$2:$G$444,"*, "&amp;$C43&amp;",*",集計用!$Y$2:$Y$444,"&lt;&gt;無回答 "))</f>
        <v>7</v>
      </c>
      <c r="C43" s="42" t="s">
        <v>46</v>
      </c>
      <c r="D43" s="41">
        <f>(COUNTIFS(集計用!$Y:$Y, "*, "&amp;D$4&amp;",*",集計用!$G:$G, "*, "&amp;$C43&amp;",*"))/$B43*100</f>
        <v>85.714285714285708</v>
      </c>
      <c r="E43" s="41">
        <f>(COUNTIFS(集計用!$Y:$Y, "*, "&amp;E$4&amp;",*",集計用!$G:$G, "*, "&amp;$C43&amp;",*"))/$B43*100</f>
        <v>71.428571428571431</v>
      </c>
      <c r="F43" s="41">
        <f>(COUNTIFS(集計用!$Y:$Y, "*, "&amp;F$4&amp;",*",集計用!$G:$G, "*, "&amp;$C43&amp;",*"))/$B43*100</f>
        <v>57.142857142857139</v>
      </c>
      <c r="G43" s="41">
        <f>(COUNTIFS(集計用!$Y:$Y, "*, "&amp;G$4&amp;",*",集計用!$G:$G, "*, "&amp;$C43&amp;",*"))/$B43*100</f>
        <v>71.428571428571431</v>
      </c>
      <c r="H43" s="41">
        <f>(COUNTIFS(集計用!$Y:$Y, "*, "&amp;H$4&amp;",*",集計用!$G:$G, "*, "&amp;$C43&amp;",*"))/$B43*100</f>
        <v>57.142857142857139</v>
      </c>
      <c r="I43" s="41">
        <f>(COUNTIFS(集計用!$Y:$Y, "*, "&amp;I$4&amp;",*",集計用!$G:$G, "*, "&amp;$C43&amp;",*"))/$B43*100</f>
        <v>71.428571428571431</v>
      </c>
      <c r="J43" s="41">
        <f>(COUNTIFS(集計用!$Y:$Y, "*, "&amp;J$4&amp;",*",集計用!$G:$G, "*, "&amp;$C43&amp;",*"))/$B43*100</f>
        <v>71.428571428571431</v>
      </c>
      <c r="K43" s="41">
        <f>(COUNTIFS(集計用!$Y:$Y, "*, "&amp;K$4&amp;",*",集計用!$G:$G, "*, "&amp;$C43&amp;",*"))/$B43*100</f>
        <v>42.857142857142854</v>
      </c>
      <c r="L43" s="41">
        <f>(COUNTIFS(集計用!$Y:$Y, "*, "&amp;L$4&amp;",*",集計用!$G:$G, "*, "&amp;$C43&amp;",*"))/$B43*100</f>
        <v>57.142857142857139</v>
      </c>
      <c r="M43" s="41">
        <f>(COUNTIFS(集計用!$Y:$Y, "*, "&amp;M$4&amp;",*",集計用!$G:$G, "*, "&amp;$C43&amp;",*"))/$B43*100</f>
        <v>28.571428571428569</v>
      </c>
      <c r="N43" s="41">
        <f>(COUNTIFS(集計用!$Y:$Y, "*, "&amp;N$4&amp;",*",集計用!$G:$G, "*, "&amp;$C43&amp;",*"))/$B43*100</f>
        <v>42.857142857142854</v>
      </c>
      <c r="O43" s="41">
        <f>(COUNTIFS(集計用!$Y:$Y, "*, "&amp;O$4&amp;",*",集計用!$G:$G, "*, "&amp;$C43&amp;",*"))/$B43*100</f>
        <v>28.571428571428569</v>
      </c>
      <c r="P43" s="41">
        <f>(COUNTIFS(集計用!$Y:$Y, "*, "&amp;P$4&amp;",*",集計用!$G:$G, "*, "&amp;$C43&amp;",*"))/$B43*100</f>
        <v>42.857142857142854</v>
      </c>
      <c r="Q43" s="41"/>
      <c r="R43" s="41"/>
      <c r="S43" s="41"/>
      <c r="T43" s="41"/>
      <c r="U43" s="41"/>
      <c r="V43" s="41"/>
      <c r="W43" s="41"/>
      <c r="Y43" s="39"/>
    </row>
    <row r="44" spans="1:25" ht="12.75">
      <c r="A44" s="39">
        <v>5</v>
      </c>
      <c r="B44" s="39">
        <f>(COUNTIFS(集計用!$G$2:$G$444,"*, "&amp;$C44&amp;",*",集計用!$Y$2:$Y$444,"&lt;&gt;無回答 "))</f>
        <v>7</v>
      </c>
      <c r="C44" s="42" t="s">
        <v>45</v>
      </c>
      <c r="D44" s="41">
        <f>(COUNTIFS(集計用!$Y:$Y, "*, "&amp;D$4&amp;",*",集計用!$G:$G, "*, "&amp;$C44&amp;",*"))/$B44*100</f>
        <v>85.714285714285708</v>
      </c>
      <c r="E44" s="41">
        <f>(COUNTIFS(集計用!$Y:$Y, "*, "&amp;E$4&amp;",*",集計用!$G:$G, "*, "&amp;$C44&amp;",*"))/$B44*100</f>
        <v>71.428571428571431</v>
      </c>
      <c r="F44" s="41">
        <f>(COUNTIFS(集計用!$Y:$Y, "*, "&amp;F$4&amp;",*",集計用!$G:$G, "*, "&amp;$C44&amp;",*"))/$B44*100</f>
        <v>85.714285714285708</v>
      </c>
      <c r="G44" s="41">
        <f>(COUNTIFS(集計用!$Y:$Y, "*, "&amp;G$4&amp;",*",集計用!$G:$G, "*, "&amp;$C44&amp;",*"))/$B44*100</f>
        <v>57.142857142857139</v>
      </c>
      <c r="H44" s="41">
        <f>(COUNTIFS(集計用!$Y:$Y, "*, "&amp;H$4&amp;",*",集計用!$G:$G, "*, "&amp;$C44&amp;",*"))/$B44*100</f>
        <v>85.714285714285708</v>
      </c>
      <c r="I44" s="41">
        <f>(COUNTIFS(集計用!$Y:$Y, "*, "&amp;I$4&amp;",*",集計用!$G:$G, "*, "&amp;$C44&amp;",*"))/$B44*100</f>
        <v>42.857142857142854</v>
      </c>
      <c r="J44" s="41">
        <f>(COUNTIFS(集計用!$Y:$Y, "*, "&amp;J$4&amp;",*",集計用!$G:$G, "*, "&amp;$C44&amp;",*"))/$B44*100</f>
        <v>71.428571428571431</v>
      </c>
      <c r="K44" s="41">
        <f>(COUNTIFS(集計用!$Y:$Y, "*, "&amp;K$4&amp;",*",集計用!$G:$G, "*, "&amp;$C44&amp;",*"))/$B44*100</f>
        <v>71.428571428571431</v>
      </c>
      <c r="L44" s="41">
        <f>(COUNTIFS(集計用!$Y:$Y, "*, "&amp;L$4&amp;",*",集計用!$G:$G, "*, "&amp;$C44&amp;",*"))/$B44*100</f>
        <v>42.857142857142854</v>
      </c>
      <c r="M44" s="41">
        <f>(COUNTIFS(集計用!$Y:$Y, "*, "&amp;M$4&amp;",*",集計用!$G:$G, "*, "&amp;$C44&amp;",*"))/$B44*100</f>
        <v>57.142857142857139</v>
      </c>
      <c r="N44" s="41">
        <f>(COUNTIFS(集計用!$Y:$Y, "*, "&amp;N$4&amp;",*",集計用!$G:$G, "*, "&amp;$C44&amp;",*"))/$B44*100</f>
        <v>42.857142857142854</v>
      </c>
      <c r="O44" s="41">
        <f>(COUNTIFS(集計用!$Y:$Y, "*, "&amp;O$4&amp;",*",集計用!$G:$G, "*, "&amp;$C44&amp;",*"))/$B44*100</f>
        <v>42.857142857142854</v>
      </c>
      <c r="P44" s="41">
        <f>(COUNTIFS(集計用!$Y:$Y, "*, "&amp;P$4&amp;",*",集計用!$G:$G, "*, "&amp;$C44&amp;",*"))/$B44*100</f>
        <v>42.857142857142854</v>
      </c>
      <c r="Q44" s="41"/>
      <c r="R44" s="41"/>
      <c r="S44" s="41"/>
      <c r="T44" s="41"/>
      <c r="U44" s="41"/>
      <c r="V44" s="41"/>
      <c r="W44" s="41"/>
      <c r="Y44" s="39"/>
    </row>
    <row r="45" spans="1:25" ht="14.25" customHeight="1">
      <c r="A45" s="39">
        <v>5</v>
      </c>
      <c r="B45" s="39">
        <f>(COUNTIFS(集計用!$G$2:$G$444,"*, "&amp;$C45&amp;",*",集計用!$Y$2:$Y$444,"&lt;&gt;無回答 "))</f>
        <v>36</v>
      </c>
      <c r="C45" s="42" t="s">
        <v>17</v>
      </c>
      <c r="D45" s="41">
        <f>(COUNTIFS(集計用!$Y:$Y, "*, "&amp;D$4&amp;",*",集計用!$G:$G, "*, "&amp;$C45&amp;",*"))/$B45*100</f>
        <v>75</v>
      </c>
      <c r="E45" s="41">
        <f>(COUNTIFS(集計用!$Y:$Y, "*, "&amp;E$4&amp;",*",集計用!$G:$G, "*, "&amp;$C45&amp;",*"))/$B45*100</f>
        <v>83.333333333333343</v>
      </c>
      <c r="F45" s="41">
        <f>(COUNTIFS(集計用!$Y:$Y, "*, "&amp;F$4&amp;",*",集計用!$G:$G, "*, "&amp;$C45&amp;",*"))/$B45*100</f>
        <v>77.777777777777786</v>
      </c>
      <c r="G45" s="41">
        <f>(COUNTIFS(集計用!$Y:$Y, "*, "&amp;G$4&amp;",*",集計用!$G:$G, "*, "&amp;$C45&amp;",*"))/$B45*100</f>
        <v>58.333333333333336</v>
      </c>
      <c r="H45" s="41">
        <f>(COUNTIFS(集計用!$Y:$Y, "*, "&amp;H$4&amp;",*",集計用!$G:$G, "*, "&amp;$C45&amp;",*"))/$B45*100</f>
        <v>61.111111111111114</v>
      </c>
      <c r="I45" s="41">
        <f>(COUNTIFS(集計用!$Y:$Y, "*, "&amp;I$4&amp;",*",集計用!$G:$G, "*, "&amp;$C45&amp;",*"))/$B45*100</f>
        <v>77.777777777777786</v>
      </c>
      <c r="J45" s="41">
        <f>(COUNTIFS(集計用!$Y:$Y, "*, "&amp;J$4&amp;",*",集計用!$G:$G, "*, "&amp;$C45&amp;",*"))/$B45*100</f>
        <v>52.777777777777779</v>
      </c>
      <c r="K45" s="41">
        <f>(COUNTIFS(集計用!$Y:$Y, "*, "&amp;K$4&amp;",*",集計用!$G:$G, "*, "&amp;$C45&amp;",*"))/$B45*100</f>
        <v>41.666666666666671</v>
      </c>
      <c r="L45" s="41">
        <f>(COUNTIFS(集計用!$Y:$Y, "*, "&amp;L$4&amp;",*",集計用!$G:$G, "*, "&amp;$C45&amp;",*"))/$B45*100</f>
        <v>55.555555555555557</v>
      </c>
      <c r="M45" s="41">
        <f>(COUNTIFS(集計用!$Y:$Y, "*, "&amp;M$4&amp;",*",集計用!$G:$G, "*, "&amp;$C45&amp;",*"))/$B45*100</f>
        <v>30.555555555555557</v>
      </c>
      <c r="N45" s="41">
        <f>(COUNTIFS(集計用!$Y:$Y, "*, "&amp;N$4&amp;",*",集計用!$G:$G, "*, "&amp;$C45&amp;",*"))/$B45*100</f>
        <v>33.333333333333329</v>
      </c>
      <c r="O45" s="41">
        <f>(COUNTIFS(集計用!$Y:$Y, "*, "&amp;O$4&amp;",*",集計用!$G:$G, "*, "&amp;$C45&amp;",*"))/$B45*100</f>
        <v>44.444444444444443</v>
      </c>
      <c r="P45" s="41">
        <f>(COUNTIFS(集計用!$Y:$Y, "*, "&amp;P$4&amp;",*",集計用!$G:$G, "*, "&amp;$C45&amp;",*"))/$B45*100</f>
        <v>25</v>
      </c>
      <c r="Q45" s="41"/>
      <c r="R45" s="41"/>
      <c r="S45" s="41"/>
      <c r="T45" s="41"/>
      <c r="U45" s="41"/>
      <c r="V45" s="41"/>
      <c r="W45" s="41"/>
      <c r="Y45" s="39"/>
    </row>
    <row r="46" spans="1:25" ht="14.25" customHeight="1">
      <c r="A46" s="39">
        <v>5</v>
      </c>
      <c r="B46" s="39">
        <f>(COUNTIFS(集計用!$G$2:$G$444,"*, "&amp;$C46&amp;",*",集計用!$Y$2:$Y$444,"&lt;&gt;無回答 "))</f>
        <v>55</v>
      </c>
      <c r="C46" s="42" t="s">
        <v>10</v>
      </c>
      <c r="D46" s="41">
        <f>(COUNTIFS(集計用!$Y:$Y, "*, "&amp;D$4&amp;",*",集計用!$G:$G, "*, "&amp;$C46&amp;",*"))/$B46*100</f>
        <v>87.272727272727266</v>
      </c>
      <c r="E46" s="41">
        <f>(COUNTIFS(集計用!$Y:$Y, "*, "&amp;E$4&amp;",*",集計用!$G:$G, "*, "&amp;$C46&amp;",*"))/$B46*100</f>
        <v>89.090909090909093</v>
      </c>
      <c r="F46" s="41">
        <f>(COUNTIFS(集計用!$Y:$Y, "*, "&amp;F$4&amp;",*",集計用!$G:$G, "*, "&amp;$C46&amp;",*"))/$B46*100</f>
        <v>69.090909090909093</v>
      </c>
      <c r="G46" s="41">
        <f>(COUNTIFS(集計用!$Y:$Y, "*, "&amp;G$4&amp;",*",集計用!$G:$G, "*, "&amp;$C46&amp;",*"))/$B46*100</f>
        <v>56.36363636363636</v>
      </c>
      <c r="H46" s="41">
        <f>(COUNTIFS(集計用!$Y:$Y, "*, "&amp;H$4&amp;",*",集計用!$G:$G, "*, "&amp;$C46&amp;",*"))/$B46*100</f>
        <v>65.454545454545453</v>
      </c>
      <c r="I46" s="41">
        <f>(COUNTIFS(集計用!$Y:$Y, "*, "&amp;I$4&amp;",*",集計用!$G:$G, "*, "&amp;$C46&amp;",*"))/$B46*100</f>
        <v>80</v>
      </c>
      <c r="J46" s="41">
        <f>(COUNTIFS(集計用!$Y:$Y, "*, "&amp;J$4&amp;",*",集計用!$G:$G, "*, "&amp;$C46&amp;",*"))/$B46*100</f>
        <v>56.36363636363636</v>
      </c>
      <c r="K46" s="41">
        <f>(COUNTIFS(集計用!$Y:$Y, "*, "&amp;K$4&amp;",*",集計用!$G:$G, "*, "&amp;$C46&amp;",*"))/$B46*100</f>
        <v>52.72727272727272</v>
      </c>
      <c r="L46" s="41">
        <f>(COUNTIFS(集計用!$Y:$Y, "*, "&amp;L$4&amp;",*",集計用!$G:$G, "*, "&amp;$C46&amp;",*"))/$B46*100</f>
        <v>54.54545454545454</v>
      </c>
      <c r="M46" s="41">
        <f>(COUNTIFS(集計用!$Y:$Y, "*, "&amp;M$4&amp;",*",集計用!$G:$G, "*, "&amp;$C46&amp;",*"))/$B46*100</f>
        <v>36.363636363636367</v>
      </c>
      <c r="N46" s="41">
        <f>(COUNTIFS(集計用!$Y:$Y, "*, "&amp;N$4&amp;",*",集計用!$G:$G, "*, "&amp;$C46&amp;",*"))/$B46*100</f>
        <v>30.909090909090907</v>
      </c>
      <c r="O46" s="41">
        <f>(COUNTIFS(集計用!$Y:$Y, "*, "&amp;O$4&amp;",*",集計用!$G:$G, "*, "&amp;$C46&amp;",*"))/$B46*100</f>
        <v>32.727272727272727</v>
      </c>
      <c r="P46" s="41">
        <f>(COUNTIFS(集計用!$Y:$Y, "*, "&amp;P$4&amp;",*",集計用!$G:$G, "*, "&amp;$C46&amp;",*"))/$B46*100</f>
        <v>27.27272727272727</v>
      </c>
      <c r="Q46" s="41"/>
      <c r="R46" s="41"/>
      <c r="S46" s="41"/>
      <c r="T46" s="41"/>
      <c r="U46" s="41"/>
      <c r="V46" s="41"/>
      <c r="W46" s="41"/>
      <c r="Y46" s="39"/>
    </row>
    <row r="47" spans="1:25" ht="14.25" customHeight="1">
      <c r="A47" s="39">
        <v>5</v>
      </c>
      <c r="B47" s="39">
        <f>(COUNTIFS(集計用!$G$2:$G$444,"*, "&amp;$C47&amp;",*",集計用!$Y$2:$Y$444,"&lt;&gt;無回答 "))</f>
        <v>43</v>
      </c>
      <c r="C47" s="42" t="s">
        <v>16</v>
      </c>
      <c r="D47" s="41">
        <f>(COUNTIFS(集計用!$Y:$Y, "*, "&amp;D$4&amp;",*",集計用!$G:$G, "*, "&amp;$C47&amp;",*"))/$B47*100</f>
        <v>83.720930232558146</v>
      </c>
      <c r="E47" s="41">
        <f>(COUNTIFS(集計用!$Y:$Y, "*, "&amp;E$4&amp;",*",集計用!$G:$G, "*, "&amp;$C47&amp;",*"))/$B47*100</f>
        <v>83.720930232558146</v>
      </c>
      <c r="F47" s="41">
        <f>(COUNTIFS(集計用!$Y:$Y, "*, "&amp;F$4&amp;",*",集計用!$G:$G, "*, "&amp;$C47&amp;",*"))/$B47*100</f>
        <v>74.418604651162795</v>
      </c>
      <c r="G47" s="41">
        <f>(COUNTIFS(集計用!$Y:$Y, "*, "&amp;G$4&amp;",*",集計用!$G:$G, "*, "&amp;$C47&amp;",*"))/$B47*100</f>
        <v>58.139534883720934</v>
      </c>
      <c r="H47" s="41">
        <f>(COUNTIFS(集計用!$Y:$Y, "*, "&amp;H$4&amp;",*",集計用!$G:$G, "*, "&amp;$C47&amp;",*"))/$B47*100</f>
        <v>69.767441860465112</v>
      </c>
      <c r="I47" s="41">
        <f>(COUNTIFS(集計用!$Y:$Y, "*, "&amp;I$4&amp;",*",集計用!$G:$G, "*, "&amp;$C47&amp;",*"))/$B47*100</f>
        <v>81.395348837209298</v>
      </c>
      <c r="J47" s="41">
        <f>(COUNTIFS(集計用!$Y:$Y, "*, "&amp;J$4&amp;",*",集計用!$G:$G, "*, "&amp;$C47&amp;",*"))/$B47*100</f>
        <v>55.813953488372093</v>
      </c>
      <c r="K47" s="41">
        <f>(COUNTIFS(集計用!$Y:$Y, "*, "&amp;K$4&amp;",*",集計用!$G:$G, "*, "&amp;$C47&amp;",*"))/$B47*100</f>
        <v>48.837209302325576</v>
      </c>
      <c r="L47" s="41">
        <f>(COUNTIFS(集計用!$Y:$Y, "*, "&amp;L$4&amp;",*",集計用!$G:$G, "*, "&amp;$C47&amp;",*"))/$B47*100</f>
        <v>37.209302325581397</v>
      </c>
      <c r="M47" s="41">
        <f>(COUNTIFS(集計用!$Y:$Y, "*, "&amp;M$4&amp;",*",集計用!$G:$G, "*, "&amp;$C47&amp;",*"))/$B47*100</f>
        <v>20.930232558139537</v>
      </c>
      <c r="N47" s="41">
        <f>(COUNTIFS(集計用!$Y:$Y, "*, "&amp;N$4&amp;",*",集計用!$G:$G, "*, "&amp;$C47&amp;",*"))/$B47*100</f>
        <v>30.232558139534881</v>
      </c>
      <c r="O47" s="41">
        <f>(COUNTIFS(集計用!$Y:$Y, "*, "&amp;O$4&amp;",*",集計用!$G:$G, "*, "&amp;$C47&amp;",*"))/$B47*100</f>
        <v>41.860465116279073</v>
      </c>
      <c r="P47" s="41">
        <f>(COUNTIFS(集計用!$Y:$Y, "*, "&amp;P$4&amp;",*",集計用!$G:$G, "*, "&amp;$C47&amp;",*"))/$B47*100</f>
        <v>20.930232558139537</v>
      </c>
      <c r="Q47" s="41"/>
      <c r="R47" s="41"/>
      <c r="S47" s="41"/>
      <c r="T47" s="41"/>
      <c r="U47" s="41"/>
      <c r="V47" s="41"/>
      <c r="W47" s="41"/>
      <c r="Y47" s="39"/>
    </row>
    <row r="48" spans="1:25" ht="12.75">
      <c r="A48" s="39">
        <v>5</v>
      </c>
      <c r="B48" s="39">
        <f>(COUNTIFS(集計用!$G$2:$G$444,"*, "&amp;$C48&amp;",*",集計用!$Y$2:$Y$444,"&lt;&gt;無回答 "))</f>
        <v>17</v>
      </c>
      <c r="C48" s="42" t="s">
        <v>28</v>
      </c>
      <c r="D48" s="41">
        <f>(COUNTIFS(集計用!$Y:$Y, "*, "&amp;D$4&amp;",*",集計用!$G:$G, "*, "&amp;$C48&amp;",*"))/$B48*100</f>
        <v>64.705882352941174</v>
      </c>
      <c r="E48" s="41">
        <f>(COUNTIFS(集計用!$Y:$Y, "*, "&amp;E$4&amp;",*",集計用!$G:$G, "*, "&amp;$C48&amp;",*"))/$B48*100</f>
        <v>76.470588235294116</v>
      </c>
      <c r="F48" s="41">
        <f>(COUNTIFS(集計用!$Y:$Y, "*, "&amp;F$4&amp;",*",集計用!$G:$G, "*, "&amp;$C48&amp;",*"))/$B48*100</f>
        <v>52.941176470588239</v>
      </c>
      <c r="G48" s="41">
        <f>(COUNTIFS(集計用!$Y:$Y, "*, "&amp;G$4&amp;",*",集計用!$G:$G, "*, "&amp;$C48&amp;",*"))/$B48*100</f>
        <v>58.82352941176471</v>
      </c>
      <c r="H48" s="41">
        <f>(COUNTIFS(集計用!$Y:$Y, "*, "&amp;H$4&amp;",*",集計用!$G:$G, "*, "&amp;$C48&amp;",*"))/$B48*100</f>
        <v>64.705882352941174</v>
      </c>
      <c r="I48" s="41">
        <f>(COUNTIFS(集計用!$Y:$Y, "*, "&amp;I$4&amp;",*",集計用!$G:$G, "*, "&amp;$C48&amp;",*"))/$B48*100</f>
        <v>52.941176470588239</v>
      </c>
      <c r="J48" s="41">
        <f>(COUNTIFS(集計用!$Y:$Y, "*, "&amp;J$4&amp;",*",集計用!$G:$G, "*, "&amp;$C48&amp;",*"))/$B48*100</f>
        <v>52.941176470588239</v>
      </c>
      <c r="K48" s="41">
        <f>(COUNTIFS(集計用!$Y:$Y, "*, "&amp;K$4&amp;",*",集計用!$G:$G, "*, "&amp;$C48&amp;",*"))/$B48*100</f>
        <v>47.058823529411761</v>
      </c>
      <c r="L48" s="41">
        <f>(COUNTIFS(集計用!$Y:$Y, "*, "&amp;L$4&amp;",*",集計用!$G:$G, "*, "&amp;$C48&amp;",*"))/$B48*100</f>
        <v>52.941176470588239</v>
      </c>
      <c r="M48" s="41">
        <f>(COUNTIFS(集計用!$Y:$Y, "*, "&amp;M$4&amp;",*",集計用!$G:$G, "*, "&amp;$C48&amp;",*"))/$B48*100</f>
        <v>11.76470588235294</v>
      </c>
      <c r="N48" s="41">
        <f>(COUNTIFS(集計用!$Y:$Y, "*, "&amp;N$4&amp;",*",集計用!$G:$G, "*, "&amp;$C48&amp;",*"))/$B48*100</f>
        <v>29.411764705882355</v>
      </c>
      <c r="O48" s="41">
        <f>(COUNTIFS(集計用!$Y:$Y, "*, "&amp;O$4&amp;",*",集計用!$G:$G, "*, "&amp;$C48&amp;",*"))/$B48*100</f>
        <v>41.17647058823529</v>
      </c>
      <c r="P48" s="41">
        <f>(COUNTIFS(集計用!$Y:$Y, "*, "&amp;P$4&amp;",*",集計用!$G:$G, "*, "&amp;$C48&amp;",*"))/$B48*100</f>
        <v>35.294117647058826</v>
      </c>
      <c r="Q48" s="41"/>
      <c r="R48" s="41"/>
      <c r="S48" s="41"/>
      <c r="T48" s="41"/>
      <c r="U48" s="41"/>
      <c r="V48" s="41"/>
      <c r="W48" s="41"/>
      <c r="Y48" s="39"/>
    </row>
    <row r="49" spans="1:30" ht="14.25" customHeight="1">
      <c r="A49" s="39">
        <v>5</v>
      </c>
      <c r="B49" s="39">
        <f>(COUNTIFS(集計用!$G$2:$G$444,"*, "&amp;$C49&amp;",*",集計用!$Y$2:$Y$444,"&lt;&gt;無回答 "))</f>
        <v>21</v>
      </c>
      <c r="C49" s="42" t="s">
        <v>21</v>
      </c>
      <c r="D49" s="41">
        <f>(COUNTIFS(集計用!$Y:$Y, "*, "&amp;D$4&amp;",*",集計用!$G:$G, "*, "&amp;$C49&amp;",*"))/$B49*100</f>
        <v>57.142857142857139</v>
      </c>
      <c r="E49" s="41">
        <f>(COUNTIFS(集計用!$Y:$Y, "*, "&amp;E$4&amp;",*",集計用!$G:$G, "*, "&amp;$C49&amp;",*"))/$B49*100</f>
        <v>57.142857142857139</v>
      </c>
      <c r="F49" s="41">
        <f>(COUNTIFS(集計用!$Y:$Y, "*, "&amp;F$4&amp;",*",集計用!$G:$G, "*, "&amp;$C49&amp;",*"))/$B49*100</f>
        <v>52.380952380952387</v>
      </c>
      <c r="G49" s="41">
        <f>(COUNTIFS(集計用!$Y:$Y, "*, "&amp;G$4&amp;",*",集計用!$G:$G, "*, "&amp;$C49&amp;",*"))/$B49*100</f>
        <v>47.619047619047613</v>
      </c>
      <c r="H49" s="41">
        <f>(COUNTIFS(集計用!$Y:$Y, "*, "&amp;H$4&amp;",*",集計用!$G:$G, "*, "&amp;$C49&amp;",*"))/$B49*100</f>
        <v>57.142857142857139</v>
      </c>
      <c r="I49" s="41">
        <f>(COUNTIFS(集計用!$Y:$Y, "*, "&amp;I$4&amp;",*",集計用!$G:$G, "*, "&amp;$C49&amp;",*"))/$B49*100</f>
        <v>47.619047619047613</v>
      </c>
      <c r="J49" s="41">
        <f>(COUNTIFS(集計用!$Y:$Y, "*, "&amp;J$4&amp;",*",集計用!$G:$G, "*, "&amp;$C49&amp;",*"))/$B49*100</f>
        <v>42.857142857142854</v>
      </c>
      <c r="K49" s="41">
        <f>(COUNTIFS(集計用!$Y:$Y, "*, "&amp;K$4&amp;",*",集計用!$G:$G, "*, "&amp;$C49&amp;",*"))/$B49*100</f>
        <v>38.095238095238095</v>
      </c>
      <c r="L49" s="41">
        <f>(COUNTIFS(集計用!$Y:$Y, "*, "&amp;L$4&amp;",*",集計用!$G:$G, "*, "&amp;$C49&amp;",*"))/$B49*100</f>
        <v>42.857142857142854</v>
      </c>
      <c r="M49" s="41">
        <f>(COUNTIFS(集計用!$Y:$Y, "*, "&amp;M$4&amp;",*",集計用!$G:$G, "*, "&amp;$C49&amp;",*"))/$B49*100</f>
        <v>23.809523809523807</v>
      </c>
      <c r="N49" s="41">
        <f>(COUNTIFS(集計用!$Y:$Y, "*, "&amp;N$4&amp;",*",集計用!$G:$G, "*, "&amp;$C49&amp;",*"))/$B49*100</f>
        <v>23.809523809523807</v>
      </c>
      <c r="O49" s="41">
        <f>(COUNTIFS(集計用!$Y:$Y, "*, "&amp;O$4&amp;",*",集計用!$G:$G, "*, "&amp;$C49&amp;",*"))/$B49*100</f>
        <v>33.333333333333329</v>
      </c>
      <c r="P49" s="41">
        <f>(COUNTIFS(集計用!$Y:$Y, "*, "&amp;P$4&amp;",*",集計用!$G:$G, "*, "&amp;$C49&amp;",*"))/$B49*100</f>
        <v>38.095238095238095</v>
      </c>
      <c r="Q49" s="41"/>
      <c r="R49" s="41"/>
      <c r="S49" s="41"/>
      <c r="T49" s="41"/>
      <c r="U49" s="41"/>
      <c r="V49" s="41"/>
      <c r="W49" s="41"/>
      <c r="Y49" s="39"/>
    </row>
    <row r="50" spans="1:30" ht="14.25" customHeight="1">
      <c r="A50" s="39">
        <v>5</v>
      </c>
      <c r="B50" s="39">
        <f>(COUNTIFS(集計用!$G$2:$G$444,"*, "&amp;$C50&amp;",*",集計用!$Y$2:$Y$444,"&lt;&gt;無回答 "))</f>
        <v>15</v>
      </c>
      <c r="C50" s="42" t="s">
        <v>30</v>
      </c>
      <c r="D50" s="41">
        <f>(COUNTIFS(集計用!$Y:$Y, "*, "&amp;D$4&amp;",*",集計用!$G:$G, "*, "&amp;$C50&amp;",*"))/$B50*100</f>
        <v>60</v>
      </c>
      <c r="E50" s="41">
        <f>(COUNTIFS(集計用!$Y:$Y, "*, "&amp;E$4&amp;",*",集計用!$G:$G, "*, "&amp;$C50&amp;",*"))/$B50*100</f>
        <v>60</v>
      </c>
      <c r="F50" s="41">
        <f>(COUNTIFS(集計用!$Y:$Y, "*, "&amp;F$4&amp;",*",集計用!$G:$G, "*, "&amp;$C50&amp;",*"))/$B50*100</f>
        <v>60</v>
      </c>
      <c r="G50" s="41">
        <f>(COUNTIFS(集計用!$Y:$Y, "*, "&amp;G$4&amp;",*",集計用!$G:$G, "*, "&amp;$C50&amp;",*"))/$B50*100</f>
        <v>73.333333333333329</v>
      </c>
      <c r="H50" s="41">
        <f>(COUNTIFS(集計用!$Y:$Y, "*, "&amp;H$4&amp;",*",集計用!$G:$G, "*, "&amp;$C50&amp;",*"))/$B50*100</f>
        <v>73.333333333333329</v>
      </c>
      <c r="I50" s="41">
        <f>(COUNTIFS(集計用!$Y:$Y, "*, "&amp;I$4&amp;",*",集計用!$G:$G, "*, "&amp;$C50&amp;",*"))/$B50*100</f>
        <v>53.333333333333336</v>
      </c>
      <c r="J50" s="41">
        <f>(COUNTIFS(集計用!$Y:$Y, "*, "&amp;J$4&amp;",*",集計用!$G:$G, "*, "&amp;$C50&amp;",*"))/$B50*100</f>
        <v>53.333333333333336</v>
      </c>
      <c r="K50" s="41">
        <f>(COUNTIFS(集計用!$Y:$Y, "*, "&amp;K$4&amp;",*",集計用!$G:$G, "*, "&amp;$C50&amp;",*"))/$B50*100</f>
        <v>46.666666666666664</v>
      </c>
      <c r="L50" s="41">
        <f>(COUNTIFS(集計用!$Y:$Y, "*, "&amp;L$4&amp;",*",集計用!$G:$G, "*, "&amp;$C50&amp;",*"))/$B50*100</f>
        <v>40</v>
      </c>
      <c r="M50" s="41">
        <f>(COUNTIFS(集計用!$Y:$Y, "*, "&amp;M$4&amp;",*",集計用!$G:$G, "*, "&amp;$C50&amp;",*"))/$B50*100</f>
        <v>33.333333333333329</v>
      </c>
      <c r="N50" s="41">
        <f>(COUNTIFS(集計用!$Y:$Y, "*, "&amp;N$4&amp;",*",集計用!$G:$G, "*, "&amp;$C50&amp;",*"))/$B50*100</f>
        <v>20</v>
      </c>
      <c r="O50" s="41">
        <f>(COUNTIFS(集計用!$Y:$Y, "*, "&amp;O$4&amp;",*",集計用!$G:$G, "*, "&amp;$C50&amp;",*"))/$B50*100</f>
        <v>33.333333333333329</v>
      </c>
      <c r="P50" s="41">
        <f>(COUNTIFS(集計用!$Y:$Y, "*, "&amp;P$4&amp;",*",集計用!$G:$G, "*, "&amp;$C50&amp;",*"))/$B50*100</f>
        <v>46.666666666666664</v>
      </c>
      <c r="Q50" s="41"/>
      <c r="R50" s="41"/>
      <c r="S50" s="41"/>
      <c r="T50" s="41"/>
      <c r="U50" s="41"/>
      <c r="V50" s="41"/>
      <c r="W50" s="41"/>
      <c r="Y50" s="39"/>
    </row>
    <row r="51" spans="1:30" ht="14.25" customHeight="1">
      <c r="A51" s="39">
        <v>5</v>
      </c>
      <c r="B51" s="39">
        <f>(COUNTIFS(集計用!$G$2:$G$444,"*, "&amp;$C51&amp;",*",集計用!$Y$2:$Y$444,"&lt;&gt;無回答 "))</f>
        <v>17</v>
      </c>
      <c r="C51" s="42" t="s">
        <v>29</v>
      </c>
      <c r="D51" s="41">
        <f>(COUNTIFS(集計用!$Y:$Y, "*, "&amp;D$4&amp;",*",集計用!$G:$G, "*, "&amp;$C51&amp;",*"))/$B51*100</f>
        <v>94.117647058823522</v>
      </c>
      <c r="E51" s="41">
        <f>(COUNTIFS(集計用!$Y:$Y, "*, "&amp;E$4&amp;",*",集計用!$G:$G, "*, "&amp;$C51&amp;",*"))/$B51*100</f>
        <v>82.35294117647058</v>
      </c>
      <c r="F51" s="41">
        <f>(COUNTIFS(集計用!$Y:$Y, "*, "&amp;F$4&amp;",*",集計用!$G:$G, "*, "&amp;$C51&amp;",*"))/$B51*100</f>
        <v>76.470588235294116</v>
      </c>
      <c r="G51" s="41">
        <f>(COUNTIFS(集計用!$Y:$Y, "*, "&amp;G$4&amp;",*",集計用!$G:$G, "*, "&amp;$C51&amp;",*"))/$B51*100</f>
        <v>82.35294117647058</v>
      </c>
      <c r="H51" s="41">
        <f>(COUNTIFS(集計用!$Y:$Y, "*, "&amp;H$4&amp;",*",集計用!$G:$G, "*, "&amp;$C51&amp;",*"))/$B51*100</f>
        <v>64.705882352941174</v>
      </c>
      <c r="I51" s="41">
        <f>(COUNTIFS(集計用!$Y:$Y, "*, "&amp;I$4&amp;",*",集計用!$G:$G, "*, "&amp;$C51&amp;",*"))/$B51*100</f>
        <v>70.588235294117652</v>
      </c>
      <c r="J51" s="41">
        <f>(COUNTIFS(集計用!$Y:$Y, "*, "&amp;J$4&amp;",*",集計用!$G:$G, "*, "&amp;$C51&amp;",*"))/$B51*100</f>
        <v>41.17647058823529</v>
      </c>
      <c r="K51" s="41">
        <f>(COUNTIFS(集計用!$Y:$Y, "*, "&amp;K$4&amp;",*",集計用!$G:$G, "*, "&amp;$C51&amp;",*"))/$B51*100</f>
        <v>52.941176470588239</v>
      </c>
      <c r="L51" s="41">
        <f>(COUNTIFS(集計用!$Y:$Y, "*, "&amp;L$4&amp;",*",集計用!$G:$G, "*, "&amp;$C51&amp;",*"))/$B51*100</f>
        <v>23.52941176470588</v>
      </c>
      <c r="M51" s="41">
        <f>(COUNTIFS(集計用!$Y:$Y, "*, "&amp;M$4&amp;",*",集計用!$G:$G, "*, "&amp;$C51&amp;",*"))/$B51*100</f>
        <v>23.52941176470588</v>
      </c>
      <c r="N51" s="41">
        <f>(COUNTIFS(集計用!$Y:$Y, "*, "&amp;N$4&amp;",*",集計用!$G:$G, "*, "&amp;$C51&amp;",*"))/$B51*100</f>
        <v>17.647058823529413</v>
      </c>
      <c r="O51" s="41">
        <f>(COUNTIFS(集計用!$Y:$Y, "*, "&amp;O$4&amp;",*",集計用!$G:$G, "*, "&amp;$C51&amp;",*"))/$B51*100</f>
        <v>29.411764705882355</v>
      </c>
      <c r="P51" s="41">
        <f>(COUNTIFS(集計用!$Y:$Y, "*, "&amp;P$4&amp;",*",集計用!$G:$G, "*, "&amp;$C51&amp;",*"))/$B51*100</f>
        <v>29.411764705882355</v>
      </c>
      <c r="Q51" s="41"/>
      <c r="R51" s="41"/>
      <c r="S51" s="41"/>
      <c r="T51" s="41"/>
      <c r="U51" s="41"/>
      <c r="V51" s="41"/>
      <c r="W51" s="41"/>
      <c r="Y51" s="39"/>
    </row>
    <row r="52" spans="1:30" ht="14.25" customHeight="1">
      <c r="A52" s="39">
        <v>5</v>
      </c>
      <c r="B52" s="39">
        <f>(COUNTIFS(集計用!$G$2:$G$444,"*, "&amp;$C52&amp;",*",集計用!$Y$2:$Y$444,"&lt;&gt;無回答 "))</f>
        <v>25</v>
      </c>
      <c r="C52" s="42" t="s">
        <v>22</v>
      </c>
      <c r="D52" s="41">
        <f>(COUNTIFS(集計用!$Y:$Y, "*, "&amp;D$4&amp;",*",集計用!$G:$G, "*, "&amp;$C52&amp;",*"))/$B52*100</f>
        <v>76</v>
      </c>
      <c r="E52" s="41">
        <f>(COUNTIFS(集計用!$Y:$Y, "*, "&amp;E$4&amp;",*",集計用!$G:$G, "*, "&amp;$C52&amp;",*"))/$B52*100</f>
        <v>52</v>
      </c>
      <c r="F52" s="41">
        <f>(COUNTIFS(集計用!$Y:$Y, "*, "&amp;F$4&amp;",*",集計用!$G:$G, "*, "&amp;$C52&amp;",*"))/$B52*100</f>
        <v>52</v>
      </c>
      <c r="G52" s="41">
        <f>(COUNTIFS(集計用!$Y:$Y, "*, "&amp;G$4&amp;",*",集計用!$G:$G, "*, "&amp;$C52&amp;",*"))/$B52*100</f>
        <v>76</v>
      </c>
      <c r="H52" s="41">
        <f>(COUNTIFS(集計用!$Y:$Y, "*, "&amp;H$4&amp;",*",集計用!$G:$G, "*, "&amp;$C52&amp;",*"))/$B52*100</f>
        <v>68</v>
      </c>
      <c r="I52" s="41">
        <f>(COUNTIFS(集計用!$Y:$Y, "*, "&amp;I$4&amp;",*",集計用!$G:$G, "*, "&amp;$C52&amp;",*"))/$B52*100</f>
        <v>32</v>
      </c>
      <c r="J52" s="41">
        <f>(COUNTIFS(集計用!$Y:$Y, "*, "&amp;J$4&amp;",*",集計用!$G:$G, "*, "&amp;$C52&amp;",*"))/$B52*100</f>
        <v>44</v>
      </c>
      <c r="K52" s="41">
        <f>(COUNTIFS(集計用!$Y:$Y, "*, "&amp;K$4&amp;",*",集計用!$G:$G, "*, "&amp;$C52&amp;",*"))/$B52*100</f>
        <v>36</v>
      </c>
      <c r="L52" s="41">
        <f>(COUNTIFS(集計用!$Y:$Y, "*, "&amp;L$4&amp;",*",集計用!$G:$G, "*, "&amp;$C52&amp;",*"))/$B52*100</f>
        <v>32</v>
      </c>
      <c r="M52" s="41">
        <f>(COUNTIFS(集計用!$Y:$Y, "*, "&amp;M$4&amp;",*",集計用!$G:$G, "*, "&amp;$C52&amp;",*"))/$B52*100</f>
        <v>32</v>
      </c>
      <c r="N52" s="41">
        <f>(COUNTIFS(集計用!$Y:$Y, "*, "&amp;N$4&amp;",*",集計用!$G:$G, "*, "&amp;$C52&amp;",*"))/$B52*100</f>
        <v>8</v>
      </c>
      <c r="O52" s="41">
        <f>(COUNTIFS(集計用!$Y:$Y, "*, "&amp;O$4&amp;",*",集計用!$G:$G, "*, "&amp;$C52&amp;",*"))/$B52*100</f>
        <v>20</v>
      </c>
      <c r="P52" s="41">
        <f>(COUNTIFS(集計用!$Y:$Y, "*, "&amp;P$4&amp;",*",集計用!$G:$G, "*, "&amp;$C52&amp;",*"))/$B52*100</f>
        <v>28.000000000000004</v>
      </c>
      <c r="Q52" s="41"/>
      <c r="R52" s="41"/>
      <c r="S52" s="41"/>
      <c r="T52" s="41"/>
      <c r="U52" s="41"/>
      <c r="V52" s="41"/>
      <c r="W52" s="41"/>
      <c r="Y52" s="39"/>
    </row>
    <row r="53" spans="1:30" ht="14.25" customHeight="1">
      <c r="A53" s="39">
        <v>6</v>
      </c>
      <c r="B53" s="39">
        <f>(COUNTIFS(集計用!$G$2:$G$444,"*, "&amp;$C53&amp;",*",集計用!$Y$2:$Y$444,"&lt;&gt;無回答 "))</f>
        <v>9</v>
      </c>
      <c r="C53" s="42" t="s">
        <v>41</v>
      </c>
      <c r="D53" s="41">
        <f>(COUNTIFS(集計用!$Y:$Y, "*, "&amp;D$4&amp;",*",集計用!$G:$G, "*, "&amp;$C53&amp;",*"))/$B53*100</f>
        <v>66.666666666666657</v>
      </c>
      <c r="E53" s="41">
        <f>(COUNTIFS(集計用!$Y:$Y, "*, "&amp;E$4&amp;",*",集計用!$G:$G, "*, "&amp;$C53&amp;",*"))/$B53*100</f>
        <v>44.444444444444443</v>
      </c>
      <c r="F53" s="41">
        <f>(COUNTIFS(集計用!$Y:$Y, "*, "&amp;F$4&amp;",*",集計用!$G:$G, "*, "&amp;$C53&amp;",*"))/$B53*100</f>
        <v>66.666666666666657</v>
      </c>
      <c r="G53" s="41">
        <f>(COUNTIFS(集計用!$Y:$Y, "*, "&amp;G$4&amp;",*",集計用!$G:$G, "*, "&amp;$C53&amp;",*"))/$B53*100</f>
        <v>44.444444444444443</v>
      </c>
      <c r="H53" s="41">
        <f>(COUNTIFS(集計用!$Y:$Y, "*, "&amp;H$4&amp;",*",集計用!$G:$G, "*, "&amp;$C53&amp;",*"))/$B53*100</f>
        <v>55.555555555555557</v>
      </c>
      <c r="I53" s="41">
        <f>(COUNTIFS(集計用!$Y:$Y, "*, "&amp;I$4&amp;",*",集計用!$G:$G, "*, "&amp;$C53&amp;",*"))/$B53*100</f>
        <v>44.444444444444443</v>
      </c>
      <c r="J53" s="41">
        <f>(COUNTIFS(集計用!$Y:$Y, "*, "&amp;J$4&amp;",*",集計用!$G:$G, "*, "&amp;$C53&amp;",*"))/$B53*100</f>
        <v>44.444444444444443</v>
      </c>
      <c r="K53" s="41">
        <f>(COUNTIFS(集計用!$Y:$Y, "*, "&amp;K$4&amp;",*",集計用!$G:$G, "*, "&amp;$C53&amp;",*"))/$B53*100</f>
        <v>44.444444444444443</v>
      </c>
      <c r="L53" s="41">
        <f>(COUNTIFS(集計用!$Y:$Y, "*, "&amp;L$4&amp;",*",集計用!$G:$G, "*, "&amp;$C53&amp;",*"))/$B53*100</f>
        <v>33.333333333333329</v>
      </c>
      <c r="M53" s="41">
        <f>(COUNTIFS(集計用!$Y:$Y, "*, "&amp;M$4&amp;",*",集計用!$G:$G, "*, "&amp;$C53&amp;",*"))/$B53*100</f>
        <v>55.555555555555557</v>
      </c>
      <c r="N53" s="41">
        <f>(COUNTIFS(集計用!$Y:$Y, "*, "&amp;N$4&amp;",*",集計用!$G:$G, "*, "&amp;$C53&amp;",*"))/$B53*100</f>
        <v>55.555555555555557</v>
      </c>
      <c r="O53" s="41">
        <f>(COUNTIFS(集計用!$Y:$Y, "*, "&amp;O$4&amp;",*",集計用!$G:$G, "*, "&amp;$C53&amp;",*"))/$B53*100</f>
        <v>44.444444444444443</v>
      </c>
      <c r="P53" s="41">
        <f>(COUNTIFS(集計用!$Y:$Y, "*, "&amp;P$4&amp;",*",集計用!$G:$G, "*, "&amp;$C53&amp;",*"))/$B53*100</f>
        <v>55.555555555555557</v>
      </c>
      <c r="Q53" s="41"/>
      <c r="R53" s="41"/>
      <c r="S53" s="41"/>
      <c r="T53" s="41"/>
      <c r="U53" s="41"/>
      <c r="V53" s="41"/>
      <c r="W53" s="41"/>
      <c r="Y53" s="39"/>
    </row>
    <row r="54" spans="1:30" ht="14.25" customHeight="1">
      <c r="A54" s="39">
        <v>6</v>
      </c>
      <c r="B54" s="39">
        <f>(COUNTIFS(集計用!$G$2:$G$444,"*, "&amp;$C54&amp;",*",集計用!$Y$2:$Y$444,"&lt;&gt;無回答 "))</f>
        <v>20</v>
      </c>
      <c r="C54" s="42" t="s">
        <v>25</v>
      </c>
      <c r="D54" s="41">
        <f>(COUNTIFS(集計用!$Y:$Y, "*, "&amp;D$4&amp;",*",集計用!$G:$G, "*, "&amp;$C54&amp;",*"))/$B54*100</f>
        <v>60</v>
      </c>
      <c r="E54" s="41">
        <f>(COUNTIFS(集計用!$Y:$Y, "*, "&amp;E$4&amp;",*",集計用!$G:$G, "*, "&amp;$C54&amp;",*"))/$B54*100</f>
        <v>50</v>
      </c>
      <c r="F54" s="41">
        <f>(COUNTIFS(集計用!$Y:$Y, "*, "&amp;F$4&amp;",*",集計用!$G:$G, "*, "&amp;$C54&amp;",*"))/$B54*100</f>
        <v>55.000000000000007</v>
      </c>
      <c r="G54" s="41">
        <f>(COUNTIFS(集計用!$Y:$Y, "*, "&amp;G$4&amp;",*",集計用!$G:$G, "*, "&amp;$C54&amp;",*"))/$B54*100</f>
        <v>60</v>
      </c>
      <c r="H54" s="41">
        <f>(COUNTIFS(集計用!$Y:$Y, "*, "&amp;H$4&amp;",*",集計用!$G:$G, "*, "&amp;$C54&amp;",*"))/$B54*100</f>
        <v>55.000000000000007</v>
      </c>
      <c r="I54" s="41">
        <f>(COUNTIFS(集計用!$Y:$Y, "*, "&amp;I$4&amp;",*",集計用!$G:$G, "*, "&amp;$C54&amp;",*"))/$B54*100</f>
        <v>40</v>
      </c>
      <c r="J54" s="41">
        <f>(COUNTIFS(集計用!$Y:$Y, "*, "&amp;J$4&amp;",*",集計用!$G:$G, "*, "&amp;$C54&amp;",*"))/$B54*100</f>
        <v>30</v>
      </c>
      <c r="K54" s="41">
        <f>(COUNTIFS(集計用!$Y:$Y, "*, "&amp;K$4&amp;",*",集計用!$G:$G, "*, "&amp;$C54&amp;",*"))/$B54*100</f>
        <v>20</v>
      </c>
      <c r="L54" s="41">
        <f>(COUNTIFS(集計用!$Y:$Y, "*, "&amp;L$4&amp;",*",集計用!$G:$G, "*, "&amp;$C54&amp;",*"))/$B54*100</f>
        <v>35</v>
      </c>
      <c r="M54" s="41">
        <f>(COUNTIFS(集計用!$Y:$Y, "*, "&amp;M$4&amp;",*",集計用!$G:$G, "*, "&amp;$C54&amp;",*"))/$B54*100</f>
        <v>25</v>
      </c>
      <c r="N54" s="41">
        <f>(COUNTIFS(集計用!$Y:$Y, "*, "&amp;N$4&amp;",*",集計用!$G:$G, "*, "&amp;$C54&amp;",*"))/$B54*100</f>
        <v>40</v>
      </c>
      <c r="O54" s="41">
        <f>(COUNTIFS(集計用!$Y:$Y, "*, "&amp;O$4&amp;",*",集計用!$G:$G, "*, "&amp;$C54&amp;",*"))/$B54*100</f>
        <v>10</v>
      </c>
      <c r="P54" s="41">
        <f>(COUNTIFS(集計用!$Y:$Y, "*, "&amp;P$4&amp;",*",集計用!$G:$G, "*, "&amp;$C54&amp;",*"))/$B54*100</f>
        <v>20</v>
      </c>
      <c r="Q54" s="41"/>
      <c r="R54" s="41"/>
      <c r="S54" s="41"/>
      <c r="T54" s="41"/>
      <c r="U54" s="41"/>
      <c r="V54" s="41"/>
      <c r="W54" s="41"/>
      <c r="Y54" s="39"/>
    </row>
    <row r="55" spans="1:30" ht="12.75">
      <c r="A55" s="39">
        <v>6</v>
      </c>
      <c r="B55" s="39">
        <f>(COUNTIFS(集計用!$G$2:$G$444,"*, "&amp;$C55&amp;",*",集計用!$Y$2:$Y$444,"&lt;&gt;無回答 "))</f>
        <v>54</v>
      </c>
      <c r="C55" s="42" t="s">
        <v>12</v>
      </c>
      <c r="D55" s="41">
        <f>(COUNTIFS(集計用!$Y:$Y, "*, "&amp;D$4&amp;",*",集計用!$G:$G, "*, "&amp;$C55&amp;",*"))/$B55*100</f>
        <v>68.518518518518519</v>
      </c>
      <c r="E55" s="41">
        <f>(COUNTIFS(集計用!$Y:$Y, "*, "&amp;E$4&amp;",*",集計用!$G:$G, "*, "&amp;$C55&amp;",*"))/$B55*100</f>
        <v>35.185185185185183</v>
      </c>
      <c r="F55" s="41">
        <f>(COUNTIFS(集計用!$Y:$Y, "*, "&amp;F$4&amp;",*",集計用!$G:$G, "*, "&amp;$C55&amp;",*"))/$B55*100</f>
        <v>46.296296296296298</v>
      </c>
      <c r="G55" s="41">
        <f>(COUNTIFS(集計用!$Y:$Y, "*, "&amp;G$4&amp;",*",集計用!$G:$G, "*, "&amp;$C55&amp;",*"))/$B55*100</f>
        <v>37.037037037037038</v>
      </c>
      <c r="H55" s="41">
        <f>(COUNTIFS(集計用!$Y:$Y, "*, "&amp;H$4&amp;",*",集計用!$G:$G, "*, "&amp;$C55&amp;",*"))/$B55*100</f>
        <v>35.185185185185183</v>
      </c>
      <c r="I55" s="41">
        <f>(COUNTIFS(集計用!$Y:$Y, "*, "&amp;I$4&amp;",*",集計用!$G:$G, "*, "&amp;$C55&amp;",*"))/$B55*100</f>
        <v>27.777777777777779</v>
      </c>
      <c r="J55" s="41">
        <f>(COUNTIFS(集計用!$Y:$Y, "*, "&amp;J$4&amp;",*",集計用!$G:$G, "*, "&amp;$C55&amp;",*"))/$B55*100</f>
        <v>27.777777777777779</v>
      </c>
      <c r="K55" s="41">
        <f>(COUNTIFS(集計用!$Y:$Y, "*, "&amp;K$4&amp;",*",集計用!$G:$G, "*, "&amp;$C55&amp;",*"))/$B55*100</f>
        <v>24.074074074074073</v>
      </c>
      <c r="L55" s="41">
        <f>(COUNTIFS(集計用!$Y:$Y, "*, "&amp;L$4&amp;",*",集計用!$G:$G, "*, "&amp;$C55&amp;",*"))/$B55*100</f>
        <v>24.074074074074073</v>
      </c>
      <c r="M55" s="41">
        <f>(COUNTIFS(集計用!$Y:$Y, "*, "&amp;M$4&amp;",*",集計用!$G:$G, "*, "&amp;$C55&amp;",*"))/$B55*100</f>
        <v>31.481481481481481</v>
      </c>
      <c r="N55" s="41">
        <f>(COUNTIFS(集計用!$Y:$Y, "*, "&amp;N$4&amp;",*",集計用!$G:$G, "*, "&amp;$C55&amp;",*"))/$B55*100</f>
        <v>37.037037037037038</v>
      </c>
      <c r="O55" s="41">
        <f>(COUNTIFS(集計用!$Y:$Y, "*, "&amp;O$4&amp;",*",集計用!$G:$G, "*, "&amp;$C55&amp;",*"))/$B55*100</f>
        <v>18.518518518518519</v>
      </c>
      <c r="P55" s="41">
        <f>(COUNTIFS(集計用!$Y:$Y, "*, "&amp;P$4&amp;",*",集計用!$G:$G, "*, "&amp;$C55&amp;",*"))/$B55*100</f>
        <v>12.962962962962962</v>
      </c>
      <c r="Q55" s="41"/>
      <c r="R55" s="41"/>
      <c r="S55" s="41"/>
      <c r="T55" s="41"/>
      <c r="U55" s="41"/>
      <c r="V55" s="41"/>
      <c r="W55" s="41"/>
      <c r="Y55" s="39"/>
    </row>
    <row r="56" spans="1:30" ht="14.25" customHeight="1">
      <c r="A56" s="39">
        <v>6</v>
      </c>
      <c r="B56" s="39">
        <f>(COUNTIFS(集計用!$G$2:$G$444,"*, "&amp;$C56&amp;",*",集計用!$Y$2:$Y$444,"&lt;&gt;無回答 "))</f>
        <v>50</v>
      </c>
      <c r="C56" s="42" t="s">
        <v>13</v>
      </c>
      <c r="D56" s="41">
        <f>(COUNTIFS(集計用!$Y:$Y, "*, "&amp;D$4&amp;",*",集計用!$G:$G, "*, "&amp;$C56&amp;",*"))/$B56*100</f>
        <v>68</v>
      </c>
      <c r="E56" s="41">
        <f>(COUNTIFS(集計用!$Y:$Y, "*, "&amp;E$4&amp;",*",集計用!$G:$G, "*, "&amp;$C56&amp;",*"))/$B56*100</f>
        <v>48</v>
      </c>
      <c r="F56" s="41">
        <f>(COUNTIFS(集計用!$Y:$Y, "*, "&amp;F$4&amp;",*",集計用!$G:$G, "*, "&amp;$C56&amp;",*"))/$B56*100</f>
        <v>50</v>
      </c>
      <c r="G56" s="41">
        <f>(COUNTIFS(集計用!$Y:$Y, "*, "&amp;G$4&amp;",*",集計用!$G:$G, "*, "&amp;$C56&amp;",*"))/$B56*100</f>
        <v>50</v>
      </c>
      <c r="H56" s="41">
        <f>(COUNTIFS(集計用!$Y:$Y, "*, "&amp;H$4&amp;",*",集計用!$G:$G, "*, "&amp;$C56&amp;",*"))/$B56*100</f>
        <v>44</v>
      </c>
      <c r="I56" s="41">
        <f>(COUNTIFS(集計用!$Y:$Y, "*, "&amp;I$4&amp;",*",集計用!$G:$G, "*, "&amp;$C56&amp;",*"))/$B56*100</f>
        <v>28.000000000000004</v>
      </c>
      <c r="J56" s="41">
        <f>(COUNTIFS(集計用!$Y:$Y, "*, "&amp;J$4&amp;",*",集計用!$G:$G, "*, "&amp;$C56&amp;",*"))/$B56*100</f>
        <v>40</v>
      </c>
      <c r="K56" s="41">
        <f>(COUNTIFS(集計用!$Y:$Y, "*, "&amp;K$4&amp;",*",集計用!$G:$G, "*, "&amp;$C56&amp;",*"))/$B56*100</f>
        <v>20</v>
      </c>
      <c r="L56" s="41">
        <f>(COUNTIFS(集計用!$Y:$Y, "*, "&amp;L$4&amp;",*",集計用!$G:$G, "*, "&amp;$C56&amp;",*"))/$B56*100</f>
        <v>16</v>
      </c>
      <c r="M56" s="41">
        <f>(COUNTIFS(集計用!$Y:$Y, "*, "&amp;M$4&amp;",*",集計用!$G:$G, "*, "&amp;$C56&amp;",*"))/$B56*100</f>
        <v>32</v>
      </c>
      <c r="N56" s="41">
        <f>(COUNTIFS(集計用!$Y:$Y, "*, "&amp;N$4&amp;",*",集計用!$G:$G, "*, "&amp;$C56&amp;",*"))/$B56*100</f>
        <v>28.000000000000004</v>
      </c>
      <c r="O56" s="41">
        <f>(COUNTIFS(集計用!$Y:$Y, "*, "&amp;O$4&amp;",*",集計用!$G:$G, "*, "&amp;$C56&amp;",*"))/$B56*100</f>
        <v>8</v>
      </c>
      <c r="P56" s="41">
        <f>(COUNTIFS(集計用!$Y:$Y, "*, "&amp;P$4&amp;",*",集計用!$G:$G, "*, "&amp;$C56&amp;",*"))/$B56*100</f>
        <v>24</v>
      </c>
      <c r="Q56" s="41"/>
      <c r="R56" s="41"/>
      <c r="S56" s="41"/>
      <c r="T56" s="41"/>
      <c r="U56" s="41"/>
      <c r="V56" s="41"/>
      <c r="W56" s="41"/>
      <c r="Y56" s="39"/>
    </row>
    <row r="57" spans="1:30" ht="14.25" customHeight="1">
      <c r="A57" s="39">
        <v>6</v>
      </c>
      <c r="B57" s="39">
        <f>(COUNTIFS(集計用!$G$2:$G$444,"*, "&amp;$C57&amp;",*",集計用!$Y$2:$Y$444,"&lt;&gt;無回答 "))</f>
        <v>16</v>
      </c>
      <c r="C57" s="42" t="s">
        <v>26</v>
      </c>
      <c r="D57" s="41">
        <f>(COUNTIFS(集計用!$Y:$Y, "*, "&amp;D$4&amp;",*",集計用!$G:$G, "*, "&amp;$C57&amp;",*"))/$B57*100</f>
        <v>62.5</v>
      </c>
      <c r="E57" s="41">
        <f>(COUNTIFS(集計用!$Y:$Y, "*, "&amp;E$4&amp;",*",集計用!$G:$G, "*, "&amp;$C57&amp;",*"))/$B57*100</f>
        <v>37.5</v>
      </c>
      <c r="F57" s="41">
        <f>(COUNTIFS(集計用!$Y:$Y, "*, "&amp;F$4&amp;",*",集計用!$G:$G, "*, "&amp;$C57&amp;",*"))/$B57*100</f>
        <v>37.5</v>
      </c>
      <c r="G57" s="41">
        <f>(COUNTIFS(集計用!$Y:$Y, "*, "&amp;G$4&amp;",*",集計用!$G:$G, "*, "&amp;$C57&amp;",*"))/$B57*100</f>
        <v>50</v>
      </c>
      <c r="H57" s="41">
        <f>(COUNTIFS(集計用!$Y:$Y, "*, "&amp;H$4&amp;",*",集計用!$G:$G, "*, "&amp;$C57&amp;",*"))/$B57*100</f>
        <v>37.5</v>
      </c>
      <c r="I57" s="41">
        <f>(COUNTIFS(集計用!$Y:$Y, "*, "&amp;I$4&amp;",*",集計用!$G:$G, "*, "&amp;$C57&amp;",*"))/$B57*100</f>
        <v>37.5</v>
      </c>
      <c r="J57" s="41">
        <f>(COUNTIFS(集計用!$Y:$Y, "*, "&amp;J$4&amp;",*",集計用!$G:$G, "*, "&amp;$C57&amp;",*"))/$B57*100</f>
        <v>31.25</v>
      </c>
      <c r="K57" s="41">
        <f>(COUNTIFS(集計用!$Y:$Y, "*, "&amp;K$4&amp;",*",集計用!$G:$G, "*, "&amp;$C57&amp;",*"))/$B57*100</f>
        <v>12.5</v>
      </c>
      <c r="L57" s="41">
        <f>(COUNTIFS(集計用!$Y:$Y, "*, "&amp;L$4&amp;",*",集計用!$G:$G, "*, "&amp;$C57&amp;",*"))/$B57*100</f>
        <v>18.75</v>
      </c>
      <c r="M57" s="41">
        <f>(COUNTIFS(集計用!$Y:$Y, "*, "&amp;M$4&amp;",*",集計用!$G:$G, "*, "&amp;$C57&amp;",*"))/$B57*100</f>
        <v>18.75</v>
      </c>
      <c r="N57" s="41">
        <f>(COUNTIFS(集計用!$Y:$Y, "*, "&amp;N$4&amp;",*",集計用!$G:$G, "*, "&amp;$C57&amp;",*"))/$B57*100</f>
        <v>25</v>
      </c>
      <c r="O57" s="41">
        <f>(COUNTIFS(集計用!$Y:$Y, "*, "&amp;O$4&amp;",*",集計用!$G:$G, "*, "&amp;$C57&amp;",*"))/$B57*100</f>
        <v>6.25</v>
      </c>
      <c r="P57" s="41">
        <f>(COUNTIFS(集計用!$Y:$Y, "*, "&amp;P$4&amp;",*",集計用!$G:$G, "*, "&amp;$C57&amp;",*"))/$B57*100</f>
        <v>31.25</v>
      </c>
      <c r="Q57" s="41"/>
      <c r="R57" s="41"/>
      <c r="S57" s="41"/>
      <c r="T57" s="41"/>
      <c r="U57" s="41"/>
      <c r="V57" s="41"/>
      <c r="W57" s="41"/>
      <c r="Y57" s="39"/>
    </row>
    <row r="58" spans="1:30" ht="14.25" customHeight="1">
      <c r="A58" s="39" t="s">
        <v>2180</v>
      </c>
      <c r="B58" s="39">
        <f>(COUNTIFS(集計用!$G$2:$G$444,"*, "&amp;$C58&amp;",*",集計用!$Y$2:$Y$444,"&lt;&gt;無回答 "))</f>
        <v>1</v>
      </c>
      <c r="C58" s="42" t="s">
        <v>56</v>
      </c>
      <c r="D58" s="41">
        <f>(COUNTIFS(集計用!$Y:$Y, "*, "&amp;D$4&amp;",*",集計用!$G:$G, "*, "&amp;$C58&amp;",*"))/$B58*100</f>
        <v>100</v>
      </c>
      <c r="E58" s="41">
        <f>(COUNTIFS(集計用!$Y:$Y, "*, "&amp;E$4&amp;",*",集計用!$G:$G, "*, "&amp;$C58&amp;",*"))/$B58*100</f>
        <v>100</v>
      </c>
      <c r="F58" s="41">
        <f>(COUNTIFS(集計用!$Y:$Y, "*, "&amp;F$4&amp;",*",集計用!$G:$G, "*, "&amp;$C58&amp;",*"))/$B58*100</f>
        <v>100</v>
      </c>
      <c r="G58" s="41">
        <f>(COUNTIFS(集計用!$Y:$Y, "*, "&amp;G$4&amp;",*",集計用!$G:$G, "*, "&amp;$C58&amp;",*"))/$B58*100</f>
        <v>0</v>
      </c>
      <c r="H58" s="41">
        <f>(COUNTIFS(集計用!$Y:$Y, "*, "&amp;H$4&amp;",*",集計用!$G:$G, "*, "&amp;$C58&amp;",*"))/$B58*100</f>
        <v>100</v>
      </c>
      <c r="I58" s="41">
        <f>(COUNTIFS(集計用!$Y:$Y, "*, "&amp;I$4&amp;",*",集計用!$G:$G, "*, "&amp;$C58&amp;",*"))/$B58*100</f>
        <v>100</v>
      </c>
      <c r="J58" s="41">
        <f>(COUNTIFS(集計用!$Y:$Y, "*, "&amp;J$4&amp;",*",集計用!$G:$G, "*, "&amp;$C58&amp;",*"))/$B58*100</f>
        <v>100</v>
      </c>
      <c r="K58" s="41">
        <f>(COUNTIFS(集計用!$Y:$Y, "*, "&amp;K$4&amp;",*",集計用!$G:$G, "*, "&amp;$C58&amp;",*"))/$B58*100</f>
        <v>100</v>
      </c>
      <c r="L58" s="41">
        <f>(COUNTIFS(集計用!$Y:$Y, "*, "&amp;L$4&amp;",*",集計用!$G:$G, "*, "&amp;$C58&amp;",*"))/$B58*100</f>
        <v>100</v>
      </c>
      <c r="M58" s="41">
        <f>(COUNTIFS(集計用!$Y:$Y, "*, "&amp;M$4&amp;",*",集計用!$G:$G, "*, "&amp;$C58&amp;",*"))/$B58*100</f>
        <v>0</v>
      </c>
      <c r="N58" s="41">
        <f>(COUNTIFS(集計用!$Y:$Y, "*, "&amp;N$4&amp;",*",集計用!$G:$G, "*, "&amp;$C58&amp;",*"))/$B58*100</f>
        <v>100</v>
      </c>
      <c r="O58" s="41">
        <f>(COUNTIFS(集計用!$Y:$Y, "*, "&amp;O$4&amp;",*",集計用!$G:$G, "*, "&amp;$C58&amp;",*"))/$B58*100</f>
        <v>100</v>
      </c>
      <c r="P58" s="41">
        <f>(COUNTIFS(集計用!$Y:$Y, "*, "&amp;P$4&amp;",*",集計用!$G:$G, "*, "&amp;$C58&amp;",*"))/$B58*100</f>
        <v>0</v>
      </c>
      <c r="Q58" s="41"/>
      <c r="R58" s="41"/>
      <c r="S58" s="41"/>
      <c r="T58" s="41"/>
      <c r="U58" s="41"/>
      <c r="V58" s="41"/>
      <c r="W58" s="41"/>
      <c r="Y58" s="39"/>
    </row>
    <row r="59" spans="1:30" ht="14.25" customHeight="1">
      <c r="A59" s="39" t="s">
        <v>2180</v>
      </c>
      <c r="B59" s="39">
        <f>(COUNTIFS(集計用!$G$2:$G$444,"*, "&amp;$C59&amp;",*",集計用!$Y$2:$Y$444,"&lt;&gt;無回答 "))</f>
        <v>1</v>
      </c>
      <c r="C59" s="42" t="s">
        <v>55</v>
      </c>
      <c r="D59" s="41">
        <f>(COUNTIFS(集計用!$Y:$Y, "*, "&amp;D$4&amp;",*",集計用!$G:$G, "*, "&amp;$C59&amp;",*"))/$B59*100</f>
        <v>100</v>
      </c>
      <c r="E59" s="41">
        <f>(COUNTIFS(集計用!$Y:$Y, "*, "&amp;E$4&amp;",*",集計用!$G:$G, "*, "&amp;$C59&amp;",*"))/$B59*100</f>
        <v>100</v>
      </c>
      <c r="F59" s="41">
        <f>(COUNTIFS(集計用!$Y:$Y, "*, "&amp;F$4&amp;",*",集計用!$G:$G, "*, "&amp;$C59&amp;",*"))/$B59*100</f>
        <v>100</v>
      </c>
      <c r="G59" s="41">
        <f>(COUNTIFS(集計用!$Y:$Y, "*, "&amp;G$4&amp;",*",集計用!$G:$G, "*, "&amp;$C59&amp;",*"))/$B59*100</f>
        <v>100</v>
      </c>
      <c r="H59" s="41">
        <f>(COUNTIFS(集計用!$Y:$Y, "*, "&amp;H$4&amp;",*",集計用!$G:$G, "*, "&amp;$C59&amp;",*"))/$B59*100</f>
        <v>100</v>
      </c>
      <c r="I59" s="41">
        <f>(COUNTIFS(集計用!$Y:$Y, "*, "&amp;I$4&amp;",*",集計用!$G:$G, "*, "&amp;$C59&amp;",*"))/$B59*100</f>
        <v>100</v>
      </c>
      <c r="J59" s="41">
        <f>(COUNTIFS(集計用!$Y:$Y, "*, "&amp;J$4&amp;",*",集計用!$G:$G, "*, "&amp;$C59&amp;",*"))/$B59*100</f>
        <v>100</v>
      </c>
      <c r="K59" s="41">
        <f>(COUNTIFS(集計用!$Y:$Y, "*, "&amp;K$4&amp;",*",集計用!$G:$G, "*, "&amp;$C59&amp;",*"))/$B59*100</f>
        <v>100</v>
      </c>
      <c r="L59" s="41">
        <f>(COUNTIFS(集計用!$Y:$Y, "*, "&amp;L$4&amp;",*",集計用!$G:$G, "*, "&amp;$C59&amp;",*"))/$B59*100</f>
        <v>0</v>
      </c>
      <c r="M59" s="41">
        <f>(COUNTIFS(集計用!$Y:$Y, "*, "&amp;M$4&amp;",*",集計用!$G:$G, "*, "&amp;$C59&amp;",*"))/$B59*100</f>
        <v>100</v>
      </c>
      <c r="N59" s="41">
        <f>(COUNTIFS(集計用!$Y:$Y, "*, "&amp;N$4&amp;",*",集計用!$G:$G, "*, "&amp;$C59&amp;",*"))/$B59*100</f>
        <v>100</v>
      </c>
      <c r="O59" s="41">
        <f>(COUNTIFS(集計用!$Y:$Y, "*, "&amp;O$4&amp;",*",集計用!$G:$G, "*, "&amp;$C59&amp;",*"))/$B59*100</f>
        <v>100</v>
      </c>
      <c r="P59" s="41">
        <f>(COUNTIFS(集計用!$Y:$Y, "*, "&amp;P$4&amp;",*",集計用!$G:$G, "*, "&amp;$C59&amp;",*"))/$B59*100</f>
        <v>100</v>
      </c>
      <c r="Q59" s="41"/>
      <c r="R59" s="41"/>
      <c r="S59" s="41"/>
      <c r="T59" s="41"/>
      <c r="U59" s="41"/>
      <c r="V59" s="41"/>
      <c r="W59" s="41"/>
      <c r="Y59" s="39"/>
    </row>
    <row r="60" spans="1:30" ht="12.75">
      <c r="A60" s="39" t="s">
        <v>2180</v>
      </c>
      <c r="B60" s="39">
        <f>(COUNTIFS(集計用!$G$2:$G$444,"*, "&amp;$C60&amp;",*",集計用!$Y$2:$Y$444,"&lt;&gt;無回答 "))</f>
        <v>3</v>
      </c>
      <c r="C60" s="42" t="s">
        <v>54</v>
      </c>
      <c r="D60" s="41">
        <f>(COUNTIFS(集計用!$Y:$Y, "*, "&amp;D$4&amp;",*",集計用!$G:$G, "*, "&amp;$C60&amp;",*"))/$B60*100</f>
        <v>100</v>
      </c>
      <c r="E60" s="41">
        <f>(COUNTIFS(集計用!$Y:$Y, "*, "&amp;E$4&amp;",*",集計用!$G:$G, "*, "&amp;$C60&amp;",*"))/$B60*100</f>
        <v>66.666666666666657</v>
      </c>
      <c r="F60" s="41">
        <f>(COUNTIFS(集計用!$Y:$Y, "*, "&amp;F$4&amp;",*",集計用!$G:$G, "*, "&amp;$C60&amp;",*"))/$B60*100</f>
        <v>100</v>
      </c>
      <c r="G60" s="41">
        <f>(COUNTIFS(集計用!$Y:$Y, "*, "&amp;G$4&amp;",*",集計用!$G:$G, "*, "&amp;$C60&amp;",*"))/$B60*100</f>
        <v>66.666666666666657</v>
      </c>
      <c r="H60" s="41">
        <f>(COUNTIFS(集計用!$Y:$Y, "*, "&amp;H$4&amp;",*",集計用!$G:$G, "*, "&amp;$C60&amp;",*"))/$B60*100</f>
        <v>100</v>
      </c>
      <c r="I60" s="41">
        <f>(COUNTIFS(集計用!$Y:$Y, "*, "&amp;I$4&amp;",*",集計用!$G:$G, "*, "&amp;$C60&amp;",*"))/$B60*100</f>
        <v>100</v>
      </c>
      <c r="J60" s="41">
        <f>(COUNTIFS(集計用!$Y:$Y, "*, "&amp;J$4&amp;",*",集計用!$G:$G, "*, "&amp;$C60&amp;",*"))/$B60*100</f>
        <v>66.666666666666657</v>
      </c>
      <c r="K60" s="41">
        <f>(COUNTIFS(集計用!$Y:$Y, "*, "&amp;K$4&amp;",*",集計用!$G:$G, "*, "&amp;$C60&amp;",*"))/$B60*100</f>
        <v>66.666666666666657</v>
      </c>
      <c r="L60" s="41">
        <f>(COUNTIFS(集計用!$Y:$Y, "*, "&amp;L$4&amp;",*",集計用!$G:$G, "*, "&amp;$C60&amp;",*"))/$B60*100</f>
        <v>33.333333333333329</v>
      </c>
      <c r="M60" s="41">
        <f>(COUNTIFS(集計用!$Y:$Y, "*, "&amp;M$4&amp;",*",集計用!$G:$G, "*, "&amp;$C60&amp;",*"))/$B60*100</f>
        <v>33.333333333333329</v>
      </c>
      <c r="N60" s="41">
        <f>(COUNTIFS(集計用!$Y:$Y, "*, "&amp;N$4&amp;",*",集計用!$G:$G, "*, "&amp;$C60&amp;",*"))/$B60*100</f>
        <v>66.666666666666657</v>
      </c>
      <c r="O60" s="41">
        <f>(COUNTIFS(集計用!$Y:$Y, "*, "&amp;O$4&amp;",*",集計用!$G:$G, "*, "&amp;$C60&amp;",*"))/$B60*100</f>
        <v>33.333333333333329</v>
      </c>
      <c r="P60" s="41">
        <f>(COUNTIFS(集計用!$Y:$Y, "*, "&amp;P$4&amp;",*",集計用!$G:$G, "*, "&amp;$C60&amp;",*"))/$B60*100</f>
        <v>66.666666666666657</v>
      </c>
      <c r="Q60" s="41"/>
      <c r="R60" s="41"/>
      <c r="S60" s="41"/>
      <c r="T60" s="41"/>
      <c r="U60" s="41"/>
      <c r="V60" s="41"/>
      <c r="W60" s="41"/>
      <c r="Y60" s="39"/>
    </row>
    <row r="61" spans="1:30" ht="14.25" customHeight="1">
      <c r="A61" s="39" t="s">
        <v>2180</v>
      </c>
      <c r="B61" s="39">
        <f>(COUNTIFS(集計用!$G$2:$G$444,"*, "&amp;$C61&amp;",*",集計用!$Y$2:$Y$444,"&lt;&gt;無回答 "))</f>
        <v>4</v>
      </c>
      <c r="C61" s="42" t="s">
        <v>52</v>
      </c>
      <c r="D61" s="41">
        <f>(COUNTIFS(集計用!$Y:$Y, "*, "&amp;D$4&amp;",*",集計用!$G:$G, "*, "&amp;$C61&amp;",*"))/$B61*100</f>
        <v>100</v>
      </c>
      <c r="E61" s="41">
        <f>(COUNTIFS(集計用!$Y:$Y, "*, "&amp;E$4&amp;",*",集計用!$G:$G, "*, "&amp;$C61&amp;",*"))/$B61*100</f>
        <v>75</v>
      </c>
      <c r="F61" s="41">
        <f>(COUNTIFS(集計用!$Y:$Y, "*, "&amp;F$4&amp;",*",集計用!$G:$G, "*, "&amp;$C61&amp;",*"))/$B61*100</f>
        <v>50</v>
      </c>
      <c r="G61" s="41">
        <f>(COUNTIFS(集計用!$Y:$Y, "*, "&amp;G$4&amp;",*",集計用!$G:$G, "*, "&amp;$C61&amp;",*"))/$B61*100</f>
        <v>75</v>
      </c>
      <c r="H61" s="41">
        <f>(COUNTIFS(集計用!$Y:$Y, "*, "&amp;H$4&amp;",*",集計用!$G:$G, "*, "&amp;$C61&amp;",*"))/$B61*100</f>
        <v>75</v>
      </c>
      <c r="I61" s="41">
        <f>(COUNTIFS(集計用!$Y:$Y, "*, "&amp;I$4&amp;",*",集計用!$G:$G, "*, "&amp;$C61&amp;",*"))/$B61*100</f>
        <v>50</v>
      </c>
      <c r="J61" s="41">
        <f>(COUNTIFS(集計用!$Y:$Y, "*, "&amp;J$4&amp;",*",集計用!$G:$G, "*, "&amp;$C61&amp;",*"))/$B61*100</f>
        <v>50</v>
      </c>
      <c r="K61" s="41">
        <f>(COUNTIFS(集計用!$Y:$Y, "*, "&amp;K$4&amp;",*",集計用!$G:$G, "*, "&amp;$C61&amp;",*"))/$B61*100</f>
        <v>50</v>
      </c>
      <c r="L61" s="41">
        <f>(COUNTIFS(集計用!$Y:$Y, "*, "&amp;L$4&amp;",*",集計用!$G:$G, "*, "&amp;$C61&amp;",*"))/$B61*100</f>
        <v>0</v>
      </c>
      <c r="M61" s="41">
        <f>(COUNTIFS(集計用!$Y:$Y, "*, "&amp;M$4&amp;",*",集計用!$G:$G, "*, "&amp;$C61&amp;",*"))/$B61*100</f>
        <v>50</v>
      </c>
      <c r="N61" s="41">
        <f>(COUNTIFS(集計用!$Y:$Y, "*, "&amp;N$4&amp;",*",集計用!$G:$G, "*, "&amp;$C61&amp;",*"))/$B61*100</f>
        <v>25</v>
      </c>
      <c r="O61" s="41">
        <f>(COUNTIFS(集計用!$Y:$Y, "*, "&amp;O$4&amp;",*",集計用!$G:$G, "*, "&amp;$C61&amp;",*"))/$B61*100</f>
        <v>50</v>
      </c>
      <c r="P61" s="41">
        <f>(COUNTIFS(集計用!$Y:$Y, "*, "&amp;P$4&amp;",*",集計用!$G:$G, "*, "&amp;$C61&amp;",*"))/$B61*100</f>
        <v>25</v>
      </c>
      <c r="Q61" s="41"/>
      <c r="R61" s="41"/>
      <c r="S61" s="41"/>
      <c r="T61" s="41"/>
      <c r="U61" s="41"/>
      <c r="V61" s="41"/>
      <c r="W61" s="41"/>
      <c r="Y61" s="39"/>
    </row>
    <row r="62" spans="1:30" ht="14.25" customHeight="1">
      <c r="A62" s="39" t="s">
        <v>2180</v>
      </c>
      <c r="B62" s="39">
        <f>(COUNTIFS(集計用!$G$2:$G$444,"*, "&amp;$C62&amp;",*",集計用!$Y$2:$Y$444,"&lt;&gt;無回答 "))</f>
        <v>4</v>
      </c>
      <c r="C62" s="42" t="s">
        <v>53</v>
      </c>
      <c r="D62" s="41">
        <f>(COUNTIFS(集計用!$Y:$Y, "*, "&amp;D$4&amp;",*",集計用!$G:$G, "*, "&amp;$C62&amp;",*"))/$B62*100</f>
        <v>100</v>
      </c>
      <c r="E62" s="41">
        <f>(COUNTIFS(集計用!$Y:$Y, "*, "&amp;E$4&amp;",*",集計用!$G:$G, "*, "&amp;$C62&amp;",*"))/$B62*100</f>
        <v>25</v>
      </c>
      <c r="F62" s="41">
        <f>(COUNTIFS(集計用!$Y:$Y, "*, "&amp;F$4&amp;",*",集計用!$G:$G, "*, "&amp;$C62&amp;",*"))/$B62*100</f>
        <v>75</v>
      </c>
      <c r="G62" s="41">
        <f>(COUNTIFS(集計用!$Y:$Y, "*, "&amp;G$4&amp;",*",集計用!$G:$G, "*, "&amp;$C62&amp;",*"))/$B62*100</f>
        <v>75</v>
      </c>
      <c r="H62" s="41">
        <f>(COUNTIFS(集計用!$Y:$Y, "*, "&amp;H$4&amp;",*",集計用!$G:$G, "*, "&amp;$C62&amp;",*"))/$B62*100</f>
        <v>100</v>
      </c>
      <c r="I62" s="41">
        <f>(COUNTIFS(集計用!$Y:$Y, "*, "&amp;I$4&amp;",*",集計用!$G:$G, "*, "&amp;$C62&amp;",*"))/$B62*100</f>
        <v>25</v>
      </c>
      <c r="J62" s="41">
        <f>(COUNTIFS(集計用!$Y:$Y, "*, "&amp;J$4&amp;",*",集計用!$G:$G, "*, "&amp;$C62&amp;",*"))/$B62*100</f>
        <v>25</v>
      </c>
      <c r="K62" s="41">
        <f>(COUNTIFS(集計用!$Y:$Y, "*, "&amp;K$4&amp;",*",集計用!$G:$G, "*, "&amp;$C62&amp;",*"))/$B62*100</f>
        <v>25</v>
      </c>
      <c r="L62" s="41">
        <f>(COUNTIFS(集計用!$Y:$Y, "*, "&amp;L$4&amp;",*",集計用!$G:$G, "*, "&amp;$C62&amp;",*"))/$B62*100</f>
        <v>25</v>
      </c>
      <c r="M62" s="41">
        <f>(COUNTIFS(集計用!$Y:$Y, "*, "&amp;M$4&amp;",*",集計用!$G:$G, "*, "&amp;$C62&amp;",*"))/$B62*100</f>
        <v>25</v>
      </c>
      <c r="N62" s="41">
        <f>(COUNTIFS(集計用!$Y:$Y, "*, "&amp;N$4&amp;",*",集計用!$G:$G, "*, "&amp;$C62&amp;",*"))/$B62*100</f>
        <v>25</v>
      </c>
      <c r="O62" s="41">
        <f>(COUNTIFS(集計用!$Y:$Y, "*, "&amp;O$4&amp;",*",集計用!$G:$G, "*, "&amp;$C62&amp;",*"))/$B62*100</f>
        <v>25</v>
      </c>
      <c r="P62" s="41">
        <f>(COUNTIFS(集計用!$Y:$Y, "*, "&amp;P$4&amp;",*",集計用!$G:$G, "*, "&amp;$C62&amp;",*"))/$B62*100</f>
        <v>25</v>
      </c>
      <c r="Q62" s="41"/>
      <c r="R62" s="41"/>
      <c r="S62" s="41"/>
      <c r="T62" s="41"/>
      <c r="U62" s="41"/>
      <c r="V62" s="41"/>
      <c r="W62" s="41"/>
      <c r="Y62" s="39"/>
    </row>
    <row r="63" spans="1:30" ht="14.25" customHeight="1">
      <c r="C63" s="43"/>
      <c r="D63" s="44"/>
      <c r="E63" s="44"/>
      <c r="F63" s="44"/>
      <c r="G63" s="44"/>
      <c r="H63" s="44"/>
      <c r="I63" s="44"/>
      <c r="J63" s="44"/>
      <c r="K63" s="44"/>
      <c r="L63" s="44"/>
      <c r="AD63" s="44"/>
    </row>
    <row r="64" spans="1:30" ht="12.75">
      <c r="C64" s="43"/>
      <c r="D64" s="44"/>
      <c r="E64" s="44"/>
      <c r="F64" s="44"/>
      <c r="G64" s="44"/>
      <c r="H64" s="44"/>
      <c r="I64" s="44"/>
      <c r="J64" s="44"/>
      <c r="K64" s="44"/>
      <c r="L64" s="44"/>
      <c r="AD64" s="44"/>
    </row>
    <row r="65" spans="3:30" ht="15.75" customHeight="1">
      <c r="C65" s="43"/>
      <c r="D65" s="44"/>
      <c r="E65" s="44"/>
      <c r="F65" s="44"/>
      <c r="G65" s="44"/>
      <c r="H65" s="44"/>
      <c r="I65" s="44"/>
      <c r="J65" s="44"/>
      <c r="K65" s="44"/>
      <c r="L65" s="44"/>
      <c r="AD65" s="44"/>
    </row>
    <row r="66" spans="3:30" ht="15.75" customHeight="1">
      <c r="C66" s="43"/>
      <c r="D66" s="44"/>
      <c r="E66" s="44"/>
      <c r="F66" s="44"/>
      <c r="G66" s="44"/>
      <c r="H66" s="44"/>
      <c r="I66" s="44"/>
      <c r="J66" s="44"/>
      <c r="K66" s="44"/>
      <c r="L66" s="44"/>
      <c r="AD66" s="44"/>
    </row>
    <row r="67" spans="3:30" ht="15.75" customHeight="1">
      <c r="C67" s="43"/>
      <c r="D67" s="44"/>
      <c r="E67" s="44"/>
      <c r="F67" s="44"/>
      <c r="G67" s="44"/>
      <c r="H67" s="44"/>
      <c r="I67" s="44"/>
      <c r="J67" s="44"/>
      <c r="K67" s="44"/>
      <c r="L67" s="44"/>
      <c r="AD67" s="44"/>
    </row>
    <row r="68" spans="3:30" ht="15.75" customHeight="1">
      <c r="C68" s="43"/>
      <c r="D68" s="44"/>
      <c r="E68" s="44"/>
      <c r="F68" s="44"/>
      <c r="G68" s="44"/>
      <c r="H68" s="44"/>
      <c r="I68" s="44"/>
      <c r="J68" s="44"/>
      <c r="K68" s="44"/>
      <c r="L68" s="44"/>
      <c r="AD68" s="44"/>
    </row>
  </sheetData>
  <phoneticPr fontId="8"/>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EBDB8-C95A-4714-804E-C01766E7A922}">
  <sheetPr>
    <outlinePr summaryBelow="0" summaryRight="0"/>
  </sheetPr>
  <dimension ref="A1:AC68"/>
  <sheetViews>
    <sheetView zoomScale="115" zoomScaleNormal="115" workbookViewId="0">
      <selection activeCell="M12" sqref="M12"/>
    </sheetView>
  </sheetViews>
  <sheetFormatPr defaultColWidth="12.5703125" defaultRowHeight="15.75" customHeight="1"/>
  <cols>
    <col min="1" max="1" width="12.5703125" style="39"/>
    <col min="2" max="2" width="26.7109375" style="39" customWidth="1"/>
    <col min="3" max="3" width="23.5703125" style="39" customWidth="1"/>
    <col min="4" max="4" width="21.28515625" style="39" customWidth="1"/>
    <col min="5" max="8" width="13.7109375" style="39" bestFit="1" customWidth="1"/>
    <col min="9" max="9" width="12.5703125" style="39"/>
    <col min="10" max="11" width="13.7109375" style="39" bestFit="1" customWidth="1"/>
    <col min="16" max="16" width="12.5703125" style="39"/>
    <col min="19" max="20" width="12.5703125" style="39"/>
    <col min="22" max="23" width="12.5703125" style="39"/>
    <col min="25" max="28" width="12.5703125" style="39"/>
    <col min="29" max="29" width="13.7109375" style="39" bestFit="1" customWidth="1"/>
    <col min="30" max="16384" width="12.5703125" style="39"/>
  </cols>
  <sheetData>
    <row r="1" spans="1:25" ht="15.75" customHeight="1">
      <c r="A1" s="38" t="s">
        <v>2445</v>
      </c>
      <c r="L1" s="39"/>
      <c r="M1" s="39"/>
      <c r="N1" s="39"/>
      <c r="O1" s="39"/>
      <c r="P1"/>
      <c r="S1"/>
      <c r="T1"/>
      <c r="V1"/>
      <c r="X1" s="39"/>
    </row>
    <row r="2" spans="1:25" ht="15.75" customHeight="1">
      <c r="C2" s="86" t="s">
        <v>2286</v>
      </c>
      <c r="L2" s="39"/>
      <c r="M2" s="39"/>
      <c r="N2" s="39"/>
      <c r="O2" s="39"/>
      <c r="P2"/>
      <c r="S2"/>
      <c r="T2"/>
      <c r="V2"/>
      <c r="X2" s="39"/>
    </row>
    <row r="3" spans="1:25" ht="13.5" customHeight="1">
      <c r="B3" s="86" t="s">
        <v>2261</v>
      </c>
      <c r="C3" s="39">
        <f>(COUNTIFS(集計用!$Y:$Y, "*, "&amp;テーブル2101112142627[[#Headers],[社会の中でいないことにされる]]&amp;",*", 集計用!$N:$N, "&lt;&gt;*英語を日常的に*"))</f>
        <v>103</v>
      </c>
      <c r="D3" s="39">
        <f>(COUNTIFS(集計用!$Y:$Y, "*, "&amp;テーブル2101112142627[[#Headers],[ミスジェンダリング（誤った性別として扱うこと）]]&amp;",*", 集計用!$N:$N, "&lt;&gt;*英語を日常的に*"))</f>
        <v>92</v>
      </c>
      <c r="E3" s="39">
        <f>(COUNTIFS(集計用!$Y:$Y, "*, "&amp;テーブル2101112142627[[#Headers],[職場や学校における無理解]]&amp;",*", 集計用!$N:$N, "&lt;&gt;*英語を日常的に*"))</f>
        <v>73</v>
      </c>
      <c r="F3" s="39">
        <f>(COUNTIFS(集計用!$Y:$Y, "*, "&amp;テーブル2101112142627[[#Headers],[カムアウトできない]]&amp;",*", 集計用!$N:$N, "&lt;&gt;*英語を日常的に*"))</f>
        <v>70</v>
      </c>
      <c r="G3" s="39">
        <f>(COUNTIFS(集計用!$Y:$Y, "*, "&amp;テーブル2101112142627[[#Headers],[家族／かぞくからの無理解]]&amp;",*", 集計用!$N:$N, "&lt;&gt;*英語を日常的に*"))</f>
        <v>80</v>
      </c>
      <c r="H3" s="39">
        <f>(COUNTIFS(集計用!$Y:$Y, "*, "&amp;テーブル2101112142627[[#Headers],[トイレなどのジェンダー化されたスペースの使用]]&amp;",*", 集計用!$N:$N, "&lt;&gt;*英語を日常的に*"))</f>
        <v>63</v>
      </c>
      <c r="I3" s="39">
        <f>(COUNTIFS(集計用!$Y:$Y, "*, "&amp;テーブル2101112142627[[#Headers],[必要なジェンダーケアへアクセスできない]]&amp;",*", 集計用!$N:$N, "&lt;&gt;*英語を日常的に*"))</f>
        <v>57</v>
      </c>
      <c r="J3" s="39">
        <f>(COUNTIFS(集計用!$Y:$Y, "*, "&amp;テーブル2101112142627[[#Headers],[医療における無理解]]&amp;",*", 集計用!$N:$N, "&lt;&gt;*英語を日常的に*"))</f>
        <v>46</v>
      </c>
      <c r="K3" s="39">
        <f>(COUNTIFS(集計用!$Y:$Y, "*, "&amp;テーブル2101112142627[[#Headers],[アウティング（勝手にジェンダーや指向についての情報を明かされること）]]&amp;",*", 集計用!$N:$N, "&lt;&gt;*英語を日常的に*"))</f>
        <v>38</v>
      </c>
      <c r="L3" s="39">
        <f>(COUNTIFS(集計用!$Y:$Y, "*, "&amp;テーブル2101112142627[[#Headers],[LGBTQ+運動からの排斥]]&amp;",*", 集計用!$N:$N, "&lt;&gt;*英語を日常的に*"))</f>
        <v>44</v>
      </c>
      <c r="M3" s="39">
        <f>(COUNTIFS(集計用!$Y:$Y, "*, "&amp;テーブル2101112142627[[#Headers],[性暴力]]&amp;",*", 集計用!$N:$N, "&lt;&gt;*英語を日常的に*"))</f>
        <v>38</v>
      </c>
      <c r="N3" s="39">
        <f>(COUNTIFS(集計用!$Y:$Y, "*, "&amp;テーブル2101112142627[[#Headers],[デッドネーミング（誤った名前で呼ばれること）]]&amp;",*", 集計用!$N:$N, "&lt;&gt;*英語を日常的に*"))</f>
        <v>30</v>
      </c>
      <c r="O3" s="39">
        <f>(COUNTIFS(集計用!$Y:$Y, "*, "&amp;テーブル2101112142627[[#Headers],[カムアウトを強制される]]&amp;",*", 集計用!$N:$N, "&lt;&gt;*英語を日常的に*"))</f>
        <v>27</v>
      </c>
      <c r="P3"/>
      <c r="S3"/>
      <c r="T3"/>
      <c r="V3"/>
      <c r="X3" s="39"/>
    </row>
    <row r="4" spans="1:25" ht="12.75">
      <c r="A4" s="46" t="s">
        <v>2179</v>
      </c>
      <c r="B4" s="46" t="s">
        <v>2182</v>
      </c>
      <c r="C4" s="2" t="s">
        <v>180</v>
      </c>
      <c r="D4" s="2" t="s">
        <v>181</v>
      </c>
      <c r="E4" s="2" t="s">
        <v>182</v>
      </c>
      <c r="F4" s="2" t="s">
        <v>183</v>
      </c>
      <c r="G4" s="2" t="s">
        <v>184</v>
      </c>
      <c r="H4" s="2" t="s">
        <v>185</v>
      </c>
      <c r="I4" s="2" t="s">
        <v>186</v>
      </c>
      <c r="J4" s="2" t="s">
        <v>187</v>
      </c>
      <c r="K4" s="2" t="s">
        <v>188</v>
      </c>
      <c r="L4" s="2" t="s">
        <v>189</v>
      </c>
      <c r="M4" s="2" t="s">
        <v>190</v>
      </c>
      <c r="N4" s="2" t="s">
        <v>191</v>
      </c>
      <c r="O4" s="2" t="s">
        <v>192</v>
      </c>
      <c r="P4"/>
      <c r="S4"/>
      <c r="T4"/>
      <c r="V4"/>
      <c r="X4" s="39"/>
    </row>
    <row r="5" spans="1:25" ht="12.75">
      <c r="A5" s="39">
        <f>(COUNTIFS(集計用!$Y2:$Y444,"&lt;&gt;無回答 "))</f>
        <v>421</v>
      </c>
      <c r="B5" s="40" t="s">
        <v>2249</v>
      </c>
      <c r="C5" s="41">
        <f>(COUNTIFS(集計用!$Y:$Y, "*, "&amp;C$4&amp;",*"))/$A5*100</f>
        <v>71.258907363420434</v>
      </c>
      <c r="D5" s="41">
        <f>(COUNTIFS(集計用!$Y:$Y, "*, "&amp;D$4&amp;",*"))/$A5*100</f>
        <v>62.232779097387173</v>
      </c>
      <c r="E5" s="41">
        <f>(COUNTIFS(集計用!$Y:$Y, "*, "&amp;E$4&amp;",*"))/$A5*100</f>
        <v>53.919239904988125</v>
      </c>
      <c r="F5" s="41">
        <f>(COUNTIFS(集計用!$Y:$Y, "*, "&amp;F$4&amp;",*"))/$A5*100</f>
        <v>52.969121140142519</v>
      </c>
      <c r="G5" s="41">
        <f>(COUNTIFS(集計用!$Y:$Y, "*, "&amp;G$4&amp;",*"))/$A5*100</f>
        <v>48.931116389548698</v>
      </c>
      <c r="H5" s="41">
        <f>(COUNTIFS(集計用!$Y:$Y, "*, "&amp;H$4&amp;",*"))/$A5*100</f>
        <v>40.855106888361043</v>
      </c>
      <c r="I5" s="41">
        <f>(COUNTIFS(集計用!$Y:$Y, "*, "&amp;I$4&amp;",*"))/$A5*100</f>
        <v>34.679334916864605</v>
      </c>
      <c r="J5" s="41">
        <f>(COUNTIFS(集計用!$Y:$Y, "*, "&amp;J$4&amp;",*"))/$A5*100</f>
        <v>31.591448931116389</v>
      </c>
      <c r="K5" s="41">
        <f>(COUNTIFS(集計用!$Y:$Y, "*, "&amp;K$4&amp;",*"))/$A5*100</f>
        <v>28.978622327790976</v>
      </c>
      <c r="L5" s="41">
        <f>(COUNTIFS(集計用!$Y:$Y, "*, "&amp;L$4&amp;",*"))/$A5*100</f>
        <v>27.553444180522561</v>
      </c>
      <c r="M5" s="41">
        <f>(COUNTIFS(集計用!$Y:$Y, "*, "&amp;M$4&amp;",*"))/$A5*100</f>
        <v>25.890736342042754</v>
      </c>
      <c r="N5" s="41">
        <f>(COUNTIFS(集計用!$Y:$Y, "*, "&amp;N$4&amp;",*"))/$A5*100</f>
        <v>19.714964370546319</v>
      </c>
      <c r="O5" s="41">
        <f>(COUNTIFS(集計用!$Y:$Y, "*, "&amp;O$4&amp;",*"))/$A5*100</f>
        <v>17.102137767220903</v>
      </c>
      <c r="P5"/>
      <c r="S5"/>
      <c r="T5"/>
      <c r="V5"/>
      <c r="X5" s="39"/>
    </row>
    <row r="6" spans="1:25" ht="15.75" customHeight="1">
      <c r="A6" s="39">
        <f>(COUNTIFS(集計用!$AE$2:$AE$444,"11-15",集計用!$Y$2:$Y$444,"&lt;&gt;無回答 "))+(COUNTIFS(集計用!$AE$2:$AE$444,"16-20",集計用!$Y$2:$Y$444,"&lt;&gt;無回答 "))</f>
        <v>47</v>
      </c>
      <c r="B6" s="32" t="s">
        <v>2181</v>
      </c>
      <c r="C6" s="95">
        <f>(COUNTIFS(集計用!$AE$2:$AE$444,"11-15",集計用!$Y$2:$Y$444,"*, "&amp;C$4&amp;",*")+COUNTIFS(集計用!$AE$2:$AE$444,"16-20",集計用!$Y$2:$Y$444,"*, "&amp;C$4&amp;",*"))/$A6*100</f>
        <v>76.59574468085107</v>
      </c>
      <c r="D6" s="95">
        <f>(COUNTIFS(集計用!$AE$2:$AE$444,"11-15",集計用!$Y$2:$Y$444,"*, "&amp;D$4&amp;",*")+COUNTIFS(集計用!$AE$2:$AE$444,"16-20",集計用!$Y$2:$Y$444,"*, "&amp;D$4&amp;",*"))/$A6*100</f>
        <v>70.212765957446805</v>
      </c>
      <c r="E6" s="95">
        <f>(COUNTIFS(集計用!$AE$2:$AE$444,"11-15",集計用!$Y$2:$Y$444,"*, "&amp;E$4&amp;",*")+COUNTIFS(集計用!$AE$2:$AE$444,"16-20",集計用!$Y$2:$Y$444,"*, "&amp;E$4&amp;",*"))/$A6*100</f>
        <v>61.702127659574465</v>
      </c>
      <c r="F6" s="95">
        <f>(COUNTIFS(集計用!$AE$2:$AE$444,"11-15",集計用!$Y$2:$Y$444,"*, "&amp;F$4&amp;",*")+COUNTIFS(集計用!$AE$2:$AE$444,"16-20",集計用!$Y$2:$Y$444,"*, "&amp;F$4&amp;",*"))/$A6*100</f>
        <v>51.063829787234042</v>
      </c>
      <c r="G6" s="95">
        <f>(COUNTIFS(集計用!$AE$2:$AE$444,"11-15",集計用!$Y$2:$Y$444,"*, "&amp;G$4&amp;",*")+COUNTIFS(集計用!$AE$2:$AE$444,"16-20",集計用!$Y$2:$Y$444,"*, "&amp;G$4&amp;",*"))/$A6*100</f>
        <v>51.063829787234042</v>
      </c>
      <c r="H6" s="95">
        <f>(COUNTIFS(集計用!$AE$2:$AE$444,"11-15",集計用!$Y$2:$Y$444,"*, "&amp;H$4&amp;",*")+COUNTIFS(集計用!$AE$2:$AE$444,"16-20",集計用!$Y$2:$Y$444,"*, "&amp;H$4&amp;",*"))/$A6*100</f>
        <v>55.319148936170215</v>
      </c>
      <c r="I6" s="95">
        <f>(COUNTIFS(集計用!$AE$2:$AE$444,"11-15",集計用!$Y$2:$Y$444,"*, "&amp;I$4&amp;",*")+COUNTIFS(集計用!$AE$2:$AE$444,"16-20",集計用!$Y$2:$Y$444,"*, "&amp;I$4&amp;",*"))/$A6*100</f>
        <v>23.404255319148938</v>
      </c>
      <c r="J6" s="95">
        <f>(COUNTIFS(集計用!$AE$2:$AE$444,"11-15",集計用!$Y$2:$Y$444,"*, "&amp;J$4&amp;",*")+COUNTIFS(集計用!$AE$2:$AE$444,"16-20",集計用!$Y$2:$Y$444,"*, "&amp;J$4&amp;",*"))/$A6*100</f>
        <v>29.787234042553191</v>
      </c>
      <c r="K6" s="95">
        <f>(COUNTIFS(集計用!$AE$2:$AE$444,"11-15",集計用!$Y$2:$Y$444,"*, "&amp;K$4&amp;",*")+COUNTIFS(集計用!$AE$2:$AE$444,"16-20",集計用!$Y$2:$Y$444,"*, "&amp;K$4&amp;",*"))/$A6*100</f>
        <v>19.148936170212767</v>
      </c>
      <c r="L6" s="95">
        <f>(COUNTIFS(集計用!$AE$2:$AE$444,"11-15",集計用!$Y$2:$Y$444,"*, "&amp;L$4&amp;",*")+COUNTIFS(集計用!$AE$2:$AE$444,"16-20",集計用!$Y$2:$Y$444,"*, "&amp;L$4&amp;",*"))/$A6*100</f>
        <v>25.531914893617021</v>
      </c>
      <c r="M6" s="95">
        <f>(COUNTIFS(集計用!$AE$2:$AE$444,"11-15",集計用!$Y$2:$Y$444,"*, "&amp;M$4&amp;",*")+COUNTIFS(集計用!$AE$2:$AE$444,"16-20",集計用!$Y$2:$Y$444,"*, "&amp;M$4&amp;",*"))/$A6*100</f>
        <v>19.148936170212767</v>
      </c>
      <c r="N6" s="95">
        <f>(COUNTIFS(集計用!$AE$2:$AE$444,"11-15",集計用!$Y$2:$Y$444,"*, "&amp;N$4&amp;",*")+COUNTIFS(集計用!$AE$2:$AE$444,"16-20",集計用!$Y$2:$Y$444,"*, "&amp;N$4&amp;",*"))/$A6*100</f>
        <v>19.148936170212767</v>
      </c>
      <c r="O6" s="95">
        <f>(COUNTIFS(集計用!$AE$2:$AE$444,"11-15",集計用!$Y$2:$Y$444,"*, "&amp;O$4&amp;",*")+COUNTIFS(集計用!$AE$2:$AE$444,"16-20",集計用!$Y$2:$Y$444,"*, "&amp;O$4&amp;",*"))/$A6*100</f>
        <v>17.021276595744681</v>
      </c>
      <c r="P6"/>
      <c r="S6"/>
      <c r="T6"/>
      <c r="V6"/>
      <c r="X6" s="39"/>
    </row>
    <row r="7" spans="1:25" ht="15.75" customHeight="1">
      <c r="A7" s="39">
        <f>(COUNTIFS(集計用!$AE$2:$AE$444,$B7,集計用!$Y$2:$Y$444,"&lt;&gt;無回答 "))</f>
        <v>111</v>
      </c>
      <c r="B7" s="32" t="s">
        <v>2166</v>
      </c>
      <c r="C7" s="95">
        <f>(COUNTIFS(集計用!$AE$2:$AE$444,$B7,集計用!$Y$2:$Y$444,"*, "&amp;C$4&amp;",*"))/$A7*100</f>
        <v>72.072072072072075</v>
      </c>
      <c r="D7" s="95">
        <f>(COUNTIFS(集計用!$AE$2:$AE$444,$B7,集計用!$Y$2:$Y$444,"*, "&amp;D$4&amp;",*"))/$A7*100</f>
        <v>67.567567567567565</v>
      </c>
      <c r="E7" s="95">
        <f>(COUNTIFS(集計用!$AE$2:$AE$444,$B7,集計用!$Y$2:$Y$444,"*, "&amp;E$4&amp;",*"))/$A7*100</f>
        <v>54.954954954954957</v>
      </c>
      <c r="F7" s="95">
        <f>(COUNTIFS(集計用!$AE$2:$AE$444,$B7,集計用!$Y$2:$Y$444,"*, "&amp;F$4&amp;",*"))/$A7*100</f>
        <v>64.86486486486487</v>
      </c>
      <c r="G7" s="95">
        <f>(COUNTIFS(集計用!$AE$2:$AE$444,$B7,集計用!$Y$2:$Y$444,"*, "&amp;G$4&amp;",*"))/$A7*100</f>
        <v>52.252252252252248</v>
      </c>
      <c r="H7" s="95">
        <f>(COUNTIFS(集計用!$AE$2:$AE$444,$B7,集計用!$Y$2:$Y$444,"*, "&amp;H$4&amp;",*"))/$A7*100</f>
        <v>44.144144144144143</v>
      </c>
      <c r="I7" s="95">
        <f>(COUNTIFS(集計用!$AE$2:$AE$444,$B7,集計用!$Y$2:$Y$444,"*, "&amp;I$4&amp;",*"))/$A7*100</f>
        <v>31.531531531531531</v>
      </c>
      <c r="J7" s="95">
        <f>(COUNTIFS(集計用!$AE$2:$AE$444,$B7,集計用!$Y$2:$Y$444,"*, "&amp;J$4&amp;",*"))/$A7*100</f>
        <v>27.027027027027028</v>
      </c>
      <c r="K7" s="95">
        <f>(COUNTIFS(集計用!$AE$2:$AE$444,$B7,集計用!$Y$2:$Y$444,"*, "&amp;K$4&amp;",*"))/$A7*100</f>
        <v>25.225225225225223</v>
      </c>
      <c r="L7" s="95">
        <f>(COUNTIFS(集計用!$AE$2:$AE$444,$B7,集計用!$Y$2:$Y$444,"*, "&amp;L$4&amp;",*"))/$A7*100</f>
        <v>23.423423423423422</v>
      </c>
      <c r="M7" s="95">
        <f>(COUNTIFS(集計用!$AE$2:$AE$444,$B7,集計用!$Y$2:$Y$444,"*, "&amp;M$4&amp;",*"))/$A7*100</f>
        <v>21.621621621621621</v>
      </c>
      <c r="N7" s="95">
        <f>(COUNTIFS(集計用!$AE$2:$AE$444,$B7,集計用!$Y$2:$Y$444,"*, "&amp;N$4&amp;",*"))/$A7*100</f>
        <v>17.117117117117118</v>
      </c>
      <c r="O7" s="95">
        <f>(COUNTIFS(集計用!$AE$2:$AE$444,$B7,集計用!$Y$2:$Y$444,"*, "&amp;O$4&amp;",*"))/$A7*100</f>
        <v>13.513513513513514</v>
      </c>
      <c r="P7"/>
      <c r="T7" s="76"/>
      <c r="U7" s="14"/>
      <c r="W7" s="14"/>
      <c r="X7" s="41"/>
      <c r="Y7" s="59"/>
    </row>
    <row r="8" spans="1:25" ht="15.75" customHeight="1">
      <c r="A8" s="39">
        <f>(COUNTIFS(集計用!$AE$2:$AE$444,$B8,集計用!$Y$2:$Y$444,"&lt;&gt;無回答 "))</f>
        <v>85</v>
      </c>
      <c r="B8" s="32" t="s">
        <v>2167</v>
      </c>
      <c r="C8" s="95">
        <f>(COUNTIFS(集計用!$AE$2:$AE$444,$B8,集計用!$Y$2:$Y$444,"*, "&amp;C$4&amp;",*"))/$A8*100</f>
        <v>78.82352941176471</v>
      </c>
      <c r="D8" s="95">
        <f>(COUNTIFS(集計用!$AE$2:$AE$444,$B8,集計用!$Y$2:$Y$444,"*, "&amp;D$4&amp;",*"))/$A8*100</f>
        <v>67.058823529411754</v>
      </c>
      <c r="E8" s="95">
        <f>(COUNTIFS(集計用!$AE$2:$AE$444,$B8,集計用!$Y$2:$Y$444,"*, "&amp;E$4&amp;",*"))/$A8*100</f>
        <v>52.941176470588239</v>
      </c>
      <c r="F8" s="95">
        <f>(COUNTIFS(集計用!$AE$2:$AE$444,$B8,集計用!$Y$2:$Y$444,"*, "&amp;F$4&amp;",*"))/$A8*100</f>
        <v>54.117647058823529</v>
      </c>
      <c r="G8" s="95">
        <f>(COUNTIFS(集計用!$AE$2:$AE$444,$B8,集計用!$Y$2:$Y$444,"*, "&amp;G$4&amp;",*"))/$A8*100</f>
        <v>51.764705882352949</v>
      </c>
      <c r="H8" s="95">
        <f>(COUNTIFS(集計用!$AE$2:$AE$444,$B8,集計用!$Y$2:$Y$444,"*, "&amp;H$4&amp;",*"))/$A8*100</f>
        <v>47.058823529411761</v>
      </c>
      <c r="I8" s="95">
        <f>(COUNTIFS(集計用!$AE$2:$AE$444,$B8,集計用!$Y$2:$Y$444,"*, "&amp;I$4&amp;",*"))/$A8*100</f>
        <v>44.705882352941181</v>
      </c>
      <c r="J8" s="95">
        <f>(COUNTIFS(集計用!$AE$2:$AE$444,$B8,集計用!$Y$2:$Y$444,"*, "&amp;J$4&amp;",*"))/$A8*100</f>
        <v>35.294117647058826</v>
      </c>
      <c r="K8" s="95">
        <f>(COUNTIFS(集計用!$AE$2:$AE$444,$B8,集計用!$Y$2:$Y$444,"*, "&amp;K$4&amp;",*"))/$A8*100</f>
        <v>31.764705882352938</v>
      </c>
      <c r="L8" s="95">
        <f>(COUNTIFS(集計用!$AE$2:$AE$444,$B8,集計用!$Y$2:$Y$444,"*, "&amp;L$4&amp;",*"))/$A8*100</f>
        <v>31.764705882352938</v>
      </c>
      <c r="M8" s="95">
        <f>(COUNTIFS(集計用!$AE$2:$AE$444,$B8,集計用!$Y$2:$Y$444,"*, "&amp;M$4&amp;",*"))/$A8*100</f>
        <v>22.352941176470591</v>
      </c>
      <c r="N8" s="95">
        <f>(COUNTIFS(集計用!$AE$2:$AE$444,$B8,集計用!$Y$2:$Y$444,"*, "&amp;N$4&amp;",*"))/$A8*100</f>
        <v>18.823529411764707</v>
      </c>
      <c r="O8" s="95">
        <f>(COUNTIFS(集計用!$AE$2:$AE$444,$B8,集計用!$Y$2:$Y$444,"*, "&amp;O$4&amp;",*"))/$A8*100</f>
        <v>15.294117647058824</v>
      </c>
      <c r="P8"/>
      <c r="T8" s="2"/>
      <c r="U8" s="14"/>
      <c r="W8" s="14"/>
      <c r="X8" s="41"/>
      <c r="Y8" s="59"/>
    </row>
    <row r="9" spans="1:25" ht="15.75" customHeight="1">
      <c r="A9" s="39">
        <f>(COUNTIFS(集計用!$AE$2:$AE$444,$B9,集計用!$Y$2:$Y$444,"&lt;&gt;無回答 "))</f>
        <v>75</v>
      </c>
      <c r="B9" s="32" t="s">
        <v>2168</v>
      </c>
      <c r="C9" s="95">
        <f>(COUNTIFS(集計用!$AE$2:$AE$444,$B9,集計用!$Y$2:$Y$444,"*, "&amp;C$4&amp;",*"))/$A9*100</f>
        <v>72</v>
      </c>
      <c r="D9" s="95">
        <f>(COUNTIFS(集計用!$AE$2:$AE$444,$B9,集計用!$Y$2:$Y$444,"*, "&amp;D$4&amp;",*"))/$A9*100</f>
        <v>62.666666666666671</v>
      </c>
      <c r="E9" s="95">
        <f>(COUNTIFS(集計用!$AE$2:$AE$444,$B9,集計用!$Y$2:$Y$444,"*, "&amp;E$4&amp;",*"))/$A9*100</f>
        <v>56.000000000000007</v>
      </c>
      <c r="F9" s="95">
        <f>(COUNTIFS(集計用!$AE$2:$AE$444,$B9,集計用!$Y$2:$Y$444,"*, "&amp;F$4&amp;",*"))/$A9*100</f>
        <v>52</v>
      </c>
      <c r="G9" s="95">
        <f>(COUNTIFS(集計用!$AE$2:$AE$444,$B9,集計用!$Y$2:$Y$444,"*, "&amp;G$4&amp;",*"))/$A9*100</f>
        <v>49.333333333333336</v>
      </c>
      <c r="H9" s="95">
        <f>(COUNTIFS(集計用!$AE$2:$AE$444,$B9,集計用!$Y$2:$Y$444,"*, "&amp;H$4&amp;",*"))/$A9*100</f>
        <v>33.333333333333329</v>
      </c>
      <c r="I9" s="95">
        <f>(COUNTIFS(集計用!$AE$2:$AE$444,$B9,集計用!$Y$2:$Y$444,"*, "&amp;I$4&amp;",*"))/$A9*100</f>
        <v>38.666666666666664</v>
      </c>
      <c r="J9" s="95">
        <f>(COUNTIFS(集計用!$AE$2:$AE$444,$B9,集計用!$Y$2:$Y$444,"*, "&amp;J$4&amp;",*"))/$A9*100</f>
        <v>41.333333333333336</v>
      </c>
      <c r="K9" s="95">
        <f>(COUNTIFS(集計用!$AE$2:$AE$444,$B9,集計用!$Y$2:$Y$444,"*, "&amp;K$4&amp;",*"))/$A9*100</f>
        <v>38.666666666666664</v>
      </c>
      <c r="L9" s="95">
        <f>(COUNTIFS(集計用!$AE$2:$AE$444,$B9,集計用!$Y$2:$Y$444,"*, "&amp;L$4&amp;",*"))/$A9*100</f>
        <v>36</v>
      </c>
      <c r="M9" s="95">
        <f>(COUNTIFS(集計用!$AE$2:$AE$444,$B9,集計用!$Y$2:$Y$444,"*, "&amp;M$4&amp;",*"))/$A9*100</f>
        <v>30.666666666666664</v>
      </c>
      <c r="N9" s="95">
        <f>(COUNTIFS(集計用!$AE$2:$AE$444,$B9,集計用!$Y$2:$Y$444,"*, "&amp;N$4&amp;",*"))/$A9*100</f>
        <v>21.333333333333336</v>
      </c>
      <c r="O9" s="95">
        <f>(COUNTIFS(集計用!$AE$2:$AE$444,$B9,集計用!$Y$2:$Y$444,"*, "&amp;O$4&amp;",*"))/$A9*100</f>
        <v>26.666666666666668</v>
      </c>
      <c r="P9"/>
      <c r="T9" s="2"/>
      <c r="U9" s="14"/>
      <c r="W9" s="14"/>
      <c r="X9" s="41"/>
      <c r="Y9" s="59"/>
    </row>
    <row r="10" spans="1:25" ht="15.75" customHeight="1">
      <c r="A10" s="39">
        <f>(COUNTIFS(集計用!$AE$2:$AE$444,$B10,集計用!$Y$2:$Y$444,"&lt;&gt;無回答 "))</f>
        <v>33</v>
      </c>
      <c r="B10" s="32" t="s">
        <v>2169</v>
      </c>
      <c r="C10" s="95">
        <f>(COUNTIFS(集計用!$AE$2:$AE$444,$B10,集計用!$Y$2:$Y$444,"*, "&amp;C$4&amp;",*"))/$A10*100</f>
        <v>66.666666666666657</v>
      </c>
      <c r="D10" s="95">
        <f>(COUNTIFS(集計用!$AE$2:$AE$444,$B10,集計用!$Y$2:$Y$444,"*, "&amp;D$4&amp;",*"))/$A10*100</f>
        <v>60.606060606060609</v>
      </c>
      <c r="E10" s="95">
        <f>(COUNTIFS(集計用!$AE$2:$AE$444,$B10,集計用!$Y$2:$Y$444,"*, "&amp;E$4&amp;",*"))/$A10*100</f>
        <v>48.484848484848484</v>
      </c>
      <c r="F10" s="95">
        <f>(COUNTIFS(集計用!$AE$2:$AE$444,$B10,集計用!$Y$2:$Y$444,"*, "&amp;F$4&amp;",*"))/$A10*100</f>
        <v>54.54545454545454</v>
      </c>
      <c r="G10" s="95">
        <f>(COUNTIFS(集計用!$AE$2:$AE$444,$B10,集計用!$Y$2:$Y$444,"*, "&amp;G$4&amp;",*"))/$A10*100</f>
        <v>33.333333333333329</v>
      </c>
      <c r="H10" s="95">
        <f>(COUNTIFS(集計用!$AE$2:$AE$444,$B10,集計用!$Y$2:$Y$444,"*, "&amp;H$4&amp;",*"))/$A10*100</f>
        <v>36.363636363636367</v>
      </c>
      <c r="I10" s="95">
        <f>(COUNTIFS(集計用!$AE$2:$AE$444,$B10,集計用!$Y$2:$Y$444,"*, "&amp;I$4&amp;",*"))/$A10*100</f>
        <v>30.303030303030305</v>
      </c>
      <c r="J10" s="95">
        <f>(COUNTIFS(集計用!$AE$2:$AE$444,$B10,集計用!$Y$2:$Y$444,"*, "&amp;J$4&amp;",*"))/$A10*100</f>
        <v>27.27272727272727</v>
      </c>
      <c r="K10" s="95">
        <f>(COUNTIFS(集計用!$AE$2:$AE$444,$B10,集計用!$Y$2:$Y$444,"*, "&amp;K$4&amp;",*"))/$A10*100</f>
        <v>33.333333333333329</v>
      </c>
      <c r="L10" s="95">
        <f>(COUNTIFS(集計用!$AE$2:$AE$444,$B10,集計用!$Y$2:$Y$444,"*, "&amp;L$4&amp;",*"))/$A10*100</f>
        <v>21.212121212121211</v>
      </c>
      <c r="M10" s="95">
        <f>(COUNTIFS(集計用!$AE$2:$AE$444,$B10,集計用!$Y$2:$Y$444,"*, "&amp;M$4&amp;",*"))/$A10*100</f>
        <v>30.303030303030305</v>
      </c>
      <c r="N10" s="95">
        <f>(COUNTIFS(集計用!$AE$2:$AE$444,$B10,集計用!$Y$2:$Y$444,"*, "&amp;N$4&amp;",*"))/$A10*100</f>
        <v>18.181818181818183</v>
      </c>
      <c r="O10" s="95">
        <f>(COUNTIFS(集計用!$AE$2:$AE$444,$B10,集計用!$Y$2:$Y$444,"*, "&amp;O$4&amp;",*"))/$A10*100</f>
        <v>12.121212121212121</v>
      </c>
      <c r="P10"/>
      <c r="T10" s="2"/>
      <c r="U10" s="14"/>
      <c r="W10" s="14"/>
      <c r="X10" s="41"/>
      <c r="Y10" s="59"/>
    </row>
    <row r="11" spans="1:25" ht="15.75" customHeight="1">
      <c r="A11" s="39">
        <f>(COUNTIFS(集計用!$AE$2:$AE$444,$B11,集計用!$Y$2:$Y$444,"&lt;&gt;無回答 "))</f>
        <v>26</v>
      </c>
      <c r="B11" s="32" t="s">
        <v>2170</v>
      </c>
      <c r="C11" s="95">
        <f>(COUNTIFS(集計用!$AE$2:$AE$444,$B11,集計用!$Y$2:$Y$444,"*, "&amp;C$4&amp;",*"))/$A11*100</f>
        <v>65.384615384615387</v>
      </c>
      <c r="D11" s="95">
        <f>(COUNTIFS(集計用!$AE$2:$AE$444,$B11,集計用!$Y$2:$Y$444,"*, "&amp;D$4&amp;",*"))/$A11*100</f>
        <v>46.153846153846153</v>
      </c>
      <c r="E11" s="95">
        <f>(COUNTIFS(集計用!$AE$2:$AE$444,$B11,集計用!$Y$2:$Y$444,"*, "&amp;E$4&amp;",*"))/$A11*100</f>
        <v>53.846153846153847</v>
      </c>
      <c r="F11" s="95">
        <f>(COUNTIFS(集計用!$AE$2:$AE$444,$B11,集計用!$Y$2:$Y$444,"*, "&amp;F$4&amp;",*"))/$A11*100</f>
        <v>42.307692307692307</v>
      </c>
      <c r="G11" s="95">
        <f>(COUNTIFS(集計用!$AE$2:$AE$444,$B11,集計用!$Y$2:$Y$444,"*, "&amp;G$4&amp;",*"))/$A11*100</f>
        <v>46.153846153846153</v>
      </c>
      <c r="H11" s="95">
        <f>(COUNTIFS(集計用!$AE$2:$AE$444,$B11,集計用!$Y$2:$Y$444,"*, "&amp;H$4&amp;",*"))/$A11*100</f>
        <v>19.230769230769234</v>
      </c>
      <c r="I11" s="95">
        <f>(COUNTIFS(集計用!$AE$2:$AE$444,$B11,集計用!$Y$2:$Y$444,"*, "&amp;I$4&amp;",*"))/$A11*100</f>
        <v>34.615384615384613</v>
      </c>
      <c r="J11" s="95">
        <f>(COUNTIFS(集計用!$AE$2:$AE$444,$B11,集計用!$Y$2:$Y$444,"*, "&amp;J$4&amp;",*"))/$A11*100</f>
        <v>38.461538461538467</v>
      </c>
      <c r="K11" s="95">
        <f>(COUNTIFS(集計用!$AE$2:$AE$444,$B11,集計用!$Y$2:$Y$444,"*, "&amp;K$4&amp;",*"))/$A11*100</f>
        <v>19.230769230769234</v>
      </c>
      <c r="L11" s="95">
        <f>(COUNTIFS(集計用!$AE$2:$AE$444,$B11,集計用!$Y$2:$Y$444,"*, "&amp;L$4&amp;",*"))/$A11*100</f>
        <v>23.076923076923077</v>
      </c>
      <c r="M11" s="95">
        <f>(COUNTIFS(集計用!$AE$2:$AE$444,$B11,集計用!$Y$2:$Y$444,"*, "&amp;M$4&amp;",*"))/$A11*100</f>
        <v>26.923076923076923</v>
      </c>
      <c r="N11" s="95">
        <f>(COUNTIFS(集計用!$AE$2:$AE$444,$B11,集計用!$Y$2:$Y$444,"*, "&amp;N$4&amp;",*"))/$A11*100</f>
        <v>23.076923076923077</v>
      </c>
      <c r="O11" s="95">
        <f>(COUNTIFS(集計用!$AE$2:$AE$444,$B11,集計用!$Y$2:$Y$444,"*, "&amp;O$4&amp;",*"))/$A11*100</f>
        <v>19.230769230769234</v>
      </c>
      <c r="P11"/>
      <c r="T11" s="2"/>
      <c r="U11" s="14"/>
      <c r="W11" s="14"/>
      <c r="X11" s="41"/>
      <c r="Y11" s="59"/>
    </row>
    <row r="12" spans="1:25" ht="15.75" customHeight="1">
      <c r="A12" s="39">
        <f>(COUNTIFS(集計用!$AE$2:$AE$444,$B12,集計用!$Y$2:$Y$444,"&lt;&gt;無回答 "))</f>
        <v>23</v>
      </c>
      <c r="B12" s="32" t="s">
        <v>2171</v>
      </c>
      <c r="C12" s="95">
        <f>(COUNTIFS(集計用!$AE$2:$AE$444,$B12,集計用!$Y$2:$Y$444,"*, "&amp;C$4&amp;",*"))/$A12*100</f>
        <v>56.521739130434781</v>
      </c>
      <c r="D12" s="95">
        <f>(COUNTIFS(集計用!$AE$2:$AE$444,$B12,集計用!$Y$2:$Y$444,"*, "&amp;D$4&amp;",*"))/$A12*100</f>
        <v>43.478260869565219</v>
      </c>
      <c r="E12" s="95">
        <f>(COUNTIFS(集計用!$AE$2:$AE$444,$B12,集計用!$Y$2:$Y$444,"*, "&amp;E$4&amp;",*"))/$A12*100</f>
        <v>30.434782608695656</v>
      </c>
      <c r="F12" s="95">
        <f>(COUNTIFS(集計用!$AE$2:$AE$444,$B12,集計用!$Y$2:$Y$444,"*, "&amp;F$4&amp;",*"))/$A12*100</f>
        <v>30.434782608695656</v>
      </c>
      <c r="G12" s="95">
        <f>(COUNTIFS(集計用!$AE$2:$AE$444,$B12,集計用!$Y$2:$Y$444,"*, "&amp;G$4&amp;",*"))/$A12*100</f>
        <v>39.130434782608695</v>
      </c>
      <c r="H12" s="95">
        <f>(COUNTIFS(集計用!$AE$2:$AE$444,$B12,集計用!$Y$2:$Y$444,"*, "&amp;H$4&amp;",*"))/$A12*100</f>
        <v>21.739130434782609</v>
      </c>
      <c r="I12" s="95">
        <f>(COUNTIFS(集計用!$AE$2:$AE$444,$B12,集計用!$Y$2:$Y$444,"*, "&amp;I$4&amp;",*"))/$A12*100</f>
        <v>17.391304347826086</v>
      </c>
      <c r="J12" s="95">
        <f>(COUNTIFS(集計用!$AE$2:$AE$444,$B12,集計用!$Y$2:$Y$444,"*, "&amp;J$4&amp;",*"))/$A12*100</f>
        <v>21.739130434782609</v>
      </c>
      <c r="K12" s="95">
        <f>(COUNTIFS(集計用!$AE$2:$AE$444,$B12,集計用!$Y$2:$Y$444,"*, "&amp;K$4&amp;",*"))/$A12*100</f>
        <v>26.086956521739129</v>
      </c>
      <c r="L12" s="95">
        <f>(COUNTIFS(集計用!$AE$2:$AE$444,$B12,集計用!$Y$2:$Y$444,"*, "&amp;L$4&amp;",*"))/$A12*100</f>
        <v>17.391304347826086</v>
      </c>
      <c r="M12" s="95">
        <f>(COUNTIFS(集計用!$AE$2:$AE$444,$B12,集計用!$Y$2:$Y$444,"*, "&amp;M$4&amp;",*"))/$A12*100</f>
        <v>43.478260869565219</v>
      </c>
      <c r="N12" s="95">
        <f>(COUNTIFS(集計用!$AE$2:$AE$444,$B12,集計用!$Y$2:$Y$444,"*, "&amp;N$4&amp;",*"))/$A12*100</f>
        <v>8.695652173913043</v>
      </c>
      <c r="O12" s="95">
        <f>(COUNTIFS(集計用!$AE$2:$AE$444,$B12,集計用!$Y$2:$Y$444,"*, "&amp;O$4&amp;",*"))/$A12*100</f>
        <v>17.391304347826086</v>
      </c>
      <c r="P12"/>
      <c r="T12" s="2"/>
      <c r="U12" s="14"/>
      <c r="W12" s="14"/>
      <c r="X12" s="41"/>
      <c r="Y12" s="59"/>
    </row>
    <row r="13" spans="1:25" ht="15.75" customHeight="1">
      <c r="A13" s="39">
        <f>(COUNTIFS(集計用!$AE$2:$AE$444,$B13,集計用!$Y$2:$Y$444,"&lt;&gt;無回答 "))</f>
        <v>10</v>
      </c>
      <c r="B13" s="32" t="s">
        <v>2172</v>
      </c>
      <c r="C13" s="95">
        <f>(COUNTIFS(集計用!$AE$2:$AE$444,$B13,集計用!$Y$2:$Y$444,"*, "&amp;C$4&amp;",*"))/$A13*100</f>
        <v>50</v>
      </c>
      <c r="D13" s="95">
        <f>(COUNTIFS(集計用!$AE$2:$AE$444,$B13,集計用!$Y$2:$Y$444,"*, "&amp;D$4&amp;",*"))/$A13*100</f>
        <v>20</v>
      </c>
      <c r="E13" s="95">
        <f>(COUNTIFS(集計用!$AE$2:$AE$444,$B13,集計用!$Y$2:$Y$444,"*, "&amp;E$4&amp;",*"))/$A13*100</f>
        <v>70</v>
      </c>
      <c r="F13" s="95">
        <f>(COUNTIFS(集計用!$AE$2:$AE$444,$B13,集計用!$Y$2:$Y$444,"*, "&amp;F$4&amp;",*"))/$A13*100</f>
        <v>30</v>
      </c>
      <c r="G13" s="95">
        <f>(COUNTIFS(集計用!$AE$2:$AE$444,$B13,集計用!$Y$2:$Y$444,"*, "&amp;G$4&amp;",*"))/$A13*100</f>
        <v>60</v>
      </c>
      <c r="H13" s="95">
        <f>(COUNTIFS(集計用!$AE$2:$AE$444,$B13,集計用!$Y$2:$Y$444,"*, "&amp;H$4&amp;",*"))/$A13*100</f>
        <v>20</v>
      </c>
      <c r="I13" s="95">
        <f>(COUNTIFS(集計用!$AE$2:$AE$444,$B13,集計用!$Y$2:$Y$444,"*, "&amp;I$4&amp;",*"))/$A13*100</f>
        <v>50</v>
      </c>
      <c r="J13" s="95">
        <f>(COUNTIFS(集計用!$AE$2:$AE$444,$B13,集計用!$Y$2:$Y$444,"*, "&amp;J$4&amp;",*"))/$A13*100</f>
        <v>30</v>
      </c>
      <c r="K13" s="95">
        <f>(COUNTIFS(集計用!$AE$2:$AE$444,$B13,集計用!$Y$2:$Y$444,"*, "&amp;K$4&amp;",*"))/$A13*100</f>
        <v>40</v>
      </c>
      <c r="L13" s="95">
        <f>(COUNTIFS(集計用!$AE$2:$AE$444,$B13,集計用!$Y$2:$Y$444,"*, "&amp;L$4&amp;",*"))/$A13*100</f>
        <v>30</v>
      </c>
      <c r="M13" s="95">
        <f>(COUNTIFS(集計用!$AE$2:$AE$444,$B13,集計用!$Y$2:$Y$444,"*, "&amp;M$4&amp;",*"))/$A13*100</f>
        <v>40</v>
      </c>
      <c r="N13" s="95">
        <f>(COUNTIFS(集計用!$AE$2:$AE$444,$B13,集計用!$Y$2:$Y$444,"*, "&amp;N$4&amp;",*"))/$A13*100</f>
        <v>40</v>
      </c>
      <c r="O13" s="95">
        <f>(COUNTIFS(集計用!$AE$2:$AE$444,$B13,集計用!$Y$2:$Y$444,"*, "&amp;O$4&amp;",*"))/$A13*100</f>
        <v>20</v>
      </c>
      <c r="P13"/>
      <c r="T13" s="2"/>
      <c r="U13" s="14"/>
      <c r="W13" s="14"/>
      <c r="X13" s="41"/>
      <c r="Y13" s="59"/>
    </row>
    <row r="14" spans="1:25" ht="15.75" customHeight="1">
      <c r="A14" s="39">
        <f>(COUNTIFS(集計用!$AE$2:$AE$444,"56-60",集計用!$Y$2:$Y$444,"&lt;&gt;無回答 "))+(COUNTIFS(集計用!$AE$2:$AE$444,"61-65",集計用!$Y$2:$Y$444,"&lt;&gt;無回答 "))</f>
        <v>10</v>
      </c>
      <c r="B14" s="32" t="s">
        <v>2173</v>
      </c>
      <c r="C14" s="95">
        <f>(COUNTIFS(集計用!$AE$2:$AE$444,"56-60",集計用!$Y$2:$Y$444,"*, "&amp;C$4&amp;",*"))+(COUNTIFS(集計用!$AE$2:$AE$444,"61-65",集計用!$Y$2:$Y$444,"*, "&amp;C$4&amp;",*"))/$A14*100</f>
        <v>33</v>
      </c>
      <c r="D14" s="95">
        <f>(COUNTIFS(集計用!$AE$2:$AE$444,"56-60",集計用!$Y$2:$Y$444,"*, "&amp;D$4&amp;",*"))+(COUNTIFS(集計用!$AE$2:$AE$444,"61-65",集計用!$Y$2:$Y$444,"*, "&amp;D$4&amp;",*"))/$A14*100</f>
        <v>51</v>
      </c>
      <c r="E14" s="95">
        <f>(COUNTIFS(集計用!$AE$2:$AE$444,"56-60",集計用!$Y$2:$Y$444,"*, "&amp;E$4&amp;",*"))+(COUNTIFS(集計用!$AE$2:$AE$444,"61-65",集計用!$Y$2:$Y$444,"*, "&amp;E$4&amp;",*"))/$A14*100</f>
        <v>33</v>
      </c>
      <c r="F14" s="95">
        <f>(COUNTIFS(集計用!$AE$2:$AE$444,"56-60",集計用!$Y$2:$Y$444,"*, "&amp;F$4&amp;",*"))+(COUNTIFS(集計用!$AE$2:$AE$444,"61-65",集計用!$Y$2:$Y$444,"*, "&amp;F$4&amp;",*"))/$A14*100</f>
        <v>12</v>
      </c>
      <c r="G14" s="95">
        <f>(COUNTIFS(集計用!$AE$2:$AE$444,"56-60",集計用!$Y$2:$Y$444,"*, "&amp;G$4&amp;",*"))+(COUNTIFS(集計用!$AE$2:$AE$444,"61-65",集計用!$Y$2:$Y$444,"*, "&amp;G$4&amp;",*"))/$A14*100</f>
        <v>22</v>
      </c>
      <c r="H14" s="95">
        <f>(COUNTIFS(集計用!$AE$2:$AE$444,"56-60",集計用!$Y$2:$Y$444,"*, "&amp;H$4&amp;",*"))+(COUNTIFS(集計用!$AE$2:$AE$444,"61-65",集計用!$Y$2:$Y$444,"*, "&amp;H$4&amp;",*"))/$A14*100</f>
        <v>53</v>
      </c>
      <c r="I14" s="95">
        <f>(COUNTIFS(集計用!$AE$2:$AE$444,"56-60",集計用!$Y$2:$Y$444,"*, "&amp;I$4&amp;",*"))+(COUNTIFS(集計用!$AE$2:$AE$444,"61-65",集計用!$Y$2:$Y$444,"*, "&amp;I$4&amp;",*"))/$A14*100</f>
        <v>32</v>
      </c>
      <c r="J14" s="95">
        <f>(COUNTIFS(集計用!$AE$2:$AE$444,"56-60",集計用!$Y$2:$Y$444,"*, "&amp;J$4&amp;",*"))+(COUNTIFS(集計用!$AE$2:$AE$444,"61-65",集計用!$Y$2:$Y$444,"*, "&amp;J$4&amp;",*"))/$A14*100</f>
        <v>10</v>
      </c>
      <c r="K14" s="95">
        <f>(COUNTIFS(集計用!$AE$2:$AE$444,"56-60",集計用!$Y$2:$Y$444,"*, "&amp;K$4&amp;",*"))+(COUNTIFS(集計用!$AE$2:$AE$444,"61-65",集計用!$Y$2:$Y$444,"*, "&amp;K$4&amp;",*"))/$A14*100</f>
        <v>30</v>
      </c>
      <c r="L14" s="95">
        <f>(COUNTIFS(集計用!$AE$2:$AE$444,"56-60",集計用!$Y$2:$Y$444,"*, "&amp;L$4&amp;",*"))+(COUNTIFS(集計用!$AE$2:$AE$444,"61-65",集計用!$Y$2:$Y$444,"*, "&amp;L$4&amp;",*"))/$A14*100</f>
        <v>22</v>
      </c>
      <c r="M14" s="95">
        <f>(COUNTIFS(集計用!$AE$2:$AE$444,"56-60",集計用!$Y$2:$Y$444,"*, "&amp;M$4&amp;",*"))+(COUNTIFS(集計用!$AE$2:$AE$444,"61-65",集計用!$Y$2:$Y$444,"*, "&amp;M$4&amp;",*"))/$A14*100</f>
        <v>20</v>
      </c>
      <c r="N14" s="95">
        <f>(COUNTIFS(集計用!$AE$2:$AE$444,"56-60",集計用!$Y$2:$Y$444,"*, "&amp;N$4&amp;",*"))+(COUNTIFS(集計用!$AE$2:$AE$444,"61-65",集計用!$Y$2:$Y$444,"*, "&amp;N$4&amp;",*"))/$A14*100</f>
        <v>31</v>
      </c>
      <c r="O14" s="95">
        <f>(COUNTIFS(集計用!$AE$2:$AE$444,"56-60",集計用!$Y$2:$Y$444,"*, "&amp;O$4&amp;",*"))+(COUNTIFS(集計用!$AE$2:$AE$444,"61-65",集計用!$Y$2:$Y$444,"*, "&amp;O$4&amp;",*"))/$A14*100</f>
        <v>10</v>
      </c>
      <c r="P14"/>
      <c r="T14" s="2"/>
      <c r="U14" s="14"/>
      <c r="W14" s="14"/>
      <c r="X14" s="41"/>
      <c r="Y14" s="59"/>
    </row>
    <row r="15" spans="1:25" ht="15.75" customHeight="1">
      <c r="A15" s="39">
        <f>(COUNTIFS(集計用!$AE$2:$AE$444,$B15,集計用!$Y$2:$Y$444,"&lt;&gt;無回答 "))</f>
        <v>1</v>
      </c>
      <c r="B15" s="32" t="s">
        <v>2174</v>
      </c>
      <c r="C15" s="95">
        <f>(COUNTIFS(集計用!$AE$2:$AE$444,$B15,集計用!$Y$2:$Y$444,"*, "&amp;C$4&amp;",*"))/$A15*100</f>
        <v>0</v>
      </c>
      <c r="D15" s="95">
        <f>(COUNTIFS(集計用!$AE$2:$AE$444,$B15,集計用!$Y$2:$Y$444,"*, "&amp;D$4&amp;",*"))/$A15*100</f>
        <v>0</v>
      </c>
      <c r="E15" s="95">
        <f>(COUNTIFS(集計用!$AE$2:$AE$444,$B15,集計用!$Y$2:$Y$444,"*, "&amp;E$4&amp;",*"))/$A15*100</f>
        <v>0</v>
      </c>
      <c r="F15" s="95">
        <f>(COUNTIFS(集計用!$AE$2:$AE$444,$B15,集計用!$Y$2:$Y$444,"*, "&amp;F$4&amp;",*"))/$A15*100</f>
        <v>0</v>
      </c>
      <c r="G15" s="95">
        <f>(COUNTIFS(集計用!$AE$2:$AE$444,$B15,集計用!$Y$2:$Y$444,"*, "&amp;G$4&amp;",*"))/$A15*100</f>
        <v>100</v>
      </c>
      <c r="H15" s="95">
        <f>(COUNTIFS(集計用!$AE$2:$AE$444,$B15,集計用!$Y$2:$Y$444,"*, "&amp;H$4&amp;",*"))/$A15*100</f>
        <v>0</v>
      </c>
      <c r="I15" s="95">
        <f>(COUNTIFS(集計用!$AE$2:$AE$444,$B15,集計用!$Y$2:$Y$444,"*, "&amp;I$4&amp;",*"))/$A15*100</f>
        <v>0</v>
      </c>
      <c r="J15" s="95">
        <f>(COUNTIFS(集計用!$AE$2:$AE$444,$B15,集計用!$Y$2:$Y$444,"*, "&amp;J$4&amp;",*"))/$A15*100</f>
        <v>0</v>
      </c>
      <c r="K15" s="95">
        <f>(COUNTIFS(集計用!$AE$2:$AE$444,$B15,集計用!$Y$2:$Y$444,"*, "&amp;K$4&amp;",*"))/$A15*100</f>
        <v>0</v>
      </c>
      <c r="L15" s="95">
        <f>(COUNTIFS(集計用!$AE$2:$AE$444,$B15,集計用!$Y$2:$Y$444,"*, "&amp;L$4&amp;",*"))/$A15*100</f>
        <v>0</v>
      </c>
      <c r="M15" s="95">
        <f>(COUNTIFS(集計用!$AE$2:$AE$444,$B15,集計用!$Y$2:$Y$444,"*, "&amp;M$4&amp;",*"))/$A15*100</f>
        <v>100</v>
      </c>
      <c r="N15" s="95">
        <f>(COUNTIFS(集計用!$AE$2:$AE$444,$B15,集計用!$Y$2:$Y$444,"*, "&amp;N$4&amp;",*"))/$A15*100</f>
        <v>100</v>
      </c>
      <c r="O15" s="95">
        <f>(COUNTIFS(集計用!$AE$2:$AE$444,$B15,集計用!$Y$2:$Y$444,"*, "&amp;O$4&amp;",*"))/$A15*100</f>
        <v>0</v>
      </c>
      <c r="P15"/>
      <c r="T15" s="2"/>
      <c r="U15" s="14"/>
      <c r="W15" s="14"/>
      <c r="X15" s="41"/>
      <c r="Y15" s="59"/>
    </row>
    <row r="16" spans="1:25" ht="15.75" customHeight="1">
      <c r="B16" s="42"/>
      <c r="C16" s="41"/>
      <c r="D16" s="41"/>
      <c r="E16" s="41"/>
      <c r="F16" s="41"/>
      <c r="G16" s="41"/>
      <c r="H16" s="41"/>
      <c r="I16" s="41"/>
      <c r="J16" s="41"/>
      <c r="K16" s="41"/>
      <c r="L16" s="41"/>
      <c r="M16" s="41"/>
      <c r="N16" s="41"/>
      <c r="O16" s="41"/>
      <c r="P16"/>
      <c r="T16" s="2"/>
      <c r="U16" s="14"/>
      <c r="W16" s="14"/>
      <c r="X16" s="41"/>
      <c r="Y16" s="59"/>
    </row>
    <row r="17" spans="2:25" ht="15.75" customHeight="1">
      <c r="B17" s="42"/>
      <c r="C17" s="41"/>
      <c r="D17" s="41"/>
      <c r="E17" s="41"/>
      <c r="F17" s="41"/>
      <c r="G17" s="41"/>
      <c r="H17" s="41"/>
      <c r="I17" s="41"/>
      <c r="J17" s="41"/>
      <c r="K17" s="41"/>
      <c r="L17" s="41"/>
      <c r="M17" s="41"/>
      <c r="N17" s="41"/>
      <c r="O17" s="41"/>
      <c r="P17"/>
      <c r="T17" s="2"/>
      <c r="U17" s="14"/>
      <c r="W17" s="14"/>
      <c r="X17" s="41"/>
      <c r="Y17" s="59"/>
    </row>
    <row r="18" spans="2:25" ht="15.75" customHeight="1">
      <c r="B18" s="42"/>
      <c r="C18" s="41"/>
      <c r="D18" s="41"/>
      <c r="E18" s="41"/>
      <c r="F18" s="41"/>
      <c r="G18" s="41"/>
      <c r="H18" s="41"/>
      <c r="I18" s="41"/>
      <c r="J18" s="41"/>
      <c r="K18" s="41"/>
      <c r="L18" s="41"/>
      <c r="M18" s="41"/>
      <c r="N18" s="41"/>
      <c r="O18" s="41"/>
      <c r="P18"/>
      <c r="T18" s="2"/>
      <c r="U18" s="14"/>
      <c r="W18" s="14"/>
      <c r="X18" s="41"/>
      <c r="Y18" s="59"/>
    </row>
    <row r="19" spans="2:25" ht="15.75" customHeight="1">
      <c r="B19" s="42"/>
      <c r="C19" s="41"/>
      <c r="D19" s="41"/>
      <c r="E19" s="41"/>
      <c r="F19" s="41"/>
      <c r="G19" s="41"/>
      <c r="H19" s="41"/>
      <c r="I19" s="41"/>
      <c r="J19" s="41"/>
      <c r="K19" s="41"/>
      <c r="L19" s="41"/>
      <c r="M19" s="41"/>
      <c r="N19" s="41"/>
      <c r="O19" s="41"/>
      <c r="P19"/>
      <c r="T19" s="2"/>
      <c r="U19" s="14"/>
      <c r="W19" s="14"/>
      <c r="X19" s="41"/>
      <c r="Y19" s="59"/>
    </row>
    <row r="20" spans="2:25" ht="15.75" customHeight="1">
      <c r="B20" s="42"/>
      <c r="C20" s="41"/>
      <c r="D20" s="41"/>
      <c r="E20" s="41"/>
      <c r="F20" s="41"/>
      <c r="G20" s="41"/>
      <c r="H20" s="41"/>
      <c r="I20" s="41"/>
      <c r="J20" s="41"/>
      <c r="K20" s="41"/>
      <c r="L20" s="41"/>
      <c r="M20" s="41"/>
      <c r="N20" s="41"/>
      <c r="O20" s="41"/>
      <c r="P20"/>
      <c r="S20"/>
      <c r="T20"/>
      <c r="V20"/>
      <c r="X20" s="39"/>
    </row>
    <row r="21" spans="2:25" ht="15.75" customHeight="1">
      <c r="B21" s="42"/>
      <c r="C21" s="41"/>
      <c r="D21" s="41"/>
      <c r="E21" s="41"/>
      <c r="F21" s="41"/>
      <c r="G21" s="41"/>
      <c r="H21" s="41"/>
      <c r="I21" s="41"/>
      <c r="J21" s="41"/>
      <c r="K21" s="41"/>
      <c r="L21" s="41"/>
      <c r="M21" s="41"/>
      <c r="N21" s="41"/>
      <c r="O21" s="41"/>
      <c r="P21"/>
      <c r="S21"/>
      <c r="T21"/>
      <c r="V21"/>
      <c r="X21" s="39"/>
    </row>
    <row r="22" spans="2:25" ht="15.75" customHeight="1">
      <c r="B22" s="42"/>
      <c r="C22" s="41"/>
      <c r="D22" s="41"/>
      <c r="E22" s="41"/>
      <c r="F22" s="41"/>
      <c r="G22" s="41"/>
      <c r="H22" s="41"/>
      <c r="I22" s="41"/>
      <c r="J22" s="41"/>
      <c r="K22" s="41"/>
      <c r="L22" s="41"/>
      <c r="M22" s="41"/>
      <c r="N22" s="41"/>
      <c r="O22" s="41"/>
      <c r="P22"/>
      <c r="S22"/>
      <c r="T22"/>
      <c r="V22"/>
      <c r="X22" s="39"/>
    </row>
    <row r="23" spans="2:25" ht="15.75" customHeight="1">
      <c r="B23" s="42"/>
      <c r="C23" s="41"/>
      <c r="D23" s="41"/>
      <c r="E23" s="41"/>
      <c r="F23" s="41"/>
      <c r="G23" s="41"/>
      <c r="H23" s="41"/>
      <c r="I23" s="41"/>
      <c r="J23" s="41"/>
      <c r="K23" s="41"/>
      <c r="L23" s="41"/>
      <c r="M23" s="41"/>
      <c r="N23" s="41"/>
      <c r="O23" s="41"/>
      <c r="P23"/>
      <c r="S23"/>
      <c r="T23"/>
      <c r="V23"/>
      <c r="X23" s="39"/>
    </row>
    <row r="24" spans="2:25" ht="15.75" customHeight="1">
      <c r="B24" s="42"/>
      <c r="C24" s="41"/>
      <c r="D24" s="41"/>
      <c r="E24" s="41"/>
      <c r="F24" s="41"/>
      <c r="G24" s="41"/>
      <c r="H24" s="41"/>
      <c r="I24" s="41"/>
      <c r="J24" s="41"/>
      <c r="K24" s="41"/>
      <c r="L24" s="41"/>
      <c r="M24" s="41"/>
      <c r="N24" s="41"/>
      <c r="O24" s="41"/>
      <c r="P24"/>
      <c r="S24"/>
      <c r="T24"/>
      <c r="V24"/>
      <c r="X24" s="39"/>
    </row>
    <row r="25" spans="2:25" ht="12.75">
      <c r="B25" s="42"/>
      <c r="C25" s="41"/>
      <c r="D25" s="41"/>
      <c r="E25" s="41"/>
      <c r="F25" s="41"/>
      <c r="G25" s="41"/>
      <c r="H25" s="41"/>
      <c r="I25" s="41"/>
      <c r="J25" s="41"/>
      <c r="K25" s="41"/>
      <c r="L25" s="41"/>
      <c r="M25" s="41"/>
      <c r="N25" s="41"/>
      <c r="O25" s="41"/>
      <c r="P25"/>
      <c r="S25"/>
      <c r="T25"/>
      <c r="V25"/>
      <c r="X25" s="39"/>
    </row>
    <row r="26" spans="2:25" ht="12.75">
      <c r="B26" s="42"/>
      <c r="C26" s="41"/>
      <c r="D26" s="41"/>
      <c r="E26" s="41"/>
      <c r="F26" s="41"/>
      <c r="G26" s="41"/>
      <c r="H26" s="41"/>
      <c r="I26" s="41"/>
      <c r="J26" s="41"/>
      <c r="K26" s="41"/>
      <c r="L26" s="41"/>
      <c r="M26" s="41"/>
      <c r="N26" s="41"/>
      <c r="O26" s="41"/>
      <c r="P26"/>
      <c r="S26"/>
      <c r="T26"/>
      <c r="V26"/>
      <c r="X26" s="39"/>
    </row>
    <row r="27" spans="2:25" ht="12.75">
      <c r="B27" s="42"/>
      <c r="C27" s="41"/>
      <c r="D27" s="41"/>
      <c r="E27" s="41"/>
      <c r="F27" s="41"/>
      <c r="G27" s="41"/>
      <c r="H27" s="41"/>
      <c r="I27" s="41"/>
      <c r="J27" s="41"/>
      <c r="K27" s="41"/>
      <c r="L27" s="41"/>
      <c r="M27" s="41"/>
      <c r="N27" s="41"/>
      <c r="O27" s="41"/>
      <c r="P27"/>
      <c r="S27"/>
      <c r="T27"/>
      <c r="V27"/>
      <c r="X27" s="39"/>
    </row>
    <row r="28" spans="2:25" ht="15.75" customHeight="1">
      <c r="B28" s="42"/>
      <c r="C28" s="41"/>
      <c r="D28" s="41"/>
      <c r="E28" s="41"/>
      <c r="F28" s="41"/>
      <c r="G28" s="41"/>
      <c r="H28" s="41"/>
      <c r="I28" s="41"/>
      <c r="J28" s="41"/>
      <c r="K28" s="41"/>
      <c r="L28" s="41"/>
      <c r="M28" s="41"/>
      <c r="N28" s="41"/>
      <c r="O28" s="41"/>
      <c r="P28"/>
      <c r="S28"/>
      <c r="T28"/>
      <c r="V28"/>
      <c r="X28" s="39"/>
    </row>
    <row r="29" spans="2:25" ht="15.75" customHeight="1">
      <c r="B29" s="42"/>
      <c r="C29" s="41"/>
      <c r="D29" s="41"/>
      <c r="E29" s="41"/>
      <c r="F29" s="41"/>
      <c r="G29" s="41"/>
      <c r="H29" s="41"/>
      <c r="I29" s="41"/>
      <c r="J29" s="41"/>
      <c r="K29" s="41"/>
      <c r="L29" s="41"/>
      <c r="M29" s="41"/>
      <c r="N29" s="41"/>
      <c r="O29" s="41"/>
      <c r="P29" s="41"/>
      <c r="Q29" s="41"/>
      <c r="R29" s="41"/>
      <c r="S29" s="41"/>
      <c r="T29" s="41"/>
      <c r="U29" s="41"/>
      <c r="V29" s="41"/>
      <c r="X29" s="39"/>
    </row>
    <row r="30" spans="2:25" ht="12.75">
      <c r="B30" s="42"/>
      <c r="C30" s="41"/>
      <c r="D30" s="41"/>
      <c r="E30" s="41"/>
      <c r="F30" s="41"/>
      <c r="G30" s="41"/>
      <c r="H30" s="41"/>
      <c r="I30" s="41"/>
      <c r="J30" s="41"/>
      <c r="K30" s="41"/>
      <c r="L30" s="41"/>
      <c r="M30" s="41"/>
      <c r="N30" s="41"/>
      <c r="O30" s="41"/>
      <c r="P30" s="41"/>
      <c r="Q30" s="41"/>
      <c r="R30" s="41"/>
      <c r="S30" s="41"/>
      <c r="T30" s="41"/>
      <c r="U30" s="41"/>
      <c r="V30" s="41"/>
      <c r="X30" s="39"/>
    </row>
    <row r="31" spans="2:25" ht="15.75" customHeight="1">
      <c r="B31" s="42"/>
      <c r="C31" s="41"/>
      <c r="D31" s="41"/>
      <c r="E31" s="41"/>
      <c r="F31" s="41"/>
      <c r="G31" s="41"/>
      <c r="H31" s="41"/>
      <c r="I31" s="41"/>
      <c r="J31" s="41"/>
      <c r="K31" s="41"/>
      <c r="L31" s="41"/>
      <c r="M31" s="41"/>
      <c r="N31" s="41"/>
      <c r="O31" s="41"/>
      <c r="P31" s="41"/>
      <c r="Q31" s="41"/>
      <c r="R31" s="41"/>
      <c r="S31" s="41"/>
      <c r="T31" s="41"/>
      <c r="U31" s="41"/>
      <c r="V31" s="41"/>
      <c r="X31" s="39"/>
    </row>
    <row r="32" spans="2:25" ht="12.75">
      <c r="B32" s="42"/>
      <c r="C32" s="41"/>
      <c r="D32" s="41"/>
      <c r="E32" s="41"/>
      <c r="F32" s="41"/>
      <c r="G32" s="41"/>
      <c r="H32" s="41"/>
      <c r="I32" s="41"/>
      <c r="J32" s="41"/>
      <c r="K32" s="41"/>
      <c r="L32" s="41"/>
      <c r="M32" s="41"/>
      <c r="N32" s="41"/>
      <c r="O32" s="41"/>
      <c r="P32" s="41"/>
      <c r="Q32" s="41"/>
      <c r="R32" s="41"/>
      <c r="S32" s="41"/>
      <c r="T32" s="41"/>
      <c r="U32" s="41"/>
      <c r="V32" s="41"/>
      <c r="X32" s="39"/>
    </row>
    <row r="33" spans="2:24" ht="12.75">
      <c r="B33" s="42"/>
      <c r="C33" s="41"/>
      <c r="D33" s="41"/>
      <c r="E33" s="41"/>
      <c r="F33" s="41"/>
      <c r="G33" s="41"/>
      <c r="H33" s="41"/>
      <c r="I33" s="41"/>
      <c r="J33" s="41"/>
      <c r="K33" s="41"/>
      <c r="L33" s="41"/>
      <c r="M33" s="41"/>
      <c r="N33" s="41"/>
      <c r="O33" s="41"/>
      <c r="P33" s="41"/>
      <c r="Q33" s="41"/>
      <c r="R33" s="41"/>
      <c r="S33" s="41"/>
      <c r="T33" s="41"/>
      <c r="U33" s="41"/>
      <c r="V33" s="41"/>
      <c r="X33" s="39"/>
    </row>
    <row r="34" spans="2:24" ht="12.75">
      <c r="B34" s="42"/>
      <c r="C34" s="41"/>
      <c r="D34" s="41"/>
      <c r="E34" s="41"/>
      <c r="F34" s="41"/>
      <c r="G34" s="41"/>
      <c r="H34" s="41"/>
      <c r="I34" s="41"/>
      <c r="J34" s="41"/>
      <c r="K34" s="41"/>
      <c r="L34" s="41"/>
      <c r="M34" s="41"/>
      <c r="N34" s="41"/>
      <c r="O34" s="41"/>
      <c r="P34" s="41"/>
      <c r="Q34" s="41"/>
      <c r="R34" s="41"/>
      <c r="S34" s="41"/>
      <c r="T34" s="41"/>
      <c r="U34" s="41"/>
      <c r="V34" s="41"/>
      <c r="X34" s="39"/>
    </row>
    <row r="35" spans="2:24" ht="15.75" customHeight="1">
      <c r="B35" s="42"/>
      <c r="C35" s="41"/>
      <c r="D35" s="41"/>
      <c r="E35" s="41"/>
      <c r="F35" s="41"/>
      <c r="G35" s="41"/>
      <c r="H35" s="41"/>
      <c r="I35" s="41"/>
      <c r="J35" s="41"/>
      <c r="K35" s="41"/>
      <c r="L35" s="41"/>
      <c r="M35" s="41"/>
      <c r="N35" s="41"/>
      <c r="O35" s="41"/>
      <c r="P35" s="41"/>
      <c r="Q35" s="41"/>
      <c r="R35" s="41"/>
      <c r="S35" s="41"/>
      <c r="T35" s="41"/>
      <c r="U35" s="41"/>
      <c r="V35" s="41"/>
      <c r="X35" s="39"/>
    </row>
    <row r="36" spans="2:24" ht="15.75" customHeight="1">
      <c r="B36" s="42"/>
      <c r="C36" s="41"/>
      <c r="D36" s="41"/>
      <c r="E36" s="41"/>
      <c r="F36" s="41"/>
      <c r="G36" s="41"/>
      <c r="H36" s="41"/>
      <c r="I36" s="41"/>
      <c r="J36" s="41"/>
      <c r="K36" s="41"/>
      <c r="L36" s="41"/>
      <c r="M36" s="41"/>
      <c r="N36" s="41"/>
      <c r="O36" s="41"/>
      <c r="P36" s="41"/>
      <c r="Q36" s="41"/>
      <c r="R36" s="41"/>
      <c r="S36" s="41"/>
      <c r="T36" s="41"/>
      <c r="U36" s="41"/>
      <c r="V36" s="41"/>
      <c r="X36" s="39"/>
    </row>
    <row r="37" spans="2:24" ht="15.75" customHeight="1">
      <c r="B37" s="42"/>
      <c r="C37" s="41"/>
      <c r="D37" s="41"/>
      <c r="E37" s="41"/>
      <c r="F37" s="41"/>
      <c r="G37" s="41"/>
      <c r="H37" s="41"/>
      <c r="I37" s="41"/>
      <c r="J37" s="41"/>
      <c r="K37" s="41"/>
      <c r="L37" s="41"/>
      <c r="M37" s="41"/>
      <c r="N37" s="41"/>
      <c r="O37" s="41"/>
      <c r="P37" s="41"/>
      <c r="Q37" s="41"/>
      <c r="R37" s="41"/>
      <c r="S37" s="41"/>
      <c r="T37" s="41"/>
      <c r="U37" s="41"/>
      <c r="V37" s="41"/>
      <c r="X37" s="39"/>
    </row>
    <row r="38" spans="2:24" ht="15.75" customHeight="1">
      <c r="B38" s="42"/>
      <c r="C38" s="41"/>
      <c r="D38" s="41"/>
      <c r="E38" s="41"/>
      <c r="F38" s="41"/>
      <c r="G38" s="41"/>
      <c r="H38" s="41"/>
      <c r="I38" s="41"/>
      <c r="J38" s="41"/>
      <c r="K38" s="41"/>
      <c r="L38" s="41"/>
      <c r="M38" s="41"/>
      <c r="N38" s="41"/>
      <c r="O38" s="41"/>
      <c r="P38" s="41"/>
      <c r="Q38" s="41"/>
      <c r="R38" s="41"/>
      <c r="S38" s="41"/>
      <c r="T38" s="41"/>
      <c r="U38" s="41"/>
      <c r="V38" s="41"/>
      <c r="X38" s="39"/>
    </row>
    <row r="39" spans="2:24" ht="12.75">
      <c r="B39" s="42"/>
      <c r="C39" s="41"/>
      <c r="D39" s="41"/>
      <c r="E39" s="41"/>
      <c r="F39" s="41"/>
      <c r="G39" s="41"/>
      <c r="H39" s="41"/>
      <c r="I39" s="41"/>
      <c r="J39" s="41"/>
      <c r="K39" s="41"/>
      <c r="L39" s="41"/>
      <c r="M39" s="41"/>
      <c r="N39" s="41"/>
      <c r="O39" s="41"/>
      <c r="P39" s="41"/>
      <c r="Q39" s="41"/>
      <c r="R39" s="41"/>
      <c r="S39" s="41"/>
      <c r="T39" s="41"/>
      <c r="U39" s="41"/>
      <c r="V39" s="41"/>
      <c r="X39" s="39"/>
    </row>
    <row r="40" spans="2:24" ht="12.75">
      <c r="B40" s="42"/>
      <c r="C40" s="41"/>
      <c r="D40" s="41"/>
      <c r="E40" s="41"/>
      <c r="F40" s="41"/>
      <c r="G40" s="41"/>
      <c r="H40" s="41"/>
      <c r="I40" s="41"/>
      <c r="J40" s="41"/>
      <c r="K40" s="41"/>
      <c r="L40" s="41"/>
      <c r="M40" s="41"/>
      <c r="N40" s="41"/>
      <c r="O40" s="41"/>
      <c r="P40" s="41"/>
      <c r="Q40" s="41"/>
      <c r="R40" s="41"/>
      <c r="S40" s="41"/>
      <c r="T40" s="41"/>
      <c r="U40" s="41"/>
      <c r="V40" s="41"/>
      <c r="X40" s="39"/>
    </row>
    <row r="41" spans="2:24" ht="12.75">
      <c r="B41" s="42"/>
      <c r="C41" s="41"/>
      <c r="D41" s="41"/>
      <c r="E41" s="41"/>
      <c r="F41" s="41"/>
      <c r="G41" s="41"/>
      <c r="H41" s="41"/>
      <c r="I41" s="41"/>
      <c r="J41" s="41"/>
      <c r="K41" s="41"/>
      <c r="L41" s="41"/>
      <c r="M41" s="41"/>
      <c r="N41" s="41"/>
      <c r="O41" s="41"/>
      <c r="P41" s="41"/>
      <c r="Q41" s="41"/>
      <c r="R41" s="41"/>
      <c r="S41" s="41"/>
      <c r="T41" s="41"/>
      <c r="U41" s="41"/>
      <c r="V41" s="41"/>
      <c r="X41" s="39"/>
    </row>
    <row r="42" spans="2:24" ht="12.75">
      <c r="B42" s="42"/>
      <c r="C42" s="41"/>
      <c r="D42" s="41"/>
      <c r="E42" s="41"/>
      <c r="F42" s="41"/>
      <c r="G42" s="41"/>
      <c r="H42" s="41"/>
      <c r="I42" s="41"/>
      <c r="J42" s="41"/>
      <c r="K42" s="41"/>
      <c r="L42" s="41"/>
      <c r="M42" s="41"/>
      <c r="N42" s="41"/>
      <c r="O42" s="41"/>
      <c r="P42" s="41"/>
      <c r="Q42" s="41"/>
      <c r="R42" s="41"/>
      <c r="S42" s="41"/>
      <c r="T42" s="41"/>
      <c r="U42" s="41"/>
      <c r="V42" s="41"/>
      <c r="X42" s="39"/>
    </row>
    <row r="43" spans="2:24" ht="12.75">
      <c r="B43" s="42"/>
      <c r="C43" s="41"/>
      <c r="D43" s="41"/>
      <c r="E43" s="41"/>
      <c r="F43" s="41"/>
      <c r="G43" s="41"/>
      <c r="H43" s="41"/>
      <c r="I43" s="41"/>
      <c r="J43" s="41"/>
      <c r="K43" s="41"/>
      <c r="L43" s="41"/>
      <c r="M43" s="41"/>
      <c r="N43" s="41"/>
      <c r="O43" s="41"/>
      <c r="P43" s="41"/>
      <c r="Q43" s="41"/>
      <c r="R43" s="41"/>
      <c r="S43" s="41"/>
      <c r="T43" s="41"/>
      <c r="U43" s="41"/>
      <c r="V43" s="41"/>
      <c r="X43" s="39"/>
    </row>
    <row r="44" spans="2:24" ht="12.75">
      <c r="B44" s="42"/>
      <c r="C44" s="41"/>
      <c r="D44" s="41"/>
      <c r="E44" s="41"/>
      <c r="F44" s="41"/>
      <c r="G44" s="41"/>
      <c r="H44" s="41"/>
      <c r="I44" s="41"/>
      <c r="J44" s="41"/>
      <c r="K44" s="41"/>
      <c r="L44" s="41"/>
      <c r="M44" s="41"/>
      <c r="N44" s="41"/>
      <c r="O44" s="41"/>
      <c r="P44" s="41"/>
      <c r="Q44" s="41"/>
      <c r="R44" s="41"/>
      <c r="S44" s="41"/>
      <c r="T44" s="41"/>
      <c r="U44" s="41"/>
      <c r="V44" s="41"/>
      <c r="X44" s="39"/>
    </row>
    <row r="45" spans="2:24" ht="14.25" customHeight="1">
      <c r="B45" s="42"/>
      <c r="C45" s="41"/>
      <c r="D45" s="41"/>
      <c r="E45" s="41"/>
      <c r="F45" s="41"/>
      <c r="G45" s="41"/>
      <c r="H45" s="41"/>
      <c r="I45" s="41"/>
      <c r="J45" s="41"/>
      <c r="K45" s="41"/>
      <c r="L45" s="41"/>
      <c r="M45" s="41"/>
      <c r="N45" s="41"/>
      <c r="O45" s="41"/>
      <c r="P45" s="41"/>
      <c r="Q45" s="41"/>
      <c r="R45" s="41"/>
      <c r="S45" s="41"/>
      <c r="T45" s="41"/>
      <c r="U45" s="41"/>
      <c r="V45" s="41"/>
      <c r="X45" s="39"/>
    </row>
    <row r="46" spans="2:24" ht="14.25" customHeight="1">
      <c r="B46" s="42"/>
      <c r="C46" s="41"/>
      <c r="D46" s="41"/>
      <c r="E46" s="41"/>
      <c r="F46" s="41"/>
      <c r="G46" s="41"/>
      <c r="H46" s="41"/>
      <c r="I46" s="41"/>
      <c r="J46" s="41"/>
      <c r="K46" s="41"/>
      <c r="L46" s="41"/>
      <c r="M46" s="41"/>
      <c r="N46" s="41"/>
      <c r="O46" s="41"/>
      <c r="P46" s="41"/>
      <c r="Q46" s="41"/>
      <c r="R46" s="41"/>
      <c r="S46" s="41"/>
      <c r="T46" s="41"/>
      <c r="U46" s="41"/>
      <c r="V46" s="41"/>
      <c r="X46" s="39"/>
    </row>
    <row r="47" spans="2:24" ht="14.25" customHeight="1">
      <c r="B47" s="42"/>
      <c r="C47" s="41"/>
      <c r="D47" s="41"/>
      <c r="E47" s="41"/>
      <c r="F47" s="41"/>
      <c r="G47" s="41"/>
      <c r="H47" s="41"/>
      <c r="I47" s="41"/>
      <c r="J47" s="41"/>
      <c r="K47" s="41"/>
      <c r="L47" s="41"/>
      <c r="M47" s="41"/>
      <c r="N47" s="41"/>
      <c r="O47" s="41"/>
      <c r="P47" s="41"/>
      <c r="Q47" s="41"/>
      <c r="R47" s="41"/>
      <c r="S47" s="41"/>
      <c r="T47" s="41"/>
      <c r="U47" s="41"/>
      <c r="V47" s="41"/>
      <c r="X47" s="39"/>
    </row>
    <row r="48" spans="2:24" ht="12.75">
      <c r="B48" s="42"/>
      <c r="C48" s="41"/>
      <c r="D48" s="41"/>
      <c r="E48" s="41"/>
      <c r="F48" s="41"/>
      <c r="G48" s="41"/>
      <c r="H48" s="41"/>
      <c r="I48" s="41"/>
      <c r="J48" s="41"/>
      <c r="K48" s="41"/>
      <c r="L48" s="41"/>
      <c r="M48" s="41"/>
      <c r="N48" s="41"/>
      <c r="O48" s="41"/>
      <c r="P48" s="41"/>
      <c r="Q48" s="41"/>
      <c r="R48" s="41"/>
      <c r="S48" s="41"/>
      <c r="T48" s="41"/>
      <c r="U48" s="41"/>
      <c r="V48" s="41"/>
      <c r="X48" s="39"/>
    </row>
    <row r="49" spans="2:29" ht="14.25" customHeight="1">
      <c r="B49" s="42"/>
      <c r="C49" s="41"/>
      <c r="D49" s="41"/>
      <c r="E49" s="41"/>
      <c r="F49" s="41"/>
      <c r="G49" s="41"/>
      <c r="H49" s="41"/>
      <c r="I49" s="41"/>
      <c r="J49" s="41"/>
      <c r="K49" s="41"/>
      <c r="L49" s="41"/>
      <c r="M49" s="41"/>
      <c r="N49" s="41"/>
      <c r="O49" s="41"/>
      <c r="P49" s="41"/>
      <c r="Q49" s="41"/>
      <c r="R49" s="41"/>
      <c r="S49" s="41"/>
      <c r="T49" s="41"/>
      <c r="U49" s="41"/>
      <c r="V49" s="41"/>
      <c r="X49" s="39"/>
    </row>
    <row r="50" spans="2:29" ht="14.25" customHeight="1">
      <c r="B50" s="42"/>
      <c r="C50" s="41"/>
      <c r="D50" s="41"/>
      <c r="E50" s="41"/>
      <c r="F50" s="41"/>
      <c r="G50" s="41"/>
      <c r="H50" s="41"/>
      <c r="I50" s="41"/>
      <c r="J50" s="41"/>
      <c r="K50" s="41"/>
      <c r="L50" s="41"/>
      <c r="M50" s="41"/>
      <c r="N50" s="41"/>
      <c r="O50" s="41"/>
      <c r="P50" s="41"/>
      <c r="Q50" s="41"/>
      <c r="R50" s="41"/>
      <c r="S50" s="41"/>
      <c r="T50" s="41"/>
      <c r="U50" s="41"/>
      <c r="V50" s="41"/>
      <c r="X50" s="39"/>
    </row>
    <row r="51" spans="2:29" ht="14.25" customHeight="1">
      <c r="B51" s="42"/>
      <c r="C51" s="41"/>
      <c r="D51" s="41"/>
      <c r="E51" s="41"/>
      <c r="F51" s="41"/>
      <c r="G51" s="41"/>
      <c r="H51" s="41"/>
      <c r="I51" s="41"/>
      <c r="J51" s="41"/>
      <c r="K51" s="41"/>
      <c r="L51" s="41"/>
      <c r="M51" s="41"/>
      <c r="N51" s="41"/>
      <c r="O51" s="41"/>
      <c r="P51" s="41"/>
      <c r="Q51" s="41"/>
      <c r="R51" s="41"/>
      <c r="S51" s="41"/>
      <c r="T51" s="41"/>
      <c r="U51" s="41"/>
      <c r="V51" s="41"/>
      <c r="X51" s="39"/>
    </row>
    <row r="52" spans="2:29" ht="14.25" customHeight="1">
      <c r="B52" s="42"/>
      <c r="C52" s="41"/>
      <c r="D52" s="41"/>
      <c r="E52" s="41"/>
      <c r="F52" s="41"/>
      <c r="G52" s="41"/>
      <c r="H52" s="41"/>
      <c r="I52" s="41"/>
      <c r="J52" s="41"/>
      <c r="K52" s="41"/>
      <c r="L52" s="41"/>
      <c r="M52" s="41"/>
      <c r="N52" s="41"/>
      <c r="O52" s="41"/>
      <c r="P52" s="41"/>
      <c r="Q52" s="41"/>
      <c r="R52" s="41"/>
      <c r="S52" s="41"/>
      <c r="T52" s="41"/>
      <c r="U52" s="41"/>
      <c r="V52" s="41"/>
      <c r="X52" s="39"/>
    </row>
    <row r="53" spans="2:29" ht="14.25" customHeight="1">
      <c r="B53" s="42"/>
      <c r="C53" s="41"/>
      <c r="D53" s="41"/>
      <c r="E53" s="41"/>
      <c r="F53" s="41"/>
      <c r="G53" s="41"/>
      <c r="H53" s="41"/>
      <c r="I53" s="41"/>
      <c r="J53" s="41"/>
      <c r="K53" s="41"/>
      <c r="L53" s="41"/>
      <c r="M53" s="41"/>
      <c r="N53" s="41"/>
      <c r="O53" s="41"/>
      <c r="P53" s="41"/>
      <c r="Q53" s="41"/>
      <c r="R53" s="41"/>
      <c r="S53" s="41"/>
      <c r="T53" s="41"/>
      <c r="U53" s="41"/>
      <c r="V53" s="41"/>
      <c r="X53" s="39"/>
    </row>
    <row r="54" spans="2:29" ht="14.25" customHeight="1">
      <c r="B54" s="42"/>
      <c r="C54" s="41"/>
      <c r="D54" s="41"/>
      <c r="E54" s="41"/>
      <c r="F54" s="41"/>
      <c r="G54" s="41"/>
      <c r="H54" s="41"/>
      <c r="I54" s="41"/>
      <c r="J54" s="41"/>
      <c r="K54" s="41"/>
      <c r="L54" s="41"/>
      <c r="M54" s="41"/>
      <c r="N54" s="41"/>
      <c r="O54" s="41"/>
      <c r="P54" s="41"/>
      <c r="Q54" s="41"/>
      <c r="R54" s="41"/>
      <c r="S54" s="41"/>
      <c r="T54" s="41"/>
      <c r="U54" s="41"/>
      <c r="V54" s="41"/>
      <c r="X54" s="39"/>
    </row>
    <row r="55" spans="2:29" ht="12.75">
      <c r="B55" s="42"/>
      <c r="C55" s="41"/>
      <c r="D55" s="41"/>
      <c r="E55" s="41"/>
      <c r="F55" s="41"/>
      <c r="G55" s="41"/>
      <c r="H55" s="41"/>
      <c r="I55" s="41"/>
      <c r="J55" s="41"/>
      <c r="K55" s="41"/>
      <c r="L55" s="41"/>
      <c r="M55" s="41"/>
      <c r="N55" s="41"/>
      <c r="O55" s="41"/>
      <c r="P55" s="41"/>
      <c r="Q55" s="41"/>
      <c r="R55" s="41"/>
      <c r="S55" s="41"/>
      <c r="T55" s="41"/>
      <c r="U55" s="41"/>
      <c r="V55" s="41"/>
      <c r="X55" s="39"/>
    </row>
    <row r="56" spans="2:29" ht="14.25" customHeight="1">
      <c r="B56" s="42"/>
      <c r="C56" s="41"/>
      <c r="D56" s="41"/>
      <c r="E56" s="41"/>
      <c r="F56" s="41"/>
      <c r="G56" s="41"/>
      <c r="H56" s="41"/>
      <c r="I56" s="41"/>
      <c r="J56" s="41"/>
      <c r="K56" s="41"/>
      <c r="L56" s="41"/>
      <c r="M56" s="41"/>
      <c r="N56" s="41"/>
      <c r="O56" s="41"/>
      <c r="P56" s="41"/>
      <c r="Q56" s="41"/>
      <c r="R56" s="41"/>
      <c r="S56" s="41"/>
      <c r="T56" s="41"/>
      <c r="U56" s="41"/>
      <c r="V56" s="41"/>
      <c r="X56" s="39"/>
    </row>
    <row r="57" spans="2:29" ht="14.25" customHeight="1">
      <c r="B57" s="42"/>
      <c r="C57" s="41"/>
      <c r="D57" s="41"/>
      <c r="E57" s="41"/>
      <c r="F57" s="41"/>
      <c r="G57" s="41"/>
      <c r="H57" s="41"/>
      <c r="I57" s="41"/>
      <c r="J57" s="41"/>
      <c r="K57" s="41"/>
      <c r="L57" s="41"/>
      <c r="M57" s="41"/>
      <c r="N57" s="41"/>
      <c r="O57" s="41"/>
      <c r="P57" s="41"/>
      <c r="Q57" s="41"/>
      <c r="R57" s="41"/>
      <c r="S57" s="41"/>
      <c r="T57" s="41"/>
      <c r="U57" s="41"/>
      <c r="V57" s="41"/>
      <c r="X57" s="39"/>
    </row>
    <row r="58" spans="2:29" ht="14.25" customHeight="1">
      <c r="B58" s="42"/>
      <c r="C58" s="41"/>
      <c r="D58" s="41"/>
      <c r="E58" s="41"/>
      <c r="F58" s="41"/>
      <c r="G58" s="41"/>
      <c r="H58" s="41"/>
      <c r="I58" s="41"/>
      <c r="J58" s="41"/>
      <c r="K58" s="41"/>
      <c r="L58" s="41"/>
      <c r="M58" s="41"/>
      <c r="N58" s="41"/>
      <c r="O58" s="41"/>
      <c r="P58" s="41"/>
      <c r="Q58" s="41"/>
      <c r="R58" s="41"/>
      <c r="S58" s="41"/>
      <c r="T58" s="41"/>
      <c r="U58" s="41"/>
      <c r="V58" s="41"/>
      <c r="X58" s="39"/>
    </row>
    <row r="59" spans="2:29" ht="14.25" customHeight="1">
      <c r="B59" s="42"/>
      <c r="C59" s="41"/>
      <c r="D59" s="41"/>
      <c r="E59" s="41"/>
      <c r="F59" s="41"/>
      <c r="G59" s="41"/>
      <c r="H59" s="41"/>
      <c r="I59" s="41"/>
      <c r="J59" s="41"/>
      <c r="K59" s="41"/>
      <c r="L59" s="41"/>
      <c r="M59" s="41"/>
      <c r="N59" s="41"/>
      <c r="O59" s="41"/>
      <c r="P59" s="41"/>
      <c r="Q59" s="41"/>
      <c r="R59" s="41"/>
      <c r="S59" s="41"/>
      <c r="T59" s="41"/>
      <c r="U59" s="41"/>
      <c r="V59" s="41"/>
      <c r="X59" s="39"/>
    </row>
    <row r="60" spans="2:29" ht="12.75">
      <c r="B60" s="42"/>
      <c r="C60" s="41"/>
      <c r="D60" s="41"/>
      <c r="E60" s="41"/>
      <c r="F60" s="41"/>
      <c r="G60" s="41"/>
      <c r="H60" s="41"/>
      <c r="I60" s="41"/>
      <c r="J60" s="41"/>
      <c r="K60" s="41"/>
      <c r="L60" s="41"/>
      <c r="M60" s="41"/>
      <c r="N60" s="41"/>
      <c r="O60" s="41"/>
      <c r="P60" s="41"/>
      <c r="Q60" s="41"/>
      <c r="R60" s="41"/>
      <c r="S60" s="41"/>
      <c r="T60" s="41"/>
      <c r="U60" s="41"/>
      <c r="V60" s="41"/>
      <c r="X60" s="39"/>
    </row>
    <row r="61" spans="2:29" ht="14.25" customHeight="1">
      <c r="B61" s="42"/>
      <c r="C61" s="41"/>
      <c r="D61" s="41"/>
      <c r="E61" s="41"/>
      <c r="F61" s="41"/>
      <c r="G61" s="41"/>
      <c r="H61" s="41"/>
      <c r="I61" s="41"/>
      <c r="J61" s="41"/>
      <c r="K61" s="41"/>
      <c r="L61" s="41"/>
      <c r="M61" s="41"/>
      <c r="N61" s="41"/>
      <c r="O61" s="41"/>
      <c r="P61" s="41"/>
      <c r="Q61" s="41"/>
      <c r="R61" s="41"/>
      <c r="S61" s="41"/>
      <c r="T61" s="41"/>
      <c r="U61" s="41"/>
      <c r="V61" s="41"/>
      <c r="X61" s="39"/>
    </row>
    <row r="62" spans="2:29" ht="14.25" customHeight="1">
      <c r="B62" s="42"/>
      <c r="C62" s="41"/>
      <c r="D62" s="41"/>
      <c r="E62" s="41"/>
      <c r="F62" s="41"/>
      <c r="G62" s="41"/>
      <c r="H62" s="41"/>
      <c r="I62" s="41"/>
      <c r="J62" s="41"/>
      <c r="K62" s="41"/>
      <c r="L62" s="41"/>
      <c r="M62" s="41"/>
      <c r="N62" s="41"/>
      <c r="O62" s="41"/>
      <c r="P62" s="41"/>
      <c r="Q62" s="41"/>
      <c r="R62" s="41"/>
      <c r="S62" s="41"/>
      <c r="T62" s="41"/>
      <c r="U62" s="41"/>
      <c r="V62" s="41"/>
      <c r="X62" s="39"/>
    </row>
    <row r="63" spans="2:29" ht="14.25" customHeight="1">
      <c r="B63" s="43"/>
      <c r="C63" s="44"/>
      <c r="D63" s="44"/>
      <c r="E63" s="44"/>
      <c r="F63" s="44"/>
      <c r="G63" s="44"/>
      <c r="H63" s="44"/>
      <c r="I63" s="44"/>
      <c r="J63" s="44"/>
      <c r="K63" s="44"/>
      <c r="AC63" s="44"/>
    </row>
    <row r="64" spans="2:29" ht="12.75">
      <c r="B64" s="43"/>
      <c r="C64" s="44"/>
      <c r="D64" s="44"/>
      <c r="E64" s="44"/>
      <c r="F64" s="44"/>
      <c r="G64" s="44"/>
      <c r="H64" s="44"/>
      <c r="I64" s="44"/>
      <c r="J64" s="44"/>
      <c r="K64" s="44"/>
      <c r="AC64" s="44"/>
    </row>
    <row r="65" spans="2:29" ht="15.75" customHeight="1">
      <c r="B65" s="43"/>
      <c r="C65" s="44"/>
      <c r="D65" s="44"/>
      <c r="E65" s="44"/>
      <c r="F65" s="44"/>
      <c r="G65" s="44"/>
      <c r="H65" s="44"/>
      <c r="I65" s="44"/>
      <c r="J65" s="44"/>
      <c r="K65" s="44"/>
      <c r="AC65" s="44"/>
    </row>
    <row r="66" spans="2:29" ht="15.75" customHeight="1">
      <c r="B66" s="43"/>
      <c r="C66" s="44"/>
      <c r="D66" s="44"/>
      <c r="E66" s="44"/>
      <c r="F66" s="44"/>
      <c r="G66" s="44"/>
      <c r="H66" s="44"/>
      <c r="I66" s="44"/>
      <c r="J66" s="44"/>
      <c r="K66" s="44"/>
      <c r="AC66" s="44"/>
    </row>
    <row r="67" spans="2:29" ht="15.75" customHeight="1">
      <c r="B67" s="43"/>
      <c r="C67" s="44"/>
      <c r="D67" s="44"/>
      <c r="E67" s="44"/>
      <c r="F67" s="44"/>
      <c r="G67" s="44"/>
      <c r="H67" s="44"/>
      <c r="I67" s="44"/>
      <c r="J67" s="44"/>
      <c r="K67" s="44"/>
      <c r="AC67" s="44"/>
    </row>
    <row r="68" spans="2:29" ht="15.75" customHeight="1">
      <c r="B68" s="43"/>
      <c r="C68" s="44"/>
      <c r="D68" s="44"/>
      <c r="E68" s="44"/>
      <c r="F68" s="44"/>
      <c r="G68" s="44"/>
      <c r="H68" s="44"/>
      <c r="I68" s="44"/>
      <c r="J68" s="44"/>
      <c r="K68" s="44"/>
      <c r="AC68" s="44"/>
    </row>
  </sheetData>
  <phoneticPr fontId="8"/>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6A58-1DBD-4FA0-BBC7-460FCD742EC5}">
  <sheetPr>
    <outlinePr summaryBelow="0" summaryRight="0"/>
  </sheetPr>
  <dimension ref="A1:AA68"/>
  <sheetViews>
    <sheetView zoomScale="70" zoomScaleNormal="70" workbookViewId="0">
      <selection activeCell="A2" sqref="A2"/>
    </sheetView>
  </sheetViews>
  <sheetFormatPr defaultColWidth="12.5703125" defaultRowHeight="15.75" customHeight="1"/>
  <cols>
    <col min="1" max="2" width="12.5703125" style="39"/>
    <col min="3" max="3" width="26.7109375" style="39" customWidth="1"/>
    <col min="4" max="4" width="23.5703125" style="39" customWidth="1"/>
    <col min="5" max="9" width="13.7109375" style="39" bestFit="1" customWidth="1"/>
    <col min="10" max="10" width="12.5703125" style="39"/>
    <col min="11" max="12" width="13.7109375" style="39" bestFit="1" customWidth="1"/>
    <col min="14" max="14" width="14.85546875" style="39" bestFit="1" customWidth="1"/>
    <col min="17" max="18" width="12.5703125" style="39"/>
    <col min="20" max="21" width="12.5703125" style="39"/>
    <col min="23" max="26" width="12.5703125" style="39"/>
    <col min="27" max="27" width="13.7109375" style="39" bestFit="1" customWidth="1"/>
    <col min="28" max="16384" width="12.5703125" style="39"/>
  </cols>
  <sheetData>
    <row r="1" spans="1:26" ht="15.75" customHeight="1">
      <c r="A1" s="38" t="s">
        <v>2452</v>
      </c>
      <c r="M1" s="39"/>
      <c r="N1"/>
      <c r="Q1"/>
      <c r="R1"/>
      <c r="T1"/>
      <c r="V1" s="39"/>
    </row>
    <row r="2" spans="1:26" ht="15.75" customHeight="1">
      <c r="A2" s="38"/>
      <c r="D2" s="86" t="s">
        <v>2286</v>
      </c>
      <c r="M2" s="39"/>
      <c r="N2"/>
      <c r="Q2"/>
      <c r="R2"/>
      <c r="T2"/>
      <c r="V2" s="39"/>
    </row>
    <row r="3" spans="1:26" ht="13.5" customHeight="1">
      <c r="C3" s="86" t="s">
        <v>2261</v>
      </c>
      <c r="D3" s="39">
        <f>(COUNTIFS(集計用!$AA:$AA, "*, "&amp;テーブル210111214265[[#Headers],[顔にかかわる手術]]&amp;",*"))</f>
        <v>30</v>
      </c>
      <c r="E3" s="39">
        <f>(COUNTIFS(集計用!$AA:$AA, "*, "&amp;テーブル210111214265[[#Headers],[胸部の手術]]&amp;",*"))</f>
        <v>133</v>
      </c>
      <c r="F3" s="39">
        <f>(COUNTIFS(集計用!$AA:$AA, "*, "&amp;テーブル210111214265[[#Headers],[抗ホルモン療法]]&amp;",*"))</f>
        <v>39</v>
      </c>
      <c r="G3" s="39">
        <f>(COUNTIFS(集計用!$AA:$AA, "*, "&amp;テーブル210111214265[[#Headers],[戸籍名の変更]]&amp;",*"))</f>
        <v>103</v>
      </c>
      <c r="H3" s="39">
        <f>(COUNTIFS(集計用!$AA:$AA, "*, "&amp;テーブル210111214265[[#Headers],[戸籍上の性別の変更]]&amp;",*"))</f>
        <v>117</v>
      </c>
      <c r="I3" s="39">
        <f>(COUNTIFS(集計用!$AA:$AA, "*, "&amp;テーブル210111214265[[#Headers],[性器にかかわる手術]]&amp;",*"))</f>
        <v>81</v>
      </c>
      <c r="J3" s="39">
        <f>(COUNTIFS(集計用!$AA:$AA, "*, "&amp;テーブル210111214265[[#Headers],[声帯にかかわる手術]]&amp;",*"))</f>
        <v>29</v>
      </c>
      <c r="K3" s="39">
        <f>(COUNTIFS(集計用!$AA:$AA, "*, "&amp;テーブル210111214265[[#Headers],[ホルモン補充療法（HRT）]]&amp;",*"))</f>
        <v>88</v>
      </c>
      <c r="L3" s="39">
        <f>(COUNTIFS(集計用!$AA:$AA, "*, "&amp;テーブル210111214265[[#Headers],[ジェンダークリニックの受診]]&amp;",*"))</f>
        <v>126</v>
      </c>
      <c r="M3" s="39">
        <f>(COUNTIFS(集計用!$AA:$AA, "*, "&amp;テーブル210111214265[[#Headers],[（上記のどれも希望していない）]]&amp;",*"))</f>
        <v>145</v>
      </c>
      <c r="N3">
        <f>(COUNTIFS(集計用!$AA2:$AA444,"&lt;&gt;無回答", 集計用!$AA2:$AA444, "&lt;&gt;*"&amp;M$4&amp;"*"))</f>
        <v>256</v>
      </c>
      <c r="Q3"/>
      <c r="R3"/>
      <c r="T3"/>
      <c r="V3" s="39"/>
    </row>
    <row r="4" spans="1:26" ht="16.5">
      <c r="A4" s="46" t="s">
        <v>2178</v>
      </c>
      <c r="B4" s="46" t="s">
        <v>2179</v>
      </c>
      <c r="C4" s="46" t="s">
        <v>2182</v>
      </c>
      <c r="D4" s="2" t="s">
        <v>295</v>
      </c>
      <c r="E4" s="2" t="s">
        <v>296</v>
      </c>
      <c r="F4" s="2" t="s">
        <v>297</v>
      </c>
      <c r="G4" s="2" t="s">
        <v>298</v>
      </c>
      <c r="H4" s="2" t="s">
        <v>299</v>
      </c>
      <c r="I4" s="2" t="s">
        <v>300</v>
      </c>
      <c r="J4" s="2" t="s">
        <v>301</v>
      </c>
      <c r="K4" s="2" t="s">
        <v>302</v>
      </c>
      <c r="L4" s="2" t="s">
        <v>303</v>
      </c>
      <c r="M4" s="76" t="s">
        <v>2447</v>
      </c>
      <c r="N4" s="107" t="s">
        <v>2446</v>
      </c>
      <c r="Q4" s="2"/>
      <c r="R4" s="2"/>
      <c r="S4" s="2"/>
      <c r="T4" s="2"/>
      <c r="U4" s="2"/>
      <c r="V4" s="2"/>
      <c r="W4" s="2"/>
      <c r="X4" s="2"/>
      <c r="Y4" s="2"/>
      <c r="Z4" s="2"/>
    </row>
    <row r="5" spans="1:26" ht="12.75">
      <c r="A5" s="39">
        <v>0</v>
      </c>
      <c r="B5" s="39">
        <f>(COUNTIFS(集計用!$AA2:$AA444,"&lt;&gt;無回答"))</f>
        <v>401</v>
      </c>
      <c r="C5" s="40" t="s">
        <v>2249</v>
      </c>
      <c r="D5" s="41">
        <f>(COUNTIFS(集計用!$AA:$AA, "*, "&amp;D$4&amp;",*"))/$B5*100</f>
        <v>7.4812967581047385</v>
      </c>
      <c r="E5" s="41">
        <f>(COUNTIFS(集計用!$AA:$AA, "*, "&amp;E$4&amp;",*"))/$B5*100</f>
        <v>33.16708229426434</v>
      </c>
      <c r="F5" s="41">
        <f>(COUNTIFS(集計用!$AA:$AA, "*, "&amp;F$4&amp;",*"))/$B5*100</f>
        <v>9.7256857855361591</v>
      </c>
      <c r="G5" s="41">
        <f>(COUNTIFS(集計用!$AA:$AA, "*, "&amp;G$4&amp;",*"))/$B5*100</f>
        <v>25.685785536159599</v>
      </c>
      <c r="H5" s="41">
        <f>(COUNTIFS(集計用!$AA:$AA, "*, "&amp;H$4&amp;",*"))/$B5*100</f>
        <v>29.177057356608476</v>
      </c>
      <c r="I5" s="41">
        <f>(COUNTIFS(集計用!$AA:$AA, "*, "&amp;I$4&amp;",*"))/$B5*100</f>
        <v>20.199501246882793</v>
      </c>
      <c r="J5" s="41">
        <f>(COUNTIFS(集計用!$AA:$AA, "*, "&amp;J$4&amp;",*"))/$B5*100</f>
        <v>7.2319201995012472</v>
      </c>
      <c r="K5" s="41">
        <f>(COUNTIFS(集計用!$AA:$AA, "*, "&amp;K$4&amp;",*"))/$B5*100</f>
        <v>21.945137157107229</v>
      </c>
      <c r="L5" s="41">
        <f>(COUNTIFS(集計用!$AA:$AA, "*, "&amp;L$4&amp;",*"))/$B5*100</f>
        <v>31.421446384039903</v>
      </c>
      <c r="M5" s="41">
        <f>(COUNTIFS(集計用!$AA:$AA, "*, "&amp;M$4&amp;",*"))/$B5*100</f>
        <v>36.159600997506239</v>
      </c>
      <c r="N5" s="56">
        <f>(COUNTIFS(集計用!$AA2:$AA444,"&lt;&gt;無回答", 集計用!$AA2:$AA444, "&lt;&gt;*"&amp;M$4&amp;"*"))/B5*100</f>
        <v>63.840399002493761</v>
      </c>
      <c r="Q5"/>
      <c r="R5"/>
      <c r="T5"/>
      <c r="V5" s="39"/>
    </row>
    <row r="6" spans="1:26" ht="15.75" customHeight="1">
      <c r="A6" s="39">
        <v>1</v>
      </c>
      <c r="B6" s="39">
        <f>(COUNTIFS(集計用!$G$2:$G$444,"*, "&amp;$C6&amp;",*",集計用!$AA$2:$AA$444,"&lt;&gt;無回答"))</f>
        <v>77</v>
      </c>
      <c r="C6" s="42" t="s">
        <v>3</v>
      </c>
      <c r="D6" s="41">
        <f>(COUNTIFS(集計用!$AA:$AA, "*, "&amp;D$4&amp;",*",集計用!$G:$G, "*, "&amp;$C6&amp;",*"))/$B6*100</f>
        <v>7.7922077922077921</v>
      </c>
      <c r="E6" s="41">
        <f>(COUNTIFS(集計用!$AA:$AA, "*, "&amp;E$4&amp;",*",集計用!$G:$G, "*, "&amp;$C6&amp;",*"))/$B6*100</f>
        <v>28.571428571428569</v>
      </c>
      <c r="F6" s="41">
        <f>(COUNTIFS(集計用!$AA:$AA, "*, "&amp;F$4&amp;",*",集計用!$G:$G, "*, "&amp;$C6&amp;",*"))/$B6*100</f>
        <v>11.688311688311687</v>
      </c>
      <c r="G6" s="41">
        <f>(COUNTIFS(集計用!$AA:$AA, "*, "&amp;G$4&amp;",*",集計用!$G:$G, "*, "&amp;$C6&amp;",*"))/$B6*100</f>
        <v>29.870129870129869</v>
      </c>
      <c r="H6" s="41">
        <f>(COUNTIFS(集計用!$AA:$AA, "*, "&amp;H$4&amp;",*",集計用!$G:$G, "*, "&amp;$C6&amp;",*"))/$B6*100</f>
        <v>24.675324675324674</v>
      </c>
      <c r="I6" s="41">
        <f>(COUNTIFS(集計用!$AA:$AA, "*, "&amp;I$4&amp;",*",集計用!$G:$G, "*, "&amp;$C6&amp;",*"))/$B6*100</f>
        <v>18.181818181818183</v>
      </c>
      <c r="J6" s="41">
        <f>(COUNTIFS(集計用!$AA:$AA, "*, "&amp;J$4&amp;",*",集計用!$G:$G, "*, "&amp;$C6&amp;",*"))/$B6*100</f>
        <v>9.0909090909090917</v>
      </c>
      <c r="K6" s="41">
        <f>(COUNTIFS(集計用!$AA:$AA, "*, "&amp;K$4&amp;",*",集計用!$G:$G, "*, "&amp;$C6&amp;",*"))/$B6*100</f>
        <v>15.584415584415584</v>
      </c>
      <c r="L6" s="41">
        <f>(COUNTIFS(集計用!$AA:$AA, "*, "&amp;L$4&amp;",*",集計用!$G:$G, "*, "&amp;$C6&amp;",*"))/$B6*100</f>
        <v>27.27272727272727</v>
      </c>
      <c r="M6" s="41">
        <f>(COUNTIFS(集計用!$AA:$AA, "*, "&amp;M$4&amp;",*",集計用!$G:$G, "*, "&amp;$C6&amp;",*"))/$B6*100</f>
        <v>40.259740259740262</v>
      </c>
      <c r="N6" s="56">
        <f>(COUNTIFS(集計用!$G$2:$G$444,"*, "&amp;$C6&amp;",*",集計用!$AA$2:$AA$444,"&lt;&gt;無回答",集計用!$AA$2:$AA$444, "&lt;&gt;*"&amp;M$4&amp;"*"))/B6*100</f>
        <v>59.740259740259738</v>
      </c>
      <c r="P6" s="106"/>
      <c r="Q6"/>
      <c r="R6"/>
      <c r="T6"/>
      <c r="V6" s="39"/>
    </row>
    <row r="7" spans="1:26" ht="15.75" customHeight="1">
      <c r="A7" s="39">
        <v>1</v>
      </c>
      <c r="B7" s="39">
        <f>(COUNTIFS(集計用!$G$2:$G$444,"*, "&amp;$C7&amp;",*",集計用!$AA$2:$AA$444,"&lt;&gt;無回答"))</f>
        <v>134</v>
      </c>
      <c r="C7" s="42" t="s">
        <v>1</v>
      </c>
      <c r="D7" s="41">
        <f>(COUNTIFS(集計用!$AA:$AA, "*, "&amp;D$4&amp;",*",集計用!$G:$G, "*, "&amp;$C7&amp;",*"))/$B7*100</f>
        <v>7.4626865671641784</v>
      </c>
      <c r="E7" s="41">
        <f>(COUNTIFS(集計用!$AA:$AA, "*, "&amp;E$4&amp;",*",集計用!$G:$G, "*, "&amp;$C7&amp;",*"))/$B7*100</f>
        <v>38.059701492537314</v>
      </c>
      <c r="F7" s="41">
        <f>(COUNTIFS(集計用!$AA:$AA, "*, "&amp;F$4&amp;",*",集計用!$G:$G, "*, "&amp;$C7&amp;",*"))/$B7*100</f>
        <v>9.7014925373134329</v>
      </c>
      <c r="G7" s="41">
        <f>(COUNTIFS(集計用!$AA:$AA, "*, "&amp;G$4&amp;",*",集計用!$G:$G, "*, "&amp;$C7&amp;",*"))/$B7*100</f>
        <v>29.1044776119403</v>
      </c>
      <c r="H7" s="41">
        <f>(COUNTIFS(集計用!$AA:$AA, "*, "&amp;H$4&amp;",*",集計用!$G:$G, "*, "&amp;$C7&amp;",*"))/$B7*100</f>
        <v>32.835820895522389</v>
      </c>
      <c r="I7" s="41">
        <f>(COUNTIFS(集計用!$AA:$AA, "*, "&amp;I$4&amp;",*",集計用!$G:$G, "*, "&amp;$C7&amp;",*"))/$B7*100</f>
        <v>23.134328358208954</v>
      </c>
      <c r="J7" s="41">
        <f>(COUNTIFS(集計用!$AA:$AA, "*, "&amp;J$4&amp;",*",集計用!$G:$G, "*, "&amp;$C7&amp;",*"))/$B7*100</f>
        <v>7.4626865671641784</v>
      </c>
      <c r="K7" s="41">
        <f>(COUNTIFS(集計用!$AA:$AA, "*, "&amp;K$4&amp;",*",集計用!$G:$G, "*, "&amp;$C7&amp;",*"))/$B7*100</f>
        <v>29.1044776119403</v>
      </c>
      <c r="L7" s="41">
        <f>(COUNTIFS(集計用!$AA:$AA, "*, "&amp;L$4&amp;",*",集計用!$G:$G, "*, "&amp;$C7&amp;",*"))/$B7*100</f>
        <v>32.835820895522389</v>
      </c>
      <c r="M7" s="41">
        <f>(COUNTIFS(集計用!$AA:$AA, "*, "&amp;M$4&amp;",*",集計用!$G:$G, "*, "&amp;$C7&amp;",*"))/$B7*100</f>
        <v>29.850746268656714</v>
      </c>
      <c r="N7" s="56">
        <f>(COUNTIFS(集計用!$G$2:$G$444,"*, "&amp;$C7&amp;",*",集計用!$AA$2:$AA$444,"&lt;&gt;無回答",集計用!$AA$2:$AA$444, "&lt;&gt;*"&amp;M$4&amp;"*"))/B7*100</f>
        <v>70.149253731343293</v>
      </c>
      <c r="R7" s="76"/>
      <c r="S7" s="14"/>
      <c r="U7" s="14"/>
      <c r="V7" s="41"/>
      <c r="W7" s="59"/>
    </row>
    <row r="8" spans="1:26" ht="15.75" customHeight="1">
      <c r="A8" s="39">
        <v>1</v>
      </c>
      <c r="B8" s="39">
        <f>(COUNTIFS(集計用!$G$2:$G$444,"*, "&amp;$C8&amp;",*",集計用!$AA$2:$AA$444,"&lt;&gt;無回答"))</f>
        <v>236</v>
      </c>
      <c r="C8" s="42" t="s">
        <v>0</v>
      </c>
      <c r="D8" s="41">
        <f>(COUNTIFS(集計用!$AA:$AA, "*, "&amp;D$4&amp;",*",集計用!$G:$G, "*, "&amp;$C8&amp;",*"))/$B8*100</f>
        <v>7.6271186440677967</v>
      </c>
      <c r="E8" s="41">
        <f>(COUNTIFS(集計用!$AA:$AA, "*, "&amp;E$4&amp;",*",集計用!$G:$G, "*, "&amp;$C8&amp;",*"))/$B8*100</f>
        <v>36.016949152542374</v>
      </c>
      <c r="F8" s="41">
        <f>(COUNTIFS(集計用!$AA:$AA, "*, "&amp;F$4&amp;",*",集計用!$G:$G, "*, "&amp;$C8&amp;",*"))/$B8*100</f>
        <v>9.3220338983050848</v>
      </c>
      <c r="G8" s="41">
        <f>(COUNTIFS(集計用!$AA:$AA, "*, "&amp;G$4&amp;",*",集計用!$G:$G, "*, "&amp;$C8&amp;",*"))/$B8*100</f>
        <v>26.694915254237291</v>
      </c>
      <c r="H8" s="41">
        <f>(COUNTIFS(集計用!$AA:$AA, "*, "&amp;H$4&amp;",*",集計用!$G:$G, "*, "&amp;$C8&amp;",*"))/$B8*100</f>
        <v>32.20338983050847</v>
      </c>
      <c r="I8" s="41">
        <f>(COUNTIFS(集計用!$AA:$AA, "*, "&amp;I$4&amp;",*",集計用!$G:$G, "*, "&amp;$C8&amp;",*"))/$B8*100</f>
        <v>18.64406779661017</v>
      </c>
      <c r="J8" s="41">
        <f>(COUNTIFS(集計用!$AA:$AA, "*, "&amp;J$4&amp;",*",集計用!$G:$G, "*, "&amp;$C8&amp;",*"))/$B8*100</f>
        <v>5.9322033898305087</v>
      </c>
      <c r="K8" s="41">
        <f>(COUNTIFS(集計用!$AA:$AA, "*, "&amp;K$4&amp;",*",集計用!$G:$G, "*, "&amp;$C8&amp;",*"))/$B8*100</f>
        <v>22.457627118644069</v>
      </c>
      <c r="L8" s="41">
        <f>(COUNTIFS(集計用!$AA:$AA, "*, "&amp;L$4&amp;",*",集計用!$G:$G, "*, "&amp;$C8&amp;",*"))/$B8*100</f>
        <v>33.050847457627121</v>
      </c>
      <c r="M8" s="41">
        <f>(COUNTIFS(集計用!$AA:$AA, "*, "&amp;M$4&amp;",*",集計用!$G:$G, "*, "&amp;$C8&amp;",*"))/$B8*100</f>
        <v>30.084745762711862</v>
      </c>
      <c r="N8" s="56">
        <f>(COUNTIFS(集計用!$G$2:$G$444,"*, "&amp;$C8&amp;",*",集計用!$AA$2:$AA$444,"&lt;&gt;無回答",集計用!$AA$2:$AA$444, "&lt;&gt;*"&amp;M$4&amp;"*"))/B8*100</f>
        <v>69.915254237288138</v>
      </c>
      <c r="R8" s="2"/>
      <c r="S8" s="14"/>
      <c r="U8" s="14"/>
      <c r="V8" s="41"/>
      <c r="W8" s="59"/>
    </row>
    <row r="9" spans="1:26" ht="15.75" customHeight="1">
      <c r="A9" s="39">
        <v>1</v>
      </c>
      <c r="B9" s="39">
        <f>(COUNTIFS(集計用!$G$2:$G$444,"*, "&amp;$C9&amp;",*",集計用!$AA$2:$AA$444,"&lt;&gt;無回答"))</f>
        <v>62</v>
      </c>
      <c r="C9" s="42" t="s">
        <v>7</v>
      </c>
      <c r="D9" s="41">
        <f>(COUNTIFS(集計用!$AA:$AA, "*, "&amp;D$4&amp;",*",集計用!$G:$G, "*, "&amp;$C9&amp;",*"))/$B9*100</f>
        <v>8.064516129032258</v>
      </c>
      <c r="E9" s="41">
        <f>(COUNTIFS(集計用!$AA:$AA, "*, "&amp;E$4&amp;",*",集計用!$G:$G, "*, "&amp;$C9&amp;",*"))/$B9*100</f>
        <v>32.258064516129032</v>
      </c>
      <c r="F9" s="41">
        <f>(COUNTIFS(集計用!$AA:$AA, "*, "&amp;F$4&amp;",*",集計用!$G:$G, "*, "&amp;$C9&amp;",*"))/$B9*100</f>
        <v>8.064516129032258</v>
      </c>
      <c r="G9" s="41">
        <f>(COUNTIFS(集計用!$AA:$AA, "*, "&amp;G$4&amp;",*",集計用!$G:$G, "*, "&amp;$C9&amp;",*"))/$B9*100</f>
        <v>14.516129032258066</v>
      </c>
      <c r="H9" s="41">
        <f>(COUNTIFS(集計用!$AA:$AA, "*, "&amp;H$4&amp;",*",集計用!$G:$G, "*, "&amp;$C9&amp;",*"))/$B9*100</f>
        <v>19.35483870967742</v>
      </c>
      <c r="I9" s="41">
        <f>(COUNTIFS(集計用!$AA:$AA, "*, "&amp;I$4&amp;",*",集計用!$G:$G, "*, "&amp;$C9&amp;",*"))/$B9*100</f>
        <v>17.741935483870968</v>
      </c>
      <c r="J9" s="41">
        <f>(COUNTIFS(集計用!$AA:$AA, "*, "&amp;J$4&amp;",*",集計用!$G:$G, "*, "&amp;$C9&amp;",*"))/$B9*100</f>
        <v>6.4516129032258061</v>
      </c>
      <c r="K9" s="41">
        <f>(COUNTIFS(集計用!$AA:$AA, "*, "&amp;K$4&amp;",*",集計用!$G:$G, "*, "&amp;$C9&amp;",*"))/$B9*100</f>
        <v>14.516129032258066</v>
      </c>
      <c r="L9" s="41">
        <f>(COUNTIFS(集計用!$AA:$AA, "*, "&amp;L$4&amp;",*",集計用!$G:$G, "*, "&amp;$C9&amp;",*"))/$B9*100</f>
        <v>20.967741935483872</v>
      </c>
      <c r="M9" s="41">
        <f>(COUNTIFS(集計用!$AA:$AA, "*, "&amp;M$4&amp;",*",集計用!$G:$G, "*, "&amp;$C9&amp;",*"))/$B9*100</f>
        <v>37.096774193548384</v>
      </c>
      <c r="N9" s="56">
        <f>(COUNTIFS(集計用!$G$2:$G$444,"*, "&amp;$C9&amp;",*",集計用!$AA$2:$AA$444,"&lt;&gt;無回答",集計用!$AA$2:$AA$444, "&lt;&gt;*"&amp;M$4&amp;"*"))/B9*100</f>
        <v>62.903225806451616</v>
      </c>
      <c r="R9" s="2"/>
      <c r="S9" s="14"/>
      <c r="U9" s="14"/>
      <c r="V9" s="41"/>
      <c r="W9" s="59"/>
    </row>
    <row r="10" spans="1:26" ht="15.75" customHeight="1">
      <c r="A10" s="39">
        <v>1</v>
      </c>
      <c r="B10" s="39">
        <f>(COUNTIFS(集計用!$G$2:$G$444,"*, "&amp;$C10&amp;",*",集計用!$AA$2:$AA$444,"&lt;&gt;無回答"))</f>
        <v>68</v>
      </c>
      <c r="C10" s="42" t="s">
        <v>6</v>
      </c>
      <c r="D10" s="41">
        <f>(COUNTIFS(集計用!$AA:$AA, "*, "&amp;D$4&amp;",*",集計用!$G:$G, "*, "&amp;$C10&amp;",*"))/$B10*100</f>
        <v>13.23529411764706</v>
      </c>
      <c r="E10" s="41">
        <f>(COUNTIFS(集計用!$AA:$AA, "*, "&amp;E$4&amp;",*",集計用!$G:$G, "*, "&amp;$C10&amp;",*"))/$B10*100</f>
        <v>33.82352941176471</v>
      </c>
      <c r="F10" s="41">
        <f>(COUNTIFS(集計用!$AA:$AA, "*, "&amp;F$4&amp;",*",集計用!$G:$G, "*, "&amp;$C10&amp;",*"))/$B10*100</f>
        <v>4.4117647058823533</v>
      </c>
      <c r="G10" s="41">
        <f>(COUNTIFS(集計用!$AA:$AA, "*, "&amp;G$4&amp;",*",集計用!$G:$G, "*, "&amp;$C10&amp;",*"))/$B10*100</f>
        <v>33.82352941176471</v>
      </c>
      <c r="H10" s="41">
        <f>(COUNTIFS(集計用!$AA:$AA, "*, "&amp;H$4&amp;",*",集計用!$G:$G, "*, "&amp;$C10&amp;",*"))/$B10*100</f>
        <v>32.352941176470587</v>
      </c>
      <c r="I10" s="41">
        <f>(COUNTIFS(集計用!$AA:$AA, "*, "&amp;I$4&amp;",*",集計用!$G:$G, "*, "&amp;$C10&amp;",*"))/$B10*100</f>
        <v>22.058823529411764</v>
      </c>
      <c r="J10" s="41">
        <f>(COUNTIFS(集計用!$AA:$AA, "*, "&amp;J$4&amp;",*",集計用!$G:$G, "*, "&amp;$C10&amp;",*"))/$B10*100</f>
        <v>8.8235294117647065</v>
      </c>
      <c r="K10" s="41">
        <f>(COUNTIFS(集計用!$AA:$AA, "*, "&amp;K$4&amp;",*",集計用!$G:$G, "*, "&amp;$C10&amp;",*"))/$B10*100</f>
        <v>25</v>
      </c>
      <c r="L10" s="41">
        <f>(COUNTIFS(集計用!$AA:$AA, "*, "&amp;L$4&amp;",*",集計用!$G:$G, "*, "&amp;$C10&amp;",*"))/$B10*100</f>
        <v>32.352941176470587</v>
      </c>
      <c r="M10" s="41">
        <f>(COUNTIFS(集計用!$AA:$AA, "*, "&amp;M$4&amp;",*",集計用!$G:$G, "*, "&amp;$C10&amp;",*"))/$B10*100</f>
        <v>20.588235294117645</v>
      </c>
      <c r="N10" s="56">
        <f>(COUNTIFS(集計用!$G$2:$G$444,"*, "&amp;$C10&amp;",*",集計用!$AA$2:$AA$444,"&lt;&gt;無回答",集計用!$AA$2:$AA$444, "&lt;&gt;*"&amp;M$4&amp;"*"))/B10*100</f>
        <v>79.411764705882348</v>
      </c>
      <c r="R10" s="2"/>
      <c r="S10" s="14"/>
      <c r="U10" s="14"/>
      <c r="V10" s="41"/>
      <c r="W10" s="59"/>
    </row>
    <row r="11" spans="1:26" ht="15.75" customHeight="1">
      <c r="A11" s="39">
        <v>2</v>
      </c>
      <c r="B11" s="39">
        <f>(COUNTIFS(集計用!$G$2:$G$444,"*, "&amp;$C11&amp;",*",集計用!$AA$2:$AA$444,"&lt;&gt;無回答"))</f>
        <v>30</v>
      </c>
      <c r="C11" s="42" t="s">
        <v>19</v>
      </c>
      <c r="D11" s="41">
        <f>(COUNTIFS(集計用!$AA:$AA, "*, "&amp;D$4&amp;",*",集計用!$G:$G, "*, "&amp;$C11&amp;",*"))/$B11*100</f>
        <v>3.3333333333333335</v>
      </c>
      <c r="E11" s="41">
        <f>(COUNTIFS(集計用!$AA:$AA, "*, "&amp;E$4&amp;",*",集計用!$G:$G, "*, "&amp;$C11&amp;",*"))/$B11*100</f>
        <v>26.666666666666668</v>
      </c>
      <c r="F11" s="41">
        <f>(COUNTIFS(集計用!$AA:$AA, "*, "&amp;F$4&amp;",*",集計用!$G:$G, "*, "&amp;$C11&amp;",*"))/$B11*100</f>
        <v>20</v>
      </c>
      <c r="G11" s="41">
        <f>(COUNTIFS(集計用!$AA:$AA, "*, "&amp;G$4&amp;",*",集計用!$G:$G, "*, "&amp;$C11&amp;",*"))/$B11*100</f>
        <v>16.666666666666664</v>
      </c>
      <c r="H11" s="41">
        <f>(COUNTIFS(集計用!$AA:$AA, "*, "&amp;H$4&amp;",*",集計用!$G:$G, "*, "&amp;$C11&amp;",*"))/$B11*100</f>
        <v>30</v>
      </c>
      <c r="I11" s="41">
        <f>(COUNTIFS(集計用!$AA:$AA, "*, "&amp;I$4&amp;",*",集計用!$G:$G, "*, "&amp;$C11&amp;",*"))/$B11*100</f>
        <v>26.666666666666668</v>
      </c>
      <c r="J11" s="41">
        <f>(COUNTIFS(集計用!$AA:$AA, "*, "&amp;J$4&amp;",*",集計用!$G:$G, "*, "&amp;$C11&amp;",*"))/$B11*100</f>
        <v>10</v>
      </c>
      <c r="K11" s="41">
        <f>(COUNTIFS(集計用!$AA:$AA, "*, "&amp;K$4&amp;",*",集計用!$G:$G, "*, "&amp;$C11&amp;",*"))/$B11*100</f>
        <v>23.333333333333332</v>
      </c>
      <c r="L11" s="41">
        <f>(COUNTIFS(集計用!$AA:$AA, "*, "&amp;L$4&amp;",*",集計用!$G:$G, "*, "&amp;$C11&amp;",*"))/$B11*100</f>
        <v>33.333333333333329</v>
      </c>
      <c r="M11" s="41">
        <f>(COUNTIFS(集計用!$AA:$AA, "*, "&amp;M$4&amp;",*",集計用!$G:$G, "*, "&amp;$C11&amp;",*"))/$B11*100</f>
        <v>36.666666666666664</v>
      </c>
      <c r="N11" s="56">
        <f>(COUNTIFS(集計用!$G$2:$G$444,"*, "&amp;$C11&amp;",*",集計用!$AA$2:$AA$444,"&lt;&gt;無回答",集計用!$AA$2:$AA$444, "&lt;&gt;*"&amp;M$4&amp;"*"))/B11*100</f>
        <v>63.333333333333329</v>
      </c>
      <c r="R11" s="2"/>
      <c r="S11" s="14"/>
      <c r="U11" s="14"/>
      <c r="V11" s="41"/>
      <c r="W11" s="59"/>
    </row>
    <row r="12" spans="1:26" ht="15.75" customHeight="1">
      <c r="A12" s="39">
        <v>2</v>
      </c>
      <c r="B12" s="39">
        <f>(COUNTIFS(集計用!$G$2:$G$444,"*, "&amp;$C12&amp;",*",集計用!$AA$2:$AA$444,"&lt;&gt;無回答"))</f>
        <v>6</v>
      </c>
      <c r="C12" s="42" t="s">
        <v>48</v>
      </c>
      <c r="D12" s="41">
        <f>(COUNTIFS(集計用!$AA:$AA, "*, "&amp;D$4&amp;",*",集計用!$G:$G, "*, "&amp;$C12&amp;",*"))/$B12*100</f>
        <v>0</v>
      </c>
      <c r="E12" s="41">
        <f>(COUNTIFS(集計用!$AA:$AA, "*, "&amp;E$4&amp;",*",集計用!$G:$G, "*, "&amp;$C12&amp;",*"))/$B12*100</f>
        <v>66.666666666666657</v>
      </c>
      <c r="F12" s="41">
        <f>(COUNTIFS(集計用!$AA:$AA, "*, "&amp;F$4&amp;",*",集計用!$G:$G, "*, "&amp;$C12&amp;",*"))/$B12*100</f>
        <v>16.666666666666664</v>
      </c>
      <c r="G12" s="41">
        <f>(COUNTIFS(集計用!$AA:$AA, "*, "&amp;G$4&amp;",*",集計用!$G:$G, "*, "&amp;$C12&amp;",*"))/$B12*100</f>
        <v>33.333333333333329</v>
      </c>
      <c r="H12" s="41">
        <f>(COUNTIFS(集計用!$AA:$AA, "*, "&amp;H$4&amp;",*",集計用!$G:$G, "*, "&amp;$C12&amp;",*"))/$B12*100</f>
        <v>33.333333333333329</v>
      </c>
      <c r="I12" s="41">
        <f>(COUNTIFS(集計用!$AA:$AA, "*, "&amp;I$4&amp;",*",集計用!$G:$G, "*, "&amp;$C12&amp;",*"))/$B12*100</f>
        <v>66.666666666666657</v>
      </c>
      <c r="J12" s="41">
        <f>(COUNTIFS(集計用!$AA:$AA, "*, "&amp;J$4&amp;",*",集計用!$G:$G, "*, "&amp;$C12&amp;",*"))/$B12*100</f>
        <v>16.666666666666664</v>
      </c>
      <c r="K12" s="41">
        <f>(COUNTIFS(集計用!$AA:$AA, "*, "&amp;K$4&amp;",*",集計用!$G:$G, "*, "&amp;$C12&amp;",*"))/$B12*100</f>
        <v>33.333333333333329</v>
      </c>
      <c r="L12" s="41">
        <f>(COUNTIFS(集計用!$AA:$AA, "*, "&amp;L$4&amp;",*",集計用!$G:$G, "*, "&amp;$C12&amp;",*"))/$B12*100</f>
        <v>16.666666666666664</v>
      </c>
      <c r="M12" s="41">
        <f>(COUNTIFS(集計用!$AA:$AA, "*, "&amp;M$4&amp;",*",集計用!$G:$G, "*, "&amp;$C12&amp;",*"))/$B12*100</f>
        <v>33.333333333333329</v>
      </c>
      <c r="N12" s="56">
        <f>(COUNTIFS(集計用!$G$2:$G$444,"*, "&amp;$C12&amp;",*",集計用!$AA$2:$AA$444,"&lt;&gt;無回答",集計用!$AA$2:$AA$444, "&lt;&gt;*"&amp;M$4&amp;"*"))/B12*100</f>
        <v>66.666666666666657</v>
      </c>
      <c r="R12" s="2"/>
      <c r="S12" s="14"/>
      <c r="U12" s="14"/>
      <c r="V12" s="41"/>
      <c r="W12" s="59"/>
    </row>
    <row r="13" spans="1:26" ht="15.75" customHeight="1">
      <c r="A13" s="39">
        <v>2</v>
      </c>
      <c r="B13" s="39">
        <f>(COUNTIFS(集計用!$G$2:$G$444,"*, "&amp;$C13&amp;",*",集計用!$AA$2:$AA$444,"&lt;&gt;無回答"))</f>
        <v>62</v>
      </c>
      <c r="C13" s="42" t="s">
        <v>9</v>
      </c>
      <c r="D13" s="41">
        <f>(COUNTIFS(集計用!$AA:$AA, "*, "&amp;D$4&amp;",*",集計用!$G:$G, "*, "&amp;$C13&amp;",*"))/$B13*100</f>
        <v>3.225806451612903</v>
      </c>
      <c r="E13" s="41">
        <f>(COUNTIFS(集計用!$AA:$AA, "*, "&amp;E$4&amp;",*",集計用!$G:$G, "*, "&amp;$C13&amp;",*"))/$B13*100</f>
        <v>43.548387096774192</v>
      </c>
      <c r="F13" s="41">
        <f>(COUNTIFS(集計用!$AA:$AA, "*, "&amp;F$4&amp;",*",集計用!$G:$G, "*, "&amp;$C13&amp;",*"))/$B13*100</f>
        <v>12.903225806451612</v>
      </c>
      <c r="G13" s="41">
        <f>(COUNTIFS(集計用!$AA:$AA, "*, "&amp;G$4&amp;",*",集計用!$G:$G, "*, "&amp;$C13&amp;",*"))/$B13*100</f>
        <v>30.64516129032258</v>
      </c>
      <c r="H13" s="41">
        <f>(COUNTIFS(集計用!$AA:$AA, "*, "&amp;H$4&amp;",*",集計用!$G:$G, "*, "&amp;$C13&amp;",*"))/$B13*100</f>
        <v>30.64516129032258</v>
      </c>
      <c r="I13" s="41">
        <f>(COUNTIFS(集計用!$AA:$AA, "*, "&amp;I$4&amp;",*",集計用!$G:$G, "*, "&amp;$C13&amp;",*"))/$B13*100</f>
        <v>25.806451612903224</v>
      </c>
      <c r="J13" s="41">
        <f>(COUNTIFS(集計用!$AA:$AA, "*, "&amp;J$4&amp;",*",集計用!$G:$G, "*, "&amp;$C13&amp;",*"))/$B13*100</f>
        <v>8.064516129032258</v>
      </c>
      <c r="K13" s="41">
        <f>(COUNTIFS(集計用!$AA:$AA, "*, "&amp;K$4&amp;",*",集計用!$G:$G, "*, "&amp;$C13&amp;",*"))/$B13*100</f>
        <v>22.58064516129032</v>
      </c>
      <c r="L13" s="41">
        <f>(COUNTIFS(集計用!$AA:$AA, "*, "&amp;L$4&amp;",*",集計用!$G:$G, "*, "&amp;$C13&amp;",*"))/$B13*100</f>
        <v>35.483870967741936</v>
      </c>
      <c r="M13" s="41">
        <f>(COUNTIFS(集計用!$AA:$AA, "*, "&amp;M$4&amp;",*",集計用!$G:$G, "*, "&amp;$C13&amp;",*"))/$B13*100</f>
        <v>25.806451612903224</v>
      </c>
      <c r="N13" s="56">
        <f>(COUNTIFS(集計用!$G$2:$G$444,"*, "&amp;$C13&amp;",*",集計用!$AA$2:$AA$444,"&lt;&gt;無回答",集計用!$AA$2:$AA$444, "&lt;&gt;*"&amp;M$4&amp;"*"))/B13*100</f>
        <v>74.193548387096769</v>
      </c>
      <c r="R13" s="2"/>
      <c r="S13" s="14"/>
      <c r="U13" s="14"/>
      <c r="V13" s="41"/>
      <c r="W13" s="59"/>
    </row>
    <row r="14" spans="1:26" ht="15.75" customHeight="1">
      <c r="A14" s="39">
        <v>2</v>
      </c>
      <c r="B14" s="39">
        <f>(COUNTIFS(集計用!$G$2:$G$444,"*, "&amp;$C14&amp;",*",集計用!$AA$2:$AA$444,"&lt;&gt;無回答"))</f>
        <v>113</v>
      </c>
      <c r="C14" s="42" t="s">
        <v>2</v>
      </c>
      <c r="D14" s="41">
        <f>(COUNTIFS(集計用!$AA:$AA, "*, "&amp;D$4&amp;",*",集計用!$G:$G, "*, "&amp;$C14&amp;",*"))/$B14*100</f>
        <v>3.5398230088495577</v>
      </c>
      <c r="E14" s="41">
        <f>(COUNTIFS(集計用!$AA:$AA, "*, "&amp;E$4&amp;",*",集計用!$G:$G, "*, "&amp;$C14&amp;",*"))/$B14*100</f>
        <v>37.168141592920357</v>
      </c>
      <c r="F14" s="41">
        <f>(COUNTIFS(集計用!$AA:$AA, "*, "&amp;F$4&amp;",*",集計用!$G:$G, "*, "&amp;$C14&amp;",*"))/$B14*100</f>
        <v>7.9646017699115044</v>
      </c>
      <c r="G14" s="41">
        <f>(COUNTIFS(集計用!$AA:$AA, "*, "&amp;G$4&amp;",*",集計用!$G:$G, "*, "&amp;$C14&amp;",*"))/$B14*100</f>
        <v>29.20353982300885</v>
      </c>
      <c r="H14" s="41">
        <f>(COUNTIFS(集計用!$AA:$AA, "*, "&amp;H$4&amp;",*",集計用!$G:$G, "*, "&amp;$C14&amp;",*"))/$B14*100</f>
        <v>33.628318584070797</v>
      </c>
      <c r="I14" s="41">
        <f>(COUNTIFS(集計用!$AA:$AA, "*, "&amp;I$4&amp;",*",集計用!$G:$G, "*, "&amp;$C14&amp;",*"))/$B14*100</f>
        <v>23.893805309734514</v>
      </c>
      <c r="J14" s="41">
        <f>(COUNTIFS(集計用!$AA:$AA, "*, "&amp;J$4&amp;",*",集計用!$G:$G, "*, "&amp;$C14&amp;",*"))/$B14*100</f>
        <v>5.3097345132743365</v>
      </c>
      <c r="K14" s="41">
        <f>(COUNTIFS(集計用!$AA:$AA, "*, "&amp;K$4&amp;",*",集計用!$G:$G, "*, "&amp;$C14&amp;",*"))/$B14*100</f>
        <v>18.584070796460178</v>
      </c>
      <c r="L14" s="41">
        <f>(COUNTIFS(集計用!$AA:$AA, "*, "&amp;L$4&amp;",*",集計用!$G:$G, "*, "&amp;$C14&amp;",*"))/$B14*100</f>
        <v>34.513274336283182</v>
      </c>
      <c r="M14" s="41">
        <f>(COUNTIFS(集計用!$AA:$AA, "*, "&amp;M$4&amp;",*",集計用!$G:$G, "*, "&amp;$C14&amp;",*"))/$B14*100</f>
        <v>29.20353982300885</v>
      </c>
      <c r="N14" s="56">
        <f>(COUNTIFS(集計用!$G$2:$G$444,"*, "&amp;$C14&amp;",*",集計用!$AA$2:$AA$444,"&lt;&gt;無回答",集計用!$AA$2:$AA$444, "&lt;&gt;*"&amp;M$4&amp;"*"))/B14*100</f>
        <v>70.796460176991147</v>
      </c>
      <c r="R14" s="2"/>
      <c r="S14" s="14"/>
      <c r="U14" s="14"/>
      <c r="V14" s="41"/>
      <c r="W14" s="59"/>
    </row>
    <row r="15" spans="1:26" ht="15.75" customHeight="1">
      <c r="A15" s="39">
        <v>2</v>
      </c>
      <c r="B15" s="39">
        <f>(COUNTIFS(集計用!$G$2:$G$444,"*, "&amp;$C15&amp;",*",集計用!$AA$2:$AA$444,"&lt;&gt;無回答"))</f>
        <v>53</v>
      </c>
      <c r="C15" s="42" t="s">
        <v>11</v>
      </c>
      <c r="D15" s="41">
        <f>(COUNTIFS(集計用!$AA:$AA, "*, "&amp;D$4&amp;",*",集計用!$G:$G, "*, "&amp;$C15&amp;",*"))/$B15*100</f>
        <v>9.433962264150944</v>
      </c>
      <c r="E15" s="41">
        <f>(COUNTIFS(集計用!$AA:$AA, "*, "&amp;E$4&amp;",*",集計用!$G:$G, "*, "&amp;$C15&amp;",*"))/$B15*100</f>
        <v>33.962264150943398</v>
      </c>
      <c r="F15" s="41">
        <f>(COUNTIFS(集計用!$AA:$AA, "*, "&amp;F$4&amp;",*",集計用!$G:$G, "*, "&amp;$C15&amp;",*"))/$B15*100</f>
        <v>3.7735849056603774</v>
      </c>
      <c r="G15" s="41">
        <f>(COUNTIFS(集計用!$AA:$AA, "*, "&amp;G$4&amp;",*",集計用!$G:$G, "*, "&amp;$C15&amp;",*"))/$B15*100</f>
        <v>30.188679245283019</v>
      </c>
      <c r="H15" s="41">
        <f>(COUNTIFS(集計用!$AA:$AA, "*, "&amp;H$4&amp;",*",集計用!$G:$G, "*, "&amp;$C15&amp;",*"))/$B15*100</f>
        <v>30.188679245283019</v>
      </c>
      <c r="I15" s="41">
        <f>(COUNTIFS(集計用!$AA:$AA, "*, "&amp;I$4&amp;",*",集計用!$G:$G, "*, "&amp;$C15&amp;",*"))/$B15*100</f>
        <v>22.641509433962266</v>
      </c>
      <c r="J15" s="41">
        <f>(COUNTIFS(集計用!$AA:$AA, "*, "&amp;J$4&amp;",*",集計用!$G:$G, "*, "&amp;$C15&amp;",*"))/$B15*100</f>
        <v>5.6603773584905666</v>
      </c>
      <c r="K15" s="41">
        <f>(COUNTIFS(集計用!$AA:$AA, "*, "&amp;K$4&amp;",*",集計用!$G:$G, "*, "&amp;$C15&amp;",*"))/$B15*100</f>
        <v>16.981132075471699</v>
      </c>
      <c r="L15" s="41">
        <f>(COUNTIFS(集計用!$AA:$AA, "*, "&amp;L$4&amp;",*",集計用!$G:$G, "*, "&amp;$C15&amp;",*"))/$B15*100</f>
        <v>30.188679245283019</v>
      </c>
      <c r="M15" s="41">
        <f>(COUNTIFS(集計用!$AA:$AA, "*, "&amp;M$4&amp;",*",集計用!$G:$G, "*, "&amp;$C15&amp;",*"))/$B15*100</f>
        <v>32.075471698113205</v>
      </c>
      <c r="N15" s="56">
        <f>(COUNTIFS(集計用!$G$2:$G$444,"*, "&amp;$C15&amp;",*",集計用!$AA$2:$AA$444,"&lt;&gt;無回答",集計用!$AA$2:$AA$444, "&lt;&gt;*"&amp;M$4&amp;"*"))/B15*100</f>
        <v>67.924528301886795</v>
      </c>
      <c r="R15" s="2"/>
      <c r="S15" s="14"/>
      <c r="U15" s="14"/>
      <c r="V15" s="41"/>
      <c r="W15" s="59"/>
    </row>
    <row r="16" spans="1:26" ht="15.75" customHeight="1">
      <c r="A16" s="39">
        <v>3</v>
      </c>
      <c r="B16" s="39">
        <f>(COUNTIFS(集計用!$G$2:$G$444,"*, "&amp;$C16&amp;",*",集計用!$AA$2:$AA$444,"&lt;&gt;無回答"))</f>
        <v>44</v>
      </c>
      <c r="C16" s="42" t="s">
        <v>15</v>
      </c>
      <c r="D16" s="41">
        <f>(COUNTIFS(集計用!$AA:$AA, "*, "&amp;D$4&amp;",*",集計用!$G:$G, "*, "&amp;$C16&amp;",*"))/$B16*100</f>
        <v>11.363636363636363</v>
      </c>
      <c r="E16" s="41">
        <f>(COUNTIFS(集計用!$AA:$AA, "*, "&amp;E$4&amp;",*",集計用!$G:$G, "*, "&amp;$C16&amp;",*"))/$B16*100</f>
        <v>45.454545454545453</v>
      </c>
      <c r="F16" s="41">
        <f>(COUNTIFS(集計用!$AA:$AA, "*, "&amp;F$4&amp;",*",集計用!$G:$G, "*, "&amp;$C16&amp;",*"))/$B16*100</f>
        <v>11.363636363636363</v>
      </c>
      <c r="G16" s="41">
        <f>(COUNTIFS(集計用!$AA:$AA, "*, "&amp;G$4&amp;",*",集計用!$G:$G, "*, "&amp;$C16&amp;",*"))/$B16*100</f>
        <v>22.727272727272727</v>
      </c>
      <c r="H16" s="41">
        <f>(COUNTIFS(集計用!$AA:$AA, "*, "&amp;H$4&amp;",*",集計用!$G:$G, "*, "&amp;$C16&amp;",*"))/$B16*100</f>
        <v>31.818181818181817</v>
      </c>
      <c r="I16" s="41">
        <f>(COUNTIFS(集計用!$AA:$AA, "*, "&amp;I$4&amp;",*",集計用!$G:$G, "*, "&amp;$C16&amp;",*"))/$B16*100</f>
        <v>29.545454545454547</v>
      </c>
      <c r="J16" s="41">
        <f>(COUNTIFS(集計用!$AA:$AA, "*, "&amp;J$4&amp;",*",集計用!$G:$G, "*, "&amp;$C16&amp;",*"))/$B16*100</f>
        <v>11.363636363636363</v>
      </c>
      <c r="K16" s="41">
        <f>(COUNTIFS(集計用!$AA:$AA, "*, "&amp;K$4&amp;",*",集計用!$G:$G, "*, "&amp;$C16&amp;",*"))/$B16*100</f>
        <v>15.909090909090908</v>
      </c>
      <c r="L16" s="41">
        <f>(COUNTIFS(集計用!$AA:$AA, "*, "&amp;L$4&amp;",*",集計用!$G:$G, "*, "&amp;$C16&amp;",*"))/$B16*100</f>
        <v>25</v>
      </c>
      <c r="M16" s="41">
        <f>(COUNTIFS(集計用!$AA:$AA, "*, "&amp;M$4&amp;",*",集計用!$G:$G, "*, "&amp;$C16&amp;",*"))/$B16*100</f>
        <v>31.818181818181817</v>
      </c>
      <c r="N16" s="56">
        <f>(COUNTIFS(集計用!$G$2:$G$444,"*, "&amp;$C16&amp;",*",集計用!$AA$2:$AA$444,"&lt;&gt;無回答",集計用!$AA$2:$AA$444, "&lt;&gt;*"&amp;M$4&amp;"*"))/B16*100</f>
        <v>68.181818181818173</v>
      </c>
      <c r="R16" s="2"/>
      <c r="S16" s="14"/>
      <c r="U16" s="14"/>
      <c r="V16" s="41"/>
      <c r="W16" s="59"/>
    </row>
    <row r="17" spans="1:23" ht="15.75" customHeight="1">
      <c r="A17" s="39">
        <v>3</v>
      </c>
      <c r="B17" s="39">
        <f>(COUNTIFS(集計用!$G$2:$G$444,"*, "&amp;$C17&amp;",*",集計用!$AA$2:$AA$444,"&lt;&gt;無回答"))</f>
        <v>82</v>
      </c>
      <c r="C17" s="42" t="s">
        <v>4</v>
      </c>
      <c r="D17" s="41">
        <f>(COUNTIFS(集計用!$AA:$AA, "*, "&amp;D$4&amp;",*",集計用!$G:$G, "*, "&amp;$C17&amp;",*"))/$B17*100</f>
        <v>6.0975609756097562</v>
      </c>
      <c r="E17" s="41">
        <f>(COUNTIFS(集計用!$AA:$AA, "*, "&amp;E$4&amp;",*",集計用!$G:$G, "*, "&amp;$C17&amp;",*"))/$B17*100</f>
        <v>42.68292682926829</v>
      </c>
      <c r="F17" s="41">
        <f>(COUNTIFS(集計用!$AA:$AA, "*, "&amp;F$4&amp;",*",集計用!$G:$G, "*, "&amp;$C17&amp;",*"))/$B17*100</f>
        <v>9.7560975609756095</v>
      </c>
      <c r="G17" s="41">
        <f>(COUNTIFS(集計用!$AA:$AA, "*, "&amp;G$4&amp;",*",集計用!$G:$G, "*, "&amp;$C17&amp;",*"))/$B17*100</f>
        <v>28.04878048780488</v>
      </c>
      <c r="H17" s="41">
        <f>(COUNTIFS(集計用!$AA:$AA, "*, "&amp;H$4&amp;",*",集計用!$G:$G, "*, "&amp;$C17&amp;",*"))/$B17*100</f>
        <v>37.804878048780488</v>
      </c>
      <c r="I17" s="41">
        <f>(COUNTIFS(集計用!$AA:$AA, "*, "&amp;I$4&amp;",*",集計用!$G:$G, "*, "&amp;$C17&amp;",*"))/$B17*100</f>
        <v>30.487804878048781</v>
      </c>
      <c r="J17" s="41">
        <f>(COUNTIFS(集計用!$AA:$AA, "*, "&amp;J$4&amp;",*",集計用!$G:$G, "*, "&amp;$C17&amp;",*"))/$B17*100</f>
        <v>4.8780487804878048</v>
      </c>
      <c r="K17" s="41">
        <f>(COUNTIFS(集計用!$AA:$AA, "*, "&amp;K$4&amp;",*",集計用!$G:$G, "*, "&amp;$C17&amp;",*"))/$B17*100</f>
        <v>19.512195121951219</v>
      </c>
      <c r="L17" s="41">
        <f>(COUNTIFS(集計用!$AA:$AA, "*, "&amp;L$4&amp;",*",集計用!$G:$G, "*, "&amp;$C17&amp;",*"))/$B17*100</f>
        <v>34.146341463414636</v>
      </c>
      <c r="M17" s="41">
        <f>(COUNTIFS(集計用!$AA:$AA, "*, "&amp;M$4&amp;",*",集計用!$G:$G, "*, "&amp;$C17&amp;",*"))/$B17*100</f>
        <v>21.951219512195124</v>
      </c>
      <c r="N17" s="56">
        <f>(COUNTIFS(集計用!$G$2:$G$444,"*, "&amp;$C17&amp;",*",集計用!$AA$2:$AA$444,"&lt;&gt;無回答",集計用!$AA$2:$AA$444, "&lt;&gt;*"&amp;M$4&amp;"*"))/B17*100</f>
        <v>78.048780487804876</v>
      </c>
      <c r="R17" s="2"/>
      <c r="S17" s="14"/>
      <c r="U17" s="14"/>
      <c r="V17" s="41"/>
      <c r="W17" s="59"/>
    </row>
    <row r="18" spans="1:23" ht="15.75" customHeight="1">
      <c r="A18" s="39">
        <v>3</v>
      </c>
      <c r="B18" s="39">
        <f>(COUNTIFS(集計用!$G$2:$G$444,"*, "&amp;$C18&amp;",*",集計用!$AA$2:$AA$444,"&lt;&gt;無回答"))</f>
        <v>64</v>
      </c>
      <c r="C18" s="42" t="s">
        <v>8</v>
      </c>
      <c r="D18" s="41">
        <f>(COUNTIFS(集計用!$AA:$AA, "*, "&amp;D$4&amp;",*",集計用!$G:$G, "*, "&amp;$C18&amp;",*"))/$B18*100</f>
        <v>6.25</v>
      </c>
      <c r="E18" s="41">
        <f>(COUNTIFS(集計用!$AA:$AA, "*, "&amp;E$4&amp;",*",集計用!$G:$G, "*, "&amp;$C18&amp;",*"))/$B18*100</f>
        <v>40.625</v>
      </c>
      <c r="F18" s="41">
        <f>(COUNTIFS(集計用!$AA:$AA, "*, "&amp;F$4&amp;",*",集計用!$G:$G, "*, "&amp;$C18&amp;",*"))/$B18*100</f>
        <v>9.375</v>
      </c>
      <c r="G18" s="41">
        <f>(COUNTIFS(集計用!$AA:$AA, "*, "&amp;G$4&amp;",*",集計用!$G:$G, "*, "&amp;$C18&amp;",*"))/$B18*100</f>
        <v>26.5625</v>
      </c>
      <c r="H18" s="41">
        <f>(COUNTIFS(集計用!$AA:$AA, "*, "&amp;H$4&amp;",*",集計用!$G:$G, "*, "&amp;$C18&amp;",*"))/$B18*100</f>
        <v>40.625</v>
      </c>
      <c r="I18" s="41">
        <f>(COUNTIFS(集計用!$AA:$AA, "*, "&amp;I$4&amp;",*",集計用!$G:$G, "*, "&amp;$C18&amp;",*"))/$B18*100</f>
        <v>17.1875</v>
      </c>
      <c r="J18" s="41">
        <f>(COUNTIFS(集計用!$AA:$AA, "*, "&amp;J$4&amp;",*",集計用!$G:$G, "*, "&amp;$C18&amp;",*"))/$B18*100</f>
        <v>9.375</v>
      </c>
      <c r="K18" s="41">
        <f>(COUNTIFS(集計用!$AA:$AA, "*, "&amp;K$4&amp;",*",集計用!$G:$G, "*, "&amp;$C18&amp;",*"))/$B18*100</f>
        <v>18.75</v>
      </c>
      <c r="L18" s="41">
        <f>(COUNTIFS(集計用!$AA:$AA, "*, "&amp;L$4&amp;",*",集計用!$G:$G, "*, "&amp;$C18&amp;",*"))/$B18*100</f>
        <v>35.9375</v>
      </c>
      <c r="M18" s="41">
        <f>(COUNTIFS(集計用!$AA:$AA, "*, "&amp;M$4&amp;",*",集計用!$G:$G, "*, "&amp;$C18&amp;",*"))/$B18*100</f>
        <v>21.875</v>
      </c>
      <c r="N18" s="56">
        <f>(COUNTIFS(集計用!$G$2:$G$444,"*, "&amp;$C18&amp;",*",集計用!$AA$2:$AA$444,"&lt;&gt;無回答",集計用!$AA$2:$AA$444, "&lt;&gt;*"&amp;M$4&amp;"*"))/B18*100</f>
        <v>78.125</v>
      </c>
      <c r="R18" s="2"/>
      <c r="S18" s="14"/>
      <c r="U18" s="14"/>
      <c r="V18" s="41"/>
      <c r="W18" s="59"/>
    </row>
    <row r="19" spans="1:23" ht="15.75" customHeight="1">
      <c r="A19" s="39">
        <v>4</v>
      </c>
      <c r="B19" s="39">
        <f>(COUNTIFS(集計用!$G$2:$G$444,"*, "&amp;$C19&amp;",*",集計用!$AA$2:$AA$444,"&lt;&gt;無回答"))</f>
        <v>7</v>
      </c>
      <c r="C19" s="42" t="s">
        <v>47</v>
      </c>
      <c r="D19" s="41">
        <f>(COUNTIFS(集計用!$AA:$AA, "*, "&amp;D$4&amp;",*",集計用!$G:$G, "*, "&amp;$C19&amp;",*"))/$B19*100</f>
        <v>14.285714285714285</v>
      </c>
      <c r="E19" s="41">
        <f>(COUNTIFS(集計用!$AA:$AA, "*, "&amp;E$4&amp;",*",集計用!$G:$G, "*, "&amp;$C19&amp;",*"))/$B19*100</f>
        <v>57.142857142857139</v>
      </c>
      <c r="F19" s="41">
        <f>(COUNTIFS(集計用!$AA:$AA, "*, "&amp;F$4&amp;",*",集計用!$G:$G, "*, "&amp;$C19&amp;",*"))/$B19*100</f>
        <v>28.571428571428569</v>
      </c>
      <c r="G19" s="41">
        <f>(COUNTIFS(集計用!$AA:$AA, "*, "&amp;G$4&amp;",*",集計用!$G:$G, "*, "&amp;$C19&amp;",*"))/$B19*100</f>
        <v>14.285714285714285</v>
      </c>
      <c r="H19" s="41">
        <f>(COUNTIFS(集計用!$AA:$AA, "*, "&amp;H$4&amp;",*",集計用!$G:$G, "*, "&amp;$C19&amp;",*"))/$B19*100</f>
        <v>42.857142857142854</v>
      </c>
      <c r="I19" s="41">
        <f>(COUNTIFS(集計用!$AA:$AA, "*, "&amp;I$4&amp;",*",集計用!$G:$G, "*, "&amp;$C19&amp;",*"))/$B19*100</f>
        <v>42.857142857142854</v>
      </c>
      <c r="J19" s="41">
        <f>(COUNTIFS(集計用!$AA:$AA, "*, "&amp;J$4&amp;",*",集計用!$G:$G, "*, "&amp;$C19&amp;",*"))/$B19*100</f>
        <v>28.571428571428569</v>
      </c>
      <c r="K19" s="41">
        <f>(COUNTIFS(集計用!$AA:$AA, "*, "&amp;K$4&amp;",*",集計用!$G:$G, "*, "&amp;$C19&amp;",*"))/$B19*100</f>
        <v>71.428571428571431</v>
      </c>
      <c r="L19" s="41">
        <f>(COUNTIFS(集計用!$AA:$AA, "*, "&amp;L$4&amp;",*",集計用!$G:$G, "*, "&amp;$C19&amp;",*"))/$B19*100</f>
        <v>42.857142857142854</v>
      </c>
      <c r="M19" s="41">
        <f>(COUNTIFS(集計用!$AA:$AA, "*, "&amp;M$4&amp;",*",集計用!$G:$G, "*, "&amp;$C19&amp;",*"))/$B19*100</f>
        <v>14.285714285714285</v>
      </c>
      <c r="N19" s="56">
        <f>(COUNTIFS(集計用!$G$2:$G$444,"*, "&amp;$C19&amp;",*",集計用!$AA$2:$AA$444,"&lt;&gt;無回答",集計用!$AA$2:$AA$444, "&lt;&gt;*"&amp;M$4&amp;"*"))/B19*100</f>
        <v>85.714285714285708</v>
      </c>
      <c r="R19" s="2"/>
      <c r="S19" s="14"/>
      <c r="U19" s="14"/>
      <c r="V19" s="41"/>
      <c r="W19" s="59"/>
    </row>
    <row r="20" spans="1:23" ht="15.75" customHeight="1">
      <c r="A20" s="39">
        <v>4</v>
      </c>
      <c r="B20" s="39">
        <f>(COUNTIFS(集計用!$G$2:$G$444,"*, "&amp;$C20&amp;",*",集計用!$AA$2:$AA$444,"&lt;&gt;無回答"))</f>
        <v>25</v>
      </c>
      <c r="C20" s="42" t="s">
        <v>20</v>
      </c>
      <c r="D20" s="41">
        <f>(COUNTIFS(集計用!$AA:$AA, "*, "&amp;D$4&amp;",*",集計用!$G:$G, "*, "&amp;$C20&amp;",*"))/$B20*100</f>
        <v>16</v>
      </c>
      <c r="E20" s="41">
        <f>(COUNTIFS(集計用!$AA:$AA, "*, "&amp;E$4&amp;",*",集計用!$G:$G, "*, "&amp;$C20&amp;",*"))/$B20*100</f>
        <v>32</v>
      </c>
      <c r="F20" s="41">
        <f>(COUNTIFS(集計用!$AA:$AA, "*, "&amp;F$4&amp;",*",集計用!$G:$G, "*, "&amp;$C20&amp;",*"))/$B20*100</f>
        <v>20</v>
      </c>
      <c r="G20" s="41">
        <f>(COUNTIFS(集計用!$AA:$AA, "*, "&amp;G$4&amp;",*",集計用!$G:$G, "*, "&amp;$C20&amp;",*"))/$B20*100</f>
        <v>32</v>
      </c>
      <c r="H20" s="41">
        <f>(COUNTIFS(集計用!$AA:$AA, "*, "&amp;H$4&amp;",*",集計用!$G:$G, "*, "&amp;$C20&amp;",*"))/$B20*100</f>
        <v>44</v>
      </c>
      <c r="I20" s="41">
        <f>(COUNTIFS(集計用!$AA:$AA, "*, "&amp;I$4&amp;",*",集計用!$G:$G, "*, "&amp;$C20&amp;",*"))/$B20*100</f>
        <v>32</v>
      </c>
      <c r="J20" s="41">
        <f>(COUNTIFS(集計用!$AA:$AA, "*, "&amp;J$4&amp;",*",集計用!$G:$G, "*, "&amp;$C20&amp;",*"))/$B20*100</f>
        <v>0</v>
      </c>
      <c r="K20" s="41">
        <f>(COUNTIFS(集計用!$AA:$AA, "*, "&amp;K$4&amp;",*",集計用!$G:$G, "*, "&amp;$C20&amp;",*"))/$B20*100</f>
        <v>36</v>
      </c>
      <c r="L20" s="41">
        <f>(COUNTIFS(集計用!$AA:$AA, "*, "&amp;L$4&amp;",*",集計用!$G:$G, "*, "&amp;$C20&amp;",*"))/$B20*100</f>
        <v>44</v>
      </c>
      <c r="M20" s="41">
        <f>(COUNTIFS(集計用!$AA:$AA, "*, "&amp;M$4&amp;",*",集計用!$G:$G, "*, "&amp;$C20&amp;",*"))/$B20*100</f>
        <v>28.000000000000004</v>
      </c>
      <c r="N20" s="56">
        <f>(COUNTIFS(集計用!$G$2:$G$444,"*, "&amp;$C20&amp;",*",集計用!$AA$2:$AA$444,"&lt;&gt;無回答",集計用!$AA$2:$AA$444, "&lt;&gt;*"&amp;M$4&amp;"*"))/B20*100</f>
        <v>72</v>
      </c>
      <c r="Q20"/>
      <c r="R20"/>
      <c r="T20"/>
      <c r="V20" s="39"/>
    </row>
    <row r="21" spans="1:23" ht="15.75" customHeight="1">
      <c r="A21" s="39">
        <v>4</v>
      </c>
      <c r="B21" s="39">
        <f>(COUNTIFS(集計用!$G$2:$G$444,"*, "&amp;$C21&amp;",*",集計用!$AA$2:$AA$444,"&lt;&gt;無回答"))</f>
        <v>35</v>
      </c>
      <c r="C21" s="42" t="s">
        <v>18</v>
      </c>
      <c r="D21" s="41">
        <f>(COUNTIFS(集計用!$AA:$AA, "*, "&amp;D$4&amp;",*",集計用!$G:$G, "*, "&amp;$C21&amp;",*"))/$B21*100</f>
        <v>17.142857142857142</v>
      </c>
      <c r="E21" s="41">
        <f>(COUNTIFS(集計用!$AA:$AA, "*, "&amp;E$4&amp;",*",集計用!$G:$G, "*, "&amp;$C21&amp;",*"))/$B21*100</f>
        <v>28.571428571428569</v>
      </c>
      <c r="F21" s="41">
        <f>(COUNTIFS(集計用!$AA:$AA, "*, "&amp;F$4&amp;",*",集計用!$G:$G, "*, "&amp;$C21&amp;",*"))/$B21*100</f>
        <v>14.285714285714285</v>
      </c>
      <c r="G21" s="41">
        <f>(COUNTIFS(集計用!$AA:$AA, "*, "&amp;G$4&amp;",*",集計用!$G:$G, "*, "&amp;$C21&amp;",*"))/$B21*100</f>
        <v>17.142857142857142</v>
      </c>
      <c r="H21" s="41">
        <f>(COUNTIFS(集計用!$AA:$AA, "*, "&amp;H$4&amp;",*",集計用!$G:$G, "*, "&amp;$C21&amp;",*"))/$B21*100</f>
        <v>40</v>
      </c>
      <c r="I21" s="41">
        <f>(COUNTIFS(集計用!$AA:$AA, "*, "&amp;I$4&amp;",*",集計用!$G:$G, "*, "&amp;$C21&amp;",*"))/$B21*100</f>
        <v>17.142857142857142</v>
      </c>
      <c r="J21" s="41">
        <f>(COUNTIFS(集計用!$AA:$AA, "*, "&amp;J$4&amp;",*",集計用!$G:$G, "*, "&amp;$C21&amp;",*"))/$B21*100</f>
        <v>14.285714285714285</v>
      </c>
      <c r="K21" s="41">
        <f>(COUNTIFS(集計用!$AA:$AA, "*, "&amp;K$4&amp;",*",集計用!$G:$G, "*, "&amp;$C21&amp;",*"))/$B21*100</f>
        <v>31.428571428571427</v>
      </c>
      <c r="L21" s="41">
        <f>(COUNTIFS(集計用!$AA:$AA, "*, "&amp;L$4&amp;",*",集計用!$G:$G, "*, "&amp;$C21&amp;",*"))/$B21*100</f>
        <v>31.428571428571427</v>
      </c>
      <c r="M21" s="41">
        <f>(COUNTIFS(集計用!$AA:$AA, "*, "&amp;M$4&amp;",*",集計用!$G:$G, "*, "&amp;$C21&amp;",*"))/$B21*100</f>
        <v>22.857142857142858</v>
      </c>
      <c r="N21" s="56">
        <f>(COUNTIFS(集計用!$G$2:$G$444,"*, "&amp;$C21&amp;",*",集計用!$AA$2:$AA$444,"&lt;&gt;無回答",集計用!$AA$2:$AA$444, "&lt;&gt;*"&amp;M$4&amp;"*"))/B21*100</f>
        <v>77.142857142857153</v>
      </c>
      <c r="Q21"/>
      <c r="R21"/>
      <c r="T21"/>
      <c r="V21" s="39"/>
    </row>
    <row r="22" spans="1:23" ht="15.75" customHeight="1">
      <c r="A22" s="39">
        <v>4</v>
      </c>
      <c r="B22" s="39">
        <f>(COUNTIFS(集計用!$G$2:$G$444,"*, "&amp;$C22&amp;",*",集計用!$AA$2:$AA$444,"&lt;&gt;無回答"))</f>
        <v>22</v>
      </c>
      <c r="C22" s="42" t="s">
        <v>23</v>
      </c>
      <c r="D22" s="41">
        <f>(COUNTIFS(集計用!$AA:$AA, "*, "&amp;D$4&amp;",*",集計用!$G:$G, "*, "&amp;$C22&amp;",*"))/$B22*100</f>
        <v>9.0909090909090917</v>
      </c>
      <c r="E22" s="41">
        <f>(COUNTIFS(集計用!$AA:$AA, "*, "&amp;E$4&amp;",*",集計用!$G:$G, "*, "&amp;$C22&amp;",*"))/$B22*100</f>
        <v>45.454545454545453</v>
      </c>
      <c r="F22" s="41">
        <f>(COUNTIFS(集計用!$AA:$AA, "*, "&amp;F$4&amp;",*",集計用!$G:$G, "*, "&amp;$C22&amp;",*"))/$B22*100</f>
        <v>13.636363636363635</v>
      </c>
      <c r="G22" s="41">
        <f>(COUNTIFS(集計用!$AA:$AA, "*, "&amp;G$4&amp;",*",集計用!$G:$G, "*, "&amp;$C22&amp;",*"))/$B22*100</f>
        <v>22.727272727272727</v>
      </c>
      <c r="H22" s="41">
        <f>(COUNTIFS(集計用!$AA:$AA, "*, "&amp;H$4&amp;",*",集計用!$G:$G, "*, "&amp;$C22&amp;",*"))/$B22*100</f>
        <v>31.818181818181817</v>
      </c>
      <c r="I22" s="41">
        <f>(COUNTIFS(集計用!$AA:$AA, "*, "&amp;I$4&amp;",*",集計用!$G:$G, "*, "&amp;$C22&amp;",*"))/$B22*100</f>
        <v>13.636363636363635</v>
      </c>
      <c r="J22" s="41">
        <f>(COUNTIFS(集計用!$AA:$AA, "*, "&amp;J$4&amp;",*",集計用!$G:$G, "*, "&amp;$C22&amp;",*"))/$B22*100</f>
        <v>4.5454545454545459</v>
      </c>
      <c r="K22" s="41">
        <f>(COUNTIFS(集計用!$AA:$AA, "*, "&amp;K$4&amp;",*",集計用!$G:$G, "*, "&amp;$C22&amp;",*"))/$B22*100</f>
        <v>18.181818181818183</v>
      </c>
      <c r="L22" s="41">
        <f>(COUNTIFS(集計用!$AA:$AA, "*, "&amp;L$4&amp;",*",集計用!$G:$G, "*, "&amp;$C22&amp;",*"))/$B22*100</f>
        <v>36.363636363636367</v>
      </c>
      <c r="M22" s="41">
        <f>(COUNTIFS(集計用!$AA:$AA, "*, "&amp;M$4&amp;",*",集計用!$G:$G, "*, "&amp;$C22&amp;",*"))/$B22*100</f>
        <v>31.818181818181817</v>
      </c>
      <c r="N22" s="56">
        <f>(COUNTIFS(集計用!$G$2:$G$444,"*, "&amp;$C22&amp;",*",集計用!$AA$2:$AA$444,"&lt;&gt;無回答",集計用!$AA$2:$AA$444, "&lt;&gt;*"&amp;M$4&amp;"*"))/B22*100</f>
        <v>68.181818181818173</v>
      </c>
      <c r="Q22"/>
      <c r="R22"/>
      <c r="T22"/>
      <c r="V22" s="39"/>
    </row>
    <row r="23" spans="1:23" ht="15.75" customHeight="1">
      <c r="A23" s="39">
        <v>4</v>
      </c>
      <c r="B23" s="39">
        <f>(COUNTIFS(集計用!$G$2:$G$444,"*, "&amp;$C23&amp;",*",集計用!$AA$2:$AA$444,"&lt;&gt;無回答"))</f>
        <v>15</v>
      </c>
      <c r="C23" s="42" t="s">
        <v>33</v>
      </c>
      <c r="D23" s="41">
        <f>(COUNTIFS(集計用!$AA:$AA, "*, "&amp;D$4&amp;",*",集計用!$G:$G, "*, "&amp;$C23&amp;",*"))/$B23*100</f>
        <v>6.666666666666667</v>
      </c>
      <c r="E23" s="41">
        <f>(COUNTIFS(集計用!$AA:$AA, "*, "&amp;E$4&amp;",*",集計用!$G:$G, "*, "&amp;$C23&amp;",*"))/$B23*100</f>
        <v>40</v>
      </c>
      <c r="F23" s="41">
        <f>(COUNTIFS(集計用!$AA:$AA, "*, "&amp;F$4&amp;",*",集計用!$G:$G, "*, "&amp;$C23&amp;",*"))/$B23*100</f>
        <v>13.333333333333334</v>
      </c>
      <c r="G23" s="41">
        <f>(COUNTIFS(集計用!$AA:$AA, "*, "&amp;G$4&amp;",*",集計用!$G:$G, "*, "&amp;$C23&amp;",*"))/$B23*100</f>
        <v>13.333333333333334</v>
      </c>
      <c r="H23" s="41">
        <f>(COUNTIFS(集計用!$AA:$AA, "*, "&amp;H$4&amp;",*",集計用!$G:$G, "*, "&amp;$C23&amp;",*"))/$B23*100</f>
        <v>26.666666666666668</v>
      </c>
      <c r="I23" s="41">
        <f>(COUNTIFS(集計用!$AA:$AA, "*, "&amp;I$4&amp;",*",集計用!$G:$G, "*, "&amp;$C23&amp;",*"))/$B23*100</f>
        <v>33.333333333333329</v>
      </c>
      <c r="J23" s="41">
        <f>(COUNTIFS(集計用!$AA:$AA, "*, "&amp;J$4&amp;",*",集計用!$G:$G, "*, "&amp;$C23&amp;",*"))/$B23*100</f>
        <v>0</v>
      </c>
      <c r="K23" s="41">
        <f>(COUNTIFS(集計用!$AA:$AA, "*, "&amp;K$4&amp;",*",集計用!$G:$G, "*, "&amp;$C23&amp;",*"))/$B23*100</f>
        <v>33.333333333333329</v>
      </c>
      <c r="L23" s="41">
        <f>(COUNTIFS(集計用!$AA:$AA, "*, "&amp;L$4&amp;",*",集計用!$G:$G, "*, "&amp;$C23&amp;",*"))/$B23*100</f>
        <v>33.333333333333329</v>
      </c>
      <c r="M23" s="41">
        <f>(COUNTIFS(集計用!$AA:$AA, "*, "&amp;M$4&amp;",*",集計用!$G:$G, "*, "&amp;$C23&amp;",*"))/$B23*100</f>
        <v>40</v>
      </c>
      <c r="N23" s="56">
        <f>(COUNTIFS(集計用!$G$2:$G$444,"*, "&amp;$C23&amp;",*",集計用!$AA$2:$AA$444,"&lt;&gt;無回答",集計用!$AA$2:$AA$444, "&lt;&gt;*"&amp;M$4&amp;"*"))/B23*100</f>
        <v>60</v>
      </c>
      <c r="Q23"/>
      <c r="R23"/>
      <c r="T23"/>
      <c r="V23" s="39"/>
    </row>
    <row r="24" spans="1:23" ht="15.75" customHeight="1">
      <c r="A24" s="39">
        <v>4</v>
      </c>
      <c r="B24" s="39">
        <f>(COUNTIFS(集計用!$G$2:$G$444,"*, "&amp;$C24&amp;",*",集計用!$AA$2:$AA$444,"&lt;&gt;無回答"))</f>
        <v>8</v>
      </c>
      <c r="C24" s="42" t="s">
        <v>44</v>
      </c>
      <c r="D24" s="41">
        <f>(COUNTIFS(集計用!$AA:$AA, "*, "&amp;D$4&amp;",*",集計用!$G:$G, "*, "&amp;$C24&amp;",*"))/$B24*100</f>
        <v>12.5</v>
      </c>
      <c r="E24" s="41">
        <f>(COUNTIFS(集計用!$AA:$AA, "*, "&amp;E$4&amp;",*",集計用!$G:$G, "*, "&amp;$C24&amp;",*"))/$B24*100</f>
        <v>75</v>
      </c>
      <c r="F24" s="41">
        <f>(COUNTIFS(集計用!$AA:$AA, "*, "&amp;F$4&amp;",*",集計用!$G:$G, "*, "&amp;$C24&amp;",*"))/$B24*100</f>
        <v>12.5</v>
      </c>
      <c r="G24" s="41">
        <f>(COUNTIFS(集計用!$AA:$AA, "*, "&amp;G$4&amp;",*",集計用!$G:$G, "*, "&amp;$C24&amp;",*"))/$B24*100</f>
        <v>12.5</v>
      </c>
      <c r="H24" s="41">
        <f>(COUNTIFS(集計用!$AA:$AA, "*, "&amp;H$4&amp;",*",集計用!$G:$G, "*, "&amp;$C24&amp;",*"))/$B24*100</f>
        <v>25</v>
      </c>
      <c r="I24" s="41">
        <f>(COUNTIFS(集計用!$AA:$AA, "*, "&amp;I$4&amp;",*",集計用!$G:$G, "*, "&amp;$C24&amp;",*"))/$B24*100</f>
        <v>50</v>
      </c>
      <c r="J24" s="41">
        <f>(COUNTIFS(集計用!$AA:$AA, "*, "&amp;J$4&amp;",*",集計用!$G:$G, "*, "&amp;$C24&amp;",*"))/$B24*100</f>
        <v>12.5</v>
      </c>
      <c r="K24" s="41">
        <f>(COUNTIFS(集計用!$AA:$AA, "*, "&amp;K$4&amp;",*",集計用!$G:$G, "*, "&amp;$C24&amp;",*"))/$B24*100</f>
        <v>37.5</v>
      </c>
      <c r="L24" s="41">
        <f>(COUNTIFS(集計用!$AA:$AA, "*, "&amp;L$4&amp;",*",集計用!$G:$G, "*, "&amp;$C24&amp;",*"))/$B24*100</f>
        <v>62.5</v>
      </c>
      <c r="M24" s="41">
        <f>(COUNTIFS(集計用!$AA:$AA, "*, "&amp;M$4&amp;",*",集計用!$G:$G, "*, "&amp;$C24&amp;",*"))/$B24*100</f>
        <v>25</v>
      </c>
      <c r="N24" s="56">
        <f>(COUNTIFS(集計用!$G$2:$G$444,"*, "&amp;$C24&amp;",*",集計用!$AA$2:$AA$444,"&lt;&gt;無回答",集計用!$AA$2:$AA$444, "&lt;&gt;*"&amp;M$4&amp;"*"))/B24*100</f>
        <v>75</v>
      </c>
      <c r="Q24"/>
      <c r="R24"/>
      <c r="T24"/>
      <c r="V24" s="39"/>
    </row>
    <row r="25" spans="1:23" ht="12.75">
      <c r="A25" s="39">
        <v>4</v>
      </c>
      <c r="B25" s="39">
        <f>(COUNTIFS(集計用!$G$2:$G$444,"*, "&amp;$C25&amp;",*",集計用!$AA$2:$AA$444,"&lt;&gt;無回答"))</f>
        <v>16</v>
      </c>
      <c r="C25" s="42" t="s">
        <v>32</v>
      </c>
      <c r="D25" s="41">
        <f>(COUNTIFS(集計用!$AA:$AA, "*, "&amp;D$4&amp;",*",集計用!$G:$G, "*, "&amp;$C25&amp;",*"))/$B25*100</f>
        <v>18.75</v>
      </c>
      <c r="E25" s="41">
        <f>(COUNTIFS(集計用!$AA:$AA, "*, "&amp;E$4&amp;",*",集計用!$G:$G, "*, "&amp;$C25&amp;",*"))/$B25*100</f>
        <v>18.75</v>
      </c>
      <c r="F25" s="41">
        <f>(COUNTIFS(集計用!$AA:$AA, "*, "&amp;F$4&amp;",*",集計用!$G:$G, "*, "&amp;$C25&amp;",*"))/$B25*100</f>
        <v>12.5</v>
      </c>
      <c r="G25" s="41">
        <f>(COUNTIFS(集計用!$AA:$AA, "*, "&amp;G$4&amp;",*",集計用!$G:$G, "*, "&amp;$C25&amp;",*"))/$B25*100</f>
        <v>18.75</v>
      </c>
      <c r="H25" s="41">
        <f>(COUNTIFS(集計用!$AA:$AA, "*, "&amp;H$4&amp;",*",集計用!$G:$G, "*, "&amp;$C25&amp;",*"))/$B25*100</f>
        <v>25</v>
      </c>
      <c r="I25" s="41">
        <f>(COUNTIFS(集計用!$AA:$AA, "*, "&amp;I$4&amp;",*",集計用!$G:$G, "*, "&amp;$C25&amp;",*"))/$B25*100</f>
        <v>25</v>
      </c>
      <c r="J25" s="41">
        <f>(COUNTIFS(集計用!$AA:$AA, "*, "&amp;J$4&amp;",*",集計用!$G:$G, "*, "&amp;$C25&amp;",*"))/$B25*100</f>
        <v>0</v>
      </c>
      <c r="K25" s="41">
        <f>(COUNTIFS(集計用!$AA:$AA, "*, "&amp;K$4&amp;",*",集計用!$G:$G, "*, "&amp;$C25&amp;",*"))/$B25*100</f>
        <v>18.75</v>
      </c>
      <c r="L25" s="41">
        <f>(COUNTIFS(集計用!$AA:$AA, "*, "&amp;L$4&amp;",*",集計用!$G:$G, "*, "&amp;$C25&amp;",*"))/$B25*100</f>
        <v>18.75</v>
      </c>
      <c r="M25" s="41">
        <f>(COUNTIFS(集計用!$AA:$AA, "*, "&amp;M$4&amp;",*",集計用!$G:$G, "*, "&amp;$C25&amp;",*"))/$B25*100</f>
        <v>56.25</v>
      </c>
      <c r="N25" s="56">
        <f>(COUNTIFS(集計用!$G$2:$G$444,"*, "&amp;$C25&amp;",*",集計用!$AA$2:$AA$444,"&lt;&gt;無回答",集計用!$AA$2:$AA$444, "&lt;&gt;*"&amp;M$4&amp;"*"))/B25*100</f>
        <v>43.75</v>
      </c>
      <c r="Q25"/>
      <c r="R25"/>
      <c r="T25"/>
      <c r="V25" s="39"/>
    </row>
    <row r="26" spans="1:23" ht="12.75">
      <c r="A26" s="39">
        <v>4</v>
      </c>
      <c r="B26" s="39">
        <f>(COUNTIFS(集計用!$G$2:$G$444,"*, "&amp;$C26&amp;",*",集計用!$AA$2:$AA$444,"&lt;&gt;無回答"))</f>
        <v>9</v>
      </c>
      <c r="C26" s="42" t="s">
        <v>40</v>
      </c>
      <c r="D26" s="41">
        <f>(COUNTIFS(集計用!$AA:$AA, "*, "&amp;D$4&amp;",*",集計用!$G:$G, "*, "&amp;$C26&amp;",*"))/$B26*100</f>
        <v>0</v>
      </c>
      <c r="E26" s="41">
        <f>(COUNTIFS(集計用!$AA:$AA, "*, "&amp;E$4&amp;",*",集計用!$G:$G, "*, "&amp;$C26&amp;",*"))/$B26*100</f>
        <v>33.333333333333329</v>
      </c>
      <c r="F26" s="41">
        <f>(COUNTIFS(集計用!$AA:$AA, "*, "&amp;F$4&amp;",*",集計用!$G:$G, "*, "&amp;$C26&amp;",*"))/$B26*100</f>
        <v>11.111111111111111</v>
      </c>
      <c r="G26" s="41">
        <f>(COUNTIFS(集計用!$AA:$AA, "*, "&amp;G$4&amp;",*",集計用!$G:$G, "*, "&amp;$C26&amp;",*"))/$B26*100</f>
        <v>33.333333333333329</v>
      </c>
      <c r="H26" s="41">
        <f>(COUNTIFS(集計用!$AA:$AA, "*, "&amp;H$4&amp;",*",集計用!$G:$G, "*, "&amp;$C26&amp;",*"))/$B26*100</f>
        <v>55.555555555555557</v>
      </c>
      <c r="I26" s="41">
        <f>(COUNTIFS(集計用!$AA:$AA, "*, "&amp;I$4&amp;",*",集計用!$G:$G, "*, "&amp;$C26&amp;",*"))/$B26*100</f>
        <v>33.333333333333329</v>
      </c>
      <c r="J26" s="41">
        <f>(COUNTIFS(集計用!$AA:$AA, "*, "&amp;J$4&amp;",*",集計用!$G:$G, "*, "&amp;$C26&amp;",*"))/$B26*100</f>
        <v>0</v>
      </c>
      <c r="K26" s="41">
        <f>(COUNTIFS(集計用!$AA:$AA, "*, "&amp;K$4&amp;",*",集計用!$G:$G, "*, "&amp;$C26&amp;",*"))/$B26*100</f>
        <v>44.444444444444443</v>
      </c>
      <c r="L26" s="41">
        <f>(COUNTIFS(集計用!$AA:$AA, "*, "&amp;L$4&amp;",*",集計用!$G:$G, "*, "&amp;$C26&amp;",*"))/$B26*100</f>
        <v>33.333333333333329</v>
      </c>
      <c r="M26" s="41">
        <f>(COUNTIFS(集計用!$AA:$AA, "*, "&amp;M$4&amp;",*",集計用!$G:$G, "*, "&amp;$C26&amp;",*"))/$B26*100</f>
        <v>11.111111111111111</v>
      </c>
      <c r="N26" s="56">
        <f>(COUNTIFS(集計用!$G$2:$G$444,"*, "&amp;$C26&amp;",*",集計用!$AA$2:$AA$444,"&lt;&gt;無回答",集計用!$AA$2:$AA$444, "&lt;&gt;*"&amp;M$4&amp;"*"))/B26*100</f>
        <v>88.888888888888886</v>
      </c>
      <c r="Q26"/>
      <c r="R26"/>
      <c r="T26"/>
      <c r="V26" s="39"/>
    </row>
    <row r="27" spans="1:23" ht="12.75">
      <c r="A27" s="39">
        <v>4</v>
      </c>
      <c r="B27" s="39">
        <f>(COUNTIFS(集計用!$G$2:$G$444,"*, "&amp;$C27&amp;",*",集計用!$AA$2:$AA$444,"&lt;&gt;無回答"))</f>
        <v>11</v>
      </c>
      <c r="C27" s="42" t="s">
        <v>37</v>
      </c>
      <c r="D27" s="41">
        <f>(COUNTIFS(集計用!$AA:$AA, "*, "&amp;D$4&amp;",*",集計用!$G:$G, "*, "&amp;$C27&amp;",*"))/$B27*100</f>
        <v>0</v>
      </c>
      <c r="E27" s="41">
        <f>(COUNTIFS(集計用!$AA:$AA, "*, "&amp;E$4&amp;",*",集計用!$G:$G, "*, "&amp;$C27&amp;",*"))/$B27*100</f>
        <v>36.363636363636367</v>
      </c>
      <c r="F27" s="41">
        <f>(COUNTIFS(集計用!$AA:$AA, "*, "&amp;F$4&amp;",*",集計用!$G:$G, "*, "&amp;$C27&amp;",*"))/$B27*100</f>
        <v>9.0909090909090917</v>
      </c>
      <c r="G27" s="41">
        <f>(COUNTIFS(集計用!$AA:$AA, "*, "&amp;G$4&amp;",*",集計用!$G:$G, "*, "&amp;$C27&amp;",*"))/$B27*100</f>
        <v>9.0909090909090917</v>
      </c>
      <c r="H27" s="41">
        <f>(COUNTIFS(集計用!$AA:$AA, "*, "&amp;H$4&amp;",*",集計用!$G:$G, "*, "&amp;$C27&amp;",*"))/$B27*100</f>
        <v>27.27272727272727</v>
      </c>
      <c r="I27" s="41">
        <f>(COUNTIFS(集計用!$AA:$AA, "*, "&amp;I$4&amp;",*",集計用!$G:$G, "*, "&amp;$C27&amp;",*"))/$B27*100</f>
        <v>27.27272727272727</v>
      </c>
      <c r="J27" s="41">
        <f>(COUNTIFS(集計用!$AA:$AA, "*, "&amp;J$4&amp;",*",集計用!$G:$G, "*, "&amp;$C27&amp;",*"))/$B27*100</f>
        <v>18.181818181818183</v>
      </c>
      <c r="K27" s="41">
        <f>(COUNTIFS(集計用!$AA:$AA, "*, "&amp;K$4&amp;",*",集計用!$G:$G, "*, "&amp;$C27&amp;",*"))/$B27*100</f>
        <v>18.181818181818183</v>
      </c>
      <c r="L27" s="41">
        <f>(COUNTIFS(集計用!$AA:$AA, "*, "&amp;L$4&amp;",*",集計用!$G:$G, "*, "&amp;$C27&amp;",*"))/$B27*100</f>
        <v>18.181818181818183</v>
      </c>
      <c r="M27" s="41">
        <f>(COUNTIFS(集計用!$AA:$AA, "*, "&amp;M$4&amp;",*",集計用!$G:$G, "*, "&amp;$C27&amp;",*"))/$B27*100</f>
        <v>45.454545454545453</v>
      </c>
      <c r="N27" s="56">
        <f>(COUNTIFS(集計用!$G$2:$G$444,"*, "&amp;$C27&amp;",*",集計用!$AA$2:$AA$444,"&lt;&gt;無回答",集計用!$AA$2:$AA$444, "&lt;&gt;*"&amp;M$4&amp;"*"))/B27*100</f>
        <v>54.54545454545454</v>
      </c>
      <c r="Q27"/>
      <c r="R27"/>
      <c r="T27"/>
      <c r="V27" s="39"/>
    </row>
    <row r="28" spans="1:23" ht="15.75" customHeight="1">
      <c r="A28" s="39">
        <v>4</v>
      </c>
      <c r="B28" s="39">
        <f>(COUNTIFS(集計用!$G$2:$G$444,"*, "&amp;$C28&amp;",*",集計用!$AA$2:$AA$444,"&lt;&gt;無回答"))</f>
        <v>71</v>
      </c>
      <c r="C28" s="42" t="s">
        <v>5</v>
      </c>
      <c r="D28" s="41">
        <f>(COUNTIFS(集計用!$AA:$AA, "*, "&amp;D$4&amp;",*",集計用!$G:$G, "*, "&amp;$C28&amp;",*"))/$B28*100</f>
        <v>5.6338028169014089</v>
      </c>
      <c r="E28" s="41">
        <f>(COUNTIFS(集計用!$AA:$AA, "*, "&amp;E$4&amp;",*",集計用!$G:$G, "*, "&amp;$C28&amp;",*"))/$B28*100</f>
        <v>26.760563380281688</v>
      </c>
      <c r="F28" s="41">
        <f>(COUNTIFS(集計用!$AA:$AA, "*, "&amp;F$4&amp;",*",集計用!$G:$G, "*, "&amp;$C28&amp;",*"))/$B28*100</f>
        <v>5.6338028169014089</v>
      </c>
      <c r="G28" s="41">
        <f>(COUNTIFS(集計用!$AA:$AA, "*, "&amp;G$4&amp;",*",集計用!$G:$G, "*, "&amp;$C28&amp;",*"))/$B28*100</f>
        <v>26.760563380281688</v>
      </c>
      <c r="H28" s="41">
        <f>(COUNTIFS(集計用!$AA:$AA, "*, "&amp;H$4&amp;",*",集計用!$G:$G, "*, "&amp;$C28&amp;",*"))/$B28*100</f>
        <v>28.169014084507044</v>
      </c>
      <c r="I28" s="41">
        <f>(COUNTIFS(集計用!$AA:$AA, "*, "&amp;I$4&amp;",*",集計用!$G:$G, "*, "&amp;$C28&amp;",*"))/$B28*100</f>
        <v>15.492957746478872</v>
      </c>
      <c r="J28" s="41">
        <f>(COUNTIFS(集計用!$AA:$AA, "*, "&amp;J$4&amp;",*",集計用!$G:$G, "*, "&amp;$C28&amp;",*"))/$B28*100</f>
        <v>9.8591549295774641</v>
      </c>
      <c r="K28" s="41">
        <f>(COUNTIFS(集計用!$AA:$AA, "*, "&amp;K$4&amp;",*",集計用!$G:$G, "*, "&amp;$C28&amp;",*"))/$B28*100</f>
        <v>22.535211267605636</v>
      </c>
      <c r="L28" s="41">
        <f>(COUNTIFS(集計用!$AA:$AA, "*, "&amp;L$4&amp;",*",集計用!$G:$G, "*, "&amp;$C28&amp;",*"))/$B28*100</f>
        <v>28.169014084507044</v>
      </c>
      <c r="M28" s="41">
        <f>(COUNTIFS(集計用!$AA:$AA, "*, "&amp;M$4&amp;",*",集計用!$G:$G, "*, "&amp;$C28&amp;",*"))/$B28*100</f>
        <v>40.845070422535215</v>
      </c>
      <c r="N28" s="56">
        <f>(COUNTIFS(集計用!$G$2:$G$444,"*, "&amp;$C28&amp;",*",集計用!$AA$2:$AA$444,"&lt;&gt;無回答",集計用!$AA$2:$AA$444, "&lt;&gt;*"&amp;M$4&amp;"*"))/B28*100</f>
        <v>59.154929577464785</v>
      </c>
      <c r="Q28"/>
      <c r="R28"/>
      <c r="T28"/>
      <c r="V28" s="39"/>
    </row>
    <row r="29" spans="1:23" ht="15.75" customHeight="1">
      <c r="A29" s="39">
        <v>4</v>
      </c>
      <c r="B29" s="39">
        <f>(COUNTIFS(集計用!$G$2:$G$444,"*, "&amp;$C29&amp;",*",集計用!$AA$2:$AA$444,"&lt;&gt;無回答"))</f>
        <v>18</v>
      </c>
      <c r="C29" s="42" t="s">
        <v>27</v>
      </c>
      <c r="D29" s="41">
        <f>(COUNTIFS(集計用!$AA:$AA, "*, "&amp;D$4&amp;",*",集計用!$G:$G, "*, "&amp;$C29&amp;",*"))/$B29*100</f>
        <v>5.5555555555555554</v>
      </c>
      <c r="E29" s="41">
        <f>(COUNTIFS(集計用!$AA:$AA, "*, "&amp;E$4&amp;",*",集計用!$G:$G, "*, "&amp;$C29&amp;",*"))/$B29*100</f>
        <v>33.333333333333329</v>
      </c>
      <c r="F29" s="41">
        <f>(COUNTIFS(集計用!$AA:$AA, "*, "&amp;F$4&amp;",*",集計用!$G:$G, "*, "&amp;$C29&amp;",*"))/$B29*100</f>
        <v>5.5555555555555554</v>
      </c>
      <c r="G29" s="41">
        <f>(COUNTIFS(集計用!$AA:$AA, "*, "&amp;G$4&amp;",*",集計用!$G:$G, "*, "&amp;$C29&amp;",*"))/$B29*100</f>
        <v>5.5555555555555554</v>
      </c>
      <c r="H29" s="41">
        <f>(COUNTIFS(集計用!$AA:$AA, "*, "&amp;H$4&amp;",*",集計用!$G:$G, "*, "&amp;$C29&amp;",*"))/$B29*100</f>
        <v>5.5555555555555554</v>
      </c>
      <c r="I29" s="41">
        <f>(COUNTIFS(集計用!$AA:$AA, "*, "&amp;I$4&amp;",*",集計用!$G:$G, "*, "&amp;$C29&amp;",*"))/$B29*100</f>
        <v>22.222222222222221</v>
      </c>
      <c r="J29" s="41">
        <f>(COUNTIFS(集計用!$AA:$AA, "*, "&amp;J$4&amp;",*",集計用!$G:$G, "*, "&amp;$C29&amp;",*"))/$B29*100</f>
        <v>5.5555555555555554</v>
      </c>
      <c r="K29" s="41">
        <f>(COUNTIFS(集計用!$AA:$AA, "*, "&amp;K$4&amp;",*",集計用!$G:$G, "*, "&amp;$C29&amp;",*"))/$B29*100</f>
        <v>22.222222222222221</v>
      </c>
      <c r="L29" s="41">
        <f>(COUNTIFS(集計用!$AA:$AA, "*, "&amp;L$4&amp;",*",集計用!$G:$G, "*, "&amp;$C29&amp;",*"))/$B29*100</f>
        <v>11.111111111111111</v>
      </c>
      <c r="M29" s="41">
        <f>(COUNTIFS(集計用!$AA:$AA, "*, "&amp;M$4&amp;",*",集計用!$G:$G, "*, "&amp;$C29&amp;",*"))/$B29*100</f>
        <v>55.555555555555557</v>
      </c>
      <c r="N29" s="56">
        <f>(COUNTIFS(集計用!$G$2:$G$444,"*, "&amp;$C29&amp;",*",集計用!$AA$2:$AA$444,"&lt;&gt;無回答",集計用!$AA$2:$AA$444, "&lt;&gt;*"&amp;M$4&amp;"*"))/B29*100</f>
        <v>44.444444444444443</v>
      </c>
      <c r="O29" s="41"/>
      <c r="P29" s="41"/>
      <c r="Q29" s="41"/>
      <c r="R29" s="41"/>
      <c r="S29" s="41"/>
      <c r="T29" s="41"/>
      <c r="V29" s="39"/>
    </row>
    <row r="30" spans="1:23" ht="12.75">
      <c r="A30" s="39">
        <v>4</v>
      </c>
      <c r="B30" s="39">
        <f>(COUNTIFS(集計用!$G$2:$G$444,"*, "&amp;$C30&amp;",*",集計用!$AA$2:$AA$444,"&lt;&gt;無回答"))</f>
        <v>22</v>
      </c>
      <c r="C30" s="42" t="s">
        <v>24</v>
      </c>
      <c r="D30" s="41">
        <f>(COUNTIFS(集計用!$AA:$AA, "*, "&amp;D$4&amp;",*",集計用!$G:$G, "*, "&amp;$C30&amp;",*"))/$B30*100</f>
        <v>9.0909090909090917</v>
      </c>
      <c r="E30" s="41">
        <f>(COUNTIFS(集計用!$AA:$AA, "*, "&amp;E$4&amp;",*",集計用!$G:$G, "*, "&amp;$C30&amp;",*"))/$B30*100</f>
        <v>36.363636363636367</v>
      </c>
      <c r="F30" s="41">
        <f>(COUNTIFS(集計用!$AA:$AA, "*, "&amp;F$4&amp;",*",集計用!$G:$G, "*, "&amp;$C30&amp;",*"))/$B30*100</f>
        <v>4.5454545454545459</v>
      </c>
      <c r="G30" s="41">
        <f>(COUNTIFS(集計用!$AA:$AA, "*, "&amp;G$4&amp;",*",集計用!$G:$G, "*, "&amp;$C30&amp;",*"))/$B30*100</f>
        <v>18.181818181818183</v>
      </c>
      <c r="H30" s="41">
        <f>(COUNTIFS(集計用!$AA:$AA, "*, "&amp;H$4&amp;",*",集計用!$G:$G, "*, "&amp;$C30&amp;",*"))/$B30*100</f>
        <v>50</v>
      </c>
      <c r="I30" s="41">
        <f>(COUNTIFS(集計用!$AA:$AA, "*, "&amp;I$4&amp;",*",集計用!$G:$G, "*, "&amp;$C30&amp;",*"))/$B30*100</f>
        <v>31.818181818181817</v>
      </c>
      <c r="J30" s="41">
        <f>(COUNTIFS(集計用!$AA:$AA, "*, "&amp;J$4&amp;",*",集計用!$G:$G, "*, "&amp;$C30&amp;",*"))/$B30*100</f>
        <v>9.0909090909090917</v>
      </c>
      <c r="K30" s="41">
        <f>(COUNTIFS(集計用!$AA:$AA, "*, "&amp;K$4&amp;",*",集計用!$G:$G, "*, "&amp;$C30&amp;",*"))/$B30*100</f>
        <v>36.363636363636367</v>
      </c>
      <c r="L30" s="41">
        <f>(COUNTIFS(集計用!$AA:$AA, "*, "&amp;L$4&amp;",*",集計用!$G:$G, "*, "&amp;$C30&amp;",*"))/$B30*100</f>
        <v>45.454545454545453</v>
      </c>
      <c r="M30" s="41">
        <f>(COUNTIFS(集計用!$AA:$AA, "*, "&amp;M$4&amp;",*",集計用!$G:$G, "*, "&amp;$C30&amp;",*"))/$B30*100</f>
        <v>22.727272727272727</v>
      </c>
      <c r="N30" s="56">
        <f>(COUNTIFS(集計用!$G$2:$G$444,"*, "&amp;$C30&amp;",*",集計用!$AA$2:$AA$444,"&lt;&gt;無回答",集計用!$AA$2:$AA$444, "&lt;&gt;*"&amp;M$4&amp;"*"))/B30*100</f>
        <v>77.272727272727266</v>
      </c>
      <c r="O30" s="41"/>
      <c r="P30" s="41"/>
      <c r="Q30" s="41"/>
      <c r="R30" s="41"/>
      <c r="S30" s="41"/>
      <c r="T30" s="41"/>
      <c r="V30" s="39"/>
    </row>
    <row r="31" spans="1:23" ht="15.75" customHeight="1">
      <c r="A31" s="39">
        <v>4</v>
      </c>
      <c r="B31" s="39">
        <f>(COUNTIFS(集計用!$G$2:$G$444,"*, "&amp;$C31&amp;",*",集計用!$AA$2:$AA$444,"&lt;&gt;無回答"))</f>
        <v>46</v>
      </c>
      <c r="C31" s="42" t="s">
        <v>14</v>
      </c>
      <c r="D31" s="41">
        <f>(COUNTIFS(集計用!$AA:$AA, "*, "&amp;D$4&amp;",*",集計用!$G:$G, "*, "&amp;$C31&amp;",*"))/$B31*100</f>
        <v>8.695652173913043</v>
      </c>
      <c r="E31" s="41">
        <f>(COUNTIFS(集計用!$AA:$AA, "*, "&amp;E$4&amp;",*",集計用!$G:$G, "*, "&amp;$C31&amp;",*"))/$B31*100</f>
        <v>23.913043478260871</v>
      </c>
      <c r="F31" s="41">
        <f>(COUNTIFS(集計用!$AA:$AA, "*, "&amp;F$4&amp;",*",集計用!$G:$G, "*, "&amp;$C31&amp;",*"))/$B31*100</f>
        <v>4.3478260869565215</v>
      </c>
      <c r="G31" s="41">
        <f>(COUNTIFS(集計用!$AA:$AA, "*, "&amp;G$4&amp;",*",集計用!$G:$G, "*, "&amp;$C31&amp;",*"))/$B31*100</f>
        <v>21.739130434782609</v>
      </c>
      <c r="H31" s="41">
        <f>(COUNTIFS(集計用!$AA:$AA, "*, "&amp;H$4&amp;",*",集計用!$G:$G, "*, "&amp;$C31&amp;",*"))/$B31*100</f>
        <v>23.913043478260871</v>
      </c>
      <c r="I31" s="41">
        <f>(COUNTIFS(集計用!$AA:$AA, "*, "&amp;I$4&amp;",*",集計用!$G:$G, "*, "&amp;$C31&amp;",*"))/$B31*100</f>
        <v>21.739130434782609</v>
      </c>
      <c r="J31" s="41">
        <f>(COUNTIFS(集計用!$AA:$AA, "*, "&amp;J$4&amp;",*",集計用!$G:$G, "*, "&amp;$C31&amp;",*"))/$B31*100</f>
        <v>4.3478260869565215</v>
      </c>
      <c r="K31" s="41">
        <f>(COUNTIFS(集計用!$AA:$AA, "*, "&amp;K$4&amp;",*",集計用!$G:$G, "*, "&amp;$C31&amp;",*"))/$B31*100</f>
        <v>23.913043478260871</v>
      </c>
      <c r="L31" s="41">
        <f>(COUNTIFS(集計用!$AA:$AA, "*, "&amp;L$4&amp;",*",集計用!$G:$G, "*, "&amp;$C31&amp;",*"))/$B31*100</f>
        <v>30.434782608695656</v>
      </c>
      <c r="M31" s="41">
        <f>(COUNTIFS(集計用!$AA:$AA, "*, "&amp;M$4&amp;",*",集計用!$G:$G, "*, "&amp;$C31&amp;",*"))/$B31*100</f>
        <v>41.304347826086953</v>
      </c>
      <c r="N31" s="56">
        <f>(COUNTIFS(集計用!$G$2:$G$444,"*, "&amp;$C31&amp;",*",集計用!$AA$2:$AA$444,"&lt;&gt;無回答",集計用!$AA$2:$AA$444, "&lt;&gt;*"&amp;M$4&amp;"*"))/B31*100</f>
        <v>58.695652173913047</v>
      </c>
      <c r="O31" s="41"/>
      <c r="P31" s="41"/>
      <c r="Q31" s="41"/>
      <c r="R31" s="41"/>
      <c r="S31" s="41"/>
      <c r="T31" s="41"/>
      <c r="V31" s="39"/>
    </row>
    <row r="32" spans="1:23" ht="12.75">
      <c r="A32" s="39">
        <v>4</v>
      </c>
      <c r="B32" s="39">
        <f>(COUNTIFS(集計用!$G$2:$G$444,"*, "&amp;$C32&amp;",*",集計用!$AA$2:$AA$444,"&lt;&gt;無回答"))</f>
        <v>7</v>
      </c>
      <c r="C32" s="42" t="s">
        <v>43</v>
      </c>
      <c r="D32" s="41">
        <f>(COUNTIFS(集計用!$AA:$AA, "*, "&amp;D$4&amp;",*",集計用!$G:$G, "*, "&amp;$C32&amp;",*"))/$B32*100</f>
        <v>0</v>
      </c>
      <c r="E32" s="41">
        <f>(COUNTIFS(集計用!$AA:$AA, "*, "&amp;E$4&amp;",*",集計用!$G:$G, "*, "&amp;$C32&amp;",*"))/$B32*100</f>
        <v>42.857142857142854</v>
      </c>
      <c r="F32" s="41">
        <f>(COUNTIFS(集計用!$AA:$AA, "*, "&amp;F$4&amp;",*",集計用!$G:$G, "*, "&amp;$C32&amp;",*"))/$B32*100</f>
        <v>0</v>
      </c>
      <c r="G32" s="41">
        <f>(COUNTIFS(集計用!$AA:$AA, "*, "&amp;G$4&amp;",*",集計用!$G:$G, "*, "&amp;$C32&amp;",*"))/$B32*100</f>
        <v>28.571428571428569</v>
      </c>
      <c r="H32" s="41">
        <f>(COUNTIFS(集計用!$AA:$AA, "*, "&amp;H$4&amp;",*",集計用!$G:$G, "*, "&amp;$C32&amp;",*"))/$B32*100</f>
        <v>28.571428571428569</v>
      </c>
      <c r="I32" s="41">
        <f>(COUNTIFS(集計用!$AA:$AA, "*, "&amp;I$4&amp;",*",集計用!$G:$G, "*, "&amp;$C32&amp;",*"))/$B32*100</f>
        <v>14.285714285714285</v>
      </c>
      <c r="J32" s="41">
        <f>(COUNTIFS(集計用!$AA:$AA, "*, "&amp;J$4&amp;",*",集計用!$G:$G, "*, "&amp;$C32&amp;",*"))/$B32*100</f>
        <v>0</v>
      </c>
      <c r="K32" s="41">
        <f>(COUNTIFS(集計用!$AA:$AA, "*, "&amp;K$4&amp;",*",集計用!$G:$G, "*, "&amp;$C32&amp;",*"))/$B32*100</f>
        <v>57.142857142857139</v>
      </c>
      <c r="L32" s="41">
        <f>(COUNTIFS(集計用!$AA:$AA, "*, "&amp;L$4&amp;",*",集計用!$G:$G, "*, "&amp;$C32&amp;",*"))/$B32*100</f>
        <v>57.142857142857139</v>
      </c>
      <c r="M32" s="41">
        <f>(COUNTIFS(集計用!$AA:$AA, "*, "&amp;M$4&amp;",*",集計用!$G:$G, "*, "&amp;$C32&amp;",*"))/$B32*100</f>
        <v>28.571428571428569</v>
      </c>
      <c r="N32" s="56">
        <f>(COUNTIFS(集計用!$G$2:$G$444,"*, "&amp;$C32&amp;",*",集計用!$AA$2:$AA$444,"&lt;&gt;無回答",集計用!$AA$2:$AA$444, "&lt;&gt;*"&amp;M$4&amp;"*"))/B32*100</f>
        <v>71.428571428571431</v>
      </c>
      <c r="O32" s="41"/>
      <c r="P32" s="41"/>
      <c r="Q32" s="41"/>
      <c r="R32" s="41"/>
      <c r="S32" s="41"/>
      <c r="T32" s="41"/>
      <c r="V32" s="39"/>
    </row>
    <row r="33" spans="1:22" ht="12.75">
      <c r="A33" s="39">
        <v>4</v>
      </c>
      <c r="B33" s="39">
        <f>(COUNTIFS(集計用!$G$2:$G$444,"*, "&amp;$C33&amp;",*",集計用!$AA$2:$AA$444,"&lt;&gt;無回答"))</f>
        <v>12</v>
      </c>
      <c r="C33" s="42" t="s">
        <v>36</v>
      </c>
      <c r="D33" s="41">
        <f>(COUNTIFS(集計用!$AA:$AA, "*, "&amp;D$4&amp;",*",集計用!$G:$G, "*, "&amp;$C33&amp;",*"))/$B33*100</f>
        <v>0</v>
      </c>
      <c r="E33" s="41">
        <f>(COUNTIFS(集計用!$AA:$AA, "*, "&amp;E$4&amp;",*",集計用!$G:$G, "*, "&amp;$C33&amp;",*"))/$B33*100</f>
        <v>41.666666666666671</v>
      </c>
      <c r="F33" s="41">
        <f>(COUNTIFS(集計用!$AA:$AA, "*, "&amp;F$4&amp;",*",集計用!$G:$G, "*, "&amp;$C33&amp;",*"))/$B33*100</f>
        <v>0</v>
      </c>
      <c r="G33" s="41">
        <f>(COUNTIFS(集計用!$AA:$AA, "*, "&amp;G$4&amp;",*",集計用!$G:$G, "*, "&amp;$C33&amp;",*"))/$B33*100</f>
        <v>33.333333333333329</v>
      </c>
      <c r="H33" s="41">
        <f>(COUNTIFS(集計用!$AA:$AA, "*, "&amp;H$4&amp;",*",集計用!$G:$G, "*, "&amp;$C33&amp;",*"))/$B33*100</f>
        <v>25</v>
      </c>
      <c r="I33" s="41">
        <f>(COUNTIFS(集計用!$AA:$AA, "*, "&amp;I$4&amp;",*",集計用!$G:$G, "*, "&amp;$C33&amp;",*"))/$B33*100</f>
        <v>33.333333333333329</v>
      </c>
      <c r="J33" s="41">
        <f>(COUNTIFS(集計用!$AA:$AA, "*, "&amp;J$4&amp;",*",集計用!$G:$G, "*, "&amp;$C33&amp;",*"))/$B33*100</f>
        <v>8.3333333333333321</v>
      </c>
      <c r="K33" s="41">
        <f>(COUNTIFS(集計用!$AA:$AA, "*, "&amp;K$4&amp;",*",集計用!$G:$G, "*, "&amp;$C33&amp;",*"))/$B33*100</f>
        <v>41.666666666666671</v>
      </c>
      <c r="L33" s="41">
        <f>(COUNTIFS(集計用!$AA:$AA, "*, "&amp;L$4&amp;",*",集計用!$G:$G, "*, "&amp;$C33&amp;",*"))/$B33*100</f>
        <v>25</v>
      </c>
      <c r="M33" s="41">
        <f>(COUNTIFS(集計用!$AA:$AA, "*, "&amp;M$4&amp;",*",集計用!$G:$G, "*, "&amp;$C33&amp;",*"))/$B33*100</f>
        <v>25</v>
      </c>
      <c r="N33" s="56">
        <f>(COUNTIFS(集計用!$G$2:$G$444,"*, "&amp;$C33&amp;",*",集計用!$AA$2:$AA$444,"&lt;&gt;無回答",集計用!$AA$2:$AA$444, "&lt;&gt;*"&amp;M$4&amp;"*"))/B33*100</f>
        <v>75</v>
      </c>
      <c r="O33" s="41"/>
      <c r="P33" s="41"/>
      <c r="Q33" s="41"/>
      <c r="R33" s="41"/>
      <c r="S33" s="41"/>
      <c r="T33" s="41"/>
      <c r="V33" s="39"/>
    </row>
    <row r="34" spans="1:22" ht="12.75">
      <c r="A34" s="39">
        <v>4</v>
      </c>
      <c r="B34" s="39">
        <f>(COUNTIFS(集計用!$G$2:$G$444,"*, "&amp;$C34&amp;",*",集計用!$AA$2:$AA$444,"&lt;&gt;無回答"))</f>
        <v>5</v>
      </c>
      <c r="C34" s="42" t="s">
        <v>50</v>
      </c>
      <c r="D34" s="41">
        <f>(COUNTIFS(集計用!$AA:$AA, "*, "&amp;D$4&amp;",*",集計用!$G:$G, "*, "&amp;$C34&amp;",*"))/$B34*100</f>
        <v>0</v>
      </c>
      <c r="E34" s="41">
        <f>(COUNTIFS(集計用!$AA:$AA, "*, "&amp;E$4&amp;",*",集計用!$G:$G, "*, "&amp;$C34&amp;",*"))/$B34*100</f>
        <v>40</v>
      </c>
      <c r="F34" s="41">
        <f>(COUNTIFS(集計用!$AA:$AA, "*, "&amp;F$4&amp;",*",集計用!$G:$G, "*, "&amp;$C34&amp;",*"))/$B34*100</f>
        <v>0</v>
      </c>
      <c r="G34" s="41">
        <f>(COUNTIFS(集計用!$AA:$AA, "*, "&amp;G$4&amp;",*",集計用!$G:$G, "*, "&amp;$C34&amp;",*"))/$B34*100</f>
        <v>0</v>
      </c>
      <c r="H34" s="41">
        <f>(COUNTIFS(集計用!$AA:$AA, "*, "&amp;H$4&amp;",*",集計用!$G:$G, "*, "&amp;$C34&amp;",*"))/$B34*100</f>
        <v>20</v>
      </c>
      <c r="I34" s="41">
        <f>(COUNTIFS(集計用!$AA:$AA, "*, "&amp;I$4&amp;",*",集計用!$G:$G, "*, "&amp;$C34&amp;",*"))/$B34*100</f>
        <v>20</v>
      </c>
      <c r="J34" s="41">
        <f>(COUNTIFS(集計用!$AA:$AA, "*, "&amp;J$4&amp;",*",集計用!$G:$G, "*, "&amp;$C34&amp;",*"))/$B34*100</f>
        <v>20</v>
      </c>
      <c r="K34" s="41">
        <f>(COUNTIFS(集計用!$AA:$AA, "*, "&amp;K$4&amp;",*",集計用!$G:$G, "*, "&amp;$C34&amp;",*"))/$B34*100</f>
        <v>40</v>
      </c>
      <c r="L34" s="41">
        <f>(COUNTIFS(集計用!$AA:$AA, "*, "&amp;L$4&amp;",*",集計用!$G:$G, "*, "&amp;$C34&amp;",*"))/$B34*100</f>
        <v>20</v>
      </c>
      <c r="M34" s="41">
        <f>(COUNTIFS(集計用!$AA:$AA, "*, "&amp;M$4&amp;",*",集計用!$G:$G, "*, "&amp;$C34&amp;",*"))/$B34*100</f>
        <v>40</v>
      </c>
      <c r="N34" s="56">
        <f>(COUNTIFS(集計用!$G$2:$G$444,"*, "&amp;$C34&amp;",*",集計用!$AA$2:$AA$444,"&lt;&gt;無回答",集計用!$AA$2:$AA$444, "&lt;&gt;*"&amp;M$4&amp;"*"))/B34*100</f>
        <v>60</v>
      </c>
      <c r="O34" s="41"/>
      <c r="P34" s="41"/>
      <c r="Q34" s="41"/>
      <c r="R34" s="41"/>
      <c r="S34" s="41"/>
      <c r="T34" s="41"/>
      <c r="V34" s="39"/>
    </row>
    <row r="35" spans="1:22" ht="15.75" customHeight="1">
      <c r="A35" s="39">
        <v>4</v>
      </c>
      <c r="B35" s="39">
        <f>(COUNTIFS(集計用!$G$2:$G$444,"*, "&amp;$C35&amp;",*",集計用!$AA$2:$AA$444,"&lt;&gt;無回答"))</f>
        <v>8</v>
      </c>
      <c r="C35" s="42" t="s">
        <v>42</v>
      </c>
      <c r="D35" s="41">
        <f>(COUNTIFS(集計用!$AA:$AA, "*, "&amp;D$4&amp;",*",集計用!$G:$G, "*, "&amp;$C35&amp;",*"))/$B35*100</f>
        <v>0</v>
      </c>
      <c r="E35" s="41">
        <f>(COUNTIFS(集計用!$AA:$AA, "*, "&amp;E$4&amp;",*",集計用!$G:$G, "*, "&amp;$C35&amp;",*"))/$B35*100</f>
        <v>12.5</v>
      </c>
      <c r="F35" s="41">
        <f>(COUNTIFS(集計用!$AA:$AA, "*, "&amp;F$4&amp;",*",集計用!$G:$G, "*, "&amp;$C35&amp;",*"))/$B35*100</f>
        <v>0</v>
      </c>
      <c r="G35" s="41">
        <f>(COUNTIFS(集計用!$AA:$AA, "*, "&amp;G$4&amp;",*",集計用!$G:$G, "*, "&amp;$C35&amp;",*"))/$B35*100</f>
        <v>0</v>
      </c>
      <c r="H35" s="41">
        <f>(COUNTIFS(集計用!$AA:$AA, "*, "&amp;H$4&amp;",*",集計用!$G:$G, "*, "&amp;$C35&amp;",*"))/$B35*100</f>
        <v>12.5</v>
      </c>
      <c r="I35" s="41">
        <f>(COUNTIFS(集計用!$AA:$AA, "*, "&amp;I$4&amp;",*",集計用!$G:$G, "*, "&amp;$C35&amp;",*"))/$B35*100</f>
        <v>25</v>
      </c>
      <c r="J35" s="41">
        <f>(COUNTIFS(集計用!$AA:$AA, "*, "&amp;J$4&amp;",*",集計用!$G:$G, "*, "&amp;$C35&amp;",*"))/$B35*100</f>
        <v>0</v>
      </c>
      <c r="K35" s="41">
        <f>(COUNTIFS(集計用!$AA:$AA, "*, "&amp;K$4&amp;",*",集計用!$G:$G, "*, "&amp;$C35&amp;",*"))/$B35*100</f>
        <v>12.5</v>
      </c>
      <c r="L35" s="41">
        <f>(COUNTIFS(集計用!$AA:$AA, "*, "&amp;L$4&amp;",*",集計用!$G:$G, "*, "&amp;$C35&amp;",*"))/$B35*100</f>
        <v>12.5</v>
      </c>
      <c r="M35" s="41">
        <f>(COUNTIFS(集計用!$AA:$AA, "*, "&amp;M$4&amp;",*",集計用!$G:$G, "*, "&amp;$C35&amp;",*"))/$B35*100</f>
        <v>62.5</v>
      </c>
      <c r="N35" s="56">
        <f>(COUNTIFS(集計用!$G$2:$G$444,"*, "&amp;$C35&amp;",*",集計用!$AA$2:$AA$444,"&lt;&gt;無回答",集計用!$AA$2:$AA$444, "&lt;&gt;*"&amp;M$4&amp;"*"))/B35*100</f>
        <v>37.5</v>
      </c>
      <c r="O35" s="41"/>
      <c r="P35" s="41"/>
      <c r="Q35" s="41"/>
      <c r="R35" s="41"/>
      <c r="S35" s="41"/>
      <c r="T35" s="41"/>
      <c r="V35" s="39"/>
    </row>
    <row r="36" spans="1:22" ht="15.75" customHeight="1">
      <c r="A36" s="39">
        <v>4</v>
      </c>
      <c r="B36" s="39">
        <f>(COUNTIFS(集計用!$G$2:$G$444,"*, "&amp;$C36&amp;",*",集計用!$AA$2:$AA$444,"&lt;&gt;無回答"))</f>
        <v>15</v>
      </c>
      <c r="C36" s="42" t="s">
        <v>31</v>
      </c>
      <c r="D36" s="41">
        <f>(COUNTIFS(集計用!$AA:$AA, "*, "&amp;D$4&amp;",*",集計用!$G:$G, "*, "&amp;$C36&amp;",*"))/$B36*100</f>
        <v>0</v>
      </c>
      <c r="E36" s="41">
        <f>(COUNTIFS(集計用!$AA:$AA, "*, "&amp;E$4&amp;",*",集計用!$G:$G, "*, "&amp;$C36&amp;",*"))/$B36*100</f>
        <v>6.666666666666667</v>
      </c>
      <c r="F36" s="41">
        <f>(COUNTIFS(集計用!$AA:$AA, "*, "&amp;F$4&amp;",*",集計用!$G:$G, "*, "&amp;$C36&amp;",*"))/$B36*100</f>
        <v>0</v>
      </c>
      <c r="G36" s="41">
        <f>(COUNTIFS(集計用!$AA:$AA, "*, "&amp;G$4&amp;",*",集計用!$G:$G, "*, "&amp;$C36&amp;",*"))/$B36*100</f>
        <v>13.333333333333334</v>
      </c>
      <c r="H36" s="41">
        <f>(COUNTIFS(集計用!$AA:$AA, "*, "&amp;H$4&amp;",*",集計用!$G:$G, "*, "&amp;$C36&amp;",*"))/$B36*100</f>
        <v>13.333333333333334</v>
      </c>
      <c r="I36" s="41">
        <f>(COUNTIFS(集計用!$AA:$AA, "*, "&amp;I$4&amp;",*",集計用!$G:$G, "*, "&amp;$C36&amp;",*"))/$B36*100</f>
        <v>6.666666666666667</v>
      </c>
      <c r="J36" s="41">
        <f>(COUNTIFS(集計用!$AA:$AA, "*, "&amp;J$4&amp;",*",集計用!$G:$G, "*, "&amp;$C36&amp;",*"))/$B36*100</f>
        <v>0</v>
      </c>
      <c r="K36" s="41">
        <f>(COUNTIFS(集計用!$AA:$AA, "*, "&amp;K$4&amp;",*",集計用!$G:$G, "*, "&amp;$C36&amp;",*"))/$B36*100</f>
        <v>20</v>
      </c>
      <c r="L36" s="41">
        <f>(COUNTIFS(集計用!$AA:$AA, "*, "&amp;L$4&amp;",*",集計用!$G:$G, "*, "&amp;$C36&amp;",*"))/$B36*100</f>
        <v>6.666666666666667</v>
      </c>
      <c r="M36" s="41">
        <f>(COUNTIFS(集計用!$AA:$AA, "*, "&amp;M$4&amp;",*",集計用!$G:$G, "*, "&amp;$C36&amp;",*"))/$B36*100</f>
        <v>66.666666666666657</v>
      </c>
      <c r="N36" s="56">
        <f>(COUNTIFS(集計用!$G$2:$G$444,"*, "&amp;$C36&amp;",*",集計用!$AA$2:$AA$444,"&lt;&gt;無回答",集計用!$AA$2:$AA$444, "&lt;&gt;*"&amp;M$4&amp;"*"))/B36*100</f>
        <v>33.333333333333329</v>
      </c>
      <c r="O36" s="41"/>
      <c r="P36" s="41"/>
      <c r="Q36" s="41"/>
      <c r="R36" s="41"/>
      <c r="S36" s="41"/>
      <c r="T36" s="41"/>
      <c r="V36" s="39"/>
    </row>
    <row r="37" spans="1:22" ht="15.75" customHeight="1">
      <c r="A37" s="39">
        <v>4</v>
      </c>
      <c r="B37" s="39">
        <f>(COUNTIFS(集計用!$G$2:$G$444,"*, "&amp;$C37&amp;",*",集計用!$AA$2:$AA$444,"&lt;&gt;無回答"))</f>
        <v>5</v>
      </c>
      <c r="C37" s="42" t="s">
        <v>51</v>
      </c>
      <c r="D37" s="41">
        <f>(COUNTIFS(集計用!$AA:$AA, "*, "&amp;D$4&amp;",*",集計用!$G:$G, "*, "&amp;$C37&amp;",*"))/$B37*100</f>
        <v>0</v>
      </c>
      <c r="E37" s="41">
        <f>(COUNTIFS(集計用!$AA:$AA, "*, "&amp;E$4&amp;",*",集計用!$G:$G, "*, "&amp;$C37&amp;",*"))/$B37*100</f>
        <v>40</v>
      </c>
      <c r="F37" s="41">
        <f>(COUNTIFS(集計用!$AA:$AA, "*, "&amp;F$4&amp;",*",集計用!$G:$G, "*, "&amp;$C37&amp;",*"))/$B37*100</f>
        <v>0</v>
      </c>
      <c r="G37" s="41">
        <f>(COUNTIFS(集計用!$AA:$AA, "*, "&amp;G$4&amp;",*",集計用!$G:$G, "*, "&amp;$C37&amp;",*"))/$B37*100</f>
        <v>0</v>
      </c>
      <c r="H37" s="41">
        <f>(COUNTIFS(集計用!$AA:$AA, "*, "&amp;H$4&amp;",*",集計用!$G:$G, "*, "&amp;$C37&amp;",*"))/$B37*100</f>
        <v>20</v>
      </c>
      <c r="I37" s="41">
        <f>(COUNTIFS(集計用!$AA:$AA, "*, "&amp;I$4&amp;",*",集計用!$G:$G, "*, "&amp;$C37&amp;",*"))/$B37*100</f>
        <v>20</v>
      </c>
      <c r="J37" s="41">
        <f>(COUNTIFS(集計用!$AA:$AA, "*, "&amp;J$4&amp;",*",集計用!$G:$G, "*, "&amp;$C37&amp;",*"))/$B37*100</f>
        <v>0</v>
      </c>
      <c r="K37" s="41">
        <f>(COUNTIFS(集計用!$AA:$AA, "*, "&amp;K$4&amp;",*",集計用!$G:$G, "*, "&amp;$C37&amp;",*"))/$B37*100</f>
        <v>20</v>
      </c>
      <c r="L37" s="41">
        <f>(COUNTIFS(集計用!$AA:$AA, "*, "&amp;L$4&amp;",*",集計用!$G:$G, "*, "&amp;$C37&amp;",*"))/$B37*100</f>
        <v>0</v>
      </c>
      <c r="M37" s="41">
        <f>(COUNTIFS(集計用!$AA:$AA, "*, "&amp;M$4&amp;",*",集計用!$G:$G, "*, "&amp;$C37&amp;",*"))/$B37*100</f>
        <v>60</v>
      </c>
      <c r="N37" s="56">
        <f>(COUNTIFS(集計用!$G$2:$G$444,"*, "&amp;$C37&amp;",*",集計用!$AA$2:$AA$444,"&lt;&gt;無回答",集計用!$AA$2:$AA$444, "&lt;&gt;*"&amp;M$4&amp;"*"))/B37*100</f>
        <v>40</v>
      </c>
      <c r="O37" s="41"/>
      <c r="P37" s="41"/>
      <c r="Q37" s="41"/>
      <c r="R37" s="41"/>
      <c r="S37" s="41"/>
      <c r="T37" s="41"/>
      <c r="V37" s="39"/>
    </row>
    <row r="38" spans="1:22" ht="15.75" customHeight="1">
      <c r="A38" s="39">
        <v>5</v>
      </c>
      <c r="B38" s="39">
        <f>(COUNTIFS(集計用!$G$2:$G$444,"*, "&amp;$C38&amp;",*",集計用!$AA$2:$AA$444,"&lt;&gt;無回答"))</f>
        <v>13</v>
      </c>
      <c r="C38" s="42" t="s">
        <v>35</v>
      </c>
      <c r="D38" s="41">
        <f>(COUNTIFS(集計用!$AA:$AA, "*, "&amp;D$4&amp;",*",集計用!$G:$G, "*, "&amp;$C38&amp;",*"))/$B38*100</f>
        <v>15.384615384615385</v>
      </c>
      <c r="E38" s="41">
        <f>(COUNTIFS(集計用!$AA:$AA, "*, "&amp;E$4&amp;",*",集計用!$G:$G, "*, "&amp;$C38&amp;",*"))/$B38*100</f>
        <v>23.076923076923077</v>
      </c>
      <c r="F38" s="41">
        <f>(COUNTIFS(集計用!$AA:$AA, "*, "&amp;F$4&amp;",*",集計用!$G:$G, "*, "&amp;$C38&amp;",*"))/$B38*100</f>
        <v>69.230769230769226</v>
      </c>
      <c r="G38" s="41">
        <f>(COUNTIFS(集計用!$AA:$AA, "*, "&amp;G$4&amp;",*",集計用!$G:$G, "*, "&amp;$C38&amp;",*"))/$B38*100</f>
        <v>61.53846153846154</v>
      </c>
      <c r="H38" s="41">
        <f>(COUNTIFS(集計用!$AA:$AA, "*, "&amp;H$4&amp;",*",集計用!$G:$G, "*, "&amp;$C38&amp;",*"))/$B38*100</f>
        <v>92.307692307692307</v>
      </c>
      <c r="I38" s="41">
        <f>(COUNTIFS(集計用!$AA:$AA, "*, "&amp;I$4&amp;",*",集計用!$G:$G, "*, "&amp;$C38&amp;",*"))/$B38*100</f>
        <v>76.923076923076934</v>
      </c>
      <c r="J38" s="41">
        <f>(COUNTIFS(集計用!$AA:$AA, "*, "&amp;J$4&amp;",*",集計用!$G:$G, "*, "&amp;$C38&amp;",*"))/$B38*100</f>
        <v>15.384615384615385</v>
      </c>
      <c r="K38" s="41">
        <f>(COUNTIFS(集計用!$AA:$AA, "*, "&amp;K$4&amp;",*",集計用!$G:$G, "*, "&amp;$C38&amp;",*"))/$B38*100</f>
        <v>84.615384615384613</v>
      </c>
      <c r="L38" s="41">
        <f>(COUNTIFS(集計用!$AA:$AA, "*, "&amp;L$4&amp;",*",集計用!$G:$G, "*, "&amp;$C38&amp;",*"))/$B38*100</f>
        <v>76.923076923076934</v>
      </c>
      <c r="M38" s="41">
        <f>(COUNTIFS(集計用!$AA:$AA, "*, "&amp;M$4&amp;",*",集計用!$G:$G, "*, "&amp;$C38&amp;",*"))/$B38*100</f>
        <v>0</v>
      </c>
      <c r="N38" s="56">
        <f>(COUNTIFS(集計用!$G$2:$G$444,"*, "&amp;$C38&amp;",*",集計用!$AA$2:$AA$444,"&lt;&gt;無回答",集計用!$AA$2:$AA$444, "&lt;&gt;*"&amp;M$4&amp;"*"))/B38*100</f>
        <v>100</v>
      </c>
      <c r="O38" s="41"/>
      <c r="P38" s="41"/>
      <c r="Q38" s="41"/>
      <c r="R38" s="41"/>
      <c r="S38" s="41"/>
      <c r="T38" s="41"/>
      <c r="V38" s="39"/>
    </row>
    <row r="39" spans="1:22" ht="12.75">
      <c r="A39" s="39">
        <v>5</v>
      </c>
      <c r="B39" s="39">
        <f>(COUNTIFS(集計用!$G$2:$G$444,"*, "&amp;$C39&amp;",*",集計用!$AA$2:$AA$444,"&lt;&gt;無回答"))</f>
        <v>13</v>
      </c>
      <c r="C39" s="42" t="s">
        <v>34</v>
      </c>
      <c r="D39" s="41">
        <f>(COUNTIFS(集計用!$AA:$AA, "*, "&amp;D$4&amp;",*",集計用!$G:$G, "*, "&amp;$C39&amp;",*"))/$B39*100</f>
        <v>23.076923076923077</v>
      </c>
      <c r="E39" s="41">
        <f>(COUNTIFS(集計用!$AA:$AA, "*, "&amp;E$4&amp;",*",集計用!$G:$G, "*, "&amp;$C39&amp;",*"))/$B39*100</f>
        <v>61.53846153846154</v>
      </c>
      <c r="F39" s="41">
        <f>(COUNTIFS(集計用!$AA:$AA, "*, "&amp;F$4&amp;",*",集計用!$G:$G, "*, "&amp;$C39&amp;",*"))/$B39*100</f>
        <v>53.846153846153847</v>
      </c>
      <c r="G39" s="41">
        <f>(COUNTIFS(集計用!$AA:$AA, "*, "&amp;G$4&amp;",*",集計用!$G:$G, "*, "&amp;$C39&amp;",*"))/$B39*100</f>
        <v>61.53846153846154</v>
      </c>
      <c r="H39" s="41">
        <f>(COUNTIFS(集計用!$AA:$AA, "*, "&amp;H$4&amp;",*",集計用!$G:$G, "*, "&amp;$C39&amp;",*"))/$B39*100</f>
        <v>53.846153846153847</v>
      </c>
      <c r="I39" s="41">
        <f>(COUNTIFS(集計用!$AA:$AA, "*, "&amp;I$4&amp;",*",集計用!$G:$G, "*, "&amp;$C39&amp;",*"))/$B39*100</f>
        <v>53.846153846153847</v>
      </c>
      <c r="J39" s="41">
        <f>(COUNTIFS(集計用!$AA:$AA, "*, "&amp;J$4&amp;",*",集計用!$G:$G, "*, "&amp;$C39&amp;",*"))/$B39*100</f>
        <v>23.076923076923077</v>
      </c>
      <c r="K39" s="41">
        <f>(COUNTIFS(集計用!$AA:$AA, "*, "&amp;K$4&amp;",*",集計用!$G:$G, "*, "&amp;$C39&amp;",*"))/$B39*100</f>
        <v>84.615384615384613</v>
      </c>
      <c r="L39" s="41">
        <f>(COUNTIFS(集計用!$AA:$AA, "*, "&amp;L$4&amp;",*",集計用!$G:$G, "*, "&amp;$C39&amp;",*"))/$B39*100</f>
        <v>92.307692307692307</v>
      </c>
      <c r="M39" s="41">
        <f>(COUNTIFS(集計用!$AA:$AA, "*, "&amp;M$4&amp;",*",集計用!$G:$G, "*, "&amp;$C39&amp;",*"))/$B39*100</f>
        <v>0</v>
      </c>
      <c r="N39" s="56">
        <f>(COUNTIFS(集計用!$G$2:$G$444,"*, "&amp;$C39&amp;",*",集計用!$AA$2:$AA$444,"&lt;&gt;無回答",集計用!$AA$2:$AA$444, "&lt;&gt;*"&amp;M$4&amp;"*"))/B39*100</f>
        <v>100</v>
      </c>
      <c r="O39" s="41"/>
      <c r="P39" s="41"/>
      <c r="Q39" s="41"/>
      <c r="R39" s="41"/>
      <c r="S39" s="41"/>
      <c r="T39" s="41"/>
      <c r="V39" s="39"/>
    </row>
    <row r="40" spans="1:22" ht="12.75">
      <c r="A40" s="39">
        <v>5</v>
      </c>
      <c r="B40" s="39">
        <f>(COUNTIFS(集計用!$G$2:$G$444,"*, "&amp;$C40&amp;",*",集計用!$AA$2:$AA$444,"&lt;&gt;無回答"))</f>
        <v>11</v>
      </c>
      <c r="C40" s="42" t="s">
        <v>39</v>
      </c>
      <c r="D40" s="41">
        <f>(COUNTIFS(集計用!$AA:$AA, "*, "&amp;D$4&amp;",*",集計用!$G:$G, "*, "&amp;$C40&amp;",*"))/$B40*100</f>
        <v>18.181818181818183</v>
      </c>
      <c r="E40" s="41">
        <f>(COUNTIFS(集計用!$AA:$AA, "*, "&amp;E$4&amp;",*",集計用!$G:$G, "*, "&amp;$C40&amp;",*"))/$B40*100</f>
        <v>27.27272727272727</v>
      </c>
      <c r="F40" s="41">
        <f>(COUNTIFS(集計用!$AA:$AA, "*, "&amp;F$4&amp;",*",集計用!$G:$G, "*, "&amp;$C40&amp;",*"))/$B40*100</f>
        <v>45.454545454545453</v>
      </c>
      <c r="G40" s="41">
        <f>(COUNTIFS(集計用!$AA:$AA, "*, "&amp;G$4&amp;",*",集計用!$G:$G, "*, "&amp;$C40&amp;",*"))/$B40*100</f>
        <v>45.454545454545453</v>
      </c>
      <c r="H40" s="41">
        <f>(COUNTIFS(集計用!$AA:$AA, "*, "&amp;H$4&amp;",*",集計用!$G:$G, "*, "&amp;$C40&amp;",*"))/$B40*100</f>
        <v>45.454545454545453</v>
      </c>
      <c r="I40" s="41">
        <f>(COUNTIFS(集計用!$AA:$AA, "*, "&amp;I$4&amp;",*",集計用!$G:$G, "*, "&amp;$C40&amp;",*"))/$B40*100</f>
        <v>36.363636363636367</v>
      </c>
      <c r="J40" s="41">
        <f>(COUNTIFS(集計用!$AA:$AA, "*, "&amp;J$4&amp;",*",集計用!$G:$G, "*, "&amp;$C40&amp;",*"))/$B40*100</f>
        <v>9.0909090909090917</v>
      </c>
      <c r="K40" s="41">
        <f>(COUNTIFS(集計用!$AA:$AA, "*, "&amp;K$4&amp;",*",集計用!$G:$G, "*, "&amp;$C40&amp;",*"))/$B40*100</f>
        <v>63.636363636363633</v>
      </c>
      <c r="L40" s="41">
        <f>(COUNTIFS(集計用!$AA:$AA, "*, "&amp;L$4&amp;",*",集計用!$G:$G, "*, "&amp;$C40&amp;",*"))/$B40*100</f>
        <v>72.727272727272734</v>
      </c>
      <c r="M40" s="41">
        <f>(COUNTIFS(集計用!$AA:$AA, "*, "&amp;M$4&amp;",*",集計用!$G:$G, "*, "&amp;$C40&amp;",*"))/$B40*100</f>
        <v>9.0909090909090917</v>
      </c>
      <c r="N40" s="56">
        <f>(COUNTIFS(集計用!$G$2:$G$444,"*, "&amp;$C40&amp;",*",集計用!$AA$2:$AA$444,"&lt;&gt;無回答",集計用!$AA$2:$AA$444, "&lt;&gt;*"&amp;M$4&amp;"*"))/B40*100</f>
        <v>90.909090909090907</v>
      </c>
      <c r="O40" s="41"/>
      <c r="P40" s="41"/>
      <c r="Q40" s="41"/>
      <c r="R40" s="41"/>
      <c r="S40" s="41"/>
      <c r="T40" s="41"/>
      <c r="V40" s="39"/>
    </row>
    <row r="41" spans="1:22" ht="12.75">
      <c r="A41" s="39">
        <v>5</v>
      </c>
      <c r="B41" s="39">
        <f>(COUNTIFS(集計用!$G$2:$G$444,"*, "&amp;$C41&amp;",*",集計用!$AA$2:$AA$444,"&lt;&gt;無回答"))</f>
        <v>37</v>
      </c>
      <c r="C41" s="42" t="s">
        <v>17</v>
      </c>
      <c r="D41" s="41">
        <f>(COUNTIFS(集計用!$AA:$AA, "*, "&amp;D$4&amp;",*",集計用!$G:$G, "*, "&amp;$C41&amp;",*"))/$B41*100</f>
        <v>16.216216216216218</v>
      </c>
      <c r="E41" s="41">
        <f>(COUNTIFS(集計用!$AA:$AA, "*, "&amp;E$4&amp;",*",集計用!$G:$G, "*, "&amp;$C41&amp;",*"))/$B41*100</f>
        <v>40.54054054054054</v>
      </c>
      <c r="F41" s="41">
        <f>(COUNTIFS(集計用!$AA:$AA, "*, "&amp;F$4&amp;",*",集計用!$G:$G, "*, "&amp;$C41&amp;",*"))/$B41*100</f>
        <v>32.432432432432435</v>
      </c>
      <c r="G41" s="41">
        <f>(COUNTIFS(集計用!$AA:$AA, "*, "&amp;G$4&amp;",*",集計用!$G:$G, "*, "&amp;$C41&amp;",*"))/$B41*100</f>
        <v>59.45945945945946</v>
      </c>
      <c r="H41" s="41">
        <f>(COUNTIFS(集計用!$AA:$AA, "*, "&amp;H$4&amp;",*",集計用!$G:$G, "*, "&amp;$C41&amp;",*"))/$B41*100</f>
        <v>56.756756756756758</v>
      </c>
      <c r="I41" s="41">
        <f>(COUNTIFS(集計用!$AA:$AA, "*, "&amp;I$4&amp;",*",集計用!$G:$G, "*, "&amp;$C41&amp;",*"))/$B41*100</f>
        <v>45.945945945945951</v>
      </c>
      <c r="J41" s="41">
        <f>(COUNTIFS(集計用!$AA:$AA, "*, "&amp;J$4&amp;",*",集計用!$G:$G, "*, "&amp;$C41&amp;",*"))/$B41*100</f>
        <v>10.810810810810811</v>
      </c>
      <c r="K41" s="41">
        <f>(COUNTIFS(集計用!$AA:$AA, "*, "&amp;K$4&amp;",*",集計用!$G:$G, "*, "&amp;$C41&amp;",*"))/$B41*100</f>
        <v>67.567567567567565</v>
      </c>
      <c r="L41" s="41">
        <f>(COUNTIFS(集計用!$AA:$AA, "*, "&amp;L$4&amp;",*",集計用!$G:$G, "*, "&amp;$C41&amp;",*"))/$B41*100</f>
        <v>62.162162162162161</v>
      </c>
      <c r="M41" s="41">
        <f>(COUNTIFS(集計用!$AA:$AA, "*, "&amp;M$4&amp;",*",集計用!$G:$G, "*, "&amp;$C41&amp;",*"))/$B41*100</f>
        <v>8.1081081081081088</v>
      </c>
      <c r="N41" s="56">
        <f>(COUNTIFS(集計用!$G$2:$G$444,"*, "&amp;$C41&amp;",*",集計用!$AA$2:$AA$444,"&lt;&gt;無回答",集計用!$AA$2:$AA$444, "&lt;&gt;*"&amp;M$4&amp;"*"))/B41*100</f>
        <v>91.891891891891902</v>
      </c>
      <c r="O41" s="41"/>
      <c r="P41" s="41"/>
      <c r="Q41" s="41"/>
      <c r="R41" s="41"/>
      <c r="S41" s="41"/>
      <c r="T41" s="41"/>
      <c r="V41" s="39"/>
    </row>
    <row r="42" spans="1:22" ht="12.75">
      <c r="A42" s="39">
        <v>5</v>
      </c>
      <c r="B42" s="39">
        <f>(COUNTIFS(集計用!$G$2:$G$444,"*, "&amp;$C42&amp;",*",集計用!$AA$2:$AA$444,"&lt;&gt;無回答"))</f>
        <v>7</v>
      </c>
      <c r="C42" s="42" t="s">
        <v>46</v>
      </c>
      <c r="D42" s="41">
        <f>(COUNTIFS(集計用!$AA:$AA, "*, "&amp;D$4&amp;",*",集計用!$G:$G, "*, "&amp;$C42&amp;",*"))/$B42*100</f>
        <v>28.571428571428569</v>
      </c>
      <c r="E42" s="41">
        <f>(COUNTIFS(集計用!$AA:$AA, "*, "&amp;E$4&amp;",*",集計用!$G:$G, "*, "&amp;$C42&amp;",*"))/$B42*100</f>
        <v>57.142857142857139</v>
      </c>
      <c r="F42" s="41">
        <f>(COUNTIFS(集計用!$AA:$AA, "*, "&amp;F$4&amp;",*",集計用!$G:$G, "*, "&amp;$C42&amp;",*"))/$B42*100</f>
        <v>28.571428571428569</v>
      </c>
      <c r="G42" s="41">
        <f>(COUNTIFS(集計用!$AA:$AA, "*, "&amp;G$4&amp;",*",集計用!$G:$G, "*, "&amp;$C42&amp;",*"))/$B42*100</f>
        <v>57.142857142857139</v>
      </c>
      <c r="H42" s="41">
        <f>(COUNTIFS(集計用!$AA:$AA, "*, "&amp;H$4&amp;",*",集計用!$G:$G, "*, "&amp;$C42&amp;",*"))/$B42*100</f>
        <v>71.428571428571431</v>
      </c>
      <c r="I42" s="41">
        <f>(COUNTIFS(集計用!$AA:$AA, "*, "&amp;I$4&amp;",*",集計用!$G:$G, "*, "&amp;$C42&amp;",*"))/$B42*100</f>
        <v>71.428571428571431</v>
      </c>
      <c r="J42" s="41">
        <f>(COUNTIFS(集計用!$AA:$AA, "*, "&amp;J$4&amp;",*",集計用!$G:$G, "*, "&amp;$C42&amp;",*"))/$B42*100</f>
        <v>14.285714285714285</v>
      </c>
      <c r="K42" s="41">
        <f>(COUNTIFS(集計用!$AA:$AA, "*, "&amp;K$4&amp;",*",集計用!$G:$G, "*, "&amp;$C42&amp;",*"))/$B42*100</f>
        <v>71.428571428571431</v>
      </c>
      <c r="L42" s="41">
        <f>(COUNTIFS(集計用!$AA:$AA, "*, "&amp;L$4&amp;",*",集計用!$G:$G, "*, "&amp;$C42&amp;",*"))/$B42*100</f>
        <v>57.142857142857139</v>
      </c>
      <c r="M42" s="41">
        <f>(COUNTIFS(集計用!$AA:$AA, "*, "&amp;M$4&amp;",*",集計用!$G:$G, "*, "&amp;$C42&amp;",*"))/$B42*100</f>
        <v>28.571428571428569</v>
      </c>
      <c r="N42" s="56">
        <f>(COUNTIFS(集計用!$G$2:$G$444,"*, "&amp;$C42&amp;",*",集計用!$AA$2:$AA$444,"&lt;&gt;無回答",集計用!$AA$2:$AA$444, "&lt;&gt;*"&amp;M$4&amp;"*"))/B42*100</f>
        <v>71.428571428571431</v>
      </c>
      <c r="O42" s="41"/>
      <c r="P42" s="41"/>
      <c r="Q42" s="41"/>
      <c r="R42" s="41"/>
      <c r="S42" s="41"/>
      <c r="T42" s="41"/>
      <c r="V42" s="39"/>
    </row>
    <row r="43" spans="1:22" ht="12.75">
      <c r="A43" s="39">
        <v>5</v>
      </c>
      <c r="B43" s="39">
        <f>(COUNTIFS(集計用!$G$2:$G$444,"*, "&amp;$C43&amp;",*",集計用!$AA$2:$AA$444,"&lt;&gt;無回答"))</f>
        <v>58</v>
      </c>
      <c r="C43" s="42" t="s">
        <v>10</v>
      </c>
      <c r="D43" s="41">
        <f>(COUNTIFS(集計用!$AA:$AA, "*, "&amp;D$4&amp;",*",集計用!$G:$G, "*, "&amp;$C43&amp;",*"))/$B43*100</f>
        <v>15.517241379310345</v>
      </c>
      <c r="E43" s="41">
        <f>(COUNTIFS(集計用!$AA:$AA, "*, "&amp;E$4&amp;",*",集計用!$G:$G, "*, "&amp;$C43&amp;",*"))/$B43*100</f>
        <v>44.827586206896555</v>
      </c>
      <c r="F43" s="41">
        <f>(COUNTIFS(集計用!$AA:$AA, "*, "&amp;F$4&amp;",*",集計用!$G:$G, "*, "&amp;$C43&amp;",*"))/$B43*100</f>
        <v>24.137931034482758</v>
      </c>
      <c r="G43" s="41">
        <f>(COUNTIFS(集計用!$AA:$AA, "*, "&amp;G$4&amp;",*",集計用!$G:$G, "*, "&amp;$C43&amp;",*"))/$B43*100</f>
        <v>50</v>
      </c>
      <c r="H43" s="41">
        <f>(COUNTIFS(集計用!$AA:$AA, "*, "&amp;H$4&amp;",*",集計用!$G:$G, "*, "&amp;$C43&amp;",*"))/$B43*100</f>
        <v>55.172413793103445</v>
      </c>
      <c r="I43" s="41">
        <f>(COUNTIFS(集計用!$AA:$AA, "*, "&amp;I$4&amp;",*",集計用!$G:$G, "*, "&amp;$C43&amp;",*"))/$B43*100</f>
        <v>36.206896551724135</v>
      </c>
      <c r="J43" s="41">
        <f>(COUNTIFS(集計用!$AA:$AA, "*, "&amp;J$4&amp;",*",集計用!$G:$G, "*, "&amp;$C43&amp;",*"))/$B43*100</f>
        <v>12.068965517241379</v>
      </c>
      <c r="K43" s="41">
        <f>(COUNTIFS(集計用!$AA:$AA, "*, "&amp;K$4&amp;",*",集計用!$G:$G, "*, "&amp;$C43&amp;",*"))/$B43*100</f>
        <v>60.344827586206897</v>
      </c>
      <c r="L43" s="41">
        <f>(COUNTIFS(集計用!$AA:$AA, "*, "&amp;L$4&amp;",*",集計用!$G:$G, "*, "&amp;$C43&amp;",*"))/$B43*100</f>
        <v>67.241379310344826</v>
      </c>
      <c r="M43" s="41">
        <f>(COUNTIFS(集計用!$AA:$AA, "*, "&amp;M$4&amp;",*",集計用!$G:$G, "*, "&amp;$C43&amp;",*"))/$B43*100</f>
        <v>6.8965517241379306</v>
      </c>
      <c r="N43" s="56">
        <f>(COUNTIFS(集計用!$G$2:$G$444,"*, "&amp;$C43&amp;",*",集計用!$AA$2:$AA$444,"&lt;&gt;無回答",集計用!$AA$2:$AA$444, "&lt;&gt;*"&amp;M$4&amp;"*"))/B43*100</f>
        <v>93.103448275862064</v>
      </c>
      <c r="O43" s="41"/>
      <c r="P43" s="41"/>
      <c r="Q43" s="41"/>
      <c r="R43" s="41"/>
      <c r="S43" s="41"/>
      <c r="T43" s="41"/>
      <c r="V43" s="39"/>
    </row>
    <row r="44" spans="1:22" ht="12.75">
      <c r="A44" s="39">
        <v>5</v>
      </c>
      <c r="B44" s="39">
        <f>(COUNTIFS(集計用!$G$2:$G$444,"*, "&amp;$C44&amp;",*",集計用!$AA$2:$AA$444,"&lt;&gt;無回答"))</f>
        <v>44</v>
      </c>
      <c r="C44" s="42" t="s">
        <v>16</v>
      </c>
      <c r="D44" s="41">
        <f>(COUNTIFS(集計用!$AA:$AA, "*, "&amp;D$4&amp;",*",集計用!$G:$G, "*, "&amp;$C44&amp;",*"))/$B44*100</f>
        <v>9.0909090909090917</v>
      </c>
      <c r="E44" s="41">
        <f>(COUNTIFS(集計用!$AA:$AA, "*, "&amp;E$4&amp;",*",集計用!$G:$G, "*, "&amp;$C44&amp;",*"))/$B44*100</f>
        <v>47.727272727272727</v>
      </c>
      <c r="F44" s="41">
        <f>(COUNTIFS(集計用!$AA:$AA, "*, "&amp;F$4&amp;",*",集計用!$G:$G, "*, "&amp;$C44&amp;",*"))/$B44*100</f>
        <v>18.181818181818183</v>
      </c>
      <c r="G44" s="41">
        <f>(COUNTIFS(集計用!$AA:$AA, "*, "&amp;G$4&amp;",*",集計用!$G:$G, "*, "&amp;$C44&amp;",*"))/$B44*100</f>
        <v>50</v>
      </c>
      <c r="H44" s="41">
        <f>(COUNTIFS(集計用!$AA:$AA, "*, "&amp;H$4&amp;",*",集計用!$G:$G, "*, "&amp;$C44&amp;",*"))/$B44*100</f>
        <v>52.272727272727273</v>
      </c>
      <c r="I44" s="41">
        <f>(COUNTIFS(集計用!$AA:$AA, "*, "&amp;I$4&amp;",*",集計用!$G:$G, "*, "&amp;$C44&amp;",*"))/$B44*100</f>
        <v>34.090909090909086</v>
      </c>
      <c r="J44" s="41">
        <f>(COUNTIFS(集計用!$AA:$AA, "*, "&amp;J$4&amp;",*",集計用!$G:$G, "*, "&amp;$C44&amp;",*"))/$B44*100</f>
        <v>15.909090909090908</v>
      </c>
      <c r="K44" s="41">
        <f>(COUNTIFS(集計用!$AA:$AA, "*, "&amp;K$4&amp;",*",集計用!$G:$G, "*, "&amp;$C44&amp;",*"))/$B44*100</f>
        <v>63.636363636363633</v>
      </c>
      <c r="L44" s="41">
        <f>(COUNTIFS(集計用!$AA:$AA, "*, "&amp;L$4&amp;",*",集計用!$G:$G, "*, "&amp;$C44&amp;",*"))/$B44*100</f>
        <v>61.363636363636367</v>
      </c>
      <c r="M44" s="41">
        <f>(COUNTIFS(集計用!$AA:$AA, "*, "&amp;M$4&amp;",*",集計用!$G:$G, "*, "&amp;$C44&amp;",*"))/$B44*100</f>
        <v>9.0909090909090917</v>
      </c>
      <c r="N44" s="56">
        <f>(COUNTIFS(集計用!$G$2:$G$444,"*, "&amp;$C44&amp;",*",集計用!$AA$2:$AA$444,"&lt;&gt;無回答",集計用!$AA$2:$AA$444, "&lt;&gt;*"&amp;M$4&amp;"*"))/B44*100</f>
        <v>90.909090909090907</v>
      </c>
      <c r="O44" s="41"/>
      <c r="P44" s="41"/>
      <c r="Q44" s="41"/>
      <c r="R44" s="41"/>
      <c r="S44" s="41"/>
      <c r="T44" s="41"/>
      <c r="V44" s="39"/>
    </row>
    <row r="45" spans="1:22" ht="14.25" customHeight="1">
      <c r="A45" s="39">
        <v>5</v>
      </c>
      <c r="B45" s="39">
        <f>(COUNTIFS(集計用!$G$2:$G$444,"*, "&amp;$C45&amp;",*",集計用!$AA$2:$AA$444,"&lt;&gt;無回答"))</f>
        <v>18</v>
      </c>
      <c r="C45" s="42" t="s">
        <v>29</v>
      </c>
      <c r="D45" s="41">
        <f>(COUNTIFS(集計用!$AA:$AA, "*, "&amp;D$4&amp;",*",集計用!$G:$G, "*, "&amp;$C45&amp;",*"))/$B45*100</f>
        <v>5.5555555555555554</v>
      </c>
      <c r="E45" s="41">
        <f>(COUNTIFS(集計用!$AA:$AA, "*, "&amp;E$4&amp;",*",集計用!$G:$G, "*, "&amp;$C45&amp;",*"))/$B45*100</f>
        <v>61.111111111111114</v>
      </c>
      <c r="F45" s="41">
        <f>(COUNTIFS(集計用!$AA:$AA, "*, "&amp;F$4&amp;",*",集計用!$G:$G, "*, "&amp;$C45&amp;",*"))/$B45*100</f>
        <v>11.111111111111111</v>
      </c>
      <c r="G45" s="41">
        <f>(COUNTIFS(集計用!$AA:$AA, "*, "&amp;G$4&amp;",*",集計用!$G:$G, "*, "&amp;$C45&amp;",*"))/$B45*100</f>
        <v>38.888888888888893</v>
      </c>
      <c r="H45" s="41">
        <f>(COUNTIFS(集計用!$AA:$AA, "*, "&amp;H$4&amp;",*",集計用!$G:$G, "*, "&amp;$C45&amp;",*"))/$B45*100</f>
        <v>50</v>
      </c>
      <c r="I45" s="41">
        <f>(COUNTIFS(集計用!$AA:$AA, "*, "&amp;I$4&amp;",*",集計用!$G:$G, "*, "&amp;$C45&amp;",*"))/$B45*100</f>
        <v>38.888888888888893</v>
      </c>
      <c r="J45" s="41">
        <f>(COUNTIFS(集計用!$AA:$AA, "*, "&amp;J$4&amp;",*",集計用!$G:$G, "*, "&amp;$C45&amp;",*"))/$B45*100</f>
        <v>5.5555555555555554</v>
      </c>
      <c r="K45" s="41">
        <f>(COUNTIFS(集計用!$AA:$AA, "*, "&amp;K$4&amp;",*",集計用!$G:$G, "*, "&amp;$C45&amp;",*"))/$B45*100</f>
        <v>77.777777777777786</v>
      </c>
      <c r="L45" s="41">
        <f>(COUNTIFS(集計用!$AA:$AA, "*, "&amp;L$4&amp;",*",集計用!$G:$G, "*, "&amp;$C45&amp;",*"))/$B45*100</f>
        <v>61.111111111111114</v>
      </c>
      <c r="M45" s="41">
        <f>(COUNTIFS(集計用!$AA:$AA, "*, "&amp;M$4&amp;",*",集計用!$G:$G, "*, "&amp;$C45&amp;",*"))/$B45*100</f>
        <v>11.111111111111111</v>
      </c>
      <c r="N45" s="56">
        <f>(COUNTIFS(集計用!$G$2:$G$444,"*, "&amp;$C45&amp;",*",集計用!$AA$2:$AA$444,"&lt;&gt;無回答",集計用!$AA$2:$AA$444, "&lt;&gt;*"&amp;M$4&amp;"*"))/B45*100</f>
        <v>88.888888888888886</v>
      </c>
      <c r="O45" s="41"/>
      <c r="P45" s="41"/>
      <c r="Q45" s="41"/>
      <c r="R45" s="41"/>
      <c r="S45" s="41"/>
      <c r="T45" s="41"/>
      <c r="V45" s="39"/>
    </row>
    <row r="46" spans="1:22" ht="14.25" customHeight="1">
      <c r="A46" s="39">
        <v>5</v>
      </c>
      <c r="B46" s="39">
        <f>(COUNTIFS(集計用!$G$2:$G$444,"*, "&amp;$C46&amp;",*",集計用!$AA$2:$AA$444,"&lt;&gt;無回答"))</f>
        <v>23</v>
      </c>
      <c r="C46" s="42" t="s">
        <v>21</v>
      </c>
      <c r="D46" s="41">
        <f>(COUNTIFS(集計用!$AA:$AA, "*, "&amp;D$4&amp;",*",集計用!$G:$G, "*, "&amp;$C46&amp;",*"))/$B46*100</f>
        <v>26.086956521739129</v>
      </c>
      <c r="E46" s="41">
        <f>(COUNTIFS(集計用!$AA:$AA, "*, "&amp;E$4&amp;",*",集計用!$G:$G, "*, "&amp;$C46&amp;",*"))/$B46*100</f>
        <v>34.782608695652172</v>
      </c>
      <c r="F46" s="41">
        <f>(COUNTIFS(集計用!$AA:$AA, "*, "&amp;F$4&amp;",*",集計用!$G:$G, "*, "&amp;$C46&amp;",*"))/$B46*100</f>
        <v>8.695652173913043</v>
      </c>
      <c r="G46" s="41">
        <f>(COUNTIFS(集計用!$AA:$AA, "*, "&amp;G$4&amp;",*",集計用!$G:$G, "*, "&amp;$C46&amp;",*"))/$B46*100</f>
        <v>34.782608695652172</v>
      </c>
      <c r="H46" s="41">
        <f>(COUNTIFS(集計用!$AA:$AA, "*, "&amp;H$4&amp;",*",集計用!$G:$G, "*, "&amp;$C46&amp;",*"))/$B46*100</f>
        <v>39.130434782608695</v>
      </c>
      <c r="I46" s="41">
        <f>(COUNTIFS(集計用!$AA:$AA, "*, "&amp;I$4&amp;",*",集計用!$G:$G, "*, "&amp;$C46&amp;",*"))/$B46*100</f>
        <v>34.782608695652172</v>
      </c>
      <c r="J46" s="41">
        <f>(COUNTIFS(集計用!$AA:$AA, "*, "&amp;J$4&amp;",*",集計用!$G:$G, "*, "&amp;$C46&amp;",*"))/$B46*100</f>
        <v>13.043478260869565</v>
      </c>
      <c r="K46" s="41">
        <f>(COUNTIFS(集計用!$AA:$AA, "*, "&amp;K$4&amp;",*",集計用!$G:$G, "*, "&amp;$C46&amp;",*"))/$B46*100</f>
        <v>47.826086956521742</v>
      </c>
      <c r="L46" s="41">
        <f>(COUNTIFS(集計用!$AA:$AA, "*, "&amp;L$4&amp;",*",集計用!$G:$G, "*, "&amp;$C46&amp;",*"))/$B46*100</f>
        <v>43.478260869565219</v>
      </c>
      <c r="M46" s="41">
        <f>(COUNTIFS(集計用!$AA:$AA, "*, "&amp;M$4&amp;",*",集計用!$G:$G, "*, "&amp;$C46&amp;",*"))/$B46*100</f>
        <v>30.434782608695656</v>
      </c>
      <c r="N46" s="56">
        <f>(COUNTIFS(集計用!$G$2:$G$444,"*, "&amp;$C46&amp;",*",集計用!$AA$2:$AA$444,"&lt;&gt;無回答",集計用!$AA$2:$AA$444, "&lt;&gt;*"&amp;M$4&amp;"*"))/B46*100</f>
        <v>69.565217391304344</v>
      </c>
      <c r="O46" s="41"/>
      <c r="P46" s="41"/>
      <c r="Q46" s="41"/>
      <c r="R46" s="41"/>
      <c r="S46" s="41"/>
      <c r="T46" s="41"/>
      <c r="V46" s="39"/>
    </row>
    <row r="47" spans="1:22" ht="14.25" customHeight="1">
      <c r="A47" s="39">
        <v>5</v>
      </c>
      <c r="B47" s="39">
        <f>(COUNTIFS(集計用!$G$2:$G$444,"*, "&amp;$C47&amp;",*",集計用!$AA$2:$AA$444,"&lt;&gt;無回答"))</f>
        <v>16</v>
      </c>
      <c r="C47" s="42" t="s">
        <v>30</v>
      </c>
      <c r="D47" s="41">
        <f>(COUNTIFS(集計用!$AA:$AA, "*, "&amp;D$4&amp;",*",集計用!$G:$G, "*, "&amp;$C47&amp;",*"))/$B47*100</f>
        <v>18.75</v>
      </c>
      <c r="E47" s="41">
        <f>(COUNTIFS(集計用!$AA:$AA, "*, "&amp;E$4&amp;",*",集計用!$G:$G, "*, "&amp;$C47&amp;",*"))/$B47*100</f>
        <v>37.5</v>
      </c>
      <c r="F47" s="41">
        <f>(COUNTIFS(集計用!$AA:$AA, "*, "&amp;F$4&amp;",*",集計用!$G:$G, "*, "&amp;$C47&amp;",*"))/$B47*100</f>
        <v>6.25</v>
      </c>
      <c r="G47" s="41">
        <f>(COUNTIFS(集計用!$AA:$AA, "*, "&amp;G$4&amp;",*",集計用!$G:$G, "*, "&amp;$C47&amp;",*"))/$B47*100</f>
        <v>37.5</v>
      </c>
      <c r="H47" s="41">
        <f>(COUNTIFS(集計用!$AA:$AA, "*, "&amp;H$4&amp;",*",集計用!$G:$G, "*, "&amp;$C47&amp;",*"))/$B47*100</f>
        <v>37.5</v>
      </c>
      <c r="I47" s="41">
        <f>(COUNTIFS(集計用!$AA:$AA, "*, "&amp;I$4&amp;",*",集計用!$G:$G, "*, "&amp;$C47&amp;",*"))/$B47*100</f>
        <v>18.75</v>
      </c>
      <c r="J47" s="41">
        <f>(COUNTIFS(集計用!$AA:$AA, "*, "&amp;J$4&amp;",*",集計用!$G:$G, "*, "&amp;$C47&amp;",*"))/$B47*100</f>
        <v>6.25</v>
      </c>
      <c r="K47" s="41">
        <f>(COUNTIFS(集計用!$AA:$AA, "*, "&amp;K$4&amp;",*",集計用!$G:$G, "*, "&amp;$C47&amp;",*"))/$B47*100</f>
        <v>25</v>
      </c>
      <c r="L47" s="41">
        <f>(COUNTIFS(集計用!$AA:$AA, "*, "&amp;L$4&amp;",*",集計用!$G:$G, "*, "&amp;$C47&amp;",*"))/$B47*100</f>
        <v>37.5</v>
      </c>
      <c r="M47" s="41">
        <f>(COUNTIFS(集計用!$AA:$AA, "*, "&amp;M$4&amp;",*",集計用!$G:$G, "*, "&amp;$C47&amp;",*"))/$B47*100</f>
        <v>31.25</v>
      </c>
      <c r="N47" s="56">
        <f>(COUNTIFS(集計用!$G$2:$G$444,"*, "&amp;$C47&amp;",*",集計用!$AA$2:$AA$444,"&lt;&gt;無回答",集計用!$AA$2:$AA$444, "&lt;&gt;*"&amp;M$4&amp;"*"))/B47*100</f>
        <v>68.75</v>
      </c>
      <c r="O47" s="41"/>
      <c r="P47" s="41"/>
      <c r="Q47" s="41"/>
      <c r="R47" s="41"/>
      <c r="S47" s="41"/>
      <c r="T47" s="41"/>
      <c r="V47" s="39"/>
    </row>
    <row r="48" spans="1:22" ht="12.75">
      <c r="A48" s="39">
        <v>5</v>
      </c>
      <c r="B48" s="39">
        <f>(COUNTIFS(集計用!$G$2:$G$444,"*, "&amp;$C48&amp;",*",集計用!$AA$2:$AA$444,"&lt;&gt;無回答"))</f>
        <v>17</v>
      </c>
      <c r="C48" s="42" t="s">
        <v>28</v>
      </c>
      <c r="D48" s="41">
        <f>(COUNTIFS(集計用!$AA:$AA, "*, "&amp;D$4&amp;",*",集計用!$G:$G, "*, "&amp;$C48&amp;",*"))/$B48*100</f>
        <v>11.76470588235294</v>
      </c>
      <c r="E48" s="41">
        <f>(COUNTIFS(集計用!$AA:$AA, "*, "&amp;E$4&amp;",*",集計用!$G:$G, "*, "&amp;$C48&amp;",*"))/$B48*100</f>
        <v>76.470588235294116</v>
      </c>
      <c r="F48" s="41">
        <f>(COUNTIFS(集計用!$AA:$AA, "*, "&amp;F$4&amp;",*",集計用!$G:$G, "*, "&amp;$C48&amp;",*"))/$B48*100</f>
        <v>5.8823529411764701</v>
      </c>
      <c r="G48" s="41">
        <f>(COUNTIFS(集計用!$AA:$AA, "*, "&amp;G$4&amp;",*",集計用!$G:$G, "*, "&amp;$C48&amp;",*"))/$B48*100</f>
        <v>64.705882352941174</v>
      </c>
      <c r="H48" s="41">
        <f>(COUNTIFS(集計用!$AA:$AA, "*, "&amp;H$4&amp;",*",集計用!$G:$G, "*, "&amp;$C48&amp;",*"))/$B48*100</f>
        <v>64.705882352941174</v>
      </c>
      <c r="I48" s="41">
        <f>(COUNTIFS(集計用!$AA:$AA, "*, "&amp;I$4&amp;",*",集計用!$G:$G, "*, "&amp;$C48&amp;",*"))/$B48*100</f>
        <v>41.17647058823529</v>
      </c>
      <c r="J48" s="41">
        <f>(COUNTIFS(集計用!$AA:$AA, "*, "&amp;J$4&amp;",*",集計用!$G:$G, "*, "&amp;$C48&amp;",*"))/$B48*100</f>
        <v>11.76470588235294</v>
      </c>
      <c r="K48" s="41">
        <f>(COUNTIFS(集計用!$AA:$AA, "*, "&amp;K$4&amp;",*",集計用!$G:$G, "*, "&amp;$C48&amp;",*"))/$B48*100</f>
        <v>64.705882352941174</v>
      </c>
      <c r="L48" s="41">
        <f>(COUNTIFS(集計用!$AA:$AA, "*, "&amp;L$4&amp;",*",集計用!$G:$G, "*, "&amp;$C48&amp;",*"))/$B48*100</f>
        <v>58.82352941176471</v>
      </c>
      <c r="M48" s="41">
        <f>(COUNTIFS(集計用!$AA:$AA, "*, "&amp;M$4&amp;",*",集計用!$G:$G, "*, "&amp;$C48&amp;",*"))/$B48*100</f>
        <v>5.8823529411764701</v>
      </c>
      <c r="N48" s="56">
        <f>(COUNTIFS(集計用!$G$2:$G$444,"*, "&amp;$C48&amp;",*",集計用!$AA$2:$AA$444,"&lt;&gt;無回答",集計用!$AA$2:$AA$444, "&lt;&gt;*"&amp;M$4&amp;"*"))/B48*100</f>
        <v>94.117647058823522</v>
      </c>
      <c r="O48" s="41"/>
      <c r="P48" s="41"/>
      <c r="Q48" s="41"/>
      <c r="R48" s="41"/>
      <c r="S48" s="41"/>
      <c r="T48" s="41"/>
      <c r="V48" s="39"/>
    </row>
    <row r="49" spans="1:27" ht="14.25" customHeight="1">
      <c r="A49" s="39">
        <v>5</v>
      </c>
      <c r="B49" s="39">
        <f>(COUNTIFS(集計用!$G$2:$G$444,"*, "&amp;$C49&amp;",*",集計用!$AA$2:$AA$444,"&lt;&gt;無回答"))</f>
        <v>23</v>
      </c>
      <c r="C49" s="42" t="s">
        <v>22</v>
      </c>
      <c r="D49" s="41">
        <f>(COUNTIFS(集計用!$AA:$AA, "*, "&amp;D$4&amp;",*",集計用!$G:$G, "*, "&amp;$C49&amp;",*"))/$B49*100</f>
        <v>17.391304347826086</v>
      </c>
      <c r="E49" s="41">
        <f>(COUNTIFS(集計用!$AA:$AA, "*, "&amp;E$4&amp;",*",集計用!$G:$G, "*, "&amp;$C49&amp;",*"))/$B49*100</f>
        <v>52.173913043478258</v>
      </c>
      <c r="F49" s="41">
        <f>(COUNTIFS(集計用!$AA:$AA, "*, "&amp;F$4&amp;",*",集計用!$G:$G, "*, "&amp;$C49&amp;",*"))/$B49*100</f>
        <v>4.3478260869565215</v>
      </c>
      <c r="G49" s="41">
        <f>(COUNTIFS(集計用!$AA:$AA, "*, "&amp;G$4&amp;",*",集計用!$G:$G, "*, "&amp;$C49&amp;",*"))/$B49*100</f>
        <v>26.086956521739129</v>
      </c>
      <c r="H49" s="41">
        <f>(COUNTIFS(集計用!$AA:$AA, "*, "&amp;H$4&amp;",*",集計用!$G:$G, "*, "&amp;$C49&amp;",*"))/$B49*100</f>
        <v>43.478260869565219</v>
      </c>
      <c r="I49" s="41">
        <f>(COUNTIFS(集計用!$AA:$AA, "*, "&amp;I$4&amp;",*",集計用!$G:$G, "*, "&amp;$C49&amp;",*"))/$B49*100</f>
        <v>17.391304347826086</v>
      </c>
      <c r="J49" s="41">
        <f>(COUNTIFS(集計用!$AA:$AA, "*, "&amp;J$4&amp;",*",集計用!$G:$G, "*, "&amp;$C49&amp;",*"))/$B49*100</f>
        <v>8.695652173913043</v>
      </c>
      <c r="K49" s="41">
        <f>(COUNTIFS(集計用!$AA:$AA, "*, "&amp;K$4&amp;",*",集計用!$G:$G, "*, "&amp;$C49&amp;",*"))/$B49*100</f>
        <v>47.826086956521742</v>
      </c>
      <c r="L49" s="41">
        <f>(COUNTIFS(集計用!$AA:$AA, "*, "&amp;L$4&amp;",*",集計用!$G:$G, "*, "&amp;$C49&amp;",*"))/$B49*100</f>
        <v>47.826086956521742</v>
      </c>
      <c r="M49" s="41">
        <f>(COUNTIFS(集計用!$AA:$AA, "*, "&amp;M$4&amp;",*",集計用!$G:$G, "*, "&amp;$C49&amp;",*"))/$B49*100</f>
        <v>21.739130434782609</v>
      </c>
      <c r="N49" s="56">
        <f>(COUNTIFS(集計用!$G$2:$G$444,"*, "&amp;$C49&amp;",*",集計用!$AA$2:$AA$444,"&lt;&gt;無回答",集計用!$AA$2:$AA$444, "&lt;&gt;*"&amp;M$4&amp;"*"))/B49*100</f>
        <v>78.260869565217391</v>
      </c>
      <c r="O49" s="41"/>
      <c r="P49" s="41"/>
      <c r="Q49" s="41"/>
      <c r="R49" s="41"/>
      <c r="S49" s="41"/>
      <c r="T49" s="41"/>
      <c r="V49" s="39"/>
    </row>
    <row r="50" spans="1:27" ht="14.25" customHeight="1">
      <c r="A50" s="39">
        <v>5</v>
      </c>
      <c r="B50" s="39">
        <f>(COUNTIFS(集計用!$G$2:$G$444,"*, "&amp;$C50&amp;",*",集計用!$AA$2:$AA$444,"&lt;&gt;無回答"))</f>
        <v>7</v>
      </c>
      <c r="C50" s="42" t="s">
        <v>45</v>
      </c>
      <c r="D50" s="41">
        <f>(COUNTIFS(集計用!$AA:$AA, "*, "&amp;D$4&amp;",*",集計用!$G:$G, "*, "&amp;$C50&amp;",*"))/$B50*100</f>
        <v>14.285714285714285</v>
      </c>
      <c r="E50" s="41">
        <f>(COUNTIFS(集計用!$AA:$AA, "*, "&amp;E$4&amp;",*",集計用!$G:$G, "*, "&amp;$C50&amp;",*"))/$B50*100</f>
        <v>42.857142857142854</v>
      </c>
      <c r="F50" s="41">
        <f>(COUNTIFS(集計用!$AA:$AA, "*, "&amp;F$4&amp;",*",集計用!$G:$G, "*, "&amp;$C50&amp;",*"))/$B50*100</f>
        <v>0</v>
      </c>
      <c r="G50" s="41">
        <f>(COUNTIFS(集計用!$AA:$AA, "*, "&amp;G$4&amp;",*",集計用!$G:$G, "*, "&amp;$C50&amp;",*"))/$B50*100</f>
        <v>28.571428571428569</v>
      </c>
      <c r="H50" s="41">
        <f>(COUNTIFS(集計用!$AA:$AA, "*, "&amp;H$4&amp;",*",集計用!$G:$G, "*, "&amp;$C50&amp;",*"))/$B50*100</f>
        <v>42.857142857142854</v>
      </c>
      <c r="I50" s="41">
        <f>(COUNTIFS(集計用!$AA:$AA, "*, "&amp;I$4&amp;",*",集計用!$G:$G, "*, "&amp;$C50&amp;",*"))/$B50*100</f>
        <v>28.571428571428569</v>
      </c>
      <c r="J50" s="41">
        <f>(COUNTIFS(集計用!$AA:$AA, "*, "&amp;J$4&amp;",*",集計用!$G:$G, "*, "&amp;$C50&amp;",*"))/$B50*100</f>
        <v>0</v>
      </c>
      <c r="K50" s="41">
        <f>(COUNTIFS(集計用!$AA:$AA, "*, "&amp;K$4&amp;",*",集計用!$G:$G, "*, "&amp;$C50&amp;",*"))/$B50*100</f>
        <v>14.285714285714285</v>
      </c>
      <c r="L50" s="41">
        <f>(COUNTIFS(集計用!$AA:$AA, "*, "&amp;L$4&amp;",*",集計用!$G:$G, "*, "&amp;$C50&amp;",*"))/$B50*100</f>
        <v>71.428571428571431</v>
      </c>
      <c r="M50" s="41">
        <f>(COUNTIFS(集計用!$AA:$AA, "*, "&amp;M$4&amp;",*",集計用!$G:$G, "*, "&amp;$C50&amp;",*"))/$B50*100</f>
        <v>0</v>
      </c>
      <c r="N50" s="56">
        <f>(COUNTIFS(集計用!$G$2:$G$444,"*, "&amp;$C50&amp;",*",集計用!$AA$2:$AA$444,"&lt;&gt;無回答",集計用!$AA$2:$AA$444, "&lt;&gt;*"&amp;M$4&amp;"*"))/B50*100</f>
        <v>100</v>
      </c>
      <c r="O50" s="41"/>
      <c r="P50" s="41"/>
      <c r="Q50" s="41"/>
      <c r="R50" s="41"/>
      <c r="S50" s="41"/>
      <c r="T50" s="41"/>
      <c r="V50" s="39"/>
    </row>
    <row r="51" spans="1:27" ht="14.25" customHeight="1">
      <c r="A51" s="39">
        <v>5</v>
      </c>
      <c r="B51" s="39">
        <f>(COUNTIFS(集計用!$G$2:$G$444,"*, "&amp;$C51&amp;",*",集計用!$AA$2:$AA$444,"&lt;&gt;無回答"))</f>
        <v>6</v>
      </c>
      <c r="C51" s="42" t="s">
        <v>49</v>
      </c>
      <c r="D51" s="41">
        <f>(COUNTIFS(集計用!$AA:$AA, "*, "&amp;D$4&amp;",*",集計用!$G:$G, "*, "&amp;$C51&amp;",*"))/$B51*100</f>
        <v>16.666666666666664</v>
      </c>
      <c r="E51" s="41">
        <f>(COUNTIFS(集計用!$AA:$AA, "*, "&amp;E$4&amp;",*",集計用!$G:$G, "*, "&amp;$C51&amp;",*"))/$B51*100</f>
        <v>33.333333333333329</v>
      </c>
      <c r="F51" s="41">
        <f>(COUNTIFS(集計用!$AA:$AA, "*, "&amp;F$4&amp;",*",集計用!$G:$G, "*, "&amp;$C51&amp;",*"))/$B51*100</f>
        <v>0</v>
      </c>
      <c r="G51" s="41">
        <f>(COUNTIFS(集計用!$AA:$AA, "*, "&amp;G$4&amp;",*",集計用!$G:$G, "*, "&amp;$C51&amp;",*"))/$B51*100</f>
        <v>16.666666666666664</v>
      </c>
      <c r="H51" s="41">
        <f>(COUNTIFS(集計用!$AA:$AA, "*, "&amp;H$4&amp;",*",集計用!$G:$G, "*, "&amp;$C51&amp;",*"))/$B51*100</f>
        <v>33.333333333333329</v>
      </c>
      <c r="I51" s="41">
        <f>(COUNTIFS(集計用!$AA:$AA, "*, "&amp;I$4&amp;",*",集計用!$G:$G, "*, "&amp;$C51&amp;",*"))/$B51*100</f>
        <v>33.333333333333329</v>
      </c>
      <c r="J51" s="41">
        <f>(COUNTIFS(集計用!$AA:$AA, "*, "&amp;J$4&amp;",*",集計用!$G:$G, "*, "&amp;$C51&amp;",*"))/$B51*100</f>
        <v>0</v>
      </c>
      <c r="K51" s="41">
        <f>(COUNTIFS(集計用!$AA:$AA, "*, "&amp;K$4&amp;",*",集計用!$G:$G, "*, "&amp;$C51&amp;",*"))/$B51*100</f>
        <v>33.333333333333329</v>
      </c>
      <c r="L51" s="41">
        <f>(COUNTIFS(集計用!$AA:$AA, "*, "&amp;L$4&amp;",*",集計用!$G:$G, "*, "&amp;$C51&amp;",*"))/$B51*100</f>
        <v>33.333333333333329</v>
      </c>
      <c r="M51" s="41">
        <f>(COUNTIFS(集計用!$AA:$AA, "*, "&amp;M$4&amp;",*",集計用!$G:$G, "*, "&amp;$C51&amp;",*"))/$B51*100</f>
        <v>33.333333333333329</v>
      </c>
      <c r="N51" s="56">
        <f>(COUNTIFS(集計用!$G$2:$G$444,"*, "&amp;$C51&amp;",*",集計用!$AA$2:$AA$444,"&lt;&gt;無回答",集計用!$AA$2:$AA$444, "&lt;&gt;*"&amp;M$4&amp;"*"))/B51*100</f>
        <v>66.666666666666657</v>
      </c>
      <c r="O51" s="41"/>
      <c r="P51" s="41"/>
      <c r="Q51" s="41"/>
      <c r="R51" s="41"/>
      <c r="S51" s="41"/>
      <c r="T51" s="41"/>
      <c r="V51" s="39"/>
    </row>
    <row r="52" spans="1:27" ht="14.25" customHeight="1">
      <c r="A52" s="39">
        <v>5</v>
      </c>
      <c r="B52" s="39">
        <f>(COUNTIFS(集計用!$G$2:$G$444,"*, "&amp;$C52&amp;",*",集計用!$AA$2:$AA$444,"&lt;&gt;無回答"))</f>
        <v>11</v>
      </c>
      <c r="C52" s="42" t="s">
        <v>38</v>
      </c>
      <c r="D52" s="41">
        <f>(COUNTIFS(集計用!$AA:$AA, "*, "&amp;D$4&amp;",*",集計用!$G:$G, "*, "&amp;$C52&amp;",*"))/$B52*100</f>
        <v>18.181818181818183</v>
      </c>
      <c r="E52" s="41">
        <f>(COUNTIFS(集計用!$AA:$AA, "*, "&amp;E$4&amp;",*",集計用!$G:$G, "*, "&amp;$C52&amp;",*"))/$B52*100</f>
        <v>45.454545454545453</v>
      </c>
      <c r="F52" s="41">
        <f>(COUNTIFS(集計用!$AA:$AA, "*, "&amp;F$4&amp;",*",集計用!$G:$G, "*, "&amp;$C52&amp;",*"))/$B52*100</f>
        <v>0</v>
      </c>
      <c r="G52" s="41">
        <f>(COUNTIFS(集計用!$AA:$AA, "*, "&amp;G$4&amp;",*",集計用!$G:$G, "*, "&amp;$C52&amp;",*"))/$B52*100</f>
        <v>18.181818181818183</v>
      </c>
      <c r="H52" s="41">
        <f>(COUNTIFS(集計用!$AA:$AA, "*, "&amp;H$4&amp;",*",集計用!$G:$G, "*, "&amp;$C52&amp;",*"))/$B52*100</f>
        <v>18.181818181818183</v>
      </c>
      <c r="I52" s="41">
        <f>(COUNTIFS(集計用!$AA:$AA, "*, "&amp;I$4&amp;",*",集計用!$G:$G, "*, "&amp;$C52&amp;",*"))/$B52*100</f>
        <v>18.181818181818183</v>
      </c>
      <c r="J52" s="41">
        <f>(COUNTIFS(集計用!$AA:$AA, "*, "&amp;J$4&amp;",*",集計用!$G:$G, "*, "&amp;$C52&amp;",*"))/$B52*100</f>
        <v>9.0909090909090917</v>
      </c>
      <c r="K52" s="41">
        <f>(COUNTIFS(集計用!$AA:$AA, "*, "&amp;K$4&amp;",*",集計用!$G:$G, "*, "&amp;$C52&amp;",*"))/$B52*100</f>
        <v>27.27272727272727</v>
      </c>
      <c r="L52" s="41">
        <f>(COUNTIFS(集計用!$AA:$AA, "*, "&amp;L$4&amp;",*",集計用!$G:$G, "*, "&amp;$C52&amp;",*"))/$B52*100</f>
        <v>27.27272727272727</v>
      </c>
      <c r="M52" s="41">
        <f>(COUNTIFS(集計用!$AA:$AA, "*, "&amp;M$4&amp;",*",集計用!$G:$G, "*, "&amp;$C52&amp;",*"))/$B52*100</f>
        <v>18.181818181818183</v>
      </c>
      <c r="N52" s="56">
        <f>(COUNTIFS(集計用!$G$2:$G$444,"*, "&amp;$C52&amp;",*",集計用!$AA$2:$AA$444,"&lt;&gt;無回答",集計用!$AA$2:$AA$444, "&lt;&gt;*"&amp;M$4&amp;"*"))/B52*100</f>
        <v>81.818181818181827</v>
      </c>
      <c r="O52" s="41"/>
      <c r="P52" s="41"/>
      <c r="Q52" s="41"/>
      <c r="R52" s="41"/>
      <c r="S52" s="41"/>
      <c r="T52" s="41"/>
      <c r="V52" s="39"/>
    </row>
    <row r="53" spans="1:27" ht="14.25" customHeight="1">
      <c r="A53" s="39">
        <v>6</v>
      </c>
      <c r="B53" s="39">
        <f>(COUNTIFS(集計用!$G$2:$G$444,"*, "&amp;$C53&amp;",*",集計用!$AA$2:$AA$444,"&lt;&gt;無回答"))</f>
        <v>8</v>
      </c>
      <c r="C53" s="42" t="s">
        <v>41</v>
      </c>
      <c r="D53" s="41">
        <f>(COUNTIFS(集計用!$AA:$AA, "*, "&amp;D$4&amp;",*",集計用!$G:$G, "*, "&amp;$C53&amp;",*"))/$B53*100</f>
        <v>12.5</v>
      </c>
      <c r="E53" s="41">
        <f>(COUNTIFS(集計用!$AA:$AA, "*, "&amp;E$4&amp;",*",集計用!$G:$G, "*, "&amp;$C53&amp;",*"))/$B53*100</f>
        <v>25</v>
      </c>
      <c r="F53" s="41">
        <f>(COUNTIFS(集計用!$AA:$AA, "*, "&amp;F$4&amp;",*",集計用!$G:$G, "*, "&amp;$C53&amp;",*"))/$B53*100</f>
        <v>37.5</v>
      </c>
      <c r="G53" s="41">
        <f>(COUNTIFS(集計用!$AA:$AA, "*, "&amp;G$4&amp;",*",集計用!$G:$G, "*, "&amp;$C53&amp;",*"))/$B53*100</f>
        <v>37.5</v>
      </c>
      <c r="H53" s="41">
        <f>(COUNTIFS(集計用!$AA:$AA, "*, "&amp;H$4&amp;",*",集計用!$G:$G, "*, "&amp;$C53&amp;",*"))/$B53*100</f>
        <v>50</v>
      </c>
      <c r="I53" s="41">
        <f>(COUNTIFS(集計用!$AA:$AA, "*, "&amp;I$4&amp;",*",集計用!$G:$G, "*, "&amp;$C53&amp;",*"))/$B53*100</f>
        <v>50</v>
      </c>
      <c r="J53" s="41">
        <f>(COUNTIFS(集計用!$AA:$AA, "*, "&amp;J$4&amp;",*",集計用!$G:$G, "*, "&amp;$C53&amp;",*"))/$B53*100</f>
        <v>0</v>
      </c>
      <c r="K53" s="41">
        <f>(COUNTIFS(集計用!$AA:$AA, "*, "&amp;K$4&amp;",*",集計用!$G:$G, "*, "&amp;$C53&amp;",*"))/$B53*100</f>
        <v>50</v>
      </c>
      <c r="L53" s="41">
        <f>(COUNTIFS(集計用!$AA:$AA, "*, "&amp;L$4&amp;",*",集計用!$G:$G, "*, "&amp;$C53&amp;",*"))/$B53*100</f>
        <v>25</v>
      </c>
      <c r="M53" s="41">
        <f>(COUNTIFS(集計用!$AA:$AA, "*, "&amp;M$4&amp;",*",集計用!$G:$G, "*, "&amp;$C53&amp;",*"))/$B53*100</f>
        <v>50</v>
      </c>
      <c r="N53" s="56">
        <f>(COUNTIFS(集計用!$G$2:$G$444,"*, "&amp;$C53&amp;",*",集計用!$AA$2:$AA$444,"&lt;&gt;無回答",集計用!$AA$2:$AA$444, "&lt;&gt;*"&amp;M$4&amp;"*"))/B53*100</f>
        <v>50</v>
      </c>
      <c r="O53" s="41"/>
      <c r="P53" s="41"/>
      <c r="Q53" s="41"/>
      <c r="R53" s="41"/>
      <c r="S53" s="41"/>
      <c r="T53" s="41"/>
      <c r="V53" s="39"/>
    </row>
    <row r="54" spans="1:27" ht="14.25" customHeight="1">
      <c r="A54" s="39">
        <v>6</v>
      </c>
      <c r="B54" s="39">
        <f>(COUNTIFS(集計用!$G$2:$G$444,"*, "&amp;$C54&amp;",*",集計用!$AA$2:$AA$444,"&lt;&gt;無回答"))</f>
        <v>50</v>
      </c>
      <c r="C54" s="42" t="s">
        <v>12</v>
      </c>
      <c r="D54" s="41">
        <f>(COUNTIFS(集計用!$AA:$AA, "*, "&amp;D$4&amp;",*",集計用!$G:$G, "*, "&amp;$C54&amp;",*"))/$B54*100</f>
        <v>12</v>
      </c>
      <c r="E54" s="41">
        <f>(COUNTIFS(集計用!$AA:$AA, "*, "&amp;E$4&amp;",*",集計用!$G:$G, "*, "&amp;$C54&amp;",*"))/$B54*100</f>
        <v>16</v>
      </c>
      <c r="F54" s="41">
        <f>(COUNTIFS(集計用!$AA:$AA, "*, "&amp;F$4&amp;",*",集計用!$G:$G, "*, "&amp;$C54&amp;",*"))/$B54*100</f>
        <v>16</v>
      </c>
      <c r="G54" s="41">
        <f>(COUNTIFS(集計用!$AA:$AA, "*, "&amp;G$4&amp;",*",集計用!$G:$G, "*, "&amp;$C54&amp;",*"))/$B54*100</f>
        <v>18</v>
      </c>
      <c r="H54" s="41">
        <f>(COUNTIFS(集計用!$AA:$AA, "*, "&amp;H$4&amp;",*",集計用!$G:$G, "*, "&amp;$C54&amp;",*"))/$B54*100</f>
        <v>24</v>
      </c>
      <c r="I54" s="41">
        <f>(COUNTIFS(集計用!$AA:$AA, "*, "&amp;I$4&amp;",*",集計用!$G:$G, "*, "&amp;$C54&amp;",*"))/$B54*100</f>
        <v>34</v>
      </c>
      <c r="J54" s="41">
        <f>(COUNTIFS(集計用!$AA:$AA, "*, "&amp;J$4&amp;",*",集計用!$G:$G, "*, "&amp;$C54&amp;",*"))/$B54*100</f>
        <v>4</v>
      </c>
      <c r="K54" s="41">
        <f>(COUNTIFS(集計用!$AA:$AA, "*, "&amp;K$4&amp;",*",集計用!$G:$G, "*, "&amp;$C54&amp;",*"))/$B54*100</f>
        <v>26</v>
      </c>
      <c r="L54" s="41">
        <f>(COUNTIFS(集計用!$AA:$AA, "*, "&amp;L$4&amp;",*",集計用!$G:$G, "*, "&amp;$C54&amp;",*"))/$B54*100</f>
        <v>22</v>
      </c>
      <c r="M54" s="41">
        <f>(COUNTIFS(集計用!$AA:$AA, "*, "&amp;M$4&amp;",*",集計用!$G:$G, "*, "&amp;$C54&amp;",*"))/$B54*100</f>
        <v>54</v>
      </c>
      <c r="N54" s="56">
        <f>(COUNTIFS(集計用!$G$2:$G$444,"*, "&amp;$C54&amp;",*",集計用!$AA$2:$AA$444,"&lt;&gt;無回答",集計用!$AA$2:$AA$444, "&lt;&gt;*"&amp;M$4&amp;"*"))/B54*100</f>
        <v>46</v>
      </c>
      <c r="O54" s="41"/>
      <c r="P54" s="41"/>
      <c r="Q54" s="41"/>
      <c r="R54" s="41"/>
      <c r="S54" s="41"/>
      <c r="T54" s="41"/>
      <c r="V54" s="39"/>
    </row>
    <row r="55" spans="1:27" ht="12.75">
      <c r="A55" s="39">
        <v>6</v>
      </c>
      <c r="B55" s="39">
        <f>(COUNTIFS(集計用!$G$2:$G$444,"*, "&amp;$C55&amp;",*",集計用!$AA$2:$AA$444,"&lt;&gt;無回答"))</f>
        <v>20</v>
      </c>
      <c r="C55" s="42" t="s">
        <v>25</v>
      </c>
      <c r="D55" s="41">
        <f>(COUNTIFS(集計用!$AA:$AA, "*, "&amp;D$4&amp;",*",集計用!$G:$G, "*, "&amp;$C55&amp;",*"))/$B55*100</f>
        <v>0</v>
      </c>
      <c r="E55" s="41">
        <f>(COUNTIFS(集計用!$AA:$AA, "*, "&amp;E$4&amp;",*",集計用!$G:$G, "*, "&amp;$C55&amp;",*"))/$B55*100</f>
        <v>30</v>
      </c>
      <c r="F55" s="41">
        <f>(COUNTIFS(集計用!$AA:$AA, "*, "&amp;F$4&amp;",*",集計用!$G:$G, "*, "&amp;$C55&amp;",*"))/$B55*100</f>
        <v>5</v>
      </c>
      <c r="G55" s="41">
        <f>(COUNTIFS(集計用!$AA:$AA, "*, "&amp;G$4&amp;",*",集計用!$G:$G, "*, "&amp;$C55&amp;",*"))/$B55*100</f>
        <v>20</v>
      </c>
      <c r="H55" s="41">
        <f>(COUNTIFS(集計用!$AA:$AA, "*, "&amp;H$4&amp;",*",集計用!$G:$G, "*, "&amp;$C55&amp;",*"))/$B55*100</f>
        <v>30</v>
      </c>
      <c r="I55" s="41">
        <f>(COUNTIFS(集計用!$AA:$AA, "*, "&amp;I$4&amp;",*",集計用!$G:$G, "*, "&amp;$C55&amp;",*"))/$B55*100</f>
        <v>25</v>
      </c>
      <c r="J55" s="41">
        <f>(COUNTIFS(集計用!$AA:$AA, "*, "&amp;J$4&amp;",*",集計用!$G:$G, "*, "&amp;$C55&amp;",*"))/$B55*100</f>
        <v>5</v>
      </c>
      <c r="K55" s="41">
        <f>(COUNTIFS(集計用!$AA:$AA, "*, "&amp;K$4&amp;",*",集計用!$G:$G, "*, "&amp;$C55&amp;",*"))/$B55*100</f>
        <v>15</v>
      </c>
      <c r="L55" s="41">
        <f>(COUNTIFS(集計用!$AA:$AA, "*, "&amp;L$4&amp;",*",集計用!$G:$G, "*, "&amp;$C55&amp;",*"))/$B55*100</f>
        <v>25</v>
      </c>
      <c r="M55" s="41">
        <f>(COUNTIFS(集計用!$AA:$AA, "*, "&amp;M$4&amp;",*",集計用!$G:$G, "*, "&amp;$C55&amp;",*"))/$B55*100</f>
        <v>45</v>
      </c>
      <c r="N55" s="56">
        <f>(COUNTIFS(集計用!$G$2:$G$444,"*, "&amp;$C55&amp;",*",集計用!$AA$2:$AA$444,"&lt;&gt;無回答",集計用!$AA$2:$AA$444, "&lt;&gt;*"&amp;M$4&amp;"*"))/B55*100</f>
        <v>55.000000000000007</v>
      </c>
      <c r="O55" s="41"/>
      <c r="P55" s="41"/>
      <c r="Q55" s="41"/>
      <c r="R55" s="41" t="s">
        <v>2448</v>
      </c>
      <c r="S55" s="41"/>
      <c r="T55" s="41"/>
      <c r="V55" s="39"/>
    </row>
    <row r="56" spans="1:27" ht="14.25" customHeight="1">
      <c r="A56" s="39">
        <v>6</v>
      </c>
      <c r="B56" s="39">
        <f>(COUNTIFS(集計用!$G$2:$G$444,"*, "&amp;$C56&amp;",*",集計用!$AA$2:$AA$444,"&lt;&gt;無回答"))</f>
        <v>46</v>
      </c>
      <c r="C56" s="42" t="s">
        <v>13</v>
      </c>
      <c r="D56" s="41">
        <f>(COUNTIFS(集計用!$AA:$AA, "*, "&amp;D$4&amp;",*",集計用!$G:$G, "*, "&amp;$C56&amp;",*"))/$B56*100</f>
        <v>2.1739130434782608</v>
      </c>
      <c r="E56" s="41">
        <f>(COUNTIFS(集計用!$AA:$AA, "*, "&amp;E$4&amp;",*",集計用!$G:$G, "*, "&amp;$C56&amp;",*"))/$B56*100</f>
        <v>32.608695652173914</v>
      </c>
      <c r="F56" s="41">
        <f>(COUNTIFS(集計用!$AA:$AA, "*, "&amp;F$4&amp;",*",集計用!$G:$G, "*, "&amp;$C56&amp;",*"))/$B56*100</f>
        <v>2.1739130434782608</v>
      </c>
      <c r="G56" s="41">
        <f>(COUNTIFS(集計用!$AA:$AA, "*, "&amp;G$4&amp;",*",集計用!$G:$G, "*, "&amp;$C56&amp;",*"))/$B56*100</f>
        <v>10.869565217391305</v>
      </c>
      <c r="H56" s="41">
        <f>(COUNTIFS(集計用!$AA:$AA, "*, "&amp;H$4&amp;",*",集計用!$G:$G, "*, "&amp;$C56&amp;",*"))/$B56*100</f>
        <v>13.043478260869565</v>
      </c>
      <c r="I56" s="41">
        <f>(COUNTIFS(集計用!$AA:$AA, "*, "&amp;I$4&amp;",*",集計用!$G:$G, "*, "&amp;$C56&amp;",*"))/$B56*100</f>
        <v>21.739130434782609</v>
      </c>
      <c r="J56" s="41">
        <f>(COUNTIFS(集計用!$AA:$AA, "*, "&amp;J$4&amp;",*",集計用!$G:$G, "*, "&amp;$C56&amp;",*"))/$B56*100</f>
        <v>2.1739130434782608</v>
      </c>
      <c r="K56" s="41">
        <f>(COUNTIFS(集計用!$AA:$AA, "*, "&amp;K$4&amp;",*",集計用!$G:$G, "*, "&amp;$C56&amp;",*"))/$B56*100</f>
        <v>13.043478260869565</v>
      </c>
      <c r="L56" s="41">
        <f>(COUNTIFS(集計用!$AA:$AA, "*, "&amp;L$4&amp;",*",集計用!$G:$G, "*, "&amp;$C56&amp;",*"))/$B56*100</f>
        <v>15.217391304347828</v>
      </c>
      <c r="M56" s="41">
        <f>(COUNTIFS(集計用!$AA:$AA, "*, "&amp;M$4&amp;",*",集計用!$G:$G, "*, "&amp;$C56&amp;",*"))/$B56*100</f>
        <v>54.347826086956516</v>
      </c>
      <c r="N56" s="56">
        <f>(COUNTIFS(集計用!$G$2:$G$444,"*, "&amp;$C56&amp;",*",集計用!$AA$2:$AA$444,"&lt;&gt;無回答",集計用!$AA$2:$AA$444, "&lt;&gt;*"&amp;M$4&amp;"*"))/B56*100</f>
        <v>45.652173913043477</v>
      </c>
      <c r="O56" s="41"/>
      <c r="P56" s="41"/>
      <c r="Q56" s="41"/>
      <c r="R56" s="41"/>
      <c r="S56" s="41"/>
      <c r="T56" s="41"/>
      <c r="V56" s="39"/>
    </row>
    <row r="57" spans="1:27" ht="14.25" customHeight="1">
      <c r="A57" s="39">
        <v>6</v>
      </c>
      <c r="B57" s="39">
        <f>(COUNTIFS(集計用!$G$2:$G$444,"*, "&amp;$C57&amp;",*",集計用!$AA$2:$AA$444,"&lt;&gt;無回答"))</f>
        <v>18</v>
      </c>
      <c r="C57" s="42" t="s">
        <v>26</v>
      </c>
      <c r="D57" s="41">
        <f>(COUNTIFS(集計用!$AA:$AA, "*, "&amp;D$4&amp;",*",集計用!$G:$G, "*, "&amp;$C57&amp;",*"))/$B57*100</f>
        <v>5.5555555555555554</v>
      </c>
      <c r="E57" s="41">
        <f>(COUNTIFS(集計用!$AA:$AA, "*, "&amp;E$4&amp;",*",集計用!$G:$G, "*, "&amp;$C57&amp;",*"))/$B57*100</f>
        <v>16.666666666666664</v>
      </c>
      <c r="F57" s="41">
        <f>(COUNTIFS(集計用!$AA:$AA, "*, "&amp;F$4&amp;",*",集計用!$G:$G, "*, "&amp;$C57&amp;",*"))/$B57*100</f>
        <v>0</v>
      </c>
      <c r="G57" s="41">
        <f>(COUNTIFS(集計用!$AA:$AA, "*, "&amp;G$4&amp;",*",集計用!$G:$G, "*, "&amp;$C57&amp;",*"))/$B57*100</f>
        <v>5.5555555555555554</v>
      </c>
      <c r="H57" s="41">
        <f>(COUNTIFS(集計用!$AA:$AA, "*, "&amp;H$4&amp;",*",集計用!$G:$G, "*, "&amp;$C57&amp;",*"))/$B57*100</f>
        <v>11.111111111111111</v>
      </c>
      <c r="I57" s="41">
        <f>(COUNTIFS(集計用!$AA:$AA, "*, "&amp;I$4&amp;",*",集計用!$G:$G, "*, "&amp;$C57&amp;",*"))/$B57*100</f>
        <v>11.111111111111111</v>
      </c>
      <c r="J57" s="41">
        <f>(COUNTIFS(集計用!$AA:$AA, "*, "&amp;J$4&amp;",*",集計用!$G:$G, "*, "&amp;$C57&amp;",*"))/$B57*100</f>
        <v>5.5555555555555554</v>
      </c>
      <c r="K57" s="41">
        <f>(COUNTIFS(集計用!$AA:$AA, "*, "&amp;K$4&amp;",*",集計用!$G:$G, "*, "&amp;$C57&amp;",*"))/$B57*100</f>
        <v>11.111111111111111</v>
      </c>
      <c r="L57" s="41">
        <f>(COUNTIFS(集計用!$AA:$AA, "*, "&amp;L$4&amp;",*",集計用!$G:$G, "*, "&amp;$C57&amp;",*"))/$B57*100</f>
        <v>5.5555555555555554</v>
      </c>
      <c r="M57" s="41">
        <f>(COUNTIFS(集計用!$AA:$AA, "*, "&amp;M$4&amp;",*",集計用!$G:$G, "*, "&amp;$C57&amp;",*"))/$B57*100</f>
        <v>72.222222222222214</v>
      </c>
      <c r="N57" s="56">
        <f>(COUNTIFS(集計用!$G$2:$G$444,"*, "&amp;$C57&amp;",*",集計用!$AA$2:$AA$444,"&lt;&gt;無回答",集計用!$AA$2:$AA$444, "&lt;&gt;*"&amp;M$4&amp;"*"))/B57*100</f>
        <v>27.777777777777779</v>
      </c>
      <c r="O57" s="41"/>
      <c r="P57" s="41"/>
      <c r="Q57" s="41"/>
      <c r="R57" s="41"/>
      <c r="S57" s="41"/>
      <c r="T57" s="41"/>
      <c r="V57" s="39"/>
    </row>
    <row r="58" spans="1:27" ht="14.25" customHeight="1">
      <c r="A58" s="39" t="s">
        <v>2180</v>
      </c>
      <c r="B58" s="39">
        <f>(COUNTIFS(集計用!$G$2:$G$444,"*, "&amp;$C58&amp;",*",集計用!$AA$2:$AA$444,"&lt;&gt;無回答"))</f>
        <v>3</v>
      </c>
      <c r="C58" s="42" t="s">
        <v>52</v>
      </c>
      <c r="D58" s="41">
        <f>(COUNTIFS(集計用!$AA:$AA, "*, "&amp;D$4&amp;",*",集計用!$G:$G, "*, "&amp;$C58&amp;",*"))/$B58*100</f>
        <v>0</v>
      </c>
      <c r="E58" s="41">
        <f>(COUNTIFS(集計用!$AA:$AA, "*, "&amp;E$4&amp;",*",集計用!$G:$G, "*, "&amp;$C58&amp;",*"))/$B58*100</f>
        <v>33.333333333333329</v>
      </c>
      <c r="F58" s="41">
        <f>(COUNTIFS(集計用!$AA:$AA, "*, "&amp;F$4&amp;",*",集計用!$G:$G, "*, "&amp;$C58&amp;",*"))/$B58*100</f>
        <v>33.333333333333329</v>
      </c>
      <c r="G58" s="41">
        <f>(COUNTIFS(集計用!$AA:$AA, "*, "&amp;G$4&amp;",*",集計用!$G:$G, "*, "&amp;$C58&amp;",*"))/$B58*100</f>
        <v>33.333333333333329</v>
      </c>
      <c r="H58" s="41">
        <f>(COUNTIFS(集計用!$AA:$AA, "*, "&amp;H$4&amp;",*",集計用!$G:$G, "*, "&amp;$C58&amp;",*"))/$B58*100</f>
        <v>66.666666666666657</v>
      </c>
      <c r="I58" s="41">
        <f>(COUNTIFS(集計用!$AA:$AA, "*, "&amp;I$4&amp;",*",集計用!$G:$G, "*, "&amp;$C58&amp;",*"))/$B58*100</f>
        <v>33.333333333333329</v>
      </c>
      <c r="J58" s="41">
        <f>(COUNTIFS(集計用!$AA:$AA, "*, "&amp;J$4&amp;",*",集計用!$G:$G, "*, "&amp;$C58&amp;",*"))/$B58*100</f>
        <v>0</v>
      </c>
      <c r="K58" s="41">
        <f>(COUNTIFS(集計用!$AA:$AA, "*, "&amp;K$4&amp;",*",集計用!$G:$G, "*, "&amp;$C58&amp;",*"))/$B58*100</f>
        <v>66.666666666666657</v>
      </c>
      <c r="L58" s="41">
        <f>(COUNTIFS(集計用!$AA:$AA, "*, "&amp;L$4&amp;",*",集計用!$G:$G, "*, "&amp;$C58&amp;",*"))/$B58*100</f>
        <v>66.666666666666657</v>
      </c>
      <c r="M58" s="41">
        <f>(COUNTIFS(集計用!$AA:$AA, "*, "&amp;M$4&amp;",*",集計用!$G:$G, "*, "&amp;$C58&amp;",*"))/$B58*100</f>
        <v>0</v>
      </c>
      <c r="N58" s="56">
        <f>(COUNTIFS(集計用!$G$2:$G$444,"*, "&amp;$C58&amp;",*",集計用!$AA$2:$AA$444,"&lt;&gt;無回答",集計用!$AA$2:$AA$444, "&lt;&gt;*"&amp;M$4&amp;"*"))/B58*100</f>
        <v>100</v>
      </c>
      <c r="O58" s="41"/>
      <c r="P58" s="41"/>
      <c r="Q58" s="41"/>
      <c r="R58" s="41"/>
      <c r="S58" s="41"/>
      <c r="T58" s="41"/>
      <c r="V58" s="39"/>
    </row>
    <row r="59" spans="1:27" ht="14.25" customHeight="1">
      <c r="A59" s="39" t="s">
        <v>2180</v>
      </c>
      <c r="B59" s="39">
        <f>(COUNTIFS(集計用!$G$2:$G$444,"*, "&amp;$C59&amp;",*",集計用!$AA$2:$AA$444,"&lt;&gt;無回答"))</f>
        <v>3</v>
      </c>
      <c r="C59" s="42" t="s">
        <v>54</v>
      </c>
      <c r="D59" s="41">
        <f>(COUNTIFS(集計用!$AA:$AA, "*, "&amp;D$4&amp;",*",集計用!$G:$G, "*, "&amp;$C59&amp;",*"))/$B59*100</f>
        <v>66.666666666666657</v>
      </c>
      <c r="E59" s="41">
        <f>(COUNTIFS(集計用!$AA:$AA, "*, "&amp;E$4&amp;",*",集計用!$G:$G, "*, "&amp;$C59&amp;",*"))/$B59*100</f>
        <v>33.333333333333329</v>
      </c>
      <c r="F59" s="41">
        <f>(COUNTIFS(集計用!$AA:$AA, "*, "&amp;F$4&amp;",*",集計用!$G:$G, "*, "&amp;$C59&amp;",*"))/$B59*100</f>
        <v>33.333333333333329</v>
      </c>
      <c r="G59" s="41">
        <f>(COUNTIFS(集計用!$AA:$AA, "*, "&amp;G$4&amp;",*",集計用!$G:$G, "*, "&amp;$C59&amp;",*"))/$B59*100</f>
        <v>33.333333333333329</v>
      </c>
      <c r="H59" s="41">
        <f>(COUNTIFS(集計用!$AA:$AA, "*, "&amp;H$4&amp;",*",集計用!$G:$G, "*, "&amp;$C59&amp;",*"))/$B59*100</f>
        <v>33.333333333333329</v>
      </c>
      <c r="I59" s="41">
        <f>(COUNTIFS(集計用!$AA:$AA, "*, "&amp;I$4&amp;",*",集計用!$G:$G, "*, "&amp;$C59&amp;",*"))/$B59*100</f>
        <v>66.666666666666657</v>
      </c>
      <c r="J59" s="41">
        <f>(COUNTIFS(集計用!$AA:$AA, "*, "&amp;J$4&amp;",*",集計用!$G:$G, "*, "&amp;$C59&amp;",*"))/$B59*100</f>
        <v>0</v>
      </c>
      <c r="K59" s="41">
        <f>(COUNTIFS(集計用!$AA:$AA, "*, "&amp;K$4&amp;",*",集計用!$G:$G, "*, "&amp;$C59&amp;",*"))/$B59*100</f>
        <v>66.666666666666657</v>
      </c>
      <c r="L59" s="41">
        <f>(COUNTIFS(集計用!$AA:$AA, "*, "&amp;L$4&amp;",*",集計用!$G:$G, "*, "&amp;$C59&amp;",*"))/$B59*100</f>
        <v>66.666666666666657</v>
      </c>
      <c r="M59" s="41">
        <f>(COUNTIFS(集計用!$AA:$AA, "*, "&amp;M$4&amp;",*",集計用!$G:$G, "*, "&amp;$C59&amp;",*"))/$B59*100</f>
        <v>0</v>
      </c>
      <c r="N59" s="56">
        <f>(COUNTIFS(集計用!$G$2:$G$444,"*, "&amp;$C59&amp;",*",集計用!$AA$2:$AA$444,"&lt;&gt;無回答",集計用!$AA$2:$AA$444, "&lt;&gt;*"&amp;M$4&amp;"*"))/B59*100</f>
        <v>100</v>
      </c>
      <c r="O59" s="41"/>
      <c r="P59" s="41"/>
      <c r="Q59" s="41"/>
      <c r="R59" s="41"/>
      <c r="S59" s="41"/>
      <c r="T59" s="41"/>
      <c r="V59" s="39"/>
    </row>
    <row r="60" spans="1:27" ht="12.75">
      <c r="A60" s="39" t="s">
        <v>2180</v>
      </c>
      <c r="B60" s="39">
        <f>(COUNTIFS(集計用!$G$2:$G$444,"*, "&amp;$C60&amp;",*",集計用!$AA$2:$AA$444,"&lt;&gt;無回答"))</f>
        <v>1</v>
      </c>
      <c r="C60" s="42" t="s">
        <v>56</v>
      </c>
      <c r="D60" s="41">
        <f>(COUNTIFS(集計用!$AA:$AA, "*, "&amp;D$4&amp;",*",集計用!$G:$G, "*, "&amp;$C60&amp;",*"))/$B60*100</f>
        <v>0</v>
      </c>
      <c r="E60" s="41">
        <f>(COUNTIFS(集計用!$AA:$AA, "*, "&amp;E$4&amp;",*",集計用!$G:$G, "*, "&amp;$C60&amp;",*"))/$B60*100</f>
        <v>0</v>
      </c>
      <c r="F60" s="41">
        <f>(COUNTIFS(集計用!$AA:$AA, "*, "&amp;F$4&amp;",*",集計用!$G:$G, "*, "&amp;$C60&amp;",*"))/$B60*100</f>
        <v>0</v>
      </c>
      <c r="G60" s="41">
        <f>(COUNTIFS(集計用!$AA:$AA, "*, "&amp;G$4&amp;",*",集計用!$G:$G, "*, "&amp;$C60&amp;",*"))/$B60*100</f>
        <v>100</v>
      </c>
      <c r="H60" s="41">
        <f>(COUNTIFS(集計用!$AA:$AA, "*, "&amp;H$4&amp;",*",集計用!$G:$G, "*, "&amp;$C60&amp;",*"))/$B60*100</f>
        <v>0</v>
      </c>
      <c r="I60" s="41">
        <f>(COUNTIFS(集計用!$AA:$AA, "*, "&amp;I$4&amp;",*",集計用!$G:$G, "*, "&amp;$C60&amp;",*"))/$B60*100</f>
        <v>0</v>
      </c>
      <c r="J60" s="41">
        <f>(COUNTIFS(集計用!$AA:$AA, "*, "&amp;J$4&amp;",*",集計用!$G:$G, "*, "&amp;$C60&amp;",*"))/$B60*100</f>
        <v>0</v>
      </c>
      <c r="K60" s="41">
        <f>(COUNTIFS(集計用!$AA:$AA, "*, "&amp;K$4&amp;",*",集計用!$G:$G, "*, "&amp;$C60&amp;",*"))/$B60*100</f>
        <v>100</v>
      </c>
      <c r="L60" s="41">
        <f>(COUNTIFS(集計用!$AA:$AA, "*, "&amp;L$4&amp;",*",集計用!$G:$G, "*, "&amp;$C60&amp;",*"))/$B60*100</f>
        <v>100</v>
      </c>
      <c r="M60" s="41">
        <f>(COUNTIFS(集計用!$AA:$AA, "*, "&amp;M$4&amp;",*",集計用!$G:$G, "*, "&amp;$C60&amp;",*"))/$B60*100</f>
        <v>0</v>
      </c>
      <c r="N60" s="56">
        <f>(COUNTIFS(集計用!$G$2:$G$444,"*, "&amp;$C60&amp;",*",集計用!$AA$2:$AA$444,"&lt;&gt;無回答",集計用!$AA$2:$AA$444, "&lt;&gt;*"&amp;M$4&amp;"*"))/B60*100</f>
        <v>100</v>
      </c>
      <c r="O60" s="41"/>
      <c r="P60" s="41"/>
      <c r="Q60" s="41"/>
      <c r="R60" s="41"/>
      <c r="S60" s="41"/>
      <c r="T60" s="41"/>
      <c r="V60" s="39"/>
    </row>
    <row r="61" spans="1:27" ht="14.25" customHeight="1">
      <c r="A61" s="39" t="s">
        <v>2180</v>
      </c>
      <c r="B61" s="39">
        <f>(COUNTIFS(集計用!$G$2:$G$444,"*, "&amp;$C61&amp;",*",集計用!$AA$2:$AA$444,"&lt;&gt;無回答"))</f>
        <v>1</v>
      </c>
      <c r="C61" s="42" t="s">
        <v>55</v>
      </c>
      <c r="D61" s="41">
        <f>(COUNTIFS(集計用!$AA:$AA, "*, "&amp;D$4&amp;",*",集計用!$G:$G, "*, "&amp;$C61&amp;",*"))/$B61*100</f>
        <v>0</v>
      </c>
      <c r="E61" s="41">
        <f>(COUNTIFS(集計用!$AA:$AA, "*, "&amp;E$4&amp;",*",集計用!$G:$G, "*, "&amp;$C61&amp;",*"))/$B61*100</f>
        <v>100</v>
      </c>
      <c r="F61" s="41">
        <f>(COUNTIFS(集計用!$AA:$AA, "*, "&amp;F$4&amp;",*",集計用!$G:$G, "*, "&amp;$C61&amp;",*"))/$B61*100</f>
        <v>0</v>
      </c>
      <c r="G61" s="41">
        <f>(COUNTIFS(集計用!$AA:$AA, "*, "&amp;G$4&amp;",*",集計用!$G:$G, "*, "&amp;$C61&amp;",*"))/$B61*100</f>
        <v>0</v>
      </c>
      <c r="H61" s="41">
        <f>(COUNTIFS(集計用!$AA:$AA, "*, "&amp;H$4&amp;",*",集計用!$G:$G, "*, "&amp;$C61&amp;",*"))/$B61*100</f>
        <v>100</v>
      </c>
      <c r="I61" s="41">
        <f>(COUNTIFS(集計用!$AA:$AA, "*, "&amp;I$4&amp;",*",集計用!$G:$G, "*, "&amp;$C61&amp;",*"))/$B61*100</f>
        <v>100</v>
      </c>
      <c r="J61" s="41">
        <f>(COUNTIFS(集計用!$AA:$AA, "*, "&amp;J$4&amp;",*",集計用!$G:$G, "*, "&amp;$C61&amp;",*"))/$B61*100</f>
        <v>0</v>
      </c>
      <c r="K61" s="41">
        <f>(COUNTIFS(集計用!$AA:$AA, "*, "&amp;K$4&amp;",*",集計用!$G:$G, "*, "&amp;$C61&amp;",*"))/$B61*100</f>
        <v>100</v>
      </c>
      <c r="L61" s="41">
        <f>(COUNTIFS(集計用!$AA:$AA, "*, "&amp;L$4&amp;",*",集計用!$G:$G, "*, "&amp;$C61&amp;",*"))/$B61*100</f>
        <v>0</v>
      </c>
      <c r="M61" s="41">
        <f>(COUNTIFS(集計用!$AA:$AA, "*, "&amp;M$4&amp;",*",集計用!$G:$G, "*, "&amp;$C61&amp;",*"))/$B61*100</f>
        <v>0</v>
      </c>
      <c r="N61" s="56">
        <f>(COUNTIFS(集計用!$G$2:$G$444,"*, "&amp;$C61&amp;",*",集計用!$AA$2:$AA$444,"&lt;&gt;無回答",集計用!$AA$2:$AA$444, "&lt;&gt;*"&amp;M$4&amp;"*"))/B61*100</f>
        <v>100</v>
      </c>
      <c r="O61" s="41"/>
      <c r="P61" s="41"/>
      <c r="Q61" s="41"/>
      <c r="R61" s="41"/>
      <c r="S61" s="41"/>
      <c r="T61" s="41"/>
      <c r="V61" s="39"/>
    </row>
    <row r="62" spans="1:27" ht="14.25" customHeight="1">
      <c r="A62" s="39" t="s">
        <v>2180</v>
      </c>
      <c r="B62" s="39">
        <f>(COUNTIFS(集計用!$G$2:$G$444,"*, "&amp;$C62&amp;",*",集計用!$AA$2:$AA$444,"&lt;&gt;無回答"))</f>
        <v>3</v>
      </c>
      <c r="C62" s="42" t="s">
        <v>53</v>
      </c>
      <c r="D62" s="41">
        <f>(COUNTIFS(集計用!$AA:$AA, "*, "&amp;D$4&amp;",*",集計用!$G:$G, "*, "&amp;$C62&amp;",*"))/$B62*100</f>
        <v>0</v>
      </c>
      <c r="E62" s="41">
        <f>(COUNTIFS(集計用!$AA:$AA, "*, "&amp;E$4&amp;",*",集計用!$G:$G, "*, "&amp;$C62&amp;",*"))/$B62*100</f>
        <v>33.333333333333329</v>
      </c>
      <c r="F62" s="41">
        <f>(COUNTIFS(集計用!$AA:$AA, "*, "&amp;F$4&amp;",*",集計用!$G:$G, "*, "&amp;$C62&amp;",*"))/$B62*100</f>
        <v>0</v>
      </c>
      <c r="G62" s="41">
        <f>(COUNTIFS(集計用!$AA:$AA, "*, "&amp;G$4&amp;",*",集計用!$G:$G, "*, "&amp;$C62&amp;",*"))/$B62*100</f>
        <v>0</v>
      </c>
      <c r="H62" s="41">
        <f>(COUNTIFS(集計用!$AA:$AA, "*, "&amp;H$4&amp;",*",集計用!$G:$G, "*, "&amp;$C62&amp;",*"))/$B62*100</f>
        <v>33.333333333333329</v>
      </c>
      <c r="I62" s="41">
        <f>(COUNTIFS(集計用!$AA:$AA, "*, "&amp;I$4&amp;",*",集計用!$G:$G, "*, "&amp;$C62&amp;",*"))/$B62*100</f>
        <v>33.333333333333329</v>
      </c>
      <c r="J62" s="41">
        <f>(COUNTIFS(集計用!$AA:$AA, "*, "&amp;J$4&amp;",*",集計用!$G:$G, "*, "&amp;$C62&amp;",*"))/$B62*100</f>
        <v>0</v>
      </c>
      <c r="K62" s="41">
        <f>(COUNTIFS(集計用!$AA:$AA, "*, "&amp;K$4&amp;",*",集計用!$G:$G, "*, "&amp;$C62&amp;",*"))/$B62*100</f>
        <v>33.333333333333329</v>
      </c>
      <c r="L62" s="41">
        <f>(COUNTIFS(集計用!$AA:$AA, "*, "&amp;L$4&amp;",*",集計用!$G:$G, "*, "&amp;$C62&amp;",*"))/$B62*100</f>
        <v>0</v>
      </c>
      <c r="M62" s="41">
        <f>(COUNTIFS(集計用!$AA:$AA, "*, "&amp;M$4&amp;",*",集計用!$G:$G, "*, "&amp;$C62&amp;",*"))/$B62*100</f>
        <v>66.666666666666657</v>
      </c>
      <c r="N62" s="56">
        <f>(COUNTIFS(集計用!$G$2:$G$444,"*, "&amp;$C62&amp;",*",集計用!$AA$2:$AA$444,"&lt;&gt;無回答",集計用!$AA$2:$AA$444, "&lt;&gt;*"&amp;M$4&amp;"*"))/B62*100</f>
        <v>33.333333333333329</v>
      </c>
      <c r="O62" s="41"/>
      <c r="P62" s="41"/>
      <c r="Q62" s="41"/>
      <c r="R62" s="41"/>
      <c r="S62" s="41"/>
      <c r="T62" s="41"/>
      <c r="V62" s="39"/>
    </row>
    <row r="63" spans="1:27" ht="14.25" customHeight="1">
      <c r="C63" s="43"/>
      <c r="D63" s="44"/>
      <c r="E63" s="44"/>
      <c r="F63" s="44"/>
      <c r="G63" s="44"/>
      <c r="H63" s="44"/>
      <c r="I63" s="44"/>
      <c r="J63" s="44"/>
      <c r="K63" s="44"/>
      <c r="L63" s="44"/>
      <c r="AA63" s="44"/>
    </row>
    <row r="64" spans="1:27" ht="12.75">
      <c r="C64" s="43"/>
      <c r="D64" s="44"/>
      <c r="E64" s="44"/>
      <c r="F64" s="44"/>
      <c r="G64" s="44"/>
      <c r="H64" s="44"/>
      <c r="I64" s="44"/>
      <c r="J64" s="44"/>
      <c r="K64" s="44"/>
      <c r="L64" s="44"/>
      <c r="AA64" s="44"/>
    </row>
    <row r="65" spans="3:27" ht="15.75" customHeight="1">
      <c r="C65" s="43"/>
      <c r="D65" s="44"/>
      <c r="E65" s="44"/>
      <c r="F65" s="44"/>
      <c r="G65" s="44"/>
      <c r="H65" s="44"/>
      <c r="I65" s="44"/>
      <c r="J65" s="44"/>
      <c r="K65" s="44"/>
      <c r="L65" s="44"/>
      <c r="AA65" s="44"/>
    </row>
    <row r="66" spans="3:27" ht="15.75" customHeight="1">
      <c r="C66" s="43"/>
      <c r="D66" s="44"/>
      <c r="E66" s="44"/>
      <c r="F66" s="44"/>
      <c r="G66" s="44"/>
      <c r="H66" s="44"/>
      <c r="I66" s="44"/>
      <c r="J66" s="44"/>
      <c r="K66" s="44"/>
      <c r="L66" s="44"/>
      <c r="AA66" s="44"/>
    </row>
    <row r="67" spans="3:27" ht="15.75" customHeight="1">
      <c r="C67" s="43"/>
      <c r="D67" s="44"/>
      <c r="E67" s="44"/>
      <c r="F67" s="44"/>
      <c r="G67" s="44"/>
      <c r="H67" s="44"/>
      <c r="I67" s="44"/>
      <c r="J67" s="44"/>
      <c r="K67" s="44"/>
      <c r="L67" s="44"/>
      <c r="AA67" s="44"/>
    </row>
    <row r="68" spans="3:27" ht="15.75" customHeight="1">
      <c r="C68" s="43"/>
      <c r="D68" s="44"/>
      <c r="E68" s="44"/>
      <c r="F68" s="44"/>
      <c r="G68" s="44"/>
      <c r="H68" s="44"/>
      <c r="I68" s="44"/>
      <c r="J68" s="44"/>
      <c r="K68" s="44"/>
      <c r="L68" s="44"/>
      <c r="AA68" s="44"/>
    </row>
  </sheetData>
  <phoneticPr fontId="8"/>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BE99-DFF7-4E43-A7EC-704E9859A819}">
  <sheetPr>
    <outlinePr summaryBelow="0" summaryRight="0"/>
  </sheetPr>
  <dimension ref="A1:Z68"/>
  <sheetViews>
    <sheetView zoomScale="115" zoomScaleNormal="115" workbookViewId="0">
      <selection activeCell="A6" sqref="A6"/>
    </sheetView>
  </sheetViews>
  <sheetFormatPr defaultColWidth="12.5703125" defaultRowHeight="15.75" customHeight="1"/>
  <cols>
    <col min="1" max="1" width="12.5703125" style="39"/>
    <col min="2" max="2" width="26.7109375" style="39" customWidth="1"/>
    <col min="3" max="3" width="23.5703125" style="39" customWidth="1"/>
    <col min="4" max="4" width="21.28515625" style="39" customWidth="1"/>
    <col min="5" max="8" width="13.7109375" style="39" bestFit="1" customWidth="1"/>
    <col min="9" max="9" width="12.5703125" style="39"/>
    <col min="10" max="10" width="13.7109375" style="39" bestFit="1" customWidth="1"/>
    <col min="11" max="11" width="9.42578125" style="39" customWidth="1"/>
    <col min="12" max="12" width="15.140625" customWidth="1"/>
    <col min="13" max="13" width="12.5703125" style="39"/>
    <col min="16" max="17" width="12.5703125" style="39"/>
    <col min="19" max="20" width="12.5703125" style="39"/>
    <col min="22" max="25" width="12.5703125" style="39"/>
    <col min="26" max="26" width="13.7109375" style="39" bestFit="1" customWidth="1"/>
    <col min="27" max="16384" width="12.5703125" style="39"/>
  </cols>
  <sheetData>
    <row r="1" spans="1:22" ht="15.75" customHeight="1">
      <c r="A1" s="38" t="s">
        <v>2450</v>
      </c>
      <c r="L1" s="39"/>
      <c r="M1"/>
      <c r="P1"/>
      <c r="Q1"/>
      <c r="S1"/>
      <c r="U1" s="39"/>
    </row>
    <row r="2" spans="1:22" ht="15.75" customHeight="1">
      <c r="C2" s="86" t="s">
        <v>2286</v>
      </c>
      <c r="L2" s="39"/>
      <c r="M2"/>
      <c r="P2"/>
      <c r="Q2"/>
      <c r="S2"/>
      <c r="U2" s="39"/>
    </row>
    <row r="3" spans="1:22" ht="13.5" customHeight="1">
      <c r="B3" s="86" t="s">
        <v>2261</v>
      </c>
      <c r="C3" s="39">
        <f>(COUNTIFS(集計用!$AA:$AA, "*, "&amp;テーブル21011121426278[[#Headers],[顔にかかわる手術]]&amp;",*"))</f>
        <v>30</v>
      </c>
      <c r="D3" s="39">
        <f>(COUNTIFS(集計用!$AA:$AA, "*, "&amp;テーブル21011121426278[[#Headers],[胸部の手術]]&amp;",*"))</f>
        <v>133</v>
      </c>
      <c r="E3" s="39">
        <f>(COUNTIFS(集計用!$AA:$AA, "*, "&amp;テーブル21011121426278[[#Headers],[抗ホルモン療法]]&amp;",*"))</f>
        <v>39</v>
      </c>
      <c r="F3" s="39">
        <f>(COUNTIFS(集計用!$AA:$AA, "*, "&amp;テーブル21011121426278[[#Headers],[戸籍名の変更]]&amp;",*"))</f>
        <v>103</v>
      </c>
      <c r="G3" s="39">
        <f>(COUNTIFS(集計用!$AA:$AA, "*, "&amp;テーブル21011121426278[[#Headers],[戸籍上の性別の変更]]&amp;",*"))</f>
        <v>117</v>
      </c>
      <c r="H3" s="39">
        <f>(COUNTIFS(集計用!$AA:$AA, "*, "&amp;テーブル21011121426278[[#Headers],[性器にかかわる手術]]&amp;",*"))</f>
        <v>81</v>
      </c>
      <c r="I3" s="39">
        <f>(COUNTIFS(集計用!$AA:$AA, "*, "&amp;テーブル21011121426278[[#Headers],[声帯にかかわる手術]]&amp;",*"))</f>
        <v>29</v>
      </c>
      <c r="J3" s="39">
        <f>(COUNTIFS(集計用!$AA:$AA, "*, "&amp;テーブル21011121426278[[#Headers],[ホルモン補充療法（HRT）]]&amp;",*"))</f>
        <v>88</v>
      </c>
      <c r="K3" s="39">
        <f>(COUNTIFS(集計用!$AA:$AA, "*, "&amp;テーブル21011121426278[[#Headers],[ジェンダークリニックの受診]]&amp;",*"))</f>
        <v>126</v>
      </c>
      <c r="L3" s="39">
        <f>(COUNTIFS(集計用!$AA:$AA, "*, "&amp;テーブル21011121426278[[#Headers],[（上記のどれも希望していない）]]&amp;",*"))</f>
        <v>145</v>
      </c>
      <c r="M3"/>
      <c r="P3"/>
      <c r="Q3"/>
      <c r="S3"/>
      <c r="U3" s="39"/>
    </row>
    <row r="4" spans="1:22" ht="12.75">
      <c r="A4" s="46" t="s">
        <v>2179</v>
      </c>
      <c r="B4" s="46" t="s">
        <v>2182</v>
      </c>
      <c r="C4" s="2" t="s">
        <v>295</v>
      </c>
      <c r="D4" s="2" t="s">
        <v>296</v>
      </c>
      <c r="E4" s="2" t="s">
        <v>297</v>
      </c>
      <c r="F4" s="2" t="s">
        <v>298</v>
      </c>
      <c r="G4" s="2" t="s">
        <v>299</v>
      </c>
      <c r="H4" s="2" t="s">
        <v>300</v>
      </c>
      <c r="I4" s="2" t="s">
        <v>301</v>
      </c>
      <c r="J4" s="2" t="s">
        <v>302</v>
      </c>
      <c r="K4" s="2" t="s">
        <v>303</v>
      </c>
      <c r="L4" s="76" t="s">
        <v>2447</v>
      </c>
      <c r="M4"/>
      <c r="P4"/>
      <c r="Q4"/>
      <c r="S4"/>
      <c r="U4" s="39"/>
    </row>
    <row r="5" spans="1:22" ht="12.75">
      <c r="A5" s="39">
        <f>(COUNTIFS(集計用!$AA2:$AA444,"&lt;&gt;無回答"))</f>
        <v>401</v>
      </c>
      <c r="B5" s="40" t="s">
        <v>2249</v>
      </c>
      <c r="C5" s="41">
        <f>(COUNTIFS(集計用!$AA:$AA, "*, "&amp;C$4&amp;",*"))/$A5*100</f>
        <v>7.4812967581047385</v>
      </c>
      <c r="D5" s="41">
        <f>(COUNTIFS(集計用!$AA:$AA, "*, "&amp;D$4&amp;",*"))/$A5*100</f>
        <v>33.16708229426434</v>
      </c>
      <c r="E5" s="41">
        <f>(COUNTIFS(集計用!$AA:$AA, "*, "&amp;E$4&amp;",*"))/$A5*100</f>
        <v>9.7256857855361591</v>
      </c>
      <c r="F5" s="41">
        <f>(COUNTIFS(集計用!$AA:$AA, "*, "&amp;F$4&amp;",*"))/$A5*100</f>
        <v>25.685785536159599</v>
      </c>
      <c r="G5" s="41">
        <f>(COUNTIFS(集計用!$AA:$AA, "*, "&amp;G$4&amp;",*"))/$A5*100</f>
        <v>29.177057356608476</v>
      </c>
      <c r="H5" s="41">
        <f>(COUNTIFS(集計用!$AA:$AA, "*, "&amp;H$4&amp;",*"))/$A5*100</f>
        <v>20.199501246882793</v>
      </c>
      <c r="I5" s="41">
        <f>(COUNTIFS(集計用!$AA:$AA, "*, "&amp;I$4&amp;",*"))/$A5*100</f>
        <v>7.2319201995012472</v>
      </c>
      <c r="J5" s="41">
        <f>(COUNTIFS(集計用!$AA:$AA, "*, "&amp;J$4&amp;",*"))/$A5*100</f>
        <v>21.945137157107229</v>
      </c>
      <c r="K5" s="41">
        <f>(COUNTIFS(集計用!$AA:$AA, "*, "&amp;K$4&amp;",*"))/$A5*100</f>
        <v>31.421446384039903</v>
      </c>
      <c r="L5" s="41">
        <f>(COUNTIFS(集計用!$AA:$AA, "*, "&amp;L$4&amp;",*"))/$A5*100</f>
        <v>36.159600997506239</v>
      </c>
      <c r="M5"/>
      <c r="P5"/>
      <c r="Q5"/>
      <c r="S5"/>
      <c r="U5" s="39"/>
    </row>
    <row r="6" spans="1:22" ht="15.75" customHeight="1">
      <c r="A6" s="39">
        <f>(COUNTIFS(集計用!$AE$2:$AE$444,"11-15",集計用!AA2:$AA444,"&lt;&gt;無回答"))+(COUNTIFS(集計用!$AE$2:$AE$444,"16-20",集計用!AA2:$AA444,"&lt;&gt;無回答"))</f>
        <v>45</v>
      </c>
      <c r="B6" s="32" t="s">
        <v>2181</v>
      </c>
      <c r="C6" s="95">
        <f>(COUNTIFS(集計用!$AE$2:$AE$444,"11-15",集計用!AA2:$AA444,"*, "&amp;C$4&amp;",*")+COUNTIFS(集計用!$AE$2:$AE$444,"16-20",集計用!AA2:$AA444,"*, "&amp;C$4&amp;",*"))/$A6*100</f>
        <v>11.111111111111111</v>
      </c>
      <c r="D6" s="95">
        <f>(COUNTIFS(集計用!$AE$2:$AE$444,"11-15",集計用!AA2:$AA444,"*, "&amp;D$4&amp;",*")+COUNTIFS(集計用!$AE$2:$AE$444,"16-20",集計用!AA2:$AA444,"*, "&amp;D$4&amp;",*"))/$A6*100</f>
        <v>40</v>
      </c>
      <c r="E6" s="95">
        <f>(COUNTIFS(集計用!$AE$2:$AE$444,"11-15",集計用!AA2:$AA444,"*, "&amp;E$4&amp;",*")+COUNTIFS(集計用!$AE$2:$AE$444,"16-20",集計用!AA2:$AA444,"*, "&amp;E$4&amp;",*"))/$A6*100</f>
        <v>13.333333333333334</v>
      </c>
      <c r="F6" s="95">
        <f>(COUNTIFS(集計用!$AE$2:$AE$444,"11-15",集計用!AA2:$AA444,"*, "&amp;F$4&amp;",*")+COUNTIFS(集計用!$AE$2:$AE$444,"16-20",集計用!AA2:$AA444,"*, "&amp;F$4&amp;",*"))/$A6*100</f>
        <v>13.333333333333334</v>
      </c>
      <c r="G6" s="95">
        <f>(COUNTIFS(集計用!$AE$2:$AE$444,"11-15",集計用!AA2:$AA444,"*, "&amp;G$4&amp;",*")+COUNTIFS(集計用!$AE$2:$AE$444,"16-20",集計用!AA2:$AA444,"*, "&amp;G$4&amp;",*"))/$A6*100</f>
        <v>33.333333333333329</v>
      </c>
      <c r="H6" s="95">
        <f>(COUNTIFS(集計用!$AE$2:$AE$444,"11-15",集計用!AA2:$AA444,"*, "&amp;H$4&amp;",*")+COUNTIFS(集計用!$AE$2:$AE$444,"16-20",集計用!AA2:$AA444,"*, "&amp;H$4&amp;",*"))/$A6*100</f>
        <v>13.333333333333334</v>
      </c>
      <c r="I6" s="95">
        <f>(COUNTIFS(集計用!$AE$2:$AE$444,"11-15",集計用!AA2:$AA444,"*, "&amp;I$4&amp;",*")+COUNTIFS(集計用!$AE$2:$AE$444,"16-20",集計用!AA2:$AA444,"*, "&amp;I$4&amp;",*"))/$A6*100</f>
        <v>6.666666666666667</v>
      </c>
      <c r="J6" s="95">
        <f>(COUNTIFS(集計用!$AE$2:$AE$444,"11-15",集計用!AA2:$AA444,"*, "&amp;J$4&amp;",*")+COUNTIFS(集計用!$AE$2:$AE$444,"16-20",集計用!AA2:$AA444,"*, "&amp;J$4&amp;",*"))/$A6*100</f>
        <v>24.444444444444443</v>
      </c>
      <c r="K6" s="95">
        <f>(COUNTIFS(集計用!$AE$2:$AE$444,"11-15",集計用!AA2:$AA444,"*, "&amp;K$4&amp;",*")+COUNTIFS(集計用!$AE$2:$AE$444,"16-20",集計用!AA2:$AA444,"*, "&amp;K$4&amp;",*"))/$A6*100</f>
        <v>35.555555555555557</v>
      </c>
      <c r="L6" s="95">
        <f>(COUNTIFS(集計用!$AE$2:$AE$444,"11-15",集計用!AA2:$AA444,"*, "&amp;L$4&amp;",*")+COUNTIFS(集計用!$AE$2:$AE$444,"16-20",集計用!AA2:$AA444,"*, "&amp;L$4&amp;",*"))/$A6*100</f>
        <v>24.444444444444443</v>
      </c>
      <c r="M6"/>
      <c r="P6"/>
      <c r="Q6"/>
      <c r="S6"/>
      <c r="U6" s="39"/>
    </row>
    <row r="7" spans="1:22" ht="15.75" customHeight="1">
      <c r="A7" s="39">
        <f>(COUNTIFS(集計用!$AE$2:$AE$444,$B7,集計用!AA2:$AA444,"&lt;&gt;無回答"))</f>
        <v>108</v>
      </c>
      <c r="B7" s="32" t="s">
        <v>2166</v>
      </c>
      <c r="C7" s="95">
        <f>(COUNTIFS(集計用!$AE$2:$AE$444,$B7,集計用!AA2:$AA444,"*, "&amp;C$4&amp;",*"))/$A7*100</f>
        <v>8.3333333333333321</v>
      </c>
      <c r="D7" s="95">
        <f>(COUNTIFS(集計用!$AE$2:$AE$444,$B7,集計用!AA2:$AA444,"*, "&amp;D$4&amp;",*"))/$A7*100</f>
        <v>40.74074074074074</v>
      </c>
      <c r="E7" s="95">
        <f>(COUNTIFS(集計用!$AE$2:$AE$444,$B7,集計用!AA2:$AA444,"*, "&amp;E$4&amp;",*"))/$A7*100</f>
        <v>11.111111111111111</v>
      </c>
      <c r="F7" s="95">
        <f>(COUNTIFS(集計用!$AE$2:$AE$444,$B7,集計用!AA2:$AA444,"*, "&amp;F$4&amp;",*"))/$A7*100</f>
        <v>25.925925925925924</v>
      </c>
      <c r="G7" s="95">
        <f>(COUNTIFS(集計用!$AE$2:$AE$444,$B7,集計用!AA2:$AA444,"*, "&amp;G$4&amp;",*"))/$A7*100</f>
        <v>28.703703703703702</v>
      </c>
      <c r="H7" s="95">
        <f>(COUNTIFS(集計用!$AE$2:$AE$444,$B7,集計用!AA2:$AA444,"*, "&amp;H$4&amp;",*"))/$A7*100</f>
        <v>23.148148148148149</v>
      </c>
      <c r="I7" s="95">
        <f>(COUNTIFS(集計用!$AE$2:$AE$444,$B7,集計用!AA2:$AA444,"*, "&amp;I$4&amp;",*"))/$A7*100</f>
        <v>7.4074074074074066</v>
      </c>
      <c r="J7" s="95">
        <f>(COUNTIFS(集計用!$AE$2:$AE$444,$B7,集計用!AA2:$AA444,"*, "&amp;J$4&amp;",*"))/$A7*100</f>
        <v>25</v>
      </c>
      <c r="K7" s="95">
        <f>(COUNTIFS(集計用!$AE$2:$AE$444,$B7,集計用!AA2:$AA444,"*, "&amp;K$4&amp;",*"))/$A7*100</f>
        <v>30.555555555555557</v>
      </c>
      <c r="L7" s="95">
        <f>(COUNTIFS(集計用!$AE$2:$AE$444,$B7,集計用!AA2:$AA444,"*, "&amp;L$4&amp;",*"))/$A7*100</f>
        <v>34.25925925925926</v>
      </c>
      <c r="M7"/>
      <c r="Q7" s="76"/>
      <c r="R7" s="14"/>
      <c r="T7" s="14"/>
      <c r="U7" s="41"/>
      <c r="V7" s="59"/>
    </row>
    <row r="8" spans="1:22" ht="15.75" customHeight="1">
      <c r="A8" s="39">
        <f>(COUNTIFS(集計用!$AE$2:$AE$444,$B8,集計用!AA2:$AA444,"&lt;&gt;無回答"))</f>
        <v>81</v>
      </c>
      <c r="B8" s="32" t="s">
        <v>2167</v>
      </c>
      <c r="C8" s="95">
        <f>(COUNTIFS(集計用!$AE$2:$AE$444,$B8,集計用!AA2:$AA444,"*, "&amp;C$4&amp;",*"))/$A8*100</f>
        <v>3.7037037037037033</v>
      </c>
      <c r="D8" s="95">
        <f>(COUNTIFS(集計用!$AE$2:$AE$444,$B8,集計用!AA2:$AA444,"*, "&amp;D$4&amp;",*"))/$A8*100</f>
        <v>43.209876543209873</v>
      </c>
      <c r="E8" s="95">
        <f>(COUNTIFS(集計用!$AE$2:$AE$444,$B8,集計用!AA2:$AA444,"*, "&amp;E$4&amp;",*"))/$A8*100</f>
        <v>7.4074074074074066</v>
      </c>
      <c r="F8" s="95">
        <f>(COUNTIFS(集計用!$AE$2:$AE$444,$B8,集計用!AA2:$AA444,"*, "&amp;F$4&amp;",*"))/$A8*100</f>
        <v>27.160493827160494</v>
      </c>
      <c r="G8" s="95">
        <f>(COUNTIFS(集計用!$AE$2:$AE$444,$B8,集計用!AA2:$AA444,"*, "&amp;G$4&amp;",*"))/$A8*100</f>
        <v>32.098765432098766</v>
      </c>
      <c r="H8" s="95">
        <f>(COUNTIFS(集計用!$AE$2:$AE$444,$B8,集計用!AA2:$AA444,"*, "&amp;H$4&amp;",*"))/$A8*100</f>
        <v>23.456790123456788</v>
      </c>
      <c r="I8" s="95">
        <f>(COUNTIFS(集計用!$AE$2:$AE$444,$B8,集計用!AA2:$AA444,"*, "&amp;I$4&amp;",*"))/$A8*100</f>
        <v>11.111111111111111</v>
      </c>
      <c r="J8" s="95">
        <f>(COUNTIFS(集計用!$AE$2:$AE$444,$B8,集計用!AA2:$AA444,"*, "&amp;J$4&amp;",*"))/$A8*100</f>
        <v>17.283950617283949</v>
      </c>
      <c r="K8" s="95">
        <f>(COUNTIFS(集計用!$AE$2:$AE$444,$B8,集計用!AA2:$AA444,"*, "&amp;K$4&amp;",*"))/$A8*100</f>
        <v>34.567901234567898</v>
      </c>
      <c r="L8" s="95">
        <f>(COUNTIFS(集計用!$AE$2:$AE$444,$B8,集計用!AA2:$AA444,"*, "&amp;L$4&amp;",*"))/$A8*100</f>
        <v>30.864197530864196</v>
      </c>
      <c r="M8"/>
      <c r="Q8" s="2"/>
      <c r="R8" s="14"/>
      <c r="T8" s="14"/>
      <c r="U8" s="41"/>
      <c r="V8" s="59"/>
    </row>
    <row r="9" spans="1:22" ht="15.75" customHeight="1">
      <c r="A9" s="39">
        <f>(COUNTIFS(集計用!$AE$2:$AE$444,$B9,集計用!AA2:$AA444,"&lt;&gt;無回答"))</f>
        <v>70</v>
      </c>
      <c r="B9" s="32" t="s">
        <v>2168</v>
      </c>
      <c r="C9" s="95">
        <f>(COUNTIFS(集計用!$AE$2:$AE$444,$B9,集計用!AA2:$AA444,"*, "&amp;C$4&amp;",*"))/$A9*100</f>
        <v>8.5714285714285712</v>
      </c>
      <c r="D9" s="95">
        <f>(COUNTIFS(集計用!$AE$2:$AE$444,$B9,集計用!AA2:$AA444,"*, "&amp;D$4&amp;",*"))/$A9*100</f>
        <v>25.714285714285712</v>
      </c>
      <c r="E9" s="95">
        <f>(COUNTIFS(集計用!$AE$2:$AE$444,$B9,集計用!AA2:$AA444,"*, "&amp;E$4&amp;",*"))/$A9*100</f>
        <v>8.5714285714285712</v>
      </c>
      <c r="F9" s="95">
        <f>(COUNTIFS(集計用!$AE$2:$AE$444,$B9,集計用!AA2:$AA444,"*, "&amp;F$4&amp;",*"))/$A9*100</f>
        <v>27.142857142857142</v>
      </c>
      <c r="G9" s="95">
        <f>(COUNTIFS(集計用!$AE$2:$AE$444,$B9,集計用!AA2:$AA444,"*, "&amp;G$4&amp;",*"))/$A9*100</f>
        <v>27.142857142857142</v>
      </c>
      <c r="H9" s="95">
        <f>(COUNTIFS(集計用!$AE$2:$AE$444,$B9,集計用!AA2:$AA444,"*, "&amp;H$4&amp;",*"))/$A9*100</f>
        <v>21.428571428571427</v>
      </c>
      <c r="I9" s="95">
        <f>(COUNTIFS(集計用!$AE$2:$AE$444,$B9,集計用!AA2:$AA444,"*, "&amp;I$4&amp;",*"))/$A9*100</f>
        <v>5.7142857142857144</v>
      </c>
      <c r="J9" s="95">
        <f>(COUNTIFS(集計用!$AE$2:$AE$444,$B9,集計用!AA2:$AA444,"*, "&amp;J$4&amp;",*"))/$A9*100</f>
        <v>20</v>
      </c>
      <c r="K9" s="95">
        <f>(COUNTIFS(集計用!$AE$2:$AE$444,$B9,集計用!AA2:$AA444,"*, "&amp;K$4&amp;",*"))/$A9*100</f>
        <v>32.857142857142854</v>
      </c>
      <c r="L9" s="95">
        <f>(COUNTIFS(集計用!$AE$2:$AE$444,$B9,集計用!AA2:$AA444,"*, "&amp;L$4&amp;",*"))/$A9*100</f>
        <v>41.428571428571431</v>
      </c>
      <c r="M9"/>
      <c r="Q9" s="2"/>
      <c r="R9" s="14"/>
      <c r="T9" s="14"/>
      <c r="U9" s="41"/>
      <c r="V9" s="59"/>
    </row>
    <row r="10" spans="1:22" ht="15.75" customHeight="1">
      <c r="A10" s="39">
        <f>(COUNTIFS(集計用!$AE$2:$AE$444,$B10,集計用!AA2:$AA444,"&lt;&gt;無回答"))</f>
        <v>28</v>
      </c>
      <c r="B10" s="32" t="s">
        <v>2169</v>
      </c>
      <c r="C10" s="95">
        <f>(COUNTIFS(集計用!$AE$2:$AE$444,$B10,集計用!AA2:$AA444,"*, "&amp;C$4&amp;",*"))/$A10*100</f>
        <v>10.714285714285714</v>
      </c>
      <c r="D10" s="95">
        <f>(COUNTIFS(集計用!$AE$2:$AE$444,$B10,集計用!AA2:$AA444,"*, "&amp;D$4&amp;",*"))/$A10*100</f>
        <v>21.428571428571427</v>
      </c>
      <c r="E10" s="95">
        <f>(COUNTIFS(集計用!$AE$2:$AE$444,$B10,集計用!AA2:$AA444,"*, "&amp;E$4&amp;",*"))/$A10*100</f>
        <v>3.5714285714285712</v>
      </c>
      <c r="F10" s="95">
        <f>(COUNTIFS(集計用!$AE$2:$AE$444,$B10,集計用!AA2:$AA444,"*, "&amp;F$4&amp;",*"))/$A10*100</f>
        <v>32.142857142857146</v>
      </c>
      <c r="G10" s="95">
        <f>(COUNTIFS(集計用!$AE$2:$AE$444,$B10,集計用!AA2:$AA444,"*, "&amp;G$4&amp;",*"))/$A10*100</f>
        <v>28.571428571428569</v>
      </c>
      <c r="H10" s="95">
        <f>(COUNTIFS(集計用!$AE$2:$AE$444,$B10,集計用!AA2:$AA444,"*, "&amp;H$4&amp;",*"))/$A10*100</f>
        <v>14.285714285714285</v>
      </c>
      <c r="I10" s="95">
        <f>(COUNTIFS(集計用!$AE$2:$AE$444,$B10,集計用!AA2:$AA444,"*, "&amp;I$4&amp;",*"))/$A10*100</f>
        <v>3.5714285714285712</v>
      </c>
      <c r="J10" s="95">
        <f>(COUNTIFS(集計用!$AE$2:$AE$444,$B10,集計用!AA2:$AA444,"*, "&amp;J$4&amp;",*"))/$A10*100</f>
        <v>21.428571428571427</v>
      </c>
      <c r="K10" s="95">
        <f>(COUNTIFS(集計用!$AE$2:$AE$444,$B10,集計用!AA2:$AA444,"*, "&amp;K$4&amp;",*"))/$A10*100</f>
        <v>28.571428571428569</v>
      </c>
      <c r="L10" s="95">
        <f>(COUNTIFS(集計用!$AE$2:$AE$444,$B10,集計用!AA2:$AA444,"*, "&amp;L$4&amp;",*"))/$A10*100</f>
        <v>42.857142857142854</v>
      </c>
      <c r="M10"/>
      <c r="Q10" s="2"/>
      <c r="R10" s="14"/>
      <c r="T10" s="14"/>
      <c r="U10" s="41"/>
      <c r="V10" s="59"/>
    </row>
    <row r="11" spans="1:22" ht="15.75" customHeight="1">
      <c r="A11" s="39">
        <f>(COUNTIFS(集計用!$AE$2:$AE$444,$B11,集計用!AA2:$AA444,"&lt;&gt;無回答"))</f>
        <v>27</v>
      </c>
      <c r="B11" s="32" t="s">
        <v>2170</v>
      </c>
      <c r="C11" s="95">
        <f>(COUNTIFS(集計用!$AE$2:$AE$444,$B11,集計用!AA2:$AA444,"*, "&amp;C$4&amp;",*"))/$A11*100</f>
        <v>7.4074074074074066</v>
      </c>
      <c r="D11" s="95">
        <f>(COUNTIFS(集計用!$AE$2:$AE$444,$B11,集計用!AA2:$AA444,"*, "&amp;D$4&amp;",*"))/$A11*100</f>
        <v>22.222222222222221</v>
      </c>
      <c r="E11" s="95">
        <f>(COUNTIFS(集計用!$AE$2:$AE$444,$B11,集計用!AA2:$AA444,"*, "&amp;E$4&amp;",*"))/$A11*100</f>
        <v>3.7037037037037033</v>
      </c>
      <c r="F11" s="95">
        <f>(COUNTIFS(集計用!$AE$2:$AE$444,$B11,集計用!AA2:$AA444,"*, "&amp;F$4&amp;",*"))/$A11*100</f>
        <v>29.629629629629626</v>
      </c>
      <c r="G11" s="95">
        <f>(COUNTIFS(集計用!$AE$2:$AE$444,$B11,集計用!AA2:$AA444,"*, "&amp;G$4&amp;",*"))/$A11*100</f>
        <v>37.037037037037038</v>
      </c>
      <c r="H11" s="95">
        <f>(COUNTIFS(集計用!$AE$2:$AE$444,$B11,集計用!AA2:$AA444,"*, "&amp;H$4&amp;",*"))/$A11*100</f>
        <v>14.814814814814813</v>
      </c>
      <c r="I11" s="95">
        <f>(COUNTIFS(集計用!$AE$2:$AE$444,$B11,集計用!AA2:$AA444,"*, "&amp;I$4&amp;",*"))/$A11*100</f>
        <v>7.4074074074074066</v>
      </c>
      <c r="J11" s="95">
        <f>(COUNTIFS(集計用!$AE$2:$AE$444,$B11,集計用!AA2:$AA444,"*, "&amp;J$4&amp;",*"))/$A11*100</f>
        <v>14.814814814814813</v>
      </c>
      <c r="K11" s="95">
        <f>(COUNTIFS(集計用!$AE$2:$AE$444,$B11,集計用!AA2:$AA444,"*, "&amp;K$4&amp;",*"))/$A11*100</f>
        <v>18.518518518518519</v>
      </c>
      <c r="L11" s="95">
        <f>(COUNTIFS(集計用!$AE$2:$AE$444,$B11,集計用!AA2:$AA444,"*, "&amp;L$4&amp;",*"))/$A11*100</f>
        <v>51.851851851851848</v>
      </c>
      <c r="M11"/>
      <c r="Q11" s="2"/>
      <c r="R11" s="14"/>
      <c r="T11" s="14"/>
      <c r="U11" s="41"/>
      <c r="V11" s="59"/>
    </row>
    <row r="12" spans="1:22" ht="15.75" customHeight="1">
      <c r="A12" s="39">
        <f>(COUNTIFS(集計用!$AE$2:$AE$444,$B12,集計用!AA2:$AA444,"&lt;&gt;無回答"))</f>
        <v>21</v>
      </c>
      <c r="B12" s="32" t="s">
        <v>2171</v>
      </c>
      <c r="C12" s="95">
        <f>(COUNTIFS(集計用!$AE$2:$AE$444,$B12,集計用!AA2:$AA444,"*, "&amp;C$4&amp;",*"))/$A12*100</f>
        <v>4.7619047619047619</v>
      </c>
      <c r="D12" s="95">
        <f>(COUNTIFS(集計用!$AE$2:$AE$444,$B12,集計用!AA2:$AA444,"*, "&amp;D$4&amp;",*"))/$A12*100</f>
        <v>19.047619047619047</v>
      </c>
      <c r="E12" s="95">
        <f>(COUNTIFS(集計用!$AE$2:$AE$444,$B12,集計用!AA2:$AA444,"*, "&amp;E$4&amp;",*"))/$A12*100</f>
        <v>9.5238095238095237</v>
      </c>
      <c r="F12" s="95">
        <f>(COUNTIFS(集計用!$AE$2:$AE$444,$B12,集計用!AA2:$AA444,"*, "&amp;F$4&amp;",*"))/$A12*100</f>
        <v>14.285714285714285</v>
      </c>
      <c r="G12" s="95">
        <f>(COUNTIFS(集計用!$AE$2:$AE$444,$B12,集計用!AA2:$AA444,"*, "&amp;G$4&amp;",*"))/$A12*100</f>
        <v>14.285714285714285</v>
      </c>
      <c r="H12" s="95">
        <f>(COUNTIFS(集計用!$AE$2:$AE$444,$B12,集計用!AA2:$AA444,"*, "&amp;H$4&amp;",*"))/$A12*100</f>
        <v>14.285714285714285</v>
      </c>
      <c r="I12" s="95">
        <f>(COUNTIFS(集計用!$AE$2:$AE$444,$B12,集計用!AA2:$AA444,"*, "&amp;I$4&amp;",*"))/$A12*100</f>
        <v>4.7619047619047619</v>
      </c>
      <c r="J12" s="95">
        <f>(COUNTIFS(集計用!$AE$2:$AE$444,$B12,集計用!AA2:$AA444,"*, "&amp;J$4&amp;",*"))/$A12*100</f>
        <v>19.047619047619047</v>
      </c>
      <c r="K12" s="95">
        <f>(COUNTIFS(集計用!$AE$2:$AE$444,$B12,集計用!AA2:$AA444,"*, "&amp;K$4&amp;",*"))/$A12*100</f>
        <v>28.571428571428569</v>
      </c>
      <c r="L12" s="95">
        <f>(COUNTIFS(集計用!$AE$2:$AE$444,$B12,集計用!AA2:$AA444,"*, "&amp;L$4&amp;",*"))/$A12*100</f>
        <v>57.142857142857139</v>
      </c>
      <c r="M12"/>
      <c r="Q12" s="2"/>
      <c r="R12" s="14"/>
      <c r="T12" s="14"/>
      <c r="U12" s="41"/>
      <c r="V12" s="59"/>
    </row>
    <row r="13" spans="1:22" ht="15.75" customHeight="1">
      <c r="A13" s="39">
        <f>(COUNTIFS(集計用!$AE$2:$AE$444,$B13,集計用!AA2:$AA444,"&lt;&gt;無回答"))</f>
        <v>10</v>
      </c>
      <c r="B13" s="32" t="s">
        <v>2172</v>
      </c>
      <c r="C13" s="95">
        <f>(COUNTIFS(集計用!$AE$2:$AE$444,$B13,集計用!AA2:$AA444,"*, "&amp;C$4&amp;",*"))/$A13*100</f>
        <v>10</v>
      </c>
      <c r="D13" s="95">
        <f>(COUNTIFS(集計用!$AE$2:$AE$444,$B13,集計用!AA2:$AA444,"*, "&amp;D$4&amp;",*"))/$A13*100</f>
        <v>20</v>
      </c>
      <c r="E13" s="95">
        <f>(COUNTIFS(集計用!$AE$2:$AE$444,$B13,集計用!AA2:$AA444,"*, "&amp;E$4&amp;",*"))/$A13*100</f>
        <v>30</v>
      </c>
      <c r="F13" s="95">
        <f>(COUNTIFS(集計用!$AE$2:$AE$444,$B13,集計用!AA2:$AA444,"*, "&amp;F$4&amp;",*"))/$A13*100</f>
        <v>40</v>
      </c>
      <c r="G13" s="95">
        <f>(COUNTIFS(集計用!$AE$2:$AE$444,$B13,集計用!AA2:$AA444,"*, "&amp;G$4&amp;",*"))/$A13*100</f>
        <v>10</v>
      </c>
      <c r="H13" s="95">
        <f>(COUNTIFS(集計用!$AE$2:$AE$444,$B13,集計用!AA2:$AA444,"*, "&amp;H$4&amp;",*"))/$A13*100</f>
        <v>20</v>
      </c>
      <c r="I13" s="95">
        <f>(COUNTIFS(集計用!$AE$2:$AE$444,$B13,集計用!AA2:$AA444,"*, "&amp;I$4&amp;",*"))/$A13*100</f>
        <v>0</v>
      </c>
      <c r="J13" s="95">
        <f>(COUNTIFS(集計用!$AE$2:$AE$444,$B13,集計用!AA2:$AA444,"*, "&amp;J$4&amp;",*"))/$A13*100</f>
        <v>30</v>
      </c>
      <c r="K13" s="95">
        <f>(COUNTIFS(集計用!$AE$2:$AE$444,$B13,集計用!AA2:$AA444,"*, "&amp;K$4&amp;",*"))/$A13*100</f>
        <v>40</v>
      </c>
      <c r="L13" s="95">
        <f>(COUNTIFS(集計用!$AE$2:$AE$444,$B13,集計用!AA2:$AA444,"*, "&amp;L$4&amp;",*"))/$A13*100</f>
        <v>30</v>
      </c>
      <c r="M13"/>
      <c r="Q13" s="2"/>
      <c r="R13" s="14"/>
      <c r="T13" s="14"/>
      <c r="U13" s="41"/>
      <c r="V13" s="59"/>
    </row>
    <row r="14" spans="1:22" ht="15.75" customHeight="1">
      <c r="A14" s="39">
        <f>(COUNTIFS(集計用!$AE$2:$AE$444,"56-60",集計用!AA2:$AA444,"&lt;&gt;無回答"))+(COUNTIFS(集計用!$AE$2:$AE$444,"61-65",集計用!AA2:$AA444,"&lt;&gt;無回答"))</f>
        <v>10</v>
      </c>
      <c r="B14" s="32" t="s">
        <v>2173</v>
      </c>
      <c r="C14" s="95">
        <f>(COUNTIFS(集計用!$AE$2:$AE$444,"56-60",集計用!AA2:$AA444,"*, "&amp;C$4&amp;",*"))+(COUNTIFS(集計用!$AE$2:$AE$444,"61-65",集計用!AA2:$AA444,"*, "&amp;C$4&amp;",*"))/$A14*100</f>
        <v>0</v>
      </c>
      <c r="D14" s="95">
        <f>(COUNTIFS(集計用!$AE$2:$AE$444,"56-60",集計用!AA2:$AA444,"*, "&amp;D$4&amp;",*"))+(COUNTIFS(集計用!$AE$2:$AE$444,"61-65",集計用!AA2:$AA444,"*, "&amp;D$4&amp;",*"))/$A14*100</f>
        <v>0</v>
      </c>
      <c r="E14" s="95">
        <f>(COUNTIFS(集計用!$AE$2:$AE$444,"56-60",集計用!AA2:$AA444,"*, "&amp;E$4&amp;",*"))+(COUNTIFS(集計用!$AE$2:$AE$444,"61-65",集計用!AA2:$AA444,"*, "&amp;E$4&amp;",*"))/$A14*100</f>
        <v>20</v>
      </c>
      <c r="F14" s="95">
        <f>(COUNTIFS(集計用!$AE$2:$AE$444,"56-60",集計用!AA2:$AA444,"*, "&amp;F$4&amp;",*"))+(COUNTIFS(集計用!$AE$2:$AE$444,"61-65",集計用!AA2:$AA444,"*, "&amp;F$4&amp;",*"))/$A14*100</f>
        <v>22</v>
      </c>
      <c r="G14" s="95">
        <f>(COUNTIFS(集計用!$AE$2:$AE$444,"56-60",集計用!AA2:$AA444,"*, "&amp;G$4&amp;",*"))+(COUNTIFS(集計用!$AE$2:$AE$444,"61-65",集計用!AA2:$AA444,"*, "&amp;G$4&amp;",*"))/$A14*100</f>
        <v>31</v>
      </c>
      <c r="H14" s="95">
        <f>(COUNTIFS(集計用!$AE$2:$AE$444,"56-60",集計用!AA2:$AA444,"*, "&amp;H$4&amp;",*"))+(COUNTIFS(集計用!$AE$2:$AE$444,"61-65",集計用!AA2:$AA444,"*, "&amp;H$4&amp;",*"))/$A14*100</f>
        <v>30</v>
      </c>
      <c r="I14" s="95">
        <f>(COUNTIFS(集計用!$AE$2:$AE$444,"56-60",集計用!AA2:$AA444,"*, "&amp;I$4&amp;",*"))+(COUNTIFS(集計用!$AE$2:$AE$444,"61-65",集計用!AA2:$AA444,"*, "&amp;I$4&amp;",*"))/$A14*100</f>
        <v>0</v>
      </c>
      <c r="J14" s="95">
        <f>(COUNTIFS(集計用!$AE$2:$AE$444,"56-60",集計用!AA2:$AA444,"*, "&amp;J$4&amp;",*"))+(COUNTIFS(集計用!$AE$2:$AE$444,"61-65",集計用!AA2:$AA444,"*, "&amp;J$4&amp;",*"))/$A14*100</f>
        <v>32</v>
      </c>
      <c r="K14" s="95">
        <f>(COUNTIFS(集計用!$AE$2:$AE$444,"56-60",集計用!AA2:$AA444,"*, "&amp;K$4&amp;",*"))+(COUNTIFS(集計用!$AE$2:$AE$444,"61-65",集計用!AA2:$AA444,"*, "&amp;K$4&amp;",*"))/$A14*100</f>
        <v>30</v>
      </c>
      <c r="L14" s="95">
        <f>(COUNTIFS(集計用!$AE$2:$AE$444,"56-60",集計用!AA2:$AA444,"*, "&amp;L$4&amp;",*"))+(COUNTIFS(集計用!$AE$2:$AE$444,"61-65",集計用!AA2:$AA444,"*, "&amp;L$4&amp;",*"))/$A14*100</f>
        <v>11</v>
      </c>
      <c r="M14"/>
      <c r="Q14" s="2"/>
      <c r="R14" s="14"/>
      <c r="T14" s="14"/>
      <c r="U14" s="41"/>
      <c r="V14" s="59"/>
    </row>
    <row r="15" spans="1:22" ht="15.75" customHeight="1">
      <c r="A15" s="39">
        <f>(COUNTIFS(集計用!$AE$2:$AE$444,$B15,集計用!AA2:$AA444,"&lt;&gt;無回答"))</f>
        <v>1</v>
      </c>
      <c r="B15" s="32" t="s">
        <v>2174</v>
      </c>
      <c r="C15" s="95">
        <f>(COUNTIFS(集計用!$AE$2:$AE$444,$B15,集計用!AA2:$AA444,"*, "&amp;C$4&amp;",*"))/$A15*100</f>
        <v>0</v>
      </c>
      <c r="D15" s="95">
        <f>(COUNTIFS(集計用!$AE$2:$AE$444,$B15,集計用!AA2:$AA444,"*, "&amp;D$4&amp;",*"))/$A15*100</f>
        <v>0</v>
      </c>
      <c r="E15" s="95">
        <f>(COUNTIFS(集計用!$AE$2:$AE$444,$B15,集計用!AA2:$AA444,"*, "&amp;E$4&amp;",*"))/$A15*100</f>
        <v>0</v>
      </c>
      <c r="F15" s="95">
        <f>(COUNTIFS(集計用!$AE$2:$AE$444,$B15,集計用!AA2:$AA444,"*, "&amp;F$4&amp;",*"))/$A15*100</f>
        <v>0</v>
      </c>
      <c r="G15" s="95">
        <f>(COUNTIFS(集計用!$AE$2:$AE$444,$B15,集計用!AA2:$AA444,"*, "&amp;G$4&amp;",*"))/$A15*100</f>
        <v>0</v>
      </c>
      <c r="H15" s="95">
        <f>(COUNTIFS(集計用!$AE$2:$AE$444,$B15,集計用!AA2:$AA444,"*, "&amp;H$4&amp;",*"))/$A15*100</f>
        <v>0</v>
      </c>
      <c r="I15" s="95">
        <f>(COUNTIFS(集計用!$AE$2:$AE$444,$B15,集計用!AA2:$AA444,"*, "&amp;I$4&amp;",*"))/$A15*100</f>
        <v>100</v>
      </c>
      <c r="J15" s="95">
        <f>(COUNTIFS(集計用!$AE$2:$AE$444,$B15,集計用!AA2:$AA444,"*, "&amp;J$4&amp;",*"))/$A15*100</f>
        <v>0</v>
      </c>
      <c r="K15" s="95">
        <f>(COUNTIFS(集計用!$AE$2:$AE$444,$B15,集計用!AA2:$AA444,"*, "&amp;K$4&amp;",*"))/$A15*100</f>
        <v>0</v>
      </c>
      <c r="L15" s="95">
        <f>(COUNTIFS(集計用!$AE$2:$AE$444,$B15,集計用!AA2:$AA444,"*, "&amp;L$4&amp;",*"))/$A15*100</f>
        <v>0</v>
      </c>
      <c r="M15"/>
      <c r="Q15" s="2"/>
      <c r="R15" s="14"/>
      <c r="T15" s="14"/>
      <c r="U15" s="41"/>
      <c r="V15" s="59"/>
    </row>
    <row r="16" spans="1:22" ht="15.75" customHeight="1">
      <c r="B16" s="42"/>
      <c r="C16" s="41"/>
      <c r="D16" s="41"/>
      <c r="E16" s="41"/>
      <c r="F16" s="41"/>
      <c r="G16" s="41"/>
      <c r="H16" s="41"/>
      <c r="I16" s="41"/>
      <c r="J16" s="41"/>
      <c r="K16" s="41"/>
      <c r="L16" s="41"/>
      <c r="M16"/>
      <c r="Q16" s="2"/>
      <c r="R16" s="14"/>
      <c r="T16" s="14"/>
      <c r="U16" s="41"/>
      <c r="V16" s="59"/>
    </row>
    <row r="17" spans="2:22" ht="15.75" customHeight="1">
      <c r="B17" s="42"/>
      <c r="C17" s="41"/>
      <c r="D17" s="41"/>
      <c r="E17" s="41"/>
      <c r="F17" s="41"/>
      <c r="G17" s="41"/>
      <c r="H17" s="41"/>
      <c r="I17" s="41"/>
      <c r="J17" s="41"/>
      <c r="K17" s="41"/>
      <c r="L17" s="41"/>
      <c r="M17"/>
      <c r="Q17" s="2"/>
      <c r="R17" s="14"/>
      <c r="T17" s="14"/>
      <c r="U17" s="41"/>
      <c r="V17" s="59"/>
    </row>
    <row r="18" spans="2:22" ht="15.75" customHeight="1">
      <c r="B18" s="42"/>
      <c r="C18" s="41"/>
      <c r="D18" s="41"/>
      <c r="E18" s="41"/>
      <c r="F18" s="41"/>
      <c r="G18" s="41"/>
      <c r="H18" s="41"/>
      <c r="I18" s="41"/>
      <c r="J18" s="41"/>
      <c r="K18" s="41"/>
      <c r="L18" s="41"/>
      <c r="M18"/>
      <c r="Q18" s="2"/>
      <c r="R18" s="14"/>
      <c r="T18" s="14"/>
      <c r="U18" s="41"/>
      <c r="V18" s="59"/>
    </row>
    <row r="19" spans="2:22" ht="15.75" customHeight="1">
      <c r="B19" s="42"/>
      <c r="C19" s="41"/>
      <c r="D19" s="41"/>
      <c r="E19" s="41"/>
      <c r="F19" s="41"/>
      <c r="G19" s="41"/>
      <c r="H19" s="41"/>
      <c r="I19" s="41"/>
      <c r="J19" s="41"/>
      <c r="K19" s="41"/>
      <c r="L19" s="41"/>
      <c r="M19"/>
      <c r="Q19" s="2"/>
      <c r="R19" s="14"/>
      <c r="T19" s="14"/>
      <c r="U19" s="41"/>
      <c r="V19" s="59"/>
    </row>
    <row r="20" spans="2:22" ht="15.75" customHeight="1">
      <c r="B20" s="42"/>
      <c r="C20" s="41"/>
      <c r="D20" s="41"/>
      <c r="E20" s="41"/>
      <c r="F20" s="41"/>
      <c r="G20" s="41"/>
      <c r="H20" s="41"/>
      <c r="I20" s="41"/>
      <c r="J20" s="41"/>
      <c r="K20" s="41"/>
      <c r="L20" s="41"/>
      <c r="M20"/>
      <c r="P20"/>
      <c r="Q20"/>
      <c r="S20"/>
      <c r="U20" s="39"/>
    </row>
    <row r="21" spans="2:22" ht="15.75" customHeight="1">
      <c r="B21" s="42"/>
      <c r="C21" s="41"/>
      <c r="D21" s="41"/>
      <c r="E21" s="41"/>
      <c r="F21" s="41"/>
      <c r="G21" s="41"/>
      <c r="H21" s="41"/>
      <c r="I21" s="41"/>
      <c r="J21" s="41"/>
      <c r="K21" s="41"/>
      <c r="L21" s="41"/>
      <c r="M21"/>
      <c r="P21"/>
      <c r="Q21"/>
      <c r="S21"/>
      <c r="U21" s="39"/>
    </row>
    <row r="22" spans="2:22" ht="15.75" customHeight="1">
      <c r="B22" s="42"/>
      <c r="C22" s="41"/>
      <c r="D22" s="41"/>
      <c r="E22" s="41"/>
      <c r="F22" s="41"/>
      <c r="G22" s="41"/>
      <c r="H22" s="41"/>
      <c r="I22" s="41"/>
      <c r="J22" s="41"/>
      <c r="K22" s="41"/>
      <c r="L22" s="41"/>
      <c r="M22"/>
      <c r="P22"/>
      <c r="Q22"/>
      <c r="S22"/>
      <c r="U22" s="39"/>
    </row>
    <row r="23" spans="2:22" ht="15.75" customHeight="1">
      <c r="B23" s="42"/>
      <c r="C23" s="41"/>
      <c r="D23" s="41"/>
      <c r="E23" s="41"/>
      <c r="F23" s="41"/>
      <c r="G23" s="41"/>
      <c r="H23" s="41"/>
      <c r="I23" s="41"/>
      <c r="J23" s="41"/>
      <c r="K23" s="41"/>
      <c r="L23" s="41"/>
      <c r="M23"/>
      <c r="P23"/>
      <c r="Q23"/>
      <c r="S23"/>
      <c r="U23" s="39"/>
    </row>
    <row r="24" spans="2:22" ht="15.75" customHeight="1">
      <c r="B24" s="42"/>
      <c r="C24" s="41"/>
      <c r="D24" s="41"/>
      <c r="E24" s="41"/>
      <c r="F24" s="41"/>
      <c r="G24" s="41"/>
      <c r="H24" s="41"/>
      <c r="I24" s="41"/>
      <c r="J24" s="41"/>
      <c r="K24" s="41"/>
      <c r="L24" s="41"/>
      <c r="M24"/>
      <c r="P24"/>
      <c r="Q24"/>
      <c r="S24"/>
      <c r="U24" s="39"/>
    </row>
    <row r="25" spans="2:22" ht="12.75">
      <c r="B25" s="42"/>
      <c r="C25" s="41"/>
      <c r="D25" s="41"/>
      <c r="E25" s="41"/>
      <c r="F25" s="41"/>
      <c r="G25" s="41"/>
      <c r="H25" s="41"/>
      <c r="I25" s="41"/>
      <c r="J25" s="41"/>
      <c r="K25" s="41"/>
      <c r="L25" s="41"/>
      <c r="M25"/>
      <c r="P25"/>
      <c r="Q25"/>
      <c r="S25"/>
      <c r="U25" s="39"/>
    </row>
    <row r="26" spans="2:22" ht="12.75">
      <c r="B26" s="42"/>
      <c r="C26" s="41"/>
      <c r="D26" s="41"/>
      <c r="E26" s="41"/>
      <c r="F26" s="41"/>
      <c r="G26" s="41"/>
      <c r="H26" s="41"/>
      <c r="I26" s="41"/>
      <c r="J26" s="41"/>
      <c r="K26" s="41"/>
      <c r="L26" s="41"/>
      <c r="M26"/>
      <c r="P26"/>
      <c r="Q26"/>
      <c r="S26"/>
      <c r="U26" s="39"/>
    </row>
    <row r="27" spans="2:22" ht="12.75">
      <c r="B27" s="42"/>
      <c r="C27" s="41"/>
      <c r="D27" s="41"/>
      <c r="E27" s="41"/>
      <c r="F27" s="41"/>
      <c r="G27" s="41"/>
      <c r="H27" s="41"/>
      <c r="I27" s="41"/>
      <c r="J27" s="41"/>
      <c r="K27" s="41"/>
      <c r="L27" s="41"/>
      <c r="M27"/>
      <c r="P27"/>
      <c r="Q27"/>
      <c r="S27"/>
      <c r="U27" s="39"/>
    </row>
    <row r="28" spans="2:22" ht="15.75" customHeight="1">
      <c r="B28" s="42"/>
      <c r="C28" s="41"/>
      <c r="D28" s="41"/>
      <c r="E28" s="41"/>
      <c r="F28" s="41"/>
      <c r="G28" s="41"/>
      <c r="H28" s="41"/>
      <c r="I28" s="41"/>
      <c r="J28" s="41"/>
      <c r="K28" s="41"/>
      <c r="L28" s="41"/>
      <c r="M28"/>
      <c r="P28"/>
      <c r="Q28"/>
      <c r="S28"/>
      <c r="U28" s="39"/>
    </row>
    <row r="29" spans="2:22" ht="15.75" customHeight="1">
      <c r="B29" s="42"/>
      <c r="C29" s="41"/>
      <c r="D29" s="41"/>
      <c r="E29" s="41"/>
      <c r="F29" s="41"/>
      <c r="G29" s="41"/>
      <c r="H29" s="41"/>
      <c r="I29" s="41"/>
      <c r="J29" s="41"/>
      <c r="K29" s="41"/>
      <c r="L29" s="41"/>
      <c r="M29" s="41"/>
      <c r="N29" s="41"/>
      <c r="O29" s="41"/>
      <c r="P29" s="41"/>
      <c r="Q29" s="41"/>
      <c r="R29" s="41"/>
      <c r="S29" s="41"/>
      <c r="U29" s="39"/>
    </row>
    <row r="30" spans="2:22" ht="12.75">
      <c r="B30" s="42"/>
      <c r="C30" s="41"/>
      <c r="D30" s="41"/>
      <c r="E30" s="41"/>
      <c r="F30" s="41"/>
      <c r="G30" s="41"/>
      <c r="H30" s="41"/>
      <c r="I30" s="41"/>
      <c r="J30" s="41"/>
      <c r="K30" s="41"/>
      <c r="L30" s="41"/>
      <c r="M30" s="41"/>
      <c r="N30" s="41"/>
      <c r="O30" s="41"/>
      <c r="P30" s="41"/>
      <c r="Q30" s="41"/>
      <c r="R30" s="41"/>
      <c r="S30" s="41"/>
      <c r="U30" s="39"/>
    </row>
    <row r="31" spans="2:22" ht="15.75" customHeight="1">
      <c r="B31" s="42"/>
      <c r="C31" s="41"/>
      <c r="D31" s="41"/>
      <c r="E31" s="41"/>
      <c r="F31" s="41"/>
      <c r="G31" s="41"/>
      <c r="H31" s="41"/>
      <c r="I31" s="41"/>
      <c r="J31" s="41"/>
      <c r="K31" s="41"/>
      <c r="L31" s="41"/>
      <c r="M31" s="41"/>
      <c r="N31" s="41"/>
      <c r="O31" s="41"/>
      <c r="P31" s="41"/>
      <c r="Q31" s="41"/>
      <c r="R31" s="41"/>
      <c r="S31" s="41"/>
      <c r="U31" s="39"/>
    </row>
    <row r="32" spans="2:22" ht="12.75">
      <c r="B32" s="42"/>
      <c r="C32" s="41"/>
      <c r="D32" s="41"/>
      <c r="E32" s="41"/>
      <c r="F32" s="41"/>
      <c r="G32" s="41"/>
      <c r="H32" s="41"/>
      <c r="I32" s="41"/>
      <c r="J32" s="41"/>
      <c r="K32" s="41"/>
      <c r="L32" s="41"/>
      <c r="M32" s="41"/>
      <c r="N32" s="41"/>
      <c r="O32" s="41"/>
      <c r="P32" s="41"/>
      <c r="Q32" s="41"/>
      <c r="R32" s="41"/>
      <c r="S32" s="41"/>
      <c r="U32" s="39"/>
    </row>
    <row r="33" spans="2:21" ht="12.75">
      <c r="B33" s="42"/>
      <c r="C33" s="41"/>
      <c r="D33" s="41"/>
      <c r="E33" s="41"/>
      <c r="F33" s="41"/>
      <c r="G33" s="41"/>
      <c r="H33" s="41"/>
      <c r="I33" s="41"/>
      <c r="J33" s="41"/>
      <c r="K33" s="41"/>
      <c r="L33" s="41"/>
      <c r="M33" s="41"/>
      <c r="N33" s="41"/>
      <c r="O33" s="41"/>
      <c r="P33" s="41"/>
      <c r="Q33" s="41"/>
      <c r="R33" s="41"/>
      <c r="S33" s="41"/>
      <c r="U33" s="39"/>
    </row>
    <row r="34" spans="2:21" ht="12.75">
      <c r="B34" s="42"/>
      <c r="C34" s="41"/>
      <c r="D34" s="41"/>
      <c r="E34" s="41"/>
      <c r="F34" s="41"/>
      <c r="G34" s="41"/>
      <c r="H34" s="41"/>
      <c r="I34" s="41"/>
      <c r="J34" s="41"/>
      <c r="K34" s="41"/>
      <c r="L34" s="41"/>
      <c r="M34" s="41"/>
      <c r="N34" s="41"/>
      <c r="O34" s="41"/>
      <c r="P34" s="41"/>
      <c r="Q34" s="41"/>
      <c r="R34" s="41"/>
      <c r="S34" s="41"/>
      <c r="U34" s="39"/>
    </row>
    <row r="35" spans="2:21" ht="15.75" customHeight="1">
      <c r="B35" s="42"/>
      <c r="C35" s="41"/>
      <c r="D35" s="41"/>
      <c r="E35" s="41"/>
      <c r="F35" s="41"/>
      <c r="G35" s="41"/>
      <c r="H35" s="41"/>
      <c r="I35" s="41"/>
      <c r="J35" s="41"/>
      <c r="K35" s="41"/>
      <c r="L35" s="41"/>
      <c r="M35" s="41"/>
      <c r="N35" s="41"/>
      <c r="O35" s="41"/>
      <c r="P35" s="41"/>
      <c r="Q35" s="41"/>
      <c r="R35" s="41"/>
      <c r="S35" s="41"/>
      <c r="U35" s="39"/>
    </row>
    <row r="36" spans="2:21" ht="15.75" customHeight="1">
      <c r="B36" s="42"/>
      <c r="C36" s="41"/>
      <c r="D36" s="41"/>
      <c r="E36" s="41"/>
      <c r="F36" s="41"/>
      <c r="G36" s="41"/>
      <c r="H36" s="41"/>
      <c r="I36" s="41"/>
      <c r="J36" s="41"/>
      <c r="K36" s="41"/>
      <c r="L36" s="41"/>
      <c r="M36" s="41"/>
      <c r="N36" s="41"/>
      <c r="O36" s="41"/>
      <c r="P36" s="41"/>
      <c r="Q36" s="41"/>
      <c r="R36" s="41"/>
      <c r="S36" s="41"/>
      <c r="U36" s="39"/>
    </row>
    <row r="37" spans="2:21" ht="15.75" customHeight="1">
      <c r="B37" s="42"/>
      <c r="C37" s="41"/>
      <c r="D37" s="41"/>
      <c r="E37" s="41"/>
      <c r="F37" s="41"/>
      <c r="G37" s="41"/>
      <c r="H37" s="41"/>
      <c r="I37" s="41"/>
      <c r="J37" s="41"/>
      <c r="K37" s="41"/>
      <c r="L37" s="41"/>
      <c r="M37" s="41"/>
      <c r="N37" s="41"/>
      <c r="O37" s="41"/>
      <c r="P37" s="41"/>
      <c r="Q37" s="41"/>
      <c r="R37" s="41"/>
      <c r="S37" s="41"/>
      <c r="U37" s="39"/>
    </row>
    <row r="38" spans="2:21" ht="15.75" customHeight="1">
      <c r="B38" s="42"/>
      <c r="C38" s="41"/>
      <c r="D38" s="41"/>
      <c r="E38" s="41"/>
      <c r="F38" s="41"/>
      <c r="G38" s="41"/>
      <c r="H38" s="41"/>
      <c r="I38" s="41"/>
      <c r="J38" s="41"/>
      <c r="K38" s="41"/>
      <c r="L38" s="41"/>
      <c r="M38" s="41"/>
      <c r="N38" s="41"/>
      <c r="O38" s="41"/>
      <c r="P38" s="41"/>
      <c r="Q38" s="41"/>
      <c r="R38" s="41"/>
      <c r="S38" s="41"/>
      <c r="U38" s="39"/>
    </row>
    <row r="39" spans="2:21" ht="12.75">
      <c r="B39" s="42"/>
      <c r="C39" s="41"/>
      <c r="D39" s="41"/>
      <c r="E39" s="41"/>
      <c r="F39" s="41"/>
      <c r="G39" s="41"/>
      <c r="H39" s="41"/>
      <c r="I39" s="41"/>
      <c r="J39" s="41"/>
      <c r="K39" s="41"/>
      <c r="L39" s="41"/>
      <c r="M39" s="41"/>
      <c r="N39" s="41"/>
      <c r="O39" s="41"/>
      <c r="P39" s="41"/>
      <c r="Q39" s="41"/>
      <c r="R39" s="41"/>
      <c r="S39" s="41"/>
      <c r="U39" s="39"/>
    </row>
    <row r="40" spans="2:21" ht="12.75">
      <c r="B40" s="42"/>
      <c r="C40" s="41"/>
      <c r="D40" s="41"/>
      <c r="E40" s="41"/>
      <c r="F40" s="41"/>
      <c r="G40" s="41"/>
      <c r="H40" s="41"/>
      <c r="I40" s="41"/>
      <c r="J40" s="41"/>
      <c r="K40" s="41"/>
      <c r="L40" s="41"/>
      <c r="M40" s="41"/>
      <c r="N40" s="41"/>
      <c r="O40" s="41"/>
      <c r="P40" s="41"/>
      <c r="Q40" s="41"/>
      <c r="R40" s="41"/>
      <c r="S40" s="41"/>
      <c r="U40" s="39"/>
    </row>
    <row r="41" spans="2:21" ht="12.75">
      <c r="B41" s="42"/>
      <c r="C41" s="41"/>
      <c r="D41" s="41"/>
      <c r="E41" s="41"/>
      <c r="F41" s="41"/>
      <c r="G41" s="41"/>
      <c r="H41" s="41"/>
      <c r="I41" s="41"/>
      <c r="J41" s="41"/>
      <c r="K41" s="41"/>
      <c r="L41" s="41"/>
      <c r="M41" s="41"/>
      <c r="N41" s="41"/>
      <c r="O41" s="41"/>
      <c r="P41" s="41"/>
      <c r="Q41" s="41"/>
      <c r="R41" s="41"/>
      <c r="S41" s="41"/>
      <c r="U41" s="39"/>
    </row>
    <row r="42" spans="2:21" ht="12.75">
      <c r="B42" s="42"/>
      <c r="C42" s="41"/>
      <c r="D42" s="41"/>
      <c r="E42" s="41"/>
      <c r="F42" s="41"/>
      <c r="G42" s="41"/>
      <c r="H42" s="41"/>
      <c r="I42" s="41"/>
      <c r="J42" s="41"/>
      <c r="K42" s="41"/>
      <c r="L42" s="41"/>
      <c r="M42" s="41"/>
      <c r="N42" s="41"/>
      <c r="O42" s="41"/>
      <c r="P42" s="41"/>
      <c r="Q42" s="41"/>
      <c r="R42" s="41"/>
      <c r="S42" s="41"/>
      <c r="U42" s="39"/>
    </row>
    <row r="43" spans="2:21" ht="12.75">
      <c r="B43" s="42"/>
      <c r="C43" s="41"/>
      <c r="D43" s="41"/>
      <c r="E43" s="41"/>
      <c r="F43" s="41"/>
      <c r="G43" s="41"/>
      <c r="H43" s="41"/>
      <c r="I43" s="41"/>
      <c r="J43" s="41"/>
      <c r="K43" s="41"/>
      <c r="L43" s="41"/>
      <c r="M43" s="41"/>
      <c r="N43" s="41"/>
      <c r="O43" s="41"/>
      <c r="P43" s="41"/>
      <c r="Q43" s="41"/>
      <c r="R43" s="41"/>
      <c r="S43" s="41"/>
      <c r="U43" s="39"/>
    </row>
    <row r="44" spans="2:21" ht="12.75">
      <c r="B44" s="42"/>
      <c r="C44" s="41"/>
      <c r="D44" s="41"/>
      <c r="E44" s="41"/>
      <c r="F44" s="41"/>
      <c r="G44" s="41"/>
      <c r="H44" s="41"/>
      <c r="I44" s="41"/>
      <c r="J44" s="41"/>
      <c r="K44" s="41"/>
      <c r="L44" s="41"/>
      <c r="M44" s="41"/>
      <c r="N44" s="41"/>
      <c r="O44" s="41"/>
      <c r="P44" s="41"/>
      <c r="Q44" s="41"/>
      <c r="R44" s="41"/>
      <c r="S44" s="41"/>
      <c r="U44" s="39"/>
    </row>
    <row r="45" spans="2:21" ht="14.25" customHeight="1">
      <c r="B45" s="42"/>
      <c r="C45" s="41"/>
      <c r="D45" s="41"/>
      <c r="E45" s="41"/>
      <c r="F45" s="41"/>
      <c r="G45" s="41"/>
      <c r="H45" s="41"/>
      <c r="I45" s="41"/>
      <c r="J45" s="41"/>
      <c r="K45" s="41"/>
      <c r="L45" s="41"/>
      <c r="M45" s="41"/>
      <c r="N45" s="41"/>
      <c r="O45" s="41"/>
      <c r="P45" s="41"/>
      <c r="Q45" s="41"/>
      <c r="R45" s="41"/>
      <c r="S45" s="41"/>
      <c r="U45" s="39"/>
    </row>
    <row r="46" spans="2:21" ht="14.25" customHeight="1">
      <c r="B46" s="42"/>
      <c r="C46" s="41"/>
      <c r="D46" s="41"/>
      <c r="E46" s="41"/>
      <c r="F46" s="41"/>
      <c r="G46" s="41"/>
      <c r="H46" s="41"/>
      <c r="I46" s="41"/>
      <c r="J46" s="41"/>
      <c r="K46" s="41"/>
      <c r="L46" s="41"/>
      <c r="M46" s="41"/>
      <c r="N46" s="41"/>
      <c r="O46" s="41"/>
      <c r="P46" s="41"/>
      <c r="Q46" s="41"/>
      <c r="R46" s="41"/>
      <c r="S46" s="41"/>
      <c r="U46" s="39"/>
    </row>
    <row r="47" spans="2:21" ht="14.25" customHeight="1">
      <c r="B47" s="42"/>
      <c r="C47" s="41"/>
      <c r="D47" s="41"/>
      <c r="E47" s="41"/>
      <c r="F47" s="41"/>
      <c r="G47" s="41"/>
      <c r="H47" s="41"/>
      <c r="I47" s="41"/>
      <c r="J47" s="41"/>
      <c r="K47" s="41"/>
      <c r="L47" s="41"/>
      <c r="M47" s="41"/>
      <c r="N47" s="41"/>
      <c r="O47" s="41"/>
      <c r="P47" s="41"/>
      <c r="Q47" s="41"/>
      <c r="R47" s="41"/>
      <c r="S47" s="41"/>
      <c r="U47" s="39"/>
    </row>
    <row r="48" spans="2:21" ht="12.75">
      <c r="B48" s="42"/>
      <c r="C48" s="41"/>
      <c r="D48" s="41"/>
      <c r="E48" s="41"/>
      <c r="F48" s="41"/>
      <c r="G48" s="41"/>
      <c r="H48" s="41"/>
      <c r="I48" s="41"/>
      <c r="J48" s="41"/>
      <c r="K48" s="41"/>
      <c r="L48" s="41"/>
      <c r="M48" s="41"/>
      <c r="N48" s="41"/>
      <c r="O48" s="41"/>
      <c r="P48" s="41"/>
      <c r="Q48" s="41"/>
      <c r="R48" s="41"/>
      <c r="S48" s="41"/>
      <c r="U48" s="39"/>
    </row>
    <row r="49" spans="2:26" ht="14.25" customHeight="1">
      <c r="B49" s="42"/>
      <c r="C49" s="41"/>
      <c r="D49" s="41"/>
      <c r="E49" s="41"/>
      <c r="F49" s="41"/>
      <c r="G49" s="41"/>
      <c r="H49" s="41"/>
      <c r="I49" s="41"/>
      <c r="J49" s="41"/>
      <c r="K49" s="41"/>
      <c r="L49" s="41"/>
      <c r="M49" s="41"/>
      <c r="N49" s="41"/>
      <c r="O49" s="41"/>
      <c r="P49" s="41"/>
      <c r="Q49" s="41"/>
      <c r="R49" s="41"/>
      <c r="S49" s="41"/>
      <c r="U49" s="39"/>
    </row>
    <row r="50" spans="2:26" ht="14.25" customHeight="1">
      <c r="B50" s="42"/>
      <c r="C50" s="41"/>
      <c r="D50" s="41"/>
      <c r="E50" s="41"/>
      <c r="F50" s="41"/>
      <c r="G50" s="41"/>
      <c r="H50" s="41"/>
      <c r="I50" s="41"/>
      <c r="J50" s="41"/>
      <c r="K50" s="41"/>
      <c r="L50" s="41"/>
      <c r="M50" s="41"/>
      <c r="N50" s="41"/>
      <c r="O50" s="41"/>
      <c r="P50" s="41"/>
      <c r="Q50" s="41"/>
      <c r="R50" s="41"/>
      <c r="S50" s="41"/>
      <c r="U50" s="39"/>
    </row>
    <row r="51" spans="2:26" ht="14.25" customHeight="1">
      <c r="B51" s="42"/>
      <c r="C51" s="41"/>
      <c r="D51" s="41"/>
      <c r="E51" s="41"/>
      <c r="F51" s="41"/>
      <c r="G51" s="41"/>
      <c r="H51" s="41"/>
      <c r="I51" s="41"/>
      <c r="J51" s="41"/>
      <c r="K51" s="41"/>
      <c r="L51" s="41"/>
      <c r="M51" s="41"/>
      <c r="N51" s="41"/>
      <c r="O51" s="41"/>
      <c r="P51" s="41"/>
      <c r="Q51" s="41"/>
      <c r="R51" s="41"/>
      <c r="S51" s="41"/>
      <c r="U51" s="39"/>
    </row>
    <row r="52" spans="2:26" ht="14.25" customHeight="1">
      <c r="B52" s="42"/>
      <c r="C52" s="41"/>
      <c r="D52" s="41"/>
      <c r="E52" s="41"/>
      <c r="F52" s="41"/>
      <c r="G52" s="41"/>
      <c r="H52" s="41"/>
      <c r="I52" s="41"/>
      <c r="J52" s="41"/>
      <c r="K52" s="41"/>
      <c r="L52" s="41"/>
      <c r="M52" s="41"/>
      <c r="N52" s="41"/>
      <c r="O52" s="41"/>
      <c r="P52" s="41"/>
      <c r="Q52" s="41"/>
      <c r="R52" s="41"/>
      <c r="S52" s="41"/>
      <c r="U52" s="39"/>
    </row>
    <row r="53" spans="2:26" ht="14.25" customHeight="1">
      <c r="B53" s="42"/>
      <c r="C53" s="41"/>
      <c r="D53" s="41"/>
      <c r="E53" s="41"/>
      <c r="F53" s="41"/>
      <c r="G53" s="41"/>
      <c r="H53" s="41"/>
      <c r="I53" s="41"/>
      <c r="J53" s="41"/>
      <c r="K53" s="41"/>
      <c r="L53" s="41"/>
      <c r="M53" s="41"/>
      <c r="N53" s="41"/>
      <c r="O53" s="41"/>
      <c r="P53" s="41"/>
      <c r="Q53" s="41"/>
      <c r="R53" s="41"/>
      <c r="S53" s="41"/>
      <c r="U53" s="39"/>
    </row>
    <row r="54" spans="2:26" ht="14.25" customHeight="1">
      <c r="B54" s="42"/>
      <c r="C54" s="41"/>
      <c r="D54" s="41"/>
      <c r="E54" s="41"/>
      <c r="F54" s="41"/>
      <c r="G54" s="41"/>
      <c r="H54" s="41"/>
      <c r="I54" s="41"/>
      <c r="J54" s="41"/>
      <c r="K54" s="41"/>
      <c r="L54" s="41"/>
      <c r="M54" s="41"/>
      <c r="N54" s="41"/>
      <c r="O54" s="41"/>
      <c r="P54" s="41"/>
      <c r="Q54" s="41"/>
      <c r="R54" s="41"/>
      <c r="S54" s="41"/>
      <c r="U54" s="39"/>
    </row>
    <row r="55" spans="2:26" ht="12.75">
      <c r="B55" s="42"/>
      <c r="C55" s="41"/>
      <c r="D55" s="41"/>
      <c r="E55" s="41"/>
      <c r="F55" s="41"/>
      <c r="G55" s="41"/>
      <c r="H55" s="41"/>
      <c r="I55" s="41"/>
      <c r="J55" s="41"/>
      <c r="K55" s="41"/>
      <c r="L55" s="41"/>
      <c r="M55" s="41"/>
      <c r="N55" s="41"/>
      <c r="O55" s="41"/>
      <c r="P55" s="41"/>
      <c r="Q55" s="41"/>
      <c r="R55" s="41"/>
      <c r="S55" s="41"/>
      <c r="U55" s="39"/>
    </row>
    <row r="56" spans="2:26" ht="14.25" customHeight="1">
      <c r="B56" s="42"/>
      <c r="C56" s="41"/>
      <c r="D56" s="41"/>
      <c r="E56" s="41"/>
      <c r="F56" s="41"/>
      <c r="G56" s="41"/>
      <c r="H56" s="41"/>
      <c r="I56" s="41"/>
      <c r="J56" s="41"/>
      <c r="K56" s="41"/>
      <c r="L56" s="41"/>
      <c r="M56" s="41"/>
      <c r="N56" s="41"/>
      <c r="O56" s="41"/>
      <c r="P56" s="41"/>
      <c r="Q56" s="41"/>
      <c r="R56" s="41"/>
      <c r="S56" s="41"/>
      <c r="U56" s="39"/>
    </row>
    <row r="57" spans="2:26" ht="14.25" customHeight="1">
      <c r="B57" s="42"/>
      <c r="C57" s="41"/>
      <c r="D57" s="41"/>
      <c r="E57" s="41"/>
      <c r="F57" s="41"/>
      <c r="G57" s="41"/>
      <c r="H57" s="41"/>
      <c r="I57" s="41"/>
      <c r="J57" s="41"/>
      <c r="K57" s="41"/>
      <c r="L57" s="41"/>
      <c r="M57" s="41"/>
      <c r="N57" s="41"/>
      <c r="O57" s="41"/>
      <c r="P57" s="41"/>
      <c r="Q57" s="41"/>
      <c r="R57" s="41"/>
      <c r="S57" s="41"/>
      <c r="U57" s="39"/>
    </row>
    <row r="58" spans="2:26" ht="14.25" customHeight="1">
      <c r="B58" s="42"/>
      <c r="C58" s="41"/>
      <c r="D58" s="41"/>
      <c r="E58" s="41"/>
      <c r="F58" s="41"/>
      <c r="G58" s="41"/>
      <c r="H58" s="41"/>
      <c r="I58" s="41"/>
      <c r="J58" s="41"/>
      <c r="K58" s="41"/>
      <c r="L58" s="41"/>
      <c r="M58" s="41"/>
      <c r="N58" s="41"/>
      <c r="O58" s="41"/>
      <c r="P58" s="41"/>
      <c r="Q58" s="41"/>
      <c r="R58" s="41"/>
      <c r="S58" s="41"/>
      <c r="U58" s="39"/>
    </row>
    <row r="59" spans="2:26" ht="14.25" customHeight="1">
      <c r="B59" s="42"/>
      <c r="C59" s="41"/>
      <c r="D59" s="41"/>
      <c r="E59" s="41"/>
      <c r="F59" s="41"/>
      <c r="G59" s="41"/>
      <c r="H59" s="41"/>
      <c r="I59" s="41"/>
      <c r="J59" s="41"/>
      <c r="K59" s="41"/>
      <c r="L59" s="41"/>
      <c r="M59" s="41"/>
      <c r="N59" s="41"/>
      <c r="O59" s="41"/>
      <c r="P59" s="41"/>
      <c r="Q59" s="41"/>
      <c r="R59" s="41"/>
      <c r="S59" s="41"/>
      <c r="U59" s="39"/>
    </row>
    <row r="60" spans="2:26" ht="12.75">
      <c r="B60" s="42"/>
      <c r="C60" s="41"/>
      <c r="D60" s="41"/>
      <c r="E60" s="41"/>
      <c r="F60" s="41"/>
      <c r="G60" s="41"/>
      <c r="H60" s="41"/>
      <c r="I60" s="41"/>
      <c r="J60" s="41"/>
      <c r="K60" s="41"/>
      <c r="L60" s="41"/>
      <c r="M60" s="41"/>
      <c r="N60" s="41"/>
      <c r="O60" s="41"/>
      <c r="P60" s="41"/>
      <c r="Q60" s="41"/>
      <c r="R60" s="41"/>
      <c r="S60" s="41"/>
      <c r="U60" s="39"/>
    </row>
    <row r="61" spans="2:26" ht="14.25" customHeight="1">
      <c r="B61" s="42"/>
      <c r="C61" s="41"/>
      <c r="D61" s="41"/>
      <c r="E61" s="41"/>
      <c r="F61" s="41"/>
      <c r="G61" s="41"/>
      <c r="H61" s="41"/>
      <c r="I61" s="41"/>
      <c r="J61" s="41"/>
      <c r="K61" s="41"/>
      <c r="L61" s="41"/>
      <c r="M61" s="41"/>
      <c r="N61" s="41"/>
      <c r="O61" s="41"/>
      <c r="P61" s="41"/>
      <c r="Q61" s="41"/>
      <c r="R61" s="41"/>
      <c r="S61" s="41"/>
      <c r="U61" s="39"/>
    </row>
    <row r="62" spans="2:26" ht="14.25" customHeight="1">
      <c r="B62" s="42"/>
      <c r="C62" s="41"/>
      <c r="D62" s="41"/>
      <c r="E62" s="41"/>
      <c r="F62" s="41"/>
      <c r="G62" s="41"/>
      <c r="H62" s="41"/>
      <c r="I62" s="41"/>
      <c r="J62" s="41"/>
      <c r="K62" s="41"/>
      <c r="L62" s="41"/>
      <c r="M62" s="41"/>
      <c r="N62" s="41"/>
      <c r="O62" s="41"/>
      <c r="P62" s="41"/>
      <c r="Q62" s="41"/>
      <c r="R62" s="41"/>
      <c r="S62" s="41"/>
      <c r="U62" s="39"/>
    </row>
    <row r="63" spans="2:26" ht="14.25" customHeight="1">
      <c r="B63" s="43"/>
      <c r="C63" s="44"/>
      <c r="D63" s="44"/>
      <c r="E63" s="44"/>
      <c r="F63" s="44"/>
      <c r="G63" s="44"/>
      <c r="H63" s="44"/>
      <c r="I63" s="44"/>
      <c r="J63" s="44"/>
      <c r="K63" s="44"/>
      <c r="Z63" s="44"/>
    </row>
    <row r="64" spans="2:26" ht="12.75">
      <c r="B64" s="43"/>
      <c r="C64" s="44"/>
      <c r="D64" s="44"/>
      <c r="E64" s="44"/>
      <c r="F64" s="44"/>
      <c r="G64" s="44"/>
      <c r="H64" s="44"/>
      <c r="I64" s="44"/>
      <c r="J64" s="44"/>
      <c r="K64" s="44"/>
      <c r="Z64" s="44"/>
    </row>
    <row r="65" spans="2:26" ht="15.75" customHeight="1">
      <c r="B65" s="43"/>
      <c r="C65" s="44"/>
      <c r="D65" s="44"/>
      <c r="E65" s="44"/>
      <c r="F65" s="44"/>
      <c r="G65" s="44"/>
      <c r="H65" s="44"/>
      <c r="I65" s="44"/>
      <c r="J65" s="44"/>
      <c r="K65" s="44"/>
      <c r="Z65" s="44"/>
    </row>
    <row r="66" spans="2:26" ht="15.75" customHeight="1">
      <c r="B66" s="43"/>
      <c r="C66" s="44"/>
      <c r="D66" s="44"/>
      <c r="E66" s="44"/>
      <c r="F66" s="44"/>
      <c r="G66" s="44"/>
      <c r="H66" s="44"/>
      <c r="I66" s="44"/>
      <c r="J66" s="44"/>
      <c r="K66" s="44"/>
      <c r="Z66" s="44"/>
    </row>
    <row r="67" spans="2:26" ht="15.75" customHeight="1">
      <c r="B67" s="43"/>
      <c r="C67" s="44"/>
      <c r="D67" s="44"/>
      <c r="E67" s="44"/>
      <c r="F67" s="44"/>
      <c r="G67" s="44"/>
      <c r="H67" s="44"/>
      <c r="I67" s="44"/>
      <c r="J67" s="44"/>
      <c r="K67" s="44"/>
      <c r="Z67" s="44"/>
    </row>
    <row r="68" spans="2:26" ht="15.75" customHeight="1">
      <c r="B68" s="43"/>
      <c r="C68" s="44"/>
      <c r="D68" s="44"/>
      <c r="E68" s="44"/>
      <c r="F68" s="44"/>
      <c r="G68" s="44"/>
      <c r="H68" s="44"/>
      <c r="I68" s="44"/>
      <c r="J68" s="44"/>
      <c r="K68" s="44"/>
      <c r="Z68" s="44"/>
    </row>
  </sheetData>
  <phoneticPr fontId="8"/>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BA0B-66D8-4811-BF38-F9269FAD14F3}">
  <sheetPr>
    <outlinePr summaryBelow="0" summaryRight="0"/>
  </sheetPr>
  <dimension ref="A1:AA68"/>
  <sheetViews>
    <sheetView zoomScaleNormal="100" workbookViewId="0">
      <selection activeCell="E24" sqref="E24"/>
    </sheetView>
  </sheetViews>
  <sheetFormatPr defaultColWidth="12.5703125" defaultRowHeight="15.75" customHeight="1"/>
  <cols>
    <col min="1" max="2" width="12.5703125" style="39"/>
    <col min="3" max="3" width="26.7109375" style="39" customWidth="1"/>
    <col min="4" max="4" width="23.5703125" style="39" customWidth="1"/>
    <col min="5" max="9" width="13.7109375" style="39" bestFit="1" customWidth="1"/>
    <col min="10" max="10" width="12.5703125" style="39"/>
    <col min="11" max="12" width="13.7109375" style="39" bestFit="1" customWidth="1"/>
    <col min="14" max="14" width="14.85546875" style="39" bestFit="1" customWidth="1"/>
    <col min="17" max="18" width="12.5703125" style="39"/>
    <col min="20" max="21" width="12.5703125" style="39"/>
    <col min="23" max="26" width="12.5703125" style="39"/>
    <col min="27" max="27" width="13.7109375" style="39" bestFit="1" customWidth="1"/>
    <col min="28" max="16384" width="12.5703125" style="39"/>
  </cols>
  <sheetData>
    <row r="1" spans="1:26" ht="15.75" customHeight="1">
      <c r="A1" s="38" t="s">
        <v>2451</v>
      </c>
      <c r="M1" s="39"/>
      <c r="N1"/>
      <c r="Q1"/>
      <c r="R1"/>
      <c r="T1"/>
      <c r="V1" s="39"/>
    </row>
    <row r="2" spans="1:26" ht="15.75" customHeight="1">
      <c r="A2" s="38"/>
      <c r="D2" s="86"/>
      <c r="M2" s="39"/>
      <c r="N2"/>
      <c r="Q2"/>
      <c r="R2"/>
      <c r="T2"/>
      <c r="V2" s="39"/>
    </row>
    <row r="3" spans="1:26" ht="13.5" customHeight="1">
      <c r="C3" s="86" t="s">
        <v>2261</v>
      </c>
      <c r="D3" s="39">
        <f>(COUNTIFS(集計用!$AB:$AB, "*, "&amp;テーブル2101112142656[[#Headers],[顔にかかわる手術]]&amp;",*"))</f>
        <v>7</v>
      </c>
      <c r="E3" s="39">
        <f>(COUNTIFS(集計用!$AB:$AB, "*, "&amp;テーブル2101112142656[[#Headers],[胸部の手術]]&amp;",*"))</f>
        <v>16</v>
      </c>
      <c r="F3" s="39">
        <f>(COUNTIFS(集計用!$AB:$AB, "*, "&amp;テーブル2101112142656[[#Headers],[抗ホルモン療法]]&amp;",*"))</f>
        <v>17</v>
      </c>
      <c r="G3" s="39">
        <f>(COUNTIFS(集計用!$AB:$AB, "*, "&amp;テーブル2101112142656[[#Headers],[戸籍名の変更]]&amp;",*"))</f>
        <v>29</v>
      </c>
      <c r="H3" s="39">
        <f>(COUNTIFS(集計用!$AB:$AB, "*, "&amp;テーブル2101112142656[[#Headers],[戸籍上の性別の変更]]&amp;",*"))</f>
        <v>11</v>
      </c>
      <c r="I3" s="39">
        <f>(COUNTIFS(集計用!$AB:$AB, "*, "&amp;テーブル2101112142656[[#Headers],[性器にかかわる手術]]&amp;",*"))</f>
        <v>19</v>
      </c>
      <c r="J3" s="39">
        <f>(COUNTIFS(集計用!$AB:$AB, "*, "&amp;テーブル2101112142656[[#Headers],[声帯にかかわる手術]]&amp;",*"))</f>
        <v>2</v>
      </c>
      <c r="K3" s="39">
        <f>(COUNTIFS(集計用!$AB:$AB, "*, "&amp;テーブル2101112142656[[#Headers],[ホルモン補充療法（HRT）]]&amp;",*"))</f>
        <v>50</v>
      </c>
      <c r="L3" s="39">
        <f>(COUNTIFS(集計用!$AB:$AB, "*, "&amp;テーブル2101112142656[[#Headers],[ジェンダークリニックの受診]]&amp;",*"))</f>
        <v>55</v>
      </c>
      <c r="M3" s="39">
        <f>(COUNTIFS(集計用!$AB:$AB, "*, "&amp;テーブル2101112142656[[#Headers],[（上記のどれも経験していない）]]&amp;",*"))</f>
        <v>298</v>
      </c>
      <c r="N3">
        <f>(COUNTIFS(集計用!$AB2:$AB444,"&lt;&gt;無回答", 集計用!$AB2:$AB444, "&lt;&gt;*"&amp;M$4&amp;"*"))</f>
        <v>85</v>
      </c>
      <c r="Q3"/>
      <c r="R3"/>
      <c r="T3"/>
      <c r="V3" s="39"/>
    </row>
    <row r="4" spans="1:26" ht="16.5">
      <c r="A4" s="46" t="s">
        <v>2178</v>
      </c>
      <c r="B4" s="46" t="s">
        <v>2179</v>
      </c>
      <c r="C4" s="46" t="s">
        <v>2182</v>
      </c>
      <c r="D4" s="2" t="s">
        <v>295</v>
      </c>
      <c r="E4" s="2" t="s">
        <v>296</v>
      </c>
      <c r="F4" s="2" t="s">
        <v>297</v>
      </c>
      <c r="G4" s="2" t="s">
        <v>298</v>
      </c>
      <c r="H4" s="2" t="s">
        <v>299</v>
      </c>
      <c r="I4" s="2" t="s">
        <v>300</v>
      </c>
      <c r="J4" s="2" t="s">
        <v>301</v>
      </c>
      <c r="K4" s="2" t="s">
        <v>302</v>
      </c>
      <c r="L4" s="2" t="s">
        <v>303</v>
      </c>
      <c r="M4" s="76" t="s">
        <v>2453</v>
      </c>
      <c r="N4" s="107" t="s">
        <v>2454</v>
      </c>
      <c r="Q4" s="2"/>
      <c r="R4" s="2"/>
      <c r="S4" s="2"/>
      <c r="T4" s="2"/>
      <c r="U4" s="2"/>
      <c r="V4" s="2"/>
      <c r="W4" s="2"/>
      <c r="X4" s="2"/>
      <c r="Y4" s="2"/>
      <c r="Z4" s="2"/>
    </row>
    <row r="5" spans="1:26" ht="12.75">
      <c r="A5" s="39" t="s">
        <v>2180</v>
      </c>
      <c r="B5" s="39">
        <f>(COUNTIFS(集計用!$G$2:$G$444,"*, "&amp;$C5&amp;",*",集計用!$AB$2:$AB$444,"&lt;&gt;無回答"))</f>
        <v>1</v>
      </c>
      <c r="C5" s="42" t="s">
        <v>56</v>
      </c>
      <c r="D5" s="41">
        <f>(COUNTIFS(集計用!$AB:$AB, "*, "&amp;D$4&amp;",*",集計用!$G:$G, "*, "&amp;$C5&amp;",*"))/$B5*100</f>
        <v>0</v>
      </c>
      <c r="E5" s="41">
        <f>(COUNTIFS(集計用!$AB:$AB, "*, "&amp;E$4&amp;",*",集計用!$G:$G, "*, "&amp;$C5&amp;",*"))/$B5*100</f>
        <v>0</v>
      </c>
      <c r="F5" s="41">
        <f>(COUNTIFS(集計用!$AB:$AB, "*, "&amp;F$4&amp;",*",集計用!$G:$G, "*, "&amp;$C5&amp;",*"))/$B5*100</f>
        <v>0</v>
      </c>
      <c r="G5" s="41">
        <f>(COUNTIFS(集計用!$AB:$AB, "*, "&amp;G$4&amp;",*",集計用!$G:$G, "*, "&amp;$C5&amp;",*"))/$B5*100</f>
        <v>100</v>
      </c>
      <c r="H5" s="41">
        <f>(COUNTIFS(集計用!$AB:$AB, "*, "&amp;H$4&amp;",*",集計用!$G:$G, "*, "&amp;$C5&amp;",*"))/$B5*100</f>
        <v>0</v>
      </c>
      <c r="I5" s="41">
        <f>(COUNTIFS(集計用!$AB:$AB, "*, "&amp;I$4&amp;",*",集計用!$G:$G, "*, "&amp;$C5&amp;",*"))/$B5*100</f>
        <v>0</v>
      </c>
      <c r="J5" s="41">
        <f>(COUNTIFS(集計用!$AB:$AB, "*, "&amp;J$4&amp;",*",集計用!$G:$G, "*, "&amp;$C5&amp;",*"))/$B5*100</f>
        <v>0</v>
      </c>
      <c r="K5" s="41">
        <f>(COUNTIFS(集計用!$AB:$AB, "*, "&amp;K$4&amp;",*",集計用!$G:$G, "*, "&amp;$C5&amp;",*"))/$B5*100</f>
        <v>100</v>
      </c>
      <c r="L5" s="41">
        <f>(COUNTIFS(集計用!$AB:$AB, "*, "&amp;L$4&amp;",*",集計用!$G:$G, "*, "&amp;$C5&amp;",*"))/$B5*100</f>
        <v>100</v>
      </c>
      <c r="M5" s="41">
        <f>(COUNTIFS(集計用!$AB:$AB, "*, "&amp;M$4&amp;",*",集計用!$G:$G, "*, "&amp;$C5&amp;",*"))/$B5*100</f>
        <v>0</v>
      </c>
      <c r="N5" s="56">
        <f>(COUNTIFS(集計用!$G$2:$G$444,"*, "&amp;$C5&amp;",*",集計用!$AB$2:$AB$444,"&lt;&gt;無回答",集計用!$AB$2:$AB$444, "&lt;&gt;*"&amp;M$4&amp;"*"))/B5*100</f>
        <v>100</v>
      </c>
      <c r="Q5"/>
      <c r="R5"/>
      <c r="T5"/>
      <c r="V5" s="39"/>
    </row>
    <row r="6" spans="1:26" ht="15.75" customHeight="1">
      <c r="A6" s="39" t="s">
        <v>2180</v>
      </c>
      <c r="B6" s="39">
        <f>(COUNTIFS(集計用!$G$2:$G$444,"*, "&amp;$C6&amp;",*",集計用!$AB$2:$AB$444,"&lt;&gt;無回答"))</f>
        <v>3</v>
      </c>
      <c r="C6" s="42" t="s">
        <v>54</v>
      </c>
      <c r="D6" s="41">
        <f>(COUNTIFS(集計用!$AB:$AB, "*, "&amp;D$4&amp;",*",集計用!$G:$G, "*, "&amp;$C6&amp;",*"))/$B6*100</f>
        <v>66.666666666666657</v>
      </c>
      <c r="E6" s="41">
        <f>(COUNTIFS(集計用!$AB:$AB, "*, "&amp;E$4&amp;",*",集計用!$G:$G, "*, "&amp;$C6&amp;",*"))/$B6*100</f>
        <v>0</v>
      </c>
      <c r="F6" s="41">
        <f>(COUNTIFS(集計用!$AB:$AB, "*, "&amp;F$4&amp;",*",集計用!$G:$G, "*, "&amp;$C6&amp;",*"))/$B6*100</f>
        <v>33.333333333333329</v>
      </c>
      <c r="G6" s="41">
        <f>(COUNTIFS(集計用!$AB:$AB, "*, "&amp;G$4&amp;",*",集計用!$G:$G, "*, "&amp;$C6&amp;",*"))/$B6*100</f>
        <v>33.333333333333329</v>
      </c>
      <c r="H6" s="41">
        <f>(COUNTIFS(集計用!$AB:$AB, "*, "&amp;H$4&amp;",*",集計用!$G:$G, "*, "&amp;$C6&amp;",*"))/$B6*100</f>
        <v>0</v>
      </c>
      <c r="I6" s="41">
        <f>(COUNTIFS(集計用!$AB:$AB, "*, "&amp;I$4&amp;",*",集計用!$G:$G, "*, "&amp;$C6&amp;",*"))/$B6*100</f>
        <v>33.333333333333329</v>
      </c>
      <c r="J6" s="41">
        <f>(COUNTIFS(集計用!$AB:$AB, "*, "&amp;J$4&amp;",*",集計用!$G:$G, "*, "&amp;$C6&amp;",*"))/$B6*100</f>
        <v>0</v>
      </c>
      <c r="K6" s="41">
        <f>(COUNTIFS(集計用!$AB:$AB, "*, "&amp;K$4&amp;",*",集計用!$G:$G, "*, "&amp;$C6&amp;",*"))/$B6*100</f>
        <v>33.333333333333329</v>
      </c>
      <c r="L6" s="41">
        <f>(COUNTIFS(集計用!$AB:$AB, "*, "&amp;L$4&amp;",*",集計用!$G:$G, "*, "&amp;$C6&amp;",*"))/$B6*100</f>
        <v>33.333333333333329</v>
      </c>
      <c r="M6" s="41">
        <f>(COUNTIFS(集計用!$AB:$AB, "*, "&amp;M$4&amp;",*",集計用!$G:$G, "*, "&amp;$C6&amp;",*"))/$B6*100</f>
        <v>33.333333333333329</v>
      </c>
      <c r="N6" s="56">
        <f>(COUNTIFS(集計用!$G$2:$G$444,"*, "&amp;$C6&amp;",*",集計用!$AB$2:$AB$444,"&lt;&gt;無回答",集計用!$AB$2:$AB$444, "&lt;&gt;*"&amp;M$4&amp;"*"))/B6*100</f>
        <v>66.666666666666657</v>
      </c>
      <c r="P6" s="106"/>
      <c r="Q6"/>
      <c r="R6"/>
      <c r="T6"/>
      <c r="V6" s="39"/>
    </row>
    <row r="7" spans="1:26" ht="15.75" customHeight="1">
      <c r="A7" s="39" t="s">
        <v>2180</v>
      </c>
      <c r="B7" s="39">
        <f>(COUNTIFS(集計用!$G$2:$G$444,"*, "&amp;$C7&amp;",*",集計用!$AB$2:$AB$444,"&lt;&gt;無回答"))</f>
        <v>3</v>
      </c>
      <c r="C7" s="42" t="s">
        <v>52</v>
      </c>
      <c r="D7" s="41">
        <f>(COUNTIFS(集計用!$AB:$AB, "*, "&amp;D$4&amp;",*",集計用!$G:$G, "*, "&amp;$C7&amp;",*"))/$B7*100</f>
        <v>0</v>
      </c>
      <c r="E7" s="41">
        <f>(COUNTIFS(集計用!$AB:$AB, "*, "&amp;E$4&amp;",*",集計用!$G:$G, "*, "&amp;$C7&amp;",*"))/$B7*100</f>
        <v>0</v>
      </c>
      <c r="F7" s="41">
        <f>(COUNTIFS(集計用!$AB:$AB, "*, "&amp;F$4&amp;",*",集計用!$G:$G, "*, "&amp;$C7&amp;",*"))/$B7*100</f>
        <v>33.333333333333329</v>
      </c>
      <c r="G7" s="41">
        <f>(COUNTIFS(集計用!$AB:$AB, "*, "&amp;G$4&amp;",*",集計用!$G:$G, "*, "&amp;$C7&amp;",*"))/$B7*100</f>
        <v>0</v>
      </c>
      <c r="H7" s="41">
        <f>(COUNTIFS(集計用!$AB:$AB, "*, "&amp;H$4&amp;",*",集計用!$G:$G, "*, "&amp;$C7&amp;",*"))/$B7*100</f>
        <v>0</v>
      </c>
      <c r="I7" s="41">
        <f>(COUNTIFS(集計用!$AB:$AB, "*, "&amp;I$4&amp;",*",集計用!$G:$G, "*, "&amp;$C7&amp;",*"))/$B7*100</f>
        <v>0</v>
      </c>
      <c r="J7" s="41">
        <f>(COUNTIFS(集計用!$AB:$AB, "*, "&amp;J$4&amp;",*",集計用!$G:$G, "*, "&amp;$C7&amp;",*"))/$B7*100</f>
        <v>0</v>
      </c>
      <c r="K7" s="41">
        <f>(COUNTIFS(集計用!$AB:$AB, "*, "&amp;K$4&amp;",*",集計用!$G:$G, "*, "&amp;$C7&amp;",*"))/$B7*100</f>
        <v>0</v>
      </c>
      <c r="L7" s="41">
        <f>(COUNTIFS(集計用!$AB:$AB, "*, "&amp;L$4&amp;",*",集計用!$G:$G, "*, "&amp;$C7&amp;",*"))/$B7*100</f>
        <v>33.333333333333329</v>
      </c>
      <c r="M7" s="41">
        <f>(COUNTIFS(集計用!$AB:$AB, "*, "&amp;M$4&amp;",*",集計用!$G:$G, "*, "&amp;$C7&amp;",*"))/$B7*100</f>
        <v>66.666666666666657</v>
      </c>
      <c r="N7" s="56">
        <f>(COUNTIFS(集計用!$G$2:$G$444,"*, "&amp;$C7&amp;",*",集計用!$AB$2:$AB$444,"&lt;&gt;無回答",集計用!$AB$2:$AB$444, "&lt;&gt;*"&amp;M$4&amp;"*"))/B7*100</f>
        <v>33.333333333333329</v>
      </c>
      <c r="R7" s="76"/>
      <c r="S7" s="14"/>
      <c r="U7" s="14"/>
      <c r="V7" s="41"/>
      <c r="W7" s="59"/>
    </row>
    <row r="8" spans="1:26" ht="15.75" customHeight="1">
      <c r="A8" s="39" t="s">
        <v>2180</v>
      </c>
      <c r="B8" s="39">
        <f>(COUNTIFS(集計用!$G$2:$G$444,"*, "&amp;$C8&amp;",*",集計用!$AB$2:$AB$444,"&lt;&gt;無回答"))</f>
        <v>3</v>
      </c>
      <c r="C8" s="42" t="s">
        <v>53</v>
      </c>
      <c r="D8" s="41">
        <f>(COUNTIFS(集計用!$AB:$AB, "*, "&amp;D$4&amp;",*",集計用!$G:$G, "*, "&amp;$C8&amp;",*"))/$B8*100</f>
        <v>0</v>
      </c>
      <c r="E8" s="41">
        <f>(COUNTIFS(集計用!$AB:$AB, "*, "&amp;E$4&amp;",*",集計用!$G:$G, "*, "&amp;$C8&amp;",*"))/$B8*100</f>
        <v>0</v>
      </c>
      <c r="F8" s="41">
        <f>(COUNTIFS(集計用!$AB:$AB, "*, "&amp;F$4&amp;",*",集計用!$G:$G, "*, "&amp;$C8&amp;",*"))/$B8*100</f>
        <v>0</v>
      </c>
      <c r="G8" s="41">
        <f>(COUNTIFS(集計用!$AB:$AB, "*, "&amp;G$4&amp;",*",集計用!$G:$G, "*, "&amp;$C8&amp;",*"))/$B8*100</f>
        <v>0</v>
      </c>
      <c r="H8" s="41">
        <f>(COUNTIFS(集計用!$AB:$AB, "*, "&amp;H$4&amp;",*",集計用!$G:$G, "*, "&amp;$C8&amp;",*"))/$B8*100</f>
        <v>0</v>
      </c>
      <c r="I8" s="41">
        <f>(COUNTIFS(集計用!$AB:$AB, "*, "&amp;I$4&amp;",*",集計用!$G:$G, "*, "&amp;$C8&amp;",*"))/$B8*100</f>
        <v>33.333333333333329</v>
      </c>
      <c r="J8" s="41">
        <f>(COUNTIFS(集計用!$AB:$AB, "*, "&amp;J$4&amp;",*",集計用!$G:$G, "*, "&amp;$C8&amp;",*"))/$B8*100</f>
        <v>0</v>
      </c>
      <c r="K8" s="41">
        <f>(COUNTIFS(集計用!$AB:$AB, "*, "&amp;K$4&amp;",*",集計用!$G:$G, "*, "&amp;$C8&amp;",*"))/$B8*100</f>
        <v>0</v>
      </c>
      <c r="L8" s="41">
        <f>(COUNTIFS(集計用!$AB:$AB, "*, "&amp;L$4&amp;",*",集計用!$G:$G, "*, "&amp;$C8&amp;",*"))/$B8*100</f>
        <v>0</v>
      </c>
      <c r="M8" s="41">
        <f>(COUNTIFS(集計用!$AB:$AB, "*, "&amp;M$4&amp;",*",集計用!$G:$G, "*, "&amp;$C8&amp;",*"))/$B8*100</f>
        <v>66.666666666666657</v>
      </c>
      <c r="N8" s="56">
        <f>(COUNTIFS(集計用!$G$2:$G$444,"*, "&amp;$C8&amp;",*",集計用!$AB$2:$AB$444,"&lt;&gt;無回答",集計用!$AB$2:$AB$444, "&lt;&gt;*"&amp;M$4&amp;"*"))/B8*100</f>
        <v>33.333333333333329</v>
      </c>
      <c r="R8" s="2"/>
      <c r="S8" s="14"/>
      <c r="U8" s="14"/>
      <c r="V8" s="41"/>
      <c r="W8" s="59"/>
    </row>
    <row r="9" spans="1:26" ht="15.75" customHeight="1">
      <c r="A9" s="39" t="s">
        <v>2180</v>
      </c>
      <c r="B9" s="39">
        <f>(COUNTIFS(集計用!$G$2:$G$444,"*, "&amp;$C9&amp;",*",集計用!$AB$2:$AB$444,"&lt;&gt;無回答"))</f>
        <v>1</v>
      </c>
      <c r="C9" s="42" t="s">
        <v>55</v>
      </c>
      <c r="D9" s="41">
        <f>(COUNTIFS(集計用!$AB:$AB, "*, "&amp;D$4&amp;",*",集計用!$G:$G, "*, "&amp;$C9&amp;",*"))/$B9*100</f>
        <v>0</v>
      </c>
      <c r="E9" s="41">
        <f>(COUNTIFS(集計用!$AB:$AB, "*, "&amp;E$4&amp;",*",集計用!$G:$G, "*, "&amp;$C9&amp;",*"))/$B9*100</f>
        <v>0</v>
      </c>
      <c r="F9" s="41">
        <f>(COUNTIFS(集計用!$AB:$AB, "*, "&amp;F$4&amp;",*",集計用!$G:$G, "*, "&amp;$C9&amp;",*"))/$B9*100</f>
        <v>0</v>
      </c>
      <c r="G9" s="41">
        <f>(COUNTIFS(集計用!$AB:$AB, "*, "&amp;G$4&amp;",*",集計用!$G:$G, "*, "&amp;$C9&amp;",*"))/$B9*100</f>
        <v>0</v>
      </c>
      <c r="H9" s="41">
        <f>(COUNTIFS(集計用!$AB:$AB, "*, "&amp;H$4&amp;",*",集計用!$G:$G, "*, "&amp;$C9&amp;",*"))/$B9*100</f>
        <v>0</v>
      </c>
      <c r="I9" s="41">
        <f>(COUNTIFS(集計用!$AB:$AB, "*, "&amp;I$4&amp;",*",集計用!$G:$G, "*, "&amp;$C9&amp;",*"))/$B9*100</f>
        <v>0</v>
      </c>
      <c r="J9" s="41">
        <f>(COUNTIFS(集計用!$AB:$AB, "*, "&amp;J$4&amp;",*",集計用!$G:$G, "*, "&amp;$C9&amp;",*"))/$B9*100</f>
        <v>0</v>
      </c>
      <c r="K9" s="41">
        <f>(COUNTIFS(集計用!$AB:$AB, "*, "&amp;K$4&amp;",*",集計用!$G:$G, "*, "&amp;$C9&amp;",*"))/$B9*100</f>
        <v>0</v>
      </c>
      <c r="L9" s="41">
        <f>(COUNTIFS(集計用!$AB:$AB, "*, "&amp;L$4&amp;",*",集計用!$G:$G, "*, "&amp;$C9&amp;",*"))/$B9*100</f>
        <v>0</v>
      </c>
      <c r="M9" s="41">
        <f>(COUNTIFS(集計用!$AB:$AB, "*, "&amp;M$4&amp;",*",集計用!$G:$G, "*, "&amp;$C9&amp;",*"))/$B9*100</f>
        <v>100</v>
      </c>
      <c r="N9" s="56">
        <f>(COUNTIFS(集計用!$G$2:$G$444,"*, "&amp;$C9&amp;",*",集計用!$AB$2:$AB$444,"&lt;&gt;無回答",集計用!$AB$2:$AB$444, "&lt;&gt;*"&amp;M$4&amp;"*"))/B9*100</f>
        <v>0</v>
      </c>
      <c r="R9" s="2"/>
      <c r="S9" s="14"/>
      <c r="U9" s="14"/>
      <c r="V9" s="41"/>
      <c r="W9" s="59"/>
    </row>
    <row r="10" spans="1:26" ht="15.75" customHeight="1">
      <c r="A10" s="39">
        <v>6</v>
      </c>
      <c r="B10" s="39">
        <f>(COUNTIFS(集計用!$G$2:$G$444,"*, "&amp;$C10&amp;",*",集計用!$AB$2:$AB$444,"&lt;&gt;無回答"))</f>
        <v>8</v>
      </c>
      <c r="C10" s="42" t="s">
        <v>41</v>
      </c>
      <c r="D10" s="41">
        <f>(COUNTIFS(集計用!$AB:$AB, "*, "&amp;D$4&amp;",*",集計用!$G:$G, "*, "&amp;$C10&amp;",*"))/$B10*100</f>
        <v>12.5</v>
      </c>
      <c r="E10" s="41">
        <f>(COUNTIFS(集計用!$AB:$AB, "*, "&amp;E$4&amp;",*",集計用!$G:$G, "*, "&amp;$C10&amp;",*"))/$B10*100</f>
        <v>0</v>
      </c>
      <c r="F10" s="41">
        <f>(COUNTIFS(集計用!$AB:$AB, "*, "&amp;F$4&amp;",*",集計用!$G:$G, "*, "&amp;$C10&amp;",*"))/$B10*100</f>
        <v>37.5</v>
      </c>
      <c r="G10" s="41">
        <f>(COUNTIFS(集計用!$AB:$AB, "*, "&amp;G$4&amp;",*",集計用!$G:$G, "*, "&amp;$C10&amp;",*"))/$B10*100</f>
        <v>12.5</v>
      </c>
      <c r="H10" s="41">
        <f>(COUNTIFS(集計用!$AB:$AB, "*, "&amp;H$4&amp;",*",集計用!$G:$G, "*, "&amp;$C10&amp;",*"))/$B10*100</f>
        <v>12.5</v>
      </c>
      <c r="I10" s="41">
        <f>(COUNTIFS(集計用!$AB:$AB, "*, "&amp;I$4&amp;",*",集計用!$G:$G, "*, "&amp;$C10&amp;",*"))/$B10*100</f>
        <v>12.5</v>
      </c>
      <c r="J10" s="41">
        <f>(COUNTIFS(集計用!$AB:$AB, "*, "&amp;J$4&amp;",*",集計用!$G:$G, "*, "&amp;$C10&amp;",*"))/$B10*100</f>
        <v>0</v>
      </c>
      <c r="K10" s="41">
        <f>(COUNTIFS(集計用!$AB:$AB, "*, "&amp;K$4&amp;",*",集計用!$G:$G, "*, "&amp;$C10&amp;",*"))/$B10*100</f>
        <v>25</v>
      </c>
      <c r="L10" s="41">
        <f>(COUNTIFS(集計用!$AB:$AB, "*, "&amp;L$4&amp;",*",集計用!$G:$G, "*, "&amp;$C10&amp;",*"))/$B10*100</f>
        <v>12.5</v>
      </c>
      <c r="M10" s="41">
        <f>(COUNTIFS(集計用!$AB:$AB, "*, "&amp;M$4&amp;",*",集計用!$G:$G, "*, "&amp;$C10&amp;",*"))/$B10*100</f>
        <v>50</v>
      </c>
      <c r="N10" s="56">
        <f>(COUNTIFS(集計用!$G$2:$G$444,"*, "&amp;$C10&amp;",*",集計用!$AB$2:$AB$444,"&lt;&gt;無回答",集計用!$AB$2:$AB$444, "&lt;&gt;*"&amp;M$4&amp;"*"))/B10*100</f>
        <v>50</v>
      </c>
      <c r="R10" s="2"/>
      <c r="S10" s="14"/>
      <c r="U10" s="14"/>
      <c r="V10" s="41"/>
      <c r="W10" s="59"/>
    </row>
    <row r="11" spans="1:26" ht="15.75" customHeight="1">
      <c r="A11" s="39">
        <v>6</v>
      </c>
      <c r="B11" s="39">
        <f>(COUNTIFS(集計用!$G$2:$G$444,"*, "&amp;$C11&amp;",*",集計用!$AB$2:$AB$444,"&lt;&gt;無回答"))</f>
        <v>49</v>
      </c>
      <c r="C11" s="42" t="s">
        <v>12</v>
      </c>
      <c r="D11" s="41">
        <f>(COUNTIFS(集計用!$AB:$AB, "*, "&amp;D$4&amp;",*",集計用!$G:$G, "*, "&amp;$C11&amp;",*"))/$B11*100</f>
        <v>6.1224489795918364</v>
      </c>
      <c r="E11" s="41">
        <f>(COUNTIFS(集計用!$AB:$AB, "*, "&amp;E$4&amp;",*",集計用!$G:$G, "*, "&amp;$C11&amp;",*"))/$B11*100</f>
        <v>0</v>
      </c>
      <c r="F11" s="41">
        <f>(COUNTIFS(集計用!$AB:$AB, "*, "&amp;F$4&amp;",*",集計用!$G:$G, "*, "&amp;$C11&amp;",*"))/$B11*100</f>
        <v>12.244897959183673</v>
      </c>
      <c r="G11" s="41">
        <f>(COUNTIFS(集計用!$AB:$AB, "*, "&amp;G$4&amp;",*",集計用!$G:$G, "*, "&amp;$C11&amp;",*"))/$B11*100</f>
        <v>12.244897959183673</v>
      </c>
      <c r="H11" s="41">
        <f>(COUNTIFS(集計用!$AB:$AB, "*, "&amp;H$4&amp;",*",集計用!$G:$G, "*, "&amp;$C11&amp;",*"))/$B11*100</f>
        <v>10.204081632653061</v>
      </c>
      <c r="I11" s="41">
        <f>(COUNTIFS(集計用!$AB:$AB, "*, "&amp;I$4&amp;",*",集計用!$G:$G, "*, "&amp;$C11&amp;",*"))/$B11*100</f>
        <v>14.285714285714285</v>
      </c>
      <c r="J11" s="41">
        <f>(COUNTIFS(集計用!$AB:$AB, "*, "&amp;J$4&amp;",*",集計用!$G:$G, "*, "&amp;$C11&amp;",*"))/$B11*100</f>
        <v>0</v>
      </c>
      <c r="K11" s="41">
        <f>(COUNTIFS(集計用!$AB:$AB, "*, "&amp;K$4&amp;",*",集計用!$G:$G, "*, "&amp;$C11&amp;",*"))/$B11*100</f>
        <v>22.448979591836736</v>
      </c>
      <c r="L11" s="41">
        <f>(COUNTIFS(集計用!$AB:$AB, "*, "&amp;L$4&amp;",*",集計用!$G:$G, "*, "&amp;$C11&amp;",*"))/$B11*100</f>
        <v>14.285714285714285</v>
      </c>
      <c r="M11" s="41">
        <f>(COUNTIFS(集計用!$AB:$AB, "*, "&amp;M$4&amp;",*",集計用!$G:$G, "*, "&amp;$C11&amp;",*"))/$B11*100</f>
        <v>73.469387755102048</v>
      </c>
      <c r="N11" s="56">
        <f>(COUNTIFS(集計用!$G$2:$G$444,"*, "&amp;$C11&amp;",*",集計用!$AB$2:$AB$444,"&lt;&gt;無回答",集計用!$AB$2:$AB$444, "&lt;&gt;*"&amp;M$4&amp;"*"))/B11*100</f>
        <v>26.530612244897959</v>
      </c>
      <c r="R11" s="2"/>
      <c r="S11" s="14"/>
      <c r="U11" s="14"/>
      <c r="V11" s="41"/>
      <c r="W11" s="59"/>
    </row>
    <row r="12" spans="1:26" ht="15.75" customHeight="1">
      <c r="A12" s="39">
        <v>6</v>
      </c>
      <c r="B12" s="39">
        <f>(COUNTIFS(集計用!$G$2:$G$444,"*, "&amp;$C12&amp;",*",集計用!$AB$2:$AB$444,"&lt;&gt;無回答"))</f>
        <v>20</v>
      </c>
      <c r="C12" s="42" t="s">
        <v>25</v>
      </c>
      <c r="D12" s="41">
        <f>(COUNTIFS(集計用!$AB:$AB, "*, "&amp;D$4&amp;",*",集計用!$G:$G, "*, "&amp;$C12&amp;",*"))/$B12*100</f>
        <v>0</v>
      </c>
      <c r="E12" s="41">
        <f>(COUNTIFS(集計用!$AB:$AB, "*, "&amp;E$4&amp;",*",集計用!$G:$G, "*, "&amp;$C12&amp;",*"))/$B12*100</f>
        <v>0</v>
      </c>
      <c r="F12" s="41">
        <f>(COUNTIFS(集計用!$AB:$AB, "*, "&amp;F$4&amp;",*",集計用!$G:$G, "*, "&amp;$C12&amp;",*"))/$B12*100</f>
        <v>0</v>
      </c>
      <c r="G12" s="41">
        <f>(COUNTIFS(集計用!$AB:$AB, "*, "&amp;G$4&amp;",*",集計用!$G:$G, "*, "&amp;$C12&amp;",*"))/$B12*100</f>
        <v>5</v>
      </c>
      <c r="H12" s="41">
        <f>(COUNTIFS(集計用!$AB:$AB, "*, "&amp;H$4&amp;",*",集計用!$G:$G, "*, "&amp;$C12&amp;",*"))/$B12*100</f>
        <v>0</v>
      </c>
      <c r="I12" s="41">
        <f>(COUNTIFS(集計用!$AB:$AB, "*, "&amp;I$4&amp;",*",集計用!$G:$G, "*, "&amp;$C12&amp;",*"))/$B12*100</f>
        <v>5</v>
      </c>
      <c r="J12" s="41">
        <f>(COUNTIFS(集計用!$AB:$AB, "*, "&amp;J$4&amp;",*",集計用!$G:$G, "*, "&amp;$C12&amp;",*"))/$B12*100</f>
        <v>0</v>
      </c>
      <c r="K12" s="41">
        <f>(COUNTIFS(集計用!$AB:$AB, "*, "&amp;K$4&amp;",*",集計用!$G:$G, "*, "&amp;$C12&amp;",*"))/$B12*100</f>
        <v>10</v>
      </c>
      <c r="L12" s="41">
        <f>(COUNTIFS(集計用!$AB:$AB, "*, "&amp;L$4&amp;",*",集計用!$G:$G, "*, "&amp;$C12&amp;",*"))/$B12*100</f>
        <v>10</v>
      </c>
      <c r="M12" s="41">
        <f>(COUNTIFS(集計用!$AB:$AB, "*, "&amp;M$4&amp;",*",集計用!$G:$G, "*, "&amp;$C12&amp;",*"))/$B12*100</f>
        <v>80</v>
      </c>
      <c r="N12" s="56">
        <f>(COUNTIFS(集計用!$G$2:$G$444,"*, "&amp;$C12&amp;",*",集計用!$AB$2:$AB$444,"&lt;&gt;無回答",集計用!$AB$2:$AB$444, "&lt;&gt;*"&amp;M$4&amp;"*"))/B12*100</f>
        <v>20</v>
      </c>
      <c r="R12" s="2"/>
      <c r="S12" s="14"/>
      <c r="U12" s="14"/>
      <c r="V12" s="41"/>
      <c r="W12" s="59"/>
    </row>
    <row r="13" spans="1:26" ht="15.75" customHeight="1">
      <c r="A13" s="39">
        <v>6</v>
      </c>
      <c r="B13" s="39">
        <f>(COUNTIFS(集計用!$G$2:$G$444,"*, "&amp;$C13&amp;",*",集計用!$AB$2:$AB$444,"&lt;&gt;無回答"))</f>
        <v>43</v>
      </c>
      <c r="C13" s="42" t="s">
        <v>13</v>
      </c>
      <c r="D13" s="41">
        <f>(COUNTIFS(集計用!$AB:$AB, "*, "&amp;D$4&amp;",*",集計用!$G:$G, "*, "&amp;$C13&amp;",*"))/$B13*100</f>
        <v>2.3255813953488373</v>
      </c>
      <c r="E13" s="41">
        <f>(COUNTIFS(集計用!$AB:$AB, "*, "&amp;E$4&amp;",*",集計用!$G:$G, "*, "&amp;$C13&amp;",*"))/$B13*100</f>
        <v>2.3255813953488373</v>
      </c>
      <c r="F13" s="41">
        <f>(COUNTIFS(集計用!$AB:$AB, "*, "&amp;F$4&amp;",*",集計用!$G:$G, "*, "&amp;$C13&amp;",*"))/$B13*100</f>
        <v>2.3255813953488373</v>
      </c>
      <c r="G13" s="41">
        <f>(COUNTIFS(集計用!$AB:$AB, "*, "&amp;G$4&amp;",*",集計用!$G:$G, "*, "&amp;$C13&amp;",*"))/$B13*100</f>
        <v>4.6511627906976747</v>
      </c>
      <c r="H13" s="41">
        <f>(COUNTIFS(集計用!$AB:$AB, "*, "&amp;H$4&amp;",*",集計用!$G:$G, "*, "&amp;$C13&amp;",*"))/$B13*100</f>
        <v>4.6511627906976747</v>
      </c>
      <c r="I13" s="41">
        <f>(COUNTIFS(集計用!$AB:$AB, "*, "&amp;I$4&amp;",*",集計用!$G:$G, "*, "&amp;$C13&amp;",*"))/$B13*100</f>
        <v>2.3255813953488373</v>
      </c>
      <c r="J13" s="41">
        <f>(COUNTIFS(集計用!$AB:$AB, "*, "&amp;J$4&amp;",*",集計用!$G:$G, "*, "&amp;$C13&amp;",*"))/$B13*100</f>
        <v>0</v>
      </c>
      <c r="K13" s="41">
        <f>(COUNTIFS(集計用!$AB:$AB, "*, "&amp;K$4&amp;",*",集計用!$G:$G, "*, "&amp;$C13&amp;",*"))/$B13*100</f>
        <v>4.6511627906976747</v>
      </c>
      <c r="L13" s="41">
        <f>(COUNTIFS(集計用!$AB:$AB, "*, "&amp;L$4&amp;",*",集計用!$G:$G, "*, "&amp;$C13&amp;",*"))/$B13*100</f>
        <v>4.6511627906976747</v>
      </c>
      <c r="M13" s="41">
        <f>(COUNTIFS(集計用!$AB:$AB, "*, "&amp;M$4&amp;",*",集計用!$G:$G, "*, "&amp;$C13&amp;",*"))/$B13*100</f>
        <v>90.697674418604649</v>
      </c>
      <c r="N13" s="56">
        <f>(COUNTIFS(集計用!$G$2:$G$444,"*, "&amp;$C13&amp;",*",集計用!$AB$2:$AB$444,"&lt;&gt;無回答",集計用!$AB$2:$AB$444, "&lt;&gt;*"&amp;M$4&amp;"*"))/B13*100</f>
        <v>9.3023255813953494</v>
      </c>
      <c r="R13" s="2"/>
      <c r="S13" s="14"/>
      <c r="U13" s="14"/>
      <c r="V13" s="41"/>
      <c r="W13" s="59"/>
    </row>
    <row r="14" spans="1:26" ht="15.75" customHeight="1">
      <c r="A14" s="39">
        <v>6</v>
      </c>
      <c r="B14" s="39">
        <f>(COUNTIFS(集計用!$G$2:$G$444,"*, "&amp;$C14&amp;",*",集計用!$AB$2:$AB$444,"&lt;&gt;無回答"))</f>
        <v>18</v>
      </c>
      <c r="C14" s="42" t="s">
        <v>26</v>
      </c>
      <c r="D14" s="41">
        <f>(COUNTIFS(集計用!$AB:$AB, "*, "&amp;D$4&amp;",*",集計用!$G:$G, "*, "&amp;$C14&amp;",*"))/$B14*100</f>
        <v>5.5555555555555554</v>
      </c>
      <c r="E14" s="41">
        <f>(COUNTIFS(集計用!$AB:$AB, "*, "&amp;E$4&amp;",*",集計用!$G:$G, "*, "&amp;$C14&amp;",*"))/$B14*100</f>
        <v>0</v>
      </c>
      <c r="F14" s="41">
        <f>(COUNTIFS(集計用!$AB:$AB, "*, "&amp;F$4&amp;",*",集計用!$G:$G, "*, "&amp;$C14&amp;",*"))/$B14*100</f>
        <v>0</v>
      </c>
      <c r="G14" s="41">
        <f>(COUNTIFS(集計用!$AB:$AB, "*, "&amp;G$4&amp;",*",集計用!$G:$G, "*, "&amp;$C14&amp;",*"))/$B14*100</f>
        <v>0</v>
      </c>
      <c r="H14" s="41">
        <f>(COUNTIFS(集計用!$AB:$AB, "*, "&amp;H$4&amp;",*",集計用!$G:$G, "*, "&amp;$C14&amp;",*"))/$B14*100</f>
        <v>5.5555555555555554</v>
      </c>
      <c r="I14" s="41">
        <f>(COUNTIFS(集計用!$AB:$AB, "*, "&amp;I$4&amp;",*",集計用!$G:$G, "*, "&amp;$C14&amp;",*"))/$B14*100</f>
        <v>0</v>
      </c>
      <c r="J14" s="41">
        <f>(COUNTIFS(集計用!$AB:$AB, "*, "&amp;J$4&amp;",*",集計用!$G:$G, "*, "&amp;$C14&amp;",*"))/$B14*100</f>
        <v>0</v>
      </c>
      <c r="K14" s="41">
        <f>(COUNTIFS(集計用!$AB:$AB, "*, "&amp;K$4&amp;",*",集計用!$G:$G, "*, "&amp;$C14&amp;",*"))/$B14*100</f>
        <v>0</v>
      </c>
      <c r="L14" s="41">
        <f>(COUNTIFS(集計用!$AB:$AB, "*, "&amp;L$4&amp;",*",集計用!$G:$G, "*, "&amp;$C14&amp;",*"))/$B14*100</f>
        <v>0</v>
      </c>
      <c r="M14" s="41">
        <f>(COUNTIFS(集計用!$AB:$AB, "*, "&amp;M$4&amp;",*",集計用!$G:$G, "*, "&amp;$C14&amp;",*"))/$B14*100</f>
        <v>94.444444444444443</v>
      </c>
      <c r="N14" s="56">
        <f>(COUNTIFS(集計用!$G$2:$G$444,"*, "&amp;$C14&amp;",*",集計用!$AB$2:$AB$444,"&lt;&gt;無回答",集計用!$AB$2:$AB$444, "&lt;&gt;*"&amp;M$4&amp;"*"))/B14*100</f>
        <v>5.5555555555555554</v>
      </c>
      <c r="R14" s="2"/>
      <c r="S14" s="14"/>
      <c r="U14" s="14"/>
      <c r="V14" s="41"/>
      <c r="W14" s="59"/>
    </row>
    <row r="15" spans="1:26" ht="15.75" customHeight="1">
      <c r="A15" s="39">
        <v>5</v>
      </c>
      <c r="B15" s="39">
        <f>(COUNTIFS(集計用!$G$2:$G$444,"*, "&amp;$C15&amp;",*",集計用!$AB$2:$AB$444,"&lt;&gt;無回答"))</f>
        <v>13</v>
      </c>
      <c r="C15" s="42" t="s">
        <v>35</v>
      </c>
      <c r="D15" s="41">
        <f>(COUNTIFS(集計用!$AB:$AB, "*, "&amp;D$4&amp;",*",集計用!$G:$G, "*, "&amp;$C15&amp;",*"))/$B15*100</f>
        <v>0</v>
      </c>
      <c r="E15" s="41">
        <f>(COUNTIFS(集計用!$AB:$AB, "*, "&amp;E$4&amp;",*",集計用!$G:$G, "*, "&amp;$C15&amp;",*"))/$B15*100</f>
        <v>0</v>
      </c>
      <c r="F15" s="41">
        <f>(COUNTIFS(集計用!$AB:$AB, "*, "&amp;F$4&amp;",*",集計用!$G:$G, "*, "&amp;$C15&amp;",*"))/$B15*100</f>
        <v>61.53846153846154</v>
      </c>
      <c r="G15" s="41">
        <f>(COUNTIFS(集計用!$AB:$AB, "*, "&amp;G$4&amp;",*",集計用!$G:$G, "*, "&amp;$C15&amp;",*"))/$B15*100</f>
        <v>30.76923076923077</v>
      </c>
      <c r="H15" s="41">
        <f>(COUNTIFS(集計用!$AB:$AB, "*, "&amp;H$4&amp;",*",集計用!$G:$G, "*, "&amp;$C15&amp;",*"))/$B15*100</f>
        <v>15.384615384615385</v>
      </c>
      <c r="I15" s="41">
        <f>(COUNTIFS(集計用!$AB:$AB, "*, "&amp;I$4&amp;",*",集計用!$G:$G, "*, "&amp;$C15&amp;",*"))/$B15*100</f>
        <v>15.384615384615385</v>
      </c>
      <c r="J15" s="41">
        <f>(COUNTIFS(集計用!$AB:$AB, "*, "&amp;J$4&amp;",*",集計用!$G:$G, "*, "&amp;$C15&amp;",*"))/$B15*100</f>
        <v>7.6923076923076925</v>
      </c>
      <c r="K15" s="41">
        <f>(COUNTIFS(集計用!$AB:$AB, "*, "&amp;K$4&amp;",*",集計用!$G:$G, "*, "&amp;$C15&amp;",*"))/$B15*100</f>
        <v>76.923076923076934</v>
      </c>
      <c r="L15" s="41">
        <f>(COUNTIFS(集計用!$AB:$AB, "*, "&amp;L$4&amp;",*",集計用!$G:$G, "*, "&amp;$C15&amp;",*"))/$B15*100</f>
        <v>46.153846153846153</v>
      </c>
      <c r="M15" s="41">
        <f>(COUNTIFS(集計用!$AB:$AB, "*, "&amp;M$4&amp;",*",集計用!$G:$G, "*, "&amp;$C15&amp;",*"))/$B15*100</f>
        <v>15.384615384615385</v>
      </c>
      <c r="N15" s="56">
        <f>(COUNTIFS(集計用!$G$2:$G$444,"*, "&amp;$C15&amp;",*",集計用!$AB$2:$AB$444,"&lt;&gt;無回答",集計用!$AB$2:$AB$444, "&lt;&gt;*"&amp;M$4&amp;"*"))/B15*100</f>
        <v>84.615384615384613</v>
      </c>
      <c r="R15" s="2"/>
      <c r="S15" s="14"/>
      <c r="U15" s="14"/>
      <c r="V15" s="41"/>
      <c r="W15" s="59"/>
    </row>
    <row r="16" spans="1:26" ht="15.75" customHeight="1">
      <c r="A16" s="39">
        <v>5</v>
      </c>
      <c r="B16" s="39">
        <f>(COUNTIFS(集計用!$G$2:$G$444,"*, "&amp;$C16&amp;",*",集計用!$AB$2:$AB$444,"&lt;&gt;無回答"))</f>
        <v>7</v>
      </c>
      <c r="C16" s="42" t="s">
        <v>46</v>
      </c>
      <c r="D16" s="41">
        <f>(COUNTIFS(集計用!$AB:$AB, "*, "&amp;D$4&amp;",*",集計用!$G:$G, "*, "&amp;$C16&amp;",*"))/$B16*100</f>
        <v>14.285714285714285</v>
      </c>
      <c r="E16" s="41">
        <f>(COUNTIFS(集計用!$AB:$AB, "*, "&amp;E$4&amp;",*",集計用!$G:$G, "*, "&amp;$C16&amp;",*"))/$B16*100</f>
        <v>14.285714285714285</v>
      </c>
      <c r="F16" s="41">
        <f>(COUNTIFS(集計用!$AB:$AB, "*, "&amp;F$4&amp;",*",集計用!$G:$G, "*, "&amp;$C16&amp;",*"))/$B16*100</f>
        <v>14.285714285714285</v>
      </c>
      <c r="G16" s="41">
        <f>(COUNTIFS(集計用!$AB:$AB, "*, "&amp;G$4&amp;",*",集計用!$G:$G, "*, "&amp;$C16&amp;",*"))/$B16*100</f>
        <v>57.142857142857139</v>
      </c>
      <c r="H16" s="41">
        <f>(COUNTIFS(集計用!$AB:$AB, "*, "&amp;H$4&amp;",*",集計用!$G:$G, "*, "&amp;$C16&amp;",*"))/$B16*100</f>
        <v>14.285714285714285</v>
      </c>
      <c r="I16" s="41">
        <f>(COUNTIFS(集計用!$AB:$AB, "*, "&amp;I$4&amp;",*",集計用!$G:$G, "*, "&amp;$C16&amp;",*"))/$B16*100</f>
        <v>14.285714285714285</v>
      </c>
      <c r="J16" s="41">
        <f>(COUNTIFS(集計用!$AB:$AB, "*, "&amp;J$4&amp;",*",集計用!$G:$G, "*, "&amp;$C16&amp;",*"))/$B16*100</f>
        <v>0</v>
      </c>
      <c r="K16" s="41">
        <f>(COUNTIFS(集計用!$AB:$AB, "*, "&amp;K$4&amp;",*",集計用!$G:$G, "*, "&amp;$C16&amp;",*"))/$B16*100</f>
        <v>57.142857142857139</v>
      </c>
      <c r="L16" s="41">
        <f>(COUNTIFS(集計用!$AB:$AB, "*, "&amp;L$4&amp;",*",集計用!$G:$G, "*, "&amp;$C16&amp;",*"))/$B16*100</f>
        <v>42.857142857142854</v>
      </c>
      <c r="M16" s="41">
        <f>(COUNTIFS(集計用!$AB:$AB, "*, "&amp;M$4&amp;",*",集計用!$G:$G, "*, "&amp;$C16&amp;",*"))/$B16*100</f>
        <v>28.571428571428569</v>
      </c>
      <c r="N16" s="56">
        <f>(COUNTIFS(集計用!$G$2:$G$444,"*, "&amp;$C16&amp;",*",集計用!$AB$2:$AB$444,"&lt;&gt;無回答",集計用!$AB$2:$AB$444, "&lt;&gt;*"&amp;M$4&amp;"*"))/B16*100</f>
        <v>71.428571428571431</v>
      </c>
      <c r="R16" s="2"/>
      <c r="S16" s="14"/>
      <c r="U16" s="14"/>
      <c r="V16" s="41"/>
      <c r="W16" s="59"/>
    </row>
    <row r="17" spans="1:23" ht="15.75" customHeight="1">
      <c r="A17" s="39">
        <v>5</v>
      </c>
      <c r="B17" s="39">
        <f>(COUNTIFS(集計用!$G$2:$G$444,"*, "&amp;$C17&amp;",*",集計用!$AB$2:$AB$444,"&lt;&gt;無回答"))</f>
        <v>13</v>
      </c>
      <c r="C17" s="42" t="s">
        <v>34</v>
      </c>
      <c r="D17" s="41">
        <f>(COUNTIFS(集計用!$AB:$AB, "*, "&amp;D$4&amp;",*",集計用!$G:$G, "*, "&amp;$C17&amp;",*"))/$B17*100</f>
        <v>7.6923076923076925</v>
      </c>
      <c r="E17" s="41">
        <f>(COUNTIFS(集計用!$AB:$AB, "*, "&amp;E$4&amp;",*",集計用!$G:$G, "*, "&amp;$C17&amp;",*"))/$B17*100</f>
        <v>7.6923076923076925</v>
      </c>
      <c r="F17" s="41">
        <f>(COUNTIFS(集計用!$AB:$AB, "*, "&amp;F$4&amp;",*",集計用!$G:$G, "*, "&amp;$C17&amp;",*"))/$B17*100</f>
        <v>38.461538461538467</v>
      </c>
      <c r="G17" s="41">
        <f>(COUNTIFS(集計用!$AB:$AB, "*, "&amp;G$4&amp;",*",集計用!$G:$G, "*, "&amp;$C17&amp;",*"))/$B17*100</f>
        <v>46.153846153846153</v>
      </c>
      <c r="H17" s="41">
        <f>(COUNTIFS(集計用!$AB:$AB, "*, "&amp;H$4&amp;",*",集計用!$G:$G, "*, "&amp;$C17&amp;",*"))/$B17*100</f>
        <v>15.384615384615385</v>
      </c>
      <c r="I17" s="41">
        <f>(COUNTIFS(集計用!$AB:$AB, "*, "&amp;I$4&amp;",*",集計用!$G:$G, "*, "&amp;$C17&amp;",*"))/$B17*100</f>
        <v>15.384615384615385</v>
      </c>
      <c r="J17" s="41">
        <f>(COUNTIFS(集計用!$AB:$AB, "*, "&amp;J$4&amp;",*",集計用!$G:$G, "*, "&amp;$C17&amp;",*"))/$B17*100</f>
        <v>0</v>
      </c>
      <c r="K17" s="41">
        <f>(COUNTIFS(集計用!$AB:$AB, "*, "&amp;K$4&amp;",*",集計用!$G:$G, "*, "&amp;$C17&amp;",*"))/$B17*100</f>
        <v>61.53846153846154</v>
      </c>
      <c r="L17" s="41">
        <f>(COUNTIFS(集計用!$AB:$AB, "*, "&amp;L$4&amp;",*",集計用!$G:$G, "*, "&amp;$C17&amp;",*"))/$B17*100</f>
        <v>61.53846153846154</v>
      </c>
      <c r="M17" s="41">
        <f>(COUNTIFS(集計用!$AB:$AB, "*, "&amp;M$4&amp;",*",集計用!$G:$G, "*, "&amp;$C17&amp;",*"))/$B17*100</f>
        <v>30.76923076923077</v>
      </c>
      <c r="N17" s="56">
        <f>(COUNTIFS(集計用!$G$2:$G$444,"*, "&amp;$C17&amp;",*",集計用!$AB$2:$AB$444,"&lt;&gt;無回答",集計用!$AB$2:$AB$444, "&lt;&gt;*"&amp;M$4&amp;"*"))/B17*100</f>
        <v>69.230769230769226</v>
      </c>
      <c r="R17" s="2"/>
      <c r="S17" s="14"/>
      <c r="U17" s="14"/>
      <c r="V17" s="41"/>
      <c r="W17" s="59"/>
    </row>
    <row r="18" spans="1:23" ht="15.75" customHeight="1">
      <c r="A18" s="39">
        <v>5</v>
      </c>
      <c r="B18" s="39">
        <f>(COUNTIFS(集計用!$G$2:$G$444,"*, "&amp;$C18&amp;",*",集計用!$AB$2:$AB$444,"&lt;&gt;無回答"))</f>
        <v>17</v>
      </c>
      <c r="C18" s="42" t="s">
        <v>28</v>
      </c>
      <c r="D18" s="41">
        <f>(COUNTIFS(集計用!$AB:$AB, "*, "&amp;D$4&amp;",*",集計用!$G:$G, "*, "&amp;$C18&amp;",*"))/$B18*100</f>
        <v>0</v>
      </c>
      <c r="E18" s="41">
        <f>(COUNTIFS(集計用!$AB:$AB, "*, "&amp;E$4&amp;",*",集計用!$G:$G, "*, "&amp;$C18&amp;",*"))/$B18*100</f>
        <v>29.411764705882355</v>
      </c>
      <c r="F18" s="41">
        <f>(COUNTIFS(集計用!$AB:$AB, "*, "&amp;F$4&amp;",*",集計用!$G:$G, "*, "&amp;$C18&amp;",*"))/$B18*100</f>
        <v>0</v>
      </c>
      <c r="G18" s="41">
        <f>(COUNTIFS(集計用!$AB:$AB, "*, "&amp;G$4&amp;",*",集計用!$G:$G, "*, "&amp;$C18&amp;",*"))/$B18*100</f>
        <v>41.17647058823529</v>
      </c>
      <c r="H18" s="41">
        <f>(COUNTIFS(集計用!$AB:$AB, "*, "&amp;H$4&amp;",*",集計用!$G:$G, "*, "&amp;$C18&amp;",*"))/$B18*100</f>
        <v>0</v>
      </c>
      <c r="I18" s="41">
        <f>(COUNTIFS(集計用!$AB:$AB, "*, "&amp;I$4&amp;",*",集計用!$G:$G, "*, "&amp;$C18&amp;",*"))/$B18*100</f>
        <v>0</v>
      </c>
      <c r="J18" s="41">
        <f>(COUNTIFS(集計用!$AB:$AB, "*, "&amp;J$4&amp;",*",集計用!$G:$G, "*, "&amp;$C18&amp;",*"))/$B18*100</f>
        <v>0</v>
      </c>
      <c r="K18" s="41">
        <f>(COUNTIFS(集計用!$AB:$AB, "*, "&amp;K$4&amp;",*",集計用!$G:$G, "*, "&amp;$C18&amp;",*"))/$B18*100</f>
        <v>47.058823529411761</v>
      </c>
      <c r="L18" s="41">
        <f>(COUNTIFS(集計用!$AB:$AB, "*, "&amp;L$4&amp;",*",集計用!$G:$G, "*, "&amp;$C18&amp;",*"))/$B18*100</f>
        <v>58.82352941176471</v>
      </c>
      <c r="M18" s="41">
        <f>(COUNTIFS(集計用!$AB:$AB, "*, "&amp;M$4&amp;",*",集計用!$G:$G, "*, "&amp;$C18&amp;",*"))/$B18*100</f>
        <v>35.294117647058826</v>
      </c>
      <c r="N18" s="56">
        <f>(COUNTIFS(集計用!$G$2:$G$444,"*, "&amp;$C18&amp;",*",集計用!$AB$2:$AB$444,"&lt;&gt;無回答",集計用!$AB$2:$AB$444, "&lt;&gt;*"&amp;M$4&amp;"*"))/B18*100</f>
        <v>64.705882352941174</v>
      </c>
      <c r="R18" s="2"/>
      <c r="S18" s="14"/>
      <c r="U18" s="14"/>
      <c r="V18" s="41"/>
      <c r="W18" s="59"/>
    </row>
    <row r="19" spans="1:23" ht="15.75" customHeight="1">
      <c r="A19" s="39">
        <v>5</v>
      </c>
      <c r="B19" s="39">
        <f>(COUNTIFS(集計用!$G$2:$G$444,"*, "&amp;$C19&amp;",*",集計用!$AB$2:$AB$444,"&lt;&gt;無回答"))</f>
        <v>36</v>
      </c>
      <c r="C19" s="42" t="s">
        <v>17</v>
      </c>
      <c r="D19" s="41">
        <f>(COUNTIFS(集計用!$AB:$AB, "*, "&amp;D$4&amp;",*",集計用!$G:$G, "*, "&amp;$C19&amp;",*"))/$B19*100</f>
        <v>5.5555555555555554</v>
      </c>
      <c r="E19" s="41">
        <f>(COUNTIFS(集計用!$AB:$AB, "*, "&amp;E$4&amp;",*",集計用!$G:$G, "*, "&amp;$C19&amp;",*"))/$B19*100</f>
        <v>11.111111111111111</v>
      </c>
      <c r="F19" s="41">
        <f>(COUNTIFS(集計用!$AB:$AB, "*, "&amp;F$4&amp;",*",集計用!$G:$G, "*, "&amp;$C19&amp;",*"))/$B19*100</f>
        <v>19.444444444444446</v>
      </c>
      <c r="G19" s="41">
        <f>(COUNTIFS(集計用!$AB:$AB, "*, "&amp;G$4&amp;",*",集計用!$G:$G, "*, "&amp;$C19&amp;",*"))/$B19*100</f>
        <v>33.333333333333329</v>
      </c>
      <c r="H19" s="41">
        <f>(COUNTIFS(集計用!$AB:$AB, "*, "&amp;H$4&amp;",*",集計用!$G:$G, "*, "&amp;$C19&amp;",*"))/$B19*100</f>
        <v>11.111111111111111</v>
      </c>
      <c r="I19" s="41">
        <f>(COUNTIFS(集計用!$AB:$AB, "*, "&amp;I$4&amp;",*",集計用!$G:$G, "*, "&amp;$C19&amp;",*"))/$B19*100</f>
        <v>19.444444444444446</v>
      </c>
      <c r="J19" s="41">
        <f>(COUNTIFS(集計用!$AB:$AB, "*, "&amp;J$4&amp;",*",集計用!$G:$G, "*, "&amp;$C19&amp;",*"))/$B19*100</f>
        <v>0</v>
      </c>
      <c r="K19" s="41">
        <f>(COUNTIFS(集計用!$AB:$AB, "*, "&amp;K$4&amp;",*",集計用!$G:$G, "*, "&amp;$C19&amp;",*"))/$B19*100</f>
        <v>47.222222222222221</v>
      </c>
      <c r="L19" s="41">
        <f>(COUNTIFS(集計用!$AB:$AB, "*, "&amp;L$4&amp;",*",集計用!$G:$G, "*, "&amp;$C19&amp;",*"))/$B19*100</f>
        <v>47.222222222222221</v>
      </c>
      <c r="M19" s="41">
        <f>(COUNTIFS(集計用!$AB:$AB, "*, "&amp;M$4&amp;",*",集計用!$G:$G, "*, "&amp;$C19&amp;",*"))/$B19*100</f>
        <v>41.666666666666671</v>
      </c>
      <c r="N19" s="56">
        <f>(COUNTIFS(集計用!$G$2:$G$444,"*, "&amp;$C19&amp;",*",集計用!$AB$2:$AB$444,"&lt;&gt;無回答",集計用!$AB$2:$AB$444, "&lt;&gt;*"&amp;M$4&amp;"*"))/B19*100</f>
        <v>58.333333333333336</v>
      </c>
      <c r="R19" s="2"/>
      <c r="S19" s="14"/>
      <c r="U19" s="14"/>
      <c r="V19" s="41"/>
      <c r="W19" s="59"/>
    </row>
    <row r="20" spans="1:23" ht="15.75" customHeight="1">
      <c r="A20" s="39">
        <v>5</v>
      </c>
      <c r="B20" s="39">
        <f>(COUNTIFS(集計用!$G$2:$G$444,"*, "&amp;$C20&amp;",*",集計用!$AB$2:$AB$444,"&lt;&gt;無回答"))</f>
        <v>43</v>
      </c>
      <c r="C20" s="42" t="s">
        <v>16</v>
      </c>
      <c r="D20" s="41">
        <f>(COUNTIFS(集計用!$AB:$AB, "*, "&amp;D$4&amp;",*",集計用!$G:$G, "*, "&amp;$C20&amp;",*"))/$B20*100</f>
        <v>2.3255813953488373</v>
      </c>
      <c r="E20" s="41">
        <f>(COUNTIFS(集計用!$AB:$AB, "*, "&amp;E$4&amp;",*",集計用!$G:$G, "*, "&amp;$C20&amp;",*"))/$B20*100</f>
        <v>13.953488372093023</v>
      </c>
      <c r="F20" s="41">
        <f>(COUNTIFS(集計用!$AB:$AB, "*, "&amp;F$4&amp;",*",集計用!$G:$G, "*, "&amp;$C20&amp;",*"))/$B20*100</f>
        <v>6.9767441860465116</v>
      </c>
      <c r="G20" s="41">
        <f>(COUNTIFS(集計用!$AB:$AB, "*, "&amp;G$4&amp;",*",集計用!$G:$G, "*, "&amp;$C20&amp;",*"))/$B20*100</f>
        <v>30.232558139534881</v>
      </c>
      <c r="H20" s="41">
        <f>(COUNTIFS(集計用!$AB:$AB, "*, "&amp;H$4&amp;",*",集計用!$G:$G, "*, "&amp;$C20&amp;",*"))/$B20*100</f>
        <v>6.9767441860465116</v>
      </c>
      <c r="I20" s="41">
        <f>(COUNTIFS(集計用!$AB:$AB, "*, "&amp;I$4&amp;",*",集計用!$G:$G, "*, "&amp;$C20&amp;",*"))/$B20*100</f>
        <v>13.953488372093023</v>
      </c>
      <c r="J20" s="41">
        <f>(COUNTIFS(集計用!$AB:$AB, "*, "&amp;J$4&amp;",*",集計用!$G:$G, "*, "&amp;$C20&amp;",*"))/$B20*100</f>
        <v>0</v>
      </c>
      <c r="K20" s="41">
        <f>(COUNTIFS(集計用!$AB:$AB, "*, "&amp;K$4&amp;",*",集計用!$G:$G, "*, "&amp;$C20&amp;",*"))/$B20*100</f>
        <v>41.860465116279073</v>
      </c>
      <c r="L20" s="41">
        <f>(COUNTIFS(集計用!$AB:$AB, "*, "&amp;L$4&amp;",*",集計用!$G:$G, "*, "&amp;$C20&amp;",*"))/$B20*100</f>
        <v>39.534883720930232</v>
      </c>
      <c r="M20" s="41">
        <f>(COUNTIFS(集計用!$AB:$AB, "*, "&amp;M$4&amp;",*",集計用!$G:$G, "*, "&amp;$C20&amp;",*"))/$B20*100</f>
        <v>46.511627906976742</v>
      </c>
      <c r="N20" s="56">
        <f>(COUNTIFS(集計用!$G$2:$G$444,"*, "&amp;$C20&amp;",*",集計用!$AB$2:$AB$444,"&lt;&gt;無回答",集計用!$AB$2:$AB$444, "&lt;&gt;*"&amp;M$4&amp;"*"))/B20*100</f>
        <v>53.488372093023251</v>
      </c>
      <c r="Q20"/>
      <c r="R20"/>
      <c r="T20"/>
      <c r="V20" s="39"/>
    </row>
    <row r="21" spans="1:23" ht="15.75" customHeight="1">
      <c r="A21" s="39">
        <v>5</v>
      </c>
      <c r="B21" s="39">
        <f>(COUNTIFS(集計用!$G$2:$G$444,"*, "&amp;$C21&amp;",*",集計用!$AB$2:$AB$444,"&lt;&gt;無回答"))</f>
        <v>55</v>
      </c>
      <c r="C21" s="42" t="s">
        <v>10</v>
      </c>
      <c r="D21" s="41">
        <f>(COUNTIFS(集計用!$AB:$AB, "*, "&amp;D$4&amp;",*",集計用!$G:$G, "*, "&amp;$C21&amp;",*"))/$B21*100</f>
        <v>1.8181818181818181</v>
      </c>
      <c r="E21" s="41">
        <f>(COUNTIFS(集計用!$AB:$AB, "*, "&amp;E$4&amp;",*",集計用!$G:$G, "*, "&amp;$C21&amp;",*"))/$B21*100</f>
        <v>12.727272727272727</v>
      </c>
      <c r="F21" s="41">
        <f>(COUNTIFS(集計用!$AB:$AB, "*, "&amp;F$4&amp;",*",集計用!$G:$G, "*, "&amp;$C21&amp;",*"))/$B21*100</f>
        <v>12.727272727272727</v>
      </c>
      <c r="G21" s="41">
        <f>(COUNTIFS(集計用!$AB:$AB, "*, "&amp;G$4&amp;",*",集計用!$G:$G, "*, "&amp;$C21&amp;",*"))/$B21*100</f>
        <v>21.818181818181817</v>
      </c>
      <c r="H21" s="41">
        <f>(COUNTIFS(集計用!$AB:$AB, "*, "&amp;H$4&amp;",*",集計用!$G:$G, "*, "&amp;$C21&amp;",*"))/$B21*100</f>
        <v>7.2727272727272725</v>
      </c>
      <c r="I21" s="41">
        <f>(COUNTIFS(集計用!$AB:$AB, "*, "&amp;I$4&amp;",*",集計用!$G:$G, "*, "&amp;$C21&amp;",*"))/$B21*100</f>
        <v>12.727272727272727</v>
      </c>
      <c r="J21" s="41">
        <f>(COUNTIFS(集計用!$AB:$AB, "*, "&amp;J$4&amp;",*",集計用!$G:$G, "*, "&amp;$C21&amp;",*"))/$B21*100</f>
        <v>0</v>
      </c>
      <c r="K21" s="41">
        <f>(COUNTIFS(集計用!$AB:$AB, "*, "&amp;K$4&amp;",*",集計用!$G:$G, "*, "&amp;$C21&amp;",*"))/$B21*100</f>
        <v>36.363636363636367</v>
      </c>
      <c r="L21" s="41">
        <f>(COUNTIFS(集計用!$AB:$AB, "*, "&amp;L$4&amp;",*",集計用!$G:$G, "*, "&amp;$C21&amp;",*"))/$B21*100</f>
        <v>38.181818181818187</v>
      </c>
      <c r="M21" s="41">
        <f>(COUNTIFS(集計用!$AB:$AB, "*, "&amp;M$4&amp;",*",集計用!$G:$G, "*, "&amp;$C21&amp;",*"))/$B21*100</f>
        <v>49.090909090909093</v>
      </c>
      <c r="N21" s="56">
        <f>(COUNTIFS(集計用!$G$2:$G$444,"*, "&amp;$C21&amp;",*",集計用!$AB$2:$AB$444,"&lt;&gt;無回答",集計用!$AB$2:$AB$444, "&lt;&gt;*"&amp;M$4&amp;"*"))/B21*100</f>
        <v>50.909090909090907</v>
      </c>
      <c r="Q21"/>
      <c r="R21"/>
      <c r="T21"/>
      <c r="V21" s="39"/>
    </row>
    <row r="22" spans="1:23" ht="15.75" customHeight="1">
      <c r="A22" s="39">
        <v>5</v>
      </c>
      <c r="B22" s="39">
        <f>(COUNTIFS(集計用!$G$2:$G$444,"*, "&amp;$C22&amp;",*",集計用!$AB$2:$AB$444,"&lt;&gt;無回答"))</f>
        <v>11</v>
      </c>
      <c r="C22" s="42" t="s">
        <v>39</v>
      </c>
      <c r="D22" s="41">
        <f>(COUNTIFS(集計用!$AB:$AB, "*, "&amp;D$4&amp;",*",集計用!$G:$G, "*, "&amp;$C22&amp;",*"))/$B22*100</f>
        <v>0</v>
      </c>
      <c r="E22" s="41">
        <f>(COUNTIFS(集計用!$AB:$AB, "*, "&amp;E$4&amp;",*",集計用!$G:$G, "*, "&amp;$C22&amp;",*"))/$B22*100</f>
        <v>0</v>
      </c>
      <c r="F22" s="41">
        <f>(COUNTIFS(集計用!$AB:$AB, "*, "&amp;F$4&amp;",*",集計用!$G:$G, "*, "&amp;$C22&amp;",*"))/$B22*100</f>
        <v>27.27272727272727</v>
      </c>
      <c r="G22" s="41">
        <f>(COUNTIFS(集計用!$AB:$AB, "*, "&amp;G$4&amp;",*",集計用!$G:$G, "*, "&amp;$C22&amp;",*"))/$B22*100</f>
        <v>27.27272727272727</v>
      </c>
      <c r="H22" s="41">
        <f>(COUNTIFS(集計用!$AB:$AB, "*, "&amp;H$4&amp;",*",集計用!$G:$G, "*, "&amp;$C22&amp;",*"))/$B22*100</f>
        <v>18.181818181818183</v>
      </c>
      <c r="I22" s="41">
        <f>(COUNTIFS(集計用!$AB:$AB, "*, "&amp;I$4&amp;",*",集計用!$G:$G, "*, "&amp;$C22&amp;",*"))/$B22*100</f>
        <v>18.181818181818183</v>
      </c>
      <c r="J22" s="41">
        <f>(COUNTIFS(集計用!$AB:$AB, "*, "&amp;J$4&amp;",*",集計用!$G:$G, "*, "&amp;$C22&amp;",*"))/$B22*100</f>
        <v>0</v>
      </c>
      <c r="K22" s="41">
        <f>(COUNTIFS(集計用!$AB:$AB, "*, "&amp;K$4&amp;",*",集計用!$G:$G, "*, "&amp;$C22&amp;",*"))/$B22*100</f>
        <v>45.454545454545453</v>
      </c>
      <c r="L22" s="41">
        <f>(COUNTIFS(集計用!$AB:$AB, "*, "&amp;L$4&amp;",*",集計用!$G:$G, "*, "&amp;$C22&amp;",*"))/$B22*100</f>
        <v>36.363636363636367</v>
      </c>
      <c r="M22" s="41">
        <f>(COUNTIFS(集計用!$AB:$AB, "*, "&amp;M$4&amp;",*",集計用!$G:$G, "*, "&amp;$C22&amp;",*"))/$B22*100</f>
        <v>54.54545454545454</v>
      </c>
      <c r="N22" s="56">
        <f>(COUNTIFS(集計用!$G$2:$G$444,"*, "&amp;$C22&amp;",*",集計用!$AB$2:$AB$444,"&lt;&gt;無回答",集計用!$AB$2:$AB$444, "&lt;&gt;*"&amp;M$4&amp;"*"))/B22*100</f>
        <v>45.454545454545453</v>
      </c>
      <c r="Q22"/>
      <c r="R22"/>
      <c r="T22"/>
      <c r="V22" s="39"/>
    </row>
    <row r="23" spans="1:23" ht="15.75" customHeight="1">
      <c r="A23" s="39">
        <v>5</v>
      </c>
      <c r="B23" s="39">
        <f>(COUNTIFS(集計用!$G$2:$G$444,"*, "&amp;$C23&amp;",*",集計用!$AB$2:$AB$444,"&lt;&gt;無回答"))</f>
        <v>7</v>
      </c>
      <c r="C23" s="42" t="s">
        <v>45</v>
      </c>
      <c r="D23" s="41">
        <f>(COUNTIFS(集計用!$AB:$AB, "*, "&amp;D$4&amp;",*",集計用!$G:$G, "*, "&amp;$C23&amp;",*"))/$B23*100</f>
        <v>14.285714285714285</v>
      </c>
      <c r="E23" s="41">
        <f>(COUNTIFS(集計用!$AB:$AB, "*, "&amp;E$4&amp;",*",集計用!$G:$G, "*, "&amp;$C23&amp;",*"))/$B23*100</f>
        <v>28.571428571428569</v>
      </c>
      <c r="F23" s="41">
        <f>(COUNTIFS(集計用!$AB:$AB, "*, "&amp;F$4&amp;",*",集計用!$G:$G, "*, "&amp;$C23&amp;",*"))/$B23*100</f>
        <v>0</v>
      </c>
      <c r="G23" s="41">
        <f>(COUNTIFS(集計用!$AB:$AB, "*, "&amp;G$4&amp;",*",集計用!$G:$G, "*, "&amp;$C23&amp;",*"))/$B23*100</f>
        <v>0</v>
      </c>
      <c r="H23" s="41">
        <f>(COUNTIFS(集計用!$AB:$AB, "*, "&amp;H$4&amp;",*",集計用!$G:$G, "*, "&amp;$C23&amp;",*"))/$B23*100</f>
        <v>0</v>
      </c>
      <c r="I23" s="41">
        <f>(COUNTIFS(集計用!$AB:$AB, "*, "&amp;I$4&amp;",*",集計用!$G:$G, "*, "&amp;$C23&amp;",*"))/$B23*100</f>
        <v>0</v>
      </c>
      <c r="J23" s="41">
        <f>(COUNTIFS(集計用!$AB:$AB, "*, "&amp;J$4&amp;",*",集計用!$G:$G, "*, "&amp;$C23&amp;",*"))/$B23*100</f>
        <v>0</v>
      </c>
      <c r="K23" s="41">
        <f>(COUNTIFS(集計用!$AB:$AB, "*, "&amp;K$4&amp;",*",集計用!$G:$G, "*, "&amp;$C23&amp;",*"))/$B23*100</f>
        <v>0</v>
      </c>
      <c r="L23" s="41">
        <f>(COUNTIFS(集計用!$AB:$AB, "*, "&amp;L$4&amp;",*",集計用!$G:$G, "*, "&amp;$C23&amp;",*"))/$B23*100</f>
        <v>28.571428571428569</v>
      </c>
      <c r="M23" s="41">
        <f>(COUNTIFS(集計用!$AB:$AB, "*, "&amp;M$4&amp;",*",集計用!$G:$G, "*, "&amp;$C23&amp;",*"))/$B23*100</f>
        <v>57.142857142857139</v>
      </c>
      <c r="N23" s="56">
        <f>(COUNTIFS(集計用!$G$2:$G$444,"*, "&amp;$C23&amp;",*",集計用!$AB$2:$AB$444,"&lt;&gt;無回答",集計用!$AB$2:$AB$444, "&lt;&gt;*"&amp;M$4&amp;"*"))/B23*100</f>
        <v>42.857142857142854</v>
      </c>
      <c r="Q23"/>
      <c r="R23"/>
      <c r="T23"/>
      <c r="V23" s="39"/>
    </row>
    <row r="24" spans="1:23" ht="15.75" customHeight="1">
      <c r="A24" s="39">
        <v>5</v>
      </c>
      <c r="B24" s="39">
        <f>(COUNTIFS(集計用!$G$2:$G$444,"*, "&amp;$C24&amp;",*",集計用!$AB$2:$AB$444,"&lt;&gt;無回答"))</f>
        <v>10</v>
      </c>
      <c r="C24" s="42" t="s">
        <v>38</v>
      </c>
      <c r="D24" s="41">
        <f>(COUNTIFS(集計用!$AB:$AB, "*, "&amp;D$4&amp;",*",集計用!$G:$G, "*, "&amp;$C24&amp;",*"))/$B24*100</f>
        <v>10</v>
      </c>
      <c r="E24" s="41">
        <f>(COUNTIFS(集計用!$AB:$AB, "*, "&amp;E$4&amp;",*",集計用!$G:$G, "*, "&amp;$C24&amp;",*"))/$B24*100</f>
        <v>20</v>
      </c>
      <c r="F24" s="41">
        <f>(COUNTIFS(集計用!$AB:$AB, "*, "&amp;F$4&amp;",*",集計用!$G:$G, "*, "&amp;$C24&amp;",*"))/$B24*100</f>
        <v>0</v>
      </c>
      <c r="G24" s="41">
        <f>(COUNTIFS(集計用!$AB:$AB, "*, "&amp;G$4&amp;",*",集計用!$G:$G, "*, "&amp;$C24&amp;",*"))/$B24*100</f>
        <v>10</v>
      </c>
      <c r="H24" s="41">
        <f>(COUNTIFS(集計用!$AB:$AB, "*, "&amp;H$4&amp;",*",集計用!$G:$G, "*, "&amp;$C24&amp;",*"))/$B24*100</f>
        <v>0</v>
      </c>
      <c r="I24" s="41">
        <f>(COUNTIFS(集計用!$AB:$AB, "*, "&amp;I$4&amp;",*",集計用!$G:$G, "*, "&amp;$C24&amp;",*"))/$B24*100</f>
        <v>0</v>
      </c>
      <c r="J24" s="41">
        <f>(COUNTIFS(集計用!$AB:$AB, "*, "&amp;J$4&amp;",*",集計用!$G:$G, "*, "&amp;$C24&amp;",*"))/$B24*100</f>
        <v>0</v>
      </c>
      <c r="K24" s="41">
        <f>(COUNTIFS(集計用!$AB:$AB, "*, "&amp;K$4&amp;",*",集計用!$G:$G, "*, "&amp;$C24&amp;",*"))/$B24*100</f>
        <v>20</v>
      </c>
      <c r="L24" s="41">
        <f>(COUNTIFS(集計用!$AB:$AB, "*, "&amp;L$4&amp;",*",集計用!$G:$G, "*, "&amp;$C24&amp;",*"))/$B24*100</f>
        <v>20</v>
      </c>
      <c r="M24" s="41">
        <f>(COUNTIFS(集計用!$AB:$AB, "*, "&amp;M$4&amp;",*",集計用!$G:$G, "*, "&amp;$C24&amp;",*"))/$B24*100</f>
        <v>60</v>
      </c>
      <c r="N24" s="56">
        <f>(COUNTIFS(集計用!$G$2:$G$444,"*, "&amp;$C24&amp;",*",集計用!$AB$2:$AB$444,"&lt;&gt;無回答",集計用!$AB$2:$AB$444, "&lt;&gt;*"&amp;M$4&amp;"*"))/B24*100</f>
        <v>40</v>
      </c>
      <c r="Q24"/>
      <c r="R24"/>
      <c r="T24"/>
      <c r="V24" s="39"/>
    </row>
    <row r="25" spans="1:23" ht="12.75">
      <c r="A25" s="39">
        <v>5</v>
      </c>
      <c r="B25" s="39">
        <f>(COUNTIFS(集計用!$G$2:$G$444,"*, "&amp;$C25&amp;",*",集計用!$AB$2:$AB$444,"&lt;&gt;無回答"))</f>
        <v>23</v>
      </c>
      <c r="C25" s="42" t="s">
        <v>21</v>
      </c>
      <c r="D25" s="41">
        <f>(COUNTIFS(集計用!$AB:$AB, "*, "&amp;D$4&amp;",*",集計用!$G:$G, "*, "&amp;$C25&amp;",*"))/$B25*100</f>
        <v>13.043478260869565</v>
      </c>
      <c r="E25" s="41">
        <f>(COUNTIFS(集計用!$AB:$AB, "*, "&amp;E$4&amp;",*",集計用!$G:$G, "*, "&amp;$C25&amp;",*"))/$B25*100</f>
        <v>8.695652173913043</v>
      </c>
      <c r="F25" s="41">
        <f>(COUNTIFS(集計用!$AB:$AB, "*, "&amp;F$4&amp;",*",集計用!$G:$G, "*, "&amp;$C25&amp;",*"))/$B25*100</f>
        <v>8.695652173913043</v>
      </c>
      <c r="G25" s="41">
        <f>(COUNTIFS(集計用!$AB:$AB, "*, "&amp;G$4&amp;",*",集計用!$G:$G, "*, "&amp;$C25&amp;",*"))/$B25*100</f>
        <v>26.086956521739129</v>
      </c>
      <c r="H25" s="41">
        <f>(COUNTIFS(集計用!$AB:$AB, "*, "&amp;H$4&amp;",*",集計用!$G:$G, "*, "&amp;$C25&amp;",*"))/$B25*100</f>
        <v>8.695652173913043</v>
      </c>
      <c r="I25" s="41">
        <f>(COUNTIFS(集計用!$AB:$AB, "*, "&amp;I$4&amp;",*",集計用!$G:$G, "*, "&amp;$C25&amp;",*"))/$B25*100</f>
        <v>8.695652173913043</v>
      </c>
      <c r="J25" s="41">
        <f>(COUNTIFS(集計用!$AB:$AB, "*, "&amp;J$4&amp;",*",集計用!$G:$G, "*, "&amp;$C25&amp;",*"))/$B25*100</f>
        <v>0</v>
      </c>
      <c r="K25" s="41">
        <f>(COUNTIFS(集計用!$AB:$AB, "*, "&amp;K$4&amp;",*",集計用!$G:$G, "*, "&amp;$C25&amp;",*"))/$B25*100</f>
        <v>30.434782608695656</v>
      </c>
      <c r="L25" s="41">
        <f>(COUNTIFS(集計用!$AB:$AB, "*, "&amp;L$4&amp;",*",集計用!$G:$G, "*, "&amp;$C25&amp;",*"))/$B25*100</f>
        <v>26.086956521739129</v>
      </c>
      <c r="M25" s="41">
        <f>(COUNTIFS(集計用!$AB:$AB, "*, "&amp;M$4&amp;",*",集計用!$G:$G, "*, "&amp;$C25&amp;",*"))/$B25*100</f>
        <v>60.869565217391312</v>
      </c>
      <c r="N25" s="56">
        <f>(COUNTIFS(集計用!$G$2:$G$444,"*, "&amp;$C25&amp;",*",集計用!$AB$2:$AB$444,"&lt;&gt;無回答",集計用!$AB$2:$AB$444, "&lt;&gt;*"&amp;M$4&amp;"*"))/B25*100</f>
        <v>39.130434782608695</v>
      </c>
      <c r="Q25"/>
      <c r="R25"/>
      <c r="T25"/>
      <c r="V25" s="39"/>
    </row>
    <row r="26" spans="1:23" ht="12.75">
      <c r="A26" s="39">
        <v>5</v>
      </c>
      <c r="B26" s="39">
        <f>(COUNTIFS(集計用!$G$2:$G$444,"*, "&amp;$C26&amp;",*",集計用!$AB$2:$AB$444,"&lt;&gt;無回答"))</f>
        <v>18</v>
      </c>
      <c r="C26" s="42" t="s">
        <v>29</v>
      </c>
      <c r="D26" s="41">
        <f>(COUNTIFS(集計用!$AB:$AB, "*, "&amp;D$4&amp;",*",集計用!$G:$G, "*, "&amp;$C26&amp;",*"))/$B26*100</f>
        <v>0</v>
      </c>
      <c r="E26" s="41">
        <f>(COUNTIFS(集計用!$AB:$AB, "*, "&amp;E$4&amp;",*",集計用!$G:$G, "*, "&amp;$C26&amp;",*"))/$B26*100</f>
        <v>11.111111111111111</v>
      </c>
      <c r="F26" s="41">
        <f>(COUNTIFS(集計用!$AB:$AB, "*, "&amp;F$4&amp;",*",集計用!$G:$G, "*, "&amp;$C26&amp;",*"))/$B26*100</f>
        <v>0</v>
      </c>
      <c r="G26" s="41">
        <f>(COUNTIFS(集計用!$AB:$AB, "*, "&amp;G$4&amp;",*",集計用!$G:$G, "*, "&amp;$C26&amp;",*"))/$B26*100</f>
        <v>22.222222222222221</v>
      </c>
      <c r="H26" s="41">
        <f>(COUNTIFS(集計用!$AB:$AB, "*, "&amp;H$4&amp;",*",集計用!$G:$G, "*, "&amp;$C26&amp;",*"))/$B26*100</f>
        <v>11.111111111111111</v>
      </c>
      <c r="I26" s="41">
        <f>(COUNTIFS(集計用!$AB:$AB, "*, "&amp;I$4&amp;",*",集計用!$G:$G, "*, "&amp;$C26&amp;",*"))/$B26*100</f>
        <v>11.111111111111111</v>
      </c>
      <c r="J26" s="41">
        <f>(COUNTIFS(集計用!$AB:$AB, "*, "&amp;J$4&amp;",*",集計用!$G:$G, "*, "&amp;$C26&amp;",*"))/$B26*100</f>
        <v>0</v>
      </c>
      <c r="K26" s="41">
        <f>(COUNTIFS(集計用!$AB:$AB, "*, "&amp;K$4&amp;",*",集計用!$G:$G, "*, "&amp;$C26&amp;",*"))/$B26*100</f>
        <v>22.222222222222221</v>
      </c>
      <c r="L26" s="41">
        <f>(COUNTIFS(集計用!$AB:$AB, "*, "&amp;L$4&amp;",*",集計用!$G:$G, "*, "&amp;$C26&amp;",*"))/$B26*100</f>
        <v>22.222222222222221</v>
      </c>
      <c r="M26" s="41">
        <f>(COUNTIFS(集計用!$AB:$AB, "*, "&amp;M$4&amp;",*",集計用!$G:$G, "*, "&amp;$C26&amp;",*"))/$B26*100</f>
        <v>61.111111111111114</v>
      </c>
      <c r="N26" s="56">
        <f>(COUNTIFS(集計用!$G$2:$G$444,"*, "&amp;$C26&amp;",*",集計用!$AB$2:$AB$444,"&lt;&gt;無回答",集計用!$AB$2:$AB$444, "&lt;&gt;*"&amp;M$4&amp;"*"))/B26*100</f>
        <v>38.888888888888893</v>
      </c>
      <c r="Q26"/>
      <c r="R26"/>
      <c r="T26"/>
      <c r="V26" s="39"/>
    </row>
    <row r="27" spans="1:23" ht="12.75">
      <c r="A27" s="39">
        <v>5</v>
      </c>
      <c r="B27" s="39">
        <f>(COUNTIFS(集計用!$G$2:$G$444,"*, "&amp;$C27&amp;",*",集計用!$AB$2:$AB$444,"&lt;&gt;無回答"))</f>
        <v>6</v>
      </c>
      <c r="C27" s="42" t="s">
        <v>49</v>
      </c>
      <c r="D27" s="41">
        <f>(COUNTIFS(集計用!$AB:$AB, "*, "&amp;D$4&amp;",*",集計用!$G:$G, "*, "&amp;$C27&amp;",*"))/$B27*100</f>
        <v>16.666666666666664</v>
      </c>
      <c r="E27" s="41">
        <f>(COUNTIFS(集計用!$AB:$AB, "*, "&amp;E$4&amp;",*",集計用!$G:$G, "*, "&amp;$C27&amp;",*"))/$B27*100</f>
        <v>0</v>
      </c>
      <c r="F27" s="41">
        <f>(COUNTIFS(集計用!$AB:$AB, "*, "&amp;F$4&amp;",*",集計用!$G:$G, "*, "&amp;$C27&amp;",*"))/$B27*100</f>
        <v>0</v>
      </c>
      <c r="G27" s="41">
        <f>(COUNTIFS(集計用!$AB:$AB, "*, "&amp;G$4&amp;",*",集計用!$G:$G, "*, "&amp;$C27&amp;",*"))/$B27*100</f>
        <v>16.666666666666664</v>
      </c>
      <c r="H27" s="41">
        <f>(COUNTIFS(集計用!$AB:$AB, "*, "&amp;H$4&amp;",*",集計用!$G:$G, "*, "&amp;$C27&amp;",*"))/$B27*100</f>
        <v>0</v>
      </c>
      <c r="I27" s="41">
        <f>(COUNTIFS(集計用!$AB:$AB, "*, "&amp;I$4&amp;",*",集計用!$G:$G, "*, "&amp;$C27&amp;",*"))/$B27*100</f>
        <v>0</v>
      </c>
      <c r="J27" s="41">
        <f>(COUNTIFS(集計用!$AB:$AB, "*, "&amp;J$4&amp;",*",集計用!$G:$G, "*, "&amp;$C27&amp;",*"))/$B27*100</f>
        <v>0</v>
      </c>
      <c r="K27" s="41">
        <f>(COUNTIFS(集計用!$AB:$AB, "*, "&amp;K$4&amp;",*",集計用!$G:$G, "*, "&amp;$C27&amp;",*"))/$B27*100</f>
        <v>16.666666666666664</v>
      </c>
      <c r="L27" s="41">
        <f>(COUNTIFS(集計用!$AB:$AB, "*, "&amp;L$4&amp;",*",集計用!$G:$G, "*, "&amp;$C27&amp;",*"))/$B27*100</f>
        <v>16.666666666666664</v>
      </c>
      <c r="M27" s="41">
        <f>(COUNTIFS(集計用!$AB:$AB, "*, "&amp;M$4&amp;",*",集計用!$G:$G, "*, "&amp;$C27&amp;",*"))/$B27*100</f>
        <v>66.666666666666657</v>
      </c>
      <c r="N27" s="56">
        <f>(COUNTIFS(集計用!$G$2:$G$444,"*, "&amp;$C27&amp;",*",集計用!$AB$2:$AB$444,"&lt;&gt;無回答",集計用!$AB$2:$AB$444, "&lt;&gt;*"&amp;M$4&amp;"*"))/B27*100</f>
        <v>33.333333333333329</v>
      </c>
      <c r="Q27"/>
      <c r="R27"/>
      <c r="T27"/>
      <c r="V27" s="39"/>
    </row>
    <row r="28" spans="1:23" ht="15.75" customHeight="1">
      <c r="A28" s="39">
        <v>5</v>
      </c>
      <c r="B28" s="39">
        <f>(COUNTIFS(集計用!$G$2:$G$444,"*, "&amp;$C28&amp;",*",集計用!$AB$2:$AB$444,"&lt;&gt;無回答"))</f>
        <v>16</v>
      </c>
      <c r="C28" s="42" t="s">
        <v>30</v>
      </c>
      <c r="D28" s="41">
        <f>(COUNTIFS(集計用!$AB:$AB, "*, "&amp;D$4&amp;",*",集計用!$G:$G, "*, "&amp;$C28&amp;",*"))/$B28*100</f>
        <v>6.25</v>
      </c>
      <c r="E28" s="41">
        <f>(COUNTIFS(集計用!$AB:$AB, "*, "&amp;E$4&amp;",*",集計用!$G:$G, "*, "&amp;$C28&amp;",*"))/$B28*100</f>
        <v>6.25</v>
      </c>
      <c r="F28" s="41">
        <f>(COUNTIFS(集計用!$AB:$AB, "*, "&amp;F$4&amp;",*",集計用!$G:$G, "*, "&amp;$C28&amp;",*"))/$B28*100</f>
        <v>0</v>
      </c>
      <c r="G28" s="41">
        <f>(COUNTIFS(集計用!$AB:$AB, "*, "&amp;G$4&amp;",*",集計用!$G:$G, "*, "&amp;$C28&amp;",*"))/$B28*100</f>
        <v>18.75</v>
      </c>
      <c r="H28" s="41">
        <f>(COUNTIFS(集計用!$AB:$AB, "*, "&amp;H$4&amp;",*",集計用!$G:$G, "*, "&amp;$C28&amp;",*"))/$B28*100</f>
        <v>0</v>
      </c>
      <c r="I28" s="41">
        <f>(COUNTIFS(集計用!$AB:$AB, "*, "&amp;I$4&amp;",*",集計用!$G:$G, "*, "&amp;$C28&amp;",*"))/$B28*100</f>
        <v>0</v>
      </c>
      <c r="J28" s="41">
        <f>(COUNTIFS(集計用!$AB:$AB, "*, "&amp;J$4&amp;",*",集計用!$G:$G, "*, "&amp;$C28&amp;",*"))/$B28*100</f>
        <v>0</v>
      </c>
      <c r="K28" s="41">
        <f>(COUNTIFS(集計用!$AB:$AB, "*, "&amp;K$4&amp;",*",集計用!$G:$G, "*, "&amp;$C28&amp;",*"))/$B28*100</f>
        <v>12.5</v>
      </c>
      <c r="L28" s="41">
        <f>(COUNTIFS(集計用!$AB:$AB, "*, "&amp;L$4&amp;",*",集計用!$G:$G, "*, "&amp;$C28&amp;",*"))/$B28*100</f>
        <v>18.75</v>
      </c>
      <c r="M28" s="41">
        <f>(COUNTIFS(集計用!$AB:$AB, "*, "&amp;M$4&amp;",*",集計用!$G:$G, "*, "&amp;$C28&amp;",*"))/$B28*100</f>
        <v>68.75</v>
      </c>
      <c r="N28" s="56">
        <f>(COUNTIFS(集計用!$G$2:$G$444,"*, "&amp;$C28&amp;",*",集計用!$AB$2:$AB$444,"&lt;&gt;無回答",集計用!$AB$2:$AB$444, "&lt;&gt;*"&amp;M$4&amp;"*"))/B28*100</f>
        <v>31.25</v>
      </c>
      <c r="Q28"/>
      <c r="R28"/>
      <c r="T28"/>
      <c r="V28" s="39"/>
    </row>
    <row r="29" spans="1:23" ht="15.75" customHeight="1">
      <c r="A29" s="39">
        <v>5</v>
      </c>
      <c r="B29" s="39">
        <f>(COUNTIFS(集計用!$G$2:$G$444,"*, "&amp;$C29&amp;",*",集計用!$AB$2:$AB$444,"&lt;&gt;無回答"))</f>
        <v>23</v>
      </c>
      <c r="C29" s="42" t="s">
        <v>22</v>
      </c>
      <c r="D29" s="41">
        <f>(COUNTIFS(集計用!$AB:$AB, "*, "&amp;D$4&amp;",*",集計用!$G:$G, "*, "&amp;$C29&amp;",*"))/$B29*100</f>
        <v>4.3478260869565215</v>
      </c>
      <c r="E29" s="41">
        <f>(COUNTIFS(集計用!$AB:$AB, "*, "&amp;E$4&amp;",*",集計用!$G:$G, "*, "&amp;$C29&amp;",*"))/$B29*100</f>
        <v>13.043478260869565</v>
      </c>
      <c r="F29" s="41">
        <f>(COUNTIFS(集計用!$AB:$AB, "*, "&amp;F$4&amp;",*",集計用!$G:$G, "*, "&amp;$C29&amp;",*"))/$B29*100</f>
        <v>4.3478260869565215</v>
      </c>
      <c r="G29" s="41">
        <f>(COUNTIFS(集計用!$AB:$AB, "*, "&amp;G$4&amp;",*",集計用!$G:$G, "*, "&amp;$C29&amp;",*"))/$B29*100</f>
        <v>13.043478260869565</v>
      </c>
      <c r="H29" s="41">
        <f>(COUNTIFS(集計用!$AB:$AB, "*, "&amp;H$4&amp;",*",集計用!$G:$G, "*, "&amp;$C29&amp;",*"))/$B29*100</f>
        <v>8.695652173913043</v>
      </c>
      <c r="I29" s="41">
        <f>(COUNTIFS(集計用!$AB:$AB, "*, "&amp;I$4&amp;",*",集計用!$G:$G, "*, "&amp;$C29&amp;",*"))/$B29*100</f>
        <v>4.3478260869565215</v>
      </c>
      <c r="J29" s="41">
        <f>(COUNTIFS(集計用!$AB:$AB, "*, "&amp;J$4&amp;",*",集計用!$G:$G, "*, "&amp;$C29&amp;",*"))/$B29*100</f>
        <v>0</v>
      </c>
      <c r="K29" s="41">
        <f>(COUNTIFS(集計用!$AB:$AB, "*, "&amp;K$4&amp;",*",集計用!$G:$G, "*, "&amp;$C29&amp;",*"))/$B29*100</f>
        <v>21.739130434782609</v>
      </c>
      <c r="L29" s="41">
        <f>(COUNTIFS(集計用!$AB:$AB, "*, "&amp;L$4&amp;",*",集計用!$G:$G, "*, "&amp;$C29&amp;",*"))/$B29*100</f>
        <v>21.739130434782609</v>
      </c>
      <c r="M29" s="41">
        <f>(COUNTIFS(集計用!$AB:$AB, "*, "&amp;M$4&amp;",*",集計用!$G:$G, "*, "&amp;$C29&amp;",*"))/$B29*100</f>
        <v>69.565217391304344</v>
      </c>
      <c r="N29" s="56">
        <f>(COUNTIFS(集計用!$G$2:$G$444,"*, "&amp;$C29&amp;",*",集計用!$AB$2:$AB$444,"&lt;&gt;無回答",集計用!$AB$2:$AB$444, "&lt;&gt;*"&amp;M$4&amp;"*"))/B29*100</f>
        <v>30.434782608695656</v>
      </c>
      <c r="O29" s="41"/>
      <c r="P29" s="41"/>
      <c r="Q29" s="41"/>
      <c r="R29" s="41"/>
      <c r="S29" s="41"/>
      <c r="T29" s="41"/>
      <c r="V29" s="39"/>
    </row>
    <row r="30" spans="1:23" ht="12.75">
      <c r="A30" s="39">
        <v>4</v>
      </c>
      <c r="B30" s="39">
        <f>(COUNTIFS(集計用!$G$2:$G$444,"*, "&amp;$C30&amp;",*",集計用!$AB$2:$AB$444,"&lt;&gt;無回答"))</f>
        <v>7</v>
      </c>
      <c r="C30" s="42" t="s">
        <v>47</v>
      </c>
      <c r="D30" s="41">
        <f>(COUNTIFS(集計用!$AB:$AB, "*, "&amp;D$4&amp;",*",集計用!$G:$G, "*, "&amp;$C30&amp;",*"))/$B30*100</f>
        <v>14.285714285714285</v>
      </c>
      <c r="E30" s="41">
        <f>(COUNTIFS(集計用!$AB:$AB, "*, "&amp;E$4&amp;",*",集計用!$G:$G, "*, "&amp;$C30&amp;",*"))/$B30*100</f>
        <v>0</v>
      </c>
      <c r="F30" s="41">
        <f>(COUNTIFS(集計用!$AB:$AB, "*, "&amp;F$4&amp;",*",集計用!$G:$G, "*, "&amp;$C30&amp;",*"))/$B30*100</f>
        <v>14.285714285714285</v>
      </c>
      <c r="G30" s="41">
        <f>(COUNTIFS(集計用!$AB:$AB, "*, "&amp;G$4&amp;",*",集計用!$G:$G, "*, "&amp;$C30&amp;",*"))/$B30*100</f>
        <v>14.285714285714285</v>
      </c>
      <c r="H30" s="41">
        <f>(COUNTIFS(集計用!$AB:$AB, "*, "&amp;H$4&amp;",*",集計用!$G:$G, "*, "&amp;$C30&amp;",*"))/$B30*100</f>
        <v>14.285714285714285</v>
      </c>
      <c r="I30" s="41">
        <f>(COUNTIFS(集計用!$AB:$AB, "*, "&amp;I$4&amp;",*",集計用!$G:$G, "*, "&amp;$C30&amp;",*"))/$B30*100</f>
        <v>14.285714285714285</v>
      </c>
      <c r="J30" s="41">
        <f>(COUNTIFS(集計用!$AB:$AB, "*, "&amp;J$4&amp;",*",集計用!$G:$G, "*, "&amp;$C30&amp;",*"))/$B30*100</f>
        <v>0</v>
      </c>
      <c r="K30" s="41">
        <f>(COUNTIFS(集計用!$AB:$AB, "*, "&amp;K$4&amp;",*",集計用!$G:$G, "*, "&amp;$C30&amp;",*"))/$B30*100</f>
        <v>28.571428571428569</v>
      </c>
      <c r="L30" s="41">
        <f>(COUNTIFS(集計用!$AB:$AB, "*, "&amp;L$4&amp;",*",集計用!$G:$G, "*, "&amp;$C30&amp;",*"))/$B30*100</f>
        <v>42.857142857142854</v>
      </c>
      <c r="M30" s="41">
        <f>(COUNTIFS(集計用!$AB:$AB, "*, "&amp;M$4&amp;",*",集計用!$G:$G, "*, "&amp;$C30&amp;",*"))/$B30*100</f>
        <v>42.857142857142854</v>
      </c>
      <c r="N30" s="56">
        <f>(COUNTIFS(集計用!$G$2:$G$444,"*, "&amp;$C30&amp;",*",集計用!$AB$2:$AB$444,"&lt;&gt;無回答",集計用!$AB$2:$AB$444, "&lt;&gt;*"&amp;M$4&amp;"*"))/B30*100</f>
        <v>57.142857142857139</v>
      </c>
      <c r="O30" s="41"/>
      <c r="P30" s="41"/>
      <c r="Q30" s="41"/>
      <c r="R30" s="41"/>
      <c r="S30" s="41"/>
      <c r="T30" s="41"/>
      <c r="V30" s="39"/>
    </row>
    <row r="31" spans="1:23" ht="15.75" customHeight="1">
      <c r="A31" s="39">
        <v>4</v>
      </c>
      <c r="B31" s="39">
        <f>(COUNTIFS(集計用!$G$2:$G$444,"*, "&amp;$C31&amp;",*",集計用!$AB$2:$AB$444,"&lt;&gt;無回答"))</f>
        <v>7</v>
      </c>
      <c r="C31" s="42" t="s">
        <v>44</v>
      </c>
      <c r="D31" s="41">
        <f>(COUNTIFS(集計用!$AB:$AB, "*, "&amp;D$4&amp;",*",集計用!$G:$G, "*, "&amp;$C31&amp;",*"))/$B31*100</f>
        <v>14.285714285714285</v>
      </c>
      <c r="E31" s="41">
        <f>(COUNTIFS(集計用!$AB:$AB, "*, "&amp;E$4&amp;",*",集計用!$G:$G, "*, "&amp;$C31&amp;",*"))/$B31*100</f>
        <v>0</v>
      </c>
      <c r="F31" s="41">
        <f>(COUNTIFS(集計用!$AB:$AB, "*, "&amp;F$4&amp;",*",集計用!$G:$G, "*, "&amp;$C31&amp;",*"))/$B31*100</f>
        <v>14.285714285714285</v>
      </c>
      <c r="G31" s="41">
        <f>(COUNTIFS(集計用!$AB:$AB, "*, "&amp;G$4&amp;",*",集計用!$G:$G, "*, "&amp;$C31&amp;",*"))/$B31*100</f>
        <v>14.285714285714285</v>
      </c>
      <c r="H31" s="41">
        <f>(COUNTIFS(集計用!$AB:$AB, "*, "&amp;H$4&amp;",*",集計用!$G:$G, "*, "&amp;$C31&amp;",*"))/$B31*100</f>
        <v>14.285714285714285</v>
      </c>
      <c r="I31" s="41">
        <f>(COUNTIFS(集計用!$AB:$AB, "*, "&amp;I$4&amp;",*",集計用!$G:$G, "*, "&amp;$C31&amp;",*"))/$B31*100</f>
        <v>28.571428571428569</v>
      </c>
      <c r="J31" s="41">
        <f>(COUNTIFS(集計用!$AB:$AB, "*, "&amp;J$4&amp;",*",集計用!$G:$G, "*, "&amp;$C31&amp;",*"))/$B31*100</f>
        <v>0</v>
      </c>
      <c r="K31" s="41">
        <f>(COUNTIFS(集計用!$AB:$AB, "*, "&amp;K$4&amp;",*",集計用!$G:$G, "*, "&amp;$C31&amp;",*"))/$B31*100</f>
        <v>28.571428571428569</v>
      </c>
      <c r="L31" s="41">
        <f>(COUNTIFS(集計用!$AB:$AB, "*, "&amp;L$4&amp;",*",集計用!$G:$G, "*, "&amp;$C31&amp;",*"))/$B31*100</f>
        <v>28.571428571428569</v>
      </c>
      <c r="M31" s="41">
        <f>(COUNTIFS(集計用!$AB:$AB, "*, "&amp;M$4&amp;",*",集計用!$G:$G, "*, "&amp;$C31&amp;",*"))/$B31*100</f>
        <v>42.857142857142854</v>
      </c>
      <c r="N31" s="56">
        <f>(COUNTIFS(集計用!$G$2:$G$444,"*, "&amp;$C31&amp;",*",集計用!$AB$2:$AB$444,"&lt;&gt;無回答",集計用!$AB$2:$AB$444, "&lt;&gt;*"&amp;M$4&amp;"*"))/B31*100</f>
        <v>57.142857142857139</v>
      </c>
      <c r="O31" s="41"/>
      <c r="P31" s="41"/>
      <c r="Q31" s="41"/>
      <c r="R31" s="41"/>
      <c r="S31" s="41"/>
      <c r="T31" s="41"/>
      <c r="V31" s="39"/>
    </row>
    <row r="32" spans="1:23" ht="12.75">
      <c r="A32" s="39">
        <v>4</v>
      </c>
      <c r="B32" s="39">
        <f>(COUNTIFS(集計用!$G$2:$G$444,"*, "&amp;$C32&amp;",*",集計用!$AB$2:$AB$444,"&lt;&gt;無回答"))</f>
        <v>25</v>
      </c>
      <c r="C32" s="42" t="s">
        <v>20</v>
      </c>
      <c r="D32" s="41">
        <f>(COUNTIFS(集計用!$AB:$AB, "*, "&amp;D$4&amp;",*",集計用!$G:$G, "*, "&amp;$C32&amp;",*"))/$B32*100</f>
        <v>4</v>
      </c>
      <c r="E32" s="41">
        <f>(COUNTIFS(集計用!$AB:$AB, "*, "&amp;E$4&amp;",*",集計用!$G:$G, "*, "&amp;$C32&amp;",*"))/$B32*100</f>
        <v>0</v>
      </c>
      <c r="F32" s="41">
        <f>(COUNTIFS(集計用!$AB:$AB, "*, "&amp;F$4&amp;",*",集計用!$G:$G, "*, "&amp;$C32&amp;",*"))/$B32*100</f>
        <v>8</v>
      </c>
      <c r="G32" s="41">
        <f>(COUNTIFS(集計用!$AB:$AB, "*, "&amp;G$4&amp;",*",集計用!$G:$G, "*, "&amp;$C32&amp;",*"))/$B32*100</f>
        <v>4</v>
      </c>
      <c r="H32" s="41">
        <f>(COUNTIFS(集計用!$AB:$AB, "*, "&amp;H$4&amp;",*",集計用!$G:$G, "*, "&amp;$C32&amp;",*"))/$B32*100</f>
        <v>4</v>
      </c>
      <c r="I32" s="41">
        <f>(COUNTIFS(集計用!$AB:$AB, "*, "&amp;I$4&amp;",*",集計用!$G:$G, "*, "&amp;$C32&amp;",*"))/$B32*100</f>
        <v>8</v>
      </c>
      <c r="J32" s="41">
        <f>(COUNTIFS(集計用!$AB:$AB, "*, "&amp;J$4&amp;",*",集計用!$G:$G, "*, "&amp;$C32&amp;",*"))/$B32*100</f>
        <v>0</v>
      </c>
      <c r="K32" s="41">
        <f>(COUNTIFS(集計用!$AB:$AB, "*, "&amp;K$4&amp;",*",集計用!$G:$G, "*, "&amp;$C32&amp;",*"))/$B32*100</f>
        <v>16</v>
      </c>
      <c r="L32" s="41">
        <f>(COUNTIFS(集計用!$AB:$AB, "*, "&amp;L$4&amp;",*",集計用!$G:$G, "*, "&amp;$C32&amp;",*"))/$B32*100</f>
        <v>16</v>
      </c>
      <c r="M32" s="41">
        <f>(COUNTIFS(集計用!$AB:$AB, "*, "&amp;M$4&amp;",*",集計用!$G:$G, "*, "&amp;$C32&amp;",*"))/$B32*100</f>
        <v>72</v>
      </c>
      <c r="N32" s="56">
        <f>(COUNTIFS(集計用!$G$2:$G$444,"*, "&amp;$C32&amp;",*",集計用!$AB$2:$AB$444,"&lt;&gt;無回答",集計用!$AB$2:$AB$444, "&lt;&gt;*"&amp;M$4&amp;"*"))/B32*100</f>
        <v>28.000000000000004</v>
      </c>
      <c r="O32" s="41"/>
      <c r="P32" s="41"/>
      <c r="Q32" s="41"/>
      <c r="R32" s="41"/>
      <c r="S32" s="41"/>
      <c r="T32" s="41"/>
      <c r="V32" s="39"/>
    </row>
    <row r="33" spans="1:22" ht="12.75">
      <c r="A33" s="39">
        <v>4</v>
      </c>
      <c r="B33" s="39">
        <f>(COUNTIFS(集計用!$G$2:$G$444,"*, "&amp;$C33&amp;",*",集計用!$AB$2:$AB$444,"&lt;&gt;無回答"))</f>
        <v>21</v>
      </c>
      <c r="C33" s="42" t="s">
        <v>23</v>
      </c>
      <c r="D33" s="41">
        <f>(COUNTIFS(集計用!$AB:$AB, "*, "&amp;D$4&amp;",*",集計用!$G:$G, "*, "&amp;$C33&amp;",*"))/$B33*100</f>
        <v>4.7619047619047619</v>
      </c>
      <c r="E33" s="41">
        <f>(COUNTIFS(集計用!$AB:$AB, "*, "&amp;E$4&amp;",*",集計用!$G:$G, "*, "&amp;$C33&amp;",*"))/$B33*100</f>
        <v>4.7619047619047619</v>
      </c>
      <c r="F33" s="41">
        <f>(COUNTIFS(集計用!$AB:$AB, "*, "&amp;F$4&amp;",*",集計用!$G:$G, "*, "&amp;$C33&amp;",*"))/$B33*100</f>
        <v>9.5238095238095237</v>
      </c>
      <c r="G33" s="41">
        <f>(COUNTIFS(集計用!$AB:$AB, "*, "&amp;G$4&amp;",*",集計用!$G:$G, "*, "&amp;$C33&amp;",*"))/$B33*100</f>
        <v>4.7619047619047619</v>
      </c>
      <c r="H33" s="41">
        <f>(COUNTIFS(集計用!$AB:$AB, "*, "&amp;H$4&amp;",*",集計用!$G:$G, "*, "&amp;$C33&amp;",*"))/$B33*100</f>
        <v>4.7619047619047619</v>
      </c>
      <c r="I33" s="41">
        <f>(COUNTIFS(集計用!$AB:$AB, "*, "&amp;I$4&amp;",*",集計用!$G:$G, "*, "&amp;$C33&amp;",*"))/$B33*100</f>
        <v>4.7619047619047619</v>
      </c>
      <c r="J33" s="41">
        <f>(COUNTIFS(集計用!$AB:$AB, "*, "&amp;J$4&amp;",*",集計用!$G:$G, "*, "&amp;$C33&amp;",*"))/$B33*100</f>
        <v>0</v>
      </c>
      <c r="K33" s="41">
        <f>(COUNTIFS(集計用!$AB:$AB, "*, "&amp;K$4&amp;",*",集計用!$G:$G, "*, "&amp;$C33&amp;",*"))/$B33*100</f>
        <v>9.5238095238095237</v>
      </c>
      <c r="L33" s="41">
        <f>(COUNTIFS(集計用!$AB:$AB, "*, "&amp;L$4&amp;",*",集計用!$G:$G, "*, "&amp;$C33&amp;",*"))/$B33*100</f>
        <v>19.047619047619047</v>
      </c>
      <c r="M33" s="41">
        <f>(COUNTIFS(集計用!$AB:$AB, "*, "&amp;M$4&amp;",*",集計用!$G:$G, "*, "&amp;$C33&amp;",*"))/$B33*100</f>
        <v>76.19047619047619</v>
      </c>
      <c r="N33" s="56">
        <f>(COUNTIFS(集計用!$G$2:$G$444,"*, "&amp;$C33&amp;",*",集計用!$AB$2:$AB$444,"&lt;&gt;無回答",集計用!$AB$2:$AB$444, "&lt;&gt;*"&amp;M$4&amp;"*"))/B33*100</f>
        <v>23.809523809523807</v>
      </c>
      <c r="O33" s="41"/>
      <c r="P33" s="41"/>
      <c r="Q33" s="41"/>
      <c r="R33" s="41"/>
      <c r="S33" s="41"/>
      <c r="T33" s="41"/>
      <c r="V33" s="39"/>
    </row>
    <row r="34" spans="1:22" ht="12.75">
      <c r="A34" s="39">
        <v>4</v>
      </c>
      <c r="B34" s="39">
        <f>(COUNTIFS(集計用!$G$2:$G$444,"*, "&amp;$C34&amp;",*",集計用!$AB$2:$AB$444,"&lt;&gt;無回答"))</f>
        <v>22</v>
      </c>
      <c r="C34" s="42" t="s">
        <v>24</v>
      </c>
      <c r="D34" s="41">
        <f>(COUNTIFS(集計用!$AB:$AB, "*, "&amp;D$4&amp;",*",集計用!$G:$G, "*, "&amp;$C34&amp;",*"))/$B34*100</f>
        <v>4.5454545454545459</v>
      </c>
      <c r="E34" s="41">
        <f>(COUNTIFS(集計用!$AB:$AB, "*, "&amp;E$4&amp;",*",集計用!$G:$G, "*, "&amp;$C34&amp;",*"))/$B34*100</f>
        <v>0</v>
      </c>
      <c r="F34" s="41">
        <f>(COUNTIFS(集計用!$AB:$AB, "*, "&amp;F$4&amp;",*",集計用!$G:$G, "*, "&amp;$C34&amp;",*"))/$B34*100</f>
        <v>4.5454545454545459</v>
      </c>
      <c r="G34" s="41">
        <f>(COUNTIFS(集計用!$AB:$AB, "*, "&amp;G$4&amp;",*",集計用!$G:$G, "*, "&amp;$C34&amp;",*"))/$B34*100</f>
        <v>9.0909090909090917</v>
      </c>
      <c r="H34" s="41">
        <f>(COUNTIFS(集計用!$AB:$AB, "*, "&amp;H$4&amp;",*",集計用!$G:$G, "*, "&amp;$C34&amp;",*"))/$B34*100</f>
        <v>4.5454545454545459</v>
      </c>
      <c r="I34" s="41">
        <f>(COUNTIFS(集計用!$AB:$AB, "*, "&amp;I$4&amp;",*",集計用!$G:$G, "*, "&amp;$C34&amp;",*"))/$B34*100</f>
        <v>4.5454545454545459</v>
      </c>
      <c r="J34" s="41">
        <f>(COUNTIFS(集計用!$AB:$AB, "*, "&amp;J$4&amp;",*",集計用!$G:$G, "*, "&amp;$C34&amp;",*"))/$B34*100</f>
        <v>0</v>
      </c>
      <c r="K34" s="41">
        <f>(COUNTIFS(集計用!$AB:$AB, "*, "&amp;K$4&amp;",*",集計用!$G:$G, "*, "&amp;$C34&amp;",*"))/$B34*100</f>
        <v>18.181818181818183</v>
      </c>
      <c r="L34" s="41">
        <f>(COUNTIFS(集計用!$AB:$AB, "*, "&amp;L$4&amp;",*",集計用!$G:$G, "*, "&amp;$C34&amp;",*"))/$B34*100</f>
        <v>13.636363636363635</v>
      </c>
      <c r="M34" s="41">
        <f>(COUNTIFS(集計用!$AB:$AB, "*, "&amp;M$4&amp;",*",集計用!$G:$G, "*, "&amp;$C34&amp;",*"))/$B34*100</f>
        <v>77.272727272727266</v>
      </c>
      <c r="N34" s="56">
        <f>(COUNTIFS(集計用!$G$2:$G$444,"*, "&amp;$C34&amp;",*",集計用!$AB$2:$AB$444,"&lt;&gt;無回答",集計用!$AB$2:$AB$444, "&lt;&gt;*"&amp;M$4&amp;"*"))/B34*100</f>
        <v>22.727272727272727</v>
      </c>
      <c r="O34" s="41"/>
      <c r="P34" s="41"/>
      <c r="Q34" s="41"/>
      <c r="R34" s="41"/>
      <c r="S34" s="41"/>
      <c r="T34" s="41"/>
      <c r="V34" s="39"/>
    </row>
    <row r="35" spans="1:22" ht="15.75" customHeight="1">
      <c r="A35" s="39">
        <v>4</v>
      </c>
      <c r="B35" s="39">
        <f>(COUNTIFS(集計用!$G$2:$G$444,"*, "&amp;$C35&amp;",*",集計用!$AB$2:$AB$444,"&lt;&gt;無回答"))</f>
        <v>34</v>
      </c>
      <c r="C35" s="42" t="s">
        <v>18</v>
      </c>
      <c r="D35" s="41">
        <f>(COUNTIFS(集計用!$AB:$AB, "*, "&amp;D$4&amp;",*",集計用!$G:$G, "*, "&amp;$C35&amp;",*"))/$B35*100</f>
        <v>0</v>
      </c>
      <c r="E35" s="41">
        <f>(COUNTIFS(集計用!$AB:$AB, "*, "&amp;E$4&amp;",*",集計用!$G:$G, "*, "&amp;$C35&amp;",*"))/$B35*100</f>
        <v>0</v>
      </c>
      <c r="F35" s="41">
        <f>(COUNTIFS(集計用!$AB:$AB, "*, "&amp;F$4&amp;",*",集計用!$G:$G, "*, "&amp;$C35&amp;",*"))/$B35*100</f>
        <v>0</v>
      </c>
      <c r="G35" s="41">
        <f>(COUNTIFS(集計用!$AB:$AB, "*, "&amp;G$4&amp;",*",集計用!$G:$G, "*, "&amp;$C35&amp;",*"))/$B35*100</f>
        <v>2.9411764705882351</v>
      </c>
      <c r="H35" s="41">
        <f>(COUNTIFS(集計用!$AB:$AB, "*, "&amp;H$4&amp;",*",集計用!$G:$G, "*, "&amp;$C35&amp;",*"))/$B35*100</f>
        <v>2.9411764705882351</v>
      </c>
      <c r="I35" s="41">
        <f>(COUNTIFS(集計用!$AB:$AB, "*, "&amp;I$4&amp;",*",集計用!$G:$G, "*, "&amp;$C35&amp;",*"))/$B35*100</f>
        <v>5.8823529411764701</v>
      </c>
      <c r="J35" s="41">
        <f>(COUNTIFS(集計用!$AB:$AB, "*, "&amp;J$4&amp;",*",集計用!$G:$G, "*, "&amp;$C35&amp;",*"))/$B35*100</f>
        <v>0</v>
      </c>
      <c r="K35" s="41">
        <f>(COUNTIFS(集計用!$AB:$AB, "*, "&amp;K$4&amp;",*",集計用!$G:$G, "*, "&amp;$C35&amp;",*"))/$B35*100</f>
        <v>14.705882352941178</v>
      </c>
      <c r="L35" s="41">
        <f>(COUNTIFS(集計用!$AB:$AB, "*, "&amp;L$4&amp;",*",集計用!$G:$G, "*, "&amp;$C35&amp;",*"))/$B35*100</f>
        <v>11.76470588235294</v>
      </c>
      <c r="M35" s="41">
        <f>(COUNTIFS(集計用!$AB:$AB, "*, "&amp;M$4&amp;",*",集計用!$G:$G, "*, "&amp;$C35&amp;",*"))/$B35*100</f>
        <v>79.411764705882348</v>
      </c>
      <c r="N35" s="56">
        <f>(COUNTIFS(集計用!$G$2:$G$444,"*, "&amp;$C35&amp;",*",集計用!$AB$2:$AB$444,"&lt;&gt;無回答",集計用!$AB$2:$AB$444, "&lt;&gt;*"&amp;M$4&amp;"*"))/B35*100</f>
        <v>20.588235294117645</v>
      </c>
      <c r="O35" s="41"/>
      <c r="P35" s="41"/>
      <c r="Q35" s="41"/>
      <c r="R35" s="41"/>
      <c r="S35" s="41"/>
      <c r="T35" s="41"/>
      <c r="V35" s="39"/>
    </row>
    <row r="36" spans="1:22" ht="15.75" customHeight="1">
      <c r="A36" s="39">
        <v>4</v>
      </c>
      <c r="B36" s="39">
        <f>(COUNTIFS(集計用!$G$2:$G$444,"*, "&amp;$C36&amp;",*",集計用!$AB$2:$AB$444,"&lt;&gt;無回答"))</f>
        <v>5</v>
      </c>
      <c r="C36" s="42" t="s">
        <v>50</v>
      </c>
      <c r="D36" s="41">
        <f>(COUNTIFS(集計用!$AB:$AB, "*, "&amp;D$4&amp;",*",集計用!$G:$G, "*, "&amp;$C36&amp;",*"))/$B36*100</f>
        <v>0</v>
      </c>
      <c r="E36" s="41">
        <f>(COUNTIFS(集計用!$AB:$AB, "*, "&amp;E$4&amp;",*",集計用!$G:$G, "*, "&amp;$C36&amp;",*"))/$B36*100</f>
        <v>0</v>
      </c>
      <c r="F36" s="41">
        <f>(COUNTIFS(集計用!$AB:$AB, "*, "&amp;F$4&amp;",*",集計用!$G:$G, "*, "&amp;$C36&amp;",*"))/$B36*100</f>
        <v>0</v>
      </c>
      <c r="G36" s="41">
        <f>(COUNTIFS(集計用!$AB:$AB, "*, "&amp;G$4&amp;",*",集計用!$G:$G, "*, "&amp;$C36&amp;",*"))/$B36*100</f>
        <v>0</v>
      </c>
      <c r="H36" s="41">
        <f>(COUNTIFS(集計用!$AB:$AB, "*, "&amp;H$4&amp;",*",集計用!$G:$G, "*, "&amp;$C36&amp;",*"))/$B36*100</f>
        <v>0</v>
      </c>
      <c r="I36" s="41">
        <f>(COUNTIFS(集計用!$AB:$AB, "*, "&amp;I$4&amp;",*",集計用!$G:$G, "*, "&amp;$C36&amp;",*"))/$B36*100</f>
        <v>0</v>
      </c>
      <c r="J36" s="41">
        <f>(COUNTIFS(集計用!$AB:$AB, "*, "&amp;J$4&amp;",*",集計用!$G:$G, "*, "&amp;$C36&amp;",*"))/$B36*100</f>
        <v>0</v>
      </c>
      <c r="K36" s="41">
        <f>(COUNTIFS(集計用!$AB:$AB, "*, "&amp;K$4&amp;",*",集計用!$G:$G, "*, "&amp;$C36&amp;",*"))/$B36*100</f>
        <v>20</v>
      </c>
      <c r="L36" s="41">
        <f>(COUNTIFS(集計用!$AB:$AB, "*, "&amp;L$4&amp;",*",集計用!$G:$G, "*, "&amp;$C36&amp;",*"))/$B36*100</f>
        <v>0</v>
      </c>
      <c r="M36" s="41">
        <f>(COUNTIFS(集計用!$AB:$AB, "*, "&amp;M$4&amp;",*",集計用!$G:$G, "*, "&amp;$C36&amp;",*"))/$B36*100</f>
        <v>80</v>
      </c>
      <c r="N36" s="56">
        <f>(COUNTIFS(集計用!$G$2:$G$444,"*, "&amp;$C36&amp;",*",集計用!$AB$2:$AB$444,"&lt;&gt;無回答",集計用!$AB$2:$AB$444, "&lt;&gt;*"&amp;M$4&amp;"*"))/B36*100</f>
        <v>20</v>
      </c>
      <c r="O36" s="41"/>
      <c r="P36" s="41"/>
      <c r="Q36" s="41"/>
      <c r="R36" s="41"/>
      <c r="S36" s="41"/>
      <c r="T36" s="41"/>
      <c r="V36" s="39"/>
    </row>
    <row r="37" spans="1:22" ht="15.75" customHeight="1">
      <c r="A37" s="39">
        <v>4</v>
      </c>
      <c r="B37" s="39">
        <f>(COUNTIFS(集計用!$G$2:$G$444,"*, "&amp;$C37&amp;",*",集計用!$AB$2:$AB$444,"&lt;&gt;無回答"))</f>
        <v>16</v>
      </c>
      <c r="C37" s="42" t="s">
        <v>32</v>
      </c>
      <c r="D37" s="41">
        <f>(COUNTIFS(集計用!$AB:$AB, "*, "&amp;D$4&amp;",*",集計用!$G:$G, "*, "&amp;$C37&amp;",*"))/$B37*100</f>
        <v>6.25</v>
      </c>
      <c r="E37" s="41">
        <f>(COUNTIFS(集計用!$AB:$AB, "*, "&amp;E$4&amp;",*",集計用!$G:$G, "*, "&amp;$C37&amp;",*"))/$B37*100</f>
        <v>0</v>
      </c>
      <c r="F37" s="41">
        <f>(COUNTIFS(集計用!$AB:$AB, "*, "&amp;F$4&amp;",*",集計用!$G:$G, "*, "&amp;$C37&amp;",*"))/$B37*100</f>
        <v>12.5</v>
      </c>
      <c r="G37" s="41">
        <f>(COUNTIFS(集計用!$AB:$AB, "*, "&amp;G$4&amp;",*",集計用!$G:$G, "*, "&amp;$C37&amp;",*"))/$B37*100</f>
        <v>6.25</v>
      </c>
      <c r="H37" s="41">
        <f>(COUNTIFS(集計用!$AB:$AB, "*, "&amp;H$4&amp;",*",集計用!$G:$G, "*, "&amp;$C37&amp;",*"))/$B37*100</f>
        <v>0</v>
      </c>
      <c r="I37" s="41">
        <f>(COUNTIFS(集計用!$AB:$AB, "*, "&amp;I$4&amp;",*",集計用!$G:$G, "*, "&amp;$C37&amp;",*"))/$B37*100</f>
        <v>6.25</v>
      </c>
      <c r="J37" s="41">
        <f>(COUNTIFS(集計用!$AB:$AB, "*, "&amp;J$4&amp;",*",集計用!$G:$G, "*, "&amp;$C37&amp;",*"))/$B37*100</f>
        <v>0</v>
      </c>
      <c r="K37" s="41">
        <f>(COUNTIFS(集計用!$AB:$AB, "*, "&amp;K$4&amp;",*",集計用!$G:$G, "*, "&amp;$C37&amp;",*"))/$B37*100</f>
        <v>12.5</v>
      </c>
      <c r="L37" s="41">
        <f>(COUNTIFS(集計用!$AB:$AB, "*, "&amp;L$4&amp;",*",集計用!$G:$G, "*, "&amp;$C37&amp;",*"))/$B37*100</f>
        <v>6.25</v>
      </c>
      <c r="M37" s="41">
        <f>(COUNTIFS(集計用!$AB:$AB, "*, "&amp;M$4&amp;",*",集計用!$G:$G, "*, "&amp;$C37&amp;",*"))/$B37*100</f>
        <v>81.25</v>
      </c>
      <c r="N37" s="56">
        <f>(COUNTIFS(集計用!$G$2:$G$444,"*, "&amp;$C37&amp;",*",集計用!$AB$2:$AB$444,"&lt;&gt;無回答",集計用!$AB$2:$AB$444, "&lt;&gt;*"&amp;M$4&amp;"*"))/B37*100</f>
        <v>18.75</v>
      </c>
      <c r="O37" s="41"/>
      <c r="P37" s="41"/>
      <c r="Q37" s="41"/>
      <c r="R37" s="41"/>
      <c r="S37" s="41"/>
      <c r="T37" s="41"/>
      <c r="V37" s="39"/>
    </row>
    <row r="38" spans="1:22" ht="15.75" customHeight="1">
      <c r="A38" s="39">
        <v>4</v>
      </c>
      <c r="B38" s="39">
        <f>(COUNTIFS(集計用!$G$2:$G$444,"*, "&amp;$C38&amp;",*",集計用!$AB$2:$AB$444,"&lt;&gt;無回答"))</f>
        <v>12</v>
      </c>
      <c r="C38" s="42" t="s">
        <v>36</v>
      </c>
      <c r="D38" s="41">
        <f>(COUNTIFS(集計用!$AB:$AB, "*, "&amp;D$4&amp;",*",集計用!$G:$G, "*, "&amp;$C38&amp;",*"))/$B38*100</f>
        <v>0</v>
      </c>
      <c r="E38" s="41">
        <f>(COUNTIFS(集計用!$AB:$AB, "*, "&amp;E$4&amp;",*",集計用!$G:$G, "*, "&amp;$C38&amp;",*"))/$B38*100</f>
        <v>0</v>
      </c>
      <c r="F38" s="41">
        <f>(COUNTIFS(集計用!$AB:$AB, "*, "&amp;F$4&amp;",*",集計用!$G:$G, "*, "&amp;$C38&amp;",*"))/$B38*100</f>
        <v>0</v>
      </c>
      <c r="G38" s="41">
        <f>(COUNTIFS(集計用!$AB:$AB, "*, "&amp;G$4&amp;",*",集計用!$G:$G, "*, "&amp;$C38&amp;",*"))/$B38*100</f>
        <v>0</v>
      </c>
      <c r="H38" s="41">
        <f>(COUNTIFS(集計用!$AB:$AB, "*, "&amp;H$4&amp;",*",集計用!$G:$G, "*, "&amp;$C38&amp;",*"))/$B38*100</f>
        <v>8.3333333333333321</v>
      </c>
      <c r="I38" s="41">
        <f>(COUNTIFS(集計用!$AB:$AB, "*, "&amp;I$4&amp;",*",集計用!$G:$G, "*, "&amp;$C38&amp;",*"))/$B38*100</f>
        <v>8.3333333333333321</v>
      </c>
      <c r="J38" s="41">
        <f>(COUNTIFS(集計用!$AB:$AB, "*, "&amp;J$4&amp;",*",集計用!$G:$G, "*, "&amp;$C38&amp;",*"))/$B38*100</f>
        <v>0</v>
      </c>
      <c r="K38" s="41">
        <f>(COUNTIFS(集計用!$AB:$AB, "*, "&amp;K$4&amp;",*",集計用!$G:$G, "*, "&amp;$C38&amp;",*"))/$B38*100</f>
        <v>16.666666666666664</v>
      </c>
      <c r="L38" s="41">
        <f>(COUNTIFS(集計用!$AB:$AB, "*, "&amp;L$4&amp;",*",集計用!$G:$G, "*, "&amp;$C38&amp;",*"))/$B38*100</f>
        <v>8.3333333333333321</v>
      </c>
      <c r="M38" s="41">
        <f>(COUNTIFS(集計用!$AB:$AB, "*, "&amp;M$4&amp;",*",集計用!$G:$G, "*, "&amp;$C38&amp;",*"))/$B38*100</f>
        <v>83.333333333333343</v>
      </c>
      <c r="N38" s="56">
        <f>(COUNTIFS(集計用!$G$2:$G$444,"*, "&amp;$C38&amp;",*",集計用!$AB$2:$AB$444,"&lt;&gt;無回答",集計用!$AB$2:$AB$444, "&lt;&gt;*"&amp;M$4&amp;"*"))/B38*100</f>
        <v>16.666666666666664</v>
      </c>
      <c r="O38" s="41"/>
      <c r="P38" s="41"/>
      <c r="Q38" s="41"/>
      <c r="R38" s="41"/>
      <c r="S38" s="41"/>
      <c r="T38" s="41"/>
      <c r="V38" s="39"/>
    </row>
    <row r="39" spans="1:22" ht="12.75">
      <c r="A39" s="39">
        <v>4</v>
      </c>
      <c r="B39" s="39">
        <f>(COUNTIFS(集計用!$G$2:$G$444,"*, "&amp;$C39&amp;",*",集計用!$AB$2:$AB$444,"&lt;&gt;無回答"))</f>
        <v>45</v>
      </c>
      <c r="C39" s="42" t="s">
        <v>14</v>
      </c>
      <c r="D39" s="41">
        <f>(COUNTIFS(集計用!$AB:$AB, "*, "&amp;D$4&amp;",*",集計用!$G:$G, "*, "&amp;$C39&amp;",*"))/$B39*100</f>
        <v>0</v>
      </c>
      <c r="E39" s="41">
        <f>(COUNTIFS(集計用!$AB:$AB, "*, "&amp;E$4&amp;",*",集計用!$G:$G, "*, "&amp;$C39&amp;",*"))/$B39*100</f>
        <v>2.2222222222222223</v>
      </c>
      <c r="F39" s="41">
        <f>(COUNTIFS(集計用!$AB:$AB, "*, "&amp;F$4&amp;",*",集計用!$G:$G, "*, "&amp;$C39&amp;",*"))/$B39*100</f>
        <v>0</v>
      </c>
      <c r="G39" s="41">
        <f>(COUNTIFS(集計用!$AB:$AB, "*, "&amp;G$4&amp;",*",集計用!$G:$G, "*, "&amp;$C39&amp;",*"))/$B39*100</f>
        <v>2.2222222222222223</v>
      </c>
      <c r="H39" s="41">
        <f>(COUNTIFS(集計用!$AB:$AB, "*, "&amp;H$4&amp;",*",集計用!$G:$G, "*, "&amp;$C39&amp;",*"))/$B39*100</f>
        <v>2.2222222222222223</v>
      </c>
      <c r="I39" s="41">
        <f>(COUNTIFS(集計用!$AB:$AB, "*, "&amp;I$4&amp;",*",集計用!$G:$G, "*, "&amp;$C39&amp;",*"))/$B39*100</f>
        <v>0</v>
      </c>
      <c r="J39" s="41">
        <f>(COUNTIFS(集計用!$AB:$AB, "*, "&amp;J$4&amp;",*",集計用!$G:$G, "*, "&amp;$C39&amp;",*"))/$B39*100</f>
        <v>0</v>
      </c>
      <c r="K39" s="41">
        <f>(COUNTIFS(集計用!$AB:$AB, "*, "&amp;K$4&amp;",*",集計用!$G:$G, "*, "&amp;$C39&amp;",*"))/$B39*100</f>
        <v>8.8888888888888893</v>
      </c>
      <c r="L39" s="41">
        <f>(COUNTIFS(集計用!$AB:$AB, "*, "&amp;L$4&amp;",*",集計用!$G:$G, "*, "&amp;$C39&amp;",*"))/$B39*100</f>
        <v>8.8888888888888893</v>
      </c>
      <c r="M39" s="41">
        <f>(COUNTIFS(集計用!$AB:$AB, "*, "&amp;M$4&amp;",*",集計用!$G:$G, "*, "&amp;$C39&amp;",*"))/$B39*100</f>
        <v>84.444444444444443</v>
      </c>
      <c r="N39" s="56">
        <f>(COUNTIFS(集計用!$G$2:$G$444,"*, "&amp;$C39&amp;",*",集計用!$AB$2:$AB$444,"&lt;&gt;無回答",集計用!$AB$2:$AB$444, "&lt;&gt;*"&amp;M$4&amp;"*"))/B39*100</f>
        <v>15.555555555555555</v>
      </c>
      <c r="O39" s="41"/>
      <c r="P39" s="41"/>
      <c r="Q39" s="41"/>
      <c r="R39" s="41"/>
      <c r="S39" s="41"/>
      <c r="T39" s="41"/>
      <c r="V39" s="39"/>
    </row>
    <row r="40" spans="1:22" ht="12.75">
      <c r="A40" s="39">
        <v>4</v>
      </c>
      <c r="B40" s="39">
        <f>(COUNTIFS(集計用!$G$2:$G$444,"*, "&amp;$C40&amp;",*",集計用!$AB$2:$AB$444,"&lt;&gt;無回答"))</f>
        <v>14</v>
      </c>
      <c r="C40" s="42" t="s">
        <v>33</v>
      </c>
      <c r="D40" s="41">
        <f>(COUNTIFS(集計用!$AB:$AB, "*, "&amp;D$4&amp;",*",集計用!$G:$G, "*, "&amp;$C40&amp;",*"))/$B40*100</f>
        <v>0</v>
      </c>
      <c r="E40" s="41">
        <f>(COUNTIFS(集計用!$AB:$AB, "*, "&amp;E$4&amp;",*",集計用!$G:$G, "*, "&amp;$C40&amp;",*"))/$B40*100</f>
        <v>0</v>
      </c>
      <c r="F40" s="41">
        <f>(COUNTIFS(集計用!$AB:$AB, "*, "&amp;F$4&amp;",*",集計用!$G:$G, "*, "&amp;$C40&amp;",*"))/$B40*100</f>
        <v>0</v>
      </c>
      <c r="G40" s="41">
        <f>(COUNTIFS(集計用!$AB:$AB, "*, "&amp;G$4&amp;",*",集計用!$G:$G, "*, "&amp;$C40&amp;",*"))/$B40*100</f>
        <v>7.1428571428571423</v>
      </c>
      <c r="H40" s="41">
        <f>(COUNTIFS(集計用!$AB:$AB, "*, "&amp;H$4&amp;",*",集計用!$G:$G, "*, "&amp;$C40&amp;",*"))/$B40*100</f>
        <v>0</v>
      </c>
      <c r="I40" s="41">
        <f>(COUNTIFS(集計用!$AB:$AB, "*, "&amp;I$4&amp;",*",集計用!$G:$G, "*, "&amp;$C40&amp;",*"))/$B40*100</f>
        <v>0</v>
      </c>
      <c r="J40" s="41">
        <f>(COUNTIFS(集計用!$AB:$AB, "*, "&amp;J$4&amp;",*",集計用!$G:$G, "*, "&amp;$C40&amp;",*"))/$B40*100</f>
        <v>0</v>
      </c>
      <c r="K40" s="41">
        <f>(COUNTIFS(集計用!$AB:$AB, "*, "&amp;K$4&amp;",*",集計用!$G:$G, "*, "&amp;$C40&amp;",*"))/$B40*100</f>
        <v>14.285714285714285</v>
      </c>
      <c r="L40" s="41">
        <f>(COUNTIFS(集計用!$AB:$AB, "*, "&amp;L$4&amp;",*",集計用!$G:$G, "*, "&amp;$C40&amp;",*"))/$B40*100</f>
        <v>7.1428571428571423</v>
      </c>
      <c r="M40" s="41">
        <f>(COUNTIFS(集計用!$AB:$AB, "*, "&amp;M$4&amp;",*",集計用!$G:$G, "*, "&amp;$C40&amp;",*"))/$B40*100</f>
        <v>85.714285714285708</v>
      </c>
      <c r="N40" s="56">
        <f>(COUNTIFS(集計用!$G$2:$G$444,"*, "&amp;$C40&amp;",*",集計用!$AB$2:$AB$444,"&lt;&gt;無回答",集計用!$AB$2:$AB$444, "&lt;&gt;*"&amp;M$4&amp;"*"))/B40*100</f>
        <v>14.285714285714285</v>
      </c>
      <c r="O40" s="41"/>
      <c r="P40" s="41"/>
      <c r="Q40" s="41"/>
      <c r="R40" s="41"/>
      <c r="S40" s="41"/>
      <c r="T40" s="41"/>
      <c r="V40" s="39"/>
    </row>
    <row r="41" spans="1:22" ht="12.75">
      <c r="A41" s="39">
        <v>4</v>
      </c>
      <c r="B41" s="39">
        <f>(COUNTIFS(集計用!$G$2:$G$444,"*, "&amp;$C41&amp;",*",集計用!$AB$2:$AB$444,"&lt;&gt;無回答"))</f>
        <v>67</v>
      </c>
      <c r="C41" s="42" t="s">
        <v>5</v>
      </c>
      <c r="D41" s="41">
        <f>(COUNTIFS(集計用!$AB:$AB, "*, "&amp;D$4&amp;",*",集計用!$G:$G, "*, "&amp;$C41&amp;",*"))/$B41*100</f>
        <v>0</v>
      </c>
      <c r="E41" s="41">
        <f>(COUNTIFS(集計用!$AB:$AB, "*, "&amp;E$4&amp;",*",集計用!$G:$G, "*, "&amp;$C41&amp;",*"))/$B41*100</f>
        <v>1.4925373134328357</v>
      </c>
      <c r="F41" s="41">
        <f>(COUNTIFS(集計用!$AB:$AB, "*, "&amp;F$4&amp;",*",集計用!$G:$G, "*, "&amp;$C41&amp;",*"))/$B41*100</f>
        <v>0</v>
      </c>
      <c r="G41" s="41">
        <f>(COUNTIFS(集計用!$AB:$AB, "*, "&amp;G$4&amp;",*",集計用!$G:$G, "*, "&amp;$C41&amp;",*"))/$B41*100</f>
        <v>4.4776119402985071</v>
      </c>
      <c r="H41" s="41">
        <f>(COUNTIFS(集計用!$AB:$AB, "*, "&amp;H$4&amp;",*",集計用!$G:$G, "*, "&amp;$C41&amp;",*"))/$B41*100</f>
        <v>2.9850746268656714</v>
      </c>
      <c r="I41" s="41">
        <f>(COUNTIFS(集計用!$AB:$AB, "*, "&amp;I$4&amp;",*",集計用!$G:$G, "*, "&amp;$C41&amp;",*"))/$B41*100</f>
        <v>2.9850746268656714</v>
      </c>
      <c r="J41" s="41">
        <f>(COUNTIFS(集計用!$AB:$AB, "*, "&amp;J$4&amp;",*",集計用!$G:$G, "*, "&amp;$C41&amp;",*"))/$B41*100</f>
        <v>0</v>
      </c>
      <c r="K41" s="41">
        <f>(COUNTIFS(集計用!$AB:$AB, "*, "&amp;K$4&amp;",*",集計用!$G:$G, "*, "&amp;$C41&amp;",*"))/$B41*100</f>
        <v>7.4626865671641784</v>
      </c>
      <c r="L41" s="41">
        <f>(COUNTIFS(集計用!$AB:$AB, "*, "&amp;L$4&amp;",*",集計用!$G:$G, "*, "&amp;$C41&amp;",*"))/$B41*100</f>
        <v>4.4776119402985071</v>
      </c>
      <c r="M41" s="41">
        <f>(COUNTIFS(集計用!$AB:$AB, "*, "&amp;M$4&amp;",*",集計用!$G:$G, "*, "&amp;$C41&amp;",*"))/$B41*100</f>
        <v>86.567164179104466</v>
      </c>
      <c r="N41" s="56">
        <f>(COUNTIFS(集計用!$G$2:$G$444,"*, "&amp;$C41&amp;",*",集計用!$AB$2:$AB$444,"&lt;&gt;無回答",集計用!$AB$2:$AB$444, "&lt;&gt;*"&amp;M$4&amp;"*"))/B41*100</f>
        <v>13.432835820895523</v>
      </c>
      <c r="O41" s="41"/>
      <c r="P41" s="41"/>
      <c r="Q41" s="41"/>
      <c r="R41" s="41"/>
      <c r="S41" s="41"/>
      <c r="T41" s="41"/>
      <c r="V41" s="39"/>
    </row>
    <row r="42" spans="1:22" ht="12.75">
      <c r="A42" s="39">
        <v>4</v>
      </c>
      <c r="B42" s="39">
        <f>(COUNTIFS(集計用!$G$2:$G$444,"*, "&amp;$C42&amp;",*",集計用!$AB$2:$AB$444,"&lt;&gt;無回答"))</f>
        <v>9</v>
      </c>
      <c r="C42" s="42" t="s">
        <v>40</v>
      </c>
      <c r="D42" s="41">
        <f>(COUNTIFS(集計用!$AB:$AB, "*, "&amp;D$4&amp;",*",集計用!$G:$G, "*, "&amp;$C42&amp;",*"))/$B42*100</f>
        <v>0</v>
      </c>
      <c r="E42" s="41">
        <f>(COUNTIFS(集計用!$AB:$AB, "*, "&amp;E$4&amp;",*",集計用!$G:$G, "*, "&amp;$C42&amp;",*"))/$B42*100</f>
        <v>0</v>
      </c>
      <c r="F42" s="41">
        <f>(COUNTIFS(集計用!$AB:$AB, "*, "&amp;F$4&amp;",*",集計用!$G:$G, "*, "&amp;$C42&amp;",*"))/$B42*100</f>
        <v>0</v>
      </c>
      <c r="G42" s="41">
        <f>(COUNTIFS(集計用!$AB:$AB, "*, "&amp;G$4&amp;",*",集計用!$G:$G, "*, "&amp;$C42&amp;",*"))/$B42*100</f>
        <v>0</v>
      </c>
      <c r="H42" s="41">
        <f>(COUNTIFS(集計用!$AB:$AB, "*, "&amp;H$4&amp;",*",集計用!$G:$G, "*, "&amp;$C42&amp;",*"))/$B42*100</f>
        <v>11.111111111111111</v>
      </c>
      <c r="I42" s="41">
        <f>(COUNTIFS(集計用!$AB:$AB, "*, "&amp;I$4&amp;",*",集計用!$G:$G, "*, "&amp;$C42&amp;",*"))/$B42*100</f>
        <v>0</v>
      </c>
      <c r="J42" s="41">
        <f>(COUNTIFS(集計用!$AB:$AB, "*, "&amp;J$4&amp;",*",集計用!$G:$G, "*, "&amp;$C42&amp;",*"))/$B42*100</f>
        <v>0</v>
      </c>
      <c r="K42" s="41">
        <f>(COUNTIFS(集計用!$AB:$AB, "*, "&amp;K$4&amp;",*",集計用!$G:$G, "*, "&amp;$C42&amp;",*"))/$B42*100</f>
        <v>0</v>
      </c>
      <c r="L42" s="41">
        <f>(COUNTIFS(集計用!$AB:$AB, "*, "&amp;L$4&amp;",*",集計用!$G:$G, "*, "&amp;$C42&amp;",*"))/$B42*100</f>
        <v>11.111111111111111</v>
      </c>
      <c r="M42" s="41">
        <f>(COUNTIFS(集計用!$AB:$AB, "*, "&amp;M$4&amp;",*",集計用!$G:$G, "*, "&amp;$C42&amp;",*"))/$B42*100</f>
        <v>88.888888888888886</v>
      </c>
      <c r="N42" s="56">
        <f>(COUNTIFS(集計用!$G$2:$G$444,"*, "&amp;$C42&amp;",*",集計用!$AB$2:$AB$444,"&lt;&gt;無回答",集計用!$AB$2:$AB$444, "&lt;&gt;*"&amp;M$4&amp;"*"))/B42*100</f>
        <v>11.111111111111111</v>
      </c>
      <c r="O42" s="41"/>
      <c r="P42" s="41"/>
      <c r="Q42" s="41"/>
      <c r="R42" s="41"/>
      <c r="S42" s="41"/>
      <c r="T42" s="41"/>
      <c r="V42" s="39"/>
    </row>
    <row r="43" spans="1:22" ht="12.75">
      <c r="A43" s="39">
        <v>4</v>
      </c>
      <c r="B43" s="39">
        <f>(COUNTIFS(集計用!$G$2:$G$444,"*, "&amp;$C43&amp;",*",集計用!$AB$2:$AB$444,"&lt;&gt;無回答"))</f>
        <v>14</v>
      </c>
      <c r="C43" s="42" t="s">
        <v>31</v>
      </c>
      <c r="D43" s="41">
        <f>(COUNTIFS(集計用!$AB:$AB, "*, "&amp;D$4&amp;",*",集計用!$G:$G, "*, "&amp;$C43&amp;",*"))/$B43*100</f>
        <v>0</v>
      </c>
      <c r="E43" s="41">
        <f>(COUNTIFS(集計用!$AB:$AB, "*, "&amp;E$4&amp;",*",集計用!$G:$G, "*, "&amp;$C43&amp;",*"))/$B43*100</f>
        <v>0</v>
      </c>
      <c r="F43" s="41">
        <f>(COUNTIFS(集計用!$AB:$AB, "*, "&amp;F$4&amp;",*",集計用!$G:$G, "*, "&amp;$C43&amp;",*"))/$B43*100</f>
        <v>0</v>
      </c>
      <c r="G43" s="41">
        <f>(COUNTIFS(集計用!$AB:$AB, "*, "&amp;G$4&amp;",*",集計用!$G:$G, "*, "&amp;$C43&amp;",*"))/$B43*100</f>
        <v>0</v>
      </c>
      <c r="H43" s="41">
        <f>(COUNTIFS(集計用!$AB:$AB, "*, "&amp;H$4&amp;",*",集計用!$G:$G, "*, "&amp;$C43&amp;",*"))/$B43*100</f>
        <v>0</v>
      </c>
      <c r="I43" s="41">
        <f>(COUNTIFS(集計用!$AB:$AB, "*, "&amp;I$4&amp;",*",集計用!$G:$G, "*, "&amp;$C43&amp;",*"))/$B43*100</f>
        <v>0</v>
      </c>
      <c r="J43" s="41">
        <f>(COUNTIFS(集計用!$AB:$AB, "*, "&amp;J$4&amp;",*",集計用!$G:$G, "*, "&amp;$C43&amp;",*"))/$B43*100</f>
        <v>0</v>
      </c>
      <c r="K43" s="41">
        <f>(COUNTIFS(集計用!$AB:$AB, "*, "&amp;K$4&amp;",*",集計用!$G:$G, "*, "&amp;$C43&amp;",*"))/$B43*100</f>
        <v>0</v>
      </c>
      <c r="L43" s="41">
        <f>(COUNTIFS(集計用!$AB:$AB, "*, "&amp;L$4&amp;",*",集計用!$G:$G, "*, "&amp;$C43&amp;",*"))/$B43*100</f>
        <v>7.1428571428571423</v>
      </c>
      <c r="M43" s="41">
        <f>(COUNTIFS(集計用!$AB:$AB, "*, "&amp;M$4&amp;",*",集計用!$G:$G, "*, "&amp;$C43&amp;",*"))/$B43*100</f>
        <v>92.857142857142861</v>
      </c>
      <c r="N43" s="56">
        <f>(COUNTIFS(集計用!$G$2:$G$444,"*, "&amp;$C43&amp;",*",集計用!$AB$2:$AB$444,"&lt;&gt;無回答",集計用!$AB$2:$AB$444, "&lt;&gt;*"&amp;M$4&amp;"*"))/B43*100</f>
        <v>7.1428571428571423</v>
      </c>
      <c r="O43" s="41"/>
      <c r="P43" s="41"/>
      <c r="Q43" s="41"/>
      <c r="R43" s="41"/>
      <c r="S43" s="41"/>
      <c r="T43" s="41"/>
      <c r="V43" s="39"/>
    </row>
    <row r="44" spans="1:22" ht="12.75">
      <c r="A44" s="39">
        <v>4</v>
      </c>
      <c r="B44" s="39">
        <f>(COUNTIFS(集計用!$G$2:$G$444,"*, "&amp;$C44&amp;",*",集計用!$AB$2:$AB$444,"&lt;&gt;無回答"))</f>
        <v>11</v>
      </c>
      <c r="C44" s="42" t="s">
        <v>37</v>
      </c>
      <c r="D44" s="41">
        <f>(COUNTIFS(集計用!$AB:$AB, "*, "&amp;D$4&amp;",*",集計用!$G:$G, "*, "&amp;$C44&amp;",*"))/$B44*100</f>
        <v>0</v>
      </c>
      <c r="E44" s="41">
        <f>(COUNTIFS(集計用!$AB:$AB, "*, "&amp;E$4&amp;",*",集計用!$G:$G, "*, "&amp;$C44&amp;",*"))/$B44*100</f>
        <v>0</v>
      </c>
      <c r="F44" s="41">
        <f>(COUNTIFS(集計用!$AB:$AB, "*, "&amp;F$4&amp;",*",集計用!$G:$G, "*, "&amp;$C44&amp;",*"))/$B44*100</f>
        <v>0</v>
      </c>
      <c r="G44" s="41">
        <f>(COUNTIFS(集計用!$AB:$AB, "*, "&amp;G$4&amp;",*",集計用!$G:$G, "*, "&amp;$C44&amp;",*"))/$B44*100</f>
        <v>0</v>
      </c>
      <c r="H44" s="41">
        <f>(COUNTIFS(集計用!$AB:$AB, "*, "&amp;H$4&amp;",*",集計用!$G:$G, "*, "&amp;$C44&amp;",*"))/$B44*100</f>
        <v>0</v>
      </c>
      <c r="I44" s="41">
        <f>(COUNTIFS(集計用!$AB:$AB, "*, "&amp;I$4&amp;",*",集計用!$G:$G, "*, "&amp;$C44&amp;",*"))/$B44*100</f>
        <v>0</v>
      </c>
      <c r="J44" s="41">
        <f>(COUNTIFS(集計用!$AB:$AB, "*, "&amp;J$4&amp;",*",集計用!$G:$G, "*, "&amp;$C44&amp;",*"))/$B44*100</f>
        <v>0</v>
      </c>
      <c r="K44" s="41">
        <f>(COUNTIFS(集計用!$AB:$AB, "*, "&amp;K$4&amp;",*",集計用!$G:$G, "*, "&amp;$C44&amp;",*"))/$B44*100</f>
        <v>0</v>
      </c>
      <c r="L44" s="41">
        <f>(COUNTIFS(集計用!$AB:$AB, "*, "&amp;L$4&amp;",*",集計用!$G:$G, "*, "&amp;$C44&amp;",*"))/$B44*100</f>
        <v>0</v>
      </c>
      <c r="M44" s="41">
        <f>(COUNTIFS(集計用!$AB:$AB, "*, "&amp;M$4&amp;",*",集計用!$G:$G, "*, "&amp;$C44&amp;",*"))/$B44*100</f>
        <v>100</v>
      </c>
      <c r="N44" s="56">
        <f>(COUNTIFS(集計用!$G$2:$G$444,"*, "&amp;$C44&amp;",*",集計用!$AB$2:$AB$444,"&lt;&gt;無回答",集計用!$AB$2:$AB$444, "&lt;&gt;*"&amp;M$4&amp;"*"))/B44*100</f>
        <v>0</v>
      </c>
      <c r="O44" s="41"/>
      <c r="P44" s="41"/>
      <c r="Q44" s="41"/>
      <c r="R44" s="41"/>
      <c r="S44" s="41"/>
      <c r="T44" s="41"/>
      <c r="V44" s="39"/>
    </row>
    <row r="45" spans="1:22" ht="14.25" customHeight="1">
      <c r="A45" s="39">
        <v>4</v>
      </c>
      <c r="B45" s="39">
        <f>(COUNTIFS(集計用!$G$2:$G$444,"*, "&amp;$C45&amp;",*",集計用!$AB$2:$AB$444,"&lt;&gt;無回答"))</f>
        <v>16</v>
      </c>
      <c r="C45" s="42" t="s">
        <v>27</v>
      </c>
      <c r="D45" s="41">
        <f>(COUNTIFS(集計用!$AB:$AB, "*, "&amp;D$4&amp;",*",集計用!$G:$G, "*, "&amp;$C45&amp;",*"))/$B45*100</f>
        <v>0</v>
      </c>
      <c r="E45" s="41">
        <f>(COUNTIFS(集計用!$AB:$AB, "*, "&amp;E$4&amp;",*",集計用!$G:$G, "*, "&amp;$C45&amp;",*"))/$B45*100</f>
        <v>0</v>
      </c>
      <c r="F45" s="41">
        <f>(COUNTIFS(集計用!$AB:$AB, "*, "&amp;F$4&amp;",*",集計用!$G:$G, "*, "&amp;$C45&amp;",*"))/$B45*100</f>
        <v>0</v>
      </c>
      <c r="G45" s="41">
        <f>(COUNTIFS(集計用!$AB:$AB, "*, "&amp;G$4&amp;",*",集計用!$G:$G, "*, "&amp;$C45&amp;",*"))/$B45*100</f>
        <v>0</v>
      </c>
      <c r="H45" s="41">
        <f>(COUNTIFS(集計用!$AB:$AB, "*, "&amp;H$4&amp;",*",集計用!$G:$G, "*, "&amp;$C45&amp;",*"))/$B45*100</f>
        <v>0</v>
      </c>
      <c r="I45" s="41">
        <f>(COUNTIFS(集計用!$AB:$AB, "*, "&amp;I$4&amp;",*",集計用!$G:$G, "*, "&amp;$C45&amp;",*"))/$B45*100</f>
        <v>0</v>
      </c>
      <c r="J45" s="41">
        <f>(COUNTIFS(集計用!$AB:$AB, "*, "&amp;J$4&amp;",*",集計用!$G:$G, "*, "&amp;$C45&amp;",*"))/$B45*100</f>
        <v>0</v>
      </c>
      <c r="K45" s="41">
        <f>(COUNTIFS(集計用!$AB:$AB, "*, "&amp;K$4&amp;",*",集計用!$G:$G, "*, "&amp;$C45&amp;",*"))/$B45*100</f>
        <v>0</v>
      </c>
      <c r="L45" s="41">
        <f>(COUNTIFS(集計用!$AB:$AB, "*, "&amp;L$4&amp;",*",集計用!$G:$G, "*, "&amp;$C45&amp;",*"))/$B45*100</f>
        <v>0</v>
      </c>
      <c r="M45" s="41">
        <f>(COUNTIFS(集計用!$AB:$AB, "*, "&amp;M$4&amp;",*",集計用!$G:$G, "*, "&amp;$C45&amp;",*"))/$B45*100</f>
        <v>100</v>
      </c>
      <c r="N45" s="56">
        <f>(COUNTIFS(集計用!$G$2:$G$444,"*, "&amp;$C45&amp;",*",集計用!$AB$2:$AB$444,"&lt;&gt;無回答",集計用!$AB$2:$AB$444, "&lt;&gt;*"&amp;M$4&amp;"*"))/B45*100</f>
        <v>0</v>
      </c>
      <c r="O45" s="41"/>
      <c r="P45" s="41"/>
      <c r="Q45" s="41"/>
      <c r="R45" s="41"/>
      <c r="S45" s="41"/>
      <c r="T45" s="41"/>
      <c r="V45" s="39"/>
    </row>
    <row r="46" spans="1:22" ht="14.25" customHeight="1">
      <c r="A46" s="39">
        <v>4</v>
      </c>
      <c r="B46" s="39">
        <f>(COUNTIFS(集計用!$G$2:$G$444,"*, "&amp;$C46&amp;",*",集計用!$AB$2:$AB$444,"&lt;&gt;無回答"))</f>
        <v>7</v>
      </c>
      <c r="C46" s="42" t="s">
        <v>43</v>
      </c>
      <c r="D46" s="41">
        <f>(COUNTIFS(集計用!$AB:$AB, "*, "&amp;D$4&amp;",*",集計用!$G:$G, "*, "&amp;$C46&amp;",*"))/$B46*100</f>
        <v>0</v>
      </c>
      <c r="E46" s="41">
        <f>(COUNTIFS(集計用!$AB:$AB, "*, "&amp;E$4&amp;",*",集計用!$G:$G, "*, "&amp;$C46&amp;",*"))/$B46*100</f>
        <v>0</v>
      </c>
      <c r="F46" s="41">
        <f>(COUNTIFS(集計用!$AB:$AB, "*, "&amp;F$4&amp;",*",集計用!$G:$G, "*, "&amp;$C46&amp;",*"))/$B46*100</f>
        <v>0</v>
      </c>
      <c r="G46" s="41">
        <f>(COUNTIFS(集計用!$AB:$AB, "*, "&amp;G$4&amp;",*",集計用!$G:$G, "*, "&amp;$C46&amp;",*"))/$B46*100</f>
        <v>0</v>
      </c>
      <c r="H46" s="41">
        <f>(COUNTIFS(集計用!$AB:$AB, "*, "&amp;H$4&amp;",*",集計用!$G:$G, "*, "&amp;$C46&amp;",*"))/$B46*100</f>
        <v>0</v>
      </c>
      <c r="I46" s="41">
        <f>(COUNTIFS(集計用!$AB:$AB, "*, "&amp;I$4&amp;",*",集計用!$G:$G, "*, "&amp;$C46&amp;",*"))/$B46*100</f>
        <v>0</v>
      </c>
      <c r="J46" s="41">
        <f>(COUNTIFS(集計用!$AB:$AB, "*, "&amp;J$4&amp;",*",集計用!$G:$G, "*, "&amp;$C46&amp;",*"))/$B46*100</f>
        <v>0</v>
      </c>
      <c r="K46" s="41">
        <f>(COUNTIFS(集計用!$AB:$AB, "*, "&amp;K$4&amp;",*",集計用!$G:$G, "*, "&amp;$C46&amp;",*"))/$B46*100</f>
        <v>0</v>
      </c>
      <c r="L46" s="41">
        <f>(COUNTIFS(集計用!$AB:$AB, "*, "&amp;L$4&amp;",*",集計用!$G:$G, "*, "&amp;$C46&amp;",*"))/$B46*100</f>
        <v>0</v>
      </c>
      <c r="M46" s="41">
        <f>(COUNTIFS(集計用!$AB:$AB, "*, "&amp;M$4&amp;",*",集計用!$G:$G, "*, "&amp;$C46&amp;",*"))/$B46*100</f>
        <v>100</v>
      </c>
      <c r="N46" s="56">
        <f>(COUNTIFS(集計用!$G$2:$G$444,"*, "&amp;$C46&amp;",*",集計用!$AB$2:$AB$444,"&lt;&gt;無回答",集計用!$AB$2:$AB$444, "&lt;&gt;*"&amp;M$4&amp;"*"))/B46*100</f>
        <v>0</v>
      </c>
      <c r="O46" s="41"/>
      <c r="P46" s="41"/>
      <c r="Q46" s="41"/>
      <c r="R46" s="41"/>
      <c r="S46" s="41"/>
      <c r="T46" s="41"/>
      <c r="V46" s="39"/>
    </row>
    <row r="47" spans="1:22" ht="14.25" customHeight="1">
      <c r="A47" s="39">
        <v>4</v>
      </c>
      <c r="B47" s="39">
        <f>(COUNTIFS(集計用!$G$2:$G$444,"*, "&amp;$C47&amp;",*",集計用!$AB$2:$AB$444,"&lt;&gt;無回答"))</f>
        <v>7</v>
      </c>
      <c r="C47" s="42" t="s">
        <v>42</v>
      </c>
      <c r="D47" s="41">
        <f>(COUNTIFS(集計用!$AB:$AB, "*, "&amp;D$4&amp;",*",集計用!$G:$G, "*, "&amp;$C47&amp;",*"))/$B47*100</f>
        <v>0</v>
      </c>
      <c r="E47" s="41">
        <f>(COUNTIFS(集計用!$AB:$AB, "*, "&amp;E$4&amp;",*",集計用!$G:$G, "*, "&amp;$C47&amp;",*"))/$B47*100</f>
        <v>0</v>
      </c>
      <c r="F47" s="41">
        <f>(COUNTIFS(集計用!$AB:$AB, "*, "&amp;F$4&amp;",*",集計用!$G:$G, "*, "&amp;$C47&amp;",*"))/$B47*100</f>
        <v>0</v>
      </c>
      <c r="G47" s="41">
        <f>(COUNTIFS(集計用!$AB:$AB, "*, "&amp;G$4&amp;",*",集計用!$G:$G, "*, "&amp;$C47&amp;",*"))/$B47*100</f>
        <v>0</v>
      </c>
      <c r="H47" s="41">
        <f>(COUNTIFS(集計用!$AB:$AB, "*, "&amp;H$4&amp;",*",集計用!$G:$G, "*, "&amp;$C47&amp;",*"))/$B47*100</f>
        <v>0</v>
      </c>
      <c r="I47" s="41">
        <f>(COUNTIFS(集計用!$AB:$AB, "*, "&amp;I$4&amp;",*",集計用!$G:$G, "*, "&amp;$C47&amp;",*"))/$B47*100</f>
        <v>0</v>
      </c>
      <c r="J47" s="41">
        <f>(COUNTIFS(集計用!$AB:$AB, "*, "&amp;J$4&amp;",*",集計用!$G:$G, "*, "&amp;$C47&amp;",*"))/$B47*100</f>
        <v>0</v>
      </c>
      <c r="K47" s="41">
        <f>(COUNTIFS(集計用!$AB:$AB, "*, "&amp;K$4&amp;",*",集計用!$G:$G, "*, "&amp;$C47&amp;",*"))/$B47*100</f>
        <v>0</v>
      </c>
      <c r="L47" s="41">
        <f>(COUNTIFS(集計用!$AB:$AB, "*, "&amp;L$4&amp;",*",集計用!$G:$G, "*, "&amp;$C47&amp;",*"))/$B47*100</f>
        <v>0</v>
      </c>
      <c r="M47" s="41">
        <f>(COUNTIFS(集計用!$AB:$AB, "*, "&amp;M$4&amp;",*",集計用!$G:$G, "*, "&amp;$C47&amp;",*"))/$B47*100</f>
        <v>100</v>
      </c>
      <c r="N47" s="56">
        <f>(COUNTIFS(集計用!$G$2:$G$444,"*, "&amp;$C47&amp;",*",集計用!$AB$2:$AB$444,"&lt;&gt;無回答",集計用!$AB$2:$AB$444, "&lt;&gt;*"&amp;M$4&amp;"*"))/B47*100</f>
        <v>0</v>
      </c>
      <c r="O47" s="41"/>
      <c r="P47" s="41"/>
      <c r="Q47" s="41"/>
      <c r="R47" s="41"/>
      <c r="S47" s="41"/>
      <c r="T47" s="41"/>
      <c r="V47" s="39"/>
    </row>
    <row r="48" spans="1:22" ht="12.75">
      <c r="A48" s="39">
        <v>4</v>
      </c>
      <c r="B48" s="39">
        <f>(COUNTIFS(集計用!$G$2:$G$444,"*, "&amp;$C48&amp;",*",集計用!$AB$2:$AB$444,"&lt;&gt;無回答"))</f>
        <v>5</v>
      </c>
      <c r="C48" s="42" t="s">
        <v>51</v>
      </c>
      <c r="D48" s="41">
        <f>(COUNTIFS(集計用!$AB:$AB, "*, "&amp;D$4&amp;",*",集計用!$G:$G, "*, "&amp;$C48&amp;",*"))/$B48*100</f>
        <v>0</v>
      </c>
      <c r="E48" s="41">
        <f>(COUNTIFS(集計用!$AB:$AB, "*, "&amp;E$4&amp;",*",集計用!$G:$G, "*, "&amp;$C48&amp;",*"))/$B48*100</f>
        <v>0</v>
      </c>
      <c r="F48" s="41">
        <f>(COUNTIFS(集計用!$AB:$AB, "*, "&amp;F$4&amp;",*",集計用!$G:$G, "*, "&amp;$C48&amp;",*"))/$B48*100</f>
        <v>0</v>
      </c>
      <c r="G48" s="41">
        <f>(COUNTIFS(集計用!$AB:$AB, "*, "&amp;G$4&amp;",*",集計用!$G:$G, "*, "&amp;$C48&amp;",*"))/$B48*100</f>
        <v>0</v>
      </c>
      <c r="H48" s="41">
        <f>(COUNTIFS(集計用!$AB:$AB, "*, "&amp;H$4&amp;",*",集計用!$G:$G, "*, "&amp;$C48&amp;",*"))/$B48*100</f>
        <v>0</v>
      </c>
      <c r="I48" s="41">
        <f>(COUNTIFS(集計用!$AB:$AB, "*, "&amp;I$4&amp;",*",集計用!$G:$G, "*, "&amp;$C48&amp;",*"))/$B48*100</f>
        <v>0</v>
      </c>
      <c r="J48" s="41">
        <f>(COUNTIFS(集計用!$AB:$AB, "*, "&amp;J$4&amp;",*",集計用!$G:$G, "*, "&amp;$C48&amp;",*"))/$B48*100</f>
        <v>0</v>
      </c>
      <c r="K48" s="41">
        <f>(COUNTIFS(集計用!$AB:$AB, "*, "&amp;K$4&amp;",*",集計用!$G:$G, "*, "&amp;$C48&amp;",*"))/$B48*100</f>
        <v>0</v>
      </c>
      <c r="L48" s="41">
        <f>(COUNTIFS(集計用!$AB:$AB, "*, "&amp;L$4&amp;",*",集計用!$G:$G, "*, "&amp;$C48&amp;",*"))/$B48*100</f>
        <v>0</v>
      </c>
      <c r="M48" s="41">
        <f>(COUNTIFS(集計用!$AB:$AB, "*, "&amp;M$4&amp;",*",集計用!$G:$G, "*, "&amp;$C48&amp;",*"))/$B48*100</f>
        <v>100</v>
      </c>
      <c r="N48" s="56">
        <f>(COUNTIFS(集計用!$G$2:$G$444,"*, "&amp;$C48&amp;",*",集計用!$AB$2:$AB$444,"&lt;&gt;無回答",集計用!$AB$2:$AB$444, "&lt;&gt;*"&amp;M$4&amp;"*"))/B48*100</f>
        <v>0</v>
      </c>
      <c r="O48" s="41"/>
      <c r="P48" s="41"/>
      <c r="Q48" s="41"/>
      <c r="R48" s="41"/>
      <c r="S48" s="41"/>
      <c r="T48" s="41"/>
      <c r="V48" s="39"/>
    </row>
    <row r="49" spans="1:27" ht="14.25" customHeight="1">
      <c r="A49" s="39">
        <v>3</v>
      </c>
      <c r="B49" s="39">
        <f>(COUNTIFS(集計用!$G$2:$G$444,"*, "&amp;$C49&amp;",*",集計用!$AB$2:$AB$444,"&lt;&gt;無回答"))</f>
        <v>78</v>
      </c>
      <c r="C49" s="42" t="s">
        <v>4</v>
      </c>
      <c r="D49" s="41">
        <f>(COUNTIFS(集計用!$AB:$AB, "*, "&amp;D$4&amp;",*",集計用!$G:$G, "*, "&amp;$C49&amp;",*"))/$B49*100</f>
        <v>2.5641025641025639</v>
      </c>
      <c r="E49" s="41">
        <f>(COUNTIFS(集計用!$AB:$AB, "*, "&amp;E$4&amp;",*",集計用!$G:$G, "*, "&amp;$C49&amp;",*"))/$B49*100</f>
        <v>6.4102564102564097</v>
      </c>
      <c r="F49" s="41">
        <f>(COUNTIFS(集計用!$AB:$AB, "*, "&amp;F$4&amp;",*",集計用!$G:$G, "*, "&amp;$C49&amp;",*"))/$B49*100</f>
        <v>5.1282051282051277</v>
      </c>
      <c r="G49" s="41">
        <f>(COUNTIFS(集計用!$AB:$AB, "*, "&amp;G$4&amp;",*",集計用!$G:$G, "*, "&amp;$C49&amp;",*"))/$B49*100</f>
        <v>3.8461538461538463</v>
      </c>
      <c r="H49" s="41">
        <f>(COUNTIFS(集計用!$AB:$AB, "*, "&amp;H$4&amp;",*",集計用!$G:$G, "*, "&amp;$C49&amp;",*"))/$B49*100</f>
        <v>2.5641025641025639</v>
      </c>
      <c r="I49" s="41">
        <f>(COUNTIFS(集計用!$AB:$AB, "*, "&amp;I$4&amp;",*",集計用!$G:$G, "*, "&amp;$C49&amp;",*"))/$B49*100</f>
        <v>6.4102564102564097</v>
      </c>
      <c r="J49" s="41">
        <f>(COUNTIFS(集計用!$AB:$AB, "*, "&amp;J$4&amp;",*",集計用!$G:$G, "*, "&amp;$C49&amp;",*"))/$B49*100</f>
        <v>0</v>
      </c>
      <c r="K49" s="41">
        <f>(COUNTIFS(集計用!$AB:$AB, "*, "&amp;K$4&amp;",*",集計用!$G:$G, "*, "&amp;$C49&amp;",*"))/$B49*100</f>
        <v>14.102564102564102</v>
      </c>
      <c r="L49" s="41">
        <f>(COUNTIFS(集計用!$AB:$AB, "*, "&amp;L$4&amp;",*",集計用!$G:$G, "*, "&amp;$C49&amp;",*"))/$B49*100</f>
        <v>17.948717948717949</v>
      </c>
      <c r="M49" s="41">
        <f>(COUNTIFS(集計用!$AB:$AB, "*, "&amp;M$4&amp;",*",集計用!$G:$G, "*, "&amp;$C49&amp;",*"))/$B49*100</f>
        <v>71.794871794871796</v>
      </c>
      <c r="N49" s="56">
        <f>(COUNTIFS(集計用!$G$2:$G$444,"*, "&amp;$C49&amp;",*",集計用!$AB$2:$AB$444,"&lt;&gt;無回答",集計用!$AB$2:$AB$444, "&lt;&gt;*"&amp;M$4&amp;"*"))/B49*100</f>
        <v>28.205128205128204</v>
      </c>
      <c r="O49" s="41"/>
      <c r="P49" s="41"/>
      <c r="Q49" s="41"/>
      <c r="R49" s="41"/>
      <c r="S49" s="41"/>
      <c r="T49" s="41"/>
      <c r="V49" s="39"/>
    </row>
    <row r="50" spans="1:27" ht="14.25" customHeight="1">
      <c r="A50" s="39">
        <v>3</v>
      </c>
      <c r="B50" s="39">
        <f>(COUNTIFS(集計用!$G$2:$G$444,"*, "&amp;$C50&amp;",*",集計用!$AB$2:$AB$444,"&lt;&gt;無回答"))</f>
        <v>58</v>
      </c>
      <c r="C50" s="42" t="s">
        <v>8</v>
      </c>
      <c r="D50" s="41">
        <f>(COUNTIFS(集計用!$AB:$AB, "*, "&amp;D$4&amp;",*",集計用!$G:$G, "*, "&amp;$C50&amp;",*"))/$B50*100</f>
        <v>0</v>
      </c>
      <c r="E50" s="41">
        <f>(COUNTIFS(集計用!$AB:$AB, "*, "&amp;E$4&amp;",*",集計用!$G:$G, "*, "&amp;$C50&amp;",*"))/$B50*100</f>
        <v>5.1724137931034484</v>
      </c>
      <c r="F50" s="41">
        <f>(COUNTIFS(集計用!$AB:$AB, "*, "&amp;F$4&amp;",*",集計用!$G:$G, "*, "&amp;$C50&amp;",*"))/$B50*100</f>
        <v>5.1724137931034484</v>
      </c>
      <c r="G50" s="41">
        <f>(COUNTIFS(集計用!$AB:$AB, "*, "&amp;G$4&amp;",*",集計用!$G:$G, "*, "&amp;$C50&amp;",*"))/$B50*100</f>
        <v>3.4482758620689653</v>
      </c>
      <c r="H50" s="41">
        <f>(COUNTIFS(集計用!$AB:$AB, "*, "&amp;H$4&amp;",*",集計用!$G:$G, "*, "&amp;$C50&amp;",*"))/$B50*100</f>
        <v>1.7241379310344827</v>
      </c>
      <c r="I50" s="41">
        <f>(COUNTIFS(集計用!$AB:$AB, "*, "&amp;I$4&amp;",*",集計用!$G:$G, "*, "&amp;$C50&amp;",*"))/$B50*100</f>
        <v>3.4482758620689653</v>
      </c>
      <c r="J50" s="41">
        <f>(COUNTIFS(集計用!$AB:$AB, "*, "&amp;J$4&amp;",*",集計用!$G:$G, "*, "&amp;$C50&amp;",*"))/$B50*100</f>
        <v>0</v>
      </c>
      <c r="K50" s="41">
        <f>(COUNTIFS(集計用!$AB:$AB, "*, "&amp;K$4&amp;",*",集計用!$G:$G, "*, "&amp;$C50&amp;",*"))/$B50*100</f>
        <v>13.793103448275861</v>
      </c>
      <c r="L50" s="41">
        <f>(COUNTIFS(集計用!$AB:$AB, "*, "&amp;L$4&amp;",*",集計用!$G:$G, "*, "&amp;$C50&amp;",*"))/$B50*100</f>
        <v>15.517241379310345</v>
      </c>
      <c r="M50" s="41">
        <f>(COUNTIFS(集計用!$AB:$AB, "*, "&amp;M$4&amp;",*",集計用!$G:$G, "*, "&amp;$C50&amp;",*"))/$B50*100</f>
        <v>75.862068965517238</v>
      </c>
      <c r="N50" s="56">
        <f>(COUNTIFS(集計用!$G$2:$G$444,"*, "&amp;$C50&amp;",*",集計用!$AB$2:$AB$444,"&lt;&gt;無回答",集計用!$AB$2:$AB$444, "&lt;&gt;*"&amp;M$4&amp;"*"))/B50*100</f>
        <v>24.137931034482758</v>
      </c>
      <c r="O50" s="41"/>
      <c r="P50" s="41"/>
      <c r="Q50" s="41"/>
      <c r="R50" s="41"/>
      <c r="S50" s="41"/>
      <c r="T50" s="41"/>
      <c r="V50" s="39"/>
    </row>
    <row r="51" spans="1:27" ht="14.25" customHeight="1">
      <c r="A51" s="39">
        <v>3</v>
      </c>
      <c r="B51" s="39">
        <f>(COUNTIFS(集計用!$G$2:$G$444,"*, "&amp;$C51&amp;",*",集計用!$AB$2:$AB$444,"&lt;&gt;無回答"))</f>
        <v>43</v>
      </c>
      <c r="C51" s="42" t="s">
        <v>15</v>
      </c>
      <c r="D51" s="41">
        <f>(COUNTIFS(集計用!$AB:$AB, "*, "&amp;D$4&amp;",*",集計用!$G:$G, "*, "&amp;$C51&amp;",*"))/$B51*100</f>
        <v>4.6511627906976747</v>
      </c>
      <c r="E51" s="41">
        <f>(COUNTIFS(集計用!$AB:$AB, "*, "&amp;E$4&amp;",*",集計用!$G:$G, "*, "&amp;$C51&amp;",*"))/$B51*100</f>
        <v>9.3023255813953494</v>
      </c>
      <c r="F51" s="41">
        <f>(COUNTIFS(集計用!$AB:$AB, "*, "&amp;F$4&amp;",*",集計用!$G:$G, "*, "&amp;$C51&amp;",*"))/$B51*100</f>
        <v>6.9767441860465116</v>
      </c>
      <c r="G51" s="41">
        <f>(COUNTIFS(集計用!$AB:$AB, "*, "&amp;G$4&amp;",*",集計用!$G:$G, "*, "&amp;$C51&amp;",*"))/$B51*100</f>
        <v>6.9767441860465116</v>
      </c>
      <c r="H51" s="41">
        <f>(COUNTIFS(集計用!$AB:$AB, "*, "&amp;H$4&amp;",*",集計用!$G:$G, "*, "&amp;$C51&amp;",*"))/$B51*100</f>
        <v>4.6511627906976747</v>
      </c>
      <c r="I51" s="41">
        <f>(COUNTIFS(集計用!$AB:$AB, "*, "&amp;I$4&amp;",*",集計用!$G:$G, "*, "&amp;$C51&amp;",*"))/$B51*100</f>
        <v>6.9767441860465116</v>
      </c>
      <c r="J51" s="41">
        <f>(COUNTIFS(集計用!$AB:$AB, "*, "&amp;J$4&amp;",*",集計用!$G:$G, "*, "&amp;$C51&amp;",*"))/$B51*100</f>
        <v>0</v>
      </c>
      <c r="K51" s="41">
        <f>(COUNTIFS(集計用!$AB:$AB, "*, "&amp;K$4&amp;",*",集計用!$G:$G, "*, "&amp;$C51&amp;",*"))/$B51*100</f>
        <v>6.9767441860465116</v>
      </c>
      <c r="L51" s="41">
        <f>(COUNTIFS(集計用!$AB:$AB, "*, "&amp;L$4&amp;",*",集計用!$G:$G, "*, "&amp;$C51&amp;",*"))/$B51*100</f>
        <v>18.604651162790699</v>
      </c>
      <c r="M51" s="41">
        <f>(COUNTIFS(集計用!$AB:$AB, "*, "&amp;M$4&amp;",*",集計用!$G:$G, "*, "&amp;$C51&amp;",*"))/$B51*100</f>
        <v>76.744186046511629</v>
      </c>
      <c r="N51" s="56">
        <f>(COUNTIFS(集計用!$G$2:$G$444,"*, "&amp;$C51&amp;",*",集計用!$AB$2:$AB$444,"&lt;&gt;無回答",集計用!$AB$2:$AB$444, "&lt;&gt;*"&amp;M$4&amp;"*"))/B51*100</f>
        <v>23.255813953488371</v>
      </c>
      <c r="O51" s="41"/>
      <c r="P51" s="41"/>
      <c r="Q51" s="41"/>
      <c r="R51" s="41"/>
      <c r="S51" s="41"/>
      <c r="T51" s="41"/>
      <c r="V51" s="39"/>
    </row>
    <row r="52" spans="1:27" ht="14.25" customHeight="1">
      <c r="A52" s="39">
        <v>2</v>
      </c>
      <c r="B52" s="39">
        <f>(COUNTIFS(集計用!$G$2:$G$444,"*, "&amp;$C52&amp;",*",集計用!$AB$2:$AB$444,"&lt;&gt;無回答"))</f>
        <v>59</v>
      </c>
      <c r="C52" s="42" t="s">
        <v>9</v>
      </c>
      <c r="D52" s="41">
        <f>(COUNTIFS(集計用!$AB:$AB, "*, "&amp;D$4&amp;",*",集計用!$G:$G, "*, "&amp;$C52&amp;",*"))/$B52*100</f>
        <v>1.6949152542372881</v>
      </c>
      <c r="E52" s="41">
        <f>(COUNTIFS(集計用!$AB:$AB, "*, "&amp;E$4&amp;",*",集計用!$G:$G, "*, "&amp;$C52&amp;",*"))/$B52*100</f>
        <v>5.0847457627118651</v>
      </c>
      <c r="F52" s="41">
        <f>(COUNTIFS(集計用!$AB:$AB, "*, "&amp;F$4&amp;",*",集計用!$G:$G, "*, "&amp;$C52&amp;",*"))/$B52*100</f>
        <v>3.3898305084745761</v>
      </c>
      <c r="G52" s="41">
        <f>(COUNTIFS(集計用!$AB:$AB, "*, "&amp;G$4&amp;",*",集計用!$G:$G, "*, "&amp;$C52&amp;",*"))/$B52*100</f>
        <v>5.0847457627118651</v>
      </c>
      <c r="H52" s="41">
        <f>(COUNTIFS(集計用!$AB:$AB, "*, "&amp;H$4&amp;",*",集計用!$G:$G, "*, "&amp;$C52&amp;",*"))/$B52*100</f>
        <v>1.6949152542372881</v>
      </c>
      <c r="I52" s="41">
        <f>(COUNTIFS(集計用!$AB:$AB, "*, "&amp;I$4&amp;",*",集計用!$G:$G, "*, "&amp;$C52&amp;",*"))/$B52*100</f>
        <v>3.3898305084745761</v>
      </c>
      <c r="J52" s="41">
        <f>(COUNTIFS(集計用!$AB:$AB, "*, "&amp;J$4&amp;",*",集計用!$G:$G, "*, "&amp;$C52&amp;",*"))/$B52*100</f>
        <v>0</v>
      </c>
      <c r="K52" s="41">
        <f>(COUNTIFS(集計用!$AB:$AB, "*, "&amp;K$4&amp;",*",集計用!$G:$G, "*, "&amp;$C52&amp;",*"))/$B52*100</f>
        <v>6.7796610169491522</v>
      </c>
      <c r="L52" s="41">
        <f>(COUNTIFS(集計用!$AB:$AB, "*, "&amp;L$4&amp;",*",集計用!$G:$G, "*, "&amp;$C52&amp;",*"))/$B52*100</f>
        <v>16.949152542372879</v>
      </c>
      <c r="M52" s="41">
        <f>(COUNTIFS(集計用!$AB:$AB, "*, "&amp;M$4&amp;",*",集計用!$G:$G, "*, "&amp;$C52&amp;",*"))/$B52*100</f>
        <v>76.271186440677965</v>
      </c>
      <c r="N52" s="56">
        <f>(COUNTIFS(集計用!$G$2:$G$444,"*, "&amp;$C52&amp;",*",集計用!$AB$2:$AB$444,"&lt;&gt;無回答",集計用!$AB$2:$AB$444, "&lt;&gt;*"&amp;M$4&amp;"*"))/B52*100</f>
        <v>23.728813559322035</v>
      </c>
      <c r="O52" s="41"/>
      <c r="P52" s="41"/>
      <c r="Q52" s="41"/>
      <c r="R52" s="41"/>
      <c r="S52" s="41"/>
      <c r="T52" s="41"/>
      <c r="V52" s="39"/>
    </row>
    <row r="53" spans="1:27" ht="14.25" customHeight="1">
      <c r="A53" s="39">
        <v>2</v>
      </c>
      <c r="B53" s="39">
        <f>(COUNTIFS(集計用!$G$2:$G$444,"*, "&amp;$C53&amp;",*",集計用!$AB$2:$AB$444,"&lt;&gt;無回答"))</f>
        <v>52</v>
      </c>
      <c r="C53" s="42" t="s">
        <v>11</v>
      </c>
      <c r="D53" s="41">
        <f>(COUNTIFS(集計用!$AB:$AB, "*, "&amp;D$4&amp;",*",集計用!$G:$G, "*, "&amp;$C53&amp;",*"))/$B53*100</f>
        <v>1.9230769230769231</v>
      </c>
      <c r="E53" s="41">
        <f>(COUNTIFS(集計用!$AB:$AB, "*, "&amp;E$4&amp;",*",集計用!$G:$G, "*, "&amp;$C53&amp;",*"))/$B53*100</f>
        <v>0</v>
      </c>
      <c r="F53" s="41">
        <f>(COUNTIFS(集計用!$AB:$AB, "*, "&amp;F$4&amp;",*",集計用!$G:$G, "*, "&amp;$C53&amp;",*"))/$B53*100</f>
        <v>0</v>
      </c>
      <c r="G53" s="41">
        <f>(COUNTIFS(集計用!$AB:$AB, "*, "&amp;G$4&amp;",*",集計用!$G:$G, "*, "&amp;$C53&amp;",*"))/$B53*100</f>
        <v>7.6923076923076925</v>
      </c>
      <c r="H53" s="41">
        <f>(COUNTIFS(集計用!$AB:$AB, "*, "&amp;H$4&amp;",*",集計用!$G:$G, "*, "&amp;$C53&amp;",*"))/$B53*100</f>
        <v>3.8461538461538463</v>
      </c>
      <c r="I53" s="41">
        <f>(COUNTIFS(集計用!$AB:$AB, "*, "&amp;I$4&amp;",*",集計用!$G:$G, "*, "&amp;$C53&amp;",*"))/$B53*100</f>
        <v>5.7692307692307692</v>
      </c>
      <c r="J53" s="41">
        <f>(COUNTIFS(集計用!$AB:$AB, "*, "&amp;J$4&amp;",*",集計用!$G:$G, "*, "&amp;$C53&amp;",*"))/$B53*100</f>
        <v>0</v>
      </c>
      <c r="K53" s="41">
        <f>(COUNTIFS(集計用!$AB:$AB, "*, "&amp;K$4&amp;",*",集計用!$G:$G, "*, "&amp;$C53&amp;",*"))/$B53*100</f>
        <v>7.6923076923076925</v>
      </c>
      <c r="L53" s="41">
        <f>(COUNTIFS(集計用!$AB:$AB, "*, "&amp;L$4&amp;",*",集計用!$G:$G, "*, "&amp;$C53&amp;",*"))/$B53*100</f>
        <v>11.538461538461538</v>
      </c>
      <c r="M53" s="41">
        <f>(COUNTIFS(集計用!$AB:$AB, "*, "&amp;M$4&amp;",*",集計用!$G:$G, "*, "&amp;$C53&amp;",*"))/$B53*100</f>
        <v>78.84615384615384</v>
      </c>
      <c r="N53" s="56">
        <f>(COUNTIFS(集計用!$G$2:$G$444,"*, "&amp;$C53&amp;",*",集計用!$AB$2:$AB$444,"&lt;&gt;無回答",集計用!$AB$2:$AB$444, "&lt;&gt;*"&amp;M$4&amp;"*"))/B53*100</f>
        <v>21.153846153846153</v>
      </c>
      <c r="O53" s="41"/>
      <c r="P53" s="41"/>
      <c r="Q53" s="41"/>
      <c r="R53" s="41"/>
      <c r="S53" s="41"/>
      <c r="T53" s="41"/>
      <c r="V53" s="39"/>
    </row>
    <row r="54" spans="1:27" ht="14.25" customHeight="1">
      <c r="A54" s="39">
        <v>2</v>
      </c>
      <c r="B54" s="39">
        <f>(COUNTIFS(集計用!$G$2:$G$444,"*, "&amp;$C54&amp;",*",集計用!$AB$2:$AB$444,"&lt;&gt;無回答"))</f>
        <v>106</v>
      </c>
      <c r="C54" s="42" t="s">
        <v>2</v>
      </c>
      <c r="D54" s="41">
        <f>(COUNTIFS(集計用!$AB:$AB, "*, "&amp;D$4&amp;",*",集計用!$G:$G, "*, "&amp;$C54&amp;",*"))/$B54*100</f>
        <v>0.94339622641509435</v>
      </c>
      <c r="E54" s="41">
        <f>(COUNTIFS(集計用!$AB:$AB, "*, "&amp;E$4&amp;",*",集計用!$G:$G, "*, "&amp;$C54&amp;",*"))/$B54*100</f>
        <v>2.8301886792452833</v>
      </c>
      <c r="F54" s="41">
        <f>(COUNTIFS(集計用!$AB:$AB, "*, "&amp;F$4&amp;",*",集計用!$G:$G, "*, "&amp;$C54&amp;",*"))/$B54*100</f>
        <v>2.8301886792452833</v>
      </c>
      <c r="G54" s="41">
        <f>(COUNTIFS(集計用!$AB:$AB, "*, "&amp;G$4&amp;",*",集計用!$G:$G, "*, "&amp;$C54&amp;",*"))/$B54*100</f>
        <v>3.7735849056603774</v>
      </c>
      <c r="H54" s="41">
        <f>(COUNTIFS(集計用!$AB:$AB, "*, "&amp;H$4&amp;",*",集計用!$G:$G, "*, "&amp;$C54&amp;",*"))/$B54*100</f>
        <v>2.8301886792452833</v>
      </c>
      <c r="I54" s="41">
        <f>(COUNTIFS(集計用!$AB:$AB, "*, "&amp;I$4&amp;",*",集計用!$G:$G, "*, "&amp;$C54&amp;",*"))/$B54*100</f>
        <v>5.6603773584905666</v>
      </c>
      <c r="J54" s="41">
        <f>(COUNTIFS(集計用!$AB:$AB, "*, "&amp;J$4&amp;",*",集計用!$G:$G, "*, "&amp;$C54&amp;",*"))/$B54*100</f>
        <v>0</v>
      </c>
      <c r="K54" s="41">
        <f>(COUNTIFS(集計用!$AB:$AB, "*, "&amp;K$4&amp;",*",集計用!$G:$G, "*, "&amp;$C54&amp;",*"))/$B54*100</f>
        <v>9.433962264150944</v>
      </c>
      <c r="L54" s="41">
        <f>(COUNTIFS(集計用!$AB:$AB, "*, "&amp;L$4&amp;",*",集計用!$G:$G, "*, "&amp;$C54&amp;",*"))/$B54*100</f>
        <v>9.433962264150944</v>
      </c>
      <c r="M54" s="41">
        <f>(COUNTIFS(集計用!$AB:$AB, "*, "&amp;M$4&amp;",*",集計用!$G:$G, "*, "&amp;$C54&amp;",*"))/$B54*100</f>
        <v>81.132075471698116</v>
      </c>
      <c r="N54" s="56">
        <f>(COUNTIFS(集計用!$G$2:$G$444,"*, "&amp;$C54&amp;",*",集計用!$AB$2:$AB$444,"&lt;&gt;無回答",集計用!$AB$2:$AB$444, "&lt;&gt;*"&amp;M$4&amp;"*"))/B54*100</f>
        <v>18.867924528301888</v>
      </c>
      <c r="O54" s="41"/>
      <c r="P54" s="41"/>
      <c r="Q54" s="41"/>
      <c r="R54" s="41"/>
      <c r="S54" s="41"/>
      <c r="T54" s="41"/>
      <c r="V54" s="39"/>
    </row>
    <row r="55" spans="1:27" ht="12.75">
      <c r="A55" s="39">
        <v>2</v>
      </c>
      <c r="B55" s="39">
        <f>(COUNTIFS(集計用!$G$2:$G$444,"*, "&amp;$C55&amp;",*",集計用!$AB$2:$AB$444,"&lt;&gt;無回答"))</f>
        <v>30</v>
      </c>
      <c r="C55" s="42" t="s">
        <v>19</v>
      </c>
      <c r="D55" s="41">
        <f>(COUNTIFS(集計用!$AB:$AB, "*, "&amp;D$4&amp;",*",集計用!$G:$G, "*, "&amp;$C55&amp;",*"))/$B55*100</f>
        <v>0</v>
      </c>
      <c r="E55" s="41">
        <f>(COUNTIFS(集計用!$AB:$AB, "*, "&amp;E$4&amp;",*",集計用!$G:$G, "*, "&amp;$C55&amp;",*"))/$B55*100</f>
        <v>3.3333333333333335</v>
      </c>
      <c r="F55" s="41">
        <f>(COUNTIFS(集計用!$AB:$AB, "*, "&amp;F$4&amp;",*",集計用!$G:$G, "*, "&amp;$C55&amp;",*"))/$B55*100</f>
        <v>10</v>
      </c>
      <c r="G55" s="41">
        <f>(COUNTIFS(集計用!$AB:$AB, "*, "&amp;G$4&amp;",*",集計用!$G:$G, "*, "&amp;$C55&amp;",*"))/$B55*100</f>
        <v>3.3333333333333335</v>
      </c>
      <c r="H55" s="41">
        <f>(COUNTIFS(集計用!$AB:$AB, "*, "&amp;H$4&amp;",*",集計用!$G:$G, "*, "&amp;$C55&amp;",*"))/$B55*100</f>
        <v>0</v>
      </c>
      <c r="I55" s="41">
        <f>(COUNTIFS(集計用!$AB:$AB, "*, "&amp;I$4&amp;",*",集計用!$G:$G, "*, "&amp;$C55&amp;",*"))/$B55*100</f>
        <v>0</v>
      </c>
      <c r="J55" s="41">
        <f>(COUNTIFS(集計用!$AB:$AB, "*, "&amp;J$4&amp;",*",集計用!$G:$G, "*, "&amp;$C55&amp;",*"))/$B55*100</f>
        <v>0</v>
      </c>
      <c r="K55" s="41">
        <f>(COUNTIFS(集計用!$AB:$AB, "*, "&amp;K$4&amp;",*",集計用!$G:$G, "*, "&amp;$C55&amp;",*"))/$B55*100</f>
        <v>10</v>
      </c>
      <c r="L55" s="41">
        <f>(COUNTIFS(集計用!$AB:$AB, "*, "&amp;L$4&amp;",*",集計用!$G:$G, "*, "&amp;$C55&amp;",*"))/$B55*100</f>
        <v>13.333333333333334</v>
      </c>
      <c r="M55" s="41">
        <f>(COUNTIFS(集計用!$AB:$AB, "*, "&amp;M$4&amp;",*",集計用!$G:$G, "*, "&amp;$C55&amp;",*"))/$B55*100</f>
        <v>83.333333333333343</v>
      </c>
      <c r="N55" s="56">
        <f>(COUNTIFS(集計用!$G$2:$G$444,"*, "&amp;$C55&amp;",*",集計用!$AB$2:$AB$444,"&lt;&gt;無回答",集計用!$AB$2:$AB$444, "&lt;&gt;*"&amp;M$4&amp;"*"))/B55*100</f>
        <v>16.666666666666664</v>
      </c>
      <c r="O55" s="41"/>
      <c r="P55" s="41"/>
      <c r="Q55" s="41"/>
      <c r="R55" s="41" t="s">
        <v>2448</v>
      </c>
      <c r="S55" s="41"/>
      <c r="T55" s="41"/>
      <c r="V55" s="39"/>
    </row>
    <row r="56" spans="1:27" ht="14.25" customHeight="1">
      <c r="A56" s="39">
        <v>2</v>
      </c>
      <c r="B56" s="39">
        <f>(COUNTIFS(集計用!$G$2:$G$444,"*, "&amp;$C56&amp;",*",集計用!$AB$2:$AB$444,"&lt;&gt;無回答"))</f>
        <v>6</v>
      </c>
      <c r="C56" s="42" t="s">
        <v>48</v>
      </c>
      <c r="D56" s="41">
        <f>(COUNTIFS(集計用!$AB:$AB, "*, "&amp;D$4&amp;",*",集計用!$G:$G, "*, "&amp;$C56&amp;",*"))/$B56*100</f>
        <v>0</v>
      </c>
      <c r="E56" s="41">
        <f>(COUNTIFS(集計用!$AB:$AB, "*, "&amp;E$4&amp;",*",集計用!$G:$G, "*, "&amp;$C56&amp;",*"))/$B56*100</f>
        <v>0</v>
      </c>
      <c r="F56" s="41">
        <f>(COUNTIFS(集計用!$AB:$AB, "*, "&amp;F$4&amp;",*",集計用!$G:$G, "*, "&amp;$C56&amp;",*"))/$B56*100</f>
        <v>0</v>
      </c>
      <c r="G56" s="41">
        <f>(COUNTIFS(集計用!$AB:$AB, "*, "&amp;G$4&amp;",*",集計用!$G:$G, "*, "&amp;$C56&amp;",*"))/$B56*100</f>
        <v>0</v>
      </c>
      <c r="H56" s="41">
        <f>(COUNTIFS(集計用!$AB:$AB, "*, "&amp;H$4&amp;",*",集計用!$G:$G, "*, "&amp;$C56&amp;",*"))/$B56*100</f>
        <v>0</v>
      </c>
      <c r="I56" s="41">
        <f>(COUNTIFS(集計用!$AB:$AB, "*, "&amp;I$4&amp;",*",集計用!$G:$G, "*, "&amp;$C56&amp;",*"))/$B56*100</f>
        <v>0</v>
      </c>
      <c r="J56" s="41">
        <f>(COUNTIFS(集計用!$AB:$AB, "*, "&amp;J$4&amp;",*",集計用!$G:$G, "*, "&amp;$C56&amp;",*"))/$B56*100</f>
        <v>0</v>
      </c>
      <c r="K56" s="41">
        <f>(COUNTIFS(集計用!$AB:$AB, "*, "&amp;K$4&amp;",*",集計用!$G:$G, "*, "&amp;$C56&amp;",*"))/$B56*100</f>
        <v>0</v>
      </c>
      <c r="L56" s="41">
        <f>(COUNTIFS(集計用!$AB:$AB, "*, "&amp;L$4&amp;",*",集計用!$G:$G, "*, "&amp;$C56&amp;",*"))/$B56*100</f>
        <v>0</v>
      </c>
      <c r="M56" s="41">
        <f>(COUNTIFS(集計用!$AB:$AB, "*, "&amp;M$4&amp;",*",集計用!$G:$G, "*, "&amp;$C56&amp;",*"))/$B56*100</f>
        <v>100</v>
      </c>
      <c r="N56" s="56">
        <f>(COUNTIFS(集計用!$G$2:$G$444,"*, "&amp;$C56&amp;",*",集計用!$AB$2:$AB$444,"&lt;&gt;無回答",集計用!$AB$2:$AB$444, "&lt;&gt;*"&amp;M$4&amp;"*"))/B56*100</f>
        <v>0</v>
      </c>
      <c r="O56" s="41"/>
      <c r="P56" s="41"/>
      <c r="Q56" s="41"/>
      <c r="R56" s="41"/>
      <c r="S56" s="41"/>
      <c r="T56" s="41"/>
      <c r="V56" s="39"/>
    </row>
    <row r="57" spans="1:27" ht="14.25" customHeight="1">
      <c r="A57" s="39">
        <v>1</v>
      </c>
      <c r="B57" s="39">
        <f>(COUNTIFS(集計用!$G$2:$G$444,"*, "&amp;$C57&amp;",*",集計用!$AB$2:$AB$444,"&lt;&gt;無回答"))</f>
        <v>224</v>
      </c>
      <c r="C57" s="42" t="s">
        <v>0</v>
      </c>
      <c r="D57" s="41">
        <f>(COUNTIFS(集計用!$AB:$AB, "*, "&amp;D$4&amp;",*",集計用!$G:$G, "*, "&amp;$C57&amp;",*"))/$B57*100</f>
        <v>1.3392857142857142</v>
      </c>
      <c r="E57" s="41">
        <f>(COUNTIFS(集計用!$AB:$AB, "*, "&amp;E$4&amp;",*",集計用!$G:$G, "*, "&amp;$C57&amp;",*"))/$B57*100</f>
        <v>3.5714285714285712</v>
      </c>
      <c r="F57" s="41">
        <f>(COUNTIFS(集計用!$AB:$AB, "*, "&amp;F$4&amp;",*",集計用!$G:$G, "*, "&amp;$C57&amp;",*"))/$B57*100</f>
        <v>2.2321428571428572</v>
      </c>
      <c r="G57" s="41">
        <f>(COUNTIFS(集計用!$AB:$AB, "*, "&amp;G$4&amp;",*",集計用!$G:$G, "*, "&amp;$C57&amp;",*"))/$B57*100</f>
        <v>6.6964285714285712</v>
      </c>
      <c r="H57" s="41">
        <f>(COUNTIFS(集計用!$AB:$AB, "*, "&amp;H$4&amp;",*",集計用!$G:$G, "*, "&amp;$C57&amp;",*"))/$B57*100</f>
        <v>3.125</v>
      </c>
      <c r="I57" s="41">
        <f>(COUNTIFS(集計用!$AB:$AB, "*, "&amp;I$4&amp;",*",集計用!$G:$G, "*, "&amp;$C57&amp;",*"))/$B57*100</f>
        <v>4.4642857142857144</v>
      </c>
      <c r="J57" s="41">
        <f>(COUNTIFS(集計用!$AB:$AB, "*, "&amp;J$4&amp;",*",集計用!$G:$G, "*, "&amp;$C57&amp;",*"))/$B57*100</f>
        <v>0.4464285714285714</v>
      </c>
      <c r="K57" s="41">
        <f>(COUNTIFS(集計用!$AB:$AB, "*, "&amp;K$4&amp;",*",集計用!$G:$G, "*, "&amp;$C57&amp;",*"))/$B57*100</f>
        <v>10.714285714285714</v>
      </c>
      <c r="L57" s="41">
        <f>(COUNTIFS(集計用!$AB:$AB, "*, "&amp;L$4&amp;",*",集計用!$G:$G, "*, "&amp;$C57&amp;",*"))/$B57*100</f>
        <v>12.5</v>
      </c>
      <c r="M57" s="41">
        <f>(COUNTIFS(集計用!$AB:$AB, "*, "&amp;M$4&amp;",*",集計用!$G:$G, "*, "&amp;$C57&amp;",*"))/$B57*100</f>
        <v>80.357142857142861</v>
      </c>
      <c r="N57" s="56">
        <f>(COUNTIFS(集計用!$G$2:$G$444,"*, "&amp;$C57&amp;",*",集計用!$AB$2:$AB$444,"&lt;&gt;無回答",集計用!$AB$2:$AB$444, "&lt;&gt;*"&amp;M$4&amp;"*"))/B57*100</f>
        <v>19.642857142857142</v>
      </c>
      <c r="O57" s="41"/>
      <c r="P57" s="41"/>
      <c r="Q57" s="41"/>
      <c r="R57" s="41"/>
      <c r="S57" s="41"/>
      <c r="T57" s="41"/>
      <c r="V57" s="39"/>
    </row>
    <row r="58" spans="1:27" ht="14.25" customHeight="1">
      <c r="A58" s="39">
        <v>1</v>
      </c>
      <c r="B58" s="39">
        <f>(COUNTIFS(集計用!$G$2:$G$444,"*, "&amp;$C58&amp;",*",集計用!$AB$2:$AB$444,"&lt;&gt;無回答"))</f>
        <v>127</v>
      </c>
      <c r="C58" s="42" t="s">
        <v>1</v>
      </c>
      <c r="D58" s="41">
        <f>(COUNTIFS(集計用!$AB:$AB, "*, "&amp;D$4&amp;",*",集計用!$G:$G, "*, "&amp;$C58&amp;",*"))/$B58*100</f>
        <v>0.78740157480314954</v>
      </c>
      <c r="E58" s="41">
        <f>(COUNTIFS(集計用!$AB:$AB, "*, "&amp;E$4&amp;",*",集計用!$G:$G, "*, "&amp;$C58&amp;",*"))/$B58*100</f>
        <v>3.9370078740157481</v>
      </c>
      <c r="F58" s="41">
        <f>(COUNTIFS(集計用!$AB:$AB, "*, "&amp;F$4&amp;",*",集計用!$G:$G, "*, "&amp;$C58&amp;",*"))/$B58*100</f>
        <v>3.9370078740157481</v>
      </c>
      <c r="G58" s="41">
        <f>(COUNTIFS(集計用!$AB:$AB, "*, "&amp;G$4&amp;",*",集計用!$G:$G, "*, "&amp;$C58&amp;",*"))/$B58*100</f>
        <v>7.8740157480314963</v>
      </c>
      <c r="H58" s="41">
        <f>(COUNTIFS(集計用!$AB:$AB, "*, "&amp;H$4&amp;",*",集計用!$G:$G, "*, "&amp;$C58&amp;",*"))/$B58*100</f>
        <v>2.3622047244094486</v>
      </c>
      <c r="I58" s="41">
        <f>(COUNTIFS(集計用!$AB:$AB, "*, "&amp;I$4&amp;",*",集計用!$G:$G, "*, "&amp;$C58&amp;",*"))/$B58*100</f>
        <v>3.1496062992125982</v>
      </c>
      <c r="J58" s="41">
        <f>(COUNTIFS(集計用!$AB:$AB, "*, "&amp;J$4&amp;",*",集計用!$G:$G, "*, "&amp;$C58&amp;",*"))/$B58*100</f>
        <v>0</v>
      </c>
      <c r="K58" s="41">
        <f>(COUNTIFS(集計用!$AB:$AB, "*, "&amp;K$4&amp;",*",集計用!$G:$G, "*, "&amp;$C58&amp;",*"))/$B58*100</f>
        <v>12.598425196850393</v>
      </c>
      <c r="L58" s="41">
        <f>(COUNTIFS(集計用!$AB:$AB, "*, "&amp;L$4&amp;",*",集計用!$G:$G, "*, "&amp;$C58&amp;",*"))/$B58*100</f>
        <v>11.023622047244094</v>
      </c>
      <c r="M58" s="41">
        <f>(COUNTIFS(集計用!$AB:$AB, "*, "&amp;M$4&amp;",*",集計用!$G:$G, "*, "&amp;$C58&amp;",*"))/$B58*100</f>
        <v>81.102362204724415</v>
      </c>
      <c r="N58" s="56">
        <f>(COUNTIFS(集計用!$G$2:$G$444,"*, "&amp;$C58&amp;",*",集計用!$AB$2:$AB$444,"&lt;&gt;無回答",集計用!$AB$2:$AB$444, "&lt;&gt;*"&amp;M$4&amp;"*"))/B58*100</f>
        <v>18.897637795275589</v>
      </c>
      <c r="O58" s="41"/>
      <c r="P58" s="41"/>
      <c r="Q58" s="41"/>
      <c r="R58" s="41"/>
      <c r="S58" s="41"/>
      <c r="T58" s="41"/>
      <c r="V58" s="39"/>
    </row>
    <row r="59" spans="1:27" ht="14.25" customHeight="1">
      <c r="A59" s="39">
        <v>1</v>
      </c>
      <c r="B59" s="39">
        <f>(COUNTIFS(集計用!$G$2:$G$444,"*, "&amp;$C59&amp;",*",集計用!$AB$2:$AB$444,"&lt;&gt;無回答"))</f>
        <v>64</v>
      </c>
      <c r="C59" s="42" t="s">
        <v>6</v>
      </c>
      <c r="D59" s="41">
        <f>(COUNTIFS(集計用!$AB:$AB, "*, "&amp;D$4&amp;",*",集計用!$G:$G, "*, "&amp;$C59&amp;",*"))/$B59*100</f>
        <v>1.5625</v>
      </c>
      <c r="E59" s="41">
        <f>(COUNTIFS(集計用!$AB:$AB, "*, "&amp;E$4&amp;",*",集計用!$G:$G, "*, "&amp;$C59&amp;",*"))/$B59*100</f>
        <v>3.125</v>
      </c>
      <c r="F59" s="41">
        <f>(COUNTIFS(集計用!$AB:$AB, "*, "&amp;F$4&amp;",*",集計用!$G:$G, "*, "&amp;$C59&amp;",*"))/$B59*100</f>
        <v>0</v>
      </c>
      <c r="G59" s="41">
        <f>(COUNTIFS(集計用!$AB:$AB, "*, "&amp;G$4&amp;",*",集計用!$G:$G, "*, "&amp;$C59&amp;",*"))/$B59*100</f>
        <v>10.9375</v>
      </c>
      <c r="H59" s="41">
        <f>(COUNTIFS(集計用!$AB:$AB, "*, "&amp;H$4&amp;",*",集計用!$G:$G, "*, "&amp;$C59&amp;",*"))/$B59*100</f>
        <v>3.125</v>
      </c>
      <c r="I59" s="41">
        <f>(COUNTIFS(集計用!$AB:$AB, "*, "&amp;I$4&amp;",*",集計用!$G:$G, "*, "&amp;$C59&amp;",*"))/$B59*100</f>
        <v>4.6875</v>
      </c>
      <c r="J59" s="41">
        <f>(COUNTIFS(集計用!$AB:$AB, "*, "&amp;J$4&amp;",*",集計用!$G:$G, "*, "&amp;$C59&amp;",*"))/$B59*100</f>
        <v>0</v>
      </c>
      <c r="K59" s="41">
        <f>(COUNTIFS(集計用!$AB:$AB, "*, "&amp;K$4&amp;",*",集計用!$G:$G, "*, "&amp;$C59&amp;",*"))/$B59*100</f>
        <v>12.5</v>
      </c>
      <c r="L59" s="41">
        <f>(COUNTIFS(集計用!$AB:$AB, "*, "&amp;L$4&amp;",*",集計用!$G:$G, "*, "&amp;$C59&amp;",*"))/$B59*100</f>
        <v>14.0625</v>
      </c>
      <c r="M59" s="41">
        <f>(COUNTIFS(集計用!$AB:$AB, "*, "&amp;M$4&amp;",*",集計用!$G:$G, "*, "&amp;$C59&amp;",*"))/$B59*100</f>
        <v>81.25</v>
      </c>
      <c r="N59" s="56">
        <f>(COUNTIFS(集計用!$G$2:$G$444,"*, "&amp;$C59&amp;",*",集計用!$AB$2:$AB$444,"&lt;&gt;無回答",集計用!$AB$2:$AB$444, "&lt;&gt;*"&amp;M$4&amp;"*"))/B59*100</f>
        <v>18.75</v>
      </c>
      <c r="O59" s="41"/>
      <c r="P59" s="41"/>
      <c r="Q59" s="41"/>
      <c r="R59" s="41"/>
      <c r="S59" s="41"/>
      <c r="T59" s="41"/>
      <c r="V59" s="39"/>
    </row>
    <row r="60" spans="1:27" ht="12.75">
      <c r="A60" s="39">
        <v>1</v>
      </c>
      <c r="B60" s="39">
        <f>(COUNTIFS(集計用!$G$2:$G$444,"*, "&amp;$C60&amp;",*",集計用!$AB$2:$AB$444,"&lt;&gt;無回答"))</f>
        <v>74</v>
      </c>
      <c r="C60" s="42" t="s">
        <v>3</v>
      </c>
      <c r="D60" s="41">
        <f>(COUNTIFS(集計用!$AB:$AB, "*, "&amp;D$4&amp;",*",集計用!$G:$G, "*, "&amp;$C60&amp;",*"))/$B60*100</f>
        <v>1.3513513513513513</v>
      </c>
      <c r="E60" s="41">
        <f>(COUNTIFS(集計用!$AB:$AB, "*, "&amp;E$4&amp;",*",集計用!$G:$G, "*, "&amp;$C60&amp;",*"))/$B60*100</f>
        <v>0</v>
      </c>
      <c r="F60" s="41">
        <f>(COUNTIFS(集計用!$AB:$AB, "*, "&amp;F$4&amp;",*",集計用!$G:$G, "*, "&amp;$C60&amp;",*"))/$B60*100</f>
        <v>1.3513513513513513</v>
      </c>
      <c r="G60" s="41">
        <f>(COUNTIFS(集計用!$AB:$AB, "*, "&amp;G$4&amp;",*",集計用!$G:$G, "*, "&amp;$C60&amp;",*"))/$B60*100</f>
        <v>2.7027027027027026</v>
      </c>
      <c r="H60" s="41">
        <f>(COUNTIFS(集計用!$AB:$AB, "*, "&amp;H$4&amp;",*",集計用!$G:$G, "*, "&amp;$C60&amp;",*"))/$B60*100</f>
        <v>1.3513513513513513</v>
      </c>
      <c r="I60" s="41">
        <f>(COUNTIFS(集計用!$AB:$AB, "*, "&amp;I$4&amp;",*",集計用!$G:$G, "*, "&amp;$C60&amp;",*"))/$B60*100</f>
        <v>1.3513513513513513</v>
      </c>
      <c r="J60" s="41">
        <f>(COUNTIFS(集計用!$AB:$AB, "*, "&amp;J$4&amp;",*",集計用!$G:$G, "*, "&amp;$C60&amp;",*"))/$B60*100</f>
        <v>0</v>
      </c>
      <c r="K60" s="41">
        <f>(COUNTIFS(集計用!$AB:$AB, "*, "&amp;K$4&amp;",*",集計用!$G:$G, "*, "&amp;$C60&amp;",*"))/$B60*100</f>
        <v>2.7027027027027026</v>
      </c>
      <c r="L60" s="41">
        <f>(COUNTIFS(集計用!$AB:$AB, "*, "&amp;L$4&amp;",*",集計用!$G:$G, "*, "&amp;$C60&amp;",*"))/$B60*100</f>
        <v>6.756756756756757</v>
      </c>
      <c r="M60" s="41">
        <f>(COUNTIFS(集計用!$AB:$AB, "*, "&amp;M$4&amp;",*",集計用!$G:$G, "*, "&amp;$C60&amp;",*"))/$B60*100</f>
        <v>89.189189189189193</v>
      </c>
      <c r="N60" s="56">
        <f>(COUNTIFS(集計用!$G$2:$G$444,"*, "&amp;$C60&amp;",*",集計用!$AB$2:$AB$444,"&lt;&gt;無回答",集計用!$AB$2:$AB$444, "&lt;&gt;*"&amp;M$4&amp;"*"))/B60*100</f>
        <v>10.810810810810811</v>
      </c>
      <c r="O60" s="41"/>
      <c r="P60" s="41"/>
      <c r="Q60" s="41"/>
      <c r="R60" s="41"/>
      <c r="S60" s="41"/>
      <c r="T60" s="41"/>
      <c r="V60" s="39"/>
    </row>
    <row r="61" spans="1:27" ht="14.25" customHeight="1">
      <c r="A61" s="39">
        <v>1</v>
      </c>
      <c r="B61" s="39">
        <f>(COUNTIFS(集計用!$G$2:$G$444,"*, "&amp;$C61&amp;",*",集計用!$AB$2:$AB$444,"&lt;&gt;無回答"))</f>
        <v>60</v>
      </c>
      <c r="C61" s="42" t="s">
        <v>7</v>
      </c>
      <c r="D61" s="41">
        <f>(COUNTIFS(集計用!$AB:$AB, "*, "&amp;D$4&amp;",*",集計用!$G:$G, "*, "&amp;$C61&amp;",*"))/$B61*100</f>
        <v>1.6666666666666667</v>
      </c>
      <c r="E61" s="41">
        <f>(COUNTIFS(集計用!$AB:$AB, "*, "&amp;E$4&amp;",*",集計用!$G:$G, "*, "&amp;$C61&amp;",*"))/$B61*100</f>
        <v>1.6666666666666667</v>
      </c>
      <c r="F61" s="41">
        <f>(COUNTIFS(集計用!$AB:$AB, "*, "&amp;F$4&amp;",*",集計用!$G:$G, "*, "&amp;$C61&amp;",*"))/$B61*100</f>
        <v>1.6666666666666667</v>
      </c>
      <c r="G61" s="41">
        <f>(COUNTIFS(集計用!$AB:$AB, "*, "&amp;G$4&amp;",*",集計用!$G:$G, "*, "&amp;$C61&amp;",*"))/$B61*100</f>
        <v>0</v>
      </c>
      <c r="H61" s="41">
        <f>(COUNTIFS(集計用!$AB:$AB, "*, "&amp;H$4&amp;",*",集計用!$G:$G, "*, "&amp;$C61&amp;",*"))/$B61*100</f>
        <v>0</v>
      </c>
      <c r="I61" s="41">
        <f>(COUNTIFS(集計用!$AB:$AB, "*, "&amp;I$4&amp;",*",集計用!$G:$G, "*, "&amp;$C61&amp;",*"))/$B61*100</f>
        <v>1.6666666666666667</v>
      </c>
      <c r="J61" s="41">
        <f>(COUNTIFS(集計用!$AB:$AB, "*, "&amp;J$4&amp;",*",集計用!$G:$G, "*, "&amp;$C61&amp;",*"))/$B61*100</f>
        <v>0</v>
      </c>
      <c r="K61" s="41">
        <f>(COUNTIFS(集計用!$AB:$AB, "*, "&amp;K$4&amp;",*",集計用!$G:$G, "*, "&amp;$C61&amp;",*"))/$B61*100</f>
        <v>1.6666666666666667</v>
      </c>
      <c r="L61" s="41">
        <f>(COUNTIFS(集計用!$AB:$AB, "*, "&amp;L$4&amp;",*",集計用!$G:$G, "*, "&amp;$C61&amp;",*"))/$B61*100</f>
        <v>5</v>
      </c>
      <c r="M61" s="41">
        <f>(COUNTIFS(集計用!$AB:$AB, "*, "&amp;M$4&amp;",*",集計用!$G:$G, "*, "&amp;$C61&amp;",*"))/$B61*100</f>
        <v>90</v>
      </c>
      <c r="N61" s="56">
        <f>(COUNTIFS(集計用!$G$2:$G$444,"*, "&amp;$C61&amp;",*",集計用!$AB$2:$AB$444,"&lt;&gt;無回答",集計用!$AB$2:$AB$444, "&lt;&gt;*"&amp;M$4&amp;"*"))/B61*100</f>
        <v>10</v>
      </c>
      <c r="O61" s="41"/>
      <c r="P61" s="41"/>
      <c r="Q61" s="41"/>
      <c r="R61" s="41"/>
      <c r="S61" s="41"/>
      <c r="T61" s="41"/>
      <c r="V61" s="39"/>
    </row>
    <row r="62" spans="1:27" ht="14.25" customHeight="1">
      <c r="A62" s="39">
        <v>0</v>
      </c>
      <c r="B62" s="39">
        <f>(COUNTIFS(集計用!$AB2:$AB444,"&lt;&gt;無回答"))</f>
        <v>383</v>
      </c>
      <c r="C62" s="40" t="s">
        <v>2249</v>
      </c>
      <c r="D62" s="41">
        <f>(COUNTIFS(集計用!$AB:$AB, "*, "&amp;D$4&amp;",*"))/$B62*100</f>
        <v>1.8276762402088773</v>
      </c>
      <c r="E62" s="41">
        <f>(COUNTIFS(集計用!$AB:$AB, "*, "&amp;E$4&amp;",*"))/$B62*100</f>
        <v>4.1775456919060057</v>
      </c>
      <c r="F62" s="41">
        <f>(COUNTIFS(集計用!$AB:$AB, "*, "&amp;F$4&amp;",*"))/$B62*100</f>
        <v>4.4386422976501301</v>
      </c>
      <c r="G62" s="41">
        <f>(COUNTIFS(集計用!$AB:$AB, "*, "&amp;G$4&amp;",*"))/$B62*100</f>
        <v>7.5718015665796345</v>
      </c>
      <c r="H62" s="41">
        <f>(COUNTIFS(集計用!$AB:$AB, "*, "&amp;H$4&amp;",*"))/$B62*100</f>
        <v>2.8720626631853787</v>
      </c>
      <c r="I62" s="41">
        <f>(COUNTIFS(集計用!$AB:$AB, "*, "&amp;I$4&amp;",*"))/$B62*100</f>
        <v>4.9608355091383807</v>
      </c>
      <c r="J62" s="41">
        <f>(COUNTIFS(集計用!$AB:$AB, "*, "&amp;J$4&amp;",*"))/$B62*100</f>
        <v>0.52219321148825071</v>
      </c>
      <c r="K62" s="41">
        <f>(COUNTIFS(集計用!$AB:$AB, "*, "&amp;K$4&amp;",*"))/$B62*100</f>
        <v>13.054830287206268</v>
      </c>
      <c r="L62" s="41">
        <f>(COUNTIFS(集計用!$AB:$AB, "*, "&amp;L$4&amp;",*"))/$B62*100</f>
        <v>14.360313315926893</v>
      </c>
      <c r="M62" s="41">
        <f>(COUNTIFS(集計用!$AB:$AB, "*, "&amp;M$4&amp;",*"))/$B62*100</f>
        <v>77.806788511749346</v>
      </c>
      <c r="N62" s="56">
        <f>(COUNTIFS(集計用!$AB2:$AB444,"&lt;&gt;無回答", 集計用!$AB2:$AB444, "&lt;&gt;*"&amp;M$4&amp;"*"))/B62*100</f>
        <v>22.193211488250654</v>
      </c>
      <c r="O62" s="41"/>
      <c r="P62" s="41"/>
      <c r="Q62" s="41"/>
      <c r="R62" s="41"/>
      <c r="S62" s="41"/>
      <c r="T62" s="41"/>
      <c r="V62" s="39"/>
    </row>
    <row r="63" spans="1:27" ht="14.25" customHeight="1">
      <c r="C63" s="43"/>
      <c r="D63" s="44"/>
      <c r="E63" s="44"/>
      <c r="F63" s="44"/>
      <c r="G63" s="44"/>
      <c r="H63" s="44"/>
      <c r="I63" s="44"/>
      <c r="J63" s="44"/>
      <c r="K63" s="44"/>
      <c r="L63" s="44"/>
      <c r="AA63" s="44"/>
    </row>
    <row r="64" spans="1:27" ht="12.75">
      <c r="C64" s="43"/>
      <c r="D64" s="44"/>
      <c r="E64" s="44"/>
      <c r="F64" s="44"/>
      <c r="G64" s="44"/>
      <c r="H64" s="44"/>
      <c r="I64" s="44"/>
      <c r="J64" s="44"/>
      <c r="K64" s="44"/>
      <c r="L64" s="44"/>
      <c r="AA64" s="44"/>
    </row>
    <row r="65" spans="3:27" ht="15.75" customHeight="1">
      <c r="C65" s="43"/>
      <c r="D65" s="44"/>
      <c r="E65" s="44"/>
      <c r="F65" s="44"/>
      <c r="G65" s="44"/>
      <c r="H65" s="44"/>
      <c r="I65" s="44"/>
      <c r="J65" s="44"/>
      <c r="K65" s="44"/>
      <c r="L65" s="44"/>
      <c r="AA65" s="44"/>
    </row>
    <row r="66" spans="3:27" ht="15.75" customHeight="1">
      <c r="C66" s="43"/>
      <c r="D66" s="44"/>
      <c r="E66" s="44"/>
      <c r="F66" s="44"/>
      <c r="G66" s="44"/>
      <c r="H66" s="44"/>
      <c r="I66" s="44"/>
      <c r="J66" s="44"/>
      <c r="K66" s="44"/>
      <c r="L66" s="44"/>
      <c r="AA66" s="44"/>
    </row>
    <row r="67" spans="3:27" ht="15.75" customHeight="1">
      <c r="C67" s="43"/>
      <c r="D67" s="44"/>
      <c r="E67" s="44"/>
      <c r="F67" s="44"/>
      <c r="G67" s="44"/>
      <c r="H67" s="44"/>
      <c r="I67" s="44"/>
      <c r="J67" s="44"/>
      <c r="K67" s="44"/>
      <c r="L67" s="44"/>
      <c r="AA67" s="44"/>
    </row>
    <row r="68" spans="3:27" ht="15.75" customHeight="1">
      <c r="C68" s="43"/>
      <c r="D68" s="44"/>
      <c r="E68" s="44"/>
      <c r="F68" s="44"/>
      <c r="G68" s="44"/>
      <c r="H68" s="44"/>
      <c r="I68" s="44"/>
      <c r="J68" s="44"/>
      <c r="K68" s="44"/>
      <c r="L68" s="44"/>
      <c r="AA68" s="44"/>
    </row>
  </sheetData>
  <phoneticPr fontId="8"/>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71C3E-2917-4663-B56B-E5AA7B576274}">
  <sheetPr>
    <outlinePr summaryBelow="0" summaryRight="0"/>
  </sheetPr>
  <dimension ref="A1:Z68"/>
  <sheetViews>
    <sheetView zoomScale="115" zoomScaleNormal="115" workbookViewId="0">
      <selection activeCell="A5" sqref="A5"/>
    </sheetView>
  </sheetViews>
  <sheetFormatPr defaultColWidth="12.5703125" defaultRowHeight="15.75" customHeight="1"/>
  <cols>
    <col min="1" max="1" width="12.5703125" style="39"/>
    <col min="2" max="2" width="26.7109375" style="39" customWidth="1"/>
    <col min="3" max="3" width="23.5703125" style="39" customWidth="1"/>
    <col min="4" max="4" width="21.28515625" style="39" customWidth="1"/>
    <col min="5" max="8" width="13.7109375" style="39" bestFit="1" customWidth="1"/>
    <col min="9" max="9" width="12.5703125" style="39"/>
    <col min="10" max="11" width="13.7109375" style="39" bestFit="1" customWidth="1"/>
    <col min="13" max="13" width="12.5703125" style="39"/>
    <col min="16" max="17" width="12.5703125" style="39"/>
    <col min="19" max="20" width="12.5703125" style="39"/>
    <col min="22" max="25" width="12.5703125" style="39"/>
    <col min="26" max="26" width="13.7109375" style="39" bestFit="1" customWidth="1"/>
    <col min="27" max="16384" width="12.5703125" style="39"/>
  </cols>
  <sheetData>
    <row r="1" spans="1:22" ht="15.75" customHeight="1">
      <c r="A1" s="38" t="s">
        <v>2449</v>
      </c>
      <c r="L1" s="39"/>
      <c r="M1"/>
      <c r="P1"/>
      <c r="Q1"/>
      <c r="S1"/>
      <c r="U1" s="39"/>
    </row>
    <row r="2" spans="1:22" ht="15.75" customHeight="1">
      <c r="C2" s="86" t="s">
        <v>2286</v>
      </c>
      <c r="L2" s="39"/>
      <c r="M2"/>
      <c r="P2"/>
      <c r="Q2"/>
      <c r="S2"/>
      <c r="U2" s="39"/>
    </row>
    <row r="3" spans="1:22" ht="13.5" customHeight="1">
      <c r="B3" s="86" t="s">
        <v>2261</v>
      </c>
      <c r="C3" s="39">
        <f>(COUNTIFS(集計用!$AB:$AB, "*, "&amp;テーブル210111214262781516[[#Headers],[顔にかかわる手術]]&amp;",*"))</f>
        <v>7</v>
      </c>
      <c r="D3" s="39">
        <f>(COUNTIFS(集計用!$AB:$AB, "*, "&amp;テーブル210111214262781516[[#Headers],[胸部の手術]]&amp;",*"))</f>
        <v>16</v>
      </c>
      <c r="E3" s="39">
        <f>(COUNTIFS(集計用!$AB:$AB, "*, "&amp;テーブル210111214262781516[[#Headers],[抗ホルモン療法]]&amp;",*"))</f>
        <v>17</v>
      </c>
      <c r="F3" s="39">
        <f>(COUNTIFS(集計用!$AB:$AB, "*, "&amp;テーブル210111214262781516[[#Headers],[戸籍名の変更]]&amp;",*"))</f>
        <v>29</v>
      </c>
      <c r="G3" s="39">
        <f>(COUNTIFS(集計用!$AB:$AB, "*, "&amp;テーブル210111214262781516[[#Headers],[戸籍上の性別の変更]]&amp;",*"))</f>
        <v>11</v>
      </c>
      <c r="H3" s="39">
        <f>(COUNTIFS(集計用!$AB:$AB, "*, "&amp;テーブル210111214262781516[[#Headers],[性器にかかわる手術]]&amp;",*"))</f>
        <v>19</v>
      </c>
      <c r="I3" s="39">
        <f>(COUNTIFS(集計用!$AB:$AB, "*, "&amp;テーブル210111214262781516[[#Headers],[声帯にかかわる手術]]&amp;",*"))</f>
        <v>2</v>
      </c>
      <c r="J3" s="39">
        <f>(COUNTIFS(集計用!$AB:$AB, "*, "&amp;テーブル210111214262781516[[#Headers],[ホルモン補充療法（HRT）]]&amp;",*"))</f>
        <v>50</v>
      </c>
      <c r="K3" s="39">
        <f>(COUNTIFS(集計用!$AB:$AB, "*, "&amp;テーブル210111214262781516[[#Headers],[ジェンダークリニックの受診]]&amp;",*"))</f>
        <v>55</v>
      </c>
      <c r="L3" s="39">
        <f>(COUNTIFS(集計用!$AB:$AB, "*, "&amp;テーブル210111214262781516[[#Headers],[（上記のどれも経験していない）]]&amp;",*"))</f>
        <v>298</v>
      </c>
      <c r="M3"/>
      <c r="P3"/>
      <c r="Q3"/>
      <c r="S3"/>
      <c r="U3" s="39"/>
    </row>
    <row r="4" spans="1:22" ht="12.75">
      <c r="A4" s="46" t="s">
        <v>2179</v>
      </c>
      <c r="B4" s="46" t="s">
        <v>2182</v>
      </c>
      <c r="C4" s="2" t="s">
        <v>295</v>
      </c>
      <c r="D4" s="2" t="s">
        <v>296</v>
      </c>
      <c r="E4" s="2" t="s">
        <v>297</v>
      </c>
      <c r="F4" s="2" t="s">
        <v>298</v>
      </c>
      <c r="G4" s="2" t="s">
        <v>299</v>
      </c>
      <c r="H4" s="2" t="s">
        <v>300</v>
      </c>
      <c r="I4" s="2" t="s">
        <v>301</v>
      </c>
      <c r="J4" s="2" t="s">
        <v>302</v>
      </c>
      <c r="K4" s="2" t="s">
        <v>303</v>
      </c>
      <c r="L4" s="76" t="s">
        <v>2453</v>
      </c>
      <c r="M4"/>
      <c r="P4"/>
      <c r="Q4"/>
      <c r="S4"/>
      <c r="U4" s="39"/>
    </row>
    <row r="5" spans="1:22" ht="12.75">
      <c r="A5" s="39">
        <f>(COUNTIFS(集計用!$AB2:$AB444,"&lt;&gt;無回答"))</f>
        <v>383</v>
      </c>
      <c r="B5" s="40" t="s">
        <v>2249</v>
      </c>
      <c r="C5" s="41">
        <f>(COUNTIFS(集計用!$AB:$AB, "*, "&amp;C$4&amp;",*"))/$A5*100</f>
        <v>1.8276762402088773</v>
      </c>
      <c r="D5" s="41">
        <f>(COUNTIFS(集計用!$AB:$AB, "*, "&amp;D$4&amp;",*"))/$A5*100</f>
        <v>4.1775456919060057</v>
      </c>
      <c r="E5" s="41">
        <f>(COUNTIFS(集計用!$AB:$AB, "*, "&amp;E$4&amp;",*"))/$A5*100</f>
        <v>4.4386422976501301</v>
      </c>
      <c r="F5" s="41">
        <f>(COUNTIFS(集計用!$AB:$AB, "*, "&amp;F$4&amp;",*"))/$A5*100</f>
        <v>7.5718015665796345</v>
      </c>
      <c r="G5" s="41">
        <f>(COUNTIFS(集計用!$AB:$AB, "*, "&amp;G$4&amp;",*"))/$A5*100</f>
        <v>2.8720626631853787</v>
      </c>
      <c r="H5" s="41">
        <f>(COUNTIFS(集計用!$AB:$AB, "*, "&amp;H$4&amp;",*"))/$A5*100</f>
        <v>4.9608355091383807</v>
      </c>
      <c r="I5" s="41">
        <f>(COUNTIFS(集計用!$AB:$AB, "*, "&amp;I$4&amp;",*"))/$A5*100</f>
        <v>0.52219321148825071</v>
      </c>
      <c r="J5" s="41">
        <f>(COUNTIFS(集計用!$AB:$AB, "*, "&amp;J$4&amp;",*"))/$A5*100</f>
        <v>13.054830287206268</v>
      </c>
      <c r="K5" s="41">
        <f>(COUNTIFS(集計用!$AB:$AB, "*, "&amp;K$4&amp;",*"))/$A5*100</f>
        <v>14.360313315926893</v>
      </c>
      <c r="L5" s="41">
        <f>(COUNTIFS(集計用!$AB:$AB, "*, "&amp;L$4&amp;",*"))/$A5*100</f>
        <v>77.806788511749346</v>
      </c>
      <c r="M5"/>
      <c r="P5"/>
      <c r="Q5"/>
      <c r="S5"/>
      <c r="U5" s="39"/>
    </row>
    <row r="6" spans="1:22" ht="15.75" customHeight="1">
      <c r="A6" s="39">
        <f>(COUNTIFS(集計用!$AE$2:$AE$444,"11-15",集計用!AB2:$AB444,"&lt;&gt;無回答"))+(COUNTIFS(集計用!$AE$2:$AE$444,"16-20",集計用!AB2:$AB444,"&lt;&gt;無回答"))</f>
        <v>42</v>
      </c>
      <c r="B6" s="32" t="s">
        <v>2181</v>
      </c>
      <c r="C6" s="95">
        <f>(COUNTIFS(集計用!$AE$2:$AE$444,"11-15",集計用!AB2:$AB444,"*, "&amp;C$4&amp;",*")+COUNTIFS(集計用!$AE$2:$AE$444,"16-20",集計用!AB2:$AB444,"*, "&amp;C$4&amp;",*"))/$A6*100</f>
        <v>0</v>
      </c>
      <c r="D6" s="95">
        <f>(COUNTIFS(集計用!$AE$2:$AE$444,"11-15",集計用!AB2:$AB444,"*, "&amp;D$4&amp;",*")+COUNTIFS(集計用!$AE$2:$AE$444,"16-20",集計用!AB2:$AB444,"*, "&amp;D$4&amp;",*"))/$A6*100</f>
        <v>0</v>
      </c>
      <c r="E6" s="95">
        <f>(COUNTIFS(集計用!$AE$2:$AE$444,"11-15",集計用!AB2:$AB444,"*, "&amp;E$4&amp;",*")+COUNTIFS(集計用!$AE$2:$AE$444,"16-20",集計用!AB2:$AB444,"*, "&amp;E$4&amp;",*"))/$A6*100</f>
        <v>0</v>
      </c>
      <c r="F6" s="95">
        <f>(COUNTIFS(集計用!$AE$2:$AE$444,"11-15",集計用!AB2:$AB444,"*, "&amp;F$4&amp;",*")+COUNTIFS(集計用!$AE$2:$AE$444,"16-20",集計用!AB2:$AB444,"*, "&amp;F$4&amp;",*"))/$A6*100</f>
        <v>2.3809523809523809</v>
      </c>
      <c r="G6" s="95">
        <f>(COUNTIFS(集計用!$AE$2:$AE$444,"11-15",集計用!AB2:$AB444,"*, "&amp;G$4&amp;",*")+COUNTIFS(集計用!$AE$2:$AE$444,"16-20",集計用!AB2:$AB444,"*, "&amp;G$4&amp;",*"))/$A6*100</f>
        <v>2.3809523809523809</v>
      </c>
      <c r="H6" s="95">
        <f>(COUNTIFS(集計用!$AE$2:$AE$444,"11-15",集計用!AB2:$AB444,"*, "&amp;H$4&amp;",*")+COUNTIFS(集計用!$AE$2:$AE$444,"16-20",集計用!AB2:$AB444,"*, "&amp;H$4&amp;",*"))/$A6*100</f>
        <v>2.3809523809523809</v>
      </c>
      <c r="I6" s="95">
        <f>(COUNTIFS(集計用!$AE$2:$AE$444,"11-15",集計用!AB2:$AB444,"*, "&amp;I$4&amp;",*")+COUNTIFS(集計用!$AE$2:$AE$444,"16-20",集計用!AB2:$AB444,"*, "&amp;I$4&amp;",*"))/$A6*100</f>
        <v>0</v>
      </c>
      <c r="J6" s="95">
        <f>(COUNTIFS(集計用!$AE$2:$AE$444,"11-15",集計用!AB2:$AB444,"*, "&amp;J$4&amp;",*")+COUNTIFS(集計用!$AE$2:$AE$444,"16-20",集計用!AB2:$AB444,"*, "&amp;J$4&amp;",*"))/$A6*100</f>
        <v>7.1428571428571423</v>
      </c>
      <c r="K6" s="95">
        <f>(COUNTIFS(集計用!$AE$2:$AE$444,"11-15",集計用!AB2:$AB444,"*, "&amp;K$4&amp;",*")+COUNTIFS(集計用!$AE$2:$AE$444,"16-20",集計用!AB2:$AB444,"*, "&amp;K$4&amp;",*"))/$A6*100</f>
        <v>14.285714285714285</v>
      </c>
      <c r="L6" s="95">
        <f>(COUNTIFS(集計用!$AE$2:$AE$444,"11-15",集計用!AB2:$AB444,"*, "&amp;L$4&amp;",*")+COUNTIFS(集計用!$AE$2:$AE$444,"16-20",集計用!AB2:$AB444,"*, "&amp;L$4&amp;",*"))/$A6*100</f>
        <v>83.333333333333343</v>
      </c>
      <c r="M6"/>
      <c r="P6"/>
      <c r="Q6"/>
      <c r="S6"/>
      <c r="U6" s="39"/>
    </row>
    <row r="7" spans="1:22" ht="15.75" customHeight="1">
      <c r="A7" s="39">
        <f>(COUNTIFS(集計用!$AE$2:$AE$444,$B7,集計用!AB2:$AB444,"&lt;&gt;無回答"))</f>
        <v>103</v>
      </c>
      <c r="B7" s="32" t="s">
        <v>2166</v>
      </c>
      <c r="C7" s="95">
        <f>(COUNTIFS(集計用!$AE$2:$AE$444,$B7,集計用!AB2:$AB444,"*, "&amp;C$4&amp;",*"))/$A7*100</f>
        <v>0.97087378640776689</v>
      </c>
      <c r="D7" s="95">
        <f>(COUNTIFS(集計用!$AE$2:$AE$444,$B7,集計用!AB2:$AB444,"*, "&amp;D$4&amp;",*"))/$A7*100</f>
        <v>1.9417475728155338</v>
      </c>
      <c r="E7" s="95">
        <f>(COUNTIFS(集計用!$AE$2:$AE$444,$B7,集計用!AB2:$AB444,"*, "&amp;E$4&amp;",*"))/$A7*100</f>
        <v>4.8543689320388346</v>
      </c>
      <c r="F7" s="95">
        <f>(COUNTIFS(集計用!$AE$2:$AE$444,$B7,集計用!AB2:$AB444,"*, "&amp;F$4&amp;",*"))/$A7*100</f>
        <v>4.8543689320388346</v>
      </c>
      <c r="G7" s="95">
        <f>(COUNTIFS(集計用!$AE$2:$AE$444,$B7,集計用!AB2:$AB444,"*, "&amp;G$4&amp;",*"))/$A7*100</f>
        <v>2.912621359223301</v>
      </c>
      <c r="H7" s="95">
        <f>(COUNTIFS(集計用!$AE$2:$AE$444,$B7,集計用!AB2:$AB444,"*, "&amp;H$4&amp;",*"))/$A7*100</f>
        <v>3.8834951456310676</v>
      </c>
      <c r="I7" s="95">
        <f>(COUNTIFS(集計用!$AE$2:$AE$444,$B7,集計用!AB2:$AB444,"*, "&amp;I$4&amp;",*"))/$A7*100</f>
        <v>0</v>
      </c>
      <c r="J7" s="95">
        <f>(COUNTIFS(集計用!$AE$2:$AE$444,$B7,集計用!AB2:$AB444,"*, "&amp;J$4&amp;",*"))/$A7*100</f>
        <v>8.7378640776699026</v>
      </c>
      <c r="K7" s="95">
        <f>(COUNTIFS(集計用!$AE$2:$AE$444,$B7,集計用!AB2:$AB444,"*, "&amp;K$4&amp;",*"))/$A7*100</f>
        <v>10.679611650485436</v>
      </c>
      <c r="L7" s="95">
        <f>(COUNTIFS(集計用!$AE$2:$AE$444,$B7,集計用!AB2:$AB444,"*, "&amp;L$4&amp;",*"))/$A7*100</f>
        <v>86.40776699029125</v>
      </c>
      <c r="M7"/>
      <c r="Q7" s="76"/>
      <c r="R7" s="14"/>
      <c r="T7" s="14"/>
      <c r="U7" s="41"/>
      <c r="V7" s="59"/>
    </row>
    <row r="8" spans="1:22" ht="15.75" customHeight="1">
      <c r="A8" s="39">
        <f>(COUNTIFS(集計用!$AE$2:$AE$444,$B8,集計用!AB2:$AB444,"&lt;&gt;無回答"))</f>
        <v>77</v>
      </c>
      <c r="B8" s="32" t="s">
        <v>2167</v>
      </c>
      <c r="C8" s="95">
        <f>(COUNTIFS(集計用!$AE$2:$AE$444,$B8,集計用!AB2:$AB444,"*, "&amp;C$4&amp;",*"))/$A8*100</f>
        <v>1.2987012987012987</v>
      </c>
      <c r="D8" s="95">
        <f>(COUNTIFS(集計用!$AE$2:$AE$444,$B8,集計用!AB2:$AB444,"*, "&amp;D$4&amp;",*"))/$A8*100</f>
        <v>6.4935064935064926</v>
      </c>
      <c r="E8" s="95">
        <f>(COUNTIFS(集計用!$AE$2:$AE$444,$B8,集計用!AB2:$AB444,"*, "&amp;E$4&amp;",*"))/$A8*100</f>
        <v>2.5974025974025974</v>
      </c>
      <c r="F8" s="95">
        <f>(COUNTIFS(集計用!$AE$2:$AE$444,$B8,集計用!AB2:$AB444,"*, "&amp;F$4&amp;",*"))/$A8*100</f>
        <v>7.7922077922077921</v>
      </c>
      <c r="G8" s="95">
        <f>(COUNTIFS(集計用!$AE$2:$AE$444,$B8,集計用!AB2:$AB444,"*, "&amp;G$4&amp;",*"))/$A8*100</f>
        <v>2.5974025974025974</v>
      </c>
      <c r="H8" s="95">
        <f>(COUNTIFS(集計用!$AE$2:$AE$444,$B8,集計用!AB2:$AB444,"*, "&amp;H$4&amp;",*"))/$A8*100</f>
        <v>2.5974025974025974</v>
      </c>
      <c r="I8" s="95">
        <f>(COUNTIFS(集計用!$AE$2:$AE$444,$B8,集計用!AB2:$AB444,"*, "&amp;I$4&amp;",*"))/$A8*100</f>
        <v>0</v>
      </c>
      <c r="J8" s="95">
        <f>(COUNTIFS(集計用!$AE$2:$AE$444,$B8,集計用!AB2:$AB444,"*, "&amp;J$4&amp;",*"))/$A8*100</f>
        <v>10.38961038961039</v>
      </c>
      <c r="K8" s="95">
        <f>(COUNTIFS(集計用!$AE$2:$AE$444,$B8,集計用!AB2:$AB444,"*, "&amp;K$4&amp;",*"))/$A8*100</f>
        <v>11.688311688311687</v>
      </c>
      <c r="L8" s="95">
        <f>(COUNTIFS(集計用!$AE$2:$AE$444,$B8,集計用!AB2:$AB444,"*, "&amp;L$4&amp;",*"))/$A8*100</f>
        <v>79.220779220779221</v>
      </c>
      <c r="M8"/>
      <c r="Q8" s="2"/>
      <c r="R8" s="14"/>
      <c r="T8" s="14"/>
      <c r="U8" s="41"/>
      <c r="V8" s="59"/>
    </row>
    <row r="9" spans="1:22" ht="15.75" customHeight="1">
      <c r="A9" s="39">
        <f>(COUNTIFS(集計用!$AE$2:$AE$444,$B9,集計用!AB2:$AB444,"&lt;&gt;無回答"))</f>
        <v>66</v>
      </c>
      <c r="B9" s="32" t="s">
        <v>2168</v>
      </c>
      <c r="C9" s="95">
        <f>(COUNTIFS(集計用!$AE$2:$AE$444,$B9,集計用!AB2:$AB444,"*, "&amp;C$4&amp;",*"))/$A9*100</f>
        <v>4.5454545454545459</v>
      </c>
      <c r="D9" s="95">
        <f>(COUNTIFS(集計用!$AE$2:$AE$444,$B9,集計用!AB2:$AB444,"*, "&amp;D$4&amp;",*"))/$A9*100</f>
        <v>7.5757575757575761</v>
      </c>
      <c r="E9" s="95">
        <f>(COUNTIFS(集計用!$AE$2:$AE$444,$B9,集計用!AB2:$AB444,"*, "&amp;E$4&amp;",*"))/$A9*100</f>
        <v>4.5454545454545459</v>
      </c>
      <c r="F9" s="95">
        <f>(COUNTIFS(集計用!$AE$2:$AE$444,$B9,集計用!AB2:$AB444,"*, "&amp;F$4&amp;",*"))/$A9*100</f>
        <v>6.0606060606060606</v>
      </c>
      <c r="G9" s="95">
        <f>(COUNTIFS(集計用!$AE$2:$AE$444,$B9,集計用!AB2:$AB444,"*, "&amp;G$4&amp;",*"))/$A9*100</f>
        <v>3.0303030303030303</v>
      </c>
      <c r="H9" s="95">
        <f>(COUNTIFS(集計用!$AE$2:$AE$444,$B9,集計用!AB2:$AB444,"*, "&amp;H$4&amp;",*"))/$A9*100</f>
        <v>7.5757575757575761</v>
      </c>
      <c r="I9" s="95">
        <f>(COUNTIFS(集計用!$AE$2:$AE$444,$B9,集計用!AB2:$AB444,"*, "&amp;I$4&amp;",*"))/$A9*100</f>
        <v>1.5151515151515151</v>
      </c>
      <c r="J9" s="95">
        <f>(COUNTIFS(集計用!$AE$2:$AE$444,$B9,集計用!AB2:$AB444,"*, "&amp;J$4&amp;",*"))/$A9*100</f>
        <v>15.151515151515152</v>
      </c>
      <c r="K9" s="95">
        <f>(COUNTIFS(集計用!$AE$2:$AE$444,$B9,集計用!AB2:$AB444,"*, "&amp;K$4&amp;",*"))/$A9*100</f>
        <v>18.181818181818183</v>
      </c>
      <c r="L9" s="95">
        <f>(COUNTIFS(集計用!$AE$2:$AE$444,$B9,集計用!AB2:$AB444,"*, "&amp;L$4&amp;",*"))/$A9*100</f>
        <v>72.727272727272734</v>
      </c>
      <c r="M9"/>
      <c r="Q9" s="2"/>
      <c r="R9" s="14"/>
      <c r="T9" s="14"/>
      <c r="U9" s="41"/>
      <c r="V9" s="59"/>
    </row>
    <row r="10" spans="1:22" ht="15.75" customHeight="1">
      <c r="A10" s="39">
        <f>(COUNTIFS(集計用!$AE$2:$AE$444,$B10,集計用!AB2:$AB444,"&lt;&gt;無回答"))</f>
        <v>27</v>
      </c>
      <c r="B10" s="32" t="s">
        <v>2169</v>
      </c>
      <c r="C10" s="95">
        <f>(COUNTIFS(集計用!$AE$2:$AE$444,$B10,集計用!AB2:$AB444,"*, "&amp;C$4&amp;",*"))/$A10*100</f>
        <v>7.4074074074074066</v>
      </c>
      <c r="D10" s="95">
        <f>(COUNTIFS(集計用!$AE$2:$AE$444,$B10,集計用!AB2:$AB444,"*, "&amp;D$4&amp;",*"))/$A10*100</f>
        <v>7.4074074074074066</v>
      </c>
      <c r="E10" s="95">
        <f>(COUNTIFS(集計用!$AE$2:$AE$444,$B10,集計用!AB2:$AB444,"*, "&amp;E$4&amp;",*"))/$A10*100</f>
        <v>3.7037037037037033</v>
      </c>
      <c r="F10" s="95">
        <f>(COUNTIFS(集計用!$AE$2:$AE$444,$B10,集計用!AB2:$AB444,"*, "&amp;F$4&amp;",*"))/$A10*100</f>
        <v>18.518518518518519</v>
      </c>
      <c r="G10" s="95">
        <f>(COUNTIFS(集計用!$AE$2:$AE$444,$B10,集計用!AB2:$AB444,"*, "&amp;G$4&amp;",*"))/$A10*100</f>
        <v>3.7037037037037033</v>
      </c>
      <c r="H10" s="95">
        <f>(COUNTIFS(集計用!$AE$2:$AE$444,$B10,集計用!AB2:$AB444,"*, "&amp;H$4&amp;",*"))/$A10*100</f>
        <v>7.4074074074074066</v>
      </c>
      <c r="I10" s="95">
        <f>(COUNTIFS(集計用!$AE$2:$AE$444,$B10,集計用!AB2:$AB444,"*, "&amp;I$4&amp;",*"))/$A10*100</f>
        <v>0</v>
      </c>
      <c r="J10" s="95">
        <f>(COUNTIFS(集計用!$AE$2:$AE$444,$B10,集計用!AB2:$AB444,"*, "&amp;J$4&amp;",*"))/$A10*100</f>
        <v>14.814814814814813</v>
      </c>
      <c r="K10" s="95">
        <f>(COUNTIFS(集計用!$AE$2:$AE$444,$B10,集計用!AB2:$AB444,"*, "&amp;K$4&amp;",*"))/$A10*100</f>
        <v>22.222222222222221</v>
      </c>
      <c r="L10" s="95">
        <f>(COUNTIFS(集計用!$AE$2:$AE$444,$B10,集計用!AB2:$AB444,"*, "&amp;L$4&amp;",*"))/$A10*100</f>
        <v>77.777777777777786</v>
      </c>
      <c r="M10"/>
      <c r="Q10" s="2"/>
      <c r="R10" s="14"/>
      <c r="T10" s="14"/>
      <c r="U10" s="41"/>
      <c r="V10" s="59"/>
    </row>
    <row r="11" spans="1:22" ht="15.75" customHeight="1">
      <c r="A11" s="39">
        <f>(COUNTIFS(集計用!$AE$2:$AE$444,$B11,集計用!AB2:$AB444,"&lt;&gt;無回答"))</f>
        <v>26</v>
      </c>
      <c r="B11" s="32" t="s">
        <v>2170</v>
      </c>
      <c r="C11" s="95">
        <f>(COUNTIFS(集計用!$AE$2:$AE$444,$B11,集計用!AB2:$AB444,"*, "&amp;C$4&amp;",*"))/$A11*100</f>
        <v>0</v>
      </c>
      <c r="D11" s="95">
        <f>(COUNTIFS(集計用!$AE$2:$AE$444,$B11,集計用!AB2:$AB444,"*, "&amp;D$4&amp;",*"))/$A11*100</f>
        <v>3.8461538461538463</v>
      </c>
      <c r="E11" s="95">
        <f>(COUNTIFS(集計用!$AE$2:$AE$444,$B11,集計用!AB2:$AB444,"*, "&amp;E$4&amp;",*"))/$A11*100</f>
        <v>3.8461538461538463</v>
      </c>
      <c r="F11" s="95">
        <f>(COUNTIFS(集計用!$AE$2:$AE$444,$B11,集計用!AB2:$AB444,"*, "&amp;F$4&amp;",*"))/$A11*100</f>
        <v>11.538461538461538</v>
      </c>
      <c r="G11" s="95">
        <f>(COUNTIFS(集計用!$AE$2:$AE$444,$B11,集計用!AB2:$AB444,"*, "&amp;G$4&amp;",*"))/$A11*100</f>
        <v>3.8461538461538463</v>
      </c>
      <c r="H11" s="95">
        <f>(COUNTIFS(集計用!$AE$2:$AE$444,$B11,集計用!AB2:$AB444,"*, "&amp;H$4&amp;",*"))/$A11*100</f>
        <v>7.6923076923076925</v>
      </c>
      <c r="I11" s="95">
        <f>(COUNTIFS(集計用!$AE$2:$AE$444,$B11,集計用!AB2:$AB444,"*, "&amp;I$4&amp;",*"))/$A11*100</f>
        <v>0</v>
      </c>
      <c r="J11" s="95">
        <f>(COUNTIFS(集計用!$AE$2:$AE$444,$B11,集計用!AB2:$AB444,"*, "&amp;J$4&amp;",*"))/$A11*100</f>
        <v>11.538461538461538</v>
      </c>
      <c r="K11" s="95">
        <f>(COUNTIFS(集計用!$AE$2:$AE$444,$B11,集計用!AB2:$AB444,"*, "&amp;K$4&amp;",*"))/$A11*100</f>
        <v>15.384615384615385</v>
      </c>
      <c r="L11" s="95">
        <f>(COUNTIFS(集計用!$AE$2:$AE$444,$B11,集計用!AB2:$AB444,"*, "&amp;L$4&amp;",*"))/$A11*100</f>
        <v>76.923076923076934</v>
      </c>
      <c r="M11"/>
      <c r="Q11" s="2"/>
      <c r="R11" s="14"/>
      <c r="T11" s="14"/>
      <c r="U11" s="41"/>
      <c r="V11" s="59"/>
    </row>
    <row r="12" spans="1:22" ht="15.75" customHeight="1">
      <c r="A12" s="39">
        <f>(COUNTIFS(集計用!$AE$2:$AE$444,$B12,集計用!AB2:$AB444,"&lt;&gt;無回答"))</f>
        <v>21</v>
      </c>
      <c r="B12" s="32" t="s">
        <v>2171</v>
      </c>
      <c r="C12" s="95">
        <f>(COUNTIFS(集計用!$AE$2:$AE$444,$B12,集計用!AB2:$AB444,"*, "&amp;C$4&amp;",*"))/$A12*100</f>
        <v>0</v>
      </c>
      <c r="D12" s="95">
        <f>(COUNTIFS(集計用!$AE$2:$AE$444,$B12,集計用!AB2:$AB444,"*, "&amp;D$4&amp;",*"))/$A12*100</f>
        <v>4.7619047619047619</v>
      </c>
      <c r="E12" s="95">
        <f>(COUNTIFS(集計用!$AE$2:$AE$444,$B12,集計用!AB2:$AB444,"*, "&amp;E$4&amp;",*"))/$A12*100</f>
        <v>4.7619047619047619</v>
      </c>
      <c r="F12" s="95">
        <f>(COUNTIFS(集計用!$AE$2:$AE$444,$B12,集計用!AB2:$AB444,"*, "&amp;F$4&amp;",*"))/$A12*100</f>
        <v>9.5238095238095237</v>
      </c>
      <c r="G12" s="95">
        <f>(COUNTIFS(集計用!$AE$2:$AE$444,$B12,集計用!AB2:$AB444,"*, "&amp;G$4&amp;",*"))/$A12*100</f>
        <v>0</v>
      </c>
      <c r="H12" s="95">
        <f>(COUNTIFS(集計用!$AE$2:$AE$444,$B12,集計用!AB2:$AB444,"*, "&amp;H$4&amp;",*"))/$A12*100</f>
        <v>9.5238095238095237</v>
      </c>
      <c r="I12" s="95">
        <f>(COUNTIFS(集計用!$AE$2:$AE$444,$B12,集計用!AB2:$AB444,"*, "&amp;I$4&amp;",*"))/$A12*100</f>
        <v>0</v>
      </c>
      <c r="J12" s="95">
        <f>(COUNTIFS(集計用!$AE$2:$AE$444,$B12,集計用!AB2:$AB444,"*, "&amp;J$4&amp;",*"))/$A12*100</f>
        <v>14.285714285714285</v>
      </c>
      <c r="K12" s="95">
        <f>(COUNTIFS(集計用!$AE$2:$AE$444,$B12,集計用!AB2:$AB444,"*, "&amp;K$4&amp;",*"))/$A12*100</f>
        <v>14.285714285714285</v>
      </c>
      <c r="L12" s="95">
        <f>(COUNTIFS(集計用!$AE$2:$AE$444,$B12,集計用!AB2:$AB444,"*, "&amp;L$4&amp;",*"))/$A12*100</f>
        <v>71.428571428571431</v>
      </c>
      <c r="M12"/>
      <c r="Q12" s="2"/>
      <c r="R12" s="14"/>
      <c r="T12" s="14"/>
      <c r="U12" s="41"/>
      <c r="V12" s="59"/>
    </row>
    <row r="13" spans="1:22" ht="15.75" customHeight="1">
      <c r="A13" s="39">
        <f>(COUNTIFS(集計用!$AE$2:$AE$444,$B13,集計用!AB2:$AB444,"&lt;&gt;無回答"))</f>
        <v>10</v>
      </c>
      <c r="B13" s="32" t="s">
        <v>2172</v>
      </c>
      <c r="C13" s="95">
        <f>(COUNTIFS(集計用!$AE$2:$AE$444,$B13,集計用!AB2:$AB444,"*, "&amp;C$4&amp;",*"))/$A13*100</f>
        <v>0</v>
      </c>
      <c r="D13" s="95">
        <f>(COUNTIFS(集計用!$AE$2:$AE$444,$B13,集計用!AB2:$AB444,"*, "&amp;D$4&amp;",*"))/$A13*100</f>
        <v>0</v>
      </c>
      <c r="E13" s="95">
        <f>(COUNTIFS(集計用!$AE$2:$AE$444,$B13,集計用!AB2:$AB444,"*, "&amp;E$4&amp;",*"))/$A13*100</f>
        <v>30</v>
      </c>
      <c r="F13" s="95">
        <f>(COUNTIFS(集計用!$AE$2:$AE$444,$B13,集計用!AB2:$AB444,"*, "&amp;F$4&amp;",*"))/$A13*100</f>
        <v>20</v>
      </c>
      <c r="G13" s="95">
        <f>(COUNTIFS(集計用!$AE$2:$AE$444,$B13,集計用!AB2:$AB444,"*, "&amp;G$4&amp;",*"))/$A13*100</f>
        <v>10</v>
      </c>
      <c r="H13" s="95">
        <f>(COUNTIFS(集計用!$AE$2:$AE$444,$B13,集計用!AB2:$AB444,"*, "&amp;H$4&amp;",*"))/$A13*100</f>
        <v>10</v>
      </c>
      <c r="I13" s="95">
        <f>(COUNTIFS(集計用!$AE$2:$AE$444,$B13,集計用!AB2:$AB444,"*, "&amp;I$4&amp;",*"))/$A13*100</f>
        <v>0</v>
      </c>
      <c r="J13" s="95">
        <f>(COUNTIFS(集計用!$AE$2:$AE$444,$B13,集計用!AB2:$AB444,"*, "&amp;J$4&amp;",*"))/$A13*100</f>
        <v>40</v>
      </c>
      <c r="K13" s="95">
        <f>(COUNTIFS(集計用!$AE$2:$AE$444,$B13,集計用!AB2:$AB444,"*, "&amp;K$4&amp;",*"))/$A13*100</f>
        <v>20</v>
      </c>
      <c r="L13" s="95">
        <f>(COUNTIFS(集計用!$AE$2:$AE$444,$B13,集計用!AB2:$AB444,"*, "&amp;L$4&amp;",*"))/$A13*100</f>
        <v>50</v>
      </c>
      <c r="M13"/>
      <c r="Q13" s="2"/>
      <c r="R13" s="14"/>
      <c r="T13" s="14"/>
      <c r="U13" s="41"/>
      <c r="V13" s="59"/>
    </row>
    <row r="14" spans="1:22" ht="15.75" customHeight="1">
      <c r="A14" s="39">
        <f>(COUNTIFS(集計用!$AE$2:$AE$444,"56-60",集計用!AB2:$AB444,"&lt;&gt;無回答"))+(COUNTIFS(集計用!$AE$2:$AE$444,"61-65",集計用!AB2:$AB444,"&lt;&gt;無回答"))</f>
        <v>10</v>
      </c>
      <c r="B14" s="32" t="s">
        <v>2173</v>
      </c>
      <c r="C14" s="95">
        <f>(COUNTIFS(集計用!$AE$2:$AE$444,"56-60",集計用!AB2:$AB444,"*, "&amp;C$4&amp;",*"))+(COUNTIFS(集計用!$AE$2:$AE$444,"61-65",集計用!AB2:$AB444,"*, "&amp;C$4&amp;",*"))/$A14*100</f>
        <v>0</v>
      </c>
      <c r="D14" s="95">
        <f>(COUNTIFS(集計用!$AE$2:$AE$444,"56-60",集計用!AB2:$AB444,"*, "&amp;D$4&amp;",*"))+(COUNTIFS(集計用!$AE$2:$AE$444,"61-65",集計用!AB2:$AB444,"*, "&amp;D$4&amp;",*"))/$A14*100</f>
        <v>0</v>
      </c>
      <c r="E14" s="95">
        <f>(COUNTIFS(集計用!$AE$2:$AE$444,"56-60",集計用!AB2:$AB444,"*, "&amp;E$4&amp;",*"))+(COUNTIFS(集計用!$AE$2:$AE$444,"61-65",集計用!AB2:$AB444,"*, "&amp;E$4&amp;",*"))/$A14*100</f>
        <v>10</v>
      </c>
      <c r="F14" s="95">
        <f>(COUNTIFS(集計用!$AE$2:$AE$444,"56-60",集計用!AB2:$AB444,"*, "&amp;F$4&amp;",*"))+(COUNTIFS(集計用!$AE$2:$AE$444,"61-65",集計用!AB2:$AB444,"*, "&amp;F$4&amp;",*"))/$A14*100</f>
        <v>10</v>
      </c>
      <c r="G14" s="95">
        <f>(COUNTIFS(集計用!$AE$2:$AE$444,"56-60",集計用!AB2:$AB444,"*, "&amp;G$4&amp;",*"))+(COUNTIFS(集計用!$AE$2:$AE$444,"61-65",集計用!AB2:$AB444,"*, "&amp;G$4&amp;",*"))/$A14*100</f>
        <v>0</v>
      </c>
      <c r="H14" s="95">
        <f>(COUNTIFS(集計用!$AE$2:$AE$444,"56-60",集計用!AB2:$AB444,"*, "&amp;H$4&amp;",*"))+(COUNTIFS(集計用!$AE$2:$AE$444,"61-65",集計用!AB2:$AB444,"*, "&amp;H$4&amp;",*"))/$A14*100</f>
        <v>0</v>
      </c>
      <c r="I14" s="95">
        <f>(COUNTIFS(集計用!$AE$2:$AE$444,"56-60",集計用!AB2:$AB444,"*, "&amp;I$4&amp;",*"))+(COUNTIFS(集計用!$AE$2:$AE$444,"61-65",集計用!AB2:$AB444,"*, "&amp;I$4&amp;",*"))/$A14*100</f>
        <v>10</v>
      </c>
      <c r="J14" s="95">
        <f>(COUNTIFS(集計用!$AE$2:$AE$444,"56-60",集計用!AB2:$AB444,"*, "&amp;J$4&amp;",*"))+(COUNTIFS(集計用!$AE$2:$AE$444,"61-65",集計用!AB2:$AB444,"*, "&amp;J$4&amp;",*"))/$A14*100</f>
        <v>42</v>
      </c>
      <c r="K14" s="95">
        <f>(COUNTIFS(集計用!$AE$2:$AE$444,"56-60",集計用!AB2:$AB444,"*, "&amp;K$4&amp;",*"))+(COUNTIFS(集計用!$AE$2:$AE$444,"61-65",集計用!AB2:$AB444,"*, "&amp;K$4&amp;",*"))/$A14*100</f>
        <v>11</v>
      </c>
      <c r="L14" s="95">
        <f>(COUNTIFS(集計用!$AE$2:$AE$444,"56-60",集計用!AB2:$AB444,"*, "&amp;L$4&amp;",*"))+(COUNTIFS(集計用!$AE$2:$AE$444,"61-65",集計用!AB2:$AB444,"*, "&amp;L$4&amp;",*"))/$A14*100</f>
        <v>12</v>
      </c>
      <c r="M14"/>
      <c r="Q14" s="2"/>
      <c r="R14" s="14"/>
      <c r="T14" s="14"/>
      <c r="U14" s="41"/>
      <c r="V14" s="59"/>
    </row>
    <row r="15" spans="1:22" ht="15.75" customHeight="1">
      <c r="A15" s="39">
        <f>(COUNTIFS(集計用!$AE$2:$AE$444,$B15,集計用!AB2:$AB444,"&lt;&gt;無回答"))</f>
        <v>1</v>
      </c>
      <c r="B15" s="32" t="s">
        <v>2174</v>
      </c>
      <c r="C15" s="95">
        <f>(COUNTIFS(集計用!$AE$2:$AE$444,$B15,集計用!AB2:$AB444,"*, "&amp;C$4&amp;",*"))/$A15*100</f>
        <v>0</v>
      </c>
      <c r="D15" s="95">
        <f>(COUNTIFS(集計用!$AE$2:$AE$444,$B15,集計用!AB2:$AB444,"*, "&amp;D$4&amp;",*"))/$A15*100</f>
        <v>0</v>
      </c>
      <c r="E15" s="95">
        <f>(COUNTIFS(集計用!$AE$2:$AE$444,$B15,集計用!AB2:$AB444,"*, "&amp;E$4&amp;",*"))/$A15*100</f>
        <v>0</v>
      </c>
      <c r="F15" s="95">
        <f>(COUNTIFS(集計用!$AE$2:$AE$444,$B15,集計用!AB2:$AB444,"*, "&amp;F$4&amp;",*"))/$A15*100</f>
        <v>0</v>
      </c>
      <c r="G15" s="95">
        <f>(COUNTIFS(集計用!$AE$2:$AE$444,$B15,集計用!AB2:$AB444,"*, "&amp;G$4&amp;",*"))/$A15*100</f>
        <v>0</v>
      </c>
      <c r="H15" s="95">
        <f>(COUNTIFS(集計用!$AE$2:$AE$444,$B15,集計用!AB2:$AB444,"*, "&amp;H$4&amp;",*"))/$A15*100</f>
        <v>0</v>
      </c>
      <c r="I15" s="95">
        <f>(COUNTIFS(集計用!$AE$2:$AE$444,$B15,集計用!AB2:$AB444,"*, "&amp;I$4&amp;",*"))/$A15*100</f>
        <v>0</v>
      </c>
      <c r="J15" s="95">
        <f>(COUNTIFS(集計用!$AE$2:$AE$444,$B15,集計用!AB2:$AB444,"*, "&amp;J$4&amp;",*"))/$A15*100</f>
        <v>0</v>
      </c>
      <c r="K15" s="95">
        <f>(COUNTIFS(集計用!$AE$2:$AE$444,$B15,集計用!AB2:$AB444,"*, "&amp;K$4&amp;",*"))/$A15*100</f>
        <v>0</v>
      </c>
      <c r="L15" s="95">
        <f>(COUNTIFS(集計用!$AE$2:$AE$444,$B15,集計用!AB2:$AB444,"*, "&amp;L$4&amp;",*"))/$A15*100</f>
        <v>100</v>
      </c>
      <c r="M15"/>
      <c r="Q15" s="2"/>
      <c r="R15" s="14"/>
      <c r="T15" s="14"/>
      <c r="U15" s="41"/>
      <c r="V15" s="59"/>
    </row>
    <row r="16" spans="1:22" ht="15.75" customHeight="1">
      <c r="B16" s="42"/>
      <c r="C16" s="41"/>
      <c r="D16" s="41"/>
      <c r="E16" s="41"/>
      <c r="F16" s="41"/>
      <c r="G16" s="41"/>
      <c r="H16" s="41"/>
      <c r="I16" s="41"/>
      <c r="J16" s="41"/>
      <c r="K16" s="41"/>
      <c r="L16" s="41"/>
      <c r="M16"/>
      <c r="Q16" s="2"/>
      <c r="R16" s="14"/>
      <c r="T16" s="14"/>
      <c r="U16" s="41"/>
      <c r="V16" s="59"/>
    </row>
    <row r="17" spans="2:22" ht="15.75" customHeight="1">
      <c r="B17" s="42"/>
      <c r="C17" s="41"/>
      <c r="D17" s="41"/>
      <c r="E17" s="41"/>
      <c r="F17" s="41"/>
      <c r="G17" s="41"/>
      <c r="H17" s="41"/>
      <c r="I17" s="41"/>
      <c r="J17" s="41"/>
      <c r="K17" s="41"/>
      <c r="L17" s="41"/>
      <c r="M17"/>
      <c r="Q17" s="2"/>
      <c r="R17" s="14"/>
      <c r="T17" s="14"/>
      <c r="U17" s="41"/>
      <c r="V17" s="59"/>
    </row>
    <row r="18" spans="2:22" ht="15.75" customHeight="1">
      <c r="B18" s="42"/>
      <c r="C18" s="41"/>
      <c r="D18" s="41"/>
      <c r="E18" s="41"/>
      <c r="F18" s="41"/>
      <c r="G18" s="41"/>
      <c r="H18" s="41"/>
      <c r="I18" s="41"/>
      <c r="J18" s="41"/>
      <c r="K18" s="41"/>
      <c r="L18" s="41"/>
      <c r="M18"/>
      <c r="Q18" s="2"/>
      <c r="R18" s="14"/>
      <c r="T18" s="14"/>
      <c r="U18" s="41"/>
      <c r="V18" s="59"/>
    </row>
    <row r="19" spans="2:22" ht="15.75" customHeight="1">
      <c r="B19" s="42"/>
      <c r="C19" s="41"/>
      <c r="D19" s="41"/>
      <c r="E19" s="41"/>
      <c r="F19" s="41"/>
      <c r="G19" s="41"/>
      <c r="H19" s="41"/>
      <c r="I19" s="41"/>
      <c r="J19" s="41"/>
      <c r="K19" s="41"/>
      <c r="L19" s="41"/>
      <c r="M19"/>
      <c r="Q19" s="2"/>
      <c r="R19" s="14"/>
      <c r="T19" s="14"/>
      <c r="U19" s="41"/>
      <c r="V19" s="59"/>
    </row>
    <row r="20" spans="2:22" ht="15.75" customHeight="1">
      <c r="B20" s="42"/>
      <c r="C20" s="41"/>
      <c r="D20" s="41"/>
      <c r="E20" s="41"/>
      <c r="F20" s="41"/>
      <c r="G20" s="41"/>
      <c r="H20" s="41"/>
      <c r="I20" s="41"/>
      <c r="J20" s="41"/>
      <c r="K20" s="41"/>
      <c r="L20" s="41"/>
      <c r="M20"/>
      <c r="P20"/>
      <c r="Q20"/>
      <c r="S20"/>
      <c r="U20" s="39"/>
    </row>
    <row r="21" spans="2:22" ht="15.75" customHeight="1">
      <c r="B21" s="42"/>
      <c r="C21" s="41"/>
      <c r="D21" s="41"/>
      <c r="E21" s="41"/>
      <c r="F21" s="41"/>
      <c r="G21" s="41"/>
      <c r="H21" s="41"/>
      <c r="I21" s="41"/>
      <c r="J21" s="41"/>
      <c r="K21" s="41"/>
      <c r="L21" s="41"/>
      <c r="M21"/>
      <c r="P21"/>
      <c r="Q21"/>
      <c r="S21"/>
      <c r="U21" s="39"/>
    </row>
    <row r="22" spans="2:22" ht="15.75" customHeight="1">
      <c r="B22" s="42"/>
      <c r="C22" s="41"/>
      <c r="D22" s="41"/>
      <c r="E22" s="41"/>
      <c r="F22" s="41"/>
      <c r="G22" s="41"/>
      <c r="H22" s="41"/>
      <c r="I22" s="41"/>
      <c r="J22" s="41"/>
      <c r="K22" s="41"/>
      <c r="L22" s="41"/>
      <c r="M22"/>
      <c r="P22"/>
      <c r="Q22"/>
      <c r="S22"/>
      <c r="U22" s="39"/>
    </row>
    <row r="23" spans="2:22" ht="15.75" customHeight="1">
      <c r="B23" s="42"/>
      <c r="C23" s="41"/>
      <c r="D23" s="41"/>
      <c r="E23" s="41"/>
      <c r="F23" s="41"/>
      <c r="G23" s="41"/>
      <c r="H23" s="41"/>
      <c r="I23" s="41"/>
      <c r="J23" s="41"/>
      <c r="K23" s="41"/>
      <c r="L23" s="41"/>
      <c r="M23"/>
      <c r="P23"/>
      <c r="Q23"/>
      <c r="S23"/>
      <c r="U23" s="39"/>
    </row>
    <row r="24" spans="2:22" ht="15.75" customHeight="1">
      <c r="B24" s="42"/>
      <c r="C24" s="41"/>
      <c r="D24" s="41"/>
      <c r="E24" s="41"/>
      <c r="F24" s="41"/>
      <c r="G24" s="41"/>
      <c r="H24" s="41"/>
      <c r="I24" s="41"/>
      <c r="J24" s="41"/>
      <c r="K24" s="41"/>
      <c r="L24" s="41"/>
      <c r="M24"/>
      <c r="P24"/>
      <c r="Q24"/>
      <c r="S24"/>
      <c r="U24" s="39"/>
    </row>
    <row r="25" spans="2:22" ht="12.75">
      <c r="B25" s="42"/>
      <c r="C25" s="41"/>
      <c r="D25" s="41"/>
      <c r="E25" s="41"/>
      <c r="F25" s="41"/>
      <c r="G25" s="41"/>
      <c r="H25" s="41"/>
      <c r="I25" s="41"/>
      <c r="J25" s="41"/>
      <c r="K25" s="41"/>
      <c r="L25" s="41"/>
      <c r="M25"/>
      <c r="P25"/>
      <c r="Q25"/>
      <c r="S25"/>
      <c r="U25" s="39"/>
    </row>
    <row r="26" spans="2:22" ht="12.75">
      <c r="B26" s="42"/>
      <c r="C26" s="41"/>
      <c r="D26" s="41"/>
      <c r="E26" s="41"/>
      <c r="F26" s="41"/>
      <c r="G26" s="41"/>
      <c r="H26" s="41"/>
      <c r="I26" s="41"/>
      <c r="J26" s="41"/>
      <c r="K26" s="41"/>
      <c r="L26" s="41"/>
      <c r="M26"/>
      <c r="P26"/>
      <c r="Q26"/>
      <c r="S26"/>
      <c r="U26" s="39"/>
    </row>
    <row r="27" spans="2:22" ht="12.75">
      <c r="B27" s="42"/>
      <c r="C27" s="41"/>
      <c r="D27" s="41"/>
      <c r="E27" s="41"/>
      <c r="F27" s="41"/>
      <c r="G27" s="41"/>
      <c r="H27" s="41"/>
      <c r="I27" s="41"/>
      <c r="J27" s="41"/>
      <c r="K27" s="41"/>
      <c r="L27" s="41"/>
      <c r="M27"/>
      <c r="P27"/>
      <c r="Q27"/>
      <c r="S27"/>
      <c r="U27" s="39"/>
    </row>
    <row r="28" spans="2:22" ht="15.75" customHeight="1">
      <c r="B28" s="42"/>
      <c r="C28" s="41"/>
      <c r="D28" s="41"/>
      <c r="E28" s="41"/>
      <c r="F28" s="41"/>
      <c r="G28" s="41"/>
      <c r="H28" s="41"/>
      <c r="I28" s="41"/>
      <c r="J28" s="41"/>
      <c r="K28" s="41"/>
      <c r="L28" s="41"/>
      <c r="M28"/>
      <c r="P28"/>
      <c r="Q28"/>
      <c r="S28"/>
      <c r="U28" s="39"/>
    </row>
    <row r="29" spans="2:22" ht="15.75" customHeight="1">
      <c r="B29" s="42"/>
      <c r="C29" s="41"/>
      <c r="D29" s="41"/>
      <c r="E29" s="41"/>
      <c r="F29" s="41"/>
      <c r="G29" s="41"/>
      <c r="H29" s="41"/>
      <c r="I29" s="41"/>
      <c r="J29" s="41"/>
      <c r="K29" s="41"/>
      <c r="L29" s="41"/>
      <c r="M29" s="41"/>
      <c r="N29" s="41"/>
      <c r="O29" s="41"/>
      <c r="P29" s="41"/>
      <c r="Q29" s="41"/>
      <c r="R29" s="41"/>
      <c r="S29" s="41"/>
      <c r="U29" s="39"/>
    </row>
    <row r="30" spans="2:22" ht="12.75">
      <c r="B30" s="42"/>
      <c r="C30" s="41"/>
      <c r="D30" s="41"/>
      <c r="E30" s="41"/>
      <c r="F30" s="41"/>
      <c r="G30" s="41"/>
      <c r="H30" s="41"/>
      <c r="I30" s="41"/>
      <c r="J30" s="41"/>
      <c r="K30" s="41"/>
      <c r="L30" s="41"/>
      <c r="M30" s="41"/>
      <c r="N30" s="41"/>
      <c r="O30" s="41"/>
      <c r="P30" s="41"/>
      <c r="Q30" s="41"/>
      <c r="R30" s="41"/>
      <c r="S30" s="41"/>
      <c r="U30" s="39"/>
    </row>
    <row r="31" spans="2:22" ht="15.75" customHeight="1">
      <c r="B31" s="42"/>
      <c r="C31" s="41"/>
      <c r="D31" s="41"/>
      <c r="E31" s="41"/>
      <c r="F31" s="41"/>
      <c r="G31" s="41"/>
      <c r="H31" s="41"/>
      <c r="I31" s="41"/>
      <c r="J31" s="41"/>
      <c r="K31" s="41"/>
      <c r="L31" s="41"/>
      <c r="M31" s="41"/>
      <c r="N31" s="41"/>
      <c r="O31" s="41"/>
      <c r="P31" s="41"/>
      <c r="Q31" s="41"/>
      <c r="R31" s="41"/>
      <c r="S31" s="41"/>
      <c r="U31" s="39"/>
    </row>
    <row r="32" spans="2:22" ht="12.75">
      <c r="B32" s="42"/>
      <c r="C32" s="41"/>
      <c r="D32" s="41"/>
      <c r="E32" s="41"/>
      <c r="F32" s="41"/>
      <c r="G32" s="41"/>
      <c r="H32" s="41"/>
      <c r="I32" s="41"/>
      <c r="J32" s="41"/>
      <c r="K32" s="41"/>
      <c r="L32" s="41"/>
      <c r="M32" s="41"/>
      <c r="N32" s="41"/>
      <c r="O32" s="41"/>
      <c r="P32" s="41"/>
      <c r="Q32" s="41"/>
      <c r="R32" s="41"/>
      <c r="S32" s="41"/>
      <c r="U32" s="39"/>
    </row>
    <row r="33" spans="2:21" ht="12.75">
      <c r="B33" s="42"/>
      <c r="C33" s="41"/>
      <c r="D33" s="41"/>
      <c r="E33" s="41"/>
      <c r="F33" s="41"/>
      <c r="G33" s="41"/>
      <c r="H33" s="41"/>
      <c r="I33" s="41"/>
      <c r="J33" s="41"/>
      <c r="K33" s="41"/>
      <c r="L33" s="41"/>
      <c r="M33" s="41"/>
      <c r="N33" s="41"/>
      <c r="O33" s="41"/>
      <c r="P33" s="41"/>
      <c r="Q33" s="41"/>
      <c r="R33" s="41"/>
      <c r="S33" s="41"/>
      <c r="U33" s="39"/>
    </row>
    <row r="34" spans="2:21" ht="12.75">
      <c r="B34" s="42"/>
      <c r="C34" s="41"/>
      <c r="D34" s="41"/>
      <c r="E34" s="41"/>
      <c r="F34" s="41"/>
      <c r="G34" s="41"/>
      <c r="H34" s="41"/>
      <c r="I34" s="41"/>
      <c r="J34" s="41"/>
      <c r="K34" s="41"/>
      <c r="L34" s="41"/>
      <c r="M34" s="41"/>
      <c r="N34" s="41"/>
      <c r="O34" s="41"/>
      <c r="P34" s="41"/>
      <c r="Q34" s="41"/>
      <c r="R34" s="41"/>
      <c r="S34" s="41"/>
      <c r="U34" s="39"/>
    </row>
    <row r="35" spans="2:21" ht="15.75" customHeight="1">
      <c r="B35" s="42"/>
      <c r="C35" s="41"/>
      <c r="D35" s="41"/>
      <c r="E35" s="41"/>
      <c r="F35" s="41"/>
      <c r="G35" s="41"/>
      <c r="H35" s="41"/>
      <c r="I35" s="41"/>
      <c r="J35" s="41"/>
      <c r="K35" s="41"/>
      <c r="L35" s="41"/>
      <c r="M35" s="41"/>
      <c r="N35" s="41"/>
      <c r="O35" s="41"/>
      <c r="P35" s="41"/>
      <c r="Q35" s="41"/>
      <c r="R35" s="41"/>
      <c r="S35" s="41"/>
      <c r="U35" s="39"/>
    </row>
    <row r="36" spans="2:21" ht="15.75" customHeight="1">
      <c r="B36" s="42"/>
      <c r="C36" s="41"/>
      <c r="D36" s="41"/>
      <c r="E36" s="41"/>
      <c r="F36" s="41"/>
      <c r="G36" s="41"/>
      <c r="H36" s="41"/>
      <c r="I36" s="41"/>
      <c r="J36" s="41"/>
      <c r="K36" s="41"/>
      <c r="L36" s="41"/>
      <c r="M36" s="41"/>
      <c r="N36" s="41"/>
      <c r="O36" s="41"/>
      <c r="P36" s="41"/>
      <c r="Q36" s="41"/>
      <c r="R36" s="41"/>
      <c r="S36" s="41"/>
      <c r="U36" s="39"/>
    </row>
    <row r="37" spans="2:21" ht="15.75" customHeight="1">
      <c r="B37" s="42"/>
      <c r="C37" s="41"/>
      <c r="D37" s="41"/>
      <c r="E37" s="41"/>
      <c r="F37" s="41"/>
      <c r="G37" s="41"/>
      <c r="H37" s="41"/>
      <c r="I37" s="41"/>
      <c r="J37" s="41"/>
      <c r="K37" s="41"/>
      <c r="L37" s="41"/>
      <c r="M37" s="41"/>
      <c r="N37" s="41"/>
      <c r="O37" s="41"/>
      <c r="P37" s="41"/>
      <c r="Q37" s="41"/>
      <c r="R37" s="41"/>
      <c r="S37" s="41"/>
      <c r="U37" s="39"/>
    </row>
    <row r="38" spans="2:21" ht="15.75" customHeight="1">
      <c r="B38" s="42"/>
      <c r="C38" s="41"/>
      <c r="D38" s="41"/>
      <c r="E38" s="41"/>
      <c r="F38" s="41"/>
      <c r="G38" s="41"/>
      <c r="H38" s="41"/>
      <c r="I38" s="41"/>
      <c r="J38" s="41"/>
      <c r="K38" s="41"/>
      <c r="L38" s="41"/>
      <c r="M38" s="41"/>
      <c r="N38" s="41"/>
      <c r="O38" s="41"/>
      <c r="P38" s="41"/>
      <c r="Q38" s="41"/>
      <c r="R38" s="41"/>
      <c r="S38" s="41"/>
      <c r="U38" s="39"/>
    </row>
    <row r="39" spans="2:21" ht="12.75">
      <c r="B39" s="42"/>
      <c r="C39" s="41"/>
      <c r="D39" s="41"/>
      <c r="E39" s="41"/>
      <c r="F39" s="41"/>
      <c r="G39" s="41"/>
      <c r="H39" s="41"/>
      <c r="I39" s="41"/>
      <c r="J39" s="41"/>
      <c r="K39" s="41"/>
      <c r="L39" s="41"/>
      <c r="M39" s="41"/>
      <c r="N39" s="41"/>
      <c r="O39" s="41"/>
      <c r="P39" s="41"/>
      <c r="Q39" s="41"/>
      <c r="R39" s="41"/>
      <c r="S39" s="41"/>
      <c r="U39" s="39"/>
    </row>
    <row r="40" spans="2:21" ht="12.75">
      <c r="B40" s="42"/>
      <c r="C40" s="41"/>
      <c r="D40" s="41"/>
      <c r="E40" s="41"/>
      <c r="F40" s="41"/>
      <c r="G40" s="41"/>
      <c r="H40" s="41"/>
      <c r="I40" s="41"/>
      <c r="J40" s="41"/>
      <c r="K40" s="41"/>
      <c r="L40" s="41"/>
      <c r="M40" s="41"/>
      <c r="N40" s="41"/>
      <c r="O40" s="41"/>
      <c r="P40" s="41"/>
      <c r="Q40" s="41"/>
      <c r="R40" s="41"/>
      <c r="S40" s="41"/>
      <c r="U40" s="39"/>
    </row>
    <row r="41" spans="2:21" ht="12.75">
      <c r="B41" s="42"/>
      <c r="C41" s="41"/>
      <c r="D41" s="41"/>
      <c r="E41" s="41"/>
      <c r="F41" s="41"/>
      <c r="G41" s="41"/>
      <c r="H41" s="41"/>
      <c r="I41" s="41"/>
      <c r="J41" s="41"/>
      <c r="K41" s="41"/>
      <c r="L41" s="41"/>
      <c r="M41" s="41"/>
      <c r="N41" s="41"/>
      <c r="O41" s="41"/>
      <c r="P41" s="41"/>
      <c r="Q41" s="41"/>
      <c r="R41" s="41"/>
      <c r="S41" s="41"/>
      <c r="U41" s="39"/>
    </row>
    <row r="42" spans="2:21" ht="12.75">
      <c r="B42" s="42"/>
      <c r="C42" s="41"/>
      <c r="D42" s="41"/>
      <c r="E42" s="41"/>
      <c r="F42" s="41"/>
      <c r="G42" s="41"/>
      <c r="H42" s="41"/>
      <c r="I42" s="41"/>
      <c r="J42" s="41"/>
      <c r="K42" s="41"/>
      <c r="L42" s="41"/>
      <c r="M42" s="41"/>
      <c r="N42" s="41"/>
      <c r="O42" s="41"/>
      <c r="P42" s="41"/>
      <c r="Q42" s="41"/>
      <c r="R42" s="41"/>
      <c r="S42" s="41"/>
      <c r="U42" s="39"/>
    </row>
    <row r="43" spans="2:21" ht="12.75">
      <c r="B43" s="42"/>
      <c r="C43" s="41"/>
      <c r="D43" s="41"/>
      <c r="E43" s="41"/>
      <c r="F43" s="41"/>
      <c r="G43" s="41"/>
      <c r="H43" s="41"/>
      <c r="I43" s="41"/>
      <c r="J43" s="41"/>
      <c r="K43" s="41"/>
      <c r="L43" s="41"/>
      <c r="M43" s="41"/>
      <c r="N43" s="41"/>
      <c r="O43" s="41"/>
      <c r="P43" s="41"/>
      <c r="Q43" s="41"/>
      <c r="R43" s="41"/>
      <c r="S43" s="41"/>
      <c r="U43" s="39"/>
    </row>
    <row r="44" spans="2:21" ht="12.75">
      <c r="B44" s="42"/>
      <c r="C44" s="41"/>
      <c r="D44" s="41"/>
      <c r="E44" s="41"/>
      <c r="F44" s="41"/>
      <c r="G44" s="41"/>
      <c r="H44" s="41"/>
      <c r="I44" s="41"/>
      <c r="J44" s="41"/>
      <c r="K44" s="41"/>
      <c r="L44" s="41"/>
      <c r="M44" s="41"/>
      <c r="N44" s="41"/>
      <c r="O44" s="41"/>
      <c r="P44" s="41"/>
      <c r="Q44" s="41"/>
      <c r="R44" s="41"/>
      <c r="S44" s="41"/>
      <c r="U44" s="39"/>
    </row>
    <row r="45" spans="2:21" ht="14.25" customHeight="1">
      <c r="B45" s="42"/>
      <c r="C45" s="41"/>
      <c r="D45" s="41"/>
      <c r="E45" s="41"/>
      <c r="F45" s="41"/>
      <c r="G45" s="41"/>
      <c r="H45" s="41"/>
      <c r="I45" s="41"/>
      <c r="J45" s="41"/>
      <c r="K45" s="41"/>
      <c r="L45" s="41"/>
      <c r="M45" s="41"/>
      <c r="N45" s="41"/>
      <c r="O45" s="41"/>
      <c r="P45" s="41"/>
      <c r="Q45" s="41"/>
      <c r="R45" s="41"/>
      <c r="S45" s="41"/>
      <c r="U45" s="39"/>
    </row>
    <row r="46" spans="2:21" ht="14.25" customHeight="1">
      <c r="B46" s="42"/>
      <c r="C46" s="41"/>
      <c r="D46" s="41"/>
      <c r="E46" s="41"/>
      <c r="F46" s="41"/>
      <c r="G46" s="41"/>
      <c r="H46" s="41"/>
      <c r="I46" s="41"/>
      <c r="J46" s="41"/>
      <c r="K46" s="41"/>
      <c r="L46" s="41"/>
      <c r="M46" s="41"/>
      <c r="N46" s="41"/>
      <c r="O46" s="41"/>
      <c r="P46" s="41"/>
      <c r="Q46" s="41"/>
      <c r="R46" s="41"/>
      <c r="S46" s="41"/>
      <c r="U46" s="39"/>
    </row>
    <row r="47" spans="2:21" ht="14.25" customHeight="1">
      <c r="B47" s="42"/>
      <c r="C47" s="41"/>
      <c r="D47" s="41"/>
      <c r="E47" s="41"/>
      <c r="F47" s="41"/>
      <c r="G47" s="41"/>
      <c r="H47" s="41"/>
      <c r="I47" s="41"/>
      <c r="J47" s="41"/>
      <c r="K47" s="41"/>
      <c r="L47" s="41"/>
      <c r="M47" s="41"/>
      <c r="N47" s="41"/>
      <c r="O47" s="41"/>
      <c r="P47" s="41"/>
      <c r="Q47" s="41"/>
      <c r="R47" s="41"/>
      <c r="S47" s="41"/>
      <c r="U47" s="39"/>
    </row>
    <row r="48" spans="2:21" ht="12.75">
      <c r="B48" s="42"/>
      <c r="C48" s="41"/>
      <c r="D48" s="41"/>
      <c r="E48" s="41"/>
      <c r="F48" s="41"/>
      <c r="G48" s="41"/>
      <c r="H48" s="41"/>
      <c r="I48" s="41"/>
      <c r="J48" s="41"/>
      <c r="K48" s="41"/>
      <c r="L48" s="41"/>
      <c r="M48" s="41"/>
      <c r="N48" s="41"/>
      <c r="O48" s="41"/>
      <c r="P48" s="41"/>
      <c r="Q48" s="41"/>
      <c r="R48" s="41"/>
      <c r="S48" s="41"/>
      <c r="U48" s="39"/>
    </row>
    <row r="49" spans="2:26" ht="14.25" customHeight="1">
      <c r="B49" s="42"/>
      <c r="C49" s="41"/>
      <c r="D49" s="41"/>
      <c r="E49" s="41"/>
      <c r="F49" s="41"/>
      <c r="G49" s="41"/>
      <c r="H49" s="41"/>
      <c r="I49" s="41"/>
      <c r="J49" s="41"/>
      <c r="K49" s="41"/>
      <c r="L49" s="41"/>
      <c r="M49" s="41"/>
      <c r="N49" s="41"/>
      <c r="O49" s="41"/>
      <c r="P49" s="41"/>
      <c r="Q49" s="41"/>
      <c r="R49" s="41"/>
      <c r="S49" s="41"/>
      <c r="U49" s="39"/>
    </row>
    <row r="50" spans="2:26" ht="14.25" customHeight="1">
      <c r="B50" s="42"/>
      <c r="C50" s="41"/>
      <c r="D50" s="41"/>
      <c r="E50" s="41"/>
      <c r="F50" s="41"/>
      <c r="G50" s="41"/>
      <c r="H50" s="41"/>
      <c r="I50" s="41"/>
      <c r="J50" s="41"/>
      <c r="K50" s="41"/>
      <c r="L50" s="41"/>
      <c r="M50" s="41"/>
      <c r="N50" s="41"/>
      <c r="O50" s="41"/>
      <c r="P50" s="41"/>
      <c r="Q50" s="41"/>
      <c r="R50" s="41"/>
      <c r="S50" s="41"/>
      <c r="U50" s="39"/>
    </row>
    <row r="51" spans="2:26" ht="14.25" customHeight="1">
      <c r="B51" s="42"/>
      <c r="C51" s="41"/>
      <c r="D51" s="41"/>
      <c r="E51" s="41"/>
      <c r="F51" s="41"/>
      <c r="G51" s="41"/>
      <c r="H51" s="41"/>
      <c r="I51" s="41"/>
      <c r="J51" s="41"/>
      <c r="K51" s="41"/>
      <c r="L51" s="41"/>
      <c r="M51" s="41"/>
      <c r="N51" s="41"/>
      <c r="O51" s="41"/>
      <c r="P51" s="41"/>
      <c r="Q51" s="41"/>
      <c r="R51" s="41"/>
      <c r="S51" s="41"/>
      <c r="U51" s="39"/>
    </row>
    <row r="52" spans="2:26" ht="14.25" customHeight="1">
      <c r="B52" s="42"/>
      <c r="C52" s="41"/>
      <c r="D52" s="41"/>
      <c r="E52" s="41"/>
      <c r="F52" s="41"/>
      <c r="G52" s="41"/>
      <c r="H52" s="41"/>
      <c r="I52" s="41"/>
      <c r="J52" s="41"/>
      <c r="K52" s="41"/>
      <c r="L52" s="41"/>
      <c r="M52" s="41"/>
      <c r="N52" s="41"/>
      <c r="O52" s="41"/>
      <c r="P52" s="41"/>
      <c r="Q52" s="41"/>
      <c r="R52" s="41"/>
      <c r="S52" s="41"/>
      <c r="U52" s="39"/>
    </row>
    <row r="53" spans="2:26" ht="14.25" customHeight="1">
      <c r="B53" s="42"/>
      <c r="C53" s="41"/>
      <c r="D53" s="41"/>
      <c r="E53" s="41"/>
      <c r="F53" s="41"/>
      <c r="G53" s="41"/>
      <c r="H53" s="41"/>
      <c r="I53" s="41"/>
      <c r="J53" s="41"/>
      <c r="K53" s="41"/>
      <c r="L53" s="41"/>
      <c r="M53" s="41"/>
      <c r="N53" s="41"/>
      <c r="O53" s="41"/>
      <c r="P53" s="41"/>
      <c r="Q53" s="41"/>
      <c r="R53" s="41"/>
      <c r="S53" s="41"/>
      <c r="U53" s="39"/>
    </row>
    <row r="54" spans="2:26" ht="14.25" customHeight="1">
      <c r="B54" s="42"/>
      <c r="C54" s="41"/>
      <c r="D54" s="41"/>
      <c r="E54" s="41"/>
      <c r="F54" s="41"/>
      <c r="G54" s="41"/>
      <c r="H54" s="41"/>
      <c r="I54" s="41"/>
      <c r="J54" s="41"/>
      <c r="K54" s="41"/>
      <c r="L54" s="41"/>
      <c r="M54" s="41"/>
      <c r="N54" s="41"/>
      <c r="O54" s="41"/>
      <c r="P54" s="41"/>
      <c r="Q54" s="41"/>
      <c r="R54" s="41"/>
      <c r="S54" s="41"/>
      <c r="U54" s="39"/>
    </row>
    <row r="55" spans="2:26" ht="12.75">
      <c r="B55" s="42"/>
      <c r="C55" s="41"/>
      <c r="D55" s="41"/>
      <c r="E55" s="41"/>
      <c r="F55" s="41"/>
      <c r="G55" s="41"/>
      <c r="H55" s="41"/>
      <c r="I55" s="41"/>
      <c r="J55" s="41"/>
      <c r="K55" s="41"/>
      <c r="L55" s="41"/>
      <c r="M55" s="41"/>
      <c r="N55" s="41"/>
      <c r="O55" s="41"/>
      <c r="P55" s="41"/>
      <c r="Q55" s="41"/>
      <c r="R55" s="41"/>
      <c r="S55" s="41"/>
      <c r="U55" s="39"/>
    </row>
    <row r="56" spans="2:26" ht="14.25" customHeight="1">
      <c r="B56" s="42"/>
      <c r="C56" s="41"/>
      <c r="D56" s="41"/>
      <c r="E56" s="41"/>
      <c r="F56" s="41"/>
      <c r="G56" s="41"/>
      <c r="H56" s="41"/>
      <c r="I56" s="41"/>
      <c r="J56" s="41"/>
      <c r="K56" s="41"/>
      <c r="L56" s="41"/>
      <c r="M56" s="41"/>
      <c r="N56" s="41"/>
      <c r="O56" s="41"/>
      <c r="P56" s="41"/>
      <c r="Q56" s="41"/>
      <c r="R56" s="41"/>
      <c r="S56" s="41"/>
      <c r="U56" s="39"/>
    </row>
    <row r="57" spans="2:26" ht="14.25" customHeight="1">
      <c r="B57" s="42"/>
      <c r="C57" s="41"/>
      <c r="D57" s="41"/>
      <c r="E57" s="41"/>
      <c r="F57" s="41"/>
      <c r="G57" s="41"/>
      <c r="H57" s="41"/>
      <c r="I57" s="41"/>
      <c r="J57" s="41"/>
      <c r="K57" s="41"/>
      <c r="L57" s="41"/>
      <c r="M57" s="41"/>
      <c r="N57" s="41"/>
      <c r="O57" s="41"/>
      <c r="P57" s="41"/>
      <c r="Q57" s="41"/>
      <c r="R57" s="41"/>
      <c r="S57" s="41"/>
      <c r="U57" s="39"/>
    </row>
    <row r="58" spans="2:26" ht="14.25" customHeight="1">
      <c r="B58" s="42"/>
      <c r="C58" s="41"/>
      <c r="D58" s="41"/>
      <c r="E58" s="41"/>
      <c r="F58" s="41"/>
      <c r="G58" s="41"/>
      <c r="H58" s="41"/>
      <c r="I58" s="41"/>
      <c r="J58" s="41"/>
      <c r="K58" s="41"/>
      <c r="L58" s="41"/>
      <c r="M58" s="41"/>
      <c r="N58" s="41"/>
      <c r="O58" s="41"/>
      <c r="P58" s="41"/>
      <c r="Q58" s="41"/>
      <c r="R58" s="41"/>
      <c r="S58" s="41"/>
      <c r="U58" s="39"/>
    </row>
    <row r="59" spans="2:26" ht="14.25" customHeight="1">
      <c r="B59" s="42"/>
      <c r="C59" s="41"/>
      <c r="D59" s="41"/>
      <c r="E59" s="41"/>
      <c r="F59" s="41"/>
      <c r="G59" s="41"/>
      <c r="H59" s="41"/>
      <c r="I59" s="41"/>
      <c r="J59" s="41"/>
      <c r="K59" s="41"/>
      <c r="L59" s="41"/>
      <c r="M59" s="41"/>
      <c r="N59" s="41"/>
      <c r="O59" s="41"/>
      <c r="P59" s="41"/>
      <c r="Q59" s="41"/>
      <c r="R59" s="41"/>
      <c r="S59" s="41"/>
      <c r="U59" s="39"/>
    </row>
    <row r="60" spans="2:26" ht="12.75">
      <c r="B60" s="42"/>
      <c r="C60" s="41"/>
      <c r="D60" s="41"/>
      <c r="E60" s="41"/>
      <c r="F60" s="41"/>
      <c r="G60" s="41"/>
      <c r="H60" s="41"/>
      <c r="I60" s="41"/>
      <c r="J60" s="41"/>
      <c r="K60" s="41"/>
      <c r="L60" s="41"/>
      <c r="M60" s="41"/>
      <c r="N60" s="41"/>
      <c r="O60" s="41"/>
      <c r="P60" s="41"/>
      <c r="Q60" s="41"/>
      <c r="R60" s="41"/>
      <c r="S60" s="41"/>
      <c r="U60" s="39"/>
    </row>
    <row r="61" spans="2:26" ht="14.25" customHeight="1">
      <c r="B61" s="42"/>
      <c r="C61" s="41"/>
      <c r="D61" s="41"/>
      <c r="E61" s="41"/>
      <c r="F61" s="41"/>
      <c r="G61" s="41"/>
      <c r="H61" s="41"/>
      <c r="I61" s="41"/>
      <c r="J61" s="41"/>
      <c r="K61" s="41"/>
      <c r="L61" s="41"/>
      <c r="M61" s="41"/>
      <c r="N61" s="41"/>
      <c r="O61" s="41"/>
      <c r="P61" s="41"/>
      <c r="Q61" s="41"/>
      <c r="R61" s="41"/>
      <c r="S61" s="41"/>
      <c r="U61" s="39"/>
    </row>
    <row r="62" spans="2:26" ht="14.25" customHeight="1">
      <c r="B62" s="42"/>
      <c r="C62" s="41"/>
      <c r="D62" s="41"/>
      <c r="E62" s="41"/>
      <c r="F62" s="41"/>
      <c r="G62" s="41"/>
      <c r="H62" s="41"/>
      <c r="I62" s="41"/>
      <c r="J62" s="41"/>
      <c r="K62" s="41"/>
      <c r="L62" s="41"/>
      <c r="M62" s="41"/>
      <c r="N62" s="41"/>
      <c r="O62" s="41"/>
      <c r="P62" s="41"/>
      <c r="Q62" s="41"/>
      <c r="R62" s="41"/>
      <c r="S62" s="41"/>
      <c r="U62" s="39"/>
    </row>
    <row r="63" spans="2:26" ht="14.25" customHeight="1">
      <c r="B63" s="43"/>
      <c r="C63" s="44"/>
      <c r="D63" s="44"/>
      <c r="E63" s="44"/>
      <c r="F63" s="44"/>
      <c r="G63" s="44"/>
      <c r="H63" s="44"/>
      <c r="I63" s="44"/>
      <c r="J63" s="44"/>
      <c r="K63" s="44"/>
      <c r="Z63" s="44"/>
    </row>
    <row r="64" spans="2:26" ht="12.75">
      <c r="B64" s="43"/>
      <c r="C64" s="44"/>
      <c r="D64" s="44"/>
      <c r="E64" s="44"/>
      <c r="F64" s="44"/>
      <c r="G64" s="44"/>
      <c r="H64" s="44"/>
      <c r="I64" s="44"/>
      <c r="J64" s="44"/>
      <c r="K64" s="44"/>
      <c r="Z64" s="44"/>
    </row>
    <row r="65" spans="2:26" ht="15.75" customHeight="1">
      <c r="B65" s="43"/>
      <c r="C65" s="44"/>
      <c r="D65" s="44"/>
      <c r="E65" s="44"/>
      <c r="F65" s="44"/>
      <c r="G65" s="44"/>
      <c r="H65" s="44"/>
      <c r="I65" s="44"/>
      <c r="J65" s="44"/>
      <c r="K65" s="44"/>
      <c r="Z65" s="44"/>
    </row>
    <row r="66" spans="2:26" ht="15.75" customHeight="1">
      <c r="B66" s="43"/>
      <c r="C66" s="44"/>
      <c r="D66" s="44"/>
      <c r="E66" s="44"/>
      <c r="F66" s="44"/>
      <c r="G66" s="44"/>
      <c r="H66" s="44"/>
      <c r="I66" s="44"/>
      <c r="J66" s="44"/>
      <c r="K66" s="44"/>
      <c r="Z66" s="44"/>
    </row>
    <row r="67" spans="2:26" ht="15.75" customHeight="1">
      <c r="B67" s="43"/>
      <c r="C67" s="44"/>
      <c r="D67" s="44"/>
      <c r="E67" s="44"/>
      <c r="F67" s="44"/>
      <c r="G67" s="44"/>
      <c r="H67" s="44"/>
      <c r="I67" s="44"/>
      <c r="J67" s="44"/>
      <c r="K67" s="44"/>
      <c r="Z67" s="44"/>
    </row>
    <row r="68" spans="2:26" ht="15.75" customHeight="1">
      <c r="B68" s="43"/>
      <c r="C68" s="44"/>
      <c r="D68" s="44"/>
      <c r="E68" s="44"/>
      <c r="F68" s="44"/>
      <c r="G68" s="44"/>
      <c r="H68" s="44"/>
      <c r="I68" s="44"/>
      <c r="J68" s="44"/>
      <c r="K68" s="44"/>
      <c r="Z68" s="44"/>
    </row>
  </sheetData>
  <phoneticPr fontId="8"/>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B231-DCF8-458C-9A6A-7C1AAF2102AA}">
  <sheetPr>
    <outlinePr summaryBelow="0" summaryRight="0"/>
  </sheetPr>
  <dimension ref="A1:AC68"/>
  <sheetViews>
    <sheetView zoomScale="115" zoomScaleNormal="115" workbookViewId="0">
      <selection activeCell="A2" sqref="A2"/>
    </sheetView>
  </sheetViews>
  <sheetFormatPr defaultColWidth="12.5703125" defaultRowHeight="15.75" customHeight="1"/>
  <cols>
    <col min="1" max="1" width="12.5703125" style="108"/>
    <col min="2" max="2" width="26.7109375" style="108" customWidth="1"/>
    <col min="3" max="3" width="23.5703125" style="108" customWidth="1"/>
    <col min="4" max="4" width="21.28515625" style="108" customWidth="1"/>
    <col min="5" max="8" width="13.7109375" style="108" bestFit="1" customWidth="1"/>
    <col min="9" max="9" width="12.5703125" style="108"/>
    <col min="10" max="11" width="13.7109375" style="108" bestFit="1" customWidth="1"/>
    <col min="12" max="12" width="12.5703125" style="108"/>
    <col min="13" max="14" width="12.5703125" style="45"/>
    <col min="15" max="16" width="12.5703125" style="108"/>
    <col min="17" max="17" width="12.5703125" style="45"/>
    <col min="18" max="19" width="12.5703125" style="108"/>
    <col min="20" max="20" width="12.5703125" style="45"/>
    <col min="21" max="24" width="12.5703125" style="108"/>
    <col min="25" max="25" width="13.7109375" style="108" bestFit="1" customWidth="1"/>
    <col min="26" max="16384" width="12.5703125" style="108"/>
  </cols>
  <sheetData>
    <row r="1" spans="1:29" ht="15.75" customHeight="1">
      <c r="A1" s="119" t="s">
        <v>2476</v>
      </c>
      <c r="L1" s="45"/>
      <c r="O1" s="45"/>
      <c r="P1" s="45"/>
      <c r="R1" s="45"/>
      <c r="T1" s="108"/>
    </row>
    <row r="2" spans="1:29" ht="15.75" customHeight="1">
      <c r="C2" s="118" t="s">
        <v>2286</v>
      </c>
      <c r="L2" s="45"/>
      <c r="O2" s="45"/>
      <c r="P2" s="45"/>
      <c r="R2" s="45"/>
      <c r="T2" s="108"/>
    </row>
    <row r="3" spans="1:29" ht="13.5" customHeight="1">
      <c r="B3" s="118" t="s">
        <v>2261</v>
      </c>
      <c r="C3" s="117">
        <f>(COUNTIFS(集計用!$AA2:$AA444,"&lt;&gt;無回答",集計用!$AA2:$AA444,"&lt;&gt;*上記のどれも*",集計用!$AB2:$AB444,"&lt;&gt;無回答"))</f>
        <v>243</v>
      </c>
      <c r="D3" s="116">
        <f>(COUNTIFS(集計用!$AA2:$AA444,"*"&amp;D4&amp;"*",集計用!$AA2:$AA444,"&lt;&gt;*上記のどれも*",集計用!$AB2:$AB444,"&lt;&gt;無回答"))</f>
        <v>127</v>
      </c>
      <c r="E3" s="116">
        <f>(COUNTIFS(集計用!$AA2:$AA444,"*"&amp;E4&amp;"*",集計用!$AA2:$AA444,"&lt;&gt;*上記のどれも*",集計用!$AB2:$AB444,"&lt;&gt;無回答"))</f>
        <v>36</v>
      </c>
      <c r="F3" s="116">
        <f>(COUNTIFS(集計用!$AA2:$AA444,"*"&amp;F4&amp;"*",集計用!$AA2:$AA444,"&lt;&gt;*上記のどれも*",集計用!$AB2:$AB444,"&lt;&gt;無回答"))</f>
        <v>94</v>
      </c>
      <c r="G3" s="116">
        <f>(COUNTIFS(集計用!$AA2:$AA444,"*"&amp;G4&amp;"*",集計用!$AA2:$AA444,"&lt;&gt;*上記のどれも*",集計用!$AB2:$AB444,"&lt;&gt;無回答"))</f>
        <v>106</v>
      </c>
      <c r="H3" s="116">
        <f>(COUNTIFS(集計用!$AA2:$AA444,"*"&amp;H4&amp;"*",集計用!$AA2:$AA444,"&lt;&gt;*上記のどれも*",集計用!$AB2:$AB444,"&lt;&gt;無回答"))</f>
        <v>79</v>
      </c>
      <c r="I3" s="116">
        <f>(COUNTIFS(集計用!$AA2:$AA444,"*"&amp;I4&amp;"*",集計用!$AA2:$AA444,"&lt;&gt;*上記のどれも*",集計用!$AB2:$AB444,"&lt;&gt;無回答"))</f>
        <v>28</v>
      </c>
      <c r="J3" s="116">
        <f>(COUNTIFS(集計用!$AA2:$AA444,"*"&amp;J4&amp;"*",集計用!$AA2:$AA444,"&lt;&gt;*上記のどれも*",集計用!$AB2:$AB444,"&lt;&gt;無回答"))</f>
        <v>85</v>
      </c>
      <c r="K3" s="116">
        <f>(COUNTIFS(集計用!$AA2:$AA444,"*"&amp;K4&amp;"*",集計用!$AA2:$AA444,"&lt;&gt;*上記のどれも*",集計用!$AB2:$AB444,"&lt;&gt;無回答"))</f>
        <v>118</v>
      </c>
      <c r="L3" s="108" t="s">
        <v>2455</v>
      </c>
      <c r="M3" s="110"/>
      <c r="N3" s="110"/>
      <c r="O3" s="110"/>
      <c r="P3" s="110"/>
      <c r="Q3" s="110"/>
      <c r="R3" s="110"/>
      <c r="S3" s="110"/>
      <c r="T3" s="110"/>
      <c r="U3" s="108" t="s">
        <v>2456</v>
      </c>
      <c r="V3" s="110"/>
      <c r="W3" s="110"/>
      <c r="X3" s="110"/>
      <c r="Y3" s="110"/>
      <c r="Z3" s="110"/>
      <c r="AA3" s="110"/>
      <c r="AB3" s="110"/>
      <c r="AC3" s="110"/>
    </row>
    <row r="4" spans="1:29" ht="12.75">
      <c r="A4" s="115" t="s">
        <v>2179</v>
      </c>
      <c r="B4" s="115" t="s">
        <v>2182</v>
      </c>
      <c r="C4" s="114" t="s">
        <v>295</v>
      </c>
      <c r="D4" s="114" t="s">
        <v>296</v>
      </c>
      <c r="E4" s="114" t="s">
        <v>297</v>
      </c>
      <c r="F4" s="114" t="s">
        <v>298</v>
      </c>
      <c r="G4" s="114" t="s">
        <v>299</v>
      </c>
      <c r="H4" s="114" t="s">
        <v>300</v>
      </c>
      <c r="I4" s="114" t="s">
        <v>301</v>
      </c>
      <c r="J4" s="114" t="s">
        <v>302</v>
      </c>
      <c r="K4" s="114" t="s">
        <v>303</v>
      </c>
      <c r="L4" s="114" t="s">
        <v>2457</v>
      </c>
      <c r="M4" s="114" t="s">
        <v>2459</v>
      </c>
      <c r="N4" s="114" t="s">
        <v>2460</v>
      </c>
      <c r="O4" s="114" t="s">
        <v>2461</v>
      </c>
      <c r="P4" s="114" t="s">
        <v>2462</v>
      </c>
      <c r="Q4" s="114" t="s">
        <v>2463</v>
      </c>
      <c r="R4" s="114" t="s">
        <v>2464</v>
      </c>
      <c r="S4" s="114" t="s">
        <v>2465</v>
      </c>
      <c r="T4" s="114" t="s">
        <v>2466</v>
      </c>
      <c r="U4" s="114" t="s">
        <v>2458</v>
      </c>
      <c r="V4" s="114" t="s">
        <v>2467</v>
      </c>
      <c r="W4" s="114" t="s">
        <v>2468</v>
      </c>
      <c r="X4" s="114" t="s">
        <v>2469</v>
      </c>
      <c r="Y4" s="114" t="s">
        <v>2470</v>
      </c>
      <c r="Z4" s="114" t="s">
        <v>2471</v>
      </c>
      <c r="AA4" s="114" t="s">
        <v>2472</v>
      </c>
      <c r="AB4" s="114" t="s">
        <v>2473</v>
      </c>
      <c r="AC4" s="114" t="s">
        <v>2474</v>
      </c>
    </row>
    <row r="5" spans="1:29" ht="12.75">
      <c r="A5" s="108">
        <f>(COUNTIFS(集計用!$AA2:$AA444,"&lt;&gt;無回答",集計用!$AA2:$AA444,"&lt;&gt;*上記のどれも*",集計用!$AB2:$AB444,"&lt;&gt;無回答"))</f>
        <v>243</v>
      </c>
      <c r="B5" s="113" t="s">
        <v>2249</v>
      </c>
      <c r="C5" s="110">
        <f>テーブル21011121426278151620[[#This Row],[顔にかかわる手術3]]/テーブル21011121426278151620[[#This Row],[顔にかかわる手術2]]*100</f>
        <v>21.428571428571427</v>
      </c>
      <c r="D5" s="110">
        <f>テーブル21011121426278151620[[#This Row],[胸部の手術4]]/テーブル21011121426278151620[[#This Row],[胸部の手術3]]*100</f>
        <v>12.598425196850393</v>
      </c>
      <c r="E5" s="110">
        <f>テーブル21011121426278151620[[#This Row],[抗ホルモン療法5]]/テーブル21011121426278151620[[#This Row],[抗ホルモン療法4]]*100</f>
        <v>47.222222222222221</v>
      </c>
      <c r="F5" s="110">
        <f>テーブル21011121426278151620[[#This Row],[戸籍名の変更6]]/テーブル21011121426278151620[[#This Row],[戸籍名の変更5]]*100</f>
        <v>29.787234042553191</v>
      </c>
      <c r="G5" s="110">
        <f>テーブル21011121426278151620[[#This Row],[戸籍上の性別の変更7]]/テーブル21011121426278151620[[#This Row],[戸籍上の性別の変更6]]*100</f>
        <v>10.377358490566039</v>
      </c>
      <c r="H5" s="110">
        <f>テーブル21011121426278151620[[#This Row],[性器にかかわる手術8]]/テーブル21011121426278151620[[#This Row],[性器にかかわる手術7]]*100</f>
        <v>22.784810126582279</v>
      </c>
      <c r="I5" s="110">
        <f>テーブル21011121426278151620[[#This Row],[声帯にかかわる手術9]]/テーブル21011121426278151620[[#This Row],[声帯にかかわる手術8]]*100</f>
        <v>7.1428571428571423</v>
      </c>
      <c r="J5" s="110">
        <f>テーブル21011121426278151620[[#This Row],[ホルモン補充療法（HRT）10]]/テーブル21011121426278151620[[#This Row],[ホルモン補充療法（HRT）9]]*100</f>
        <v>58.82352941176471</v>
      </c>
      <c r="K5" s="110">
        <f>テーブル21011121426278151620[[#This Row],[ジェンダークリニックの受診11]]/テーブル21011121426278151620[[#This Row],[ジェンダークリニックの受診10]]*100</f>
        <v>46.610169491525419</v>
      </c>
      <c r="L5" s="121">
        <f>(COUNTIFS(集計用!$AA$2:$AA$444,"*"&amp;C4&amp;"*",集計用!$AA$2:$AA$444,"&lt;&gt;*上記のどれも*",集計用!$AB$2:$AB$444,"&lt;&gt;無回答"))</f>
        <v>28</v>
      </c>
      <c r="M5" s="121">
        <f>(COUNTIFS(集計用!$AA$2:$AA$444,"*"&amp;D4&amp;"*",集計用!$AA$2:$AA$444,"&lt;&gt;*上記のどれも*",集計用!$AB$2:$AB$444,"&lt;&gt;無回答"))</f>
        <v>127</v>
      </c>
      <c r="N5" s="121">
        <f>(COUNTIFS(集計用!$AA$2:$AA$444,"*"&amp;E4&amp;"*",集計用!$AA$2:$AA$444,"&lt;&gt;*上記のどれも*",集計用!$AB$2:$AB$444,"&lt;&gt;無回答"))</f>
        <v>36</v>
      </c>
      <c r="O5" s="121">
        <f>(COUNTIFS(集計用!$AA$2:$AA$444,"*"&amp;F4&amp;"*",集計用!$AA$2:$AA$444,"&lt;&gt;*上記のどれも*",集計用!$AB$2:$AB$444,"&lt;&gt;無回答"))</f>
        <v>94</v>
      </c>
      <c r="P5" s="121">
        <f>(COUNTIFS(集計用!$AA$2:$AA$444,"*"&amp;G4&amp;"*",集計用!$AA$2:$AA$444,"&lt;&gt;*上記のどれも*",集計用!$AB$2:$AB$444,"&lt;&gt;無回答"))</f>
        <v>106</v>
      </c>
      <c r="Q5" s="121">
        <f>(COUNTIFS(集計用!$AA$2:$AA$444,"*"&amp;H4&amp;"*",集計用!$AA$2:$AA$444,"&lt;&gt;*上記のどれも*",集計用!$AB$2:$AB$444,"&lt;&gt;無回答"))</f>
        <v>79</v>
      </c>
      <c r="R5" s="121">
        <f>(COUNTIFS(集計用!$AA$2:$AA$444,"*"&amp;I4&amp;"*",集計用!$AA$2:$AA$444,"&lt;&gt;*上記のどれも*",集計用!$AB$2:$AB$444,"&lt;&gt;無回答"))</f>
        <v>28</v>
      </c>
      <c r="S5" s="121">
        <f>(COUNTIFS(集計用!$AA$2:$AA$444,"*"&amp;J4&amp;"*",集計用!$AA$2:$AA$444,"&lt;&gt;*上記のどれも*",集計用!$AB$2:$AB$444,"&lt;&gt;無回答"))</f>
        <v>85</v>
      </c>
      <c r="T5" s="121">
        <f>(COUNTIFS(集計用!$AA$2:$AA$444,"*"&amp;K4&amp;"*",集計用!$AA$2:$AA$444,"&lt;&gt;*上記のどれも*",集計用!$AB$2:$AB$444,"&lt;&gt;無回答"))</f>
        <v>118</v>
      </c>
      <c r="U5" s="120">
        <f>(COUNTIFS(集計用!$AB$2:$AB$444,"*"&amp;C4&amp;"*",集計用!$AA$2:$AA$444,"&lt;&gt;*上記のどれも*",集計用!$AA$2:$AA$444,"&lt;&gt;無回答"))</f>
        <v>6</v>
      </c>
      <c r="V5" s="120">
        <f>(COUNTIFS(集計用!$AB$2:$AB$444,"*"&amp;D4&amp;"*",集計用!$AA$2:$AA$444,"&lt;&gt;*上記のどれも*",集計用!$AA$2:$AA$444,"&lt;&gt;無回答"))</f>
        <v>16</v>
      </c>
      <c r="W5" s="120">
        <f>(COUNTIFS(集計用!$AB$2:$AB$444,"*"&amp;E4&amp;"*",集計用!$AA$2:$AA$444,"&lt;&gt;*上記のどれも*",集計用!$AA$2:$AA$444,"&lt;&gt;無回答"))</f>
        <v>17</v>
      </c>
      <c r="X5" s="120">
        <f>(COUNTIFS(集計用!$AB$2:$AB$444,"*"&amp;F4&amp;"*",集計用!$AA$2:$AA$444,"&lt;&gt;*上記のどれも*",集計用!$AA$2:$AA$444,"&lt;&gt;無回答"))</f>
        <v>28</v>
      </c>
      <c r="Y5" s="120">
        <f>(COUNTIFS(集計用!$AB$2:$AB$444,"*"&amp;G4&amp;"*",集計用!$AA$2:$AA$444,"&lt;&gt;*上記のどれも*",集計用!$AA$2:$AA$444,"&lt;&gt;無回答"))</f>
        <v>11</v>
      </c>
      <c r="Z5" s="120">
        <f>(COUNTIFS(集計用!$AB$2:$AB$444,"*"&amp;H4&amp;"*",集計用!$AA$2:$AA$444,"&lt;&gt;*上記のどれも*",集計用!$AA$2:$AA$444,"&lt;&gt;無回答"))</f>
        <v>18</v>
      </c>
      <c r="AA5" s="120">
        <f>(COUNTIFS(集計用!$AB$2:$AB$444,"*"&amp;I4&amp;"*",集計用!$AA$2:$AA$444,"&lt;&gt;*上記のどれも*",集計用!$AA$2:$AA$444,"&lt;&gt;無回答"))</f>
        <v>2</v>
      </c>
      <c r="AB5" s="120">
        <f>(COUNTIFS(集計用!$AB$2:$AB$444,"*"&amp;J4&amp;"*",集計用!$AA$2:$AA$444,"&lt;&gt;*上記のどれも*",集計用!$AA$2:$AA$444,"&lt;&gt;無回答"))</f>
        <v>50</v>
      </c>
      <c r="AC5" s="120">
        <f>(COUNTIFS(集計用!$AB$2:$AB$444,"*"&amp;K4&amp;"*",集計用!$AA$2:$AA$444,"&lt;&gt;*上記のどれも*",集計用!$AA$2:$AA$444,"&lt;&gt;無回答"))</f>
        <v>55</v>
      </c>
    </row>
    <row r="6" spans="1:29" ht="15.75" customHeight="1">
      <c r="A6" s="108">
        <f>(COUNTIFS(集計用!$AA2:$AA444,"&lt;&gt;無回答",集計用!$AA2:$AA444,"&lt;&gt;*上記のどれも*",集計用!$AB2:$AB444,"&lt;&gt;無回答",集計用!$AE2:$AE444,"11-15"))+(COUNTIFS(集計用!$AA2:$AA444,"&lt;&gt;無回答",集計用!$AA2:$AA444,"&lt;&gt;*上記のどれも*",集計用!$AB2:$AB444,"&lt;&gt;無回答",集計用!$AE2:$AE444,"16-20"))</f>
        <v>32</v>
      </c>
      <c r="B6" s="112" t="s">
        <v>2181</v>
      </c>
      <c r="C6" s="110">
        <f>テーブル21011121426278151620[[#This Row],[顔にかかわる手術3]]/テーブル21011121426278151620[[#This Row],[顔にかかわる手術2]]*100</f>
        <v>0</v>
      </c>
      <c r="D6" s="110">
        <f>テーブル21011121426278151620[[#This Row],[胸部の手術4]]/テーブル21011121426278151620[[#This Row],[胸部の手術3]]*100</f>
        <v>0</v>
      </c>
      <c r="E6" s="110">
        <f>テーブル21011121426278151620[[#This Row],[抗ホルモン療法5]]/テーブル21011121426278151620[[#This Row],[抗ホルモン療法4]]*100</f>
        <v>0</v>
      </c>
      <c r="F6" s="110">
        <f>テーブル21011121426278151620[[#This Row],[戸籍名の変更6]]/テーブル21011121426278151620[[#This Row],[戸籍名の変更5]]*100</f>
        <v>0</v>
      </c>
      <c r="G6" s="110">
        <f>テーブル21011121426278151620[[#This Row],[戸籍上の性別の変更7]]/テーブル21011121426278151620[[#This Row],[戸籍上の性別の変更6]]*100</f>
        <v>0</v>
      </c>
      <c r="H6" s="110">
        <f>テーブル21011121426278151620[[#This Row],[性器にかかわる手術8]]/テーブル21011121426278151620[[#This Row],[性器にかかわる手術7]]*100</f>
        <v>0</v>
      </c>
      <c r="I6" s="110">
        <f>テーブル21011121426278151620[[#This Row],[声帯にかかわる手術9]]/テーブル21011121426278151620[[#This Row],[声帯にかかわる手術8]]*100</f>
        <v>0</v>
      </c>
      <c r="J6" s="110">
        <f>テーブル21011121426278151620[[#This Row],[ホルモン補充療法（HRT）10]]/テーブル21011121426278151620[[#This Row],[ホルモン補充療法（HRT）9]]*100</f>
        <v>0</v>
      </c>
      <c r="K6" s="110">
        <f>テーブル21011121426278151620[[#This Row],[ジェンダークリニックの受診11]]/テーブル21011121426278151620[[#This Row],[ジェンダークリニックの受診10]]*100</f>
        <v>0</v>
      </c>
      <c r="L6" s="121">
        <f>(COUNTIFS(集計用!$AE$2:$AE$444,"11-15",集計用!$AA$2:$AA$444,"*"&amp;C4&amp;"*",集計用!$AA$2:$AA$444,"&lt;&gt;*上記のどれも*",集計用!$AB$2:$AB$444,"&lt;&gt;無回答"))+(COUNTIFS(集計用!$AE$2:$AE$444,"16-20",集計用!$AA$2:$AA$444,"*"&amp;C4&amp;"*",集計用!$AA$2:$AA$444,"&lt;&gt;*上記のどれも*",集計用!$AB$2:$AB$444,"&lt;&gt;無回答"))</f>
        <v>5</v>
      </c>
      <c r="M6" s="121">
        <f>(COUNTIFS(集計用!$AE$2:$AE$444,"11-15",集計用!$AA$2:$AA$444,"*"&amp;D4&amp;"*",集計用!$AA$2:$AA$444,"&lt;&gt;*上記のどれも*",集計用!$AB$2:$AB$444,"&lt;&gt;無回答"))+(COUNTIFS(集計用!$AE$2:$AE$444,"16-20",集計用!$AA$2:$AA$444,"*"&amp;D4&amp;"*",集計用!$AA$2:$AA$444,"&lt;&gt;*上記のどれも*",集計用!$AB$2:$AB$444,"&lt;&gt;無回答"))</f>
        <v>17</v>
      </c>
      <c r="N6" s="121">
        <f>(COUNTIFS(集計用!$AE$2:$AE$444,"11-15",集計用!$AA$2:$AA$444,"*"&amp;E4&amp;"*",集計用!$AA$2:$AA$444,"&lt;&gt;*上記のどれも*",集計用!$AB$2:$AB$444,"&lt;&gt;無回答"))+(COUNTIFS(集計用!$AE$2:$AE$444,"16-20",集計用!$AA$2:$AA$444,"*"&amp;E4&amp;"*",集計用!$AA$2:$AA$444,"&lt;&gt;*上記のどれも*",集計用!$AB$2:$AB$444,"&lt;&gt;無回答"))</f>
        <v>5</v>
      </c>
      <c r="O6" s="121">
        <f>(COUNTIFS(集計用!$AE$2:$AE$444,"11-15",集計用!$AA$2:$AA$444,"*"&amp;F4&amp;"*",集計用!$AA$2:$AA$444,"&lt;&gt;*上記のどれも*",集計用!$AB$2:$AB$444,"&lt;&gt;無回答"))+(COUNTIFS(集計用!$AE$2:$AE$444,"16-20",集計用!$AA$2:$AA$444,"*"&amp;F4&amp;"*",集計用!$AA$2:$AA$444,"&lt;&gt;*上記のどれも*",集計用!$AB$2:$AB$444,"&lt;&gt;無回答"))</f>
        <v>5</v>
      </c>
      <c r="P6" s="121">
        <f>(COUNTIFS(集計用!$AE$2:$AE$444,"11-15",集計用!$AA$2:$AA$444,"*"&amp;G4&amp;"*",集計用!$AA$2:$AA$444,"&lt;&gt;*上記のどれも*",集計用!$AB$2:$AB$444,"&lt;&gt;無回答"))+(COUNTIFS(集計用!$AE$2:$AE$444,"16-20",集計用!$AA$2:$AA$444,"*"&amp;G4&amp;"*",集計用!$AA$2:$AA$444,"&lt;&gt;*上記のどれも*",集計用!$AB$2:$AB$444,"&lt;&gt;無回答"))</f>
        <v>12</v>
      </c>
      <c r="Q6" s="121">
        <f>(COUNTIFS(集計用!$AE$2:$AE$444,"11-15",集計用!$AA$2:$AA$444,"*"&amp;H4&amp;"*",集計用!$AA$2:$AA$444,"&lt;&gt;*上記のどれも*",集計用!$AB$2:$AB$444,"&lt;&gt;無回答"))+(COUNTIFS(集計用!$AE$2:$AE$444,"16-20",集計用!$AA$2:$AA$444,"*"&amp;H4&amp;"*",集計用!$AA$2:$AA$444,"&lt;&gt;*上記のどれも*",集計用!$AB$2:$AB$444,"&lt;&gt;無回答"))</f>
        <v>6</v>
      </c>
      <c r="R6" s="121">
        <f>(COUNTIFS(集計用!$AE$2:$AE$444,"11-15",集計用!$AA$2:$AA$444,"*"&amp;I4&amp;"*",集計用!$AA$2:$AA$444,"&lt;&gt;*上記のどれも*",集計用!$AB$2:$AB$444,"&lt;&gt;無回答"))+(COUNTIFS(集計用!$AE$2:$AE$444,"16-20",集計用!$AA$2:$AA$444,"*"&amp;I4&amp;"*",集計用!$AA$2:$AA$444,"&lt;&gt;*上記のどれも*",集計用!$AB$2:$AB$444,"&lt;&gt;無回答"))</f>
        <v>3</v>
      </c>
      <c r="S6" s="121">
        <f>(COUNTIFS(集計用!$AE$2:$AE$444,"11-15",集計用!$AA$2:$AA$444,"*"&amp;J4&amp;"*",集計用!$AA$2:$AA$444,"&lt;&gt;*上記のどれも*",集計用!$AB$2:$AB$444,"&lt;&gt;無回答"))+(COUNTIFS(集計用!$AE$2:$AE$444,"16-20",集計用!$AA$2:$AA$444,"*"&amp;J4&amp;"*",集計用!$AA$2:$AA$444,"&lt;&gt;*上記のどれも*",集計用!$AB$2:$AB$444,"&lt;&gt;無回答"))</f>
        <v>11</v>
      </c>
      <c r="T6" s="121">
        <f>(COUNTIFS(集計用!$AE$2:$AE$444,"11-15",集計用!$AA$2:$AA$444,"*"&amp;K4&amp;"*",集計用!$AA$2:$AA$444,"&lt;&gt;*上記のどれも*",集計用!$AB$2:$AB$444,"&lt;&gt;無回答"))+(COUNTIFS(集計用!$AE$2:$AE$444,"16-20",集計用!$AA$2:$AA$444,"*"&amp;K4&amp;"*",集計用!$AA$2:$AA$444,"&lt;&gt;*上記のどれも*",集計用!$AB$2:$AB$444,"&lt;&gt;無回答"))</f>
        <v>14</v>
      </c>
      <c r="U6" s="120">
        <f>(COUNTIFS(集計用!$AE$2:$AE$444,"11-15",集計用!$AB$2:$AB$444,"*"&amp;C4&amp;"*",集計用!$AA$2:$AA$444,"&lt;&gt;*上記のどれも*",集計用!$AA$2:$AA$444,"&lt;&gt;*上記のどれも*",集計用!$AA$2:$AA$444,"&lt;&gt;無回答"))</f>
        <v>0</v>
      </c>
      <c r="V6" s="120">
        <f>(COUNTIFS(集計用!$AE$2:$AE$444,"11-15",集計用!$AB$2:$AB$444,"*"&amp;D4&amp;"*",集計用!$AA$2:$AA$444,"&lt;&gt;*上記のどれも*",集計用!$AA$2:$AA$444,"&lt;&gt;*上記のどれも*",集計用!$AA$2:$AA$444,"&lt;&gt;無回答"))</f>
        <v>0</v>
      </c>
      <c r="W6" s="120">
        <f>(COUNTIFS(集計用!$AE$2:$AE$444,"11-15",集計用!$AB$2:$AB$444,"*"&amp;E4&amp;"*",集計用!$AA$2:$AA$444,"&lt;&gt;*上記のどれも*",集計用!$AA$2:$AA$444,"&lt;&gt;*上記のどれも*",集計用!$AA$2:$AA$444,"&lt;&gt;無回答"))</f>
        <v>0</v>
      </c>
      <c r="X6" s="120">
        <f>(COUNTIFS(集計用!$AE$2:$AE$444,"11-15",集計用!$AB$2:$AB$444,"*"&amp;F4&amp;"*",集計用!$AA$2:$AA$444,"&lt;&gt;*上記のどれも*",集計用!$AA$2:$AA$444,"&lt;&gt;*上記のどれも*",集計用!$AA$2:$AA$444,"&lt;&gt;無回答"))</f>
        <v>0</v>
      </c>
      <c r="Y6" s="120">
        <f>(COUNTIFS(集計用!$AE$2:$AE$444,"11-15",集計用!$AB$2:$AB$444,"*"&amp;G4&amp;"*",集計用!$AA$2:$AA$444,"&lt;&gt;*上記のどれも*",集計用!$AA$2:$AA$444,"&lt;&gt;*上記のどれも*",集計用!$AA$2:$AA$444,"&lt;&gt;無回答"))</f>
        <v>0</v>
      </c>
      <c r="Z6" s="120">
        <f>(COUNTIFS(集計用!$AE$2:$AE$444,"11-15",集計用!$AB$2:$AB$444,"*"&amp;H4&amp;"*",集計用!$AA$2:$AA$444,"&lt;&gt;*上記のどれも*",集計用!$AA$2:$AA$444,"&lt;&gt;*上記のどれも*",集計用!$AA$2:$AA$444,"&lt;&gt;無回答"))</f>
        <v>0</v>
      </c>
      <c r="AA6" s="120">
        <f>(COUNTIFS(集計用!$AE$2:$AE$444,"11-15",集計用!$AB$2:$AB$444,"*"&amp;I4&amp;"*",集計用!$AA$2:$AA$444,"&lt;&gt;*上記のどれも*",集計用!$AA$2:$AA$444,"&lt;&gt;*上記のどれも*",集計用!$AA$2:$AA$444,"&lt;&gt;無回答"))</f>
        <v>0</v>
      </c>
      <c r="AB6" s="120">
        <f>(COUNTIFS(集計用!$AE$2:$AE$444,"11-15",集計用!$AB$2:$AB$444,"*"&amp;J4&amp;"*",集計用!$AA$2:$AA$444,"&lt;&gt;*上記のどれも*",集計用!$AA$2:$AA$444,"&lt;&gt;*上記のどれも*",集計用!$AA$2:$AA$444,"&lt;&gt;無回答"))</f>
        <v>0</v>
      </c>
      <c r="AC6" s="120">
        <f>(COUNTIFS(集計用!$AE$2:$AE$444,"11-15",集計用!$AB$2:$AB$444,"*"&amp;K4&amp;"*",集計用!$AA$2:$AA$444,"&lt;&gt;*上記のどれも*",集計用!$AA$2:$AA$444,"&lt;&gt;*上記のどれも*",集計用!$AA$2:$AA$444,"&lt;&gt;無回答"))</f>
        <v>0</v>
      </c>
    </row>
    <row r="7" spans="1:29" ht="15.75" customHeight="1">
      <c r="A7" s="108">
        <f>(COUNTIFS(集計用!$AA$2:$AA$444,"&lt;&gt;無回答",集計用!$AA$2:$AA$444,"&lt;&gt;*上記のどれも*",集計用!$AB$2:$AB$444,"&lt;&gt;無回答",集計用!$AE$2:$AE$444,B7))</f>
        <v>67</v>
      </c>
      <c r="B7" s="112" t="s">
        <v>2166</v>
      </c>
      <c r="C7" s="110">
        <f>テーブル21011121426278151620[[#This Row],[顔にかかわる手術3]]/テーブル21011121426278151620[[#This Row],[顔にかかわる手術2]]*100</f>
        <v>12.5</v>
      </c>
      <c r="D7" s="110">
        <f>テーブル21011121426278151620[[#This Row],[胸部の手術4]]/テーブル21011121426278151620[[#This Row],[胸部の手術3]]*100</f>
        <v>4.6511627906976747</v>
      </c>
      <c r="E7" s="110">
        <f>テーブル21011121426278151620[[#This Row],[抗ホルモン療法5]]/テーブル21011121426278151620[[#This Row],[抗ホルモン療法4]]*100</f>
        <v>45.454545454545453</v>
      </c>
      <c r="F7" s="110">
        <f>テーブル21011121426278151620[[#This Row],[戸籍名の変更6]]/テーブル21011121426278151620[[#This Row],[戸籍名の変更5]]*100</f>
        <v>20</v>
      </c>
      <c r="G7" s="110">
        <f>テーブル21011121426278151620[[#This Row],[戸籍上の性別の変更7]]/テーブル21011121426278151620[[#This Row],[戸籍上の性別の変更6]]*100</f>
        <v>10.344827586206897</v>
      </c>
      <c r="H7" s="110">
        <f>テーブル21011121426278151620[[#This Row],[性器にかかわる手術8]]/テーブル21011121426278151620[[#This Row],[性器にかかわる手術7]]*100</f>
        <v>16</v>
      </c>
      <c r="I7" s="110">
        <f>テーブル21011121426278151620[[#This Row],[声帯にかかわる手術9]]/テーブル21011121426278151620[[#This Row],[声帯にかかわる手術8]]*100</f>
        <v>0</v>
      </c>
      <c r="J7" s="110">
        <f>テーブル21011121426278151620[[#This Row],[ホルモン補充療法（HRT）10]]/テーブル21011121426278151620[[#This Row],[ホルモン補充療法（HRT）9]]*100</f>
        <v>36</v>
      </c>
      <c r="K7" s="110">
        <f>テーブル21011121426278151620[[#This Row],[ジェンダークリニックの受診11]]/テーブル21011121426278151620[[#This Row],[ジェンダークリニックの受診10]]*100</f>
        <v>35.483870967741936</v>
      </c>
      <c r="L7" s="121">
        <f>(COUNTIFS(集計用!$AE$2:$AE$444,$B7,集計用!$AA$2:$AA$444,"*"&amp;C4&amp;"*",集計用!$AA$2:$AA$444,"&lt;&gt;*上記のどれも*",集計用!$AB$2:$AB$444,"&lt;&gt;無回答"))</f>
        <v>8</v>
      </c>
      <c r="M7" s="121">
        <f>(COUNTIFS(集計用!$AE$2:$AE$444,$B7,集計用!$AA$2:$AA$444,"*"&amp;D4&amp;"*",集計用!$AA$2:$AA$444,"&lt;&gt;*上記のどれも*",集計用!$AB$2:$AB$444,"&lt;&gt;無回答"))</f>
        <v>43</v>
      </c>
      <c r="N7" s="121">
        <f>(COUNTIFS(集計用!$AE$2:$AE$444,$B7,集計用!$AA$2:$AA$444,"*"&amp;E4&amp;"*",集計用!$AA$2:$AA$444,"&lt;&gt;*上記のどれも*",集計用!$AB$2:$AB$444,"&lt;&gt;無回答"))</f>
        <v>11</v>
      </c>
      <c r="O7" s="121">
        <f>(COUNTIFS(集計用!$AE$2:$AE$444,$B7,集計用!$AA$2:$AA$444,"*"&amp;F4&amp;"*",集計用!$AA$2:$AA$444,"&lt;&gt;*上記のどれも*",集計用!$AB$2:$AB$444,"&lt;&gt;無回答"))</f>
        <v>25</v>
      </c>
      <c r="P7" s="121">
        <f>(COUNTIFS(集計用!$AE$2:$AE$444,$B7,集計用!$AA$2:$AA$444,"*"&amp;G4&amp;"*",集計用!$AA$2:$AA$444,"&lt;&gt;*上記のどれも*",集計用!$AB$2:$AB$444,"&lt;&gt;無回答"))</f>
        <v>29</v>
      </c>
      <c r="Q7" s="121">
        <f>(COUNTIFS(集計用!$AE$2:$AE$444,$B7,集計用!$AA$2:$AA$444,"*"&amp;H4&amp;"*",集計用!$AA$2:$AA$444,"&lt;&gt;*上記のどれも*",集計用!$AB$2:$AB$444,"&lt;&gt;無回答"))</f>
        <v>25</v>
      </c>
      <c r="R7" s="121">
        <f>(COUNTIFS(集計用!$AE$2:$AE$444,$B7,集計用!$AA$2:$AA$444,"*"&amp;I4&amp;"*",集計用!$AA$2:$AA$444,"&lt;&gt;*上記のどれも*",集計用!$AB$2:$AB$444,"&lt;&gt;無回答"))</f>
        <v>7</v>
      </c>
      <c r="S7" s="121">
        <f>(COUNTIFS(集計用!$AE$2:$AE$444,$B7,集計用!$AA$2:$AA$444,"*"&amp;J4&amp;"*",集計用!$AA$2:$AA$444,"&lt;&gt;*上記のどれも*",集計用!$AB$2:$AB$444,"&lt;&gt;無回答"))</f>
        <v>25</v>
      </c>
      <c r="T7" s="121">
        <f>(COUNTIFS(集計用!$AE$2:$AE$444,$B7,集計用!$AA$2:$AA$444,"*"&amp;K4&amp;"*",集計用!$AA$2:$AA$444,"&lt;&gt;*上記のどれも*",集計用!$AB$2:$AB$444,"&lt;&gt;無回答"))</f>
        <v>31</v>
      </c>
      <c r="U7" s="120">
        <f>(COUNTIFS(集計用!$AE$2:$AE$444,$B7,集計用!$AB$2:$AB$444,"*"&amp;C4&amp;"*",集計用!$AA$2:$AA$444,"&lt;&gt;*上記のどれも*",集計用!$AA$2:$AA$444,"&lt;&gt;無回答"))</f>
        <v>1</v>
      </c>
      <c r="V7" s="120">
        <f>(COUNTIFS(集計用!$AE$2:$AE$444,$B7,集計用!$AB$2:$AB$444,"*"&amp;D4&amp;"*",集計用!$AA$2:$AA$444,"&lt;&gt;*上記のどれも*",集計用!$AA$2:$AA$444,"&lt;&gt;無回答"))</f>
        <v>2</v>
      </c>
      <c r="W7" s="120">
        <f>(COUNTIFS(集計用!$AE$2:$AE$444,$B7,集計用!$AB$2:$AB$444,"*"&amp;E4&amp;"*",集計用!$AA$2:$AA$444,"&lt;&gt;*上記のどれも*",集計用!$AA$2:$AA$444,"&lt;&gt;無回答"))</f>
        <v>5</v>
      </c>
      <c r="X7" s="120">
        <f>(COUNTIFS(集計用!$AE$2:$AE$444,$B7,集計用!$AB$2:$AB$444,"*"&amp;F4&amp;"*",集計用!$AA$2:$AA$444,"&lt;&gt;*上記のどれも*",集計用!$AA$2:$AA$444,"&lt;&gt;無回答"))</f>
        <v>5</v>
      </c>
      <c r="Y7" s="120">
        <f>(COUNTIFS(集計用!$AE$2:$AE$444,$B7,集計用!$AB$2:$AB$444,"*"&amp;G4&amp;"*",集計用!$AA$2:$AA$444,"&lt;&gt;*上記のどれも*",集計用!$AA$2:$AA$444,"&lt;&gt;無回答"))</f>
        <v>3</v>
      </c>
      <c r="Z7" s="120">
        <f>(COUNTIFS(集計用!$AE$2:$AE$444,$B7,集計用!$AB$2:$AB$444,"*"&amp;H4&amp;"*",集計用!$AA$2:$AA$444,"&lt;&gt;*上記のどれも*",集計用!$AA$2:$AA$444,"&lt;&gt;無回答"))</f>
        <v>4</v>
      </c>
      <c r="AA7" s="120">
        <f>(COUNTIFS(集計用!$AE$2:$AE$444,$B7,集計用!$AB$2:$AB$444,"*"&amp;I4&amp;"*",集計用!$AA$2:$AA$444,"&lt;&gt;*上記のどれも*",集計用!$AA$2:$AA$444,"&lt;&gt;無回答"))</f>
        <v>0</v>
      </c>
      <c r="AB7" s="120">
        <f>(COUNTIFS(集計用!$AE$2:$AE$444,$B7,集計用!$AB$2:$AB$444,"*"&amp;J4&amp;"*",集計用!$AA$2:$AA$444,"&lt;&gt;*上記のどれも*",集計用!$AA$2:$AA$444,"&lt;&gt;無回答"))</f>
        <v>9</v>
      </c>
      <c r="AC7" s="120">
        <f>(COUNTIFS(集計用!$AE$2:$AE$444,$B7,集計用!$AB$2:$AB$444,"*"&amp;K4&amp;"*",集計用!$AA$2:$AA$444,"&lt;&gt;*上記のどれも*",集計用!$AA$2:$AA$444,"&lt;&gt;無回答"))</f>
        <v>11</v>
      </c>
    </row>
    <row r="8" spans="1:29" ht="15.75" customHeight="1">
      <c r="A8" s="108">
        <f>(COUNTIFS(集計用!$AA$2:$AA$444,"&lt;&gt;無回答",集計用!$AA$2:$AA$444,"&lt;&gt;*上記のどれも*",集計用!$AB$2:$AB$444,"&lt;&gt;無回答",集計用!$AE$2:$AE$444,B8))</f>
        <v>52</v>
      </c>
      <c r="B8" s="112" t="s">
        <v>2167</v>
      </c>
      <c r="C8" s="110">
        <f>テーブル21011121426278151620[[#This Row],[顔にかかわる手術3]]/テーブル21011121426278151620[[#This Row],[顔にかかわる手術2]]*100</f>
        <v>50</v>
      </c>
      <c r="D8" s="110">
        <f>テーブル21011121426278151620[[#This Row],[胸部の手術4]]/テーブル21011121426278151620[[#This Row],[胸部の手術3]]*100</f>
        <v>15.151515151515152</v>
      </c>
      <c r="E8" s="110">
        <f>テーブル21011121426278151620[[#This Row],[抗ホルモン療法5]]/テーブル21011121426278151620[[#This Row],[抗ホルモン療法4]]*100</f>
        <v>40</v>
      </c>
      <c r="F8" s="110">
        <f>テーブル21011121426278151620[[#This Row],[戸籍名の変更6]]/テーブル21011121426278151620[[#This Row],[戸籍名の変更5]]*100</f>
        <v>30</v>
      </c>
      <c r="G8" s="110">
        <f>テーブル21011121426278151620[[#This Row],[戸籍上の性別の変更7]]/テーブル21011121426278151620[[#This Row],[戸籍上の性別の変更6]]*100</f>
        <v>9.0909090909090917</v>
      </c>
      <c r="H8" s="110">
        <f>テーブル21011121426278151620[[#This Row],[性器にかかわる手術8]]/テーブル21011121426278151620[[#This Row],[性器にかかわる手術7]]*100</f>
        <v>11.111111111111111</v>
      </c>
      <c r="I8" s="110">
        <f>テーブル21011121426278151620[[#This Row],[声帯にかかわる手術9]]/テーブル21011121426278151620[[#This Row],[声帯にかかわる手術8]]*100</f>
        <v>0</v>
      </c>
      <c r="J8" s="110">
        <f>テーブル21011121426278151620[[#This Row],[ホルモン補充療法（HRT）10]]/テーブル21011121426278151620[[#This Row],[ホルモン補充療法（HRT）9]]*100</f>
        <v>61.53846153846154</v>
      </c>
      <c r="K8" s="110">
        <f>テーブル21011121426278151620[[#This Row],[ジェンダークリニックの受診11]]/テーブル21011121426278151620[[#This Row],[ジェンダークリニックの受診10]]*100</f>
        <v>36</v>
      </c>
      <c r="L8" s="121">
        <f>(COUNTIFS(集計用!$AE$2:$AE$444,$B8,集計用!$AA$2:$AA$444,"*"&amp;C4&amp;"*",集計用!$AA$2:$AA$444,"&lt;&gt;*上記のどれも*",集計用!$AB$2:$AB$444,"&lt;&gt;無回答"))</f>
        <v>2</v>
      </c>
      <c r="M8" s="121">
        <f>(COUNTIFS(集計用!$AE$2:$AE$444,$B8,集計用!$AA$2:$AA$444,"*"&amp;D4&amp;"*",集計用!$AA$2:$AA$444,"&lt;&gt;*上記のどれも*",集計用!$AB$2:$AB$444,"&lt;&gt;無回答"))</f>
        <v>33</v>
      </c>
      <c r="N8" s="121">
        <f>(COUNTIFS(集計用!$AE$2:$AE$444,$B8,集計用!$AA$2:$AA$444,"*"&amp;E4&amp;"*",集計用!$AA$2:$AA$444,"&lt;&gt;*上記のどれも*",集計用!$AB$2:$AB$444,"&lt;&gt;無回答"))</f>
        <v>5</v>
      </c>
      <c r="O8" s="121">
        <f>(COUNTIFS(集計用!$AE$2:$AE$444,$B8,集計用!$AA$2:$AA$444,"*"&amp;F4&amp;"*",集計用!$AA$2:$AA$444,"&lt;&gt;*上記のどれも*",集計用!$AB$2:$AB$444,"&lt;&gt;無回答"))</f>
        <v>20</v>
      </c>
      <c r="P8" s="121">
        <f>(COUNTIFS(集計用!$AE$2:$AE$444,$B8,集計用!$AA$2:$AA$444,"*"&amp;G4&amp;"*",集計用!$AA$2:$AA$444,"&lt;&gt;*上記のどれも*",集計用!$AB$2:$AB$444,"&lt;&gt;無回答"))</f>
        <v>22</v>
      </c>
      <c r="Q8" s="121">
        <f>(COUNTIFS(集計用!$AE$2:$AE$444,$B8,集計用!$AA$2:$AA$444,"*"&amp;H4&amp;"*",集計用!$AA$2:$AA$444,"&lt;&gt;*上記のどれも*",集計用!$AB$2:$AB$444,"&lt;&gt;無回答"))</f>
        <v>18</v>
      </c>
      <c r="R8" s="121">
        <f>(COUNTIFS(集計用!$AE$2:$AE$444,$B8,集計用!$AA$2:$AA$444,"*"&amp;I4&amp;"*",集計用!$AA$2:$AA$444,"&lt;&gt;*上記のどれも*",集計用!$AB$2:$AB$444,"&lt;&gt;無回答"))</f>
        <v>9</v>
      </c>
      <c r="S8" s="121">
        <f>(COUNTIFS(集計用!$AE$2:$AE$444,$B8,集計用!$AA$2:$AA$444,"*"&amp;J4&amp;"*",集計用!$AA$2:$AA$444,"&lt;&gt;*上記のどれも*",集計用!$AB$2:$AB$444,"&lt;&gt;無回答"))</f>
        <v>13</v>
      </c>
      <c r="T8" s="121">
        <f>(COUNTIFS(集計用!$AE$2:$AE$444,$B8,集計用!$AA$2:$AA$444,"*"&amp;K4&amp;"*",集計用!$AA$2:$AA$444,"&lt;&gt;*上記のどれも*",集計用!$AB$2:$AB$444,"&lt;&gt;無回答"))</f>
        <v>25</v>
      </c>
      <c r="U8" s="120">
        <f>(COUNTIFS(集計用!$AE$2:$AE$444,$B8,集計用!$AB$2:$AB$444,"*"&amp;C4&amp;"*",集計用!$AA$2:$AA$444,"&lt;&gt;*上記のどれも*",集計用!$AA$2:$AA$444,"&lt;&gt;無回答"))</f>
        <v>1</v>
      </c>
      <c r="V8" s="120">
        <f>(COUNTIFS(集計用!$AE$2:$AE$444,$B8,集計用!$AB$2:$AB$444,"*"&amp;D4&amp;"*",集計用!$AA$2:$AA$444,"&lt;&gt;*上記のどれも*",集計用!$AA$2:$AA$444,"&lt;&gt;無回答"))</f>
        <v>5</v>
      </c>
      <c r="W8" s="120">
        <f>(COUNTIFS(集計用!$AE$2:$AE$444,$B8,集計用!$AB$2:$AB$444,"*"&amp;E4&amp;"*",集計用!$AA$2:$AA$444,"&lt;&gt;*上記のどれも*",集計用!$AA$2:$AA$444,"&lt;&gt;無回答"))</f>
        <v>2</v>
      </c>
      <c r="X8" s="120">
        <f>(COUNTIFS(集計用!$AE$2:$AE$444,$B8,集計用!$AB$2:$AB$444,"*"&amp;F4&amp;"*",集計用!$AA$2:$AA$444,"&lt;&gt;*上記のどれも*",集計用!$AA$2:$AA$444,"&lt;&gt;無回答"))</f>
        <v>6</v>
      </c>
      <c r="Y8" s="120">
        <f>(COUNTIFS(集計用!$AE$2:$AE$444,$B8,集計用!$AB$2:$AB$444,"*"&amp;G4&amp;"*",集計用!$AA$2:$AA$444,"&lt;&gt;*上記のどれも*",集計用!$AA$2:$AA$444,"&lt;&gt;無回答"))</f>
        <v>2</v>
      </c>
      <c r="Z8" s="120">
        <f>(COUNTIFS(集計用!$AE$2:$AE$444,$B8,集計用!$AB$2:$AB$444,"*"&amp;H4&amp;"*",集計用!$AA$2:$AA$444,"&lt;&gt;*上記のどれも*",集計用!$AA$2:$AA$444,"&lt;&gt;無回答"))</f>
        <v>2</v>
      </c>
      <c r="AA8" s="120">
        <f>(COUNTIFS(集計用!$AE$2:$AE$444,$B8,集計用!$AB$2:$AB$444,"*"&amp;I4&amp;"*",集計用!$AA$2:$AA$444,"&lt;&gt;*上記のどれも*",集計用!$AA$2:$AA$444,"&lt;&gt;無回答"))</f>
        <v>0</v>
      </c>
      <c r="AB8" s="120">
        <f>(COUNTIFS(集計用!$AE$2:$AE$444,$B8,集計用!$AB$2:$AB$444,"*"&amp;J4&amp;"*",集計用!$AA$2:$AA$444,"&lt;&gt;*上記のどれも*",集計用!$AA$2:$AA$444,"&lt;&gt;無回答"))</f>
        <v>8</v>
      </c>
      <c r="AC8" s="120">
        <f>(COUNTIFS(集計用!$AE$2:$AE$444,$B8,集計用!$AB$2:$AB$444,"*"&amp;K4&amp;"*",集計用!$AA$2:$AA$444,"&lt;&gt;*上記のどれも*",集計用!$AA$2:$AA$444,"&lt;&gt;無回答"))</f>
        <v>9</v>
      </c>
    </row>
    <row r="9" spans="1:29" ht="15.75" customHeight="1">
      <c r="A9" s="108">
        <f>(COUNTIFS(集計用!$AA$2:$AA$444,"&lt;&gt;無回答",集計用!$AA$2:$AA$444,"&lt;&gt;*上記のどれも*",集計用!$AB$2:$AB$444,"&lt;&gt;無回答",集計用!$AE$2:$AE$444,B9))</f>
        <v>39</v>
      </c>
      <c r="B9" s="112" t="s">
        <v>2168</v>
      </c>
      <c r="C9" s="110">
        <f>テーブル21011121426278151620[[#This Row],[顔にかかわる手術3]]/テーブル21011121426278151620[[#This Row],[顔にかかわる手術2]]*100</f>
        <v>33.333333333333329</v>
      </c>
      <c r="D9" s="110">
        <f>テーブル21011121426278151620[[#This Row],[胸部の手術4]]/テーブル21011121426278151620[[#This Row],[胸部の手術3]]*100</f>
        <v>29.411764705882355</v>
      </c>
      <c r="E9" s="110">
        <f>テーブル21011121426278151620[[#This Row],[抗ホルモン療法5]]/テーブル21011121426278151620[[#This Row],[抗ホルモン療法4]]*100</f>
        <v>50</v>
      </c>
      <c r="F9" s="110">
        <f>テーブル21011121426278151620[[#This Row],[戸籍名の変更6]]/テーブル21011121426278151620[[#This Row],[戸籍名の変更5]]*100</f>
        <v>22.222222222222221</v>
      </c>
      <c r="G9" s="110">
        <f>テーブル21011121426278151620[[#This Row],[戸籍上の性別の変更7]]/テーブル21011121426278151620[[#This Row],[戸籍上の性別の変更6]]*100</f>
        <v>10.526315789473683</v>
      </c>
      <c r="H9" s="110">
        <f>テーブル21011121426278151620[[#This Row],[性器にかかわる手術8]]/テーブル21011121426278151620[[#This Row],[性器にかかわる手術7]]*100</f>
        <v>35.714285714285715</v>
      </c>
      <c r="I9" s="110">
        <f>テーブル21011121426278151620[[#This Row],[声帯にかかわる手術9]]/テーブル21011121426278151620[[#This Row],[声帯にかかわる手術8]]*100</f>
        <v>25</v>
      </c>
      <c r="J9" s="110">
        <f>テーブル21011121426278151620[[#This Row],[ホルモン補充療法（HRT）10]]/テーブル21011121426278151620[[#This Row],[ホルモン補充療法（HRT）9]]*100</f>
        <v>71.428571428571431</v>
      </c>
      <c r="K9" s="110">
        <f>テーブル21011121426278151620[[#This Row],[ジェンダークリニックの受診11]]/テーブル21011121426278151620[[#This Row],[ジェンダークリニックの受診10]]*100</f>
        <v>52.173913043478258</v>
      </c>
      <c r="L9" s="121">
        <f>(COUNTIFS(集計用!$AE$2:$AE$444,$B9,集計用!$AA$2:$AA$444,"*"&amp;C4&amp;"*",集計用!$AA$2:$AA$444,"&lt;&gt;*上記のどれも*",集計用!$AB$2:$AB$444,"&lt;&gt;無回答"))</f>
        <v>6</v>
      </c>
      <c r="M9" s="121">
        <f>(COUNTIFS(集計用!$AE$2:$AE$444,$B9,集計用!$AA$2:$AA$444,"*"&amp;D4&amp;"*",集計用!$AA$2:$AA$444,"&lt;&gt;*上記のどれも*",集計用!$AB$2:$AB$444,"&lt;&gt;無回答"))</f>
        <v>17</v>
      </c>
      <c r="N9" s="121">
        <f>(COUNTIFS(集計用!$AE$2:$AE$444,$B9,集計用!$AA$2:$AA$444,"*"&amp;E4&amp;"*",集計用!$AA$2:$AA$444,"&lt;&gt;*上記のどれも*",集計用!$AB$2:$AB$444,"&lt;&gt;無回答"))</f>
        <v>6</v>
      </c>
      <c r="O9" s="121">
        <f>(COUNTIFS(集計用!$AE$2:$AE$444,$B9,集計用!$AA$2:$AA$444,"*"&amp;F4&amp;"*",集計用!$AA$2:$AA$444,"&lt;&gt;*上記のどれも*",集計用!$AB$2:$AB$444,"&lt;&gt;無回答"))</f>
        <v>18</v>
      </c>
      <c r="P9" s="121">
        <f>(COUNTIFS(集計用!$AE$2:$AE$444,$B9,集計用!$AA$2:$AA$444,"*"&amp;G4&amp;"*",集計用!$AA$2:$AA$444,"&lt;&gt;*上記のどれも*",集計用!$AB$2:$AB$444,"&lt;&gt;無回答"))</f>
        <v>19</v>
      </c>
      <c r="Q9" s="121">
        <f>(COUNTIFS(集計用!$AE$2:$AE$444,$B9,集計用!$AA$2:$AA$444,"*"&amp;H4&amp;"*",集計用!$AA$2:$AA$444,"&lt;&gt;*上記のどれも*",集計用!$AB$2:$AB$444,"&lt;&gt;無回答"))</f>
        <v>14</v>
      </c>
      <c r="R9" s="121">
        <f>(COUNTIFS(集計用!$AE$2:$AE$444,$B9,集計用!$AA$2:$AA$444,"*"&amp;I4&amp;"*",集計用!$AA$2:$AA$444,"&lt;&gt;*上記のどれも*",集計用!$AB$2:$AB$444,"&lt;&gt;無回答"))</f>
        <v>4</v>
      </c>
      <c r="S9" s="121">
        <f>(COUNTIFS(集計用!$AE$2:$AE$444,$B9,集計用!$AA$2:$AA$444,"*"&amp;J4&amp;"*",集計用!$AA$2:$AA$444,"&lt;&gt;*上記のどれも*",集計用!$AB$2:$AB$444,"&lt;&gt;無回答"))</f>
        <v>14</v>
      </c>
      <c r="T9" s="121">
        <f>(COUNTIFS(集計用!$AE$2:$AE$444,$B9,集計用!$AA$2:$AA$444,"*"&amp;K4&amp;"*",集計用!$AA$2:$AA$444,"&lt;&gt;*上記のどれも*",集計用!$AB$2:$AB$444,"&lt;&gt;無回答"))</f>
        <v>23</v>
      </c>
      <c r="U9" s="120">
        <f>(COUNTIFS(集計用!$AE$2:$AE$444,$B9,集計用!$AB$2:$AB$444,"*"&amp;C4&amp;"*",集計用!$AA$2:$AA$444,"&lt;&gt;*上記のどれも*",集計用!$AA$2:$AA$444,"&lt;&gt;無回答"))</f>
        <v>2</v>
      </c>
      <c r="V9" s="120">
        <f>(COUNTIFS(集計用!$AE$2:$AE$444,$B9,集計用!$AB$2:$AB$444,"*"&amp;D4&amp;"*",集計用!$AA$2:$AA$444,"&lt;&gt;*上記のどれも*",集計用!$AA$2:$AA$444,"&lt;&gt;無回答"))</f>
        <v>5</v>
      </c>
      <c r="W9" s="120">
        <f>(COUNTIFS(集計用!$AE$2:$AE$444,$B9,集計用!$AB$2:$AB$444,"*"&amp;E4&amp;"*",集計用!$AA$2:$AA$444,"&lt;&gt;*上記のどれも*",集計用!$AA$2:$AA$444,"&lt;&gt;無回答"))</f>
        <v>3</v>
      </c>
      <c r="X9" s="120">
        <f>(COUNTIFS(集計用!$AE$2:$AE$444,$B9,集計用!$AB$2:$AB$444,"*"&amp;F4&amp;"*",集計用!$AA$2:$AA$444,"&lt;&gt;*上記のどれも*",集計用!$AA$2:$AA$444,"&lt;&gt;無回答"))</f>
        <v>4</v>
      </c>
      <c r="Y9" s="120">
        <f>(COUNTIFS(集計用!$AE$2:$AE$444,$B9,集計用!$AB$2:$AB$444,"*"&amp;G4&amp;"*",集計用!$AA$2:$AA$444,"&lt;&gt;*上記のどれも*",集計用!$AA$2:$AA$444,"&lt;&gt;無回答"))</f>
        <v>2</v>
      </c>
      <c r="Z9" s="120">
        <f>(COUNTIFS(集計用!$AE$2:$AE$444,$B9,集計用!$AB$2:$AB$444,"*"&amp;H4&amp;"*",集計用!$AA$2:$AA$444,"&lt;&gt;*上記のどれも*",集計用!$AA$2:$AA$444,"&lt;&gt;無回答"))</f>
        <v>5</v>
      </c>
      <c r="AA9" s="120">
        <f>(COUNTIFS(集計用!$AE$2:$AE$444,$B9,集計用!$AB$2:$AB$444,"*"&amp;I4&amp;"*",集計用!$AA$2:$AA$444,"&lt;&gt;*上記のどれも*",集計用!$AA$2:$AA$444,"&lt;&gt;無回答"))</f>
        <v>1</v>
      </c>
      <c r="AB9" s="120">
        <f>(COUNTIFS(集計用!$AE$2:$AE$444,$B9,集計用!$AB$2:$AB$444,"*"&amp;J4&amp;"*",集計用!$AA$2:$AA$444,"&lt;&gt;*上記のどれも*",集計用!$AA$2:$AA$444,"&lt;&gt;無回答"))</f>
        <v>10</v>
      </c>
      <c r="AC9" s="120">
        <f>(COUNTIFS(集計用!$AE$2:$AE$444,$B9,集計用!$AB$2:$AB$444,"*"&amp;K4&amp;"*",集計用!$AA$2:$AA$444,"&lt;&gt;*上記のどれも*",集計用!$AA$2:$AA$444,"&lt;&gt;無回答"))</f>
        <v>12</v>
      </c>
    </row>
    <row r="10" spans="1:29" ht="15.75" customHeight="1">
      <c r="A10" s="108">
        <f>(COUNTIFS(集計用!$AA$2:$AA$444,"&lt;&gt;無回答",集計用!$AA$2:$AA$444,"&lt;&gt;*上記のどれも*",集計用!$AB$2:$AB$444,"&lt;&gt;無回答",集計用!$AE$2:$AE$444,B10))</f>
        <v>16</v>
      </c>
      <c r="B10" s="112" t="s">
        <v>2169</v>
      </c>
      <c r="C10" s="110">
        <f>テーブル21011121426278151620[[#This Row],[顔にかかわる手術3]]/テーブル21011121426278151620[[#This Row],[顔にかかわる手術2]]*100</f>
        <v>66.666666666666657</v>
      </c>
      <c r="D10" s="110">
        <f>テーブル21011121426278151620[[#This Row],[胸部の手術4]]/テーブル21011121426278151620[[#This Row],[胸部の手術3]]*100</f>
        <v>33.333333333333329</v>
      </c>
      <c r="E10" s="110">
        <f>テーブル21011121426278151620[[#This Row],[抗ホルモン療法5]]/テーブル21011121426278151620[[#This Row],[抗ホルモン療法4]]*100</f>
        <v>100</v>
      </c>
      <c r="F10" s="110">
        <f>テーブル21011121426278151620[[#This Row],[戸籍名の変更6]]/テーブル21011121426278151620[[#This Row],[戸籍名の変更5]]*100</f>
        <v>55.555555555555557</v>
      </c>
      <c r="G10" s="110">
        <f>テーブル21011121426278151620[[#This Row],[戸籍上の性別の変更7]]/テーブル21011121426278151620[[#This Row],[戸籍上の性別の変更6]]*100</f>
        <v>14.285714285714285</v>
      </c>
      <c r="H10" s="110">
        <f>テーブル21011121426278151620[[#This Row],[性器にかかわる手術8]]/テーブル21011121426278151620[[#This Row],[性器にかかわる手術7]]*100</f>
        <v>50</v>
      </c>
      <c r="I10" s="110">
        <f>テーブル21011121426278151620[[#This Row],[声帯にかかわる手術9]]/テーブル21011121426278151620[[#This Row],[声帯にかかわる手術8]]*100</f>
        <v>0</v>
      </c>
      <c r="J10" s="110">
        <f>テーブル21011121426278151620[[#This Row],[ホルモン補充療法（HRT）10]]/テーブル21011121426278151620[[#This Row],[ホルモン補充療法（HRT）9]]*100</f>
        <v>66.666666666666657</v>
      </c>
      <c r="K10" s="110">
        <f>テーブル21011121426278151620[[#This Row],[ジェンダークリニックの受診11]]/テーブル21011121426278151620[[#This Row],[ジェンダークリニックの受診10]]*100</f>
        <v>75</v>
      </c>
      <c r="L10" s="121">
        <f>(COUNTIFS(集計用!$AE$2:$AE$444,$B10,集計用!$AA$2:$AA$444,"*"&amp;C4&amp;"*",集計用!$AA$2:$AA$444,"&lt;&gt;*上記のどれも*",集計用!$AB$2:$AB$444,"&lt;&gt;無回答"))</f>
        <v>3</v>
      </c>
      <c r="M10" s="121">
        <f>(COUNTIFS(集計用!$AE$2:$AE$444,$B10,集計用!$AA$2:$AA$444,"*"&amp;D4&amp;"*",集計用!$AA$2:$AA$444,"&lt;&gt;*上記のどれも*",集計用!$AB$2:$AB$444,"&lt;&gt;無回答"))</f>
        <v>6</v>
      </c>
      <c r="N10" s="121">
        <f>(COUNTIFS(集計用!$AE$2:$AE$444,$B10,集計用!$AA$2:$AA$444,"*"&amp;E4&amp;"*",集計用!$AA$2:$AA$444,"&lt;&gt;*上記のどれも*",集計用!$AB$2:$AB$444,"&lt;&gt;無回答"))</f>
        <v>1</v>
      </c>
      <c r="O10" s="121">
        <f>(COUNTIFS(集計用!$AE$2:$AE$444,$B10,集計用!$AA$2:$AA$444,"*"&amp;F4&amp;"*",集計用!$AA$2:$AA$444,"&lt;&gt;*上記のどれも*",集計用!$AB$2:$AB$444,"&lt;&gt;無回答"))</f>
        <v>9</v>
      </c>
      <c r="P10" s="121">
        <f>(COUNTIFS(集計用!$AE$2:$AE$444,$B10,集計用!$AA$2:$AA$444,"*"&amp;G4&amp;"*",集計用!$AA$2:$AA$444,"&lt;&gt;*上記のどれも*",集計用!$AB$2:$AB$444,"&lt;&gt;無回答"))</f>
        <v>7</v>
      </c>
      <c r="Q10" s="121">
        <f>(COUNTIFS(集計用!$AE$2:$AE$444,$B10,集計用!$AA$2:$AA$444,"*"&amp;H4&amp;"*",集計用!$AA$2:$AA$444,"&lt;&gt;*上記のどれも*",集計用!$AB$2:$AB$444,"&lt;&gt;無回答"))</f>
        <v>4</v>
      </c>
      <c r="R10" s="121">
        <f>(COUNTIFS(集計用!$AE$2:$AE$444,$B10,集計用!$AA$2:$AA$444,"*"&amp;I4&amp;"*",集計用!$AA$2:$AA$444,"&lt;&gt;*上記のどれも*",集計用!$AB$2:$AB$444,"&lt;&gt;無回答"))</f>
        <v>1</v>
      </c>
      <c r="S10" s="121">
        <f>(COUNTIFS(集計用!$AE$2:$AE$444,$B10,集計用!$AA$2:$AA$444,"*"&amp;J4&amp;"*",集計用!$AA$2:$AA$444,"&lt;&gt;*上記のどれも*",集計用!$AB$2:$AB$444,"&lt;&gt;無回答"))</f>
        <v>6</v>
      </c>
      <c r="T10" s="121">
        <f>(COUNTIFS(集計用!$AE$2:$AE$444,$B10,集計用!$AA$2:$AA$444,"*"&amp;K4&amp;"*",集計用!$AA$2:$AA$444,"&lt;&gt;*上記のどれも*",集計用!$AB$2:$AB$444,"&lt;&gt;無回答"))</f>
        <v>8</v>
      </c>
      <c r="U10" s="120">
        <f>(COUNTIFS(集計用!$AE$2:$AE$444,$B10,集計用!$AB$2:$AB$444,"*"&amp;C4&amp;"*",集計用!$AA$2:$AA$444,"&lt;&gt;*上記のどれも*",集計用!$AA$2:$AA$444,"&lt;&gt;無回答"))</f>
        <v>2</v>
      </c>
      <c r="V10" s="120">
        <f>(COUNTIFS(集計用!$AE$2:$AE$444,$B10,集計用!$AB$2:$AB$444,"*"&amp;D4&amp;"*",集計用!$AA$2:$AA$444,"&lt;&gt;*上記のどれも*",集計用!$AA$2:$AA$444,"&lt;&gt;無回答"))</f>
        <v>2</v>
      </c>
      <c r="W10" s="120">
        <f>(COUNTIFS(集計用!$AE$2:$AE$444,$B10,集計用!$AB$2:$AB$444,"*"&amp;E4&amp;"*",集計用!$AA$2:$AA$444,"&lt;&gt;*上記のどれも*",集計用!$AA$2:$AA$444,"&lt;&gt;無回答"))</f>
        <v>1</v>
      </c>
      <c r="X10" s="120">
        <f>(COUNTIFS(集計用!$AE$2:$AE$444,$B10,集計用!$AB$2:$AB$444,"*"&amp;F4&amp;"*",集計用!$AA$2:$AA$444,"&lt;&gt;*上記のどれも*",集計用!$AA$2:$AA$444,"&lt;&gt;無回答"))</f>
        <v>5</v>
      </c>
      <c r="Y10" s="120">
        <f>(COUNTIFS(集計用!$AE$2:$AE$444,$B10,集計用!$AB$2:$AB$444,"*"&amp;G4&amp;"*",集計用!$AA$2:$AA$444,"&lt;&gt;*上記のどれも*",集計用!$AA$2:$AA$444,"&lt;&gt;無回答"))</f>
        <v>1</v>
      </c>
      <c r="Z10" s="120">
        <f>(COUNTIFS(集計用!$AE$2:$AE$444,$B10,集計用!$AB$2:$AB$444,"*"&amp;H4&amp;"*",集計用!$AA$2:$AA$444,"&lt;&gt;*上記のどれも*",集計用!$AA$2:$AA$444,"&lt;&gt;無回答"))</f>
        <v>2</v>
      </c>
      <c r="AA10" s="120">
        <f>(COUNTIFS(集計用!$AE$2:$AE$444,$B10,集計用!$AB$2:$AB$444,"*"&amp;I4&amp;"*",集計用!$AA$2:$AA$444,"&lt;&gt;*上記のどれも*",集計用!$AA$2:$AA$444,"&lt;&gt;無回答"))</f>
        <v>0</v>
      </c>
      <c r="AB10" s="120">
        <f>(COUNTIFS(集計用!$AE$2:$AE$444,$B10,集計用!$AB$2:$AB$444,"*"&amp;J4&amp;"*",集計用!$AA$2:$AA$444,"&lt;&gt;*上記のどれも*",集計用!$AA$2:$AA$444,"&lt;&gt;無回答"))</f>
        <v>4</v>
      </c>
      <c r="AC10" s="120">
        <f>(COUNTIFS(集計用!$AE$2:$AE$444,$B10,集計用!$AB$2:$AB$444,"*"&amp;K4&amp;"*",集計用!$AA$2:$AA$444,"&lt;&gt;*上記のどれも*",集計用!$AA$2:$AA$444,"&lt;&gt;無回答"))</f>
        <v>6</v>
      </c>
    </row>
    <row r="11" spans="1:29" ht="15.75" customHeight="1">
      <c r="A11" s="108">
        <f>(COUNTIFS(集計用!$AA$2:$AA$444,"&lt;&gt;無回答",集計用!$AA$2:$AA$444,"&lt;&gt;*上記のどれも*",集計用!$AB$2:$AB$444,"&lt;&gt;無回答",集計用!$AE$2:$AE$444,B11))</f>
        <v>12</v>
      </c>
      <c r="B11" s="112" t="s">
        <v>2170</v>
      </c>
      <c r="C11" s="110">
        <f>テーブル21011121426278151620[[#This Row],[顔にかかわる手術3]]/テーブル21011121426278151620[[#This Row],[顔にかかわる手術2]]*100</f>
        <v>0</v>
      </c>
      <c r="D11" s="110">
        <f>テーブル21011121426278151620[[#This Row],[胸部の手術4]]/テーブル21011121426278151620[[#This Row],[胸部の手術3]]*100</f>
        <v>20</v>
      </c>
      <c r="E11" s="110">
        <f>テーブル21011121426278151620[[#This Row],[抗ホルモン療法5]]/テーブル21011121426278151620[[#This Row],[抗ホルモン療法4]]*100</f>
        <v>100</v>
      </c>
      <c r="F11" s="110">
        <f>テーブル21011121426278151620[[#This Row],[戸籍名の変更6]]/テーブル21011121426278151620[[#This Row],[戸籍名の変更5]]*100</f>
        <v>33.333333333333329</v>
      </c>
      <c r="G11" s="110">
        <f>テーブル21011121426278151620[[#This Row],[戸籍上の性別の変更7]]/テーブル21011121426278151620[[#This Row],[戸籍上の性別の変更6]]*100</f>
        <v>11.111111111111111</v>
      </c>
      <c r="H11" s="110">
        <f>テーブル21011121426278151620[[#This Row],[性器にかかわる手術8]]/テーブル21011121426278151620[[#This Row],[性器にかかわる手術7]]*100</f>
        <v>50</v>
      </c>
      <c r="I11" s="110">
        <f>テーブル21011121426278151620[[#This Row],[声帯にかかわる手術9]]/テーブル21011121426278151620[[#This Row],[声帯にかかわる手術8]]*100</f>
        <v>0</v>
      </c>
      <c r="J11" s="110">
        <f>テーブル21011121426278151620[[#This Row],[ホルモン補充療法（HRT）10]]/テーブル21011121426278151620[[#This Row],[ホルモン補充療法（HRT）9]]*100</f>
        <v>75</v>
      </c>
      <c r="K11" s="110">
        <f>テーブル21011121426278151620[[#This Row],[ジェンダークリニックの受診11]]/テーブル21011121426278151620[[#This Row],[ジェンダークリニックの受診10]]*100</f>
        <v>100</v>
      </c>
      <c r="L11" s="121">
        <f>(COUNTIFS(集計用!$AE$2:$AE$444,$B11,集計用!$AA$2:$AA$444,"*"&amp;C4&amp;"*",集計用!$AA$2:$AA$444,"&lt;&gt;*上記のどれも*",集計用!$AB$2:$AB$444,"&lt;&gt;無回答"))</f>
        <v>2</v>
      </c>
      <c r="M11" s="121">
        <f>(COUNTIFS(集計用!$AE$2:$AE$444,$B11,集計用!$AA$2:$AA$444,"*"&amp;D4&amp;"*",集計用!$AA$2:$AA$444,"&lt;&gt;*上記のどれも*",集計用!$AB$2:$AB$444,"&lt;&gt;無回答"))</f>
        <v>5</v>
      </c>
      <c r="N11" s="121">
        <f>(COUNTIFS(集計用!$AE$2:$AE$444,$B11,集計用!$AA$2:$AA$444,"*"&amp;E4&amp;"*",集計用!$AA$2:$AA$444,"&lt;&gt;*上記のどれも*",集計用!$AB$2:$AB$444,"&lt;&gt;無回答"))</f>
        <v>1</v>
      </c>
      <c r="O11" s="121">
        <f>(COUNTIFS(集計用!$AE$2:$AE$444,$B11,集計用!$AA$2:$AA$444,"*"&amp;F4&amp;"*",集計用!$AA$2:$AA$444,"&lt;&gt;*上記のどれも*",集計用!$AB$2:$AB$444,"&lt;&gt;無回答"))</f>
        <v>6</v>
      </c>
      <c r="P11" s="121">
        <f>(COUNTIFS(集計用!$AE$2:$AE$444,$B11,集計用!$AA$2:$AA$444,"*"&amp;G4&amp;"*",集計用!$AA$2:$AA$444,"&lt;&gt;*上記のどれも*",集計用!$AB$2:$AB$444,"&lt;&gt;無回答"))</f>
        <v>9</v>
      </c>
      <c r="Q11" s="121">
        <f>(COUNTIFS(集計用!$AE$2:$AE$444,$B11,集計用!$AA$2:$AA$444,"*"&amp;H4&amp;"*",集計用!$AA$2:$AA$444,"&lt;&gt;*上記のどれも*",集計用!$AB$2:$AB$444,"&lt;&gt;無回答"))</f>
        <v>4</v>
      </c>
      <c r="R11" s="121">
        <f>(COUNTIFS(集計用!$AE$2:$AE$444,$B11,集計用!$AA$2:$AA$444,"*"&amp;I4&amp;"*",集計用!$AA$2:$AA$444,"&lt;&gt;*上記のどれも*",集計用!$AB$2:$AB$444,"&lt;&gt;無回答"))</f>
        <v>2</v>
      </c>
      <c r="S11" s="121">
        <f>(COUNTIFS(集計用!$AE$2:$AE$444,$B11,集計用!$AA$2:$AA$444,"*"&amp;J4&amp;"*",集計用!$AA$2:$AA$444,"&lt;&gt;*上記のどれも*",集計用!$AB$2:$AB$444,"&lt;&gt;無回答"))</f>
        <v>4</v>
      </c>
      <c r="T11" s="121">
        <f>(COUNTIFS(集計用!$AE$2:$AE$444,$B11,集計用!$AA$2:$AA$444,"*"&amp;K4&amp;"*",集計用!$AA$2:$AA$444,"&lt;&gt;*上記のどれも*",集計用!$AB$2:$AB$444,"&lt;&gt;無回答"))</f>
        <v>4</v>
      </c>
      <c r="U11" s="120">
        <f>(COUNTIFS(集計用!$AE$2:$AE$444,$B11,集計用!$AB$2:$AB$444,"*"&amp;C4&amp;"*",集計用!$AA$2:$AA$444,"&lt;&gt;*上記のどれも*",集計用!$AA$2:$AA$444,"&lt;&gt;無回答"))</f>
        <v>0</v>
      </c>
      <c r="V11" s="120">
        <f>(COUNTIFS(集計用!$AE$2:$AE$444,$B11,集計用!$AB$2:$AB$444,"*"&amp;D4&amp;"*",集計用!$AA$2:$AA$444,"&lt;&gt;*上記のどれも*",集計用!$AA$2:$AA$444,"&lt;&gt;無回答"))</f>
        <v>1</v>
      </c>
      <c r="W11" s="120">
        <f>(COUNTIFS(集計用!$AE$2:$AE$444,$B11,集計用!$AB$2:$AB$444,"*"&amp;E4&amp;"*",集計用!$AA$2:$AA$444,"&lt;&gt;*上記のどれも*",集計用!$AA$2:$AA$444,"&lt;&gt;無回答"))</f>
        <v>1</v>
      </c>
      <c r="X11" s="120">
        <f>(COUNTIFS(集計用!$AE$2:$AE$444,$B11,集計用!$AB$2:$AB$444,"*"&amp;F4&amp;"*",集計用!$AA$2:$AA$444,"&lt;&gt;*上記のどれも*",集計用!$AA$2:$AA$444,"&lt;&gt;無回答"))</f>
        <v>2</v>
      </c>
      <c r="Y11" s="120">
        <f>(COUNTIFS(集計用!$AE$2:$AE$444,$B11,集計用!$AB$2:$AB$444,"*"&amp;G4&amp;"*",集計用!$AA$2:$AA$444,"&lt;&gt;*上記のどれも*",集計用!$AA$2:$AA$444,"&lt;&gt;無回答"))</f>
        <v>1</v>
      </c>
      <c r="Z11" s="120">
        <f>(COUNTIFS(集計用!$AE$2:$AE$444,$B11,集計用!$AB$2:$AB$444,"*"&amp;H4&amp;"*",集計用!$AA$2:$AA$444,"&lt;&gt;*上記のどれも*",集計用!$AA$2:$AA$444,"&lt;&gt;無回答"))</f>
        <v>2</v>
      </c>
      <c r="AA11" s="120">
        <f>(COUNTIFS(集計用!$AE$2:$AE$444,$B11,集計用!$AB$2:$AB$444,"*"&amp;I4&amp;"*",集計用!$AA$2:$AA$444,"&lt;&gt;*上記のどれも*",集計用!$AA$2:$AA$444,"&lt;&gt;無回答"))</f>
        <v>0</v>
      </c>
      <c r="AB11" s="120">
        <f>(COUNTIFS(集計用!$AE$2:$AE$444,$B11,集計用!$AB$2:$AB$444,"*"&amp;J4&amp;"*",集計用!$AA$2:$AA$444,"&lt;&gt;*上記のどれも*",集計用!$AA$2:$AA$444,"&lt;&gt;無回答"))</f>
        <v>3</v>
      </c>
      <c r="AC11" s="120">
        <f>(COUNTIFS(集計用!$AE$2:$AE$444,$B11,集計用!$AB$2:$AB$444,"*"&amp;K4&amp;"*",集計用!$AA$2:$AA$444,"&lt;&gt;*上記のどれも*",集計用!$AA$2:$AA$444,"&lt;&gt;無回答"))</f>
        <v>4</v>
      </c>
    </row>
    <row r="12" spans="1:29" ht="15.75" customHeight="1">
      <c r="A12" s="108">
        <f>(COUNTIFS(集計用!$AA$2:$AA$444,"&lt;&gt;無回答",集計用!$AA$2:$AA$444,"&lt;&gt;*上記のどれも*",集計用!$AB$2:$AB$444,"&lt;&gt;無回答",集計用!$AE$2:$AE$444,B12))</f>
        <v>9</v>
      </c>
      <c r="B12" s="112" t="s">
        <v>2171</v>
      </c>
      <c r="C12" s="110">
        <f>テーブル21011121426278151620[[#This Row],[顔にかかわる手術3]]/テーブル21011121426278151620[[#This Row],[顔にかかわる手術2]]*100</f>
        <v>0</v>
      </c>
      <c r="D12" s="110">
        <f>テーブル21011121426278151620[[#This Row],[胸部の手術4]]/テーブル21011121426278151620[[#This Row],[胸部の手術3]]*100</f>
        <v>25</v>
      </c>
      <c r="E12" s="110">
        <f>テーブル21011121426278151620[[#This Row],[抗ホルモン療法5]]/テーブル21011121426278151620[[#This Row],[抗ホルモン療法4]]*100</f>
        <v>50</v>
      </c>
      <c r="F12" s="110">
        <f>テーブル21011121426278151620[[#This Row],[戸籍名の変更6]]/テーブル21011121426278151620[[#This Row],[戸籍名の変更5]]*100</f>
        <v>66.666666666666657</v>
      </c>
      <c r="G12" s="110">
        <f>テーブル21011121426278151620[[#This Row],[戸籍上の性別の変更7]]/テーブル21011121426278151620[[#This Row],[戸籍上の性別の変更6]]*100</f>
        <v>0</v>
      </c>
      <c r="H12" s="110">
        <f>テーブル21011121426278151620[[#This Row],[性器にかかわる手術8]]/テーブル21011121426278151620[[#This Row],[性器にかかわる手術7]]*100</f>
        <v>33.333333333333329</v>
      </c>
      <c r="I12" s="110">
        <f>テーブル21011121426278151620[[#This Row],[声帯にかかわる手術9]]/テーブル21011121426278151620[[#This Row],[声帯にかかわる手術8]]*100</f>
        <v>0</v>
      </c>
      <c r="J12" s="110">
        <f>テーブル21011121426278151620[[#This Row],[ホルモン補充療法（HRT）10]]/テーブル21011121426278151620[[#This Row],[ホルモン補充療法（HRT）9]]*100</f>
        <v>75</v>
      </c>
      <c r="K12" s="110">
        <f>テーブル21011121426278151620[[#This Row],[ジェンダークリニックの受診11]]/テーブル21011121426278151620[[#This Row],[ジェンダークリニックの受診10]]*100</f>
        <v>50</v>
      </c>
      <c r="L12" s="121">
        <f>(COUNTIFS(集計用!$AE$2:$AE$444,$B12,集計用!$AA$2:$AA$444,"*"&amp;C4&amp;"*",集計用!$AA$2:$AA$444,"&lt;&gt;*上記のどれも*",集計用!$AB$2:$AB$444,"&lt;&gt;無回答"))</f>
        <v>1</v>
      </c>
      <c r="M12" s="121">
        <f>(COUNTIFS(集計用!$AE$2:$AE$444,$B12,集計用!$AA$2:$AA$444,"*"&amp;D4&amp;"*",集計用!$AA$2:$AA$444,"&lt;&gt;*上記のどれも*",集計用!$AB$2:$AB$444,"&lt;&gt;無回答"))</f>
        <v>4</v>
      </c>
      <c r="N12" s="121">
        <f>(COUNTIFS(集計用!$AE$2:$AE$444,$B12,集計用!$AA$2:$AA$444,"*"&amp;E4&amp;"*",集計用!$AA$2:$AA$444,"&lt;&gt;*上記のどれも*",集計用!$AB$2:$AB$444,"&lt;&gt;無回答"))</f>
        <v>2</v>
      </c>
      <c r="O12" s="121">
        <f>(COUNTIFS(集計用!$AE$2:$AE$444,$B12,集計用!$AA$2:$AA$444,"*"&amp;F4&amp;"*",集計用!$AA$2:$AA$444,"&lt;&gt;*上記のどれも*",集計用!$AB$2:$AB$444,"&lt;&gt;無回答"))</f>
        <v>3</v>
      </c>
      <c r="P12" s="121">
        <f>(COUNTIFS(集計用!$AE$2:$AE$444,$B12,集計用!$AA$2:$AA$444,"*"&amp;G4&amp;"*",集計用!$AA$2:$AA$444,"&lt;&gt;*上記のどれも*",集計用!$AB$2:$AB$444,"&lt;&gt;無回答"))</f>
        <v>3</v>
      </c>
      <c r="Q12" s="121">
        <f>(COUNTIFS(集計用!$AE$2:$AE$444,$B12,集計用!$AA$2:$AA$444,"*"&amp;H4&amp;"*",集計用!$AA$2:$AA$444,"&lt;&gt;*上記のどれも*",集計用!$AB$2:$AB$444,"&lt;&gt;無回答"))</f>
        <v>3</v>
      </c>
      <c r="R12" s="121">
        <f>(COUNTIFS(集計用!$AE$2:$AE$444,$B12,集計用!$AA$2:$AA$444,"*"&amp;I4&amp;"*",集計用!$AA$2:$AA$444,"&lt;&gt;*上記のどれも*",集計用!$AB$2:$AB$444,"&lt;&gt;無回答"))</f>
        <v>1</v>
      </c>
      <c r="S12" s="121">
        <f>(COUNTIFS(集計用!$AE$2:$AE$444,$B12,集計用!$AA$2:$AA$444,"*"&amp;J4&amp;"*",集計用!$AA$2:$AA$444,"&lt;&gt;*上記のどれも*",集計用!$AB$2:$AB$444,"&lt;&gt;無回答"))</f>
        <v>4</v>
      </c>
      <c r="T12" s="121">
        <f>(COUNTIFS(集計用!$AE$2:$AE$444,$B12,集計用!$AA$2:$AA$444,"*"&amp;K4&amp;"*",集計用!$AA$2:$AA$444,"&lt;&gt;*上記のどれも*",集計用!$AB$2:$AB$444,"&lt;&gt;無回答"))</f>
        <v>6</v>
      </c>
      <c r="U12" s="120">
        <f>(COUNTIFS(集計用!$AE$2:$AE$444,$B12,集計用!$AB$2:$AB$444,"*"&amp;C4&amp;"*",集計用!$AA$2:$AA$444,"&lt;&gt;*上記のどれも*",集計用!$AA$2:$AA$444,"&lt;&gt;無回答"))</f>
        <v>0</v>
      </c>
      <c r="V12" s="120">
        <f>(COUNTIFS(集計用!$AE$2:$AE$444,$B12,集計用!$AB$2:$AB$444,"*"&amp;D4&amp;"*",集計用!$AA$2:$AA$444,"&lt;&gt;*上記のどれも*",集計用!$AA$2:$AA$444,"&lt;&gt;無回答"))</f>
        <v>1</v>
      </c>
      <c r="W12" s="120">
        <f>(COUNTIFS(集計用!$AE$2:$AE$444,$B12,集計用!$AB$2:$AB$444,"*"&amp;E4&amp;"*",集計用!$AA$2:$AA$444,"&lt;&gt;*上記のどれも*",集計用!$AA$2:$AA$444,"&lt;&gt;無回答"))</f>
        <v>1</v>
      </c>
      <c r="X12" s="120">
        <f>(COUNTIFS(集計用!$AE$2:$AE$444,$B12,集計用!$AB$2:$AB$444,"*"&amp;F4&amp;"*",集計用!$AA$2:$AA$444,"&lt;&gt;*上記のどれも*",集計用!$AA$2:$AA$444,"&lt;&gt;無回答"))</f>
        <v>2</v>
      </c>
      <c r="Y12" s="120">
        <f>(COUNTIFS(集計用!$AE$2:$AE$444,$B12,集計用!$AB$2:$AB$444,"*"&amp;G4&amp;"*",集計用!$AA$2:$AA$444,"&lt;&gt;*上記のどれも*",集計用!$AA$2:$AA$444,"&lt;&gt;無回答"))</f>
        <v>0</v>
      </c>
      <c r="Z12" s="120">
        <f>(COUNTIFS(集計用!$AE$2:$AE$444,$B12,集計用!$AB$2:$AB$444,"*"&amp;H4&amp;"*",集計用!$AA$2:$AA$444,"&lt;&gt;*上記のどれも*",集計用!$AA$2:$AA$444,"&lt;&gt;無回答"))</f>
        <v>1</v>
      </c>
      <c r="AA12" s="120">
        <f>(COUNTIFS(集計用!$AE$2:$AE$444,$B12,集計用!$AB$2:$AB$444,"*"&amp;I4&amp;"*",集計用!$AA$2:$AA$444,"&lt;&gt;*上記のどれも*",集計用!$AA$2:$AA$444,"&lt;&gt;無回答"))</f>
        <v>0</v>
      </c>
      <c r="AB12" s="120">
        <f>(COUNTIFS(集計用!$AE$2:$AE$444,$B12,集計用!$AB$2:$AB$444,"*"&amp;J4&amp;"*",集計用!$AA$2:$AA$444,"&lt;&gt;*上記のどれも*",集計用!$AA$2:$AA$444,"&lt;&gt;無回答"))</f>
        <v>3</v>
      </c>
      <c r="AC12" s="120">
        <f>(COUNTIFS(集計用!$AE$2:$AE$444,$B12,集計用!$AB$2:$AB$444,"*"&amp;K4&amp;"*",集計用!$AA$2:$AA$444,"&lt;&gt;*上記のどれも*",集計用!$AA$2:$AA$444,"&lt;&gt;無回答"))</f>
        <v>3</v>
      </c>
    </row>
    <row r="13" spans="1:29" ht="15.75" customHeight="1">
      <c r="A13" s="108">
        <f>(COUNTIFS(集計用!$AA$2:$AA$444,"&lt;&gt;無回答",集計用!$AA$2:$AA$444,"&lt;&gt;*上記のどれも*",集計用!$AB$2:$AB$444,"&lt;&gt;無回答",集計用!$AE$2:$AE$444,B13))</f>
        <v>7</v>
      </c>
      <c r="B13" s="112" t="s">
        <v>2172</v>
      </c>
      <c r="C13" s="110">
        <f>テーブル21011121426278151620[[#This Row],[顔にかかわる手術3]]/テーブル21011121426278151620[[#This Row],[顔にかかわる手術2]]*100</f>
        <v>0</v>
      </c>
      <c r="D13" s="110">
        <f>テーブル21011121426278151620[[#This Row],[胸部の手術4]]/テーブル21011121426278151620[[#This Row],[胸部の手術3]]*100</f>
        <v>0</v>
      </c>
      <c r="E13" s="110">
        <f>テーブル21011121426278151620[[#This Row],[抗ホルモン療法5]]/テーブル21011121426278151620[[#This Row],[抗ホルモン療法4]]*100</f>
        <v>100</v>
      </c>
      <c r="F13" s="110">
        <f>テーブル21011121426278151620[[#This Row],[戸籍名の変更6]]/テーブル21011121426278151620[[#This Row],[戸籍名の変更5]]*100</f>
        <v>50</v>
      </c>
      <c r="G13" s="110">
        <f>テーブル21011121426278151620[[#This Row],[戸籍上の性別の変更7]]/テーブル21011121426278151620[[#This Row],[戸籍上の性別の変更6]]*100</f>
        <v>100</v>
      </c>
      <c r="H13" s="110">
        <f>テーブル21011121426278151620[[#This Row],[性器にかかわる手術8]]/テーブル21011121426278151620[[#This Row],[性器にかかわる手術7]]*100</f>
        <v>50</v>
      </c>
      <c r="I13" s="110" t="e">
        <f>テーブル21011121426278151620[[#This Row],[声帯にかかわる手術9]]/テーブル21011121426278151620[[#This Row],[声帯にかかわる手術8]]*100</f>
        <v>#DIV/0!</v>
      </c>
      <c r="J13" s="110">
        <f>テーブル21011121426278151620[[#This Row],[ホルモン補充療法（HRT）10]]/テーブル21011121426278151620[[#This Row],[ホルモン補充療法（HRT）9]]*100</f>
        <v>133.33333333333331</v>
      </c>
      <c r="K13" s="110">
        <f>テーブル21011121426278151620[[#This Row],[ジェンダークリニックの受診11]]/テーブル21011121426278151620[[#This Row],[ジェンダークリニックの受診10]]*100</f>
        <v>50</v>
      </c>
      <c r="L13" s="121">
        <f>(COUNTIFS(集計用!$AE$2:$AE$444,$B13,集計用!$AA$2:$AA$444,"*"&amp;C4&amp;"*",集計用!$AA$2:$AA$444,"&lt;&gt;*上記のどれも*",集計用!$AB$2:$AB$444,"&lt;&gt;無回答"))</f>
        <v>1</v>
      </c>
      <c r="M13" s="121">
        <f>(COUNTIFS(集計用!$AE$2:$AE$444,$B13,集計用!$AA$2:$AA$444,"*"&amp;D4&amp;"*",集計用!$AA$2:$AA$444,"&lt;&gt;*上記のどれも*",集計用!$AB$2:$AB$444,"&lt;&gt;無回答"))</f>
        <v>2</v>
      </c>
      <c r="N13" s="121">
        <f>(COUNTIFS(集計用!$AE$2:$AE$444,$B13,集計用!$AA$2:$AA$444,"*"&amp;E4&amp;"*",集計用!$AA$2:$AA$444,"&lt;&gt;*上記のどれも*",集計用!$AB$2:$AB$444,"&lt;&gt;無回答"))</f>
        <v>3</v>
      </c>
      <c r="O13" s="121">
        <f>(COUNTIFS(集計用!$AE$2:$AE$444,$B13,集計用!$AA$2:$AA$444,"*"&amp;F4&amp;"*",集計用!$AA$2:$AA$444,"&lt;&gt;*上記のどれも*",集計用!$AB$2:$AB$444,"&lt;&gt;無回答"))</f>
        <v>4</v>
      </c>
      <c r="P13" s="121">
        <f>(COUNTIFS(集計用!$AE$2:$AE$444,$B13,集計用!$AA$2:$AA$444,"*"&amp;G4&amp;"*",集計用!$AA$2:$AA$444,"&lt;&gt;*上記のどれも*",集計用!$AB$2:$AB$444,"&lt;&gt;無回答"))</f>
        <v>1</v>
      </c>
      <c r="Q13" s="121">
        <f>(COUNTIFS(集計用!$AE$2:$AE$444,$B13,集計用!$AA$2:$AA$444,"*"&amp;H4&amp;"*",集計用!$AA$2:$AA$444,"&lt;&gt;*上記のどれも*",集計用!$AB$2:$AB$444,"&lt;&gt;無回答"))</f>
        <v>2</v>
      </c>
      <c r="R13" s="121">
        <f>(COUNTIFS(集計用!$AE$2:$AE$444,$B13,集計用!$AA$2:$AA$444,"*"&amp;I4&amp;"*",集計用!$AA$2:$AA$444,"&lt;&gt;*上記のどれも*",集計用!$AB$2:$AB$444,"&lt;&gt;無回答"))</f>
        <v>0</v>
      </c>
      <c r="S13" s="121">
        <f>(COUNTIFS(集計用!$AE$2:$AE$444,$B13,集計用!$AA$2:$AA$444,"*"&amp;J4&amp;"*",集計用!$AA$2:$AA$444,"&lt;&gt;*上記のどれも*",集計用!$AB$2:$AB$444,"&lt;&gt;無回答"))</f>
        <v>3</v>
      </c>
      <c r="T13" s="121">
        <f>(COUNTIFS(集計用!$AE$2:$AE$444,$B13,集計用!$AA$2:$AA$444,"*"&amp;K4&amp;"*",集計用!$AA$2:$AA$444,"&lt;&gt;*上記のどれも*",集計用!$AB$2:$AB$444,"&lt;&gt;無回答"))</f>
        <v>4</v>
      </c>
      <c r="U13" s="120">
        <f>(COUNTIFS(集計用!$AE$2:$AE$444,$B13,集計用!$AB$2:$AB$444,"*"&amp;C4&amp;"*",集計用!$AA$2:$AA$444,"&lt;&gt;*上記のどれも*",集計用!$AA$2:$AA$444,"&lt;&gt;無回答"))</f>
        <v>0</v>
      </c>
      <c r="V13" s="120">
        <f>(COUNTIFS(集計用!$AE$2:$AE$444,$B13,集計用!$AB$2:$AB$444,"*"&amp;D4&amp;"*",集計用!$AA$2:$AA$444,"&lt;&gt;*上記のどれも*",集計用!$AA$2:$AA$444,"&lt;&gt;無回答"))</f>
        <v>0</v>
      </c>
      <c r="W13" s="120">
        <f>(COUNTIFS(集計用!$AE$2:$AE$444,$B13,集計用!$AB$2:$AB$444,"*"&amp;E4&amp;"*",集計用!$AA$2:$AA$444,"&lt;&gt;*上記のどれも*",集計用!$AA$2:$AA$444,"&lt;&gt;無回答"))</f>
        <v>3</v>
      </c>
      <c r="X13" s="120">
        <f>(COUNTIFS(集計用!$AE$2:$AE$444,$B13,集計用!$AB$2:$AB$444,"*"&amp;F4&amp;"*",集計用!$AA$2:$AA$444,"&lt;&gt;*上記のどれも*",集計用!$AA$2:$AA$444,"&lt;&gt;無回答"))</f>
        <v>2</v>
      </c>
      <c r="Y13" s="120">
        <f>(COUNTIFS(集計用!$AE$2:$AE$444,$B13,集計用!$AB$2:$AB$444,"*"&amp;G4&amp;"*",集計用!$AA$2:$AA$444,"&lt;&gt;*上記のどれも*",集計用!$AA$2:$AA$444,"&lt;&gt;無回答"))</f>
        <v>1</v>
      </c>
      <c r="Z13" s="120">
        <f>(COUNTIFS(集計用!$AE$2:$AE$444,$B13,集計用!$AB$2:$AB$444,"*"&amp;H4&amp;"*",集計用!$AA$2:$AA$444,"&lt;&gt;*上記のどれも*",集計用!$AA$2:$AA$444,"&lt;&gt;無回答"))</f>
        <v>1</v>
      </c>
      <c r="AA13" s="120">
        <f>(COUNTIFS(集計用!$AE$2:$AE$444,$B13,集計用!$AB$2:$AB$444,"*"&amp;I4&amp;"*",集計用!$AA$2:$AA$444,"&lt;&gt;*上記のどれも*",集計用!$AA$2:$AA$444,"&lt;&gt;無回答"))</f>
        <v>0</v>
      </c>
      <c r="AB13" s="120">
        <f>(COUNTIFS(集計用!$AE$2:$AE$444,$B13,集計用!$AB$2:$AB$444,"*"&amp;J4&amp;"*",集計用!$AA$2:$AA$444,"&lt;&gt;*上記のどれも*",集計用!$AA$2:$AA$444,"&lt;&gt;無回答"))</f>
        <v>4</v>
      </c>
      <c r="AC13" s="120">
        <f>(COUNTIFS(集計用!$AE$2:$AE$444,$B13,集計用!$AB$2:$AB$444,"*"&amp;K4&amp;"*",集計用!$AA$2:$AA$444,"&lt;&gt;*上記のどれも*",集計用!$AA$2:$AA$444,"&lt;&gt;無回答"))</f>
        <v>2</v>
      </c>
    </row>
    <row r="14" spans="1:29" ht="15.75" customHeight="1">
      <c r="A14" s="108">
        <f>(COUNTIFS(集計用!$AA$2:$AA$444,"&lt;&gt;無回答",集計用!$AA$2:$AA$444,"&lt;&gt;*上記のどれも*",集計用!$AB$2:$AB$444,"&lt;&gt;無回答",集計用!$AE$2:$AE$444,"61-65"))+(COUNTIFS(集計用!$AA$2:$AA$444,"&lt;&gt;無回答",集計用!$AA$2:$AA$444,"&lt;&gt;*上記のどれも*",集計用!$AB$2:$AB$444,"&lt;&gt;無回答",集計用!$AE$2:$AE$444,"56-60"))</f>
        <v>8</v>
      </c>
      <c r="B14" s="112" t="s">
        <v>2173</v>
      </c>
      <c r="C14" s="110" t="e">
        <f>テーブル21011121426278151620[[#This Row],[顔にかかわる手術3]]/テーブル21011121426278151620[[#This Row],[顔にかかわる手術2]]*100</f>
        <v>#DIV/0!</v>
      </c>
      <c r="D14" s="110" t="e">
        <f>テーブル21011121426278151620[[#This Row],[胸部の手術4]]/テーブル21011121426278151620[[#This Row],[胸部の手術3]]*100</f>
        <v>#DIV/0!</v>
      </c>
      <c r="E14" s="110">
        <f>テーブル21011121426278151620[[#This Row],[抗ホルモン療法5]]/テーブル21011121426278151620[[#This Row],[抗ホルモン療法4]]*100</f>
        <v>0</v>
      </c>
      <c r="F14" s="110">
        <f>テーブル21011121426278151620[[#This Row],[戸籍名の変更6]]/テーブル21011121426278151620[[#This Row],[戸籍名の変更5]]*100</f>
        <v>0</v>
      </c>
      <c r="G14" s="110">
        <f>テーブル21011121426278151620[[#This Row],[戸籍上の性別の変更7]]/テーブル21011121426278151620[[#This Row],[戸籍上の性別の変更6]]*100</f>
        <v>0</v>
      </c>
      <c r="H14" s="110">
        <f>テーブル21011121426278151620[[#This Row],[性器にかかわる手術8]]/テーブル21011121426278151620[[#This Row],[性器にかかわる手術7]]*100</f>
        <v>0</v>
      </c>
      <c r="I14" s="110" t="e">
        <f>テーブル21011121426278151620[[#This Row],[声帯にかかわる手術9]]/テーブル21011121426278151620[[#This Row],[声帯にかかわる手術8]]*100</f>
        <v>#DIV/0!</v>
      </c>
      <c r="J14" s="110">
        <f>テーブル21011121426278151620[[#This Row],[ホルモン補充療法（HRT）10]]/テーブル21011121426278151620[[#This Row],[ホルモン補充療法（HRT）9]]*100</f>
        <v>40</v>
      </c>
      <c r="K14" s="110">
        <f>テーブル21011121426278151620[[#This Row],[ジェンダークリニックの受診11]]/テーブル21011121426278151620[[#This Row],[ジェンダークリニックの受診10]]*100</f>
        <v>33.333333333333329</v>
      </c>
      <c r="L14" s="121">
        <f>(COUNTIFS(集計用!$AE$2:$AE$444,"56-60",集計用!$AA$2:$AA$444,"*"&amp;C4&amp;"*",集計用!$AA$2:$AA$444,"&lt;&gt;*上記のどれも*",集計用!$AB$2:$AB$444,"&lt;&gt;無回答"))+(COUNTIFS(集計用!$AE$2:$AE$444,"61-65",集計用!$AA$2:$AA$444,"*"&amp;C4&amp;"*",集計用!$AA$2:$AA$444,"&lt;&gt;*上記のどれも*",集計用!$AB$2:$AB$444,"&lt;&gt;無回答"))</f>
        <v>0</v>
      </c>
      <c r="M14" s="121">
        <f>(COUNTIFS(集計用!$AE$2:$AE$444,"56-60",集計用!$AA$2:$AA$444,"*"&amp;D4&amp;"*",集計用!$AA$2:$AA$444,"&lt;&gt;*上記のどれも*",集計用!$AB$2:$AB$444,"&lt;&gt;無回答"))+(COUNTIFS(集計用!$AE$2:$AE$444,"61-65",集計用!$AA$2:$AA$444,"*"&amp;D4&amp;"*",集計用!$AA$2:$AA$444,"&lt;&gt;*上記のどれも*",集計用!$AB$2:$AB$444,"&lt;&gt;無回答"))</f>
        <v>0</v>
      </c>
      <c r="N14" s="121">
        <f>(COUNTIFS(集計用!$AE$2:$AE$444,"56-60",集計用!$AA$2:$AA$444,"*"&amp;E4&amp;"*",集計用!$AA$2:$AA$444,"&lt;&gt;*上記のどれも*",集計用!$AB$2:$AB$444,"&lt;&gt;無回答"))+(COUNTIFS(集計用!$AE$2:$AE$444,"61-65",集計用!$AA$2:$AA$444,"*"&amp;E4&amp;"*",集計用!$AA$2:$AA$444,"&lt;&gt;*上記のどれも*",集計用!$AB$2:$AB$444,"&lt;&gt;無回答"))</f>
        <v>2</v>
      </c>
      <c r="O14" s="121">
        <f>(COUNTIFS(集計用!$AE$2:$AE$444,"56-60",集計用!$AA$2:$AA$444,"*"&amp;F4&amp;"*",集計用!$AA$2:$AA$444,"&lt;&gt;*上記のどれも*",集計用!$AB$2:$AB$444,"&lt;&gt;無回答"))+(COUNTIFS(集計用!$AE$2:$AE$444,"61-65",集計用!$AA$2:$AA$444,"*"&amp;F4&amp;"*",集計用!$AA$2:$AA$444,"&lt;&gt;*上記のどれも*",集計用!$AB$2:$AB$444,"&lt;&gt;無回答"))</f>
        <v>4</v>
      </c>
      <c r="P14" s="121">
        <f>(COUNTIFS(集計用!$AE$2:$AE$444,"56-60",集計用!$AA$2:$AA$444,"*"&amp;G4&amp;"*",集計用!$AA$2:$AA$444,"&lt;&gt;*上記のどれも*",集計用!$AB$2:$AB$444,"&lt;&gt;無回答"))+(COUNTIFS(集計用!$AE$2:$AE$444,"61-65",集計用!$AA$2:$AA$444,"*"&amp;G4&amp;"*",集計用!$AA$2:$AA$444,"&lt;&gt;*上記のどれも*",集計用!$AB$2:$AB$444,"&lt;&gt;無回答"))</f>
        <v>4</v>
      </c>
      <c r="Q14" s="121">
        <f>(COUNTIFS(集計用!$AE$2:$AE$444,"56-60",集計用!$AA$2:$AA$444,"*"&amp;H4&amp;"*",集計用!$AA$2:$AA$444,"&lt;&gt;*上記のどれも*",集計用!$AB$2:$AB$444,"&lt;&gt;無回答"))+(COUNTIFS(集計用!$AE$2:$AE$444,"61-65",集計用!$AA$2:$AA$444,"*"&amp;H4&amp;"*",集計用!$AA$2:$AA$444,"&lt;&gt;*上記のどれも*",集計用!$AB$2:$AB$444,"&lt;&gt;無回答"))</f>
        <v>3</v>
      </c>
      <c r="R14" s="121">
        <f>(COUNTIFS(集計用!$AE$2:$AE$444,"56-60",集計用!$AA$2:$AA$444,"*"&amp;I4&amp;"*",集計用!$AA$2:$AA$444,"&lt;&gt;*上記のどれも*",集計用!$AB$2:$AB$444,"&lt;&gt;無回答"))+(COUNTIFS(集計用!$AE$2:$AE$444,"61-65",集計用!$AA$2:$AA$444,"*"&amp;I4&amp;"*",集計用!$AA$2:$AA$444,"&lt;&gt;*上記のどれも*",集計用!$AB$2:$AB$444,"&lt;&gt;無回答"))</f>
        <v>0</v>
      </c>
      <c r="S14" s="121">
        <f>(COUNTIFS(集計用!$AE$2:$AE$444,"56-60",集計用!$AA$2:$AA$444,"*"&amp;J4&amp;"*",集計用!$AA$2:$AA$444,"&lt;&gt;*上記のどれも*",集計用!$AB$2:$AB$444,"&lt;&gt;無回答"))+(COUNTIFS(集計用!$AE$2:$AE$444,"61-65",集計用!$AA$2:$AA$444,"*"&amp;J4&amp;"*",集計用!$AA$2:$AA$444,"&lt;&gt;*上記のどれも*",集計用!$AB$2:$AB$444,"&lt;&gt;無回答"))</f>
        <v>5</v>
      </c>
      <c r="T14" s="121">
        <f>(COUNTIFS(集計用!$AE$2:$AE$444,"56-60",集計用!$AA$2:$AA$444,"*"&amp;K4&amp;"*",集計用!$AA$2:$AA$444,"&lt;&gt;*上記のどれも*",集計用!$AB$2:$AB$444,"&lt;&gt;無回答"))+(COUNTIFS(集計用!$AE$2:$AE$444,"61-65",集計用!$AA$2:$AA$444,"*"&amp;K4&amp;"*",集計用!$AA$2:$AA$444,"&lt;&gt;*上記のどれも*",集計用!$AB$2:$AB$444,"&lt;&gt;無回答"))</f>
        <v>3</v>
      </c>
      <c r="U14" s="120">
        <f>(COUNTIFS(集計用!$AE$2:$AE$444,"56-60",集計用!$AB$2:$AB$444,"*"&amp;C4&amp;"*",集計用!$AA$2:$AA$444,"&lt;&gt;*上記のどれも*",集計用!$AA$2:$AA$444,"&lt;&gt;*上記のどれも*",集計用!$AA$2:$AA$444,"&lt;&gt;無回答"))</f>
        <v>0</v>
      </c>
      <c r="V14" s="120">
        <f>(COUNTIFS(集計用!$AE$2:$AE$444,"56-60",集計用!$AB$2:$AB$444,"*"&amp;D4&amp;"*",集計用!$AA$2:$AA$444,"&lt;&gt;*上記のどれも*",集計用!$AA$2:$AA$444,"&lt;&gt;*上記のどれも*",集計用!$AA$2:$AA$444,"&lt;&gt;無回答"))</f>
        <v>0</v>
      </c>
      <c r="W14" s="120">
        <f>(COUNTIFS(集計用!$AE$2:$AE$444,"56-60",集計用!$AB$2:$AB$444,"*"&amp;E4&amp;"*",集計用!$AA$2:$AA$444,"&lt;&gt;*上記のどれも*",集計用!$AA$2:$AA$444,"&lt;&gt;*上記のどれも*",集計用!$AA$2:$AA$444,"&lt;&gt;無回答"))</f>
        <v>0</v>
      </c>
      <c r="X14" s="120">
        <f>(COUNTIFS(集計用!$AE$2:$AE$444,"56-60",集計用!$AB$2:$AB$444,"*"&amp;F4&amp;"*",集計用!$AA$2:$AA$444,"&lt;&gt;*上記のどれも*",集計用!$AA$2:$AA$444,"&lt;&gt;*上記のどれも*",集計用!$AA$2:$AA$444,"&lt;&gt;無回答"))</f>
        <v>0</v>
      </c>
      <c r="Y14" s="120">
        <f>(COUNTIFS(集計用!$AE$2:$AE$444,"56-60",集計用!$AB$2:$AB$444,"*"&amp;G4&amp;"*",集計用!$AA$2:$AA$444,"&lt;&gt;*上記のどれも*",集計用!$AA$2:$AA$444,"&lt;&gt;*上記のどれも*",集計用!$AA$2:$AA$444,"&lt;&gt;無回答"))</f>
        <v>0</v>
      </c>
      <c r="Z14" s="120">
        <f>(COUNTIFS(集計用!$AE$2:$AE$444,"56-60",集計用!$AB$2:$AB$444,"*"&amp;H4&amp;"*",集計用!$AA$2:$AA$444,"&lt;&gt;*上記のどれも*",集計用!$AA$2:$AA$444,"&lt;&gt;*上記のどれも*",集計用!$AA$2:$AA$444,"&lt;&gt;無回答"))</f>
        <v>0</v>
      </c>
      <c r="AA14" s="120">
        <f>(COUNTIFS(集計用!$AE$2:$AE$444,"56-60",集計用!$AB$2:$AB$444,"*"&amp;I4&amp;"*",集計用!$AA$2:$AA$444,"&lt;&gt;*上記のどれも*",集計用!$AA$2:$AA$444,"&lt;&gt;*上記のどれも*",集計用!$AA$2:$AA$444,"&lt;&gt;無回答"))</f>
        <v>0</v>
      </c>
      <c r="AB14" s="120">
        <f>(COUNTIFS(集計用!$AE$2:$AE$444,"56-60",集計用!$AB$2:$AB$444,"*"&amp;J4&amp;"*",集計用!$AA$2:$AA$444,"&lt;&gt;*上記のどれも*",集計用!$AA$2:$AA$444,"&lt;&gt;*上記のどれも*",集計用!$AA$2:$AA$444,"&lt;&gt;無回答"))</f>
        <v>2</v>
      </c>
      <c r="AC14" s="120">
        <f>(COUNTIFS(集計用!$AE$2:$AE$444,"56-60",集計用!$AB$2:$AB$444,"*"&amp;K4&amp;"*",集計用!$AA$2:$AA$444,"&lt;&gt;*上記のどれも*",集計用!$AA$2:$AA$444,"&lt;&gt;*上記のどれも*",集計用!$AA$2:$AA$444,"&lt;&gt;無回答"))</f>
        <v>1</v>
      </c>
    </row>
    <row r="15" spans="1:29" ht="15.75" customHeight="1">
      <c r="A15" s="108">
        <f>(COUNTIFS(集計用!$AA$2:$AA$444,"&lt;&gt;無回答",集計用!$AA$2:$AA$444,"&lt;&gt;*上記のどれも*",集計用!$AB$2:$AB$444,"&lt;&gt;無回答",集計用!$AE$2:$AE$444,B15))</f>
        <v>1</v>
      </c>
      <c r="B15" s="112" t="s">
        <v>2174</v>
      </c>
      <c r="C15" s="110" t="e">
        <f>テーブル21011121426278151620[[#This Row],[顔にかかわる手術3]]/テーブル21011121426278151620[[#This Row],[顔にかかわる手術2]]*100</f>
        <v>#DIV/0!</v>
      </c>
      <c r="D15" s="110" t="e">
        <f>テーブル21011121426278151620[[#This Row],[胸部の手術4]]/テーブル21011121426278151620[[#This Row],[胸部の手術3]]*100</f>
        <v>#DIV/0!</v>
      </c>
      <c r="E15" s="110" t="e">
        <f>テーブル21011121426278151620[[#This Row],[抗ホルモン療法5]]/テーブル21011121426278151620[[#This Row],[抗ホルモン療法4]]*100</f>
        <v>#DIV/0!</v>
      </c>
      <c r="F15" s="110" t="e">
        <f>テーブル21011121426278151620[[#This Row],[戸籍名の変更6]]/テーブル21011121426278151620[[#This Row],[戸籍名の変更5]]*100</f>
        <v>#DIV/0!</v>
      </c>
      <c r="G15" s="110" t="e">
        <f>テーブル21011121426278151620[[#This Row],[戸籍上の性別の変更7]]/テーブル21011121426278151620[[#This Row],[戸籍上の性別の変更6]]*100</f>
        <v>#DIV/0!</v>
      </c>
      <c r="H15" s="110" t="e">
        <f>テーブル21011121426278151620[[#This Row],[性器にかかわる手術8]]/テーブル21011121426278151620[[#This Row],[性器にかかわる手術7]]*100</f>
        <v>#DIV/0!</v>
      </c>
      <c r="I15" s="110">
        <f>テーブル21011121426278151620[[#This Row],[声帯にかかわる手術9]]/テーブル21011121426278151620[[#This Row],[声帯にかかわる手術8]]*100</f>
        <v>0</v>
      </c>
      <c r="J15" s="110" t="e">
        <f>テーブル21011121426278151620[[#This Row],[ホルモン補充療法（HRT）10]]/テーブル21011121426278151620[[#This Row],[ホルモン補充療法（HRT）9]]*100</f>
        <v>#DIV/0!</v>
      </c>
      <c r="K15" s="110" t="e">
        <f>テーブル21011121426278151620[[#This Row],[ジェンダークリニックの受診11]]/テーブル21011121426278151620[[#This Row],[ジェンダークリニックの受診10]]*100</f>
        <v>#DIV/0!</v>
      </c>
      <c r="L15" s="121">
        <f>(COUNTIFS(集計用!$AE$2:$AE$444,$B15,集計用!$AA$2:$AA$444,"*"&amp;C4&amp;"*",集計用!$AA$2:$AA$444,"&lt;&gt;*上記のどれも*",集計用!$AA$2:$AA$444,"*"&amp;C4&amp;"*"))</f>
        <v>0</v>
      </c>
      <c r="M15" s="121">
        <f>(COUNTIFS(集計用!$AE$2:$AE$444,$B15,集計用!$AA$2:$AA$444,"*"&amp;D4&amp;"*",集計用!$AA$2:$AA$444,"&lt;&gt;*上記のどれも*",集計用!$AA$2:$AA$444,"*"&amp;D4&amp;"*"))</f>
        <v>0</v>
      </c>
      <c r="N15" s="121">
        <f>(COUNTIFS(集計用!$AE$2:$AE$444,$B15,集計用!$AA$2:$AA$444,"*"&amp;E4&amp;"*",集計用!$AA$2:$AA$444,"&lt;&gt;*上記のどれも*",集計用!$AA$2:$AA$444,"*"&amp;E4&amp;"*"))</f>
        <v>0</v>
      </c>
      <c r="O15" s="121">
        <f>(COUNTIFS(集計用!$AE$2:$AE$444,$B15,集計用!$AA$2:$AA$444,"*"&amp;F4&amp;"*",集計用!$AA$2:$AA$444,"&lt;&gt;*上記のどれも*",集計用!$AA$2:$AA$444,"*"&amp;F4&amp;"*"))</f>
        <v>0</v>
      </c>
      <c r="P15" s="121">
        <f>(COUNTIFS(集計用!$AE$2:$AE$444,$B15,集計用!$AA$2:$AA$444,"*"&amp;G4&amp;"*",集計用!$AA$2:$AA$444,"&lt;&gt;*上記のどれも*",集計用!$AA$2:$AA$444,"*"&amp;G4&amp;"*"))</f>
        <v>0</v>
      </c>
      <c r="Q15" s="121">
        <f>(COUNTIFS(集計用!$AE$2:$AE$444,$B15,集計用!$AA$2:$AA$444,"*"&amp;H4&amp;"*",集計用!$AA$2:$AA$444,"&lt;&gt;*上記のどれも*",集計用!$AA$2:$AA$444,"*"&amp;H4&amp;"*"))</f>
        <v>0</v>
      </c>
      <c r="R15" s="121">
        <f>(COUNTIFS(集計用!$AE$2:$AE$444,$B15,集計用!$AA$2:$AA$444,"*"&amp;I4&amp;"*",集計用!$AA$2:$AA$444,"&lt;&gt;*上記のどれも*",集計用!$AA$2:$AA$444,"*"&amp;I4&amp;"*"))</f>
        <v>1</v>
      </c>
      <c r="S15" s="121">
        <f>(COUNTIFS(集計用!$AE$2:$AE$444,$B15,集計用!$AA$2:$AA$444,"*"&amp;J4&amp;"*",集計用!$AA$2:$AA$444,"&lt;&gt;*上記のどれも*",集計用!$AA$2:$AA$444,"*"&amp;J4&amp;"*"))</f>
        <v>0</v>
      </c>
      <c r="T15" s="121">
        <f>(COUNTIFS(集計用!$AE$2:$AE$444,$B15,集計用!$AA$2:$AA$444,"*"&amp;K4&amp;"*",集計用!$AA$2:$AA$444,"&lt;&gt;*上記のどれも*",集計用!$AA$2:$AA$444,"*"&amp;K4&amp;"*"))</f>
        <v>0</v>
      </c>
      <c r="U15" s="120">
        <f>(COUNTIFS(集計用!$AE$2:$AE$444,$B15,集計用!$AB$2:$AB$444,"*"&amp;C4&amp;"*",集計用!$AA$2:$AA$444,"&lt;&gt;*上記のどれも*",集計用!$AB$2:$AB$444,"*"&amp;C4&amp;"*"))</f>
        <v>0</v>
      </c>
      <c r="V15" s="120">
        <f>(COUNTIFS(集計用!$AE$2:$AE$444,$B15,集計用!$AB$2:$AB$444,"*"&amp;D4&amp;"*",集計用!$AA$2:$AA$444,"&lt;&gt;*上記のどれも*",集計用!$AB$2:$AB$444,"*"&amp;D4&amp;"*"))</f>
        <v>0</v>
      </c>
      <c r="W15" s="120">
        <f>(COUNTIFS(集計用!$AE$2:$AE$444,$B15,集計用!$AB$2:$AB$444,"*"&amp;E4&amp;"*",集計用!$AA$2:$AA$444,"&lt;&gt;*上記のどれも*",集計用!$AB$2:$AB$444,"*"&amp;E4&amp;"*"))</f>
        <v>0</v>
      </c>
      <c r="X15" s="120">
        <f>(COUNTIFS(集計用!$AE$2:$AE$444,$B15,集計用!$AB$2:$AB$444,"*"&amp;F4&amp;"*",集計用!$AA$2:$AA$444,"&lt;&gt;*上記のどれも*",集計用!$AB$2:$AB$444,"*"&amp;F4&amp;"*"))</f>
        <v>0</v>
      </c>
      <c r="Y15" s="120">
        <f>(COUNTIFS(集計用!$AE$2:$AE$444,$B15,集計用!$AB$2:$AB$444,"*"&amp;G4&amp;"*",集計用!$AA$2:$AA$444,"&lt;&gt;*上記のどれも*",集計用!$AB$2:$AB$444,"*"&amp;G4&amp;"*"))</f>
        <v>0</v>
      </c>
      <c r="Z15" s="120">
        <f>(COUNTIFS(集計用!$AE$2:$AE$444,$B15,集計用!$AB$2:$AB$444,"*"&amp;H4&amp;"*",集計用!$AA$2:$AA$444,"&lt;&gt;*上記のどれも*",集計用!$AB$2:$AB$444,"*"&amp;H4&amp;"*"))</f>
        <v>0</v>
      </c>
      <c r="AA15" s="120">
        <f>(COUNTIFS(集計用!$AE$2:$AE$444,$B15,集計用!$AB$2:$AB$444,"*"&amp;I4&amp;"*",集計用!$AA$2:$AA$444,"&lt;&gt;*上記のどれも*",集計用!$AB$2:$AB$444,"*"&amp;I4&amp;"*"))</f>
        <v>0</v>
      </c>
      <c r="AB15" s="120">
        <f>(COUNTIFS(集計用!$AE$2:$AE$444,$B15,集計用!$AB$2:$AB$444,"*"&amp;J4&amp;"*",集計用!$AA$2:$AA$444,"&lt;&gt;*上記のどれも*",集計用!$AB$2:$AB$444,"*"&amp;J4&amp;"*"))</f>
        <v>0</v>
      </c>
      <c r="AC15" s="120">
        <f>(COUNTIFS(集計用!$AE$2:$AE$444,$B15,集計用!$AB$2:$AB$444,"*"&amp;K4&amp;"*",集計用!$AA$2:$AA$444,"&lt;&gt;*上記のどれも*",集計用!$AB$2:$AB$444,"*"&amp;K4&amp;"*"))</f>
        <v>0</v>
      </c>
    </row>
    <row r="16" spans="1:29" ht="15.75" customHeight="1">
      <c r="B16" s="111"/>
      <c r="C16" s="110"/>
      <c r="D16" s="110"/>
      <c r="E16" s="110"/>
      <c r="F16" s="110"/>
      <c r="G16" s="110"/>
      <c r="H16" s="110"/>
      <c r="I16" s="110"/>
      <c r="J16" s="110"/>
      <c r="K16" s="110"/>
      <c r="L16" s="45"/>
      <c r="P16" s="114"/>
      <c r="S16" s="45"/>
      <c r="T16" s="110"/>
      <c r="U16" s="59"/>
    </row>
    <row r="17" spans="1:21" ht="15.75" customHeight="1">
      <c r="B17" s="111"/>
      <c r="L17" s="45"/>
      <c r="P17" s="114"/>
      <c r="S17" s="45"/>
      <c r="T17" s="110"/>
      <c r="U17" s="59"/>
    </row>
    <row r="18" spans="1:21" ht="15.75" customHeight="1">
      <c r="A18"/>
      <c r="B18"/>
      <c r="C18"/>
      <c r="D18"/>
      <c r="E18"/>
      <c r="F18"/>
      <c r="G18"/>
      <c r="H18"/>
      <c r="I18"/>
      <c r="J18"/>
      <c r="K18"/>
      <c r="L18"/>
      <c r="M18"/>
      <c r="N18"/>
      <c r="P18" s="114"/>
      <c r="S18" s="45"/>
      <c r="T18" s="110"/>
      <c r="U18" s="59"/>
    </row>
    <row r="19" spans="1:21" ht="15.75" customHeight="1">
      <c r="A19"/>
      <c r="B19"/>
      <c r="C19"/>
      <c r="D19"/>
      <c r="E19"/>
      <c r="F19"/>
      <c r="G19"/>
      <c r="H19"/>
      <c r="I19"/>
      <c r="J19"/>
      <c r="K19"/>
      <c r="L19"/>
      <c r="M19"/>
      <c r="N19"/>
      <c r="P19" s="114"/>
      <c r="S19" s="45"/>
      <c r="T19" s="110"/>
      <c r="U19" s="59"/>
    </row>
    <row r="20" spans="1:21" ht="15.75" customHeight="1">
      <c r="A20"/>
      <c r="B20"/>
      <c r="C20"/>
      <c r="D20"/>
      <c r="E20"/>
      <c r="F20"/>
      <c r="G20"/>
      <c r="H20"/>
      <c r="I20"/>
      <c r="J20"/>
      <c r="K20"/>
      <c r="L20"/>
      <c r="M20"/>
      <c r="N20"/>
      <c r="O20" s="45"/>
      <c r="P20" s="45"/>
      <c r="R20" s="45"/>
      <c r="T20" s="108"/>
    </row>
    <row r="21" spans="1:21" ht="15.75" customHeight="1">
      <c r="A21"/>
      <c r="B21"/>
      <c r="C21"/>
      <c r="D21"/>
      <c r="E21"/>
      <c r="F21"/>
      <c r="G21"/>
      <c r="H21"/>
      <c r="I21"/>
      <c r="J21"/>
      <c r="K21"/>
      <c r="L21"/>
      <c r="M21"/>
      <c r="N21"/>
      <c r="O21" s="45"/>
      <c r="P21" s="45"/>
      <c r="R21" s="45"/>
      <c r="T21" s="108"/>
    </row>
    <row r="22" spans="1:21" ht="15.75" customHeight="1">
      <c r="A22"/>
      <c r="B22"/>
      <c r="C22"/>
      <c r="D22"/>
      <c r="E22"/>
      <c r="F22"/>
      <c r="G22"/>
      <c r="H22"/>
      <c r="I22"/>
      <c r="J22"/>
      <c r="K22"/>
      <c r="L22"/>
      <c r="M22"/>
      <c r="N22"/>
      <c r="O22" s="45"/>
      <c r="P22" s="45"/>
      <c r="R22" s="45"/>
      <c r="T22" s="108"/>
    </row>
    <row r="23" spans="1:21" ht="15.75" customHeight="1">
      <c r="A23"/>
      <c r="B23"/>
      <c r="C23"/>
      <c r="D23"/>
      <c r="E23"/>
      <c r="F23"/>
      <c r="G23"/>
      <c r="H23"/>
      <c r="I23"/>
      <c r="J23"/>
      <c r="K23"/>
      <c r="L23"/>
      <c r="M23"/>
      <c r="N23"/>
      <c r="O23" s="45"/>
      <c r="P23" s="45"/>
      <c r="R23" s="45"/>
      <c r="T23" s="108"/>
    </row>
    <row r="24" spans="1:21" ht="15.75" customHeight="1">
      <c r="A24"/>
      <c r="B24"/>
      <c r="C24"/>
      <c r="D24"/>
      <c r="E24"/>
      <c r="F24"/>
      <c r="G24"/>
      <c r="H24"/>
      <c r="I24"/>
      <c r="J24"/>
      <c r="K24"/>
      <c r="L24"/>
      <c r="M24"/>
      <c r="N24"/>
      <c r="O24" s="45"/>
      <c r="P24" s="45"/>
      <c r="R24" s="45"/>
      <c r="T24" s="108"/>
    </row>
    <row r="25" spans="1:21" ht="12.75">
      <c r="A25"/>
      <c r="B25"/>
      <c r="C25"/>
      <c r="D25"/>
      <c r="E25"/>
      <c r="F25"/>
      <c r="G25"/>
      <c r="H25"/>
      <c r="I25"/>
      <c r="J25"/>
      <c r="K25"/>
      <c r="L25"/>
      <c r="M25"/>
      <c r="N25"/>
      <c r="O25" s="45"/>
      <c r="P25" s="45"/>
      <c r="R25" s="45"/>
      <c r="T25" s="108"/>
    </row>
    <row r="26" spans="1:21" ht="12.75">
      <c r="A26"/>
      <c r="B26"/>
      <c r="C26"/>
      <c r="D26"/>
      <c r="E26"/>
      <c r="F26"/>
      <c r="G26"/>
      <c r="H26"/>
      <c r="I26"/>
      <c r="J26"/>
      <c r="K26"/>
      <c r="L26"/>
      <c r="M26"/>
      <c r="N26"/>
      <c r="O26" s="45"/>
      <c r="P26" s="45"/>
      <c r="R26" s="45"/>
      <c r="T26" s="108"/>
    </row>
    <row r="27" spans="1:21" ht="12.75">
      <c r="A27"/>
      <c r="B27"/>
      <c r="C27"/>
      <c r="D27"/>
      <c r="E27"/>
      <c r="F27"/>
      <c r="G27"/>
      <c r="H27"/>
      <c r="I27"/>
      <c r="J27"/>
      <c r="K27"/>
      <c r="L27"/>
      <c r="M27"/>
      <c r="N27"/>
      <c r="O27" s="45"/>
      <c r="P27" s="45"/>
      <c r="R27" s="45"/>
      <c r="T27" s="108"/>
    </row>
    <row r="28" spans="1:21" ht="15.75" customHeight="1">
      <c r="A28"/>
      <c r="B28"/>
      <c r="C28"/>
      <c r="D28"/>
      <c r="E28"/>
      <c r="F28"/>
      <c r="G28"/>
      <c r="H28"/>
      <c r="I28"/>
      <c r="J28"/>
      <c r="K28"/>
      <c r="L28"/>
      <c r="M28"/>
      <c r="N28"/>
      <c r="O28" s="45"/>
      <c r="P28" s="45"/>
      <c r="R28" s="45"/>
      <c r="T28" s="108"/>
    </row>
    <row r="29" spans="1:21" ht="15.75" customHeight="1">
      <c r="A29"/>
      <c r="B29"/>
      <c r="C29"/>
      <c r="D29"/>
      <c r="E29"/>
      <c r="F29"/>
      <c r="G29"/>
      <c r="H29"/>
      <c r="I29"/>
      <c r="J29"/>
      <c r="K29"/>
      <c r="L29"/>
      <c r="M29"/>
      <c r="N29"/>
      <c r="O29" s="110"/>
      <c r="P29" s="110"/>
      <c r="Q29" s="110"/>
      <c r="R29" s="110"/>
      <c r="T29" s="108"/>
    </row>
    <row r="30" spans="1:21" ht="12.75">
      <c r="A30"/>
      <c r="B30"/>
      <c r="C30"/>
      <c r="D30"/>
      <c r="E30"/>
      <c r="F30"/>
      <c r="G30"/>
      <c r="H30"/>
      <c r="I30"/>
      <c r="J30"/>
      <c r="K30"/>
      <c r="L30"/>
      <c r="M30"/>
      <c r="N30"/>
      <c r="O30" s="110"/>
      <c r="P30" s="110"/>
      <c r="Q30" s="110"/>
      <c r="R30" s="110"/>
      <c r="T30" s="108"/>
    </row>
    <row r="31" spans="1:21" ht="15.75" customHeight="1">
      <c r="A31"/>
      <c r="B31"/>
      <c r="C31"/>
      <c r="D31"/>
      <c r="E31"/>
      <c r="F31"/>
      <c r="G31"/>
      <c r="H31"/>
      <c r="I31"/>
      <c r="J31"/>
      <c r="K31"/>
      <c r="L31"/>
      <c r="M31"/>
      <c r="N31"/>
      <c r="O31" s="110"/>
      <c r="P31" s="110"/>
      <c r="Q31" s="110"/>
      <c r="R31" s="110"/>
      <c r="T31" s="108"/>
    </row>
    <row r="32" spans="1:21" ht="12.75">
      <c r="A32"/>
      <c r="B32"/>
      <c r="C32"/>
      <c r="D32"/>
      <c r="E32"/>
      <c r="F32"/>
      <c r="G32"/>
      <c r="H32"/>
      <c r="I32"/>
      <c r="J32"/>
      <c r="K32"/>
      <c r="L32"/>
      <c r="M32"/>
      <c r="N32"/>
      <c r="O32" s="110"/>
      <c r="P32" s="110"/>
      <c r="Q32" s="110"/>
      <c r="R32" s="110"/>
      <c r="T32" s="108"/>
    </row>
    <row r="33" spans="1:18" s="108" customFormat="1" ht="12.75">
      <c r="A33"/>
      <c r="B33"/>
      <c r="C33"/>
      <c r="D33"/>
      <c r="E33"/>
      <c r="F33"/>
      <c r="G33"/>
      <c r="H33"/>
      <c r="I33"/>
      <c r="J33"/>
      <c r="K33"/>
      <c r="L33"/>
      <c r="M33"/>
      <c r="N33"/>
      <c r="O33" s="110"/>
      <c r="P33" s="110"/>
      <c r="Q33" s="110"/>
      <c r="R33" s="110"/>
    </row>
    <row r="34" spans="1:18" s="108" customFormat="1" ht="12.75">
      <c r="A34"/>
      <c r="B34"/>
      <c r="C34"/>
      <c r="D34"/>
      <c r="E34"/>
      <c r="F34"/>
      <c r="G34"/>
      <c r="H34"/>
      <c r="I34"/>
      <c r="J34"/>
      <c r="K34"/>
      <c r="L34"/>
      <c r="M34"/>
      <c r="N34"/>
      <c r="O34" s="110"/>
      <c r="P34" s="110"/>
      <c r="Q34" s="110"/>
      <c r="R34" s="110"/>
    </row>
    <row r="35" spans="1:18" s="108" customFormat="1" ht="15.75" customHeight="1">
      <c r="A35"/>
      <c r="B35"/>
      <c r="C35"/>
      <c r="D35"/>
      <c r="E35"/>
      <c r="F35"/>
      <c r="G35"/>
      <c r="H35"/>
      <c r="I35"/>
      <c r="J35"/>
      <c r="K35"/>
      <c r="L35"/>
      <c r="M35"/>
      <c r="N35"/>
      <c r="O35" s="110"/>
      <c r="P35" s="110"/>
      <c r="Q35" s="110"/>
      <c r="R35" s="110"/>
    </row>
    <row r="36" spans="1:18" s="108" customFormat="1" ht="15.75" customHeight="1">
      <c r="A36"/>
      <c r="B36"/>
      <c r="C36"/>
      <c r="D36"/>
      <c r="E36"/>
      <c r="F36"/>
      <c r="G36"/>
      <c r="H36"/>
      <c r="I36"/>
      <c r="J36"/>
      <c r="K36"/>
      <c r="L36"/>
      <c r="M36"/>
      <c r="N36"/>
      <c r="O36" s="110"/>
      <c r="P36" s="110"/>
      <c r="Q36" s="110"/>
      <c r="R36" s="110"/>
    </row>
    <row r="37" spans="1:18" s="108" customFormat="1" ht="15.75" customHeight="1">
      <c r="A37"/>
      <c r="B37"/>
      <c r="C37"/>
      <c r="D37"/>
      <c r="E37"/>
      <c r="F37"/>
      <c r="G37"/>
      <c r="H37"/>
      <c r="I37"/>
      <c r="J37"/>
      <c r="K37"/>
      <c r="L37"/>
      <c r="M37"/>
      <c r="N37"/>
      <c r="O37" s="110"/>
      <c r="P37" s="110"/>
      <c r="Q37" s="110"/>
      <c r="R37" s="110"/>
    </row>
    <row r="38" spans="1:18" s="108" customFormat="1" ht="15.75" customHeight="1">
      <c r="A38"/>
      <c r="B38"/>
      <c r="C38"/>
      <c r="D38"/>
      <c r="E38"/>
      <c r="F38"/>
      <c r="G38"/>
      <c r="H38"/>
      <c r="I38"/>
      <c r="J38"/>
      <c r="K38"/>
      <c r="L38"/>
      <c r="M38"/>
      <c r="N38"/>
      <c r="O38" s="110"/>
      <c r="P38" s="110"/>
      <c r="Q38" s="110"/>
      <c r="R38" s="110"/>
    </row>
    <row r="39" spans="1:18" s="108" customFormat="1" ht="12.75">
      <c r="A39"/>
      <c r="B39"/>
      <c r="C39"/>
      <c r="D39"/>
      <c r="E39"/>
      <c r="F39"/>
      <c r="G39"/>
      <c r="H39"/>
      <c r="I39"/>
      <c r="J39"/>
      <c r="K39"/>
      <c r="L39"/>
      <c r="M39"/>
      <c r="N39"/>
      <c r="O39" s="110"/>
      <c r="P39" s="110"/>
      <c r="Q39" s="110"/>
      <c r="R39" s="110"/>
    </row>
    <row r="40" spans="1:18" s="108" customFormat="1" ht="12.75">
      <c r="A40"/>
      <c r="B40"/>
      <c r="C40"/>
      <c r="D40"/>
      <c r="E40"/>
      <c r="F40"/>
      <c r="G40"/>
      <c r="H40"/>
      <c r="I40"/>
      <c r="J40"/>
      <c r="K40"/>
      <c r="L40"/>
      <c r="M40"/>
      <c r="N40"/>
      <c r="O40" s="110"/>
      <c r="P40" s="110"/>
      <c r="Q40" s="110"/>
      <c r="R40" s="110"/>
    </row>
    <row r="41" spans="1:18" s="108" customFormat="1" ht="12.75">
      <c r="A41"/>
      <c r="B41"/>
      <c r="C41"/>
      <c r="D41"/>
      <c r="E41"/>
      <c r="F41"/>
      <c r="G41"/>
      <c r="H41"/>
      <c r="I41"/>
      <c r="J41"/>
      <c r="K41"/>
      <c r="L41"/>
      <c r="M41"/>
      <c r="N41"/>
      <c r="O41" s="110"/>
      <c r="P41" s="110"/>
      <c r="Q41" s="110"/>
      <c r="R41" s="110"/>
    </row>
    <row r="42" spans="1:18" s="108" customFormat="1" ht="12.75">
      <c r="A42"/>
      <c r="B42"/>
      <c r="C42"/>
      <c r="D42"/>
      <c r="E42"/>
      <c r="F42"/>
      <c r="G42"/>
      <c r="H42"/>
      <c r="I42"/>
      <c r="J42"/>
      <c r="K42"/>
      <c r="L42"/>
      <c r="M42"/>
      <c r="N42"/>
      <c r="O42" s="110"/>
      <c r="P42" s="110"/>
      <c r="Q42" s="110"/>
      <c r="R42" s="110"/>
    </row>
    <row r="43" spans="1:18" s="108" customFormat="1" ht="12.75">
      <c r="A43"/>
      <c r="B43"/>
      <c r="C43"/>
      <c r="D43"/>
      <c r="E43"/>
      <c r="F43"/>
      <c r="G43"/>
      <c r="H43"/>
      <c r="I43"/>
      <c r="J43"/>
      <c r="K43"/>
      <c r="L43"/>
      <c r="M43"/>
      <c r="N43"/>
      <c r="O43" s="110"/>
      <c r="P43" s="110"/>
      <c r="Q43" s="110"/>
      <c r="R43" s="110"/>
    </row>
    <row r="44" spans="1:18" s="108" customFormat="1" ht="12.75">
      <c r="A44"/>
      <c r="B44"/>
      <c r="C44"/>
      <c r="D44"/>
      <c r="E44"/>
      <c r="F44"/>
      <c r="G44"/>
      <c r="H44"/>
      <c r="I44"/>
      <c r="J44"/>
      <c r="K44"/>
      <c r="L44"/>
      <c r="M44"/>
      <c r="N44"/>
      <c r="O44" s="110"/>
      <c r="P44" s="110"/>
      <c r="Q44" s="110"/>
      <c r="R44" s="110"/>
    </row>
    <row r="45" spans="1:18" s="108" customFormat="1" ht="14.25" customHeight="1">
      <c r="A45"/>
      <c r="B45"/>
      <c r="C45"/>
      <c r="D45"/>
      <c r="E45"/>
      <c r="F45"/>
      <c r="G45"/>
      <c r="H45"/>
      <c r="I45"/>
      <c r="J45"/>
      <c r="K45"/>
      <c r="L45"/>
      <c r="M45"/>
      <c r="N45"/>
      <c r="O45" s="110"/>
      <c r="P45" s="110"/>
      <c r="Q45" s="110"/>
      <c r="R45" s="110"/>
    </row>
    <row r="46" spans="1:18" s="108" customFormat="1" ht="14.25" customHeight="1">
      <c r="A46"/>
      <c r="B46"/>
      <c r="C46"/>
      <c r="D46"/>
      <c r="E46"/>
      <c r="F46"/>
      <c r="G46"/>
      <c r="H46"/>
      <c r="I46"/>
      <c r="J46"/>
      <c r="K46"/>
      <c r="L46"/>
      <c r="M46"/>
      <c r="N46"/>
      <c r="O46" s="110"/>
      <c r="P46" s="110"/>
      <c r="Q46" s="110"/>
      <c r="R46" s="110"/>
    </row>
    <row r="47" spans="1:18" s="108" customFormat="1" ht="14.25" customHeight="1">
      <c r="A47"/>
      <c r="B47"/>
      <c r="C47"/>
      <c r="D47"/>
      <c r="E47"/>
      <c r="F47"/>
      <c r="G47"/>
      <c r="H47"/>
      <c r="I47"/>
      <c r="J47"/>
      <c r="K47"/>
      <c r="L47"/>
      <c r="M47"/>
      <c r="N47"/>
      <c r="O47" s="110"/>
      <c r="P47" s="110"/>
      <c r="Q47" s="110"/>
      <c r="R47" s="110"/>
    </row>
    <row r="48" spans="1:18" s="108" customFormat="1" ht="12.75">
      <c r="A48"/>
      <c r="B48"/>
      <c r="C48"/>
      <c r="D48"/>
      <c r="E48"/>
      <c r="F48"/>
      <c r="G48"/>
      <c r="H48"/>
      <c r="I48"/>
      <c r="J48"/>
      <c r="K48"/>
      <c r="L48"/>
      <c r="M48"/>
      <c r="N48"/>
      <c r="O48" s="110"/>
      <c r="P48" s="110"/>
      <c r="Q48" s="110"/>
      <c r="R48" s="110"/>
    </row>
    <row r="49" spans="1:25" ht="14.25" customHeight="1">
      <c r="A49"/>
      <c r="B49"/>
      <c r="C49"/>
      <c r="D49"/>
      <c r="E49"/>
      <c r="F49"/>
      <c r="G49"/>
      <c r="H49"/>
      <c r="I49"/>
      <c r="J49"/>
      <c r="K49"/>
      <c r="L49"/>
      <c r="M49"/>
      <c r="N49"/>
      <c r="O49" s="110"/>
      <c r="P49" s="110"/>
      <c r="Q49" s="110"/>
      <c r="R49" s="110"/>
      <c r="T49" s="108"/>
    </row>
    <row r="50" spans="1:25" ht="14.25" customHeight="1">
      <c r="A50"/>
      <c r="B50"/>
      <c r="C50"/>
      <c r="D50"/>
      <c r="E50"/>
      <c r="F50"/>
      <c r="G50"/>
      <c r="H50"/>
      <c r="I50"/>
      <c r="J50"/>
      <c r="K50"/>
      <c r="L50"/>
      <c r="M50"/>
      <c r="N50"/>
      <c r="O50" s="110"/>
      <c r="P50" s="110"/>
      <c r="Q50" s="110"/>
      <c r="R50" s="110"/>
      <c r="T50" s="108"/>
    </row>
    <row r="51" spans="1:25" ht="14.25" customHeight="1">
      <c r="A51"/>
      <c r="B51"/>
      <c r="C51"/>
      <c r="D51"/>
      <c r="E51"/>
      <c r="F51"/>
      <c r="G51"/>
      <c r="H51"/>
      <c r="I51"/>
      <c r="J51"/>
      <c r="K51"/>
      <c r="L51"/>
      <c r="M51"/>
      <c r="N51"/>
      <c r="O51" s="110"/>
      <c r="P51" s="110"/>
      <c r="Q51" s="110"/>
      <c r="R51" s="110"/>
      <c r="T51" s="108"/>
    </row>
    <row r="52" spans="1:25" ht="14.25" customHeight="1">
      <c r="A52"/>
      <c r="B52"/>
      <c r="C52"/>
      <c r="D52"/>
      <c r="E52"/>
      <c r="F52"/>
      <c r="G52"/>
      <c r="H52"/>
      <c r="I52"/>
      <c r="J52"/>
      <c r="K52"/>
      <c r="L52"/>
      <c r="M52"/>
      <c r="N52"/>
      <c r="O52" s="110"/>
      <c r="P52" s="110"/>
      <c r="Q52" s="110"/>
      <c r="R52" s="110"/>
      <c r="T52" s="108"/>
    </row>
    <row r="53" spans="1:25" ht="14.25" customHeight="1">
      <c r="A53"/>
      <c r="B53"/>
      <c r="C53"/>
      <c r="D53"/>
      <c r="E53"/>
      <c r="F53"/>
      <c r="G53"/>
      <c r="H53"/>
      <c r="I53"/>
      <c r="J53"/>
      <c r="K53"/>
      <c r="L53"/>
      <c r="M53"/>
      <c r="N53"/>
      <c r="O53" s="110"/>
      <c r="P53" s="110"/>
      <c r="Q53" s="110"/>
      <c r="R53" s="110"/>
      <c r="T53" s="108"/>
    </row>
    <row r="54" spans="1:25" ht="14.25" customHeight="1">
      <c r="B54" s="111"/>
      <c r="C54" s="110"/>
      <c r="D54" s="110"/>
      <c r="E54" s="110"/>
      <c r="F54" s="110"/>
      <c r="G54" s="110"/>
      <c r="H54" s="110"/>
      <c r="I54" s="110"/>
      <c r="J54" s="110"/>
      <c r="K54" s="110"/>
      <c r="L54" s="110"/>
      <c r="M54" s="110"/>
      <c r="N54" s="110"/>
      <c r="O54" s="110"/>
      <c r="P54" s="110"/>
      <c r="Q54" s="110"/>
      <c r="R54" s="110"/>
      <c r="T54" s="108"/>
    </row>
    <row r="55" spans="1:25" ht="12.75">
      <c r="B55" s="111"/>
      <c r="C55" s="110"/>
      <c r="D55" s="110"/>
      <c r="E55" s="110"/>
      <c r="F55" s="110"/>
      <c r="G55" s="110"/>
      <c r="H55" s="110"/>
      <c r="I55" s="110"/>
      <c r="J55" s="110"/>
      <c r="K55" s="110"/>
      <c r="L55" s="110"/>
      <c r="M55" s="110"/>
      <c r="N55" s="110"/>
      <c r="O55" s="110"/>
      <c r="P55" s="110"/>
      <c r="Q55" s="110"/>
      <c r="R55" s="110"/>
      <c r="T55" s="108"/>
    </row>
    <row r="56" spans="1:25" ht="14.25" customHeight="1">
      <c r="B56" s="111"/>
      <c r="C56" s="110"/>
      <c r="D56" s="110"/>
      <c r="E56" s="110"/>
      <c r="F56" s="110"/>
      <c r="G56" s="110"/>
      <c r="H56" s="110"/>
      <c r="I56" s="110"/>
      <c r="J56" s="110"/>
      <c r="K56" s="110"/>
      <c r="L56" s="110"/>
      <c r="M56" s="110"/>
      <c r="N56" s="110"/>
      <c r="O56" s="110"/>
      <c r="P56" s="110"/>
      <c r="Q56" s="110"/>
      <c r="R56" s="110"/>
      <c r="T56" s="108"/>
    </row>
    <row r="57" spans="1:25" ht="14.25" customHeight="1">
      <c r="B57" s="111"/>
      <c r="C57" s="110"/>
      <c r="D57" s="110"/>
      <c r="E57" s="110"/>
      <c r="F57" s="110"/>
      <c r="G57" s="110"/>
      <c r="H57" s="110"/>
      <c r="I57" s="110"/>
      <c r="J57" s="110"/>
      <c r="K57" s="110"/>
      <c r="L57" s="110"/>
      <c r="M57" s="110"/>
      <c r="N57" s="110"/>
      <c r="O57" s="110"/>
      <c r="P57" s="110"/>
      <c r="Q57" s="110"/>
      <c r="R57" s="110"/>
      <c r="T57" s="108"/>
    </row>
    <row r="58" spans="1:25" ht="14.25" customHeight="1">
      <c r="B58" s="111"/>
      <c r="C58" s="110"/>
      <c r="D58" s="110"/>
      <c r="E58" s="110"/>
      <c r="F58" s="110"/>
      <c r="G58" s="110"/>
      <c r="H58" s="110"/>
      <c r="I58" s="110"/>
      <c r="J58" s="110"/>
      <c r="K58" s="110"/>
      <c r="L58" s="110"/>
      <c r="M58" s="110"/>
      <c r="N58" s="110"/>
      <c r="O58" s="110"/>
      <c r="P58" s="110"/>
      <c r="Q58" s="110"/>
      <c r="R58" s="110"/>
      <c r="T58" s="108"/>
    </row>
    <row r="59" spans="1:25" ht="14.25" customHeight="1">
      <c r="B59" s="111"/>
      <c r="C59" s="110"/>
      <c r="D59" s="110"/>
      <c r="E59" s="110"/>
      <c r="F59" s="110"/>
      <c r="G59" s="110"/>
      <c r="H59" s="110"/>
      <c r="I59" s="110"/>
      <c r="J59" s="110"/>
      <c r="K59" s="110"/>
      <c r="L59" s="110"/>
      <c r="M59" s="110"/>
      <c r="N59" s="110"/>
      <c r="O59" s="110"/>
      <c r="P59" s="110"/>
      <c r="Q59" s="110"/>
      <c r="R59" s="110"/>
      <c r="T59" s="108"/>
    </row>
    <row r="60" spans="1:25" ht="12.75">
      <c r="B60" s="111"/>
      <c r="C60" s="110"/>
      <c r="D60" s="110"/>
      <c r="E60" s="110"/>
      <c r="F60" s="110"/>
      <c r="G60" s="110"/>
      <c r="H60" s="110"/>
      <c r="I60" s="110"/>
      <c r="J60" s="110"/>
      <c r="K60" s="110"/>
      <c r="L60" s="110"/>
      <c r="M60" s="110"/>
      <c r="N60" s="110"/>
      <c r="O60" s="110"/>
      <c r="P60" s="110"/>
      <c r="Q60" s="110"/>
      <c r="R60" s="110"/>
      <c r="T60" s="108"/>
    </row>
    <row r="61" spans="1:25" ht="14.25" customHeight="1">
      <c r="B61" s="111"/>
      <c r="C61" s="110"/>
      <c r="D61" s="110"/>
      <c r="E61" s="110"/>
      <c r="F61" s="110"/>
      <c r="G61" s="110"/>
      <c r="H61" s="110"/>
      <c r="I61" s="110"/>
      <c r="J61" s="110"/>
      <c r="K61" s="110"/>
      <c r="L61" s="110"/>
      <c r="M61" s="110"/>
      <c r="N61" s="110"/>
      <c r="O61" s="110"/>
      <c r="P61" s="110"/>
      <c r="Q61" s="110"/>
      <c r="R61" s="110"/>
      <c r="T61" s="108"/>
    </row>
    <row r="62" spans="1:25" ht="14.25" customHeight="1">
      <c r="B62" s="111"/>
      <c r="C62" s="110"/>
      <c r="D62" s="110"/>
      <c r="E62" s="110"/>
      <c r="F62" s="110"/>
      <c r="G62" s="110"/>
      <c r="H62" s="110"/>
      <c r="I62" s="110"/>
      <c r="J62" s="110"/>
      <c r="K62" s="110"/>
      <c r="L62" s="110"/>
      <c r="M62" s="110"/>
      <c r="N62" s="110"/>
      <c r="O62" s="110"/>
      <c r="P62" s="110"/>
      <c r="Q62" s="110"/>
      <c r="R62" s="110"/>
      <c r="T62" s="108"/>
    </row>
    <row r="63" spans="1:25" ht="14.25" customHeight="1">
      <c r="B63" s="109"/>
      <c r="C63" s="44"/>
      <c r="D63" s="44"/>
      <c r="E63" s="44"/>
      <c r="F63" s="44"/>
      <c r="G63" s="44"/>
      <c r="H63" s="44"/>
      <c r="I63" s="44"/>
      <c r="J63" s="44"/>
      <c r="K63" s="44"/>
      <c r="Y63" s="44"/>
    </row>
    <row r="64" spans="1:25" ht="12.75">
      <c r="B64" s="109"/>
      <c r="C64" s="44"/>
      <c r="D64" s="44"/>
      <c r="E64" s="44"/>
      <c r="F64" s="44"/>
      <c r="G64" s="44"/>
      <c r="H64" s="44"/>
      <c r="I64" s="44"/>
      <c r="J64" s="44"/>
      <c r="K64" s="44"/>
      <c r="Y64" s="44"/>
    </row>
    <row r="65" spans="2:25" ht="15.75" customHeight="1">
      <c r="B65" s="109"/>
      <c r="C65" s="44"/>
      <c r="D65" s="44"/>
      <c r="E65" s="44"/>
      <c r="F65" s="44"/>
      <c r="G65" s="44"/>
      <c r="H65" s="44"/>
      <c r="I65" s="44"/>
      <c r="J65" s="44"/>
      <c r="K65" s="44"/>
      <c r="Y65" s="44"/>
    </row>
    <row r="66" spans="2:25" ht="15.75" customHeight="1">
      <c r="B66" s="109"/>
      <c r="C66" s="44"/>
      <c r="D66" s="44"/>
      <c r="E66" s="44"/>
      <c r="F66" s="44"/>
      <c r="G66" s="44"/>
      <c r="H66" s="44"/>
      <c r="I66" s="44"/>
      <c r="J66" s="44"/>
      <c r="K66" s="44"/>
      <c r="Y66" s="44"/>
    </row>
    <row r="67" spans="2:25" ht="15.75" customHeight="1">
      <c r="B67" s="109"/>
      <c r="C67" s="44"/>
      <c r="D67" s="44"/>
      <c r="E67" s="44"/>
      <c r="F67" s="44"/>
      <c r="G67" s="44"/>
      <c r="H67" s="44"/>
      <c r="I67" s="44"/>
      <c r="J67" s="44"/>
      <c r="K67" s="44"/>
      <c r="Y67" s="44"/>
    </row>
    <row r="68" spans="2:25" ht="15.75" customHeight="1">
      <c r="B68" s="109"/>
      <c r="C68" s="44"/>
      <c r="D68" s="44"/>
      <c r="E68" s="44"/>
      <c r="F68" s="44"/>
      <c r="G68" s="44"/>
      <c r="H68" s="44"/>
      <c r="I68" s="44"/>
      <c r="J68" s="44"/>
      <c r="K68" s="44"/>
      <c r="Y68" s="44"/>
    </row>
  </sheetData>
  <phoneticPr fontId="8"/>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N545"/>
  <sheetViews>
    <sheetView topLeftCell="I1" zoomScaleNormal="100" workbookViewId="0">
      <pane ySplit="1" topLeftCell="A333" activePane="bottomLeft" state="frozen"/>
      <selection pane="bottomLeft" activeCell="K333" sqref="K333"/>
    </sheetView>
  </sheetViews>
  <sheetFormatPr defaultColWidth="12.5703125" defaultRowHeight="15.75" customHeight="1"/>
  <cols>
    <col min="1" max="1" width="8.85546875" bestFit="1" customWidth="1"/>
    <col min="2" max="6" width="18.85546875" customWidth="1"/>
    <col min="7" max="21" width="73.42578125" customWidth="1"/>
    <col min="22" max="22" width="39.5703125" customWidth="1"/>
    <col min="23" max="25" width="73.42578125" customWidth="1"/>
    <col min="26" max="26" width="50.28515625" customWidth="1"/>
    <col min="27" max="27" width="73.42578125" customWidth="1"/>
    <col min="28" max="28" width="52.42578125" customWidth="1"/>
    <col min="29" max="30" width="73.42578125" customWidth="1"/>
    <col min="31" max="31" width="18.85546875" customWidth="1"/>
    <col min="32" max="32" width="33.140625" customWidth="1"/>
    <col min="33" max="33" width="57.28515625" customWidth="1"/>
    <col min="34" max="34" width="73.42578125" customWidth="1"/>
    <col min="35" max="35" width="24.5703125" customWidth="1"/>
    <col min="36" max="40" width="18.85546875" customWidth="1"/>
  </cols>
  <sheetData>
    <row r="1" spans="1:40" ht="109.5" customHeight="1">
      <c r="A1" s="8" t="s">
        <v>2175</v>
      </c>
      <c r="B1" s="8" t="s">
        <v>424</v>
      </c>
      <c r="C1" s="8" t="s">
        <v>425</v>
      </c>
      <c r="D1" s="8" t="s">
        <v>426</v>
      </c>
      <c r="E1" s="8" t="s">
        <v>427</v>
      </c>
      <c r="F1" s="8" t="s">
        <v>428</v>
      </c>
      <c r="G1" s="8" t="s">
        <v>429</v>
      </c>
      <c r="H1" s="8" t="s">
        <v>430</v>
      </c>
      <c r="I1" s="8" t="s">
        <v>431</v>
      </c>
      <c r="J1" s="8" t="s">
        <v>432</v>
      </c>
      <c r="K1" s="73" t="s">
        <v>2257</v>
      </c>
      <c r="L1" s="8" t="s">
        <v>433</v>
      </c>
      <c r="M1" s="8" t="s">
        <v>434</v>
      </c>
      <c r="N1" s="73" t="s">
        <v>2258</v>
      </c>
      <c r="O1" s="8" t="s">
        <v>435</v>
      </c>
      <c r="P1" s="8" t="s">
        <v>436</v>
      </c>
      <c r="Q1" s="8" t="s">
        <v>2259</v>
      </c>
      <c r="R1" s="8" t="s">
        <v>437</v>
      </c>
      <c r="S1" s="16" t="s">
        <v>2298</v>
      </c>
      <c r="T1" s="73" t="s">
        <v>2260</v>
      </c>
      <c r="U1" s="8" t="s">
        <v>439</v>
      </c>
      <c r="V1" s="8" t="s">
        <v>440</v>
      </c>
      <c r="W1" s="8" t="s">
        <v>441</v>
      </c>
      <c r="X1" s="8" t="s">
        <v>442</v>
      </c>
      <c r="Y1" s="8" t="s">
        <v>2440</v>
      </c>
      <c r="Z1" s="8" t="s">
        <v>443</v>
      </c>
      <c r="AA1" s="8" t="s">
        <v>444</v>
      </c>
      <c r="AB1" s="8" t="s">
        <v>445</v>
      </c>
      <c r="AC1" s="8" t="s">
        <v>446</v>
      </c>
      <c r="AD1" s="8" t="s">
        <v>2250</v>
      </c>
      <c r="AE1" s="8" t="s">
        <v>447</v>
      </c>
      <c r="AF1" s="8" t="s">
        <v>448</v>
      </c>
      <c r="AG1" s="8" t="s">
        <v>449</v>
      </c>
      <c r="AH1" s="8" t="s">
        <v>450</v>
      </c>
      <c r="AI1" s="8" t="s">
        <v>451</v>
      </c>
      <c r="AJ1" s="8"/>
      <c r="AK1" s="8"/>
      <c r="AL1" s="8"/>
      <c r="AM1" s="8"/>
      <c r="AN1" s="8"/>
    </row>
    <row r="2" spans="1:40" ht="63.75" hidden="1">
      <c r="A2" s="8">
        <v>1</v>
      </c>
      <c r="B2" s="11">
        <v>44969.777674479163</v>
      </c>
      <c r="C2" s="8" t="s">
        <v>452</v>
      </c>
      <c r="D2" s="8" t="s">
        <v>453</v>
      </c>
      <c r="E2" s="8" t="s">
        <v>452</v>
      </c>
      <c r="F2" s="8" t="s">
        <v>454</v>
      </c>
      <c r="G2" s="8" t="str">
        <f>", "&amp;'RAW (公開用)'!F2&amp;", "</f>
        <v xml:space="preserve">, デミAジェンダー, 不明／わからない, 無し, **必ず選んでください**, Aジェンダー／エイジェンダー／アジェンダー／agender, ジェンダー・ノンコンフォーミング／gender non-conforming, （ジェンダー・）フルイド／（ジェンダー・）フリュイド／（ジェンダー・）フルイッド, ジェンダークィア, クィア／Queer, クエスチョニング, </v>
      </c>
      <c r="H2" s="8"/>
      <c r="I2" s="8" t="str">
        <f>", "&amp;'RAW (公開用)'!H2&amp;", "</f>
        <v xml:space="preserve">, たん, （any／問わない／どれでもよい）, くん／君, ちゃん, さん, （敬称なし）, （クエスチョニング、模索中、または不明）, （時とともに変わる）, </v>
      </c>
      <c r="J2" s="8" t="s">
        <v>2335</v>
      </c>
      <c r="K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たん, （any／問わない／どれでもよい）, くん／君, ちゃん, さん, （敬称なし）, （クエスチョニング、模索中、または不明）, （時とともに変わる）,  , </v>
      </c>
      <c r="L2" s="8" t="str">
        <f>", "&amp;'RAW (公開用)'!J2&amp;", "</f>
        <v xml:space="preserve">, Mx., （any／問わない／どれでもよい）, -san, （クエスチョニング、模索中、または不明）, （敬称なし）, </v>
      </c>
      <c r="M2" s="8" t="s">
        <v>2335</v>
      </c>
      <c r="N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（any／問わない／どれでもよい）, -san, （クエスチョニング、模索中、または不明）, （敬称なし）, , </v>
      </c>
      <c r="O2" s="8" t="str">
        <f>", "&amp;'RAW (公開用)'!L2&amp;", "</f>
        <v xml:space="preserve">, 自分, うち, わたし, （一人称の使用を避ける）, （時とともに変わる）, </v>
      </c>
      <c r="P2" s="8" t="s">
        <v>2335</v>
      </c>
      <c r="Q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うち, わたし, （一人称の使用を避ける）, （時とともに変わる）,  , </v>
      </c>
      <c r="R2" s="8" t="str">
        <f>", "&amp;'RAW (公開用)'!N2&amp;", "</f>
        <v xml:space="preserve">, 彼人（かのと）, 彼人（かのひと）, </v>
      </c>
      <c r="S2" s="8" t="s">
        <v>2335</v>
      </c>
      <c r="T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彼人（かのひと）,  , </v>
      </c>
      <c r="U2" s="8" t="str">
        <f>", "&amp;'RAW (公開用)'!P2&amp;", "</f>
        <v xml:space="preserve">, they/them/their/themself, they/them/their/themselves, </v>
      </c>
      <c r="V2" s="8" t="s">
        <v>455</v>
      </c>
      <c r="W2" s="8" t="str">
        <f>", "&amp;'RAW (公開用)'!R2&amp;", "</f>
        <v xml:space="preserve">, カムアウトできない, 必要なジェンダーケアへアクセスできない, 医療における無理解, 職場や学校における無理解, 家族／かぞくからの無理解, LGBTQ+運動からの排斥, トイレなどのジェンダー化されたスペースの使用, ミスジェンダリング（誤った性別として扱うこと）, 社会の中でいないことにされる, </v>
      </c>
      <c r="X2" s="8"/>
      <c r="Y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必要なジェンダーケアへアクセスできない, 医療における無理解, 職場や学校における無理解, 家族／かぞくからの無理解, LGBTQ+運動からの排斥, トイレなどのジェンダー化されたスペースの使用, ミスジェンダリング（誤った性別として扱うこと）, 社会の中でいないことにされる,  </v>
      </c>
      <c r="Z2" s="8" t="s">
        <v>455</v>
      </c>
      <c r="AA2" s="8" t="str">
        <f>", "&amp;'RAW (公開用)'!U2&amp;", "</f>
        <v xml:space="preserve">, 戸籍名の変更, 戸籍上の性別の変更, 声帯にかかわる手術, </v>
      </c>
      <c r="AB2" s="8" t="str">
        <f>", "&amp;'RAW (公開用)'!V2&amp;", "</f>
        <v xml:space="preserve">, （上記のどれも経験していない）, </v>
      </c>
      <c r="AC2" s="8"/>
      <c r="AD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 s="8" t="s">
        <v>456</v>
      </c>
      <c r="AF2" s="8" t="s">
        <v>457</v>
      </c>
      <c r="AG2" s="8" t="s">
        <v>458</v>
      </c>
      <c r="AH2" s="8"/>
      <c r="AI2" s="8">
        <f>((LEN(G2)-LEN(SUBSTITUTE(G2,", ","")))/LEN(", ")-1-(LEN(G2)-LEN(SUBSTITUTE(G2,"必ず","")))/LEN("必ず"))+(LEN(H2)-LEN(SUBSTITUTE(H2,",","")))</f>
        <v>9</v>
      </c>
      <c r="AJ2" s="8"/>
      <c r="AK2" s="8"/>
      <c r="AL2" s="8"/>
      <c r="AM2" s="8"/>
      <c r="AN2" s="8"/>
    </row>
    <row r="3" spans="1:40" ht="38.25" hidden="1">
      <c r="A3" s="8">
        <v>2</v>
      </c>
      <c r="B3" s="11">
        <v>44969.787648530095</v>
      </c>
      <c r="C3" s="8" t="s">
        <v>452</v>
      </c>
      <c r="D3" s="8" t="s">
        <v>453</v>
      </c>
      <c r="E3" s="8" t="s">
        <v>452</v>
      </c>
      <c r="F3" s="8" t="s">
        <v>454</v>
      </c>
      <c r="G3" s="8" t="str">
        <f>", "&amp;'RAW (公開用)'!F3&amp;", "</f>
        <v xml:space="preserve">, **必ず選んでください**, 男性／man, 青年, </v>
      </c>
      <c r="H3" s="8"/>
      <c r="I3" s="8" t="str">
        <f>", "&amp;'RAW (公開用)'!H3&amp;", "</f>
        <v xml:space="preserve">, さん, くん／君, </v>
      </c>
      <c r="J3" s="8" t="s">
        <v>2335</v>
      </c>
      <c r="K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3" s="8" t="str">
        <f>", "&amp;'RAW (公開用)'!J3&amp;", "</f>
        <v xml:space="preserve">, **英語を日常的に使わない**, </v>
      </c>
      <c r="M3" s="8" t="s">
        <v>2335</v>
      </c>
      <c r="N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 s="8" t="str">
        <f>", "&amp;'RAW (公開用)'!L3&amp;", "</f>
        <v xml:space="preserve">, 僕, （時とともに変わる）, ぼく, 私（わたし／わたくし）, （一人称の使用を避ける）, わたし, </v>
      </c>
      <c r="P3" s="8" t="s">
        <v>2335</v>
      </c>
      <c r="Q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（時とともに変わる）, ぼく, 私（わたし／わたくし）, （一人称の使用を避ける）, わたし,  , </v>
      </c>
      <c r="R3" s="8" t="str">
        <f>", "&amp;'RAW (公開用)'!N3&amp;", "</f>
        <v xml:space="preserve">, （三人称で言及してほしくない）, （自分（たち）の名前）, </v>
      </c>
      <c r="S3" s="8" t="s">
        <v>2335</v>
      </c>
      <c r="T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 s="8" t="str">
        <f>", "&amp;'RAW (公開用)'!P3&amp;", "</f>
        <v xml:space="preserve">, **英語を日常的に使わない**, </v>
      </c>
      <c r="V3" s="8" t="s">
        <v>455</v>
      </c>
      <c r="W3" s="8" t="str">
        <f>", "&amp;'RAW (公開用)'!R3&amp;", "</f>
        <v xml:space="preserve">, アウティング（勝手にジェンダーや指向についての情報を明かされること）, カムアウトできない, ミスジェンダリング（誤った性別として扱うこと）, デッドネーミング（誤った名前で呼ばれること）, </v>
      </c>
      <c r="X3" s="8"/>
      <c r="Y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カムアウトできない, ミスジェンダリング（誤った性別として扱うこと）, デッドネーミング（誤った名前で呼ばれること）,  </v>
      </c>
      <c r="Z3" s="8" t="s">
        <v>455</v>
      </c>
      <c r="AA3" s="8" t="str">
        <f>", "&amp;'RAW (公開用)'!U3&amp;", "</f>
        <v xml:space="preserve">, （上記のどれも希望していない）, </v>
      </c>
      <c r="AB3" s="8" t="str">
        <f>", "&amp;'RAW (公開用)'!V3&amp;", "</f>
        <v xml:space="preserve">, （上記のどれも経験していない）, </v>
      </c>
      <c r="AC3" s="8"/>
      <c r="AD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 s="8" t="s">
        <v>459</v>
      </c>
      <c r="AF3" s="8" t="s">
        <v>457</v>
      </c>
      <c r="AG3" s="8" t="s">
        <v>458</v>
      </c>
      <c r="AH3" s="8"/>
      <c r="AI3" s="8">
        <f>((LEN(G3)-LEN(SUBSTITUTE(G3,", ","")))/LEN(", ")-1-(LEN(G3)-LEN(SUBSTITUTE(G3,"必ず","")))/LEN("必ず"))+(LEN(H3)-LEN(SUBSTITUTE(H3,",","")))</f>
        <v>2</v>
      </c>
      <c r="AJ3" s="8"/>
      <c r="AK3" s="8"/>
      <c r="AL3" s="8"/>
      <c r="AM3" s="8"/>
      <c r="AN3" s="8"/>
    </row>
    <row r="4" spans="1:40" ht="53.25" hidden="1">
      <c r="A4" s="8">
        <v>391</v>
      </c>
      <c r="B4" s="11">
        <v>44992.530951701388</v>
      </c>
      <c r="C4" s="8" t="s">
        <v>452</v>
      </c>
      <c r="D4" s="8" t="s">
        <v>453</v>
      </c>
      <c r="E4" s="8" t="s">
        <v>452</v>
      </c>
      <c r="F4" s="8" t="s">
        <v>454</v>
      </c>
      <c r="G4" s="8" t="str">
        <f>", "&amp;'RAW (公開用)'!F392&amp;", "</f>
        <v xml:space="preserve">, Aジェンダー／エイジェンダー／アジェンダー／agender, 中性, クエスチョニング, ニュートラル, X, ノンバイナリー, 少年, Xジェンダー, </v>
      </c>
      <c r="H4" s="8"/>
      <c r="I4" s="8" t="str">
        <f>", "&amp;'RAW (公開用)'!H392&amp;", "</f>
        <v xml:space="preserve">, （敬称なし）, （時とともに変わる）, くん／君, （クエスチョニング、模索中、または不明）, </v>
      </c>
      <c r="J4" s="16" t="s">
        <v>2334</v>
      </c>
      <c r="K4" s="16"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（敬称なし）, （時とともに変わる）, くん／君, （クエスチョニング、模索中、または不明）,  , 性別を問わない「くん」,</v>
      </c>
      <c r="L4" s="8" t="str">
        <f>", "&amp;'RAW (公開用)'!J392&amp;", "</f>
        <v xml:space="preserve">, （クエスチョニング、模索中、または不明）, **英語を日常的に使わない**, </v>
      </c>
      <c r="M4" s="17" t="s">
        <v>2421</v>
      </c>
      <c r="N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（クエスチョニング、模索中、または不明）, **英語を日常的に使わない**, , バイナリーは嫌,</v>
      </c>
      <c r="O4" s="8" t="str">
        <f>", "&amp;'RAW (公開用)'!L392&amp;", "</f>
        <v xml:space="preserve">, うち, 私（わたし／わたくし）, （一人称の使用を避ける）, 自分, 僕, </v>
      </c>
      <c r="P4" s="16" t="s">
        <v>2378</v>
      </c>
      <c r="Q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うち, 私（わたし／わたくし）, （一人称の使用を避ける）, 自分, 僕,  , 私,</v>
      </c>
      <c r="R4" s="8" t="s">
        <v>2174</v>
      </c>
      <c r="S4" s="73" t="s">
        <v>2347</v>
      </c>
      <c r="T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人達,</v>
      </c>
      <c r="U4" s="8" t="str">
        <f>", "&amp;'RAW (公開用)'!P392&amp;", "</f>
        <v xml:space="preserve">, **英語を日常的に使わない**, </v>
      </c>
      <c r="V4" s="8" t="s">
        <v>455</v>
      </c>
      <c r="W4" s="8" t="str">
        <f>", "&amp;'RAW (公開用)'!R392&amp;", "</f>
        <v xml:space="preserve">, 医療における無理解, 職場や学校における無理解, アウティング（勝手にジェンダーや指向についての情報を明かされること）, 性暴力, </v>
      </c>
      <c r="X4" s="8" t="s">
        <v>249</v>
      </c>
      <c r="Y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医療における無理解, 職場や学校における無理解, アウティング（勝手にジェンダーや指向についての情報を明かされること）, 性暴力,  婦人科に行く必要がある時があるが、とても苦痛
服装の強制</v>
      </c>
      <c r="Z4" s="8" t="s">
        <v>455</v>
      </c>
      <c r="AA4" s="8" t="str">
        <f>", "&amp;'RAW (公開用)'!U392&amp;", "</f>
        <v xml:space="preserve">, ジェンダークリニックの受診, </v>
      </c>
      <c r="AB4" s="8" t="str">
        <f>", "&amp;'RAW (公開用)'!V392&amp;", "</f>
        <v xml:space="preserve">, （上記のどれも経験していない）, </v>
      </c>
      <c r="AC4" s="8"/>
      <c r="AD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 s="8" t="s">
        <v>474</v>
      </c>
      <c r="AF4" s="8" t="s">
        <v>457</v>
      </c>
      <c r="AG4" s="8" t="s">
        <v>458</v>
      </c>
      <c r="AH4" s="8" t="s">
        <v>625</v>
      </c>
      <c r="AI4" s="8">
        <f>(LEN(G4)-LEN(SUBSTITUTE(G4,", ","")))/LEN(", ")-1-(LEN(G4)-LEN(SUBSTITUTE(G4,"必ず","")))/LEN("必ず")</f>
        <v>8</v>
      </c>
      <c r="AJ4" s="8"/>
      <c r="AK4" s="8"/>
      <c r="AL4" s="8"/>
      <c r="AM4" s="8"/>
      <c r="AN4" s="8"/>
    </row>
    <row r="5" spans="1:40" ht="191.25" hidden="1">
      <c r="A5" s="8">
        <v>4</v>
      </c>
      <c r="B5" s="11">
        <v>44969.788020694439</v>
      </c>
      <c r="C5" s="8" t="s">
        <v>452</v>
      </c>
      <c r="D5" s="8" t="s">
        <v>453</v>
      </c>
      <c r="E5" s="8" t="s">
        <v>452</v>
      </c>
      <c r="F5" s="8" t="s">
        <v>454</v>
      </c>
      <c r="G5" s="8" t="str">
        <f>", "&amp;'RAW (公開用)'!F5&amp;", "</f>
        <v xml:space="preserve">, レズビアン（ジェンダーについて）, 女性／woman, アンドロジャイン／androgyne, トランスセクシュアル／transsexual, シスジェンダー, ジェンダー・ノンコンフォーミング／gender non-conforming, デミガール, ニューハーフ, **必ず選んでください**, トランス男性, ゼノジェンダー／xenogender, Aジェンダー／エイジェンダー／アジェンダー／agender, トランス, ゲイ（ジェンダーについて）, バイナリー, フェム, 男の子／boy, ジェンダーヴォイド／gendervoid, X, （ジェンダー・）フルイド／（ジェンダー・）フリュイド／（ジェンダー・）フルイッド, 中性, トランスマスキュリン, ジェンダーフラックス／フラックスジェンダー, ダイク／dyke, 青年, デミボーイ, ノンバイナリー女性, ノンバイナリー男性, ノンバイナリー, ポリジェンダー, バイジェンダー, ボイ, 無し, 男性／man, 少女, クィア／Queer, 不明／わからない, 無性, 女の子／girl, デミジェンダー, ジェンダーレス, Xジェンダー, enby／エンビー, ブッチ／butch, トランス女性, デミAジェンダー, トランスジェンダー, おかま, 少年, トランスフェミニン, トランス*／trans*, ジェンダークィア, ニュートラル, 両性, ニューロジェンダー／neurogender, クエスチョニング, 不定性, </v>
      </c>
      <c r="H5" s="8"/>
      <c r="I5" s="8" t="str">
        <f>", "&amp;'RAW (公開用)'!H5&amp;", "</f>
        <v xml:space="preserve">, （時とともに変わる）, ちゃん, （クエスチョニング、模索中、または不明）, さん, （any／問わない／どれでもよい）, たん, （敬称なし）, くん／君, </v>
      </c>
      <c r="J5" s="8" t="s">
        <v>2335</v>
      </c>
      <c r="K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ちゃん, （クエスチョニング、模索中、または不明）, さん, （any／問わない／どれでもよい）, たん, （敬称なし）, くん／君,  , </v>
      </c>
      <c r="L5" s="8" t="str">
        <f>", "&amp;'RAW (公開用)'!J5&amp;", "</f>
        <v xml:space="preserve">, **英語を日常的に使わない**, </v>
      </c>
      <c r="M5" s="8" t="s">
        <v>2335</v>
      </c>
      <c r="N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5" s="8" t="str">
        <f>", "&amp;'RAW (公開用)'!L5&amp;", "</f>
        <v xml:space="preserve">, わたし, （自分（たち）の名前）, （一人称の使用を避ける）, 僕, わたくし, （クエスチョニング、模索中、または不明）, うち, （any／問わない／どれでもよい）, 自分, 私（わたし／わたくし）, （時とともに変わる）, あたし, ぼく, </v>
      </c>
      <c r="P5" s="8" t="s">
        <v>2335</v>
      </c>
      <c r="Q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（自分（たち）の名前）, （一人称の使用を避ける）, 僕, わたくし, （クエスチョニング、模索中、または不明）, うち, （any／問わない／どれでもよい）, 自分, 私（わたし／わたくし）, （時とともに変わる）, あたし, ぼく,  , </v>
      </c>
      <c r="R5" s="8" t="str">
        <f>", "&amp;'RAW (公開用)'!N5&amp;", "</f>
        <v xml:space="preserve">, かれ, 彼, 彼女, 渠（かれ）, 彼男（かのだん）, 彼人（かのと）, 彼人（かのひと）, （三人称で言及してほしくない）, （any／問わない／どれでもよい）, （自分（たち）の名前）, </v>
      </c>
      <c r="S5" s="8" t="s">
        <v>2335</v>
      </c>
      <c r="T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彼, 彼女, 渠（かれ）, 彼男（かのだん）, 彼人（かのと）, 彼人（かのひと）, （三人称で言及してほしくない）, （any／問わない／どれでもよい）, （自分（たち）の名前）,  , </v>
      </c>
      <c r="U5" s="8" t="str">
        <f>", "&amp;'RAW (公開用)'!P5&amp;", "</f>
        <v xml:space="preserve">, **英語を日常的に使わない**, </v>
      </c>
      <c r="V5" s="8" t="s">
        <v>455</v>
      </c>
      <c r="W5" s="8" t="str">
        <f>", "&amp;'RAW (公開用)'!R5&amp;", "</f>
        <v xml:space="preserve">, 性暴力, 医療における無理解, カムアウトできない, LGBTQ+運動からの排斥, 社会の中でいないことにされる, カムアウトを強制される, トイレなどのジェンダー化されたスペースの使用, 家族／かぞくからの無理解, 必要なジェンダーケアへアクセスできない, デッドネーミング（誤った名前で呼ばれること）, 職場や学校における無理解, ミスジェンダリング（誤った性別として扱うこと）, </v>
      </c>
      <c r="X5" s="8"/>
      <c r="Y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医療における無理解, カムアウトできない, LGBTQ+運動からの排斥, 社会の中でいないことにされる, カムアウトを強制される, トイレなどのジェンダー化されたスペースの使用, 家族／かぞくからの無理解, 必要なジェンダーケアへアクセスできない, デッドネーミング（誤った名前で呼ばれること）, 職場や学校における無理解, ミスジェンダリング（誤った性別として扱うこと）,  </v>
      </c>
      <c r="Z5" s="8" t="s">
        <v>455</v>
      </c>
      <c r="AA5" s="8" t="str">
        <f>", "&amp;'RAW (公開用)'!U5&amp;", "</f>
        <v xml:space="preserve">, 戸籍上の性別の変更, ホルモン補充療法（HRT）, 胸部の手術, 性器にかかわる手術, </v>
      </c>
      <c r="AB5" s="8" t="str">
        <f>", "&amp;'RAW (公開用)'!V5&amp;", "</f>
        <v xml:space="preserve">, （上記のどれも経験していない）, </v>
      </c>
      <c r="AC5" s="8" t="s">
        <v>320</v>
      </c>
      <c r="AD5"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自分の性別と自分の望む肉体のあり方が違うとき、望む方向に性器にかかわる摘出などの大掛かりな手術が出来ない
仮に自分自身の性別に沿う肉体を望んだとしても、ふたなりと言われる状態になる手術は少なくとも日本では受けられない</v>
      </c>
      <c r="AE5" s="8" t="s">
        <v>462</v>
      </c>
      <c r="AF5" s="8" t="s">
        <v>457</v>
      </c>
      <c r="AG5" s="8" t="s">
        <v>458</v>
      </c>
      <c r="AH5" s="8"/>
      <c r="AI5" s="8">
        <f>((LEN(G5)-LEN(SUBSTITUTE(G5,", ","")))/LEN(", ")-1-(LEN(G5)-LEN(SUBSTITUTE(G5,"必ず","")))/LEN("必ず"))+(LEN(H5)-LEN(SUBSTITUTE(H5,",","")))</f>
        <v>56</v>
      </c>
      <c r="AJ5" s="8"/>
      <c r="AK5" s="8"/>
      <c r="AL5" s="8"/>
      <c r="AM5" s="8"/>
      <c r="AN5" s="8"/>
    </row>
    <row r="6" spans="1:40" ht="38.25" hidden="1">
      <c r="A6" s="8">
        <v>5</v>
      </c>
      <c r="B6" s="11">
        <v>44969.789103518517</v>
      </c>
      <c r="C6" s="8" t="s">
        <v>452</v>
      </c>
      <c r="D6" s="8" t="s">
        <v>453</v>
      </c>
      <c r="E6" s="8" t="s">
        <v>452</v>
      </c>
      <c r="F6" s="8" t="s">
        <v>454</v>
      </c>
      <c r="G6" s="8" t="str">
        <f>", "&amp;'RAW (公開用)'!F6&amp;", "</f>
        <v xml:space="preserve">, ノンバイナリー女性, フェム, 女性／woman, </v>
      </c>
      <c r="H6" s="8"/>
      <c r="I6" s="8" t="str">
        <f>", "&amp;'RAW (公開用)'!H6&amp;", "</f>
        <v xml:space="preserve">, さん, </v>
      </c>
      <c r="J6" s="8" t="s">
        <v>2335</v>
      </c>
      <c r="K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 s="8" t="str">
        <f>", "&amp;'RAW (公開用)'!J6&amp;", "</f>
        <v xml:space="preserve">, **英語を日常的に使わない**, </v>
      </c>
      <c r="M6" s="8" t="s">
        <v>2335</v>
      </c>
      <c r="N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 s="8" t="str">
        <f>", "&amp;'RAW (公開用)'!L6&amp;", "</f>
        <v xml:space="preserve">, 私（わたし／わたくし）, </v>
      </c>
      <c r="P6" s="8" t="s">
        <v>2335</v>
      </c>
      <c r="Q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6" s="8" t="str">
        <f>", "&amp;'RAW (公開用)'!N6&amp;", "</f>
        <v xml:space="preserve">, 彼女, </v>
      </c>
      <c r="S6" s="8" t="s">
        <v>2335</v>
      </c>
      <c r="T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6" s="8" t="str">
        <f>", "&amp;'RAW (公開用)'!P6&amp;", "</f>
        <v xml:space="preserve">, **英語を日常的に使わない**, </v>
      </c>
      <c r="V6" s="8" t="s">
        <v>455</v>
      </c>
      <c r="W6" s="8" t="str">
        <f>", "&amp;'RAW (公開用)'!R6&amp;", "</f>
        <v xml:space="preserve">, LGBTQ+運動からの排斥, 職場や学校における無理解, カムアウトを強制される, 医療における無理解, 家族／かぞくからの無理解, アウティング（勝手にジェンダーや指向についての情報を明かされること）, 性暴力, </v>
      </c>
      <c r="X6" s="8"/>
      <c r="Y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職場や学校における無理解, カムアウトを強制される, 医療における無理解, 家族／かぞくからの無理解, アウティング（勝手にジェンダーや指向についての情報を明かされること）, 性暴力,  </v>
      </c>
      <c r="Z6" s="8" t="s">
        <v>455</v>
      </c>
      <c r="AA6" s="8" t="str">
        <f>", "&amp;'RAW (公開用)'!U6&amp;", "</f>
        <v xml:space="preserve">, （上記のどれも希望していない）, </v>
      </c>
      <c r="AB6" s="8" t="str">
        <f>", "&amp;'RAW (公開用)'!V6&amp;", "</f>
        <v xml:space="preserve">, 顔にかかわる手術, </v>
      </c>
      <c r="AC6" s="8"/>
      <c r="AD6" s="8" t="str">
        <f>テーブル1[[#This Row],[以下のうち、経験したものをすべて選んでください]]&amp;" "&amp;テーブル1[[#This Row],[社会的、法的、医学的トランジションについて、困難なこと等がありましたらここにお書きください]]</f>
        <v xml:space="preserve">, 顔にかかわる手術,  </v>
      </c>
      <c r="AE6" s="8" t="s">
        <v>459</v>
      </c>
      <c r="AF6" s="8" t="s">
        <v>457</v>
      </c>
      <c r="AG6" s="8" t="s">
        <v>458</v>
      </c>
      <c r="AH6" s="8" t="s">
        <v>463</v>
      </c>
      <c r="AI6" s="8">
        <f>((LEN(G6)-LEN(SUBSTITUTE(G6,", ","")))/LEN(", ")-1-(LEN(G6)-LEN(SUBSTITUTE(G6,"必ず","")))/LEN("必ず"))+(LEN(H6)-LEN(SUBSTITUTE(H6,",","")))</f>
        <v>3</v>
      </c>
      <c r="AJ6" s="8"/>
      <c r="AK6" s="8"/>
      <c r="AL6" s="8"/>
      <c r="AM6" s="8"/>
      <c r="AN6" s="8"/>
    </row>
    <row r="7" spans="1:40" ht="51" hidden="1">
      <c r="A7" s="8">
        <v>6</v>
      </c>
      <c r="B7" s="11">
        <v>44969.789469976851</v>
      </c>
      <c r="C7" s="8" t="s">
        <v>452</v>
      </c>
      <c r="D7" s="8" t="s">
        <v>453</v>
      </c>
      <c r="E7" s="8" t="s">
        <v>452</v>
      </c>
      <c r="F7" s="8" t="s">
        <v>454</v>
      </c>
      <c r="G7" s="8" t="str">
        <f>", "&amp;'RAW (公開用)'!F7&amp;", "</f>
        <v xml:space="preserve">, ノンバイナリー, </v>
      </c>
      <c r="H7" s="8"/>
      <c r="I7" s="8" t="str">
        <f>", "&amp;'RAW (公開用)'!H7&amp;", "</f>
        <v xml:space="preserve">, （敬称なし）, さん, （クエスチョニング、模索中、または不明）, </v>
      </c>
      <c r="J7" s="8" t="s">
        <v>2335</v>
      </c>
      <c r="K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（クエスチョニング、模索中、または不明）,  , </v>
      </c>
      <c r="L7" s="8" t="str">
        <f>", "&amp;'RAW (公開用)'!J7&amp;", "</f>
        <v xml:space="preserve">, Mx., </v>
      </c>
      <c r="M7" s="8" t="s">
        <v>2335</v>
      </c>
      <c r="N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7" s="8" t="str">
        <f>", "&amp;'RAW (公開用)'!L7&amp;", "</f>
        <v xml:space="preserve">, ぼく, わたし, </v>
      </c>
      <c r="P7" s="8" t="s">
        <v>2335</v>
      </c>
      <c r="Q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わたし,  , </v>
      </c>
      <c r="R7" s="8" t="str">
        <f>", "&amp;'RAW (公開用)'!N7&amp;", "</f>
        <v xml:space="preserve">, （三人称で言及してほしくない）, （自分（たち）の名前）, </v>
      </c>
      <c r="S7" s="8" t="s">
        <v>2335</v>
      </c>
      <c r="T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7" s="8" t="str">
        <f>", "&amp;'RAW (公開用)'!P7&amp;", "</f>
        <v xml:space="preserve">, they/them/their/themselves, </v>
      </c>
      <c r="V7" s="8" t="s">
        <v>455</v>
      </c>
      <c r="W7" s="8" t="str">
        <f>", "&amp;'RAW (公開用)'!R7&amp;", "</f>
        <v xml:space="preserve">, 医療における無理解, ミスジェンダリング（誤った性別として扱うこと）, 職場や学校における無理解, 性暴力, トイレなどのジェンダー化されたスペースの使用, 社会の中でいないことにされる, 必要なジェンダーケアへアクセスできない, カムアウトできない, </v>
      </c>
      <c r="X7" s="8"/>
      <c r="Y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ミスジェンダリング（誤った性別として扱うこと）, 職場や学校における無理解, 性暴力, トイレなどのジェンダー化されたスペースの使用, 社会の中でいないことにされる, 必要なジェンダーケアへアクセスできない, カムアウトできない,  </v>
      </c>
      <c r="Z7" s="8" t="s">
        <v>455</v>
      </c>
      <c r="AA7" s="8" t="str">
        <f>", "&amp;'RAW (公開用)'!U7&amp;", "</f>
        <v xml:space="preserve">, ジェンダークリニックの受診, 抗ホルモン療法, ホルモン補充療法（HRT）, </v>
      </c>
      <c r="AB7" s="8" t="str">
        <f>", "&amp;'RAW (公開用)'!V7&amp;", "</f>
        <v xml:space="preserve">, （上記のどれも経験していない）, </v>
      </c>
      <c r="AC7" s="8"/>
      <c r="AD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 s="8" t="s">
        <v>464</v>
      </c>
      <c r="AF7" s="8" t="s">
        <v>457</v>
      </c>
      <c r="AG7" s="8" t="s">
        <v>458</v>
      </c>
      <c r="AH7" s="8"/>
      <c r="AI7" s="8">
        <f>((LEN(G7)-LEN(SUBSTITUTE(G7,", ","")))/LEN(", ")-1-(LEN(G7)-LEN(SUBSTITUTE(G7,"必ず","")))/LEN("必ず"))+(LEN(H7)-LEN(SUBSTITUTE(H7,",","")))</f>
        <v>1</v>
      </c>
      <c r="AJ7" s="8"/>
      <c r="AK7" s="8"/>
      <c r="AL7" s="8"/>
      <c r="AM7" s="8"/>
      <c r="AN7" s="8"/>
    </row>
    <row r="8" spans="1:40" ht="25.5" hidden="1">
      <c r="A8" s="8">
        <v>109</v>
      </c>
      <c r="B8" s="11">
        <v>44970.160314456021</v>
      </c>
      <c r="C8" s="8" t="s">
        <v>452</v>
      </c>
      <c r="D8" s="8" t="s">
        <v>453</v>
      </c>
      <c r="E8" s="8" t="s">
        <v>452</v>
      </c>
      <c r="F8" s="8" t="s">
        <v>454</v>
      </c>
      <c r="G8" s="8" t="str">
        <f>", "&amp;'RAW (公開用)'!F110&amp;", "</f>
        <v xml:space="preserve">, Xジェンダー, ノンバイナリー, 無性, **必ず選んでください**, X, クエスチョニング, </v>
      </c>
      <c r="H8" s="8"/>
      <c r="I8" s="8" t="str">
        <f>", "&amp;'RAW (公開用)'!H110&amp;", "</f>
        <v xml:space="preserve">, さん, （敬称なし）, </v>
      </c>
      <c r="J8" s="8" t="s">
        <v>2335</v>
      </c>
      <c r="K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8" s="8" t="str">
        <f>", "&amp;'RAW (公開用)'!J110&amp;", "</f>
        <v xml:space="preserve">, **英語を日常的に使わない**, </v>
      </c>
      <c r="M8" s="8" t="s">
        <v>2335</v>
      </c>
      <c r="N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 s="8" t="str">
        <f>", "&amp;'RAW (公開用)'!L110&amp;", "</f>
        <v xml:space="preserve">, 自分, （時とともに変わる）, うち, 私（わたし／わたくし）, </v>
      </c>
      <c r="P8" s="16" t="s">
        <v>2379</v>
      </c>
      <c r="Q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 （時とともに変わる）, うち, 私（わたし／わたくし）,  , 苗字</v>
      </c>
      <c r="R8" s="8" t="str">
        <f>", "&amp;'RAW (公開用)'!N8&amp;", "</f>
        <v xml:space="preserve">, （自分（たち）の名前）, （三人称で言及してほしくない）, </v>
      </c>
      <c r="S8" s="73" t="s">
        <v>2348</v>
      </c>
      <c r="T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（三人称で言及してほしくない）,  , 自分の苗字,</v>
      </c>
      <c r="U8" s="8" t="str">
        <f>", "&amp;'RAW (公開用)'!P110&amp;", "</f>
        <v xml:space="preserve">, **英語を日常的に使わない**, </v>
      </c>
      <c r="V8" s="8" t="s">
        <v>455</v>
      </c>
      <c r="W8" s="8" t="str">
        <f>", "&amp;'RAW (公開用)'!R110&amp;", "</f>
        <v xml:space="preserve">, 性暴力, ミスジェンダリング（誤った性別として扱うこと）, カムアウトできない, LGBTQ+運動からの排斥, </v>
      </c>
      <c r="X8" s="8"/>
      <c r="Y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ミスジェンダリング（誤った性別として扱うこと）, カムアウトできない, LGBTQ+運動からの排斥,  </v>
      </c>
      <c r="Z8" s="8" t="s">
        <v>455</v>
      </c>
      <c r="AA8" s="8" t="str">
        <f>", "&amp;'RAW (公開用)'!U110&amp;", "</f>
        <v xml:space="preserve">, 戸籍名の変更, ホルモン補充療法（HRT）, 胸部の手術, </v>
      </c>
      <c r="AB8" s="8" t="str">
        <f>", "&amp;'RAW (公開用)'!V110&amp;", "</f>
        <v xml:space="preserve">, （上記のどれも経験していない）, </v>
      </c>
      <c r="AC8" s="8" t="s">
        <v>405</v>
      </c>
      <c r="AD8"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どこに相談すべきか分からない</v>
      </c>
      <c r="AE8" s="8" t="s">
        <v>464</v>
      </c>
      <c r="AF8" s="8" t="s">
        <v>457</v>
      </c>
      <c r="AG8" s="8" t="s">
        <v>458</v>
      </c>
      <c r="AH8" s="8"/>
      <c r="AI8" s="8">
        <f>(LEN(G8)-LEN(SUBSTITUTE(G8,", ","")))/LEN(", ")-1-(LEN(G8)-LEN(SUBSTITUTE(G8,"必ず","")))/LEN("必ず")</f>
        <v>5</v>
      </c>
      <c r="AJ8" s="8"/>
      <c r="AK8" s="8"/>
      <c r="AL8" s="8"/>
      <c r="AM8" s="8"/>
      <c r="AN8" s="8"/>
    </row>
    <row r="9" spans="1:40" ht="51" hidden="1">
      <c r="A9" s="8">
        <v>269</v>
      </c>
      <c r="B9" s="11">
        <v>44983.138871909723</v>
      </c>
      <c r="C9" s="8" t="s">
        <v>452</v>
      </c>
      <c r="D9" s="8" t="s">
        <v>453</v>
      </c>
      <c r="E9" s="8" t="s">
        <v>452</v>
      </c>
      <c r="F9" s="8" t="s">
        <v>454</v>
      </c>
      <c r="G9" s="8" t="str">
        <f>", "&amp;'RAW (公開用)'!F270&amp;", "</f>
        <v xml:space="preserve">, 両性, トランスジェンダー, ノンバイナリー, バイジェンダー, Xジェンダー, </v>
      </c>
      <c r="H9" s="8"/>
      <c r="I9" s="105" t="s">
        <v>2174</v>
      </c>
      <c r="J9" s="73" t="s">
        <v>2336</v>
      </c>
      <c r="K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無回答 , 言葉が存在しない,</v>
      </c>
      <c r="L9" s="8" t="str">
        <f>", "&amp;'RAW (公開用)'!J270&amp;", "</f>
        <v xml:space="preserve">, **英語を日常的に使わない**, </v>
      </c>
      <c r="M9" s="8" t="s">
        <v>2335</v>
      </c>
      <c r="N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9" s="8" t="str">
        <f>", "&amp;'RAW (公開用)'!L270&amp;", "</f>
        <v xml:space="preserve">, （一人称の使用を避ける）, うち, わたし, 自分, </v>
      </c>
      <c r="P9" s="8" t="s">
        <v>2335</v>
      </c>
      <c r="Q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うち, わたし, 自分,  , </v>
      </c>
      <c r="R9" s="8" t="str">
        <f>", "&amp;'RAW (公開用)'!N9&amp;", "</f>
        <v xml:space="preserve">, 彼女, かれ, 彼人（かのひと）, （any／問わない／どれでもよい）, </v>
      </c>
      <c r="S9" s="16" t="s">
        <v>2349</v>
      </c>
      <c r="T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かれ, 彼人（かのひと）, （any／問わない／どれでもよい）,  , しっくりくるものがない,</v>
      </c>
      <c r="U9" s="8" t="str">
        <f>", "&amp;'RAW (公開用)'!P270&amp;", "</f>
        <v xml:space="preserve">, **英語を日常的に使わない**, </v>
      </c>
      <c r="V9" s="8" t="s">
        <v>455</v>
      </c>
      <c r="W9" s="8" t="str">
        <f>", "&amp;'RAW (公開用)'!R270&amp;", "</f>
        <v xml:space="preserve">, LGBTQ+運動からの排斥, 必要なジェンダーケアへアクセスできない, トイレなどのジェンダー化されたスペースの使用, 性暴力, 社会の中でいないことにされる, アウティング（勝手にジェンダーや指向についての情報を明かされること）, 家族／かぞくからの無理解, 医療における無理解, 職場や学校における無理解, </v>
      </c>
      <c r="X9" s="8"/>
      <c r="Y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必要なジェンダーケアへアクセスできない, トイレなどのジェンダー化されたスペースの使用, 性暴力, 社会の中でいないことにされる, アウティング（勝手にジェンダーや指向についての情報を明かされること）, 家族／かぞくからの無理解, 医療における無理解, 職場や学校における無理解,  </v>
      </c>
      <c r="Z9" s="8" t="s">
        <v>455</v>
      </c>
      <c r="AA9" s="8" t="str">
        <f>", "&amp;'RAW (公開用)'!U270&amp;", "</f>
        <v xml:space="preserve">, 戸籍名の変更, ジェンダークリニックの受診, 抗ホルモン療法, 顔にかかわる手術, </v>
      </c>
      <c r="AB9" s="8" t="str">
        <f>", "&amp;'RAW (公開用)'!V270&amp;", "</f>
        <v xml:space="preserve">, 抗ホルモン療法, </v>
      </c>
      <c r="AC9" s="8" t="s">
        <v>335</v>
      </c>
      <c r="AD9" s="8" t="str">
        <f>テーブル1[[#This Row],[以下のうち、経験したものをすべて選んでください]]&amp;" "&amp;テーブル1[[#This Row],[社会的、法的、医学的トランジションについて、困難なこと等がありましたらここにお書きください]]</f>
        <v>, 抗ホルモン療法,  法律上に性別が選択不可能、多機能トイレの使用が事実上のカミングアウトの可能性と差別の存在による使用困難さ、ごく近年まで身体的治療の対象外とされ今なお身体的治療の対象外とやすいことでの困難さ、戸籍上の性別の扱いを受けること。</v>
      </c>
      <c r="AE9" s="8" t="s">
        <v>461</v>
      </c>
      <c r="AF9" s="8" t="s">
        <v>457</v>
      </c>
      <c r="AG9" s="8" t="s">
        <v>458</v>
      </c>
      <c r="AH9" s="8" t="s">
        <v>578</v>
      </c>
      <c r="AI9" s="8">
        <f>(LEN(G9)-LEN(SUBSTITUTE(G9,", ","")))/LEN(", ")-1-(LEN(G9)-LEN(SUBSTITUTE(G9,"必ず","")))/LEN("必ず")</f>
        <v>5</v>
      </c>
      <c r="AJ9" s="8"/>
      <c r="AK9" s="8"/>
      <c r="AL9" s="8"/>
      <c r="AM9" s="8"/>
      <c r="AN9" s="8"/>
    </row>
    <row r="10" spans="1:40" ht="38.25" hidden="1">
      <c r="A10" s="8">
        <v>9</v>
      </c>
      <c r="B10" s="11">
        <v>44969.793624456019</v>
      </c>
      <c r="C10" s="8" t="s">
        <v>452</v>
      </c>
      <c r="D10" s="8" t="s">
        <v>453</v>
      </c>
      <c r="E10" s="8" t="s">
        <v>452</v>
      </c>
      <c r="F10" s="8" t="s">
        <v>454</v>
      </c>
      <c r="G10" s="8" t="str">
        <f>", "&amp;'RAW (公開用)'!F10&amp;", "</f>
        <v xml:space="preserve">, クィア／Queer, （ジェンダー・）フルイド／（ジェンダー・）フリュイド／（ジェンダー・）フルイッド, </v>
      </c>
      <c r="H10" s="8"/>
      <c r="I10" s="8" t="str">
        <f>", "&amp;'RAW (公開用)'!H10&amp;", "</f>
        <v xml:space="preserve">, さん, </v>
      </c>
      <c r="J10" s="8" t="s">
        <v>2335</v>
      </c>
      <c r="K1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0" s="8" t="str">
        <f>", "&amp;'RAW (公開用)'!J10&amp;", "</f>
        <v xml:space="preserve">, **英語を日常的に使わない**, </v>
      </c>
      <c r="M10" s="8" t="s">
        <v>2335</v>
      </c>
      <c r="N1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0" s="8" t="str">
        <f>", "&amp;'RAW (公開用)'!L10&amp;", "</f>
        <v xml:space="preserve">, 私（わたし／わたくし）, （時とともに変わる）, </v>
      </c>
      <c r="P10" s="8" t="s">
        <v>2335</v>
      </c>
      <c r="Q1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（時とともに変わる）,  , </v>
      </c>
      <c r="R10" s="8" t="str">
        <f>", "&amp;'RAW (公開用)'!N10&amp;", "</f>
        <v xml:space="preserve">, （any／問わない／どれでもよい）, </v>
      </c>
      <c r="S10" s="8" t="s">
        <v>2335</v>
      </c>
      <c r="T1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10" s="8" t="str">
        <f>", "&amp;'RAW (公開用)'!P10&amp;", "</f>
        <v xml:space="preserve">, **英語を日常的に使わない**, </v>
      </c>
      <c r="V10" s="8" t="s">
        <v>455</v>
      </c>
      <c r="W10" s="8" t="str">
        <f>", "&amp;'RAW (公開用)'!R10&amp;", "</f>
        <v xml:space="preserve">, カムアウトできない, アウティング（勝手にジェンダーや指向についての情報を明かされること）, 職場や学校における無理解, トイレなどのジェンダー化されたスペースの使用, 家族／かぞくからの無理解, </v>
      </c>
      <c r="X10" s="8"/>
      <c r="Y1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アウティング（勝手にジェンダーや指向についての情報を明かされること）, 職場や学校における無理解, トイレなどのジェンダー化されたスペースの使用, 家族／かぞくからの無理解,  </v>
      </c>
      <c r="Z10" s="8" t="s">
        <v>455</v>
      </c>
      <c r="AA10" s="105" t="s">
        <v>2443</v>
      </c>
      <c r="AB10" s="105" t="s">
        <v>2443</v>
      </c>
      <c r="AC10" s="8"/>
      <c r="AD10"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0" s="8" t="s">
        <v>456</v>
      </c>
      <c r="AF10" s="8" t="s">
        <v>457</v>
      </c>
      <c r="AG10" s="8" t="s">
        <v>458</v>
      </c>
      <c r="AH10" s="8"/>
      <c r="AI10" s="8">
        <f>((LEN(G10)-LEN(SUBSTITUTE(G10,", ","")))/LEN(", ")-1-(LEN(G10)-LEN(SUBSTITUTE(G10,"必ず","")))/LEN("必ず"))+(LEN(H10)-LEN(SUBSTITUTE(H10,",","")))</f>
        <v>2</v>
      </c>
      <c r="AJ10" s="8"/>
      <c r="AK10" s="8"/>
      <c r="AL10" s="8"/>
      <c r="AM10" s="8"/>
      <c r="AN10" s="8"/>
    </row>
    <row r="11" spans="1:40" ht="51" hidden="1">
      <c r="A11" s="8">
        <v>10</v>
      </c>
      <c r="B11" s="11">
        <v>44969.793771724537</v>
      </c>
      <c r="C11" s="8" t="s">
        <v>452</v>
      </c>
      <c r="D11" s="8" t="s">
        <v>453</v>
      </c>
      <c r="E11" s="8" t="s">
        <v>452</v>
      </c>
      <c r="F11" s="8" t="s">
        <v>454</v>
      </c>
      <c r="G11" s="8" t="str">
        <f>", "&amp;'RAW (公開用)'!F11&amp;", "</f>
        <v xml:space="preserve">, **必ず選んでください**, ノンバイナリー, ジェンダー・ノンコンフォーミング／gender non-conforming, 不定性, ノンバイナリー男性, クィア／Queer, </v>
      </c>
      <c r="H11" s="8"/>
      <c r="I11" s="8" t="str">
        <f>", "&amp;'RAW (公開用)'!H11&amp;", "</f>
        <v xml:space="preserve">, （時とともに変わる）, （クエスチョニング、模索中、または不明）, （any／問わない／どれでもよい）, </v>
      </c>
      <c r="J11" s="8" t="s">
        <v>2335</v>
      </c>
      <c r="K1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（any／問わない／どれでもよい）,  , </v>
      </c>
      <c r="L11" s="8" t="str">
        <f>", "&amp;'RAW (公開用)'!J11&amp;", "</f>
        <v xml:space="preserve">, **英語を日常的に使わない**, </v>
      </c>
      <c r="M11" s="8" t="s">
        <v>2335</v>
      </c>
      <c r="N1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1" s="8" t="str">
        <f>", "&amp;'RAW (公開用)'!L11&amp;", "</f>
        <v xml:space="preserve">, （時とともに変わる）, ぼく, わたし, </v>
      </c>
      <c r="P11" s="8" t="s">
        <v>2335</v>
      </c>
      <c r="Q1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ぼく, わたし,  , </v>
      </c>
      <c r="R11" s="8" t="str">
        <f>", "&amp;'RAW (公開用)'!N11&amp;", "</f>
        <v xml:space="preserve">, 彼人（かのと）, （自分（たち）の名前）, </v>
      </c>
      <c r="S11" s="8" t="s">
        <v>2335</v>
      </c>
      <c r="T1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（自分（たち）の名前）,  , </v>
      </c>
      <c r="U11" s="8" t="str">
        <f>", "&amp;'RAW (公開用)'!P11&amp;", "</f>
        <v xml:space="preserve">, **英語を日常的に使わない**, </v>
      </c>
      <c r="V11" s="8" t="s">
        <v>455</v>
      </c>
      <c r="W11" s="8" t="str">
        <f>", "&amp;'RAW (公開用)'!R11&amp;", "</f>
        <v xml:space="preserve">, トイレなどのジェンダー化されたスペースの使用, LGBTQ+運動からの排斥, カムアウトできない, 家族／かぞくからの無理解, 職場や学校における無理解, 医療における無理解, ミスジェンダリング（誤った性別として扱うこと）, 社会の中でいないことにされる, </v>
      </c>
      <c r="X11" s="8"/>
      <c r="Y1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LGBTQ+運動からの排斥, カムアウトできない, 家族／かぞくからの無理解, 職場や学校における無理解, 医療における無理解, ミスジェンダリング（誤った性別として扱うこと）, 社会の中でいないことにされる,  </v>
      </c>
      <c r="Z11" s="8" t="s">
        <v>455</v>
      </c>
      <c r="AA11" s="8" t="str">
        <f>", "&amp;'RAW (公開用)'!U11&amp;", "</f>
        <v xml:space="preserve">, 戸籍上の性別の変更, ホルモン補充療法（HRT）, 顔にかかわる手術, 声帯にかかわる手術, </v>
      </c>
      <c r="AB11" s="8" t="str">
        <f>", "&amp;'RAW (公開用)'!V11&amp;", "</f>
        <v xml:space="preserve">, ホルモン補充療法（HRT）, </v>
      </c>
      <c r="AC11" s="8"/>
      <c r="AD11"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11" s="8" t="s">
        <v>464</v>
      </c>
      <c r="AF11" s="8" t="s">
        <v>457</v>
      </c>
      <c r="AG11" s="8" t="s">
        <v>458</v>
      </c>
      <c r="AH11" s="8"/>
      <c r="AI11" s="8">
        <f>((LEN(G11)-LEN(SUBSTITUTE(G11,", ","")))/LEN(", ")-1-(LEN(G11)-LEN(SUBSTITUTE(G11,"必ず","")))/LEN("必ず"))+(LEN(H11)-LEN(SUBSTITUTE(H11,",","")))</f>
        <v>5</v>
      </c>
      <c r="AJ11" s="8"/>
      <c r="AK11" s="8"/>
      <c r="AL11" s="8"/>
      <c r="AM11" s="8"/>
      <c r="AN11" s="8"/>
    </row>
    <row r="12" spans="1:40" ht="102" hidden="1">
      <c r="A12" s="8">
        <v>382</v>
      </c>
      <c r="B12" s="11">
        <v>44992.397706805554</v>
      </c>
      <c r="C12" s="8" t="s">
        <v>452</v>
      </c>
      <c r="D12" s="8" t="s">
        <v>453</v>
      </c>
      <c r="E12" s="8" t="s">
        <v>452</v>
      </c>
      <c r="F12" s="8" t="s">
        <v>454</v>
      </c>
      <c r="G12" s="8" t="str">
        <f>", "&amp;'RAW (公開用)'!F383&amp;", "</f>
        <v xml:space="preserve">, X, ノンバイナリー, 無性, 中性, </v>
      </c>
      <c r="H12" s="8"/>
      <c r="I12" s="8" t="str">
        <f>", "&amp;'RAW (公開用)'!H383&amp;", "</f>
        <v xml:space="preserve">, （敬称なし）, ちゃん, さん, （クエスチョニング、模索中、または不明）, </v>
      </c>
      <c r="J12" s="8" t="s">
        <v>2335</v>
      </c>
      <c r="K1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ちゃん, さん, （クエスチョニング、模索中、または不明）,  , </v>
      </c>
      <c r="L12" s="8" t="str">
        <f>", "&amp;'RAW (公開用)'!J383&amp;", "</f>
        <v xml:space="preserve">, （クエスチョニング、模索中、または不明）, （敬称なし）, -san, </v>
      </c>
      <c r="M12" s="8" t="s">
        <v>2335</v>
      </c>
      <c r="N1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（敬称なし）, -san, , </v>
      </c>
      <c r="O12" s="8" t="str">
        <f>", "&amp;'RAW (公開用)'!L383&amp;", "</f>
        <v xml:space="preserve">, 私（わたし／わたくし）, わたし, （自分（たち）の名前）, </v>
      </c>
      <c r="P12" s="8" t="s">
        <v>2335</v>
      </c>
      <c r="Q1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（自分（たち）の名前）,  , </v>
      </c>
      <c r="R12" s="8" t="str">
        <f>", "&amp;'RAW (公開用)'!N12&amp;", "</f>
        <v xml:space="preserve">, （自分（たち）の名前）, （any／問わない／どれでもよい）, </v>
      </c>
      <c r="S12" s="73" t="s">
        <v>2349</v>
      </c>
      <c r="T1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（any／問わない／どれでもよい）,  , しっくりくるものがない,</v>
      </c>
      <c r="U12" s="8" t="str">
        <f>", "&amp;'RAW (公開用)'!P383&amp;", "</f>
        <v xml:space="preserve">, （クエスチョニング、模索中、または不明）, they/them/their/themselves, they/them/their/themself, </v>
      </c>
      <c r="V12" s="8" t="s">
        <v>455</v>
      </c>
      <c r="W12" s="8" t="str">
        <f>", "&amp;'RAW (公開用)'!R383&amp;", "</f>
        <v xml:space="preserve">, 社会の中でいないことにされる, 医療における無理解, LGBTQ+運動からの排斥, カムアウトを強制される, ミスジェンダリング（誤った性別として扱うこと）, 性暴力, 家族／かぞくからの無理解, 必要なジェンダーケアへアクセスできない, デッドネーミング（誤った名前で呼ばれること）, </v>
      </c>
      <c r="X12" s="8" t="s">
        <v>264</v>
      </c>
      <c r="Y1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医療における無理解, LGBTQ+運動からの排斥, カムアウトを強制される, ミスジェンダリング（誤った性別として扱うこと）, 性暴力, 家族／かぞくからの無理解, 必要なジェンダーケアへアクセスできない, デッドネーミング（誤った名前で呼ばれること）,  政治家や著名人による差別的発言、彼らが後から行う弁明の対象にすらなっていない
自治体や企業の施策などでLGBTQに関するものの対象になっていない、認識されていない
ただの甘えと認識される、身内からもそう認識されて行き場がない</v>
      </c>
      <c r="Z12" s="8" t="s">
        <v>472</v>
      </c>
      <c r="AA12" s="16" t="s">
        <v>2174</v>
      </c>
      <c r="AB12" s="105" t="s">
        <v>2443</v>
      </c>
      <c r="AC12" s="8"/>
      <c r="AD12"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2" s="8" t="s">
        <v>474</v>
      </c>
      <c r="AF12" s="8" t="s">
        <v>457</v>
      </c>
      <c r="AG12" s="8" t="s">
        <v>458</v>
      </c>
      <c r="AH12" s="8"/>
      <c r="AI12" s="8">
        <f>(LEN(G12)-LEN(SUBSTITUTE(G12,", ","")))/LEN(", ")-1-(LEN(G12)-LEN(SUBSTITUTE(G12,"必ず","")))/LEN("必ず")</f>
        <v>4</v>
      </c>
      <c r="AJ12" s="8"/>
      <c r="AK12" s="8"/>
      <c r="AL12" s="8"/>
      <c r="AM12" s="8"/>
      <c r="AN12" s="8"/>
    </row>
    <row r="13" spans="1:40" ht="38.25" hidden="1">
      <c r="A13" s="8">
        <v>12</v>
      </c>
      <c r="B13" s="11">
        <v>44969.797774722218</v>
      </c>
      <c r="C13" s="8" t="s">
        <v>452</v>
      </c>
      <c r="D13" s="8" t="s">
        <v>453</v>
      </c>
      <c r="E13" s="8" t="s">
        <v>452</v>
      </c>
      <c r="F13" s="8" t="s">
        <v>454</v>
      </c>
      <c r="G13" s="8" t="str">
        <f>", "&amp;'RAW (公開用)'!F13&amp;", "</f>
        <v xml:space="preserve">, ジェンダーフラックス／フラックスジェンダー, クィア／Queer, ジェンダー・ノンコンフォーミング／gender non-conforming, Aジェンダー／エイジェンダー／アジェンダー／agender, ジェンダークィア, **必ず選んでください**, </v>
      </c>
      <c r="H13" s="8" t="s">
        <v>470</v>
      </c>
      <c r="I13" s="8" t="str">
        <f>", "&amp;'RAW (公開用)'!H13&amp;", "</f>
        <v xml:space="preserve">, ちゃん, さん, </v>
      </c>
      <c r="J13" s="8" t="s">
        <v>2335</v>
      </c>
      <c r="K1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13" s="8" t="str">
        <f>", "&amp;'RAW (公開用)'!J13&amp;", "</f>
        <v xml:space="preserve">, -san, （敬称なし）, </v>
      </c>
      <c r="M13" s="8" t="s">
        <v>2335</v>
      </c>
      <c r="N1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13" s="8" t="str">
        <f>", "&amp;'RAW (公開用)'!L13&amp;", "</f>
        <v xml:space="preserve">, 私（わたし／わたくし）, （自分（たち）の名前）, あたし, ぼく, うち, 自分, 僕, わたし, 俺、おれ, </v>
      </c>
      <c r="P13" s="8" t="s">
        <v>2335</v>
      </c>
      <c r="Q1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（自分（たち）の名前）, あたし, ぼく, うち, 自分, 僕, わたし, 俺、おれ,  , </v>
      </c>
      <c r="R13" s="8" t="str">
        <f>", "&amp;'RAW (公開用)'!N13&amp;", "</f>
        <v xml:space="preserve">, 渠（かれ）, 彼人（かのと）, かれ, 彼, 彼人（かのひと）, （自分（たち）の名前）, </v>
      </c>
      <c r="S13" s="8" t="s">
        <v>2335</v>
      </c>
      <c r="T1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渠（かれ）, 彼人（かのと）, かれ, 彼, 彼人（かのひと）, （自分（たち）の名前）,  , </v>
      </c>
      <c r="U13" s="8" t="str">
        <f>", "&amp;'RAW (公開用)'!P13&amp;", "</f>
        <v xml:space="preserve">, ze, they/them/their/themself, </v>
      </c>
      <c r="V13" s="8" t="s">
        <v>455</v>
      </c>
      <c r="W13" s="8" t="str">
        <f>", "&amp;'RAW (公開用)'!R13&amp;", "</f>
        <v xml:space="preserve">, ミスジェンダリング（誤った性別として扱うこと）, 職場や学校における無理解, 家族／かぞくからの無理解, カムアウトできない, LGBTQ+運動からの排斥, </v>
      </c>
      <c r="X13" s="8" t="s">
        <v>257</v>
      </c>
      <c r="Y1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職場や学校における無理解, 家族／かぞくからの無理解, カムアウトできない, LGBTQ+運動からの排斥,  就職活動をする際に不利になるのではないかという不安</v>
      </c>
      <c r="Z13" s="8" t="s">
        <v>455</v>
      </c>
      <c r="AA13" s="8" t="str">
        <f>", "&amp;'RAW (公開用)'!U13&amp;", "</f>
        <v xml:space="preserve">, ホルモン補充療法（HRT）, </v>
      </c>
      <c r="AB13" s="8" t="str">
        <f>", "&amp;'RAW (公開用)'!V13&amp;", "</f>
        <v xml:space="preserve">, （上記のどれも経験していない）, </v>
      </c>
      <c r="AC13" s="8"/>
      <c r="AD1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 s="8" t="s">
        <v>462</v>
      </c>
      <c r="AF13" s="8" t="s">
        <v>457</v>
      </c>
      <c r="AG13" s="8" t="s">
        <v>458</v>
      </c>
      <c r="AH13" s="8"/>
      <c r="AI13" s="8">
        <f t="shared" ref="AI13:AI19" si="0">((LEN(G13)-LEN(SUBSTITUTE(G13,", ","")))/LEN(", ")-1-(LEN(G13)-LEN(SUBSTITUTE(G13,"必ず","")))/LEN("必ず"))+(LEN(H13)-LEN(SUBSTITUTE(H13,",","")))</f>
        <v>8</v>
      </c>
      <c r="AJ13" s="8"/>
      <c r="AK13" s="8"/>
      <c r="AL13" s="8"/>
      <c r="AM13" s="8"/>
      <c r="AN13" s="8"/>
    </row>
    <row r="14" spans="1:40" ht="40.5" hidden="1">
      <c r="A14" s="8">
        <v>79</v>
      </c>
      <c r="B14" s="11">
        <v>44969.925143958331</v>
      </c>
      <c r="C14" s="8" t="s">
        <v>452</v>
      </c>
      <c r="D14" s="8" t="s">
        <v>453</v>
      </c>
      <c r="E14" s="8" t="s">
        <v>452</v>
      </c>
      <c r="F14" s="8" t="s">
        <v>454</v>
      </c>
      <c r="G14" s="8" t="str">
        <f>", "&amp;'RAW (公開用)'!F80&amp;", "</f>
        <v xml:space="preserve">, 不明／わからない, ノンバイナリー女性, シスジェンダー, ノンバイナリー, 女の子／girl, **必ず選んでください**, 女性／woman, </v>
      </c>
      <c r="H14" s="8" t="s">
        <v>506</v>
      </c>
      <c r="I14" s="8" t="str">
        <f>", "&amp;'RAW (公開用)'!H80&amp;", "</f>
        <v xml:space="preserve">, たん, （敬称なし）, ちゃん, さん, くん／君, </v>
      </c>
      <c r="J14" s="17" t="s">
        <v>2341</v>
      </c>
      <c r="K14" s="17"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たん, （敬称なし）, ちゃん, さん, くん／君,  , 相手や関係によって変化,</v>
      </c>
      <c r="L14" s="8" t="str">
        <f>", "&amp;'RAW (公開用)'!J80&amp;", "</f>
        <v xml:space="preserve">, Ms., （敬称なし）, **英語を日常的に使わない**, -san, </v>
      </c>
      <c r="M14" s="8" t="s">
        <v>2335</v>
      </c>
      <c r="N1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（敬称なし）, **英語を日常的に使わない**, -san, , </v>
      </c>
      <c r="O14" s="8" t="str">
        <f>", "&amp;'RAW (公開用)'!L80&amp;", "</f>
        <v xml:space="preserve">, （自分（たち）の名前）, わたし, （時とともに変わる）, （一人称の使用を避ける）, あたし, </v>
      </c>
      <c r="P14" s="73" t="s">
        <v>2442</v>
      </c>
      <c r="Q1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わたし, （時とともに変わる）, （一人称の使用を避ける）, あたし,  , (名前)+ちゃん, (あだ名)+ちゃん,</v>
      </c>
      <c r="R14" s="8" t="str">
        <f>", "&amp;'RAW (公開用)'!N14&amp;", "</f>
        <v xml:space="preserve">, 彼女, （any／問わない／どれでもよい）, （自分（たち）の名前）, </v>
      </c>
      <c r="S14" s="8" t="s">
        <v>2335</v>
      </c>
      <c r="T1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（any／問わない／どれでもよい）, （自分（たち）の名前）,  , </v>
      </c>
      <c r="U14" s="8" t="str">
        <f>", "&amp;'RAW (公開用)'!P80&amp;", "</f>
        <v xml:space="preserve">, she, **英語を日常的に使わない**, they/them/their/themself, </v>
      </c>
      <c r="V14" s="8" t="s">
        <v>455</v>
      </c>
      <c r="W14" s="8" t="str">
        <f>", "&amp;'RAW (公開用)'!R80&amp;", "</f>
        <v xml:space="preserve">, 職場や学校における無理解, </v>
      </c>
      <c r="X14" s="8" t="s">
        <v>246</v>
      </c>
      <c r="Y1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女の子だから〜と言う決めつけでものを言われることがとても不快。ですがこれは自分の性別に確信を持っている人に対してでも良くないことだと思います。</v>
      </c>
      <c r="Z14" s="8" t="s">
        <v>455</v>
      </c>
      <c r="AA14" s="8" t="str">
        <f>", "&amp;'RAW (公開用)'!U80&amp;", "</f>
        <v xml:space="preserve">, （上記のどれも希望していない）, </v>
      </c>
      <c r="AB14" s="8" t="str">
        <f>", "&amp;'RAW (公開用)'!V80&amp;", "</f>
        <v xml:space="preserve">, （上記のどれも経験していない）, </v>
      </c>
      <c r="AC14" s="8"/>
      <c r="AD1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4" s="8" t="s">
        <v>456</v>
      </c>
      <c r="AF14" s="8" t="s">
        <v>457</v>
      </c>
      <c r="AG14" s="8" t="s">
        <v>458</v>
      </c>
      <c r="AH14" s="8"/>
      <c r="AI14" s="8">
        <f t="shared" si="0"/>
        <v>8</v>
      </c>
      <c r="AJ14" s="8"/>
      <c r="AK14" s="8"/>
      <c r="AL14" s="8"/>
      <c r="AM14" s="8"/>
      <c r="AN14" s="8"/>
    </row>
    <row r="15" spans="1:40" ht="51" hidden="1">
      <c r="A15" s="8">
        <v>3</v>
      </c>
      <c r="B15" s="11">
        <v>44969.787866759259</v>
      </c>
      <c r="C15" s="8" t="s">
        <v>452</v>
      </c>
      <c r="D15" s="8" t="s">
        <v>453</v>
      </c>
      <c r="E15" s="8" t="s">
        <v>452</v>
      </c>
      <c r="F15" s="8" t="s">
        <v>454</v>
      </c>
      <c r="G15" s="8" t="str">
        <f>", "&amp;'RAW (公開用)'!F4&amp;", "</f>
        <v xml:space="preserve">, enby／エンビー, ノンバイナリー, **必ず選んでください**, ノンバイナリー男性, </v>
      </c>
      <c r="H15" s="8"/>
      <c r="I15" s="8" t="str">
        <f>", "&amp;'RAW (公開用)'!H4&amp;", "</f>
        <v xml:space="preserve">, （any／問わない／どれでもよい）, </v>
      </c>
      <c r="J15" s="8" t="s">
        <v>2335</v>
      </c>
      <c r="K1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5" s="8" t="str">
        <f>", "&amp;'RAW (公開用)'!J4&amp;", "</f>
        <v xml:space="preserve">, **英語を日常的に使わない**, </v>
      </c>
      <c r="M15" s="8" t="s">
        <v>2335</v>
      </c>
      <c r="N1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5" s="8" t="str">
        <f>", "&amp;'RAW (公開用)'!L4&amp;", "</f>
        <v xml:space="preserve">, 私（わたし／わたくし）, わたし, </v>
      </c>
      <c r="P15" s="8" t="s">
        <v>2335</v>
      </c>
      <c r="Q1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15" s="8" t="str">
        <f>", "&amp;'RAW (公開用)'!N15&amp;", "</f>
        <v xml:space="preserve">, （自分（たち）の名前）, （any／問わない／どれでもよい）, </v>
      </c>
      <c r="S15" s="16" t="s">
        <v>2350</v>
      </c>
      <c r="T1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（any／問わない／どれでもよい）,  , このような人,</v>
      </c>
      <c r="U15" s="8" t="str">
        <f>", "&amp;'RAW (公開用)'!P4&amp;", "</f>
        <v xml:space="preserve">, **英語を日常的に使わない**, </v>
      </c>
      <c r="V15" s="8" t="s">
        <v>455</v>
      </c>
      <c r="W15" s="8" t="str">
        <f>", "&amp;'RAW (公開用)'!R4&amp;", "</f>
        <v xml:space="preserve">, 必要なジェンダーケアへアクセスできない, デッドネーミング（誤った名前で呼ばれること）, 医療における無理解, 職場や学校における無理解, 家族／かぞくからの無理解, アウティング（勝手にジェンダーや指向についての情報を明かされること）, カムアウトできない, 社会の中でいないことにされる, </v>
      </c>
      <c r="X15" s="8"/>
      <c r="Y1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デッドネーミング（誤った名前で呼ばれること）, 医療における無理解, 職場や学校における無理解, 家族／かぞくからの無理解, アウティング（勝手にジェンダーや指向についての情報を明かされること）, カムアウトできない, 社会の中でいないことにされる,  </v>
      </c>
      <c r="Z15" s="8" t="s">
        <v>455</v>
      </c>
      <c r="AA15" s="8" t="str">
        <f>", "&amp;'RAW (公開用)'!U4&amp;", "</f>
        <v xml:space="preserve">, （上記のどれも希望していない）, </v>
      </c>
      <c r="AB15" s="8" t="str">
        <f>", "&amp;'RAW (公開用)'!V4&amp;", "</f>
        <v xml:space="preserve">, （上記のどれも経験していない）, </v>
      </c>
      <c r="AC15" s="8"/>
      <c r="AD1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5" s="8" t="s">
        <v>461</v>
      </c>
      <c r="AF15" s="8" t="s">
        <v>457</v>
      </c>
      <c r="AG15" s="8" t="s">
        <v>458</v>
      </c>
      <c r="AH15" s="8"/>
      <c r="AI15" s="8">
        <f t="shared" si="0"/>
        <v>3</v>
      </c>
      <c r="AJ15" s="8"/>
      <c r="AK15" s="8"/>
      <c r="AL15" s="8"/>
      <c r="AM15" s="8"/>
      <c r="AN15" s="8"/>
    </row>
    <row r="16" spans="1:40" ht="25.5" hidden="1">
      <c r="A16" s="8">
        <v>15</v>
      </c>
      <c r="B16" s="11">
        <v>44969.804518368052</v>
      </c>
      <c r="C16" s="8" t="s">
        <v>452</v>
      </c>
      <c r="D16" s="8" t="s">
        <v>453</v>
      </c>
      <c r="E16" s="8" t="s">
        <v>452</v>
      </c>
      <c r="F16" s="8" t="s">
        <v>454</v>
      </c>
      <c r="G16" s="8" t="str">
        <f>", "&amp;'RAW (公開用)'!F16&amp;", "</f>
        <v xml:space="preserve">, Aジェンダー／エイジェンダー／アジェンダー／agender, **必ず選んでください**, ノンバイナリー, クィア／Queer, </v>
      </c>
      <c r="H16" s="8"/>
      <c r="I16" s="8" t="str">
        <f>", "&amp;'RAW (公開用)'!H16&amp;", "</f>
        <v xml:space="preserve">, （any／問わない／どれでもよい）, </v>
      </c>
      <c r="J16" s="8" t="s">
        <v>2335</v>
      </c>
      <c r="K1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6" s="8" t="str">
        <f>", "&amp;'RAW (公開用)'!J16&amp;", "</f>
        <v xml:space="preserve">, **英語を日常的に使わない**, </v>
      </c>
      <c r="M16" s="8" t="s">
        <v>2335</v>
      </c>
      <c r="N1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 s="8" t="str">
        <f>", "&amp;'RAW (公開用)'!L16&amp;", "</f>
        <v xml:space="preserve">, わたし, </v>
      </c>
      <c r="P16" s="8" t="s">
        <v>2335</v>
      </c>
      <c r="Q1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6" s="8" t="str">
        <f>", "&amp;'RAW (公開用)'!N16&amp;", "</f>
        <v xml:space="preserve">, （自分（たち）の名前）, （any／問わない／どれでもよい）, </v>
      </c>
      <c r="S16" s="8" t="s">
        <v>2335</v>
      </c>
      <c r="T1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16" s="8" t="str">
        <f>", "&amp;'RAW (公開用)'!P16&amp;", "</f>
        <v xml:space="preserve">, **英語を日常的に使わない**, </v>
      </c>
      <c r="V16" s="8" t="s">
        <v>455</v>
      </c>
      <c r="W16" s="8" t="str">
        <f>", "&amp;'RAW (公開用)'!R16&amp;", "</f>
        <v xml:space="preserve">, 社会の中でいないことにされる, ミスジェンダリング（誤った性別として扱うこと）, 性暴力, </v>
      </c>
      <c r="X16" s="8"/>
      <c r="Y1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性暴力,  </v>
      </c>
      <c r="Z16" s="8" t="s">
        <v>472</v>
      </c>
      <c r="AA16" s="8" t="s">
        <v>2174</v>
      </c>
      <c r="AB16" s="105" t="s">
        <v>2443</v>
      </c>
      <c r="AC16" s="8"/>
      <c r="AD1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6" s="8" t="s">
        <v>475</v>
      </c>
      <c r="AF16" s="8" t="s">
        <v>457</v>
      </c>
      <c r="AG16" s="8" t="s">
        <v>458</v>
      </c>
      <c r="AH16" s="8"/>
      <c r="AI16" s="8">
        <f t="shared" si="0"/>
        <v>3</v>
      </c>
      <c r="AJ16" s="8"/>
      <c r="AK16" s="8"/>
      <c r="AL16" s="8"/>
      <c r="AM16" s="8"/>
      <c r="AN16" s="8"/>
    </row>
    <row r="17" spans="1:40" ht="51" hidden="1">
      <c r="A17" s="8">
        <v>16</v>
      </c>
      <c r="B17" s="11">
        <v>44969.805731701388</v>
      </c>
      <c r="C17" s="8" t="s">
        <v>452</v>
      </c>
      <c r="D17" s="8" t="s">
        <v>453</v>
      </c>
      <c r="E17" s="8" t="s">
        <v>452</v>
      </c>
      <c r="F17" s="8" t="s">
        <v>454</v>
      </c>
      <c r="G17" s="8" t="str">
        <f>", "&amp;'RAW (公開用)'!F17&amp;", "</f>
        <v xml:space="preserve">, 不明／わからない, ジェンダーヴォイド／gendervoid, クエスチョニング, ジェンダー・ノンコンフォーミング／gender non-conforming, ノンバイナリー, Aジェンダー／エイジェンダー／アジェンダー／agender, **必ず選んでください**, デミAジェンダー, Xジェンダー, </v>
      </c>
      <c r="H17" s="8" t="s">
        <v>476</v>
      </c>
      <c r="I17" s="8" t="str">
        <f>", "&amp;'RAW (公開用)'!H17&amp;", "</f>
        <v xml:space="preserve">, （クエスチョニング、模索中、または不明）, （any／問わない／どれでもよい）, さん, </v>
      </c>
      <c r="J17" s="8" t="s">
        <v>2335</v>
      </c>
      <c r="K1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（any／問わない／どれでもよい）, さん,  , </v>
      </c>
      <c r="L17" s="8" t="str">
        <f>", "&amp;'RAW (公開用)'!J17&amp;", "</f>
        <v xml:space="preserve">, **英語を日常的に使わない**, </v>
      </c>
      <c r="M17" s="8" t="s">
        <v>2335</v>
      </c>
      <c r="N1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7" s="8" t="str">
        <f>", "&amp;'RAW (公開用)'!L17&amp;", "</f>
        <v xml:space="preserve">, 俺, </v>
      </c>
      <c r="P17" s="8" t="s">
        <v>2335</v>
      </c>
      <c r="Q1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 </v>
      </c>
      <c r="R17" s="8" t="str">
        <f>", "&amp;'RAW (公開用)'!N17&amp;", "</f>
        <v xml:space="preserve">, （自分（たち）の名前）, 彼人（かのひと）, （any／問わない／どれでもよい）, </v>
      </c>
      <c r="S17" s="8" t="s">
        <v>2335</v>
      </c>
      <c r="T1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彼人（かのひと）, （any／問わない／どれでもよい）,  , </v>
      </c>
      <c r="U17" s="8" t="str">
        <f>", "&amp;'RAW (公開用)'!P17&amp;", "</f>
        <v xml:space="preserve">, **英語を日常的に使わない**, </v>
      </c>
      <c r="V17" s="8" t="s">
        <v>455</v>
      </c>
      <c r="W17" s="8" t="str">
        <f>", "&amp;'RAW (公開用)'!R17&amp;", "</f>
        <v xml:space="preserve">, 性暴力, 家族／かぞくからの無理解, 職場や学校における無理解, 社会の中でいないことにされる, </v>
      </c>
      <c r="X17" s="8"/>
      <c r="Y1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家族／かぞくからの無理解, 職場や学校における無理解, 社会の中でいないことにされる,  </v>
      </c>
      <c r="Z17" s="8" t="s">
        <v>455</v>
      </c>
      <c r="AA17" s="8" t="str">
        <f>", "&amp;'RAW (公開用)'!U17&amp;", "</f>
        <v xml:space="preserve">, ジェンダークリニックの受診, 胸部の手術, 性器にかかわる手術, </v>
      </c>
      <c r="AB17" s="8" t="str">
        <f>", "&amp;'RAW (公開用)'!V17&amp;", "</f>
        <v xml:space="preserve">, （上記のどれも経験していない）, </v>
      </c>
      <c r="AC17" s="8"/>
      <c r="AD1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 s="8" t="s">
        <v>461</v>
      </c>
      <c r="AF17" s="8" t="s">
        <v>457</v>
      </c>
      <c r="AG17" s="8" t="s">
        <v>458</v>
      </c>
      <c r="AH17" s="8" t="s">
        <v>477</v>
      </c>
      <c r="AI17" s="8">
        <f t="shared" si="0"/>
        <v>9</v>
      </c>
      <c r="AJ17" s="8"/>
      <c r="AK17" s="8"/>
      <c r="AL17" s="8"/>
      <c r="AM17" s="8"/>
      <c r="AN17" s="8"/>
    </row>
    <row r="18" spans="1:40" ht="25.5" hidden="1">
      <c r="A18" s="8">
        <v>17</v>
      </c>
      <c r="B18" s="11">
        <v>44969.808310138891</v>
      </c>
      <c r="C18" s="8" t="s">
        <v>452</v>
      </c>
      <c r="D18" s="8" t="s">
        <v>453</v>
      </c>
      <c r="E18" s="8" t="s">
        <v>452</v>
      </c>
      <c r="F18" s="8" t="s">
        <v>454</v>
      </c>
      <c r="G18" s="8" t="str">
        <f>", "&amp;'RAW (公開用)'!F18&amp;", "</f>
        <v xml:space="preserve">, Aジェンダー／エイジェンダー／アジェンダー／agender, </v>
      </c>
      <c r="H18" s="8"/>
      <c r="I18" s="8" t="str">
        <f>", "&amp;'RAW (公開用)'!H18&amp;", "</f>
        <v xml:space="preserve">, ちゃん, </v>
      </c>
      <c r="J18" s="8" t="s">
        <v>2335</v>
      </c>
      <c r="K1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 </v>
      </c>
      <c r="L18" s="8" t="str">
        <f>", "&amp;'RAW (公開用)'!J18&amp;", "</f>
        <v xml:space="preserve">, **英語を日常的に使わない**, </v>
      </c>
      <c r="M18" s="8" t="s">
        <v>2335</v>
      </c>
      <c r="N1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 s="8" t="str">
        <f>", "&amp;'RAW (公開用)'!L18&amp;", "</f>
        <v xml:space="preserve">, （自分（たち）の名前）, </v>
      </c>
      <c r="P18" s="8" t="s">
        <v>2335</v>
      </c>
      <c r="Q1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 </v>
      </c>
      <c r="R18" s="8" t="str">
        <f>", "&amp;'RAW (公開用)'!N18&amp;", "</f>
        <v xml:space="preserve">, （自分（たち）の名前）, </v>
      </c>
      <c r="S18" s="8" t="s">
        <v>2335</v>
      </c>
      <c r="T1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8" s="8" t="str">
        <f>", "&amp;'RAW (公開用)'!P18&amp;", "</f>
        <v xml:space="preserve">, they/them/their/themself, </v>
      </c>
      <c r="V18" s="8" t="s">
        <v>455</v>
      </c>
      <c r="W18" s="8" t="str">
        <f>", "&amp;'RAW (公開用)'!R18&amp;", "</f>
        <v xml:space="preserve">, 職場や学校における無理解, 医療における無理解, 社会の中でいないことにされる, ミスジェンダリング（誤った性別として扱うこと）, </v>
      </c>
      <c r="X18" s="8"/>
      <c r="Y1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医療における無理解, 社会の中でいないことにされる, ミスジェンダリング（誤った性別として扱うこと）,  </v>
      </c>
      <c r="Z18" s="8" t="s">
        <v>455</v>
      </c>
      <c r="AA18" s="8" t="str">
        <f>", "&amp;'RAW (公開用)'!U18&amp;", "</f>
        <v xml:space="preserve">, 胸部の手術, </v>
      </c>
      <c r="AB18" s="8" t="str">
        <f>", "&amp;'RAW (公開用)'!V18&amp;", "</f>
        <v xml:space="preserve">, （上記のどれも経験していない）, </v>
      </c>
      <c r="AC18" s="8"/>
      <c r="AD1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 s="8" t="s">
        <v>462</v>
      </c>
      <c r="AF18" s="8" t="s">
        <v>457</v>
      </c>
      <c r="AG18" s="8" t="s">
        <v>458</v>
      </c>
      <c r="AH18" s="8"/>
      <c r="AI18" s="8">
        <f t="shared" si="0"/>
        <v>1</v>
      </c>
      <c r="AJ18" s="8"/>
      <c r="AK18" s="8"/>
      <c r="AL18" s="8"/>
      <c r="AM18" s="8"/>
      <c r="AN18" s="8"/>
    </row>
    <row r="19" spans="1:40" ht="51" hidden="1">
      <c r="A19" s="8">
        <v>18</v>
      </c>
      <c r="B19" s="11">
        <v>44969.808456886574</v>
      </c>
      <c r="C19" s="8" t="s">
        <v>452</v>
      </c>
      <c r="D19" s="8" t="s">
        <v>453</v>
      </c>
      <c r="E19" s="8" t="s">
        <v>452</v>
      </c>
      <c r="F19" s="8" t="s">
        <v>454</v>
      </c>
      <c r="G19" s="8" t="str">
        <f>", "&amp;'RAW (公開用)'!F19&amp;", "</f>
        <v xml:space="preserve">, **必ず選んでください**, デミAジェンダー, ニュートラル, X, 不明／わからない, Aジェンダー／エイジェンダー／アジェンダー／agender, ジェンダー・ノンコンフォーミング／gender non-conforming, ジェンダークィア, クエスチョニング, ノンバイナリー, 無性, 無し, Xジェンダー, </v>
      </c>
      <c r="H19" s="8"/>
      <c r="I19" s="8" t="str">
        <f>", "&amp;'RAW (公開用)'!H19&amp;", "</f>
        <v xml:space="preserve">, さん, </v>
      </c>
      <c r="J19" s="8" t="s">
        <v>2335</v>
      </c>
      <c r="K1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9" s="8" t="str">
        <f>", "&amp;'RAW (公開用)'!J19&amp;", "</f>
        <v xml:space="preserve">, **英語を日常的に使わない**, </v>
      </c>
      <c r="M19" s="8" t="s">
        <v>2335</v>
      </c>
      <c r="N1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 s="8" t="str">
        <f>", "&amp;'RAW (公開用)'!L19&amp;", "</f>
        <v xml:space="preserve">, 自分, 私（わたし／わたくし）, わたし, </v>
      </c>
      <c r="P19" s="8" t="s">
        <v>2335</v>
      </c>
      <c r="Q1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 </v>
      </c>
      <c r="R19" s="8" t="str">
        <f>", "&amp;'RAW (公開用)'!N19&amp;", "</f>
        <v xml:space="preserve">, （三人称で言及してほしくない）, </v>
      </c>
      <c r="S19" s="8" t="s">
        <v>2335</v>
      </c>
      <c r="T1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9" s="8" t="str">
        <f>", "&amp;'RAW (公開用)'!P19&amp;", "</f>
        <v xml:space="preserve">, **英語を日常的に使わない**, </v>
      </c>
      <c r="V19" s="8" t="s">
        <v>455</v>
      </c>
      <c r="W19" s="8" t="str">
        <f>", "&amp;'RAW (公開用)'!R19&amp;", "</f>
        <v xml:space="preserve">, カムアウトできない, </v>
      </c>
      <c r="X19" s="8"/>
      <c r="Y1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v>
      </c>
      <c r="Z19" s="8" t="s">
        <v>472</v>
      </c>
      <c r="AA19" s="8" t="s">
        <v>2174</v>
      </c>
      <c r="AB19" s="105" t="s">
        <v>2443</v>
      </c>
      <c r="AC19" s="8"/>
      <c r="AD1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9" s="8" t="s">
        <v>459</v>
      </c>
      <c r="AF19" s="8" t="s">
        <v>457</v>
      </c>
      <c r="AG19" s="8" t="s">
        <v>458</v>
      </c>
      <c r="AH19" s="8"/>
      <c r="AI19" s="8">
        <f t="shared" si="0"/>
        <v>12</v>
      </c>
      <c r="AJ19" s="8"/>
      <c r="AK19" s="8"/>
      <c r="AL19" s="8"/>
      <c r="AM19" s="8"/>
      <c r="AN19" s="8"/>
    </row>
    <row r="20" spans="1:40" ht="63.75" hidden="1">
      <c r="A20" s="8">
        <v>239</v>
      </c>
      <c r="B20" s="11">
        <v>44972.02890873843</v>
      </c>
      <c r="C20" s="8" t="s">
        <v>452</v>
      </c>
      <c r="D20" s="8" t="s">
        <v>453</v>
      </c>
      <c r="E20" s="8" t="s">
        <v>452</v>
      </c>
      <c r="F20" s="8" t="s">
        <v>454</v>
      </c>
      <c r="G20" s="8" t="str">
        <f>", "&amp;'RAW (公開用)'!F240&amp;", "</f>
        <v xml:space="preserve">, クィア／Queer, **必ず選んでください**, ジェンダー・ノンコンフォーミング／gender non-conforming, ノンバイナリー, </v>
      </c>
      <c r="H20" s="8"/>
      <c r="I20" s="8" t="str">
        <f>", "&amp;'RAW (公開用)'!H240&amp;", "</f>
        <v xml:space="preserve">, さん, （敬称なし）, </v>
      </c>
      <c r="J20" s="8" t="s">
        <v>2335</v>
      </c>
      <c r="K2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20" s="8" t="str">
        <f>", "&amp;'RAW (公開用)'!J240&amp;", "</f>
        <v xml:space="preserve">, Mx., Dr.など、職業などにかかわるもの, -san, </v>
      </c>
      <c r="M20" s="8" t="s">
        <v>2335</v>
      </c>
      <c r="N2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Dr.など、職業などにかかわるもの, -san, , </v>
      </c>
      <c r="O20" s="8" t="str">
        <f>", "&amp;'RAW (公開用)'!L240&amp;", "</f>
        <v xml:space="preserve">, （一人称の使用を避ける）, うち, 自分, 私（わたし／わたくし）, （自分（たち）の名前）, （クエスチョニング、模索中、または不明）, 俺, おれ, </v>
      </c>
      <c r="P20" s="16" t="s">
        <v>2380</v>
      </c>
      <c r="Q2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（一人称の使用を避ける）, うち, 自分, 私（わたし／わたくし）, （自分（たち）の名前）, （クエスチョニング、模索中、または不明）, 俺, おれ,  , 納得のいく代名詞はない,</v>
      </c>
      <c r="R20" s="8" t="str">
        <f>", "&amp;'RAW (公開用)'!N20&amp;", "</f>
        <v xml:space="preserve">, （自分（たち）の名前）, </v>
      </c>
      <c r="S20" s="8" t="s">
        <v>2335</v>
      </c>
      <c r="T2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0" s="8" t="str">
        <f>", "&amp;'RAW (公開用)'!P240&amp;", "</f>
        <v xml:space="preserve">, they/them/their/themselves, </v>
      </c>
      <c r="V20" s="8" t="s">
        <v>455</v>
      </c>
      <c r="W20" s="8" t="str">
        <f>", "&amp;'RAW (公開用)'!R240&amp;", "</f>
        <v xml:space="preserve">, カムアウトを強制される, 家族／かぞくからの無理解, 性暴力, LGBTQ+運動からの排斥, ミスジェンダリング（誤った性別として扱うこと）, 必要なジェンダーケアへアクセスできない, 職場や学校における無理解, 社会の中でいないことにされる, アウティング（勝手にジェンダーや指向についての情報を明かされること）, 医療における無理解, デッドネーミング（誤った名前で呼ばれること）, </v>
      </c>
      <c r="X20" s="8"/>
      <c r="Y2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家族／かぞくからの無理解, 性暴力, LGBTQ+運動からの排斥, ミスジェンダリング（誤った性別として扱うこと）, 必要なジェンダーケアへアクセスできない, 職場や学校における無理解, 社会の中でいないことにされる, アウティング（勝手にジェンダーや指向についての情報を明かされること）, 医療における無理解, デッドネーミング（誤った名前で呼ばれること）,  </v>
      </c>
      <c r="Z20" s="8" t="s">
        <v>455</v>
      </c>
      <c r="AA20" s="8" t="str">
        <f>", "&amp;'RAW (公開用)'!U240&amp;", "</f>
        <v xml:space="preserve">, 胸部の手術, 性器にかかわる手術, </v>
      </c>
      <c r="AB20" s="8" t="str">
        <f>", "&amp;'RAW (公開用)'!V240&amp;", "</f>
        <v xml:space="preserve">, （上記のどれも経験していない）, </v>
      </c>
      <c r="AC20" s="8" t="s">
        <v>406</v>
      </c>
      <c r="AD2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ただ自分の性別に合わせたいだけなのに金額が高い。家族にカムアウトする気はなのに手術すればどうしてもバレてしまうので選べない。</v>
      </c>
      <c r="AE20" s="8" t="s">
        <v>459</v>
      </c>
      <c r="AF20" s="8" t="s">
        <v>457</v>
      </c>
      <c r="AG20" s="8" t="s">
        <v>458</v>
      </c>
      <c r="AH20" s="8"/>
      <c r="AI20" s="8">
        <f>(LEN(G20)-LEN(SUBSTITUTE(G20,", ","")))/LEN(", ")-1-(LEN(G20)-LEN(SUBSTITUTE(G20,"必ず","")))/LEN("必ず")</f>
        <v>3</v>
      </c>
      <c r="AJ20" s="8"/>
      <c r="AK20" s="8"/>
      <c r="AL20" s="8"/>
      <c r="AM20" s="8"/>
      <c r="AN20" s="8"/>
    </row>
    <row r="21" spans="1:40" ht="38.25" hidden="1">
      <c r="A21" s="8">
        <v>20</v>
      </c>
      <c r="B21" s="11">
        <v>44969.813924756949</v>
      </c>
      <c r="C21" s="8" t="s">
        <v>452</v>
      </c>
      <c r="D21" s="8" t="s">
        <v>453</v>
      </c>
      <c r="E21" s="8" t="s">
        <v>452</v>
      </c>
      <c r="F21" s="8" t="s">
        <v>454</v>
      </c>
      <c r="G21" s="8" t="str">
        <f>", "&amp;'RAW (公開用)'!F21&amp;", "</f>
        <v xml:space="preserve">, **必ず選んでください**, ノンバイナリー, クエスチョニング, </v>
      </c>
      <c r="H21" s="8"/>
      <c r="I21" s="8" t="str">
        <f>", "&amp;'RAW (公開用)'!H21&amp;", "</f>
        <v xml:space="preserve">, さん, くん／君, </v>
      </c>
      <c r="J21" s="8" t="s">
        <v>2335</v>
      </c>
      <c r="K2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21" s="8" t="str">
        <f>", "&amp;'RAW (公開用)'!J21&amp;", "</f>
        <v xml:space="preserve">, （クエスチョニング、模索中、または不明）, </v>
      </c>
      <c r="M21" s="8" t="s">
        <v>2335</v>
      </c>
      <c r="N2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 </v>
      </c>
      <c r="O21" s="8" t="str">
        <f>", "&amp;'RAW (公開用)'!L21&amp;", "</f>
        <v xml:space="preserve">, 私（わたし／わたくし）, ぼく, </v>
      </c>
      <c r="P21" s="8" t="s">
        <v>2335</v>
      </c>
      <c r="Q2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ぼく,  , </v>
      </c>
      <c r="R21" s="8" t="str">
        <f>", "&amp;'RAW (公開用)'!N21&amp;", "</f>
        <v xml:space="preserve">, （三人称で言及してほしくない）, </v>
      </c>
      <c r="S21" s="8" t="s">
        <v>2335</v>
      </c>
      <c r="T2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1" s="8" t="str">
        <f>", "&amp;'RAW (公開用)'!P21&amp;", "</f>
        <v xml:space="preserve">, he, they/them/their/themselves, </v>
      </c>
      <c r="V21" s="8" t="s">
        <v>455</v>
      </c>
      <c r="W21" s="8" t="str">
        <f>", "&amp;'RAW (公開用)'!R21&amp;", "</f>
        <v xml:space="preserve">, LGBTQ+運動からの排斥, 職場や学校における無理解, ミスジェンダリング（誤った性別として扱うこと）, デッドネーミング（誤った名前で呼ばれること）, カムアウトできない, </v>
      </c>
      <c r="X21" s="8"/>
      <c r="Y2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職場や学校における無理解, ミスジェンダリング（誤った性別として扱うこと）, デッドネーミング（誤った名前で呼ばれること）, カムアウトできない,  </v>
      </c>
      <c r="Z21" s="8" t="s">
        <v>455</v>
      </c>
      <c r="AA21" s="8" t="str">
        <f>", "&amp;'RAW (公開用)'!U21&amp;", "</f>
        <v xml:space="preserve">, （上記のどれも希望していない）, </v>
      </c>
      <c r="AB21" s="8" t="str">
        <f>", "&amp;'RAW (公開用)'!V21&amp;", "</f>
        <v xml:space="preserve">, （上記のどれも経験していない）, </v>
      </c>
      <c r="AC21" s="8"/>
      <c r="AD2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1" s="8" t="s">
        <v>462</v>
      </c>
      <c r="AF21" s="8" t="s">
        <v>457</v>
      </c>
      <c r="AG21" s="8" t="s">
        <v>458</v>
      </c>
      <c r="AH21" s="8"/>
      <c r="AI21" s="8">
        <f>((LEN(G21)-LEN(SUBSTITUTE(G21,", ","")))/LEN(", ")-1-(LEN(G21)-LEN(SUBSTITUTE(G21,"必ず","")))/LEN("必ず"))+(LEN(H21)-LEN(SUBSTITUTE(H21,",","")))</f>
        <v>2</v>
      </c>
      <c r="AJ21" s="8"/>
      <c r="AK21" s="8"/>
      <c r="AL21" s="8"/>
      <c r="AM21" s="8"/>
      <c r="AN21" s="8"/>
    </row>
    <row r="22" spans="1:40" ht="25.5" hidden="1">
      <c r="A22" s="8">
        <v>21</v>
      </c>
      <c r="B22" s="11">
        <v>44969.814646157407</v>
      </c>
      <c r="C22" s="8" t="s">
        <v>452</v>
      </c>
      <c r="D22" s="8" t="s">
        <v>453</v>
      </c>
      <c r="E22" s="8" t="s">
        <v>452</v>
      </c>
      <c r="F22" s="8" t="s">
        <v>454</v>
      </c>
      <c r="G22" s="8" t="str">
        <f>", "&amp;'RAW (公開用)'!F22&amp;", "</f>
        <v xml:space="preserve">, 中性, 無し, **必ず選んでください**, クエスチョニング, 女性／woman, 不明／わからない, ノンバイナリー女性, ノンバイナリー, 青年, </v>
      </c>
      <c r="H22" s="8"/>
      <c r="I22" s="8" t="str">
        <f>", "&amp;'RAW (公開用)'!H22&amp;", "</f>
        <v xml:space="preserve">, さん, </v>
      </c>
      <c r="J22" s="8" t="s">
        <v>2335</v>
      </c>
      <c r="K2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2" s="8" t="str">
        <f>", "&amp;'RAW (公開用)'!J22&amp;", "</f>
        <v xml:space="preserve">, **英語を日常的に使わない**, </v>
      </c>
      <c r="M22" s="8" t="s">
        <v>2335</v>
      </c>
      <c r="N2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 s="8" t="str">
        <f>", "&amp;'RAW (公開用)'!L22&amp;", "</f>
        <v xml:space="preserve">, わたし, おれ, 自分, ぼく, 私（わたし／わたくし）, わし, </v>
      </c>
      <c r="P22" s="8" t="s">
        <v>2335</v>
      </c>
      <c r="Q2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おれ, 自分, ぼく, 私（わたし／わたくし）, わし,  , </v>
      </c>
      <c r="R22" s="8" t="str">
        <f>", "&amp;'RAW (公開用)'!N22&amp;", "</f>
        <v xml:space="preserve">, かれ, 彼, </v>
      </c>
      <c r="S22" s="8" t="s">
        <v>2335</v>
      </c>
      <c r="T2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彼,  , </v>
      </c>
      <c r="U22" s="8" t="str">
        <f>", "&amp;'RAW (公開用)'!P22&amp;", "</f>
        <v xml:space="preserve">, **英語を日常的に使わない**, </v>
      </c>
      <c r="V22" s="8" t="s">
        <v>455</v>
      </c>
      <c r="W22" s="8" t="str">
        <f>", "&amp;'RAW (公開用)'!R22&amp;", "</f>
        <v xml:space="preserve">, 職場や学校における無理解, 性暴力, 社会の中でいないことにされる, </v>
      </c>
      <c r="X22" s="8"/>
      <c r="Y2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性暴力, 社会の中でいないことにされる,  </v>
      </c>
      <c r="Z22" s="8" t="s">
        <v>455</v>
      </c>
      <c r="AA22" s="8" t="str">
        <f>", "&amp;'RAW (公開用)'!U22&amp;", "</f>
        <v xml:space="preserve">, 胸部の手術, </v>
      </c>
      <c r="AB22" s="8" t="str">
        <f>", "&amp;'RAW (公開用)'!V22&amp;", "</f>
        <v xml:space="preserve">, （上記のどれも経験していない）, </v>
      </c>
      <c r="AC22" s="8"/>
      <c r="AD2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2" s="8" t="s">
        <v>456</v>
      </c>
      <c r="AF22" s="8" t="s">
        <v>457</v>
      </c>
      <c r="AG22" s="8" t="s">
        <v>458</v>
      </c>
      <c r="AH22" s="8"/>
      <c r="AI22" s="8">
        <f>((LEN(G22)-LEN(SUBSTITUTE(G22,", ","")))/LEN(", ")-1-(LEN(G22)-LEN(SUBSTITUTE(G22,"必ず","")))/LEN("必ず"))+(LEN(H22)-LEN(SUBSTITUTE(H22,",","")))</f>
        <v>8</v>
      </c>
      <c r="AJ22" s="8"/>
      <c r="AK22" s="8"/>
      <c r="AL22" s="8"/>
      <c r="AM22" s="8"/>
      <c r="AN22" s="8"/>
    </row>
    <row r="23" spans="1:40" ht="63.75" hidden="1">
      <c r="A23" s="8">
        <v>411</v>
      </c>
      <c r="B23" s="11">
        <v>44993.216773576394</v>
      </c>
      <c r="C23" s="8" t="s">
        <v>452</v>
      </c>
      <c r="D23" s="8" t="s">
        <v>453</v>
      </c>
      <c r="E23" s="8" t="s">
        <v>452</v>
      </c>
      <c r="F23" s="8" t="s">
        <v>454</v>
      </c>
      <c r="G23" s="8" t="str">
        <f>", "&amp;'RAW (公開用)'!F412&amp;", "</f>
        <v xml:space="preserve">, enby／エンビー, ジェンダークィア, ノンバイナリー, </v>
      </c>
      <c r="H23" s="8"/>
      <c r="I23" s="8" t="str">
        <f>", "&amp;'RAW (公開用)'!H412&amp;", "</f>
        <v xml:space="preserve">, ちゃん, くん／君, さん, </v>
      </c>
      <c r="J23" s="8" t="s">
        <v>2335</v>
      </c>
      <c r="K2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くん／君, さん,  , </v>
      </c>
      <c r="L23" s="8" t="str">
        <f>", "&amp;'RAW (公開用)'!J412&amp;", "</f>
        <v xml:space="preserve">, Mx., （敬称なし）, </v>
      </c>
      <c r="M23" s="8" t="s">
        <v>2335</v>
      </c>
      <c r="N2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（敬称なし）, , </v>
      </c>
      <c r="O23" s="8" t="str">
        <f>", "&amp;'RAW (公開用)'!L412&amp;", "</f>
        <v xml:space="preserve">, 僕, 私（わたし／わたくし）, わたし, わし, </v>
      </c>
      <c r="P23" s="8" t="s">
        <v>2335</v>
      </c>
      <c r="Q2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私（わたし／わたくし）, わたし, わし,  , </v>
      </c>
      <c r="R23" s="8" t="str">
        <f>", "&amp;'RAW (公開用)'!N23&amp;", "</f>
        <v xml:space="preserve">, 彼人（かのひと）, （自分（たち）の名前）, </v>
      </c>
      <c r="S23" s="8" t="s">
        <v>2351</v>
      </c>
      <c r="T2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彼人（かのひと）, （自分（たち）の名前）,  , {この/その/あの}+人，{この/その/あの}+人,</v>
      </c>
      <c r="U23" s="8" t="str">
        <f>", "&amp;'RAW (公開用)'!P412&amp;", "</f>
        <v xml:space="preserve">, xe, they/them/their/themself, ey/em (Elverson), </v>
      </c>
      <c r="V23" s="8" t="s">
        <v>455</v>
      </c>
      <c r="W23" s="8" t="str">
        <f>", "&amp;'RAW (公開用)'!R412&amp;", "</f>
        <v xml:space="preserve">, 医療における無理解, アウティング（勝手にジェンダーや指向についての情報を明かされること）, 必要なジェンダーケアへアクセスできない, ミスジェンダリング（誤った性別として扱うこと）, トイレなどのジェンダー化されたスペースの使用, </v>
      </c>
      <c r="X23" s="8"/>
      <c r="Y2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アウティング（勝手にジェンダーや指向についての情報を明かされること）, 必要なジェンダーケアへアクセスできない, ミスジェンダリング（誤った性別として扱うこと）, トイレなどのジェンダー化されたスペースの使用,  </v>
      </c>
      <c r="Z23" s="8" t="s">
        <v>455</v>
      </c>
      <c r="AA23" s="8" t="str">
        <f>", "&amp;'RAW (公開用)'!U412&amp;", "</f>
        <v xml:space="preserve">, 戸籍上の性別の変更, ジェンダークリニックの受診, </v>
      </c>
      <c r="AB23" s="8" t="str">
        <f>", "&amp;'RAW (公開用)'!V412&amp;", "</f>
        <v xml:space="preserve">, （上記のどれも経験していない）, </v>
      </c>
      <c r="AC23" s="8" t="s">
        <v>355</v>
      </c>
      <c r="AD2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籍制度のない国に居住しているため，戸籍上の性別=パスポート上の性別(または法的な性別)と読み替えて回答しました。ジェンダークリニックの受診については，GPへの紹介依頼は2年前に済ませておりウェイトリストには載せてもらっていますが，ジェンダークリニック自体への受診はまだのため未経験と回答しました。</v>
      </c>
      <c r="AE23" s="8" t="s">
        <v>459</v>
      </c>
      <c r="AF23" s="8" t="s">
        <v>631</v>
      </c>
      <c r="AG23" s="8" t="s">
        <v>452</v>
      </c>
      <c r="AH23" s="8" t="s">
        <v>632</v>
      </c>
      <c r="AI23" s="8">
        <f>(LEN(G23)-LEN(SUBSTITUTE(G23,", ","")))/LEN(", ")-1-(LEN(G23)-LEN(SUBSTITUTE(G23,"必ず","")))/LEN("必ず")</f>
        <v>3</v>
      </c>
      <c r="AJ23" s="8"/>
      <c r="AK23" s="8"/>
      <c r="AL23" s="8"/>
      <c r="AM23" s="8"/>
      <c r="AN23" s="8"/>
    </row>
    <row r="24" spans="1:40" ht="38.25" hidden="1">
      <c r="A24" s="8">
        <v>311</v>
      </c>
      <c r="B24" s="11">
        <v>44991.587831805555</v>
      </c>
      <c r="C24" s="8" t="s">
        <v>452</v>
      </c>
      <c r="D24" s="8" t="s">
        <v>453</v>
      </c>
      <c r="E24" s="8" t="s">
        <v>452</v>
      </c>
      <c r="F24" s="8" t="s">
        <v>454</v>
      </c>
      <c r="G24" s="8" t="str">
        <f>", "&amp;'RAW (公開用)'!F312&amp;", "</f>
        <v xml:space="preserve">, ゼノジェンダー／xenogender, ニュートラル, ノンバイナリー男性, 女性／woman, バイナリー, 無し, ジェンダーヴォイド／gendervoid, 男性／man, トランスセクシュアル／transsexual, </v>
      </c>
      <c r="H24" s="8" t="s">
        <v>596</v>
      </c>
      <c r="I24" s="8" t="str">
        <f>", "&amp;'RAW (公開用)'!H312&amp;", "</f>
        <v xml:space="preserve">, さん, </v>
      </c>
      <c r="J24" s="8" t="s">
        <v>2335</v>
      </c>
      <c r="K2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4" s="8" t="str">
        <f>", "&amp;'RAW (公開用)'!J312&amp;", "</f>
        <v xml:space="preserve">, **英語を日常的に使わない**, （敬称なし）, </v>
      </c>
      <c r="M24" s="8" t="s">
        <v>2335</v>
      </c>
      <c r="N2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（敬称なし）, , </v>
      </c>
      <c r="O24" s="8" t="str">
        <f>", "&amp;'RAW (公開用)'!L312&amp;", "</f>
        <v xml:space="preserve">, 私（わたし／わたくし）, わたし, </v>
      </c>
      <c r="P24" s="73" t="s">
        <v>2381</v>
      </c>
      <c r="Q2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わたし,  , 余,我,ワイ,</v>
      </c>
      <c r="R24" s="8" t="s">
        <v>2174</v>
      </c>
      <c r="S24" s="8" t="s">
        <v>2352</v>
      </c>
      <c r="T2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{この/その/あの}+人, 其, 主, 神,</v>
      </c>
      <c r="U24" s="8" t="str">
        <f>", "&amp;'RAW (公開用)'!P312&amp;", "</f>
        <v xml:space="preserve">, she, </v>
      </c>
      <c r="V24" s="8" t="s">
        <v>455</v>
      </c>
      <c r="W24" s="8" t="str">
        <f>", "&amp;'RAW (公開用)'!R312&amp;", "</f>
        <v xml:space="preserve">, トイレなどのジェンダー化されたスペースの使用, アウティング（勝手にジェンダーや指向についての情報を明かされること）, </v>
      </c>
      <c r="X24" s="8" t="s">
        <v>236</v>
      </c>
      <c r="Y2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アウティング（勝手にジェンダーや指向についての情報を明かされること）,  不完全身体の苦痛感</v>
      </c>
      <c r="Z24" s="8" t="s">
        <v>455</v>
      </c>
      <c r="AA24" s="8" t="str">
        <f>", "&amp;'RAW (公開用)'!U312&amp;", "</f>
        <v xml:space="preserve">, 戸籍名の変更, 戸籍上の性別の変更, ジェンダークリニックの受診, 抗ホルモン療法, ホルモン補充療法（HRT）, 顔にかかわる手術, 声帯にかかわる手術, 胸部の手術, 性器にかかわる手術, </v>
      </c>
      <c r="AB24" s="8" t="str">
        <f>", "&amp;'RAW (公開用)'!V312&amp;", "</f>
        <v xml:space="preserve">, 戸籍名の変更, 戸籍上の性別の変更, ジェンダークリニックの受診, 抗ホルモン療法, ホルモン補充療法（HRT）, 顔にかかわる手術, 性器にかかわる手術, </v>
      </c>
      <c r="AC24" s="8" t="s">
        <v>336</v>
      </c>
      <c r="AD24" s="8" t="str">
        <f>テーブル1[[#This Row],[以下のうち、経験したものをすべて選んでください]]&amp;" "&amp;テーブル1[[#This Row],[社会的、法的、医学的トランジションについて、困難なこと等がありましたらここにお書きください]]</f>
        <v>, 戸籍名の変更, 戸籍上の性別の変更, ジェンダークリニックの受診, 抗ホルモン療法, ホルモン補充療法（HRT）, 顔にかかわる手術, 性器にかかわる手術,  治療なのに法外なお金を取られる</v>
      </c>
      <c r="AE24" s="8" t="s">
        <v>462</v>
      </c>
      <c r="AF24" s="8" t="s">
        <v>457</v>
      </c>
      <c r="AG24" s="8" t="s">
        <v>458</v>
      </c>
      <c r="AH24" s="8"/>
      <c r="AI24" s="8">
        <f>(LEN(G24)-LEN(SUBSTITUTE(G24,", ","")))/LEN(", ")-1-(LEN(G24)-LEN(SUBSTITUTE(G24,"必ず","")))/LEN("必ず")</f>
        <v>9</v>
      </c>
      <c r="AJ24" s="8"/>
      <c r="AK24" s="8"/>
      <c r="AL24" s="8"/>
      <c r="AM24" s="8"/>
      <c r="AN24" s="8"/>
    </row>
    <row r="25" spans="1:40" ht="25.5" hidden="1">
      <c r="A25" s="8">
        <v>24</v>
      </c>
      <c r="B25" s="11">
        <v>44969.816542847228</v>
      </c>
      <c r="C25" s="8" t="s">
        <v>452</v>
      </c>
      <c r="D25" s="8" t="s">
        <v>453</v>
      </c>
      <c r="E25" s="8" t="s">
        <v>452</v>
      </c>
      <c r="F25" s="8" t="s">
        <v>454</v>
      </c>
      <c r="G25" s="8" t="str">
        <f>", "&amp;'RAW (公開用)'!F25&amp;", "</f>
        <v xml:space="preserve">, ノンバイナリー, ノンバイナリー女性, クエスチョニング, enby／エンビー, </v>
      </c>
      <c r="H25" s="8"/>
      <c r="I25" s="8" t="str">
        <f>", "&amp;'RAW (公開用)'!H25&amp;", "</f>
        <v xml:space="preserve">, （any／問わない／どれでもよい）, くん／君, ちゃん, さん, </v>
      </c>
      <c r="J25" s="8" t="s">
        <v>2335</v>
      </c>
      <c r="K2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くん／君, ちゃん, さん,  , </v>
      </c>
      <c r="L25" s="8" t="str">
        <f>", "&amp;'RAW (公開用)'!J25&amp;", "</f>
        <v xml:space="preserve">, **英語を日常的に使わない**, （any／問わない／どれでもよい）, -san, </v>
      </c>
      <c r="M25" s="8" t="s">
        <v>2335</v>
      </c>
      <c r="N2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（any／問わない／どれでもよい）, -san, , </v>
      </c>
      <c r="O25" s="8" t="str">
        <f>", "&amp;'RAW (公開用)'!L25&amp;", "</f>
        <v xml:space="preserve">, （自分（たち）の名前）, 僕, 私（わたし／わたくし）, （any／問わない／どれでもよい）, 俺, </v>
      </c>
      <c r="P25" s="8" t="s">
        <v>2335</v>
      </c>
      <c r="Q2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僕, 私（わたし／わたくし）, （any／問わない／どれでもよい）, 俺,  , </v>
      </c>
      <c r="R25" s="8" t="str">
        <f>", "&amp;'RAW (公開用)'!N25&amp;", "</f>
        <v xml:space="preserve">, 彼人（かのひと）, （any／問わない／どれでもよい）, （自分（たち）の名前）, </v>
      </c>
      <c r="S25" s="8" t="s">
        <v>2335</v>
      </c>
      <c r="T2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（any／問わない／どれでもよい）, （自分（たち）の名前）,  , </v>
      </c>
      <c r="U25" s="8" t="str">
        <f>", "&amp;'RAW (公開用)'!P25&amp;", "</f>
        <v xml:space="preserve">, they/them/their/themself, any/問わない/どれでもよい, </v>
      </c>
      <c r="V25" s="8" t="s">
        <v>455</v>
      </c>
      <c r="W25" s="8" t="str">
        <f>", "&amp;'RAW (公開用)'!R25&amp;", "</f>
        <v xml:space="preserve">, ミスジェンダリング（誤った性別として扱うこと）, </v>
      </c>
      <c r="X25" s="8"/>
      <c r="Y2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v>
      </c>
      <c r="Z25" s="8" t="s">
        <v>455</v>
      </c>
      <c r="AA25" s="8" t="str">
        <f>", "&amp;'RAW (公開用)'!U25&amp;", "</f>
        <v xml:space="preserve">, （上記のどれも希望していない）, </v>
      </c>
      <c r="AB25" s="8" t="str">
        <f>", "&amp;'RAW (公開用)'!V25&amp;", "</f>
        <v xml:space="preserve">, （上記のどれも経験していない）, </v>
      </c>
      <c r="AC25" s="8"/>
      <c r="AD2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5" s="8" t="s">
        <v>464</v>
      </c>
      <c r="AF25" s="8" t="s">
        <v>457</v>
      </c>
      <c r="AG25" s="8" t="s">
        <v>458</v>
      </c>
      <c r="AH25" s="8"/>
      <c r="AI25" s="8">
        <f>((LEN(G25)-LEN(SUBSTITUTE(G25,", ","")))/LEN(", ")-1-(LEN(G25)-LEN(SUBSTITUTE(G25,"必ず","")))/LEN("必ず"))+(LEN(H25)-LEN(SUBSTITUTE(H25,",","")))</f>
        <v>4</v>
      </c>
      <c r="AJ25" s="8"/>
      <c r="AK25" s="8"/>
      <c r="AL25" s="8"/>
      <c r="AM25" s="8"/>
      <c r="AN25" s="8"/>
    </row>
    <row r="26" spans="1:40" ht="102" hidden="1">
      <c r="A26" s="8">
        <v>25</v>
      </c>
      <c r="B26" s="11">
        <v>44969.820164571764</v>
      </c>
      <c r="C26" s="8" t="s">
        <v>452</v>
      </c>
      <c r="D26" s="8" t="s">
        <v>453</v>
      </c>
      <c r="E26" s="8" t="s">
        <v>452</v>
      </c>
      <c r="F26" s="8" t="s">
        <v>454</v>
      </c>
      <c r="G26" s="8" t="str">
        <f>", "&amp;'RAW (公開用)'!F26&amp;", "</f>
        <v xml:space="preserve">, ジェンダークィア, トランスジェンダー, ノンバイナリー, クィア／Queer, （ジェンダー・）フルイド／（ジェンダー・）フリュイド／（ジェンダー・）フルイッド, Aジェンダー／エイジェンダー／アジェンダー／agender, </v>
      </c>
      <c r="H26" s="8"/>
      <c r="I26" s="8" t="str">
        <f>", "&amp;'RAW (公開用)'!H26&amp;", "</f>
        <v xml:space="preserve">, さん, </v>
      </c>
      <c r="J26" s="8" t="s">
        <v>2335</v>
      </c>
      <c r="K2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6" s="8" t="str">
        <f>", "&amp;'RAW (公開用)'!J26&amp;", "</f>
        <v xml:space="preserve">, **英語を日常的に使わない**, </v>
      </c>
      <c r="M26" s="8" t="s">
        <v>2335</v>
      </c>
      <c r="N2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6" s="8" t="str">
        <f>", "&amp;'RAW (公開用)'!L26&amp;", "</f>
        <v xml:space="preserve">, あたし, 私（わたし／わたくし）, わたし, </v>
      </c>
      <c r="P26" s="8" t="s">
        <v>2335</v>
      </c>
      <c r="Q2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私（わたし／わたくし）, わたし,  , </v>
      </c>
      <c r="R26" s="8" t="str">
        <f>", "&amp;'RAW (公開用)'!N26&amp;", "</f>
        <v xml:space="preserve">, （三人称で言及してほしくない）, （自分（たち）の名前）, </v>
      </c>
      <c r="S26" s="8" t="s">
        <v>2335</v>
      </c>
      <c r="T2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26" s="8" t="str">
        <f>", "&amp;'RAW (公開用)'!P26&amp;", "</f>
        <v xml:space="preserve">, **英語を日常的に使わない**, </v>
      </c>
      <c r="V26" s="8" t="s">
        <v>455</v>
      </c>
      <c r="W26" s="8" t="str">
        <f>", "&amp;'RAW (公開用)'!R26&amp;", "</f>
        <v xml:space="preserve">, トイレなどのジェンダー化されたスペースの使用, 社会の中でいないことにされる, ミスジェンダリング（誤った性別として扱うこと）, カムアウトできない, 必要なジェンダーケアへアクセスできない, アウティング（勝手にジェンダーや指向についての情報を明かされること）, </v>
      </c>
      <c r="X26" s="8" t="s">
        <v>281</v>
      </c>
      <c r="Y2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社会の中でいないことにされる, ミスジェンダリング（誤った性別として扱うこと）, カムアウトできない, 必要なジェンダーケアへアクセスできない, アウティング（勝手にジェンダーや指向についての情報を明かされること）,  私のジェンダーアイデンティティについて多くの人が無知であること
私のジェンダーアイデンティティについての説明を要求されること
私のジェンダーアイデンティティ上記２つの理由から、カムアウトにかかる労力が大きく、カムアウトが困難であること</v>
      </c>
      <c r="Z26" s="8" t="s">
        <v>455</v>
      </c>
      <c r="AA26" s="8" t="str">
        <f>", "&amp;'RAW (公開用)'!U26&amp;", "</f>
        <v xml:space="preserve">, 戸籍名の変更, 戸籍上の性別の変更, 顔にかかわる手術, 声帯にかかわる手術, </v>
      </c>
      <c r="AB26" s="105" t="s">
        <v>2443</v>
      </c>
      <c r="AC26" s="8" t="s">
        <v>402</v>
      </c>
      <c r="AD26" s="8" t="str">
        <f>テーブル1[[#This Row],[以下のうち、経験したものをすべて選んでください]]&amp;" "&amp;テーブル1[[#This Row],[社会的、法的、医学的トランジションについて、困難なこと等がありましたらここにお書きください]]</f>
        <v>無回答 トランジションへのアクセスは主にバイナリーなトランスに向けてのみ開かれているような印象があり、アクセスが困難に感じる</v>
      </c>
      <c r="AE26" s="8" t="s">
        <v>462</v>
      </c>
      <c r="AF26" s="8" t="s">
        <v>457</v>
      </c>
      <c r="AG26" s="8" t="s">
        <v>458</v>
      </c>
      <c r="AH26" s="8" t="s">
        <v>480</v>
      </c>
      <c r="AI26" s="8">
        <f>((LEN(G26)-LEN(SUBSTITUTE(G26,", ","")))/LEN(", ")-1-(LEN(G26)-LEN(SUBSTITUTE(G26,"必ず","")))/LEN("必ず"))+(LEN(H26)-LEN(SUBSTITUTE(H26,",","")))</f>
        <v>6</v>
      </c>
      <c r="AJ26" s="8"/>
      <c r="AK26" s="8"/>
      <c r="AL26" s="8"/>
      <c r="AM26" s="8"/>
      <c r="AN26" s="8"/>
    </row>
    <row r="27" spans="1:40" ht="38.25" hidden="1">
      <c r="A27" s="8">
        <v>26</v>
      </c>
      <c r="B27" s="11">
        <v>44969.820517685184</v>
      </c>
      <c r="C27" s="8" t="s">
        <v>452</v>
      </c>
      <c r="D27" s="8" t="s">
        <v>453</v>
      </c>
      <c r="E27" s="8" t="s">
        <v>452</v>
      </c>
      <c r="F27" s="8" t="s">
        <v>454</v>
      </c>
      <c r="G27" s="8" t="str">
        <f>", "&amp;'RAW (公開用)'!F27&amp;", "</f>
        <v xml:space="preserve">, クィア／Queer, デミAジェンダー, **必ず選んでください**, デミガール, </v>
      </c>
      <c r="H27" s="8"/>
      <c r="I27" s="8" t="str">
        <f>", "&amp;'RAW (公開用)'!H27&amp;", "</f>
        <v xml:space="preserve">, ちゃん, さん, </v>
      </c>
      <c r="J27" s="8" t="s">
        <v>2335</v>
      </c>
      <c r="K2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27" s="8" t="str">
        <f>", "&amp;'RAW (公開用)'!J27&amp;", "</f>
        <v xml:space="preserve">, **英語を日常的に使わない**, </v>
      </c>
      <c r="M27" s="8" t="s">
        <v>2335</v>
      </c>
      <c r="N2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7" s="8" t="str">
        <f>", "&amp;'RAW (公開用)'!L27&amp;", "</f>
        <v xml:space="preserve">, わたし, うち, 私（わたし／わたくし）, （自分（たち）の名前）, </v>
      </c>
      <c r="P27" s="8" t="s">
        <v>2335</v>
      </c>
      <c r="Q2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うち, 私（わたし／わたくし）, （自分（たち）の名前）,  , </v>
      </c>
      <c r="R27" s="8" t="str">
        <f>", "&amp;'RAW (公開用)'!N27&amp;", "</f>
        <v xml:space="preserve">, 彼女, （自分（たち）の名前）, </v>
      </c>
      <c r="S27" s="8" t="s">
        <v>2335</v>
      </c>
      <c r="T2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27" s="8" t="str">
        <f>", "&amp;'RAW (公開用)'!P27&amp;", "</f>
        <v xml:space="preserve">, **英語を日常的に使わない**, </v>
      </c>
      <c r="V27" s="8" t="s">
        <v>455</v>
      </c>
      <c r="W27" s="8" t="str">
        <f>", "&amp;'RAW (公開用)'!R27&amp;", "</f>
        <v xml:space="preserve">, 職場や学校における無理解, 社会の中でいないことにされる, ミスジェンダリング（誤った性別として扱うこと）, 家族／かぞくからの無理解, LGBTQ+運動からの排斥, カムアウトできない, </v>
      </c>
      <c r="X27" s="8"/>
      <c r="Y2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社会の中でいないことにされる, ミスジェンダリング（誤った性別として扱うこと）, 家族／かぞくからの無理解, LGBTQ+運動からの排斥, カムアウトできない,  </v>
      </c>
      <c r="Z27" s="8" t="s">
        <v>455</v>
      </c>
      <c r="AA27" s="8" t="str">
        <f>", "&amp;'RAW (公開用)'!U27&amp;", "</f>
        <v xml:space="preserve">, 胸部の手術, </v>
      </c>
      <c r="AB27" s="8" t="str">
        <f>", "&amp;'RAW (公開用)'!V27&amp;", "</f>
        <v xml:space="preserve">, （上記のどれも経験していない）, </v>
      </c>
      <c r="AC27" s="8"/>
      <c r="AD2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7" s="8" t="s">
        <v>464</v>
      </c>
      <c r="AF27" s="8" t="s">
        <v>457</v>
      </c>
      <c r="AG27" s="8" t="s">
        <v>458</v>
      </c>
      <c r="AH27" s="8"/>
      <c r="AI27" s="8">
        <f>((LEN(G27)-LEN(SUBSTITUTE(G27,", ","")))/LEN(", ")-1-(LEN(G27)-LEN(SUBSTITUTE(G27,"必ず","")))/LEN("必ず"))+(LEN(H27)-LEN(SUBSTITUTE(H27,",","")))</f>
        <v>3</v>
      </c>
      <c r="AJ27" s="8"/>
      <c r="AK27" s="8"/>
      <c r="AL27" s="8"/>
      <c r="AM27" s="8"/>
      <c r="AN27" s="8"/>
    </row>
    <row r="28" spans="1:40" ht="12.75" hidden="1">
      <c r="A28" s="8">
        <v>320</v>
      </c>
      <c r="B28" s="11">
        <v>44991.672273159726</v>
      </c>
      <c r="C28" s="8" t="s">
        <v>452</v>
      </c>
      <c r="D28" s="8" t="s">
        <v>453</v>
      </c>
      <c r="E28" s="8" t="s">
        <v>452</v>
      </c>
      <c r="F28" s="8" t="s">
        <v>454</v>
      </c>
      <c r="G28" s="8" t="str">
        <f>", "&amp;'RAW (公開用)'!F321&amp;", "</f>
        <v xml:space="preserve">, 中性, ノンバイナリー女性, </v>
      </c>
      <c r="H28" s="8"/>
      <c r="I28" s="8" t="str">
        <f>", "&amp;'RAW (公開用)'!H321&amp;", "</f>
        <v xml:space="preserve">, さん, </v>
      </c>
      <c r="J28" s="8" t="s">
        <v>2335</v>
      </c>
      <c r="K2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8" s="8" t="str">
        <f>", "&amp;'RAW (公開用)'!J321&amp;", "</f>
        <v xml:space="preserve">, **英語を日常的に使わない**, </v>
      </c>
      <c r="M28" s="8" t="s">
        <v>2335</v>
      </c>
      <c r="N2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8" s="8" t="str">
        <f>", "&amp;'RAW (公開用)'!L321&amp;", "</f>
        <v xml:space="preserve">, わたし, </v>
      </c>
      <c r="P28" s="8" t="s">
        <v>2335</v>
      </c>
      <c r="Q2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28" s="8" t="str">
        <f>", "&amp;'RAW (公開用)'!N28&amp;", "</f>
        <v xml:space="preserve">, （自分（たち）の名前）, 彼女, </v>
      </c>
      <c r="S28" s="8" t="s">
        <v>2353</v>
      </c>
      <c r="T2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彼女,  , {この/その/あの}+人, {この/その/あの}+方,</v>
      </c>
      <c r="U28" s="8" t="str">
        <f>", "&amp;'RAW (公開用)'!P321&amp;", "</f>
        <v xml:space="preserve">, **英語を日常的に使わない**, </v>
      </c>
      <c r="V28" s="8" t="s">
        <v>455</v>
      </c>
      <c r="W28" s="8" t="str">
        <f>", "&amp;'RAW (公開用)'!R321&amp;", "</f>
        <v xml:space="preserve">, 性暴力, </v>
      </c>
      <c r="X28" s="8"/>
      <c r="Y2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v>
      </c>
      <c r="Z28" s="8" t="s">
        <v>455</v>
      </c>
      <c r="AA28" s="8" t="str">
        <f>", "&amp;'RAW (公開用)'!U321&amp;", "</f>
        <v xml:space="preserve">, （上記のどれも希望していない）, </v>
      </c>
      <c r="AB28" s="8" t="str">
        <f>", "&amp;'RAW (公開用)'!V321&amp;", "</f>
        <v xml:space="preserve">, （上記のどれも経験していない）, </v>
      </c>
      <c r="AC28" s="8"/>
      <c r="AD2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8" s="8" t="s">
        <v>475</v>
      </c>
      <c r="AF28" s="8" t="s">
        <v>457</v>
      </c>
      <c r="AG28" s="8" t="s">
        <v>458</v>
      </c>
      <c r="AH28" s="8"/>
      <c r="AI28" s="8">
        <f>(LEN(G28)-LEN(SUBSTITUTE(G28,", ","")))/LEN(", ")-1-(LEN(G28)-LEN(SUBSTITUTE(G28,"必ず","")))/LEN("必ず")</f>
        <v>2</v>
      </c>
      <c r="AJ28" s="8"/>
      <c r="AK28" s="8"/>
      <c r="AL28" s="8"/>
      <c r="AM28" s="8"/>
      <c r="AN28" s="8"/>
    </row>
    <row r="29" spans="1:40" ht="38.25" hidden="1">
      <c r="A29" s="8">
        <v>102</v>
      </c>
      <c r="B29" s="11">
        <v>44970.052522569444</v>
      </c>
      <c r="C29" s="8" t="s">
        <v>452</v>
      </c>
      <c r="D29" s="8" t="s">
        <v>453</v>
      </c>
      <c r="E29" s="8" t="s">
        <v>452</v>
      </c>
      <c r="F29" s="8" t="s">
        <v>454</v>
      </c>
      <c r="G29" s="8" t="str">
        <f>", "&amp;'RAW (公開用)'!F103&amp;", "</f>
        <v xml:space="preserve">, ノンバイナリー, </v>
      </c>
      <c r="H29" s="8"/>
      <c r="I29" s="8" t="str">
        <f>", "&amp;'RAW (公開用)'!H103&amp;", "</f>
        <v xml:space="preserve">, さん, </v>
      </c>
      <c r="J29" s="8" t="s">
        <v>2335</v>
      </c>
      <c r="K2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9" s="8" t="str">
        <f>", "&amp;'RAW (公開用)'!J103&amp;", "</f>
        <v xml:space="preserve">, -san, </v>
      </c>
      <c r="M29" s="8" t="s">
        <v>2335</v>
      </c>
      <c r="N2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29" s="8" t="str">
        <f>", "&amp;'RAW (公開用)'!L103&amp;", "</f>
        <v xml:space="preserve">, 私（わたし／わたくし）, ぼく, 僕, 自分, </v>
      </c>
      <c r="P29" s="8" t="s">
        <v>2335</v>
      </c>
      <c r="Q2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ぼく, 僕, 自分,  , </v>
      </c>
      <c r="R29" s="8" t="str">
        <f>", "&amp;'RAW (公開用)'!N29&amp;", "</f>
        <v xml:space="preserve">, （自分（たち）の名前）, </v>
      </c>
      <c r="S29" s="8" t="s">
        <v>2300</v>
      </c>
      <c r="T2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 {この/その/あの}+子,</v>
      </c>
      <c r="U29" s="8" t="str">
        <f>", "&amp;'RAW (公開用)'!P103&amp;", "</f>
        <v xml:space="preserve">, they/them/their/themself, </v>
      </c>
      <c r="V29" s="8" t="s">
        <v>455</v>
      </c>
      <c r="W29" s="8" t="str">
        <f>", "&amp;'RAW (公開用)'!R103&amp;", "</f>
        <v xml:space="preserve">, 社会の中でいないことにされる, ミスジェンダリング（誤った性別として扱うこと）, カムアウトできない, アウティング（勝手にジェンダーや指向についての情報を明かされること）, 家族／かぞくからの無理解, </v>
      </c>
      <c r="X29" s="8"/>
      <c r="Y2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カムアウトできない, アウティング（勝手にジェンダーや指向についての情報を明かされること）, 家族／かぞくからの無理解,  </v>
      </c>
      <c r="Z29" s="8" t="s">
        <v>455</v>
      </c>
      <c r="AA29" s="8" t="str">
        <f>", "&amp;'RAW (公開用)'!U103&amp;", "</f>
        <v xml:space="preserve">, 胸部の手術, </v>
      </c>
      <c r="AB29" s="8" t="str">
        <f>", "&amp;'RAW (公開用)'!V103&amp;", "</f>
        <v xml:space="preserve">, （上記のどれも経験していない）, </v>
      </c>
      <c r="AC29" s="8" t="s">
        <v>308</v>
      </c>
      <c r="AD2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金銭面、また適切な医療機関へのアクセス</v>
      </c>
      <c r="AE29" s="8" t="s">
        <v>459</v>
      </c>
      <c r="AF29" s="8" t="s">
        <v>457</v>
      </c>
      <c r="AG29" s="8" t="s">
        <v>458</v>
      </c>
      <c r="AH29" s="8"/>
      <c r="AI29" s="8">
        <f>(LEN(G29)-LEN(SUBSTITUTE(G29,", ","")))/LEN(", ")-1-(LEN(G29)-LEN(SUBSTITUTE(G29,"必ず","")))/LEN("必ず")</f>
        <v>1</v>
      </c>
      <c r="AJ29" s="8"/>
      <c r="AK29" s="8"/>
      <c r="AL29" s="8"/>
      <c r="AM29" s="8"/>
      <c r="AN29" s="8"/>
    </row>
    <row r="30" spans="1:40" ht="25.5" hidden="1">
      <c r="A30" s="8">
        <v>29</v>
      </c>
      <c r="B30" s="11">
        <v>44969.824340752311</v>
      </c>
      <c r="C30" s="8" t="s">
        <v>452</v>
      </c>
      <c r="D30" s="8" t="s">
        <v>453</v>
      </c>
      <c r="E30" s="8" t="s">
        <v>452</v>
      </c>
      <c r="F30" s="8" t="s">
        <v>454</v>
      </c>
      <c r="G30" s="8" t="str">
        <f>", "&amp;'RAW (公開用)'!F30&amp;", "</f>
        <v xml:space="preserve">, ノンバイナリー女性, ニュートラル, 女性／woman, バイジェンダー, </v>
      </c>
      <c r="H30" s="8"/>
      <c r="I30" s="8" t="str">
        <f>", "&amp;'RAW (公開用)'!H30&amp;", "</f>
        <v xml:space="preserve">, （クエスチョニング、模索中、または不明）, さん, </v>
      </c>
      <c r="J30" s="8" t="s">
        <v>2335</v>
      </c>
      <c r="K3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30" s="8" t="str">
        <f>", "&amp;'RAW (公開用)'!J30&amp;", "</f>
        <v xml:space="preserve">, **英語を日常的に使わない**, </v>
      </c>
      <c r="M30" s="8" t="s">
        <v>2335</v>
      </c>
      <c r="N3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 s="8" t="str">
        <f>", "&amp;'RAW (公開用)'!L30&amp;", "</f>
        <v xml:space="preserve">, 自分, 私（わたし／わたくし）, あたし, </v>
      </c>
      <c r="P30" s="8" t="s">
        <v>2335</v>
      </c>
      <c r="Q3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あたし,  , </v>
      </c>
      <c r="R30" s="8" t="str">
        <f>", "&amp;'RAW (公開用)'!N30&amp;", "</f>
        <v xml:space="preserve">, （自分（たち）の名前）, 彼人（かのひと）, </v>
      </c>
      <c r="S30" s="8" t="s">
        <v>2335</v>
      </c>
      <c r="T3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彼人（かのひと）,  , </v>
      </c>
      <c r="U30" s="8" t="str">
        <f>", "&amp;'RAW (公開用)'!P30&amp;", "</f>
        <v xml:space="preserve">, **英語を日常的に使わない**, </v>
      </c>
      <c r="V30" s="8" t="s">
        <v>455</v>
      </c>
      <c r="W30" s="8" t="str">
        <f>", "&amp;'RAW (公開用)'!R30&amp;", "</f>
        <v xml:space="preserve">, ミスジェンダリング（誤った性別として扱うこと）, 社会の中でいないことにされる, LGBTQ+運動からの排斥, </v>
      </c>
      <c r="X30" s="8"/>
      <c r="Y3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LGBTQ+運動からの排斥,  </v>
      </c>
      <c r="Z30" s="8" t="s">
        <v>455</v>
      </c>
      <c r="AA30" s="8" t="str">
        <f>", "&amp;'RAW (公開用)'!U30&amp;", "</f>
        <v xml:space="preserve">, 胸部の手術, </v>
      </c>
      <c r="AB30" s="8" t="str">
        <f>", "&amp;'RAW (公開用)'!V30&amp;", "</f>
        <v xml:space="preserve">, （上記のどれも経験していない）, </v>
      </c>
      <c r="AC30" s="8"/>
      <c r="AD3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0" s="8" t="s">
        <v>464</v>
      </c>
      <c r="AF30" s="8" t="s">
        <v>457</v>
      </c>
      <c r="AG30" s="8" t="s">
        <v>458</v>
      </c>
      <c r="AH30" s="8"/>
      <c r="AI30" s="8">
        <f>((LEN(G30)-LEN(SUBSTITUTE(G30,", ","")))/LEN(", ")-1-(LEN(G30)-LEN(SUBSTITUTE(G30,"必ず","")))/LEN("必ず"))+(LEN(H30)-LEN(SUBSTITUTE(H30,",","")))</f>
        <v>4</v>
      </c>
      <c r="AJ30" s="8"/>
      <c r="AK30" s="8"/>
      <c r="AL30" s="8"/>
      <c r="AM30" s="8"/>
      <c r="AN30" s="8"/>
    </row>
    <row r="31" spans="1:40" ht="76.5" hidden="1">
      <c r="A31" s="8">
        <v>30</v>
      </c>
      <c r="B31" s="11">
        <v>44969.824786712961</v>
      </c>
      <c r="C31" s="8" t="s">
        <v>452</v>
      </c>
      <c r="D31" s="8" t="s">
        <v>453</v>
      </c>
      <c r="E31" s="8" t="s">
        <v>452</v>
      </c>
      <c r="F31" s="8" t="s">
        <v>454</v>
      </c>
      <c r="G31" s="8" t="str">
        <f>", "&amp;'RAW (公開用)'!F31&amp;", "</f>
        <v xml:space="preserve">, クィア／Queer, 男性／man, **必ず選んでください**, トランス男性, トランスジェンダー, トランスマスキュリン, トランス, </v>
      </c>
      <c r="H31" s="8"/>
      <c r="I31" s="8" t="str">
        <f>", "&amp;'RAW (公開用)'!H31&amp;", "</f>
        <v xml:space="preserve">, （敬称なし）, くん／君, さん, </v>
      </c>
      <c r="J31" s="8" t="s">
        <v>2335</v>
      </c>
      <c r="K3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くん／君, さん,  , </v>
      </c>
      <c r="L31" s="8" t="str">
        <f>", "&amp;'RAW (公開用)'!J31&amp;", "</f>
        <v xml:space="preserve">, **英語を日常的に使わない**, </v>
      </c>
      <c r="M31" s="8" t="s">
        <v>2335</v>
      </c>
      <c r="N3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1" s="8" t="str">
        <f>", "&amp;'RAW (公開用)'!L31&amp;", "</f>
        <v xml:space="preserve">, 私（わたし／わたくし）, 自分, （自分（たち）の名前）, （一人称の使用を避ける）, 僕, わし, ぼく, </v>
      </c>
      <c r="P31" s="8" t="s">
        <v>2335</v>
      </c>
      <c r="Q3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（自分（たち）の名前）, （一人称の使用を避ける）, 僕, わし, ぼく,  , </v>
      </c>
      <c r="R31" s="8" t="str">
        <f>", "&amp;'RAW (公開用)'!N31&amp;", "</f>
        <v xml:space="preserve">, （三人称で言及してほしくない）, かれ, （自分（たち）の名前）, 彼, </v>
      </c>
      <c r="S31" s="8" t="s">
        <v>2335</v>
      </c>
      <c r="T3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かれ, （自分（たち）の名前）, 彼,  , </v>
      </c>
      <c r="U31" s="8" t="str">
        <f>", "&amp;'RAW (公開用)'!P31&amp;", "</f>
        <v xml:space="preserve">, **英語を日常的に使わない**, </v>
      </c>
      <c r="V31" s="8" t="s">
        <v>455</v>
      </c>
      <c r="W31" s="8" t="str">
        <f>", "&amp;'RAW (公開用)'!R31&amp;", "</f>
        <v xml:space="preserve">, 医療における無理解, トイレなどのジェンダー化されたスペースの使用, 必要なジェンダーケアへアクセスできない, 社会の中でいないことにされる, カムアウトできない, カムアウトを強制される, 家族／かぞくからの無理解, アウティング（勝手にジェンダーや指向についての情報を明かされること）, 性暴力, デッドネーミング（誤った名前で呼ばれること）, ミスジェンダリング（誤った性別として扱うこと）, 職場や学校における無理解, </v>
      </c>
      <c r="X31" s="8"/>
      <c r="Y3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トイレなどのジェンダー化されたスペースの使用, 必要なジェンダーケアへアクセスできない, 社会の中でいないことにされる, カムアウトできない, カムアウトを強制される, 家族／かぞくからの無理解, アウティング（勝手にジェンダーや指向についての情報を明かされること）, 性暴力, デッドネーミング（誤った名前で呼ばれること）, ミスジェンダリング（誤った性別として扱うこと）, 職場や学校における無理解,  </v>
      </c>
      <c r="Z31" s="8" t="s">
        <v>455</v>
      </c>
      <c r="AA31" s="8" t="str">
        <f>", "&amp;'RAW (公開用)'!U31&amp;", "</f>
        <v xml:space="preserve">, 戸籍名の変更, 戸籍上の性別の変更, ホルモン補充療法（HRT）, 胸部の手術, 性器にかかわる手術, </v>
      </c>
      <c r="AB31" s="8" t="str">
        <f>", "&amp;'RAW (公開用)'!V31&amp;", "</f>
        <v xml:space="preserve">, 戸籍名の変更, ホルモン補充療法（HRT）, </v>
      </c>
      <c r="AC31" s="8"/>
      <c r="AD31"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ホルモン補充療法（HRT）,  </v>
      </c>
      <c r="AE31" s="8" t="s">
        <v>462</v>
      </c>
      <c r="AF31" s="8" t="s">
        <v>481</v>
      </c>
      <c r="AG31" s="8" t="s">
        <v>458</v>
      </c>
      <c r="AH31" s="8"/>
      <c r="AI31" s="8">
        <f>((LEN(G31)-LEN(SUBSTITUTE(G31,", ","")))/LEN(", ")-1-(LEN(G31)-LEN(SUBSTITUTE(G31,"必ず","")))/LEN("必ず"))+(LEN(H31)-LEN(SUBSTITUTE(H31,",","")))</f>
        <v>6</v>
      </c>
      <c r="AJ31" s="8"/>
      <c r="AK31" s="8"/>
      <c r="AL31" s="8"/>
      <c r="AM31" s="8"/>
      <c r="AN31" s="8"/>
    </row>
    <row r="32" spans="1:40" ht="25.5" hidden="1">
      <c r="A32" s="8">
        <v>31</v>
      </c>
      <c r="B32" s="11">
        <v>44969.827042152778</v>
      </c>
      <c r="C32" s="8" t="s">
        <v>452</v>
      </c>
      <c r="D32" s="8" t="s">
        <v>453</v>
      </c>
      <c r="E32" s="8" t="s">
        <v>452</v>
      </c>
      <c r="F32" s="8" t="s">
        <v>454</v>
      </c>
      <c r="G32" s="8" t="str">
        <f>", "&amp;'RAW (公開用)'!F32&amp;", "</f>
        <v xml:space="preserve">, クィア／Queer, **必ず選んでください**, Aジェンダー／エイジェンダー／アジェンダー／agender, 無性, ノンバイナリー, </v>
      </c>
      <c r="H32" s="8"/>
      <c r="I32" s="8" t="str">
        <f>", "&amp;'RAW (公開用)'!H32&amp;", "</f>
        <v xml:space="preserve">, （敬称なし）, さん, </v>
      </c>
      <c r="J32" s="8" t="s">
        <v>2335</v>
      </c>
      <c r="K3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2" s="8" t="str">
        <f>", "&amp;'RAW (公開用)'!J32&amp;", "</f>
        <v xml:space="preserve">, Mx., </v>
      </c>
      <c r="M32" s="8" t="s">
        <v>2335</v>
      </c>
      <c r="N3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32" s="8" t="str">
        <f>", "&amp;'RAW (公開用)'!L32&amp;", "</f>
        <v xml:space="preserve">, 自分, おれ, 私（わたし／わたくし）, わたし, 俺, </v>
      </c>
      <c r="P32" s="8" t="s">
        <v>2335</v>
      </c>
      <c r="Q3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おれ, 私（わたし／わたくし）, わたし, 俺,  , </v>
      </c>
      <c r="R32" s="8" t="str">
        <f>", "&amp;'RAW (公開用)'!N32&amp;", "</f>
        <v xml:space="preserve">, （自分（たち）の名前）, </v>
      </c>
      <c r="S32" s="8" t="s">
        <v>2335</v>
      </c>
      <c r="T3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2" s="8" t="str">
        <f>", "&amp;'RAW (公開用)'!P32&amp;", "</f>
        <v xml:space="preserve">, they/them/their/themself, they/them/their/themselves, </v>
      </c>
      <c r="V32" s="8" t="s">
        <v>455</v>
      </c>
      <c r="W32" s="8" t="str">
        <f>", "&amp;'RAW (公開用)'!R32&amp;", "</f>
        <v xml:space="preserve">, ミスジェンダリング（誤った性別として扱うこと）, トイレなどのジェンダー化されたスペースの使用, </v>
      </c>
      <c r="X32" s="8"/>
      <c r="Y3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トイレなどのジェンダー化されたスペースの使用,  </v>
      </c>
      <c r="Z32" s="8" t="s">
        <v>455</v>
      </c>
      <c r="AA32" s="8" t="str">
        <f>", "&amp;'RAW (公開用)'!U32&amp;", "</f>
        <v xml:space="preserve">, 胸部の手術, </v>
      </c>
      <c r="AB32" s="8" t="str">
        <f>", "&amp;'RAW (公開用)'!V32&amp;", "</f>
        <v xml:space="preserve">, （上記のどれも経験していない）, </v>
      </c>
      <c r="AC32" s="8"/>
      <c r="AD3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2" s="8" t="s">
        <v>456</v>
      </c>
      <c r="AF32" s="8" t="s">
        <v>457</v>
      </c>
      <c r="AG32" s="8" t="s">
        <v>458</v>
      </c>
      <c r="AH32" s="8"/>
      <c r="AI32" s="8">
        <f>((LEN(G32)-LEN(SUBSTITUTE(G32,", ","")))/LEN(", ")-1-(LEN(G32)-LEN(SUBSTITUTE(G32,"必ず","")))/LEN("必ず"))+(LEN(H32)-LEN(SUBSTITUTE(H32,",","")))</f>
        <v>4</v>
      </c>
      <c r="AJ32" s="8"/>
      <c r="AK32" s="8"/>
      <c r="AL32" s="8"/>
      <c r="AM32" s="8"/>
      <c r="AN32" s="8"/>
    </row>
    <row r="33" spans="1:40" ht="12.75" hidden="1">
      <c r="A33" s="8">
        <v>32</v>
      </c>
      <c r="B33" s="11">
        <v>44969.829025960644</v>
      </c>
      <c r="C33" s="8" t="s">
        <v>452</v>
      </c>
      <c r="D33" s="8" t="s">
        <v>453</v>
      </c>
      <c r="E33" s="8" t="s">
        <v>452</v>
      </c>
      <c r="F33" s="8" t="s">
        <v>454</v>
      </c>
      <c r="G33" s="8" t="str">
        <f>", "&amp;'RAW (公開用)'!F33&amp;", "</f>
        <v xml:space="preserve">, **必ず選んでください**, クィア／Queer, </v>
      </c>
      <c r="H33" s="8"/>
      <c r="I33" s="8" t="str">
        <f>", "&amp;'RAW (公開用)'!H33&amp;", "</f>
        <v xml:space="preserve">, （敬称なし）, </v>
      </c>
      <c r="J33" s="8" t="s">
        <v>2335</v>
      </c>
      <c r="K3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 </v>
      </c>
      <c r="L33" s="8" t="str">
        <f>", "&amp;'RAW (公開用)'!J33&amp;", "</f>
        <v xml:space="preserve">, -san, </v>
      </c>
      <c r="M33" s="8" t="s">
        <v>2335</v>
      </c>
      <c r="N3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33" s="8" t="str">
        <f>", "&amp;'RAW (公開用)'!L33&amp;", "</f>
        <v xml:space="preserve">, わたし, </v>
      </c>
      <c r="P33" s="8" t="s">
        <v>2335</v>
      </c>
      <c r="Q3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3" s="8" t="str">
        <f>", "&amp;'RAW (公開用)'!N33&amp;", "</f>
        <v xml:space="preserve">, （自分（たち）の名前）, （any／問わない／どれでもよい）, </v>
      </c>
      <c r="S33" s="8" t="s">
        <v>2335</v>
      </c>
      <c r="T3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33" s="8" t="str">
        <f>", "&amp;'RAW (公開用)'!P33&amp;", "</f>
        <v xml:space="preserve">, **英語を日常的に使わない**, </v>
      </c>
      <c r="V33" s="8" t="s">
        <v>455</v>
      </c>
      <c r="W33" s="8" t="str">
        <f>", "&amp;'RAW (公開用)'!R33&amp;", "</f>
        <v xml:space="preserve">, カムアウトを強制される, </v>
      </c>
      <c r="X33" s="8"/>
      <c r="Y3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v>
      </c>
      <c r="Z33" s="8" t="s">
        <v>455</v>
      </c>
      <c r="AA33" s="8" t="str">
        <f>", "&amp;'RAW (公開用)'!U33&amp;", "</f>
        <v xml:space="preserve">, （上記のどれも希望していない）, </v>
      </c>
      <c r="AB33" s="8" t="str">
        <f>", "&amp;'RAW (公開用)'!V33&amp;", "</f>
        <v xml:space="preserve">, （上記のどれも経験していない）, </v>
      </c>
      <c r="AC33" s="8"/>
      <c r="AD3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 s="8" t="s">
        <v>479</v>
      </c>
      <c r="AF33" s="8" t="s">
        <v>457</v>
      </c>
      <c r="AG33" s="8" t="s">
        <v>458</v>
      </c>
      <c r="AH33" s="8"/>
      <c r="AI33" s="8">
        <f>((LEN(G33)-LEN(SUBSTITUTE(G33,", ","")))/LEN(", ")-1-(LEN(G33)-LEN(SUBSTITUTE(G33,"必ず","")))/LEN("必ず"))+(LEN(H33)-LEN(SUBSTITUTE(H33,",","")))</f>
        <v>1</v>
      </c>
      <c r="AJ33" s="8"/>
      <c r="AK33" s="8"/>
      <c r="AL33" s="8"/>
      <c r="AM33" s="8"/>
      <c r="AN33" s="8"/>
    </row>
    <row r="34" spans="1:40" ht="51" hidden="1">
      <c r="A34" s="8">
        <v>23</v>
      </c>
      <c r="B34" s="11">
        <v>44969.816465439813</v>
      </c>
      <c r="C34" s="8" t="s">
        <v>452</v>
      </c>
      <c r="D34" s="8" t="s">
        <v>453</v>
      </c>
      <c r="E34" s="8" t="s">
        <v>452</v>
      </c>
      <c r="F34" s="8" t="s">
        <v>454</v>
      </c>
      <c r="G34" s="8" t="str">
        <f>", "&amp;'RAW (公開用)'!F24&amp;", "</f>
        <v xml:space="preserve">, 女性／woman, </v>
      </c>
      <c r="H34" s="8"/>
      <c r="I34" s="8" t="str">
        <f>", "&amp;'RAW (公開用)'!H24&amp;", "</f>
        <v xml:space="preserve">, さん, </v>
      </c>
      <c r="J34" s="8" t="s">
        <v>2335</v>
      </c>
      <c r="K3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4" s="8" t="str">
        <f>", "&amp;'RAW (公開用)'!J24&amp;", "</f>
        <v xml:space="preserve">, -san, </v>
      </c>
      <c r="M34" s="8" t="s">
        <v>2335</v>
      </c>
      <c r="N3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34" s="8" t="str">
        <f>", "&amp;'RAW (公開用)'!L24&amp;", "</f>
        <v xml:space="preserve">, わたし, </v>
      </c>
      <c r="P34" s="8" t="s">
        <v>2335</v>
      </c>
      <c r="Q3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4" s="8" t="str">
        <f>", "&amp;'RAW (公開用)'!N34&amp;", "</f>
        <v xml:space="preserve">, （自分（たち）の名前）, 彼, （三人称で言及してほしくない）, </v>
      </c>
      <c r="S34" s="8" t="s">
        <v>2355</v>
      </c>
      <c r="T3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彼, （三人称で言及してほしくない）,  , {この/その/あの}+人,</v>
      </c>
      <c r="U34" s="8" t="str">
        <f>", "&amp;'RAW (公開用)'!P24&amp;", "</f>
        <v xml:space="preserve">, she, </v>
      </c>
      <c r="V34" s="8" t="s">
        <v>455</v>
      </c>
      <c r="W34" s="8" t="str">
        <f>", "&amp;'RAW (公開用)'!R24&amp;", "</f>
        <v xml:space="preserve">, 性暴力, 家族／かぞくからの無理解, </v>
      </c>
      <c r="X34" s="8" t="s">
        <v>220</v>
      </c>
      <c r="Y3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家族／かぞくからの無理解,  デミセクシャルアセクシャルという自認なので、居場所が常にないと感じます。
また、アセクシャルは性経験がない人が多数と思いますが、経験がないことへの偏見が社会から是正されると良いと思います</v>
      </c>
      <c r="Z34" s="8" t="s">
        <v>472</v>
      </c>
      <c r="AA34" s="8" t="s">
        <v>2174</v>
      </c>
      <c r="AB34" s="105" t="s">
        <v>2443</v>
      </c>
      <c r="AC34" s="8"/>
      <c r="AD34"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4" s="8" t="s">
        <v>479</v>
      </c>
      <c r="AF34" s="8" t="s">
        <v>457</v>
      </c>
      <c r="AG34" s="8" t="s">
        <v>458</v>
      </c>
      <c r="AH34" s="8"/>
      <c r="AI34" s="8">
        <f>((LEN(G34)-LEN(SUBSTITUTE(G34,", ","")))/LEN(", ")-1-(LEN(G34)-LEN(SUBSTITUTE(G34,"必ず","")))/LEN("必ず"))+(LEN(H34)-LEN(SUBSTITUTE(H34,",","")))</f>
        <v>1</v>
      </c>
      <c r="AJ34" s="8"/>
      <c r="AK34" s="8"/>
      <c r="AL34" s="8"/>
      <c r="AM34" s="8"/>
      <c r="AN34" s="8"/>
    </row>
    <row r="35" spans="1:40" ht="306" hidden="1">
      <c r="A35" s="8">
        <v>82</v>
      </c>
      <c r="B35" s="11">
        <v>44969.932688182875</v>
      </c>
      <c r="C35" s="8" t="s">
        <v>452</v>
      </c>
      <c r="D35" s="8" t="s">
        <v>453</v>
      </c>
      <c r="E35" s="8" t="s">
        <v>452</v>
      </c>
      <c r="F35" s="8" t="s">
        <v>454</v>
      </c>
      <c r="G35" s="8" t="str">
        <f>", "&amp;'RAW (公開用)'!F83&amp;", "</f>
        <v xml:space="preserve">, enby／エンビー, クエスチョニング, ゼノジェンダー／xenogender, クィア／Queer, **必ず選んでください**, ノンバイナリー, </v>
      </c>
      <c r="H35" s="8" t="s">
        <v>508</v>
      </c>
      <c r="I35" s="8" t="str">
        <f>", "&amp;'RAW (公開用)'!H83&amp;", "</f>
        <v xml:space="preserve">, （敬称なし）, くん／君, ちゃん, さん, （any／問わない／どれでもよい）, </v>
      </c>
      <c r="J35" s="73" t="s">
        <v>2342</v>
      </c>
      <c r="K3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（敬称なし）, くん／君, ちゃん, さん, （any／問わない／どれでもよい）,  , 陛下,</v>
      </c>
      <c r="L35" s="8" t="str">
        <f>", "&amp;'RAW (公開用)'!J83&amp;", "</f>
        <v xml:space="preserve">, **英語を日常的に使わない**, -san, </v>
      </c>
      <c r="M35" s="8" t="s">
        <v>2335</v>
      </c>
      <c r="N3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35" s="8" t="str">
        <f>", "&amp;'RAW (公開用)'!L83&amp;", "</f>
        <v xml:space="preserve">, （時とともに変わる）, 俺, 私（わたし／わたくし）, （クエスチョニング、模索中、または不明）, （自分（たち）の名前）, 自分, わたし, </v>
      </c>
      <c r="P35" s="73" t="s">
        <v>2382</v>
      </c>
      <c r="Q3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（時とともに変わる）, 俺, 私（わたし／わたくし）, （クエスチョニング、模索中、または不明）, （自分（たち）の名前）, 自分, わたし,  , 朕,</v>
      </c>
      <c r="R35" s="8" t="str">
        <f>", "&amp;'RAW (公開用)'!N35&amp;", "</f>
        <v xml:space="preserve">, 彼女, （自分（たち）の名前）, </v>
      </c>
      <c r="S35" s="8" t="s">
        <v>2335</v>
      </c>
      <c r="T3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35" s="8" t="str">
        <f>", "&amp;'RAW (公開用)'!P83&amp;", "</f>
        <v xml:space="preserve">, **英語を日常的に使わない**, any/問わない/どれでもよい, </v>
      </c>
      <c r="V35" s="8" t="s">
        <v>455</v>
      </c>
      <c r="W35" s="8" t="str">
        <f>", "&amp;'RAW (公開用)'!R83&amp;", "</f>
        <v xml:space="preserve">, 家族／かぞくからの無理解, ミスジェンダリング（誤った性別として扱うこと）, アウティング（勝手にジェンダーや指向についての情報を明かされること）, 性暴力, 医療における無理解, トイレなどのジェンダー化されたスペースの使用, LGBTQ+運動からの排斥, 職場や学校における無理解, 必要なジェンダーケアへアクセスできない, 社会の中でいないことにされる, カムアウトできない, </v>
      </c>
      <c r="X35" s="8" t="s">
        <v>265</v>
      </c>
      <c r="Y3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家族／かぞくからの無理解, ミスジェンダリング（誤った性別として扱うこと）, アウティング（勝手にジェンダーや指向についての情報を明かされること）, 性暴力, 医療における無理解, トイレなどのジェンダー化されたスペースの使用, LGBTQ+運動からの排斥, 職場や学校における無理解, 必要なジェンダーケアへアクセスできない, 社会の中でいないことにされる, カムアウトできない,  曖昧で、日本ではまだ理解が進んでいないジェンダーアイデンティティのため、LGBTQコミュニティ内でも排斥されるのではないか、自分のような存在は想定されていないのではないかという不安感がある</v>
      </c>
      <c r="Z35" s="8" t="s">
        <v>455</v>
      </c>
      <c r="AA35" s="8" t="str">
        <f>", "&amp;'RAW (公開用)'!U83&amp;", "</f>
        <v xml:space="preserve">, 戸籍上の性別の変更, ジェンダークリニックの受診, ホルモン補充療法（HRT）, 胸部の手術, </v>
      </c>
      <c r="AB35" s="8" t="str">
        <f>", "&amp;'RAW (公開用)'!V83&amp;", "</f>
        <v xml:space="preserve">, ジェンダークリニックの受診, </v>
      </c>
      <c r="AC35" s="8" t="s">
        <v>378</v>
      </c>
      <c r="AD35"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先日、ジェンダークリニックの医師に、先に精神科に通ってもらったほうがいい、というようなことを言われました。しかし、性別違和を抱えている患者を診てくれる精神科は、少なくとも通える範囲にはありませんでした。その発言をした担当医も、はじめからジェンダー以外に問題を抱える患者を診る気がないようで、インターセクショナリティ意識の無さに愕然としました。
また、保険医療での手術を望む場合の条件が非常に厳しく、新幹線を使って遠くのジェンダークリニック通い性別判定を受けたのち同病院で手術を行うか、近場（といってもそこまで近くないですが…）のジェンダークリニックに通って性別判定を受けたのち、手術が可能な病院まで一日がかりで行くか、という感じでした。保険を使わない場合でも、ジェンダークリニックが紹介出来る場所で一番近いところには入院施設がなく、家で療養中に緊急事態が起こっても対処しにくい、と言われました。
結局、今はジェンダークリニックに通うことは中断しています。もっと保険医療が手厚ければ、ジェンダークリニックや一般の精神科などにインターセクショナリティの考え方があれば、ジェンダークリニックに精神面のケアを行う用意があれば、もっと簡単で安全に、傷付けられることなくジェンダークリニックや身体治療にアクセスしやすいんじゃないか…と考えます。
また、ジェンダークリニックなどのHPに「MtF/FtM」としか書かれていないことが多く、そのどちらにも当てはまらない存在としては、ジェンダークリニックに行くこと自体躊躇してしまいます。
とにかくずっと、当事者の体験記以外の、トランジションに関わるすべての情報の中からXジェンダーやノンバイナリーが排除されている感覚があります。いないことにしないで欲しいです。</v>
      </c>
      <c r="AE35" s="8" t="s">
        <v>464</v>
      </c>
      <c r="AF35" s="8" t="s">
        <v>481</v>
      </c>
      <c r="AG35" s="8" t="s">
        <v>458</v>
      </c>
      <c r="AH35" s="8"/>
      <c r="AI35" s="8">
        <f>(LEN(G35)-LEN(SUBSTITUTE(G35,", ","")))/LEN(", ")-1-(LEN(G35)-LEN(SUBSTITUTE(G35,"必ず","")))/LEN("必ず")</f>
        <v>5</v>
      </c>
      <c r="AJ35" s="8"/>
      <c r="AK35" s="8"/>
      <c r="AL35" s="8"/>
      <c r="AM35" s="8"/>
      <c r="AN35" s="8"/>
    </row>
    <row r="36" spans="1:40" ht="204" hidden="1">
      <c r="A36" s="8">
        <v>35</v>
      </c>
      <c r="B36" s="11">
        <v>44969.832010648148</v>
      </c>
      <c r="C36" s="8" t="s">
        <v>452</v>
      </c>
      <c r="D36" s="8" t="s">
        <v>453</v>
      </c>
      <c r="E36" s="8" t="s">
        <v>452</v>
      </c>
      <c r="F36" s="8" t="s">
        <v>454</v>
      </c>
      <c r="G36" s="8" t="str">
        <f>", "&amp;'RAW (公開用)'!F36&amp;", "</f>
        <v xml:space="preserve">, 不定性, クエスチョニング, クィア／Queer, **必ず選んでください**, （ジェンダー・）フルイド／（ジェンダー・）フリュイド／（ジェンダー・）フルイッド, ノンバイナリー, ジェンダークィア, Xジェンダー, </v>
      </c>
      <c r="H36" s="8"/>
      <c r="I36" s="8" t="str">
        <f>", "&amp;'RAW (公開用)'!H36&amp;", "</f>
        <v xml:space="preserve">, （クエスチョニング、模索中、または不明）, （敬称なし）, さん, </v>
      </c>
      <c r="J36" s="16" t="s">
        <v>2343</v>
      </c>
      <c r="K36" s="16"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（クエスチョニング、模索中、または不明）, （敬称なし）, さん,  , あだ名＋ちゃん,</v>
      </c>
      <c r="L36" s="8" t="str">
        <f>", "&amp;'RAW (公開用)'!J36&amp;", "</f>
        <v xml:space="preserve">, **英語を日常的に使わない**, </v>
      </c>
      <c r="M36" s="8" t="s">
        <v>2335</v>
      </c>
      <c r="N3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 s="8" t="str">
        <f>", "&amp;'RAW (公開用)'!L36&amp;", "</f>
        <v xml:space="preserve">, （時とともに変わる）, わたくし, おれ, 自分, ぼく, わたし, （一人称の使用を避ける）, 私（わたし／わたくし）, </v>
      </c>
      <c r="P36" s="8" t="s">
        <v>2335</v>
      </c>
      <c r="Q3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わたくし, おれ, 自分, ぼく, わたし, （一人称の使用を避ける）, 私（わたし／わたくし）,  , </v>
      </c>
      <c r="R36" s="8" t="str">
        <f>", "&amp;'RAW (公開用)'!N36&amp;", "</f>
        <v xml:space="preserve">, （三人称で言及してほしくない）, （自分（たち）の名前）, </v>
      </c>
      <c r="S36" s="8" t="s">
        <v>2335</v>
      </c>
      <c r="T3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6" s="8" t="str">
        <f>", "&amp;'RAW (公開用)'!P36&amp;", "</f>
        <v xml:space="preserve">, they/them/their/themself, they/them/their/themselves, **英語を日常的に使わない**, </v>
      </c>
      <c r="V36" s="8" t="s">
        <v>455</v>
      </c>
      <c r="W36" s="8" t="str">
        <f>", "&amp;'RAW (公開用)'!R36&amp;", "</f>
        <v xml:space="preserve">, 職場や学校における無理解, カムアウトできない, 家族／かぞくからの無理解, 社会の中でいないことにされる, トイレなどのジェンダー化されたスペースの使用, ミスジェンダリング（誤った性別として扱うこと）, カムアウトを強制される, 必要なジェンダーケアへアクセスできない, アウティング（勝手にジェンダーや指向についての情報を明かされること）, </v>
      </c>
      <c r="X36" s="8" t="s">
        <v>195</v>
      </c>
      <c r="Y3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カムアウトできない, 家族／かぞくからの無理解, 社会の中でいないことにされる, トイレなどのジェンダー化されたスペースの使用, ミスジェンダリング（誤った性別として扱うこと）, カムアウトを強制される, 必要なジェンダーケアへアクセスできない, アウティング（勝手にジェンダーや指向についての情報を明かされること）,  ・大学の授業で、教員から｢私が学生に｢さん｣を付けるのは問題にされたくないからだから｣｢男がスカート履いてたら変でしょ？｣｢男性とか女性とかもしかしたら｢中性｣もいるかもしれないけど｣と笑い話にされたり、嘲笑されたりした。カミングアウト出来そうにない。
・就活で自分の望まないスーツや振る舞いをしなければならないのか、不安。(親からは｢我慢しなさい｣と言われた)
また、大学のマナーセミナーでは外見から女性として扱われ、女性に求められるマナーとしてお辞儀の仕方や立ち方を女性全員が立たされる形で断れない(カミングアウトできない)空気の中、女性らしい仕草を求められた。
また、大学のメイクセミナーでは、女性向け男性向けの区別がされており、どちらも選べなかった。大学に申請して匿名で戸籍とは違う性別のセミナーを受けたが、身体的な男性にむけた講座しかなく、受講しづらかった。</v>
      </c>
      <c r="Z36" s="8" t="s">
        <v>455</v>
      </c>
      <c r="AA36" s="8" t="str">
        <f>", "&amp;'RAW (公開用)'!U36&amp;", "</f>
        <v xml:space="preserve">, 戸籍上の性別の変更, ジェンダークリニックの受診, </v>
      </c>
      <c r="AB36" s="8" t="str">
        <f>", "&amp;'RAW (公開用)'!V36&amp;", "</f>
        <v xml:space="preserve">, （上記のどれも経験していない）, </v>
      </c>
      <c r="AC36" s="8" t="s">
        <v>395</v>
      </c>
      <c r="AD3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ノンバイナリーやXジェンダーの戸籍がないため、変更ができず、困っている。</v>
      </c>
      <c r="AE36" s="8" t="s">
        <v>462</v>
      </c>
      <c r="AF36" s="8" t="s">
        <v>457</v>
      </c>
      <c r="AG36" s="8" t="s">
        <v>458</v>
      </c>
      <c r="AH36" s="8"/>
      <c r="AI36" s="8">
        <f>((LEN(G36)-LEN(SUBSTITUTE(G36,", ","")))/LEN(", ")-1-(LEN(G36)-LEN(SUBSTITUTE(G36,"必ず","")))/LEN("必ず"))+(LEN(H36)-LEN(SUBSTITUTE(H36,",","")))</f>
        <v>7</v>
      </c>
      <c r="AJ36" s="8"/>
      <c r="AK36" s="8"/>
      <c r="AL36" s="8"/>
      <c r="AM36" s="8"/>
      <c r="AN36" s="8"/>
    </row>
    <row r="37" spans="1:40" ht="25.5" hidden="1">
      <c r="A37" s="8">
        <v>56</v>
      </c>
      <c r="B37" s="11">
        <v>44969.862280671296</v>
      </c>
      <c r="C37" s="8" t="s">
        <v>452</v>
      </c>
      <c r="D37" s="8" t="s">
        <v>453</v>
      </c>
      <c r="E37" s="8" t="s">
        <v>452</v>
      </c>
      <c r="F37" s="8" t="s">
        <v>454</v>
      </c>
      <c r="G37" s="8" t="str">
        <f>", "&amp;'RAW (公開用)'!F57&amp;", "</f>
        <v xml:space="preserve">, ノンバイナリー, **必ず選んでください**, クエスチョニング, クィア／Queer, </v>
      </c>
      <c r="H37" s="8"/>
      <c r="I37" s="8" t="str">
        <f>", "&amp;'RAW (公開用)'!H57&amp;", "</f>
        <v xml:space="preserve">, （敬称なし）, さん, </v>
      </c>
      <c r="J37" s="8" t="s">
        <v>2335</v>
      </c>
      <c r="K3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7" s="8" t="str">
        <f>", "&amp;'RAW (公開用)'!J57&amp;", "</f>
        <v xml:space="preserve">, **英語を日常的に使わない**, </v>
      </c>
      <c r="M37" s="8" t="s">
        <v>2335</v>
      </c>
      <c r="N3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 s="8" t="str">
        <f>", "&amp;'RAW (公開用)'!L57&amp;", "</f>
        <v xml:space="preserve">, （時とともに変わる）, 自分, ぼく, 私（わたし／わたくし）, </v>
      </c>
      <c r="P37" s="8" t="s">
        <v>2335</v>
      </c>
      <c r="Q3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自分, ぼく, 私（わたし／わたくし）,  , </v>
      </c>
      <c r="R37" s="8" t="str">
        <f>", "&amp;'RAW (公開用)'!N37&amp;", "</f>
        <v xml:space="preserve">, （自分（たち）の名前）, </v>
      </c>
      <c r="S37" s="8" t="s">
        <v>2355</v>
      </c>
      <c r="T3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37" s="8" t="str">
        <f>", "&amp;'RAW (公開用)'!P57&amp;", "</f>
        <v xml:space="preserve">, **英語を日常的に使わない**, </v>
      </c>
      <c r="V37" s="8" t="s">
        <v>455</v>
      </c>
      <c r="W37" s="8" t="str">
        <f>", "&amp;'RAW (公開用)'!R57&amp;", "</f>
        <v xml:space="preserve">, デッドネーミング（誤った名前で呼ばれること）, 社会の中でいないことにされる, カムアウトできない, 必要なジェンダーケアへアクセスできない, </v>
      </c>
      <c r="X37" s="8"/>
      <c r="Y3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社会の中でいないことにされる, カムアウトできない, 必要なジェンダーケアへアクセスできない,  </v>
      </c>
      <c r="Z37" s="8" t="s">
        <v>455</v>
      </c>
      <c r="AA37" s="8" t="str">
        <f>", "&amp;'RAW (公開用)'!U57&amp;", "</f>
        <v xml:space="preserve">, 戸籍名の変更, ジェンダークリニックの受診, 抗ホルモン療法, 胸部の手術, </v>
      </c>
      <c r="AB37" s="8" t="str">
        <f>", "&amp;'RAW (公開用)'!V57&amp;", "</f>
        <v xml:space="preserve">, （上記のどれも経験していない）, </v>
      </c>
      <c r="AC37" s="8"/>
      <c r="AD3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7" s="8" t="s">
        <v>456</v>
      </c>
      <c r="AF37" s="8" t="s">
        <v>457</v>
      </c>
      <c r="AG37" s="8" t="s">
        <v>458</v>
      </c>
      <c r="AH37" s="8"/>
      <c r="AI37" s="8">
        <f>((LEN(G37)-LEN(SUBSTITUTE(G37,", ","")))/LEN(", ")-1-(LEN(G37)-LEN(SUBSTITUTE(G37,"必ず","")))/LEN("必ず"))+(LEN(H37)-LEN(SUBSTITUTE(H37,",","")))</f>
        <v>3</v>
      </c>
      <c r="AJ37" s="8"/>
      <c r="AK37" s="8"/>
      <c r="AL37" s="8"/>
      <c r="AM37" s="8"/>
      <c r="AN37" s="8"/>
    </row>
    <row r="38" spans="1:40" ht="38.25" hidden="1">
      <c r="A38" s="8">
        <v>87</v>
      </c>
      <c r="B38" s="11">
        <v>44969.963536030089</v>
      </c>
      <c r="C38" s="8" t="s">
        <v>452</v>
      </c>
      <c r="D38" s="8" t="s">
        <v>453</v>
      </c>
      <c r="E38" s="8" t="s">
        <v>452</v>
      </c>
      <c r="F38" s="8" t="s">
        <v>454</v>
      </c>
      <c r="G38" s="8" t="str">
        <f>", "&amp;'RAW (公開用)'!F88&amp;", "</f>
        <v xml:space="preserve">, クエスチョニング, デミジェンダー, **必ず選んでください**, ジェンダー・ノンコンフォーミング／gender non-conforming, デミAジェンダー, デミガール, ノンバイナリー, </v>
      </c>
      <c r="H38" s="8"/>
      <c r="I38" s="8" t="str">
        <f>", "&amp;'RAW (公開用)'!H88&amp;", "</f>
        <v xml:space="preserve">, （敬称なし）, さん, </v>
      </c>
      <c r="J38" s="8" t="s">
        <v>2335</v>
      </c>
      <c r="K3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8" s="8" t="str">
        <f>", "&amp;'RAW (公開用)'!J88&amp;", "</f>
        <v xml:space="preserve">, （クエスチョニング、模索中、または不明）, </v>
      </c>
      <c r="M38" s="8" t="s">
        <v>2335</v>
      </c>
      <c r="N3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 </v>
      </c>
      <c r="O38" s="8" t="str">
        <f>", "&amp;'RAW (公開用)'!L88&amp;", "</f>
        <v xml:space="preserve">, 私（わたし／わたくし）, 自分, </v>
      </c>
      <c r="P38" s="8" t="s">
        <v>2335</v>
      </c>
      <c r="Q3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38" s="8" t="str">
        <f>", "&amp;'RAW (公開用)'!N38&amp;", "</f>
        <v xml:space="preserve">, （三人称で言及してほしくない）, </v>
      </c>
      <c r="S38" s="8" t="s">
        <v>2355</v>
      </c>
      <c r="T3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{この/その/あの}+人,</v>
      </c>
      <c r="U38" s="8" t="str">
        <f>", "&amp;'RAW (公開用)'!P88&amp;", "</f>
        <v xml:space="preserve">, **英語を日常的に使わない**, </v>
      </c>
      <c r="V38" s="8" t="s">
        <v>455</v>
      </c>
      <c r="W38" s="8" t="str">
        <f>", "&amp;'RAW (公開用)'!R88&amp;", "</f>
        <v xml:space="preserve">, カムアウトできない, 社会の中でいないことにされる, ミスジェンダリング（誤った性別として扱うこと）, </v>
      </c>
      <c r="X38" s="8"/>
      <c r="Y3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社会の中でいないことにされる, ミスジェンダリング（誤った性別として扱うこと）,  </v>
      </c>
      <c r="Z38" s="8" t="s">
        <v>455</v>
      </c>
      <c r="AA38" s="8" t="str">
        <f>", "&amp;'RAW (公開用)'!U88&amp;", "</f>
        <v xml:space="preserve">, （上記のどれも希望していない）, </v>
      </c>
      <c r="AB38" s="8" t="str">
        <f>", "&amp;'RAW (公開用)'!V88&amp;", "</f>
        <v xml:space="preserve">, （上記のどれも経験していない）, </v>
      </c>
      <c r="AC38" s="8"/>
      <c r="AD3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 s="8" t="s">
        <v>462</v>
      </c>
      <c r="AF38" s="8" t="s">
        <v>457</v>
      </c>
      <c r="AG38" s="8" t="s">
        <v>458</v>
      </c>
      <c r="AH38" s="8"/>
      <c r="AI38" s="8">
        <f>(LEN(G38)-LEN(SUBSTITUTE(G38,", ","")))/LEN(", ")-1-(LEN(G38)-LEN(SUBSTITUTE(G38,"必ず","")))/LEN("必ず")</f>
        <v>6</v>
      </c>
      <c r="AJ38" s="8"/>
      <c r="AK38" s="8"/>
      <c r="AL38" s="8"/>
      <c r="AM38" s="8"/>
      <c r="AN38" s="8"/>
    </row>
    <row r="39" spans="1:40" ht="25.5" hidden="1">
      <c r="A39" s="8">
        <v>143</v>
      </c>
      <c r="B39" s="11">
        <v>44970.67000893518</v>
      </c>
      <c r="C39" s="8" t="s">
        <v>452</v>
      </c>
      <c r="D39" s="8" t="s">
        <v>453</v>
      </c>
      <c r="E39" s="8" t="s">
        <v>452</v>
      </c>
      <c r="F39" s="8" t="s">
        <v>454</v>
      </c>
      <c r="G39" s="8" t="str">
        <f>", "&amp;'RAW (公開用)'!F144&amp;", "</f>
        <v xml:space="preserve">, 無性, Aジェンダー／エイジェンダー／アジェンダー／agender, **必ず選んでください**, </v>
      </c>
      <c r="H39" s="8"/>
      <c r="I39" s="8" t="str">
        <f>", "&amp;'RAW (公開用)'!H144&amp;", "</f>
        <v xml:space="preserve">, さん, ちゃん, </v>
      </c>
      <c r="J39" s="8" t="s">
        <v>2335</v>
      </c>
      <c r="K3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39" s="8" t="str">
        <f>", "&amp;'RAW (公開用)'!J144&amp;", "</f>
        <v xml:space="preserve">, **英語を日常的に使わない**, </v>
      </c>
      <c r="M39" s="8" t="s">
        <v>2335</v>
      </c>
      <c r="N3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 s="8" t="str">
        <f>", "&amp;'RAW (公開用)'!L144&amp;", "</f>
        <v xml:space="preserve">, 私（わたし／わたくし）, わたし, </v>
      </c>
      <c r="P39" s="8" t="s">
        <v>2335</v>
      </c>
      <c r="Q3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39" s="8" t="str">
        <f>", "&amp;'RAW (公開用)'!N39&amp;", "</f>
        <v xml:space="preserve">, （三人称で言及してほしくない）, 彼女, </v>
      </c>
      <c r="S39" s="8" t="s">
        <v>2355</v>
      </c>
      <c r="T3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彼女,  , {この/その/あの}+人,</v>
      </c>
      <c r="U39" s="8" t="str">
        <f>", "&amp;'RAW (公開用)'!P144&amp;", "</f>
        <v xml:space="preserve">, **英語を日常的に使わない**, </v>
      </c>
      <c r="V39" s="8" t="s">
        <v>455</v>
      </c>
      <c r="W39" s="8" t="str">
        <f>", "&amp;'RAW (公開用)'!R144&amp;", "</f>
        <v xml:space="preserve">, デッドネーミング（誤った名前で呼ばれること）, ミスジェンダリング（誤った性別として扱うこと）, </v>
      </c>
      <c r="X39" s="8"/>
      <c r="Y3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ミスジェンダリング（誤った性別として扱うこと）,  </v>
      </c>
      <c r="Z39" s="8" t="s">
        <v>455</v>
      </c>
      <c r="AA39" s="8" t="str">
        <f>", "&amp;'RAW (公開用)'!U144&amp;", "</f>
        <v xml:space="preserve">, ホルモン補充療法（HRT）, </v>
      </c>
      <c r="AB39" s="8" t="str">
        <f>", "&amp;'RAW (公開用)'!V144&amp;", "</f>
        <v xml:space="preserve">, ホルモン補充療法（HRT）, </v>
      </c>
      <c r="AC39" s="8"/>
      <c r="AD39"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39" s="8" t="s">
        <v>461</v>
      </c>
      <c r="AF39" s="8" t="s">
        <v>457</v>
      </c>
      <c r="AG39" s="8" t="s">
        <v>458</v>
      </c>
      <c r="AH39" s="8"/>
      <c r="AI39" s="8">
        <f>(LEN(G39)-LEN(SUBSTITUTE(G39,", ","")))/LEN(", ")-1-(LEN(G39)-LEN(SUBSTITUTE(G39,"必ず","")))/LEN("必ず")</f>
        <v>2</v>
      </c>
      <c r="AJ39" s="8"/>
      <c r="AK39" s="8"/>
      <c r="AL39" s="8"/>
      <c r="AM39" s="8"/>
      <c r="AN39" s="8"/>
    </row>
    <row r="40" spans="1:40" ht="12.75" hidden="1">
      <c r="A40" s="8">
        <v>209</v>
      </c>
      <c r="B40" s="11">
        <v>44971.317260081021</v>
      </c>
      <c r="C40" s="8" t="s">
        <v>452</v>
      </c>
      <c r="D40" s="8" t="s">
        <v>453</v>
      </c>
      <c r="E40" s="8" t="s">
        <v>452</v>
      </c>
      <c r="F40" s="8" t="s">
        <v>454</v>
      </c>
      <c r="G40" s="8" t="str">
        <f>", "&amp;'RAW (公開用)'!F210&amp;", "</f>
        <v xml:space="preserve">, 不明／わからない, </v>
      </c>
      <c r="H40" s="8"/>
      <c r="I40" s="8" t="str">
        <f>", "&amp;'RAW (公開用)'!H210&amp;", "</f>
        <v xml:space="preserve">, さん, </v>
      </c>
      <c r="J40" s="8" t="s">
        <v>2335</v>
      </c>
      <c r="K4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0" s="8" t="str">
        <f>", "&amp;'RAW (公開用)'!J210&amp;", "</f>
        <v xml:space="preserve">, **英語を日常的に使わない**, </v>
      </c>
      <c r="M40" s="8" t="s">
        <v>2335</v>
      </c>
      <c r="N4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0" s="8" t="str">
        <f>", "&amp;'RAW (公開用)'!L210&amp;", "</f>
        <v xml:space="preserve">, （一人称の使用を避ける）, うち, </v>
      </c>
      <c r="P40" s="8" t="s">
        <v>2335</v>
      </c>
      <c r="Q4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うち,  , </v>
      </c>
      <c r="R40" s="8" t="str">
        <f>", "&amp;'RAW (公開用)'!N40&amp;", "</f>
        <v xml:space="preserve">, （自分（たち）の名前）, </v>
      </c>
      <c r="S40" s="8" t="s">
        <v>2355</v>
      </c>
      <c r="T4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40" s="8" t="str">
        <f>", "&amp;'RAW (公開用)'!P210&amp;", "</f>
        <v xml:space="preserve">, **英語を日常的に使わない**, </v>
      </c>
      <c r="V40" s="8" t="s">
        <v>455</v>
      </c>
      <c r="W40" s="8" t="str">
        <f>", "&amp;'RAW (公開用)'!R210&amp;", "</f>
        <v xml:space="preserve">, 社会の中でいないことにされる, カムアウトできない, </v>
      </c>
      <c r="X40" s="8"/>
      <c r="Y4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40" s="8" t="s">
        <v>455</v>
      </c>
      <c r="AA40" s="8" t="str">
        <f>", "&amp;'RAW (公開用)'!U210&amp;", "</f>
        <v xml:space="preserve">, （上記のどれも希望していない）, </v>
      </c>
      <c r="AB40" s="8" t="str">
        <f>", "&amp;'RAW (公開用)'!V210&amp;", "</f>
        <v xml:space="preserve">, （上記のどれも経験していない）, </v>
      </c>
      <c r="AC40" s="8"/>
      <c r="AD4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0" s="8" t="s">
        <v>456</v>
      </c>
      <c r="AF40" s="8" t="s">
        <v>457</v>
      </c>
      <c r="AG40" s="8" t="s">
        <v>458</v>
      </c>
      <c r="AH40" s="8"/>
      <c r="AI40" s="8">
        <f>(LEN(G40)-LEN(SUBSTITUTE(G40,", ","")))/LEN(", ")-1-(LEN(G40)-LEN(SUBSTITUTE(G40,"必ず","")))/LEN("必ず")</f>
        <v>1</v>
      </c>
      <c r="AJ40" s="8"/>
      <c r="AK40" s="8"/>
      <c r="AL40" s="8"/>
      <c r="AM40" s="8"/>
      <c r="AN40" s="8"/>
    </row>
    <row r="41" spans="1:40" ht="12.75" hidden="1">
      <c r="A41" s="8">
        <v>40</v>
      </c>
      <c r="B41" s="11">
        <v>44969.841318032406</v>
      </c>
      <c r="C41" s="8" t="s">
        <v>452</v>
      </c>
      <c r="D41" s="8" t="s">
        <v>453</v>
      </c>
      <c r="E41" s="8" t="s">
        <v>452</v>
      </c>
      <c r="F41" s="8" t="s">
        <v>454</v>
      </c>
      <c r="G41" s="8" t="str">
        <f>", "&amp;'RAW (公開用)'!F41&amp;", "</f>
        <v xml:space="preserve">, 不明／わからない, 女性／woman, **必ず選んでください**, </v>
      </c>
      <c r="H41" s="8"/>
      <c r="I41" s="8" t="str">
        <f>", "&amp;'RAW (公開用)'!H41&amp;", "</f>
        <v xml:space="preserve">, （any／問わない／どれでもよい）, </v>
      </c>
      <c r="J41" s="8" t="s">
        <v>2335</v>
      </c>
      <c r="K4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41" s="8" t="str">
        <f>", "&amp;'RAW (公開用)'!J41&amp;", "</f>
        <v xml:space="preserve">, **英語を日常的に使わない**, </v>
      </c>
      <c r="M41" s="8" t="s">
        <v>2335</v>
      </c>
      <c r="N4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1" s="8" t="str">
        <f>", "&amp;'RAW (公開用)'!L41&amp;", "</f>
        <v xml:space="preserve">, 私（わたし／わたくし）, わたし, </v>
      </c>
      <c r="P41" s="8" t="s">
        <v>2335</v>
      </c>
      <c r="Q4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41" s="8" t="str">
        <f>", "&amp;'RAW (公開用)'!N41&amp;", "</f>
        <v xml:space="preserve">, （自分（たち）の名前）, </v>
      </c>
      <c r="S41" s="8" t="s">
        <v>2335</v>
      </c>
      <c r="T4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1" s="8" t="str">
        <f>", "&amp;'RAW (公開用)'!P41&amp;", "</f>
        <v xml:space="preserve">, **英語を日常的に使わない**, </v>
      </c>
      <c r="V41" s="8" t="s">
        <v>455</v>
      </c>
      <c r="W41" s="8"/>
      <c r="X41" s="8"/>
      <c r="Y4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v>
      </c>
      <c r="Z41" s="8" t="s">
        <v>472</v>
      </c>
      <c r="AA41" s="8" t="s">
        <v>2174</v>
      </c>
      <c r="AB41" s="105" t="s">
        <v>2443</v>
      </c>
      <c r="AC41" s="8"/>
      <c r="AD41"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1" s="8" t="s">
        <v>475</v>
      </c>
      <c r="AF41" s="8" t="s">
        <v>457</v>
      </c>
      <c r="AG41" s="8" t="s">
        <v>458</v>
      </c>
      <c r="AH41" s="8"/>
      <c r="AI41" s="8">
        <f>((LEN(G41)-LEN(SUBSTITUTE(G41,", ","")))/LEN(", ")-1-(LEN(G41)-LEN(SUBSTITUTE(G41,"必ず","")))/LEN("必ず"))+(LEN(H41)-LEN(SUBSTITUTE(H41,",","")))</f>
        <v>2</v>
      </c>
      <c r="AJ41" s="8"/>
      <c r="AK41" s="8"/>
      <c r="AL41" s="8"/>
      <c r="AM41" s="8"/>
      <c r="AN41" s="8"/>
    </row>
    <row r="42" spans="1:40" ht="25.5" hidden="1">
      <c r="A42" s="8">
        <v>41</v>
      </c>
      <c r="B42" s="11">
        <v>44969.84664293981</v>
      </c>
      <c r="C42" s="8" t="s">
        <v>452</v>
      </c>
      <c r="D42" s="8" t="s">
        <v>453</v>
      </c>
      <c r="E42" s="8" t="s">
        <v>452</v>
      </c>
      <c r="F42" s="8" t="s">
        <v>454</v>
      </c>
      <c r="G42" s="8" t="str">
        <f>", "&amp;'RAW (公開用)'!F42&amp;", "</f>
        <v xml:space="preserve">, 女性／woman, ジェンダークィア, クィア／Queer, ジェンダーレス, 中性, **必ず選んでください**, </v>
      </c>
      <c r="H42" s="8"/>
      <c r="I42" s="8" t="str">
        <f>", "&amp;'RAW (公開用)'!H42&amp;", "</f>
        <v xml:space="preserve">, さん, </v>
      </c>
      <c r="J42" s="8" t="s">
        <v>2335</v>
      </c>
      <c r="K4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2" s="8" t="str">
        <f>", "&amp;'RAW (公開用)'!J42&amp;", "</f>
        <v xml:space="preserve">, **英語を日常的に使わない**, </v>
      </c>
      <c r="M42" s="8" t="s">
        <v>2335</v>
      </c>
      <c r="N4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 s="8" t="str">
        <f>", "&amp;'RAW (公開用)'!L42&amp;", "</f>
        <v xml:space="preserve">, 私（わたし／わたくし）, わたし, </v>
      </c>
      <c r="P42" s="8" t="s">
        <v>2335</v>
      </c>
      <c r="Q4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42" s="8" t="str">
        <f>", "&amp;'RAW (公開用)'!N42&amp;", "</f>
        <v xml:space="preserve">, （自分（たち）の名前）, </v>
      </c>
      <c r="S42" s="8" t="s">
        <v>2335</v>
      </c>
      <c r="T4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2" s="8" t="str">
        <f>", "&amp;'RAW (公開用)'!P42&amp;", "</f>
        <v xml:space="preserve">, **英語を日常的に使わない**, </v>
      </c>
      <c r="V42" s="8" t="s">
        <v>455</v>
      </c>
      <c r="W42" s="8" t="str">
        <f>", "&amp;'RAW (公開用)'!R42&amp;", "</f>
        <v xml:space="preserve">, 職場や学校における無理解, 社会の中でいないことにされる, カムアウトできない, </v>
      </c>
      <c r="X42" s="8"/>
      <c r="Y4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社会の中でいないことにされる, カムアウトできない,  </v>
      </c>
      <c r="Z42" s="8" t="s">
        <v>472</v>
      </c>
      <c r="AA42" s="8" t="s">
        <v>2174</v>
      </c>
      <c r="AB42" s="105" t="s">
        <v>2443</v>
      </c>
      <c r="AC42" s="8"/>
      <c r="AD42"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2" s="8" t="s">
        <v>456</v>
      </c>
      <c r="AF42" s="8" t="s">
        <v>457</v>
      </c>
      <c r="AG42" s="8" t="s">
        <v>458</v>
      </c>
      <c r="AH42" s="8"/>
      <c r="AI42" s="8">
        <f>((LEN(G42)-LEN(SUBSTITUTE(G42,", ","")))/LEN(", ")-1-(LEN(G42)-LEN(SUBSTITUTE(G42,"必ず","")))/LEN("必ず"))+(LEN(H42)-LEN(SUBSTITUTE(H42,",","")))</f>
        <v>5</v>
      </c>
      <c r="AJ42" s="8"/>
      <c r="AK42" s="8"/>
      <c r="AL42" s="8"/>
      <c r="AM42" s="8"/>
      <c r="AN42" s="8"/>
    </row>
    <row r="43" spans="1:40" ht="89.25" hidden="1">
      <c r="A43" s="8">
        <v>42</v>
      </c>
      <c r="B43" s="11">
        <v>44969.847586076387</v>
      </c>
      <c r="C43" s="8" t="s">
        <v>452</v>
      </c>
      <c r="D43" s="8" t="s">
        <v>453</v>
      </c>
      <c r="E43" s="8" t="s">
        <v>452</v>
      </c>
      <c r="F43" s="8" t="s">
        <v>454</v>
      </c>
      <c r="G43" s="8" t="str">
        <f>", "&amp;'RAW (公開用)'!F43&amp;", "</f>
        <v xml:space="preserve">, **必ず選んでください**, 不明／わからない, ノンバイナリー, </v>
      </c>
      <c r="H43" s="8"/>
      <c r="I43" s="8" t="str">
        <f>", "&amp;'RAW (公開用)'!H43&amp;", "</f>
        <v xml:space="preserve">, （時とともに変わる）, （クエスチョニング、模索中、または不明）, さん, </v>
      </c>
      <c r="J43" s="8" t="s">
        <v>2335</v>
      </c>
      <c r="K4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さん,  , </v>
      </c>
      <c r="L43" s="8" t="str">
        <f>", "&amp;'RAW (公開用)'!J43&amp;", "</f>
        <v xml:space="preserve">, （時とともに変わる）, Mx., （クエスチョニング、模索中、または不明）, </v>
      </c>
      <c r="M43" s="8" t="s">
        <v>2335</v>
      </c>
      <c r="N4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（時とともに変わる）, Mx., （クエスチョニング、模索中、または不明）, , </v>
      </c>
      <c r="O43" s="8" t="str">
        <f>", "&amp;'RAW (公開用)'!L43&amp;", "</f>
        <v xml:space="preserve">, 私（わたし／わたくし）, 自分, </v>
      </c>
      <c r="P43" s="8" t="s">
        <v>2335</v>
      </c>
      <c r="Q4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43" s="8" t="str">
        <f>", "&amp;'RAW (公開用)'!N43&amp;", "</f>
        <v xml:space="preserve">, 彼人（かのひと）, （自分（たち）の名前）, 彼人（かのと）, </v>
      </c>
      <c r="S43" s="8" t="s">
        <v>2335</v>
      </c>
      <c r="T4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（自分（たち）の名前）, 彼人（かのと）,  , </v>
      </c>
      <c r="U43" s="8" t="str">
        <f>", "&amp;'RAW (公開用)'!P43&amp;", "</f>
        <v xml:space="preserve">, they/them/their/themselves, they/them/their/themself, </v>
      </c>
      <c r="V43" s="8" t="s">
        <v>455</v>
      </c>
      <c r="W43" s="8" t="str">
        <f>", "&amp;'RAW (公開用)'!R43&amp;", "</f>
        <v xml:space="preserve">, 職場や学校における無理解, ミスジェンダリング（誤った性別として扱うこと）, カムアウトできない, 家族／かぞくからの無理解, 医療における無理解, アウティング（勝手にジェンダーや指向についての情報を明かされること）, カムアウトを強制される, トイレなどのジェンダー化されたスペースの使用, 社会の中でいないことにされる, LGBTQ+運動からの排斥, </v>
      </c>
      <c r="X43" s="8" t="s">
        <v>274</v>
      </c>
      <c r="Y4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ミスジェンダリング（誤った性別として扱うこと）, カムアウトできない, 家族／かぞくからの無理解, 医療における無理解, アウティング（勝手にジェンダーや指向についての情報を明かされること）, カムアウトを強制される, トイレなどのジェンダー化されたスペースの使用, 社会の中でいないことにされる, LGBTQ+運動からの排斥,  現状トイレなどのジェンダー化された場所を使いたい場合はAGABの方を使っていますが、なんとなくしっくり来ない気がしていつも不安です。</v>
      </c>
      <c r="Z43" s="8" t="s">
        <v>455</v>
      </c>
      <c r="AA43" s="8" t="str">
        <f>", "&amp;'RAW (公開用)'!U43&amp;", "</f>
        <v xml:space="preserve">, （上記のどれも希望していない）, </v>
      </c>
      <c r="AB43" s="8" t="str">
        <f>", "&amp;'RAW (公開用)'!V43&amp;", "</f>
        <v xml:space="preserve">, （上記のどれも経験していない）, </v>
      </c>
      <c r="AC43" s="8"/>
      <c r="AD4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 s="8" t="s">
        <v>464</v>
      </c>
      <c r="AF43" s="8" t="s">
        <v>457</v>
      </c>
      <c r="AG43" s="8" t="s">
        <v>458</v>
      </c>
      <c r="AH43" s="8" t="s">
        <v>492</v>
      </c>
      <c r="AI43" s="8">
        <f>((LEN(G43)-LEN(SUBSTITUTE(G43,", ","")))/LEN(", ")-1-(LEN(G43)-LEN(SUBSTITUTE(G43,"必ず","")))/LEN("必ず"))+(LEN(H43)-LEN(SUBSTITUTE(H43,",","")))</f>
        <v>2</v>
      </c>
      <c r="AJ43" s="8"/>
      <c r="AK43" s="8"/>
      <c r="AL43" s="8"/>
      <c r="AM43" s="8"/>
      <c r="AN43" s="8"/>
    </row>
    <row r="44" spans="1:40" ht="38.25" hidden="1">
      <c r="A44" s="8">
        <v>43</v>
      </c>
      <c r="B44" s="11">
        <v>44969.847706631946</v>
      </c>
      <c r="C44" s="8" t="s">
        <v>452</v>
      </c>
      <c r="D44" s="8" t="s">
        <v>453</v>
      </c>
      <c r="E44" s="8" t="s">
        <v>452</v>
      </c>
      <c r="F44" s="8" t="s">
        <v>454</v>
      </c>
      <c r="G44" s="8" t="str">
        <f>", "&amp;'RAW (公開用)'!F44&amp;", "</f>
        <v xml:space="preserve">, 不明／わからない, ノンバイナリー, ジェンダークィア, クィア／Queer, Aジェンダー／エイジェンダー／アジェンダー／agender, Xジェンダー, </v>
      </c>
      <c r="H44" s="8"/>
      <c r="I44" s="8" t="str">
        <f>", "&amp;'RAW (公開用)'!H44&amp;", "</f>
        <v xml:space="preserve">, さん, </v>
      </c>
      <c r="J44" s="8" t="s">
        <v>2335</v>
      </c>
      <c r="K4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4" s="8" t="str">
        <f>", "&amp;'RAW (公開用)'!J44&amp;", "</f>
        <v xml:space="preserve">, （敬称なし）, </v>
      </c>
      <c r="M44" s="8" t="s">
        <v>2335</v>
      </c>
      <c r="N4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44" s="8" t="str">
        <f>", "&amp;'RAW (公開用)'!L44&amp;", "</f>
        <v xml:space="preserve">, （時とともに変わる）, おれ, 私（わたし／わたくし）, わたし, （自分（たち）の名前）, 自分, </v>
      </c>
      <c r="P44" s="8" t="s">
        <v>2335</v>
      </c>
      <c r="Q4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おれ, 私（わたし／わたくし）, わたし, （自分（たち）の名前）, 自分,  , </v>
      </c>
      <c r="R44" s="8" t="str">
        <f>", "&amp;'RAW (公開用)'!N44&amp;", "</f>
        <v xml:space="preserve">, （自分（たち）の名前）, </v>
      </c>
      <c r="S44" s="8" t="s">
        <v>2335</v>
      </c>
      <c r="T4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4" s="8" t="str">
        <f>", "&amp;'RAW (公開用)'!P44&amp;", "</f>
        <v xml:space="preserve">, they/them/their/themselves, any/問わない/どれでもよい, （クエスチョニング、模索中、または不明）, </v>
      </c>
      <c r="V44" s="8" t="s">
        <v>455</v>
      </c>
      <c r="W44" s="8" t="str">
        <f>", "&amp;'RAW (公開用)'!R44&amp;", "</f>
        <v xml:space="preserve">, カムアウトを強制される, 性暴力, トイレなどのジェンダー化されたスペースの使用, 職場や学校における無理解, 社会の中でいないことにされる, 医療における無理解, ミスジェンダリング（誤った性別として扱うこと）, </v>
      </c>
      <c r="X44" s="8"/>
      <c r="Y4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性暴力, トイレなどのジェンダー化されたスペースの使用, 職場や学校における無理解, 社会の中でいないことにされる, 医療における無理解, ミスジェンダリング（誤った性別として扱うこと）,  </v>
      </c>
      <c r="Z44" s="8" t="s">
        <v>455</v>
      </c>
      <c r="AA44" s="8" t="str">
        <f>", "&amp;'RAW (公開用)'!U44&amp;", "</f>
        <v xml:space="preserve">, 戸籍上の性別の変更, </v>
      </c>
      <c r="AB44" s="8" t="str">
        <f>", "&amp;'RAW (公開用)'!V44&amp;", "</f>
        <v xml:space="preserve">, （上記のどれも経験していない）, </v>
      </c>
      <c r="AC44" s="8"/>
      <c r="AD4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4" s="8" t="s">
        <v>479</v>
      </c>
      <c r="AF44" s="8" t="s">
        <v>457</v>
      </c>
      <c r="AG44" s="8" t="s">
        <v>458</v>
      </c>
      <c r="AH44" s="8"/>
      <c r="AI44" s="8">
        <f>((LEN(G44)-LEN(SUBSTITUTE(G44,", ","")))/LEN(", ")-1-(LEN(G44)-LEN(SUBSTITUTE(G44,"必ず","")))/LEN("必ず"))+(LEN(H44)-LEN(SUBSTITUTE(H44,",","")))</f>
        <v>6</v>
      </c>
      <c r="AJ44" s="8"/>
      <c r="AK44" s="8"/>
      <c r="AL44" s="8"/>
      <c r="AM44" s="8"/>
      <c r="AN44" s="8"/>
    </row>
    <row r="45" spans="1:40" ht="38.25" hidden="1">
      <c r="A45" s="8">
        <v>44</v>
      </c>
      <c r="B45" s="11">
        <v>44969.847901250003</v>
      </c>
      <c r="C45" s="8" t="s">
        <v>452</v>
      </c>
      <c r="D45" s="8" t="s">
        <v>453</v>
      </c>
      <c r="E45" s="8" t="s">
        <v>452</v>
      </c>
      <c r="F45" s="8" t="s">
        <v>454</v>
      </c>
      <c r="G45" s="8" t="str">
        <f>", "&amp;'RAW (公開用)'!F45&amp;", "</f>
        <v xml:space="preserve">, Aジェンダー／エイジェンダー／アジェンダー／agender, クィア／Queer, ノンバイナリー, **必ず選んでください**, ジェンダークィア, </v>
      </c>
      <c r="H45" s="8"/>
      <c r="I45" s="8" t="str">
        <f>", "&amp;'RAW (公開用)'!H45&amp;", "</f>
        <v xml:space="preserve">, さん, </v>
      </c>
      <c r="J45" s="8" t="s">
        <v>2335</v>
      </c>
      <c r="K4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5" s="8" t="str">
        <f>", "&amp;'RAW (公開用)'!J45&amp;", "</f>
        <v xml:space="preserve">, **英語を日常的に使わない**, （クエスチョニング、模索中、または不明）, </v>
      </c>
      <c r="M45" s="8" t="s">
        <v>2335</v>
      </c>
      <c r="N4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45" s="8" t="str">
        <f>", "&amp;'RAW (公開用)'!L45&amp;", "</f>
        <v xml:space="preserve">, おれ, 自分, 私（わたし／わたくし）, </v>
      </c>
      <c r="P45" s="8" t="s">
        <v>2335</v>
      </c>
      <c r="Q4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自分, 私（わたし／わたくし）,  , </v>
      </c>
      <c r="R45" s="8" t="str">
        <f>", "&amp;'RAW (公開用)'!N45&amp;", "</f>
        <v xml:space="preserve">, 渠（かれ）, （自分（たち）の名前）, 彼人（かのと）, かれ, 彼人（かのひと）, </v>
      </c>
      <c r="S45" s="8" t="s">
        <v>2335</v>
      </c>
      <c r="T4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渠（かれ）, （自分（たち）の名前）, 彼人（かのと）, かれ, 彼人（かのひと）,  , </v>
      </c>
      <c r="U45" s="8" t="str">
        <f>", "&amp;'RAW (公開用)'!P45&amp;", "</f>
        <v xml:space="preserve">, they/them/their/themself, **英語を日常的に使わない**, </v>
      </c>
      <c r="V45" s="8" t="s">
        <v>455</v>
      </c>
      <c r="W45" s="8" t="str">
        <f>", "&amp;'RAW (公開用)'!R45&amp;", "</f>
        <v xml:space="preserve">, ミスジェンダリング（誤った性別として扱うこと）, 社会の中でいないことにされる, カムアウトできない, </v>
      </c>
      <c r="X45" s="8"/>
      <c r="Y4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カムアウトできない,  </v>
      </c>
      <c r="Z45" s="8" t="s">
        <v>455</v>
      </c>
      <c r="AA45" s="8" t="str">
        <f>", "&amp;'RAW (公開用)'!U45&amp;", "</f>
        <v xml:space="preserve">, 性器にかかわる手術, </v>
      </c>
      <c r="AB45" s="8" t="str">
        <f>", "&amp;'RAW (公開用)'!V45&amp;", "</f>
        <v xml:space="preserve">, （上記のどれも経験していない）, </v>
      </c>
      <c r="AC45" s="8" t="s">
        <v>367</v>
      </c>
      <c r="AD45"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子宮の除去の手術を受けたいが、術後の入院期間が必要なこと、保険適用でなければ相応のお金が必要なことがあり受けられない</v>
      </c>
      <c r="AE45" s="8" t="s">
        <v>456</v>
      </c>
      <c r="AF45" s="8" t="s">
        <v>457</v>
      </c>
      <c r="AG45" s="8" t="s">
        <v>458</v>
      </c>
      <c r="AH45" s="8"/>
      <c r="AI45" s="8">
        <f>((LEN(G45)-LEN(SUBSTITUTE(G45,", ","")))/LEN(", ")-1-(LEN(G45)-LEN(SUBSTITUTE(G45,"必ず","")))/LEN("必ず"))+(LEN(H45)-LEN(SUBSTITUTE(H45,",","")))</f>
        <v>4</v>
      </c>
      <c r="AJ45" s="8"/>
      <c r="AK45" s="8"/>
      <c r="AL45" s="8"/>
      <c r="AM45" s="8"/>
      <c r="AN45" s="8"/>
    </row>
    <row r="46" spans="1:40" ht="25.5" hidden="1">
      <c r="A46" s="8">
        <v>228</v>
      </c>
      <c r="B46" s="11">
        <v>44971.645668715282</v>
      </c>
      <c r="C46" s="8" t="s">
        <v>452</v>
      </c>
      <c r="D46" s="8" t="s">
        <v>453</v>
      </c>
      <c r="E46" s="8" t="s">
        <v>452</v>
      </c>
      <c r="F46" s="8" t="s">
        <v>454</v>
      </c>
      <c r="G46" s="8" t="str">
        <f>", "&amp;'RAW (公開用)'!F229&amp;", "</f>
        <v xml:space="preserve">, **必ず選んでください**, ノンバイナリー女性, 女性／woman, クエスチョニング, ジェンダーレス, </v>
      </c>
      <c r="H46" s="8"/>
      <c r="I46" s="8" t="str">
        <f>", "&amp;'RAW (公開用)'!H229&amp;", "</f>
        <v xml:space="preserve">, さん, </v>
      </c>
      <c r="J46" s="8" t="s">
        <v>2335</v>
      </c>
      <c r="K4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6" s="8" t="str">
        <f>", "&amp;'RAW (公開用)'!J229&amp;", "</f>
        <v xml:space="preserve">, **英語を日常的に使わない**, </v>
      </c>
      <c r="M46" s="8" t="s">
        <v>2335</v>
      </c>
      <c r="N4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6" s="8" t="str">
        <f>", "&amp;'RAW (公開用)'!L229&amp;", "</f>
        <v xml:space="preserve">, （時とともに変わる）, 私（わたし／わたくし）, </v>
      </c>
      <c r="P46" s="8" t="s">
        <v>2335</v>
      </c>
      <c r="Q4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私（わたし／わたくし）,  , </v>
      </c>
      <c r="R46" s="8" t="str">
        <f>", "&amp;'RAW (公開用)'!N46&amp;", "</f>
        <v xml:space="preserve">, （自分（たち）の名前）, </v>
      </c>
      <c r="S46" s="8" t="s">
        <v>2355</v>
      </c>
      <c r="T4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46" s="8" t="str">
        <f>", "&amp;'RAW (公開用)'!P229&amp;", "</f>
        <v xml:space="preserve">, **英語を日常的に使わない**, </v>
      </c>
      <c r="V46" s="8" t="s">
        <v>455</v>
      </c>
      <c r="W46" s="8" t="str">
        <f>", "&amp;'RAW (公開用)'!R229&amp;", "</f>
        <v xml:space="preserve">, 社会の中でいないことにされる, </v>
      </c>
      <c r="X46" s="8"/>
      <c r="Y4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46" s="8" t="s">
        <v>455</v>
      </c>
      <c r="AA46" s="8" t="str">
        <f>", "&amp;'RAW (公開用)'!U229&amp;", "</f>
        <v xml:space="preserve">, （上記のどれも希望していない）, </v>
      </c>
      <c r="AB46" s="8" t="str">
        <f>", "&amp;'RAW (公開用)'!V229&amp;", "</f>
        <v xml:space="preserve">, （上記のどれも経験していない）, </v>
      </c>
      <c r="AC46" s="8"/>
      <c r="AD4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6" s="8" t="s">
        <v>479</v>
      </c>
      <c r="AF46" s="8" t="s">
        <v>457</v>
      </c>
      <c r="AG46" s="8" t="s">
        <v>458</v>
      </c>
      <c r="AH46" s="8"/>
      <c r="AI46" s="8">
        <f>(LEN(G46)-LEN(SUBSTITUTE(G46,", ","")))/LEN(", ")-1-(LEN(G46)-LEN(SUBSTITUTE(G46,"必ず","")))/LEN("必ず")</f>
        <v>4</v>
      </c>
      <c r="AJ46" s="8"/>
      <c r="AK46" s="8"/>
      <c r="AL46" s="8"/>
      <c r="AM46" s="8"/>
      <c r="AN46" s="8"/>
    </row>
    <row r="47" spans="1:40" ht="51" hidden="1">
      <c r="A47" s="8">
        <v>46</v>
      </c>
      <c r="B47" s="11">
        <v>44969.849026134259</v>
      </c>
      <c r="C47" s="8" t="s">
        <v>452</v>
      </c>
      <c r="D47" s="8" t="s">
        <v>453</v>
      </c>
      <c r="E47" s="8" t="s">
        <v>452</v>
      </c>
      <c r="F47" s="8" t="s">
        <v>454</v>
      </c>
      <c r="G47" s="8" t="str">
        <f>", "&amp;'RAW (公開用)'!F47&amp;", "</f>
        <v xml:space="preserve">, ジェンダークィア, トランス*／trans*, トランスフェミニン, トランス, ノンバイナリー女性, ノンバイナリー, </v>
      </c>
      <c r="H47" s="8"/>
      <c r="I47" s="8" t="str">
        <f>", "&amp;'RAW (公開用)'!H47&amp;", "</f>
        <v xml:space="preserve">, さん, </v>
      </c>
      <c r="J47" s="8" t="s">
        <v>2335</v>
      </c>
      <c r="K4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7" s="8" t="str">
        <f>", "&amp;'RAW (公開用)'!J47&amp;", "</f>
        <v xml:space="preserve">, **英語を日常的に使わない**, </v>
      </c>
      <c r="M47" s="8" t="s">
        <v>2335</v>
      </c>
      <c r="N4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7" s="8" t="str">
        <f>", "&amp;'RAW (公開用)'!L47&amp;", "</f>
        <v xml:space="preserve">, わたし, </v>
      </c>
      <c r="P47" s="8" t="s">
        <v>2335</v>
      </c>
      <c r="Q4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47" s="8" t="str">
        <f>", "&amp;'RAW (公開用)'!N47&amp;", "</f>
        <v xml:space="preserve">, （自分（たち）の名前）, </v>
      </c>
      <c r="S47" s="8" t="s">
        <v>2335</v>
      </c>
      <c r="T4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7" s="8" t="str">
        <f>", "&amp;'RAW (公開用)'!P47&amp;", "</f>
        <v xml:space="preserve">, **英語を日常的に使わない**, they/them/their/themself, </v>
      </c>
      <c r="V47" s="8" t="s">
        <v>455</v>
      </c>
      <c r="W47" s="8" t="str">
        <f>", "&amp;'RAW (公開用)'!R47&amp;", "</f>
        <v xml:space="preserve">, 職場や学校における無理解, ミスジェンダリング（誤った性別として扱うこと）, 家族／かぞくからの無理解, 必要なジェンダーケアへアクセスできない, デッドネーミング（誤った名前で呼ばれること）, トイレなどのジェンダー化されたスペースの使用, </v>
      </c>
      <c r="X47" s="8"/>
      <c r="Y4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ミスジェンダリング（誤った性別として扱うこと）, 家族／かぞくからの無理解, 必要なジェンダーケアへアクセスできない, デッドネーミング（誤った名前で呼ばれること）, トイレなどのジェンダー化されたスペースの使用,  </v>
      </c>
      <c r="Z47" s="8" t="s">
        <v>455</v>
      </c>
      <c r="AA47" s="8" t="str">
        <f>", "&amp;'RAW (公開用)'!U47&amp;", "</f>
        <v xml:space="preserve">, 戸籍名の変更, ジェンダークリニックの受診, ホルモン補充療法（HRT）, </v>
      </c>
      <c r="AB47" s="8" t="str">
        <f>", "&amp;'RAW (公開用)'!V47&amp;", "</f>
        <v xml:space="preserve">, 戸籍名の変更, ジェンダークリニックの受診, ホルモン補充療法（HRT）, </v>
      </c>
      <c r="AC47" s="8" t="s">
        <v>420</v>
      </c>
      <c r="AD47"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SRSについては健康的、経済的理由でしたくない。</v>
      </c>
      <c r="AE47" s="8" t="s">
        <v>466</v>
      </c>
      <c r="AF47" s="8" t="s">
        <v>457</v>
      </c>
      <c r="AG47" s="8" t="s">
        <v>458</v>
      </c>
      <c r="AH47" s="8"/>
      <c r="AI47" s="8">
        <f>((LEN(G47)-LEN(SUBSTITUTE(G47,", ","")))/LEN(", ")-1-(LEN(G47)-LEN(SUBSTITUTE(G47,"必ず","")))/LEN("必ず"))+(LEN(H47)-LEN(SUBSTITUTE(H47,",","")))</f>
        <v>6</v>
      </c>
      <c r="AJ47" s="8"/>
      <c r="AK47" s="8"/>
      <c r="AL47" s="8"/>
      <c r="AM47" s="8"/>
      <c r="AN47" s="8"/>
    </row>
    <row r="48" spans="1:40" ht="12.75" hidden="1">
      <c r="A48" s="8">
        <v>47</v>
      </c>
      <c r="B48" s="11">
        <v>44969.849138263889</v>
      </c>
      <c r="C48" s="8" t="s">
        <v>452</v>
      </c>
      <c r="D48" s="8" t="s">
        <v>453</v>
      </c>
      <c r="E48" s="8" t="s">
        <v>452</v>
      </c>
      <c r="F48" s="8" t="s">
        <v>454</v>
      </c>
      <c r="G48" s="8" t="str">
        <f>", "&amp;'RAW (公開用)'!F48&amp;", "</f>
        <v xml:space="preserve">, ジェンダーレス, **必ず選んでください**, 無性, </v>
      </c>
      <c r="H48" s="8"/>
      <c r="I48" s="8" t="str">
        <f>", "&amp;'RAW (公開用)'!H48&amp;", "</f>
        <v xml:space="preserve">, （時とともに変わる）, さん, （敬称なし）, </v>
      </c>
      <c r="J48" s="8" t="s">
        <v>2335</v>
      </c>
      <c r="K4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さん, （敬称なし）,  , </v>
      </c>
      <c r="L48" s="8" t="str">
        <f>", "&amp;'RAW (公開用)'!J48&amp;", "</f>
        <v xml:space="preserve">, **英語を日常的に使わない**, </v>
      </c>
      <c r="M48" s="8" t="s">
        <v>2335</v>
      </c>
      <c r="N4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8" s="8" t="str">
        <f>", "&amp;'RAW (公開用)'!L48&amp;", "</f>
        <v xml:space="preserve">, （時とともに変わる）, わたし, 自分, </v>
      </c>
      <c r="P48" s="8" t="s">
        <v>2335</v>
      </c>
      <c r="Q4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わたし, 自分,  , </v>
      </c>
      <c r="R48" s="8" t="str">
        <f>", "&amp;'RAW (公開用)'!N48&amp;", "</f>
        <v xml:space="preserve">, （any／問わない／どれでもよい）, </v>
      </c>
      <c r="S48" s="8" t="s">
        <v>2335</v>
      </c>
      <c r="T4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48" s="8" t="str">
        <f>", "&amp;'RAW (公開用)'!P48&amp;", "</f>
        <v xml:space="preserve">, **英語を日常的に使わない**, </v>
      </c>
      <c r="V48" s="8" t="s">
        <v>455</v>
      </c>
      <c r="W48" s="8" t="str">
        <f>", "&amp;'RAW (公開用)'!R48&amp;", "</f>
        <v xml:space="preserve">, 性暴力, </v>
      </c>
      <c r="X48" s="8"/>
      <c r="Y4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v>
      </c>
      <c r="Z48" s="8" t="s">
        <v>455</v>
      </c>
      <c r="AA48" s="8" t="str">
        <f>", "&amp;'RAW (公開用)'!U48&amp;", "</f>
        <v xml:space="preserve">, （上記のどれも希望していない）, </v>
      </c>
      <c r="AB48" s="8" t="str">
        <f>", "&amp;'RAW (公開用)'!V48&amp;", "</f>
        <v xml:space="preserve">, （上記のどれも経験していない）, </v>
      </c>
      <c r="AC48" s="8"/>
      <c r="AD4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8" s="8" t="s">
        <v>456</v>
      </c>
      <c r="AF48" s="8" t="s">
        <v>457</v>
      </c>
      <c r="AG48" s="8" t="s">
        <v>458</v>
      </c>
      <c r="AH48" s="8"/>
      <c r="AI48" s="8">
        <f>((LEN(G48)-LEN(SUBSTITUTE(G48,", ","")))/LEN(", ")-1-(LEN(G48)-LEN(SUBSTITUTE(G48,"必ず","")))/LEN("必ず"))+(LEN(H48)-LEN(SUBSTITUTE(H48,",","")))</f>
        <v>2</v>
      </c>
      <c r="AJ48" s="8"/>
      <c r="AK48" s="8"/>
      <c r="AL48" s="8"/>
      <c r="AM48" s="8"/>
      <c r="AN48" s="8"/>
    </row>
    <row r="49" spans="1:40" ht="12.75" hidden="1">
      <c r="A49" s="8">
        <v>283</v>
      </c>
      <c r="B49" s="11">
        <v>44991.389275775466</v>
      </c>
      <c r="C49" s="8" t="s">
        <v>452</v>
      </c>
      <c r="D49" s="8" t="s">
        <v>453</v>
      </c>
      <c r="E49" s="8" t="s">
        <v>452</v>
      </c>
      <c r="F49" s="8" t="s">
        <v>454</v>
      </c>
      <c r="G49" s="8" t="str">
        <f>", "&amp;'RAW (公開用)'!F284&amp;", "</f>
        <v xml:space="preserve">, ノンバイナリー女性, </v>
      </c>
      <c r="H49" s="8"/>
      <c r="I49" s="8" t="str">
        <f>", "&amp;'RAW (公開用)'!H284&amp;", "</f>
        <v xml:space="preserve">, さん, </v>
      </c>
      <c r="J49" s="8" t="s">
        <v>2335</v>
      </c>
      <c r="K4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9" s="8" t="str">
        <f>", "&amp;'RAW (公開用)'!J284&amp;", "</f>
        <v xml:space="preserve">, **英語を日常的に使わない**, </v>
      </c>
      <c r="M49" s="8" t="s">
        <v>2335</v>
      </c>
      <c r="N4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9" s="8" t="str">
        <f>", "&amp;'RAW (公開用)'!L284&amp;", "</f>
        <v xml:space="preserve">, 自分, </v>
      </c>
      <c r="P49" s="8" t="s">
        <v>2335</v>
      </c>
      <c r="Q4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 </v>
      </c>
      <c r="R49" s="8" t="str">
        <f>", "&amp;'RAW (公開用)'!N49&amp;", "</f>
        <v xml:space="preserve">, （三人称で言及してほしくない）, </v>
      </c>
      <c r="S49" s="8" t="s">
        <v>2355</v>
      </c>
      <c r="T4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{この/その/あの}+人,</v>
      </c>
      <c r="U49" s="8" t="str">
        <f>", "&amp;'RAW (公開用)'!P284&amp;", "</f>
        <v xml:space="preserve">, **英語を日常的に使わない**, </v>
      </c>
      <c r="V49" s="8" t="s">
        <v>455</v>
      </c>
      <c r="W49" s="8" t="str">
        <f>", "&amp;'RAW (公開用)'!R284&amp;", "</f>
        <v xml:space="preserve">, 社会の中でいないことにされる, </v>
      </c>
      <c r="X49" s="8"/>
      <c r="Y4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49" s="8" t="s">
        <v>455</v>
      </c>
      <c r="AA49" s="8" t="str">
        <f>", "&amp;'RAW (公開用)'!U284&amp;", "</f>
        <v xml:space="preserve">, 胸部の手術, </v>
      </c>
      <c r="AB49" s="8" t="str">
        <f>", "&amp;'RAW (公開用)'!V284&amp;", "</f>
        <v xml:space="preserve">, （上記のどれも経験していない）, </v>
      </c>
      <c r="AC49" s="8"/>
      <c r="AD4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9" s="8" t="s">
        <v>464</v>
      </c>
      <c r="AF49" s="8" t="s">
        <v>457</v>
      </c>
      <c r="AG49" s="8" t="s">
        <v>458</v>
      </c>
      <c r="AH49" s="8"/>
      <c r="AI49" s="8">
        <f>(LEN(G49)-LEN(SUBSTITUTE(G49,", ","")))/LEN(", ")-1-(LEN(G49)-LEN(SUBSTITUTE(G49,"必ず","")))/LEN("必ず")</f>
        <v>1</v>
      </c>
      <c r="AJ49" s="8"/>
      <c r="AK49" s="8"/>
      <c r="AL49" s="8"/>
      <c r="AM49" s="8"/>
      <c r="AN49" s="8"/>
    </row>
    <row r="50" spans="1:40" ht="38.25" hidden="1">
      <c r="A50" s="8">
        <v>49</v>
      </c>
      <c r="B50" s="11">
        <v>44969.850652604167</v>
      </c>
      <c r="C50" s="8" t="s">
        <v>452</v>
      </c>
      <c r="D50" s="8" t="s">
        <v>453</v>
      </c>
      <c r="E50" s="8" t="s">
        <v>452</v>
      </c>
      <c r="F50" s="8" t="s">
        <v>454</v>
      </c>
      <c r="G50" s="8" t="str">
        <f>", "&amp;'RAW (公開用)'!F50&amp;", "</f>
        <v xml:space="preserve">, 不明／わからない, ノンバイナリー, クィア／Queer, （ジェンダー・）フルイド／（ジェンダー・）フリュイド／（ジェンダー・）フルイッド, 無し, ジェンダーレス, 無性, Xジェンダー, X, クエスチョニング, **必ず選んでください**, 不定性, </v>
      </c>
      <c r="H50" s="8"/>
      <c r="I50" s="8" t="str">
        <f>", "&amp;'RAW (公開用)'!H50&amp;", "</f>
        <v xml:space="preserve">, （any／問わない／どれでもよい）, くん／君, ちゃん, さん, </v>
      </c>
      <c r="J50" s="8" t="s">
        <v>2335</v>
      </c>
      <c r="K5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くん／君, ちゃん, さん,  , </v>
      </c>
      <c r="L50" s="8" t="str">
        <f>", "&amp;'RAW (公開用)'!J50&amp;", "</f>
        <v xml:space="preserve">, **英語を日常的に使わない**, </v>
      </c>
      <c r="M50" s="8" t="s">
        <v>2335</v>
      </c>
      <c r="N5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50" s="8" t="str">
        <f>", "&amp;'RAW (公開用)'!L50&amp;", "</f>
        <v xml:space="preserve">, （時とともに変わる）, わし, わたし, 僕, 俺, わたくし, おら, </v>
      </c>
      <c r="P50" s="8" t="s">
        <v>2335</v>
      </c>
      <c r="Q5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わし, わたし, 僕, 俺, わたくし, おら,  , </v>
      </c>
      <c r="R50" s="8" t="str">
        <f>", "&amp;'RAW (公開用)'!N50&amp;", "</f>
        <v xml:space="preserve">, 彼人（かのひと）, かれ, 彼人（かのと）, 彼, </v>
      </c>
      <c r="S50" s="8" t="s">
        <v>2335</v>
      </c>
      <c r="T5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かれ, 彼人（かのと）, 彼,  , </v>
      </c>
      <c r="U50" s="8" t="str">
        <f>", "&amp;'RAW (公開用)'!P50&amp;", "</f>
        <v xml:space="preserve">, **英語を日常的に使わない**, </v>
      </c>
      <c r="V50" s="8" t="s">
        <v>455</v>
      </c>
      <c r="W50" s="8" t="str">
        <f>", "&amp;'RAW (公開用)'!R50&amp;", "</f>
        <v xml:space="preserve">, ミスジェンダリング（誤った性別として扱うこと）, デッドネーミング（誤った名前で呼ばれること）, 社会の中でいないことにされる, アウティング（勝手にジェンダーや指向についての情報を明かされること）, </v>
      </c>
      <c r="X50" s="8"/>
      <c r="Y5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デッドネーミング（誤った名前で呼ばれること）, 社会の中でいないことにされる, アウティング（勝手にジェンダーや指向についての情報を明かされること）,  </v>
      </c>
      <c r="Z50" s="8" t="s">
        <v>455</v>
      </c>
      <c r="AA50" s="8" t="str">
        <f>", "&amp;'RAW (公開用)'!U50&amp;", "</f>
        <v xml:space="preserve">, 戸籍名の変更, 戸籍上の性別の変更, </v>
      </c>
      <c r="AB50" s="8" t="str">
        <f>", "&amp;'RAW (公開用)'!V50&amp;", "</f>
        <v xml:space="preserve">, （上記のどれも経験していない）, </v>
      </c>
      <c r="AC50" s="8"/>
      <c r="AD5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50" s="8" t="s">
        <v>456</v>
      </c>
      <c r="AF50" s="8" t="s">
        <v>457</v>
      </c>
      <c r="AG50" s="8" t="s">
        <v>458</v>
      </c>
      <c r="AH50" s="8"/>
      <c r="AI50" s="8">
        <f t="shared" ref="AI50:AI55" si="1">((LEN(G50)-LEN(SUBSTITUTE(G50,", ","")))/LEN(", ")-1-(LEN(G50)-LEN(SUBSTITUTE(G50,"必ず","")))/LEN("必ず"))+(LEN(H50)-LEN(SUBSTITUTE(H50,",","")))</f>
        <v>11</v>
      </c>
      <c r="AJ50" s="8"/>
      <c r="AK50" s="8"/>
      <c r="AL50" s="8"/>
      <c r="AM50" s="8"/>
      <c r="AN50" s="8"/>
    </row>
    <row r="51" spans="1:40" ht="38.25" hidden="1">
      <c r="A51" s="8">
        <v>50</v>
      </c>
      <c r="B51" s="11">
        <v>44969.852950717592</v>
      </c>
      <c r="C51" s="8" t="s">
        <v>452</v>
      </c>
      <c r="D51" s="8" t="s">
        <v>453</v>
      </c>
      <c r="E51" s="8" t="s">
        <v>452</v>
      </c>
      <c r="F51" s="8" t="s">
        <v>454</v>
      </c>
      <c r="G51" s="8" t="str">
        <f>", "&amp;'RAW (公開用)'!F51&amp;", "</f>
        <v xml:space="preserve">, 女性／woman, トランス, フェム, トランスジェンダー, トランス女性, ノンバイナリー, クエスチョニング, ノンバイナリー女性, トランスフェミニン, **必ず選んでください**, トランス*／trans*, </v>
      </c>
      <c r="H51" s="8"/>
      <c r="I51" s="8" t="str">
        <f>", "&amp;'RAW (公開用)'!H51&amp;", "</f>
        <v xml:space="preserve">, ちゃん, たん, </v>
      </c>
      <c r="J51" s="8" t="s">
        <v>2335</v>
      </c>
      <c r="K5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たん,  , </v>
      </c>
      <c r="L51" s="8" t="str">
        <f>", "&amp;'RAW (公開用)'!J51&amp;", "</f>
        <v xml:space="preserve">, **英語を日常的に使わない**, </v>
      </c>
      <c r="M51" s="8" t="s">
        <v>2335</v>
      </c>
      <c r="N5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51" s="8" t="str">
        <f>", "&amp;'RAW (公開用)'!L51&amp;", "</f>
        <v xml:space="preserve">, わたし, あたし, （自分（たち）の名前）, わし, </v>
      </c>
      <c r="P51" s="8" t="s">
        <v>2335</v>
      </c>
      <c r="Q5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あたし, （自分（たち）の名前）, わし,  , </v>
      </c>
      <c r="R51" s="8" t="str">
        <f>", "&amp;'RAW (公開用)'!N51&amp;", "</f>
        <v xml:space="preserve">, （三人称で言及してほしくない）, </v>
      </c>
      <c r="S51" s="8" t="s">
        <v>2335</v>
      </c>
      <c r="T5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51" s="8" t="str">
        <f>", "&amp;'RAW (公開用)'!P51&amp;", "</f>
        <v xml:space="preserve">, she, they/them/their/themself, </v>
      </c>
      <c r="V51" s="8" t="s">
        <v>455</v>
      </c>
      <c r="W51" s="8" t="str">
        <f>", "&amp;'RAW (公開用)'!R51&amp;", "</f>
        <v xml:space="preserve">, デッドネーミング（誤った名前で呼ばれること）, 社会の中でいないことにされる, 必要なジェンダーケアへアクセスできない, LGBTQ+運動からの排斥, </v>
      </c>
      <c r="X51" s="8"/>
      <c r="Y5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社会の中でいないことにされる, 必要なジェンダーケアへアクセスできない, LGBTQ+運動からの排斥,  </v>
      </c>
      <c r="Z51" s="8" t="s">
        <v>455</v>
      </c>
      <c r="AA51" s="8" t="str">
        <f>", "&amp;'RAW (公開用)'!U51&amp;", "</f>
        <v xml:space="preserve">, 戸籍名の変更, 戸籍上の性別の変更, ジェンダークリニックの受診, 抗ホルモン療法, ホルモン補充療法（HRT）, 性器にかかわる手術, </v>
      </c>
      <c r="AB51" s="8" t="str">
        <f>", "&amp;'RAW (公開用)'!V51&amp;", "</f>
        <v xml:space="preserve">, 戸籍名の変更, 戸籍上の性別の変更, ジェンダークリニックの受診, 抗ホルモン療法, ホルモン補充療法（HRT）, 性器にかかわる手術, </v>
      </c>
      <c r="AC51" s="8"/>
      <c r="AD51"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戸籍上の性別の変更, ジェンダークリニックの受診, 抗ホルモン療法, ホルモン補充療法（HRT）, 性器にかかわる手術,  </v>
      </c>
      <c r="AE51" s="8" t="s">
        <v>461</v>
      </c>
      <c r="AF51" s="8" t="s">
        <v>457</v>
      </c>
      <c r="AG51" s="8" t="s">
        <v>458</v>
      </c>
      <c r="AH51" s="8"/>
      <c r="AI51" s="8">
        <f t="shared" si="1"/>
        <v>10</v>
      </c>
      <c r="AJ51" s="8"/>
      <c r="AK51" s="8"/>
      <c r="AL51" s="8"/>
      <c r="AM51" s="8"/>
      <c r="AN51" s="8"/>
    </row>
    <row r="52" spans="1:40" ht="89.25" hidden="1">
      <c r="A52" s="8">
        <v>51</v>
      </c>
      <c r="B52" s="11">
        <v>44969.856713726855</v>
      </c>
      <c r="C52" s="8" t="s">
        <v>452</v>
      </c>
      <c r="D52" s="8" t="s">
        <v>453</v>
      </c>
      <c r="E52" s="8" t="s">
        <v>452</v>
      </c>
      <c r="F52" s="8" t="s">
        <v>454</v>
      </c>
      <c r="G52" s="8" t="str">
        <f>", "&amp;'RAW (公開用)'!F52&amp;", "</f>
        <v xml:space="preserve">, 無性, トランス女性, フェム, クィア／Queer, ノンバイナリー, **必ず選んでください**, </v>
      </c>
      <c r="H52" s="8" t="s">
        <v>496</v>
      </c>
      <c r="I52" s="8" t="str">
        <f>", "&amp;'RAW (公開用)'!H52&amp;", "</f>
        <v xml:space="preserve">, ちゃん, さん, </v>
      </c>
      <c r="J52" s="8" t="s">
        <v>2335</v>
      </c>
      <c r="K5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52" s="8" t="str">
        <f>", "&amp;'RAW (公開用)'!J52&amp;", "</f>
        <v xml:space="preserve">, Mx., </v>
      </c>
      <c r="M52" s="8" t="s">
        <v>2335</v>
      </c>
      <c r="N5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52" s="8" t="str">
        <f>", "&amp;'RAW (公開用)'!L52&amp;", "</f>
        <v xml:space="preserve">, あたし, わたし, </v>
      </c>
      <c r="P52" s="8" t="s">
        <v>2335</v>
      </c>
      <c r="Q5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わたし,  , </v>
      </c>
      <c r="R52" s="8" t="str">
        <f>", "&amp;'RAW (公開用)'!N52&amp;", "</f>
        <v xml:space="preserve">, 彼女, 彼人（かのと）, （自分（たち）の名前）, </v>
      </c>
      <c r="S52" s="8" t="s">
        <v>2335</v>
      </c>
      <c r="T5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彼人（かのと）, （自分（たち）の名前）,  , </v>
      </c>
      <c r="U52" s="8" t="str">
        <f>", "&amp;'RAW (公開用)'!P52&amp;", "</f>
        <v xml:space="preserve">, she, they/them/their/themself, </v>
      </c>
      <c r="V52" s="8" t="s">
        <v>455</v>
      </c>
      <c r="W52" s="8" t="str">
        <f>", "&amp;'RAW (公開用)'!R52&amp;", "</f>
        <v xml:space="preserve">, 職場や学校における無理解, カムアウトできない, 医療における無理解, 性暴力, カムアウトを強制される, 必要なジェンダーケアへアクセスできない, ミスジェンダリング（誤った性別として扱うこと）, 家族／かぞくからの無理解, デッドネーミング（誤った名前で呼ばれること）, トイレなどのジェンダー化されたスペースの使用, 社会の中でいないことにされる, LGBTQ+運動からの排斥, </v>
      </c>
      <c r="X52" s="8" t="s">
        <v>261</v>
      </c>
      <c r="Y5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カムアウトできない, 医療における無理解, 性暴力, カムアウトを強制される, 必要なジェンダーケアへアクセスできない, ミスジェンダリング（誤った性別として扱うこと）, 家族／かぞくからの無理解, デッドネーミング（誤った名前で呼ばれること）, トイレなどのジェンダー化されたスペースの使用, 社会の中でいないことにされる, LGBTQ+運動からの排斥,  恋愛や性愛含む自分自身の行動や嗜好をもとに周囲からミスジェンダリングをなされることが多すぎて、自分自身もそれを内面化して自分自身を蔑ろに扱ってしまう。</v>
      </c>
      <c r="Z52" s="8" t="s">
        <v>455</v>
      </c>
      <c r="AA52" s="8" t="str">
        <f>", "&amp;'RAW (公開用)'!U52&amp;", "</f>
        <v xml:space="preserve">, 戸籍名の変更, 戸籍上の性別の変更, ジェンダークリニックの受診, 抗ホルモン療法, ホルモン補充療法（HRT）, 胸部の手術, 性器にかかわる手術, </v>
      </c>
      <c r="AB52" s="8" t="str">
        <f>", "&amp;'RAW (公開用)'!V52&amp;", "</f>
        <v xml:space="preserve">, 抗ホルモン療法, </v>
      </c>
      <c r="AC52" s="8" t="s">
        <v>370</v>
      </c>
      <c r="AD52" s="8" t="str">
        <f>テーブル1[[#This Row],[以下のうち、経験したものをすべて選んでください]]&amp;" "&amp;テーブル1[[#This Row],[社会的、法的、医学的トランジションについて、困難なこと等がありましたらここにお書きください]]</f>
        <v>, 抗ホルモン療法,  地方都市在住だとジェンダークリニックが少なく、診察受付をしていない（限られた患者にしか対応しない）ことが多く、医学的トランジションへのアクセスが困難性、またトランスフェムの場合、ホルモン治療を受けるとSRSが保険適用外になってしまう混合診療の問題や、長期にわたるホルモン治療によって反転法でのSRSの際に造膣が困難になるなどの問題があってホルモン治療に踏み切るタイミングなどがむずかしい</v>
      </c>
      <c r="AE52" s="8" t="s">
        <v>456</v>
      </c>
      <c r="AF52" s="8" t="s">
        <v>457</v>
      </c>
      <c r="AG52" s="8" t="s">
        <v>458</v>
      </c>
      <c r="AH52" s="8" t="s">
        <v>497</v>
      </c>
      <c r="AI52" s="8">
        <f t="shared" si="1"/>
        <v>6</v>
      </c>
      <c r="AJ52" s="8"/>
      <c r="AK52" s="8"/>
      <c r="AL52" s="8"/>
      <c r="AM52" s="8"/>
      <c r="AN52" s="8"/>
    </row>
    <row r="53" spans="1:40" ht="25.5" hidden="1">
      <c r="A53" s="8">
        <v>52</v>
      </c>
      <c r="B53" s="11">
        <v>44969.858741493052</v>
      </c>
      <c r="C53" s="8" t="s">
        <v>452</v>
      </c>
      <c r="D53" s="8" t="s">
        <v>453</v>
      </c>
      <c r="E53" s="8" t="s">
        <v>452</v>
      </c>
      <c r="F53" s="8" t="s">
        <v>454</v>
      </c>
      <c r="G53" s="8" t="str">
        <f>", "&amp;'RAW (公開用)'!F53&amp;", "</f>
        <v xml:space="preserve">, デミAジェンダー, デミジェンダー, デミボーイ, デミガール, 不明／わからない, フェム, </v>
      </c>
      <c r="H53" s="8"/>
      <c r="I53" s="8" t="str">
        <f>", "&amp;'RAW (公開用)'!H53&amp;", "</f>
        <v xml:space="preserve">, さん, （敬称なし）, </v>
      </c>
      <c r="J53" s="73" t="s">
        <v>2337</v>
      </c>
      <c r="K5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さん, （敬称なし）,  , 氏,</v>
      </c>
      <c r="L53" s="8" t="str">
        <f>", "&amp;'RAW (公開用)'!J53&amp;", "</f>
        <v xml:space="preserve">, （クエスチョニング、模索中、または不明）, **英語を日常的に使わない**, </v>
      </c>
      <c r="M53" s="8" t="s">
        <v>2335</v>
      </c>
      <c r="N5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**英語を日常的に使わない**, , </v>
      </c>
      <c r="O53" s="8" t="str">
        <f>", "&amp;'RAW (公開用)'!L53&amp;", "</f>
        <v xml:space="preserve">, （クエスチョニング、模索中、または不明）, わたくし, わたし, おれ, 自分, 私（わたし／わたくし）, </v>
      </c>
      <c r="P53" s="8" t="s">
        <v>2335</v>
      </c>
      <c r="Q5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（クエスチョニング、模索中、または不明）, わたくし, わたし, おれ, 自分, 私（わたし／わたくし）,  , </v>
      </c>
      <c r="R53" s="8" t="str">
        <f>", "&amp;'RAW (公開用)'!N53&amp;", "</f>
        <v xml:space="preserve">, （自分（たち）の名前）, </v>
      </c>
      <c r="S53" s="8" t="s">
        <v>2335</v>
      </c>
      <c r="T5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53" s="8" t="str">
        <f>", "&amp;'RAW (公開用)'!P53&amp;", "</f>
        <v xml:space="preserve">, they/them/their/themselves, she, （時とともに変わる）, </v>
      </c>
      <c r="V53" s="8" t="s">
        <v>455</v>
      </c>
      <c r="W53" s="8" t="str">
        <f>", "&amp;'RAW (公開用)'!R53&amp;", "</f>
        <v xml:space="preserve">, カムアウトを強制される, 社会の中でいないことにされる, </v>
      </c>
      <c r="X53" s="8"/>
      <c r="Y5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社会の中でいないことにされる,  </v>
      </c>
      <c r="Z53" s="8" t="s">
        <v>455</v>
      </c>
      <c r="AA53" s="8" t="str">
        <f>", "&amp;'RAW (公開用)'!U53&amp;", "</f>
        <v xml:space="preserve">, （上記のどれも希望していない）, </v>
      </c>
      <c r="AB53" s="8" t="str">
        <f>", "&amp;'RAW (公開用)'!V53&amp;", "</f>
        <v xml:space="preserve">, （上記のどれも経験していない）, </v>
      </c>
      <c r="AC53" s="8"/>
      <c r="AD5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53" s="8" t="s">
        <v>475</v>
      </c>
      <c r="AF53" s="8" t="s">
        <v>457</v>
      </c>
      <c r="AG53" s="8" t="s">
        <v>458</v>
      </c>
      <c r="AH53" s="8"/>
      <c r="AI53" s="8">
        <f t="shared" si="1"/>
        <v>6</v>
      </c>
      <c r="AJ53" s="8"/>
      <c r="AK53" s="8"/>
      <c r="AL53" s="8"/>
      <c r="AM53" s="8"/>
      <c r="AN53" s="8"/>
    </row>
    <row r="54" spans="1:40" ht="38.25" hidden="1">
      <c r="A54" s="8">
        <v>53</v>
      </c>
      <c r="B54" s="11">
        <v>44969.859424236114</v>
      </c>
      <c r="C54" s="8" t="s">
        <v>452</v>
      </c>
      <c r="D54" s="8" t="s">
        <v>453</v>
      </c>
      <c r="E54" s="8" t="s">
        <v>452</v>
      </c>
      <c r="F54" s="8" t="s">
        <v>454</v>
      </c>
      <c r="G54" s="8" t="str">
        <f>", "&amp;'RAW (公開用)'!F54&amp;", "</f>
        <v xml:space="preserve">, シスジェンダー, クエスチョニング, クィア／Queer, ジェンダークィア, **必ず選んでください**, </v>
      </c>
      <c r="H54" s="8"/>
      <c r="I54" s="8" t="str">
        <f>", "&amp;'RAW (公開用)'!H54&amp;", "</f>
        <v xml:space="preserve">, （敬称なし）, さん, </v>
      </c>
      <c r="J54" s="8" t="s">
        <v>2335</v>
      </c>
      <c r="K5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54" s="8" t="str">
        <f>", "&amp;'RAW (公開用)'!J54&amp;", "</f>
        <v xml:space="preserve">, **英語を日常的に使わない**, </v>
      </c>
      <c r="M54" s="8" t="s">
        <v>2335</v>
      </c>
      <c r="N5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54" s="8" t="str">
        <f>", "&amp;'RAW (公開用)'!L54&amp;", "</f>
        <v xml:space="preserve">, 私（わたし／わたくし）, （クエスチョニング、模索中、または不明）, （自分（たち）の名前）, わたし, 自分, おれ, （時とともに変わる）, （any／問わない／どれでもよい）, あたし, 俺, </v>
      </c>
      <c r="P54" s="8" t="s">
        <v>2335</v>
      </c>
      <c r="Q5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（クエスチョニング、模索中、または不明）, （自分（たち）の名前）, わたし, 自分, おれ, （時とともに変わる）, （any／問わない／どれでもよい）, あたし, 俺,  , </v>
      </c>
      <c r="R54" s="8" t="str">
        <f>", "&amp;'RAW (公開用)'!N54&amp;", "</f>
        <v xml:space="preserve">, （三人称で言及してほしくない）, 彼人（かのひと）, （自分（たち）の名前）, </v>
      </c>
      <c r="S54" s="8" t="s">
        <v>2335</v>
      </c>
      <c r="T5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彼人（かのひと）, （自分（たち）の名前）,  , </v>
      </c>
      <c r="U54" s="8" t="str">
        <f>", "&amp;'RAW (公開用)'!P54&amp;", "</f>
        <v xml:space="preserve">, **英語を日常的に使わない**, </v>
      </c>
      <c r="V54" s="8" t="s">
        <v>455</v>
      </c>
      <c r="W54" s="8" t="str">
        <f>", "&amp;'RAW (公開用)'!R54&amp;", "</f>
        <v xml:space="preserve">, 性暴力, </v>
      </c>
      <c r="X54" s="8"/>
      <c r="Y5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v>
      </c>
      <c r="Z54" s="8" t="s">
        <v>455</v>
      </c>
      <c r="AA54" s="8" t="str">
        <f>", "&amp;'RAW (公開用)'!U54&amp;", "</f>
        <v xml:space="preserve">, （上記のどれも希望していない）, </v>
      </c>
      <c r="AB54" s="8" t="str">
        <f>", "&amp;'RAW (公開用)'!V54&amp;", "</f>
        <v xml:space="preserve">, （上記のどれも経験していない）, </v>
      </c>
      <c r="AC54" s="8"/>
      <c r="AD5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54" s="8" t="s">
        <v>462</v>
      </c>
      <c r="AF54" s="8" t="s">
        <v>457</v>
      </c>
      <c r="AG54" s="8" t="s">
        <v>458</v>
      </c>
      <c r="AH54" s="8"/>
      <c r="AI54" s="8">
        <f t="shared" si="1"/>
        <v>4</v>
      </c>
      <c r="AJ54" s="8"/>
      <c r="AK54" s="8"/>
      <c r="AL54" s="8"/>
      <c r="AM54" s="8"/>
      <c r="AN54" s="8"/>
    </row>
    <row r="55" spans="1:40" ht="25.5" hidden="1">
      <c r="A55" s="8">
        <v>54</v>
      </c>
      <c r="B55" s="11">
        <v>44969.861224444445</v>
      </c>
      <c r="C55" s="8" t="s">
        <v>452</v>
      </c>
      <c r="D55" s="8" t="s">
        <v>453</v>
      </c>
      <c r="E55" s="8" t="s">
        <v>452</v>
      </c>
      <c r="F55" s="8" t="s">
        <v>454</v>
      </c>
      <c r="G55" s="8" t="str">
        <f>", "&amp;'RAW (公開用)'!F55&amp;", "</f>
        <v xml:space="preserve">, トランス, トランス*／trans*, トランス男性, トランスジェンダー, **必ず選んでください**, 男性／man, デミボーイ, クィア／Queer, </v>
      </c>
      <c r="H55" s="8"/>
      <c r="I55" s="8" t="str">
        <f>", "&amp;'RAW (公開用)'!H55&amp;", "</f>
        <v xml:space="preserve">, さん, （any／問わない／どれでもよい）, </v>
      </c>
      <c r="J55" s="8" t="s">
        <v>2335</v>
      </c>
      <c r="K5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 </v>
      </c>
      <c r="L55" s="8" t="str">
        <f>", "&amp;'RAW (公開用)'!J55&amp;", "</f>
        <v xml:space="preserve">, （敬称なし）, -san, </v>
      </c>
      <c r="M55" s="8" t="s">
        <v>2335</v>
      </c>
      <c r="N5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 </v>
      </c>
      <c r="O55" s="8" t="str">
        <f>", "&amp;'RAW (公開用)'!L55&amp;", "</f>
        <v xml:space="preserve">, 僕, わたし, 自分, （時とともに変わる）, 俺, </v>
      </c>
      <c r="P55" s="8" t="s">
        <v>2335</v>
      </c>
      <c r="Q5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わたし, 自分, （時とともに変わる）, 俺,  , </v>
      </c>
      <c r="R55" s="8" t="str">
        <f>", "&amp;'RAW (公開用)'!N55&amp;", "</f>
        <v xml:space="preserve">, （三人称で言及してほしくない）, </v>
      </c>
      <c r="S55" s="8" t="s">
        <v>2335</v>
      </c>
      <c r="T5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55" s="8" t="str">
        <f>", "&amp;'RAW (公開用)'!P55&amp;", "</f>
        <v xml:space="preserve">, he, </v>
      </c>
      <c r="V55" s="8" t="s">
        <v>472</v>
      </c>
      <c r="W55" s="16" t="s">
        <v>2174</v>
      </c>
      <c r="X55" s="8"/>
      <c r="Y5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55" s="8" t="s">
        <v>455</v>
      </c>
      <c r="AA55" s="8" t="str">
        <f>", "&amp;'RAW (公開用)'!U55&amp;", "</f>
        <v xml:space="preserve">, 戸籍名の変更, ホルモン補充療法（HRT）, 声帯にかかわる手術, 胸部の手術, 性器にかかわる手術, </v>
      </c>
      <c r="AB55" s="8" t="str">
        <f>", "&amp;'RAW (公開用)'!V55&amp;", "</f>
        <v xml:space="preserve">, （上記のどれも経験していない）, </v>
      </c>
      <c r="AC55" s="8"/>
      <c r="AD5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55" s="8" t="s">
        <v>462</v>
      </c>
      <c r="AF55" s="8" t="s">
        <v>457</v>
      </c>
      <c r="AG55" s="8" t="s">
        <v>458</v>
      </c>
      <c r="AH55" s="8"/>
      <c r="AI55" s="8">
        <f t="shared" si="1"/>
        <v>7</v>
      </c>
      <c r="AJ55" s="8"/>
      <c r="AK55" s="8"/>
      <c r="AL55" s="8"/>
      <c r="AM55" s="8"/>
      <c r="AN55" s="8"/>
    </row>
    <row r="56" spans="1:40" ht="63.75" hidden="1">
      <c r="A56" s="8">
        <v>439</v>
      </c>
      <c r="B56" s="11">
        <v>44996.414881307872</v>
      </c>
      <c r="C56" s="8" t="s">
        <v>452</v>
      </c>
      <c r="D56" s="8" t="s">
        <v>453</v>
      </c>
      <c r="E56" s="8" t="s">
        <v>452</v>
      </c>
      <c r="F56" s="8" t="s">
        <v>454</v>
      </c>
      <c r="G56" s="8" t="str">
        <f>", "&amp;'RAW (公開用)'!F440&amp;", "</f>
        <v xml:space="preserve">, 少年, Aジェンダー／エイジェンダー／アジェンダー／agender, 無し, Xジェンダー, X, </v>
      </c>
      <c r="H56" s="8" t="s">
        <v>643</v>
      </c>
      <c r="I56" s="8" t="str">
        <f>", "&amp;'RAW (公開用)'!H440&amp;", "</f>
        <v xml:space="preserve">, （敬称なし）, さん, </v>
      </c>
      <c r="J56" s="8" t="s">
        <v>2335</v>
      </c>
      <c r="K5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56" s="8" t="str">
        <f>", "&amp;'RAW (公開用)'!J440&amp;", "</f>
        <v xml:space="preserve">, **英語を日常的に使わない**, </v>
      </c>
      <c r="M56" s="8" t="s">
        <v>2335</v>
      </c>
      <c r="N5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56" s="8" t="str">
        <f>", "&amp;'RAW (公開用)'!L440&amp;", "</f>
        <v xml:space="preserve">, 俺, ぼく, わし, 私（わたし／わたくし）, </v>
      </c>
      <c r="P56" s="8" t="s">
        <v>2335</v>
      </c>
      <c r="Q5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ぼく, わし, 私（わたし／わたくし）,  , </v>
      </c>
      <c r="R56" s="8" t="str">
        <f>", "&amp;'RAW (公開用)'!N56&amp;", "</f>
        <v xml:space="preserve">, （自分（たち）の名前）, 彼女, </v>
      </c>
      <c r="S56" s="8" t="s">
        <v>2355</v>
      </c>
      <c r="T5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彼女,  , {この/その/あの}+人,</v>
      </c>
      <c r="U56" s="8" t="str">
        <f>", "&amp;'RAW (公開用)'!P440&amp;", "</f>
        <v xml:space="preserve">, **英語を日常的に使わない**, </v>
      </c>
      <c r="V56" s="8" t="s">
        <v>455</v>
      </c>
      <c r="W56" s="8" t="str">
        <f>", "&amp;'RAW (公開用)'!R440&amp;", "</f>
        <v xml:space="preserve">, LGBTQ+運動からの排斥, 家族／かぞくからの無理解, ミスジェンダリング（誤った性別として扱うこと）, 職場や学校における無理解, 社会の中でいないことにされる, 医療における無理解, 必要なジェンダーケアへアクセスできない, デッドネーミング（誤った名前で呼ばれること）, </v>
      </c>
      <c r="X56" s="8" t="s">
        <v>287</v>
      </c>
      <c r="Y5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LGBTQ+運動からの排斥, 家族／かぞくからの無理解, ミスジェンダリング（誤った性別として扱うこと）, 職場や学校における無理解, 社会の中でいないことにされる, 医療における無理解, 必要なジェンダーケアへアクセスできない, デッドネーミング（誤った名前で呼ばれること）,  複数のマイノリテイにより、LGBTのコミュニティにもなかなか加われない、仲間として意識されてるか不安</v>
      </c>
      <c r="Z56" s="8" t="s">
        <v>455</v>
      </c>
      <c r="AA56" s="8" t="str">
        <f>", "&amp;'RAW (公開用)'!U440&amp;", "</f>
        <v xml:space="preserve">, 戸籍名の変更, 戸籍上の性別の変更, ジェンダークリニックの受診, 胸部の手術, </v>
      </c>
      <c r="AB56" s="8" t="str">
        <f>", "&amp;'RAW (公開用)'!V440&amp;", "</f>
        <v xml:space="preserve">, ジェンダークリニックの受診, 胸部の手術, </v>
      </c>
      <c r="AC56" s="8" t="s">
        <v>356</v>
      </c>
      <c r="AD56"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胸部の手術,  戸籍上の性別の者としてこれまで過ごしてきた社会における移行</v>
      </c>
      <c r="AE56" s="8" t="s">
        <v>459</v>
      </c>
      <c r="AF56" s="8" t="s">
        <v>457</v>
      </c>
      <c r="AG56" s="8" t="s">
        <v>458</v>
      </c>
      <c r="AH56" s="8"/>
      <c r="AI56" s="8">
        <f>(LEN(G56)-LEN(SUBSTITUTE(G56,", ","")))/LEN(", ")-1-(LEN(G56)-LEN(SUBSTITUTE(G56,"必ず","")))/LEN("必ず")</f>
        <v>5</v>
      </c>
      <c r="AJ56" s="8"/>
      <c r="AK56" s="8"/>
      <c r="AL56" s="8"/>
      <c r="AM56" s="8"/>
      <c r="AN56" s="8"/>
    </row>
    <row r="57" spans="1:40" ht="63.75" hidden="1">
      <c r="A57" s="8">
        <v>210</v>
      </c>
      <c r="B57" s="11">
        <v>44971.325307581021</v>
      </c>
      <c r="C57" s="8" t="s">
        <v>452</v>
      </c>
      <c r="D57" s="8" t="s">
        <v>453</v>
      </c>
      <c r="E57" s="8" t="s">
        <v>452</v>
      </c>
      <c r="F57" s="8" t="s">
        <v>454</v>
      </c>
      <c r="G57" s="8" t="str">
        <f>", "&amp;'RAW (公開用)'!F211&amp;", "</f>
        <v xml:space="preserve">, **必ず選んでください**, 少年, ノンバイナリー, クィア／Queer, </v>
      </c>
      <c r="H57" s="8"/>
      <c r="I57" s="8" t="str">
        <f>", "&amp;'RAW (公開用)'!H211&amp;", "</f>
        <v xml:space="preserve">, ちゃん, さん, </v>
      </c>
      <c r="J57" s="8" t="s">
        <v>2335</v>
      </c>
      <c r="K5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57" s="8" t="str">
        <f>", "&amp;'RAW (公開用)'!J211&amp;", "</f>
        <v xml:space="preserve">, **英語を日常的に使わない**, </v>
      </c>
      <c r="M57" s="8" t="s">
        <v>2335</v>
      </c>
      <c r="N5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57" s="8" t="str">
        <f>", "&amp;'RAW (公開用)'!L211&amp;", "</f>
        <v xml:space="preserve">, 自分, 僕, 私（わたし／わたくし）, あたし, </v>
      </c>
      <c r="P57" s="8" t="s">
        <v>2335</v>
      </c>
      <c r="Q5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僕, 私（わたし／わたくし）, あたし,  , </v>
      </c>
      <c r="R57" s="8" t="s">
        <v>2174</v>
      </c>
      <c r="S57" s="8" t="s">
        <v>2441</v>
      </c>
      <c r="T5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{この/その/あの}+子,{この/その/あの}+人,</v>
      </c>
      <c r="U57" s="8" t="str">
        <f>", "&amp;'RAW (公開用)'!P211&amp;", "</f>
        <v xml:space="preserve">, **英語を日常的に使わない**, </v>
      </c>
      <c r="V57" s="8" t="s">
        <v>455</v>
      </c>
      <c r="W57" s="8" t="str">
        <f>", "&amp;'RAW (公開用)'!R211&amp;", "</f>
        <v xml:space="preserve">, アウティング（勝手にジェンダーや指向についての情報を明かされること）, ミスジェンダリング（誤った性別として扱うこと）, 医療における無理解, 職場や学校における無理解, LGBTQ+運動からの排斥, 社会の中でいないことにされる, 家族／かぞくからの無理解, 必要なジェンダーケアへアクセスできない, カムアウトできない, </v>
      </c>
      <c r="X57" s="8"/>
      <c r="Y5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ミスジェンダリング（誤った性別として扱うこと）, 医療における無理解, 職場や学校における無理解, LGBTQ+運動からの排斥, 社会の中でいないことにされる, 家族／かぞくからの無理解, 必要なジェンダーケアへアクセスできない, カムアウトできない,  </v>
      </c>
      <c r="Z57" s="8" t="s">
        <v>455</v>
      </c>
      <c r="AA57" s="8" t="str">
        <f>", "&amp;'RAW (公開用)'!U211&amp;", "</f>
        <v xml:space="preserve">, 性器にかかわる手術, </v>
      </c>
      <c r="AB57" s="8" t="str">
        <f>", "&amp;'RAW (公開用)'!V211&amp;", "</f>
        <v xml:space="preserve">, （上記のどれも経験していない）, </v>
      </c>
      <c r="AC57" s="8"/>
      <c r="AD5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57" s="8" t="s">
        <v>456</v>
      </c>
      <c r="AF57" s="8" t="s">
        <v>457</v>
      </c>
      <c r="AG57" s="8" t="s">
        <v>458</v>
      </c>
      <c r="AH57" s="8"/>
      <c r="AI57" s="8">
        <f>(LEN(G57)-LEN(SUBSTITUTE(G57,", ","")))/LEN(", ")-1-(LEN(G57)-LEN(SUBSTITUTE(G57,"必ず","")))/LEN("必ず")</f>
        <v>3</v>
      </c>
      <c r="AJ57" s="8"/>
      <c r="AK57" s="8"/>
      <c r="AL57" s="8"/>
      <c r="AM57" s="8"/>
      <c r="AN57" s="8"/>
    </row>
    <row r="58" spans="1:40" ht="12.75" hidden="1">
      <c r="A58" s="8">
        <v>57</v>
      </c>
      <c r="B58" s="11">
        <v>44969.862444710649</v>
      </c>
      <c r="C58" s="8" t="s">
        <v>452</v>
      </c>
      <c r="D58" s="8" t="s">
        <v>453</v>
      </c>
      <c r="E58" s="8" t="s">
        <v>452</v>
      </c>
      <c r="F58" s="8" t="s">
        <v>454</v>
      </c>
      <c r="G58" s="8" t="str">
        <f>", "&amp;'RAW (公開用)'!F58&amp;", "</f>
        <v xml:space="preserve">, ノンバイナリー女性, Aジェンダー／エイジェンダー／アジェンダー／agender, </v>
      </c>
      <c r="H58" s="8"/>
      <c r="I58" s="8" t="str">
        <f>", "&amp;'RAW (公開用)'!H58&amp;", "</f>
        <v xml:space="preserve">, さん, </v>
      </c>
      <c r="J58" s="8" t="s">
        <v>2335</v>
      </c>
      <c r="K5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58" s="8" t="str">
        <f>", "&amp;'RAW (公開用)'!J58&amp;", "</f>
        <v xml:space="preserve">, -san, </v>
      </c>
      <c r="M58" s="8" t="s">
        <v>2335</v>
      </c>
      <c r="N5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58" s="8" t="str">
        <f>", "&amp;'RAW (公開用)'!L58&amp;", "</f>
        <v xml:space="preserve">, 私（わたし／わたくし）, おれ, </v>
      </c>
      <c r="P58" s="8" t="s">
        <v>2335</v>
      </c>
      <c r="Q5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おれ,  , </v>
      </c>
      <c r="R58" s="8" t="str">
        <f>", "&amp;'RAW (公開用)'!N58&amp;", "</f>
        <v xml:space="preserve">, （三人称で言及してほしくない）, </v>
      </c>
      <c r="S58" s="8" t="s">
        <v>2335</v>
      </c>
      <c r="T5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58" s="8" t="str">
        <f>", "&amp;'RAW (公開用)'!P58&amp;", "</f>
        <v xml:space="preserve">, they/them/their/themselves, she, </v>
      </c>
      <c r="V58" s="8" t="s">
        <v>455</v>
      </c>
      <c r="W58" s="8" t="str">
        <f>", "&amp;'RAW (公開用)'!R58&amp;", "</f>
        <v xml:space="preserve">, 性暴力, 社会の中でいないことにされる, </v>
      </c>
      <c r="X58" s="8"/>
      <c r="Y5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社会の中でいないことにされる,  </v>
      </c>
      <c r="Z58" s="8" t="s">
        <v>472</v>
      </c>
      <c r="AA58" s="8" t="s">
        <v>2174</v>
      </c>
      <c r="AB58" s="105" t="s">
        <v>2443</v>
      </c>
      <c r="AC58" s="8"/>
      <c r="AD58"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58" s="8" t="s">
        <v>479</v>
      </c>
      <c r="AF58" s="8" t="s">
        <v>457</v>
      </c>
      <c r="AG58" s="8" t="s">
        <v>458</v>
      </c>
      <c r="AH58" s="8"/>
      <c r="AI58" s="8">
        <f>((LEN(G58)-LEN(SUBSTITUTE(G58,", ","")))/LEN(", ")-1-(LEN(G58)-LEN(SUBSTITUTE(G58,"必ず","")))/LEN("必ず"))+(LEN(H58)-LEN(SUBSTITUTE(H58,",","")))</f>
        <v>2</v>
      </c>
      <c r="AJ58" s="8"/>
      <c r="AK58" s="8"/>
      <c r="AL58" s="8"/>
      <c r="AM58" s="8"/>
      <c r="AN58" s="8"/>
    </row>
    <row r="59" spans="1:40" ht="38.25" hidden="1">
      <c r="A59" s="8">
        <v>58</v>
      </c>
      <c r="B59" s="11">
        <v>44969.863636377311</v>
      </c>
      <c r="C59" s="8" t="s">
        <v>452</v>
      </c>
      <c r="D59" s="8" t="s">
        <v>453</v>
      </c>
      <c r="E59" s="8" t="s">
        <v>452</v>
      </c>
      <c r="F59" s="8" t="s">
        <v>454</v>
      </c>
      <c r="G59" s="8" t="str">
        <f>", "&amp;'RAW (公開用)'!F59&amp;", "</f>
        <v xml:space="preserve">, Aジェンダー／エイジェンダー／アジェンダー／agender, ノンバイナリー, **必ず選んでください**, ブッチ／butch, 無性, </v>
      </c>
      <c r="H59" s="8"/>
      <c r="I59" s="8" t="str">
        <f>", "&amp;'RAW (公開用)'!H59&amp;", "</f>
        <v xml:space="preserve">, （any／問わない／どれでもよい）, </v>
      </c>
      <c r="J59" s="8" t="s">
        <v>2335</v>
      </c>
      <c r="K5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59" s="8" t="str">
        <f>", "&amp;'RAW (公開用)'!J59&amp;", "</f>
        <v xml:space="preserve">, （any／問わない／どれでもよい）, </v>
      </c>
      <c r="M59" s="8" t="s">
        <v>2335</v>
      </c>
      <c r="N5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59" s="8" t="str">
        <f>", "&amp;'RAW (公開用)'!L59&amp;", "</f>
        <v xml:space="preserve">, 自分, （自分（たち）の名前）, 俺, 私（わたし／わたくし）, </v>
      </c>
      <c r="P59" s="8" t="s">
        <v>2335</v>
      </c>
      <c r="Q5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（自分（たち）の名前）, 俺, 私（わたし／わたくし）,  , </v>
      </c>
      <c r="R59" s="8" t="str">
        <f>", "&amp;'RAW (公開用)'!N59&amp;", "</f>
        <v xml:space="preserve">, （any／問わない／どれでもよい）, </v>
      </c>
      <c r="S59" s="8" t="s">
        <v>2335</v>
      </c>
      <c r="T5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59" s="8" t="str">
        <f>", "&amp;'RAW (公開用)'!P59&amp;", "</f>
        <v xml:space="preserve">, any/問わない/どれでもよい, </v>
      </c>
      <c r="V59" s="8" t="s">
        <v>455</v>
      </c>
      <c r="W59" s="8" t="str">
        <f>", "&amp;'RAW (公開用)'!R59&amp;", "</f>
        <v xml:space="preserve">, 社会の中でいないことにされる, ミスジェンダリング（誤った性別として扱うこと）, カムアウトできない, トイレなどのジェンダー化されたスペースの使用, LGBTQ+運動からの排斥, </v>
      </c>
      <c r="X59" s="8"/>
      <c r="Y5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カムアウトできない, トイレなどのジェンダー化されたスペースの使用, LGBTQ+運動からの排斥,  </v>
      </c>
      <c r="Z59" s="8" t="s">
        <v>455</v>
      </c>
      <c r="AA59" s="8" t="str">
        <f>", "&amp;'RAW (公開用)'!U59&amp;", "</f>
        <v xml:space="preserve">, 戸籍上の性別の変更, ジェンダークリニックの受診, 抗ホルモン療法, </v>
      </c>
      <c r="AB59" s="8" t="str">
        <f>", "&amp;'RAW (公開用)'!V59&amp;", "</f>
        <v xml:space="preserve">, ジェンダークリニックの受診, 抗ホルモン療法, </v>
      </c>
      <c r="AC59" s="8" t="s">
        <v>337</v>
      </c>
      <c r="AD59"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抗ホルモン療法,  殆どのジェンダークリニックでノンバイナリーの存在が想定されていない。例えば、お問合せの選択肢が、MtFとFtMの2種類しかない所があるなど。</v>
      </c>
      <c r="AE59" s="8" t="s">
        <v>462</v>
      </c>
      <c r="AF59" s="8" t="s">
        <v>457</v>
      </c>
      <c r="AG59" s="8" t="s">
        <v>458</v>
      </c>
      <c r="AH59" s="8"/>
      <c r="AI59" s="8">
        <f>((LEN(G59)-LEN(SUBSTITUTE(G59,", ","")))/LEN(", ")-1-(LEN(G59)-LEN(SUBSTITUTE(G59,"必ず","")))/LEN("必ず"))+(LEN(H59)-LEN(SUBSTITUTE(H59,",","")))</f>
        <v>4</v>
      </c>
      <c r="AJ59" s="8"/>
      <c r="AK59" s="8"/>
      <c r="AL59" s="8"/>
      <c r="AM59" s="8"/>
      <c r="AN59" s="8"/>
    </row>
    <row r="60" spans="1:40" ht="12.75" hidden="1">
      <c r="A60" s="8">
        <v>155</v>
      </c>
      <c r="B60" s="11">
        <v>44970.751032488421</v>
      </c>
      <c r="C60" s="8" t="s">
        <v>452</v>
      </c>
      <c r="D60" s="8" t="s">
        <v>453</v>
      </c>
      <c r="E60" s="8" t="s">
        <v>452</v>
      </c>
      <c r="F60" s="8" t="s">
        <v>454</v>
      </c>
      <c r="G60" s="8" t="str">
        <f>", "&amp;'RAW (公開用)'!F156&amp;", "</f>
        <v xml:space="preserve">, 女性／woman, **必ず選んでください**, </v>
      </c>
      <c r="H60" s="8"/>
      <c r="I60" s="8" t="str">
        <f>", "&amp;'RAW (公開用)'!H156&amp;", "</f>
        <v xml:space="preserve">, さん, </v>
      </c>
      <c r="J60" s="8" t="s">
        <v>2335</v>
      </c>
      <c r="K6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0" s="8" t="str">
        <f>", "&amp;'RAW (公開用)'!J156&amp;", "</f>
        <v xml:space="preserve">, **英語を日常的に使わない**, </v>
      </c>
      <c r="M60" s="8" t="s">
        <v>2335</v>
      </c>
      <c r="N6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0" s="8" t="str">
        <f>", "&amp;'RAW (公開用)'!L156&amp;", "</f>
        <v xml:space="preserve">, 自分, </v>
      </c>
      <c r="P60" s="8" t="s">
        <v>2335</v>
      </c>
      <c r="Q6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 </v>
      </c>
      <c r="R60" s="8" t="str">
        <f>", "&amp;'RAW (公開用)'!N60&amp;", "</f>
        <v xml:space="preserve">, （自分（たち）の名前）, </v>
      </c>
      <c r="S60" s="8" t="s">
        <v>2356</v>
      </c>
      <c r="T6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{この/その/あの}+ひと,</v>
      </c>
      <c r="U60" s="8" t="str">
        <f>", "&amp;'RAW (公開用)'!P156&amp;", "</f>
        <v xml:space="preserve">, **英語を日常的に使わない**, </v>
      </c>
      <c r="V60" s="8" t="s">
        <v>455</v>
      </c>
      <c r="W60" s="8" t="str">
        <f>", "&amp;'RAW (公開用)'!R156&amp;", "</f>
        <v xml:space="preserve">, 必要なジェンダーケアへアクセスできない, </v>
      </c>
      <c r="X60" s="8"/>
      <c r="Y6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v>
      </c>
      <c r="Z60" s="8" t="s">
        <v>455</v>
      </c>
      <c r="AA60" s="8" t="str">
        <f>", "&amp;'RAW (公開用)'!U156&amp;", "</f>
        <v xml:space="preserve">, （上記のどれも希望していない）, </v>
      </c>
      <c r="AB60" s="8" t="str">
        <f>", "&amp;'RAW (公開用)'!V156&amp;", "</f>
        <v xml:space="preserve">, （上記のどれも経験していない）, </v>
      </c>
      <c r="AC60" s="8"/>
      <c r="AD6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60" s="8" t="s">
        <v>475</v>
      </c>
      <c r="AF60" s="8" t="s">
        <v>457</v>
      </c>
      <c r="AG60" s="8" t="s">
        <v>458</v>
      </c>
      <c r="AH60" s="8"/>
      <c r="AI60" s="8">
        <f>(LEN(G60)-LEN(SUBSTITUTE(G60,", ","")))/LEN(", ")-1-(LEN(G60)-LEN(SUBSTITUTE(G60,"必ず","")))/LEN("必ず")</f>
        <v>1</v>
      </c>
      <c r="AJ60" s="8"/>
      <c r="AK60" s="8"/>
      <c r="AL60" s="8"/>
      <c r="AM60" s="8"/>
      <c r="AN60" s="8"/>
    </row>
    <row r="61" spans="1:40" ht="63.75" hidden="1">
      <c r="A61" s="8">
        <v>60</v>
      </c>
      <c r="B61" s="11">
        <v>44969.864819166665</v>
      </c>
      <c r="C61" s="8" t="s">
        <v>452</v>
      </c>
      <c r="D61" s="8" t="s">
        <v>453</v>
      </c>
      <c r="E61" s="8" t="s">
        <v>452</v>
      </c>
      <c r="F61" s="8" t="s">
        <v>454</v>
      </c>
      <c r="G61" s="8" t="str">
        <f>", "&amp;'RAW (公開用)'!F61&amp;", "</f>
        <v xml:space="preserve">, ジェンダークィア, ジェンダー・ノンコンフォーミング／gender non-conforming, 不明／わからない, ノンバイナリー, </v>
      </c>
      <c r="H61" s="8"/>
      <c r="I61" s="8" t="str">
        <f>", "&amp;'RAW (公開用)'!H61&amp;", "</f>
        <v xml:space="preserve">, さん, </v>
      </c>
      <c r="J61" s="8" t="s">
        <v>2335</v>
      </c>
      <c r="K6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1" s="8" t="str">
        <f>", "&amp;'RAW (公開用)'!J61&amp;", "</f>
        <v xml:space="preserve">, -san, （敬称なし）, </v>
      </c>
      <c r="M61" s="8" t="s">
        <v>2335</v>
      </c>
      <c r="N6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61" s="8" t="str">
        <f>", "&amp;'RAW (公開用)'!L61&amp;", "</f>
        <v xml:space="preserve">, 私（わたし／わたくし）, 自分, </v>
      </c>
      <c r="P61" s="8" t="s">
        <v>2335</v>
      </c>
      <c r="Q6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61" s="8" t="str">
        <f>", "&amp;'RAW (公開用)'!N61&amp;", "</f>
        <v xml:space="preserve">, 彼人（かのひと）, （自分（たち）の名前）, </v>
      </c>
      <c r="S61" s="8" t="s">
        <v>2335</v>
      </c>
      <c r="T6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（自分（たち）の名前）,  , </v>
      </c>
      <c r="U61" s="8" t="str">
        <f>", "&amp;'RAW (公開用)'!P61&amp;", "</f>
        <v xml:space="preserve">, they/them/their/themself, </v>
      </c>
      <c r="V61" s="8" t="s">
        <v>455</v>
      </c>
      <c r="W61" s="8" t="str">
        <f>", "&amp;'RAW (公開用)'!R61&amp;", "</f>
        <v xml:space="preserve">, 社会の中でいないことにされる, 職場や学校における無理解, カムアウトできない, 家族／かぞくからの無理解, 医療における無理解, 性暴力, アウティング（勝手にジェンダーや指向についての情報を明かされること）, トイレなどのジェンダー化されたスペースの使用, LGBTQ+運動からの排斥, ミスジェンダリング（誤った性別として扱うこと）, 必要なジェンダーケアへアクセスできない, </v>
      </c>
      <c r="X61" s="8"/>
      <c r="Y6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職場や学校における無理解, カムアウトできない, 家族／かぞくからの無理解, 医療における無理解, 性暴力, アウティング（勝手にジェンダーや指向についての情報を明かされること）, トイレなどのジェンダー化されたスペースの使用, LGBTQ+運動からの排斥, ミスジェンダリング（誤った性別として扱うこと）, 必要なジェンダーケアへアクセスできない,  </v>
      </c>
      <c r="Z61" s="8" t="s">
        <v>455</v>
      </c>
      <c r="AA61" s="8" t="str">
        <f>", "&amp;'RAW (公開用)'!U61&amp;", "</f>
        <v xml:space="preserve">, 胸部の手術, </v>
      </c>
      <c r="AB61" s="8" t="str">
        <f>", "&amp;'RAW (公開用)'!V61&amp;", "</f>
        <v xml:space="preserve">, （上記のどれも経験していない）, </v>
      </c>
      <c r="AC61" s="8"/>
      <c r="AD6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61" s="8" t="s">
        <v>456</v>
      </c>
      <c r="AF61" s="8" t="s">
        <v>457</v>
      </c>
      <c r="AG61" s="8" t="s">
        <v>458</v>
      </c>
      <c r="AH61" s="8"/>
      <c r="AI61" s="8">
        <f t="shared" ref="AI61:AI72" si="2">((LEN(G61)-LEN(SUBSTITUTE(G61,", ","")))/LEN(", ")-1-(LEN(G61)-LEN(SUBSTITUTE(G61,"必ず","")))/LEN("必ず"))+(LEN(H61)-LEN(SUBSTITUTE(H61,",","")))</f>
        <v>4</v>
      </c>
      <c r="AJ61" s="8"/>
      <c r="AK61" s="8"/>
      <c r="AL61" s="8"/>
      <c r="AM61" s="8"/>
      <c r="AN61" s="8"/>
    </row>
    <row r="62" spans="1:40" ht="242.25" hidden="1">
      <c r="A62" s="8">
        <v>61</v>
      </c>
      <c r="B62" s="11">
        <v>44969.86569416667</v>
      </c>
      <c r="C62" s="8" t="s">
        <v>452</v>
      </c>
      <c r="D62" s="8" t="s">
        <v>453</v>
      </c>
      <c r="E62" s="8" t="s">
        <v>452</v>
      </c>
      <c r="F62" s="8" t="s">
        <v>454</v>
      </c>
      <c r="G62" s="8" t="str">
        <f>", "&amp;'RAW (公開用)'!F62&amp;", "</f>
        <v xml:space="preserve">, トランス*／trans*, **必ず選んでください**, トランス男性, </v>
      </c>
      <c r="H62" s="8"/>
      <c r="I62" s="8" t="str">
        <f>", "&amp;'RAW (公開用)'!H62&amp;", "</f>
        <v xml:space="preserve">, さん, </v>
      </c>
      <c r="J62" s="8" t="s">
        <v>2335</v>
      </c>
      <c r="K6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2" s="8" t="str">
        <f>", "&amp;'RAW (公開用)'!J62&amp;", "</f>
        <v xml:space="preserve">, **英語を日常的に使わない**, </v>
      </c>
      <c r="M62" s="8" t="s">
        <v>2335</v>
      </c>
      <c r="N6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2" s="8" t="str">
        <f>", "&amp;'RAW (公開用)'!L62&amp;", "</f>
        <v xml:space="preserve">, 僕, ぼく, おら, </v>
      </c>
      <c r="P62" s="8" t="s">
        <v>2335</v>
      </c>
      <c r="Q6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ぼく, おら,  , </v>
      </c>
      <c r="R62" s="8" t="str">
        <f>", "&amp;'RAW (公開用)'!N62&amp;", "</f>
        <v xml:space="preserve">, （自分（たち）の名前）, 彼, </v>
      </c>
      <c r="S62" s="8" t="s">
        <v>2335</v>
      </c>
      <c r="T6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62" s="8" t="str">
        <f>", "&amp;'RAW (公開用)'!P62&amp;", "</f>
        <v xml:space="preserve">, **英語を日常的に使わない**, </v>
      </c>
      <c r="V62" s="8" t="s">
        <v>455</v>
      </c>
      <c r="W62" s="8" t="str">
        <f>", "&amp;'RAW (公開用)'!R62&amp;", "</f>
        <v xml:space="preserve">, ミスジェンダリング（誤った性別として扱うこと）, 性暴力, 社会の中でいないことにされる, デッドネーミング（誤った名前で呼ばれること）, カムアウトできない, アウティング（勝手にジェンダーや指向についての情報を明かされること）, カムアウトを強制される, </v>
      </c>
      <c r="X62" s="8" t="s">
        <v>232</v>
      </c>
      <c r="Y6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性暴力, 社会の中でいないことにされる, デッドネーミング（誤った名前で呼ばれること）, カムアウトできない, アウティング（勝手にジェンダーや指向についての情報を明かされること）, カムアウトを強制される,  ミスジェンダリングとは違うのですが…
自分は現在移行の途中(主にホルモン剤治療を受けています)なのですが、よくインターネットの仲間内で男性ホルモンの摂取の話をします。
その時に時を経て低く変化していく声を「声が男らしくなった」という褒め方をシスジェンダーのみならず様々なジェンダーの方からもされるのですが、とてもモヤモヤとしております。
声の音程で男女二元論によるそのジェンダーの固定観念に当てはまる「らしさ」を押し付けることは、その「らしさ」に当てはまらない人をふるいにかける、落とす行為だと思っており、ミスジェンダリングにも直接繋がることなので辞めて欲しいなと思っています。</v>
      </c>
      <c r="Z62" s="8" t="s">
        <v>455</v>
      </c>
      <c r="AA62" s="8" t="str">
        <f>", "&amp;'RAW (公開用)'!U62&amp;", "</f>
        <v xml:space="preserve">, 戸籍名の変更, 戸籍上の性別の変更, ジェンダークリニックの受診, 胸部の手術, 性器にかかわる手術, </v>
      </c>
      <c r="AB62" s="8" t="str">
        <f>", "&amp;'RAW (公開用)'!V62&amp;", "</f>
        <v xml:space="preserve">, ジェンダークリニックの受診, </v>
      </c>
      <c r="AC62" s="8" t="s">
        <v>389</v>
      </c>
      <c r="AD62"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上記の欄のホルモンに関わる療法について自分の受けている治療が正式な名称が分からずチェックを飛ばしてしまいました、すみません。
本題ですが、トランジションに関して社会的な関わりにおいて一番困難なのがカムアウトした場合自分を「身体違和の強いジェンダーアイデンティティが男性の人」ではなく「男性になりたい女性」「おなべ」として認識している人の目が怖いです。
声が変わったり喉仏が出たり、顕著な変化を見付けると根掘り葉掘り面白いものとして扱われて聞かれる、更には勿体ないと言われるのがとてもつらいです。
あとは一切カムアウトしていない方に通称名を知られた時に事情を説明するのがとても苦痛です。
法的にも現在お付き合いしている方と結婚するには完全に戸籍上の性別を変えてしまうと婚姻が認められないのもとても悲しく思います。
医療的な面に関してもジェンダークリニックがない地域で「性同一性障害」の診断書を出してもらうのに関して感じたのは全体的に「性同一性障害」に理解のある医師が少ない、その上で診断書を書ける医師が少ないと思いました。</v>
      </c>
      <c r="AE62" s="8" t="s">
        <v>459</v>
      </c>
      <c r="AF62" s="8" t="s">
        <v>457</v>
      </c>
      <c r="AG62" s="8" t="s">
        <v>458</v>
      </c>
      <c r="AH62" s="8"/>
      <c r="AI62" s="8">
        <f t="shared" si="2"/>
        <v>2</v>
      </c>
      <c r="AJ62" s="8"/>
      <c r="AK62" s="8"/>
      <c r="AL62" s="8"/>
      <c r="AM62" s="8"/>
      <c r="AN62" s="8"/>
    </row>
    <row r="63" spans="1:40" ht="38.25" hidden="1">
      <c r="A63" s="8">
        <v>62</v>
      </c>
      <c r="B63" s="11">
        <v>44969.867257465274</v>
      </c>
      <c r="C63" s="8" t="s">
        <v>452</v>
      </c>
      <c r="D63" s="8" t="s">
        <v>453</v>
      </c>
      <c r="E63" s="8" t="s">
        <v>452</v>
      </c>
      <c r="F63" s="8" t="s">
        <v>454</v>
      </c>
      <c r="G63" s="8" t="str">
        <f>", "&amp;'RAW (公開用)'!F63&amp;", "</f>
        <v xml:space="preserve">, ノンバイナリー, ジェンダークィア, クエスチョニング, **必ず選んでください**, クィア／Queer, </v>
      </c>
      <c r="H63" s="8"/>
      <c r="I63" s="8" t="str">
        <f>", "&amp;'RAW (公開用)'!H63&amp;", "</f>
        <v xml:space="preserve">, （any／問わない／どれでもよい）, </v>
      </c>
      <c r="J63" s="8" t="s">
        <v>2335</v>
      </c>
      <c r="K6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63" s="8" t="str">
        <f>", "&amp;'RAW (公開用)'!J63&amp;", "</f>
        <v xml:space="preserve">, **英語を日常的に使わない**, </v>
      </c>
      <c r="M63" s="8" t="s">
        <v>2335</v>
      </c>
      <c r="N6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3" s="8" t="str">
        <f>", "&amp;'RAW (公開用)'!L63&amp;", "</f>
        <v xml:space="preserve">, 俺, 私（わたし／わたくし）, ぼく, うち, </v>
      </c>
      <c r="P63" s="8" t="s">
        <v>2335</v>
      </c>
      <c r="Q6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ぼく, うち,  , </v>
      </c>
      <c r="R63" s="8" t="str">
        <f>", "&amp;'RAW (公開用)'!N63&amp;", "</f>
        <v xml:space="preserve">, （any／問わない／どれでもよい）, </v>
      </c>
      <c r="S63" s="8" t="s">
        <v>2335</v>
      </c>
      <c r="T6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63" s="8" t="str">
        <f>", "&amp;'RAW (公開用)'!P63&amp;", "</f>
        <v xml:space="preserve">, **英語を日常的に使わない**, </v>
      </c>
      <c r="V63" s="8" t="s">
        <v>455</v>
      </c>
      <c r="W63" s="8" t="str">
        <f>", "&amp;'RAW (公開用)'!R63&amp;", "</f>
        <v xml:space="preserve">, カムアウトできない, 職場や学校における無理解, 家族／かぞくからの無理解, 社会の中でいないことにされる, ミスジェンダリング（誤った性別として扱うこと）, </v>
      </c>
      <c r="X63" s="8"/>
      <c r="Y6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職場や学校における無理解, 家族／かぞくからの無理解, 社会の中でいないことにされる, ミスジェンダリング（誤った性別として扱うこと）,  </v>
      </c>
      <c r="Z63" s="8" t="s">
        <v>455</v>
      </c>
      <c r="AA63" s="8" t="str">
        <f>", "&amp;'RAW (公開用)'!U63&amp;", "</f>
        <v xml:space="preserve">, （上記のどれも希望していない）, </v>
      </c>
      <c r="AB63" s="8" t="str">
        <f>", "&amp;'RAW (公開用)'!V63&amp;", "</f>
        <v xml:space="preserve">, （上記のどれも経験していない）, </v>
      </c>
      <c r="AC63" s="8"/>
      <c r="AD6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63" s="8" t="s">
        <v>462</v>
      </c>
      <c r="AF63" s="8" t="s">
        <v>457</v>
      </c>
      <c r="AG63" s="8" t="s">
        <v>458</v>
      </c>
      <c r="AH63" s="8"/>
      <c r="AI63" s="8">
        <f t="shared" si="2"/>
        <v>4</v>
      </c>
      <c r="AJ63" s="8"/>
      <c r="AK63" s="8"/>
      <c r="AL63" s="8"/>
      <c r="AM63" s="8"/>
      <c r="AN63" s="8"/>
    </row>
    <row r="64" spans="1:40" ht="25.5" hidden="1">
      <c r="A64" s="8">
        <v>63</v>
      </c>
      <c r="B64" s="11">
        <v>44969.870282615739</v>
      </c>
      <c r="C64" s="8" t="s">
        <v>452</v>
      </c>
      <c r="D64" s="8" t="s">
        <v>453</v>
      </c>
      <c r="E64" s="8" t="s">
        <v>452</v>
      </c>
      <c r="F64" s="8" t="s">
        <v>454</v>
      </c>
      <c r="G64" s="8" t="str">
        <f>", "&amp;'RAW (公開用)'!F64&amp;", "</f>
        <v xml:space="preserve">, ノンバイナリー, </v>
      </c>
      <c r="H64" s="8" t="s">
        <v>499</v>
      </c>
      <c r="I64" s="8" t="str">
        <f>", "&amp;'RAW (公開用)'!H64&amp;", "</f>
        <v xml:space="preserve">, さん, </v>
      </c>
      <c r="J64" s="8" t="s">
        <v>2335</v>
      </c>
      <c r="K6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4" s="8" t="str">
        <f>", "&amp;'RAW (公開用)'!J64&amp;", "</f>
        <v xml:space="preserve">, **英語を日常的に使わない**, </v>
      </c>
      <c r="M64" s="8" t="s">
        <v>2335</v>
      </c>
      <c r="N6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4" s="8" t="str">
        <f>", "&amp;'RAW (公開用)'!L64&amp;", "</f>
        <v xml:space="preserve">, （時とともに変わる）, </v>
      </c>
      <c r="P64" s="8" t="s">
        <v>2335</v>
      </c>
      <c r="Q6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 </v>
      </c>
      <c r="R64" s="8" t="str">
        <f>", "&amp;'RAW (公開用)'!N64&amp;", "</f>
        <v xml:space="preserve">, （三人称で言及してほしくない）, </v>
      </c>
      <c r="S64" s="8" t="s">
        <v>2335</v>
      </c>
      <c r="T6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64" s="8" t="str">
        <f>", "&amp;'RAW (公開用)'!P64&amp;", "</f>
        <v xml:space="preserve">, **英語を日常的に使わない**, </v>
      </c>
      <c r="V64" s="8" t="s">
        <v>455</v>
      </c>
      <c r="W64" s="8" t="str">
        <f>", "&amp;'RAW (公開用)'!R64&amp;", "</f>
        <v xml:space="preserve">, ミスジェンダリング（誤った性別として扱うこと）, 家族／かぞくからの無理解, </v>
      </c>
      <c r="X64" s="8" t="s">
        <v>218</v>
      </c>
      <c r="Y6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家族／かぞくからの無理解,  その属性をもった役割を演じる必要がある（例えば母親）</v>
      </c>
      <c r="Z64" s="8" t="s">
        <v>472</v>
      </c>
      <c r="AA64" s="8" t="s">
        <v>2174</v>
      </c>
      <c r="AB64" s="105" t="s">
        <v>2443</v>
      </c>
      <c r="AC64" s="8"/>
      <c r="AD64"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64" s="8" t="s">
        <v>474</v>
      </c>
      <c r="AF64" s="8" t="s">
        <v>457</v>
      </c>
      <c r="AG64" s="8" t="s">
        <v>458</v>
      </c>
      <c r="AH64" s="8" t="s">
        <v>500</v>
      </c>
      <c r="AI64" s="8">
        <f t="shared" si="2"/>
        <v>2</v>
      </c>
      <c r="AJ64" s="8"/>
      <c r="AK64" s="8"/>
      <c r="AL64" s="8"/>
      <c r="AM64" s="8"/>
      <c r="AN64" s="8"/>
    </row>
    <row r="65" spans="1:40" ht="38.25" hidden="1">
      <c r="A65" s="8">
        <v>64</v>
      </c>
      <c r="B65" s="11">
        <v>44969.870817337964</v>
      </c>
      <c r="C65" s="8" t="s">
        <v>452</v>
      </c>
      <c r="D65" s="8" t="s">
        <v>453</v>
      </c>
      <c r="E65" s="8" t="s">
        <v>452</v>
      </c>
      <c r="F65" s="8" t="s">
        <v>454</v>
      </c>
      <c r="G65" s="8" t="str">
        <f>", "&amp;'RAW (公開用)'!F65&amp;", "</f>
        <v xml:space="preserve">, Xジェンダー, 中性, ノンバイナリー女性, **必ず選んでください**, （ジェンダー・）フルイド／（ジェンダー・）フリュイド／（ジェンダー・）フルイッド, クィア／Queer, 不定性, デミガール, </v>
      </c>
      <c r="H65" s="8"/>
      <c r="I65" s="8" t="str">
        <f>", "&amp;'RAW (公開用)'!H65&amp;", "</f>
        <v xml:space="preserve">, （any／問わない／どれでもよい）, さん, </v>
      </c>
      <c r="J65" s="8" t="s">
        <v>2335</v>
      </c>
      <c r="K6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さん,  , </v>
      </c>
      <c r="L65" s="8" t="str">
        <f>", "&amp;'RAW (公開用)'!J65&amp;", "</f>
        <v xml:space="preserve">, **英語を日常的に使わない**, </v>
      </c>
      <c r="M65" s="8" t="s">
        <v>2335</v>
      </c>
      <c r="N6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5" s="8" t="str">
        <f>", "&amp;'RAW (公開用)'!L65&amp;", "</f>
        <v xml:space="preserve">, 私（わたし／わたくし）, わたし, （自分（たち）の名前）, わし, おれ, うち, </v>
      </c>
      <c r="P65" s="8" t="s">
        <v>2335</v>
      </c>
      <c r="Q6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（自分（たち）の名前）, わし, おれ, うち,  , </v>
      </c>
      <c r="R65" s="8" t="str">
        <f>", "&amp;'RAW (公開用)'!N65&amp;", "</f>
        <v xml:space="preserve">, （三人称で言及してほしくない）, </v>
      </c>
      <c r="S65" s="8" t="s">
        <v>2335</v>
      </c>
      <c r="T6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65" s="8" t="str">
        <f>", "&amp;'RAW (公開用)'!P65&amp;", "</f>
        <v xml:space="preserve">, **英語を日常的に使わない**, </v>
      </c>
      <c r="V65" s="8" t="s">
        <v>455</v>
      </c>
      <c r="W65" s="8" t="str">
        <f>", "&amp;'RAW (公開用)'!R65&amp;", "</f>
        <v xml:space="preserve">, 職場や学校における無理解, </v>
      </c>
      <c r="X65" s="8"/>
      <c r="Y6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v>
      </c>
      <c r="Z65" s="8" t="s">
        <v>455</v>
      </c>
      <c r="AA65" s="8" t="str">
        <f>", "&amp;'RAW (公開用)'!U65&amp;", "</f>
        <v xml:space="preserve">, （上記のどれも希望していない）, </v>
      </c>
      <c r="AB65" s="8" t="str">
        <f>", "&amp;'RAW (公開用)'!V65&amp;", "</f>
        <v xml:space="preserve">, （上記のどれも経験していない）, </v>
      </c>
      <c r="AC65" s="8"/>
      <c r="AD6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65" s="8" t="s">
        <v>479</v>
      </c>
      <c r="AF65" s="8" t="s">
        <v>457</v>
      </c>
      <c r="AG65" s="8" t="s">
        <v>458</v>
      </c>
      <c r="AH65" s="8"/>
      <c r="AI65" s="8">
        <f t="shared" si="2"/>
        <v>7</v>
      </c>
      <c r="AJ65" s="8"/>
      <c r="AK65" s="8"/>
      <c r="AL65" s="8"/>
      <c r="AM65" s="8"/>
      <c r="AN65" s="8"/>
    </row>
    <row r="66" spans="1:40" ht="76.5" hidden="1">
      <c r="A66" s="8">
        <v>65</v>
      </c>
      <c r="B66" s="11">
        <v>44969.875296643513</v>
      </c>
      <c r="C66" s="8" t="s">
        <v>452</v>
      </c>
      <c r="D66" s="8" t="s">
        <v>453</v>
      </c>
      <c r="E66" s="8" t="s">
        <v>452</v>
      </c>
      <c r="F66" s="8" t="s">
        <v>454</v>
      </c>
      <c r="G66" s="8" t="str">
        <f>", "&amp;'RAW (公開用)'!F66&amp;", "</f>
        <v xml:space="preserve">, ニューロジェンダー／neurogender, 少女, ノンバイナリー, 女の子／girl, トランス, （ジェンダー・）フルイド／（ジェンダー・）フリュイド／（ジェンダー・）フルイッド, enby／エンビー, Xジェンダー, トランスフェミニン, 両性, ポリジェンダー, バイジェンダー, クィア／Queer, ジェンダーフラックス／フラックスジェンダー, **必ず選んでください**, トランスジェンダー, デミボーイ, 無性, 女性／woman, 不定性, </v>
      </c>
      <c r="H66" s="8"/>
      <c r="I66" s="8" t="str">
        <f>", "&amp;'RAW (公開用)'!H66&amp;", "</f>
        <v xml:space="preserve">, ちゃん, （敬称なし）, さん, </v>
      </c>
      <c r="J66" s="8" t="s">
        <v>2335</v>
      </c>
      <c r="K6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（敬称なし）, さん,  , </v>
      </c>
      <c r="L66" s="8" t="str">
        <f>", "&amp;'RAW (公開用)'!J66&amp;", "</f>
        <v xml:space="preserve">, **英語を日常的に使わない**, （クエスチョニング、模索中、または不明）, （敬称なし）, </v>
      </c>
      <c r="M66" s="8" t="s">
        <v>2335</v>
      </c>
      <c r="N6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（敬称なし）, , </v>
      </c>
      <c r="O66" s="8" t="str">
        <f>", "&amp;'RAW (公開用)'!L66&amp;", "</f>
        <v xml:space="preserve">, 自分, わたし, 私（わたし／わたくし）, うち, </v>
      </c>
      <c r="P66" s="8" t="s">
        <v>2335</v>
      </c>
      <c r="Q6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私（わたし／わたくし）, うち,  , </v>
      </c>
      <c r="R66" s="8" t="str">
        <f>", "&amp;'RAW (公開用)'!N66&amp;", "</f>
        <v xml:space="preserve">, 彼人（かのひと）, 彼人（かのと）, 彼女, （自分（たち）の名前）, </v>
      </c>
      <c r="S66" s="8" t="s">
        <v>2335</v>
      </c>
      <c r="T6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彼人（かのと）, 彼女, （自分（たち）の名前）,  , </v>
      </c>
      <c r="U66" s="8" t="str">
        <f>", "&amp;'RAW (公開用)'!P66&amp;", "</f>
        <v xml:space="preserve">, she, **英語を日常的に使わない**, they/them/their/themself, （クエスチョニング、模索中、または不明）, </v>
      </c>
      <c r="V66" s="8" t="s">
        <v>455</v>
      </c>
      <c r="W66" s="8" t="str">
        <f>", "&amp;'RAW (公開用)'!R66&amp;", "</f>
        <v xml:space="preserve">, ミスジェンダリング（誤った性別として扱うこと）, トイレなどのジェンダー化されたスペースの使用, 社会の中でいないことにされる, </v>
      </c>
      <c r="X66" s="8"/>
      <c r="Y6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トイレなどのジェンダー化されたスペースの使用, 社会の中でいないことにされる,  </v>
      </c>
      <c r="Z66" s="8" t="s">
        <v>455</v>
      </c>
      <c r="AA66" s="8" t="str">
        <f>", "&amp;'RAW (公開用)'!U66&amp;", "</f>
        <v xml:space="preserve">, ジェンダークリニックの受診, </v>
      </c>
      <c r="AB66" s="8" t="str">
        <f>", "&amp;'RAW (公開用)'!V66&amp;", "</f>
        <v xml:space="preserve">, （上記のどれも経験していない）, </v>
      </c>
      <c r="AC66" s="8" t="s">
        <v>332</v>
      </c>
      <c r="AD6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特別困ってはいないけれど、本名(戸籍上の名前)が1人1つであることに違和感を感じる</v>
      </c>
      <c r="AE66" s="8" t="s">
        <v>464</v>
      </c>
      <c r="AF66" s="8" t="s">
        <v>457</v>
      </c>
      <c r="AG66" s="8" t="s">
        <v>458</v>
      </c>
      <c r="AH66" s="8"/>
      <c r="AI66" s="8">
        <f t="shared" si="2"/>
        <v>19</v>
      </c>
      <c r="AJ66" s="8"/>
      <c r="AK66" s="8"/>
      <c r="AL66" s="8"/>
      <c r="AM66" s="8"/>
      <c r="AN66" s="8"/>
    </row>
    <row r="67" spans="1:40" ht="51" hidden="1">
      <c r="A67" s="8">
        <v>66</v>
      </c>
      <c r="B67" s="11">
        <v>44969.877128958338</v>
      </c>
      <c r="C67" s="8" t="s">
        <v>452</v>
      </c>
      <c r="D67" s="8" t="s">
        <v>453</v>
      </c>
      <c r="E67" s="8" t="s">
        <v>452</v>
      </c>
      <c r="F67" s="8" t="s">
        <v>454</v>
      </c>
      <c r="G67" s="8" t="str">
        <f>", "&amp;'RAW (公開用)'!F67&amp;", "</f>
        <v xml:space="preserve">, トランス女性, ジェンダーレス, トランスジェンダー, トランスセクシュアル／transsexual, ノンバイナリー, **必ず選んでください**, トランス, シスジェンダー, レズビアン（ジェンダーについて）, クエスチョニング, トランス男性, ノンバイナリー男性, フェム, ノンバイナリー女性, </v>
      </c>
      <c r="H67" s="8"/>
      <c r="I67" s="8" t="str">
        <f>", "&amp;'RAW (公開用)'!H67&amp;", "</f>
        <v xml:space="preserve">, さん, </v>
      </c>
      <c r="J67" s="8" t="s">
        <v>2335</v>
      </c>
      <c r="K6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7" s="8" t="str">
        <f>", "&amp;'RAW (公開用)'!J67&amp;", "</f>
        <v xml:space="preserve">, **英語を日常的に使わない**, </v>
      </c>
      <c r="M67" s="8" t="s">
        <v>2335</v>
      </c>
      <c r="N6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7" s="8" t="str">
        <f>", "&amp;'RAW (公開用)'!L67&amp;", "</f>
        <v xml:space="preserve">, わたし, 私（わたし／わたくし）, 自分, あたし, </v>
      </c>
      <c r="P67" s="8" t="s">
        <v>2335</v>
      </c>
      <c r="Q6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自分, あたし,  , </v>
      </c>
      <c r="R67" s="8" t="str">
        <f>", "&amp;'RAW (公開用)'!N67&amp;", "</f>
        <v xml:space="preserve">, （三人称で言及してほしくない）, </v>
      </c>
      <c r="S67" s="8" t="s">
        <v>2335</v>
      </c>
      <c r="T6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67" s="8" t="str">
        <f>", "&amp;'RAW (公開用)'!P67&amp;", "</f>
        <v xml:space="preserve">, **英語を日常的に使わない**, </v>
      </c>
      <c r="V67" s="8" t="s">
        <v>455</v>
      </c>
      <c r="W67" s="8" t="str">
        <f>", "&amp;'RAW (公開用)'!R67&amp;", "</f>
        <v xml:space="preserve">, トイレなどのジェンダー化されたスペースの使用, </v>
      </c>
      <c r="X67" s="8"/>
      <c r="Y6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v>
      </c>
      <c r="Z67" s="8" t="s">
        <v>472</v>
      </c>
      <c r="AA67" s="8" t="s">
        <v>2174</v>
      </c>
      <c r="AB67" s="105" t="s">
        <v>2443</v>
      </c>
      <c r="AC67" s="8"/>
      <c r="AD67"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67" s="8" t="s">
        <v>501</v>
      </c>
      <c r="AF67" s="8" t="s">
        <v>457</v>
      </c>
      <c r="AG67" s="8" t="s">
        <v>458</v>
      </c>
      <c r="AH67" s="8"/>
      <c r="AI67" s="8">
        <f t="shared" si="2"/>
        <v>13</v>
      </c>
      <c r="AJ67" s="8"/>
      <c r="AK67" s="8"/>
      <c r="AL67" s="8"/>
      <c r="AM67" s="8"/>
      <c r="AN67" s="8"/>
    </row>
    <row r="68" spans="1:40" ht="51" hidden="1">
      <c r="A68" s="8">
        <v>67</v>
      </c>
      <c r="B68" s="11">
        <v>44969.87900494213</v>
      </c>
      <c r="C68" s="8" t="s">
        <v>452</v>
      </c>
      <c r="D68" s="8" t="s">
        <v>453</v>
      </c>
      <c r="E68" s="8" t="s">
        <v>452</v>
      </c>
      <c r="F68" s="8" t="s">
        <v>454</v>
      </c>
      <c r="G68" s="8" t="str">
        <f>", "&amp;'RAW (公開用)'!F68&amp;", "</f>
        <v xml:space="preserve">, （ジェンダー・）フルイド／（ジェンダー・）フリュイド／（ジェンダー・）フルイッド, クィア／Queer, **必ず選んでください**, 不明／わからない, ノンバイナリー, トランスジェンダー, トランス, ジェンダー・ノンコンフォーミング／gender non-conforming, </v>
      </c>
      <c r="H68" s="8" t="s">
        <v>502</v>
      </c>
      <c r="I68" s="8" t="str">
        <f>", "&amp;'RAW (公開用)'!H68&amp;", "</f>
        <v xml:space="preserve">, さん, （敬称なし）, </v>
      </c>
      <c r="J68" s="8" t="s">
        <v>2335</v>
      </c>
      <c r="K6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68" s="8" t="str">
        <f>", "&amp;'RAW (公開用)'!J68&amp;", "</f>
        <v xml:space="preserve">, **英語を日常的に使わない**, </v>
      </c>
      <c r="M68" s="8" t="s">
        <v>2335</v>
      </c>
      <c r="N6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68" s="8" t="str">
        <f>", "&amp;'RAW (公開用)'!L68&amp;", "</f>
        <v xml:space="preserve">, 私（わたし／わたくし）, （自分（たち）の名前）, </v>
      </c>
      <c r="P68" s="8" t="s">
        <v>2335</v>
      </c>
      <c r="Q6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（自分（たち）の名前）,  , </v>
      </c>
      <c r="R68" s="8" t="str">
        <f>", "&amp;'RAW (公開用)'!N68&amp;", "</f>
        <v xml:space="preserve">, （自分（たち）の名前）, かれ, </v>
      </c>
      <c r="S68" s="8" t="s">
        <v>2335</v>
      </c>
      <c r="T6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かれ,  , </v>
      </c>
      <c r="U68" s="8" t="str">
        <f>", "&amp;'RAW (公開用)'!P68&amp;", "</f>
        <v xml:space="preserve">, they/them/their/themselves, they/them/their/themself, </v>
      </c>
      <c r="V68" s="8" t="s">
        <v>455</v>
      </c>
      <c r="W68" s="8" t="str">
        <f>", "&amp;'RAW (公開用)'!R68&amp;", "</f>
        <v xml:space="preserve">, 必要なジェンダーケアへアクセスできない, 家族／かぞくからの無理解, 医療における無理解, 職場や学校における無理解, ミスジェンダリング（誤った性別として扱うこと）, トイレなどのジェンダー化されたスペースの使用, 社会の中でいないことにされる, カムアウトできない, </v>
      </c>
      <c r="X68" s="8"/>
      <c r="Y6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家族／かぞくからの無理解, 医療における無理解, 職場や学校における無理解, ミスジェンダリング（誤った性別として扱うこと）, トイレなどのジェンダー化されたスペースの使用, 社会の中でいないことにされる, カムアウトできない,  </v>
      </c>
      <c r="Z68" s="8" t="s">
        <v>455</v>
      </c>
      <c r="AA68" s="8" t="str">
        <f>", "&amp;'RAW (公開用)'!U68&amp;", "</f>
        <v xml:space="preserve">, ジェンダークリニックの受診, 抗ホルモン療法, ホルモン補充療法（HRT）, 声帯にかかわる手術, 胸部の手術, </v>
      </c>
      <c r="AB68" s="8" t="str">
        <f>", "&amp;'RAW (公開用)'!V68&amp;", "</f>
        <v xml:space="preserve">, （上記のどれも経験していない）, </v>
      </c>
      <c r="AC68" s="8" t="s">
        <v>384</v>
      </c>
      <c r="AD68"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住んでいる場所、年齢、家族関係などの影響で行うことが難しい</v>
      </c>
      <c r="AE68" s="8" t="s">
        <v>464</v>
      </c>
      <c r="AF68" s="8" t="s">
        <v>457</v>
      </c>
      <c r="AG68" s="8" t="s">
        <v>458</v>
      </c>
      <c r="AH68" s="8"/>
      <c r="AI68" s="8">
        <f t="shared" si="2"/>
        <v>8</v>
      </c>
      <c r="AJ68" s="8"/>
      <c r="AK68" s="8"/>
      <c r="AL68" s="8"/>
      <c r="AM68" s="8"/>
      <c r="AN68" s="8"/>
    </row>
    <row r="69" spans="1:40" ht="12.75" hidden="1">
      <c r="A69" s="8">
        <v>68</v>
      </c>
      <c r="B69" s="11">
        <v>44969.886398298608</v>
      </c>
      <c r="C69" s="8" t="s">
        <v>452</v>
      </c>
      <c r="D69" s="8" t="s">
        <v>453</v>
      </c>
      <c r="E69" s="8" t="s">
        <v>452</v>
      </c>
      <c r="F69" s="8" t="s">
        <v>454</v>
      </c>
      <c r="G69" s="8" t="str">
        <f>", "&amp;'RAW (公開用)'!F69&amp;", "</f>
        <v xml:space="preserve">, **必ず選んでください**, クエスチョニング, ノンバイナリー, 無性, 中性, </v>
      </c>
      <c r="H69" s="8"/>
      <c r="I69" s="8" t="str">
        <f>", "&amp;'RAW (公開用)'!H69&amp;", "</f>
        <v xml:space="preserve">, さん, </v>
      </c>
      <c r="J69" s="8" t="s">
        <v>2335</v>
      </c>
      <c r="K6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69" s="8" t="str">
        <f>", "&amp;'RAW (公開用)'!J69&amp;", "</f>
        <v xml:space="preserve">, Dr.など、職業などにかかわるもの, （敬称なし）, </v>
      </c>
      <c r="M69" s="8" t="s">
        <v>2335</v>
      </c>
      <c r="N6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（敬称なし）, , </v>
      </c>
      <c r="O69" s="8" t="str">
        <f>", "&amp;'RAW (公開用)'!L69&amp;", "</f>
        <v xml:space="preserve">, 僕, 私（わたし／わたくし）, 自分, （時とともに変わる）, </v>
      </c>
      <c r="P69" s="8" t="s">
        <v>2335</v>
      </c>
      <c r="Q6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私（わたし／わたくし）, 自分, （時とともに変わる）,  , </v>
      </c>
      <c r="R69" s="8" t="str">
        <f>", "&amp;'RAW (公開用)'!N69&amp;", "</f>
        <v xml:space="preserve">, （any／問わない／どれでもよい）, </v>
      </c>
      <c r="S69" s="8" t="s">
        <v>2335</v>
      </c>
      <c r="T6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69" s="8" t="str">
        <f>", "&amp;'RAW (公開用)'!P69&amp;", "</f>
        <v xml:space="preserve">, they/them/their/themselves, they/them/their/themself, </v>
      </c>
      <c r="V69" s="8" t="s">
        <v>455</v>
      </c>
      <c r="W69" s="8" t="str">
        <f>", "&amp;'RAW (公開用)'!R69&amp;", "</f>
        <v xml:space="preserve">, カムアウトできない, トイレなどのジェンダー化されたスペースの使用, 性暴力, </v>
      </c>
      <c r="X69" s="8"/>
      <c r="Y6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トイレなどのジェンダー化されたスペースの使用, 性暴力,  </v>
      </c>
      <c r="Z69" s="8" t="s">
        <v>455</v>
      </c>
      <c r="AA69" s="8" t="str">
        <f>", "&amp;'RAW (公開用)'!U69&amp;", "</f>
        <v xml:space="preserve">, 顔にかかわる手術, </v>
      </c>
      <c r="AB69" s="8" t="str">
        <f>", "&amp;'RAW (公開用)'!V69&amp;", "</f>
        <v xml:space="preserve">, 顔にかかわる手術, </v>
      </c>
      <c r="AC69" s="8"/>
      <c r="AD69" s="8" t="str">
        <f>テーブル1[[#This Row],[以下のうち、経験したものをすべて選んでください]]&amp;" "&amp;テーブル1[[#This Row],[社会的、法的、医学的トランジションについて、困難なこと等がありましたらここにお書きください]]</f>
        <v xml:space="preserve">, 顔にかかわる手術,  </v>
      </c>
      <c r="AE69" s="8" t="s">
        <v>459</v>
      </c>
      <c r="AF69" s="8" t="s">
        <v>457</v>
      </c>
      <c r="AG69" s="8" t="s">
        <v>458</v>
      </c>
      <c r="AH69" s="8"/>
      <c r="AI69" s="8">
        <f t="shared" si="2"/>
        <v>4</v>
      </c>
      <c r="AJ69" s="8"/>
      <c r="AK69" s="8"/>
      <c r="AL69" s="8"/>
      <c r="AM69" s="8"/>
      <c r="AN69" s="8"/>
    </row>
    <row r="70" spans="1:40" ht="12.75" hidden="1">
      <c r="A70" s="8">
        <v>69</v>
      </c>
      <c r="B70" s="11">
        <v>44969.887637858796</v>
      </c>
      <c r="C70" s="8" t="s">
        <v>452</v>
      </c>
      <c r="D70" s="8" t="s">
        <v>453</v>
      </c>
      <c r="E70" s="8" t="s">
        <v>452</v>
      </c>
      <c r="F70" s="8" t="s">
        <v>454</v>
      </c>
      <c r="G70" s="8" t="str">
        <f>", "&amp;'RAW (公開用)'!F70&amp;", "</f>
        <v xml:space="preserve">, 女性／woman, </v>
      </c>
      <c r="H70" s="8"/>
      <c r="I70" s="8" t="str">
        <f>", "&amp;'RAW (公開用)'!H70&amp;", "</f>
        <v xml:space="preserve">, さん, </v>
      </c>
      <c r="J70" s="8" t="s">
        <v>2335</v>
      </c>
      <c r="K7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70" s="8" t="str">
        <f>", "&amp;'RAW (公開用)'!J70&amp;", "</f>
        <v xml:space="preserve">, （any／問わない／どれでもよい）, </v>
      </c>
      <c r="M70" s="8" t="s">
        <v>2335</v>
      </c>
      <c r="N7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70" s="8" t="str">
        <f>", "&amp;'RAW (公開用)'!L70&amp;", "</f>
        <v xml:space="preserve">, わたし, </v>
      </c>
      <c r="P70" s="8" t="s">
        <v>2335</v>
      </c>
      <c r="Q7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70" s="8" t="str">
        <f>", "&amp;'RAW (公開用)'!N70&amp;", "</f>
        <v xml:space="preserve">, （any／問わない／どれでもよい）, </v>
      </c>
      <c r="S70" s="8" t="s">
        <v>2335</v>
      </c>
      <c r="T7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70" s="8" t="str">
        <f>", "&amp;'RAW (公開用)'!P70&amp;", "</f>
        <v xml:space="preserve">, any/問わない/どれでもよい, </v>
      </c>
      <c r="V70" s="8" t="s">
        <v>455</v>
      </c>
      <c r="W70" s="8" t="str">
        <f>", "&amp;'RAW (公開用)'!R70&amp;", "</f>
        <v xml:space="preserve">, 社会の中でいないことにされる, </v>
      </c>
      <c r="X70" s="8"/>
      <c r="Y7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70" s="8" t="s">
        <v>455</v>
      </c>
      <c r="AA70" s="8" t="str">
        <f>", "&amp;'RAW (公開用)'!U70&amp;", "</f>
        <v xml:space="preserve">, （上記のどれも希望していない）, </v>
      </c>
      <c r="AB70" s="8" t="str">
        <f>", "&amp;'RAW (公開用)'!V70&amp;", "</f>
        <v xml:space="preserve">, （上記のどれも経験していない）, </v>
      </c>
      <c r="AC70" s="8"/>
      <c r="AD7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0" s="8" t="s">
        <v>475</v>
      </c>
      <c r="AF70" s="8" t="s">
        <v>457</v>
      </c>
      <c r="AG70" s="8" t="s">
        <v>458</v>
      </c>
      <c r="AH70" s="8"/>
      <c r="AI70" s="8">
        <f t="shared" si="2"/>
        <v>1</v>
      </c>
      <c r="AJ70" s="8"/>
      <c r="AK70" s="8"/>
      <c r="AL70" s="8"/>
      <c r="AM70" s="8"/>
      <c r="AN70" s="8"/>
    </row>
    <row r="71" spans="1:40" ht="12.75" hidden="1">
      <c r="A71" s="8">
        <v>70</v>
      </c>
      <c r="B71" s="11">
        <v>44969.894563055554</v>
      </c>
      <c r="C71" s="8" t="s">
        <v>452</v>
      </c>
      <c r="D71" s="8" t="s">
        <v>453</v>
      </c>
      <c r="E71" s="8" t="s">
        <v>452</v>
      </c>
      <c r="F71" s="8" t="s">
        <v>454</v>
      </c>
      <c r="G71" s="8" t="str">
        <f>", "&amp;'RAW (公開用)'!F71&amp;", "</f>
        <v xml:space="preserve">, デミガール, </v>
      </c>
      <c r="H71" s="8"/>
      <c r="I71" s="8" t="str">
        <f>", "&amp;'RAW (公開用)'!H71&amp;", "</f>
        <v xml:space="preserve">, さん, </v>
      </c>
      <c r="J71" s="8" t="s">
        <v>2335</v>
      </c>
      <c r="K7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71" s="8" t="str">
        <f>", "&amp;'RAW (公開用)'!J71&amp;", "</f>
        <v xml:space="preserve">, -san, </v>
      </c>
      <c r="M71" s="8" t="s">
        <v>2335</v>
      </c>
      <c r="N7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71" s="8" t="str">
        <f>", "&amp;'RAW (公開用)'!L71&amp;", "</f>
        <v xml:space="preserve">, 私（わたし／わたくし）, </v>
      </c>
      <c r="P71" s="8" t="s">
        <v>2335</v>
      </c>
      <c r="Q7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71" s="8" t="str">
        <f>", "&amp;'RAW (公開用)'!N71&amp;", "</f>
        <v xml:space="preserve">, （自分（たち）の名前）, </v>
      </c>
      <c r="S71" s="8" t="s">
        <v>2335</v>
      </c>
      <c r="T7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71" s="8" t="str">
        <f>", "&amp;'RAW (公開用)'!P71&amp;", "</f>
        <v xml:space="preserve">, （時とともに変わる）, </v>
      </c>
      <c r="V71" s="8" t="s">
        <v>455</v>
      </c>
      <c r="W71" s="8" t="str">
        <f>", "&amp;'RAW (公開用)'!R71&amp;", "</f>
        <v xml:space="preserve">, 社会の中でいないことにされる, </v>
      </c>
      <c r="X71" s="8"/>
      <c r="Y7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71" s="8" t="s">
        <v>455</v>
      </c>
      <c r="AA71" s="8" t="str">
        <f>", "&amp;'RAW (公開用)'!U71&amp;", "</f>
        <v xml:space="preserve">, 声帯にかかわる手術, 胸部の手術, 性器にかかわる手術, </v>
      </c>
      <c r="AB71" s="8" t="str">
        <f>", "&amp;'RAW (公開用)'!V71&amp;", "</f>
        <v xml:space="preserve">, （上記のどれも経験していない）, </v>
      </c>
      <c r="AC71" s="8"/>
      <c r="AD7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1" s="8" t="s">
        <v>456</v>
      </c>
      <c r="AF71" s="8" t="s">
        <v>457</v>
      </c>
      <c r="AG71" s="8" t="s">
        <v>458</v>
      </c>
      <c r="AH71" s="8"/>
      <c r="AI71" s="8">
        <f t="shared" si="2"/>
        <v>1</v>
      </c>
      <c r="AJ71" s="8"/>
      <c r="AK71" s="8"/>
      <c r="AL71" s="8"/>
      <c r="AM71" s="8"/>
      <c r="AN71" s="8"/>
    </row>
    <row r="72" spans="1:40" ht="38.25" hidden="1">
      <c r="A72" s="8">
        <v>71</v>
      </c>
      <c r="B72" s="11">
        <v>44969.898669178241</v>
      </c>
      <c r="C72" s="8" t="s">
        <v>452</v>
      </c>
      <c r="D72" s="8" t="s">
        <v>453</v>
      </c>
      <c r="E72" s="8" t="s">
        <v>452</v>
      </c>
      <c r="F72" s="8" t="s">
        <v>454</v>
      </c>
      <c r="G72" s="8" t="str">
        <f>", "&amp;'RAW (公開用)'!F72&amp;", "</f>
        <v xml:space="preserve">, Xジェンダー, ノンバイナリー, </v>
      </c>
      <c r="H72" s="8"/>
      <c r="I72" s="8" t="str">
        <f>", "&amp;'RAW (公開用)'!H72&amp;", "</f>
        <v xml:space="preserve">, さん, </v>
      </c>
      <c r="J72" s="8" t="s">
        <v>2335</v>
      </c>
      <c r="K7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72" s="8" t="str">
        <f>", "&amp;'RAW (公開用)'!J72&amp;", "</f>
        <v xml:space="preserve">, Mx., </v>
      </c>
      <c r="M72" s="8" t="s">
        <v>2335</v>
      </c>
      <c r="N7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72" s="8" t="str">
        <f>", "&amp;'RAW (公開用)'!L72&amp;", "</f>
        <v xml:space="preserve">, うち, 俺, 自分, 僕, 私（わたし／わたくし）, </v>
      </c>
      <c r="P72" s="8" t="s">
        <v>2335</v>
      </c>
      <c r="Q7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俺, 自分, 僕, 私（わたし／わたくし）,  , </v>
      </c>
      <c r="R72" s="8" t="str">
        <f>", "&amp;'RAW (公開用)'!N72&amp;", "</f>
        <v xml:space="preserve">, 彼人（かのひと）, かれ, （自分（たち）の名前）, </v>
      </c>
      <c r="S72" s="8" t="s">
        <v>2335</v>
      </c>
      <c r="T7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かれ, （自分（たち）の名前）,  , </v>
      </c>
      <c r="U72" s="8" t="str">
        <f>", "&amp;'RAW (公開用)'!P72&amp;", "</f>
        <v xml:space="preserve">, they/them/their/themselves, </v>
      </c>
      <c r="V72" s="8" t="s">
        <v>455</v>
      </c>
      <c r="W72" s="8" t="str">
        <f>", "&amp;'RAW (公開用)'!R72&amp;", "</f>
        <v xml:space="preserve">, LGBTQ+運動からの排斥, 社会の中でいないことにされる, 医療における無理解, アウティング（勝手にジェンダーや指向についての情報を明かされること）, ミスジェンダリング（誤った性別として扱うこと）, </v>
      </c>
      <c r="X72" s="8"/>
      <c r="Y7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社会の中でいないことにされる, 医療における無理解, アウティング（勝手にジェンダーや指向についての情報を明かされること）, ミスジェンダリング（誤った性別として扱うこと）,  </v>
      </c>
      <c r="Z72" s="8" t="s">
        <v>455</v>
      </c>
      <c r="AA72" s="8" t="str">
        <f>", "&amp;'RAW (公開用)'!U72&amp;", "</f>
        <v xml:space="preserve">, （上記のどれも希望していない）, </v>
      </c>
      <c r="AB72" s="8" t="str">
        <f>", "&amp;'RAW (公開用)'!V72&amp;", "</f>
        <v xml:space="preserve">, （上記のどれも経験していない）, </v>
      </c>
      <c r="AC72" s="8"/>
      <c r="AD7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2" s="8" t="s">
        <v>456</v>
      </c>
      <c r="AF72" s="8" t="s">
        <v>457</v>
      </c>
      <c r="AG72" s="8" t="s">
        <v>458</v>
      </c>
      <c r="AH72" s="8"/>
      <c r="AI72" s="8">
        <f t="shared" si="2"/>
        <v>2</v>
      </c>
      <c r="AJ72" s="8"/>
      <c r="AK72" s="8"/>
      <c r="AL72" s="8"/>
      <c r="AM72" s="8"/>
      <c r="AN72" s="8"/>
    </row>
    <row r="73" spans="1:40" ht="114.75" hidden="1">
      <c r="A73" s="8">
        <v>262</v>
      </c>
      <c r="B73" s="11">
        <v>44980.892654212963</v>
      </c>
      <c r="C73" s="8" t="s">
        <v>452</v>
      </c>
      <c r="D73" s="8" t="s">
        <v>453</v>
      </c>
      <c r="E73" s="8" t="s">
        <v>452</v>
      </c>
      <c r="F73" s="8" t="s">
        <v>454</v>
      </c>
      <c r="G73" s="8" t="str">
        <f>", "&amp;'RAW (公開用)'!F263&amp;", "</f>
        <v xml:space="preserve">, ノンバイナリー女性, ジェンダーヴォイド／gendervoid, ノンバイナリー, クエスチョニング, </v>
      </c>
      <c r="H73" s="8"/>
      <c r="I73" s="8" t="str">
        <f>", "&amp;'RAW (公開用)'!H263&amp;", "</f>
        <v xml:space="preserve">, さん, くん／君, </v>
      </c>
      <c r="J73" s="8" t="s">
        <v>2335</v>
      </c>
      <c r="K7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73" s="8" t="str">
        <f>", "&amp;'RAW (公開用)'!J263&amp;", "</f>
        <v xml:space="preserve">, Mx., </v>
      </c>
      <c r="M73" s="8" t="s">
        <v>2335</v>
      </c>
      <c r="N7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73" s="8" t="str">
        <f>", "&amp;'RAW (公開用)'!L263&amp;", "</f>
        <v xml:space="preserve">, 私（わたし／わたくし）, 自分, わたし, </v>
      </c>
      <c r="P73" s="16" t="s">
        <v>2383</v>
      </c>
      <c r="Q7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自分, わたし,  , 己,</v>
      </c>
      <c r="R73" s="8" t="str">
        <f>", "&amp;'RAW (公開用)'!N73&amp;", "</f>
        <v xml:space="preserve">, （自分（たち）の名前）, かれ, </v>
      </c>
      <c r="S73" s="8" t="s">
        <v>2335</v>
      </c>
      <c r="T7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かれ,  , </v>
      </c>
      <c r="U73" s="8" t="str">
        <f>", "&amp;'RAW (公開用)'!P263&amp;", "</f>
        <v xml:space="preserve">, xe, they/them/their/themselves, ze, </v>
      </c>
      <c r="V73" s="8" t="s">
        <v>455</v>
      </c>
      <c r="W73" s="8" t="str">
        <f>", "&amp;'RAW (公開用)'!R263&amp;", "</f>
        <v xml:space="preserve">, 職場や学校における無理解, LGBTQ+運動からの排斥, カムアウトできない, 必要なジェンダーケアへアクセスできない, 社会の中でいないことにされる, </v>
      </c>
      <c r="X73" s="8" t="s">
        <v>207</v>
      </c>
      <c r="Y7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LGBTQ+運動からの排斥, カムアウトできない, 必要なジェンダーケアへアクセスできない, 社会の中でいないことにされる,  Twitterなどのweb上で（女性の安全についてなどの）特定の話題に混ざって出現する、あるいは一般的な語（「ノンバイナリー」など）で検索した際に容易に出現する、差別的な言説や誤解・偏見を拡散するような情報。自分自身の精神的負担になるのと、もともと差別的ではない人（特にシスジェンダー女性）がそれらの情報を信じてトランス・ノンバイナリーに排除的になっていくのではという大きな恐怖を日々感じています。チェックした「LGBTQ+運動からの排斥」とも関連した不安です。</v>
      </c>
      <c r="Z73" s="8" t="s">
        <v>455</v>
      </c>
      <c r="AA73" s="8" t="str">
        <f>", "&amp;'RAW (公開用)'!U263&amp;", "</f>
        <v xml:space="preserve">, （上記のどれも希望していない）, </v>
      </c>
      <c r="AB73" s="105" t="s">
        <v>2443</v>
      </c>
      <c r="AC73" s="8"/>
      <c r="AD73"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73" s="8" t="s">
        <v>474</v>
      </c>
      <c r="AF73" s="8" t="s">
        <v>457</v>
      </c>
      <c r="AG73" s="8" t="s">
        <v>458</v>
      </c>
      <c r="AH73" s="8" t="s">
        <v>574</v>
      </c>
      <c r="AI73" s="8">
        <f>(LEN(G73)-LEN(SUBSTITUTE(G73,", ","")))/LEN(", ")-1-(LEN(G73)-LEN(SUBSTITUTE(G73,"必ず","")))/LEN("必ず")</f>
        <v>4</v>
      </c>
      <c r="AJ73" s="8"/>
      <c r="AK73" s="8"/>
      <c r="AL73" s="8"/>
      <c r="AM73" s="8"/>
      <c r="AN73" s="8"/>
    </row>
    <row r="74" spans="1:40" ht="25.5" hidden="1">
      <c r="A74" s="8">
        <v>73</v>
      </c>
      <c r="B74" s="11">
        <v>44969.900704930551</v>
      </c>
      <c r="C74" s="8" t="s">
        <v>452</v>
      </c>
      <c r="D74" s="8" t="s">
        <v>453</v>
      </c>
      <c r="E74" s="8" t="s">
        <v>452</v>
      </c>
      <c r="F74" s="8" t="s">
        <v>454</v>
      </c>
      <c r="G74" s="8" t="str">
        <f>", "&amp;'RAW (公開用)'!F74&amp;", "</f>
        <v xml:space="preserve">, （ジェンダー・）フルイド／（ジェンダー・）フリュイド／（ジェンダー・）フルイッド, シスジェンダー, 女性／woman, </v>
      </c>
      <c r="H74" s="8"/>
      <c r="I74" s="8" t="str">
        <f>", "&amp;'RAW (公開用)'!H74&amp;", "</f>
        <v xml:space="preserve">, たん, ちゃん, さん, </v>
      </c>
      <c r="J74" s="8" t="s">
        <v>2335</v>
      </c>
      <c r="K7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たん, ちゃん, さん,  , </v>
      </c>
      <c r="L74" s="8" t="str">
        <f>", "&amp;'RAW (公開用)'!J74&amp;", "</f>
        <v xml:space="preserve">, **英語を日常的に使わない**, </v>
      </c>
      <c r="M74" s="8" t="s">
        <v>2335</v>
      </c>
      <c r="N7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74" s="8" t="str">
        <f>", "&amp;'RAW (公開用)'!L74&amp;", "</f>
        <v xml:space="preserve">, 自分, ぼく, 私（わたし／わたくし）, </v>
      </c>
      <c r="P74" s="8" t="s">
        <v>2335</v>
      </c>
      <c r="Q7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ぼく, 私（わたし／わたくし）,  , </v>
      </c>
      <c r="R74" s="8" t="str">
        <f>", "&amp;'RAW (公開用)'!N74&amp;", "</f>
        <v xml:space="preserve">, 彼女, 彼人（かのひと）, </v>
      </c>
      <c r="S74" s="8" t="s">
        <v>2335</v>
      </c>
      <c r="T7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彼人（かのひと）,  , </v>
      </c>
      <c r="U74" s="8" t="str">
        <f>", "&amp;'RAW (公開用)'!P74&amp;", "</f>
        <v xml:space="preserve">, **英語を日常的に使わない**, </v>
      </c>
      <c r="V74" s="8" t="s">
        <v>455</v>
      </c>
      <c r="W74" s="8"/>
      <c r="X74" s="8"/>
      <c r="Y7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v>
      </c>
      <c r="Z74" s="8" t="s">
        <v>455</v>
      </c>
      <c r="AA74" s="8" t="str">
        <f>", "&amp;'RAW (公開用)'!U74&amp;", "</f>
        <v xml:space="preserve">, （上記のどれも希望していない）, </v>
      </c>
      <c r="AB74" s="8" t="str">
        <f>", "&amp;'RAW (公開用)'!V74&amp;", "</f>
        <v xml:space="preserve">, （上記のどれも経験していない）, </v>
      </c>
      <c r="AC74" s="8"/>
      <c r="AD7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4" s="8" t="s">
        <v>459</v>
      </c>
      <c r="AF74" s="8" t="s">
        <v>457</v>
      </c>
      <c r="AG74" s="8" t="s">
        <v>458</v>
      </c>
      <c r="AH74" s="8"/>
      <c r="AI74" s="8">
        <f>((LEN(G74)-LEN(SUBSTITUTE(G74,", ","")))/LEN(", ")-1-(LEN(G74)-LEN(SUBSTITUTE(G74,"必ず","")))/LEN("必ず"))+(LEN(H74)-LEN(SUBSTITUTE(H74,",","")))</f>
        <v>3</v>
      </c>
      <c r="AJ74" s="8"/>
      <c r="AK74" s="8"/>
      <c r="AL74" s="8"/>
      <c r="AM74" s="8"/>
      <c r="AN74" s="8"/>
    </row>
    <row r="75" spans="1:40" ht="153" hidden="1">
      <c r="A75" s="8">
        <v>366</v>
      </c>
      <c r="B75" s="11">
        <v>44991.995225092593</v>
      </c>
      <c r="C75" s="8" t="s">
        <v>452</v>
      </c>
      <c r="D75" s="8" t="s">
        <v>453</v>
      </c>
      <c r="E75" s="8" t="s">
        <v>452</v>
      </c>
      <c r="F75" s="8" t="s">
        <v>454</v>
      </c>
      <c r="G75" s="8" t="str">
        <f>", "&amp;'RAW (公開用)'!F367&amp;", "</f>
        <v xml:space="preserve">, 無性, **必ず選んでください**, 無し, </v>
      </c>
      <c r="H75" s="8" t="s">
        <v>615</v>
      </c>
      <c r="I75" s="8" t="str">
        <f>", "&amp;'RAW (公開用)'!H367&amp;", "</f>
        <v xml:space="preserve">, さん, くん／君, </v>
      </c>
      <c r="J75" s="73" t="s">
        <v>2337</v>
      </c>
      <c r="K7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さん, くん／君,  , 氏,</v>
      </c>
      <c r="L75" s="8" t="str">
        <f>", "&amp;'RAW (公開用)'!J367&amp;", "</f>
        <v xml:space="preserve">, **英語を日常的に使わない**, </v>
      </c>
      <c r="M75" s="8" t="s">
        <v>2335</v>
      </c>
      <c r="N7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75" s="8" t="str">
        <f>", "&amp;'RAW (公開用)'!L367&amp;", "</f>
        <v xml:space="preserve">, わし, 自分, 私（わたし／わたくし）, </v>
      </c>
      <c r="P75" s="8" t="s">
        <v>2335</v>
      </c>
      <c r="Q7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自分, 私（わたし／わたくし）,  , </v>
      </c>
      <c r="R75" s="8" t="str">
        <f>", "&amp;'RAW (公開用)'!N75&amp;", "</f>
        <v xml:space="preserve">, 彼, （自分（たち）の名前）, （三人称で言及してほしくない）, </v>
      </c>
      <c r="S75" s="8" t="s">
        <v>2357</v>
      </c>
      <c r="T7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 （自分（たち）の名前）, （三人称で言及してほしくない）,  , (名前)さん, {この/その/あの}+人,</v>
      </c>
      <c r="U75" s="8" t="str">
        <f>", "&amp;'RAW (公開用)'!P367&amp;", "</f>
        <v xml:space="preserve">, **英語を日常的に使わない**, </v>
      </c>
      <c r="V75" s="8" t="s">
        <v>455</v>
      </c>
      <c r="W75" s="8" t="str">
        <f>", "&amp;'RAW (公開用)'!R367&amp;", "</f>
        <v xml:space="preserve">, 必要なジェンダーケアへアクセスできない, カムアウトできない, ミスジェンダリング（誤った性別として扱うこと）, 職場や学校における無理解, 家族／かぞくからの無理解, トイレなどのジェンダー化されたスペースの使用, 社会の中でいないことにされる, LGBTQ+運動からの排斥, 医療における無理解, </v>
      </c>
      <c r="X75" s="8" t="s">
        <v>196</v>
      </c>
      <c r="Y7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カムアウトできない, ミスジェンダリング（誤った性別として扱うこと）, 職場や学校における無理解, 家族／かぞくからの無理解, トイレなどのジェンダー化されたスペースの使用, 社会の中でいないことにされる, LGBTQ+運動からの排斥, 医療における無理解,  ・性別を感じさせないデザインの服や靴が少ない、生理用品のデザインがフェミニンなものしかない等、製品デザインに強い偏りがある。
・日本の情報が非常に少なく、自分が参考にできるロールモデルが殆どないため、壁や疑問にぶつかる度に社会的リスクを負って試行錯誤しなければならない。
・反対の性へ移行する性同一性障害と異なり、ジェンダークリニックに行っても具体的にできることがない。何をどうすれば社会的に不愉快な体験を無くせるのかが分からない。</v>
      </c>
      <c r="Z75" s="8" t="s">
        <v>455</v>
      </c>
      <c r="AA75" s="8" t="str">
        <f>", "&amp;'RAW (公開用)'!U367&amp;", "</f>
        <v xml:space="preserve">, 戸籍上の性別の変更, ジェンダークリニックの受診, 胸部の手術, 性器にかかわる手術, </v>
      </c>
      <c r="AB75" s="8" t="str">
        <f>", "&amp;'RAW (公開用)'!V367&amp;", "</f>
        <v xml:space="preserve">, ジェンダークリニックの受診, </v>
      </c>
      <c r="AC75" s="8" t="s">
        <v>423</v>
      </c>
      <c r="AD75"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戸籍上の性別は、医療情報と結び付く場合、元々の身体の性を併記する必要があると思う。また、不定性やクエスチョニングの人が後から変更できることと、誰でも何度も変えられることによる弊害をどうバランス取るのかについても検討する必要がある。このため戸籍上の性別については変えられなくても仕方がないと思っている。
・胸部と生殖器は、切除した場合の健康への影響と、切除しない場合の健康への影響(がんリスク低下等)と、切除した場合の生活への影響(夫への精神的影響)などが絡むため、なかなか簡単に決めることができない。</v>
      </c>
      <c r="AE75" s="8" t="s">
        <v>456</v>
      </c>
      <c r="AF75" s="8" t="s">
        <v>457</v>
      </c>
      <c r="AG75" s="8" t="s">
        <v>458</v>
      </c>
      <c r="AH75" s="8" t="s">
        <v>617</v>
      </c>
      <c r="AI75" s="8">
        <f>(LEN(G75)-LEN(SUBSTITUTE(G75,", ","")))/LEN(", ")-1-(LEN(G75)-LEN(SUBSTITUTE(G75,"必ず","")))/LEN("必ず")</f>
        <v>2</v>
      </c>
      <c r="AJ75" s="8"/>
      <c r="AK75" s="8"/>
      <c r="AL75" s="8"/>
      <c r="AM75" s="8"/>
      <c r="AN75" s="8"/>
    </row>
    <row r="76" spans="1:40" ht="51" hidden="1">
      <c r="A76" s="8">
        <v>75</v>
      </c>
      <c r="B76" s="11">
        <v>44969.902307349534</v>
      </c>
      <c r="C76" s="8" t="s">
        <v>452</v>
      </c>
      <c r="D76" s="8" t="s">
        <v>453</v>
      </c>
      <c r="E76" s="8" t="s">
        <v>452</v>
      </c>
      <c r="F76" s="8" t="s">
        <v>454</v>
      </c>
      <c r="G76" s="8" t="str">
        <f>", "&amp;'RAW (公開用)'!F76&amp;", "</f>
        <v xml:space="preserve">, ノンバイナリー, </v>
      </c>
      <c r="H76" s="8"/>
      <c r="I76" s="8" t="str">
        <f>", "&amp;'RAW (公開用)'!H76&amp;", "</f>
        <v xml:space="preserve">, さん, くん／君, （敬称なし）, </v>
      </c>
      <c r="J76" s="8" t="s">
        <v>2335</v>
      </c>
      <c r="K7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（敬称なし）,  , </v>
      </c>
      <c r="L76" s="8" t="str">
        <f>", "&amp;'RAW (公開用)'!J76&amp;", "</f>
        <v xml:space="preserve">, **英語を日常的に使わない**, </v>
      </c>
      <c r="M76" s="8" t="s">
        <v>2335</v>
      </c>
      <c r="N7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76" s="8" t="str">
        <f>", "&amp;'RAW (公開用)'!L76&amp;", "</f>
        <v xml:space="preserve">, 自分, 僕, </v>
      </c>
      <c r="P76" s="8" t="s">
        <v>2335</v>
      </c>
      <c r="Q7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僕,  , </v>
      </c>
      <c r="R76" s="8" t="str">
        <f>", "&amp;'RAW (公開用)'!N76&amp;", "</f>
        <v xml:space="preserve">, 彼, （自分（たち）の名前）, 彼人（かのと）, </v>
      </c>
      <c r="S76" s="8" t="s">
        <v>2335</v>
      </c>
      <c r="T7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（自分（たち）の名前）, 彼人（かのと）,  , </v>
      </c>
      <c r="U76" s="8" t="str">
        <f>", "&amp;'RAW (公開用)'!P76&amp;", "</f>
        <v xml:space="preserve">, **英語を日常的に使わない**, </v>
      </c>
      <c r="V76" s="8" t="s">
        <v>455</v>
      </c>
      <c r="W76" s="8" t="str">
        <f>", "&amp;'RAW (公開用)'!R76&amp;", "</f>
        <v xml:space="preserve">, デッドネーミング（誤った名前で呼ばれること）, トイレなどのジェンダー化されたスペースの使用, 社会の中でいないことにされる, ミスジェンダリング（誤った性別として扱うこと）, LGBTQ+運動からの排斥, カムアウトできない, 家族／かぞくからの無理解, </v>
      </c>
      <c r="X76" s="8"/>
      <c r="Y7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トイレなどのジェンダー化されたスペースの使用, 社会の中でいないことにされる, ミスジェンダリング（誤った性別として扱うこと）, LGBTQ+運動からの排斥, カムアウトできない, 家族／かぞくからの無理解,  </v>
      </c>
      <c r="Z76" s="8" t="s">
        <v>455</v>
      </c>
      <c r="AA76" s="8" t="str">
        <f>", "&amp;'RAW (公開用)'!U76&amp;", "</f>
        <v xml:space="preserve">, 戸籍名の変更, ジェンダークリニックの受診, ホルモン補充療法（HRT）, 胸部の手術, </v>
      </c>
      <c r="AB76" s="8" t="str">
        <f>", "&amp;'RAW (公開用)'!V76&amp;", "</f>
        <v xml:space="preserve">, ジェンダークリニックの受診, </v>
      </c>
      <c r="AC76" s="8"/>
      <c r="AD76"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76" s="8" t="s">
        <v>464</v>
      </c>
      <c r="AF76" s="8" t="s">
        <v>457</v>
      </c>
      <c r="AG76" s="8" t="s">
        <v>458</v>
      </c>
      <c r="AH76" s="8"/>
      <c r="AI76" s="8">
        <f>((LEN(G76)-LEN(SUBSTITUTE(G76,", ","")))/LEN(", ")-1-(LEN(G76)-LEN(SUBSTITUTE(G76,"必ず","")))/LEN("必ず"))+(LEN(H76)-LEN(SUBSTITUTE(H76,",","")))</f>
        <v>1</v>
      </c>
      <c r="AJ76" s="8"/>
      <c r="AK76" s="8"/>
      <c r="AL76" s="8"/>
      <c r="AM76" s="8"/>
      <c r="AN76" s="8"/>
    </row>
    <row r="77" spans="1:40" ht="27.75" hidden="1">
      <c r="A77" s="8">
        <v>76</v>
      </c>
      <c r="B77" s="11">
        <v>44969.910014583336</v>
      </c>
      <c r="C77" s="8" t="s">
        <v>452</v>
      </c>
      <c r="D77" s="8" t="s">
        <v>453</v>
      </c>
      <c r="E77" s="8" t="s">
        <v>452</v>
      </c>
      <c r="F77" s="8" t="s">
        <v>454</v>
      </c>
      <c r="G77" s="8" t="str">
        <f>", "&amp;'RAW (公開用)'!F77&amp;", "</f>
        <v xml:space="preserve">, 男性／man, 青年, **必ず選んでください**, ゲイ（ジェンダーについて）, </v>
      </c>
      <c r="H77" s="8"/>
      <c r="I77" s="8" t="str">
        <f>", "&amp;'RAW (公開用)'!H77&amp;", "</f>
        <v xml:space="preserve">, さん, </v>
      </c>
      <c r="J77" s="8" t="s">
        <v>2335</v>
      </c>
      <c r="K7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77" s="8" t="str">
        <f>", "&amp;'RAW (公開用)'!J77&amp;", "</f>
        <v xml:space="preserve">, **英語を日常的に使わない**, </v>
      </c>
      <c r="M77" s="8" t="s">
        <v>2335</v>
      </c>
      <c r="N7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77" s="8" t="str">
        <f>", "&amp;'RAW (公開用)'!L77&amp;", "</f>
        <v xml:space="preserve">, おれ, あたし, </v>
      </c>
      <c r="P77" s="8" t="s">
        <v>2335</v>
      </c>
      <c r="Q7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あたし,  , </v>
      </c>
      <c r="R77" s="8" t="s">
        <v>2174</v>
      </c>
      <c r="S77" s="8" t="s">
        <v>2335</v>
      </c>
      <c r="T7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77" s="17" t="s">
        <v>2174</v>
      </c>
      <c r="V77" s="8" t="s">
        <v>455</v>
      </c>
      <c r="W77" s="8" t="str">
        <f>", "&amp;'RAW (公開用)'!R77&amp;", "</f>
        <v xml:space="preserve">, カムアウトを強制される, アウティング（勝手にジェンダーや指向についての情報を明かされること）, </v>
      </c>
      <c r="X77" s="8"/>
      <c r="Y7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アウティング（勝手にジェンダーや指向についての情報を明かされること）,  </v>
      </c>
      <c r="Z77" s="8" t="s">
        <v>455</v>
      </c>
      <c r="AA77" s="8" t="str">
        <f>", "&amp;'RAW (公開用)'!U77&amp;", "</f>
        <v xml:space="preserve">, 顔にかかわる手術, </v>
      </c>
      <c r="AB77" s="8" t="str">
        <f>", "&amp;'RAW (公開用)'!V77&amp;", "</f>
        <v xml:space="preserve">, （上記のどれも経験していない）, </v>
      </c>
      <c r="AC77" s="8"/>
      <c r="AD7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7" s="8" t="s">
        <v>464</v>
      </c>
      <c r="AF77" s="8" t="s">
        <v>457</v>
      </c>
      <c r="AG77" s="8" t="s">
        <v>458</v>
      </c>
      <c r="AH77" s="8"/>
      <c r="AI77" s="8">
        <f>((LEN(G77)-LEN(SUBSTITUTE(G77,", ","")))/LEN(", ")-1-(LEN(G77)-LEN(SUBSTITUTE(G77,"必ず","")))/LEN("必ず"))+(LEN(H77)-LEN(SUBSTITUTE(H77,",","")))</f>
        <v>3</v>
      </c>
      <c r="AJ77" s="8"/>
      <c r="AK77" s="8"/>
      <c r="AL77" s="8"/>
      <c r="AM77" s="8"/>
      <c r="AN77" s="8"/>
    </row>
    <row r="78" spans="1:40" ht="38.25" hidden="1">
      <c r="A78" s="8">
        <v>77</v>
      </c>
      <c r="B78" s="11">
        <v>44969.915235590277</v>
      </c>
      <c r="C78" s="8" t="s">
        <v>452</v>
      </c>
      <c r="D78" s="8" t="s">
        <v>453</v>
      </c>
      <c r="E78" s="8" t="s">
        <v>452</v>
      </c>
      <c r="F78" s="8" t="s">
        <v>454</v>
      </c>
      <c r="G78" s="8" t="str">
        <f>", "&amp;'RAW (公開用)'!F78&amp;", "</f>
        <v xml:space="preserve">, **必ず選んでください**, Xジェンダー, ノンバイナリー, </v>
      </c>
      <c r="H78" s="8"/>
      <c r="I78" s="8" t="str">
        <f>", "&amp;'RAW (公開用)'!H78&amp;", "</f>
        <v xml:space="preserve">, さん, （敬称なし）, </v>
      </c>
      <c r="J78" s="8" t="s">
        <v>2335</v>
      </c>
      <c r="K7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78" s="8" t="str">
        <f>", "&amp;'RAW (公開用)'!J78&amp;", "</f>
        <v xml:space="preserve">, **英語を日常的に使わない**, </v>
      </c>
      <c r="M78" s="8" t="s">
        <v>2335</v>
      </c>
      <c r="N7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78" s="8" t="str">
        <f>", "&amp;'RAW (公開用)'!L78&amp;", "</f>
        <v xml:space="preserve">, （時とともに変わる）, 私（わたし／わたくし）, 俺, 僕, </v>
      </c>
      <c r="P78" s="8" t="s">
        <v>2335</v>
      </c>
      <c r="Q7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私（わたし／わたくし）, 俺, 僕,  , </v>
      </c>
      <c r="R78" s="8" t="str">
        <f>", "&amp;'RAW (公開用)'!N78&amp;", "</f>
        <v xml:space="preserve">, （自分（たち）の名前）, </v>
      </c>
      <c r="S78" s="8" t="s">
        <v>2335</v>
      </c>
      <c r="T7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78" s="8" t="str">
        <f>", "&amp;'RAW (公開用)'!P78&amp;", "</f>
        <v xml:space="preserve">, **英語を日常的に使わない**, </v>
      </c>
      <c r="V78" s="8" t="s">
        <v>455</v>
      </c>
      <c r="W78" s="8" t="str">
        <f>", "&amp;'RAW (公開用)'!R78&amp;", "</f>
        <v xml:space="preserve">, トイレなどのジェンダー化されたスペースの使用, 社会の中でいないことにされる, カムアウトできない, ミスジェンダリング（誤った性別として扱うこと）, 職場や学校における無理解, 家族／かぞくからの無理解, </v>
      </c>
      <c r="X78" s="8"/>
      <c r="Y7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社会の中でいないことにされる, カムアウトできない, ミスジェンダリング（誤った性別として扱うこと）, 職場や学校における無理解, 家族／かぞくからの無理解,  </v>
      </c>
      <c r="Z78" s="8" t="s">
        <v>455</v>
      </c>
      <c r="AA78" s="8" t="str">
        <f>", "&amp;'RAW (公開用)'!U78&amp;", "</f>
        <v xml:space="preserve">, 胸部の手術, 性器にかかわる手術, </v>
      </c>
      <c r="AB78" s="8" t="str">
        <f>", "&amp;'RAW (公開用)'!V78&amp;", "</f>
        <v xml:space="preserve">, （上記のどれも経験していない）, </v>
      </c>
      <c r="AC78" s="8"/>
      <c r="AD7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78" s="8" t="s">
        <v>456</v>
      </c>
      <c r="AF78" s="8" t="s">
        <v>457</v>
      </c>
      <c r="AG78" s="8" t="s">
        <v>458</v>
      </c>
      <c r="AH78" s="8"/>
      <c r="AI78" s="8">
        <f>((LEN(G78)-LEN(SUBSTITUTE(G78,", ","")))/LEN(", ")-1-(LEN(G78)-LEN(SUBSTITUTE(G78,"必ず","")))/LEN("必ず"))+(LEN(H78)-LEN(SUBSTITUTE(H78,",","")))</f>
        <v>2</v>
      </c>
      <c r="AJ78" s="8"/>
      <c r="AK78" s="8"/>
      <c r="AL78" s="8"/>
      <c r="AM78" s="8"/>
      <c r="AN78" s="8"/>
    </row>
    <row r="79" spans="1:40" ht="38.25" hidden="1">
      <c r="A79" s="8">
        <v>78</v>
      </c>
      <c r="B79" s="11">
        <v>44969.917117268516</v>
      </c>
      <c r="C79" s="8" t="s">
        <v>452</v>
      </c>
      <c r="D79" s="8" t="s">
        <v>453</v>
      </c>
      <c r="E79" s="8" t="s">
        <v>452</v>
      </c>
      <c r="F79" s="8" t="s">
        <v>454</v>
      </c>
      <c r="G79" s="8" t="str">
        <f>", "&amp;'RAW (公開用)'!F79&amp;", "</f>
        <v xml:space="preserve">, 不明／わからない, </v>
      </c>
      <c r="H79" s="8"/>
      <c r="I79" s="8" t="str">
        <f>", "&amp;'RAW (公開用)'!H79&amp;", "</f>
        <v xml:space="preserve">, くん／君, さん, </v>
      </c>
      <c r="J79" s="8" t="s">
        <v>2335</v>
      </c>
      <c r="K7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79" s="8" t="str">
        <f>", "&amp;'RAW (公開用)'!J79&amp;", "</f>
        <v xml:space="preserve">, **英語を日常的に使わない**, </v>
      </c>
      <c r="M79" s="8" t="s">
        <v>2335</v>
      </c>
      <c r="N7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79" s="8" t="str">
        <f>", "&amp;'RAW (公開用)'!L79&amp;", "</f>
        <v xml:space="preserve">, （時とともに変わる）, 自分, わし, 私（わたし／わたくし）, ぼく, あたし, </v>
      </c>
      <c r="P79" s="8" t="s">
        <v>2335</v>
      </c>
      <c r="Q7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自分, わし, 私（わたし／わたくし）, ぼく, あたし,  , </v>
      </c>
      <c r="R79" s="8" t="str">
        <f>", "&amp;'RAW (公開用)'!N79&amp;", "</f>
        <v xml:space="preserve">, （三人称で言及してほしくない）, </v>
      </c>
      <c r="S79" s="8" t="s">
        <v>2335</v>
      </c>
      <c r="T7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79" s="8" t="str">
        <f>", "&amp;'RAW (公開用)'!P79&amp;", "</f>
        <v xml:space="preserve">, **英語を日常的に使わない**, </v>
      </c>
      <c r="V79" s="8" t="s">
        <v>455</v>
      </c>
      <c r="W79" s="8" t="str">
        <f>", "&amp;'RAW (公開用)'!R79&amp;", "</f>
        <v xml:space="preserve">, ミスジェンダリング（誤った性別として扱うこと）, カムアウトできない, 家族／かぞくからの無理解, LGBTQ+運動からの排斥, 社会の中でいないことにされる, 職場や学校における無理解, </v>
      </c>
      <c r="X79" s="8"/>
      <c r="Y7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家族／かぞくからの無理解, LGBTQ+運動からの排斥, 社会の中でいないことにされる, 職場や学校における無理解,  </v>
      </c>
      <c r="Z79" s="8" t="s">
        <v>455</v>
      </c>
      <c r="AA79" s="8" t="str">
        <f>", "&amp;'RAW (公開用)'!U79&amp;", "</f>
        <v xml:space="preserve">, 胸部の手術, 性器にかかわる手術, </v>
      </c>
      <c r="AB79" s="8" t="str">
        <f>", "&amp;'RAW (公開用)'!V79&amp;", "</f>
        <v xml:space="preserve">, （上記のどれも経験していない）, </v>
      </c>
      <c r="AC79" s="8" t="s">
        <v>314</v>
      </c>
      <c r="AD7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金銭、リスク</v>
      </c>
      <c r="AE79" s="8" t="s">
        <v>462</v>
      </c>
      <c r="AF79" s="8" t="s">
        <v>457</v>
      </c>
      <c r="AG79" s="8" t="s">
        <v>458</v>
      </c>
      <c r="AH79" s="8"/>
      <c r="AI79" s="8">
        <f>((LEN(G79)-LEN(SUBSTITUTE(G79,", ","")))/LEN(", ")-1-(LEN(G79)-LEN(SUBSTITUTE(G79,"必ず","")))/LEN("必ず"))+(LEN(H79)-LEN(SUBSTITUTE(H79,",","")))</f>
        <v>1</v>
      </c>
      <c r="AJ79" s="8"/>
      <c r="AK79" s="8"/>
      <c r="AL79" s="8"/>
      <c r="AM79" s="8"/>
      <c r="AN79" s="8"/>
    </row>
    <row r="80" spans="1:40" ht="25.5">
      <c r="A80" s="8">
        <v>128</v>
      </c>
      <c r="B80" s="11">
        <v>44970.476824317127</v>
      </c>
      <c r="C80" s="8" t="s">
        <v>452</v>
      </c>
      <c r="D80" s="8" t="s">
        <v>453</v>
      </c>
      <c r="E80" s="8" t="s">
        <v>452</v>
      </c>
      <c r="F80" s="8" t="s">
        <v>454</v>
      </c>
      <c r="G80" s="8" t="str">
        <f>", "&amp;'RAW (公開用)'!F129&amp;", "</f>
        <v xml:space="preserve">, 女性／woman, クィア／Queer, </v>
      </c>
      <c r="H80" s="8"/>
      <c r="I80" s="8" t="str">
        <f>", "&amp;'RAW (公開用)'!H129&amp;", "</f>
        <v xml:space="preserve">, さん, （敬称なし）, </v>
      </c>
      <c r="J80" s="8" t="s">
        <v>2335</v>
      </c>
      <c r="K8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80" s="105" t="s">
        <v>2174</v>
      </c>
      <c r="M80" s="8" t="s">
        <v>2335</v>
      </c>
      <c r="N8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無回答, </v>
      </c>
      <c r="O80" s="8" t="str">
        <f>", "&amp;'RAW (公開用)'!L129&amp;", "</f>
        <v xml:space="preserve">, わたし, </v>
      </c>
      <c r="P80" s="73" t="s">
        <v>2384</v>
      </c>
      <c r="Q8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 我,</v>
      </c>
      <c r="R80" s="8" t="str">
        <f>", "&amp;'RAW (公開用)'!N80&amp;", "</f>
        <v xml:space="preserve">, 彼女, （自分（たち）の名前）, </v>
      </c>
      <c r="S80" s="8" t="s">
        <v>2335</v>
      </c>
      <c r="T8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80" s="8" t="str">
        <f>", "&amp;'RAW (公開用)'!P129&amp;", "</f>
        <v xml:space="preserve">, **英語を日常的に使わない**, she, </v>
      </c>
      <c r="V80" s="8" t="s">
        <v>455</v>
      </c>
      <c r="W80" s="8" t="str">
        <f>", "&amp;'RAW (公開用)'!R129&amp;", "</f>
        <v xml:space="preserve">, 社会の中でいないことにされる, 性暴力, 必要なジェンダーケアへアクセスできない, </v>
      </c>
      <c r="X80" s="8"/>
      <c r="Y8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性暴力, 必要なジェンダーケアへアクセスできない,  </v>
      </c>
      <c r="Z80" s="8" t="s">
        <v>455</v>
      </c>
      <c r="AA80" s="8" t="str">
        <f>", "&amp;'RAW (公開用)'!U129&amp;", "</f>
        <v xml:space="preserve">, （上記のどれも希望していない）, </v>
      </c>
      <c r="AB80" s="8" t="str">
        <f>", "&amp;'RAW (公開用)'!V129&amp;", "</f>
        <v xml:space="preserve">, （上記のどれも経験していない）, </v>
      </c>
      <c r="AC80" s="8"/>
      <c r="AD8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80" s="8" t="s">
        <v>456</v>
      </c>
      <c r="AF80" s="8" t="s">
        <v>457</v>
      </c>
      <c r="AG80" s="8" t="s">
        <v>458</v>
      </c>
      <c r="AH80" s="8"/>
      <c r="AI80" s="8">
        <f>(LEN(G80)-LEN(SUBSTITUTE(G80,", ","")))/LEN(", ")-1-(LEN(G80)-LEN(SUBSTITUTE(G80,"必ず","")))/LEN("必ず")</f>
        <v>2</v>
      </c>
      <c r="AJ80" s="8"/>
      <c r="AK80" s="8"/>
      <c r="AL80" s="8"/>
      <c r="AM80" s="8"/>
      <c r="AN80" s="8"/>
    </row>
    <row r="81" spans="1:40" ht="12.75" hidden="1">
      <c r="A81" s="8">
        <v>80</v>
      </c>
      <c r="B81" s="11">
        <v>44969.92780315972</v>
      </c>
      <c r="C81" s="8" t="s">
        <v>452</v>
      </c>
      <c r="D81" s="8" t="s">
        <v>453</v>
      </c>
      <c r="E81" s="8" t="s">
        <v>452</v>
      </c>
      <c r="F81" s="8" t="s">
        <v>454</v>
      </c>
      <c r="G81" s="8" t="str">
        <f>", "&amp;'RAW (公開用)'!F81&amp;", "</f>
        <v xml:space="preserve">, 女性／woman, **必ず選んでください**, </v>
      </c>
      <c r="H81" s="8"/>
      <c r="I81" s="8" t="str">
        <f>", "&amp;'RAW (公開用)'!H81&amp;", "</f>
        <v xml:space="preserve">, さん, ちゃん, </v>
      </c>
      <c r="J81" s="8" t="s">
        <v>2335</v>
      </c>
      <c r="K8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81" s="8" t="str">
        <f>", "&amp;'RAW (公開用)'!J81&amp;", "</f>
        <v xml:space="preserve">, Ms., **英語を日常的に使わない**, Dr.など、職業などにかかわるもの, Mrs., </v>
      </c>
      <c r="M81" s="8" t="s">
        <v>2335</v>
      </c>
      <c r="N8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**英語を日常的に使わない**, Dr.など、職業などにかかわるもの, Mrs., , </v>
      </c>
      <c r="O81" s="8" t="str">
        <f>", "&amp;'RAW (公開用)'!L81&amp;", "</f>
        <v xml:space="preserve">, 自分, 私（わたし／わたくし）, わたし, うち, </v>
      </c>
      <c r="P81" s="8" t="s">
        <v>2335</v>
      </c>
      <c r="Q8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うち,  , </v>
      </c>
      <c r="R81" s="8" t="str">
        <f>", "&amp;'RAW (公開用)'!N81&amp;", "</f>
        <v xml:space="preserve">, （三人称で言及してほしくない）, </v>
      </c>
      <c r="S81" s="8" t="s">
        <v>2335</v>
      </c>
      <c r="T8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81" s="8" t="str">
        <f>", "&amp;'RAW (公開用)'!P81&amp;", "</f>
        <v xml:space="preserve">, **英語を日常的に使わない**, she, </v>
      </c>
      <c r="V81" s="8" t="s">
        <v>455</v>
      </c>
      <c r="W81" s="8" t="str">
        <f>", "&amp;'RAW (公開用)'!R81&amp;", "</f>
        <v xml:space="preserve">, 性暴力, </v>
      </c>
      <c r="X81" s="8"/>
      <c r="Y8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v>
      </c>
      <c r="Z81" s="8" t="s">
        <v>455</v>
      </c>
      <c r="AA81" s="8" t="str">
        <f>", "&amp;'RAW (公開用)'!U81&amp;", "</f>
        <v xml:space="preserve">, （上記のどれも希望していない）, </v>
      </c>
      <c r="AB81" s="8" t="str">
        <f>", "&amp;'RAW (公開用)'!V81&amp;", "</f>
        <v xml:space="preserve">, （上記のどれも経験していない）, </v>
      </c>
      <c r="AC81" s="8"/>
      <c r="AD8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81" s="8" t="s">
        <v>475</v>
      </c>
      <c r="AF81" s="8" t="s">
        <v>457</v>
      </c>
      <c r="AG81" s="8" t="s">
        <v>458</v>
      </c>
      <c r="AH81" s="8"/>
      <c r="AI81" s="8">
        <f>((LEN(G81)-LEN(SUBSTITUTE(G81,", ","")))/LEN(", ")-1-(LEN(G81)-LEN(SUBSTITUTE(G81,"必ず","")))/LEN("必ず"))+(LEN(H81)-LEN(SUBSTITUTE(H81,",","")))</f>
        <v>1</v>
      </c>
      <c r="AJ81" s="8"/>
      <c r="AK81" s="8"/>
      <c r="AL81" s="8"/>
      <c r="AM81" s="8"/>
      <c r="AN81" s="8"/>
    </row>
    <row r="82" spans="1:40" ht="51" hidden="1">
      <c r="A82" s="8">
        <v>81</v>
      </c>
      <c r="B82" s="11">
        <v>44969.930935543976</v>
      </c>
      <c r="C82" s="8" t="s">
        <v>452</v>
      </c>
      <c r="D82" s="8" t="s">
        <v>453</v>
      </c>
      <c r="E82" s="8" t="s">
        <v>452</v>
      </c>
      <c r="F82" s="8" t="s">
        <v>454</v>
      </c>
      <c r="G82" s="8" t="str">
        <f>", "&amp;'RAW (公開用)'!F82&amp;", "</f>
        <v xml:space="preserve">, デミガール, ノンバイナリー, クィア／Queer, 女性／woman, **必ず選んでください**, トランスマスキュリン, トランスジェンダー, 男性／man, ジェンダークィア, enby／エンビー, ノンバイナリー女性, ノンバイナリー男性, </v>
      </c>
      <c r="H82" s="8" t="s">
        <v>507</v>
      </c>
      <c r="I82" s="8" t="str">
        <f>", "&amp;'RAW (公開用)'!H82&amp;", "</f>
        <v xml:space="preserve">, さん, （敬称なし）, </v>
      </c>
      <c r="J82" s="8" t="s">
        <v>2335</v>
      </c>
      <c r="K8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82" s="8" t="str">
        <f>", "&amp;'RAW (公開用)'!J82&amp;", "</f>
        <v xml:space="preserve">, **英語を日常的に使わない**, </v>
      </c>
      <c r="M82" s="8" t="s">
        <v>2335</v>
      </c>
      <c r="N8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2" s="8" t="str">
        <f>", "&amp;'RAW (公開用)'!L82&amp;", "</f>
        <v xml:space="preserve">, 俺, あたし, 私（わたし／わたくし）, </v>
      </c>
      <c r="P82" s="8" t="s">
        <v>2335</v>
      </c>
      <c r="Q8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あたし, 私（わたし／わたくし）,  , </v>
      </c>
      <c r="R82" s="8" t="str">
        <f>", "&amp;'RAW (公開用)'!N82&amp;", "</f>
        <v xml:space="preserve">, 彼人（かのと）, かれ, 彼人（かのひと）, （自分（たち）の名前）, </v>
      </c>
      <c r="S82" s="8" t="s">
        <v>2335</v>
      </c>
      <c r="T8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かれ, 彼人（かのひと）, （自分（たち）の名前）,  , </v>
      </c>
      <c r="U82" s="8" t="str">
        <f>", "&amp;'RAW (公開用)'!P82&amp;", "</f>
        <v xml:space="preserve">, **英語を日常的に使わない**, </v>
      </c>
      <c r="V82" s="8" t="s">
        <v>455</v>
      </c>
      <c r="W82" s="8" t="str">
        <f>", "&amp;'RAW (公開用)'!R82&amp;", "</f>
        <v xml:space="preserve">, ミスジェンダリング（誤った性別として扱うこと）, 社会の中でいないことにされる, カムアウトできない, 医療における無理解, トイレなどのジェンダー化されたスペースの使用, LGBTQ+運動からの排斥, 家族／かぞくからの無理解, 必要なジェンダーケアへアクセスできない, </v>
      </c>
      <c r="X82" s="8"/>
      <c r="Y8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カムアウトできない, 医療における無理解, トイレなどのジェンダー化されたスペースの使用, LGBTQ+運動からの排斥, 家族／かぞくからの無理解, 必要なジェンダーケアへアクセスできない,  </v>
      </c>
      <c r="Z82" s="8" t="s">
        <v>455</v>
      </c>
      <c r="AA82" s="8" t="str">
        <f>", "&amp;'RAW (公開用)'!U82&amp;", "</f>
        <v xml:space="preserve">, ジェンダークリニックの受診, ホルモン補充療法（HRT）, 性器にかかわる手術, </v>
      </c>
      <c r="AB82" s="8" t="str">
        <f>", "&amp;'RAW (公開用)'!V82&amp;", "</f>
        <v xml:space="preserve">, （上記のどれも経験していない）, </v>
      </c>
      <c r="AC82" s="8"/>
      <c r="AD8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82" s="8" t="s">
        <v>456</v>
      </c>
      <c r="AF82" s="8" t="s">
        <v>457</v>
      </c>
      <c r="AG82" s="8" t="s">
        <v>458</v>
      </c>
      <c r="AH82" s="8"/>
      <c r="AI82" s="8">
        <f>((LEN(G82)-LEN(SUBSTITUTE(G82,", ","")))/LEN(", ")-1-(LEN(G82)-LEN(SUBSTITUTE(G82,"必ず","")))/LEN("必ず"))+(LEN(H82)-LEN(SUBSTITUTE(H82,",","")))</f>
        <v>13</v>
      </c>
      <c r="AJ82" s="8"/>
      <c r="AK82" s="8"/>
      <c r="AL82" s="8"/>
      <c r="AM82" s="8"/>
      <c r="AN82" s="8"/>
    </row>
    <row r="83" spans="1:40" ht="38.25" hidden="1">
      <c r="A83" s="8">
        <v>437</v>
      </c>
      <c r="B83" s="11">
        <v>44995.903202199072</v>
      </c>
      <c r="C83" s="8" t="s">
        <v>452</v>
      </c>
      <c r="D83" s="8" t="s">
        <v>453</v>
      </c>
      <c r="E83" s="8" t="s">
        <v>452</v>
      </c>
      <c r="F83" s="8" t="s">
        <v>454</v>
      </c>
      <c r="G83" s="8" t="str">
        <f>", "&amp;'RAW (公開用)'!F438&amp;", "</f>
        <v xml:space="preserve">, 中性, （ジェンダー・）フルイド／（ジェンダー・）フリュイド／（ジェンダー・）フルイッド, **必ず選んでください**, ノンバイナリー, </v>
      </c>
      <c r="H83" s="8"/>
      <c r="I83" s="8" t="str">
        <f>", "&amp;'RAW (公開用)'!H438&amp;", "</f>
        <v xml:space="preserve">, さん, </v>
      </c>
      <c r="J83" s="8" t="s">
        <v>2335</v>
      </c>
      <c r="K8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83" s="8" t="str">
        <f>", "&amp;'RAW (公開用)'!J438&amp;", "</f>
        <v xml:space="preserve">, **英語を日常的に使わない**, </v>
      </c>
      <c r="M83" s="8" t="s">
        <v>2335</v>
      </c>
      <c r="N8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3" s="8" t="str">
        <f>", "&amp;'RAW (公開用)'!L438&amp;", "</f>
        <v xml:space="preserve">, 私（わたし／わたくし）, 僕, おれ, 自分, </v>
      </c>
      <c r="P83" s="73" t="s">
        <v>2384</v>
      </c>
      <c r="Q8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僕, おれ, 自分,  , 我,</v>
      </c>
      <c r="R83" s="8" t="str">
        <f>", "&amp;'RAW (公開用)'!N83&amp;", "</f>
        <v xml:space="preserve">, 彼, かれ, 彼人（かのひと）, 渠（かれ）, 彼人（かのと）, （自分（たち）の名前）, </v>
      </c>
      <c r="S83" s="8" t="s">
        <v>2335</v>
      </c>
      <c r="T8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かれ, 彼人（かのひと）, 渠（かれ）, 彼人（かのと）, （自分（たち）の名前）,  , </v>
      </c>
      <c r="U83" s="8" t="str">
        <f>", "&amp;'RAW (公開用)'!P438&amp;", "</f>
        <v xml:space="preserve">, （クエスチョニング、模索中、または不明）, </v>
      </c>
      <c r="V83" s="8" t="s">
        <v>455</v>
      </c>
      <c r="W83" s="8" t="str">
        <f>", "&amp;'RAW (公開用)'!R438&amp;", "</f>
        <v xml:space="preserve">, カムアウトできない, ミスジェンダリング（誤った性別として扱うこと）, デッドネーミング（誤った名前で呼ばれること）, 家族／かぞくからの無理解, 社会の中でいないことにされる, 職場や学校における無理解, カムアウトを強制される, </v>
      </c>
      <c r="X83" s="8"/>
      <c r="Y8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ミスジェンダリング（誤った性別として扱うこと）, デッドネーミング（誤った名前で呼ばれること）, 家族／かぞくからの無理解, 社会の中でいないことにされる, 職場や学校における無理解, カムアウトを強制される,  </v>
      </c>
      <c r="Z83" s="8" t="s">
        <v>455</v>
      </c>
      <c r="AA83" s="8" t="str">
        <f>", "&amp;'RAW (公開用)'!U438&amp;", "</f>
        <v xml:space="preserve">, 戸籍名の変更, 胸部の手術, </v>
      </c>
      <c r="AB83" s="8" t="str">
        <f>", "&amp;'RAW (公開用)'!V438&amp;", "</f>
        <v xml:space="preserve">, （上記のどれも経験していない）, </v>
      </c>
      <c r="AC83" s="8" t="s">
        <v>326</v>
      </c>
      <c r="AD8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職場への手術の適切な説明の仕方が分からない</v>
      </c>
      <c r="AE83" s="8" t="s">
        <v>456</v>
      </c>
      <c r="AF83" s="8" t="s">
        <v>457</v>
      </c>
      <c r="AG83" s="8" t="s">
        <v>458</v>
      </c>
      <c r="AH83" s="8"/>
      <c r="AI83" s="8">
        <f t="shared" ref="AI83:AI91" si="3">(LEN(G83)-LEN(SUBSTITUTE(G83,", ","")))/LEN(", ")-1-(LEN(G83)-LEN(SUBSTITUTE(G83,"必ず","")))/LEN("必ず")</f>
        <v>3</v>
      </c>
      <c r="AJ83" s="8"/>
      <c r="AK83" s="8"/>
      <c r="AL83" s="8"/>
      <c r="AM83" s="8"/>
      <c r="AN83" s="8"/>
    </row>
    <row r="84" spans="1:40" ht="204" hidden="1">
      <c r="A84" s="8">
        <v>249</v>
      </c>
      <c r="B84" s="11">
        <v>44974.273795370369</v>
      </c>
      <c r="C84" s="8" t="s">
        <v>452</v>
      </c>
      <c r="D84" s="8" t="s">
        <v>453</v>
      </c>
      <c r="E84" s="8" t="s">
        <v>452</v>
      </c>
      <c r="F84" s="8" t="s">
        <v>454</v>
      </c>
      <c r="G84" s="8" t="str">
        <f>", "&amp;'RAW (公開用)'!F250&amp;", "</f>
        <v xml:space="preserve">, X, ノンバイナリー, トランス*／trans*, トランスジェンダー, Xジェンダー, トランス, クィア／Queer, ジェンダークィア, **必ず選んでください**, </v>
      </c>
      <c r="H84" s="8"/>
      <c r="I84" s="8" t="str">
        <f>", "&amp;'RAW (公開用)'!H250&amp;", "</f>
        <v xml:space="preserve">, （敬称なし）, さん, ちゃん, </v>
      </c>
      <c r="J84" s="8" t="s">
        <v>2335</v>
      </c>
      <c r="K8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ちゃん,  , </v>
      </c>
      <c r="L84" s="8" t="str">
        <f>", "&amp;'RAW (公開用)'!J250&amp;", "</f>
        <v xml:space="preserve">, **英語を日常的に使わない**, </v>
      </c>
      <c r="M84" s="8" t="s">
        <v>2335</v>
      </c>
      <c r="N8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4" s="8" t="str">
        <f>", "&amp;'RAW (公開用)'!L250&amp;", "</f>
        <v xml:space="preserve">, 俺, 私（わたし／わたくし）, 自分, （時とともに変わる）, </v>
      </c>
      <c r="P84" s="8" t="s">
        <v>2335</v>
      </c>
      <c r="Q8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自分, （時とともに変わる）,  , </v>
      </c>
      <c r="R84" s="8" t="str">
        <f>", "&amp;'RAW (公開用)'!N84&amp;", "</f>
        <v xml:space="preserve">, （三人称で言及してほしくない）, </v>
      </c>
      <c r="S84" s="8" t="s">
        <v>2355</v>
      </c>
      <c r="T8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{この/その/あの}+人,</v>
      </c>
      <c r="U84" s="8" t="str">
        <f>", "&amp;'RAW (公開用)'!P250&amp;", "</f>
        <v xml:space="preserve">, **英語を日常的に使わない**, </v>
      </c>
      <c r="V84" s="8" t="s">
        <v>455</v>
      </c>
      <c r="W84" s="8" t="str">
        <f>", "&amp;'RAW (公開用)'!R250&amp;", "</f>
        <v xml:space="preserve">, トイレなどのジェンダー化されたスペースの使用, 社会の中でいないことにされる, カムアウトできない, ミスジェンダリング（誤った性別として扱うこと）, 職場や学校における無理解, デッドネーミング（誤った名前で呼ばれること）, </v>
      </c>
      <c r="X84" s="8"/>
      <c r="Y8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社会の中でいないことにされる, カムアウトできない, ミスジェンダリング（誤った性別として扱うこと）, 職場や学校における無理解, デッドネーミング（誤った名前で呼ばれること）,  </v>
      </c>
      <c r="Z84" s="8" t="s">
        <v>455</v>
      </c>
      <c r="AA84" s="8" t="str">
        <f>", "&amp;'RAW (公開用)'!U250&amp;", "</f>
        <v xml:space="preserve">, 戸籍名の変更, 戸籍上の性別の変更, 胸部の手術, </v>
      </c>
      <c r="AB84" s="8" t="str">
        <f>", "&amp;'RAW (公開用)'!V250&amp;", "</f>
        <v xml:space="preserve">, （上記のどれも経験していない）, </v>
      </c>
      <c r="AC84" s="8" t="s">
        <v>354</v>
      </c>
      <c r="AD84"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戸籍名の変更
:通称の使用実績を何年も積んだことを理由として名を変更したいと思い、インターネットで調べて実行に移そうとしているが、通称に移行できる機会があまり取れていない。改名の希望も含めてカミングアウト済みの友人にはSNSや手紙のやりとりで通称を呼んでもらい、通販での買い物の一部や美容院では通称を使用しているが、大学や医療機関などのより通称の使用実績が有力になりそうな公的な場では移行に踏み込みにくい。通称の使用を相談するのにはカミングアウトが伴うのと、性自認が出生時に割り当てられた性別と逆というわけではなく性同一性障害の診断もつかないと思われる私のような場合でも通称が認められるのかどうか分からず、制度があるのは知っていても申請しにくい。できればノンバイナリーとして働ける職場に就職して通称で勤務することで実績を得たいと考えているが、発達障害とそれに伴う適応障害により大学に通うのが困難な時期があり、学業成績が悪く留年もしているため、それほど就職先を選り好みできない可能性も高い。また、通販を含む買い物においては名前を通称にするとクレジットカードの名義と異なるため、現金払い(通販では代引)に限るか利便性のために通称使用を諦めるかの選択を迫られる。</v>
      </c>
      <c r="AE84" s="8" t="s">
        <v>462</v>
      </c>
      <c r="AF84" s="8" t="s">
        <v>457</v>
      </c>
      <c r="AG84" s="8" t="s">
        <v>458</v>
      </c>
      <c r="AH84" s="8"/>
      <c r="AI84" s="8">
        <f t="shared" si="3"/>
        <v>8</v>
      </c>
      <c r="AJ84" s="8"/>
      <c r="AK84" s="8"/>
      <c r="AL84" s="8"/>
      <c r="AM84" s="8"/>
      <c r="AN84" s="8"/>
    </row>
    <row r="85" spans="1:40" ht="38.25" hidden="1">
      <c r="A85" s="8">
        <v>84</v>
      </c>
      <c r="B85" s="11">
        <v>44969.957146377317</v>
      </c>
      <c r="C85" s="8" t="s">
        <v>452</v>
      </c>
      <c r="D85" s="8" t="s">
        <v>453</v>
      </c>
      <c r="E85" s="8" t="s">
        <v>452</v>
      </c>
      <c r="F85" s="8" t="s">
        <v>454</v>
      </c>
      <c r="G85" s="8" t="str">
        <f>", "&amp;'RAW (公開用)'!F85&amp;", "</f>
        <v xml:space="preserve">, **必ず選んでください**, 無し, </v>
      </c>
      <c r="H85" s="8"/>
      <c r="I85" s="8" t="str">
        <f>", "&amp;'RAW (公開用)'!H85&amp;", "</f>
        <v xml:space="preserve">, （時とともに変わる）, さん, </v>
      </c>
      <c r="J85" s="8" t="s">
        <v>2335</v>
      </c>
      <c r="K8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さん,  , </v>
      </c>
      <c r="L85" s="8" t="str">
        <f>", "&amp;'RAW (公開用)'!J85&amp;", "</f>
        <v xml:space="preserve">, **英語を日常的に使わない**, </v>
      </c>
      <c r="M85" s="8" t="s">
        <v>2335</v>
      </c>
      <c r="N8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5" s="8" t="str">
        <f>", "&amp;'RAW (公開用)'!L85&amp;", "</f>
        <v xml:space="preserve">, （一人称の使用を避ける）, （時とともに変わる）, ぼく, 私（わたし／わたくし）, 自分, 僕, </v>
      </c>
      <c r="P85" s="8" t="s">
        <v>2335</v>
      </c>
      <c r="Q8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（時とともに変わる）, ぼく, 私（わたし／わたくし）, 自分, 僕,  , </v>
      </c>
      <c r="R85" s="8" t="str">
        <f>", "&amp;'RAW (公開用)'!N85&amp;", "</f>
        <v xml:space="preserve">, （三人称で言及してほしくない）, </v>
      </c>
      <c r="S85" s="8" t="s">
        <v>2335</v>
      </c>
      <c r="T8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85" s="8" t="str">
        <f>", "&amp;'RAW (公開用)'!P85&amp;", "</f>
        <v xml:space="preserve">, **英語を日常的に使わない**, </v>
      </c>
      <c r="V85" s="8" t="s">
        <v>455</v>
      </c>
      <c r="W85" s="8" t="str">
        <f>", "&amp;'RAW (公開用)'!R85&amp;", "</f>
        <v xml:space="preserve">, 社会の中でいないことにされる, 必要なジェンダーケアへアクセスできない, トイレなどのジェンダー化されたスペースの使用, ミスジェンダリング（誤った性別として扱うこと）, カムアウトできない, </v>
      </c>
      <c r="X85" s="8"/>
      <c r="Y8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必要なジェンダーケアへアクセスできない, トイレなどのジェンダー化されたスペースの使用, ミスジェンダリング（誤った性別として扱うこと）, カムアウトできない,  </v>
      </c>
      <c r="Z85" s="8" t="s">
        <v>455</v>
      </c>
      <c r="AA85" s="8" t="str">
        <f>", "&amp;'RAW (公開用)'!U85&amp;", "</f>
        <v xml:space="preserve">, 戸籍上の性別の変更, 抗ホルモン療法, 声帯にかかわる手術, 胸部の手術, 性器にかかわる手術, </v>
      </c>
      <c r="AB85" s="8" t="str">
        <f>", "&amp;'RAW (公開用)'!V85&amp;", "</f>
        <v xml:space="preserve">, （上記のどれも経験していない）, </v>
      </c>
      <c r="AC85" s="8" t="s">
        <v>403</v>
      </c>
      <c r="AD85"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トランジションする先がない</v>
      </c>
      <c r="AE85" s="8" t="s">
        <v>462</v>
      </c>
      <c r="AF85" s="8" t="s">
        <v>457</v>
      </c>
      <c r="AG85" s="8" t="s">
        <v>458</v>
      </c>
      <c r="AH85" s="8"/>
      <c r="AI85" s="8">
        <f t="shared" si="3"/>
        <v>1</v>
      </c>
      <c r="AJ85" s="8"/>
      <c r="AK85" s="8"/>
      <c r="AL85" s="8"/>
      <c r="AM85" s="8"/>
      <c r="AN85" s="8"/>
    </row>
    <row r="86" spans="1:40" ht="38.25" hidden="1">
      <c r="A86" s="8">
        <v>85</v>
      </c>
      <c r="B86" s="11">
        <v>44969.961072094906</v>
      </c>
      <c r="C86" s="8" t="s">
        <v>452</v>
      </c>
      <c r="D86" s="8" t="s">
        <v>453</v>
      </c>
      <c r="E86" s="8" t="s">
        <v>452</v>
      </c>
      <c r="F86" s="8" t="s">
        <v>454</v>
      </c>
      <c r="G86" s="8" t="str">
        <f>", "&amp;'RAW (公開用)'!F86&amp;", "</f>
        <v xml:space="preserve">, 不定性, ジェンダーレス, 不明／わからない, ダイク／dyke, Xジェンダー, レズビアン（ジェンダーについて）, **必ず選んでください**, （ジェンダー・）フルイド／（ジェンダー・）フリュイド／（ジェンダー・）フルイッド, </v>
      </c>
      <c r="H86" s="8"/>
      <c r="I86" s="8" t="str">
        <f>", "&amp;'RAW (公開用)'!H86&amp;", "</f>
        <v xml:space="preserve">, （時とともに変わる）, （クエスチョニング、模索中、または不明）, さん, </v>
      </c>
      <c r="J86" s="8" t="s">
        <v>2335</v>
      </c>
      <c r="K8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さん,  , </v>
      </c>
      <c r="L86" s="8" t="str">
        <f>", "&amp;'RAW (公開用)'!J86&amp;", "</f>
        <v xml:space="preserve">, **英語を日常的に使わない**, </v>
      </c>
      <c r="M86" s="8" t="s">
        <v>2335</v>
      </c>
      <c r="N8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6" s="8" t="str">
        <f>", "&amp;'RAW (公開用)'!L86&amp;", "</f>
        <v xml:space="preserve">, 私（わたし／わたくし）, （クエスチョニング、模索中、または不明）, （自分（たち）の名前）, </v>
      </c>
      <c r="P86" s="8" t="s">
        <v>2335</v>
      </c>
      <c r="Q8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（クエスチョニング、模索中、または不明）, （自分（たち）の名前）,  , </v>
      </c>
      <c r="R86" s="8" t="str">
        <f>", "&amp;'RAW (公開用)'!N86&amp;", "</f>
        <v xml:space="preserve">, （自分（たち）の名前）, </v>
      </c>
      <c r="S86" s="8" t="s">
        <v>2335</v>
      </c>
      <c r="T8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86" s="8" t="str">
        <f>", "&amp;'RAW (公開用)'!P86&amp;", "</f>
        <v xml:space="preserve">, **英語を日常的に使わない**, </v>
      </c>
      <c r="V86" s="8" t="s">
        <v>455</v>
      </c>
      <c r="W86" s="8" t="str">
        <f>", "&amp;'RAW (公開用)'!R86&amp;", "</f>
        <v xml:space="preserve">, 職場や学校における無理解, 家族／かぞくからの無理解, アウティング（勝手にジェンダーや指向についての情報を明かされること）, 社会の中でいないことにされる, カムアウトできない, </v>
      </c>
      <c r="X86" s="8"/>
      <c r="Y8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家族／かぞくからの無理解, アウティング（勝手にジェンダーや指向についての情報を明かされること）, 社会の中でいないことにされる, カムアウトできない,  </v>
      </c>
      <c r="Z86" s="8" t="s">
        <v>455</v>
      </c>
      <c r="AA86" s="8" t="str">
        <f>", "&amp;'RAW (公開用)'!U86&amp;", "</f>
        <v xml:space="preserve">, （上記のどれも希望していない）, </v>
      </c>
      <c r="AB86" s="8" t="str">
        <f>", "&amp;'RAW (公開用)'!V86&amp;", "</f>
        <v xml:space="preserve">, （上記のどれも経験していない）, </v>
      </c>
      <c r="AC86" s="8"/>
      <c r="AD8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86" s="8" t="s">
        <v>462</v>
      </c>
      <c r="AF86" s="8" t="s">
        <v>457</v>
      </c>
      <c r="AG86" s="8" t="s">
        <v>458</v>
      </c>
      <c r="AH86" s="8"/>
      <c r="AI86" s="8">
        <f t="shared" si="3"/>
        <v>7</v>
      </c>
      <c r="AJ86" s="8"/>
      <c r="AK86" s="8"/>
      <c r="AL86" s="8"/>
      <c r="AM86" s="8"/>
      <c r="AN86" s="8"/>
    </row>
    <row r="87" spans="1:40" ht="63.75" hidden="1">
      <c r="A87" s="8">
        <v>86</v>
      </c>
      <c r="B87" s="11">
        <v>44969.963466863424</v>
      </c>
      <c r="C87" s="8" t="s">
        <v>452</v>
      </c>
      <c r="D87" s="8" t="s">
        <v>453</v>
      </c>
      <c r="E87" s="8" t="s">
        <v>452</v>
      </c>
      <c r="F87" s="8" t="s">
        <v>454</v>
      </c>
      <c r="G87" s="8" t="str">
        <f>", "&amp;'RAW (公開用)'!F87&amp;", "</f>
        <v xml:space="preserve">, ノンバイナリー, **必ず選んでください**, トランス, Xジェンダー, 不明／わからない, ジェンダークィア, </v>
      </c>
      <c r="H87" s="8"/>
      <c r="I87" s="8" t="str">
        <f>", "&amp;'RAW (公開用)'!H87&amp;", "</f>
        <v xml:space="preserve">, さん, （クエスチョニング、模索中、または不明）, </v>
      </c>
      <c r="J87" s="8" t="s">
        <v>2335</v>
      </c>
      <c r="K8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 </v>
      </c>
      <c r="L87" s="8" t="str">
        <f>", "&amp;'RAW (公開用)'!J87&amp;", "</f>
        <v xml:space="preserve">, -san, （敬称なし）, **英語を日常的に使わない**, </v>
      </c>
      <c r="M87" s="8" t="s">
        <v>2335</v>
      </c>
      <c r="N8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**英語を日常的に使わない**, , </v>
      </c>
      <c r="O87" s="8" t="str">
        <f>", "&amp;'RAW (公開用)'!L87&amp;", "</f>
        <v xml:space="preserve">, わたし, 僕, </v>
      </c>
      <c r="P87" s="8" t="s">
        <v>2335</v>
      </c>
      <c r="Q8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僕,  , </v>
      </c>
      <c r="R87" s="8" t="str">
        <f>", "&amp;'RAW (公開用)'!N87&amp;", "</f>
        <v xml:space="preserve">, （自分（たち）の名前）, 彼人（かのひと）, </v>
      </c>
      <c r="S87" s="8" t="s">
        <v>2335</v>
      </c>
      <c r="T8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彼人（かのひと）,  , </v>
      </c>
      <c r="U87" s="8" t="str">
        <f>", "&amp;'RAW (公開用)'!P87&amp;", "</f>
        <v xml:space="preserve">, they/them/their/themselves, </v>
      </c>
      <c r="V87" s="8" t="s">
        <v>455</v>
      </c>
      <c r="W87" s="8" t="str">
        <f>", "&amp;'RAW (公開用)'!R87&amp;", "</f>
        <v xml:space="preserve">, アウティング（勝手にジェンダーや指向についての情報を明かされること）, 必要なジェンダーケアへアクセスできない, カムアウトできない, カムアウトを強制される, トイレなどのジェンダー化されたスペースの使用, 職場や学校における無理解, 家族／かぞくからの無理解, 医療における無理解, 社会の中でいないことにされる, </v>
      </c>
      <c r="X87" s="8"/>
      <c r="Y8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必要なジェンダーケアへアクセスできない, カムアウトできない, カムアウトを強制される, トイレなどのジェンダー化されたスペースの使用, 職場や学校における無理解, 家族／かぞくからの無理解, 医療における無理解, 社会の中でいないことにされる,  </v>
      </c>
      <c r="Z87" s="8" t="s">
        <v>455</v>
      </c>
      <c r="AA87" s="8" t="str">
        <f>", "&amp;'RAW (公開用)'!U87&amp;", "</f>
        <v xml:space="preserve">, 戸籍上の性別の変更, </v>
      </c>
      <c r="AB87" s="8" t="str">
        <f>", "&amp;'RAW (公開用)'!V87&amp;", "</f>
        <v xml:space="preserve">, （上記のどれも経験していない）, </v>
      </c>
      <c r="AC87" s="8"/>
      <c r="AD8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87" s="8" t="s">
        <v>459</v>
      </c>
      <c r="AF87" s="8" t="s">
        <v>457</v>
      </c>
      <c r="AG87" s="8" t="s">
        <v>458</v>
      </c>
      <c r="AH87" s="8"/>
      <c r="AI87" s="8">
        <f t="shared" si="3"/>
        <v>5</v>
      </c>
      <c r="AJ87" s="8"/>
      <c r="AK87" s="8"/>
      <c r="AL87" s="8"/>
      <c r="AM87" s="8"/>
      <c r="AN87" s="8"/>
    </row>
    <row r="88" spans="1:40" ht="89.25" hidden="1">
      <c r="A88" s="8">
        <v>436</v>
      </c>
      <c r="B88" s="11">
        <v>44995.884242986111</v>
      </c>
      <c r="C88" s="8" t="s">
        <v>452</v>
      </c>
      <c r="D88" s="8" t="s">
        <v>453</v>
      </c>
      <c r="E88" s="8" t="s">
        <v>452</v>
      </c>
      <c r="F88" s="8" t="s">
        <v>454</v>
      </c>
      <c r="G88" s="8" t="str">
        <f>", "&amp;'RAW (公開用)'!F437&amp;", "</f>
        <v xml:space="preserve">, トランスマスキュリン, ノンバイナリー, 不定性, ジェンダーレス, （ジェンダー・）フルイド／（ジェンダー・）フリュイド／（ジェンダー・）フルイッド, ゲイ（ジェンダーについて）, 少年, レズビアン（ジェンダーについて）, 無性, Aジェンダー／エイジェンダー／アジェンダー／agender, **必ず選んでください**, ジェンダー・ノンコンフォーミング／gender non-conforming, </v>
      </c>
      <c r="H88" s="8"/>
      <c r="I88" s="8" t="str">
        <f>", "&amp;'RAW (公開用)'!H437&amp;", "</f>
        <v xml:space="preserve">, （敬称なし）, さん, （時とともに変わる）, くん／君, （クエスチョニング、模索中、または不明）, </v>
      </c>
      <c r="J88" s="8" t="s">
        <v>2335</v>
      </c>
      <c r="K8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（時とともに変わる）, くん／君, （クエスチョニング、模索中、または不明）,  , </v>
      </c>
      <c r="L88" s="8" t="str">
        <f>", "&amp;'RAW (公開用)'!J437&amp;", "</f>
        <v xml:space="preserve">, **英語を日常的に使わない**, -san, （クエスチョニング、模索中、または不明）, </v>
      </c>
      <c r="M88" s="8" t="s">
        <v>2335</v>
      </c>
      <c r="N8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（クエスチョニング、模索中、または不明）, , </v>
      </c>
      <c r="O88" s="8" t="str">
        <f>", "&amp;'RAW (公開用)'!L437&amp;", "</f>
        <v xml:space="preserve">, 僕, おれ, （クエスチョニング、模索中、または不明）, ぼく, 自分, わたし, （自分（たち）の名前）, （時とともに変わる）, </v>
      </c>
      <c r="P88" s="8" t="s">
        <v>2335</v>
      </c>
      <c r="Q8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おれ, （クエスチョニング、模索中、または不明）, ぼく, 自分, わたし, （自分（たち）の名前）, （時とともに変わる）,  , </v>
      </c>
      <c r="R88" s="8" t="s">
        <v>2174</v>
      </c>
      <c r="S88" s="73" t="s">
        <v>2358</v>
      </c>
      <c r="T8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(名前)+氏,</v>
      </c>
      <c r="U88" s="8" t="str">
        <f>", "&amp;'RAW (公開用)'!P437&amp;", "</f>
        <v xml:space="preserve">, **英語を日常的に使わない**, he, （クエスチョニング、模索中、または不明）, they/them/their/themselves, they/them/their/themself, （時とともに変わる）, xe, </v>
      </c>
      <c r="V88" s="8" t="s">
        <v>455</v>
      </c>
      <c r="W88" s="8" t="str">
        <f>", "&amp;'RAW (公開用)'!R437&amp;", "</f>
        <v xml:space="preserve">, 社会の中でいないことにされる, 医療における無理解, LGBTQ+運動からの排斥, 家族／かぞくからの無理解, トイレなどのジェンダー化されたスペースの使用, 性暴力, カムアウトを強制される, カムアウトできない, 必要なジェンダーケアへアクセスできない, ミスジェンダリング（誤った性別として扱うこと）, デッドネーミング（誤った名前で呼ばれること）, 職場や学校における無理解, </v>
      </c>
      <c r="X88" s="8" t="s">
        <v>284</v>
      </c>
      <c r="Y8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医療における無理解, LGBTQ+運動からの排斥, 家族／かぞくからの無理解, トイレなどのジェンダー化されたスペースの使用, 性暴力, カムアウトを強制される, カムアウトできない, 必要なジェンダーケアへアクセスできない, ミスジェンダリング（誤った性別として扱うこと）, デッドネーミング（誤った名前で呼ばれること）, 職場や学校における無理解,  自己紹介の際に属性を語りづらい、語った際に腫れ物のように扱われる(コミュニケーションを避けられる)</v>
      </c>
      <c r="Z88" s="8" t="s">
        <v>455</v>
      </c>
      <c r="AA88" s="8" t="str">
        <f>", "&amp;'RAW (公開用)'!U437&amp;", "</f>
        <v xml:space="preserve">, 戸籍名の変更, 戸籍上の性別の変更, ジェンダークリニックの受診, </v>
      </c>
      <c r="AB88" s="8" t="str">
        <f>", "&amp;'RAW (公開用)'!V437&amp;", "</f>
        <v xml:space="preserve">, （上記のどれも経験していない）, </v>
      </c>
      <c r="AC88" s="8" t="s">
        <v>386</v>
      </c>
      <c r="AD88"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乳首を目立たせたくないだけなのに、パッド入りの下着か"ナベシャツ"の2択しかない。バイナリーにトランジションすることを前提とされている息苦しさがある。</v>
      </c>
      <c r="AE88" s="8" t="s">
        <v>456</v>
      </c>
      <c r="AF88" s="8" t="s">
        <v>457</v>
      </c>
      <c r="AG88" s="8" t="s">
        <v>458</v>
      </c>
      <c r="AH88" s="8"/>
      <c r="AI88" s="8">
        <f t="shared" si="3"/>
        <v>11</v>
      </c>
      <c r="AJ88" s="8"/>
      <c r="AK88" s="8"/>
      <c r="AL88" s="8"/>
      <c r="AM88" s="8"/>
      <c r="AN88" s="8"/>
    </row>
    <row r="89" spans="1:40" ht="76.5" hidden="1">
      <c r="A89" s="8">
        <v>170</v>
      </c>
      <c r="B89" s="11">
        <v>44970.832268032405</v>
      </c>
      <c r="C89" s="8" t="s">
        <v>452</v>
      </c>
      <c r="D89" s="8" t="s">
        <v>453</v>
      </c>
      <c r="E89" s="8" t="s">
        <v>452</v>
      </c>
      <c r="F89" s="8" t="s">
        <v>454</v>
      </c>
      <c r="G89" s="8" t="str">
        <f>", "&amp;'RAW (公開用)'!F171&amp;", "</f>
        <v xml:space="preserve">, X, 不定性, 中性, ノンバイナリー, </v>
      </c>
      <c r="H89" s="8"/>
      <c r="I89" s="8" t="str">
        <f>", "&amp;'RAW (公開用)'!H171&amp;", "</f>
        <v xml:space="preserve">, さん, </v>
      </c>
      <c r="J89" s="8" t="s">
        <v>2335</v>
      </c>
      <c r="K8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89" s="8" t="str">
        <f>", "&amp;'RAW (公開用)'!J171&amp;", "</f>
        <v xml:space="preserve">, **英語を日常的に使わない**, </v>
      </c>
      <c r="M89" s="8" t="s">
        <v>2335</v>
      </c>
      <c r="N8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89" s="8" t="str">
        <f>", "&amp;'RAW (公開用)'!L171&amp;", "</f>
        <v xml:space="preserve">, （自分（たち）の名前）, 私（わたし／わたくし）, 自分, （時とともに変わる）, わし, 俺, わたくし, </v>
      </c>
      <c r="P89" s="8" t="s">
        <v>2385</v>
      </c>
      <c r="Q8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私（わたし／わたくし）, 自分, （時とともに変わる）, わし, 俺, わたくし,  , 我</v>
      </c>
      <c r="R89" s="8" t="str">
        <f>", "&amp;'RAW (公開用)'!N89&amp;", "</f>
        <v xml:space="preserve">, （三人称で言及してほしくない）, </v>
      </c>
      <c r="S89" s="8" t="s">
        <v>2335</v>
      </c>
      <c r="T8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89" s="8" t="str">
        <f>", "&amp;'RAW (公開用)'!P171&amp;", "</f>
        <v xml:space="preserve">, **英語を日常的に使わない**, </v>
      </c>
      <c r="V89" s="8" t="s">
        <v>455</v>
      </c>
      <c r="W89" s="8" t="str">
        <f>", "&amp;'RAW (公開用)'!R171&amp;", "</f>
        <v xml:space="preserve">, トイレなどのジェンダー化されたスペースの使用, 職場や学校における無理解, 家族／かぞくからの無理解, ミスジェンダリング（誤った性別として扱うこと）, アウティング（勝手にジェンダーや指向についての情報を明かされること）, カムアウトできない, 医療における無理解, カムアウトを強制される, 社会の中でいないことにされる, 必要なジェンダーケアへアクセスできない, </v>
      </c>
      <c r="X89" s="8" t="s">
        <v>268</v>
      </c>
      <c r="Y8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職場や学校における無理解, 家族／かぞくからの無理解, ミスジェンダリング（誤った性別として扱うこと）, アウティング（勝手にジェンダーや指向についての情報を明かされること）, カムアウトできない, 医療における無理解, カムアウトを強制される, 社会の中でいないことにされる, 必要なジェンダーケアへアクセスできない,  正規職につけない</v>
      </c>
      <c r="Z89" s="8" t="s">
        <v>455</v>
      </c>
      <c r="AA89" s="8" t="str">
        <f>", "&amp;'RAW (公開用)'!U171&amp;", "</f>
        <v xml:space="preserve">, （上記のどれも希望していない）, </v>
      </c>
      <c r="AB89" s="8" t="str">
        <f>", "&amp;'RAW (公開用)'!V171&amp;", "</f>
        <v xml:space="preserve">, （上記のどれも経験していない）, </v>
      </c>
      <c r="AC89" s="8" t="s">
        <v>396</v>
      </c>
      <c r="AD8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ノンバイナリーの身体はイメージされにくく、現在認知されているバイナリーから反対側のバイナリーへの移行の話になり、自己像に合う身体はまだたどり着けない。(情報も手に入りにくい)</v>
      </c>
      <c r="AE89" s="8" t="s">
        <v>456</v>
      </c>
      <c r="AF89" s="8" t="s">
        <v>457</v>
      </c>
      <c r="AG89" s="8" t="s">
        <v>458</v>
      </c>
      <c r="AH89" s="8"/>
      <c r="AI89" s="8">
        <f t="shared" si="3"/>
        <v>4</v>
      </c>
      <c r="AJ89" s="8"/>
      <c r="AK89" s="8"/>
      <c r="AL89" s="8"/>
      <c r="AM89" s="8"/>
      <c r="AN89" s="8"/>
    </row>
    <row r="90" spans="1:40" ht="38.25" hidden="1">
      <c r="A90" s="8">
        <v>89</v>
      </c>
      <c r="B90" s="11">
        <v>44969.964323553242</v>
      </c>
      <c r="C90" s="8" t="s">
        <v>452</v>
      </c>
      <c r="D90" s="8" t="s">
        <v>453</v>
      </c>
      <c r="E90" s="8" t="s">
        <v>452</v>
      </c>
      <c r="F90" s="8" t="s">
        <v>454</v>
      </c>
      <c r="G90" s="8" t="str">
        <f>", "&amp;'RAW (公開用)'!F90&amp;", "</f>
        <v xml:space="preserve">, トランス*／trans*, （ジェンダー・）フルイド／（ジェンダー・）フリュイド／（ジェンダー・）フルイッド, 不明／わからない, 無し, **必ず選んでください**, </v>
      </c>
      <c r="H90" s="8"/>
      <c r="I90" s="8" t="str">
        <f>", "&amp;'RAW (公開用)'!H90&amp;", "</f>
        <v xml:space="preserve">, さん, </v>
      </c>
      <c r="J90" s="8" t="s">
        <v>2335</v>
      </c>
      <c r="K9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90" s="8" t="str">
        <f>", "&amp;'RAW (公開用)'!J90&amp;", "</f>
        <v xml:space="preserve">, Mx., -san, </v>
      </c>
      <c r="M90" s="8" t="s">
        <v>2335</v>
      </c>
      <c r="N9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-san, , </v>
      </c>
      <c r="O90" s="8" t="str">
        <f>", "&amp;'RAW (公開用)'!L90&amp;", "</f>
        <v xml:space="preserve">, ぼく, わたくし, 俺, 私（わたし／わたくし）, おれ, わたし, （一人称の使用を避ける）, </v>
      </c>
      <c r="P90" s="8" t="s">
        <v>2335</v>
      </c>
      <c r="Q9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わたくし, 俺, 私（わたし／わたくし）, おれ, わたし, （一人称の使用を避ける）,  , </v>
      </c>
      <c r="R90" s="8" t="str">
        <f>", "&amp;'RAW (公開用)'!N90&amp;", "</f>
        <v xml:space="preserve">, （any／問わない／どれでもよい）, </v>
      </c>
      <c r="S90" s="8" t="s">
        <v>2335</v>
      </c>
      <c r="T9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90" s="8" t="str">
        <f>", "&amp;'RAW (公開用)'!P90&amp;", "</f>
        <v xml:space="preserve">, he, </v>
      </c>
      <c r="V90" s="8" t="s">
        <v>455</v>
      </c>
      <c r="W90" s="8" t="str">
        <f>", "&amp;'RAW (公開用)'!R90&amp;", "</f>
        <v xml:space="preserve">, 職場や学校における無理解, 家族／かぞくからの無理解, トイレなどのジェンダー化されたスペースの使用, 必要なジェンダーケアへアクセスできない, カムアウトできない, ミスジェンダリング（誤った性別として扱うこと）, </v>
      </c>
      <c r="X90" s="8"/>
      <c r="Y9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家族／かぞくからの無理解, トイレなどのジェンダー化されたスペースの使用, 必要なジェンダーケアへアクセスできない, カムアウトできない, ミスジェンダリング（誤った性別として扱うこと）,  </v>
      </c>
      <c r="Z90" s="8" t="s">
        <v>455</v>
      </c>
      <c r="AA90" s="8" t="str">
        <f>", "&amp;'RAW (公開用)'!U90&amp;", "</f>
        <v xml:space="preserve">, （上記のどれも希望していない）, </v>
      </c>
      <c r="AB90" s="8" t="str">
        <f>", "&amp;'RAW (公開用)'!V90&amp;", "</f>
        <v xml:space="preserve">, （上記のどれも経験していない）, </v>
      </c>
      <c r="AC90" s="8"/>
      <c r="AD9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90" s="8" t="s">
        <v>462</v>
      </c>
      <c r="AF90" s="8" t="s">
        <v>457</v>
      </c>
      <c r="AG90" s="8" t="s">
        <v>458</v>
      </c>
      <c r="AH90" s="8"/>
      <c r="AI90" s="8">
        <f t="shared" si="3"/>
        <v>4</v>
      </c>
      <c r="AJ90" s="8"/>
      <c r="AK90" s="8"/>
      <c r="AL90" s="8"/>
      <c r="AM90" s="8"/>
      <c r="AN90" s="8"/>
    </row>
    <row r="91" spans="1:40" ht="51" hidden="1">
      <c r="A91" s="8">
        <v>90</v>
      </c>
      <c r="B91" s="11">
        <v>44969.972853784726</v>
      </c>
      <c r="C91" s="8" t="s">
        <v>452</v>
      </c>
      <c r="D91" s="8" t="s">
        <v>453</v>
      </c>
      <c r="E91" s="8" t="s">
        <v>452</v>
      </c>
      <c r="F91" s="8" t="s">
        <v>454</v>
      </c>
      <c r="G91" s="8" t="str">
        <f>", "&amp;'RAW (公開用)'!F91&amp;", "</f>
        <v xml:space="preserve">, ノンバイナリー, ジェンダークィア, ノンバイナリー女性, （ジェンダー・）フルイド／（ジェンダー・）フリュイド／（ジェンダー・）フルイッド, 不定性, クィア／Queer, 両性, Xジェンダー, デミガール, アンドロジャイン／androgyne, クエスチョニング, </v>
      </c>
      <c r="H91" s="8"/>
      <c r="I91" s="8" t="str">
        <f>", "&amp;'RAW (公開用)'!H91&amp;", "</f>
        <v xml:space="preserve">, さん, （クエスチョニング、模索中、または不明）, （any／問わない／どれでもよい）, </v>
      </c>
      <c r="J91" s="8" t="s">
        <v>2335</v>
      </c>
      <c r="K9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（any／問わない／どれでもよい）,  , </v>
      </c>
      <c r="L91" s="8" t="str">
        <f>", "&amp;'RAW (公開用)'!J91&amp;", "</f>
        <v xml:space="preserve">, （クエスチョニング、模索中、または不明）, **英語を日常的に使わない**, </v>
      </c>
      <c r="M91" s="8" t="s">
        <v>2335</v>
      </c>
      <c r="N9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**英語を日常的に使わない**, , </v>
      </c>
      <c r="O91" s="8" t="str">
        <f>", "&amp;'RAW (公開用)'!L91&amp;", "</f>
        <v xml:space="preserve">, （クエスチョニング、模索中、または不明）, わたし, あたし, （any／問わない／どれでもよい）, 自分, ぼく, おれ, 私（わたし／わたくし）, 僕, 俺, </v>
      </c>
      <c r="P91" s="8" t="s">
        <v>2335</v>
      </c>
      <c r="Q9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（クエスチョニング、模索中、または不明）, わたし, あたし, （any／問わない／どれでもよい）, 自分, ぼく, おれ, 私（わたし／わたくし）, 僕, 俺,  , </v>
      </c>
      <c r="R91" s="8" t="str">
        <f>", "&amp;'RAW (公開用)'!N91&amp;", "</f>
        <v xml:space="preserve">, （any／問わない／どれでもよい）, 彼人（かのと）, （自分（たち）の名前）, 彼人（かのひと）, </v>
      </c>
      <c r="S91" s="8" t="s">
        <v>2335</v>
      </c>
      <c r="T9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彼人（かのと）, （自分（たち）の名前）, 彼人（かのひと）,  , </v>
      </c>
      <c r="U91" s="8" t="str">
        <f>", "&amp;'RAW (公開用)'!P91&amp;", "</f>
        <v xml:space="preserve">, **英語を日常的に使わない**, （クエスチョニング、模索中、または不明）, they/them/their/themself, </v>
      </c>
      <c r="V91" s="8" t="s">
        <v>455</v>
      </c>
      <c r="W91" s="8" t="str">
        <f>", "&amp;'RAW (公開用)'!R91&amp;", "</f>
        <v xml:space="preserve">, カムアウトできない, トイレなどのジェンダー化されたスペースの使用, 職場や学校における無理解, ミスジェンダリング（誤った性別として扱うこと）, 社会の中でいないことにされる, </v>
      </c>
      <c r="X91" s="8"/>
      <c r="Y9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トイレなどのジェンダー化されたスペースの使用, 職場や学校における無理解, ミスジェンダリング（誤った性別として扱うこと）, 社会の中でいないことにされる,  </v>
      </c>
      <c r="Z91" s="8" t="s">
        <v>455</v>
      </c>
      <c r="AA91" s="8" t="str">
        <f>", "&amp;'RAW (公開用)'!U91&amp;", "</f>
        <v xml:space="preserve">, （上記のどれも希望していない）, </v>
      </c>
      <c r="AB91" s="8" t="str">
        <f>", "&amp;'RAW (公開用)'!V91&amp;", "</f>
        <v xml:space="preserve">, （上記のどれも経験していない）, </v>
      </c>
      <c r="AC91" s="8"/>
      <c r="AD9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91" s="8" t="s">
        <v>464</v>
      </c>
      <c r="AF91" s="8" t="s">
        <v>457</v>
      </c>
      <c r="AG91" s="8" t="s">
        <v>458</v>
      </c>
      <c r="AH91" s="8"/>
      <c r="AI91" s="8">
        <f t="shared" si="3"/>
        <v>11</v>
      </c>
      <c r="AJ91" s="8"/>
      <c r="AK91" s="8"/>
      <c r="AL91" s="8"/>
      <c r="AM91" s="8"/>
      <c r="AN91" s="8"/>
    </row>
    <row r="92" spans="1:40" ht="127.5" hidden="1">
      <c r="A92" s="8">
        <v>28</v>
      </c>
      <c r="B92" s="11">
        <v>44969.821930150458</v>
      </c>
      <c r="C92" s="8" t="s">
        <v>452</v>
      </c>
      <c r="D92" s="8" t="s">
        <v>453</v>
      </c>
      <c r="E92" s="8" t="s">
        <v>452</v>
      </c>
      <c r="F92" s="8" t="s">
        <v>454</v>
      </c>
      <c r="G92" s="8" t="str">
        <f>", "&amp;'RAW (公開用)'!F29&amp;", "</f>
        <v xml:space="preserve">, 無し, enby／エンビー, ノンバイナリー, トランスジェンダー, トランス, ゼノジェンダー／xenogender, 少女, </v>
      </c>
      <c r="H92" s="8"/>
      <c r="I92" s="8" t="str">
        <f>", "&amp;'RAW (公開用)'!H29&amp;", "</f>
        <v xml:space="preserve">, くん／君, （敬称なし）, （時とともに変わる）, （any／問わない／どれでもよい）, さん, ちゃん, </v>
      </c>
      <c r="J92" s="8" t="s">
        <v>2335</v>
      </c>
      <c r="K9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（敬称なし）, （時とともに変わる）, （any／問わない／どれでもよい）, さん, ちゃん,  , </v>
      </c>
      <c r="L92" s="8" t="str">
        <f>", "&amp;'RAW (公開用)'!J29&amp;", "</f>
        <v xml:space="preserve">, （敬称なし）, （any／問わない／どれでもよい）, </v>
      </c>
      <c r="M92" s="8" t="s">
        <v>2335</v>
      </c>
      <c r="N9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（any／問わない／どれでもよい）, , </v>
      </c>
      <c r="O92" s="8" t="str">
        <f>", "&amp;'RAW (公開用)'!L29&amp;", "</f>
        <v xml:space="preserve">, （自分（たち）の名前）, ぼく, 俺, わたし, 私（わたし／わたくし）, おれ, 僕, 自分, </v>
      </c>
      <c r="P92" s="18" t="s">
        <v>2386</v>
      </c>
      <c r="Q9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ぼく, 俺, わたし, 私（わたし／わたくし）, おれ, 僕, 自分,  , 俺ちゃん, ぼくちゃん, わたくしさま,</v>
      </c>
      <c r="R92" s="8" t="str">
        <f>", "&amp;'RAW (公開用)'!N92&amp;", "</f>
        <v xml:space="preserve">, （自分（たち）の名前）, 彼女, </v>
      </c>
      <c r="S92" s="8" t="s">
        <v>2335</v>
      </c>
      <c r="T9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92" s="8" t="str">
        <f>", "&amp;'RAW (公開用)'!P29&amp;", "</f>
        <v xml:space="preserve">, they/them/their/themself, **英語を日常的に使わない**, </v>
      </c>
      <c r="V92" s="8" t="s">
        <v>455</v>
      </c>
      <c r="W92" s="8" t="str">
        <f>", "&amp;'RAW (公開用)'!R29&amp;", "</f>
        <v xml:space="preserve">, トイレなどのジェンダー化されたスペースの使用, ミスジェンダリング（誤った性別として扱うこと）, LGBTQ+運動からの排斥, 家族／かぞくからの無理解, 必要なジェンダーケアへアクセスできない, 社会の中でいないことにされる, 医療における無理解, </v>
      </c>
      <c r="X92" s="8" t="s">
        <v>193</v>
      </c>
      <c r="Y9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ミスジェンダリング（誤った性別として扱うこと）, LGBTQ+運動からの排斥, 家族／かぞくからの無理解, 必要なジェンダーケアへアクセスできない, 社会の中でいないことにされる, 医療における無理解,  ・ノンバイナリーであると親に何度も親に伝えても、親は外で私を指すとき「娘」と呼び指す
・[REDACTED]の運営で何度も自分はトランスのノンバイナリーであると伝えても、「女性のための」「シスターフッド」「女性差別への抵抗」と運動の中でノンバイナリーだけでなくあらゆるクィアを透明化される
・自身の障害についての相談窓口に相談してもバイナリー規範での話となり何も救いにならない</v>
      </c>
      <c r="Z92" s="8" t="s">
        <v>455</v>
      </c>
      <c r="AA92" s="8" t="str">
        <f>", "&amp;'RAW (公開用)'!U29&amp;", "</f>
        <v xml:space="preserve">, ホルモン補充療法（HRT）, 声帯にかかわる手術, 胸部の手術, </v>
      </c>
      <c r="AB92" s="8" t="str">
        <f>", "&amp;'RAW (公開用)'!V29&amp;", "</f>
        <v xml:space="preserve">, ホルモン補充療法（HRT）, </v>
      </c>
      <c r="AC92" s="8" t="s">
        <v>376</v>
      </c>
      <c r="AD92" s="8" t="str">
        <f>テーブル1[[#This Row],[以下のうち、経験したものをすべて選んでください]]&amp;" "&amp;テーブル1[[#This Row],[社会的、法的、医学的トランジションについて、困難なこと等がありましたらここにお書きください]]</f>
        <v>, ホルモン補充療法（HRT）,  医者からのノンバイナリーへの不理解</v>
      </c>
      <c r="AE92" s="8" t="s">
        <v>456</v>
      </c>
      <c r="AF92" s="8" t="s">
        <v>457</v>
      </c>
      <c r="AG92" s="8" t="s">
        <v>458</v>
      </c>
      <c r="AH92" s="8"/>
      <c r="AI92" s="8">
        <f>((LEN(G92)-LEN(SUBSTITUTE(G92,", ","")))/LEN(", ")-1-(LEN(G92)-LEN(SUBSTITUTE(G92,"必ず","")))/LEN("必ず"))+(LEN(H92)-LEN(SUBSTITUTE(H92,",","")))</f>
        <v>7</v>
      </c>
      <c r="AJ92" s="8"/>
      <c r="AK92" s="8"/>
      <c r="AL92" s="8"/>
      <c r="AM92" s="8"/>
      <c r="AN92" s="8"/>
    </row>
    <row r="93" spans="1:40" ht="89.25" hidden="1">
      <c r="A93" s="8">
        <v>92</v>
      </c>
      <c r="B93" s="11">
        <v>44969.975878715282</v>
      </c>
      <c r="C93" s="8" t="s">
        <v>452</v>
      </c>
      <c r="D93" s="8" t="s">
        <v>453</v>
      </c>
      <c r="E93" s="8" t="s">
        <v>452</v>
      </c>
      <c r="F93" s="8" t="s">
        <v>454</v>
      </c>
      <c r="G93" s="8" t="str">
        <f>", "&amp;'RAW (公開用)'!F93&amp;", "</f>
        <v xml:space="preserve">, 両性, **必ず選んでください**, 無し, トランスセクシュアル／transsexual, 中性, ノンバイナリー, Xジェンダー, トランスジェンダー, ジェンダーレス, X, </v>
      </c>
      <c r="H93" s="8"/>
      <c r="I93" s="8" t="str">
        <f>", "&amp;'RAW (公開用)'!H93&amp;", "</f>
        <v xml:space="preserve">, ちゃん, （敬称なし）, さん, </v>
      </c>
      <c r="J93" s="8" t="s">
        <v>2335</v>
      </c>
      <c r="K9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（敬称なし）, さん,  , </v>
      </c>
      <c r="L93" s="8" t="str">
        <f>", "&amp;'RAW (公開用)'!J93&amp;", "</f>
        <v xml:space="preserve">, Mrs., （敬称なし）, Dr.など、職業などにかかわるもの, （時とともに変わる）, </v>
      </c>
      <c r="M93" s="8" t="s">
        <v>2335</v>
      </c>
      <c r="N9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Mrs., （敬称なし）, Dr.など、職業などにかかわるもの, （時とともに変わる）, , </v>
      </c>
      <c r="O93" s="8" t="str">
        <f>", "&amp;'RAW (公開用)'!L93&amp;", "</f>
        <v xml:space="preserve">, 私（わたし／わたくし）, うち, あたし, わたし, 自分, </v>
      </c>
      <c r="P93" s="8" t="s">
        <v>2335</v>
      </c>
      <c r="Q9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うち, あたし, わたし, 自分,  , </v>
      </c>
      <c r="R93" s="8" t="str">
        <f>", "&amp;'RAW (公開用)'!N93&amp;", "</f>
        <v xml:space="preserve">, （自分（たち）の名前）, （三人称で言及してほしくない）, </v>
      </c>
      <c r="S93" s="8" t="s">
        <v>2335</v>
      </c>
      <c r="T9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93" s="8" t="str">
        <f>", "&amp;'RAW (公開用)'!P93&amp;", "</f>
        <v xml:space="preserve">, they/them/their/themselves, they/them/their/themself, </v>
      </c>
      <c r="V93" s="8" t="s">
        <v>455</v>
      </c>
      <c r="W93" s="8" t="str">
        <f>", "&amp;'RAW (公開用)'!R93&amp;", "</f>
        <v xml:space="preserve">, ミスジェンダリング（誤った性別として扱うこと）, トイレなどのジェンダー化されたスペースの使用, 必要なジェンダーケアへアクセスできない, 家族／かぞくからの無理解, デッドネーミング（誤った名前で呼ばれること）, カムアウトできない, 職場や学校における無理解, 社会の中でいないことにされる, 性暴力, 医療における無理解, LGBTQ+運動からの排斥, </v>
      </c>
      <c r="X93" s="8" t="s">
        <v>251</v>
      </c>
      <c r="Y9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トイレなどのジェンダー化されたスペースの使用, 必要なジェンダーケアへアクセスできない, 家族／かぞくからの無理解, デッドネーミング（誤った名前で呼ばれること）, カムアウトできない, 職場や学校における無理解, 社会の中でいないことにされる, 性暴力, 医療における無理解, LGBTQ+運動からの排斥,  孤独。マジョリティはおろか、セクシャルマイノリティの人たちからも理解されないことが多い。居場所がない。存在しないことにされていると感じる。</v>
      </c>
      <c r="Z93" s="8" t="s">
        <v>455</v>
      </c>
      <c r="AA93" s="8" t="str">
        <f>", "&amp;'RAW (公開用)'!U93&amp;", "</f>
        <v xml:space="preserve">, ジェンダークリニックの受診, </v>
      </c>
      <c r="AB93" s="8" t="str">
        <f>", "&amp;'RAW (公開用)'!V93&amp;", "</f>
        <v xml:space="preserve">, （上記のどれも経験していない）, </v>
      </c>
      <c r="AC93" s="8"/>
      <c r="AD9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93" s="8" t="s">
        <v>474</v>
      </c>
      <c r="AF93" s="8" t="s">
        <v>457</v>
      </c>
      <c r="AG93" s="8" t="s">
        <v>458</v>
      </c>
      <c r="AH93" s="8"/>
      <c r="AI93" s="8">
        <f t="shared" ref="AI93:AI120" si="4">(LEN(G93)-LEN(SUBSTITUTE(G93,", ","")))/LEN(", ")-1-(LEN(G93)-LEN(SUBSTITUTE(G93,"必ず","")))/LEN("必ず")</f>
        <v>9</v>
      </c>
      <c r="AJ93" s="8"/>
      <c r="AK93" s="8"/>
      <c r="AL93" s="8"/>
      <c r="AM93" s="8"/>
      <c r="AN93" s="8"/>
    </row>
    <row r="94" spans="1:40" ht="63.75" hidden="1">
      <c r="A94" s="8">
        <v>93</v>
      </c>
      <c r="B94" s="11">
        <v>44969.978011921296</v>
      </c>
      <c r="C94" s="8" t="s">
        <v>452</v>
      </c>
      <c r="D94" s="8" t="s">
        <v>453</v>
      </c>
      <c r="E94" s="8" t="s">
        <v>452</v>
      </c>
      <c r="F94" s="8" t="s">
        <v>454</v>
      </c>
      <c r="G94" s="8" t="str">
        <f>", "&amp;'RAW (公開用)'!F94&amp;", "</f>
        <v xml:space="preserve">, enby／エンビー, トランス, クィア／Queer, 無性, ノンバイナリー, ジェンダークィア, Aジェンダー／エイジェンダー／アジェンダー／agender, </v>
      </c>
      <c r="H94" s="8"/>
      <c r="I94" s="8" t="str">
        <f>", "&amp;'RAW (公開用)'!H94&amp;", "</f>
        <v xml:space="preserve">, さん, </v>
      </c>
      <c r="J94" s="8" t="s">
        <v>2335</v>
      </c>
      <c r="K9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94" s="8" t="str">
        <f>", "&amp;'RAW (公開用)'!J94&amp;", "</f>
        <v xml:space="preserve">, **英語を日常的に使わない**, </v>
      </c>
      <c r="M94" s="8" t="s">
        <v>2335</v>
      </c>
      <c r="N9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94" s="8" t="str">
        <f>", "&amp;'RAW (公開用)'!L94&amp;", "</f>
        <v xml:space="preserve">, 俺, 私（わたし／わたくし）, （一人称の使用を避ける）, </v>
      </c>
      <c r="P94" s="8" t="s">
        <v>2335</v>
      </c>
      <c r="Q9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（一人称の使用を避ける）,  , </v>
      </c>
      <c r="R94" s="8" t="str">
        <f>", "&amp;'RAW (公開用)'!N94&amp;", "</f>
        <v xml:space="preserve">, かれ, </v>
      </c>
      <c r="S94" s="8" t="s">
        <v>2335</v>
      </c>
      <c r="T9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 </v>
      </c>
      <c r="U94" s="8" t="str">
        <f>", "&amp;'RAW (公開用)'!P94&amp;", "</f>
        <v xml:space="preserve">, **英語を日常的に使わない**, </v>
      </c>
      <c r="V94" s="8" t="s">
        <v>455</v>
      </c>
      <c r="W94" s="8" t="str">
        <f>", "&amp;'RAW (公開用)'!R94&amp;", "</f>
        <v xml:space="preserve">, デッドネーミング（誤った名前で呼ばれること）, カムアウトできない, 必要なジェンダーケアへアクセスできない, ミスジェンダリング（誤った性別として扱うこと）, 職場や学校における無理解, 医療における無理解, 家族／かぞくからの無理解, トイレなどのジェンダー化されたスペースの使用, 社会の中でいないことにされる, 性暴力, </v>
      </c>
      <c r="X94" s="8"/>
      <c r="Y9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カムアウトできない, 必要なジェンダーケアへアクセスできない, ミスジェンダリング（誤った性別として扱うこと）, 職場や学校における無理解, 医療における無理解, 家族／かぞくからの無理解, トイレなどのジェンダー化されたスペースの使用, 社会の中でいないことにされる, 性暴力,  </v>
      </c>
      <c r="Z94" s="8" t="s">
        <v>455</v>
      </c>
      <c r="AA94" s="8" t="str">
        <f>", "&amp;'RAW (公開用)'!U94&amp;", "</f>
        <v xml:space="preserve">, 戸籍名の変更, ジェンダークリニックの受診, ホルモン補充療法（HRT）, 胸部の手術, 性器にかかわる手術, </v>
      </c>
      <c r="AB94" s="8" t="str">
        <f>", "&amp;'RAW (公開用)'!V94&amp;", "</f>
        <v xml:space="preserve">, 戸籍名の変更, ジェンダークリニックの受診, ホルモン補充療法（HRT）, </v>
      </c>
      <c r="AC94" s="8" t="s">
        <v>390</v>
      </c>
      <c r="AD94"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ホルモン治療のできる病院が少ない。料金が高い。通院のために仕事の休みをとるのが困難。</v>
      </c>
      <c r="AE94" s="8" t="s">
        <v>479</v>
      </c>
      <c r="AF94" s="8" t="s">
        <v>457</v>
      </c>
      <c r="AG94" s="8" t="s">
        <v>458</v>
      </c>
      <c r="AH94" s="8"/>
      <c r="AI94" s="8">
        <f t="shared" si="4"/>
        <v>7</v>
      </c>
      <c r="AJ94" s="8"/>
      <c r="AK94" s="8"/>
      <c r="AL94" s="8"/>
      <c r="AM94" s="8"/>
      <c r="AN94" s="8"/>
    </row>
    <row r="95" spans="1:40" ht="25.5" hidden="1">
      <c r="A95" s="8">
        <v>94</v>
      </c>
      <c r="B95" s="11">
        <v>44969.982010162035</v>
      </c>
      <c r="C95" s="8" t="s">
        <v>452</v>
      </c>
      <c r="D95" s="8" t="s">
        <v>453</v>
      </c>
      <c r="E95" s="8" t="s">
        <v>452</v>
      </c>
      <c r="F95" s="8" t="s">
        <v>454</v>
      </c>
      <c r="G95" s="8" t="str">
        <f>", "&amp;'RAW (公開用)'!F95&amp;", "</f>
        <v xml:space="preserve">, 無性, Aジェンダー／エイジェンダー／アジェンダー／agender, X, ノンバイナリー, 無し, </v>
      </c>
      <c r="H95" s="8"/>
      <c r="I95" s="8" t="str">
        <f>", "&amp;'RAW (公開用)'!H95&amp;", "</f>
        <v xml:space="preserve">, さん, </v>
      </c>
      <c r="J95" s="8" t="s">
        <v>2335</v>
      </c>
      <c r="K9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95" s="8" t="str">
        <f>", "&amp;'RAW (公開用)'!J95&amp;", "</f>
        <v xml:space="preserve">, **英語を日常的に使わない**, </v>
      </c>
      <c r="M95" s="8" t="s">
        <v>2335</v>
      </c>
      <c r="N9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95" s="8" t="str">
        <f>", "&amp;'RAW (公開用)'!L95&amp;", "</f>
        <v xml:space="preserve">, 私（わたし／わたくし）, </v>
      </c>
      <c r="P95" s="8" t="s">
        <v>2335</v>
      </c>
      <c r="Q9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95" s="8" t="str">
        <f>", "&amp;'RAW (公開用)'!N95&amp;", "</f>
        <v xml:space="preserve">, （自分（たち）の名前）, </v>
      </c>
      <c r="S95" s="8" t="s">
        <v>2335</v>
      </c>
      <c r="T9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95" s="8" t="str">
        <f>", "&amp;'RAW (公開用)'!P95&amp;", "</f>
        <v xml:space="preserve">, **英語を日常的に使わない**, </v>
      </c>
      <c r="V95" s="8" t="s">
        <v>455</v>
      </c>
      <c r="W95" s="8" t="str">
        <f>", "&amp;'RAW (公開用)'!R95&amp;", "</f>
        <v xml:space="preserve">, ミスジェンダリング（誤った性別として扱うこと）, 社会の中でいないことにされる, 職場や学校における無理解, </v>
      </c>
      <c r="X95" s="8"/>
      <c r="Y9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職場や学校における無理解,  </v>
      </c>
      <c r="Z95" s="8" t="s">
        <v>455</v>
      </c>
      <c r="AA95" s="8" t="str">
        <f>", "&amp;'RAW (公開用)'!U95&amp;", "</f>
        <v xml:space="preserve">, 胸部の手術, 性器にかかわる手術, </v>
      </c>
      <c r="AB95" s="8" t="str">
        <f>", "&amp;'RAW (公開用)'!V95&amp;", "</f>
        <v xml:space="preserve">, （上記のどれも経験していない）, </v>
      </c>
      <c r="AC95" s="8"/>
      <c r="AD9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95" s="8" t="s">
        <v>456</v>
      </c>
      <c r="AF95" s="8" t="s">
        <v>457</v>
      </c>
      <c r="AG95" s="8" t="s">
        <v>458</v>
      </c>
      <c r="AH95" s="8"/>
      <c r="AI95" s="8">
        <f t="shared" si="4"/>
        <v>5</v>
      </c>
      <c r="AJ95" s="8"/>
      <c r="AK95" s="8"/>
      <c r="AL95" s="8"/>
      <c r="AM95" s="8"/>
      <c r="AN95" s="8"/>
    </row>
    <row r="96" spans="1:40" ht="25.5" hidden="1">
      <c r="A96" s="8">
        <v>95</v>
      </c>
      <c r="B96" s="11">
        <v>44969.985656527773</v>
      </c>
      <c r="C96" s="8" t="s">
        <v>452</v>
      </c>
      <c r="D96" s="8" t="s">
        <v>453</v>
      </c>
      <c r="E96" s="8" t="s">
        <v>452</v>
      </c>
      <c r="F96" s="8" t="s">
        <v>454</v>
      </c>
      <c r="G96" s="8" t="str">
        <f>", "&amp;'RAW (公開用)'!F96&amp;", "</f>
        <v xml:space="preserve">, 男性／man, 青年, </v>
      </c>
      <c r="H96" s="8"/>
      <c r="I96" s="8" t="str">
        <f>", "&amp;'RAW (公開用)'!H96&amp;", "</f>
        <v xml:space="preserve">, くん／君, さん, </v>
      </c>
      <c r="J96" s="8" t="s">
        <v>2335</v>
      </c>
      <c r="K9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96" s="8" t="str">
        <f>", "&amp;'RAW (公開用)'!J96&amp;", "</f>
        <v xml:space="preserve">, **英語を日常的に使わない**, </v>
      </c>
      <c r="M96" s="8" t="s">
        <v>2335</v>
      </c>
      <c r="N9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96" s="8" t="str">
        <f>", "&amp;'RAW (公開用)'!L96&amp;", "</f>
        <v xml:space="preserve">, 俺, 僕, わたし, </v>
      </c>
      <c r="P96" s="8" t="s">
        <v>2335</v>
      </c>
      <c r="Q9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僕, わたし,  , </v>
      </c>
      <c r="R96" s="8" t="str">
        <f>", "&amp;'RAW (公開用)'!N96&amp;", "</f>
        <v xml:space="preserve">, （自分（たち）の名前）, 彼人（かのひと）, 彼人（かのと）, 彼女, </v>
      </c>
      <c r="S96" s="8" t="s">
        <v>2335</v>
      </c>
      <c r="T9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彼人（かのひと）, 彼人（かのと）, 彼女,  , </v>
      </c>
      <c r="U96" s="8" t="str">
        <f>", "&amp;'RAW (公開用)'!P96&amp;", "</f>
        <v xml:space="preserve">, **英語を日常的に使わない**, </v>
      </c>
      <c r="V96" s="8" t="s">
        <v>455</v>
      </c>
      <c r="W96" s="8" t="str">
        <f>", "&amp;'RAW (公開用)'!R96&amp;", "</f>
        <v xml:space="preserve">, 性暴力, </v>
      </c>
      <c r="X96" s="8" t="s">
        <v>290</v>
      </c>
      <c r="Y9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訪問介護中に女性の障害者の利用者さんからのセクハラ。入浴介助中にパンツを脱がされた。</v>
      </c>
      <c r="Z96" s="8" t="s">
        <v>455</v>
      </c>
      <c r="AA96" s="8" t="str">
        <f>", "&amp;'RAW (公開用)'!U96&amp;", "</f>
        <v xml:space="preserve">, （上記のどれも希望していない）, </v>
      </c>
      <c r="AB96" s="8" t="str">
        <f>", "&amp;'RAW (公開用)'!V96&amp;", "</f>
        <v xml:space="preserve">, （上記のどれも経験していない）, </v>
      </c>
      <c r="AC96" s="8"/>
      <c r="AD9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96" s="8" t="s">
        <v>456</v>
      </c>
      <c r="AF96" s="8" t="s">
        <v>457</v>
      </c>
      <c r="AG96" s="8" t="s">
        <v>458</v>
      </c>
      <c r="AH96" s="8"/>
      <c r="AI96" s="8">
        <f t="shared" si="4"/>
        <v>2</v>
      </c>
      <c r="AJ96" s="8"/>
      <c r="AK96" s="8"/>
      <c r="AL96" s="8"/>
      <c r="AM96" s="8"/>
      <c r="AN96" s="8"/>
    </row>
    <row r="97" spans="1:40" ht="63.75" hidden="1">
      <c r="A97" s="8">
        <v>96</v>
      </c>
      <c r="B97" s="11">
        <v>44969.98691634259</v>
      </c>
      <c r="C97" s="8" t="s">
        <v>452</v>
      </c>
      <c r="D97" s="8" t="s">
        <v>453</v>
      </c>
      <c r="E97" s="8" t="s">
        <v>452</v>
      </c>
      <c r="F97" s="8" t="s">
        <v>454</v>
      </c>
      <c r="G97" s="8" t="str">
        <f>", "&amp;'RAW (公開用)'!F97&amp;", "</f>
        <v xml:space="preserve">, トランス女性, トランスセクシュアル／transsexual, **必ず選んでください**, トランス*／trans*, ジェンダーレス, </v>
      </c>
      <c r="H97" s="8"/>
      <c r="I97" s="8" t="str">
        <f>", "&amp;'RAW (公開用)'!H97&amp;", "</f>
        <v xml:space="preserve">, さん, </v>
      </c>
      <c r="J97" s="8" t="s">
        <v>2335</v>
      </c>
      <c r="K9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97" s="8" t="str">
        <f>", "&amp;'RAW (公開用)'!J97&amp;", "</f>
        <v xml:space="preserve">, Ms., -san, </v>
      </c>
      <c r="M97" s="8" t="s">
        <v>2335</v>
      </c>
      <c r="N9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-san, , </v>
      </c>
      <c r="O97" s="8" t="str">
        <f>", "&amp;'RAW (公開用)'!L97&amp;", "</f>
        <v xml:space="preserve">, わたし, </v>
      </c>
      <c r="P97" s="8" t="s">
        <v>2335</v>
      </c>
      <c r="Q9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97" s="8" t="str">
        <f>", "&amp;'RAW (公開用)'!N97&amp;", "</f>
        <v xml:space="preserve">, （三人称で言及してほしくない）, 彼女, </v>
      </c>
      <c r="S97" s="8" t="s">
        <v>2335</v>
      </c>
      <c r="T9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彼女,  , </v>
      </c>
      <c r="U97" s="8" t="str">
        <f>", "&amp;'RAW (公開用)'!P97&amp;", "</f>
        <v xml:space="preserve">, they/them/their/themself, she, </v>
      </c>
      <c r="V97" s="8" t="s">
        <v>455</v>
      </c>
      <c r="W97" s="8" t="str">
        <f>", "&amp;'RAW (公開用)'!R97&amp;", "</f>
        <v xml:space="preserve">, ミスジェンダリング（誤った性別として扱うこと）, 性暴力, 家族／かぞくからの無理解, 必要なジェンダーケアへアクセスできない, 社会の中でいないことにされる, カムアウトできない, アウティング（勝手にジェンダーや指向についての情報を明かされること）, デッドネーミング（誤った名前で呼ばれること）, トイレなどのジェンダー化されたスペースの使用, カムアウトを強制される, </v>
      </c>
      <c r="X97" s="8"/>
      <c r="Y9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性暴力, 家族／かぞくからの無理解, 必要なジェンダーケアへアクセスできない, 社会の中でいないことにされる, カムアウトできない, アウティング（勝手にジェンダーや指向についての情報を明かされること）, デッドネーミング（誤った名前で呼ばれること）, トイレなどのジェンダー化されたスペースの使用, カムアウトを強制される,  </v>
      </c>
      <c r="Z97" s="8" t="s">
        <v>455</v>
      </c>
      <c r="AA97" s="8" t="str">
        <f>", "&amp;'RAW (公開用)'!U97&amp;", "</f>
        <v xml:space="preserve">, 戸籍名の変更, 戸籍上の性別の変更, ジェンダークリニックの受診, 抗ホルモン療法, ホルモン補充療法（HRT）, 声帯にかかわる手術, 性器にかかわる手術, </v>
      </c>
      <c r="AB97" s="8" t="str">
        <f>", "&amp;'RAW (公開用)'!V97&amp;", "</f>
        <v xml:space="preserve">, 戸籍名の変更, ジェンダークリニックの受診, 抗ホルモン療法, ホルモン補充療法（HRT）, </v>
      </c>
      <c r="AC97" s="8"/>
      <c r="AD97"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ジェンダークリニックの受診, 抗ホルモン療法, ホルモン補充療法（HRT）,  </v>
      </c>
      <c r="AE97" s="8" t="s">
        <v>475</v>
      </c>
      <c r="AF97" s="8" t="s">
        <v>457</v>
      </c>
      <c r="AG97" s="8" t="s">
        <v>458</v>
      </c>
      <c r="AH97" s="8"/>
      <c r="AI97" s="8">
        <f t="shared" si="4"/>
        <v>4</v>
      </c>
      <c r="AJ97" s="8"/>
      <c r="AK97" s="8"/>
      <c r="AL97" s="8"/>
      <c r="AM97" s="8"/>
      <c r="AN97" s="8"/>
    </row>
    <row r="98" spans="1:40" ht="25.5" hidden="1">
      <c r="A98" s="8">
        <v>97</v>
      </c>
      <c r="B98" s="11">
        <v>44969.99978568287</v>
      </c>
      <c r="C98" s="8" t="s">
        <v>452</v>
      </c>
      <c r="D98" s="8" t="s">
        <v>453</v>
      </c>
      <c r="E98" s="8" t="s">
        <v>452</v>
      </c>
      <c r="F98" s="8" t="s">
        <v>454</v>
      </c>
      <c r="G98" s="8" t="str">
        <f>", "&amp;'RAW (公開用)'!F98&amp;", "</f>
        <v xml:space="preserve">, ノンバイナリー男性, **必ず選んでください**, 男性／man, （ジェンダー・）フルイド／（ジェンダー・）フリュイド／（ジェンダー・）フルイッド, </v>
      </c>
      <c r="H98" s="8"/>
      <c r="I98" s="8" t="str">
        <f>", "&amp;'RAW (公開用)'!H98&amp;", "</f>
        <v xml:space="preserve">, ちゃん, さん, </v>
      </c>
      <c r="J98" s="8" t="s">
        <v>2335</v>
      </c>
      <c r="K9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98" s="8" t="str">
        <f>", "&amp;'RAW (公開用)'!J98&amp;", "</f>
        <v xml:space="preserve">, **英語を日常的に使わない**, </v>
      </c>
      <c r="M98" s="8" t="s">
        <v>2335</v>
      </c>
      <c r="N9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98" s="8" t="str">
        <f>", "&amp;'RAW (公開用)'!L98&amp;", "</f>
        <v xml:space="preserve">, 僕, 俺, ぼく, わたし, </v>
      </c>
      <c r="P98" s="8" t="s">
        <v>2335</v>
      </c>
      <c r="Q9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俺, ぼく, わたし,  , </v>
      </c>
      <c r="R98" s="8" t="str">
        <f>", "&amp;'RAW (公開用)'!N98&amp;", "</f>
        <v xml:space="preserve">, （any／問わない／どれでもよい）, （自分（たち）の名前）, </v>
      </c>
      <c r="S98" s="8" t="s">
        <v>2335</v>
      </c>
      <c r="T9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（自分（たち）の名前）,  , </v>
      </c>
      <c r="U98" s="8" t="str">
        <f>", "&amp;'RAW (公開用)'!P98&amp;", "</f>
        <v xml:space="preserve">, **英語を日常的に使わない**, </v>
      </c>
      <c r="V98" s="8" t="s">
        <v>455</v>
      </c>
      <c r="W98" s="8" t="str">
        <f>", "&amp;'RAW (公開用)'!R98&amp;", "</f>
        <v xml:space="preserve">, カムアウトできない, 職場や学校における無理解, 必要なジェンダーケアへアクセスできない, LGBTQ+運動からの排斥, </v>
      </c>
      <c r="X98" s="8"/>
      <c r="Y9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職場や学校における無理解, 必要なジェンダーケアへアクセスできない, LGBTQ+運動からの排斥,  </v>
      </c>
      <c r="Z98" s="8" t="s">
        <v>455</v>
      </c>
      <c r="AA98" s="8" t="str">
        <f>", "&amp;'RAW (公開用)'!U98&amp;", "</f>
        <v xml:space="preserve">, （上記のどれも希望していない）, </v>
      </c>
      <c r="AB98" s="8" t="str">
        <f>", "&amp;'RAW (公開用)'!V98&amp;", "</f>
        <v xml:space="preserve">, （上記のどれも経験していない）, </v>
      </c>
      <c r="AC98" s="8"/>
      <c r="AD9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98" s="8" t="s">
        <v>474</v>
      </c>
      <c r="AF98" s="8" t="s">
        <v>457</v>
      </c>
      <c r="AG98" s="8" t="s">
        <v>458</v>
      </c>
      <c r="AH98" s="8"/>
      <c r="AI98" s="8">
        <f t="shared" si="4"/>
        <v>3</v>
      </c>
      <c r="AJ98" s="8"/>
      <c r="AK98" s="8"/>
      <c r="AL98" s="8"/>
      <c r="AM98" s="8"/>
      <c r="AN98" s="8"/>
    </row>
    <row r="99" spans="1:40" ht="25.5" hidden="1">
      <c r="A99" s="8">
        <v>98</v>
      </c>
      <c r="B99" s="11">
        <v>44970.002397847224</v>
      </c>
      <c r="C99" s="8" t="s">
        <v>452</v>
      </c>
      <c r="D99" s="8" t="s">
        <v>453</v>
      </c>
      <c r="E99" s="8" t="s">
        <v>452</v>
      </c>
      <c r="F99" s="8" t="s">
        <v>454</v>
      </c>
      <c r="G99" s="8" t="str">
        <f>", "&amp;'RAW (公開用)'!F99&amp;", "</f>
        <v xml:space="preserve">, アンドロジャイン／androgyne, 不明／わからない, **必ず選んでください**, </v>
      </c>
      <c r="H99" s="8" t="s">
        <v>512</v>
      </c>
      <c r="I99" s="8" t="str">
        <f>", "&amp;'RAW (公開用)'!H99&amp;", "</f>
        <v xml:space="preserve">, さん, </v>
      </c>
      <c r="J99" s="8" t="s">
        <v>2335</v>
      </c>
      <c r="K9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99" s="8" t="str">
        <f>", "&amp;'RAW (公開用)'!J99&amp;", "</f>
        <v xml:space="preserve">, Mx., **英語を日常的に使わない**, </v>
      </c>
      <c r="M99" s="8" t="s">
        <v>2335</v>
      </c>
      <c r="N9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**英語を日常的に使わない**, , </v>
      </c>
      <c r="O99" s="8" t="str">
        <f>", "&amp;'RAW (公開用)'!L99&amp;", "</f>
        <v xml:space="preserve">, 自分, わたし, うち, 私（わたし／わたくし）, </v>
      </c>
      <c r="P99" s="8" t="s">
        <v>2335</v>
      </c>
      <c r="Q9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うち, 私（わたし／わたくし）,  , </v>
      </c>
      <c r="R99" s="8" t="str">
        <f>", "&amp;'RAW (公開用)'!N99&amp;", "</f>
        <v xml:space="preserve">, （三人称で言及してほしくない）, </v>
      </c>
      <c r="S99" s="8" t="s">
        <v>2335</v>
      </c>
      <c r="T9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99" s="8" t="str">
        <f>", "&amp;'RAW (公開用)'!P99&amp;", "</f>
        <v xml:space="preserve">, **英語を日常的に使わない**, xe, </v>
      </c>
      <c r="V99" s="8" t="s">
        <v>455</v>
      </c>
      <c r="W99" s="8" t="str">
        <f>", "&amp;'RAW (公開用)'!R99&amp;", "</f>
        <v xml:space="preserve">, 家族／かぞくからの無理解, 社会の中でいないことにされる, カムアウトできない, ミスジェンダリング（誤った性別として扱うこと）, </v>
      </c>
      <c r="X99" s="8"/>
      <c r="Y9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社会の中でいないことにされる, カムアウトできない, ミスジェンダリング（誤った性別として扱うこと）,  </v>
      </c>
      <c r="Z99" s="8" t="s">
        <v>455</v>
      </c>
      <c r="AA99" s="8" t="str">
        <f>", "&amp;'RAW (公開用)'!U99&amp;", "</f>
        <v xml:space="preserve">, 胸部の手術, </v>
      </c>
      <c r="AB99" s="8" t="str">
        <f>", "&amp;'RAW (公開用)'!V99&amp;", "</f>
        <v xml:space="preserve">, （上記のどれも経験していない）, </v>
      </c>
      <c r="AC99" s="8" t="s">
        <v>329</v>
      </c>
      <c r="AD9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男性と女性が入り混じっている認識のため、トランスする身体がない</v>
      </c>
      <c r="AE99" s="8" t="s">
        <v>474</v>
      </c>
      <c r="AF99" s="8" t="s">
        <v>457</v>
      </c>
      <c r="AG99" s="8" t="s">
        <v>458</v>
      </c>
      <c r="AH99" s="8"/>
      <c r="AI99" s="8">
        <f t="shared" si="4"/>
        <v>2</v>
      </c>
      <c r="AJ99" s="8"/>
      <c r="AK99" s="8"/>
      <c r="AL99" s="8"/>
      <c r="AM99" s="8"/>
      <c r="AN99" s="8"/>
    </row>
    <row r="100" spans="1:40" ht="25.5" hidden="1">
      <c r="A100" s="8">
        <v>405</v>
      </c>
      <c r="B100" s="11">
        <v>44992.841440254633</v>
      </c>
      <c r="C100" s="8" t="s">
        <v>452</v>
      </c>
      <c r="D100" s="8" t="s">
        <v>453</v>
      </c>
      <c r="E100" s="8" t="s">
        <v>452</v>
      </c>
      <c r="F100" s="8" t="s">
        <v>454</v>
      </c>
      <c r="G100" s="8" t="str">
        <f>", "&amp;'RAW (公開用)'!F406&amp;", "</f>
        <v xml:space="preserve">, クエスチョニング, Xジェンダー, </v>
      </c>
      <c r="H100" s="8"/>
      <c r="I100" s="8" t="str">
        <f>", "&amp;'RAW (公開用)'!H406&amp;", "</f>
        <v xml:space="preserve">, （時とともに変わる）, </v>
      </c>
      <c r="J100" s="8" t="s">
        <v>2335</v>
      </c>
      <c r="K10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 </v>
      </c>
      <c r="L100" s="8" t="str">
        <f>", "&amp;'RAW (公開用)'!J406&amp;", "</f>
        <v xml:space="preserve">, **英語を日常的に使わない**, </v>
      </c>
      <c r="M100" s="8" t="s">
        <v>2335</v>
      </c>
      <c r="N10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00" s="8" t="str">
        <f>", "&amp;'RAW (公開用)'!L406&amp;", "</f>
        <v xml:space="preserve">, 僕, わし, うち, （時とともに変わる）, （一人称の使用を避ける）, （自分（たち）の名前）, わたし, わたくし, </v>
      </c>
      <c r="P100" s="73" t="s">
        <v>2387</v>
      </c>
      <c r="Q10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僕, わし, うち, （時とともに変わる）, （一人称の使用を避ける）, （自分（たち）の名前）, わたし, わたくし,  , 自分, わっち,</v>
      </c>
      <c r="R100" s="8" t="str">
        <f>", "&amp;'RAW (公開用)'!N100&amp;", "</f>
        <v xml:space="preserve">, （自分（たち）の名前）, </v>
      </c>
      <c r="S100" s="73" t="s">
        <v>2359</v>
      </c>
      <c r="T10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「そのようなカテゴリーの人々」,</v>
      </c>
      <c r="U100" s="8" t="str">
        <f>", "&amp;'RAW (公開用)'!P406&amp;", "</f>
        <v xml:space="preserve">, **英語を日常的に使わない**, </v>
      </c>
      <c r="V100" s="8" t="s">
        <v>455</v>
      </c>
      <c r="W100" s="8" t="str">
        <f>", "&amp;'RAW (公開用)'!R406&amp;", "</f>
        <v xml:space="preserve">, 社会の中でいないことにされる, 性暴力, 家族／かぞくからの無理解, 職場や学校における無理解, </v>
      </c>
      <c r="X100" s="8"/>
      <c r="Y10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性暴力, 家族／かぞくからの無理解, 職場や学校における無理解,  </v>
      </c>
      <c r="Z100" s="8" t="s">
        <v>455</v>
      </c>
      <c r="AA100" s="8" t="str">
        <f>", "&amp;'RAW (公開用)'!U406&amp;", "</f>
        <v xml:space="preserve">, 性器にかかわる手術, </v>
      </c>
      <c r="AB100" s="8" t="str">
        <f>", "&amp;'RAW (公開用)'!V406&amp;", "</f>
        <v xml:space="preserve">, （上記のどれも経験していない）, </v>
      </c>
      <c r="AC100" s="8"/>
      <c r="AD10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00" s="8" t="s">
        <v>459</v>
      </c>
      <c r="AF100" s="8" t="s">
        <v>457</v>
      </c>
      <c r="AG100" s="8" t="s">
        <v>458</v>
      </c>
      <c r="AH100" s="8" t="s">
        <v>628</v>
      </c>
      <c r="AI100" s="8">
        <f t="shared" si="4"/>
        <v>2</v>
      </c>
      <c r="AJ100" s="8"/>
      <c r="AK100" s="8"/>
      <c r="AL100" s="8"/>
      <c r="AM100" s="8"/>
      <c r="AN100" s="8"/>
    </row>
    <row r="101" spans="1:40" ht="63.75" hidden="1">
      <c r="A101" s="8">
        <v>100</v>
      </c>
      <c r="B101" s="11">
        <v>44970.01085914352</v>
      </c>
      <c r="C101" s="8" t="s">
        <v>452</v>
      </c>
      <c r="D101" s="8" t="s">
        <v>453</v>
      </c>
      <c r="E101" s="8" t="s">
        <v>452</v>
      </c>
      <c r="F101" s="8" t="s">
        <v>454</v>
      </c>
      <c r="G101" s="8" t="str">
        <f>", "&amp;'RAW (公開用)'!F101&amp;", "</f>
        <v xml:space="preserve">, バイジェンダー, 両性, 女性／woman, デミボーイ, ノンバイナリー, ジェンダーフラックス／フラックスジェンダー, デミジェンダー, クエスチョニング, X, 不明／わからない, Xジェンダー, 不定性, （ジェンダー・）フルイド／（ジェンダー・）フリュイド／（ジェンダー・）フルイッド, **必ず選んでください**, 中性, デミガール, </v>
      </c>
      <c r="H101" s="8" t="s">
        <v>513</v>
      </c>
      <c r="I101" s="8" t="str">
        <f>", "&amp;'RAW (公開用)'!H101&amp;", "</f>
        <v xml:space="preserve">, ちゃん, （any／問わない／どれでもよい）, さん, （クエスチョニング、模索中、または不明）, くん／君, </v>
      </c>
      <c r="J101" s="8" t="s">
        <v>2335</v>
      </c>
      <c r="K10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（any／問わない／どれでもよい）, さん, （クエスチョニング、模索中、または不明）, くん／君,  , </v>
      </c>
      <c r="L101" s="8" t="str">
        <f>", "&amp;'RAW (公開用)'!J101&amp;", "</f>
        <v xml:space="preserve">, -san, （クエスチョニング、模索中、または不明）, </v>
      </c>
      <c r="M101" s="8" t="s">
        <v>2335</v>
      </c>
      <c r="N10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（クエスチョニング、模索中、または不明）, , </v>
      </c>
      <c r="O101" s="8" t="str">
        <f>", "&amp;'RAW (公開用)'!L101&amp;", "</f>
        <v xml:space="preserve">, あたし, おれ, うち, ぼく, 自分, わたし, 僕, 私（わたし／わたくし）, </v>
      </c>
      <c r="P101" s="8" t="s">
        <v>2335</v>
      </c>
      <c r="Q10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おれ, うち, ぼく, 自分, わたし, 僕, 私（わたし／わたくし）,  , </v>
      </c>
      <c r="R101" s="8" t="str">
        <f>", "&amp;'RAW (公開用)'!N101&amp;", "</f>
        <v xml:space="preserve">, （自分（たち）の名前）, 彼女, （any／問わない／どれでもよい）, 彼, </v>
      </c>
      <c r="S101" s="8" t="s">
        <v>2335</v>
      </c>
      <c r="T10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（any／問わない／どれでもよい）, 彼,  , </v>
      </c>
      <c r="U101" s="8" t="str">
        <f>", "&amp;'RAW (公開用)'!P101&amp;", "</f>
        <v xml:space="preserve">, she, they/them/their/themselves, they/them/their/themself, （クエスチョニング、模索中、または不明）, </v>
      </c>
      <c r="V101" s="8" t="s">
        <v>455</v>
      </c>
      <c r="W101" s="8" t="str">
        <f>", "&amp;'RAW (公開用)'!R101&amp;", "</f>
        <v xml:space="preserve">, LGBTQ+運動からの排斥, 必要なジェンダーケアへアクセスできない, 社会の中でいないことにされる, アウティング（勝手にジェンダーや指向についての情報を明かされること）, カムアウトを強制される, </v>
      </c>
      <c r="X101" s="8"/>
      <c r="Y10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必要なジェンダーケアへアクセスできない, 社会の中でいないことにされる, アウティング（勝手にジェンダーや指向についての情報を明かされること）, カムアウトを強制される,  </v>
      </c>
      <c r="Z101" s="8" t="s">
        <v>455</v>
      </c>
      <c r="AA101" s="8" t="str">
        <f>", "&amp;'RAW (公開用)'!U101&amp;", "</f>
        <v xml:space="preserve">, （上記のどれも希望していない）, </v>
      </c>
      <c r="AB101" s="8" t="str">
        <f>", "&amp;'RAW (公開用)'!V101&amp;", "</f>
        <v xml:space="preserve">, （上記のどれも経験していない）, </v>
      </c>
      <c r="AC101" s="8"/>
      <c r="AD10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01" s="8" t="s">
        <v>459</v>
      </c>
      <c r="AF101" s="8" t="s">
        <v>514</v>
      </c>
      <c r="AG101" s="8" t="s">
        <v>458</v>
      </c>
      <c r="AH101" s="8" t="s">
        <v>515</v>
      </c>
      <c r="AI101" s="8">
        <f t="shared" si="4"/>
        <v>15</v>
      </c>
      <c r="AJ101" s="8"/>
      <c r="AK101" s="8"/>
      <c r="AL101" s="8"/>
      <c r="AM101" s="8"/>
      <c r="AN101" s="8"/>
    </row>
    <row r="102" spans="1:40" ht="51" hidden="1">
      <c r="A102" s="8">
        <v>363</v>
      </c>
      <c r="B102" s="11">
        <v>44991.987170312495</v>
      </c>
      <c r="C102" s="8" t="s">
        <v>452</v>
      </c>
      <c r="D102" s="8" t="s">
        <v>453</v>
      </c>
      <c r="E102" s="8" t="s">
        <v>452</v>
      </c>
      <c r="F102" s="8" t="s">
        <v>454</v>
      </c>
      <c r="G102" s="8" t="str">
        <f>", "&amp;'RAW (公開用)'!F364&amp;", "</f>
        <v xml:space="preserve">, クエスチョニング, ノンバイナリー, **必ず選んでください**, クィア／Queer, 無性, </v>
      </c>
      <c r="H102" s="8"/>
      <c r="I102" s="8" t="str">
        <f>", "&amp;'RAW (公開用)'!H364&amp;", "</f>
        <v xml:space="preserve">, さん, （クエスチョニング、模索中、または不明）, （敬称なし）, </v>
      </c>
      <c r="J102" s="8" t="s">
        <v>2335</v>
      </c>
      <c r="K10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（敬称なし）,  , </v>
      </c>
      <c r="L102" s="8" t="str">
        <f>", "&amp;'RAW (公開用)'!J364&amp;", "</f>
        <v xml:space="preserve">, -san, Mx., </v>
      </c>
      <c r="M102" s="8" t="s">
        <v>2335</v>
      </c>
      <c r="N10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Mx., , </v>
      </c>
      <c r="O102" s="8" t="str">
        <f>", "&amp;'RAW (公開用)'!L364&amp;", "</f>
        <v xml:space="preserve">, （クエスチョニング、模索中、または不明）, 俺, わたし, ぼく, 私（わたし／わたくし）, </v>
      </c>
      <c r="P102" s="8" t="s">
        <v>2335</v>
      </c>
      <c r="Q10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（クエスチョニング、模索中、または不明）, 俺, わたし, ぼく, 私（わたし／わたくし）,  , </v>
      </c>
      <c r="R102" s="8" t="str">
        <f>", "&amp;'RAW (公開用)'!N102&amp;", "</f>
        <v xml:space="preserve">, （any／問わない／どれでもよい）, 彼人（かのと）, 彼人（かのひと）, </v>
      </c>
      <c r="S102" s="8" t="s">
        <v>2355</v>
      </c>
      <c r="T10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（any／問わない／どれでもよい）, 彼人（かのと）, 彼人（かのひと）,  , {この/その/あの}+人,</v>
      </c>
      <c r="U102" s="8" t="str">
        <f>", "&amp;'RAW (公開用)'!P364&amp;", "</f>
        <v xml:space="preserve">, they/them/their/themselves, they/them/their/themself, </v>
      </c>
      <c r="V102" s="8" t="s">
        <v>455</v>
      </c>
      <c r="W102" s="8" t="str">
        <f>", "&amp;'RAW (公開用)'!R364&amp;", "</f>
        <v xml:space="preserve">, 必要なジェンダーケアへアクセスできない, ミスジェンダリング（誤った性別として扱うこと）, トイレなどのジェンダー化されたスペースの使用, 社会の中でいないことにされる, 家族／かぞくからの無理解, カムアウトできない, 職場や学校における無理解, デッドネーミング（誤った名前で呼ばれること）, </v>
      </c>
      <c r="X102" s="8"/>
      <c r="Y10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ミスジェンダリング（誤った性別として扱うこと）, トイレなどのジェンダー化されたスペースの使用, 社会の中でいないことにされる, 家族／かぞくからの無理解, カムアウトできない, 職場や学校における無理解, デッドネーミング（誤った名前で呼ばれること）,  </v>
      </c>
      <c r="Z102" s="8" t="s">
        <v>455</v>
      </c>
      <c r="AA102" s="8" t="str">
        <f>", "&amp;'RAW (公開用)'!U364&amp;", "</f>
        <v xml:space="preserve">, 戸籍名の変更, 戸籍上の性別の変更, ジェンダークリニックの受診, 抗ホルモン療法, 声帯にかかわる手術, 胸部の手術, </v>
      </c>
      <c r="AB102" s="8" t="str">
        <f>", "&amp;'RAW (公開用)'!V364&amp;", "</f>
        <v xml:space="preserve">, （上記のどれも経験していない）, </v>
      </c>
      <c r="AC102" s="8" t="s">
        <v>363</v>
      </c>
      <c r="AD10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性別二元論が前提のものばかりなので、現時点では生まれた時に割り当てられた性以外になりようがない。そうでない方にするのも違うし…</v>
      </c>
      <c r="AE102" s="8" t="s">
        <v>456</v>
      </c>
      <c r="AF102" s="8" t="s">
        <v>457</v>
      </c>
      <c r="AG102" s="8" t="s">
        <v>458</v>
      </c>
      <c r="AH102" s="8"/>
      <c r="AI102" s="8">
        <f t="shared" si="4"/>
        <v>4</v>
      </c>
      <c r="AJ102" s="8"/>
      <c r="AK102" s="8"/>
      <c r="AL102" s="8"/>
      <c r="AM102" s="8"/>
      <c r="AN102" s="8"/>
    </row>
    <row r="103" spans="1:40" ht="63.75" hidden="1">
      <c r="A103" s="8">
        <v>121</v>
      </c>
      <c r="B103" s="11">
        <v>44970.395724131944</v>
      </c>
      <c r="C103" s="8" t="s">
        <v>452</v>
      </c>
      <c r="D103" s="8" t="s">
        <v>453</v>
      </c>
      <c r="E103" s="8" t="s">
        <v>452</v>
      </c>
      <c r="F103" s="8" t="s">
        <v>454</v>
      </c>
      <c r="G103" s="8" t="str">
        <f>", "&amp;'RAW (公開用)'!F122&amp;", "</f>
        <v xml:space="preserve">, X, 不定性, 中性, Xジェンダー, ジェンダークィア, クィア／Queer, レズビアン（ジェンダーについて）, 無性, クエスチョニング, 両性, ノンバイナリー女性, </v>
      </c>
      <c r="H103" s="8"/>
      <c r="I103" s="8" t="str">
        <f>", "&amp;'RAW (公開用)'!H122&amp;", "</f>
        <v xml:space="preserve">, （敬称なし）, （時とともに変わる）, さん, </v>
      </c>
      <c r="J103" s="8" t="s">
        <v>2335</v>
      </c>
      <c r="K10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（時とともに変わる）, さん,  , </v>
      </c>
      <c r="L103" s="8" t="str">
        <f>", "&amp;'RAW (公開用)'!J122&amp;", "</f>
        <v xml:space="preserve">, -san, （any／問わない／どれでもよい）, </v>
      </c>
      <c r="M103" s="8" t="s">
        <v>2335</v>
      </c>
      <c r="N10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（any／問わない／どれでもよい）, , </v>
      </c>
      <c r="O103" s="8" t="str">
        <f>", "&amp;'RAW (公開用)'!L122&amp;", "</f>
        <v xml:space="preserve">, 自分, わし, 俺, （時とともに変わる）, ぼく, </v>
      </c>
      <c r="P103" s="8" t="s">
        <v>2335</v>
      </c>
      <c r="Q10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わし, 俺, （時とともに変わる）, ぼく,  , </v>
      </c>
      <c r="R103" s="8" t="s">
        <v>2174</v>
      </c>
      <c r="S103" s="8" t="s">
        <v>2355</v>
      </c>
      <c r="T10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{この/その/あの}+人,</v>
      </c>
      <c r="U103" s="8" t="str">
        <f>", "&amp;'RAW (公開用)'!P122&amp;", "</f>
        <v xml:space="preserve">, they/them/their/themself, he, （時とともに変わる）, </v>
      </c>
      <c r="V103" s="8" t="s">
        <v>455</v>
      </c>
      <c r="W103" s="8" t="str">
        <f>", "&amp;'RAW (公開用)'!R122&amp;", "</f>
        <v xml:space="preserve">, 性暴力, 必要なジェンダーケアへアクセスできない, トイレなどのジェンダー化されたスペースの使用, カムアウトできない, 家族／かぞくからの無理解, 社会の中でいないことにされる, ミスジェンダリング（誤った性別として扱うこと）, </v>
      </c>
      <c r="X103" s="8" t="s">
        <v>286</v>
      </c>
      <c r="Y10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必要なジェンダーケアへアクセスできない, トイレなどのジェンダー化されたスペースの使用, カムアウトできない, 家族／かぞくからの無理解, 社会の中でいないことにされる, ミスジェンダリング（誤った性別として扱うこと）,  血縁関係がある家族にカムアウトしたとしても無理解と異常と言われそうだと思っている</v>
      </c>
      <c r="Z103" s="8" t="s">
        <v>455</v>
      </c>
      <c r="AA103" s="8" t="str">
        <f>", "&amp;'RAW (公開用)'!U122&amp;", "</f>
        <v xml:space="preserve">, 戸籍名の変更, 戸籍上の性別の変更, ジェンダークリニックの受診, 胸部の手術, 性器にかかわる手術, </v>
      </c>
      <c r="AB103" s="8" t="str">
        <f>", "&amp;'RAW (公開用)'!V122&amp;", "</f>
        <v xml:space="preserve">, （上記のどれも経験していない）, </v>
      </c>
      <c r="AC103" s="8" t="s">
        <v>313</v>
      </c>
      <c r="AD10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金銭的な問題で手術を受けたくても受けられない</v>
      </c>
      <c r="AE103" s="8" t="s">
        <v>462</v>
      </c>
      <c r="AF103" s="8" t="s">
        <v>457</v>
      </c>
      <c r="AG103" s="8" t="s">
        <v>458</v>
      </c>
      <c r="AH103" s="8"/>
      <c r="AI103" s="8">
        <f t="shared" si="4"/>
        <v>11</v>
      </c>
      <c r="AJ103" s="8"/>
      <c r="AK103" s="8"/>
      <c r="AL103" s="8"/>
      <c r="AM103" s="8"/>
      <c r="AN103" s="8"/>
    </row>
    <row r="104" spans="1:40" ht="51" hidden="1">
      <c r="A104" s="8">
        <v>103</v>
      </c>
      <c r="B104" s="11">
        <v>44970.066237025458</v>
      </c>
      <c r="C104" s="8" t="s">
        <v>452</v>
      </c>
      <c r="D104" s="8" t="s">
        <v>453</v>
      </c>
      <c r="E104" s="8" t="s">
        <v>452</v>
      </c>
      <c r="F104" s="8" t="s">
        <v>454</v>
      </c>
      <c r="G104" s="8" t="str">
        <f>", "&amp;'RAW (公開用)'!F104&amp;", "</f>
        <v xml:space="preserve">, ジェンダークィア, クィア／Queer, **必ず選んでください**, クエスチョニング, デミジェンダー, ノンバイナリー女性, ジェンダーフラックス／フラックスジェンダー, （ジェンダー・）フルイド／（ジェンダー・）フリュイド／（ジェンダー・）フルイッド, </v>
      </c>
      <c r="H104" s="8" t="s">
        <v>518</v>
      </c>
      <c r="I104" s="8" t="str">
        <f>", "&amp;'RAW (公開用)'!H104&amp;", "</f>
        <v xml:space="preserve">, ちゃん, （時とともに変わる）, さん, </v>
      </c>
      <c r="J104" s="8" t="s">
        <v>2335</v>
      </c>
      <c r="K10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（時とともに変わる）, さん,  , </v>
      </c>
      <c r="L104" s="8" t="str">
        <f>", "&amp;'RAW (公開用)'!J104&amp;", "</f>
        <v xml:space="preserve">, **英語を日常的に使わない**, </v>
      </c>
      <c r="M104" s="8" t="s">
        <v>2335</v>
      </c>
      <c r="N10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04" s="8" t="str">
        <f>", "&amp;'RAW (公開用)'!L104&amp;", "</f>
        <v xml:space="preserve">, （時とともに変わる）, わたし, （クエスチョニング、模索中、または不明）, うち, 私（わたし／わたくし）, 自分, </v>
      </c>
      <c r="P104" s="8" t="s">
        <v>2335</v>
      </c>
      <c r="Q10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わたし, （クエスチョニング、模索中、または不明）, うち, 私（わたし／わたくし）, 自分,  , </v>
      </c>
      <c r="R104" s="8" t="str">
        <f>", "&amp;'RAW (公開用)'!N104&amp;", "</f>
        <v xml:space="preserve">, （any／問わない／どれでもよい）, （自分（たち）の名前）, </v>
      </c>
      <c r="S104" s="8" t="s">
        <v>2335</v>
      </c>
      <c r="T10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（自分（たち）の名前）,  , </v>
      </c>
      <c r="U104" s="8" t="str">
        <f>", "&amp;'RAW (公開用)'!P104&amp;", "</f>
        <v xml:space="preserve">, （クエスチョニング、模索中、または不明）, </v>
      </c>
      <c r="V104" s="8" t="s">
        <v>455</v>
      </c>
      <c r="W104" s="8" t="str">
        <f>", "&amp;'RAW (公開用)'!R104&amp;", "</f>
        <v xml:space="preserve">, カムアウトできない, トイレなどのジェンダー化されたスペースの使用, 社会の中でいないことにされる, 職場や学校における無理解, 家族／かぞくからの無理解, </v>
      </c>
      <c r="X104" s="8"/>
      <c r="Y10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トイレなどのジェンダー化されたスペースの使用, 社会の中でいないことにされる, 職場や学校における無理解, 家族／かぞくからの無理解,  </v>
      </c>
      <c r="Z104" s="8" t="s">
        <v>455</v>
      </c>
      <c r="AA104" s="8" t="str">
        <f>", "&amp;'RAW (公開用)'!U104&amp;", "</f>
        <v xml:space="preserve">, （上記のどれも希望していない）, </v>
      </c>
      <c r="AB104" s="8" t="str">
        <f>", "&amp;'RAW (公開用)'!V104&amp;", "</f>
        <v xml:space="preserve">, （上記のどれも経験していない）, </v>
      </c>
      <c r="AC104" s="8"/>
      <c r="AD10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04" s="8" t="s">
        <v>462</v>
      </c>
      <c r="AF104" s="8" t="s">
        <v>457</v>
      </c>
      <c r="AG104" s="8" t="s">
        <v>458</v>
      </c>
      <c r="AH104" s="8"/>
      <c r="AI104" s="8">
        <f t="shared" si="4"/>
        <v>7</v>
      </c>
      <c r="AJ104" s="8"/>
      <c r="AK104" s="8"/>
      <c r="AL104" s="8"/>
      <c r="AM104" s="8"/>
      <c r="AN104" s="8"/>
    </row>
    <row r="105" spans="1:40" ht="89.25" hidden="1">
      <c r="A105" s="8">
        <v>104</v>
      </c>
      <c r="B105" s="11">
        <v>44970.068009768518</v>
      </c>
      <c r="C105" s="8" t="s">
        <v>452</v>
      </c>
      <c r="D105" s="8" t="s">
        <v>453</v>
      </c>
      <c r="E105" s="8" t="s">
        <v>452</v>
      </c>
      <c r="F105" s="8" t="s">
        <v>454</v>
      </c>
      <c r="G105" s="8" t="str">
        <f>", "&amp;'RAW (公開用)'!F105&amp;", "</f>
        <v xml:space="preserve">, （ジェンダー・）フルイド／（ジェンダー・）フリュイド／（ジェンダー・）フルイッド, デミジェンダー, クィア／Queer, ジェンダー・ノンコンフォーミング／gender non-conforming, 女の子／girl, ノンバイナリー女性, デミガール, **必ず選んでください**, </v>
      </c>
      <c r="H105" s="8"/>
      <c r="I105" s="8" t="str">
        <f>", "&amp;'RAW (公開用)'!H105&amp;", "</f>
        <v xml:space="preserve">, さん, </v>
      </c>
      <c r="J105" s="8" t="s">
        <v>2335</v>
      </c>
      <c r="K10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05" s="8" t="str">
        <f>", "&amp;'RAW (公開用)'!J105&amp;", "</f>
        <v xml:space="preserve">, Mx., （クエスチョニング、模索中、または不明）, -san, </v>
      </c>
      <c r="M105" s="8" t="s">
        <v>2335</v>
      </c>
      <c r="N10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（クエスチョニング、模索中、または不明）, -san, , </v>
      </c>
      <c r="O105" s="8" t="str">
        <f>", "&amp;'RAW (公開用)'!L105&amp;", "</f>
        <v xml:space="preserve">, 私（わたし／わたくし）, わたし, </v>
      </c>
      <c r="P105" s="8" t="s">
        <v>2335</v>
      </c>
      <c r="Q10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105" s="8" t="str">
        <f>", "&amp;'RAW (公開用)'!N105&amp;", "</f>
        <v xml:space="preserve">, （三人称で言及してほしくない）, （自分（たち）の名前）, </v>
      </c>
      <c r="S105" s="8" t="s">
        <v>2335</v>
      </c>
      <c r="T10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105" s="8" t="str">
        <f>", "&amp;'RAW (公開用)'!P105&amp;", "</f>
        <v xml:space="preserve">, they/them/their/themselves, she, </v>
      </c>
      <c r="V105" s="8" t="s">
        <v>455</v>
      </c>
      <c r="W105" s="8" t="str">
        <f>", "&amp;'RAW (公開用)'!R105&amp;", "</f>
        <v xml:space="preserve">, カムアウトできない, LGBTQ+運動からの排斥, ミスジェンダリング（誤った性別として扱うこと）, 職場や学校における無理解, 家族／かぞくからの無理解, 社会の中でいないことにされる, </v>
      </c>
      <c r="X105" s="8" t="s">
        <v>272</v>
      </c>
      <c r="Y10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カムアウトできない, LGBTQ+運動からの排斥, ミスジェンダリング（誤った性別として扱うこと）, 職場や学校における無理解, 家族／かぞくからの無理解, 社会の中でいないことにされる,  特に確認してもらえることもなく、シスジェンダー（あるいはヘテロセクシュアル）だという前提で勝手に私についての話がされること。</v>
      </c>
      <c r="Z105" s="8" t="s">
        <v>455</v>
      </c>
      <c r="AA105" s="8" t="str">
        <f>", "&amp;'RAW (公開用)'!U105&amp;", "</f>
        <v xml:space="preserve">, （上記のどれも希望していない）, </v>
      </c>
      <c r="AB105" s="105" t="s">
        <v>2443</v>
      </c>
      <c r="AC105" s="8" t="s">
        <v>339</v>
      </c>
      <c r="AD105" s="8" t="str">
        <f>テーブル1[[#This Row],[以下のうち、経験したものをすべて選んでください]]&amp;" "&amp;テーブル1[[#This Row],[社会的、法的、医学的トランジションについて、困難なこと等がありましたらここにお書きください]]</f>
        <v>無回答 概ねトランジションの希望はないのですが、PCOSで女性ホルモンの分泌が弱く「女になりきれてない体」なのがコンプレックスだし心身ともにあまり健康ではありません。思春期前からノンバイナリーだとなんとなく自覚していた（未言語化）記憶はあるのですが、ノンバイナリー自認が体ともリンクしている気がして自認に自信が持てないのと、健康を手に入れるためにいっそ女性ホルモンのホルモン治療を受けたほうがいいのかどうか（でも女性になりたい！と思っているわけでもないし…）とても悩んでいます。</v>
      </c>
      <c r="AE105" s="8" t="s">
        <v>459</v>
      </c>
      <c r="AF105" s="8" t="s">
        <v>457</v>
      </c>
      <c r="AG105" s="8" t="s">
        <v>458</v>
      </c>
      <c r="AH105" s="8" t="s">
        <v>519</v>
      </c>
      <c r="AI105" s="8">
        <f t="shared" si="4"/>
        <v>7</v>
      </c>
      <c r="AJ105" s="8"/>
      <c r="AK105" s="8"/>
      <c r="AL105" s="8"/>
      <c r="AM105" s="8"/>
      <c r="AN105" s="8"/>
    </row>
    <row r="106" spans="1:40" ht="25.5" hidden="1">
      <c r="A106" s="8">
        <v>198</v>
      </c>
      <c r="B106" s="11">
        <v>44971.012056898151</v>
      </c>
      <c r="C106" s="8" t="s">
        <v>452</v>
      </c>
      <c r="D106" s="8" t="s">
        <v>453</v>
      </c>
      <c r="E106" s="8" t="s">
        <v>452</v>
      </c>
      <c r="F106" s="8" t="s">
        <v>454</v>
      </c>
      <c r="G106" s="8" t="str">
        <f>", "&amp;'RAW (公開用)'!F199&amp;", "</f>
        <v xml:space="preserve">, ノンバイナリー, </v>
      </c>
      <c r="H106" s="8"/>
      <c r="I106" s="8" t="str">
        <f>", "&amp;'RAW (公開用)'!H199&amp;", "</f>
        <v xml:space="preserve">, （any／問わない／どれでもよい）, </v>
      </c>
      <c r="J106" s="8" t="s">
        <v>2335</v>
      </c>
      <c r="K10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06" s="8" t="str">
        <f>", "&amp;'RAW (公開用)'!J199&amp;", "</f>
        <v xml:space="preserve">, **英語を日常的に使わない**, </v>
      </c>
      <c r="M106" s="8" t="s">
        <v>2335</v>
      </c>
      <c r="N10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06" s="8" t="str">
        <f>", "&amp;'RAW (公開用)'!L199&amp;", "</f>
        <v xml:space="preserve">, わたくし, ぼく, 俺, （自分（たち）の名前）, わたし, 自分, </v>
      </c>
      <c r="P106" s="16" t="s">
        <v>2388</v>
      </c>
      <c r="Q10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わたくし, ぼく, 俺, （自分（たち）の名前）, わたし, 自分,  , われ, おのれ,</v>
      </c>
      <c r="R106" s="8" t="str">
        <f>", "&amp;'RAW (公開用)'!N106&amp;", "</f>
        <v xml:space="preserve">, （自分（たち）の名前）, </v>
      </c>
      <c r="S106" s="8" t="s">
        <v>2335</v>
      </c>
      <c r="T10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06" s="8" t="str">
        <f>", "&amp;'RAW (公開用)'!P199&amp;", "</f>
        <v xml:space="preserve">, **英語を日常的に使わない**, </v>
      </c>
      <c r="V106" s="8" t="s">
        <v>455</v>
      </c>
      <c r="W106" s="8" t="str">
        <f>", "&amp;'RAW (公開用)'!R199&amp;", "</f>
        <v xml:space="preserve">, ミスジェンダリング（誤った性別として扱うこと）, 社会の中でいないことにされる, カムアウトできない, </v>
      </c>
      <c r="X106" s="8"/>
      <c r="Y10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カムアウトできない,  </v>
      </c>
      <c r="Z106" s="8" t="s">
        <v>455</v>
      </c>
      <c r="AA106" s="8" t="str">
        <f>", "&amp;'RAW (公開用)'!U199&amp;", "</f>
        <v xml:space="preserve">, 戸籍名の変更, 戸籍上の性別の変更, 性器にかかわる手術, </v>
      </c>
      <c r="AB106" s="8" t="str">
        <f>", "&amp;'RAW (公開用)'!V199&amp;", "</f>
        <v xml:space="preserve">, （上記のどれも経験していない）, </v>
      </c>
      <c r="AC106" s="8"/>
      <c r="AD10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06" s="8" t="s">
        <v>479</v>
      </c>
      <c r="AF106" s="8" t="s">
        <v>457</v>
      </c>
      <c r="AG106" s="8" t="s">
        <v>458</v>
      </c>
      <c r="AH106" s="8"/>
      <c r="AI106" s="8">
        <f t="shared" si="4"/>
        <v>1</v>
      </c>
      <c r="AJ106" s="8"/>
      <c r="AK106" s="8"/>
      <c r="AL106" s="8"/>
      <c r="AM106" s="8"/>
      <c r="AN106" s="8"/>
    </row>
    <row r="107" spans="1:40" ht="76.5" hidden="1">
      <c r="A107" s="8">
        <v>106</v>
      </c>
      <c r="B107" s="11">
        <v>44970.082027418983</v>
      </c>
      <c r="C107" s="8" t="s">
        <v>452</v>
      </c>
      <c r="D107" s="8" t="s">
        <v>453</v>
      </c>
      <c r="E107" s="8" t="s">
        <v>452</v>
      </c>
      <c r="F107" s="8" t="s">
        <v>454</v>
      </c>
      <c r="G107" s="8" t="str">
        <f>", "&amp;'RAW (公開用)'!F107&amp;", "</f>
        <v xml:space="preserve">, クィア／Queer, （ジェンダー・）フルイド／（ジェンダー・）フリュイド／（ジェンダー・）フルイッド, クエスチョニング, トランスマスキュリン, ニューロジェンダー／neurogender, ブッチ／butch, デミジェンダー, デミボーイ, **必ず選んでください**, ジェンダークィア, </v>
      </c>
      <c r="H107" s="8"/>
      <c r="I107" s="8" t="str">
        <f>", "&amp;'RAW (公開用)'!H107&amp;", "</f>
        <v xml:space="preserve">, （クエスチョニング、模索中、または不明）, さん, くん／君, </v>
      </c>
      <c r="J107" s="8" t="s">
        <v>2335</v>
      </c>
      <c r="K10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くん／君,  , </v>
      </c>
      <c r="L107" s="8" t="str">
        <f>", "&amp;'RAW (公開用)'!J107&amp;", "</f>
        <v xml:space="preserve">, -san, （クエスチョニング、模索中、または不明）, Mx., </v>
      </c>
      <c r="M107" s="8" t="s">
        <v>2335</v>
      </c>
      <c r="N10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（クエスチョニング、模索中、または不明）, Mx., , </v>
      </c>
      <c r="O107" s="8" t="str">
        <f>", "&amp;'RAW (公開用)'!L107&amp;", "</f>
        <v xml:space="preserve">, わし, ぼく, （クエスチョニング、模索中、または不明）, おれ, 自分, （一人称の使用を避ける）, 私（わたし／わたくし）, </v>
      </c>
      <c r="P107" s="8" t="s">
        <v>2335</v>
      </c>
      <c r="Q10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ぼく, （クエスチョニング、模索中、または不明）, おれ, 自分, （一人称の使用を避ける）, 私（わたし／わたくし）,  , </v>
      </c>
      <c r="R107" s="8" t="str">
        <f>", "&amp;'RAW (公開用)'!N107&amp;", "</f>
        <v xml:space="preserve">, 渠（かれ）, （三人称で言及してほしくない）, かれ, </v>
      </c>
      <c r="S107" s="8" t="s">
        <v>2335</v>
      </c>
      <c r="T10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渠（かれ）, （三人称で言及してほしくない）, かれ,  , </v>
      </c>
      <c r="U107" s="8" t="str">
        <f>", "&amp;'RAW (公開用)'!P107&amp;", "</f>
        <v xml:space="preserve">, they/them/their/themself, ze, </v>
      </c>
      <c r="V107" s="8" t="s">
        <v>455</v>
      </c>
      <c r="W107" s="8" t="str">
        <f>", "&amp;'RAW (公開用)'!R107&amp;", "</f>
        <v xml:space="preserve">, カムアウトできない, ミスジェンダリング（誤った性別として扱うこと）, 医療における無理解, デッドネーミング（誤った名前で呼ばれること）, 社会の中でいないことにされる, 必要なジェンダーケアへアクセスできない, 職場や学校における無理解, 家族／かぞくからの無理解, </v>
      </c>
      <c r="X107" s="8"/>
      <c r="Y10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ミスジェンダリング（誤った性別として扱うこと）, 医療における無理解, デッドネーミング（誤った名前で呼ばれること）, 社会の中でいないことにされる, 必要なジェンダーケアへアクセスできない, 職場や学校における無理解, 家族／かぞくからの無理解,  </v>
      </c>
      <c r="Z107" s="8" t="s">
        <v>455</v>
      </c>
      <c r="AA107" s="8" t="str">
        <f>", "&amp;'RAW (公開用)'!U107&amp;", "</f>
        <v xml:space="preserve">, 戸籍名の変更, ジェンダークリニックの受診, ホルモン補充療法（HRT）, </v>
      </c>
      <c r="AB107" s="8" t="str">
        <f>", "&amp;'RAW (公開用)'!V107&amp;", "</f>
        <v xml:space="preserve">, （上記のどれも経験していない）, </v>
      </c>
      <c r="AC107" s="8" t="s">
        <v>416</v>
      </c>
      <c r="AD10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いわゆる性同一性障害の中核群と呼ばれるような人以外のアイデンティティを尊重して対応してくれるジェンダークリニックの情報がないこと。また、そもそもそのような病院がほとんど存在しないこと。性別違和理由の改名手続きでは通るかどうかが担当のスタッフの知識量や偏見に左右されてしまい、中核群的なトランス女性／男性に擬態する選択をする人も多いこと。</v>
      </c>
      <c r="AE107" s="8" t="s">
        <v>462</v>
      </c>
      <c r="AF107" s="8" t="s">
        <v>457</v>
      </c>
      <c r="AG107" s="8" t="s">
        <v>458</v>
      </c>
      <c r="AH107" s="8"/>
      <c r="AI107" s="8">
        <f t="shared" si="4"/>
        <v>9</v>
      </c>
      <c r="AJ107" s="8"/>
      <c r="AK107" s="8"/>
      <c r="AL107" s="8"/>
      <c r="AM107" s="8"/>
      <c r="AN107" s="8"/>
    </row>
    <row r="108" spans="1:40" ht="25.5" hidden="1">
      <c r="A108" s="8">
        <v>107</v>
      </c>
      <c r="B108" s="11">
        <v>44970.093123784725</v>
      </c>
      <c r="C108" s="8" t="s">
        <v>452</v>
      </c>
      <c r="D108" s="8" t="s">
        <v>453</v>
      </c>
      <c r="E108" s="8" t="s">
        <v>452</v>
      </c>
      <c r="F108" s="8" t="s">
        <v>454</v>
      </c>
      <c r="G108" s="8" t="str">
        <f>", "&amp;'RAW (公開用)'!F108&amp;", "</f>
        <v xml:space="preserve">, ジェンダークィア, ノンバイナリー, **必ず選んでください**, デミガール, </v>
      </c>
      <c r="H108" s="8"/>
      <c r="I108" s="8" t="str">
        <f>", "&amp;'RAW (公開用)'!H108&amp;", "</f>
        <v xml:space="preserve">, （敬称なし）, さん, </v>
      </c>
      <c r="J108" s="8" t="s">
        <v>2335</v>
      </c>
      <c r="K10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108" s="8" t="str">
        <f>", "&amp;'RAW (公開用)'!J108&amp;", "</f>
        <v xml:space="preserve">, **英語を日常的に使わない**, </v>
      </c>
      <c r="M108" s="8" t="s">
        <v>2335</v>
      </c>
      <c r="N10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08" s="8" t="str">
        <f>", "&amp;'RAW (公開用)'!L108&amp;", "</f>
        <v xml:space="preserve">, わたし, おれ, </v>
      </c>
      <c r="P108" s="8" t="s">
        <v>2335</v>
      </c>
      <c r="Q10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おれ,  , </v>
      </c>
      <c r="R108" s="8" t="str">
        <f>", "&amp;'RAW (公開用)'!N108&amp;", "</f>
        <v xml:space="preserve">, （自分（たち）の名前）, </v>
      </c>
      <c r="S108" s="8" t="s">
        <v>2335</v>
      </c>
      <c r="T10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08" s="8" t="str">
        <f>", "&amp;'RAW (公開用)'!P108&amp;", "</f>
        <v xml:space="preserve">, **英語を日常的に使わない**, </v>
      </c>
      <c r="V108" s="8" t="s">
        <v>455</v>
      </c>
      <c r="W108" s="8" t="str">
        <f>", "&amp;'RAW (公開用)'!R108&amp;", "</f>
        <v xml:space="preserve">, 性暴力, 医療における無理解, 社会の中でいないことにされる, カムアウトできない, </v>
      </c>
      <c r="X108" s="8"/>
      <c r="Y10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医療における無理解, 社会の中でいないことにされる, カムアウトできない,  </v>
      </c>
      <c r="Z108" s="8" t="s">
        <v>455</v>
      </c>
      <c r="AA108" s="8" t="str">
        <f>", "&amp;'RAW (公開用)'!U108&amp;", "</f>
        <v xml:space="preserve">, 胸部の手術, </v>
      </c>
      <c r="AB108" s="8" t="str">
        <f>", "&amp;'RAW (公開用)'!V108&amp;", "</f>
        <v xml:space="preserve">, （上記のどれも経験していない）, </v>
      </c>
      <c r="AC108" s="8"/>
      <c r="AD10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08" s="8" t="s">
        <v>462</v>
      </c>
      <c r="AF108" s="8" t="s">
        <v>457</v>
      </c>
      <c r="AG108" s="8" t="s">
        <v>458</v>
      </c>
      <c r="AH108" s="8"/>
      <c r="AI108" s="8">
        <f t="shared" si="4"/>
        <v>3</v>
      </c>
      <c r="AJ108" s="8"/>
      <c r="AK108" s="8"/>
      <c r="AL108" s="8"/>
      <c r="AM108" s="8"/>
      <c r="AN108" s="8"/>
    </row>
    <row r="109" spans="1:40" ht="76.5" hidden="1">
      <c r="A109" s="8">
        <v>108</v>
      </c>
      <c r="B109" s="11">
        <v>44970.124242962964</v>
      </c>
      <c r="C109" s="8" t="s">
        <v>452</v>
      </c>
      <c r="D109" s="8" t="s">
        <v>453</v>
      </c>
      <c r="E109" s="8" t="s">
        <v>452</v>
      </c>
      <c r="F109" s="8" t="s">
        <v>454</v>
      </c>
      <c r="G109" s="8" t="str">
        <f>", "&amp;'RAW (公開用)'!F109&amp;", "</f>
        <v xml:space="preserve">, 無性, Aジェンダー／エイジェンダー／アジェンダー／agender, **必ず選んでください**, クエスチョニング, ノンバイナリー, ノンバイナリー女性, Xジェンダー, クィア／Queer, 無し, </v>
      </c>
      <c r="H109" s="8"/>
      <c r="I109" s="8" t="str">
        <f>", "&amp;'RAW (公開用)'!H109&amp;", "</f>
        <v xml:space="preserve">, さん, （any／問わない／どれでもよい）, （時とともに変わる）, </v>
      </c>
      <c r="J109" s="8" t="s">
        <v>2335</v>
      </c>
      <c r="K10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（時とともに変わる）,  , </v>
      </c>
      <c r="L109" s="8" t="str">
        <f>", "&amp;'RAW (公開用)'!J109&amp;", "</f>
        <v xml:space="preserve">, **英語を日常的に使わない**, </v>
      </c>
      <c r="M109" s="8" t="s">
        <v>2335</v>
      </c>
      <c r="N10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09" s="8" t="str">
        <f>", "&amp;'RAW (公開用)'!L109&amp;", "</f>
        <v xml:space="preserve">, 私（わたし／わたくし）, 自分, </v>
      </c>
      <c r="P109" s="8" t="s">
        <v>2335</v>
      </c>
      <c r="Q10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109" s="8" t="str">
        <f>", "&amp;'RAW (公開用)'!N109&amp;", "</f>
        <v xml:space="preserve">, （三人称で言及してほしくない）, </v>
      </c>
      <c r="S109" s="8" t="s">
        <v>2335</v>
      </c>
      <c r="T10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09" s="8" t="str">
        <f>", "&amp;'RAW (公開用)'!P109&amp;", "</f>
        <v xml:space="preserve">, **英語を日常的に使わない**, </v>
      </c>
      <c r="V109" s="8" t="s">
        <v>455</v>
      </c>
      <c r="W109" s="8" t="str">
        <f>", "&amp;'RAW (公開用)'!R109&amp;", "</f>
        <v xml:space="preserve">, LGBTQ+運動からの排斥, 必要なジェンダーケアへアクセスできない, アウティング（勝手にジェンダーや指向についての情報を明かされること）, 社会の中でいないことにされる, カムアウトできない, 職場や学校における無理解, カムアウトを強制される, 医療における無理解, 性暴力, 家族／かぞくからの無理解, トイレなどのジェンダー化されたスペースの使用, ミスジェンダリング（誤った性別として扱うこと）, </v>
      </c>
      <c r="X109" s="8"/>
      <c r="Y10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必要なジェンダーケアへアクセスできない, アウティング（勝手にジェンダーや指向についての情報を明かされること）, 社会の中でいないことにされる, カムアウトできない, 職場や学校における無理解, カムアウトを強制される, 医療における無理解, 性暴力, 家族／かぞくからの無理解, トイレなどのジェンダー化されたスペースの使用, ミスジェンダリング（誤った性別として扱うこと）,  </v>
      </c>
      <c r="Z109" s="8" t="s">
        <v>472</v>
      </c>
      <c r="AA109" s="8" t="s">
        <v>2174</v>
      </c>
      <c r="AB109" s="105" t="s">
        <v>2443</v>
      </c>
      <c r="AC109" s="8"/>
      <c r="AD10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09" s="8" t="s">
        <v>459</v>
      </c>
      <c r="AF109" s="8" t="s">
        <v>457</v>
      </c>
      <c r="AG109" s="8" t="s">
        <v>458</v>
      </c>
      <c r="AH109" s="8"/>
      <c r="AI109" s="8">
        <f t="shared" si="4"/>
        <v>8</v>
      </c>
      <c r="AJ109" s="8"/>
      <c r="AK109" s="8"/>
      <c r="AL109" s="8"/>
      <c r="AM109" s="8"/>
      <c r="AN109" s="8"/>
    </row>
    <row r="110" spans="1:40" ht="76.5" hidden="1">
      <c r="A110" s="8">
        <v>272</v>
      </c>
      <c r="B110" s="11">
        <v>44983.384940625001</v>
      </c>
      <c r="C110" s="8" t="s">
        <v>452</v>
      </c>
      <c r="D110" s="8" t="s">
        <v>453</v>
      </c>
      <c r="E110" s="8" t="s">
        <v>452</v>
      </c>
      <c r="F110" s="8" t="s">
        <v>454</v>
      </c>
      <c r="G110" s="8" t="str">
        <f>", "&amp;'RAW (公開用)'!F273&amp;", "</f>
        <v xml:space="preserve">, **必ず選んでください**, Aジェンダー／エイジェンダー／アジェンダー／agender, クィア／Queer, ノンバイナリー, </v>
      </c>
      <c r="H110" s="8"/>
      <c r="I110" s="8" t="str">
        <f>", "&amp;'RAW (公開用)'!H273&amp;", "</f>
        <v xml:space="preserve">, （クエスチョニング、模索中、または不明）, さん, （敬称なし）, </v>
      </c>
      <c r="J110" s="8" t="s">
        <v>2335</v>
      </c>
      <c r="K11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（敬称なし）,  , </v>
      </c>
      <c r="L110" s="8" t="str">
        <f>", "&amp;'RAW (公開用)'!J273&amp;", "</f>
        <v xml:space="preserve">, （クエスチョニング、模索中、または不明）, **英語を日常的に使わない**, （敬称なし）, </v>
      </c>
      <c r="M110" s="8" t="s">
        <v>2335</v>
      </c>
      <c r="N11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**英語を日常的に使わない**, （敬称なし）, , </v>
      </c>
      <c r="O110" s="8" t="str">
        <f>", "&amp;'RAW (公開用)'!L273&amp;", "</f>
        <v xml:space="preserve">, （自分（たち）の名前）, 私（わたし／わたくし）, 自分, わたし, （一人称の使用を避ける）, </v>
      </c>
      <c r="P110" s="73" t="s">
        <v>2389</v>
      </c>
      <c r="Q11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私（わたし／わたくし）, 自分, わたし, （一人称の使用を避ける）,  , われ,</v>
      </c>
      <c r="R110" s="8" t="s">
        <v>2174</v>
      </c>
      <c r="S110" s="8" t="s">
        <v>2335</v>
      </c>
      <c r="T11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110" s="8" t="str">
        <f>", "&amp;'RAW (公開用)'!P273&amp;", "</f>
        <v xml:space="preserve">, **英語を日常的に使わない**, they/them/their/themselves, （クエスチョニング、模索中、または不明）, </v>
      </c>
      <c r="V110" s="8" t="s">
        <v>455</v>
      </c>
      <c r="W110" s="8" t="str">
        <f>", "&amp;'RAW (公開用)'!R273&amp;", "</f>
        <v xml:space="preserve">, 職場や学校における無理解, カムアウトできない, 社会の中でいないことにされる, 医療における無理解, ミスジェンダリング（誤った性別として扱うこと）, カムアウトを強制される, 家族／かぞくからの無理解, トイレなどのジェンダー化されたスペースの使用, </v>
      </c>
      <c r="X110" s="8" t="s">
        <v>237</v>
      </c>
      <c r="Y11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カムアウトできない, 社会の中でいないことにされる, 医療における無理解, ミスジェンダリング（誤った性別として扱うこと）, カムアウトを強制される, 家族／かぞくからの無理解, トイレなどのジェンダー化されたスペースの使用,  二元論的なジェンダーシステムによる排除(いろいろなところで問われる性別、スポーツ）、「ちゃん、くん」呼び分け、自分のジェンダー(かつセクシュアリティなど)を想定された上での会話(「彼氏/彼女いるの？」)</v>
      </c>
      <c r="Z110" s="8" t="s">
        <v>455</v>
      </c>
      <c r="AA110" s="8" t="str">
        <f>", "&amp;'RAW (公開用)'!U273&amp;", "</f>
        <v xml:space="preserve">, 戸籍上の性別の変更, 胸部の手術, </v>
      </c>
      <c r="AB110" s="8" t="str">
        <f>", "&amp;'RAW (公開用)'!V273&amp;", "</f>
        <v xml:space="preserve">, （上記のどれも経験していない）, </v>
      </c>
      <c r="AC110" s="8" t="s">
        <v>415</v>
      </c>
      <c r="AD11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お金、周囲の目、情報不足</v>
      </c>
      <c r="AE110" s="8" t="s">
        <v>464</v>
      </c>
      <c r="AF110" s="8" t="s">
        <v>457</v>
      </c>
      <c r="AG110" s="8" t="s">
        <v>458</v>
      </c>
      <c r="AH110" s="8"/>
      <c r="AI110" s="8">
        <f t="shared" si="4"/>
        <v>3</v>
      </c>
      <c r="AJ110" s="8"/>
      <c r="AK110" s="8"/>
      <c r="AL110" s="8"/>
      <c r="AM110" s="8"/>
      <c r="AN110" s="8"/>
    </row>
    <row r="111" spans="1:40" ht="25.5" hidden="1">
      <c r="A111" s="8">
        <v>110</v>
      </c>
      <c r="B111" s="11">
        <v>44970.206990393519</v>
      </c>
      <c r="C111" s="8" t="s">
        <v>452</v>
      </c>
      <c r="D111" s="8" t="s">
        <v>453</v>
      </c>
      <c r="E111" s="8" t="s">
        <v>452</v>
      </c>
      <c r="F111" s="8" t="s">
        <v>454</v>
      </c>
      <c r="G111" s="8" t="str">
        <f>", "&amp;'RAW (公開用)'!F111&amp;", "</f>
        <v xml:space="preserve">, 女性／woman, </v>
      </c>
      <c r="H111" s="8"/>
      <c r="I111" s="8" t="str">
        <f>", "&amp;'RAW (公開用)'!H111&amp;", "</f>
        <v xml:space="preserve">, （クエスチョニング、模索中、または不明）, </v>
      </c>
      <c r="J111" s="8" t="s">
        <v>2335</v>
      </c>
      <c r="K11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111" s="8" t="str">
        <f>", "&amp;'RAW (公開用)'!J111&amp;", "</f>
        <v xml:space="preserve">, **英語を日常的に使わない**, </v>
      </c>
      <c r="M111" s="8" t="s">
        <v>2335</v>
      </c>
      <c r="N11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11" s="8" t="str">
        <f>", "&amp;'RAW (公開用)'!L111&amp;", "</f>
        <v xml:space="preserve">, 自分, ぼく, （any／問わない／どれでもよい）, （時とともに変わる）, あたし, 俺, 私（わたし／わたくし）, 僕, おれ, わたし, </v>
      </c>
      <c r="P111" s="8" t="s">
        <v>2335</v>
      </c>
      <c r="Q11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ぼく, （any／問わない／どれでもよい）, （時とともに変わる）, あたし, 俺, 私（わたし／わたくし）, 僕, おれ, わたし,  , </v>
      </c>
      <c r="R111" s="8" t="str">
        <f>", "&amp;'RAW (公開用)'!N111&amp;", "</f>
        <v xml:space="preserve">, 彼, </v>
      </c>
      <c r="S111" s="8" t="s">
        <v>2335</v>
      </c>
      <c r="T11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111" s="8" t="str">
        <f>", "&amp;'RAW (公開用)'!P111&amp;", "</f>
        <v xml:space="preserve">, **英語を日常的に使わない**, </v>
      </c>
      <c r="V111" s="8" t="s">
        <v>455</v>
      </c>
      <c r="W111" s="8" t="str">
        <f>", "&amp;'RAW (公開用)'!R111&amp;", "</f>
        <v xml:space="preserve">, 性暴力, 社会の中でいないことにされる, </v>
      </c>
      <c r="X111" s="8" t="s">
        <v>288</v>
      </c>
      <c r="Y11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社会の中でいないことにされる,  見た目で性別を決めつけられる</v>
      </c>
      <c r="Z111" s="8" t="s">
        <v>455</v>
      </c>
      <c r="AA111" s="8" t="str">
        <f>", "&amp;'RAW (公開用)'!U111&amp;", "</f>
        <v xml:space="preserve">, 顔にかかわる手術, </v>
      </c>
      <c r="AB111" s="8" t="str">
        <f>", "&amp;'RAW (公開用)'!V111&amp;", "</f>
        <v xml:space="preserve">, （上記のどれも経験していない）, </v>
      </c>
      <c r="AC111" s="8"/>
      <c r="AD11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11" s="8" t="s">
        <v>464</v>
      </c>
      <c r="AF111" s="8" t="s">
        <v>457</v>
      </c>
      <c r="AG111" s="8" t="s">
        <v>458</v>
      </c>
      <c r="AH111" s="8"/>
      <c r="AI111" s="8">
        <f t="shared" si="4"/>
        <v>1</v>
      </c>
      <c r="AJ111" s="8"/>
      <c r="AK111" s="8"/>
      <c r="AL111" s="8"/>
      <c r="AM111" s="8"/>
      <c r="AN111" s="8"/>
    </row>
    <row r="112" spans="1:40" ht="38.25" hidden="1">
      <c r="A112" s="8">
        <v>111</v>
      </c>
      <c r="B112" s="11">
        <v>44970.22344887731</v>
      </c>
      <c r="C112" s="8" t="s">
        <v>452</v>
      </c>
      <c r="D112" s="8" t="s">
        <v>453</v>
      </c>
      <c r="E112" s="8" t="s">
        <v>452</v>
      </c>
      <c r="F112" s="8" t="s">
        <v>454</v>
      </c>
      <c r="G112" s="8" t="str">
        <f>", "&amp;'RAW (公開用)'!F112&amp;", "</f>
        <v xml:space="preserve">, ノンバイナリー, </v>
      </c>
      <c r="H112" s="8"/>
      <c r="I112" s="8" t="str">
        <f>", "&amp;'RAW (公開用)'!H112&amp;", "</f>
        <v xml:space="preserve">, さん, </v>
      </c>
      <c r="J112" s="8" t="s">
        <v>2335</v>
      </c>
      <c r="K11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12" s="8" t="str">
        <f>", "&amp;'RAW (公開用)'!J112&amp;", "</f>
        <v xml:space="preserve">, Mx., </v>
      </c>
      <c r="M112" s="8" t="s">
        <v>2335</v>
      </c>
      <c r="N11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112" s="8" t="str">
        <f>", "&amp;'RAW (公開用)'!L112&amp;", "</f>
        <v xml:space="preserve">, 自分, あたし, おれ, </v>
      </c>
      <c r="P112" s="8" t="s">
        <v>2335</v>
      </c>
      <c r="Q11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あたし, おれ,  , </v>
      </c>
      <c r="R112" s="8" t="str">
        <f>", "&amp;'RAW (公開用)'!N112&amp;", "</f>
        <v xml:space="preserve">, （自分（たち）の名前）, </v>
      </c>
      <c r="S112" s="8" t="s">
        <v>2335</v>
      </c>
      <c r="T11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12" s="8" t="str">
        <f>", "&amp;'RAW (公開用)'!P112&amp;", "</f>
        <v xml:space="preserve">, they/them/their/themself, </v>
      </c>
      <c r="V112" s="8" t="s">
        <v>455</v>
      </c>
      <c r="W112" s="8" t="str">
        <f>", "&amp;'RAW (公開用)'!R112&amp;", "</f>
        <v xml:space="preserve">, 職場や学校における無理解, 医療における無理解, カムアウトできない, 社会の中でいないことにされる, ミスジェンダリング（誤った性別として扱うこと）, LGBTQ+運動からの排斥, 家族／かぞくからの無理解, </v>
      </c>
      <c r="X112" s="8"/>
      <c r="Y11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医療における無理解, カムアウトできない, 社会の中でいないことにされる, ミスジェンダリング（誤った性別として扱うこと）, LGBTQ+運動からの排斥, 家族／かぞくからの無理解,  </v>
      </c>
      <c r="Z112" s="8" t="s">
        <v>455</v>
      </c>
      <c r="AA112" s="8" t="str">
        <f>", "&amp;'RAW (公開用)'!U112&amp;", "</f>
        <v xml:space="preserve">, 戸籍上の性別の変更, ジェンダークリニックの受診, 抗ホルモン療法, 声帯にかかわる手術, 胸部の手術, 性器にかかわる手術, </v>
      </c>
      <c r="AB112" s="8" t="str">
        <f>", "&amp;'RAW (公開用)'!V112&amp;", "</f>
        <v xml:space="preserve">, （上記のどれも経験していない）, </v>
      </c>
      <c r="AC112" s="8"/>
      <c r="AD11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12" s="8" t="s">
        <v>464</v>
      </c>
      <c r="AF112" s="8" t="s">
        <v>457</v>
      </c>
      <c r="AG112" s="8" t="s">
        <v>458</v>
      </c>
      <c r="AH112" s="8"/>
      <c r="AI112" s="8">
        <f t="shared" si="4"/>
        <v>1</v>
      </c>
      <c r="AJ112" s="8"/>
      <c r="AK112" s="8"/>
      <c r="AL112" s="8"/>
      <c r="AM112" s="8"/>
      <c r="AN112" s="8"/>
    </row>
    <row r="113" spans="1:40" ht="51" hidden="1">
      <c r="A113" s="8">
        <v>113</v>
      </c>
      <c r="B113" s="11">
        <v>44970.257193784724</v>
      </c>
      <c r="C113" s="8" t="s">
        <v>452</v>
      </c>
      <c r="D113" s="8" t="s">
        <v>453</v>
      </c>
      <c r="E113" s="8" t="s">
        <v>452</v>
      </c>
      <c r="F113" s="8" t="s">
        <v>454</v>
      </c>
      <c r="G113" s="8" t="str">
        <f>", "&amp;'RAW (公開用)'!F114&amp;", "</f>
        <v xml:space="preserve">, ジェンダーレス, 無し, ノンバイナリー, 無性, </v>
      </c>
      <c r="H113" s="8"/>
      <c r="I113" s="8" t="str">
        <f>", "&amp;'RAW (公開用)'!H114&amp;", "</f>
        <v xml:space="preserve">, （any／問わない／どれでもよい）, </v>
      </c>
      <c r="J113" s="8" t="s">
        <v>2335</v>
      </c>
      <c r="K11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13" s="8" t="str">
        <f>", "&amp;'RAW (公開用)'!J114&amp;", "</f>
        <v xml:space="preserve">, （敬称なし）, （クエスチョニング、模索中、または不明）, </v>
      </c>
      <c r="M113" s="8" t="s">
        <v>2335</v>
      </c>
      <c r="N11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（クエスチョニング、模索中、または不明）, , </v>
      </c>
      <c r="O113" s="8" t="str">
        <f>", "&amp;'RAW (公開用)'!L114&amp;", "</f>
        <v xml:space="preserve">, ぼく, 私（わたし／わたくし）, おれ, 俺, わたし, 僕, </v>
      </c>
      <c r="P113" s="8" t="s">
        <v>2335</v>
      </c>
      <c r="Q11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私（わたし／わたくし）, おれ, 俺, わたし, 僕,  , </v>
      </c>
      <c r="R113" s="8" t="s">
        <v>2174</v>
      </c>
      <c r="S113" s="8" t="s">
        <v>2335</v>
      </c>
      <c r="T11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113" s="8" t="str">
        <f>", "&amp;'RAW (公開用)'!P114&amp;", "</f>
        <v xml:space="preserve">, （クエスチョニング、模索中、または不明）, they/them/their/themselves, they/them/their/themself, </v>
      </c>
      <c r="V113" s="8" t="s">
        <v>455</v>
      </c>
      <c r="W113" s="8" t="str">
        <f>", "&amp;'RAW (公開用)'!R114&amp;", "</f>
        <v xml:space="preserve">, 職場や学校における無理解, 家族／かぞくからの無理解, カムアウトできない, トイレなどのジェンダー化されたスペースの使用, </v>
      </c>
      <c r="X113" s="8" t="s">
        <v>214</v>
      </c>
      <c r="Y11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家族／かぞくからの無理解, カムアウトできない, トイレなどのジェンダー化されたスペースの使用,  カムアウトしていないため身体的男性を理由に力仕事を要求されることがごく稀にある/多目的トイレ以外に洗面所を含め個室化された化粧室がない</v>
      </c>
      <c r="Z113" s="8" t="s">
        <v>455</v>
      </c>
      <c r="AA113" s="8" t="str">
        <f>", "&amp;'RAW (公開用)'!U114&amp;", "</f>
        <v xml:space="preserve">, 抗ホルモン療法, ホルモン補充療法（HRT）, 性器にかかわる手術, </v>
      </c>
      <c r="AB113" s="8" t="str">
        <f>", "&amp;'RAW (公開用)'!V114&amp;", "</f>
        <v xml:space="preserve">, （上記のどれも経験していない）, </v>
      </c>
      <c r="AC113" s="8" t="s">
        <v>316</v>
      </c>
      <c r="AD11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造膣や豊胸しない外科手術が存在しない(または存じない)</v>
      </c>
      <c r="AE113" s="8" t="s">
        <v>462</v>
      </c>
      <c r="AF113" s="8" t="s">
        <v>457</v>
      </c>
      <c r="AG113" s="8" t="s">
        <v>458</v>
      </c>
      <c r="AH113" s="8" t="s">
        <v>520</v>
      </c>
      <c r="AI113" s="8">
        <f t="shared" si="4"/>
        <v>4</v>
      </c>
      <c r="AJ113" s="8"/>
      <c r="AK113" s="8"/>
      <c r="AL113" s="8"/>
      <c r="AM113" s="8"/>
      <c r="AN113" s="8"/>
    </row>
    <row r="114" spans="1:40" ht="51" hidden="1">
      <c r="A114" s="8">
        <v>414</v>
      </c>
      <c r="B114" s="11">
        <v>44993.54247641204</v>
      </c>
      <c r="C114" s="8" t="s">
        <v>452</v>
      </c>
      <c r="D114" s="8" t="s">
        <v>453</v>
      </c>
      <c r="E114" s="8" t="s">
        <v>452</v>
      </c>
      <c r="F114" s="8" t="s">
        <v>454</v>
      </c>
      <c r="G114" s="8" t="str">
        <f>", "&amp;'RAW (公開用)'!F415&amp;", "</f>
        <v xml:space="preserve">, ノンバイナリー, Xジェンダー, X, </v>
      </c>
      <c r="H114" s="8"/>
      <c r="I114" s="8" t="str">
        <f>", "&amp;'RAW (公開用)'!H415&amp;", "</f>
        <v xml:space="preserve">, （クエスチョニング、模索中、または不明）, </v>
      </c>
      <c r="J114" s="73" t="s">
        <v>2344</v>
      </c>
      <c r="K11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（クエスチョニング、模索中、または不明）,  , 殿,</v>
      </c>
      <c r="L114" s="8" t="str">
        <f>", "&amp;'RAW (公開用)'!J415&amp;", "</f>
        <v xml:space="preserve">, -san, Dr.など、職業などにかかわるもの, </v>
      </c>
      <c r="M114" s="8" t="s">
        <v>2335</v>
      </c>
      <c r="N11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 </v>
      </c>
      <c r="O114" s="8" t="str">
        <f>", "&amp;'RAW (公開用)'!L415&amp;", "</f>
        <v xml:space="preserve">, （一人称の使用を避ける）, （自分（たち）の名前）, </v>
      </c>
      <c r="P114" s="73" t="s">
        <v>2389</v>
      </c>
      <c r="Q11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（一人称の使用を避ける）, （自分（たち）の名前）,  , われ,</v>
      </c>
      <c r="R114" s="8" t="str">
        <f>", "&amp;'RAW (公開用)'!N114&amp;", "</f>
        <v xml:space="preserve">, 彼, （自分（たち）の名前）, </v>
      </c>
      <c r="S114" s="8" t="s">
        <v>2335</v>
      </c>
      <c r="T11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（自分（たち）の名前）,  , </v>
      </c>
      <c r="U114" s="8" t="str">
        <f>", "&amp;'RAW (公開用)'!P415&amp;", "</f>
        <v xml:space="preserve">, they/them/their/themselves, </v>
      </c>
      <c r="V114" s="8" t="s">
        <v>455</v>
      </c>
      <c r="W114" s="8" t="str">
        <f>", "&amp;'RAW (公開用)'!R415&amp;", "</f>
        <v xml:space="preserve">, 社会の中でいないことにされる, 必要なジェンダーケアへアクセスできない, 職場や学校における無理解, カムアウトを強制される, LGBTQ+運動からの排斥, 医療における無理解, カムアウトできない, ミスジェンダリング（誤った性別として扱うこと）, </v>
      </c>
      <c r="X114" s="8"/>
      <c r="Y11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必要なジェンダーケアへアクセスできない, 職場や学校における無理解, カムアウトを強制される, LGBTQ+運動からの排斥, 医療における無理解, カムアウトできない, ミスジェンダリング（誤った性別として扱うこと）,  </v>
      </c>
      <c r="Z114" s="8" t="s">
        <v>455</v>
      </c>
      <c r="AA114" s="8" t="str">
        <f>", "&amp;'RAW (公開用)'!U415&amp;", "</f>
        <v xml:space="preserve">, 戸籍名の変更, </v>
      </c>
      <c r="AB114" s="105" t="s">
        <v>2443</v>
      </c>
      <c r="AC114" s="8"/>
      <c r="AD114"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14" s="8" t="s">
        <v>459</v>
      </c>
      <c r="AF114" s="8" t="s">
        <v>457</v>
      </c>
      <c r="AG114" s="8" t="s">
        <v>458</v>
      </c>
      <c r="AH114" s="8"/>
      <c r="AI114" s="8">
        <f t="shared" si="4"/>
        <v>3</v>
      </c>
      <c r="AJ114" s="8"/>
      <c r="AK114" s="8"/>
      <c r="AL114" s="8"/>
      <c r="AM114" s="8"/>
      <c r="AN114" s="8"/>
    </row>
    <row r="115" spans="1:40" ht="12.75" hidden="1">
      <c r="A115" s="8">
        <v>115</v>
      </c>
      <c r="B115" s="11">
        <v>44970.314152754625</v>
      </c>
      <c r="C115" s="8" t="s">
        <v>452</v>
      </c>
      <c r="D115" s="8" t="s">
        <v>453</v>
      </c>
      <c r="E115" s="8" t="s">
        <v>452</v>
      </c>
      <c r="F115" s="8" t="s">
        <v>454</v>
      </c>
      <c r="G115" s="8" t="str">
        <f>", "&amp;'RAW (公開用)'!F116&amp;", "</f>
        <v xml:space="preserve">, バイジェンダー, </v>
      </c>
      <c r="H115" s="8"/>
      <c r="I115" s="8" t="str">
        <f>", "&amp;'RAW (公開用)'!H116&amp;", "</f>
        <v xml:space="preserve">, ちゃん, </v>
      </c>
      <c r="J115" s="8" t="s">
        <v>2335</v>
      </c>
      <c r="K11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 </v>
      </c>
      <c r="L115" s="8" t="str">
        <f>", "&amp;'RAW (公開用)'!J116&amp;", "</f>
        <v xml:space="preserve">, **英語を日常的に使わない**, </v>
      </c>
      <c r="M115" s="8" t="s">
        <v>2335</v>
      </c>
      <c r="N11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15" s="8" t="str">
        <f>", "&amp;'RAW (公開用)'!L116&amp;", "</f>
        <v xml:space="preserve">, 私（わたし／わたくし）, </v>
      </c>
      <c r="P115" s="8" t="s">
        <v>2335</v>
      </c>
      <c r="Q11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115" s="8" t="str">
        <f>", "&amp;'RAW (公開用)'!N115&amp;", "</f>
        <v xml:space="preserve">, （自分（たち）の名前）, （三人称で言及してほしくない）, </v>
      </c>
      <c r="S115" s="8" t="s">
        <v>2335</v>
      </c>
      <c r="T11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115" s="8" t="str">
        <f>", "&amp;'RAW (公開用)'!P116&amp;", "</f>
        <v xml:space="preserve">, **英語を日常的に使わない**, </v>
      </c>
      <c r="V115" s="8" t="s">
        <v>455</v>
      </c>
      <c r="W115" s="8" t="str">
        <f>", "&amp;'RAW (公開用)'!R116&amp;", "</f>
        <v xml:space="preserve">, ミスジェンダリング（誤った性別として扱うこと）, </v>
      </c>
      <c r="X115" s="8"/>
      <c r="Y11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v>
      </c>
      <c r="Z115" s="8" t="s">
        <v>455</v>
      </c>
      <c r="AA115" s="8" t="str">
        <f>", "&amp;'RAW (公開用)'!U116&amp;", "</f>
        <v xml:space="preserve">, （上記のどれも希望していない）, </v>
      </c>
      <c r="AB115" s="8" t="str">
        <f>", "&amp;'RAW (公開用)'!V116&amp;", "</f>
        <v xml:space="preserve">, （上記のどれも経験していない）, </v>
      </c>
      <c r="AC115" s="8"/>
      <c r="AD11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15" s="8" t="s">
        <v>474</v>
      </c>
      <c r="AF115" s="8" t="s">
        <v>457</v>
      </c>
      <c r="AG115" s="8" t="s">
        <v>458</v>
      </c>
      <c r="AH115" s="8"/>
      <c r="AI115" s="8">
        <f t="shared" si="4"/>
        <v>1</v>
      </c>
      <c r="AJ115" s="8"/>
      <c r="AK115" s="8"/>
      <c r="AL115" s="8"/>
      <c r="AM115" s="8"/>
      <c r="AN115" s="8"/>
    </row>
    <row r="116" spans="1:40" ht="12.75" hidden="1">
      <c r="A116" s="8">
        <v>116</v>
      </c>
      <c r="B116" s="11">
        <v>44970.338701365741</v>
      </c>
      <c r="C116" s="8" t="s">
        <v>452</v>
      </c>
      <c r="D116" s="8" t="s">
        <v>453</v>
      </c>
      <c r="E116" s="8" t="s">
        <v>452</v>
      </c>
      <c r="F116" s="8" t="s">
        <v>454</v>
      </c>
      <c r="G116" s="8" t="str">
        <f>", "&amp;'RAW (公開用)'!F117&amp;", "</f>
        <v xml:space="preserve">, 男性／man, </v>
      </c>
      <c r="H116" s="8"/>
      <c r="I116" s="8" t="str">
        <f>", "&amp;'RAW (公開用)'!H117&amp;", "</f>
        <v xml:space="preserve">, （any／問わない／どれでもよい）, </v>
      </c>
      <c r="J116" s="8" t="s">
        <v>2335</v>
      </c>
      <c r="K11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16" s="8" t="str">
        <f>", "&amp;'RAW (公開用)'!J117&amp;", "</f>
        <v xml:space="preserve">, **英語を日常的に使わない**, </v>
      </c>
      <c r="M116" s="8" t="s">
        <v>2335</v>
      </c>
      <c r="N11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16" s="8" t="str">
        <f>", "&amp;'RAW (公開用)'!L117&amp;", "</f>
        <v xml:space="preserve">, （any／問わない／どれでもよい）, </v>
      </c>
      <c r="P116" s="8" t="s">
        <v>2335</v>
      </c>
      <c r="Q11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（any／問わない／どれでもよい）,  , </v>
      </c>
      <c r="R116" s="8" t="str">
        <f>", "&amp;'RAW (公開用)'!N116&amp;", "</f>
        <v xml:space="preserve">, 彼女, </v>
      </c>
      <c r="S116" s="8" t="s">
        <v>2335</v>
      </c>
      <c r="T11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116" s="8" t="str">
        <f>", "&amp;'RAW (公開用)'!P117&amp;", "</f>
        <v xml:space="preserve">, **英語を日常的に使わない**, </v>
      </c>
      <c r="V116" s="8" t="s">
        <v>472</v>
      </c>
      <c r="W116" s="8"/>
      <c r="X116" s="8"/>
      <c r="Y11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v>
      </c>
      <c r="Z116" s="8" t="s">
        <v>472</v>
      </c>
      <c r="AA116" s="8" t="s">
        <v>2174</v>
      </c>
      <c r="AB116" s="105" t="s">
        <v>2443</v>
      </c>
      <c r="AC116" s="8"/>
      <c r="AD11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16" s="8" t="s">
        <v>474</v>
      </c>
      <c r="AF116" s="8" t="s">
        <v>457</v>
      </c>
      <c r="AG116" s="8" t="s">
        <v>458</v>
      </c>
      <c r="AH116" s="8"/>
      <c r="AI116" s="8">
        <f t="shared" si="4"/>
        <v>1</v>
      </c>
      <c r="AJ116" s="8"/>
      <c r="AK116" s="8"/>
      <c r="AL116" s="8"/>
      <c r="AM116" s="8"/>
      <c r="AN116" s="8"/>
    </row>
    <row r="117" spans="1:40" ht="89.25" hidden="1">
      <c r="A117" s="8">
        <v>117</v>
      </c>
      <c r="B117" s="11">
        <v>44970.342077905094</v>
      </c>
      <c r="C117" s="8" t="s">
        <v>452</v>
      </c>
      <c r="D117" s="8" t="s">
        <v>453</v>
      </c>
      <c r="E117" s="8" t="s">
        <v>452</v>
      </c>
      <c r="F117" s="8" t="s">
        <v>454</v>
      </c>
      <c r="G117" s="8" t="str">
        <f>", "&amp;'RAW (公開用)'!F118&amp;", "</f>
        <v xml:space="preserve">, バイジェンダー, トランス*／trans*, ノンバイナリー, トランスジェンダー, 男性／man, フェム, enby／エンビー, **必ず選んでください**, トランス女性, 女性／woman, </v>
      </c>
      <c r="H117" s="8"/>
      <c r="I117" s="8" t="str">
        <f>", "&amp;'RAW (公開用)'!H118&amp;", "</f>
        <v xml:space="preserve">, （敬称なし）, </v>
      </c>
      <c r="J117" s="73" t="s">
        <v>2340</v>
      </c>
      <c r="K11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（敬称なし）,  , 同志,</v>
      </c>
      <c r="L117" s="8" t="str">
        <f>", "&amp;'RAW (公開用)'!J118&amp;", "</f>
        <v xml:space="preserve">, Mx., </v>
      </c>
      <c r="M117" s="8" t="s">
        <v>2422</v>
      </c>
      <c r="N11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Mx., , Comrade,</v>
      </c>
      <c r="O117" s="8" t="str">
        <f>", "&amp;'RAW (公開用)'!L118&amp;", "</f>
        <v xml:space="preserve">, 自分, 私（わたし／わたくし）, </v>
      </c>
      <c r="P117" s="8" t="s">
        <v>2335</v>
      </c>
      <c r="Q11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 </v>
      </c>
      <c r="R117" s="8" t="str">
        <f>", "&amp;'RAW (公開用)'!N117&amp;", "</f>
        <v xml:space="preserve">, （any／問わない／どれでもよい）, </v>
      </c>
      <c r="S117" s="8" t="s">
        <v>2335</v>
      </c>
      <c r="T11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117" s="8" t="str">
        <f>", "&amp;'RAW (公開用)'!P118&amp;", "</f>
        <v xml:space="preserve">, they/them/their/themself, </v>
      </c>
      <c r="V117" s="8" t="s">
        <v>455</v>
      </c>
      <c r="W117" s="8" t="str">
        <f>", "&amp;'RAW (公開用)'!R118&amp;", "</f>
        <v xml:space="preserve">, ミスジェンダリング（誤った性別として扱うこと）, LGBTQ+運動からの排斥, トイレなどのジェンダー化されたスペースの使用, 職場や学校における無理解, アウティング（勝手にジェンダーや指向についての情報を明かされること）, 家族／かぞくからの無理解, 医療における無理解, デッドネーミング（誤った名前で呼ばれること）, 必要なジェンダーケアへアクセスできない, 社会の中でいないことにされる, 性暴力, カムアウトを強制される, </v>
      </c>
      <c r="X117" s="8" t="s">
        <v>292</v>
      </c>
      <c r="Y11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LGBTQ+運動からの排斥, トイレなどのジェンダー化されたスペースの使用, 職場や学校における無理解, アウティング（勝手にジェンダーや指向についての情報を明かされること）, 家族／かぞくからの無理解, 医療における無理解, デッドネーミング（誤った名前で呼ばれること）, 必要なジェンダーケアへアクセスできない, 社会の中でいないことにされる, 性暴力, カムアウトを強制される,  貧困。自分の受けた性暴力を矮小化される事</v>
      </c>
      <c r="Z117" s="8" t="s">
        <v>455</v>
      </c>
      <c r="AA117" s="8" t="str">
        <f>", "&amp;'RAW (公開用)'!U118&amp;", "</f>
        <v xml:space="preserve">, 戸籍名の変更, 戸籍上の性別の変更, 抗ホルモン療法, ホルモン補充療法（HRT）, 顔にかかわる手術, 性器にかかわる手術, </v>
      </c>
      <c r="AB117" s="8" t="str">
        <f>", "&amp;'RAW (公開用)'!V118&amp;", "</f>
        <v xml:space="preserve">, 抗ホルモン療法, ホルモン補充療法（HRT）, </v>
      </c>
      <c r="AC117" s="8" t="s">
        <v>306</v>
      </c>
      <c r="AD117" s="8" t="str">
        <f>テーブル1[[#This Row],[以下のうち、経験したものをすべて選んでください]]&amp;" "&amp;テーブル1[[#This Row],[社会的、法的、医学的トランジションについて、困難なこと等がありましたらここにお書きください]]</f>
        <v>, 抗ホルモン療法, ホルモン補充療法（HRT）,  門番行為があるのでジェンダークリニックには行きたいとすら思わない</v>
      </c>
      <c r="AE117" s="8" t="s">
        <v>462</v>
      </c>
      <c r="AF117" s="8" t="s">
        <v>457</v>
      </c>
      <c r="AG117" s="8" t="s">
        <v>458</v>
      </c>
      <c r="AH117" s="8" t="s">
        <v>522</v>
      </c>
      <c r="AI117" s="8">
        <f t="shared" si="4"/>
        <v>9</v>
      </c>
      <c r="AJ117" s="8"/>
      <c r="AK117" s="8"/>
      <c r="AL117" s="8"/>
      <c r="AM117" s="8"/>
      <c r="AN117" s="8"/>
    </row>
    <row r="118" spans="1:40" ht="51" hidden="1">
      <c r="A118" s="8">
        <v>118</v>
      </c>
      <c r="B118" s="11">
        <v>44970.347222627315</v>
      </c>
      <c r="C118" s="8" t="s">
        <v>452</v>
      </c>
      <c r="D118" s="8" t="s">
        <v>453</v>
      </c>
      <c r="E118" s="8" t="s">
        <v>452</v>
      </c>
      <c r="F118" s="8" t="s">
        <v>454</v>
      </c>
      <c r="G118" s="8" t="str">
        <f>", "&amp;'RAW (公開用)'!F119&amp;", "</f>
        <v xml:space="preserve">, **必ず選んでください**, デミボーイ, デミジェンダー, ジェンダーフラックス／フラックスジェンダー, シスジェンダー, ジェンダー・ノンコンフォーミング／gender non-conforming, </v>
      </c>
      <c r="H118" s="8"/>
      <c r="I118" s="8" t="str">
        <f>", "&amp;'RAW (公開用)'!H119&amp;", "</f>
        <v xml:space="preserve">, くん／君, さん, </v>
      </c>
      <c r="J118" s="8" t="s">
        <v>2335</v>
      </c>
      <c r="K11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118" s="8" t="str">
        <f>", "&amp;'RAW (公開用)'!J119&amp;", "</f>
        <v xml:space="preserve">, **英語を日常的に使わない**, </v>
      </c>
      <c r="M118" s="8" t="s">
        <v>2335</v>
      </c>
      <c r="N11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18" s="8" t="str">
        <f>", "&amp;'RAW (公開用)'!L119&amp;", "</f>
        <v xml:space="preserve">, 俺, 自分, 僕, </v>
      </c>
      <c r="P118" s="8" t="s">
        <v>2335</v>
      </c>
      <c r="Q11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自分, 僕,  , </v>
      </c>
      <c r="R118" s="8" t="str">
        <f>", "&amp;'RAW (公開用)'!N118&amp;", "</f>
        <v xml:space="preserve">, （自分（たち）の名前）, 彼女, </v>
      </c>
      <c r="S118" s="8" t="s">
        <v>2335</v>
      </c>
      <c r="T11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118" s="8" t="str">
        <f>", "&amp;'RAW (公開用)'!P119&amp;", "</f>
        <v xml:space="preserve">, **英語を日常的に使わない**, </v>
      </c>
      <c r="V118" s="8" t="s">
        <v>455</v>
      </c>
      <c r="W118" s="8" t="s">
        <v>2174</v>
      </c>
      <c r="X118" s="8" t="s">
        <v>230</v>
      </c>
      <c r="Y11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無回答 ほぼ実害を被っていないが、男性の典型らしい要素を求められることに違和感を覚える。ノンバイナリーのマイクロラベルを持っていても、実態としてはシスジェンダーとほとんど変わらず、自分がジェンダーのマイノリティである感覚はかなり希薄。</v>
      </c>
      <c r="Z118" s="8" t="s">
        <v>455</v>
      </c>
      <c r="AA118" s="8" t="str">
        <f>", "&amp;'RAW (公開用)'!U119&amp;", "</f>
        <v xml:space="preserve">, （上記のどれも希望していない）, </v>
      </c>
      <c r="AB118" s="8" t="str">
        <f>", "&amp;'RAW (公開用)'!V119&amp;", "</f>
        <v xml:space="preserve">, （上記のどれも経験していない）, </v>
      </c>
      <c r="AC118" s="8"/>
      <c r="AD11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18" s="8" t="s">
        <v>462</v>
      </c>
      <c r="AF118" s="8" t="s">
        <v>457</v>
      </c>
      <c r="AG118" s="8" t="s">
        <v>458</v>
      </c>
      <c r="AH118" s="8" t="s">
        <v>523</v>
      </c>
      <c r="AI118" s="8">
        <f t="shared" si="4"/>
        <v>5</v>
      </c>
      <c r="AJ118" s="8"/>
      <c r="AK118" s="8"/>
      <c r="AL118" s="8"/>
      <c r="AM118" s="8"/>
      <c r="AN118" s="8"/>
    </row>
    <row r="119" spans="1:40" ht="38.25" hidden="1">
      <c r="A119" s="8">
        <v>237</v>
      </c>
      <c r="B119" s="11">
        <v>44971.937798344909</v>
      </c>
      <c r="C119" s="8" t="s">
        <v>452</v>
      </c>
      <c r="D119" s="8" t="s">
        <v>453</v>
      </c>
      <c r="E119" s="8" t="s">
        <v>452</v>
      </c>
      <c r="F119" s="8" t="s">
        <v>454</v>
      </c>
      <c r="G119" s="8" t="str">
        <f>", "&amp;'RAW (公開用)'!F238&amp;", "</f>
        <v xml:space="preserve">, X, **必ず選んでください**, 無性, ノンバイナリー, Xジェンダー, </v>
      </c>
      <c r="H119" s="8"/>
      <c r="I119" s="8" t="str">
        <f>", "&amp;'RAW (公開用)'!H238&amp;", "</f>
        <v xml:space="preserve">, さん, （敬称なし）, </v>
      </c>
      <c r="J119" s="8" t="s">
        <v>2335</v>
      </c>
      <c r="K11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119" s="8" t="str">
        <f>", "&amp;'RAW (公開用)'!J238&amp;", "</f>
        <v xml:space="preserve">, Dr.など、職業などにかかわるもの, **英語を日常的に使わない**, -san, </v>
      </c>
      <c r="M119" s="8" t="s">
        <v>2335</v>
      </c>
      <c r="N11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**英語を日常的に使わない**, -san, , </v>
      </c>
      <c r="O119" s="8" t="str">
        <f>", "&amp;'RAW (公開用)'!L238&amp;", "</f>
        <v xml:space="preserve">, わたし, 自分, 私（わたし／わたくし）, </v>
      </c>
      <c r="P119" s="8" t="s">
        <v>2335</v>
      </c>
      <c r="Q11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私（わたし／わたくし）,  , </v>
      </c>
      <c r="R119" s="8" t="str">
        <f>", "&amp;'RAW (公開用)'!N119&amp;", "</f>
        <v xml:space="preserve">, （三人称で言及してほしくない）, 彼, </v>
      </c>
      <c r="S119" s="8" t="s">
        <v>2355</v>
      </c>
      <c r="T11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彼,  , {この/その/あの}+人,</v>
      </c>
      <c r="U119" s="8" t="str">
        <f>", "&amp;'RAW (公開用)'!P238&amp;", "</f>
        <v xml:space="preserve">, **英語を日常的に使わない**, </v>
      </c>
      <c r="V119" s="8" t="s">
        <v>455</v>
      </c>
      <c r="W119" s="8" t="str">
        <f>", "&amp;'RAW (公開用)'!R238&amp;", "</f>
        <v xml:space="preserve">, 職場や学校における無理解, 社会の中でいないことにされる, トイレなどのジェンダー化されたスペースの使用, デッドネーミング（誤った名前で呼ばれること）, ミスジェンダリング（誤った性別として扱うこと）, </v>
      </c>
      <c r="X119" s="8"/>
      <c r="Y11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社会の中でいないことにされる, トイレなどのジェンダー化されたスペースの使用, デッドネーミング（誤った名前で呼ばれること）, ミスジェンダリング（誤った性別として扱うこと）,  </v>
      </c>
      <c r="Z119" s="8" t="s">
        <v>455</v>
      </c>
      <c r="AA119" s="8" t="str">
        <f>", "&amp;'RAW (公開用)'!U238&amp;", "</f>
        <v xml:space="preserve">, ジェンダークリニックの受診, 胸部の手術, </v>
      </c>
      <c r="AB119" s="8" t="str">
        <f>", "&amp;'RAW (公開用)'!V238&amp;", "</f>
        <v xml:space="preserve">, （上記のどれも経験していない）, </v>
      </c>
      <c r="AC119" s="8"/>
      <c r="AD11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19" s="8" t="s">
        <v>464</v>
      </c>
      <c r="AF119" s="8" t="s">
        <v>457</v>
      </c>
      <c r="AG119" s="8" t="s">
        <v>458</v>
      </c>
      <c r="AH119" s="8"/>
      <c r="AI119" s="8">
        <f t="shared" si="4"/>
        <v>4</v>
      </c>
      <c r="AJ119" s="8"/>
      <c r="AK119" s="8"/>
      <c r="AL119" s="8"/>
      <c r="AM119" s="8"/>
      <c r="AN119" s="8"/>
    </row>
    <row r="120" spans="1:40" ht="12.75" hidden="1">
      <c r="A120" s="8">
        <v>120</v>
      </c>
      <c r="B120" s="11">
        <v>44970.379113449075</v>
      </c>
      <c r="C120" s="8" t="s">
        <v>452</v>
      </c>
      <c r="D120" s="8" t="s">
        <v>453</v>
      </c>
      <c r="E120" s="8" t="s">
        <v>452</v>
      </c>
      <c r="F120" s="8" t="s">
        <v>454</v>
      </c>
      <c r="G120" s="8" t="str">
        <f>", "&amp;'RAW (公開用)'!F121&amp;", "</f>
        <v xml:space="preserve">, **必ず選んでください**, ノンバイナリー女性, クィア／Queer, </v>
      </c>
      <c r="H120" s="8"/>
      <c r="I120" s="8" t="str">
        <f>", "&amp;'RAW (公開用)'!H121&amp;", "</f>
        <v xml:space="preserve">, さん, </v>
      </c>
      <c r="J120" s="8" t="s">
        <v>2335</v>
      </c>
      <c r="K12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20" s="8" t="str">
        <f>", "&amp;'RAW (公開用)'!J121&amp;", "</f>
        <v xml:space="preserve">, （敬称なし）, </v>
      </c>
      <c r="M120" s="8" t="s">
        <v>2335</v>
      </c>
      <c r="N12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120" s="8" t="str">
        <f>", "&amp;'RAW (公開用)'!L121&amp;", "</f>
        <v xml:space="preserve">, 私（わたし／わたくし）, 自分, わし, </v>
      </c>
      <c r="P120" s="8" t="s">
        <v>2335</v>
      </c>
      <c r="Q12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わし,  , </v>
      </c>
      <c r="R120" s="8" t="str">
        <f>", "&amp;'RAW (公開用)'!N120&amp;", "</f>
        <v xml:space="preserve">, （三人称で言及してほしくない）, （自分（たち）の名前）, </v>
      </c>
      <c r="S120" s="8" t="s">
        <v>2335</v>
      </c>
      <c r="T12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120" s="8" t="str">
        <f>", "&amp;'RAW (公開用)'!P121&amp;", "</f>
        <v xml:space="preserve">, they/them/their/themself, she, </v>
      </c>
      <c r="V120" s="8" t="s">
        <v>455</v>
      </c>
      <c r="W120" s="8" t="str">
        <f>", "&amp;'RAW (公開用)'!R121&amp;", "</f>
        <v xml:space="preserve">, 家族／かぞくからの無理解, </v>
      </c>
      <c r="X120" s="8"/>
      <c r="Y12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v>
      </c>
      <c r="Z120" s="8" t="s">
        <v>472</v>
      </c>
      <c r="AA120" s="8" t="s">
        <v>2174</v>
      </c>
      <c r="AB120" s="105" t="s">
        <v>2443</v>
      </c>
      <c r="AC120" s="8"/>
      <c r="AD120"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20" s="8" t="s">
        <v>456</v>
      </c>
      <c r="AF120" s="8" t="s">
        <v>457</v>
      </c>
      <c r="AG120" s="8" t="s">
        <v>458</v>
      </c>
      <c r="AH120" s="8"/>
      <c r="AI120" s="8">
        <f t="shared" si="4"/>
        <v>2</v>
      </c>
      <c r="AJ120" s="8"/>
      <c r="AK120" s="8"/>
      <c r="AL120" s="8"/>
      <c r="AM120" s="8"/>
      <c r="AN120" s="8"/>
    </row>
    <row r="121" spans="1:40" ht="76.5" hidden="1">
      <c r="A121" s="8">
        <v>34</v>
      </c>
      <c r="B121" s="11">
        <v>44969.830598310189</v>
      </c>
      <c r="C121" s="8" t="s">
        <v>452</v>
      </c>
      <c r="D121" s="8" t="s">
        <v>453</v>
      </c>
      <c r="E121" s="8" t="s">
        <v>452</v>
      </c>
      <c r="F121" s="8" t="s">
        <v>454</v>
      </c>
      <c r="G121" s="8" t="str">
        <f>", "&amp;'RAW (公開用)'!F35&amp;", "</f>
        <v xml:space="preserve">, 不明／わからない, **必ず選んでください**, </v>
      </c>
      <c r="H121" s="8" t="s">
        <v>484</v>
      </c>
      <c r="I121" s="8" t="str">
        <f>", "&amp;'RAW (公開用)'!H35&amp;", "</f>
        <v xml:space="preserve">, さん, </v>
      </c>
      <c r="J121" s="8" t="s">
        <v>2335</v>
      </c>
      <c r="K12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21" s="8" t="str">
        <f>", "&amp;'RAW (公開用)'!J35&amp;", "</f>
        <v xml:space="preserve">, **英語を日常的に使わない**, （時とともに変わる）, Ms., </v>
      </c>
      <c r="M121" s="8" t="s">
        <v>2335</v>
      </c>
      <c r="N12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（時とともに変わる）, Ms., , </v>
      </c>
      <c r="O121" s="8" t="str">
        <f>", "&amp;'RAW (公開用)'!L35&amp;", "</f>
        <v xml:space="preserve">, 私（わたし／わたくし）, わし, 自分, 俺, </v>
      </c>
      <c r="P121" s="73" t="s">
        <v>2390</v>
      </c>
      <c r="Q12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わし, 自分, 俺,  , 儂,</v>
      </c>
      <c r="R121" s="8" t="str">
        <f>", "&amp;'RAW (公開用)'!N121&amp;", "</f>
        <v xml:space="preserve">, （自分（たち）の名前）, </v>
      </c>
      <c r="S121" s="16" t="s">
        <v>2355</v>
      </c>
      <c r="T12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121" s="8" t="str">
        <f>", "&amp;'RAW (公開用)'!P35&amp;", "</f>
        <v xml:space="preserve">, they/them/their/themselves, **英語を日常的に使わない**, she, </v>
      </c>
      <c r="V121" s="8" t="s">
        <v>455</v>
      </c>
      <c r="W121" s="8" t="str">
        <f>", "&amp;'RAW (公開用)'!R35&amp;", "</f>
        <v xml:space="preserve">, 性暴力, 職場や学校における無理解, ミスジェンダリング（誤った性別として扱うこと）, 家族／かぞくからの無理解, 必要なジェンダーケアへアクセスできない, トイレなどのジェンダー化されたスペースの使用, </v>
      </c>
      <c r="X121" s="8" t="s">
        <v>247</v>
      </c>
      <c r="Y12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職場や学校における無理解, ミスジェンダリング（誤った性別として扱うこと）, 家族／かぞくからの無理解, 必要なジェンダーケアへアクセスできない, トイレなどのジェンダー化されたスペースの使用,  女性ジェンダーや男性ジェンダーを押し付けられることを子供の頃から経験していて、毎度非常に不快になります。差別をしている意識が無い人が多く、最近は相手の知識に応じてそもそもコミュニケーションを避けるようにしています。</v>
      </c>
      <c r="Z121" s="8" t="s">
        <v>472</v>
      </c>
      <c r="AA121" s="8" t="s">
        <v>2174</v>
      </c>
      <c r="AB121" s="105" t="s">
        <v>2443</v>
      </c>
      <c r="AC121" s="8"/>
      <c r="AD121"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21" s="8" t="s">
        <v>459</v>
      </c>
      <c r="AF121" s="8" t="s">
        <v>457</v>
      </c>
      <c r="AG121" s="8" t="s">
        <v>458</v>
      </c>
      <c r="AH121" s="8" t="s">
        <v>486</v>
      </c>
      <c r="AI121" s="8">
        <f>((LEN(G121)-LEN(SUBSTITUTE(G121,", ","")))/LEN(", ")-1-(LEN(G121)-LEN(SUBSTITUTE(G121,"必ず","")))/LEN("必ず"))+(LEN(H121)-LEN(SUBSTITUTE(H121,",","")))</f>
        <v>3</v>
      </c>
      <c r="AJ121" s="8"/>
      <c r="AK121" s="8"/>
      <c r="AL121" s="8"/>
      <c r="AM121" s="8"/>
      <c r="AN121" s="8"/>
    </row>
    <row r="122" spans="1:40" ht="51" hidden="1">
      <c r="A122" s="8">
        <v>122</v>
      </c>
      <c r="B122" s="11">
        <v>44970.395939062495</v>
      </c>
      <c r="C122" s="8" t="s">
        <v>452</v>
      </c>
      <c r="D122" s="8" t="s">
        <v>453</v>
      </c>
      <c r="E122" s="8" t="s">
        <v>452</v>
      </c>
      <c r="F122" s="8" t="s">
        <v>454</v>
      </c>
      <c r="G122" s="8" t="str">
        <f>", "&amp;'RAW (公開用)'!F123&amp;", "</f>
        <v xml:space="preserve">, ジェンダークィア, クエスチョニング, ジェンダー・ノンコンフォーミング／gender non-conforming, 不明／わからない, </v>
      </c>
      <c r="H122" s="8"/>
      <c r="I122" s="8" t="str">
        <f>", "&amp;'RAW (公開用)'!H123&amp;", "</f>
        <v xml:space="preserve">, さん, くん／君, </v>
      </c>
      <c r="J122" s="8" t="s">
        <v>2335</v>
      </c>
      <c r="K12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122" s="8" t="str">
        <f>", "&amp;'RAW (公開用)'!J123&amp;", "</f>
        <v xml:space="preserve">, **英語を日常的に使わない**, </v>
      </c>
      <c r="M122" s="8" t="s">
        <v>2335</v>
      </c>
      <c r="N12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22" s="8" t="str">
        <f>", "&amp;'RAW (公開用)'!L123&amp;", "</f>
        <v xml:space="preserve">, 私（わたし／わたくし）, （一人称の使用を避ける）, わたし, </v>
      </c>
      <c r="P122" s="8" t="s">
        <v>2335</v>
      </c>
      <c r="Q12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（一人称の使用を避ける）, わたし,  , </v>
      </c>
      <c r="R122" s="8" t="str">
        <f>", "&amp;'RAW (公開用)'!N122&amp;", "</f>
        <v xml:space="preserve">, 彼人（かのと）, 彼人（かのひと）, </v>
      </c>
      <c r="S122" s="8" t="s">
        <v>2335</v>
      </c>
      <c r="T12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彼人（かのひと）,  , </v>
      </c>
      <c r="U122" s="8" t="str">
        <f>", "&amp;'RAW (公開用)'!P123&amp;", "</f>
        <v xml:space="preserve">, **英語を日常的に使わない**, they/them/their/themself, </v>
      </c>
      <c r="V122" s="8" t="s">
        <v>455</v>
      </c>
      <c r="W122" s="8" t="str">
        <f>", "&amp;'RAW (公開用)'!R123&amp;", "</f>
        <v xml:space="preserve">, 職場や学校における無理解, 社会の中でいないことにされる, カムアウトできない, アウティング（勝手にジェンダーや指向についての情報を明かされること）, 必要なジェンダーケアへアクセスできない, 家族／かぞくからの無理解, LGBTQ+運動からの排斥, 医療における無理解, </v>
      </c>
      <c r="X122" s="8"/>
      <c r="Y12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社会の中でいないことにされる, カムアウトできない, アウティング（勝手にジェンダーや指向についての情報を明かされること）, 必要なジェンダーケアへアクセスできない, 家族／かぞくからの無理解, LGBTQ+運動からの排斥, 医療における無理解,  </v>
      </c>
      <c r="Z122" s="8" t="s">
        <v>455</v>
      </c>
      <c r="AA122" s="8" t="str">
        <f>", "&amp;'RAW (公開用)'!U123&amp;", "</f>
        <v xml:space="preserve">, ジェンダークリニックの受診, </v>
      </c>
      <c r="AB122" s="8" t="str">
        <f>", "&amp;'RAW (公開用)'!V123&amp;", "</f>
        <v xml:space="preserve">, （上記のどれも経験していない）, </v>
      </c>
      <c r="AC122" s="8"/>
      <c r="AD12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22" s="8" t="s">
        <v>459</v>
      </c>
      <c r="AF122" s="8" t="s">
        <v>457</v>
      </c>
      <c r="AG122" s="8" t="s">
        <v>458</v>
      </c>
      <c r="AH122" s="8" t="s">
        <v>525</v>
      </c>
      <c r="AI122" s="8">
        <f t="shared" ref="AI122:AI128" si="5">(LEN(G122)-LEN(SUBSTITUTE(G122,", ","")))/LEN(", ")-1-(LEN(G122)-LEN(SUBSTITUTE(G122,"必ず","")))/LEN("必ず")</f>
        <v>4</v>
      </c>
      <c r="AJ122" s="8"/>
      <c r="AK122" s="8"/>
      <c r="AL122" s="8"/>
      <c r="AM122" s="8"/>
      <c r="AN122" s="8"/>
    </row>
    <row r="123" spans="1:40" ht="12.75" hidden="1">
      <c r="A123" s="8">
        <v>123</v>
      </c>
      <c r="B123" s="11">
        <v>44970.405927025466</v>
      </c>
      <c r="C123" s="8" t="s">
        <v>452</v>
      </c>
      <c r="D123" s="8" t="s">
        <v>453</v>
      </c>
      <c r="E123" s="8" t="s">
        <v>452</v>
      </c>
      <c r="F123" s="8" t="s">
        <v>454</v>
      </c>
      <c r="G123" s="8" t="str">
        <f>", "&amp;'RAW (公開用)'!F124&amp;", "</f>
        <v xml:space="preserve">, 青年, ノンバイナリー, 不明／わからない, </v>
      </c>
      <c r="H123" s="8"/>
      <c r="I123" s="8" t="str">
        <f>", "&amp;'RAW (公開用)'!H124&amp;", "</f>
        <v xml:space="preserve">, くん／君, さん, （any／問わない／どれでもよい）, （敬称なし）, </v>
      </c>
      <c r="J123" s="8" t="s">
        <v>2335</v>
      </c>
      <c r="K12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（any／問わない／どれでもよい）, （敬称なし）,  , </v>
      </c>
      <c r="L123" s="8" t="str">
        <f>", "&amp;'RAW (公開用)'!J124&amp;", "</f>
        <v xml:space="preserve">, -san, （敬称なし）, </v>
      </c>
      <c r="M123" s="8" t="s">
        <v>2335</v>
      </c>
      <c r="N12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123" s="8" t="str">
        <f>", "&amp;'RAW (公開用)'!L124&amp;", "</f>
        <v xml:space="preserve">, 自分, 私（わたし／わたくし）, （一人称の使用を避ける）, </v>
      </c>
      <c r="P123" s="8" t="s">
        <v>2335</v>
      </c>
      <c r="Q12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（一人称の使用を避ける）,  , </v>
      </c>
      <c r="R123" s="8" t="str">
        <f>", "&amp;'RAW (公開用)'!N123&amp;", "</f>
        <v xml:space="preserve">, （三人称で言及してほしくない）, </v>
      </c>
      <c r="S123" s="8" t="s">
        <v>2335</v>
      </c>
      <c r="T12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23" s="8" t="str">
        <f>", "&amp;'RAW (公開用)'!P124&amp;", "</f>
        <v xml:space="preserve">, they/them/their/themselves, **英語を日常的に使わない**, </v>
      </c>
      <c r="V123" s="8" t="s">
        <v>455</v>
      </c>
      <c r="W123" s="8" t="str">
        <f>", "&amp;'RAW (公開用)'!R124&amp;", "</f>
        <v xml:space="preserve">, 社会の中でいないことにされる, </v>
      </c>
      <c r="X123" s="8"/>
      <c r="Y12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123" s="8" t="s">
        <v>455</v>
      </c>
      <c r="AA123" s="8" t="str">
        <f>", "&amp;'RAW (公開用)'!U124&amp;", "</f>
        <v xml:space="preserve">, 戸籍名の変更, 戸籍上の性別の変更, </v>
      </c>
      <c r="AB123" s="8" t="str">
        <f>", "&amp;'RAW (公開用)'!V124&amp;", "</f>
        <v xml:space="preserve">, （上記のどれも経験していない）, </v>
      </c>
      <c r="AC123" s="8"/>
      <c r="AD12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23" s="8" t="s">
        <v>462</v>
      </c>
      <c r="AF123" s="8" t="s">
        <v>457</v>
      </c>
      <c r="AG123" s="8" t="s">
        <v>458</v>
      </c>
      <c r="AH123" s="8"/>
      <c r="AI123" s="8">
        <f t="shared" si="5"/>
        <v>3</v>
      </c>
      <c r="AJ123" s="8"/>
      <c r="AK123" s="8"/>
      <c r="AL123" s="8"/>
      <c r="AM123" s="8"/>
      <c r="AN123" s="8"/>
    </row>
    <row r="124" spans="1:40" ht="51" hidden="1">
      <c r="A124" s="8">
        <v>124</v>
      </c>
      <c r="B124" s="11">
        <v>44970.407155717592</v>
      </c>
      <c r="C124" s="8" t="s">
        <v>452</v>
      </c>
      <c r="D124" s="8" t="s">
        <v>453</v>
      </c>
      <c r="E124" s="8" t="s">
        <v>452</v>
      </c>
      <c r="F124" s="8" t="s">
        <v>454</v>
      </c>
      <c r="G124" s="8" t="str">
        <f>", "&amp;'RAW (公開用)'!F125&amp;", "</f>
        <v xml:space="preserve">, ノンバイナリー, Xジェンダー, </v>
      </c>
      <c r="H124" s="8"/>
      <c r="I124" s="8" t="str">
        <f>", "&amp;'RAW (公開用)'!H125&amp;", "</f>
        <v xml:space="preserve">, さん, </v>
      </c>
      <c r="J124" s="8" t="s">
        <v>2335</v>
      </c>
      <c r="K12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24" s="8" t="str">
        <f>", "&amp;'RAW (公開用)'!J125&amp;", "</f>
        <v xml:space="preserve">, **英語を日常的に使わない**, </v>
      </c>
      <c r="M124" s="8" t="s">
        <v>2335</v>
      </c>
      <c r="N12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24" s="8" t="str">
        <f>", "&amp;'RAW (公開用)'!L125&amp;", "</f>
        <v xml:space="preserve">, 自分, 私（わたし／わたくし）, 俺, </v>
      </c>
      <c r="P124" s="8" t="s">
        <v>2335</v>
      </c>
      <c r="Q12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俺,  , </v>
      </c>
      <c r="R124" s="8" t="str">
        <f>", "&amp;'RAW (公開用)'!N124&amp;", "</f>
        <v xml:space="preserve">, （三人称で言及してほしくない）, かれ, </v>
      </c>
      <c r="S124" s="8" t="s">
        <v>2335</v>
      </c>
      <c r="T12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かれ,  , </v>
      </c>
      <c r="U124" s="8" t="str">
        <f>", "&amp;'RAW (公開用)'!P125&amp;", "</f>
        <v xml:space="preserve">, **英語を日常的に使わない**, </v>
      </c>
      <c r="V124" s="8" t="s">
        <v>455</v>
      </c>
      <c r="W124" s="8" t="str">
        <f>", "&amp;'RAW (公開用)'!R125&amp;", "</f>
        <v xml:space="preserve">, 社会の中でいないことにされる, ミスジェンダリング（誤った性別として扱うこと）, </v>
      </c>
      <c r="X124" s="8" t="s">
        <v>222</v>
      </c>
      <c r="Y12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ミスジェンダリング（誤った性別として扱うこと）,  どちらかの性別ではないのに、勝手に身体性別と見なされ、恋愛対象として友達から見られることが不安だ。身体が同性だからと言って過度なボディータッチはしていいものではない。</v>
      </c>
      <c r="Z124" s="8" t="s">
        <v>455</v>
      </c>
      <c r="AA124" s="8" t="str">
        <f>", "&amp;'RAW (公開用)'!U125&amp;", "</f>
        <v xml:space="preserve">, （上記のどれも希望していない）, </v>
      </c>
      <c r="AB124" s="8" t="str">
        <f>", "&amp;'RAW (公開用)'!V125&amp;", "</f>
        <v xml:space="preserve">, （上記のどれも経験していない）, </v>
      </c>
      <c r="AC124" s="8"/>
      <c r="AD12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24" s="8" t="s">
        <v>462</v>
      </c>
      <c r="AF124" s="8" t="s">
        <v>457</v>
      </c>
      <c r="AG124" s="8" t="s">
        <v>458</v>
      </c>
      <c r="AH124" s="8" t="s">
        <v>526</v>
      </c>
      <c r="AI124" s="8">
        <f t="shared" si="5"/>
        <v>2</v>
      </c>
      <c r="AJ124" s="8"/>
      <c r="AK124" s="8"/>
      <c r="AL124" s="8"/>
      <c r="AM124" s="8"/>
      <c r="AN124" s="8"/>
    </row>
    <row r="125" spans="1:40" ht="51" hidden="1">
      <c r="A125" s="8">
        <v>154</v>
      </c>
      <c r="B125" s="11">
        <v>44970.741857280096</v>
      </c>
      <c r="C125" s="8" t="s">
        <v>452</v>
      </c>
      <c r="D125" s="8" t="s">
        <v>453</v>
      </c>
      <c r="E125" s="8" t="s">
        <v>452</v>
      </c>
      <c r="F125" s="8" t="s">
        <v>454</v>
      </c>
      <c r="G125" s="8" t="str">
        <f>", "&amp;'RAW (公開用)'!F155&amp;", "</f>
        <v xml:space="preserve">, enby／エンビー, クィア／Queer, ノンバイナリー, **必ず選んでください**, トランスフェミニン, ジェンダークィア, クエスチョニング, 中性, </v>
      </c>
      <c r="H125" s="8"/>
      <c r="I125" s="8" t="str">
        <f>", "&amp;'RAW (公開用)'!H155&amp;", "</f>
        <v xml:space="preserve">, さん, ちゃん, （クエスチョニング、模索中、または不明）, </v>
      </c>
      <c r="J125" s="8" t="s">
        <v>2335</v>
      </c>
      <c r="K12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（クエスチョニング、模索中、または不明）,  , </v>
      </c>
      <c r="L125" s="8" t="str">
        <f>", "&amp;'RAW (公開用)'!J155&amp;", "</f>
        <v xml:space="preserve">, -san, （クエスチョニング、模索中、または不明）, </v>
      </c>
      <c r="M125" s="8" t="s">
        <v>2335</v>
      </c>
      <c r="N12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（クエスチョニング、模索中、または不明）, , </v>
      </c>
      <c r="O125" s="8" t="str">
        <f>", "&amp;'RAW (公開用)'!L155&amp;", "</f>
        <v xml:space="preserve">, 私（わたし／わたくし）, （クエスチョニング、模索中、または不明）, 自分, </v>
      </c>
      <c r="P125" s="8" t="s">
        <v>2335</v>
      </c>
      <c r="Q12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（クエスチョニング、模索中、または不明）, 自分,  , </v>
      </c>
      <c r="R125" s="8" t="str">
        <f>", "&amp;'RAW (公開用)'!N125&amp;", "</f>
        <v xml:space="preserve">, （自分（たち）の名前）, </v>
      </c>
      <c r="S125" s="8" t="s">
        <v>2356</v>
      </c>
      <c r="T12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{この/その/あの}+ひと,</v>
      </c>
      <c r="U125" s="8" t="str">
        <f>", "&amp;'RAW (公開用)'!P155&amp;", "</f>
        <v xml:space="preserve">, they/them/their/themself, she, （クエスチョニング、模索中、または不明）, </v>
      </c>
      <c r="V125" s="8" t="s">
        <v>455</v>
      </c>
      <c r="W125" s="8" t="str">
        <f>", "&amp;'RAW (公開用)'!R155&amp;", "</f>
        <v xml:space="preserve">, ミスジェンダリング（誤った性別として扱うこと）, 必要なジェンダーケアへアクセスできない, トイレなどのジェンダー化されたスペースの使用, 家族／かぞくからの無理解, カムアウトできない, 社会の中でいないことにされる, </v>
      </c>
      <c r="X125" s="8" t="s">
        <v>293</v>
      </c>
      <c r="Y12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必要なジェンダーケアへアクセスできない, トイレなどのジェンダー化されたスペースの使用, 家族／かぞくからの無理解, カムアウトできない, 社会の中でいないことにされる,  軽く見られている気がする</v>
      </c>
      <c r="Z125" s="8" t="s">
        <v>455</v>
      </c>
      <c r="AA125" s="8" t="str">
        <f>", "&amp;'RAW (公開用)'!U155&amp;", "</f>
        <v xml:space="preserve">, 戸籍名の変更, ジェンダークリニックの受診, 胸部の手術, </v>
      </c>
      <c r="AB125" s="8" t="str">
        <f>", "&amp;'RAW (公開用)'!V155&amp;", "</f>
        <v xml:space="preserve">, （上記のどれも経験していない）, </v>
      </c>
      <c r="AC125" s="8"/>
      <c r="AD12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25" s="8" t="s">
        <v>462</v>
      </c>
      <c r="AF125" s="8" t="s">
        <v>457</v>
      </c>
      <c r="AG125" s="8" t="s">
        <v>458</v>
      </c>
      <c r="AH125" s="8" t="s">
        <v>537</v>
      </c>
      <c r="AI125" s="8">
        <f t="shared" si="5"/>
        <v>7</v>
      </c>
      <c r="AJ125" s="8"/>
      <c r="AK125" s="8"/>
      <c r="AL125" s="8"/>
      <c r="AM125" s="8"/>
      <c r="AN125" s="8"/>
    </row>
    <row r="126" spans="1:40" ht="25.5" hidden="1">
      <c r="A126" s="8">
        <v>126</v>
      </c>
      <c r="B126" s="11">
        <v>44970.425248240739</v>
      </c>
      <c r="C126" s="8" t="s">
        <v>452</v>
      </c>
      <c r="D126" s="8" t="s">
        <v>453</v>
      </c>
      <c r="E126" s="8" t="s">
        <v>452</v>
      </c>
      <c r="F126" s="8" t="s">
        <v>454</v>
      </c>
      <c r="G126" s="8" t="str">
        <f>", "&amp;'RAW (公開用)'!F127&amp;", "</f>
        <v xml:space="preserve">, ノンバイナリー, 中性, 不定性, （ジェンダー・）フルイド／（ジェンダー・）フリュイド／（ジェンダー・）フルイッド, </v>
      </c>
      <c r="H126" s="8"/>
      <c r="I126" s="8" t="str">
        <f>", "&amp;'RAW (公開用)'!H127&amp;", "</f>
        <v xml:space="preserve">, さん, </v>
      </c>
      <c r="J126" s="8" t="s">
        <v>2335</v>
      </c>
      <c r="K12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26" s="8" t="str">
        <f>", "&amp;'RAW (公開用)'!J127&amp;", "</f>
        <v xml:space="preserve">, **英語を日常的に使わない**, </v>
      </c>
      <c r="M126" s="8" t="s">
        <v>2335</v>
      </c>
      <c r="N12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26" s="8" t="str">
        <f>", "&amp;'RAW (公開用)'!L127&amp;", "</f>
        <v xml:space="preserve">, 私（わたし／わたくし）, （any／問わない／どれでもよい）, </v>
      </c>
      <c r="P126" s="8" t="s">
        <v>2335</v>
      </c>
      <c r="Q12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（any／問わない／どれでもよい）,  , </v>
      </c>
      <c r="R126" s="8" t="str">
        <f>", "&amp;'RAW (公開用)'!N126&amp;", "</f>
        <v xml:space="preserve">, （自分（たち）の名前）, </v>
      </c>
      <c r="S126" s="8" t="s">
        <v>2335</v>
      </c>
      <c r="T12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26" s="8" t="str">
        <f>", "&amp;'RAW (公開用)'!P127&amp;", "</f>
        <v xml:space="preserve">, **英語を日常的に使わない**, </v>
      </c>
      <c r="V126" s="8" t="s">
        <v>455</v>
      </c>
      <c r="W126" s="8" t="str">
        <f>", "&amp;'RAW (公開用)'!R127&amp;", "</f>
        <v xml:space="preserve">, 職場や学校における無理解, 家族／かぞくからの無理解, ミスジェンダリング（誤った性別として扱うこと）, 社会の中でいないことにされる, </v>
      </c>
      <c r="X126" s="8"/>
      <c r="Y12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家族／かぞくからの無理解, ミスジェンダリング（誤った性別として扱うこと）, 社会の中でいないことにされる,  </v>
      </c>
      <c r="Z126" s="8" t="s">
        <v>455</v>
      </c>
      <c r="AA126" s="8" t="str">
        <f>", "&amp;'RAW (公開用)'!U127&amp;", "</f>
        <v xml:space="preserve">, 顔にかかわる手術, </v>
      </c>
      <c r="AB126" s="8" t="str">
        <f>", "&amp;'RAW (公開用)'!V127&amp;", "</f>
        <v xml:space="preserve">, （上記のどれも経験していない）, </v>
      </c>
      <c r="AC126" s="8"/>
      <c r="AD12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26" s="8" t="s">
        <v>462</v>
      </c>
      <c r="AF126" s="8" t="s">
        <v>457</v>
      </c>
      <c r="AG126" s="8" t="s">
        <v>458</v>
      </c>
      <c r="AH126" s="8"/>
      <c r="AI126" s="8">
        <f t="shared" si="5"/>
        <v>4</v>
      </c>
      <c r="AJ126" s="8"/>
      <c r="AK126" s="8"/>
      <c r="AL126" s="8"/>
      <c r="AM126" s="8"/>
      <c r="AN126" s="8"/>
    </row>
    <row r="127" spans="1:40" ht="63.75" hidden="1">
      <c r="A127" s="8">
        <v>127</v>
      </c>
      <c r="B127" s="11">
        <v>44970.452609548607</v>
      </c>
      <c r="C127" s="8" t="s">
        <v>452</v>
      </c>
      <c r="D127" s="8" t="s">
        <v>453</v>
      </c>
      <c r="E127" s="8" t="s">
        <v>452</v>
      </c>
      <c r="F127" s="8" t="s">
        <v>454</v>
      </c>
      <c r="G127" s="8" t="str">
        <f>", "&amp;'RAW (公開用)'!F128&amp;", "</f>
        <v xml:space="preserve">, デミボーイ, ジェンダーフラックス／フラックスジェンダー, ニュートラル, 不定性, enby／エンビー, 男の子／boy, デミAジェンダー, 中性, （ジェンダー・）フルイド／（ジェンダー・）フリュイド／（ジェンダー・）フルイッド, トランスジェンダー, 両性, </v>
      </c>
      <c r="H127" s="8"/>
      <c r="I127" s="8" t="str">
        <f>", "&amp;'RAW (公開用)'!H128&amp;", "</f>
        <v xml:space="preserve">, くん／君, さん, </v>
      </c>
      <c r="J127" s="8" t="s">
        <v>2335</v>
      </c>
      <c r="K12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127" s="8" t="str">
        <f>", "&amp;'RAW (公開用)'!J128&amp;", "</f>
        <v xml:space="preserve">, **英語を日常的に使わない**, </v>
      </c>
      <c r="M127" s="8" t="s">
        <v>2335</v>
      </c>
      <c r="N12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27" s="8" t="str">
        <f>", "&amp;'RAW (公開用)'!L128&amp;", "</f>
        <v xml:space="preserve">, （時とともに変わる）, ぼく, あたし, わたし, 自分, うち, </v>
      </c>
      <c r="P127" s="8" t="s">
        <v>2335</v>
      </c>
      <c r="Q12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ぼく, あたし, わたし, 自分, うち,  , </v>
      </c>
      <c r="R127" s="8" t="str">
        <f>", "&amp;'RAW (公開用)'!N127&amp;", "</f>
        <v xml:space="preserve">, （自分（たち）の名前）, </v>
      </c>
      <c r="S127" s="8" t="s">
        <v>2335</v>
      </c>
      <c r="T12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27" s="8" t="str">
        <f>", "&amp;'RAW (公開用)'!P128&amp;", "</f>
        <v xml:space="preserve">, **英語を日常的に使わない**, </v>
      </c>
      <c r="V127" s="8" t="s">
        <v>455</v>
      </c>
      <c r="W127" s="8" t="str">
        <f>", "&amp;'RAW (公開用)'!R128&amp;", "</f>
        <v xml:space="preserve">, LGBTQ+運動からの排斥, 社会の中でいないことにされる, 性暴力, 医療における無理解, 必要なジェンダーケアへアクセスできない, トイレなどのジェンダー化されたスペースの使用, 家族／かぞくからの無理解, アウティング（勝手にジェンダーや指向についての情報を明かされること）, カムアウトを強制される, カムアウトできない, 職場や学校における無理解, </v>
      </c>
      <c r="X127" s="8"/>
      <c r="Y12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社会の中でいないことにされる, 性暴力, 医療における無理解, 必要なジェンダーケアへアクセスできない, トイレなどのジェンダー化されたスペースの使用, 家族／かぞくからの無理解, アウティング（勝手にジェンダーや指向についての情報を明かされること）, カムアウトを強制される, カムアウトできない, 職場や学校における無理解,  </v>
      </c>
      <c r="Z127" s="8" t="s">
        <v>455</v>
      </c>
      <c r="AA127" s="8" t="str">
        <f>", "&amp;'RAW (公開用)'!U128&amp;", "</f>
        <v xml:space="preserve">, 戸籍上の性別の変更, 胸部の手術, 性器にかかわる手術, </v>
      </c>
      <c r="AB127" s="8" t="str">
        <f>", "&amp;'RAW (公開用)'!V128&amp;", "</f>
        <v xml:space="preserve">, （上記のどれも経験していない）, </v>
      </c>
      <c r="AC127" s="8"/>
      <c r="AD12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27" s="8" t="s">
        <v>459</v>
      </c>
      <c r="AF127" s="8" t="s">
        <v>457</v>
      </c>
      <c r="AG127" s="8" t="s">
        <v>458</v>
      </c>
      <c r="AH127" s="8"/>
      <c r="AI127" s="8">
        <f t="shared" si="5"/>
        <v>11</v>
      </c>
      <c r="AJ127" s="8"/>
      <c r="AK127" s="8"/>
      <c r="AL127" s="8"/>
      <c r="AM127" s="8"/>
      <c r="AN127" s="8"/>
    </row>
    <row r="128" spans="1:40" ht="25.5" hidden="1">
      <c r="A128" s="8">
        <v>415</v>
      </c>
      <c r="B128" s="11">
        <v>44993.56598561343</v>
      </c>
      <c r="C128" s="8" t="s">
        <v>452</v>
      </c>
      <c r="D128" s="8" t="s">
        <v>453</v>
      </c>
      <c r="E128" s="8" t="s">
        <v>452</v>
      </c>
      <c r="F128" s="8" t="s">
        <v>454</v>
      </c>
      <c r="G128" s="8" t="str">
        <f>", "&amp;'RAW (公開用)'!F416&amp;", "</f>
        <v xml:space="preserve">, 無性, X, **必ず選んでください**, </v>
      </c>
      <c r="H128" s="8"/>
      <c r="I128" s="8" t="str">
        <f>", "&amp;'RAW (公開用)'!H416&amp;", "</f>
        <v xml:space="preserve">, くん／君, さん, </v>
      </c>
      <c r="J128" s="8" t="s">
        <v>2335</v>
      </c>
      <c r="K12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128" s="8" t="str">
        <f>", "&amp;'RAW (公開用)'!J416&amp;", "</f>
        <v xml:space="preserve">, **英語を日常的に使わない**, </v>
      </c>
      <c r="M128" s="8" t="s">
        <v>2335</v>
      </c>
      <c r="N12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28" s="8" t="str">
        <f>", "&amp;'RAW (公開用)'!L416&amp;", "</f>
        <v xml:space="preserve">, 私（わたし／わたくし）, </v>
      </c>
      <c r="P128" s="73" t="s">
        <v>2391</v>
      </c>
      <c r="Q12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 わい, ミー(me),</v>
      </c>
      <c r="R128" s="8" t="str">
        <f>", "&amp;'RAW (公開用)'!N128&amp;", "</f>
        <v xml:space="preserve">, 彼人（かのひと）, 彼, かれ, 彼人（かのと）, </v>
      </c>
      <c r="S128" s="8" t="s">
        <v>2335</v>
      </c>
      <c r="T12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彼, かれ, 彼人（かのと）,  , </v>
      </c>
      <c r="U128" s="8" t="str">
        <f>", "&amp;'RAW (公開用)'!P416&amp;", "</f>
        <v xml:space="preserve">, **英語を日常的に使わない**, </v>
      </c>
      <c r="V128" s="8" t="s">
        <v>455</v>
      </c>
      <c r="W128" s="8" t="str">
        <f>", "&amp;'RAW (公開用)'!R416&amp;", "</f>
        <v xml:space="preserve">, ミスジェンダリング（誤った性別として扱うこと）, カムアウトできない, トイレなどのジェンダー化されたスペースの使用, </v>
      </c>
      <c r="X128" s="8"/>
      <c r="Y12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トイレなどのジェンダー化されたスペースの使用,  </v>
      </c>
      <c r="Z128" s="8" t="s">
        <v>455</v>
      </c>
      <c r="AA128" s="8" t="str">
        <f>", "&amp;'RAW (公開用)'!U416&amp;", "</f>
        <v xml:space="preserve">, 胸部の手術, </v>
      </c>
      <c r="AB128" s="8" t="str">
        <f>", "&amp;'RAW (公開用)'!V416&amp;", "</f>
        <v xml:space="preserve">, ジェンダークリニックの受診, </v>
      </c>
      <c r="AC128" s="8"/>
      <c r="AD128"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128" s="8" t="s">
        <v>462</v>
      </c>
      <c r="AF128" s="8" t="s">
        <v>457</v>
      </c>
      <c r="AG128" s="8" t="s">
        <v>458</v>
      </c>
      <c r="AH128" s="8"/>
      <c r="AI128" s="8">
        <f t="shared" si="5"/>
        <v>2</v>
      </c>
      <c r="AJ128" s="8"/>
      <c r="AK128" s="8"/>
      <c r="AL128" s="8"/>
      <c r="AM128" s="8"/>
      <c r="AN128" s="8"/>
    </row>
    <row r="129" spans="1:40" ht="38.25" hidden="1">
      <c r="A129" s="8">
        <v>74</v>
      </c>
      <c r="B129" s="11">
        <v>44969.901322071761</v>
      </c>
      <c r="C129" s="8" t="s">
        <v>452</v>
      </c>
      <c r="D129" s="8" t="s">
        <v>453</v>
      </c>
      <c r="E129" s="8" t="s">
        <v>452</v>
      </c>
      <c r="F129" s="8" t="s">
        <v>454</v>
      </c>
      <c r="G129" s="8" t="str">
        <f>", "&amp;'RAW (公開用)'!F75&amp;", "</f>
        <v xml:space="preserve">, ニューロジェンダー／neurogender, ノンバイナリー, ジェンダークィア, **必ず選んでください**, </v>
      </c>
      <c r="H129" s="8" t="s">
        <v>504</v>
      </c>
      <c r="I129" s="8" t="str">
        <f>", "&amp;'RAW (公開用)'!H75&amp;", "</f>
        <v xml:space="preserve">, さん, </v>
      </c>
      <c r="J129" s="8" t="s">
        <v>2335</v>
      </c>
      <c r="K12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29" s="8" t="str">
        <f>", "&amp;'RAW (公開用)'!J75&amp;", "</f>
        <v xml:space="preserve">, -san, </v>
      </c>
      <c r="M129" s="8" t="s">
        <v>2423</v>
      </c>
      <c r="N12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-san, , ファーストネーム,</v>
      </c>
      <c r="O129" s="8" t="str">
        <f>", "&amp;'RAW (公開用)'!L75&amp;", "</f>
        <v xml:space="preserve">, 僕, 俺, 自分, 私（わたし／わたくし）, </v>
      </c>
      <c r="P129" s="8" t="s">
        <v>2335</v>
      </c>
      <c r="Q12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俺, 自分, 私（わたし／わたくし）,  , </v>
      </c>
      <c r="R129" s="8" t="str">
        <f>", "&amp;'RAW (公開用)'!N129&amp;", "</f>
        <v xml:space="preserve">, 彼女, </v>
      </c>
      <c r="S129" s="8" t="s">
        <v>2355</v>
      </c>
      <c r="T12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 {この/その/あの}+人,</v>
      </c>
      <c r="U129" s="8" t="str">
        <f>", "&amp;'RAW (公開用)'!P75&amp;", "</f>
        <v xml:space="preserve">, they/them/their/themself, </v>
      </c>
      <c r="V129" s="8" t="s">
        <v>455</v>
      </c>
      <c r="W129" s="8" t="str">
        <f>", "&amp;'RAW (公開用)'!R75&amp;", "</f>
        <v xml:space="preserve">, ミスジェンダリング（誤った性別として扱うこと）, デッドネーミング（誤った名前で呼ばれること）, 社会の中でいないことにされる, 医療における無理解, </v>
      </c>
      <c r="X129" s="8" t="s">
        <v>206</v>
      </c>
      <c r="Y12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デッドネーミング（誤った名前で呼ばれること）, 社会の中でいないことにされる, 医療における無理解,  SNSで誹謗中傷されたことがある。一部フェミニストから排除されがち</v>
      </c>
      <c r="Z129" s="8" t="s">
        <v>455</v>
      </c>
      <c r="AA129" s="8" t="str">
        <f>", "&amp;'RAW (公開用)'!U75&amp;", "</f>
        <v xml:space="preserve">, 戸籍名の変更, 戸籍上の性別の変更, ホルモン補充療法（HRT）, 胸部の手術, </v>
      </c>
      <c r="AB129" s="8" t="str">
        <f>", "&amp;'RAW (公開用)'!V75&amp;", "</f>
        <v xml:space="preserve">, （上記のどれも経験していない）, </v>
      </c>
      <c r="AC129" s="8" t="s">
        <v>385</v>
      </c>
      <c r="AD12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住んでいる地域にジェンダークリニックがない。障害があり戸籍変更などの手続きが難しい。病気で薬を何種類も飲んでいるためホルモンにも手を出せない。</v>
      </c>
      <c r="AE129" s="8" t="s">
        <v>479</v>
      </c>
      <c r="AF129" s="8" t="s">
        <v>457</v>
      </c>
      <c r="AG129" s="8" t="s">
        <v>458</v>
      </c>
      <c r="AH129" s="8"/>
      <c r="AI129" s="8">
        <f>((LEN(G129)-LEN(SUBSTITUTE(G129,", ","")))/LEN(", ")-1-(LEN(G129)-LEN(SUBSTITUTE(G129,"必ず","")))/LEN("必ず"))+(LEN(H129)-LEN(SUBSTITUTE(H129,",","")))</f>
        <v>4</v>
      </c>
      <c r="AJ129" s="8"/>
      <c r="AK129" s="8"/>
      <c r="AL129" s="8"/>
      <c r="AM129" s="8"/>
      <c r="AN129" s="8"/>
    </row>
    <row r="130" spans="1:40" ht="25.5" hidden="1">
      <c r="A130" s="8">
        <v>130</v>
      </c>
      <c r="B130" s="11">
        <v>44970.499441944441</v>
      </c>
      <c r="C130" s="8" t="s">
        <v>452</v>
      </c>
      <c r="D130" s="8" t="s">
        <v>453</v>
      </c>
      <c r="E130" s="8" t="s">
        <v>452</v>
      </c>
      <c r="F130" s="8" t="s">
        <v>454</v>
      </c>
      <c r="G130" s="8" t="str">
        <f>", "&amp;'RAW (公開用)'!F131&amp;", "</f>
        <v xml:space="preserve">, クィア／Queer, （ジェンダー・）フルイド／（ジェンダー・）フリュイド／（ジェンダー・）フルイッド, ノンバイナリー, </v>
      </c>
      <c r="H130" s="8"/>
      <c r="I130" s="8" t="str">
        <f>", "&amp;'RAW (公開用)'!H131&amp;", "</f>
        <v xml:space="preserve">, さん, （時とともに変わる）, （any／問わない／どれでもよい）, くん／君, </v>
      </c>
      <c r="J130" s="8" t="s">
        <v>2335</v>
      </c>
      <c r="K13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（時とともに変わる）, （any／問わない／どれでもよい）, くん／君,  , </v>
      </c>
      <c r="L130" s="8" t="str">
        <f>", "&amp;'RAW (公開用)'!J131&amp;", "</f>
        <v xml:space="preserve">, **英語を日常的に使わない**, </v>
      </c>
      <c r="M130" s="8" t="s">
        <v>2335</v>
      </c>
      <c r="N13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0" s="8" t="str">
        <f>", "&amp;'RAW (公開用)'!L131&amp;", "</f>
        <v xml:space="preserve">, 私（わたし／わたくし）, （時とともに変わる）, （自分（たち）の名前）, ぼく, わたし, 自分, </v>
      </c>
      <c r="P130" s="8" t="s">
        <v>2335</v>
      </c>
      <c r="Q13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（時とともに変わる）, （自分（たち）の名前）, ぼく, わたし, 自分,  , </v>
      </c>
      <c r="R130" s="8" t="str">
        <f>", "&amp;'RAW (公開用)'!N130&amp;", "</f>
        <v xml:space="preserve">, （三人称で言及してほしくない）, </v>
      </c>
      <c r="S130" s="8" t="s">
        <v>2335</v>
      </c>
      <c r="T13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30" s="8" t="str">
        <f>", "&amp;'RAW (公開用)'!P131&amp;", "</f>
        <v xml:space="preserve">, any/問わない/どれでもよい, **英語を日常的に使わない**, </v>
      </c>
      <c r="V130" s="8" t="s">
        <v>455</v>
      </c>
      <c r="W130" s="8" t="str">
        <f>", "&amp;'RAW (公開用)'!R131&amp;", "</f>
        <v xml:space="preserve">, 社会の中でいないことにされる, </v>
      </c>
      <c r="X130" s="8"/>
      <c r="Y13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130" s="8" t="s">
        <v>455</v>
      </c>
      <c r="AA130" s="8" t="str">
        <f>", "&amp;'RAW (公開用)'!U131&amp;", "</f>
        <v xml:space="preserve">, 戸籍名の変更, </v>
      </c>
      <c r="AB130" s="8" t="str">
        <f>", "&amp;'RAW (公開用)'!V131&amp;", "</f>
        <v xml:space="preserve">, （上記のどれも経験していない）, </v>
      </c>
      <c r="AC130" s="8"/>
      <c r="AD13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0" s="8" t="s">
        <v>456</v>
      </c>
      <c r="AF130" s="8" t="s">
        <v>457</v>
      </c>
      <c r="AG130" s="8" t="s">
        <v>458</v>
      </c>
      <c r="AH130" s="8"/>
      <c r="AI130" s="8">
        <f t="shared" ref="AI130:AI161" si="6">(LEN(G130)-LEN(SUBSTITUTE(G130,", ","")))/LEN(", ")-1-(LEN(G130)-LEN(SUBSTITUTE(G130,"必ず","")))/LEN("必ず")</f>
        <v>3</v>
      </c>
      <c r="AJ130" s="8"/>
      <c r="AK130" s="8"/>
      <c r="AL130" s="8"/>
      <c r="AM130" s="8"/>
      <c r="AN130" s="8"/>
    </row>
    <row r="131" spans="1:40" ht="51" hidden="1">
      <c r="A131" s="8">
        <v>131</v>
      </c>
      <c r="B131" s="11">
        <v>44970.49944929398</v>
      </c>
      <c r="C131" s="8" t="s">
        <v>452</v>
      </c>
      <c r="D131" s="8" t="s">
        <v>453</v>
      </c>
      <c r="E131" s="8" t="s">
        <v>452</v>
      </c>
      <c r="F131" s="8" t="s">
        <v>454</v>
      </c>
      <c r="G131" s="8" t="str">
        <f>", "&amp;'RAW (公開用)'!F132&amp;", "</f>
        <v xml:space="preserve">, 不定性, **必ず選んでください**, ノンバイナリー, （ジェンダー・）フルイド／（ジェンダー・）フリュイド／（ジェンダー・）フルイッド, </v>
      </c>
      <c r="H131" s="8"/>
      <c r="I131" s="8" t="str">
        <f>", "&amp;'RAW (公開用)'!H132&amp;", "</f>
        <v xml:space="preserve">, （any／問わない／どれでもよい）, （時とともに変わる）, （敬称なし）, さん, ちゃん, くん／君, たん, </v>
      </c>
      <c r="J131" s="8" t="s">
        <v>2335</v>
      </c>
      <c r="K13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（時とともに変わる）, （敬称なし）, さん, ちゃん, くん／君, たん,  , </v>
      </c>
      <c r="L131" s="8" t="str">
        <f>", "&amp;'RAW (公開用)'!J132&amp;", "</f>
        <v xml:space="preserve">, **英語を日常的に使わない**, </v>
      </c>
      <c r="M131" s="8" t="s">
        <v>2335</v>
      </c>
      <c r="N13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1" s="8" t="str">
        <f>", "&amp;'RAW (公開用)'!L132&amp;", "</f>
        <v xml:space="preserve">, わたし, 俺, （時とともに変わる）, 私（わたし／わたくし）, 僕, （自分（たち）の名前）, </v>
      </c>
      <c r="P131" s="8" t="s">
        <v>2335</v>
      </c>
      <c r="Q13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俺, （時とともに変わる）, 私（わたし／わたくし）, 僕, （自分（たち）の名前）,  , </v>
      </c>
      <c r="R131" s="8" t="str">
        <f>", "&amp;'RAW (公開用)'!N131&amp;", "</f>
        <v xml:space="preserve">, 彼, （any／問わない／どれでもよい）, （自分（たち）の名前）, </v>
      </c>
      <c r="S131" s="8" t="s">
        <v>2335</v>
      </c>
      <c r="T13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（any／問わない／どれでもよい）, （自分（たち）の名前）,  , </v>
      </c>
      <c r="U131" s="8" t="str">
        <f>", "&amp;'RAW (公開用)'!P132&amp;", "</f>
        <v xml:space="preserve">, **英語を日常的に使わない**, </v>
      </c>
      <c r="V131" s="8" t="s">
        <v>455</v>
      </c>
      <c r="W131" s="8" t="str">
        <f>", "&amp;'RAW (公開用)'!R132&amp;", "</f>
        <v xml:space="preserve">, 医療における無理解, デッドネーミング（誤った名前で呼ばれること）, 必要なジェンダーケアへアクセスできない, 社会の中でいないことにされる, 職場や学校における無理解, カムアウトできない, ミスジェンダリング（誤った性別として扱うこと）, </v>
      </c>
      <c r="X131" s="8"/>
      <c r="Y13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デッドネーミング（誤った名前で呼ばれること）, 必要なジェンダーケアへアクセスできない, 社会の中でいないことにされる, 職場や学校における無理解, カムアウトできない, ミスジェンダリング（誤った性別として扱うこと）,  </v>
      </c>
      <c r="Z131" s="8" t="s">
        <v>455</v>
      </c>
      <c r="AA131" s="8" t="str">
        <f>", "&amp;'RAW (公開用)'!U132&amp;", "</f>
        <v xml:space="preserve">, 戸籍名の変更, ジェンダークリニックの受診, ホルモン補充療法（HRT）, </v>
      </c>
      <c r="AB131" s="8" t="str">
        <f>", "&amp;'RAW (公開用)'!V132&amp;", "</f>
        <v xml:space="preserve">, （上記のどれも経験していない）, </v>
      </c>
      <c r="AC131" s="8"/>
      <c r="AD13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1" s="8" t="s">
        <v>459</v>
      </c>
      <c r="AF131" s="8" t="s">
        <v>457</v>
      </c>
      <c r="AG131" s="8" t="s">
        <v>458</v>
      </c>
      <c r="AH131" s="8"/>
      <c r="AI131" s="8">
        <f t="shared" si="6"/>
        <v>3</v>
      </c>
      <c r="AJ131" s="8"/>
      <c r="AK131" s="8"/>
      <c r="AL131" s="8"/>
      <c r="AM131" s="8"/>
      <c r="AN131" s="8"/>
    </row>
    <row r="132" spans="1:40" ht="76.5" hidden="1">
      <c r="A132" s="8">
        <v>132</v>
      </c>
      <c r="B132" s="11">
        <v>44970.527911249999</v>
      </c>
      <c r="C132" s="8" t="s">
        <v>452</v>
      </c>
      <c r="D132" s="8" t="s">
        <v>453</v>
      </c>
      <c r="E132" s="8" t="s">
        <v>452</v>
      </c>
      <c r="F132" s="8" t="s">
        <v>454</v>
      </c>
      <c r="G132" s="8" t="str">
        <f>", "&amp;'RAW (公開用)'!F133&amp;", "</f>
        <v xml:space="preserve">, **必ず選んでください**, 無し, ジェンダークィア, Aジェンダー／エイジェンダー／アジェンダー／agender, </v>
      </c>
      <c r="H132" s="8"/>
      <c r="I132" s="8" t="str">
        <f>", "&amp;'RAW (公開用)'!H133&amp;", "</f>
        <v xml:space="preserve">, さん, くん／君, </v>
      </c>
      <c r="J132" s="8" t="s">
        <v>2335</v>
      </c>
      <c r="K13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132" s="8" t="str">
        <f>", "&amp;'RAW (公開用)'!J133&amp;", "</f>
        <v xml:space="preserve">, **英語を日常的に使わない**, </v>
      </c>
      <c r="M132" s="8" t="s">
        <v>2335</v>
      </c>
      <c r="N13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2" s="8" t="str">
        <f>", "&amp;'RAW (公開用)'!L133&amp;", "</f>
        <v xml:space="preserve">, おれ, わたくし, ぼく, 僕, 私（わたし／わたくし）, わたし, あたし, 自分, </v>
      </c>
      <c r="P132" s="8" t="s">
        <v>2335</v>
      </c>
      <c r="Q13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わたくし, ぼく, 僕, 私（わたし／わたくし）, わたし, あたし, 自分,  , </v>
      </c>
      <c r="R132" s="8" t="str">
        <f>", "&amp;'RAW (公開用)'!N132&amp;", "</f>
        <v xml:space="preserve">, 彼, </v>
      </c>
      <c r="S132" s="8" t="s">
        <v>2335</v>
      </c>
      <c r="T13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132" s="8" t="str">
        <f>", "&amp;'RAW (公開用)'!P133&amp;", "</f>
        <v xml:space="preserve">, **英語を日常的に使わない**, </v>
      </c>
      <c r="V132" s="8" t="s">
        <v>455</v>
      </c>
      <c r="W132" s="8" t="str">
        <f>", "&amp;'RAW (公開用)'!R133&amp;", "</f>
        <v xml:space="preserve">, アウティング（勝手にジェンダーや指向についての情報を明かされること）, ミスジェンダリング（誤った性別として扱うこと）, カムアウトを強制される, 職場や学校における無理解, 社会の中でいないことにされる, 必要なジェンダーケアへアクセスできない, カムアウトできない, トイレなどのジェンダー化されたスペースの使用, 家族／かぞくからの無理解, デッドネーミング（誤った名前で呼ばれること）, LGBTQ+運動からの排斥, 医療における無理解, 性暴力, </v>
      </c>
      <c r="X132" s="8"/>
      <c r="Y13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ミスジェンダリング（誤った性別として扱うこと）, カムアウトを強制される, 職場や学校における無理解, 社会の中でいないことにされる, 必要なジェンダーケアへアクセスできない, カムアウトできない, トイレなどのジェンダー化されたスペースの使用, 家族／かぞくからの無理解, デッドネーミング（誤った名前で呼ばれること）, LGBTQ+運動からの排斥, 医療における無理解, 性暴力,  </v>
      </c>
      <c r="Z132" s="8" t="s">
        <v>455</v>
      </c>
      <c r="AA132" s="8" t="str">
        <f>", "&amp;'RAW (公開用)'!U133&amp;", "</f>
        <v xml:space="preserve">, 戸籍名の変更, 戸籍上の性別の変更, 顔にかかわる手術, 胸部の手術, </v>
      </c>
      <c r="AB132" s="8" t="str">
        <f>", "&amp;'RAW (公開用)'!V133&amp;", "</f>
        <v xml:space="preserve">, （上記のどれも経験していない）, </v>
      </c>
      <c r="AC132" s="8"/>
      <c r="AD13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2" s="8" t="s">
        <v>462</v>
      </c>
      <c r="AF132" s="8" t="s">
        <v>457</v>
      </c>
      <c r="AG132" s="8" t="s">
        <v>458</v>
      </c>
      <c r="AH132" s="8"/>
      <c r="AI132" s="8">
        <f t="shared" si="6"/>
        <v>3</v>
      </c>
      <c r="AJ132" s="8"/>
      <c r="AK132" s="8"/>
      <c r="AL132" s="8"/>
      <c r="AM132" s="8"/>
      <c r="AN132" s="8"/>
    </row>
    <row r="133" spans="1:40" ht="25.5" hidden="1">
      <c r="A133" s="8">
        <v>133</v>
      </c>
      <c r="B133" s="11">
        <v>44970.553498171299</v>
      </c>
      <c r="C133" s="8" t="s">
        <v>452</v>
      </c>
      <c r="D133" s="8" t="s">
        <v>453</v>
      </c>
      <c r="E133" s="8" t="s">
        <v>452</v>
      </c>
      <c r="F133" s="8" t="s">
        <v>454</v>
      </c>
      <c r="G133" s="8" t="str">
        <f>", "&amp;'RAW (公開用)'!F134&amp;", "</f>
        <v xml:space="preserve">, 女性／woman, クエスチョニング, **必ず選んでください**, クィア／Queer, ノンバイナリー, </v>
      </c>
      <c r="H133" s="8"/>
      <c r="I133" s="8" t="str">
        <f>", "&amp;'RAW (公開用)'!H134&amp;", "</f>
        <v xml:space="preserve">, ちゃん, さん, </v>
      </c>
      <c r="J133" s="8" t="s">
        <v>2335</v>
      </c>
      <c r="K13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133" s="8" t="str">
        <f>", "&amp;'RAW (公開用)'!J134&amp;", "</f>
        <v xml:space="preserve">, （クエスチョニング、模索中、または不明）, -san, Dr.など、職業などにかかわるもの, </v>
      </c>
      <c r="M133" s="8" t="s">
        <v>2335</v>
      </c>
      <c r="N13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-san, Dr.など、職業などにかかわるもの, , </v>
      </c>
      <c r="O133" s="8" t="str">
        <f>", "&amp;'RAW (公開用)'!L134&amp;", "</f>
        <v xml:space="preserve">, 自分, わたし, うち, </v>
      </c>
      <c r="P133" s="8" t="s">
        <v>2335</v>
      </c>
      <c r="Q13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うち,  , </v>
      </c>
      <c r="R133" s="8" t="str">
        <f>", "&amp;'RAW (公開用)'!N133&amp;", "</f>
        <v xml:space="preserve">, 彼, かれ, （自分（たち）の名前）, </v>
      </c>
      <c r="S133" s="8" t="s">
        <v>2335</v>
      </c>
      <c r="T13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かれ, （自分（たち）の名前）,  , </v>
      </c>
      <c r="U133" s="8" t="str">
        <f>", "&amp;'RAW (公開用)'!P134&amp;", "</f>
        <v xml:space="preserve">, any/問わない/どれでもよい, they/them/their/themself, she, （クエスチョニング、模索中、または不明）, </v>
      </c>
      <c r="V133" s="8" t="s">
        <v>455</v>
      </c>
      <c r="W133" s="8" t="str">
        <f>", "&amp;'RAW (公開用)'!R134&amp;", "</f>
        <v xml:space="preserve">, LGBTQ+運動からの排斥, 社会の中でいないことにされる, </v>
      </c>
      <c r="X133" s="8"/>
      <c r="Y13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社会の中でいないことにされる,  </v>
      </c>
      <c r="Z133" s="8" t="s">
        <v>455</v>
      </c>
      <c r="AA133" s="8" t="str">
        <f>", "&amp;'RAW (公開用)'!U134&amp;", "</f>
        <v xml:space="preserve">, （上記のどれも希望していない）, </v>
      </c>
      <c r="AB133" s="8" t="str">
        <f>", "&amp;'RAW (公開用)'!V134&amp;", "</f>
        <v xml:space="preserve">, （上記のどれも経験していない）, </v>
      </c>
      <c r="AC133" s="8"/>
      <c r="AD13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3" s="8" t="s">
        <v>462</v>
      </c>
      <c r="AF133" s="8" t="s">
        <v>457</v>
      </c>
      <c r="AG133" s="8" t="s">
        <v>458</v>
      </c>
      <c r="AH133" s="8"/>
      <c r="AI133" s="8">
        <f t="shared" si="6"/>
        <v>4</v>
      </c>
      <c r="AJ133" s="8"/>
      <c r="AK133" s="8"/>
      <c r="AL133" s="8"/>
      <c r="AM133" s="8"/>
      <c r="AN133" s="8"/>
    </row>
    <row r="134" spans="1:40" ht="12.75" hidden="1">
      <c r="A134" s="8">
        <v>134</v>
      </c>
      <c r="B134" s="11">
        <v>44970.55612494213</v>
      </c>
      <c r="C134" s="8" t="s">
        <v>452</v>
      </c>
      <c r="D134" s="8" t="s">
        <v>453</v>
      </c>
      <c r="E134" s="8" t="s">
        <v>452</v>
      </c>
      <c r="F134" s="8" t="s">
        <v>454</v>
      </c>
      <c r="G134" s="8" t="str">
        <f>", "&amp;'RAW (公開用)'!F135&amp;", "</f>
        <v xml:space="preserve">, 不明／わからない, </v>
      </c>
      <c r="H134" s="8"/>
      <c r="I134" s="8" t="str">
        <f>", "&amp;'RAW (公開用)'!H135&amp;", "</f>
        <v xml:space="preserve">, さん, </v>
      </c>
      <c r="J134" s="8" t="s">
        <v>2335</v>
      </c>
      <c r="K13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34" s="8" t="str">
        <f>", "&amp;'RAW (公開用)'!J135&amp;", "</f>
        <v xml:space="preserve">, **英語を日常的に使わない**, </v>
      </c>
      <c r="M134" s="8" t="s">
        <v>2335</v>
      </c>
      <c r="N13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4" s="8" t="str">
        <f>", "&amp;'RAW (公開用)'!L135&amp;", "</f>
        <v xml:space="preserve">, 私（わたし／わたくし）, </v>
      </c>
      <c r="P134" s="8" t="s">
        <v>2335</v>
      </c>
      <c r="Q13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134" s="8" t="str">
        <f>", "&amp;'RAW (公開用)'!N134&amp;", "</f>
        <v xml:space="preserve">, 彼人（かのひと）, （自分（たち）の名前）, かれ, 彼, </v>
      </c>
      <c r="S134" s="8" t="s">
        <v>2335</v>
      </c>
      <c r="T13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（自分（たち）の名前）, かれ, 彼,  , </v>
      </c>
      <c r="U134" s="8" t="str">
        <f>", "&amp;'RAW (公開用)'!P135&amp;", "</f>
        <v xml:space="preserve">, **英語を日常的に使わない**, </v>
      </c>
      <c r="V134" s="8" t="s">
        <v>455</v>
      </c>
      <c r="W134" s="8" t="str">
        <f>", "&amp;'RAW (公開用)'!R135&amp;", "</f>
        <v xml:space="preserve">, カムアウトできない, </v>
      </c>
      <c r="X134" s="8"/>
      <c r="Y13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v>
      </c>
      <c r="Z134" s="8" t="s">
        <v>472</v>
      </c>
      <c r="AA134" s="8" t="s">
        <v>2174</v>
      </c>
      <c r="AB134" s="105" t="s">
        <v>2443</v>
      </c>
      <c r="AC134" s="8"/>
      <c r="AD134"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34" s="8" t="s">
        <v>474</v>
      </c>
      <c r="AF134" s="8" t="s">
        <v>457</v>
      </c>
      <c r="AG134" s="8" t="s">
        <v>458</v>
      </c>
      <c r="AH134" s="8"/>
      <c r="AI134" s="8">
        <f t="shared" si="6"/>
        <v>1</v>
      </c>
      <c r="AJ134" s="8"/>
      <c r="AK134" s="8"/>
      <c r="AL134" s="8"/>
      <c r="AM134" s="8"/>
      <c r="AN134" s="8"/>
    </row>
    <row r="135" spans="1:40" ht="38.25" hidden="1">
      <c r="A135" s="8">
        <v>135</v>
      </c>
      <c r="B135" s="11">
        <v>44970.589435000002</v>
      </c>
      <c r="C135" s="8" t="s">
        <v>452</v>
      </c>
      <c r="D135" s="8" t="s">
        <v>453</v>
      </c>
      <c r="E135" s="8" t="s">
        <v>452</v>
      </c>
      <c r="F135" s="8" t="s">
        <v>454</v>
      </c>
      <c r="G135" s="8" t="str">
        <f>", "&amp;'RAW (公開用)'!F136&amp;", "</f>
        <v xml:space="preserve">, デミガール, ジェンダークィア, ノンバイナリー, </v>
      </c>
      <c r="H135" s="8"/>
      <c r="I135" s="8" t="str">
        <f>", "&amp;'RAW (公開用)'!H136&amp;", "</f>
        <v xml:space="preserve">, （any／問わない／どれでもよい）, さん, </v>
      </c>
      <c r="J135" s="8" t="s">
        <v>2335</v>
      </c>
      <c r="K13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さん,  , </v>
      </c>
      <c r="L135" s="8" t="str">
        <f>", "&amp;'RAW (公開用)'!J136&amp;", "</f>
        <v xml:space="preserve">, **英語を日常的に使わない**, </v>
      </c>
      <c r="M135" s="8" t="s">
        <v>2335</v>
      </c>
      <c r="N13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5" s="8" t="str">
        <f>", "&amp;'RAW (公開用)'!L136&amp;", "</f>
        <v xml:space="preserve">, 私（わたし／わたくし）, おれ, </v>
      </c>
      <c r="P135" s="8" t="s">
        <v>2335</v>
      </c>
      <c r="Q13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おれ,  , </v>
      </c>
      <c r="R135" s="8" t="str">
        <f>", "&amp;'RAW (公開用)'!N135&amp;", "</f>
        <v xml:space="preserve">, （any／問わない／どれでもよい）, </v>
      </c>
      <c r="S135" s="8" t="s">
        <v>2335</v>
      </c>
      <c r="T13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135" s="8" t="str">
        <f>", "&amp;'RAW (公開用)'!P136&amp;", "</f>
        <v xml:space="preserve">, **英語を日常的に使わない**, </v>
      </c>
      <c r="V135" s="8" t="s">
        <v>455</v>
      </c>
      <c r="W135" s="8" t="str">
        <f>", "&amp;'RAW (公開用)'!R136&amp;", "</f>
        <v xml:space="preserve">, アウティング（勝手にジェンダーや指向についての情報を明かされること）, 職場や学校における無理解, トイレなどのジェンダー化されたスペースの使用, 社会の中でいないことにされる, カムアウトできない, </v>
      </c>
      <c r="X135" s="8"/>
      <c r="Y13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職場や学校における無理解, トイレなどのジェンダー化されたスペースの使用, 社会の中でいないことにされる, カムアウトできない,  </v>
      </c>
      <c r="Z135" s="8" t="s">
        <v>472</v>
      </c>
      <c r="AA135" s="8" t="s">
        <v>2174</v>
      </c>
      <c r="AB135" s="105" t="s">
        <v>2443</v>
      </c>
      <c r="AC135" s="8"/>
      <c r="AD135"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35" s="8" t="s">
        <v>462</v>
      </c>
      <c r="AF135" s="8" t="s">
        <v>457</v>
      </c>
      <c r="AG135" s="8" t="s">
        <v>458</v>
      </c>
      <c r="AH135" s="8" t="s">
        <v>529</v>
      </c>
      <c r="AI135" s="8">
        <f t="shared" si="6"/>
        <v>3</v>
      </c>
      <c r="AJ135" s="8"/>
      <c r="AK135" s="8"/>
      <c r="AL135" s="8"/>
      <c r="AM135" s="8"/>
      <c r="AN135" s="8"/>
    </row>
    <row r="136" spans="1:40" ht="25.5" hidden="1">
      <c r="A136" s="8">
        <v>136</v>
      </c>
      <c r="B136" s="11">
        <v>44970.614236782407</v>
      </c>
      <c r="C136" s="8" t="s">
        <v>452</v>
      </c>
      <c r="D136" s="8" t="s">
        <v>453</v>
      </c>
      <c r="E136" s="8" t="s">
        <v>452</v>
      </c>
      <c r="F136" s="8" t="s">
        <v>454</v>
      </c>
      <c r="G136" s="8" t="str">
        <f>", "&amp;'RAW (公開用)'!F137&amp;", "</f>
        <v xml:space="preserve">, 無性, ジェンダークィア, </v>
      </c>
      <c r="H136" s="8"/>
      <c r="I136" s="8" t="str">
        <f>", "&amp;'RAW (公開用)'!H137&amp;", "</f>
        <v xml:space="preserve">, （クエスチョニング、模索中、または不明）, （any／問わない／どれでもよい）, </v>
      </c>
      <c r="J136" s="8" t="s">
        <v>2335</v>
      </c>
      <c r="K13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（any／問わない／どれでもよい）,  , </v>
      </c>
      <c r="L136" s="8" t="str">
        <f>", "&amp;'RAW (公開用)'!J137&amp;", "</f>
        <v xml:space="preserve">, Mr., Pr., </v>
      </c>
      <c r="M136" s="8" t="s">
        <v>2335</v>
      </c>
      <c r="N13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Mr., Pr., , </v>
      </c>
      <c r="O136" s="8" t="str">
        <f>", "&amp;'RAW (公開用)'!L137&amp;", "</f>
        <v xml:space="preserve">, わたくし, わたし, </v>
      </c>
      <c r="P136" s="8" t="s">
        <v>2335</v>
      </c>
      <c r="Q13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わたくし, わたし,  , </v>
      </c>
      <c r="R136" s="8" t="str">
        <f>", "&amp;'RAW (公開用)'!N136&amp;", "</f>
        <v xml:space="preserve">, （自分（たち）の名前）, </v>
      </c>
      <c r="S136" s="8" t="s">
        <v>2335</v>
      </c>
      <c r="T13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36" s="8" t="str">
        <f>", "&amp;'RAW (公開用)'!P137&amp;", "</f>
        <v xml:space="preserve">, they/them/their/themselves, </v>
      </c>
      <c r="V136" s="8" t="s">
        <v>455</v>
      </c>
      <c r="W136" s="8" t="str">
        <f>", "&amp;'RAW (公開用)'!R137&amp;", "</f>
        <v xml:space="preserve">, カムアウトできない, 職場や学校における無理解, 家族／かぞくからの無理解, LGBTQ+運動からの排斥, 社会の中でいないことにされる, </v>
      </c>
      <c r="X136" s="8"/>
      <c r="Y13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職場や学校における無理解, 家族／かぞくからの無理解, LGBTQ+運動からの排斥, 社会の中でいないことにされる,  </v>
      </c>
      <c r="Z136" s="8" t="s">
        <v>455</v>
      </c>
      <c r="AA136" s="8" t="str">
        <f>", "&amp;'RAW (公開用)'!U137&amp;", "</f>
        <v xml:space="preserve">, （上記のどれも希望していない）, </v>
      </c>
      <c r="AB136" s="8" t="str">
        <f>", "&amp;'RAW (公開用)'!V137&amp;", "</f>
        <v xml:space="preserve">, （上記のどれも経験していない）, </v>
      </c>
      <c r="AC136" s="8"/>
      <c r="AD13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6" s="8" t="s">
        <v>501</v>
      </c>
      <c r="AF136" s="8" t="s">
        <v>457</v>
      </c>
      <c r="AG136" s="8" t="s">
        <v>458</v>
      </c>
      <c r="AH136" s="8"/>
      <c r="AI136" s="8">
        <f t="shared" si="6"/>
        <v>2</v>
      </c>
      <c r="AJ136" s="8"/>
      <c r="AK136" s="8"/>
      <c r="AL136" s="8"/>
      <c r="AM136" s="8"/>
      <c r="AN136" s="8"/>
    </row>
    <row r="137" spans="1:40" ht="38.25" hidden="1">
      <c r="A137" s="8">
        <v>137</v>
      </c>
      <c r="B137" s="11">
        <v>44970.639003136574</v>
      </c>
      <c r="C137" s="8" t="s">
        <v>452</v>
      </c>
      <c r="D137" s="8" t="s">
        <v>453</v>
      </c>
      <c r="E137" s="8" t="s">
        <v>452</v>
      </c>
      <c r="F137" s="8" t="s">
        <v>454</v>
      </c>
      <c r="G137" s="8" t="str">
        <f>", "&amp;'RAW (公開用)'!F138&amp;", "</f>
        <v xml:space="preserve">, 無し, Aジェンダー／エイジェンダー／アジェンダー／agender, Xジェンダー, 不明／わからない, X, ノンバイナリー男性, ジェンダークィア, クィア／Queer, **必ず選んでください**, ノンバイナリー, </v>
      </c>
      <c r="H137" s="8"/>
      <c r="I137" s="8" t="str">
        <f>", "&amp;'RAW (公開用)'!H138&amp;", "</f>
        <v xml:space="preserve">, さん, （時とともに変わる）, </v>
      </c>
      <c r="J137" s="8" t="s">
        <v>2335</v>
      </c>
      <c r="K13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（時とともに変わる）,  , </v>
      </c>
      <c r="L137" s="8" t="str">
        <f>", "&amp;'RAW (公開用)'!J138&amp;", "</f>
        <v xml:space="preserve">, **英語を日常的に使わない**, </v>
      </c>
      <c r="M137" s="8" t="s">
        <v>2335</v>
      </c>
      <c r="N13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7" s="8" t="str">
        <f>", "&amp;'RAW (公開用)'!L138&amp;", "</f>
        <v xml:space="preserve">, 俺, 私（わたし／わたくし）, わたし, 自分, おれ, </v>
      </c>
      <c r="P137" s="8" t="s">
        <v>2335</v>
      </c>
      <c r="Q13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わたし, 自分, おれ,  , </v>
      </c>
      <c r="R137" s="8" t="str">
        <f>", "&amp;'RAW (公開用)'!N137&amp;", "</f>
        <v xml:space="preserve">, 彼人（かのひと）, </v>
      </c>
      <c r="S137" s="8" t="s">
        <v>2335</v>
      </c>
      <c r="T13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 </v>
      </c>
      <c r="U137" s="8" t="str">
        <f>", "&amp;'RAW (公開用)'!P138&amp;", "</f>
        <v xml:space="preserve">, **英語を日常的に使わない**, </v>
      </c>
      <c r="V137" s="8" t="s">
        <v>455</v>
      </c>
      <c r="W137" s="8" t="str">
        <f>", "&amp;'RAW (公開用)'!R138&amp;", "</f>
        <v xml:space="preserve">, カムアウトを強制される, カムアウトできない, 職場や学校における無理解, アウティング（勝手にジェンダーや指向についての情報を明かされること）, 社会の中でいないことにされる, 家族／かぞくからの無理解, </v>
      </c>
      <c r="X137" s="8"/>
      <c r="Y13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カムアウトできない, 職場や学校における無理解, アウティング（勝手にジェンダーや指向についての情報を明かされること）, 社会の中でいないことにされる, 家族／かぞくからの無理解,  </v>
      </c>
      <c r="Z137" s="8" t="s">
        <v>455</v>
      </c>
      <c r="AA137" s="8" t="str">
        <f>", "&amp;'RAW (公開用)'!U138&amp;", "</f>
        <v xml:space="preserve">, ジェンダークリニックの受診, 胸部の手術, </v>
      </c>
      <c r="AB137" s="8" t="str">
        <f>", "&amp;'RAW (公開用)'!V138&amp;", "</f>
        <v xml:space="preserve">, （上記のどれも経験していない）, </v>
      </c>
      <c r="AC137" s="8"/>
      <c r="AD13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7" s="8" t="s">
        <v>462</v>
      </c>
      <c r="AF137" s="8" t="s">
        <v>457</v>
      </c>
      <c r="AG137" s="8" t="s">
        <v>458</v>
      </c>
      <c r="AH137" s="8"/>
      <c r="AI137" s="8">
        <f t="shared" si="6"/>
        <v>9</v>
      </c>
      <c r="AJ137" s="8"/>
      <c r="AK137" s="8"/>
      <c r="AL137" s="8"/>
      <c r="AM137" s="8"/>
      <c r="AN137" s="8"/>
    </row>
    <row r="138" spans="1:40" ht="76.5" hidden="1">
      <c r="A138" s="8">
        <v>138</v>
      </c>
      <c r="B138" s="11">
        <v>44970.656569282408</v>
      </c>
      <c r="C138" s="8" t="s">
        <v>452</v>
      </c>
      <c r="D138" s="8" t="s">
        <v>453</v>
      </c>
      <c r="E138" s="8" t="s">
        <v>452</v>
      </c>
      <c r="F138" s="8" t="s">
        <v>454</v>
      </c>
      <c r="G138" s="8" t="str">
        <f>", "&amp;'RAW (公開用)'!F139&amp;", "</f>
        <v xml:space="preserve">, 無性, ジェンダー・ノンコンフォーミング／gender non-conforming, （ジェンダー・）フルイド／（ジェンダー・）フリュイド／（ジェンダー・）フルイッド, Xジェンダー, トランスジェンダー, ノンバイナリー, 中性, トランスセクシュアル／transsexual, ジェンダーフラックス／フラックスジェンダー, クエスチョニング, **必ず選んでください**, </v>
      </c>
      <c r="H138" s="8"/>
      <c r="I138" s="8" t="str">
        <f>", "&amp;'RAW (公開用)'!H139&amp;", "</f>
        <v xml:space="preserve">, さん, </v>
      </c>
      <c r="J138" s="8" t="s">
        <v>2335</v>
      </c>
      <c r="K13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38" s="8" t="str">
        <f>", "&amp;'RAW (公開用)'!J139&amp;", "</f>
        <v xml:space="preserve">, -san, **英語を日常的に使わない**, （クエスチョニング、模索中、または不明）, </v>
      </c>
      <c r="M138" s="8" t="s">
        <v>2335</v>
      </c>
      <c r="N13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**英語を日常的に使わない**, （クエスチョニング、模索中、または不明）, , </v>
      </c>
      <c r="O138" s="8" t="str">
        <f>", "&amp;'RAW (公開用)'!L139&amp;", "</f>
        <v xml:space="preserve">, 私（わたし／わたくし）, おれ, </v>
      </c>
      <c r="P138" s="8" t="s">
        <v>2335</v>
      </c>
      <c r="Q13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おれ,  , </v>
      </c>
      <c r="R138" s="8" t="str">
        <f>", "&amp;'RAW (公開用)'!N138&amp;", "</f>
        <v xml:space="preserve">, （自分（たち）の名前）, </v>
      </c>
      <c r="S138" s="8" t="s">
        <v>2335</v>
      </c>
      <c r="T13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38" s="8" t="str">
        <f>", "&amp;'RAW (公開用)'!P139&amp;", "</f>
        <v xml:space="preserve">, they/them/their/themselves, **英語を日常的に使わない**, any/問わない/どれでもよい, （クエスチョニング、模索中、または不明）, </v>
      </c>
      <c r="V138" s="8" t="s">
        <v>455</v>
      </c>
      <c r="W138" s="8" t="str">
        <f>", "&amp;'RAW (公開用)'!R139&amp;", "</f>
        <v xml:space="preserve">, 家族／かぞくからの無理解, カムアウトを強制される, カムアウトできない, 医療における無理解, LGBTQ+運動からの排斥, アウティング（勝手にジェンダーや指向についての情報を明かされること）, トイレなどのジェンダー化されたスペースの使用, 社会の中でいないことにされる, 必要なジェンダーケアへアクセスできない, 職場や学校における無理解, ミスジェンダリング（誤った性別として扱うこと）, </v>
      </c>
      <c r="X138" s="8"/>
      <c r="Y13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カムアウトを強制される, カムアウトできない, 医療における無理解, LGBTQ+運動からの排斥, アウティング（勝手にジェンダーや指向についての情報を明かされること）, トイレなどのジェンダー化されたスペースの使用, 社会の中でいないことにされる, 必要なジェンダーケアへアクセスできない, 職場や学校における無理解, ミスジェンダリング（誤った性別として扱うこと）,  </v>
      </c>
      <c r="Z138" s="8" t="s">
        <v>455</v>
      </c>
      <c r="AA138" s="8" t="str">
        <f>", "&amp;'RAW (公開用)'!U139&amp;", "</f>
        <v xml:space="preserve">, ジェンダークリニックの受診, 抗ホルモン療法, ホルモン補充療法（HRT）, 胸部の手術, </v>
      </c>
      <c r="AB138" s="8" t="str">
        <f>", "&amp;'RAW (公開用)'!V139&amp;", "</f>
        <v xml:space="preserve">, ホルモン補充療法（HRT）, </v>
      </c>
      <c r="AC138" s="8"/>
      <c r="AD138"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138" s="8" t="s">
        <v>459</v>
      </c>
      <c r="AF138" s="8" t="s">
        <v>457</v>
      </c>
      <c r="AG138" s="8" t="s">
        <v>458</v>
      </c>
      <c r="AH138" s="8"/>
      <c r="AI138" s="8">
        <f t="shared" si="6"/>
        <v>10</v>
      </c>
      <c r="AJ138" s="8"/>
      <c r="AK138" s="8"/>
      <c r="AL138" s="8"/>
      <c r="AM138" s="8"/>
      <c r="AN138" s="8"/>
    </row>
    <row r="139" spans="1:40" ht="38.25" hidden="1">
      <c r="A139" s="8">
        <v>139</v>
      </c>
      <c r="B139" s="11">
        <v>44970.658421782406</v>
      </c>
      <c r="C139" s="8" t="s">
        <v>452</v>
      </c>
      <c r="D139" s="8" t="s">
        <v>453</v>
      </c>
      <c r="E139" s="8" t="s">
        <v>452</v>
      </c>
      <c r="F139" s="8" t="s">
        <v>454</v>
      </c>
      <c r="G139" s="8" t="str">
        <f>", "&amp;'RAW (公開用)'!F140&amp;", "</f>
        <v xml:space="preserve">, Xジェンダー, ノンバイナリー, 無性, **必ず選んでください**, クィア／Queer, </v>
      </c>
      <c r="H139" s="8"/>
      <c r="I139" s="8" t="str">
        <f>", "&amp;'RAW (公開用)'!H140&amp;", "</f>
        <v xml:space="preserve">, さん, くん／君, ちゃん, </v>
      </c>
      <c r="J139" s="8" t="s">
        <v>2335</v>
      </c>
      <c r="K13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ちゃん,  , </v>
      </c>
      <c r="L139" s="8" t="str">
        <f>", "&amp;'RAW (公開用)'!J140&amp;", "</f>
        <v xml:space="preserve">, **英語を日常的に使わない**, </v>
      </c>
      <c r="M139" s="8" t="s">
        <v>2335</v>
      </c>
      <c r="N13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39" s="8" t="str">
        <f>", "&amp;'RAW (公開用)'!L140&amp;", "</f>
        <v xml:space="preserve">, 私（わたし／わたくし）, </v>
      </c>
      <c r="P139" s="8" t="s">
        <v>2335</v>
      </c>
      <c r="Q13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139" s="8" t="str">
        <f>", "&amp;'RAW (公開用)'!N139&amp;", "</f>
        <v xml:space="preserve">, （any／問わない／どれでもよい）, </v>
      </c>
      <c r="S139" s="8" t="s">
        <v>2335</v>
      </c>
      <c r="T13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139" s="8" t="str">
        <f>", "&amp;'RAW (公開用)'!P140&amp;", "</f>
        <v xml:space="preserve">, **英語を日常的に使わない**, they/them/their/themself, </v>
      </c>
      <c r="V139" s="8" t="s">
        <v>455</v>
      </c>
      <c r="W139" s="8" t="str">
        <f>", "&amp;'RAW (公開用)'!R140&amp;", "</f>
        <v xml:space="preserve">, 医療における無理解, 社会の中でいないことにされる, ミスジェンダリング（誤った性別として扱うこと）, カムアウトできない, デッドネーミング（誤った名前で呼ばれること）, </v>
      </c>
      <c r="X139" s="8"/>
      <c r="Y13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社会の中でいないことにされる, ミスジェンダリング（誤った性別として扱うこと）, カムアウトできない, デッドネーミング（誤った名前で呼ばれること）,  </v>
      </c>
      <c r="Z139" s="8" t="s">
        <v>455</v>
      </c>
      <c r="AA139" s="8" t="str">
        <f>", "&amp;'RAW (公開用)'!U140&amp;", "</f>
        <v xml:space="preserve">, 戸籍上の性別の変更, </v>
      </c>
      <c r="AB139" s="8" t="str">
        <f>", "&amp;'RAW (公開用)'!V140&amp;", "</f>
        <v xml:space="preserve">, （上記のどれも経験していない）, </v>
      </c>
      <c r="AC139" s="8"/>
      <c r="AD13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39" s="8" t="s">
        <v>462</v>
      </c>
      <c r="AF139" s="8" t="s">
        <v>457</v>
      </c>
      <c r="AG139" s="8" t="s">
        <v>458</v>
      </c>
      <c r="AH139" s="8"/>
      <c r="AI139" s="8">
        <f t="shared" si="6"/>
        <v>4</v>
      </c>
      <c r="AJ139" s="8"/>
      <c r="AK139" s="8"/>
      <c r="AL139" s="8"/>
      <c r="AM139" s="8"/>
      <c r="AN139" s="8"/>
    </row>
    <row r="140" spans="1:40" ht="12.75" hidden="1">
      <c r="A140" s="8">
        <v>140</v>
      </c>
      <c r="B140" s="11">
        <v>44970.661560995373</v>
      </c>
      <c r="C140" s="8" t="s">
        <v>452</v>
      </c>
      <c r="D140" s="8" t="s">
        <v>453</v>
      </c>
      <c r="E140" s="8" t="s">
        <v>452</v>
      </c>
      <c r="F140" s="8" t="s">
        <v>454</v>
      </c>
      <c r="G140" s="8" t="str">
        <f>", "&amp;'RAW (公開用)'!F141&amp;", "</f>
        <v xml:space="preserve">, ブッチ／butch, ダイク／dyke, **必ず選んでください**, 無し, </v>
      </c>
      <c r="H140" s="8"/>
      <c r="I140" s="8" t="str">
        <f>", "&amp;'RAW (公開用)'!H141&amp;", "</f>
        <v xml:space="preserve">, さん, </v>
      </c>
      <c r="J140" s="8" t="s">
        <v>2335</v>
      </c>
      <c r="K14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40" s="8" t="str">
        <f>", "&amp;'RAW (公開用)'!J141&amp;", "</f>
        <v xml:space="preserve">, -san, Ms., </v>
      </c>
      <c r="M140" s="8" t="s">
        <v>2335</v>
      </c>
      <c r="N14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Ms., , </v>
      </c>
      <c r="O140" s="8" t="str">
        <f>", "&amp;'RAW (公開用)'!L141&amp;", "</f>
        <v xml:space="preserve">, （自分（たち）の名前）, 私（わたし／わたくし）, 自分, </v>
      </c>
      <c r="P140" s="8" t="s">
        <v>2335</v>
      </c>
      <c r="Q14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私（わたし／わたくし）, 自分,  , </v>
      </c>
      <c r="R140" s="8" t="str">
        <f>", "&amp;'RAW (公開用)'!N140&amp;", "</f>
        <v xml:space="preserve">, （自分（たち）の名前）, </v>
      </c>
      <c r="S140" s="8" t="s">
        <v>2335</v>
      </c>
      <c r="T14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40" s="8" t="str">
        <f>", "&amp;'RAW (公開用)'!P141&amp;", "</f>
        <v xml:space="preserve">, she, </v>
      </c>
      <c r="V140" s="8" t="s">
        <v>455</v>
      </c>
      <c r="W140" s="8" t="str">
        <f>", "&amp;'RAW (公開用)'!R141&amp;", "</f>
        <v xml:space="preserve">, 家族／かぞくからの無理解, 社会の中でいないことにされる, </v>
      </c>
      <c r="X140" s="8"/>
      <c r="Y14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社会の中でいないことにされる,  </v>
      </c>
      <c r="Z140" s="8" t="s">
        <v>472</v>
      </c>
      <c r="AA140" s="8" t="s">
        <v>2174</v>
      </c>
      <c r="AB140" s="105" t="s">
        <v>2443</v>
      </c>
      <c r="AC140" s="8"/>
      <c r="AD140"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40" s="8" t="s">
        <v>464</v>
      </c>
      <c r="AF140" s="8" t="s">
        <v>457</v>
      </c>
      <c r="AG140" s="8" t="s">
        <v>458</v>
      </c>
      <c r="AH140" s="8"/>
      <c r="AI140" s="8">
        <f t="shared" si="6"/>
        <v>3</v>
      </c>
      <c r="AJ140" s="8"/>
      <c r="AK140" s="8"/>
      <c r="AL140" s="8"/>
      <c r="AM140" s="8"/>
      <c r="AN140" s="8"/>
    </row>
    <row r="141" spans="1:40" ht="38.25" hidden="1">
      <c r="A141" s="8">
        <v>141</v>
      </c>
      <c r="B141" s="11">
        <v>44970.665155625</v>
      </c>
      <c r="C141" s="8" t="s">
        <v>452</v>
      </c>
      <c r="D141" s="8" t="s">
        <v>453</v>
      </c>
      <c r="E141" s="8" t="s">
        <v>452</v>
      </c>
      <c r="F141" s="8" t="s">
        <v>454</v>
      </c>
      <c r="G141" s="8" t="str">
        <f>", "&amp;'RAW (公開用)'!F142&amp;", "</f>
        <v xml:space="preserve">, 中性, ジェンダークィア, クィア／Queer, 無性, </v>
      </c>
      <c r="H141" s="8"/>
      <c r="I141" s="8" t="str">
        <f>", "&amp;'RAW (公開用)'!H142&amp;", "</f>
        <v xml:space="preserve">, （クエスチョニング、模索中、または不明）, </v>
      </c>
      <c r="J141" s="8" t="s">
        <v>2335</v>
      </c>
      <c r="K14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141" s="8" t="str">
        <f>", "&amp;'RAW (公開用)'!J142&amp;", "</f>
        <v xml:space="preserve">, **英語を日常的に使わない**, （クエスチョニング、模索中、または不明）, </v>
      </c>
      <c r="M141" s="8" t="s">
        <v>2335</v>
      </c>
      <c r="N14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141" s="8" t="str">
        <f>", "&amp;'RAW (公開用)'!L142&amp;", "</f>
        <v xml:space="preserve">, わたし, </v>
      </c>
      <c r="P141" s="8" t="s">
        <v>2335</v>
      </c>
      <c r="Q14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41" s="8" t="str">
        <f>", "&amp;'RAW (公開用)'!N141&amp;", "</f>
        <v xml:space="preserve">, （自分（たち）の名前）, 彼女, </v>
      </c>
      <c r="S141" s="8" t="s">
        <v>2335</v>
      </c>
      <c r="T14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141" s="8" t="str">
        <f>", "&amp;'RAW (公開用)'!P142&amp;", "</f>
        <v xml:space="preserve">, **英語を日常的に使わない**, （クエスチョニング、模索中、または不明）, </v>
      </c>
      <c r="V141" s="8" t="s">
        <v>455</v>
      </c>
      <c r="W141" s="8" t="str">
        <f>", "&amp;'RAW (公開用)'!R142&amp;", "</f>
        <v xml:space="preserve">, LGBTQ+運動からの排斥, アウティング（勝手にジェンダーや指向についての情報を明かされること）, ミスジェンダリング（誤った性別として扱うこと）, 医療における無理解, </v>
      </c>
      <c r="X141" s="8" t="s">
        <v>203</v>
      </c>
      <c r="Y14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LGBTQ+運動からの排斥, アウティング（勝手にジェンダーや指向についての情報を明かされること）, ミスジェンダリング（誤った性別として扱うこと）, 医療における無理解,  LGBTからの除外</v>
      </c>
      <c r="Z141" s="8" t="s">
        <v>455</v>
      </c>
      <c r="AA141" s="8" t="str">
        <f>", "&amp;'RAW (公開用)'!U142&amp;", "</f>
        <v xml:space="preserve">, 戸籍上の性別の変更, 性器にかかわる手術, </v>
      </c>
      <c r="AB141" s="8" t="str">
        <f>", "&amp;'RAW (公開用)'!V142&amp;", "</f>
        <v xml:space="preserve">, （上記のどれも経験していない）, </v>
      </c>
      <c r="AC141" s="8" t="s">
        <v>368</v>
      </c>
      <c r="AD141"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女性だから子供を産めという今の風潮に困難を抱いている。</v>
      </c>
      <c r="AE141" s="8" t="s">
        <v>475</v>
      </c>
      <c r="AF141" s="8" t="s">
        <v>457</v>
      </c>
      <c r="AG141" s="8" t="s">
        <v>458</v>
      </c>
      <c r="AH141" s="8" t="s">
        <v>530</v>
      </c>
      <c r="AI141" s="8">
        <f t="shared" si="6"/>
        <v>4</v>
      </c>
      <c r="AJ141" s="8"/>
      <c r="AK141" s="8"/>
      <c r="AL141" s="8"/>
      <c r="AM141" s="8"/>
      <c r="AN141" s="8"/>
    </row>
    <row r="142" spans="1:40" ht="38.25" hidden="1">
      <c r="A142" s="8">
        <v>142</v>
      </c>
      <c r="B142" s="11">
        <v>44970.667557824076</v>
      </c>
      <c r="C142" s="8" t="s">
        <v>452</v>
      </c>
      <c r="D142" s="8" t="s">
        <v>453</v>
      </c>
      <c r="E142" s="8" t="s">
        <v>452</v>
      </c>
      <c r="F142" s="8" t="s">
        <v>454</v>
      </c>
      <c r="G142" s="8" t="str">
        <f>", "&amp;'RAW (公開用)'!F143&amp;", "</f>
        <v xml:space="preserve">, ジェンダー・ノンコンフォーミング／gender non-conforming, 無性, ノンバイナリー, 不定性, Xジェンダー, X, ジェンダーレス, ニュートラル, </v>
      </c>
      <c r="H142" s="8"/>
      <c r="I142" s="8" t="str">
        <f>", "&amp;'RAW (公開用)'!H143&amp;", "</f>
        <v xml:space="preserve">, さん, </v>
      </c>
      <c r="J142" s="8" t="s">
        <v>2335</v>
      </c>
      <c r="K14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42" s="8" t="str">
        <f>", "&amp;'RAW (公開用)'!J143&amp;", "</f>
        <v xml:space="preserve">, **英語を日常的に使わない**, </v>
      </c>
      <c r="M142" s="8" t="s">
        <v>2335</v>
      </c>
      <c r="N14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2" s="8" t="str">
        <f>", "&amp;'RAW (公開用)'!L143&amp;", "</f>
        <v xml:space="preserve">, 私（わたし／わたくし）, </v>
      </c>
      <c r="P142" s="8" t="s">
        <v>2335</v>
      </c>
      <c r="Q14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142" s="8" t="str">
        <f>", "&amp;'RAW (公開用)'!N142&amp;", "</f>
        <v xml:space="preserve">, （自分（たち）の名前）, </v>
      </c>
      <c r="S142" s="8" t="s">
        <v>2335</v>
      </c>
      <c r="T14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42" s="8" t="str">
        <f>", "&amp;'RAW (公開用)'!P143&amp;", "</f>
        <v xml:space="preserve">, **英語を日常的に使わない**, </v>
      </c>
      <c r="V142" s="8" t="s">
        <v>455</v>
      </c>
      <c r="W142" s="8" t="str">
        <f>", "&amp;'RAW (公開用)'!R143&amp;", "</f>
        <v xml:space="preserve">, アウティング（勝手にジェンダーや指向についての情報を明かされること）, 性暴力, 社会の中でいないことにされる, 家族／かぞくからの無理解, 職場や学校における無理解, カムアウトできない, 医療における無理解, </v>
      </c>
      <c r="X142" s="8"/>
      <c r="Y14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性暴力, 社会の中でいないことにされる, 家族／かぞくからの無理解, 職場や学校における無理解, カムアウトできない, 医療における無理解,  </v>
      </c>
      <c r="Z142" s="8" t="s">
        <v>455</v>
      </c>
      <c r="AA142" s="8" t="str">
        <f>", "&amp;'RAW (公開用)'!U143&amp;", "</f>
        <v xml:space="preserve">, ジェンダークリニックの受診, 抗ホルモン療法, 顔にかかわる手術, 胸部の手術, </v>
      </c>
      <c r="AB142" s="8" t="str">
        <f>", "&amp;'RAW (公開用)'!V143&amp;", "</f>
        <v xml:space="preserve">, （上記のどれも経験していない）, </v>
      </c>
      <c r="AC142" s="8"/>
      <c r="AD14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42" s="8" t="s">
        <v>475</v>
      </c>
      <c r="AF142" s="8" t="s">
        <v>457</v>
      </c>
      <c r="AG142" s="8" t="s">
        <v>458</v>
      </c>
      <c r="AH142" s="8"/>
      <c r="AI142" s="8">
        <f t="shared" si="6"/>
        <v>8</v>
      </c>
      <c r="AJ142" s="8"/>
      <c r="AK142" s="8"/>
      <c r="AL142" s="8"/>
      <c r="AM142" s="8"/>
      <c r="AN142" s="8"/>
    </row>
    <row r="143" spans="1:40" ht="25.5" hidden="1">
      <c r="A143" s="8">
        <v>259</v>
      </c>
      <c r="B143" s="11">
        <v>44978.821786932866</v>
      </c>
      <c r="C143" s="8" t="s">
        <v>452</v>
      </c>
      <c r="D143" s="8" t="s">
        <v>453</v>
      </c>
      <c r="E143" s="8" t="s">
        <v>452</v>
      </c>
      <c r="F143" s="8" t="s">
        <v>454</v>
      </c>
      <c r="G143" s="8" t="str">
        <f>", "&amp;'RAW (公開用)'!F260&amp;", "</f>
        <v xml:space="preserve">, 男性／man, クィア／Queer, ゲイ（ジェンダーについて）, シスジェンダー, **必ず選んでください**, </v>
      </c>
      <c r="H143" s="8"/>
      <c r="I143" s="8" t="str">
        <f>", "&amp;'RAW (公開用)'!H260&amp;", "</f>
        <v xml:space="preserve">, さん, （時とともに変わる）, （any／問わない／どれでもよい）, くん／君, （敬称なし）, </v>
      </c>
      <c r="J143" s="8" t="s">
        <v>2335</v>
      </c>
      <c r="K14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（時とともに変わる）, （any／問わない／どれでもよい）, くん／君, （敬称なし）,  , </v>
      </c>
      <c r="L143" s="8" t="str">
        <f>", "&amp;'RAW (公開用)'!J260&amp;", "</f>
        <v xml:space="preserve">, **英語を日常的に使わない**, </v>
      </c>
      <c r="M143" s="8" t="s">
        <v>2335</v>
      </c>
      <c r="N14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3" s="8" t="str">
        <f>", "&amp;'RAW (公開用)'!L260&amp;", "</f>
        <v xml:space="preserve">, 私（わたし／わたくし）, 僕, 俺, （時とともに変わる）, </v>
      </c>
      <c r="P143" s="8" t="s">
        <v>2335</v>
      </c>
      <c r="Q14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僕, 俺, （時とともに変わる）,  , </v>
      </c>
      <c r="R143" s="8" t="str">
        <f>", "&amp;'RAW (公開用)'!N143&amp;", "</f>
        <v xml:space="preserve">, （自分（たち）の名前）, </v>
      </c>
      <c r="S143" s="73" t="s">
        <v>2360</v>
      </c>
      <c r="T14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カレ,</v>
      </c>
      <c r="U143" s="8" t="str">
        <f>", "&amp;'RAW (公開用)'!P260&amp;", "</f>
        <v xml:space="preserve">, **英語を日常的に使わない**, </v>
      </c>
      <c r="V143" s="8" t="s">
        <v>455</v>
      </c>
      <c r="W143" s="8" t="s">
        <v>2174</v>
      </c>
      <c r="X143" s="8"/>
      <c r="Y14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143" s="8" t="s">
        <v>455</v>
      </c>
      <c r="AA143" s="8" t="str">
        <f>", "&amp;'RAW (公開用)'!U260&amp;", "</f>
        <v xml:space="preserve">, （上記のどれも希望していない）, </v>
      </c>
      <c r="AB143" s="8" t="str">
        <f>", "&amp;'RAW (公開用)'!V260&amp;", "</f>
        <v xml:space="preserve">, （上記のどれも経験していない）, </v>
      </c>
      <c r="AC143" s="8"/>
      <c r="AD14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43" s="8" t="s">
        <v>479</v>
      </c>
      <c r="AF143" s="8" t="s">
        <v>457</v>
      </c>
      <c r="AG143" s="8" t="s">
        <v>458</v>
      </c>
      <c r="AH143" s="8"/>
      <c r="AI143" s="8">
        <f t="shared" si="6"/>
        <v>4</v>
      </c>
      <c r="AJ143" s="8"/>
      <c r="AK143" s="8"/>
      <c r="AL143" s="8"/>
      <c r="AM143" s="8"/>
      <c r="AN143" s="8"/>
    </row>
    <row r="144" spans="1:40" ht="25.5" hidden="1">
      <c r="A144" s="8">
        <v>144</v>
      </c>
      <c r="B144" s="11">
        <v>44970.70251949074</v>
      </c>
      <c r="C144" s="8" t="s">
        <v>452</v>
      </c>
      <c r="D144" s="8" t="s">
        <v>453</v>
      </c>
      <c r="E144" s="8" t="s">
        <v>452</v>
      </c>
      <c r="F144" s="8" t="s">
        <v>454</v>
      </c>
      <c r="G144" s="8" t="str">
        <f>", "&amp;'RAW (公開用)'!F145&amp;", "</f>
        <v xml:space="preserve">, 中性, 不明／わからない, ノンバイナリー, クエスチョニング, （ジェンダー・）フルイド／（ジェンダー・）フリュイド／（ジェンダー・）フルイッド, </v>
      </c>
      <c r="H144" s="8"/>
      <c r="I144" s="8" t="str">
        <f>", "&amp;'RAW (公開用)'!H145&amp;", "</f>
        <v xml:space="preserve">, （any／問わない／どれでもよい）, </v>
      </c>
      <c r="J144" s="8" t="s">
        <v>2335</v>
      </c>
      <c r="K14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44" s="8" t="str">
        <f>", "&amp;'RAW (公開用)'!J145&amp;", "</f>
        <v xml:space="preserve">, **英語を日常的に使わない**, </v>
      </c>
      <c r="M144" s="8" t="s">
        <v>2335</v>
      </c>
      <c r="N14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4" s="8" t="str">
        <f>", "&amp;'RAW (公開用)'!L145&amp;", "</f>
        <v xml:space="preserve">, 私（わたし／わたくし）, 自分, </v>
      </c>
      <c r="P144" s="8" t="s">
        <v>2335</v>
      </c>
      <c r="Q14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144" s="8" t="s">
        <v>2174</v>
      </c>
      <c r="S144" s="8" t="s">
        <v>2335</v>
      </c>
      <c r="T14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144" s="8" t="str">
        <f>", "&amp;'RAW (公開用)'!P145&amp;", "</f>
        <v xml:space="preserve">, **英語を日常的に使わない**, </v>
      </c>
      <c r="V144" s="8" t="s">
        <v>455</v>
      </c>
      <c r="W144" s="8" t="str">
        <f>", "&amp;'RAW (公開用)'!R145&amp;", "</f>
        <v xml:space="preserve">, トイレなどのジェンダー化されたスペースの使用, ミスジェンダリング（誤った性別として扱うこと）, 社会の中でいないことにされる, </v>
      </c>
      <c r="X144" s="8"/>
      <c r="Y14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ミスジェンダリング（誤った性別として扱うこと）, 社会の中でいないことにされる,  </v>
      </c>
      <c r="Z144" s="8" t="s">
        <v>455</v>
      </c>
      <c r="AA144" s="8" t="str">
        <f>", "&amp;'RAW (公開用)'!U145&amp;", "</f>
        <v xml:space="preserve">, 戸籍上の性別の変更, </v>
      </c>
      <c r="AB144" s="8" t="str">
        <f>", "&amp;'RAW (公開用)'!V145&amp;", "</f>
        <v xml:space="preserve">, （上記のどれも経験していない）, </v>
      </c>
      <c r="AC144" s="8"/>
      <c r="AD14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44" s="8" t="s">
        <v>456</v>
      </c>
      <c r="AF144" s="8" t="s">
        <v>457</v>
      </c>
      <c r="AG144" s="8" t="s">
        <v>458</v>
      </c>
      <c r="AH144" s="8"/>
      <c r="AI144" s="8">
        <f t="shared" si="6"/>
        <v>5</v>
      </c>
      <c r="AJ144" s="8"/>
      <c r="AK144" s="8"/>
      <c r="AL144" s="8"/>
      <c r="AM144" s="8"/>
      <c r="AN144" s="8"/>
    </row>
    <row r="145" spans="1:40" ht="51" hidden="1">
      <c r="A145" s="8">
        <v>230</v>
      </c>
      <c r="B145" s="11">
        <v>44971.679573553236</v>
      </c>
      <c r="C145" s="8" t="s">
        <v>452</v>
      </c>
      <c r="D145" s="8" t="s">
        <v>453</v>
      </c>
      <c r="E145" s="8" t="s">
        <v>452</v>
      </c>
      <c r="F145" s="8" t="s">
        <v>454</v>
      </c>
      <c r="G145" s="8" t="str">
        <f>", "&amp;'RAW (公開用)'!F231&amp;", "</f>
        <v xml:space="preserve">, X, 無し, **必ず選んでください**, トランス*／trans*, 両性, 無性, トランス, ノンバイナリー, Xジェンダー, </v>
      </c>
      <c r="H145" s="8"/>
      <c r="I145" s="8" t="str">
        <f>", "&amp;'RAW (公開用)'!H231&amp;", "</f>
        <v xml:space="preserve">, くん／君, さん, （時とともに変わる）, ちゃん, （any／問わない／どれでもよい）, </v>
      </c>
      <c r="J145" s="8" t="s">
        <v>2335</v>
      </c>
      <c r="K14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（時とともに変わる）, ちゃん, （any／問わない／どれでもよい）,  , </v>
      </c>
      <c r="L145" s="8" t="str">
        <f>", "&amp;'RAW (公開用)'!J231&amp;", "</f>
        <v xml:space="preserve">, -san, （クエスチョニング、模索中、または不明）, （any／問わない／どれでもよい）, **英語を日常的に使わない**, </v>
      </c>
      <c r="M145" s="8" t="s">
        <v>2335</v>
      </c>
      <c r="N14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（クエスチョニング、模索中、または不明）, （any／問わない／どれでもよい）, **英語を日常的に使わない**, , </v>
      </c>
      <c r="O145" s="8" t="str">
        <f>", "&amp;'RAW (公開用)'!L231&amp;", "</f>
        <v xml:space="preserve">, うち, 自分, 私（わたし／わたくし）, （時とともに変わる）, 俺, ぼく, わし, おれ, （自分（たち）の名前）, </v>
      </c>
      <c r="P145" s="73" t="s">
        <v>2392</v>
      </c>
      <c r="Q14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うち, 自分, 私（わたし／わたくし）, （時とともに変わる）, 俺, ぼく, わし, おれ, （自分（たち）の名前）,  , わい,</v>
      </c>
      <c r="R145" s="8" t="str">
        <f>", "&amp;'RAW (公開用)'!N145&amp;", "</f>
        <v xml:space="preserve">, （any／問わない／どれでもよい）, （自分（たち）の名前）, </v>
      </c>
      <c r="S145" s="8" t="s">
        <v>2335</v>
      </c>
      <c r="T14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（自分（たち）の名前）,  , </v>
      </c>
      <c r="U145" s="8" t="str">
        <f>", "&amp;'RAW (公開用)'!P231&amp;", "</f>
        <v xml:space="preserve">, **英語を日常的に使わない**, </v>
      </c>
      <c r="V145" s="8" t="s">
        <v>455</v>
      </c>
      <c r="W145" s="8" t="str">
        <f>", "&amp;'RAW (公開用)'!R231&amp;", "</f>
        <v xml:space="preserve">, トイレなどのジェンダー化されたスペースの使用, 家族／かぞくからの無理解, 社会の中でいないことにされる, アウティング（勝手にジェンダーや指向についての情報を明かされること）, ミスジェンダリング（誤った性別として扱うこと）, 職場や学校における無理解, カムアウトできない, </v>
      </c>
      <c r="X145" s="8"/>
      <c r="Y14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家族／かぞくからの無理解, 社会の中でいないことにされる, アウティング（勝手にジェンダーや指向についての情報を明かされること）, ミスジェンダリング（誤った性別として扱うこと）, 職場や学校における無理解, カムアウトできない,  </v>
      </c>
      <c r="Z145" s="8" t="s">
        <v>455</v>
      </c>
      <c r="AA145" s="8" t="str">
        <f>", "&amp;'RAW (公開用)'!U231&amp;", "</f>
        <v xml:space="preserve">, （上記のどれも希望していない）, </v>
      </c>
      <c r="AB145" s="8" t="str">
        <f>", "&amp;'RAW (公開用)'!V231&amp;", "</f>
        <v xml:space="preserve">, （上記のどれも経験していない）, </v>
      </c>
      <c r="AC145" s="8"/>
      <c r="AD14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45" s="8" t="s">
        <v>474</v>
      </c>
      <c r="AF145" s="8" t="s">
        <v>457</v>
      </c>
      <c r="AG145" s="8" t="s">
        <v>458</v>
      </c>
      <c r="AH145" s="8"/>
      <c r="AI145" s="8">
        <f t="shared" si="6"/>
        <v>8</v>
      </c>
      <c r="AJ145" s="8"/>
      <c r="AK145" s="8"/>
      <c r="AL145" s="8"/>
      <c r="AM145" s="8"/>
      <c r="AN145" s="8"/>
    </row>
    <row r="146" spans="1:40" ht="51" hidden="1">
      <c r="A146" s="8">
        <v>146</v>
      </c>
      <c r="B146" s="11">
        <v>44970.721314699069</v>
      </c>
      <c r="C146" s="8" t="s">
        <v>452</v>
      </c>
      <c r="D146" s="8" t="s">
        <v>453</v>
      </c>
      <c r="E146" s="8" t="s">
        <v>452</v>
      </c>
      <c r="F146" s="8" t="s">
        <v>454</v>
      </c>
      <c r="G146" s="8" t="str">
        <f>", "&amp;'RAW (公開用)'!F147&amp;", "</f>
        <v xml:space="preserve">, クィア／Queer, ノンバイナリー, トランス, トランスジェンダー, 無し, **必ず選んでください**, </v>
      </c>
      <c r="H146" s="8"/>
      <c r="I146" s="8" t="str">
        <f>", "&amp;'RAW (公開用)'!H147&amp;", "</f>
        <v xml:space="preserve">, さん, </v>
      </c>
      <c r="J146" s="8" t="s">
        <v>2335</v>
      </c>
      <c r="K14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46" s="8" t="str">
        <f>", "&amp;'RAW (公開用)'!J147&amp;", "</f>
        <v xml:space="preserve">, **英語を日常的に使わない**, </v>
      </c>
      <c r="M146" s="8" t="s">
        <v>2335</v>
      </c>
      <c r="N14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6" s="8" t="str">
        <f>", "&amp;'RAW (公開用)'!L147&amp;", "</f>
        <v xml:space="preserve">, 俺, 私（わたし／わたくし）, </v>
      </c>
      <c r="P146" s="8" t="s">
        <v>2335</v>
      </c>
      <c r="Q14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 </v>
      </c>
      <c r="R146" s="8" t="str">
        <f>", "&amp;'RAW (公開用)'!N146&amp;", "</f>
        <v xml:space="preserve">, 彼, （自分（たち）の名前）, </v>
      </c>
      <c r="S146" s="8" t="s">
        <v>2335</v>
      </c>
      <c r="T14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（自分（たち）の名前）,  , </v>
      </c>
      <c r="U146" s="8" t="str">
        <f>", "&amp;'RAW (公開用)'!P147&amp;", "</f>
        <v xml:space="preserve">, **英語を日常的に使わない**, </v>
      </c>
      <c r="V146" s="8" t="s">
        <v>455</v>
      </c>
      <c r="W146" s="8" t="str">
        <f>", "&amp;'RAW (公開用)'!R147&amp;", "</f>
        <v xml:space="preserve">, 必要なジェンダーケアへアクセスできない, トイレなどのジェンダー化されたスペースの使用, 職場や学校における無理解, 医療における無理解, ミスジェンダリング（誤った性別として扱うこと）, 社会の中でいないことにされる, デッドネーミング（誤った名前で呼ばれること）, </v>
      </c>
      <c r="X146" s="8"/>
      <c r="Y14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トイレなどのジェンダー化されたスペースの使用, 職場や学校における無理解, 医療における無理解, ミスジェンダリング（誤った性別として扱うこと）, 社会の中でいないことにされる, デッドネーミング（誤った名前で呼ばれること）,  </v>
      </c>
      <c r="Z146" s="8" t="s">
        <v>455</v>
      </c>
      <c r="AA146" s="8" t="str">
        <f>", "&amp;'RAW (公開用)'!U147&amp;", "</f>
        <v xml:space="preserve">, 戸籍名の変更, ジェンダークリニックの受診, ホルモン補充療法（HRT）, 胸部の手術, </v>
      </c>
      <c r="AB146" s="8" t="str">
        <f>", "&amp;'RAW (公開用)'!V147&amp;", "</f>
        <v xml:space="preserve">, 戸籍名の変更, ジェンダークリニックの受診, 胸部の手術, </v>
      </c>
      <c r="AC146" s="8" t="s">
        <v>333</v>
      </c>
      <c r="AD146"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胸部の手術,  法的に男女でない取り扱いを望んでいる。
日本のジェンダークリニックではホルモンパッチの扱いがない</v>
      </c>
      <c r="AE146" s="8" t="s">
        <v>474</v>
      </c>
      <c r="AF146" s="8" t="s">
        <v>457</v>
      </c>
      <c r="AG146" s="8" t="s">
        <v>458</v>
      </c>
      <c r="AH146" s="8" t="s">
        <v>534</v>
      </c>
      <c r="AI146" s="8">
        <f t="shared" si="6"/>
        <v>5</v>
      </c>
      <c r="AJ146" s="8"/>
      <c r="AK146" s="8"/>
      <c r="AL146" s="8"/>
      <c r="AM146" s="8"/>
      <c r="AN146" s="8"/>
    </row>
    <row r="147" spans="1:40" ht="51" hidden="1">
      <c r="A147" s="8">
        <v>147</v>
      </c>
      <c r="B147" s="11">
        <v>44970.722096956015</v>
      </c>
      <c r="C147" s="8" t="s">
        <v>452</v>
      </c>
      <c r="D147" s="8" t="s">
        <v>453</v>
      </c>
      <c r="E147" s="8" t="s">
        <v>452</v>
      </c>
      <c r="F147" s="8" t="s">
        <v>454</v>
      </c>
      <c r="G147" s="8" t="str">
        <f>", "&amp;'RAW (公開用)'!F148&amp;", "</f>
        <v xml:space="preserve">, **必ず選んでください**, ノンバイナリー, </v>
      </c>
      <c r="H147" s="8"/>
      <c r="I147" s="8" t="str">
        <f>", "&amp;'RAW (公開用)'!H148&amp;", "</f>
        <v xml:space="preserve">, （any／問わない／どれでもよい）, </v>
      </c>
      <c r="J147" s="8" t="s">
        <v>2335</v>
      </c>
      <c r="K14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47" s="8" t="str">
        <f>", "&amp;'RAW (公開用)'!J148&amp;", "</f>
        <v xml:space="preserve">, **英語を日常的に使わない**, </v>
      </c>
      <c r="M147" s="8" t="s">
        <v>2335</v>
      </c>
      <c r="N14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7" s="8" t="str">
        <f>", "&amp;'RAW (公開用)'!L148&amp;", "</f>
        <v xml:space="preserve">, 私（わたし／わたくし）, 僕, 俺, （時とともに変わる）, 自分, </v>
      </c>
      <c r="P147" s="8" t="s">
        <v>2335</v>
      </c>
      <c r="Q14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僕, 俺, （時とともに変わる）, 自分,  , </v>
      </c>
      <c r="R147" s="8" t="str">
        <f>", "&amp;'RAW (公開用)'!N147&amp;", "</f>
        <v xml:space="preserve">, （三人称で言及してほしくない）, </v>
      </c>
      <c r="S147" s="8" t="s">
        <v>2335</v>
      </c>
      <c r="T14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47" s="8" t="str">
        <f>", "&amp;'RAW (公開用)'!P148&amp;", "</f>
        <v xml:space="preserve">, **英語を日常的に使わない**, </v>
      </c>
      <c r="V147" s="8" t="s">
        <v>455</v>
      </c>
      <c r="W147" s="8" t="str">
        <f>", "&amp;'RAW (公開用)'!R148&amp;", "</f>
        <v xml:space="preserve">, 社会の中でいないことにされる, トイレなどのジェンダー化されたスペースの使用, </v>
      </c>
      <c r="X147" s="8" t="s">
        <v>248</v>
      </c>
      <c r="Y14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トイレなどのジェンダー化されたスペースの使用,  女性と自認している友達といる時に友達が女性専用車両に乗ると、カミングアウトするか迷うが、カミングアウトできずに渋々着いていく。周囲の目線が気になる。</v>
      </c>
      <c r="Z147" s="8" t="s">
        <v>455</v>
      </c>
      <c r="AA147" s="8" t="str">
        <f>", "&amp;'RAW (公開用)'!U148&amp;", "</f>
        <v xml:space="preserve">, ジェンダークリニックの受診, </v>
      </c>
      <c r="AB147" s="8" t="str">
        <f>", "&amp;'RAW (公開用)'!V148&amp;", "</f>
        <v xml:space="preserve">, （上記のどれも経験していない）, </v>
      </c>
      <c r="AC147" s="8" t="s">
        <v>350</v>
      </c>
      <c r="AD14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手術すると元には戻らない。胸が取り外し可能になればいいのに。</v>
      </c>
      <c r="AE147" s="8" t="s">
        <v>462</v>
      </c>
      <c r="AF147" s="8" t="s">
        <v>457</v>
      </c>
      <c r="AG147" s="8" t="s">
        <v>458</v>
      </c>
      <c r="AH147" s="8" t="s">
        <v>535</v>
      </c>
      <c r="AI147" s="8">
        <f t="shared" si="6"/>
        <v>1</v>
      </c>
      <c r="AJ147" s="8"/>
      <c r="AK147" s="8"/>
      <c r="AL147" s="8"/>
      <c r="AM147" s="8"/>
      <c r="AN147" s="8"/>
    </row>
    <row r="148" spans="1:40" ht="25.5" hidden="1">
      <c r="A148" s="8">
        <v>148</v>
      </c>
      <c r="B148" s="11">
        <v>44970.725080231481</v>
      </c>
      <c r="C148" s="8" t="s">
        <v>452</v>
      </c>
      <c r="D148" s="8" t="s">
        <v>453</v>
      </c>
      <c r="E148" s="8" t="s">
        <v>452</v>
      </c>
      <c r="F148" s="8" t="s">
        <v>454</v>
      </c>
      <c r="G148" s="8" t="str">
        <f>", "&amp;'RAW (公開用)'!F149&amp;", "</f>
        <v xml:space="preserve">, 無性, </v>
      </c>
      <c r="H148" s="8"/>
      <c r="I148" s="8" t="str">
        <f>", "&amp;'RAW (公開用)'!H149&amp;", "</f>
        <v xml:space="preserve">, （any／問わない／どれでもよい）, </v>
      </c>
      <c r="J148" s="8" t="s">
        <v>2335</v>
      </c>
      <c r="K14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48" s="8" t="str">
        <f>", "&amp;'RAW (公開用)'!J149&amp;", "</f>
        <v xml:space="preserve">, **英語を日常的に使わない**, </v>
      </c>
      <c r="M148" s="8" t="s">
        <v>2335</v>
      </c>
      <c r="N14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8" s="8" t="str">
        <f>", "&amp;'RAW (公開用)'!L149&amp;", "</f>
        <v xml:space="preserve">, 私（わたし／わたくし）, （時とともに変わる）, </v>
      </c>
      <c r="P148" s="8" t="s">
        <v>2335</v>
      </c>
      <c r="Q14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（時とともに変わる）,  , </v>
      </c>
      <c r="R148" s="8" t="str">
        <f>", "&amp;'RAW (公開用)'!N148&amp;", "</f>
        <v xml:space="preserve">, （any／問わない／どれでもよい）, </v>
      </c>
      <c r="S148" s="8" t="s">
        <v>2335</v>
      </c>
      <c r="T14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148" s="8" t="str">
        <f>", "&amp;'RAW (公開用)'!P149&amp;", "</f>
        <v xml:space="preserve">, **英語を日常的に使わない**, </v>
      </c>
      <c r="V148" s="8" t="s">
        <v>455</v>
      </c>
      <c r="W148" s="8" t="str">
        <f>", "&amp;'RAW (公開用)'!R149&amp;", "</f>
        <v xml:space="preserve">, トイレなどのジェンダー化されたスペースの使用, ミスジェンダリング（誤った性別として扱うこと）, 家族／かぞくからの無理解, </v>
      </c>
      <c r="X148" s="8"/>
      <c r="Y14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ミスジェンダリング（誤った性別として扱うこと）, 家族／かぞくからの無理解,  </v>
      </c>
      <c r="Z148" s="8" t="s">
        <v>455</v>
      </c>
      <c r="AA148" s="8" t="str">
        <f>", "&amp;'RAW (公開用)'!U149&amp;", "</f>
        <v xml:space="preserve">, 胸部の手術, </v>
      </c>
      <c r="AB148" s="8" t="str">
        <f>", "&amp;'RAW (公開用)'!V149&amp;", "</f>
        <v xml:space="preserve">, （上記のどれも経験していない）, </v>
      </c>
      <c r="AC148" s="8"/>
      <c r="AD14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48" s="8" t="s">
        <v>456</v>
      </c>
      <c r="AF148" s="8" t="s">
        <v>457</v>
      </c>
      <c r="AG148" s="8" t="s">
        <v>458</v>
      </c>
      <c r="AH148" s="8"/>
      <c r="AI148" s="8">
        <f t="shared" si="6"/>
        <v>1</v>
      </c>
      <c r="AJ148" s="8"/>
      <c r="AK148" s="8"/>
      <c r="AL148" s="8"/>
      <c r="AM148" s="8"/>
      <c r="AN148" s="8"/>
    </row>
    <row r="149" spans="1:40" ht="63.75" hidden="1">
      <c r="A149" s="8">
        <v>149</v>
      </c>
      <c r="B149" s="11">
        <v>44970.726838125003</v>
      </c>
      <c r="C149" s="8" t="s">
        <v>452</v>
      </c>
      <c r="D149" s="8" t="s">
        <v>453</v>
      </c>
      <c r="E149" s="8" t="s">
        <v>452</v>
      </c>
      <c r="F149" s="8" t="s">
        <v>454</v>
      </c>
      <c r="G149" s="8" t="str">
        <f>", "&amp;'RAW (公開用)'!F150&amp;", "</f>
        <v xml:space="preserve">, 女性／woman, トランス女性, トランスジェンダー, クィア／Queer, </v>
      </c>
      <c r="H149" s="8"/>
      <c r="I149" s="8" t="str">
        <f>", "&amp;'RAW (公開用)'!H150&amp;", "</f>
        <v xml:space="preserve">, さん, ちゃん, </v>
      </c>
      <c r="J149" s="8" t="s">
        <v>2335</v>
      </c>
      <c r="K14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149" s="8" t="str">
        <f>", "&amp;'RAW (公開用)'!J150&amp;", "</f>
        <v xml:space="preserve">, **英語を日常的に使わない**, </v>
      </c>
      <c r="M149" s="8" t="s">
        <v>2335</v>
      </c>
      <c r="N14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49" s="8" t="str">
        <f>", "&amp;'RAW (公開用)'!L150&amp;", "</f>
        <v xml:space="preserve">, わたし, 私（わたし／わたくし）, </v>
      </c>
      <c r="P149" s="8" t="s">
        <v>2335</v>
      </c>
      <c r="Q14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 </v>
      </c>
      <c r="R149" s="8" t="str">
        <f>", "&amp;'RAW (公開用)'!N149&amp;", "</f>
        <v xml:space="preserve">, （自分（たち）の名前）, </v>
      </c>
      <c r="S149" s="8" t="s">
        <v>2335</v>
      </c>
      <c r="T14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49" s="8" t="str">
        <f>", "&amp;'RAW (公開用)'!P150&amp;", "</f>
        <v xml:space="preserve">, they/them/their/themself, she, </v>
      </c>
      <c r="V149" s="8" t="s">
        <v>455</v>
      </c>
      <c r="W149" s="8" t="str">
        <f>", "&amp;'RAW (公開用)'!R150&amp;", "</f>
        <v xml:space="preserve">, トイレなどのジェンダー化されたスペースの使用, 性暴力, 社会の中でいないことにされる, LGBTQ+運動からの排斥, 医療における無理解, アウティング（勝手にジェンダーや指向についての情報を明かされること）, 職場や学校における無理解, デッドネーミング（誤った名前で呼ばれること）, 必要なジェンダーケアへアクセスできない, ミスジェンダリング（誤った性別として扱うこと）, </v>
      </c>
      <c r="X149" s="8"/>
      <c r="Y14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性暴力, 社会の中でいないことにされる, LGBTQ+運動からの排斥, 医療における無理解, アウティング（勝手にジェンダーや指向についての情報を明かされること）, 職場や学校における無理解, デッドネーミング（誤った名前で呼ばれること）, 必要なジェンダーケアへアクセスできない, ミスジェンダリング（誤った性別として扱うこと）,  </v>
      </c>
      <c r="Z149" s="8" t="s">
        <v>455</v>
      </c>
      <c r="AA149" s="8" t="str">
        <f>", "&amp;'RAW (公開用)'!U150&amp;", "</f>
        <v xml:space="preserve">, 戸籍名の変更, 戸籍上の性別の変更, ジェンダークリニックの受診, 抗ホルモン療法, ホルモン補充療法（HRT）, 性器にかかわる手術, </v>
      </c>
      <c r="AB149" s="8" t="str">
        <f>", "&amp;'RAW (公開用)'!V150&amp;", "</f>
        <v xml:space="preserve">, 抗ホルモン療法, ホルモン補充療法（HRT）, </v>
      </c>
      <c r="AC149" s="8" t="s">
        <v>411</v>
      </c>
      <c r="AD149" s="8" t="str">
        <f>テーブル1[[#This Row],[以下のうち、経験したものをすべて選んでください]]&amp;" "&amp;テーブル1[[#This Row],[社会的、法的、医学的トランジションについて、困難なこと等がありましたらここにお書きください]]</f>
        <v>, 抗ホルモン療法, ホルモン補充療法（HRT）,  ジェンダークリニックへのアクセスが出来ない事情がある</v>
      </c>
      <c r="AE149" s="8" t="s">
        <v>466</v>
      </c>
      <c r="AF149" s="8" t="s">
        <v>457</v>
      </c>
      <c r="AG149" s="8" t="s">
        <v>458</v>
      </c>
      <c r="AH149" s="8"/>
      <c r="AI149" s="8">
        <f t="shared" si="6"/>
        <v>4</v>
      </c>
      <c r="AJ149" s="8"/>
      <c r="AK149" s="8"/>
      <c r="AL149" s="8"/>
      <c r="AM149" s="8"/>
      <c r="AN149" s="8"/>
    </row>
    <row r="150" spans="1:40" ht="25.5" hidden="1">
      <c r="A150" s="8">
        <v>150</v>
      </c>
      <c r="B150" s="11">
        <v>44970.72934878472</v>
      </c>
      <c r="C150" s="8" t="s">
        <v>452</v>
      </c>
      <c r="D150" s="8" t="s">
        <v>453</v>
      </c>
      <c r="E150" s="8" t="s">
        <v>452</v>
      </c>
      <c r="F150" s="8" t="s">
        <v>454</v>
      </c>
      <c r="G150" s="8" t="str">
        <f>", "&amp;'RAW (公開用)'!F151&amp;", "</f>
        <v xml:space="preserve">, Aジェンダー／エイジェンダー／アジェンダー／agender, ジェンダーヴォイド／gendervoid, レズビアン（ジェンダーについて）, </v>
      </c>
      <c r="H150" s="8" t="s">
        <v>536</v>
      </c>
      <c r="I150" s="8" t="str">
        <f>", "&amp;'RAW (公開用)'!H151&amp;", "</f>
        <v xml:space="preserve">, （any／問わない／どれでもよい）, </v>
      </c>
      <c r="J150" s="8" t="s">
        <v>2335</v>
      </c>
      <c r="K15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50" s="8" t="str">
        <f>", "&amp;'RAW (公開用)'!J151&amp;", "</f>
        <v xml:space="preserve">, （any／問わない／どれでもよい）, **英語を日常的に使わない**, </v>
      </c>
      <c r="M150" s="8" t="s">
        <v>2335</v>
      </c>
      <c r="N15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**英語を日常的に使わない**, , </v>
      </c>
      <c r="O150" s="8" t="str">
        <f>", "&amp;'RAW (公開用)'!L151&amp;", "</f>
        <v xml:space="preserve">, 自分, （一人称の使用を避ける）, </v>
      </c>
      <c r="P150" s="8" t="s">
        <v>2335</v>
      </c>
      <c r="Q15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（一人称の使用を避ける）,  , </v>
      </c>
      <c r="R150" s="8" t="str">
        <f>", "&amp;'RAW (公開用)'!N150&amp;", "</f>
        <v xml:space="preserve">, （自分（たち）の名前）, 彼女, </v>
      </c>
      <c r="S150" s="8" t="s">
        <v>2335</v>
      </c>
      <c r="T15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150" s="8" t="str">
        <f>", "&amp;'RAW (公開用)'!P151&amp;", "</f>
        <v xml:space="preserve">, they/them/their/themselves, any/問わない/どれでもよい, **英語を日常的に使わない**, </v>
      </c>
      <c r="V150" s="8" t="s">
        <v>455</v>
      </c>
      <c r="W150" s="8" t="str">
        <f>", "&amp;'RAW (公開用)'!R151&amp;", "</f>
        <v xml:space="preserve">, 必要なジェンダーケアへアクセスできない, 職場や学校における無理解, トイレなどのジェンダー化されたスペースの使用, 性暴力, 医療における無理解, </v>
      </c>
      <c r="X150" s="8"/>
      <c r="Y15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職場や学校における無理解, トイレなどのジェンダー化されたスペースの使用, 性暴力, 医療における無理解,  </v>
      </c>
      <c r="Z150" s="8" t="s">
        <v>455</v>
      </c>
      <c r="AA150" s="8" t="str">
        <f>", "&amp;'RAW (公開用)'!U151&amp;", "</f>
        <v xml:space="preserve">, 胸部の手術, </v>
      </c>
      <c r="AB150" s="8" t="str">
        <f>", "&amp;'RAW (公開用)'!V151&amp;", "</f>
        <v xml:space="preserve">, ホルモン補充療法（HRT）, </v>
      </c>
      <c r="AC150" s="8"/>
      <c r="AD150"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150" s="8" t="s">
        <v>461</v>
      </c>
      <c r="AF150" s="8" t="s">
        <v>457</v>
      </c>
      <c r="AG150" s="8" t="s">
        <v>458</v>
      </c>
      <c r="AH150" s="8"/>
      <c r="AI150" s="8">
        <f t="shared" si="6"/>
        <v>3</v>
      </c>
      <c r="AJ150" s="8"/>
      <c r="AK150" s="8"/>
      <c r="AL150" s="8"/>
      <c r="AM150" s="8"/>
      <c r="AN150" s="8"/>
    </row>
    <row r="151" spans="1:40" ht="63.75" hidden="1">
      <c r="A151" s="8">
        <v>151</v>
      </c>
      <c r="B151" s="11">
        <v>44970.734893587964</v>
      </c>
      <c r="C151" s="8" t="s">
        <v>452</v>
      </c>
      <c r="D151" s="8" t="s">
        <v>453</v>
      </c>
      <c r="E151" s="8" t="s">
        <v>452</v>
      </c>
      <c r="F151" s="8" t="s">
        <v>454</v>
      </c>
      <c r="G151" s="8" t="str">
        <f>", "&amp;'RAW (公開用)'!F152&amp;", "</f>
        <v xml:space="preserve">, Aジェンダー／エイジェンダー／アジェンダー／agender, トランスジェンダー, **必ず選んでください**, ノンバイナリー, </v>
      </c>
      <c r="H151" s="8"/>
      <c r="I151" s="8" t="str">
        <f>", "&amp;'RAW (公開用)'!H152&amp;", "</f>
        <v xml:space="preserve">, （クエスチョニング、模索中、または不明）, </v>
      </c>
      <c r="J151" s="8" t="s">
        <v>2335</v>
      </c>
      <c r="K15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151" s="8" t="str">
        <f>", "&amp;'RAW (公開用)'!J152&amp;", "</f>
        <v xml:space="preserve">, **英語を日常的に使わない**, -san, </v>
      </c>
      <c r="M151" s="8" t="s">
        <v>2335</v>
      </c>
      <c r="N15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151" s="8" t="str">
        <f>", "&amp;'RAW (公開用)'!L152&amp;", "</f>
        <v xml:space="preserve">, おれ, 自分, わたし, </v>
      </c>
      <c r="P151" s="8" t="s">
        <v>2335</v>
      </c>
      <c r="Q15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自分, わたし,  , </v>
      </c>
      <c r="R151" s="8" t="str">
        <f>", "&amp;'RAW (公開用)'!N151&amp;", "</f>
        <v xml:space="preserve">, （any／問わない／どれでもよい）, （三人称で言及してほしくない）, </v>
      </c>
      <c r="S151" s="8" t="s">
        <v>2335</v>
      </c>
      <c r="T15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（三人称で言及してほしくない）,  , </v>
      </c>
      <c r="U151" s="8" t="str">
        <f>", "&amp;'RAW (公開用)'!P152&amp;", "</f>
        <v xml:space="preserve">, （クエスチョニング、模索中、または不明）, **英語を日常的に使わない**, </v>
      </c>
      <c r="V151" s="8" t="s">
        <v>455</v>
      </c>
      <c r="W151" s="8" t="str">
        <f>", "&amp;'RAW (公開用)'!R152&amp;", "</f>
        <v xml:space="preserve">, LGBTQ+運動からの排斥, 家族／かぞくからの無理解, ミスジェンダリング（誤った性別として扱うこと）, カムアウトできない, 必要なジェンダーケアへアクセスできない, 職場や学校における無理解, アウティング（勝手にジェンダーや指向についての情報を明かされること）, トイレなどのジェンダー化されたスペースの使用, 社会の中でいないことにされる, 医療における無理解, </v>
      </c>
      <c r="X151" s="8"/>
      <c r="Y15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家族／かぞくからの無理解, ミスジェンダリング（誤った性別として扱うこと）, カムアウトできない, 必要なジェンダーケアへアクセスできない, 職場や学校における無理解, アウティング（勝手にジェンダーや指向についての情報を明かされること）, トイレなどのジェンダー化されたスペースの使用, 社会の中でいないことにされる, 医療における無理解,  </v>
      </c>
      <c r="Z151" s="8" t="s">
        <v>455</v>
      </c>
      <c r="AA151" s="8" t="str">
        <f>", "&amp;'RAW (公開用)'!U152&amp;", "</f>
        <v xml:space="preserve">, 戸籍上の性別の変更, ジェンダークリニックの受診, 胸部の手術, </v>
      </c>
      <c r="AB151" s="8" t="str">
        <f>", "&amp;'RAW (公開用)'!V152&amp;", "</f>
        <v xml:space="preserve">, （上記のどれも経験していない）, </v>
      </c>
      <c r="AC151" s="8" t="s">
        <v>401</v>
      </c>
      <c r="AD151"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トランスジェンダー外来を名乗りつつ、トランス男性に対し「男性になったレスビアン」というような表現をしている医院もあり、誰も信頼できない。信頼できそうな人をさがすこと自体が困難</v>
      </c>
      <c r="AE151" s="8" t="s">
        <v>456</v>
      </c>
      <c r="AF151" s="8" t="s">
        <v>457</v>
      </c>
      <c r="AG151" s="8" t="s">
        <v>458</v>
      </c>
      <c r="AH151" s="8"/>
      <c r="AI151" s="8">
        <f t="shared" si="6"/>
        <v>3</v>
      </c>
      <c r="AJ151" s="8"/>
      <c r="AK151" s="8"/>
      <c r="AL151" s="8"/>
      <c r="AM151" s="8"/>
      <c r="AN151" s="8"/>
    </row>
    <row r="152" spans="1:40" ht="38.25" hidden="1">
      <c r="A152" s="8">
        <v>152</v>
      </c>
      <c r="B152" s="11">
        <v>44970.737442731479</v>
      </c>
      <c r="C152" s="8" t="s">
        <v>452</v>
      </c>
      <c r="D152" s="8" t="s">
        <v>453</v>
      </c>
      <c r="E152" s="8" t="s">
        <v>452</v>
      </c>
      <c r="F152" s="8" t="s">
        <v>454</v>
      </c>
      <c r="G152" s="8" t="str">
        <f>", "&amp;'RAW (公開用)'!F153&amp;", "</f>
        <v xml:space="preserve">, X, Xジェンダー, </v>
      </c>
      <c r="H152" s="8"/>
      <c r="I152" s="8" t="str">
        <f>", "&amp;'RAW (公開用)'!H153&amp;", "</f>
        <v xml:space="preserve">, さん, </v>
      </c>
      <c r="J152" s="8" t="s">
        <v>2335</v>
      </c>
      <c r="K15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52" s="8" t="str">
        <f>", "&amp;'RAW (公開用)'!J153&amp;", "</f>
        <v xml:space="preserve">, **英語を日常的に使わない**, </v>
      </c>
      <c r="M152" s="8" t="s">
        <v>2335</v>
      </c>
      <c r="N15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52" s="8" t="str">
        <f>", "&amp;'RAW (公開用)'!L153&amp;", "</f>
        <v xml:space="preserve">, 自分, うち, わたくし, （時とともに変わる）, 僕, 俺, </v>
      </c>
      <c r="P152" s="8" t="s">
        <v>2335</v>
      </c>
      <c r="Q15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うち, わたくし, （時とともに変わる）, 僕, 俺,  , </v>
      </c>
      <c r="R152" s="8" t="str">
        <f>", "&amp;'RAW (公開用)'!N152&amp;", "</f>
        <v xml:space="preserve">, （三人称で言及してほしくない）, </v>
      </c>
      <c r="S152" s="8" t="s">
        <v>2335</v>
      </c>
      <c r="T15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52" s="8" t="str">
        <f>", "&amp;'RAW (公開用)'!P153&amp;", "</f>
        <v xml:space="preserve">, **英語を日常的に使わない**, </v>
      </c>
      <c r="V152" s="8" t="s">
        <v>455</v>
      </c>
      <c r="W152" s="8" t="str">
        <f>", "&amp;'RAW (公開用)'!R153&amp;", "</f>
        <v xml:space="preserve">, 家族／かぞくからの無理解, トイレなどのジェンダー化されたスペースの使用, アウティング（勝手にジェンダーや指向についての情報を明かされること）, 職場や学校における無理解, 性暴力, </v>
      </c>
      <c r="X152" s="8"/>
      <c r="Y15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トイレなどのジェンダー化されたスペースの使用, アウティング（勝手にジェンダーや指向についての情報を明かされること）, 職場や学校における無理解, 性暴力,  </v>
      </c>
      <c r="Z152" s="8" t="s">
        <v>455</v>
      </c>
      <c r="AA152" s="8" t="str">
        <f>", "&amp;'RAW (公開用)'!U153&amp;", "</f>
        <v xml:space="preserve">, 戸籍上の性別の変更, 胸部の手術, </v>
      </c>
      <c r="AB152" s="8" t="str">
        <f>", "&amp;'RAW (公開用)'!V153&amp;", "</f>
        <v xml:space="preserve">, （上記のどれも経験していない）, </v>
      </c>
      <c r="AC152" s="8"/>
      <c r="AD15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52" s="8" t="s">
        <v>464</v>
      </c>
      <c r="AF152" s="8" t="s">
        <v>457</v>
      </c>
      <c r="AG152" s="8" t="s">
        <v>458</v>
      </c>
      <c r="AH152" s="8"/>
      <c r="AI152" s="8">
        <f t="shared" si="6"/>
        <v>2</v>
      </c>
      <c r="AJ152" s="8"/>
      <c r="AK152" s="8"/>
      <c r="AL152" s="8"/>
      <c r="AM152" s="8"/>
      <c r="AN152" s="8"/>
    </row>
    <row r="153" spans="1:40" ht="38.25" hidden="1">
      <c r="A153" s="8">
        <v>153</v>
      </c>
      <c r="B153" s="11">
        <v>44970.738346562503</v>
      </c>
      <c r="C153" s="8" t="s">
        <v>452</v>
      </c>
      <c r="D153" s="8" t="s">
        <v>453</v>
      </c>
      <c r="E153" s="8" t="s">
        <v>452</v>
      </c>
      <c r="F153" s="8" t="s">
        <v>454</v>
      </c>
      <c r="G153" s="8" t="str">
        <f>", "&amp;'RAW (公開用)'!F154&amp;", "</f>
        <v xml:space="preserve">, 無し, おかま, </v>
      </c>
      <c r="H153" s="8"/>
      <c r="I153" s="8" t="str">
        <f>", "&amp;'RAW (公開用)'!H154&amp;", "</f>
        <v xml:space="preserve">, （敬称なし）, さん, ちゃん, </v>
      </c>
      <c r="J153" s="8" t="s">
        <v>2335</v>
      </c>
      <c r="K15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ちゃん,  , </v>
      </c>
      <c r="L153" s="8" t="str">
        <f>", "&amp;'RAW (公開用)'!J154&amp;", "</f>
        <v xml:space="preserve">, （敬称なし）, </v>
      </c>
      <c r="M153" s="8" t="s">
        <v>2335</v>
      </c>
      <c r="N15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153" s="8" t="str">
        <f>", "&amp;'RAW (公開用)'!L154&amp;", "</f>
        <v xml:space="preserve">, 私（わたし／わたくし）, わたし, </v>
      </c>
      <c r="P153" s="8" t="s">
        <v>2335</v>
      </c>
      <c r="Q15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153" s="8" t="str">
        <f>", "&amp;'RAW (公開用)'!N153&amp;", "</f>
        <v xml:space="preserve">, （自分（たち）の名前）, </v>
      </c>
      <c r="S153" s="8" t="s">
        <v>2335</v>
      </c>
      <c r="T15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53" s="8" t="str">
        <f>", "&amp;'RAW (公開用)'!P154&amp;", "</f>
        <v xml:space="preserve">, they/them/their/themself, </v>
      </c>
      <c r="V153" s="8" t="s">
        <v>455</v>
      </c>
      <c r="W153" s="8" t="str">
        <f>", "&amp;'RAW (公開用)'!R154&amp;", "</f>
        <v xml:space="preserve">, 職場や学校における無理解, 医療における無理解, 社会の中でいないことにされる, 家族／かぞくからの無理解, ミスジェンダリング（誤った性別として扱うこと）, トイレなどのジェンダー化されたスペースの使用, 性暴力, </v>
      </c>
      <c r="X153" s="8"/>
      <c r="Y15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医療における無理解, 社会の中でいないことにされる, 家族／かぞくからの無理解, ミスジェンダリング（誤った性別として扱うこと）, トイレなどのジェンダー化されたスペースの使用, 性暴力,  </v>
      </c>
      <c r="Z153" s="8" t="s">
        <v>455</v>
      </c>
      <c r="AA153" s="8" t="str">
        <f>", "&amp;'RAW (公開用)'!U154&amp;", "</f>
        <v xml:space="preserve">, 戸籍名の変更, ジェンダークリニックの受診, 抗ホルモン療法, ホルモン補充療法（HRT）, 顔にかかわる手術, 性器にかかわる手術, </v>
      </c>
      <c r="AB153" s="8" t="str">
        <f>", "&amp;'RAW (公開用)'!V154&amp;", "</f>
        <v xml:space="preserve">, 戸籍名の変更, ジェンダークリニックの受診, 抗ホルモン療法, ホルモン補充療法（HRT）, 顔にかかわる手術, 性器にかかわる手術, </v>
      </c>
      <c r="AC153" s="8" t="s">
        <v>393</v>
      </c>
      <c r="AD153"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抗ホルモン療法, ホルモン補充療法（HRT）, 顔にかかわる手術, 性器にかかわる手術,  ヒゲの脱毛と金玉の除去に金がかかりすぎる。</v>
      </c>
      <c r="AE153" s="8" t="s">
        <v>474</v>
      </c>
      <c r="AF153" s="8" t="s">
        <v>457</v>
      </c>
      <c r="AG153" s="8" t="s">
        <v>458</v>
      </c>
      <c r="AH153" s="8"/>
      <c r="AI153" s="8">
        <f t="shared" si="6"/>
        <v>2</v>
      </c>
      <c r="AJ153" s="8"/>
      <c r="AK153" s="8"/>
      <c r="AL153" s="8"/>
      <c r="AM153" s="8"/>
      <c r="AN153" s="8"/>
    </row>
    <row r="154" spans="1:40" ht="242.25" hidden="1">
      <c r="A154" s="8">
        <v>197</v>
      </c>
      <c r="B154" s="11">
        <v>44970.97716451389</v>
      </c>
      <c r="C154" s="8" t="s">
        <v>452</v>
      </c>
      <c r="D154" s="8" t="s">
        <v>453</v>
      </c>
      <c r="E154" s="8" t="s">
        <v>452</v>
      </c>
      <c r="F154" s="8" t="s">
        <v>454</v>
      </c>
      <c r="G154" s="8" t="str">
        <f>", "&amp;'RAW (公開用)'!F198&amp;", "</f>
        <v xml:space="preserve">, ノンバイナリー, 両性, **必ず選んでください**, クエスチョニング, ゲイ（ジェンダーについて）, トランス男性, </v>
      </c>
      <c r="H154" s="8" t="s">
        <v>551</v>
      </c>
      <c r="I154" s="8" t="str">
        <f>", "&amp;'RAW (公開用)'!H198&amp;", "</f>
        <v xml:space="preserve">, （敬称なし）, </v>
      </c>
      <c r="J154" s="8" t="s">
        <v>2335</v>
      </c>
      <c r="K15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 </v>
      </c>
      <c r="L154" s="8" t="str">
        <f>", "&amp;'RAW (公開用)'!J198&amp;", "</f>
        <v xml:space="preserve">, **英語を日常的に使わない**, </v>
      </c>
      <c r="M154" s="8" t="s">
        <v>2335</v>
      </c>
      <c r="N15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54" s="8" t="str">
        <f>", "&amp;'RAW (公開用)'!L198&amp;", "</f>
        <v xml:space="preserve">, 俺, うち, 自分, （時とともに変わる）, </v>
      </c>
      <c r="P154" s="8" t="s">
        <v>2335</v>
      </c>
      <c r="Q15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うち, 自分, （時とともに変わる）,  , </v>
      </c>
      <c r="R154" s="8" t="str">
        <f>", "&amp;'RAW (公開用)'!N154&amp;", "</f>
        <v xml:space="preserve">, （自分（たち）の名前）, </v>
      </c>
      <c r="S154" s="16" t="s">
        <v>2361</v>
      </c>
      <c r="T15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彼, 呼ばれたくない,</v>
      </c>
      <c r="U154" s="8" t="str">
        <f>", "&amp;'RAW (公開用)'!P198&amp;", "</f>
        <v xml:space="preserve">, **英語を日常的に使わない**, </v>
      </c>
      <c r="V154" s="8" t="s">
        <v>455</v>
      </c>
      <c r="W154" s="8" t="str">
        <f>", "&amp;'RAW (公開用)'!R198&amp;", "</f>
        <v xml:space="preserve">, 必要なジェンダーケアへアクセスできない, ミスジェンダリング（誤った性別として扱うこと）, 医療における無理解, カムアウトできない, 家族／かぞくからの無理解, デッドネーミング（誤った名前で呼ばれること）, </v>
      </c>
      <c r="X154" s="8" t="s">
        <v>266</v>
      </c>
      <c r="Y15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ミスジェンダリング（誤った性別として扱うこと）, 医療における無理解, カムアウトできない, 家族／かぞくからの無理解, デッドネーミング（誤った名前で呼ばれること）,  月経不順により産婦人科に行くはめになり、カミングアウトは怖くてできず、女性ホルモンを飲む羽目になった。それが嫌で別にトラウマ(性同一性障害の診断受けた幼馴染にトランスでは無いと否定された)あって避けてた精神科に行って(この時トラウマの原因だった友人の言葉ガン否定してくれたのでマシになった)トランスに理解のある産婦人科を紹介してもらった。
金が無くて手術を諦めてるのを良かった、貴方だけの身体では無いと言われた。
スカートも赤もピンクも大嫌いだけどせっかく女の子に産まれたんだからとかかわいいんだからとか言われて嫌がっても履かされた(諦めて小学生の時は年に2,3回、中学からは制服で馴れた)
ちゃん付けで呼ばれたり女性として性的対象に見られるのが心底嫌だ。男として男が好きなのであって女じゃない。
もっとある気はするけどしんどいのでストップします。</v>
      </c>
      <c r="Z154" s="8" t="s">
        <v>455</v>
      </c>
      <c r="AA154" s="8" t="str">
        <f>", "&amp;'RAW (公開用)'!U198&amp;", "</f>
        <v xml:space="preserve">, 戸籍名の変更, 戸籍上の性別の変更, 抗ホルモン療法, 顔にかかわる手術, 胸部の手術, 性器にかかわる手術, </v>
      </c>
      <c r="AB154" s="8" t="str">
        <f>", "&amp;'RAW (公開用)'!V198&amp;", "</f>
        <v xml:space="preserve">, ジェンダークリニックの受診, </v>
      </c>
      <c r="AC154" s="8" t="s">
        <v>311</v>
      </c>
      <c r="AD154"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金銭的に不可能</v>
      </c>
      <c r="AE154" s="8" t="s">
        <v>459</v>
      </c>
      <c r="AF154" s="8" t="s">
        <v>457</v>
      </c>
      <c r="AG154" s="8" t="s">
        <v>458</v>
      </c>
      <c r="AH154" s="8"/>
      <c r="AI154" s="8">
        <f t="shared" si="6"/>
        <v>5</v>
      </c>
      <c r="AJ154" s="8"/>
      <c r="AK154" s="8"/>
      <c r="AL154" s="8"/>
      <c r="AM154" s="8"/>
      <c r="AN154" s="8"/>
    </row>
    <row r="155" spans="1:40" ht="153" hidden="1">
      <c r="A155" s="8">
        <v>425</v>
      </c>
      <c r="B155" s="11">
        <v>44994.011701550931</v>
      </c>
      <c r="C155" s="8" t="s">
        <v>452</v>
      </c>
      <c r="D155" s="8" t="s">
        <v>453</v>
      </c>
      <c r="E155" s="8" t="s">
        <v>452</v>
      </c>
      <c r="F155" s="8" t="s">
        <v>454</v>
      </c>
      <c r="G155" s="8" t="str">
        <f>", "&amp;'RAW (公開用)'!F426&amp;", "</f>
        <v xml:space="preserve">, Aジェンダー／エイジェンダー／アジェンダー／agender, ノンバイナリー, enby／エンビー, 無性, </v>
      </c>
      <c r="H155" s="8"/>
      <c r="I155" s="8" t="str">
        <f>", "&amp;'RAW (公開用)'!H426&amp;", "</f>
        <v xml:space="preserve">, （時とともに変わる）, さん, </v>
      </c>
      <c r="J155" s="16" t="s">
        <v>2337</v>
      </c>
      <c r="K15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（時とともに変わる）, さん,  , 氏,</v>
      </c>
      <c r="L155" s="8" t="str">
        <f>", "&amp;'RAW (公開用)'!J426&amp;", "</f>
        <v xml:space="preserve">, Mx., </v>
      </c>
      <c r="M155" s="8" t="s">
        <v>2335</v>
      </c>
      <c r="N15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155" s="8" t="str">
        <f>", "&amp;'RAW (公開用)'!L426&amp;", "</f>
        <v xml:space="preserve">, あたし, 私（わたし／わたくし）, 自分, おれ, わたし, （時とともに変わる）, うち, わたくし, </v>
      </c>
      <c r="P155" s="73" t="s">
        <v>2393</v>
      </c>
      <c r="Q15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あたし, 私（わたし／わたくし）, 自分, おれ, わたし, （時とともに変わる）, うち, わたくし,  , ゥチ,</v>
      </c>
      <c r="R155" s="8" t="str">
        <f>", "&amp;'RAW (公開用)'!N155&amp;", "</f>
        <v xml:space="preserve">, 彼女, （自分（たち）の名前）, </v>
      </c>
      <c r="S155" s="73" t="s">
        <v>2362</v>
      </c>
      <c r="T15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（自分（たち）の名前）,  , 氏(し), {この/その/あの}+人,</v>
      </c>
      <c r="U155" s="8" t="str">
        <f>", "&amp;'RAW (公開用)'!P426&amp;", "</f>
        <v xml:space="preserve">, **英語を日常的に使わない**, they/them/their/themself, </v>
      </c>
      <c r="V155" s="8" t="s">
        <v>455</v>
      </c>
      <c r="W155" s="8" t="str">
        <f>", "&amp;'RAW (公開用)'!R426&amp;", "</f>
        <v xml:space="preserve">, ミスジェンダリング（誤った性別として扱うこと）, カムアウトできない, トイレなどのジェンダー化されたスペースの使用, 社会の中でいないことにされる, 職場や学校における無理解, 医療における無理解, 必要なジェンダーケアへアクセスできない, </v>
      </c>
      <c r="X155" s="8" t="s">
        <v>273</v>
      </c>
      <c r="Y15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カムアウトできない, トイレなどのジェンダー化されたスペースの使用, 社会の中でいないことにされる, 職場や学校における無理解, 医療における無理解, 必要なジェンダーケアへアクセスできない,  現在ノンバイナリーとして自己を認識しているが、ホルモン治療や外科手術等の身体的な医療措置や、改名は考えていない。そのため自分のノンバイナリー性を証明できるものが無いように思う。改めて就労する際に要求する扱いが通るかどうか考えるたび憂鬱になるし、そもそも要求できるほど自分に勇気があるかも分からない。
広義にはトランスジェンダーの一人として自己を位置付けながらも、医療的アプローチではなく社会的な扱いの変容を望む身としては、誰の判断を仰げば認められるのか、何をすれば自分にとって正当な扱いを受けることができるのか分からない。</v>
      </c>
      <c r="Z155" s="8" t="s">
        <v>455</v>
      </c>
      <c r="AA155" s="8" t="str">
        <f>", "&amp;'RAW (公開用)'!U426&amp;", "</f>
        <v xml:space="preserve">, 戸籍上の性別の変更, ジェンダークリニックの受診, </v>
      </c>
      <c r="AB155" s="8" t="str">
        <f>", "&amp;'RAW (公開用)'!V426&amp;", "</f>
        <v xml:space="preserve">, （上記のどれも経験していない）, </v>
      </c>
      <c r="AC155" s="8" t="s">
        <v>398</v>
      </c>
      <c r="AD155"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ノンバイナリーとしての戸籍上の性別を得たい。
今後就労するにあたり職場等でノンバイナリーとしての扱いを受けたいが、どこから始めればいいのか。</v>
      </c>
      <c r="AE155" s="8" t="s">
        <v>464</v>
      </c>
      <c r="AF155" s="8" t="s">
        <v>457</v>
      </c>
      <c r="AG155" s="8" t="s">
        <v>458</v>
      </c>
      <c r="AH155" s="8" t="s">
        <v>636</v>
      </c>
      <c r="AI155" s="8">
        <f t="shared" si="6"/>
        <v>4</v>
      </c>
      <c r="AJ155" s="8"/>
      <c r="AK155" s="8"/>
      <c r="AL155" s="8"/>
      <c r="AM155" s="8"/>
      <c r="AN155" s="8"/>
    </row>
    <row r="156" spans="1:40" ht="76.5" hidden="1">
      <c r="A156" s="8">
        <v>156</v>
      </c>
      <c r="B156" s="11">
        <v>44970.753290162036</v>
      </c>
      <c r="C156" s="8" t="s">
        <v>452</v>
      </c>
      <c r="D156" s="8" t="s">
        <v>453</v>
      </c>
      <c r="E156" s="8" t="s">
        <v>452</v>
      </c>
      <c r="F156" s="8" t="s">
        <v>454</v>
      </c>
      <c r="G156" s="8" t="str">
        <f>", "&amp;'RAW (公開用)'!F157&amp;", "</f>
        <v xml:space="preserve">, トランス, バイナリー, ジェンダーフラックス／フラックスジェンダー, ジェンダー・ノンコンフォーミング／gender non-conforming, トランスセクシュアル／transsexual, トランス*／trans*, クィア／Queer, Aジェンダー／エイジェンダー／アジェンダー／agender, 男性／man, ノンバイナリー, （ジェンダー・）フルイド／（ジェンダー・）フリュイド／（ジェンダー・）フルイッド, トランス男性, トランスジェンダー, ノンバイナリー男性, トランスマスキュリン, </v>
      </c>
      <c r="H156" s="8"/>
      <c r="I156" s="8" t="str">
        <f>", "&amp;'RAW (公開用)'!H157&amp;", "</f>
        <v xml:space="preserve">, さん, くん／君, （敬称なし）, </v>
      </c>
      <c r="J156" s="8" t="s">
        <v>2335</v>
      </c>
      <c r="K15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（敬称なし）,  , </v>
      </c>
      <c r="L156" s="8" t="str">
        <f>", "&amp;'RAW (公開用)'!J157&amp;", "</f>
        <v xml:space="preserve">, （敬称なし）, -san, Mx., Dr.など、職業などにかかわるもの, Mr., </v>
      </c>
      <c r="M156" s="8" t="s">
        <v>2335</v>
      </c>
      <c r="N15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Mx., Dr.など、職業などにかかわるもの, Mr., , </v>
      </c>
      <c r="O156" s="8" t="str">
        <f>", "&amp;'RAW (公開用)'!L157&amp;", "</f>
        <v xml:space="preserve">, 俺, 私（わたし／わたくし）, </v>
      </c>
      <c r="P156" s="8" t="s">
        <v>2335</v>
      </c>
      <c r="Q15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 </v>
      </c>
      <c r="R156" s="8" t="s">
        <v>2174</v>
      </c>
      <c r="S156" s="8" t="s">
        <v>2335</v>
      </c>
      <c r="T15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156" s="8" t="str">
        <f>", "&amp;'RAW (公開用)'!P157&amp;", "</f>
        <v xml:space="preserve">, they/them/their/themself, he, they/them/their/themselves, </v>
      </c>
      <c r="V156" s="8" t="s">
        <v>455</v>
      </c>
      <c r="W156" s="8" t="str">
        <f>", "&amp;'RAW (公開用)'!R157&amp;", "</f>
        <v xml:space="preserve">, デッドネーミング（誤った名前で呼ばれること）, ミスジェンダリング（誤った性別として扱うこと）, 職場や学校における無理解, カムアウトを強制される, 社会の中でいないことにされる, 必要なジェンダーケアへアクセスできない, 家族／かぞくからの無理解, 医療における無理解, </v>
      </c>
      <c r="X156" s="8"/>
      <c r="Y15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ミスジェンダリング（誤った性別として扱うこと）, 職場や学校における無理解, カムアウトを強制される, 社会の中でいないことにされる, 必要なジェンダーケアへアクセスできない, 家族／かぞくからの無理解, 医療における無理解,  </v>
      </c>
      <c r="Z156" s="8" t="s">
        <v>455</v>
      </c>
      <c r="AA156" s="8" t="str">
        <f>", "&amp;'RAW (公開用)'!U157&amp;", "</f>
        <v xml:space="preserve">, 戸籍名の変更, 戸籍上の性別の変更, ジェンダークリニックの受診, ホルモン補充療法（HRT）, 顔にかかわる手術, 胸部の手術, 性器にかかわる手術, </v>
      </c>
      <c r="AB156" s="8" t="str">
        <f>", "&amp;'RAW (公開用)'!V157&amp;", "</f>
        <v xml:space="preserve">, 戸籍名の変更, ジェンダークリニックの受診, ホルモン補充療法（HRT）, </v>
      </c>
      <c r="AC156" s="8" t="s">
        <v>315</v>
      </c>
      <c r="AD156"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金がない、情報が手に入りづらい、本当にやりたいことはまだ技術的にできない（が、不可能ではないと思う）</v>
      </c>
      <c r="AE156" s="8" t="s">
        <v>459</v>
      </c>
      <c r="AF156" s="8" t="s">
        <v>457</v>
      </c>
      <c r="AG156" s="8" t="s">
        <v>458</v>
      </c>
      <c r="AH156" s="8"/>
      <c r="AI156" s="8">
        <f t="shared" si="6"/>
        <v>15</v>
      </c>
      <c r="AJ156" s="8"/>
      <c r="AK156" s="8"/>
      <c r="AL156" s="8"/>
      <c r="AM156" s="8"/>
      <c r="AN156" s="8"/>
    </row>
    <row r="157" spans="1:40" ht="51" hidden="1">
      <c r="A157" s="8">
        <v>157</v>
      </c>
      <c r="B157" s="11">
        <v>44970.753664317133</v>
      </c>
      <c r="C157" s="8" t="s">
        <v>452</v>
      </c>
      <c r="D157" s="8" t="s">
        <v>453</v>
      </c>
      <c r="E157" s="8" t="s">
        <v>452</v>
      </c>
      <c r="F157" s="8" t="s">
        <v>454</v>
      </c>
      <c r="G157" s="8" t="str">
        <f>", "&amp;'RAW (公開用)'!F158&amp;", "</f>
        <v xml:space="preserve">, トランスセクシュアル／transsexual, </v>
      </c>
      <c r="H157" s="8"/>
      <c r="I157" s="8" t="str">
        <f>", "&amp;'RAW (公開用)'!H158&amp;", "</f>
        <v xml:space="preserve">, さん, </v>
      </c>
      <c r="J157" s="8" t="s">
        <v>2335</v>
      </c>
      <c r="K15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57" s="8" t="str">
        <f>", "&amp;'RAW (公開用)'!J158&amp;", "</f>
        <v xml:space="preserve">, Mrs., </v>
      </c>
      <c r="M157" s="8" t="s">
        <v>2335</v>
      </c>
      <c r="N15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Mrs., , </v>
      </c>
      <c r="O157" s="8" t="str">
        <f>", "&amp;'RAW (公開用)'!L158&amp;", "</f>
        <v xml:space="preserve">, わたし, </v>
      </c>
      <c r="P157" s="8" t="s">
        <v>2335</v>
      </c>
      <c r="Q15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57" s="8" t="str">
        <f>", "&amp;'RAW (公開用)'!N157&amp;", "</f>
        <v xml:space="preserve">, 彼男（かのだん）, 彼, </v>
      </c>
      <c r="S157" s="8" t="s">
        <v>2335</v>
      </c>
      <c r="T15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彼男（かのだん）, 彼,  , </v>
      </c>
      <c r="U157" s="8" t="str">
        <f>", "&amp;'RAW (公開用)'!P158&amp;", "</f>
        <v xml:space="preserve">, she, </v>
      </c>
      <c r="V157" s="8" t="s">
        <v>455</v>
      </c>
      <c r="W157" s="8" t="str">
        <f>", "&amp;'RAW (公開用)'!R158&amp;", "</f>
        <v xml:space="preserve">, 家族／かぞくからの無理解, 職場や学校における無理解, デッドネーミング（誤った名前で呼ばれること）, ミスジェンダリング（誤った性別として扱うこと）, カムアウトを強制される, アウティング（勝手にジェンダーや指向についての情報を明かされること）, 性暴力, </v>
      </c>
      <c r="X157" s="8"/>
      <c r="Y15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デッドネーミング（誤った名前で呼ばれること）, ミスジェンダリング（誤った性別として扱うこと）, カムアウトを強制される, アウティング（勝手にジェンダーや指向についての情報を明かされること）, 性暴力,  </v>
      </c>
      <c r="Z157" s="8" t="s">
        <v>455</v>
      </c>
      <c r="AA157" s="8" t="str">
        <f>", "&amp;'RAW (公開用)'!U158&amp;", "</f>
        <v xml:space="preserve">, 戸籍名の変更, ジェンダークリニックの受診, 抗ホルモン療法, ホルモン補充療法（HRT）, </v>
      </c>
      <c r="AB157" s="8" t="str">
        <f>", "&amp;'RAW (公開用)'!V158&amp;", "</f>
        <v xml:space="preserve">, 戸籍名の変更, ジェンダークリニックの受診, 抗ホルモン療法, ホルモン補充療法（HRT）, </v>
      </c>
      <c r="AC157" s="8"/>
      <c r="AD157"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ジェンダークリニックの受診, 抗ホルモン療法, ホルモン補充療法（HRT）,  </v>
      </c>
      <c r="AE157" s="8" t="s">
        <v>461</v>
      </c>
      <c r="AF157" s="8" t="s">
        <v>457</v>
      </c>
      <c r="AG157" s="8" t="s">
        <v>458</v>
      </c>
      <c r="AH157" s="8"/>
      <c r="AI157" s="8">
        <f t="shared" si="6"/>
        <v>1</v>
      </c>
      <c r="AJ157" s="8"/>
      <c r="AK157" s="8"/>
      <c r="AL157" s="8"/>
      <c r="AM157" s="8"/>
      <c r="AN157" s="8"/>
    </row>
    <row r="158" spans="1:40" ht="89.25" hidden="1">
      <c r="A158" s="8">
        <v>158</v>
      </c>
      <c r="B158" s="11">
        <v>44970.760258819442</v>
      </c>
      <c r="C158" s="8" t="s">
        <v>452</v>
      </c>
      <c r="D158" s="8" t="s">
        <v>453</v>
      </c>
      <c r="E158" s="8" t="s">
        <v>452</v>
      </c>
      <c r="F158" s="8" t="s">
        <v>454</v>
      </c>
      <c r="G158" s="8" t="str">
        <f>", "&amp;'RAW (公開用)'!F159&amp;", "</f>
        <v xml:space="preserve">, ジェンダー・ノンコンフォーミング／gender non-conforming, **必ず選んでください**, enby／エンビー, ノンバイナリー, 無性, Aジェンダー／エイジェンダー／アジェンダー／agender, </v>
      </c>
      <c r="H158" s="8"/>
      <c r="I158" s="8" t="str">
        <f>", "&amp;'RAW (公開用)'!H159&amp;", "</f>
        <v xml:space="preserve">, （時とともに変わる）, さん, </v>
      </c>
      <c r="J158" s="8" t="s">
        <v>2335</v>
      </c>
      <c r="K15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さん,  , </v>
      </c>
      <c r="L158" s="8" t="str">
        <f>", "&amp;'RAW (公開用)'!J159&amp;", "</f>
        <v xml:space="preserve">, Mx., -san, </v>
      </c>
      <c r="M158" s="8" t="s">
        <v>2335</v>
      </c>
      <c r="N15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-san, , </v>
      </c>
      <c r="O158" s="8" t="str">
        <f>", "&amp;'RAW (公開用)'!L159&amp;", "</f>
        <v xml:space="preserve">, うち, （時とともに変わる）, 私（わたし／わたくし）, 俺, 自分, </v>
      </c>
      <c r="P158" s="8" t="s">
        <v>2335</v>
      </c>
      <c r="Q15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（時とともに変わる）, 私（わたし／わたくし）, 俺, 自分,  , </v>
      </c>
      <c r="R158" s="8" t="str">
        <f>", "&amp;'RAW (公開用)'!N158&amp;", "</f>
        <v xml:space="preserve">, 彼女, </v>
      </c>
      <c r="S158" s="8" t="s">
        <v>2335</v>
      </c>
      <c r="T15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158" s="8" t="str">
        <f>", "&amp;'RAW (公開用)'!P159&amp;", "</f>
        <v xml:space="preserve">, they/them/their/themself, they/them/their/themselves, </v>
      </c>
      <c r="V158" s="8" t="s">
        <v>455</v>
      </c>
      <c r="W158" s="8" t="str">
        <f>", "&amp;'RAW (公開用)'!R159&amp;", "</f>
        <v xml:space="preserve">, トイレなどのジェンダー化されたスペースの使用, 社会の中でいないことにされる, 職場や学校における無理解, ミスジェンダリング（誤った性別として扱うこと）, 家族／かぞくからの無理解, 必要なジェンダーケアへアクセスできない, カムアウトできない, 医療における無理解, </v>
      </c>
      <c r="X158" s="8" t="s">
        <v>276</v>
      </c>
      <c r="Y15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社会の中でいないことにされる, 職場や学校における無理解, ミスジェンダリング（誤った性別として扱うこと）, 家族／かぞくからの無理解, 必要なジェンダーケアへアクセスできない, カムアウトできない, 医療における無理解,  男女制服しかないのがすごく嫌でした。見た目で「性別」を探られることも怖いですし、なにかと身体的特徴をある二元的な性別に結びつけるような発言を聞くと毎回程度は違えどショックを受けます。</v>
      </c>
      <c r="Z158" s="8" t="s">
        <v>455</v>
      </c>
      <c r="AA158" s="8" t="str">
        <f>", "&amp;'RAW (公開用)'!U159&amp;", "</f>
        <v xml:space="preserve">, 戸籍上の性別の変更, </v>
      </c>
      <c r="AB158" s="8" t="str">
        <f>", "&amp;'RAW (公開用)'!V159&amp;", "</f>
        <v xml:space="preserve">, （上記のどれも経験していない）, </v>
      </c>
      <c r="AC158" s="8"/>
      <c r="AD15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58" s="8" t="s">
        <v>464</v>
      </c>
      <c r="AF158" s="8" t="s">
        <v>457</v>
      </c>
      <c r="AG158" s="8" t="s">
        <v>458</v>
      </c>
      <c r="AH158" s="8" t="s">
        <v>538</v>
      </c>
      <c r="AI158" s="8">
        <f t="shared" si="6"/>
        <v>5</v>
      </c>
      <c r="AJ158" s="8"/>
      <c r="AK158" s="8"/>
      <c r="AL158" s="8"/>
      <c r="AM158" s="8"/>
      <c r="AN158" s="8"/>
    </row>
    <row r="159" spans="1:40" ht="25.5" hidden="1">
      <c r="A159" s="8">
        <v>220</v>
      </c>
      <c r="B159" s="11">
        <v>44971.535786076391</v>
      </c>
      <c r="C159" s="8" t="s">
        <v>452</v>
      </c>
      <c r="D159" s="8" t="s">
        <v>453</v>
      </c>
      <c r="E159" s="8" t="s">
        <v>452</v>
      </c>
      <c r="F159" s="8" t="s">
        <v>454</v>
      </c>
      <c r="G159" s="8" t="str">
        <f>", "&amp;'RAW (公開用)'!F221&amp;", "</f>
        <v xml:space="preserve">, 男性／man, </v>
      </c>
      <c r="H159" s="8"/>
      <c r="I159" s="8" t="str">
        <f>", "&amp;'RAW (公開用)'!H221&amp;", "</f>
        <v xml:space="preserve">, さん, </v>
      </c>
      <c r="J159" s="8" t="s">
        <v>2335</v>
      </c>
      <c r="K15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59" s="8" t="str">
        <f>", "&amp;'RAW (公開用)'!J221&amp;", "</f>
        <v xml:space="preserve">, **英語を日常的に使わない**, </v>
      </c>
      <c r="M159" s="8" t="s">
        <v>2335</v>
      </c>
      <c r="N15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59" s="8" t="str">
        <f>", "&amp;'RAW (公開用)'!L221&amp;", "</f>
        <v xml:space="preserve">, 俺, 私（わたし／わたくし）, 自分, </v>
      </c>
      <c r="P159" s="16" t="s">
        <v>2363</v>
      </c>
      <c r="Q15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私（わたし／わたくし）, 自分,  , おじさん,</v>
      </c>
      <c r="R159" s="8" t="str">
        <f>", "&amp;'RAW (公開用)'!N159&amp;", "</f>
        <v xml:space="preserve">, 彼, （自分（たち）の名前）, 彼人（かのひと）, </v>
      </c>
      <c r="S159" s="73" t="s">
        <v>2363</v>
      </c>
      <c r="T15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 （自分（たち）の名前）, 彼人（かのひと）,  , おじさん,</v>
      </c>
      <c r="U159" s="8" t="str">
        <f>", "&amp;'RAW (公開用)'!P221&amp;", "</f>
        <v xml:space="preserve">, **英語を日常的に使わない**, </v>
      </c>
      <c r="V159" s="8" t="s">
        <v>472</v>
      </c>
      <c r="W159" s="8" t="s">
        <v>2174</v>
      </c>
      <c r="X159" s="8"/>
      <c r="Y15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159" s="8" t="s">
        <v>472</v>
      </c>
      <c r="AA159" s="8" t="s">
        <v>2174</v>
      </c>
      <c r="AB159" s="105" t="s">
        <v>2443</v>
      </c>
      <c r="AC159" s="8"/>
      <c r="AD15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59" s="8" t="s">
        <v>461</v>
      </c>
      <c r="AF159" s="8" t="s">
        <v>457</v>
      </c>
      <c r="AG159" s="8" t="s">
        <v>458</v>
      </c>
      <c r="AH159" s="8" t="s">
        <v>560</v>
      </c>
      <c r="AI159" s="8">
        <f t="shared" si="6"/>
        <v>1</v>
      </c>
      <c r="AJ159" s="8"/>
      <c r="AK159" s="8"/>
      <c r="AL159" s="8"/>
      <c r="AM159" s="8"/>
      <c r="AN159" s="8"/>
    </row>
    <row r="160" spans="1:40" ht="51" hidden="1">
      <c r="A160" s="8">
        <v>160</v>
      </c>
      <c r="B160" s="11">
        <v>44970.769332476848</v>
      </c>
      <c r="C160" s="8" t="s">
        <v>452</v>
      </c>
      <c r="D160" s="8" t="s">
        <v>453</v>
      </c>
      <c r="E160" s="8" t="s">
        <v>452</v>
      </c>
      <c r="F160" s="8" t="s">
        <v>454</v>
      </c>
      <c r="G160" s="8" t="str">
        <f>", "&amp;'RAW (公開用)'!F161&amp;", "</f>
        <v xml:space="preserve">, トランスセクシュアル／transsexual, ニューロジェンダー／neurogender, Aジェンダー／エイジェンダー／アジェンダー／agender, ノンバイナリー, トランスマスキュリン, トランスジェンダー, クィア／Queer, </v>
      </c>
      <c r="H160" s="8"/>
      <c r="I160" s="8" t="str">
        <f>", "&amp;'RAW (公開用)'!H161&amp;", "</f>
        <v xml:space="preserve">, さん, </v>
      </c>
      <c r="J160" s="8" t="s">
        <v>2335</v>
      </c>
      <c r="K16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60" s="8" t="str">
        <f>", "&amp;'RAW (公開用)'!J161&amp;", "</f>
        <v xml:space="preserve">, **英語を日常的に使わない**, </v>
      </c>
      <c r="M160" s="8" t="s">
        <v>2335</v>
      </c>
      <c r="N16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0" s="8" t="str">
        <f>", "&amp;'RAW (公開用)'!L161&amp;", "</f>
        <v xml:space="preserve">, おれ, 俺, 私（わたし／わたくし）, </v>
      </c>
      <c r="P160" s="8" t="s">
        <v>2335</v>
      </c>
      <c r="Q16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俺, 私（わたし／わたくし）,  , </v>
      </c>
      <c r="R160" s="8" t="str">
        <f>", "&amp;'RAW (公開用)'!N160&amp;", "</f>
        <v xml:space="preserve">, （自分（たち）の名前）, </v>
      </c>
      <c r="S160" s="8" t="s">
        <v>2335</v>
      </c>
      <c r="T16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60" s="8" t="str">
        <f>", "&amp;'RAW (公開用)'!P161&amp;", "</f>
        <v xml:space="preserve">, **英語を日常的に使わない**, </v>
      </c>
      <c r="V160" s="8" t="s">
        <v>455</v>
      </c>
      <c r="W160" s="8" t="str">
        <f>", "&amp;'RAW (公開用)'!R161&amp;", "</f>
        <v xml:space="preserve">, アウティング（勝手にジェンダーや指向についての情報を明かされること）, ミスジェンダリング（誤った性別として扱うこと）, 医療における無理解, 職場や学校における無理解, 家族／かぞくからの無理解, 社会の中でいないことにされる, トイレなどのジェンダー化されたスペースの使用, </v>
      </c>
      <c r="X160" s="8"/>
      <c r="Y16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ミスジェンダリング（誤った性別として扱うこと）, 医療における無理解, 職場や学校における無理解, 家族／かぞくからの無理解, 社会の中でいないことにされる, トイレなどのジェンダー化されたスペースの使用,  </v>
      </c>
      <c r="Z160" s="8" t="s">
        <v>455</v>
      </c>
      <c r="AA160" s="8" t="str">
        <f>", "&amp;'RAW (公開用)'!U161&amp;", "</f>
        <v xml:space="preserve">, ジェンダークリニックの受診, ホルモン補充療法（HRT）, 胸部の手術, </v>
      </c>
      <c r="AB160" s="8" t="str">
        <f>", "&amp;'RAW (公開用)'!V161&amp;", "</f>
        <v xml:space="preserve">, （上記のどれも経験していない）, </v>
      </c>
      <c r="AC160" s="8" t="s">
        <v>327</v>
      </c>
      <c r="AD16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経済的に苦しいのと、保険適用のために受診したいジェンダークリニックが遠いため中々医療ケアを受けられず、辛い。また、就職やトランジション後に差別を受けるかもしれないという不安がある。</v>
      </c>
      <c r="AE160" s="8" t="s">
        <v>459</v>
      </c>
      <c r="AF160" s="8" t="s">
        <v>457</v>
      </c>
      <c r="AG160" s="8" t="s">
        <v>458</v>
      </c>
      <c r="AH160" s="8" t="s">
        <v>540</v>
      </c>
      <c r="AI160" s="8">
        <f t="shared" si="6"/>
        <v>7</v>
      </c>
      <c r="AJ160" s="8"/>
      <c r="AK160" s="8"/>
      <c r="AL160" s="8"/>
      <c r="AM160" s="8"/>
      <c r="AN160" s="8"/>
    </row>
    <row r="161" spans="1:40" ht="25.5" hidden="1">
      <c r="A161" s="8">
        <v>161</v>
      </c>
      <c r="B161" s="11">
        <v>44970.770496215278</v>
      </c>
      <c r="C161" s="8" t="s">
        <v>452</v>
      </c>
      <c r="D161" s="8" t="s">
        <v>453</v>
      </c>
      <c r="E161" s="8" t="s">
        <v>452</v>
      </c>
      <c r="F161" s="8" t="s">
        <v>454</v>
      </c>
      <c r="G161" s="8" t="str">
        <f>", "&amp;'RAW (公開用)'!F162&amp;", "</f>
        <v xml:space="preserve">, クィア／Queer, </v>
      </c>
      <c r="H161" s="8"/>
      <c r="I161" s="8" t="str">
        <f>", "&amp;'RAW (公開用)'!H162&amp;", "</f>
        <v xml:space="preserve">, （any／問わない／どれでもよい）, </v>
      </c>
      <c r="J161" s="8" t="s">
        <v>2335</v>
      </c>
      <c r="K16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61" s="8" t="str">
        <f>", "&amp;'RAW (公開用)'!J162&amp;", "</f>
        <v xml:space="preserve">, **英語を日常的に使わない**, </v>
      </c>
      <c r="M161" s="8" t="s">
        <v>2335</v>
      </c>
      <c r="N16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1" s="8" t="str">
        <f>", "&amp;'RAW (公開用)'!L162&amp;", "</f>
        <v xml:space="preserve">, わたし, </v>
      </c>
      <c r="P161" s="8" t="s">
        <v>2335</v>
      </c>
      <c r="Q16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61" s="8" t="str">
        <f>", "&amp;'RAW (公開用)'!N161&amp;", "</f>
        <v xml:space="preserve">, （自分（たち）の名前）, </v>
      </c>
      <c r="S161" s="8" t="s">
        <v>2335</v>
      </c>
      <c r="T16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61" s="8" t="str">
        <f>", "&amp;'RAW (公開用)'!P162&amp;", "</f>
        <v xml:space="preserve">, **英語を日常的に使わない**, </v>
      </c>
      <c r="V161" s="8" t="s">
        <v>455</v>
      </c>
      <c r="W161" s="8" t="str">
        <f>", "&amp;'RAW (公開用)'!R162&amp;", "</f>
        <v xml:space="preserve">, 社会の中でいないことにされる, アウティング（勝手にジェンダーや指向についての情報を明かされること）, </v>
      </c>
      <c r="X161" s="8" t="s">
        <v>262</v>
      </c>
      <c r="Y16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アウティング（勝手にジェンダーや指向についての情報を明かされること）,  悪意ゼロで性交渉の方法を質問されること</v>
      </c>
      <c r="Z161" s="8" t="s">
        <v>455</v>
      </c>
      <c r="AA161" s="8" t="str">
        <f>", "&amp;'RAW (公開用)'!U162&amp;", "</f>
        <v xml:space="preserve">, （上記のどれも希望していない）, </v>
      </c>
      <c r="AB161" s="8" t="str">
        <f>", "&amp;'RAW (公開用)'!V162&amp;", "</f>
        <v xml:space="preserve">, （上記のどれも経験していない）, </v>
      </c>
      <c r="AC161" s="8"/>
      <c r="AD16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1" s="8" t="s">
        <v>474</v>
      </c>
      <c r="AF161" s="8" t="s">
        <v>457</v>
      </c>
      <c r="AG161" s="8" t="s">
        <v>458</v>
      </c>
      <c r="AH161" s="8"/>
      <c r="AI161" s="8">
        <f t="shared" si="6"/>
        <v>1</v>
      </c>
      <c r="AJ161" s="8"/>
      <c r="AK161" s="8"/>
      <c r="AL161" s="8"/>
      <c r="AM161" s="8"/>
      <c r="AN161" s="8"/>
    </row>
    <row r="162" spans="1:40" ht="25.5" hidden="1">
      <c r="A162" s="8">
        <v>162</v>
      </c>
      <c r="B162" s="11">
        <v>44970.787310266205</v>
      </c>
      <c r="C162" s="8" t="s">
        <v>452</v>
      </c>
      <c r="D162" s="8" t="s">
        <v>453</v>
      </c>
      <c r="E162" s="8" t="s">
        <v>452</v>
      </c>
      <c r="F162" s="8" t="s">
        <v>454</v>
      </c>
      <c r="G162" s="8" t="str">
        <f>", "&amp;'RAW (公開用)'!F163&amp;", "</f>
        <v xml:space="preserve">, ノンバイナリー, Aジェンダー／エイジェンダー／アジェンダー／agender, 無し, </v>
      </c>
      <c r="H162" s="8"/>
      <c r="I162" s="8" t="str">
        <f>", "&amp;'RAW (公開用)'!H163&amp;", "</f>
        <v xml:space="preserve">, さん, </v>
      </c>
      <c r="J162" s="8" t="s">
        <v>2335</v>
      </c>
      <c r="K16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62" s="8" t="str">
        <f>", "&amp;'RAW (公開用)'!J163&amp;", "</f>
        <v xml:space="preserve">, **英語を日常的に使わない**, </v>
      </c>
      <c r="M162" s="8" t="s">
        <v>2335</v>
      </c>
      <c r="N16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2" s="8" t="str">
        <f>", "&amp;'RAW (公開用)'!L163&amp;", "</f>
        <v xml:space="preserve">, 自分, おれ, ぼく, </v>
      </c>
      <c r="P162" s="8" t="s">
        <v>2335</v>
      </c>
      <c r="Q16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おれ, ぼく,  , </v>
      </c>
      <c r="R162" s="8" t="str">
        <f>", "&amp;'RAW (公開用)'!N162&amp;", "</f>
        <v xml:space="preserve">, （三人称で言及してほしくない）, </v>
      </c>
      <c r="S162" s="8" t="s">
        <v>2335</v>
      </c>
      <c r="T16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62" s="8" t="str">
        <f>", "&amp;'RAW (公開用)'!P163&amp;", "</f>
        <v xml:space="preserve">, **英語を日常的に使わない**, </v>
      </c>
      <c r="V162" s="8" t="s">
        <v>455</v>
      </c>
      <c r="W162" s="8" t="str">
        <f>", "&amp;'RAW (公開用)'!R163&amp;", "</f>
        <v xml:space="preserve">, 社会の中でいないことにされる, ミスジェンダリング（誤った性別として扱うこと）, カムアウトできない, </v>
      </c>
      <c r="X162" s="8"/>
      <c r="Y16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カムアウトできない,  </v>
      </c>
      <c r="Z162" s="8" t="s">
        <v>472</v>
      </c>
      <c r="AA162" s="8" t="s">
        <v>2174</v>
      </c>
      <c r="AB162" s="105" t="s">
        <v>2443</v>
      </c>
      <c r="AC162" s="8"/>
      <c r="AD162"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62" s="8" t="s">
        <v>474</v>
      </c>
      <c r="AF162" s="8" t="s">
        <v>457</v>
      </c>
      <c r="AG162" s="8" t="s">
        <v>458</v>
      </c>
      <c r="AH162" s="8"/>
      <c r="AI162" s="8">
        <f t="shared" ref="AI162:AI197" si="7">(LEN(G162)-LEN(SUBSTITUTE(G162,", ","")))/LEN(", ")-1-(LEN(G162)-LEN(SUBSTITUTE(G162,"必ず","")))/LEN("必ず")</f>
        <v>3</v>
      </c>
      <c r="AJ162" s="8"/>
      <c r="AK162" s="8"/>
      <c r="AL162" s="8"/>
      <c r="AM162" s="8"/>
      <c r="AN162" s="8"/>
    </row>
    <row r="163" spans="1:40" ht="38.25" hidden="1">
      <c r="A163" s="8">
        <v>163</v>
      </c>
      <c r="B163" s="11">
        <v>44970.789615891204</v>
      </c>
      <c r="C163" s="8" t="s">
        <v>452</v>
      </c>
      <c r="D163" s="8" t="s">
        <v>453</v>
      </c>
      <c r="E163" s="8" t="s">
        <v>452</v>
      </c>
      <c r="F163" s="8" t="s">
        <v>454</v>
      </c>
      <c r="G163" s="8" t="str">
        <f>", "&amp;'RAW (公開用)'!F164&amp;", "</f>
        <v xml:space="preserve">, ジェンダークィア, X, ジェンダーレス, Xジェンダー, クィア／Queer, </v>
      </c>
      <c r="H163" s="8"/>
      <c r="I163" s="8" t="str">
        <f>", "&amp;'RAW (公開用)'!H164&amp;", "</f>
        <v xml:space="preserve">, さん, （時とともに変わる）, （敬称なし）, </v>
      </c>
      <c r="J163" s="8" t="s">
        <v>2335</v>
      </c>
      <c r="K16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（時とともに変わる）, （敬称なし）,  , </v>
      </c>
      <c r="L163" s="8" t="str">
        <f>", "&amp;'RAW (公開用)'!J164&amp;", "</f>
        <v xml:space="preserve">, Mx., Mrs., </v>
      </c>
      <c r="M163" s="8" t="s">
        <v>2335</v>
      </c>
      <c r="N16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Mrs., , </v>
      </c>
      <c r="O163" s="8" t="str">
        <f>", "&amp;'RAW (公開用)'!L164&amp;", "</f>
        <v xml:space="preserve">, 私（わたし／わたくし）, 自分, （時とともに変わる）, （自分（たち）の名前）, うち, </v>
      </c>
      <c r="P163" s="8" t="s">
        <v>2335</v>
      </c>
      <c r="Q16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（時とともに変わる）, （自分（たち）の名前）, うち,  , </v>
      </c>
      <c r="R163" s="8" t="str">
        <f>", "&amp;'RAW (公開用)'!N163&amp;", "</f>
        <v xml:space="preserve">, （三人称で言及してほしくない）, </v>
      </c>
      <c r="S163" s="8" t="s">
        <v>2335</v>
      </c>
      <c r="T16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63" s="8" t="str">
        <f>", "&amp;'RAW (公開用)'!P164&amp;", "</f>
        <v xml:space="preserve">, they/them/their/themself, </v>
      </c>
      <c r="V163" s="8" t="s">
        <v>455</v>
      </c>
      <c r="W163" s="8" t="str">
        <f>", "&amp;'RAW (公開用)'!R164&amp;", "</f>
        <v xml:space="preserve">, 必要なジェンダーケアへアクセスできない, アウティング（勝手にジェンダーや指向についての情報を明かされること）, 社会の中でいないことにされる, ミスジェンダリング（誤った性別として扱うこと）, 医療における無理解, </v>
      </c>
      <c r="X163" s="8"/>
      <c r="Y16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アウティング（勝手にジェンダーや指向についての情報を明かされること）, 社会の中でいないことにされる, ミスジェンダリング（誤った性別として扱うこと）, 医療における無理解,  </v>
      </c>
      <c r="Z163" s="8" t="s">
        <v>455</v>
      </c>
      <c r="AA163" s="8" t="str">
        <f>", "&amp;'RAW (公開用)'!U164&amp;", "</f>
        <v xml:space="preserve">, （上記のどれも希望していない）, </v>
      </c>
      <c r="AB163" s="8" t="str">
        <f>", "&amp;'RAW (公開用)'!V164&amp;", "</f>
        <v xml:space="preserve">, （上記のどれも経験していない）, </v>
      </c>
      <c r="AC163" s="8"/>
      <c r="AD16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3" s="8" t="s">
        <v>475</v>
      </c>
      <c r="AF163" s="8" t="s">
        <v>541</v>
      </c>
      <c r="AG163" s="8" t="s">
        <v>458</v>
      </c>
      <c r="AH163" s="8"/>
      <c r="AI163" s="8">
        <f t="shared" si="7"/>
        <v>5</v>
      </c>
      <c r="AJ163" s="8"/>
      <c r="AK163" s="8"/>
      <c r="AL163" s="8"/>
      <c r="AM163" s="8"/>
      <c r="AN163" s="8"/>
    </row>
    <row r="164" spans="1:40" ht="63.75" hidden="1">
      <c r="A164" s="8">
        <v>164</v>
      </c>
      <c r="B164" s="11">
        <v>44970.802669791665</v>
      </c>
      <c r="C164" s="8" t="s">
        <v>452</v>
      </c>
      <c r="D164" s="8" t="s">
        <v>453</v>
      </c>
      <c r="E164" s="8" t="s">
        <v>452</v>
      </c>
      <c r="F164" s="8" t="s">
        <v>454</v>
      </c>
      <c r="G164" s="8" t="str">
        <f>", "&amp;'RAW (公開用)'!F165&amp;", "</f>
        <v xml:space="preserve">, 無性, **必ず選んでください**, Aジェンダー／エイジェンダー／アジェンダー／agender, 無し, </v>
      </c>
      <c r="H164" s="8"/>
      <c r="I164" s="8" t="str">
        <f>", "&amp;'RAW (公開用)'!H165&amp;", "</f>
        <v xml:space="preserve">, （any／問わない／どれでもよい）, </v>
      </c>
      <c r="J164" s="8" t="s">
        <v>2335</v>
      </c>
      <c r="K16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64" s="8" t="str">
        <f>", "&amp;'RAW (公開用)'!J165&amp;", "</f>
        <v xml:space="preserve">, **英語を日常的に使わない**, </v>
      </c>
      <c r="M164" s="8" t="s">
        <v>2335</v>
      </c>
      <c r="N16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4" s="8" t="str">
        <f>", "&amp;'RAW (公開用)'!L165&amp;", "</f>
        <v xml:space="preserve">, 俺, 私（わたし／わたくし）, 僕, ぼく, わし, （自分（たち）の名前）, うち, 自分, </v>
      </c>
      <c r="P164" s="8" t="s">
        <v>2335</v>
      </c>
      <c r="Q16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僕, ぼく, わし, （自分（たち）の名前）, うち, 自分,  , </v>
      </c>
      <c r="R164" s="8" t="str">
        <f>", "&amp;'RAW (公開用)'!N164&amp;", "</f>
        <v xml:space="preserve">, （any／問わない／どれでもよい）, （三人称で言及してほしくない）, （自分（たち）の名前）, </v>
      </c>
      <c r="S164" s="8" t="s">
        <v>2335</v>
      </c>
      <c r="T16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（三人称で言及してほしくない）, （自分（たち）の名前）,  , </v>
      </c>
      <c r="U164" s="8" t="str">
        <f>", "&amp;'RAW (公開用)'!P165&amp;", "</f>
        <v xml:space="preserve">, **英語を日常的に使わない**, </v>
      </c>
      <c r="V164" s="8" t="s">
        <v>455</v>
      </c>
      <c r="W164" s="8" t="str">
        <f>", "&amp;'RAW (公開用)'!R165&amp;", "</f>
        <v xml:space="preserve">, 医療における無理解, 必要なジェンダーケアへアクセスできない, 性暴力, LGBTQ+運動からの排斥, 職場や学校における無理解, 社会の中でいないことにされる, ミスジェンダリング（誤った性別として扱うこと）, 家族／かぞくからの無理解, カムアウトを強制される, アウティング（勝手にジェンダーや指向についての情報を明かされること）, </v>
      </c>
      <c r="X164" s="8"/>
      <c r="Y16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必要なジェンダーケアへアクセスできない, 性暴力, LGBTQ+運動からの排斥, 職場や学校における無理解, 社会の中でいないことにされる, ミスジェンダリング（誤った性別として扱うこと）, 家族／かぞくからの無理解, カムアウトを強制される, アウティング（勝手にジェンダーや指向についての情報を明かされること）,  </v>
      </c>
      <c r="Z164" s="8" t="s">
        <v>455</v>
      </c>
      <c r="AA164" s="8" t="str">
        <f>", "&amp;'RAW (公開用)'!U165&amp;", "</f>
        <v xml:space="preserve">, （上記のどれも希望していない）, </v>
      </c>
      <c r="AB164" s="8" t="str">
        <f>", "&amp;'RAW (公開用)'!V165&amp;", "</f>
        <v xml:space="preserve">, （上記のどれも経験していない）, </v>
      </c>
      <c r="AC164" s="8"/>
      <c r="AD16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4" s="8" t="s">
        <v>459</v>
      </c>
      <c r="AF164" s="8" t="s">
        <v>457</v>
      </c>
      <c r="AG164" s="8" t="s">
        <v>458</v>
      </c>
      <c r="AH164" s="8"/>
      <c r="AI164" s="8">
        <f t="shared" si="7"/>
        <v>3</v>
      </c>
      <c r="AJ164" s="8"/>
      <c r="AK164" s="8"/>
      <c r="AL164" s="8"/>
      <c r="AM164" s="8"/>
      <c r="AN164" s="8"/>
    </row>
    <row r="165" spans="1:40" ht="38.25" hidden="1">
      <c r="A165" s="8">
        <v>165</v>
      </c>
      <c r="B165" s="11">
        <v>44970.807337916667</v>
      </c>
      <c r="C165" s="8" t="s">
        <v>452</v>
      </c>
      <c r="D165" s="8" t="s">
        <v>453</v>
      </c>
      <c r="E165" s="8" t="s">
        <v>452</v>
      </c>
      <c r="F165" s="8" t="s">
        <v>454</v>
      </c>
      <c r="G165" s="8" t="str">
        <f>", "&amp;'RAW (公開用)'!F166&amp;", "</f>
        <v xml:space="preserve">, ノンバイナリー, ジェンダー・ノンコンフォーミング／gender non-conforming, クィア／Queer, Xジェンダー, 無性, </v>
      </c>
      <c r="H165" s="8"/>
      <c r="I165" s="8" t="str">
        <f>", "&amp;'RAW (公開用)'!H166&amp;", "</f>
        <v xml:space="preserve">, （敬称なし）, さん, </v>
      </c>
      <c r="J165" s="8" t="s">
        <v>2335</v>
      </c>
      <c r="K16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165" s="8" t="str">
        <f>", "&amp;'RAW (公開用)'!J166&amp;", "</f>
        <v xml:space="preserve">, **英語を日常的に使わない**, </v>
      </c>
      <c r="M165" s="8" t="s">
        <v>2335</v>
      </c>
      <c r="N16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5" s="8" t="str">
        <f>", "&amp;'RAW (公開用)'!L166&amp;", "</f>
        <v xml:space="preserve">, 私（わたし／わたくし）, </v>
      </c>
      <c r="P165" s="8" t="s">
        <v>2335</v>
      </c>
      <c r="Q16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165" s="8" t="str">
        <f>", "&amp;'RAW (公開用)'!N165&amp;", "</f>
        <v xml:space="preserve">, （自分（たち）の名前）, （三人称で言及してほしくない）, </v>
      </c>
      <c r="S165" s="8" t="s">
        <v>2335</v>
      </c>
      <c r="T16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165" s="8" t="str">
        <f>", "&amp;'RAW (公開用)'!P166&amp;", "</f>
        <v xml:space="preserve">, **英語を日常的に使わない**, </v>
      </c>
      <c r="V165" s="8" t="s">
        <v>455</v>
      </c>
      <c r="W165" s="8" t="str">
        <f>", "&amp;'RAW (公開用)'!R166&amp;", "</f>
        <v xml:space="preserve">, アウティング（勝手にジェンダーや指向についての情報を明かされること）, ミスジェンダリング（誤った性別として扱うこと）, 社会の中でいないことにされる, デッドネーミング（誤った名前で呼ばれること）, カムアウトできない, </v>
      </c>
      <c r="X165" s="8"/>
      <c r="Y16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ミスジェンダリング（誤った性別として扱うこと）, 社会の中でいないことにされる, デッドネーミング（誤った名前で呼ばれること）, カムアウトできない,  </v>
      </c>
      <c r="Z165" s="8" t="s">
        <v>455</v>
      </c>
      <c r="AA165" s="8" t="str">
        <f>", "&amp;'RAW (公開用)'!U166&amp;", "</f>
        <v xml:space="preserve">, （上記のどれも希望していない）, </v>
      </c>
      <c r="AB165" s="8" t="str">
        <f>", "&amp;'RAW (公開用)'!V166&amp;", "</f>
        <v xml:space="preserve">, （上記のどれも経験していない）, </v>
      </c>
      <c r="AC165" s="8"/>
      <c r="AD16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5" s="8" t="s">
        <v>474</v>
      </c>
      <c r="AF165" s="8" t="s">
        <v>457</v>
      </c>
      <c r="AG165" s="8" t="s">
        <v>458</v>
      </c>
      <c r="AH165" s="8"/>
      <c r="AI165" s="8">
        <f t="shared" si="7"/>
        <v>5</v>
      </c>
      <c r="AJ165" s="8"/>
      <c r="AK165" s="8"/>
      <c r="AL165" s="8"/>
      <c r="AM165" s="8"/>
      <c r="AN165" s="8"/>
    </row>
    <row r="166" spans="1:40" ht="76.5" hidden="1">
      <c r="A166" s="8">
        <v>166</v>
      </c>
      <c r="B166" s="11">
        <v>44970.809696516204</v>
      </c>
      <c r="C166" s="8" t="s">
        <v>452</v>
      </c>
      <c r="D166" s="8" t="s">
        <v>453</v>
      </c>
      <c r="E166" s="8" t="s">
        <v>452</v>
      </c>
      <c r="F166" s="8" t="s">
        <v>454</v>
      </c>
      <c r="G166" s="8" t="str">
        <f>", "&amp;'RAW (公開用)'!F167&amp;", "</f>
        <v xml:space="preserve">, 中性, トランスジェンダー, X, 不定性, ニュートラル, ノンバイナリー, トランス, Xジェンダー, </v>
      </c>
      <c r="H166" s="8"/>
      <c r="I166" s="8" t="str">
        <f>", "&amp;'RAW (公開用)'!H167&amp;", "</f>
        <v xml:space="preserve">, （敬称なし）, さん, たん, </v>
      </c>
      <c r="J166" s="8" t="s">
        <v>2335</v>
      </c>
      <c r="K16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たん,  , </v>
      </c>
      <c r="L166" s="8" t="str">
        <f>", "&amp;'RAW (公開用)'!J167&amp;", "</f>
        <v xml:space="preserve">, （敬称なし）, Mx., -san, </v>
      </c>
      <c r="M166" s="8" t="s">
        <v>2335</v>
      </c>
      <c r="N16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Mx., -san, , </v>
      </c>
      <c r="O166" s="8" t="str">
        <f>", "&amp;'RAW (公開用)'!L167&amp;", "</f>
        <v xml:space="preserve">, 自分, わたし, 私（わたし／わたくし）, </v>
      </c>
      <c r="P166" s="8" t="s">
        <v>2335</v>
      </c>
      <c r="Q16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私（わたし／わたくし）,  , </v>
      </c>
      <c r="R166" s="8" t="str">
        <f>", "&amp;'RAW (公開用)'!N166&amp;", "</f>
        <v xml:space="preserve">, （自分（たち）の名前）, </v>
      </c>
      <c r="S166" s="8" t="s">
        <v>2335</v>
      </c>
      <c r="T16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66" s="8" t="str">
        <f>", "&amp;'RAW (公開用)'!P167&amp;", "</f>
        <v xml:space="preserve">, they/them/their/themself, </v>
      </c>
      <c r="V166" s="8" t="s">
        <v>455</v>
      </c>
      <c r="W166" s="8" t="str">
        <f>", "&amp;'RAW (公開用)'!R167&amp;", "</f>
        <v xml:space="preserve">, デッドネーミング（誤った名前で呼ばれること）, 性暴力, トイレなどのジェンダー化されたスペースの使用, 社会の中でいないことにされる, 必要なジェンダーケアへアクセスできない, アウティング（勝手にジェンダーや指向についての情報を明かされること）, LGBTQ+運動からの排斥, 家族／かぞくからの無理解, ミスジェンダリング（誤った性別として扱うこと）, カムアウトできない, 職場や学校における無理解, </v>
      </c>
      <c r="X166" s="8"/>
      <c r="Y16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性暴力, トイレなどのジェンダー化されたスペースの使用, 社会の中でいないことにされる, 必要なジェンダーケアへアクセスできない, アウティング（勝手にジェンダーや指向についての情報を明かされること）, LGBTQ+運動からの排斥, 家族／かぞくからの無理解, ミスジェンダリング（誤った性別として扱うこと）, カムアウトできない, 職場や学校における無理解,  </v>
      </c>
      <c r="Z166" s="8" t="s">
        <v>455</v>
      </c>
      <c r="AA166" s="8" t="str">
        <f>", "&amp;'RAW (公開用)'!U167&amp;", "</f>
        <v xml:space="preserve">, 戸籍名の変更, </v>
      </c>
      <c r="AB166" s="8" t="str">
        <f>", "&amp;'RAW (公開用)'!V167&amp;", "</f>
        <v xml:space="preserve">, ジェンダークリニックの受診, </v>
      </c>
      <c r="AC166" s="8" t="s">
        <v>374</v>
      </c>
      <c r="AD166"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名前を変える事や性別変更のハードルが高い</v>
      </c>
      <c r="AE166" s="8" t="s">
        <v>456</v>
      </c>
      <c r="AF166" s="8" t="s">
        <v>457</v>
      </c>
      <c r="AG166" s="8" t="s">
        <v>458</v>
      </c>
      <c r="AH166" s="8"/>
      <c r="AI166" s="8">
        <f t="shared" si="7"/>
        <v>8</v>
      </c>
      <c r="AJ166" s="8"/>
      <c r="AK166" s="8"/>
      <c r="AL166" s="8"/>
      <c r="AM166" s="8"/>
      <c r="AN166" s="8"/>
    </row>
    <row r="167" spans="1:40" ht="63.75" hidden="1">
      <c r="A167" s="8">
        <v>167</v>
      </c>
      <c r="B167" s="11">
        <v>44970.814980995376</v>
      </c>
      <c r="C167" s="8" t="s">
        <v>452</v>
      </c>
      <c r="D167" s="8" t="s">
        <v>453</v>
      </c>
      <c r="E167" s="8" t="s">
        <v>452</v>
      </c>
      <c r="F167" s="8" t="s">
        <v>454</v>
      </c>
      <c r="G167" s="8" t="str">
        <f>", "&amp;'RAW (公開用)'!F168&amp;", "</f>
        <v xml:space="preserve">, enby／エンビー, **必ず選んでください**, 不定性, クィア／Queer, （ジェンダー・）フルイド／（ジェンダー・）フリュイド／（ジェンダー・）フルイッド, トランスマスキュリン, ノンバイナリー, </v>
      </c>
      <c r="H167" s="8"/>
      <c r="I167" s="8" t="str">
        <f>", "&amp;'RAW (公開用)'!H168&amp;", "</f>
        <v xml:space="preserve">, さん, （時とともに変わる）, （クエスチョニング、模索中、または不明）, ちゃん, </v>
      </c>
      <c r="J167" s="8" t="s">
        <v>2335</v>
      </c>
      <c r="K16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（時とともに変わる）, （クエスチョニング、模索中、または不明）, ちゃん,  , </v>
      </c>
      <c r="L167" s="8" t="str">
        <f>", "&amp;'RAW (公開用)'!J168&amp;", "</f>
        <v xml:space="preserve">, **英語を日常的に使わない**, </v>
      </c>
      <c r="M167" s="8" t="s">
        <v>2335</v>
      </c>
      <c r="N16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7" s="8" t="str">
        <f>", "&amp;'RAW (公開用)'!L168&amp;", "</f>
        <v xml:space="preserve">, （自分（たち）の名前）, 自分, うち, わたし, （時とともに変わる）, おれ, </v>
      </c>
      <c r="P167" s="8" t="s">
        <v>2335</v>
      </c>
      <c r="Q16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自分, うち, わたし, （時とともに変わる）, おれ,  , </v>
      </c>
      <c r="R167" s="8" t="str">
        <f>", "&amp;'RAW (公開用)'!N167&amp;", "</f>
        <v xml:space="preserve">, （三人称で言及してほしくない）, （自分（たち）の名前）, </v>
      </c>
      <c r="S167" s="8" t="s">
        <v>2335</v>
      </c>
      <c r="T16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167" s="8" t="str">
        <f>", "&amp;'RAW (公開用)'!P168&amp;", "</f>
        <v xml:space="preserve">, （クエスチョニング、模索中、または不明）, </v>
      </c>
      <c r="V167" s="8" t="s">
        <v>455</v>
      </c>
      <c r="W167" s="8" t="str">
        <f>", "&amp;'RAW (公開用)'!R168&amp;", "</f>
        <v xml:space="preserve">, 職場や学校における無理解, 社会の中でいないことにされる, ミスジェンダリング（誤った性別として扱うこと）, カムアウトできない, トイレなどのジェンダー化されたスペースの使用, アウティング（勝手にジェンダーや指向についての情報を明かされること）, </v>
      </c>
      <c r="X167" s="8" t="s">
        <v>254</v>
      </c>
      <c r="Y16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社会の中でいないことにされる, ミスジェンダリング（誤った性別として扱うこと）, カムアウトできない, トイレなどのジェンダー化されたスペースの使用, アウティング（勝手にジェンダーや指向についての情報を明かされること）,  就活時やアルバイト時などのフォーマルな服装を求められる場で、服装に困る上にカミングアウトしたくないので相談もできない</v>
      </c>
      <c r="Z167" s="8" t="s">
        <v>455</v>
      </c>
      <c r="AA167" s="8" t="str">
        <f>", "&amp;'RAW (公開用)'!U168&amp;", "</f>
        <v xml:space="preserve">, （上記のどれも希望していない）, </v>
      </c>
      <c r="AB167" s="8" t="str">
        <f>", "&amp;'RAW (公開用)'!V168&amp;", "</f>
        <v xml:space="preserve">, （上記のどれも経験していない）, </v>
      </c>
      <c r="AC167" s="8"/>
      <c r="AD16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7" s="8" t="s">
        <v>462</v>
      </c>
      <c r="AF167" s="8" t="s">
        <v>457</v>
      </c>
      <c r="AG167" s="8" t="s">
        <v>458</v>
      </c>
      <c r="AH167" s="8" t="s">
        <v>542</v>
      </c>
      <c r="AI167" s="8">
        <f t="shared" si="7"/>
        <v>6</v>
      </c>
      <c r="AJ167" s="8"/>
      <c r="AK167" s="8"/>
      <c r="AL167" s="8"/>
      <c r="AM167" s="8"/>
      <c r="AN167" s="8"/>
    </row>
    <row r="168" spans="1:40" ht="25.5" hidden="1">
      <c r="A168" s="8">
        <v>168</v>
      </c>
      <c r="B168" s="11">
        <v>44970.817213298607</v>
      </c>
      <c r="C168" s="8" t="s">
        <v>452</v>
      </c>
      <c r="D168" s="8" t="s">
        <v>453</v>
      </c>
      <c r="E168" s="8" t="s">
        <v>452</v>
      </c>
      <c r="F168" s="8" t="s">
        <v>454</v>
      </c>
      <c r="G168" s="8" t="str">
        <f>", "&amp;'RAW (公開用)'!F169&amp;", "</f>
        <v xml:space="preserve">, クエスチョニング, **必ず選んでください**, ノンバイナリー, </v>
      </c>
      <c r="H168" s="8"/>
      <c r="I168" s="8" t="str">
        <f>", "&amp;'RAW (公開用)'!H169&amp;", "</f>
        <v xml:space="preserve">, ちゃん, （クエスチョニング、模索中、または不明）, （敬称なし）, さん, </v>
      </c>
      <c r="J168" s="8" t="s">
        <v>2335</v>
      </c>
      <c r="K16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（クエスチョニング、模索中、または不明）, （敬称なし）, さん,  , </v>
      </c>
      <c r="L168" s="8" t="str">
        <f>", "&amp;'RAW (公開用)'!J169&amp;", "</f>
        <v xml:space="preserve">, **英語を日常的に使わない**, </v>
      </c>
      <c r="M168" s="8" t="s">
        <v>2335</v>
      </c>
      <c r="N16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68" s="8" t="str">
        <f>", "&amp;'RAW (公開用)'!L169&amp;", "</f>
        <v xml:space="preserve">, 僕, （クエスチョニング、模索中、または不明）, 私（わたし／わたくし）, </v>
      </c>
      <c r="P168" s="8" t="s">
        <v>2335</v>
      </c>
      <c r="Q16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（クエスチョニング、模索中、または不明）, 私（わたし／わたくし）,  , </v>
      </c>
      <c r="R168" s="8" t="str">
        <f>", "&amp;'RAW (公開用)'!N168&amp;", "</f>
        <v xml:space="preserve">, （自分（たち）の名前）, 彼人（かのと）, </v>
      </c>
      <c r="S168" s="8" t="s">
        <v>2335</v>
      </c>
      <c r="T16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彼人（かのと）,  , </v>
      </c>
      <c r="U168" s="8" t="str">
        <f>", "&amp;'RAW (公開用)'!P169&amp;", "</f>
        <v xml:space="preserve">, **英語を日常的に使わない**, </v>
      </c>
      <c r="V168" s="8" t="s">
        <v>455</v>
      </c>
      <c r="W168" s="8" t="str">
        <f>", "&amp;'RAW (公開用)'!R169&amp;", "</f>
        <v xml:space="preserve">, ミスジェンダリング（誤った性別として扱うこと）, カムアウトできない, 社会の中でいないことにされる, トイレなどのジェンダー化されたスペースの使用, </v>
      </c>
      <c r="X168" s="8"/>
      <c r="Y16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社会の中でいないことにされる, トイレなどのジェンダー化されたスペースの使用,  </v>
      </c>
      <c r="Z168" s="8" t="s">
        <v>455</v>
      </c>
      <c r="AA168" s="8" t="str">
        <f>", "&amp;'RAW (公開用)'!U169&amp;", "</f>
        <v xml:space="preserve">, ジェンダークリニックの受診, </v>
      </c>
      <c r="AB168" s="8" t="str">
        <f>", "&amp;'RAW (公開用)'!V169&amp;", "</f>
        <v xml:space="preserve">, （上記のどれも経験していない）, </v>
      </c>
      <c r="AC168" s="8"/>
      <c r="AD16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8" s="8" t="s">
        <v>462</v>
      </c>
      <c r="AF168" s="8" t="s">
        <v>457</v>
      </c>
      <c r="AG168" s="8" t="s">
        <v>458</v>
      </c>
      <c r="AH168" s="8"/>
      <c r="AI168" s="8">
        <f t="shared" si="7"/>
        <v>2</v>
      </c>
      <c r="AJ168" s="8"/>
      <c r="AK168" s="8"/>
      <c r="AL168" s="8"/>
      <c r="AM168" s="8"/>
      <c r="AN168" s="8"/>
    </row>
    <row r="169" spans="1:40" ht="38.25" hidden="1">
      <c r="A169" s="8">
        <v>406</v>
      </c>
      <c r="B169" s="11">
        <v>44992.865381388889</v>
      </c>
      <c r="C169" s="8" t="s">
        <v>452</v>
      </c>
      <c r="D169" s="8" t="s">
        <v>453</v>
      </c>
      <c r="E169" s="8" t="s">
        <v>452</v>
      </c>
      <c r="F169" s="8" t="s">
        <v>454</v>
      </c>
      <c r="G169" s="8" t="str">
        <f>", "&amp;'RAW (公開用)'!F407&amp;", "</f>
        <v xml:space="preserve">, ノンバイナリー男性, （ジェンダー・）フルイド／（ジェンダー・）フリュイド／（ジェンダー・）フルイッド, クィア／Queer, ゲイ（ジェンダーについて）, **必ず選んでください**, ノンバイナリー, </v>
      </c>
      <c r="H169" s="8"/>
      <c r="I169" s="8" t="str">
        <f>", "&amp;'RAW (公開用)'!H407&amp;", "</f>
        <v xml:space="preserve">, さん, </v>
      </c>
      <c r="J169" s="8" t="s">
        <v>2335</v>
      </c>
      <c r="K16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69" s="8" t="str">
        <f>", "&amp;'RAW (公開用)'!J407&amp;", "</f>
        <v xml:space="preserve">, -san, Dr.など、職業などにかかわるもの, </v>
      </c>
      <c r="M169" s="8" t="s">
        <v>2335</v>
      </c>
      <c r="N16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 </v>
      </c>
      <c r="O169" s="8" t="str">
        <f>", "&amp;'RAW (公開用)'!L407&amp;", "</f>
        <v xml:space="preserve">, ぼく, 私（わたし／わたくし）, 俺, わたし, あたし, （一人称の使用を避ける）, （時とともに変わる）, </v>
      </c>
      <c r="P169" s="8" t="s">
        <v>2335</v>
      </c>
      <c r="Q16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私（わたし／わたくし）, 俺, わたし, あたし, （一人称の使用を避ける）, （時とともに変わる）,  , </v>
      </c>
      <c r="R169" s="8" t="str">
        <f>", "&amp;'RAW (公開用)'!N169&amp;", "</f>
        <v xml:space="preserve">, （三人称で言及してほしくない）, 彼人（かのひと）, </v>
      </c>
      <c r="S169" s="74" t="s">
        <v>2364</v>
      </c>
      <c r="T16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彼人（かのひと）,  , {この/その/あの}+人, 役職,</v>
      </c>
      <c r="U169" s="8" t="str">
        <f>", "&amp;'RAW (公開用)'!P407&amp;", "</f>
        <v xml:space="preserve">, he, they/them/their/themself, </v>
      </c>
      <c r="V169" s="8" t="s">
        <v>455</v>
      </c>
      <c r="W169" s="8" t="str">
        <f>", "&amp;'RAW (公開用)'!R407&amp;", "</f>
        <v xml:space="preserve">, カムアウトできない, 家族／かぞくからの無理解, </v>
      </c>
      <c r="X169" s="8"/>
      <c r="Y16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家族／かぞくからの無理解,  </v>
      </c>
      <c r="Z169" s="8" t="s">
        <v>455</v>
      </c>
      <c r="AA169" s="8" t="str">
        <f>", "&amp;'RAW (公開用)'!U407&amp;", "</f>
        <v xml:space="preserve">, 戸籍名の変更, ジェンダークリニックの受診, ホルモン補充療法（HRT）, 胸部の手術, </v>
      </c>
      <c r="AB169" s="8" t="str">
        <f>", "&amp;'RAW (公開用)'!V407&amp;", "</f>
        <v xml:space="preserve">, （上記のどれも経験していない）, </v>
      </c>
      <c r="AC169" s="8"/>
      <c r="AD16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69" s="8" t="s">
        <v>462</v>
      </c>
      <c r="AF169" s="8" t="s">
        <v>457</v>
      </c>
      <c r="AG169" s="8" t="s">
        <v>458</v>
      </c>
      <c r="AH169" s="8"/>
      <c r="AI169" s="8">
        <f t="shared" si="7"/>
        <v>5</v>
      </c>
      <c r="AJ169" s="8"/>
      <c r="AK169" s="8"/>
      <c r="AL169" s="8"/>
      <c r="AM169" s="8"/>
      <c r="AN169" s="8"/>
    </row>
    <row r="170" spans="1:40" ht="51" hidden="1">
      <c r="A170" s="8">
        <v>290</v>
      </c>
      <c r="B170" s="11">
        <v>44991.436888171302</v>
      </c>
      <c r="C170" s="8" t="s">
        <v>452</v>
      </c>
      <c r="D170" s="8" t="s">
        <v>453</v>
      </c>
      <c r="E170" s="8" t="s">
        <v>452</v>
      </c>
      <c r="F170" s="8" t="s">
        <v>454</v>
      </c>
      <c r="G170" s="8" t="str">
        <f>", "&amp;'RAW (公開用)'!F291&amp;", "</f>
        <v xml:space="preserve">, ノンバイナリー, （ジェンダー・）フルイド／（ジェンダー・）フリュイド／（ジェンダー・）フルイッド, </v>
      </c>
      <c r="H170" s="8"/>
      <c r="I170" s="8" t="str">
        <f>", "&amp;'RAW (公開用)'!H291&amp;", "</f>
        <v xml:space="preserve">, （クエスチョニング、模索中、または不明）, さん, （any／問わない／どれでもよい）, </v>
      </c>
      <c r="J170" s="8" t="s">
        <v>2335</v>
      </c>
      <c r="K17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（any／問わない／どれでもよい）,  , </v>
      </c>
      <c r="L170" s="8" t="str">
        <f>", "&amp;'RAW (公開用)'!J291&amp;", "</f>
        <v xml:space="preserve">, （any／問わない／どれでもよい）, </v>
      </c>
      <c r="M170" s="8" t="s">
        <v>2335</v>
      </c>
      <c r="N17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170" s="8" t="str">
        <f>", "&amp;'RAW (公開用)'!L291&amp;", "</f>
        <v xml:space="preserve">, （any／問わない／どれでもよい）, 俺, わし, わたし, 自分, </v>
      </c>
      <c r="P170" s="73" t="s">
        <v>2392</v>
      </c>
      <c r="Q17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（any／問わない／どれでもよい）, 俺, わし, わたし, 自分,  , わい,</v>
      </c>
      <c r="R170" s="8" t="str">
        <f>", "&amp;'RAW (公開用)'!N170&amp;", "</f>
        <v xml:space="preserve">, （自分（たち）の名前）, </v>
      </c>
      <c r="S170" s="8" t="s">
        <v>2335</v>
      </c>
      <c r="T17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70" s="8" t="str">
        <f>", "&amp;'RAW (公開用)'!P291&amp;", "</f>
        <v xml:space="preserve">, any/問わない/どれでもよい, </v>
      </c>
      <c r="V170" s="8" t="s">
        <v>455</v>
      </c>
      <c r="W170" s="8" t="str">
        <f>", "&amp;'RAW (公開用)'!R291&amp;", "</f>
        <v xml:space="preserve">, アウティング（勝手にジェンダーや指向についての情報を明かされること）, トイレなどのジェンダー化されたスペースの使用, ミスジェンダリング（誤った性別として扱うこと）, カムアウトできない, 必要なジェンダーケアへアクセスできない, 性暴力, 家族／かぞくからの無理解, </v>
      </c>
      <c r="X170" s="8"/>
      <c r="Y17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トイレなどのジェンダー化されたスペースの使用, ミスジェンダリング（誤った性別として扱うこと）, カムアウトできない, 必要なジェンダーケアへアクセスできない, 性暴力, 家族／かぞくからの無理解,  </v>
      </c>
      <c r="Z170" s="8" t="s">
        <v>455</v>
      </c>
      <c r="AA170" s="8" t="str">
        <f>", "&amp;'RAW (公開用)'!U291&amp;", "</f>
        <v xml:space="preserve">, （上記のどれも希望していない）, </v>
      </c>
      <c r="AB170" s="8" t="str">
        <f>", "&amp;'RAW (公開用)'!V291&amp;", "</f>
        <v xml:space="preserve">, （上記のどれも経験していない）, </v>
      </c>
      <c r="AC170" s="8"/>
      <c r="AD17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0" s="8" t="s">
        <v>462</v>
      </c>
      <c r="AF170" s="8" t="s">
        <v>457</v>
      </c>
      <c r="AG170" s="8" t="s">
        <v>458</v>
      </c>
      <c r="AH170" s="8"/>
      <c r="AI170" s="8">
        <f t="shared" si="7"/>
        <v>2</v>
      </c>
      <c r="AJ170" s="8"/>
      <c r="AK170" s="8"/>
      <c r="AL170" s="8"/>
      <c r="AM170" s="8"/>
      <c r="AN170" s="8"/>
    </row>
    <row r="171" spans="1:40" ht="25.5" hidden="1">
      <c r="A171" s="8">
        <v>171</v>
      </c>
      <c r="B171" s="11">
        <v>44970.832898680557</v>
      </c>
      <c r="C171" s="8" t="s">
        <v>452</v>
      </c>
      <c r="D171" s="8" t="s">
        <v>453</v>
      </c>
      <c r="E171" s="8" t="s">
        <v>452</v>
      </c>
      <c r="F171" s="8" t="s">
        <v>454</v>
      </c>
      <c r="G171" s="8" t="str">
        <f>", "&amp;'RAW (公開用)'!F172&amp;", "</f>
        <v xml:space="preserve">, 不明／わからない, 無し, ノンバイナリー, **必ず選んでください**, ノンバイナリー女性, クィア／Queer, </v>
      </c>
      <c r="H171" s="8"/>
      <c r="I171" s="8" t="str">
        <f>", "&amp;'RAW (公開用)'!H172&amp;", "</f>
        <v xml:space="preserve">, （敬称なし）, さん, </v>
      </c>
      <c r="J171" s="8" t="s">
        <v>2335</v>
      </c>
      <c r="K17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171" s="8" t="str">
        <f>", "&amp;'RAW (公開用)'!J172&amp;", "</f>
        <v xml:space="preserve">, **英語を日常的に使わない**, （クエスチョニング、模索中、または不明）, </v>
      </c>
      <c r="M171" s="8" t="s">
        <v>2335</v>
      </c>
      <c r="N17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171" s="8" t="str">
        <f>", "&amp;'RAW (公開用)'!L172&amp;", "</f>
        <v xml:space="preserve">, 私（わたし／わたくし）, わたし, 僕, </v>
      </c>
      <c r="P171" s="8" t="s">
        <v>2335</v>
      </c>
      <c r="Q17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僕,  , </v>
      </c>
      <c r="R171" s="8" t="str">
        <f>", "&amp;'RAW (公開用)'!N171&amp;", "</f>
        <v xml:space="preserve">, （自分（たち）の名前）, </v>
      </c>
      <c r="S171" s="8" t="s">
        <v>2335</v>
      </c>
      <c r="T17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71" s="8" t="str">
        <f>", "&amp;'RAW (公開用)'!P172&amp;", "</f>
        <v xml:space="preserve">, **英語を日常的に使わない**, </v>
      </c>
      <c r="V171" s="8" t="s">
        <v>455</v>
      </c>
      <c r="W171" s="8" t="str">
        <f>", "&amp;'RAW (公開用)'!R172&amp;", "</f>
        <v xml:space="preserve">, 社会の中でいないことにされる, カムアウトできない, </v>
      </c>
      <c r="X171" s="8"/>
      <c r="Y17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171" s="8" t="s">
        <v>455</v>
      </c>
      <c r="AA171" s="8" t="str">
        <f>", "&amp;'RAW (公開用)'!U172&amp;", "</f>
        <v xml:space="preserve">, 胸部の手術, 性器にかかわる手術, </v>
      </c>
      <c r="AB171" s="8" t="str">
        <f>", "&amp;'RAW (公開用)'!V172&amp;", "</f>
        <v xml:space="preserve">, （上記のどれも経験していない）, </v>
      </c>
      <c r="AC171" s="8"/>
      <c r="AD17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1" s="8" t="s">
        <v>462</v>
      </c>
      <c r="AF171" s="8" t="s">
        <v>457</v>
      </c>
      <c r="AG171" s="8" t="s">
        <v>458</v>
      </c>
      <c r="AH171" s="8"/>
      <c r="AI171" s="8">
        <f t="shared" si="7"/>
        <v>5</v>
      </c>
      <c r="AJ171" s="8"/>
      <c r="AK171" s="8"/>
      <c r="AL171" s="8"/>
      <c r="AM171" s="8"/>
      <c r="AN171" s="8"/>
    </row>
    <row r="172" spans="1:40" ht="25.5" hidden="1">
      <c r="A172" s="8">
        <v>172</v>
      </c>
      <c r="B172" s="11">
        <v>44970.838872789347</v>
      </c>
      <c r="C172" s="8" t="s">
        <v>452</v>
      </c>
      <c r="D172" s="8" t="s">
        <v>453</v>
      </c>
      <c r="E172" s="8" t="s">
        <v>452</v>
      </c>
      <c r="F172" s="8" t="s">
        <v>454</v>
      </c>
      <c r="G172" s="8" t="str">
        <f>", "&amp;'RAW (公開用)'!F173&amp;", "</f>
        <v xml:space="preserve">, 中性, ノンバイナリー, **必ず選んでください**, ノンバイナリー女性, X, Xジェンダー, </v>
      </c>
      <c r="H172" s="8"/>
      <c r="I172" s="8" t="str">
        <f>", "&amp;'RAW (公開用)'!H173&amp;", "</f>
        <v xml:space="preserve">, （any／問わない／どれでもよい）, </v>
      </c>
      <c r="J172" s="8" t="s">
        <v>2335</v>
      </c>
      <c r="K17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72" s="8" t="str">
        <f>", "&amp;'RAW (公開用)'!J173&amp;", "</f>
        <v xml:space="preserve">, Mx., </v>
      </c>
      <c r="M172" s="8" t="s">
        <v>2335</v>
      </c>
      <c r="N17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172" s="8" t="str">
        <f>", "&amp;'RAW (公開用)'!L173&amp;", "</f>
        <v xml:space="preserve">, うち, 私（わたし／わたくし）, </v>
      </c>
      <c r="P172" s="8" t="s">
        <v>2335</v>
      </c>
      <c r="Q17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私（わたし／わたくし）,  , </v>
      </c>
      <c r="R172" s="8" t="str">
        <f>", "&amp;'RAW (公開用)'!N172&amp;", "</f>
        <v xml:space="preserve">, （自分（たち）の名前）, </v>
      </c>
      <c r="S172" s="8" t="s">
        <v>2335</v>
      </c>
      <c r="T17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72" s="8" t="str">
        <f>", "&amp;'RAW (公開用)'!P173&amp;", "</f>
        <v xml:space="preserve">, **英語を日常的に使わない**, </v>
      </c>
      <c r="V172" s="8" t="s">
        <v>455</v>
      </c>
      <c r="W172" s="8" t="str">
        <f>", "&amp;'RAW (公開用)'!R173&amp;", "</f>
        <v xml:space="preserve">, 職場や学校における無理解, 性暴力, ミスジェンダリング（誤った性別として扱うこと）, </v>
      </c>
      <c r="X172" s="8"/>
      <c r="Y17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性暴力, ミスジェンダリング（誤った性別として扱うこと）,  </v>
      </c>
      <c r="Z172" s="8" t="s">
        <v>455</v>
      </c>
      <c r="AA172" s="8" t="str">
        <f>", "&amp;'RAW (公開用)'!U173&amp;", "</f>
        <v xml:space="preserve">, （上記のどれも希望していない）, </v>
      </c>
      <c r="AB172" s="8" t="str">
        <f>", "&amp;'RAW (公開用)'!V173&amp;", "</f>
        <v xml:space="preserve">, （上記のどれも経験していない）, </v>
      </c>
      <c r="AC172" s="8"/>
      <c r="AD17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2" s="8" t="s">
        <v>459</v>
      </c>
      <c r="AF172" s="8" t="s">
        <v>457</v>
      </c>
      <c r="AG172" s="8" t="s">
        <v>458</v>
      </c>
      <c r="AH172" s="8"/>
      <c r="AI172" s="8">
        <f t="shared" si="7"/>
        <v>5</v>
      </c>
      <c r="AJ172" s="8"/>
      <c r="AK172" s="8"/>
      <c r="AL172" s="8"/>
      <c r="AM172" s="8"/>
      <c r="AN172" s="8"/>
    </row>
    <row r="173" spans="1:40" ht="25.5" hidden="1">
      <c r="A173" s="8">
        <v>173</v>
      </c>
      <c r="B173" s="11">
        <v>44970.84422864583</v>
      </c>
      <c r="C173" s="8" t="s">
        <v>452</v>
      </c>
      <c r="D173" s="8" t="s">
        <v>453</v>
      </c>
      <c r="E173" s="8" t="s">
        <v>452</v>
      </c>
      <c r="F173" s="8" t="s">
        <v>454</v>
      </c>
      <c r="G173" s="8" t="str">
        <f>", "&amp;'RAW (公開用)'!F174&amp;", "</f>
        <v xml:space="preserve">, ノンバイナリー, クィア／Queer, ノンバイナリー男性, トランスジェンダー, ジェンダークィア, **必ず選んでください**, トランス, X, 不明／わからない, </v>
      </c>
      <c r="H173" s="8"/>
      <c r="I173" s="8" t="str">
        <f>", "&amp;'RAW (公開用)'!H174&amp;", "</f>
        <v xml:space="preserve">, （時とともに変わる）, （クエスチョニング、模索中、または不明）, （敬称なし）, くん／君, さん, </v>
      </c>
      <c r="J173" s="8" t="s">
        <v>2335</v>
      </c>
      <c r="K17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（敬称なし）, くん／君, さん,  , </v>
      </c>
      <c r="L173" s="8" t="str">
        <f>", "&amp;'RAW (公開用)'!J174&amp;", "</f>
        <v xml:space="preserve">, **英語を日常的に使わない**, </v>
      </c>
      <c r="M173" s="8" t="s">
        <v>2335</v>
      </c>
      <c r="N17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73" s="8" t="str">
        <f>", "&amp;'RAW (公開用)'!L174&amp;", "</f>
        <v xml:space="preserve">, （時とともに変わる）, </v>
      </c>
      <c r="P173" s="8" t="s">
        <v>2335</v>
      </c>
      <c r="Q17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 </v>
      </c>
      <c r="R173" s="8" t="str">
        <f>", "&amp;'RAW (公開用)'!N173&amp;", "</f>
        <v xml:space="preserve">, （any／問わない／どれでもよい）, </v>
      </c>
      <c r="S173" s="8" t="s">
        <v>2335</v>
      </c>
      <c r="T17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173" s="8" t="str">
        <f>", "&amp;'RAW (公開用)'!P174&amp;", "</f>
        <v xml:space="preserve">, **英語を日常的に使わない**, </v>
      </c>
      <c r="V173" s="8" t="s">
        <v>455</v>
      </c>
      <c r="W173" s="8" t="str">
        <f>", "&amp;'RAW (公開用)'!R174&amp;", "</f>
        <v xml:space="preserve">, カムアウトできない, ミスジェンダリング（誤った性別として扱うこと）, 社会の中でいないことにされる, </v>
      </c>
      <c r="X173" s="8"/>
      <c r="Y17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ミスジェンダリング（誤った性別として扱うこと）, 社会の中でいないことにされる,  </v>
      </c>
      <c r="Z173" s="8" t="s">
        <v>455</v>
      </c>
      <c r="AA173" s="8" t="str">
        <f>", "&amp;'RAW (公開用)'!U174&amp;", "</f>
        <v xml:space="preserve">, ジェンダークリニックの受診, ホルモン補充療法（HRT）, 胸部の手術, </v>
      </c>
      <c r="AB173" s="8" t="str">
        <f>", "&amp;'RAW (公開用)'!V174&amp;", "</f>
        <v xml:space="preserve">, （上記のどれも経験していない）, </v>
      </c>
      <c r="AC173" s="8" t="s">
        <v>408</v>
      </c>
      <c r="AD17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それらへのアクセスが、距離的、金銭的、心理的、あらゆる面で難しい</v>
      </c>
      <c r="AE173" s="8" t="s">
        <v>462</v>
      </c>
      <c r="AF173" s="8" t="s">
        <v>457</v>
      </c>
      <c r="AG173" s="8" t="s">
        <v>458</v>
      </c>
      <c r="AH173" s="8"/>
      <c r="AI173" s="8">
        <f t="shared" si="7"/>
        <v>8</v>
      </c>
      <c r="AJ173" s="8"/>
      <c r="AK173" s="8"/>
      <c r="AL173" s="8"/>
      <c r="AM173" s="8"/>
      <c r="AN173" s="8"/>
    </row>
    <row r="174" spans="1:40" ht="63.75" hidden="1">
      <c r="A174" s="8">
        <v>174</v>
      </c>
      <c r="B174" s="11">
        <v>44970.848418194444</v>
      </c>
      <c r="C174" s="8" t="s">
        <v>452</v>
      </c>
      <c r="D174" s="8" t="s">
        <v>453</v>
      </c>
      <c r="E174" s="8" t="s">
        <v>452</v>
      </c>
      <c r="F174" s="8" t="s">
        <v>454</v>
      </c>
      <c r="G174" s="8" t="str">
        <f>", "&amp;'RAW (公開用)'!F175&amp;", "</f>
        <v xml:space="preserve">, **必ず選んでください**, （ジェンダー・）フルイド／（ジェンダー・）フリュイド／（ジェンダー・）フルイッド, クエスチョニング, ノンバイナリー, </v>
      </c>
      <c r="H174" s="8"/>
      <c r="I174" s="8" t="str">
        <f>", "&amp;'RAW (公開用)'!H175&amp;", "</f>
        <v xml:space="preserve">, （敬称なし）, （クエスチョニング、模索中、または不明）, さん, （時とともに変わる）, </v>
      </c>
      <c r="J174" s="8" t="s">
        <v>2335</v>
      </c>
      <c r="K17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（クエスチョニング、模索中、または不明）, さん, （時とともに変わる）,  , </v>
      </c>
      <c r="L174" s="8" t="str">
        <f>", "&amp;'RAW (公開用)'!J175&amp;", "</f>
        <v xml:space="preserve">, **英語を日常的に使わない**, </v>
      </c>
      <c r="M174" s="8" t="s">
        <v>2335</v>
      </c>
      <c r="N17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74" s="8" t="str">
        <f>", "&amp;'RAW (公開用)'!L175&amp;", "</f>
        <v xml:space="preserve">, あたし, 自分, うち, わたし, （自分（たち）の名前）, </v>
      </c>
      <c r="P174" s="8" t="s">
        <v>2335</v>
      </c>
      <c r="Q17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自分, うち, わたし, （自分（たち）の名前）,  , </v>
      </c>
      <c r="R174" s="8" t="str">
        <f>", "&amp;'RAW (公開用)'!N174&amp;", "</f>
        <v xml:space="preserve">, （三人称で言及してほしくない）, </v>
      </c>
      <c r="S174" s="8" t="s">
        <v>2335</v>
      </c>
      <c r="T17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74" s="8" t="str">
        <f>", "&amp;'RAW (公開用)'!P175&amp;", "</f>
        <v xml:space="preserve">, **英語を日常的に使わない**, </v>
      </c>
      <c r="V174" s="8" t="s">
        <v>455</v>
      </c>
      <c r="W174" s="8" t="str">
        <f>", "&amp;'RAW (公開用)'!R175&amp;", "</f>
        <v xml:space="preserve">, 医療における無理解, カムアウトできない, 家族／かぞくからの無理解, カムアウトを強制される, 社会の中でいないことにされる, ミスジェンダリング（誤った性別として扱うこと）, 職場や学校における無理解, アウティング（勝手にジェンダーや指向についての情報を明かされること）, デッドネーミング（誤った名前で呼ばれること）, </v>
      </c>
      <c r="X174" s="8"/>
      <c r="Y17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カムアウトできない, 家族／かぞくからの無理解, カムアウトを強制される, 社会の中でいないことにされる, ミスジェンダリング（誤った性別として扱うこと）, 職場や学校における無理解, アウティング（勝手にジェンダーや指向についての情報を明かされること）, デッドネーミング（誤った名前で呼ばれること）,  </v>
      </c>
      <c r="Z174" s="8" t="s">
        <v>455</v>
      </c>
      <c r="AA174" s="8" t="str">
        <f>", "&amp;'RAW (公開用)'!U175&amp;", "</f>
        <v xml:space="preserve">, （上記のどれも希望していない）, </v>
      </c>
      <c r="AB174" s="8" t="str">
        <f>", "&amp;'RAW (公開用)'!V175&amp;", "</f>
        <v xml:space="preserve">, （上記のどれも経験していない）, </v>
      </c>
      <c r="AC174" s="8"/>
      <c r="AD17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4" s="8" t="s">
        <v>464</v>
      </c>
      <c r="AF174" s="8" t="s">
        <v>457</v>
      </c>
      <c r="AG174" s="8" t="s">
        <v>458</v>
      </c>
      <c r="AH174" s="8"/>
      <c r="AI174" s="8">
        <f t="shared" si="7"/>
        <v>3</v>
      </c>
      <c r="AJ174" s="8"/>
      <c r="AK174" s="8"/>
      <c r="AL174" s="8"/>
      <c r="AM174" s="8"/>
      <c r="AN174" s="8"/>
    </row>
    <row r="175" spans="1:40" ht="25.5" hidden="1">
      <c r="A175" s="8">
        <v>175</v>
      </c>
      <c r="B175" s="11">
        <v>44970.853842997683</v>
      </c>
      <c r="C175" s="8" t="s">
        <v>452</v>
      </c>
      <c r="D175" s="8" t="s">
        <v>453</v>
      </c>
      <c r="E175" s="8" t="s">
        <v>452</v>
      </c>
      <c r="F175" s="8" t="s">
        <v>454</v>
      </c>
      <c r="G175" s="8" t="str">
        <f>", "&amp;'RAW (公開用)'!F176&amp;", "</f>
        <v xml:space="preserve">, ノンバイナリー, **必ず選んでください**, </v>
      </c>
      <c r="H175" s="8" t="s">
        <v>543</v>
      </c>
      <c r="I175" s="8" t="str">
        <f>", "&amp;'RAW (公開用)'!H176&amp;", "</f>
        <v xml:space="preserve">, （敬称なし）, さん, </v>
      </c>
      <c r="J175" s="8" t="s">
        <v>2335</v>
      </c>
      <c r="K17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175" s="8" t="str">
        <f>", "&amp;'RAW (公開用)'!J176&amp;", "</f>
        <v xml:space="preserve">, -san, （敬称なし）, </v>
      </c>
      <c r="M175" s="8" t="s">
        <v>2335</v>
      </c>
      <c r="N17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175" s="8" t="str">
        <f>", "&amp;'RAW (公開用)'!L176&amp;", "</f>
        <v xml:space="preserve">, （自分（たち）の名前）, 私（わたし／わたくし）, （時とともに変わる）, 自分, </v>
      </c>
      <c r="P175" s="8" t="s">
        <v>2335</v>
      </c>
      <c r="Q17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私（わたし／わたくし）, （時とともに変わる）, 自分,  , </v>
      </c>
      <c r="R175" s="8" t="str">
        <f>", "&amp;'RAW (公開用)'!N175&amp;", "</f>
        <v xml:space="preserve">, （三人称で言及してほしくない）, </v>
      </c>
      <c r="S175" s="8" t="s">
        <v>2335</v>
      </c>
      <c r="T17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75" s="8" t="str">
        <f>", "&amp;'RAW (公開用)'!P176&amp;", "</f>
        <v xml:space="preserve">, they/them/their/themself, </v>
      </c>
      <c r="V175" s="8" t="s">
        <v>455</v>
      </c>
      <c r="W175" s="8" t="str">
        <f>", "&amp;'RAW (公開用)'!R176&amp;", "</f>
        <v xml:space="preserve">, ミスジェンダリング（誤った性別として扱うこと）, トイレなどのジェンダー化されたスペースの使用, 社会の中でいないことにされる, LGBTQ+運動からの排斥, </v>
      </c>
      <c r="X175" s="8"/>
      <c r="Y17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トイレなどのジェンダー化されたスペースの使用, 社会の中でいないことにされる, LGBTQ+運動からの排斥,  </v>
      </c>
      <c r="Z175" s="8" t="s">
        <v>455</v>
      </c>
      <c r="AA175" s="8" t="str">
        <f>", "&amp;'RAW (公開用)'!U176&amp;", "</f>
        <v xml:space="preserve">, ジェンダークリニックの受診, ホルモン補充療法（HRT）, 胸部の手術, </v>
      </c>
      <c r="AB175" s="8" t="str">
        <f>", "&amp;'RAW (公開用)'!V176&amp;", "</f>
        <v xml:space="preserve">, ジェンダークリニックの受診, </v>
      </c>
      <c r="AC175" s="8" t="s">
        <v>319</v>
      </c>
      <c r="AD175"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親から反対される</v>
      </c>
      <c r="AE175" s="8" t="s">
        <v>462</v>
      </c>
      <c r="AF175" s="8" t="s">
        <v>457</v>
      </c>
      <c r="AG175" s="8" t="s">
        <v>458</v>
      </c>
      <c r="AH175" s="8"/>
      <c r="AI175" s="8">
        <f t="shared" si="7"/>
        <v>1</v>
      </c>
      <c r="AJ175" s="8"/>
      <c r="AK175" s="8"/>
      <c r="AL175" s="8"/>
      <c r="AM175" s="8"/>
      <c r="AN175" s="8"/>
    </row>
    <row r="176" spans="1:40" ht="38.25" hidden="1">
      <c r="A176" s="8">
        <v>176</v>
      </c>
      <c r="B176" s="11">
        <v>44970.863178148153</v>
      </c>
      <c r="C176" s="8" t="s">
        <v>452</v>
      </c>
      <c r="D176" s="8" t="s">
        <v>453</v>
      </c>
      <c r="E176" s="8" t="s">
        <v>452</v>
      </c>
      <c r="F176" s="8" t="s">
        <v>454</v>
      </c>
      <c r="G176" s="8" t="str">
        <f>", "&amp;'RAW (公開用)'!F177&amp;", "</f>
        <v xml:space="preserve">, ノンバイナリー, **必ず選んでください**, ジェンダー・ノンコンフォーミング／gender non-conforming, ジェンダークィア, トランスジェンダー, </v>
      </c>
      <c r="H176" s="8" t="s">
        <v>544</v>
      </c>
      <c r="I176" s="8" t="str">
        <f>", "&amp;'RAW (公開用)'!H177&amp;", "</f>
        <v xml:space="preserve">, （敬称なし）, さん, </v>
      </c>
      <c r="J176" s="73" t="s">
        <v>2337</v>
      </c>
      <c r="K17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（敬称なし）, さん,  , 氏,</v>
      </c>
      <c r="L176" s="8" t="str">
        <f>", "&amp;'RAW (公開用)'!J177&amp;", "</f>
        <v xml:space="preserve">, （敬称なし）, -san, **英語を日常的に使わない**, </v>
      </c>
      <c r="M176" s="8" t="s">
        <v>2335</v>
      </c>
      <c r="N17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**英語を日常的に使わない**, , </v>
      </c>
      <c r="O176" s="8" t="str">
        <f>", "&amp;'RAW (公開用)'!L177&amp;", "</f>
        <v xml:space="preserve">, 私（わたし／わたくし）, わし, （自分（たち）の名前）, （一人称の使用を避ける）, 自分, </v>
      </c>
      <c r="P176" s="8" t="s">
        <v>2335</v>
      </c>
      <c r="Q17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わし, （自分（たち）の名前）, （一人称の使用を避ける）, 自分,  , </v>
      </c>
      <c r="R176" s="8" t="str">
        <f>", "&amp;'RAW (公開用)'!N176&amp;", "</f>
        <v xml:space="preserve">, （自分（たち）の名前）, </v>
      </c>
      <c r="S176" s="8" t="s">
        <v>2335</v>
      </c>
      <c r="T17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76" s="8" t="str">
        <f>", "&amp;'RAW (公開用)'!P177&amp;", "</f>
        <v xml:space="preserve">, **英語を日常的に使わない**, they/them/their/themselves, </v>
      </c>
      <c r="V176" s="8" t="s">
        <v>455</v>
      </c>
      <c r="W176" s="8" t="str">
        <f>", "&amp;'RAW (公開用)'!R177&amp;", "</f>
        <v xml:space="preserve">, 家族／かぞくからの無理解, 社会の中でいないことにされる, ミスジェンダリング（誤った性別として扱うこと）, デッドネーミング（誤った名前で呼ばれること）, カムアウトできない, 職場や学校における無理解, </v>
      </c>
      <c r="X176" s="8"/>
      <c r="Y17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社会の中でいないことにされる, ミスジェンダリング（誤った性別として扱うこと）, デッドネーミング（誤った名前で呼ばれること）, カムアウトできない, 職場や学校における無理解,  </v>
      </c>
      <c r="Z176" s="8" t="s">
        <v>455</v>
      </c>
      <c r="AA176" s="8" t="str">
        <f>", "&amp;'RAW (公開用)'!U177&amp;", "</f>
        <v xml:space="preserve">, 戸籍名の変更, ジェンダークリニックの受診, ホルモン補充療法（HRT）, 顔にかかわる手術, 声帯にかかわる手術, 性器にかかわる手術, </v>
      </c>
      <c r="AB176" s="8" t="str">
        <f>", "&amp;'RAW (公開用)'!V177&amp;", "</f>
        <v xml:space="preserve">, ジェンダークリニックの受診, ホルモン補充療法（HRT）, 性器にかかわる手術, </v>
      </c>
      <c r="AC176" s="8"/>
      <c r="AD176"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ホルモン補充療法（HRT）, 性器にかかわる手術,  </v>
      </c>
      <c r="AE176" s="8" t="s">
        <v>459</v>
      </c>
      <c r="AF176" s="8" t="s">
        <v>457</v>
      </c>
      <c r="AG176" s="8" t="s">
        <v>458</v>
      </c>
      <c r="AH176" s="8"/>
      <c r="AI176" s="8">
        <f t="shared" si="7"/>
        <v>4</v>
      </c>
      <c r="AJ176" s="8"/>
      <c r="AK176" s="8"/>
      <c r="AL176" s="8"/>
      <c r="AM176" s="8"/>
      <c r="AN176" s="8"/>
    </row>
    <row r="177" spans="1:40" ht="51" hidden="1">
      <c r="A177" s="8">
        <v>340</v>
      </c>
      <c r="B177" s="11">
        <v>44991.930522650466</v>
      </c>
      <c r="C177" s="8" t="s">
        <v>452</v>
      </c>
      <c r="D177" s="8" t="s">
        <v>453</v>
      </c>
      <c r="E177" s="8" t="s">
        <v>452</v>
      </c>
      <c r="F177" s="8" t="s">
        <v>454</v>
      </c>
      <c r="G177" s="8" t="str">
        <f>", "&amp;'RAW (公開用)'!F341&amp;", "</f>
        <v xml:space="preserve">, ジェンダークィア, Xジェンダー, クエスチョニング, 無性, ノンバイナリー, Aジェンダー／エイジェンダー／アジェンダー／agender, </v>
      </c>
      <c r="H177" s="8"/>
      <c r="I177" s="8" t="str">
        <f>", "&amp;'RAW (公開用)'!H341&amp;", "</f>
        <v xml:space="preserve">, さん, くん／君, </v>
      </c>
      <c r="J177" s="8" t="s">
        <v>2335</v>
      </c>
      <c r="K17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177" s="8" t="str">
        <f>", "&amp;'RAW (公開用)'!J341&amp;", "</f>
        <v xml:space="preserve">, **英語を日常的に使わない**, </v>
      </c>
      <c r="M177" s="8" t="s">
        <v>2335</v>
      </c>
      <c r="N17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77" s="8" t="str">
        <f>", "&amp;'RAW (公開用)'!L341&amp;", "</f>
        <v xml:space="preserve">, 私（わたし／わたくし）, わし, 自分, 俺, おら, （時とともに変わる）, おれ, </v>
      </c>
      <c r="P177" s="73" t="s">
        <v>2392</v>
      </c>
      <c r="Q17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わし, 自分, 俺, おら, （時とともに変わる）, おれ,  , わい,</v>
      </c>
      <c r="R177" s="8" t="str">
        <f>", "&amp;'RAW (公開用)'!N177&amp;", "</f>
        <v xml:space="preserve">, （三人称で言及してほしくない）, </v>
      </c>
      <c r="S177" s="8" t="s">
        <v>2335</v>
      </c>
      <c r="T17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77" s="8" t="str">
        <f>", "&amp;'RAW (公開用)'!P341&amp;", "</f>
        <v xml:space="preserve">, **英語を日常的に使わない**, </v>
      </c>
      <c r="V177" s="8" t="s">
        <v>455</v>
      </c>
      <c r="W177" s="8" t="str">
        <f>", "&amp;'RAW (公開用)'!R341&amp;", "</f>
        <v xml:space="preserve">, 家族／かぞくからの無理解, 職場や学校における無理解, トイレなどのジェンダー化されたスペースの使用, カムアウトできない, アウティング（勝手にジェンダーや指向についての情報を明かされること）, 性暴力, ミスジェンダリング（誤った性別として扱うこと）, 社会の中でいないことにされる, </v>
      </c>
      <c r="X177" s="8"/>
      <c r="Y17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トイレなどのジェンダー化されたスペースの使用, カムアウトできない, アウティング（勝手にジェンダーや指向についての情報を明かされること）, 性暴力, ミスジェンダリング（誤った性別として扱うこと）, 社会の中でいないことにされる,  </v>
      </c>
      <c r="Z177" s="8" t="s">
        <v>455</v>
      </c>
      <c r="AA177" s="8" t="str">
        <f>", "&amp;'RAW (公開用)'!U341&amp;", "</f>
        <v xml:space="preserve">, 戸籍名の変更, 胸部の手術, </v>
      </c>
      <c r="AB177" s="8" t="str">
        <f>", "&amp;'RAW (公開用)'!V341&amp;", "</f>
        <v xml:space="preserve">, （上記のどれも経験していない）, </v>
      </c>
      <c r="AC177" s="8"/>
      <c r="AD17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7" s="8" t="s">
        <v>474</v>
      </c>
      <c r="AF177" s="8" t="s">
        <v>457</v>
      </c>
      <c r="AG177" s="8" t="s">
        <v>458</v>
      </c>
      <c r="AH177" s="8"/>
      <c r="AI177" s="8">
        <f t="shared" si="7"/>
        <v>6</v>
      </c>
      <c r="AJ177" s="8"/>
      <c r="AK177" s="8"/>
      <c r="AL177" s="8"/>
      <c r="AM177" s="8"/>
      <c r="AN177" s="8"/>
    </row>
    <row r="178" spans="1:40" ht="38.25" hidden="1">
      <c r="A178" s="8">
        <v>178</v>
      </c>
      <c r="B178" s="11">
        <v>44970.879200636569</v>
      </c>
      <c r="C178" s="8" t="s">
        <v>452</v>
      </c>
      <c r="D178" s="8" t="s">
        <v>453</v>
      </c>
      <c r="E178" s="8" t="s">
        <v>452</v>
      </c>
      <c r="F178" s="8" t="s">
        <v>454</v>
      </c>
      <c r="G178" s="8" t="str">
        <f>", "&amp;'RAW (公開用)'!F179&amp;", "</f>
        <v xml:space="preserve">, ジェンダーレス, 中性, **必ず選んでください**, レズビアン（ジェンダーについて）, ノンバイナリー, （ジェンダー・）フルイド／（ジェンダー・）フリュイド／（ジェンダー・）フルイッド, ノンバイナリー女性, </v>
      </c>
      <c r="H178" s="8" t="s">
        <v>545</v>
      </c>
      <c r="I178" s="8" t="str">
        <f>", "&amp;'RAW (公開用)'!H179&amp;", "</f>
        <v xml:space="preserve">, さん, </v>
      </c>
      <c r="J178" s="8" t="s">
        <v>2335</v>
      </c>
      <c r="K17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78" s="8" t="str">
        <f>", "&amp;'RAW (公開用)'!J179&amp;", "</f>
        <v xml:space="preserve">, **英語を日常的に使わない**, </v>
      </c>
      <c r="M178" s="8" t="s">
        <v>2335</v>
      </c>
      <c r="N17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78" s="8" t="str">
        <f>", "&amp;'RAW (公開用)'!L179&amp;", "</f>
        <v xml:space="preserve">, わたし, 私（わたし／わたくし）, </v>
      </c>
      <c r="P178" s="8" t="s">
        <v>2335</v>
      </c>
      <c r="Q17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 </v>
      </c>
      <c r="R178" s="8" t="str">
        <f>", "&amp;'RAW (公開用)'!N178&amp;", "</f>
        <v xml:space="preserve">, （自分（たち）の名前）, </v>
      </c>
      <c r="S178" s="8" t="s">
        <v>2335</v>
      </c>
      <c r="T17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78" s="8" t="str">
        <f>", "&amp;'RAW (公開用)'!P179&amp;", "</f>
        <v xml:space="preserve">, **英語を日常的に使わない**, </v>
      </c>
      <c r="V178" s="8" t="s">
        <v>455</v>
      </c>
      <c r="W178" s="8" t="str">
        <f>", "&amp;'RAW (公開用)'!R179&amp;", "</f>
        <v xml:space="preserve">, ミスジェンダリング（誤った性別として扱うこと）, </v>
      </c>
      <c r="X178" s="8"/>
      <c r="Y17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v>
      </c>
      <c r="Z178" s="8" t="s">
        <v>455</v>
      </c>
      <c r="AA178" s="8" t="str">
        <f>", "&amp;'RAW (公開用)'!U179&amp;", "</f>
        <v xml:space="preserve">, （上記のどれも希望していない）, </v>
      </c>
      <c r="AB178" s="8" t="str">
        <f>", "&amp;'RAW (公開用)'!V179&amp;", "</f>
        <v xml:space="preserve">, （上記のどれも経験していない）, </v>
      </c>
      <c r="AC178" s="8"/>
      <c r="AD17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8" s="8" t="s">
        <v>459</v>
      </c>
      <c r="AF178" s="8" t="s">
        <v>457</v>
      </c>
      <c r="AG178" s="8" t="s">
        <v>458</v>
      </c>
      <c r="AH178" s="8"/>
      <c r="AI178" s="8">
        <f t="shared" si="7"/>
        <v>6</v>
      </c>
      <c r="AJ178" s="8"/>
      <c r="AK178" s="8"/>
      <c r="AL178" s="8"/>
      <c r="AM178" s="8"/>
      <c r="AN178" s="8"/>
    </row>
    <row r="179" spans="1:40" ht="114.75" hidden="1">
      <c r="A179" s="8">
        <v>179</v>
      </c>
      <c r="B179" s="11">
        <v>44970.885612094906</v>
      </c>
      <c r="C179" s="8" t="s">
        <v>452</v>
      </c>
      <c r="D179" s="8" t="s">
        <v>453</v>
      </c>
      <c r="E179" s="8" t="s">
        <v>452</v>
      </c>
      <c r="F179" s="8" t="s">
        <v>454</v>
      </c>
      <c r="G179" s="8" t="str">
        <f>", "&amp;'RAW (公開用)'!F180&amp;", "</f>
        <v xml:space="preserve">, 男性／man, ゲイ（ジェンダーについて）, **必ず選んでください**, </v>
      </c>
      <c r="H179" s="8"/>
      <c r="I179" s="8" t="str">
        <f>", "&amp;'RAW (公開用)'!H180&amp;", "</f>
        <v xml:space="preserve">, さん, </v>
      </c>
      <c r="J179" s="8" t="s">
        <v>2335</v>
      </c>
      <c r="K17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79" s="8" t="str">
        <f>", "&amp;'RAW (公開用)'!J180&amp;", "</f>
        <v xml:space="preserve">, **英語を日常的に使わない**, </v>
      </c>
      <c r="M179" s="8" t="s">
        <v>2335</v>
      </c>
      <c r="N17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79" s="8" t="str">
        <f>", "&amp;'RAW (公開用)'!L180&amp;", "</f>
        <v xml:space="preserve">, 私（わたし／わたくし）, （時とともに変わる）, （一人称の使用を避ける）, </v>
      </c>
      <c r="P179" s="8" t="s">
        <v>2335</v>
      </c>
      <c r="Q17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（時とともに変わる）, （一人称の使用を避ける）,  , </v>
      </c>
      <c r="R179" s="8" t="str">
        <f>", "&amp;'RAW (公開用)'!N179&amp;", "</f>
        <v xml:space="preserve">, 彼女, （自分（たち）の名前）, </v>
      </c>
      <c r="S179" s="8" t="s">
        <v>2335</v>
      </c>
      <c r="T17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179" s="8" t="str">
        <f>", "&amp;'RAW (公開用)'!P180&amp;", "</f>
        <v xml:space="preserve">, **英語を日常的に使わない**, </v>
      </c>
      <c r="V179" s="8" t="s">
        <v>455</v>
      </c>
      <c r="W179" s="8" t="str">
        <f>", "&amp;'RAW (公開用)'!R180&amp;", "</f>
        <v xml:space="preserve">, アウティング（勝手にジェンダーや指向についての情報を明かされること）, 職場や学校における無理解, 家族／かぞくからの無理解, 社会の中でいないことにされる, LGBTQ+運動からの排斥, カムアウトを強制される, カムアウトできない, </v>
      </c>
      <c r="X179" s="8" t="s">
        <v>234</v>
      </c>
      <c r="Y17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アウティング（勝手にジェンダーや指向についての情報を明かされること）, 職場や学校における無理解, 家族／かぞくからの無理解, 社会の中でいないことにされる, LGBTQ+運動からの排斥, カムアウトを強制される, カムアウトできない,  一般に「女性運動」と理解される運動（反性暴力のイシューがその典型）の集会や街頭行動に参加する経験や、事務的なしごとを担当することが少なくないが、それらの場面で、問題ある行動をする具体的な人物を想定しながら行なわれる「おっさん」批判や、自分がそのなかでも例外的な「男性」として扱われるのがとても居心地が悪い。運動によっては初めから参加者が「女性」限定とされる例もあるが、これをどう肯定／否定して良いのかわからず、モヤモヤしている。</v>
      </c>
      <c r="Z179" s="8" t="s">
        <v>455</v>
      </c>
      <c r="AA179" s="8" t="str">
        <f>", "&amp;'RAW (公開用)'!U180&amp;", "</f>
        <v xml:space="preserve">, （上記のどれも希望していない）, </v>
      </c>
      <c r="AB179" s="8" t="str">
        <f>", "&amp;'RAW (公開用)'!V180&amp;", "</f>
        <v xml:space="preserve">, （上記のどれも経験していない）, </v>
      </c>
      <c r="AC179" s="8"/>
      <c r="AD17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79" s="8" t="s">
        <v>459</v>
      </c>
      <c r="AF179" s="8" t="s">
        <v>457</v>
      </c>
      <c r="AG179" s="8" t="s">
        <v>458</v>
      </c>
      <c r="AH179" s="8" t="s">
        <v>546</v>
      </c>
      <c r="AI179" s="8">
        <f t="shared" si="7"/>
        <v>2</v>
      </c>
      <c r="AJ179" s="8"/>
      <c r="AK179" s="8"/>
      <c r="AL179" s="8"/>
      <c r="AM179" s="8"/>
      <c r="AN179" s="8"/>
    </row>
    <row r="180" spans="1:40" ht="38.25" hidden="1">
      <c r="A180" s="8">
        <v>288</v>
      </c>
      <c r="B180" s="11">
        <v>44991.432208564816</v>
      </c>
      <c r="C180" s="8" t="s">
        <v>452</v>
      </c>
      <c r="D180" s="8" t="s">
        <v>453</v>
      </c>
      <c r="E180" s="8" t="s">
        <v>452</v>
      </c>
      <c r="F180" s="8" t="s">
        <v>454</v>
      </c>
      <c r="G180" s="8" t="str">
        <f>", "&amp;'RAW (公開用)'!F289&amp;", "</f>
        <v xml:space="preserve">, ノンバイナリー女性, ノンバイナリー, </v>
      </c>
      <c r="H180" s="8"/>
      <c r="I180" s="8" t="str">
        <f>", "&amp;'RAW (公開用)'!H289&amp;", "</f>
        <v xml:space="preserve">, さん, </v>
      </c>
      <c r="J180" s="8" t="s">
        <v>2335</v>
      </c>
      <c r="K18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80" s="8" t="str">
        <f>", "&amp;'RAW (公開用)'!J289&amp;", "</f>
        <v xml:space="preserve">, （any／問わない／どれでもよい）, **英語を日常的に使わない**, </v>
      </c>
      <c r="M180" s="8" t="s">
        <v>2335</v>
      </c>
      <c r="N18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**英語を日常的に使わない**, , </v>
      </c>
      <c r="O180" s="8" t="str">
        <f>", "&amp;'RAW (公開用)'!L289&amp;", "</f>
        <v xml:space="preserve">, 僕, 私（わたし／わたくし）, わたし, おら, （any／問わない／どれでもよい）, おれ, </v>
      </c>
      <c r="P180" s="8" t="s">
        <v>2335</v>
      </c>
      <c r="Q18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私（わたし／わたくし）, わたし, おら, （any／問わない／どれでもよい）, おれ,  , </v>
      </c>
      <c r="R180" s="8" t="str">
        <f>", "&amp;'RAW (公開用)'!N180&amp;", "</f>
        <v xml:space="preserve">, かれ, （三人称で言及してほしくない）, </v>
      </c>
      <c r="S180" s="73" t="s">
        <v>2365</v>
      </c>
      <c r="T18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かれ, （三人称で言及してほしくない）,  , かれら,</v>
      </c>
      <c r="U180" s="8" t="str">
        <f>", "&amp;'RAW (公開用)'!P289&amp;", "</f>
        <v xml:space="preserve">, **英語を日常的に使わない**, </v>
      </c>
      <c r="V180" s="8" t="s">
        <v>455</v>
      </c>
      <c r="W180" s="8" t="str">
        <f>", "&amp;'RAW (公開用)'!R289&amp;", "</f>
        <v xml:space="preserve">, 社会の中でいないことにされる, アウティング（勝手にジェンダーや指向についての情報を明かされること）, 職場や学校における無理解, </v>
      </c>
      <c r="X180" s="8" t="s">
        <v>202</v>
      </c>
      <c r="Y18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アウティング（勝手にジェンダーや指向についての情報を明かされること）, 職場や学校における無理解,  LGBTQ+運動から排斥されてるって、私達が思っちゃうこと。セルフネグレクトみたいだ！</v>
      </c>
      <c r="Z180" s="8" t="s">
        <v>455</v>
      </c>
      <c r="AA180" s="8" t="str">
        <f>", "&amp;'RAW (公開用)'!U289&amp;", "</f>
        <v xml:space="preserve">, （上記のどれも希望していない）, </v>
      </c>
      <c r="AB180" s="8" t="str">
        <f>", "&amp;'RAW (公開用)'!V289&amp;", "</f>
        <v xml:space="preserve">, （上記のどれも経験していない）, </v>
      </c>
      <c r="AC180" s="8"/>
      <c r="AD18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0" s="8" t="s">
        <v>459</v>
      </c>
      <c r="AF180" s="8" t="s">
        <v>457</v>
      </c>
      <c r="AG180" s="8" t="s">
        <v>458</v>
      </c>
      <c r="AH180" s="8"/>
      <c r="AI180" s="8">
        <f t="shared" si="7"/>
        <v>2</v>
      </c>
      <c r="AJ180" s="8"/>
      <c r="AK180" s="8"/>
      <c r="AL180" s="8"/>
      <c r="AM180" s="8"/>
      <c r="AN180" s="8"/>
    </row>
    <row r="181" spans="1:40" ht="63.75" hidden="1">
      <c r="A181" s="8">
        <v>181</v>
      </c>
      <c r="B181" s="11">
        <v>44970.88951011574</v>
      </c>
      <c r="C181" s="8" t="s">
        <v>452</v>
      </c>
      <c r="D181" s="8" t="s">
        <v>453</v>
      </c>
      <c r="E181" s="8" t="s">
        <v>452</v>
      </c>
      <c r="F181" s="8" t="s">
        <v>454</v>
      </c>
      <c r="G181" s="8" t="str">
        <f>", "&amp;'RAW (公開用)'!F182&amp;", "</f>
        <v xml:space="preserve">, トランス*／trans*, 無性, Aジェンダー／エイジェンダー／アジェンダー／agender, Xジェンダー, **必ず選んでください**, ノンバイナリー, トランスジェンダー, </v>
      </c>
      <c r="H181" s="8"/>
      <c r="I181" s="8" t="str">
        <f>", "&amp;'RAW (公開用)'!H182&amp;", "</f>
        <v xml:space="preserve">, さん, </v>
      </c>
      <c r="J181" s="73" t="s">
        <v>2337</v>
      </c>
      <c r="K18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さん,  , 氏,</v>
      </c>
      <c r="L181" s="8" t="str">
        <f>", "&amp;'RAW (公開用)'!J182&amp;", "</f>
        <v xml:space="preserve">, **英語を日常的に使わない**, </v>
      </c>
      <c r="M181" s="8" t="s">
        <v>2335</v>
      </c>
      <c r="N18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1" s="8" t="str">
        <f>", "&amp;'RAW (公開用)'!L182&amp;", "</f>
        <v xml:space="preserve">, 自分, 私（わたし／わたくし）, わたし, </v>
      </c>
      <c r="P181" s="8" t="s">
        <v>2335</v>
      </c>
      <c r="Q18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 </v>
      </c>
      <c r="R181" s="8" t="str">
        <f>", "&amp;'RAW (公開用)'!N181&amp;", "</f>
        <v xml:space="preserve">, （自分（たち）の名前）, </v>
      </c>
      <c r="S181" s="8" t="s">
        <v>2335</v>
      </c>
      <c r="T18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81" s="8" t="str">
        <f>", "&amp;'RAW (公開用)'!P182&amp;", "</f>
        <v xml:space="preserve">, they/them/their/themselves, they/them/their/themself, </v>
      </c>
      <c r="V181" s="8" t="s">
        <v>455</v>
      </c>
      <c r="W181" s="8" t="str">
        <f>", "&amp;'RAW (公開用)'!R182&amp;", "</f>
        <v xml:space="preserve">, 医療における無理解, 社会の中でいないことにされる, 職場や学校における無理解, 家族／かぞくからの無理解, ミスジェンダリング（誤った性別として扱うこと）, アウティング（勝手にジェンダーや指向についての情報を明かされること）, 性暴力, カムアウトできない, LGBTQ+運動からの排斥, トイレなどのジェンダー化されたスペースの使用, </v>
      </c>
      <c r="X181" s="8"/>
      <c r="Y18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社会の中でいないことにされる, 職場や学校における無理解, 家族／かぞくからの無理解, ミスジェンダリング（誤った性別として扱うこと）, アウティング（勝手にジェンダーや指向についての情報を明かされること）, 性暴力, カムアウトできない, LGBTQ+運動からの排斥, トイレなどのジェンダー化されたスペースの使用,  </v>
      </c>
      <c r="Z181" s="8" t="s">
        <v>455</v>
      </c>
      <c r="AA181" s="8" t="str">
        <f>", "&amp;'RAW (公開用)'!U182&amp;", "</f>
        <v xml:space="preserve">, 戸籍名の変更, 戸籍上の性別の変更, ジェンダークリニックの受診, ホルモン補充療法（HRT）, 性器にかかわる手術, </v>
      </c>
      <c r="AB181" s="8" t="str">
        <f>", "&amp;'RAW (公開用)'!V182&amp;", "</f>
        <v xml:space="preserve">, ジェンダークリニックの受診, ホルモン補充療法（HRT）, 性器にかかわる手術, </v>
      </c>
      <c r="AC181" s="8" t="s">
        <v>417</v>
      </c>
      <c r="AD181"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ホルモン補充療法（HRT）, 性器にかかわる手術,  いくらトランジションを頑張っても、社会的にAジェンダーとして扱われることがないこと。</v>
      </c>
      <c r="AE181" s="8" t="s">
        <v>462</v>
      </c>
      <c r="AF181" s="8" t="s">
        <v>457</v>
      </c>
      <c r="AG181" s="8" t="s">
        <v>452</v>
      </c>
      <c r="AH181" s="8" t="s">
        <v>547</v>
      </c>
      <c r="AI181" s="8">
        <f t="shared" si="7"/>
        <v>6</v>
      </c>
      <c r="AJ181" s="8"/>
      <c r="AK181" s="8"/>
      <c r="AL181" s="8"/>
      <c r="AM181" s="8"/>
      <c r="AN181" s="8"/>
    </row>
    <row r="182" spans="1:40" ht="12.75" hidden="1">
      <c r="A182" s="8">
        <v>182</v>
      </c>
      <c r="B182" s="11">
        <v>44970.890658784723</v>
      </c>
      <c r="C182" s="8" t="s">
        <v>452</v>
      </c>
      <c r="D182" s="8" t="s">
        <v>453</v>
      </c>
      <c r="E182" s="8" t="s">
        <v>452</v>
      </c>
      <c r="F182" s="8" t="s">
        <v>454</v>
      </c>
      <c r="G182" s="8" t="str">
        <f>", "&amp;'RAW (公開用)'!F183&amp;", "</f>
        <v xml:space="preserve">, ノンバイナリー, アンドロジャイン／androgyne, X, </v>
      </c>
      <c r="H182" s="8"/>
      <c r="I182" s="8" t="str">
        <f>", "&amp;'RAW (公開用)'!H183&amp;", "</f>
        <v xml:space="preserve">, さん, </v>
      </c>
      <c r="J182" s="8" t="s">
        <v>2335</v>
      </c>
      <c r="K18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82" s="8" t="str">
        <f>", "&amp;'RAW (公開用)'!J183&amp;", "</f>
        <v xml:space="preserve">, **英語を日常的に使わない**, </v>
      </c>
      <c r="M182" s="8" t="s">
        <v>2335</v>
      </c>
      <c r="N18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2" s="8" t="str">
        <f>", "&amp;'RAW (公開用)'!L183&amp;", "</f>
        <v xml:space="preserve">, 自分, わたし, </v>
      </c>
      <c r="P182" s="8" t="s">
        <v>2335</v>
      </c>
      <c r="Q18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 </v>
      </c>
      <c r="R182" s="8" t="str">
        <f>", "&amp;'RAW (公開用)'!N182&amp;", "</f>
        <v xml:space="preserve">, 彼人（かのと）, （自分（たち）の名前）, 彼人（かのひと）, </v>
      </c>
      <c r="S182" s="8" t="s">
        <v>2335</v>
      </c>
      <c r="T18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（自分（たち）の名前）, 彼人（かのひと）,  , </v>
      </c>
      <c r="U182" s="8" t="str">
        <f>", "&amp;'RAW (公開用)'!P183&amp;", "</f>
        <v xml:space="preserve">, **英語を日常的に使わない**, </v>
      </c>
      <c r="V182" s="8" t="s">
        <v>455</v>
      </c>
      <c r="W182" s="8" t="str">
        <f>", "&amp;'RAW (公開用)'!R183&amp;", "</f>
        <v xml:space="preserve">, カムアウトできない, 社会の中でいないことにされる, </v>
      </c>
      <c r="X182" s="8"/>
      <c r="Y18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社会の中でいないことにされる,  </v>
      </c>
      <c r="Z182" s="8" t="s">
        <v>455</v>
      </c>
      <c r="AA182" s="8" t="str">
        <f>", "&amp;'RAW (公開用)'!U183&amp;", "</f>
        <v xml:space="preserve">, （上記のどれも希望していない）, </v>
      </c>
      <c r="AB182" s="8" t="str">
        <f>", "&amp;'RAW (公開用)'!V183&amp;", "</f>
        <v xml:space="preserve">, （上記のどれも経験していない）, </v>
      </c>
      <c r="AC182" s="8"/>
      <c r="AD18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2" s="8" t="s">
        <v>474</v>
      </c>
      <c r="AF182" s="8" t="s">
        <v>457</v>
      </c>
      <c r="AG182" s="8" t="s">
        <v>458</v>
      </c>
      <c r="AH182" s="8"/>
      <c r="AI182" s="8">
        <f t="shared" si="7"/>
        <v>3</v>
      </c>
      <c r="AJ182" s="8"/>
      <c r="AK182" s="8"/>
      <c r="AL182" s="8"/>
      <c r="AM182" s="8"/>
      <c r="AN182" s="8"/>
    </row>
    <row r="183" spans="1:40" ht="51" hidden="1">
      <c r="A183" s="8">
        <v>183</v>
      </c>
      <c r="B183" s="11">
        <v>44970.891681307869</v>
      </c>
      <c r="C183" s="8" t="s">
        <v>452</v>
      </c>
      <c r="D183" s="8" t="s">
        <v>453</v>
      </c>
      <c r="E183" s="8" t="s">
        <v>452</v>
      </c>
      <c r="F183" s="8" t="s">
        <v>454</v>
      </c>
      <c r="G183" s="8" t="str">
        <f>", "&amp;'RAW (公開用)'!F184&amp;", "</f>
        <v xml:space="preserve">, トランスジェンダー, 不定性, トランス*／trans*, **必ず選んでください**, </v>
      </c>
      <c r="H183" s="8"/>
      <c r="I183" s="8" t="str">
        <f>", "&amp;'RAW (公開用)'!H184&amp;", "</f>
        <v xml:space="preserve">, さん, </v>
      </c>
      <c r="J183" s="8" t="s">
        <v>2335</v>
      </c>
      <c r="K18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83" s="8" t="str">
        <f>", "&amp;'RAW (公開用)'!J184&amp;", "</f>
        <v xml:space="preserve">, -san, </v>
      </c>
      <c r="M183" s="8" t="s">
        <v>2335</v>
      </c>
      <c r="N18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183" s="8" t="str">
        <f>", "&amp;'RAW (公開用)'!L184&amp;", "</f>
        <v xml:space="preserve">, （一人称の使用を避ける）, 私（わたし／わたくし）, 自分, </v>
      </c>
      <c r="P183" s="8" t="s">
        <v>2335</v>
      </c>
      <c r="Q18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私（わたし／わたくし）, 自分,  , </v>
      </c>
      <c r="R183" s="8" t="str">
        <f>", "&amp;'RAW (公開用)'!N183&amp;", "</f>
        <v xml:space="preserve">, 彼人（かのひと）, </v>
      </c>
      <c r="S183" s="8" t="s">
        <v>2335</v>
      </c>
      <c r="T18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 </v>
      </c>
      <c r="U183" s="8" t="str">
        <f>", "&amp;'RAW (公開用)'!P184&amp;", "</f>
        <v xml:space="preserve">, he, </v>
      </c>
      <c r="V183" s="8" t="s">
        <v>455</v>
      </c>
      <c r="W183" s="8" t="str">
        <f>", "&amp;'RAW (公開用)'!R184&amp;", "</f>
        <v xml:space="preserve">, 医療における無理解, 社会の中でいないことにされる, アウティング（勝手にジェンダーや指向についての情報を明かされること）, ミスジェンダリング（誤った性別として扱うこと）, トイレなどのジェンダー化されたスペースの使用, </v>
      </c>
      <c r="X183" s="8"/>
      <c r="Y18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社会の中でいないことにされる, アウティング（勝手にジェンダーや指向についての情報を明かされること）, ミスジェンダリング（誤った性別として扱うこと）, トイレなどのジェンダー化されたスペースの使用,  </v>
      </c>
      <c r="Z183" s="8" t="s">
        <v>455</v>
      </c>
      <c r="AA183" s="8" t="str">
        <f>", "&amp;'RAW (公開用)'!U184&amp;", "</f>
        <v xml:space="preserve">, 戸籍名の変更, 戸籍上の性別の変更, ジェンダークリニックの受診, ホルモン補充療法（HRT）, 胸部の手術, 性器にかかわる手術, </v>
      </c>
      <c r="AB183" s="8" t="str">
        <f>", "&amp;'RAW (公開用)'!V184&amp;", "</f>
        <v xml:space="preserve">, 戸籍名の変更, ジェンダークリニックの受診, ホルモン補充療法（HRT）, 胸部の手術, </v>
      </c>
      <c r="AC183" s="8"/>
      <c r="AD183"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ジェンダークリニックの受診, ホルモン補充療法（HRT）, 胸部の手術,  </v>
      </c>
      <c r="AE183" s="8" t="s">
        <v>474</v>
      </c>
      <c r="AF183" s="8" t="s">
        <v>457</v>
      </c>
      <c r="AG183" s="8" t="s">
        <v>458</v>
      </c>
      <c r="AH183" s="8"/>
      <c r="AI183" s="8">
        <f t="shared" si="7"/>
        <v>3</v>
      </c>
      <c r="AJ183" s="8"/>
      <c r="AK183" s="8"/>
      <c r="AL183" s="8"/>
      <c r="AM183" s="8"/>
      <c r="AN183" s="8"/>
    </row>
    <row r="184" spans="1:40" ht="25.5" hidden="1">
      <c r="A184" s="8">
        <v>184</v>
      </c>
      <c r="B184" s="11">
        <v>44970.891832824069</v>
      </c>
      <c r="C184" s="8" t="s">
        <v>452</v>
      </c>
      <c r="D184" s="8" t="s">
        <v>453</v>
      </c>
      <c r="E184" s="8" t="s">
        <v>452</v>
      </c>
      <c r="F184" s="8" t="s">
        <v>454</v>
      </c>
      <c r="G184" s="8" t="str">
        <f>", "&amp;'RAW (公開用)'!F185&amp;", "</f>
        <v xml:space="preserve">, 女性／woman, レズビアン（ジェンダーについて）, </v>
      </c>
      <c r="H184" s="8"/>
      <c r="I184" s="8" t="str">
        <f>", "&amp;'RAW (公開用)'!H185&amp;", "</f>
        <v xml:space="preserve">, さん, </v>
      </c>
      <c r="J184" s="8" t="s">
        <v>2335</v>
      </c>
      <c r="K18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84" s="8" t="str">
        <f>", "&amp;'RAW (公開用)'!J185&amp;", "</f>
        <v xml:space="preserve">, **英語を日常的に使わない**, </v>
      </c>
      <c r="M184" s="8" t="s">
        <v>2335</v>
      </c>
      <c r="N18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4" s="8" t="str">
        <f>", "&amp;'RAW (公開用)'!L185&amp;", "</f>
        <v xml:space="preserve">, わたし, </v>
      </c>
      <c r="P184" s="8" t="s">
        <v>2335</v>
      </c>
      <c r="Q18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84" s="8" t="str">
        <f>", "&amp;'RAW (公開用)'!N184&amp;", "</f>
        <v xml:space="preserve">, 彼, （三人称で言及してほしくない）, </v>
      </c>
      <c r="S184" s="8" t="s">
        <v>2335</v>
      </c>
      <c r="T18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（三人称で言及してほしくない）,  , </v>
      </c>
      <c r="U184" s="8" t="str">
        <f>", "&amp;'RAW (公開用)'!P185&amp;", "</f>
        <v xml:space="preserve">, **英語を日常的に使わない**, </v>
      </c>
      <c r="V184" s="8" t="s">
        <v>455</v>
      </c>
      <c r="W184" s="8" t="str">
        <f>", "&amp;'RAW (公開用)'!R185&amp;", "</f>
        <v xml:space="preserve">, 家族／かぞくからの無理解, 社会の中でいないことにされる, カムアウトできない, 職場や学校における無理解, </v>
      </c>
      <c r="X184" s="8"/>
      <c r="Y18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社会の中でいないことにされる, カムアウトできない, 職場や学校における無理解,  </v>
      </c>
      <c r="Z184" s="8" t="s">
        <v>455</v>
      </c>
      <c r="AA184" s="8" t="str">
        <f>", "&amp;'RAW (公開用)'!U185&amp;", "</f>
        <v xml:space="preserve">, （上記のどれも希望していない）, </v>
      </c>
      <c r="AB184" s="8" t="str">
        <f>", "&amp;'RAW (公開用)'!V185&amp;", "</f>
        <v xml:space="preserve">, （上記のどれも経験していない）, </v>
      </c>
      <c r="AC184" s="8"/>
      <c r="AD18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4" s="8" t="s">
        <v>459</v>
      </c>
      <c r="AF184" s="8" t="s">
        <v>457</v>
      </c>
      <c r="AG184" s="8" t="s">
        <v>458</v>
      </c>
      <c r="AH184" s="8"/>
      <c r="AI184" s="8">
        <f t="shared" si="7"/>
        <v>2</v>
      </c>
      <c r="AJ184" s="8"/>
      <c r="AK184" s="8"/>
      <c r="AL184" s="8"/>
      <c r="AM184" s="8"/>
      <c r="AN184" s="8"/>
    </row>
    <row r="185" spans="1:40" ht="25.5" hidden="1">
      <c r="A185" s="8">
        <v>185</v>
      </c>
      <c r="B185" s="11">
        <v>44970.891888935184</v>
      </c>
      <c r="C185" s="8" t="s">
        <v>452</v>
      </c>
      <c r="D185" s="8" t="s">
        <v>453</v>
      </c>
      <c r="E185" s="8" t="s">
        <v>452</v>
      </c>
      <c r="F185" s="8" t="s">
        <v>454</v>
      </c>
      <c r="G185" s="8" t="str">
        <f>", "&amp;'RAW (公開用)'!F186&amp;", "</f>
        <v xml:space="preserve">, ジェンダー・ノンコンフォーミング／gender non-conforming, ニュートラル, クィア／Queer, **必ず選んでください**, </v>
      </c>
      <c r="H185" s="8"/>
      <c r="I185" s="8" t="str">
        <f>", "&amp;'RAW (公開用)'!H186&amp;", "</f>
        <v xml:space="preserve">, さん, </v>
      </c>
      <c r="J185" s="8" t="s">
        <v>2335</v>
      </c>
      <c r="K18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85" s="8" t="str">
        <f>", "&amp;'RAW (公開用)'!J186&amp;", "</f>
        <v xml:space="preserve">, （敬称なし）, -san, </v>
      </c>
      <c r="M185" s="8" t="s">
        <v>2335</v>
      </c>
      <c r="N18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 </v>
      </c>
      <c r="O185" s="8" t="str">
        <f>", "&amp;'RAW (公開用)'!L186&amp;", "</f>
        <v xml:space="preserve">, わたし, </v>
      </c>
      <c r="P185" s="8" t="s">
        <v>2335</v>
      </c>
      <c r="Q18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85" s="8" t="str">
        <f>", "&amp;'RAW (公開用)'!N185&amp;", "</f>
        <v xml:space="preserve">, 彼女, </v>
      </c>
      <c r="S185" s="8" t="s">
        <v>2335</v>
      </c>
      <c r="T18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185" s="8" t="str">
        <f>", "&amp;'RAW (公開用)'!P186&amp;", "</f>
        <v xml:space="preserve">, they/them/their/themselves, she, </v>
      </c>
      <c r="V185" s="8" t="s">
        <v>455</v>
      </c>
      <c r="W185" s="8" t="str">
        <f>", "&amp;'RAW (公開用)'!R186&amp;", "</f>
        <v xml:space="preserve">, 社会の中でいないことにされる, </v>
      </c>
      <c r="X185" s="8"/>
      <c r="Y18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185" s="8" t="s">
        <v>455</v>
      </c>
      <c r="AA185" s="8" t="str">
        <f>", "&amp;'RAW (公開用)'!U186&amp;", "</f>
        <v xml:space="preserve">, （上記のどれも希望していない）, </v>
      </c>
      <c r="AB185" s="8" t="str">
        <f>", "&amp;'RAW (公開用)'!V186&amp;", "</f>
        <v xml:space="preserve">, （上記のどれも経験していない）, </v>
      </c>
      <c r="AC185" s="8"/>
      <c r="AD18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5" s="8" t="s">
        <v>456</v>
      </c>
      <c r="AF185" s="8" t="s">
        <v>457</v>
      </c>
      <c r="AG185" s="8" t="s">
        <v>458</v>
      </c>
      <c r="AH185" s="8"/>
      <c r="AI185" s="8">
        <f t="shared" si="7"/>
        <v>3</v>
      </c>
      <c r="AJ185" s="8"/>
      <c r="AK185" s="8"/>
      <c r="AL185" s="8"/>
      <c r="AM185" s="8"/>
      <c r="AN185" s="8"/>
    </row>
    <row r="186" spans="1:40" ht="25.5" hidden="1">
      <c r="A186" s="8">
        <v>186</v>
      </c>
      <c r="B186" s="11">
        <v>44970.89301915509</v>
      </c>
      <c r="C186" s="8" t="s">
        <v>452</v>
      </c>
      <c r="D186" s="8" t="s">
        <v>453</v>
      </c>
      <c r="E186" s="8" t="s">
        <v>452</v>
      </c>
      <c r="F186" s="8" t="s">
        <v>454</v>
      </c>
      <c r="G186" s="8" t="str">
        <f>", "&amp;'RAW (公開用)'!F187&amp;", "</f>
        <v xml:space="preserve">, ノンバイナリー, **必ず選んでください**, クィア／Queer, （ジェンダー・）フルイド／（ジェンダー・）フリュイド／（ジェンダー・）フルイッド, </v>
      </c>
      <c r="H186" s="8"/>
      <c r="I186" s="8" t="str">
        <f>", "&amp;'RAW (公開用)'!H187&amp;", "</f>
        <v xml:space="preserve">, （any／問わない／どれでもよい）, （敬称なし）, さん, ちゃん, </v>
      </c>
      <c r="J186" s="8" t="s">
        <v>2335</v>
      </c>
      <c r="K18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（敬称なし）, さん, ちゃん,  , </v>
      </c>
      <c r="L186" s="8" t="str">
        <f>", "&amp;'RAW (公開用)'!J187&amp;", "</f>
        <v xml:space="preserve">, **英語を日常的に使わない**, </v>
      </c>
      <c r="M186" s="8" t="s">
        <v>2335</v>
      </c>
      <c r="N18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6" s="8" t="str">
        <f>", "&amp;'RAW (公開用)'!L187&amp;", "</f>
        <v xml:space="preserve">, わたし, 自分, </v>
      </c>
      <c r="P186" s="8" t="s">
        <v>2335</v>
      </c>
      <c r="Q18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 </v>
      </c>
      <c r="R186" s="8" t="str">
        <f>", "&amp;'RAW (公開用)'!N186&amp;", "</f>
        <v xml:space="preserve">, 彼女, （自分（たち）の名前）, </v>
      </c>
      <c r="S186" s="8" t="s">
        <v>2335</v>
      </c>
      <c r="T18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186" s="8" t="str">
        <f>", "&amp;'RAW (公開用)'!P187&amp;", "</f>
        <v xml:space="preserve">, **英語を日常的に使わない**, </v>
      </c>
      <c r="V186" s="8" t="s">
        <v>455</v>
      </c>
      <c r="W186" s="8" t="str">
        <f>", "&amp;'RAW (公開用)'!R187&amp;", "</f>
        <v xml:space="preserve">, 社会の中でいないことにされる, カムアウトできない, </v>
      </c>
      <c r="X186" s="8"/>
      <c r="Y18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186" s="8" t="s">
        <v>455</v>
      </c>
      <c r="AA186" s="8" t="str">
        <f>", "&amp;'RAW (公開用)'!U187&amp;", "</f>
        <v xml:space="preserve">, （上記のどれも希望していない）, </v>
      </c>
      <c r="AB186" s="105" t="s">
        <v>2443</v>
      </c>
      <c r="AC186" s="8"/>
      <c r="AD18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186" s="8" t="s">
        <v>462</v>
      </c>
      <c r="AF186" s="8" t="s">
        <v>457</v>
      </c>
      <c r="AG186" s="8" t="s">
        <v>458</v>
      </c>
      <c r="AH186" s="8" t="s">
        <v>548</v>
      </c>
      <c r="AI186" s="8">
        <f t="shared" si="7"/>
        <v>3</v>
      </c>
      <c r="AJ186" s="8"/>
      <c r="AK186" s="8"/>
      <c r="AL186" s="8"/>
      <c r="AM186" s="8"/>
      <c r="AN186" s="8"/>
    </row>
    <row r="187" spans="1:40" ht="25.5" hidden="1">
      <c r="A187" s="8">
        <v>187</v>
      </c>
      <c r="B187" s="11">
        <v>44970.905266608796</v>
      </c>
      <c r="C187" s="8" t="s">
        <v>452</v>
      </c>
      <c r="D187" s="8" t="s">
        <v>453</v>
      </c>
      <c r="E187" s="8" t="s">
        <v>452</v>
      </c>
      <c r="F187" s="8" t="s">
        <v>454</v>
      </c>
      <c r="G187" s="8" t="str">
        <f>", "&amp;'RAW (公開用)'!F188&amp;", "</f>
        <v xml:space="preserve">, 不定性, **必ず選んでください**, シスジェンダー, 中性, 無し, ボイ, クエスチョニング, </v>
      </c>
      <c r="H187" s="8"/>
      <c r="I187" s="8" t="str">
        <f>", "&amp;'RAW (公開用)'!H188&amp;", "</f>
        <v xml:space="preserve">, （any／問わない／どれでもよい）, </v>
      </c>
      <c r="J187" s="8" t="s">
        <v>2335</v>
      </c>
      <c r="K18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87" s="8" t="str">
        <f>", "&amp;'RAW (公開用)'!J188&amp;", "</f>
        <v xml:space="preserve">, **英語を日常的に使わない**, </v>
      </c>
      <c r="M187" s="8" t="s">
        <v>2335</v>
      </c>
      <c r="N18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7" s="8" t="str">
        <f>", "&amp;'RAW (公開用)'!L188&amp;", "</f>
        <v xml:space="preserve">, （自分（たち）の名前）, わたし, 自分, </v>
      </c>
      <c r="P187" s="8" t="s">
        <v>2335</v>
      </c>
      <c r="Q18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わたし, 自分,  , </v>
      </c>
      <c r="R187" s="8" t="str">
        <f>", "&amp;'RAW (公開用)'!N187&amp;", "</f>
        <v xml:space="preserve">, （自分（たち）の名前）, （any／問わない／どれでもよい）, </v>
      </c>
      <c r="S187" s="8" t="s">
        <v>2335</v>
      </c>
      <c r="T18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187" s="8" t="str">
        <f>", "&amp;'RAW (公開用)'!P188&amp;", "</f>
        <v xml:space="preserve">, **英語を日常的に使わない**, </v>
      </c>
      <c r="V187" s="8" t="s">
        <v>455</v>
      </c>
      <c r="W187" s="8" t="s">
        <v>2174</v>
      </c>
      <c r="X187" s="8"/>
      <c r="Y18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187" s="8" t="s">
        <v>455</v>
      </c>
      <c r="AA187" s="8" t="str">
        <f>", "&amp;'RAW (公開用)'!U188&amp;", "</f>
        <v xml:space="preserve">, （上記のどれも希望していない）, </v>
      </c>
      <c r="AB187" s="8" t="str">
        <f>", "&amp;'RAW (公開用)'!V188&amp;", "</f>
        <v xml:space="preserve">, （上記のどれも経験していない）, </v>
      </c>
      <c r="AC187" s="8"/>
      <c r="AD18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7" s="8" t="s">
        <v>456</v>
      </c>
      <c r="AF187" s="8" t="s">
        <v>457</v>
      </c>
      <c r="AG187" s="8" t="s">
        <v>458</v>
      </c>
      <c r="AH187" s="8"/>
      <c r="AI187" s="8">
        <f t="shared" si="7"/>
        <v>6</v>
      </c>
      <c r="AJ187" s="8"/>
      <c r="AK187" s="8"/>
      <c r="AL187" s="8"/>
      <c r="AM187" s="8"/>
      <c r="AN187" s="8"/>
    </row>
    <row r="188" spans="1:40" ht="12.75" hidden="1">
      <c r="A188" s="8">
        <v>188</v>
      </c>
      <c r="B188" s="11">
        <v>44970.907748819445</v>
      </c>
      <c r="C188" s="8" t="s">
        <v>452</v>
      </c>
      <c r="D188" s="8" t="s">
        <v>453</v>
      </c>
      <c r="E188" s="8" t="s">
        <v>452</v>
      </c>
      <c r="F188" s="8" t="s">
        <v>454</v>
      </c>
      <c r="G188" s="8" t="str">
        <f>", "&amp;'RAW (公開用)'!F189&amp;", "</f>
        <v xml:space="preserve">, **必ず選んでください**, ノンバイナリー, ジェンダークィア, クィア／Queer, </v>
      </c>
      <c r="H188" s="8"/>
      <c r="I188" s="8" t="str">
        <f>", "&amp;'RAW (公開用)'!H189&amp;", "</f>
        <v xml:space="preserve">, さん, </v>
      </c>
      <c r="J188" s="8" t="s">
        <v>2335</v>
      </c>
      <c r="K18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88" s="8" t="str">
        <f>", "&amp;'RAW (公開用)'!J189&amp;", "</f>
        <v xml:space="preserve">, **英語を日常的に使わない**, </v>
      </c>
      <c r="M188" s="8" t="s">
        <v>2335</v>
      </c>
      <c r="N18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8" s="8" t="str">
        <f>", "&amp;'RAW (公開用)'!L189&amp;", "</f>
        <v xml:space="preserve">, 自分, わし, 私（わたし／わたくし）, </v>
      </c>
      <c r="P188" s="8" t="s">
        <v>2335</v>
      </c>
      <c r="Q18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わし, 私（わたし／わたくし）,  , </v>
      </c>
      <c r="R188" s="8" t="str">
        <f>", "&amp;'RAW (公開用)'!N188&amp;", "</f>
        <v xml:space="preserve">, （自分（たち）の名前）, </v>
      </c>
      <c r="S188" s="8" t="s">
        <v>2335</v>
      </c>
      <c r="T18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88" s="8" t="str">
        <f>", "&amp;'RAW (公開用)'!P189&amp;", "</f>
        <v xml:space="preserve">, **英語を日常的に使わない**, </v>
      </c>
      <c r="V188" s="8" t="s">
        <v>472</v>
      </c>
      <c r="W188" s="8" t="s">
        <v>2174</v>
      </c>
      <c r="X188" s="8"/>
      <c r="Y18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188" s="8" t="s">
        <v>455</v>
      </c>
      <c r="AA188" s="8" t="str">
        <f>", "&amp;'RAW (公開用)'!U189&amp;", "</f>
        <v xml:space="preserve">, 胸部の手術, 性器にかかわる手術, </v>
      </c>
      <c r="AB188" s="8" t="str">
        <f>", "&amp;'RAW (公開用)'!V189&amp;", "</f>
        <v xml:space="preserve">, （上記のどれも経験していない）, </v>
      </c>
      <c r="AC188" s="8"/>
      <c r="AD18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8" s="8" t="s">
        <v>464</v>
      </c>
      <c r="AF188" s="8" t="s">
        <v>457</v>
      </c>
      <c r="AG188" s="8" t="s">
        <v>458</v>
      </c>
      <c r="AH188" s="8"/>
      <c r="AI188" s="8">
        <f t="shared" si="7"/>
        <v>3</v>
      </c>
      <c r="AJ188" s="8"/>
      <c r="AK188" s="8"/>
      <c r="AL188" s="8"/>
      <c r="AM188" s="8"/>
      <c r="AN188" s="8"/>
    </row>
    <row r="189" spans="1:40" ht="51" hidden="1">
      <c r="A189" s="8">
        <v>189</v>
      </c>
      <c r="B189" s="11">
        <v>44970.925343356481</v>
      </c>
      <c r="C189" s="8" t="s">
        <v>452</v>
      </c>
      <c r="D189" s="8" t="s">
        <v>453</v>
      </c>
      <c r="E189" s="8" t="s">
        <v>452</v>
      </c>
      <c r="F189" s="8" t="s">
        <v>454</v>
      </c>
      <c r="G189" s="8" t="str">
        <f>", "&amp;'RAW (公開用)'!F190&amp;", "</f>
        <v xml:space="preserve">, デミAジェンダー, ノンバイナリー女性, クィア／Queer, Aジェンダー／エイジェンダー／アジェンダー／agender, ノンバイナリー, ジェンダークィア, クエスチョニング, **必ず選んでください**, （ジェンダー・）フルイド／（ジェンダー・）フリュイド／（ジェンダー・）フルイッド, </v>
      </c>
      <c r="H189" s="8"/>
      <c r="I189" s="8" t="str">
        <f>", "&amp;'RAW (公開用)'!H190&amp;", "</f>
        <v xml:space="preserve">, ちゃん, さん, </v>
      </c>
      <c r="J189" s="8" t="s">
        <v>2335</v>
      </c>
      <c r="K18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189" s="8" t="str">
        <f>", "&amp;'RAW (公開用)'!J190&amp;", "</f>
        <v xml:space="preserve">, **英語を日常的に使わない**, </v>
      </c>
      <c r="M189" s="8" t="s">
        <v>2335</v>
      </c>
      <c r="N18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89" s="8" t="str">
        <f>", "&amp;'RAW (公開用)'!L190&amp;", "</f>
        <v xml:space="preserve">, （自分（たち）の名前）, わたし, うち, ぼく, 自分, 私（わたし／わたくし）, </v>
      </c>
      <c r="P189" s="8" t="s">
        <v>2335</v>
      </c>
      <c r="Q18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わたし, うち, ぼく, 自分, 私（わたし／わたくし）,  , </v>
      </c>
      <c r="R189" s="8" t="str">
        <f>", "&amp;'RAW (公開用)'!N189&amp;", "</f>
        <v xml:space="preserve">, （三人称で言及してほしくない）, </v>
      </c>
      <c r="S189" s="8" t="s">
        <v>2335</v>
      </c>
      <c r="T18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189" s="8" t="str">
        <f>", "&amp;'RAW (公開用)'!P190&amp;", "</f>
        <v xml:space="preserve">, **英語を日常的に使わない**, </v>
      </c>
      <c r="V189" s="8" t="s">
        <v>455</v>
      </c>
      <c r="W189" s="8" t="str">
        <f>", "&amp;'RAW (公開用)'!R190&amp;", "</f>
        <v xml:space="preserve">, ミスジェンダリング（誤った性別として扱うこと）, 職場や学校における無理解, カムアウトできない, 社会の中でいないことにされる, カムアウトを強制される, 必要なジェンダーケアへアクセスできない, </v>
      </c>
      <c r="X189" s="8"/>
      <c r="Y18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職場や学校における無理解, カムアウトできない, 社会の中でいないことにされる, カムアウトを強制される, 必要なジェンダーケアへアクセスできない,  </v>
      </c>
      <c r="Z189" s="8" t="s">
        <v>455</v>
      </c>
      <c r="AA189" s="8" t="str">
        <f>", "&amp;'RAW (公開用)'!U190&amp;", "</f>
        <v xml:space="preserve">, （上記のどれも希望していない）, </v>
      </c>
      <c r="AB189" s="8" t="str">
        <f>", "&amp;'RAW (公開用)'!V190&amp;", "</f>
        <v xml:space="preserve">, （上記のどれも経験していない）, </v>
      </c>
      <c r="AC189" s="8"/>
      <c r="AD18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89" s="8" t="s">
        <v>462</v>
      </c>
      <c r="AF189" s="8" t="s">
        <v>457</v>
      </c>
      <c r="AG189" s="8" t="s">
        <v>458</v>
      </c>
      <c r="AH189" s="8"/>
      <c r="AI189" s="8">
        <f t="shared" si="7"/>
        <v>8</v>
      </c>
      <c r="AJ189" s="8"/>
      <c r="AK189" s="8"/>
      <c r="AL189" s="8"/>
      <c r="AM189" s="8"/>
      <c r="AN189" s="8"/>
    </row>
    <row r="190" spans="1:40" ht="12.75" hidden="1">
      <c r="A190" s="8">
        <v>190</v>
      </c>
      <c r="B190" s="11">
        <v>44970.929349768514</v>
      </c>
      <c r="C190" s="8" t="s">
        <v>452</v>
      </c>
      <c r="D190" s="8" t="s">
        <v>453</v>
      </c>
      <c r="E190" s="8" t="s">
        <v>452</v>
      </c>
      <c r="F190" s="8" t="s">
        <v>454</v>
      </c>
      <c r="G190" s="8" t="str">
        <f>", "&amp;'RAW (公開用)'!F191&amp;", "</f>
        <v xml:space="preserve">, 不明／わからない, </v>
      </c>
      <c r="H190" s="8" t="s">
        <v>549</v>
      </c>
      <c r="I190" s="8" t="str">
        <f>", "&amp;'RAW (公開用)'!H191&amp;", "</f>
        <v xml:space="preserve">, さん, くん／君, </v>
      </c>
      <c r="J190" s="8" t="s">
        <v>2335</v>
      </c>
      <c r="K19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190" s="8" t="str">
        <f>", "&amp;'RAW (公開用)'!J191&amp;", "</f>
        <v xml:space="preserve">, **英語を日常的に使わない**, </v>
      </c>
      <c r="M190" s="8" t="s">
        <v>2335</v>
      </c>
      <c r="N19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0" s="8" t="str">
        <f>", "&amp;'RAW (公開用)'!L191&amp;", "</f>
        <v xml:space="preserve">, 私（わたし／わたくし）, 自分, </v>
      </c>
      <c r="P190" s="8" t="s">
        <v>2335</v>
      </c>
      <c r="Q19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190" s="8" t="str">
        <f>", "&amp;'RAW (公開用)'!N190&amp;", "</f>
        <v xml:space="preserve">, （自分（たち）の名前）, （三人称で言及してほしくない）, </v>
      </c>
      <c r="S190" s="8" t="s">
        <v>2335</v>
      </c>
      <c r="T19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190" s="8" t="str">
        <f>", "&amp;'RAW (公開用)'!P191&amp;", "</f>
        <v xml:space="preserve">, **英語を日常的に使わない**, </v>
      </c>
      <c r="V190" s="8" t="s">
        <v>455</v>
      </c>
      <c r="W190" s="8" t="str">
        <f>", "&amp;'RAW (公開用)'!R191&amp;", "</f>
        <v xml:space="preserve">, 職場や学校における無理解, </v>
      </c>
      <c r="X190" s="8"/>
      <c r="Y19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v>
      </c>
      <c r="Z190" s="8" t="s">
        <v>455</v>
      </c>
      <c r="AA190" s="8" t="str">
        <f>", "&amp;'RAW (公開用)'!U191&amp;", "</f>
        <v xml:space="preserve">, （上記のどれも希望していない）, </v>
      </c>
      <c r="AB190" s="8" t="str">
        <f>", "&amp;'RAW (公開用)'!V191&amp;", "</f>
        <v xml:space="preserve">, （上記のどれも経験していない）, </v>
      </c>
      <c r="AC190" s="8"/>
      <c r="AD19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0" s="8" t="s">
        <v>462</v>
      </c>
      <c r="AF190" s="8" t="s">
        <v>457</v>
      </c>
      <c r="AG190" s="8" t="s">
        <v>458</v>
      </c>
      <c r="AH190" s="8"/>
      <c r="AI190" s="8">
        <f t="shared" si="7"/>
        <v>1</v>
      </c>
      <c r="AJ190" s="8"/>
      <c r="AK190" s="8"/>
      <c r="AL190" s="8"/>
      <c r="AM190" s="8"/>
      <c r="AN190" s="8"/>
    </row>
    <row r="191" spans="1:40" ht="63.75" hidden="1">
      <c r="A191" s="8">
        <v>191</v>
      </c>
      <c r="B191" s="11">
        <v>44970.943661458332</v>
      </c>
      <c r="C191" s="8" t="s">
        <v>452</v>
      </c>
      <c r="D191" s="8" t="s">
        <v>453</v>
      </c>
      <c r="E191" s="8" t="s">
        <v>452</v>
      </c>
      <c r="F191" s="8" t="s">
        <v>454</v>
      </c>
      <c r="G191" s="8" t="str">
        <f>", "&amp;'RAW (公開用)'!F192&amp;", "</f>
        <v xml:space="preserve">, Xジェンダー, **必ず選んでください**, ポリジェンダー, ジェンダークィア, 不定性, ジェンダー・ノンコンフォーミング／gender non-conforming, クィア／Queer, デミジェンダー, デミボーイ, ノンバイナリー, ノンバイナリー男性, （ジェンダー・）フルイド／（ジェンダー・）フリュイド／（ジェンダー・）フルイッド, クエスチョニング, 不明／わからない, </v>
      </c>
      <c r="H191" s="8"/>
      <c r="I191" s="8" t="str">
        <f>", "&amp;'RAW (公開用)'!H192&amp;", "</f>
        <v xml:space="preserve">, （any／問わない／どれでもよい）, </v>
      </c>
      <c r="J191" s="8" t="s">
        <v>2335</v>
      </c>
      <c r="K19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191" s="8" t="str">
        <f>", "&amp;'RAW (公開用)'!J192&amp;", "</f>
        <v xml:space="preserve">, **英語を日常的に使わない**, </v>
      </c>
      <c r="M191" s="8" t="s">
        <v>2335</v>
      </c>
      <c r="N19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1" s="8" t="str">
        <f>", "&amp;'RAW (公開用)'!L192&amp;", "</f>
        <v xml:space="preserve">, （時とともに変わる）, （クエスチョニング、模索中、または不明）, わたし, 僕, わし, 自分, 私（わたし／わたくし）, ぼく, </v>
      </c>
      <c r="P191" s="8" t="s">
        <v>2335</v>
      </c>
      <c r="Q19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（クエスチョニング、模索中、または不明）, わたし, 僕, わし, 自分, 私（わたし／わたくし）, ぼく,  , </v>
      </c>
      <c r="R191" s="8" t="str">
        <f>", "&amp;'RAW (公開用)'!N191&amp;", "</f>
        <v xml:space="preserve">, （三人称で言及してほしくない）, （自分（たち）の名前）, </v>
      </c>
      <c r="S191" s="8" t="s">
        <v>2335</v>
      </c>
      <c r="T19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191" s="8" t="str">
        <f>", "&amp;'RAW (公開用)'!P192&amp;", "</f>
        <v xml:space="preserve">, **英語を日常的に使わない**, （時とともに変わる）, they/them/their/themself, they/them/their/themselves, he, </v>
      </c>
      <c r="V191" s="8" t="s">
        <v>455</v>
      </c>
      <c r="W191" s="8" t="str">
        <f>", "&amp;'RAW (公開用)'!R192&amp;", "</f>
        <v xml:space="preserve">, アウティング（勝手にジェンダーや指向についての情報を明かされること）, 家族／かぞくからの無理解, 社会の中でいないことにされる, LGBTQ+運動からの排斥, 職場や学校における無理解, デッドネーミング（誤った名前で呼ばれること）, カムアウトできない, 性暴力, 医療における無理解, 必要なジェンダーケアへアクセスできない, ミスジェンダリング（誤った性別として扱うこと）, </v>
      </c>
      <c r="X191" s="8"/>
      <c r="Y19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家族／かぞくからの無理解, 社会の中でいないことにされる, LGBTQ+運動からの排斥, 職場や学校における無理解, デッドネーミング（誤った名前で呼ばれること）, カムアウトできない, 性暴力, 医療における無理解, 必要なジェンダーケアへアクセスできない, ミスジェンダリング（誤った性別として扱うこと）,  </v>
      </c>
      <c r="Z191" s="8" t="s">
        <v>455</v>
      </c>
      <c r="AA191" s="8" t="str">
        <f>", "&amp;'RAW (公開用)'!U192&amp;", "</f>
        <v xml:space="preserve">, 戸籍名の変更, </v>
      </c>
      <c r="AB191" s="8" t="str">
        <f>", "&amp;'RAW (公開用)'!V192&amp;", "</f>
        <v xml:space="preserve">, （上記のどれも経験していない）, </v>
      </c>
      <c r="AC191" s="8"/>
      <c r="AD19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1" s="8" t="s">
        <v>459</v>
      </c>
      <c r="AF191" s="8" t="s">
        <v>457</v>
      </c>
      <c r="AG191" s="8" t="s">
        <v>458</v>
      </c>
      <c r="AH191" s="8"/>
      <c r="AI191" s="8">
        <f t="shared" si="7"/>
        <v>13</v>
      </c>
      <c r="AJ191" s="8"/>
      <c r="AK191" s="8"/>
      <c r="AL191" s="8"/>
      <c r="AM191" s="8"/>
      <c r="AN191" s="8"/>
    </row>
    <row r="192" spans="1:40" ht="12.75" hidden="1">
      <c r="A192" s="8">
        <v>192</v>
      </c>
      <c r="B192" s="11">
        <v>44970.944879710645</v>
      </c>
      <c r="C192" s="8" t="s">
        <v>452</v>
      </c>
      <c r="D192" s="8" t="s">
        <v>453</v>
      </c>
      <c r="E192" s="8" t="s">
        <v>452</v>
      </c>
      <c r="F192" s="8" t="s">
        <v>454</v>
      </c>
      <c r="G192" s="8" t="str">
        <f>", "&amp;'RAW (公開用)'!F193&amp;", "</f>
        <v xml:space="preserve">, 女性／woman, </v>
      </c>
      <c r="H192" s="8"/>
      <c r="I192" s="8" t="str">
        <f>", "&amp;'RAW (公開用)'!H193&amp;", "</f>
        <v xml:space="preserve">, さん, </v>
      </c>
      <c r="J192" s="8" t="s">
        <v>2335</v>
      </c>
      <c r="K19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92" s="8" t="str">
        <f>", "&amp;'RAW (公開用)'!J193&amp;", "</f>
        <v xml:space="preserve">, **英語を日常的に使わない**, </v>
      </c>
      <c r="M192" s="8" t="s">
        <v>2335</v>
      </c>
      <c r="N19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2" s="8" t="str">
        <f>", "&amp;'RAW (公開用)'!L193&amp;", "</f>
        <v xml:space="preserve">, （時とともに変わる）, </v>
      </c>
      <c r="P192" s="8" t="s">
        <v>2335</v>
      </c>
      <c r="Q19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 </v>
      </c>
      <c r="R192" s="8" t="str">
        <f>", "&amp;'RAW (公開用)'!N192&amp;", "</f>
        <v xml:space="preserve">, （自分（たち）の名前）, </v>
      </c>
      <c r="S192" s="8" t="s">
        <v>2335</v>
      </c>
      <c r="T19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92" s="8" t="str">
        <f>", "&amp;'RAW (公開用)'!P193&amp;", "</f>
        <v xml:space="preserve">, **英語を日常的に使わない**, </v>
      </c>
      <c r="V192" s="8" t="s">
        <v>455</v>
      </c>
      <c r="W192" s="8" t="str">
        <f>", "&amp;'RAW (公開用)'!R193&amp;", "</f>
        <v xml:space="preserve">, 職場や学校における無理解, </v>
      </c>
      <c r="X192" s="8"/>
      <c r="Y19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v>
      </c>
      <c r="Z192" s="8" t="s">
        <v>455</v>
      </c>
      <c r="AA192" s="8" t="str">
        <f>", "&amp;'RAW (公開用)'!U193&amp;", "</f>
        <v xml:space="preserve">, （上記のどれも希望していない）, </v>
      </c>
      <c r="AB192" s="8" t="str">
        <f>", "&amp;'RAW (公開用)'!V193&amp;", "</f>
        <v xml:space="preserve">, （上記のどれも経験していない）, </v>
      </c>
      <c r="AC192" s="8"/>
      <c r="AD19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2" s="8" t="s">
        <v>474</v>
      </c>
      <c r="AF192" s="8" t="s">
        <v>457</v>
      </c>
      <c r="AG192" s="8" t="s">
        <v>458</v>
      </c>
      <c r="AH192" s="8"/>
      <c r="AI192" s="8">
        <f t="shared" si="7"/>
        <v>1</v>
      </c>
      <c r="AJ192" s="8"/>
      <c r="AK192" s="8"/>
      <c r="AL192" s="8"/>
      <c r="AM192" s="8"/>
      <c r="AN192" s="8"/>
    </row>
    <row r="193" spans="1:40" ht="63.75" hidden="1">
      <c r="A193" s="8">
        <v>193</v>
      </c>
      <c r="B193" s="11">
        <v>44970.944978159721</v>
      </c>
      <c r="C193" s="8" t="s">
        <v>452</v>
      </c>
      <c r="D193" s="8" t="s">
        <v>453</v>
      </c>
      <c r="E193" s="8" t="s">
        <v>452</v>
      </c>
      <c r="F193" s="8" t="s">
        <v>454</v>
      </c>
      <c r="G193" s="8" t="str">
        <f>", "&amp;'RAW (公開用)'!F194&amp;", "</f>
        <v xml:space="preserve">, トランスジェンダー, enby／エンビー, Aジェンダー／エイジェンダー／アジェンダー／agender, ノンバイナリー, </v>
      </c>
      <c r="H193" s="8"/>
      <c r="I193" s="8" t="str">
        <f>", "&amp;'RAW (公開用)'!H194&amp;", "</f>
        <v xml:space="preserve">, さん, </v>
      </c>
      <c r="J193" s="8" t="s">
        <v>2335</v>
      </c>
      <c r="K19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93" s="8" t="str">
        <f>", "&amp;'RAW (公開用)'!J194&amp;", "</f>
        <v xml:space="preserve">, （any／問わない／どれでもよい）, </v>
      </c>
      <c r="M193" s="8" t="s">
        <v>2335</v>
      </c>
      <c r="N19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193" s="8" t="str">
        <f>", "&amp;'RAW (公開用)'!L194&amp;", "</f>
        <v xml:space="preserve">, うち, 自分, わたし, </v>
      </c>
      <c r="P193" s="8" t="s">
        <v>2335</v>
      </c>
      <c r="Q19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自分, わたし,  , </v>
      </c>
      <c r="R193" s="8" t="str">
        <f>", "&amp;'RAW (公開用)'!N193&amp;", "</f>
        <v xml:space="preserve">, （自分（たち）の名前）, </v>
      </c>
      <c r="S193" s="8" t="s">
        <v>2335</v>
      </c>
      <c r="T19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93" s="8" t="str">
        <f>", "&amp;'RAW (公開用)'!P194&amp;", "</f>
        <v xml:space="preserve">, （クエスチョニング、模索中、または不明）, </v>
      </c>
      <c r="V193" s="8" t="s">
        <v>455</v>
      </c>
      <c r="W193" s="8" t="str">
        <f>", "&amp;'RAW (公開用)'!R194&amp;", "</f>
        <v xml:space="preserve">, 社会の中でいないことにされる, カムアウトできない, トイレなどのジェンダー化されたスペースの使用, 職場や学校における無理解, ミスジェンダリング（誤った性別として扱うこと）, </v>
      </c>
      <c r="X193" s="8" t="s">
        <v>260</v>
      </c>
      <c r="Y19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カムアウトできない, トイレなどのジェンダー化されたスペースの使用, 職場や学校における無理解, ミスジェンダリング（誤った性別として扱うこと）,  恋愛について話をする時に、バイナリーな次元で語られること。最初から当然のようにシスジェンダー、ヘテロセクシュアルの女性として想定され話が進むこと。</v>
      </c>
      <c r="Z193" s="8" t="s">
        <v>455</v>
      </c>
      <c r="AA193" s="8" t="str">
        <f>", "&amp;'RAW (公開用)'!U194&amp;", "</f>
        <v xml:space="preserve">, 戸籍上の性別の変更, </v>
      </c>
      <c r="AB193" s="8" t="str">
        <f>", "&amp;'RAW (公開用)'!V194&amp;", "</f>
        <v xml:space="preserve">, （上記のどれも経験していない）, </v>
      </c>
      <c r="AC193" s="8"/>
      <c r="AD19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3" s="8" t="s">
        <v>464</v>
      </c>
      <c r="AF193" s="8" t="s">
        <v>457</v>
      </c>
      <c r="AG193" s="8" t="s">
        <v>458</v>
      </c>
      <c r="AH193" s="8"/>
      <c r="AI193" s="8">
        <f t="shared" si="7"/>
        <v>4</v>
      </c>
      <c r="AJ193" s="8"/>
      <c r="AK193" s="8"/>
      <c r="AL193" s="8"/>
      <c r="AM193" s="8"/>
      <c r="AN193" s="8"/>
    </row>
    <row r="194" spans="1:40" ht="12.75" hidden="1">
      <c r="A194" s="8">
        <v>194</v>
      </c>
      <c r="B194" s="11">
        <v>44970.951794108798</v>
      </c>
      <c r="C194" s="8" t="s">
        <v>452</v>
      </c>
      <c r="D194" s="8" t="s">
        <v>453</v>
      </c>
      <c r="E194" s="8" t="s">
        <v>452</v>
      </c>
      <c r="F194" s="8" t="s">
        <v>454</v>
      </c>
      <c r="G194" s="8" t="str">
        <f>", "&amp;'RAW (公開用)'!F195&amp;", "</f>
        <v xml:space="preserve">, シスジェンダー, **必ず選んでください**, </v>
      </c>
      <c r="H194" s="8"/>
      <c r="I194" s="8" t="str">
        <f>", "&amp;'RAW (公開用)'!H195&amp;", "</f>
        <v xml:space="preserve">, さん, </v>
      </c>
      <c r="J194" s="8" t="s">
        <v>2335</v>
      </c>
      <c r="K19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94" s="8" t="str">
        <f>", "&amp;'RAW (公開用)'!J195&amp;", "</f>
        <v xml:space="preserve">, **英語を日常的に使わない**, </v>
      </c>
      <c r="M194" s="8" t="s">
        <v>2335</v>
      </c>
      <c r="N19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4" s="8" t="str">
        <f>", "&amp;'RAW (公開用)'!L195&amp;", "</f>
        <v xml:space="preserve">, わたし, 自分, 私（わたし／わたくし）, </v>
      </c>
      <c r="P194" s="8" t="s">
        <v>2335</v>
      </c>
      <c r="Q19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私（わたし／わたくし）,  , </v>
      </c>
      <c r="R194" s="8" t="str">
        <f>", "&amp;'RAW (公開用)'!N194&amp;", "</f>
        <v xml:space="preserve">, 彼人（かのひと）, </v>
      </c>
      <c r="S194" s="8" t="s">
        <v>2335</v>
      </c>
      <c r="T19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 </v>
      </c>
      <c r="U194" s="8" t="str">
        <f>", "&amp;'RAW (公開用)'!P195&amp;", "</f>
        <v xml:space="preserve">, **英語を日常的に使わない**, </v>
      </c>
      <c r="V194" s="8" t="s">
        <v>455</v>
      </c>
      <c r="W194" s="8" t="str">
        <f>", "&amp;'RAW (公開用)'!R195&amp;", "</f>
        <v xml:space="preserve">, 性暴力, </v>
      </c>
      <c r="X194" s="8"/>
      <c r="Y19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v>
      </c>
      <c r="Z194" s="8" t="s">
        <v>455</v>
      </c>
      <c r="AA194" s="8" t="str">
        <f>", "&amp;'RAW (公開用)'!U195&amp;", "</f>
        <v xml:space="preserve">, （上記のどれも希望していない）, </v>
      </c>
      <c r="AB194" s="8" t="str">
        <f>", "&amp;'RAW (公開用)'!V195&amp;", "</f>
        <v xml:space="preserve">, （上記のどれも経験していない）, </v>
      </c>
      <c r="AC194" s="8"/>
      <c r="AD19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4" s="8" t="s">
        <v>475</v>
      </c>
      <c r="AF194" s="8" t="s">
        <v>457</v>
      </c>
      <c r="AG194" s="8" t="s">
        <v>458</v>
      </c>
      <c r="AH194" s="8"/>
      <c r="AI194" s="8">
        <f t="shared" si="7"/>
        <v>1</v>
      </c>
      <c r="AJ194" s="8"/>
      <c r="AK194" s="8"/>
      <c r="AL194" s="8"/>
      <c r="AM194" s="8"/>
      <c r="AN194" s="8"/>
    </row>
    <row r="195" spans="1:40" ht="51" hidden="1">
      <c r="A195" s="8">
        <v>195</v>
      </c>
      <c r="B195" s="11">
        <v>44970.966999988421</v>
      </c>
      <c r="C195" s="8" t="s">
        <v>452</v>
      </c>
      <c r="D195" s="8" t="s">
        <v>453</v>
      </c>
      <c r="E195" s="8" t="s">
        <v>452</v>
      </c>
      <c r="F195" s="8" t="s">
        <v>454</v>
      </c>
      <c r="G195" s="8" t="str">
        <f>", "&amp;'RAW (公開用)'!F196&amp;", "</f>
        <v xml:space="preserve">, 中性, Xジェンダー, （ジェンダー・）フルイド／（ジェンダー・）フリュイド／（ジェンダー・）フルイッド, ジェンダーヴォイド／gendervoid, </v>
      </c>
      <c r="H195" s="8"/>
      <c r="I195" s="8" t="str">
        <f>", "&amp;'RAW (公開用)'!H196&amp;", "</f>
        <v xml:space="preserve">, さん, </v>
      </c>
      <c r="J195" s="8" t="s">
        <v>2335</v>
      </c>
      <c r="K19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195" s="8" t="str">
        <f>", "&amp;'RAW (公開用)'!J196&amp;", "</f>
        <v xml:space="preserve">, **英語を日常的に使わない**, </v>
      </c>
      <c r="M195" s="8" t="s">
        <v>2335</v>
      </c>
      <c r="N19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5" s="8" t="str">
        <f>", "&amp;'RAW (公開用)'!L196&amp;", "</f>
        <v xml:space="preserve">, 自分, 僕, 私（わたし／わたくし）, 俺, </v>
      </c>
      <c r="P195" s="8" t="s">
        <v>2335</v>
      </c>
      <c r="Q19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僕, 私（わたし／わたくし）, 俺,  , </v>
      </c>
      <c r="R195" s="8" t="str">
        <f>", "&amp;'RAW (公開用)'!N195&amp;", "</f>
        <v xml:space="preserve">, 彼女, </v>
      </c>
      <c r="S195" s="8" t="s">
        <v>2335</v>
      </c>
      <c r="T19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195" s="8" t="str">
        <f>", "&amp;'RAW (公開用)'!P196&amp;", "</f>
        <v xml:space="preserve">, **英語を日常的に使わない**, </v>
      </c>
      <c r="V195" s="8" t="s">
        <v>455</v>
      </c>
      <c r="W195" s="8" t="str">
        <f>", "&amp;'RAW (公開用)'!R196&amp;", "</f>
        <v xml:space="preserve">, 社会の中でいないことにされる, </v>
      </c>
      <c r="X195" s="8"/>
      <c r="Y19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195" s="8" t="s">
        <v>455</v>
      </c>
      <c r="AA195" s="8" t="str">
        <f>", "&amp;'RAW (公開用)'!U196&amp;", "</f>
        <v xml:space="preserve">, ジェンダークリニックの受診, ホルモン補充療法（HRT）, 胸部の手術, 性器にかかわる手術, </v>
      </c>
      <c r="AB195" s="8" t="str">
        <f>", "&amp;'RAW (公開用)'!V196&amp;", "</f>
        <v xml:space="preserve">, 性器にかかわる手術, </v>
      </c>
      <c r="AC195" s="8" t="s">
        <v>387</v>
      </c>
      <c r="AD195" s="8" t="str">
        <f>テーブル1[[#This Row],[以下のうち、経験したものをすべて選んでください]]&amp;" "&amp;テーブル1[[#This Row],[社会的、法的、医学的トランジションについて、困難なこと等がありましたらここにお書きください]]</f>
        <v>, 性器にかかわる手術,  中年になり完全にトランスするにも難しい年齢の人は多いと思う。社会的に折り合いをつけながらそれでも身体の性別とは違うと思いながら生きている。ノンバイナリーやXジェンダーという考え方は、そうした人を救う概念でもあると思う。</v>
      </c>
      <c r="AE195" s="8" t="s">
        <v>475</v>
      </c>
      <c r="AF195" s="8" t="s">
        <v>457</v>
      </c>
      <c r="AG195" s="8" t="s">
        <v>458</v>
      </c>
      <c r="AH195" s="8" t="s">
        <v>550</v>
      </c>
      <c r="AI195" s="8">
        <f t="shared" si="7"/>
        <v>4</v>
      </c>
      <c r="AJ195" s="8"/>
      <c r="AK195" s="8"/>
      <c r="AL195" s="8"/>
      <c r="AM195" s="8"/>
      <c r="AN195" s="8"/>
    </row>
    <row r="196" spans="1:40" ht="38.25" hidden="1">
      <c r="A196" s="8">
        <v>196</v>
      </c>
      <c r="B196" s="11">
        <v>44970.976021643517</v>
      </c>
      <c r="C196" s="8" t="s">
        <v>452</v>
      </c>
      <c r="D196" s="8" t="s">
        <v>453</v>
      </c>
      <c r="E196" s="8" t="s">
        <v>452</v>
      </c>
      <c r="F196" s="8" t="s">
        <v>454</v>
      </c>
      <c r="G196" s="8" t="str">
        <f>", "&amp;'RAW (公開用)'!F197&amp;", "</f>
        <v xml:space="preserve">, ニュートラル, 女性／woman, ジェンダークィア, Xジェンダー, Aジェンダー／エイジェンダー／アジェンダー／agender, ノンバイナリー, クィア／Queer, クエスチョニング, </v>
      </c>
      <c r="H196" s="8"/>
      <c r="I196" s="8" t="str">
        <f>", "&amp;'RAW (公開用)'!H197&amp;", "</f>
        <v xml:space="preserve">, さん, （any／問わない／どれでもよい）, </v>
      </c>
      <c r="J196" s="8" t="s">
        <v>2335</v>
      </c>
      <c r="K19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 </v>
      </c>
      <c r="L196" s="8" t="str">
        <f>", "&amp;'RAW (公開用)'!J197&amp;", "</f>
        <v xml:space="preserve">, （any／問わない／どれでもよい）, </v>
      </c>
      <c r="M196" s="8" t="s">
        <v>2335</v>
      </c>
      <c r="N19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196" s="8" t="str">
        <f>", "&amp;'RAW (公開用)'!L197&amp;", "</f>
        <v xml:space="preserve">, わたし, </v>
      </c>
      <c r="P196" s="8" t="s">
        <v>2335</v>
      </c>
      <c r="Q19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196" s="8" t="str">
        <f>", "&amp;'RAW (公開用)'!N196&amp;", "</f>
        <v xml:space="preserve">, （自分（たち）の名前）, </v>
      </c>
      <c r="S196" s="8" t="s">
        <v>2335</v>
      </c>
      <c r="T19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196" s="8" t="str">
        <f>", "&amp;'RAW (公開用)'!P197&amp;", "</f>
        <v xml:space="preserve">, she, they/them/their/themself, </v>
      </c>
      <c r="V196" s="8" t="s">
        <v>455</v>
      </c>
      <c r="W196" s="8" t="str">
        <f>", "&amp;'RAW (公開用)'!R197&amp;", "</f>
        <v xml:space="preserve">, 社会の中でいないことにされる, </v>
      </c>
      <c r="X196" s="8"/>
      <c r="Y19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196" s="8" t="s">
        <v>455</v>
      </c>
      <c r="AA196" s="8" t="str">
        <f>", "&amp;'RAW (公開用)'!U197&amp;", "</f>
        <v xml:space="preserve">, （上記のどれも希望していない）, </v>
      </c>
      <c r="AB196" s="8" t="str">
        <f>", "&amp;'RAW (公開用)'!V197&amp;", "</f>
        <v xml:space="preserve">, （上記のどれも経験していない）, </v>
      </c>
      <c r="AC196" s="8"/>
      <c r="AD19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6" s="8" t="s">
        <v>456</v>
      </c>
      <c r="AF196" s="8" t="s">
        <v>457</v>
      </c>
      <c r="AG196" s="8" t="s">
        <v>458</v>
      </c>
      <c r="AH196" s="8"/>
      <c r="AI196" s="8">
        <f t="shared" si="7"/>
        <v>8</v>
      </c>
      <c r="AJ196" s="8"/>
      <c r="AK196" s="8"/>
      <c r="AL196" s="8"/>
      <c r="AM196" s="8"/>
      <c r="AN196" s="8"/>
    </row>
    <row r="197" spans="1:40" ht="244.5" hidden="1">
      <c r="A197" s="8">
        <v>356</v>
      </c>
      <c r="B197" s="11">
        <v>44991.968945081018</v>
      </c>
      <c r="C197" s="8" t="s">
        <v>452</v>
      </c>
      <c r="D197" s="8" t="s">
        <v>453</v>
      </c>
      <c r="E197" s="8" t="s">
        <v>452</v>
      </c>
      <c r="F197" s="8" t="s">
        <v>454</v>
      </c>
      <c r="G197" s="8" t="str">
        <f>", "&amp;'RAW (公開用)'!F357&amp;", "</f>
        <v xml:space="preserve">, ジェンダー・ノンコンフォーミング／gender non-conforming, ノンバイナリー, **必ず選んでください**, ジェンダークィア, クィア／Queer, Xジェンダー, </v>
      </c>
      <c r="H197" s="8" t="s">
        <v>609</v>
      </c>
      <c r="I197" s="8" t="str">
        <f>", "&amp;'RAW (公開用)'!H357&amp;", "</f>
        <v xml:space="preserve">, ちゃん, （敬称なし）, さん, </v>
      </c>
      <c r="J197" s="8" t="s">
        <v>2335</v>
      </c>
      <c r="K19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（敬称なし）, さん,  , </v>
      </c>
      <c r="L197" s="8" t="str">
        <f>", "&amp;'RAW (公開用)'!J357&amp;", "</f>
        <v xml:space="preserve">, **英語を日常的に使わない**, </v>
      </c>
      <c r="M197" s="8" t="s">
        <v>2335</v>
      </c>
      <c r="N19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7" s="8" t="str">
        <f>", "&amp;'RAW (公開用)'!L357&amp;", "</f>
        <v xml:space="preserve">, ぼく, おれ, 私（わたし／わたくし）, うち, （自分（たち）の名前）, </v>
      </c>
      <c r="P197" s="73" t="s">
        <v>2394</v>
      </c>
      <c r="Q19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ぼく, おれ, 私（わたし／わたくし）, うち, （自分（たち）の名前）,  , ワイ,</v>
      </c>
      <c r="R197" s="8" t="str">
        <f>", "&amp;'RAW (公開用)'!N197&amp;", "</f>
        <v xml:space="preserve">, （any／問わない／どれでもよい）, </v>
      </c>
      <c r="S197" s="8" t="s">
        <v>2355</v>
      </c>
      <c r="T19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（any／問わない／どれでもよい）,  , {この/その/あの}+人,</v>
      </c>
      <c r="U197" s="17" t="s">
        <v>2174</v>
      </c>
      <c r="V197" s="8" t="s">
        <v>455</v>
      </c>
      <c r="W197" s="8" t="str">
        <f>", "&amp;'RAW (公開用)'!R357&amp;", "</f>
        <v xml:space="preserve">, アウティング（勝手にジェンダーや指向についての情報を明かされること）, 社会の中でいないことにされる, トイレなどのジェンダー化されたスペースの使用, ミスジェンダリング（誤った性別として扱うこと）, 医療における無理解, LGBTQ+運動からの排斥, 性暴力, カムアウトできない, 必要なジェンダーケアへアクセスできない, カムアウトを強制される, 職場や学校における無理解, </v>
      </c>
      <c r="X197" s="8" t="s">
        <v>198</v>
      </c>
      <c r="Y19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アウティング（勝手にジェンダーや指向についての情報を明かされること）, 社会の中でいないことにされる, トイレなどのジェンダー化されたスペースの使用, ミスジェンダリング（誤った性別として扱うこと）, 医療における無理解, LGBTQ+運動からの排斥, 性暴力, カムアウトできない, 必要なジェンダーケアへアクセスできない, カムアウトを強制される, 職場や学校における無理解,  ・見た目に割り当てられる性別で判断されて、その「異性」と見なされる人から性暴力を受けること。
・SNS上でカミングアウトしていることを、SNSをしていない（と思っていた）家族に見られている恐怖に晒されていること（だと言うと、「それを書かなければ良い」と思われるのではないか、すなわちこの社会から私たちの存在が消されてしまうのではないか、という強い恐怖がある）。
・精神科で心理検査を受けた際、質問紙で「異性関係に悩んでいる」等の記述を多く目にする。うざったくて回答しなかったり適当に回答したり、（好意的に解釈して）セクシュアリティに関する悩みがあるか、ということを回答したら、「検査結果」として「異性関係に問題あり」という所見を書かれる。かつ、「同様の回答について回答のバラツキがあること」を理由に、検査結果の妥当性に疑義を付けられる結果となる（診断はされ、治療は受けているが）。
・「かわいい」ものを欲したり髪を伸ばしたりしようとすると「いい歳したオジサンが何言ってるの」とからかわれる。</v>
      </c>
      <c r="Z197" s="8" t="s">
        <v>455</v>
      </c>
      <c r="AA197" s="8" t="str">
        <f>", "&amp;'RAW (公開用)'!U357&amp;", "</f>
        <v xml:space="preserve">, 顔にかかわる手術, </v>
      </c>
      <c r="AB197" s="8" t="str">
        <f>", "&amp;'RAW (公開用)'!V357&amp;", "</f>
        <v xml:space="preserve">, （上記のどれも経験していない）, </v>
      </c>
      <c r="AC197" s="8"/>
      <c r="AD19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7" s="8" t="s">
        <v>462</v>
      </c>
      <c r="AF197" s="8" t="s">
        <v>457</v>
      </c>
      <c r="AG197" s="8" t="s">
        <v>458</v>
      </c>
      <c r="AH197" s="8" t="s">
        <v>610</v>
      </c>
      <c r="AI197" s="8">
        <f t="shared" si="7"/>
        <v>5</v>
      </c>
      <c r="AJ197" s="8"/>
      <c r="AK197" s="8"/>
      <c r="AL197" s="8"/>
      <c r="AM197" s="8"/>
      <c r="AN197" s="8"/>
    </row>
    <row r="198" spans="1:40" ht="51" hidden="1">
      <c r="A198" s="8">
        <v>55</v>
      </c>
      <c r="B198" s="11">
        <v>44969.861511527779</v>
      </c>
      <c r="C198" s="8" t="s">
        <v>452</v>
      </c>
      <c r="D198" s="8" t="s">
        <v>453</v>
      </c>
      <c r="E198" s="8" t="s">
        <v>452</v>
      </c>
      <c r="F198" s="8" t="s">
        <v>454</v>
      </c>
      <c r="G198" s="8" t="str">
        <f>", "&amp;'RAW (公開用)'!F56&amp;", "</f>
        <v xml:space="preserve">, バイナリー, フェム, クエスチョニング, （ジェンダー・）フルイド／（ジェンダー・）フリュイド／（ジェンダー・）フルイッド, シスジェンダー, レズビアン（ジェンダーについて）, **必ず選んでください**, 女性／woman, ノンバイナリー, </v>
      </c>
      <c r="H198" s="8"/>
      <c r="I198" s="8" t="str">
        <f>", "&amp;'RAW (公開用)'!H56&amp;", "</f>
        <v xml:space="preserve">, （時とともに変わる）, ちゃん, （クエスチョニング、模索中、または不明）, （敬称なし）, さん, </v>
      </c>
      <c r="J198" s="73" t="s">
        <v>2338</v>
      </c>
      <c r="K19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（時とともに変わる）, ちゃん, （クエスチョニング、模索中、または不明）, （敬称なし）, さん,  , チャマ,</v>
      </c>
      <c r="L198" s="8" t="str">
        <f>", "&amp;'RAW (公開用)'!J56&amp;", "</f>
        <v xml:space="preserve">, （クエスチョニング、模索中、または不明）, </v>
      </c>
      <c r="M198" s="8" t="s">
        <v>2335</v>
      </c>
      <c r="N19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 </v>
      </c>
      <c r="O198" s="8" t="str">
        <f>", "&amp;'RAW (公開用)'!L56&amp;", "</f>
        <v xml:space="preserve">, 私（わたし／わたくし）, わたくし, </v>
      </c>
      <c r="P198" s="73" t="s">
        <v>2394</v>
      </c>
      <c r="Q19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わたくし,  , ワイ,</v>
      </c>
      <c r="R198" s="8" t="str">
        <f>", "&amp;'RAW (公開用)'!N198&amp;", "</f>
        <v xml:space="preserve">, 彼, （三人称で言及してほしくない）, </v>
      </c>
      <c r="S198" s="8" t="s">
        <v>2355</v>
      </c>
      <c r="T19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 （三人称で言及してほしくない）,  , {この/その/あの}+人,</v>
      </c>
      <c r="U198" s="8" t="str">
        <f>", "&amp;'RAW (公開用)'!P56&amp;", "</f>
        <v xml:space="preserve">, they/them/their/themself, she, （時とともに変わる）, </v>
      </c>
      <c r="V198" s="8" t="s">
        <v>455</v>
      </c>
      <c r="W198" s="8" t="str">
        <f>", "&amp;'RAW (公開用)'!R56&amp;", "</f>
        <v xml:space="preserve">, 社会の中でいないことにされる, 職場や学校における無理解, ミスジェンダリング（誤った性別として扱うこと）, アウティング（勝手にジェンダーや指向についての情報を明かされること）, 性暴力, カムアウトできない, 家族／かぞくからの無理解, </v>
      </c>
      <c r="X198" s="8"/>
      <c r="Y19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職場や学校における無理解, ミスジェンダリング（誤った性別として扱うこと）, アウティング（勝手にジェンダーや指向についての情報を明かされること）, 性暴力, カムアウトできない, 家族／かぞくからの無理解,  </v>
      </c>
      <c r="Z198" s="8" t="s">
        <v>455</v>
      </c>
      <c r="AA198" s="8" t="str">
        <f>", "&amp;'RAW (公開用)'!U56&amp;", "</f>
        <v xml:space="preserve">, （上記のどれも希望していない）, </v>
      </c>
      <c r="AB198" s="8" t="str">
        <f>", "&amp;'RAW (公開用)'!V56&amp;", "</f>
        <v xml:space="preserve">, （上記のどれも経験していない）, </v>
      </c>
      <c r="AC198" s="8"/>
      <c r="AD19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8" s="8" t="s">
        <v>462</v>
      </c>
      <c r="AF198" s="8" t="s">
        <v>457</v>
      </c>
      <c r="AG198" s="8" t="s">
        <v>458</v>
      </c>
      <c r="AH198" s="8"/>
      <c r="AI198" s="8">
        <f>((LEN(G198)-LEN(SUBSTITUTE(G198,", ","")))/LEN(", ")-1-(LEN(G198)-LEN(SUBSTITUTE(G198,"必ず","")))/LEN("必ず"))+(LEN(H198)-LEN(SUBSTITUTE(H198,",","")))</f>
        <v>8</v>
      </c>
      <c r="AJ198" s="8"/>
      <c r="AK198" s="8"/>
      <c r="AL198" s="8"/>
      <c r="AM198" s="8"/>
      <c r="AN198" s="8"/>
    </row>
    <row r="199" spans="1:40" ht="12.75" hidden="1">
      <c r="A199" s="8">
        <v>199</v>
      </c>
      <c r="B199" s="11">
        <v>44971.013137743052</v>
      </c>
      <c r="C199" s="8" t="s">
        <v>452</v>
      </c>
      <c r="D199" s="8" t="s">
        <v>453</v>
      </c>
      <c r="E199" s="8" t="s">
        <v>452</v>
      </c>
      <c r="F199" s="8" t="s">
        <v>454</v>
      </c>
      <c r="G199" s="8" t="str">
        <f>", "&amp;'RAW (公開用)'!F200&amp;", "</f>
        <v xml:space="preserve">, 女性／woman, バイジェンダー, フェム, </v>
      </c>
      <c r="H199" s="8"/>
      <c r="I199" s="8" t="str">
        <f>", "&amp;'RAW (公開用)'!H200&amp;", "</f>
        <v xml:space="preserve">, さん, ちゃん, </v>
      </c>
      <c r="J199" s="8" t="s">
        <v>2335</v>
      </c>
      <c r="K19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199" s="8" t="str">
        <f>", "&amp;'RAW (公開用)'!J200&amp;", "</f>
        <v xml:space="preserve">, **英語を日常的に使わない**, </v>
      </c>
      <c r="M199" s="8" t="s">
        <v>2335</v>
      </c>
      <c r="N19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199" s="8" t="str">
        <f>", "&amp;'RAW (公開用)'!L200&amp;", "</f>
        <v xml:space="preserve">, （自分（たち）の名前）, </v>
      </c>
      <c r="P199" s="8" t="s">
        <v>2335</v>
      </c>
      <c r="Q19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 </v>
      </c>
      <c r="R199" s="8" t="str">
        <f>", "&amp;'RAW (公開用)'!N199&amp;", "</f>
        <v xml:space="preserve">, （自分（たち）の名前）, （any／問わない／どれでもよい）, </v>
      </c>
      <c r="S199" s="8" t="s">
        <v>2335</v>
      </c>
      <c r="T19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199" s="8" t="str">
        <f>", "&amp;'RAW (公開用)'!P200&amp;", "</f>
        <v xml:space="preserve">, **英語を日常的に使わない**, </v>
      </c>
      <c r="V199" s="8" t="s">
        <v>455</v>
      </c>
      <c r="W199" s="8" t="str">
        <f>", "&amp;'RAW (公開用)'!R200&amp;", "</f>
        <v xml:space="preserve">, 職場や学校における無理解, カムアウトできない, </v>
      </c>
      <c r="X199" s="8"/>
      <c r="Y19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カムアウトできない,  </v>
      </c>
      <c r="Z199" s="8" t="s">
        <v>455</v>
      </c>
      <c r="AA199" s="8" t="str">
        <f>", "&amp;'RAW (公開用)'!U200&amp;", "</f>
        <v xml:space="preserve">, （上記のどれも希望していない）, </v>
      </c>
      <c r="AB199" s="8" t="str">
        <f>", "&amp;'RAW (公開用)'!V200&amp;", "</f>
        <v xml:space="preserve">, （上記のどれも経験していない）, </v>
      </c>
      <c r="AC199" s="8"/>
      <c r="AD19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199" s="8" t="s">
        <v>459</v>
      </c>
      <c r="AF199" s="8" t="s">
        <v>457</v>
      </c>
      <c r="AG199" s="8" t="s">
        <v>458</v>
      </c>
      <c r="AH199" s="8"/>
      <c r="AI199" s="8">
        <f>(LEN(G199)-LEN(SUBSTITUTE(G199,", ","")))/LEN(", ")-1-(LEN(G199)-LEN(SUBSTITUTE(G199,"必ず","")))/LEN("必ず")</f>
        <v>3</v>
      </c>
      <c r="AJ199" s="8"/>
      <c r="AK199" s="8"/>
      <c r="AL199" s="8"/>
      <c r="AM199" s="8"/>
      <c r="AN199" s="8"/>
    </row>
    <row r="200" spans="1:40" ht="38.25" hidden="1">
      <c r="A200" s="8">
        <v>200</v>
      </c>
      <c r="B200" s="11">
        <v>44971.01332106482</v>
      </c>
      <c r="C200" s="8" t="s">
        <v>452</v>
      </c>
      <c r="D200" s="8" t="s">
        <v>453</v>
      </c>
      <c r="E200" s="8" t="s">
        <v>452</v>
      </c>
      <c r="F200" s="8" t="s">
        <v>454</v>
      </c>
      <c r="G200" s="8" t="str">
        <f>", "&amp;'RAW (公開用)'!F201&amp;", "</f>
        <v xml:space="preserve">, 女性／woman, デミジェンダー, デミAジェンダー, **必ず選んでください**, 女の子／girl, ノンバイナリー, ジェンダーレス, </v>
      </c>
      <c r="H200" s="8"/>
      <c r="I200" s="8" t="str">
        <f>", "&amp;'RAW (公開用)'!H201&amp;", "</f>
        <v xml:space="preserve">, ちゃん, （敬称なし）, くん／君, さん, </v>
      </c>
      <c r="J200" s="8" t="s">
        <v>2335</v>
      </c>
      <c r="K20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（敬称なし）, くん／君, さん,  , </v>
      </c>
      <c r="L200" s="8" t="str">
        <f>", "&amp;'RAW (公開用)'!J201&amp;", "</f>
        <v xml:space="preserve">, Dr.など、職業などにかかわるもの, （敬称なし）, Ms., </v>
      </c>
      <c r="M200" s="8" t="s">
        <v>2335</v>
      </c>
      <c r="N20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（敬称なし）, Ms., , </v>
      </c>
      <c r="O200" s="8" t="str">
        <f>", "&amp;'RAW (公開用)'!L201&amp;", "</f>
        <v xml:space="preserve">, わたし, 自分, 俺, おら, 私（わたし／わたくし）, うち, わし, </v>
      </c>
      <c r="P200" s="8" t="s">
        <v>2335</v>
      </c>
      <c r="Q20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俺, おら, 私（わたし／わたくし）, うち, わし,  , </v>
      </c>
      <c r="R200" s="8" t="str">
        <f>", "&amp;'RAW (公開用)'!N200&amp;", "</f>
        <v xml:space="preserve">, 彼女, </v>
      </c>
      <c r="S200" s="8" t="s">
        <v>2335</v>
      </c>
      <c r="T20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200" s="8" t="str">
        <f>", "&amp;'RAW (公開用)'!P201&amp;", "</f>
        <v xml:space="preserve">, she, </v>
      </c>
      <c r="V200" s="8" t="s">
        <v>455</v>
      </c>
      <c r="W200" s="8" t="str">
        <f>", "&amp;'RAW (公開用)'!R201&amp;", "</f>
        <v xml:space="preserve">, 性暴力, LGBTQ+運動からの排斥, カムアウトできない, デッドネーミング（誤った名前で呼ばれること）, 社会の中でいないことにされる, 家族／かぞくからの無理解, </v>
      </c>
      <c r="X200" s="8" t="s">
        <v>253</v>
      </c>
      <c r="Y20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LGBTQ+運動からの排斥, カムアウトできない, デッドネーミング（誤った名前で呼ばれること）, 社会の中でいないことにされる, 家族／かぞくからの無理解,  宗教内での無理解</v>
      </c>
      <c r="Z200" s="8" t="s">
        <v>455</v>
      </c>
      <c r="AA200" s="8" t="str">
        <f>", "&amp;'RAW (公開用)'!U201&amp;", "</f>
        <v xml:space="preserve">, （上記のどれも希望していない）, </v>
      </c>
      <c r="AB200" s="8" t="str">
        <f>", "&amp;'RAW (公開用)'!V201&amp;", "</f>
        <v xml:space="preserve">, （上記のどれも経験していない）, </v>
      </c>
      <c r="AC200" s="8"/>
      <c r="AD20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00" s="8" t="s">
        <v>462</v>
      </c>
      <c r="AF200" s="8" t="s">
        <v>457</v>
      </c>
      <c r="AG200" s="8" t="s">
        <v>458</v>
      </c>
      <c r="AH200" s="8"/>
      <c r="AI200" s="8">
        <f>(LEN(G200)-LEN(SUBSTITUTE(G200,", ","")))/LEN(", ")-1-(LEN(G200)-LEN(SUBSTITUTE(G200,"必ず","")))/LEN("必ず")</f>
        <v>6</v>
      </c>
      <c r="AJ200" s="8"/>
      <c r="AK200" s="8"/>
      <c r="AL200" s="8"/>
      <c r="AM200" s="8"/>
      <c r="AN200" s="8"/>
    </row>
    <row r="201" spans="1:40" ht="51" hidden="1">
      <c r="A201" s="8">
        <v>201</v>
      </c>
      <c r="B201" s="11">
        <v>44971.015748460646</v>
      </c>
      <c r="C201" s="8" t="s">
        <v>452</v>
      </c>
      <c r="D201" s="8" t="s">
        <v>453</v>
      </c>
      <c r="E201" s="8" t="s">
        <v>452</v>
      </c>
      <c r="F201" s="8" t="s">
        <v>454</v>
      </c>
      <c r="G201" s="8" t="str">
        <f>", "&amp;'RAW (公開用)'!F202&amp;", "</f>
        <v xml:space="preserve">, Xジェンダー, トランスジェンダー, トランスセクシュアル／transsexual, トランス, **必ず選んでください**, トランス*／trans*, X, 両性, ボイ, ポリジェンダー, ノンバイナリー, </v>
      </c>
      <c r="H201" s="8"/>
      <c r="I201" s="8" t="str">
        <f>", "&amp;'RAW (公開用)'!H202&amp;", "</f>
        <v xml:space="preserve">, ちゃん, さん, （時とともに変わる）, くん／君, </v>
      </c>
      <c r="J201" s="8" t="s">
        <v>2335</v>
      </c>
      <c r="K20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（時とともに変わる）, くん／君,  , </v>
      </c>
      <c r="L201" s="8" t="str">
        <f>", "&amp;'RAW (公開用)'!J202&amp;", "</f>
        <v xml:space="preserve">, **英語を日常的に使わない**, Dr.など、職業などにかかわるもの, Mx., </v>
      </c>
      <c r="M201" s="8" t="s">
        <v>2335</v>
      </c>
      <c r="N20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Dr.など、職業などにかかわるもの, Mx., , </v>
      </c>
      <c r="O201" s="8" t="str">
        <f>", "&amp;'RAW (公開用)'!L202&amp;", "</f>
        <v xml:space="preserve">, （時とともに変わる）, 俺, 私（わたし／わたくし）, 僕, </v>
      </c>
      <c r="P201" s="8" t="s">
        <v>2335</v>
      </c>
      <c r="Q20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俺, 私（わたし／わたくし）, 僕,  , </v>
      </c>
      <c r="R201" s="8" t="str">
        <f>", "&amp;'RAW (公開用)'!N201&amp;", "</f>
        <v xml:space="preserve">, 彼女, （自分（たち）の名前）, </v>
      </c>
      <c r="S201" s="8" t="s">
        <v>2335</v>
      </c>
      <c r="T20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201" s="8" t="str">
        <f>", "&amp;'RAW (公開用)'!P202&amp;", "</f>
        <v xml:space="preserve">, he, </v>
      </c>
      <c r="V201" s="8" t="s">
        <v>455</v>
      </c>
      <c r="W201" s="8" t="str">
        <f>", "&amp;'RAW (公開用)'!R202&amp;", "</f>
        <v xml:space="preserve">, 性暴力, デッドネーミング（誤った名前で呼ばれること）, 職場や学校における無理解, 医療における無理解, 家族／かぞくからの無理解, ミスジェンダリング（誤った性別として扱うこと）, カムアウトできない, 社会の中でいないことにされる, トイレなどのジェンダー化されたスペースの使用, </v>
      </c>
      <c r="X201" s="8"/>
      <c r="Y20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デッドネーミング（誤った名前で呼ばれること）, 職場や学校における無理解, 医療における無理解, 家族／かぞくからの無理解, ミスジェンダリング（誤った性別として扱うこと）, カムアウトできない, 社会の中でいないことにされる, トイレなどのジェンダー化されたスペースの使用,  </v>
      </c>
      <c r="Z201" s="8" t="s">
        <v>455</v>
      </c>
      <c r="AA201" s="8" t="str">
        <f>", "&amp;'RAW (公開用)'!U202&amp;", "</f>
        <v xml:space="preserve">, 戸籍名の変更, 戸籍上の性別の変更, ジェンダークリニックの受診, 抗ホルモン療法, ホルモン補充療法（HRT）, 胸部の手術, 性器にかかわる手術, </v>
      </c>
      <c r="AB201" s="8" t="str">
        <f>", "&amp;'RAW (公開用)'!V202&amp;", "</f>
        <v xml:space="preserve">, （上記のどれも経験していない）, </v>
      </c>
      <c r="AC201" s="8"/>
      <c r="AD20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01" s="8" t="s">
        <v>462</v>
      </c>
      <c r="AF201" s="8" t="s">
        <v>457</v>
      </c>
      <c r="AG201" s="8" t="s">
        <v>458</v>
      </c>
      <c r="AH201" s="8"/>
      <c r="AI201" s="8">
        <f>(LEN(G201)-LEN(SUBSTITUTE(G201,", ","")))/LEN(", ")-1-(LEN(G201)-LEN(SUBSTITUTE(G201,"必ず","")))/LEN("必ず")</f>
        <v>10</v>
      </c>
      <c r="AJ201" s="8"/>
      <c r="AK201" s="8"/>
      <c r="AL201" s="8"/>
      <c r="AM201" s="8"/>
      <c r="AN201" s="8"/>
    </row>
    <row r="202" spans="1:40" ht="51" hidden="1">
      <c r="A202" s="8">
        <v>33</v>
      </c>
      <c r="B202" s="11">
        <v>44969.829030682871</v>
      </c>
      <c r="C202" s="8" t="s">
        <v>452</v>
      </c>
      <c r="D202" s="8" t="s">
        <v>453</v>
      </c>
      <c r="E202" s="8" t="s">
        <v>452</v>
      </c>
      <c r="F202" s="8" t="s">
        <v>454</v>
      </c>
      <c r="G202" s="8" t="str">
        <f>", "&amp;'RAW (公開用)'!F34&amp;", "</f>
        <v xml:space="preserve">, 無し, **必ず選んでください**, Aジェンダー／エイジェンダー／アジェンダー／agender, ノンバイナリー, </v>
      </c>
      <c r="H202" s="8" t="s">
        <v>482</v>
      </c>
      <c r="I202" s="8" t="str">
        <f>", "&amp;'RAW (公開用)'!H34&amp;", "</f>
        <v xml:space="preserve">, さん, くん／君, </v>
      </c>
      <c r="J202" s="8" t="s">
        <v>2335</v>
      </c>
      <c r="K20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202" s="8" t="str">
        <f>", "&amp;'RAW (公開用)'!J34&amp;", "</f>
        <v xml:space="preserve">, Mx., </v>
      </c>
      <c r="M202" s="8" t="s">
        <v>2335</v>
      </c>
      <c r="N20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202" s="8" t="str">
        <f>", "&amp;'RAW (公開用)'!L34&amp;", "</f>
        <v xml:space="preserve">, 俺, 僕, 私（わたし／わたくし）, </v>
      </c>
      <c r="P202" s="8" t="s">
        <v>2335</v>
      </c>
      <c r="Q20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僕, 私（わたし／わたくし）,  , </v>
      </c>
      <c r="R202" s="8" t="str">
        <f>", "&amp;'RAW (公開用)'!N202&amp;", "</f>
        <v xml:space="preserve">, 彼, </v>
      </c>
      <c r="S202" s="8" t="s">
        <v>2366</v>
      </c>
      <c r="T20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  , {この/その/あの}+人, 先生,</v>
      </c>
      <c r="U202" s="8" t="str">
        <f>", "&amp;'RAW (公開用)'!P34&amp;", "</f>
        <v xml:space="preserve">, they/them/their/themselves, </v>
      </c>
      <c r="V202" s="8" t="s">
        <v>455</v>
      </c>
      <c r="W202" s="8" t="str">
        <f>", "&amp;'RAW (公開用)'!R34&amp;", "</f>
        <v xml:space="preserve">, デッドネーミング（誤った名前で呼ばれること）, 医療における無理解, ミスジェンダリング（誤った性別として扱うこと）, 職場や学校における無理解, 社会の中でいないことにされる, カムアウトできない, 性暴力, </v>
      </c>
      <c r="X202" s="8" t="s">
        <v>231</v>
      </c>
      <c r="Y20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デッドネーミング（誤った名前で呼ばれること）, 医療における無理解, ミスジェンダリング（誤った性別として扱うこと）, 職場や学校における無理解, 社会の中でいないことにされる, カムアウトできない, 性暴力,  マイノリティ関係以外のイベントや交流会での無理解</v>
      </c>
      <c r="Z202" s="8" t="s">
        <v>455</v>
      </c>
      <c r="AA202" s="8" t="str">
        <f>", "&amp;'RAW (公開用)'!U34&amp;", "</f>
        <v xml:space="preserve">, （上記のどれも希望していない）, </v>
      </c>
      <c r="AB202" s="8" t="str">
        <f>", "&amp;'RAW (公開用)'!V34&amp;", "</f>
        <v xml:space="preserve">, （上記のどれも経験していない）, </v>
      </c>
      <c r="AC202" s="8" t="s">
        <v>375</v>
      </c>
      <c r="AD20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名前の変更により自分の経歴が分断される不安、戸籍の性別を男女どちらかにしかできないので変えてもしっくり来ない</v>
      </c>
      <c r="AE202" s="8" t="s">
        <v>456</v>
      </c>
      <c r="AF202" s="8" t="s">
        <v>457</v>
      </c>
      <c r="AG202" s="8" t="s">
        <v>458</v>
      </c>
      <c r="AH202" s="8"/>
      <c r="AI202" s="8">
        <f>((LEN(G202)-LEN(SUBSTITUTE(G202,", ","")))/LEN(", ")-1-(LEN(G202)-LEN(SUBSTITUTE(G202,"必ず","")))/LEN("必ず"))+(LEN(H202)-LEN(SUBSTITUTE(H202,",","")))</f>
        <v>4</v>
      </c>
      <c r="AJ202" s="8"/>
      <c r="AK202" s="8"/>
      <c r="AL202" s="8"/>
      <c r="AM202" s="8"/>
      <c r="AN202" s="8"/>
    </row>
    <row r="203" spans="1:40" ht="63.75" hidden="1">
      <c r="A203" s="8">
        <v>203</v>
      </c>
      <c r="B203" s="11">
        <v>44971.042087997688</v>
      </c>
      <c r="C203" s="8" t="s">
        <v>452</v>
      </c>
      <c r="D203" s="8" t="s">
        <v>453</v>
      </c>
      <c r="E203" s="8" t="s">
        <v>452</v>
      </c>
      <c r="F203" s="8" t="s">
        <v>454</v>
      </c>
      <c r="G203" s="8" t="str">
        <f>", "&amp;'RAW (公開用)'!F204&amp;", "</f>
        <v xml:space="preserve">, 不明／わからない, トランス*／trans*, ジェンダー・ノンコンフォーミング／gender non-conforming, クエスチョニング, デミガール, トランスフェミニン, **必ず選んでください**, トランスジェンダー, ノンバイナリー, ジェンダークィア, クィア／Queer, </v>
      </c>
      <c r="H203" s="8"/>
      <c r="I203" s="8" t="str">
        <f>", "&amp;'RAW (公開用)'!H204&amp;", "</f>
        <v xml:space="preserve">, さん, （敬称なし）, </v>
      </c>
      <c r="J203" s="8" t="s">
        <v>2335</v>
      </c>
      <c r="K20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203" s="8" t="str">
        <f>", "&amp;'RAW (公開用)'!J204&amp;", "</f>
        <v xml:space="preserve">, Mx., （敬称なし）, </v>
      </c>
      <c r="M203" s="8" t="s">
        <v>2335</v>
      </c>
      <c r="N20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（敬称なし）, , </v>
      </c>
      <c r="O203" s="8" t="str">
        <f>", "&amp;'RAW (公開用)'!L204&amp;", "</f>
        <v xml:space="preserve">, 私（わたし／わたくし）, （一人称の使用を避ける）, 自分, わたし, </v>
      </c>
      <c r="P203" s="8" t="s">
        <v>2335</v>
      </c>
      <c r="Q20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（一人称の使用を避ける）, 自分, わたし,  , </v>
      </c>
      <c r="R203" s="8" t="str">
        <f>", "&amp;'RAW (公開用)'!N203&amp;", "</f>
        <v xml:space="preserve">, （自分（たち）の名前）, （三人称で言及してほしくない）, </v>
      </c>
      <c r="S203" s="8" t="s">
        <v>2335</v>
      </c>
      <c r="T20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03" s="8" t="str">
        <f>", "&amp;'RAW (公開用)'!P204&amp;", "</f>
        <v xml:space="preserve">, they/them/their/themselves, </v>
      </c>
      <c r="V203" s="8" t="s">
        <v>455</v>
      </c>
      <c r="W203" s="8" t="str">
        <f>", "&amp;'RAW (公開用)'!R204&amp;", "</f>
        <v xml:space="preserve">, 必要なジェンダーケアへアクセスできない, 社会の中でいないことにされる, ミスジェンダリング（誤った性別として扱うこと）, 家族／かぞくからの無理解, カムアウトできない, アウティング（勝手にジェンダーや指向についての情報を明かされること）, トイレなどのジェンダー化されたスペースの使用, 職場や学校における無理解, </v>
      </c>
      <c r="X203" s="8"/>
      <c r="Y20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社会の中でいないことにされる, ミスジェンダリング（誤った性別として扱うこと）, 家族／かぞくからの無理解, カムアウトできない, アウティング（勝手にジェンダーや指向についての情報を明かされること）, トイレなどのジェンダー化されたスペースの使用, 職場や学校における無理解,  </v>
      </c>
      <c r="Z203" s="8" t="s">
        <v>455</v>
      </c>
      <c r="AA203" s="8" t="str">
        <f>", "&amp;'RAW (公開用)'!U204&amp;", "</f>
        <v xml:space="preserve">, 抗ホルモン療法, ホルモン補充療法（HRT）, 顔にかかわる手術, </v>
      </c>
      <c r="AB203" s="8" t="str">
        <f>", "&amp;'RAW (公開用)'!V204&amp;", "</f>
        <v xml:space="preserve">, （上記のどれも経験していない）, </v>
      </c>
      <c r="AC203" s="8"/>
      <c r="AD20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03" s="8" t="s">
        <v>462</v>
      </c>
      <c r="AF203" s="8" t="s">
        <v>457</v>
      </c>
      <c r="AG203" s="8" t="s">
        <v>458</v>
      </c>
      <c r="AH203" s="8"/>
      <c r="AI203" s="8">
        <f t="shared" ref="AI203:AI216" si="8">(LEN(G203)-LEN(SUBSTITUTE(G203,", ","")))/LEN(", ")-1-(LEN(G203)-LEN(SUBSTITUTE(G203,"必ず","")))/LEN("必ず")</f>
        <v>10</v>
      </c>
      <c r="AJ203" s="8"/>
      <c r="AK203" s="8"/>
      <c r="AL203" s="8"/>
      <c r="AM203" s="8"/>
      <c r="AN203" s="8"/>
    </row>
    <row r="204" spans="1:40" ht="76.5" hidden="1">
      <c r="A204" s="8">
        <v>204</v>
      </c>
      <c r="B204" s="11">
        <v>44971.069860567135</v>
      </c>
      <c r="C204" s="8" t="s">
        <v>452</v>
      </c>
      <c r="D204" s="8" t="s">
        <v>453</v>
      </c>
      <c r="E204" s="8" t="s">
        <v>452</v>
      </c>
      <c r="F204" s="8" t="s">
        <v>454</v>
      </c>
      <c r="G204" s="8" t="str">
        <f>", "&amp;'RAW (公開用)'!F205&amp;", "</f>
        <v xml:space="preserve">, クィア／Queer, （ジェンダー・）フルイド／（ジェンダー・）フリュイド／（ジェンダー・）フルイッド, バイジェンダー, ジェンダークィア, トランスフェミニン, ニュートラル, 中性, アンドロジャイン／androgyne, ノンバイナリー女性, enby／エンビー, ジェンダーフラックス／フラックスジェンダー, ノンバイナリー, デミジェンダー, クエスチョニング, ジェンダー・ノンコンフォーミング／gender non-conforming, シスジェンダー, ニューロジェンダー／neurogender, </v>
      </c>
      <c r="H204" s="8"/>
      <c r="I204" s="8" t="str">
        <f>", "&amp;'RAW (公開用)'!H205&amp;", "</f>
        <v xml:space="preserve">, ちゃん, さん, （クエスチョニング、模索中、または不明）, </v>
      </c>
      <c r="J204" s="8" t="s">
        <v>2335</v>
      </c>
      <c r="K20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（クエスチョニング、模索中、または不明）,  , </v>
      </c>
      <c r="L204" s="8" t="str">
        <f>", "&amp;'RAW (公開用)'!J205&amp;", "</f>
        <v xml:space="preserve">, （敬称なし）, </v>
      </c>
      <c r="M204" s="8" t="s">
        <v>2335</v>
      </c>
      <c r="N20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204" s="8" t="str">
        <f>", "&amp;'RAW (公開用)'!L205&amp;", "</f>
        <v xml:space="preserve">, わし, </v>
      </c>
      <c r="P204" s="8" t="s">
        <v>2335</v>
      </c>
      <c r="Q20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 </v>
      </c>
      <c r="R204" s="8" t="str">
        <f>", "&amp;'RAW (公開用)'!N204&amp;", "</f>
        <v xml:space="preserve">, （自分（たち）の名前）, 彼人（かのひと）, 彼人（かのと）, </v>
      </c>
      <c r="S204" s="8" t="s">
        <v>2335</v>
      </c>
      <c r="T20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彼人（かのひと）, 彼人（かのと）,  , </v>
      </c>
      <c r="U204" s="8" t="str">
        <f>", "&amp;'RAW (公開用)'!P205&amp;", "</f>
        <v xml:space="preserve">, she, **英語を日常的に使わない**, </v>
      </c>
      <c r="V204" s="8" t="s">
        <v>455</v>
      </c>
      <c r="W204" s="8" t="str">
        <f>", "&amp;'RAW (公開用)'!R205&amp;", "</f>
        <v xml:space="preserve">, 社会の中でいないことにされる, 必要なジェンダーケアへアクセスできない, トイレなどのジェンダー化されたスペースの使用, 家族／かぞくからの無理解, 職場や学校における無理解, カムアウトを強制される, カムアウトできない, ミスジェンダリング（誤った性別として扱うこと）, </v>
      </c>
      <c r="X204" s="8"/>
      <c r="Y20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必要なジェンダーケアへアクセスできない, トイレなどのジェンダー化されたスペースの使用, 家族／かぞくからの無理解, 職場や学校における無理解, カムアウトを強制される, カムアウトできない, ミスジェンダリング（誤った性別として扱うこと）,  </v>
      </c>
      <c r="Z204" s="8" t="s">
        <v>455</v>
      </c>
      <c r="AA204" s="8" t="str">
        <f>", "&amp;'RAW (公開用)'!U205&amp;", "</f>
        <v xml:space="preserve">, （上記のどれも希望していない）, </v>
      </c>
      <c r="AB204" s="8" t="str">
        <f>", "&amp;'RAW (公開用)'!V205&amp;", "</f>
        <v xml:space="preserve">, （上記のどれも経験していない）, </v>
      </c>
      <c r="AC204" s="8" t="s">
        <v>321</v>
      </c>
      <c r="AD204"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自分に出来る限り低い声で話すことを、よしとしてほしい</v>
      </c>
      <c r="AE204" s="8" t="s">
        <v>459</v>
      </c>
      <c r="AF204" s="8" t="s">
        <v>481</v>
      </c>
      <c r="AG204" s="8" t="s">
        <v>458</v>
      </c>
      <c r="AH204" s="8" t="s">
        <v>553</v>
      </c>
      <c r="AI204" s="8">
        <f t="shared" si="8"/>
        <v>17</v>
      </c>
      <c r="AJ204" s="8"/>
      <c r="AK204" s="8"/>
      <c r="AL204" s="8"/>
      <c r="AM204" s="8"/>
      <c r="AN204" s="8"/>
    </row>
    <row r="205" spans="1:40" ht="63.75" hidden="1">
      <c r="A205" s="8">
        <v>205</v>
      </c>
      <c r="B205" s="11">
        <v>44971.069980856482</v>
      </c>
      <c r="C205" s="8" t="s">
        <v>452</v>
      </c>
      <c r="D205" s="8" t="s">
        <v>453</v>
      </c>
      <c r="E205" s="8" t="s">
        <v>452</v>
      </c>
      <c r="F205" s="8" t="s">
        <v>454</v>
      </c>
      <c r="G205" s="8" t="str">
        <f>", "&amp;'RAW (公開用)'!F206&amp;", "</f>
        <v xml:space="preserve">, 不定性, Xジェンダー, </v>
      </c>
      <c r="H205" s="8"/>
      <c r="I205" s="8" t="str">
        <f>", "&amp;'RAW (公開用)'!H206&amp;", "</f>
        <v xml:space="preserve">, （any／問わない／どれでもよい）, </v>
      </c>
      <c r="J205" s="8" t="s">
        <v>2335</v>
      </c>
      <c r="K20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05" s="8" t="str">
        <f>", "&amp;'RAW (公開用)'!J206&amp;", "</f>
        <v xml:space="preserve">, **英語を日常的に使わない**, （any／問わない／どれでもよい）, </v>
      </c>
      <c r="M205" s="8" t="s">
        <v>2335</v>
      </c>
      <c r="N20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（any／問わない／どれでもよい）, , </v>
      </c>
      <c r="O205" s="8" t="str">
        <f>", "&amp;'RAW (公開用)'!L206&amp;", "</f>
        <v xml:space="preserve">, おれ, 自分, </v>
      </c>
      <c r="P205" s="8" t="s">
        <v>2335</v>
      </c>
      <c r="Q20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自分,  , </v>
      </c>
      <c r="R205" s="8" t="str">
        <f>", "&amp;'RAW (公開用)'!N205&amp;", "</f>
        <v xml:space="preserve">, 彼女, </v>
      </c>
      <c r="S205" s="8" t="s">
        <v>2335</v>
      </c>
      <c r="T20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205" s="8" t="str">
        <f>", "&amp;'RAW (公開用)'!P206&amp;", "</f>
        <v xml:space="preserve">, any/問わない/どれでもよい, **英語を日常的に使わない**, </v>
      </c>
      <c r="V205" s="8" t="s">
        <v>455</v>
      </c>
      <c r="W205" s="8" t="str">
        <f>", "&amp;'RAW (公開用)'!R206&amp;", "</f>
        <v xml:space="preserve">, 必要なジェンダーケアへアクセスできない, カムアウトを強制される, LGBTQ+運動からの排斥, 社会の中でいないことにされる, </v>
      </c>
      <c r="X205" s="8"/>
      <c r="Y20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カムアウトを強制される, LGBTQ+運動からの排斥, 社会の中でいないことにされる,  </v>
      </c>
      <c r="Z205" s="8" t="s">
        <v>455</v>
      </c>
      <c r="AA205" s="8" t="str">
        <f>", "&amp;'RAW (公開用)'!U206&amp;", "</f>
        <v xml:space="preserve">, （上記のどれも希望していない）, </v>
      </c>
      <c r="AB205" s="8" t="str">
        <f>", "&amp;'RAW (公開用)'!V206&amp;", "</f>
        <v xml:space="preserve">, （上記のどれも経験していない）, </v>
      </c>
      <c r="AC205" s="8"/>
      <c r="AD20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05" s="8" t="s">
        <v>479</v>
      </c>
      <c r="AF205" s="8" t="s">
        <v>457</v>
      </c>
      <c r="AG205" s="8" t="s">
        <v>458</v>
      </c>
      <c r="AH205" s="8" t="s">
        <v>554</v>
      </c>
      <c r="AI205" s="8">
        <f t="shared" si="8"/>
        <v>2</v>
      </c>
      <c r="AJ205" s="8"/>
      <c r="AK205" s="8"/>
      <c r="AL205" s="8"/>
      <c r="AM205" s="8"/>
      <c r="AN205" s="8"/>
    </row>
    <row r="206" spans="1:40" ht="25.5" hidden="1">
      <c r="A206" s="8">
        <v>206</v>
      </c>
      <c r="B206" s="11">
        <v>44971.088621655093</v>
      </c>
      <c r="C206" s="8" t="s">
        <v>452</v>
      </c>
      <c r="D206" s="8" t="s">
        <v>453</v>
      </c>
      <c r="E206" s="8" t="s">
        <v>452</v>
      </c>
      <c r="F206" s="8" t="s">
        <v>454</v>
      </c>
      <c r="G206" s="8" t="str">
        <f>", "&amp;'RAW (公開用)'!F207&amp;", "</f>
        <v xml:space="preserve">, 不明／わからない, **必ず選んでください**, クィア／Queer, ノンバイナリー女性, 女性／woman, クエスチョニング, </v>
      </c>
      <c r="H206" s="8"/>
      <c r="I206" s="8" t="str">
        <f>", "&amp;'RAW (公開用)'!H207&amp;", "</f>
        <v xml:space="preserve">, さん, </v>
      </c>
      <c r="J206" s="8" t="s">
        <v>2335</v>
      </c>
      <c r="K20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06" s="8" t="str">
        <f>", "&amp;'RAW (公開用)'!J207&amp;", "</f>
        <v xml:space="preserve">, **英語を日常的に使わない**, </v>
      </c>
      <c r="M206" s="8" t="s">
        <v>2335</v>
      </c>
      <c r="N20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06" s="8" t="str">
        <f>", "&amp;'RAW (公開用)'!L207&amp;", "</f>
        <v xml:space="preserve">, 俺, わたし, </v>
      </c>
      <c r="P206" s="8" t="s">
        <v>2335</v>
      </c>
      <c r="Q20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わたし,  , </v>
      </c>
      <c r="R206" s="8" t="str">
        <f>", "&amp;'RAW (公開用)'!N206&amp;", "</f>
        <v xml:space="preserve">, （any／問わない／どれでもよい）, </v>
      </c>
      <c r="S206" s="8" t="s">
        <v>2335</v>
      </c>
      <c r="T20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06" s="8" t="str">
        <f>", "&amp;'RAW (公開用)'!P207&amp;", "</f>
        <v xml:space="preserve">, **英語を日常的に使わない**, </v>
      </c>
      <c r="V206" s="8" t="s">
        <v>455</v>
      </c>
      <c r="W206" s="8" t="s">
        <v>2174</v>
      </c>
      <c r="X206" s="8"/>
      <c r="Y20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206" s="8" t="s">
        <v>472</v>
      </c>
      <c r="AA206" s="8" t="s">
        <v>2174</v>
      </c>
      <c r="AB206" s="105" t="s">
        <v>2443</v>
      </c>
      <c r="AC206" s="8"/>
      <c r="AD20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06" s="8" t="s">
        <v>456</v>
      </c>
      <c r="AF206" s="8" t="s">
        <v>457</v>
      </c>
      <c r="AG206" s="8" t="s">
        <v>458</v>
      </c>
      <c r="AH206" s="8"/>
      <c r="AI206" s="8">
        <f t="shared" si="8"/>
        <v>5</v>
      </c>
      <c r="AJ206" s="8"/>
      <c r="AK206" s="8"/>
      <c r="AL206" s="8"/>
      <c r="AM206" s="8"/>
      <c r="AN206" s="8"/>
    </row>
    <row r="207" spans="1:40" ht="409.5" hidden="1">
      <c r="A207" s="8">
        <v>207</v>
      </c>
      <c r="B207" s="11">
        <v>44971.108460671298</v>
      </c>
      <c r="C207" s="8" t="s">
        <v>452</v>
      </c>
      <c r="D207" s="8" t="s">
        <v>453</v>
      </c>
      <c r="E207" s="8" t="s">
        <v>452</v>
      </c>
      <c r="F207" s="8" t="s">
        <v>454</v>
      </c>
      <c r="G207" s="8" t="str">
        <f>", "&amp;'RAW (公開用)'!F208&amp;", "</f>
        <v xml:space="preserve">, ノンバイナリー, バイジェンダー, （ジェンダー・）フルイド／（ジェンダー・）フリュイド／（ジェンダー・）フルイッド, </v>
      </c>
      <c r="H207" s="8" t="s">
        <v>555</v>
      </c>
      <c r="I207" s="8" t="str">
        <f>", "&amp;'RAW (公開用)'!H208&amp;", "</f>
        <v xml:space="preserve">, さん, （敬称なし）, </v>
      </c>
      <c r="J207" s="8" t="s">
        <v>2335</v>
      </c>
      <c r="K20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207" s="8" t="str">
        <f>", "&amp;'RAW (公開用)'!J208&amp;", "</f>
        <v xml:space="preserve">, **英語を日常的に使わない**, </v>
      </c>
      <c r="M207" s="8" t="s">
        <v>2335</v>
      </c>
      <c r="N20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07" s="8" t="str">
        <f>", "&amp;'RAW (公開用)'!L208&amp;", "</f>
        <v xml:space="preserve">, 私（わたし／わたくし）, わたし, （自分（たち）の名前）, 自分, </v>
      </c>
      <c r="P207" s="8" t="s">
        <v>2335</v>
      </c>
      <c r="Q20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（自分（たち）の名前）, 自分,  , </v>
      </c>
      <c r="R207" s="8" t="str">
        <f>", "&amp;'RAW (公開用)'!N207&amp;", "</f>
        <v xml:space="preserve">, 彼人（かのひと）, 彼人（かのと）, （自分（たち）の名前）, </v>
      </c>
      <c r="S207" s="8" t="s">
        <v>2335</v>
      </c>
      <c r="T20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彼人（かのと）, （自分（たち）の名前）,  , </v>
      </c>
      <c r="U207" s="8" t="str">
        <f>", "&amp;'RAW (公開用)'!P208&amp;", "</f>
        <v xml:space="preserve">, **英語を日常的に使わない**, </v>
      </c>
      <c r="V207" s="8" t="s">
        <v>455</v>
      </c>
      <c r="W207" s="8" t="str">
        <f>", "&amp;'RAW (公開用)'!R208&amp;", "</f>
        <v xml:space="preserve">, アウティング（勝手にジェンダーや指向についての情報を明かされること）, 性暴力, カムアウトを強制される, 必要なジェンダーケアへアクセスできない, 社会の中でいないことにされる, LGBTQ+運動からの排斥, ミスジェンダリング（誤った性別として扱うこと）, 職場や学校における無理解, 医療における無理解, トイレなどのジェンダー化されたスペースの使用, カムアウトできない, 家族／かぞくからの無理解, </v>
      </c>
      <c r="X207" s="8" t="s">
        <v>200</v>
      </c>
      <c r="Y20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アウティング（勝手にジェンダーや指向についての情報を明かされること）, 性暴力, カムアウトを強制される, 必要なジェンダーケアへアクセスできない, 社会の中でいないことにされる, LGBTQ+運動からの排斥, ミスジェンダリング（誤った性別として扱うこと）, 職場や学校における無理解, 医療における無理解, トイレなどのジェンダー化されたスペースの使用, カムアウトできない, 家族／かぞくからの無理解,  1.下の名前が女性を想起させる名前である（○○子）ため、ごく親しい間柄でない人や女性として接していない人からは名字で呼ばれたいのに、下の名前で呼んでくる人がいる。初対面では名字しか名乗らないのに下の名前をわざわざたずねたり確認したりしてくる人がいる。
2.異性愛規範に基づいた話題を振られる。私はパンセクシャルであるために苦痛。異性も同性も好きという感覚ではないが、説明してもそれが伝わらない。私にとってすべての人（少なくともこれまで出会った人すべて）は異性（同時に同性）でしかない。
3.女性差別反対に言及すると、女性にミスジェンダリングされる。
4.ユニセックスまたはアンドロジナス、ジェンダーレスな格好をすると、ジロジロ見られたり、駅構内等で女性からぶつかられたり靴を踏まれたりすることが増える。フェミニンな格好の時は男性からよくぶつかられる。
5.カミングアウトした時に「どこが男なのか証明しろ」という圧力がかかる。ペニスがない事や筋力がない事、身長の低さ、声の高さ、しゃべり方、フェミニンな服装等に言及される。
6.夫と法律婚しているため、夫の配偶者＝女性という固定概念の元、ミスジェンダリングされる。
7.幼少期に周囲の大人から、いわゆる男の子らしい興味関心は積極的に肯定されなかった。（ミニカー遊びよりおままごとや人形遊びに誘導されることが多かった）
8.親から大学受験時、「女の子だから資格が取れるところへ進学した方がいい」と理系への進学に消極的に反対された。
9.両親には両親が理解できる範囲でと配慮してカミングアウトしたが、法律婚を期に「治った」と認識されている。
10.いわゆる女性らしい体型（下半身がボリューミー）であることもあり、違和感のないマスキュリンな格好が難しい。
11.持病があり、日常的に″婦人科″に通院しなければならない。
12.″婦人科系″の持病について言及すると、ミスジェンダリングされる。
13.日々の些細な違和（女性社会寄りのコミュニケーションに馴染みきれなかったり、男性社会寄りのコミュニケーションをとったり）から、女性中心のコミュニティ（職場やサークル等）でいじめ・嫌がらせを受けるなどして排除された。
14.男性中心コミュニティでは女王的な扱いを受けるか、お客様扱いされるか、ボスの女扱いされるか、ネタ扱いされるか、いない扱いされるかのどれかしかない。
15.制服がスカートしかなかった。
16.ミスジェンダリングされないために、ジェンダーやノンバイナリーとは何かから説明しなければならない場面がある。
17.職業上の場面等で何か能力的に優れている事を示すと、不快感を露わにされたり、「女性なのにすごいね」と過剰に持ち上げられたりする。
18.汚れる仕事や力仕事を率先してこなそうとすると、遠慮されたり戸惑われたりする。
19.「長」の立場は与えられず、良くて「サブ」や「副」の立場を与えられる。
20.フォーマルな場ではフェミニンな格好以外できない。</v>
      </c>
      <c r="Z207" s="8" t="s">
        <v>455</v>
      </c>
      <c r="AA207" s="8" t="str">
        <f>", "&amp;'RAW (公開用)'!U208&amp;", "</f>
        <v xml:space="preserve">, 戸籍上の性別の変更, （上記のどれも希望していない）, </v>
      </c>
      <c r="AB207" s="8" t="str">
        <f>", "&amp;'RAW (公開用)'!V208&amp;", "</f>
        <v xml:space="preserve">, （上記のどれも経験していない）, </v>
      </c>
      <c r="AC207" s="8" t="s">
        <v>322</v>
      </c>
      <c r="AD20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自分にとってペニスがある状態が自然だが、今のパートナーが望まない（関係が破綻する可能性が高い）であろう事、またペニスを形成したところで射精などの機能が生まれるわけではないので、現時点では希望しない。</v>
      </c>
      <c r="AE207" s="8" t="s">
        <v>456</v>
      </c>
      <c r="AF207" s="8" t="s">
        <v>457</v>
      </c>
      <c r="AG207" s="8" t="s">
        <v>458</v>
      </c>
      <c r="AH207" s="8"/>
      <c r="AI207" s="8">
        <f t="shared" si="8"/>
        <v>3</v>
      </c>
      <c r="AJ207" s="8"/>
      <c r="AK207" s="8"/>
      <c r="AL207" s="8"/>
      <c r="AM207" s="8"/>
      <c r="AN207" s="8"/>
    </row>
    <row r="208" spans="1:40" ht="25.5" hidden="1">
      <c r="A208" s="8">
        <v>208</v>
      </c>
      <c r="B208" s="11">
        <v>44971.125476851856</v>
      </c>
      <c r="C208" s="8" t="s">
        <v>452</v>
      </c>
      <c r="D208" s="8" t="s">
        <v>453</v>
      </c>
      <c r="E208" s="8" t="s">
        <v>452</v>
      </c>
      <c r="F208" s="8" t="s">
        <v>454</v>
      </c>
      <c r="G208" s="8" t="str">
        <f>", "&amp;'RAW (公開用)'!F209&amp;", "</f>
        <v xml:space="preserve">, クィア／Queer, ノンバイナリー, </v>
      </c>
      <c r="H208" s="8"/>
      <c r="I208" s="8" t="str">
        <f>", "&amp;'RAW (公開用)'!H209&amp;", "</f>
        <v xml:space="preserve">, さん, （any／問わない／どれでもよい）, （敬称なし）, </v>
      </c>
      <c r="J208" s="8" t="s">
        <v>2335</v>
      </c>
      <c r="K20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（敬称なし）,  , </v>
      </c>
      <c r="L208" s="8" t="str">
        <f>", "&amp;'RAW (公開用)'!J209&amp;", "</f>
        <v xml:space="preserve">, **英語を日常的に使わない**, </v>
      </c>
      <c r="M208" s="8" t="s">
        <v>2335</v>
      </c>
      <c r="N20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08" s="8" t="str">
        <f>", "&amp;'RAW (公開用)'!L209&amp;", "</f>
        <v xml:space="preserve">, 自分, わたし, </v>
      </c>
      <c r="P208" s="8" t="s">
        <v>2335</v>
      </c>
      <c r="Q20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 </v>
      </c>
      <c r="R208" s="8" t="str">
        <f>", "&amp;'RAW (公開用)'!N208&amp;", "</f>
        <v xml:space="preserve">, 彼女, 彼, （自分（たち）の名前）, </v>
      </c>
      <c r="S208" s="8" t="s">
        <v>2335</v>
      </c>
      <c r="T20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彼, （自分（たち）の名前）,  , </v>
      </c>
      <c r="U208" s="8" t="str">
        <f>", "&amp;'RAW (公開用)'!P209&amp;", "</f>
        <v xml:space="preserve">, **英語を日常的に使わない**, </v>
      </c>
      <c r="V208" s="8" t="s">
        <v>455</v>
      </c>
      <c r="W208" s="8" t="str">
        <f>", "&amp;'RAW (公開用)'!R209&amp;", "</f>
        <v xml:space="preserve">, トイレなどのジェンダー化されたスペースの使用, ミスジェンダリング（誤った性別として扱うこと）, </v>
      </c>
      <c r="X208" s="8"/>
      <c r="Y20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ミスジェンダリング（誤った性別として扱うこと）,  </v>
      </c>
      <c r="Z208" s="8" t="s">
        <v>455</v>
      </c>
      <c r="AA208" s="8" t="str">
        <f>", "&amp;'RAW (公開用)'!U209&amp;", "</f>
        <v xml:space="preserve">, ジェンダークリニックの受診, 胸部の手術, </v>
      </c>
      <c r="AB208" s="8" t="str">
        <f>", "&amp;'RAW (公開用)'!V209&amp;", "</f>
        <v xml:space="preserve">, （上記のどれも経験していない）, </v>
      </c>
      <c r="AC208" s="8"/>
      <c r="AD20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08" s="8" t="s">
        <v>462</v>
      </c>
      <c r="AF208" s="8" t="s">
        <v>457</v>
      </c>
      <c r="AG208" s="8" t="s">
        <v>458</v>
      </c>
      <c r="AH208" s="8"/>
      <c r="AI208" s="8">
        <f t="shared" si="8"/>
        <v>2</v>
      </c>
      <c r="AJ208" s="8"/>
      <c r="AK208" s="8"/>
      <c r="AL208" s="8"/>
      <c r="AM208" s="8"/>
      <c r="AN208" s="8"/>
    </row>
    <row r="209" spans="1:40" ht="27.75" hidden="1">
      <c r="A209" s="8">
        <v>374</v>
      </c>
      <c r="B209" s="11">
        <v>44992.071234745366</v>
      </c>
      <c r="C209" s="8" t="s">
        <v>452</v>
      </c>
      <c r="D209" s="8" t="s">
        <v>453</v>
      </c>
      <c r="E209" s="8" t="s">
        <v>452</v>
      </c>
      <c r="F209" s="8" t="s">
        <v>454</v>
      </c>
      <c r="G209" s="8" t="str">
        <f>", "&amp;'RAW (公開用)'!F375&amp;", "</f>
        <v xml:space="preserve">, 無し, X, 不明／わからない, **必ず選んでください**, 無性, Xジェンダー, </v>
      </c>
      <c r="H209" s="8" t="s">
        <v>618</v>
      </c>
      <c r="I209" s="8" t="str">
        <f>", "&amp;'RAW (公開用)'!H375&amp;", "</f>
        <v xml:space="preserve">, （any／問わない／どれでもよい）, </v>
      </c>
      <c r="J209" s="8" t="s">
        <v>2335</v>
      </c>
      <c r="K20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09" s="8" t="str">
        <f>", "&amp;'RAW (公開用)'!J375&amp;", "</f>
        <v xml:space="preserve">, **英語を日常的に使わない**, </v>
      </c>
      <c r="M209" s="8" t="s">
        <v>2335</v>
      </c>
      <c r="N20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09" s="8" t="str">
        <f>", "&amp;'RAW (公開用)'!L375&amp;", "</f>
        <v xml:space="preserve">, 僕, 自分, 私（わたし／わたくし）, 俺, ぼく, </v>
      </c>
      <c r="P209" s="17" t="s">
        <v>2395</v>
      </c>
      <c r="Q20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僕, 自分, 私（わたし／わたくし）, 俺, ぼく,  , (あだ名)+くん,</v>
      </c>
      <c r="R209" s="8" t="str">
        <f>", "&amp;'RAW (公開用)'!N209&amp;", "</f>
        <v xml:space="preserve">, （自分（たち）の名前）, </v>
      </c>
      <c r="S209" s="8" t="s">
        <v>2355</v>
      </c>
      <c r="T20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209" s="8" t="str">
        <f>", "&amp;'RAW (公開用)'!P375&amp;", "</f>
        <v xml:space="preserve">, **英語を日常的に使わない**, </v>
      </c>
      <c r="V209" s="8" t="s">
        <v>455</v>
      </c>
      <c r="W209" s="8" t="str">
        <f>", "&amp;'RAW (公開用)'!R375&amp;", "</f>
        <v xml:space="preserve">, カムアウトできない, 社会の中でいないことにされる, </v>
      </c>
      <c r="X209" s="8" t="s">
        <v>289</v>
      </c>
      <c r="Y20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カムアウトできない, 社会の中でいないことにされる,  見た目を無性っぽくしないと勘違い扱いされる</v>
      </c>
      <c r="Z209" s="8" t="s">
        <v>455</v>
      </c>
      <c r="AA209" s="8" t="str">
        <f>", "&amp;'RAW (公開用)'!U375&amp;", "</f>
        <v xml:space="preserve">, 胸部の手術, 性器にかかわる手術, </v>
      </c>
      <c r="AB209" s="8" t="str">
        <f>", "&amp;'RAW (公開用)'!V375&amp;", "</f>
        <v xml:space="preserve">, 胸部の手術, </v>
      </c>
      <c r="AC209" s="8"/>
      <c r="AD209" s="8" t="str">
        <f>テーブル1[[#This Row],[以下のうち、経験したものをすべて選んでください]]&amp;" "&amp;テーブル1[[#This Row],[社会的、法的、医学的トランジションについて、困難なこと等がありましたらここにお書きください]]</f>
        <v xml:space="preserve">, 胸部の手術,  </v>
      </c>
      <c r="AE209" s="8" t="s">
        <v>459</v>
      </c>
      <c r="AF209" s="8" t="s">
        <v>457</v>
      </c>
      <c r="AG209" s="8" t="s">
        <v>458</v>
      </c>
      <c r="AH209" s="8"/>
      <c r="AI209" s="8">
        <f t="shared" si="8"/>
        <v>5</v>
      </c>
      <c r="AJ209" s="8"/>
      <c r="AK209" s="8"/>
      <c r="AL209" s="8"/>
      <c r="AM209" s="8"/>
      <c r="AN209" s="8"/>
    </row>
    <row r="210" spans="1:40" ht="51" hidden="1">
      <c r="A210" s="8">
        <v>430</v>
      </c>
      <c r="B210" s="11">
        <v>44994.876417418986</v>
      </c>
      <c r="C210" s="8" t="s">
        <v>452</v>
      </c>
      <c r="D210" s="8" t="s">
        <v>453</v>
      </c>
      <c r="E210" s="8" t="s">
        <v>452</v>
      </c>
      <c r="F210" s="8" t="s">
        <v>454</v>
      </c>
      <c r="G210" s="8" t="str">
        <f>", "&amp;'RAW (公開用)'!F431&amp;", "</f>
        <v xml:space="preserve">, **必ず選んでください**, 無性, ノンバイナリー, </v>
      </c>
      <c r="H210" s="8" t="s">
        <v>638</v>
      </c>
      <c r="I210" s="8" t="str">
        <f>", "&amp;'RAW (公開用)'!H431&amp;", "</f>
        <v xml:space="preserve">, さん, </v>
      </c>
      <c r="J210" s="73" t="s">
        <v>2337</v>
      </c>
      <c r="K21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さん,  , 氏,</v>
      </c>
      <c r="L210" s="8" t="str">
        <f>", "&amp;'RAW (公開用)'!J431&amp;", "</f>
        <v xml:space="preserve">, **英語を日常的に使わない**, </v>
      </c>
      <c r="M210" s="8" t="s">
        <v>2335</v>
      </c>
      <c r="N21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10" s="8" t="str">
        <f>", "&amp;'RAW (公開用)'!L431&amp;", "</f>
        <v xml:space="preserve">, 自分, 私（わたし／わたくし）, （一人称の使用を避ける）, 僕, </v>
      </c>
      <c r="P210" s="8" t="s">
        <v>2335</v>
      </c>
      <c r="Q21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（一人称の使用を避ける）, 僕,  , </v>
      </c>
      <c r="R210" s="8" t="s">
        <v>2174</v>
      </c>
      <c r="S210" s="8" t="s">
        <v>2355</v>
      </c>
      <c r="T21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{この/その/あの}+人,</v>
      </c>
      <c r="U210" s="8" t="str">
        <f>", "&amp;'RAW (公開用)'!P431&amp;", "</f>
        <v xml:space="preserve">, **英語を日常的に使わない**, </v>
      </c>
      <c r="V210" s="8" t="s">
        <v>455</v>
      </c>
      <c r="W210" s="8" t="str">
        <f>", "&amp;'RAW (公開用)'!R431&amp;", "</f>
        <v xml:space="preserve">, 職場や学校における無理解, LGBTQ+運動からの排斥, トイレなどのジェンダー化されたスペースの使用, 医療における無理解, 必要なジェンダーケアへアクセスできない, ミスジェンダリング（誤った性別として扱うこと）, デッドネーミング（誤った名前で呼ばれること）, カムアウトを強制される, </v>
      </c>
      <c r="X210" s="8"/>
      <c r="Y21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LGBTQ+運動からの排斥, トイレなどのジェンダー化されたスペースの使用, 医療における無理解, 必要なジェンダーケアへアクセスできない, ミスジェンダリング（誤った性別として扱うこと）, デッドネーミング（誤った名前で呼ばれること）, カムアウトを強制される,  </v>
      </c>
      <c r="Z210" s="8" t="s">
        <v>455</v>
      </c>
      <c r="AA210" s="8" t="str">
        <f>", "&amp;'RAW (公開用)'!U431&amp;", "</f>
        <v xml:space="preserve">, 戸籍名の変更, 戸籍上の性別の変更, ジェンダークリニックの受診, ホルモン補充療法（HRT）, 胸部の手術, 性器にかかわる手術, </v>
      </c>
      <c r="AB210" s="8" t="str">
        <f>", "&amp;'RAW (公開用)'!V431&amp;", "</f>
        <v xml:space="preserve">, 戸籍名の変更, 戸籍上の性別の変更, ジェンダークリニックの受診, ホルモン補充療法（HRT）, 胸部の手術, 性器にかかわる手術, </v>
      </c>
      <c r="AC210" s="8" t="s">
        <v>347</v>
      </c>
      <c r="AD210" s="8" t="str">
        <f>テーブル1[[#This Row],[以下のうち、経験したものをすべて選んでください]]&amp;" "&amp;テーブル1[[#This Row],[社会的、法的、医学的トランジションについて、困難なこと等がありましたらここにお書きください]]</f>
        <v>, 戸籍名の変更, 戸籍上の性別の変更, ジェンダークリニックの受診, ホルモン補充療法（HRT）, 胸部の手術, 性器にかかわる手術,  手術の身体的・金銭的負荷が大きい</v>
      </c>
      <c r="AE210" s="8" t="s">
        <v>459</v>
      </c>
      <c r="AF210" s="8" t="s">
        <v>457</v>
      </c>
      <c r="AG210" s="8" t="s">
        <v>458</v>
      </c>
      <c r="AH210" s="8"/>
      <c r="AI210" s="8">
        <f t="shared" si="8"/>
        <v>2</v>
      </c>
      <c r="AJ210" s="8"/>
      <c r="AK210" s="8"/>
      <c r="AL210" s="8"/>
      <c r="AM210" s="8"/>
      <c r="AN210" s="8"/>
    </row>
    <row r="211" spans="1:40" ht="63.75" hidden="1">
      <c r="A211" s="8">
        <v>211</v>
      </c>
      <c r="B211" s="11">
        <v>44971.337890694442</v>
      </c>
      <c r="C211" s="8" t="s">
        <v>452</v>
      </c>
      <c r="D211" s="8" t="s">
        <v>453</v>
      </c>
      <c r="E211" s="8" t="s">
        <v>452</v>
      </c>
      <c r="F211" s="8" t="s">
        <v>454</v>
      </c>
      <c r="G211" s="8" t="str">
        <f>", "&amp;'RAW (公開用)'!F212&amp;", "</f>
        <v xml:space="preserve">, トランス*／trans*, トランス, クィア／Queer, 不明／わからない, 女性／woman, Aジェンダー／エイジェンダー／アジェンダー／agender, トランスフェミニン, トランスセクシュアル／transsexual, トランス女性, **必ず選んでください**, </v>
      </c>
      <c r="H211" s="8"/>
      <c r="I211" s="8" t="str">
        <f>", "&amp;'RAW (公開用)'!H212&amp;", "</f>
        <v xml:space="preserve">, ちゃん, さん, </v>
      </c>
      <c r="J211" s="8" t="s">
        <v>2335</v>
      </c>
      <c r="K21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211" s="8" t="str">
        <f>", "&amp;'RAW (公開用)'!J212&amp;", "</f>
        <v xml:space="preserve">, Ms., -san, **英語を日常的に使わない**, </v>
      </c>
      <c r="M211" s="8" t="s">
        <v>2335</v>
      </c>
      <c r="N21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-san, **英語を日常的に使わない**, , </v>
      </c>
      <c r="O211" s="8" t="str">
        <f>", "&amp;'RAW (公開用)'!L212&amp;", "</f>
        <v xml:space="preserve">, うち, 自分, わたし, </v>
      </c>
      <c r="P211" s="8" t="s">
        <v>2335</v>
      </c>
      <c r="Q21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自分, わたし,  , </v>
      </c>
      <c r="R211" s="8" t="s">
        <v>2174</v>
      </c>
      <c r="S211" s="8" t="s">
        <v>2335</v>
      </c>
      <c r="T21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211" s="8" t="str">
        <f>", "&amp;'RAW (公開用)'!P212&amp;", "</f>
        <v xml:space="preserve">, she, **英語を日常的に使わない**, </v>
      </c>
      <c r="V211" s="8" t="s">
        <v>455</v>
      </c>
      <c r="W211" s="8" t="str">
        <f>", "&amp;'RAW (公開用)'!R212&amp;", "</f>
        <v xml:space="preserve">, 社会の中でいないことにされる, 職場や学校における無理解, ミスジェンダリング（誤った性別として扱うこと）, 性暴力, デッドネーミング（誤った名前で呼ばれること）, 必要なジェンダーケアへアクセスできない, 家族／かぞくからの無理解, 医療における無理解, トイレなどのジェンダー化されたスペースの使用, カムアウトできない, </v>
      </c>
      <c r="X211" s="8"/>
      <c r="Y21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職場や学校における無理解, ミスジェンダリング（誤った性別として扱うこと）, 性暴力, デッドネーミング（誤った名前で呼ばれること）, 必要なジェンダーケアへアクセスできない, 家族／かぞくからの無理解, 医療における無理解, トイレなどのジェンダー化されたスペースの使用, カムアウトできない,  </v>
      </c>
      <c r="Z211" s="8" t="s">
        <v>455</v>
      </c>
      <c r="AA211" s="8" t="str">
        <f>", "&amp;'RAW (公開用)'!U212&amp;", "</f>
        <v xml:space="preserve">, ジェンダークリニックの受診, 抗ホルモン療法, ホルモン補充療法（HRT）, </v>
      </c>
      <c r="AB211" s="8" t="str">
        <f>", "&amp;'RAW (公開用)'!V212&amp;", "</f>
        <v xml:space="preserve">, ジェンダークリニックの受診, 抗ホルモン療法, ホルモン補充療法（HRT）, </v>
      </c>
      <c r="AC211" s="8"/>
      <c r="AD211"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抗ホルモン療法, ホルモン補充療法（HRT）,  </v>
      </c>
      <c r="AE211" s="8" t="s">
        <v>459</v>
      </c>
      <c r="AF211" s="8" t="s">
        <v>457</v>
      </c>
      <c r="AG211" s="8" t="s">
        <v>458</v>
      </c>
      <c r="AH211" s="8"/>
      <c r="AI211" s="8">
        <f t="shared" si="8"/>
        <v>9</v>
      </c>
      <c r="AJ211" s="8"/>
      <c r="AK211" s="8"/>
      <c r="AL211" s="8"/>
      <c r="AM211" s="8"/>
      <c r="AN211" s="8"/>
    </row>
    <row r="212" spans="1:40" ht="25.5" hidden="1">
      <c r="A212" s="8">
        <v>212</v>
      </c>
      <c r="B212" s="11">
        <v>44971.372301354168</v>
      </c>
      <c r="C212" s="8" t="s">
        <v>452</v>
      </c>
      <c r="D212" s="8" t="s">
        <v>453</v>
      </c>
      <c r="E212" s="8" t="s">
        <v>452</v>
      </c>
      <c r="F212" s="8" t="s">
        <v>454</v>
      </c>
      <c r="G212" s="8" t="str">
        <f>", "&amp;'RAW (公開用)'!F213&amp;", "</f>
        <v xml:space="preserve">, ノンバイナリー女性, </v>
      </c>
      <c r="H212" s="8"/>
      <c r="I212" s="8" t="str">
        <f>", "&amp;'RAW (公開用)'!H213&amp;", "</f>
        <v xml:space="preserve">, さん, </v>
      </c>
      <c r="J212" s="8" t="s">
        <v>2335</v>
      </c>
      <c r="K21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12" s="8" t="str">
        <f>", "&amp;'RAW (公開用)'!J213&amp;", "</f>
        <v xml:space="preserve">, **英語を日常的に使わない**, </v>
      </c>
      <c r="M212" s="8" t="s">
        <v>2335</v>
      </c>
      <c r="N21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12" s="8" t="str">
        <f>", "&amp;'RAW (公開用)'!L213&amp;", "</f>
        <v xml:space="preserve">, わたし, </v>
      </c>
      <c r="P212" s="8" t="s">
        <v>2335</v>
      </c>
      <c r="Q21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212" s="8" t="str">
        <f>", "&amp;'RAW (公開用)'!N212&amp;", "</f>
        <v xml:space="preserve">, （自分（たち）の名前）, 彼女, </v>
      </c>
      <c r="S212" s="8" t="s">
        <v>2335</v>
      </c>
      <c r="T21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212" s="8" t="str">
        <f>", "&amp;'RAW (公開用)'!P213&amp;", "</f>
        <v xml:space="preserve">, **英語を日常的に使わない**, </v>
      </c>
      <c r="V212" s="8" t="s">
        <v>455</v>
      </c>
      <c r="W212" s="8" t="str">
        <f>", "&amp;'RAW (公開用)'!R213&amp;", "</f>
        <v xml:space="preserve">, 性暴力, カムアウトできない, 必要なジェンダーケアへアクセスできない, 社会の中でいないことにされる, LGBTQ+運動からの排斥, </v>
      </c>
      <c r="X212" s="8"/>
      <c r="Y21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カムアウトできない, 必要なジェンダーケアへアクセスできない, 社会の中でいないことにされる, LGBTQ+運動からの排斥,  </v>
      </c>
      <c r="Z212" s="8" t="s">
        <v>455</v>
      </c>
      <c r="AA212" s="8" t="str">
        <f>", "&amp;'RAW (公開用)'!U213&amp;", "</f>
        <v xml:space="preserve">, （上記のどれも希望していない）, </v>
      </c>
      <c r="AB212" s="8" t="str">
        <f>", "&amp;'RAW (公開用)'!V213&amp;", "</f>
        <v xml:space="preserve">, （上記のどれも経験していない）, </v>
      </c>
      <c r="AC212" s="8"/>
      <c r="AD21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12" s="8" t="s">
        <v>474</v>
      </c>
      <c r="AF212" s="8" t="s">
        <v>457</v>
      </c>
      <c r="AG212" s="8" t="s">
        <v>458</v>
      </c>
      <c r="AH212" s="8"/>
      <c r="AI212" s="8">
        <f t="shared" si="8"/>
        <v>1</v>
      </c>
      <c r="AJ212" s="8"/>
      <c r="AK212" s="8"/>
      <c r="AL212" s="8"/>
      <c r="AM212" s="8"/>
      <c r="AN212" s="8"/>
    </row>
    <row r="213" spans="1:40" ht="178.5" hidden="1">
      <c r="A213" s="8">
        <v>145</v>
      </c>
      <c r="B213" s="11">
        <v>44970.714842071757</v>
      </c>
      <c r="C213" s="8" t="s">
        <v>452</v>
      </c>
      <c r="D213" s="8" t="s">
        <v>453</v>
      </c>
      <c r="E213" s="8" t="s">
        <v>452</v>
      </c>
      <c r="F213" s="8" t="s">
        <v>454</v>
      </c>
      <c r="G213" s="8" t="str">
        <f>", "&amp;'RAW (公開用)'!F146&amp;", "</f>
        <v xml:space="preserve">, 少年, 男の子／boy, クィア／Queer, おかま, 不明／わからない, シスジェンダー, **必ず選んでください**, 男性／man, ゲイ（ジェンダーについて）, 青年, </v>
      </c>
      <c r="H213" s="8"/>
      <c r="I213" s="8" t="str">
        <f>", "&amp;'RAW (公開用)'!H146&amp;", "</f>
        <v xml:space="preserve">, さん, くん／君, </v>
      </c>
      <c r="J213" s="8" t="s">
        <v>2335</v>
      </c>
      <c r="K21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213" s="8" t="str">
        <f>", "&amp;'RAW (公開用)'!J146&amp;", "</f>
        <v xml:space="preserve">, -san, （敬称なし）, </v>
      </c>
      <c r="M213" s="8" t="s">
        <v>2335</v>
      </c>
      <c r="N21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213" s="8" t="str">
        <f>", "&amp;'RAW (公開用)'!L146&amp;", "</f>
        <v xml:space="preserve">, うち, ぼく, わたし, 俺, おら, 自分, おれ, 僕, 私（わたし／わたくし）, （時とともに変わる）, </v>
      </c>
      <c r="P213" s="16" t="s">
        <v>2394</v>
      </c>
      <c r="Q21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うち, ぼく, わたし, 俺, おら, 自分, おれ, 僕, 私（わたし／わたくし）, （時とともに変わる）,  , ワイ,</v>
      </c>
      <c r="R213" s="8" t="str">
        <f>", "&amp;'RAW (公開用)'!N213&amp;", "</f>
        <v xml:space="preserve">, （自分（たち）の名前）, </v>
      </c>
      <c r="S213" s="8" t="s">
        <v>2335</v>
      </c>
      <c r="T21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13" s="8" t="str">
        <f>", "&amp;'RAW (公開用)'!P146&amp;", "</f>
        <v xml:space="preserve">, they/them/their/themselves, </v>
      </c>
      <c r="V213" s="8" t="s">
        <v>455</v>
      </c>
      <c r="W213" s="8" t="str">
        <f>", "&amp;'RAW (公開用)'!R146&amp;", "</f>
        <v xml:space="preserve">, 家族／かぞくからの無理解, アウティング（勝手にジェンダーや指向についての情報を明かされること）, 必要なジェンダーケアへアクセスできない, カムアウトできない, トイレなどのジェンダー化されたスペースの使用, カムアウトを強制される, 職場や学校における無理解, 社会の中でいないことにされる, </v>
      </c>
      <c r="X213" s="8" t="s">
        <v>275</v>
      </c>
      <c r="Y21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家族／かぞくからの無理解, アウティング（勝手にジェンダーや指向についての情報を明かされること）, 必要なジェンダーケアへアクセスできない, カムアウトできない, トイレなどのジェンダー化されたスペースの使用, カムアウトを強制される, 職場や学校における無理解, 社会の中でいないことにされる,  男女二元論かつヘテロセクシャルが前提の就労環境にしか恵まれず、現在、無職・生活保護を利用している。同時に、心疾患を患ったため、療養中にあり、現在は休職活動を行なっていないが、回復後、就職活動を行う予定である。しかし、この際に、ジェンダー・セクシャリティの問題が、大きな壁となり、また、それを乗り越えられる支援団体と繋がれていない状況にある。この状況なので、常に孤立感・将来への不安を感じている。また、何よりも、無事にその壁を乗り越え、再雇用に結びついたとしても、雇用形態の不安定さ・満足のいく収入・本当にその職場が安心できる環境なのか等、さまざまな不安要素が待ち構えており、心身の回復や自信のアイデンティティを認められるようになるまでに時間がかかると思っている。</v>
      </c>
      <c r="Z213" s="8" t="s">
        <v>455</v>
      </c>
      <c r="AA213" s="8" t="str">
        <f>", "&amp;'RAW (公開用)'!U146&amp;", "</f>
        <v xml:space="preserve">, ジェンダークリニックの受診, 顔にかかわる手術, </v>
      </c>
      <c r="AB213" s="8" t="str">
        <f>", "&amp;'RAW (公開用)'!V146&amp;", "</f>
        <v xml:space="preserve">, 顔にかかわる手術, </v>
      </c>
      <c r="AC213" s="8" t="s">
        <v>344</v>
      </c>
      <c r="AD213" s="8" t="str">
        <f>テーブル1[[#This Row],[以下のうち、経験したものをすべて選んでください]]&amp;" "&amp;テーブル1[[#This Row],[社会的、法的、医学的トランジションについて、困難なこと等がありましたらここにお書きください]]</f>
        <v>, 顔にかかわる手術,  整形にかかる費用を捻出できない事。強迫観念があり、整形が医学的な観点から心身の再生に必要であると判断される等した場合は、保険治療で施術を受けられるようにして欲しい。</v>
      </c>
      <c r="AE213" s="8" t="s">
        <v>456</v>
      </c>
      <c r="AF213" s="8" t="s">
        <v>457</v>
      </c>
      <c r="AG213" s="8" t="s">
        <v>458</v>
      </c>
      <c r="AH213" s="8" t="s">
        <v>533</v>
      </c>
      <c r="AI213" s="8">
        <f t="shared" si="8"/>
        <v>9</v>
      </c>
      <c r="AJ213" s="8"/>
      <c r="AK213" s="8"/>
      <c r="AL213" s="8"/>
      <c r="AM213" s="8"/>
      <c r="AN213" s="8"/>
    </row>
    <row r="214" spans="1:40" ht="38.25" hidden="1">
      <c r="A214" s="8">
        <v>214</v>
      </c>
      <c r="B214" s="11">
        <v>44971.429066018522</v>
      </c>
      <c r="C214" s="8" t="s">
        <v>452</v>
      </c>
      <c r="D214" s="8" t="s">
        <v>453</v>
      </c>
      <c r="E214" s="8" t="s">
        <v>452</v>
      </c>
      <c r="F214" s="8" t="s">
        <v>454</v>
      </c>
      <c r="G214" s="8" t="str">
        <f>", "&amp;'RAW (公開用)'!F215&amp;", "</f>
        <v xml:space="preserve">, ノンバイナリー, Xジェンダー, クィア／Queer, **必ず選んでください**, Aジェンダー／エイジェンダー／アジェンダー／agender, </v>
      </c>
      <c r="H214" s="8"/>
      <c r="I214" s="8" t="str">
        <f>", "&amp;'RAW (公開用)'!H215&amp;", "</f>
        <v xml:space="preserve">, （クエスチョニング、模索中、または不明）, （敬称なし）, さん, </v>
      </c>
      <c r="J214" s="8" t="s">
        <v>2335</v>
      </c>
      <c r="K21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（敬称なし）, さん,  , </v>
      </c>
      <c r="L214" s="8" t="str">
        <f>", "&amp;'RAW (公開用)'!J215&amp;", "</f>
        <v xml:space="preserve">, **英語を日常的に使わない**, </v>
      </c>
      <c r="M214" s="8" t="s">
        <v>2335</v>
      </c>
      <c r="N21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14" s="8" t="str">
        <f>", "&amp;'RAW (公開用)'!L215&amp;", "</f>
        <v xml:space="preserve">, （時とともに変わる）, うち, 私（わたし／わたくし）, 俺, （自分（たち）の名前）, あたし, 自分, </v>
      </c>
      <c r="P214" s="8" t="s">
        <v>2335</v>
      </c>
      <c r="Q21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うち, 私（わたし／わたくし）, 俺, （自分（たち）の名前）, あたし, 自分,  , </v>
      </c>
      <c r="R214" s="8" t="str">
        <f>", "&amp;'RAW (公開用)'!N214&amp;", "</f>
        <v xml:space="preserve">, （自分（たち）の名前）, </v>
      </c>
      <c r="S214" s="8" t="s">
        <v>2335</v>
      </c>
      <c r="T21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14" s="8" t="str">
        <f>", "&amp;'RAW (公開用)'!P215&amp;", "</f>
        <v xml:space="preserve">, **英語を日常的に使わない**, </v>
      </c>
      <c r="V214" s="8" t="s">
        <v>455</v>
      </c>
      <c r="W214" s="8" t="str">
        <f>", "&amp;'RAW (公開用)'!R215&amp;", "</f>
        <v xml:space="preserve">, 職場や学校における無理解, ミスジェンダリング（誤った性別として扱うこと）, 社会の中でいないことにされる, 必要なジェンダーケアへアクセスできない, カムアウトできない, </v>
      </c>
      <c r="X214" s="8"/>
      <c r="Y21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ミスジェンダリング（誤った性別として扱うこと）, 社会の中でいないことにされる, 必要なジェンダーケアへアクセスできない, カムアウトできない,  </v>
      </c>
      <c r="Z214" s="8" t="s">
        <v>455</v>
      </c>
      <c r="AA214" s="8" t="str">
        <f>", "&amp;'RAW (公開用)'!U215&amp;", "</f>
        <v xml:space="preserve">, 胸部の手術, 性器にかかわる手術, </v>
      </c>
      <c r="AB214" s="8" t="str">
        <f>", "&amp;'RAW (公開用)'!V215&amp;", "</f>
        <v xml:space="preserve">, （上記のどれも経験していない）, </v>
      </c>
      <c r="AC214" s="8"/>
      <c r="AD21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14" s="8" t="s">
        <v>462</v>
      </c>
      <c r="AF214" s="8" t="s">
        <v>457</v>
      </c>
      <c r="AG214" s="8" t="s">
        <v>458</v>
      </c>
      <c r="AH214" s="8"/>
      <c r="AI214" s="8">
        <f t="shared" si="8"/>
        <v>4</v>
      </c>
      <c r="AJ214" s="8"/>
      <c r="AK214" s="8"/>
      <c r="AL214" s="8"/>
      <c r="AM214" s="8"/>
      <c r="AN214" s="8"/>
    </row>
    <row r="215" spans="1:40" ht="25.5" hidden="1">
      <c r="A215" s="8">
        <v>215</v>
      </c>
      <c r="B215" s="11">
        <v>44971.44354216435</v>
      </c>
      <c r="C215" s="8" t="s">
        <v>452</v>
      </c>
      <c r="D215" s="8" t="s">
        <v>453</v>
      </c>
      <c r="E215" s="8" t="s">
        <v>452</v>
      </c>
      <c r="F215" s="8" t="s">
        <v>454</v>
      </c>
      <c r="G215" s="8" t="str">
        <f>", "&amp;'RAW (公開用)'!F216&amp;", "</f>
        <v xml:space="preserve">, トランスジェンダー, **必ず選んでください**, （ジェンダー・）フルイド／（ジェンダー・）フリュイド／（ジェンダー・）フルイッド, ノンバイナリー, </v>
      </c>
      <c r="H215" s="8"/>
      <c r="I215" s="8" t="str">
        <f>", "&amp;'RAW (公開用)'!H216&amp;", "</f>
        <v xml:space="preserve">, （クエスチョニング、模索中、または不明）, さん, </v>
      </c>
      <c r="J215" s="8" t="s">
        <v>2335</v>
      </c>
      <c r="K21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215" s="8" t="str">
        <f>", "&amp;'RAW (公開用)'!J216&amp;", "</f>
        <v xml:space="preserve">, **英語を日常的に使わない**, </v>
      </c>
      <c r="M215" s="8" t="s">
        <v>2335</v>
      </c>
      <c r="N21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15" s="8" t="str">
        <f>", "&amp;'RAW (公開用)'!L216&amp;", "</f>
        <v xml:space="preserve">, 私（わたし／わたくし）, わし, （時とともに変わる）, </v>
      </c>
      <c r="P215" s="8" t="s">
        <v>2335</v>
      </c>
      <c r="Q21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わし, （時とともに変わる）,  , </v>
      </c>
      <c r="R215" s="8" t="str">
        <f>", "&amp;'RAW (公開用)'!N215&amp;", "</f>
        <v xml:space="preserve">, （自分（たち）の名前）, </v>
      </c>
      <c r="S215" s="8" t="s">
        <v>2335</v>
      </c>
      <c r="T21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15" s="8" t="str">
        <f>", "&amp;'RAW (公開用)'!P216&amp;", "</f>
        <v xml:space="preserve">, **英語を日常的に使わない**, </v>
      </c>
      <c r="V215" s="8" t="s">
        <v>455</v>
      </c>
      <c r="W215" s="8" t="str">
        <f>", "&amp;'RAW (公開用)'!R216&amp;", "</f>
        <v xml:space="preserve">, 社会の中でいないことにされる, ミスジェンダリング（誤った性別として扱うこと）, </v>
      </c>
      <c r="X215" s="8"/>
      <c r="Y21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v>
      </c>
      <c r="Z215" s="8" t="s">
        <v>455</v>
      </c>
      <c r="AA215" s="8" t="str">
        <f>", "&amp;'RAW (公開用)'!U216&amp;", "</f>
        <v xml:space="preserve">, （上記のどれも希望していない）, </v>
      </c>
      <c r="AB215" s="8" t="str">
        <f>", "&amp;'RAW (公開用)'!V216&amp;", "</f>
        <v xml:space="preserve">, （上記のどれも経験していない）, </v>
      </c>
      <c r="AC215" s="8"/>
      <c r="AD21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15" s="8" t="s">
        <v>462</v>
      </c>
      <c r="AF215" s="8" t="s">
        <v>457</v>
      </c>
      <c r="AG215" s="8" t="s">
        <v>458</v>
      </c>
      <c r="AH215" s="8"/>
      <c r="AI215" s="8">
        <f t="shared" si="8"/>
        <v>3</v>
      </c>
      <c r="AJ215" s="8"/>
      <c r="AK215" s="8"/>
      <c r="AL215" s="8"/>
      <c r="AM215" s="8"/>
      <c r="AN215" s="8"/>
    </row>
    <row r="216" spans="1:40" ht="25.5" hidden="1">
      <c r="A216" s="8">
        <v>216</v>
      </c>
      <c r="B216" s="11">
        <v>44971.445760752315</v>
      </c>
      <c r="C216" s="8" t="s">
        <v>452</v>
      </c>
      <c r="D216" s="8" t="s">
        <v>453</v>
      </c>
      <c r="E216" s="8" t="s">
        <v>452</v>
      </c>
      <c r="F216" s="8" t="s">
        <v>454</v>
      </c>
      <c r="G216" s="8" t="str">
        <f>", "&amp;'RAW (公開用)'!F217&amp;", "</f>
        <v xml:space="preserve">, クィア／Queer, レズビアン（ジェンダーについて）, ノンバイナリー, ジェンダークィア, **必ず選んでください**, ノンバイナリー女性, クエスチョニング, </v>
      </c>
      <c r="H216" s="8"/>
      <c r="I216" s="8" t="str">
        <f>", "&amp;'RAW (公開用)'!H217&amp;", "</f>
        <v xml:space="preserve">, （時とともに変わる）, （クエスチョニング、模索中、または不明）, さん, </v>
      </c>
      <c r="J216" s="8" t="s">
        <v>2335</v>
      </c>
      <c r="K21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さん,  , </v>
      </c>
      <c r="L216" s="8" t="str">
        <f>", "&amp;'RAW (公開用)'!J217&amp;", "</f>
        <v xml:space="preserve">, **英語を日常的に使わない**, -san, </v>
      </c>
      <c r="M216" s="8" t="s">
        <v>2335</v>
      </c>
      <c r="N21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216" s="8" t="str">
        <f>", "&amp;'RAW (公開用)'!L217&amp;", "</f>
        <v xml:space="preserve">, わし, 自分, 僕, わたし, 俺, </v>
      </c>
      <c r="P216" s="8" t="s">
        <v>2335</v>
      </c>
      <c r="Q21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自分, 僕, わたし, 俺,  , </v>
      </c>
      <c r="R216" s="8" t="str">
        <f>", "&amp;'RAW (公開用)'!N216&amp;", "</f>
        <v xml:space="preserve">, （三人称で言及してほしくない）, </v>
      </c>
      <c r="S216" s="8" t="s">
        <v>2335</v>
      </c>
      <c r="T21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16" s="8" t="str">
        <f>", "&amp;'RAW (公開用)'!P217&amp;", "</f>
        <v xml:space="preserve">, she, **英語を日常的に使わない**, they/them/their/themself, （クエスチョニング、模索中、または不明）, </v>
      </c>
      <c r="V216" s="8" t="s">
        <v>455</v>
      </c>
      <c r="W216" s="8" t="str">
        <f>", "&amp;'RAW (公開用)'!R217&amp;", "</f>
        <v xml:space="preserve">, ミスジェンダリング（誤った性別として扱うこと）, カムアウトできない, </v>
      </c>
      <c r="X216" s="8"/>
      <c r="Y21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v>
      </c>
      <c r="Z216" s="8" t="s">
        <v>455</v>
      </c>
      <c r="AA216" s="8" t="str">
        <f>", "&amp;'RAW (公開用)'!U217&amp;", "</f>
        <v xml:space="preserve">, 胸部の手術, </v>
      </c>
      <c r="AB216" s="8" t="str">
        <f>", "&amp;'RAW (公開用)'!V217&amp;", "</f>
        <v xml:space="preserve">, （上記のどれも経験していない）, </v>
      </c>
      <c r="AC216" s="8"/>
      <c r="AD21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16" s="8" t="s">
        <v>456</v>
      </c>
      <c r="AF216" s="8" t="s">
        <v>457</v>
      </c>
      <c r="AG216" s="8" t="s">
        <v>458</v>
      </c>
      <c r="AH216" s="8"/>
      <c r="AI216" s="8">
        <f t="shared" si="8"/>
        <v>6</v>
      </c>
      <c r="AJ216" s="8"/>
      <c r="AK216" s="8"/>
      <c r="AL216" s="8"/>
      <c r="AM216" s="8"/>
      <c r="AN216" s="8"/>
    </row>
    <row r="217" spans="1:40" ht="51" hidden="1">
      <c r="A217" s="8">
        <v>72</v>
      </c>
      <c r="B217" s="11">
        <v>44969.899374432869</v>
      </c>
      <c r="C217" s="8" t="s">
        <v>452</v>
      </c>
      <c r="D217" s="8" t="s">
        <v>453</v>
      </c>
      <c r="E217" s="8" t="s">
        <v>452</v>
      </c>
      <c r="F217" s="8" t="s">
        <v>454</v>
      </c>
      <c r="G217" s="8" t="str">
        <f>", "&amp;'RAW (公開用)'!F73&amp;", "</f>
        <v xml:space="preserve">, **必ず選んでください**, ノンバイナリー, Aジェンダー／エイジェンダー／アジェンダー／agender, </v>
      </c>
      <c r="H217" s="8"/>
      <c r="I217" s="8" t="str">
        <f>", "&amp;'RAW (公開用)'!H73&amp;", "</f>
        <v xml:space="preserve">, くん／君, さん, </v>
      </c>
      <c r="J217" s="73" t="s">
        <v>2337</v>
      </c>
      <c r="K21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くん／君, さん,  , 氏,</v>
      </c>
      <c r="L217" s="8" t="str">
        <f>", "&amp;'RAW (公開用)'!J73&amp;", "</f>
        <v xml:space="preserve">, -san, **英語を日常的に使わない**, Mx., </v>
      </c>
      <c r="M217" s="8" t="s">
        <v>2335</v>
      </c>
      <c r="N21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**英語を日常的に使わない**, Mx., , </v>
      </c>
      <c r="O217" s="8" t="str">
        <f>", "&amp;'RAW (公開用)'!L73&amp;", "</f>
        <v xml:space="preserve">, おれ, わし, ぼく, 私（わたし／わたくし）, わたくし, （自分（たち）の名前）, （時とともに変わる）, 僕, あたし, 俺, </v>
      </c>
      <c r="P217" s="18" t="s">
        <v>2396</v>
      </c>
      <c r="Q21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おれ, わし, ぼく, 私（わたし／わたくし）, わたくし, （自分（たち）の名前）, （時とともに変わる）, 僕, あたし, 俺,  , あたい, 我, 拙者,</v>
      </c>
      <c r="R217" s="8" t="str">
        <f>", "&amp;'RAW (公開用)'!N217&amp;", "</f>
        <v xml:space="preserve">, （三人称で言及してほしくない）, 彼人（かのひと）, </v>
      </c>
      <c r="S217" s="8" t="s">
        <v>2355</v>
      </c>
      <c r="T21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彼人（かのひと）,  , {この/その/あの}+人,</v>
      </c>
      <c r="U217" s="8" t="str">
        <f>", "&amp;'RAW (公開用)'!P73&amp;", "</f>
        <v xml:space="preserve">, they/them/their/themself, **英語を日常的に使わない**, </v>
      </c>
      <c r="V217" s="8" t="s">
        <v>455</v>
      </c>
      <c r="W217" s="8" t="str">
        <f>", "&amp;'RAW (公開用)'!R73&amp;", "</f>
        <v xml:space="preserve">, 必要なジェンダーケアへアクセスできない, カムアウトできない, ミスジェンダリング（誤った性別として扱うこと）, 家族／かぞくからの無理解, トイレなどのジェンダー化されたスペースの使用, 社会の中でいないことにされる, LGBTQ+運動からの排斥, </v>
      </c>
      <c r="X217" s="8"/>
      <c r="Y21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カムアウトできない, ミスジェンダリング（誤った性別として扱うこと）, 家族／かぞくからの無理解, トイレなどのジェンダー化されたスペースの使用, 社会の中でいないことにされる, LGBTQ+運動からの排斥,  </v>
      </c>
      <c r="Z217" s="8" t="s">
        <v>455</v>
      </c>
      <c r="AA217" s="8" t="str">
        <f>", "&amp;'RAW (公開用)'!U73&amp;", "</f>
        <v xml:space="preserve">, 胸部の手術, </v>
      </c>
      <c r="AB217" s="8" t="str">
        <f>", "&amp;'RAW (公開用)'!V73&amp;", "</f>
        <v xml:space="preserve">, （上記のどれも経験していない）, </v>
      </c>
      <c r="AC217" s="8" t="s">
        <v>357</v>
      </c>
      <c r="AD21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戸籍の性別が男／女しかないため、変更の選択肢が取れない</v>
      </c>
      <c r="AE217" s="8" t="s">
        <v>462</v>
      </c>
      <c r="AF217" s="8" t="s">
        <v>457</v>
      </c>
      <c r="AG217" s="8" t="s">
        <v>458</v>
      </c>
      <c r="AH217" s="8"/>
      <c r="AI217" s="8">
        <f>((LEN(G217)-LEN(SUBSTITUTE(G217,", ","")))/LEN(", ")-1-(LEN(G217)-LEN(SUBSTITUTE(G217,"必ず","")))/LEN("必ず"))+(LEN(H217)-LEN(SUBSTITUTE(H217,",","")))</f>
        <v>2</v>
      </c>
      <c r="AJ217" s="8"/>
      <c r="AK217" s="8"/>
      <c r="AL217" s="8"/>
      <c r="AM217" s="8"/>
      <c r="AN217" s="8"/>
    </row>
    <row r="218" spans="1:40" ht="25.5" hidden="1">
      <c r="A218" s="8">
        <v>218</v>
      </c>
      <c r="B218" s="11">
        <v>44971.517350185182</v>
      </c>
      <c r="C218" s="8" t="s">
        <v>452</v>
      </c>
      <c r="D218" s="8" t="s">
        <v>453</v>
      </c>
      <c r="E218" s="8" t="s">
        <v>452</v>
      </c>
      <c r="F218" s="8" t="s">
        <v>454</v>
      </c>
      <c r="G218" s="8" t="str">
        <f>", "&amp;'RAW (公開用)'!F219&amp;", "</f>
        <v xml:space="preserve">, **必ず選んでください**, トランスマスキュリン, </v>
      </c>
      <c r="H218" s="8"/>
      <c r="I218" s="8" t="str">
        <f>", "&amp;'RAW (公開用)'!H219&amp;", "</f>
        <v xml:space="preserve">, くん／君, さん, </v>
      </c>
      <c r="J218" s="8" t="s">
        <v>2335</v>
      </c>
      <c r="K21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218" s="8" t="str">
        <f>", "&amp;'RAW (公開用)'!J219&amp;", "</f>
        <v xml:space="preserve">, **英語を日常的に使わない**, </v>
      </c>
      <c r="M218" s="8" t="s">
        <v>2335</v>
      </c>
      <c r="N21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18" s="8" t="str">
        <f>", "&amp;'RAW (公開用)'!L219&amp;", "</f>
        <v xml:space="preserve">, （自分（たち）の名前）, 僕, 私（わたし／わたくし）, 俺, （時とともに変わる）, 自分, </v>
      </c>
      <c r="P218" s="8" t="s">
        <v>2335</v>
      </c>
      <c r="Q21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僕, 私（わたし／わたくし）, 俺, （時とともに変わる）, 自分,  , </v>
      </c>
      <c r="R218" s="8" t="str">
        <f>", "&amp;'RAW (公開用)'!N218&amp;", "</f>
        <v xml:space="preserve">, （三人称で言及してほしくない）, （自分（たち）の名前）, </v>
      </c>
      <c r="S218" s="8" t="s">
        <v>2335</v>
      </c>
      <c r="T21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218" s="8" t="str">
        <f>", "&amp;'RAW (公開用)'!P219&amp;", "</f>
        <v xml:space="preserve">, **英語を日常的に使わない**, </v>
      </c>
      <c r="V218" s="8" t="s">
        <v>455</v>
      </c>
      <c r="W218" s="8" t="str">
        <f>", "&amp;'RAW (公開用)'!R219&amp;", "</f>
        <v xml:space="preserve">, ミスジェンダリング（誤った性別として扱うこと）, 職場や学校における無理解, カムアウトできない, </v>
      </c>
      <c r="X218" s="8"/>
      <c r="Y21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職場や学校における無理解, カムアウトできない,  </v>
      </c>
      <c r="Z218" s="8" t="s">
        <v>455</v>
      </c>
      <c r="AA218" s="8" t="str">
        <f>", "&amp;'RAW (公開用)'!U219&amp;", "</f>
        <v xml:space="preserve">, ジェンダークリニックの受診, ホルモン補充療法（HRT）, 胸部の手術, </v>
      </c>
      <c r="AB218" s="8" t="str">
        <f>", "&amp;'RAW (公開用)'!V219&amp;", "</f>
        <v xml:space="preserve">, ジェンダークリニックの受診, </v>
      </c>
      <c r="AC218" s="8"/>
      <c r="AD218"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218" s="8" t="s">
        <v>464</v>
      </c>
      <c r="AF218" s="8" t="s">
        <v>457</v>
      </c>
      <c r="AG218" s="8" t="s">
        <v>458</v>
      </c>
      <c r="AH218" s="8"/>
      <c r="AI218" s="8">
        <f t="shared" ref="AI218:AI236" si="9">(LEN(G218)-LEN(SUBSTITUTE(G218,", ","")))/LEN(", ")-1-(LEN(G218)-LEN(SUBSTITUTE(G218,"必ず","")))/LEN("必ず")</f>
        <v>1</v>
      </c>
      <c r="AJ218" s="8"/>
      <c r="AK218" s="8"/>
      <c r="AL218" s="8"/>
      <c r="AM218" s="8"/>
      <c r="AN218" s="8"/>
    </row>
    <row r="219" spans="1:40" ht="51" hidden="1">
      <c r="A219" s="8">
        <v>202</v>
      </c>
      <c r="B219" s="11">
        <v>44971.017261493056</v>
      </c>
      <c r="C219" s="8" t="s">
        <v>452</v>
      </c>
      <c r="D219" s="8" t="s">
        <v>453</v>
      </c>
      <c r="E219" s="8" t="s">
        <v>452</v>
      </c>
      <c r="F219" s="8" t="s">
        <v>454</v>
      </c>
      <c r="G219" s="8" t="str">
        <f>", "&amp;'RAW (公開用)'!F203&amp;", "</f>
        <v xml:space="preserve">, クィア／Queer, デミガール, ジェンダーレス, ジェンダークィア, 男の子／boy, バイジェンダー, ジェンダーフラックス／フラックスジェンダー, 女の子／girl, （ジェンダー・）フルイド／（ジェンダー・）フリュイド／（ジェンダー・）フルイッド, </v>
      </c>
      <c r="H219" s="8"/>
      <c r="I219" s="8" t="str">
        <f>", "&amp;'RAW (公開用)'!H203&amp;", "</f>
        <v xml:space="preserve">, ちゃん, さん, （敬称なし）, </v>
      </c>
      <c r="J219" s="73" t="s">
        <v>2337</v>
      </c>
      <c r="K21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ちゃん, さん, （敬称なし）,  , 氏,</v>
      </c>
      <c r="L219" s="8" t="str">
        <f>", "&amp;'RAW (公開用)'!J203&amp;", "</f>
        <v xml:space="preserve">, **英語を日常的に使わない**, </v>
      </c>
      <c r="M219" s="8" t="s">
        <v>2335</v>
      </c>
      <c r="N21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19" s="8" t="str">
        <f>", "&amp;'RAW (公開用)'!L203&amp;", "</f>
        <v xml:space="preserve">, わたし, うち, おれ, あたし, 自分, （自分（たち）の名前）, </v>
      </c>
      <c r="P219" s="73" t="s">
        <v>2397</v>
      </c>
      <c r="Q21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うち, おれ, あたし, 自分, （自分（たち）の名前）,  , あだ名,</v>
      </c>
      <c r="R219" s="8" t="str">
        <f>", "&amp;'RAW (公開用)'!N219&amp;", "</f>
        <v xml:space="preserve">, （三人称で言及してほしくない）, </v>
      </c>
      <c r="S219" s="73" t="s">
        <v>2367</v>
      </c>
      <c r="T21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愛称,</v>
      </c>
      <c r="U219" s="8" t="str">
        <f>", "&amp;'RAW (公開用)'!P203&amp;", "</f>
        <v xml:space="preserve">, **英語を日常的に使わない**, </v>
      </c>
      <c r="V219" s="8" t="s">
        <v>455</v>
      </c>
      <c r="W219" s="8" t="str">
        <f>", "&amp;'RAW (公開用)'!R203&amp;", "</f>
        <v xml:space="preserve">, 社会の中でいないことにされる, LGBTQ+運動からの排斥, </v>
      </c>
      <c r="X219" s="8" t="s">
        <v>229</v>
      </c>
      <c r="Y21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LGBTQ+運動からの排斥,  フェミニズムからの排除、同性婚運動からの透明化、BL批判における存在の想定のされてなさ(l LGBTQ+内でもマジョリティからも)</v>
      </c>
      <c r="Z219" s="8" t="s">
        <v>455</v>
      </c>
      <c r="AA219" s="8" t="str">
        <f>", "&amp;'RAW (公開用)'!U203&amp;", "</f>
        <v xml:space="preserve">, （上記のどれも希望していない）, </v>
      </c>
      <c r="AB219" s="8" t="str">
        <f>", "&amp;'RAW (公開用)'!V203&amp;", "</f>
        <v xml:space="preserve">, （上記のどれも経験していない）, </v>
      </c>
      <c r="AC219" s="8"/>
      <c r="AD21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19" s="8" t="s">
        <v>459</v>
      </c>
      <c r="AF219" s="8" t="s">
        <v>457</v>
      </c>
      <c r="AG219" s="8" t="s">
        <v>458</v>
      </c>
      <c r="AH219" s="8"/>
      <c r="AI219" s="8">
        <f t="shared" si="9"/>
        <v>9</v>
      </c>
      <c r="AJ219" s="8"/>
      <c r="AK219" s="8"/>
      <c r="AL219" s="8"/>
      <c r="AM219" s="8"/>
      <c r="AN219" s="8"/>
    </row>
    <row r="220" spans="1:40" ht="191.25" hidden="1">
      <c r="A220" s="8">
        <v>362</v>
      </c>
      <c r="B220" s="11">
        <v>44991.985838819441</v>
      </c>
      <c r="C220" s="8" t="s">
        <v>452</v>
      </c>
      <c r="D220" s="8" t="s">
        <v>453</v>
      </c>
      <c r="E220" s="8" t="s">
        <v>452</v>
      </c>
      <c r="F220" s="8" t="s">
        <v>454</v>
      </c>
      <c r="G220" s="8" t="str">
        <f>", "&amp;'RAW (公開用)'!F363&amp;", "</f>
        <v xml:space="preserve">, クエスチョニング, 不定性, 青年, 両性, 中性, ノンバイナリー, </v>
      </c>
      <c r="H220" s="8"/>
      <c r="I220" s="8" t="str">
        <f>", "&amp;'RAW (公開用)'!H363&amp;", "</f>
        <v xml:space="preserve">, （クエスチョニング、模索中、または不明）, さん, </v>
      </c>
      <c r="J220" s="8" t="s">
        <v>2335</v>
      </c>
      <c r="K22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220" s="8" t="str">
        <f>", "&amp;'RAW (公開用)'!J363&amp;", "</f>
        <v xml:space="preserve">, **英語を日常的に使わない**, </v>
      </c>
      <c r="M220" s="8" t="s">
        <v>2424</v>
      </c>
      <c r="N22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**英語を日常的に使わない**, , It,</v>
      </c>
      <c r="O220" s="8" t="str">
        <f>", "&amp;'RAW (公開用)'!L363&amp;", "</f>
        <v xml:space="preserve">, 私（わたし／わたくし）, わたし, 自分, </v>
      </c>
      <c r="P220" s="73" t="s">
        <v>2394</v>
      </c>
      <c r="Q22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わたし, 自分,  , ワイ,</v>
      </c>
      <c r="R220" s="8" t="str">
        <f>", "&amp;'RAW (公開用)'!N220&amp;", "</f>
        <v xml:space="preserve">, （自分（たち）の名前）, </v>
      </c>
      <c r="S220" s="8" t="s">
        <v>2335</v>
      </c>
      <c r="T22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20" s="8" t="str">
        <f>", "&amp;'RAW (公開用)'!P363&amp;", "</f>
        <v xml:space="preserve">, **英語を日常的に使わない**, </v>
      </c>
      <c r="V220" s="8" t="s">
        <v>455</v>
      </c>
      <c r="W220" s="8" t="str">
        <f>", "&amp;'RAW (公開用)'!R363&amp;", "</f>
        <v xml:space="preserve">, カムアウトできない, 社会の中でいないことにされる, </v>
      </c>
      <c r="X220" s="8" t="s">
        <v>216</v>
      </c>
      <c r="Y22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カムアウトできない, 社会の中でいないことにされる,  グループホーム入所中だが、ある入居者と支援者の性的マイノリティに対する対応が酷い。入居していたトランスジェンダー（MtF）の方に対する対応が酷く、その方は適応できず、転居した。同性婚や性的マイノリティのニュースが流れたりすると、トランスジェンダーに対する差別的仕草をする。その時はなんとも言えない気分になる。20年，40年ほど離れているので、時代が違うのかもしれない。
私は生物学的男性だが、この肉体をもって男性とも女性としても見られることが苦手である。障害者の就職支援団体やハローワークに言えていないのであるが、かなり肉体労働を勧められる。
以前の職場では、パチンコや風俗店の話題が多かった。生物学的男性が多い職場であったためか、私を男性とみなして、そのような話題をされることが多かった。マジョリティ女性が多い職場なら、一発でアウトだろう。
本当に苦痛だったが、一番年下のためもあるのか、やめてと言えず、はぐらかすのに必死だった。辞める理由の一つになった。</v>
      </c>
      <c r="Z220" s="8" t="s">
        <v>472</v>
      </c>
      <c r="AA220" s="8" t="s">
        <v>2174</v>
      </c>
      <c r="AB220" s="105" t="s">
        <v>2443</v>
      </c>
      <c r="AC220" s="8"/>
      <c r="AD220"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20" s="8" t="s">
        <v>462</v>
      </c>
      <c r="AF220" s="8" t="s">
        <v>457</v>
      </c>
      <c r="AG220" s="8" t="s">
        <v>458</v>
      </c>
      <c r="AH220" s="8"/>
      <c r="AI220" s="8">
        <f t="shared" si="9"/>
        <v>6</v>
      </c>
      <c r="AJ220" s="8"/>
      <c r="AK220" s="8"/>
      <c r="AL220" s="8"/>
      <c r="AM220" s="8"/>
      <c r="AN220" s="8"/>
    </row>
    <row r="221" spans="1:40" ht="25.5" hidden="1">
      <c r="A221" s="8">
        <v>221</v>
      </c>
      <c r="B221" s="11">
        <v>44971.542232199077</v>
      </c>
      <c r="C221" s="8" t="s">
        <v>452</v>
      </c>
      <c r="D221" s="8" t="s">
        <v>453</v>
      </c>
      <c r="E221" s="8" t="s">
        <v>452</v>
      </c>
      <c r="F221" s="8" t="s">
        <v>454</v>
      </c>
      <c r="G221" s="8" t="str">
        <f>", "&amp;'RAW (公開用)'!F222&amp;", "</f>
        <v xml:space="preserve">, トランス男性, ゲイ（ジェンダーについて）, </v>
      </c>
      <c r="H221" s="8"/>
      <c r="I221" s="8" t="str">
        <f>", "&amp;'RAW (公開用)'!H222&amp;", "</f>
        <v xml:space="preserve">, さん, </v>
      </c>
      <c r="J221" s="8" t="s">
        <v>2335</v>
      </c>
      <c r="K22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21" s="8" t="str">
        <f>", "&amp;'RAW (公開用)'!J222&amp;", "</f>
        <v xml:space="preserve">, **英語を日常的に使わない**, </v>
      </c>
      <c r="M221" s="8" t="s">
        <v>2335</v>
      </c>
      <c r="N22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1" s="8" t="str">
        <f>", "&amp;'RAW (公開用)'!L222&amp;", "</f>
        <v xml:space="preserve">, 自分, </v>
      </c>
      <c r="P221" s="8" t="s">
        <v>2335</v>
      </c>
      <c r="Q22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 </v>
      </c>
      <c r="R221" s="8" t="str">
        <f>", "&amp;'RAW (公開用)'!N221&amp;", "</f>
        <v xml:space="preserve">, 彼, </v>
      </c>
      <c r="S221" s="8" t="s">
        <v>2335</v>
      </c>
      <c r="T22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221" s="8" t="str">
        <f>", "&amp;'RAW (公開用)'!P222&amp;", "</f>
        <v xml:space="preserve">, **英語を日常的に使わない**, </v>
      </c>
      <c r="V221" s="8" t="s">
        <v>455</v>
      </c>
      <c r="W221" s="8" t="str">
        <f>", "&amp;'RAW (公開用)'!R222&amp;", "</f>
        <v xml:space="preserve">, 必要なジェンダーケアへアクセスできない, ミスジェンダリング（誤った性別として扱うこと）, </v>
      </c>
      <c r="X221" s="8"/>
      <c r="Y22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ミスジェンダリング（誤った性別として扱うこと）,  </v>
      </c>
      <c r="Z221" s="8" t="s">
        <v>455</v>
      </c>
      <c r="AA221" s="8" t="str">
        <f>", "&amp;'RAW (公開用)'!U222&amp;", "</f>
        <v xml:space="preserve">, （上記のどれも希望していない）, </v>
      </c>
      <c r="AB221" s="8" t="str">
        <f>", "&amp;'RAW (公開用)'!V222&amp;", "</f>
        <v xml:space="preserve">, （上記のどれも経験していない）, </v>
      </c>
      <c r="AC221" s="8"/>
      <c r="AD22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21" s="8" t="s">
        <v>479</v>
      </c>
      <c r="AF221" s="8" t="s">
        <v>457</v>
      </c>
      <c r="AG221" s="8" t="s">
        <v>458</v>
      </c>
      <c r="AH221" s="8"/>
      <c r="AI221" s="8">
        <f t="shared" si="9"/>
        <v>2</v>
      </c>
      <c r="AJ221" s="8"/>
      <c r="AK221" s="8"/>
      <c r="AL221" s="8"/>
      <c r="AM221" s="8"/>
      <c r="AN221" s="8"/>
    </row>
    <row r="222" spans="1:40" ht="25.5" hidden="1">
      <c r="A222" s="8">
        <v>222</v>
      </c>
      <c r="B222" s="11">
        <v>44971.546398287042</v>
      </c>
      <c r="C222" s="8" t="s">
        <v>452</v>
      </c>
      <c r="D222" s="8" t="s">
        <v>453</v>
      </c>
      <c r="E222" s="8" t="s">
        <v>452</v>
      </c>
      <c r="F222" s="8" t="s">
        <v>454</v>
      </c>
      <c r="G222" s="8" t="str">
        <f>", "&amp;'RAW (公開用)'!F223&amp;", "</f>
        <v xml:space="preserve">, ダイク／dyke, トランスマスキュリン, クィア／Queer, 不明／わからない, レズビアン（ジェンダーについて）, 女性／woman, </v>
      </c>
      <c r="H222" s="8"/>
      <c r="I222" s="8" t="str">
        <f>", "&amp;'RAW (公開用)'!H223&amp;", "</f>
        <v xml:space="preserve">, さん, </v>
      </c>
      <c r="J222" s="8" t="s">
        <v>2335</v>
      </c>
      <c r="K22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22" s="8" t="str">
        <f>", "&amp;'RAW (公開用)'!J223&amp;", "</f>
        <v xml:space="preserve">, **英語を日常的に使わない**, </v>
      </c>
      <c r="M222" s="8" t="s">
        <v>2335</v>
      </c>
      <c r="N22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2" s="8" t="str">
        <f>", "&amp;'RAW (公開用)'!L223&amp;", "</f>
        <v xml:space="preserve">, 私（わたし／わたくし）, （時とともに変わる）, </v>
      </c>
      <c r="P222" s="8" t="s">
        <v>2335</v>
      </c>
      <c r="Q22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（時とともに変わる）,  , </v>
      </c>
      <c r="R222" s="8" t="str">
        <f>", "&amp;'RAW (公開用)'!N222&amp;", "</f>
        <v xml:space="preserve">, 彼女, </v>
      </c>
      <c r="S222" s="8" t="s">
        <v>2335</v>
      </c>
      <c r="T22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222" s="8" t="str">
        <f>", "&amp;'RAW (公開用)'!P223&amp;", "</f>
        <v xml:space="preserve">, **英語を日常的に使わない**, </v>
      </c>
      <c r="V222" s="8" t="s">
        <v>455</v>
      </c>
      <c r="W222" s="8" t="str">
        <f>", "&amp;'RAW (公開用)'!R223&amp;", "</f>
        <v xml:space="preserve">, 家族／かぞくからの無理解, 職場や学校における無理解, カムアウトできない, 社会の中でいないことにされる, </v>
      </c>
      <c r="X222" s="8"/>
      <c r="Y22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カムアウトできない, 社会の中でいないことにされる,  </v>
      </c>
      <c r="Z222" s="8" t="s">
        <v>455</v>
      </c>
      <c r="AA222" s="8" t="str">
        <f>", "&amp;'RAW (公開用)'!U223&amp;", "</f>
        <v xml:space="preserve">, （上記のどれも希望していない）, </v>
      </c>
      <c r="AB222" s="8" t="str">
        <f>", "&amp;'RAW (公開用)'!V223&amp;", "</f>
        <v xml:space="preserve">, 性器にかかわる手術, </v>
      </c>
      <c r="AC222" s="8"/>
      <c r="AD222" s="8" t="str">
        <f>テーブル1[[#This Row],[以下のうち、経験したものをすべて選んでください]]&amp;" "&amp;テーブル1[[#This Row],[社会的、法的、医学的トランジションについて、困難なこと等がありましたらここにお書きください]]</f>
        <v xml:space="preserve">, 性器にかかわる手術,  </v>
      </c>
      <c r="AE222" s="8" t="s">
        <v>475</v>
      </c>
      <c r="AF222" s="8" t="s">
        <v>457</v>
      </c>
      <c r="AG222" s="8" t="s">
        <v>458</v>
      </c>
      <c r="AH222" s="8"/>
      <c r="AI222" s="8">
        <f t="shared" si="9"/>
        <v>6</v>
      </c>
      <c r="AJ222" s="8"/>
      <c r="AK222" s="8"/>
      <c r="AL222" s="8"/>
      <c r="AM222" s="8"/>
      <c r="AN222" s="8"/>
    </row>
    <row r="223" spans="1:40" ht="25.5" hidden="1">
      <c r="A223" s="8">
        <v>223</v>
      </c>
      <c r="B223" s="11">
        <v>44971.559113402778</v>
      </c>
      <c r="C223" s="8" t="s">
        <v>452</v>
      </c>
      <c r="D223" s="8" t="s">
        <v>453</v>
      </c>
      <c r="E223" s="8" t="s">
        <v>452</v>
      </c>
      <c r="F223" s="8" t="s">
        <v>454</v>
      </c>
      <c r="G223" s="8" t="str">
        <f>", "&amp;'RAW (公開用)'!F224&amp;", "</f>
        <v xml:space="preserve">, **必ず選んでください**, 無性, 中性, Xジェンダー, 無し, </v>
      </c>
      <c r="H223" s="8"/>
      <c r="I223" s="8" t="str">
        <f>", "&amp;'RAW (公開用)'!H224&amp;", "</f>
        <v xml:space="preserve">, （敬称なし）, （時とともに変わる）, （any／問わない／どれでもよい）, </v>
      </c>
      <c r="J223" s="8" t="s">
        <v>2335</v>
      </c>
      <c r="K22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（時とともに変わる）, （any／問わない／どれでもよい）,  , </v>
      </c>
      <c r="L223" s="8" t="str">
        <f>", "&amp;'RAW (公開用)'!J224&amp;", "</f>
        <v xml:space="preserve">, **英語を日常的に使わない**, </v>
      </c>
      <c r="M223" s="8" t="s">
        <v>2335</v>
      </c>
      <c r="N22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3" s="8" t="str">
        <f>", "&amp;'RAW (公開用)'!L224&amp;", "</f>
        <v xml:space="preserve">, 僕, わたし, 私（わたし／わたくし）, （any／問わない／どれでもよい）, わし, （時とともに変わる）, ぼく, </v>
      </c>
      <c r="P223" s="8" t="s">
        <v>2335</v>
      </c>
      <c r="Q22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わたし, 私（わたし／わたくし）, （any／問わない／どれでもよい）, わし, （時とともに変わる）, ぼく,  , </v>
      </c>
      <c r="R223" s="8" t="str">
        <f>", "&amp;'RAW (公開用)'!N223&amp;", "</f>
        <v xml:space="preserve">, （三人称で言及してほしくない）, 彼女, </v>
      </c>
      <c r="S223" s="8" t="s">
        <v>2335</v>
      </c>
      <c r="T22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彼女,  , </v>
      </c>
      <c r="U223" s="8" t="str">
        <f>", "&amp;'RAW (公開用)'!P224&amp;", "</f>
        <v xml:space="preserve">, **英語を日常的に使わない**, </v>
      </c>
      <c r="V223" s="8" t="s">
        <v>455</v>
      </c>
      <c r="W223" s="8" t="str">
        <f>", "&amp;'RAW (公開用)'!R224&amp;", "</f>
        <v xml:space="preserve">, 社会の中でいないことにされる, ミスジェンダリング（誤った性別として扱うこと）, LGBTQ+運動からの排斥, </v>
      </c>
      <c r="X223" s="8"/>
      <c r="Y22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LGBTQ+運動からの排斥,  </v>
      </c>
      <c r="Z223" s="8" t="s">
        <v>455</v>
      </c>
      <c r="AA223" s="8" t="str">
        <f>", "&amp;'RAW (公開用)'!U224&amp;", "</f>
        <v xml:space="preserve">, 戸籍名の変更, 戸籍上の性別の変更, ジェンダークリニックの受診, </v>
      </c>
      <c r="AB223" s="8" t="str">
        <f>", "&amp;'RAW (公開用)'!V224&amp;", "</f>
        <v xml:space="preserve">, （上記のどれも経験していない）, </v>
      </c>
      <c r="AC223" s="8"/>
      <c r="AD22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23" s="8" t="s">
        <v>456</v>
      </c>
      <c r="AF223" s="8" t="s">
        <v>457</v>
      </c>
      <c r="AG223" s="8" t="s">
        <v>458</v>
      </c>
      <c r="AH223" s="8"/>
      <c r="AI223" s="8">
        <f t="shared" si="9"/>
        <v>4</v>
      </c>
      <c r="AJ223" s="8"/>
      <c r="AK223" s="8"/>
      <c r="AL223" s="8"/>
      <c r="AM223" s="8"/>
      <c r="AN223" s="8"/>
    </row>
    <row r="224" spans="1:40" ht="12.75" hidden="1">
      <c r="A224" s="8">
        <v>224</v>
      </c>
      <c r="B224" s="11">
        <v>44971.559956226847</v>
      </c>
      <c r="C224" s="8" t="s">
        <v>452</v>
      </c>
      <c r="D224" s="8" t="s">
        <v>453</v>
      </c>
      <c r="E224" s="8" t="s">
        <v>452</v>
      </c>
      <c r="F224" s="8" t="s">
        <v>454</v>
      </c>
      <c r="G224" s="8" t="str">
        <f>", "&amp;'RAW (公開用)'!F225&amp;", "</f>
        <v xml:space="preserve">, シスジェンダー, **必ず選んでください**, 男性／man, </v>
      </c>
      <c r="H224" s="8"/>
      <c r="I224" s="8" t="str">
        <f>", "&amp;'RAW (公開用)'!H225&amp;", "</f>
        <v xml:space="preserve">, （any／問わない／どれでもよい）, </v>
      </c>
      <c r="J224" s="8" t="s">
        <v>2335</v>
      </c>
      <c r="K22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24" s="8" t="str">
        <f>", "&amp;'RAW (公開用)'!J225&amp;", "</f>
        <v xml:space="preserve">, （any／問わない／どれでもよい）, </v>
      </c>
      <c r="M224" s="8" t="s">
        <v>2335</v>
      </c>
      <c r="N22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224" s="8" t="str">
        <f>", "&amp;'RAW (公開用)'!L225&amp;", "</f>
        <v xml:space="preserve">, （時とともに変わる）, </v>
      </c>
      <c r="P224" s="8" t="s">
        <v>2335</v>
      </c>
      <c r="Q22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 </v>
      </c>
      <c r="R224" s="8" t="str">
        <f>", "&amp;'RAW (公開用)'!N224&amp;", "</f>
        <v xml:space="preserve">, （any／問わない／どれでもよい）, </v>
      </c>
      <c r="S224" s="8" t="s">
        <v>2335</v>
      </c>
      <c r="T22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24" s="8" t="str">
        <f>", "&amp;'RAW (公開用)'!P225&amp;", "</f>
        <v xml:space="preserve">, any/問わない/どれでもよい, </v>
      </c>
      <c r="V224" s="8" t="s">
        <v>455</v>
      </c>
      <c r="W224" s="8" t="s">
        <v>2174</v>
      </c>
      <c r="X224" s="8"/>
      <c r="Y22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224" s="8" t="s">
        <v>455</v>
      </c>
      <c r="AA224" s="8" t="str">
        <f>", "&amp;'RAW (公開用)'!U225&amp;", "</f>
        <v xml:space="preserve">, （上記のどれも希望していない）, </v>
      </c>
      <c r="AB224" s="8" t="str">
        <f>", "&amp;'RAW (公開用)'!V225&amp;", "</f>
        <v xml:space="preserve">, （上記のどれも経験していない）, </v>
      </c>
      <c r="AC224" s="8"/>
      <c r="AD22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24" s="8" t="s">
        <v>456</v>
      </c>
      <c r="AF224" s="8" t="s">
        <v>457</v>
      </c>
      <c r="AG224" s="8" t="s">
        <v>458</v>
      </c>
      <c r="AH224" s="8"/>
      <c r="AI224" s="8">
        <f t="shared" si="9"/>
        <v>2</v>
      </c>
      <c r="AJ224" s="8"/>
      <c r="AK224" s="8"/>
      <c r="AL224" s="8"/>
      <c r="AM224" s="8"/>
      <c r="AN224" s="8"/>
    </row>
    <row r="225" spans="1:40" ht="63.75" hidden="1">
      <c r="A225" s="8">
        <v>225</v>
      </c>
      <c r="B225" s="11">
        <v>44971.563785891209</v>
      </c>
      <c r="C225" s="8" t="s">
        <v>452</v>
      </c>
      <c r="D225" s="8" t="s">
        <v>453</v>
      </c>
      <c r="E225" s="8" t="s">
        <v>452</v>
      </c>
      <c r="F225" s="8" t="s">
        <v>454</v>
      </c>
      <c r="G225" s="8" t="str">
        <f>", "&amp;'RAW (公開用)'!F226&amp;", "</f>
        <v xml:space="preserve">, 男性／man, トランスジェンダー, 青年, **必ず選んでください**, 男の子／boy, トランス*／trans*, おなべ, トランス男性, トランス, </v>
      </c>
      <c r="H225" s="8"/>
      <c r="I225" s="8" t="str">
        <f>", "&amp;'RAW (公開用)'!H226&amp;", "</f>
        <v xml:space="preserve">, （敬称なし）, さん, くん／君, </v>
      </c>
      <c r="J225" s="8" t="s">
        <v>2335</v>
      </c>
      <c r="K22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くん／君,  , </v>
      </c>
      <c r="L225" s="8" t="str">
        <f>", "&amp;'RAW (公開用)'!J226&amp;", "</f>
        <v xml:space="preserve">, **英語を日常的に使わない**, </v>
      </c>
      <c r="M225" s="8" t="s">
        <v>2335</v>
      </c>
      <c r="N22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5" s="8" t="str">
        <f>", "&amp;'RAW (公開用)'!L226&amp;", "</f>
        <v xml:space="preserve">, 俺, 私（わたし／わたくし）, 自分, </v>
      </c>
      <c r="P225" s="8" t="s">
        <v>2335</v>
      </c>
      <c r="Q22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自分,  , </v>
      </c>
      <c r="R225" s="8" t="str">
        <f>", "&amp;'RAW (公開用)'!N225&amp;", "</f>
        <v xml:space="preserve">, （any／問わない／どれでもよい）, </v>
      </c>
      <c r="S225" s="8" t="s">
        <v>2335</v>
      </c>
      <c r="T22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25" s="8" t="str">
        <f>", "&amp;'RAW (公開用)'!P226&amp;", "</f>
        <v xml:space="preserve">, **英語を日常的に使わない**, </v>
      </c>
      <c r="V225" s="8" t="s">
        <v>455</v>
      </c>
      <c r="W225" s="8" t="str">
        <f>", "&amp;'RAW (公開用)'!R226&amp;", "</f>
        <v xml:space="preserve">, 医療における無理解, 家族／かぞくからの無理解, ミスジェンダリング（誤った性別として扱うこと）, 性暴力, トイレなどのジェンダー化されたスペースの使用, 職場や学校における無理解, デッドネーミング（誤った名前で呼ばれること）, 必要なジェンダーケアへアクセスできない, 社会の中でいないことにされる, アウティング（勝手にジェンダーや指向についての情報を明かされること）, </v>
      </c>
      <c r="X225" s="8"/>
      <c r="Y22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家族／かぞくからの無理解, ミスジェンダリング（誤った性別として扱うこと）, 性暴力, トイレなどのジェンダー化されたスペースの使用, 職場や学校における無理解, デッドネーミング（誤った名前で呼ばれること）, 必要なジェンダーケアへアクセスできない, 社会の中でいないことにされる, アウティング（勝手にジェンダーや指向についての情報を明かされること）,  </v>
      </c>
      <c r="Z225" s="8" t="s">
        <v>455</v>
      </c>
      <c r="AA225" s="8" t="str">
        <f>", "&amp;'RAW (公開用)'!U226&amp;", "</f>
        <v xml:space="preserve">, 戸籍名の変更, ジェンダークリニックの受診, ホルモン補充療法（HRT）, </v>
      </c>
      <c r="AB225" s="8" t="str">
        <f>", "&amp;'RAW (公開用)'!V226&amp;", "</f>
        <v xml:space="preserve">, 戸籍名の変更, ジェンダークリニックの受診, ホルモン補充療法（HRT）, </v>
      </c>
      <c r="AC225" s="8" t="s">
        <v>309</v>
      </c>
      <c r="AD225"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金銭面</v>
      </c>
      <c r="AE225" s="8" t="s">
        <v>456</v>
      </c>
      <c r="AF225" s="8" t="s">
        <v>457</v>
      </c>
      <c r="AG225" s="8" t="s">
        <v>458</v>
      </c>
      <c r="AH225" s="8"/>
      <c r="AI225" s="8">
        <f t="shared" si="9"/>
        <v>8</v>
      </c>
      <c r="AJ225" s="8"/>
      <c r="AK225" s="8"/>
      <c r="AL225" s="8"/>
      <c r="AM225" s="8"/>
      <c r="AN225" s="8"/>
    </row>
    <row r="226" spans="1:40" ht="51" hidden="1">
      <c r="A226" s="8">
        <v>226</v>
      </c>
      <c r="B226" s="11">
        <v>44971.569000833333</v>
      </c>
      <c r="C226" s="8" t="s">
        <v>452</v>
      </c>
      <c r="D226" s="8" t="s">
        <v>453</v>
      </c>
      <c r="E226" s="8" t="s">
        <v>452</v>
      </c>
      <c r="F226" s="8" t="s">
        <v>454</v>
      </c>
      <c r="G226" s="8" t="str">
        <f>", "&amp;'RAW (公開用)'!F227&amp;", "</f>
        <v xml:space="preserve">, 男の子／boy, 中性, 不定性, 女性／woman, **必ず選んでください**, </v>
      </c>
      <c r="H226" s="8"/>
      <c r="I226" s="8" t="str">
        <f>", "&amp;'RAW (公開用)'!H227&amp;", "</f>
        <v xml:space="preserve">, さん, ちゃん, （any／問わない／どれでもよい）, （敬称なし）, （時とともに変わる）, くん／君, </v>
      </c>
      <c r="J226" s="8" t="s">
        <v>2335</v>
      </c>
      <c r="K22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（any／問わない／どれでもよい）, （敬称なし）, （時とともに変わる）, くん／君,  , </v>
      </c>
      <c r="L226" s="8" t="str">
        <f>", "&amp;'RAW (公開用)'!J227&amp;", "</f>
        <v xml:space="preserve">, **英語を日常的に使わない**, </v>
      </c>
      <c r="M226" s="8" t="s">
        <v>2335</v>
      </c>
      <c r="N22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6" s="8" t="str">
        <f>", "&amp;'RAW (公開用)'!L227&amp;", "</f>
        <v xml:space="preserve">, （時とともに変わる）, わたし, 私（わたし／わたくし）, 俺, ぼく, 僕, 自分, うち, </v>
      </c>
      <c r="P226" s="8" t="s">
        <v>2335</v>
      </c>
      <c r="Q22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わたし, 私（わたし／わたくし）, 俺, ぼく, 僕, 自分, うち,  , </v>
      </c>
      <c r="R226" s="8" t="str">
        <f>", "&amp;'RAW (公開用)'!N226&amp;", "</f>
        <v xml:space="preserve">, 彼, </v>
      </c>
      <c r="S226" s="8" t="s">
        <v>2335</v>
      </c>
      <c r="T22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226" s="8" t="str">
        <f>", "&amp;'RAW (公開用)'!P227&amp;", "</f>
        <v xml:space="preserve">, **英語を日常的に使わない**, </v>
      </c>
      <c r="V226" s="8" t="s">
        <v>455</v>
      </c>
      <c r="W226" s="8" t="str">
        <f>", "&amp;'RAW (公開用)'!R227&amp;", "</f>
        <v xml:space="preserve">, ミスジェンダリング（誤った性別として扱うこと）, 職場や学校における無理解, アウティング（勝手にジェンダーや指向についての情報を明かされること）, </v>
      </c>
      <c r="X226" s="8" t="s">
        <v>245</v>
      </c>
      <c r="Y22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職場や学校における無理解, アウティング（勝手にジェンダーや指向についての情報を明かされること）,  大きな括りで一纏めにされ、誤解されること（性自認が一致しないと言うと性転換したいのかと聞かれるようなこと）</v>
      </c>
      <c r="Z226" s="8" t="s">
        <v>455</v>
      </c>
      <c r="AA226" s="8" t="str">
        <f>", "&amp;'RAW (公開用)'!U227&amp;", "</f>
        <v xml:space="preserve">, （上記のどれも希望していない）, </v>
      </c>
      <c r="AB226" s="8" t="str">
        <f>", "&amp;'RAW (公開用)'!V227&amp;", "</f>
        <v xml:space="preserve">, （上記のどれも経験していない）, </v>
      </c>
      <c r="AC226" s="8"/>
      <c r="AD22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26" s="8" t="s">
        <v>462</v>
      </c>
      <c r="AF226" s="8" t="s">
        <v>457</v>
      </c>
      <c r="AG226" s="8" t="s">
        <v>458</v>
      </c>
      <c r="AH226" s="8" t="s">
        <v>561</v>
      </c>
      <c r="AI226" s="8">
        <f t="shared" si="9"/>
        <v>4</v>
      </c>
      <c r="AJ226" s="8"/>
      <c r="AK226" s="8"/>
      <c r="AL226" s="8"/>
      <c r="AM226" s="8"/>
      <c r="AN226" s="8"/>
    </row>
    <row r="227" spans="1:40" ht="51" hidden="1">
      <c r="A227" s="8">
        <v>227</v>
      </c>
      <c r="B227" s="11">
        <v>44971.592506180554</v>
      </c>
      <c r="C227" s="8" t="s">
        <v>452</v>
      </c>
      <c r="D227" s="8" t="s">
        <v>453</v>
      </c>
      <c r="E227" s="8" t="s">
        <v>452</v>
      </c>
      <c r="F227" s="8" t="s">
        <v>454</v>
      </c>
      <c r="G227" s="8" t="str">
        <f>", "&amp;'RAW (公開用)'!F228&amp;", "</f>
        <v xml:space="preserve">, トランスジェンダー, </v>
      </c>
      <c r="H227" s="8"/>
      <c r="I227" s="8" t="str">
        <f>", "&amp;'RAW (公開用)'!H228&amp;", "</f>
        <v xml:space="preserve">, さん, ちゃん, たん, （敬称なし）, </v>
      </c>
      <c r="J227" s="8" t="s">
        <v>2335</v>
      </c>
      <c r="K22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たん, （敬称なし）,  , </v>
      </c>
      <c r="L227" s="8" t="str">
        <f>", "&amp;'RAW (公開用)'!J228&amp;", "</f>
        <v xml:space="preserve">, **英語を日常的に使わない**, </v>
      </c>
      <c r="M227" s="8" t="s">
        <v>2335</v>
      </c>
      <c r="N22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7" s="8" t="str">
        <f>", "&amp;'RAW (公開用)'!L228&amp;", "</f>
        <v xml:space="preserve">, （一人称の使用を避ける）, うち, （自分（たち）の名前）, わたし, </v>
      </c>
      <c r="P227" s="8" t="s">
        <v>2335</v>
      </c>
      <c r="Q22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うち, （自分（たち）の名前）, わたし,  , </v>
      </c>
      <c r="R227" s="8" t="str">
        <f>", "&amp;'RAW (公開用)'!N227&amp;", "</f>
        <v xml:space="preserve">, （自分（たち）の名前）, 彼女, 彼, </v>
      </c>
      <c r="S227" s="8" t="s">
        <v>2335</v>
      </c>
      <c r="T22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彼,  , </v>
      </c>
      <c r="U227" s="8" t="str">
        <f>", "&amp;'RAW (公開用)'!P228&amp;", "</f>
        <v xml:space="preserve">, **英語を日常的に使わない**, </v>
      </c>
      <c r="V227" s="8" t="s">
        <v>455</v>
      </c>
      <c r="W227" s="8" t="str">
        <f>", "&amp;'RAW (公開用)'!R228&amp;", "</f>
        <v xml:space="preserve">, トイレなどのジェンダー化されたスペースの使用, 社会の中でいないことにされる, 職場や学校における無理解, 家族／かぞくからの無理解, アウティング（勝手にジェンダーや指向についての情報を明かされること）, ミスジェンダリング（誤った性別として扱うこと）, カムアウトできない, カムアウトを強制される, </v>
      </c>
      <c r="X227" s="8"/>
      <c r="Y22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社会の中でいないことにされる, 職場や学校における無理解, 家族／かぞくからの無理解, アウティング（勝手にジェンダーや指向についての情報を明かされること）, ミスジェンダリング（誤った性別として扱うこと）, カムアウトできない, カムアウトを強制される,  </v>
      </c>
      <c r="Z227" s="8" t="s">
        <v>455</v>
      </c>
      <c r="AA227" s="8" t="str">
        <f>", "&amp;'RAW (公開用)'!U228&amp;", "</f>
        <v xml:space="preserve">, 戸籍名の変更, 戸籍上の性別の変更, ジェンダークリニックの受診, 抗ホルモン療法, ホルモン補充療法（HRT）, 性器にかかわる手術, </v>
      </c>
      <c r="AB227" s="8" t="str">
        <f>", "&amp;'RAW (公開用)'!V228&amp;", "</f>
        <v xml:space="preserve">, ジェンダークリニックの受診, 抗ホルモン療法, ホルモン補充療法（HRT）, </v>
      </c>
      <c r="AC227" s="8"/>
      <c r="AD227"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抗ホルモン療法, ホルモン補充療法（HRT）,  </v>
      </c>
      <c r="AE227" s="8" t="s">
        <v>456</v>
      </c>
      <c r="AF227" s="8" t="s">
        <v>457</v>
      </c>
      <c r="AG227" s="8" t="s">
        <v>458</v>
      </c>
      <c r="AH227" s="8"/>
      <c r="AI227" s="8">
        <f t="shared" si="9"/>
        <v>1</v>
      </c>
      <c r="AJ227" s="8"/>
      <c r="AK227" s="8"/>
      <c r="AL227" s="8"/>
      <c r="AM227" s="8"/>
      <c r="AN227" s="8"/>
    </row>
    <row r="228" spans="1:40" ht="229.5" hidden="1">
      <c r="A228" s="8">
        <v>304</v>
      </c>
      <c r="B228" s="11">
        <v>44991.537186608795</v>
      </c>
      <c r="C228" s="8" t="s">
        <v>452</v>
      </c>
      <c r="D228" s="8" t="s">
        <v>453</v>
      </c>
      <c r="E228" s="8" t="s">
        <v>452</v>
      </c>
      <c r="F228" s="8" t="s">
        <v>454</v>
      </c>
      <c r="G228" s="8" t="str">
        <f>", "&amp;'RAW (公開用)'!F305&amp;", "</f>
        <v xml:space="preserve">, ノンバイナリー, トランスジェンダー, 中性, X, Xジェンダー, </v>
      </c>
      <c r="H228" s="8"/>
      <c r="I228" s="8" t="str">
        <f>", "&amp;'RAW (公開用)'!H305&amp;", "</f>
        <v xml:space="preserve">, （敬称なし）, くん／君, さん, たん, </v>
      </c>
      <c r="J228" s="18" t="s">
        <v>2339</v>
      </c>
      <c r="K228" s="1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（敬称なし）, くん／君, さん, たん,  , あだ名（敬称なし）,</v>
      </c>
      <c r="L228" s="8" t="str">
        <f>", "&amp;'RAW (公開用)'!J305&amp;", "</f>
        <v xml:space="preserve">, **英語を日常的に使わない**, </v>
      </c>
      <c r="M228" s="8" t="s">
        <v>2335</v>
      </c>
      <c r="N22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8" s="8" t="str">
        <f>", "&amp;'RAW (公開用)'!L305&amp;", "</f>
        <v xml:space="preserve">, （自分（たち）の名前）, 俺, 僕, ぼく, 自分, </v>
      </c>
      <c r="P228" s="73" t="s">
        <v>2397</v>
      </c>
      <c r="Q22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俺, 僕, ぼく, 自分,  , あだ名,</v>
      </c>
      <c r="R228" s="8" t="str">
        <f>", "&amp;'RAW (公開用)'!N228&amp;", "</f>
        <v xml:space="preserve">, （any／問わない／どれでもよい）, </v>
      </c>
      <c r="S228" s="8" t="s">
        <v>2368</v>
      </c>
      <c r="T22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（any／問わない／どれでもよい）,  , {この/その/あの}+人, あだ名,</v>
      </c>
      <c r="U228" s="8" t="str">
        <f>", "&amp;'RAW (公開用)'!P305&amp;", "</f>
        <v xml:space="preserve">, **英語を日常的に使わない**, </v>
      </c>
      <c r="V228" s="8" t="s">
        <v>455</v>
      </c>
      <c r="W228" s="8" t="str">
        <f>", "&amp;'RAW (公開用)'!R305&amp;", "</f>
        <v xml:space="preserve">, 必要なジェンダーケアへアクセスできない, カムアウトを強制される, 職場や学校における無理解, トイレなどのジェンダー化されたスペースの使用, 性暴力, 医療における無理解, 社会の中でいないことにされる, LGBTQ+運動からの排斥, 家族／かぞくからの無理解, ミスジェンダリング（誤った性別として扱うこと）, アウティング（勝手にジェンダーや指向についての情報を明かされること）, </v>
      </c>
      <c r="X228" s="8" t="s">
        <v>197</v>
      </c>
      <c r="Y22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カムアウトを強制される, 職場や学校における無理解, トイレなどのジェンダー化されたスペースの使用, 性暴力, 医療における無理解, 社会の中でいないことにされる, LGBTQ+運動からの排斥, 家族／かぞくからの無理解, ミスジェンダリング（誤った性別として扱うこと）, アウティング（勝手にジェンダーや指向についての情報を明かされること）,  ・性暴力の相談のために相手や自分のセクシュアリティを言わねばならず、しかも相談相手に伝わらない
・妊娠の予定がないのにミスジェンダリングにより妊娠中に投与してはならないとされる薬を勝手に避けられる(それで治るかもしれない疾患でも)
・カミングアウトして就職活動をしたら好感を持たれているのに経営判断で落とされる
・自分としては異性と交際しているつもりなのに同性愛者だと思われる
・見た目が男女どちらともつかないので周りの人が知人にアウティングを求めてしまう
・自分の声が思った性別のものにならないとき、電話など声だけを使った通信手段が使えない
・性別違和の診断書が欲しいときにトランスジェンダーを自認していても｢あなたは違う｣と医師に拒否されたことがあった</v>
      </c>
      <c r="Z228" s="8" t="s">
        <v>455</v>
      </c>
      <c r="AA228" s="8" t="str">
        <f>", "&amp;'RAW (公開用)'!U305&amp;", "</f>
        <v xml:space="preserve">, 戸籍名の変更, 戸籍上の性別の変更, ジェンダークリニックの受診, 胸部の手術, </v>
      </c>
      <c r="AB228" s="8" t="str">
        <f>", "&amp;'RAW (公開用)'!V305&amp;", "</f>
        <v xml:space="preserve">, 戸籍名の変更, 戸籍上の性別の変更, ジェンダークリニックの受診, </v>
      </c>
      <c r="AC228" s="8" t="s">
        <v>334</v>
      </c>
      <c r="AD228" s="8" t="str">
        <f>テーブル1[[#This Row],[以下のうち、経験したものをすべて選んでください]]&amp;" "&amp;テーブル1[[#This Row],[社会的、法的、医学的トランジションについて、困難なこと等がありましたらここにお書きください]]</f>
        <v>, 戸籍名の変更, 戸籍上の性別の変更, ジェンダークリニックの受診,  法的には男性になりたいし、周囲からも既に男性と見なされることが多いのに手術やホルモン治療が必要になってしまう。そのままの身体でも戸籍を男性にしたい。</v>
      </c>
      <c r="AE228" s="8" t="s">
        <v>456</v>
      </c>
      <c r="AF228" s="8" t="s">
        <v>457</v>
      </c>
      <c r="AG228" s="8" t="s">
        <v>458</v>
      </c>
      <c r="AH228" s="8"/>
      <c r="AI228" s="8">
        <f t="shared" si="9"/>
        <v>5</v>
      </c>
      <c r="AJ228" s="8"/>
      <c r="AK228" s="8"/>
      <c r="AL228" s="8"/>
      <c r="AM228" s="8"/>
      <c r="AN228" s="8"/>
    </row>
    <row r="229" spans="1:40" ht="76.5" hidden="1">
      <c r="A229" s="8">
        <v>229</v>
      </c>
      <c r="B229" s="11">
        <v>44971.659937048607</v>
      </c>
      <c r="C229" s="8" t="s">
        <v>452</v>
      </c>
      <c r="D229" s="8" t="s">
        <v>453</v>
      </c>
      <c r="E229" s="8" t="s">
        <v>452</v>
      </c>
      <c r="F229" s="8" t="s">
        <v>454</v>
      </c>
      <c r="G229" s="8" t="str">
        <f>", "&amp;'RAW (公開用)'!F230&amp;", "</f>
        <v xml:space="preserve">, （ジェンダー・）フルイド／（ジェンダー・）フリュイド／（ジェンダー・）フルイッド, </v>
      </c>
      <c r="H229" s="8"/>
      <c r="I229" s="8" t="str">
        <f>", "&amp;'RAW (公開用)'!H230&amp;", "</f>
        <v xml:space="preserve">, くん／君, さん, ちゃん, </v>
      </c>
      <c r="J229" s="8" t="s">
        <v>2335</v>
      </c>
      <c r="K22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ちゃん,  , </v>
      </c>
      <c r="L229" s="8" t="str">
        <f>", "&amp;'RAW (公開用)'!J230&amp;", "</f>
        <v xml:space="preserve">, **英語を日常的に使わない**, </v>
      </c>
      <c r="M229" s="8" t="s">
        <v>2335</v>
      </c>
      <c r="N22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29" s="8" t="str">
        <f>", "&amp;'RAW (公開用)'!L230&amp;", "</f>
        <v xml:space="preserve">, わたし, おれ, あたし, 僕, （時とともに変わる）, </v>
      </c>
      <c r="P229" s="8" t="s">
        <v>2335</v>
      </c>
      <c r="Q22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おれ, あたし, 僕, （時とともに変わる）,  , </v>
      </c>
      <c r="R229" s="8" t="s">
        <v>2174</v>
      </c>
      <c r="S229" s="8" t="s">
        <v>2335</v>
      </c>
      <c r="T22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229" s="8" t="str">
        <f>", "&amp;'RAW (公開用)'!P230&amp;", "</f>
        <v xml:space="preserve">, **英語を日常的に使わない**, </v>
      </c>
      <c r="V229" s="8" t="s">
        <v>455</v>
      </c>
      <c r="W229" s="8" t="str">
        <f>", "&amp;'RAW (公開用)'!R230&amp;", "</f>
        <v xml:space="preserve">, ミスジェンダリング（誤った性別として扱うこと）, 家族／かぞくからの無理解, 医療における無理解, トイレなどのジェンダー化されたスペースの使用, LGBTQ+運動からの排斥, カムアウトを強制される, アウティング（勝手にジェンダーや指向についての情報を明かされること）, 社会の中でいないことにされる, 必要なジェンダーケアへアクセスできない, 職場や学校における無理解, </v>
      </c>
      <c r="X229" s="8" t="s">
        <v>212</v>
      </c>
      <c r="Y22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家族／かぞくからの無理解, 医療における無理解, トイレなどのジェンダー化されたスペースの使用, LGBTQ+運動からの排斥, カムアウトを強制される, アウティング（勝手にジェンダーや指向についての情報を明かされること）, 社会の中でいないことにされる, 必要なジェンダーケアへアクセスできない, 職場や学校における無理解,  インターネット上でミスジェンダリングや差別的な反応が来ること</v>
      </c>
      <c r="Z229" s="8" t="s">
        <v>455</v>
      </c>
      <c r="AA229" s="8" t="str">
        <f>", "&amp;'RAW (公開用)'!U230&amp;", "</f>
        <v xml:space="preserve">, 胸部の手術, </v>
      </c>
      <c r="AB229" s="8" t="str">
        <f>", "&amp;'RAW (公開用)'!V230&amp;", "</f>
        <v xml:space="preserve">, （上記のどれも経験していない）, </v>
      </c>
      <c r="AC229" s="8" t="s">
        <v>325</v>
      </c>
      <c r="AD22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胸をなくしたい気持ちはあるものの、ジェンダーフルイドだからあとで欲しくなるかもしれないよ、とクリニックの医師から言われており、手術をするか迷っている。また、どんなに装いを自分の馴染む様子に整えていても、声で「女性」だと決めつけられることも多くて苦痛である。ホルモン治療を勧められたが、恒久的に声を変えたいわけでもないので違うな、と思っている。</v>
      </c>
      <c r="AE229" s="8" t="s">
        <v>456</v>
      </c>
      <c r="AF229" s="8" t="s">
        <v>457</v>
      </c>
      <c r="AG229" s="8" t="s">
        <v>458</v>
      </c>
      <c r="AH229" s="8" t="s">
        <v>562</v>
      </c>
      <c r="AI229" s="8">
        <f t="shared" si="9"/>
        <v>1</v>
      </c>
      <c r="AJ229" s="8"/>
      <c r="AK229" s="8"/>
      <c r="AL229" s="8"/>
      <c r="AM229" s="8"/>
      <c r="AN229" s="8"/>
    </row>
    <row r="230" spans="1:40" ht="51" hidden="1">
      <c r="A230" s="8">
        <v>402</v>
      </c>
      <c r="B230" s="11">
        <v>44992.735290590281</v>
      </c>
      <c r="C230" s="8" t="s">
        <v>452</v>
      </c>
      <c r="D230" s="8" t="s">
        <v>453</v>
      </c>
      <c r="E230" s="8" t="s">
        <v>452</v>
      </c>
      <c r="F230" s="8" t="s">
        <v>454</v>
      </c>
      <c r="G230" s="8" t="str">
        <f>", "&amp;'RAW (公開用)'!F403&amp;", "</f>
        <v xml:space="preserve">, **必ず選んでください**, デミボーイ, </v>
      </c>
      <c r="H230" s="8" t="s">
        <v>626</v>
      </c>
      <c r="I230" s="8" t="str">
        <f>", "&amp;'RAW (公開用)'!H403&amp;", "</f>
        <v xml:space="preserve">, くん／君, さん, （敬称なし）, </v>
      </c>
      <c r="J230" s="8" t="s">
        <v>2335</v>
      </c>
      <c r="K23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（敬称なし）,  , </v>
      </c>
      <c r="L230" s="8" t="str">
        <f>", "&amp;'RAW (公開用)'!J403&amp;", "</f>
        <v xml:space="preserve">, **英語を日常的に使わない**, </v>
      </c>
      <c r="M230" s="8" t="s">
        <v>2335</v>
      </c>
      <c r="N23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30" s="8" t="str">
        <f>", "&amp;'RAW (公開用)'!L403&amp;", "</f>
        <v xml:space="preserve">, 俺, （時とともに変わる）, 自分, </v>
      </c>
      <c r="P230" s="73" t="s">
        <v>2394</v>
      </c>
      <c r="Q23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（時とともに変わる）, 自分,  , ワイ,</v>
      </c>
      <c r="R230" s="8" t="str">
        <f>", "&amp;'RAW (公開用)'!N230&amp;", "</f>
        <v xml:space="preserve">, （三人称で言及してほしくない）, </v>
      </c>
      <c r="S230" s="8" t="s">
        <v>2335</v>
      </c>
      <c r="T23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30" s="8" t="str">
        <f>", "&amp;'RAW (公開用)'!P403&amp;", "</f>
        <v xml:space="preserve">, **英語を日常的に使わない**, </v>
      </c>
      <c r="V230" s="8" t="s">
        <v>455</v>
      </c>
      <c r="W230" s="8" t="str">
        <f>", "&amp;'RAW (公開用)'!R403&amp;", "</f>
        <v xml:space="preserve">, デッドネーミング（誤った名前で呼ばれること）, アウティング（勝手にジェンダーや指向についての情報を明かされること）, カムアウトを強制される, 家族／かぞくからの無理解, ミスジェンダリング（誤った性別として扱うこと）, 医療における無理解, 必要なジェンダーケアへアクセスできない, 性暴力, </v>
      </c>
      <c r="X230" s="8"/>
      <c r="Y23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アウティング（勝手にジェンダーや指向についての情報を明かされること）, カムアウトを強制される, 家族／かぞくからの無理解, ミスジェンダリング（誤った性別として扱うこと）, 医療における無理解, 必要なジェンダーケアへアクセスできない, 性暴力,  </v>
      </c>
      <c r="Z230" s="8" t="s">
        <v>455</v>
      </c>
      <c r="AA230" s="8" t="str">
        <f>", "&amp;'RAW (公開用)'!U403&amp;", "</f>
        <v xml:space="preserve">, 戸籍名の変更, 戸籍上の性別の変更, ジェンダークリニックの受診, ホルモン補充療法（HRT）, 胸部の手術, 性器にかかわる手術, </v>
      </c>
      <c r="AB230" s="8" t="str">
        <f>", "&amp;'RAW (公開用)'!V403&amp;", "</f>
        <v xml:space="preserve">, 戸籍上の性別の変更, ジェンダークリニックの受診, ホルモン補充療法（HRT）, 性器にかかわる手術, </v>
      </c>
      <c r="AC230" s="8" t="s">
        <v>307</v>
      </c>
      <c r="AD230" s="8" t="str">
        <f>テーブル1[[#This Row],[以下のうち、経験したものをすべて選んでください]]&amp;" "&amp;テーブル1[[#This Row],[社会的、法的、医学的トランジションについて、困難なこと等がありましたらここにお書きください]]</f>
        <v>, 戸籍上の性別の変更, ジェンダークリニックの受診, ホルモン補充療法（HRT）, 性器にかかわる手術,  金銭面での負担が大きすぎる</v>
      </c>
      <c r="AE230" s="8" t="s">
        <v>462</v>
      </c>
      <c r="AF230" s="8" t="s">
        <v>457</v>
      </c>
      <c r="AG230" s="8" t="s">
        <v>458</v>
      </c>
      <c r="AH230" s="8"/>
      <c r="AI230" s="8">
        <f t="shared" si="9"/>
        <v>1</v>
      </c>
      <c r="AJ230" s="8"/>
      <c r="AK230" s="8"/>
      <c r="AL230" s="8"/>
      <c r="AM230" s="8"/>
      <c r="AN230" s="8"/>
    </row>
    <row r="231" spans="1:40" ht="25.5" hidden="1">
      <c r="A231" s="8">
        <v>231</v>
      </c>
      <c r="B231" s="11">
        <v>44971.68863336806</v>
      </c>
      <c r="C231" s="8" t="s">
        <v>452</v>
      </c>
      <c r="D231" s="8" t="s">
        <v>453</v>
      </c>
      <c r="E231" s="8" t="s">
        <v>452</v>
      </c>
      <c r="F231" s="8" t="s">
        <v>454</v>
      </c>
      <c r="G231" s="8" t="str">
        <f>", "&amp;'RAW (公開用)'!F232&amp;", "</f>
        <v xml:space="preserve">, X, </v>
      </c>
      <c r="H231" s="8"/>
      <c r="I231" s="8" t="str">
        <f>", "&amp;'RAW (公開用)'!H232&amp;", "</f>
        <v xml:space="preserve">, （any／問わない／どれでもよい）, </v>
      </c>
      <c r="J231" s="8" t="s">
        <v>2335</v>
      </c>
      <c r="K23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31" s="8" t="str">
        <f>", "&amp;'RAW (公開用)'!J232&amp;", "</f>
        <v xml:space="preserve">, **英語を日常的に使わない**, </v>
      </c>
      <c r="M231" s="8" t="s">
        <v>2335</v>
      </c>
      <c r="N23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31" s="8" t="str">
        <f>", "&amp;'RAW (公開用)'!L232&amp;", "</f>
        <v xml:space="preserve">, わたし, </v>
      </c>
      <c r="P231" s="8" t="s">
        <v>2335</v>
      </c>
      <c r="Q23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231" s="8" t="str">
        <f>", "&amp;'RAW (公開用)'!N231&amp;", "</f>
        <v xml:space="preserve">, （三人称で言及してほしくない）, </v>
      </c>
      <c r="S231" s="8" t="s">
        <v>2335</v>
      </c>
      <c r="T23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31" s="8" t="str">
        <f>", "&amp;'RAW (公開用)'!P232&amp;", "</f>
        <v xml:space="preserve">, he, they/them/their/themselves, </v>
      </c>
      <c r="V231" s="8" t="s">
        <v>455</v>
      </c>
      <c r="W231" s="8" t="str">
        <f>", "&amp;'RAW (公開用)'!R232&amp;", "</f>
        <v xml:space="preserve">, 性暴力, 家族／かぞくからの無理解, デッドネーミング（誤った名前で呼ばれること）, </v>
      </c>
      <c r="X231" s="8"/>
      <c r="Y23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家族／かぞくからの無理解, デッドネーミング（誤った名前で呼ばれること）,  </v>
      </c>
      <c r="Z231" s="8" t="s">
        <v>455</v>
      </c>
      <c r="AA231" s="8" t="str">
        <f>", "&amp;'RAW (公開用)'!U232&amp;", "</f>
        <v xml:space="preserve">, 声帯にかかわる手術, </v>
      </c>
      <c r="AB231" s="8" t="str">
        <f>", "&amp;'RAW (公開用)'!V232&amp;", "</f>
        <v xml:space="preserve">, （上記のどれも経験していない）, </v>
      </c>
      <c r="AC231" s="8"/>
      <c r="AD23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31" s="8" t="s">
        <v>563</v>
      </c>
      <c r="AF231" s="8" t="s">
        <v>457</v>
      </c>
      <c r="AG231" s="8" t="s">
        <v>458</v>
      </c>
      <c r="AH231" s="8"/>
      <c r="AI231" s="8">
        <f t="shared" si="9"/>
        <v>1</v>
      </c>
      <c r="AJ231" s="8"/>
      <c r="AK231" s="8"/>
      <c r="AL231" s="8"/>
      <c r="AM231" s="8"/>
      <c r="AN231" s="8"/>
    </row>
    <row r="232" spans="1:40" ht="12.75" hidden="1">
      <c r="A232" s="8">
        <v>232</v>
      </c>
      <c r="B232" s="11">
        <v>44971.714665173611</v>
      </c>
      <c r="C232" s="8" t="s">
        <v>452</v>
      </c>
      <c r="D232" s="8" t="s">
        <v>453</v>
      </c>
      <c r="E232" s="8" t="s">
        <v>452</v>
      </c>
      <c r="F232" s="8" t="s">
        <v>454</v>
      </c>
      <c r="G232" s="8" t="str">
        <f>", "&amp;'RAW (公開用)'!F233&amp;", "</f>
        <v xml:space="preserve">, 女性／woman, </v>
      </c>
      <c r="H232" s="8"/>
      <c r="I232" s="8" t="str">
        <f>", "&amp;'RAW (公開用)'!H233&amp;", "</f>
        <v xml:space="preserve">, ちゃん, さん, </v>
      </c>
      <c r="J232" s="8" t="s">
        <v>2335</v>
      </c>
      <c r="K23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232" s="8" t="str">
        <f>", "&amp;'RAW (公開用)'!J233&amp;", "</f>
        <v xml:space="preserve">, **英語を日常的に使わない**, Ms., </v>
      </c>
      <c r="M232" s="8" t="s">
        <v>2335</v>
      </c>
      <c r="N23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Ms., , </v>
      </c>
      <c r="O232" s="8" t="str">
        <f>", "&amp;'RAW (公開用)'!L233&amp;", "</f>
        <v xml:space="preserve">, 私（わたし／わたくし）, わたし, </v>
      </c>
      <c r="P232" s="8" t="s">
        <v>2335</v>
      </c>
      <c r="Q23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232" s="8" t="str">
        <f>", "&amp;'RAW (公開用)'!N232&amp;", "</f>
        <v xml:space="preserve">, 彼, </v>
      </c>
      <c r="S232" s="8" t="s">
        <v>2335</v>
      </c>
      <c r="T23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232" s="8" t="str">
        <f>", "&amp;'RAW (公開用)'!P233&amp;", "</f>
        <v xml:space="preserve">, she, they/them/their/themselves, </v>
      </c>
      <c r="V232" s="8" t="s">
        <v>455</v>
      </c>
      <c r="W232" s="8" t="s">
        <v>2174</v>
      </c>
      <c r="X232" s="8"/>
      <c r="Y23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232" s="8" t="s">
        <v>472</v>
      </c>
      <c r="AA232" s="8" t="s">
        <v>2174</v>
      </c>
      <c r="AB232" s="105" t="s">
        <v>2443</v>
      </c>
      <c r="AC232" s="8"/>
      <c r="AD232"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32" s="8" t="s">
        <v>474</v>
      </c>
      <c r="AF232" s="8" t="s">
        <v>457</v>
      </c>
      <c r="AG232" s="8" t="s">
        <v>458</v>
      </c>
      <c r="AH232" s="8"/>
      <c r="AI232" s="8">
        <f t="shared" si="9"/>
        <v>1</v>
      </c>
      <c r="AJ232" s="8"/>
      <c r="AK232" s="8"/>
      <c r="AL232" s="8"/>
      <c r="AM232" s="8"/>
      <c r="AN232" s="8"/>
    </row>
    <row r="233" spans="1:40" ht="25.5" hidden="1">
      <c r="A233" s="8">
        <v>233</v>
      </c>
      <c r="B233" s="11">
        <v>44971.814178356479</v>
      </c>
      <c r="C233" s="8" t="s">
        <v>452</v>
      </c>
      <c r="D233" s="8" t="s">
        <v>453</v>
      </c>
      <c r="E233" s="8" t="s">
        <v>452</v>
      </c>
      <c r="F233" s="8" t="s">
        <v>454</v>
      </c>
      <c r="G233" s="8" t="str">
        <f>", "&amp;'RAW (公開用)'!F234&amp;", "</f>
        <v xml:space="preserve">, ノンバイナリー, 無性, 不明／わからない, **必ず選んでください**, クエスチョニング, </v>
      </c>
      <c r="H233" s="8"/>
      <c r="I233" s="8" t="str">
        <f>", "&amp;'RAW (公開用)'!H234&amp;", "</f>
        <v xml:space="preserve">, （any／問わない／どれでもよい）, </v>
      </c>
      <c r="J233" s="8" t="s">
        <v>2335</v>
      </c>
      <c r="K23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33" s="8" t="str">
        <f>", "&amp;'RAW (公開用)'!J234&amp;", "</f>
        <v xml:space="preserve">, **英語を日常的に使わない**, </v>
      </c>
      <c r="M233" s="8" t="s">
        <v>2335</v>
      </c>
      <c r="N23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33" s="8" t="str">
        <f>", "&amp;'RAW (公開用)'!L234&amp;", "</f>
        <v xml:space="preserve">, 自分, </v>
      </c>
      <c r="P233" s="8" t="s">
        <v>2335</v>
      </c>
      <c r="Q23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 </v>
      </c>
      <c r="R233" s="8" t="str">
        <f>", "&amp;'RAW (公開用)'!N233&amp;", "</f>
        <v xml:space="preserve">, （any／問わない／どれでもよい）, </v>
      </c>
      <c r="S233" s="8" t="s">
        <v>2335</v>
      </c>
      <c r="T23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33" s="8" t="str">
        <f>", "&amp;'RAW (公開用)'!P234&amp;", "</f>
        <v xml:space="preserve">, **英語を日常的に使わない**, </v>
      </c>
      <c r="V233" s="8" t="s">
        <v>455</v>
      </c>
      <c r="W233" s="8" t="str">
        <f>", "&amp;'RAW (公開用)'!R234&amp;", "</f>
        <v xml:space="preserve">, 社会の中でいないことにされる, 職場や学校における無理解, 家族／かぞくからの無理解, </v>
      </c>
      <c r="X233" s="8"/>
      <c r="Y23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職場や学校における無理解, 家族／かぞくからの無理解,  </v>
      </c>
      <c r="Z233" s="8" t="s">
        <v>455</v>
      </c>
      <c r="AA233" s="8" t="str">
        <f>", "&amp;'RAW (公開用)'!U234&amp;", "</f>
        <v xml:space="preserve">, 性器にかかわる手術, </v>
      </c>
      <c r="AB233" s="8" t="str">
        <f>", "&amp;'RAW (公開用)'!V234&amp;", "</f>
        <v xml:space="preserve">, （上記のどれも経験していない）, </v>
      </c>
      <c r="AC233" s="8"/>
      <c r="AD23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33" s="8" t="s">
        <v>456</v>
      </c>
      <c r="AF233" s="8" t="s">
        <v>457</v>
      </c>
      <c r="AG233" s="8" t="s">
        <v>458</v>
      </c>
      <c r="AH233" s="8"/>
      <c r="AI233" s="8">
        <f t="shared" si="9"/>
        <v>4</v>
      </c>
      <c r="AJ233" s="8"/>
      <c r="AK233" s="8"/>
      <c r="AL233" s="8"/>
      <c r="AM233" s="8"/>
      <c r="AN233" s="8"/>
    </row>
    <row r="234" spans="1:40" ht="51" hidden="1">
      <c r="A234" s="8">
        <v>234</v>
      </c>
      <c r="B234" s="11">
        <v>44971.841441886572</v>
      </c>
      <c r="C234" s="8" t="s">
        <v>452</v>
      </c>
      <c r="D234" s="8" t="s">
        <v>453</v>
      </c>
      <c r="E234" s="8" t="s">
        <v>452</v>
      </c>
      <c r="F234" s="8" t="s">
        <v>454</v>
      </c>
      <c r="G234" s="8" t="str">
        <f>", "&amp;'RAW (公開用)'!F235&amp;", "</f>
        <v xml:space="preserve">, 女性／woman, デミガール, （ジェンダー・）フルイド／（ジェンダー・）フリュイド／（ジェンダー・）フルイッド, ノンバイナリー女性, ノンバイナリー, Aジェンダー／エイジェンダー／アジェンダー／agender, 無性, デミジェンダー, デミAジェンダー, </v>
      </c>
      <c r="H234" s="8"/>
      <c r="I234" s="8" t="str">
        <f>", "&amp;'RAW (公開用)'!H235&amp;", "</f>
        <v xml:space="preserve">, さん, （敬称なし）, ちゃん, </v>
      </c>
      <c r="J234" s="8" t="s">
        <v>2335</v>
      </c>
      <c r="K23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ちゃん,  , </v>
      </c>
      <c r="L234" s="8" t="str">
        <f>", "&amp;'RAW (公開用)'!J235&amp;", "</f>
        <v xml:space="preserve">, **英語を日常的に使わない**, </v>
      </c>
      <c r="M234" s="8" t="s">
        <v>2335</v>
      </c>
      <c r="N23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34" s="8" t="str">
        <f>", "&amp;'RAW (公開用)'!L235&amp;", "</f>
        <v xml:space="preserve">, 私（わたし／わたくし）, 自分, わたし, </v>
      </c>
      <c r="P234" s="8" t="s">
        <v>2335</v>
      </c>
      <c r="Q23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わたし,  , </v>
      </c>
      <c r="R234" s="8" t="str">
        <f>", "&amp;'RAW (公開用)'!N234&amp;", "</f>
        <v xml:space="preserve">, （三人称で言及してほしくない）, </v>
      </c>
      <c r="S234" s="8" t="s">
        <v>2335</v>
      </c>
      <c r="T23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34" s="8" t="str">
        <f>", "&amp;'RAW (公開用)'!P235&amp;", "</f>
        <v xml:space="preserve">, **英語を日常的に使わない**, </v>
      </c>
      <c r="V234" s="8" t="s">
        <v>455</v>
      </c>
      <c r="W234" s="8" t="str">
        <f>", "&amp;'RAW (公開用)'!R235&amp;", "</f>
        <v xml:space="preserve">, 家族／かぞくからの無理解, 社会の中でいないことにされる, カムアウトできない, ミスジェンダリング（誤った性別として扱うこと）, LGBTQ+運動からの排斥, 職場や学校における無理解, 性暴力, </v>
      </c>
      <c r="X234" s="8"/>
      <c r="Y23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社会の中でいないことにされる, カムアウトできない, ミスジェンダリング（誤った性別として扱うこと）, LGBTQ+運動からの排斥, 職場や学校における無理解, 性暴力,  </v>
      </c>
      <c r="Z234" s="8" t="s">
        <v>455</v>
      </c>
      <c r="AA234" s="8" t="str">
        <f>", "&amp;'RAW (公開用)'!U235&amp;", "</f>
        <v xml:space="preserve">, （上記のどれも希望していない）, </v>
      </c>
      <c r="AB234" s="8" t="str">
        <f>", "&amp;'RAW (公開用)'!V235&amp;", "</f>
        <v xml:space="preserve">, （上記のどれも経験していない）, </v>
      </c>
      <c r="AC234" s="8"/>
      <c r="AD23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34" s="8" t="s">
        <v>459</v>
      </c>
      <c r="AF234" s="8" t="s">
        <v>457</v>
      </c>
      <c r="AG234" s="8" t="s">
        <v>458</v>
      </c>
      <c r="AH234" s="8"/>
      <c r="AI234" s="8">
        <f t="shared" si="9"/>
        <v>9</v>
      </c>
      <c r="AJ234" s="8"/>
      <c r="AK234" s="8"/>
      <c r="AL234" s="8"/>
      <c r="AM234" s="8"/>
      <c r="AN234" s="8"/>
    </row>
    <row r="235" spans="1:40" ht="25.5" hidden="1">
      <c r="A235" s="8">
        <v>235</v>
      </c>
      <c r="B235" s="11">
        <v>44971.848973252316</v>
      </c>
      <c r="C235" s="8" t="s">
        <v>452</v>
      </c>
      <c r="D235" s="8" t="s">
        <v>453</v>
      </c>
      <c r="E235" s="8" t="s">
        <v>452</v>
      </c>
      <c r="F235" s="8" t="s">
        <v>454</v>
      </c>
      <c r="G235" s="8" t="str">
        <f>", "&amp;'RAW (公開用)'!F236&amp;", "</f>
        <v xml:space="preserve">, Xジェンダー, （ジェンダー・）フルイド／（ジェンダー・）フリュイド／（ジェンダー・）フルイッド, 女の子／girl, 無性, **必ず選んでください**, 不定性, </v>
      </c>
      <c r="H235" s="8"/>
      <c r="I235" s="8" t="str">
        <f>", "&amp;'RAW (公開用)'!H236&amp;", "</f>
        <v xml:space="preserve">, （any／問わない／どれでもよい）, ちゃん, さん, （時とともに変わる）, </v>
      </c>
      <c r="J235" s="8" t="s">
        <v>2335</v>
      </c>
      <c r="K23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ちゃん, さん, （時とともに変わる）,  , </v>
      </c>
      <c r="L235" s="8" t="str">
        <f>", "&amp;'RAW (公開用)'!J236&amp;", "</f>
        <v xml:space="preserve">, **英語を日常的に使わない**, </v>
      </c>
      <c r="M235" s="8" t="s">
        <v>2335</v>
      </c>
      <c r="N23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35" s="8" t="str">
        <f>", "&amp;'RAW (公開用)'!L236&amp;", "</f>
        <v xml:space="preserve">, 私（わたし／わたくし）, </v>
      </c>
      <c r="P235" s="8" t="s">
        <v>2335</v>
      </c>
      <c r="Q23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35" s="8" t="str">
        <f>", "&amp;'RAW (公開用)'!N235&amp;", "</f>
        <v xml:space="preserve">, （自分（たち）の名前）, （三人称で言及してほしくない）, 彼女, </v>
      </c>
      <c r="S235" s="8" t="s">
        <v>2335</v>
      </c>
      <c r="T23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彼女,  , </v>
      </c>
      <c r="U235" s="8" t="str">
        <f>", "&amp;'RAW (公開用)'!P236&amp;", "</f>
        <v xml:space="preserve">, **英語を日常的に使わない**, </v>
      </c>
      <c r="V235" s="8" t="s">
        <v>455</v>
      </c>
      <c r="W235" s="8" t="str">
        <f>", "&amp;'RAW (公開用)'!R236&amp;", "</f>
        <v xml:space="preserve">, 家族／かぞくからの無理解, </v>
      </c>
      <c r="X235" s="8" t="s">
        <v>270</v>
      </c>
      <c r="Y23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家族／かぞくからの無理解,  母親はきちんと理解して受け入れてくれたが、叔父さんやお婆ちゃんは受け入れづらいようだった。</v>
      </c>
      <c r="Z235" s="8" t="s">
        <v>455</v>
      </c>
      <c r="AA235" s="8" t="str">
        <f>", "&amp;'RAW (公開用)'!U236&amp;", "</f>
        <v xml:space="preserve">, 性器にかかわる手術, </v>
      </c>
      <c r="AB235" s="8" t="str">
        <f>", "&amp;'RAW (公開用)'!V236&amp;", "</f>
        <v xml:space="preserve">, （上記のどれも経験していない）, </v>
      </c>
      <c r="AC235" s="8"/>
      <c r="AD23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35" s="8" t="s">
        <v>464</v>
      </c>
      <c r="AF235" s="8" t="s">
        <v>457</v>
      </c>
      <c r="AG235" s="8" t="s">
        <v>458</v>
      </c>
      <c r="AH235" s="8"/>
      <c r="AI235" s="8">
        <f t="shared" si="9"/>
        <v>5</v>
      </c>
      <c r="AJ235" s="8"/>
      <c r="AK235" s="8"/>
      <c r="AL235" s="8"/>
      <c r="AM235" s="8"/>
      <c r="AN235" s="8"/>
    </row>
    <row r="236" spans="1:40" ht="63.75" hidden="1">
      <c r="A236" s="8">
        <v>114</v>
      </c>
      <c r="B236" s="11">
        <v>44970.308940000003</v>
      </c>
      <c r="C236" s="8" t="s">
        <v>452</v>
      </c>
      <c r="D236" s="8" t="s">
        <v>453</v>
      </c>
      <c r="E236" s="8" t="s">
        <v>452</v>
      </c>
      <c r="F236" s="8" t="s">
        <v>454</v>
      </c>
      <c r="G236" s="8" t="str">
        <f>", "&amp;'RAW (公開用)'!F115&amp;", "</f>
        <v xml:space="preserve">, ポリジェンダー, **必ず選んでください**, ジェンダーフラックス／フラックスジェンダー, （ジェンダー・）フルイド／（ジェンダー・）フリュイド／（ジェンダー・）フルイッド, 不定性, トランスマスキュリン, Xジェンダー, </v>
      </c>
      <c r="H236" s="8"/>
      <c r="I236" s="8" t="str">
        <f>", "&amp;'RAW (公開用)'!H115&amp;", "</f>
        <v xml:space="preserve">, さん, （時とともに変わる）, くん／君, （クエスチョニング、模索中、または不明）, </v>
      </c>
      <c r="J236" s="8" t="s">
        <v>2335</v>
      </c>
      <c r="K23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（時とともに変わる）, くん／君, （クエスチョニング、模索中、または不明）,  , </v>
      </c>
      <c r="L236" s="8" t="str">
        <f>", "&amp;'RAW (公開用)'!J115&amp;", "</f>
        <v xml:space="preserve">, -san, （クエスチョニング、模索中、または不明）, Mx., </v>
      </c>
      <c r="M236" s="8" t="s">
        <v>2335</v>
      </c>
      <c r="N23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（クエスチョニング、模索中、または不明）, Mx., , </v>
      </c>
      <c r="O236" s="8" t="str">
        <f>", "&amp;'RAW (公開用)'!L115&amp;", "</f>
        <v xml:space="preserve">, 自分, （一人称の使用を避ける）, 僕, （時とともに変わる）, 俺, 私（わたし／わたくし）, </v>
      </c>
      <c r="P236" s="16" t="s">
        <v>2397</v>
      </c>
      <c r="Q23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 （一人称の使用を避ける）, 僕, （時とともに変わる）, 俺, 私（わたし／わたくし）,  , あだ名,</v>
      </c>
      <c r="R236" s="8" t="str">
        <f>", "&amp;'RAW (公開用)'!N236&amp;", "</f>
        <v xml:space="preserve">, （自分（たち）の名前）, （any／問わない／どれでもよい）, 彼女, </v>
      </c>
      <c r="S236" s="8" t="s">
        <v>2355</v>
      </c>
      <c r="T23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（any／問わない／どれでもよい）, 彼女,  , {この/その/あの}+人,</v>
      </c>
      <c r="U236" s="8" t="str">
        <f>", "&amp;'RAW (公開用)'!P115&amp;", "</f>
        <v xml:space="preserve">, they/them/their/themself, （時とともに変わる）, （クエスチョニング、模索中、または不明）, </v>
      </c>
      <c r="V236" s="8" t="s">
        <v>455</v>
      </c>
      <c r="W236" s="8" t="str">
        <f>", "&amp;'RAW (公開用)'!R115&amp;", "</f>
        <v xml:space="preserve">, 社会の中でいないことにされる, 職場や学校における無理解, トイレなどのジェンダー化されたスペースの使用, </v>
      </c>
      <c r="X236" s="8" t="s">
        <v>282</v>
      </c>
      <c r="Y23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職場や学校における無理解, トイレなどのジェンダー化されたスペースの使用,  自分は回答時の2ヶ月後に就職する予定だが、学生と労働者で違う環境、違う差別を受けるのではないか不安。</v>
      </c>
      <c r="Z236" s="8" t="s">
        <v>455</v>
      </c>
      <c r="AA236" s="8" t="str">
        <f>", "&amp;'RAW (公開用)'!U115&amp;", "</f>
        <v xml:space="preserve">, ジェンダークリニックの受診, ホルモン補充療法（HRT）, 胸部の手術, 性器にかかわる手術, </v>
      </c>
      <c r="AB236" s="8" t="str">
        <f>", "&amp;'RAW (公開用)'!V115&amp;", "</f>
        <v xml:space="preserve">, （上記のどれも経験していない）, </v>
      </c>
      <c r="AC236" s="8" t="s">
        <v>410</v>
      </c>
      <c r="AD23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ジェンダーフルイドなので、クリニック受診時に出生時の判定性に対して所属感を持っていたりそれに近い感覚であると、トランジションへの意欲が下がってしまいそう。実際に言葉遣いなど個人の努力で達成可能な性別移行に時々困難がある。しかし、いつどのように変化していくのか自分でも把握しきれないので、いつ受診するのが良いかは分からない。</v>
      </c>
      <c r="AE236" s="8" t="s">
        <v>462</v>
      </c>
      <c r="AF236" s="8" t="s">
        <v>457</v>
      </c>
      <c r="AG236" s="8" t="s">
        <v>458</v>
      </c>
      <c r="AH236" s="8"/>
      <c r="AI236" s="8">
        <f t="shared" si="9"/>
        <v>6</v>
      </c>
      <c r="AJ236" s="8"/>
      <c r="AK236" s="8"/>
      <c r="AL236" s="8"/>
      <c r="AM236" s="8"/>
      <c r="AN236" s="8"/>
    </row>
    <row r="237" spans="1:40" ht="25.5" hidden="1">
      <c r="A237" s="8">
        <v>11</v>
      </c>
      <c r="B237" s="11">
        <v>44969.796962546301</v>
      </c>
      <c r="C237" s="8" t="s">
        <v>452</v>
      </c>
      <c r="D237" s="8" t="s">
        <v>453</v>
      </c>
      <c r="E237" s="8" t="s">
        <v>452</v>
      </c>
      <c r="F237" s="8" t="s">
        <v>454</v>
      </c>
      <c r="G237" s="8" t="str">
        <f>", "&amp;'RAW (公開用)'!F12&amp;", "</f>
        <v xml:space="preserve">, クィア／Queer, クエスチョニング, </v>
      </c>
      <c r="H237" s="8" t="s">
        <v>468</v>
      </c>
      <c r="I237" s="8" t="str">
        <f>", "&amp;'RAW (公開用)'!H12&amp;", "</f>
        <v xml:space="preserve">, くん／君, （any／問わない／どれでもよい）, ちゃん, （敬称なし）, </v>
      </c>
      <c r="J237" s="8" t="s">
        <v>2335</v>
      </c>
      <c r="K23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（any／問わない／どれでもよい）, ちゃん, （敬称なし）,  , </v>
      </c>
      <c r="L237" s="8" t="str">
        <f>", "&amp;'RAW (公開用)'!J12&amp;", "</f>
        <v xml:space="preserve">, （any／問わない／どれでもよい）, （敬称なし）, **英語を日常的に使わない**, （クエスチョニング、模索中、または不明）, </v>
      </c>
      <c r="M237" s="8" t="s">
        <v>2335</v>
      </c>
      <c r="N23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（敬称なし）, **英語を日常的に使わない**, （クエスチョニング、模索中、または不明）, , </v>
      </c>
      <c r="O237" s="8" t="str">
        <f>", "&amp;'RAW (公開用)'!L12&amp;", "</f>
        <v xml:space="preserve">, （時とともに変わる）, わたし, ぼく, あたし, 僕, </v>
      </c>
      <c r="P237" s="8" t="s">
        <v>2335</v>
      </c>
      <c r="Q23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わたし, ぼく, あたし, 僕,  , </v>
      </c>
      <c r="R237" s="8" t="str">
        <f>", "&amp;'RAW (公開用)'!N237&amp;", "</f>
        <v xml:space="preserve">, （自分（たち）の名前）, </v>
      </c>
      <c r="S237" s="16" t="s">
        <v>2299</v>
      </c>
      <c r="T23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こなた,</v>
      </c>
      <c r="U237" s="8" t="str">
        <f>", "&amp;'RAW (公開用)'!P12&amp;", "</f>
        <v xml:space="preserve">, any/問わない/どれでもよい, </v>
      </c>
      <c r="V237" s="8" t="s">
        <v>455</v>
      </c>
      <c r="W237" s="8" t="str">
        <f>", "&amp;'RAW (公開用)'!R12&amp;", "</f>
        <v xml:space="preserve">, LGBTQ+運動からの排斥, </v>
      </c>
      <c r="X237" s="8"/>
      <c r="Y23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v>
      </c>
      <c r="Z237" s="8" t="s">
        <v>455</v>
      </c>
      <c r="AA237" s="8" t="str">
        <f>", "&amp;'RAW (公開用)'!U12&amp;", "</f>
        <v xml:space="preserve">, （上記のどれも希望していない）, </v>
      </c>
      <c r="AB237" s="8" t="str">
        <f>", "&amp;'RAW (公開用)'!V12&amp;", "</f>
        <v xml:space="preserve">, （上記のどれも経験していない）, </v>
      </c>
      <c r="AC237" s="8"/>
      <c r="AD23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37" s="8" t="s">
        <v>456</v>
      </c>
      <c r="AF237" s="8" t="s">
        <v>457</v>
      </c>
      <c r="AG237" s="8" t="s">
        <v>458</v>
      </c>
      <c r="AH237" s="8"/>
      <c r="AI237" s="8">
        <f>((LEN(G237)-LEN(SUBSTITUTE(G237,", ","")))/LEN(", ")-1-(LEN(G237)-LEN(SUBSTITUTE(G237,"必ず","")))/LEN("必ず"))+(LEN(H237)-LEN(SUBSTITUTE(H237,",","")))</f>
        <v>3</v>
      </c>
      <c r="AJ237" s="8"/>
      <c r="AK237" s="8"/>
      <c r="AL237" s="8"/>
      <c r="AM237" s="8"/>
      <c r="AN237" s="8"/>
    </row>
    <row r="238" spans="1:40" ht="25.5" hidden="1">
      <c r="A238" s="8">
        <v>238</v>
      </c>
      <c r="B238" s="11">
        <v>44972.01081177083</v>
      </c>
      <c r="C238" s="8" t="s">
        <v>452</v>
      </c>
      <c r="D238" s="8" t="s">
        <v>453</v>
      </c>
      <c r="E238" s="8" t="s">
        <v>452</v>
      </c>
      <c r="F238" s="8" t="s">
        <v>454</v>
      </c>
      <c r="G238" s="8" t="str">
        <f>", "&amp;'RAW (公開用)'!F239&amp;", "</f>
        <v xml:space="preserve">, **必ず選んでください**, 男性／man, トランス男性, </v>
      </c>
      <c r="H238" s="8"/>
      <c r="I238" s="8" t="str">
        <f>", "&amp;'RAW (公開用)'!H239&amp;", "</f>
        <v xml:space="preserve">, さん, </v>
      </c>
      <c r="J238" s="8" t="s">
        <v>2335</v>
      </c>
      <c r="K23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38" s="8" t="str">
        <f>", "&amp;'RAW (公開用)'!J239&amp;", "</f>
        <v xml:space="preserve">, Mr., </v>
      </c>
      <c r="M238" s="8" t="s">
        <v>2335</v>
      </c>
      <c r="N23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Mr., , </v>
      </c>
      <c r="O238" s="8" t="str">
        <f>", "&amp;'RAW (公開用)'!L239&amp;", "</f>
        <v xml:space="preserve">, 私（わたし／わたくし）, </v>
      </c>
      <c r="P238" s="8" t="s">
        <v>2335</v>
      </c>
      <c r="Q23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38" s="8" t="str">
        <f>", "&amp;'RAW (公開用)'!N238&amp;", "</f>
        <v xml:space="preserve">, 彼人（かのと）, （三人称で言及してほしくない）, （自分（たち）の名前）, </v>
      </c>
      <c r="S238" s="8" t="s">
        <v>2335</v>
      </c>
      <c r="T23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（三人称で言及してほしくない）, （自分（たち）の名前）,  , </v>
      </c>
      <c r="U238" s="8" t="str">
        <f>", "&amp;'RAW (公開用)'!P239&amp;", "</f>
        <v xml:space="preserve">, **英語を日常的に使わない**, </v>
      </c>
      <c r="V238" s="8" t="s">
        <v>455</v>
      </c>
      <c r="W238" s="8" t="s">
        <v>2174</v>
      </c>
      <c r="X238" s="8" t="s">
        <v>294</v>
      </c>
      <c r="Y23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無回答 非常時（災害や収監）にホルモン治療ができないこと。</v>
      </c>
      <c r="Z238" s="8" t="s">
        <v>455</v>
      </c>
      <c r="AA238" s="8" t="str">
        <f>", "&amp;'RAW (公開用)'!U239&amp;", "</f>
        <v xml:space="preserve">, 戸籍名の変更, 戸籍上の性別の変更, ジェンダークリニックの受診, ホルモン補充療法（HRT）, 胸部の手術, </v>
      </c>
      <c r="AB238" s="8" t="str">
        <f>", "&amp;'RAW (公開用)'!V239&amp;", "</f>
        <v xml:space="preserve">, 戸籍名の変更, ジェンダークリニックの受診, ホルモン補充療法（HRT）, 胸部の手術, </v>
      </c>
      <c r="AC238" s="8" t="s">
        <v>312</v>
      </c>
      <c r="AD238"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胸部の手術,  金銭的な負担がある。法的性別が邪魔になる。</v>
      </c>
      <c r="AE238" s="8" t="s">
        <v>456</v>
      </c>
      <c r="AF238" s="8" t="s">
        <v>457</v>
      </c>
      <c r="AG238" s="8" t="s">
        <v>458</v>
      </c>
      <c r="AH238" s="8"/>
      <c r="AI238" s="8">
        <f t="shared" ref="AI238:AI258" si="10">(LEN(G238)-LEN(SUBSTITUTE(G238,", ","")))/LEN(", ")-1-(LEN(G238)-LEN(SUBSTITUTE(G238,"必ず","")))/LEN("必ず")</f>
        <v>2</v>
      </c>
      <c r="AJ238" s="8"/>
      <c r="AK238" s="8"/>
      <c r="AL238" s="8"/>
      <c r="AM238" s="8"/>
      <c r="AN238" s="8"/>
    </row>
    <row r="239" spans="1:40" ht="38.25" hidden="1">
      <c r="A239" s="8">
        <v>91</v>
      </c>
      <c r="B239" s="11">
        <v>44969.973700416667</v>
      </c>
      <c r="C239" s="8" t="s">
        <v>452</v>
      </c>
      <c r="D239" s="8" t="s">
        <v>453</v>
      </c>
      <c r="E239" s="8" t="s">
        <v>452</v>
      </c>
      <c r="F239" s="8" t="s">
        <v>454</v>
      </c>
      <c r="G239" s="8" t="str">
        <f>", "&amp;'RAW (公開用)'!F92&amp;", "</f>
        <v xml:space="preserve">, （ジェンダー・）フルイド／（ジェンダー・）フリュイド／（ジェンダー・）フルイッド, Xジェンダー, 両性, ジェンダーフラックス／フラックスジェンダー, バイジェンダー, ポリジェンダー, </v>
      </c>
      <c r="H239" s="8"/>
      <c r="I239" s="8" t="str">
        <f>", "&amp;'RAW (公開用)'!H92&amp;", "</f>
        <v xml:space="preserve">, たん, さん, ちゃん, （any／問わない／どれでもよい）, </v>
      </c>
      <c r="J239" s="8" t="s">
        <v>2335</v>
      </c>
      <c r="K23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たん, さん, ちゃん, （any／問わない／どれでもよい）,  , </v>
      </c>
      <c r="L239" s="8" t="str">
        <f>", "&amp;'RAW (公開用)'!J92&amp;", "</f>
        <v xml:space="preserve">, **英語を日常的に使わない**, </v>
      </c>
      <c r="M239" s="8" t="s">
        <v>2335</v>
      </c>
      <c r="N23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39" s="8" t="str">
        <f>", "&amp;'RAW (公開用)'!L92&amp;", "</f>
        <v xml:space="preserve">, あたし, （自分（たち）の名前）, 俺, 私（わたし／わたくし）, </v>
      </c>
      <c r="P239" s="8" t="s">
        <v>2398</v>
      </c>
      <c r="Q23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あたし, （自分（たち）の名前）, 俺, 私（わたし／わたくし）,  , わい</v>
      </c>
      <c r="R239" s="8" t="str">
        <f>", "&amp;'RAW (公開用)'!N239&amp;", "</f>
        <v xml:space="preserve">, 彼, </v>
      </c>
      <c r="S239" s="8" t="s">
        <v>2335</v>
      </c>
      <c r="T23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239" s="8" t="str">
        <f>", "&amp;'RAW (公開用)'!P92&amp;", "</f>
        <v xml:space="preserve">, she, </v>
      </c>
      <c r="V239" s="8" t="s">
        <v>455</v>
      </c>
      <c r="W239" s="8" t="str">
        <f>", "&amp;'RAW (公開用)'!R92&amp;", "</f>
        <v xml:space="preserve">, カムアウトできない, 家族／かぞくからの無理解, アウティング（勝手にジェンダーや指向についての情報を明かされること）, </v>
      </c>
      <c r="X239" s="8"/>
      <c r="Y23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家族／かぞくからの無理解, アウティング（勝手にジェンダーや指向についての情報を明かされること）,  </v>
      </c>
      <c r="Z239" s="8" t="s">
        <v>455</v>
      </c>
      <c r="AA239" s="8" t="str">
        <f>", "&amp;'RAW (公開用)'!U92&amp;", "</f>
        <v xml:space="preserve">, （上記のどれも希望していない）, </v>
      </c>
      <c r="AB239" s="8" t="str">
        <f>", "&amp;'RAW (公開用)'!V92&amp;", "</f>
        <v xml:space="preserve">, （上記のどれも経験していない）, </v>
      </c>
      <c r="AC239" s="8"/>
      <c r="AD23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39" s="8" t="s">
        <v>462</v>
      </c>
      <c r="AF239" s="8" t="s">
        <v>457</v>
      </c>
      <c r="AG239" s="8" t="s">
        <v>458</v>
      </c>
      <c r="AH239" s="8"/>
      <c r="AI239" s="8">
        <f t="shared" si="10"/>
        <v>6</v>
      </c>
      <c r="AJ239" s="8"/>
      <c r="AK239" s="8"/>
      <c r="AL239" s="8"/>
      <c r="AM239" s="8"/>
      <c r="AN239" s="8"/>
    </row>
    <row r="240" spans="1:40" ht="25.5" hidden="1">
      <c r="A240" s="8">
        <v>105</v>
      </c>
      <c r="B240" s="11">
        <v>44970.070299479165</v>
      </c>
      <c r="C240" s="8" t="s">
        <v>452</v>
      </c>
      <c r="D240" s="8" t="s">
        <v>453</v>
      </c>
      <c r="E240" s="8" t="s">
        <v>452</v>
      </c>
      <c r="F240" s="8" t="s">
        <v>454</v>
      </c>
      <c r="G240" s="8" t="str">
        <f>", "&amp;'RAW (公開用)'!F106&amp;", "</f>
        <v xml:space="preserve">, **必ず選んでください**, デミガール, ノンバイナリー, </v>
      </c>
      <c r="H240" s="8"/>
      <c r="I240" s="8" t="str">
        <f>", "&amp;'RAW (公開用)'!H106&amp;", "</f>
        <v xml:space="preserve">, ちゃん, さん, </v>
      </c>
      <c r="J240" s="8" t="s">
        <v>2335</v>
      </c>
      <c r="K24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240" s="8" t="str">
        <f>", "&amp;'RAW (公開用)'!J106&amp;", "</f>
        <v xml:space="preserve">, **英語を日常的に使わない**, </v>
      </c>
      <c r="M240" s="8" t="s">
        <v>2335</v>
      </c>
      <c r="N24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40" s="8" t="str">
        <f>", "&amp;'RAW (公開用)'!L106&amp;", "</f>
        <v xml:space="preserve">, 僕, 私（わたし／わたくし）, ぼく, 俺, （時とともに変わる）, おれ, 自分, わたし, わし, </v>
      </c>
      <c r="P240" s="8" t="s">
        <v>2399</v>
      </c>
      <c r="Q24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僕, 私（わたし／わたくし）, ぼく, 俺, （時とともに変わる）, おれ, 自分, わたし, わし,  , ワイ</v>
      </c>
      <c r="R240" s="8" t="str">
        <f>", "&amp;'RAW (公開用)'!N240&amp;", "</f>
        <v xml:space="preserve">, （自分（たち）の名前）, </v>
      </c>
      <c r="S240" s="8" t="s">
        <v>2335</v>
      </c>
      <c r="T24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40" s="8" t="str">
        <f>", "&amp;'RAW (公開用)'!P106&amp;", "</f>
        <v xml:space="preserve">, **英語を日常的に使わない**, </v>
      </c>
      <c r="V240" s="8" t="s">
        <v>455</v>
      </c>
      <c r="W240" s="8" t="str">
        <f>", "&amp;'RAW (公開用)'!R106&amp;", "</f>
        <v xml:space="preserve">, 家族／かぞくからの無理解, カムアウトできない, 社会の中でいないことにされる, 職場や学校における無理解, </v>
      </c>
      <c r="X240" s="8"/>
      <c r="Y24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カムアウトできない, 社会の中でいないことにされる, 職場や学校における無理解,  </v>
      </c>
      <c r="Z240" s="8" t="s">
        <v>455</v>
      </c>
      <c r="AA240" s="8" t="str">
        <f>", "&amp;'RAW (公開用)'!U106&amp;", "</f>
        <v xml:space="preserve">, （上記のどれも希望していない）, </v>
      </c>
      <c r="AB240" s="8" t="str">
        <f>", "&amp;'RAW (公開用)'!V106&amp;", "</f>
        <v xml:space="preserve">, （上記のどれも経験していない）, </v>
      </c>
      <c r="AC240" s="8"/>
      <c r="AD24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0" s="8" t="s">
        <v>464</v>
      </c>
      <c r="AF240" s="8" t="s">
        <v>457</v>
      </c>
      <c r="AG240" s="8" t="s">
        <v>458</v>
      </c>
      <c r="AH240" s="8"/>
      <c r="AI240" s="8">
        <f t="shared" si="10"/>
        <v>2</v>
      </c>
      <c r="AJ240" s="8"/>
      <c r="AK240" s="8"/>
      <c r="AL240" s="8"/>
      <c r="AM240" s="8"/>
      <c r="AN240" s="8"/>
    </row>
    <row r="241" spans="1:40" ht="38.25" hidden="1">
      <c r="A241" s="8">
        <v>241</v>
      </c>
      <c r="B241" s="11">
        <v>44972.531819097218</v>
      </c>
      <c r="C241" s="8" t="s">
        <v>452</v>
      </c>
      <c r="D241" s="8" t="s">
        <v>453</v>
      </c>
      <c r="E241" s="8" t="s">
        <v>452</v>
      </c>
      <c r="F241" s="8" t="s">
        <v>454</v>
      </c>
      <c r="G241" s="8" t="str">
        <f>", "&amp;'RAW (公開用)'!F242&amp;", "</f>
        <v xml:space="preserve">, Xジェンダー, 中性, ジェンダーレス, **必ず選んでください**, ボイ, X, </v>
      </c>
      <c r="H241" s="8"/>
      <c r="I241" s="8" t="str">
        <f>", "&amp;'RAW (公開用)'!H242&amp;", "</f>
        <v xml:space="preserve">, （any／問わない／どれでもよい）, さん, </v>
      </c>
      <c r="J241" s="8" t="s">
        <v>2335</v>
      </c>
      <c r="K24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さん,  , </v>
      </c>
      <c r="L241" s="8" t="str">
        <f>", "&amp;'RAW (公開用)'!J242&amp;", "</f>
        <v xml:space="preserve">, **英語を日常的に使わない**, </v>
      </c>
      <c r="M241" s="8" t="s">
        <v>2335</v>
      </c>
      <c r="N24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41" s="8" t="str">
        <f>", "&amp;'RAW (公開用)'!L242&amp;", "</f>
        <v xml:space="preserve">, 私（わたし／わたくし）, </v>
      </c>
      <c r="P241" s="8" t="s">
        <v>2335</v>
      </c>
      <c r="Q24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41" s="8" t="str">
        <f>", "&amp;'RAW (公開用)'!N241&amp;", "</f>
        <v xml:space="preserve">, （自分（たち）の名前）, （三人称で言及してほしくない）, </v>
      </c>
      <c r="S241" s="8" t="s">
        <v>2335</v>
      </c>
      <c r="T24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41" s="8" t="str">
        <f>", "&amp;'RAW (公開用)'!P242&amp;", "</f>
        <v xml:space="preserve">, **英語を日常的に使わない**, </v>
      </c>
      <c r="V241" s="8" t="s">
        <v>455</v>
      </c>
      <c r="W241" s="8" t="str">
        <f>", "&amp;'RAW (公開用)'!R242&amp;", "</f>
        <v xml:space="preserve">, アウティング（勝手にジェンダーや指向についての情報を明かされること）, 医療における無理解, 社会の中でいないことにされる, 職場や学校における無理解, カムアウトできない, 家族／かぞくからの無理解, </v>
      </c>
      <c r="X241" s="8"/>
      <c r="Y24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医療における無理解, 社会の中でいないことにされる, 職場や学校における無理解, カムアウトできない, 家族／かぞくからの無理解,  </v>
      </c>
      <c r="Z241" s="8" t="s">
        <v>455</v>
      </c>
      <c r="AA241" s="8" t="str">
        <f>", "&amp;'RAW (公開用)'!U242&amp;", "</f>
        <v xml:space="preserve">, （上記のどれも希望していない）, </v>
      </c>
      <c r="AB241" s="8" t="str">
        <f>", "&amp;'RAW (公開用)'!V242&amp;", "</f>
        <v xml:space="preserve">, （上記のどれも経験していない）, </v>
      </c>
      <c r="AC241" s="8"/>
      <c r="AD24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1" s="8" t="s">
        <v>479</v>
      </c>
      <c r="AF241" s="8" t="s">
        <v>457</v>
      </c>
      <c r="AG241" s="8" t="s">
        <v>458</v>
      </c>
      <c r="AH241" s="8"/>
      <c r="AI241" s="8">
        <f t="shared" si="10"/>
        <v>5</v>
      </c>
      <c r="AJ241" s="8"/>
      <c r="AK241" s="8"/>
      <c r="AL241" s="8"/>
      <c r="AM241" s="8"/>
      <c r="AN241" s="8"/>
    </row>
    <row r="242" spans="1:40" ht="51" hidden="1">
      <c r="A242" s="8">
        <v>242</v>
      </c>
      <c r="B242" s="11">
        <v>44972.758295081017</v>
      </c>
      <c r="C242" s="8" t="s">
        <v>452</v>
      </c>
      <c r="D242" s="8" t="s">
        <v>453</v>
      </c>
      <c r="E242" s="8" t="s">
        <v>452</v>
      </c>
      <c r="F242" s="8" t="s">
        <v>454</v>
      </c>
      <c r="G242" s="8" t="str">
        <f>", "&amp;'RAW (公開用)'!F243&amp;", "</f>
        <v xml:space="preserve">, （ジェンダー・）フルイド／（ジェンダー・）フリュイド／（ジェンダー・）フルイッド, ニュートラル, クィア／Queer, **必ず選んでください**, Xジェンダー, ノンバイナリー, </v>
      </c>
      <c r="H242" s="8"/>
      <c r="I242" s="8" t="str">
        <f>", "&amp;'RAW (公開用)'!H243&amp;", "</f>
        <v xml:space="preserve">, さん, （クエスチョニング、模索中、または不明）, </v>
      </c>
      <c r="J242" s="8" t="s">
        <v>2335</v>
      </c>
      <c r="K24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 </v>
      </c>
      <c r="L242" s="8" t="str">
        <f>", "&amp;'RAW (公開用)'!J243&amp;", "</f>
        <v xml:space="preserve">, （クエスチョニング、模索中、または不明）, </v>
      </c>
      <c r="M242" s="8" t="s">
        <v>2335</v>
      </c>
      <c r="N24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 </v>
      </c>
      <c r="O242" s="8" t="str">
        <f>", "&amp;'RAW (公開用)'!L243&amp;", "</f>
        <v xml:space="preserve">, 私（わたし／わたくし）, （自分（たち）の名前）, 僕, </v>
      </c>
      <c r="P242" s="8" t="s">
        <v>2335</v>
      </c>
      <c r="Q24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（自分（たち）の名前）, 僕,  , </v>
      </c>
      <c r="R242" s="8" t="str">
        <f>", "&amp;'RAW (公開用)'!N242&amp;", "</f>
        <v xml:space="preserve">, （any／問わない／どれでもよい）, </v>
      </c>
      <c r="S242" s="8" t="s">
        <v>2335</v>
      </c>
      <c r="T24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42" s="8" t="str">
        <f>", "&amp;'RAW (公開用)'!P243&amp;", "</f>
        <v xml:space="preserve">, （クエスチョニング、模索中、または不明）, </v>
      </c>
      <c r="V242" s="8" t="s">
        <v>455</v>
      </c>
      <c r="W242" s="8" t="str">
        <f>", "&amp;'RAW (公開用)'!R243&amp;", "</f>
        <v xml:space="preserve">, 医療における無理解, ミスジェンダリング（誤った性別として扱うこと）, カムアウトできない, 職場や学校における無理解, 家族／かぞくからの無理解, 社会の中でいないことにされる, 必要なジェンダーケアへアクセスできない, 性暴力, トイレなどのジェンダー化されたスペースの使用, </v>
      </c>
      <c r="X242" s="8"/>
      <c r="Y24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ミスジェンダリング（誤った性別として扱うこと）, カムアウトできない, 職場や学校における無理解, 家族／かぞくからの無理解, 社会の中でいないことにされる, 必要なジェンダーケアへアクセスできない, 性暴力, トイレなどのジェンダー化されたスペースの使用,  </v>
      </c>
      <c r="Z242" s="8" t="s">
        <v>455</v>
      </c>
      <c r="AA242" s="8" t="str">
        <f>", "&amp;'RAW (公開用)'!U243&amp;", "</f>
        <v xml:space="preserve">, 戸籍名の変更, 戸籍上の性別の変更, ジェンダークリニックの受診, 胸部の手術, </v>
      </c>
      <c r="AB242" s="8" t="str">
        <f>", "&amp;'RAW (公開用)'!V243&amp;", "</f>
        <v xml:space="preserve">, （上記のどれも経験していない）, </v>
      </c>
      <c r="AC242" s="8"/>
      <c r="AD24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2" s="8" t="s">
        <v>462</v>
      </c>
      <c r="AF242" s="8" t="s">
        <v>457</v>
      </c>
      <c r="AG242" s="8" t="s">
        <v>458</v>
      </c>
      <c r="AH242" s="8"/>
      <c r="AI242" s="8">
        <f t="shared" si="10"/>
        <v>5</v>
      </c>
      <c r="AJ242" s="8"/>
      <c r="AK242" s="8"/>
      <c r="AL242" s="8"/>
      <c r="AM242" s="8"/>
      <c r="AN242" s="8"/>
    </row>
    <row r="243" spans="1:40" ht="12.75" hidden="1">
      <c r="A243" s="8">
        <v>243</v>
      </c>
      <c r="B243" s="11">
        <v>44973.070707210645</v>
      </c>
      <c r="C243" s="8" t="s">
        <v>452</v>
      </c>
      <c r="D243" s="8" t="s">
        <v>453</v>
      </c>
      <c r="E243" s="8" t="s">
        <v>452</v>
      </c>
      <c r="F243" s="8" t="s">
        <v>454</v>
      </c>
      <c r="G243" s="8" t="str">
        <f>", "&amp;'RAW (公開用)'!F244&amp;", "</f>
        <v xml:space="preserve">, **必ず選んでください**, 不明／わからない, </v>
      </c>
      <c r="H243" s="8"/>
      <c r="I243" s="8" t="str">
        <f>", "&amp;'RAW (公開用)'!H244&amp;", "</f>
        <v xml:space="preserve">, さん, </v>
      </c>
      <c r="J243" s="8" t="s">
        <v>2335</v>
      </c>
      <c r="K24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43" s="8" t="str">
        <f>", "&amp;'RAW (公開用)'!J244&amp;", "</f>
        <v xml:space="preserve">, **英語を日常的に使わない**, </v>
      </c>
      <c r="M243" s="8" t="s">
        <v>2335</v>
      </c>
      <c r="N24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43" s="8" t="str">
        <f>", "&amp;'RAW (公開用)'!L244&amp;", "</f>
        <v xml:space="preserve">, 私（わたし／わたくし）, 自分, </v>
      </c>
      <c r="P243" s="8" t="s">
        <v>2335</v>
      </c>
      <c r="Q24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243" s="8" t="str">
        <f>", "&amp;'RAW (公開用)'!N243&amp;", "</f>
        <v xml:space="preserve">, （三人称で言及してほしくない）, </v>
      </c>
      <c r="S243" s="8" t="s">
        <v>2335</v>
      </c>
      <c r="T24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43" s="8" t="str">
        <f>", "&amp;'RAW (公開用)'!P244&amp;", "</f>
        <v xml:space="preserve">, **英語を日常的に使わない**, </v>
      </c>
      <c r="V243" s="8" t="s">
        <v>455</v>
      </c>
      <c r="W243" s="8" t="s">
        <v>2174</v>
      </c>
      <c r="X243" s="8"/>
      <c r="Y24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243" s="8" t="s">
        <v>455</v>
      </c>
      <c r="AA243" s="8" t="s">
        <v>2174</v>
      </c>
      <c r="AB243" s="105" t="s">
        <v>2443</v>
      </c>
      <c r="AC243" s="8"/>
      <c r="AD243"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43" s="8" t="s">
        <v>459</v>
      </c>
      <c r="AF243" s="8" t="s">
        <v>457</v>
      </c>
      <c r="AG243" s="8" t="s">
        <v>458</v>
      </c>
      <c r="AH243" s="8"/>
      <c r="AI243" s="8">
        <f t="shared" si="10"/>
        <v>1</v>
      </c>
      <c r="AJ243" s="8"/>
      <c r="AK243" s="8"/>
      <c r="AL243" s="8"/>
      <c r="AM243" s="8"/>
      <c r="AN243" s="8"/>
    </row>
    <row r="244" spans="1:40" ht="25.5" hidden="1">
      <c r="A244" s="8">
        <v>244</v>
      </c>
      <c r="B244" s="11">
        <v>44973.09286336806</v>
      </c>
      <c r="C244" s="8" t="s">
        <v>452</v>
      </c>
      <c r="D244" s="8" t="s">
        <v>453</v>
      </c>
      <c r="E244" s="8" t="s">
        <v>452</v>
      </c>
      <c r="F244" s="8" t="s">
        <v>454</v>
      </c>
      <c r="G244" s="8" t="str">
        <f>", "&amp;'RAW (公開用)'!F245&amp;", "</f>
        <v xml:space="preserve">, **必ず選んでください**, 女性／woman, クエスチョニング, クィア／Queer, </v>
      </c>
      <c r="H244" s="8"/>
      <c r="I244" s="8" t="str">
        <f>", "&amp;'RAW (公開用)'!H245&amp;", "</f>
        <v xml:space="preserve">, （any／問わない／どれでもよい）, </v>
      </c>
      <c r="J244" s="8" t="s">
        <v>2335</v>
      </c>
      <c r="K24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44" s="8" t="str">
        <f>", "&amp;'RAW (公開用)'!J245&amp;", "</f>
        <v xml:space="preserve">, **英語を日常的に使わない**, </v>
      </c>
      <c r="M244" s="8" t="s">
        <v>2335</v>
      </c>
      <c r="N24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44" s="8" t="str">
        <f>", "&amp;'RAW (公開用)'!L245&amp;", "</f>
        <v xml:space="preserve">, わたし, 私（わたし／わたくし）, あたし, </v>
      </c>
      <c r="P244" s="8" t="s">
        <v>2335</v>
      </c>
      <c r="Q24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あたし,  , </v>
      </c>
      <c r="R244" s="8" t="str">
        <f>", "&amp;'RAW (公開用)'!N244&amp;", "</f>
        <v xml:space="preserve">, （自分（たち）の名前）, </v>
      </c>
      <c r="S244" s="8" t="s">
        <v>2335</v>
      </c>
      <c r="T24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44" s="8" t="str">
        <f>", "&amp;'RAW (公開用)'!P245&amp;", "</f>
        <v xml:space="preserve">, **英語を日常的に使わない**, </v>
      </c>
      <c r="V244" s="8" t="s">
        <v>455</v>
      </c>
      <c r="W244" s="8" t="str">
        <f>", "&amp;'RAW (公開用)'!R245&amp;", "</f>
        <v xml:space="preserve">, カムアウトできない, </v>
      </c>
      <c r="X244" s="8" t="s">
        <v>233</v>
      </c>
      <c r="Y24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カムアウトできない,  もっとQ＋についての認知が広まるといいのにと強く 切実に思う</v>
      </c>
      <c r="Z244" s="8" t="s">
        <v>455</v>
      </c>
      <c r="AA244" s="8" t="str">
        <f>", "&amp;'RAW (公開用)'!U245&amp;", "</f>
        <v xml:space="preserve">, （上記のどれも希望していない）, </v>
      </c>
      <c r="AB244" s="8" t="str">
        <f>", "&amp;'RAW (公開用)'!V245&amp;", "</f>
        <v xml:space="preserve">, （上記のどれも経験していない）, </v>
      </c>
      <c r="AC244" s="8"/>
      <c r="AD24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4" s="8" t="s">
        <v>462</v>
      </c>
      <c r="AF244" s="8" t="s">
        <v>457</v>
      </c>
      <c r="AG244" s="8" t="s">
        <v>458</v>
      </c>
      <c r="AH244" s="8"/>
      <c r="AI244" s="8">
        <f t="shared" si="10"/>
        <v>3</v>
      </c>
      <c r="AJ244" s="8"/>
      <c r="AK244" s="8"/>
      <c r="AL244" s="8"/>
      <c r="AM244" s="8"/>
      <c r="AN244" s="8"/>
    </row>
    <row r="245" spans="1:40" ht="63.75" hidden="1">
      <c r="A245" s="8">
        <v>245</v>
      </c>
      <c r="B245" s="11">
        <v>44973.734177256949</v>
      </c>
      <c r="C245" s="8" t="s">
        <v>452</v>
      </c>
      <c r="D245" s="8" t="s">
        <v>453</v>
      </c>
      <c r="E245" s="8" t="s">
        <v>452</v>
      </c>
      <c r="F245" s="8" t="s">
        <v>454</v>
      </c>
      <c r="G245" s="8" t="str">
        <f>", "&amp;'RAW (公開用)'!F246&amp;", "</f>
        <v xml:space="preserve">, ノンバイナリー, **必ず選んでください**, </v>
      </c>
      <c r="H245" s="8"/>
      <c r="I245" s="8" t="str">
        <f>", "&amp;'RAW (公開用)'!H246&amp;", "</f>
        <v xml:space="preserve">, （敬称なし）, さん, </v>
      </c>
      <c r="J245" s="8" t="s">
        <v>2335</v>
      </c>
      <c r="K24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245" s="8" t="str">
        <f>", "&amp;'RAW (公開用)'!J246&amp;", "</f>
        <v xml:space="preserve">, （敬称なし）, </v>
      </c>
      <c r="M245" s="8" t="s">
        <v>2335</v>
      </c>
      <c r="N24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245" s="8" t="str">
        <f>", "&amp;'RAW (公開用)'!L246&amp;", "</f>
        <v xml:space="preserve">, （自分（たち）の名前）, 自分, </v>
      </c>
      <c r="P245" s="8" t="s">
        <v>2335</v>
      </c>
      <c r="Q24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自分,  , </v>
      </c>
      <c r="R245" s="8" t="str">
        <f>", "&amp;'RAW (公開用)'!N245&amp;", "</f>
        <v xml:space="preserve">, （any／問わない／どれでもよい）, </v>
      </c>
      <c r="S245" s="8" t="s">
        <v>2335</v>
      </c>
      <c r="T24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45" s="8" t="str">
        <f>", "&amp;'RAW (公開用)'!P246&amp;", "</f>
        <v xml:space="preserve">, they/them/their/themselves, they/them/their/themself, </v>
      </c>
      <c r="V245" s="8" t="s">
        <v>455</v>
      </c>
      <c r="W245" s="8" t="str">
        <f>", "&amp;'RAW (公開用)'!R246&amp;", "</f>
        <v xml:space="preserve">, トイレなどのジェンダー化されたスペースの使用, ミスジェンダリング（誤った性別として扱うこと）, 家族／かぞくからの無理解, LGBTQ+運動からの排斥, 職場や学校における無理解, 必要なジェンダーケアへアクセスできない, デッドネーミング（誤った名前で呼ばれること）, 社会の中でいないことにされる, カムアウトできない, </v>
      </c>
      <c r="X245" s="8"/>
      <c r="Y24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ミスジェンダリング（誤った性別として扱うこと）, 家族／かぞくからの無理解, LGBTQ+運動からの排斥, 職場や学校における無理解, 必要なジェンダーケアへアクセスできない, デッドネーミング（誤った名前で呼ばれること）, 社会の中でいないことにされる, カムアウトできない,  </v>
      </c>
      <c r="Z245" s="8" t="s">
        <v>455</v>
      </c>
      <c r="AA245" s="8" t="str">
        <f>", "&amp;'RAW (公開用)'!U246&amp;", "</f>
        <v xml:space="preserve">, （上記のどれも希望していない）, </v>
      </c>
      <c r="AB245" s="8" t="str">
        <f>", "&amp;'RAW (公開用)'!V246&amp;", "</f>
        <v xml:space="preserve">, （上記のどれも経験していない）, </v>
      </c>
      <c r="AC245" s="8"/>
      <c r="AD24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5" s="8" t="s">
        <v>462</v>
      </c>
      <c r="AF245" s="8" t="s">
        <v>457</v>
      </c>
      <c r="AG245" s="8" t="s">
        <v>458</v>
      </c>
      <c r="AH245" s="8" t="s">
        <v>566</v>
      </c>
      <c r="AI245" s="8">
        <f t="shared" si="10"/>
        <v>1</v>
      </c>
      <c r="AJ245" s="8"/>
      <c r="AK245" s="8"/>
      <c r="AL245" s="8"/>
      <c r="AM245" s="8"/>
      <c r="AN245" s="8"/>
    </row>
    <row r="246" spans="1:40" ht="25.5" hidden="1">
      <c r="A246" s="8">
        <v>246</v>
      </c>
      <c r="B246" s="11">
        <v>44973.882135821761</v>
      </c>
      <c r="C246" s="8" t="s">
        <v>452</v>
      </c>
      <c r="D246" s="8" t="s">
        <v>453</v>
      </c>
      <c r="E246" s="8" t="s">
        <v>452</v>
      </c>
      <c r="F246" s="8" t="s">
        <v>454</v>
      </c>
      <c r="G246" s="8" t="str">
        <f>", "&amp;'RAW (公開用)'!F247&amp;", "</f>
        <v xml:space="preserve">, 両性, デミボーイ, **必ず選んでください**, ノンバイナリー, 不定性, （ジェンダー・）フルイド／（ジェンダー・）フリュイド／（ジェンダー・）フルイッド, </v>
      </c>
      <c r="H246" s="8"/>
      <c r="I246" s="8" t="str">
        <f>", "&amp;'RAW (公開用)'!H247&amp;", "</f>
        <v xml:space="preserve">, ちゃん, さん, </v>
      </c>
      <c r="J246" s="8" t="s">
        <v>2335</v>
      </c>
      <c r="K24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246" s="8" t="str">
        <f>", "&amp;'RAW (公開用)'!J247&amp;", "</f>
        <v xml:space="preserve">, **英語を日常的に使わない**, -san, </v>
      </c>
      <c r="M246" s="8" t="s">
        <v>2335</v>
      </c>
      <c r="N24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246" s="8" t="str">
        <f>", "&amp;'RAW (公開用)'!L247&amp;", "</f>
        <v xml:space="preserve">, あたし, （一人称の使用を避ける）, わたし, </v>
      </c>
      <c r="P246" s="8" t="s">
        <v>2335</v>
      </c>
      <c r="Q24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（一人称の使用を避ける）, わたし,  , </v>
      </c>
      <c r="R246" s="8" t="str">
        <f>", "&amp;'RAW (公開用)'!N246&amp;", "</f>
        <v xml:space="preserve">, （自分（たち）の名前）, （三人称で言及してほしくない）, </v>
      </c>
      <c r="S246" s="8" t="s">
        <v>2335</v>
      </c>
      <c r="T24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46" s="8" t="str">
        <f>", "&amp;'RAW (公開用)'!P247&amp;", "</f>
        <v xml:space="preserve">, **英語を日常的に使わない**, </v>
      </c>
      <c r="V246" s="8" t="s">
        <v>455</v>
      </c>
      <c r="W246" s="8" t="str">
        <f>", "&amp;'RAW (公開用)'!R247&amp;", "</f>
        <v xml:space="preserve">, LGBTQ+運動からの排斥, 社会の中でいないことにされる, トイレなどのジェンダー化されたスペースの使用, </v>
      </c>
      <c r="X246" s="8"/>
      <c r="Y24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社会の中でいないことにされる, トイレなどのジェンダー化されたスペースの使用,  </v>
      </c>
      <c r="Z246" s="8" t="s">
        <v>455</v>
      </c>
      <c r="AA246" s="8" t="str">
        <f>", "&amp;'RAW (公開用)'!U247&amp;", "</f>
        <v xml:space="preserve">, ホルモン補充療法（HRT）, </v>
      </c>
      <c r="AB246" s="8" t="str">
        <f>", "&amp;'RAW (公開用)'!V247&amp;", "</f>
        <v xml:space="preserve">, ホルモン補充療法（HRT）, </v>
      </c>
      <c r="AC246" s="8"/>
      <c r="AD246"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246" s="8" t="s">
        <v>501</v>
      </c>
      <c r="AF246" s="8" t="s">
        <v>457</v>
      </c>
      <c r="AG246" s="8" t="s">
        <v>458</v>
      </c>
      <c r="AH246" s="8"/>
      <c r="AI246" s="8">
        <f t="shared" si="10"/>
        <v>5</v>
      </c>
      <c r="AJ246" s="8"/>
      <c r="AK246" s="8"/>
      <c r="AL246" s="8"/>
      <c r="AM246" s="8"/>
      <c r="AN246" s="8"/>
    </row>
    <row r="247" spans="1:40" ht="51" hidden="1">
      <c r="A247" s="8">
        <v>247</v>
      </c>
      <c r="B247" s="11">
        <v>44974.027410474533</v>
      </c>
      <c r="C247" s="8" t="s">
        <v>452</v>
      </c>
      <c r="D247" s="8" t="s">
        <v>453</v>
      </c>
      <c r="E247" s="8" t="s">
        <v>452</v>
      </c>
      <c r="F247" s="8" t="s">
        <v>454</v>
      </c>
      <c r="G247" s="8" t="str">
        <f>", "&amp;'RAW (公開用)'!F248&amp;", "</f>
        <v xml:space="preserve">, ゼノジェンダー／xenogender, X, 不定性, 不明／わからない, クエスチョニング, レズビアン（ジェンダーについて）, </v>
      </c>
      <c r="H247" s="8" t="s">
        <v>567</v>
      </c>
      <c r="I247" s="8" t="str">
        <f>", "&amp;'RAW (公開用)'!H248&amp;", "</f>
        <v xml:space="preserve">, （any／問わない／どれでもよい）, </v>
      </c>
      <c r="J247" s="8" t="s">
        <v>2335</v>
      </c>
      <c r="K24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47" s="8" t="str">
        <f>", "&amp;'RAW (公開用)'!J248&amp;", "</f>
        <v xml:space="preserve">, （敬称なし）, </v>
      </c>
      <c r="M247" s="8" t="s">
        <v>2335</v>
      </c>
      <c r="N24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247" s="8" t="str">
        <f>", "&amp;'RAW (公開用)'!L248&amp;", "</f>
        <v xml:space="preserve">, 自分, </v>
      </c>
      <c r="P247" s="8" t="s">
        <v>2335</v>
      </c>
      <c r="Q24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 </v>
      </c>
      <c r="R247" s="8" t="str">
        <f>", "&amp;'RAW (公開用)'!N247&amp;", "</f>
        <v xml:space="preserve">, （any／問わない／どれでもよい）, </v>
      </c>
      <c r="S247" s="8" t="s">
        <v>2335</v>
      </c>
      <c r="T24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47" s="8" t="str">
        <f>", "&amp;'RAW (公開用)'!P248&amp;", "</f>
        <v xml:space="preserve">, any/問わない/どれでもよい, </v>
      </c>
      <c r="V247" s="8" t="s">
        <v>455</v>
      </c>
      <c r="W247" s="8" t="str">
        <f>", "&amp;'RAW (公開用)'!R248&amp;", "</f>
        <v xml:space="preserve">, トイレなどのジェンダー化されたスペースの使用, 社会の中でいないことにされる, </v>
      </c>
      <c r="X247" s="8" t="s">
        <v>244</v>
      </c>
      <c r="Y24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社会の中でいないことにされる,  基本、男女トイレと多目的トイレしかないので後者を使っているが、去年「健常者が多目的を使うんじゃねえよ」と赤の他人に怒鳴られて以降、ビクビクしながら多目的トイレを使うようになった。</v>
      </c>
      <c r="Z247" s="8" t="s">
        <v>455</v>
      </c>
      <c r="AA247" s="8" t="str">
        <f>", "&amp;'RAW (公開用)'!U248&amp;", "</f>
        <v xml:space="preserve">, ジェンダークリニックの受診, 抗ホルモン療法, ホルモン補充療法（HRT）, </v>
      </c>
      <c r="AB247" s="8" t="str">
        <f>", "&amp;'RAW (公開用)'!V248&amp;", "</f>
        <v xml:space="preserve">, ジェンダークリニックの受診, </v>
      </c>
      <c r="AC247" s="8" t="s">
        <v>412</v>
      </c>
      <c r="AD247"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ジェンダークリニックが少ない。</v>
      </c>
      <c r="AE247" s="8" t="s">
        <v>464</v>
      </c>
      <c r="AF247" s="8" t="s">
        <v>457</v>
      </c>
      <c r="AG247" s="8" t="s">
        <v>458</v>
      </c>
      <c r="AH247" s="8"/>
      <c r="AI247" s="8">
        <f t="shared" si="10"/>
        <v>6</v>
      </c>
      <c r="AJ247" s="8"/>
      <c r="AK247" s="8"/>
      <c r="AL247" s="8"/>
      <c r="AM247" s="8"/>
      <c r="AN247" s="8"/>
    </row>
    <row r="248" spans="1:40" ht="66" hidden="1">
      <c r="A248" s="8">
        <v>248</v>
      </c>
      <c r="B248" s="11">
        <v>44974.248484814816</v>
      </c>
      <c r="C248" s="8" t="s">
        <v>452</v>
      </c>
      <c r="D248" s="8" t="s">
        <v>453</v>
      </c>
      <c r="E248" s="8" t="s">
        <v>452</v>
      </c>
      <c r="F248" s="8" t="s">
        <v>454</v>
      </c>
      <c r="G248" s="8" t="str">
        <f>", "&amp;'RAW (公開用)'!F249&amp;", "</f>
        <v xml:space="preserve">, （ジェンダー・）フルイド／（ジェンダー・）フリュイド／（ジェンダー・）フルイッド, クィア／Queer, ジェンダー・ノンコンフォーミング／gender non-conforming, ノンバイナリー, enby／エンビー, </v>
      </c>
      <c r="H248" s="8"/>
      <c r="I248" s="8" t="s">
        <v>2174</v>
      </c>
      <c r="J248" s="8" t="s">
        <v>2335</v>
      </c>
      <c r="K24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無回答 , </v>
      </c>
      <c r="L248" s="8" t="str">
        <f>", "&amp;'RAW (公開用)'!J249&amp;", "</f>
        <v xml:space="preserve">, （クエスチョニング、模索中、または不明）, （時とともに変わる）, Mx., </v>
      </c>
      <c r="M248" s="8" t="s">
        <v>2335</v>
      </c>
      <c r="N24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（時とともに変わる）, Mx., , </v>
      </c>
      <c r="O248" s="17" t="s">
        <v>2174</v>
      </c>
      <c r="P248" s="8" t="s">
        <v>2335</v>
      </c>
      <c r="Q24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無回答 , </v>
      </c>
      <c r="R248" s="8" t="str">
        <f>", "&amp;'RAW (公開用)'!N248&amp;", "</f>
        <v xml:space="preserve">, （any／問わない／どれでもよい）, </v>
      </c>
      <c r="S248" s="8" t="s">
        <v>2335</v>
      </c>
      <c r="T24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48" s="8" t="str">
        <f>", "&amp;'RAW (公開用)'!P249&amp;", "</f>
        <v xml:space="preserve">, they/them/their/themselves, they/them/their/themself, </v>
      </c>
      <c r="V248" s="8" t="s">
        <v>455</v>
      </c>
      <c r="W248" s="8" t="str">
        <f>", "&amp;'RAW (公開用)'!R249&amp;", "</f>
        <v xml:space="preserve">, 医療における無理解, 必要なジェンダーケアへアクセスできない, 職場や学校における無理解, アウティング（勝手にジェンダーや指向についての情報を明かされること）, LGBTQ+運動からの排斥, トイレなどのジェンダー化されたスペースの使用, 性暴力, 家族／かぞくからの無理解, ミスジェンダリング（誤った性別として扱うこと）, </v>
      </c>
      <c r="X248" s="8"/>
      <c r="Y24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必要なジェンダーケアへアクセスできない, 職場や学校における無理解, アウティング（勝手にジェンダーや指向についての情報を明かされること）, LGBTQ+運動からの排斥, トイレなどのジェンダー化されたスペースの使用, 性暴力, 家族／かぞくからの無理解, ミスジェンダリング（誤った性別として扱うこと）,  </v>
      </c>
      <c r="Z248" s="8" t="s">
        <v>455</v>
      </c>
      <c r="AA248" s="8" t="str">
        <f>", "&amp;'RAW (公開用)'!U249&amp;", "</f>
        <v xml:space="preserve">, 戸籍上の性別の変更, ジェンダークリニックの受診, 声帯にかかわる手術, 胸部の手術, </v>
      </c>
      <c r="AB248" s="8" t="str">
        <f>", "&amp;'RAW (公開用)'!V249&amp;", "</f>
        <v xml:space="preserve">, （上記のどれも経験していない）, </v>
      </c>
      <c r="AC248" s="8"/>
      <c r="AD24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8" s="8" t="s">
        <v>456</v>
      </c>
      <c r="AF248" s="8" t="s">
        <v>568</v>
      </c>
      <c r="AG248" s="8" t="s">
        <v>452</v>
      </c>
      <c r="AH248" s="8" t="s">
        <v>569</v>
      </c>
      <c r="AI248" s="8">
        <f t="shared" si="10"/>
        <v>5</v>
      </c>
      <c r="AJ248" s="8"/>
      <c r="AK248" s="8"/>
      <c r="AL248" s="8"/>
      <c r="AM248" s="8"/>
      <c r="AN248" s="8"/>
    </row>
    <row r="249" spans="1:40" ht="25.5" hidden="1">
      <c r="A249" s="8">
        <v>300</v>
      </c>
      <c r="B249" s="11">
        <v>44991.51787520833</v>
      </c>
      <c r="C249" s="8" t="s">
        <v>452</v>
      </c>
      <c r="D249" s="8" t="s">
        <v>453</v>
      </c>
      <c r="E249" s="8" t="s">
        <v>452</v>
      </c>
      <c r="F249" s="8" t="s">
        <v>454</v>
      </c>
      <c r="G249" s="8" t="str">
        <f>", "&amp;'RAW (公開用)'!F301&amp;", "</f>
        <v xml:space="preserve">, ノンバイナリー, 中性, **必ず選んでください**, クエスチョニング, </v>
      </c>
      <c r="H249" s="8"/>
      <c r="I249" s="8" t="str">
        <f>", "&amp;'RAW (公開用)'!H301&amp;", "</f>
        <v xml:space="preserve">, さん, （any／問わない／どれでもよい）, ちゃん, </v>
      </c>
      <c r="J249" s="8" t="s">
        <v>2335</v>
      </c>
      <c r="K24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ちゃん,  , </v>
      </c>
      <c r="L249" s="8" t="str">
        <f>", "&amp;'RAW (公開用)'!J301&amp;", "</f>
        <v xml:space="preserve">, （敬称なし）, **英語を日常的に使わない**, -san, </v>
      </c>
      <c r="M249" s="8" t="s">
        <v>2335</v>
      </c>
      <c r="N24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**英語を日常的に使わない**, -san, , </v>
      </c>
      <c r="O249" s="8" t="str">
        <f>", "&amp;'RAW (公開用)'!L301&amp;", "</f>
        <v xml:space="preserve">, ぼく, わし, わたし, 私（わたし／わたくし）, </v>
      </c>
      <c r="P249" s="8" t="s">
        <v>2335</v>
      </c>
      <c r="Q24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わし, わたし, 私（わたし／わたくし）,  , </v>
      </c>
      <c r="R249" s="8" t="s">
        <v>2174</v>
      </c>
      <c r="S249" s="8" t="s">
        <v>2355</v>
      </c>
      <c r="T24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{この/その/あの}+人,</v>
      </c>
      <c r="U249" s="8" t="str">
        <f>", "&amp;'RAW (公開用)'!P301&amp;", "</f>
        <v xml:space="preserve">, **英語を日常的に使わない**, they/them/their/themself, </v>
      </c>
      <c r="V249" s="8" t="s">
        <v>455</v>
      </c>
      <c r="W249" s="8" t="str">
        <f>", "&amp;'RAW (公開用)'!R301&amp;", "</f>
        <v xml:space="preserve">, ミスジェンダリング（誤った性別として扱うこと）, 社会の中でいないことにされる, </v>
      </c>
      <c r="X249" s="8"/>
      <c r="Y24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v>
      </c>
      <c r="Z249" s="8" t="s">
        <v>455</v>
      </c>
      <c r="AA249" s="8" t="str">
        <f>", "&amp;'RAW (公開用)'!U301&amp;", "</f>
        <v xml:space="preserve">, （上記のどれも希望していない）, </v>
      </c>
      <c r="AB249" s="8" t="str">
        <f>", "&amp;'RAW (公開用)'!V301&amp;", "</f>
        <v xml:space="preserve">, （上記のどれも経験していない）, </v>
      </c>
      <c r="AC249" s="8"/>
      <c r="AD24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49" s="8" t="s">
        <v>456</v>
      </c>
      <c r="AF249" s="8" t="s">
        <v>457</v>
      </c>
      <c r="AG249" s="8" t="s">
        <v>458</v>
      </c>
      <c r="AH249" s="8"/>
      <c r="AI249" s="8">
        <f t="shared" si="10"/>
        <v>3</v>
      </c>
      <c r="AJ249" s="8"/>
      <c r="AK249" s="8"/>
      <c r="AL249" s="8"/>
      <c r="AM249" s="8"/>
      <c r="AN249" s="8"/>
    </row>
    <row r="250" spans="1:40" ht="63.75" hidden="1">
      <c r="A250" s="8">
        <v>250</v>
      </c>
      <c r="B250" s="11">
        <v>44974.481918483798</v>
      </c>
      <c r="C250" s="8" t="s">
        <v>452</v>
      </c>
      <c r="D250" s="8" t="s">
        <v>453</v>
      </c>
      <c r="E250" s="8" t="s">
        <v>452</v>
      </c>
      <c r="F250" s="8" t="s">
        <v>454</v>
      </c>
      <c r="G250" s="8" t="str">
        <f>", "&amp;'RAW (公開用)'!F251&amp;", "</f>
        <v xml:space="preserve">, ノンバイナリー, 無性, **必ず選んでください**, クィア／Queer, </v>
      </c>
      <c r="H250" s="8"/>
      <c r="I250" s="8" t="str">
        <f>", "&amp;'RAW (公開用)'!H251&amp;", "</f>
        <v xml:space="preserve">, （any／問わない／どれでもよい）, </v>
      </c>
      <c r="J250" s="8" t="s">
        <v>2335</v>
      </c>
      <c r="K25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50" s="8" t="str">
        <f>", "&amp;'RAW (公開用)'!J251&amp;", "</f>
        <v xml:space="preserve">, **英語を日常的に使わない**, </v>
      </c>
      <c r="M250" s="8" t="s">
        <v>2335</v>
      </c>
      <c r="N25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50" s="8" t="str">
        <f>", "&amp;'RAW (公開用)'!L251&amp;", "</f>
        <v xml:space="preserve">, うち, おら, 俺, （any／問わない／どれでもよい）, おれ, （自分（たち）の名前）, わし, あたし, 自分, 私（わたし／わたくし）, わたくし, 僕, ぼく, （時とともに変わる）, わたし, </v>
      </c>
      <c r="P250" s="8" t="s">
        <v>2335</v>
      </c>
      <c r="Q25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おら, 俺, （any／問わない／どれでもよい）, おれ, （自分（たち）の名前）, わし, あたし, 自分, 私（わたし／わたくし）, わたくし, 僕, ぼく, （時とともに変わる）, わたし,  , </v>
      </c>
      <c r="R250" s="8" t="str">
        <f>", "&amp;'RAW (公開用)'!N250&amp;", "</f>
        <v xml:space="preserve">, 彼人（かのひと）, 彼人（かのと）, （自分（たち）の名前）, かれ, </v>
      </c>
      <c r="S250" s="8" t="s">
        <v>2335</v>
      </c>
      <c r="T25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彼人（かのと）, （自分（たち）の名前）, かれ,  , </v>
      </c>
      <c r="U250" s="8" t="str">
        <f>", "&amp;'RAW (公開用)'!P251&amp;", "</f>
        <v xml:space="preserve">, they/them/their/themselves, they/them/their/themself, </v>
      </c>
      <c r="V250" s="8" t="s">
        <v>455</v>
      </c>
      <c r="W250" s="8" t="str">
        <f>", "&amp;'RAW (公開用)'!R251&amp;", "</f>
        <v xml:space="preserve">, 必要なジェンダーケアへアクセスできない, トイレなどのジェンダー化されたスペースの使用, 社会の中でいないことにされる, 職場や学校における無理解, ミスジェンダリング（誤った性別として扱うこと）, カムアウトできない, 性暴力, 家族／かぞくからの無理解, LGBTQ+運動からの排斥, 医療における無理解, アウティング（勝手にジェンダーや指向についての情報を明かされること）, </v>
      </c>
      <c r="X250" s="8"/>
      <c r="Y25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トイレなどのジェンダー化されたスペースの使用, 社会の中でいないことにされる, 職場や学校における無理解, ミスジェンダリング（誤った性別として扱うこと）, カムアウトできない, 性暴力, 家族／かぞくからの無理解, LGBTQ+運動からの排斥, 医療における無理解, アウティング（勝手にジェンダーや指向についての情報を明かされること）,  </v>
      </c>
      <c r="Z250" s="8" t="s">
        <v>455</v>
      </c>
      <c r="AA250" s="8" t="str">
        <f>", "&amp;'RAW (公開用)'!U251&amp;", "</f>
        <v xml:space="preserve">, 性器にかかわる手術, </v>
      </c>
      <c r="AB250" s="8" t="str">
        <f>", "&amp;'RAW (公開用)'!V251&amp;", "</f>
        <v xml:space="preserve">, （上記のどれも経験していない）, </v>
      </c>
      <c r="AC250" s="8" t="s">
        <v>309</v>
      </c>
      <c r="AD25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金銭面</v>
      </c>
      <c r="AE250" s="8" t="s">
        <v>462</v>
      </c>
      <c r="AF250" s="8" t="s">
        <v>457</v>
      </c>
      <c r="AG250" s="8" t="s">
        <v>458</v>
      </c>
      <c r="AH250" s="8"/>
      <c r="AI250" s="8">
        <f t="shared" si="10"/>
        <v>3</v>
      </c>
      <c r="AJ250" s="8"/>
      <c r="AK250" s="8"/>
      <c r="AL250" s="8"/>
      <c r="AM250" s="8"/>
      <c r="AN250" s="8"/>
    </row>
    <row r="251" spans="1:40" ht="12.75" hidden="1">
      <c r="A251" s="8">
        <v>251</v>
      </c>
      <c r="B251" s="11">
        <v>44975.559752881949</v>
      </c>
      <c r="C251" s="8" t="s">
        <v>452</v>
      </c>
      <c r="D251" s="8" t="s">
        <v>453</v>
      </c>
      <c r="E251" s="8" t="s">
        <v>452</v>
      </c>
      <c r="F251" s="8" t="s">
        <v>454</v>
      </c>
      <c r="G251" s="8" t="str">
        <f>", "&amp;'RAW (公開用)'!F252&amp;", "</f>
        <v xml:space="preserve">, ノンバイナリー, Xジェンダー, X, 不明／わからない, </v>
      </c>
      <c r="H251" s="8" t="s">
        <v>571</v>
      </c>
      <c r="I251" s="8" t="str">
        <f>", "&amp;'RAW (公開用)'!H252&amp;", "</f>
        <v xml:space="preserve">, さん, </v>
      </c>
      <c r="J251" s="8" t="s">
        <v>2335</v>
      </c>
      <c r="K25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51" s="8" t="str">
        <f>", "&amp;'RAW (公開用)'!J252&amp;", "</f>
        <v xml:space="preserve">, **英語を日常的に使わない**, </v>
      </c>
      <c r="M251" s="8" t="s">
        <v>2335</v>
      </c>
      <c r="N25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51" s="8" t="str">
        <f>", "&amp;'RAW (公開用)'!L252&amp;", "</f>
        <v xml:space="preserve">, 僕, 私（わたし／わたくし）, 俺, </v>
      </c>
      <c r="P251" s="8" t="s">
        <v>2335</v>
      </c>
      <c r="Q25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私（わたし／わたくし）, 俺,  , </v>
      </c>
      <c r="R251" s="8" t="str">
        <f>", "&amp;'RAW (公開用)'!N251&amp;", "</f>
        <v xml:space="preserve">, （自分（たち）の名前）, </v>
      </c>
      <c r="S251" s="8" t="s">
        <v>2335</v>
      </c>
      <c r="T25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51" s="8" t="str">
        <f>", "&amp;'RAW (公開用)'!P252&amp;", "</f>
        <v xml:space="preserve">, they/them/their/themself, **英語を日常的に使わない**, </v>
      </c>
      <c r="V251" s="8" t="s">
        <v>455</v>
      </c>
      <c r="W251" s="8" t="str">
        <f>", "&amp;'RAW (公開用)'!R252&amp;", "</f>
        <v xml:space="preserve">, ミスジェンダリング（誤った性別として扱うこと）, カムアウトできない, </v>
      </c>
      <c r="X251" s="8"/>
      <c r="Y25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v>
      </c>
      <c r="Z251" s="8" t="s">
        <v>472</v>
      </c>
      <c r="AA251" s="8" t="s">
        <v>2174</v>
      </c>
      <c r="AB251" s="105" t="s">
        <v>2443</v>
      </c>
      <c r="AC251" s="8"/>
      <c r="AD251"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51" s="8" t="s">
        <v>456</v>
      </c>
      <c r="AF251" s="8" t="s">
        <v>457</v>
      </c>
      <c r="AG251" s="8" t="s">
        <v>458</v>
      </c>
      <c r="AH251" s="8"/>
      <c r="AI251" s="8">
        <f t="shared" si="10"/>
        <v>4</v>
      </c>
      <c r="AJ251" s="8"/>
      <c r="AK251" s="8"/>
      <c r="AL251" s="8"/>
      <c r="AM251" s="8"/>
      <c r="AN251" s="8"/>
    </row>
    <row r="252" spans="1:40" ht="76.5" hidden="1">
      <c r="A252" s="8">
        <v>252</v>
      </c>
      <c r="B252" s="11">
        <v>44975.701898599538</v>
      </c>
      <c r="C252" s="8" t="s">
        <v>452</v>
      </c>
      <c r="D252" s="8" t="s">
        <v>453</v>
      </c>
      <c r="E252" s="8" t="s">
        <v>452</v>
      </c>
      <c r="F252" s="8" t="s">
        <v>454</v>
      </c>
      <c r="G252" s="8" t="str">
        <f>", "&amp;'RAW (公開用)'!F253&amp;", "</f>
        <v xml:space="preserve">, 無し, **必ず選んでください**, </v>
      </c>
      <c r="H252" s="8"/>
      <c r="I252" s="8" t="str">
        <f>", "&amp;'RAW (公開用)'!H253&amp;", "</f>
        <v xml:space="preserve">, （any／問わない／どれでもよい）, </v>
      </c>
      <c r="J252" s="8" t="s">
        <v>2335</v>
      </c>
      <c r="K25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52" s="8" t="str">
        <f>", "&amp;'RAW (公開用)'!J253&amp;", "</f>
        <v xml:space="preserve">, **英語を日常的に使わない**, </v>
      </c>
      <c r="M252" s="8" t="s">
        <v>2335</v>
      </c>
      <c r="N25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52" s="8" t="str">
        <f>", "&amp;'RAW (公開用)'!L253&amp;", "</f>
        <v xml:space="preserve">, （自分（たち）の名前）, 僕, 私（わたし／わたくし）, ぼく, わし, 自分, うち, 俺, </v>
      </c>
      <c r="P252" s="8" t="s">
        <v>2335</v>
      </c>
      <c r="Q25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僕, 私（わたし／わたくし）, ぼく, わし, 自分, うち, 俺,  , </v>
      </c>
      <c r="R252" s="8" t="str">
        <f>", "&amp;'RAW (公開用)'!N252&amp;", "</f>
        <v xml:space="preserve">, かれ, </v>
      </c>
      <c r="S252" s="8" t="s">
        <v>2335</v>
      </c>
      <c r="T25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 </v>
      </c>
      <c r="U252" s="8" t="str">
        <f>", "&amp;'RAW (公開用)'!P253&amp;", "</f>
        <v xml:space="preserve">, **英語を日常的に使わない**, </v>
      </c>
      <c r="V252" s="8" t="s">
        <v>455</v>
      </c>
      <c r="W252" s="8" t="str">
        <f>", "&amp;'RAW (公開用)'!R253&amp;", "</f>
        <v xml:space="preserve">, 必要なジェンダーケアへアクセスできない, LGBTQ+運動からの排斥, 家族／かぞくからの無理解, 職場や学校における無理解, ミスジェンダリング（誤った性別として扱うこと）, 社会の中でいないことにされる, アウティング（勝手にジェンダーや指向についての情報を明かされること）, 性暴力, 医療における無理解, カムアウトを強制される, </v>
      </c>
      <c r="X252" s="8" t="s">
        <v>211</v>
      </c>
      <c r="Y25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LGBTQ+運動からの排斥, 家族／かぞくからの無理解, 職場や学校における無理解, ミスジェンダリング（誤った性別として扱うこと）, 社会の中でいないことにされる, アウティング（勝手にジェンダーや指向についての情報を明かされること）, 性暴力, 医療における無理解, カムアウトを強制される,  アポジェンダーという名称が日本において有名ではないため、アポジェンダーの情報にアクセスする際に困難がある。</v>
      </c>
      <c r="Z252" s="8" t="s">
        <v>455</v>
      </c>
      <c r="AA252" s="8" t="str">
        <f>", "&amp;'RAW (公開用)'!U253&amp;", "</f>
        <v xml:space="preserve">, 戸籍上の性別の変更, </v>
      </c>
      <c r="AB252" s="8" t="str">
        <f>", "&amp;'RAW (公開用)'!V253&amp;", "</f>
        <v xml:space="preserve">, （上記のどれも経験していない）, </v>
      </c>
      <c r="AC252" s="8"/>
      <c r="AD25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52" s="8" t="s">
        <v>459</v>
      </c>
      <c r="AF252" s="8" t="s">
        <v>457</v>
      </c>
      <c r="AG252" s="8" t="s">
        <v>458</v>
      </c>
      <c r="AH252" s="8"/>
      <c r="AI252" s="8">
        <f t="shared" si="10"/>
        <v>1</v>
      </c>
      <c r="AJ252" s="8"/>
      <c r="AK252" s="8"/>
      <c r="AL252" s="8"/>
      <c r="AM252" s="8"/>
      <c r="AN252" s="8"/>
    </row>
    <row r="253" spans="1:40" ht="25.5" hidden="1">
      <c r="A253" s="8">
        <v>253</v>
      </c>
      <c r="B253" s="11">
        <v>44976.978851805557</v>
      </c>
      <c r="C253" s="8" t="s">
        <v>452</v>
      </c>
      <c r="D253" s="8" t="s">
        <v>453</v>
      </c>
      <c r="E253" s="8" t="s">
        <v>452</v>
      </c>
      <c r="F253" s="8" t="s">
        <v>454</v>
      </c>
      <c r="G253" s="8" t="str">
        <f>", "&amp;'RAW (公開用)'!F254&amp;", "</f>
        <v xml:space="preserve">, Xジェンダー, （ジェンダー・）フルイド／（ジェンダー・）フリュイド／（ジェンダー・）フルイッド, 中性, **必ず選んでください**, </v>
      </c>
      <c r="H253" s="8"/>
      <c r="I253" s="8" t="str">
        <f>", "&amp;'RAW (公開用)'!H254&amp;", "</f>
        <v xml:space="preserve">, くん／君, さん, （any／問わない／どれでもよい）, </v>
      </c>
      <c r="J253" s="8" t="s">
        <v>2335</v>
      </c>
      <c r="K25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（any／問わない／どれでもよい）,  , </v>
      </c>
      <c r="L253" s="8" t="str">
        <f>", "&amp;'RAW (公開用)'!J254&amp;", "</f>
        <v xml:space="preserve">, **英語を日常的に使わない**, </v>
      </c>
      <c r="M253" s="8" t="s">
        <v>2335</v>
      </c>
      <c r="N25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53" s="8" t="str">
        <f>", "&amp;'RAW (公開用)'!L254&amp;", "</f>
        <v xml:space="preserve">, 僕, 私（わたし／わたくし）, </v>
      </c>
      <c r="P253" s="8" t="s">
        <v>2335</v>
      </c>
      <c r="Q25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私（わたし／わたくし）,  , </v>
      </c>
      <c r="R253" s="8" t="str">
        <f>", "&amp;'RAW (公開用)'!N253&amp;", "</f>
        <v xml:space="preserve">, （自分（たち）の名前）, （三人称で言及してほしくない）, </v>
      </c>
      <c r="S253" s="8" t="s">
        <v>2335</v>
      </c>
      <c r="T25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53" s="8" t="str">
        <f>", "&amp;'RAW (公開用)'!P254&amp;", "</f>
        <v xml:space="preserve">, **英語を日常的に使わない**, </v>
      </c>
      <c r="V253" s="8" t="s">
        <v>455</v>
      </c>
      <c r="W253" s="8" t="str">
        <f>", "&amp;'RAW (公開用)'!R254&amp;", "</f>
        <v xml:space="preserve">, 家族／かぞくからの無理解, 職場や学校における無理解, ミスジェンダリング（誤った性別として扱うこと）, 医療における無理解, </v>
      </c>
      <c r="X253" s="8"/>
      <c r="Y25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ミスジェンダリング（誤った性別として扱うこと）, 医療における無理解,  </v>
      </c>
      <c r="Z253" s="8" t="s">
        <v>455</v>
      </c>
      <c r="AA253" s="8" t="str">
        <f>", "&amp;'RAW (公開用)'!U254&amp;", "</f>
        <v xml:space="preserve">, （上記のどれも希望していない）, </v>
      </c>
      <c r="AB253" s="8" t="str">
        <f>", "&amp;'RAW (公開用)'!V254&amp;", "</f>
        <v xml:space="preserve">, （上記のどれも経験していない）, </v>
      </c>
      <c r="AC253" s="8"/>
      <c r="AD25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53" s="8" t="s">
        <v>462</v>
      </c>
      <c r="AF253" s="8" t="s">
        <v>457</v>
      </c>
      <c r="AG253" s="8" t="s">
        <v>458</v>
      </c>
      <c r="AH253" s="8"/>
      <c r="AI253" s="8">
        <f t="shared" si="10"/>
        <v>3</v>
      </c>
      <c r="AJ253" s="8"/>
      <c r="AK253" s="8"/>
      <c r="AL253" s="8"/>
      <c r="AM253" s="8"/>
      <c r="AN253" s="8"/>
    </row>
    <row r="254" spans="1:40" ht="76.5" hidden="1">
      <c r="A254" s="8">
        <v>254</v>
      </c>
      <c r="B254" s="11">
        <v>44978.795643275458</v>
      </c>
      <c r="C254" s="8" t="s">
        <v>452</v>
      </c>
      <c r="D254" s="8" t="s">
        <v>453</v>
      </c>
      <c r="E254" s="8" t="s">
        <v>452</v>
      </c>
      <c r="F254" s="8" t="s">
        <v>454</v>
      </c>
      <c r="G254" s="8" t="str">
        <f>", "&amp;'RAW (公開用)'!F255&amp;", "</f>
        <v xml:space="preserve">, ノンバイナリー, </v>
      </c>
      <c r="H254" s="8"/>
      <c r="I254" s="8" t="str">
        <f>", "&amp;'RAW (公開用)'!H255&amp;", "</f>
        <v xml:space="preserve">, さん, </v>
      </c>
      <c r="J254" s="8" t="s">
        <v>2335</v>
      </c>
      <c r="K25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54" s="8" t="str">
        <f>", "&amp;'RAW (公開用)'!J255&amp;", "</f>
        <v xml:space="preserve">, **英語を日常的に使わない**, </v>
      </c>
      <c r="M254" s="8" t="s">
        <v>2335</v>
      </c>
      <c r="N25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54" s="8" t="str">
        <f>", "&amp;'RAW (公開用)'!L255&amp;", "</f>
        <v xml:space="preserve">, わたし, </v>
      </c>
      <c r="P254" s="8" t="s">
        <v>2335</v>
      </c>
      <c r="Q25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254" s="8" t="str">
        <f>", "&amp;'RAW (公開用)'!N254&amp;", "</f>
        <v xml:space="preserve">, （any／問わない／どれでもよい）, （自分（たち）の名前）, 彼, </v>
      </c>
      <c r="S254" s="8" t="s">
        <v>2335</v>
      </c>
      <c r="T25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（自分（たち）の名前）, 彼,  , </v>
      </c>
      <c r="U254" s="8" t="str">
        <f>", "&amp;'RAW (公開用)'!P255&amp;", "</f>
        <v xml:space="preserve">, **英語を日常的に使わない**, </v>
      </c>
      <c r="V254" s="8" t="s">
        <v>455</v>
      </c>
      <c r="W254" s="8" t="str">
        <f>", "&amp;'RAW (公開用)'!R255&amp;", "</f>
        <v xml:space="preserve">, デッドネーミング（誤った名前で呼ばれること）, 必要なジェンダーケアへアクセスできない, カムアウトを強制される, 職場や学校における無理解, アウティング（勝手にジェンダーや指向についての情報を明かされること）, トイレなどのジェンダー化されたスペースの使用, 社会の中でいないことにされる, 性暴力, 医療における無理解, ミスジェンダリング（誤った性別として扱うこと）, LGBTQ+運動からの排斥, </v>
      </c>
      <c r="X254" s="8"/>
      <c r="Y25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必要なジェンダーケアへアクセスできない, カムアウトを強制される, 職場や学校における無理解, アウティング（勝手にジェンダーや指向についての情報を明かされること）, トイレなどのジェンダー化されたスペースの使用, 社会の中でいないことにされる, 性暴力, 医療における無理解, ミスジェンダリング（誤った性別として扱うこと）, LGBTQ+運動からの排斥,  </v>
      </c>
      <c r="Z254" s="8" t="s">
        <v>455</v>
      </c>
      <c r="AA254" s="8" t="str">
        <f>", "&amp;'RAW (公開用)'!U255&amp;", "</f>
        <v xml:space="preserve">, 戸籍名の変更, 戸籍上の性別の変更, ジェンダークリニックの受診, ホルモン補充療法（HRT）, 顔にかかわる手術, 声帯にかかわる手術, 性器にかかわる手術, </v>
      </c>
      <c r="AB254" s="8" t="str">
        <f>", "&amp;'RAW (公開用)'!V255&amp;", "</f>
        <v xml:space="preserve">, 戸籍名の変更, 戸籍上の性別の変更, ジェンダークリニックの受診, ホルモン補充療法（HRT）, 顔にかかわる手術, 声帯にかかわる手術, 性器にかかわる手術, </v>
      </c>
      <c r="AC254" s="8" t="s">
        <v>372</v>
      </c>
      <c r="AD254" s="8" t="str">
        <f>テーブル1[[#This Row],[以下のうち、経験したものをすべて選んでください]]&amp;" "&amp;テーブル1[[#This Row],[社会的、法的、医学的トランジションについて、困難なこと等がありましたらここにお書きください]]</f>
        <v>, 戸籍名の変更, 戸籍上の性別の変更, ジェンダークリニックの受診, ホルモン補充療法（HRT）, 顔にかかわる手術, 声帯にかかわる手術, 性器にかかわる手術,  地方にジェンダークリニックがない（少ない）</v>
      </c>
      <c r="AE254" s="8" t="s">
        <v>459</v>
      </c>
      <c r="AF254" s="8" t="s">
        <v>457</v>
      </c>
      <c r="AG254" s="8" t="s">
        <v>458</v>
      </c>
      <c r="AH254" s="8"/>
      <c r="AI254" s="8">
        <f t="shared" si="10"/>
        <v>1</v>
      </c>
      <c r="AJ254" s="8"/>
      <c r="AK254" s="8"/>
      <c r="AL254" s="8"/>
      <c r="AM254" s="8"/>
      <c r="AN254" s="8"/>
    </row>
    <row r="255" spans="1:40" ht="63.75" hidden="1">
      <c r="A255" s="8">
        <v>255</v>
      </c>
      <c r="B255" s="11">
        <v>44978.813184432875</v>
      </c>
      <c r="C255" s="8" t="s">
        <v>452</v>
      </c>
      <c r="D255" s="8" t="s">
        <v>453</v>
      </c>
      <c r="E255" s="8" t="s">
        <v>452</v>
      </c>
      <c r="F255" s="8" t="s">
        <v>454</v>
      </c>
      <c r="G255" s="8" t="str">
        <f>", "&amp;'RAW (公開用)'!F256&amp;", "</f>
        <v xml:space="preserve">, トランス, クィア／Queer, トランス男性, </v>
      </c>
      <c r="H255" s="8"/>
      <c r="I255" s="8" t="str">
        <f>", "&amp;'RAW (公開用)'!H256&amp;", "</f>
        <v xml:space="preserve">, （any／問わない／どれでもよい）, </v>
      </c>
      <c r="J255" s="8" t="s">
        <v>2335</v>
      </c>
      <c r="K25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55" s="8" t="str">
        <f>", "&amp;'RAW (公開用)'!J256&amp;", "</f>
        <v xml:space="preserve">, **英語を日常的に使わない**, （クエスチョニング、模索中、または不明）, </v>
      </c>
      <c r="M255" s="8" t="s">
        <v>2335</v>
      </c>
      <c r="N25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255" s="8" t="str">
        <f>", "&amp;'RAW (公開用)'!L256&amp;", "</f>
        <v xml:space="preserve">, わたし, 僕, ぼく, 私（わたし／わたくし）, 俺, わたくし, おれ, わし, </v>
      </c>
      <c r="P255" s="8" t="s">
        <v>2335</v>
      </c>
      <c r="Q25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僕, ぼく, 私（わたし／わたくし）, 俺, わたくし, おれ, わし,  , </v>
      </c>
      <c r="R255" s="8" t="str">
        <f>", "&amp;'RAW (公開用)'!N255&amp;", "</f>
        <v xml:space="preserve">, （三人称で言及してほしくない）, （自分（たち）の名前）, </v>
      </c>
      <c r="S255" s="8" t="s">
        <v>2335</v>
      </c>
      <c r="T25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255" s="8" t="str">
        <f>", "&amp;'RAW (公開用)'!P256&amp;", "</f>
        <v xml:space="preserve">, they/them/their/themself, **英語を日常的に使わない**, he, </v>
      </c>
      <c r="V255" s="8" t="s">
        <v>455</v>
      </c>
      <c r="W255" s="8" t="str">
        <f>", "&amp;'RAW (公開用)'!R256&amp;", "</f>
        <v xml:space="preserve">, ミスジェンダリング（誤った性別として扱うこと）, カムアウトを強制される, デッドネーミング（誤った名前で呼ばれること）, 社会の中でいないことにされる, アウティング（勝手にジェンダーや指向についての情報を明かされること）, 職場や学校における無理解, 家族／かぞくからの無理解, 医療における無理解, カムアウトできない, </v>
      </c>
      <c r="X255" s="8"/>
      <c r="Y25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カムアウトを強制される, デッドネーミング（誤った名前で呼ばれること）, 社会の中でいないことにされる, アウティング（勝手にジェンダーや指向についての情報を明かされること）, 職場や学校における無理解, 家族／かぞくからの無理解, 医療における無理解, カムアウトできない,  </v>
      </c>
      <c r="Z255" s="8" t="s">
        <v>455</v>
      </c>
      <c r="AA255" s="8" t="str">
        <f>", "&amp;'RAW (公開用)'!U256&amp;", "</f>
        <v xml:space="preserve">, 戸籍名の変更, 戸籍上の性別の変更, ホルモン補充療法（HRT）, 胸部の手術, </v>
      </c>
      <c r="AB255" s="8" t="str">
        <f>", "&amp;'RAW (公開用)'!V256&amp;", "</f>
        <v xml:space="preserve">, 戸籍名の変更, ジェンダークリニックの受診, ホルモン補充療法（HRT）, 胸部の手術, </v>
      </c>
      <c r="AC255" s="8" t="s">
        <v>345</v>
      </c>
      <c r="AD255"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胸部の手術,  手術要件のせいで戸籍の性別が変更できず、強制的にカミングアウトせざるを得ない状況にしばしば陥ること。</v>
      </c>
      <c r="AE255" s="8" t="s">
        <v>462</v>
      </c>
      <c r="AF255" s="8" t="s">
        <v>457</v>
      </c>
      <c r="AG255" s="8" t="s">
        <v>458</v>
      </c>
      <c r="AH255" s="8"/>
      <c r="AI255" s="8">
        <f t="shared" si="10"/>
        <v>3</v>
      </c>
      <c r="AJ255" s="8"/>
      <c r="AK255" s="8"/>
      <c r="AL255" s="8"/>
      <c r="AM255" s="8"/>
      <c r="AN255" s="8"/>
    </row>
    <row r="256" spans="1:40" ht="51" hidden="1">
      <c r="A256" s="8">
        <v>256</v>
      </c>
      <c r="B256" s="11">
        <v>44978.815301736111</v>
      </c>
      <c r="C256" s="8" t="s">
        <v>452</v>
      </c>
      <c r="D256" s="8" t="s">
        <v>453</v>
      </c>
      <c r="E256" s="8" t="s">
        <v>452</v>
      </c>
      <c r="F256" s="8" t="s">
        <v>454</v>
      </c>
      <c r="G256" s="8" t="str">
        <f>", "&amp;'RAW (公開用)'!F257&amp;", "</f>
        <v xml:space="preserve">, トランス, トランスジェンダー, トランス男性, ジェンダークィア, ゲイ（ジェンダーについて）, </v>
      </c>
      <c r="H256" s="8"/>
      <c r="I256" s="8" t="str">
        <f>", "&amp;'RAW (公開用)'!H257&amp;", "</f>
        <v xml:space="preserve">, （any／問わない／どれでもよい）, （敬称なし）, さん, </v>
      </c>
      <c r="J256" s="8" t="s">
        <v>2335</v>
      </c>
      <c r="K25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（敬称なし）, さん,  , </v>
      </c>
      <c r="L256" s="8" t="str">
        <f>", "&amp;'RAW (公開用)'!J257&amp;", "</f>
        <v xml:space="preserve">, **英語を日常的に使わない**, </v>
      </c>
      <c r="M256" s="8" t="s">
        <v>2335</v>
      </c>
      <c r="N25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56" s="8" t="str">
        <f>", "&amp;'RAW (公開用)'!L257&amp;", "</f>
        <v xml:space="preserve">, わたし, 自分, わし, </v>
      </c>
      <c r="P256" s="8" t="s">
        <v>2335</v>
      </c>
      <c r="Q25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わし,  , </v>
      </c>
      <c r="R256" s="8" t="str">
        <f>", "&amp;'RAW (公開用)'!N256&amp;", "</f>
        <v xml:space="preserve">, （自分（たち）の名前）, 彼, </v>
      </c>
      <c r="S256" s="8" t="s">
        <v>2335</v>
      </c>
      <c r="T25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256" s="8" t="str">
        <f>", "&amp;'RAW (公開用)'!P257&amp;", "</f>
        <v xml:space="preserve">, **英語を日常的に使わない**, </v>
      </c>
      <c r="V256" s="8" t="s">
        <v>455</v>
      </c>
      <c r="W256" s="8" t="str">
        <f>", "&amp;'RAW (公開用)'!R257&amp;", "</f>
        <v xml:space="preserve">, 性暴力, ミスジェンダリング（誤った性別として扱うこと）, アウティング（勝手にジェンダーや指向についての情報を明かされること）, トイレなどのジェンダー化されたスペースの使用, 医療における無理解, カムアウトを強制される, カムアウトできない, 家族／かぞくからの無理解, </v>
      </c>
      <c r="X256" s="8"/>
      <c r="Y25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ミスジェンダリング（誤った性別として扱うこと）, アウティング（勝手にジェンダーや指向についての情報を明かされること）, トイレなどのジェンダー化されたスペースの使用, 医療における無理解, カムアウトを強制される, カムアウトできない, 家族／かぞくからの無理解,  </v>
      </c>
      <c r="Z256" s="8" t="s">
        <v>455</v>
      </c>
      <c r="AA256" s="8" t="str">
        <f>", "&amp;'RAW (公開用)'!U257&amp;", "</f>
        <v xml:space="preserve">, 戸籍名の変更, ジェンダークリニックの受診, ホルモン補充療法（HRT）, </v>
      </c>
      <c r="AB256" s="8" t="str">
        <f>", "&amp;'RAW (公開用)'!V257&amp;", "</f>
        <v xml:space="preserve">, 戸籍名の変更, ジェンダークリニックの受診, ホルモン補充療法（HRT）, </v>
      </c>
      <c r="AC256" s="8"/>
      <c r="AD256"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ジェンダークリニックの受診, ホルモン補充療法（HRT）,  </v>
      </c>
      <c r="AE256" s="8" t="s">
        <v>475</v>
      </c>
      <c r="AF256" s="8" t="s">
        <v>457</v>
      </c>
      <c r="AG256" s="8" t="s">
        <v>458</v>
      </c>
      <c r="AH256" s="8"/>
      <c r="AI256" s="8">
        <f t="shared" si="10"/>
        <v>5</v>
      </c>
      <c r="AJ256" s="8"/>
      <c r="AK256" s="8"/>
      <c r="AL256" s="8"/>
      <c r="AM256" s="8"/>
      <c r="AN256" s="8"/>
    </row>
    <row r="257" spans="1:40" ht="25.5" hidden="1">
      <c r="A257" s="8">
        <v>257</v>
      </c>
      <c r="B257" s="11">
        <v>44978.817899953705</v>
      </c>
      <c r="C257" s="8" t="s">
        <v>452</v>
      </c>
      <c r="D257" s="8" t="s">
        <v>453</v>
      </c>
      <c r="E257" s="8" t="s">
        <v>452</v>
      </c>
      <c r="F257" s="8" t="s">
        <v>454</v>
      </c>
      <c r="G257" s="8" t="str">
        <f>", "&amp;'RAW (公開用)'!F258&amp;", "</f>
        <v xml:space="preserve">, 不定性, ノンバイナリー女性, **必ず選んでください**, ノンバイナリー, 無性, ニュートラル, </v>
      </c>
      <c r="H257" s="8"/>
      <c r="I257" s="8" t="str">
        <f>", "&amp;'RAW (公開用)'!H258&amp;", "</f>
        <v xml:space="preserve">, （any／問わない／どれでもよい）, </v>
      </c>
      <c r="J257" s="8" t="s">
        <v>2335</v>
      </c>
      <c r="K25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57" s="8" t="str">
        <f>", "&amp;'RAW (公開用)'!J258&amp;", "</f>
        <v xml:space="preserve">, （クエスチョニング、模索中、または不明）, -san, </v>
      </c>
      <c r="M257" s="8" t="s">
        <v>2335</v>
      </c>
      <c r="N25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-san, , </v>
      </c>
      <c r="O257" s="8" t="str">
        <f>", "&amp;'RAW (公開用)'!L258&amp;", "</f>
        <v xml:space="preserve">, 私（わたし／わたくし）, 自分, </v>
      </c>
      <c r="P257" s="8" t="s">
        <v>2335</v>
      </c>
      <c r="Q25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257" s="8" t="str">
        <f>", "&amp;'RAW (公開用)'!N257&amp;", "</f>
        <v xml:space="preserve">, （any／問わない／どれでもよい）, （自分（たち）の名前）, </v>
      </c>
      <c r="S257" s="8" t="s">
        <v>2335</v>
      </c>
      <c r="T25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（自分（たち）の名前）,  , </v>
      </c>
      <c r="U257" s="8" t="str">
        <f>", "&amp;'RAW (公開用)'!P258&amp;", "</f>
        <v xml:space="preserve">, they/them/their/themself, </v>
      </c>
      <c r="V257" s="8" t="s">
        <v>455</v>
      </c>
      <c r="W257" s="8" t="str">
        <f>", "&amp;'RAW (公開用)'!R258&amp;", "</f>
        <v xml:space="preserve">, トイレなどのジェンダー化されたスペースの使用, 社会の中でいないことにされる, アウティング（勝手にジェンダーや指向についての情報を明かされること）, </v>
      </c>
      <c r="X257" s="8"/>
      <c r="Y25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社会の中でいないことにされる, アウティング（勝手にジェンダーや指向についての情報を明かされること）,  </v>
      </c>
      <c r="Z257" s="8" t="s">
        <v>455</v>
      </c>
      <c r="AA257" s="8" t="str">
        <f>", "&amp;'RAW (公開用)'!U258&amp;", "</f>
        <v xml:space="preserve">, （上記のどれも希望していない）, </v>
      </c>
      <c r="AB257" s="8" t="str">
        <f>", "&amp;'RAW (公開用)'!V258&amp;", "</f>
        <v xml:space="preserve">, （上記のどれも経験していない）, </v>
      </c>
      <c r="AC257" s="8"/>
      <c r="AD25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57" s="8" t="s">
        <v>459</v>
      </c>
      <c r="AF257" s="8" t="s">
        <v>457</v>
      </c>
      <c r="AG257" s="8" t="s">
        <v>458</v>
      </c>
      <c r="AH257" s="8"/>
      <c r="AI257" s="8">
        <f t="shared" si="10"/>
        <v>5</v>
      </c>
      <c r="AJ257" s="8"/>
      <c r="AK257" s="8"/>
      <c r="AL257" s="8"/>
      <c r="AM257" s="8"/>
      <c r="AN257" s="8"/>
    </row>
    <row r="258" spans="1:40" ht="12.75" hidden="1">
      <c r="A258" s="8">
        <v>258</v>
      </c>
      <c r="B258" s="11">
        <v>44978.819255289352</v>
      </c>
      <c r="C258" s="8" t="s">
        <v>452</v>
      </c>
      <c r="D258" s="8" t="s">
        <v>453</v>
      </c>
      <c r="E258" s="8" t="s">
        <v>452</v>
      </c>
      <c r="F258" s="8" t="s">
        <v>454</v>
      </c>
      <c r="G258" s="8" t="str">
        <f>", "&amp;'RAW (公開用)'!F259&amp;", "</f>
        <v xml:space="preserve">, Aジェンダー／エイジェンダー／アジェンダー／agender, ニュートラル, </v>
      </c>
      <c r="H258" s="8"/>
      <c r="I258" s="8" t="str">
        <f>", "&amp;'RAW (公開用)'!H259&amp;", "</f>
        <v xml:space="preserve">, さん, </v>
      </c>
      <c r="J258" s="8" t="s">
        <v>2335</v>
      </c>
      <c r="K25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58" s="8" t="str">
        <f>", "&amp;'RAW (公開用)'!J259&amp;", "</f>
        <v xml:space="preserve">, **英語を日常的に使わない**, -san, </v>
      </c>
      <c r="M258" s="8" t="s">
        <v>2335</v>
      </c>
      <c r="N25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258" s="8" t="str">
        <f>", "&amp;'RAW (公開用)'!L259&amp;", "</f>
        <v xml:space="preserve">, 私（わたし／わたくし）, </v>
      </c>
      <c r="P258" s="8" t="s">
        <v>2335</v>
      </c>
      <c r="Q25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58" s="8" t="str">
        <f>", "&amp;'RAW (公開用)'!N258&amp;", "</f>
        <v xml:space="preserve">, （自分（たち）の名前）, （三人称で言及してほしくない）, </v>
      </c>
      <c r="S258" s="8" t="s">
        <v>2335</v>
      </c>
      <c r="T25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58" s="8" t="str">
        <f>", "&amp;'RAW (公開用)'!P259&amp;", "</f>
        <v xml:space="preserve">, **英語を日常的に使わない**, </v>
      </c>
      <c r="V258" s="8" t="s">
        <v>455</v>
      </c>
      <c r="W258" s="8" t="str">
        <f>", "&amp;'RAW (公開用)'!R259&amp;", "</f>
        <v xml:space="preserve">, 社会の中でいないことにされる, カムアウトできない, </v>
      </c>
      <c r="X258" s="8"/>
      <c r="Y25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258" s="8" t="s">
        <v>455</v>
      </c>
      <c r="AA258" s="8" t="str">
        <f>", "&amp;'RAW (公開用)'!U259&amp;", "</f>
        <v xml:space="preserve">, （上記のどれも希望していない）, </v>
      </c>
      <c r="AB258" s="8" t="str">
        <f>", "&amp;'RAW (公開用)'!V259&amp;", "</f>
        <v xml:space="preserve">, （上記のどれも経験していない）, </v>
      </c>
      <c r="AC258" s="8"/>
      <c r="AD25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58" s="8" t="s">
        <v>459</v>
      </c>
      <c r="AF258" s="8" t="s">
        <v>457</v>
      </c>
      <c r="AG258" s="8" t="s">
        <v>458</v>
      </c>
      <c r="AH258" s="8"/>
      <c r="AI258" s="8">
        <f t="shared" si="10"/>
        <v>2</v>
      </c>
      <c r="AJ258" s="8"/>
      <c r="AK258" s="8"/>
      <c r="AL258" s="8"/>
      <c r="AM258" s="8"/>
      <c r="AN258" s="8"/>
    </row>
    <row r="259" spans="1:40" ht="102" hidden="1">
      <c r="A259" s="8">
        <v>14</v>
      </c>
      <c r="B259" s="11">
        <v>44969.803162662036</v>
      </c>
      <c r="C259" s="8" t="s">
        <v>452</v>
      </c>
      <c r="D259" s="8" t="s">
        <v>453</v>
      </c>
      <c r="E259" s="8" t="s">
        <v>452</v>
      </c>
      <c r="F259" s="8" t="s">
        <v>454</v>
      </c>
      <c r="G259" s="8" t="str">
        <f>", "&amp;'RAW (公開用)'!F15&amp;", "</f>
        <v xml:space="preserve">, ジェンダークィア, クィア／Queer, Aジェンダー／エイジェンダー／アジェンダー／agender, ノンバイナリー, </v>
      </c>
      <c r="H259" s="8"/>
      <c r="I259" s="8" t="str">
        <f>", "&amp;'RAW (公開用)'!H15&amp;", "</f>
        <v xml:space="preserve">, さん, </v>
      </c>
      <c r="J259" s="8" t="s">
        <v>2335</v>
      </c>
      <c r="K25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59" s="8" t="str">
        <f>", "&amp;'RAW (公開用)'!J15&amp;", "</f>
        <v xml:space="preserve">, -san, （any／問わない／どれでもよい）, </v>
      </c>
      <c r="M259" s="8" t="s">
        <v>2335</v>
      </c>
      <c r="N25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（any／問わない／どれでもよい）, , </v>
      </c>
      <c r="O259" s="8" t="str">
        <f>", "&amp;'RAW (公開用)'!L15&amp;", "</f>
        <v xml:space="preserve">, 私（わたし／わたくし）, わたし, （時とともに変わる）, 自分, わし、おれ、俺, </v>
      </c>
      <c r="P259" s="73" t="s">
        <v>2372</v>
      </c>
      <c r="Q25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わたし, （時とともに変わる）, 自分, わし、おれ、俺,  , (名前)+さん,</v>
      </c>
      <c r="R259" s="8" t="str">
        <f>", "&amp;'RAW (公開用)'!N259&amp;", "</f>
        <v xml:space="preserve">, かれ, （any／問わない／どれでもよい）, </v>
      </c>
      <c r="S259" s="73" t="s">
        <v>2369</v>
      </c>
      <c r="T25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かれ, （any／問わない／どれでもよい）,  , (名前)+さん, {この/その/あの}+ひと,</v>
      </c>
      <c r="U259" s="8" t="str">
        <f>", "&amp;'RAW (公開用)'!P15&amp;", "</f>
        <v xml:space="preserve">, they/them/their/themselves, </v>
      </c>
      <c r="V259" s="8" t="s">
        <v>455</v>
      </c>
      <c r="W259" s="8" t="str">
        <f>", "&amp;'RAW (公開用)'!R15&amp;", "</f>
        <v xml:space="preserve">, トイレなどのジェンダー化されたスペースの使用, カムアウトを強制される, 必要なジェンダーケアへアクセスできない, 家族／かぞくからの無理解, アウティング（勝手にジェンダーや指向についての情報を明かされること）, 職場や学校における無理解, 性暴力, カムアウトできない, LGBTQ+運動からの排斥, </v>
      </c>
      <c r="X259" s="8" t="s">
        <v>226</v>
      </c>
      <c r="Y25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カムアウトを強制される, 必要なジェンダーケアへアクセスできない, 家族／かぞくからの無理解, アウティング（勝手にジェンダーや指向についての情報を明かされること）, 職場や学校における無理解, 性暴力, カムアウトできない, LGBTQ+運動からの排斥,  トランス差別的な言質に引っ張られてしまう友人がtwitter上の多く、縁を切ったことが何度もある。ある程度理解があってもトイレを使うのにパスポートを導入するとかどうかなというくらいの人もおり、本当に恐怖。そのため最近は外出時のトイレは誰でもトイレを使っているが、なかなか探すのも大変で困る。</v>
      </c>
      <c r="Z259" s="8" t="s">
        <v>455</v>
      </c>
      <c r="AA259" s="8" t="str">
        <f>", "&amp;'RAW (公開用)'!U15&amp;", "</f>
        <v xml:space="preserve">, 戸籍名の変更, 顔にかかわる手術, 声帯にかかわる手術, 胸部の手術, </v>
      </c>
      <c r="AB259" s="8" t="str">
        <f>", "&amp;'RAW (公開用)'!V15&amp;", "</f>
        <v xml:space="preserve">, （上記のどれも経験していない）, </v>
      </c>
      <c r="AC259" s="8" t="s">
        <v>407</v>
      </c>
      <c r="AD25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たくさん薬を飲んでいるため、ホルモン治療を受けた際の体質の変化についていけるかが心配。どこにアクセスしたらいいかわからない。名前の変更は簡単にさせてほしい</v>
      </c>
      <c r="AE259" s="8" t="s">
        <v>474</v>
      </c>
      <c r="AF259" s="8" t="s">
        <v>457</v>
      </c>
      <c r="AG259" s="8" t="s">
        <v>458</v>
      </c>
      <c r="AH259" s="8"/>
      <c r="AI259" s="8">
        <f>((LEN(G259)-LEN(SUBSTITUTE(G259,", ","")))/LEN(", ")-1-(LEN(G259)-LEN(SUBSTITUTE(G259,"必ず","")))/LEN("必ず"))+(LEN(H259)-LEN(SUBSTITUTE(H259,",","")))</f>
        <v>4</v>
      </c>
      <c r="AJ259" s="8"/>
      <c r="AK259" s="8"/>
      <c r="AL259" s="8"/>
      <c r="AM259" s="8"/>
      <c r="AN259" s="8"/>
    </row>
    <row r="260" spans="1:40" ht="38.25" hidden="1">
      <c r="A260" s="8">
        <v>177</v>
      </c>
      <c r="B260" s="11">
        <v>44970.875192905092</v>
      </c>
      <c r="C260" s="8" t="s">
        <v>452</v>
      </c>
      <c r="D260" s="8" t="s">
        <v>453</v>
      </c>
      <c r="E260" s="8" t="s">
        <v>452</v>
      </c>
      <c r="F260" s="8" t="s">
        <v>454</v>
      </c>
      <c r="G260" s="8" t="str">
        <f>", "&amp;'RAW (公開用)'!F178&amp;", "</f>
        <v xml:space="preserve">, トランスマスキュリン, クィア／Queer, ノンバイナリー, トランスジェンダー, </v>
      </c>
      <c r="H260" s="8"/>
      <c r="I260" s="8" t="str">
        <f>", "&amp;'RAW (公開用)'!H178&amp;", "</f>
        <v xml:space="preserve">, さん, （敬称なし）, </v>
      </c>
      <c r="J260" s="8" t="s">
        <v>2335</v>
      </c>
      <c r="K26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260" s="8" t="str">
        <f>", "&amp;'RAW (公開用)'!J178&amp;", "</f>
        <v xml:space="preserve">, **英語を日常的に使わない**, </v>
      </c>
      <c r="M260" s="8" t="s">
        <v>2335</v>
      </c>
      <c r="N26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60" s="8" t="str">
        <f>", "&amp;'RAW (公開用)'!L178&amp;", "</f>
        <v xml:space="preserve">, 私（わたし／わたくし）, （一人称の使用を避ける）, （時とともに変わる）, 自分, </v>
      </c>
      <c r="P260" s="8" t="s">
        <v>2399</v>
      </c>
      <c r="Q26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（一人称の使用を避ける）, （時とともに変わる）, 自分,  , ワイ</v>
      </c>
      <c r="R260" s="8" t="str">
        <f>", "&amp;'RAW (公開用)'!N260&amp;", "</f>
        <v xml:space="preserve">, 彼, （自分（たち）の名前）, </v>
      </c>
      <c r="S260" s="8" t="s">
        <v>2335</v>
      </c>
      <c r="T26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（自分（たち）の名前）,  , </v>
      </c>
      <c r="U260" s="8" t="str">
        <f>", "&amp;'RAW (公開用)'!P178&amp;", "</f>
        <v xml:space="preserve">, **英語を日常的に使わない**, </v>
      </c>
      <c r="V260" s="8" t="s">
        <v>455</v>
      </c>
      <c r="W260" s="8" t="str">
        <f>", "&amp;'RAW (公開用)'!R178&amp;", "</f>
        <v xml:space="preserve">, ミスジェンダリング（誤った性別として扱うこと）, 医療における無理解, カムアウトできない, トイレなどのジェンダー化されたスペースの使用, 社会の中でいないことにされる, </v>
      </c>
      <c r="X260" s="8"/>
      <c r="Y26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医療における無理解, カムアウトできない, トイレなどのジェンダー化されたスペースの使用, 社会の中でいないことにされる,  </v>
      </c>
      <c r="Z260" s="8" t="s">
        <v>455</v>
      </c>
      <c r="AA260" s="8" t="str">
        <f>", "&amp;'RAW (公開用)'!U178&amp;", "</f>
        <v xml:space="preserve">, ホルモン補充療法（HRT）, 胸部の手術, </v>
      </c>
      <c r="AB260" s="8" t="str">
        <f>", "&amp;'RAW (公開用)'!V178&amp;", "</f>
        <v xml:space="preserve">, （上記のどれも経験していない）, </v>
      </c>
      <c r="AC260" s="8" t="s">
        <v>381</v>
      </c>
      <c r="AD26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保険適応での手術のハードルが高い</v>
      </c>
      <c r="AE260" s="8" t="s">
        <v>462</v>
      </c>
      <c r="AF260" s="8" t="s">
        <v>457</v>
      </c>
      <c r="AG260" s="8" t="s">
        <v>458</v>
      </c>
      <c r="AH260" s="8"/>
      <c r="AI260" s="8">
        <f>(LEN(G260)-LEN(SUBSTITUTE(G260,", ","")))/LEN(", ")-1-(LEN(G260)-LEN(SUBSTITUTE(G260,"必ず","")))/LEN("必ず")</f>
        <v>4</v>
      </c>
      <c r="AJ260" s="8"/>
      <c r="AK260" s="8"/>
      <c r="AL260" s="8"/>
      <c r="AM260" s="8"/>
      <c r="AN260" s="8"/>
    </row>
    <row r="261" spans="1:40" ht="25.5" hidden="1">
      <c r="A261" s="8">
        <v>261</v>
      </c>
      <c r="B261" s="11">
        <v>44979.677996967592</v>
      </c>
      <c r="C261" s="8" t="s">
        <v>452</v>
      </c>
      <c r="D261" s="8" t="s">
        <v>453</v>
      </c>
      <c r="E261" s="8" t="s">
        <v>452</v>
      </c>
      <c r="F261" s="8" t="s">
        <v>454</v>
      </c>
      <c r="G261" s="8" t="str">
        <f>", "&amp;'RAW (公開用)'!F262&amp;", "</f>
        <v xml:space="preserve">, Aジェンダー／エイジェンダー／アジェンダー／agender, </v>
      </c>
      <c r="H261" s="8"/>
      <c r="I261" s="8" t="str">
        <f>", "&amp;'RAW (公開用)'!H262&amp;", "</f>
        <v xml:space="preserve">, （クエスチョニング、模索中、または不明）, </v>
      </c>
      <c r="J261" s="8" t="s">
        <v>2335</v>
      </c>
      <c r="K26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261" s="8" t="str">
        <f>", "&amp;'RAW (公開用)'!J262&amp;", "</f>
        <v xml:space="preserve">, Mx., Ms., </v>
      </c>
      <c r="M261" s="8" t="s">
        <v>2335</v>
      </c>
      <c r="N26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Ms., , </v>
      </c>
      <c r="O261" s="8" t="str">
        <f>", "&amp;'RAW (公開用)'!L262&amp;", "</f>
        <v xml:space="preserve">, 自分, （クエスチョニング、模索中、または不明）, </v>
      </c>
      <c r="P261" s="8" t="s">
        <v>2335</v>
      </c>
      <c r="Q26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（クエスチョニング、模索中、または不明）,  , </v>
      </c>
      <c r="R261" s="8" t="str">
        <f>", "&amp;'RAW (公開用)'!N261&amp;", "</f>
        <v xml:space="preserve">, （自分（たち）の名前）, </v>
      </c>
      <c r="S261" s="8" t="s">
        <v>2335</v>
      </c>
      <c r="T26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61" s="8" t="str">
        <f>", "&amp;'RAW (公開用)'!P262&amp;", "</f>
        <v xml:space="preserve">, she, they/them/their/themselves, </v>
      </c>
      <c r="V261" s="8" t="s">
        <v>455</v>
      </c>
      <c r="W261" s="8" t="str">
        <f>", "&amp;'RAW (公開用)'!R262&amp;", "</f>
        <v xml:space="preserve">, 家族／かぞくからの無理解, 必要なジェンダーケアへアクセスできない, カムアウトを強制される, </v>
      </c>
      <c r="X261" s="8"/>
      <c r="Y26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必要なジェンダーケアへアクセスできない, カムアウトを強制される,  </v>
      </c>
      <c r="Z261" s="8" t="s">
        <v>455</v>
      </c>
      <c r="AA261" s="8" t="str">
        <f>", "&amp;'RAW (公開用)'!U262&amp;", "</f>
        <v xml:space="preserve">, 戸籍名の変更, 戸籍上の性別の変更, ジェンダークリニックの受診, 胸部の手術, </v>
      </c>
      <c r="AB261" s="105" t="s">
        <v>2443</v>
      </c>
      <c r="AC261" s="8"/>
      <c r="AD261"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61" s="8" t="s">
        <v>573</v>
      </c>
      <c r="AF261" s="8"/>
      <c r="AG261" s="8" t="s">
        <v>458</v>
      </c>
      <c r="AH261" s="8"/>
      <c r="AI261" s="8">
        <f>(LEN(G261)-LEN(SUBSTITUTE(G261,", ","")))/LEN(", ")-1-(LEN(G261)-LEN(SUBSTITUTE(G261,"必ず","")))/LEN("必ず")</f>
        <v>1</v>
      </c>
      <c r="AJ261" s="8"/>
      <c r="AK261" s="8"/>
      <c r="AL261" s="8"/>
      <c r="AM261" s="8"/>
      <c r="AN261" s="8"/>
    </row>
    <row r="262" spans="1:40" ht="155.25" hidden="1">
      <c r="A262" s="8">
        <v>364</v>
      </c>
      <c r="B262" s="11">
        <v>44991.987331793978</v>
      </c>
      <c r="C262" s="8" t="s">
        <v>452</v>
      </c>
      <c r="D262" s="8" t="s">
        <v>453</v>
      </c>
      <c r="E262" s="8" t="s">
        <v>452</v>
      </c>
      <c r="F262" s="8" t="s">
        <v>454</v>
      </c>
      <c r="G262" s="8" t="str">
        <f>", "&amp;'RAW (公開用)'!F365&amp;", "</f>
        <v xml:space="preserve">, ノンバイナリー, Aジェンダー／エイジェンダー／アジェンダー／agender, 無性, </v>
      </c>
      <c r="H262" s="8"/>
      <c r="I262" s="8" t="str">
        <f>", "&amp;'RAW (公開用)'!H365&amp;", "</f>
        <v xml:space="preserve">, （時とともに変わる）, </v>
      </c>
      <c r="J262" s="8" t="s">
        <v>2335</v>
      </c>
      <c r="K26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 </v>
      </c>
      <c r="L262" s="8" t="str">
        <f>", "&amp;'RAW (公開用)'!J365&amp;", "</f>
        <v xml:space="preserve">, **英語を日常的に使わない**, </v>
      </c>
      <c r="M262" s="17" t="s">
        <v>2421</v>
      </c>
      <c r="N26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**英語を日常的に使わない**, , バイナリーは嫌,</v>
      </c>
      <c r="O262" s="8" t="str">
        <f>", "&amp;'RAW (公開用)'!L365&amp;", "</f>
        <v xml:space="preserve">, 俺, （時とともに変わる）, （クエスチョニング、模索中、または不明）, 僕, 私（わたし／わたくし）, </v>
      </c>
      <c r="P262" s="16" t="s">
        <v>2400</v>
      </c>
      <c r="Q26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（時とともに変わる）, （クエスチョニング、模索中、または不明）, 僕, 私（わたし／わたくし）,  , 自分,</v>
      </c>
      <c r="R262" s="8" t="str">
        <f>", "&amp;'RAW (公開用)'!N262&amp;", "</f>
        <v xml:space="preserve">, 彼人（かのひと）, </v>
      </c>
      <c r="S262" s="74" t="s">
        <v>2349</v>
      </c>
      <c r="T26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彼人（かのひと）,  , しっくりくるものがない,</v>
      </c>
      <c r="U262" s="8" t="str">
        <f>", "&amp;'RAW (公開用)'!P365&amp;", "</f>
        <v xml:space="preserve">, （クエスチョニング、模索中、または不明）, they/them/their/themselves, **英語を日常的に使わない**, </v>
      </c>
      <c r="V262" s="8" t="s">
        <v>455</v>
      </c>
      <c r="W262" s="8" t="str">
        <f>", "&amp;'RAW (公開用)'!R365&amp;", "</f>
        <v xml:space="preserve">, トイレなどのジェンダー化されたスペースの使用, LGBTQ+運動からの排斥, アウティング（勝手にジェンダーや指向についての情報を明かされること）, デッドネーミング（誤った名前で呼ばれること）, 社会の中でいないことにされる, 医療における無理解, カムアウトできない, 性暴力, ミスジェンダリング（誤った性別として扱うこと）, カムアウトを強制される, 必要なジェンダーケアへアクセスできない, 職場や学校における無理解, 家族／かぞくからの無理解, </v>
      </c>
      <c r="X262" s="8" t="s">
        <v>205</v>
      </c>
      <c r="Y26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LGBTQ+運動からの排斥, アウティング（勝手にジェンダーや指向についての情報を明かされること）, デッドネーミング（誤った名前で呼ばれること）, 社会の中でいないことにされる, 医療における無理解, カムアウトできない, 性暴力, ミスジェンダリング（誤った性別として扱うこと）, カムアウトを強制される, 必要なジェンダーケアへアクセスできない, 職場や学校における無理解, 家族／かぞくからの無理解,  SNSでのヘイターからの集中砲火。トイレ問題の犯罪者化。女性は守るけどトランスジェンダーは守らない言説。
信頼している人物からの自身のジェンダーに対するトランス差別を受けると、不意打ちの奇襲すぎて心身の調子を崩してしまった。
AGABに従ってトイレを使用しているのに、そのときの服装がAGABの性別の正解出なかったというだけで、清掃員に拒絶反応をされた。</v>
      </c>
      <c r="Z262" s="8" t="s">
        <v>455</v>
      </c>
      <c r="AA262" s="8" t="str">
        <f>", "&amp;'RAW (公開用)'!U365&amp;", "</f>
        <v xml:space="preserve">, 戸籍名の変更, 戸籍上の性別の変更, </v>
      </c>
      <c r="AB262" s="105" t="s">
        <v>2443</v>
      </c>
      <c r="AC262" s="8" t="s">
        <v>351</v>
      </c>
      <c r="AD262" s="8" t="str">
        <f>テーブル1[[#This Row],[以下のうち、経験したものをすべて選んでください]]&amp;" "&amp;テーブル1[[#This Row],[社会的、法的、医学的トランジションについて、困難なこと等がありましたらここにお書きください]]</f>
        <v>無回答 戸籍性別が男か女しかない、携帯の契約、公的な支援を受けるための書類で毎回男か女しかない違うのにAGABに丸しなければならない違うのに、医療機関で通称名を使わせてくれない、医療機関でAGABに従わないといけない、声を上げても未熟と判断されるか、現状自分が考え方を変える方向に抑圧される寄り添い。</v>
      </c>
      <c r="AE262" s="8" t="s">
        <v>456</v>
      </c>
      <c r="AF262" s="8" t="s">
        <v>457</v>
      </c>
      <c r="AG262" s="8" t="s">
        <v>458</v>
      </c>
      <c r="AH262" s="8" t="s">
        <v>613</v>
      </c>
      <c r="AI262" s="8">
        <f>(LEN(G262)-LEN(SUBSTITUTE(G262,", ","")))/LEN(", ")-1-(LEN(G262)-LEN(SUBSTITUTE(G262,"必ず","")))/LEN("必ず")</f>
        <v>3</v>
      </c>
      <c r="AJ262" s="8"/>
      <c r="AK262" s="8"/>
      <c r="AL262" s="8"/>
      <c r="AM262" s="8"/>
      <c r="AN262" s="8"/>
    </row>
    <row r="263" spans="1:40" ht="51" hidden="1">
      <c r="A263" s="8">
        <v>263</v>
      </c>
      <c r="B263" s="11">
        <v>44981.611637604168</v>
      </c>
      <c r="C263" s="8" t="s">
        <v>452</v>
      </c>
      <c r="D263" s="8" t="s">
        <v>453</v>
      </c>
      <c r="E263" s="8" t="s">
        <v>452</v>
      </c>
      <c r="F263" s="8" t="s">
        <v>454</v>
      </c>
      <c r="G263" s="8" t="str">
        <f>", "&amp;'RAW (公開用)'!F264&amp;", "</f>
        <v xml:space="preserve">, トランス*／trans*, ノンバイナリー, デミジェンダー, </v>
      </c>
      <c r="H263" s="8"/>
      <c r="I263" s="8" t="str">
        <f>", "&amp;'RAW (公開用)'!H264&amp;", "</f>
        <v xml:space="preserve">, ちゃん, さん, （クエスチョニング、模索中、または不明）, </v>
      </c>
      <c r="J263" s="8" t="s">
        <v>2335</v>
      </c>
      <c r="K26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（クエスチョニング、模索中、または不明）,  , </v>
      </c>
      <c r="L263" s="8" t="str">
        <f>", "&amp;'RAW (公開用)'!J264&amp;", "</f>
        <v xml:space="preserve">, **英語を日常的に使わない**, </v>
      </c>
      <c r="M263" s="8" t="s">
        <v>2335</v>
      </c>
      <c r="N26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63" s="8" t="str">
        <f>", "&amp;'RAW (公開用)'!L264&amp;", "</f>
        <v xml:space="preserve">, うち, （クエスチョニング、模索中、または不明）, 私（わたし／わたくし）, わたし, 俺, </v>
      </c>
      <c r="P263" s="8" t="s">
        <v>2335</v>
      </c>
      <c r="Q26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（クエスチョニング、模索中、または不明）, 私（わたし／わたくし）, わたし, 俺,  , </v>
      </c>
      <c r="R263" s="8" t="str">
        <f>", "&amp;'RAW (公開用)'!N263&amp;", "</f>
        <v xml:space="preserve">, （自分（たち）の名前）, かれ, </v>
      </c>
      <c r="S263" s="8" t="s">
        <v>2335</v>
      </c>
      <c r="T26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かれ,  , </v>
      </c>
      <c r="U263" s="8" t="str">
        <f>", "&amp;'RAW (公開用)'!P264&amp;", "</f>
        <v xml:space="preserve">, **英語を日常的に使わない**, they/them/their/themself, </v>
      </c>
      <c r="V263" s="8" t="s">
        <v>455</v>
      </c>
      <c r="W263" s="8" t="str">
        <f>", "&amp;'RAW (公開用)'!R264&amp;", "</f>
        <v xml:space="preserve">, ミスジェンダリング（誤った性別として扱うこと）, アウティング（勝手にジェンダーや指向についての情報を明かされること）, 社会の中でいないことにされる, LGBTQ+運動からの排斥, 職場や学校における無理解, トイレなどのジェンダー化されたスペースの使用, </v>
      </c>
      <c r="X263" s="8"/>
      <c r="Y26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アウティング（勝手にジェンダーや指向についての情報を明かされること）, 社会の中でいないことにされる, LGBTQ+運動からの排斥, 職場や学校における無理解, トイレなどのジェンダー化されたスペースの使用,  </v>
      </c>
      <c r="Z263" s="8" t="s">
        <v>455</v>
      </c>
      <c r="AA263" s="8" t="str">
        <f>", "&amp;'RAW (公開用)'!U264&amp;", "</f>
        <v xml:space="preserve">, ホルモン補充療法（HRT）, </v>
      </c>
      <c r="AB263" s="8" t="str">
        <f>", "&amp;'RAW (公開用)'!V264&amp;", "</f>
        <v xml:space="preserve">, （上記のどれも経験していない）, </v>
      </c>
      <c r="AC263" s="8" t="s">
        <v>331</v>
      </c>
      <c r="AD26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現在高等教育への進学を希望しており、将来の学費のことを想定すると費用の捻出が困難である。</v>
      </c>
      <c r="AE263" s="8" t="s">
        <v>464</v>
      </c>
      <c r="AF263" s="8" t="s">
        <v>457</v>
      </c>
      <c r="AG263" s="8" t="s">
        <v>458</v>
      </c>
      <c r="AH263" s="8"/>
      <c r="AI263" s="8">
        <f>(LEN(G263)-LEN(SUBSTITUTE(G263,", ","")))/LEN(", ")-1-(LEN(G263)-LEN(SUBSTITUTE(G263,"必ず","")))/LEN("必ず")</f>
        <v>3</v>
      </c>
      <c r="AJ263" s="8"/>
      <c r="AK263" s="8"/>
      <c r="AL263" s="8"/>
      <c r="AM263" s="8"/>
      <c r="AN263" s="8"/>
    </row>
    <row r="264" spans="1:40" ht="38.25" hidden="1">
      <c r="A264" s="8">
        <v>7</v>
      </c>
      <c r="B264" s="11">
        <v>44969.791483738431</v>
      </c>
      <c r="C264" s="8" t="s">
        <v>452</v>
      </c>
      <c r="D264" s="8" t="s">
        <v>453</v>
      </c>
      <c r="E264" s="8" t="s">
        <v>452</v>
      </c>
      <c r="F264" s="8" t="s">
        <v>454</v>
      </c>
      <c r="G264" s="8" t="str">
        <f>", "&amp;'RAW (公開用)'!F8&amp;", "</f>
        <v xml:space="preserve">, ノンバイナリー, **必ず選んでください**, Aジェンダー／エイジェンダー／アジェンダー／agender, </v>
      </c>
      <c r="H264" s="8"/>
      <c r="I264" s="8" t="str">
        <f>", "&amp;'RAW (公開用)'!H8&amp;", "</f>
        <v xml:space="preserve">, さん, </v>
      </c>
      <c r="J264" s="8" t="s">
        <v>2335</v>
      </c>
      <c r="K26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64" s="8" t="str">
        <f>", "&amp;'RAW (公開用)'!J8&amp;", "</f>
        <v xml:space="preserve">, Mx., -san, **英語を日常的に使わない**, </v>
      </c>
      <c r="M264" s="8" t="s">
        <v>2335</v>
      </c>
      <c r="N26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-san, **英語を日常的に使わない**, , </v>
      </c>
      <c r="O264" s="8" t="str">
        <f>", "&amp;'RAW (公開用)'!L8&amp;", "</f>
        <v xml:space="preserve">, 私（わたし／わたくし）, （一人称の使用を避ける）, </v>
      </c>
      <c r="P264" s="73" t="s">
        <v>2401</v>
      </c>
      <c r="Q26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（一人称の使用を避ける）,  , ボク, わし,</v>
      </c>
      <c r="R264" s="8" t="str">
        <f>", "&amp;'RAW (公開用)'!N264&amp;", "</f>
        <v xml:space="preserve">, （三人称で言及してほしくない）, （自分（たち）の名前）, </v>
      </c>
      <c r="S264" s="8" t="s">
        <v>2335</v>
      </c>
      <c r="T26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264" s="8" t="str">
        <f>", "&amp;'RAW (公開用)'!P8&amp;", "</f>
        <v xml:space="preserve">, **英語を日常的に使わない**, they/them/their/themselves, </v>
      </c>
      <c r="V264" s="8" t="s">
        <v>455</v>
      </c>
      <c r="W264" s="8" t="str">
        <f>", "&amp;'RAW (公開用)'!R8&amp;", "</f>
        <v xml:space="preserve">, 必要なジェンダーケアへアクセスできない, LGBTQ+運動からの排斥, ミスジェンダリング（誤った性別として扱うこと）, 家族／かぞくからの無理解, 職場や学校における無理解, トイレなどのジェンダー化されたスペースの使用, </v>
      </c>
      <c r="X264" s="8"/>
      <c r="Y26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LGBTQ+運動からの排斥, ミスジェンダリング（誤った性別として扱うこと）, 家族／かぞくからの無理解, 職場や学校における無理解, トイレなどのジェンダー化されたスペースの使用,  </v>
      </c>
      <c r="Z264" s="8" t="s">
        <v>455</v>
      </c>
      <c r="AA264" s="8" t="str">
        <f>", "&amp;'RAW (公開用)'!U8&amp;", "</f>
        <v xml:space="preserve">, ジェンダークリニックの受診, 抗ホルモン療法, ホルモン補充療法（HRT）, </v>
      </c>
      <c r="AB264" s="105" t="s">
        <v>2443</v>
      </c>
      <c r="AC264" s="8" t="s">
        <v>317</v>
      </c>
      <c r="AD264" s="8" t="str">
        <f>テーブル1[[#This Row],[以下のうち、経験したものをすべて選んでください]]&amp;" "&amp;テーブル1[[#This Row],[社会的、法的、医学的トランジションについて、困難なこと等がありましたらここにお書きください]]</f>
        <v>無回答 身体にメスを入れることはまだ迷っているし踏ん切りもつかないような気がしているところなのですが、その辺のメリットやデメリット含めて相談できる場所がないということでしょうか。</v>
      </c>
      <c r="AE264" s="8" t="s">
        <v>462</v>
      </c>
      <c r="AF264" s="8" t="s">
        <v>457</v>
      </c>
      <c r="AG264" s="8" t="s">
        <v>458</v>
      </c>
      <c r="AH264" s="8"/>
      <c r="AI264" s="8">
        <f>((LEN(G264)-LEN(SUBSTITUTE(G264,", ","")))/LEN(", ")-1-(LEN(G264)-LEN(SUBSTITUTE(G264,"必ず","")))/LEN("必ず"))+(LEN(H264)-LEN(SUBSTITUTE(H264,",","")))</f>
        <v>2</v>
      </c>
      <c r="AJ264" s="8"/>
      <c r="AK264" s="8"/>
      <c r="AL264" s="8"/>
      <c r="AM264" s="8"/>
      <c r="AN264" s="8"/>
    </row>
    <row r="265" spans="1:40" ht="76.5" hidden="1">
      <c r="A265" s="8">
        <v>265</v>
      </c>
      <c r="B265" s="11">
        <v>44982.879413715273</v>
      </c>
      <c r="C265" s="8" t="s">
        <v>452</v>
      </c>
      <c r="D265" s="8" t="s">
        <v>453</v>
      </c>
      <c r="E265" s="8" t="s">
        <v>452</v>
      </c>
      <c r="F265" s="8" t="s">
        <v>454</v>
      </c>
      <c r="G265" s="8" t="str">
        <f>", "&amp;'RAW (公開用)'!F266&amp;", "</f>
        <v xml:space="preserve">, ノンバイナリー, クエスチョニング, </v>
      </c>
      <c r="H265" s="8"/>
      <c r="I265" s="8" t="str">
        <f>", "&amp;'RAW (公開用)'!H266&amp;", "</f>
        <v xml:space="preserve">, （時とともに変わる）, （クエスチョニング、模索中、または不明）, さん, </v>
      </c>
      <c r="J265" s="8" t="s">
        <v>2335</v>
      </c>
      <c r="K26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さん,  , </v>
      </c>
      <c r="L265" s="8" t="str">
        <f>", "&amp;'RAW (公開用)'!J266&amp;", "</f>
        <v xml:space="preserve">, （クエスチョニング、模索中、または不明）, （時とともに変わる）, </v>
      </c>
      <c r="M265" s="8" t="s">
        <v>2335</v>
      </c>
      <c r="N26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（時とともに変わる）, , </v>
      </c>
      <c r="O265" s="8" t="str">
        <f>", "&amp;'RAW (公開用)'!L266&amp;", "</f>
        <v xml:space="preserve">, （一人称の使用を避ける）, （時とともに変わる）, （クエスチョニング、模索中、または不明）, </v>
      </c>
      <c r="P265" s="8" t="s">
        <v>2335</v>
      </c>
      <c r="Q26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（時とともに変わる）, （クエスチョニング、模索中、または不明）,  , </v>
      </c>
      <c r="R265" s="8" t="str">
        <f>", "&amp;'RAW (公開用)'!N265&amp;", "</f>
        <v xml:space="preserve">, 彼人（かのと）, </v>
      </c>
      <c r="S265" s="8" t="s">
        <v>2335</v>
      </c>
      <c r="T26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 </v>
      </c>
      <c r="U265" s="8" t="str">
        <f>", "&amp;'RAW (公開用)'!P266&amp;", "</f>
        <v xml:space="preserve">, （クエスチョニング、模索中、または不明）, any/問わない/どれでもよい, </v>
      </c>
      <c r="V265" s="8" t="s">
        <v>455</v>
      </c>
      <c r="W265" s="8" t="str">
        <f>", "&amp;'RAW (公開用)'!R266&amp;", "</f>
        <v xml:space="preserve">, 家族／かぞくからの無理解, カムアウトできない, 職場や学校における無理解, ミスジェンダリング（誤った性別として扱うこと）, 性暴力, LGBTQ+運動からの排斥, アウティング（勝手にジェンダーや指向についての情報を明かされること）, 必要なジェンダーケアへアクセスできない, トイレなどのジェンダー化されたスペースの使用, デッドネーミング（誤った名前で呼ばれること）, 医療における無理解, 社会の中でいないことにされる, </v>
      </c>
      <c r="X265" s="8"/>
      <c r="Y26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カムアウトできない, 職場や学校における無理解, ミスジェンダリング（誤った性別として扱うこと）, 性暴力, LGBTQ+運動からの排斥, アウティング（勝手にジェンダーや指向についての情報を明かされること）, 必要なジェンダーケアへアクセスできない, トイレなどのジェンダー化されたスペースの使用, デッドネーミング（誤った名前で呼ばれること）, 医療における無理解, 社会の中でいないことにされる,  </v>
      </c>
      <c r="Z265" s="8" t="s">
        <v>455</v>
      </c>
      <c r="AA265" s="8" t="str">
        <f>", "&amp;'RAW (公開用)'!U266&amp;", "</f>
        <v xml:space="preserve">, 戸籍名の変更, 戸籍上の性別の変更, 顔にかかわる手術, 声帯にかかわる手術, </v>
      </c>
      <c r="AB265" s="8" t="str">
        <f>", "&amp;'RAW (公開用)'!V266&amp;", "</f>
        <v xml:space="preserve">, （上記のどれも経験していない）, </v>
      </c>
      <c r="AC265" s="8"/>
      <c r="AD26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65" s="8" t="s">
        <v>479</v>
      </c>
      <c r="AF265" s="8" t="s">
        <v>457</v>
      </c>
      <c r="AG265" s="8" t="s">
        <v>458</v>
      </c>
      <c r="AH265" s="8"/>
      <c r="AI265" s="8">
        <f t="shared" ref="AI265:AI286" si="11">(LEN(G265)-LEN(SUBSTITUTE(G265,", ","")))/LEN(", ")-1-(LEN(G265)-LEN(SUBSTITUTE(G265,"必ず","")))/LEN("必ず")</f>
        <v>2</v>
      </c>
      <c r="AJ265" s="8"/>
      <c r="AK265" s="8"/>
      <c r="AL265" s="8"/>
      <c r="AM265" s="8"/>
      <c r="AN265" s="8"/>
    </row>
    <row r="266" spans="1:40" ht="127.5" hidden="1">
      <c r="A266" s="8">
        <v>297</v>
      </c>
      <c r="B266" s="11">
        <v>44991.49250043981</v>
      </c>
      <c r="C266" s="8" t="s">
        <v>452</v>
      </c>
      <c r="D266" s="8" t="s">
        <v>453</v>
      </c>
      <c r="E266" s="8" t="s">
        <v>452</v>
      </c>
      <c r="F266" s="8" t="s">
        <v>454</v>
      </c>
      <c r="G266" s="8" t="str">
        <f>", "&amp;'RAW (公開用)'!F298&amp;", "</f>
        <v xml:space="preserve">, 不明／わからない, 女性／woman, **必ず選んでください**, </v>
      </c>
      <c r="H266" s="8"/>
      <c r="I266" s="8" t="str">
        <f>", "&amp;'RAW (公開用)'!H298&amp;", "</f>
        <v xml:space="preserve">, さん, </v>
      </c>
      <c r="J266" s="8" t="s">
        <v>2335</v>
      </c>
      <c r="K26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66" s="8" t="str">
        <f>", "&amp;'RAW (公開用)'!J298&amp;", "</f>
        <v xml:space="preserve">, **英語を日常的に使わない**, </v>
      </c>
      <c r="M266" s="8" t="s">
        <v>2335</v>
      </c>
      <c r="N26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66" s="8" t="str">
        <f>", "&amp;'RAW (公開用)'!L298&amp;", "</f>
        <v xml:space="preserve">, わたし, </v>
      </c>
      <c r="P266" s="73" t="s">
        <v>2402</v>
      </c>
      <c r="Q26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 ぼく, わい, あーし,</v>
      </c>
      <c r="R266" s="8" t="str">
        <f>", "&amp;'RAW (公開用)'!N266&amp;", "</f>
        <v xml:space="preserve">, （any／問わない／どれでもよい）, （三人称で言及してほしくない）, （自分（たち）の名前）, </v>
      </c>
      <c r="S266" s="8" t="s">
        <v>2335</v>
      </c>
      <c r="T26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（三人称で言及してほしくない）, （自分（たち）の名前）,  , </v>
      </c>
      <c r="U266" s="8" t="str">
        <f>", "&amp;'RAW (公開用)'!P298&amp;", "</f>
        <v xml:space="preserve">, **英語を日常的に使わない**, </v>
      </c>
      <c r="V266" s="8" t="s">
        <v>455</v>
      </c>
      <c r="W266" s="8" t="str">
        <f>", "&amp;'RAW (公開用)'!R298&amp;", "</f>
        <v xml:space="preserve">, ミスジェンダリング（誤った性別として扱うこと）, </v>
      </c>
      <c r="X266" s="8"/>
      <c r="Y26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v>
      </c>
      <c r="Z266" s="8" t="s">
        <v>472</v>
      </c>
      <c r="AA266" s="8" t="s">
        <v>2174</v>
      </c>
      <c r="AB266" s="105" t="s">
        <v>2443</v>
      </c>
      <c r="AC266" s="8"/>
      <c r="AD26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66" s="8" t="s">
        <v>464</v>
      </c>
      <c r="AF266" s="8" t="s">
        <v>457</v>
      </c>
      <c r="AG266" s="8" t="s">
        <v>458</v>
      </c>
      <c r="AH266" s="8" t="s">
        <v>590</v>
      </c>
      <c r="AI266" s="8">
        <f t="shared" si="11"/>
        <v>2</v>
      </c>
      <c r="AJ266" s="8"/>
      <c r="AK266" s="8"/>
      <c r="AL266" s="8"/>
      <c r="AM266" s="8"/>
      <c r="AN266" s="8"/>
    </row>
    <row r="267" spans="1:40" ht="16.5">
      <c r="A267" s="8">
        <v>267</v>
      </c>
      <c r="B267" s="11">
        <v>44983.043665925929</v>
      </c>
      <c r="C267" s="8" t="s">
        <v>452</v>
      </c>
      <c r="D267" s="8" t="s">
        <v>453</v>
      </c>
      <c r="E267" s="8" t="s">
        <v>452</v>
      </c>
      <c r="F267" s="8" t="s">
        <v>454</v>
      </c>
      <c r="G267" s="8" t="str">
        <f>", "&amp;'RAW (公開用)'!F268&amp;", "</f>
        <v xml:space="preserve">, クエスチョニング, </v>
      </c>
      <c r="H267" s="8"/>
      <c r="I267" s="8" t="str">
        <f>", "&amp;'RAW (公開用)'!H268&amp;", "</f>
        <v xml:space="preserve">, さん, </v>
      </c>
      <c r="J267" s="8" t="s">
        <v>2335</v>
      </c>
      <c r="K26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67" s="105" t="s">
        <v>2174</v>
      </c>
      <c r="M267" s="8" t="s">
        <v>2335</v>
      </c>
      <c r="N26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無回答, </v>
      </c>
      <c r="O267" s="8" t="str">
        <f>", "&amp;'RAW (公開用)'!L268&amp;", "</f>
        <v xml:space="preserve">, 私（わたし／わたくし）, 自分, </v>
      </c>
      <c r="P267" s="8" t="s">
        <v>2335</v>
      </c>
      <c r="Q26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267" s="8" t="str">
        <f>", "&amp;'RAW (公開用)'!N267&amp;", "</f>
        <v xml:space="preserve">, （三人称で言及してほしくない）, （自分（たち）の名前）, </v>
      </c>
      <c r="S267" s="8" t="s">
        <v>2335</v>
      </c>
      <c r="T26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267" s="17" t="s">
        <v>2174</v>
      </c>
      <c r="V267" s="8" t="s">
        <v>455</v>
      </c>
      <c r="W267" s="8" t="str">
        <f>", "&amp;'RAW (公開用)'!R268&amp;", "</f>
        <v xml:space="preserve">, 社会の中でいないことにされる, LGBTQ+運動からの排斥, </v>
      </c>
      <c r="X267" s="8"/>
      <c r="Y26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LGBTQ+運動からの排斥,  </v>
      </c>
      <c r="Z267" s="8" t="s">
        <v>455</v>
      </c>
      <c r="AA267" s="8" t="s">
        <v>2174</v>
      </c>
      <c r="AB267" s="105" t="s">
        <v>2443</v>
      </c>
      <c r="AC267" s="8"/>
      <c r="AD267"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67" s="8" t="s">
        <v>462</v>
      </c>
      <c r="AF267" s="8" t="s">
        <v>457</v>
      </c>
      <c r="AG267" s="8" t="s">
        <v>458</v>
      </c>
      <c r="AH267" s="8"/>
      <c r="AI267" s="8">
        <f t="shared" si="11"/>
        <v>1</v>
      </c>
      <c r="AJ267" s="8"/>
      <c r="AK267" s="8"/>
      <c r="AL267" s="8"/>
      <c r="AM267" s="8"/>
      <c r="AN267" s="8"/>
    </row>
    <row r="268" spans="1:40" ht="51" hidden="1">
      <c r="A268" s="8">
        <v>268</v>
      </c>
      <c r="B268" s="11">
        <v>44983.131646504626</v>
      </c>
      <c r="C268" s="8" t="s">
        <v>452</v>
      </c>
      <c r="D268" s="8" t="s">
        <v>453</v>
      </c>
      <c r="E268" s="8" t="s">
        <v>452</v>
      </c>
      <c r="F268" s="8" t="s">
        <v>454</v>
      </c>
      <c r="G268" s="8" t="str">
        <f>", "&amp;'RAW (公開用)'!F269&amp;", "</f>
        <v xml:space="preserve">, ゲイ（ジェンダーについて）, クィア／Queer, ノンバイナリー, **必ず選んでください**, </v>
      </c>
      <c r="H268" s="8"/>
      <c r="I268" s="8" t="str">
        <f>", "&amp;'RAW (公開用)'!H269&amp;", "</f>
        <v xml:space="preserve">, （敬称なし）, さん, </v>
      </c>
      <c r="J268" s="8" t="s">
        <v>2335</v>
      </c>
      <c r="K26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268" s="8" t="str">
        <f>", "&amp;'RAW (公開用)'!J269&amp;", "</f>
        <v xml:space="preserve">, -san, </v>
      </c>
      <c r="M268" s="8" t="s">
        <v>2335</v>
      </c>
      <c r="N26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268" s="8" t="str">
        <f>", "&amp;'RAW (公開用)'!L269&amp;", "</f>
        <v xml:space="preserve">, わたし, （一人称の使用を避ける）, </v>
      </c>
      <c r="P268" s="8" t="s">
        <v>2335</v>
      </c>
      <c r="Q26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（一人称の使用を避ける）,  , </v>
      </c>
      <c r="R268" s="8" t="str">
        <f>", "&amp;'RAW (公開用)'!N268&amp;", "</f>
        <v xml:space="preserve">, （自分（たち）の名前）, </v>
      </c>
      <c r="S268" s="8" t="s">
        <v>2335</v>
      </c>
      <c r="T26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68" s="8" t="str">
        <f>", "&amp;'RAW (公開用)'!P269&amp;", "</f>
        <v xml:space="preserve">, they/them/their/themself, </v>
      </c>
      <c r="V268" s="8" t="s">
        <v>455</v>
      </c>
      <c r="W268" s="8" t="str">
        <f>", "&amp;'RAW (公開用)'!R269&amp;", "</f>
        <v xml:space="preserve">, デッドネーミング（誤った名前で呼ばれること）, トイレなどのジェンダー化されたスペースの使用, LGBTQ+運動からの排斥, ミスジェンダリング（誤った性別として扱うこと）, 職場や学校における無理解, 家族／かぞくからの無理解, 社会の中でいないことにされる, </v>
      </c>
      <c r="X268" s="8"/>
      <c r="Y26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トイレなどのジェンダー化されたスペースの使用, LGBTQ+運動からの排斥, ミスジェンダリング（誤った性別として扱うこと）, 職場や学校における無理解, 家族／かぞくからの無理解, 社会の中でいないことにされる,  </v>
      </c>
      <c r="Z268" s="8" t="s">
        <v>455</v>
      </c>
      <c r="AA268" s="8" t="str">
        <f>", "&amp;'RAW (公開用)'!U269&amp;", "</f>
        <v xml:space="preserve">, 戸籍上の性別の変更, </v>
      </c>
      <c r="AB268" s="8" t="str">
        <f>", "&amp;'RAW (公開用)'!V269&amp;", "</f>
        <v xml:space="preserve">, （上記のどれも経験していない）, </v>
      </c>
      <c r="AC268" s="8"/>
      <c r="AD26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68" s="8" t="s">
        <v>462</v>
      </c>
      <c r="AF268" s="8" t="s">
        <v>457</v>
      </c>
      <c r="AG268" s="8" t="s">
        <v>458</v>
      </c>
      <c r="AH268" s="8"/>
      <c r="AI268" s="8">
        <f t="shared" si="11"/>
        <v>3</v>
      </c>
      <c r="AJ268" s="8"/>
      <c r="AK268" s="8"/>
      <c r="AL268" s="8"/>
      <c r="AM268" s="8"/>
      <c r="AN268" s="8"/>
    </row>
    <row r="269" spans="1:40" ht="12.75" hidden="1">
      <c r="A269" s="8">
        <v>236</v>
      </c>
      <c r="B269" s="11">
        <v>44971.894312870369</v>
      </c>
      <c r="C269" s="8" t="s">
        <v>452</v>
      </c>
      <c r="D269" s="8" t="s">
        <v>453</v>
      </c>
      <c r="E269" s="8" t="s">
        <v>452</v>
      </c>
      <c r="F269" s="8" t="s">
        <v>454</v>
      </c>
      <c r="G269" s="8" t="str">
        <f>", "&amp;'RAW (公開用)'!F237&amp;", "</f>
        <v xml:space="preserve">, レズビアン（ジェンダーについて）, **必ず選んでください**, </v>
      </c>
      <c r="H269" s="8"/>
      <c r="I269" s="8" t="str">
        <f>", "&amp;'RAW (公開用)'!H237&amp;", "</f>
        <v xml:space="preserve">, さん, </v>
      </c>
      <c r="J269" s="8" t="s">
        <v>2335</v>
      </c>
      <c r="K26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69" s="8" t="str">
        <f>", "&amp;'RAW (公開用)'!J237&amp;", "</f>
        <v xml:space="preserve">, **英語を日常的に使わない**, </v>
      </c>
      <c r="M269" s="8" t="s">
        <v>2335</v>
      </c>
      <c r="N26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69" s="8" t="str">
        <f>", "&amp;'RAW (公開用)'!L237&amp;", "</f>
        <v xml:space="preserve">, 私（わたし／わたくし）, </v>
      </c>
      <c r="P269" s="8" t="s">
        <v>2335</v>
      </c>
      <c r="Q26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69" s="8" t="str">
        <f>", "&amp;'RAW (公開用)'!N269&amp;", "</f>
        <v xml:space="preserve">, （自分（たち）の名前）, </v>
      </c>
      <c r="S269" s="8" t="s">
        <v>2370</v>
      </c>
      <c r="T26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 こちらの方,</v>
      </c>
      <c r="U269" s="8" t="str">
        <f>", "&amp;'RAW (公開用)'!P237&amp;", "</f>
        <v xml:space="preserve">, **英語を日常的に使わない**, </v>
      </c>
      <c r="V269" s="8" t="s">
        <v>455</v>
      </c>
      <c r="W269" s="8" t="str">
        <f>", "&amp;'RAW (公開用)'!R237&amp;", "</f>
        <v xml:space="preserve">, ミスジェンダリング（誤った性別として扱うこと）, </v>
      </c>
      <c r="X269" s="8"/>
      <c r="Y26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v>
      </c>
      <c r="Z269" s="8" t="s">
        <v>455</v>
      </c>
      <c r="AA269" s="8" t="str">
        <f>", "&amp;'RAW (公開用)'!U237&amp;", "</f>
        <v xml:space="preserve">, （上記のどれも希望していない）, </v>
      </c>
      <c r="AB269" s="8" t="str">
        <f>", "&amp;'RAW (公開用)'!V237&amp;", "</f>
        <v xml:space="preserve">, （上記のどれも経験していない）, </v>
      </c>
      <c r="AC269" s="8"/>
      <c r="AD26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69" s="8" t="s">
        <v>462</v>
      </c>
      <c r="AF269" s="8" t="s">
        <v>457</v>
      </c>
      <c r="AG269" s="8" t="s">
        <v>458</v>
      </c>
      <c r="AH269" s="8"/>
      <c r="AI269" s="8">
        <f t="shared" si="11"/>
        <v>1</v>
      </c>
      <c r="AJ269" s="8"/>
      <c r="AK269" s="8"/>
      <c r="AL269" s="8"/>
      <c r="AM269" s="8"/>
      <c r="AN269" s="8"/>
    </row>
    <row r="270" spans="1:40" ht="38.25" hidden="1">
      <c r="A270" s="8">
        <v>270</v>
      </c>
      <c r="B270" s="11">
        <v>44983.35085722222</v>
      </c>
      <c r="C270" s="8" t="s">
        <v>452</v>
      </c>
      <c r="D270" s="8" t="s">
        <v>453</v>
      </c>
      <c r="E270" s="8" t="s">
        <v>452</v>
      </c>
      <c r="F270" s="8" t="s">
        <v>454</v>
      </c>
      <c r="G270" s="8" t="str">
        <f>", "&amp;'RAW (公開用)'!F271&amp;", "</f>
        <v xml:space="preserve">, ノンバイナリー, クィア／Queer, </v>
      </c>
      <c r="H270" s="8"/>
      <c r="I270" s="8" t="str">
        <f>", "&amp;'RAW (公開用)'!H271&amp;", "</f>
        <v xml:space="preserve">, （any／問わない／どれでもよい）, くん／君, さん, ちゃん, </v>
      </c>
      <c r="J270" s="8" t="s">
        <v>2335</v>
      </c>
      <c r="K27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くん／君, さん, ちゃん,  , </v>
      </c>
      <c r="L270" s="105" t="s">
        <v>2174</v>
      </c>
      <c r="M270" s="8" t="s">
        <v>2425</v>
      </c>
      <c r="N27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無回答, Myst. (Mystery),</v>
      </c>
      <c r="O270" s="8" t="str">
        <f>", "&amp;'RAW (公開用)'!L271&amp;", "</f>
        <v xml:space="preserve">, 私（わたし／わたくし）, わたし, </v>
      </c>
      <c r="P270" s="8" t="s">
        <v>2335</v>
      </c>
      <c r="Q27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270" s="8" t="s">
        <v>2174</v>
      </c>
      <c r="S270" s="8" t="s">
        <v>2335</v>
      </c>
      <c r="T27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270" s="8" t="str">
        <f>", "&amp;'RAW (公開用)'!P271&amp;", "</f>
        <v xml:space="preserve">, they/them/their/themselves, ey/em (Elverson), </v>
      </c>
      <c r="V270" s="8" t="s">
        <v>455</v>
      </c>
      <c r="W270" s="8" t="str">
        <f>", "&amp;'RAW (公開用)'!R271&amp;", "</f>
        <v xml:space="preserve">, 家族／かぞくからの無理解, アウティング（勝手にジェンダーや指向についての情報を明かされること）, ミスジェンダリング（誤った性別として扱うこと）, 職場や学校における無理解, </v>
      </c>
      <c r="X270" s="8"/>
      <c r="Y27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アウティング（勝手にジェンダーや指向についての情報を明かされること）, ミスジェンダリング（誤った性別として扱うこと）, 職場や学校における無理解,  </v>
      </c>
      <c r="Z270" s="8" t="s">
        <v>455</v>
      </c>
      <c r="AA270" s="8" t="str">
        <f>", "&amp;'RAW (公開用)'!U271&amp;", "</f>
        <v xml:space="preserve">, 戸籍上の性別の変更, </v>
      </c>
      <c r="AB270" s="8" t="str">
        <f>", "&amp;'RAW (公開用)'!V271&amp;", "</f>
        <v xml:space="preserve">, （上記のどれも経験していない）, </v>
      </c>
      <c r="AC270" s="8"/>
      <c r="AD27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70" s="8" t="s">
        <v>462</v>
      </c>
      <c r="AF270" s="8" t="s">
        <v>481</v>
      </c>
      <c r="AG270" s="8" t="s">
        <v>458</v>
      </c>
      <c r="AH270" s="8"/>
      <c r="AI270" s="8">
        <f t="shared" si="11"/>
        <v>2</v>
      </c>
      <c r="AJ270" s="8"/>
      <c r="AK270" s="8"/>
      <c r="AL270" s="8"/>
      <c r="AM270" s="8"/>
      <c r="AN270" s="8"/>
    </row>
    <row r="271" spans="1:40" ht="38.25" hidden="1">
      <c r="A271" s="8">
        <v>271</v>
      </c>
      <c r="B271" s="11">
        <v>44983.362218530092</v>
      </c>
      <c r="C271" s="8" t="s">
        <v>452</v>
      </c>
      <c r="D271" s="8" t="s">
        <v>453</v>
      </c>
      <c r="E271" s="8" t="s">
        <v>452</v>
      </c>
      <c r="F271" s="8" t="s">
        <v>454</v>
      </c>
      <c r="G271" s="8" t="str">
        <f>", "&amp;'RAW (公開用)'!F272&amp;", "</f>
        <v xml:space="preserve">, クィア／Queer, トランスマスキュリン, ジェンダークィア, トランスジェンダー, トランス, トランス*／trans*, ノンバイナリー, </v>
      </c>
      <c r="H271" s="8"/>
      <c r="I271" s="8" t="str">
        <f>", "&amp;'RAW (公開用)'!H272&amp;", "</f>
        <v xml:space="preserve">, （クエスチョニング、模索中、または不明）, さん, </v>
      </c>
      <c r="J271" s="8" t="s">
        <v>2335</v>
      </c>
      <c r="K27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271" s="8" t="str">
        <f>", "&amp;'RAW (公開用)'!J272&amp;", "</f>
        <v xml:space="preserve">, Mx., </v>
      </c>
      <c r="M271" s="8" t="s">
        <v>2335</v>
      </c>
      <c r="N27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271" s="8" t="str">
        <f>", "&amp;'RAW (公開用)'!L272&amp;", "</f>
        <v xml:space="preserve">, 自分, 私（わたし／わたくし）, わたし, </v>
      </c>
      <c r="P271" s="8" t="s">
        <v>2335</v>
      </c>
      <c r="Q27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 </v>
      </c>
      <c r="R271" s="8" t="str">
        <f>", "&amp;'RAW (公開用)'!N271&amp;", "</f>
        <v xml:space="preserve">, 彼人（かのひと）, （三人称で言及してほしくない）, </v>
      </c>
      <c r="S271" s="8" t="s">
        <v>2335</v>
      </c>
      <c r="T27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（三人称で言及してほしくない）,  , </v>
      </c>
      <c r="U271" s="8" t="str">
        <f>", "&amp;'RAW (公開用)'!P272&amp;", "</f>
        <v xml:space="preserve">, they/them/their/themself, </v>
      </c>
      <c r="V271" s="8" t="s">
        <v>472</v>
      </c>
      <c r="W271" s="8" t="s">
        <v>2174</v>
      </c>
      <c r="X271" s="8"/>
      <c r="Y27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271" s="8" t="s">
        <v>455</v>
      </c>
      <c r="AA271" s="8" t="str">
        <f>", "&amp;'RAW (公開用)'!U272&amp;", "</f>
        <v xml:space="preserve">, 戸籍名の変更, 戸籍上の性別の変更, ジェンダークリニックの受診, ホルモン補充療法（HRT）, 胸部の手術, 性器にかかわる手術, </v>
      </c>
      <c r="AB271" s="8" t="str">
        <f>", "&amp;'RAW (公開用)'!V272&amp;", "</f>
        <v xml:space="preserve">, 戸籍名の変更, 戸籍上の性別の変更, ジェンダークリニックの受診, ホルモン補充療法（HRT）, 胸部の手術, 性器にかかわる手術, </v>
      </c>
      <c r="AC271" s="8"/>
      <c r="AD271"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戸籍上の性別の変更, ジェンダークリニックの受診, ホルモン補充療法（HRT）, 胸部の手術, 性器にかかわる手術,  </v>
      </c>
      <c r="AE271" s="8" t="s">
        <v>479</v>
      </c>
      <c r="AF271" s="8" t="s">
        <v>579</v>
      </c>
      <c r="AG271" s="8" t="s">
        <v>452</v>
      </c>
      <c r="AH271" s="8"/>
      <c r="AI271" s="8">
        <f t="shared" si="11"/>
        <v>7</v>
      </c>
      <c r="AJ271" s="8"/>
      <c r="AK271" s="8"/>
      <c r="AL271" s="8"/>
      <c r="AM271" s="8"/>
      <c r="AN271" s="8"/>
    </row>
    <row r="272" spans="1:40" ht="76.5" hidden="1">
      <c r="A272" s="8">
        <v>240</v>
      </c>
      <c r="B272" s="11">
        <v>44972.184700972226</v>
      </c>
      <c r="C272" s="8" t="s">
        <v>452</v>
      </c>
      <c r="D272" s="8" t="s">
        <v>453</v>
      </c>
      <c r="E272" s="8" t="s">
        <v>452</v>
      </c>
      <c r="F272" s="8" t="s">
        <v>454</v>
      </c>
      <c r="G272" s="8" t="str">
        <f>", "&amp;'RAW (公開用)'!F241&amp;", "</f>
        <v xml:space="preserve">, ニューロジェンダー／neurogender, クィア／Queer, ノンバイナリー, ジェンダーヴォイド／gendervoid, トランス, トランス*／trans*, Aジェンダー／エイジェンダー／アジェンダー／agender, **必ず選んでください**, enby／エンビー, トランスジェンダー, </v>
      </c>
      <c r="H272" s="8"/>
      <c r="I272" s="8" t="str">
        <f>", "&amp;'RAW (公開用)'!H241&amp;", "</f>
        <v xml:space="preserve">, さん, </v>
      </c>
      <c r="J272" s="8" t="s">
        <v>2335</v>
      </c>
      <c r="K27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72" s="8" t="str">
        <f>", "&amp;'RAW (公開用)'!J241&amp;", "</f>
        <v xml:space="preserve">, -san, （敬称なし）, </v>
      </c>
      <c r="M272" s="8" t="s">
        <v>2335</v>
      </c>
      <c r="N27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272" s="8" t="str">
        <f>", "&amp;'RAW (公開用)'!L241&amp;", "</f>
        <v xml:space="preserve">, 私（わたし／わたくし）, （一人称の使用を避ける）, わし, 自分, </v>
      </c>
      <c r="P272" s="73" t="s">
        <v>2403</v>
      </c>
      <c r="Q27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（一人称の使用を避ける）, わし, 自分,  , この人,</v>
      </c>
      <c r="R272" s="8" t="str">
        <f>", "&amp;'RAW (公開用)'!N272&amp;", "</f>
        <v xml:space="preserve">, （自分（たち）の名前）, </v>
      </c>
      <c r="S272" s="8" t="s">
        <v>2335</v>
      </c>
      <c r="T27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72" s="8" t="str">
        <f>", "&amp;'RAW (公開用)'!P241&amp;", "</f>
        <v xml:space="preserve">, they/them/their/themself, they/them/their/themselves, </v>
      </c>
      <c r="V272" s="8" t="s">
        <v>455</v>
      </c>
      <c r="W272" s="8" t="str">
        <f>", "&amp;'RAW (公開用)'!R241&amp;", "</f>
        <v xml:space="preserve">, 職場や学校における無理解, LGBTQ+運動からの排斥, ミスジェンダリング（誤った性別として扱うこと）, 社会の中でいないことにされる, カムアウトできない, </v>
      </c>
      <c r="X272" s="8" t="s">
        <v>285</v>
      </c>
      <c r="Y27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LGBTQ+運動からの排斥, ミスジェンダリング（誤った性別として扱うこと）, 社会の中でいないことにされる, カムアウトできない,  英語ではない外国語を勉強しているのですが、バイナリーな要素の強い言語なのでしんどいです。アカデミックな機関主催の教室にも通いましたが、ノンバイナリーの存在は全く想定されておらず、ジェンダーニュートラルな表現について質問するのもはばかられる空気でした。</v>
      </c>
      <c r="Z272" s="8" t="s">
        <v>455</v>
      </c>
      <c r="AA272" s="8" t="str">
        <f>", "&amp;'RAW (公開用)'!U241&amp;", "</f>
        <v xml:space="preserve">, ジェンダークリニックの受診, （上記のどれも希望していない）, </v>
      </c>
      <c r="AB272" s="8" t="str">
        <f>", "&amp;'RAW (公開用)'!V241&amp;", "</f>
        <v xml:space="preserve">, （上記のどれも経験していない）, </v>
      </c>
      <c r="AC272" s="8" t="s">
        <v>366</v>
      </c>
      <c r="AD27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小さい頃から肉体の感覚全般が薄くて、自分の身体を自分の身体だと咄嗟に認識できないし、さりとてどういう身体になりたいのかのイメージもありません。ただ声だけは低い方が自分だという感覚があり、我流でボイストレーニングをしたりしています。こういう自分についてジェンダークリニックで相談したとしても、ジェンダーではなく、発達障害や精神疾患の文脈で解釈されてしまいそうだなと不安です。</v>
      </c>
      <c r="AE272" s="8" t="s">
        <v>479</v>
      </c>
      <c r="AF272" s="8" t="s">
        <v>457</v>
      </c>
      <c r="AG272" s="8" t="s">
        <v>458</v>
      </c>
      <c r="AH272" s="8" t="s">
        <v>565</v>
      </c>
      <c r="AI272" s="8">
        <f t="shared" si="11"/>
        <v>9</v>
      </c>
      <c r="AJ272" s="8"/>
      <c r="AK272" s="8"/>
      <c r="AL272" s="8"/>
      <c r="AM272" s="8"/>
      <c r="AN272" s="8"/>
    </row>
    <row r="273" spans="1:40" ht="51" hidden="1">
      <c r="A273" s="8">
        <v>339</v>
      </c>
      <c r="B273" s="11">
        <v>44991.92713142361</v>
      </c>
      <c r="C273" s="8" t="s">
        <v>452</v>
      </c>
      <c r="D273" s="8" t="s">
        <v>453</v>
      </c>
      <c r="E273" s="8" t="s">
        <v>452</v>
      </c>
      <c r="F273" s="8" t="s">
        <v>454</v>
      </c>
      <c r="G273" s="8" t="str">
        <f>", "&amp;'RAW (公開用)'!F340&amp;", "</f>
        <v xml:space="preserve">, クエスチョニング, Xジェンダー, **必ず選んでください**, X, </v>
      </c>
      <c r="H273" s="8"/>
      <c r="I273" s="8" t="str">
        <f>", "&amp;'RAW (公開用)'!H340&amp;", "</f>
        <v xml:space="preserve">, （any／問わない／どれでもよい）, </v>
      </c>
      <c r="J273" s="8" t="s">
        <v>2335</v>
      </c>
      <c r="K27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73" s="8" t="str">
        <f>", "&amp;'RAW (公開用)'!J340&amp;", "</f>
        <v xml:space="preserve">, **英語を日常的に使わない**, </v>
      </c>
      <c r="M273" s="8" t="s">
        <v>2335</v>
      </c>
      <c r="N27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73" s="8" t="str">
        <f>", "&amp;'RAW (公開用)'!L340&amp;", "</f>
        <v xml:space="preserve">, ぼく, 私（わたし／わたくし）, （時とともに変わる）, うち, 自分, </v>
      </c>
      <c r="P273" s="73" t="s">
        <v>2404</v>
      </c>
      <c r="Q27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ぼく, 私（わたし／わたくし）, （時とともに変わる）, うち, 自分,  , こっち,</v>
      </c>
      <c r="R273" s="8" t="str">
        <f>", "&amp;'RAW (公開用)'!N273&amp;", "</f>
        <v xml:space="preserve">, （自分（たち）の名前）, （三人称で言及してほしくない）, </v>
      </c>
      <c r="S273" s="8" t="s">
        <v>2335</v>
      </c>
      <c r="T27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73" s="8" t="str">
        <f>", "&amp;'RAW (公開用)'!P340&amp;", "</f>
        <v xml:space="preserve">, **英語を日常的に使わない**, </v>
      </c>
      <c r="V273" s="8" t="s">
        <v>455</v>
      </c>
      <c r="W273" s="8" t="str">
        <f>", "&amp;'RAW (公開用)'!R340&amp;", "</f>
        <v xml:space="preserve">, カムアウトを強制される, アウティング（勝手にジェンダーや指向についての情報を明かされること）, 社会の中でいないことにされる, ミスジェンダリング（誤った性別として扱うこと）, デッドネーミング（誤った名前で呼ばれること）, 職場や学校における無理解, </v>
      </c>
      <c r="X273" s="8" t="s">
        <v>258</v>
      </c>
      <c r="Y27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カムアウトを強制される, アウティング（勝手にジェンダーや指向についての情報を明かされること）, 社会の中でいないことにされる, ミスジェンダリング（誤った性別として扱うこと）, デッドネーミング（誤った名前で呼ばれること）, 職場や学校における無理解,  差別的な言動への同調強制</v>
      </c>
      <c r="Z273" s="8" t="s">
        <v>455</v>
      </c>
      <c r="AA273" s="8" t="str">
        <f>", "&amp;'RAW (公開用)'!U340&amp;", "</f>
        <v xml:space="preserve">, 戸籍名の変更, 戸籍上の性別の変更, ジェンダークリニックの受診, 声帯にかかわる手術, 胸部の手術, </v>
      </c>
      <c r="AB273" s="8" t="str">
        <f>", "&amp;'RAW (公開用)'!V340&amp;", "</f>
        <v xml:space="preserve">, （上記のどれも経験していない）, </v>
      </c>
      <c r="AC273" s="8"/>
      <c r="AD27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73" s="8" t="s">
        <v>459</v>
      </c>
      <c r="AF273" s="8" t="s">
        <v>457</v>
      </c>
      <c r="AG273" s="8" t="s">
        <v>458</v>
      </c>
      <c r="AH273" s="8"/>
      <c r="AI273" s="8">
        <f t="shared" si="11"/>
        <v>3</v>
      </c>
      <c r="AJ273" s="8"/>
      <c r="AK273" s="8"/>
      <c r="AL273" s="8"/>
      <c r="AM273" s="8"/>
      <c r="AN273" s="8"/>
    </row>
    <row r="274" spans="1:40" ht="51" hidden="1">
      <c r="A274" s="8">
        <v>274</v>
      </c>
      <c r="B274" s="11">
        <v>44989.926621967592</v>
      </c>
      <c r="C274" s="8" t="s">
        <v>452</v>
      </c>
      <c r="D274" s="8" t="s">
        <v>453</v>
      </c>
      <c r="E274" s="8" t="s">
        <v>452</v>
      </c>
      <c r="F274" s="8" t="s">
        <v>454</v>
      </c>
      <c r="G274" s="8" t="str">
        <f>", "&amp;'RAW (公開用)'!F275&amp;", "</f>
        <v xml:space="preserve">, トランス女性, </v>
      </c>
      <c r="H274" s="8"/>
      <c r="I274" s="8" t="str">
        <f>", "&amp;'RAW (公開用)'!H275&amp;", "</f>
        <v xml:space="preserve">, さん, ちゃん, </v>
      </c>
      <c r="J274" s="8" t="s">
        <v>2335</v>
      </c>
      <c r="K27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274" s="8" t="str">
        <f>", "&amp;'RAW (公開用)'!J275&amp;", "</f>
        <v xml:space="preserve">, **英語を日常的に使わない**, </v>
      </c>
      <c r="M274" s="8" t="s">
        <v>2335</v>
      </c>
      <c r="N27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74" s="8" t="str">
        <f>", "&amp;'RAW (公開用)'!L275&amp;", "</f>
        <v xml:space="preserve">, 私（わたし／わたくし）, </v>
      </c>
      <c r="P274" s="8" t="s">
        <v>2335</v>
      </c>
      <c r="Q27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74" s="8" t="str">
        <f>", "&amp;'RAW (公開用)'!N274&amp;", "</f>
        <v xml:space="preserve">, （三人称で言及してほしくない）, 彼人（かのひと）, </v>
      </c>
      <c r="S274" s="8" t="s">
        <v>2335</v>
      </c>
      <c r="T27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彼人（かのひと）,  , </v>
      </c>
      <c r="U274" s="8" t="str">
        <f>", "&amp;'RAW (公開用)'!P275&amp;", "</f>
        <v xml:space="preserve">, **英語を日常的に使わない**, </v>
      </c>
      <c r="V274" s="8" t="s">
        <v>455</v>
      </c>
      <c r="W274" s="8" t="str">
        <f>", "&amp;'RAW (公開用)'!R275&amp;", "</f>
        <v xml:space="preserve">, LGBTQ+運動からの排斥, 家族／かぞくからの無理解, 社会の中でいないことにされる, ミスジェンダリング（誤った性別として扱うこと）, 職場や学校における無理解, トイレなどのジェンダー化されたスペースの使用, アウティング（勝手にジェンダーや指向についての情報を明かされること）, </v>
      </c>
      <c r="X274" s="8"/>
      <c r="Y27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家族／かぞくからの無理解, 社会の中でいないことにされる, ミスジェンダリング（誤った性別として扱うこと）, 職場や学校における無理解, トイレなどのジェンダー化されたスペースの使用, アウティング（勝手にジェンダーや指向についての情報を明かされること）,  </v>
      </c>
      <c r="Z274" s="8" t="s">
        <v>455</v>
      </c>
      <c r="AA274" s="8" t="str">
        <f>", "&amp;'RAW (公開用)'!U275&amp;", "</f>
        <v xml:space="preserve">, 戸籍上の性別の変更, 性器にかかわる手術, </v>
      </c>
      <c r="AB274" s="8" t="str">
        <f>", "&amp;'RAW (公開用)'!V275&amp;", "</f>
        <v xml:space="preserve">, ホルモン補充療法（HRT）, 声帯にかかわる手術, </v>
      </c>
      <c r="AC274" s="8"/>
      <c r="AD274"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声帯にかかわる手術,  </v>
      </c>
      <c r="AE274" s="8" t="s">
        <v>466</v>
      </c>
      <c r="AF274" s="8" t="s">
        <v>457</v>
      </c>
      <c r="AG274" s="8" t="s">
        <v>458</v>
      </c>
      <c r="AH274" s="8"/>
      <c r="AI274" s="8">
        <f t="shared" si="11"/>
        <v>1</v>
      </c>
      <c r="AJ274" s="8"/>
      <c r="AK274" s="8"/>
      <c r="AL274" s="8"/>
      <c r="AM274" s="8"/>
      <c r="AN274" s="8"/>
    </row>
    <row r="275" spans="1:40" ht="63.75" hidden="1">
      <c r="A275" s="8">
        <v>275</v>
      </c>
      <c r="B275" s="11">
        <v>44991.2223280787</v>
      </c>
      <c r="C275" s="8" t="s">
        <v>452</v>
      </c>
      <c r="D275" s="8" t="s">
        <v>453</v>
      </c>
      <c r="E275" s="8" t="s">
        <v>452</v>
      </c>
      <c r="F275" s="8" t="s">
        <v>454</v>
      </c>
      <c r="G275" s="8" t="str">
        <f>", "&amp;'RAW (公開用)'!F276&amp;", "</f>
        <v xml:space="preserve">, トランスフェミニン, トランス*／trans*, トランス女性, 女性／woman, トランス, クィア／Queer, トランスセクシュアル／transsexual, </v>
      </c>
      <c r="H275" s="8"/>
      <c r="I275" s="8" t="str">
        <f>", "&amp;'RAW (公開用)'!H276&amp;", "</f>
        <v xml:space="preserve">, ちゃん, さん, （敬称なし）, </v>
      </c>
      <c r="J275" s="8" t="s">
        <v>2335</v>
      </c>
      <c r="K27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（敬称なし）,  , </v>
      </c>
      <c r="L275" s="8" t="str">
        <f>", "&amp;'RAW (公開用)'!J276&amp;", "</f>
        <v xml:space="preserve">, （敬称なし）, -san, Ms., Mx., </v>
      </c>
      <c r="M275" s="8" t="s">
        <v>2335</v>
      </c>
      <c r="N27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Ms., Mx., , </v>
      </c>
      <c r="O275" s="8" t="str">
        <f>", "&amp;'RAW (公開用)'!L276&amp;", "</f>
        <v xml:space="preserve">, 私（わたし／わたくし）, うち, わたし, 自分, わたくし, </v>
      </c>
      <c r="P275" s="8" t="s">
        <v>2335</v>
      </c>
      <c r="Q27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うち, わたし, 自分, わたくし,  , </v>
      </c>
      <c r="R275" s="8" t="str">
        <f>", "&amp;'RAW (公開用)'!N275&amp;", "</f>
        <v xml:space="preserve">, 彼女, </v>
      </c>
      <c r="S275" s="8" t="s">
        <v>2335</v>
      </c>
      <c r="T27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275" s="8" t="str">
        <f>", "&amp;'RAW (公開用)'!P276&amp;", "</f>
        <v xml:space="preserve">, they/them/their/themself, she, </v>
      </c>
      <c r="V275" s="8" t="s">
        <v>455</v>
      </c>
      <c r="W275" s="8" t="str">
        <f>", "&amp;'RAW (公開用)'!R276&amp;", "</f>
        <v xml:space="preserve">, 性暴力, 医療における無理解, ミスジェンダリング（誤った性別として扱うこと）, 社会の中でいないことにされる, デッドネーミング（誤った名前で呼ばれること）, 職場や学校における無理解, トイレなどのジェンダー化されたスペースの使用, アウティング（勝手にジェンダーや指向についての情報を明かされること）, </v>
      </c>
      <c r="X275" s="8"/>
      <c r="Y27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医療における無理解, ミスジェンダリング（誤った性別として扱うこと）, 社会の中でいないことにされる, デッドネーミング（誤った名前で呼ばれること）, 職場や学校における無理解, トイレなどのジェンダー化されたスペースの使用, アウティング（勝手にジェンダーや指向についての情報を明かされること）,  </v>
      </c>
      <c r="Z275" s="8" t="s">
        <v>455</v>
      </c>
      <c r="AA275" s="8" t="str">
        <f>", "&amp;'RAW (公開用)'!U276&amp;", "</f>
        <v xml:space="preserve">, 戸籍名の変更, 戸籍上の性別の変更, ジェンダークリニックの受診, 抗ホルモン療法, ホルモン補充療法（HRT）, 顔にかかわる手術, 声帯にかかわる手術, 胸部の手術, 性器にかかわる手術, </v>
      </c>
      <c r="AB275" s="8" t="str">
        <f>", "&amp;'RAW (公開用)'!V276&amp;", "</f>
        <v xml:space="preserve">, 戸籍名の変更, 戸籍上の性別の変更, ジェンダークリニックの受診, 抗ホルモン療法, ホルモン補充療法（HRT）, 性器にかかわる手術, </v>
      </c>
      <c r="AC275" s="8"/>
      <c r="AD275"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戸籍上の性別の変更, ジェンダークリニックの受診, 抗ホルモン療法, ホルモン補充療法（HRT）, 性器にかかわる手術,  </v>
      </c>
      <c r="AE275" s="8" t="s">
        <v>462</v>
      </c>
      <c r="AF275" s="8" t="s">
        <v>457</v>
      </c>
      <c r="AG275" s="8" t="s">
        <v>458</v>
      </c>
      <c r="AH275" s="8"/>
      <c r="AI275" s="8">
        <f t="shared" si="11"/>
        <v>7</v>
      </c>
      <c r="AJ275" s="8"/>
      <c r="AK275" s="8"/>
      <c r="AL275" s="8"/>
      <c r="AM275" s="8"/>
      <c r="AN275" s="8"/>
    </row>
    <row r="276" spans="1:40" ht="63.75" hidden="1">
      <c r="A276" s="8">
        <v>276</v>
      </c>
      <c r="B276" s="11">
        <v>44991.293851678245</v>
      </c>
      <c r="C276" s="8" t="s">
        <v>452</v>
      </c>
      <c r="D276" s="8" t="s">
        <v>453</v>
      </c>
      <c r="E276" s="8" t="s">
        <v>452</v>
      </c>
      <c r="F276" s="8" t="s">
        <v>454</v>
      </c>
      <c r="G276" s="8" t="str">
        <f>", "&amp;'RAW (公開用)'!F277&amp;", "</f>
        <v xml:space="preserve">, Aジェンダー／エイジェンダー／アジェンダー／agender, ジェンダー・ノンコンフォーミング／gender non-conforming, **必ず選んでください**, トランス, 無性, トランス*／trans*, 女性／woman, クィア／Queer, ノンバイナリー, Xジェンダー, </v>
      </c>
      <c r="H276" s="8"/>
      <c r="I276" s="8" t="str">
        <f>", "&amp;'RAW (公開用)'!H277&amp;", "</f>
        <v xml:space="preserve">, さん, </v>
      </c>
      <c r="J276" s="8" t="s">
        <v>2335</v>
      </c>
      <c r="K27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76" s="8" t="str">
        <f>", "&amp;'RAW (公開用)'!J277&amp;", "</f>
        <v xml:space="preserve">, Mx., </v>
      </c>
      <c r="M276" s="8" t="s">
        <v>2335</v>
      </c>
      <c r="N27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276" s="8" t="str">
        <f>", "&amp;'RAW (公開用)'!L277&amp;", "</f>
        <v xml:space="preserve">, うち, </v>
      </c>
      <c r="P276" s="8" t="s">
        <v>2335</v>
      </c>
      <c r="Q27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 </v>
      </c>
      <c r="R276" s="8" t="str">
        <f>", "&amp;'RAW (公開用)'!N276&amp;", "</f>
        <v xml:space="preserve">, （自分（たち）の名前）, 彼女, </v>
      </c>
      <c r="S276" s="8" t="s">
        <v>2335</v>
      </c>
      <c r="T27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276" s="8" t="str">
        <f>", "&amp;'RAW (公開用)'!P277&amp;", "</f>
        <v xml:space="preserve">, ze, </v>
      </c>
      <c r="V276" s="8" t="s">
        <v>455</v>
      </c>
      <c r="W276" s="8" t="str">
        <f>", "&amp;'RAW (公開用)'!R277&amp;", "</f>
        <v xml:space="preserve">, 医療における無理解, 職場や学校における無理解, カムアウトできない, 家族／かぞくからの無理解, </v>
      </c>
      <c r="X276" s="8"/>
      <c r="Y27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職場や学校における無理解, カムアウトできない, 家族／かぞくからの無理解,  </v>
      </c>
      <c r="Z276" s="8" t="s">
        <v>455</v>
      </c>
      <c r="AA276" s="8" t="str">
        <f>", "&amp;'RAW (公開用)'!U277&amp;", "</f>
        <v xml:space="preserve">, 戸籍上の性別の変更, 性器にかかわる手術, </v>
      </c>
      <c r="AB276" s="8" t="str">
        <f>", "&amp;'RAW (公開用)'!V277&amp;", "</f>
        <v xml:space="preserve">, ホルモン補充療法（HRT）, 性器にかかわる手術, </v>
      </c>
      <c r="AC276" s="8" t="s">
        <v>349</v>
      </c>
      <c r="AD276" s="8" t="str">
        <f>テーブル1[[#This Row],[以下のうち、経験したものをすべて選んでください]]&amp;" "&amp;テーブル1[[#This Row],[社会的、法的、医学的トランジションについて、困難なこと等がありましたらここにお書きください]]</f>
        <v>, ホルモン補充療法（HRT）, 性器にかかわる手術,  手術だけ希望していたのに、さっそく却下されて、その代わりに「ホルモンをやってみれば？」と無理やり薦められました。（結局新しいカウンセラーを探し、そのカウンセラーの紹介によってトランスジェンダー専門診療看護師に相談することができ、手術を受けることそしてホルモンをやめることになりました。）</v>
      </c>
      <c r="AE276" s="8" t="s">
        <v>459</v>
      </c>
      <c r="AF276" s="8" t="s">
        <v>582</v>
      </c>
      <c r="AG276" s="8" t="s">
        <v>452</v>
      </c>
      <c r="AH276" s="8" t="s">
        <v>583</v>
      </c>
      <c r="AI276" s="8">
        <f t="shared" si="11"/>
        <v>9</v>
      </c>
      <c r="AJ276" s="8"/>
      <c r="AK276" s="8"/>
      <c r="AL276" s="8"/>
      <c r="AM276" s="8"/>
      <c r="AN276" s="8"/>
    </row>
    <row r="277" spans="1:40" ht="76.5" hidden="1">
      <c r="A277" s="8">
        <v>277</v>
      </c>
      <c r="B277" s="11">
        <v>44991.32170601852</v>
      </c>
      <c r="C277" s="8" t="s">
        <v>452</v>
      </c>
      <c r="D277" s="8" t="s">
        <v>453</v>
      </c>
      <c r="E277" s="8" t="s">
        <v>452</v>
      </c>
      <c r="F277" s="8" t="s">
        <v>454</v>
      </c>
      <c r="G277" s="8" t="str">
        <f>", "&amp;'RAW (公開用)'!F278&amp;", "</f>
        <v xml:space="preserve">, ノンバイナリー男性, シスジェンダー, 不定性, ノンバイナリー女性, トランスマスキュリン, enby／エンビー, 無し, 無性, ポリジェンダー, ジェンダー・ノンコンフォーミング／gender non-conforming, **必ず選んでください**, Aジェンダー／エイジェンダー／アジェンダー／agender, クィア／Queer, 両性, ノンバイナリー, Xジェンダー, （ジェンダー・）フルイド／（ジェンダー・）フリュイド／（ジェンダー・）フルイッド, ジェンダークィア, 男性／man, 女性／woman, </v>
      </c>
      <c r="H277" s="8" t="s">
        <v>584</v>
      </c>
      <c r="I277" s="8" t="str">
        <f>", "&amp;'RAW (公開用)'!H278&amp;", "</f>
        <v xml:space="preserve">, （any／問わない／どれでもよい）, </v>
      </c>
      <c r="J277" s="8" t="s">
        <v>2335</v>
      </c>
      <c r="K27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77" s="8" t="str">
        <f>", "&amp;'RAW (公開用)'!J278&amp;", "</f>
        <v xml:space="preserve">, （敬称なし）, Ms., Mx., Mr., </v>
      </c>
      <c r="M277" s="8" t="s">
        <v>2335</v>
      </c>
      <c r="N27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Ms., Mx., Mr., , </v>
      </c>
      <c r="O277" s="8" t="str">
        <f>", "&amp;'RAW (公開用)'!L278&amp;", "</f>
        <v xml:space="preserve">, 私（わたし／わたくし）, 自分, わたし, うち, （自分（たち）の名前）, </v>
      </c>
      <c r="P277" s="8" t="s">
        <v>2335</v>
      </c>
      <c r="Q27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わたし, うち, （自分（たち）の名前）,  , </v>
      </c>
      <c r="R277" s="8" t="str">
        <f>", "&amp;'RAW (公開用)'!N277&amp;", "</f>
        <v xml:space="preserve">, （any／問わない／どれでもよい）, </v>
      </c>
      <c r="S277" s="8" t="s">
        <v>2335</v>
      </c>
      <c r="T27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77" s="8" t="str">
        <f>", "&amp;'RAW (公開用)'!P278&amp;", "</f>
        <v xml:space="preserve">, she, they/them/their/themself, any/問わない/どれでもよい, they/them/their/themselves, he, </v>
      </c>
      <c r="V277" s="8" t="s">
        <v>455</v>
      </c>
      <c r="W277" s="8" t="str">
        <f>", "&amp;'RAW (公開用)'!R278&amp;", "</f>
        <v xml:space="preserve">, ミスジェンダリング（誤った性別として扱うこと）, カムアウトを強制される, 家族／かぞくからの無理解, トイレなどのジェンダー化されたスペースの使用, カムアウトできない, 社会の中でいないことにされる, </v>
      </c>
      <c r="X277" s="8"/>
      <c r="Y27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カムアウトを強制される, 家族／かぞくからの無理解, トイレなどのジェンダー化されたスペースの使用, カムアウトできない, 社会の中でいないことにされる,  </v>
      </c>
      <c r="Z277" s="8" t="s">
        <v>455</v>
      </c>
      <c r="AA277" s="8" t="str">
        <f>", "&amp;'RAW (公開用)'!U278&amp;", "</f>
        <v xml:space="preserve">, 戸籍上の性別の変更, ホルモン補充療法（HRT）, </v>
      </c>
      <c r="AB277" s="8" t="str">
        <f>", "&amp;'RAW (公開用)'!V278&amp;", "</f>
        <v xml:space="preserve">, 戸籍上の性別の変更, （上記のどれも経験していない）, </v>
      </c>
      <c r="AC277" s="8" t="s">
        <v>388</v>
      </c>
      <c r="AD277" s="8" t="str">
        <f>テーブル1[[#This Row],[以下のうち、経験したものをすべて選んでください]]&amp;" "&amp;テーブル1[[#This Row],[社会的、法的、医学的トランジションについて、困難なこと等がありましたらここにお書きください]]</f>
        <v>, 戸籍上の性別の変更, （上記のどれも経験していない）,  上記戸籍上の性別変更はしていないのですが、海外に住んでいた頃、運転免許証の性別変更は行ったことがあります。</v>
      </c>
      <c r="AE277" s="8" t="s">
        <v>474</v>
      </c>
      <c r="AF277" s="8" t="s">
        <v>457</v>
      </c>
      <c r="AG277" s="8" t="s">
        <v>458</v>
      </c>
      <c r="AH277" s="8"/>
      <c r="AI277" s="8">
        <f t="shared" si="11"/>
        <v>19</v>
      </c>
      <c r="AJ277" s="8"/>
      <c r="AK277" s="8"/>
      <c r="AL277" s="8"/>
      <c r="AM277" s="8"/>
      <c r="AN277" s="8"/>
    </row>
    <row r="278" spans="1:40" ht="25.5" hidden="1">
      <c r="A278" s="8">
        <v>278</v>
      </c>
      <c r="B278" s="11">
        <v>44991.33598930556</v>
      </c>
      <c r="C278" s="8" t="s">
        <v>452</v>
      </c>
      <c r="D278" s="8" t="s">
        <v>453</v>
      </c>
      <c r="E278" s="8" t="s">
        <v>452</v>
      </c>
      <c r="F278" s="8" t="s">
        <v>454</v>
      </c>
      <c r="G278" s="8" t="str">
        <f>", "&amp;'RAW (公開用)'!F279&amp;", "</f>
        <v xml:space="preserve">, ノンバイナリー, </v>
      </c>
      <c r="H278" s="8"/>
      <c r="I278" s="8" t="str">
        <f>", "&amp;'RAW (公開用)'!H279&amp;", "</f>
        <v xml:space="preserve">, さん, </v>
      </c>
      <c r="J278" s="8" t="s">
        <v>2335</v>
      </c>
      <c r="K27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78" s="8" t="str">
        <f>", "&amp;'RAW (公開用)'!J279&amp;", "</f>
        <v xml:space="preserve">, **英語を日常的に使わない**, </v>
      </c>
      <c r="M278" s="8" t="s">
        <v>2335</v>
      </c>
      <c r="N27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78" s="8" t="str">
        <f>", "&amp;'RAW (公開用)'!L279&amp;", "</f>
        <v xml:space="preserve">, 自分, 私（わたし／わたくし）, わたし, </v>
      </c>
      <c r="P278" s="8" t="s">
        <v>2335</v>
      </c>
      <c r="Q27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 </v>
      </c>
      <c r="R278" s="8" t="str">
        <f>", "&amp;'RAW (公開用)'!N278&amp;", "</f>
        <v xml:space="preserve">, （any／問わない／どれでもよい）, 彼女, 彼人（かのと）, 彼, 彼人（かのひと）, </v>
      </c>
      <c r="S278" s="8" t="s">
        <v>2335</v>
      </c>
      <c r="T27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彼女, 彼人（かのと）, 彼, 彼人（かのひと）,  , </v>
      </c>
      <c r="U278" s="8" t="str">
        <f>", "&amp;'RAW (公開用)'!P279&amp;", "</f>
        <v xml:space="preserve">, **英語を日常的に使わない**, </v>
      </c>
      <c r="V278" s="8" t="s">
        <v>455</v>
      </c>
      <c r="W278" s="8" t="str">
        <f>", "&amp;'RAW (公開用)'!R279&amp;", "</f>
        <v xml:space="preserve">, 医療における無理解, 性暴力, ミスジェンダリング（誤った性別として扱うこと）, 社会の中でいないことにされる, LGBTQ+運動からの排斥, </v>
      </c>
      <c r="X278" s="8"/>
      <c r="Y27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性暴力, ミスジェンダリング（誤った性別として扱うこと）, 社会の中でいないことにされる, LGBTQ+運動からの排斥,  </v>
      </c>
      <c r="Z278" s="8" t="s">
        <v>455</v>
      </c>
      <c r="AA278" s="8" t="str">
        <f>", "&amp;'RAW (公開用)'!U279&amp;", "</f>
        <v xml:space="preserve">, （上記のどれも希望していない）, </v>
      </c>
      <c r="AB278" s="8" t="str">
        <f>", "&amp;'RAW (公開用)'!V279&amp;", "</f>
        <v xml:space="preserve">, （上記のどれも経験していない）, </v>
      </c>
      <c r="AC278" s="8"/>
      <c r="AD27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78" s="8" t="s">
        <v>459</v>
      </c>
      <c r="AF278" s="8" t="s">
        <v>457</v>
      </c>
      <c r="AG278" s="8" t="s">
        <v>458</v>
      </c>
      <c r="AH278" s="8"/>
      <c r="AI278" s="8">
        <f t="shared" si="11"/>
        <v>1</v>
      </c>
      <c r="AJ278" s="8"/>
      <c r="AK278" s="8"/>
      <c r="AL278" s="8"/>
      <c r="AM278" s="8"/>
      <c r="AN278" s="8"/>
    </row>
    <row r="279" spans="1:40" ht="76.5" hidden="1">
      <c r="A279" s="8">
        <v>279</v>
      </c>
      <c r="B279" s="11">
        <v>44991.348818344908</v>
      </c>
      <c r="C279" s="8" t="s">
        <v>452</v>
      </c>
      <c r="D279" s="8" t="s">
        <v>453</v>
      </c>
      <c r="E279" s="8" t="s">
        <v>452</v>
      </c>
      <c r="F279" s="8" t="s">
        <v>454</v>
      </c>
      <c r="G279" s="8" t="str">
        <f>", "&amp;'RAW (公開用)'!F280&amp;", "</f>
        <v xml:space="preserve">, デミジェンダー, クエスチョニング, ポリジェンダー, ジェンダーレス, Xジェンダー, ノンバイナリー, Aジェンダー／エイジェンダー／アジェンダー／agender, X, クィア／Queer, **必ず選んでください**, トランス, ジェンダークィア, トランスジェンダー, （ジェンダー・）フルイド／（ジェンダー・）フリュイド／（ジェンダー・）フルイッド, 不定性, 中性, 両性, トランス*／trans*, ジェンダー・ノンコンフォーミング／gender non-conforming, </v>
      </c>
      <c r="H279" s="8"/>
      <c r="I279" s="8" t="str">
        <f>", "&amp;'RAW (公開用)'!H280&amp;", "</f>
        <v xml:space="preserve">, さん, </v>
      </c>
      <c r="J279" s="8" t="s">
        <v>2335</v>
      </c>
      <c r="K27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79" s="8" t="str">
        <f>", "&amp;'RAW (公開用)'!J280&amp;", "</f>
        <v xml:space="preserve">, **英語を日常的に使わない**, </v>
      </c>
      <c r="M279" s="8" t="s">
        <v>2335</v>
      </c>
      <c r="N27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79" s="8" t="str">
        <f>", "&amp;'RAW (公開用)'!L280&amp;", "</f>
        <v xml:space="preserve">, 私（わたし／わたくし）, （自分（たち）の名前）, </v>
      </c>
      <c r="P279" s="8" t="s">
        <v>2335</v>
      </c>
      <c r="Q27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（自分（たち）の名前）,  , </v>
      </c>
      <c r="R279" s="8" t="str">
        <f>", "&amp;'RAW (公開用)'!N279&amp;", "</f>
        <v xml:space="preserve">, （自分（たち）の名前）, （三人称で言及してほしくない）, </v>
      </c>
      <c r="S279" s="8" t="s">
        <v>2335</v>
      </c>
      <c r="T27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79" s="8" t="str">
        <f>", "&amp;'RAW (公開用)'!P280&amp;", "</f>
        <v xml:space="preserve">, **英語を日常的に使わない**, </v>
      </c>
      <c r="V279" s="8" t="s">
        <v>455</v>
      </c>
      <c r="W279" s="8" t="str">
        <f>", "&amp;'RAW (公開用)'!R280&amp;", "</f>
        <v xml:space="preserve">, 社会の中でいないことにされる, デッドネーミング（誤った名前で呼ばれること）, トイレなどのジェンダー化されたスペースの使用, 家族／かぞくからの無理解, ミスジェンダリング（誤った性別として扱うこと）, 職場や学校における無理解, 必要なジェンダーケアへアクセスできない, </v>
      </c>
      <c r="X279" s="8"/>
      <c r="Y27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デッドネーミング（誤った名前で呼ばれること）, トイレなどのジェンダー化されたスペースの使用, 家族／かぞくからの無理解, ミスジェンダリング（誤った性別として扱うこと）, 職場や学校における無理解, 必要なジェンダーケアへアクセスできない,  </v>
      </c>
      <c r="Z279" s="8" t="s">
        <v>455</v>
      </c>
      <c r="AA279" s="8" t="str">
        <f>", "&amp;'RAW (公開用)'!U280&amp;", "</f>
        <v xml:space="preserve">, 戸籍上の性別の変更, </v>
      </c>
      <c r="AB279" s="8" t="str">
        <f>", "&amp;'RAW (公開用)'!V280&amp;", "</f>
        <v xml:space="preserve">, ジェンダークリニックの受診, </v>
      </c>
      <c r="AC279" s="8"/>
      <c r="AD279"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279" s="8" t="s">
        <v>501</v>
      </c>
      <c r="AF279" s="8" t="s">
        <v>457</v>
      </c>
      <c r="AG279" s="8" t="s">
        <v>458</v>
      </c>
      <c r="AH279" s="8"/>
      <c r="AI279" s="8">
        <f t="shared" si="11"/>
        <v>18</v>
      </c>
      <c r="AJ279" s="8"/>
      <c r="AK279" s="8"/>
      <c r="AL279" s="8"/>
      <c r="AM279" s="8"/>
      <c r="AN279" s="8"/>
    </row>
    <row r="280" spans="1:40" ht="63.75" hidden="1">
      <c r="A280" s="8">
        <v>280</v>
      </c>
      <c r="B280" s="11">
        <v>44991.349893668987</v>
      </c>
      <c r="C280" s="8" t="s">
        <v>452</v>
      </c>
      <c r="D280" s="8" t="s">
        <v>453</v>
      </c>
      <c r="E280" s="8" t="s">
        <v>452</v>
      </c>
      <c r="F280" s="8" t="s">
        <v>454</v>
      </c>
      <c r="G280" s="8" t="str">
        <f>", "&amp;'RAW (公開用)'!F281&amp;", "</f>
        <v xml:space="preserve">, レズビアン（ジェンダーについて）, クエスチョニング, 不明／わからない, 女性／woman, </v>
      </c>
      <c r="H280" s="8" t="s">
        <v>585</v>
      </c>
      <c r="I280" s="8" t="str">
        <f>", "&amp;'RAW (公開用)'!H281&amp;", "</f>
        <v xml:space="preserve">, （any／問わない／どれでもよい）, さん, （時とともに変わる）, </v>
      </c>
      <c r="J280" s="8" t="s">
        <v>2335</v>
      </c>
      <c r="K28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さん, （時とともに変わる）,  , </v>
      </c>
      <c r="L280" s="8" t="str">
        <f>", "&amp;'RAW (公開用)'!J281&amp;", "</f>
        <v xml:space="preserve">, **英語を日常的に使わない**, </v>
      </c>
      <c r="M280" s="8" t="s">
        <v>2335</v>
      </c>
      <c r="N28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80" s="8" t="str">
        <f>", "&amp;'RAW (公開用)'!L281&amp;", "</f>
        <v xml:space="preserve">, （時とともに変わる）, わたくし, おれ, 私（わたし／わたくし）, 自分, わたし, </v>
      </c>
      <c r="P280" s="8" t="s">
        <v>2335</v>
      </c>
      <c r="Q28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わたくし, おれ, 私（わたし／わたくし）, 自分, わたし,  , </v>
      </c>
      <c r="R280" s="8" t="str">
        <f>", "&amp;'RAW (公開用)'!N280&amp;", "</f>
        <v xml:space="preserve">, （自分（たち）の名前）, （any／問わない／どれでもよい）, </v>
      </c>
      <c r="S280" s="8" t="s">
        <v>2335</v>
      </c>
      <c r="T28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280" s="8" t="str">
        <f>", "&amp;'RAW (公開用)'!P281&amp;", "</f>
        <v xml:space="preserve">, **英語を日常的に使わない**, </v>
      </c>
      <c r="V280" s="8" t="s">
        <v>455</v>
      </c>
      <c r="W280" s="8" t="str">
        <f>", "&amp;'RAW (公開用)'!R281&amp;", "</f>
        <v xml:space="preserve">, LGBTQ+運動からの排斥, 社会の中でいないことにされる, </v>
      </c>
      <c r="X280" s="8" t="s">
        <v>204</v>
      </c>
      <c r="Y28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LGBTQ+運動からの排斥, 社会の中でいないことにされる,  LGBTと最近良く聞きますが、ゲイとトランスジェンダー（身体男性）しか対象にしていない。バイ（レズビアン寄りかもしれない）またはアセクシャル、身体女性である自分からしたら、寧ろその活動は警戒対象。そのくせ「LGBT」と、都合のいい盾にするときだけ担ぎ出されることに不信感</v>
      </c>
      <c r="Z280" s="8" t="s">
        <v>455</v>
      </c>
      <c r="AA280" s="8" t="str">
        <f>", "&amp;'RAW (公開用)'!U281&amp;", "</f>
        <v xml:space="preserve">, （上記のどれも希望していない）, </v>
      </c>
      <c r="AB280" s="8" t="str">
        <f>", "&amp;'RAW (公開用)'!V281&amp;", "</f>
        <v xml:space="preserve">, （上記のどれも経験していない）, </v>
      </c>
      <c r="AC280" s="8"/>
      <c r="AD28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80" s="8" t="s">
        <v>459</v>
      </c>
      <c r="AF280" s="8" t="s">
        <v>457</v>
      </c>
      <c r="AG280" s="8" t="s">
        <v>458</v>
      </c>
      <c r="AH280" s="8"/>
      <c r="AI280" s="8">
        <f t="shared" si="11"/>
        <v>4</v>
      </c>
      <c r="AJ280" s="8"/>
      <c r="AK280" s="8"/>
      <c r="AL280" s="8"/>
      <c r="AM280" s="8"/>
      <c r="AN280" s="8"/>
    </row>
    <row r="281" spans="1:40" ht="76.5" hidden="1">
      <c r="A281" s="8">
        <v>281</v>
      </c>
      <c r="B281" s="11">
        <v>44991.350223958332</v>
      </c>
      <c r="C281" s="8" t="s">
        <v>452</v>
      </c>
      <c r="D281" s="8" t="s">
        <v>453</v>
      </c>
      <c r="E281" s="8" t="s">
        <v>452</v>
      </c>
      <c r="F281" s="8" t="s">
        <v>454</v>
      </c>
      <c r="G281" s="8" t="str">
        <f>", "&amp;'RAW (公開用)'!F282&amp;", "</f>
        <v xml:space="preserve">, ジェンダークィア, **必ず選んでください**, トランスジェンダー, ノンバイナリー, クィア／Queer, トランス, Aジェンダー／エイジェンダー／アジェンダー／agender, ジェンダーフラックス／フラックスジェンダー, 不明／わからない, クエスチョニング, </v>
      </c>
      <c r="H281" s="8"/>
      <c r="I281" s="8" t="str">
        <f>", "&amp;'RAW (公開用)'!H282&amp;", "</f>
        <v xml:space="preserve">, さん, </v>
      </c>
      <c r="J281" s="8" t="s">
        <v>2335</v>
      </c>
      <c r="K28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81" s="8" t="str">
        <f>", "&amp;'RAW (公開用)'!J282&amp;", "</f>
        <v xml:space="preserve">, **英語を日常的に使わない**, </v>
      </c>
      <c r="M281" s="8" t="s">
        <v>2335</v>
      </c>
      <c r="N28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81" s="8" t="str">
        <f>", "&amp;'RAW (公開用)'!L282&amp;", "</f>
        <v xml:space="preserve">, 俺, 僕, （時とともに変わる）, 私（わたし／わたくし）, </v>
      </c>
      <c r="P281" s="8" t="s">
        <v>2335</v>
      </c>
      <c r="Q28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僕, （時とともに変わる）, 私（わたし／わたくし）,  , </v>
      </c>
      <c r="R281" s="8" t="str">
        <f>", "&amp;'RAW (公開用)'!N281&amp;", "</f>
        <v xml:space="preserve">, 彼女, （自分（たち）の名前）, </v>
      </c>
      <c r="S281" s="8" t="s">
        <v>2335</v>
      </c>
      <c r="T28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281" s="8" t="str">
        <f>", "&amp;'RAW (公開用)'!P282&amp;", "</f>
        <v xml:space="preserve">, **英語を日常的に使わない**, </v>
      </c>
      <c r="V281" s="8" t="s">
        <v>455</v>
      </c>
      <c r="W281" s="8" t="str">
        <f>", "&amp;'RAW (公開用)'!R282&amp;", "</f>
        <v xml:space="preserve">, デッドネーミング（誤った名前で呼ばれること）, トイレなどのジェンダー化されたスペースの使用, 家族／かぞくからの無理解, 社会の中でいないことにされる, 職場や学校における無理解, ミスジェンダリング（誤った性別として扱うこと）, </v>
      </c>
      <c r="X281" s="8" t="s">
        <v>238</v>
      </c>
      <c r="Y28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デッドネーミング（誤った名前で呼ばれること）, トイレなどのジェンダー化されたスペースの使用, 家族／かぞくからの無理解, 社会の中でいないことにされる, 職場や学校における無理解, ミスジェンダリング（誤った性別として扱うこと）,  人の目が気になってトイレに行けない。僕は女性に見えやすいらしく、友達とトイレに行く時、みんなのトイレを利用したいが説明が怖くてできないため女性トイレを利用することになり、すこしつらい。</v>
      </c>
      <c r="Z281" s="8" t="s">
        <v>455</v>
      </c>
      <c r="AA281" s="8" t="str">
        <f>", "&amp;'RAW (公開用)'!U282&amp;", "</f>
        <v xml:space="preserve">, 戸籍上の性別の変更, ジェンダークリニックの受診, 抗ホルモン療法, </v>
      </c>
      <c r="AB281" s="105" t="s">
        <v>2443</v>
      </c>
      <c r="AC281" s="8" t="s">
        <v>397</v>
      </c>
      <c r="AD281" s="8" t="str">
        <f>テーブル1[[#This Row],[以下のうち、経験したものをすべて選んでください]]&amp;" "&amp;テーブル1[[#This Row],[社会的、法的、医学的トランジションについて、困難なこと等がありましたらここにお書きください]]</f>
        <v>無回答 ノンバイナリーのモデル的なものがなく、(それはそれで良いのだが)ホルモン注射を打ってもバイナリーなジェンダーに区分されないか心配。</v>
      </c>
      <c r="AE281" s="8" t="s">
        <v>464</v>
      </c>
      <c r="AF281" s="8" t="s">
        <v>457</v>
      </c>
      <c r="AG281" s="8" t="s">
        <v>458</v>
      </c>
      <c r="AH281" s="8"/>
      <c r="AI281" s="8">
        <f t="shared" si="11"/>
        <v>9</v>
      </c>
      <c r="AJ281" s="8"/>
      <c r="AK281" s="8"/>
      <c r="AL281" s="8"/>
      <c r="AM281" s="8"/>
      <c r="AN281" s="8"/>
    </row>
    <row r="282" spans="1:40" ht="63.75" hidden="1">
      <c r="A282" s="8">
        <v>282</v>
      </c>
      <c r="B282" s="11">
        <v>44991.379494120367</v>
      </c>
      <c r="C282" s="8" t="s">
        <v>452</v>
      </c>
      <c r="D282" s="8" t="s">
        <v>453</v>
      </c>
      <c r="E282" s="8" t="s">
        <v>452</v>
      </c>
      <c r="F282" s="8" t="s">
        <v>454</v>
      </c>
      <c r="G282" s="8" t="str">
        <f>", "&amp;'RAW (公開用)'!F283&amp;", "</f>
        <v xml:space="preserve">, クィア／Queer, ノンバイナリー, トランス*／trans*, トランスジェンダー, トランス, **必ず選んでください**, ジェンダー・ノンコンフォーミング／gender non-conforming, </v>
      </c>
      <c r="H282" s="8"/>
      <c r="I282" s="8" t="str">
        <f>", "&amp;'RAW (公開用)'!H283&amp;", "</f>
        <v xml:space="preserve">, ちゃん, たん, （敬称なし）, さん, </v>
      </c>
      <c r="J282" s="8" t="s">
        <v>2335</v>
      </c>
      <c r="K28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たん, （敬称なし）, さん,  , </v>
      </c>
      <c r="L282" s="8" t="str">
        <f>", "&amp;'RAW (公開用)'!J283&amp;", "</f>
        <v xml:space="preserve">, Mx., Dr.など、職業などにかかわるもの, </v>
      </c>
      <c r="M282" s="8" t="s">
        <v>2335</v>
      </c>
      <c r="N28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Dr.など、職業などにかかわるもの, , </v>
      </c>
      <c r="O282" s="8" t="str">
        <f>", "&amp;'RAW (公開用)'!L283&amp;", "</f>
        <v xml:space="preserve">, あたし, わたし, </v>
      </c>
      <c r="P282" s="8" t="s">
        <v>2335</v>
      </c>
      <c r="Q28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わたし,  , </v>
      </c>
      <c r="R282" s="8" t="str">
        <f>", "&amp;'RAW (公開用)'!N282&amp;", "</f>
        <v xml:space="preserve">, （三人称で言及してほしくない）, </v>
      </c>
      <c r="S282" s="8" t="s">
        <v>2335</v>
      </c>
      <c r="T28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82" s="8" t="str">
        <f>", "&amp;'RAW (公開用)'!P283&amp;", "</f>
        <v xml:space="preserve">, they/them/their/themselves, </v>
      </c>
      <c r="V282" s="8" t="s">
        <v>455</v>
      </c>
      <c r="W282" s="8" t="str">
        <f>", "&amp;'RAW (公開用)'!R283&amp;", "</f>
        <v xml:space="preserve">, カムアウトできない, ミスジェンダリング（誤った性別として扱うこと）, アウティング（勝手にジェンダーや指向についての情報を明かされること）, 必要なジェンダーケアへアクセスできない, 職場や学校における無理解, 社会の中でいないことにされる, LGBTQ+運動からの排斥, 家族／かぞくからの無理解, トイレなどのジェンダー化されたスペースの使用, </v>
      </c>
      <c r="X282" s="8"/>
      <c r="Y28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ミスジェンダリング（誤った性別として扱うこと）, アウティング（勝手にジェンダーや指向についての情報を明かされること）, 必要なジェンダーケアへアクセスできない, 職場や学校における無理解, 社会の中でいないことにされる, LGBTQ+運動からの排斥, 家族／かぞくからの無理解, トイレなどのジェンダー化されたスペースの使用,  </v>
      </c>
      <c r="Z282" s="8" t="s">
        <v>455</v>
      </c>
      <c r="AA282" s="8" t="str">
        <f>", "&amp;'RAW (公開用)'!U283&amp;", "</f>
        <v xml:space="preserve">, 戸籍名の変更, 戸籍上の性別の変更, ジェンダークリニックの受診, 抗ホルモン療法, ホルモン補充療法（HRT）, </v>
      </c>
      <c r="AB282" s="8" t="str">
        <f>", "&amp;'RAW (公開用)'!V283&amp;", "</f>
        <v xml:space="preserve">, （上記のどれも経験していない）, </v>
      </c>
      <c r="AC282" s="8"/>
      <c r="AD28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82" s="8" t="s">
        <v>459</v>
      </c>
      <c r="AF282" s="8" t="s">
        <v>457</v>
      </c>
      <c r="AG282" s="8" t="s">
        <v>458</v>
      </c>
      <c r="AH282" s="8"/>
      <c r="AI282" s="8">
        <f t="shared" si="11"/>
        <v>6</v>
      </c>
      <c r="AJ282" s="8"/>
      <c r="AK282" s="8"/>
      <c r="AL282" s="8"/>
      <c r="AM282" s="8"/>
      <c r="AN282" s="8"/>
    </row>
    <row r="283" spans="1:40" ht="38.25" hidden="1">
      <c r="A283" s="8">
        <v>180</v>
      </c>
      <c r="B283" s="11">
        <v>44970.889421840278</v>
      </c>
      <c r="C283" s="8" t="s">
        <v>452</v>
      </c>
      <c r="D283" s="8" t="s">
        <v>453</v>
      </c>
      <c r="E283" s="8" t="s">
        <v>452</v>
      </c>
      <c r="F283" s="8" t="s">
        <v>454</v>
      </c>
      <c r="G283" s="8" t="str">
        <f>", "&amp;'RAW (公開用)'!F181&amp;", "</f>
        <v xml:space="preserve">, ジェンダークィア, ノンバイナリー, </v>
      </c>
      <c r="H283" s="8"/>
      <c r="I283" s="8" t="str">
        <f>", "&amp;'RAW (公開用)'!H181&amp;", "</f>
        <v xml:space="preserve">, さん, </v>
      </c>
      <c r="J283" s="8" t="s">
        <v>2335</v>
      </c>
      <c r="K28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83" s="8" t="str">
        <f>", "&amp;'RAW (公開用)'!J181&amp;", "</f>
        <v xml:space="preserve">, **英語を日常的に使わない**, </v>
      </c>
      <c r="M283" s="8" t="s">
        <v>2335</v>
      </c>
      <c r="N28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83" s="8" t="str">
        <f>", "&amp;'RAW (公開用)'!L181&amp;", "</f>
        <v xml:space="preserve">, うち, わたし, </v>
      </c>
      <c r="P283" s="8" t="s">
        <v>2335</v>
      </c>
      <c r="Q28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わたし,  , </v>
      </c>
      <c r="R283" s="8" t="str">
        <f>", "&amp;'RAW (公開用)'!N283&amp;", "</f>
        <v xml:space="preserve">, （三人称で言及してほしくない）, （自分（たち）の名前）, </v>
      </c>
      <c r="S283" s="8" t="s">
        <v>2371</v>
      </c>
      <c r="T28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（自分（たち）の名前）,  , {この/その/あの}+人, あの方,</v>
      </c>
      <c r="U283" s="8" t="str">
        <f>", "&amp;'RAW (公開用)'!P181&amp;", "</f>
        <v xml:space="preserve">, **英語を日常的に使わない**, </v>
      </c>
      <c r="V283" s="8" t="s">
        <v>455</v>
      </c>
      <c r="W283" s="8" t="str">
        <f>", "&amp;'RAW (公開用)'!R181&amp;", "</f>
        <v xml:space="preserve">, 医療における無理解, 家族／かぞくからの無理解, 必要なジェンダーケアへアクセスできない, ミスジェンダリング（誤った性別として扱うこと）, 社会の中でいないことにされる, 職場や学校における無理解, </v>
      </c>
      <c r="X283" s="8"/>
      <c r="Y28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家族／かぞくからの無理解, 必要なジェンダーケアへアクセスできない, ミスジェンダリング（誤った性別として扱うこと）, 社会の中でいないことにされる, 職場や学校における無理解,  </v>
      </c>
      <c r="Z283" s="8" t="s">
        <v>455</v>
      </c>
      <c r="AA283" s="8" t="str">
        <f>", "&amp;'RAW (公開用)'!U181&amp;", "</f>
        <v xml:space="preserve">, 戸籍名の変更, 胸部の手術, 性器にかかわる手術, </v>
      </c>
      <c r="AB283" s="8" t="str">
        <f>", "&amp;'RAW (公開用)'!V181&amp;", "</f>
        <v xml:space="preserve">, 戸籍名の変更, </v>
      </c>
      <c r="AC283" s="8"/>
      <c r="AD283"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v>
      </c>
      <c r="AE283" s="8" t="s">
        <v>456</v>
      </c>
      <c r="AF283" s="8" t="s">
        <v>457</v>
      </c>
      <c r="AG283" s="8" t="s">
        <v>458</v>
      </c>
      <c r="AH283" s="8"/>
      <c r="AI283" s="8">
        <f t="shared" si="11"/>
        <v>2</v>
      </c>
      <c r="AJ283" s="8"/>
      <c r="AK283" s="8"/>
      <c r="AL283" s="8"/>
      <c r="AM283" s="8"/>
      <c r="AN283" s="8"/>
    </row>
    <row r="284" spans="1:40" ht="12.75" hidden="1">
      <c r="A284" s="8">
        <v>284</v>
      </c>
      <c r="B284" s="11">
        <v>44991.39154975694</v>
      </c>
      <c r="C284" s="8" t="s">
        <v>452</v>
      </c>
      <c r="D284" s="8" t="s">
        <v>453</v>
      </c>
      <c r="E284" s="8" t="s">
        <v>452</v>
      </c>
      <c r="F284" s="8" t="s">
        <v>454</v>
      </c>
      <c r="G284" s="8" t="str">
        <f>", "&amp;'RAW (公開用)'!F285&amp;", "</f>
        <v xml:space="preserve">, ノンバイナリー女性, 中性, ノンバイナリー, </v>
      </c>
      <c r="H284" s="8"/>
      <c r="I284" s="8" t="str">
        <f>", "&amp;'RAW (公開用)'!H285&amp;", "</f>
        <v xml:space="preserve">, （any／問わない／どれでもよい）, </v>
      </c>
      <c r="J284" s="8" t="s">
        <v>2335</v>
      </c>
      <c r="K28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84" s="8" t="str">
        <f>", "&amp;'RAW (公開用)'!J285&amp;", "</f>
        <v xml:space="preserve">, **英語を日常的に使わない**, </v>
      </c>
      <c r="M284" s="8" t="s">
        <v>2335</v>
      </c>
      <c r="N28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84" s="8" t="str">
        <f>", "&amp;'RAW (公開用)'!L285&amp;", "</f>
        <v xml:space="preserve">, 私（わたし／わたくし）, 自分, </v>
      </c>
      <c r="P284" s="8" t="s">
        <v>2335</v>
      </c>
      <c r="Q28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284" s="8" t="s">
        <v>2174</v>
      </c>
      <c r="S284" s="8" t="s">
        <v>2335</v>
      </c>
      <c r="T28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284" s="8" t="str">
        <f>", "&amp;'RAW (公開用)'!P285&amp;", "</f>
        <v xml:space="preserve">, **英語を日常的に使わない**, </v>
      </c>
      <c r="V284" s="8" t="s">
        <v>455</v>
      </c>
      <c r="W284" s="8" t="str">
        <f>", "&amp;'RAW (公開用)'!R285&amp;", "</f>
        <v xml:space="preserve">, トイレなどのジェンダー化されたスペースの使用, </v>
      </c>
      <c r="X284" s="8"/>
      <c r="Y28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v>
      </c>
      <c r="Z284" s="8" t="s">
        <v>472</v>
      </c>
      <c r="AA284" s="8" t="s">
        <v>2174</v>
      </c>
      <c r="AB284" s="105" t="s">
        <v>2443</v>
      </c>
      <c r="AC284" s="8"/>
      <c r="AD284"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84" s="8" t="s">
        <v>462</v>
      </c>
      <c r="AF284" s="8" t="s">
        <v>457</v>
      </c>
      <c r="AG284" s="8" t="s">
        <v>458</v>
      </c>
      <c r="AH284" s="8"/>
      <c r="AI284" s="8">
        <f t="shared" si="11"/>
        <v>3</v>
      </c>
      <c r="AJ284" s="8"/>
      <c r="AK284" s="8"/>
      <c r="AL284" s="8"/>
      <c r="AM284" s="8"/>
      <c r="AN284" s="8"/>
    </row>
    <row r="285" spans="1:40" ht="51" hidden="1">
      <c r="A285" s="8">
        <v>285</v>
      </c>
      <c r="B285" s="11">
        <v>44991.420197546293</v>
      </c>
      <c r="C285" s="8" t="s">
        <v>452</v>
      </c>
      <c r="D285" s="8" t="s">
        <v>453</v>
      </c>
      <c r="E285" s="8" t="s">
        <v>452</v>
      </c>
      <c r="F285" s="8" t="s">
        <v>454</v>
      </c>
      <c r="G285" s="8" t="str">
        <f>", "&amp;'RAW (公開用)'!F286&amp;", "</f>
        <v xml:space="preserve">, レズビアン（ジェンダーについて）, トランス女性, 女性／woman, </v>
      </c>
      <c r="H285" s="8" t="s">
        <v>586</v>
      </c>
      <c r="I285" s="8" t="str">
        <f>", "&amp;'RAW (公開用)'!H286&amp;", "</f>
        <v xml:space="preserve">, さん, </v>
      </c>
      <c r="J285" s="8" t="s">
        <v>2335</v>
      </c>
      <c r="K28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85" s="8" t="str">
        <f>", "&amp;'RAW (公開用)'!J286&amp;", "</f>
        <v xml:space="preserve">, Ms., </v>
      </c>
      <c r="M285" s="8" t="s">
        <v>2335</v>
      </c>
      <c r="N28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 </v>
      </c>
      <c r="O285" s="8" t="str">
        <f>", "&amp;'RAW (公開用)'!L286&amp;", "</f>
        <v xml:space="preserve">, わたし, </v>
      </c>
      <c r="P285" s="8" t="s">
        <v>2335</v>
      </c>
      <c r="Q28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285" s="8" t="str">
        <f>", "&amp;'RAW (公開用)'!N285&amp;", "</f>
        <v xml:space="preserve">, （any／問わない／どれでもよい）, </v>
      </c>
      <c r="S285" s="8" t="s">
        <v>2335</v>
      </c>
      <c r="T28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85" s="8" t="str">
        <f>", "&amp;'RAW (公開用)'!P286&amp;", "</f>
        <v xml:space="preserve">, she, </v>
      </c>
      <c r="V285" s="8" t="s">
        <v>455</v>
      </c>
      <c r="W285" s="8" t="str">
        <f>", "&amp;'RAW (公開用)'!R286&amp;", "</f>
        <v xml:space="preserve">, 性暴力, 家族／かぞくからの無理解, ミスジェンダリング（誤った性別として扱うこと）, アウティング（勝手にジェンダーや指向についての情報を明かされること）, トイレなどのジェンダー化されたスペースの使用, </v>
      </c>
      <c r="X285" s="8" t="s">
        <v>255</v>
      </c>
      <c r="Y28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家族／かぞくからの無理解, ミスジェンダリング（誤った性別として扱うこと）, アウティング（勝手にジェンダーや指向についての情報を明かされること）, トイレなどのジェンダー化されたスペースの使用,  就職活動での不利な取扱</v>
      </c>
      <c r="Z285" s="8" t="s">
        <v>455</v>
      </c>
      <c r="AA285" s="8" t="str">
        <f>", "&amp;'RAW (公開用)'!U286&amp;", "</f>
        <v xml:space="preserve">, 戸籍名の変更, 戸籍上の性別の変更, ジェンダークリニックの受診, ホルモン補充療法（HRT）, 性器にかかわる手術, </v>
      </c>
      <c r="AB285" s="8" t="str">
        <f>", "&amp;'RAW (公開用)'!V286&amp;", "</f>
        <v xml:space="preserve">, 戸籍名の変更, ジェンダークリニックの受診, ホルモン補充療法（HRT）, </v>
      </c>
      <c r="AC285" s="8" t="s">
        <v>362</v>
      </c>
      <c r="AD285"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性別適合手術は保険適用にはなったが医療側のガイドラインと齟齬があり、実際にはまず保険適用にならない。そのため手術を受けるのが金銭的に厳しい。</v>
      </c>
      <c r="AE285" s="8" t="s">
        <v>474</v>
      </c>
      <c r="AF285" s="8" t="s">
        <v>457</v>
      </c>
      <c r="AG285" s="8" t="s">
        <v>458</v>
      </c>
      <c r="AH285" s="8"/>
      <c r="AI285" s="8">
        <f t="shared" si="11"/>
        <v>3</v>
      </c>
      <c r="AJ285" s="8"/>
      <c r="AK285" s="8"/>
      <c r="AL285" s="8"/>
      <c r="AM285" s="8"/>
      <c r="AN285" s="8"/>
    </row>
    <row r="286" spans="1:40" ht="25.5" hidden="1">
      <c r="A286" s="8">
        <v>286</v>
      </c>
      <c r="B286" s="11">
        <v>44991.420871342591</v>
      </c>
      <c r="C286" s="8" t="s">
        <v>452</v>
      </c>
      <c r="D286" s="8" t="s">
        <v>453</v>
      </c>
      <c r="E286" s="8" t="s">
        <v>452</v>
      </c>
      <c r="F286" s="8" t="s">
        <v>454</v>
      </c>
      <c r="G286" s="8" t="str">
        <f>", "&amp;'RAW (公開用)'!F287&amp;", "</f>
        <v xml:space="preserve">, ニュートラル, ノンバイナリー, **必ず選んでください**, ノンバイナリー男性, </v>
      </c>
      <c r="H286" s="8"/>
      <c r="I286" s="8" t="str">
        <f>", "&amp;'RAW (公開用)'!H287&amp;", "</f>
        <v xml:space="preserve">, さん, </v>
      </c>
      <c r="J286" s="8" t="s">
        <v>2335</v>
      </c>
      <c r="K28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86" s="8" t="str">
        <f>", "&amp;'RAW (公開用)'!J287&amp;", "</f>
        <v xml:space="preserve">, -san, （クエスチョニング、模索中、または不明）, Dr.など、職業などにかかわるもの, **英語を日常的に使わない**, </v>
      </c>
      <c r="M286" s="8" t="s">
        <v>2335</v>
      </c>
      <c r="N28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（クエスチョニング、模索中、または不明）, Dr.など、職業などにかかわるもの, **英語を日常的に使わない**, , </v>
      </c>
      <c r="O286" s="8" t="str">
        <f>", "&amp;'RAW (公開用)'!L287&amp;", "</f>
        <v xml:space="preserve">, 僕, </v>
      </c>
      <c r="P286" s="8" t="s">
        <v>2335</v>
      </c>
      <c r="Q28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 </v>
      </c>
      <c r="R286" s="8" t="str">
        <f>", "&amp;'RAW (公開用)'!N286&amp;", "</f>
        <v xml:space="preserve">, 彼女, </v>
      </c>
      <c r="S286" s="8" t="s">
        <v>2335</v>
      </c>
      <c r="T28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286" s="8" t="str">
        <f>", "&amp;'RAW (公開用)'!P287&amp;", "</f>
        <v xml:space="preserve">, they/them/their/themself, **英語を日常的に使わない**, they/them/their/themselves, </v>
      </c>
      <c r="V286" s="8" t="s">
        <v>455</v>
      </c>
      <c r="W286" s="8" t="str">
        <f>", "&amp;'RAW (公開用)'!R287&amp;", "</f>
        <v xml:space="preserve">, カムアウトできない, 社会の中でいないことにされる, LGBTQ+運動からの排斥, </v>
      </c>
      <c r="X286" s="8"/>
      <c r="Y28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社会の中でいないことにされる, LGBTQ+運動からの排斥,  </v>
      </c>
      <c r="Z286" s="8" t="s">
        <v>455</v>
      </c>
      <c r="AA286" s="8" t="str">
        <f>", "&amp;'RAW (公開用)'!U287&amp;", "</f>
        <v xml:space="preserve">, （上記のどれも希望していない）, </v>
      </c>
      <c r="AB286" s="8" t="str">
        <f>", "&amp;'RAW (公開用)'!V287&amp;", "</f>
        <v xml:space="preserve">, （上記のどれも経験していない）, </v>
      </c>
      <c r="AC286" s="8"/>
      <c r="AD28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86" s="8" t="s">
        <v>459</v>
      </c>
      <c r="AF286" s="8" t="s">
        <v>457</v>
      </c>
      <c r="AG286" s="8" t="s">
        <v>458</v>
      </c>
      <c r="AH286" s="8"/>
      <c r="AI286" s="8">
        <f t="shared" si="11"/>
        <v>3</v>
      </c>
      <c r="AJ286" s="8"/>
      <c r="AK286" s="8"/>
      <c r="AL286" s="8"/>
      <c r="AM286" s="8"/>
      <c r="AN286" s="8"/>
    </row>
    <row r="287" spans="1:40" ht="63.75" hidden="1">
      <c r="A287" s="8">
        <v>13</v>
      </c>
      <c r="B287" s="11">
        <v>44969.802980590277</v>
      </c>
      <c r="C287" s="8" t="s">
        <v>452</v>
      </c>
      <c r="D287" s="8" t="s">
        <v>453</v>
      </c>
      <c r="E287" s="8" t="s">
        <v>452</v>
      </c>
      <c r="F287" s="8" t="s">
        <v>454</v>
      </c>
      <c r="G287" s="8" t="str">
        <f>", "&amp;'RAW (公開用)'!F14&amp;", "</f>
        <v xml:space="preserve">, 不定性, クィア／Queer, （ジェンダー・）フルイド／（ジェンダー・）フリュイド／（ジェンダー・）フルイッド, X, 女性／woman, ニューロジェンダー／neurogender, </v>
      </c>
      <c r="H287" s="8" t="s">
        <v>471</v>
      </c>
      <c r="I287" s="8" t="str">
        <f>", "&amp;'RAW (公開用)'!H14&amp;", "</f>
        <v xml:space="preserve">, （any／問わない／どれでもよい）, </v>
      </c>
      <c r="J287" s="8" t="s">
        <v>2335</v>
      </c>
      <c r="K28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287" s="8" t="str">
        <f>", "&amp;'RAW (公開用)'!J14&amp;", "</f>
        <v xml:space="preserve">, Ms., **英語を日常的に使わない**, Mx., -san, </v>
      </c>
      <c r="M287" s="8" t="s">
        <v>2335</v>
      </c>
      <c r="N28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**英語を日常的に使わない**, Mx., -san, , </v>
      </c>
      <c r="O287" s="8" t="str">
        <f>", "&amp;'RAW (公開用)'!L14&amp;", "</f>
        <v xml:space="preserve">, うち, 私（わたし／わたくし）, わたし, （時とともに変わる）, 自分, 俺, </v>
      </c>
      <c r="P287" s="73" t="s">
        <v>2405</v>
      </c>
      <c r="Q28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うち, 私（わたし／わたくし）, わたし, （時とともに変わる）, 自分, 俺,  , おれちゃん,</v>
      </c>
      <c r="R287" s="8" t="str">
        <f>", "&amp;'RAW (公開用)'!N287&amp;", "</f>
        <v xml:space="preserve">, （自分（たち）の名前）, （三人称で言及してほしくない）, </v>
      </c>
      <c r="S287" s="8" t="s">
        <v>2335</v>
      </c>
      <c r="T28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287" s="8" t="str">
        <f>", "&amp;'RAW (公開用)'!P14&amp;", "</f>
        <v xml:space="preserve">, they/them/their/themself, she, any/問わない/どれでもよい, </v>
      </c>
      <c r="V287" s="8" t="s">
        <v>455</v>
      </c>
      <c r="W287" s="8" t="str">
        <f>", "&amp;'RAW (公開用)'!R14&amp;", "</f>
        <v xml:space="preserve">, LGBTQ+運動からの排斥, 家族／かぞくからの無理解, 必要なジェンダーケアへアクセスできない, カムアウトできない, 医療における無理解, 社会の中でいないことにされる, </v>
      </c>
      <c r="X287" s="8" t="s">
        <v>228</v>
      </c>
      <c r="Y28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LGBTQ+運動からの排斥, 家族／かぞくからの無理解, 必要なジェンダーケアへアクセスできない, カムアウトできない, 医療における無理解, 社会の中でいないことにされる,  ニューロジェンダーの日本語情報が少ない。日本語圏の発達障害の当事者運動の情報が少ない。AutismSpeaks以外が透明化されている本邦への懸念。賃金差別。</v>
      </c>
      <c r="Z287" s="8" t="s">
        <v>472</v>
      </c>
      <c r="AA287" s="8" t="s">
        <v>2174</v>
      </c>
      <c r="AB287" s="105" t="s">
        <v>2443</v>
      </c>
      <c r="AC287" s="8"/>
      <c r="AD287"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287" s="8" t="s">
        <v>456</v>
      </c>
      <c r="AF287" s="8" t="s">
        <v>457</v>
      </c>
      <c r="AG287" s="8" t="s">
        <v>458</v>
      </c>
      <c r="AH287" s="8"/>
      <c r="AI287" s="8">
        <f>((LEN(G287)-LEN(SUBSTITUTE(G287,", ","")))/LEN(", ")-1-(LEN(G287)-LEN(SUBSTITUTE(G287,"必ず","")))/LEN("必ず"))+(LEN(H287)-LEN(SUBSTITUTE(H287,",","")))</f>
        <v>7</v>
      </c>
      <c r="AJ287" s="8"/>
      <c r="AK287" s="8"/>
      <c r="AL287" s="8"/>
      <c r="AM287" s="8"/>
      <c r="AN287" s="8"/>
    </row>
    <row r="288" spans="1:40" ht="51" hidden="1">
      <c r="A288" s="8">
        <v>39</v>
      </c>
      <c r="B288" s="11">
        <v>44969.839269780088</v>
      </c>
      <c r="C288" s="8" t="s">
        <v>452</v>
      </c>
      <c r="D288" s="8" t="s">
        <v>453</v>
      </c>
      <c r="E288" s="8" t="s">
        <v>452</v>
      </c>
      <c r="F288" s="8" t="s">
        <v>454</v>
      </c>
      <c r="G288" s="8" t="str">
        <f>", "&amp;'RAW (公開用)'!F40&amp;", "</f>
        <v xml:space="preserve">, ノンバイナリー, **必ず選んでください**, クィア／Queer, </v>
      </c>
      <c r="H288" s="8"/>
      <c r="I288" s="8" t="str">
        <f>", "&amp;'RAW (公開用)'!H40&amp;", "</f>
        <v xml:space="preserve">, ちゃん, さん, くん／君, </v>
      </c>
      <c r="J288" s="8" t="s">
        <v>2335</v>
      </c>
      <c r="K28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くん／君,  , </v>
      </c>
      <c r="L288" s="8" t="str">
        <f>", "&amp;'RAW (公開用)'!J40&amp;", "</f>
        <v xml:space="preserve">, Dr.など、職業などにかかわるもの, -san, </v>
      </c>
      <c r="M288" s="8" t="s">
        <v>2335</v>
      </c>
      <c r="N28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-san, , </v>
      </c>
      <c r="O288" s="8" t="str">
        <f>", "&amp;'RAW (公開用)'!L40&amp;", "</f>
        <v xml:space="preserve">, 自分, わたし, おれ, わたくし, 僕, （自分（たち）の名前）, 私（わたし／わたくし）, </v>
      </c>
      <c r="P288" s="8" t="s">
        <v>2335</v>
      </c>
      <c r="Q28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おれ, わたくし, 僕, （自分（たち）の名前）, 私（わたし／わたくし）,  , </v>
      </c>
      <c r="R288" s="8" t="str">
        <f>", "&amp;'RAW (公開用)'!N288&amp;", "</f>
        <v xml:space="preserve">, 彼女, </v>
      </c>
      <c r="S288" s="8" t="s">
        <v>2353</v>
      </c>
      <c r="T28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 {この/その/あの}+人, {この/その/あの}+方,</v>
      </c>
      <c r="U288" s="8" t="str">
        <f>", "&amp;'RAW (公開用)'!P40&amp;", "</f>
        <v xml:space="preserve">, they/them/their/themselves, </v>
      </c>
      <c r="V288" s="8" t="s">
        <v>455</v>
      </c>
      <c r="W288" s="8" t="str">
        <f>", "&amp;'RAW (公開用)'!R40&amp;", "</f>
        <v xml:space="preserve">, 社会の中でいないことにされる, LGBTQ+運動からの排斥, 職場や学校における無理解, 必要なジェンダーケアへアクセスできない, トイレなどのジェンダー化されたスペースの使用, 医療における無理解, ミスジェンダリング（誤った性別として扱うこと）, </v>
      </c>
      <c r="X288" s="8"/>
      <c r="Y28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LGBTQ+運動からの排斥, 職場や学校における無理解, 必要なジェンダーケアへアクセスできない, トイレなどのジェンダー化されたスペースの使用, 医療における無理解, ミスジェンダリング（誤った性別として扱うこと）,  </v>
      </c>
      <c r="Z288" s="8" t="s">
        <v>455</v>
      </c>
      <c r="AA288" s="8" t="str">
        <f>", "&amp;'RAW (公開用)'!U40&amp;", "</f>
        <v xml:space="preserve">, 戸籍名の変更, ジェンダークリニックの受診, </v>
      </c>
      <c r="AB288" s="8" t="str">
        <f>", "&amp;'RAW (公開用)'!V40&amp;", "</f>
        <v xml:space="preserve">, （上記のどれも経験していない）, </v>
      </c>
      <c r="AC288" s="8"/>
      <c r="AD28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88" s="8" t="s">
        <v>459</v>
      </c>
      <c r="AF288" s="8" t="s">
        <v>457</v>
      </c>
      <c r="AG288" s="8" t="s">
        <v>458</v>
      </c>
      <c r="AH288" s="8"/>
      <c r="AI288" s="8">
        <f>((LEN(G288)-LEN(SUBSTITUTE(G288,", ","")))/LEN(", ")-1-(LEN(G288)-LEN(SUBSTITUTE(G288,"必ず","")))/LEN("必ず"))+(LEN(H288)-LEN(SUBSTITUTE(H288,",","")))</f>
        <v>2</v>
      </c>
      <c r="AJ288" s="8"/>
      <c r="AK288" s="8"/>
      <c r="AL288" s="8"/>
      <c r="AM288" s="8"/>
      <c r="AN288" s="8"/>
    </row>
    <row r="289" spans="1:40" ht="38.25" hidden="1">
      <c r="A289" s="8">
        <v>289</v>
      </c>
      <c r="B289" s="11">
        <v>44991.434041886576</v>
      </c>
      <c r="C289" s="8" t="s">
        <v>452</v>
      </c>
      <c r="D289" s="8" t="s">
        <v>453</v>
      </c>
      <c r="E289" s="8" t="s">
        <v>452</v>
      </c>
      <c r="F289" s="8" t="s">
        <v>454</v>
      </c>
      <c r="G289" s="8" t="str">
        <f>", "&amp;'RAW (公開用)'!F290&amp;", "</f>
        <v xml:space="preserve">, 無性, **必ず選んでください**, Xジェンダー, Aジェンダー／エイジェンダー／アジェンダー／agender, ジェンダーレス, クィア／Queer, X, </v>
      </c>
      <c r="H289" s="8"/>
      <c r="I289" s="8" t="str">
        <f>", "&amp;'RAW (公開用)'!H290&amp;", "</f>
        <v xml:space="preserve">, さん, </v>
      </c>
      <c r="J289" s="8" t="s">
        <v>2335</v>
      </c>
      <c r="K28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89" s="8" t="str">
        <f>", "&amp;'RAW (公開用)'!J290&amp;", "</f>
        <v xml:space="preserve">, Mx., -san, Dr.など、職業などにかかわるもの, </v>
      </c>
      <c r="M289" s="8" t="s">
        <v>2335</v>
      </c>
      <c r="N28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-san, Dr.など、職業などにかかわるもの, , </v>
      </c>
      <c r="O289" s="8" t="str">
        <f>", "&amp;'RAW (公開用)'!L290&amp;", "</f>
        <v xml:space="preserve">, （一人称の使用を避ける）, 私（わたし／わたくし）, 自分, </v>
      </c>
      <c r="P289" s="8" t="s">
        <v>2335</v>
      </c>
      <c r="Q28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私（わたし／わたくし）, 自分,  , </v>
      </c>
      <c r="R289" s="8" t="str">
        <f>", "&amp;'RAW (公開用)'!N289&amp;", "</f>
        <v xml:space="preserve">, かれ, 彼, </v>
      </c>
      <c r="S289" s="8" t="s">
        <v>2335</v>
      </c>
      <c r="T28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彼,  , </v>
      </c>
      <c r="U289" s="8" t="str">
        <f>", "&amp;'RAW (公開用)'!P290&amp;", "</f>
        <v xml:space="preserve">, they/them/their/themself, they/them/their/themselves, </v>
      </c>
      <c r="V289" s="8" t="s">
        <v>455</v>
      </c>
      <c r="W289" s="8" t="str">
        <f>", "&amp;'RAW (公開用)'!R290&amp;", "</f>
        <v xml:space="preserve">, ミスジェンダリング（誤った性別として扱うこと）, 医療における無理解, 家族／かぞくからの無理解, 社会の中でいないことにされる, トイレなどのジェンダー化されたスペースの使用, </v>
      </c>
      <c r="X289" s="8"/>
      <c r="Y28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医療における無理解, 家族／かぞくからの無理解, 社会の中でいないことにされる, トイレなどのジェンダー化されたスペースの使用,  </v>
      </c>
      <c r="Z289" s="8" t="s">
        <v>455</v>
      </c>
      <c r="AA289" s="8" t="str">
        <f>", "&amp;'RAW (公開用)'!U290&amp;", "</f>
        <v xml:space="preserve">, 戸籍名の変更, 戸籍上の性別の変更, ジェンダークリニックの受診, 抗ホルモン療法, ホルモン補充療法（HRT）, 性器にかかわる手術, </v>
      </c>
      <c r="AB289" s="8" t="str">
        <f>", "&amp;'RAW (公開用)'!V290&amp;", "</f>
        <v xml:space="preserve">, ジェンダークリニックの受診, 抗ホルモン療法, ホルモン補充療法（HRT）, </v>
      </c>
      <c r="AC289" s="8"/>
      <c r="AD289"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抗ホルモン療法, ホルモン補充療法（HRT）,  </v>
      </c>
      <c r="AE289" s="8" t="s">
        <v>462</v>
      </c>
      <c r="AF289" s="8" t="s">
        <v>457</v>
      </c>
      <c r="AG289" s="8" t="s">
        <v>458</v>
      </c>
      <c r="AH289" s="8"/>
      <c r="AI289" s="8">
        <f t="shared" ref="AI289:AI296" si="12">(LEN(G289)-LEN(SUBSTITUTE(G289,", ","")))/LEN(", ")-1-(LEN(G289)-LEN(SUBSTITUTE(G289,"必ず","")))/LEN("必ず")</f>
        <v>6</v>
      </c>
      <c r="AJ289" s="8"/>
      <c r="AK289" s="8"/>
      <c r="AL289" s="8"/>
      <c r="AM289" s="8"/>
      <c r="AN289" s="8"/>
    </row>
    <row r="290" spans="1:40" ht="63.75" hidden="1">
      <c r="A290" s="8">
        <v>388</v>
      </c>
      <c r="B290" s="11">
        <v>44992.493967060189</v>
      </c>
      <c r="C290" s="8" t="s">
        <v>452</v>
      </c>
      <c r="D290" s="8" t="s">
        <v>453</v>
      </c>
      <c r="E290" s="8" t="s">
        <v>452</v>
      </c>
      <c r="F290" s="8" t="s">
        <v>454</v>
      </c>
      <c r="G290" s="8" t="str">
        <f>", "&amp;'RAW (公開用)'!F389&amp;", "</f>
        <v xml:space="preserve">, トランス, X, 両性, ポリジェンダー, Xジェンダー, **必ず選んでください**, </v>
      </c>
      <c r="H290" s="8"/>
      <c r="I290" s="8" t="str">
        <f>", "&amp;'RAW (公開用)'!H389&amp;", "</f>
        <v xml:space="preserve">, くん／君, さん, </v>
      </c>
      <c r="J290" s="8" t="s">
        <v>2335</v>
      </c>
      <c r="K29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290" s="8" t="str">
        <f>", "&amp;'RAW (公開用)'!J389&amp;", "</f>
        <v xml:space="preserve">, **英語を日常的に使わない**, </v>
      </c>
      <c r="M290" s="8" t="s">
        <v>2335</v>
      </c>
      <c r="N29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0" s="8" t="str">
        <f>", "&amp;'RAW (公開用)'!L389&amp;", "</f>
        <v xml:space="preserve">, 俺, </v>
      </c>
      <c r="P290" s="73" t="s">
        <v>2406</v>
      </c>
      <c r="Q29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 オレ,</v>
      </c>
      <c r="R290" s="8" t="str">
        <f>", "&amp;'RAW (公開用)'!N290&amp;", "</f>
        <v xml:space="preserve">, （自分（たち）の名前）, </v>
      </c>
      <c r="S290" s="8" t="s">
        <v>2335</v>
      </c>
      <c r="T29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90" s="8" t="str">
        <f>", "&amp;'RAW (公開用)'!P389&amp;", "</f>
        <v xml:space="preserve">, **英語を日常的に使わない**, </v>
      </c>
      <c r="V290" s="8" t="s">
        <v>455</v>
      </c>
      <c r="W290" s="8" t="str">
        <f>", "&amp;'RAW (公開用)'!R389&amp;", "</f>
        <v xml:space="preserve">, 必要なジェンダーケアへアクセスできない, 家族／かぞくからの無理解, 医療における無理解, 社会の中でいないことにされる, デッドネーミング（誤った名前で呼ばれること）, ミスジェンダリング（誤った性別として扱うこと）, トイレなどのジェンダー化されたスペースの使用, </v>
      </c>
      <c r="X290" s="8" t="s">
        <v>221</v>
      </c>
      <c r="Y29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家族／かぞくからの無理解, 医療における無理解, 社会の中でいないことにされる, デッドネーミング（誤った名前で呼ばれること）, ミスジェンダリング（誤った性別として扱うこと）, トイレなどのジェンダー化されたスペースの使用,  トイレを使いにくい。心と体の性別が違いすぎて、、、だれでもトイレを使うことが多いが視線が気になる</v>
      </c>
      <c r="Z290" s="8" t="s">
        <v>455</v>
      </c>
      <c r="AA290" s="8" t="str">
        <f>", "&amp;'RAW (公開用)'!U389&amp;", "</f>
        <v xml:space="preserve">, 戸籍名の変更, 戸籍上の性別の変更, </v>
      </c>
      <c r="AB290" s="8" t="str">
        <f>", "&amp;'RAW (公開用)'!V389&amp;", "</f>
        <v xml:space="preserve">, （上記のどれも経験していない）, </v>
      </c>
      <c r="AC290" s="8"/>
      <c r="AD29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90" s="8" t="s">
        <v>459</v>
      </c>
      <c r="AF290" s="8" t="s">
        <v>457</v>
      </c>
      <c r="AG290" s="8" t="s">
        <v>458</v>
      </c>
      <c r="AH290" s="8"/>
      <c r="AI290" s="8">
        <f t="shared" si="12"/>
        <v>5</v>
      </c>
      <c r="AJ290" s="8"/>
      <c r="AK290" s="8"/>
      <c r="AL290" s="8"/>
      <c r="AM290" s="8"/>
      <c r="AN290" s="8"/>
    </row>
    <row r="291" spans="1:40" ht="25.5" hidden="1">
      <c r="A291" s="8">
        <v>291</v>
      </c>
      <c r="B291" s="11">
        <v>44991.443524212962</v>
      </c>
      <c r="C291" s="8" t="s">
        <v>452</v>
      </c>
      <c r="D291" s="8" t="s">
        <v>453</v>
      </c>
      <c r="E291" s="8" t="s">
        <v>452</v>
      </c>
      <c r="F291" s="8" t="s">
        <v>454</v>
      </c>
      <c r="G291" s="8" t="str">
        <f>", "&amp;'RAW (公開用)'!F292&amp;", "</f>
        <v xml:space="preserve">, ジェンダーフラックス／フラックスジェンダー, X, 中性, 不定性, クィア／Queer, ノンバイナリー, ボイ, Xジェンダー, 女性／woman, クエスチョニング, </v>
      </c>
      <c r="H291" s="8"/>
      <c r="I291" s="8" t="str">
        <f>", "&amp;'RAW (公開用)'!H292&amp;", "</f>
        <v xml:space="preserve">, （クエスチョニング、模索中、または不明）, さん, </v>
      </c>
      <c r="J291" s="8" t="s">
        <v>2335</v>
      </c>
      <c r="K29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291" s="8" t="str">
        <f>", "&amp;'RAW (公開用)'!J292&amp;", "</f>
        <v xml:space="preserve">, -san, Dr.など、職業などにかかわるもの, </v>
      </c>
      <c r="M291" s="8" t="s">
        <v>2335</v>
      </c>
      <c r="N29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 </v>
      </c>
      <c r="O291" s="8" t="str">
        <f>", "&amp;'RAW (公開用)'!L292&amp;", "</f>
        <v xml:space="preserve">, わたし, 僕, ぼく, わし, 自分, 俺, おれ, 私（わたし／わたくし）, </v>
      </c>
      <c r="P291" s="8" t="s">
        <v>2335</v>
      </c>
      <c r="Q29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僕, ぼく, わし, 自分, 俺, おれ, 私（わたし／わたくし）,  , </v>
      </c>
      <c r="R291" s="8" t="str">
        <f>", "&amp;'RAW (公開用)'!N291&amp;", "</f>
        <v xml:space="preserve">, （自分（たち）の名前）, （any／問わない／どれでもよい）, </v>
      </c>
      <c r="S291" s="8" t="s">
        <v>2335</v>
      </c>
      <c r="T29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291" s="8" t="str">
        <f>", "&amp;'RAW (公開用)'!P292&amp;", "</f>
        <v xml:space="preserve">, （時とともに変わる）, any/問わない/どれでもよい, </v>
      </c>
      <c r="V291" s="8" t="s">
        <v>455</v>
      </c>
      <c r="W291" s="8" t="str">
        <f>", "&amp;'RAW (公開用)'!R292&amp;", "</f>
        <v xml:space="preserve">, 家族／かぞくからの無理解, 職場や学校における無理解, </v>
      </c>
      <c r="X291" s="8"/>
      <c r="Y29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v>
      </c>
      <c r="Z291" s="8" t="s">
        <v>455</v>
      </c>
      <c r="AA291" s="8" t="str">
        <f>", "&amp;'RAW (公開用)'!U292&amp;", "</f>
        <v xml:space="preserve">, 戸籍名の変更, 胸部の手術, 性器にかかわる手術, </v>
      </c>
      <c r="AB291" s="8" t="str">
        <f>", "&amp;'RAW (公開用)'!V292&amp;", "</f>
        <v xml:space="preserve">, （上記のどれも経験していない）, </v>
      </c>
      <c r="AC291" s="8"/>
      <c r="AD29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91" s="8" t="s">
        <v>462</v>
      </c>
      <c r="AF291" s="8" t="s">
        <v>457</v>
      </c>
      <c r="AG291" s="8" t="s">
        <v>458</v>
      </c>
      <c r="AH291" s="8"/>
      <c r="AI291" s="8">
        <f t="shared" si="12"/>
        <v>10</v>
      </c>
      <c r="AJ291" s="8"/>
      <c r="AK291" s="8"/>
      <c r="AL291" s="8"/>
      <c r="AM291" s="8"/>
      <c r="AN291" s="8"/>
    </row>
    <row r="292" spans="1:40" ht="51" hidden="1">
      <c r="A292" s="8">
        <v>292</v>
      </c>
      <c r="B292" s="11">
        <v>44991.460808692129</v>
      </c>
      <c r="C292" s="8" t="s">
        <v>452</v>
      </c>
      <c r="D292" s="8" t="s">
        <v>453</v>
      </c>
      <c r="E292" s="8" t="s">
        <v>452</v>
      </c>
      <c r="F292" s="8" t="s">
        <v>454</v>
      </c>
      <c r="G292" s="8" t="str">
        <f>", "&amp;'RAW (公開用)'!F293&amp;", "</f>
        <v xml:space="preserve">, トランス*／trans*, **必ず選んでください**, 無性, ノンバイナリー, </v>
      </c>
      <c r="H292" s="8"/>
      <c r="I292" s="8" t="str">
        <f>", "&amp;'RAW (公開用)'!H293&amp;", "</f>
        <v xml:space="preserve">, （クエスチョニング、模索中、または不明）, さん, </v>
      </c>
      <c r="J292" s="8" t="s">
        <v>2335</v>
      </c>
      <c r="K29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292" s="8" t="str">
        <f>", "&amp;'RAW (公開用)'!J293&amp;", "</f>
        <v xml:space="preserve">, **英語を日常的に使わない**, </v>
      </c>
      <c r="M292" s="8" t="s">
        <v>2335</v>
      </c>
      <c r="N29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2" s="8" t="str">
        <f>", "&amp;'RAW (公開用)'!L293&amp;", "</f>
        <v xml:space="preserve">, （クエスチョニング、模索中、または不明）, （一人称の使用を避ける）, 僕, わたし, 私（わたし／わたくし）, </v>
      </c>
      <c r="P292" s="8" t="s">
        <v>2335</v>
      </c>
      <c r="Q29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（クエスチョニング、模索中、または不明）, （一人称の使用を避ける）, 僕, わたし, 私（わたし／わたくし）,  , </v>
      </c>
      <c r="R292" s="8" t="str">
        <f>", "&amp;'RAW (公開用)'!N292&amp;", "</f>
        <v xml:space="preserve">, （自分（たち）の名前）, </v>
      </c>
      <c r="S292" s="8" t="s">
        <v>2335</v>
      </c>
      <c r="T29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92" s="8" t="str">
        <f>", "&amp;'RAW (公開用)'!P293&amp;", "</f>
        <v xml:space="preserve">, **英語を日常的に使わない**, </v>
      </c>
      <c r="V292" s="8" t="s">
        <v>455</v>
      </c>
      <c r="W292" s="8" t="str">
        <f>", "&amp;'RAW (公開用)'!R293&amp;", "</f>
        <v xml:space="preserve">, 必要なジェンダーケアへアクセスできない, トイレなどのジェンダー化されたスペースの使用, ミスジェンダリング（誤った性別として扱うこと）, 職場や学校における無理解, カムアウトできない, 社会の中でいないことにされる, アウティング（勝手にジェンダーや指向についての情報を明かされること）, </v>
      </c>
      <c r="X292" s="8"/>
      <c r="Y29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トイレなどのジェンダー化されたスペースの使用, ミスジェンダリング（誤った性別として扱うこと）, 職場や学校における無理解, カムアウトできない, 社会の中でいないことにされる, アウティング（勝手にジェンダーや指向についての情報を明かされること）,  </v>
      </c>
      <c r="Z292" s="8" t="s">
        <v>455</v>
      </c>
      <c r="AA292" s="8" t="str">
        <f>", "&amp;'RAW (公開用)'!U293&amp;", "</f>
        <v xml:space="preserve">, 戸籍名の変更, 戸籍上の性別の変更, ジェンダークリニックの受診, </v>
      </c>
      <c r="AB292" s="8" t="str">
        <f>", "&amp;'RAW (公開用)'!V293&amp;", "</f>
        <v xml:space="preserve">, （上記のどれも経験していない）, </v>
      </c>
      <c r="AC292" s="8" t="s">
        <v>383</v>
      </c>
      <c r="AD29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住んでいる自治体のジェンダークリニックは数が限られている上、新規受診の受付もしておらず、そもそも受診すること自体がかなっていません</v>
      </c>
      <c r="AE292" s="8" t="s">
        <v>474</v>
      </c>
      <c r="AF292" s="8" t="s">
        <v>457</v>
      </c>
      <c r="AG292" s="8" t="s">
        <v>458</v>
      </c>
      <c r="AH292" s="8"/>
      <c r="AI292" s="8">
        <f t="shared" si="12"/>
        <v>3</v>
      </c>
      <c r="AJ292" s="8"/>
      <c r="AK292" s="8"/>
      <c r="AL292" s="8"/>
      <c r="AM292" s="8"/>
      <c r="AN292" s="8"/>
    </row>
    <row r="293" spans="1:40" ht="25.5" hidden="1">
      <c r="A293" s="8">
        <v>293</v>
      </c>
      <c r="B293" s="11">
        <v>44991.462850243057</v>
      </c>
      <c r="C293" s="8" t="s">
        <v>452</v>
      </c>
      <c r="D293" s="8" t="s">
        <v>453</v>
      </c>
      <c r="E293" s="8" t="s">
        <v>452</v>
      </c>
      <c r="F293" s="8" t="s">
        <v>454</v>
      </c>
      <c r="G293" s="8" t="str">
        <f>", "&amp;'RAW (公開用)'!F294&amp;", "</f>
        <v xml:space="preserve">, クィア／Queer, 女性／woman, ノンバイナリー, ノンバイナリー女性, ゼノジェンダー／xenogender, ジェンダークィア, </v>
      </c>
      <c r="H293" s="8"/>
      <c r="I293" s="8" t="str">
        <f>", "&amp;'RAW (公開用)'!H294&amp;", "</f>
        <v xml:space="preserve">, さん, ちゃん, </v>
      </c>
      <c r="J293" s="8" t="s">
        <v>2335</v>
      </c>
      <c r="K29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293" s="8" t="str">
        <f>", "&amp;'RAW (公開用)'!J294&amp;", "</f>
        <v xml:space="preserve">, **英語を日常的に使わない**, </v>
      </c>
      <c r="M293" s="8" t="s">
        <v>2335</v>
      </c>
      <c r="N29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3" s="8" t="str">
        <f>", "&amp;'RAW (公開用)'!L294&amp;", "</f>
        <v xml:space="preserve">, あたし, おれ, わたし, （自分（たち）の名前）, わたくし, </v>
      </c>
      <c r="P293" s="8" t="s">
        <v>2335</v>
      </c>
      <c r="Q29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おれ, わたし, （自分（たち）の名前）, わたくし,  , </v>
      </c>
      <c r="R293" s="8" t="str">
        <f>", "&amp;'RAW (公開用)'!N293&amp;", "</f>
        <v xml:space="preserve">, かれ, </v>
      </c>
      <c r="S293" s="8" t="s">
        <v>2335</v>
      </c>
      <c r="T29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 </v>
      </c>
      <c r="U293" s="8" t="str">
        <f>", "&amp;'RAW (公開用)'!P294&amp;", "</f>
        <v xml:space="preserve">, **英語を日常的に使わない**, </v>
      </c>
      <c r="V293" s="8" t="s">
        <v>455</v>
      </c>
      <c r="W293" s="8" t="str">
        <f>", "&amp;'RAW (公開用)'!R294&amp;", "</f>
        <v xml:space="preserve">, 社会の中でいないことにされる, 性暴力, </v>
      </c>
      <c r="X293" s="8"/>
      <c r="Y29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性暴力,  </v>
      </c>
      <c r="Z293" s="8" t="s">
        <v>455</v>
      </c>
      <c r="AA293" s="8" t="str">
        <f>", "&amp;'RAW (公開用)'!U294&amp;", "</f>
        <v xml:space="preserve">, 性器にかかわる手術, </v>
      </c>
      <c r="AB293" s="8" t="str">
        <f>", "&amp;'RAW (公開用)'!V294&amp;", "</f>
        <v xml:space="preserve">, （上記のどれも経験していない）, </v>
      </c>
      <c r="AC293" s="8"/>
      <c r="AD29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93" s="8" t="s">
        <v>459</v>
      </c>
      <c r="AF293" s="8" t="s">
        <v>457</v>
      </c>
      <c r="AG293" s="8" t="s">
        <v>458</v>
      </c>
      <c r="AH293" s="8"/>
      <c r="AI293" s="8">
        <f t="shared" si="12"/>
        <v>6</v>
      </c>
      <c r="AJ293" s="8"/>
      <c r="AK293" s="8"/>
      <c r="AL293" s="8"/>
      <c r="AM293" s="8"/>
      <c r="AN293" s="8"/>
    </row>
    <row r="294" spans="1:40" ht="12.75" hidden="1">
      <c r="A294" s="8">
        <v>294</v>
      </c>
      <c r="B294" s="11">
        <v>44991.475796354163</v>
      </c>
      <c r="C294" s="8" t="s">
        <v>452</v>
      </c>
      <c r="D294" s="8" t="s">
        <v>453</v>
      </c>
      <c r="E294" s="8" t="s">
        <v>452</v>
      </c>
      <c r="F294" s="8" t="s">
        <v>454</v>
      </c>
      <c r="G294" s="8" t="str">
        <f>", "&amp;'RAW (公開用)'!F295&amp;", "</f>
        <v xml:space="preserve">, **必ず選んでください**, 無し, 不明／わからない, </v>
      </c>
      <c r="H294" s="8" t="s">
        <v>588</v>
      </c>
      <c r="I294" s="8" t="str">
        <f>", "&amp;'RAW (公開用)'!H295&amp;", "</f>
        <v xml:space="preserve">, さん, （any／問わない／どれでもよい）, ちゃん, （敬称なし）, </v>
      </c>
      <c r="J294" s="8" t="s">
        <v>2335</v>
      </c>
      <c r="K29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ちゃん, （敬称なし）,  , </v>
      </c>
      <c r="L294" s="8" t="str">
        <f>", "&amp;'RAW (公開用)'!J295&amp;", "</f>
        <v xml:space="preserve">, **英語を日常的に使わない**, </v>
      </c>
      <c r="M294" s="8" t="s">
        <v>2335</v>
      </c>
      <c r="N29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4" s="8" t="str">
        <f>", "&amp;'RAW (公開用)'!L295&amp;", "</f>
        <v xml:space="preserve">, 自分, 私（わたし／わたくし）, </v>
      </c>
      <c r="P294" s="8" t="s">
        <v>2335</v>
      </c>
      <c r="Q29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 </v>
      </c>
      <c r="R294" s="8" t="str">
        <f>", "&amp;'RAW (公開用)'!N294&amp;", "</f>
        <v xml:space="preserve">, （三人称で言及してほしくない）, </v>
      </c>
      <c r="S294" s="8" t="s">
        <v>2335</v>
      </c>
      <c r="T29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94" s="8" t="str">
        <f>", "&amp;'RAW (公開用)'!P295&amp;", "</f>
        <v xml:space="preserve">, **英語を日常的に使わない**, </v>
      </c>
      <c r="V294" s="8" t="s">
        <v>455</v>
      </c>
      <c r="W294" s="8" t="s">
        <v>2174</v>
      </c>
      <c r="X294" s="8" t="s">
        <v>271</v>
      </c>
      <c r="Y29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無回答 無意識に決めつけられること</v>
      </c>
      <c r="Z294" s="8" t="s">
        <v>455</v>
      </c>
      <c r="AA294" s="8" t="str">
        <f>", "&amp;'RAW (公開用)'!U295&amp;", "</f>
        <v xml:space="preserve">, （上記のどれも希望していない）, </v>
      </c>
      <c r="AB294" s="8" t="str">
        <f>", "&amp;'RAW (公開用)'!V295&amp;", "</f>
        <v xml:space="preserve">, （上記のどれも経験していない）, </v>
      </c>
      <c r="AC294" s="8"/>
      <c r="AD29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94" s="8" t="s">
        <v>462</v>
      </c>
      <c r="AF294" s="8" t="s">
        <v>457</v>
      </c>
      <c r="AG294" s="8" t="s">
        <v>458</v>
      </c>
      <c r="AH294" s="8"/>
      <c r="AI294" s="8">
        <f t="shared" si="12"/>
        <v>2</v>
      </c>
      <c r="AJ294" s="8"/>
      <c r="AK294" s="8"/>
      <c r="AL294" s="8"/>
      <c r="AM294" s="8"/>
      <c r="AN294" s="8"/>
    </row>
    <row r="295" spans="1:40" ht="38.25" hidden="1">
      <c r="A295" s="8">
        <v>295</v>
      </c>
      <c r="B295" s="11">
        <v>44991.481962222228</v>
      </c>
      <c r="C295" s="8" t="s">
        <v>452</v>
      </c>
      <c r="D295" s="8" t="s">
        <v>453</v>
      </c>
      <c r="E295" s="8" t="s">
        <v>452</v>
      </c>
      <c r="F295" s="8" t="s">
        <v>454</v>
      </c>
      <c r="G295" s="8" t="str">
        <f>", "&amp;'RAW (公開用)'!F296&amp;", "</f>
        <v xml:space="preserve">, ノンバイナリー, 無性, **必ず選んでください**, Xジェンダー, </v>
      </c>
      <c r="H295" s="8"/>
      <c r="I295" s="8" t="str">
        <f>", "&amp;'RAW (公開用)'!H296&amp;", "</f>
        <v xml:space="preserve">, ちゃん, さん, </v>
      </c>
      <c r="J295" s="8" t="s">
        <v>2335</v>
      </c>
      <c r="K29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295" s="8" t="str">
        <f>", "&amp;'RAW (公開用)'!J296&amp;", "</f>
        <v xml:space="preserve">, **英語を日常的に使わない**, </v>
      </c>
      <c r="M295" s="8" t="s">
        <v>2335</v>
      </c>
      <c r="N29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5" s="8" t="str">
        <f>", "&amp;'RAW (公開用)'!L296&amp;", "</f>
        <v xml:space="preserve">, （自分（たち）の名前）, 私（わたし／わたくし）, </v>
      </c>
      <c r="P295" s="8" t="s">
        <v>2335</v>
      </c>
      <c r="Q29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私（わたし／わたくし）,  , </v>
      </c>
      <c r="R295" s="8" t="str">
        <f>", "&amp;'RAW (公開用)'!N295&amp;", "</f>
        <v xml:space="preserve">, （自分（たち）の名前）, （any／問わない／どれでもよい）, </v>
      </c>
      <c r="S295" s="8" t="s">
        <v>2335</v>
      </c>
      <c r="T29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295" s="8" t="str">
        <f>", "&amp;'RAW (公開用)'!P296&amp;", "</f>
        <v xml:space="preserve">, **英語を日常的に使わない**, </v>
      </c>
      <c r="V295" s="8" t="s">
        <v>455</v>
      </c>
      <c r="W295" s="8" t="str">
        <f>", "&amp;'RAW (公開用)'!R296&amp;", "</f>
        <v xml:space="preserve">, カムアウトできない, </v>
      </c>
      <c r="X295" s="8"/>
      <c r="Y29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v>
      </c>
      <c r="Z295" s="8" t="s">
        <v>455</v>
      </c>
      <c r="AA295" s="8" t="str">
        <f>", "&amp;'RAW (公開用)'!U296&amp;", "</f>
        <v xml:space="preserve">, （上記のどれも希望していない）, </v>
      </c>
      <c r="AB295" s="8" t="str">
        <f>", "&amp;'RAW (公開用)'!V296&amp;", "</f>
        <v xml:space="preserve">, （上記のどれも経験していない）, </v>
      </c>
      <c r="AC295" s="8"/>
      <c r="AD29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95" s="8" t="s">
        <v>462</v>
      </c>
      <c r="AF295" s="8" t="s">
        <v>457</v>
      </c>
      <c r="AG295" s="8" t="s">
        <v>458</v>
      </c>
      <c r="AH295" s="8" t="s">
        <v>589</v>
      </c>
      <c r="AI295" s="8">
        <f t="shared" si="12"/>
        <v>3</v>
      </c>
      <c r="AJ295" s="8"/>
      <c r="AK295" s="8"/>
      <c r="AL295" s="8"/>
      <c r="AM295" s="8"/>
      <c r="AN295" s="8"/>
    </row>
    <row r="296" spans="1:40" ht="127.5" hidden="1">
      <c r="A296" s="8">
        <v>296</v>
      </c>
      <c r="B296" s="11">
        <v>44991.489434583331</v>
      </c>
      <c r="C296" s="8" t="s">
        <v>452</v>
      </c>
      <c r="D296" s="8" t="s">
        <v>453</v>
      </c>
      <c r="E296" s="8" t="s">
        <v>452</v>
      </c>
      <c r="F296" s="8" t="s">
        <v>454</v>
      </c>
      <c r="G296" s="8" t="str">
        <f>", "&amp;'RAW (公開用)'!F297&amp;", "</f>
        <v xml:space="preserve">, X, トランス, トランス*／trans*, トランスジェンダー, クィア／Queer, ノンバイナリー, **必ず選んでください**, Xジェンダー, </v>
      </c>
      <c r="H296" s="8"/>
      <c r="I296" s="8" t="str">
        <f>", "&amp;'RAW (公開用)'!H297&amp;", "</f>
        <v xml:space="preserve">, （敬称なし）, （any／問わない／どれでもよい）, さん, くん／君, ちゃん, </v>
      </c>
      <c r="J296" s="8" t="s">
        <v>2335</v>
      </c>
      <c r="K29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（any／問わない／どれでもよい）, さん, くん／君, ちゃん,  , </v>
      </c>
      <c r="L296" s="8" t="str">
        <f>", "&amp;'RAW (公開用)'!J297&amp;", "</f>
        <v xml:space="preserve">, **英語を日常的に使わない**, </v>
      </c>
      <c r="M296" s="8" t="s">
        <v>2335</v>
      </c>
      <c r="N29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6" s="8" t="str">
        <f>", "&amp;'RAW (公開用)'!L297&amp;", "</f>
        <v xml:space="preserve">, 自分, 私（わたし／わたくし）, （一人称の使用を避ける）, </v>
      </c>
      <c r="P296" s="8" t="s">
        <v>2335</v>
      </c>
      <c r="Q29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（一人称の使用を避ける）,  , </v>
      </c>
      <c r="R296" s="8" t="str">
        <f>", "&amp;'RAW (公開用)'!N296&amp;", "</f>
        <v xml:space="preserve">, （自分（たち）の名前）, </v>
      </c>
      <c r="S296" s="8" t="s">
        <v>2335</v>
      </c>
      <c r="T29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296" s="8" t="str">
        <f>", "&amp;'RAW (公開用)'!P297&amp;", "</f>
        <v xml:space="preserve">, **英語を日常的に使わない**, </v>
      </c>
      <c r="V296" s="8" t="s">
        <v>455</v>
      </c>
      <c r="W296" s="8" t="str">
        <f>", "&amp;'RAW (公開用)'!R297&amp;", "</f>
        <v xml:space="preserve">, カムアウトを強制される, 職場や学校における無理解, 必要なジェンダーケアへアクセスできない, 社会の中でいないことにされる, LGBTQ+運動からの排斥, 家族／かぞくからの無理解, トイレなどのジェンダー化されたスペースの使用, カムアウトできない, ミスジェンダリング（誤った性別として扱うこと）, </v>
      </c>
      <c r="X296" s="8" t="s">
        <v>279</v>
      </c>
      <c r="Y29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カムアウトを強制される, 職場や学校における無理解, 必要なジェンダーケアへアクセスできない, 社会の中でいないことにされる, LGBTQ+運動からの排斥, 家族／かぞくからの無理解, トイレなどのジェンダー化されたスペースの使用, カムアウトできない, ミスジェンダリング（誤った性別として扱うこと）,  社会のほとんどの場所がバイナリなのでカムアウトしたところで具体的なメリットはないことが多いが、カムアウトしなければ本当にないものとして扱われるのでメリットが少ないのにカムアウトすることになる。自分が受けたセクシャルハラスメントの経験が「女性の経験」あるいは「バイセクシャル・パンセクシャルの経験」の中に吸収されてしまいノンバイナリーとしての言葉を積み重ねることができない。</v>
      </c>
      <c r="Z296" s="8" t="s">
        <v>455</v>
      </c>
      <c r="AA296" s="8" t="str">
        <f>", "&amp;'RAW (公開用)'!U297&amp;", "</f>
        <v xml:space="preserve">, ホルモン補充療法（HRT）, </v>
      </c>
      <c r="AB296" s="8" t="str">
        <f>", "&amp;'RAW (公開用)'!V297&amp;", "</f>
        <v xml:space="preserve">, （上記のどれも経験していない）, </v>
      </c>
      <c r="AC296" s="8" t="s">
        <v>369</v>
      </c>
      <c r="AD29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外見を変えたいが、変えてしまうと現パートナーとシスヘテロカップルに見えなくなるのでこれまでに経験したことのない差別を受けるかもしれないと思い現状に甘んじている。</v>
      </c>
      <c r="AE296" s="8" t="s">
        <v>456</v>
      </c>
      <c r="AF296" s="8" t="s">
        <v>457</v>
      </c>
      <c r="AG296" s="8" t="s">
        <v>458</v>
      </c>
      <c r="AH296" s="8"/>
      <c r="AI296" s="8">
        <f t="shared" si="12"/>
        <v>7</v>
      </c>
      <c r="AJ296" s="8"/>
      <c r="AK296" s="8"/>
      <c r="AL296" s="8"/>
      <c r="AM296" s="8"/>
      <c r="AN296" s="8"/>
    </row>
    <row r="297" spans="1:40" ht="63.75" hidden="1">
      <c r="A297" s="8">
        <v>8</v>
      </c>
      <c r="B297" s="11">
        <v>44969.79332950231</v>
      </c>
      <c r="C297" s="8" t="s">
        <v>452</v>
      </c>
      <c r="D297" s="8" t="s">
        <v>453</v>
      </c>
      <c r="E297" s="8" t="s">
        <v>452</v>
      </c>
      <c r="F297" s="8" t="s">
        <v>454</v>
      </c>
      <c r="G297" s="8" t="str">
        <f>", "&amp;'RAW (公開用)'!F9&amp;", "</f>
        <v xml:space="preserve">, クィア／Queer, トランス, バイナリー, 女性／woman, トランスフェミニン, トランス女性, トランスジェンダー, </v>
      </c>
      <c r="H297" s="8" t="s">
        <v>465</v>
      </c>
      <c r="I297" s="8" t="str">
        <f>", "&amp;'RAW (公開用)'!H9&amp;", "</f>
        <v xml:space="preserve">, （敬称なし）, （any／問わない／どれでもよい）, ちゃん, さん, </v>
      </c>
      <c r="J297" s="73" t="s">
        <v>2345</v>
      </c>
      <c r="K29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（敬称なし）, （any／問わない／どれでもよい）, ちゃん, さん,  , 様,</v>
      </c>
      <c r="L297" s="8" t="str">
        <f>", "&amp;'RAW (公開用)'!J9&amp;", "</f>
        <v xml:space="preserve">, （any／問わない／どれでもよい）, Ms., </v>
      </c>
      <c r="M297" s="8" t="s">
        <v>2335</v>
      </c>
      <c r="N29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Ms., , </v>
      </c>
      <c r="O297" s="8" t="str">
        <f>", "&amp;'RAW (公開用)'!L9&amp;", "</f>
        <v xml:space="preserve">, （自分（たち）の名前）, 私（わたし／わたくし）, わたし, </v>
      </c>
      <c r="P297" s="73" t="s">
        <v>2407</v>
      </c>
      <c r="Q29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私（わたし／わたくし）, わたし,  , おれ（方言の文脈で）,</v>
      </c>
      <c r="R297" s="8" t="str">
        <f>", "&amp;'RAW (公開用)'!N297&amp;", "</f>
        <v xml:space="preserve">, （any／問わない／どれでもよい）, </v>
      </c>
      <c r="S297" s="8" t="s">
        <v>2335</v>
      </c>
      <c r="T29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297" s="8" t="str">
        <f>", "&amp;'RAW (公開用)'!P9&amp;", "</f>
        <v xml:space="preserve">, they/them/their/themself, she, any/問わない/どれでもよい, </v>
      </c>
      <c r="V297" s="8" t="s">
        <v>455</v>
      </c>
      <c r="W297" s="8" t="str">
        <f>", "&amp;'RAW (公開用)'!R9&amp;", "</f>
        <v xml:space="preserve">, アウティング（勝手にジェンダーや指向についての情報を明かされること）, 社会の中でいないことにされる, トイレなどのジェンダー化されたスペースの使用, カムアウトできない, カムアウトを強制される, 性暴力, ミスジェンダリング（誤った性別として扱うこと）, 必要なジェンダーケアへアクセスできない, </v>
      </c>
      <c r="X297" s="8" t="s">
        <v>215</v>
      </c>
      <c r="Y29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アウティング（勝手にジェンダーや指向についての情報を明かされること）, 社会の中でいないことにされる, トイレなどのジェンダー化されたスペースの使用, カムアウトできない, カムアウトを強制される, 性暴力, ミスジェンダリング（誤った性別として扱うこと）, 必要なジェンダーケアへアクセスできない,  カムアウトを避けられる</v>
      </c>
      <c r="Z297" s="8" t="s">
        <v>455</v>
      </c>
      <c r="AA297" s="8" t="str">
        <f>", "&amp;'RAW (公開用)'!U9&amp;", "</f>
        <v xml:space="preserve">, 戸籍上の性別の変更, ジェンダークリニックの受診, 抗ホルモン療法, ホルモン補充療法（HRT）, 性器にかかわる手術, </v>
      </c>
      <c r="AB297" s="8" t="str">
        <f>", "&amp;'RAW (公開用)'!V9&amp;", "</f>
        <v xml:space="preserve">, ホルモン補充療法（HRT）, </v>
      </c>
      <c r="AC297" s="8" t="s">
        <v>380</v>
      </c>
      <c r="AD297" s="8" t="str">
        <f>テーブル1[[#This Row],[以下のうち、経験したものをすべて選んでください]]&amp;" "&amp;テーブル1[[#This Row],[社会的、法的、医学的トランジションについて、困難なこと等がありましたらここにお書きください]]</f>
        <v>, ホルモン補充療法（HRT）,  信頼できるジェンダークリニックへのアクセス</v>
      </c>
      <c r="AE297" s="8" t="s">
        <v>466</v>
      </c>
      <c r="AF297" s="8" t="s">
        <v>457</v>
      </c>
      <c r="AG297" s="8" t="s">
        <v>458</v>
      </c>
      <c r="AH297" s="8" t="s">
        <v>467</v>
      </c>
      <c r="AI297" s="8">
        <f>((LEN(G297)-LEN(SUBSTITUTE(G297,", ","")))/LEN(", ")-1-(LEN(G297)-LEN(SUBSTITUTE(G297,"必ず","")))/LEN("必ず"))+(LEN(H297)-LEN(SUBSTITUTE(H297,",","")))</f>
        <v>8</v>
      </c>
      <c r="AJ297" s="8"/>
      <c r="AK297" s="8"/>
      <c r="AL297" s="8"/>
      <c r="AM297" s="8"/>
      <c r="AN297" s="8"/>
    </row>
    <row r="298" spans="1:40" ht="25.5" hidden="1">
      <c r="A298" s="8">
        <v>298</v>
      </c>
      <c r="B298" s="11">
        <v>44991.51264778935</v>
      </c>
      <c r="C298" s="8" t="s">
        <v>452</v>
      </c>
      <c r="D298" s="8" t="s">
        <v>453</v>
      </c>
      <c r="E298" s="8" t="s">
        <v>452</v>
      </c>
      <c r="F298" s="8" t="s">
        <v>454</v>
      </c>
      <c r="G298" s="8" t="str">
        <f>", "&amp;'RAW (公開用)'!F299&amp;", "</f>
        <v xml:space="preserve">, **必ず選んでください**, Aジェンダー／エイジェンダー／アジェンダー／agender, 無性, 不明／わからない, ノンバイナリー, 少女, </v>
      </c>
      <c r="H298" s="8"/>
      <c r="I298" s="8" t="str">
        <f>", "&amp;'RAW (公開用)'!H299&amp;", "</f>
        <v xml:space="preserve">, さん, くん／君, ちゃん, </v>
      </c>
      <c r="J298" s="8" t="s">
        <v>2335</v>
      </c>
      <c r="K29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ちゃん,  , </v>
      </c>
      <c r="L298" s="8" t="str">
        <f>", "&amp;'RAW (公開用)'!J299&amp;", "</f>
        <v xml:space="preserve">, Dr.など、職業などにかかわるもの, -san, Mx., </v>
      </c>
      <c r="M298" s="8" t="s">
        <v>2335</v>
      </c>
      <c r="N29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-san, Mx., , </v>
      </c>
      <c r="O298" s="8" t="str">
        <f>", "&amp;'RAW (公開用)'!L299&amp;", "</f>
        <v xml:space="preserve">, 私（わたし／わたくし）, 僕, わたし, ぼく, </v>
      </c>
      <c r="P298" s="8" t="s">
        <v>2335</v>
      </c>
      <c r="Q29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僕, わたし, ぼく,  , </v>
      </c>
      <c r="R298" s="8" t="str">
        <f>", "&amp;'RAW (公開用)'!N298&amp;", "</f>
        <v xml:space="preserve">, （三人称で言及してほしくない）, </v>
      </c>
      <c r="S298" s="8" t="s">
        <v>2335</v>
      </c>
      <c r="T29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298" s="8" t="str">
        <f>", "&amp;'RAW (公開用)'!P299&amp;", "</f>
        <v xml:space="preserve">, （クエスチョニング、模索中、または不明）, </v>
      </c>
      <c r="V298" s="8" t="s">
        <v>455</v>
      </c>
      <c r="W298" s="8" t="str">
        <f>", "&amp;'RAW (公開用)'!R299&amp;", "</f>
        <v xml:space="preserve">, ミスジェンダリング（誤った性別として扱うこと）, 性暴力, 社会の中でいないことにされる, </v>
      </c>
      <c r="X298" s="8"/>
      <c r="Y29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性暴力, 社会の中でいないことにされる,  </v>
      </c>
      <c r="Z298" s="8" t="s">
        <v>455</v>
      </c>
      <c r="AA298" s="8" t="str">
        <f>", "&amp;'RAW (公開用)'!U299&amp;", "</f>
        <v xml:space="preserve">, （上記のどれも希望していない）, </v>
      </c>
      <c r="AB298" s="8" t="str">
        <f>", "&amp;'RAW (公開用)'!V299&amp;", "</f>
        <v xml:space="preserve">, （上記のどれも経験していない）, </v>
      </c>
      <c r="AC298" s="8"/>
      <c r="AD29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298" s="8" t="s">
        <v>459</v>
      </c>
      <c r="AF298" s="8" t="s">
        <v>457</v>
      </c>
      <c r="AG298" s="8"/>
      <c r="AH298" s="8"/>
      <c r="AI298" s="8">
        <f t="shared" ref="AI298:AI310" si="13">(LEN(G298)-LEN(SUBSTITUTE(G298,", ","")))/LEN(", ")-1-(LEN(G298)-LEN(SUBSTITUTE(G298,"必ず","")))/LEN("必ず")</f>
        <v>5</v>
      </c>
      <c r="AJ298" s="8"/>
      <c r="AK298" s="8"/>
      <c r="AL298" s="8"/>
      <c r="AM298" s="8"/>
      <c r="AN298" s="8"/>
    </row>
    <row r="299" spans="1:40" ht="89.25" hidden="1">
      <c r="A299" s="8">
        <v>299</v>
      </c>
      <c r="B299" s="11">
        <v>44991.515234282408</v>
      </c>
      <c r="C299" s="8" t="s">
        <v>452</v>
      </c>
      <c r="D299" s="8" t="s">
        <v>453</v>
      </c>
      <c r="E299" s="8" t="s">
        <v>452</v>
      </c>
      <c r="F299" s="8" t="s">
        <v>454</v>
      </c>
      <c r="G299" s="8" t="str">
        <f>", "&amp;'RAW (公開用)'!F300&amp;", "</f>
        <v xml:space="preserve">, 女性／woman, 中性, </v>
      </c>
      <c r="H299" s="8"/>
      <c r="I299" s="8" t="str">
        <f>", "&amp;'RAW (公開用)'!H300&amp;", "</f>
        <v xml:space="preserve">, さん, </v>
      </c>
      <c r="J299" s="8" t="s">
        <v>2335</v>
      </c>
      <c r="K29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299" s="8" t="str">
        <f>", "&amp;'RAW (公開用)'!J300&amp;", "</f>
        <v xml:space="preserve">, **英語を日常的に使わない**, </v>
      </c>
      <c r="M299" s="8" t="s">
        <v>2335</v>
      </c>
      <c r="N29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299" s="8" t="str">
        <f>", "&amp;'RAW (公開用)'!L300&amp;", "</f>
        <v xml:space="preserve">, 私（わたし／わたくし）, </v>
      </c>
      <c r="P299" s="8" t="s">
        <v>2335</v>
      </c>
      <c r="Q29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299" s="8" t="str">
        <f>", "&amp;'RAW (公開用)'!N299&amp;", "</f>
        <v xml:space="preserve">, （三人称で言及してほしくない）, （自分（たち）の名前）, </v>
      </c>
      <c r="S299" s="8" t="s">
        <v>2335</v>
      </c>
      <c r="T29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299" s="8" t="str">
        <f>", "&amp;'RAW (公開用)'!P300&amp;", "</f>
        <v xml:space="preserve">, **英語を日常的に使わない**, </v>
      </c>
      <c r="V299" s="8" t="s">
        <v>455</v>
      </c>
      <c r="W299" s="8" t="str">
        <f>", "&amp;'RAW (公開用)'!R300&amp;", "</f>
        <v xml:space="preserve">, 性暴力, ミスジェンダリング（誤った性別として扱うこと）, 必要なジェンダーケアへアクセスできない, トイレなどのジェンダー化されたスペースの使用, 医療における無理解, 社会の中でいないことにされる, 職場や学校における無理解, アウティング（勝手にジェンダーや指向についての情報を明かされること）, デッドネーミング（誤った名前で呼ばれること）, </v>
      </c>
      <c r="X299" s="8" t="s">
        <v>225</v>
      </c>
      <c r="Y29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ミスジェンダリング（誤った性別として扱うこと）, 必要なジェンダーケアへアクセスできない, トイレなどのジェンダー化されたスペースの使用, 医療における無理解, 社会の中でいないことにされる, 職場や学校における無理解, アウティング（勝手にジェンダーや指向についての情報を明かされること）, デッドネーミング（誤った名前で呼ばれること）,  トランス女性であるというだけで世の中のあらゆる場所から排除され、変態・性犯罪者呼ばわりされたり、猛獣扱いされたりすること</v>
      </c>
      <c r="Z299" s="8" t="s">
        <v>455</v>
      </c>
      <c r="AA299" s="8" t="str">
        <f>", "&amp;'RAW (公開用)'!U300&amp;", "</f>
        <v xml:space="preserve">, 戸籍名の変更, 戸籍上の性別の変更, ジェンダークリニックの受診, 抗ホルモン療法, ホルモン補充療法（HRT）, 顔にかかわる手術, 性器にかかわる手術, </v>
      </c>
      <c r="AB299" s="8" t="str">
        <f>", "&amp;'RAW (公開用)'!V300&amp;", "</f>
        <v xml:space="preserve">, 戸籍名の変更, 戸籍上の性別の変更, ジェンダークリニックの受診, ホルモン補充療法（HRT）, 性器にかかわる手術, </v>
      </c>
      <c r="AC299" s="8" t="s">
        <v>391</v>
      </c>
      <c r="AD299" s="8" t="str">
        <f>テーブル1[[#This Row],[以下のうち、経験したものをすべて選んでください]]&amp;" "&amp;テーブル1[[#This Row],[社会的、法的、医学的トランジションについて、困難なこと等がありましたらここにお書きください]]</f>
        <v>, 戸籍名の変更, 戸籍上の性別の変更, ジェンダークリニックの受診, ホルモン補充療法（HRT）, 性器にかかわる手術,  ホルモン治療が保険未適用であり、医療費が高額になること。私の住んでいる地域（広島）ではトランスジェンダーに関連する医療を受けられるところが少ないこと</v>
      </c>
      <c r="AE299" s="8" t="s">
        <v>464</v>
      </c>
      <c r="AF299" s="8" t="s">
        <v>457</v>
      </c>
      <c r="AG299" s="8" t="s">
        <v>458</v>
      </c>
      <c r="AH299" s="8"/>
      <c r="AI299" s="8">
        <f t="shared" si="13"/>
        <v>2</v>
      </c>
      <c r="AJ299" s="8"/>
      <c r="AK299" s="8"/>
      <c r="AL299" s="8"/>
      <c r="AM299" s="8"/>
      <c r="AN299" s="8"/>
    </row>
    <row r="300" spans="1:40" ht="114.75" hidden="1">
      <c r="A300" s="8">
        <v>352</v>
      </c>
      <c r="B300" s="11">
        <v>44991.965785509259</v>
      </c>
      <c r="C300" s="8" t="s">
        <v>452</v>
      </c>
      <c r="D300" s="8" t="s">
        <v>453</v>
      </c>
      <c r="E300" s="8" t="s">
        <v>452</v>
      </c>
      <c r="F300" s="8" t="s">
        <v>454</v>
      </c>
      <c r="G300" s="8" t="str">
        <f>", "&amp;'RAW (公開用)'!F353&amp;", "</f>
        <v xml:space="preserve">, 中性, X, **必ず選んでください**, ノンバイナリー, Xジェンダー, ノンバイナリー男性, </v>
      </c>
      <c r="H300" s="8"/>
      <c r="I300" s="8" t="str">
        <f>", "&amp;'RAW (公開用)'!H353&amp;", "</f>
        <v xml:space="preserve">, さん, たん, ちゃん, </v>
      </c>
      <c r="J300" s="8" t="s">
        <v>2335</v>
      </c>
      <c r="K30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たん, ちゃん,  , </v>
      </c>
      <c r="L300" s="8" t="str">
        <f>", "&amp;'RAW (公開用)'!J353&amp;", "</f>
        <v xml:space="preserve">, **英語を日常的に使わない**, Mx., </v>
      </c>
      <c r="M300" s="8" t="s">
        <v>2335</v>
      </c>
      <c r="N30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Mx., , </v>
      </c>
      <c r="O300" s="8" t="str">
        <f>", "&amp;'RAW (公開用)'!L353&amp;", "</f>
        <v xml:space="preserve">, うち, わたし, （自分（たち）の名前）, あたし, （一人称の使用を避ける）, 私（わたし／わたくし）, </v>
      </c>
      <c r="P300" s="73" t="s">
        <v>2408</v>
      </c>
      <c r="Q30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うち, わたし, （自分（たち）の名前）, あたし, （一人称の使用を避ける）, 私（わたし／わたくし）,  , 当方,</v>
      </c>
      <c r="R300" s="8" t="str">
        <f>", "&amp;'RAW (公開用)'!N300&amp;", "</f>
        <v xml:space="preserve">, 彼女, （三人称で言及してほしくない）, </v>
      </c>
      <c r="S300" s="8" t="s">
        <v>2354</v>
      </c>
      <c r="T30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（三人称で言及してほしくない）,  , {この/その/あの}+人, {この/その/あの}+子,</v>
      </c>
      <c r="U300" s="8" t="str">
        <f>", "&amp;'RAW (公開用)'!P353&amp;", "</f>
        <v xml:space="preserve">, they/them/their/themself, they/them/their/themselves, **英語を日常的に使わない**, </v>
      </c>
      <c r="V300" s="8" t="s">
        <v>455</v>
      </c>
      <c r="W300" s="8" t="str">
        <f>", "&amp;'RAW (公開用)'!R353&amp;", "</f>
        <v xml:space="preserve">, 医療における無理解, 家族／かぞくからの無理解, アウティング（勝手にジェンダーや指向についての情報を明かされること）, カムアウトを強制される, 社会の中でいないことにされる, カムアウトできない, LGBTQ+運動からの排斥, 職場や学校における無理解, 必要なジェンダーケアへアクセスできない, </v>
      </c>
      <c r="X300" s="8" t="s">
        <v>208</v>
      </c>
      <c r="Y30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医療における無理解, 家族／かぞくからの無理解, アウティング（勝手にジェンダーや指向についての情報を明かされること）, カムアウトを強制される, 社会の中でいないことにされる, カムアウトできない, LGBTQ+運動からの排斥, 職場や学校における無理解, 必要なジェンダーケアへアクセスできない,  Xジェンダーやノンバイナリー，中性，両性は、どちらからも理解されにくい。
男or女の二元的に生きてる人達からも理解されにくいし、性同一性障害等の方々からも理解されにくい。
どっち付かずな中途半端な人だとか、優柔不断だとか、なんとなくファッションでそんなこと言ってるだけだとか、色々と揶揄される事が多い。</v>
      </c>
      <c r="Z300" s="8" t="s">
        <v>455</v>
      </c>
      <c r="AA300" s="8" t="str">
        <f>", "&amp;'RAW (公開用)'!U353&amp;", "</f>
        <v xml:space="preserve">, 戸籍上の性別の変更, </v>
      </c>
      <c r="AB300" s="8" t="str">
        <f>", "&amp;'RAW (公開用)'!V353&amp;", "</f>
        <v xml:space="preserve">, （上記のどれも経験していない）, </v>
      </c>
      <c r="AC300" s="8" t="s">
        <v>418</v>
      </c>
      <c r="AD30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Xジェンダーやノンバイナリー，中性，両性の場合、特に性転換を必要とせず、また恋愛対象も身体的性別から見て異性となる人が好きであったり、ファッションが中性的であるとか、あまり要求が多くないため、理解されにくい。
これにより、私としては戸籍を前述に該当する『X』へ変更可能なら変更したいが、そのようなものが今のところ日本では公的には存在しない。
医学的な事は、カウンセリングを除けば特に必要としていないので、あまり言及できるところは無いと思う。</v>
      </c>
      <c r="AE300" s="8" t="s">
        <v>479</v>
      </c>
      <c r="AF300" s="8" t="s">
        <v>457</v>
      </c>
      <c r="AG300" s="8" t="s">
        <v>458</v>
      </c>
      <c r="AH300" s="8" t="s">
        <v>608</v>
      </c>
      <c r="AI300" s="8">
        <f t="shared" si="13"/>
        <v>5</v>
      </c>
      <c r="AJ300" s="8"/>
      <c r="AK300" s="8"/>
      <c r="AL300" s="8"/>
      <c r="AM300" s="8"/>
      <c r="AN300" s="8"/>
    </row>
    <row r="301" spans="1:40" ht="25.5" hidden="1">
      <c r="A301" s="8">
        <v>301</v>
      </c>
      <c r="B301" s="11">
        <v>44991.520590601853</v>
      </c>
      <c r="C301" s="8" t="s">
        <v>452</v>
      </c>
      <c r="D301" s="8" t="s">
        <v>453</v>
      </c>
      <c r="E301" s="8" t="s">
        <v>452</v>
      </c>
      <c r="F301" s="8" t="s">
        <v>454</v>
      </c>
      <c r="G301" s="8" t="str">
        <f>", "&amp;'RAW (公開用)'!F302&amp;", "</f>
        <v xml:space="preserve">, ノンバイナリー, </v>
      </c>
      <c r="H301" s="8"/>
      <c r="I301" s="8" t="str">
        <f>", "&amp;'RAW (公開用)'!H302&amp;", "</f>
        <v xml:space="preserve">, さん, </v>
      </c>
      <c r="J301" s="8" t="s">
        <v>2335</v>
      </c>
      <c r="K30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01" s="8" t="str">
        <f>", "&amp;'RAW (公開用)'!J302&amp;", "</f>
        <v xml:space="preserve">, **英語を日常的に使わない**, </v>
      </c>
      <c r="M301" s="8" t="s">
        <v>2335</v>
      </c>
      <c r="N30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1" s="8" t="str">
        <f>", "&amp;'RAW (公開用)'!L302&amp;", "</f>
        <v xml:space="preserve">, 私（わたし／わたくし）, 自分, </v>
      </c>
      <c r="P301" s="8" t="s">
        <v>2335</v>
      </c>
      <c r="Q30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301" s="8" t="str">
        <f>", "&amp;'RAW (公開用)'!N301&amp;", "</f>
        <v xml:space="preserve">, （自分（たち）の名前）, （any／問わない／どれでもよい）, </v>
      </c>
      <c r="S301" s="8" t="s">
        <v>2335</v>
      </c>
      <c r="T30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301" s="8" t="str">
        <f>", "&amp;'RAW (公開用)'!P302&amp;", "</f>
        <v xml:space="preserve">, **英語を日常的に使わない**, </v>
      </c>
      <c r="V301" s="8" t="s">
        <v>455</v>
      </c>
      <c r="W301" s="8" t="str">
        <f>", "&amp;'RAW (公開用)'!R302&amp;", "</f>
        <v xml:space="preserve">, 必要なジェンダーケアへアクセスできない, 社会の中でいないことにされる, ミスジェンダリング（誤った性別として扱うこと）, </v>
      </c>
      <c r="X301" s="8"/>
      <c r="Y30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社会の中でいないことにされる, ミスジェンダリング（誤った性別として扱うこと）,  </v>
      </c>
      <c r="Z301" s="8" t="s">
        <v>455</v>
      </c>
      <c r="AA301" s="8" t="str">
        <f>", "&amp;'RAW (公開用)'!U302&amp;", "</f>
        <v xml:space="preserve">, ジェンダークリニックの受診, 胸部の手術, </v>
      </c>
      <c r="AB301" s="8" t="str">
        <f>", "&amp;'RAW (公開用)'!V302&amp;", "</f>
        <v xml:space="preserve">, （上記のどれも経験していない）, </v>
      </c>
      <c r="AC301" s="8"/>
      <c r="AD30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01" s="8" t="s">
        <v>456</v>
      </c>
      <c r="AF301" s="8" t="s">
        <v>457</v>
      </c>
      <c r="AG301" s="8" t="s">
        <v>458</v>
      </c>
      <c r="AH301" s="8"/>
      <c r="AI301" s="8">
        <f t="shared" si="13"/>
        <v>1</v>
      </c>
      <c r="AJ301" s="8"/>
      <c r="AK301" s="8"/>
      <c r="AL301" s="8"/>
      <c r="AM301" s="8"/>
      <c r="AN301" s="8"/>
    </row>
    <row r="302" spans="1:40" ht="38.25" hidden="1">
      <c r="A302" s="8">
        <v>302</v>
      </c>
      <c r="B302" s="11">
        <v>44991.520707037038</v>
      </c>
      <c r="C302" s="8" t="s">
        <v>452</v>
      </c>
      <c r="D302" s="8" t="s">
        <v>453</v>
      </c>
      <c r="E302" s="8" t="s">
        <v>452</v>
      </c>
      <c r="F302" s="8" t="s">
        <v>454</v>
      </c>
      <c r="G302" s="8" t="str">
        <f>", "&amp;'RAW (公開用)'!F303&amp;", "</f>
        <v xml:space="preserve">, ノンバイナリー, ノンバイナリー男性, 中性, トランスマスキュリン, クィア／Queer, </v>
      </c>
      <c r="H302" s="8"/>
      <c r="I302" s="8" t="str">
        <f>", "&amp;'RAW (公開用)'!H303&amp;", "</f>
        <v xml:space="preserve">, くん／君, さん, （敬称なし）, </v>
      </c>
      <c r="J302" s="8" t="s">
        <v>2335</v>
      </c>
      <c r="K30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（敬称なし）,  , </v>
      </c>
      <c r="L302" s="8" t="str">
        <f>", "&amp;'RAW (公開用)'!J303&amp;", "</f>
        <v xml:space="preserve">, **英語を日常的に使わない**, </v>
      </c>
      <c r="M302" s="8" t="s">
        <v>2335</v>
      </c>
      <c r="N30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2" s="8" t="str">
        <f>", "&amp;'RAW (公開用)'!L303&amp;", "</f>
        <v xml:space="preserve">, おれ, ぼく, 自分, </v>
      </c>
      <c r="P302" s="8" t="s">
        <v>2335</v>
      </c>
      <c r="Q30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ぼく, 自分,  , </v>
      </c>
      <c r="R302" s="8" t="str">
        <f>", "&amp;'RAW (公開用)'!N302&amp;", "</f>
        <v xml:space="preserve">, （any／問わない／どれでもよい）, </v>
      </c>
      <c r="S302" s="8" t="s">
        <v>2335</v>
      </c>
      <c r="T30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302" s="8" t="str">
        <f>", "&amp;'RAW (公開用)'!P303&amp;", "</f>
        <v xml:space="preserve">, **英語を日常的に使わない**, </v>
      </c>
      <c r="V302" s="8" t="s">
        <v>455</v>
      </c>
      <c r="W302" s="8" t="str">
        <f>", "&amp;'RAW (公開用)'!R303&amp;", "</f>
        <v xml:space="preserve">, 医療における無理解, 社会の中でいないことにされる, カムアウトできない, 家族／かぞくからの無理解, ミスジェンダリング（誤った性別として扱うこと）, </v>
      </c>
      <c r="X302" s="8"/>
      <c r="Y30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社会の中でいないことにされる, カムアウトできない, 家族／かぞくからの無理解, ミスジェンダリング（誤った性別として扱うこと）,  </v>
      </c>
      <c r="Z302" s="8" t="s">
        <v>455</v>
      </c>
      <c r="AA302" s="8" t="str">
        <f>", "&amp;'RAW (公開用)'!U303&amp;", "</f>
        <v xml:space="preserve">, 戸籍名の変更, 戸籍上の性別の変更, ジェンダークリニックの受診, ホルモン補充療法（HRT）, 胸部の手術, </v>
      </c>
      <c r="AB302" s="8" t="str">
        <f>", "&amp;'RAW (公開用)'!V303&amp;", "</f>
        <v xml:space="preserve">, 戸籍名の変更, ジェンダークリニックの受診, ホルモン補充療法（HRT）, </v>
      </c>
      <c r="AC302" s="8" t="s">
        <v>377</v>
      </c>
      <c r="AD302"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医学的なトランジションにとにかくお金がかかる。戸籍上の性別変更のハードルがとても高い。</v>
      </c>
      <c r="AE302" s="8" t="s">
        <v>462</v>
      </c>
      <c r="AF302" s="8" t="s">
        <v>457</v>
      </c>
      <c r="AG302" s="8" t="s">
        <v>458</v>
      </c>
      <c r="AH302" s="8"/>
      <c r="AI302" s="8">
        <f t="shared" si="13"/>
        <v>5</v>
      </c>
      <c r="AJ302" s="8"/>
      <c r="AK302" s="8"/>
      <c r="AL302" s="8"/>
      <c r="AM302" s="8"/>
      <c r="AN302" s="8"/>
    </row>
    <row r="303" spans="1:40" ht="25.5" hidden="1">
      <c r="A303" s="8">
        <v>303</v>
      </c>
      <c r="B303" s="11">
        <v>44991.529128078706</v>
      </c>
      <c r="C303" s="8" t="s">
        <v>452</v>
      </c>
      <c r="D303" s="8" t="s">
        <v>453</v>
      </c>
      <c r="E303" s="8" t="s">
        <v>452</v>
      </c>
      <c r="F303" s="8" t="s">
        <v>454</v>
      </c>
      <c r="G303" s="8" t="str">
        <f>", "&amp;'RAW (公開用)'!F304&amp;", "</f>
        <v xml:space="preserve">, ノンバイナリー, Xジェンダー, 不明／わからない, </v>
      </c>
      <c r="H303" s="8"/>
      <c r="I303" s="8" t="str">
        <f>", "&amp;'RAW (公開用)'!H304&amp;", "</f>
        <v xml:space="preserve">, （any／問わない／どれでもよい）, </v>
      </c>
      <c r="J303" s="8" t="s">
        <v>2335</v>
      </c>
      <c r="K30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03" s="8" t="str">
        <f>", "&amp;'RAW (公開用)'!J304&amp;", "</f>
        <v xml:space="preserve">, **英語を日常的に使わない**, </v>
      </c>
      <c r="M303" s="8" t="s">
        <v>2335</v>
      </c>
      <c r="N30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3" s="8" t="str">
        <f>", "&amp;'RAW (公開用)'!L304&amp;", "</f>
        <v xml:space="preserve">, 私（わたし／わたくし）, </v>
      </c>
      <c r="P303" s="8" t="s">
        <v>2335</v>
      </c>
      <c r="Q30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03" s="8" t="str">
        <f>", "&amp;'RAW (公開用)'!N303&amp;", "</f>
        <v xml:space="preserve">, （三人称で言及してほしくない）, （自分（たち）の名前）, </v>
      </c>
      <c r="S303" s="8" t="s">
        <v>2335</v>
      </c>
      <c r="T30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03" s="8" t="str">
        <f>", "&amp;'RAW (公開用)'!P304&amp;", "</f>
        <v xml:space="preserve">, **英語を日常的に使わない**, </v>
      </c>
      <c r="V303" s="8" t="s">
        <v>455</v>
      </c>
      <c r="W303" s="8" t="str">
        <f>", "&amp;'RAW (公開用)'!R304&amp;", "</f>
        <v xml:space="preserve">, 社会の中でいないことにされる, デッドネーミング（誤った名前で呼ばれること）, ミスジェンダリング（誤った性別として扱うこと）, </v>
      </c>
      <c r="X303" s="8"/>
      <c r="Y30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デッドネーミング（誤った名前で呼ばれること）, ミスジェンダリング（誤った性別として扱うこと）,  </v>
      </c>
      <c r="Z303" s="8" t="s">
        <v>455</v>
      </c>
      <c r="AA303" s="8" t="str">
        <f>", "&amp;'RAW (公開用)'!U304&amp;", "</f>
        <v xml:space="preserve">, （上記のどれも希望していない）, </v>
      </c>
      <c r="AB303" s="8" t="str">
        <f>", "&amp;'RAW (公開用)'!V304&amp;", "</f>
        <v xml:space="preserve">, （上記のどれも経験していない）, </v>
      </c>
      <c r="AC303" s="8"/>
      <c r="AD30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03" s="8" t="s">
        <v>456</v>
      </c>
      <c r="AF303" s="8" t="s">
        <v>457</v>
      </c>
      <c r="AG303" s="8" t="s">
        <v>458</v>
      </c>
      <c r="AH303" s="8"/>
      <c r="AI303" s="8">
        <f t="shared" si="13"/>
        <v>3</v>
      </c>
      <c r="AJ303" s="8"/>
      <c r="AK303" s="8"/>
      <c r="AL303" s="8"/>
      <c r="AM303" s="8"/>
      <c r="AN303" s="8"/>
    </row>
    <row r="304" spans="1:40" ht="51" hidden="1">
      <c r="A304" s="8">
        <v>219</v>
      </c>
      <c r="B304" s="11">
        <v>44971.535474999997</v>
      </c>
      <c r="C304" s="8" t="s">
        <v>452</v>
      </c>
      <c r="D304" s="8" t="s">
        <v>453</v>
      </c>
      <c r="E304" s="8" t="s">
        <v>452</v>
      </c>
      <c r="F304" s="8" t="s">
        <v>454</v>
      </c>
      <c r="G304" s="8" t="str">
        <f>", "&amp;'RAW (公開用)'!F220&amp;", "</f>
        <v xml:space="preserve">, 不定性, X, Xジェンダー, ジェンダークィア, ノンバイナリー, **必ず選んでください**, ノンバイナリー女性, 中性, クィア／Queer, 無性, </v>
      </c>
      <c r="H304" s="8"/>
      <c r="I304" s="8" t="str">
        <f>", "&amp;'RAW (公開用)'!H220&amp;", "</f>
        <v xml:space="preserve">, くん／君, さん, ちゃん, （敬称なし）, </v>
      </c>
      <c r="J304" s="8" t="s">
        <v>2335</v>
      </c>
      <c r="K30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ちゃん, （敬称なし）,  , </v>
      </c>
      <c r="L304" s="8" t="str">
        <f>", "&amp;'RAW (公開用)'!J220&amp;", "</f>
        <v xml:space="preserve">, **英語を日常的に使わない**, </v>
      </c>
      <c r="M304" s="8" t="s">
        <v>2335</v>
      </c>
      <c r="N30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4" s="8" t="str">
        <f>", "&amp;'RAW (公開用)'!L220&amp;", "</f>
        <v xml:space="preserve">, 自分, （一人称の使用を避ける）, 私（わたし／わたくし）, あたし, わたし, （自分（たち）の名前）, </v>
      </c>
      <c r="P304" s="16" t="s">
        <v>2394</v>
      </c>
      <c r="Q30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 （一人称の使用を避ける）, 私（わたし／わたくし）, あたし, わたし, （自分（たち）の名前）,  , ワイ,</v>
      </c>
      <c r="R304" s="8" t="str">
        <f>", "&amp;'RAW (公開用)'!N304&amp;", "</f>
        <v xml:space="preserve">, （自分（たち）の名前）, </v>
      </c>
      <c r="S304" s="8" t="s">
        <v>2354</v>
      </c>
      <c r="T30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 {この/その/あの}+子,</v>
      </c>
      <c r="U304" s="8" t="str">
        <f>", "&amp;'RAW (公開用)'!P220&amp;", "</f>
        <v xml:space="preserve">, **英語を日常的に使わない**, </v>
      </c>
      <c r="V304" s="8" t="s">
        <v>455</v>
      </c>
      <c r="W304" s="8" t="str">
        <f>", "&amp;'RAW (公開用)'!R220&amp;", "</f>
        <v xml:space="preserve">, 必要なジェンダーケアへアクセスできない, 社会の中でいないことにされる, ミスジェンダリング（誤った性別として扱うこと）, カムアウトできない, 職場や学校における無理解, トイレなどのジェンダー化されたスペースの使用, </v>
      </c>
      <c r="X304" s="8" t="s">
        <v>213</v>
      </c>
      <c r="Y30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社会の中でいないことにされる, ミスジェンダリング（誤った性別として扱うこと）, カムアウトできない, 職場や学校における無理解, トイレなどのジェンダー化されたスペースの使用,  カムアウトしたことを忘れられる</v>
      </c>
      <c r="Z304" s="8" t="s">
        <v>455</v>
      </c>
      <c r="AA304" s="8" t="str">
        <f>", "&amp;'RAW (公開用)'!U220&amp;", "</f>
        <v xml:space="preserve">, （上記のどれも希望していない）, </v>
      </c>
      <c r="AB304" s="8" t="str">
        <f>", "&amp;'RAW (公開用)'!V220&amp;", "</f>
        <v xml:space="preserve">, （上記のどれも経験していない）, </v>
      </c>
      <c r="AC304" s="8"/>
      <c r="AD30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04" s="8" t="s">
        <v>456</v>
      </c>
      <c r="AF304" s="8" t="s">
        <v>457</v>
      </c>
      <c r="AG304" s="8" t="s">
        <v>458</v>
      </c>
      <c r="AH304" s="8"/>
      <c r="AI304" s="8">
        <f t="shared" si="13"/>
        <v>9</v>
      </c>
      <c r="AJ304" s="8"/>
      <c r="AK304" s="8"/>
      <c r="AL304" s="8"/>
      <c r="AM304" s="8"/>
      <c r="AN304" s="8"/>
    </row>
    <row r="305" spans="1:40" ht="25.5" hidden="1">
      <c r="A305" s="8">
        <v>305</v>
      </c>
      <c r="B305" s="11">
        <v>44991.55313586806</v>
      </c>
      <c r="C305" s="8" t="s">
        <v>452</v>
      </c>
      <c r="D305" s="8" t="s">
        <v>453</v>
      </c>
      <c r="E305" s="8" t="s">
        <v>452</v>
      </c>
      <c r="F305" s="8" t="s">
        <v>454</v>
      </c>
      <c r="G305" s="8" t="str">
        <f>", "&amp;'RAW (公開用)'!F306&amp;", "</f>
        <v xml:space="preserve">, 両性, トランスジェンダー, ニュートラル, X, トランス女性, ジェンダーレス, </v>
      </c>
      <c r="H305" s="8" t="s">
        <v>593</v>
      </c>
      <c r="I305" s="8" t="str">
        <f>", "&amp;'RAW (公開用)'!H306&amp;", "</f>
        <v xml:space="preserve">, （any／問わない／どれでもよい）, くん／君, さん, </v>
      </c>
      <c r="J305" s="8" t="s">
        <v>2335</v>
      </c>
      <c r="K30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くん／君, さん,  , </v>
      </c>
      <c r="L305" s="8" t="str">
        <f>", "&amp;'RAW (公開用)'!J306&amp;", "</f>
        <v xml:space="preserve">, （any／問わない／どれでもよい）, </v>
      </c>
      <c r="M305" s="8" t="s">
        <v>2335</v>
      </c>
      <c r="N30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305" s="8" t="str">
        <f>", "&amp;'RAW (公開用)'!L306&amp;", "</f>
        <v xml:space="preserve">, 僕, 俺, </v>
      </c>
      <c r="P305" s="8" t="s">
        <v>2335</v>
      </c>
      <c r="Q30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俺,  , </v>
      </c>
      <c r="R305" s="8" t="str">
        <f>", "&amp;'RAW (公開用)'!N305&amp;", "</f>
        <v xml:space="preserve">, （自分（たち）の名前）, （三人称で言及してほしくない）, </v>
      </c>
      <c r="S305" s="8" t="s">
        <v>2335</v>
      </c>
      <c r="T30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305" s="8" t="str">
        <f>", "&amp;'RAW (公開用)'!P306&amp;", "</f>
        <v xml:space="preserve">, **英語を日常的に使わない**, </v>
      </c>
      <c r="V305" s="8" t="s">
        <v>472</v>
      </c>
      <c r="W305" s="8" t="s">
        <v>2174</v>
      </c>
      <c r="X305" s="8"/>
      <c r="Y30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05" s="8" t="s">
        <v>455</v>
      </c>
      <c r="AA305" s="8" t="str">
        <f>", "&amp;'RAW (公開用)'!U306&amp;", "</f>
        <v xml:space="preserve">, 戸籍上の性別の変更, ジェンダークリニックの受診, 抗ホルモン療法, ホルモン補充療法（HRT）, </v>
      </c>
      <c r="AB305" s="8" t="str">
        <f>", "&amp;'RAW (公開用)'!V306&amp;", "</f>
        <v xml:space="preserve">, ジェンダークリニックの受診, 抗ホルモン療法, ホルモン補充療法（HRT）, </v>
      </c>
      <c r="AC305" s="8"/>
      <c r="AD305"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抗ホルモン療法, ホルモン補充療法（HRT）,  </v>
      </c>
      <c r="AE305" s="8" t="s">
        <v>479</v>
      </c>
      <c r="AF305" s="8" t="s">
        <v>457</v>
      </c>
      <c r="AG305" s="8" t="s">
        <v>458</v>
      </c>
      <c r="AH305" s="8"/>
      <c r="AI305" s="8">
        <f t="shared" si="13"/>
        <v>6</v>
      </c>
      <c r="AJ305" s="8"/>
      <c r="AK305" s="8"/>
      <c r="AL305" s="8"/>
      <c r="AM305" s="8"/>
      <c r="AN305" s="8"/>
    </row>
    <row r="306" spans="1:40" ht="63.75" hidden="1">
      <c r="A306" s="8">
        <v>306</v>
      </c>
      <c r="B306" s="11">
        <v>44991.565624953699</v>
      </c>
      <c r="C306" s="8" t="s">
        <v>452</v>
      </c>
      <c r="D306" s="8" t="s">
        <v>453</v>
      </c>
      <c r="E306" s="8" t="s">
        <v>452</v>
      </c>
      <c r="F306" s="8" t="s">
        <v>454</v>
      </c>
      <c r="G306" s="8" t="str">
        <f>", "&amp;'RAW (公開用)'!F307&amp;", "</f>
        <v xml:space="preserve">, 女性／woman, クィア／Queer, 不明／わからない, シスジェンダー, 不定性, ノンバイナリー, ノンバイナリー女性, **必ず選んでください**, レズビアン（ジェンダーについて）, </v>
      </c>
      <c r="H306" s="8"/>
      <c r="I306" s="8" t="str">
        <f>", "&amp;'RAW (公開用)'!H307&amp;", "</f>
        <v xml:space="preserve">, （クエスチョニング、模索中、または不明）, （any／問わない／どれでもよい）, さん, </v>
      </c>
      <c r="J306" s="8" t="s">
        <v>2335</v>
      </c>
      <c r="K30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（any／問わない／どれでもよい）, さん,  , </v>
      </c>
      <c r="L306" s="8" t="str">
        <f>", "&amp;'RAW (公開用)'!J307&amp;", "</f>
        <v xml:space="preserve">, **英語を日常的に使わない**, </v>
      </c>
      <c r="M306" s="8" t="s">
        <v>2335</v>
      </c>
      <c r="N30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6" s="8" t="str">
        <f>", "&amp;'RAW (公開用)'!L307&amp;", "</f>
        <v xml:space="preserve">, （時とともに変わる）, （クエスチョニング、模索中、または不明）, うち, わたし, （一人称の使用を避ける）, 私（わたし／わたくし）, 自分, </v>
      </c>
      <c r="P306" s="8" t="s">
        <v>2335</v>
      </c>
      <c r="Q30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（クエスチョニング、模索中、または不明）, うち, わたし, （一人称の使用を避ける）, 私（わたし／わたくし）, 自分,  , </v>
      </c>
      <c r="R306" s="8" t="str">
        <f>", "&amp;'RAW (公開用)'!N306&amp;", "</f>
        <v xml:space="preserve">, （any／問わない／どれでもよい）, </v>
      </c>
      <c r="S306" s="8" t="s">
        <v>2335</v>
      </c>
      <c r="T30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306" s="8" t="str">
        <f>", "&amp;'RAW (公開用)'!P307&amp;", "</f>
        <v xml:space="preserve">, **英語を日常的に使わない**, </v>
      </c>
      <c r="V306" s="8" t="s">
        <v>455</v>
      </c>
      <c r="W306" s="8" t="str">
        <f>", "&amp;'RAW (公開用)'!R307&amp;", "</f>
        <v xml:space="preserve">, 社会の中でいないことにされる, カムアウトできない, ミスジェンダリング（誤った性別として扱うこと）, LGBTQ+運動からの排斥, </v>
      </c>
      <c r="X306" s="8"/>
      <c r="Y30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ミスジェンダリング（誤った性別として扱うこと）, LGBTQ+運動からの排斥,  </v>
      </c>
      <c r="Z306" s="8" t="s">
        <v>455</v>
      </c>
      <c r="AA306" s="8" t="str">
        <f>", "&amp;'RAW (公開用)'!U307&amp;", "</f>
        <v xml:space="preserve">, 胸部の手術, 性器にかかわる手術, </v>
      </c>
      <c r="AB306" s="8" t="str">
        <f>", "&amp;'RAW (公開用)'!V307&amp;", "</f>
        <v xml:space="preserve">, （上記のどれも経験していない）, </v>
      </c>
      <c r="AC306" s="8"/>
      <c r="AD30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06" s="8" t="s">
        <v>459</v>
      </c>
      <c r="AF306" s="8" t="s">
        <v>457</v>
      </c>
      <c r="AG306" s="8" t="s">
        <v>458</v>
      </c>
      <c r="AH306" s="8" t="s">
        <v>594</v>
      </c>
      <c r="AI306" s="8">
        <f t="shared" si="13"/>
        <v>8</v>
      </c>
      <c r="AJ306" s="8"/>
      <c r="AK306" s="8"/>
      <c r="AL306" s="8"/>
      <c r="AM306" s="8"/>
      <c r="AN306" s="8"/>
    </row>
    <row r="307" spans="1:40" ht="25.5" hidden="1">
      <c r="A307" s="8">
        <v>307</v>
      </c>
      <c r="B307" s="11">
        <v>44991.578569108795</v>
      </c>
      <c r="C307" s="8" t="s">
        <v>452</v>
      </c>
      <c r="D307" s="8" t="s">
        <v>453</v>
      </c>
      <c r="E307" s="8" t="s">
        <v>452</v>
      </c>
      <c r="F307" s="8" t="s">
        <v>454</v>
      </c>
      <c r="G307" s="8" t="str">
        <f>", "&amp;'RAW (公開用)'!F308&amp;", "</f>
        <v xml:space="preserve">, クエスチョニング, 無し, 不明／わからない, 不定性, **必ず選んでください**, ジェンダー・ノンコンフォーミング／gender non-conforming, </v>
      </c>
      <c r="H307" s="8"/>
      <c r="I307" s="8" t="str">
        <f>", "&amp;'RAW (公開用)'!H308&amp;", "</f>
        <v xml:space="preserve">, さん, </v>
      </c>
      <c r="J307" s="8" t="s">
        <v>2335</v>
      </c>
      <c r="K30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07" s="8" t="str">
        <f>", "&amp;'RAW (公開用)'!J308&amp;", "</f>
        <v xml:space="preserve">, Dr.など、職業などにかかわるもの, -san, </v>
      </c>
      <c r="M307" s="8" t="s">
        <v>2335</v>
      </c>
      <c r="N30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-san, , </v>
      </c>
      <c r="O307" s="8" t="str">
        <f>", "&amp;'RAW (公開用)'!L308&amp;", "</f>
        <v xml:space="preserve">, 俺, おれ, わたし, うち, わし, （時とともに変わる）, 私（わたし／わたくし）, 自分, </v>
      </c>
      <c r="P307" s="8" t="s">
        <v>2335</v>
      </c>
      <c r="Q30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おれ, わたし, うち, わし, （時とともに変わる）, 私（わたし／わたくし）, 自分,  , </v>
      </c>
      <c r="R307" s="8" t="str">
        <f>", "&amp;'RAW (公開用)'!N307&amp;", "</f>
        <v xml:space="preserve">, （三人称で言及してほしくない）, 彼女, （自分（たち）の名前）, </v>
      </c>
      <c r="S307" s="8" t="s">
        <v>2335</v>
      </c>
      <c r="T30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彼女, （自分（たち）の名前）,  , </v>
      </c>
      <c r="U307" s="8" t="str">
        <f>", "&amp;'RAW (公開用)'!P308&amp;", "</f>
        <v xml:space="preserve">, they/them/their/themselves, they/them/their/themself, </v>
      </c>
      <c r="V307" s="8" t="s">
        <v>455</v>
      </c>
      <c r="W307" s="8" t="str">
        <f>", "&amp;'RAW (公開用)'!R308&amp;", "</f>
        <v xml:space="preserve">, 社会の中でいないことにされる, </v>
      </c>
      <c r="X307" s="8"/>
      <c r="Y30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v>
      </c>
      <c r="Z307" s="8" t="s">
        <v>455</v>
      </c>
      <c r="AA307" s="8" t="str">
        <f>", "&amp;'RAW (公開用)'!U308&amp;", "</f>
        <v xml:space="preserve">, （上記のどれも希望していない）, </v>
      </c>
      <c r="AB307" s="8" t="str">
        <f>", "&amp;'RAW (公開用)'!V308&amp;", "</f>
        <v xml:space="preserve">, （上記のどれも経験していない）, </v>
      </c>
      <c r="AC307" s="8" t="s">
        <v>359</v>
      </c>
      <c r="AD30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戸籍からの性別の削除</v>
      </c>
      <c r="AE307" s="8" t="s">
        <v>456</v>
      </c>
      <c r="AF307" s="8" t="s">
        <v>457</v>
      </c>
      <c r="AG307" s="8" t="s">
        <v>458</v>
      </c>
      <c r="AH307" s="8"/>
      <c r="AI307" s="8">
        <f t="shared" si="13"/>
        <v>5</v>
      </c>
      <c r="AJ307" s="8"/>
      <c r="AK307" s="8"/>
      <c r="AL307" s="8"/>
      <c r="AM307" s="8"/>
      <c r="AN307" s="8"/>
    </row>
    <row r="308" spans="1:40" ht="38.25" hidden="1">
      <c r="A308" s="8">
        <v>308</v>
      </c>
      <c r="B308" s="11">
        <v>44991.579249155096</v>
      </c>
      <c r="C308" s="8" t="s">
        <v>452</v>
      </c>
      <c r="D308" s="8" t="s">
        <v>453</v>
      </c>
      <c r="E308" s="8" t="s">
        <v>452</v>
      </c>
      <c r="F308" s="8" t="s">
        <v>454</v>
      </c>
      <c r="G308" s="8" t="str">
        <f>", "&amp;'RAW (公開用)'!F309&amp;", "</f>
        <v xml:space="preserve">, ノンバイナリー女性, **必ず選んでください**, </v>
      </c>
      <c r="H308" s="8"/>
      <c r="I308" s="8" t="str">
        <f>", "&amp;'RAW (公開用)'!H309&amp;", "</f>
        <v xml:space="preserve">, （時とともに変わる）, </v>
      </c>
      <c r="J308" s="8" t="s">
        <v>2335</v>
      </c>
      <c r="K30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 </v>
      </c>
      <c r="L308" s="8" t="str">
        <f>", "&amp;'RAW (公開用)'!J309&amp;", "</f>
        <v xml:space="preserve">, Ms., （時とともに変わる）, </v>
      </c>
      <c r="M308" s="8" t="s">
        <v>2335</v>
      </c>
      <c r="N30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（時とともに変わる）, , </v>
      </c>
      <c r="O308" s="8" t="str">
        <f>", "&amp;'RAW (公開用)'!L309&amp;", "</f>
        <v xml:space="preserve">, 私（わたし／わたくし）, 自分, </v>
      </c>
      <c r="P308" s="8" t="s">
        <v>2335</v>
      </c>
      <c r="Q30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 </v>
      </c>
      <c r="R308" s="8" t="str">
        <f>", "&amp;'RAW (公開用)'!N308&amp;", "</f>
        <v xml:space="preserve">, （自分（たち）の名前）, （三人称で言及してほしくない）, </v>
      </c>
      <c r="S308" s="8" t="s">
        <v>2335</v>
      </c>
      <c r="T30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308" s="8" t="str">
        <f>", "&amp;'RAW (公開用)'!P309&amp;", "</f>
        <v xml:space="preserve">, she, they/them/their/themself, （時とともに変わる）, </v>
      </c>
      <c r="V308" s="8" t="s">
        <v>455</v>
      </c>
      <c r="W308" s="8" t="str">
        <f>", "&amp;'RAW (公開用)'!R309&amp;", "</f>
        <v xml:space="preserve">, LGBTQ+運動からの排斥, カムアウトできない, 社会の中でいないことにされる, </v>
      </c>
      <c r="X308" s="8" t="s">
        <v>269</v>
      </c>
      <c r="Y30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LGBTQ+運動からの排斥, カムアウトできない, 社会の中でいないことにされる,  歳を取るにつれ、結婚や子供を持つことに対する周囲からのプレッシャーがあります。</v>
      </c>
      <c r="Z308" s="8" t="s">
        <v>472</v>
      </c>
      <c r="AA308" s="8" t="s">
        <v>2174</v>
      </c>
      <c r="AB308" s="105" t="s">
        <v>2443</v>
      </c>
      <c r="AC308" s="8"/>
      <c r="AD308"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08" s="8" t="s">
        <v>459</v>
      </c>
      <c r="AF308" s="8"/>
      <c r="AG308" s="8" t="s">
        <v>458</v>
      </c>
      <c r="AH308" s="8"/>
      <c r="AI308" s="8">
        <f t="shared" si="13"/>
        <v>1</v>
      </c>
      <c r="AJ308" s="8"/>
      <c r="AK308" s="8"/>
      <c r="AL308" s="8"/>
      <c r="AM308" s="8"/>
      <c r="AN308" s="8"/>
    </row>
    <row r="309" spans="1:40" ht="25.5" hidden="1">
      <c r="A309" s="8">
        <v>309</v>
      </c>
      <c r="B309" s="11">
        <v>44991.58289612268</v>
      </c>
      <c r="C309" s="8" t="s">
        <v>452</v>
      </c>
      <c r="D309" s="8" t="s">
        <v>453</v>
      </c>
      <c r="E309" s="8" t="s">
        <v>452</v>
      </c>
      <c r="F309" s="8" t="s">
        <v>454</v>
      </c>
      <c r="G309" s="8" t="str">
        <f>", "&amp;'RAW (公開用)'!F310&amp;", "</f>
        <v xml:space="preserve">, 青年, X, Xジェンダー, **必ず選んでください**, </v>
      </c>
      <c r="H309" s="8"/>
      <c r="I309" s="8" t="str">
        <f>", "&amp;'RAW (公開用)'!H310&amp;", "</f>
        <v xml:space="preserve">, さん, </v>
      </c>
      <c r="J309" s="8" t="s">
        <v>2335</v>
      </c>
      <c r="K30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09" s="8" t="str">
        <f>", "&amp;'RAW (公開用)'!J310&amp;", "</f>
        <v xml:space="preserve">, **英語を日常的に使わない**, </v>
      </c>
      <c r="M309" s="8" t="s">
        <v>2335</v>
      </c>
      <c r="N30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09" s="8" t="str">
        <f>", "&amp;'RAW (公開用)'!L310&amp;", "</f>
        <v xml:space="preserve">, あたし, </v>
      </c>
      <c r="P309" s="8" t="s">
        <v>2335</v>
      </c>
      <c r="Q30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 </v>
      </c>
      <c r="R309" s="8" t="str">
        <f>", "&amp;'RAW (公開用)'!N309&amp;", "</f>
        <v xml:space="preserve">, （自分（たち）の名前）, </v>
      </c>
      <c r="S309" s="8" t="s">
        <v>2335</v>
      </c>
      <c r="T30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09" s="8" t="str">
        <f>", "&amp;'RAW (公開用)'!P310&amp;", "</f>
        <v xml:space="preserve">, **英語を日常的に使わない**, </v>
      </c>
      <c r="V309" s="8" t="s">
        <v>455</v>
      </c>
      <c r="W309" s="8" t="str">
        <f>", "&amp;'RAW (公開用)'!R310&amp;", "</f>
        <v xml:space="preserve">, 性暴力, 職場や学校における無理解, 家族／かぞくからの無理解, 社会の中でいないことにされる, ミスジェンダリング（誤った性別として扱うこと）, </v>
      </c>
      <c r="X309" s="8"/>
      <c r="Y30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職場や学校における無理解, 家族／かぞくからの無理解, 社会の中でいないことにされる, ミスジェンダリング（誤った性別として扱うこと）,  </v>
      </c>
      <c r="Z309" s="8" t="s">
        <v>455</v>
      </c>
      <c r="AA309" s="8" t="str">
        <f>", "&amp;'RAW (公開用)'!U310&amp;", "</f>
        <v xml:space="preserve">, 胸部の手術, 性器にかかわる手術, </v>
      </c>
      <c r="AB309" s="105" t="s">
        <v>2443</v>
      </c>
      <c r="AC309" s="8"/>
      <c r="AD30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09" s="8" t="s">
        <v>459</v>
      </c>
      <c r="AF309" s="8" t="s">
        <v>457</v>
      </c>
      <c r="AG309" s="8" t="s">
        <v>458</v>
      </c>
      <c r="AH309" s="8"/>
      <c r="AI309" s="8">
        <f t="shared" si="13"/>
        <v>3</v>
      </c>
      <c r="AJ309" s="8"/>
      <c r="AK309" s="8"/>
      <c r="AL309" s="8"/>
      <c r="AM309" s="8"/>
      <c r="AN309" s="8"/>
    </row>
    <row r="310" spans="1:40" ht="38.25" hidden="1">
      <c r="A310" s="8">
        <v>310</v>
      </c>
      <c r="B310" s="11">
        <v>44991.585432615742</v>
      </c>
      <c r="C310" s="8" t="s">
        <v>452</v>
      </c>
      <c r="D310" s="8" t="s">
        <v>453</v>
      </c>
      <c r="E310" s="8" t="s">
        <v>452</v>
      </c>
      <c r="F310" s="8" t="s">
        <v>454</v>
      </c>
      <c r="G310" s="8" t="str">
        <f>", "&amp;'RAW (公開用)'!F311&amp;", "</f>
        <v xml:space="preserve">, トランス, 不定性, 中性, クエスチョニング, トランスジェンダー, 不明／わからない, </v>
      </c>
      <c r="H310" s="8" t="s">
        <v>595</v>
      </c>
      <c r="I310" s="8" t="str">
        <f>", "&amp;'RAW (公開用)'!H311&amp;", "</f>
        <v xml:space="preserve">, さん, （敬称なし）, （クエスチョニング、模索中、または不明）, </v>
      </c>
      <c r="J310" s="8" t="s">
        <v>2335</v>
      </c>
      <c r="K31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（クエスチョニング、模索中、または不明）,  , </v>
      </c>
      <c r="L310" s="8" t="str">
        <f>", "&amp;'RAW (公開用)'!J311&amp;", "</f>
        <v xml:space="preserve">, **英語を日常的に使わない**, </v>
      </c>
      <c r="M310" s="8" t="s">
        <v>2335</v>
      </c>
      <c r="N31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10" s="8" t="str">
        <f>", "&amp;'RAW (公開用)'!L311&amp;", "</f>
        <v xml:space="preserve">, 自分, わたし, 私（わたし／わたくし）, </v>
      </c>
      <c r="P310" s="8" t="s">
        <v>2335</v>
      </c>
      <c r="Q31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わたし, 私（わたし／わたくし）,  , </v>
      </c>
      <c r="R310" s="8" t="str">
        <f>", "&amp;'RAW (公開用)'!N310&amp;", "</f>
        <v xml:space="preserve">, （自分（たち）の名前）, </v>
      </c>
      <c r="S310" s="8" t="s">
        <v>2335</v>
      </c>
      <c r="T31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10" s="8" t="str">
        <f>", "&amp;'RAW (公開用)'!P311&amp;", "</f>
        <v xml:space="preserve">, **英語を日常的に使わない**, </v>
      </c>
      <c r="V310" s="8" t="s">
        <v>455</v>
      </c>
      <c r="W310" s="8" t="str">
        <f>", "&amp;'RAW (公開用)'!R311&amp;", "</f>
        <v xml:space="preserve">, ミスジェンダリング（誤った性別として扱うこと）, カムアウトできない, 職場や学校における無理解, 必要なジェンダーケアへアクセスできない, トイレなどのジェンダー化されたスペースの使用, 家族／かぞくからの無理解, </v>
      </c>
      <c r="X310" s="8"/>
      <c r="Y31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職場や学校における無理解, 必要なジェンダーケアへアクセスできない, トイレなどのジェンダー化されたスペースの使用, 家族／かぞくからの無理解,  </v>
      </c>
      <c r="Z310" s="8" t="s">
        <v>455</v>
      </c>
      <c r="AA310" s="8" t="str">
        <f>", "&amp;'RAW (公開用)'!U311&amp;", "</f>
        <v xml:space="preserve">, 戸籍名の変更, 戸籍上の性別の変更, ジェンダークリニックの受診, ホルモン補充療法（HRT）, 顔にかかわる手術, 声帯にかかわる手術, 性器にかかわる手術, </v>
      </c>
      <c r="AB310" s="8" t="str">
        <f>", "&amp;'RAW (公開用)'!V311&amp;", "</f>
        <v xml:space="preserve">, （上記のどれも経験していない）, </v>
      </c>
      <c r="AC310" s="8"/>
      <c r="AD31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10" s="8" t="s">
        <v>456</v>
      </c>
      <c r="AF310" s="8" t="s">
        <v>457</v>
      </c>
      <c r="AG310" s="8" t="s">
        <v>458</v>
      </c>
      <c r="AH310" s="8"/>
      <c r="AI310" s="8">
        <f t="shared" si="13"/>
        <v>6</v>
      </c>
      <c r="AJ310" s="8"/>
      <c r="AK310" s="8"/>
      <c r="AL310" s="8"/>
      <c r="AM310" s="8"/>
      <c r="AN310" s="8"/>
    </row>
    <row r="311" spans="1:40" ht="51" hidden="1">
      <c r="A311" s="8">
        <v>59</v>
      </c>
      <c r="B311" s="11">
        <v>44969.863718136578</v>
      </c>
      <c r="C311" s="8" t="s">
        <v>452</v>
      </c>
      <c r="D311" s="8" t="s">
        <v>453</v>
      </c>
      <c r="E311" s="8" t="s">
        <v>452</v>
      </c>
      <c r="F311" s="8" t="s">
        <v>454</v>
      </c>
      <c r="G311" s="8" t="str">
        <f>", "&amp;'RAW (公開用)'!F60&amp;", "</f>
        <v xml:space="preserve">, X, ノンバイナリー, 両性, クエスチョニング, Xジェンダー, **必ず選んでください**, </v>
      </c>
      <c r="H311" s="8"/>
      <c r="I311" s="8" t="str">
        <f>", "&amp;'RAW (公開用)'!H60&amp;", "</f>
        <v xml:space="preserve">, さん, </v>
      </c>
      <c r="J311" s="8" t="s">
        <v>2335</v>
      </c>
      <c r="K31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11" s="8" t="str">
        <f>", "&amp;'RAW (公開用)'!J60&amp;", "</f>
        <v xml:space="preserve">, -san, Dr.など、職業などにかかわるもの, </v>
      </c>
      <c r="M311" s="8" t="s">
        <v>2335</v>
      </c>
      <c r="N31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 </v>
      </c>
      <c r="O311" s="8" t="str">
        <f>", "&amp;'RAW (公開用)'!L60&amp;", "</f>
        <v xml:space="preserve">, 自分, 私（わたし／わたくし）, </v>
      </c>
      <c r="P311" s="8" t="s">
        <v>2335</v>
      </c>
      <c r="Q31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 </v>
      </c>
      <c r="R311" s="8" t="str">
        <f>", "&amp;'RAW (公開用)'!N311&amp;", "</f>
        <v xml:space="preserve">, （自分（たち）の名前）, </v>
      </c>
      <c r="S311" s="8" t="s">
        <v>2355</v>
      </c>
      <c r="T31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311" s="8" t="str">
        <f>", "&amp;'RAW (公開用)'!P60&amp;", "</f>
        <v xml:space="preserve">, they/them/their/themself, </v>
      </c>
      <c r="V311" s="8" t="s">
        <v>455</v>
      </c>
      <c r="W311" s="8" t="str">
        <f>", "&amp;'RAW (公開用)'!R60&amp;", "</f>
        <v xml:space="preserve">, ミスジェンダリング（誤った性別として扱うこと）, 必要なジェンダーケアへアクセスできない, トイレなどのジェンダー化されたスペースの使用, LGBTQ+運動からの排斥, 性暴力, カムアウトできない, 職場や学校における無理解, 医療における無理解, 社会の中でいないことにされる, </v>
      </c>
      <c r="X311" s="8"/>
      <c r="Y31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必要なジェンダーケアへアクセスできない, トイレなどのジェンダー化されたスペースの使用, LGBTQ+運動からの排斥, 性暴力, カムアウトできない, 職場や学校における無理解, 医療における無理解, 社会の中でいないことにされる,  </v>
      </c>
      <c r="Z311" s="8" t="s">
        <v>455</v>
      </c>
      <c r="AA311" s="8" t="str">
        <f>", "&amp;'RAW (公開用)'!U60&amp;", "</f>
        <v xml:space="preserve">, 戸籍名の変更, ジェンダークリニックの受診, 抗ホルモン療法, ホルモン補充療法（HRT）, 胸部の手術, 性器にかかわる手術, </v>
      </c>
      <c r="AB311" s="8" t="str">
        <f>", "&amp;'RAW (公開用)'!V60&amp;", "</f>
        <v xml:space="preserve">, （上記のどれも経験していない）, </v>
      </c>
      <c r="AC311" s="8"/>
      <c r="AD31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11" s="8" t="s">
        <v>462</v>
      </c>
      <c r="AF311" s="8" t="s">
        <v>457</v>
      </c>
      <c r="AG311" s="8" t="s">
        <v>458</v>
      </c>
      <c r="AH311" s="8"/>
      <c r="AI311" s="8">
        <f>((LEN(G311)-LEN(SUBSTITUTE(G311,", ","")))/LEN(", ")-1-(LEN(G311)-LEN(SUBSTITUTE(G311,"必ず","")))/LEN("必ず"))+(LEN(H311)-LEN(SUBSTITUTE(H311,",","")))</f>
        <v>5</v>
      </c>
      <c r="AJ311" s="8"/>
      <c r="AK311" s="8"/>
      <c r="AL311" s="8"/>
      <c r="AM311" s="8"/>
      <c r="AN311" s="8"/>
    </row>
    <row r="312" spans="1:40" ht="25.5" hidden="1">
      <c r="A312" s="8">
        <v>312</v>
      </c>
      <c r="B312" s="11">
        <v>44991.589539768524</v>
      </c>
      <c r="C312" s="8" t="s">
        <v>452</v>
      </c>
      <c r="D312" s="8" t="s">
        <v>453</v>
      </c>
      <c r="E312" s="8" t="s">
        <v>452</v>
      </c>
      <c r="F312" s="8" t="s">
        <v>454</v>
      </c>
      <c r="G312" s="8" t="str">
        <f>", "&amp;'RAW (公開用)'!F313&amp;", "</f>
        <v xml:space="preserve">, ノンバイナリー, **必ず選んでください**, </v>
      </c>
      <c r="H312" s="8"/>
      <c r="I312" s="8" t="str">
        <f>", "&amp;'RAW (公開用)'!H313&amp;", "</f>
        <v xml:space="preserve">, さん, </v>
      </c>
      <c r="J312" s="8" t="s">
        <v>2335</v>
      </c>
      <c r="K31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12" s="8" t="str">
        <f>", "&amp;'RAW (公開用)'!J313&amp;", "</f>
        <v xml:space="preserve">, **英語を日常的に使わない**, </v>
      </c>
      <c r="M312" s="8" t="s">
        <v>2335</v>
      </c>
      <c r="N31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12" s="8" t="str">
        <f>", "&amp;'RAW (公開用)'!L313&amp;", "</f>
        <v xml:space="preserve">, 私（わたし／わたくし）, </v>
      </c>
      <c r="P312" s="8" t="s">
        <v>2335</v>
      </c>
      <c r="Q31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12" s="8" t="s">
        <v>2174</v>
      </c>
      <c r="S312" s="8" t="s">
        <v>2335</v>
      </c>
      <c r="T31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312" s="8" t="str">
        <f>", "&amp;'RAW (公開用)'!P313&amp;", "</f>
        <v xml:space="preserve">, **英語を日常的に使わない**, </v>
      </c>
      <c r="V312" s="8" t="s">
        <v>455</v>
      </c>
      <c r="W312" s="8" t="str">
        <f>", "&amp;'RAW (公開用)'!R313&amp;", "</f>
        <v xml:space="preserve">, カムアウトできない, 社会の中でいないことにされる, 家族／かぞくからの無理解, 必要なジェンダーケアへアクセスできない, </v>
      </c>
      <c r="X312" s="8"/>
      <c r="Y31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社会の中でいないことにされる, 家族／かぞくからの無理解, 必要なジェンダーケアへアクセスできない,  </v>
      </c>
      <c r="Z312" s="8" t="s">
        <v>455</v>
      </c>
      <c r="AA312" s="8" t="str">
        <f>", "&amp;'RAW (公開用)'!U313&amp;", "</f>
        <v xml:space="preserve">, 戸籍上の性別の変更, ジェンダークリニックの受診, 胸部の手術, </v>
      </c>
      <c r="AB312" s="8" t="str">
        <f>", "&amp;'RAW (公開用)'!V313&amp;", "</f>
        <v xml:space="preserve">, （上記のどれも経験していない）, </v>
      </c>
      <c r="AC312" s="8"/>
      <c r="AD31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12" s="8" t="s">
        <v>456</v>
      </c>
      <c r="AF312" s="8" t="s">
        <v>457</v>
      </c>
      <c r="AG312" s="8" t="s">
        <v>458</v>
      </c>
      <c r="AH312" s="8"/>
      <c r="AI312" s="8">
        <f t="shared" ref="AI312:AI351" si="14">(LEN(G312)-LEN(SUBSTITUTE(G312,", ","")))/LEN(", ")-1-(LEN(G312)-LEN(SUBSTITUTE(G312,"必ず","")))/LEN("必ず")</f>
        <v>1</v>
      </c>
      <c r="AJ312" s="8"/>
      <c r="AK312" s="8"/>
      <c r="AL312" s="8"/>
      <c r="AM312" s="8"/>
      <c r="AN312" s="8"/>
    </row>
    <row r="313" spans="1:40" ht="76.5" hidden="1">
      <c r="A313" s="8">
        <v>313</v>
      </c>
      <c r="B313" s="11">
        <v>44991.591695196759</v>
      </c>
      <c r="C313" s="8" t="s">
        <v>452</v>
      </c>
      <c r="D313" s="8" t="s">
        <v>453</v>
      </c>
      <c r="E313" s="8" t="s">
        <v>452</v>
      </c>
      <c r="F313" s="8" t="s">
        <v>454</v>
      </c>
      <c r="G313" s="8" t="str">
        <f>", "&amp;'RAW (公開用)'!F314&amp;", "</f>
        <v xml:space="preserve">, ジェンダー・ノンコンフォーミング／gender non-conforming, 無し, クエスチョニング, ノンバイナリー, クィア／Queer, </v>
      </c>
      <c r="H313" s="8"/>
      <c r="I313" s="8" t="str">
        <f>", "&amp;'RAW (公開用)'!H314&amp;", "</f>
        <v xml:space="preserve">, さん, （any／問わない／どれでもよい）, </v>
      </c>
      <c r="J313" s="8" t="s">
        <v>2335</v>
      </c>
      <c r="K31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 </v>
      </c>
      <c r="L313" s="8" t="str">
        <f>", "&amp;'RAW (公開用)'!J314&amp;", "</f>
        <v xml:space="preserve">, （any／問わない／どれでもよい）, Mx., </v>
      </c>
      <c r="M313" s="8" t="s">
        <v>2335</v>
      </c>
      <c r="N31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Mx., , </v>
      </c>
      <c r="O313" s="8" t="str">
        <f>", "&amp;'RAW (公開用)'!L314&amp;", "</f>
        <v xml:space="preserve">, わし, 私（わたし／わたくし）, </v>
      </c>
      <c r="P313" s="8" t="s">
        <v>2335</v>
      </c>
      <c r="Q31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私（わたし／わたくし）,  , </v>
      </c>
      <c r="R313" s="8" t="str">
        <f>", "&amp;'RAW (公開用)'!N313&amp;", "</f>
        <v xml:space="preserve">, （三人称で言及してほしくない）, （自分（たち）の名前）, </v>
      </c>
      <c r="S313" s="8" t="s">
        <v>2335</v>
      </c>
      <c r="T31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13" s="8" t="str">
        <f>", "&amp;'RAW (公開用)'!P314&amp;", "</f>
        <v xml:space="preserve">, they/them/their/themself, </v>
      </c>
      <c r="V313" s="8" t="s">
        <v>455</v>
      </c>
      <c r="W313" s="8" t="str">
        <f>", "&amp;'RAW (公開用)'!R314&amp;", "</f>
        <v xml:space="preserve">, カムアウトを強制される, 社会の中でいないことにされる, ミスジェンダリング（誤った性別として扱うこと）, 家族／かぞくからの無理解, </v>
      </c>
      <c r="X313" s="8" t="s">
        <v>256</v>
      </c>
      <c r="Y31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カムアウトを強制される, 社会の中でいないことにされる, ミスジェンダリング（誤った性別として扱うこと）, 家族／かぞくからの無理解,  就職活動において、性別の選択肢が男女しかない場合が多い。また、｢その他｣｢回答しない｣を選択した場合も、リクルーター等から｢女性ですよね？｣と確認されたことがあるため、選択肢がカムアウトやアウティング(典型的なバイナリー規範に適応していないと企業側が区別できる)のための道具として機能している場合があると感じる。</v>
      </c>
      <c r="Z313" s="8" t="s">
        <v>455</v>
      </c>
      <c r="AA313" s="8" t="str">
        <f>", "&amp;'RAW (公開用)'!U314&amp;", "</f>
        <v xml:space="preserve">, （上記のどれも希望していない）, </v>
      </c>
      <c r="AB313" s="8" t="str">
        <f>", "&amp;'RAW (公開用)'!V314&amp;", "</f>
        <v xml:space="preserve">, （上記のどれも経験していない）, </v>
      </c>
      <c r="AC313" s="8"/>
      <c r="AD31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13" s="8" t="s">
        <v>462</v>
      </c>
      <c r="AF313" s="8" t="s">
        <v>457</v>
      </c>
      <c r="AG313" s="8" t="s">
        <v>458</v>
      </c>
      <c r="AH313" s="8"/>
      <c r="AI313" s="8">
        <f t="shared" si="14"/>
        <v>5</v>
      </c>
      <c r="AJ313" s="8"/>
      <c r="AK313" s="8"/>
      <c r="AL313" s="8"/>
      <c r="AM313" s="8"/>
      <c r="AN313" s="8"/>
    </row>
    <row r="314" spans="1:40" ht="38.25" hidden="1">
      <c r="A314" s="8">
        <v>314</v>
      </c>
      <c r="B314" s="11">
        <v>44991.60651193287</v>
      </c>
      <c r="C314" s="8" t="s">
        <v>452</v>
      </c>
      <c r="D314" s="8" t="s">
        <v>453</v>
      </c>
      <c r="E314" s="8" t="s">
        <v>452</v>
      </c>
      <c r="F314" s="8" t="s">
        <v>454</v>
      </c>
      <c r="G314" s="8" t="str">
        <f>", "&amp;'RAW (公開用)'!F315&amp;", "</f>
        <v xml:space="preserve">, X, ノンバイナリー女性, ジェンダーレス, 無性, 中性, Xジェンダー, 女性／woman, クィア／Queer, </v>
      </c>
      <c r="H314" s="8"/>
      <c r="I314" s="8" t="str">
        <f>", "&amp;'RAW (公開用)'!H315&amp;", "</f>
        <v xml:space="preserve">, さん, </v>
      </c>
      <c r="J314" s="8" t="s">
        <v>2335</v>
      </c>
      <c r="K31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14" s="8" t="str">
        <f>", "&amp;'RAW (公開用)'!J315&amp;", "</f>
        <v xml:space="preserve">, **英語を日常的に使わない**, Dr.など、職業などにかかわるもの, </v>
      </c>
      <c r="M314" s="8" t="s">
        <v>2335</v>
      </c>
      <c r="N31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Dr.など、職業などにかかわるもの, , </v>
      </c>
      <c r="O314" s="8" t="str">
        <f>", "&amp;'RAW (公開用)'!L315&amp;", "</f>
        <v xml:space="preserve">, 俺, わたし, 自分, 僕, </v>
      </c>
      <c r="P314" s="8" t="s">
        <v>2335</v>
      </c>
      <c r="Q31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わたし, 自分, 僕,  , </v>
      </c>
      <c r="R314" s="8" t="str">
        <f>", "&amp;'RAW (公開用)'!N314&amp;", "</f>
        <v xml:space="preserve">, （自分（たち）の名前）, （三人称で言及してほしくない）, </v>
      </c>
      <c r="S314" s="8" t="s">
        <v>2335</v>
      </c>
      <c r="T31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314" s="8" t="str">
        <f>", "&amp;'RAW (公開用)'!P315&amp;", "</f>
        <v xml:space="preserve">, **英語を日常的に使わない**, </v>
      </c>
      <c r="V314" s="8" t="s">
        <v>455</v>
      </c>
      <c r="W314" s="8" t="str">
        <f>", "&amp;'RAW (公開用)'!R315&amp;", "</f>
        <v xml:space="preserve">, 必要なジェンダーケアへアクセスできない, 職場や学校における無理解, カムアウトできない, 家族／かぞくからの無理解, 社会の中でいないことにされる, </v>
      </c>
      <c r="X314" s="8" t="s">
        <v>278</v>
      </c>
      <c r="Y31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職場や学校における無理解, カムアウトできない, 家族／かぞくからの無理解, 社会の中でいないことにされる,  社会に出た際にジェンダーロールに従うことを強制される、圧力をかけられること。</v>
      </c>
      <c r="Z314" s="8" t="s">
        <v>455</v>
      </c>
      <c r="AA314" s="8" t="str">
        <f>", "&amp;'RAW (公開用)'!U315&amp;", "</f>
        <v xml:space="preserve">, 性器にかかわる手術, </v>
      </c>
      <c r="AB314" s="8" t="str">
        <f>", "&amp;'RAW (公開用)'!V315&amp;", "</f>
        <v xml:space="preserve">, （上記のどれも経験していない）, </v>
      </c>
      <c r="AC314" s="8" t="s">
        <v>361</v>
      </c>
      <c r="AD314"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性同一性障害では無いため不妊手術の要件として女性に出産要件が課せられており,性嫌悪への対応が矯正以外にないこと。</v>
      </c>
      <c r="AE314" s="8" t="s">
        <v>462</v>
      </c>
      <c r="AF314" s="8" t="s">
        <v>457</v>
      </c>
      <c r="AG314" s="8" t="s">
        <v>458</v>
      </c>
      <c r="AH314" s="8"/>
      <c r="AI314" s="8">
        <f t="shared" si="14"/>
        <v>8</v>
      </c>
      <c r="AJ314" s="8"/>
      <c r="AK314" s="8"/>
      <c r="AL314" s="8"/>
      <c r="AM314" s="8"/>
      <c r="AN314" s="8"/>
    </row>
    <row r="315" spans="1:40" ht="51" hidden="1">
      <c r="A315" s="8">
        <v>315</v>
      </c>
      <c r="B315" s="11">
        <v>44991.617051724534</v>
      </c>
      <c r="C315" s="8" t="s">
        <v>452</v>
      </c>
      <c r="D315" s="8" t="s">
        <v>453</v>
      </c>
      <c r="E315" s="8" t="s">
        <v>452</v>
      </c>
      <c r="F315" s="8" t="s">
        <v>454</v>
      </c>
      <c r="G315" s="8" t="str">
        <f>", "&amp;'RAW (公開用)'!F316&amp;", "</f>
        <v xml:space="preserve">, ノンバイナリー, 不明／わからない, ジェンダーヴォイド／gendervoid, 無し, **必ず選んでください**, 無性, ニュートラル, トランスジェンダー, Aジェンダー／エイジェンダー／アジェンダー／agender, ジェンダー・ノンコンフォーミング／gender non-conforming, ジェンダークィア, トランス, クィア／Queer, </v>
      </c>
      <c r="H315" s="8"/>
      <c r="I315" s="8" t="str">
        <f>", "&amp;'RAW (公開用)'!H316&amp;", "</f>
        <v xml:space="preserve">, （クエスチョニング、模索中、または不明）, さん, </v>
      </c>
      <c r="J315" s="8" t="s">
        <v>2335</v>
      </c>
      <c r="K31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315" s="8" t="str">
        <f>", "&amp;'RAW (公開用)'!J316&amp;", "</f>
        <v xml:space="preserve">, （クエスチョニング、模索中、または不明）, -san, **英語を日常的に使わない**, Mx., </v>
      </c>
      <c r="M315" s="8" t="s">
        <v>2335</v>
      </c>
      <c r="N31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-san, **英語を日常的に使わない**, Mx., , </v>
      </c>
      <c r="O315" s="8" t="str">
        <f>", "&amp;'RAW (公開用)'!L316&amp;", "</f>
        <v xml:space="preserve">, わたし, 私（わたし／わたくし）, ぼく, （一人称の使用を避ける）, （クエスチョニング、模索中、または不明）, 自分, おれ, </v>
      </c>
      <c r="P315" s="8" t="s">
        <v>2335</v>
      </c>
      <c r="Q31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ぼく, （一人称の使用を避ける）, （クエスチョニング、模索中、または不明）, 自分, おれ,  , </v>
      </c>
      <c r="R315" s="8" t="str">
        <f>", "&amp;'RAW (公開用)'!N315&amp;", "</f>
        <v xml:space="preserve">, 彼, 彼女, </v>
      </c>
      <c r="S315" s="8" t="s">
        <v>2335</v>
      </c>
      <c r="T31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彼女,  , </v>
      </c>
      <c r="U315" s="8" t="str">
        <f>", "&amp;'RAW (公開用)'!P316&amp;", "</f>
        <v xml:space="preserve">, they/them/their/themself, **英語を日常的に使わない**, </v>
      </c>
      <c r="V315" s="8" t="s">
        <v>472</v>
      </c>
      <c r="W315" s="8" t="s">
        <v>2174</v>
      </c>
      <c r="X315" s="8"/>
      <c r="Y31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15" s="8" t="s">
        <v>455</v>
      </c>
      <c r="AA315" s="8" t="str">
        <f>", "&amp;'RAW (公開用)'!U316&amp;", "</f>
        <v xml:space="preserve">, ジェンダークリニックの受診, 胸部の手術, </v>
      </c>
      <c r="AB315" s="8" t="str">
        <f>", "&amp;'RAW (公開用)'!V316&amp;", "</f>
        <v xml:space="preserve">, ジェンダークリニックの受診, </v>
      </c>
      <c r="AC315" s="8"/>
      <c r="AD315"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315" s="8" t="s">
        <v>462</v>
      </c>
      <c r="AF315" s="8" t="s">
        <v>457</v>
      </c>
      <c r="AG315" s="8" t="s">
        <v>458</v>
      </c>
      <c r="AH315" s="8"/>
      <c r="AI315" s="8">
        <f t="shared" si="14"/>
        <v>12</v>
      </c>
      <c r="AJ315" s="8"/>
      <c r="AK315" s="8"/>
      <c r="AL315" s="8"/>
      <c r="AM315" s="8"/>
      <c r="AN315" s="8"/>
    </row>
    <row r="316" spans="1:40" ht="12.75" hidden="1">
      <c r="A316" s="8">
        <v>316</v>
      </c>
      <c r="B316" s="11">
        <v>44991.658258391202</v>
      </c>
      <c r="C316" s="8" t="s">
        <v>452</v>
      </c>
      <c r="D316" s="8" t="s">
        <v>453</v>
      </c>
      <c r="E316" s="8" t="s">
        <v>452</v>
      </c>
      <c r="F316" s="8" t="s">
        <v>454</v>
      </c>
      <c r="G316" s="8" t="str">
        <f>", "&amp;'RAW (公開用)'!F317&amp;", "</f>
        <v xml:space="preserve">, 女性／woman, </v>
      </c>
      <c r="H316" s="8"/>
      <c r="I316" s="8" t="str">
        <f>", "&amp;'RAW (公開用)'!H317&amp;", "</f>
        <v xml:space="preserve">, さん, </v>
      </c>
      <c r="J316" s="8" t="s">
        <v>2335</v>
      </c>
      <c r="K31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16" s="8" t="str">
        <f>", "&amp;'RAW (公開用)'!J317&amp;", "</f>
        <v xml:space="preserve">, **英語を日常的に使わない**, </v>
      </c>
      <c r="M316" s="8" t="s">
        <v>2335</v>
      </c>
      <c r="N31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16" s="8" t="str">
        <f>", "&amp;'RAW (公開用)'!L317&amp;", "</f>
        <v xml:space="preserve">, 自分, （一人称の使用を避ける）, </v>
      </c>
      <c r="P316" s="8" t="s">
        <v>2335</v>
      </c>
      <c r="Q31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（一人称の使用を避ける）,  , </v>
      </c>
      <c r="R316" s="8" t="str">
        <f>", "&amp;'RAW (公開用)'!N316&amp;", "</f>
        <v xml:space="preserve">, （自分（たち）の名前）, （三人称で言及してほしくない）, </v>
      </c>
      <c r="S316" s="8" t="s">
        <v>2335</v>
      </c>
      <c r="T31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316" s="8" t="str">
        <f>", "&amp;'RAW (公開用)'!P317&amp;", "</f>
        <v xml:space="preserve">, **英語を日常的に使わない**, </v>
      </c>
      <c r="V316" s="8" t="s">
        <v>455</v>
      </c>
      <c r="W316" s="8" t="str">
        <f>", "&amp;'RAW (公開用)'!R317&amp;", "</f>
        <v xml:space="preserve">, カムアウトできない, LGBTQ+運動からの排斥, 社会の中でいないことにされる, </v>
      </c>
      <c r="X316" s="8"/>
      <c r="Y31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LGBTQ+運動からの排斥, 社会の中でいないことにされる,  </v>
      </c>
      <c r="Z316" s="8" t="s">
        <v>455</v>
      </c>
      <c r="AA316" s="8" t="str">
        <f>", "&amp;'RAW (公開用)'!U317&amp;", "</f>
        <v xml:space="preserve">, （上記のどれも希望していない）, </v>
      </c>
      <c r="AB316" s="105" t="s">
        <v>2443</v>
      </c>
      <c r="AC316" s="8"/>
      <c r="AD31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16" s="8" t="s">
        <v>459</v>
      </c>
      <c r="AF316" s="8" t="s">
        <v>457</v>
      </c>
      <c r="AG316" s="8" t="s">
        <v>458</v>
      </c>
      <c r="AH316" s="8"/>
      <c r="AI316" s="8">
        <f t="shared" si="14"/>
        <v>1</v>
      </c>
      <c r="AJ316" s="8"/>
      <c r="AK316" s="8"/>
      <c r="AL316" s="8"/>
      <c r="AM316" s="8"/>
      <c r="AN316" s="8"/>
    </row>
    <row r="317" spans="1:40" ht="51" hidden="1">
      <c r="A317" s="8">
        <v>317</v>
      </c>
      <c r="B317" s="11">
        <v>44991.659198344903</v>
      </c>
      <c r="C317" s="8" t="s">
        <v>452</v>
      </c>
      <c r="D317" s="8" t="s">
        <v>453</v>
      </c>
      <c r="E317" s="8" t="s">
        <v>452</v>
      </c>
      <c r="F317" s="8" t="s">
        <v>454</v>
      </c>
      <c r="G317" s="8" t="str">
        <f>", "&amp;'RAW (公開用)'!F318&amp;", "</f>
        <v xml:space="preserve">, ノンバイナリー男性, **必ず選んでください**, トランス男性, クィア／Queer, ノンバイナリー, トランスジェンダー, ジェンダークィア, 青年, トランス, </v>
      </c>
      <c r="H317" s="8"/>
      <c r="I317" s="8" t="str">
        <f>", "&amp;'RAW (公開用)'!H318&amp;", "</f>
        <v xml:space="preserve">, さん, （any／問わない／どれでもよい）, くん／君, </v>
      </c>
      <c r="J317" s="8" t="s">
        <v>2335</v>
      </c>
      <c r="K31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くん／君,  , </v>
      </c>
      <c r="L317" s="8" t="str">
        <f>", "&amp;'RAW (公開用)'!J318&amp;", "</f>
        <v xml:space="preserve">, （any／問わない／どれでもよい）, -san, Mr., Dr.など、職業などにかかわるもの, </v>
      </c>
      <c r="M317" s="8" t="s">
        <v>2335</v>
      </c>
      <c r="N31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-san, Mr., Dr.など、職業などにかかわるもの, , </v>
      </c>
      <c r="O317" s="8" t="str">
        <f>", "&amp;'RAW (公開用)'!L318&amp;", "</f>
        <v xml:space="preserve">, わし, ぼく, （時とともに変わる）, 僕, 俺, 私（わたし／わたくし）, </v>
      </c>
      <c r="P317" s="8" t="s">
        <v>2335</v>
      </c>
      <c r="Q31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ぼく, （時とともに変わる）, 僕, 俺, 私（わたし／わたくし）,  , </v>
      </c>
      <c r="R317" s="8" t="str">
        <f>", "&amp;'RAW (公開用)'!N317&amp;", "</f>
        <v xml:space="preserve">, （三人称で言及してほしくない）, </v>
      </c>
      <c r="S317" s="8" t="s">
        <v>2335</v>
      </c>
      <c r="T31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17" s="8" t="str">
        <f>", "&amp;'RAW (公開用)'!P318&amp;", "</f>
        <v xml:space="preserve">, he, they/them/their/themself, </v>
      </c>
      <c r="V317" s="8" t="s">
        <v>455</v>
      </c>
      <c r="W317" s="8" t="str">
        <f>", "&amp;'RAW (公開用)'!R318&amp;", "</f>
        <v xml:space="preserve">, 職場や学校における無理解, トイレなどのジェンダー化されたスペースの使用, 必要なジェンダーケアへアクセスできない, 家族／かぞくからの無理解, ミスジェンダリング（誤った性別として扱うこと）, アウティング（勝手にジェンダーや指向についての情報を明かされること）, 社会の中でいないことにされる, </v>
      </c>
      <c r="X317" s="8"/>
      <c r="Y31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トイレなどのジェンダー化されたスペースの使用, 必要なジェンダーケアへアクセスできない, 家族／かぞくからの無理解, ミスジェンダリング（誤った性別として扱うこと）, アウティング（勝手にジェンダーや指向についての情報を明かされること）, 社会の中でいないことにされる,  </v>
      </c>
      <c r="Z317" s="8" t="s">
        <v>455</v>
      </c>
      <c r="AA317" s="8" t="str">
        <f>", "&amp;'RAW (公開用)'!U318&amp;", "</f>
        <v xml:space="preserve">, ジェンダークリニックの受診, ホルモン補充療法（HRT）, 胸部の手術, </v>
      </c>
      <c r="AB317" s="8" t="str">
        <f>", "&amp;'RAW (公開用)'!V318&amp;", "</f>
        <v xml:space="preserve">, ジェンダークリニックの受診, ホルモン補充療法（HRT）, 胸部の手術, </v>
      </c>
      <c r="AC317" s="8"/>
      <c r="AD317"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ホルモン補充療法（HRT）, 胸部の手術,  </v>
      </c>
      <c r="AE317" s="8" t="s">
        <v>456</v>
      </c>
      <c r="AF317" s="8" t="s">
        <v>457</v>
      </c>
      <c r="AG317" s="8" t="s">
        <v>458</v>
      </c>
      <c r="AH317" s="8"/>
      <c r="AI317" s="8">
        <f t="shared" si="14"/>
        <v>8</v>
      </c>
      <c r="AJ317" s="8"/>
      <c r="AK317" s="8"/>
      <c r="AL317" s="8"/>
      <c r="AM317" s="8"/>
      <c r="AN317" s="8"/>
    </row>
    <row r="318" spans="1:40" ht="38.25" hidden="1">
      <c r="A318" s="8">
        <v>318</v>
      </c>
      <c r="B318" s="11">
        <v>44991.661869282412</v>
      </c>
      <c r="C318" s="8" t="s">
        <v>452</v>
      </c>
      <c r="D318" s="8" t="s">
        <v>453</v>
      </c>
      <c r="E318" s="8" t="s">
        <v>452</v>
      </c>
      <c r="F318" s="8" t="s">
        <v>454</v>
      </c>
      <c r="G318" s="8" t="str">
        <f>", "&amp;'RAW (公開用)'!F319&amp;", "</f>
        <v xml:space="preserve">, ジェンダークィア, ノンバイナリー, Aジェンダー／エイジェンダー／アジェンダー／agender, クィア／Queer, </v>
      </c>
      <c r="H318" s="8"/>
      <c r="I318" s="8" t="str">
        <f>", "&amp;'RAW (公開用)'!H319&amp;", "</f>
        <v xml:space="preserve">, （敬称なし）, さん, </v>
      </c>
      <c r="J318" s="8" t="s">
        <v>2335</v>
      </c>
      <c r="K31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18" s="8" t="str">
        <f>", "&amp;'RAW (公開用)'!J319&amp;", "</f>
        <v xml:space="preserve">, （敬称なし）, -san, </v>
      </c>
      <c r="M318" s="8" t="s">
        <v>2335</v>
      </c>
      <c r="N31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 </v>
      </c>
      <c r="O318" s="8" t="str">
        <f>", "&amp;'RAW (公開用)'!L319&amp;", "</f>
        <v xml:space="preserve">, 私（わたし／わたくし）, （一人称の使用を避ける）, わたし, 自分, </v>
      </c>
      <c r="P318" s="8" t="s">
        <v>2335</v>
      </c>
      <c r="Q31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（一人称の使用を避ける）, わたし, 自分,  , </v>
      </c>
      <c r="R318" s="8" t="str">
        <f>", "&amp;'RAW (公開用)'!N318&amp;", "</f>
        <v xml:space="preserve">, （自分（たち）の名前）, 彼, </v>
      </c>
      <c r="S318" s="8" t="s">
        <v>2335</v>
      </c>
      <c r="T31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318" s="8" t="str">
        <f>", "&amp;'RAW (公開用)'!P319&amp;", "</f>
        <v xml:space="preserve">, they/them/their/themselves, they/them/their/themself, </v>
      </c>
      <c r="V318" s="8" t="s">
        <v>455</v>
      </c>
      <c r="W318" s="8" t="str">
        <f>", "&amp;'RAW (公開用)'!R319&amp;", "</f>
        <v xml:space="preserve">, アウティング（勝手にジェンダーや指向についての情報を明かされること）, 家族／かぞくからの無理解, 社会の中でいないことにされる, ミスジェンダリング（誤った性別として扱うこと）, 職場や学校における無理解, </v>
      </c>
      <c r="X318" s="8"/>
      <c r="Y31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家族／かぞくからの無理解, 社会の中でいないことにされる, ミスジェンダリング（誤った性別として扱うこと）, 職場や学校における無理解,  </v>
      </c>
      <c r="Z318" s="8" t="s">
        <v>455</v>
      </c>
      <c r="AA318" s="8" t="str">
        <f>", "&amp;'RAW (公開用)'!U319&amp;", "</f>
        <v xml:space="preserve">, 戸籍名の変更, 戸籍上の性別の変更, </v>
      </c>
      <c r="AB318" s="8" t="str">
        <f>", "&amp;'RAW (公開用)'!V319&amp;", "</f>
        <v xml:space="preserve">, （上記のどれも経験していない）, </v>
      </c>
      <c r="AC318" s="8"/>
      <c r="AD31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18" s="8" t="s">
        <v>459</v>
      </c>
      <c r="AF318" s="8" t="s">
        <v>457</v>
      </c>
      <c r="AG318" s="8" t="s">
        <v>458</v>
      </c>
      <c r="AH318" s="8" t="s">
        <v>598</v>
      </c>
      <c r="AI318" s="8">
        <f t="shared" si="14"/>
        <v>4</v>
      </c>
      <c r="AJ318" s="8"/>
      <c r="AK318" s="8"/>
      <c r="AL318" s="8"/>
      <c r="AM318" s="8"/>
      <c r="AN318" s="8"/>
    </row>
    <row r="319" spans="1:40" ht="25.5" hidden="1">
      <c r="A319" s="8">
        <v>319</v>
      </c>
      <c r="B319" s="11">
        <v>44991.67129795139</v>
      </c>
      <c r="C319" s="8" t="s">
        <v>452</v>
      </c>
      <c r="D319" s="8" t="s">
        <v>453</v>
      </c>
      <c r="E319" s="8" t="s">
        <v>452</v>
      </c>
      <c r="F319" s="8" t="s">
        <v>454</v>
      </c>
      <c r="G319" s="8" t="str">
        <f>", "&amp;'RAW (公開用)'!F320&amp;", "</f>
        <v xml:space="preserve">, シスジェンダー, 中性, （ジェンダー・）フルイド／（ジェンダー・）フリュイド／（ジェンダー・）フルイッド, **必ず選んでください**, ノンバイナリー女性, </v>
      </c>
      <c r="H319" s="8"/>
      <c r="I319" s="8" t="str">
        <f>", "&amp;'RAW (公開用)'!H320&amp;", "</f>
        <v xml:space="preserve">, さん, ちゃん, </v>
      </c>
      <c r="J319" s="8" t="s">
        <v>2335</v>
      </c>
      <c r="K31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319" s="8" t="str">
        <f>", "&amp;'RAW (公開用)'!J320&amp;", "</f>
        <v xml:space="preserve">, **英語を日常的に使わない**, </v>
      </c>
      <c r="M319" s="8" t="s">
        <v>2335</v>
      </c>
      <c r="N31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19" s="8" t="str">
        <f>", "&amp;'RAW (公開用)'!L320&amp;", "</f>
        <v xml:space="preserve">, わし, 私（わたし／わたくし）, わたし, 自分, （時とともに変わる）, </v>
      </c>
      <c r="P319" s="8" t="s">
        <v>2335</v>
      </c>
      <c r="Q31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私（わたし／わたくし）, わたし, 自分, （時とともに変わる）,  , </v>
      </c>
      <c r="R319" s="8" t="str">
        <f>", "&amp;'RAW (公開用)'!N319&amp;", "</f>
        <v xml:space="preserve">, （自分（たち）の名前）, </v>
      </c>
      <c r="S319" s="8" t="s">
        <v>2335</v>
      </c>
      <c r="T31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19" s="8" t="str">
        <f>", "&amp;'RAW (公開用)'!P320&amp;", "</f>
        <v xml:space="preserve">, **英語を日常的に使わない**, </v>
      </c>
      <c r="V319" s="8" t="s">
        <v>455</v>
      </c>
      <c r="W319" s="8" t="str">
        <f>", "&amp;'RAW (公開用)'!R320&amp;", "</f>
        <v xml:space="preserve">, 必要なジェンダーケアへアクセスできない, 社会の中でいないことにされる, </v>
      </c>
      <c r="X319" s="8"/>
      <c r="Y31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社会の中でいないことにされる,  </v>
      </c>
      <c r="Z319" s="8" t="s">
        <v>455</v>
      </c>
      <c r="AA319" s="8" t="str">
        <f>", "&amp;'RAW (公開用)'!U320&amp;", "</f>
        <v xml:space="preserve">, 戸籍名の変更, 声帯にかかわる手術, 胸部の手術, </v>
      </c>
      <c r="AB319" s="8" t="str">
        <f>", "&amp;'RAW (公開用)'!V320&amp;", "</f>
        <v xml:space="preserve">, （上記のどれも経験していない）, </v>
      </c>
      <c r="AC319" s="8"/>
      <c r="AD31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19" s="8" t="s">
        <v>456</v>
      </c>
      <c r="AF319" s="8" t="s">
        <v>457</v>
      </c>
      <c r="AG319" s="8" t="s">
        <v>458</v>
      </c>
      <c r="AH319" s="8"/>
      <c r="AI319" s="8">
        <f t="shared" si="14"/>
        <v>4</v>
      </c>
      <c r="AJ319" s="8"/>
      <c r="AK319" s="8"/>
      <c r="AL319" s="8"/>
      <c r="AM319" s="8"/>
      <c r="AN319" s="8"/>
    </row>
    <row r="320" spans="1:40" ht="38.25" hidden="1">
      <c r="A320" s="8">
        <v>99</v>
      </c>
      <c r="B320" s="11">
        <v>44970.006776759255</v>
      </c>
      <c r="C320" s="8" t="s">
        <v>452</v>
      </c>
      <c r="D320" s="8" t="s">
        <v>453</v>
      </c>
      <c r="E320" s="8" t="s">
        <v>452</v>
      </c>
      <c r="F320" s="8" t="s">
        <v>454</v>
      </c>
      <c r="G320" s="8" t="str">
        <f>", "&amp;'RAW (公開用)'!F100&amp;", "</f>
        <v xml:space="preserve">, 無し, 無性, **必ず選んでください**, クエスチョニング, 不明／わからない, （ジェンダー・）フルイド／（ジェンダー・）フリュイド／（ジェンダー・）フルイッド, </v>
      </c>
      <c r="H320" s="8"/>
      <c r="I320" s="8" t="str">
        <f>", "&amp;'RAW (公開用)'!H100&amp;", "</f>
        <v xml:space="preserve">, （敬称なし）, さん, </v>
      </c>
      <c r="J320" s="8" t="s">
        <v>2335</v>
      </c>
      <c r="K32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20" s="8" t="str">
        <f>", "&amp;'RAW (公開用)'!J100&amp;", "</f>
        <v xml:space="preserve">, -san, Ms., </v>
      </c>
      <c r="M320" s="8" t="s">
        <v>2335</v>
      </c>
      <c r="N32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Ms., , </v>
      </c>
      <c r="O320" s="8" t="str">
        <f>", "&amp;'RAW (公開用)'!L100&amp;", "</f>
        <v xml:space="preserve">, わたし, 私（わたし／わたくし）, 自分, （自分（たち）の名前）, </v>
      </c>
      <c r="P320" s="8" t="s">
        <v>2335</v>
      </c>
      <c r="Q32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自分, （自分（たち）の名前）,  , </v>
      </c>
      <c r="R320" s="8" t="str">
        <f>", "&amp;'RAW (公開用)'!N320&amp;", "</f>
        <v xml:space="preserve">, 彼女, （any／問わない／どれでもよい）, </v>
      </c>
      <c r="S320" s="8" t="s">
        <v>2355</v>
      </c>
      <c r="T32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（any／問わない／どれでもよい）,  , {この/その/あの}+人,</v>
      </c>
      <c r="U320" s="8" t="str">
        <f>", "&amp;'RAW (公開用)'!P100&amp;", "</f>
        <v xml:space="preserve">, she, </v>
      </c>
      <c r="V320" s="8" t="s">
        <v>455</v>
      </c>
      <c r="W320" s="8" t="str">
        <f>", "&amp;'RAW (公開用)'!R100&amp;", "</f>
        <v xml:space="preserve">, LGBTQ+運動からの排斥, 家族／かぞくからの無理解, ミスジェンダリング（誤った性別として扱うこと）, 職場や学校における無理解, カムアウトできない, 社会の中でいないことにされる, </v>
      </c>
      <c r="X320" s="8"/>
      <c r="Y32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家族／かぞくからの無理解, ミスジェンダリング（誤った性別として扱うこと）, 職場や学校における無理解, カムアウトできない, 社会の中でいないことにされる,  </v>
      </c>
      <c r="Z320" s="8" t="s">
        <v>455</v>
      </c>
      <c r="AA320" s="8" t="str">
        <f>", "&amp;'RAW (公開用)'!U100&amp;", "</f>
        <v xml:space="preserve">, 顔にかかわる手術, </v>
      </c>
      <c r="AB320" s="8" t="str">
        <f>", "&amp;'RAW (公開用)'!V100&amp;", "</f>
        <v xml:space="preserve">, （上記のどれも経験していない）, </v>
      </c>
      <c r="AC320" s="8"/>
      <c r="AD32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20" s="8" t="s">
        <v>462</v>
      </c>
      <c r="AF320" s="8" t="s">
        <v>457</v>
      </c>
      <c r="AG320" s="8" t="s">
        <v>458</v>
      </c>
      <c r="AH320" s="8"/>
      <c r="AI320" s="8">
        <f t="shared" si="14"/>
        <v>5</v>
      </c>
      <c r="AJ320" s="8"/>
      <c r="AK320" s="8"/>
      <c r="AL320" s="8"/>
      <c r="AM320" s="8"/>
      <c r="AN320" s="8"/>
    </row>
    <row r="321" spans="1:40" ht="12.75" hidden="1">
      <c r="A321" s="8">
        <v>321</v>
      </c>
      <c r="B321" s="11">
        <v>44991.697156412032</v>
      </c>
      <c r="C321" s="8" t="s">
        <v>452</v>
      </c>
      <c r="D321" s="8" t="s">
        <v>453</v>
      </c>
      <c r="E321" s="8" t="s">
        <v>452</v>
      </c>
      <c r="F321" s="8" t="s">
        <v>454</v>
      </c>
      <c r="G321" s="8" t="str">
        <f>", "&amp;'RAW (公開用)'!F322&amp;", "</f>
        <v xml:space="preserve">, ノンバイナリー女性, クィア／Queer, **必ず選んでください**, </v>
      </c>
      <c r="H321" s="8"/>
      <c r="I321" s="8" t="str">
        <f>", "&amp;'RAW (公開用)'!H322&amp;", "</f>
        <v xml:space="preserve">, さん, ちゃん, （any／問わない／どれでもよい）, </v>
      </c>
      <c r="J321" s="8" t="s">
        <v>2335</v>
      </c>
      <c r="K32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（any／問わない／どれでもよい）,  , </v>
      </c>
      <c r="L321" s="8" t="str">
        <f>", "&amp;'RAW (公開用)'!J322&amp;", "</f>
        <v xml:space="preserve">, **英語を日常的に使わない**, </v>
      </c>
      <c r="M321" s="8" t="s">
        <v>2335</v>
      </c>
      <c r="N32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21" s="8" t="str">
        <f>", "&amp;'RAW (公開用)'!L322&amp;", "</f>
        <v xml:space="preserve">, 自分, 私（わたし／わたくし）, わたし, （自分（たち）の名前）, </v>
      </c>
      <c r="P321" s="8" t="s">
        <v>2335</v>
      </c>
      <c r="Q32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（自分（たち）の名前）,  , </v>
      </c>
      <c r="R321" s="8" t="s">
        <v>2174</v>
      </c>
      <c r="S321" s="8" t="s">
        <v>2335</v>
      </c>
      <c r="T32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321" s="8" t="str">
        <f>", "&amp;'RAW (公開用)'!P322&amp;", "</f>
        <v xml:space="preserve">, they/them/their/themself, she, </v>
      </c>
      <c r="V321" s="8" t="s">
        <v>455</v>
      </c>
      <c r="W321" s="8" t="s">
        <v>2174</v>
      </c>
      <c r="X321" s="8"/>
      <c r="Y32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21" s="8" t="s">
        <v>455</v>
      </c>
      <c r="AA321" s="8" t="str">
        <f>", "&amp;'RAW (公開用)'!U322&amp;", "</f>
        <v xml:space="preserve">, （上記のどれも希望していない）, </v>
      </c>
      <c r="AB321" s="8" t="str">
        <f>", "&amp;'RAW (公開用)'!V322&amp;", "</f>
        <v xml:space="preserve">, （上記のどれも経験していない）, </v>
      </c>
      <c r="AC321" s="8"/>
      <c r="AD32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21" s="8" t="s">
        <v>462</v>
      </c>
      <c r="AF321" s="8" t="s">
        <v>457</v>
      </c>
      <c r="AG321" s="8" t="s">
        <v>458</v>
      </c>
      <c r="AH321" s="8"/>
      <c r="AI321" s="8">
        <f t="shared" si="14"/>
        <v>2</v>
      </c>
      <c r="AJ321" s="8"/>
      <c r="AK321" s="8"/>
      <c r="AL321" s="8"/>
      <c r="AM321" s="8"/>
      <c r="AN321" s="8"/>
    </row>
    <row r="322" spans="1:40" ht="51" hidden="1">
      <c r="A322" s="8">
        <v>322</v>
      </c>
      <c r="B322" s="11">
        <v>44991.751353912041</v>
      </c>
      <c r="C322" s="8" t="s">
        <v>452</v>
      </c>
      <c r="D322" s="8" t="s">
        <v>453</v>
      </c>
      <c r="E322" s="8" t="s">
        <v>452</v>
      </c>
      <c r="F322" s="8" t="s">
        <v>454</v>
      </c>
      <c r="G322" s="8" t="str">
        <f>", "&amp;'RAW (公開用)'!F323&amp;", "</f>
        <v xml:space="preserve">, ノンバイナリー, ジェンダークィア, Aジェンダー／エイジェンダー／アジェンダー／agender, 無性, </v>
      </c>
      <c r="H322" s="8"/>
      <c r="I322" s="8" t="str">
        <f>", "&amp;'RAW (公開用)'!H323&amp;", "</f>
        <v xml:space="preserve">, （any／問わない／どれでもよい）, </v>
      </c>
      <c r="J322" s="8" t="s">
        <v>2335</v>
      </c>
      <c r="K32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22" s="8" t="str">
        <f>", "&amp;'RAW (公開用)'!J323&amp;", "</f>
        <v xml:space="preserve">, **英語を日常的に使わない**, </v>
      </c>
      <c r="M322" s="8" t="s">
        <v>2335</v>
      </c>
      <c r="N32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22" s="8" t="str">
        <f>", "&amp;'RAW (公開用)'!L323&amp;", "</f>
        <v xml:space="preserve">, わたし, 自分, </v>
      </c>
      <c r="P322" s="8" t="s">
        <v>2335</v>
      </c>
      <c r="Q32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 </v>
      </c>
      <c r="R322" s="8" t="str">
        <f>", "&amp;'RAW (公開用)'!N322&amp;", "</f>
        <v xml:space="preserve">, （自分（たち）の名前）, </v>
      </c>
      <c r="S322" s="8" t="s">
        <v>2335</v>
      </c>
      <c r="T32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22" s="8" t="str">
        <f>", "&amp;'RAW (公開用)'!P323&amp;", "</f>
        <v xml:space="preserve">, **英語を日常的に使わない**, </v>
      </c>
      <c r="V322" s="8" t="s">
        <v>455</v>
      </c>
      <c r="W322" s="8" t="str">
        <f>", "&amp;'RAW (公開用)'!R323&amp;", "</f>
        <v xml:space="preserve">, 必要なジェンダーケアへアクセスできない, 社会の中でいないことにされる, </v>
      </c>
      <c r="X322" s="8"/>
      <c r="Y32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社会の中でいないことにされる,  </v>
      </c>
      <c r="Z322" s="8" t="s">
        <v>455</v>
      </c>
      <c r="AA322" s="8" t="str">
        <f>", "&amp;'RAW (公開用)'!U323&amp;", "</f>
        <v xml:space="preserve">, 戸籍名の変更, </v>
      </c>
      <c r="AB322" s="8" t="str">
        <f>", "&amp;'RAW (公開用)'!V323&amp;", "</f>
        <v xml:space="preserve">, （上記のどれも経験していない）, </v>
      </c>
      <c r="AC322" s="8" t="s">
        <v>352</v>
      </c>
      <c r="AD32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籍名を変えたいと思っているが、自分はジェンダークリニックに通っているわけでもなく、身体的な変更を望んでいるわけでもないため、改名するためには通称名の使用実績を作るしかなく、時間がかかること。もう少し簡単に改名できるようになればいいと思う。</v>
      </c>
      <c r="AE322" s="8" t="s">
        <v>474</v>
      </c>
      <c r="AF322" s="8" t="s">
        <v>457</v>
      </c>
      <c r="AG322" s="8" t="s">
        <v>458</v>
      </c>
      <c r="AH322" s="8"/>
      <c r="AI322" s="8">
        <f t="shared" si="14"/>
        <v>4</v>
      </c>
      <c r="AJ322" s="8"/>
      <c r="AK322" s="8"/>
      <c r="AL322" s="8"/>
      <c r="AM322" s="8"/>
      <c r="AN322" s="8"/>
    </row>
    <row r="323" spans="1:40" ht="12.75" hidden="1">
      <c r="A323" s="8">
        <v>323</v>
      </c>
      <c r="B323" s="11">
        <v>44991.754279259258</v>
      </c>
      <c r="C323" s="8" t="s">
        <v>452</v>
      </c>
      <c r="D323" s="8" t="s">
        <v>453</v>
      </c>
      <c r="E323" s="8" t="s">
        <v>452</v>
      </c>
      <c r="F323" s="8" t="s">
        <v>454</v>
      </c>
      <c r="G323" s="8" t="str">
        <f>", "&amp;'RAW (公開用)'!F324&amp;", "</f>
        <v xml:space="preserve">, ノンバイナリー, </v>
      </c>
      <c r="H323" s="8"/>
      <c r="I323" s="8" t="str">
        <f>", "&amp;'RAW (公開用)'!H324&amp;", "</f>
        <v xml:space="preserve">, さん, </v>
      </c>
      <c r="J323" s="8" t="s">
        <v>2335</v>
      </c>
      <c r="K32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23" s="8" t="str">
        <f>", "&amp;'RAW (公開用)'!J324&amp;", "</f>
        <v xml:space="preserve">, **英語を日常的に使わない**, </v>
      </c>
      <c r="M323" s="8" t="s">
        <v>2335</v>
      </c>
      <c r="N32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23" s="8" t="str">
        <f>", "&amp;'RAW (公開用)'!L324&amp;", "</f>
        <v xml:space="preserve">, わたし, </v>
      </c>
      <c r="P323" s="8" t="s">
        <v>2335</v>
      </c>
      <c r="Q32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23" s="8" t="str">
        <f>", "&amp;'RAW (公開用)'!N323&amp;", "</f>
        <v xml:space="preserve">, （三人称で言及してほしくない）, （自分（たち）の名前）, </v>
      </c>
      <c r="S323" s="8" t="s">
        <v>2335</v>
      </c>
      <c r="T32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23" s="8" t="str">
        <f>", "&amp;'RAW (公開用)'!P324&amp;", "</f>
        <v xml:space="preserve">, **英語を日常的に使わない**, </v>
      </c>
      <c r="V323" s="8" t="s">
        <v>455</v>
      </c>
      <c r="W323" s="8" t="str">
        <f>", "&amp;'RAW (公開用)'!R324&amp;", "</f>
        <v xml:space="preserve">, 医療における無理解, LGBTQ+運動からの排斥, 社会の中でいないことにされる, </v>
      </c>
      <c r="X323" s="8"/>
      <c r="Y32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LGBTQ+運動からの排斥, 社会の中でいないことにされる,  </v>
      </c>
      <c r="Z323" s="8" t="s">
        <v>455</v>
      </c>
      <c r="AA323" s="8" t="str">
        <f>", "&amp;'RAW (公開用)'!U324&amp;", "</f>
        <v xml:space="preserve">, （上記のどれも希望していない）, </v>
      </c>
      <c r="AB323" s="8" t="str">
        <f>", "&amp;'RAW (公開用)'!V324&amp;", "</f>
        <v xml:space="preserve">, （上記のどれも経験していない）, </v>
      </c>
      <c r="AC323" s="8"/>
      <c r="AD32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23" s="8" t="s">
        <v>479</v>
      </c>
      <c r="AF323" s="8" t="s">
        <v>457</v>
      </c>
      <c r="AG323" s="8" t="s">
        <v>458</v>
      </c>
      <c r="AH323" s="8"/>
      <c r="AI323" s="8">
        <f t="shared" si="14"/>
        <v>1</v>
      </c>
      <c r="AJ323" s="8"/>
      <c r="AK323" s="8"/>
      <c r="AL323" s="8"/>
      <c r="AM323" s="8"/>
      <c r="AN323" s="8"/>
    </row>
    <row r="324" spans="1:40" ht="38.25" hidden="1">
      <c r="A324" s="8">
        <v>324</v>
      </c>
      <c r="B324" s="11">
        <v>44991.759694293985</v>
      </c>
      <c r="C324" s="8" t="s">
        <v>452</v>
      </c>
      <c r="D324" s="8" t="s">
        <v>453</v>
      </c>
      <c r="E324" s="8" t="s">
        <v>452</v>
      </c>
      <c r="F324" s="8" t="s">
        <v>454</v>
      </c>
      <c r="G324" s="8" t="str">
        <f>", "&amp;'RAW (公開用)'!F325&amp;", "</f>
        <v xml:space="preserve">, ノンバイナリー, 無性, </v>
      </c>
      <c r="H324" s="8"/>
      <c r="I324" s="8" t="str">
        <f>", "&amp;'RAW (公開用)'!H325&amp;", "</f>
        <v xml:space="preserve">, さん, （敬称なし）, </v>
      </c>
      <c r="J324" s="8" t="s">
        <v>2335</v>
      </c>
      <c r="K32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324" s="8" t="str">
        <f>", "&amp;'RAW (公開用)'!J325&amp;", "</f>
        <v xml:space="preserve">, Mx., </v>
      </c>
      <c r="M324" s="8" t="s">
        <v>2335</v>
      </c>
      <c r="N32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324" s="8" t="str">
        <f>", "&amp;'RAW (公開用)'!L325&amp;", "</f>
        <v xml:space="preserve">, （一人称の使用を避ける）, 自分, （時とともに変わる）, （自分（たち）の名前）, 私（わたし／わたくし）, </v>
      </c>
      <c r="P324" s="8" t="s">
        <v>2335</v>
      </c>
      <c r="Q32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自分, （時とともに変わる）, （自分（たち）の名前）, 私（わたし／わたくし）,  , </v>
      </c>
      <c r="R324" s="8" t="str">
        <f>", "&amp;'RAW (公開用)'!N324&amp;", "</f>
        <v xml:space="preserve">, （自分（たち）の名前）, </v>
      </c>
      <c r="S324" s="8" t="s">
        <v>2335</v>
      </c>
      <c r="T32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24" s="8" t="str">
        <f>", "&amp;'RAW (公開用)'!P325&amp;", "</f>
        <v xml:space="preserve">, they/them/their/themself, </v>
      </c>
      <c r="V324" s="8" t="s">
        <v>455</v>
      </c>
      <c r="W324" s="8" t="str">
        <f>", "&amp;'RAW (公開用)'!R325&amp;", "</f>
        <v xml:space="preserve">, 職場や学校における無理解, ミスジェンダリング（誤った性別として扱うこと）, 社会の中でいないことにされる, デッドネーミング（誤った名前で呼ばれること）, トイレなどのジェンダー化されたスペースの使用, </v>
      </c>
      <c r="X324" s="8"/>
      <c r="Y32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ミスジェンダリング（誤った性別として扱うこと）, 社会の中でいないことにされる, デッドネーミング（誤った名前で呼ばれること）, トイレなどのジェンダー化されたスペースの使用,  </v>
      </c>
      <c r="Z324" s="8" t="s">
        <v>455</v>
      </c>
      <c r="AA324" s="8" t="str">
        <f>", "&amp;'RAW (公開用)'!U325&amp;", "</f>
        <v xml:space="preserve">, 戸籍名の変更, 戸籍上の性別の変更, ジェンダークリニックの受診, ホルモン補充療法（HRT）, 性器にかかわる手術, </v>
      </c>
      <c r="AB324" s="8" t="str">
        <f>", "&amp;'RAW (公開用)'!V325&amp;", "</f>
        <v xml:space="preserve">, ジェンダークリニックの受診, ホルモン補充療法（HRT）, </v>
      </c>
      <c r="AC324" s="8"/>
      <c r="AD324"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ホルモン補充療法（HRT）,  </v>
      </c>
      <c r="AE324" s="8" t="s">
        <v>464</v>
      </c>
      <c r="AF324" s="8" t="s">
        <v>457</v>
      </c>
      <c r="AG324" s="8" t="s">
        <v>458</v>
      </c>
      <c r="AH324" s="8"/>
      <c r="AI324" s="8">
        <f t="shared" si="14"/>
        <v>2</v>
      </c>
      <c r="AJ324" s="8"/>
      <c r="AK324" s="8"/>
      <c r="AL324" s="8"/>
      <c r="AM324" s="8"/>
      <c r="AN324" s="8"/>
    </row>
    <row r="325" spans="1:40" ht="38.25" hidden="1">
      <c r="A325" s="8">
        <v>325</v>
      </c>
      <c r="B325" s="11">
        <v>44991.795007789347</v>
      </c>
      <c r="C325" s="8" t="s">
        <v>452</v>
      </c>
      <c r="D325" s="8" t="s">
        <v>453</v>
      </c>
      <c r="E325" s="8" t="s">
        <v>452</v>
      </c>
      <c r="F325" s="8" t="s">
        <v>454</v>
      </c>
      <c r="G325" s="8" t="str">
        <f>", "&amp;'RAW (公開用)'!F326&amp;", "</f>
        <v xml:space="preserve">, X, ジェンダーレス, ノンバイナリー女性, Xジェンダー, ノンバイナリー男性, ニュートラル, ノンバイナリー, Aジェンダー／エイジェンダー／アジェンダー／agender, </v>
      </c>
      <c r="H325" s="8"/>
      <c r="I325" s="8" t="str">
        <f>", "&amp;'RAW (公開用)'!H326&amp;", "</f>
        <v xml:space="preserve">, （クエスチョニング、模索中、または不明）, さん, </v>
      </c>
      <c r="J325" s="8" t="s">
        <v>2335</v>
      </c>
      <c r="K32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325" s="8" t="str">
        <f>", "&amp;'RAW (公開用)'!J326&amp;", "</f>
        <v xml:space="preserve">, （クエスチョニング、模索中、または不明）, </v>
      </c>
      <c r="M325" s="8" t="s">
        <v>2335</v>
      </c>
      <c r="N32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 </v>
      </c>
      <c r="O325" s="8" t="str">
        <f>", "&amp;'RAW (公開用)'!L326&amp;", "</f>
        <v xml:space="preserve">, 私（わたし／わたくし）, </v>
      </c>
      <c r="P325" s="8" t="s">
        <v>2335</v>
      </c>
      <c r="Q32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25" s="8" t="str">
        <f>", "&amp;'RAW (公開用)'!N325&amp;", "</f>
        <v xml:space="preserve">, （三人称で言及してほしくない）, </v>
      </c>
      <c r="S325" s="8" t="s">
        <v>2335</v>
      </c>
      <c r="T32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25" s="8" t="str">
        <f>", "&amp;'RAW (公開用)'!P326&amp;", "</f>
        <v xml:space="preserve">, they/them/their/themselves, </v>
      </c>
      <c r="V325" s="8" t="s">
        <v>455</v>
      </c>
      <c r="W325" s="8" t="str">
        <f>", "&amp;'RAW (公開用)'!R326&amp;", "</f>
        <v xml:space="preserve">, 医療における無理解, カムアウトできない, 家族／かぞくからの無理解, 必要なジェンダーケアへアクセスできない, 社会の中でいないことにされる, </v>
      </c>
      <c r="X325" s="8"/>
      <c r="Y32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カムアウトできない, 家族／かぞくからの無理解, 必要なジェンダーケアへアクセスできない, 社会の中でいないことにされる,  </v>
      </c>
      <c r="Z325" s="8" t="s">
        <v>455</v>
      </c>
      <c r="AA325" s="8" t="str">
        <f>", "&amp;'RAW (公開用)'!U326&amp;", "</f>
        <v xml:space="preserve">, ジェンダークリニックの受診, 胸部の手術, </v>
      </c>
      <c r="AB325" s="8" t="str">
        <f>", "&amp;'RAW (公開用)'!V326&amp;", "</f>
        <v xml:space="preserve">, 胸部の手術, </v>
      </c>
      <c r="AC325" s="8"/>
      <c r="AD325" s="8" t="str">
        <f>テーブル1[[#This Row],[以下のうち、経験したものをすべて選んでください]]&amp;" "&amp;テーブル1[[#This Row],[社会的、法的、医学的トランジションについて、困難なこと等がありましたらここにお書きください]]</f>
        <v xml:space="preserve">, 胸部の手術,  </v>
      </c>
      <c r="AE325" s="8" t="s">
        <v>456</v>
      </c>
      <c r="AF325" s="8" t="s">
        <v>457</v>
      </c>
      <c r="AG325" s="8" t="s">
        <v>458</v>
      </c>
      <c r="AH325" s="8"/>
      <c r="AI325" s="8">
        <f t="shared" si="14"/>
        <v>8</v>
      </c>
      <c r="AJ325" s="8"/>
      <c r="AK325" s="8"/>
      <c r="AL325" s="8"/>
      <c r="AM325" s="8"/>
      <c r="AN325" s="8"/>
    </row>
    <row r="326" spans="1:40" ht="89.25" hidden="1">
      <c r="A326" s="8">
        <v>326</v>
      </c>
      <c r="B326" s="11">
        <v>44991.800930162033</v>
      </c>
      <c r="C326" s="8" t="s">
        <v>452</v>
      </c>
      <c r="D326" s="8" t="s">
        <v>453</v>
      </c>
      <c r="E326" s="8" t="s">
        <v>452</v>
      </c>
      <c r="F326" s="8" t="s">
        <v>454</v>
      </c>
      <c r="G326" s="8" t="str">
        <f>", "&amp;'RAW (公開用)'!F327&amp;", "</f>
        <v xml:space="preserve">, レズビアン（ジェンダーについて）, 中性, </v>
      </c>
      <c r="H326" s="8"/>
      <c r="I326" s="8" t="str">
        <f>", "&amp;'RAW (公開用)'!H327&amp;", "</f>
        <v xml:space="preserve">, さん, </v>
      </c>
      <c r="J326" s="8" t="s">
        <v>2335</v>
      </c>
      <c r="K32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26" s="8" t="str">
        <f>", "&amp;'RAW (公開用)'!J327&amp;", "</f>
        <v xml:space="preserve">, **英語を日常的に使わない**, </v>
      </c>
      <c r="M326" s="8" t="s">
        <v>2335</v>
      </c>
      <c r="N32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26" s="8" t="str">
        <f>", "&amp;'RAW (公開用)'!L327&amp;", "</f>
        <v xml:space="preserve">, 私（わたし／わたくし）, わたし, </v>
      </c>
      <c r="P326" s="8" t="s">
        <v>2335</v>
      </c>
      <c r="Q32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326" s="8" t="str">
        <f>", "&amp;'RAW (公開用)'!N326&amp;", "</f>
        <v xml:space="preserve">, （自分（たち）の名前）, </v>
      </c>
      <c r="S326" s="8" t="s">
        <v>2335</v>
      </c>
      <c r="T32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26" s="8" t="str">
        <f>", "&amp;'RAW (公開用)'!P327&amp;", "</f>
        <v xml:space="preserve">, **英語を日常的に使わない**, </v>
      </c>
      <c r="V326" s="8" t="s">
        <v>455</v>
      </c>
      <c r="W326" s="8" t="str">
        <f>", "&amp;'RAW (公開用)'!R327&amp;", "</f>
        <v xml:space="preserve">, アウティング（勝手にジェンダーや指向についての情報を明かされること）, 職場や学校における無理解, 性暴力, </v>
      </c>
      <c r="X326" s="8" t="s">
        <v>224</v>
      </c>
      <c r="Y32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アウティング（勝手にジェンダーや指向についての情報を明かされること）, 職場や学校における無理解, 性暴力,  トランス女性(MTF)の立場と存在を利用した、悪意あるシスヘテロ男性の、女性専用スペースへの侵入が怖い。そしてそれをトランス差別と糾弾する現在の風潮はおかしいと思う。「身体が男性、心は女性、恋愛対象は女性」という人の存在は否定しないが、そういった「本物」の方よりも「性暴力に利用したい男性」が圧倒的に多い、またはこれから爆発的に増えると思う。</v>
      </c>
      <c r="Z326" s="8" t="s">
        <v>455</v>
      </c>
      <c r="AA326" s="8" t="str">
        <f>", "&amp;'RAW (公開用)'!U327&amp;", "</f>
        <v xml:space="preserve">, （上記のどれも希望していない）, </v>
      </c>
      <c r="AB326" s="8" t="str">
        <f>", "&amp;'RAW (公開用)'!V327&amp;", "</f>
        <v xml:space="preserve">, （上記のどれも経験していない）, </v>
      </c>
      <c r="AC326" s="8" t="s">
        <v>328</v>
      </c>
      <c r="AD32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私個人は性別の変更などを希望しないが、同性婚とトランス問題を混同している人があまりにも多いと感じます。</v>
      </c>
      <c r="AE326" s="8" t="s">
        <v>474</v>
      </c>
      <c r="AF326" s="8" t="s">
        <v>457</v>
      </c>
      <c r="AG326" s="8" t="s">
        <v>458</v>
      </c>
      <c r="AH326" s="8"/>
      <c r="AI326" s="8">
        <f t="shared" si="14"/>
        <v>2</v>
      </c>
      <c r="AJ326" s="8"/>
      <c r="AK326" s="8"/>
      <c r="AL326" s="8"/>
      <c r="AM326" s="8"/>
      <c r="AN326" s="8"/>
    </row>
    <row r="327" spans="1:40" ht="25.5" hidden="1">
      <c r="A327" s="8">
        <v>125</v>
      </c>
      <c r="B327" s="11">
        <v>44970.424646238425</v>
      </c>
      <c r="C327" s="8" t="s">
        <v>452</v>
      </c>
      <c r="D327" s="8" t="s">
        <v>453</v>
      </c>
      <c r="E327" s="8" t="s">
        <v>452</v>
      </c>
      <c r="F327" s="8" t="s">
        <v>454</v>
      </c>
      <c r="G327" s="8" t="str">
        <f>", "&amp;'RAW (公開用)'!F126&amp;", "</f>
        <v xml:space="preserve">, **必ず選んでください**, ノンバイナリー, </v>
      </c>
      <c r="H327" s="8"/>
      <c r="I327" s="8" t="str">
        <f>", "&amp;'RAW (公開用)'!H126&amp;", "</f>
        <v xml:space="preserve">, さん, </v>
      </c>
      <c r="J327" s="8" t="s">
        <v>2335</v>
      </c>
      <c r="K32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27" s="8" t="str">
        <f>", "&amp;'RAW (公開用)'!J126&amp;", "</f>
        <v xml:space="preserve">, **英語を日常的に使わない**, </v>
      </c>
      <c r="M327" s="8" t="s">
        <v>2335</v>
      </c>
      <c r="N32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27" s="8" t="str">
        <f>", "&amp;'RAW (公開用)'!L126&amp;", "</f>
        <v xml:space="preserve">, おれ, ぼく, 自分, （一人称の使用を避ける）, 私（わたし／わたくし）, </v>
      </c>
      <c r="P327" s="8" t="s">
        <v>2335</v>
      </c>
      <c r="Q32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ぼく, 自分, （一人称の使用を避ける）, 私（わたし／わたくし）,  , </v>
      </c>
      <c r="R327" s="8" t="str">
        <f>", "&amp;'RAW (公開用)'!N327&amp;", "</f>
        <v xml:space="preserve">, 彼女, </v>
      </c>
      <c r="S327" s="8" t="s">
        <v>2355</v>
      </c>
      <c r="T32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 {この/その/あの}+人,</v>
      </c>
      <c r="U327" s="8" t="str">
        <f>", "&amp;'RAW (公開用)'!P126&amp;", "</f>
        <v xml:space="preserve">, **英語を日常的に使わない**, </v>
      </c>
      <c r="V327" s="8" t="s">
        <v>455</v>
      </c>
      <c r="W327" s="8" t="str">
        <f>", "&amp;'RAW (公開用)'!R126&amp;", "</f>
        <v xml:space="preserve">, ミスジェンダリング（誤った性別として扱うこと）, カムアウトできない, 社会の中でいないことにされる, </v>
      </c>
      <c r="X327" s="8"/>
      <c r="Y32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社会の中でいないことにされる,  </v>
      </c>
      <c r="Z327" s="8" t="s">
        <v>455</v>
      </c>
      <c r="AA327" s="8" t="str">
        <f>", "&amp;'RAW (公開用)'!U126&amp;", "</f>
        <v xml:space="preserve">, 戸籍上の性別の変更, </v>
      </c>
      <c r="AB327" s="8" t="str">
        <f>", "&amp;'RAW (公開用)'!V126&amp;", "</f>
        <v xml:space="preserve">, （上記のどれも経験していない）, </v>
      </c>
      <c r="AC327" s="8"/>
      <c r="AD32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27" s="8" t="s">
        <v>474</v>
      </c>
      <c r="AF327" s="8" t="s">
        <v>457</v>
      </c>
      <c r="AG327" s="8" t="s">
        <v>458</v>
      </c>
      <c r="AH327" s="8"/>
      <c r="AI327" s="8">
        <f t="shared" si="14"/>
        <v>1</v>
      </c>
      <c r="AJ327" s="8"/>
      <c r="AK327" s="8"/>
      <c r="AL327" s="8"/>
      <c r="AM327" s="8"/>
      <c r="AN327" s="8"/>
    </row>
    <row r="328" spans="1:40" ht="63.75" hidden="1">
      <c r="A328" s="8">
        <v>328</v>
      </c>
      <c r="B328" s="11">
        <v>44991.856209594909</v>
      </c>
      <c r="C328" s="8" t="s">
        <v>452</v>
      </c>
      <c r="D328" s="8" t="s">
        <v>453</v>
      </c>
      <c r="E328" s="8" t="s">
        <v>452</v>
      </c>
      <c r="F328" s="8" t="s">
        <v>454</v>
      </c>
      <c r="G328" s="8" t="str">
        <f>", "&amp;'RAW (公開用)'!F329&amp;", "</f>
        <v xml:space="preserve">, Xジェンダー, ジェンダーレス, X, 無し, **必ず選んでください**, </v>
      </c>
      <c r="H328" s="8"/>
      <c r="I328" s="8" t="str">
        <f>", "&amp;'RAW (公開用)'!H329&amp;", "</f>
        <v xml:space="preserve">, （敬称なし）, さん, </v>
      </c>
      <c r="J328" s="8" t="s">
        <v>2335</v>
      </c>
      <c r="K32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28" s="8" t="str">
        <f>", "&amp;'RAW (公開用)'!J329&amp;", "</f>
        <v xml:space="preserve">, **英語を日常的に使わない**, （クエスチョニング、模索中、または不明）, </v>
      </c>
      <c r="M328" s="8" t="s">
        <v>2335</v>
      </c>
      <c r="N32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328" s="8" t="str">
        <f>", "&amp;'RAW (公開用)'!L329&amp;", "</f>
        <v xml:space="preserve">, （自分（たち）の名前）, 自分, 私（わたし／わたくし）, </v>
      </c>
      <c r="P328" s="8" t="s">
        <v>2335</v>
      </c>
      <c r="Q32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自分, 私（わたし／わたくし）,  , </v>
      </c>
      <c r="R328" s="8" t="str">
        <f>", "&amp;'RAW (公開用)'!N328&amp;", "</f>
        <v xml:space="preserve">, （自分（たち）の名前）, </v>
      </c>
      <c r="S328" s="8" t="s">
        <v>2335</v>
      </c>
      <c r="T32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28" s="8" t="str">
        <f>", "&amp;'RAW (公開用)'!P329&amp;", "</f>
        <v xml:space="preserve">, （クエスチョニング、模索中、または不明）, </v>
      </c>
      <c r="V328" s="8" t="s">
        <v>455</v>
      </c>
      <c r="W328" s="8" t="str">
        <f>", "&amp;'RAW (公開用)'!R329&amp;", "</f>
        <v xml:space="preserve">, 家族／かぞくからの無理解, デッドネーミング（誤った名前で呼ばれること）, 必要なジェンダーケアへアクセスできない, 社会の中でいないことにされる, アウティング（勝手にジェンダーや指向についての情報を明かされること）, カムアウトできない, ミスジェンダリング（誤った性別として扱うこと）, トイレなどのジェンダー化されたスペースの使用, 職場や学校における無理解, </v>
      </c>
      <c r="X328" s="8"/>
      <c r="Y32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デッドネーミング（誤った名前で呼ばれること）, 必要なジェンダーケアへアクセスできない, 社会の中でいないことにされる, アウティング（勝手にジェンダーや指向についての情報を明かされること）, カムアウトできない, ミスジェンダリング（誤った性別として扱うこと）, トイレなどのジェンダー化されたスペースの使用, 職場や学校における無理解,  </v>
      </c>
      <c r="Z328" s="8" t="s">
        <v>455</v>
      </c>
      <c r="AA328" s="8" t="str">
        <f>", "&amp;'RAW (公開用)'!U329&amp;", "</f>
        <v xml:space="preserve">, （上記のどれも希望していない）, </v>
      </c>
      <c r="AB328" s="8" t="str">
        <f>", "&amp;'RAW (公開用)'!V329&amp;", "</f>
        <v xml:space="preserve">, （上記のどれも経験していない）, </v>
      </c>
      <c r="AC328" s="8"/>
      <c r="AD32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28" s="8" t="s">
        <v>462</v>
      </c>
      <c r="AF328" s="8" t="s">
        <v>457</v>
      </c>
      <c r="AG328" s="8" t="s">
        <v>458</v>
      </c>
      <c r="AH328" s="8"/>
      <c r="AI328" s="8">
        <f t="shared" si="14"/>
        <v>4</v>
      </c>
      <c r="AJ328" s="8"/>
      <c r="AK328" s="8"/>
      <c r="AL328" s="8"/>
      <c r="AM328" s="8"/>
      <c r="AN328" s="8"/>
    </row>
    <row r="329" spans="1:40" ht="25.5" hidden="1">
      <c r="A329" s="8">
        <v>329</v>
      </c>
      <c r="B329" s="11">
        <v>44991.861999293978</v>
      </c>
      <c r="C329" s="8" t="s">
        <v>452</v>
      </c>
      <c r="D329" s="8" t="s">
        <v>453</v>
      </c>
      <c r="E329" s="8" t="s">
        <v>452</v>
      </c>
      <c r="F329" s="8" t="s">
        <v>454</v>
      </c>
      <c r="G329" s="8" t="str">
        <f>", "&amp;'RAW (公開用)'!F330&amp;", "</f>
        <v xml:space="preserve">, ジェンダークィア, クィア／Queer, ノンバイナリー, </v>
      </c>
      <c r="H329" s="8"/>
      <c r="I329" s="8" t="str">
        <f>", "&amp;'RAW (公開用)'!H330&amp;", "</f>
        <v xml:space="preserve">, さん, </v>
      </c>
      <c r="J329" s="8" t="s">
        <v>2335</v>
      </c>
      <c r="K32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29" s="8" t="str">
        <f>", "&amp;'RAW (公開用)'!J330&amp;", "</f>
        <v xml:space="preserve">, （敬称なし）, </v>
      </c>
      <c r="M329" s="8" t="s">
        <v>2335</v>
      </c>
      <c r="N32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329" s="8" t="str">
        <f>", "&amp;'RAW (公開用)'!L330&amp;", "</f>
        <v xml:space="preserve">, 自分, 私（わたし／わたくし）, わたし, </v>
      </c>
      <c r="P329" s="8" t="s">
        <v>2335</v>
      </c>
      <c r="Q32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わたし,  , </v>
      </c>
      <c r="R329" s="8" t="str">
        <f>", "&amp;'RAW (公開用)'!N329&amp;", "</f>
        <v xml:space="preserve">, （自分（たち）の名前）, </v>
      </c>
      <c r="S329" s="8" t="s">
        <v>2335</v>
      </c>
      <c r="T32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29" s="8" t="str">
        <f>", "&amp;'RAW (公開用)'!P330&amp;", "</f>
        <v xml:space="preserve">, they/them/their/themself, any/問わない/どれでもよい, </v>
      </c>
      <c r="V329" s="8" t="s">
        <v>455</v>
      </c>
      <c r="W329" s="8" t="str">
        <f>", "&amp;'RAW (公開用)'!R330&amp;", "</f>
        <v xml:space="preserve">, 社会の中でいないことにされる, アウティング（勝手にジェンダーや指向についての情報を明かされること）, LGBTQ+運動からの排斥, カムアウトできない, </v>
      </c>
      <c r="X329" s="8"/>
      <c r="Y32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アウティング（勝手にジェンダーや指向についての情報を明かされること）, LGBTQ+運動からの排斥, カムアウトできない,  </v>
      </c>
      <c r="Z329" s="8" t="s">
        <v>455</v>
      </c>
      <c r="AA329" s="8" t="str">
        <f>", "&amp;'RAW (公開用)'!U330&amp;", "</f>
        <v xml:space="preserve">, 顔にかかわる手術, </v>
      </c>
      <c r="AB329" s="105" t="s">
        <v>2443</v>
      </c>
      <c r="AC329" s="8"/>
      <c r="AD32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29" s="8" t="s">
        <v>456</v>
      </c>
      <c r="AF329" s="8" t="s">
        <v>457</v>
      </c>
      <c r="AG329" s="8" t="s">
        <v>458</v>
      </c>
      <c r="AH329" s="8"/>
      <c r="AI329" s="8">
        <f t="shared" si="14"/>
        <v>3</v>
      </c>
      <c r="AJ329" s="8"/>
      <c r="AK329" s="8"/>
      <c r="AL329" s="8"/>
      <c r="AM329" s="8"/>
      <c r="AN329" s="8"/>
    </row>
    <row r="330" spans="1:40" ht="25.5" hidden="1">
      <c r="A330" s="8">
        <v>330</v>
      </c>
      <c r="B330" s="11">
        <v>44991.868626863426</v>
      </c>
      <c r="C330" s="8" t="s">
        <v>452</v>
      </c>
      <c r="D330" s="8" t="s">
        <v>453</v>
      </c>
      <c r="E330" s="8" t="s">
        <v>452</v>
      </c>
      <c r="F330" s="8" t="s">
        <v>454</v>
      </c>
      <c r="G330" s="8" t="str">
        <f>", "&amp;'RAW (公開用)'!F331&amp;", "</f>
        <v xml:space="preserve">, Xジェンダー, </v>
      </c>
      <c r="H330" s="8"/>
      <c r="I330" s="8" t="str">
        <f>", "&amp;'RAW (公開用)'!H331&amp;", "</f>
        <v xml:space="preserve">, （時とともに変わる）, </v>
      </c>
      <c r="J330" s="8" t="s">
        <v>2335</v>
      </c>
      <c r="K33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 </v>
      </c>
      <c r="L330" s="8" t="str">
        <f>", "&amp;'RAW (公開用)'!J331&amp;", "</f>
        <v xml:space="preserve">, **英語を日常的に使わない**, </v>
      </c>
      <c r="M330" s="8" t="s">
        <v>2335</v>
      </c>
      <c r="N33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0" s="8" t="str">
        <f>", "&amp;'RAW (公開用)'!L331&amp;", "</f>
        <v xml:space="preserve">, 俺, 私（わたし／わたくし）, </v>
      </c>
      <c r="P330" s="8" t="s">
        <v>2335</v>
      </c>
      <c r="Q33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 </v>
      </c>
      <c r="R330" s="8" t="str">
        <f>", "&amp;'RAW (公開用)'!N330&amp;", "</f>
        <v xml:space="preserve">, （any／問わない／どれでもよい）, </v>
      </c>
      <c r="S330" s="8" t="s">
        <v>2335</v>
      </c>
      <c r="T33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330" s="8" t="str">
        <f>", "&amp;'RAW (公開用)'!P331&amp;", "</f>
        <v xml:space="preserve">, **英語を日常的に使わない**, </v>
      </c>
      <c r="V330" s="8" t="s">
        <v>455</v>
      </c>
      <c r="W330" s="8" t="str">
        <f>", "&amp;'RAW (公開用)'!R331&amp;", "</f>
        <v xml:space="preserve">, 職場や学校における無理解, 社会の中でいないことにされる, トイレなどのジェンダー化されたスペースの使用, 家族／かぞくからの無理解, </v>
      </c>
      <c r="X330" s="8"/>
      <c r="Y33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社会の中でいないことにされる, トイレなどのジェンダー化されたスペースの使用, 家族／かぞくからの無理解,  </v>
      </c>
      <c r="Z330" s="8" t="s">
        <v>472</v>
      </c>
      <c r="AA330" s="8" t="s">
        <v>2174</v>
      </c>
      <c r="AB330" s="105" t="s">
        <v>2443</v>
      </c>
      <c r="AC330" s="8"/>
      <c r="AD330"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30" s="8" t="s">
        <v>464</v>
      </c>
      <c r="AF330" s="8" t="s">
        <v>457</v>
      </c>
      <c r="AG330" s="8" t="s">
        <v>458</v>
      </c>
      <c r="AH330" s="8"/>
      <c r="AI330" s="8">
        <f t="shared" si="14"/>
        <v>1</v>
      </c>
      <c r="AJ330" s="8"/>
      <c r="AK330" s="8"/>
      <c r="AL330" s="8"/>
      <c r="AM330" s="8"/>
      <c r="AN330" s="8"/>
    </row>
    <row r="331" spans="1:40" ht="76.5" hidden="1">
      <c r="A331" s="8">
        <v>331</v>
      </c>
      <c r="B331" s="11">
        <v>44991.888240682871</v>
      </c>
      <c r="C331" s="8" t="s">
        <v>452</v>
      </c>
      <c r="D331" s="8" t="s">
        <v>453</v>
      </c>
      <c r="E331" s="8" t="s">
        <v>452</v>
      </c>
      <c r="F331" s="8" t="s">
        <v>454</v>
      </c>
      <c r="G331" s="8" t="str">
        <f>", "&amp;'RAW (公開用)'!F332&amp;", "</f>
        <v xml:space="preserve">, トランスジェンダー, 男性／man, 無性, トランス*／trans*, ジェンダークィア, 両性, enby／エンビー, トランス, ノンバイナリー, X, バイジェンダー, Xジェンダー, 女性／woman, </v>
      </c>
      <c r="H331" s="8"/>
      <c r="I331" s="8" t="str">
        <f>", "&amp;'RAW (公開用)'!H332&amp;", "</f>
        <v xml:space="preserve">, さん, </v>
      </c>
      <c r="J331" s="8" t="s">
        <v>2335</v>
      </c>
      <c r="K33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31" s="8" t="str">
        <f>", "&amp;'RAW (公開用)'!J332&amp;", "</f>
        <v xml:space="preserve">, **英語を日常的に使わない**, </v>
      </c>
      <c r="M331" s="8" t="s">
        <v>2335</v>
      </c>
      <c r="N33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1" s="8" t="str">
        <f>", "&amp;'RAW (公開用)'!L332&amp;", "</f>
        <v xml:space="preserve">, ぼく, 自分, 私（わたし／わたくし）, わたし, わたくし, </v>
      </c>
      <c r="P331" s="8" t="s">
        <v>2335</v>
      </c>
      <c r="Q33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自分, 私（わたし／わたくし）, わたし, わたくし,  , </v>
      </c>
      <c r="R331" s="8" t="str">
        <f>", "&amp;'RAW (公開用)'!N331&amp;", "</f>
        <v xml:space="preserve">, （三人称で言及してほしくない）, </v>
      </c>
      <c r="S331" s="8" t="s">
        <v>2335</v>
      </c>
      <c r="T33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31" s="8" t="str">
        <f>", "&amp;'RAW (公開用)'!P332&amp;", "</f>
        <v xml:space="preserve">, **英語を日常的に使わない**, </v>
      </c>
      <c r="V331" s="8" t="s">
        <v>455</v>
      </c>
      <c r="W331" s="8" t="str">
        <f>", "&amp;'RAW (公開用)'!R332&amp;", "</f>
        <v xml:space="preserve">, 医療における無理解, 必要なジェンダーケアへアクセスできない, トイレなどのジェンダー化されたスペースの使用, アウティング（勝手にジェンダーや指向についての情報を明かされること）, ミスジェンダリング（誤った性別として扱うこと）, デッドネーミング（誤った名前で呼ばれること）, 職場や学校における無理解, 社会の中でいないことにされる, </v>
      </c>
      <c r="X331" s="8" t="s">
        <v>241</v>
      </c>
      <c r="Y33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医療における無理解, 必要なジェンダーケアへアクセスできない, トイレなどのジェンダー化されたスペースの使用, アウティング（勝手にジェンダーや指向についての情報を明かされること）, ミスジェンダリング（誤った性別として扱うこと）, デッドネーミング（誤った名前で呼ばれること）, 職場や学校における無理解, 社会の中でいないことにされる,  十分に機能している相互扶助コミュニティがない</v>
      </c>
      <c r="Z331" s="8" t="s">
        <v>455</v>
      </c>
      <c r="AA331" s="8" t="str">
        <f>", "&amp;'RAW (公開用)'!U332&amp;", "</f>
        <v xml:space="preserve">, 戸籍名の変更, 戸籍上の性別の変更, ジェンダークリニックの受診, ホルモン補充療法（HRT）, 顔にかかわる手術, 性器にかかわる手術, </v>
      </c>
      <c r="AB331" s="8" t="str">
        <f>", "&amp;'RAW (公開用)'!V332&amp;", "</f>
        <v xml:space="preserve">, 戸籍名の変更, ジェンダークリニックの受診, ホルモン補充療法（HRT）, 顔にかかわる手術, 性器にかかわる手術, </v>
      </c>
      <c r="AC331" s="8" t="s">
        <v>318</v>
      </c>
      <c r="AD331"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顔にかかわる手術, 性器にかかわる手術,  費用やサポートの不足</v>
      </c>
      <c r="AE331" s="8" t="s">
        <v>474</v>
      </c>
      <c r="AF331" s="8" t="s">
        <v>457</v>
      </c>
      <c r="AG331" s="8" t="s">
        <v>458</v>
      </c>
      <c r="AH331" s="8" t="s">
        <v>599</v>
      </c>
      <c r="AI331" s="8">
        <f t="shared" si="14"/>
        <v>13</v>
      </c>
      <c r="AJ331" s="8"/>
      <c r="AK331" s="8"/>
      <c r="AL331" s="8"/>
      <c r="AM331" s="8"/>
      <c r="AN331" s="8"/>
    </row>
    <row r="332" spans="1:40" ht="12.75" hidden="1">
      <c r="A332" s="8">
        <v>332</v>
      </c>
      <c r="B332" s="11">
        <v>44991.90793429398</v>
      </c>
      <c r="C332" s="8" t="s">
        <v>452</v>
      </c>
      <c r="D332" s="8" t="s">
        <v>453</v>
      </c>
      <c r="E332" s="8" t="s">
        <v>452</v>
      </c>
      <c r="F332" s="8" t="s">
        <v>454</v>
      </c>
      <c r="G332" s="8" t="str">
        <f>", "&amp;'RAW (公開用)'!F333&amp;", "</f>
        <v xml:space="preserve">, **必ず選んでください**, ノンバイナリー, </v>
      </c>
      <c r="H332" s="8" t="s">
        <v>600</v>
      </c>
      <c r="I332" s="8" t="str">
        <f>", "&amp;'RAW (公開用)'!H333&amp;", "</f>
        <v xml:space="preserve">, （クエスチョニング、模索中、または不明）, </v>
      </c>
      <c r="J332" s="8" t="s">
        <v>2335</v>
      </c>
      <c r="K33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332" s="8" t="str">
        <f>", "&amp;'RAW (公開用)'!J333&amp;", "</f>
        <v xml:space="preserve">, **英語を日常的に使わない**, </v>
      </c>
      <c r="M332" s="8" t="s">
        <v>2335</v>
      </c>
      <c r="N33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2" s="8" t="str">
        <f>", "&amp;'RAW (公開用)'!L333&amp;", "</f>
        <v xml:space="preserve">, わたし, </v>
      </c>
      <c r="P332" s="8" t="s">
        <v>2335</v>
      </c>
      <c r="Q33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32" s="8" t="str">
        <f>", "&amp;'RAW (公開用)'!N332&amp;", "</f>
        <v xml:space="preserve">, （自分（たち）の名前）, 彼女, 彼, 彼人（かのひと）, 彼人（かのと）, </v>
      </c>
      <c r="S332" s="8" t="s">
        <v>2335</v>
      </c>
      <c r="T33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彼, 彼人（かのひと）, 彼人（かのと）,  , </v>
      </c>
      <c r="U332" s="8" t="str">
        <f>", "&amp;'RAW (公開用)'!P333&amp;", "</f>
        <v xml:space="preserve">, **英語を日常的に使わない**, </v>
      </c>
      <c r="V332" s="8" t="s">
        <v>455</v>
      </c>
      <c r="W332" s="8" t="str">
        <f>", "&amp;'RAW (公開用)'!R333&amp;", "</f>
        <v xml:space="preserve">, ミスジェンダリング（誤った性別として扱うこと）, カムアウトできない, </v>
      </c>
      <c r="X332" s="8"/>
      <c r="Y33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v>
      </c>
      <c r="Z332" s="8" t="s">
        <v>455</v>
      </c>
      <c r="AA332" s="8" t="str">
        <f>", "&amp;'RAW (公開用)'!U333&amp;", "</f>
        <v xml:space="preserve">, （上記のどれも希望していない）, </v>
      </c>
      <c r="AB332" s="8" t="str">
        <f>", "&amp;'RAW (公開用)'!V333&amp;", "</f>
        <v xml:space="preserve">, （上記のどれも経験していない）, </v>
      </c>
      <c r="AC332" s="8"/>
      <c r="AD33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2" s="8" t="s">
        <v>459</v>
      </c>
      <c r="AF332" s="8" t="s">
        <v>457</v>
      </c>
      <c r="AG332" s="8" t="s">
        <v>458</v>
      </c>
      <c r="AH332" s="8"/>
      <c r="AI332" s="8">
        <f t="shared" si="14"/>
        <v>1</v>
      </c>
      <c r="AJ332" s="8"/>
      <c r="AK332" s="8"/>
      <c r="AL332" s="8"/>
      <c r="AM332" s="8"/>
      <c r="AN332" s="8"/>
    </row>
    <row r="333" spans="1:40" ht="25.5">
      <c r="A333" s="8">
        <v>333</v>
      </c>
      <c r="B333" s="11">
        <v>44991.913225798606</v>
      </c>
      <c r="C333" s="8" t="s">
        <v>452</v>
      </c>
      <c r="D333" s="8" t="s">
        <v>453</v>
      </c>
      <c r="E333" s="8" t="s">
        <v>452</v>
      </c>
      <c r="F333" s="8" t="s">
        <v>454</v>
      </c>
      <c r="G333" s="8" t="str">
        <f>", "&amp;'RAW (公開用)'!F334&amp;", "</f>
        <v xml:space="preserve">, Xジェンダー, **必ず選んでください**, レズビアン（ジェンダーについて）, クエスチョニング, 中性, ボイ, X, </v>
      </c>
      <c r="H333" s="8"/>
      <c r="I333" s="8" t="str">
        <f>", "&amp;'RAW (公開用)'!H334&amp;", "</f>
        <v xml:space="preserve">, （時とともに変わる）, </v>
      </c>
      <c r="J333" s="8" t="s">
        <v>2335</v>
      </c>
      <c r="K33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 </v>
      </c>
      <c r="L333" s="105" t="s">
        <v>2174</v>
      </c>
      <c r="M333" s="8" t="s">
        <v>2335</v>
      </c>
      <c r="N33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無回答, </v>
      </c>
      <c r="O333" s="8" t="str">
        <f>", "&amp;'RAW (公開用)'!L334&amp;", "</f>
        <v xml:space="preserve">, うち, 私（わたし／わたくし）, </v>
      </c>
      <c r="P333" s="8" t="s">
        <v>2335</v>
      </c>
      <c r="Q33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私（わたし／わたくし）,  , </v>
      </c>
      <c r="R333" s="8" t="str">
        <f>", "&amp;'RAW (公開用)'!N333&amp;", "</f>
        <v xml:space="preserve">, （自分（たち）の名前）, </v>
      </c>
      <c r="S333" s="8" t="s">
        <v>2335</v>
      </c>
      <c r="T33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33" s="8" t="str">
        <f>", "&amp;'RAW (公開用)'!P334&amp;", "</f>
        <v xml:space="preserve">, **英語を日常的に使わない**, </v>
      </c>
      <c r="V333" s="8" t="s">
        <v>455</v>
      </c>
      <c r="W333" s="8" t="s">
        <v>2174</v>
      </c>
      <c r="X333" s="8"/>
      <c r="Y33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33" s="8" t="s">
        <v>455</v>
      </c>
      <c r="AA333" s="8" t="str">
        <f>", "&amp;'RAW (公開用)'!U334&amp;", "</f>
        <v xml:space="preserve">, 声帯にかかわる手術, 胸部の手術, 性器にかかわる手術, </v>
      </c>
      <c r="AB333" s="8" t="str">
        <f>", "&amp;'RAW (公開用)'!V334&amp;", "</f>
        <v xml:space="preserve">, （上記のどれも経験していない）, </v>
      </c>
      <c r="AC333" s="8"/>
      <c r="AD33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3" s="8" t="s">
        <v>479</v>
      </c>
      <c r="AF333" s="8" t="s">
        <v>457</v>
      </c>
      <c r="AG333" s="8" t="s">
        <v>458</v>
      </c>
      <c r="AH333" s="8"/>
      <c r="AI333" s="8">
        <f t="shared" si="14"/>
        <v>6</v>
      </c>
      <c r="AJ333" s="8"/>
      <c r="AK333" s="8"/>
      <c r="AL333" s="8"/>
      <c r="AM333" s="8"/>
      <c r="AN333" s="8"/>
    </row>
    <row r="334" spans="1:40" ht="51" hidden="1">
      <c r="A334" s="8">
        <v>159</v>
      </c>
      <c r="B334" s="11">
        <v>44970.767889259259</v>
      </c>
      <c r="C334" s="8" t="s">
        <v>452</v>
      </c>
      <c r="D334" s="8" t="s">
        <v>453</v>
      </c>
      <c r="E334" s="8" t="s">
        <v>452</v>
      </c>
      <c r="F334" s="8" t="s">
        <v>454</v>
      </c>
      <c r="G334" s="8" t="str">
        <f>", "&amp;'RAW (公開用)'!F160&amp;", "</f>
        <v xml:space="preserve">, ジェンダークィア, ノンバイナリー, **必ず選んでください**, ジェンダーレス, クエスチョニング, クィア／Queer, </v>
      </c>
      <c r="H334" s="8"/>
      <c r="I334" s="8" t="str">
        <f>", "&amp;'RAW (公開用)'!H160&amp;", "</f>
        <v xml:space="preserve">, ちゃん, （敬称なし）, さん, </v>
      </c>
      <c r="J334" s="8" t="s">
        <v>2335</v>
      </c>
      <c r="K33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（敬称なし）, さん,  , </v>
      </c>
      <c r="L334" s="8" t="str">
        <f>", "&amp;'RAW (公開用)'!J160&amp;", "</f>
        <v xml:space="preserve">, （敬称なし）, -san, </v>
      </c>
      <c r="M334" s="8" t="s">
        <v>2335</v>
      </c>
      <c r="N33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 </v>
      </c>
      <c r="O334" s="8" t="str">
        <f>", "&amp;'RAW (公開用)'!L160&amp;", "</f>
        <v xml:space="preserve">, 私（わたし／わたくし）, あたし, </v>
      </c>
      <c r="P334" s="8" t="s">
        <v>2335</v>
      </c>
      <c r="Q33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あたし,  , </v>
      </c>
      <c r="R334" s="8" t="s">
        <v>2174</v>
      </c>
      <c r="S334" s="8" t="s">
        <v>2355</v>
      </c>
      <c r="T33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{この/その/あの}+人,</v>
      </c>
      <c r="U334" s="8" t="str">
        <f>", "&amp;'RAW (公開用)'!P160&amp;", "</f>
        <v xml:space="preserve">, **英語を日常的に使わない**, </v>
      </c>
      <c r="V334" s="8" t="s">
        <v>455</v>
      </c>
      <c r="W334" s="8" t="str">
        <f>", "&amp;'RAW (公開用)'!R160&amp;", "</f>
        <v xml:space="preserve">, 性暴力, 社会の中でいないことにされる, ミスジェンダリング（誤った性別として扱うこと）, カムアウトできない, 家族／かぞくからの無理解, 職場や学校における無理解, </v>
      </c>
      <c r="X334" s="8" t="s">
        <v>199</v>
      </c>
      <c r="Y33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社会の中でいないことにされる, ミスジェンダリング（誤った性別として扱うこと）, カムアウトできない, 家族／かぞくからの無理解, 職場や学校における無理解,  「できれば「彼女」という三人称は使わないで欲しい」等、カミングアウトには至らない程度の訂正を周囲にする時、伝え方に困る</v>
      </c>
      <c r="Z334" s="8" t="s">
        <v>455</v>
      </c>
      <c r="AA334" s="8" t="str">
        <f>", "&amp;'RAW (公開用)'!U160&amp;", "</f>
        <v xml:space="preserve">, 胸部の手術, 性器にかかわる手術, </v>
      </c>
      <c r="AB334" s="8" t="str">
        <f>", "&amp;'RAW (公開用)'!V160&amp;", "</f>
        <v xml:space="preserve">, （上記のどれも経験していない）, </v>
      </c>
      <c r="AC334" s="8"/>
      <c r="AD33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4" s="8" t="s">
        <v>462</v>
      </c>
      <c r="AF334" s="8" t="s">
        <v>457</v>
      </c>
      <c r="AG334" s="8" t="s">
        <v>458</v>
      </c>
      <c r="AH334" s="8"/>
      <c r="AI334" s="8">
        <f t="shared" si="14"/>
        <v>5</v>
      </c>
      <c r="AJ334" s="8"/>
      <c r="AK334" s="8"/>
      <c r="AL334" s="8"/>
      <c r="AM334" s="8"/>
      <c r="AN334" s="8"/>
    </row>
    <row r="335" spans="1:40" ht="63.75" hidden="1">
      <c r="A335" s="8">
        <v>335</v>
      </c>
      <c r="B335" s="11">
        <v>44991.91393023148</v>
      </c>
      <c r="C335" s="8" t="s">
        <v>452</v>
      </c>
      <c r="D335" s="8" t="s">
        <v>453</v>
      </c>
      <c r="E335" s="8" t="s">
        <v>452</v>
      </c>
      <c r="F335" s="8" t="s">
        <v>454</v>
      </c>
      <c r="G335" s="8" t="str">
        <f>", "&amp;'RAW (公開用)'!F336&amp;", "</f>
        <v xml:space="preserve">, **必ず選んでください**, ノンバイナリー, （ジェンダー・）フルイド／（ジェンダー・）フリュイド／（ジェンダー・）フルイッド, 不定性, X, Xジェンダー, </v>
      </c>
      <c r="H335" s="8"/>
      <c r="I335" s="8" t="str">
        <f>", "&amp;'RAW (公開用)'!H336&amp;", "</f>
        <v xml:space="preserve">, （時とともに変わる）, （敬称なし）, さん, </v>
      </c>
      <c r="J335" s="8" t="s">
        <v>2335</v>
      </c>
      <c r="K33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（敬称なし）, さん,  , </v>
      </c>
      <c r="L335" s="8" t="str">
        <f>", "&amp;'RAW (公開用)'!J336&amp;", "</f>
        <v xml:space="preserve">, **英語を日常的に使わない**, </v>
      </c>
      <c r="M335" s="8" t="s">
        <v>2335</v>
      </c>
      <c r="N33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5" s="8" t="str">
        <f>", "&amp;'RAW (公開用)'!L336&amp;", "</f>
        <v xml:space="preserve">, 私（わたし／わたくし）, 自分, わたくし, （自分（たち）の名前）, 僕, あたし, （一人称の使用を避ける）, （時とともに変わる）, </v>
      </c>
      <c r="P335" s="8" t="s">
        <v>2335</v>
      </c>
      <c r="Q33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わたくし, （自分（たち）の名前）, 僕, あたし, （一人称の使用を避ける）, （時とともに変わる）,  , </v>
      </c>
      <c r="R335" s="8" t="str">
        <f>", "&amp;'RAW (公開用)'!N335&amp;", "</f>
        <v xml:space="preserve">, （any／問わない／どれでもよい）, </v>
      </c>
      <c r="S335" s="8" t="s">
        <v>2335</v>
      </c>
      <c r="T33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335" s="8" t="str">
        <f>", "&amp;'RAW (公開用)'!P336&amp;", "</f>
        <v xml:space="preserve">, **英語を日常的に使わない**, </v>
      </c>
      <c r="V335" s="8" t="s">
        <v>455</v>
      </c>
      <c r="W335" s="8" t="str">
        <f>", "&amp;'RAW (公開用)'!R336&amp;", "</f>
        <v xml:space="preserve">, 性暴力, 職場や学校における無理解, トイレなどのジェンダー化されたスペースの使用, デッドネーミング（誤った名前で呼ばれること）, 家族／かぞくからの無理解, 医療における無理解, ミスジェンダリング（誤った性別として扱うこと）, 社会の中でいないことにされる, カムアウトできない, アウティング（勝手にジェンダーや指向についての情報を明かされること）, </v>
      </c>
      <c r="X335" s="8"/>
      <c r="Y33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職場や学校における無理解, トイレなどのジェンダー化されたスペースの使用, デッドネーミング（誤った名前で呼ばれること）, 家族／かぞくからの無理解, 医療における無理解, ミスジェンダリング（誤った性別として扱うこと）, 社会の中でいないことにされる, カムアウトできない, アウティング（勝手にジェンダーや指向についての情報を明かされること）,  </v>
      </c>
      <c r="Z335" s="8" t="s">
        <v>455</v>
      </c>
      <c r="AA335" s="8" t="str">
        <f>", "&amp;'RAW (公開用)'!U336&amp;", "</f>
        <v xml:space="preserve">, （上記のどれも希望していない）, </v>
      </c>
      <c r="AB335" s="8" t="str">
        <f>", "&amp;'RAW (公開用)'!V336&amp;", "</f>
        <v xml:space="preserve">, （上記のどれも経験していない）, </v>
      </c>
      <c r="AC335" s="8"/>
      <c r="AD33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5" s="8" t="s">
        <v>456</v>
      </c>
      <c r="AF335" s="8" t="s">
        <v>457</v>
      </c>
      <c r="AG335" s="8" t="s">
        <v>458</v>
      </c>
      <c r="AH335" s="8" t="s">
        <v>601</v>
      </c>
      <c r="AI335" s="8">
        <f t="shared" si="14"/>
        <v>5</v>
      </c>
      <c r="AJ335" s="8"/>
      <c r="AK335" s="8"/>
      <c r="AL335" s="8"/>
      <c r="AM335" s="8"/>
      <c r="AN335" s="8"/>
    </row>
    <row r="336" spans="1:40" ht="51" hidden="1">
      <c r="A336" s="8">
        <v>336</v>
      </c>
      <c r="B336" s="11">
        <v>44991.917374074073</v>
      </c>
      <c r="C336" s="8" t="s">
        <v>452</v>
      </c>
      <c r="D336" s="8" t="s">
        <v>453</v>
      </c>
      <c r="E336" s="8" t="s">
        <v>452</v>
      </c>
      <c r="F336" s="8" t="s">
        <v>454</v>
      </c>
      <c r="G336" s="8" t="str">
        <f>", "&amp;'RAW (公開用)'!F337&amp;", "</f>
        <v xml:space="preserve">, 無性, Xジェンダー, ノンバイナリー, **必ず選んでください**, </v>
      </c>
      <c r="H336" s="8"/>
      <c r="I336" s="8" t="str">
        <f>", "&amp;'RAW (公開用)'!H337&amp;", "</f>
        <v xml:space="preserve">, さん, （敬称なし）, （any／問わない／どれでもよい）, </v>
      </c>
      <c r="J336" s="8" t="s">
        <v>2335</v>
      </c>
      <c r="K33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（any／問わない／どれでもよい）,  , </v>
      </c>
      <c r="L336" s="8" t="str">
        <f>", "&amp;'RAW (公開用)'!J337&amp;", "</f>
        <v xml:space="preserve">, **英語を日常的に使わない**, </v>
      </c>
      <c r="M336" s="8" t="s">
        <v>2335</v>
      </c>
      <c r="N33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6" s="8" t="str">
        <f>", "&amp;'RAW (公開用)'!L337&amp;", "</f>
        <v xml:space="preserve">, 自分, （一人称の使用を避ける）, </v>
      </c>
      <c r="P336" s="8" t="s">
        <v>2335</v>
      </c>
      <c r="Q33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（一人称の使用を避ける）,  , </v>
      </c>
      <c r="R336" s="8" t="str">
        <f>", "&amp;'RAW (公開用)'!N336&amp;", "</f>
        <v xml:space="preserve">, （三人称で言及してほしくない）, </v>
      </c>
      <c r="S336" s="8" t="s">
        <v>2335</v>
      </c>
      <c r="T33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36" s="8" t="str">
        <f>", "&amp;'RAW (公開用)'!P337&amp;", "</f>
        <v xml:space="preserve">, **英語を日常的に使わない**, </v>
      </c>
      <c r="V336" s="8" t="s">
        <v>455</v>
      </c>
      <c r="W336" s="8" t="str">
        <f>", "&amp;'RAW (公開用)'!R337&amp;", "</f>
        <v xml:space="preserve">, カムアウトできない, 必要なジェンダーケアへアクセスできない, デッドネーミング（誤った名前で呼ばれること）, トイレなどのジェンダー化されたスペースの使用, 医療における無理解, 家族／かぞくからの無理解, 社会の中でいないことにされる, ミスジェンダリング（誤った性別として扱うこと）, </v>
      </c>
      <c r="X336" s="8"/>
      <c r="Y33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必要なジェンダーケアへアクセスできない, デッドネーミング（誤った名前で呼ばれること）, トイレなどのジェンダー化されたスペースの使用, 医療における無理解, 家族／かぞくからの無理解, 社会の中でいないことにされる, ミスジェンダリング（誤った性別として扱うこと）,  </v>
      </c>
      <c r="Z336" s="8" t="s">
        <v>455</v>
      </c>
      <c r="AA336" s="8" t="str">
        <f>", "&amp;'RAW (公開用)'!U337&amp;", "</f>
        <v xml:space="preserve">, 戸籍上の性別の変更, ジェンダークリニックの受診, ホルモン補充療法（HRT）, 声帯にかかわる手術, </v>
      </c>
      <c r="AB336" s="8" t="str">
        <f>", "&amp;'RAW (公開用)'!V337&amp;", "</f>
        <v xml:space="preserve">, ジェンダークリニックの受診, ホルモン補充療法（HRT）, </v>
      </c>
      <c r="AC336" s="8" t="s">
        <v>346</v>
      </c>
      <c r="AD336"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ホルモン補充療法（HRT）,  手術を受ける前の状態で手術費用を用意すること</v>
      </c>
      <c r="AE336" s="8" t="s">
        <v>459</v>
      </c>
      <c r="AF336" s="8" t="s">
        <v>457</v>
      </c>
      <c r="AG336" s="8" t="s">
        <v>458</v>
      </c>
      <c r="AH336" s="8" t="s">
        <v>602</v>
      </c>
      <c r="AI336" s="8">
        <f t="shared" si="14"/>
        <v>3</v>
      </c>
      <c r="AJ336" s="8"/>
      <c r="AK336" s="8"/>
      <c r="AL336" s="8"/>
      <c r="AM336" s="8"/>
      <c r="AN336" s="8"/>
    </row>
    <row r="337" spans="1:40" ht="38.25" hidden="1">
      <c r="A337" s="8">
        <v>337</v>
      </c>
      <c r="B337" s="11">
        <v>44991.922475231477</v>
      </c>
      <c r="C337" s="8" t="s">
        <v>452</v>
      </c>
      <c r="D337" s="8" t="s">
        <v>453</v>
      </c>
      <c r="E337" s="8" t="s">
        <v>452</v>
      </c>
      <c r="F337" s="8" t="s">
        <v>454</v>
      </c>
      <c r="G337" s="8" t="str">
        <f>", "&amp;'RAW (公開用)'!F338&amp;", "</f>
        <v xml:space="preserve">, トランスセクシュアル／transsexual, トランス, トランスジェンダー, トランス男性, ゲイ（ジェンダーについて）, **必ず選んでください**, バイナリー, </v>
      </c>
      <c r="H337" s="8"/>
      <c r="I337" s="8" t="str">
        <f>", "&amp;'RAW (公開用)'!H338&amp;", "</f>
        <v xml:space="preserve">, （敬称なし）, くん／君, （any／問わない／どれでもよい）, </v>
      </c>
      <c r="J337" s="8" t="s">
        <v>2335</v>
      </c>
      <c r="K33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くん／君, （any／問わない／どれでもよい）,  , </v>
      </c>
      <c r="L337" s="8" t="str">
        <f>", "&amp;'RAW (公開用)'!J338&amp;", "</f>
        <v xml:space="preserve">, **英語を日常的に使わない**, </v>
      </c>
      <c r="M337" s="8" t="s">
        <v>2335</v>
      </c>
      <c r="N33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7" s="8" t="str">
        <f>", "&amp;'RAW (公開用)'!L338&amp;", "</f>
        <v xml:space="preserve">, 僕, わし, 俺, おれ, 私（わたし／わたくし）, </v>
      </c>
      <c r="P337" s="8" t="s">
        <v>2335</v>
      </c>
      <c r="Q33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わし, 俺, おれ, 私（わたし／わたくし）,  , </v>
      </c>
      <c r="R337" s="8" t="str">
        <f>", "&amp;'RAW (公開用)'!N337&amp;", "</f>
        <v xml:space="preserve">, （三人称で言及してほしくない）, （自分（たち）の名前）, </v>
      </c>
      <c r="S337" s="8" t="s">
        <v>2335</v>
      </c>
      <c r="T33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37" s="8" t="str">
        <f>", "&amp;'RAW (公開用)'!P338&amp;", "</f>
        <v xml:space="preserve">, **英語を日常的に使わない**, </v>
      </c>
      <c r="V337" s="8" t="s">
        <v>455</v>
      </c>
      <c r="W337" s="8" t="str">
        <f>", "&amp;'RAW (公開用)'!R338&amp;", "</f>
        <v xml:space="preserve">, 社会の中でいないことにされる, トイレなどのジェンダー化されたスペースの使用, アウティング（勝手にジェンダーや指向についての情報を明かされること）, カムアウトできない, 必要なジェンダーケアへアクセスできない, </v>
      </c>
      <c r="X337" s="8"/>
      <c r="Y33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トイレなどのジェンダー化されたスペースの使用, アウティング（勝手にジェンダーや指向についての情報を明かされること）, カムアウトできない, 必要なジェンダーケアへアクセスできない,  </v>
      </c>
      <c r="Z337" s="8" t="s">
        <v>455</v>
      </c>
      <c r="AA337" s="8" t="str">
        <f>", "&amp;'RAW (公開用)'!U338&amp;", "</f>
        <v xml:space="preserve">, 戸籍名の変更, 戸籍上の性別の変更, ジェンダークリニックの受診, ホルモン補充療法（HRT）, 胸部の手術, 性器にかかわる手術, </v>
      </c>
      <c r="AB337" s="8" t="str">
        <f>", "&amp;'RAW (公開用)'!V338&amp;", "</f>
        <v xml:space="preserve">, 戸籍名の変更, ジェンダークリニックの受診, ホルモン補充療法（HRT）, 胸部の手術, </v>
      </c>
      <c r="AC337" s="8"/>
      <c r="AD337"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ジェンダークリニックの受診, ホルモン補充療法（HRT）, 胸部の手術,  </v>
      </c>
      <c r="AE337" s="8" t="s">
        <v>456</v>
      </c>
      <c r="AF337" s="8" t="s">
        <v>457</v>
      </c>
      <c r="AG337" s="8" t="s">
        <v>458</v>
      </c>
      <c r="AH337" s="8"/>
      <c r="AI337" s="8">
        <f t="shared" si="14"/>
        <v>6</v>
      </c>
      <c r="AJ337" s="8"/>
      <c r="AK337" s="8"/>
      <c r="AL337" s="8"/>
      <c r="AM337" s="8"/>
      <c r="AN337" s="8"/>
    </row>
    <row r="338" spans="1:40" ht="38.25" hidden="1">
      <c r="A338" s="8">
        <v>338</v>
      </c>
      <c r="B338" s="11">
        <v>44991.922544606481</v>
      </c>
      <c r="C338" s="8" t="s">
        <v>452</v>
      </c>
      <c r="D338" s="8" t="s">
        <v>453</v>
      </c>
      <c r="E338" s="8" t="s">
        <v>452</v>
      </c>
      <c r="F338" s="8" t="s">
        <v>454</v>
      </c>
      <c r="G338" s="8" t="str">
        <f>", "&amp;'RAW (公開用)'!F339&amp;", "</f>
        <v xml:space="preserve">, ノンバイナリー, X, クエスチョニング, ジェンダーレス, 無性, 不明／わからない, Xジェンダー, </v>
      </c>
      <c r="H338" s="8"/>
      <c r="I338" s="8" t="str">
        <f>", "&amp;'RAW (公開用)'!H339&amp;", "</f>
        <v xml:space="preserve">, さん, </v>
      </c>
      <c r="J338" s="8" t="s">
        <v>2335</v>
      </c>
      <c r="K33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38" s="8" t="str">
        <f>", "&amp;'RAW (公開用)'!J339&amp;", "</f>
        <v xml:space="preserve">, Mx., </v>
      </c>
      <c r="M338" s="8" t="s">
        <v>2335</v>
      </c>
      <c r="N33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338" s="8" t="str">
        <f>", "&amp;'RAW (公開用)'!L339&amp;", "</f>
        <v xml:space="preserve">, 自分, 俺, </v>
      </c>
      <c r="P338" s="8" t="s">
        <v>2335</v>
      </c>
      <c r="Q33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俺,  , </v>
      </c>
      <c r="R338" s="8" t="str">
        <f>", "&amp;'RAW (公開用)'!N338&amp;", "</f>
        <v xml:space="preserve">, （自分（たち）の名前）, （any／問わない／どれでもよい）, 彼, </v>
      </c>
      <c r="S338" s="8" t="s">
        <v>2335</v>
      </c>
      <c r="T33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彼,  , </v>
      </c>
      <c r="U338" s="8" t="str">
        <f>", "&amp;'RAW (公開用)'!P339&amp;", "</f>
        <v xml:space="preserve">, they/them/their/themself, </v>
      </c>
      <c r="V338" s="8" t="s">
        <v>455</v>
      </c>
      <c r="W338" s="8" t="str">
        <f>", "&amp;'RAW (公開用)'!R339&amp;", "</f>
        <v xml:space="preserve">, ミスジェンダリング（誤った性別として扱うこと）, カムアウトできない, トイレなどのジェンダー化されたスペースの使用, 社会の中でいないことにされる, デッドネーミング（誤った名前で呼ばれること）, </v>
      </c>
      <c r="X338" s="8"/>
      <c r="Y33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トイレなどのジェンダー化されたスペースの使用, 社会の中でいないことにされる, デッドネーミング（誤った名前で呼ばれること）,  </v>
      </c>
      <c r="Z338" s="8" t="s">
        <v>455</v>
      </c>
      <c r="AA338" s="8" t="str">
        <f>", "&amp;'RAW (公開用)'!U339&amp;", "</f>
        <v xml:space="preserve">, 戸籍上の性別の変更, 胸部の手術, 性器にかかわる手術, </v>
      </c>
      <c r="AB338" s="8" t="str">
        <f>", "&amp;'RAW (公開用)'!V339&amp;", "</f>
        <v xml:space="preserve">, （上記のどれも経験していない）, </v>
      </c>
      <c r="AC338" s="8"/>
      <c r="AD33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8" s="8" t="s">
        <v>456</v>
      </c>
      <c r="AF338" s="8" t="s">
        <v>457</v>
      </c>
      <c r="AG338" s="8" t="s">
        <v>458</v>
      </c>
      <c r="AH338" s="8"/>
      <c r="AI338" s="8">
        <f t="shared" si="14"/>
        <v>7</v>
      </c>
      <c r="AJ338" s="8"/>
      <c r="AK338" s="8"/>
      <c r="AL338" s="8"/>
      <c r="AM338" s="8"/>
      <c r="AN338" s="8"/>
    </row>
    <row r="339" spans="1:40" ht="51" hidden="1">
      <c r="A339" s="8">
        <v>273</v>
      </c>
      <c r="B339" s="11">
        <v>44989.693400937496</v>
      </c>
      <c r="C339" s="8" t="s">
        <v>452</v>
      </c>
      <c r="D339" s="8" t="s">
        <v>453</v>
      </c>
      <c r="E339" s="8" t="s">
        <v>452</v>
      </c>
      <c r="F339" s="8" t="s">
        <v>454</v>
      </c>
      <c r="G339" s="8" t="str">
        <f>", "&amp;'RAW (公開用)'!F274&amp;", "</f>
        <v xml:space="preserve">, Xジェンダー, クィア／Queer, 無し, ジェンダークィア, **必ず選んでください**, 不明／わからない, ノンバイナリー, （ジェンダー・）フルイド／（ジェンダー・）フリュイド／（ジェンダー・）フルイッド, クエスチョニング, </v>
      </c>
      <c r="H339" s="8" t="s">
        <v>580</v>
      </c>
      <c r="I339" s="8" t="str">
        <f>", "&amp;'RAW (公開用)'!H274&amp;", "</f>
        <v xml:space="preserve">, （時とともに変わる）, （クエスチョニング、模索中、または不明）, ちゃん, （敬称なし）, （any／問わない／どれでもよい）, さん, </v>
      </c>
      <c r="J339" s="8" t="s">
        <v>2335</v>
      </c>
      <c r="K33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ちゃん, （敬称なし）, （any／問わない／どれでもよい）, さん,  , </v>
      </c>
      <c r="L339" s="8" t="str">
        <f>", "&amp;'RAW (公開用)'!J274&amp;", "</f>
        <v xml:space="preserve">, **英語を日常的に使わない**, </v>
      </c>
      <c r="M339" s="8" t="s">
        <v>2335</v>
      </c>
      <c r="N33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39" s="8" t="str">
        <f>", "&amp;'RAW (公開用)'!L274&amp;", "</f>
        <v xml:space="preserve">, 俺, ぼく, 自分, 僕, おれ, あたし, （一人称の使用を避ける）, わたし, 私（わたし／わたくし）, おら, うち, わし, わたくし, （時とともに変わる）, </v>
      </c>
      <c r="P339" s="16" t="s">
        <v>2409</v>
      </c>
      <c r="Q33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ぼく, 自分, 僕, おれ, あたし, （一人称の使用を避ける）, わたし, 私（わたし／わたくし）, おら, うち, わし, わたくし, （時とともに変わる）,  , おいら, あてくし, わてくし, 苗字, わい, 我, 某, それがし, じぶん,</v>
      </c>
      <c r="R339" s="8" t="str">
        <f>", "&amp;'RAW (公開用)'!N339&amp;", "</f>
        <v xml:space="preserve">, （自分（たち）の名前）, </v>
      </c>
      <c r="S339" s="8" t="s">
        <v>2335</v>
      </c>
      <c r="T33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39" s="8" t="str">
        <f>", "&amp;'RAW (公開用)'!P274&amp;", "</f>
        <v xml:space="preserve">, **英語を日常的に使わない**, </v>
      </c>
      <c r="V339" s="8" t="s">
        <v>455</v>
      </c>
      <c r="W339" s="8" t="str">
        <f>", "&amp;'RAW (公開用)'!R274&amp;", "</f>
        <v xml:space="preserve">, 職場や学校における無理解, 社会の中でいないことにされる, ミスジェンダリング（誤った性別として扱うこと）, LGBTQ+運動からの排斥, カムアウトできない, 家族／かぞくからの無理解, </v>
      </c>
      <c r="X339" s="8" t="s">
        <v>194</v>
      </c>
      <c r="Y33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社会の中でいないことにされる, ミスジェンダリング（誤った性別として扱うこと）, LGBTQ+運動からの排斥, カムアウトできない, 家族／かぞくからの無理解,  ・享受できるコンテンツの少なさ（当然のように「"男女"しかいない！」という前提で描かれたコンテンツが多すぎる！あまりに！）</v>
      </c>
      <c r="Z339" s="8" t="s">
        <v>455</v>
      </c>
      <c r="AA339" s="8" t="str">
        <f>", "&amp;'RAW (公開用)'!U274&amp;", "</f>
        <v xml:space="preserve">, 戸籍上の性別の変更, 声帯にかかわる手術, 性器にかかわる手術, </v>
      </c>
      <c r="AB339" s="8" t="str">
        <f>", "&amp;'RAW (公開用)'!V274&amp;", "</f>
        <v xml:space="preserve">, （上記のどれも経験していない）, </v>
      </c>
      <c r="AC339" s="8"/>
      <c r="AD33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39" s="8" t="s">
        <v>462</v>
      </c>
      <c r="AF339" s="8" t="s">
        <v>457</v>
      </c>
      <c r="AG339" s="8" t="s">
        <v>458</v>
      </c>
      <c r="AH339" s="8"/>
      <c r="AI339" s="8">
        <f t="shared" si="14"/>
        <v>8</v>
      </c>
      <c r="AJ339" s="8"/>
      <c r="AK339" s="8"/>
      <c r="AL339" s="8"/>
      <c r="AM339" s="8"/>
      <c r="AN339" s="8"/>
    </row>
    <row r="340" spans="1:40" ht="51" hidden="1">
      <c r="A340" s="8">
        <v>266</v>
      </c>
      <c r="B340" s="11">
        <v>44983.017205925928</v>
      </c>
      <c r="C340" s="8" t="s">
        <v>452</v>
      </c>
      <c r="D340" s="8" t="s">
        <v>453</v>
      </c>
      <c r="E340" s="8" t="s">
        <v>452</v>
      </c>
      <c r="F340" s="8" t="s">
        <v>454</v>
      </c>
      <c r="G340" s="8" t="str">
        <f>", "&amp;'RAW (公開用)'!F267&amp;", "</f>
        <v xml:space="preserve">, ゲイ（ジェンダーについて）, 不明／わからない, ノンバイナリー, 中性, デミボーイ, </v>
      </c>
      <c r="H340" s="8" t="s">
        <v>576</v>
      </c>
      <c r="I340" s="8" t="str">
        <f>", "&amp;'RAW (公開用)'!H267&amp;", "</f>
        <v xml:space="preserve">, （時とともに変わる）, （any／問わない／どれでもよい）, くん／君, </v>
      </c>
      <c r="J340" s="8" t="s">
        <v>2335</v>
      </c>
      <c r="K34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（any／問わない／どれでもよい）, くん／君,  , </v>
      </c>
      <c r="L340" s="8" t="str">
        <f>", "&amp;'RAW (公開用)'!J267&amp;", "</f>
        <v xml:space="preserve">, **英語を日常的に使わない**, </v>
      </c>
      <c r="M340" s="8" t="s">
        <v>2335</v>
      </c>
      <c r="N34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0" s="8" t="str">
        <f>", "&amp;'RAW (公開用)'!L267&amp;", "</f>
        <v xml:space="preserve">, 僕, （自分（たち）の名前）, </v>
      </c>
      <c r="P340" s="18" t="s">
        <v>2410</v>
      </c>
      <c r="Q34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（自分（たち）の名前）,  , おいら, </v>
      </c>
      <c r="R340" s="8" t="str">
        <f>", "&amp;'RAW (公開用)'!N340&amp;", "</f>
        <v xml:space="preserve">, （自分（たち）の名前）, </v>
      </c>
      <c r="S340" s="8" t="s">
        <v>2335</v>
      </c>
      <c r="T34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40" s="8" t="str">
        <f>", "&amp;'RAW (公開用)'!P267&amp;", "</f>
        <v xml:space="preserve">, they/them/their/themselves, </v>
      </c>
      <c r="V340" s="8" t="s">
        <v>455</v>
      </c>
      <c r="W340" s="8" t="str">
        <f>", "&amp;'RAW (公開用)'!R267&amp;", "</f>
        <v xml:space="preserve">, デッドネーミング（誤った名前で呼ばれること）, ミスジェンダリング（誤った性別として扱うこと）, 職場や学校における無理解, </v>
      </c>
      <c r="X340" s="8" t="s">
        <v>291</v>
      </c>
      <c r="Y34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デッドネーミング（誤った名前で呼ばれること）, ミスジェンダリング（誤った性別として扱うこと）, 職場や学校における無理解,  設問内容と見当違いだったら申し訳ないのですが…パートナーの性別によって自分の性別をミスジェンダリングされることがいつまで続くか不安です。</v>
      </c>
      <c r="Z340" s="8" t="s">
        <v>455</v>
      </c>
      <c r="AA340" s="8" t="str">
        <f>", "&amp;'RAW (公開用)'!U267&amp;", "</f>
        <v xml:space="preserve">, 胸部の手術, </v>
      </c>
      <c r="AB340" s="8" t="str">
        <f>", "&amp;'RAW (公開用)'!V267&amp;", "</f>
        <v xml:space="preserve">, （上記のどれも経験していない）, </v>
      </c>
      <c r="AC340" s="8" t="s">
        <v>373</v>
      </c>
      <c r="AD340"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周りの反応、反対の声、金銭問題 など…。</v>
      </c>
      <c r="AE340" s="8" t="s">
        <v>462</v>
      </c>
      <c r="AF340" s="8" t="s">
        <v>457</v>
      </c>
      <c r="AG340" s="8" t="s">
        <v>458</v>
      </c>
      <c r="AH340" s="8"/>
      <c r="AI340" s="8">
        <f t="shared" si="14"/>
        <v>5</v>
      </c>
      <c r="AJ340" s="8"/>
      <c r="AK340" s="8"/>
      <c r="AL340" s="8"/>
      <c r="AM340" s="8"/>
      <c r="AN340" s="8"/>
    </row>
    <row r="341" spans="1:40" ht="38.25" hidden="1">
      <c r="A341" s="8">
        <v>341</v>
      </c>
      <c r="B341" s="11">
        <v>44991.930795</v>
      </c>
      <c r="C341" s="8" t="s">
        <v>452</v>
      </c>
      <c r="D341" s="8" t="s">
        <v>453</v>
      </c>
      <c r="E341" s="8" t="s">
        <v>452</v>
      </c>
      <c r="F341" s="8" t="s">
        <v>454</v>
      </c>
      <c r="G341" s="8" t="str">
        <f>", "&amp;'RAW (公開用)'!F342&amp;", "</f>
        <v xml:space="preserve">, トランスジェンダー, 中性, トランスフェミニン, トランス女性, クィア／Queer, トランスセクシュアル／transsexual, ニューハーフ, ノンバイナリー, 無性, X, ジェンダーレス, Xジェンダー, </v>
      </c>
      <c r="H341" s="8"/>
      <c r="I341" s="8" t="str">
        <f>", "&amp;'RAW (公開用)'!H342&amp;", "</f>
        <v xml:space="preserve">, （any／問わない／どれでもよい）, ちゃん, さん, （敬称なし）, </v>
      </c>
      <c r="J341" s="8" t="s">
        <v>2335</v>
      </c>
      <c r="K34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ちゃん, さん, （敬称なし）,  , </v>
      </c>
      <c r="L341" s="8" t="str">
        <f>", "&amp;'RAW (公開用)'!J342&amp;", "</f>
        <v xml:space="preserve">, **英語を日常的に使わない**, </v>
      </c>
      <c r="M341" s="8" t="s">
        <v>2335</v>
      </c>
      <c r="N34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1" s="8" t="str">
        <f>", "&amp;'RAW (公開用)'!L342&amp;", "</f>
        <v xml:space="preserve">, 私（わたし／わたくし）, うち, あたし, </v>
      </c>
      <c r="P341" s="8" t="s">
        <v>2335</v>
      </c>
      <c r="Q34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うち, あたし,  , </v>
      </c>
      <c r="R341" s="8" t="str">
        <f>", "&amp;'RAW (公開用)'!N341&amp;", "</f>
        <v xml:space="preserve">, （any／問わない／どれでもよい）, （自分（たち）の名前）, </v>
      </c>
      <c r="S341" s="8" t="s">
        <v>2335</v>
      </c>
      <c r="T34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（自分（たち）の名前）,  , </v>
      </c>
      <c r="U341" s="8" t="str">
        <f>", "&amp;'RAW (公開用)'!P342&amp;", "</f>
        <v xml:space="preserve">, **英語を日常的に使わない**, </v>
      </c>
      <c r="V341" s="8" t="s">
        <v>472</v>
      </c>
      <c r="W341" s="8" t="s">
        <v>2174</v>
      </c>
      <c r="X341" s="8"/>
      <c r="Y34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41" s="8" t="s">
        <v>472</v>
      </c>
      <c r="AA341" s="8" t="s">
        <v>2174</v>
      </c>
      <c r="AB341" s="105" t="s">
        <v>2443</v>
      </c>
      <c r="AC341" s="8"/>
      <c r="AD341"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41" s="8" t="s">
        <v>475</v>
      </c>
      <c r="AF341" s="8" t="s">
        <v>457</v>
      </c>
      <c r="AG341" s="8" t="s">
        <v>458</v>
      </c>
      <c r="AH341" s="8"/>
      <c r="AI341" s="8">
        <f t="shared" si="14"/>
        <v>12</v>
      </c>
      <c r="AJ341" s="8"/>
      <c r="AK341" s="8"/>
      <c r="AL341" s="8"/>
      <c r="AM341" s="8"/>
      <c r="AN341" s="8"/>
    </row>
    <row r="342" spans="1:40" ht="51" hidden="1">
      <c r="A342" s="8">
        <v>342</v>
      </c>
      <c r="B342" s="11">
        <v>44991.931901550925</v>
      </c>
      <c r="C342" s="8" t="s">
        <v>452</v>
      </c>
      <c r="D342" s="8" t="s">
        <v>453</v>
      </c>
      <c r="E342" s="8" t="s">
        <v>452</v>
      </c>
      <c r="F342" s="8" t="s">
        <v>454</v>
      </c>
      <c r="G342" s="8" t="str">
        <f>", "&amp;'RAW (公開用)'!F343&amp;", "</f>
        <v xml:space="preserve">, 女性／woman, 不明／わからない, </v>
      </c>
      <c r="H342" s="8"/>
      <c r="I342" s="8" t="str">
        <f>", "&amp;'RAW (公開用)'!H343&amp;", "</f>
        <v xml:space="preserve">, さん, ちゃん, （敬称なし）, </v>
      </c>
      <c r="J342" s="8" t="s">
        <v>2335</v>
      </c>
      <c r="K34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（敬称なし）,  , </v>
      </c>
      <c r="L342" s="8" t="str">
        <f>", "&amp;'RAW (公開用)'!J343&amp;", "</f>
        <v xml:space="preserve">, Ms., （敬称なし）, </v>
      </c>
      <c r="M342" s="8" t="s">
        <v>2335</v>
      </c>
      <c r="N34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（敬称なし）, , </v>
      </c>
      <c r="O342" s="8" t="str">
        <f>", "&amp;'RAW (公開用)'!L343&amp;", "</f>
        <v xml:space="preserve">, あたし, 私（わたし／わたくし）, 自分, わたし, </v>
      </c>
      <c r="P342" s="8" t="s">
        <v>2335</v>
      </c>
      <c r="Q34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私（わたし／わたくし）, 自分, わたし,  , </v>
      </c>
      <c r="R342" s="8" t="str">
        <f>", "&amp;'RAW (公開用)'!N342&amp;", "</f>
        <v xml:space="preserve">, （自分（たち）の名前）, </v>
      </c>
      <c r="S342" s="8" t="s">
        <v>2335</v>
      </c>
      <c r="T34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42" s="8" t="str">
        <f>", "&amp;'RAW (公開用)'!P343&amp;", "</f>
        <v xml:space="preserve">, she, </v>
      </c>
      <c r="V342" s="8" t="s">
        <v>455</v>
      </c>
      <c r="W342" s="8" t="str">
        <f>", "&amp;'RAW (公開用)'!R343&amp;", "</f>
        <v xml:space="preserve">, デッドネーミング（誤った名前で呼ばれること）, 職場や学校における無理解, </v>
      </c>
      <c r="X342" s="8" t="s">
        <v>243</v>
      </c>
      <c r="Y34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デッドネーミング（誤った名前で呼ばれること）, 職場や学校における無理解,  同性のアーティストなど同性をファンだと言うと同性愛者か？と聞かれた。男性としか肉体的関係、付き合いをしたことがないがどう答えていいか分からず否定してしまった。</v>
      </c>
      <c r="Z342" s="8" t="s">
        <v>455</v>
      </c>
      <c r="AA342" s="8" t="str">
        <f>", "&amp;'RAW (公開用)'!U343&amp;", "</f>
        <v xml:space="preserve">, （上記のどれも希望していない）, </v>
      </c>
      <c r="AB342" s="8" t="str">
        <f>", "&amp;'RAW (公開用)'!V343&amp;", "</f>
        <v xml:space="preserve">, （上記のどれも経験していない）, </v>
      </c>
      <c r="AC342" s="8"/>
      <c r="AD34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42" s="8" t="s">
        <v>479</v>
      </c>
      <c r="AF342" s="8" t="s">
        <v>457</v>
      </c>
      <c r="AG342" s="8" t="s">
        <v>458</v>
      </c>
      <c r="AH342" s="8"/>
      <c r="AI342" s="8">
        <f t="shared" si="14"/>
        <v>2</v>
      </c>
      <c r="AJ342" s="8"/>
      <c r="AK342" s="8"/>
      <c r="AL342" s="8"/>
      <c r="AM342" s="8"/>
      <c r="AN342" s="8"/>
    </row>
    <row r="343" spans="1:40" ht="25.5" hidden="1">
      <c r="A343" s="8">
        <v>343</v>
      </c>
      <c r="B343" s="11">
        <v>44991.933908506944</v>
      </c>
      <c r="C343" s="8" t="s">
        <v>452</v>
      </c>
      <c r="D343" s="8" t="s">
        <v>453</v>
      </c>
      <c r="E343" s="8" t="s">
        <v>452</v>
      </c>
      <c r="F343" s="8" t="s">
        <v>454</v>
      </c>
      <c r="G343" s="8" t="str">
        <f>", "&amp;'RAW (公開用)'!F344&amp;", "</f>
        <v xml:space="preserve">, X, Xジェンダー, ノンバイナリー, 中性, **必ず選んでください**, </v>
      </c>
      <c r="H343" s="8"/>
      <c r="I343" s="8" t="str">
        <f>", "&amp;'RAW (公開用)'!H344&amp;", "</f>
        <v xml:space="preserve">, さん, （敬称なし）, </v>
      </c>
      <c r="J343" s="8" t="s">
        <v>2335</v>
      </c>
      <c r="K34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343" s="8" t="str">
        <f>", "&amp;'RAW (公開用)'!J344&amp;", "</f>
        <v xml:space="preserve">, **英語を日常的に使わない**, </v>
      </c>
      <c r="M343" s="8" t="s">
        <v>2335</v>
      </c>
      <c r="N34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3" s="8" t="str">
        <f>", "&amp;'RAW (公開用)'!L344&amp;", "</f>
        <v xml:space="preserve">, （一人称の使用を避ける）, 自分, 私（わたし／わたくし）, 俺, </v>
      </c>
      <c r="P343" s="8" t="s">
        <v>2335</v>
      </c>
      <c r="Q34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自分, 私（わたし／わたくし）, 俺,  , </v>
      </c>
      <c r="R343" s="8" t="str">
        <f>", "&amp;'RAW (公開用)'!N343&amp;", "</f>
        <v xml:space="preserve">, 彼女, </v>
      </c>
      <c r="S343" s="8" t="s">
        <v>2335</v>
      </c>
      <c r="T34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343" s="8" t="str">
        <f>", "&amp;'RAW (公開用)'!P344&amp;", "</f>
        <v xml:space="preserve">, **英語を日常的に使わない**, </v>
      </c>
      <c r="V343" s="8" t="s">
        <v>455</v>
      </c>
      <c r="W343" s="8" t="str">
        <f>", "&amp;'RAW (公開用)'!R344&amp;", "</f>
        <v xml:space="preserve">, ミスジェンダリング（誤った性別として扱うこと）, カムアウトできない, 社会の中でいないことにされる, </v>
      </c>
      <c r="X343" s="8"/>
      <c r="Y34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社会の中でいないことにされる,  </v>
      </c>
      <c r="Z343" s="8" t="s">
        <v>455</v>
      </c>
      <c r="AA343" s="8" t="str">
        <f>", "&amp;'RAW (公開用)'!U344&amp;", "</f>
        <v xml:space="preserve">, （上記のどれも希望していない）, </v>
      </c>
      <c r="AB343" s="8" t="str">
        <f>", "&amp;'RAW (公開用)'!V344&amp;", "</f>
        <v xml:space="preserve">, （上記のどれも経験していない）, </v>
      </c>
      <c r="AC343" s="8"/>
      <c r="AD34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43" s="8" t="s">
        <v>462</v>
      </c>
      <c r="AF343" s="8" t="s">
        <v>457</v>
      </c>
      <c r="AG343" s="8" t="s">
        <v>458</v>
      </c>
      <c r="AH343" s="8"/>
      <c r="AI343" s="8">
        <f t="shared" si="14"/>
        <v>4</v>
      </c>
      <c r="AJ343" s="8"/>
      <c r="AK343" s="8"/>
      <c r="AL343" s="8"/>
      <c r="AM343" s="8"/>
      <c r="AN343" s="8"/>
    </row>
    <row r="344" spans="1:40" ht="76.5" hidden="1">
      <c r="A344" s="8">
        <v>427</v>
      </c>
      <c r="B344" s="11">
        <v>44994.494706041667</v>
      </c>
      <c r="C344" s="8" t="s">
        <v>452</v>
      </c>
      <c r="D344" s="8" t="s">
        <v>453</v>
      </c>
      <c r="E344" s="8" t="s">
        <v>452</v>
      </c>
      <c r="F344" s="8" t="s">
        <v>454</v>
      </c>
      <c r="G344" s="8" t="str">
        <f>", "&amp;'RAW (公開用)'!F428&amp;", "</f>
        <v xml:space="preserve">, トランスジェンダー, レズビアン（ジェンダーについて）, トランス女性, トランスフェミニン, </v>
      </c>
      <c r="H344" s="8"/>
      <c r="I344" s="8" t="str">
        <f>", "&amp;'RAW (公開用)'!H428&amp;", "</f>
        <v xml:space="preserve">, さん, </v>
      </c>
      <c r="J344" s="8" t="s">
        <v>2335</v>
      </c>
      <c r="K34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44" s="8" t="str">
        <f>", "&amp;'RAW (公開用)'!J428&amp;", "</f>
        <v xml:space="preserve">, **英語を日常的に使わない**, </v>
      </c>
      <c r="M344" s="8" t="s">
        <v>2335</v>
      </c>
      <c r="N34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4" s="8" t="str">
        <f>", "&amp;'RAW (公開用)'!L428&amp;", "</f>
        <v xml:space="preserve">, わたし, 私（わたし／わたくし）, </v>
      </c>
      <c r="P344" s="73" t="s">
        <v>2411</v>
      </c>
      <c r="Q34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私（わたし／わたくし）,  , うら（山梨県の一人称／男女の区別無し）,</v>
      </c>
      <c r="R344" s="8" t="str">
        <f>", "&amp;'RAW (公開用)'!N344&amp;", "</f>
        <v xml:space="preserve">, 彼人（かのと）, 彼人（かのひと）, </v>
      </c>
      <c r="S344" s="8" t="s">
        <v>2335</v>
      </c>
      <c r="T34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彼人（かのと）, 彼人（かのひと）,  , </v>
      </c>
      <c r="U344" s="8" t="str">
        <f>", "&amp;'RAW (公開用)'!P428&amp;", "</f>
        <v xml:space="preserve">, **英語を日常的に使わない**, </v>
      </c>
      <c r="V344" s="8" t="s">
        <v>455</v>
      </c>
      <c r="W344" s="8" t="str">
        <f>", "&amp;'RAW (公開用)'!R428&amp;", "</f>
        <v xml:space="preserve">, カムアウトできない, アウティング（勝手にジェンダーや指向についての情報を明かされること）, ミスジェンダリング（誤った性別として扱うこと）, 職場や学校における無理解, 社会の中でいないことにされる, トイレなどのジェンダー化されたスペースの使用, 必要なジェンダーケアへアクセスできない, LGBTQ+運動からの排斥, 性暴力, カムアウトを強制される, 家族／かぞくからの無理解, </v>
      </c>
      <c r="X344" s="8" t="s">
        <v>277</v>
      </c>
      <c r="Y34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カムアウトできない, アウティング（勝手にジェンダーや指向についての情報を明かされること）, ミスジェンダリング（誤った性別として扱うこと）, 職場や学校における無理解, 社会の中でいないことにされる, トイレなどのジェンダー化されたスペースの使用, 必要なジェンダーケアへアクセスできない, LGBTQ+運動からの排斥, 性暴力, カムアウトを強制される, 家族／かぞくからの無理解,  男性からの身体暴力及び性暴力</v>
      </c>
      <c r="Z344" s="8" t="s">
        <v>455</v>
      </c>
      <c r="AA344" s="8" t="str">
        <f>", "&amp;'RAW (公開用)'!U428&amp;", "</f>
        <v xml:space="preserve">, 戸籍名の変更, 戸籍上の性別の変更, ジェンダークリニックの受診, </v>
      </c>
      <c r="AB344" s="8" t="str">
        <f>", "&amp;'RAW (公開用)'!V428&amp;", "</f>
        <v xml:space="preserve">, （上記のどれも経験していない）, </v>
      </c>
      <c r="AC344" s="8" t="s">
        <v>400</v>
      </c>
      <c r="AD344"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ノンオペの当事者の戸籍上の性別変更</v>
      </c>
      <c r="AE344" s="8" t="s">
        <v>475</v>
      </c>
      <c r="AF344" s="8" t="s">
        <v>457</v>
      </c>
      <c r="AG344" s="8" t="s">
        <v>458</v>
      </c>
      <c r="AH344" s="8" t="s">
        <v>637</v>
      </c>
      <c r="AI344" s="8">
        <f t="shared" si="14"/>
        <v>4</v>
      </c>
      <c r="AJ344" s="8"/>
      <c r="AK344" s="8"/>
      <c r="AL344" s="8"/>
      <c r="AM344" s="8"/>
      <c r="AN344" s="8"/>
    </row>
    <row r="345" spans="1:40" ht="38.25" hidden="1">
      <c r="A345" s="8">
        <v>345</v>
      </c>
      <c r="B345" s="11">
        <v>44991.934649212963</v>
      </c>
      <c r="C345" s="8" t="s">
        <v>452</v>
      </c>
      <c r="D345" s="8" t="s">
        <v>453</v>
      </c>
      <c r="E345" s="8" t="s">
        <v>452</v>
      </c>
      <c r="F345" s="8" t="s">
        <v>454</v>
      </c>
      <c r="G345" s="8" t="str">
        <f>", "&amp;'RAW (公開用)'!F346&amp;", "</f>
        <v xml:space="preserve">, 無性, Xジェンダー, 不明／わからない, 不定性, （ジェンダー・）フルイド／（ジェンダー・）フリュイド／（ジェンダー・）フルイッド, **必ず選んでください**, 無し, ノンバイナリー, </v>
      </c>
      <c r="H345" s="8" t="s">
        <v>605</v>
      </c>
      <c r="I345" s="8" t="str">
        <f>", "&amp;'RAW (公開用)'!H346&amp;", "</f>
        <v xml:space="preserve">, くん／君, （敬称なし）, さん, </v>
      </c>
      <c r="J345" s="8" t="s">
        <v>2335</v>
      </c>
      <c r="K34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（敬称なし）, さん,  , </v>
      </c>
      <c r="L345" s="8" t="str">
        <f>", "&amp;'RAW (公開用)'!J346&amp;", "</f>
        <v xml:space="preserve">, **英語を日常的に使わない**, </v>
      </c>
      <c r="M345" s="8" t="s">
        <v>2335</v>
      </c>
      <c r="N34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5" s="8" t="str">
        <f>", "&amp;'RAW (公開用)'!L346&amp;", "</f>
        <v xml:space="preserve">, わし, 私（わたし／わたくし）, </v>
      </c>
      <c r="P345" s="8" t="s">
        <v>2335</v>
      </c>
      <c r="Q34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私（わたし／わたくし）,  , </v>
      </c>
      <c r="R345" s="8" t="str">
        <f>", "&amp;'RAW (公開用)'!N345&amp;", "</f>
        <v xml:space="preserve">, （三人称で言及してほしくない）, </v>
      </c>
      <c r="S345" s="8" t="s">
        <v>2335</v>
      </c>
      <c r="T34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45" s="8" t="str">
        <f>", "&amp;'RAW (公開用)'!P346&amp;", "</f>
        <v xml:space="preserve">, **英語を日常的に使わない**, </v>
      </c>
      <c r="V345" s="8" t="s">
        <v>455</v>
      </c>
      <c r="W345" s="8" t="str">
        <f>", "&amp;'RAW (公開用)'!R346&amp;", "</f>
        <v xml:space="preserve">, 社会の中でいないことにされる, 性暴力, 医療における無理解, 職場や学校における無理解, カムアウトできない, トイレなどのジェンダー化されたスペースの使用, </v>
      </c>
      <c r="X345" s="8"/>
      <c r="Y34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性暴力, 医療における無理解, 職場や学校における無理解, カムアウトできない, トイレなどのジェンダー化されたスペースの使用,  </v>
      </c>
      <c r="Z345" s="8" t="s">
        <v>455</v>
      </c>
      <c r="AA345" s="8" t="str">
        <f>", "&amp;'RAW (公開用)'!U346&amp;", "</f>
        <v xml:space="preserve">, 戸籍名の変更, ジェンダークリニックの受診, 胸部の手術, </v>
      </c>
      <c r="AB345" s="8" t="str">
        <f>", "&amp;'RAW (公開用)'!V346&amp;", "</f>
        <v xml:space="preserve">, （上記のどれも経験していない）, </v>
      </c>
      <c r="AC345" s="8"/>
      <c r="AD34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45" s="8" t="s">
        <v>462</v>
      </c>
      <c r="AF345" s="8" t="s">
        <v>457</v>
      </c>
      <c r="AG345" s="8" t="s">
        <v>458</v>
      </c>
      <c r="AH345" s="8"/>
      <c r="AI345" s="8">
        <f t="shared" si="14"/>
        <v>7</v>
      </c>
      <c r="AJ345" s="8"/>
      <c r="AK345" s="8"/>
      <c r="AL345" s="8"/>
      <c r="AM345" s="8"/>
      <c r="AN345" s="8"/>
    </row>
    <row r="346" spans="1:40" ht="51" hidden="1">
      <c r="A346" s="8">
        <v>346</v>
      </c>
      <c r="B346" s="11">
        <v>44991.935154259263</v>
      </c>
      <c r="C346" s="8" t="s">
        <v>452</v>
      </c>
      <c r="D346" s="8" t="s">
        <v>453</v>
      </c>
      <c r="E346" s="8" t="s">
        <v>452</v>
      </c>
      <c r="F346" s="8" t="s">
        <v>454</v>
      </c>
      <c r="G346" s="8" t="str">
        <f>", "&amp;'RAW (公開用)'!F347&amp;", "</f>
        <v xml:space="preserve">, ノンバイナリー, 無し, **必ず選んでください**, 無性, クィア／Queer, </v>
      </c>
      <c r="H346" s="8"/>
      <c r="I346" s="8" t="str">
        <f>", "&amp;'RAW (公開用)'!H347&amp;", "</f>
        <v xml:space="preserve">, さん, </v>
      </c>
      <c r="J346" s="8" t="s">
        <v>2335</v>
      </c>
      <c r="K34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46" s="8" t="str">
        <f>", "&amp;'RAW (公開用)'!J347&amp;", "</f>
        <v xml:space="preserve">, **英語を日常的に使わない**, </v>
      </c>
      <c r="M346" s="8" t="s">
        <v>2335</v>
      </c>
      <c r="N34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6" s="8" t="str">
        <f>", "&amp;'RAW (公開用)'!L347&amp;", "</f>
        <v xml:space="preserve">, 私（わたし／わたくし）, </v>
      </c>
      <c r="P346" s="8" t="s">
        <v>2335</v>
      </c>
      <c r="Q34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46" s="8" t="str">
        <f>", "&amp;'RAW (公開用)'!N346&amp;", "</f>
        <v xml:space="preserve">, （自分（たち）の名前）, 彼人（かのひと）, </v>
      </c>
      <c r="S346" s="8" t="s">
        <v>2335</v>
      </c>
      <c r="T34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彼人（かのひと）,  , </v>
      </c>
      <c r="U346" s="8" t="str">
        <f>", "&amp;'RAW (公開用)'!P347&amp;", "</f>
        <v xml:space="preserve">, **英語を日常的に使わない**, </v>
      </c>
      <c r="V346" s="8" t="s">
        <v>455</v>
      </c>
      <c r="W346" s="8" t="str">
        <f>", "&amp;'RAW (公開用)'!R347&amp;", "</f>
        <v xml:space="preserve">, 医療における無理解, 性暴力, ミスジェンダリング（誤った性別として扱うこと）, カムアウトできない, 社会の中でいないことにされる, 家族／かぞくからの無理解, トイレなどのジェンダー化されたスペースの使用, 必要なジェンダーケアへアクセスできない, 職場や学校における無理解, LGBTQ+運動からの排斥, </v>
      </c>
      <c r="X346" s="8"/>
      <c r="Y34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性暴力, ミスジェンダリング（誤った性別として扱うこと）, カムアウトできない, 社会の中でいないことにされる, 家族／かぞくからの無理解, トイレなどのジェンダー化されたスペースの使用, 必要なジェンダーケアへアクセスできない, 職場や学校における無理解, LGBTQ+運動からの排斥,  </v>
      </c>
      <c r="Z346" s="8" t="s">
        <v>455</v>
      </c>
      <c r="AA346" s="8" t="str">
        <f>", "&amp;'RAW (公開用)'!U347&amp;", "</f>
        <v xml:space="preserve">, 戸籍上の性別の変更, 胸部の手術, </v>
      </c>
      <c r="AB346" s="8" t="str">
        <f>", "&amp;'RAW (公開用)'!V347&amp;", "</f>
        <v xml:space="preserve">, （上記のどれも経験していない）, </v>
      </c>
      <c r="AC346" s="8"/>
      <c r="AD34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46" s="8" t="s">
        <v>462</v>
      </c>
      <c r="AF346" s="8" t="s">
        <v>457</v>
      </c>
      <c r="AG346" s="8" t="s">
        <v>458</v>
      </c>
      <c r="AH346" s="8"/>
      <c r="AI346" s="8">
        <f t="shared" si="14"/>
        <v>4</v>
      </c>
      <c r="AJ346" s="8"/>
      <c r="AK346" s="8"/>
      <c r="AL346" s="8"/>
      <c r="AM346" s="8"/>
      <c r="AN346" s="8"/>
    </row>
    <row r="347" spans="1:40" ht="38.25" hidden="1">
      <c r="A347" s="8">
        <v>347</v>
      </c>
      <c r="B347" s="11">
        <v>44991.940445405096</v>
      </c>
      <c r="C347" s="8" t="s">
        <v>452</v>
      </c>
      <c r="D347" s="8" t="s">
        <v>453</v>
      </c>
      <c r="E347" s="8" t="s">
        <v>452</v>
      </c>
      <c r="F347" s="8" t="s">
        <v>454</v>
      </c>
      <c r="G347" s="8" t="str">
        <f>", "&amp;'RAW (公開用)'!F348&amp;", "</f>
        <v xml:space="preserve">, レズビアン（ジェンダーについて）, ノンバイナリー女性, クィア／Queer, 不定性, （ジェンダー・）フルイド／（ジェンダー・）フリュイド／（ジェンダー・）フルイッド, </v>
      </c>
      <c r="H347" s="8"/>
      <c r="I347" s="8" t="str">
        <f>", "&amp;'RAW (公開用)'!H348&amp;", "</f>
        <v xml:space="preserve">, （敬称なし）, さん, </v>
      </c>
      <c r="J347" s="8" t="s">
        <v>2335</v>
      </c>
      <c r="K34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47" s="8" t="str">
        <f>", "&amp;'RAW (公開用)'!J348&amp;", "</f>
        <v xml:space="preserve">, **英語を日常的に使わない**, </v>
      </c>
      <c r="M347" s="8" t="s">
        <v>2335</v>
      </c>
      <c r="N34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7" s="8" t="str">
        <f>", "&amp;'RAW (公開用)'!L348&amp;", "</f>
        <v xml:space="preserve">, おれ, 私（わたし／わたくし）, </v>
      </c>
      <c r="P347" s="8" t="s">
        <v>2335</v>
      </c>
      <c r="Q34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私（わたし／わたくし）,  , </v>
      </c>
      <c r="R347" s="8" t="str">
        <f>", "&amp;'RAW (公開用)'!N347&amp;", "</f>
        <v xml:space="preserve">, （自分（たち）の名前）, </v>
      </c>
      <c r="S347" s="8" t="s">
        <v>2335</v>
      </c>
      <c r="T34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47" s="8" t="str">
        <f>", "&amp;'RAW (公開用)'!P348&amp;", "</f>
        <v xml:space="preserve">, **英語を日常的に使わない**, </v>
      </c>
      <c r="V347" s="8" t="s">
        <v>472</v>
      </c>
      <c r="W347" s="8" t="s">
        <v>2174</v>
      </c>
      <c r="X347" s="8"/>
      <c r="Y34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47" s="8" t="s">
        <v>472</v>
      </c>
      <c r="AA347" s="8" t="s">
        <v>2174</v>
      </c>
      <c r="AB347" s="105" t="s">
        <v>2443</v>
      </c>
      <c r="AC347" s="8"/>
      <c r="AD347"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47" s="8" t="s">
        <v>462</v>
      </c>
      <c r="AF347" s="8" t="s">
        <v>457</v>
      </c>
      <c r="AG347" s="8" t="s">
        <v>458</v>
      </c>
      <c r="AH347" s="8"/>
      <c r="AI347" s="8">
        <f t="shared" si="14"/>
        <v>5</v>
      </c>
      <c r="AJ347" s="8"/>
      <c r="AK347" s="8"/>
      <c r="AL347" s="8"/>
      <c r="AM347" s="8"/>
      <c r="AN347" s="8"/>
    </row>
    <row r="348" spans="1:40" ht="38.25" hidden="1">
      <c r="A348" s="8">
        <v>348</v>
      </c>
      <c r="B348" s="11">
        <v>44991.950764386573</v>
      </c>
      <c r="C348" s="8" t="s">
        <v>452</v>
      </c>
      <c r="D348" s="8" t="s">
        <v>453</v>
      </c>
      <c r="E348" s="8" t="s">
        <v>452</v>
      </c>
      <c r="F348" s="8" t="s">
        <v>454</v>
      </c>
      <c r="G348" s="8" t="str">
        <f>", "&amp;'RAW (公開用)'!F349&amp;", "</f>
        <v xml:space="preserve">, ノンバイナリー, **必ず選んでください**, </v>
      </c>
      <c r="H348" s="8"/>
      <c r="I348" s="8" t="str">
        <f>", "&amp;'RAW (公開用)'!H349&amp;", "</f>
        <v xml:space="preserve">, ちゃん, さん, </v>
      </c>
      <c r="J348" s="8" t="s">
        <v>2335</v>
      </c>
      <c r="K34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348" s="8" t="str">
        <f>", "&amp;'RAW (公開用)'!J349&amp;", "</f>
        <v xml:space="preserve">, **英語を日常的に使わない**, </v>
      </c>
      <c r="M348" s="8" t="s">
        <v>2335</v>
      </c>
      <c r="N34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8" s="8" t="str">
        <f>", "&amp;'RAW (公開用)'!L349&amp;", "</f>
        <v xml:space="preserve">, わたし, 私（わたし／わたくし）, 自分, </v>
      </c>
      <c r="P348" s="8" t="s">
        <v>2335</v>
      </c>
      <c r="Q34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自分,  , </v>
      </c>
      <c r="R348" s="8" t="str">
        <f>", "&amp;'RAW (公開用)'!N348&amp;", "</f>
        <v xml:space="preserve">, 彼女, </v>
      </c>
      <c r="S348" s="8" t="s">
        <v>2335</v>
      </c>
      <c r="T34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348" s="8" t="str">
        <f>", "&amp;'RAW (公開用)'!P349&amp;", "</f>
        <v xml:space="preserve">, **英語を日常的に使わない**, </v>
      </c>
      <c r="V348" s="8" t="s">
        <v>455</v>
      </c>
      <c r="W348" s="8" t="str">
        <f>", "&amp;'RAW (公開用)'!R349&amp;", "</f>
        <v xml:space="preserve">, アウティング（勝手にジェンダーや指向についての情報を明かされること）, ミスジェンダリング（誤った性別として扱うこと）, 社会の中でいないことにされる, カムアウトできない, 職場や学校における無理解, カムアウトを強制される, </v>
      </c>
      <c r="X348" s="8"/>
      <c r="Y34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ミスジェンダリング（誤った性別として扱うこと）, 社会の中でいないことにされる, カムアウトできない, 職場や学校における無理解, カムアウトを強制される,  </v>
      </c>
      <c r="Z348" s="8" t="s">
        <v>472</v>
      </c>
      <c r="AA348" s="8" t="s">
        <v>2174</v>
      </c>
      <c r="AB348" s="105" t="s">
        <v>2443</v>
      </c>
      <c r="AC348" s="8"/>
      <c r="AD348"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48" s="8" t="s">
        <v>462</v>
      </c>
      <c r="AF348" s="8" t="s">
        <v>457</v>
      </c>
      <c r="AG348" s="8" t="s">
        <v>458</v>
      </c>
      <c r="AH348" s="8"/>
      <c r="AI348" s="8">
        <f t="shared" si="14"/>
        <v>1</v>
      </c>
      <c r="AJ348" s="8"/>
      <c r="AK348" s="8"/>
      <c r="AL348" s="8"/>
      <c r="AM348" s="8"/>
      <c r="AN348" s="8"/>
    </row>
    <row r="349" spans="1:40" ht="25.5" hidden="1">
      <c r="A349" s="8">
        <v>349</v>
      </c>
      <c r="B349" s="11">
        <v>44991.950848078704</v>
      </c>
      <c r="C349" s="8" t="s">
        <v>452</v>
      </c>
      <c r="D349" s="8" t="s">
        <v>453</v>
      </c>
      <c r="E349" s="8" t="s">
        <v>452</v>
      </c>
      <c r="F349" s="8" t="s">
        <v>454</v>
      </c>
      <c r="G349" s="8" t="str">
        <f>", "&amp;'RAW (公開用)'!F350&amp;", "</f>
        <v xml:space="preserve">, シスジェンダー, ノンバイナリー, ノンバイナリー男性, </v>
      </c>
      <c r="H349" s="8"/>
      <c r="I349" s="8" t="str">
        <f>", "&amp;'RAW (公開用)'!H350&amp;", "</f>
        <v xml:space="preserve">, くん／君, （時とともに変わる）, さん, </v>
      </c>
      <c r="J349" s="8" t="s">
        <v>2335</v>
      </c>
      <c r="K34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（時とともに変わる）, さん,  , </v>
      </c>
      <c r="L349" s="8" t="str">
        <f>", "&amp;'RAW (公開用)'!J350&amp;", "</f>
        <v xml:space="preserve">, **英語を日常的に使わない**, </v>
      </c>
      <c r="M349" s="8" t="s">
        <v>2335</v>
      </c>
      <c r="N34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49" s="8" t="str">
        <f>", "&amp;'RAW (公開用)'!L350&amp;", "</f>
        <v xml:space="preserve">, あたし, 僕, おれ, わたし, ぼく, （any／問わない／どれでもよい）, うち, 私（わたし／わたくし）, 自分, わし, 俺, </v>
      </c>
      <c r="P349" s="8" t="s">
        <v>2335</v>
      </c>
      <c r="Q34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僕, おれ, わたし, ぼく, （any／問わない／どれでもよい）, うち, 私（わたし／わたくし）, 自分, わし, 俺,  , </v>
      </c>
      <c r="R349" s="8" t="str">
        <f>", "&amp;'RAW (公開用)'!N349&amp;", "</f>
        <v xml:space="preserve">, （自分（たち）の名前）, </v>
      </c>
      <c r="S349" s="8" t="s">
        <v>2335</v>
      </c>
      <c r="T34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49" s="8" t="str">
        <f>", "&amp;'RAW (公開用)'!P350&amp;", "</f>
        <v xml:space="preserve">, **英語を日常的に使わない**, </v>
      </c>
      <c r="V349" s="8" t="s">
        <v>455</v>
      </c>
      <c r="W349" s="8" t="str">
        <f>", "&amp;'RAW (公開用)'!R350&amp;", "</f>
        <v xml:space="preserve">, カムアウトできない, 社会の中でいないことにされる, </v>
      </c>
      <c r="X349" s="8" t="s">
        <v>219</v>
      </c>
      <c r="Y34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カムアウトできない, 社会の中でいないことにされる,  そもそもノンバイナリーであることを明かすとどうなるのか見当がつかない</v>
      </c>
      <c r="Z349" s="8" t="s">
        <v>455</v>
      </c>
      <c r="AA349" s="8" t="str">
        <f>", "&amp;'RAW (公開用)'!U350&amp;", "</f>
        <v xml:space="preserve">, （上記のどれも希望していない）, </v>
      </c>
      <c r="AB349" s="8" t="str">
        <f>", "&amp;'RAW (公開用)'!V350&amp;", "</f>
        <v xml:space="preserve">, （上記のどれも経験していない）, </v>
      </c>
      <c r="AC349" s="8"/>
      <c r="AD34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49" s="8" t="s">
        <v>459</v>
      </c>
      <c r="AF349" s="8" t="s">
        <v>457</v>
      </c>
      <c r="AG349" s="8" t="s">
        <v>458</v>
      </c>
      <c r="AH349" s="8"/>
      <c r="AI349" s="8">
        <f t="shared" si="14"/>
        <v>3</v>
      </c>
      <c r="AJ349" s="8"/>
      <c r="AK349" s="8"/>
      <c r="AL349" s="8"/>
      <c r="AM349" s="8"/>
      <c r="AN349" s="8"/>
    </row>
    <row r="350" spans="1:40" ht="38.25" hidden="1">
      <c r="A350" s="8">
        <v>350</v>
      </c>
      <c r="B350" s="11">
        <v>44991.953911620367</v>
      </c>
      <c r="C350" s="8" t="s">
        <v>452</v>
      </c>
      <c r="D350" s="8" t="s">
        <v>453</v>
      </c>
      <c r="E350" s="8" t="s">
        <v>452</v>
      </c>
      <c r="F350" s="8" t="s">
        <v>454</v>
      </c>
      <c r="G350" s="8" t="str">
        <f>", "&amp;'RAW (公開用)'!F351&amp;", "</f>
        <v xml:space="preserve">, トランス*／trans*, （ジェンダー・）フルイド／（ジェンダー・）フリュイド／（ジェンダー・）フルイッド, トランスマスキュリン, ノンバイナリー, </v>
      </c>
      <c r="H350" s="8"/>
      <c r="I350" s="8" t="str">
        <f>", "&amp;'RAW (公開用)'!H351&amp;", "</f>
        <v xml:space="preserve">, さん, （敬称なし）, ちゃん, くん／君, </v>
      </c>
      <c r="J350" s="8" t="s">
        <v>2335</v>
      </c>
      <c r="K35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ちゃん, くん／君,  , </v>
      </c>
      <c r="L350" s="8" t="str">
        <f>", "&amp;'RAW (公開用)'!J351&amp;", "</f>
        <v xml:space="preserve">, **英語を日常的に使わない**, </v>
      </c>
      <c r="M350" s="8" t="s">
        <v>2335</v>
      </c>
      <c r="N35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50" s="8" t="str">
        <f>", "&amp;'RAW (公開用)'!L351&amp;", "</f>
        <v xml:space="preserve">, 私（わたし／わたくし）, 自分, （自分（たち）の名前）, 俺, </v>
      </c>
      <c r="P350" s="8" t="s">
        <v>2335</v>
      </c>
      <c r="Q35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（自分（たち）の名前）, 俺,  , </v>
      </c>
      <c r="R350" s="8" t="str">
        <f>", "&amp;'RAW (公開用)'!N350&amp;", "</f>
        <v xml:space="preserve">, （any／問わない／どれでもよい）, </v>
      </c>
      <c r="S350" s="8" t="s">
        <v>2335</v>
      </c>
      <c r="T35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350" s="8" t="str">
        <f>", "&amp;'RAW (公開用)'!P351&amp;", "</f>
        <v xml:space="preserve">, **英語を日常的に使わない**, they/them/their/themselves, </v>
      </c>
      <c r="V350" s="8" t="s">
        <v>455</v>
      </c>
      <c r="W350" s="8" t="str">
        <f>", "&amp;'RAW (公開用)'!R351&amp;", "</f>
        <v xml:space="preserve">, ミスジェンダリング（誤った性別として扱うこと）, カムアウトできない, トイレなどのジェンダー化されたスペースの使用, 社会の中でいないことにされる, 職場や学校における無理解, </v>
      </c>
      <c r="X350" s="8"/>
      <c r="Y35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トイレなどのジェンダー化されたスペースの使用, 社会の中でいないことにされる, 職場や学校における無理解,  </v>
      </c>
      <c r="Z350" s="8" t="s">
        <v>455</v>
      </c>
      <c r="AA350" s="8" t="str">
        <f>", "&amp;'RAW (公開用)'!U351&amp;", "</f>
        <v xml:space="preserve">, 戸籍上の性別の変更, 抗ホルモン療法, 胸部の手術, 性器にかかわる手術, </v>
      </c>
      <c r="AB350" s="8" t="str">
        <f>", "&amp;'RAW (公開用)'!V351&amp;", "</f>
        <v xml:space="preserve">, 胸部の手術, </v>
      </c>
      <c r="AC350" s="8" t="s">
        <v>341</v>
      </c>
      <c r="AD350" s="8" t="str">
        <f>テーブル1[[#This Row],[以下のうち、経験したものをすべて選んでください]]&amp;" "&amp;テーブル1[[#This Row],[社会的、法的、医学的トランジションについて、困難なこと等がありましたらここにお書きください]]</f>
        <v>, 胸部の手術,  日本ではまだ二元的じゃない性別があまり知られてないため、様々な場面で性別を訊ねられる際に「男・女」のどちらかで聞かれてしまうことが苦痛。出来るなら戸籍上の性別も「X」にしたい。</v>
      </c>
      <c r="AE350" s="8" t="s">
        <v>456</v>
      </c>
      <c r="AF350" s="8" t="s">
        <v>457</v>
      </c>
      <c r="AG350" s="8" t="s">
        <v>458</v>
      </c>
      <c r="AH350" s="8"/>
      <c r="AI350" s="8">
        <f t="shared" si="14"/>
        <v>4</v>
      </c>
      <c r="AJ350" s="8"/>
      <c r="AK350" s="8"/>
      <c r="AL350" s="8"/>
      <c r="AM350" s="8"/>
      <c r="AN350" s="8"/>
    </row>
    <row r="351" spans="1:40" ht="25.5" hidden="1">
      <c r="A351" s="8">
        <v>169</v>
      </c>
      <c r="B351" s="11">
        <v>44970.832185462961</v>
      </c>
      <c r="C351" s="8" t="s">
        <v>452</v>
      </c>
      <c r="D351" s="8" t="s">
        <v>453</v>
      </c>
      <c r="E351" s="8" t="s">
        <v>452</v>
      </c>
      <c r="F351" s="8" t="s">
        <v>454</v>
      </c>
      <c r="G351" s="8" t="str">
        <f>", "&amp;'RAW (公開用)'!F170&amp;", "</f>
        <v xml:space="preserve">, ノンバイナリー, クィア／Queer, ジェンダークィア, 無性, Xジェンダー, **必ず選んでください**, </v>
      </c>
      <c r="H351" s="8"/>
      <c r="I351" s="8" t="str">
        <f>", "&amp;'RAW (公開用)'!H170&amp;", "</f>
        <v xml:space="preserve">, （敬称なし）, さん, （any／問わない／どれでもよい）, ちゃん, くん／君, </v>
      </c>
      <c r="J351" s="8" t="s">
        <v>2335</v>
      </c>
      <c r="K35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（any／問わない／どれでもよい）, ちゃん, くん／君,  , </v>
      </c>
      <c r="L351" s="8" t="str">
        <f>", "&amp;'RAW (公開用)'!J170&amp;", "</f>
        <v xml:space="preserve">, **英語を日常的に使わない**, </v>
      </c>
      <c r="M351" s="8" t="s">
        <v>2335</v>
      </c>
      <c r="N35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51" s="8" t="str">
        <f>", "&amp;'RAW (公開用)'!L170&amp;", "</f>
        <v xml:space="preserve">, わたし, 私（わたし／わたくし）, わし, </v>
      </c>
      <c r="P351" s="8" t="s">
        <v>2335</v>
      </c>
      <c r="Q35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わし,  , </v>
      </c>
      <c r="R351" s="8" t="str">
        <f>", "&amp;'RAW (公開用)'!N351&amp;", "</f>
        <v xml:space="preserve">, （三人称で言及してほしくない）, （自分（たち）の名前）, </v>
      </c>
      <c r="S351" s="8" t="s">
        <v>2355</v>
      </c>
      <c r="T35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（自分（たち）の名前）,  , {この/その/あの}+人,</v>
      </c>
      <c r="U351" s="8" t="str">
        <f>", "&amp;'RAW (公開用)'!P170&amp;", "</f>
        <v xml:space="preserve">, they/them/their/themself, </v>
      </c>
      <c r="V351" s="8" t="s">
        <v>455</v>
      </c>
      <c r="W351" s="8" t="s">
        <v>2174</v>
      </c>
      <c r="X351" s="8"/>
      <c r="Y35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51" s="8" t="s">
        <v>455</v>
      </c>
      <c r="AA351" s="8" t="str">
        <f>", "&amp;'RAW (公開用)'!U170&amp;", "</f>
        <v xml:space="preserve">, 戸籍名の変更, ホルモン補充療法（HRT）, </v>
      </c>
      <c r="AB351" s="8" t="str">
        <f>", "&amp;'RAW (公開用)'!V170&amp;", "</f>
        <v xml:space="preserve">, ホルモン補充療法（HRT）, </v>
      </c>
      <c r="AC351" s="8"/>
      <c r="AD351"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351" s="8" t="s">
        <v>501</v>
      </c>
      <c r="AF351" s="8" t="s">
        <v>457</v>
      </c>
      <c r="AG351" s="8" t="s">
        <v>458</v>
      </c>
      <c r="AH351" s="8"/>
      <c r="AI351" s="8">
        <f t="shared" si="14"/>
        <v>5</v>
      </c>
      <c r="AJ351" s="8"/>
      <c r="AK351" s="8"/>
      <c r="AL351" s="8"/>
      <c r="AM351" s="8"/>
      <c r="AN351" s="8"/>
    </row>
    <row r="352" spans="1:40" ht="114.75" hidden="1">
      <c r="A352" s="8">
        <v>45</v>
      </c>
      <c r="B352" s="11">
        <v>44969.84823743056</v>
      </c>
      <c r="C352" s="8" t="s">
        <v>452</v>
      </c>
      <c r="D352" s="8" t="s">
        <v>453</v>
      </c>
      <c r="E352" s="8" t="s">
        <v>452</v>
      </c>
      <c r="F352" s="8" t="s">
        <v>454</v>
      </c>
      <c r="G352" s="8" t="str">
        <f>", "&amp;'RAW (公開用)'!F46&amp;", "</f>
        <v xml:space="preserve">, **必ず選んでください**, Xジェンダー, ノンバイナリー, </v>
      </c>
      <c r="H352" s="8" t="s">
        <v>493</v>
      </c>
      <c r="I352" s="8" t="str">
        <f>", "&amp;'RAW (公開用)'!H46&amp;", "</f>
        <v xml:space="preserve">, さん, </v>
      </c>
      <c r="J352" s="8" t="s">
        <v>2335</v>
      </c>
      <c r="K35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52" s="8" t="str">
        <f>", "&amp;'RAW (公開用)'!J46&amp;", "</f>
        <v xml:space="preserve">, Mx., </v>
      </c>
      <c r="M352" s="8" t="s">
        <v>2335</v>
      </c>
      <c r="N35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352" s="8" t="str">
        <f>", "&amp;'RAW (公開用)'!L46&amp;", "</f>
        <v xml:space="preserve">, わたし, （時とともに変わる）, 私（わたし／わたくし）, 俺, （自分（たち）の名前）, 自分, 僕, </v>
      </c>
      <c r="P352" s="73" t="s">
        <v>2412</v>
      </c>
      <c r="Q35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（時とともに変わる）, 私（わたし／わたくし）, 俺, （自分（たち）の名前）, 自分, 僕,  , みー,</v>
      </c>
      <c r="R352" s="8" t="str">
        <f>", "&amp;'RAW (公開用)'!N352&amp;", "</f>
        <v xml:space="preserve">, （自分（たち）の名前）, </v>
      </c>
      <c r="S352" s="8" t="s">
        <v>2355</v>
      </c>
      <c r="T35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352" s="8" t="str">
        <f>", "&amp;'RAW (公開用)'!P46&amp;", "</f>
        <v xml:space="preserve">, they/them/their/themselves, </v>
      </c>
      <c r="V352" s="8" t="s">
        <v>455</v>
      </c>
      <c r="W352" s="8" t="str">
        <f>", "&amp;'RAW (公開用)'!R46&amp;", "</f>
        <v xml:space="preserve">, 家族／かぞくからの無理解, LGBTQ+運動からの排斥, 職場や学校における無理解, ミスジェンダリング（誤った性別として扱うこと）, カムアウトできない, トイレなどのジェンダー化されたスペースの使用, 必要なジェンダーケアへアクセスできない, アウティング（勝手にジェンダーや指向についての情報を明かされること）, デッドネーミング（誤った名前で呼ばれること）, 医療における無理解, 社会の中でいないことにされる, カムアウトを強制される, </v>
      </c>
      <c r="X352" s="8" t="s">
        <v>250</v>
      </c>
      <c r="Y35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家族／かぞくからの無理解, LGBTQ+運動からの排斥, 職場や学校における無理解, ミスジェンダリング（誤った性別として扱うこと）, カムアウトできない, トイレなどのジェンダー化されたスペースの使用, 必要なジェンダーケアへアクセスできない, アウティング（勝手にジェンダーや指向についての情報を明かされること）, デッドネーミング（誤った名前で呼ばれること）, 医療における無理解, 社会の中でいないことにされる, カムアウトを強制される,  子宮頸がんワクチンをレディースクリニックで受けたとき、私が「シスジェンダー女性で、性行為や恋愛の対象が3次元の男性の人間である」ということが前提の上、子宮頸がんや子宮頸がんワクチンに関する説明を受けさせられたこと。</v>
      </c>
      <c r="Z352" s="8" t="s">
        <v>455</v>
      </c>
      <c r="AA352" s="8" t="str">
        <f>", "&amp;'RAW (公開用)'!U46&amp;", "</f>
        <v xml:space="preserve">, ジェンダークリニックの受診, 胸部の手術, </v>
      </c>
      <c r="AB352" s="8" t="str">
        <f>", "&amp;'RAW (公開用)'!V46&amp;", "</f>
        <v xml:space="preserve">, （上記のどれも経験していない）, </v>
      </c>
      <c r="AC352" s="8" t="s">
        <v>323</v>
      </c>
      <c r="AD35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胸を平たくする手術を受ける際、低用量ピルの服用を止めるべきか、続けてもいいのか、止めるべきなら止めた期間内の月経の苦痛をどうするのか、分からない。レディースクリニックの医師に相談したいが、切り出し方が分からない。
※低用量ピルは、月経困難症のため服用中です。</v>
      </c>
      <c r="AE352" s="8" t="s">
        <v>464</v>
      </c>
      <c r="AF352" s="8" t="s">
        <v>457</v>
      </c>
      <c r="AG352" s="8" t="s">
        <v>458</v>
      </c>
      <c r="AH352" s="8"/>
      <c r="AI352" s="8">
        <f>((LEN(G352)-LEN(SUBSTITUTE(G352,", ","")))/LEN(", ")-1-(LEN(G352)-LEN(SUBSTITUTE(G352,"必ず","")))/LEN("必ず"))+(LEN(H352)-LEN(SUBSTITUTE(H352,",","")))</f>
        <v>3</v>
      </c>
      <c r="AJ352" s="8"/>
      <c r="AK352" s="8"/>
      <c r="AL352" s="8"/>
      <c r="AM352" s="8"/>
      <c r="AN352" s="8"/>
    </row>
    <row r="353" spans="1:40" ht="153" hidden="1">
      <c r="A353" s="8">
        <v>353</v>
      </c>
      <c r="B353" s="11">
        <v>44991.967250995367</v>
      </c>
      <c r="C353" s="8" t="s">
        <v>452</v>
      </c>
      <c r="D353" s="8" t="s">
        <v>453</v>
      </c>
      <c r="E353" s="8" t="s">
        <v>452</v>
      </c>
      <c r="F353" s="8" t="s">
        <v>454</v>
      </c>
      <c r="G353" s="8" t="str">
        <f>", "&amp;'RAW (公開用)'!F354&amp;", "</f>
        <v xml:space="preserve">, 不明／わからない, ジェンダーレス, ジェンダー・ノンコンフォーミング／gender non-conforming, Xジェンダー, ノンバイナリー, X, </v>
      </c>
      <c r="H353" s="8"/>
      <c r="I353" s="8" t="str">
        <f>", "&amp;'RAW (公開用)'!H354&amp;", "</f>
        <v xml:space="preserve">, さん, （any／問わない／どれでもよい）, （時とともに変わる）, （クエスチョニング、模索中、または不明）, </v>
      </c>
      <c r="J353" s="8" t="s">
        <v>2335</v>
      </c>
      <c r="K35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（any／問わない／どれでもよい）, （時とともに変わる）, （クエスチョニング、模索中、または不明）,  , </v>
      </c>
      <c r="L353" s="8" t="str">
        <f>", "&amp;'RAW (公開用)'!J354&amp;", "</f>
        <v xml:space="preserve">, （時とともに変わる）, （any／問わない／どれでもよい）, （クエスチョニング、模索中、または不明）, -san, </v>
      </c>
      <c r="M353" s="8" t="s">
        <v>2335</v>
      </c>
      <c r="N35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（時とともに変わる）, （any／問わない／どれでもよい）, （クエスチョニング、模索中、または不明）, -san, , </v>
      </c>
      <c r="O353" s="8" t="str">
        <f>", "&amp;'RAW (公開用)'!L354&amp;", "</f>
        <v xml:space="preserve">, （一人称の使用を避ける）, 自分, わたし, （クエスチョニング、模索中、または不明）, （時とともに変わる）, （自分（たち）の名前）, 私（わたし／わたくし）, 俺, </v>
      </c>
      <c r="P353" s="8" t="s">
        <v>2335</v>
      </c>
      <c r="Q35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自分, わたし, （クエスチョニング、模索中、または不明）, （時とともに変わる）, （自分（たち）の名前）, 私（わたし／わたくし）, 俺,  , </v>
      </c>
      <c r="R353" s="8" t="str">
        <f>", "&amp;'RAW (公開用)'!N353&amp;", "</f>
        <v xml:space="preserve">, （自分（たち）の名前）, </v>
      </c>
      <c r="S353" s="8" t="s">
        <v>2335</v>
      </c>
      <c r="T35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53" s="8" t="str">
        <f>", "&amp;'RAW (公開用)'!P354&amp;", "</f>
        <v xml:space="preserve">, they/them/their/themselves, （時とともに変わる）, （クエスチョニング、模索中、または不明）, </v>
      </c>
      <c r="V353" s="8" t="s">
        <v>455</v>
      </c>
      <c r="W353" s="8" t="str">
        <f>", "&amp;'RAW (公開用)'!R354&amp;", "</f>
        <v xml:space="preserve">, 社会の中でいないことにされる, </v>
      </c>
      <c r="X353" s="8" t="s">
        <v>240</v>
      </c>
      <c r="Y35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割り当てられた性別は女であり、今まで「女らしく」と育てられてきたのでぼんやりとした違和感はあったものの、それを言語化出来ず内面化してしまったためどのような振る舞いや服装、アイデンティティが本当に「自分らしい」のかすら分からず、なので自分のジェンダーアイデンティティが20歳にしてまだ分からない。所謂「中性的」なファッションをしていないとXジェンダーとは見られないというか、その割り当てられた「女」として見られてしまい、それを当然のことだと受け入れてしまっている自分もいるが、確実に自分は「女」ではないと思っている。女性と見られることに違和感を感じる。かと言って男性では確実にないので、まだクエスチョニングである面が大きいと思うが、その「分からない」という状況がすごく自分は不安定に感じる。アンチカテゴリーであるべきなのに二元論に当てはまらない「何か」でないと受け入れられない自分がいる。</v>
      </c>
      <c r="Z353" s="8" t="s">
        <v>455</v>
      </c>
      <c r="AA353" s="8" t="str">
        <f>", "&amp;'RAW (公開用)'!U354&amp;", "</f>
        <v xml:space="preserve">, 戸籍上の性別の変更, </v>
      </c>
      <c r="AB353" s="8" t="str">
        <f>", "&amp;'RAW (公開用)'!V354&amp;", "</f>
        <v xml:space="preserve">, （上記のどれも経験していない）, </v>
      </c>
      <c r="AC353" s="8"/>
      <c r="AD35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53" s="8" t="s">
        <v>464</v>
      </c>
      <c r="AF353" s="8" t="s">
        <v>457</v>
      </c>
      <c r="AG353" s="8" t="s">
        <v>458</v>
      </c>
      <c r="AH353" s="8"/>
      <c r="AI353" s="8">
        <f t="shared" ref="AI353:AI373" si="15">(LEN(G353)-LEN(SUBSTITUTE(G353,", ","")))/LEN(", ")-1-(LEN(G353)-LEN(SUBSTITUTE(G353,"必ず","")))/LEN("必ず")</f>
        <v>6</v>
      </c>
      <c r="AJ353" s="8"/>
      <c r="AK353" s="8"/>
      <c r="AL353" s="8"/>
      <c r="AM353" s="8"/>
      <c r="AN353" s="8"/>
    </row>
    <row r="354" spans="1:40" ht="51" hidden="1">
      <c r="A354" s="8">
        <v>354</v>
      </c>
      <c r="B354" s="11">
        <v>44991.967270706024</v>
      </c>
      <c r="C354" s="8" t="s">
        <v>452</v>
      </c>
      <c r="D354" s="8" t="s">
        <v>453</v>
      </c>
      <c r="E354" s="8" t="s">
        <v>452</v>
      </c>
      <c r="F354" s="8" t="s">
        <v>454</v>
      </c>
      <c r="G354" s="8" t="str">
        <f>", "&amp;'RAW (公開用)'!F355&amp;", "</f>
        <v xml:space="preserve">, 無性, **必ず選んでください**, 無し, トランスジェンダー, </v>
      </c>
      <c r="H354" s="8"/>
      <c r="I354" s="8" t="str">
        <f>", "&amp;'RAW (公開用)'!H355&amp;", "</f>
        <v xml:space="preserve">, （時とともに変わる）, （クエスチョニング、模索中、または不明）, </v>
      </c>
      <c r="J354" s="8" t="s">
        <v>2335</v>
      </c>
      <c r="K35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（クエスチョニング、模索中、または不明）,  , </v>
      </c>
      <c r="L354" s="8" t="str">
        <f>", "&amp;'RAW (公開用)'!J355&amp;", "</f>
        <v xml:space="preserve">, **英語を日常的に使わない**, </v>
      </c>
      <c r="M354" s="8" t="s">
        <v>2335</v>
      </c>
      <c r="N35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54" s="8" t="str">
        <f>", "&amp;'RAW (公開用)'!L355&amp;", "</f>
        <v xml:space="preserve">, （一人称の使用を避ける）, （クエスチョニング、模索中、または不明）, 僕, 自分, （時とともに変わる）, </v>
      </c>
      <c r="P354" s="8" t="s">
        <v>2335</v>
      </c>
      <c r="Q35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（クエスチョニング、模索中、または不明）, 僕, 自分, （時とともに変わる）,  , </v>
      </c>
      <c r="R354" s="8" t="str">
        <f>", "&amp;'RAW (公開用)'!N354&amp;", "</f>
        <v xml:space="preserve">, （自分（たち）の名前）, </v>
      </c>
      <c r="S354" s="8" t="s">
        <v>2335</v>
      </c>
      <c r="T35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54" s="8" t="str">
        <f>", "&amp;'RAW (公開用)'!P355&amp;", "</f>
        <v xml:space="preserve">, **英語を日常的に使わない**, </v>
      </c>
      <c r="V354" s="8" t="s">
        <v>455</v>
      </c>
      <c r="W354" s="8" t="str">
        <f>", "&amp;'RAW (公開用)'!R355&amp;", "</f>
        <v xml:space="preserve">, ミスジェンダリング（誤った性別として扱うこと）, 医療における無理解, アウティング（勝手にジェンダーや指向についての情報を明かされること）, LGBTQ+運動からの排斥, 職場や学校における無理解, トイレなどのジェンダー化されたスペースの使用, </v>
      </c>
      <c r="X354" s="8"/>
      <c r="Y35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医療における無理解, アウティング（勝手にジェンダーや指向についての情報を明かされること）, LGBTQ+運動からの排斥, 職場や学校における無理解, トイレなどのジェンダー化されたスペースの使用,  </v>
      </c>
      <c r="Z354" s="8" t="s">
        <v>455</v>
      </c>
      <c r="AA354" s="8" t="str">
        <f>", "&amp;'RAW (公開用)'!U355&amp;", "</f>
        <v xml:space="preserve">, 戸籍名の変更, 戸籍上の性別の変更, ジェンダークリニックの受診, 抗ホルモン療法, 顔にかかわる手術, 胸部の手術, 性器にかかわる手術, </v>
      </c>
      <c r="AB354" s="8" t="str">
        <f>", "&amp;'RAW (公開用)'!V355&amp;", "</f>
        <v xml:space="preserve">, ジェンダークリニックの受診, 抗ホルモン療法, 胸部の手術, 性器にかかわる手術, </v>
      </c>
      <c r="AC354" s="8" t="s">
        <v>340</v>
      </c>
      <c r="AD354"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抗ホルモン療法, 胸部の手術, 性器にかかわる手術,  日本の戸籍には男・女しかないので、どちらに属しても誤っている状態になる。</v>
      </c>
      <c r="AE354" s="8" t="s">
        <v>459</v>
      </c>
      <c r="AF354" s="8" t="s">
        <v>457</v>
      </c>
      <c r="AG354" s="8" t="s">
        <v>458</v>
      </c>
      <c r="AH354" s="8"/>
      <c r="AI354" s="8">
        <f t="shared" si="15"/>
        <v>3</v>
      </c>
      <c r="AJ354" s="8"/>
      <c r="AK354" s="8"/>
      <c r="AL354" s="8"/>
      <c r="AM354" s="8"/>
      <c r="AN354" s="8"/>
    </row>
    <row r="355" spans="1:40" ht="25.5" hidden="1">
      <c r="A355" s="8">
        <v>355</v>
      </c>
      <c r="B355" s="11">
        <v>44991.968096493059</v>
      </c>
      <c r="C355" s="8" t="s">
        <v>452</v>
      </c>
      <c r="D355" s="8" t="s">
        <v>453</v>
      </c>
      <c r="E355" s="8" t="s">
        <v>452</v>
      </c>
      <c r="F355" s="8" t="s">
        <v>454</v>
      </c>
      <c r="G355" s="8" t="str">
        <f>", "&amp;'RAW (公開用)'!F356&amp;", "</f>
        <v xml:space="preserve">, ノンバイナリー, </v>
      </c>
      <c r="H355" s="8"/>
      <c r="I355" s="8" t="str">
        <f>", "&amp;'RAW (公開用)'!H356&amp;", "</f>
        <v xml:space="preserve">, （any／問わない／どれでもよい）, </v>
      </c>
      <c r="J355" s="8" t="s">
        <v>2335</v>
      </c>
      <c r="K35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55" s="8" t="str">
        <f>", "&amp;'RAW (公開用)'!J356&amp;", "</f>
        <v xml:space="preserve">, （敬称なし）, </v>
      </c>
      <c r="M355" s="8" t="s">
        <v>2335</v>
      </c>
      <c r="N35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355" s="8" t="str">
        <f>", "&amp;'RAW (公開用)'!L356&amp;", "</f>
        <v xml:space="preserve">, （一人称の使用を避ける）, </v>
      </c>
      <c r="P355" s="8" t="s">
        <v>2335</v>
      </c>
      <c r="Q35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 </v>
      </c>
      <c r="R355" s="8" t="str">
        <f>", "&amp;'RAW (公開用)'!N355&amp;", "</f>
        <v xml:space="preserve">, （三人称で言及してほしくない）, </v>
      </c>
      <c r="S355" s="8" t="s">
        <v>2335</v>
      </c>
      <c r="T35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55" s="8" t="str">
        <f>", "&amp;'RAW (公開用)'!P356&amp;", "</f>
        <v xml:space="preserve">, （クエスチョニング、模索中、または不明）, </v>
      </c>
      <c r="V355" s="8" t="s">
        <v>455</v>
      </c>
      <c r="W355" s="8" t="str">
        <f>", "&amp;'RAW (公開用)'!R356&amp;", "</f>
        <v xml:space="preserve">, ミスジェンダリング（誤った性別として扱うこと）, トイレなどのジェンダー化されたスペースの使用, </v>
      </c>
      <c r="X355" s="8"/>
      <c r="Y35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トイレなどのジェンダー化されたスペースの使用,  </v>
      </c>
      <c r="Z355" s="8" t="s">
        <v>455</v>
      </c>
      <c r="AA355" s="8" t="str">
        <f>", "&amp;'RAW (公開用)'!U356&amp;", "</f>
        <v xml:space="preserve">, （上記のどれも希望していない）, </v>
      </c>
      <c r="AB355" s="8" t="str">
        <f>", "&amp;'RAW (公開用)'!V356&amp;", "</f>
        <v xml:space="preserve">, （上記のどれも経験していない）, </v>
      </c>
      <c r="AC355" s="8"/>
      <c r="AD35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55" s="8" t="s">
        <v>464</v>
      </c>
      <c r="AF355" s="8" t="s">
        <v>457</v>
      </c>
      <c r="AG355" s="8" t="s">
        <v>458</v>
      </c>
      <c r="AH355" s="8"/>
      <c r="AI355" s="8">
        <f t="shared" si="15"/>
        <v>1</v>
      </c>
      <c r="AJ355" s="8"/>
      <c r="AK355" s="8"/>
      <c r="AL355" s="8"/>
      <c r="AM355" s="8"/>
      <c r="AN355" s="8"/>
    </row>
    <row r="356" spans="1:40" ht="38.25" hidden="1">
      <c r="A356" s="8">
        <v>287</v>
      </c>
      <c r="B356" s="11">
        <v>44991.426084062499</v>
      </c>
      <c r="C356" s="8" t="s">
        <v>452</v>
      </c>
      <c r="D356" s="8" t="s">
        <v>453</v>
      </c>
      <c r="E356" s="8" t="s">
        <v>452</v>
      </c>
      <c r="F356" s="8" t="s">
        <v>454</v>
      </c>
      <c r="G356" s="8" t="str">
        <f>", "&amp;'RAW (公開用)'!F288&amp;", "</f>
        <v xml:space="preserve">, 無し, 中性, ジェンダーレス, 女性／woman, 無性, ノンバイナリー女性, **必ず選んでください**, </v>
      </c>
      <c r="H356" s="8"/>
      <c r="I356" s="8" t="str">
        <f>", "&amp;'RAW (公開用)'!H288&amp;", "</f>
        <v xml:space="preserve">, ちゃん, さん, （敬称なし）, </v>
      </c>
      <c r="J356" s="8" t="s">
        <v>2335</v>
      </c>
      <c r="K35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（敬称なし）,  , </v>
      </c>
      <c r="L356" s="8" t="str">
        <f>", "&amp;'RAW (公開用)'!J288&amp;", "</f>
        <v xml:space="preserve">, **英語を日常的に使わない**, </v>
      </c>
      <c r="M356" s="8" t="s">
        <v>2335</v>
      </c>
      <c r="N35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56" s="8" t="str">
        <f>", "&amp;'RAW (公開用)'!L288&amp;", "</f>
        <v xml:space="preserve">, （自分（たち）の名前）, わたし, 私（わたし／わたくし）, </v>
      </c>
      <c r="P356" s="16" t="s">
        <v>2397</v>
      </c>
      <c r="Q35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（自分（たち）の名前）, わたし, 私（わたし／わたくし）,  , あだ名,</v>
      </c>
      <c r="R356" s="8" t="str">
        <f>", "&amp;'RAW (公開用)'!N356&amp;", "</f>
        <v xml:space="preserve">, （自分（たち）の名前）, </v>
      </c>
      <c r="S356" s="8" t="s">
        <v>2335</v>
      </c>
      <c r="T35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56" s="8" t="str">
        <f>", "&amp;'RAW (公開用)'!P288&amp;", "</f>
        <v xml:space="preserve">, **英語を日常的に使わない**, </v>
      </c>
      <c r="V356" s="8" t="s">
        <v>472</v>
      </c>
      <c r="W356" s="8" t="s">
        <v>2174</v>
      </c>
      <c r="X356" s="8"/>
      <c r="Y35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56" s="8" t="s">
        <v>455</v>
      </c>
      <c r="AA356" s="8" t="str">
        <f>", "&amp;'RAW (公開用)'!U288&amp;", "</f>
        <v xml:space="preserve">, 胸部の手術, 性器にかかわる手術, </v>
      </c>
      <c r="AB356" s="8" t="str">
        <f>", "&amp;'RAW (公開用)'!V288&amp;", "</f>
        <v xml:space="preserve">, （上記のどれも経験していない）, </v>
      </c>
      <c r="AC356" s="8" t="s">
        <v>338</v>
      </c>
      <c r="AD35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正常な生殖器及び性器は取れない、また、一度とってしまうと更年期障害になることは免れないようなので、仕方なく手術は受けない方を選びました。まだ諦めてないですが。</v>
      </c>
      <c r="AE356" s="8" t="s">
        <v>464</v>
      </c>
      <c r="AF356" s="8" t="s">
        <v>457</v>
      </c>
      <c r="AG356" s="8"/>
      <c r="AH356" s="8"/>
      <c r="AI356" s="8">
        <f t="shared" si="15"/>
        <v>6</v>
      </c>
      <c r="AJ356" s="8"/>
      <c r="AK356" s="8"/>
      <c r="AL356" s="8"/>
      <c r="AM356" s="8"/>
      <c r="AN356" s="8"/>
    </row>
    <row r="357" spans="1:40" ht="38.25" hidden="1">
      <c r="A357" s="8">
        <v>357</v>
      </c>
      <c r="B357" s="11">
        <v>44991.971698506939</v>
      </c>
      <c r="C357" s="8" t="s">
        <v>452</v>
      </c>
      <c r="D357" s="8" t="s">
        <v>453</v>
      </c>
      <c r="E357" s="8" t="s">
        <v>452</v>
      </c>
      <c r="F357" s="8" t="s">
        <v>454</v>
      </c>
      <c r="G357" s="8" t="str">
        <f>", "&amp;'RAW (公開用)'!F358&amp;", "</f>
        <v xml:space="preserve">, トランスジェンダー, トランス男性, 男性／man, ゲイ（ジェンダーについて）, トランス, **必ず選んでください**, </v>
      </c>
      <c r="H357" s="8"/>
      <c r="I357" s="8" t="str">
        <f>", "&amp;'RAW (公開用)'!H358&amp;", "</f>
        <v xml:space="preserve">, さん, ちゃん, くん／君, </v>
      </c>
      <c r="J357" s="8" t="s">
        <v>2335</v>
      </c>
      <c r="K35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くん／君,  , </v>
      </c>
      <c r="L357" s="8" t="str">
        <f>", "&amp;'RAW (公開用)'!J358&amp;", "</f>
        <v xml:space="preserve">, **英語を日常的に使わない**, -san, </v>
      </c>
      <c r="M357" s="8" t="s">
        <v>2335</v>
      </c>
      <c r="N35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357" s="8" t="str">
        <f>", "&amp;'RAW (公開用)'!L358&amp;", "</f>
        <v xml:space="preserve">, おれ, わたし, ぼく, </v>
      </c>
      <c r="P357" s="8" t="s">
        <v>2335</v>
      </c>
      <c r="Q35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おれ, わたし, ぼく,  , </v>
      </c>
      <c r="R357" s="8" t="str">
        <f>", "&amp;'RAW (公開用)'!N357&amp;", "</f>
        <v xml:space="preserve">, かれ, （自分（たち）の名前）, </v>
      </c>
      <c r="S357" s="8" t="s">
        <v>2335</v>
      </c>
      <c r="T35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（自分（たち）の名前）,  , </v>
      </c>
      <c r="U357" s="8" t="str">
        <f>", "&amp;'RAW (公開用)'!P358&amp;", "</f>
        <v xml:space="preserve">, they/them/their/themself, **英語を日常的に使わない**, </v>
      </c>
      <c r="V357" s="8" t="s">
        <v>455</v>
      </c>
      <c r="W357" s="8" t="str">
        <f>", "&amp;'RAW (公開用)'!R358&amp;", "</f>
        <v xml:space="preserve">, 社会の中でいないことにされる, 医療における無理解, カムアウトできない, 家族／かぞくからの無理解, トイレなどのジェンダー化されたスペースの使用, ミスジェンダリング（誤った性別として扱うこと）, 職場や学校における無理解, </v>
      </c>
      <c r="X357" s="8"/>
      <c r="Y35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医療における無理解, カムアウトできない, 家族／かぞくからの無理解, トイレなどのジェンダー化されたスペースの使用, ミスジェンダリング（誤った性別として扱うこと）, 職場や学校における無理解,  </v>
      </c>
      <c r="Z357" s="8" t="s">
        <v>455</v>
      </c>
      <c r="AA357" s="8" t="str">
        <f>", "&amp;'RAW (公開用)'!U358&amp;", "</f>
        <v xml:space="preserve">, 戸籍上の性別の変更, ジェンダークリニックの受診, 声帯にかかわる手術, 胸部の手術, </v>
      </c>
      <c r="AB357" s="8" t="str">
        <f>", "&amp;'RAW (公開用)'!V358&amp;", "</f>
        <v xml:space="preserve">, （上記のどれも経験していない）, </v>
      </c>
      <c r="AC357" s="8" t="s">
        <v>379</v>
      </c>
      <c r="AD35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健康優良なトランス男性である自分にとって、デメリットの方が多そうなのでホルモン療法を避けているが、今のままだと声の高さでミスジェンダリングされてしまうのでどうしたら良いかわからない</v>
      </c>
      <c r="AE357" s="8" t="s">
        <v>456</v>
      </c>
      <c r="AF357" s="8" t="s">
        <v>457</v>
      </c>
      <c r="AG357" s="8" t="s">
        <v>458</v>
      </c>
      <c r="AH357" s="8"/>
      <c r="AI357" s="8">
        <f t="shared" si="15"/>
        <v>5</v>
      </c>
      <c r="AJ357" s="8"/>
      <c r="AK357" s="8"/>
      <c r="AL357" s="8"/>
      <c r="AM357" s="8"/>
      <c r="AN357" s="8"/>
    </row>
    <row r="358" spans="1:40" ht="25.5" hidden="1">
      <c r="A358" s="8">
        <v>358</v>
      </c>
      <c r="B358" s="11">
        <v>44991.974247256949</v>
      </c>
      <c r="C358" s="8" t="s">
        <v>452</v>
      </c>
      <c r="D358" s="8" t="s">
        <v>453</v>
      </c>
      <c r="E358" s="8" t="s">
        <v>452</v>
      </c>
      <c r="F358" s="8" t="s">
        <v>454</v>
      </c>
      <c r="G358" s="8" t="str">
        <f>", "&amp;'RAW (公開用)'!F359&amp;", "</f>
        <v xml:space="preserve">, **必ず選んでください**, 中性, </v>
      </c>
      <c r="H358" s="8"/>
      <c r="I358" s="8" t="str">
        <f>", "&amp;'RAW (公開用)'!H359&amp;", "</f>
        <v xml:space="preserve">, さん, </v>
      </c>
      <c r="J358" s="8" t="s">
        <v>2335</v>
      </c>
      <c r="K35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58" s="8" t="str">
        <f>", "&amp;'RAW (公開用)'!J359&amp;", "</f>
        <v xml:space="preserve">, Mx., </v>
      </c>
      <c r="M358" s="8" t="s">
        <v>2335</v>
      </c>
      <c r="N35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358" s="8" t="str">
        <f>", "&amp;'RAW (公開用)'!L359&amp;", "</f>
        <v xml:space="preserve">, わたし, </v>
      </c>
      <c r="P358" s="8" t="s">
        <v>2335</v>
      </c>
      <c r="Q35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58" s="8" t="str">
        <f>", "&amp;'RAW (公開用)'!N358&amp;", "</f>
        <v xml:space="preserve">, かれ, </v>
      </c>
      <c r="S358" s="8" t="s">
        <v>2335</v>
      </c>
      <c r="T35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 </v>
      </c>
      <c r="U358" s="8" t="str">
        <f>", "&amp;'RAW (公開用)'!P359&amp;", "</f>
        <v xml:space="preserve">, they/them/their/themself, </v>
      </c>
      <c r="V358" s="8" t="s">
        <v>455</v>
      </c>
      <c r="W358" s="8" t="str">
        <f>", "&amp;'RAW (公開用)'!R359&amp;", "</f>
        <v xml:space="preserve">, 家族／かぞくからの無理解, 職場や学校における無理解, 社会の中でいないことにされる, </v>
      </c>
      <c r="X358" s="8"/>
      <c r="Y35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社会の中でいないことにされる,  </v>
      </c>
      <c r="Z358" s="8" t="s">
        <v>455</v>
      </c>
      <c r="AA358" s="8" t="str">
        <f>", "&amp;'RAW (公開用)'!U359&amp;", "</f>
        <v xml:space="preserve">, ジェンダークリニックの受診, 顔にかかわる手術, </v>
      </c>
      <c r="AB358" s="8" t="str">
        <f>", "&amp;'RAW (公開用)'!V359&amp;", "</f>
        <v xml:space="preserve">, ジェンダークリニックの受診, </v>
      </c>
      <c r="AC358" s="8"/>
      <c r="AD358"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358" s="8" t="s">
        <v>479</v>
      </c>
      <c r="AF358" s="8" t="s">
        <v>457</v>
      </c>
      <c r="AG358" s="8" t="s">
        <v>458</v>
      </c>
      <c r="AH358" s="8"/>
      <c r="AI358" s="8">
        <f t="shared" si="15"/>
        <v>1</v>
      </c>
      <c r="AJ358" s="8"/>
      <c r="AK358" s="8"/>
      <c r="AL358" s="8"/>
      <c r="AM358" s="8"/>
      <c r="AN358" s="8"/>
    </row>
    <row r="359" spans="1:40" ht="25.5" hidden="1">
      <c r="A359" s="8">
        <v>359</v>
      </c>
      <c r="B359" s="11">
        <v>44991.974408020833</v>
      </c>
      <c r="C359" s="8" t="s">
        <v>452</v>
      </c>
      <c r="D359" s="8" t="s">
        <v>453</v>
      </c>
      <c r="E359" s="8" t="s">
        <v>452</v>
      </c>
      <c r="F359" s="8" t="s">
        <v>454</v>
      </c>
      <c r="G359" s="8" t="str">
        <f>", "&amp;'RAW (公開用)'!F360&amp;", "</f>
        <v xml:space="preserve">, **必ず選んでください**, ノンバイナリー, クィア／Queer, トランスジェンダー, 無性, </v>
      </c>
      <c r="H359" s="8"/>
      <c r="I359" s="8" t="str">
        <f>", "&amp;'RAW (公開用)'!H360&amp;", "</f>
        <v xml:space="preserve">, （any／問わない／どれでもよい）, </v>
      </c>
      <c r="J359" s="8" t="s">
        <v>2335</v>
      </c>
      <c r="K35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59" s="8" t="str">
        <f>", "&amp;'RAW (公開用)'!J360&amp;", "</f>
        <v xml:space="preserve">, **英語を日常的に使わない**, -san, </v>
      </c>
      <c r="M359" s="8" t="s">
        <v>2335</v>
      </c>
      <c r="N35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-san, , </v>
      </c>
      <c r="O359" s="8" t="str">
        <f>", "&amp;'RAW (公開用)'!L360&amp;", "</f>
        <v xml:space="preserve">, 自分, 私（わたし／わたくし）, 僕, </v>
      </c>
      <c r="P359" s="8" t="s">
        <v>2335</v>
      </c>
      <c r="Q35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僕,  , </v>
      </c>
      <c r="R359" s="8" t="str">
        <f>", "&amp;'RAW (公開用)'!N359&amp;", "</f>
        <v xml:space="preserve">, （三人称で言及してほしくない）, </v>
      </c>
      <c r="S359" s="8" t="s">
        <v>2335</v>
      </c>
      <c r="T35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59" s="8" t="str">
        <f>", "&amp;'RAW (公開用)'!P360&amp;", "</f>
        <v xml:space="preserve">, **英語を日常的に使わない**, </v>
      </c>
      <c r="V359" s="8" t="s">
        <v>455</v>
      </c>
      <c r="W359" s="8" t="str">
        <f>", "&amp;'RAW (公開用)'!R360&amp;", "</f>
        <v xml:space="preserve">, ミスジェンダリング（誤った性別として扱うこと）, カムアウトを強制される, </v>
      </c>
      <c r="X359" s="8"/>
      <c r="Y35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カムアウトを強制される,  </v>
      </c>
      <c r="Z359" s="8" t="s">
        <v>455</v>
      </c>
      <c r="AA359" s="8" t="str">
        <f>", "&amp;'RAW (公開用)'!U360&amp;", "</f>
        <v xml:space="preserve">, （上記のどれも希望していない）, </v>
      </c>
      <c r="AB359" s="8" t="str">
        <f>", "&amp;'RAW (公開用)'!V360&amp;", "</f>
        <v xml:space="preserve">, （上記のどれも経験していない）, </v>
      </c>
      <c r="AC359" s="8" t="s">
        <v>343</v>
      </c>
      <c r="AD35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日常でつかう通称名だけでも変更したいと思っているが、職場でカミングアウトしていないため相談しづらい</v>
      </c>
      <c r="AE359" s="8" t="s">
        <v>459</v>
      </c>
      <c r="AF359" s="8" t="s">
        <v>457</v>
      </c>
      <c r="AG359" s="8" t="s">
        <v>458</v>
      </c>
      <c r="AH359" s="8"/>
      <c r="AI359" s="8">
        <f t="shared" si="15"/>
        <v>4</v>
      </c>
      <c r="AJ359" s="8"/>
      <c r="AK359" s="8"/>
      <c r="AL359" s="8"/>
      <c r="AM359" s="8"/>
      <c r="AN359" s="8"/>
    </row>
    <row r="360" spans="1:40" ht="25.5" hidden="1">
      <c r="A360" s="8">
        <v>360</v>
      </c>
      <c r="B360" s="11">
        <v>44991.980094143517</v>
      </c>
      <c r="C360" s="8" t="s">
        <v>452</v>
      </c>
      <c r="D360" s="8" t="s">
        <v>453</v>
      </c>
      <c r="E360" s="8" t="s">
        <v>452</v>
      </c>
      <c r="F360" s="8" t="s">
        <v>454</v>
      </c>
      <c r="G360" s="8" t="str">
        <f>", "&amp;'RAW (公開用)'!F361&amp;", "</f>
        <v xml:space="preserve">, **必ず選んでください**, X, トランスセクシュアル／transsexual, </v>
      </c>
      <c r="H360" s="8"/>
      <c r="I360" s="8" t="str">
        <f>", "&amp;'RAW (公開用)'!H361&amp;", "</f>
        <v xml:space="preserve">, さん, </v>
      </c>
      <c r="J360" s="8" t="s">
        <v>2335</v>
      </c>
      <c r="K36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60" s="8" t="str">
        <f>", "&amp;'RAW (公開用)'!J361&amp;", "</f>
        <v xml:space="preserve">, **英語を日常的に使わない**, </v>
      </c>
      <c r="M360" s="8" t="s">
        <v>2335</v>
      </c>
      <c r="N36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0" s="8" t="str">
        <f>", "&amp;'RAW (公開用)'!L361&amp;", "</f>
        <v xml:space="preserve">, 私（わたし／わたくし）, </v>
      </c>
      <c r="P360" s="8" t="s">
        <v>2335</v>
      </c>
      <c r="Q36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60" s="8" t="str">
        <f>", "&amp;'RAW (公開用)'!N360&amp;", "</f>
        <v xml:space="preserve">, （自分（たち）の名前）, </v>
      </c>
      <c r="S360" s="8" t="s">
        <v>2335</v>
      </c>
      <c r="T36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60" s="8" t="str">
        <f>", "&amp;'RAW (公開用)'!P361&amp;", "</f>
        <v xml:space="preserve">, **英語を日常的に使わない**, </v>
      </c>
      <c r="V360" s="8" t="s">
        <v>455</v>
      </c>
      <c r="W360" s="8" t="str">
        <f>", "&amp;'RAW (公開用)'!R361&amp;", "</f>
        <v xml:space="preserve">, トイレなどのジェンダー化されたスペースの使用, ミスジェンダリング（誤った性別として扱うこと）, </v>
      </c>
      <c r="X360" s="8"/>
      <c r="Y36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ミスジェンダリング（誤った性別として扱うこと）,  </v>
      </c>
      <c r="Z360" s="8" t="s">
        <v>455</v>
      </c>
      <c r="AA360" s="8" t="str">
        <f>", "&amp;'RAW (公開用)'!U361&amp;", "</f>
        <v xml:space="preserve">, 戸籍名の変更, ジェンダークリニックの受診, </v>
      </c>
      <c r="AB360" s="8" t="str">
        <f>", "&amp;'RAW (公開用)'!V361&amp;", "</f>
        <v xml:space="preserve">, ジェンダークリニックの受診, </v>
      </c>
      <c r="AC360" s="8"/>
      <c r="AD360"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v>
      </c>
      <c r="AE360" s="8" t="s">
        <v>459</v>
      </c>
      <c r="AF360" s="8" t="s">
        <v>457</v>
      </c>
      <c r="AG360" s="8" t="s">
        <v>458</v>
      </c>
      <c r="AH360" s="8"/>
      <c r="AI360" s="8">
        <f t="shared" si="15"/>
        <v>2</v>
      </c>
      <c r="AJ360" s="8"/>
      <c r="AK360" s="8"/>
      <c r="AL360" s="8"/>
      <c r="AM360" s="8"/>
      <c r="AN360" s="8"/>
    </row>
    <row r="361" spans="1:40" ht="12.75" hidden="1">
      <c r="A361" s="8">
        <v>361</v>
      </c>
      <c r="B361" s="11">
        <v>44991.982597349532</v>
      </c>
      <c r="C361" s="8" t="s">
        <v>452</v>
      </c>
      <c r="D361" s="8" t="s">
        <v>453</v>
      </c>
      <c r="E361" s="8" t="s">
        <v>452</v>
      </c>
      <c r="F361" s="8" t="s">
        <v>454</v>
      </c>
      <c r="G361" s="8" t="str">
        <f>", "&amp;'RAW (公開用)'!F362&amp;", "</f>
        <v xml:space="preserve">, ゼノジェンダー／xenogender, </v>
      </c>
      <c r="H361" s="8"/>
      <c r="I361" s="8" t="str">
        <f>", "&amp;'RAW (公開用)'!H362&amp;", "</f>
        <v xml:space="preserve">, さん, </v>
      </c>
      <c r="J361" s="8" t="s">
        <v>2335</v>
      </c>
      <c r="K36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61" s="8" t="str">
        <f>", "&amp;'RAW (公開用)'!J362&amp;", "</f>
        <v xml:space="preserve">, （敬称なし）, </v>
      </c>
      <c r="M361" s="8" t="s">
        <v>2335</v>
      </c>
      <c r="N36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361" s="8" t="str">
        <f>", "&amp;'RAW (公開用)'!L362&amp;", "</f>
        <v xml:space="preserve">, （時とともに変わる）, </v>
      </c>
      <c r="P361" s="8" t="s">
        <v>2335</v>
      </c>
      <c r="Q36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 </v>
      </c>
      <c r="R361" s="8" t="str">
        <f>", "&amp;'RAW (公開用)'!N361&amp;", "</f>
        <v xml:space="preserve">, 彼, かれ, </v>
      </c>
      <c r="S361" s="8" t="s">
        <v>2335</v>
      </c>
      <c r="T36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かれ,  , </v>
      </c>
      <c r="U361" s="8" t="str">
        <f>", "&amp;'RAW (公開用)'!P362&amp;", "</f>
        <v xml:space="preserve">, **英語を日常的に使わない**, </v>
      </c>
      <c r="V361" s="8" t="s">
        <v>455</v>
      </c>
      <c r="W361" s="8" t="str">
        <f>", "&amp;'RAW (公開用)'!R362&amp;", "</f>
        <v xml:space="preserve">, 家族／かぞくからの無理解, </v>
      </c>
      <c r="X361" s="8"/>
      <c r="Y36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v>
      </c>
      <c r="Z361" s="8" t="s">
        <v>455</v>
      </c>
      <c r="AA361" s="8" t="str">
        <f>", "&amp;'RAW (公開用)'!U362&amp;", "</f>
        <v xml:space="preserve">, （上記のどれも希望していない）, </v>
      </c>
      <c r="AB361" s="8" t="str">
        <f>", "&amp;'RAW (公開用)'!V362&amp;", "</f>
        <v xml:space="preserve">, （上記のどれも経験していない）, </v>
      </c>
      <c r="AC361" s="8"/>
      <c r="AD36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61" s="8" t="s">
        <v>475</v>
      </c>
      <c r="AF361" s="8" t="s">
        <v>457</v>
      </c>
      <c r="AG361" s="8" t="s">
        <v>458</v>
      </c>
      <c r="AH361" s="8"/>
      <c r="AI361" s="8">
        <f t="shared" si="15"/>
        <v>1</v>
      </c>
      <c r="AJ361" s="8"/>
      <c r="AK361" s="8"/>
      <c r="AL361" s="8"/>
      <c r="AM361" s="8"/>
      <c r="AN361" s="8"/>
    </row>
    <row r="362" spans="1:40" ht="38.25" hidden="1">
      <c r="A362" s="8">
        <v>327</v>
      </c>
      <c r="B362" s="11">
        <v>44991.843210868057</v>
      </c>
      <c r="C362" s="8" t="s">
        <v>452</v>
      </c>
      <c r="D362" s="8" t="s">
        <v>453</v>
      </c>
      <c r="E362" s="8" t="s">
        <v>452</v>
      </c>
      <c r="F362" s="8" t="s">
        <v>454</v>
      </c>
      <c r="G362" s="8" t="str">
        <f>", "&amp;'RAW (公開用)'!F328&amp;", "</f>
        <v xml:space="preserve">, （ジェンダー・）フルイド／（ジェンダー・）フリュイド／（ジェンダー・）フルイッド, ノンバイナリー, トランスジェンダー, トランス, **必ず選んでください**, 不定性, </v>
      </c>
      <c r="H362" s="8"/>
      <c r="I362" s="8" t="str">
        <f>", "&amp;'RAW (公開用)'!H328&amp;", "</f>
        <v xml:space="preserve">, さん, </v>
      </c>
      <c r="J362" s="8" t="s">
        <v>2335</v>
      </c>
      <c r="K36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62" s="8" t="str">
        <f>", "&amp;'RAW (公開用)'!J328&amp;", "</f>
        <v xml:space="preserve">, **英語を日常的に使わない**, </v>
      </c>
      <c r="M362" s="8" t="s">
        <v>2335</v>
      </c>
      <c r="N36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2" s="8" t="str">
        <f>", "&amp;'RAW (公開用)'!L328&amp;", "</f>
        <v xml:space="preserve">, 私（わたし／わたくし）, 俺, 自分, </v>
      </c>
      <c r="P362" s="8" t="s">
        <v>2335</v>
      </c>
      <c r="Q36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俺, 自分,  , </v>
      </c>
      <c r="R362" s="8" t="str">
        <f>", "&amp;'RAW (公開用)'!N362&amp;", "</f>
        <v xml:space="preserve">, （三人称で言及してほしくない）, </v>
      </c>
      <c r="S362" s="8" t="s">
        <v>2355</v>
      </c>
      <c r="T36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{この/その/あの}+人,</v>
      </c>
      <c r="U362" s="8" t="str">
        <f>", "&amp;'RAW (公開用)'!P328&amp;", "</f>
        <v xml:space="preserve">, **英語を日常的に使わない**, </v>
      </c>
      <c r="V362" s="8" t="s">
        <v>455</v>
      </c>
      <c r="W362" s="8" t="str">
        <f>", "&amp;'RAW (公開用)'!R328&amp;", "</f>
        <v xml:space="preserve">, カムアウトできない, 家族／かぞくからの無理解, アウティング（勝手にジェンダーや指向についての情報を明かされること）, 社会の中でいないことにされる, ミスジェンダリング（誤った性別として扱うこと）, 職場や学校における無理解, </v>
      </c>
      <c r="X362" s="8"/>
      <c r="Y36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家族／かぞくからの無理解, アウティング（勝手にジェンダーや指向についての情報を明かされること）, 社会の中でいないことにされる, ミスジェンダリング（誤った性別として扱うこと）, 職場や学校における無理解,  </v>
      </c>
      <c r="Z362" s="8" t="s">
        <v>455</v>
      </c>
      <c r="AA362" s="8" t="str">
        <f>", "&amp;'RAW (公開用)'!U328&amp;", "</f>
        <v xml:space="preserve">, （上記のどれも希望していない）, </v>
      </c>
      <c r="AB362" s="8" t="str">
        <f>", "&amp;'RAW (公開用)'!V328&amp;", "</f>
        <v xml:space="preserve">, （上記のどれも経験していない）, </v>
      </c>
      <c r="AC362" s="8"/>
      <c r="AD36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62" s="8" t="s">
        <v>456</v>
      </c>
      <c r="AF362" s="8" t="s">
        <v>457</v>
      </c>
      <c r="AG362" s="8" t="s">
        <v>458</v>
      </c>
      <c r="AH362" s="8"/>
      <c r="AI362" s="8">
        <f t="shared" si="15"/>
        <v>5</v>
      </c>
      <c r="AJ362" s="8"/>
      <c r="AK362" s="8"/>
      <c r="AL362" s="8"/>
      <c r="AM362" s="8"/>
      <c r="AN362" s="8"/>
    </row>
    <row r="363" spans="1:40" ht="63.75" hidden="1">
      <c r="A363" s="8">
        <v>365</v>
      </c>
      <c r="B363" s="11">
        <v>44991.991463900464</v>
      </c>
      <c r="C363" s="8" t="s">
        <v>452</v>
      </c>
      <c r="D363" s="8" t="s">
        <v>453</v>
      </c>
      <c r="E363" s="8" t="s">
        <v>452</v>
      </c>
      <c r="F363" s="8" t="s">
        <v>454</v>
      </c>
      <c r="G363" s="8" t="str">
        <f>", "&amp;'RAW (公開用)'!F366&amp;", "</f>
        <v xml:space="preserve">, 無性, Xジェンダー, ノンバイナリー, </v>
      </c>
      <c r="H363" s="8"/>
      <c r="I363" s="8" t="str">
        <f>", "&amp;'RAW (公開用)'!H366&amp;", "</f>
        <v xml:space="preserve">, さん, ちゃん, </v>
      </c>
      <c r="J363" s="8" t="s">
        <v>2335</v>
      </c>
      <c r="K36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363" s="8" t="str">
        <f>", "&amp;'RAW (公開用)'!J366&amp;", "</f>
        <v xml:space="preserve">, **英語を日常的に使わない**, </v>
      </c>
      <c r="M363" s="8" t="s">
        <v>2335</v>
      </c>
      <c r="N36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3" s="8" t="str">
        <f>", "&amp;'RAW (公開用)'!L366&amp;", "</f>
        <v xml:space="preserve">, 自分, 私（わたし／わたくし）, 俺, （一人称の使用を避ける）, わたし, </v>
      </c>
      <c r="P363" s="8" t="s">
        <v>2335</v>
      </c>
      <c r="Q36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俺, （一人称の使用を避ける）, わたし,  , </v>
      </c>
      <c r="R363" s="8" t="str">
        <f>", "&amp;'RAW (公開用)'!N363&amp;", "</f>
        <v xml:space="preserve">, 彼, かれ, </v>
      </c>
      <c r="S363" s="8" t="s">
        <v>2355</v>
      </c>
      <c r="T36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 かれ,  , {この/その/あの}+人,</v>
      </c>
      <c r="U363" s="8" t="str">
        <f>", "&amp;'RAW (公開用)'!P366&amp;", "</f>
        <v xml:space="preserve">, **英語を日常的に使わない**, </v>
      </c>
      <c r="V363" s="8" t="s">
        <v>455</v>
      </c>
      <c r="W363" s="8" t="str">
        <f>", "&amp;'RAW (公開用)'!R366&amp;", "</f>
        <v xml:space="preserve">, トイレなどのジェンダー化されたスペースの使用, 医療における無理解, 社会の中でいないことにされる, 性暴力, LGBTQ+運動からの排斥, カムアウトできない, ミスジェンダリング（誤った性別として扱うこと）, アウティング（勝手にジェンダーや指向についての情報を明かされること）, 職場や学校における無理解, </v>
      </c>
      <c r="X363" s="8"/>
      <c r="Y36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医療における無理解, 社会の中でいないことにされる, 性暴力, LGBTQ+運動からの排斥, カムアウトできない, ミスジェンダリング（誤った性別として扱うこと）, アウティング（勝手にジェンダーや指向についての情報を明かされること）, 職場や学校における無理解,  </v>
      </c>
      <c r="Z363" s="8" t="s">
        <v>455</v>
      </c>
      <c r="AA363" s="8" t="str">
        <f>", "&amp;'RAW (公開用)'!U366&amp;", "</f>
        <v xml:space="preserve">, 戸籍上の性別の変更, 胸部の手術, </v>
      </c>
      <c r="AB363" s="8" t="str">
        <f>", "&amp;'RAW (公開用)'!V366&amp;", "</f>
        <v xml:space="preserve">, （上記のどれも経験していない）, </v>
      </c>
      <c r="AC363" s="8" t="s">
        <v>365</v>
      </c>
      <c r="AD36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当事者の体験の情報が少ないし、そもそもの選択肢が分からない（調べれば分かるのかもしれないけど…）。
あと、身体違和があるけど、手術は怖いしお金かかるし現実的に難しいだろうなと思っている。
自分がどうなりたいのか、自分でもまだよくわからない。</v>
      </c>
      <c r="AE363" s="8" t="s">
        <v>456</v>
      </c>
      <c r="AF363" s="8" t="s">
        <v>457</v>
      </c>
      <c r="AG363" s="8" t="s">
        <v>458</v>
      </c>
      <c r="AH363" s="8"/>
      <c r="AI363" s="8">
        <f t="shared" si="15"/>
        <v>3</v>
      </c>
      <c r="AJ363" s="8"/>
      <c r="AK363" s="8"/>
      <c r="AL363" s="8"/>
      <c r="AM363" s="8"/>
      <c r="AN363" s="8"/>
    </row>
    <row r="364" spans="1:40" ht="89.25" hidden="1">
      <c r="A364" s="8">
        <v>213</v>
      </c>
      <c r="B364" s="11">
        <v>44971.416139537032</v>
      </c>
      <c r="C364" s="8" t="s">
        <v>452</v>
      </c>
      <c r="D364" s="8" t="s">
        <v>453</v>
      </c>
      <c r="E364" s="8" t="s">
        <v>452</v>
      </c>
      <c r="F364" s="8" t="s">
        <v>454</v>
      </c>
      <c r="G364" s="8" t="str">
        <f>", "&amp;'RAW (公開用)'!F214&amp;", "</f>
        <v xml:space="preserve">, トランス男性, ノンバイナリー, ノンバイナリー男性, クィア／Queer, クエスチョニング, トランス, トランスマスキュリン, </v>
      </c>
      <c r="H364" s="8"/>
      <c r="I364" s="8" t="str">
        <f>", "&amp;'RAW (公開用)'!H214&amp;", "</f>
        <v xml:space="preserve">, さん, くん／君, </v>
      </c>
      <c r="J364" s="8" t="s">
        <v>2335</v>
      </c>
      <c r="K36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364" s="8" t="str">
        <f>", "&amp;'RAW (公開用)'!J214&amp;", "</f>
        <v xml:space="preserve">, （敬称なし）, Mx., -san, </v>
      </c>
      <c r="M364" s="8" t="s">
        <v>2335</v>
      </c>
      <c r="N36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Mx., -san, , </v>
      </c>
      <c r="O364" s="8" t="str">
        <f>", "&amp;'RAW (公開用)'!L214&amp;", "</f>
        <v xml:space="preserve">, あたし, 俺, （時とともに変わる）, 自分, </v>
      </c>
      <c r="P364" s="73" t="s">
        <v>2413</v>
      </c>
      <c r="Q36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あたし, 俺, （時とともに変わる）, 自分,  , あーし,</v>
      </c>
      <c r="R364" s="8" t="str">
        <f>", "&amp;'RAW (公開用)'!N364&amp;", "</f>
        <v xml:space="preserve">, 彼人（かのひと）, </v>
      </c>
      <c r="S364" s="8" t="s">
        <v>2355</v>
      </c>
      <c r="T36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彼人（かのひと）,  , {この/その/あの}+人,</v>
      </c>
      <c r="U364" s="8" t="str">
        <f>", "&amp;'RAW (公開用)'!P214&amp;", "</f>
        <v xml:space="preserve">, he, they/them/their/themselves, </v>
      </c>
      <c r="V364" s="8" t="s">
        <v>455</v>
      </c>
      <c r="W364" s="8" t="str">
        <f>", "&amp;'RAW (公開用)'!R214&amp;", "</f>
        <v xml:space="preserve">, 職場や学校における無理解, トイレなどのジェンダー化されたスペースの使用, ミスジェンダリング（誤った性別として扱うこと）, 社会の中でいないことにされる, カムアウトできない, アウティング（勝手にジェンダーや指向についての情報を明かされること）, 必要なジェンダーケアへアクセスできない, LGBTQ+運動からの排斥, </v>
      </c>
      <c r="X364" s="8" t="s">
        <v>201</v>
      </c>
      <c r="Y36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トイレなどのジェンダー化されたスペースの使用, ミスジェンダリング（誤った性別として扱うこと）, 社会の中でいないことにされる, カムアウトできない, アウティング（勝手にジェンダーや指向についての情報を明かされること）, 必要なジェンダーケアへアクセスできない, LGBTQ+運動からの排斥,  AFABで男性寄りの性自認だけどピンクが好きだったり女性の服を着たりメイクをしたりなど一般的な男のジェンダー規範に沿っていないのでトランスの中でも「本物じゃない」と差別される事がある</v>
      </c>
      <c r="Z364" s="8" t="s">
        <v>455</v>
      </c>
      <c r="AA364" s="8" t="str">
        <f>", "&amp;'RAW (公開用)'!U214&amp;", "</f>
        <v xml:space="preserve">, 戸籍名の変更, 戸籍上の性別の変更, ジェンダークリニックの受診, ホルモン補充療法（HRT）, 胸部の手術, </v>
      </c>
      <c r="AB364" s="8" t="str">
        <f>", "&amp;'RAW (公開用)'!V214&amp;", "</f>
        <v xml:space="preserve">, （上記のどれも経験していない）, </v>
      </c>
      <c r="AC364" s="8" t="s">
        <v>414</v>
      </c>
      <c r="AD364"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お金が継続的にすごくかかる事、男性化しても自分が安心できる見た目になれるのかと不可逆な医療が不安な事、うつ病なのでテストステロンの精神に及ぼす影響が心配</v>
      </c>
      <c r="AE364" s="8" t="s">
        <v>462</v>
      </c>
      <c r="AF364" s="8" t="s">
        <v>457</v>
      </c>
      <c r="AG364" s="8" t="s">
        <v>458</v>
      </c>
      <c r="AH364" s="8"/>
      <c r="AI364" s="8">
        <f t="shared" si="15"/>
        <v>7</v>
      </c>
      <c r="AJ364" s="8"/>
      <c r="AK364" s="8"/>
      <c r="AL364" s="8"/>
      <c r="AM364" s="8"/>
      <c r="AN364" s="8"/>
    </row>
    <row r="365" spans="1:40" ht="25.5" hidden="1">
      <c r="A365" s="8">
        <v>417</v>
      </c>
      <c r="B365" s="11">
        <v>44993.712694606482</v>
      </c>
      <c r="C365" s="8" t="s">
        <v>452</v>
      </c>
      <c r="D365" s="8" t="s">
        <v>453</v>
      </c>
      <c r="E365" s="8" t="s">
        <v>452</v>
      </c>
      <c r="F365" s="8" t="s">
        <v>454</v>
      </c>
      <c r="G365" s="8" t="str">
        <f>", "&amp;'RAW (公開用)'!F418&amp;", "</f>
        <v xml:space="preserve">, ジェンダーレス, X, ノンバイナリー, **必ず選んでください**, Aジェンダー／エイジェンダー／アジェンダー／agender, 無性, Xジェンダー, </v>
      </c>
      <c r="H365" s="8"/>
      <c r="I365" s="8" t="str">
        <f>", "&amp;'RAW (公開用)'!H418&amp;", "</f>
        <v xml:space="preserve">, さん, </v>
      </c>
      <c r="J365" s="8" t="s">
        <v>2335</v>
      </c>
      <c r="K36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65" s="8" t="str">
        <f>", "&amp;'RAW (公開用)'!J418&amp;", "</f>
        <v xml:space="preserve">, **英語を日常的に使わない**, </v>
      </c>
      <c r="M365" s="8" t="s">
        <v>2335</v>
      </c>
      <c r="N36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5" s="8" t="str">
        <f>", "&amp;'RAW (公開用)'!L418&amp;", "</f>
        <v xml:space="preserve">, わし, 私（わたし／わたくし）, </v>
      </c>
      <c r="P365" s="8" t="s">
        <v>2335</v>
      </c>
      <c r="Q36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私（わたし／わたくし）,  , </v>
      </c>
      <c r="R365" s="8" t="str">
        <f>", "&amp;'RAW (公開用)'!N365&amp;", "</f>
        <v xml:space="preserve">, （自分（たち）の名前）, </v>
      </c>
      <c r="S365" s="8" t="s">
        <v>2355</v>
      </c>
      <c r="T36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365" s="8" t="str">
        <f>", "&amp;'RAW (公開用)'!P418&amp;", "</f>
        <v xml:space="preserve">, **英語を日常的に使わない**, </v>
      </c>
      <c r="V365" s="8" t="s">
        <v>455</v>
      </c>
      <c r="W365" s="8" t="str">
        <f>", "&amp;'RAW (公開用)'!R418&amp;", "</f>
        <v xml:space="preserve">, デッドネーミング（誤った名前で呼ばれること）, 職場や学校における無理解, カムアウトできない, 家族／かぞくからの無理解, </v>
      </c>
      <c r="X365" s="8"/>
      <c r="Y36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職場や学校における無理解, カムアウトできない, 家族／かぞくからの無理解,  </v>
      </c>
      <c r="Z365" s="8" t="s">
        <v>455</v>
      </c>
      <c r="AA365" s="8" t="str">
        <f>", "&amp;'RAW (公開用)'!U418&amp;", "</f>
        <v xml:space="preserve">, 声帯にかかわる手術, 胸部の手術, </v>
      </c>
      <c r="AB365" s="8" t="str">
        <f>", "&amp;'RAW (公開用)'!V418&amp;", "</f>
        <v xml:space="preserve">, （上記のどれも経験していない）, </v>
      </c>
      <c r="AC365" s="8"/>
      <c r="AD36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65" s="8" t="s">
        <v>456</v>
      </c>
      <c r="AF365" s="8" t="s">
        <v>457</v>
      </c>
      <c r="AG365" s="8" t="s">
        <v>458</v>
      </c>
      <c r="AH365" s="8"/>
      <c r="AI365" s="8">
        <f t="shared" si="15"/>
        <v>6</v>
      </c>
      <c r="AJ365" s="8"/>
      <c r="AK365" s="8"/>
      <c r="AL365" s="8"/>
      <c r="AM365" s="8"/>
      <c r="AN365" s="8"/>
    </row>
    <row r="366" spans="1:40" ht="38.25" hidden="1">
      <c r="A366" s="8">
        <v>260</v>
      </c>
      <c r="B366" s="11">
        <v>44978.915075428245</v>
      </c>
      <c r="C366" s="8" t="s">
        <v>452</v>
      </c>
      <c r="D366" s="8" t="s">
        <v>453</v>
      </c>
      <c r="E366" s="8" t="s">
        <v>452</v>
      </c>
      <c r="F366" s="8" t="s">
        <v>454</v>
      </c>
      <c r="G366" s="8" t="str">
        <f>", "&amp;'RAW (公開用)'!F261&amp;", "</f>
        <v xml:space="preserve">, Aジェンダー／エイジェンダー／アジェンダー／agender, クィア／Queer, </v>
      </c>
      <c r="H366" s="8"/>
      <c r="I366" s="8" t="str">
        <f>", "&amp;'RAW (公開用)'!H261&amp;", "</f>
        <v xml:space="preserve">, さん, ちゃん, </v>
      </c>
      <c r="J366" s="8" t="s">
        <v>2335</v>
      </c>
      <c r="K36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366" s="8" t="str">
        <f>", "&amp;'RAW (公開用)'!J261&amp;", "</f>
        <v xml:space="preserve">, **英語を日常的に使わない**, </v>
      </c>
      <c r="M366" s="8" t="s">
        <v>2335</v>
      </c>
      <c r="N36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6" s="8" t="str">
        <f>", "&amp;'RAW (公開用)'!L261&amp;", "</f>
        <v xml:space="preserve">, わたし, あたし, </v>
      </c>
      <c r="P366" s="73" t="s">
        <v>2413</v>
      </c>
      <c r="Q36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あたし,  , あーし,</v>
      </c>
      <c r="R366" s="8" t="str">
        <f>", "&amp;'RAW (公開用)'!N366&amp;", "</f>
        <v xml:space="preserve">, （自分（たち）の名前）, </v>
      </c>
      <c r="S366" s="8" t="s">
        <v>2355</v>
      </c>
      <c r="T36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{この/その/あの}+人,</v>
      </c>
      <c r="U366" s="8" t="str">
        <f>", "&amp;'RAW (公開用)'!P261&amp;", "</f>
        <v xml:space="preserve">, **英語を日常的に使わない**, </v>
      </c>
      <c r="V366" s="8" t="s">
        <v>455</v>
      </c>
      <c r="W366" s="8" t="str">
        <f>", "&amp;'RAW (公開用)'!R261&amp;", "</f>
        <v xml:space="preserve">, 社会の中でいないことにされる, 家族／かぞくからの無理解, カムアウトできない, ミスジェンダリング（誤った性別として扱うこと）, 職場や学校における無理解, トイレなどのジェンダー化されたスペースの使用, 医療における無理解, </v>
      </c>
      <c r="X366" s="8"/>
      <c r="Y36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家族／かぞくからの無理解, カムアウトできない, ミスジェンダリング（誤った性別として扱うこと）, 職場や学校における無理解, トイレなどのジェンダー化されたスペースの使用, 医療における無理解,  </v>
      </c>
      <c r="Z366" s="8" t="s">
        <v>455</v>
      </c>
      <c r="AA366" s="8" t="str">
        <f>", "&amp;'RAW (公開用)'!U261&amp;", "</f>
        <v xml:space="preserve">, （上記のどれも希望していない）, </v>
      </c>
      <c r="AB366" s="8" t="str">
        <f>", "&amp;'RAW (公開用)'!V261&amp;", "</f>
        <v xml:space="preserve">, （上記のどれも経験していない）, </v>
      </c>
      <c r="AC366" s="8"/>
      <c r="AD36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66" s="8" t="s">
        <v>459</v>
      </c>
      <c r="AF366" s="8" t="s">
        <v>457</v>
      </c>
      <c r="AG366" s="8" t="s">
        <v>458</v>
      </c>
      <c r="AH366" s="8"/>
      <c r="AI366" s="8">
        <f t="shared" si="15"/>
        <v>2</v>
      </c>
      <c r="AJ366" s="8"/>
      <c r="AK366" s="8"/>
      <c r="AL366" s="8"/>
      <c r="AM366" s="8"/>
      <c r="AN366" s="8"/>
    </row>
    <row r="367" spans="1:40" ht="51" hidden="1">
      <c r="A367" s="8">
        <v>367</v>
      </c>
      <c r="B367" s="11">
        <v>44992.006851886574</v>
      </c>
      <c r="C367" s="8" t="s">
        <v>452</v>
      </c>
      <c r="D367" s="8" t="s">
        <v>453</v>
      </c>
      <c r="E367" s="8" t="s">
        <v>452</v>
      </c>
      <c r="F367" s="8" t="s">
        <v>454</v>
      </c>
      <c r="G367" s="8" t="str">
        <f>", "&amp;'RAW (公開用)'!F368&amp;", "</f>
        <v xml:space="preserve">, シスジェンダー, 無性, 不明／わからない, ノンバイナリー女性, クエスチョニング, ノンバイナリー, Xジェンダー, クィア／Queer, 女性／woman, </v>
      </c>
      <c r="H367" s="8"/>
      <c r="I367" s="8" t="str">
        <f>", "&amp;'RAW (公開用)'!H368&amp;", "</f>
        <v xml:space="preserve">, さん, </v>
      </c>
      <c r="J367" s="8" t="s">
        <v>2335</v>
      </c>
      <c r="K36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67" s="8" t="str">
        <f>", "&amp;'RAW (公開用)'!J368&amp;", "</f>
        <v xml:space="preserve">, **英語を日常的に使わない**, </v>
      </c>
      <c r="M367" s="8" t="s">
        <v>2335</v>
      </c>
      <c r="N36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7" s="8" t="str">
        <f>", "&amp;'RAW (公開用)'!L368&amp;", "</f>
        <v xml:space="preserve">, あたし, 私（わたし／わたくし）, 自分, わたし, </v>
      </c>
      <c r="P367" s="8" t="s">
        <v>2335</v>
      </c>
      <c r="Q36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私（わたし／わたくし）, 自分, わたし,  , </v>
      </c>
      <c r="R367" s="8" t="s">
        <v>2174</v>
      </c>
      <c r="S367" s="8" t="s">
        <v>2335</v>
      </c>
      <c r="T36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367" s="8" t="str">
        <f>", "&amp;'RAW (公開用)'!P368&amp;", "</f>
        <v xml:space="preserve">, **英語を日常的に使わない**, </v>
      </c>
      <c r="V367" s="8" t="s">
        <v>455</v>
      </c>
      <c r="W367" s="8" t="str">
        <f>", "&amp;'RAW (公開用)'!R368&amp;", "</f>
        <v xml:space="preserve">, 社会の中でいないことにされる, 職場や学校における無理解, 家族／かぞくからの無理解, アウティング（勝手にジェンダーや指向についての情報を明かされること）, LGBTQ+運動からの排斥, 必要なジェンダーケアへアクセスできない, カムアウトできない, カムアウトを強制される, </v>
      </c>
      <c r="X367" s="8"/>
      <c r="Y36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職場や学校における無理解, 家族／かぞくからの無理解, アウティング（勝手にジェンダーや指向についての情報を明かされること）, LGBTQ+運動からの排斥, 必要なジェンダーケアへアクセスできない, カムアウトできない, カムアウトを強制される,  </v>
      </c>
      <c r="Z367" s="8" t="s">
        <v>455</v>
      </c>
      <c r="AA367" s="8" t="str">
        <f>", "&amp;'RAW (公開用)'!U368&amp;", "</f>
        <v xml:space="preserve">, （上記のどれも希望していない）, </v>
      </c>
      <c r="AB367" s="8" t="str">
        <f>", "&amp;'RAW (公開用)'!V368&amp;", "</f>
        <v xml:space="preserve">, （上記のどれも経験していない）, </v>
      </c>
      <c r="AC367" s="8"/>
      <c r="AD36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67" s="8" t="s">
        <v>461</v>
      </c>
      <c r="AF367" s="8" t="s">
        <v>457</v>
      </c>
      <c r="AG367" s="8" t="s">
        <v>458</v>
      </c>
      <c r="AH367" s="8"/>
      <c r="AI367" s="8">
        <f t="shared" si="15"/>
        <v>9</v>
      </c>
      <c r="AJ367" s="8"/>
      <c r="AK367" s="8"/>
      <c r="AL367" s="8"/>
      <c r="AM367" s="8"/>
      <c r="AN367" s="8"/>
    </row>
    <row r="368" spans="1:40" ht="12.75" hidden="1">
      <c r="A368" s="8">
        <v>368</v>
      </c>
      <c r="B368" s="11">
        <v>44992.011158321759</v>
      </c>
      <c r="C368" s="8" t="s">
        <v>452</v>
      </c>
      <c r="D368" s="8" t="s">
        <v>453</v>
      </c>
      <c r="E368" s="8" t="s">
        <v>452</v>
      </c>
      <c r="F368" s="8" t="s">
        <v>454</v>
      </c>
      <c r="G368" s="8" t="str">
        <f>", "&amp;'RAW (公開用)'!F369&amp;", "</f>
        <v xml:space="preserve">, 男性／man, **必ず選んでください**, クエスチョニング, </v>
      </c>
      <c r="H368" s="8"/>
      <c r="I368" s="8" t="str">
        <f>", "&amp;'RAW (公開用)'!H369&amp;", "</f>
        <v xml:space="preserve">, （any／問わない／どれでもよい）, </v>
      </c>
      <c r="J368" s="8" t="s">
        <v>2335</v>
      </c>
      <c r="K36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68" s="8" t="str">
        <f>", "&amp;'RAW (公開用)'!J369&amp;", "</f>
        <v xml:space="preserve">, **英語を日常的に使わない**, </v>
      </c>
      <c r="M368" s="8" t="s">
        <v>2335</v>
      </c>
      <c r="N36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68" s="8" t="str">
        <f>", "&amp;'RAW (公開用)'!L369&amp;", "</f>
        <v xml:space="preserve">, わたし, </v>
      </c>
      <c r="P368" s="8" t="s">
        <v>2335</v>
      </c>
      <c r="Q36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68" s="8" t="str">
        <f>", "&amp;'RAW (公開用)'!N368&amp;", "</f>
        <v xml:space="preserve">, （自分（たち）の名前）, 彼女, </v>
      </c>
      <c r="S368" s="8" t="s">
        <v>2335</v>
      </c>
      <c r="T36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彼女,  , </v>
      </c>
      <c r="U368" s="8" t="str">
        <f>", "&amp;'RAW (公開用)'!P369&amp;", "</f>
        <v xml:space="preserve">, **英語を日常的に使わない**, </v>
      </c>
      <c r="V368" s="8" t="s">
        <v>455</v>
      </c>
      <c r="W368" s="8" t="str">
        <f>", "&amp;'RAW (公開用)'!R369&amp;", "</f>
        <v xml:space="preserve">, カムアウトできない, 職場や学校における無理解, </v>
      </c>
      <c r="X368" s="8"/>
      <c r="Y36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職場や学校における無理解,  </v>
      </c>
      <c r="Z368" s="8" t="s">
        <v>455</v>
      </c>
      <c r="AA368" s="8" t="str">
        <f>", "&amp;'RAW (公開用)'!U369&amp;", "</f>
        <v xml:space="preserve">, ジェンダークリニックの受診, </v>
      </c>
      <c r="AB368" s="8" t="str">
        <f>", "&amp;'RAW (公開用)'!V369&amp;", "</f>
        <v xml:space="preserve">, （上記のどれも経験していない）, </v>
      </c>
      <c r="AC368" s="8"/>
      <c r="AD36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68" s="8" t="s">
        <v>462</v>
      </c>
      <c r="AF368" s="8" t="s">
        <v>457</v>
      </c>
      <c r="AG368" s="8" t="s">
        <v>458</v>
      </c>
      <c r="AH368" s="8"/>
      <c r="AI368" s="8">
        <f t="shared" si="15"/>
        <v>2</v>
      </c>
      <c r="AJ368" s="8"/>
      <c r="AK368" s="8"/>
      <c r="AL368" s="8"/>
      <c r="AM368" s="8"/>
      <c r="AN368" s="8"/>
    </row>
    <row r="369" spans="1:40" ht="38.25" hidden="1">
      <c r="A369" s="8">
        <v>369</v>
      </c>
      <c r="B369" s="11">
        <v>44992.01262922454</v>
      </c>
      <c r="C369" s="8" t="s">
        <v>452</v>
      </c>
      <c r="D369" s="8" t="s">
        <v>453</v>
      </c>
      <c r="E369" s="8" t="s">
        <v>452</v>
      </c>
      <c r="F369" s="8" t="s">
        <v>454</v>
      </c>
      <c r="G369" s="8" t="str">
        <f>", "&amp;'RAW (公開用)'!F370&amp;", "</f>
        <v xml:space="preserve">, デミジェンダー, 不明／わからない, ジェンダークィア, Aジェンダー／エイジェンダー／アジェンダー／agender, デミAジェンダー, ノンバイナリー男性, デミボーイ, ノンバイナリー, </v>
      </c>
      <c r="H369" s="8"/>
      <c r="I369" s="8" t="str">
        <f>", "&amp;'RAW (公開用)'!H370&amp;", "</f>
        <v xml:space="preserve">, くん／君, さん, （any／問わない／どれでもよい）, （敬称なし）, </v>
      </c>
      <c r="J369" s="8" t="s">
        <v>2335</v>
      </c>
      <c r="K36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（any／問わない／どれでもよい）, （敬称なし）,  , </v>
      </c>
      <c r="L369" s="8" t="str">
        <f>", "&amp;'RAW (公開用)'!J370&amp;", "</f>
        <v xml:space="preserve">, -san, Mr., （any／問わない／どれでもよい）, </v>
      </c>
      <c r="M369" s="8" t="s">
        <v>2335</v>
      </c>
      <c r="N36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Mr., （any／問わない／どれでもよい）, , </v>
      </c>
      <c r="O369" s="8" t="str">
        <f>", "&amp;'RAW (公開用)'!L370&amp;", "</f>
        <v xml:space="preserve">, （一人称の使用を避ける）, わたし, 僕, ぼく, </v>
      </c>
      <c r="P369" s="8" t="s">
        <v>2335</v>
      </c>
      <c r="Q36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わたし, 僕, ぼく,  , </v>
      </c>
      <c r="R369" s="8" t="str">
        <f>", "&amp;'RAW (公開用)'!N369&amp;", "</f>
        <v xml:space="preserve">, 彼, </v>
      </c>
      <c r="S369" s="8" t="s">
        <v>2335</v>
      </c>
      <c r="T36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369" s="8" t="str">
        <f>", "&amp;'RAW (公開用)'!P370&amp;", "</f>
        <v xml:space="preserve">, he, </v>
      </c>
      <c r="V369" s="8" t="s">
        <v>455</v>
      </c>
      <c r="W369" s="8" t="str">
        <f>", "&amp;'RAW (公開用)'!R370&amp;", "</f>
        <v xml:space="preserve">, 社会の中でいないことにされる, カムアウトできない, </v>
      </c>
      <c r="X369" s="8"/>
      <c r="Y36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369" s="8" t="s">
        <v>472</v>
      </c>
      <c r="AA369" s="8" t="s">
        <v>2174</v>
      </c>
      <c r="AB369" s="105" t="s">
        <v>2443</v>
      </c>
      <c r="AC369" s="8"/>
      <c r="AD36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69" s="8" t="s">
        <v>462</v>
      </c>
      <c r="AF369" s="8" t="s">
        <v>457</v>
      </c>
      <c r="AG369" s="8" t="s">
        <v>458</v>
      </c>
      <c r="AH369" s="8"/>
      <c r="AI369" s="8">
        <f t="shared" si="15"/>
        <v>8</v>
      </c>
      <c r="AJ369" s="8"/>
      <c r="AK369" s="8"/>
      <c r="AL369" s="8"/>
      <c r="AM369" s="8"/>
      <c r="AN369" s="8"/>
    </row>
    <row r="370" spans="1:40" ht="25.5" hidden="1">
      <c r="A370" s="8">
        <v>370</v>
      </c>
      <c r="B370" s="11">
        <v>44992.030260844913</v>
      </c>
      <c r="C370" s="8" t="s">
        <v>452</v>
      </c>
      <c r="D370" s="8" t="s">
        <v>453</v>
      </c>
      <c r="E370" s="8" t="s">
        <v>452</v>
      </c>
      <c r="F370" s="8" t="s">
        <v>454</v>
      </c>
      <c r="G370" s="8" t="str">
        <f>", "&amp;'RAW (公開用)'!F371&amp;", "</f>
        <v xml:space="preserve">, 無し, Xジェンダー, Aジェンダー／エイジェンダー／アジェンダー／agender, クィア／Queer, 無性, X, </v>
      </c>
      <c r="H370" s="8"/>
      <c r="I370" s="8" t="str">
        <f>", "&amp;'RAW (公開用)'!H371&amp;", "</f>
        <v xml:space="preserve">, さん, </v>
      </c>
      <c r="J370" s="8" t="s">
        <v>2335</v>
      </c>
      <c r="K37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70" s="8" t="str">
        <f>", "&amp;'RAW (公開用)'!J371&amp;", "</f>
        <v xml:space="preserve">, **英語を日常的に使わない**, </v>
      </c>
      <c r="M370" s="8" t="s">
        <v>2335</v>
      </c>
      <c r="N37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0" s="8" t="str">
        <f>", "&amp;'RAW (公開用)'!L371&amp;", "</f>
        <v xml:space="preserve">, 私（わたし／わたくし）, </v>
      </c>
      <c r="P370" s="8" t="s">
        <v>2335</v>
      </c>
      <c r="Q37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70" s="8" t="str">
        <f>", "&amp;'RAW (公開用)'!N370&amp;", "</f>
        <v xml:space="preserve">, かれ, 彼人（かのと）, 彼, （any／問わない／どれでもよい）, 彼人（かのひと）, </v>
      </c>
      <c r="S370" s="8" t="s">
        <v>2335</v>
      </c>
      <c r="T37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かれ, 彼人（かのと）, 彼, （any／問わない／どれでもよい）, 彼人（かのひと）,  , </v>
      </c>
      <c r="U370" s="8" t="str">
        <f>", "&amp;'RAW (公開用)'!P371&amp;", "</f>
        <v xml:space="preserve">, **英語を日常的に使わない**, </v>
      </c>
      <c r="V370" s="8" t="s">
        <v>455</v>
      </c>
      <c r="W370" s="8" t="str">
        <f>", "&amp;'RAW (公開用)'!R371&amp;", "</f>
        <v xml:space="preserve">, ミスジェンダリング（誤った性別として扱うこと）, 社会の中でいないことにされる, </v>
      </c>
      <c r="X370" s="8"/>
      <c r="Y37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v>
      </c>
      <c r="Z370" s="8" t="s">
        <v>455</v>
      </c>
      <c r="AA370" s="8" t="str">
        <f>", "&amp;'RAW (公開用)'!U371&amp;", "</f>
        <v xml:space="preserve">, 胸部の手術, 性器にかかわる手術, </v>
      </c>
      <c r="AB370" s="8" t="str">
        <f>", "&amp;'RAW (公開用)'!V371&amp;", "</f>
        <v xml:space="preserve">, （上記のどれも経験していない）, </v>
      </c>
      <c r="AC370" s="8"/>
      <c r="AD37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70" s="8" t="s">
        <v>456</v>
      </c>
      <c r="AF370" s="8" t="s">
        <v>457</v>
      </c>
      <c r="AG370" s="8" t="s">
        <v>458</v>
      </c>
      <c r="AH370" s="8"/>
      <c r="AI370" s="8">
        <f t="shared" si="15"/>
        <v>6</v>
      </c>
      <c r="AJ370" s="8"/>
      <c r="AK370" s="8"/>
      <c r="AL370" s="8"/>
      <c r="AM370" s="8"/>
      <c r="AN370" s="8"/>
    </row>
    <row r="371" spans="1:40" ht="12.75" hidden="1">
      <c r="A371" s="8">
        <v>371</v>
      </c>
      <c r="B371" s="11">
        <v>44992.03359421296</v>
      </c>
      <c r="C371" s="8" t="s">
        <v>452</v>
      </c>
      <c r="D371" s="8" t="s">
        <v>453</v>
      </c>
      <c r="E371" s="8" t="s">
        <v>452</v>
      </c>
      <c r="F371" s="8" t="s">
        <v>454</v>
      </c>
      <c r="G371" s="8" t="str">
        <f>", "&amp;'RAW (公開用)'!F372&amp;", "</f>
        <v xml:space="preserve">, 無性, Xジェンダー, </v>
      </c>
      <c r="H371" s="8"/>
      <c r="I371" s="8" t="str">
        <f>", "&amp;'RAW (公開用)'!H372&amp;", "</f>
        <v xml:space="preserve">, くん／君, さん, </v>
      </c>
      <c r="J371" s="8" t="s">
        <v>2335</v>
      </c>
      <c r="K37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371" s="8" t="str">
        <f>", "&amp;'RAW (公開用)'!J372&amp;", "</f>
        <v xml:space="preserve">, **英語を日常的に使わない**, </v>
      </c>
      <c r="M371" s="8" t="s">
        <v>2335</v>
      </c>
      <c r="N37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1" s="8" t="str">
        <f>", "&amp;'RAW (公開用)'!L372&amp;", "</f>
        <v xml:space="preserve">, （クエスチョニング、模索中、または不明）, </v>
      </c>
      <c r="P371" s="8" t="s">
        <v>2335</v>
      </c>
      <c r="Q37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（クエスチョニング、模索中、または不明）,  , </v>
      </c>
      <c r="R371" s="8" t="str">
        <f>", "&amp;'RAW (公開用)'!N371&amp;", "</f>
        <v xml:space="preserve">, （自分（たち）の名前）, </v>
      </c>
      <c r="S371" s="8" t="s">
        <v>2335</v>
      </c>
      <c r="T37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71" s="8" t="str">
        <f>", "&amp;'RAW (公開用)'!P372&amp;", "</f>
        <v xml:space="preserve">, **英語を日常的に使わない**, </v>
      </c>
      <c r="V371" s="8" t="s">
        <v>455</v>
      </c>
      <c r="W371" s="8" t="str">
        <f>", "&amp;'RAW (公開用)'!R372&amp;", "</f>
        <v xml:space="preserve">, 社会の中でいないことにされる, カムアウトできない, </v>
      </c>
      <c r="X371" s="8"/>
      <c r="Y37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371" s="8" t="s">
        <v>455</v>
      </c>
      <c r="AA371" s="8" t="str">
        <f>", "&amp;'RAW (公開用)'!U372&amp;", "</f>
        <v xml:space="preserve">, 戸籍名の変更, 戸籍上の性別の変更, ジェンダークリニックの受診, 胸部の手術, </v>
      </c>
      <c r="AB371" s="8" t="str">
        <f>", "&amp;'RAW (公開用)'!V372&amp;", "</f>
        <v xml:space="preserve">, （上記のどれも経験していない）, </v>
      </c>
      <c r="AC371" s="8"/>
      <c r="AD37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71" s="8" t="s">
        <v>462</v>
      </c>
      <c r="AF371" s="8" t="s">
        <v>457</v>
      </c>
      <c r="AG371" s="8" t="s">
        <v>458</v>
      </c>
      <c r="AH371" s="8"/>
      <c r="AI371" s="8">
        <f t="shared" si="15"/>
        <v>2</v>
      </c>
      <c r="AJ371" s="8"/>
      <c r="AK371" s="8"/>
      <c r="AL371" s="8"/>
      <c r="AM371" s="8"/>
      <c r="AN371" s="8"/>
    </row>
    <row r="372" spans="1:40" ht="63.75" hidden="1">
      <c r="A372" s="8">
        <v>372</v>
      </c>
      <c r="B372" s="11">
        <v>44992.046153113421</v>
      </c>
      <c r="C372" s="8" t="s">
        <v>452</v>
      </c>
      <c r="D372" s="8" t="s">
        <v>453</v>
      </c>
      <c r="E372" s="8" t="s">
        <v>452</v>
      </c>
      <c r="F372" s="8" t="s">
        <v>454</v>
      </c>
      <c r="G372" s="8" t="str">
        <f>", "&amp;'RAW (公開用)'!F373&amp;", "</f>
        <v xml:space="preserve">, 中性, ゲイ（ジェンダーについて）, Xジェンダー, ジェンダークィア, X, ノンバイナリー, クィア／Queer, （ジェンダー・）フルイド／（ジェンダー・）フリュイド／（ジェンダー・）フルイッド, クエスチョニング, バイナリー, </v>
      </c>
      <c r="H372" s="8"/>
      <c r="I372" s="8" t="str">
        <f>", "&amp;'RAW (公開用)'!H373&amp;", "</f>
        <v xml:space="preserve">, さん, （敬称なし）, ちゃん, </v>
      </c>
      <c r="J372" s="8" t="s">
        <v>2335</v>
      </c>
      <c r="K37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ちゃん,  , </v>
      </c>
      <c r="L372" s="8" t="str">
        <f>", "&amp;'RAW (公開用)'!J373&amp;", "</f>
        <v xml:space="preserve">, **英語を日常的に使わない**, </v>
      </c>
      <c r="M372" s="8" t="s">
        <v>2335</v>
      </c>
      <c r="N37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2" s="8" t="str">
        <f>", "&amp;'RAW (公開用)'!L373&amp;", "</f>
        <v xml:space="preserve">, 私（わたし／わたくし）, 俺, </v>
      </c>
      <c r="P372" s="8" t="s">
        <v>2335</v>
      </c>
      <c r="Q37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俺,  , </v>
      </c>
      <c r="R372" s="8" t="str">
        <f>", "&amp;'RAW (公開用)'!N372&amp;", "</f>
        <v xml:space="preserve">, （自分（たち）の名前）, </v>
      </c>
      <c r="S372" s="8" t="s">
        <v>2335</v>
      </c>
      <c r="T37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72" s="8" t="str">
        <f>", "&amp;'RAW (公開用)'!P373&amp;", "</f>
        <v xml:space="preserve">, **英語を日常的に使わない**, </v>
      </c>
      <c r="V372" s="8" t="s">
        <v>455</v>
      </c>
      <c r="W372" s="8" t="str">
        <f>", "&amp;'RAW (公開用)'!R373&amp;", "</f>
        <v xml:space="preserve">, 家族／かぞくからの無理解, 必要なジェンダーケアへアクセスできない, ミスジェンダリング（誤った性別として扱うこと）, カムアウトできない, トイレなどのジェンダー化されたスペースの使用, LGBTQ+運動からの排斥, 職場や学校における無理解, 社会の中でいないことにされる, 医療における無理解, </v>
      </c>
      <c r="X372" s="8" t="s">
        <v>242</v>
      </c>
      <c r="Y37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家族／かぞくからの無理解, 必要なジェンダーケアへアクセスできない, ミスジェンダリング（誤った性別として扱うこと）, カムアウトできない, トイレなどのジェンダー化されたスペースの使用, LGBTQ+運動からの排斥, 職場や学校における無理解, 社会の中でいないことにされる, 医療における無理解,  同じジェンダーの人との出会いがほぼない</v>
      </c>
      <c r="Z372" s="8" t="s">
        <v>455</v>
      </c>
      <c r="AA372" s="8" t="str">
        <f>", "&amp;'RAW (公開用)'!U373&amp;", "</f>
        <v xml:space="preserve">, 戸籍名の変更, （上記のどれも希望していない）, </v>
      </c>
      <c r="AB372" s="8" t="str">
        <f>", "&amp;'RAW (公開用)'!V373&amp;", "</f>
        <v xml:space="preserve">, 戸籍名の変更, </v>
      </c>
      <c r="AC372" s="8"/>
      <c r="AD372" s="8" t="str">
        <f>テーブル1[[#This Row],[以下のうち、経験したものをすべて選んでください]]&amp;" "&amp;テーブル1[[#This Row],[社会的、法的、医学的トランジションについて、困難なこと等がありましたらここにお書きください]]</f>
        <v xml:space="preserve">, 戸籍名の変更,  </v>
      </c>
      <c r="AE372" s="8" t="s">
        <v>479</v>
      </c>
      <c r="AF372" s="8" t="s">
        <v>457</v>
      </c>
      <c r="AG372" s="8" t="s">
        <v>458</v>
      </c>
      <c r="AH372" s="8"/>
      <c r="AI372" s="8">
        <f t="shared" si="15"/>
        <v>10</v>
      </c>
      <c r="AJ372" s="8"/>
      <c r="AK372" s="8"/>
      <c r="AL372" s="8"/>
      <c r="AM372" s="8"/>
      <c r="AN372" s="8"/>
    </row>
    <row r="373" spans="1:40" ht="76.5" hidden="1">
      <c r="A373" s="8">
        <v>373</v>
      </c>
      <c r="B373" s="11">
        <v>44992.064288611116</v>
      </c>
      <c r="C373" s="8" t="s">
        <v>452</v>
      </c>
      <c r="D373" s="8" t="s">
        <v>453</v>
      </c>
      <c r="E373" s="8" t="s">
        <v>452</v>
      </c>
      <c r="F373" s="8" t="s">
        <v>454</v>
      </c>
      <c r="G373" s="8" t="str">
        <f>", "&amp;'RAW (公開用)'!F374&amp;", "</f>
        <v xml:space="preserve">, Aジェンダー／エイジェンダー／アジェンダー／agender, Xジェンダー, ノンバイナリー, 無性, </v>
      </c>
      <c r="H373" s="8"/>
      <c r="I373" s="8" t="str">
        <f>", "&amp;'RAW (公開用)'!H374&amp;", "</f>
        <v xml:space="preserve">, さん, （クエスチョニング、模索中、または不明）, </v>
      </c>
      <c r="J373" s="8" t="s">
        <v>2335</v>
      </c>
      <c r="K37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 </v>
      </c>
      <c r="L373" s="8" t="str">
        <f>", "&amp;'RAW (公開用)'!J374&amp;", "</f>
        <v xml:space="preserve">, **英語を日常的に使わない**, </v>
      </c>
      <c r="M373" s="8" t="s">
        <v>2335</v>
      </c>
      <c r="N37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3" s="8" t="str">
        <f>", "&amp;'RAW (公開用)'!L374&amp;", "</f>
        <v xml:space="preserve">, （クエスチョニング、模索中、または不明）, （自分（たち）の名前）, （時とともに変わる）, 僕, 私（わたし／わたくし）, </v>
      </c>
      <c r="P373" s="8" t="s">
        <v>2335</v>
      </c>
      <c r="Q37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（クエスチョニング、模索中、または不明）, （自分（たち）の名前）, （時とともに変わる）, 僕, 私（わたし／わたくし）,  , </v>
      </c>
      <c r="R373" s="8" t="str">
        <f>", "&amp;'RAW (公開用)'!N373&amp;", "</f>
        <v xml:space="preserve">, 彼, </v>
      </c>
      <c r="S373" s="8" t="s">
        <v>2335</v>
      </c>
      <c r="T37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373" s="8" t="str">
        <f>", "&amp;'RAW (公開用)'!P374&amp;", "</f>
        <v xml:space="preserve">, **英語を日常的に使わない**, </v>
      </c>
      <c r="V373" s="8" t="s">
        <v>455</v>
      </c>
      <c r="W373" s="8" t="str">
        <f>", "&amp;'RAW (公開用)'!R374&amp;", "</f>
        <v xml:space="preserve">, 医療における無理解, 職場や学校における無理解, 必要なジェンダーケアへアクセスできない, 家族／かぞくからの無理解, アウティング（勝手にジェンダーや指向についての情報を明かされること）, LGBTQ+運動からの排斥, デッドネーミング（誤った名前で呼ばれること）, カムアウトできない, ミスジェンダリング（誤った性別として扱うこと）, 社会の中でいないことにされる, トイレなどのジェンダー化されたスペースの使用, </v>
      </c>
      <c r="X373" s="8"/>
      <c r="Y37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職場や学校における無理解, 必要なジェンダーケアへアクセスできない, 家族／かぞくからの無理解, アウティング（勝手にジェンダーや指向についての情報を明かされること）, LGBTQ+運動からの排斥, デッドネーミング（誤った名前で呼ばれること）, カムアウトできない, ミスジェンダリング（誤った性別として扱うこと）, 社会の中でいないことにされる, トイレなどのジェンダー化されたスペースの使用,  </v>
      </c>
      <c r="Z373" s="8" t="s">
        <v>455</v>
      </c>
      <c r="AA373" s="8" t="str">
        <f>", "&amp;'RAW (公開用)'!U374&amp;", "</f>
        <v xml:space="preserve">, 戸籍上の性別の変更, ジェンダークリニックの受診, 胸部の手術, </v>
      </c>
      <c r="AB373" s="105" t="s">
        <v>2443</v>
      </c>
      <c r="AC373" s="8"/>
      <c r="AD373"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73" s="8" t="s">
        <v>456</v>
      </c>
      <c r="AF373" s="8" t="s">
        <v>457</v>
      </c>
      <c r="AG373" s="8" t="s">
        <v>458</v>
      </c>
      <c r="AH373" s="8"/>
      <c r="AI373" s="8">
        <f t="shared" si="15"/>
        <v>4</v>
      </c>
      <c r="AJ373" s="8"/>
      <c r="AK373" s="8"/>
      <c r="AL373" s="8"/>
      <c r="AM373" s="8"/>
      <c r="AN373" s="8"/>
    </row>
    <row r="374" spans="1:40" ht="89.25" hidden="1">
      <c r="A374" s="8">
        <v>22</v>
      </c>
      <c r="B374" s="11">
        <v>44969.816121898148</v>
      </c>
      <c r="C374" s="8" t="s">
        <v>452</v>
      </c>
      <c r="D374" s="8" t="s">
        <v>453</v>
      </c>
      <c r="E374" s="8" t="s">
        <v>452</v>
      </c>
      <c r="F374" s="8" t="s">
        <v>454</v>
      </c>
      <c r="G374" s="8" t="str">
        <f>", "&amp;'RAW (公開用)'!F23&amp;", "</f>
        <v xml:space="preserve">, デミガール, クエスチョニング, 不明／わからない, ノンバイナリー女性, 無性, トランス*／trans*, **必ず選んでください**, クィア／Queer, </v>
      </c>
      <c r="H374" s="8"/>
      <c r="I374" s="8" t="str">
        <f>", "&amp;'RAW (公開用)'!H23&amp;", "</f>
        <v xml:space="preserve">, （any／問わない／どれでもよい）, （時とともに変わる）, </v>
      </c>
      <c r="J374" s="73" t="s">
        <v>2337</v>
      </c>
      <c r="K37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（any／問わない／どれでもよい）, （時とともに変わる）,  , 氏,</v>
      </c>
      <c r="L374" s="8" t="str">
        <f>", "&amp;'RAW (公開用)'!J23&amp;", "</f>
        <v xml:space="preserve">, **英語を日常的に使わない**, </v>
      </c>
      <c r="M374" s="8" t="s">
        <v>2335</v>
      </c>
      <c r="N37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4" s="8" t="str">
        <f>", "&amp;'RAW (公開用)'!L23&amp;", "</f>
        <v xml:space="preserve">, あたし, うち, おれ, 私（わたし／わたくし）, 自分, </v>
      </c>
      <c r="P374" s="74" t="s">
        <v>2414</v>
      </c>
      <c r="Q37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あたし, うち, おれ, 私（わたし／わたくし）, 自分,  , (あだ名)+ちゃん,</v>
      </c>
      <c r="R374" s="8" t="str">
        <f>", "&amp;'RAW (公開用)'!N374&amp;", "</f>
        <v xml:space="preserve">, （自分（たち）の名前）, 彼, （三人称で言及してほしくない）, </v>
      </c>
      <c r="S374" s="8" t="s">
        <v>2335</v>
      </c>
      <c r="T37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（三人称で言及してほしくない）,  , </v>
      </c>
      <c r="U374" s="8" t="str">
        <f>", "&amp;'RAW (公開用)'!P23&amp;", "</f>
        <v xml:space="preserve">, **英語を日常的に使わない**, </v>
      </c>
      <c r="V374" s="8" t="s">
        <v>455</v>
      </c>
      <c r="W374" s="8" t="str">
        <f>", "&amp;'RAW (公開用)'!R23&amp;", "</f>
        <v xml:space="preserve">, ミスジェンダリング（誤った性別として扱うこと）, カムアウトできない, カムアウトを強制される, 必要なジェンダーケアへアクセスできない, アウティング（勝手にジェンダーや指向についての情報を明かされること）, 性暴力, 職場や学校における無理解, 医療における無理解, 家族／かぞくからの無理解, LGBTQ+運動からの排斥, </v>
      </c>
      <c r="X374" s="8" t="s">
        <v>267</v>
      </c>
      <c r="Y37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カムアウトできない, カムアウトを強制される, 必要なジェンダーケアへアクセスできない, アウティング（勝手にジェンダーや指向についての情報を明かされること）, 性暴力, 職場や学校における無理解, 医療における無理解, 家族／かぞくからの無理解, LGBTQ+運動からの排斥,  東日本大震災に被災したトランスジェンダーの方が避難所での生活やナプキンの配布などで苦労した経験を知り、私も避難所を使えないかもしれないと不安になっています。</v>
      </c>
      <c r="Z374" s="8" t="s">
        <v>455</v>
      </c>
      <c r="AA374" s="8" t="str">
        <f>", "&amp;'RAW (公開用)'!U23&amp;", "</f>
        <v xml:space="preserve">, 戸籍名の変更, ホルモン補充療法（HRT）, 胸部の手術, </v>
      </c>
      <c r="AB374" s="105" t="s">
        <v>2443</v>
      </c>
      <c r="AC374" s="8" t="s">
        <v>404</v>
      </c>
      <c r="AD374" s="8" t="str">
        <f>テーブル1[[#This Row],[以下のうち、経験したものをすべて選んでください]]&amp;" "&amp;テーブル1[[#This Row],[社会的、法的、医学的トランジションについて、困難なこと等がありましたらここにお書きください]]</f>
        <v>無回答 とにかくノンバイナリーのトランジション情報を見つけるのが難しい。ホルモンも病院でうつべきか、個人輸入する方がいいのか迷ってしまう。</v>
      </c>
      <c r="AE374" s="8" t="s">
        <v>462</v>
      </c>
      <c r="AF374" s="8" t="s">
        <v>457</v>
      </c>
      <c r="AG374" s="8" t="s">
        <v>458</v>
      </c>
      <c r="AH374" s="8"/>
      <c r="AI374" s="8">
        <f>((LEN(G374)-LEN(SUBSTITUTE(G374,", ","")))/LEN(", ")-1-(LEN(G374)-LEN(SUBSTITUTE(G374,"必ず","")))/LEN("必ず"))+(LEN(H374)-LEN(SUBSTITUTE(H374,",","")))</f>
        <v>7</v>
      </c>
      <c r="AJ374" s="8"/>
      <c r="AK374" s="8"/>
      <c r="AL374" s="8"/>
      <c r="AM374" s="8"/>
      <c r="AN374" s="8"/>
    </row>
    <row r="375" spans="1:40" ht="38.25" hidden="1">
      <c r="A375" s="8">
        <v>375</v>
      </c>
      <c r="B375" s="11">
        <v>44992.176061377315</v>
      </c>
      <c r="C375" s="8" t="s">
        <v>452</v>
      </c>
      <c r="D375" s="8" t="s">
        <v>453</v>
      </c>
      <c r="E375" s="8" t="s">
        <v>452</v>
      </c>
      <c r="F375" s="8" t="s">
        <v>454</v>
      </c>
      <c r="G375" s="8" t="str">
        <f>", "&amp;'RAW (公開用)'!F376&amp;", "</f>
        <v xml:space="preserve">, バイジェンダー, </v>
      </c>
      <c r="H375" s="8"/>
      <c r="I375" s="8" t="str">
        <f>", "&amp;'RAW (公開用)'!H376&amp;", "</f>
        <v xml:space="preserve">, さん, </v>
      </c>
      <c r="J375" s="8" t="s">
        <v>2335</v>
      </c>
      <c r="K37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75" s="8" t="str">
        <f>", "&amp;'RAW (公開用)'!J376&amp;", "</f>
        <v xml:space="preserve">, **英語を日常的に使わない**, </v>
      </c>
      <c r="M375" s="8" t="s">
        <v>2335</v>
      </c>
      <c r="N37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5" s="8" t="str">
        <f>", "&amp;'RAW (公開用)'!L376&amp;", "</f>
        <v xml:space="preserve">, わし, 私（わたし／わたくし）, </v>
      </c>
      <c r="P375" s="8" t="s">
        <v>2335</v>
      </c>
      <c r="Q37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わし, 私（わたし／わたくし）,  , </v>
      </c>
      <c r="R375" s="8" t="str">
        <f>", "&amp;'RAW (公開用)'!N375&amp;", "</f>
        <v xml:space="preserve">, （自分（たち）の名前）, 彼, </v>
      </c>
      <c r="S375" s="8" t="s">
        <v>2335</v>
      </c>
      <c r="T37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375" s="8" t="str">
        <f>", "&amp;'RAW (公開用)'!P376&amp;", "</f>
        <v xml:space="preserve">, **英語を日常的に使わない**, </v>
      </c>
      <c r="V375" s="8" t="s">
        <v>455</v>
      </c>
      <c r="W375" s="8" t="str">
        <f>", "&amp;'RAW (公開用)'!R376&amp;", "</f>
        <v xml:space="preserve">, カムアウトできない, 家族／かぞくからの無理解, 社会の中でいないことにされる, ミスジェンダリング（誤った性別として扱うこと）, 職場や学校における無理解, </v>
      </c>
      <c r="X375" s="8"/>
      <c r="Y37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家族／かぞくからの無理解, 社会の中でいないことにされる, ミスジェンダリング（誤った性別として扱うこと）, 職場や学校における無理解,  </v>
      </c>
      <c r="Z375" s="8" t="s">
        <v>455</v>
      </c>
      <c r="AA375" s="8" t="str">
        <f>", "&amp;'RAW (公開用)'!U376&amp;", "</f>
        <v xml:space="preserve">, （上記のどれも希望していない）, </v>
      </c>
      <c r="AB375" s="8" t="str">
        <f>", "&amp;'RAW (公開用)'!V376&amp;", "</f>
        <v xml:space="preserve">, （上記のどれも経験していない）, </v>
      </c>
      <c r="AC375" s="8"/>
      <c r="AD37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75" s="8" t="s">
        <v>474</v>
      </c>
      <c r="AF375" s="8" t="s">
        <v>457</v>
      </c>
      <c r="AG375" s="8" t="s">
        <v>458</v>
      </c>
      <c r="AH375" s="8"/>
      <c r="AI375" s="8">
        <f t="shared" ref="AI375:AI387" si="16">(LEN(G375)-LEN(SUBSTITUTE(G375,", ","")))/LEN(", ")-1-(LEN(G375)-LEN(SUBSTITUTE(G375,"必ず","")))/LEN("必ず")</f>
        <v>1</v>
      </c>
      <c r="AJ375" s="8"/>
      <c r="AK375" s="8"/>
      <c r="AL375" s="8"/>
      <c r="AM375" s="8"/>
      <c r="AN375" s="8"/>
    </row>
    <row r="376" spans="1:40" ht="38.25" hidden="1">
      <c r="A376" s="8">
        <v>376</v>
      </c>
      <c r="B376" s="11">
        <v>44992.262673773148</v>
      </c>
      <c r="C376" s="8" t="s">
        <v>452</v>
      </c>
      <c r="D376" s="8" t="s">
        <v>453</v>
      </c>
      <c r="E376" s="8" t="s">
        <v>452</v>
      </c>
      <c r="F376" s="8" t="s">
        <v>454</v>
      </c>
      <c r="G376" s="8" t="str">
        <f>", "&amp;'RAW (公開用)'!F377&amp;", "</f>
        <v xml:space="preserve">, 無性, 無し, Xジェンダー, ノンバイナリー, **必ず選んでください**, </v>
      </c>
      <c r="H376" s="8"/>
      <c r="I376" s="8" t="str">
        <f>", "&amp;'RAW (公開用)'!H377&amp;", "</f>
        <v xml:space="preserve">, さん, （敬称なし）, （any／問わない／どれでもよい）, </v>
      </c>
      <c r="J376" s="8" t="s">
        <v>2335</v>
      </c>
      <c r="K37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（any／問わない／どれでもよい）,  , </v>
      </c>
      <c r="L376" s="8" t="str">
        <f>", "&amp;'RAW (公開用)'!J377&amp;", "</f>
        <v xml:space="preserve">, **英語を日常的に使わない**, </v>
      </c>
      <c r="M376" s="8" t="s">
        <v>2335</v>
      </c>
      <c r="N37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6" s="8" t="str">
        <f>", "&amp;'RAW (公開用)'!L377&amp;", "</f>
        <v xml:space="preserve">, 私（わたし／わたくし）, </v>
      </c>
      <c r="P376" s="8" t="s">
        <v>2335</v>
      </c>
      <c r="Q37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76" s="8" t="s">
        <v>2174</v>
      </c>
      <c r="S376" s="8" t="s">
        <v>2335</v>
      </c>
      <c r="T37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376" s="8" t="str">
        <f>", "&amp;'RAW (公開用)'!P377&amp;", "</f>
        <v xml:space="preserve">, **英語を日常的に使わない**, </v>
      </c>
      <c r="V376" s="8" t="s">
        <v>455</v>
      </c>
      <c r="W376" s="8" t="str">
        <f>", "&amp;'RAW (公開用)'!R377&amp;", "</f>
        <v xml:space="preserve">, 社会の中でいないことにされる, ミスジェンダリング（誤った性別として扱うこと）, 医療における無理解, デッドネーミング（誤った名前で呼ばれること）, 職場や学校における無理解, </v>
      </c>
      <c r="X376" s="8"/>
      <c r="Y37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ミスジェンダリング（誤った性別として扱うこと）, 医療における無理解, デッドネーミング（誤った名前で呼ばれること）, 職場や学校における無理解,  </v>
      </c>
      <c r="Z376" s="8" t="s">
        <v>455</v>
      </c>
      <c r="AA376" s="8" t="str">
        <f>", "&amp;'RAW (公開用)'!U377&amp;", "</f>
        <v xml:space="preserve">, 胸部の手術, </v>
      </c>
      <c r="AB376" s="8" t="str">
        <f>", "&amp;'RAW (公開用)'!V377&amp;", "</f>
        <v xml:space="preserve">, ジェンダークリニックの受診, </v>
      </c>
      <c r="AC376" s="8" t="s">
        <v>348</v>
      </c>
      <c r="AD376" s="8" t="str">
        <f>テーブル1[[#This Row],[以下のうち、経験したものをすべて選んでください]]&amp;" "&amp;テーブル1[[#This Row],[社会的、法的、医学的トランジションについて、困難なこと等がありましたらここにお書きください]]</f>
        <v>, ジェンダークリニックの受診,  手術の費用が高い</v>
      </c>
      <c r="AE376" s="8" t="s">
        <v>474</v>
      </c>
      <c r="AF376" s="8" t="s">
        <v>457</v>
      </c>
      <c r="AG376" s="8" t="s">
        <v>458</v>
      </c>
      <c r="AH376" s="8"/>
      <c r="AI376" s="8">
        <f t="shared" si="16"/>
        <v>4</v>
      </c>
      <c r="AJ376" s="8"/>
      <c r="AK376" s="8"/>
      <c r="AL376" s="8"/>
      <c r="AM376" s="8"/>
      <c r="AN376" s="8"/>
    </row>
    <row r="377" spans="1:40" ht="12.75" hidden="1">
      <c r="A377" s="8">
        <v>377</v>
      </c>
      <c r="B377" s="11">
        <v>44992.321184907407</v>
      </c>
      <c r="C377" s="8" t="s">
        <v>452</v>
      </c>
      <c r="D377" s="8" t="s">
        <v>453</v>
      </c>
      <c r="E377" s="8" t="s">
        <v>452</v>
      </c>
      <c r="F377" s="8" t="s">
        <v>454</v>
      </c>
      <c r="G377" s="8" t="str">
        <f>", "&amp;'RAW (公開用)'!F378&amp;", "</f>
        <v xml:space="preserve">, Xジェンダー, </v>
      </c>
      <c r="H377" s="8"/>
      <c r="I377" s="8" t="str">
        <f>", "&amp;'RAW (公開用)'!H378&amp;", "</f>
        <v xml:space="preserve">, さん, </v>
      </c>
      <c r="J377" s="8" t="s">
        <v>2335</v>
      </c>
      <c r="K37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77" s="8" t="str">
        <f>", "&amp;'RAW (公開用)'!J378&amp;", "</f>
        <v xml:space="preserve">, Dr.など、職業などにかかわるもの, </v>
      </c>
      <c r="M377" s="8" t="s">
        <v>2335</v>
      </c>
      <c r="N37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 </v>
      </c>
      <c r="O377" s="8" t="str">
        <f>", "&amp;'RAW (公開用)'!L378&amp;", "</f>
        <v xml:space="preserve">, わたし, </v>
      </c>
      <c r="P377" s="8" t="s">
        <v>2335</v>
      </c>
      <c r="Q37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 </v>
      </c>
      <c r="R377" s="8" t="str">
        <f>", "&amp;'RAW (公開用)'!N377&amp;", "</f>
        <v xml:space="preserve">, （自分（たち）の名前）, </v>
      </c>
      <c r="S377" s="8" t="s">
        <v>2335</v>
      </c>
      <c r="T37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77" s="8" t="str">
        <f>", "&amp;'RAW (公開用)'!P378&amp;", "</f>
        <v xml:space="preserve">, they/them/their/themselves, </v>
      </c>
      <c r="V377" s="8" t="s">
        <v>455</v>
      </c>
      <c r="W377" s="8" t="str">
        <f>", "&amp;'RAW (公開用)'!R378&amp;", "</f>
        <v xml:space="preserve">, カムアウトできない, 家族／かぞくからの無理解, </v>
      </c>
      <c r="X377" s="8"/>
      <c r="Y37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家族／かぞくからの無理解,  </v>
      </c>
      <c r="Z377" s="8" t="s">
        <v>455</v>
      </c>
      <c r="AA377" s="8" t="str">
        <f>", "&amp;'RAW (公開用)'!U378&amp;", "</f>
        <v xml:space="preserve">, 抗ホルモン療法, ホルモン補充療法（HRT）, </v>
      </c>
      <c r="AB377" s="8" t="str">
        <f>", "&amp;'RAW (公開用)'!V378&amp;", "</f>
        <v xml:space="preserve">, 抗ホルモン療法, ホルモン補充療法（HRT）, </v>
      </c>
      <c r="AC377" s="8"/>
      <c r="AD377" s="8" t="str">
        <f>テーブル1[[#This Row],[以下のうち、経験したものをすべて選んでください]]&amp;" "&amp;テーブル1[[#This Row],[社会的、法的、医学的トランジションについて、困難なこと等がありましたらここにお書きください]]</f>
        <v xml:space="preserve">, 抗ホルモン療法, ホルモン補充療法（HRT）,  </v>
      </c>
      <c r="AE377" s="8" t="s">
        <v>459</v>
      </c>
      <c r="AF377" s="8" t="s">
        <v>457</v>
      </c>
      <c r="AG377" s="8" t="s">
        <v>458</v>
      </c>
      <c r="AH377" s="8"/>
      <c r="AI377" s="8">
        <f t="shared" si="16"/>
        <v>1</v>
      </c>
      <c r="AJ377" s="8"/>
      <c r="AK377" s="8"/>
      <c r="AL377" s="8"/>
      <c r="AM377" s="8"/>
      <c r="AN377" s="8"/>
    </row>
    <row r="378" spans="1:40" ht="38.25" hidden="1">
      <c r="A378" s="8">
        <v>378</v>
      </c>
      <c r="B378" s="11">
        <v>44992.321731157412</v>
      </c>
      <c r="C378" s="8" t="s">
        <v>452</v>
      </c>
      <c r="D378" s="8" t="s">
        <v>453</v>
      </c>
      <c r="E378" s="8" t="s">
        <v>452</v>
      </c>
      <c r="F378" s="8" t="s">
        <v>454</v>
      </c>
      <c r="G378" s="8" t="str">
        <f>", "&amp;'RAW (公開用)'!F379&amp;", "</f>
        <v xml:space="preserve">, （ジェンダー・）フルイド／（ジェンダー・）フリュイド／（ジェンダー・）フルイッド, **必ず選んでください**, ノンバイナリー, </v>
      </c>
      <c r="H378" s="8"/>
      <c r="I378" s="8" t="str">
        <f>", "&amp;'RAW (公開用)'!H379&amp;", "</f>
        <v xml:space="preserve">, （クエスチョニング、模索中、または不明）, </v>
      </c>
      <c r="J378" s="8" t="s">
        <v>2335</v>
      </c>
      <c r="K37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378" s="8" t="str">
        <f>", "&amp;'RAW (公開用)'!J379&amp;", "</f>
        <v xml:space="preserve">, **英語を日常的に使わない**, </v>
      </c>
      <c r="M378" s="8" t="s">
        <v>2335</v>
      </c>
      <c r="N37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78" s="8" t="str">
        <f>", "&amp;'RAW (公開用)'!L379&amp;", "</f>
        <v xml:space="preserve">, ぼく, （自分（たち）の名前）, 私（わたし／わたくし）, 僕, わたし, （時とともに変わる）, 自分, </v>
      </c>
      <c r="P378" s="8" t="s">
        <v>2335</v>
      </c>
      <c r="Q37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ぼく, （自分（たち）の名前）, 私（わたし／わたくし）, 僕, わたし, （時とともに変わる）, 自分,  , </v>
      </c>
      <c r="R378" s="8" t="str">
        <f>", "&amp;'RAW (公開用)'!N378&amp;", "</f>
        <v xml:space="preserve">, （自分（たち）の名前）, </v>
      </c>
      <c r="S378" s="8" t="s">
        <v>2335</v>
      </c>
      <c r="T37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78" s="8" t="str">
        <f>", "&amp;'RAW (公開用)'!P379&amp;", "</f>
        <v xml:space="preserve">, **英語を日常的に使わない**, </v>
      </c>
      <c r="V378" s="8" t="s">
        <v>455</v>
      </c>
      <c r="W378" s="8" t="str">
        <f>", "&amp;'RAW (公開用)'!R379&amp;", "</f>
        <v xml:space="preserve">, 社会の中でいないことにされる, トイレなどのジェンダー化されたスペースの使用, ミスジェンダリング（誤った性別として扱うこと）, 職場や学校における無理解, LGBTQ+運動からの排斥, 家族／かぞくからの無理解, </v>
      </c>
      <c r="X378" s="8"/>
      <c r="Y37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トイレなどのジェンダー化されたスペースの使用, ミスジェンダリング（誤った性別として扱うこと）, 職場や学校における無理解, LGBTQ+運動からの排斥, 家族／かぞくからの無理解,  </v>
      </c>
      <c r="Z378" s="8" t="s">
        <v>455</v>
      </c>
      <c r="AA378" s="8" t="str">
        <f>", "&amp;'RAW (公開用)'!U379&amp;", "</f>
        <v xml:space="preserve">, ジェンダークリニックの受診, </v>
      </c>
      <c r="AB378" s="8" t="str">
        <f>", "&amp;'RAW (公開用)'!V379&amp;", "</f>
        <v xml:space="preserve">, （上記のどれも経験していない）, </v>
      </c>
      <c r="AC378" s="8"/>
      <c r="AD37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78" s="8" t="s">
        <v>456</v>
      </c>
      <c r="AF378" s="8" t="s">
        <v>457</v>
      </c>
      <c r="AG378" s="8" t="s">
        <v>458</v>
      </c>
      <c r="AH378" s="8"/>
      <c r="AI378" s="8">
        <f t="shared" si="16"/>
        <v>2</v>
      </c>
      <c r="AJ378" s="8"/>
      <c r="AK378" s="8"/>
      <c r="AL378" s="8"/>
      <c r="AM378" s="8"/>
      <c r="AN378" s="8"/>
    </row>
    <row r="379" spans="1:40" ht="63.75" hidden="1">
      <c r="A379" s="8">
        <v>264</v>
      </c>
      <c r="B379" s="11">
        <v>44982.317096701387</v>
      </c>
      <c r="C379" s="8" t="s">
        <v>452</v>
      </c>
      <c r="D379" s="8" t="s">
        <v>453</v>
      </c>
      <c r="E379" s="8" t="s">
        <v>452</v>
      </c>
      <c r="F379" s="8" t="s">
        <v>454</v>
      </c>
      <c r="G379" s="8" t="str">
        <f>", "&amp;'RAW (公開用)'!F265&amp;", "</f>
        <v xml:space="preserve">, **必ず選んでください**, ノンバイナリー, ジェンダー・ノンコンフォーミング／gender non-conforming, </v>
      </c>
      <c r="H379" s="8" t="s">
        <v>575</v>
      </c>
      <c r="I379" s="8" t="str">
        <f>", "&amp;'RAW (公開用)'!H265&amp;", "</f>
        <v xml:space="preserve">, さん, ちゃん, （any／問わない／どれでもよい）, </v>
      </c>
      <c r="J379" s="8" t="s">
        <v>2335</v>
      </c>
      <c r="K37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（any／問わない／どれでもよい）,  , </v>
      </c>
      <c r="L379" s="8" t="str">
        <f>", "&amp;'RAW (公開用)'!J265&amp;", "</f>
        <v xml:space="preserve">, -san, Mx., **英語を日常的に使わない**, </v>
      </c>
      <c r="M379" s="8" t="s">
        <v>2335</v>
      </c>
      <c r="N37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Mx., **英語を日常的に使わない**, , </v>
      </c>
      <c r="O379" s="8" t="str">
        <f>", "&amp;'RAW (公開用)'!L265&amp;", "</f>
        <v xml:space="preserve">, 僕, 俺, 私（わたし／わたくし）, </v>
      </c>
      <c r="P379" s="16" t="s">
        <v>2414</v>
      </c>
      <c r="Q37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僕, 俺, 私（わたし／わたくし）,  , (あだ名)+ちゃん,</v>
      </c>
      <c r="R379" s="8" t="str">
        <f>", "&amp;'RAW (公開用)'!N379&amp;", "</f>
        <v xml:space="preserve">, （自分（たち）の名前）, （any／問わない／どれでもよい）, </v>
      </c>
      <c r="S379" s="8" t="s">
        <v>2335</v>
      </c>
      <c r="T37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 </v>
      </c>
      <c r="U379" s="8" t="str">
        <f>", "&amp;'RAW (公開用)'!P265&amp;", "</f>
        <v xml:space="preserve">, **英語を日常的に使わない**, they/them/their/themself, </v>
      </c>
      <c r="V379" s="8" t="s">
        <v>455</v>
      </c>
      <c r="W379" s="8" t="str">
        <f>", "&amp;'RAW (公開用)'!R265&amp;", "</f>
        <v xml:space="preserve">, 社会の中でいないことにされる, ミスジェンダリング（誤った性別として扱うこと）, 職場や学校における無理解, カムアウトできない, 必要なジェンダーケアへアクセスできない, </v>
      </c>
      <c r="X379" s="8" t="s">
        <v>227</v>
      </c>
      <c r="Y37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社会の中でいないことにされる, ミスジェンダリング（誤った性別として扱うこと）, 職場や学校における無理解, カムアウトできない, 必要なジェンダーケアへアクセスできない,  ナベシャツを使用したいが親に相談しないと買えない（ネット通販でしか買えない）ので18歳になるまで使用できない。（1人で買えるようになったらしれっと使うつもり）</v>
      </c>
      <c r="Z379" s="8" t="s">
        <v>455</v>
      </c>
      <c r="AA379" s="8" t="str">
        <f>", "&amp;'RAW (公開用)'!U265&amp;", "</f>
        <v xml:space="preserve">, 戸籍上の性別の変更, </v>
      </c>
      <c r="AB379" s="8" t="str">
        <f>", "&amp;'RAW (公開用)'!V265&amp;", "</f>
        <v xml:space="preserve">, （上記のどれも経験していない）, </v>
      </c>
      <c r="AC379" s="8" t="s">
        <v>360</v>
      </c>
      <c r="AD37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戸変したくてもバイナリーしかないからできない</v>
      </c>
      <c r="AE379" s="8" t="s">
        <v>464</v>
      </c>
      <c r="AF379" s="8" t="s">
        <v>457</v>
      </c>
      <c r="AG379" s="8" t="s">
        <v>458</v>
      </c>
      <c r="AH379" s="8"/>
      <c r="AI379" s="8">
        <f t="shared" si="16"/>
        <v>2</v>
      </c>
      <c r="AJ379" s="8"/>
      <c r="AK379" s="8"/>
      <c r="AL379" s="8"/>
      <c r="AM379" s="8"/>
      <c r="AN379" s="8"/>
    </row>
    <row r="380" spans="1:40" ht="25.5" hidden="1">
      <c r="A380" s="8">
        <v>380</v>
      </c>
      <c r="B380" s="11">
        <v>44992.356180532406</v>
      </c>
      <c r="C380" s="8" t="s">
        <v>452</v>
      </c>
      <c r="D380" s="8" t="s">
        <v>453</v>
      </c>
      <c r="E380" s="8" t="s">
        <v>452</v>
      </c>
      <c r="F380" s="8" t="s">
        <v>454</v>
      </c>
      <c r="G380" s="8" t="str">
        <f>", "&amp;'RAW (公開用)'!F381&amp;", "</f>
        <v xml:space="preserve">, ノンバイナリー, **必ず選んでください**, </v>
      </c>
      <c r="H380" s="8"/>
      <c r="I380" s="8" t="str">
        <f>", "&amp;'RAW (公開用)'!H381&amp;", "</f>
        <v xml:space="preserve">, さん, </v>
      </c>
      <c r="J380" s="8" t="s">
        <v>2335</v>
      </c>
      <c r="K38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80" s="8" t="str">
        <f>", "&amp;'RAW (公開用)'!J381&amp;", "</f>
        <v xml:space="preserve">, **英語を日常的に使わない**, </v>
      </c>
      <c r="M380" s="8" t="s">
        <v>2335</v>
      </c>
      <c r="N38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80" s="8" t="str">
        <f>", "&amp;'RAW (公開用)'!L381&amp;", "</f>
        <v xml:space="preserve">, 私（わたし／わたくし）, </v>
      </c>
      <c r="P380" s="8" t="s">
        <v>2335</v>
      </c>
      <c r="Q38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80" s="8" t="str">
        <f>", "&amp;'RAW (公開用)'!N380&amp;", "</f>
        <v xml:space="preserve">, （三人称で言及してほしくない）, 彼, （自分（たち）の名前）, </v>
      </c>
      <c r="S380" s="8" t="s">
        <v>2335</v>
      </c>
      <c r="T38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 （自分（たち）の名前）,  , </v>
      </c>
      <c r="U380" s="8" t="str">
        <f>", "&amp;'RAW (公開用)'!P381&amp;", "</f>
        <v xml:space="preserve">, **英語を日常的に使わない**, </v>
      </c>
      <c r="V380" s="8" t="s">
        <v>455</v>
      </c>
      <c r="W380" s="8" t="str">
        <f>", "&amp;'RAW (公開用)'!R381&amp;", "</f>
        <v xml:space="preserve">, アウティング（勝手にジェンダーや指向についての情報を明かされること）, 職場や学校における無理解, </v>
      </c>
      <c r="X380" s="8"/>
      <c r="Y38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職場や学校における無理解,  </v>
      </c>
      <c r="Z380" s="8" t="s">
        <v>455</v>
      </c>
      <c r="AA380" s="8" t="str">
        <f>", "&amp;'RAW (公開用)'!U381&amp;", "</f>
        <v xml:space="preserve">, （上記のどれも希望していない）, </v>
      </c>
      <c r="AB380" s="8" t="str">
        <f>", "&amp;'RAW (公開用)'!V381&amp;", "</f>
        <v xml:space="preserve">, （上記のどれも経験していない）, </v>
      </c>
      <c r="AC380" s="8"/>
      <c r="AD38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0" s="8" t="s">
        <v>462</v>
      </c>
      <c r="AF380" s="8" t="s">
        <v>457</v>
      </c>
      <c r="AG380" s="8" t="s">
        <v>458</v>
      </c>
      <c r="AH380" s="8"/>
      <c r="AI380" s="8">
        <f t="shared" si="16"/>
        <v>1</v>
      </c>
      <c r="AJ380" s="8"/>
      <c r="AK380" s="8"/>
      <c r="AL380" s="8"/>
      <c r="AM380" s="8"/>
      <c r="AN380" s="8"/>
    </row>
    <row r="381" spans="1:40" ht="12.75" hidden="1">
      <c r="A381" s="8">
        <v>381</v>
      </c>
      <c r="B381" s="11">
        <v>44992.377421238431</v>
      </c>
      <c r="C381" s="8" t="s">
        <v>452</v>
      </c>
      <c r="D381" s="8" t="s">
        <v>453</v>
      </c>
      <c r="E381" s="8" t="s">
        <v>452</v>
      </c>
      <c r="F381" s="8" t="s">
        <v>454</v>
      </c>
      <c r="G381" s="8" t="str">
        <f>", "&amp;'RAW (公開用)'!F382&amp;", "</f>
        <v xml:space="preserve">, Xジェンダー, ノンバイナリー, **必ず選んでください**, ジェンダークィア, 両性, </v>
      </c>
      <c r="H381" s="8"/>
      <c r="I381" s="8" t="str">
        <f>", "&amp;'RAW (公開用)'!H382&amp;", "</f>
        <v xml:space="preserve">, さん, </v>
      </c>
      <c r="J381" s="8" t="s">
        <v>2335</v>
      </c>
      <c r="K38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81" s="8" t="str">
        <f>", "&amp;'RAW (公開用)'!J382&amp;", "</f>
        <v xml:space="preserve">, -san, （敬称なし）, </v>
      </c>
      <c r="M381" s="8" t="s">
        <v>2335</v>
      </c>
      <c r="N38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 </v>
      </c>
      <c r="O381" s="8" t="str">
        <f>", "&amp;'RAW (公開用)'!L382&amp;", "</f>
        <v xml:space="preserve">, （時とともに変わる）, </v>
      </c>
      <c r="P381" s="8" t="s">
        <v>2335</v>
      </c>
      <c r="Q38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 </v>
      </c>
      <c r="R381" s="8" t="str">
        <f>", "&amp;'RAW (公開用)'!N381&amp;", "</f>
        <v xml:space="preserve">, 彼女, </v>
      </c>
      <c r="S381" s="8" t="s">
        <v>2335</v>
      </c>
      <c r="T38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 </v>
      </c>
      <c r="U381" s="8" t="str">
        <f>", "&amp;'RAW (公開用)'!P382&amp;", "</f>
        <v xml:space="preserve">, （時とともに変わる）, </v>
      </c>
      <c r="V381" s="8" t="s">
        <v>455</v>
      </c>
      <c r="W381" s="8" t="str">
        <f>", "&amp;'RAW (公開用)'!R382&amp;", "</f>
        <v xml:space="preserve">, カムアウトできない, </v>
      </c>
      <c r="X381" s="8"/>
      <c r="Y38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v>
      </c>
      <c r="Z381" s="8" t="s">
        <v>455</v>
      </c>
      <c r="AA381" s="8" t="str">
        <f>", "&amp;'RAW (公開用)'!U382&amp;", "</f>
        <v xml:space="preserve">, （上記のどれも希望していない）, </v>
      </c>
      <c r="AB381" s="8" t="str">
        <f>", "&amp;'RAW (公開用)'!V382&amp;", "</f>
        <v xml:space="preserve">, （上記のどれも経験していない）, </v>
      </c>
      <c r="AC381" s="8"/>
      <c r="AD38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1" s="8" t="s">
        <v>479</v>
      </c>
      <c r="AF381" s="8" t="s">
        <v>457</v>
      </c>
      <c r="AG381" s="8" t="s">
        <v>458</v>
      </c>
      <c r="AH381" s="8"/>
      <c r="AI381" s="8">
        <f t="shared" si="16"/>
        <v>4</v>
      </c>
      <c r="AJ381" s="8"/>
      <c r="AK381" s="8"/>
      <c r="AL381" s="8"/>
      <c r="AM381" s="8"/>
      <c r="AN381" s="8"/>
    </row>
    <row r="382" spans="1:40" ht="38.25" hidden="1">
      <c r="A382" s="8">
        <v>351</v>
      </c>
      <c r="B382" s="11">
        <v>44991.957025856478</v>
      </c>
      <c r="C382" s="8" t="s">
        <v>452</v>
      </c>
      <c r="D382" s="8" t="s">
        <v>453</v>
      </c>
      <c r="E382" s="8" t="s">
        <v>452</v>
      </c>
      <c r="F382" s="8" t="s">
        <v>454</v>
      </c>
      <c r="G382" s="8" t="str">
        <f>", "&amp;'RAW (公開用)'!F352&amp;", "</f>
        <v xml:space="preserve">, **必ず選んでください**, クエスチョニング, 無し, ノンバイナリー, Xジェンダー, 不明／わからない, X, </v>
      </c>
      <c r="H382" s="8"/>
      <c r="I382" s="8" t="str">
        <f>", "&amp;'RAW (公開用)'!H352&amp;", "</f>
        <v xml:space="preserve">, さん, </v>
      </c>
      <c r="J382" s="8" t="s">
        <v>2335</v>
      </c>
      <c r="K38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82" s="8" t="str">
        <f>", "&amp;'RAW (公開用)'!J352&amp;", "</f>
        <v xml:space="preserve">, **英語を日常的に使わない**, </v>
      </c>
      <c r="M382" s="8" t="s">
        <v>2335</v>
      </c>
      <c r="N38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82" s="8" t="str">
        <f>", "&amp;'RAW (公開用)'!L352&amp;", "</f>
        <v xml:space="preserve">, わたし, おれ, 私（わたし／わたくし）, わし, 自分, </v>
      </c>
      <c r="P382" s="73" t="s">
        <v>2392</v>
      </c>
      <c r="Q38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おれ, 私（わたし／わたくし）, わし, 自分,  , わい,</v>
      </c>
      <c r="R382" s="8" t="str">
        <f>", "&amp;'RAW (公開用)'!N382&amp;", "</f>
        <v xml:space="preserve">, 彼人（かのと）, </v>
      </c>
      <c r="S382" s="8" t="s">
        <v>2356</v>
      </c>
      <c r="T38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彼人（かのと）,  , {この/その/あの}+ひと,</v>
      </c>
      <c r="U382" s="8" t="str">
        <f>", "&amp;'RAW (公開用)'!P352&amp;", "</f>
        <v xml:space="preserve">, **英語を日常的に使わない**, </v>
      </c>
      <c r="V382" s="8" t="s">
        <v>455</v>
      </c>
      <c r="W382" s="8" t="str">
        <f>", "&amp;'RAW (公開用)'!R352&amp;", "</f>
        <v xml:space="preserve">, 性暴力, アウティング（勝手にジェンダーや指向についての情報を明かされること）, 社会の中でいないことにされる, 職場や学校における無理解, ミスジェンダリング（誤った性別として扱うこと）, </v>
      </c>
      <c r="X382" s="8"/>
      <c r="Y38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アウティング（勝手にジェンダーや指向についての情報を明かされること）, 社会の中でいないことにされる, 職場や学校における無理解, ミスジェンダリング（誤った性別として扱うこと）,  </v>
      </c>
      <c r="Z382" s="8" t="s">
        <v>455</v>
      </c>
      <c r="AA382" s="8" t="str">
        <f>", "&amp;'RAW (公開用)'!U352&amp;", "</f>
        <v xml:space="preserve">, （上記のどれも希望していない）, </v>
      </c>
      <c r="AB382" s="8" t="str">
        <f>", "&amp;'RAW (公開用)'!V352&amp;", "</f>
        <v xml:space="preserve">, （上記のどれも経験していない）, </v>
      </c>
      <c r="AC382" s="8"/>
      <c r="AD38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2" s="8" t="s">
        <v>459</v>
      </c>
      <c r="AF382" s="8" t="s">
        <v>457</v>
      </c>
      <c r="AG382" s="8" t="s">
        <v>458</v>
      </c>
      <c r="AH382" s="8"/>
      <c r="AI382" s="8">
        <f t="shared" si="16"/>
        <v>6</v>
      </c>
      <c r="AJ382" s="8"/>
      <c r="AK382" s="8"/>
      <c r="AL382" s="8"/>
      <c r="AM382" s="8"/>
      <c r="AN382" s="8"/>
    </row>
    <row r="383" spans="1:40" ht="63.75" hidden="1">
      <c r="A383" s="8">
        <v>383</v>
      </c>
      <c r="B383" s="11">
        <v>44992.401955231486</v>
      </c>
      <c r="C383" s="8" t="s">
        <v>452</v>
      </c>
      <c r="D383" s="8" t="s">
        <v>453</v>
      </c>
      <c r="E383" s="8" t="s">
        <v>452</v>
      </c>
      <c r="F383" s="8" t="s">
        <v>454</v>
      </c>
      <c r="G383" s="8" t="str">
        <f>", "&amp;'RAW (公開用)'!F384&amp;", "</f>
        <v xml:space="preserve">, トランスジェンダー, Xジェンダー, 中性, クィア／Queer, （ジェンダー・）フルイド／（ジェンダー・）フリュイド／（ジェンダー・）フルイッド, ノンバイナリー, </v>
      </c>
      <c r="H383" s="8"/>
      <c r="I383" s="8" t="str">
        <f>", "&amp;'RAW (公開用)'!H384&amp;", "</f>
        <v xml:space="preserve">, さん, ちゃん, </v>
      </c>
      <c r="J383" s="8" t="s">
        <v>2335</v>
      </c>
      <c r="K38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383" s="8" t="str">
        <f>", "&amp;'RAW (公開用)'!J384&amp;", "</f>
        <v xml:space="preserve">, Ms., </v>
      </c>
      <c r="M383" s="8" t="s">
        <v>2335</v>
      </c>
      <c r="N38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 </v>
      </c>
      <c r="O383" s="8" t="str">
        <f>", "&amp;'RAW (公開用)'!L384&amp;", "</f>
        <v xml:space="preserve">, 私（わたし／わたくし）, </v>
      </c>
      <c r="P383" s="8" t="s">
        <v>2335</v>
      </c>
      <c r="Q38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83" s="8" t="s">
        <v>2174</v>
      </c>
      <c r="S383" s="8" t="s">
        <v>2335</v>
      </c>
      <c r="T38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383" s="8" t="str">
        <f>", "&amp;'RAW (公開用)'!P384&amp;", "</f>
        <v xml:space="preserve">, she, xe, </v>
      </c>
      <c r="V383" s="8" t="s">
        <v>455</v>
      </c>
      <c r="W383" s="8" t="str">
        <f>", "&amp;'RAW (公開用)'!R384&amp;", "</f>
        <v xml:space="preserve">, カムアウトできない, アウティング（勝手にジェンダーや指向についての情報を明かされること）, 社会の中でいないことにされる, 医療における無理解, デッドネーミング（誤った名前で呼ばれること）, ミスジェンダリング（誤った性別として扱うこと）, 職場や学校における無理解, 必要なジェンダーケアへアクセスできない, 家族／かぞくからの無理解, </v>
      </c>
      <c r="X383" s="8"/>
      <c r="Y38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アウティング（勝手にジェンダーや指向についての情報を明かされること）, 社会の中でいないことにされる, 医療における無理解, デッドネーミング（誤った名前で呼ばれること）, ミスジェンダリング（誤った性別として扱うこと）, 職場や学校における無理解, 必要なジェンダーケアへアクセスできない, 家族／かぞくからの無理解,  </v>
      </c>
      <c r="Z383" s="8" t="s">
        <v>455</v>
      </c>
      <c r="AA383" s="8" t="str">
        <f>", "&amp;'RAW (公開用)'!U384&amp;", "</f>
        <v xml:space="preserve">, 戸籍名の変更, 戸籍上の性別の変更, ジェンダークリニックの受診, ホルモン補充療法（HRT）, </v>
      </c>
      <c r="AB383" s="8" t="str">
        <f>", "&amp;'RAW (公開用)'!V384&amp;", "</f>
        <v xml:space="preserve">, （上記のどれも経験していない）, </v>
      </c>
      <c r="AC383" s="8"/>
      <c r="AD38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3" s="8" t="s">
        <v>459</v>
      </c>
      <c r="AF383" s="8" t="s">
        <v>457</v>
      </c>
      <c r="AG383" s="8" t="s">
        <v>458</v>
      </c>
      <c r="AH383" s="8"/>
      <c r="AI383" s="8">
        <f t="shared" si="16"/>
        <v>6</v>
      </c>
      <c r="AJ383" s="8"/>
      <c r="AK383" s="8"/>
      <c r="AL383" s="8"/>
      <c r="AM383" s="8"/>
      <c r="AN383" s="8"/>
    </row>
    <row r="384" spans="1:40" ht="38.25" hidden="1">
      <c r="A384" s="8">
        <v>384</v>
      </c>
      <c r="B384" s="11">
        <v>44992.444780706021</v>
      </c>
      <c r="C384" s="8" t="s">
        <v>452</v>
      </c>
      <c r="D384" s="8" t="s">
        <v>453</v>
      </c>
      <c r="E384" s="8" t="s">
        <v>452</v>
      </c>
      <c r="F384" s="8" t="s">
        <v>454</v>
      </c>
      <c r="G384" s="8" t="str">
        <f>", "&amp;'RAW (公開用)'!F385&amp;", "</f>
        <v xml:space="preserve">, （ジェンダー・）フルイド／（ジェンダー・）フリュイド／（ジェンダー・）フルイッド, ノンバイナリー, 不定性, </v>
      </c>
      <c r="H384" s="8"/>
      <c r="I384" s="8" t="str">
        <f>", "&amp;'RAW (公開用)'!H385&amp;", "</f>
        <v xml:space="preserve">, さん, </v>
      </c>
      <c r="J384" s="8" t="s">
        <v>2335</v>
      </c>
      <c r="K38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84" s="8" t="str">
        <f>", "&amp;'RAW (公開用)'!J385&amp;", "</f>
        <v xml:space="preserve">, Mx., </v>
      </c>
      <c r="M384" s="8" t="s">
        <v>2335</v>
      </c>
      <c r="N38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 </v>
      </c>
      <c r="O384" s="8" t="str">
        <f>", "&amp;'RAW (公開用)'!L385&amp;", "</f>
        <v xml:space="preserve">, わたし, 俺, 僕, </v>
      </c>
      <c r="P384" s="8" t="s">
        <v>2335</v>
      </c>
      <c r="Q38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俺, 僕,  , </v>
      </c>
      <c r="R384" s="8" t="str">
        <f>", "&amp;'RAW (公開用)'!N384&amp;", "</f>
        <v xml:space="preserve">, （自分（たち）の名前）, </v>
      </c>
      <c r="S384" s="8" t="s">
        <v>2335</v>
      </c>
      <c r="T38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84" s="8" t="str">
        <f>", "&amp;'RAW (公開用)'!P385&amp;", "</f>
        <v xml:space="preserve">, they/them/their/themself, </v>
      </c>
      <c r="V384" s="8" t="s">
        <v>455</v>
      </c>
      <c r="W384" s="8" t="str">
        <f>", "&amp;'RAW (公開用)'!R385&amp;", "</f>
        <v xml:space="preserve">, ミスジェンダリング（誤った性別として扱うこと）, カムアウトできない, 職場や学校における無理解, トイレなどのジェンダー化されたスペースの使用, 社会の中でいないことにされる, </v>
      </c>
      <c r="X384" s="8"/>
      <c r="Y38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カムアウトできない, 職場や学校における無理解, トイレなどのジェンダー化されたスペースの使用, 社会の中でいないことにされる,  </v>
      </c>
      <c r="Z384" s="8" t="s">
        <v>455</v>
      </c>
      <c r="AA384" s="8" t="str">
        <f>", "&amp;'RAW (公開用)'!U385&amp;", "</f>
        <v xml:space="preserve">, ホルモン補充療法（HRT）, </v>
      </c>
      <c r="AB384" s="8" t="str">
        <f>", "&amp;'RAW (公開用)'!V385&amp;", "</f>
        <v xml:space="preserve">, ホルモン補充療法（HRT）, </v>
      </c>
      <c r="AC384" s="8"/>
      <c r="AD384"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v>
      </c>
      <c r="AE384" s="8" t="s">
        <v>475</v>
      </c>
      <c r="AF384" s="8" t="s">
        <v>457</v>
      </c>
      <c r="AG384" s="8" t="s">
        <v>458</v>
      </c>
      <c r="AH384" s="8"/>
      <c r="AI384" s="8">
        <f t="shared" si="16"/>
        <v>3</v>
      </c>
      <c r="AJ384" s="8"/>
      <c r="AK384" s="8"/>
      <c r="AL384" s="8"/>
      <c r="AM384" s="8"/>
      <c r="AN384" s="8"/>
    </row>
    <row r="385" spans="1:40" ht="25.5" hidden="1">
      <c r="A385" s="8">
        <v>385</v>
      </c>
      <c r="B385" s="11">
        <v>44992.44526925926</v>
      </c>
      <c r="C385" s="8" t="s">
        <v>452</v>
      </c>
      <c r="D385" s="8" t="s">
        <v>453</v>
      </c>
      <c r="E385" s="8" t="s">
        <v>452</v>
      </c>
      <c r="F385" s="8" t="s">
        <v>454</v>
      </c>
      <c r="G385" s="8" t="str">
        <f>", "&amp;'RAW (公開用)'!F386&amp;", "</f>
        <v xml:space="preserve">, Xジェンダー, 無し, **必ず選んでください**, 不定性, </v>
      </c>
      <c r="H385" s="8"/>
      <c r="I385" s="8" t="str">
        <f>", "&amp;'RAW (公開用)'!H386&amp;", "</f>
        <v xml:space="preserve">, （敬称なし）, さん, </v>
      </c>
      <c r="J385" s="8" t="s">
        <v>2335</v>
      </c>
      <c r="K38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385" s="8" t="str">
        <f>", "&amp;'RAW (公開用)'!J386&amp;", "</f>
        <v xml:space="preserve">, **英語を日常的に使わない**, </v>
      </c>
      <c r="M385" s="8" t="s">
        <v>2335</v>
      </c>
      <c r="N38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85" s="8" t="str">
        <f>", "&amp;'RAW (公開用)'!L386&amp;", "</f>
        <v xml:space="preserve">, わたし, （自分（たち）の名前）, 自分, </v>
      </c>
      <c r="P385" s="8" t="s">
        <v>2335</v>
      </c>
      <c r="Q38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（自分（たち）の名前）, 自分,  , </v>
      </c>
      <c r="R385" s="8" t="str">
        <f>", "&amp;'RAW (公開用)'!N385&amp;", "</f>
        <v xml:space="preserve">, （自分（たち）の名前）, </v>
      </c>
      <c r="S385" s="8" t="s">
        <v>2335</v>
      </c>
      <c r="T38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85" s="8" t="str">
        <f>", "&amp;'RAW (公開用)'!P386&amp;", "</f>
        <v xml:space="preserve">, **英語を日常的に使わない**, </v>
      </c>
      <c r="V385" s="8" t="s">
        <v>455</v>
      </c>
      <c r="W385" s="8" t="str">
        <f>", "&amp;'RAW (公開用)'!R386&amp;", "</f>
        <v xml:space="preserve">, トイレなどのジェンダー化されたスペースの使用, カムアウトできない, 必要なジェンダーケアへアクセスできない, 家族／かぞくからの無理解, </v>
      </c>
      <c r="X385" s="8"/>
      <c r="Y38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カムアウトできない, 必要なジェンダーケアへアクセスできない, 家族／かぞくからの無理解,  </v>
      </c>
      <c r="Z385" s="8" t="s">
        <v>455</v>
      </c>
      <c r="AA385" s="8" t="str">
        <f>", "&amp;'RAW (公開用)'!U386&amp;", "</f>
        <v xml:space="preserve">, （上記のどれも希望していない）, </v>
      </c>
      <c r="AB385" s="105" t="s">
        <v>2443</v>
      </c>
      <c r="AC385" s="8"/>
      <c r="AD385"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85" s="8" t="s">
        <v>464</v>
      </c>
      <c r="AF385" s="8" t="s">
        <v>457</v>
      </c>
      <c r="AG385" s="8" t="s">
        <v>458</v>
      </c>
      <c r="AH385" s="8"/>
      <c r="AI385" s="8">
        <f t="shared" si="16"/>
        <v>3</v>
      </c>
      <c r="AJ385" s="8"/>
      <c r="AK385" s="8"/>
      <c r="AL385" s="8"/>
      <c r="AM385" s="8"/>
      <c r="AN385" s="8"/>
    </row>
    <row r="386" spans="1:40" ht="25.5" hidden="1">
      <c r="A386" s="8">
        <v>386</v>
      </c>
      <c r="B386" s="11">
        <v>44992.463911956016</v>
      </c>
      <c r="C386" s="8" t="s">
        <v>452</v>
      </c>
      <c r="D386" s="8" t="s">
        <v>453</v>
      </c>
      <c r="E386" s="8" t="s">
        <v>452</v>
      </c>
      <c r="F386" s="8" t="s">
        <v>454</v>
      </c>
      <c r="G386" s="8" t="str">
        <f>", "&amp;'RAW (公開用)'!F387&amp;", "</f>
        <v xml:space="preserve">, ノンバイナリー, 中性, ニュートラル, ジェンダーレス, クィア／Queer, Xジェンダー, X, </v>
      </c>
      <c r="H386" s="8"/>
      <c r="I386" s="8" t="str">
        <f>", "&amp;'RAW (公開用)'!H387&amp;", "</f>
        <v xml:space="preserve">, さん, </v>
      </c>
      <c r="J386" s="8" t="s">
        <v>2335</v>
      </c>
      <c r="K38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86" s="8" t="str">
        <f>", "&amp;'RAW (公開用)'!J387&amp;", "</f>
        <v xml:space="preserve">, -san, </v>
      </c>
      <c r="M386" s="8" t="s">
        <v>2335</v>
      </c>
      <c r="N38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386" s="8" t="str">
        <f>", "&amp;'RAW (公開用)'!L387&amp;", "</f>
        <v xml:space="preserve">, 自分, 私（わたし／わたくし）, 俺, </v>
      </c>
      <c r="P386" s="8" t="s">
        <v>2335</v>
      </c>
      <c r="Q38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俺,  , </v>
      </c>
      <c r="R386" s="8" t="str">
        <f>", "&amp;'RAW (公開用)'!N386&amp;", "</f>
        <v xml:space="preserve">, 彼人（かのひと）, （三人称で言及してほしくない）, </v>
      </c>
      <c r="S386" s="8" t="s">
        <v>2335</v>
      </c>
      <c r="T38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（三人称で言及してほしくない）,  , </v>
      </c>
      <c r="U386" s="8" t="str">
        <f>", "&amp;'RAW (公開用)'!P387&amp;", "</f>
        <v xml:space="preserve">, any/問わない/どれでもよい, </v>
      </c>
      <c r="V386" s="8" t="s">
        <v>472</v>
      </c>
      <c r="W386" s="8" t="s">
        <v>2174</v>
      </c>
      <c r="X386" s="8"/>
      <c r="Y38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386" s="8" t="s">
        <v>472</v>
      </c>
      <c r="AA386" s="8" t="s">
        <v>2174</v>
      </c>
      <c r="AB386" s="105" t="s">
        <v>2443</v>
      </c>
      <c r="AC386" s="8"/>
      <c r="AD386"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86" s="8" t="s">
        <v>501</v>
      </c>
      <c r="AF386" s="8" t="s">
        <v>621</v>
      </c>
      <c r="AG386" s="8" t="s">
        <v>452</v>
      </c>
      <c r="AH386" s="8"/>
      <c r="AI386" s="8">
        <f t="shared" si="16"/>
        <v>7</v>
      </c>
      <c r="AJ386" s="8"/>
      <c r="AK386" s="8"/>
      <c r="AL386" s="8"/>
      <c r="AM386" s="8"/>
      <c r="AN386" s="8"/>
    </row>
    <row r="387" spans="1:40" ht="25.5" hidden="1">
      <c r="A387" s="8">
        <v>387</v>
      </c>
      <c r="B387" s="11">
        <v>44992.48854395833</v>
      </c>
      <c r="C387" s="8" t="s">
        <v>452</v>
      </c>
      <c r="D387" s="8" t="s">
        <v>453</v>
      </c>
      <c r="E387" s="8" t="s">
        <v>452</v>
      </c>
      <c r="F387" s="8" t="s">
        <v>454</v>
      </c>
      <c r="G387" s="8" t="str">
        <f>", "&amp;'RAW (公開用)'!F388&amp;", "</f>
        <v xml:space="preserve">, **必ず選んでください**, クエスチョニング, </v>
      </c>
      <c r="H387" s="8"/>
      <c r="I387" s="8" t="str">
        <f>", "&amp;'RAW (公開用)'!H388&amp;", "</f>
        <v xml:space="preserve">, さん, ちゃん, </v>
      </c>
      <c r="J387" s="8" t="s">
        <v>2335</v>
      </c>
      <c r="K38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 </v>
      </c>
      <c r="L387" s="8" t="str">
        <f>", "&amp;'RAW (公開用)'!J388&amp;", "</f>
        <v xml:space="preserve">, **英語を日常的に使わない**, </v>
      </c>
      <c r="M387" s="8" t="s">
        <v>2335</v>
      </c>
      <c r="N38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87" s="8" t="str">
        <f>", "&amp;'RAW (公開用)'!L388&amp;", "</f>
        <v xml:space="preserve">, （自分（たち）の名前）, 私（わたし／わたくし）, </v>
      </c>
      <c r="P387" s="8" t="s">
        <v>2335</v>
      </c>
      <c r="Q38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私（わたし／わたくし）,  , </v>
      </c>
      <c r="R387" s="8" t="str">
        <f>", "&amp;'RAW (公開用)'!N387&amp;", "</f>
        <v xml:space="preserve">, （自分（たち）の名前）, </v>
      </c>
      <c r="S387" s="8" t="s">
        <v>2335</v>
      </c>
      <c r="T38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387" s="8" t="str">
        <f>", "&amp;'RAW (公開用)'!P388&amp;", "</f>
        <v xml:space="preserve">, **英語を日常的に使わない**, </v>
      </c>
      <c r="V387" s="8" t="s">
        <v>455</v>
      </c>
      <c r="W387" s="8" t="str">
        <f>", "&amp;'RAW (公開用)'!R388&amp;", "</f>
        <v xml:space="preserve">, ミスジェンダリング（誤った性別として扱うこと）, 社会の中でいないことにされる, </v>
      </c>
      <c r="X387" s="8"/>
      <c r="Y38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v>
      </c>
      <c r="Z387" s="8" t="s">
        <v>472</v>
      </c>
      <c r="AA387" s="8" t="s">
        <v>2174</v>
      </c>
      <c r="AB387" s="105" t="s">
        <v>2443</v>
      </c>
      <c r="AC387" s="8"/>
      <c r="AD387"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387" s="8" t="s">
        <v>464</v>
      </c>
      <c r="AF387" s="8" t="s">
        <v>457</v>
      </c>
      <c r="AG387" s="8" t="s">
        <v>458</v>
      </c>
      <c r="AH387" s="8"/>
      <c r="AI387" s="8">
        <f t="shared" si="16"/>
        <v>1</v>
      </c>
      <c r="AJ387" s="8"/>
      <c r="AK387" s="8"/>
      <c r="AL387" s="8"/>
      <c r="AM387" s="8"/>
      <c r="AN387" s="8"/>
    </row>
    <row r="388" spans="1:40" ht="51" hidden="1">
      <c r="A388" s="8">
        <v>27</v>
      </c>
      <c r="B388" s="11">
        <v>44969.821743541666</v>
      </c>
      <c r="C388" s="8" t="s">
        <v>452</v>
      </c>
      <c r="D388" s="8" t="s">
        <v>453</v>
      </c>
      <c r="E388" s="8" t="s">
        <v>452</v>
      </c>
      <c r="F388" s="8" t="s">
        <v>454</v>
      </c>
      <c r="G388" s="8" t="str">
        <f>", "&amp;'RAW (公開用)'!F28&amp;", "</f>
        <v xml:space="preserve">, ノンバイナリー, ゲイ（ジェンダーについて）, ノンバイナリー女性, （ジェンダー・）フルイド／（ジェンダー・）フリュイド／（ジェンダー・）フルイッド, レズビアン（ジェンダーについて）, バイジェンダー, </v>
      </c>
      <c r="H388" s="8"/>
      <c r="I388" s="8" t="str">
        <f>", "&amp;'RAW (公開用)'!H28&amp;", "</f>
        <v xml:space="preserve">, さん, </v>
      </c>
      <c r="J388" s="8" t="s">
        <v>2335</v>
      </c>
      <c r="K38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88" s="8" t="str">
        <f>", "&amp;'RAW (公開用)'!J28&amp;", "</f>
        <v xml:space="preserve">, **英語を日常的に使わない**, </v>
      </c>
      <c r="M388" s="8" t="s">
        <v>2335</v>
      </c>
      <c r="N38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88" s="8" t="str">
        <f>", "&amp;'RAW (公開用)'!L28&amp;", "</f>
        <v xml:space="preserve">, わたし, 私（わたし／わたくし）, 俺, わたくし, おれ, わし, （自分（たち）の名前）, </v>
      </c>
      <c r="P388" s="18" t="s">
        <v>2415</v>
      </c>
      <c r="Q38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私（わたし／わたくし）, 俺, わたくし, おれ, わし, （自分（たち）の名前）,  , あだ名, ●●ちゃん,</v>
      </c>
      <c r="R388" s="8" t="str">
        <f>", "&amp;'RAW (公開用)'!N388&amp;", "</f>
        <v xml:space="preserve">, （三人称で言及してほしくない）, </v>
      </c>
      <c r="S388" s="8" t="s">
        <v>2335</v>
      </c>
      <c r="T38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88" s="8" t="str">
        <f>", "&amp;'RAW (公開用)'!P28&amp;", "</f>
        <v xml:space="preserve">, **英語を日常的に使わない**, </v>
      </c>
      <c r="V388" s="8" t="s">
        <v>455</v>
      </c>
      <c r="W388" s="8" t="str">
        <f>", "&amp;'RAW (公開用)'!R28&amp;", "</f>
        <v xml:space="preserve">, 医療における無理解, 社会の中でいないことにされる, カムアウトを強制される, 職場や学校における無理解, カムアウトできない, 家族／かぞくからの無理解, 必要なジェンダーケアへアクセスできない, アウティング（勝手にジェンダーや指向についての情報を明かされること）, </v>
      </c>
      <c r="X388" s="8"/>
      <c r="Y38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社会の中でいないことにされる, カムアウトを強制される, 職場や学校における無理解, カムアウトできない, 家族／かぞくからの無理解, 必要なジェンダーケアへアクセスできない, アウティング（勝手にジェンダーや指向についての情報を明かされること）,  </v>
      </c>
      <c r="Z388" s="8" t="s">
        <v>455</v>
      </c>
      <c r="AA388" s="8" t="str">
        <f>", "&amp;'RAW (公開用)'!U28&amp;", "</f>
        <v xml:space="preserve">, （上記のどれも希望していない）, </v>
      </c>
      <c r="AB388" s="8" t="str">
        <f>", "&amp;'RAW (公開用)'!V28&amp;", "</f>
        <v xml:space="preserve">, （上記のどれも経験していない）, </v>
      </c>
      <c r="AC388" s="8"/>
      <c r="AD38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8" s="8" t="s">
        <v>459</v>
      </c>
      <c r="AF388" s="8" t="s">
        <v>457</v>
      </c>
      <c r="AG388" s="8" t="s">
        <v>458</v>
      </c>
      <c r="AH388" s="8"/>
      <c r="AI388" s="8">
        <f>((LEN(G388)-LEN(SUBSTITUTE(G388,", ","")))/LEN(", ")-1-(LEN(G388)-LEN(SUBSTITUTE(G388,"必ず","")))/LEN("必ず"))+(LEN(H388)-LEN(SUBSTITUTE(H388,",","")))</f>
        <v>6</v>
      </c>
      <c r="AJ388" s="8"/>
      <c r="AK388" s="8"/>
      <c r="AL388" s="8"/>
      <c r="AM388" s="8"/>
      <c r="AN388" s="8"/>
    </row>
    <row r="389" spans="1:40" ht="25.5" hidden="1">
      <c r="A389" s="8">
        <v>389</v>
      </c>
      <c r="B389" s="11">
        <v>44992.49910288195</v>
      </c>
      <c r="C389" s="8" t="s">
        <v>452</v>
      </c>
      <c r="D389" s="8" t="s">
        <v>453</v>
      </c>
      <c r="E389" s="8" t="s">
        <v>452</v>
      </c>
      <c r="F389" s="8" t="s">
        <v>454</v>
      </c>
      <c r="G389" s="8" t="str">
        <f>", "&amp;'RAW (公開用)'!F390&amp;", "</f>
        <v xml:space="preserve">, クエスチョニング, </v>
      </c>
      <c r="H389" s="8"/>
      <c r="I389" s="8" t="str">
        <f>", "&amp;'RAW (公開用)'!H390&amp;", "</f>
        <v xml:space="preserve">, くん／君, （敬称なし）, （クエスチョニング、模索中、または不明）, </v>
      </c>
      <c r="J389" s="8" t="s">
        <v>2335</v>
      </c>
      <c r="K38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（敬称なし）, （クエスチョニング、模索中、または不明）,  , </v>
      </c>
      <c r="L389" s="8" t="str">
        <f>", "&amp;'RAW (公開用)'!J390&amp;", "</f>
        <v xml:space="preserve">, **英語を日常的に使わない**, （クエスチョニング、模索中、または不明）, </v>
      </c>
      <c r="M389" s="8" t="s">
        <v>2335</v>
      </c>
      <c r="N38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389" s="8" t="str">
        <f>", "&amp;'RAW (公開用)'!L390&amp;", "</f>
        <v xml:space="preserve">, 私（わたし／わたくし）, </v>
      </c>
      <c r="P389" s="8" t="s">
        <v>2335</v>
      </c>
      <c r="Q38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89" s="8" t="str">
        <f>", "&amp;'RAW (公開用)'!N389&amp;", "</f>
        <v xml:space="preserve">, （自分（たち）の名前）, 彼, </v>
      </c>
      <c r="S389" s="8" t="s">
        <v>2335</v>
      </c>
      <c r="T38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389" s="8" t="str">
        <f>", "&amp;'RAW (公開用)'!P390&amp;", "</f>
        <v xml:space="preserve">, （クエスチョニング、模索中、または不明）, **英語を日常的に使わない**, </v>
      </c>
      <c r="V389" s="8" t="s">
        <v>455</v>
      </c>
      <c r="W389" s="8" t="str">
        <f>", "&amp;'RAW (公開用)'!R390&amp;", "</f>
        <v xml:space="preserve">, トイレなどのジェンダー化されたスペースの使用, デッドネーミング（誤った名前で呼ばれること）, ミスジェンダリング（誤った性別として扱うこと）, </v>
      </c>
      <c r="X389" s="8"/>
      <c r="Y38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デッドネーミング（誤った名前で呼ばれること）, ミスジェンダリング（誤った性別として扱うこと）,  </v>
      </c>
      <c r="Z389" s="8" t="s">
        <v>455</v>
      </c>
      <c r="AA389" s="8" t="str">
        <f>", "&amp;'RAW (公開用)'!U390&amp;", "</f>
        <v xml:space="preserve">, （上記のどれも希望していない）, </v>
      </c>
      <c r="AB389" s="8" t="str">
        <f>", "&amp;'RAW (公開用)'!V390&amp;", "</f>
        <v xml:space="preserve">, （上記のどれも経験していない）, </v>
      </c>
      <c r="AC389" s="8"/>
      <c r="AD389"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89" s="8" t="s">
        <v>466</v>
      </c>
      <c r="AF389" s="8" t="s">
        <v>457</v>
      </c>
      <c r="AG389" s="8" t="s">
        <v>458</v>
      </c>
      <c r="AH389" s="8"/>
      <c r="AI389" s="8">
        <f>(LEN(G389)-LEN(SUBSTITUTE(G389,", ","")))/LEN(", ")-1-(LEN(G389)-LEN(SUBSTITUTE(G389,"必ず","")))/LEN("必ず")</f>
        <v>1</v>
      </c>
      <c r="AJ389" s="8"/>
      <c r="AK389" s="8"/>
      <c r="AL389" s="8"/>
      <c r="AM389" s="8"/>
      <c r="AN389" s="8"/>
    </row>
    <row r="390" spans="1:40" ht="38.25" hidden="1">
      <c r="A390" s="8">
        <v>390</v>
      </c>
      <c r="B390" s="11">
        <v>44992.51604913194</v>
      </c>
      <c r="C390" s="8" t="s">
        <v>452</v>
      </c>
      <c r="D390" s="8" t="s">
        <v>453</v>
      </c>
      <c r="E390" s="8" t="s">
        <v>452</v>
      </c>
      <c r="F390" s="8" t="s">
        <v>454</v>
      </c>
      <c r="G390" s="8" t="str">
        <f>", "&amp;'RAW (公開用)'!F391&amp;", "</f>
        <v xml:space="preserve">, X, 不定性, **必ず選んでください**, </v>
      </c>
      <c r="H390" s="8"/>
      <c r="I390" s="8" t="str">
        <f>", "&amp;'RAW (公開用)'!H391&amp;", "</f>
        <v xml:space="preserve">, （クエスチョニング、模索中、または不明）, </v>
      </c>
      <c r="J390" s="8" t="s">
        <v>2335</v>
      </c>
      <c r="K39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390" s="8" t="str">
        <f>", "&amp;'RAW (公開用)'!J391&amp;", "</f>
        <v xml:space="preserve">, **英語を日常的に使わない**, </v>
      </c>
      <c r="M390" s="8" t="s">
        <v>2335</v>
      </c>
      <c r="N39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0" s="8" t="str">
        <f>", "&amp;'RAW (公開用)'!L391&amp;", "</f>
        <v xml:space="preserve">, （自分（たち）の名前）, </v>
      </c>
      <c r="P390" s="8" t="s">
        <v>2335</v>
      </c>
      <c r="Q39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（自分（たち）の名前）,  , </v>
      </c>
      <c r="R390" s="8" t="str">
        <f>", "&amp;'RAW (公開用)'!N390&amp;", "</f>
        <v xml:space="preserve">, （三人称で言及してほしくない）, （自分（たち）の名前）, </v>
      </c>
      <c r="S390" s="8" t="s">
        <v>2335</v>
      </c>
      <c r="T39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390" s="8" t="str">
        <f>", "&amp;'RAW (公開用)'!P391&amp;", "</f>
        <v xml:space="preserve">, **英語を日常的に使わない**, </v>
      </c>
      <c r="V390" s="8" t="s">
        <v>455</v>
      </c>
      <c r="W390" s="8" t="str">
        <f>", "&amp;'RAW (公開用)'!R391&amp;", "</f>
        <v xml:space="preserve">, 必要なジェンダーケアへアクセスできない, 家族／かぞくからの無理解, 社会の中でいないことにされる, 職場や学校における無理解, </v>
      </c>
      <c r="X390" s="8" t="s">
        <v>235</v>
      </c>
      <c r="Y39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家族／かぞくからの無理解, 社会の中でいないことにされる, 職場や学校における無理解,  一部の過剰な支援要求により、誤解が生じていると感じる</v>
      </c>
      <c r="Z390" s="8" t="s">
        <v>455</v>
      </c>
      <c r="AA390" s="8" t="str">
        <f>", "&amp;'RAW (公開用)'!U391&amp;", "</f>
        <v xml:space="preserve">, （上記のどれも希望していない）, </v>
      </c>
      <c r="AB390" s="8" t="str">
        <f>", "&amp;'RAW (公開用)'!V391&amp;", "</f>
        <v xml:space="preserve">, （上記のどれも経験していない）, </v>
      </c>
      <c r="AC390" s="8"/>
      <c r="AD39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90" s="8" t="s">
        <v>462</v>
      </c>
      <c r="AF390" s="8" t="s">
        <v>457</v>
      </c>
      <c r="AG390" s="8" t="s">
        <v>458</v>
      </c>
      <c r="AH390" s="8"/>
      <c r="AI390" s="8">
        <f>(LEN(G390)-LEN(SUBSTITUTE(G390,", ","")))/LEN(", ")-1-(LEN(G390)-LEN(SUBSTITUTE(G390,"必ず","")))/LEN("必ず")</f>
        <v>2</v>
      </c>
      <c r="AJ390" s="8"/>
      <c r="AK390" s="8"/>
      <c r="AL390" s="8"/>
      <c r="AM390" s="8"/>
      <c r="AN390" s="8"/>
    </row>
    <row r="391" spans="1:40" ht="51" hidden="1">
      <c r="A391" s="8">
        <v>19</v>
      </c>
      <c r="B391" s="11">
        <v>44969.810067395832</v>
      </c>
      <c r="C391" s="8" t="s">
        <v>452</v>
      </c>
      <c r="D391" s="8" t="s">
        <v>453</v>
      </c>
      <c r="E391" s="8" t="s">
        <v>452</v>
      </c>
      <c r="F391" s="8" t="s">
        <v>454</v>
      </c>
      <c r="G391" s="8" t="str">
        <f>", "&amp;'RAW (公開用)'!F20&amp;", "</f>
        <v xml:space="preserve">, クィア／Queer, **必ず選んでください**, ノンバイナリー, トランスジェンダー, </v>
      </c>
      <c r="H391" s="8"/>
      <c r="I391" s="8" t="str">
        <f>", "&amp;'RAW (公開用)'!H20&amp;", "</f>
        <v xml:space="preserve">, さん, </v>
      </c>
      <c r="J391" s="8" t="s">
        <v>2335</v>
      </c>
      <c r="K39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91" s="8" t="str">
        <f>", "&amp;'RAW (公開用)'!J20&amp;", "</f>
        <v xml:space="preserve">, **英語を日常的に使わない**, </v>
      </c>
      <c r="M391" s="8" t="s">
        <v>2335</v>
      </c>
      <c r="N39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1" s="8" t="str">
        <f>", "&amp;'RAW (公開用)'!L20&amp;", "</f>
        <v xml:space="preserve">, 俺, あたし, 私（わたし／わたくし）, わたし, わたくし, 自分, おれ, （時とともに変わる）, </v>
      </c>
      <c r="P391" s="18" t="s">
        <v>2416</v>
      </c>
      <c r="Q39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あたし, 私（わたし／わたくし）, わたし, わたくし, 自分, おれ, （時とともに変わる）,  , アタクシ, あたし,</v>
      </c>
      <c r="R391" s="8" t="str">
        <f>", "&amp;'RAW (公開用)'!N391&amp;", "</f>
        <v xml:space="preserve">, （三人称で言及してほしくない）, </v>
      </c>
      <c r="S391" s="73" t="s">
        <v>2372</v>
      </c>
      <c r="T39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(名前)+さん,</v>
      </c>
      <c r="U391" s="8" t="str">
        <f>", "&amp;'RAW (公開用)'!P20&amp;", "</f>
        <v xml:space="preserve">, **英語を日常的に使わない**, </v>
      </c>
      <c r="V391" s="8" t="s">
        <v>455</v>
      </c>
      <c r="W391" s="8" t="str">
        <f>", "&amp;'RAW (公開用)'!R20&amp;", "</f>
        <v xml:space="preserve">, LGBTQ+運動からの排斥, トイレなどのジェンダー化されたスペースの使用, 性暴力, ミスジェンダリング（誤った性別として扱うこと）, カムアウトを強制される, 医療における無理解, 社会の中でいないことにされる, アウティング（勝手にジェンダーや指向についての情報を明かされること）, </v>
      </c>
      <c r="X391" s="8"/>
      <c r="Y39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トイレなどのジェンダー化されたスペースの使用, 性暴力, ミスジェンダリング（誤った性別として扱うこと）, カムアウトを強制される, 医療における無理解, 社会の中でいないことにされる, アウティング（勝手にジェンダーや指向についての情報を明かされること）,  </v>
      </c>
      <c r="Z391" s="8" t="s">
        <v>455</v>
      </c>
      <c r="AA391" s="8" t="str">
        <f>", "&amp;'RAW (公開用)'!U20&amp;", "</f>
        <v xml:space="preserve">, ジェンダークリニックの受診, ホルモン補充療法（HRT）, 胸部の手術, </v>
      </c>
      <c r="AB391" s="8" t="str">
        <f>", "&amp;'RAW (公開用)'!V20&amp;", "</f>
        <v xml:space="preserve">, （上記のどれも経験していない）, </v>
      </c>
      <c r="AC391" s="8" t="s">
        <v>324</v>
      </c>
      <c r="AD391"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胸を取るのにかかるお金と、痛みに弱い事　ボディイメージ的には胸は取りたい　家族があまり良い顔をしないので、家族が亡くなってからと思ってる</v>
      </c>
      <c r="AE391" s="8" t="s">
        <v>456</v>
      </c>
      <c r="AF391" s="8" t="s">
        <v>457</v>
      </c>
      <c r="AG391" s="8" t="s">
        <v>458</v>
      </c>
      <c r="AH391" s="8"/>
      <c r="AI391" s="8">
        <f>((LEN(G391)-LEN(SUBSTITUTE(G391,", ","")))/LEN(", ")-1-(LEN(G391)-LEN(SUBSTITUTE(G391,"必ず","")))/LEN("必ず"))+(LEN(H391)-LEN(SUBSTITUTE(H391,",","")))</f>
        <v>3</v>
      </c>
      <c r="AJ391" s="8"/>
      <c r="AK391" s="8"/>
      <c r="AL391" s="8"/>
      <c r="AM391" s="8"/>
      <c r="AN391" s="8"/>
    </row>
    <row r="392" spans="1:40" ht="12.75" hidden="1">
      <c r="A392" s="8">
        <v>392</v>
      </c>
      <c r="B392" s="11">
        <v>44992.54003668981</v>
      </c>
      <c r="C392" s="8" t="s">
        <v>452</v>
      </c>
      <c r="D392" s="8" t="s">
        <v>453</v>
      </c>
      <c r="E392" s="8" t="s">
        <v>452</v>
      </c>
      <c r="F392" s="8" t="s">
        <v>454</v>
      </c>
      <c r="G392" s="8" t="str">
        <f>", "&amp;'RAW (公開用)'!F393&amp;", "</f>
        <v xml:space="preserve">, Xジェンダー, X, 不定性, </v>
      </c>
      <c r="H392" s="8"/>
      <c r="I392" s="8" t="str">
        <f>", "&amp;'RAW (公開用)'!H393&amp;", "</f>
        <v xml:space="preserve">, さん, （敬称なし）, ちゃん, </v>
      </c>
      <c r="J392" s="8" t="s">
        <v>2335</v>
      </c>
      <c r="K39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ちゃん,  , </v>
      </c>
      <c r="L392" s="8" t="str">
        <f>", "&amp;'RAW (公開用)'!J393&amp;", "</f>
        <v xml:space="preserve">, **英語を日常的に使わない**, </v>
      </c>
      <c r="M392" s="8" t="s">
        <v>2335</v>
      </c>
      <c r="N39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2" s="8" t="str">
        <f>", "&amp;'RAW (公開用)'!L393&amp;", "</f>
        <v xml:space="preserve">, 私（わたし／わたくし）, うち, 自分, </v>
      </c>
      <c r="P392" s="8" t="s">
        <v>2335</v>
      </c>
      <c r="Q39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うち, 自分,  , </v>
      </c>
      <c r="R392" s="8" t="s">
        <v>2174</v>
      </c>
      <c r="S392" s="8" t="s">
        <v>2335</v>
      </c>
      <c r="T39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392" s="8" t="str">
        <f>", "&amp;'RAW (公開用)'!P393&amp;", "</f>
        <v xml:space="preserve">, **英語を日常的に使わない**, </v>
      </c>
      <c r="V392" s="8" t="s">
        <v>455</v>
      </c>
      <c r="W392" s="8" t="str">
        <f>", "&amp;'RAW (公開用)'!R393&amp;", "</f>
        <v xml:space="preserve">, 家族／かぞくからの無理解, 職場や学校における無理解, カムアウトできない, </v>
      </c>
      <c r="X392" s="8"/>
      <c r="Y39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職場や学校における無理解, カムアウトできない,  </v>
      </c>
      <c r="Z392" s="8" t="s">
        <v>455</v>
      </c>
      <c r="AA392" s="8" t="str">
        <f>", "&amp;'RAW (公開用)'!U393&amp;", "</f>
        <v xml:space="preserve">, （上記のどれも希望していない）, </v>
      </c>
      <c r="AB392" s="8" t="str">
        <f>", "&amp;'RAW (公開用)'!V393&amp;", "</f>
        <v xml:space="preserve">, （上記のどれも経験していない）, </v>
      </c>
      <c r="AC392" s="8"/>
      <c r="AD39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92" s="8" t="s">
        <v>462</v>
      </c>
      <c r="AF392" s="8" t="s">
        <v>457</v>
      </c>
      <c r="AG392" s="8" t="s">
        <v>458</v>
      </c>
      <c r="AH392" s="8"/>
      <c r="AI392" s="8">
        <f t="shared" ref="AI392:AI401" si="17">(LEN(G392)-LEN(SUBSTITUTE(G392,", ","")))/LEN(", ")-1-(LEN(G392)-LEN(SUBSTITUTE(G392,"必ず","")))/LEN("必ず")</f>
        <v>3</v>
      </c>
      <c r="AJ392" s="8"/>
      <c r="AK392" s="8"/>
      <c r="AL392" s="8"/>
      <c r="AM392" s="8"/>
      <c r="AN392" s="8"/>
    </row>
    <row r="393" spans="1:40" ht="63.75" hidden="1">
      <c r="A393" s="8">
        <v>393</v>
      </c>
      <c r="B393" s="11">
        <v>44992.54483702546</v>
      </c>
      <c r="C393" s="8" t="s">
        <v>452</v>
      </c>
      <c r="D393" s="8" t="s">
        <v>453</v>
      </c>
      <c r="E393" s="8" t="s">
        <v>452</v>
      </c>
      <c r="F393" s="8" t="s">
        <v>454</v>
      </c>
      <c r="G393" s="8" t="str">
        <f>", "&amp;'RAW (公開用)'!F394&amp;", "</f>
        <v xml:space="preserve">, 無し, クィア／Queer, 無性, ニュートラル, 不定性, ノンバイナリー, 不明／わからない, ノンバイナリー女性, Aジェンダー／エイジェンダー／アジェンダー／agender, </v>
      </c>
      <c r="H393" s="8"/>
      <c r="I393" s="8" t="str">
        <f>", "&amp;'RAW (公開用)'!H394&amp;", "</f>
        <v xml:space="preserve">, （クエスチョニング、模索中、または不明）, （敬称なし）, （時とともに変わる）, （any／問わない／どれでもよい）, さん, </v>
      </c>
      <c r="J393" s="8" t="s">
        <v>2335</v>
      </c>
      <c r="K39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（敬称なし）, （時とともに変わる）, （any／問わない／どれでもよい）, さん,  , </v>
      </c>
      <c r="L393" s="8" t="str">
        <f>", "&amp;'RAW (公開用)'!J394&amp;", "</f>
        <v xml:space="preserve">, Ms., </v>
      </c>
      <c r="M393" s="8" t="s">
        <v>2335</v>
      </c>
      <c r="N39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 </v>
      </c>
      <c r="O393" s="8" t="str">
        <f>", "&amp;'RAW (公開用)'!L394&amp;", "</f>
        <v xml:space="preserve">, （時とともに変わる）, わたし, ぼく, おれ, （any／問わない／どれでもよい）, 自分, 僕, 俺, 私（わたし／わたくし）, </v>
      </c>
      <c r="P393" s="8" t="s">
        <v>2335</v>
      </c>
      <c r="Q39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わたし, ぼく, おれ, （any／問わない／どれでもよい）, 自分, 僕, 俺, 私（わたし／わたくし）,  , </v>
      </c>
      <c r="R393" s="8" t="str">
        <f>", "&amp;'RAW (公開用)'!N393&amp;", "</f>
        <v xml:space="preserve">, 彼女, （自分（たち）の名前）, </v>
      </c>
      <c r="S393" s="8" t="s">
        <v>2335</v>
      </c>
      <c r="T39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393" s="8" t="str">
        <f>", "&amp;'RAW (公開用)'!P394&amp;", "</f>
        <v xml:space="preserve">, **英語を日常的に使わない**, </v>
      </c>
      <c r="V393" s="8" t="s">
        <v>455</v>
      </c>
      <c r="W393" s="8" t="str">
        <f>", "&amp;'RAW (公開用)'!R394&amp;", "</f>
        <v xml:space="preserve">, カムアウトを強制される, 医療における無理解, 家族／かぞくからの無理解, 性暴力, ミスジェンダリング（誤った性別として扱うこと）, 職場や学校における無理解, 社会の中でいないことにされる, LGBTQ+運動からの排斥, 必要なジェンダーケアへアクセスできない, アウティング（勝手にジェンダーや指向についての情報を明かされること）, カムアウトできない, </v>
      </c>
      <c r="X393" s="8"/>
      <c r="Y39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医療における無理解, 家族／かぞくからの無理解, 性暴力, ミスジェンダリング（誤った性別として扱うこと）, 職場や学校における無理解, 社会の中でいないことにされる, LGBTQ+運動からの排斥, 必要なジェンダーケアへアクセスできない, アウティング（勝手にジェンダーや指向についての情報を明かされること）, カムアウトできない,  </v>
      </c>
      <c r="Z393" s="8" t="s">
        <v>455</v>
      </c>
      <c r="AA393" s="8" t="str">
        <f>", "&amp;'RAW (公開用)'!U394&amp;", "</f>
        <v xml:space="preserve">, （上記のどれも希望していない）, </v>
      </c>
      <c r="AB393" s="8" t="str">
        <f>", "&amp;'RAW (公開用)'!V394&amp;", "</f>
        <v xml:space="preserve">, （上記のどれも経験していない）, </v>
      </c>
      <c r="AC393" s="8"/>
      <c r="AD39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93" s="8" t="s">
        <v>456</v>
      </c>
      <c r="AF393" s="8" t="s">
        <v>457</v>
      </c>
      <c r="AG393" s="8" t="s">
        <v>458</v>
      </c>
      <c r="AH393" s="8"/>
      <c r="AI393" s="8">
        <f t="shared" si="17"/>
        <v>9</v>
      </c>
      <c r="AJ393" s="8"/>
      <c r="AK393" s="8"/>
      <c r="AL393" s="8"/>
      <c r="AM393" s="8"/>
      <c r="AN393" s="8"/>
    </row>
    <row r="394" spans="1:40" ht="38.25" hidden="1">
      <c r="A394" s="8">
        <v>394</v>
      </c>
      <c r="B394" s="11">
        <v>44992.565780960649</v>
      </c>
      <c r="C394" s="8" t="s">
        <v>452</v>
      </c>
      <c r="D394" s="8" t="s">
        <v>453</v>
      </c>
      <c r="E394" s="8" t="s">
        <v>452</v>
      </c>
      <c r="F394" s="8" t="s">
        <v>454</v>
      </c>
      <c r="G394" s="8" t="str">
        <f>", "&amp;'RAW (公開用)'!F395&amp;", "</f>
        <v xml:space="preserve">, （ジェンダー・）フルイド／（ジェンダー・）フリュイド／（ジェンダー・）フルイッド, トランスジェンダー, Xジェンダー, ノンバイナリー, </v>
      </c>
      <c r="H394" s="8"/>
      <c r="I394" s="8" t="str">
        <f>", "&amp;'RAW (公開用)'!H395&amp;", "</f>
        <v xml:space="preserve">, さん, </v>
      </c>
      <c r="J394" s="8" t="s">
        <v>2335</v>
      </c>
      <c r="K39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94" s="8" t="str">
        <f>", "&amp;'RAW (公開用)'!J395&amp;", "</f>
        <v xml:space="preserve">, **英語を日常的に使わない**, </v>
      </c>
      <c r="M394" s="8" t="s">
        <v>2335</v>
      </c>
      <c r="N39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4" s="8" t="str">
        <f>", "&amp;'RAW (公開用)'!L395&amp;", "</f>
        <v xml:space="preserve">, （時とともに変わる）, 僕, 俺, ぼく, （自分（たち）の名前）, わたし, </v>
      </c>
      <c r="P394" s="8" t="s">
        <v>2335</v>
      </c>
      <c r="Q39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僕, 俺, ぼく, （自分（たち）の名前）, わたし,  , </v>
      </c>
      <c r="R394" s="8" t="str">
        <f>", "&amp;'RAW (公開用)'!N394&amp;", "</f>
        <v xml:space="preserve">, （三人称で言及してほしくない）, </v>
      </c>
      <c r="S394" s="8" t="s">
        <v>2335</v>
      </c>
      <c r="T39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94" s="8" t="str">
        <f>", "&amp;'RAW (公開用)'!P395&amp;", "</f>
        <v xml:space="preserve">, **英語を日常的に使わない**, </v>
      </c>
      <c r="V394" s="8" t="s">
        <v>455</v>
      </c>
      <c r="W394" s="8" t="str">
        <f>", "&amp;'RAW (公開用)'!R395&amp;", "</f>
        <v xml:space="preserve">, アウティング（勝手にジェンダーや指向についての情報を明かされること）, 家族／かぞくからの無理解, ミスジェンダリング（誤った性別として扱うこと）, 医療における無理解, トイレなどのジェンダー化されたスペースの使用, </v>
      </c>
      <c r="X394" s="8"/>
      <c r="Y39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アウティング（勝手にジェンダーや指向についての情報を明かされること）, 家族／かぞくからの無理解, ミスジェンダリング（誤った性別として扱うこと）, 医療における無理解, トイレなどのジェンダー化されたスペースの使用,  </v>
      </c>
      <c r="Z394" s="8" t="s">
        <v>455</v>
      </c>
      <c r="AA394" s="8" t="str">
        <f>", "&amp;'RAW (公開用)'!U395&amp;", "</f>
        <v xml:space="preserve">, 戸籍名の変更, 戸籍上の性別の変更, ジェンダークリニックの受診, ホルモン補充療法（HRT）, 性器にかかわる手術, </v>
      </c>
      <c r="AB394" s="8" t="str">
        <f>", "&amp;'RAW (公開用)'!V395&amp;", "</f>
        <v xml:space="preserve">, 戸籍名の変更, 戸籍上の性別の変更, ジェンダークリニックの受診, ホルモン補充療法（HRT）, 性器にかかわる手術, </v>
      </c>
      <c r="AC394" s="8" t="s">
        <v>382</v>
      </c>
      <c r="AD394" s="8" t="str">
        <f>テーブル1[[#This Row],[以下のうち、経験したものをすべて選んでください]]&amp;" "&amp;テーブル1[[#This Row],[社会的、法的、医学的トランジションについて、困難なこと等がありましたらここにお書きください]]</f>
        <v>, 戸籍名の変更, 戸籍上の性別の変更, ジェンダークリニックの受診, ホルモン補充療法（HRT）, 性器にかかわる手術,  保険が適用されず高額になる</v>
      </c>
      <c r="AE394" s="8" t="s">
        <v>456</v>
      </c>
      <c r="AF394" s="8" t="s">
        <v>457</v>
      </c>
      <c r="AG394" s="8" t="s">
        <v>458</v>
      </c>
      <c r="AH394" s="8"/>
      <c r="AI394" s="8">
        <f t="shared" si="17"/>
        <v>4</v>
      </c>
      <c r="AJ394" s="8"/>
      <c r="AK394" s="8"/>
      <c r="AL394" s="8"/>
      <c r="AM394" s="8"/>
      <c r="AN394" s="8"/>
    </row>
    <row r="395" spans="1:40" ht="38.25" hidden="1">
      <c r="A395" s="8">
        <v>395</v>
      </c>
      <c r="B395" s="11">
        <v>44992.578908020834</v>
      </c>
      <c r="C395" s="8" t="s">
        <v>452</v>
      </c>
      <c r="D395" s="8" t="s">
        <v>453</v>
      </c>
      <c r="E395" s="8" t="s">
        <v>452</v>
      </c>
      <c r="F395" s="8" t="s">
        <v>454</v>
      </c>
      <c r="G395" s="8" t="str">
        <f>", "&amp;'RAW (公開用)'!F396&amp;", "</f>
        <v xml:space="preserve">, ノンバイナリー, </v>
      </c>
      <c r="H395" s="8"/>
      <c r="I395" s="8" t="str">
        <f>", "&amp;'RAW (公開用)'!H396&amp;", "</f>
        <v xml:space="preserve">, さん, </v>
      </c>
      <c r="J395" s="8" t="s">
        <v>2335</v>
      </c>
      <c r="K39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95" s="8" t="str">
        <f>", "&amp;'RAW (公開用)'!J396&amp;", "</f>
        <v xml:space="preserve">, （敬称なし）, </v>
      </c>
      <c r="M395" s="8" t="s">
        <v>2335</v>
      </c>
      <c r="N39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395" s="8" t="str">
        <f>", "&amp;'RAW (公開用)'!L396&amp;", "</f>
        <v xml:space="preserve">, 私（わたし／わたくし）, </v>
      </c>
      <c r="P395" s="8" t="s">
        <v>2335</v>
      </c>
      <c r="Q39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395" s="8" t="str">
        <f>", "&amp;'RAW (公開用)'!N395&amp;", "</f>
        <v xml:space="preserve">, （三人称で言及してほしくない）, </v>
      </c>
      <c r="S395" s="8" t="s">
        <v>2335</v>
      </c>
      <c r="T39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95" s="8" t="str">
        <f>", "&amp;'RAW (公開用)'!P396&amp;", "</f>
        <v xml:space="preserve">, they/them/their/themself, </v>
      </c>
      <c r="V395" s="8" t="s">
        <v>455</v>
      </c>
      <c r="W395" s="8" t="str">
        <f>", "&amp;'RAW (公開用)'!R396&amp;", "</f>
        <v xml:space="preserve">, 医療における無理解, ミスジェンダリング（誤った性別として扱うこと）, 職場や学校における無理解, 家族／かぞくからの無理解, 必要なジェンダーケアへアクセスできない, 社会の中でいないことにされる, </v>
      </c>
      <c r="X395" s="8"/>
      <c r="Y39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医療における無理解, ミスジェンダリング（誤った性別として扱うこと）, 職場や学校における無理解, 家族／かぞくからの無理解, 必要なジェンダーケアへアクセスできない, 社会の中でいないことにされる,  </v>
      </c>
      <c r="Z395" s="8" t="s">
        <v>455</v>
      </c>
      <c r="AA395" s="8" t="str">
        <f>", "&amp;'RAW (公開用)'!U396&amp;", "</f>
        <v xml:space="preserve">, （上記のどれも希望していない）, </v>
      </c>
      <c r="AB395" s="8" t="str">
        <f>", "&amp;'RAW (公開用)'!V396&amp;", "</f>
        <v xml:space="preserve">, （上記のどれも経験していない）, </v>
      </c>
      <c r="AC395" s="8"/>
      <c r="AD39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95" s="8" t="s">
        <v>456</v>
      </c>
      <c r="AF395" s="8" t="s">
        <v>457</v>
      </c>
      <c r="AG395" s="8" t="s">
        <v>458</v>
      </c>
      <c r="AH395" s="8"/>
      <c r="AI395" s="8">
        <f t="shared" si="17"/>
        <v>1</v>
      </c>
      <c r="AJ395" s="8"/>
      <c r="AK395" s="8"/>
      <c r="AL395" s="8"/>
      <c r="AM395" s="8"/>
      <c r="AN395" s="8"/>
    </row>
    <row r="396" spans="1:40" ht="25.5" hidden="1">
      <c r="A396" s="8">
        <v>396</v>
      </c>
      <c r="B396" s="11">
        <v>44992.585362187499</v>
      </c>
      <c r="C396" s="8" t="s">
        <v>452</v>
      </c>
      <c r="D396" s="8" t="s">
        <v>453</v>
      </c>
      <c r="E396" s="8" t="s">
        <v>452</v>
      </c>
      <c r="F396" s="8" t="s">
        <v>454</v>
      </c>
      <c r="G396" s="8" t="str">
        <f>", "&amp;'RAW (公開用)'!F397&amp;", "</f>
        <v xml:space="preserve">, ノンバイナリー, 男性／man, 少年, トランス男性, トランスジェンダー, 無性, ノンバイナリー男性, </v>
      </c>
      <c r="H396" s="8"/>
      <c r="I396" s="8" t="str">
        <f>", "&amp;'RAW (公開用)'!H397&amp;", "</f>
        <v xml:space="preserve">, （any／問わない／どれでもよい）, </v>
      </c>
      <c r="J396" s="8" t="s">
        <v>2335</v>
      </c>
      <c r="K39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96" s="8" t="str">
        <f>", "&amp;'RAW (公開用)'!J397&amp;", "</f>
        <v xml:space="preserve">, **英語を日常的に使わない**, </v>
      </c>
      <c r="M396" s="8" t="s">
        <v>2335</v>
      </c>
      <c r="N39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6" s="8" t="str">
        <f>", "&amp;'RAW (公開用)'!L397&amp;", "</f>
        <v xml:space="preserve">, 僕, 俺, 私（わたし／わたくし）, 自分, </v>
      </c>
      <c r="P396" s="8" t="s">
        <v>2335</v>
      </c>
      <c r="Q39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俺, 私（わたし／わたくし）, 自分,  , </v>
      </c>
      <c r="R396" s="8" t="str">
        <f>", "&amp;'RAW (公開用)'!N396&amp;", "</f>
        <v xml:space="preserve">, （自分（たち）の名前）, （三人称で言及してほしくない）, </v>
      </c>
      <c r="S396" s="8" t="s">
        <v>2335</v>
      </c>
      <c r="T39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396" s="8" t="str">
        <f>", "&amp;'RAW (公開用)'!P397&amp;", "</f>
        <v xml:space="preserve">, they/them/their/themself, he, **英語を日常的に使わない**, </v>
      </c>
      <c r="V396" s="8" t="s">
        <v>455</v>
      </c>
      <c r="W396" s="8" t="str">
        <f>", "&amp;'RAW (公開用)'!R397&amp;", "</f>
        <v xml:space="preserve">, 家族／かぞくからの無理解, ミスジェンダリング（誤った性別として扱うこと）, 社会の中でいないことにされる, </v>
      </c>
      <c r="X396" s="8"/>
      <c r="Y39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ミスジェンダリング（誤った性別として扱うこと）, 社会の中でいないことにされる,  </v>
      </c>
      <c r="Z396" s="8" t="s">
        <v>455</v>
      </c>
      <c r="AA396" s="8" t="str">
        <f>", "&amp;'RAW (公開用)'!U397&amp;", "</f>
        <v xml:space="preserve">, ジェンダークリニックの受診, 胸部の手術, </v>
      </c>
      <c r="AB396" s="8" t="str">
        <f>", "&amp;'RAW (公開用)'!V397&amp;", "</f>
        <v xml:space="preserve">, ジェンダークリニックの受診, 胸部の手術, </v>
      </c>
      <c r="AC396" s="8"/>
      <c r="AD396" s="8" t="str">
        <f>テーブル1[[#This Row],[以下のうち、経験したものをすべて選んでください]]&amp;" "&amp;テーブル1[[#This Row],[社会的、法的、医学的トランジションについて、困難なこと等がありましたらここにお書きください]]</f>
        <v xml:space="preserve">, ジェンダークリニックの受診, 胸部の手術,  </v>
      </c>
      <c r="AE396" s="8" t="s">
        <v>475</v>
      </c>
      <c r="AF396" s="8" t="s">
        <v>457</v>
      </c>
      <c r="AG396" s="8" t="s">
        <v>458</v>
      </c>
      <c r="AH396" s="8"/>
      <c r="AI396" s="8">
        <f t="shared" si="17"/>
        <v>7</v>
      </c>
      <c r="AJ396" s="8"/>
      <c r="AK396" s="8"/>
      <c r="AL396" s="8"/>
      <c r="AM396" s="8"/>
      <c r="AN396" s="8"/>
    </row>
    <row r="397" spans="1:40" ht="25.5" hidden="1">
      <c r="A397" s="8">
        <v>397</v>
      </c>
      <c r="B397" s="11">
        <v>44992.585612465278</v>
      </c>
      <c r="C397" s="8" t="s">
        <v>452</v>
      </c>
      <c r="D397" s="8" t="s">
        <v>453</v>
      </c>
      <c r="E397" s="8" t="s">
        <v>452</v>
      </c>
      <c r="F397" s="8" t="s">
        <v>454</v>
      </c>
      <c r="G397" s="8" t="str">
        <f>", "&amp;'RAW (公開用)'!F398&amp;", "</f>
        <v xml:space="preserve">, 無性, </v>
      </c>
      <c r="H397" s="8"/>
      <c r="I397" s="8" t="str">
        <f>", "&amp;'RAW (公開用)'!H398&amp;", "</f>
        <v xml:space="preserve">, （クエスチョニング、模索中、または不明）, </v>
      </c>
      <c r="J397" s="8" t="s">
        <v>2335</v>
      </c>
      <c r="K39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397" s="8" t="str">
        <f>", "&amp;'RAW (公開用)'!J398&amp;", "</f>
        <v xml:space="preserve">, **英語を日常的に使わない**, </v>
      </c>
      <c r="M397" s="8" t="s">
        <v>2335</v>
      </c>
      <c r="N39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7" s="8" t="str">
        <f>", "&amp;'RAW (公開用)'!L398&amp;", "</f>
        <v xml:space="preserve">, 自分, </v>
      </c>
      <c r="P397" s="8" t="s">
        <v>2335</v>
      </c>
      <c r="Q39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 </v>
      </c>
      <c r="R397" s="8" t="str">
        <f>", "&amp;'RAW (公開用)'!N397&amp;", "</f>
        <v xml:space="preserve">, 彼, </v>
      </c>
      <c r="S397" s="8" t="s">
        <v>2335</v>
      </c>
      <c r="T39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397" s="8" t="str">
        <f>", "&amp;'RAW (公開用)'!P398&amp;", "</f>
        <v xml:space="preserve">, **英語を日常的に使わない**, </v>
      </c>
      <c r="V397" s="8" t="s">
        <v>455</v>
      </c>
      <c r="W397" s="8" t="str">
        <f>", "&amp;'RAW (公開用)'!R398&amp;", "</f>
        <v xml:space="preserve">, デッドネーミング（誤った名前で呼ばれること）, 職場や学校における無理解, 性暴力, </v>
      </c>
      <c r="X397" s="8"/>
      <c r="Y39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職場や学校における無理解, 性暴力,  </v>
      </c>
      <c r="Z397" s="8" t="s">
        <v>455</v>
      </c>
      <c r="AA397" s="8" t="str">
        <f>", "&amp;'RAW (公開用)'!U398&amp;", "</f>
        <v xml:space="preserve">, （上記のどれも希望していない）, </v>
      </c>
      <c r="AB397" s="8" t="str">
        <f>", "&amp;'RAW (公開用)'!V398&amp;", "</f>
        <v xml:space="preserve">, （上記のどれも経験していない）, </v>
      </c>
      <c r="AC397" s="8"/>
      <c r="AD39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97" s="8" t="s">
        <v>475</v>
      </c>
      <c r="AF397" s="8" t="s">
        <v>457</v>
      </c>
      <c r="AG397" s="8" t="s">
        <v>458</v>
      </c>
      <c r="AH397" s="8"/>
      <c r="AI397" s="8">
        <f t="shared" si="17"/>
        <v>1</v>
      </c>
      <c r="AJ397" s="8"/>
      <c r="AK397" s="8"/>
      <c r="AL397" s="8"/>
      <c r="AM397" s="8"/>
      <c r="AN397" s="8"/>
    </row>
    <row r="398" spans="1:40" ht="12.75" hidden="1">
      <c r="A398" s="8">
        <v>398</v>
      </c>
      <c r="B398" s="11">
        <v>44992.605078437497</v>
      </c>
      <c r="C398" s="8" t="s">
        <v>452</v>
      </c>
      <c r="D398" s="8" t="s">
        <v>453</v>
      </c>
      <c r="E398" s="8" t="s">
        <v>452</v>
      </c>
      <c r="F398" s="8" t="s">
        <v>454</v>
      </c>
      <c r="G398" s="8" t="str">
        <f>", "&amp;'RAW (公開用)'!F399&amp;", "</f>
        <v xml:space="preserve">, 中性, 不定性, ジェンダーレス, Xジェンダー, 両性, 無性, </v>
      </c>
      <c r="H398" s="8"/>
      <c r="I398" s="8" t="str">
        <f>", "&amp;'RAW (公開用)'!H399&amp;", "</f>
        <v xml:space="preserve">, （any／問わない／どれでもよい）, </v>
      </c>
      <c r="J398" s="8" t="s">
        <v>2335</v>
      </c>
      <c r="K39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398" s="8" t="str">
        <f>", "&amp;'RAW (公開用)'!J399&amp;", "</f>
        <v xml:space="preserve">, **英語を日常的に使わない**, </v>
      </c>
      <c r="M398" s="8" t="s">
        <v>2335</v>
      </c>
      <c r="N39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398" s="8" t="str">
        <f>", "&amp;'RAW (公開用)'!L399&amp;", "</f>
        <v xml:space="preserve">, 私（わたし／わたくし）, うち, </v>
      </c>
      <c r="P398" s="8" t="s">
        <v>2335</v>
      </c>
      <c r="Q39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うち,  , </v>
      </c>
      <c r="R398" s="8" t="str">
        <f>", "&amp;'RAW (公開用)'!N398&amp;", "</f>
        <v xml:space="preserve">, （三人称で言及してほしくない）, </v>
      </c>
      <c r="S398" s="8" t="s">
        <v>2335</v>
      </c>
      <c r="T39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398" s="8" t="str">
        <f>", "&amp;'RAW (公開用)'!P399&amp;", "</f>
        <v xml:space="preserve">, **英語を日常的に使わない**, </v>
      </c>
      <c r="V398" s="8" t="s">
        <v>455</v>
      </c>
      <c r="W398" s="8" t="str">
        <f>", "&amp;'RAW (公開用)'!R399&amp;", "</f>
        <v xml:space="preserve">, 必要なジェンダーケアへアクセスできない, カムアウトできない, </v>
      </c>
      <c r="X398" s="8"/>
      <c r="Y39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カムアウトできない,  </v>
      </c>
      <c r="Z398" s="8" t="s">
        <v>455</v>
      </c>
      <c r="AA398" s="8" t="str">
        <f>", "&amp;'RAW (公開用)'!U399&amp;", "</f>
        <v xml:space="preserve">, ジェンダークリニックの受診, （上記のどれも希望していない）, </v>
      </c>
      <c r="AB398" s="8" t="str">
        <f>", "&amp;'RAW (公開用)'!V399&amp;", "</f>
        <v xml:space="preserve">, （上記のどれも経験していない）, </v>
      </c>
      <c r="AC398" s="8"/>
      <c r="AD39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398" s="8" t="s">
        <v>456</v>
      </c>
      <c r="AF398" s="8" t="s">
        <v>457</v>
      </c>
      <c r="AG398" s="8" t="s">
        <v>458</v>
      </c>
      <c r="AH398" s="8"/>
      <c r="AI398" s="8">
        <f t="shared" si="17"/>
        <v>6</v>
      </c>
      <c r="AJ398" s="8"/>
      <c r="AK398" s="8"/>
      <c r="AL398" s="8"/>
      <c r="AM398" s="8"/>
      <c r="AN398" s="8"/>
    </row>
    <row r="399" spans="1:40" ht="51" hidden="1">
      <c r="A399" s="8">
        <v>399</v>
      </c>
      <c r="B399" s="11">
        <v>44992.637253576388</v>
      </c>
      <c r="C399" s="8" t="s">
        <v>452</v>
      </c>
      <c r="D399" s="8" t="s">
        <v>453</v>
      </c>
      <c r="E399" s="8" t="s">
        <v>452</v>
      </c>
      <c r="F399" s="8" t="s">
        <v>454</v>
      </c>
      <c r="G399" s="8" t="str">
        <f>", "&amp;'RAW (公開用)'!F400&amp;", "</f>
        <v xml:space="preserve">, **必ず選んでください**, 無し, ノンバイナリー女性, Xジェンダー, ノンバイナリー, </v>
      </c>
      <c r="H399" s="8"/>
      <c r="I399" s="8" t="str">
        <f>", "&amp;'RAW (公開用)'!H400&amp;", "</f>
        <v xml:space="preserve">, さん, </v>
      </c>
      <c r="J399" s="8" t="s">
        <v>2335</v>
      </c>
      <c r="K39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399" s="8" t="str">
        <f>", "&amp;'RAW (公開用)'!J400&amp;", "</f>
        <v xml:space="preserve">, -san, </v>
      </c>
      <c r="M399" s="8" t="s">
        <v>2335</v>
      </c>
      <c r="N39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 </v>
      </c>
      <c r="O399" s="8" t="str">
        <f>", "&amp;'RAW (公開用)'!L400&amp;", "</f>
        <v xml:space="preserve">, 私（わたし／わたくし）, わたし, </v>
      </c>
      <c r="P399" s="8" t="s">
        <v>2335</v>
      </c>
      <c r="Q39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 </v>
      </c>
      <c r="R399" s="8" t="str">
        <f>", "&amp;'RAW (公開用)'!N399&amp;", "</f>
        <v xml:space="preserve">, （any／問わない／どれでもよい）, </v>
      </c>
      <c r="S399" s="8" t="s">
        <v>2335</v>
      </c>
      <c r="T39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399" s="8" t="str">
        <f>", "&amp;'RAW (公開用)'!P400&amp;", "</f>
        <v xml:space="preserve">, （クエスチョニング、模索中、または不明）, </v>
      </c>
      <c r="V399" s="8" t="s">
        <v>455</v>
      </c>
      <c r="W399" s="8" t="str">
        <f>", "&amp;'RAW (公開用)'!R400&amp;", "</f>
        <v xml:space="preserve">, 職場や学校における無理解, 医療における無理解, 社会の中でいないことにされる, ミスジェンダリング（誤った性別として扱うこと）, 家族／かぞくからの無理解, </v>
      </c>
      <c r="X399" s="8"/>
      <c r="Y39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医療における無理解, 社会の中でいないことにされる, ミスジェンダリング（誤った性別として扱うこと）, 家族／かぞくからの無理解,  </v>
      </c>
      <c r="Z399" s="8" t="s">
        <v>455</v>
      </c>
      <c r="AA399" s="8" t="str">
        <f>", "&amp;'RAW (公開用)'!U400&amp;", "</f>
        <v xml:space="preserve">, （上記のどれも希望していない）, </v>
      </c>
      <c r="AB399" s="8" t="str">
        <f>", "&amp;'RAW (公開用)'!V400&amp;", "</f>
        <v xml:space="preserve">, （上記のどれも経験していない）, </v>
      </c>
      <c r="AC399" s="8" t="s">
        <v>392</v>
      </c>
      <c r="AD39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ピルが高額であること、長期間生理を止めるようなピルの服用方法に理解のある医師が少ないこと（ピルの服用目的=避妊/生理痛と想定されており、それ以外の目的での服用方法について相談が難しいこと）</v>
      </c>
      <c r="AE399" s="8" t="s">
        <v>462</v>
      </c>
      <c r="AF399" s="8" t="s">
        <v>457</v>
      </c>
      <c r="AG399" s="8" t="s">
        <v>458</v>
      </c>
      <c r="AH399" s="8"/>
      <c r="AI399" s="8">
        <f t="shared" si="17"/>
        <v>4</v>
      </c>
      <c r="AJ399" s="8"/>
      <c r="AK399" s="8"/>
      <c r="AL399" s="8"/>
      <c r="AM399" s="8"/>
      <c r="AN399" s="8"/>
    </row>
    <row r="400" spans="1:40" ht="25.5" hidden="1">
      <c r="A400" s="8">
        <v>400</v>
      </c>
      <c r="B400" s="11">
        <v>44992.643606724538</v>
      </c>
      <c r="C400" s="8" t="s">
        <v>452</v>
      </c>
      <c r="D400" s="8" t="s">
        <v>453</v>
      </c>
      <c r="E400" s="8" t="s">
        <v>452</v>
      </c>
      <c r="F400" s="8" t="s">
        <v>454</v>
      </c>
      <c r="G400" s="8" t="str">
        <f>", "&amp;'RAW (公開用)'!F401&amp;", "</f>
        <v xml:space="preserve">, **必ず選んでください**, 青年, トランス, Aジェンダー／エイジェンダー／アジェンダー／agender, 無性, </v>
      </c>
      <c r="H400" s="8"/>
      <c r="I400" s="8" t="str">
        <f>", "&amp;'RAW (公開用)'!H401&amp;", "</f>
        <v xml:space="preserve">, くん／君, さん, </v>
      </c>
      <c r="J400" s="8" t="s">
        <v>2335</v>
      </c>
      <c r="K40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400" s="8" t="str">
        <f>", "&amp;'RAW (公開用)'!J401&amp;", "</f>
        <v xml:space="preserve">, -san, Dr.など、職業などにかかわるもの, Mr., </v>
      </c>
      <c r="M400" s="8" t="s">
        <v>2335</v>
      </c>
      <c r="N40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Mr., , </v>
      </c>
      <c r="O400" s="8" t="str">
        <f>", "&amp;'RAW (公開用)'!L401&amp;", "</f>
        <v xml:space="preserve">, 私（わたし／わたくし）, 僕, 自分, おれ, </v>
      </c>
      <c r="P400" s="8" t="s">
        <v>2335</v>
      </c>
      <c r="Q40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僕, 自分, おれ,  , </v>
      </c>
      <c r="R400" s="8" t="str">
        <f>", "&amp;'RAW (公開用)'!N400&amp;", "</f>
        <v xml:space="preserve">, （自分（たち）の名前）, </v>
      </c>
      <c r="S400" s="8" t="s">
        <v>2335</v>
      </c>
      <c r="T40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00" s="8" t="str">
        <f>", "&amp;'RAW (公開用)'!P401&amp;", "</f>
        <v xml:space="preserve">, he, </v>
      </c>
      <c r="V400" s="8" t="s">
        <v>455</v>
      </c>
      <c r="W400" s="8" t="str">
        <f>", "&amp;'RAW (公開用)'!R401&amp;", "</f>
        <v xml:space="preserve">, ミスジェンダリング（誤った性別として扱うこと）, 医療における無理解, 社会の中でいないことにされる, 性暴力, </v>
      </c>
      <c r="X400" s="8"/>
      <c r="Y40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医療における無理解, 社会の中でいないことにされる, 性暴力,  </v>
      </c>
      <c r="Z400" s="8" t="s">
        <v>455</v>
      </c>
      <c r="AA400" s="8" t="str">
        <f>", "&amp;'RAW (公開用)'!U401&amp;", "</f>
        <v xml:space="preserve">, 声帯にかかわる手術, 胸部の手術, </v>
      </c>
      <c r="AB400" s="8" t="str">
        <f>", "&amp;'RAW (公開用)'!V401&amp;", "</f>
        <v xml:space="preserve">, 胸部の手術, </v>
      </c>
      <c r="AC400" s="8"/>
      <c r="AD400" s="8" t="str">
        <f>テーブル1[[#This Row],[以下のうち、経験したものをすべて選んでください]]&amp;" "&amp;テーブル1[[#This Row],[社会的、法的、医学的トランジションについて、困難なこと等がありましたらここにお書きください]]</f>
        <v xml:space="preserve">, 胸部の手術,  </v>
      </c>
      <c r="AE400" s="8" t="s">
        <v>462</v>
      </c>
      <c r="AF400" s="8" t="s">
        <v>457</v>
      </c>
      <c r="AG400" s="8" t="s">
        <v>458</v>
      </c>
      <c r="AH400" s="8"/>
      <c r="AI400" s="8">
        <f t="shared" si="17"/>
        <v>4</v>
      </c>
      <c r="AJ400" s="8"/>
      <c r="AK400" s="8"/>
      <c r="AL400" s="8"/>
      <c r="AM400" s="8"/>
      <c r="AN400" s="8"/>
    </row>
    <row r="401" spans="1:40" ht="38.25" hidden="1">
      <c r="A401" s="8">
        <v>401</v>
      </c>
      <c r="B401" s="11">
        <v>44992.67155767361</v>
      </c>
      <c r="C401" s="8" t="s">
        <v>452</v>
      </c>
      <c r="D401" s="8" t="s">
        <v>453</v>
      </c>
      <c r="E401" s="8" t="s">
        <v>452</v>
      </c>
      <c r="F401" s="8" t="s">
        <v>454</v>
      </c>
      <c r="G401" s="8" t="str">
        <f>", "&amp;'RAW (公開用)'!F402&amp;", "</f>
        <v xml:space="preserve">, クィア／Queer, ノンバイナリー, （ジェンダー・）フルイド／（ジェンダー・）フリュイド／（ジェンダー・）フルイッド, ノンバイナリー女性, 不定性, ジェンダークィア, **必ず選んでください**, デミガール, 無性, </v>
      </c>
      <c r="H401" s="8"/>
      <c r="I401" s="8" t="str">
        <f>", "&amp;'RAW (公開用)'!H402&amp;", "</f>
        <v xml:space="preserve">, さん, </v>
      </c>
      <c r="J401" s="73" t="s">
        <v>2346</v>
      </c>
      <c r="K40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さん,  , 先生,</v>
      </c>
      <c r="L401" s="8" t="str">
        <f>", "&amp;'RAW (公開用)'!J402&amp;", "</f>
        <v xml:space="preserve">, -san, Dr.など、職業などにかかわるもの, Mx., Ms., </v>
      </c>
      <c r="M401" s="8" t="s">
        <v>2335</v>
      </c>
      <c r="N40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Mx., Ms., , </v>
      </c>
      <c r="O401" s="8" t="str">
        <f>", "&amp;'RAW (公開用)'!L402&amp;", "</f>
        <v xml:space="preserve">, （一人称の使用を避ける）, わたし, 自分, 私（わたし／わたくし）, わし, </v>
      </c>
      <c r="P401" s="8" t="s">
        <v>2335</v>
      </c>
      <c r="Q40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（一人称の使用を避ける）, わたし, 自分, 私（わたし／わたくし）, わし,  , </v>
      </c>
      <c r="R401" s="8" t="str">
        <f>", "&amp;'RAW (公開用)'!N401&amp;", "</f>
        <v xml:space="preserve">, （自分（たち）の名前）, 彼, </v>
      </c>
      <c r="S401" s="8" t="s">
        <v>2335</v>
      </c>
      <c r="T40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401" s="8" t="str">
        <f>", "&amp;'RAW (公開用)'!P402&amp;", "</f>
        <v xml:space="preserve">, they/them/their/themself, ze, she, </v>
      </c>
      <c r="V401" s="8" t="s">
        <v>455</v>
      </c>
      <c r="W401" s="8" t="str">
        <f>", "&amp;'RAW (公開用)'!R402&amp;", "</f>
        <v xml:space="preserve">, 家族／かぞくからの無理解, 必要なジェンダーケアへアクセスできない, ミスジェンダリング（誤った性別として扱うこと）, </v>
      </c>
      <c r="X401" s="8"/>
      <c r="Y40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必要なジェンダーケアへアクセスできない, ミスジェンダリング（誤った性別として扱うこと）,  </v>
      </c>
      <c r="Z401" s="8" t="s">
        <v>455</v>
      </c>
      <c r="AA401" s="8" t="str">
        <f>", "&amp;'RAW (公開用)'!U402&amp;", "</f>
        <v xml:space="preserve">, ジェンダークリニックの受診, 胸部の手術, 性器にかかわる手術, </v>
      </c>
      <c r="AB401" s="8" t="str">
        <f>", "&amp;'RAW (公開用)'!V402&amp;", "</f>
        <v xml:space="preserve">, （上記のどれも経験していない）, </v>
      </c>
      <c r="AC401" s="8"/>
      <c r="AD40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01" s="8" t="s">
        <v>462</v>
      </c>
      <c r="AF401" s="8" t="s">
        <v>457</v>
      </c>
      <c r="AG401" s="8" t="s">
        <v>458</v>
      </c>
      <c r="AH401" s="8"/>
      <c r="AI401" s="8">
        <f t="shared" si="17"/>
        <v>8</v>
      </c>
      <c r="AJ401" s="8"/>
      <c r="AK401" s="8"/>
      <c r="AL401" s="8"/>
      <c r="AM401" s="8"/>
      <c r="AN401" s="8"/>
    </row>
    <row r="402" spans="1:40" ht="25.5" hidden="1">
      <c r="A402" s="8">
        <v>38</v>
      </c>
      <c r="B402" s="11">
        <v>44969.83916668981</v>
      </c>
      <c r="C402" s="8" t="s">
        <v>452</v>
      </c>
      <c r="D402" s="8" t="s">
        <v>453</v>
      </c>
      <c r="E402" s="8" t="s">
        <v>452</v>
      </c>
      <c r="F402" s="8" t="s">
        <v>454</v>
      </c>
      <c r="G402" s="8" t="str">
        <f>", "&amp;'RAW (公開用)'!F39&amp;", "</f>
        <v xml:space="preserve">, ノンバイナリー, 無性, 不明／わからない, </v>
      </c>
      <c r="H402" s="8"/>
      <c r="I402" s="8" t="str">
        <f>", "&amp;'RAW (公開用)'!H39&amp;", "</f>
        <v xml:space="preserve">, （敬称なし）, ちゃん, （時とともに変わる）, （クエスチョニング、模索中、または不明）, </v>
      </c>
      <c r="J402" s="8" t="s">
        <v>2335</v>
      </c>
      <c r="K40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ちゃん, （時とともに変わる）, （クエスチョニング、模索中、または不明）,  , </v>
      </c>
      <c r="L402" s="8" t="str">
        <f>", "&amp;'RAW (公開用)'!J39&amp;", "</f>
        <v xml:space="preserve">, **英語を日常的に使わない**, </v>
      </c>
      <c r="M402" s="8" t="s">
        <v>2335</v>
      </c>
      <c r="N40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02" s="8" t="str">
        <f>", "&amp;'RAW (公開用)'!L39&amp;", "</f>
        <v xml:space="preserve">, 自分, 私（わたし／わたくし）, わたくし, 俺, おれ, わたし, </v>
      </c>
      <c r="P402" s="8" t="s">
        <v>2335</v>
      </c>
      <c r="Q40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私（わたし／わたくし）, わたくし, 俺, おれ, わたし,  , </v>
      </c>
      <c r="R402" s="8" t="str">
        <f>", "&amp;'RAW (公開用)'!N402&amp;", "</f>
        <v xml:space="preserve">, 彼女, 彼人（かのひと）, （三人称で言及してほしくない）, 彼人（かのと）, </v>
      </c>
      <c r="S402" s="73" t="s">
        <v>2373</v>
      </c>
      <c r="T40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彼人（かのひと）, （三人称で言及してほしくない）, 彼人（かのと）,  , 人間, 人,</v>
      </c>
      <c r="U402" s="8" t="str">
        <f>", "&amp;'RAW (公開用)'!P39&amp;", "</f>
        <v xml:space="preserve">, **英語を日常的に使わない**, </v>
      </c>
      <c r="V402" s="8" t="s">
        <v>472</v>
      </c>
      <c r="W402" s="8" t="s">
        <v>2174</v>
      </c>
      <c r="X402" s="8"/>
      <c r="Y40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402" s="8" t="s">
        <v>455</v>
      </c>
      <c r="AA402" s="8" t="str">
        <f>", "&amp;'RAW (公開用)'!U39&amp;", "</f>
        <v xml:space="preserve">, （上記のどれも希望していない）, </v>
      </c>
      <c r="AB402" s="8" t="str">
        <f>", "&amp;'RAW (公開用)'!V39&amp;", "</f>
        <v xml:space="preserve">, （上記のどれも経験していない）, </v>
      </c>
      <c r="AC402" s="8"/>
      <c r="AD40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02" s="8" t="s">
        <v>462</v>
      </c>
      <c r="AF402" s="8" t="s">
        <v>457</v>
      </c>
      <c r="AG402" s="8" t="s">
        <v>458</v>
      </c>
      <c r="AH402" s="8"/>
      <c r="AI402" s="8">
        <f>((LEN(G402)-LEN(SUBSTITUTE(G402,", ","")))/LEN(", ")-1-(LEN(G402)-LEN(SUBSTITUTE(G402,"必ず","")))/LEN("必ず"))+(LEN(H402)-LEN(SUBSTITUTE(H402,",","")))</f>
        <v>3</v>
      </c>
      <c r="AJ402" s="8"/>
      <c r="AK402" s="8"/>
      <c r="AL402" s="8"/>
      <c r="AM402" s="8"/>
      <c r="AN402" s="8"/>
    </row>
    <row r="403" spans="1:40" ht="12.75" hidden="1">
      <c r="A403" s="8">
        <v>403</v>
      </c>
      <c r="B403" s="11">
        <v>44992.808249583337</v>
      </c>
      <c r="C403" s="8" t="s">
        <v>452</v>
      </c>
      <c r="D403" s="8" t="s">
        <v>453</v>
      </c>
      <c r="E403" s="8" t="s">
        <v>452</v>
      </c>
      <c r="F403" s="8" t="s">
        <v>454</v>
      </c>
      <c r="G403" s="8" t="str">
        <f>", "&amp;'RAW (公開用)'!F404&amp;", "</f>
        <v xml:space="preserve">, ノンバイナリー, </v>
      </c>
      <c r="H403" s="8"/>
      <c r="I403" s="8" t="str">
        <f>", "&amp;'RAW (公開用)'!H404&amp;", "</f>
        <v xml:space="preserve">, （any／問わない／どれでもよい）, </v>
      </c>
      <c r="J403" s="8" t="s">
        <v>2335</v>
      </c>
      <c r="K40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403" s="8" t="str">
        <f>", "&amp;'RAW (公開用)'!J404&amp;", "</f>
        <v xml:space="preserve">, **英語を日常的に使わない**, </v>
      </c>
      <c r="M403" s="8" t="s">
        <v>2335</v>
      </c>
      <c r="N40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03" s="8" t="str">
        <f>", "&amp;'RAW (公開用)'!L404&amp;", "</f>
        <v xml:space="preserve">, （any／問わない／どれでもよい）, </v>
      </c>
      <c r="P403" s="8" t="s">
        <v>2335</v>
      </c>
      <c r="Q40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（any／問わない／どれでもよい）,  , </v>
      </c>
      <c r="R403" s="8" t="str">
        <f>", "&amp;'RAW (公開用)'!N403&amp;", "</f>
        <v xml:space="preserve">, 彼, （自分（たち）の名前）, </v>
      </c>
      <c r="S403" s="8" t="s">
        <v>2335</v>
      </c>
      <c r="T40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（自分（たち）の名前）,  , </v>
      </c>
      <c r="U403" s="8" t="str">
        <f>", "&amp;'RAW (公開用)'!P404&amp;", "</f>
        <v xml:space="preserve">, **英語を日常的に使わない**, </v>
      </c>
      <c r="V403" s="8" t="s">
        <v>455</v>
      </c>
      <c r="W403" s="8" t="str">
        <f>", "&amp;'RAW (公開用)'!R404&amp;", "</f>
        <v xml:space="preserve">, 性暴力, </v>
      </c>
      <c r="X403" s="8"/>
      <c r="Y40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v>
      </c>
      <c r="Z403" s="8" t="s">
        <v>472</v>
      </c>
      <c r="AA403" s="8" t="s">
        <v>2174</v>
      </c>
      <c r="AB403" s="105" t="s">
        <v>2443</v>
      </c>
      <c r="AC403" s="8"/>
      <c r="AD403"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03" s="8" t="s">
        <v>479</v>
      </c>
      <c r="AF403" s="8" t="s">
        <v>457</v>
      </c>
      <c r="AG403" s="8" t="s">
        <v>458</v>
      </c>
      <c r="AH403" s="8"/>
      <c r="AI403" s="8">
        <f t="shared" ref="AI403:AI413" si="18">(LEN(G403)-LEN(SUBSTITUTE(G403,", ","")))/LEN(", ")-1-(LEN(G403)-LEN(SUBSTITUTE(G403,"必ず","")))/LEN("必ず")</f>
        <v>1</v>
      </c>
      <c r="AJ403" s="8"/>
      <c r="AK403" s="8"/>
      <c r="AL403" s="8"/>
      <c r="AM403" s="8"/>
      <c r="AN403" s="8"/>
    </row>
    <row r="404" spans="1:40" ht="38.25" hidden="1">
      <c r="A404" s="8">
        <v>404</v>
      </c>
      <c r="B404" s="11">
        <v>44992.838752627315</v>
      </c>
      <c r="C404" s="8" t="s">
        <v>452</v>
      </c>
      <c r="D404" s="8" t="s">
        <v>453</v>
      </c>
      <c r="E404" s="8" t="s">
        <v>452</v>
      </c>
      <c r="F404" s="8" t="s">
        <v>454</v>
      </c>
      <c r="G404" s="8" t="str">
        <f>", "&amp;'RAW (公開用)'!F405&amp;", "</f>
        <v xml:space="preserve">, トランス, ジェンダークィア, ノンバイナリー, Xジェンダー, （ジェンダー・）フルイド／（ジェンダー・）フリュイド／（ジェンダー・）フルイッド, X, </v>
      </c>
      <c r="H404" s="8"/>
      <c r="I404" s="8" t="str">
        <f>", "&amp;'RAW (公開用)'!H405&amp;", "</f>
        <v xml:space="preserve">, くん／君, さん, </v>
      </c>
      <c r="J404" s="8" t="s">
        <v>2335</v>
      </c>
      <c r="K40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404" s="8" t="str">
        <f>", "&amp;'RAW (公開用)'!J405&amp;", "</f>
        <v xml:space="preserve">, （クエスチョニング、模索中、または不明）, **英語を日常的に使わない**, Mx., Mr., </v>
      </c>
      <c r="M404" s="8" t="s">
        <v>2335</v>
      </c>
      <c r="N40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**英語を日常的に使わない**, Mx., Mr., , </v>
      </c>
      <c r="O404" s="8" t="str">
        <f>", "&amp;'RAW (公開用)'!L405&amp;", "</f>
        <v xml:space="preserve">, わたし, 自分, </v>
      </c>
      <c r="P404" s="8" t="s">
        <v>2335</v>
      </c>
      <c r="Q40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 </v>
      </c>
      <c r="R404" s="8" t="str">
        <f>", "&amp;'RAW (公開用)'!N404&amp;", "</f>
        <v xml:space="preserve">, （any／問わない／どれでもよい）, </v>
      </c>
      <c r="S404" s="8" t="s">
        <v>2335</v>
      </c>
      <c r="T40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404" s="8" t="str">
        <f>", "&amp;'RAW (公開用)'!P405&amp;", "</f>
        <v xml:space="preserve">, **英語を日常的に使わない**, </v>
      </c>
      <c r="V404" s="8" t="s">
        <v>455</v>
      </c>
      <c r="W404" s="8" t="str">
        <f>", "&amp;'RAW (公開用)'!R405&amp;", "</f>
        <v xml:space="preserve">, 家族／かぞくからの無理解, トイレなどのジェンダー化されたスペースの使用, 性暴力, アウティング（勝手にジェンダーや指向についての情報を明かされること）, 医療における無理解, 職場や学校における無理解, </v>
      </c>
      <c r="X404" s="8"/>
      <c r="Y40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トイレなどのジェンダー化されたスペースの使用, 性暴力, アウティング（勝手にジェンダーや指向についての情報を明かされること）, 医療における無理解, 職場や学校における無理解,  </v>
      </c>
      <c r="Z404" s="8" t="s">
        <v>472</v>
      </c>
      <c r="AA404" s="8" t="s">
        <v>2174</v>
      </c>
      <c r="AB404" s="105" t="s">
        <v>2443</v>
      </c>
      <c r="AC404" s="8"/>
      <c r="AD404"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04" s="8" t="s">
        <v>459</v>
      </c>
      <c r="AF404" s="8" t="s">
        <v>457</v>
      </c>
      <c r="AG404" s="8" t="s">
        <v>458</v>
      </c>
      <c r="AH404" s="8"/>
      <c r="AI404" s="8">
        <f t="shared" si="18"/>
        <v>6</v>
      </c>
      <c r="AJ404" s="8"/>
      <c r="AK404" s="8"/>
      <c r="AL404" s="8"/>
      <c r="AM404" s="8"/>
      <c r="AN404" s="8"/>
    </row>
    <row r="405" spans="1:40" ht="76.5" hidden="1">
      <c r="A405" s="8">
        <v>379</v>
      </c>
      <c r="B405" s="11">
        <v>44992.352594976852</v>
      </c>
      <c r="C405" s="8" t="s">
        <v>452</v>
      </c>
      <c r="D405" s="8" t="s">
        <v>453</v>
      </c>
      <c r="E405" s="8" t="s">
        <v>452</v>
      </c>
      <c r="F405" s="8" t="s">
        <v>454</v>
      </c>
      <c r="G405" s="8" t="str">
        <f>", "&amp;'RAW (公開用)'!F380&amp;", "</f>
        <v xml:space="preserve">, ノンバイナリー, **必ず選んでください**, （ジェンダー・）フルイド／（ジェンダー・）フリュイド／（ジェンダー・）フルイッド, 無性, ニュートラル, 中性, トランスジェンダー, Xジェンダー, </v>
      </c>
      <c r="H405" s="8"/>
      <c r="I405" s="8" t="str">
        <f>", "&amp;'RAW (公開用)'!H380&amp;", "</f>
        <v xml:space="preserve">, さん, </v>
      </c>
      <c r="J405" s="8" t="s">
        <v>2335</v>
      </c>
      <c r="K40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05" s="8" t="str">
        <f>", "&amp;'RAW (公開用)'!J380&amp;", "</f>
        <v xml:space="preserve">, -san, Mx., （敬称なし）, </v>
      </c>
      <c r="M405" s="8" t="s">
        <v>2335</v>
      </c>
      <c r="N40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Mx., （敬称なし）, , </v>
      </c>
      <c r="O405" s="8" t="str">
        <f>", "&amp;'RAW (公開用)'!L380&amp;", "</f>
        <v xml:space="preserve">, （一人称の使用を避ける）, 私（わたし／わたくし）, 俺, わし, （時とともに変わる）, 自分, うち, </v>
      </c>
      <c r="P405" s="16" t="s">
        <v>2408</v>
      </c>
      <c r="Q40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（一人称の使用を避ける）, 私（わたし／わたくし）, 俺, わし, （時とともに変わる）, 自分, うち,  , 当方,</v>
      </c>
      <c r="R405" s="8" t="str">
        <f>", "&amp;'RAW (公開用)'!N405&amp;", "</f>
        <v xml:space="preserve">, 彼女, かれ, （三人称で言及してほしくない）, </v>
      </c>
      <c r="S405" s="8" t="s">
        <v>2355</v>
      </c>
      <c r="T40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彼女, かれ, （三人称で言及してほしくない）,  , {この/その/あの}+人,</v>
      </c>
      <c r="U405" s="8" t="str">
        <f>", "&amp;'RAW (公開用)'!P380&amp;", "</f>
        <v xml:space="preserve">, ze, they/them/their/themself, they/them/their/themselves, </v>
      </c>
      <c r="V405" s="8" t="s">
        <v>455</v>
      </c>
      <c r="W405" s="8" t="str">
        <f>", "&amp;'RAW (公開用)'!R380&amp;", "</f>
        <v xml:space="preserve">, 社会の中でいないことにされる, デッドネーミング（誤った名前で呼ばれること）, ミスジェンダリング（誤った性別として扱うこと）, トイレなどのジェンダー化されたスペースの使用, 必要なジェンダーケアへアクセスできない, アウティング（勝手にジェンダーや指向についての情報を明かされること）, カムアウトを強制される, 性暴力, 家族／かぞくからの無理解, 医療における無理解, 職場や学校における無理解, </v>
      </c>
      <c r="X405" s="8"/>
      <c r="Y40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デッドネーミング（誤った名前で呼ばれること）, ミスジェンダリング（誤った性別として扱うこと）, トイレなどのジェンダー化されたスペースの使用, 必要なジェンダーケアへアクセスできない, アウティング（勝手にジェンダーや指向についての情報を明かされること）, カムアウトを強制される, 性暴力, 家族／かぞくからの無理解, 医療における無理解, 職場や学校における無理解,  </v>
      </c>
      <c r="Z405" s="8" t="s">
        <v>455</v>
      </c>
      <c r="AA405" s="8" t="str">
        <f>", "&amp;'RAW (公開用)'!U380&amp;", "</f>
        <v xml:space="preserve">, 戸籍名の変更, 戸籍上の性別の変更, 胸部の手術, </v>
      </c>
      <c r="AB405" s="105" t="s">
        <v>2443</v>
      </c>
      <c r="AC405" s="8" t="s">
        <v>353</v>
      </c>
      <c r="AD405" s="8" t="str">
        <f>テーブル1[[#This Row],[以下のうち、経験したものをすべて選んでください]]&amp;" "&amp;テーブル1[[#This Row],[社会的、法的、医学的トランジションについて、困難なこと等がありましたらここにお書きください]]</f>
        <v>無回答 戸籍名の漢字表記を残して読み方だけ改名しました。住民票にフリガナのない地域への転居を躊躇っている。また今後もし戸籍にフリガナが載る際に、改名後の名前が認められるか不安。</v>
      </c>
      <c r="AE405" s="8" t="s">
        <v>479</v>
      </c>
      <c r="AF405" s="8" t="s">
        <v>457</v>
      </c>
      <c r="AG405" s="8" t="s">
        <v>458</v>
      </c>
      <c r="AH405" s="8" t="s">
        <v>619</v>
      </c>
      <c r="AI405" s="8">
        <f t="shared" si="18"/>
        <v>7</v>
      </c>
      <c r="AJ405" s="8"/>
      <c r="AK405" s="8"/>
      <c r="AL405" s="8"/>
      <c r="AM405" s="8"/>
      <c r="AN405" s="8"/>
    </row>
    <row r="406" spans="1:40" ht="51" hidden="1">
      <c r="A406" s="8">
        <v>217</v>
      </c>
      <c r="B406" s="11">
        <v>44971.487536574074</v>
      </c>
      <c r="C406" s="8" t="s">
        <v>452</v>
      </c>
      <c r="D406" s="8" t="s">
        <v>453</v>
      </c>
      <c r="E406" s="8" t="s">
        <v>452</v>
      </c>
      <c r="F406" s="8" t="s">
        <v>454</v>
      </c>
      <c r="G406" s="8" t="str">
        <f>", "&amp;'RAW (公開用)'!F218&amp;", "</f>
        <v xml:space="preserve">, **必ず選んでください**, Aジェンダー／エイジェンダー／アジェンダー／agender, </v>
      </c>
      <c r="H406" s="8" t="s">
        <v>557</v>
      </c>
      <c r="I406" s="8" t="str">
        <f>", "&amp;'RAW (公開用)'!H218&amp;", "</f>
        <v xml:space="preserve">, さん, （敬称なし）, くん／君, </v>
      </c>
      <c r="J406" s="8" t="s">
        <v>2335</v>
      </c>
      <c r="K40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くん／君,  , </v>
      </c>
      <c r="L406" s="8" t="str">
        <f>", "&amp;'RAW (公開用)'!J218&amp;", "</f>
        <v xml:space="preserve">, -san, （敬称なし）, Mx., </v>
      </c>
      <c r="M406" s="8" t="s">
        <v>2335</v>
      </c>
      <c r="N40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Mx., , </v>
      </c>
      <c r="O406" s="8" t="str">
        <f>", "&amp;'RAW (公開用)'!L218&amp;", "</f>
        <v xml:space="preserve">, わたし, わたくし, おれ, ぼく, （時とともに変わる）, </v>
      </c>
      <c r="P406" s="73" t="s">
        <v>2417</v>
      </c>
      <c r="Q40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わたし, わたくし, おれ, ぼく, （時とともに変わる）,  , おいら, わっち,</v>
      </c>
      <c r="R406" s="8" t="str">
        <f>", "&amp;'RAW (公開用)'!N406&amp;", "</f>
        <v xml:space="preserve">, 彼人（かのひと）, </v>
      </c>
      <c r="S406" s="8" t="s">
        <v>2374</v>
      </c>
      <c r="T40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彼人（かのひと）,  , {この/その/あの}+子, {この/その/あの}+人,</v>
      </c>
      <c r="U406" s="8" t="str">
        <f>", "&amp;'RAW (公開用)'!P218&amp;", "</f>
        <v xml:space="preserve">, they/them/their/themselves, they/them/their/themself, </v>
      </c>
      <c r="V406" s="8" t="s">
        <v>455</v>
      </c>
      <c r="W406" s="8" t="str">
        <f>", "&amp;'RAW (公開用)'!R218&amp;", "</f>
        <v xml:space="preserve">, ミスジェンダリング（誤った性別として扱うこと）, 家族／かぞくからの無理解, 必要なジェンダーケアへアクセスできない, トイレなどのジェンダー化されたスペースの使用, デッドネーミング（誤った名前で呼ばれること）, LGBTQ+運動からの排斥, 医療における無理解, 社会の中でいないことにされる, </v>
      </c>
      <c r="X406" s="8"/>
      <c r="Y40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家族／かぞくからの無理解, 必要なジェンダーケアへアクセスできない, トイレなどのジェンダー化されたスペースの使用, デッドネーミング（誤った名前で呼ばれること）, LGBTQ+運動からの排斥, 医療における無理解, 社会の中でいないことにされる,  </v>
      </c>
      <c r="Z406" s="8" t="s">
        <v>455</v>
      </c>
      <c r="AA406" s="8" t="str">
        <f>", "&amp;'RAW (公開用)'!U218&amp;", "</f>
        <v xml:space="preserve">, 戸籍名の変更, 戸籍上の性別の変更, ジェンダークリニックの受診, 胸部の手術, </v>
      </c>
      <c r="AB406" s="8" t="str">
        <f>", "&amp;'RAW (公開用)'!V218&amp;", "</f>
        <v xml:space="preserve">, （上記のどれも経験していない）, </v>
      </c>
      <c r="AC406" s="8" t="s">
        <v>330</v>
      </c>
      <c r="AD406"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男女以外の性別が法的にも医学的にも可能な状況でない</v>
      </c>
      <c r="AE406" s="8" t="s">
        <v>462</v>
      </c>
      <c r="AF406" s="8" t="s">
        <v>457</v>
      </c>
      <c r="AG406" s="8" t="s">
        <v>458</v>
      </c>
      <c r="AH406" s="8"/>
      <c r="AI406" s="8">
        <f t="shared" si="18"/>
        <v>1</v>
      </c>
      <c r="AJ406" s="8"/>
      <c r="AK406" s="8"/>
      <c r="AL406" s="8"/>
      <c r="AM406" s="8"/>
      <c r="AN406" s="8"/>
    </row>
    <row r="407" spans="1:40" ht="51" hidden="1">
      <c r="A407" s="8">
        <v>407</v>
      </c>
      <c r="B407" s="11">
        <v>44992.886372835652</v>
      </c>
      <c r="C407" s="8" t="s">
        <v>452</v>
      </c>
      <c r="D407" s="8" t="s">
        <v>453</v>
      </c>
      <c r="E407" s="8" t="s">
        <v>452</v>
      </c>
      <c r="F407" s="8" t="s">
        <v>454</v>
      </c>
      <c r="G407" s="8" t="str">
        <f>", "&amp;'RAW (公開用)'!F408&amp;", "</f>
        <v xml:space="preserve">, **必ず選んでください**, ノンバイナリー, </v>
      </c>
      <c r="H407" s="8"/>
      <c r="I407" s="8" t="str">
        <f>", "&amp;'RAW (公開用)'!H408&amp;", "</f>
        <v xml:space="preserve">, （敬称なし）, くん／君, さん, （クエスチョニング、模索中、または不明）, </v>
      </c>
      <c r="J407" s="8" t="s">
        <v>2335</v>
      </c>
      <c r="K40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くん／君, さん, （クエスチョニング、模索中、または不明）,  , </v>
      </c>
      <c r="L407" s="8" t="str">
        <f>", "&amp;'RAW (公開用)'!J408&amp;", "</f>
        <v xml:space="preserve">, **英語を日常的に使わない**, </v>
      </c>
      <c r="M407" s="8" t="s">
        <v>2335</v>
      </c>
      <c r="N40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07" s="8" t="str">
        <f>", "&amp;'RAW (公開用)'!L408&amp;", "</f>
        <v xml:space="preserve">, 私（わたし／わたくし）, （自分（たち）の名前）, </v>
      </c>
      <c r="P407" s="8" t="s">
        <v>2335</v>
      </c>
      <c r="Q40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（自分（たち）の名前）,  , </v>
      </c>
      <c r="R407" s="8" t="str">
        <f>", "&amp;'RAW (公開用)'!N407&amp;", "</f>
        <v xml:space="preserve">, 彼, </v>
      </c>
      <c r="S407" s="8" t="s">
        <v>2335</v>
      </c>
      <c r="T40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407" s="8" t="str">
        <f>", "&amp;'RAW (公開用)'!P408&amp;", "</f>
        <v xml:space="preserve">, **英語を日常的に使わない**, </v>
      </c>
      <c r="V407" s="8" t="s">
        <v>455</v>
      </c>
      <c r="W407" s="8" t="str">
        <f>", "&amp;'RAW (公開用)'!R408&amp;", "</f>
        <v xml:space="preserve">, カムアウトできない, デッドネーミング（誤った名前で呼ばれること）, 社会の中でいないことにされる, 必要なジェンダーケアへアクセスできない, 家族／かぞくからの無理解, ミスジェンダリング（誤った性別として扱うこと）, 職場や学校における無理解, </v>
      </c>
      <c r="X407" s="8"/>
      <c r="Y40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デッドネーミング（誤った名前で呼ばれること）, 社会の中でいないことにされる, 必要なジェンダーケアへアクセスできない, 家族／かぞくからの無理解, ミスジェンダリング（誤った性別として扱うこと）, 職場や学校における無理解,  </v>
      </c>
      <c r="Z407" s="8" t="s">
        <v>455</v>
      </c>
      <c r="AA407" s="8" t="str">
        <f>", "&amp;'RAW (公開用)'!U408&amp;", "</f>
        <v xml:space="preserve">, 戸籍名の変更, 戸籍上の性別の変更, 胸部の手術, </v>
      </c>
      <c r="AB407" s="8" t="str">
        <f>", "&amp;'RAW (公開用)'!V408&amp;", "</f>
        <v xml:space="preserve">, 性器にかかわる手術, </v>
      </c>
      <c r="AC407" s="8"/>
      <c r="AD407" s="8" t="str">
        <f>テーブル1[[#This Row],[以下のうち、経験したものをすべて選んでください]]&amp;" "&amp;テーブル1[[#This Row],[社会的、法的、医学的トランジションについて、困難なこと等がありましたらここにお書きください]]</f>
        <v xml:space="preserve">, 性器にかかわる手術,  </v>
      </c>
      <c r="AE407" s="8" t="s">
        <v>479</v>
      </c>
      <c r="AF407" s="8" t="s">
        <v>457</v>
      </c>
      <c r="AG407" s="8" t="s">
        <v>458</v>
      </c>
      <c r="AH407" s="8"/>
      <c r="AI407" s="8">
        <f t="shared" si="18"/>
        <v>1</v>
      </c>
      <c r="AJ407" s="8"/>
      <c r="AK407" s="8"/>
      <c r="AL407" s="8"/>
      <c r="AM407" s="8"/>
      <c r="AN407" s="8"/>
    </row>
    <row r="408" spans="1:40" ht="25.5" hidden="1">
      <c r="A408" s="8">
        <v>408</v>
      </c>
      <c r="B408" s="11">
        <v>44992.905975439819</v>
      </c>
      <c r="C408" s="8" t="s">
        <v>452</v>
      </c>
      <c r="D408" s="8" t="s">
        <v>453</v>
      </c>
      <c r="E408" s="8" t="s">
        <v>452</v>
      </c>
      <c r="F408" s="8" t="s">
        <v>454</v>
      </c>
      <c r="G408" s="8" t="str">
        <f>", "&amp;'RAW (公開用)'!F409&amp;", "</f>
        <v xml:space="preserve">, ノンバイナリー, 無性, Xジェンダー, 中性, </v>
      </c>
      <c r="H408" s="8"/>
      <c r="I408" s="8" t="str">
        <f>", "&amp;'RAW (公開用)'!H409&amp;", "</f>
        <v xml:space="preserve">, （any／問わない／どれでもよい）, （クエスチョニング、模索中、または不明）, </v>
      </c>
      <c r="J408" s="8" t="s">
        <v>2335</v>
      </c>
      <c r="K40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（クエスチョニング、模索中、または不明）,  , </v>
      </c>
      <c r="L408" s="8" t="str">
        <f>", "&amp;'RAW (公開用)'!J409&amp;", "</f>
        <v xml:space="preserve">, **英語を日常的に使わない**, （クエスチョニング、模索中、または不明）, </v>
      </c>
      <c r="M408" s="8" t="s">
        <v>2335</v>
      </c>
      <c r="N40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408" s="8" t="str">
        <f>", "&amp;'RAW (公開用)'!L409&amp;", "</f>
        <v xml:space="preserve">, わたし, あたし, 自分, （自分（たち）の名前）, （時とともに変わる）, </v>
      </c>
      <c r="P408" s="8" t="s">
        <v>2335</v>
      </c>
      <c r="Q40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あたし, 自分, （自分（たち）の名前）, （時とともに変わる）,  , </v>
      </c>
      <c r="R408" s="8" t="str">
        <f>", "&amp;'RAW (公開用)'!N408&amp;", "</f>
        <v xml:space="preserve">, 彼, </v>
      </c>
      <c r="S408" s="8" t="s">
        <v>2335</v>
      </c>
      <c r="T40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408" s="8" t="str">
        <f>", "&amp;'RAW (公開用)'!P409&amp;", "</f>
        <v xml:space="preserve">, **英語を日常的に使わない**, </v>
      </c>
      <c r="V408" s="8" t="s">
        <v>455</v>
      </c>
      <c r="W408" s="8" t="str">
        <f>", "&amp;'RAW (公開用)'!R409&amp;", "</f>
        <v xml:space="preserve">, カムアウトできない, </v>
      </c>
      <c r="X408" s="8"/>
      <c r="Y40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v>
      </c>
      <c r="Z408" s="8" t="s">
        <v>455</v>
      </c>
      <c r="AA408" s="8" t="str">
        <f>", "&amp;'RAW (公開用)'!U409&amp;", "</f>
        <v xml:space="preserve">, 戸籍上の性別の変更, </v>
      </c>
      <c r="AB408" s="8" t="str">
        <f>", "&amp;'RAW (公開用)'!V409&amp;", "</f>
        <v xml:space="preserve">, （上記のどれも経験していない）, </v>
      </c>
      <c r="AC408" s="8" t="s">
        <v>419</v>
      </c>
      <c r="AD408"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Xジェンダーなので戸籍も女や男にカテゴライズされない風になるのが理想だが、そうはできないことが悲しい。</v>
      </c>
      <c r="AE408" s="8" t="s">
        <v>474</v>
      </c>
      <c r="AF408" s="8" t="s">
        <v>457</v>
      </c>
      <c r="AG408" s="8" t="s">
        <v>458</v>
      </c>
      <c r="AH408" s="8"/>
      <c r="AI408" s="8">
        <f t="shared" si="18"/>
        <v>4</v>
      </c>
      <c r="AJ408" s="8"/>
      <c r="AK408" s="8"/>
      <c r="AL408" s="8"/>
      <c r="AM408" s="8"/>
      <c r="AN408" s="8"/>
    </row>
    <row r="409" spans="1:40" ht="38.25" hidden="1">
      <c r="A409" s="8">
        <v>409</v>
      </c>
      <c r="B409" s="11">
        <v>44992.950450949073</v>
      </c>
      <c r="C409" s="8" t="s">
        <v>452</v>
      </c>
      <c r="D409" s="8" t="s">
        <v>453</v>
      </c>
      <c r="E409" s="8" t="s">
        <v>452</v>
      </c>
      <c r="F409" s="8" t="s">
        <v>454</v>
      </c>
      <c r="G409" s="8" t="str">
        <f>", "&amp;'RAW (公開用)'!F410&amp;", "</f>
        <v xml:space="preserve">, Xジェンダー, ノンバイナリー, 無性, **必ず選んでください**, </v>
      </c>
      <c r="H409" s="8"/>
      <c r="I409" s="8" t="str">
        <f>", "&amp;'RAW (公開用)'!H410&amp;", "</f>
        <v xml:space="preserve">, さん, （敬称なし）, </v>
      </c>
      <c r="J409" s="8" t="s">
        <v>2335</v>
      </c>
      <c r="K40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409" s="8" t="str">
        <f>", "&amp;'RAW (公開用)'!J410&amp;", "</f>
        <v xml:space="preserve">, （any／問わない／どれでもよい）, （敬称なし）, -san, </v>
      </c>
      <c r="M409" s="8" t="s">
        <v>2335</v>
      </c>
      <c r="N40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（敬称なし）, -san, , </v>
      </c>
      <c r="O409" s="8" t="str">
        <f>", "&amp;'RAW (公開用)'!L410&amp;", "</f>
        <v xml:space="preserve">, 私（わたし／わたくし）, あたし, わたし, わたくし, </v>
      </c>
      <c r="P409" s="8" t="s">
        <v>2335</v>
      </c>
      <c r="Q40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あたし, わたし, わたくし,  , </v>
      </c>
      <c r="R409" s="8" t="str">
        <f>", "&amp;'RAW (公開用)'!N409&amp;", "</f>
        <v xml:space="preserve">, （any／問わない／どれでもよい）, </v>
      </c>
      <c r="S409" s="8" t="s">
        <v>2335</v>
      </c>
      <c r="T40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409" s="8" t="str">
        <f>", "&amp;'RAW (公開用)'!P410&amp;", "</f>
        <v xml:space="preserve">, any/問わない/どれでもよい, </v>
      </c>
      <c r="V409" s="8" t="s">
        <v>455</v>
      </c>
      <c r="W409" s="8" t="str">
        <f>", "&amp;'RAW (公開用)'!R410&amp;", "</f>
        <v xml:space="preserve">, 必要なジェンダーケアへアクセスできない, 医療における無理解, ミスジェンダリング（誤った性別として扱うこと）, カムアウトできない, 職場や学校における無理解, 社会の中でいないことにされる, 家族／かぞくからの無理解, </v>
      </c>
      <c r="X409" s="8"/>
      <c r="Y40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医療における無理解, ミスジェンダリング（誤った性別として扱うこと）, カムアウトできない, 職場や学校における無理解, 社会の中でいないことにされる, 家族／かぞくからの無理解,  </v>
      </c>
      <c r="Z409" s="8" t="s">
        <v>455</v>
      </c>
      <c r="AA409" s="8" t="str">
        <f>", "&amp;'RAW (公開用)'!U410&amp;", "</f>
        <v xml:space="preserve">, （上記のどれも希望していない）, </v>
      </c>
      <c r="AB409" s="8" t="str">
        <f>", "&amp;'RAW (公開用)'!V410&amp;", "</f>
        <v xml:space="preserve">, （上記のどれも経験していない）, </v>
      </c>
      <c r="AC409" s="8" t="s">
        <v>364</v>
      </c>
      <c r="AD40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性分化疾患があるため、必要であれば名前や戸籍性別の訂正が可能であるが、今のところはそこまでは考えていない。</v>
      </c>
      <c r="AE409" s="8" t="s">
        <v>479</v>
      </c>
      <c r="AF409" s="8" t="s">
        <v>457</v>
      </c>
      <c r="AG409" s="8" t="s">
        <v>458</v>
      </c>
      <c r="AH409" s="8"/>
      <c r="AI409" s="8">
        <f t="shared" si="18"/>
        <v>3</v>
      </c>
      <c r="AJ409" s="8"/>
      <c r="AK409" s="8"/>
      <c r="AL409" s="8"/>
      <c r="AM409" s="8"/>
      <c r="AN409" s="8"/>
    </row>
    <row r="410" spans="1:40" ht="25.5" hidden="1">
      <c r="A410" s="8">
        <v>410</v>
      </c>
      <c r="B410" s="11">
        <v>44992.998434803245</v>
      </c>
      <c r="C410" s="8" t="s">
        <v>452</v>
      </c>
      <c r="D410" s="8" t="s">
        <v>453</v>
      </c>
      <c r="E410" s="8" t="s">
        <v>452</v>
      </c>
      <c r="F410" s="8" t="s">
        <v>454</v>
      </c>
      <c r="G410" s="8" t="str">
        <f>", "&amp;'RAW (公開用)'!F411&amp;", "</f>
        <v xml:space="preserve">, **必ず選んでください**, ジェンダークィア, ニュートラル, 不明／わからない, 中性, Xジェンダー, クィア／Queer, ノンバイナリー, クエスチョニング, </v>
      </c>
      <c r="H410" s="8"/>
      <c r="I410" s="8" t="str">
        <f>", "&amp;'RAW (公開用)'!H411&amp;", "</f>
        <v xml:space="preserve">, さん, （クエスチョニング、模索中、または不明）, </v>
      </c>
      <c r="J410" s="8" t="s">
        <v>2335</v>
      </c>
      <c r="K41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 </v>
      </c>
      <c r="L410" s="8" t="str">
        <f>", "&amp;'RAW (公開用)'!J411&amp;", "</f>
        <v xml:space="preserve">, **英語を日常的に使わない**, （クエスチョニング、模索中、または不明）, </v>
      </c>
      <c r="M410" s="8" t="s">
        <v>2335</v>
      </c>
      <c r="N41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（クエスチョニング、模索中、または不明）, , </v>
      </c>
      <c r="O410" s="8" t="str">
        <f>", "&amp;'RAW (公開用)'!L411&amp;", "</f>
        <v xml:space="preserve">, 僕, おれ, わたし, 俺, 自分, 私（わたし／わたくし）, </v>
      </c>
      <c r="P410" s="8" t="s">
        <v>2335</v>
      </c>
      <c r="Q41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おれ, わたし, 俺, 自分, 私（わたし／わたくし）,  , </v>
      </c>
      <c r="R410" s="8" t="str">
        <f>", "&amp;'RAW (公開用)'!N410&amp;", "</f>
        <v xml:space="preserve">, （any／問わない／どれでもよい）, </v>
      </c>
      <c r="S410" s="8" t="s">
        <v>2335</v>
      </c>
      <c r="T41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410" s="8" t="str">
        <f>", "&amp;'RAW (公開用)'!P411&amp;", "</f>
        <v xml:space="preserve">, **英語を日常的に使わない**, they/them/their/themselves, </v>
      </c>
      <c r="V410" s="8" t="s">
        <v>455</v>
      </c>
      <c r="W410" s="8" t="str">
        <f>", "&amp;'RAW (公開用)'!R411&amp;", "</f>
        <v xml:space="preserve">, 必要なジェンダーケアへアクセスできない, 職場や学校における無理解, カムアウトできない, </v>
      </c>
      <c r="X410" s="8" t="s">
        <v>280</v>
      </c>
      <c r="Y41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職場や学校における無理解, カムアウトできない,  社会的な無理解（マスコミや世間一般の意見などの）</v>
      </c>
      <c r="Z410" s="8" t="s">
        <v>455</v>
      </c>
      <c r="AA410" s="8" t="str">
        <f>", "&amp;'RAW (公開用)'!U411&amp;", "</f>
        <v xml:space="preserve">, 戸籍名の変更, </v>
      </c>
      <c r="AB410" s="8" t="str">
        <f>", "&amp;'RAW (公開用)'!V411&amp;", "</f>
        <v xml:space="preserve">, （上記のどれも経験していない）, </v>
      </c>
      <c r="AC410" s="8"/>
      <c r="AD41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0" s="8" t="s">
        <v>501</v>
      </c>
      <c r="AF410" s="8" t="s">
        <v>457</v>
      </c>
      <c r="AG410" s="8" t="s">
        <v>458</v>
      </c>
      <c r="AH410" s="8"/>
      <c r="AI410" s="8">
        <f t="shared" si="18"/>
        <v>8</v>
      </c>
      <c r="AJ410" s="8"/>
      <c r="AK410" s="8"/>
      <c r="AL410" s="8"/>
      <c r="AM410" s="8"/>
      <c r="AN410" s="8"/>
    </row>
    <row r="411" spans="1:40" ht="25.5" hidden="1">
      <c r="A411" s="8">
        <v>119</v>
      </c>
      <c r="B411" s="11">
        <v>44970.371212858794</v>
      </c>
      <c r="C411" s="8" t="s">
        <v>452</v>
      </c>
      <c r="D411" s="8" t="s">
        <v>453</v>
      </c>
      <c r="E411" s="8" t="s">
        <v>452</v>
      </c>
      <c r="F411" s="8" t="s">
        <v>454</v>
      </c>
      <c r="G411" s="8" t="str">
        <f>", "&amp;'RAW (公開用)'!F120&amp;", "</f>
        <v xml:space="preserve">, ノンバイナリー, </v>
      </c>
      <c r="H411" s="8"/>
      <c r="I411" s="8" t="str">
        <f>", "&amp;'RAW (公開用)'!H120&amp;", "</f>
        <v xml:space="preserve">, ちゃん, さん, （敬称なし）, </v>
      </c>
      <c r="J411" s="8" t="s">
        <v>2335</v>
      </c>
      <c r="K41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（敬称なし）,  , </v>
      </c>
      <c r="L411" s="8" t="str">
        <f>", "&amp;'RAW (公開用)'!J120&amp;", "</f>
        <v xml:space="preserve">, **英語を日常的に使わない**, </v>
      </c>
      <c r="M411" s="8" t="s">
        <v>2335</v>
      </c>
      <c r="N41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11" s="8" t="str">
        <f>", "&amp;'RAW (公開用)'!L120&amp;", "</f>
        <v xml:space="preserve">, 私（わたし／わたくし）, わたし, 自分, </v>
      </c>
      <c r="P411" s="8" t="s">
        <v>2335</v>
      </c>
      <c r="Q41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わたし, 自分,  , </v>
      </c>
      <c r="R411" s="8" t="str">
        <f>", "&amp;'RAW (公開用)'!N411&amp;", "</f>
        <v xml:space="preserve">, （三人称で言及してほしくない）, </v>
      </c>
      <c r="S411" s="8" t="s">
        <v>2375</v>
      </c>
      <c r="T41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{この/その/あの}+子,</v>
      </c>
      <c r="U411" s="8" t="str">
        <f>", "&amp;'RAW (公開用)'!P120&amp;", "</f>
        <v xml:space="preserve">, **英語を日常的に使わない**, </v>
      </c>
      <c r="V411" s="8" t="s">
        <v>455</v>
      </c>
      <c r="W411" s="8" t="str">
        <f>", "&amp;'RAW (公開用)'!R120&amp;", "</f>
        <v xml:space="preserve">, ミスジェンダリング（誤った性別として扱うこと）, 社会の中でいないことにされる, </v>
      </c>
      <c r="X411" s="8"/>
      <c r="Y41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社会の中でいないことにされる,  </v>
      </c>
      <c r="Z411" s="8" t="s">
        <v>455</v>
      </c>
      <c r="AA411" s="8" t="str">
        <f>", "&amp;'RAW (公開用)'!U120&amp;", "</f>
        <v xml:space="preserve">, （上記のどれも希望していない）, </v>
      </c>
      <c r="AB411" s="8" t="str">
        <f>", "&amp;'RAW (公開用)'!V120&amp;", "</f>
        <v xml:space="preserve">, （上記のどれも経験していない）, </v>
      </c>
      <c r="AC411" s="8"/>
      <c r="AD41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1" s="8" t="s">
        <v>456</v>
      </c>
      <c r="AF411" s="8" t="s">
        <v>457</v>
      </c>
      <c r="AG411" s="8" t="s">
        <v>458</v>
      </c>
      <c r="AH411" s="8"/>
      <c r="AI411" s="8">
        <f t="shared" si="18"/>
        <v>1</v>
      </c>
      <c r="AJ411" s="8"/>
      <c r="AK411" s="8"/>
      <c r="AL411" s="8"/>
      <c r="AM411" s="8"/>
      <c r="AN411" s="8"/>
    </row>
    <row r="412" spans="1:40" ht="51" hidden="1">
      <c r="A412" s="8">
        <v>412</v>
      </c>
      <c r="B412" s="11">
        <v>44993.221970752318</v>
      </c>
      <c r="C412" s="8" t="s">
        <v>452</v>
      </c>
      <c r="D412" s="8" t="s">
        <v>453</v>
      </c>
      <c r="E412" s="8" t="s">
        <v>452</v>
      </c>
      <c r="F412" s="8" t="s">
        <v>454</v>
      </c>
      <c r="G412" s="8" t="str">
        <f>", "&amp;'RAW (公開用)'!F413&amp;", "</f>
        <v xml:space="preserve">, ジェンダークィア, トランスマスキュリン, （ジェンダー・）フルイド／（ジェンダー・）フリュイド／（ジェンダー・）フルイッド, ジェンダーレス, Xジェンダー, Aジェンダー／エイジェンダー／アジェンダー／agender, X, デミAジェンダー, </v>
      </c>
      <c r="H412" s="8"/>
      <c r="I412" s="8" t="str">
        <f>", "&amp;'RAW (公開用)'!H413&amp;", "</f>
        <v xml:space="preserve">, （any／問わない／どれでもよい）, </v>
      </c>
      <c r="J412" s="8" t="s">
        <v>2335</v>
      </c>
      <c r="K41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 </v>
      </c>
      <c r="L412" s="8" t="str">
        <f>", "&amp;'RAW (公開用)'!J413&amp;", "</f>
        <v xml:space="preserve">, （any／問わない／どれでもよい）, </v>
      </c>
      <c r="M412" s="8" t="s">
        <v>2335</v>
      </c>
      <c r="N41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412" s="8" t="str">
        <f>", "&amp;'RAW (公開用)'!L413&amp;", "</f>
        <v xml:space="preserve">, 自分, 僕, 私（わたし／わたくし）, わし, 俺, ぼく, </v>
      </c>
      <c r="P412" s="8" t="s">
        <v>2335</v>
      </c>
      <c r="Q41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僕, 私（わたし／わたくし）, わし, 俺, ぼく,  , </v>
      </c>
      <c r="R412" s="8" t="s">
        <v>2174</v>
      </c>
      <c r="S412" s="8" t="s">
        <v>2335</v>
      </c>
      <c r="T41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412" s="8" t="str">
        <f>", "&amp;'RAW (公開用)'!P413&amp;", "</f>
        <v xml:space="preserve">, **英語を日常的に使わない**, </v>
      </c>
      <c r="V412" s="8" t="s">
        <v>455</v>
      </c>
      <c r="W412" s="8" t="str">
        <f>", "&amp;'RAW (公開用)'!R413&amp;", "</f>
        <v xml:space="preserve">, 社会の中でいないことにされる, トイレなどのジェンダー化されたスペースの使用, 職場や学校における無理解, カムアウトできない, 家族／かぞくからの無理解, </v>
      </c>
      <c r="X412" s="8"/>
      <c r="Y41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トイレなどのジェンダー化されたスペースの使用, 職場や学校における無理解, カムアウトできない, 家族／かぞくからの無理解,  </v>
      </c>
      <c r="Z412" s="8" t="s">
        <v>455</v>
      </c>
      <c r="AA412" s="8" t="str">
        <f>", "&amp;'RAW (公開用)'!U413&amp;", "</f>
        <v xml:space="preserve">, ジェンダークリニックの受診, 抗ホルモン療法, ホルモン補充療法（HRT）, 声帯にかかわる手術, </v>
      </c>
      <c r="AB412" s="8" t="str">
        <f>", "&amp;'RAW (公開用)'!V413&amp;", "</f>
        <v xml:space="preserve">, （上記のどれも経験していない）, </v>
      </c>
      <c r="AC412" s="8" t="s">
        <v>394</v>
      </c>
      <c r="AD412"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バイナリーなトランスジェンダーではないので医師からの無理解や偏見が怖く受診するのを躊躇ってしまう</v>
      </c>
      <c r="AE412" s="8" t="s">
        <v>462</v>
      </c>
      <c r="AF412" s="8" t="s">
        <v>457</v>
      </c>
      <c r="AG412" s="8" t="s">
        <v>458</v>
      </c>
      <c r="AH412" s="8"/>
      <c r="AI412" s="8">
        <f t="shared" si="18"/>
        <v>8</v>
      </c>
      <c r="AJ412" s="8"/>
      <c r="AK412" s="8"/>
      <c r="AL412" s="8"/>
      <c r="AM412" s="8"/>
      <c r="AN412" s="8"/>
    </row>
    <row r="413" spans="1:40" ht="38.25" hidden="1">
      <c r="A413" s="8">
        <v>413</v>
      </c>
      <c r="B413" s="11">
        <v>44993.361179259256</v>
      </c>
      <c r="C413" s="8" t="s">
        <v>452</v>
      </c>
      <c r="D413" s="8" t="s">
        <v>453</v>
      </c>
      <c r="E413" s="8" t="s">
        <v>452</v>
      </c>
      <c r="F413" s="8" t="s">
        <v>454</v>
      </c>
      <c r="G413" s="8" t="str">
        <f>", "&amp;'RAW (公開用)'!F414&amp;", "</f>
        <v xml:space="preserve">, ノンバイナリー男性, トランス*／trans*, ニュートラル, レズビアン（ジェンダーについて）, トランスジェンダー, トランス男性, </v>
      </c>
      <c r="H413" s="8"/>
      <c r="I413" s="8" t="str">
        <f>", "&amp;'RAW (公開用)'!H414&amp;", "</f>
        <v xml:space="preserve">, さん, </v>
      </c>
      <c r="J413" s="8" t="s">
        <v>2335</v>
      </c>
      <c r="K41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13" s="8" t="str">
        <f>", "&amp;'RAW (公開用)'!J414&amp;", "</f>
        <v xml:space="preserve">, **英語を日常的に使わない**, </v>
      </c>
      <c r="M413" s="8" t="s">
        <v>2335</v>
      </c>
      <c r="N41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13" s="8" t="str">
        <f>", "&amp;'RAW (公開用)'!L414&amp;", "</f>
        <v xml:space="preserve">, 私（わたし／わたくし）, 俺, 僕, </v>
      </c>
      <c r="P413" s="8" t="s">
        <v>2335</v>
      </c>
      <c r="Q41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俺, 僕,  , </v>
      </c>
      <c r="R413" s="8" t="str">
        <f>", "&amp;'RAW (公開用)'!N413&amp;", "</f>
        <v xml:space="preserve">, （自分（たち）の名前）, （any／問わない／どれでもよい）, （三人称で言及してほしくない）, </v>
      </c>
      <c r="S413" s="8" t="s">
        <v>2335</v>
      </c>
      <c r="T41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（any／問わない／どれでもよい）, （三人称で言及してほしくない）,  , </v>
      </c>
      <c r="U413" s="8" t="str">
        <f>", "&amp;'RAW (公開用)'!P414&amp;", "</f>
        <v xml:space="preserve">, **英語を日常的に使わない**, </v>
      </c>
      <c r="V413" s="8" t="s">
        <v>455</v>
      </c>
      <c r="W413" s="8" t="str">
        <f>", "&amp;'RAW (公開用)'!R414&amp;", "</f>
        <v xml:space="preserve">, 職場や学校における無理解, カムアウトできない, 家族／かぞくからの無理解, アウティング（勝手にジェンダーや指向についての情報を明かされること）, </v>
      </c>
      <c r="X413" s="8" t="s">
        <v>209</v>
      </c>
      <c r="Y41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カムアウトできない, 家族／かぞくからの無理解, アウティング（勝手にジェンダーや指向についての情報を明かされること）,  アウティングをされたことがある</v>
      </c>
      <c r="Z413" s="8" t="s">
        <v>455</v>
      </c>
      <c r="AA413" s="8" t="str">
        <f>", "&amp;'RAW (公開用)'!U414&amp;", "</f>
        <v xml:space="preserve">, 戸籍上の性別の変更, </v>
      </c>
      <c r="AB413" s="8" t="str">
        <f>", "&amp;'RAW (公開用)'!V414&amp;", "</f>
        <v xml:space="preserve">, （上記のどれも経験していない）, </v>
      </c>
      <c r="AC413" s="8"/>
      <c r="AD413"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3" s="8" t="s">
        <v>479</v>
      </c>
      <c r="AF413" s="8" t="s">
        <v>457</v>
      </c>
      <c r="AG413" s="8" t="s">
        <v>458</v>
      </c>
      <c r="AH413" s="8"/>
      <c r="AI413" s="8">
        <f t="shared" si="18"/>
        <v>6</v>
      </c>
      <c r="AJ413" s="8"/>
      <c r="AK413" s="8"/>
      <c r="AL413" s="8"/>
      <c r="AM413" s="8"/>
      <c r="AN413" s="8"/>
    </row>
    <row r="414" spans="1:40" ht="25.5" hidden="1">
      <c r="A414" s="8">
        <v>36</v>
      </c>
      <c r="B414" s="11">
        <v>44969.835142060183</v>
      </c>
      <c r="C414" s="8" t="s">
        <v>452</v>
      </c>
      <c r="D414" s="8" t="s">
        <v>453</v>
      </c>
      <c r="E414" s="8" t="s">
        <v>452</v>
      </c>
      <c r="F414" s="8" t="s">
        <v>454</v>
      </c>
      <c r="G414" s="8" t="str">
        <f>", "&amp;'RAW (公開用)'!F37&amp;", "</f>
        <v xml:space="preserve">, 不明／わからない, </v>
      </c>
      <c r="H414" s="8"/>
      <c r="I414" s="8" t="str">
        <f>", "&amp;'RAW (公開用)'!H37&amp;", "</f>
        <v xml:space="preserve">, さん, （敬称なし）, ちゃん, （時とともに変わる）, </v>
      </c>
      <c r="J414" s="8" t="s">
        <v>2335</v>
      </c>
      <c r="K41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ちゃん, （時とともに変わる）,  , </v>
      </c>
      <c r="L414" s="8" t="str">
        <f>", "&amp;'RAW (公開用)'!J37&amp;", "</f>
        <v xml:space="preserve">, **英語を日常的に使わない**, </v>
      </c>
      <c r="M414" s="8" t="s">
        <v>2335</v>
      </c>
      <c r="N41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14" s="8" t="str">
        <f>", "&amp;'RAW (公開用)'!L37&amp;", "</f>
        <v xml:space="preserve">, 私（わたし／わたくし）, 自分, わたし, うち, </v>
      </c>
      <c r="P414" s="73" t="s">
        <v>2418</v>
      </c>
      <c r="Q41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私（わたし／わたくし）, 自分, わたし, うち,  , あたい,</v>
      </c>
      <c r="R414" s="8" t="str">
        <f>", "&amp;'RAW (公開用)'!N414&amp;", "</f>
        <v xml:space="preserve">, （自分（たち）の名前）, </v>
      </c>
      <c r="S414" s="8" t="s">
        <v>2335</v>
      </c>
      <c r="T41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14" s="8" t="str">
        <f>", "&amp;'RAW (公開用)'!P37&amp;", "</f>
        <v xml:space="preserve">, **英語を日常的に使わない**, </v>
      </c>
      <c r="V414" s="8" t="s">
        <v>455</v>
      </c>
      <c r="W414" s="8" t="str">
        <f>", "&amp;'RAW (公開用)'!R37&amp;", "</f>
        <v xml:space="preserve">, カムアウトできない, 性暴力, 必要なジェンダーケアへアクセスできない, ミスジェンダリング（誤った性別として扱うこと）, </v>
      </c>
      <c r="X414" s="8"/>
      <c r="Y41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性暴力, 必要なジェンダーケアへアクセスできない, ミスジェンダリング（誤った性別として扱うこと）,  </v>
      </c>
      <c r="Z414" s="8" t="s">
        <v>455</v>
      </c>
      <c r="AA414" s="8" t="str">
        <f>", "&amp;'RAW (公開用)'!U37&amp;", "</f>
        <v xml:space="preserve">, （上記のどれも希望していない）, </v>
      </c>
      <c r="AB414" s="8" t="str">
        <f>", "&amp;'RAW (公開用)'!V37&amp;", "</f>
        <v xml:space="preserve">, （上記のどれも経験していない）, </v>
      </c>
      <c r="AC414" s="8"/>
      <c r="AD41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4" s="8" t="s">
        <v>456</v>
      </c>
      <c r="AF414" s="8" t="s">
        <v>457</v>
      </c>
      <c r="AG414" s="8" t="s">
        <v>458</v>
      </c>
      <c r="AH414" s="8"/>
      <c r="AI414" s="8">
        <f>((LEN(G414)-LEN(SUBSTITUTE(G414,", ","")))/LEN(", ")-1-(LEN(G414)-LEN(SUBSTITUTE(G414,"必ず","")))/LEN("必ず"))+(LEN(H414)-LEN(SUBSTITUTE(H414,",","")))</f>
        <v>1</v>
      </c>
      <c r="AJ414" s="8"/>
      <c r="AK414" s="8"/>
      <c r="AL414" s="8"/>
      <c r="AM414" s="8"/>
      <c r="AN414" s="8"/>
    </row>
    <row r="415" spans="1:40" ht="51" hidden="1">
      <c r="A415" s="8">
        <v>344</v>
      </c>
      <c r="B415" s="11">
        <v>44991.934477083334</v>
      </c>
      <c r="C415" s="8" t="s">
        <v>452</v>
      </c>
      <c r="D415" s="8" t="s">
        <v>453</v>
      </c>
      <c r="E415" s="8" t="s">
        <v>452</v>
      </c>
      <c r="F415" s="8" t="s">
        <v>454</v>
      </c>
      <c r="G415" s="8" t="str">
        <f>", "&amp;'RAW (公開用)'!F345&amp;", "</f>
        <v xml:space="preserve">, ノンバイナリー, </v>
      </c>
      <c r="H415" s="8" t="s">
        <v>603</v>
      </c>
      <c r="I415" s="105" t="s">
        <v>2174</v>
      </c>
      <c r="J415" s="16" t="s">
        <v>2336</v>
      </c>
      <c r="K415" s="16"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無回答 , 言葉が存在しない,</v>
      </c>
      <c r="L415" s="105" t="s">
        <v>2174</v>
      </c>
      <c r="M415" s="8" t="s">
        <v>2426</v>
      </c>
      <c r="N41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無回答, 言葉が存在しない,</v>
      </c>
      <c r="O415" s="8" t="str">
        <f>", "&amp;'RAW (公開用)'!L345&amp;", "</f>
        <v xml:space="preserve">, 自分, </v>
      </c>
      <c r="P415" s="16" t="s">
        <v>2380</v>
      </c>
      <c r="Q41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自分,  , 納得のいく代名詞はない,</v>
      </c>
      <c r="R415" s="8" t="str">
        <f>", "&amp;'RAW (公開用)'!N415&amp;", "</f>
        <v xml:space="preserve">, （三人称で言及してほしくない）, </v>
      </c>
      <c r="S415" s="73" t="s">
        <v>2349</v>
      </c>
      <c r="T41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（三人称で言及してほしくない）,  , しっくりくるものがない,</v>
      </c>
      <c r="U415" s="8" t="str">
        <f>", "&amp;'RAW (公開用)'!P345&amp;", "</f>
        <v xml:space="preserve">, **英語を日常的に使わない**, </v>
      </c>
      <c r="V415" s="8" t="s">
        <v>455</v>
      </c>
      <c r="W415" s="8" t="str">
        <f>", "&amp;'RAW (公開用)'!R345&amp;", "</f>
        <v xml:space="preserve">, トイレなどのジェンダー化されたスペースの使用, 医療における無理解, 性暴力, 職場や学校における無理解, 家族／かぞくからの無理解, ミスジェンダリング（誤った性別として扱うこと）, </v>
      </c>
      <c r="X415" s="8" t="s">
        <v>259</v>
      </c>
      <c r="Y41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トイレなどのジェンダー化されたスペースの使用, 医療における無理解, 性暴力, 職場や学校における無理解, 家族／かぞくからの無理解, ミスジェンダリング（誤った性別として扱うこと）,  常に女性で一番とか女性で初とか女性では珍しいと言われる</v>
      </c>
      <c r="Z415" s="8" t="s">
        <v>455</v>
      </c>
      <c r="AA415" s="8" t="str">
        <f>", "&amp;'RAW (公開用)'!U345&amp;", "</f>
        <v xml:space="preserve">, （上記のどれも希望していない）, </v>
      </c>
      <c r="AB415" s="8" t="str">
        <f>", "&amp;'RAW (公開用)'!V345&amp;", "</f>
        <v xml:space="preserve">, （上記のどれも経験していない）, </v>
      </c>
      <c r="AC415" s="8"/>
      <c r="AD41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5" s="8" t="s">
        <v>475</v>
      </c>
      <c r="AF415" s="8" t="s">
        <v>457</v>
      </c>
      <c r="AG415" s="8"/>
      <c r="AH415" s="8" t="s">
        <v>604</v>
      </c>
      <c r="AI415" s="8">
        <f>(LEN(G415)-LEN(SUBSTITUTE(G415,", ","")))/LEN(", ")-1-(LEN(G415)-LEN(SUBSTITUTE(G415,"必ず","")))/LEN("必ず")</f>
        <v>1</v>
      </c>
      <c r="AJ415" s="8"/>
      <c r="AK415" s="8"/>
      <c r="AL415" s="8"/>
      <c r="AM415" s="8"/>
      <c r="AN415" s="8"/>
    </row>
    <row r="416" spans="1:40" ht="25.5" hidden="1">
      <c r="A416" s="8">
        <v>416</v>
      </c>
      <c r="B416" s="11">
        <v>44993.697378877318</v>
      </c>
      <c r="C416" s="8" t="s">
        <v>452</v>
      </c>
      <c r="D416" s="8" t="s">
        <v>453</v>
      </c>
      <c r="E416" s="8" t="s">
        <v>452</v>
      </c>
      <c r="F416" s="8" t="s">
        <v>454</v>
      </c>
      <c r="G416" s="8" t="str">
        <f>", "&amp;'RAW (公開用)'!F417&amp;", "</f>
        <v xml:space="preserve">, Xジェンダー, ノンバイナリー, ジェンダークィア, ノンバイナリー女性, クィア／Queer, </v>
      </c>
      <c r="H416" s="8"/>
      <c r="I416" s="8" t="str">
        <f>", "&amp;'RAW (公開用)'!H417&amp;", "</f>
        <v xml:space="preserve">, （クエスチョニング、模索中、または不明）, さん, </v>
      </c>
      <c r="J416" s="8" t="s">
        <v>2335</v>
      </c>
      <c r="K41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416" s="8" t="str">
        <f>", "&amp;'RAW (公開用)'!J417&amp;", "</f>
        <v xml:space="preserve">, （クエスチョニング、模索中、または不明）, </v>
      </c>
      <c r="M416" s="8" t="s">
        <v>2335</v>
      </c>
      <c r="N41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 </v>
      </c>
      <c r="O416" s="8" t="str">
        <f>", "&amp;'RAW (公開用)'!L417&amp;", "</f>
        <v xml:space="preserve">, （時とともに変わる）, わたし, おれ, ぼく, 自分, </v>
      </c>
      <c r="P416" s="8" t="s">
        <v>2335</v>
      </c>
      <c r="Q41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（時とともに変わる）, わたし, おれ, ぼく, 自分,  , </v>
      </c>
      <c r="R416" s="8" t="str">
        <f>", "&amp;'RAW (公開用)'!N416&amp;", "</f>
        <v xml:space="preserve">, （自分（たち）の名前）, （三人称で言及してほしくない）, </v>
      </c>
      <c r="S416" s="8" t="s">
        <v>2335</v>
      </c>
      <c r="T41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416" s="8" t="str">
        <f>", "&amp;'RAW (公開用)'!P417&amp;", "</f>
        <v xml:space="preserve">, （クエスチョニング、模索中、または不明）, </v>
      </c>
      <c r="V416" s="8" t="s">
        <v>455</v>
      </c>
      <c r="W416" s="8" t="str">
        <f>", "&amp;'RAW (公開用)'!R417&amp;", "</f>
        <v xml:space="preserve">, 家族／かぞくからの無理解, 必要なジェンダーケアへアクセスできない, </v>
      </c>
      <c r="X416" s="8"/>
      <c r="Y41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必要なジェンダーケアへアクセスできない,  </v>
      </c>
      <c r="Z416" s="8" t="s">
        <v>455</v>
      </c>
      <c r="AA416" s="8" t="str">
        <f>", "&amp;'RAW (公開用)'!U417&amp;", "</f>
        <v xml:space="preserve">, 戸籍上の性別の変更, ジェンダークリニックの受診, 胸部の手術, </v>
      </c>
      <c r="AB416" s="8" t="str">
        <f>", "&amp;'RAW (公開用)'!V417&amp;", "</f>
        <v xml:space="preserve">, （上記のどれも経験していない）, </v>
      </c>
      <c r="AC416" s="8"/>
      <c r="AD41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6" s="8" t="s">
        <v>462</v>
      </c>
      <c r="AF416" s="8" t="s">
        <v>457</v>
      </c>
      <c r="AG416" s="8" t="s">
        <v>458</v>
      </c>
      <c r="AH416" s="8"/>
      <c r="AI416" s="8">
        <f>(LEN(G416)-LEN(SUBSTITUTE(G416,", ","")))/LEN(", ")-1-(LEN(G416)-LEN(SUBSTITUTE(G416,"必ず","")))/LEN("必ず")</f>
        <v>5</v>
      </c>
      <c r="AJ416" s="8"/>
      <c r="AK416" s="8"/>
      <c r="AL416" s="8"/>
      <c r="AM416" s="8"/>
      <c r="AN416" s="8"/>
    </row>
    <row r="417" spans="1:40" ht="51" hidden="1">
      <c r="A417" s="8">
        <v>37</v>
      </c>
      <c r="B417" s="11">
        <v>44969.836303680553</v>
      </c>
      <c r="C417" s="8" t="s">
        <v>452</v>
      </c>
      <c r="D417" s="8" t="s">
        <v>453</v>
      </c>
      <c r="E417" s="8" t="s">
        <v>452</v>
      </c>
      <c r="F417" s="8" t="s">
        <v>454</v>
      </c>
      <c r="G417" s="8" t="str">
        <f>", "&amp;'RAW (公開用)'!F38&amp;", "</f>
        <v xml:space="preserve">, クィア／Queer, ノンバイナリー, デミジェンダー, </v>
      </c>
      <c r="H417" s="8" t="s">
        <v>488</v>
      </c>
      <c r="I417" s="8" t="str">
        <f>", "&amp;'RAW (公開用)'!H38&amp;", "</f>
        <v xml:space="preserve">, ちゃん, たん, さん, </v>
      </c>
      <c r="J417" s="73" t="s">
        <v>2340</v>
      </c>
      <c r="K41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ちゃん, たん, さん,  , 同志,</v>
      </c>
      <c r="L417" s="8" t="str">
        <f>", "&amp;'RAW (公開用)'!J38&amp;", "</f>
        <v xml:space="preserve">, -san, （時とともに変わる）, </v>
      </c>
      <c r="M417" s="8" t="s">
        <v>2335</v>
      </c>
      <c r="N41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（時とともに変わる）, , </v>
      </c>
      <c r="O417" s="8" t="str">
        <f>", "&amp;'RAW (公開用)'!L38&amp;", "</f>
        <v xml:space="preserve">, あたし, うち, 自分, わたし, 私（わたし／わたくし）, </v>
      </c>
      <c r="P417" s="8" t="s">
        <v>2335</v>
      </c>
      <c r="Q41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うち, 自分, わたし, 私（わたし／わたくし）,  , </v>
      </c>
      <c r="R417" s="8" t="s">
        <v>2174</v>
      </c>
      <c r="S417" s="73" t="s">
        <v>2376</v>
      </c>
      <c r="T41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無回答 , あいつ,</v>
      </c>
      <c r="U417" s="8" t="str">
        <f>", "&amp;'RAW (公開用)'!P38&amp;", "</f>
        <v xml:space="preserve">, （時とともに変わる）, she, </v>
      </c>
      <c r="V417" s="8" t="s">
        <v>455</v>
      </c>
      <c r="W417" s="8" t="str">
        <f>", "&amp;'RAW (公開用)'!R38&amp;", "</f>
        <v xml:space="preserve">, LGBTQ+運動からの排斥, ミスジェンダリング（誤った性別として扱うこと）, 社会の中でいないことにされる, 職場や学校における無理解, 家族／かぞくからの無理解, </v>
      </c>
      <c r="X417" s="8"/>
      <c r="Y41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ミスジェンダリング（誤った性別として扱うこと）, 社会の中でいないことにされる, 職場や学校における無理解, 家族／かぞくからの無理解,  </v>
      </c>
      <c r="Z417" s="8" t="s">
        <v>455</v>
      </c>
      <c r="AA417" s="8" t="str">
        <f>", "&amp;'RAW (公開用)'!U38&amp;", "</f>
        <v xml:space="preserve">, （上記のどれも希望していない）, </v>
      </c>
      <c r="AB417" s="8" t="str">
        <f>", "&amp;'RAW (公開用)'!V38&amp;", "</f>
        <v xml:space="preserve">, （上記のどれも経験していない）, </v>
      </c>
      <c r="AC417" s="8" t="s">
        <v>422</v>
      </c>
      <c r="AD417"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医者に）生理が早く無くなってほしいのに、順調に来るように治療されたり、女性らしいからだや女性らしい性格が正常なように話をされる。例えば、おしゃれな服が着れるようにダイエットをしましょうなどと話をされる。</v>
      </c>
      <c r="AE417" s="8" t="s">
        <v>475</v>
      </c>
      <c r="AF417" s="8" t="s">
        <v>457</v>
      </c>
      <c r="AG417" s="8" t="s">
        <v>458</v>
      </c>
      <c r="AH417" s="8"/>
      <c r="AI417" s="8">
        <f>((LEN(G417)-LEN(SUBSTITUTE(G417,", ","")))/LEN(", ")-1-(LEN(G417)-LEN(SUBSTITUTE(G417,"必ず","")))/LEN("必ず"))+(LEN(H417)-LEN(SUBSTITUTE(H417,",","")))</f>
        <v>4</v>
      </c>
      <c r="AJ417" s="8"/>
      <c r="AK417" s="8"/>
      <c r="AL417" s="8"/>
      <c r="AM417" s="8"/>
      <c r="AN417" s="8"/>
    </row>
    <row r="418" spans="1:40" ht="63.75" hidden="1">
      <c r="A418" s="8">
        <v>418</v>
      </c>
      <c r="B418" s="11">
        <v>44993.784079247685</v>
      </c>
      <c r="C418" s="8" t="s">
        <v>452</v>
      </c>
      <c r="D418" s="8" t="s">
        <v>453</v>
      </c>
      <c r="E418" s="8" t="s">
        <v>452</v>
      </c>
      <c r="F418" s="8" t="s">
        <v>454</v>
      </c>
      <c r="G418" s="8" t="str">
        <f>", "&amp;'RAW (公開用)'!F419&amp;", "</f>
        <v xml:space="preserve">, Xジェンダー, </v>
      </c>
      <c r="H418" s="8"/>
      <c r="I418" s="8" t="str">
        <f>", "&amp;'RAW (公開用)'!H419&amp;", "</f>
        <v xml:space="preserve">, （敬称なし）, </v>
      </c>
      <c r="J418" s="8" t="s">
        <v>2335</v>
      </c>
      <c r="K41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 </v>
      </c>
      <c r="L418" s="8" t="str">
        <f>", "&amp;'RAW (公開用)'!J419&amp;", "</f>
        <v xml:space="preserve">, （敬称なし）, </v>
      </c>
      <c r="M418" s="8" t="s">
        <v>2335</v>
      </c>
      <c r="N41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 </v>
      </c>
      <c r="O418" s="8" t="str">
        <f>", "&amp;'RAW (公開用)'!L419&amp;", "</f>
        <v xml:space="preserve">, 俺, </v>
      </c>
      <c r="P418" s="8" t="s">
        <v>2335</v>
      </c>
      <c r="Q41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 </v>
      </c>
      <c r="R418" s="8" t="str">
        <f>", "&amp;'RAW (公開用)'!N418&amp;", "</f>
        <v xml:space="preserve">, （自分（たち）の名前）, </v>
      </c>
      <c r="S418" s="8" t="s">
        <v>2335</v>
      </c>
      <c r="T41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18" s="8" t="str">
        <f>", "&amp;'RAW (公開用)'!P419&amp;", "</f>
        <v xml:space="preserve">, they/them/their/themselves, </v>
      </c>
      <c r="V418" s="8" t="s">
        <v>455</v>
      </c>
      <c r="W418" s="8" t="str">
        <f>", "&amp;'RAW (公開用)'!R419&amp;", "</f>
        <v xml:space="preserve">, デッドネーミング（誤った名前で呼ばれること）, 家族／かぞくからの無理解, アウティング（勝手にジェンダーや指向についての情報を明かされること）, カムアウトできない, 性暴力, トイレなどのジェンダー化されたスペースの使用, 社会の中でいないことにされる, LGBTQ+運動からの排斥, ミスジェンダリング（誤った性別として扱うこと）, </v>
      </c>
      <c r="X418" s="8"/>
      <c r="Y41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デッドネーミング（誤った名前で呼ばれること）, 家族／かぞくからの無理解, アウティング（勝手にジェンダーや指向についての情報を明かされること）, カムアウトできない, 性暴力, トイレなどのジェンダー化されたスペースの使用, 社会の中でいないことにされる, LGBTQ+運動からの排斥, ミスジェンダリング（誤った性別として扱うこと）,  </v>
      </c>
      <c r="Z418" s="8" t="s">
        <v>455</v>
      </c>
      <c r="AA418" s="8" t="str">
        <f>", "&amp;'RAW (公開用)'!U419&amp;", "</f>
        <v xml:space="preserve">, 戸籍名の変更, ジェンダークリニックの受診, 胸部の手術, </v>
      </c>
      <c r="AB418" s="8" t="str">
        <f>", "&amp;'RAW (公開用)'!V419&amp;", "</f>
        <v xml:space="preserve">, （上記のどれも経験していない）, </v>
      </c>
      <c r="AC418" s="8"/>
      <c r="AD418"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18" s="8" t="s">
        <v>464</v>
      </c>
      <c r="AF418" s="8" t="s">
        <v>457</v>
      </c>
      <c r="AG418" s="8" t="s">
        <v>458</v>
      </c>
      <c r="AH418" s="8"/>
      <c r="AI418" s="8">
        <f t="shared" ref="AI418:AI424" si="19">(LEN(G418)-LEN(SUBSTITUTE(G418,", ","")))/LEN(", ")-1-(LEN(G418)-LEN(SUBSTITUTE(G418,"必ず","")))/LEN("必ず")</f>
        <v>1</v>
      </c>
      <c r="AJ418" s="8"/>
      <c r="AK418" s="8"/>
      <c r="AL418" s="8"/>
      <c r="AM418" s="8"/>
      <c r="AN418" s="8"/>
    </row>
    <row r="419" spans="1:40" ht="38.25" hidden="1">
      <c r="A419" s="8">
        <v>419</v>
      </c>
      <c r="B419" s="11">
        <v>44993.850728391204</v>
      </c>
      <c r="C419" s="8" t="s">
        <v>452</v>
      </c>
      <c r="D419" s="8" t="s">
        <v>453</v>
      </c>
      <c r="E419" s="8" t="s">
        <v>452</v>
      </c>
      <c r="F419" s="8" t="s">
        <v>454</v>
      </c>
      <c r="G419" s="8" t="str">
        <f>", "&amp;'RAW (公開用)'!F420&amp;", "</f>
        <v xml:space="preserve">, ノンバイナリー, クエスチョニング, トランス, **必ず選んでください**, </v>
      </c>
      <c r="H419" s="8"/>
      <c r="I419" s="8" t="str">
        <f>", "&amp;'RAW (公開用)'!H420&amp;", "</f>
        <v xml:space="preserve">, さん, くん／君, （any／問わない／どれでもよい）, ちゃん, </v>
      </c>
      <c r="J419" s="8" t="s">
        <v>2335</v>
      </c>
      <c r="K41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（any／問わない／どれでもよい）, ちゃん,  , </v>
      </c>
      <c r="L419" s="8" t="str">
        <f>", "&amp;'RAW (公開用)'!J420&amp;", "</f>
        <v xml:space="preserve">, **英語を日常的に使わない**, </v>
      </c>
      <c r="M419" s="8" t="s">
        <v>2335</v>
      </c>
      <c r="N41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19" s="8" t="str">
        <f>", "&amp;'RAW (公開用)'!L420&amp;", "</f>
        <v xml:space="preserve">, 自分, 俺, わし, 私（わたし／わたくし）, </v>
      </c>
      <c r="P419" s="8" t="s">
        <v>2335</v>
      </c>
      <c r="Q41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俺, わし, 私（わたし／わたくし）,  , </v>
      </c>
      <c r="R419" s="8" t="str">
        <f>", "&amp;'RAW (公開用)'!N419&amp;", "</f>
        <v xml:space="preserve">, （自分（たち）の名前）, </v>
      </c>
      <c r="S419" s="8" t="s">
        <v>2335</v>
      </c>
      <c r="T41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19" s="8" t="str">
        <f>", "&amp;'RAW (公開用)'!P420&amp;", "</f>
        <v xml:space="preserve">, **英語を日常的に使わない**, </v>
      </c>
      <c r="V419" s="8" t="s">
        <v>455</v>
      </c>
      <c r="W419" s="8" t="str">
        <f>", "&amp;'RAW (公開用)'!R420&amp;", "</f>
        <v xml:space="preserve">, トイレなどのジェンダー化されたスペースの使用, 社会の中でいないことにされる, 必要なジェンダーケアへアクセスできない, 家族／かぞくからの無理解, 性暴力, ミスジェンダリング（誤った性別として扱うこと）, </v>
      </c>
      <c r="X419" s="8"/>
      <c r="Y41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社会の中でいないことにされる, 必要なジェンダーケアへアクセスできない, 家族／かぞくからの無理解, 性暴力, ミスジェンダリング（誤った性別として扱うこと）,  </v>
      </c>
      <c r="Z419" s="8" t="s">
        <v>455</v>
      </c>
      <c r="AA419" s="8" t="str">
        <f>", "&amp;'RAW (公開用)'!U420&amp;", "</f>
        <v xml:space="preserve">, ジェンダークリニックの受診, 胸部の手術, </v>
      </c>
      <c r="AB419" s="8" t="str">
        <f>", "&amp;'RAW (公開用)'!V420&amp;", "</f>
        <v xml:space="preserve">, （上記のどれも経験していない）, </v>
      </c>
      <c r="AC419" s="8" t="s">
        <v>371</v>
      </c>
      <c r="AD419"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地方に住んでいるため、クリニックの情報やアクセスが困難。胸部の手術を強く希望しているが、初めの一歩でつまづいている。</v>
      </c>
      <c r="AE419" s="8" t="s">
        <v>459</v>
      </c>
      <c r="AF419" s="8" t="s">
        <v>457</v>
      </c>
      <c r="AG419" s="8" t="s">
        <v>458</v>
      </c>
      <c r="AH419" s="8"/>
      <c r="AI419" s="8">
        <f t="shared" si="19"/>
        <v>3</v>
      </c>
      <c r="AJ419" s="8"/>
      <c r="AK419" s="8"/>
      <c r="AL419" s="8"/>
      <c r="AM419" s="8"/>
      <c r="AN419" s="8"/>
    </row>
    <row r="420" spans="1:40" ht="25.5" hidden="1">
      <c r="A420" s="8">
        <v>420</v>
      </c>
      <c r="B420" s="11">
        <v>44993.864790474538</v>
      </c>
      <c r="C420" s="8" t="s">
        <v>452</v>
      </c>
      <c r="D420" s="8" t="s">
        <v>453</v>
      </c>
      <c r="E420" s="8" t="s">
        <v>452</v>
      </c>
      <c r="F420" s="8" t="s">
        <v>454</v>
      </c>
      <c r="G420" s="8" t="str">
        <f>", "&amp;'RAW (公開用)'!F421&amp;", "</f>
        <v xml:space="preserve">, ニュートラル, **必ず選んでください**, クエスチョニング, シスジェンダー, </v>
      </c>
      <c r="H420" s="8"/>
      <c r="I420" s="8" t="str">
        <f>", "&amp;'RAW (公開用)'!H421&amp;", "</f>
        <v xml:space="preserve">, （any／問わない／どれでもよい）, （時とともに変わる）, さん, （敬称なし）, </v>
      </c>
      <c r="J420" s="8" t="s">
        <v>2335</v>
      </c>
      <c r="K42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（時とともに変わる）, さん, （敬称なし）,  , </v>
      </c>
      <c r="L420" s="8" t="str">
        <f>", "&amp;'RAW (公開用)'!J421&amp;", "</f>
        <v xml:space="preserve">, （敬称なし）, （クエスチョニング、模索中、または不明）, </v>
      </c>
      <c r="M420" s="8" t="s">
        <v>2335</v>
      </c>
      <c r="N42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（クエスチョニング、模索中、または不明）, , </v>
      </c>
      <c r="O420" s="8" t="str">
        <f>", "&amp;'RAW (公開用)'!L421&amp;", "</f>
        <v xml:space="preserve">, わたし, 私（わたし／わたくし）, 自分, </v>
      </c>
      <c r="P420" s="8" t="s">
        <v>2335</v>
      </c>
      <c r="Q42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自分,  , </v>
      </c>
      <c r="R420" s="8" t="str">
        <f>", "&amp;'RAW (公開用)'!N420&amp;", "</f>
        <v xml:space="preserve">, （自分（たち）の名前）, </v>
      </c>
      <c r="S420" s="8" t="s">
        <v>2335</v>
      </c>
      <c r="T42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20" s="8" t="str">
        <f>", "&amp;'RAW (公開用)'!P421&amp;", "</f>
        <v xml:space="preserve">, any/問わない/どれでもよい, （時とともに変わる）, she, </v>
      </c>
      <c r="V420" s="8" t="s">
        <v>455</v>
      </c>
      <c r="W420" s="8" t="s">
        <v>2174</v>
      </c>
      <c r="X420" s="8"/>
      <c r="Y42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420" s="8" t="s">
        <v>472</v>
      </c>
      <c r="AA420" s="8" t="s">
        <v>2174</v>
      </c>
      <c r="AB420" s="105" t="s">
        <v>2443</v>
      </c>
      <c r="AC420" s="8"/>
      <c r="AD420"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20" s="8" t="s">
        <v>459</v>
      </c>
      <c r="AF420" s="8" t="s">
        <v>457</v>
      </c>
      <c r="AG420" s="8" t="s">
        <v>458</v>
      </c>
      <c r="AH420" s="8"/>
      <c r="AI420" s="8">
        <f t="shared" si="19"/>
        <v>3</v>
      </c>
      <c r="AJ420" s="8"/>
      <c r="AK420" s="8"/>
      <c r="AL420" s="8"/>
      <c r="AM420" s="8"/>
      <c r="AN420" s="8"/>
    </row>
    <row r="421" spans="1:40" ht="25.5" hidden="1">
      <c r="A421" s="8">
        <v>421</v>
      </c>
      <c r="B421" s="11">
        <v>44993.882317256939</v>
      </c>
      <c r="C421" s="8" t="s">
        <v>452</v>
      </c>
      <c r="D421" s="8" t="s">
        <v>453</v>
      </c>
      <c r="E421" s="8" t="s">
        <v>452</v>
      </c>
      <c r="F421" s="8" t="s">
        <v>454</v>
      </c>
      <c r="G421" s="8" t="str">
        <f>", "&amp;'RAW (公開用)'!F422&amp;", "</f>
        <v xml:space="preserve">, Xジェンダー, 無性, </v>
      </c>
      <c r="H421" s="8"/>
      <c r="I421" s="8" t="str">
        <f>", "&amp;'RAW (公開用)'!H422&amp;", "</f>
        <v xml:space="preserve">, さん, （クエスチョニング、模索中、または不明）, </v>
      </c>
      <c r="J421" s="8" t="s">
        <v>2335</v>
      </c>
      <c r="K42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（クエスチョニング、模索中、または不明）,  , </v>
      </c>
      <c r="L421" s="8" t="str">
        <f>", "&amp;'RAW (公開用)'!J422&amp;", "</f>
        <v xml:space="preserve">, **英語を日常的に使わない**, </v>
      </c>
      <c r="M421" s="8" t="s">
        <v>2335</v>
      </c>
      <c r="N42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1" s="8" t="str">
        <f>", "&amp;'RAW (公開用)'!L422&amp;", "</f>
        <v xml:space="preserve">, うち, わたし, （時とともに変わる）, （クエスチョニング、模索中、または不明）, （一人称の使用を避ける）, </v>
      </c>
      <c r="P421" s="8" t="s">
        <v>2335</v>
      </c>
      <c r="Q42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わたし, （時とともに変わる）, （クエスチョニング、模索中、または不明）, （一人称の使用を避ける）,  , </v>
      </c>
      <c r="R421" s="8" t="str">
        <f>", "&amp;'RAW (公開用)'!N421&amp;", "</f>
        <v xml:space="preserve">, 彼女, （自分（たち）の名前）, </v>
      </c>
      <c r="S421" s="8" t="s">
        <v>2335</v>
      </c>
      <c r="T42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（自分（たち）の名前）,  , </v>
      </c>
      <c r="U421" s="8" t="str">
        <f>", "&amp;'RAW (公開用)'!P422&amp;", "</f>
        <v xml:space="preserve">, **英語を日常的に使わない**, </v>
      </c>
      <c r="V421" s="8" t="s">
        <v>455</v>
      </c>
      <c r="W421" s="8" t="str">
        <f>", "&amp;'RAW (公開用)'!R422&amp;", "</f>
        <v xml:space="preserve">, ミスジェンダリング（誤った性別として扱うこと）, トイレなどのジェンダー化されたスペースの使用, </v>
      </c>
      <c r="X421" s="8"/>
      <c r="Y42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トイレなどのジェンダー化されたスペースの使用,  </v>
      </c>
      <c r="Z421" s="8" t="s">
        <v>455</v>
      </c>
      <c r="AA421" s="8" t="str">
        <f>", "&amp;'RAW (公開用)'!U422&amp;", "</f>
        <v xml:space="preserve">, （上記のどれも希望していない）, </v>
      </c>
      <c r="AB421" s="8" t="str">
        <f>", "&amp;'RAW (公開用)'!V422&amp;", "</f>
        <v xml:space="preserve">, （上記のどれも経験していない）, </v>
      </c>
      <c r="AC421" s="8"/>
      <c r="AD421"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21" s="8" t="s">
        <v>459</v>
      </c>
      <c r="AF421" s="8" t="s">
        <v>457</v>
      </c>
      <c r="AG421" s="8" t="s">
        <v>458</v>
      </c>
      <c r="AH421" s="8"/>
      <c r="AI421" s="8">
        <f t="shared" si="19"/>
        <v>2</v>
      </c>
      <c r="AJ421" s="8"/>
      <c r="AK421" s="8"/>
      <c r="AL421" s="8"/>
      <c r="AM421" s="8"/>
      <c r="AN421" s="8"/>
    </row>
    <row r="422" spans="1:40" ht="12.75" hidden="1">
      <c r="A422" s="8">
        <v>422</v>
      </c>
      <c r="B422" s="11">
        <v>44993.906904421296</v>
      </c>
      <c r="C422" s="8" t="s">
        <v>452</v>
      </c>
      <c r="D422" s="8" t="s">
        <v>453</v>
      </c>
      <c r="E422" s="8" t="s">
        <v>452</v>
      </c>
      <c r="F422" s="8" t="s">
        <v>454</v>
      </c>
      <c r="G422" s="8" t="str">
        <f>", "&amp;'RAW (公開用)'!F423&amp;", "</f>
        <v xml:space="preserve">, **必ず選んでください**, Xジェンダー, X, 中性, </v>
      </c>
      <c r="H422" s="8"/>
      <c r="I422" s="8" t="str">
        <f>", "&amp;'RAW (公開用)'!H423&amp;", "</f>
        <v xml:space="preserve">, さん, </v>
      </c>
      <c r="J422" s="8" t="s">
        <v>2335</v>
      </c>
      <c r="K42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22" s="8" t="str">
        <f>", "&amp;'RAW (公開用)'!J423&amp;", "</f>
        <v xml:space="preserve">, Ms., </v>
      </c>
      <c r="M422" s="8" t="s">
        <v>2335</v>
      </c>
      <c r="N42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Ms., , </v>
      </c>
      <c r="O422" s="8" t="str">
        <f>", "&amp;'RAW (公開用)'!L423&amp;", "</f>
        <v xml:space="preserve">, わたし, 自分, </v>
      </c>
      <c r="P422" s="8" t="s">
        <v>2335</v>
      </c>
      <c r="Q42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 </v>
      </c>
      <c r="R422" s="8" t="str">
        <f>", "&amp;'RAW (公開用)'!N422&amp;", "</f>
        <v xml:space="preserve">, 彼女, （三人称で言及してほしくない）, （自分（たち）の名前）, </v>
      </c>
      <c r="S422" s="8" t="s">
        <v>2335</v>
      </c>
      <c r="T42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彼女, （三人称で言及してほしくない）, （自分（たち）の名前）,  , </v>
      </c>
      <c r="U422" s="8" t="str">
        <f>", "&amp;'RAW (公開用)'!P423&amp;", "</f>
        <v xml:space="preserve">, any/問わない/どれでもよい, </v>
      </c>
      <c r="V422" s="8" t="s">
        <v>455</v>
      </c>
      <c r="W422" s="8" t="str">
        <f>", "&amp;'RAW (公開用)'!R423&amp;", "</f>
        <v xml:space="preserve">, LGBTQ+運動からの排斥, カムアウトできない, 社会の中でいないことにされる, </v>
      </c>
      <c r="X422" s="8"/>
      <c r="Y42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カムアウトできない, 社会の中でいないことにされる,  </v>
      </c>
      <c r="Z422" s="8" t="s">
        <v>455</v>
      </c>
      <c r="AA422" s="8" t="str">
        <f>", "&amp;'RAW (公開用)'!U423&amp;", "</f>
        <v xml:space="preserve">, 胸部の手術, </v>
      </c>
      <c r="AB422" s="8" t="str">
        <f>", "&amp;'RAW (公開用)'!V423&amp;", "</f>
        <v xml:space="preserve">, （上記のどれも経験していない）, </v>
      </c>
      <c r="AC422" s="8"/>
      <c r="AD42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22" s="8" t="s">
        <v>475</v>
      </c>
      <c r="AF422" s="8" t="s">
        <v>457</v>
      </c>
      <c r="AG422" s="8" t="s">
        <v>458</v>
      </c>
      <c r="AH422" s="8"/>
      <c r="AI422" s="8">
        <f t="shared" si="19"/>
        <v>3</v>
      </c>
      <c r="AJ422" s="8"/>
      <c r="AK422" s="8"/>
      <c r="AL422" s="8"/>
      <c r="AM422" s="8"/>
      <c r="AN422" s="8"/>
    </row>
    <row r="423" spans="1:40" ht="51" hidden="1">
      <c r="A423" s="8">
        <v>423</v>
      </c>
      <c r="B423" s="11">
        <v>44993.942990115742</v>
      </c>
      <c r="C423" s="8" t="s">
        <v>452</v>
      </c>
      <c r="D423" s="8" t="s">
        <v>453</v>
      </c>
      <c r="E423" s="8" t="s">
        <v>452</v>
      </c>
      <c r="F423" s="8" t="s">
        <v>454</v>
      </c>
      <c r="G423" s="8" t="str">
        <f>", "&amp;'RAW (公開用)'!F424&amp;", "</f>
        <v xml:space="preserve">, クィア／Queer, Xジェンダー, **必ず選んでください**, 中性, X, （ジェンダー・）フルイド／（ジェンダー・）フリュイド／（ジェンダー・）フルイッド, ジェンダーレス, ニュートラル, 不明／わからない, 両性, 不定性, </v>
      </c>
      <c r="H423" s="8"/>
      <c r="I423" s="8" t="str">
        <f>", "&amp;'RAW (公開用)'!H424&amp;", "</f>
        <v xml:space="preserve">, さん, </v>
      </c>
      <c r="J423" s="8" t="s">
        <v>2335</v>
      </c>
      <c r="K42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23" s="8" t="str">
        <f>", "&amp;'RAW (公開用)'!J424&amp;", "</f>
        <v xml:space="preserve">, **英語を日常的に使わない**, </v>
      </c>
      <c r="M423" s="8" t="s">
        <v>2335</v>
      </c>
      <c r="N42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3" s="8" t="str">
        <f>", "&amp;'RAW (公開用)'!L424&amp;", "</f>
        <v xml:space="preserve">, わたし, おれ, うち, 俺, あたし, 自分, わし, （時とともに変わる）, ぼく, 私（わたし／わたくし）, 僕, </v>
      </c>
      <c r="P423" s="8" t="s">
        <v>2335</v>
      </c>
      <c r="Q42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おれ, うち, 俺, あたし, 自分, わし, （時とともに変わる）, ぼく, 私（わたし／わたくし）, 僕,  , </v>
      </c>
      <c r="R423" s="8" t="str">
        <f>", "&amp;'RAW (公開用)'!N423&amp;", "</f>
        <v xml:space="preserve">, （any／問わない／どれでもよい）, </v>
      </c>
      <c r="S423" s="8" t="s">
        <v>2335</v>
      </c>
      <c r="T42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（any／問わない／どれでもよい）,  , </v>
      </c>
      <c r="U423" s="8" t="str">
        <f>", "&amp;'RAW (公開用)'!P424&amp;", "</f>
        <v xml:space="preserve">, **英語を日常的に使わない**, </v>
      </c>
      <c r="V423" s="8" t="s">
        <v>455</v>
      </c>
      <c r="W423" s="8" t="str">
        <f>", "&amp;'RAW (公開用)'!R424&amp;", "</f>
        <v xml:space="preserve">, 性暴力, ミスジェンダリング（誤った性別として扱うこと）, カムアウトできない, 医療における無理解, 社会の中でいないことにされる, 職場や学校における無理解, トイレなどのジェンダー化されたスペースの使用, </v>
      </c>
      <c r="X423" s="8" t="s">
        <v>223</v>
      </c>
      <c r="Y42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性暴力, ミスジェンダリング（誤った性別として扱うこと）, カムアウトできない, 医療における無理解, 社会の中でいないことにされる, 職場や学校における無理解, トイレなどのジェンダー化されたスペースの使用,  トランスジェンダーのヘイト活動について見聞きすること</v>
      </c>
      <c r="Z423" s="8" t="s">
        <v>455</v>
      </c>
      <c r="AA423" s="8" t="str">
        <f>", "&amp;'RAW (公開用)'!U424&amp;", "</f>
        <v xml:space="preserve">, ジェンダークリニックの受診, ホルモン補充療法（HRT）, 胸部の手術, </v>
      </c>
      <c r="AB423" s="8" t="str">
        <f>", "&amp;'RAW (公開用)'!V424&amp;", "</f>
        <v xml:space="preserve">, （上記のどれも経験していない）, </v>
      </c>
      <c r="AC423" s="8" t="s">
        <v>310</v>
      </c>
      <c r="AD423"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金銭的問題により医療行為を受けられないこと</v>
      </c>
      <c r="AE423" s="8" t="s">
        <v>459</v>
      </c>
      <c r="AF423" s="8" t="s">
        <v>457</v>
      </c>
      <c r="AG423" s="8" t="s">
        <v>458</v>
      </c>
      <c r="AH423" s="8" t="s">
        <v>523</v>
      </c>
      <c r="AI423" s="8">
        <f t="shared" si="19"/>
        <v>10</v>
      </c>
      <c r="AJ423" s="8"/>
      <c r="AK423" s="8"/>
      <c r="AL423" s="8"/>
      <c r="AM423" s="8"/>
      <c r="AN423" s="8"/>
    </row>
    <row r="424" spans="1:40" ht="25.5" hidden="1">
      <c r="A424" s="8">
        <v>424</v>
      </c>
      <c r="B424" s="11">
        <v>44994.005166006944</v>
      </c>
      <c r="C424" s="8" t="s">
        <v>452</v>
      </c>
      <c r="D424" s="8" t="s">
        <v>453</v>
      </c>
      <c r="E424" s="8" t="s">
        <v>452</v>
      </c>
      <c r="F424" s="8" t="s">
        <v>454</v>
      </c>
      <c r="G424" s="8" t="str">
        <f>", "&amp;'RAW (公開用)'!F425&amp;", "</f>
        <v xml:space="preserve">, Xジェンダー, X, 男性／man, 両性, **必ず選んでください**, </v>
      </c>
      <c r="H424" s="8"/>
      <c r="I424" s="8" t="str">
        <f>", "&amp;'RAW (公開用)'!H425&amp;", "</f>
        <v xml:space="preserve">, さん, くん／君, </v>
      </c>
      <c r="J424" s="8" t="s">
        <v>2335</v>
      </c>
      <c r="K42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 </v>
      </c>
      <c r="L424" s="8" t="str">
        <f>", "&amp;'RAW (公開用)'!J425&amp;", "</f>
        <v xml:space="preserve">, **英語を日常的に使わない**, </v>
      </c>
      <c r="M424" s="8" t="s">
        <v>2335</v>
      </c>
      <c r="N42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4" s="8" t="str">
        <f>", "&amp;'RAW (公開用)'!L425&amp;", "</f>
        <v xml:space="preserve">, わたし, 自分, 俺, </v>
      </c>
      <c r="P424" s="8" t="s">
        <v>2335</v>
      </c>
      <c r="Q42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 俺,  , </v>
      </c>
      <c r="R424" s="8" t="str">
        <f>", "&amp;'RAW (公開用)'!N424&amp;", "</f>
        <v xml:space="preserve">, （自分（たち）の名前）, （三人称で言及してほしくない）, </v>
      </c>
      <c r="S424" s="8" t="s">
        <v>2335</v>
      </c>
      <c r="T42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424" s="8" t="str">
        <f>", "&amp;'RAW (公開用)'!P425&amp;", "</f>
        <v xml:space="preserve">, **英語を日常的に使わない**, </v>
      </c>
      <c r="V424" s="8" t="s">
        <v>455</v>
      </c>
      <c r="W424" s="8" t="str">
        <f>", "&amp;'RAW (公開用)'!R425&amp;", "</f>
        <v xml:space="preserve">, 家族／かぞくからの無理解, ミスジェンダリング（誤った性別として扱うこと）, </v>
      </c>
      <c r="X424" s="8"/>
      <c r="Y42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ミスジェンダリング（誤った性別として扱うこと）,  </v>
      </c>
      <c r="Z424" s="8" t="s">
        <v>455</v>
      </c>
      <c r="AA424" s="8" t="str">
        <f>", "&amp;'RAW (公開用)'!U425&amp;", "</f>
        <v xml:space="preserve">, （上記のどれも希望していない）, </v>
      </c>
      <c r="AB424" s="8" t="str">
        <f>", "&amp;'RAW (公開用)'!V425&amp;", "</f>
        <v xml:space="preserve">, （上記のどれも経験していない）, </v>
      </c>
      <c r="AC424" s="8"/>
      <c r="AD42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24" s="8" t="s">
        <v>479</v>
      </c>
      <c r="AF424" s="8" t="s">
        <v>457</v>
      </c>
      <c r="AG424" s="8" t="s">
        <v>458</v>
      </c>
      <c r="AH424" s="8" t="s">
        <v>633</v>
      </c>
      <c r="AI424" s="8">
        <f t="shared" si="19"/>
        <v>4</v>
      </c>
      <c r="AJ424" s="8"/>
      <c r="AK424" s="8"/>
      <c r="AL424" s="8"/>
      <c r="AM424" s="8"/>
      <c r="AN424" s="8"/>
    </row>
    <row r="425" spans="1:40" ht="114.75" hidden="1">
      <c r="A425" s="8">
        <v>48</v>
      </c>
      <c r="B425" s="11">
        <v>44969.849417152778</v>
      </c>
      <c r="C425" s="8" t="s">
        <v>452</v>
      </c>
      <c r="D425" s="8" t="s">
        <v>453</v>
      </c>
      <c r="E425" s="8" t="s">
        <v>452</v>
      </c>
      <c r="F425" s="8" t="s">
        <v>454</v>
      </c>
      <c r="G425" s="8" t="str">
        <f>", "&amp;'RAW (公開用)'!F49&amp;", "</f>
        <v xml:space="preserve">, **必ず選んでください**, トランス, ジェンダー・ノンコンフォーミング／gender non-conforming, ノンバイナリー, クィア／Queer, </v>
      </c>
      <c r="H425" s="8"/>
      <c r="I425" s="8" t="str">
        <f>", "&amp;'RAW (公開用)'!H49&amp;", "</f>
        <v xml:space="preserve">, ちゃん, さん, くん／君, </v>
      </c>
      <c r="J425" s="8" t="s">
        <v>2335</v>
      </c>
      <c r="K42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くん／君,  , </v>
      </c>
      <c r="L425" s="8" t="str">
        <f>", "&amp;'RAW (公開用)'!J49&amp;", "</f>
        <v xml:space="preserve">, **英語を日常的に使わない**, </v>
      </c>
      <c r="M425" s="8" t="s">
        <v>2335</v>
      </c>
      <c r="N42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5" s="8" t="str">
        <f>", "&amp;'RAW (公開用)'!L49&amp;", "</f>
        <v xml:space="preserve">, 私（わたし／わたくし）, おれ, </v>
      </c>
      <c r="P425" s="8" t="s">
        <v>2335</v>
      </c>
      <c r="Q42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おれ,  , </v>
      </c>
      <c r="R425" s="8" t="str">
        <f>", "&amp;'RAW (公開用)'!N425&amp;", "</f>
        <v xml:space="preserve">, （any／問わない／どれでもよい）, </v>
      </c>
      <c r="S425" s="8" t="s">
        <v>2354</v>
      </c>
      <c r="T42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（any／問わない／どれでもよい）,  , {この/その/あの}+人, {この/その/あの}+子,</v>
      </c>
      <c r="U425" s="8" t="str">
        <f>", "&amp;'RAW (公開用)'!P49&amp;", "</f>
        <v xml:space="preserve">, **英語を日常的に使わない**, </v>
      </c>
      <c r="V425" s="8" t="s">
        <v>455</v>
      </c>
      <c r="W425" s="8" t="str">
        <f>", "&amp;'RAW (公開用)'!R49&amp;", "</f>
        <v xml:space="preserve">, 職場や学校における無理解, 家族／かぞくからの無理解, トイレなどのジェンダー化されたスペースの使用, LGBTQ+運動からの排斥, ミスジェンダリング（誤った性別として扱うこと）, カムアウトを強制される, 社会の中でいないことにされる, </v>
      </c>
      <c r="X425" s="8" t="s">
        <v>252</v>
      </c>
      <c r="Y42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職場や学校における無理解, 家族／かぞくからの無理解, トイレなどのジェンダー化されたスペースの使用, LGBTQ+運動からの排斥, ミスジェンダリング（誤った性別として扱うこと）, カムアウトを強制される, 社会の中でいないことにされる,  学校現場で、「トランスジェンダーなら髪の毛を短くしてもいいけど、そうじゃないなら伸ばしなさい」と頭髪について指摘された。
また、家の外でのトイレについて、スカートを履いていないと男性だと思われて、女子トイレに入りづらい。でもそこまでパス度が高い訳でもし自分のジェンダーアイデンティティが男性でもないので男子トイレに入るつもりも一切なく、トイレに行くことに不安を覚えている。</v>
      </c>
      <c r="Z425" s="8" t="s">
        <v>455</v>
      </c>
      <c r="AA425" s="8" t="str">
        <f>", "&amp;'RAW (公開用)'!U49&amp;", "</f>
        <v xml:space="preserve">, 戸籍上の性別の変更, ホルモン補充療法（HRT）, </v>
      </c>
      <c r="AB425" s="8" t="str">
        <f>", "&amp;'RAW (公開用)'!V49&amp;", "</f>
        <v xml:space="preserve">, （上記のどれも経験していない）, </v>
      </c>
      <c r="AC425" s="8" t="s">
        <v>399</v>
      </c>
      <c r="AD425"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ノンバイナリーだが、日本の法律ではノンバイナリーという性別が想定されておらず、どう頑張ってもミスジェンダリングされる。あと結婚も戸籍上で「妻」として扱われてミスジェンダリングされるという観点からできない。</v>
      </c>
      <c r="AE425" s="8" t="s">
        <v>462</v>
      </c>
      <c r="AF425" s="8" t="s">
        <v>457</v>
      </c>
      <c r="AG425" s="8" t="s">
        <v>458</v>
      </c>
      <c r="AH425" s="8"/>
      <c r="AI425" s="8">
        <f>((LEN(G425)-LEN(SUBSTITUTE(G425,", ","")))/LEN(", ")-1-(LEN(G425)-LEN(SUBSTITUTE(G425,"必ず","")))/LEN("必ず"))+(LEN(H425)-LEN(SUBSTITUTE(H425,",","")))</f>
        <v>4</v>
      </c>
      <c r="AJ425" s="8"/>
      <c r="AK425" s="8"/>
      <c r="AL425" s="8"/>
      <c r="AM425" s="8"/>
      <c r="AN425" s="8"/>
    </row>
    <row r="426" spans="1:40" ht="25.5" hidden="1">
      <c r="A426" s="8">
        <v>426</v>
      </c>
      <c r="B426" s="11">
        <v>44994.091199386574</v>
      </c>
      <c r="C426" s="8" t="s">
        <v>452</v>
      </c>
      <c r="D426" s="8" t="s">
        <v>453</v>
      </c>
      <c r="E426" s="8" t="s">
        <v>452</v>
      </c>
      <c r="F426" s="8" t="s">
        <v>454</v>
      </c>
      <c r="G426" s="8" t="str">
        <f>", "&amp;'RAW (公開用)'!F427&amp;", "</f>
        <v xml:space="preserve">, クエスチョニング, 少女, クィア／Queer, 女性／woman, </v>
      </c>
      <c r="H426" s="8"/>
      <c r="I426" s="8" t="str">
        <f>", "&amp;'RAW (公開用)'!H427&amp;", "</f>
        <v xml:space="preserve">, くん／君, さん, </v>
      </c>
      <c r="J426" s="8" t="s">
        <v>2335</v>
      </c>
      <c r="K42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さん,  , </v>
      </c>
      <c r="L426" s="8" t="str">
        <f>", "&amp;'RAW (公開用)'!J427&amp;", "</f>
        <v xml:space="preserve">, **英語を日常的に使わない**, </v>
      </c>
      <c r="M426" s="8" t="s">
        <v>2335</v>
      </c>
      <c r="N42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6" s="8" t="str">
        <f>", "&amp;'RAW (公開用)'!L427&amp;", "</f>
        <v xml:space="preserve">, 私（わたし／わたくし）, 自分, うち, わたし, </v>
      </c>
      <c r="P426" s="8" t="s">
        <v>2335</v>
      </c>
      <c r="Q42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うち, わたし,  , </v>
      </c>
      <c r="R426" s="8" t="str">
        <f>", "&amp;'RAW (公開用)'!N426&amp;", "</f>
        <v xml:space="preserve">, 彼, （三人称で言及してほしくない）, </v>
      </c>
      <c r="S426" s="8" t="s">
        <v>2335</v>
      </c>
      <c r="T42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（三人称で言及してほしくない）,  , </v>
      </c>
      <c r="U426" s="8" t="str">
        <f>", "&amp;'RAW (公開用)'!P427&amp;", "</f>
        <v xml:space="preserve">, they/them/their/themselves, </v>
      </c>
      <c r="V426" s="8" t="s">
        <v>455</v>
      </c>
      <c r="W426" s="8" t="str">
        <f>", "&amp;'RAW (公開用)'!R427&amp;", "</f>
        <v xml:space="preserve">, 性暴力, 医療における無理解, 職場や学校における無理解, 社会の中でいないことにされる, LGBTQ+運動からの排斥, 家族／かぞくからの無理解, </v>
      </c>
      <c r="X426" s="8"/>
      <c r="Y42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性暴力, 医療における無理解, 職場や学校における無理解, 社会の中でいないことにされる, LGBTQ+運動からの排斥, 家族／かぞくからの無理解,  </v>
      </c>
      <c r="Z426" s="8" t="s">
        <v>455</v>
      </c>
      <c r="AA426" s="8" t="str">
        <f>", "&amp;'RAW (公開用)'!U427&amp;", "</f>
        <v xml:space="preserve">, （上記のどれも希望していない）, </v>
      </c>
      <c r="AB426" s="8" t="str">
        <f>", "&amp;'RAW (公開用)'!V427&amp;", "</f>
        <v xml:space="preserve">, （上記のどれも経験していない）, </v>
      </c>
      <c r="AC426" s="8"/>
      <c r="AD42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26" s="8" t="s">
        <v>464</v>
      </c>
      <c r="AF426" s="8" t="s">
        <v>457</v>
      </c>
      <c r="AG426" s="8" t="s">
        <v>458</v>
      </c>
      <c r="AH426" s="8"/>
      <c r="AI426" s="8">
        <f>(LEN(G426)-LEN(SUBSTITUTE(G426,", ","")))/LEN(", ")-1-(LEN(G426)-LEN(SUBSTITUTE(G426,"必ず","")))/LEN("必ず")</f>
        <v>4</v>
      </c>
      <c r="AJ426" s="8"/>
      <c r="AK426" s="8"/>
      <c r="AL426" s="8"/>
      <c r="AM426" s="8"/>
      <c r="AN426" s="8"/>
    </row>
    <row r="427" spans="1:40" ht="76.5" hidden="1">
      <c r="A427" s="8">
        <v>88</v>
      </c>
      <c r="B427" s="11">
        <v>44969.963693703699</v>
      </c>
      <c r="C427" s="8" t="s">
        <v>452</v>
      </c>
      <c r="D427" s="8" t="s">
        <v>453</v>
      </c>
      <c r="E427" s="8" t="s">
        <v>452</v>
      </c>
      <c r="F427" s="8" t="s">
        <v>454</v>
      </c>
      <c r="G427" s="8" t="str">
        <f>", "&amp;'RAW (公開用)'!F89&amp;", "</f>
        <v xml:space="preserve">, **必ず選んでください**, クィア／Queer, ノンバイナリー, </v>
      </c>
      <c r="H427" s="8" t="s">
        <v>511</v>
      </c>
      <c r="I427" s="8" t="str">
        <f>", "&amp;'RAW (公開用)'!H89&amp;", "</f>
        <v xml:space="preserve">, さん, （敬称なし）, </v>
      </c>
      <c r="J427" s="8" t="s">
        <v>2335</v>
      </c>
      <c r="K42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427" s="8" t="str">
        <f>", "&amp;'RAW (公開用)'!J89&amp;", "</f>
        <v xml:space="preserve">, （敬称なし）, -san, </v>
      </c>
      <c r="M427" s="8" t="s">
        <v>2335</v>
      </c>
      <c r="N42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（敬称なし）, -san, , </v>
      </c>
      <c r="O427" s="8" t="str">
        <f>", "&amp;'RAW (公開用)'!L89&amp;", "</f>
        <v xml:space="preserve">, 俺, 私（わたし／わたくし）, 自分, </v>
      </c>
      <c r="P427" s="73" t="s">
        <v>2420</v>
      </c>
      <c r="Q42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俺, 私（わたし／わたくし）, 自分,  , あーし,</v>
      </c>
      <c r="R427" s="8" t="str">
        <f>", "&amp;'RAW (公開用)'!N427&amp;", "</f>
        <v xml:space="preserve">, （三人称で言及してほしくない）, 彼女, </v>
      </c>
      <c r="S427" s="8" t="s">
        <v>2335</v>
      </c>
      <c r="T42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彼女,  , </v>
      </c>
      <c r="U427" s="8" t="str">
        <f>", "&amp;'RAW (公開用)'!P89&amp;", "</f>
        <v xml:space="preserve">, they/them/their/themself, </v>
      </c>
      <c r="V427" s="8" t="s">
        <v>455</v>
      </c>
      <c r="W427" s="8" t="str">
        <f>", "&amp;'RAW (公開用)'!R89&amp;", "</f>
        <v xml:space="preserve">, アウティング（勝手にジェンダーや指向についての情報を明かされること）, トイレなどのジェンダー化されたスペースの使用, カムアウトを強制される, 必要なジェンダーケアへアクセスできない, ミスジェンダリング（誤った性別として扱うこと）, 家族／かぞくからの無理解, </v>
      </c>
      <c r="X427" s="8" t="s">
        <v>217</v>
      </c>
      <c r="Y42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アウティング（勝手にジェンダーや指向についての情報を明かされること）, トイレなどのジェンダー化されたスペースの使用, カムアウトを強制される, 必要なジェンダーケアへアクセスできない, ミスジェンダリング（誤った性別として扱うこと）, 家族／かぞくからの無理解,  シスジェンダー並の人生を歩むことを求められる（例：トランジションにかかる時間やお金を考慮されない、仕事が見つかりにくいと理解されない等）</v>
      </c>
      <c r="Z427" s="8" t="s">
        <v>455</v>
      </c>
      <c r="AA427" s="8" t="str">
        <f>", "&amp;'RAW (公開用)'!U89&amp;", "</f>
        <v xml:space="preserve">, 戸籍名の変更, 戸籍上の性別の変更, ジェンダークリニックの受診, ホルモン補充療法（HRT）, 胸部の手術, </v>
      </c>
      <c r="AB427" s="8" t="str">
        <f>", "&amp;'RAW (公開用)'!V89&amp;", "</f>
        <v xml:space="preserve">, 戸籍名の変更, ジェンダークリニックの受診, ホルモン補充療法（HRT）, 胸部の手術, </v>
      </c>
      <c r="AC427" s="8" t="s">
        <v>342</v>
      </c>
      <c r="AD427" s="8" t="str">
        <f>テーブル1[[#This Row],[以下のうち、経験したものをすべて選んでください]]&amp;" "&amp;テーブル1[[#This Row],[社会的、法的、医学的トランジションについて、困難なこと等がありましたらここにお書きください]]</f>
        <v>, 戸籍名の変更, ジェンダークリニックの受診, ホルモン補充療法（HRT）, 胸部の手術,  日本ではバイナリーな性別しか登録上の性別がないため、変更したくても変更先がない。</v>
      </c>
      <c r="AE427" s="8" t="s">
        <v>459</v>
      </c>
      <c r="AF427" s="8" t="s">
        <v>457</v>
      </c>
      <c r="AG427" s="8" t="s">
        <v>458</v>
      </c>
      <c r="AH427" s="8"/>
      <c r="AI427" s="8">
        <f>(LEN(G427)-LEN(SUBSTITUTE(G427,", ","")))/LEN(", ")-1-(LEN(G427)-LEN(SUBSTITUTE(G427,"必ず","")))/LEN("必ず")</f>
        <v>2</v>
      </c>
      <c r="AJ427" s="8"/>
      <c r="AK427" s="8"/>
      <c r="AL427" s="8"/>
      <c r="AM427" s="8"/>
      <c r="AN427" s="8"/>
    </row>
    <row r="428" spans="1:40" ht="63.75" hidden="1">
      <c r="A428" s="8">
        <v>428</v>
      </c>
      <c r="B428" s="11">
        <v>44994.508180925928</v>
      </c>
      <c r="C428" s="8" t="s">
        <v>452</v>
      </c>
      <c r="D428" s="8" t="s">
        <v>453</v>
      </c>
      <c r="E428" s="8" t="s">
        <v>452</v>
      </c>
      <c r="F428" s="8" t="s">
        <v>454</v>
      </c>
      <c r="G428" s="8" t="str">
        <f>", "&amp;'RAW (公開用)'!F429&amp;", "</f>
        <v xml:space="preserve">, 無し, **必ず選んでください**, ノンバイナリー, Aジェンダー／エイジェンダー／アジェンダー／agender, トランス, クィア／Queer, </v>
      </c>
      <c r="H428" s="8"/>
      <c r="I428" s="8" t="str">
        <f>", "&amp;'RAW (公開用)'!H429&amp;", "</f>
        <v xml:space="preserve">, さん, </v>
      </c>
      <c r="J428" s="8" t="s">
        <v>2335</v>
      </c>
      <c r="K42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28" s="8" t="str">
        <f>", "&amp;'RAW (公開用)'!J429&amp;", "</f>
        <v xml:space="preserve">, **英語を日常的に使わない**, </v>
      </c>
      <c r="M428" s="8" t="s">
        <v>2335</v>
      </c>
      <c r="N42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28" s="8" t="str">
        <f>", "&amp;'RAW (公開用)'!L429&amp;", "</f>
        <v xml:space="preserve">, 私（わたし／わたくし）, </v>
      </c>
      <c r="P428" s="8" t="s">
        <v>2335</v>
      </c>
      <c r="Q42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428" s="8" t="str">
        <f>", "&amp;'RAW (公開用)'!N428&amp;", "</f>
        <v xml:space="preserve">, （三人称で言及してほしくない）, </v>
      </c>
      <c r="S428" s="8" t="s">
        <v>2335</v>
      </c>
      <c r="T42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428" s="8" t="str">
        <f>", "&amp;'RAW (公開用)'!P429&amp;", "</f>
        <v xml:space="preserve">, **英語を日常的に使わない**, </v>
      </c>
      <c r="V428" s="8" t="s">
        <v>455</v>
      </c>
      <c r="W428" s="8" t="str">
        <f>", "&amp;'RAW (公開用)'!R429&amp;", "</f>
        <v xml:space="preserve">, 医療における無理解, 職場や学校における無理解, トイレなどのジェンダー化されたスペースの使用, ミスジェンダリング（誤った性別として扱うこと）, 家族／かぞくからの無理解, カムアウトできない, 社会の中でいないことにされる, </v>
      </c>
      <c r="X428" s="8" t="s">
        <v>263</v>
      </c>
      <c r="Y42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医療における無理解, 職場や学校における無理解, トイレなどのジェンダー化されたスペースの使用, ミスジェンダリング（誤った性別として扱うこと）, 家族／かぞくからの無理解, カムアウトできない, 社会の中でいないことにされる,  悪気なく「◯◯な女だね」「すてきな女性になってね」「モテるよ」などと言われるのがつらい。</v>
      </c>
      <c r="Z428" s="8" t="s">
        <v>455</v>
      </c>
      <c r="AA428" s="8" t="str">
        <f>", "&amp;'RAW (公開用)'!U429&amp;", "</f>
        <v xml:space="preserve">, （上記のどれも希望していない）, </v>
      </c>
      <c r="AB428" s="8" t="str">
        <f>", "&amp;'RAW (公開用)'!V429&amp;", "</f>
        <v xml:space="preserve">, （上記のどれも経験していない）, </v>
      </c>
      <c r="AC428" s="8" t="s">
        <v>409</v>
      </c>
      <c r="AD428"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ジェンダー化されていない服や鞄、靴、財布などを身につけたいが、（少なくとも私が住む地方都市では）そんなものは売っていない。ユニセックスもバイナリーに感じられてあまり買いたくない。</v>
      </c>
      <c r="AE428" s="8" t="s">
        <v>464</v>
      </c>
      <c r="AF428" s="8" t="s">
        <v>457</v>
      </c>
      <c r="AG428" s="8" t="s">
        <v>458</v>
      </c>
      <c r="AH428" s="8"/>
      <c r="AI428" s="8">
        <f>(LEN(G428)-LEN(SUBSTITUTE(G428,", ","")))/LEN(", ")-1-(LEN(G428)-LEN(SUBSTITUTE(G428,"必ず","")))/LEN("必ず")</f>
        <v>5</v>
      </c>
      <c r="AJ428" s="8"/>
      <c r="AK428" s="8"/>
      <c r="AL428" s="8"/>
      <c r="AM428" s="8"/>
      <c r="AN428" s="8"/>
    </row>
    <row r="429" spans="1:40" ht="51" hidden="1">
      <c r="A429" s="8">
        <v>429</v>
      </c>
      <c r="B429" s="11">
        <v>44994.80977417824</v>
      </c>
      <c r="C429" s="8" t="s">
        <v>452</v>
      </c>
      <c r="D429" s="8" t="s">
        <v>453</v>
      </c>
      <c r="E429" s="8" t="s">
        <v>452</v>
      </c>
      <c r="F429" s="8" t="s">
        <v>454</v>
      </c>
      <c r="G429" s="8" t="str">
        <f>", "&amp;'RAW (公開用)'!F430&amp;", "</f>
        <v xml:space="preserve">, **必ず選んでください**, ノンバイナリー, Xジェンダー, ジェンダークィア, </v>
      </c>
      <c r="H429" s="8"/>
      <c r="I429" s="8" t="str">
        <f>", "&amp;'RAW (公開用)'!H430&amp;", "</f>
        <v xml:space="preserve">, ちゃん, さん, </v>
      </c>
      <c r="J429" s="8" t="s">
        <v>2335</v>
      </c>
      <c r="K42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ちゃん, さん,  , </v>
      </c>
      <c r="L429" s="8" t="str">
        <f>", "&amp;'RAW (公開用)'!J430&amp;", "</f>
        <v xml:space="preserve">, Mx., Mr., </v>
      </c>
      <c r="M429" s="8" t="s">
        <v>2335</v>
      </c>
      <c r="N42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Mx., Mr., , </v>
      </c>
      <c r="O429" s="8" t="str">
        <f>", "&amp;'RAW (公開用)'!L430&amp;", "</f>
        <v xml:space="preserve">, わたし, 私（わたし／わたくし）, あたし, </v>
      </c>
      <c r="P429" s="8" t="s">
        <v>2335</v>
      </c>
      <c r="Q42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私（わたし／わたくし）, あたし,  , </v>
      </c>
      <c r="R429" s="8" t="str">
        <f>", "&amp;'RAW (公開用)'!N429&amp;", "</f>
        <v xml:space="preserve">, （三人称で言及してほしくない）, </v>
      </c>
      <c r="S429" s="8" t="s">
        <v>2335</v>
      </c>
      <c r="T42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429" s="8" t="str">
        <f>", "&amp;'RAW (公開用)'!P430&amp;", "</f>
        <v xml:space="preserve">, they/them/their/themselves, he, </v>
      </c>
      <c r="V429" s="8" t="s">
        <v>455</v>
      </c>
      <c r="W429" s="8" t="str">
        <f>", "&amp;'RAW (公開用)'!R430&amp;", "</f>
        <v xml:space="preserve">, カムアウトを強制される, アウティング（勝手にジェンダーや指向についての情報を明かされること）, 必要なジェンダーケアへアクセスできない, ミスジェンダリング（誤った性別として扱うこと）, 家族／かぞくからの無理解, カムアウトできない, 社会の中でいないことにされる, </v>
      </c>
      <c r="X429" s="8"/>
      <c r="Y42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アウティング（勝手にジェンダーや指向についての情報を明かされること）, 必要なジェンダーケアへアクセスできない, ミスジェンダリング（誤った性別として扱うこと）, 家族／かぞくからの無理解, カムアウトできない, 社会の中でいないことにされる,  </v>
      </c>
      <c r="Z429" s="8" t="s">
        <v>455</v>
      </c>
      <c r="AA429" s="8" t="str">
        <f>", "&amp;'RAW (公開用)'!U430&amp;", "</f>
        <v xml:space="preserve">, 戸籍上の性別の変更, ジェンダークリニックの受診, </v>
      </c>
      <c r="AB429" s="105" t="s">
        <v>2443</v>
      </c>
      <c r="AC429" s="8"/>
      <c r="AD429"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29" s="8" t="s">
        <v>462</v>
      </c>
      <c r="AF429" s="8" t="s">
        <v>457</v>
      </c>
      <c r="AG429" s="8" t="s">
        <v>458</v>
      </c>
      <c r="AH429" s="8"/>
      <c r="AI429" s="8">
        <f>(LEN(G429)-LEN(SUBSTITUTE(G429,", ","")))/LEN(", ")-1-(LEN(G429)-LEN(SUBSTITUTE(G429,"必ず","")))/LEN("必ず")</f>
        <v>3</v>
      </c>
      <c r="AJ429" s="8"/>
      <c r="AK429" s="8"/>
      <c r="AL429" s="8"/>
      <c r="AM429" s="8"/>
      <c r="AN429" s="8"/>
    </row>
    <row r="430" spans="1:40" ht="165.75" hidden="1">
      <c r="A430" s="8">
        <v>83</v>
      </c>
      <c r="B430" s="11">
        <v>44969.951020879627</v>
      </c>
      <c r="C430" s="8" t="s">
        <v>452</v>
      </c>
      <c r="D430" s="8" t="s">
        <v>453</v>
      </c>
      <c r="E430" s="8" t="s">
        <v>452</v>
      </c>
      <c r="F430" s="8" t="s">
        <v>454</v>
      </c>
      <c r="G430" s="8" t="str">
        <f>", "&amp;'RAW (公開用)'!F84&amp;", "</f>
        <v xml:space="preserve">, 不明／わからない, （ジェンダー・）フルイド／（ジェンダー・）フリュイド／（ジェンダー・）フルイッド, **必ず選んでください**, ジェンダーレス, ノンバイナリー, Aジェンダー／エイジェンダー／アジェンダー／agender, クィア／Queer, Xジェンダー, クエスチョニング, </v>
      </c>
      <c r="H430" s="8"/>
      <c r="I430" s="8" t="str">
        <f>", "&amp;'RAW (公開用)'!H84&amp;", "</f>
        <v xml:space="preserve">, （クエスチョニング、模索中、または不明）, さん, </v>
      </c>
      <c r="J430" s="8" t="s">
        <v>2335</v>
      </c>
      <c r="K43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さん,  , </v>
      </c>
      <c r="L430" s="8" t="str">
        <f>", "&amp;'RAW (公開用)'!J84&amp;", "</f>
        <v xml:space="preserve">, （クエスチョニング、模索中、または不明）, **英語を日常的に使わない**, </v>
      </c>
      <c r="M430" s="8" t="s">
        <v>2335</v>
      </c>
      <c r="N43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**英語を日常的に使わない**, , </v>
      </c>
      <c r="O430" s="8" t="str">
        <f>", "&amp;'RAW (公開用)'!L84&amp;", "</f>
        <v xml:space="preserve">, あたし, わたし, </v>
      </c>
      <c r="P430" s="8" t="s">
        <v>2335</v>
      </c>
      <c r="Q43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あたし, わたし,  , </v>
      </c>
      <c r="R430" s="8" t="str">
        <f>", "&amp;'RAW (公開用)'!N430&amp;", "</f>
        <v xml:space="preserve">, （自分（たち）の名前）, 彼, </v>
      </c>
      <c r="S430" s="8" t="s">
        <v>2356</v>
      </c>
      <c r="T43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彼,  , {この/その/あの}+ひと,</v>
      </c>
      <c r="U430" s="8" t="str">
        <f>", "&amp;'RAW (公開用)'!P84&amp;", "</f>
        <v xml:space="preserve">, **英語を日常的に使わない**, they/them/their/themselves, </v>
      </c>
      <c r="V430" s="8" t="s">
        <v>455</v>
      </c>
      <c r="W430" s="8" t="str">
        <f>", "&amp;'RAW (公開用)'!R84&amp;", "</f>
        <v xml:space="preserve">, 医療における無理解, トイレなどのジェンダー化されたスペースの使用, 家族／かぞくからの無理解, カムアウトできない, 性暴力, 社会の中でいないことにされる, ミスジェンダリング（誤った性別として扱うこと）, </v>
      </c>
      <c r="X430" s="8" t="s">
        <v>283</v>
      </c>
      <c r="Y43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医療における無理解, トイレなどのジェンダー化されたスペースの使用, 家族／かぞくからの無理解, カムアウトできない, 性暴力, 社会の中でいないことにされる, ミスジェンダリング（誤った性別として扱うこと）,  自分以外のだれかが（任意のジェンダーアイデンティティ）を名乗ることにたいしては、「あなたがそうだと思うならつねにすでにそうだよ」と思うが、じぶんがノンバイナリーを含む（alloシスヘテロではない）任意のジェンダーアイデンティティを名乗ることに、うまく言えない不安感がある。いままで、alloシスヘテロとしても（？）なんとか生きてこられてしまったにも関わらず、わたしが名乗ってもよいのか、というような。
他人に名乗ってもいいと思いながら、自分に対してこのように感じるのは、あらゆる（任意のジェンダーアイデンティティ）を名乗るひと／名乗らない人にたいして、ダブルスタンダードのような気がしている。つまりわたしに差別意識という構造が根ざしているということにつねに直面し続けている。</v>
      </c>
      <c r="Z430" s="8" t="s">
        <v>455</v>
      </c>
      <c r="AA430" s="8" t="str">
        <f>", "&amp;'RAW (公開用)'!U84&amp;", "</f>
        <v xml:space="preserve">, 戸籍名の変更, （上記のどれも希望していない）, </v>
      </c>
      <c r="AB430" s="8" t="str">
        <f>", "&amp;'RAW (公開用)'!V84&amp;", "</f>
        <v xml:space="preserve">, （上記のどれも経験していない）, </v>
      </c>
      <c r="AC430" s="8"/>
      <c r="AD43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0" s="8" t="s">
        <v>462</v>
      </c>
      <c r="AF430" s="8" t="s">
        <v>457</v>
      </c>
      <c r="AG430" s="8" t="s">
        <v>458</v>
      </c>
      <c r="AH430" s="8" t="s">
        <v>510</v>
      </c>
      <c r="AI430" s="8">
        <f>(LEN(G430)-LEN(SUBSTITUTE(G430,", ","")))/LEN(", ")-1-(LEN(G430)-LEN(SUBSTITUTE(G430,"必ず","")))/LEN("必ず")</f>
        <v>8</v>
      </c>
      <c r="AJ430" s="8"/>
      <c r="AK430" s="8"/>
      <c r="AL430" s="8"/>
      <c r="AM430" s="8"/>
      <c r="AN430" s="8"/>
    </row>
    <row r="431" spans="1:40" ht="51" hidden="1">
      <c r="A431" s="8">
        <v>431</v>
      </c>
      <c r="B431" s="11">
        <v>44995.104968449072</v>
      </c>
      <c r="C431" s="8" t="s">
        <v>452</v>
      </c>
      <c r="D431" s="8" t="s">
        <v>453</v>
      </c>
      <c r="E431" s="8" t="s">
        <v>452</v>
      </c>
      <c r="F431" s="8" t="s">
        <v>454</v>
      </c>
      <c r="G431" s="8" t="str">
        <f>", "&amp;'RAW (公開用)'!F432&amp;", "</f>
        <v xml:space="preserve">, クィア／Queer, ノンバイナリー女性, </v>
      </c>
      <c r="H431" s="8" t="s">
        <v>640</v>
      </c>
      <c r="I431" s="8" t="str">
        <f>", "&amp;'RAW (公開用)'!H432&amp;", "</f>
        <v xml:space="preserve">, さん, </v>
      </c>
      <c r="J431" s="8" t="s">
        <v>2335</v>
      </c>
      <c r="K43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31" s="8" t="str">
        <f>", "&amp;'RAW (公開用)'!J432&amp;", "</f>
        <v xml:space="preserve">, Dr.など、職業などにかかわるもの, -san, Mx., </v>
      </c>
      <c r="M431" s="8" t="s">
        <v>2335</v>
      </c>
      <c r="N43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-san, Mx., , </v>
      </c>
      <c r="O431" s="8" t="str">
        <f>", "&amp;'RAW (公開用)'!L432&amp;", "</f>
        <v xml:space="preserve">, 私（わたし／わたくし）, </v>
      </c>
      <c r="P431" s="8" t="s">
        <v>2335</v>
      </c>
      <c r="Q43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431" s="8" t="str">
        <f>", "&amp;'RAW (公開用)'!N431&amp;", "</f>
        <v xml:space="preserve">, （自分（たち）の名前）, 彼, </v>
      </c>
      <c r="S431" s="8" t="s">
        <v>2335</v>
      </c>
      <c r="T43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彼,  , </v>
      </c>
      <c r="U431" s="8" t="str">
        <f>", "&amp;'RAW (公開用)'!P432&amp;", "</f>
        <v xml:space="preserve">, they/them/their/themselves, she, </v>
      </c>
      <c r="V431" s="8" t="s">
        <v>455</v>
      </c>
      <c r="W431" s="8" t="str">
        <f>", "&amp;'RAW (公開用)'!R432&amp;", "</f>
        <v xml:space="preserve">, ミスジェンダリング（誤った性別として扱うこと）, 医療における無理解, カムアウトできない, トイレなどのジェンダー化されたスペースの使用, 社会の中でいないことにされる, カムアウトを強制される, LGBTQ+運動からの排斥, 性暴力, 職場や学校における無理解, </v>
      </c>
      <c r="X431" s="8" t="s">
        <v>210</v>
      </c>
      <c r="Y43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ミスジェンダリング（誤った性別として扱うこと）, 医療における無理解, カムアウトできない, トイレなどのジェンダー化されたスペースの使用, 社会の中でいないことにされる, カムアウトを強制される, LGBTQ+運動からの排斥, 性暴力, 職場や学校における無理解,  アジア系の見た目と複合した差別</v>
      </c>
      <c r="Z431" s="8" t="s">
        <v>455</v>
      </c>
      <c r="AA431" s="8" t="str">
        <f>", "&amp;'RAW (公開用)'!U432&amp;", "</f>
        <v xml:space="preserve">, 戸籍上の性別の変更, （上記のどれも希望していない）, </v>
      </c>
      <c r="AB431" s="8" t="str">
        <f>", "&amp;'RAW (公開用)'!V432&amp;", "</f>
        <v xml:space="preserve">, （上記のどれも経験していない）, </v>
      </c>
      <c r="AC431" s="8" t="s">
        <v>358</v>
      </c>
      <c r="AD431"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戸籍に男女以外の表記があったら変えたい</v>
      </c>
      <c r="AE431" s="8" t="s">
        <v>474</v>
      </c>
      <c r="AF431" s="8" t="s">
        <v>582</v>
      </c>
      <c r="AG431" s="8" t="s">
        <v>458</v>
      </c>
      <c r="AH431" s="8" t="s">
        <v>641</v>
      </c>
      <c r="AI431" s="8">
        <f>(LEN(G431)-LEN(SUBSTITUTE(G431,", ","")))/LEN(", ")-1-(LEN(G431)-LEN(SUBSTITUTE(G431,"必ず","")))/LEN("必ず")+(LEN(H431)-LEN(SUBSTITUTE(H431,", ","")))/LEN(", ")-1-(LEN(H431)-LEN(SUBSTITUTE(H431,"必ず","")))/LEN("必ず")</f>
        <v>2</v>
      </c>
      <c r="AJ431" s="8"/>
      <c r="AK431" s="8"/>
      <c r="AL431" s="8"/>
      <c r="AM431" s="8"/>
      <c r="AN431" s="8"/>
    </row>
    <row r="432" spans="1:40" ht="38.25" hidden="1">
      <c r="A432" s="8">
        <v>432</v>
      </c>
      <c r="B432" s="11">
        <v>44995.444131203709</v>
      </c>
      <c r="C432" s="8" t="s">
        <v>452</v>
      </c>
      <c r="D432" s="8" t="s">
        <v>453</v>
      </c>
      <c r="E432" s="8" t="s">
        <v>452</v>
      </c>
      <c r="F432" s="8" t="s">
        <v>454</v>
      </c>
      <c r="G432" s="8" t="str">
        <f>", "&amp;'RAW (公開用)'!F433&amp;", "</f>
        <v xml:space="preserve">, **必ず選んでください**, クィア／Queer, 不明／わからない, シスジェンダー, クエスチョニング, Aジェンダー／エイジェンダー／アジェンダー／agender, 女性／woman, </v>
      </c>
      <c r="H432" s="8"/>
      <c r="I432" s="8" t="str">
        <f>", "&amp;'RAW (公開用)'!H433&amp;", "</f>
        <v xml:space="preserve">, （敬称なし）, さん, </v>
      </c>
      <c r="J432" s="8" t="s">
        <v>2335</v>
      </c>
      <c r="K43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（敬称なし）, さん,  , </v>
      </c>
      <c r="L432" s="8" t="str">
        <f>", "&amp;'RAW (公開用)'!J433&amp;", "</f>
        <v xml:space="preserve">, **英語を日常的に使わない**, </v>
      </c>
      <c r="M432" s="8" t="s">
        <v>2335</v>
      </c>
      <c r="N43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32" s="8" t="str">
        <f>", "&amp;'RAW (公開用)'!L433&amp;", "</f>
        <v xml:space="preserve">, 私（わたし／わたくし）, </v>
      </c>
      <c r="P432" s="8" t="s">
        <v>2335</v>
      </c>
      <c r="Q43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432" s="8" t="str">
        <f>", "&amp;'RAW (公開用)'!N432&amp;", "</f>
        <v xml:space="preserve">, （三人称で言及してほしくない）, （自分（たち）の名前）, </v>
      </c>
      <c r="S432" s="8" t="s">
        <v>2335</v>
      </c>
      <c r="T43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432" s="8" t="str">
        <f>", "&amp;'RAW (公開用)'!P433&amp;", "</f>
        <v xml:space="preserve">, **英語を日常的に使わない**, </v>
      </c>
      <c r="V432" s="8" t="s">
        <v>455</v>
      </c>
      <c r="W432" s="8" t="str">
        <f>", "&amp;'RAW (公開用)'!R433&amp;", "</f>
        <v xml:space="preserve">, 社会の中でいないことにされる, 医療における無理解, トイレなどのジェンダー化されたスペースの使用, ミスジェンダリング（誤った性別として扱うこと）, </v>
      </c>
      <c r="X432" s="8"/>
      <c r="Y43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医療における無理解, トイレなどのジェンダー化されたスペースの使用, ミスジェンダリング（誤った性別として扱うこと）,  </v>
      </c>
      <c r="Z432" s="8" t="s">
        <v>455</v>
      </c>
      <c r="AA432" s="8" t="str">
        <f>", "&amp;'RAW (公開用)'!U433&amp;", "</f>
        <v xml:space="preserve">, （上記のどれも希望していない）, </v>
      </c>
      <c r="AB432" s="8" t="str">
        <f>", "&amp;'RAW (公開用)'!V433&amp;", "</f>
        <v xml:space="preserve">, （上記のどれも経験していない）, </v>
      </c>
      <c r="AC432" s="8"/>
      <c r="AD432"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2" s="8" t="s">
        <v>462</v>
      </c>
      <c r="AF432" s="8" t="s">
        <v>457</v>
      </c>
      <c r="AG432" s="8" t="s">
        <v>458</v>
      </c>
      <c r="AH432" s="8"/>
      <c r="AI432" s="8">
        <f t="shared" ref="AI432:AI444" si="20">(LEN(G432)-LEN(SUBSTITUTE(G432,", ","")))/LEN(", ")-1-(LEN(G432)-LEN(SUBSTITUTE(G432,"必ず","")))/LEN("必ず")</f>
        <v>6</v>
      </c>
      <c r="AJ432" s="8"/>
      <c r="AK432" s="8"/>
      <c r="AL432" s="8"/>
      <c r="AM432" s="8"/>
      <c r="AN432" s="8"/>
    </row>
    <row r="433" spans="1:40" ht="25.5" hidden="1">
      <c r="A433" s="8">
        <v>433</v>
      </c>
      <c r="B433" s="11">
        <v>44995.65670039352</v>
      </c>
      <c r="C433" s="8" t="s">
        <v>452</v>
      </c>
      <c r="D433" s="8" t="s">
        <v>453</v>
      </c>
      <c r="E433" s="8" t="s">
        <v>452</v>
      </c>
      <c r="F433" s="8" t="s">
        <v>454</v>
      </c>
      <c r="G433" s="8" t="str">
        <f>", "&amp;'RAW (公開用)'!F434&amp;", "</f>
        <v xml:space="preserve">, Aジェンダー／エイジェンダー／アジェンダー／agender, **必ず選んでください**, クエスチョニング, ジェンダークィア, ノンバイナリー, </v>
      </c>
      <c r="H433" s="8"/>
      <c r="I433" s="8" t="str">
        <f>", "&amp;'RAW (公開用)'!H434&amp;", "</f>
        <v xml:space="preserve">, さん, （敬称なし）, </v>
      </c>
      <c r="J433" s="8" t="s">
        <v>2335</v>
      </c>
      <c r="K43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（敬称なし）,  , </v>
      </c>
      <c r="L433" s="8" t="str">
        <f>", "&amp;'RAW (公開用)'!J434&amp;", "</f>
        <v xml:space="preserve">, Dr.など、職業などにかかわるもの, **英語を日常的に使わない**, Mx., </v>
      </c>
      <c r="M433" s="8" t="s">
        <v>2335</v>
      </c>
      <c r="N43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**英語を日常的に使わない**, Mx., , </v>
      </c>
      <c r="O433" s="8" t="str">
        <f>", "&amp;'RAW (公開用)'!L434&amp;", "</f>
        <v xml:space="preserve">, 私（わたし／わたくし）, 自分, わたし, おれ, </v>
      </c>
      <c r="P433" s="8" t="s">
        <v>2335</v>
      </c>
      <c r="Q43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自分, わたし, おれ,  , </v>
      </c>
      <c r="R433" s="8" t="str">
        <f>", "&amp;'RAW (公開用)'!N433&amp;", "</f>
        <v xml:space="preserve">, 彼人（かのひと）, （自分（たち）の名前）, </v>
      </c>
      <c r="S433" s="8" t="s">
        <v>2335</v>
      </c>
      <c r="T43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彼人（かのひと）, （自分（たち）の名前）,  , </v>
      </c>
      <c r="U433" s="8" t="str">
        <f>", "&amp;'RAW (公開用)'!P434&amp;", "</f>
        <v xml:space="preserve">, **英語を日常的に使わない**, they/them/their/themself, </v>
      </c>
      <c r="V433" s="8" t="s">
        <v>455</v>
      </c>
      <c r="W433" s="8" t="str">
        <f>", "&amp;'RAW (公開用)'!R434&amp;", "</f>
        <v xml:space="preserve">, LGBTQ+運動からの排斥, ミスジェンダリング（誤った性別として扱うこと）, 社会の中でいないことにされる, 職場や学校における無理解, </v>
      </c>
      <c r="X433" s="8"/>
      <c r="Y43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LGBTQ+運動からの排斥, ミスジェンダリング（誤った性別として扱うこと）, 社会の中でいないことにされる, 職場や学校における無理解,  </v>
      </c>
      <c r="Z433" s="8" t="s">
        <v>472</v>
      </c>
      <c r="AA433" s="8" t="s">
        <v>2174</v>
      </c>
      <c r="AB433" s="105" t="s">
        <v>2443</v>
      </c>
      <c r="AC433" s="8"/>
      <c r="AD433"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33" s="8" t="s">
        <v>456</v>
      </c>
      <c r="AF433" s="8" t="s">
        <v>457</v>
      </c>
      <c r="AG433" s="8" t="s">
        <v>458</v>
      </c>
      <c r="AH433" s="8"/>
      <c r="AI433" s="8">
        <f t="shared" si="20"/>
        <v>4</v>
      </c>
      <c r="AJ433" s="8"/>
      <c r="AK433" s="8"/>
      <c r="AL433" s="8"/>
      <c r="AM433" s="8"/>
      <c r="AN433" s="8"/>
    </row>
    <row r="434" spans="1:40" ht="25.5" hidden="1">
      <c r="A434" s="8">
        <v>434</v>
      </c>
      <c r="B434" s="11">
        <v>44995.802005115736</v>
      </c>
      <c r="C434" s="8" t="s">
        <v>452</v>
      </c>
      <c r="D434" s="8" t="s">
        <v>453</v>
      </c>
      <c r="E434" s="8" t="s">
        <v>452</v>
      </c>
      <c r="F434" s="8" t="s">
        <v>454</v>
      </c>
      <c r="G434" s="8" t="str">
        <f>", "&amp;'RAW (公開用)'!F435&amp;", "</f>
        <v xml:space="preserve">, デミガール, クィア／Queer, 女の子／girl, 不明／わからない, 女性／woman, **必ず選んでください**, </v>
      </c>
      <c r="H434" s="8"/>
      <c r="I434" s="8" t="str">
        <f>", "&amp;'RAW (公開用)'!H435&amp;", "</f>
        <v xml:space="preserve">, さん, ちゃん, （敬称なし）, </v>
      </c>
      <c r="J434" s="8" t="s">
        <v>2335</v>
      </c>
      <c r="K43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ちゃん, （敬称なし）,  , </v>
      </c>
      <c r="L434" s="8" t="str">
        <f>", "&amp;'RAW (公開用)'!J435&amp;", "</f>
        <v xml:space="preserve">, **英語を日常的に使わない**, </v>
      </c>
      <c r="M434" s="8" t="s">
        <v>2335</v>
      </c>
      <c r="N43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34" s="8" t="str">
        <f>", "&amp;'RAW (公開用)'!L435&amp;", "</f>
        <v xml:space="preserve">, 私（わたし／わたくし）, うち, </v>
      </c>
      <c r="P434" s="8" t="s">
        <v>2335</v>
      </c>
      <c r="Q43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うち,  , </v>
      </c>
      <c r="R434" s="8" t="str">
        <f>", "&amp;'RAW (公開用)'!N434&amp;", "</f>
        <v xml:space="preserve">, （自分（たち）の名前）, （三人称で言及してほしくない）, </v>
      </c>
      <c r="S434" s="8" t="s">
        <v>2335</v>
      </c>
      <c r="T43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（三人称で言及してほしくない）,  , </v>
      </c>
      <c r="U434" s="8" t="str">
        <f>", "&amp;'RAW (公開用)'!P435&amp;", "</f>
        <v xml:space="preserve">, she, </v>
      </c>
      <c r="V434" s="8" t="s">
        <v>455</v>
      </c>
      <c r="W434" s="8" t="str">
        <f>", "&amp;'RAW (公開用)'!R435&amp;", "</f>
        <v xml:space="preserve">, 社会の中でいないことにされる, カムアウトできない, 性暴力, 職場や学校における無理解, トイレなどのジェンダー化されたスペースの使用, </v>
      </c>
      <c r="X434" s="8"/>
      <c r="Y43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性暴力, 職場や学校における無理解, トイレなどのジェンダー化されたスペースの使用,  </v>
      </c>
      <c r="Z434" s="8" t="s">
        <v>455</v>
      </c>
      <c r="AA434" s="8" t="str">
        <f>", "&amp;'RAW (公開用)'!U435&amp;", "</f>
        <v xml:space="preserve">, （上記のどれも希望していない）, </v>
      </c>
      <c r="AB434" s="8" t="str">
        <f>", "&amp;'RAW (公開用)'!V435&amp;", "</f>
        <v xml:space="preserve">, （上記のどれも経験していない）, </v>
      </c>
      <c r="AC434" s="8"/>
      <c r="AD43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4" s="8" t="s">
        <v>464</v>
      </c>
      <c r="AF434" s="8" t="s">
        <v>457</v>
      </c>
      <c r="AG434" s="8" t="s">
        <v>458</v>
      </c>
      <c r="AH434" s="8"/>
      <c r="AI434" s="8">
        <f t="shared" si="20"/>
        <v>5</v>
      </c>
      <c r="AJ434" s="8"/>
      <c r="AK434" s="8"/>
      <c r="AL434" s="8"/>
      <c r="AM434" s="8"/>
      <c r="AN434" s="8"/>
    </row>
    <row r="435" spans="1:40" ht="12.75" hidden="1">
      <c r="A435" s="8">
        <v>435</v>
      </c>
      <c r="B435" s="11">
        <v>44995.816820486114</v>
      </c>
      <c r="C435" s="8" t="s">
        <v>452</v>
      </c>
      <c r="D435" s="8" t="s">
        <v>453</v>
      </c>
      <c r="E435" s="8" t="s">
        <v>452</v>
      </c>
      <c r="F435" s="8" t="s">
        <v>454</v>
      </c>
      <c r="G435" s="8" t="str">
        <f>", "&amp;'RAW (公開用)'!F436&amp;", "</f>
        <v xml:space="preserve">, クエスチョニング, **必ず選んでください**, </v>
      </c>
      <c r="H435" s="8"/>
      <c r="I435" s="8" t="str">
        <f>", "&amp;'RAW (公開用)'!H436&amp;", "</f>
        <v xml:space="preserve">, さん, </v>
      </c>
      <c r="J435" s="8" t="s">
        <v>2335</v>
      </c>
      <c r="K435"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35" s="8" t="str">
        <f>", "&amp;'RAW (公開用)'!J436&amp;", "</f>
        <v xml:space="preserve">, **英語を日常的に使わない**, </v>
      </c>
      <c r="M435" s="8" t="s">
        <v>2335</v>
      </c>
      <c r="N435"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35" s="8" t="str">
        <f>", "&amp;'RAW (公開用)'!L436&amp;", "</f>
        <v xml:space="preserve">, 俺, 私（わたし／わたくし）, わし, </v>
      </c>
      <c r="P435" s="8" t="s">
        <v>2335</v>
      </c>
      <c r="Q435"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俺, 私（わたし／わたくし）, わし,  , </v>
      </c>
      <c r="R435" s="8" t="str">
        <f>", "&amp;'RAW (公開用)'!N435&amp;", "</f>
        <v xml:space="preserve">, （自分（たち）の名前）, </v>
      </c>
      <c r="S435" s="8" t="s">
        <v>2335</v>
      </c>
      <c r="T435"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35" s="8" t="str">
        <f>", "&amp;'RAW (公開用)'!P436&amp;", "</f>
        <v xml:space="preserve">, **英語を日常的に使わない**, </v>
      </c>
      <c r="V435" s="8" t="s">
        <v>455</v>
      </c>
      <c r="W435" s="8" t="str">
        <f>", "&amp;'RAW (公開用)'!R436&amp;", "</f>
        <v xml:space="preserve">, 家族／かぞくからの無理解, カムアウトできない, </v>
      </c>
      <c r="X435" s="8"/>
      <c r="Y435"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家族／かぞくからの無理解, カムアウトできない,  </v>
      </c>
      <c r="Z435" s="8" t="s">
        <v>455</v>
      </c>
      <c r="AA435" s="8" t="str">
        <f>", "&amp;'RAW (公開用)'!U436&amp;", "</f>
        <v xml:space="preserve">, 戸籍名の変更, </v>
      </c>
      <c r="AB435" s="8" t="str">
        <f>", "&amp;'RAW (公開用)'!V436&amp;", "</f>
        <v xml:space="preserve">, （上記のどれも経験していない）, </v>
      </c>
      <c r="AC435" s="8"/>
      <c r="AD435"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5" s="8" t="s">
        <v>461</v>
      </c>
      <c r="AF435" s="8" t="s">
        <v>457</v>
      </c>
      <c r="AG435" s="8" t="s">
        <v>458</v>
      </c>
      <c r="AH435" s="8"/>
      <c r="AI435" s="8">
        <f t="shared" si="20"/>
        <v>1</v>
      </c>
      <c r="AJ435" s="8"/>
      <c r="AK435" s="8"/>
      <c r="AL435" s="8"/>
      <c r="AM435" s="8"/>
      <c r="AN435" s="8"/>
    </row>
    <row r="436" spans="1:40" ht="12.75" hidden="1">
      <c r="A436" s="8">
        <v>129</v>
      </c>
      <c r="B436" s="11">
        <v>44970.482929583333</v>
      </c>
      <c r="C436" s="8" t="s">
        <v>452</v>
      </c>
      <c r="D436" s="8" t="s">
        <v>453</v>
      </c>
      <c r="E436" s="8" t="s">
        <v>452</v>
      </c>
      <c r="F436" s="8" t="s">
        <v>454</v>
      </c>
      <c r="G436" s="8" t="str">
        <f>", "&amp;'RAW (公開用)'!F130&amp;", "</f>
        <v xml:space="preserve">, クィア／Queer, </v>
      </c>
      <c r="H436" s="8"/>
      <c r="I436" s="8" t="str">
        <f>", "&amp;'RAW (公開用)'!H130&amp;", "</f>
        <v xml:space="preserve">, さん, </v>
      </c>
      <c r="J436" s="8" t="s">
        <v>2335</v>
      </c>
      <c r="K436"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36" s="8" t="str">
        <f>", "&amp;'RAW (公開用)'!J130&amp;", "</f>
        <v xml:space="preserve">, **英語を日常的に使わない**, </v>
      </c>
      <c r="M436" s="8" t="s">
        <v>2335</v>
      </c>
      <c r="N436"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36" s="8" t="str">
        <f>", "&amp;'RAW (公開用)'!L130&amp;", "</f>
        <v xml:space="preserve">, 自分, うち, 私（わたし／わたくし）, 俺, わし, （時とともに変わる）, </v>
      </c>
      <c r="P436" s="8" t="s">
        <v>2335</v>
      </c>
      <c r="Q436"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うち, 私（わたし／わたくし）, 俺, わし, （時とともに変わる）,  , </v>
      </c>
      <c r="R436" s="8" t="str">
        <f>", "&amp;'RAW (公開用)'!N436&amp;", "</f>
        <v xml:space="preserve">, （自分（たち）の名前）, </v>
      </c>
      <c r="S436" s="8" t="s">
        <v>2356</v>
      </c>
      <c r="T436"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 {この/その/あの}+ひと,</v>
      </c>
      <c r="U436" s="8" t="str">
        <f>", "&amp;'RAW (公開用)'!P130&amp;", "</f>
        <v xml:space="preserve">, **英語を日常的に使わない**, </v>
      </c>
      <c r="V436" s="8" t="s">
        <v>455</v>
      </c>
      <c r="W436" s="8" t="str">
        <f>", "&amp;'RAW (公開用)'!R130&amp;", "</f>
        <v xml:space="preserve">, 社会の中でいないことにされる, カムアウトできない, </v>
      </c>
      <c r="X436" s="8"/>
      <c r="Y436"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社会の中でいないことにされる, カムアウトできない,  </v>
      </c>
      <c r="Z436" s="8" t="s">
        <v>455</v>
      </c>
      <c r="AA436" s="8" t="str">
        <f>", "&amp;'RAW (公開用)'!U130&amp;", "</f>
        <v xml:space="preserve">, ジェンダークリニックの受診, </v>
      </c>
      <c r="AB436" s="8" t="str">
        <f>", "&amp;'RAW (公開用)'!V130&amp;", "</f>
        <v xml:space="preserve">, （上記のどれも経験していない）, </v>
      </c>
      <c r="AC436" s="8"/>
      <c r="AD436"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6" s="8" t="s">
        <v>459</v>
      </c>
      <c r="AF436" s="8" t="s">
        <v>457</v>
      </c>
      <c r="AG436" s="8" t="s">
        <v>458</v>
      </c>
      <c r="AH436" s="8"/>
      <c r="AI436" s="8">
        <f t="shared" si="20"/>
        <v>1</v>
      </c>
      <c r="AJ436" s="8"/>
      <c r="AK436" s="8"/>
      <c r="AL436" s="8"/>
      <c r="AM436" s="8"/>
      <c r="AN436" s="8"/>
    </row>
    <row r="437" spans="1:40" ht="38.25" hidden="1">
      <c r="A437" s="8">
        <v>101</v>
      </c>
      <c r="B437" s="11">
        <v>44970.050860740739</v>
      </c>
      <c r="C437" s="8" t="s">
        <v>452</v>
      </c>
      <c r="D437" s="8" t="s">
        <v>453</v>
      </c>
      <c r="E437" s="8" t="s">
        <v>452</v>
      </c>
      <c r="F437" s="8" t="s">
        <v>454</v>
      </c>
      <c r="G437" s="8" t="str">
        <f>", "&amp;'RAW (公開用)'!F102&amp;", "</f>
        <v xml:space="preserve">, ノンバイナリー男性, ノンバイナリー女性, 不明／わからない, ジェンダークィア, ノンバイナリー, クィア／Queer, 両性, </v>
      </c>
      <c r="H437" s="8"/>
      <c r="I437" s="8" t="str">
        <f>", "&amp;'RAW (公開用)'!H102&amp;", "</f>
        <v xml:space="preserve">, （時とともに変わる）, ちゃん, （敬称なし）, （クエスチョニング、模索中、または不明）, さん, たん, くん／君, （any／問わない／どれでもよい）, </v>
      </c>
      <c r="J437" s="8" t="s">
        <v>2335</v>
      </c>
      <c r="K437"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（時とともに変わる）, ちゃん, （敬称なし）, （クエスチョニング、模索中、または不明）, さん, たん, くん／君, （any／問わない／どれでもよい）,  , </v>
      </c>
      <c r="L437" s="8" t="str">
        <f>", "&amp;'RAW (公開用)'!J102&amp;", "</f>
        <v xml:space="preserve">, （any／問わない／どれでもよい）, </v>
      </c>
      <c r="M437" s="8" t="s">
        <v>2335</v>
      </c>
      <c r="N437"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（any／問わない／どれでもよい）, , </v>
      </c>
      <c r="O437" s="8" t="str">
        <f>", "&amp;'RAW (公開用)'!L102&amp;", "</f>
        <v xml:space="preserve">, 僕, （自分（たち）の名前）, （時とともに変わる）, （any／問わない／どれでもよい）, 俺, 私（わたし／わたくし）, わたし, 自分, おれ, あたし, </v>
      </c>
      <c r="P437" s="8" t="s">
        <v>2335</v>
      </c>
      <c r="Q437"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（自分（たち）の名前）, （時とともに変わる）, （any／問わない／どれでもよい）, 俺, 私（わたし／わたくし）, わたし, 自分, おれ, あたし,  , </v>
      </c>
      <c r="R437" s="8" t="str">
        <f>", "&amp;'RAW (公開用)'!N437&amp;", "</f>
        <v xml:space="preserve">, 彼人（かのひと）, かれ, 彼人（かのと）, （自分（たち）の名前）, 彼, </v>
      </c>
      <c r="S437" s="73" t="s">
        <v>2377</v>
      </c>
      <c r="T437"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彼人（かのひと）, かれ, 彼人（かのと）, （自分（たち）の名前）, 彼,  , 貴方,</v>
      </c>
      <c r="U437" s="8" t="str">
        <f>", "&amp;'RAW (公開用)'!P102&amp;", "</f>
        <v xml:space="preserve">, any/問わない/どれでもよい, fae, </v>
      </c>
      <c r="V437" s="8" t="s">
        <v>455</v>
      </c>
      <c r="W437" s="8" t="str">
        <f>", "&amp;'RAW (公開用)'!R102&amp;", "</f>
        <v xml:space="preserve">, カムアウトを強制される, デッドネーミング（誤った名前で呼ばれること）, ミスジェンダリング（誤った性別として扱うこと）, 職場や学校における無理解, 家族／かぞくからの無理解, </v>
      </c>
      <c r="X437" s="8"/>
      <c r="Y437"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カムアウトを強制される, デッドネーミング（誤った名前で呼ばれること）, ミスジェンダリング（誤った性別として扱うこと）, 職場や学校における無理解, 家族／かぞくからの無理解,  </v>
      </c>
      <c r="Z437" s="8" t="s">
        <v>455</v>
      </c>
      <c r="AA437" s="8" t="str">
        <f>", "&amp;'RAW (公開用)'!U102&amp;", "</f>
        <v xml:space="preserve">, 顔にかかわる手術, 胸部の手術, </v>
      </c>
      <c r="AB437" s="8" t="str">
        <f>", "&amp;'RAW (公開用)'!V102&amp;", "</f>
        <v xml:space="preserve">, （上記のどれも経験していない）, </v>
      </c>
      <c r="AC437" s="8"/>
      <c r="AD437"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37" s="8" t="s">
        <v>464</v>
      </c>
      <c r="AF437" s="8" t="s">
        <v>457</v>
      </c>
      <c r="AG437" s="8" t="s">
        <v>458</v>
      </c>
      <c r="AH437" s="8"/>
      <c r="AI437" s="8">
        <f t="shared" si="20"/>
        <v>7</v>
      </c>
      <c r="AJ437" s="8"/>
      <c r="AK437" s="8"/>
      <c r="AL437" s="8"/>
      <c r="AM437" s="8"/>
      <c r="AN437" s="8"/>
    </row>
    <row r="438" spans="1:40" ht="63.75" hidden="1">
      <c r="A438" s="8">
        <v>438</v>
      </c>
      <c r="B438" s="11">
        <v>44995.993417002319</v>
      </c>
      <c r="C438" s="8" t="s">
        <v>452</v>
      </c>
      <c r="D438" s="8" t="s">
        <v>453</v>
      </c>
      <c r="E438" s="8" t="s">
        <v>452</v>
      </c>
      <c r="F438" s="8" t="s">
        <v>454</v>
      </c>
      <c r="G438" s="8" t="str">
        <f>", "&amp;'RAW (公開用)'!F439&amp;", "</f>
        <v xml:space="preserve">, **必ず選んでください**, ノンバイナリー, （ジェンダー・）フルイド／（ジェンダー・）フリュイド／（ジェンダー・）フルイッド, 無性, enby／エンビー, Xジェンダー, 不明／わからない, バイジェンダー, </v>
      </c>
      <c r="H438" s="8"/>
      <c r="I438" s="8" t="str">
        <f>", "&amp;'RAW (公開用)'!H439&amp;", "</f>
        <v xml:space="preserve">, くん／君, （敬称なし）, さん, </v>
      </c>
      <c r="J438" s="8" t="s">
        <v>2335</v>
      </c>
      <c r="K438"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くん／君, （敬称なし）, さん,  , </v>
      </c>
      <c r="L438" s="8" t="str">
        <f>", "&amp;'RAW (公開用)'!J439&amp;", "</f>
        <v xml:space="preserve">, -san, （敬称なし）, Dr.など、職業などにかかわるもの, </v>
      </c>
      <c r="M438" s="8" t="s">
        <v>2335</v>
      </c>
      <c r="N438"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（敬称なし）, Dr.など、職業などにかかわるもの, , </v>
      </c>
      <c r="O438" s="8" t="str">
        <f>", "&amp;'RAW (公開用)'!L439&amp;", "</f>
        <v xml:space="preserve">, 自分, （一人称の使用を避ける）, ぼく, </v>
      </c>
      <c r="P438" s="8" t="s">
        <v>2335</v>
      </c>
      <c r="Q438"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自分, （一人称の使用を避ける）, ぼく,  , </v>
      </c>
      <c r="R438" s="8" t="str">
        <f>", "&amp;'RAW (公開用)'!N438&amp;", "</f>
        <v xml:space="preserve">, （三人称で言及してほしくない）, （自分（たち）の名前）, </v>
      </c>
      <c r="S438" s="8" t="s">
        <v>2335</v>
      </c>
      <c r="T438"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（自分（たち）の名前）,  , </v>
      </c>
      <c r="U438" s="8" t="str">
        <f>", "&amp;'RAW (公開用)'!P439&amp;", "</f>
        <v xml:space="preserve">, they/them/their/themself, </v>
      </c>
      <c r="V438" s="8" t="s">
        <v>455</v>
      </c>
      <c r="W438" s="8" t="str">
        <f>", "&amp;'RAW (公開用)'!R439&amp;", "</f>
        <v xml:space="preserve">, 必要なジェンダーケアへアクセスできない, 職場や学校における無理解, カムアウトできない, 医療における無理解, 社会の中でいないことにされる, 家族／かぞくからの無理解, ミスジェンダリング（誤った性別として扱うこと）, </v>
      </c>
      <c r="X438" s="8" t="s">
        <v>239</v>
      </c>
      <c r="Y438"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必要なジェンダーケアへアクセスできない, 職場や学校における無理解, カムアウトできない, 医療における無理解, 社会の中でいないことにされる, 家族／かぞくからの無理解, ミスジェンダリング（誤った性別として扱うこと）,  仕事に付くときの選択肢がたとえば制服がジェンダー化されているなどの理由で狭くなってしまう。</v>
      </c>
      <c r="Z438" s="8" t="s">
        <v>455</v>
      </c>
      <c r="AA438" s="8" t="str">
        <f>", "&amp;'RAW (公開用)'!U439&amp;", "</f>
        <v xml:space="preserve">, 胸部の手術, 性器にかかわる手術, </v>
      </c>
      <c r="AB438" s="8" t="str">
        <f>", "&amp;'RAW (公開用)'!V439&amp;", "</f>
        <v xml:space="preserve">, （上記のどれも経験していない）, </v>
      </c>
      <c r="AC438" s="8" t="s">
        <v>413</v>
      </c>
      <c r="AD438" s="8" t="str">
        <f>テーブル1[[#This Row],[以下のうち、経験したものをすべて選んでください]]&amp;" "&amp;テーブル1[[#This Row],[社会的、法的、医学的トランジションについて、困難なこと等がありましたらここにお書きください]]</f>
        <v>, （上記のどれも経験していない）,  お金の問題と、クローゼットゆえに同居している家族に対してどうするかという困難がある。</v>
      </c>
      <c r="AE438" s="8" t="s">
        <v>462</v>
      </c>
      <c r="AF438" s="8" t="s">
        <v>457</v>
      </c>
      <c r="AG438" s="8" t="s">
        <v>458</v>
      </c>
      <c r="AH438" s="8"/>
      <c r="AI438" s="8">
        <f t="shared" si="20"/>
        <v>7</v>
      </c>
      <c r="AJ438" s="8"/>
      <c r="AK438" s="8"/>
      <c r="AL438" s="8"/>
      <c r="AM438" s="8"/>
      <c r="AN438" s="8"/>
    </row>
    <row r="439" spans="1:40" ht="25.5" hidden="1">
      <c r="A439" s="8">
        <v>334</v>
      </c>
      <c r="B439" s="11">
        <v>44991.913735879629</v>
      </c>
      <c r="C439" s="8" t="s">
        <v>452</v>
      </c>
      <c r="D439" s="8" t="s">
        <v>453</v>
      </c>
      <c r="E439" s="8" t="s">
        <v>452</v>
      </c>
      <c r="F439" s="8" t="s">
        <v>454</v>
      </c>
      <c r="G439" s="8" t="str">
        <f>", "&amp;'RAW (公開用)'!F335&amp;", "</f>
        <v xml:space="preserve">, トランス, 両性, Xジェンダー, **必ず選んでください**, X, 中性, </v>
      </c>
      <c r="H439" s="8"/>
      <c r="I439" s="8" t="str">
        <f>", "&amp;'RAW (公開用)'!H335&amp;", "</f>
        <v xml:space="preserve">, （any／問わない／どれでもよい）, （クエスチョニング、模索中、または不明）, （時とともに変わる）, さん, </v>
      </c>
      <c r="J439" s="8" t="s">
        <v>2335</v>
      </c>
      <c r="K439"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（any／問わない／どれでもよい）, （クエスチョニング、模索中、または不明）, （時とともに変わる）, さん,  , </v>
      </c>
      <c r="L439" s="8" t="str">
        <f>", "&amp;'RAW (公開用)'!J335&amp;", "</f>
        <v xml:space="preserve">, **英語を日常的に使わない**, </v>
      </c>
      <c r="M439" s="8" t="s">
        <v>2335</v>
      </c>
      <c r="N439"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39" s="8" t="str">
        <f>", "&amp;'RAW (公開用)'!L335&amp;", "</f>
        <v xml:space="preserve">, うち, ぼく, わし, 自分, 私（わたし／わたくし）, </v>
      </c>
      <c r="P439" s="8" t="s">
        <v>2335</v>
      </c>
      <c r="Q439"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うち, ぼく, わし, 自分, 私（わたし／わたくし）,  , </v>
      </c>
      <c r="R439" s="8" t="str">
        <f>", "&amp;'RAW (公開用)'!N439&amp;", "</f>
        <v xml:space="preserve">, （自分（たち）の名前）, 彼, </v>
      </c>
      <c r="S439" s="8" t="s">
        <v>2355</v>
      </c>
      <c r="T439"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（自分（たち）の名前）, 彼,  , {この/その/あの}+人,</v>
      </c>
      <c r="U439" s="8" t="str">
        <f>", "&amp;'RAW (公開用)'!P335&amp;", "</f>
        <v xml:space="preserve">, **英語を日常的に使わない**, </v>
      </c>
      <c r="V439" s="8" t="s">
        <v>455</v>
      </c>
      <c r="W439" s="8" t="str">
        <f>", "&amp;'RAW (公開用)'!R335&amp;", "</f>
        <v xml:space="preserve">, カムアウトできない, 職場や学校における無理解, トイレなどのジェンダー化されたスペースの使用, 家族／かぞくからの無理解, </v>
      </c>
      <c r="X439" s="8"/>
      <c r="Y439"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カムアウトできない, 職場や学校における無理解, トイレなどのジェンダー化されたスペースの使用, 家族／かぞくからの無理解,  </v>
      </c>
      <c r="Z439" s="8" t="s">
        <v>455</v>
      </c>
      <c r="AA439" s="8" t="str">
        <f>", "&amp;'RAW (公開用)'!U335&amp;", "</f>
        <v xml:space="preserve">, 戸籍名の変更, 戸籍上の性別の変更, ジェンダークリニックの受診, ホルモン補充療法（HRT）, 性器にかかわる手術, </v>
      </c>
      <c r="AB439" s="8" t="str">
        <f>", "&amp;'RAW (公開用)'!V335&amp;", "</f>
        <v xml:space="preserve">, ホルモン補充療法（HRT）, 性器にかかわる手術, </v>
      </c>
      <c r="AC439" s="8"/>
      <c r="AD439" s="8" t="str">
        <f>テーブル1[[#This Row],[以下のうち、経験したものをすべて選んでください]]&amp;" "&amp;テーブル1[[#This Row],[社会的、法的、医学的トランジションについて、困難なこと等がありましたらここにお書きください]]</f>
        <v xml:space="preserve">, ホルモン補充療法（HRT）, 性器にかかわる手術,  </v>
      </c>
      <c r="AE439" s="8" t="s">
        <v>456</v>
      </c>
      <c r="AF439" s="8" t="s">
        <v>457</v>
      </c>
      <c r="AG439" s="8" t="s">
        <v>458</v>
      </c>
      <c r="AH439" s="8"/>
      <c r="AI439" s="8">
        <f t="shared" si="20"/>
        <v>5</v>
      </c>
      <c r="AJ439" s="8"/>
      <c r="AK439" s="8"/>
      <c r="AL439" s="8"/>
      <c r="AM439" s="8"/>
      <c r="AN439" s="8"/>
    </row>
    <row r="440" spans="1:40" ht="12.75" hidden="1">
      <c r="A440" s="8">
        <v>440</v>
      </c>
      <c r="B440" s="11">
        <v>44996.462194525462</v>
      </c>
      <c r="C440" s="8" t="s">
        <v>452</v>
      </c>
      <c r="D440" s="8" t="s">
        <v>453</v>
      </c>
      <c r="E440" s="8" t="s">
        <v>452</v>
      </c>
      <c r="F440" s="8" t="s">
        <v>454</v>
      </c>
      <c r="G440" s="8" t="str">
        <f>", "&amp;'RAW (公開用)'!F441&amp;", "</f>
        <v xml:space="preserve">, ノンバイナリー, </v>
      </c>
      <c r="H440" s="8"/>
      <c r="I440" s="8" t="str">
        <f>", "&amp;'RAW (公開用)'!H441&amp;", "</f>
        <v xml:space="preserve">, さん, </v>
      </c>
      <c r="J440" s="8" t="s">
        <v>2335</v>
      </c>
      <c r="K440"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40" s="8" t="str">
        <f>", "&amp;'RAW (公開用)'!J441&amp;", "</f>
        <v xml:space="preserve">, **英語を日常的に使わない**, </v>
      </c>
      <c r="M440" s="8" t="s">
        <v>2335</v>
      </c>
      <c r="N440"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40" s="8" t="str">
        <f>", "&amp;'RAW (公開用)'!L441&amp;", "</f>
        <v xml:space="preserve">, わたし, （自分（たち）の名前）, </v>
      </c>
      <c r="P440" s="8" t="s">
        <v>2335</v>
      </c>
      <c r="Q440"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わたし, （自分（たち）の名前）,  , </v>
      </c>
      <c r="R440" s="8" t="s">
        <v>2174</v>
      </c>
      <c r="S440" s="8" t="s">
        <v>2335</v>
      </c>
      <c r="T440"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無回答 , </v>
      </c>
      <c r="U440" s="8" t="str">
        <f>", "&amp;'RAW (公開用)'!P441&amp;", "</f>
        <v xml:space="preserve">, **英語を日常的に使わない**, </v>
      </c>
      <c r="V440" s="8" t="s">
        <v>455</v>
      </c>
      <c r="W440" s="8" t="str">
        <f>", "&amp;'RAW (公開用)'!R441&amp;", "</f>
        <v xml:space="preserve">, 職場や学校における無理解, </v>
      </c>
      <c r="X440" s="8"/>
      <c r="Y440"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職場や学校における無理解,  </v>
      </c>
      <c r="Z440" s="8" t="s">
        <v>455</v>
      </c>
      <c r="AA440" s="8" t="str">
        <f>", "&amp;'RAW (公開用)'!U441&amp;", "</f>
        <v xml:space="preserve">, （上記のどれも希望していない）, </v>
      </c>
      <c r="AB440" s="8" t="str">
        <f>", "&amp;'RAW (公開用)'!V441&amp;", "</f>
        <v xml:space="preserve">, （上記のどれも経験していない）, </v>
      </c>
      <c r="AC440" s="8"/>
      <c r="AD440"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40" s="8" t="s">
        <v>461</v>
      </c>
      <c r="AF440" s="8" t="s">
        <v>457</v>
      </c>
      <c r="AG440" s="8" t="s">
        <v>458</v>
      </c>
      <c r="AH440" s="8"/>
      <c r="AI440" s="8">
        <f t="shared" si="20"/>
        <v>1</v>
      </c>
      <c r="AJ440" s="8"/>
      <c r="AK440" s="8"/>
      <c r="AL440" s="8"/>
      <c r="AM440" s="8"/>
      <c r="AN440" s="8"/>
    </row>
    <row r="441" spans="1:40" ht="76.5" hidden="1">
      <c r="A441" s="8">
        <v>441</v>
      </c>
      <c r="B441" s="11">
        <v>44996.750470694446</v>
      </c>
      <c r="C441" s="8" t="s">
        <v>452</v>
      </c>
      <c r="D441" s="8" t="s">
        <v>453</v>
      </c>
      <c r="E441" s="8" t="s">
        <v>452</v>
      </c>
      <c r="F441" s="8" t="s">
        <v>454</v>
      </c>
      <c r="G441" s="8" t="str">
        <f>", "&amp;'RAW (公開用)'!F442&amp;", "</f>
        <v xml:space="preserve">, Xジェンダー, クィア／Queer, X, ノンバイナリー, </v>
      </c>
      <c r="H441" s="8"/>
      <c r="I441" s="8" t="str">
        <f>", "&amp;'RAW (公開用)'!H442&amp;", "</f>
        <v xml:space="preserve">, さん, </v>
      </c>
      <c r="J441" s="8" t="s">
        <v>2335</v>
      </c>
      <c r="K441"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41" s="8" t="str">
        <f>", "&amp;'RAW (公開用)'!J442&amp;", "</f>
        <v xml:space="preserve">, -san, Dr.など、職業などにかかわるもの, Mx., </v>
      </c>
      <c r="M441" s="8" t="s">
        <v>2335</v>
      </c>
      <c r="N441"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-san, Dr.など、職業などにかかわるもの, Mx., , </v>
      </c>
      <c r="O441" s="8" t="str">
        <f>", "&amp;'RAW (公開用)'!L442&amp;", "</f>
        <v xml:space="preserve">, 僕, 私（わたし／わたくし）, 自分, 俺, （一人称の使用を避ける）, </v>
      </c>
      <c r="P441" s="8" t="s">
        <v>2335</v>
      </c>
      <c r="Q441"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僕, 私（わたし／わたくし）, 自分, 俺, （一人称の使用を避ける）,  , </v>
      </c>
      <c r="R441" s="8" t="str">
        <f>", "&amp;'RAW (公開用)'!N441&amp;", "</f>
        <v xml:space="preserve">, 彼, </v>
      </c>
      <c r="S441" s="8" t="s">
        <v>2335</v>
      </c>
      <c r="T441"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彼,  , </v>
      </c>
      <c r="U441" s="8" t="str">
        <f>", "&amp;'RAW (公開用)'!P442&amp;", "</f>
        <v xml:space="preserve">, ze, they/them/their/themselves, </v>
      </c>
      <c r="V441" s="8" t="s">
        <v>455</v>
      </c>
      <c r="W441" s="8" t="str">
        <f>", "&amp;'RAW (公開用)'!R442&amp;", "</f>
        <v xml:space="preserve">, トイレなどのジェンダー化されたスペースの使用, 医療における無理解, カムアウトできない, 家族／かぞくからの無理解, 職場や学校における無理解, 社会の中でいないことにされる, 必要なジェンダーケアへアクセスできない, アウティング（勝手にジェンダーや指向についての情報を明かされること）, ミスジェンダリング（誤った性別として扱うこと）, デッドネーミング（誤った名前で呼ばれること）, </v>
      </c>
      <c r="X441" s="8"/>
      <c r="Y441"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トイレなどのジェンダー化されたスペースの使用, 医療における無理解, カムアウトできない, 家族／かぞくからの無理解, 職場や学校における無理解, 社会の中でいないことにされる, 必要なジェンダーケアへアクセスできない, アウティング（勝手にジェンダーや指向についての情報を明かされること）, ミスジェンダリング（誤った性別として扱うこと）, デッドネーミング（誤った名前で呼ばれること）,  </v>
      </c>
      <c r="Z441" s="8" t="s">
        <v>455</v>
      </c>
      <c r="AA441" s="8" t="str">
        <f>", "&amp;'RAW (公開用)'!U442&amp;", "</f>
        <v xml:space="preserve">, 戸籍名の変更, 戸籍上の性別の変更, ジェンダークリニックの受診, 抗ホルモン療法, ホルモン補充療法（HRT）, 胸部の手術, 性器にかかわる手術, </v>
      </c>
      <c r="AB441" s="105" t="s">
        <v>2443</v>
      </c>
      <c r="AC441" s="8" t="s">
        <v>421</v>
      </c>
      <c r="AD441" s="8" t="str">
        <f>テーブル1[[#This Row],[以下のうち、経験したものをすべて選んでください]]&amp;" "&amp;テーブル1[[#This Row],[社会的、法的、医学的トランジションについて、困難なこと等がありましたらここにお書きください]]</f>
        <v>無回答 「第三の性」が法定されていないために移行先がない　二元論でいう「異性」になりたいわけではないためにSRSをするための要件にあたらないおそれがある</v>
      </c>
      <c r="AE441" s="8" t="s">
        <v>456</v>
      </c>
      <c r="AF441" s="8" t="s">
        <v>457</v>
      </c>
      <c r="AG441" s="8" t="s">
        <v>458</v>
      </c>
      <c r="AH441" s="8"/>
      <c r="AI441" s="8">
        <f t="shared" si="20"/>
        <v>4</v>
      </c>
      <c r="AJ441" s="8"/>
      <c r="AK441" s="8"/>
      <c r="AL441" s="8"/>
      <c r="AM441" s="8"/>
      <c r="AN441" s="8"/>
    </row>
    <row r="442" spans="1:40" ht="12.75" hidden="1">
      <c r="A442" s="8">
        <v>442</v>
      </c>
      <c r="B442" s="11">
        <v>44996.965745624999</v>
      </c>
      <c r="C442" s="8" t="s">
        <v>452</v>
      </c>
      <c r="D442" s="8" t="s">
        <v>453</v>
      </c>
      <c r="E442" s="8" t="s">
        <v>452</v>
      </c>
      <c r="F442" s="8" t="s">
        <v>454</v>
      </c>
      <c r="G442" s="8" t="str">
        <f>", "&amp;'RAW (公開用)'!F443&amp;", "</f>
        <v xml:space="preserve">, ノンバイナリー, Xジェンダー, 中性, </v>
      </c>
      <c r="H442" s="8"/>
      <c r="I442" s="8" t="str">
        <f>", "&amp;'RAW (公開用)'!H443&amp;", "</f>
        <v xml:space="preserve">, さん, </v>
      </c>
      <c r="J442" s="8" t="s">
        <v>2335</v>
      </c>
      <c r="K442"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 </v>
      </c>
      <c r="L442" s="8" t="str">
        <f>", "&amp;'RAW (公開用)'!J443&amp;", "</f>
        <v xml:space="preserve">, **英語を日常的に使わない**, </v>
      </c>
      <c r="M442" s="8" t="s">
        <v>2335</v>
      </c>
      <c r="N442"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**英語を日常的に使わない**, , </v>
      </c>
      <c r="O442" s="8" t="str">
        <f>", "&amp;'RAW (公開用)'!L443&amp;", "</f>
        <v xml:space="preserve">, 私（わたし／わたくし）, </v>
      </c>
      <c r="P442" s="8" t="s">
        <v>2335</v>
      </c>
      <c r="Q442"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 </v>
      </c>
      <c r="R442" s="8" t="str">
        <f>", "&amp;'RAW (公開用)'!N442&amp;", "</f>
        <v xml:space="preserve">, （三人称で言及してほしくない）, </v>
      </c>
      <c r="S442" s="8" t="s">
        <v>2335</v>
      </c>
      <c r="T442"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（三人称で言及してほしくない）,  , </v>
      </c>
      <c r="U442" s="8" t="str">
        <f>", "&amp;'RAW (公開用)'!P443&amp;", "</f>
        <v xml:space="preserve">, **英語を日常的に使わない**, </v>
      </c>
      <c r="V442" s="8" t="s">
        <v>455</v>
      </c>
      <c r="W442" s="8" t="s">
        <v>2174</v>
      </c>
      <c r="X442" s="8"/>
      <c r="Y442"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無回答 </v>
      </c>
      <c r="Z442" s="8" t="s">
        <v>455</v>
      </c>
      <c r="AA442" s="8" t="s">
        <v>2174</v>
      </c>
      <c r="AB442" s="105" t="s">
        <v>2443</v>
      </c>
      <c r="AC442" s="8"/>
      <c r="AD442"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42" s="8" t="s">
        <v>479</v>
      </c>
      <c r="AF442" s="8" t="s">
        <v>457</v>
      </c>
      <c r="AG442" s="8" t="s">
        <v>458</v>
      </c>
      <c r="AH442" s="8"/>
      <c r="AI442" s="8">
        <f t="shared" si="20"/>
        <v>3</v>
      </c>
      <c r="AJ442" s="8"/>
      <c r="AK442" s="8"/>
      <c r="AL442" s="8"/>
      <c r="AM442" s="8"/>
      <c r="AN442" s="8"/>
    </row>
    <row r="443" spans="1:40" ht="51" hidden="1">
      <c r="A443" s="8">
        <v>443</v>
      </c>
      <c r="B443" s="11">
        <v>44997.068150474537</v>
      </c>
      <c r="C443" s="8" t="s">
        <v>452</v>
      </c>
      <c r="D443" s="8" t="s">
        <v>453</v>
      </c>
      <c r="E443" s="8" t="s">
        <v>452</v>
      </c>
      <c r="F443" s="8" t="s">
        <v>454</v>
      </c>
      <c r="G443" s="8" t="str">
        <f>", "&amp;'RAW (公開用)'!F444&amp;", "</f>
        <v xml:space="preserve">, ノンバイナリー, </v>
      </c>
      <c r="H443" s="8"/>
      <c r="I443" s="8" t="str">
        <f>", "&amp;'RAW (公開用)'!H444&amp;", "</f>
        <v xml:space="preserve">, （クエスチョニング、模索中、または不明）, </v>
      </c>
      <c r="J443" s="8" t="s">
        <v>2335</v>
      </c>
      <c r="K443"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（クエスチョニング、模索中、または不明）,  , </v>
      </c>
      <c r="L443" s="8" t="str">
        <f>", "&amp;'RAW (公開用)'!J444&amp;", "</f>
        <v xml:space="preserve">, Dr.など、職業などにかかわるもの, Mx., </v>
      </c>
      <c r="M443" s="8" t="s">
        <v>2335</v>
      </c>
      <c r="N443"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Dr.など、職業などにかかわるもの, Mx., , </v>
      </c>
      <c r="O443" s="8" t="str">
        <f>", "&amp;'RAW (公開用)'!L444&amp;", "</f>
        <v xml:space="preserve">, 私（わたし／わたくし）, おれ, 僕, </v>
      </c>
      <c r="P443" s="8" t="s">
        <v>2335</v>
      </c>
      <c r="Q443"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おれ, 僕,  , </v>
      </c>
      <c r="R443" s="8" t="str">
        <f>", "&amp;'RAW (公開用)'!N443&amp;", "</f>
        <v xml:space="preserve">, （自分（たち）の名前）, </v>
      </c>
      <c r="S443" s="8" t="s">
        <v>2335</v>
      </c>
      <c r="T443"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43" s="8" t="str">
        <f>", "&amp;'RAW (公開用)'!P444&amp;", "</f>
        <v xml:space="preserve">, they/them/their/themself, </v>
      </c>
      <c r="V443" s="8" t="s">
        <v>455</v>
      </c>
      <c r="W443" s="8" t="str">
        <f>", "&amp;'RAW (公開用)'!R444&amp;", "</f>
        <v xml:space="preserve">, ミスジェンダリング（誤った性別として扱うこと）, 必要なジェンダーケアへアクセスできない, 社会の中でいないことにされる, 職場や学校における無理解, デッドネーミング（誤った名前で呼ばれること）, トイレなどのジェンダー化されたスペースの使用, 家族／かぞくからの無理解, カムアウトできない, </v>
      </c>
      <c r="X443" s="8"/>
      <c r="Y443"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ミスジェンダリング（誤った性別として扱うこと）, 必要なジェンダーケアへアクセスできない, 社会の中でいないことにされる, 職場や学校における無理解, デッドネーミング（誤った名前で呼ばれること）, トイレなどのジェンダー化されたスペースの使用, 家族／かぞくからの無理解, カムアウトできない,  </v>
      </c>
      <c r="Z443" s="8" t="s">
        <v>472</v>
      </c>
      <c r="AA443" s="8" t="s">
        <v>2174</v>
      </c>
      <c r="AB443" s="105" t="s">
        <v>2443</v>
      </c>
      <c r="AC443" s="8"/>
      <c r="AD443" s="8" t="str">
        <f>テーブル1[[#This Row],[以下のうち、経験したものをすべて選んでください]]&amp;" "&amp;テーブル1[[#This Row],[社会的、法的、医学的トランジションについて、困難なこと等がありましたらここにお書きください]]</f>
        <v xml:space="preserve">無回答 </v>
      </c>
      <c r="AE443" s="8" t="s">
        <v>462</v>
      </c>
      <c r="AF443" s="8" t="s">
        <v>457</v>
      </c>
      <c r="AG443" s="8" t="s">
        <v>458</v>
      </c>
      <c r="AH443" s="8"/>
      <c r="AI443" s="8">
        <f t="shared" si="20"/>
        <v>1</v>
      </c>
      <c r="AJ443" s="8"/>
      <c r="AK443" s="8"/>
      <c r="AL443" s="8"/>
      <c r="AM443" s="8"/>
      <c r="AN443" s="8"/>
    </row>
    <row r="444" spans="1:40" ht="51" hidden="1">
      <c r="A444" s="8">
        <v>444</v>
      </c>
      <c r="B444" s="11">
        <v>44997.136937488423</v>
      </c>
      <c r="C444" s="8" t="s">
        <v>452</v>
      </c>
      <c r="D444" s="8" t="s">
        <v>453</v>
      </c>
      <c r="E444" s="8" t="s">
        <v>452</v>
      </c>
      <c r="F444" s="8" t="s">
        <v>454</v>
      </c>
      <c r="G444" s="8" t="str">
        <f>", "&amp;'RAW (公開用)'!F445&amp;", "</f>
        <v xml:space="preserve">, クエスチョニング, ノンバイナリー男性, Aジェンダー／エイジェンダー／アジェンダー／agender, ノンバイナリー, クィア／Queer, **必ず選んでください**, （ジェンダー・）フルイド／（ジェンダー・）フリュイド／（ジェンダー・）フルイッド, ジェンダークィア, </v>
      </c>
      <c r="H444" s="8"/>
      <c r="I444" s="8" t="str">
        <f>", "&amp;'RAW (公開用)'!H445&amp;", "</f>
        <v xml:space="preserve">, さん, くん／君, （時とともに変わる）, （any／問わない／どれでもよい）, </v>
      </c>
      <c r="J444" s="8" t="s">
        <v>2335</v>
      </c>
      <c r="K444" s="8" t="str">
        <f>テーブル1[[#This Row],[あなた（たち）の敬称として  適切なものを、以下からすべてお選びください（日本語の場合）。次の問いとして、自由記入欄がございます。]]&amp;" "&amp;テーブル1[[#This Row],[上記選択肢になかった、あなた（たち）の敬称をあらわす言葉をご自由にお書きください。（日本語）]]</f>
        <v xml:space="preserve">, さん, くん／君, （時とともに変わる）, （any／問わない／どれでもよい）,  , </v>
      </c>
      <c r="L444" s="8" t="str">
        <f>", "&amp;'RAW (公開用)'!J445&amp;", "</f>
        <v xml:space="preserve">, （クエスチョニング、模索中、または不明）, -san, </v>
      </c>
      <c r="M444" s="8" t="s">
        <v>2335</v>
      </c>
      <c r="N444" s="8" t="str">
        <f>テーブル1[[#This Row],[あなた（たち）の敬称として  適切なものを、以下からすべてお選びください。（英語の場合）。なお、英語を日常的に使わない場合は、「英語を日常的に使わない」をお選びください。]]&amp;テーブル1[[#This Row],[上記選択肢になかった、あなた（たち）の敬称をあらわす言葉をご自由にお書きください。（英語）]]</f>
        <v xml:space="preserve">, （クエスチョニング、模索中、または不明）, -san, , </v>
      </c>
      <c r="O444" s="8" t="str">
        <f>", "&amp;'RAW (公開用)'!L445&amp;", "</f>
        <v xml:space="preserve">, 私（わたし／わたくし）, あたし, （一人称の使用を避ける）, </v>
      </c>
      <c r="P444" s="8" t="s">
        <v>2335</v>
      </c>
      <c r="Q444" s="8" t="str">
        <f>テーブル1[[#This Row],[あなた（たち）の一人称を教えてください（日本語）。漢字とひらがなは区別されています。]]&amp;" "&amp;テーブル1[[#This Row],[上記選択肢になかった、あなた（たち）の一人称代名詞をあらわす言葉をご自由にお書きください。（日本語）]]</f>
        <v xml:space="preserve">, 私（わたし／わたくし）, あたし, （一人称の使用を避ける）,  , </v>
      </c>
      <c r="R444" s="8" t="str">
        <f>", "&amp;'RAW (公開用)'!N444&amp;", "</f>
        <v xml:space="preserve">, （自分（たち）の名前）, </v>
      </c>
      <c r="S444" s="8" t="s">
        <v>2335</v>
      </c>
      <c r="T444" s="8" t="str">
        <f>テーブル1[[#This Row],[あなた（たち）の三人称を教えてください（日本語）。漢字とひらがなは区別されています。]]&amp;" "&amp;テーブル1[[#This Row],[上記選択肢になかった、あなた（たち）の三人称代名詞をあらわす言葉をご自由にお書きください。（日本語）]]</f>
        <v xml:space="preserve">, （自分（たち）の名前）,  , </v>
      </c>
      <c r="U444" s="8" t="str">
        <f>", "&amp;'RAW (公開用)'!P445&amp;", "</f>
        <v xml:space="preserve">, any/問わない/どれでもよい, they/them/their/themself, </v>
      </c>
      <c r="V444" s="8" t="s">
        <v>455</v>
      </c>
      <c r="W444" s="8" t="str">
        <f>", "&amp;'RAW (公開用)'!R445&amp;", "</f>
        <v xml:space="preserve">, 必要なジェンダーケアへアクセスできない, 職場や学校における無理解, 社会の中でいないことにされる, ミスジェンダリング（誤った性別として扱うこと）, カムアウトできない, カムアウトを強制される, 家族／かぞくからの無理解, </v>
      </c>
      <c r="X444" s="8"/>
      <c r="Y444" s="8" t="str">
        <f>テーブル1[[#This Row],[自身が経験した、経験している、および不安なことについて、お選びください]]&amp;" "&amp;テーブル1[[#This Row],[自身が経験した、経験している、および不安なことについて、追加したいことをこちらにお書きください]]</f>
        <v xml:space="preserve">, 必要なジェンダーケアへアクセスできない, 職場や学校における無理解, 社会の中でいないことにされる, ミスジェンダリング（誤った性別として扱うこと）, カムアウトできない, カムアウトを強制される, 家族／かぞくからの無理解,  </v>
      </c>
      <c r="Z444" s="8" t="s">
        <v>455</v>
      </c>
      <c r="AA444" s="8" t="str">
        <f>", "&amp;'RAW (公開用)'!U445&amp;", "</f>
        <v xml:space="preserve">, 戸籍上の性別の変更, （上記のどれも希望していない）, </v>
      </c>
      <c r="AB444" s="8" t="str">
        <f>", "&amp;'RAW (公開用)'!V445&amp;", "</f>
        <v xml:space="preserve">, （上記のどれも経験していない）, </v>
      </c>
      <c r="AC444" s="8"/>
      <c r="AD444" s="8" t="str">
        <f>テーブル1[[#This Row],[以下のうち、経験したものをすべて選んでください]]&amp;" "&amp;テーブル1[[#This Row],[社会的、法的、医学的トランジションについて、困難なこと等がありましたらここにお書きください]]</f>
        <v xml:space="preserve">, （上記のどれも経験していない）,  </v>
      </c>
      <c r="AE444" s="8" t="s">
        <v>464</v>
      </c>
      <c r="AF444" s="8" t="s">
        <v>457</v>
      </c>
      <c r="AG444" s="8" t="s">
        <v>458</v>
      </c>
      <c r="AH444" s="8"/>
      <c r="AI444" s="8">
        <f t="shared" si="20"/>
        <v>7</v>
      </c>
      <c r="AJ444" s="8"/>
      <c r="AK444" s="8"/>
      <c r="AL444" s="8"/>
      <c r="AM444" s="8"/>
      <c r="AN444" s="8"/>
    </row>
    <row r="445" spans="1:40" ht="12.75">
      <c r="A445" s="8"/>
      <c r="B445" s="11"/>
      <c r="C445" s="8"/>
      <c r="D445" s="8"/>
      <c r="E445" s="8"/>
      <c r="F445" s="8"/>
      <c r="G445" s="8"/>
      <c r="H445" s="8"/>
    </row>
    <row r="446" spans="1:40" ht="12.75">
      <c r="A446" s="8"/>
      <c r="B446" s="8"/>
      <c r="C446" s="8"/>
      <c r="D446" s="8"/>
      <c r="E446" s="8"/>
      <c r="F446" s="8"/>
      <c r="G446" s="8"/>
      <c r="H446" s="8"/>
    </row>
    <row r="447" spans="1:40" ht="12.75">
      <c r="A447" s="8"/>
      <c r="B447" s="8"/>
      <c r="C447" s="8"/>
      <c r="D447" s="8"/>
      <c r="E447" s="8"/>
      <c r="F447" s="8"/>
      <c r="G447" s="8"/>
      <c r="H447" s="8"/>
    </row>
    <row r="448" spans="1:40" ht="12.75">
      <c r="A448" s="8"/>
      <c r="B448" s="8"/>
      <c r="C448" s="8"/>
      <c r="D448" s="8"/>
      <c r="E448" s="8"/>
      <c r="F448" s="8"/>
      <c r="G448" s="8"/>
      <c r="H448" s="8"/>
    </row>
    <row r="449" spans="1:8" ht="12.75">
      <c r="A449" s="8"/>
      <c r="B449" s="8"/>
      <c r="C449" s="8"/>
      <c r="D449" s="8"/>
      <c r="E449" s="8"/>
      <c r="F449" s="8"/>
      <c r="G449" s="8"/>
      <c r="H449" s="8"/>
    </row>
    <row r="450" spans="1:8" ht="12.75">
      <c r="A450" s="8"/>
      <c r="B450" s="8"/>
      <c r="C450" s="8"/>
      <c r="D450" s="8"/>
      <c r="E450" s="8"/>
      <c r="F450" s="8"/>
      <c r="G450" s="8"/>
      <c r="H450" s="8"/>
    </row>
    <row r="451" spans="1:8" ht="12.75">
      <c r="A451" s="8"/>
      <c r="B451" s="8"/>
      <c r="C451" s="8"/>
      <c r="D451" s="8"/>
      <c r="E451" s="8"/>
      <c r="F451" s="8"/>
      <c r="G451" s="8"/>
      <c r="H451" s="8"/>
    </row>
    <row r="452" spans="1:8" ht="12.75">
      <c r="A452" s="8"/>
      <c r="B452" s="8"/>
      <c r="C452" s="8"/>
      <c r="D452" s="8"/>
      <c r="E452" s="8"/>
      <c r="F452" s="8"/>
      <c r="G452" s="8"/>
      <c r="H452" s="8"/>
    </row>
    <row r="453" spans="1:8" ht="12.75">
      <c r="A453" s="8"/>
      <c r="B453" s="8"/>
      <c r="C453" s="8"/>
      <c r="D453" s="8"/>
      <c r="E453" s="8"/>
      <c r="F453" s="8"/>
      <c r="G453" s="8"/>
      <c r="H453" s="8"/>
    </row>
    <row r="454" spans="1:8" ht="12.75">
      <c r="A454" s="8"/>
      <c r="B454" s="8"/>
      <c r="C454" s="8"/>
      <c r="D454" s="8"/>
      <c r="E454" s="8"/>
      <c r="F454" s="8"/>
      <c r="G454" s="8"/>
      <c r="H454" s="8"/>
    </row>
    <row r="455" spans="1:8" ht="12.75">
      <c r="A455" s="8"/>
      <c r="B455" s="8"/>
      <c r="C455" s="8"/>
      <c r="D455" s="8"/>
      <c r="E455" s="8"/>
      <c r="F455" s="8"/>
      <c r="G455" s="8"/>
      <c r="H455" s="8"/>
    </row>
    <row r="456" spans="1:8" ht="12.75">
      <c r="A456" s="8"/>
      <c r="B456" s="8"/>
      <c r="C456" s="8"/>
      <c r="D456" s="8"/>
      <c r="E456" s="8"/>
      <c r="F456" s="8"/>
      <c r="G456" s="8"/>
      <c r="H456" s="8"/>
    </row>
    <row r="457" spans="1:8" ht="12.75">
      <c r="A457" s="8"/>
      <c r="B457" s="8"/>
      <c r="C457" s="8"/>
      <c r="D457" s="8"/>
      <c r="E457" s="8"/>
      <c r="F457" s="8"/>
      <c r="G457" s="8"/>
      <c r="H457" s="8"/>
    </row>
    <row r="458" spans="1:8" ht="12.75">
      <c r="A458" s="8"/>
      <c r="B458" s="8"/>
      <c r="C458" s="8"/>
      <c r="D458" s="8"/>
      <c r="E458" s="8"/>
      <c r="F458" s="8"/>
      <c r="G458" s="8"/>
      <c r="H458" s="8"/>
    </row>
    <row r="459" spans="1:8" ht="12.75">
      <c r="A459" s="8"/>
      <c r="B459" s="8"/>
      <c r="C459" s="8"/>
      <c r="D459" s="8"/>
      <c r="E459" s="8"/>
      <c r="F459" s="8"/>
      <c r="G459" s="8"/>
      <c r="H459" s="8"/>
    </row>
    <row r="460" spans="1:8" ht="12.75">
      <c r="A460" s="8"/>
      <c r="B460" s="8"/>
      <c r="C460" s="8"/>
      <c r="D460" s="8"/>
      <c r="E460" s="8"/>
      <c r="F460" s="8"/>
      <c r="G460" s="8"/>
      <c r="H460" s="8"/>
    </row>
    <row r="461" spans="1:8" ht="12.75">
      <c r="A461" s="8"/>
      <c r="B461" s="8"/>
      <c r="C461" s="8"/>
      <c r="D461" s="8"/>
      <c r="E461" s="8"/>
      <c r="F461" s="8"/>
      <c r="G461" s="8"/>
      <c r="H461" s="8"/>
    </row>
    <row r="462" spans="1:8" ht="12.75">
      <c r="A462" s="8"/>
      <c r="B462" s="8"/>
      <c r="C462" s="8"/>
      <c r="D462" s="8"/>
      <c r="E462" s="8"/>
      <c r="F462" s="8"/>
      <c r="G462" s="8"/>
      <c r="H462" s="8"/>
    </row>
    <row r="463" spans="1:8" ht="12.75">
      <c r="A463" s="8"/>
      <c r="B463" s="8"/>
      <c r="C463" s="8"/>
      <c r="D463" s="8"/>
      <c r="E463" s="8"/>
      <c r="F463" s="8"/>
      <c r="G463" s="8"/>
      <c r="H463" s="8"/>
    </row>
    <row r="464" spans="1:8" ht="12.75">
      <c r="A464" s="8"/>
      <c r="B464" s="8"/>
      <c r="C464" s="8"/>
      <c r="D464" s="8"/>
      <c r="E464" s="8"/>
      <c r="F464" s="8"/>
      <c r="G464" s="8"/>
      <c r="H464" s="8"/>
    </row>
    <row r="465" spans="1:8" ht="12.75">
      <c r="A465" s="8"/>
      <c r="B465" s="8"/>
      <c r="C465" s="8"/>
      <c r="D465" s="8"/>
      <c r="E465" s="8"/>
      <c r="F465" s="8"/>
      <c r="G465" s="8"/>
      <c r="H465" s="8"/>
    </row>
    <row r="466" spans="1:8" ht="12.75">
      <c r="A466" s="8"/>
      <c r="B466" s="8"/>
      <c r="C466" s="8"/>
      <c r="D466" s="8"/>
      <c r="E466" s="8"/>
      <c r="F466" s="8"/>
      <c r="G466" s="8"/>
      <c r="H466" s="8"/>
    </row>
    <row r="467" spans="1:8" ht="12.75">
      <c r="A467" s="8"/>
      <c r="B467" s="8"/>
      <c r="C467" s="8"/>
      <c r="D467" s="8"/>
      <c r="E467" s="8"/>
      <c r="F467" s="8"/>
      <c r="G467" s="8"/>
      <c r="H467" s="8"/>
    </row>
    <row r="468" spans="1:8" ht="12.75">
      <c r="A468" s="8"/>
      <c r="B468" s="8"/>
      <c r="C468" s="8"/>
      <c r="D468" s="8"/>
      <c r="E468" s="8"/>
      <c r="F468" s="8"/>
      <c r="G468" s="8"/>
      <c r="H468" s="8"/>
    </row>
    <row r="469" spans="1:8" ht="12.75">
      <c r="A469" s="8"/>
      <c r="B469" s="8"/>
      <c r="C469" s="8"/>
      <c r="D469" s="8"/>
      <c r="E469" s="8"/>
      <c r="F469" s="8"/>
      <c r="G469" s="8"/>
      <c r="H469" s="8"/>
    </row>
    <row r="470" spans="1:8" ht="12.75">
      <c r="A470" s="8"/>
      <c r="B470" s="8"/>
      <c r="C470" s="8"/>
      <c r="D470" s="8"/>
      <c r="E470" s="8"/>
      <c r="F470" s="8"/>
      <c r="G470" s="8"/>
      <c r="H470" s="8"/>
    </row>
    <row r="471" spans="1:8" ht="12.75">
      <c r="A471" s="8"/>
      <c r="B471" s="8"/>
      <c r="C471" s="8"/>
      <c r="D471" s="8"/>
      <c r="E471" s="8"/>
      <c r="F471" s="8"/>
      <c r="G471" s="8"/>
      <c r="H471" s="8"/>
    </row>
    <row r="472" spans="1:8" ht="12.75">
      <c r="A472" s="8"/>
      <c r="B472" s="8"/>
      <c r="C472" s="8"/>
      <c r="D472" s="8"/>
      <c r="E472" s="8"/>
      <c r="F472" s="8"/>
      <c r="G472" s="8"/>
      <c r="H472" s="8"/>
    </row>
    <row r="473" spans="1:8" ht="12.75">
      <c r="A473" s="8"/>
      <c r="B473" s="8"/>
      <c r="C473" s="8"/>
      <c r="D473" s="8"/>
      <c r="E473" s="8"/>
      <c r="F473" s="8"/>
      <c r="G473" s="8"/>
      <c r="H473" s="8"/>
    </row>
    <row r="474" spans="1:8" ht="12.75">
      <c r="A474" s="8"/>
      <c r="B474" s="8"/>
      <c r="C474" s="8"/>
      <c r="D474" s="8"/>
      <c r="E474" s="8"/>
      <c r="F474" s="8"/>
      <c r="G474" s="8"/>
      <c r="H474" s="8"/>
    </row>
    <row r="475" spans="1:8" ht="12.75">
      <c r="A475" s="8"/>
      <c r="B475" s="8"/>
      <c r="C475" s="8"/>
      <c r="D475" s="8"/>
      <c r="E475" s="8"/>
      <c r="F475" s="8"/>
      <c r="G475" s="8"/>
      <c r="H475" s="8"/>
    </row>
    <row r="476" spans="1:8" ht="12.75">
      <c r="A476" s="8"/>
      <c r="B476" s="8"/>
      <c r="C476" s="8"/>
      <c r="D476" s="8"/>
      <c r="E476" s="8"/>
      <c r="F476" s="8"/>
      <c r="G476" s="8"/>
      <c r="H476" s="8"/>
    </row>
    <row r="477" spans="1:8" ht="12.75">
      <c r="A477" s="8"/>
      <c r="B477" s="8"/>
      <c r="C477" s="8"/>
      <c r="D477" s="8"/>
      <c r="E477" s="8"/>
      <c r="F477" s="8"/>
      <c r="G477" s="8"/>
      <c r="H477" s="8"/>
    </row>
    <row r="478" spans="1:8" ht="12.75">
      <c r="A478" s="8"/>
      <c r="B478" s="8"/>
      <c r="C478" s="8"/>
      <c r="D478" s="8"/>
      <c r="E478" s="8"/>
      <c r="F478" s="8"/>
      <c r="G478" s="8"/>
      <c r="H478" s="8"/>
    </row>
    <row r="479" spans="1:8" ht="12.75">
      <c r="A479" s="8"/>
      <c r="B479" s="8"/>
      <c r="C479" s="8"/>
      <c r="D479" s="8"/>
      <c r="E479" s="8"/>
      <c r="F479" s="8"/>
      <c r="G479" s="8"/>
      <c r="H479" s="8"/>
    </row>
    <row r="480" spans="1:8" ht="12.75">
      <c r="A480" s="8"/>
      <c r="B480" s="8"/>
      <c r="C480" s="8"/>
      <c r="D480" s="8"/>
      <c r="E480" s="8"/>
      <c r="F480" s="8"/>
      <c r="G480" s="8"/>
      <c r="H480" s="8"/>
    </row>
    <row r="481" spans="1:8" ht="12.75">
      <c r="A481" s="8"/>
      <c r="B481" s="8"/>
      <c r="C481" s="8"/>
      <c r="D481" s="8"/>
      <c r="E481" s="8"/>
      <c r="F481" s="8"/>
      <c r="G481" s="8"/>
      <c r="H481" s="8"/>
    </row>
    <row r="482" spans="1:8" ht="12.75">
      <c r="A482" s="8"/>
      <c r="B482" s="8"/>
      <c r="C482" s="8"/>
      <c r="D482" s="8"/>
      <c r="E482" s="8"/>
      <c r="F482" s="8"/>
      <c r="G482" s="8"/>
      <c r="H482" s="8"/>
    </row>
    <row r="483" spans="1:8" ht="12.75">
      <c r="A483" s="8"/>
      <c r="B483" s="8"/>
      <c r="C483" s="8"/>
      <c r="D483" s="8"/>
      <c r="E483" s="8"/>
      <c r="F483" s="8"/>
      <c r="G483" s="8"/>
      <c r="H483" s="8"/>
    </row>
    <row r="484" spans="1:8" ht="12.75">
      <c r="A484" s="8"/>
      <c r="B484" s="8"/>
      <c r="C484" s="8"/>
      <c r="D484" s="8"/>
      <c r="E484" s="8"/>
      <c r="F484" s="8"/>
      <c r="G484" s="8"/>
      <c r="H484" s="8"/>
    </row>
    <row r="485" spans="1:8" ht="12.75">
      <c r="A485" s="8"/>
      <c r="B485" s="8"/>
      <c r="C485" s="8"/>
      <c r="D485" s="8"/>
      <c r="E485" s="8"/>
      <c r="F485" s="8"/>
      <c r="G485" s="8"/>
      <c r="H485" s="8"/>
    </row>
    <row r="486" spans="1:8" ht="12.75">
      <c r="A486" s="8"/>
      <c r="B486" s="8"/>
      <c r="C486" s="8"/>
      <c r="D486" s="8"/>
      <c r="E486" s="8"/>
      <c r="F486" s="8"/>
      <c r="G486" s="8"/>
      <c r="H486" s="8"/>
    </row>
    <row r="487" spans="1:8" ht="12.75">
      <c r="A487" s="8"/>
      <c r="B487" s="8"/>
      <c r="C487" s="8"/>
      <c r="D487" s="8"/>
      <c r="E487" s="8"/>
      <c r="F487" s="8"/>
      <c r="G487" s="8"/>
      <c r="H487" s="8"/>
    </row>
    <row r="488" spans="1:8" ht="12.75">
      <c r="A488" s="8"/>
      <c r="B488" s="8"/>
      <c r="C488" s="8"/>
      <c r="D488" s="8"/>
      <c r="E488" s="8"/>
      <c r="F488" s="8"/>
      <c r="G488" s="8"/>
      <c r="H488" s="8"/>
    </row>
    <row r="489" spans="1:8" ht="12.75">
      <c r="A489" s="8"/>
      <c r="B489" s="8"/>
      <c r="C489" s="8"/>
      <c r="D489" s="8"/>
      <c r="E489" s="8"/>
      <c r="F489" s="8"/>
      <c r="G489" s="8"/>
      <c r="H489" s="8"/>
    </row>
    <row r="490" spans="1:8" ht="12.75">
      <c r="A490" s="8"/>
      <c r="B490" s="8"/>
      <c r="C490" s="8"/>
      <c r="D490" s="8"/>
      <c r="E490" s="8"/>
      <c r="F490" s="8"/>
      <c r="G490" s="8"/>
      <c r="H490" s="8"/>
    </row>
    <row r="491" spans="1:8" ht="12.75">
      <c r="A491" s="8"/>
      <c r="B491" s="8"/>
      <c r="C491" s="8"/>
      <c r="D491" s="8"/>
      <c r="E491" s="8"/>
      <c r="F491" s="8"/>
      <c r="G491" s="8"/>
      <c r="H491" s="8"/>
    </row>
    <row r="492" spans="1:8" ht="12.75">
      <c r="A492" s="8"/>
      <c r="B492" s="8"/>
      <c r="C492" s="8"/>
      <c r="D492" s="8"/>
      <c r="E492" s="8"/>
      <c r="F492" s="8"/>
      <c r="G492" s="8"/>
      <c r="H492" s="8"/>
    </row>
    <row r="493" spans="1:8" ht="12.75">
      <c r="A493" s="8"/>
      <c r="B493" s="8"/>
      <c r="C493" s="8"/>
      <c r="D493" s="8"/>
      <c r="E493" s="8"/>
      <c r="F493" s="8"/>
      <c r="G493" s="8"/>
      <c r="H493" s="8"/>
    </row>
    <row r="494" spans="1:8" ht="12.75">
      <c r="A494" s="8"/>
      <c r="B494" s="8"/>
      <c r="C494" s="8"/>
      <c r="D494" s="8"/>
      <c r="E494" s="8"/>
      <c r="F494" s="8"/>
      <c r="G494" s="8"/>
      <c r="H494" s="8"/>
    </row>
    <row r="495" spans="1:8" ht="12.75">
      <c r="A495" s="8"/>
      <c r="B495" s="8"/>
      <c r="C495" s="8"/>
      <c r="D495" s="8"/>
      <c r="E495" s="8"/>
      <c r="F495" s="8"/>
      <c r="G495" s="8"/>
      <c r="H495" s="8"/>
    </row>
    <row r="496" spans="1:8" ht="12.75">
      <c r="A496" s="8"/>
      <c r="B496" s="8"/>
      <c r="C496" s="8"/>
      <c r="D496" s="8"/>
      <c r="E496" s="8"/>
      <c r="F496" s="8"/>
      <c r="G496" s="8"/>
      <c r="H496" s="8"/>
    </row>
    <row r="497" spans="1:8" ht="12.75">
      <c r="A497" s="8"/>
      <c r="B497" s="8"/>
      <c r="C497" s="8"/>
      <c r="D497" s="8"/>
      <c r="E497" s="8"/>
      <c r="F497" s="8"/>
      <c r="G497" s="8"/>
      <c r="H497" s="8"/>
    </row>
    <row r="498" spans="1:8" ht="12.75">
      <c r="A498" s="8"/>
      <c r="B498" s="8"/>
      <c r="C498" s="8"/>
      <c r="D498" s="8"/>
      <c r="E498" s="8"/>
      <c r="F498" s="8"/>
      <c r="G498" s="8"/>
      <c r="H498" s="8"/>
    </row>
    <row r="499" spans="1:8" ht="12.75">
      <c r="A499" s="8"/>
      <c r="B499" s="8"/>
      <c r="C499" s="8"/>
      <c r="D499" s="8"/>
      <c r="E499" s="8"/>
      <c r="F499" s="8"/>
      <c r="G499" s="8"/>
      <c r="H499" s="8"/>
    </row>
    <row r="500" spans="1:8" ht="12.75">
      <c r="A500" s="8"/>
      <c r="B500" s="8"/>
      <c r="C500" s="8"/>
      <c r="D500" s="8"/>
      <c r="E500" s="8"/>
      <c r="F500" s="8"/>
      <c r="G500" s="8"/>
      <c r="H500" s="8"/>
    </row>
    <row r="501" spans="1:8" ht="12.75">
      <c r="A501" s="8"/>
      <c r="B501" s="8"/>
      <c r="C501" s="8"/>
      <c r="D501" s="8"/>
      <c r="E501" s="8"/>
      <c r="F501" s="8"/>
      <c r="G501" s="8"/>
      <c r="H501" s="8"/>
    </row>
    <row r="502" spans="1:8" ht="12.75">
      <c r="A502" s="8"/>
      <c r="B502" s="8"/>
      <c r="C502" s="8"/>
      <c r="D502" s="8"/>
      <c r="E502" s="8"/>
      <c r="F502" s="8"/>
      <c r="G502" s="8"/>
      <c r="H502" s="8"/>
    </row>
    <row r="503" spans="1:8" ht="12.75">
      <c r="A503" s="8"/>
      <c r="B503" s="8"/>
      <c r="C503" s="8"/>
      <c r="D503" s="8"/>
      <c r="E503" s="8"/>
      <c r="F503" s="8"/>
      <c r="G503" s="8"/>
      <c r="H503" s="8"/>
    </row>
    <row r="504" spans="1:8" ht="12.75">
      <c r="A504" s="8"/>
      <c r="B504" s="8"/>
      <c r="C504" s="8"/>
      <c r="D504" s="8"/>
      <c r="E504" s="8"/>
      <c r="F504" s="8"/>
      <c r="G504" s="8"/>
      <c r="H504" s="8"/>
    </row>
    <row r="505" spans="1:8" ht="12.75">
      <c r="A505" s="8"/>
      <c r="B505" s="8"/>
      <c r="C505" s="8"/>
      <c r="D505" s="8"/>
      <c r="E505" s="8"/>
      <c r="F505" s="8"/>
      <c r="G505" s="8"/>
      <c r="H505" s="8"/>
    </row>
    <row r="506" spans="1:8" ht="12.75">
      <c r="A506" s="8"/>
      <c r="B506" s="8"/>
      <c r="C506" s="8"/>
      <c r="D506" s="8"/>
      <c r="E506" s="8"/>
      <c r="F506" s="8"/>
      <c r="G506" s="8"/>
      <c r="H506" s="8"/>
    </row>
    <row r="507" spans="1:8" ht="12.75">
      <c r="A507" s="8"/>
      <c r="B507" s="8"/>
      <c r="C507" s="8"/>
      <c r="D507" s="8"/>
      <c r="E507" s="8"/>
      <c r="F507" s="8"/>
      <c r="G507" s="8"/>
      <c r="H507" s="8"/>
    </row>
    <row r="508" spans="1:8" ht="12.75">
      <c r="A508" s="8"/>
      <c r="B508" s="8"/>
      <c r="C508" s="8"/>
      <c r="D508" s="8"/>
      <c r="E508" s="8"/>
      <c r="F508" s="8"/>
      <c r="G508" s="8"/>
      <c r="H508" s="8"/>
    </row>
    <row r="509" spans="1:8" ht="12.75">
      <c r="A509" s="8"/>
      <c r="B509" s="8"/>
      <c r="C509" s="8"/>
      <c r="D509" s="8"/>
      <c r="E509" s="8"/>
      <c r="F509" s="8"/>
      <c r="G509" s="8"/>
      <c r="H509" s="8"/>
    </row>
    <row r="510" spans="1:8" ht="12.75">
      <c r="A510" s="8"/>
      <c r="B510" s="8"/>
      <c r="C510" s="8"/>
      <c r="D510" s="8"/>
      <c r="E510" s="8"/>
      <c r="F510" s="8"/>
      <c r="G510" s="8"/>
      <c r="H510" s="8"/>
    </row>
    <row r="511" spans="1:8" ht="12.75">
      <c r="A511" s="8"/>
      <c r="B511" s="8"/>
      <c r="C511" s="8"/>
      <c r="D511" s="8"/>
      <c r="E511" s="8"/>
      <c r="F511" s="8"/>
      <c r="G511" s="8"/>
      <c r="H511" s="8"/>
    </row>
    <row r="512" spans="1:8" ht="12.75">
      <c r="A512" s="8"/>
      <c r="B512" s="8"/>
      <c r="C512" s="8"/>
      <c r="D512" s="8"/>
      <c r="E512" s="8"/>
      <c r="F512" s="8"/>
      <c r="G512" s="8"/>
      <c r="H512" s="8"/>
    </row>
    <row r="513" spans="1:8" ht="12.75">
      <c r="A513" s="8"/>
      <c r="B513" s="8"/>
      <c r="C513" s="8"/>
      <c r="D513" s="8"/>
      <c r="E513" s="8"/>
      <c r="F513" s="8"/>
      <c r="G513" s="8"/>
      <c r="H513" s="8"/>
    </row>
    <row r="514" spans="1:8" ht="12.75">
      <c r="A514" s="8"/>
      <c r="B514" s="8"/>
      <c r="C514" s="8"/>
      <c r="D514" s="8"/>
      <c r="E514" s="8"/>
      <c r="F514" s="8"/>
      <c r="G514" s="8"/>
      <c r="H514" s="8"/>
    </row>
    <row r="515" spans="1:8" ht="12.75">
      <c r="A515" s="8"/>
      <c r="B515" s="8"/>
      <c r="C515" s="8"/>
      <c r="D515" s="8"/>
      <c r="E515" s="8"/>
      <c r="F515" s="8"/>
      <c r="G515" s="8"/>
      <c r="H515" s="8"/>
    </row>
    <row r="516" spans="1:8" ht="12.75">
      <c r="A516" s="8"/>
      <c r="B516" s="8"/>
      <c r="C516" s="8"/>
      <c r="D516" s="8"/>
      <c r="E516" s="8"/>
      <c r="F516" s="8"/>
      <c r="G516" s="8"/>
      <c r="H516" s="8"/>
    </row>
    <row r="517" spans="1:8" ht="12.75">
      <c r="A517" s="8"/>
      <c r="B517" s="8"/>
      <c r="C517" s="8"/>
      <c r="D517" s="8"/>
      <c r="E517" s="8"/>
      <c r="F517" s="8"/>
      <c r="G517" s="8"/>
      <c r="H517" s="8"/>
    </row>
    <row r="518" spans="1:8" ht="12.75">
      <c r="A518" s="8"/>
      <c r="B518" s="8"/>
      <c r="C518" s="8"/>
      <c r="D518" s="8"/>
      <c r="E518" s="8"/>
      <c r="F518" s="8"/>
      <c r="G518" s="8"/>
      <c r="H518" s="8"/>
    </row>
    <row r="519" spans="1:8" ht="12.75">
      <c r="A519" s="8"/>
      <c r="B519" s="8"/>
      <c r="C519" s="8"/>
      <c r="D519" s="8"/>
      <c r="E519" s="8"/>
      <c r="F519" s="8"/>
      <c r="G519" s="8"/>
      <c r="H519" s="8"/>
    </row>
    <row r="520" spans="1:8" ht="12.75">
      <c r="A520" s="8"/>
      <c r="B520" s="8"/>
      <c r="C520" s="8"/>
      <c r="D520" s="8"/>
      <c r="E520" s="8"/>
      <c r="F520" s="8"/>
      <c r="G520" s="8"/>
      <c r="H520" s="8"/>
    </row>
    <row r="521" spans="1:8" ht="12.75">
      <c r="A521" s="8"/>
      <c r="B521" s="8"/>
      <c r="C521" s="8"/>
      <c r="D521" s="8"/>
      <c r="E521" s="8"/>
      <c r="F521" s="8"/>
      <c r="G521" s="8"/>
      <c r="H521" s="8"/>
    </row>
    <row r="522" spans="1:8" ht="12.75">
      <c r="A522" s="8"/>
      <c r="B522" s="8"/>
      <c r="C522" s="8"/>
      <c r="D522" s="8"/>
      <c r="E522" s="8"/>
      <c r="F522" s="8"/>
      <c r="G522" s="8"/>
      <c r="H522" s="8"/>
    </row>
    <row r="523" spans="1:8" ht="12.75">
      <c r="A523" s="8"/>
      <c r="B523" s="8"/>
      <c r="C523" s="8"/>
      <c r="D523" s="8"/>
      <c r="E523" s="8"/>
      <c r="F523" s="8"/>
      <c r="G523" s="8"/>
      <c r="H523" s="8"/>
    </row>
    <row r="524" spans="1:8" ht="12.75">
      <c r="A524" s="8"/>
      <c r="B524" s="8"/>
      <c r="C524" s="8"/>
      <c r="D524" s="8"/>
      <c r="E524" s="8"/>
      <c r="F524" s="8"/>
      <c r="G524" s="8"/>
      <c r="H524" s="8"/>
    </row>
    <row r="525" spans="1:8" ht="12.75">
      <c r="A525" s="8"/>
      <c r="B525" s="8"/>
      <c r="C525" s="8"/>
      <c r="D525" s="8"/>
      <c r="E525" s="8"/>
      <c r="F525" s="8"/>
      <c r="G525" s="8"/>
      <c r="H525" s="8"/>
    </row>
    <row r="526" spans="1:8" ht="12.75">
      <c r="A526" s="8"/>
      <c r="B526" s="8"/>
      <c r="C526" s="8"/>
      <c r="D526" s="8"/>
      <c r="E526" s="8"/>
      <c r="F526" s="8"/>
      <c r="G526" s="8"/>
      <c r="H526" s="8"/>
    </row>
    <row r="527" spans="1:8" ht="12.75">
      <c r="A527" s="8"/>
      <c r="B527" s="8"/>
      <c r="C527" s="8"/>
      <c r="D527" s="8"/>
      <c r="E527" s="8"/>
      <c r="F527" s="8"/>
      <c r="G527" s="8"/>
      <c r="H527" s="8"/>
    </row>
    <row r="528" spans="1:8" ht="12.75">
      <c r="A528" s="8"/>
      <c r="B528" s="8"/>
      <c r="C528" s="8"/>
      <c r="D528" s="8"/>
      <c r="E528" s="8"/>
      <c r="F528" s="8"/>
      <c r="G528" s="8"/>
      <c r="H528" s="8"/>
    </row>
    <row r="529" spans="1:8" ht="12.75">
      <c r="A529" s="8"/>
      <c r="B529" s="8"/>
      <c r="C529" s="8"/>
      <c r="D529" s="8"/>
      <c r="E529" s="8"/>
      <c r="F529" s="8"/>
      <c r="G529" s="8"/>
      <c r="H529" s="8"/>
    </row>
    <row r="530" spans="1:8" ht="12.75">
      <c r="A530" s="8"/>
      <c r="B530" s="8"/>
      <c r="C530" s="8"/>
      <c r="D530" s="8"/>
      <c r="E530" s="8"/>
      <c r="F530" s="8"/>
      <c r="G530" s="8"/>
      <c r="H530" s="8"/>
    </row>
    <row r="531" spans="1:8" ht="12.75">
      <c r="A531" s="8"/>
      <c r="B531" s="8"/>
      <c r="C531" s="8"/>
      <c r="D531" s="8"/>
      <c r="E531" s="8"/>
      <c r="F531" s="8"/>
      <c r="G531" s="8"/>
      <c r="H531" s="8"/>
    </row>
    <row r="532" spans="1:8" ht="12.75">
      <c r="A532" s="8"/>
      <c r="B532" s="8"/>
      <c r="C532" s="8"/>
      <c r="D532" s="8"/>
      <c r="E532" s="8"/>
      <c r="F532" s="8"/>
      <c r="G532" s="8"/>
      <c r="H532" s="8"/>
    </row>
    <row r="533" spans="1:8" ht="12.75">
      <c r="A533" s="8"/>
      <c r="B533" s="8"/>
      <c r="C533" s="8"/>
      <c r="D533" s="8"/>
      <c r="E533" s="8"/>
      <c r="F533" s="8"/>
      <c r="G533" s="8"/>
      <c r="H533" s="8"/>
    </row>
    <row r="534" spans="1:8" ht="12.75">
      <c r="A534" s="8"/>
      <c r="B534" s="8"/>
      <c r="C534" s="8"/>
      <c r="D534" s="8"/>
      <c r="E534" s="8"/>
      <c r="F534" s="8"/>
      <c r="G534" s="8"/>
      <c r="H534" s="8"/>
    </row>
    <row r="535" spans="1:8" ht="12.75">
      <c r="A535" s="8"/>
      <c r="B535" s="8"/>
      <c r="C535" s="8"/>
      <c r="D535" s="8"/>
      <c r="E535" s="8"/>
      <c r="F535" s="8"/>
      <c r="G535" s="8"/>
      <c r="H535" s="8"/>
    </row>
    <row r="536" spans="1:8" ht="12.75">
      <c r="A536" s="8"/>
      <c r="B536" s="8"/>
      <c r="C536" s="8"/>
      <c r="D536" s="8"/>
      <c r="E536" s="8"/>
      <c r="F536" s="8"/>
      <c r="G536" s="8"/>
      <c r="H536" s="8"/>
    </row>
    <row r="537" spans="1:8" ht="12.75">
      <c r="A537" s="8"/>
      <c r="B537" s="8"/>
      <c r="C537" s="8"/>
      <c r="D537" s="8"/>
      <c r="E537" s="8"/>
      <c r="F537" s="8"/>
      <c r="G537" s="8"/>
      <c r="H537" s="8"/>
    </row>
    <row r="538" spans="1:8" ht="12.75">
      <c r="A538" s="8"/>
      <c r="B538" s="8"/>
      <c r="C538" s="8"/>
      <c r="D538" s="8"/>
      <c r="E538" s="8"/>
      <c r="F538" s="8"/>
      <c r="G538" s="8"/>
      <c r="H538" s="8"/>
    </row>
    <row r="539" spans="1:8" ht="12.75">
      <c r="A539" s="8"/>
      <c r="B539" s="8"/>
      <c r="C539" s="8"/>
      <c r="D539" s="8"/>
      <c r="E539" s="8"/>
      <c r="F539" s="8"/>
      <c r="G539" s="8"/>
      <c r="H539" s="8"/>
    </row>
    <row r="540" spans="1:8" ht="12.75">
      <c r="A540" s="8"/>
      <c r="B540" s="8"/>
      <c r="C540" s="8"/>
      <c r="D540" s="8"/>
      <c r="E540" s="8"/>
      <c r="F540" s="8"/>
      <c r="G540" s="8"/>
      <c r="H540" s="8"/>
    </row>
    <row r="541" spans="1:8" ht="12.75">
      <c r="A541" s="8"/>
      <c r="B541" s="8"/>
      <c r="C541" s="8"/>
      <c r="D541" s="8"/>
      <c r="E541" s="8"/>
      <c r="F541" s="8"/>
      <c r="G541" s="8"/>
      <c r="H541" s="8"/>
    </row>
    <row r="542" spans="1:8" ht="12.75">
      <c r="A542" s="8"/>
      <c r="B542" s="8"/>
      <c r="C542" s="8"/>
      <c r="D542" s="8"/>
      <c r="E542" s="8"/>
      <c r="F542" s="8"/>
      <c r="G542" s="8"/>
      <c r="H542" s="8"/>
    </row>
    <row r="543" spans="1:8" ht="12.75">
      <c r="A543" s="8"/>
      <c r="B543" s="8"/>
      <c r="C543" s="8"/>
      <c r="D543" s="8"/>
      <c r="E543" s="8"/>
      <c r="F543" s="8"/>
      <c r="G543" s="8"/>
      <c r="H543" s="8"/>
    </row>
    <row r="544" spans="1:8" ht="12.75">
      <c r="A544" s="8"/>
      <c r="B544" s="8"/>
      <c r="C544" s="8"/>
      <c r="D544" s="8"/>
      <c r="E544" s="8"/>
      <c r="F544" s="8"/>
      <c r="G544" s="8"/>
      <c r="H544" s="8"/>
    </row>
    <row r="545" spans="1:8" ht="12.75">
      <c r="A545" s="8"/>
      <c r="B545" s="8"/>
      <c r="C545" s="8"/>
      <c r="D545" s="8"/>
      <c r="E545" s="8"/>
      <c r="F545" s="8"/>
      <c r="G545" s="8"/>
      <c r="H545" s="8"/>
    </row>
  </sheetData>
  <phoneticPr fontId="8"/>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B445"/>
  <sheetViews>
    <sheetView workbookViewId="0">
      <pane ySplit="1" topLeftCell="A2" activePane="bottomLeft" state="frozen"/>
      <selection pane="bottomLeft" activeCell="G10" sqref="G10"/>
    </sheetView>
  </sheetViews>
  <sheetFormatPr defaultColWidth="12.5703125" defaultRowHeight="15.75" customHeight="1"/>
  <cols>
    <col min="1" max="1" width="18.85546875" customWidth="1"/>
    <col min="2" max="5" width="18.85546875" hidden="1" customWidth="1"/>
    <col min="6" max="6" width="18.85546875" customWidth="1"/>
    <col min="7" max="7" width="38.42578125" customWidth="1"/>
    <col min="8" max="33" width="18.85546875" customWidth="1"/>
  </cols>
  <sheetData>
    <row r="1" spans="1:27">
      <c r="A1" s="2" t="s">
        <v>424</v>
      </c>
      <c r="B1" s="2" t="s">
        <v>425</v>
      </c>
      <c r="C1" s="2" t="s">
        <v>426</v>
      </c>
      <c r="D1" s="2" t="s">
        <v>427</v>
      </c>
      <c r="E1" s="2" t="s">
        <v>428</v>
      </c>
      <c r="F1" s="2" t="s">
        <v>429</v>
      </c>
      <c r="G1" s="2" t="s">
        <v>430</v>
      </c>
      <c r="H1" s="2" t="s">
        <v>431</v>
      </c>
      <c r="I1" s="2" t="s">
        <v>432</v>
      </c>
      <c r="J1" s="2" t="s">
        <v>433</v>
      </c>
      <c r="K1" s="2" t="s">
        <v>434</v>
      </c>
      <c r="L1" s="2" t="s">
        <v>435</v>
      </c>
      <c r="M1" s="2" t="s">
        <v>436</v>
      </c>
      <c r="N1" s="2" t="s">
        <v>437</v>
      </c>
      <c r="O1" s="2" t="s">
        <v>438</v>
      </c>
      <c r="P1" s="2" t="s">
        <v>439</v>
      </c>
      <c r="Q1" s="2" t="s">
        <v>440</v>
      </c>
      <c r="R1" s="2" t="s">
        <v>441</v>
      </c>
      <c r="S1" s="2" t="s">
        <v>442</v>
      </c>
      <c r="T1" s="2" t="s">
        <v>443</v>
      </c>
      <c r="U1" s="2" t="s">
        <v>444</v>
      </c>
      <c r="V1" s="2" t="s">
        <v>445</v>
      </c>
      <c r="W1" s="2" t="s">
        <v>446</v>
      </c>
      <c r="X1" s="2" t="s">
        <v>447</v>
      </c>
      <c r="Y1" s="2" t="s">
        <v>448</v>
      </c>
      <c r="Z1" s="2" t="s">
        <v>449</v>
      </c>
      <c r="AA1" s="2" t="s">
        <v>450</v>
      </c>
    </row>
    <row r="2" spans="1:27">
      <c r="A2" s="12">
        <v>44969.777674479163</v>
      </c>
      <c r="B2" s="2" t="s">
        <v>452</v>
      </c>
      <c r="C2" s="2" t="s">
        <v>453</v>
      </c>
      <c r="D2" s="2" t="s">
        <v>452</v>
      </c>
      <c r="E2" s="2" t="s">
        <v>454</v>
      </c>
      <c r="F2" s="2" t="s">
        <v>644</v>
      </c>
      <c r="H2" s="2" t="s">
        <v>645</v>
      </c>
      <c r="J2" s="2" t="s">
        <v>646</v>
      </c>
      <c r="L2" s="2" t="s">
        <v>647</v>
      </c>
      <c r="N2" s="2" t="s">
        <v>648</v>
      </c>
      <c r="P2" s="2" t="s">
        <v>649</v>
      </c>
      <c r="Q2" s="2" t="s">
        <v>455</v>
      </c>
      <c r="R2" s="2" t="s">
        <v>650</v>
      </c>
      <c r="T2" s="2" t="s">
        <v>455</v>
      </c>
      <c r="U2" s="2" t="s">
        <v>651</v>
      </c>
      <c r="V2" s="2" t="s">
        <v>305</v>
      </c>
      <c r="X2" s="2" t="s">
        <v>456</v>
      </c>
      <c r="Y2" s="2" t="s">
        <v>457</v>
      </c>
      <c r="Z2" s="2" t="s">
        <v>458</v>
      </c>
    </row>
    <row r="3" spans="1:27">
      <c r="A3" s="12">
        <v>44969.787648530095</v>
      </c>
      <c r="B3" s="2" t="s">
        <v>452</v>
      </c>
      <c r="C3" s="2" t="s">
        <v>453</v>
      </c>
      <c r="D3" s="2" t="s">
        <v>452</v>
      </c>
      <c r="E3" s="2" t="s">
        <v>454</v>
      </c>
      <c r="F3" s="2" t="s">
        <v>652</v>
      </c>
      <c r="H3" s="2" t="s">
        <v>653</v>
      </c>
      <c r="J3" s="2" t="s">
        <v>117</v>
      </c>
      <c r="L3" s="2" t="s">
        <v>654</v>
      </c>
      <c r="N3" s="2" t="s">
        <v>655</v>
      </c>
      <c r="P3" s="2" t="s">
        <v>117</v>
      </c>
      <c r="Q3" s="2" t="s">
        <v>455</v>
      </c>
      <c r="R3" s="2" t="s">
        <v>656</v>
      </c>
      <c r="T3" s="2" t="s">
        <v>455</v>
      </c>
      <c r="U3" s="2" t="s">
        <v>304</v>
      </c>
      <c r="V3" s="2" t="s">
        <v>305</v>
      </c>
      <c r="X3" s="2" t="s">
        <v>459</v>
      </c>
      <c r="Y3" s="2" t="s">
        <v>457</v>
      </c>
      <c r="Z3" s="2" t="s">
        <v>458</v>
      </c>
    </row>
    <row r="4" spans="1:27">
      <c r="A4" s="12">
        <v>44969.787866759259</v>
      </c>
      <c r="B4" s="2" t="s">
        <v>452</v>
      </c>
      <c r="C4" s="2" t="s">
        <v>453</v>
      </c>
      <c r="D4" s="2" t="s">
        <v>452</v>
      </c>
      <c r="E4" s="2" t="s">
        <v>454</v>
      </c>
      <c r="F4" s="2" t="s">
        <v>657</v>
      </c>
      <c r="H4" s="2" t="s">
        <v>107</v>
      </c>
      <c r="J4" s="2" t="s">
        <v>117</v>
      </c>
      <c r="L4" s="2" t="s">
        <v>658</v>
      </c>
      <c r="O4" s="2" t="s">
        <v>460</v>
      </c>
      <c r="P4" s="2" t="s">
        <v>117</v>
      </c>
      <c r="Q4" s="2" t="s">
        <v>455</v>
      </c>
      <c r="R4" s="2" t="s">
        <v>659</v>
      </c>
      <c r="T4" s="2" t="s">
        <v>455</v>
      </c>
      <c r="U4" s="2" t="s">
        <v>304</v>
      </c>
      <c r="V4" s="2" t="s">
        <v>305</v>
      </c>
      <c r="X4" s="2" t="s">
        <v>461</v>
      </c>
      <c r="Y4" s="2" t="s">
        <v>457</v>
      </c>
      <c r="Z4" s="2" t="s">
        <v>458</v>
      </c>
    </row>
    <row r="5" spans="1:27">
      <c r="A5" s="12">
        <v>44969.788020694439</v>
      </c>
      <c r="B5" s="2" t="s">
        <v>452</v>
      </c>
      <c r="C5" s="2" t="s">
        <v>453</v>
      </c>
      <c r="D5" s="2" t="s">
        <v>452</v>
      </c>
      <c r="E5" s="2" t="s">
        <v>454</v>
      </c>
      <c r="F5" s="2" t="s">
        <v>660</v>
      </c>
      <c r="H5" s="2" t="s">
        <v>661</v>
      </c>
      <c r="J5" s="2" t="s">
        <v>117</v>
      </c>
      <c r="L5" s="2" t="s">
        <v>662</v>
      </c>
      <c r="N5" s="2" t="s">
        <v>663</v>
      </c>
      <c r="P5" s="2" t="s">
        <v>117</v>
      </c>
      <c r="Q5" s="2" t="s">
        <v>455</v>
      </c>
      <c r="R5" s="2" t="s">
        <v>664</v>
      </c>
      <c r="T5" s="2" t="s">
        <v>455</v>
      </c>
      <c r="U5" s="2" t="s">
        <v>665</v>
      </c>
      <c r="V5" s="2" t="s">
        <v>305</v>
      </c>
      <c r="W5" s="2" t="s">
        <v>320</v>
      </c>
      <c r="X5" s="2" t="s">
        <v>462</v>
      </c>
      <c r="Y5" s="2" t="s">
        <v>457</v>
      </c>
      <c r="Z5" s="2" t="s">
        <v>458</v>
      </c>
    </row>
    <row r="6" spans="1:27">
      <c r="A6" s="12">
        <v>44969.789103518517</v>
      </c>
      <c r="B6" s="2" t="s">
        <v>452</v>
      </c>
      <c r="C6" s="2" t="s">
        <v>453</v>
      </c>
      <c r="D6" s="2" t="s">
        <v>452</v>
      </c>
      <c r="E6" s="2" t="s">
        <v>454</v>
      </c>
      <c r="F6" s="2" t="s">
        <v>666</v>
      </c>
      <c r="H6" s="2" t="s">
        <v>139</v>
      </c>
      <c r="J6" s="2" t="s">
        <v>117</v>
      </c>
      <c r="L6" s="2" t="s">
        <v>167</v>
      </c>
      <c r="N6" s="2" t="s">
        <v>109</v>
      </c>
      <c r="P6" s="2" t="s">
        <v>117</v>
      </c>
      <c r="Q6" s="2" t="s">
        <v>455</v>
      </c>
      <c r="R6" s="2" t="s">
        <v>667</v>
      </c>
      <c r="T6" s="2" t="s">
        <v>455</v>
      </c>
      <c r="U6" s="2" t="s">
        <v>304</v>
      </c>
      <c r="V6" s="2" t="s">
        <v>295</v>
      </c>
      <c r="X6" s="2" t="s">
        <v>459</v>
      </c>
      <c r="Y6" s="2" t="s">
        <v>457</v>
      </c>
      <c r="Z6" s="2" t="s">
        <v>458</v>
      </c>
      <c r="AA6" s="2" t="s">
        <v>463</v>
      </c>
    </row>
    <row r="7" spans="1:27">
      <c r="A7" s="12">
        <v>44969.789469976851</v>
      </c>
      <c r="B7" s="2" t="s">
        <v>452</v>
      </c>
      <c r="C7" s="2" t="s">
        <v>453</v>
      </c>
      <c r="D7" s="2" t="s">
        <v>452</v>
      </c>
      <c r="E7" s="2" t="s">
        <v>454</v>
      </c>
      <c r="F7" s="2" t="s">
        <v>0</v>
      </c>
      <c r="H7" s="2" t="s">
        <v>668</v>
      </c>
      <c r="J7" s="2" t="s">
        <v>154</v>
      </c>
      <c r="L7" s="2" t="s">
        <v>669</v>
      </c>
      <c r="N7" s="2" t="s">
        <v>655</v>
      </c>
      <c r="P7" s="2" t="s">
        <v>119</v>
      </c>
      <c r="Q7" s="2" t="s">
        <v>455</v>
      </c>
      <c r="R7" s="2" t="s">
        <v>670</v>
      </c>
      <c r="T7" s="2" t="s">
        <v>455</v>
      </c>
      <c r="U7" s="2" t="s">
        <v>671</v>
      </c>
      <c r="V7" s="2" t="s">
        <v>305</v>
      </c>
      <c r="X7" s="2" t="s">
        <v>464</v>
      </c>
      <c r="Y7" s="2" t="s">
        <v>457</v>
      </c>
      <c r="Z7" s="2" t="s">
        <v>458</v>
      </c>
    </row>
    <row r="8" spans="1:27">
      <c r="A8" s="12">
        <v>44969.791483738431</v>
      </c>
      <c r="B8" s="2" t="s">
        <v>452</v>
      </c>
      <c r="C8" s="2" t="s">
        <v>453</v>
      </c>
      <c r="D8" s="2" t="s">
        <v>452</v>
      </c>
      <c r="E8" s="2" t="s">
        <v>454</v>
      </c>
      <c r="F8" s="2" t="s">
        <v>672</v>
      </c>
      <c r="H8" s="2" t="s">
        <v>139</v>
      </c>
      <c r="J8" s="2" t="s">
        <v>673</v>
      </c>
      <c r="L8" s="2" t="s">
        <v>674</v>
      </c>
      <c r="M8" s="2" t="s">
        <v>85</v>
      </c>
      <c r="N8" s="2" t="s">
        <v>675</v>
      </c>
      <c r="P8" s="2" t="s">
        <v>676</v>
      </c>
      <c r="Q8" s="2" t="s">
        <v>455</v>
      </c>
      <c r="R8" s="2" t="s">
        <v>677</v>
      </c>
      <c r="T8" s="2" t="s">
        <v>455</v>
      </c>
      <c r="U8" s="2" t="s">
        <v>671</v>
      </c>
      <c r="W8" s="2" t="s">
        <v>317</v>
      </c>
      <c r="X8" s="2" t="s">
        <v>462</v>
      </c>
      <c r="Y8" s="2" t="s">
        <v>457</v>
      </c>
      <c r="Z8" s="2" t="s">
        <v>458</v>
      </c>
    </row>
    <row r="9" spans="1:27">
      <c r="A9" s="12">
        <v>44969.79332950231</v>
      </c>
      <c r="B9" s="2" t="s">
        <v>452</v>
      </c>
      <c r="C9" s="2" t="s">
        <v>453</v>
      </c>
      <c r="D9" s="2" t="s">
        <v>452</v>
      </c>
      <c r="E9" s="2" t="s">
        <v>454</v>
      </c>
      <c r="F9" s="2" t="s">
        <v>678</v>
      </c>
      <c r="G9" s="2" t="s">
        <v>679</v>
      </c>
      <c r="H9" s="2" t="s">
        <v>680</v>
      </c>
      <c r="I9" s="2" t="s">
        <v>148</v>
      </c>
      <c r="J9" s="2" t="s">
        <v>681</v>
      </c>
      <c r="L9" s="2" t="s">
        <v>682</v>
      </c>
      <c r="M9" s="2" t="s">
        <v>80</v>
      </c>
      <c r="N9" s="2" t="s">
        <v>683</v>
      </c>
      <c r="P9" s="2" t="s">
        <v>684</v>
      </c>
      <c r="Q9" s="2" t="s">
        <v>455</v>
      </c>
      <c r="R9" s="2" t="s">
        <v>685</v>
      </c>
      <c r="S9" s="2" t="s">
        <v>215</v>
      </c>
      <c r="T9" s="2" t="s">
        <v>455</v>
      </c>
      <c r="U9" s="2" t="s">
        <v>686</v>
      </c>
      <c r="V9" s="2" t="s">
        <v>302</v>
      </c>
      <c r="W9" s="2" t="s">
        <v>380</v>
      </c>
      <c r="X9" s="2" t="s">
        <v>466</v>
      </c>
      <c r="Y9" s="2" t="s">
        <v>457</v>
      </c>
      <c r="Z9" s="2" t="s">
        <v>458</v>
      </c>
      <c r="AA9" s="2" t="s">
        <v>467</v>
      </c>
    </row>
    <row r="10" spans="1:27">
      <c r="A10" s="12">
        <v>44969.793624456019</v>
      </c>
      <c r="B10" s="2" t="s">
        <v>452</v>
      </c>
      <c r="C10" s="2" t="s">
        <v>453</v>
      </c>
      <c r="D10" s="2" t="s">
        <v>452</v>
      </c>
      <c r="E10" s="2" t="s">
        <v>454</v>
      </c>
      <c r="F10" s="2" t="s">
        <v>687</v>
      </c>
      <c r="H10" s="2" t="s">
        <v>139</v>
      </c>
      <c r="J10" s="2" t="s">
        <v>117</v>
      </c>
      <c r="L10" s="2" t="s">
        <v>688</v>
      </c>
      <c r="N10" s="2" t="s">
        <v>107</v>
      </c>
      <c r="P10" s="2" t="s">
        <v>117</v>
      </c>
      <c r="Q10" s="2" t="s">
        <v>455</v>
      </c>
      <c r="R10" s="2" t="s">
        <v>689</v>
      </c>
      <c r="T10" s="2" t="s">
        <v>455</v>
      </c>
      <c r="X10" s="2" t="s">
        <v>456</v>
      </c>
      <c r="Y10" s="2" t="s">
        <v>457</v>
      </c>
      <c r="Z10" s="2" t="s">
        <v>458</v>
      </c>
    </row>
    <row r="11" spans="1:27">
      <c r="A11" s="12">
        <v>44969.793771724537</v>
      </c>
      <c r="B11" s="2" t="s">
        <v>452</v>
      </c>
      <c r="C11" s="2" t="s">
        <v>453</v>
      </c>
      <c r="D11" s="2" t="s">
        <v>452</v>
      </c>
      <c r="E11" s="2" t="s">
        <v>454</v>
      </c>
      <c r="F11" s="2" t="s">
        <v>690</v>
      </c>
      <c r="H11" s="2" t="s">
        <v>691</v>
      </c>
      <c r="J11" s="2" t="s">
        <v>117</v>
      </c>
      <c r="L11" s="2" t="s">
        <v>692</v>
      </c>
      <c r="N11" s="2" t="s">
        <v>693</v>
      </c>
      <c r="P11" s="2" t="s">
        <v>117</v>
      </c>
      <c r="Q11" s="2" t="s">
        <v>455</v>
      </c>
      <c r="R11" s="2" t="s">
        <v>694</v>
      </c>
      <c r="T11" s="2" t="s">
        <v>455</v>
      </c>
      <c r="U11" s="2" t="s">
        <v>695</v>
      </c>
      <c r="V11" s="2" t="s">
        <v>302</v>
      </c>
      <c r="X11" s="2" t="s">
        <v>464</v>
      </c>
      <c r="Y11" s="2" t="s">
        <v>457</v>
      </c>
      <c r="Z11" s="2" t="s">
        <v>458</v>
      </c>
    </row>
    <row r="12" spans="1:27">
      <c r="A12" s="12">
        <v>44969.796962546301</v>
      </c>
      <c r="B12" s="2" t="s">
        <v>452</v>
      </c>
      <c r="C12" s="2" t="s">
        <v>453</v>
      </c>
      <c r="D12" s="2" t="s">
        <v>452</v>
      </c>
      <c r="E12" s="2" t="s">
        <v>454</v>
      </c>
      <c r="F12" s="2" t="s">
        <v>696</v>
      </c>
      <c r="G12" s="2" t="s">
        <v>697</v>
      </c>
      <c r="H12" s="2" t="s">
        <v>698</v>
      </c>
      <c r="J12" s="2" t="s">
        <v>699</v>
      </c>
      <c r="L12" s="2" t="s">
        <v>700</v>
      </c>
      <c r="N12" s="2" t="s">
        <v>701</v>
      </c>
      <c r="O12" s="2" t="s">
        <v>469</v>
      </c>
      <c r="P12" s="2" t="s">
        <v>122</v>
      </c>
      <c r="Q12" s="2" t="s">
        <v>455</v>
      </c>
      <c r="R12" s="2" t="s">
        <v>189</v>
      </c>
      <c r="T12" s="2" t="s">
        <v>455</v>
      </c>
      <c r="U12" s="2" t="s">
        <v>304</v>
      </c>
      <c r="V12" s="2" t="s">
        <v>305</v>
      </c>
      <c r="X12" s="2" t="s">
        <v>456</v>
      </c>
      <c r="Y12" s="2" t="s">
        <v>457</v>
      </c>
      <c r="Z12" s="2" t="s">
        <v>458</v>
      </c>
    </row>
    <row r="13" spans="1:27">
      <c r="A13" s="12">
        <v>44969.797774722218</v>
      </c>
      <c r="B13" s="2" t="s">
        <v>452</v>
      </c>
      <c r="C13" s="2" t="s">
        <v>453</v>
      </c>
      <c r="D13" s="2" t="s">
        <v>452</v>
      </c>
      <c r="E13" s="2" t="s">
        <v>454</v>
      </c>
      <c r="F13" s="2" t="s">
        <v>702</v>
      </c>
      <c r="G13" s="2" t="s">
        <v>703</v>
      </c>
      <c r="H13" s="2" t="s">
        <v>704</v>
      </c>
      <c r="J13" s="2" t="s">
        <v>705</v>
      </c>
      <c r="L13" s="2" t="s">
        <v>706</v>
      </c>
      <c r="N13" s="2" t="s">
        <v>707</v>
      </c>
      <c r="P13" s="2" t="s">
        <v>708</v>
      </c>
      <c r="Q13" s="2" t="s">
        <v>455</v>
      </c>
      <c r="R13" s="2" t="s">
        <v>709</v>
      </c>
      <c r="S13" s="2" t="s">
        <v>257</v>
      </c>
      <c r="T13" s="2" t="s">
        <v>455</v>
      </c>
      <c r="U13" s="2" t="s">
        <v>302</v>
      </c>
      <c r="V13" s="2" t="s">
        <v>305</v>
      </c>
      <c r="X13" s="2" t="s">
        <v>462</v>
      </c>
      <c r="Y13" s="2" t="s">
        <v>457</v>
      </c>
      <c r="Z13" s="2" t="s">
        <v>458</v>
      </c>
    </row>
    <row r="14" spans="1:27">
      <c r="A14" s="12">
        <v>44969.802980590277</v>
      </c>
      <c r="B14" s="2" t="s">
        <v>452</v>
      </c>
      <c r="C14" s="2" t="s">
        <v>453</v>
      </c>
      <c r="D14" s="2" t="s">
        <v>452</v>
      </c>
      <c r="E14" s="2" t="s">
        <v>454</v>
      </c>
      <c r="F14" s="2" t="s">
        <v>710</v>
      </c>
      <c r="G14" s="2" t="s">
        <v>711</v>
      </c>
      <c r="H14" s="2" t="s">
        <v>107</v>
      </c>
      <c r="J14" s="2" t="s">
        <v>712</v>
      </c>
      <c r="L14" s="2" t="s">
        <v>713</v>
      </c>
      <c r="M14" s="2" t="s">
        <v>81</v>
      </c>
      <c r="N14" s="2" t="s">
        <v>714</v>
      </c>
      <c r="P14" s="2" t="s">
        <v>684</v>
      </c>
      <c r="Q14" s="2" t="s">
        <v>455</v>
      </c>
      <c r="R14" s="2" t="s">
        <v>715</v>
      </c>
      <c r="S14" s="2" t="s">
        <v>228</v>
      </c>
      <c r="T14" s="2" t="s">
        <v>472</v>
      </c>
      <c r="X14" s="2" t="s">
        <v>456</v>
      </c>
      <c r="Y14" s="2" t="s">
        <v>457</v>
      </c>
      <c r="Z14" s="2" t="s">
        <v>458</v>
      </c>
    </row>
    <row r="15" spans="1:27">
      <c r="A15" s="12">
        <v>44969.803162662036</v>
      </c>
      <c r="B15" s="2" t="s">
        <v>452</v>
      </c>
      <c r="C15" s="2" t="s">
        <v>453</v>
      </c>
      <c r="D15" s="2" t="s">
        <v>452</v>
      </c>
      <c r="E15" s="2" t="s">
        <v>454</v>
      </c>
      <c r="F15" s="2" t="s">
        <v>716</v>
      </c>
      <c r="H15" s="2" t="s">
        <v>139</v>
      </c>
      <c r="J15" s="2" t="s">
        <v>717</v>
      </c>
      <c r="L15" s="2" t="s">
        <v>718</v>
      </c>
      <c r="M15" s="2" t="s">
        <v>95</v>
      </c>
      <c r="N15" s="2" t="s">
        <v>701</v>
      </c>
      <c r="O15" s="2" t="s">
        <v>473</v>
      </c>
      <c r="P15" s="2" t="s">
        <v>119</v>
      </c>
      <c r="Q15" s="2" t="s">
        <v>455</v>
      </c>
      <c r="R15" s="2" t="s">
        <v>719</v>
      </c>
      <c r="S15" s="2" t="s">
        <v>226</v>
      </c>
      <c r="T15" s="2" t="s">
        <v>455</v>
      </c>
      <c r="U15" s="2" t="s">
        <v>720</v>
      </c>
      <c r="V15" s="2" t="s">
        <v>305</v>
      </c>
      <c r="W15" s="2" t="s">
        <v>407</v>
      </c>
      <c r="X15" s="2" t="s">
        <v>474</v>
      </c>
      <c r="Y15" s="2" t="s">
        <v>457</v>
      </c>
      <c r="Z15" s="2" t="s">
        <v>458</v>
      </c>
    </row>
    <row r="16" spans="1:27">
      <c r="A16" s="12">
        <v>44969.804518368052</v>
      </c>
      <c r="B16" s="2" t="s">
        <v>452</v>
      </c>
      <c r="C16" s="2" t="s">
        <v>453</v>
      </c>
      <c r="D16" s="2" t="s">
        <v>452</v>
      </c>
      <c r="E16" s="2" t="s">
        <v>454</v>
      </c>
      <c r="F16" s="2" t="s">
        <v>721</v>
      </c>
      <c r="H16" s="2" t="s">
        <v>107</v>
      </c>
      <c r="J16" s="2" t="s">
        <v>117</v>
      </c>
      <c r="L16" s="2" t="s">
        <v>169</v>
      </c>
      <c r="N16" s="2" t="s">
        <v>701</v>
      </c>
      <c r="P16" s="2" t="s">
        <v>117</v>
      </c>
      <c r="Q16" s="2" t="s">
        <v>455</v>
      </c>
      <c r="R16" s="2" t="s">
        <v>722</v>
      </c>
      <c r="T16" s="2" t="s">
        <v>472</v>
      </c>
      <c r="X16" s="2" t="s">
        <v>475</v>
      </c>
      <c r="Y16" s="2" t="s">
        <v>457</v>
      </c>
      <c r="Z16" s="2" t="s">
        <v>458</v>
      </c>
    </row>
    <row r="17" spans="1:27">
      <c r="A17" s="12">
        <v>44969.805731701388</v>
      </c>
      <c r="B17" s="2" t="s">
        <v>452</v>
      </c>
      <c r="C17" s="2" t="s">
        <v>453</v>
      </c>
      <c r="D17" s="2" t="s">
        <v>452</v>
      </c>
      <c r="E17" s="2" t="s">
        <v>454</v>
      </c>
      <c r="F17" s="2" t="s">
        <v>723</v>
      </c>
      <c r="G17" s="2" t="s">
        <v>724</v>
      </c>
      <c r="H17" s="2" t="s">
        <v>725</v>
      </c>
      <c r="J17" s="2" t="s">
        <v>117</v>
      </c>
      <c r="L17" s="2" t="s">
        <v>170</v>
      </c>
      <c r="M17" s="2"/>
      <c r="N17" s="2" t="s">
        <v>726</v>
      </c>
      <c r="P17" s="2" t="s">
        <v>117</v>
      </c>
      <c r="Q17" s="2" t="s">
        <v>455</v>
      </c>
      <c r="R17" s="2" t="s">
        <v>727</v>
      </c>
      <c r="T17" s="2" t="s">
        <v>455</v>
      </c>
      <c r="U17" s="2" t="s">
        <v>728</v>
      </c>
      <c r="V17" s="2" t="s">
        <v>305</v>
      </c>
      <c r="X17" s="2" t="s">
        <v>461</v>
      </c>
      <c r="Y17" s="2" t="s">
        <v>457</v>
      </c>
      <c r="Z17" s="2" t="s">
        <v>458</v>
      </c>
      <c r="AA17" s="2" t="s">
        <v>477</v>
      </c>
    </row>
    <row r="18" spans="1:27">
      <c r="A18" s="12">
        <v>44969.808310138891</v>
      </c>
      <c r="B18" s="2" t="s">
        <v>452</v>
      </c>
      <c r="C18" s="2" t="s">
        <v>453</v>
      </c>
      <c r="D18" s="2" t="s">
        <v>452</v>
      </c>
      <c r="E18" s="2" t="s">
        <v>454</v>
      </c>
      <c r="F18" s="2" t="s">
        <v>8</v>
      </c>
      <c r="H18" s="2" t="s">
        <v>141</v>
      </c>
      <c r="J18" s="2" t="s">
        <v>117</v>
      </c>
      <c r="L18" s="2" t="s">
        <v>105</v>
      </c>
      <c r="N18" s="2" t="s">
        <v>105</v>
      </c>
      <c r="P18" s="2" t="s">
        <v>118</v>
      </c>
      <c r="Q18" s="2" t="s">
        <v>455</v>
      </c>
      <c r="R18" s="2" t="s">
        <v>729</v>
      </c>
      <c r="T18" s="2" t="s">
        <v>455</v>
      </c>
      <c r="U18" s="2" t="s">
        <v>296</v>
      </c>
      <c r="V18" s="2" t="s">
        <v>305</v>
      </c>
      <c r="X18" s="2" t="s">
        <v>462</v>
      </c>
      <c r="Y18" s="2" t="s">
        <v>457</v>
      </c>
      <c r="Z18" s="2" t="s">
        <v>458</v>
      </c>
    </row>
    <row r="19" spans="1:27">
      <c r="A19" s="12">
        <v>44969.808456886574</v>
      </c>
      <c r="B19" s="2" t="s">
        <v>452</v>
      </c>
      <c r="C19" s="2" t="s">
        <v>453</v>
      </c>
      <c r="D19" s="2" t="s">
        <v>452</v>
      </c>
      <c r="E19" s="2" t="s">
        <v>454</v>
      </c>
      <c r="F19" s="2" t="s">
        <v>730</v>
      </c>
      <c r="H19" s="2" t="s">
        <v>139</v>
      </c>
      <c r="J19" s="2" t="s">
        <v>117</v>
      </c>
      <c r="L19" s="2" t="s">
        <v>731</v>
      </c>
      <c r="N19" s="2" t="s">
        <v>106</v>
      </c>
      <c r="P19" s="2" t="s">
        <v>117</v>
      </c>
      <c r="Q19" s="2" t="s">
        <v>455</v>
      </c>
      <c r="R19" s="2" t="s">
        <v>183</v>
      </c>
      <c r="T19" s="2" t="s">
        <v>472</v>
      </c>
      <c r="X19" s="2" t="s">
        <v>459</v>
      </c>
      <c r="Y19" s="2" t="s">
        <v>457</v>
      </c>
      <c r="Z19" s="2" t="s">
        <v>458</v>
      </c>
    </row>
    <row r="20" spans="1:27">
      <c r="A20" s="12">
        <v>44969.810067395832</v>
      </c>
      <c r="B20" s="2" t="s">
        <v>452</v>
      </c>
      <c r="C20" s="2" t="s">
        <v>453</v>
      </c>
      <c r="D20" s="2" t="s">
        <v>452</v>
      </c>
      <c r="E20" s="2" t="s">
        <v>454</v>
      </c>
      <c r="F20" s="2" t="s">
        <v>732</v>
      </c>
      <c r="H20" s="2" t="s">
        <v>139</v>
      </c>
      <c r="J20" s="2" t="s">
        <v>117</v>
      </c>
      <c r="L20" s="2" t="s">
        <v>733</v>
      </c>
      <c r="M20" s="2" t="s">
        <v>71</v>
      </c>
      <c r="N20" s="2" t="s">
        <v>105</v>
      </c>
      <c r="O20" s="2" t="s">
        <v>478</v>
      </c>
      <c r="P20" s="2" t="s">
        <v>117</v>
      </c>
      <c r="Q20" s="2" t="s">
        <v>455</v>
      </c>
      <c r="R20" s="2" t="s">
        <v>734</v>
      </c>
      <c r="T20" s="2" t="s">
        <v>455</v>
      </c>
      <c r="U20" s="2" t="s">
        <v>735</v>
      </c>
      <c r="V20" s="2" t="s">
        <v>305</v>
      </c>
      <c r="W20" s="2" t="s">
        <v>324</v>
      </c>
      <c r="X20" s="2" t="s">
        <v>456</v>
      </c>
      <c r="Y20" s="2" t="s">
        <v>457</v>
      </c>
      <c r="Z20" s="2" t="s">
        <v>458</v>
      </c>
    </row>
    <row r="21" spans="1:27">
      <c r="A21" s="12">
        <v>44969.813924756949</v>
      </c>
      <c r="B21" s="2" t="s">
        <v>452</v>
      </c>
      <c r="C21" s="2" t="s">
        <v>453</v>
      </c>
      <c r="D21" s="2" t="s">
        <v>452</v>
      </c>
      <c r="E21" s="2" t="s">
        <v>454</v>
      </c>
      <c r="F21" s="2" t="s">
        <v>736</v>
      </c>
      <c r="H21" s="2" t="s">
        <v>653</v>
      </c>
      <c r="J21" s="2" t="s">
        <v>121</v>
      </c>
      <c r="L21" s="2" t="s">
        <v>737</v>
      </c>
      <c r="N21" s="2" t="s">
        <v>106</v>
      </c>
      <c r="P21" s="2" t="s">
        <v>738</v>
      </c>
      <c r="Q21" s="2" t="s">
        <v>455</v>
      </c>
      <c r="R21" s="2" t="s">
        <v>739</v>
      </c>
      <c r="T21" s="2" t="s">
        <v>455</v>
      </c>
      <c r="U21" s="2" t="s">
        <v>304</v>
      </c>
      <c r="V21" s="2" t="s">
        <v>305</v>
      </c>
      <c r="X21" s="2" t="s">
        <v>462</v>
      </c>
      <c r="Y21" s="2" t="s">
        <v>457</v>
      </c>
      <c r="Z21" s="2" t="s">
        <v>458</v>
      </c>
    </row>
    <row r="22" spans="1:27">
      <c r="A22" s="12">
        <v>44969.814646157407</v>
      </c>
      <c r="B22" s="2" t="s">
        <v>452</v>
      </c>
      <c r="C22" s="2" t="s">
        <v>453</v>
      </c>
      <c r="D22" s="2" t="s">
        <v>452</v>
      </c>
      <c r="E22" s="2" t="s">
        <v>454</v>
      </c>
      <c r="F22" s="2" t="s">
        <v>740</v>
      </c>
      <c r="H22" s="2" t="s">
        <v>139</v>
      </c>
      <c r="J22" s="2" t="s">
        <v>117</v>
      </c>
      <c r="L22" s="2" t="s">
        <v>741</v>
      </c>
      <c r="N22" s="2" t="s">
        <v>742</v>
      </c>
      <c r="P22" s="2" t="s">
        <v>117</v>
      </c>
      <c r="Q22" s="2" t="s">
        <v>455</v>
      </c>
      <c r="R22" s="2" t="s">
        <v>743</v>
      </c>
      <c r="T22" s="2" t="s">
        <v>455</v>
      </c>
      <c r="U22" s="2" t="s">
        <v>296</v>
      </c>
      <c r="V22" s="2" t="s">
        <v>305</v>
      </c>
      <c r="X22" s="2" t="s">
        <v>456</v>
      </c>
      <c r="Y22" s="2" t="s">
        <v>457</v>
      </c>
      <c r="Z22" s="2" t="s">
        <v>458</v>
      </c>
    </row>
    <row r="23" spans="1:27">
      <c r="A23" s="12">
        <v>44969.816121898148</v>
      </c>
      <c r="B23" s="2" t="s">
        <v>452</v>
      </c>
      <c r="C23" s="2" t="s">
        <v>453</v>
      </c>
      <c r="D23" s="2" t="s">
        <v>452</v>
      </c>
      <c r="E23" s="2" t="s">
        <v>454</v>
      </c>
      <c r="F23" s="2" t="s">
        <v>744</v>
      </c>
      <c r="H23" s="2" t="s">
        <v>745</v>
      </c>
      <c r="I23" s="2" t="s">
        <v>144</v>
      </c>
      <c r="J23" s="2" t="s">
        <v>117</v>
      </c>
      <c r="L23" s="2" t="s">
        <v>746</v>
      </c>
      <c r="M23" s="2" t="s">
        <v>64</v>
      </c>
      <c r="N23" s="2" t="s">
        <v>747</v>
      </c>
      <c r="P23" s="2" t="s">
        <v>117</v>
      </c>
      <c r="Q23" s="2" t="s">
        <v>455</v>
      </c>
      <c r="R23" s="2" t="s">
        <v>748</v>
      </c>
      <c r="S23" s="2" t="s">
        <v>267</v>
      </c>
      <c r="T23" s="2" t="s">
        <v>455</v>
      </c>
      <c r="U23" s="2" t="s">
        <v>749</v>
      </c>
      <c r="W23" s="2" t="s">
        <v>404</v>
      </c>
      <c r="X23" s="2" t="s">
        <v>462</v>
      </c>
      <c r="Y23" s="2" t="s">
        <v>457</v>
      </c>
      <c r="Z23" s="2" t="s">
        <v>458</v>
      </c>
    </row>
    <row r="24" spans="1:27">
      <c r="A24" s="12">
        <v>44969.816465439813</v>
      </c>
      <c r="B24" s="2" t="s">
        <v>452</v>
      </c>
      <c r="C24" s="2" t="s">
        <v>453</v>
      </c>
      <c r="D24" s="2" t="s">
        <v>452</v>
      </c>
      <c r="E24" s="2" t="s">
        <v>454</v>
      </c>
      <c r="F24" s="2" t="s">
        <v>12</v>
      </c>
      <c r="H24" s="2" t="s">
        <v>139</v>
      </c>
      <c r="J24" s="2" t="s">
        <v>153</v>
      </c>
      <c r="L24" s="2" t="s">
        <v>169</v>
      </c>
      <c r="O24" s="2" t="s">
        <v>115</v>
      </c>
      <c r="P24" s="2" t="s">
        <v>120</v>
      </c>
      <c r="Q24" s="2" t="s">
        <v>455</v>
      </c>
      <c r="R24" s="2" t="s">
        <v>750</v>
      </c>
      <c r="S24" s="2" t="s">
        <v>220</v>
      </c>
      <c r="T24" s="2" t="s">
        <v>472</v>
      </c>
      <c r="X24" s="2" t="s">
        <v>479</v>
      </c>
      <c r="Y24" s="2" t="s">
        <v>457</v>
      </c>
      <c r="Z24" s="2" t="s">
        <v>458</v>
      </c>
    </row>
    <row r="25" spans="1:27">
      <c r="A25" s="12">
        <v>44969.816542847228</v>
      </c>
      <c r="B25" s="2" t="s">
        <v>452</v>
      </c>
      <c r="C25" s="2" t="s">
        <v>453</v>
      </c>
      <c r="D25" s="2" t="s">
        <v>452</v>
      </c>
      <c r="E25" s="2" t="s">
        <v>454</v>
      </c>
      <c r="F25" s="2" t="s">
        <v>751</v>
      </c>
      <c r="H25" s="2" t="s">
        <v>752</v>
      </c>
      <c r="J25" s="2" t="s">
        <v>753</v>
      </c>
      <c r="L25" s="2" t="s">
        <v>754</v>
      </c>
      <c r="N25" s="2" t="s">
        <v>755</v>
      </c>
      <c r="P25" s="2" t="s">
        <v>756</v>
      </c>
      <c r="Q25" s="2" t="s">
        <v>455</v>
      </c>
      <c r="R25" s="2" t="s">
        <v>181</v>
      </c>
      <c r="T25" s="2" t="s">
        <v>455</v>
      </c>
      <c r="U25" s="2" t="s">
        <v>304</v>
      </c>
      <c r="V25" s="2" t="s">
        <v>305</v>
      </c>
      <c r="X25" s="2" t="s">
        <v>464</v>
      </c>
      <c r="Y25" s="2" t="s">
        <v>457</v>
      </c>
      <c r="Z25" s="2" t="s">
        <v>458</v>
      </c>
    </row>
    <row r="26" spans="1:27">
      <c r="A26" s="12">
        <v>44969.820164571764</v>
      </c>
      <c r="B26" s="2" t="s">
        <v>452</v>
      </c>
      <c r="C26" s="2" t="s">
        <v>453</v>
      </c>
      <c r="D26" s="2" t="s">
        <v>452</v>
      </c>
      <c r="E26" s="2" t="s">
        <v>454</v>
      </c>
      <c r="F26" s="2" t="s">
        <v>757</v>
      </c>
      <c r="H26" s="2" t="s">
        <v>139</v>
      </c>
      <c r="J26" s="2" t="s">
        <v>117</v>
      </c>
      <c r="L26" s="2" t="s">
        <v>758</v>
      </c>
      <c r="N26" s="2" t="s">
        <v>655</v>
      </c>
      <c r="P26" s="2" t="s">
        <v>117</v>
      </c>
      <c r="Q26" s="2" t="s">
        <v>455</v>
      </c>
      <c r="R26" s="2" t="s">
        <v>759</v>
      </c>
      <c r="S26" s="2" t="s">
        <v>281</v>
      </c>
      <c r="T26" s="2" t="s">
        <v>455</v>
      </c>
      <c r="U26" s="2" t="s">
        <v>760</v>
      </c>
      <c r="W26" s="2" t="s">
        <v>402</v>
      </c>
      <c r="X26" s="2" t="s">
        <v>462</v>
      </c>
      <c r="Y26" s="2" t="s">
        <v>457</v>
      </c>
      <c r="Z26" s="2" t="s">
        <v>458</v>
      </c>
      <c r="AA26" s="2" t="s">
        <v>480</v>
      </c>
    </row>
    <row r="27" spans="1:27">
      <c r="A27" s="12">
        <v>44969.820517685184</v>
      </c>
      <c r="B27" s="2" t="s">
        <v>452</v>
      </c>
      <c r="C27" s="2" t="s">
        <v>453</v>
      </c>
      <c r="D27" s="2" t="s">
        <v>452</v>
      </c>
      <c r="E27" s="2" t="s">
        <v>454</v>
      </c>
      <c r="F27" s="2" t="s">
        <v>761</v>
      </c>
      <c r="H27" s="2" t="s">
        <v>704</v>
      </c>
      <c r="J27" s="2" t="s">
        <v>117</v>
      </c>
      <c r="L27" s="2" t="s">
        <v>762</v>
      </c>
      <c r="N27" s="2" t="s">
        <v>763</v>
      </c>
      <c r="P27" s="2" t="s">
        <v>117</v>
      </c>
      <c r="Q27" s="2" t="s">
        <v>455</v>
      </c>
      <c r="R27" s="2" t="s">
        <v>764</v>
      </c>
      <c r="T27" s="2" t="s">
        <v>455</v>
      </c>
      <c r="U27" s="2" t="s">
        <v>296</v>
      </c>
      <c r="V27" s="2" t="s">
        <v>305</v>
      </c>
      <c r="X27" s="2" t="s">
        <v>464</v>
      </c>
      <c r="Y27" s="2" t="s">
        <v>457</v>
      </c>
      <c r="Z27" s="2" t="s">
        <v>458</v>
      </c>
    </row>
    <row r="28" spans="1:27">
      <c r="A28" s="12">
        <v>44969.821743541666</v>
      </c>
      <c r="B28" s="2" t="s">
        <v>452</v>
      </c>
      <c r="C28" s="2" t="s">
        <v>453</v>
      </c>
      <c r="D28" s="2" t="s">
        <v>452</v>
      </c>
      <c r="E28" s="2" t="s">
        <v>454</v>
      </c>
      <c r="F28" s="2" t="s">
        <v>765</v>
      </c>
      <c r="H28" s="2" t="s">
        <v>139</v>
      </c>
      <c r="J28" s="2" t="s">
        <v>117</v>
      </c>
      <c r="L28" s="2" t="s">
        <v>766</v>
      </c>
      <c r="M28" s="2" t="s">
        <v>72</v>
      </c>
      <c r="N28" s="2" t="s">
        <v>767</v>
      </c>
      <c r="P28" s="2" t="s">
        <v>117</v>
      </c>
      <c r="Q28" s="2" t="s">
        <v>455</v>
      </c>
      <c r="R28" s="2" t="s">
        <v>768</v>
      </c>
      <c r="T28" s="2" t="s">
        <v>455</v>
      </c>
      <c r="U28" s="2" t="s">
        <v>304</v>
      </c>
      <c r="V28" s="2" t="s">
        <v>305</v>
      </c>
      <c r="X28" s="2" t="s">
        <v>459</v>
      </c>
      <c r="Y28" s="2" t="s">
        <v>457</v>
      </c>
      <c r="Z28" s="2" t="s">
        <v>458</v>
      </c>
    </row>
    <row r="29" spans="1:27">
      <c r="A29" s="12">
        <v>44969.821930150458</v>
      </c>
      <c r="B29" s="2" t="s">
        <v>452</v>
      </c>
      <c r="C29" s="2" t="s">
        <v>453</v>
      </c>
      <c r="D29" s="2" t="s">
        <v>452</v>
      </c>
      <c r="E29" s="2" t="s">
        <v>454</v>
      </c>
      <c r="F29" s="2" t="s">
        <v>769</v>
      </c>
      <c r="H29" s="2" t="s">
        <v>770</v>
      </c>
      <c r="J29" s="2" t="s">
        <v>771</v>
      </c>
      <c r="L29" s="2" t="s">
        <v>772</v>
      </c>
      <c r="M29" s="2" t="s">
        <v>92</v>
      </c>
      <c r="N29" s="2" t="s">
        <v>105</v>
      </c>
      <c r="P29" s="2" t="s">
        <v>773</v>
      </c>
      <c r="Q29" s="2" t="s">
        <v>455</v>
      </c>
      <c r="R29" s="2" t="s">
        <v>774</v>
      </c>
      <c r="S29" s="2" t="s">
        <v>193</v>
      </c>
      <c r="T29" s="2" t="s">
        <v>455</v>
      </c>
      <c r="U29" s="2" t="s">
        <v>775</v>
      </c>
      <c r="V29" s="2" t="s">
        <v>302</v>
      </c>
      <c r="W29" s="2" t="s">
        <v>376</v>
      </c>
      <c r="X29" s="2" t="s">
        <v>456</v>
      </c>
      <c r="Y29" s="2" t="s">
        <v>457</v>
      </c>
      <c r="Z29" s="2" t="s">
        <v>458</v>
      </c>
      <c r="AA29" s="2"/>
    </row>
    <row r="30" spans="1:27">
      <c r="A30" s="12">
        <v>44969.824340752311</v>
      </c>
      <c r="B30" s="2" t="s">
        <v>452</v>
      </c>
      <c r="C30" s="2" t="s">
        <v>453</v>
      </c>
      <c r="D30" s="2" t="s">
        <v>452</v>
      </c>
      <c r="E30" s="2" t="s">
        <v>454</v>
      </c>
      <c r="F30" s="2" t="s">
        <v>776</v>
      </c>
      <c r="H30" s="2" t="s">
        <v>777</v>
      </c>
      <c r="J30" s="2" t="s">
        <v>117</v>
      </c>
      <c r="L30" s="2" t="s">
        <v>778</v>
      </c>
      <c r="N30" s="2" t="s">
        <v>779</v>
      </c>
      <c r="P30" s="2" t="s">
        <v>117</v>
      </c>
      <c r="Q30" s="2" t="s">
        <v>455</v>
      </c>
      <c r="R30" s="2" t="s">
        <v>780</v>
      </c>
      <c r="T30" s="2" t="s">
        <v>455</v>
      </c>
      <c r="U30" s="2" t="s">
        <v>296</v>
      </c>
      <c r="V30" s="2" t="s">
        <v>305</v>
      </c>
      <c r="X30" s="2" t="s">
        <v>464</v>
      </c>
      <c r="Y30" s="2" t="s">
        <v>457</v>
      </c>
      <c r="Z30" s="2" t="s">
        <v>458</v>
      </c>
    </row>
    <row r="31" spans="1:27">
      <c r="A31" s="12">
        <v>44969.824786712961</v>
      </c>
      <c r="B31" s="2" t="s">
        <v>452</v>
      </c>
      <c r="C31" s="2" t="s">
        <v>453</v>
      </c>
      <c r="D31" s="2" t="s">
        <v>452</v>
      </c>
      <c r="E31" s="2" t="s">
        <v>454</v>
      </c>
      <c r="F31" s="2" t="s">
        <v>781</v>
      </c>
      <c r="H31" s="2" t="s">
        <v>782</v>
      </c>
      <c r="J31" s="2" t="s">
        <v>117</v>
      </c>
      <c r="L31" s="2" t="s">
        <v>783</v>
      </c>
      <c r="N31" s="2" t="s">
        <v>784</v>
      </c>
      <c r="P31" s="2" t="s">
        <v>117</v>
      </c>
      <c r="Q31" s="2" t="s">
        <v>455</v>
      </c>
      <c r="R31" s="2" t="s">
        <v>785</v>
      </c>
      <c r="T31" s="2" t="s">
        <v>455</v>
      </c>
      <c r="U31" s="2" t="s">
        <v>786</v>
      </c>
      <c r="V31" s="2" t="s">
        <v>787</v>
      </c>
      <c r="X31" s="2" t="s">
        <v>462</v>
      </c>
      <c r="Y31" s="2" t="s">
        <v>481</v>
      </c>
      <c r="Z31" s="2" t="s">
        <v>458</v>
      </c>
    </row>
    <row r="32" spans="1:27">
      <c r="A32" s="12">
        <v>44969.827042152778</v>
      </c>
      <c r="B32" s="2" t="s">
        <v>452</v>
      </c>
      <c r="C32" s="2" t="s">
        <v>453</v>
      </c>
      <c r="D32" s="2" t="s">
        <v>452</v>
      </c>
      <c r="E32" s="2" t="s">
        <v>454</v>
      </c>
      <c r="F32" s="2" t="s">
        <v>788</v>
      </c>
      <c r="H32" s="2" t="s">
        <v>789</v>
      </c>
      <c r="J32" s="2" t="s">
        <v>154</v>
      </c>
      <c r="L32" s="2" t="s">
        <v>790</v>
      </c>
      <c r="N32" s="2" t="s">
        <v>105</v>
      </c>
      <c r="P32" s="2" t="s">
        <v>649</v>
      </c>
      <c r="Q32" s="2" t="s">
        <v>455</v>
      </c>
      <c r="R32" s="2" t="s">
        <v>791</v>
      </c>
      <c r="T32" s="2" t="s">
        <v>455</v>
      </c>
      <c r="U32" s="2" t="s">
        <v>296</v>
      </c>
      <c r="V32" s="2" t="s">
        <v>305</v>
      </c>
      <c r="X32" s="2" t="s">
        <v>456</v>
      </c>
      <c r="Y32" s="2" t="s">
        <v>457</v>
      </c>
      <c r="Z32" s="2" t="s">
        <v>458</v>
      </c>
    </row>
    <row r="33" spans="1:27">
      <c r="A33" s="12">
        <v>44969.829025960644</v>
      </c>
      <c r="B33" s="2" t="s">
        <v>452</v>
      </c>
      <c r="C33" s="2" t="s">
        <v>453</v>
      </c>
      <c r="D33" s="2" t="s">
        <v>452</v>
      </c>
      <c r="E33" s="2" t="s">
        <v>454</v>
      </c>
      <c r="F33" s="2" t="s">
        <v>792</v>
      </c>
      <c r="H33" s="2" t="s">
        <v>140</v>
      </c>
      <c r="J33" s="2" t="s">
        <v>153</v>
      </c>
      <c r="L33" s="2" t="s">
        <v>169</v>
      </c>
      <c r="N33" s="2" t="s">
        <v>701</v>
      </c>
      <c r="P33" s="2" t="s">
        <v>117</v>
      </c>
      <c r="Q33" s="2" t="s">
        <v>455</v>
      </c>
      <c r="R33" s="2" t="s">
        <v>192</v>
      </c>
      <c r="T33" s="2" t="s">
        <v>455</v>
      </c>
      <c r="U33" s="2" t="s">
        <v>304</v>
      </c>
      <c r="V33" s="2" t="s">
        <v>305</v>
      </c>
      <c r="X33" s="2" t="s">
        <v>479</v>
      </c>
      <c r="Y33" s="2" t="s">
        <v>457</v>
      </c>
      <c r="Z33" s="2" t="s">
        <v>458</v>
      </c>
    </row>
    <row r="34" spans="1:27">
      <c r="A34" s="12">
        <v>44969.829030682871</v>
      </c>
      <c r="B34" s="2" t="s">
        <v>452</v>
      </c>
      <c r="C34" s="2" t="s">
        <v>453</v>
      </c>
      <c r="D34" s="2" t="s">
        <v>452</v>
      </c>
      <c r="E34" s="2" t="s">
        <v>454</v>
      </c>
      <c r="F34" s="2" t="s">
        <v>793</v>
      </c>
      <c r="G34" s="2" t="s">
        <v>794</v>
      </c>
      <c r="H34" s="2" t="s">
        <v>653</v>
      </c>
      <c r="J34" s="2" t="s">
        <v>154</v>
      </c>
      <c r="L34" s="2" t="s">
        <v>795</v>
      </c>
      <c r="N34" s="2" t="s">
        <v>796</v>
      </c>
      <c r="O34" s="2" t="s">
        <v>483</v>
      </c>
      <c r="P34" s="2" t="s">
        <v>119</v>
      </c>
      <c r="Q34" s="2" t="s">
        <v>455</v>
      </c>
      <c r="R34" s="2" t="s">
        <v>797</v>
      </c>
      <c r="S34" s="2" t="s">
        <v>231</v>
      </c>
      <c r="T34" s="2" t="s">
        <v>455</v>
      </c>
      <c r="U34" s="2" t="s">
        <v>304</v>
      </c>
      <c r="V34" s="2" t="s">
        <v>305</v>
      </c>
      <c r="W34" s="2" t="s">
        <v>375</v>
      </c>
      <c r="X34" s="2" t="s">
        <v>456</v>
      </c>
      <c r="Y34" s="2" t="s">
        <v>457</v>
      </c>
      <c r="Z34" s="2" t="s">
        <v>458</v>
      </c>
    </row>
    <row r="35" spans="1:27">
      <c r="A35" s="12">
        <v>44969.830598310189</v>
      </c>
      <c r="B35" s="2" t="s">
        <v>452</v>
      </c>
      <c r="C35" s="2" t="s">
        <v>453</v>
      </c>
      <c r="D35" s="2" t="s">
        <v>452</v>
      </c>
      <c r="E35" s="2" t="s">
        <v>454</v>
      </c>
      <c r="F35" s="2" t="s">
        <v>798</v>
      </c>
      <c r="G35" s="2" t="s">
        <v>799</v>
      </c>
      <c r="H35" s="2" t="s">
        <v>139</v>
      </c>
      <c r="J35" s="2" t="s">
        <v>800</v>
      </c>
      <c r="L35" s="2" t="s">
        <v>801</v>
      </c>
      <c r="M35" s="2" t="s">
        <v>94</v>
      </c>
      <c r="N35" s="2" t="s">
        <v>763</v>
      </c>
      <c r="O35" s="2" t="s">
        <v>485</v>
      </c>
      <c r="P35" s="2" t="s">
        <v>802</v>
      </c>
      <c r="Q35" s="2" t="s">
        <v>455</v>
      </c>
      <c r="R35" s="2" t="s">
        <v>803</v>
      </c>
      <c r="S35" s="2" t="s">
        <v>247</v>
      </c>
      <c r="T35" s="2" t="s">
        <v>472</v>
      </c>
      <c r="X35" s="2" t="s">
        <v>459</v>
      </c>
      <c r="Y35" s="2" t="s">
        <v>457</v>
      </c>
      <c r="Z35" s="2" t="s">
        <v>458</v>
      </c>
      <c r="AA35" s="2" t="s">
        <v>486</v>
      </c>
    </row>
    <row r="36" spans="1:27">
      <c r="A36" s="12">
        <v>44969.832010648148</v>
      </c>
      <c r="B36" s="2" t="s">
        <v>452</v>
      </c>
      <c r="C36" s="2" t="s">
        <v>453</v>
      </c>
      <c r="D36" s="2" t="s">
        <v>452</v>
      </c>
      <c r="E36" s="2" t="s">
        <v>454</v>
      </c>
      <c r="F36" s="2" t="s">
        <v>804</v>
      </c>
      <c r="H36" s="2" t="s">
        <v>805</v>
      </c>
      <c r="I36" s="2" t="s">
        <v>487</v>
      </c>
      <c r="J36" s="2" t="s">
        <v>117</v>
      </c>
      <c r="L36" s="2" t="s">
        <v>806</v>
      </c>
      <c r="N36" s="2" t="s">
        <v>655</v>
      </c>
      <c r="P36" s="2" t="s">
        <v>807</v>
      </c>
      <c r="Q36" s="2" t="s">
        <v>455</v>
      </c>
      <c r="R36" s="2" t="s">
        <v>808</v>
      </c>
      <c r="S36" s="2" t="s">
        <v>195</v>
      </c>
      <c r="T36" s="2" t="s">
        <v>455</v>
      </c>
      <c r="U36" s="2" t="s">
        <v>809</v>
      </c>
      <c r="V36" s="2" t="s">
        <v>305</v>
      </c>
      <c r="W36" s="2" t="s">
        <v>395</v>
      </c>
      <c r="X36" s="2" t="s">
        <v>462</v>
      </c>
      <c r="Y36" s="2" t="s">
        <v>457</v>
      </c>
      <c r="Z36" s="2" t="s">
        <v>458</v>
      </c>
    </row>
    <row r="37" spans="1:27">
      <c r="A37" s="12">
        <v>44969.835142060183</v>
      </c>
      <c r="B37" s="2" t="s">
        <v>452</v>
      </c>
      <c r="C37" s="2" t="s">
        <v>453</v>
      </c>
      <c r="D37" s="2" t="s">
        <v>452</v>
      </c>
      <c r="E37" s="2" t="s">
        <v>454</v>
      </c>
      <c r="F37" s="2" t="s">
        <v>7</v>
      </c>
      <c r="H37" s="2" t="s">
        <v>810</v>
      </c>
      <c r="J37" s="2" t="s">
        <v>117</v>
      </c>
      <c r="L37" s="2" t="s">
        <v>811</v>
      </c>
      <c r="M37" s="2" t="s">
        <v>63</v>
      </c>
      <c r="N37" s="2" t="s">
        <v>105</v>
      </c>
      <c r="P37" s="2" t="s">
        <v>117</v>
      </c>
      <c r="Q37" s="2" t="s">
        <v>455</v>
      </c>
      <c r="R37" s="2" t="s">
        <v>812</v>
      </c>
      <c r="T37" s="2" t="s">
        <v>455</v>
      </c>
      <c r="U37" s="2" t="s">
        <v>304</v>
      </c>
      <c r="V37" s="2" t="s">
        <v>305</v>
      </c>
      <c r="X37" s="2" t="s">
        <v>456</v>
      </c>
      <c r="Y37" s="2" t="s">
        <v>457</v>
      </c>
      <c r="Z37" s="2" t="s">
        <v>458</v>
      </c>
    </row>
    <row r="38" spans="1:27">
      <c r="A38" s="12">
        <v>44969.836303680553</v>
      </c>
      <c r="B38" s="2" t="s">
        <v>452</v>
      </c>
      <c r="C38" s="2" t="s">
        <v>453</v>
      </c>
      <c r="D38" s="2" t="s">
        <v>452</v>
      </c>
      <c r="E38" s="2" t="s">
        <v>454</v>
      </c>
      <c r="F38" s="2" t="s">
        <v>813</v>
      </c>
      <c r="G38" s="2" t="s">
        <v>814</v>
      </c>
      <c r="H38" s="2" t="s">
        <v>815</v>
      </c>
      <c r="I38" s="2" t="s">
        <v>145</v>
      </c>
      <c r="J38" s="2" t="s">
        <v>816</v>
      </c>
      <c r="L38" s="2" t="s">
        <v>817</v>
      </c>
      <c r="N38" s="2" t="s">
        <v>106</v>
      </c>
      <c r="O38" s="2" t="s">
        <v>489</v>
      </c>
      <c r="P38" s="2" t="s">
        <v>818</v>
      </c>
      <c r="Q38" s="2" t="s">
        <v>455</v>
      </c>
      <c r="R38" s="2" t="s">
        <v>819</v>
      </c>
      <c r="T38" s="2" t="s">
        <v>455</v>
      </c>
      <c r="U38" s="2" t="s">
        <v>304</v>
      </c>
      <c r="V38" s="2" t="s">
        <v>305</v>
      </c>
      <c r="W38" s="2" t="s">
        <v>422</v>
      </c>
      <c r="X38" s="2" t="s">
        <v>475</v>
      </c>
      <c r="Y38" s="2" t="s">
        <v>457</v>
      </c>
      <c r="Z38" s="2" t="s">
        <v>458</v>
      </c>
    </row>
    <row r="39" spans="1:27">
      <c r="A39" s="12">
        <v>44969.83916668981</v>
      </c>
      <c r="B39" s="2" t="s">
        <v>452</v>
      </c>
      <c r="C39" s="2" t="s">
        <v>453</v>
      </c>
      <c r="D39" s="2" t="s">
        <v>452</v>
      </c>
      <c r="E39" s="2" t="s">
        <v>454</v>
      </c>
      <c r="F39" s="2" t="s">
        <v>820</v>
      </c>
      <c r="H39" s="2" t="s">
        <v>821</v>
      </c>
      <c r="J39" s="2" t="s">
        <v>117</v>
      </c>
      <c r="L39" s="2" t="s">
        <v>822</v>
      </c>
      <c r="N39" s="2" t="s">
        <v>823</v>
      </c>
      <c r="O39" s="2" t="s">
        <v>490</v>
      </c>
      <c r="P39" s="2" t="s">
        <v>117</v>
      </c>
      <c r="Q39" s="2" t="s">
        <v>472</v>
      </c>
      <c r="T39" s="2" t="s">
        <v>455</v>
      </c>
      <c r="U39" s="2" t="s">
        <v>304</v>
      </c>
      <c r="V39" s="2" t="s">
        <v>305</v>
      </c>
      <c r="X39" s="2" t="s">
        <v>462</v>
      </c>
      <c r="Y39" s="2" t="s">
        <v>457</v>
      </c>
      <c r="Z39" s="2" t="s">
        <v>458</v>
      </c>
    </row>
    <row r="40" spans="1:27">
      <c r="A40" s="12">
        <v>44969.839269780088</v>
      </c>
      <c r="B40" s="2" t="s">
        <v>452</v>
      </c>
      <c r="C40" s="2" t="s">
        <v>453</v>
      </c>
      <c r="D40" s="2" t="s">
        <v>452</v>
      </c>
      <c r="E40" s="2" t="s">
        <v>454</v>
      </c>
      <c r="F40" s="2" t="s">
        <v>824</v>
      </c>
      <c r="H40" s="2" t="s">
        <v>825</v>
      </c>
      <c r="J40" s="2" t="s">
        <v>826</v>
      </c>
      <c r="L40" s="2" t="s">
        <v>827</v>
      </c>
      <c r="N40" s="2" t="s">
        <v>105</v>
      </c>
      <c r="O40" s="2" t="s">
        <v>491</v>
      </c>
      <c r="P40" s="2" t="s">
        <v>119</v>
      </c>
      <c r="Q40" s="2" t="s">
        <v>455</v>
      </c>
      <c r="R40" s="2" t="s">
        <v>828</v>
      </c>
      <c r="T40" s="2" t="s">
        <v>455</v>
      </c>
      <c r="U40" s="2" t="s">
        <v>829</v>
      </c>
      <c r="V40" s="2" t="s">
        <v>305</v>
      </c>
      <c r="X40" s="2" t="s">
        <v>459</v>
      </c>
      <c r="Y40" s="2" t="s">
        <v>457</v>
      </c>
      <c r="Z40" s="2" t="s">
        <v>458</v>
      </c>
    </row>
    <row r="41" spans="1:27">
      <c r="A41" s="12">
        <v>44969.841318032406</v>
      </c>
      <c r="B41" s="2" t="s">
        <v>452</v>
      </c>
      <c r="C41" s="2" t="s">
        <v>453</v>
      </c>
      <c r="D41" s="2" t="s">
        <v>452</v>
      </c>
      <c r="E41" s="2" t="s">
        <v>454</v>
      </c>
      <c r="F41" s="2" t="s">
        <v>830</v>
      </c>
      <c r="H41" s="2" t="s">
        <v>107</v>
      </c>
      <c r="J41" s="2" t="s">
        <v>117</v>
      </c>
      <c r="L41" s="2" t="s">
        <v>658</v>
      </c>
      <c r="N41" s="2" t="s">
        <v>105</v>
      </c>
      <c r="P41" s="2" t="s">
        <v>117</v>
      </c>
      <c r="Q41" s="2" t="s">
        <v>455</v>
      </c>
      <c r="T41" s="2" t="s">
        <v>472</v>
      </c>
      <c r="X41" s="2" t="s">
        <v>475</v>
      </c>
      <c r="Y41" s="2" t="s">
        <v>457</v>
      </c>
      <c r="Z41" s="2" t="s">
        <v>458</v>
      </c>
    </row>
    <row r="42" spans="1:27">
      <c r="A42" s="12">
        <v>44969.84664293981</v>
      </c>
      <c r="B42" s="2" t="s">
        <v>452</v>
      </c>
      <c r="C42" s="2" t="s">
        <v>453</v>
      </c>
      <c r="D42" s="2" t="s">
        <v>452</v>
      </c>
      <c r="E42" s="2" t="s">
        <v>454</v>
      </c>
      <c r="F42" s="2" t="s">
        <v>831</v>
      </c>
      <c r="H42" s="2" t="s">
        <v>139</v>
      </c>
      <c r="J42" s="2" t="s">
        <v>117</v>
      </c>
      <c r="L42" s="2" t="s">
        <v>658</v>
      </c>
      <c r="N42" s="2" t="s">
        <v>105</v>
      </c>
      <c r="P42" s="2" t="s">
        <v>117</v>
      </c>
      <c r="Q42" s="2" t="s">
        <v>455</v>
      </c>
      <c r="R42" s="2" t="s">
        <v>832</v>
      </c>
      <c r="T42" s="2" t="s">
        <v>472</v>
      </c>
      <c r="X42" s="2" t="s">
        <v>456</v>
      </c>
      <c r="Y42" s="2" t="s">
        <v>457</v>
      </c>
      <c r="Z42" s="2" t="s">
        <v>458</v>
      </c>
    </row>
    <row r="43" spans="1:27">
      <c r="A43" s="12">
        <v>44969.847586076387</v>
      </c>
      <c r="B43" s="2" t="s">
        <v>452</v>
      </c>
      <c r="C43" s="2" t="s">
        <v>453</v>
      </c>
      <c r="D43" s="2" t="s">
        <v>452</v>
      </c>
      <c r="E43" s="2" t="s">
        <v>454</v>
      </c>
      <c r="F43" s="2" t="s">
        <v>833</v>
      </c>
      <c r="H43" s="2" t="s">
        <v>834</v>
      </c>
      <c r="J43" s="2" t="s">
        <v>835</v>
      </c>
      <c r="L43" s="2" t="s">
        <v>836</v>
      </c>
      <c r="N43" s="2" t="s">
        <v>837</v>
      </c>
      <c r="P43" s="2" t="s">
        <v>838</v>
      </c>
      <c r="Q43" s="2" t="s">
        <v>455</v>
      </c>
      <c r="R43" s="2" t="s">
        <v>839</v>
      </c>
      <c r="S43" s="2" t="s">
        <v>274</v>
      </c>
      <c r="T43" s="2" t="s">
        <v>455</v>
      </c>
      <c r="U43" s="2" t="s">
        <v>304</v>
      </c>
      <c r="V43" s="2" t="s">
        <v>305</v>
      </c>
      <c r="X43" s="2" t="s">
        <v>464</v>
      </c>
      <c r="Y43" s="2" t="s">
        <v>457</v>
      </c>
      <c r="Z43" s="2" t="s">
        <v>458</v>
      </c>
      <c r="AA43" s="2" t="s">
        <v>492</v>
      </c>
    </row>
    <row r="44" spans="1:27">
      <c r="A44" s="12">
        <v>44969.847706631946</v>
      </c>
      <c r="B44" s="2" t="s">
        <v>452</v>
      </c>
      <c r="C44" s="2" t="s">
        <v>453</v>
      </c>
      <c r="D44" s="2" t="s">
        <v>452</v>
      </c>
      <c r="E44" s="2" t="s">
        <v>454</v>
      </c>
      <c r="F44" s="2" t="s">
        <v>840</v>
      </c>
      <c r="H44" s="2" t="s">
        <v>139</v>
      </c>
      <c r="J44" s="2" t="s">
        <v>140</v>
      </c>
      <c r="L44" s="2" t="s">
        <v>841</v>
      </c>
      <c r="N44" s="2" t="s">
        <v>105</v>
      </c>
      <c r="P44" s="2" t="s">
        <v>842</v>
      </c>
      <c r="Q44" s="2" t="s">
        <v>455</v>
      </c>
      <c r="R44" s="2" t="s">
        <v>843</v>
      </c>
      <c r="T44" s="2" t="s">
        <v>455</v>
      </c>
      <c r="U44" s="2" t="s">
        <v>299</v>
      </c>
      <c r="V44" s="2" t="s">
        <v>305</v>
      </c>
      <c r="X44" s="2" t="s">
        <v>479</v>
      </c>
      <c r="Y44" s="2" t="s">
        <v>457</v>
      </c>
      <c r="Z44" s="2" t="s">
        <v>458</v>
      </c>
    </row>
    <row r="45" spans="1:27">
      <c r="A45" s="12">
        <v>44969.847901250003</v>
      </c>
      <c r="B45" s="2" t="s">
        <v>452</v>
      </c>
      <c r="C45" s="2" t="s">
        <v>453</v>
      </c>
      <c r="D45" s="2" t="s">
        <v>452</v>
      </c>
      <c r="E45" s="2" t="s">
        <v>454</v>
      </c>
      <c r="F45" s="2" t="s">
        <v>844</v>
      </c>
      <c r="H45" s="2" t="s">
        <v>139</v>
      </c>
      <c r="J45" s="2" t="s">
        <v>845</v>
      </c>
      <c r="L45" s="2" t="s">
        <v>846</v>
      </c>
      <c r="N45" s="2" t="s">
        <v>847</v>
      </c>
      <c r="P45" s="2" t="s">
        <v>773</v>
      </c>
      <c r="Q45" s="2" t="s">
        <v>455</v>
      </c>
      <c r="R45" s="2" t="s">
        <v>848</v>
      </c>
      <c r="T45" s="2" t="s">
        <v>455</v>
      </c>
      <c r="U45" s="2" t="s">
        <v>300</v>
      </c>
      <c r="V45" s="2" t="s">
        <v>305</v>
      </c>
      <c r="W45" s="2" t="s">
        <v>367</v>
      </c>
      <c r="X45" s="2" t="s">
        <v>456</v>
      </c>
      <c r="Y45" s="2" t="s">
        <v>457</v>
      </c>
      <c r="Z45" s="2" t="s">
        <v>458</v>
      </c>
    </row>
    <row r="46" spans="1:27">
      <c r="A46" s="12">
        <v>44969.84823743056</v>
      </c>
      <c r="B46" s="2" t="s">
        <v>452</v>
      </c>
      <c r="C46" s="2" t="s">
        <v>453</v>
      </c>
      <c r="D46" s="2" t="s">
        <v>452</v>
      </c>
      <c r="E46" s="2" t="s">
        <v>454</v>
      </c>
      <c r="F46" s="2" t="s">
        <v>849</v>
      </c>
      <c r="G46" s="2" t="s">
        <v>850</v>
      </c>
      <c r="H46" s="2" t="s">
        <v>139</v>
      </c>
      <c r="J46" s="2" t="s">
        <v>154</v>
      </c>
      <c r="L46" s="2" t="s">
        <v>851</v>
      </c>
      <c r="M46" s="2" t="s">
        <v>86</v>
      </c>
      <c r="N46" s="2" t="s">
        <v>105</v>
      </c>
      <c r="O46" s="2" t="s">
        <v>494</v>
      </c>
      <c r="P46" s="2" t="s">
        <v>119</v>
      </c>
      <c r="Q46" s="2" t="s">
        <v>455</v>
      </c>
      <c r="R46" s="2" t="s">
        <v>852</v>
      </c>
      <c r="S46" s="2" t="s">
        <v>250</v>
      </c>
      <c r="T46" s="2" t="s">
        <v>455</v>
      </c>
      <c r="U46" s="2" t="s">
        <v>853</v>
      </c>
      <c r="V46" s="2" t="s">
        <v>305</v>
      </c>
      <c r="W46" s="2" t="s">
        <v>323</v>
      </c>
      <c r="X46" s="2" t="s">
        <v>464</v>
      </c>
      <c r="Y46" s="2" t="s">
        <v>457</v>
      </c>
      <c r="Z46" s="2" t="s">
        <v>458</v>
      </c>
    </row>
    <row r="47" spans="1:27">
      <c r="A47" s="12">
        <v>44969.849026134259</v>
      </c>
      <c r="B47" s="2" t="s">
        <v>452</v>
      </c>
      <c r="C47" s="2" t="s">
        <v>453</v>
      </c>
      <c r="D47" s="2" t="s">
        <v>452</v>
      </c>
      <c r="E47" s="2" t="s">
        <v>454</v>
      </c>
      <c r="F47" s="2" t="s">
        <v>854</v>
      </c>
      <c r="H47" s="2" t="s">
        <v>139</v>
      </c>
      <c r="J47" s="2" t="s">
        <v>117</v>
      </c>
      <c r="L47" s="2" t="s">
        <v>169</v>
      </c>
      <c r="N47" s="2" t="s">
        <v>105</v>
      </c>
      <c r="P47" s="2" t="s">
        <v>855</v>
      </c>
      <c r="Q47" s="2" t="s">
        <v>455</v>
      </c>
      <c r="R47" s="2" t="s">
        <v>856</v>
      </c>
      <c r="T47" s="2" t="s">
        <v>455</v>
      </c>
      <c r="U47" s="2" t="s">
        <v>857</v>
      </c>
      <c r="V47" s="2" t="s">
        <v>857</v>
      </c>
      <c r="W47" s="2" t="s">
        <v>420</v>
      </c>
      <c r="X47" s="2" t="s">
        <v>466</v>
      </c>
      <c r="Y47" s="2" t="s">
        <v>457</v>
      </c>
      <c r="Z47" s="2" t="s">
        <v>458</v>
      </c>
    </row>
    <row r="48" spans="1:27">
      <c r="A48" s="12">
        <v>44969.849138263889</v>
      </c>
      <c r="B48" s="2" t="s">
        <v>452</v>
      </c>
      <c r="C48" s="2" t="s">
        <v>453</v>
      </c>
      <c r="D48" s="2" t="s">
        <v>452</v>
      </c>
      <c r="E48" s="2" t="s">
        <v>454</v>
      </c>
      <c r="F48" s="2" t="s">
        <v>858</v>
      </c>
      <c r="H48" s="2" t="s">
        <v>859</v>
      </c>
      <c r="J48" s="2" t="s">
        <v>117</v>
      </c>
      <c r="L48" s="2" t="s">
        <v>860</v>
      </c>
      <c r="N48" s="2" t="s">
        <v>107</v>
      </c>
      <c r="P48" s="2" t="s">
        <v>117</v>
      </c>
      <c r="Q48" s="2" t="s">
        <v>455</v>
      </c>
      <c r="R48" s="2" t="s">
        <v>190</v>
      </c>
      <c r="T48" s="2" t="s">
        <v>455</v>
      </c>
      <c r="U48" s="2" t="s">
        <v>304</v>
      </c>
      <c r="V48" s="2" t="s">
        <v>305</v>
      </c>
      <c r="X48" s="2" t="s">
        <v>456</v>
      </c>
      <c r="Y48" s="2" t="s">
        <v>457</v>
      </c>
      <c r="Z48" s="2" t="s">
        <v>458</v>
      </c>
    </row>
    <row r="49" spans="1:27">
      <c r="A49" s="12">
        <v>44969.849417152778</v>
      </c>
      <c r="B49" s="2" t="s">
        <v>452</v>
      </c>
      <c r="C49" s="2" t="s">
        <v>453</v>
      </c>
      <c r="D49" s="2" t="s">
        <v>452</v>
      </c>
      <c r="E49" s="2" t="s">
        <v>454</v>
      </c>
      <c r="F49" s="2" t="s">
        <v>861</v>
      </c>
      <c r="H49" s="2" t="s">
        <v>825</v>
      </c>
      <c r="J49" s="2" t="s">
        <v>117</v>
      </c>
      <c r="L49" s="2" t="s">
        <v>862</v>
      </c>
      <c r="N49" s="2" t="s">
        <v>106</v>
      </c>
      <c r="O49" s="2" t="s">
        <v>495</v>
      </c>
      <c r="P49" s="2" t="s">
        <v>117</v>
      </c>
      <c r="Q49" s="2" t="s">
        <v>455</v>
      </c>
      <c r="R49" s="2" t="s">
        <v>863</v>
      </c>
      <c r="S49" s="2" t="s">
        <v>252</v>
      </c>
      <c r="T49" s="2" t="s">
        <v>455</v>
      </c>
      <c r="U49" s="2" t="s">
        <v>864</v>
      </c>
      <c r="V49" s="2" t="s">
        <v>305</v>
      </c>
      <c r="W49" s="2" t="s">
        <v>399</v>
      </c>
      <c r="X49" s="2" t="s">
        <v>462</v>
      </c>
      <c r="Y49" s="2" t="s">
        <v>457</v>
      </c>
      <c r="Z49" s="2" t="s">
        <v>458</v>
      </c>
    </row>
    <row r="50" spans="1:27">
      <c r="A50" s="12">
        <v>44969.850652604167</v>
      </c>
      <c r="B50" s="2" t="s">
        <v>452</v>
      </c>
      <c r="C50" s="2" t="s">
        <v>453</v>
      </c>
      <c r="D50" s="2" t="s">
        <v>452</v>
      </c>
      <c r="E50" s="2" t="s">
        <v>454</v>
      </c>
      <c r="F50" s="2" t="s">
        <v>865</v>
      </c>
      <c r="H50" s="2" t="s">
        <v>752</v>
      </c>
      <c r="J50" s="2" t="s">
        <v>117</v>
      </c>
      <c r="L50" s="2" t="s">
        <v>866</v>
      </c>
      <c r="N50" s="2" t="s">
        <v>867</v>
      </c>
      <c r="P50" s="2" t="s">
        <v>117</v>
      </c>
      <c r="Q50" s="2" t="s">
        <v>455</v>
      </c>
      <c r="R50" s="2" t="s">
        <v>868</v>
      </c>
      <c r="T50" s="2" t="s">
        <v>455</v>
      </c>
      <c r="U50" s="2" t="s">
        <v>869</v>
      </c>
      <c r="V50" s="2" t="s">
        <v>305</v>
      </c>
      <c r="X50" s="2" t="s">
        <v>456</v>
      </c>
      <c r="Y50" s="2" t="s">
        <v>457</v>
      </c>
      <c r="Z50" s="2" t="s">
        <v>458</v>
      </c>
    </row>
    <row r="51" spans="1:27">
      <c r="A51" s="12">
        <v>44969.852950717592</v>
      </c>
      <c r="B51" s="2" t="s">
        <v>452</v>
      </c>
      <c r="C51" s="2" t="s">
        <v>453</v>
      </c>
      <c r="D51" s="2" t="s">
        <v>452</v>
      </c>
      <c r="E51" s="2" t="s">
        <v>454</v>
      </c>
      <c r="F51" s="2" t="s">
        <v>870</v>
      </c>
      <c r="H51" s="2" t="s">
        <v>871</v>
      </c>
      <c r="J51" s="2" t="s">
        <v>117</v>
      </c>
      <c r="L51" s="2" t="s">
        <v>872</v>
      </c>
      <c r="N51" s="2" t="s">
        <v>106</v>
      </c>
      <c r="P51" s="2" t="s">
        <v>873</v>
      </c>
      <c r="Q51" s="2" t="s">
        <v>455</v>
      </c>
      <c r="R51" s="2" t="s">
        <v>874</v>
      </c>
      <c r="T51" s="2" t="s">
        <v>455</v>
      </c>
      <c r="U51" s="2" t="s">
        <v>875</v>
      </c>
      <c r="V51" s="2" t="s">
        <v>875</v>
      </c>
      <c r="X51" s="2" t="s">
        <v>461</v>
      </c>
      <c r="Y51" s="2" t="s">
        <v>457</v>
      </c>
      <c r="Z51" s="2" t="s">
        <v>458</v>
      </c>
    </row>
    <row r="52" spans="1:27">
      <c r="A52" s="12">
        <v>44969.856713726855</v>
      </c>
      <c r="B52" s="2" t="s">
        <v>452</v>
      </c>
      <c r="C52" s="2" t="s">
        <v>453</v>
      </c>
      <c r="D52" s="2" t="s">
        <v>452</v>
      </c>
      <c r="E52" s="2" t="s">
        <v>454</v>
      </c>
      <c r="F52" s="2" t="s">
        <v>876</v>
      </c>
      <c r="G52" s="2" t="s">
        <v>877</v>
      </c>
      <c r="H52" s="2" t="s">
        <v>704</v>
      </c>
      <c r="J52" s="2" t="s">
        <v>154</v>
      </c>
      <c r="L52" s="2" t="s">
        <v>878</v>
      </c>
      <c r="N52" s="2" t="s">
        <v>879</v>
      </c>
      <c r="P52" s="2" t="s">
        <v>873</v>
      </c>
      <c r="Q52" s="2" t="s">
        <v>455</v>
      </c>
      <c r="R52" s="2" t="s">
        <v>880</v>
      </c>
      <c r="S52" s="2" t="s">
        <v>261</v>
      </c>
      <c r="T52" s="2" t="s">
        <v>455</v>
      </c>
      <c r="U52" s="2" t="s">
        <v>881</v>
      </c>
      <c r="V52" s="2" t="s">
        <v>297</v>
      </c>
      <c r="W52" s="2" t="s">
        <v>370</v>
      </c>
      <c r="X52" s="2" t="s">
        <v>456</v>
      </c>
      <c r="Y52" s="2" t="s">
        <v>457</v>
      </c>
      <c r="Z52" s="2" t="s">
        <v>458</v>
      </c>
      <c r="AA52" s="2" t="s">
        <v>497</v>
      </c>
    </row>
    <row r="53" spans="1:27">
      <c r="A53" s="12">
        <v>44969.858741493052</v>
      </c>
      <c r="B53" s="2" t="s">
        <v>452</v>
      </c>
      <c r="C53" s="2" t="s">
        <v>453</v>
      </c>
      <c r="D53" s="2" t="s">
        <v>452</v>
      </c>
      <c r="E53" s="2" t="s">
        <v>454</v>
      </c>
      <c r="F53" s="2" t="s">
        <v>882</v>
      </c>
      <c r="H53" s="2" t="s">
        <v>883</v>
      </c>
      <c r="I53" s="2" t="s">
        <v>144</v>
      </c>
      <c r="J53" s="2" t="s">
        <v>884</v>
      </c>
      <c r="L53" s="2" t="s">
        <v>885</v>
      </c>
      <c r="N53" s="2" t="s">
        <v>105</v>
      </c>
      <c r="P53" s="2" t="s">
        <v>886</v>
      </c>
      <c r="Q53" s="2" t="s">
        <v>455</v>
      </c>
      <c r="R53" s="2" t="s">
        <v>887</v>
      </c>
      <c r="T53" s="2" t="s">
        <v>455</v>
      </c>
      <c r="U53" s="2" t="s">
        <v>304</v>
      </c>
      <c r="V53" s="2" t="s">
        <v>305</v>
      </c>
      <c r="X53" s="2" t="s">
        <v>475</v>
      </c>
      <c r="Y53" s="2" t="s">
        <v>457</v>
      </c>
      <c r="Z53" s="2" t="s">
        <v>458</v>
      </c>
    </row>
    <row r="54" spans="1:27">
      <c r="A54" s="12">
        <v>44969.859424236114</v>
      </c>
      <c r="B54" s="2" t="s">
        <v>452</v>
      </c>
      <c r="C54" s="2" t="s">
        <v>453</v>
      </c>
      <c r="D54" s="2" t="s">
        <v>452</v>
      </c>
      <c r="E54" s="2" t="s">
        <v>454</v>
      </c>
      <c r="F54" s="2" t="s">
        <v>888</v>
      </c>
      <c r="H54" s="2" t="s">
        <v>789</v>
      </c>
      <c r="J54" s="2" t="s">
        <v>117</v>
      </c>
      <c r="L54" s="2" t="s">
        <v>889</v>
      </c>
      <c r="N54" s="2" t="s">
        <v>890</v>
      </c>
      <c r="P54" s="2" t="s">
        <v>117</v>
      </c>
      <c r="Q54" s="2" t="s">
        <v>455</v>
      </c>
      <c r="R54" s="2" t="s">
        <v>190</v>
      </c>
      <c r="T54" s="2" t="s">
        <v>455</v>
      </c>
      <c r="U54" s="2" t="s">
        <v>304</v>
      </c>
      <c r="V54" s="2" t="s">
        <v>305</v>
      </c>
      <c r="X54" s="2" t="s">
        <v>462</v>
      </c>
      <c r="Y54" s="2" t="s">
        <v>457</v>
      </c>
      <c r="Z54" s="2" t="s">
        <v>458</v>
      </c>
    </row>
    <row r="55" spans="1:27">
      <c r="A55" s="12">
        <v>44969.861224444445</v>
      </c>
      <c r="B55" s="2" t="s">
        <v>452</v>
      </c>
      <c r="C55" s="2" t="s">
        <v>453</v>
      </c>
      <c r="D55" s="2" t="s">
        <v>452</v>
      </c>
      <c r="E55" s="2" t="s">
        <v>454</v>
      </c>
      <c r="F55" s="2" t="s">
        <v>891</v>
      </c>
      <c r="H55" s="2" t="s">
        <v>892</v>
      </c>
      <c r="J55" s="2" t="s">
        <v>893</v>
      </c>
      <c r="L55" s="2" t="s">
        <v>894</v>
      </c>
      <c r="N55" s="2" t="s">
        <v>106</v>
      </c>
      <c r="P55" s="2" t="s">
        <v>123</v>
      </c>
      <c r="Q55" s="2" t="s">
        <v>472</v>
      </c>
      <c r="T55" s="2" t="s">
        <v>455</v>
      </c>
      <c r="U55" s="2" t="s">
        <v>895</v>
      </c>
      <c r="V55" s="2" t="s">
        <v>305</v>
      </c>
      <c r="X55" s="2" t="s">
        <v>462</v>
      </c>
      <c r="Y55" s="2" t="s">
        <v>457</v>
      </c>
      <c r="Z55" s="2" t="s">
        <v>458</v>
      </c>
    </row>
    <row r="56" spans="1:27">
      <c r="A56" s="12">
        <v>44969.861511527779</v>
      </c>
      <c r="B56" s="2" t="s">
        <v>452</v>
      </c>
      <c r="C56" s="2" t="s">
        <v>453</v>
      </c>
      <c r="D56" s="2" t="s">
        <v>452</v>
      </c>
      <c r="E56" s="2" t="s">
        <v>454</v>
      </c>
      <c r="F56" s="2" t="s">
        <v>896</v>
      </c>
      <c r="H56" s="2" t="s">
        <v>897</v>
      </c>
      <c r="I56" s="2" t="s">
        <v>146</v>
      </c>
      <c r="J56" s="2" t="s">
        <v>121</v>
      </c>
      <c r="L56" s="2" t="s">
        <v>898</v>
      </c>
      <c r="M56" s="2" t="s">
        <v>57</v>
      </c>
      <c r="N56" s="2" t="s">
        <v>767</v>
      </c>
      <c r="O56" s="2" t="s">
        <v>115</v>
      </c>
      <c r="P56" s="2" t="s">
        <v>899</v>
      </c>
      <c r="Q56" s="2" t="s">
        <v>455</v>
      </c>
      <c r="R56" s="2" t="s">
        <v>900</v>
      </c>
      <c r="T56" s="2" t="s">
        <v>455</v>
      </c>
      <c r="U56" s="2" t="s">
        <v>304</v>
      </c>
      <c r="V56" s="2" t="s">
        <v>305</v>
      </c>
      <c r="X56" s="2" t="s">
        <v>462</v>
      </c>
      <c r="Y56" s="2" t="s">
        <v>457</v>
      </c>
      <c r="Z56" s="2" t="s">
        <v>458</v>
      </c>
    </row>
    <row r="57" spans="1:27">
      <c r="A57" s="12">
        <v>44969.862280671296</v>
      </c>
      <c r="B57" s="2" t="s">
        <v>452</v>
      </c>
      <c r="C57" s="2" t="s">
        <v>453</v>
      </c>
      <c r="D57" s="2" t="s">
        <v>452</v>
      </c>
      <c r="E57" s="2" t="s">
        <v>454</v>
      </c>
      <c r="F57" s="2" t="s">
        <v>901</v>
      </c>
      <c r="H57" s="2" t="s">
        <v>789</v>
      </c>
      <c r="J57" s="2" t="s">
        <v>117</v>
      </c>
      <c r="L57" s="2" t="s">
        <v>902</v>
      </c>
      <c r="O57" s="2" t="s">
        <v>115</v>
      </c>
      <c r="P57" s="2" t="s">
        <v>117</v>
      </c>
      <c r="Q57" s="2" t="s">
        <v>455</v>
      </c>
      <c r="R57" s="2" t="s">
        <v>903</v>
      </c>
      <c r="T57" s="2" t="s">
        <v>455</v>
      </c>
      <c r="U57" s="2" t="s">
        <v>904</v>
      </c>
      <c r="V57" s="2" t="s">
        <v>305</v>
      </c>
      <c r="X57" s="2" t="s">
        <v>456</v>
      </c>
      <c r="Y57" s="2" t="s">
        <v>457</v>
      </c>
      <c r="Z57" s="2" t="s">
        <v>458</v>
      </c>
    </row>
    <row r="58" spans="1:27">
      <c r="A58" s="12">
        <v>44969.862444710649</v>
      </c>
      <c r="B58" s="2" t="s">
        <v>452</v>
      </c>
      <c r="C58" s="2" t="s">
        <v>453</v>
      </c>
      <c r="D58" s="2" t="s">
        <v>452</v>
      </c>
      <c r="E58" s="2" t="s">
        <v>454</v>
      </c>
      <c r="F58" s="2" t="s">
        <v>905</v>
      </c>
      <c r="H58" s="2" t="s">
        <v>139</v>
      </c>
      <c r="J58" s="2" t="s">
        <v>153</v>
      </c>
      <c r="L58" s="2" t="s">
        <v>862</v>
      </c>
      <c r="N58" s="2" t="s">
        <v>106</v>
      </c>
      <c r="P58" s="2" t="s">
        <v>906</v>
      </c>
      <c r="Q58" s="2" t="s">
        <v>455</v>
      </c>
      <c r="R58" s="2" t="s">
        <v>907</v>
      </c>
      <c r="T58" s="2" t="s">
        <v>472</v>
      </c>
      <c r="X58" s="2" t="s">
        <v>479</v>
      </c>
      <c r="Y58" s="2" t="s">
        <v>457</v>
      </c>
      <c r="Z58" s="2" t="s">
        <v>458</v>
      </c>
    </row>
    <row r="59" spans="1:27">
      <c r="A59" s="12">
        <v>44969.863636377311</v>
      </c>
      <c r="B59" s="2" t="s">
        <v>452</v>
      </c>
      <c r="C59" s="2" t="s">
        <v>453</v>
      </c>
      <c r="D59" s="2" t="s">
        <v>452</v>
      </c>
      <c r="E59" s="2" t="s">
        <v>454</v>
      </c>
      <c r="F59" s="2" t="s">
        <v>908</v>
      </c>
      <c r="H59" s="2" t="s">
        <v>107</v>
      </c>
      <c r="J59" s="2" t="s">
        <v>107</v>
      </c>
      <c r="L59" s="2" t="s">
        <v>909</v>
      </c>
      <c r="N59" s="2" t="s">
        <v>107</v>
      </c>
      <c r="P59" s="2" t="s">
        <v>122</v>
      </c>
      <c r="Q59" s="2" t="s">
        <v>455</v>
      </c>
      <c r="R59" s="2" t="s">
        <v>910</v>
      </c>
      <c r="T59" s="2" t="s">
        <v>455</v>
      </c>
      <c r="U59" s="2" t="s">
        <v>911</v>
      </c>
      <c r="V59" s="2" t="s">
        <v>912</v>
      </c>
      <c r="W59" s="2" t="s">
        <v>337</v>
      </c>
      <c r="X59" s="2" t="s">
        <v>462</v>
      </c>
      <c r="Y59" s="2" t="s">
        <v>457</v>
      </c>
      <c r="Z59" s="2" t="s">
        <v>458</v>
      </c>
    </row>
    <row r="60" spans="1:27">
      <c r="A60" s="12">
        <v>44969.863718136578</v>
      </c>
      <c r="B60" s="2" t="s">
        <v>452</v>
      </c>
      <c r="C60" s="2" t="s">
        <v>453</v>
      </c>
      <c r="D60" s="2" t="s">
        <v>452</v>
      </c>
      <c r="E60" s="2" t="s">
        <v>454</v>
      </c>
      <c r="F60" s="2" t="s">
        <v>913</v>
      </c>
      <c r="H60" s="2" t="s">
        <v>139</v>
      </c>
      <c r="J60" s="2" t="s">
        <v>914</v>
      </c>
      <c r="L60" s="2" t="s">
        <v>915</v>
      </c>
      <c r="N60" s="2" t="s">
        <v>105</v>
      </c>
      <c r="O60" s="2" t="s">
        <v>498</v>
      </c>
      <c r="P60" s="2" t="s">
        <v>118</v>
      </c>
      <c r="Q60" s="2" t="s">
        <v>455</v>
      </c>
      <c r="R60" s="2" t="s">
        <v>916</v>
      </c>
      <c r="T60" s="2" t="s">
        <v>455</v>
      </c>
      <c r="U60" s="2" t="s">
        <v>917</v>
      </c>
      <c r="V60" s="2" t="s">
        <v>305</v>
      </c>
      <c r="X60" s="2" t="s">
        <v>462</v>
      </c>
      <c r="Y60" s="2" t="s">
        <v>457</v>
      </c>
      <c r="Z60" s="2" t="s">
        <v>458</v>
      </c>
    </row>
    <row r="61" spans="1:27">
      <c r="A61" s="12">
        <v>44969.864819166665</v>
      </c>
      <c r="B61" s="2" t="s">
        <v>452</v>
      </c>
      <c r="C61" s="2" t="s">
        <v>453</v>
      </c>
      <c r="D61" s="2" t="s">
        <v>452</v>
      </c>
      <c r="E61" s="2" t="s">
        <v>454</v>
      </c>
      <c r="F61" s="2" t="s">
        <v>918</v>
      </c>
      <c r="H61" s="2" t="s">
        <v>139</v>
      </c>
      <c r="J61" s="2" t="s">
        <v>705</v>
      </c>
      <c r="L61" s="2" t="s">
        <v>836</v>
      </c>
      <c r="N61" s="2" t="s">
        <v>747</v>
      </c>
      <c r="P61" s="2" t="s">
        <v>118</v>
      </c>
      <c r="Q61" s="2" t="s">
        <v>455</v>
      </c>
      <c r="R61" s="2" t="s">
        <v>919</v>
      </c>
      <c r="T61" s="2" t="s">
        <v>455</v>
      </c>
      <c r="U61" s="2" t="s">
        <v>296</v>
      </c>
      <c r="V61" s="2" t="s">
        <v>305</v>
      </c>
      <c r="X61" s="2" t="s">
        <v>456</v>
      </c>
      <c r="Y61" s="2" t="s">
        <v>457</v>
      </c>
      <c r="Z61" s="2" t="s">
        <v>458</v>
      </c>
    </row>
    <row r="62" spans="1:27">
      <c r="A62" s="12">
        <v>44969.86569416667</v>
      </c>
      <c r="B62" s="2" t="s">
        <v>452</v>
      </c>
      <c r="C62" s="2" t="s">
        <v>453</v>
      </c>
      <c r="D62" s="2" t="s">
        <v>452</v>
      </c>
      <c r="E62" s="2" t="s">
        <v>454</v>
      </c>
      <c r="F62" s="2" t="s">
        <v>920</v>
      </c>
      <c r="H62" s="2" t="s">
        <v>139</v>
      </c>
      <c r="J62" s="2" t="s">
        <v>117</v>
      </c>
      <c r="L62" s="2" t="s">
        <v>921</v>
      </c>
      <c r="N62" s="2" t="s">
        <v>922</v>
      </c>
      <c r="P62" s="2" t="s">
        <v>117</v>
      </c>
      <c r="Q62" s="2" t="s">
        <v>455</v>
      </c>
      <c r="R62" s="2" t="s">
        <v>923</v>
      </c>
      <c r="S62" s="2" t="s">
        <v>232</v>
      </c>
      <c r="T62" s="2" t="s">
        <v>455</v>
      </c>
      <c r="U62" s="2" t="s">
        <v>924</v>
      </c>
      <c r="V62" s="2" t="s">
        <v>303</v>
      </c>
      <c r="W62" s="2" t="s">
        <v>389</v>
      </c>
      <c r="X62" s="2" t="s">
        <v>459</v>
      </c>
      <c r="Y62" s="2" t="s">
        <v>457</v>
      </c>
      <c r="Z62" s="2" t="s">
        <v>458</v>
      </c>
    </row>
    <row r="63" spans="1:27">
      <c r="A63" s="12">
        <v>44969.867257465274</v>
      </c>
      <c r="B63" s="2" t="s">
        <v>452</v>
      </c>
      <c r="C63" s="2" t="s">
        <v>453</v>
      </c>
      <c r="D63" s="2" t="s">
        <v>452</v>
      </c>
      <c r="E63" s="2" t="s">
        <v>454</v>
      </c>
      <c r="F63" s="2" t="s">
        <v>925</v>
      </c>
      <c r="H63" s="2" t="s">
        <v>107</v>
      </c>
      <c r="J63" s="2" t="s">
        <v>117</v>
      </c>
      <c r="L63" s="2" t="s">
        <v>926</v>
      </c>
      <c r="N63" s="2" t="s">
        <v>107</v>
      </c>
      <c r="P63" s="2" t="s">
        <v>117</v>
      </c>
      <c r="Q63" s="2" t="s">
        <v>455</v>
      </c>
      <c r="R63" s="2" t="s">
        <v>927</v>
      </c>
      <c r="T63" s="2" t="s">
        <v>455</v>
      </c>
      <c r="U63" s="2" t="s">
        <v>304</v>
      </c>
      <c r="V63" s="2" t="s">
        <v>305</v>
      </c>
      <c r="X63" s="2" t="s">
        <v>462</v>
      </c>
      <c r="Y63" s="2" t="s">
        <v>457</v>
      </c>
      <c r="Z63" s="2" t="s">
        <v>458</v>
      </c>
    </row>
    <row r="64" spans="1:27">
      <c r="A64" s="12">
        <v>44969.870282615739</v>
      </c>
      <c r="B64" s="2" t="s">
        <v>452</v>
      </c>
      <c r="C64" s="2" t="s">
        <v>453</v>
      </c>
      <c r="D64" s="2" t="s">
        <v>452</v>
      </c>
      <c r="E64" s="2" t="s">
        <v>454</v>
      </c>
      <c r="F64" s="2" t="s">
        <v>0</v>
      </c>
      <c r="G64" s="2" t="s">
        <v>928</v>
      </c>
      <c r="H64" s="2" t="s">
        <v>139</v>
      </c>
      <c r="J64" s="2" t="s">
        <v>117</v>
      </c>
      <c r="L64" s="2" t="s">
        <v>124</v>
      </c>
      <c r="N64" s="2" t="s">
        <v>106</v>
      </c>
      <c r="P64" s="2" t="s">
        <v>117</v>
      </c>
      <c r="Q64" s="2" t="s">
        <v>455</v>
      </c>
      <c r="R64" s="2" t="s">
        <v>929</v>
      </c>
      <c r="S64" s="2" t="s">
        <v>218</v>
      </c>
      <c r="T64" s="2" t="s">
        <v>472</v>
      </c>
      <c r="X64" s="2" t="s">
        <v>474</v>
      </c>
      <c r="Y64" s="2" t="s">
        <v>457</v>
      </c>
      <c r="Z64" s="2" t="s">
        <v>458</v>
      </c>
      <c r="AA64" s="2" t="s">
        <v>500</v>
      </c>
    </row>
    <row r="65" spans="1:26">
      <c r="A65" s="12">
        <v>44969.870817337964</v>
      </c>
      <c r="B65" s="2" t="s">
        <v>452</v>
      </c>
      <c r="C65" s="2" t="s">
        <v>453</v>
      </c>
      <c r="D65" s="2" t="s">
        <v>452</v>
      </c>
      <c r="E65" s="2" t="s">
        <v>454</v>
      </c>
      <c r="F65" s="2" t="s">
        <v>930</v>
      </c>
      <c r="H65" s="2" t="s">
        <v>931</v>
      </c>
      <c r="J65" s="2" t="s">
        <v>117</v>
      </c>
      <c r="L65" s="2" t="s">
        <v>932</v>
      </c>
      <c r="N65" s="2" t="s">
        <v>106</v>
      </c>
      <c r="P65" s="2" t="s">
        <v>117</v>
      </c>
      <c r="Q65" s="2" t="s">
        <v>455</v>
      </c>
      <c r="R65" s="2" t="s">
        <v>182</v>
      </c>
      <c r="T65" s="2" t="s">
        <v>455</v>
      </c>
      <c r="U65" s="2" t="s">
        <v>304</v>
      </c>
      <c r="V65" s="2" t="s">
        <v>305</v>
      </c>
      <c r="X65" s="2" t="s">
        <v>479</v>
      </c>
      <c r="Y65" s="2" t="s">
        <v>457</v>
      </c>
      <c r="Z65" s="2" t="s">
        <v>458</v>
      </c>
    </row>
    <row r="66" spans="1:26">
      <c r="A66" s="12">
        <v>44969.875296643513</v>
      </c>
      <c r="B66" s="2" t="s">
        <v>452</v>
      </c>
      <c r="C66" s="2" t="s">
        <v>453</v>
      </c>
      <c r="D66" s="2" t="s">
        <v>452</v>
      </c>
      <c r="E66" s="2" t="s">
        <v>454</v>
      </c>
      <c r="F66" s="2" t="s">
        <v>933</v>
      </c>
      <c r="H66" s="2" t="s">
        <v>934</v>
      </c>
      <c r="J66" s="2" t="s">
        <v>935</v>
      </c>
      <c r="L66" s="2" t="s">
        <v>936</v>
      </c>
      <c r="N66" s="2" t="s">
        <v>937</v>
      </c>
      <c r="P66" s="2" t="s">
        <v>938</v>
      </c>
      <c r="Q66" s="2" t="s">
        <v>455</v>
      </c>
      <c r="R66" s="2" t="s">
        <v>939</v>
      </c>
      <c r="T66" s="2" t="s">
        <v>455</v>
      </c>
      <c r="U66" s="2" t="s">
        <v>303</v>
      </c>
      <c r="V66" s="2" t="s">
        <v>305</v>
      </c>
      <c r="W66" s="2" t="s">
        <v>332</v>
      </c>
      <c r="X66" s="2" t="s">
        <v>464</v>
      </c>
      <c r="Y66" s="2" t="s">
        <v>457</v>
      </c>
      <c r="Z66" s="2" t="s">
        <v>458</v>
      </c>
    </row>
    <row r="67" spans="1:26">
      <c r="A67" s="12">
        <v>44969.877128958338</v>
      </c>
      <c r="B67" s="2" t="s">
        <v>452</v>
      </c>
      <c r="C67" s="2" t="s">
        <v>453</v>
      </c>
      <c r="D67" s="2" t="s">
        <v>452</v>
      </c>
      <c r="E67" s="2" t="s">
        <v>454</v>
      </c>
      <c r="F67" s="2" t="s">
        <v>940</v>
      </c>
      <c r="H67" s="2" t="s">
        <v>139</v>
      </c>
      <c r="J67" s="2" t="s">
        <v>117</v>
      </c>
      <c r="L67" s="2" t="s">
        <v>941</v>
      </c>
      <c r="N67" s="2" t="s">
        <v>106</v>
      </c>
      <c r="P67" s="2" t="s">
        <v>117</v>
      </c>
      <c r="Q67" s="2" t="s">
        <v>455</v>
      </c>
      <c r="R67" s="2" t="s">
        <v>185</v>
      </c>
      <c r="T67" s="2" t="s">
        <v>472</v>
      </c>
      <c r="X67" s="2" t="s">
        <v>501</v>
      </c>
      <c r="Y67" s="2" t="s">
        <v>457</v>
      </c>
      <c r="Z67" s="2" t="s">
        <v>458</v>
      </c>
    </row>
    <row r="68" spans="1:26">
      <c r="A68" s="12">
        <v>44969.87900494213</v>
      </c>
      <c r="B68" s="2" t="s">
        <v>452</v>
      </c>
      <c r="C68" s="2" t="s">
        <v>453</v>
      </c>
      <c r="D68" s="2" t="s">
        <v>452</v>
      </c>
      <c r="E68" s="2" t="s">
        <v>454</v>
      </c>
      <c r="F68" s="2" t="s">
        <v>942</v>
      </c>
      <c r="G68" s="2" t="s">
        <v>943</v>
      </c>
      <c r="H68" s="2" t="s">
        <v>883</v>
      </c>
      <c r="J68" s="2" t="s">
        <v>117</v>
      </c>
      <c r="L68" s="2" t="s">
        <v>944</v>
      </c>
      <c r="N68" s="2" t="s">
        <v>945</v>
      </c>
      <c r="P68" s="2" t="s">
        <v>838</v>
      </c>
      <c r="Q68" s="2" t="s">
        <v>455</v>
      </c>
      <c r="R68" s="2" t="s">
        <v>946</v>
      </c>
      <c r="T68" s="2" t="s">
        <v>455</v>
      </c>
      <c r="U68" s="2" t="s">
        <v>947</v>
      </c>
      <c r="V68" s="2" t="s">
        <v>305</v>
      </c>
      <c r="W68" s="2" t="s">
        <v>384</v>
      </c>
      <c r="X68" s="2" t="s">
        <v>464</v>
      </c>
      <c r="Y68" s="2" t="s">
        <v>457</v>
      </c>
      <c r="Z68" s="2" t="s">
        <v>458</v>
      </c>
    </row>
    <row r="69" spans="1:26">
      <c r="A69" s="12">
        <v>44969.886398298608</v>
      </c>
      <c r="B69" s="2" t="s">
        <v>452</v>
      </c>
      <c r="C69" s="2" t="s">
        <v>453</v>
      </c>
      <c r="D69" s="2" t="s">
        <v>452</v>
      </c>
      <c r="E69" s="2" t="s">
        <v>454</v>
      </c>
      <c r="F69" s="2" t="s">
        <v>948</v>
      </c>
      <c r="H69" s="2" t="s">
        <v>139</v>
      </c>
      <c r="J69" s="2" t="s">
        <v>949</v>
      </c>
      <c r="L69" s="2" t="s">
        <v>950</v>
      </c>
      <c r="N69" s="2" t="s">
        <v>107</v>
      </c>
      <c r="P69" s="2" t="s">
        <v>838</v>
      </c>
      <c r="Q69" s="2" t="s">
        <v>455</v>
      </c>
      <c r="R69" s="2" t="s">
        <v>951</v>
      </c>
      <c r="T69" s="2" t="s">
        <v>455</v>
      </c>
      <c r="U69" s="2" t="s">
        <v>295</v>
      </c>
      <c r="V69" s="2" t="s">
        <v>295</v>
      </c>
      <c r="X69" s="2" t="s">
        <v>459</v>
      </c>
      <c r="Y69" s="2" t="s">
        <v>457</v>
      </c>
      <c r="Z69" s="2" t="s">
        <v>458</v>
      </c>
    </row>
    <row r="70" spans="1:26">
      <c r="A70" s="12">
        <v>44969.887637858796</v>
      </c>
      <c r="B70" s="2" t="s">
        <v>452</v>
      </c>
      <c r="C70" s="2" t="s">
        <v>453</v>
      </c>
      <c r="D70" s="2" t="s">
        <v>452</v>
      </c>
      <c r="E70" s="2" t="s">
        <v>454</v>
      </c>
      <c r="F70" s="2" t="s">
        <v>12</v>
      </c>
      <c r="H70" s="2" t="s">
        <v>139</v>
      </c>
      <c r="J70" s="2" t="s">
        <v>107</v>
      </c>
      <c r="L70" s="2" t="s">
        <v>169</v>
      </c>
      <c r="N70" s="2" t="s">
        <v>107</v>
      </c>
      <c r="P70" s="2" t="s">
        <v>122</v>
      </c>
      <c r="Q70" s="2" t="s">
        <v>455</v>
      </c>
      <c r="R70" s="2" t="s">
        <v>180</v>
      </c>
      <c r="T70" s="2" t="s">
        <v>455</v>
      </c>
      <c r="U70" s="2" t="s">
        <v>304</v>
      </c>
      <c r="V70" s="2" t="s">
        <v>305</v>
      </c>
      <c r="X70" s="2" t="s">
        <v>475</v>
      </c>
      <c r="Y70" s="2" t="s">
        <v>457</v>
      </c>
      <c r="Z70" s="2" t="s">
        <v>458</v>
      </c>
    </row>
    <row r="71" spans="1:26">
      <c r="A71" s="12">
        <v>44969.894563055554</v>
      </c>
      <c r="B71" s="2" t="s">
        <v>452</v>
      </c>
      <c r="C71" s="2" t="s">
        <v>453</v>
      </c>
      <c r="D71" s="2" t="s">
        <v>452</v>
      </c>
      <c r="E71" s="2" t="s">
        <v>454</v>
      </c>
      <c r="F71" s="2" t="s">
        <v>27</v>
      </c>
      <c r="H71" s="2" t="s">
        <v>139</v>
      </c>
      <c r="J71" s="2" t="s">
        <v>153</v>
      </c>
      <c r="L71" s="2" t="s">
        <v>167</v>
      </c>
      <c r="N71" s="2" t="s">
        <v>105</v>
      </c>
      <c r="P71" s="2" t="s">
        <v>124</v>
      </c>
      <c r="Q71" s="2" t="s">
        <v>455</v>
      </c>
      <c r="R71" s="2" t="s">
        <v>180</v>
      </c>
      <c r="T71" s="2" t="s">
        <v>455</v>
      </c>
      <c r="U71" s="2" t="s">
        <v>952</v>
      </c>
      <c r="V71" s="2" t="s">
        <v>305</v>
      </c>
      <c r="X71" s="2" t="s">
        <v>456</v>
      </c>
      <c r="Y71" s="2" t="s">
        <v>457</v>
      </c>
      <c r="Z71" s="2" t="s">
        <v>458</v>
      </c>
    </row>
    <row r="72" spans="1:26">
      <c r="A72" s="12">
        <v>44969.898669178241</v>
      </c>
      <c r="B72" s="2" t="s">
        <v>452</v>
      </c>
      <c r="C72" s="2" t="s">
        <v>453</v>
      </c>
      <c r="D72" s="2" t="s">
        <v>452</v>
      </c>
      <c r="E72" s="2" t="s">
        <v>454</v>
      </c>
      <c r="F72" s="2" t="s">
        <v>953</v>
      </c>
      <c r="H72" s="2" t="s">
        <v>139</v>
      </c>
      <c r="J72" s="2" t="s">
        <v>154</v>
      </c>
      <c r="L72" s="2" t="s">
        <v>954</v>
      </c>
      <c r="N72" s="2" t="s">
        <v>955</v>
      </c>
      <c r="P72" s="2" t="s">
        <v>119</v>
      </c>
      <c r="Q72" s="2" t="s">
        <v>455</v>
      </c>
      <c r="R72" s="2" t="s">
        <v>956</v>
      </c>
      <c r="T72" s="2" t="s">
        <v>455</v>
      </c>
      <c r="U72" s="2" t="s">
        <v>304</v>
      </c>
      <c r="V72" s="2" t="s">
        <v>305</v>
      </c>
      <c r="X72" s="2" t="s">
        <v>456</v>
      </c>
      <c r="Y72" s="2" t="s">
        <v>457</v>
      </c>
      <c r="Z72" s="2" t="s">
        <v>458</v>
      </c>
    </row>
    <row r="73" spans="1:26">
      <c r="A73" s="12">
        <v>44969.899374432869</v>
      </c>
      <c r="B73" s="2" t="s">
        <v>452</v>
      </c>
      <c r="C73" s="2" t="s">
        <v>453</v>
      </c>
      <c r="D73" s="2" t="s">
        <v>452</v>
      </c>
      <c r="E73" s="2" t="s">
        <v>454</v>
      </c>
      <c r="F73" s="2" t="s">
        <v>957</v>
      </c>
      <c r="H73" s="2" t="s">
        <v>958</v>
      </c>
      <c r="I73" s="2" t="s">
        <v>144</v>
      </c>
      <c r="J73" s="2" t="s">
        <v>959</v>
      </c>
      <c r="L73" s="2" t="s">
        <v>960</v>
      </c>
      <c r="M73" s="2" t="s">
        <v>70</v>
      </c>
      <c r="N73" s="2" t="s">
        <v>945</v>
      </c>
      <c r="O73" s="2" t="s">
        <v>503</v>
      </c>
      <c r="P73" s="2" t="s">
        <v>773</v>
      </c>
      <c r="Q73" s="2" t="s">
        <v>455</v>
      </c>
      <c r="R73" s="2" t="s">
        <v>961</v>
      </c>
      <c r="T73" s="2" t="s">
        <v>455</v>
      </c>
      <c r="U73" s="2" t="s">
        <v>296</v>
      </c>
      <c r="V73" s="2" t="s">
        <v>305</v>
      </c>
      <c r="W73" s="2" t="s">
        <v>357</v>
      </c>
      <c r="X73" s="2" t="s">
        <v>462</v>
      </c>
      <c r="Y73" s="2" t="s">
        <v>457</v>
      </c>
      <c r="Z73" s="2" t="s">
        <v>458</v>
      </c>
    </row>
    <row r="74" spans="1:26">
      <c r="A74" s="12">
        <v>44969.900704930551</v>
      </c>
      <c r="B74" s="2" t="s">
        <v>452</v>
      </c>
      <c r="C74" s="2" t="s">
        <v>453</v>
      </c>
      <c r="D74" s="2" t="s">
        <v>452</v>
      </c>
      <c r="E74" s="2" t="s">
        <v>454</v>
      </c>
      <c r="F74" s="2" t="s">
        <v>962</v>
      </c>
      <c r="H74" s="2" t="s">
        <v>963</v>
      </c>
      <c r="J74" s="2" t="s">
        <v>117</v>
      </c>
      <c r="L74" s="2" t="s">
        <v>964</v>
      </c>
      <c r="N74" s="2" t="s">
        <v>965</v>
      </c>
      <c r="P74" s="2" t="s">
        <v>117</v>
      </c>
      <c r="Q74" s="2" t="s">
        <v>455</v>
      </c>
      <c r="T74" s="2" t="s">
        <v>455</v>
      </c>
      <c r="U74" s="2" t="s">
        <v>304</v>
      </c>
      <c r="V74" s="2" t="s">
        <v>305</v>
      </c>
      <c r="X74" s="2" t="s">
        <v>459</v>
      </c>
      <c r="Y74" s="2" t="s">
        <v>457</v>
      </c>
      <c r="Z74" s="2" t="s">
        <v>458</v>
      </c>
    </row>
    <row r="75" spans="1:26">
      <c r="A75" s="12">
        <v>44969.901322071761</v>
      </c>
      <c r="B75" s="2" t="s">
        <v>452</v>
      </c>
      <c r="C75" s="2" t="s">
        <v>453</v>
      </c>
      <c r="D75" s="2" t="s">
        <v>452</v>
      </c>
      <c r="E75" s="2" t="s">
        <v>454</v>
      </c>
      <c r="F75" s="2" t="s">
        <v>966</v>
      </c>
      <c r="G75" s="2" t="s">
        <v>967</v>
      </c>
      <c r="H75" s="2" t="s">
        <v>139</v>
      </c>
      <c r="J75" s="2" t="s">
        <v>153</v>
      </c>
      <c r="K75" s="2" t="s">
        <v>505</v>
      </c>
      <c r="L75" s="2" t="s">
        <v>968</v>
      </c>
      <c r="N75" s="2" t="s">
        <v>969</v>
      </c>
      <c r="O75" s="2" t="s">
        <v>115</v>
      </c>
      <c r="P75" s="2" t="s">
        <v>118</v>
      </c>
      <c r="Q75" s="2" t="s">
        <v>455</v>
      </c>
      <c r="R75" s="2" t="s">
        <v>970</v>
      </c>
      <c r="S75" s="2" t="s">
        <v>206</v>
      </c>
      <c r="T75" s="2" t="s">
        <v>455</v>
      </c>
      <c r="U75" s="2" t="s">
        <v>971</v>
      </c>
      <c r="V75" s="2" t="s">
        <v>305</v>
      </c>
      <c r="W75" s="2" t="s">
        <v>385</v>
      </c>
      <c r="X75" s="2" t="s">
        <v>479</v>
      </c>
      <c r="Y75" s="2" t="s">
        <v>457</v>
      </c>
      <c r="Z75" s="2" t="s">
        <v>458</v>
      </c>
    </row>
    <row r="76" spans="1:26">
      <c r="A76" s="12">
        <v>44969.902307349534</v>
      </c>
      <c r="B76" s="2" t="s">
        <v>452</v>
      </c>
      <c r="C76" s="2" t="s">
        <v>453</v>
      </c>
      <c r="D76" s="2" t="s">
        <v>452</v>
      </c>
      <c r="E76" s="2" t="s">
        <v>454</v>
      </c>
      <c r="F76" s="2" t="s">
        <v>0</v>
      </c>
      <c r="H76" s="2" t="s">
        <v>972</v>
      </c>
      <c r="J76" s="2" t="s">
        <v>117</v>
      </c>
      <c r="L76" s="2" t="s">
        <v>973</v>
      </c>
      <c r="N76" s="2" t="s">
        <v>974</v>
      </c>
      <c r="P76" s="2" t="s">
        <v>117</v>
      </c>
      <c r="Q76" s="2" t="s">
        <v>455</v>
      </c>
      <c r="R76" s="2" t="s">
        <v>975</v>
      </c>
      <c r="T76" s="2" t="s">
        <v>455</v>
      </c>
      <c r="U76" s="2" t="s">
        <v>976</v>
      </c>
      <c r="V76" s="2" t="s">
        <v>303</v>
      </c>
      <c r="X76" s="2" t="s">
        <v>464</v>
      </c>
      <c r="Y76" s="2" t="s">
        <v>457</v>
      </c>
      <c r="Z76" s="2" t="s">
        <v>458</v>
      </c>
    </row>
    <row r="77" spans="1:26">
      <c r="A77" s="12">
        <v>44969.910014583336</v>
      </c>
      <c r="B77" s="2" t="s">
        <v>452</v>
      </c>
      <c r="C77" s="2" t="s">
        <v>453</v>
      </c>
      <c r="D77" s="2" t="s">
        <v>452</v>
      </c>
      <c r="E77" s="2" t="s">
        <v>454</v>
      </c>
      <c r="F77" s="2" t="s">
        <v>977</v>
      </c>
      <c r="H77" s="2" t="s">
        <v>139</v>
      </c>
      <c r="J77" s="2" t="s">
        <v>117</v>
      </c>
      <c r="L77" s="2" t="s">
        <v>978</v>
      </c>
      <c r="Q77" s="2" t="s">
        <v>455</v>
      </c>
      <c r="R77" s="2" t="s">
        <v>979</v>
      </c>
      <c r="T77" s="2" t="s">
        <v>455</v>
      </c>
      <c r="U77" s="2" t="s">
        <v>295</v>
      </c>
      <c r="V77" s="2" t="s">
        <v>305</v>
      </c>
      <c r="X77" s="2" t="s">
        <v>464</v>
      </c>
      <c r="Y77" s="2" t="s">
        <v>457</v>
      </c>
      <c r="Z77" s="2" t="s">
        <v>458</v>
      </c>
    </row>
    <row r="78" spans="1:26">
      <c r="A78" s="12">
        <v>44969.915235590277</v>
      </c>
      <c r="B78" s="2" t="s">
        <v>452</v>
      </c>
      <c r="C78" s="2" t="s">
        <v>453</v>
      </c>
      <c r="D78" s="2" t="s">
        <v>452</v>
      </c>
      <c r="E78" s="2" t="s">
        <v>454</v>
      </c>
      <c r="F78" s="2" t="s">
        <v>849</v>
      </c>
      <c r="H78" s="2" t="s">
        <v>883</v>
      </c>
      <c r="J78" s="2" t="s">
        <v>117</v>
      </c>
      <c r="L78" s="2" t="s">
        <v>980</v>
      </c>
      <c r="N78" s="2" t="s">
        <v>105</v>
      </c>
      <c r="P78" s="2" t="s">
        <v>117</v>
      </c>
      <c r="Q78" s="2" t="s">
        <v>455</v>
      </c>
      <c r="R78" s="2" t="s">
        <v>981</v>
      </c>
      <c r="T78" s="2" t="s">
        <v>455</v>
      </c>
      <c r="U78" s="2" t="s">
        <v>982</v>
      </c>
      <c r="V78" s="2" t="s">
        <v>305</v>
      </c>
      <c r="X78" s="2" t="s">
        <v>456</v>
      </c>
      <c r="Y78" s="2" t="s">
        <v>457</v>
      </c>
      <c r="Z78" s="2" t="s">
        <v>458</v>
      </c>
    </row>
    <row r="79" spans="1:26">
      <c r="A79" s="12">
        <v>44969.917117268516</v>
      </c>
      <c r="B79" s="2" t="s">
        <v>452</v>
      </c>
      <c r="C79" s="2" t="s">
        <v>453</v>
      </c>
      <c r="D79" s="2" t="s">
        <v>452</v>
      </c>
      <c r="E79" s="2" t="s">
        <v>454</v>
      </c>
      <c r="F79" s="2" t="s">
        <v>7</v>
      </c>
      <c r="H79" s="2" t="s">
        <v>958</v>
      </c>
      <c r="J79" s="2" t="s">
        <v>117</v>
      </c>
      <c r="L79" s="2" t="s">
        <v>983</v>
      </c>
      <c r="N79" s="2" t="s">
        <v>106</v>
      </c>
      <c r="P79" s="2" t="s">
        <v>117</v>
      </c>
      <c r="Q79" s="2" t="s">
        <v>455</v>
      </c>
      <c r="R79" s="2" t="s">
        <v>984</v>
      </c>
      <c r="T79" s="2" t="s">
        <v>455</v>
      </c>
      <c r="U79" s="2" t="s">
        <v>982</v>
      </c>
      <c r="V79" s="2" t="s">
        <v>305</v>
      </c>
      <c r="W79" s="2" t="s">
        <v>314</v>
      </c>
      <c r="X79" s="2" t="s">
        <v>462</v>
      </c>
      <c r="Y79" s="2" t="s">
        <v>457</v>
      </c>
      <c r="Z79" s="2" t="s">
        <v>458</v>
      </c>
    </row>
    <row r="80" spans="1:26">
      <c r="A80" s="12">
        <v>44969.925143958331</v>
      </c>
      <c r="B80" s="2" t="s">
        <v>452</v>
      </c>
      <c r="C80" s="2" t="s">
        <v>453</v>
      </c>
      <c r="D80" s="2" t="s">
        <v>452</v>
      </c>
      <c r="E80" s="2" t="s">
        <v>454</v>
      </c>
      <c r="F80" s="2" t="s">
        <v>985</v>
      </c>
      <c r="G80" s="2" t="s">
        <v>986</v>
      </c>
      <c r="H80" s="2" t="s">
        <v>987</v>
      </c>
      <c r="I80" s="2" t="s">
        <v>150</v>
      </c>
      <c r="J80" s="2" t="s">
        <v>988</v>
      </c>
      <c r="L80" s="2" t="s">
        <v>989</v>
      </c>
      <c r="M80" s="2" t="s">
        <v>68</v>
      </c>
      <c r="N80" s="2" t="s">
        <v>763</v>
      </c>
      <c r="P80" s="2" t="s">
        <v>990</v>
      </c>
      <c r="Q80" s="2" t="s">
        <v>455</v>
      </c>
      <c r="R80" s="2" t="s">
        <v>182</v>
      </c>
      <c r="S80" s="2" t="s">
        <v>246</v>
      </c>
      <c r="T80" s="2" t="s">
        <v>455</v>
      </c>
      <c r="U80" s="2" t="s">
        <v>304</v>
      </c>
      <c r="V80" s="2" t="s">
        <v>305</v>
      </c>
      <c r="X80" s="2" t="s">
        <v>456</v>
      </c>
      <c r="Y80" s="2" t="s">
        <v>457</v>
      </c>
      <c r="Z80" s="2" t="s">
        <v>458</v>
      </c>
    </row>
    <row r="81" spans="1:27">
      <c r="A81" s="12">
        <v>44969.92780315972</v>
      </c>
      <c r="B81" s="2" t="s">
        <v>452</v>
      </c>
      <c r="C81" s="2" t="s">
        <v>453</v>
      </c>
      <c r="D81" s="2" t="s">
        <v>452</v>
      </c>
      <c r="E81" s="2" t="s">
        <v>454</v>
      </c>
      <c r="F81" s="2" t="s">
        <v>991</v>
      </c>
      <c r="H81" s="2" t="s">
        <v>992</v>
      </c>
      <c r="J81" s="2" t="s">
        <v>993</v>
      </c>
      <c r="L81" s="2" t="s">
        <v>994</v>
      </c>
      <c r="N81" s="2" t="s">
        <v>106</v>
      </c>
      <c r="P81" s="2" t="s">
        <v>995</v>
      </c>
      <c r="Q81" s="2" t="s">
        <v>455</v>
      </c>
      <c r="R81" s="2" t="s">
        <v>190</v>
      </c>
      <c r="T81" s="2" t="s">
        <v>455</v>
      </c>
      <c r="U81" s="2" t="s">
        <v>304</v>
      </c>
      <c r="V81" s="2" t="s">
        <v>305</v>
      </c>
      <c r="X81" s="2" t="s">
        <v>475</v>
      </c>
      <c r="Y81" s="2" t="s">
        <v>457</v>
      </c>
      <c r="Z81" s="2" t="s">
        <v>458</v>
      </c>
    </row>
    <row r="82" spans="1:27">
      <c r="A82" s="12">
        <v>44969.930935543976</v>
      </c>
      <c r="B82" s="2" t="s">
        <v>452</v>
      </c>
      <c r="C82" s="2" t="s">
        <v>453</v>
      </c>
      <c r="D82" s="2" t="s">
        <v>452</v>
      </c>
      <c r="E82" s="2" t="s">
        <v>454</v>
      </c>
      <c r="F82" s="2" t="s">
        <v>996</v>
      </c>
      <c r="G82" s="2" t="s">
        <v>997</v>
      </c>
      <c r="H82" s="2" t="s">
        <v>883</v>
      </c>
      <c r="J82" s="2" t="s">
        <v>117</v>
      </c>
      <c r="L82" s="2" t="s">
        <v>998</v>
      </c>
      <c r="N82" s="2" t="s">
        <v>999</v>
      </c>
      <c r="P82" s="2" t="s">
        <v>117</v>
      </c>
      <c r="Q82" s="2" t="s">
        <v>455</v>
      </c>
      <c r="R82" s="2" t="s">
        <v>1000</v>
      </c>
      <c r="T82" s="2" t="s">
        <v>455</v>
      </c>
      <c r="U82" s="2" t="s">
        <v>1001</v>
      </c>
      <c r="V82" s="2" t="s">
        <v>305</v>
      </c>
      <c r="X82" s="2" t="s">
        <v>456</v>
      </c>
      <c r="Y82" s="2" t="s">
        <v>457</v>
      </c>
      <c r="Z82" s="2" t="s">
        <v>458</v>
      </c>
    </row>
    <row r="83" spans="1:27">
      <c r="A83" s="12">
        <v>44969.932688182875</v>
      </c>
      <c r="B83" s="2" t="s">
        <v>452</v>
      </c>
      <c r="C83" s="2" t="s">
        <v>453</v>
      </c>
      <c r="D83" s="2" t="s">
        <v>452</v>
      </c>
      <c r="E83" s="2" t="s">
        <v>454</v>
      </c>
      <c r="F83" s="2" t="s">
        <v>1002</v>
      </c>
      <c r="G83" s="2" t="s">
        <v>1003</v>
      </c>
      <c r="H83" s="2" t="s">
        <v>1004</v>
      </c>
      <c r="I83" s="2" t="s">
        <v>152</v>
      </c>
      <c r="J83" s="2" t="s">
        <v>1005</v>
      </c>
      <c r="L83" s="2" t="s">
        <v>1006</v>
      </c>
      <c r="M83" s="2" t="s">
        <v>99</v>
      </c>
      <c r="N83" s="2" t="s">
        <v>1007</v>
      </c>
      <c r="P83" s="2" t="s">
        <v>1008</v>
      </c>
      <c r="Q83" s="2" t="s">
        <v>455</v>
      </c>
      <c r="R83" s="2" t="s">
        <v>1009</v>
      </c>
      <c r="S83" s="2" t="s">
        <v>265</v>
      </c>
      <c r="T83" s="2" t="s">
        <v>455</v>
      </c>
      <c r="U83" s="2" t="s">
        <v>1010</v>
      </c>
      <c r="V83" s="2" t="s">
        <v>303</v>
      </c>
      <c r="W83" s="2" t="s">
        <v>378</v>
      </c>
      <c r="X83" s="2" t="s">
        <v>464</v>
      </c>
      <c r="Y83" s="2" t="s">
        <v>481</v>
      </c>
      <c r="Z83" s="2" t="s">
        <v>458</v>
      </c>
    </row>
    <row r="84" spans="1:27">
      <c r="A84" s="12">
        <v>44969.951020879627</v>
      </c>
      <c r="B84" s="2" t="s">
        <v>452</v>
      </c>
      <c r="C84" s="2" t="s">
        <v>453</v>
      </c>
      <c r="D84" s="2" t="s">
        <v>452</v>
      </c>
      <c r="E84" s="2" t="s">
        <v>454</v>
      </c>
      <c r="F84" s="2" t="s">
        <v>1011</v>
      </c>
      <c r="H84" s="2" t="s">
        <v>777</v>
      </c>
      <c r="J84" s="2" t="s">
        <v>884</v>
      </c>
      <c r="L84" s="2" t="s">
        <v>878</v>
      </c>
      <c r="N84" s="2" t="s">
        <v>106</v>
      </c>
      <c r="O84" s="2" t="s">
        <v>509</v>
      </c>
      <c r="P84" s="2" t="s">
        <v>676</v>
      </c>
      <c r="Q84" s="2" t="s">
        <v>455</v>
      </c>
      <c r="R84" s="2" t="s">
        <v>1012</v>
      </c>
      <c r="S84" s="2" t="s">
        <v>283</v>
      </c>
      <c r="T84" s="2" t="s">
        <v>455</v>
      </c>
      <c r="U84" s="2" t="s">
        <v>1013</v>
      </c>
      <c r="V84" s="2" t="s">
        <v>305</v>
      </c>
      <c r="X84" s="2" t="s">
        <v>462</v>
      </c>
      <c r="Y84" s="2" t="s">
        <v>457</v>
      </c>
      <c r="Z84" s="2" t="s">
        <v>458</v>
      </c>
      <c r="AA84" s="2" t="s">
        <v>510</v>
      </c>
    </row>
    <row r="85" spans="1:27">
      <c r="A85" s="12">
        <v>44969.957146377317</v>
      </c>
      <c r="B85" s="2" t="s">
        <v>452</v>
      </c>
      <c r="C85" s="2" t="s">
        <v>453</v>
      </c>
      <c r="D85" s="2" t="s">
        <v>452</v>
      </c>
      <c r="E85" s="2" t="s">
        <v>454</v>
      </c>
      <c r="F85" s="2" t="s">
        <v>1014</v>
      </c>
      <c r="H85" s="2" t="s">
        <v>1015</v>
      </c>
      <c r="J85" s="2" t="s">
        <v>117</v>
      </c>
      <c r="L85" s="2" t="s">
        <v>1016</v>
      </c>
      <c r="N85" s="2" t="s">
        <v>106</v>
      </c>
      <c r="P85" s="2" t="s">
        <v>117</v>
      </c>
      <c r="Q85" s="2" t="s">
        <v>455</v>
      </c>
      <c r="R85" s="2" t="s">
        <v>1017</v>
      </c>
      <c r="T85" s="2" t="s">
        <v>455</v>
      </c>
      <c r="U85" s="2" t="s">
        <v>1018</v>
      </c>
      <c r="V85" s="2" t="s">
        <v>305</v>
      </c>
      <c r="W85" s="2" t="s">
        <v>403</v>
      </c>
      <c r="X85" s="2" t="s">
        <v>462</v>
      </c>
      <c r="Y85" s="2" t="s">
        <v>457</v>
      </c>
      <c r="Z85" s="2" t="s">
        <v>458</v>
      </c>
    </row>
    <row r="86" spans="1:27">
      <c r="A86" s="12">
        <v>44969.961072094906</v>
      </c>
      <c r="B86" s="2" t="s">
        <v>452</v>
      </c>
      <c r="C86" s="2" t="s">
        <v>453</v>
      </c>
      <c r="D86" s="2" t="s">
        <v>452</v>
      </c>
      <c r="E86" s="2" t="s">
        <v>454</v>
      </c>
      <c r="F86" s="2" t="s">
        <v>1019</v>
      </c>
      <c r="H86" s="2" t="s">
        <v>834</v>
      </c>
      <c r="J86" s="2" t="s">
        <v>117</v>
      </c>
      <c r="L86" s="2" t="s">
        <v>1020</v>
      </c>
      <c r="N86" s="2" t="s">
        <v>105</v>
      </c>
      <c r="P86" s="2" t="s">
        <v>117</v>
      </c>
      <c r="Q86" s="2" t="s">
        <v>455</v>
      </c>
      <c r="R86" s="2" t="s">
        <v>1021</v>
      </c>
      <c r="T86" s="2" t="s">
        <v>455</v>
      </c>
      <c r="U86" s="2" t="s">
        <v>304</v>
      </c>
      <c r="V86" s="2" t="s">
        <v>305</v>
      </c>
      <c r="X86" s="2" t="s">
        <v>462</v>
      </c>
      <c r="Y86" s="2" t="s">
        <v>457</v>
      </c>
      <c r="Z86" s="2" t="s">
        <v>458</v>
      </c>
    </row>
    <row r="87" spans="1:27">
      <c r="A87" s="12">
        <v>44969.963466863424</v>
      </c>
      <c r="B87" s="2" t="s">
        <v>452</v>
      </c>
      <c r="C87" s="2" t="s">
        <v>453</v>
      </c>
      <c r="D87" s="2" t="s">
        <v>452</v>
      </c>
      <c r="E87" s="2" t="s">
        <v>454</v>
      </c>
      <c r="F87" s="2" t="s">
        <v>1022</v>
      </c>
      <c r="H87" s="2" t="s">
        <v>1023</v>
      </c>
      <c r="J87" s="2" t="s">
        <v>1024</v>
      </c>
      <c r="L87" s="2" t="s">
        <v>1025</v>
      </c>
      <c r="N87" s="2" t="s">
        <v>779</v>
      </c>
      <c r="P87" s="2" t="s">
        <v>119</v>
      </c>
      <c r="Q87" s="2" t="s">
        <v>455</v>
      </c>
      <c r="R87" s="2" t="s">
        <v>1026</v>
      </c>
      <c r="T87" s="2" t="s">
        <v>455</v>
      </c>
      <c r="U87" s="2" t="s">
        <v>299</v>
      </c>
      <c r="V87" s="2" t="s">
        <v>305</v>
      </c>
      <c r="X87" s="2" t="s">
        <v>459</v>
      </c>
      <c r="Y87" s="2" t="s">
        <v>457</v>
      </c>
      <c r="Z87" s="2" t="s">
        <v>458</v>
      </c>
    </row>
    <row r="88" spans="1:27">
      <c r="A88" s="12">
        <v>44969.963536030089</v>
      </c>
      <c r="B88" s="2" t="s">
        <v>452</v>
      </c>
      <c r="C88" s="2" t="s">
        <v>453</v>
      </c>
      <c r="D88" s="2" t="s">
        <v>452</v>
      </c>
      <c r="E88" s="2" t="s">
        <v>454</v>
      </c>
      <c r="F88" s="2" t="s">
        <v>1027</v>
      </c>
      <c r="H88" s="2" t="s">
        <v>789</v>
      </c>
      <c r="J88" s="2" t="s">
        <v>121</v>
      </c>
      <c r="L88" s="2" t="s">
        <v>836</v>
      </c>
      <c r="O88" s="2" t="s">
        <v>498</v>
      </c>
      <c r="P88" s="2" t="s">
        <v>117</v>
      </c>
      <c r="Q88" s="2" t="s">
        <v>455</v>
      </c>
      <c r="R88" s="2" t="s">
        <v>1028</v>
      </c>
      <c r="T88" s="2" t="s">
        <v>455</v>
      </c>
      <c r="U88" s="2" t="s">
        <v>304</v>
      </c>
      <c r="V88" s="2" t="s">
        <v>305</v>
      </c>
      <c r="X88" s="2" t="s">
        <v>462</v>
      </c>
      <c r="Y88" s="2" t="s">
        <v>457</v>
      </c>
      <c r="Z88" s="2" t="s">
        <v>458</v>
      </c>
    </row>
    <row r="89" spans="1:27">
      <c r="A89" s="12">
        <v>44969.963693703699</v>
      </c>
      <c r="B89" s="2" t="s">
        <v>452</v>
      </c>
      <c r="C89" s="2" t="s">
        <v>453</v>
      </c>
      <c r="D89" s="2" t="s">
        <v>452</v>
      </c>
      <c r="E89" s="2" t="s">
        <v>454</v>
      </c>
      <c r="F89" s="2" t="s">
        <v>1029</v>
      </c>
      <c r="G89" s="2" t="s">
        <v>1030</v>
      </c>
      <c r="H89" s="2" t="s">
        <v>883</v>
      </c>
      <c r="J89" s="2" t="s">
        <v>893</v>
      </c>
      <c r="L89" s="2" t="s">
        <v>1031</v>
      </c>
      <c r="M89" s="2" t="s">
        <v>59</v>
      </c>
      <c r="N89" s="2" t="s">
        <v>106</v>
      </c>
      <c r="P89" s="2" t="s">
        <v>118</v>
      </c>
      <c r="Q89" s="2" t="s">
        <v>455</v>
      </c>
      <c r="R89" s="2" t="s">
        <v>1032</v>
      </c>
      <c r="S89" s="2" t="s">
        <v>217</v>
      </c>
      <c r="T89" s="2" t="s">
        <v>455</v>
      </c>
      <c r="U89" s="2" t="s">
        <v>1033</v>
      </c>
      <c r="V89" s="2" t="s">
        <v>976</v>
      </c>
      <c r="W89" s="2" t="s">
        <v>342</v>
      </c>
      <c r="X89" s="2" t="s">
        <v>459</v>
      </c>
      <c r="Y89" s="2" t="s">
        <v>457</v>
      </c>
      <c r="Z89" s="2" t="s">
        <v>458</v>
      </c>
    </row>
    <row r="90" spans="1:27">
      <c r="A90" s="12">
        <v>44969.964323553242</v>
      </c>
      <c r="B90" s="2" t="s">
        <v>452</v>
      </c>
      <c r="C90" s="2" t="s">
        <v>453</v>
      </c>
      <c r="D90" s="2" t="s">
        <v>452</v>
      </c>
      <c r="E90" s="2" t="s">
        <v>454</v>
      </c>
      <c r="F90" s="2" t="s">
        <v>1034</v>
      </c>
      <c r="H90" s="2" t="s">
        <v>139</v>
      </c>
      <c r="J90" s="2" t="s">
        <v>1035</v>
      </c>
      <c r="L90" s="2" t="s">
        <v>1036</v>
      </c>
      <c r="N90" s="2" t="s">
        <v>107</v>
      </c>
      <c r="P90" s="2" t="s">
        <v>123</v>
      </c>
      <c r="Q90" s="2" t="s">
        <v>455</v>
      </c>
      <c r="R90" s="2" t="s">
        <v>1037</v>
      </c>
      <c r="T90" s="2" t="s">
        <v>455</v>
      </c>
      <c r="U90" s="2" t="s">
        <v>304</v>
      </c>
      <c r="V90" s="2" t="s">
        <v>305</v>
      </c>
      <c r="X90" s="2" t="s">
        <v>462</v>
      </c>
      <c r="Y90" s="2" t="s">
        <v>457</v>
      </c>
      <c r="Z90" s="2" t="s">
        <v>458</v>
      </c>
    </row>
    <row r="91" spans="1:27">
      <c r="A91" s="12">
        <v>44969.972853784726</v>
      </c>
      <c r="B91" s="2" t="s">
        <v>452</v>
      </c>
      <c r="C91" s="2" t="s">
        <v>453</v>
      </c>
      <c r="D91" s="2" t="s">
        <v>452</v>
      </c>
      <c r="E91" s="2" t="s">
        <v>454</v>
      </c>
      <c r="F91" s="2" t="s">
        <v>1038</v>
      </c>
      <c r="H91" s="2" t="s">
        <v>1039</v>
      </c>
      <c r="J91" s="2" t="s">
        <v>884</v>
      </c>
      <c r="L91" s="2" t="s">
        <v>1040</v>
      </c>
      <c r="N91" s="2" t="s">
        <v>1041</v>
      </c>
      <c r="P91" s="2" t="s">
        <v>1042</v>
      </c>
      <c r="Q91" s="2" t="s">
        <v>455</v>
      </c>
      <c r="R91" s="2" t="s">
        <v>1043</v>
      </c>
      <c r="T91" s="2" t="s">
        <v>455</v>
      </c>
      <c r="U91" s="2" t="s">
        <v>304</v>
      </c>
      <c r="V91" s="2" t="s">
        <v>305</v>
      </c>
      <c r="X91" s="2" t="s">
        <v>464</v>
      </c>
      <c r="Y91" s="2" t="s">
        <v>457</v>
      </c>
      <c r="Z91" s="2" t="s">
        <v>458</v>
      </c>
    </row>
    <row r="92" spans="1:27">
      <c r="A92" s="12">
        <v>44969.973700416667</v>
      </c>
      <c r="B92" s="2" t="s">
        <v>452</v>
      </c>
      <c r="C92" s="2" t="s">
        <v>453</v>
      </c>
      <c r="D92" s="2" t="s">
        <v>452</v>
      </c>
      <c r="E92" s="2" t="s">
        <v>454</v>
      </c>
      <c r="F92" s="2" t="s">
        <v>1044</v>
      </c>
      <c r="H92" s="2" t="s">
        <v>1045</v>
      </c>
      <c r="J92" s="2" t="s">
        <v>117</v>
      </c>
      <c r="L92" s="2" t="s">
        <v>1046</v>
      </c>
      <c r="M92" s="2" t="s">
        <v>60</v>
      </c>
      <c r="N92" s="2" t="s">
        <v>767</v>
      </c>
      <c r="P92" s="2" t="s">
        <v>120</v>
      </c>
      <c r="Q92" s="2" t="s">
        <v>455</v>
      </c>
      <c r="R92" s="2" t="s">
        <v>1047</v>
      </c>
      <c r="T92" s="2" t="s">
        <v>455</v>
      </c>
      <c r="U92" s="2" t="s">
        <v>304</v>
      </c>
      <c r="V92" s="2" t="s">
        <v>305</v>
      </c>
      <c r="X92" s="2" t="s">
        <v>462</v>
      </c>
      <c r="Y92" s="2" t="s">
        <v>457</v>
      </c>
      <c r="Z92" s="2" t="s">
        <v>458</v>
      </c>
    </row>
    <row r="93" spans="1:27">
      <c r="A93" s="12">
        <v>44969.975878715282</v>
      </c>
      <c r="B93" s="2" t="s">
        <v>452</v>
      </c>
      <c r="C93" s="2" t="s">
        <v>453</v>
      </c>
      <c r="D93" s="2" t="s">
        <v>452</v>
      </c>
      <c r="E93" s="2" t="s">
        <v>454</v>
      </c>
      <c r="F93" s="2" t="s">
        <v>1048</v>
      </c>
      <c r="H93" s="2" t="s">
        <v>934</v>
      </c>
      <c r="J93" s="2" t="s">
        <v>1049</v>
      </c>
      <c r="L93" s="2" t="s">
        <v>1050</v>
      </c>
      <c r="N93" s="2" t="s">
        <v>675</v>
      </c>
      <c r="P93" s="2" t="s">
        <v>838</v>
      </c>
      <c r="Q93" s="2" t="s">
        <v>455</v>
      </c>
      <c r="R93" s="2" t="s">
        <v>1051</v>
      </c>
      <c r="S93" s="2" t="s">
        <v>251</v>
      </c>
      <c r="T93" s="2" t="s">
        <v>455</v>
      </c>
      <c r="U93" s="2" t="s">
        <v>303</v>
      </c>
      <c r="V93" s="2" t="s">
        <v>305</v>
      </c>
      <c r="X93" s="2" t="s">
        <v>474</v>
      </c>
      <c r="Y93" s="2" t="s">
        <v>457</v>
      </c>
      <c r="Z93" s="2" t="s">
        <v>458</v>
      </c>
    </row>
    <row r="94" spans="1:27">
      <c r="A94" s="12">
        <v>44969.978011921296</v>
      </c>
      <c r="B94" s="2" t="s">
        <v>452</v>
      </c>
      <c r="C94" s="2" t="s">
        <v>453</v>
      </c>
      <c r="D94" s="2" t="s">
        <v>452</v>
      </c>
      <c r="E94" s="2" t="s">
        <v>454</v>
      </c>
      <c r="F94" s="2" t="s">
        <v>1052</v>
      </c>
      <c r="H94" s="2" t="s">
        <v>139</v>
      </c>
      <c r="J94" s="2" t="s">
        <v>117</v>
      </c>
      <c r="L94" s="2" t="s">
        <v>1053</v>
      </c>
      <c r="N94" s="2" t="s">
        <v>111</v>
      </c>
      <c r="P94" s="2" t="s">
        <v>117</v>
      </c>
      <c r="Q94" s="2" t="s">
        <v>455</v>
      </c>
      <c r="R94" s="2" t="s">
        <v>1054</v>
      </c>
      <c r="T94" s="2" t="s">
        <v>455</v>
      </c>
      <c r="U94" s="2" t="s">
        <v>1055</v>
      </c>
      <c r="V94" s="2" t="s">
        <v>857</v>
      </c>
      <c r="W94" s="2" t="s">
        <v>390</v>
      </c>
      <c r="X94" s="2" t="s">
        <v>479</v>
      </c>
      <c r="Y94" s="2" t="s">
        <v>457</v>
      </c>
      <c r="Z94" s="2" t="s">
        <v>458</v>
      </c>
    </row>
    <row r="95" spans="1:27">
      <c r="A95" s="12">
        <v>44969.982010162035</v>
      </c>
      <c r="B95" s="2" t="s">
        <v>452</v>
      </c>
      <c r="C95" s="2" t="s">
        <v>453</v>
      </c>
      <c r="D95" s="2" t="s">
        <v>452</v>
      </c>
      <c r="E95" s="2" t="s">
        <v>454</v>
      </c>
      <c r="F95" s="2" t="s">
        <v>1056</v>
      </c>
      <c r="H95" s="2" t="s">
        <v>139</v>
      </c>
      <c r="J95" s="2" t="s">
        <v>117</v>
      </c>
      <c r="L95" s="2" t="s">
        <v>167</v>
      </c>
      <c r="N95" s="2" t="s">
        <v>105</v>
      </c>
      <c r="P95" s="2" t="s">
        <v>117</v>
      </c>
      <c r="Q95" s="2" t="s">
        <v>455</v>
      </c>
      <c r="R95" s="2" t="s">
        <v>1057</v>
      </c>
      <c r="T95" s="2" t="s">
        <v>455</v>
      </c>
      <c r="U95" s="2" t="s">
        <v>982</v>
      </c>
      <c r="V95" s="2" t="s">
        <v>305</v>
      </c>
      <c r="X95" s="2" t="s">
        <v>456</v>
      </c>
      <c r="Y95" s="2" t="s">
        <v>457</v>
      </c>
      <c r="Z95" s="2" t="s">
        <v>458</v>
      </c>
    </row>
    <row r="96" spans="1:27">
      <c r="A96" s="12">
        <v>44969.985656527773</v>
      </c>
      <c r="B96" s="2" t="s">
        <v>452</v>
      </c>
      <c r="C96" s="2" t="s">
        <v>453</v>
      </c>
      <c r="D96" s="2" t="s">
        <v>452</v>
      </c>
      <c r="E96" s="2" t="s">
        <v>454</v>
      </c>
      <c r="F96" s="2" t="s">
        <v>1058</v>
      </c>
      <c r="H96" s="2" t="s">
        <v>958</v>
      </c>
      <c r="J96" s="2" t="s">
        <v>117</v>
      </c>
      <c r="L96" s="2" t="s">
        <v>1059</v>
      </c>
      <c r="N96" s="2" t="s">
        <v>1060</v>
      </c>
      <c r="P96" s="2" t="s">
        <v>117</v>
      </c>
      <c r="Q96" s="2" t="s">
        <v>455</v>
      </c>
      <c r="R96" s="2" t="s">
        <v>190</v>
      </c>
      <c r="S96" s="2" t="s">
        <v>290</v>
      </c>
      <c r="T96" s="2" t="s">
        <v>455</v>
      </c>
      <c r="U96" s="2" t="s">
        <v>304</v>
      </c>
      <c r="V96" s="2" t="s">
        <v>305</v>
      </c>
      <c r="X96" s="2" t="s">
        <v>456</v>
      </c>
      <c r="Y96" s="2" t="s">
        <v>457</v>
      </c>
      <c r="Z96" s="2" t="s">
        <v>458</v>
      </c>
    </row>
    <row r="97" spans="1:27">
      <c r="A97" s="12">
        <v>44969.98691634259</v>
      </c>
      <c r="B97" s="2" t="s">
        <v>452</v>
      </c>
      <c r="C97" s="2" t="s">
        <v>453</v>
      </c>
      <c r="D97" s="2" t="s">
        <v>452</v>
      </c>
      <c r="E97" s="2" t="s">
        <v>454</v>
      </c>
      <c r="F97" s="2" t="s">
        <v>1061</v>
      </c>
      <c r="H97" s="2" t="s">
        <v>139</v>
      </c>
      <c r="J97" s="2" t="s">
        <v>1062</v>
      </c>
      <c r="L97" s="2" t="s">
        <v>169</v>
      </c>
      <c r="N97" s="2" t="s">
        <v>823</v>
      </c>
      <c r="P97" s="2" t="s">
        <v>1063</v>
      </c>
      <c r="Q97" s="2" t="s">
        <v>455</v>
      </c>
      <c r="R97" s="2" t="s">
        <v>1064</v>
      </c>
      <c r="T97" s="2" t="s">
        <v>455</v>
      </c>
      <c r="U97" s="2" t="s">
        <v>1065</v>
      </c>
      <c r="V97" s="2" t="s">
        <v>1066</v>
      </c>
      <c r="X97" s="2" t="s">
        <v>475</v>
      </c>
      <c r="Y97" s="2" t="s">
        <v>457</v>
      </c>
      <c r="Z97" s="2" t="s">
        <v>458</v>
      </c>
    </row>
    <row r="98" spans="1:27">
      <c r="A98" s="12">
        <v>44969.99978568287</v>
      </c>
      <c r="B98" s="2" t="s">
        <v>452</v>
      </c>
      <c r="C98" s="2" t="s">
        <v>453</v>
      </c>
      <c r="D98" s="2" t="s">
        <v>452</v>
      </c>
      <c r="E98" s="2" t="s">
        <v>454</v>
      </c>
      <c r="F98" s="2" t="s">
        <v>1067</v>
      </c>
      <c r="H98" s="2" t="s">
        <v>704</v>
      </c>
      <c r="J98" s="2" t="s">
        <v>117</v>
      </c>
      <c r="L98" s="2" t="s">
        <v>1068</v>
      </c>
      <c r="N98" s="2" t="s">
        <v>1069</v>
      </c>
      <c r="P98" s="2" t="s">
        <v>117</v>
      </c>
      <c r="Q98" s="2" t="s">
        <v>455</v>
      </c>
      <c r="R98" s="2" t="s">
        <v>1070</v>
      </c>
      <c r="T98" s="2" t="s">
        <v>455</v>
      </c>
      <c r="U98" s="2" t="s">
        <v>304</v>
      </c>
      <c r="V98" s="2" t="s">
        <v>305</v>
      </c>
      <c r="X98" s="2" t="s">
        <v>474</v>
      </c>
      <c r="Y98" s="2" t="s">
        <v>457</v>
      </c>
      <c r="Z98" s="2" t="s">
        <v>458</v>
      </c>
    </row>
    <row r="99" spans="1:27">
      <c r="A99" s="12">
        <v>44970.002397847224</v>
      </c>
      <c r="B99" s="2" t="s">
        <v>452</v>
      </c>
      <c r="C99" s="2" t="s">
        <v>453</v>
      </c>
      <c r="D99" s="2" t="s">
        <v>452</v>
      </c>
      <c r="E99" s="2" t="s">
        <v>454</v>
      </c>
      <c r="F99" s="2" t="s">
        <v>1071</v>
      </c>
      <c r="G99" s="2" t="s">
        <v>1072</v>
      </c>
      <c r="H99" s="2" t="s">
        <v>139</v>
      </c>
      <c r="J99" s="2" t="s">
        <v>1073</v>
      </c>
      <c r="L99" s="2" t="s">
        <v>1074</v>
      </c>
      <c r="N99" s="2" t="s">
        <v>106</v>
      </c>
      <c r="P99" s="2" t="s">
        <v>1075</v>
      </c>
      <c r="Q99" s="2" t="s">
        <v>455</v>
      </c>
      <c r="R99" s="2" t="s">
        <v>1076</v>
      </c>
      <c r="T99" s="2" t="s">
        <v>455</v>
      </c>
      <c r="U99" s="2" t="s">
        <v>296</v>
      </c>
      <c r="V99" s="2" t="s">
        <v>305</v>
      </c>
      <c r="W99" s="2" t="s">
        <v>329</v>
      </c>
      <c r="X99" s="2" t="s">
        <v>474</v>
      </c>
      <c r="Y99" s="2" t="s">
        <v>457</v>
      </c>
      <c r="Z99" s="2" t="s">
        <v>458</v>
      </c>
    </row>
    <row r="100" spans="1:27">
      <c r="A100" s="12">
        <v>44970.006776759255</v>
      </c>
      <c r="B100" s="2" t="s">
        <v>452</v>
      </c>
      <c r="C100" s="2" t="s">
        <v>453</v>
      </c>
      <c r="D100" s="2" t="s">
        <v>452</v>
      </c>
      <c r="E100" s="2" t="s">
        <v>454</v>
      </c>
      <c r="F100" s="2" t="s">
        <v>1077</v>
      </c>
      <c r="H100" s="2" t="s">
        <v>789</v>
      </c>
      <c r="J100" s="2" t="s">
        <v>1078</v>
      </c>
      <c r="L100" s="2" t="s">
        <v>1079</v>
      </c>
      <c r="N100" s="2" t="s">
        <v>105</v>
      </c>
      <c r="O100" s="2" t="s">
        <v>115</v>
      </c>
      <c r="P100" s="2" t="s">
        <v>120</v>
      </c>
      <c r="Q100" s="2" t="s">
        <v>455</v>
      </c>
      <c r="R100" s="2" t="s">
        <v>1080</v>
      </c>
      <c r="T100" s="2" t="s">
        <v>455</v>
      </c>
      <c r="U100" s="2" t="s">
        <v>295</v>
      </c>
      <c r="V100" s="2" t="s">
        <v>305</v>
      </c>
      <c r="X100" s="2" t="s">
        <v>462</v>
      </c>
      <c r="Y100" s="2" t="s">
        <v>457</v>
      </c>
      <c r="Z100" s="2" t="s">
        <v>458</v>
      </c>
    </row>
    <row r="101" spans="1:27">
      <c r="A101" s="12">
        <v>44970.01085914352</v>
      </c>
      <c r="B101" s="2" t="s">
        <v>452</v>
      </c>
      <c r="C101" s="2" t="s">
        <v>453</v>
      </c>
      <c r="D101" s="2" t="s">
        <v>452</v>
      </c>
      <c r="E101" s="2" t="s">
        <v>454</v>
      </c>
      <c r="F101" s="2" t="s">
        <v>1081</v>
      </c>
      <c r="G101" s="2" t="s">
        <v>1082</v>
      </c>
      <c r="H101" s="2" t="s">
        <v>1083</v>
      </c>
      <c r="J101" s="2" t="s">
        <v>1084</v>
      </c>
      <c r="L101" s="2" t="s">
        <v>1085</v>
      </c>
      <c r="N101" s="2" t="s">
        <v>1086</v>
      </c>
      <c r="P101" s="2" t="s">
        <v>1087</v>
      </c>
      <c r="Q101" s="2" t="s">
        <v>455</v>
      </c>
      <c r="R101" s="2" t="s">
        <v>1088</v>
      </c>
      <c r="T101" s="2" t="s">
        <v>455</v>
      </c>
      <c r="U101" s="2" t="s">
        <v>304</v>
      </c>
      <c r="V101" s="2" t="s">
        <v>305</v>
      </c>
      <c r="X101" s="2" t="s">
        <v>459</v>
      </c>
      <c r="Y101" s="2" t="s">
        <v>514</v>
      </c>
      <c r="Z101" s="2" t="s">
        <v>458</v>
      </c>
      <c r="AA101" s="2" t="s">
        <v>515</v>
      </c>
    </row>
    <row r="102" spans="1:27">
      <c r="A102" s="12">
        <v>44970.050860740739</v>
      </c>
      <c r="B102" s="2" t="s">
        <v>452</v>
      </c>
      <c r="C102" s="2" t="s">
        <v>453</v>
      </c>
      <c r="D102" s="2" t="s">
        <v>452</v>
      </c>
      <c r="E102" s="2" t="s">
        <v>454</v>
      </c>
      <c r="F102" s="2" t="s">
        <v>1089</v>
      </c>
      <c r="H102" s="2" t="s">
        <v>1090</v>
      </c>
      <c r="J102" s="2" t="s">
        <v>107</v>
      </c>
      <c r="L102" s="2" t="s">
        <v>1091</v>
      </c>
      <c r="N102" s="2" t="s">
        <v>1092</v>
      </c>
      <c r="O102" s="2" t="s">
        <v>516</v>
      </c>
      <c r="P102" s="2" t="s">
        <v>1093</v>
      </c>
      <c r="Q102" s="2" t="s">
        <v>455</v>
      </c>
      <c r="R102" s="2" t="s">
        <v>1094</v>
      </c>
      <c r="T102" s="2" t="s">
        <v>455</v>
      </c>
      <c r="U102" s="2" t="s">
        <v>1095</v>
      </c>
      <c r="V102" s="2" t="s">
        <v>305</v>
      </c>
      <c r="X102" s="2" t="s">
        <v>464</v>
      </c>
      <c r="Y102" s="2" t="s">
        <v>457</v>
      </c>
      <c r="Z102" s="2" t="s">
        <v>458</v>
      </c>
    </row>
    <row r="103" spans="1:27">
      <c r="A103" s="12">
        <v>44970.052522569444</v>
      </c>
      <c r="B103" s="2" t="s">
        <v>452</v>
      </c>
      <c r="C103" s="2" t="s">
        <v>453</v>
      </c>
      <c r="D103" s="2" t="s">
        <v>452</v>
      </c>
      <c r="E103" s="2" t="s">
        <v>454</v>
      </c>
      <c r="F103" s="2" t="s">
        <v>0</v>
      </c>
      <c r="H103" s="2" t="s">
        <v>139</v>
      </c>
      <c r="J103" s="2" t="s">
        <v>153</v>
      </c>
      <c r="L103" s="2" t="s">
        <v>1096</v>
      </c>
      <c r="O103" s="2" t="s">
        <v>517</v>
      </c>
      <c r="P103" s="2" t="s">
        <v>118</v>
      </c>
      <c r="Q103" s="2" t="s">
        <v>455</v>
      </c>
      <c r="R103" s="2" t="s">
        <v>1097</v>
      </c>
      <c r="T103" s="2" t="s">
        <v>455</v>
      </c>
      <c r="U103" s="2" t="s">
        <v>296</v>
      </c>
      <c r="V103" s="2" t="s">
        <v>305</v>
      </c>
      <c r="W103" s="2" t="s">
        <v>308</v>
      </c>
      <c r="X103" s="2" t="s">
        <v>459</v>
      </c>
      <c r="Y103" s="2" t="s">
        <v>457</v>
      </c>
      <c r="Z103" s="2" t="s">
        <v>458</v>
      </c>
    </row>
    <row r="104" spans="1:27">
      <c r="A104" s="12">
        <v>44970.066237025458</v>
      </c>
      <c r="B104" s="2" t="s">
        <v>452</v>
      </c>
      <c r="C104" s="2" t="s">
        <v>453</v>
      </c>
      <c r="D104" s="2" t="s">
        <v>452</v>
      </c>
      <c r="E104" s="2" t="s">
        <v>454</v>
      </c>
      <c r="F104" s="2" t="s">
        <v>1098</v>
      </c>
      <c r="G104" s="2" t="s">
        <v>1099</v>
      </c>
      <c r="H104" s="2" t="s">
        <v>1100</v>
      </c>
      <c r="J104" s="2" t="s">
        <v>117</v>
      </c>
      <c r="L104" s="2" t="s">
        <v>1101</v>
      </c>
      <c r="N104" s="2" t="s">
        <v>1069</v>
      </c>
      <c r="P104" s="2" t="s">
        <v>121</v>
      </c>
      <c r="Q104" s="2" t="s">
        <v>455</v>
      </c>
      <c r="R104" s="2" t="s">
        <v>1102</v>
      </c>
      <c r="T104" s="2" t="s">
        <v>455</v>
      </c>
      <c r="U104" s="2" t="s">
        <v>304</v>
      </c>
      <c r="V104" s="2" t="s">
        <v>305</v>
      </c>
      <c r="X104" s="2" t="s">
        <v>462</v>
      </c>
      <c r="Y104" s="2" t="s">
        <v>457</v>
      </c>
      <c r="Z104" s="2" t="s">
        <v>458</v>
      </c>
    </row>
    <row r="105" spans="1:27">
      <c r="A105" s="12">
        <v>44970.068009768518</v>
      </c>
      <c r="B105" s="2" t="s">
        <v>452</v>
      </c>
      <c r="C105" s="2" t="s">
        <v>453</v>
      </c>
      <c r="D105" s="2" t="s">
        <v>452</v>
      </c>
      <c r="E105" s="2" t="s">
        <v>454</v>
      </c>
      <c r="F105" s="2" t="s">
        <v>1103</v>
      </c>
      <c r="H105" s="2" t="s">
        <v>139</v>
      </c>
      <c r="J105" s="2" t="s">
        <v>1104</v>
      </c>
      <c r="L105" s="2" t="s">
        <v>658</v>
      </c>
      <c r="N105" s="2" t="s">
        <v>655</v>
      </c>
      <c r="P105" s="2" t="s">
        <v>906</v>
      </c>
      <c r="Q105" s="2" t="s">
        <v>455</v>
      </c>
      <c r="R105" s="2" t="s">
        <v>1105</v>
      </c>
      <c r="S105" s="2" t="s">
        <v>272</v>
      </c>
      <c r="T105" s="2" t="s">
        <v>455</v>
      </c>
      <c r="U105" s="2" t="s">
        <v>304</v>
      </c>
      <c r="W105" s="2" t="s">
        <v>339</v>
      </c>
      <c r="X105" s="2" t="s">
        <v>459</v>
      </c>
      <c r="Y105" s="2" t="s">
        <v>457</v>
      </c>
      <c r="Z105" s="2" t="s">
        <v>458</v>
      </c>
      <c r="AA105" s="2" t="s">
        <v>519</v>
      </c>
    </row>
    <row r="106" spans="1:27">
      <c r="A106" s="12">
        <v>44970.070299479165</v>
      </c>
      <c r="B106" s="2" t="s">
        <v>452</v>
      </c>
      <c r="C106" s="2" t="s">
        <v>453</v>
      </c>
      <c r="D106" s="2" t="s">
        <v>452</v>
      </c>
      <c r="E106" s="2" t="s">
        <v>454</v>
      </c>
      <c r="F106" s="2" t="s">
        <v>1106</v>
      </c>
      <c r="H106" s="2" t="s">
        <v>704</v>
      </c>
      <c r="J106" s="2" t="s">
        <v>117</v>
      </c>
      <c r="L106" s="2" t="s">
        <v>1107</v>
      </c>
      <c r="M106" s="2" t="s">
        <v>57</v>
      </c>
      <c r="N106" s="2" t="s">
        <v>105</v>
      </c>
      <c r="P106" s="2" t="s">
        <v>117</v>
      </c>
      <c r="Q106" s="2" t="s">
        <v>455</v>
      </c>
      <c r="R106" s="2" t="s">
        <v>1108</v>
      </c>
      <c r="T106" s="2" t="s">
        <v>455</v>
      </c>
      <c r="U106" s="2" t="s">
        <v>304</v>
      </c>
      <c r="V106" s="2" t="s">
        <v>305</v>
      </c>
      <c r="X106" s="2" t="s">
        <v>464</v>
      </c>
      <c r="Y106" s="2" t="s">
        <v>457</v>
      </c>
      <c r="Z106" s="2" t="s">
        <v>458</v>
      </c>
    </row>
    <row r="107" spans="1:27">
      <c r="A107" s="12">
        <v>44970.082027418983</v>
      </c>
      <c r="B107" s="2" t="s">
        <v>452</v>
      </c>
      <c r="C107" s="2" t="s">
        <v>453</v>
      </c>
      <c r="D107" s="2" t="s">
        <v>452</v>
      </c>
      <c r="E107" s="2" t="s">
        <v>454</v>
      </c>
      <c r="F107" s="2" t="s">
        <v>1109</v>
      </c>
      <c r="H107" s="2" t="s">
        <v>1110</v>
      </c>
      <c r="J107" s="2" t="s">
        <v>1111</v>
      </c>
      <c r="L107" s="2" t="s">
        <v>1112</v>
      </c>
      <c r="N107" s="2" t="s">
        <v>1113</v>
      </c>
      <c r="P107" s="2" t="s">
        <v>1114</v>
      </c>
      <c r="Q107" s="2" t="s">
        <v>455</v>
      </c>
      <c r="R107" s="2" t="s">
        <v>1115</v>
      </c>
      <c r="T107" s="2" t="s">
        <v>455</v>
      </c>
      <c r="U107" s="2" t="s">
        <v>857</v>
      </c>
      <c r="V107" s="2" t="s">
        <v>305</v>
      </c>
      <c r="W107" s="2" t="s">
        <v>416</v>
      </c>
      <c r="X107" s="2" t="s">
        <v>462</v>
      </c>
      <c r="Y107" s="2" t="s">
        <v>457</v>
      </c>
      <c r="Z107" s="2" t="s">
        <v>458</v>
      </c>
    </row>
    <row r="108" spans="1:27">
      <c r="A108" s="12">
        <v>44970.093123784725</v>
      </c>
      <c r="B108" s="2" t="s">
        <v>452</v>
      </c>
      <c r="C108" s="2" t="s">
        <v>453</v>
      </c>
      <c r="D108" s="2" t="s">
        <v>452</v>
      </c>
      <c r="E108" s="2" t="s">
        <v>454</v>
      </c>
      <c r="F108" s="2" t="s">
        <v>1116</v>
      </c>
      <c r="H108" s="2" t="s">
        <v>789</v>
      </c>
      <c r="J108" s="2" t="s">
        <v>117</v>
      </c>
      <c r="L108" s="2" t="s">
        <v>1117</v>
      </c>
      <c r="N108" s="2" t="s">
        <v>105</v>
      </c>
      <c r="P108" s="2" t="s">
        <v>117</v>
      </c>
      <c r="Q108" s="2" t="s">
        <v>455</v>
      </c>
      <c r="R108" s="2" t="s">
        <v>1118</v>
      </c>
      <c r="T108" s="2" t="s">
        <v>455</v>
      </c>
      <c r="U108" s="2" t="s">
        <v>296</v>
      </c>
      <c r="V108" s="2" t="s">
        <v>305</v>
      </c>
      <c r="X108" s="2" t="s">
        <v>462</v>
      </c>
      <c r="Y108" s="2" t="s">
        <v>457</v>
      </c>
      <c r="Z108" s="2" t="s">
        <v>458</v>
      </c>
    </row>
    <row r="109" spans="1:27">
      <c r="A109" s="12">
        <v>44970.124242962964</v>
      </c>
      <c r="B109" s="2" t="s">
        <v>452</v>
      </c>
      <c r="C109" s="2" t="s">
        <v>453</v>
      </c>
      <c r="D109" s="2" t="s">
        <v>452</v>
      </c>
      <c r="E109" s="2" t="s">
        <v>454</v>
      </c>
      <c r="F109" s="2" t="s">
        <v>1119</v>
      </c>
      <c r="H109" s="2" t="s">
        <v>1120</v>
      </c>
      <c r="J109" s="2" t="s">
        <v>117</v>
      </c>
      <c r="L109" s="2" t="s">
        <v>836</v>
      </c>
      <c r="N109" s="2" t="s">
        <v>106</v>
      </c>
      <c r="P109" s="2" t="s">
        <v>117</v>
      </c>
      <c r="Q109" s="2" t="s">
        <v>455</v>
      </c>
      <c r="R109" s="2" t="s">
        <v>1121</v>
      </c>
      <c r="T109" s="2" t="s">
        <v>472</v>
      </c>
      <c r="X109" s="2" t="s">
        <v>459</v>
      </c>
      <c r="Y109" s="2" t="s">
        <v>457</v>
      </c>
      <c r="Z109" s="2" t="s">
        <v>458</v>
      </c>
    </row>
    <row r="110" spans="1:27">
      <c r="A110" s="12">
        <v>44970.160314456021</v>
      </c>
      <c r="B110" s="2" t="s">
        <v>452</v>
      </c>
      <c r="C110" s="2" t="s">
        <v>453</v>
      </c>
      <c r="D110" s="2" t="s">
        <v>452</v>
      </c>
      <c r="E110" s="2" t="s">
        <v>454</v>
      </c>
      <c r="F110" s="2" t="s">
        <v>1122</v>
      </c>
      <c r="H110" s="2" t="s">
        <v>883</v>
      </c>
      <c r="J110" s="2" t="s">
        <v>117</v>
      </c>
      <c r="L110" s="2" t="s">
        <v>1123</v>
      </c>
      <c r="M110" s="2" t="s">
        <v>103</v>
      </c>
      <c r="O110" s="2" t="s">
        <v>103</v>
      </c>
      <c r="P110" s="2" t="s">
        <v>117</v>
      </c>
      <c r="Q110" s="2" t="s">
        <v>455</v>
      </c>
      <c r="R110" s="2" t="s">
        <v>1124</v>
      </c>
      <c r="T110" s="2" t="s">
        <v>455</v>
      </c>
      <c r="U110" s="2" t="s">
        <v>749</v>
      </c>
      <c r="V110" s="2" t="s">
        <v>305</v>
      </c>
      <c r="W110" s="2" t="s">
        <v>405</v>
      </c>
      <c r="X110" s="2" t="s">
        <v>464</v>
      </c>
      <c r="Y110" s="2" t="s">
        <v>457</v>
      </c>
      <c r="Z110" s="2" t="s">
        <v>458</v>
      </c>
    </row>
    <row r="111" spans="1:27">
      <c r="A111" s="12">
        <v>44970.206990393519</v>
      </c>
      <c r="B111" s="2" t="s">
        <v>452</v>
      </c>
      <c r="C111" s="2" t="s">
        <v>453</v>
      </c>
      <c r="D111" s="2" t="s">
        <v>452</v>
      </c>
      <c r="E111" s="2" t="s">
        <v>454</v>
      </c>
      <c r="F111" s="2" t="s">
        <v>12</v>
      </c>
      <c r="H111" s="2" t="s">
        <v>121</v>
      </c>
      <c r="J111" s="2" t="s">
        <v>117</v>
      </c>
      <c r="L111" s="2" t="s">
        <v>1125</v>
      </c>
      <c r="N111" s="2" t="s">
        <v>108</v>
      </c>
      <c r="P111" s="2" t="s">
        <v>117</v>
      </c>
      <c r="Q111" s="2" t="s">
        <v>455</v>
      </c>
      <c r="R111" s="2" t="s">
        <v>907</v>
      </c>
      <c r="S111" s="2" t="s">
        <v>288</v>
      </c>
      <c r="T111" s="2" t="s">
        <v>455</v>
      </c>
      <c r="U111" s="2" t="s">
        <v>295</v>
      </c>
      <c r="V111" s="2" t="s">
        <v>305</v>
      </c>
      <c r="X111" s="2" t="s">
        <v>464</v>
      </c>
      <c r="Y111" s="2" t="s">
        <v>457</v>
      </c>
      <c r="Z111" s="2" t="s">
        <v>458</v>
      </c>
    </row>
    <row r="112" spans="1:27">
      <c r="A112" s="12">
        <v>44970.22344887731</v>
      </c>
      <c r="B112" s="2" t="s">
        <v>452</v>
      </c>
      <c r="C112" s="2" t="s">
        <v>453</v>
      </c>
      <c r="D112" s="2" t="s">
        <v>452</v>
      </c>
      <c r="E112" s="2" t="s">
        <v>454</v>
      </c>
      <c r="F112" s="2" t="s">
        <v>0</v>
      </c>
      <c r="H112" s="2" t="s">
        <v>139</v>
      </c>
      <c r="J112" s="2" t="s">
        <v>154</v>
      </c>
      <c r="L112" s="2" t="s">
        <v>1126</v>
      </c>
      <c r="N112" s="2" t="s">
        <v>105</v>
      </c>
      <c r="P112" s="2" t="s">
        <v>118</v>
      </c>
      <c r="Q112" s="2" t="s">
        <v>455</v>
      </c>
      <c r="R112" s="2" t="s">
        <v>1127</v>
      </c>
      <c r="T112" s="2" t="s">
        <v>455</v>
      </c>
      <c r="U112" s="2" t="s">
        <v>1128</v>
      </c>
      <c r="V112" s="2" t="s">
        <v>305</v>
      </c>
      <c r="X112" s="2" t="s">
        <v>464</v>
      </c>
      <c r="Y112" s="2" t="s">
        <v>457</v>
      </c>
      <c r="Z112" s="2" t="s">
        <v>458</v>
      </c>
    </row>
    <row r="113" spans="1:28">
      <c r="A113" s="12"/>
    </row>
    <row r="114" spans="1:28">
      <c r="A114" s="12">
        <v>44970.257193784724</v>
      </c>
      <c r="B114" s="2" t="s">
        <v>452</v>
      </c>
      <c r="C114" s="2" t="s">
        <v>453</v>
      </c>
      <c r="D114" s="2" t="s">
        <v>452</v>
      </c>
      <c r="E114" s="2" t="s">
        <v>454</v>
      </c>
      <c r="F114" s="2" t="s">
        <v>1129</v>
      </c>
      <c r="H114" s="2" t="s">
        <v>107</v>
      </c>
      <c r="J114" s="2" t="s">
        <v>1130</v>
      </c>
      <c r="L114" s="2" t="s">
        <v>1131</v>
      </c>
      <c r="N114" s="2" t="s">
        <v>1132</v>
      </c>
      <c r="P114" s="2" t="s">
        <v>1133</v>
      </c>
      <c r="Q114" s="2" t="s">
        <v>455</v>
      </c>
      <c r="R114" s="2" t="s">
        <v>1134</v>
      </c>
      <c r="S114" s="2" t="s">
        <v>214</v>
      </c>
      <c r="T114" s="2" t="s">
        <v>455</v>
      </c>
      <c r="U114" s="2" t="s">
        <v>1135</v>
      </c>
      <c r="V114" s="2" t="s">
        <v>305</v>
      </c>
      <c r="W114" s="2" t="s">
        <v>316</v>
      </c>
      <c r="X114" s="2" t="s">
        <v>462</v>
      </c>
      <c r="Y114" s="2" t="s">
        <v>457</v>
      </c>
      <c r="Z114" s="2" t="s">
        <v>458</v>
      </c>
      <c r="AA114" s="2" t="s">
        <v>520</v>
      </c>
      <c r="AB114" s="2" t="s">
        <v>1136</v>
      </c>
    </row>
    <row r="115" spans="1:28">
      <c r="A115" s="12">
        <v>44970.308940000003</v>
      </c>
      <c r="B115" s="2" t="s">
        <v>452</v>
      </c>
      <c r="C115" s="2" t="s">
        <v>453</v>
      </c>
      <c r="D115" s="2" t="s">
        <v>452</v>
      </c>
      <c r="E115" s="2" t="s">
        <v>454</v>
      </c>
      <c r="F115" s="2" t="s">
        <v>1137</v>
      </c>
      <c r="H115" s="2" t="s">
        <v>1138</v>
      </c>
      <c r="J115" s="2" t="s">
        <v>1111</v>
      </c>
      <c r="L115" s="2" t="s">
        <v>1139</v>
      </c>
      <c r="M115" s="2" t="s">
        <v>62</v>
      </c>
      <c r="N115" s="2" t="s">
        <v>675</v>
      </c>
      <c r="O115" s="2" t="s">
        <v>521</v>
      </c>
      <c r="P115" s="2" t="s">
        <v>1140</v>
      </c>
      <c r="Q115" s="2" t="s">
        <v>455</v>
      </c>
      <c r="R115" s="2" t="s">
        <v>1141</v>
      </c>
      <c r="S115" s="2" t="s">
        <v>282</v>
      </c>
      <c r="T115" s="2" t="s">
        <v>455</v>
      </c>
      <c r="U115" s="2" t="s">
        <v>1142</v>
      </c>
      <c r="V115" s="2" t="s">
        <v>305</v>
      </c>
      <c r="W115" s="2" t="s">
        <v>410</v>
      </c>
      <c r="X115" s="2" t="s">
        <v>462</v>
      </c>
      <c r="Y115" s="2" t="s">
        <v>457</v>
      </c>
      <c r="Z115" s="2" t="s">
        <v>458</v>
      </c>
    </row>
    <row r="116" spans="1:28">
      <c r="A116" s="12">
        <v>44970.314152754625</v>
      </c>
      <c r="B116" s="2" t="s">
        <v>452</v>
      </c>
      <c r="C116" s="2" t="s">
        <v>453</v>
      </c>
      <c r="D116" s="2" t="s">
        <v>452</v>
      </c>
      <c r="E116" s="2" t="s">
        <v>454</v>
      </c>
      <c r="F116" s="2" t="s">
        <v>32</v>
      </c>
      <c r="H116" s="2" t="s">
        <v>141</v>
      </c>
      <c r="J116" s="2" t="s">
        <v>117</v>
      </c>
      <c r="L116" s="2" t="s">
        <v>167</v>
      </c>
      <c r="N116" s="2" t="s">
        <v>109</v>
      </c>
      <c r="P116" s="2" t="s">
        <v>117</v>
      </c>
      <c r="Q116" s="2" t="s">
        <v>455</v>
      </c>
      <c r="R116" s="2" t="s">
        <v>181</v>
      </c>
      <c r="T116" s="2" t="s">
        <v>455</v>
      </c>
      <c r="U116" s="2" t="s">
        <v>304</v>
      </c>
      <c r="V116" s="2" t="s">
        <v>305</v>
      </c>
      <c r="X116" s="2" t="s">
        <v>474</v>
      </c>
      <c r="Y116" s="2" t="s">
        <v>457</v>
      </c>
      <c r="Z116" s="2" t="s">
        <v>458</v>
      </c>
    </row>
    <row r="117" spans="1:28">
      <c r="A117" s="12">
        <v>44970.338701365741</v>
      </c>
      <c r="B117" s="2" t="s">
        <v>452</v>
      </c>
      <c r="C117" s="2" t="s">
        <v>453</v>
      </c>
      <c r="D117" s="2" t="s">
        <v>452</v>
      </c>
      <c r="E117" s="2" t="s">
        <v>454</v>
      </c>
      <c r="F117" s="2" t="s">
        <v>21</v>
      </c>
      <c r="H117" s="2" t="s">
        <v>107</v>
      </c>
      <c r="J117" s="2" t="s">
        <v>117</v>
      </c>
      <c r="L117" s="2" t="s">
        <v>107</v>
      </c>
      <c r="N117" s="2" t="s">
        <v>107</v>
      </c>
      <c r="P117" s="2" t="s">
        <v>117</v>
      </c>
      <c r="Q117" s="2" t="s">
        <v>472</v>
      </c>
      <c r="T117" s="2" t="s">
        <v>472</v>
      </c>
      <c r="X117" s="2" t="s">
        <v>474</v>
      </c>
      <c r="Y117" s="2" t="s">
        <v>457</v>
      </c>
      <c r="Z117" s="2" t="s">
        <v>458</v>
      </c>
    </row>
    <row r="118" spans="1:28">
      <c r="A118" s="12">
        <v>44970.342077905094</v>
      </c>
      <c r="B118" s="2" t="s">
        <v>452</v>
      </c>
      <c r="C118" s="2" t="s">
        <v>453</v>
      </c>
      <c r="D118" s="2" t="s">
        <v>452</v>
      </c>
      <c r="E118" s="2" t="s">
        <v>454</v>
      </c>
      <c r="F118" s="2" t="s">
        <v>1143</v>
      </c>
      <c r="H118" s="2" t="s">
        <v>140</v>
      </c>
      <c r="I118" s="2" t="s">
        <v>145</v>
      </c>
      <c r="J118" s="2" t="s">
        <v>154</v>
      </c>
      <c r="K118" s="2" t="s">
        <v>161</v>
      </c>
      <c r="L118" s="2" t="s">
        <v>915</v>
      </c>
      <c r="N118" s="2" t="s">
        <v>767</v>
      </c>
      <c r="P118" s="2" t="s">
        <v>118</v>
      </c>
      <c r="Q118" s="2" t="s">
        <v>455</v>
      </c>
      <c r="R118" s="2" t="s">
        <v>1144</v>
      </c>
      <c r="S118" s="2" t="s">
        <v>292</v>
      </c>
      <c r="T118" s="2" t="s">
        <v>455</v>
      </c>
      <c r="U118" s="2" t="s">
        <v>1145</v>
      </c>
      <c r="V118" s="2" t="s">
        <v>1146</v>
      </c>
      <c r="W118" s="2" t="s">
        <v>306</v>
      </c>
      <c r="X118" s="2" t="s">
        <v>462</v>
      </c>
      <c r="Y118" s="2" t="s">
        <v>457</v>
      </c>
      <c r="Z118" s="2" t="s">
        <v>458</v>
      </c>
      <c r="AA118" s="2" t="s">
        <v>522</v>
      </c>
    </row>
    <row r="119" spans="1:28">
      <c r="A119" s="12">
        <v>44970.347222627315</v>
      </c>
      <c r="B119" s="2" t="s">
        <v>452</v>
      </c>
      <c r="C119" s="2" t="s">
        <v>453</v>
      </c>
      <c r="D119" s="2" t="s">
        <v>452</v>
      </c>
      <c r="E119" s="2" t="s">
        <v>454</v>
      </c>
      <c r="F119" s="2" t="s">
        <v>1147</v>
      </c>
      <c r="H119" s="2" t="s">
        <v>958</v>
      </c>
      <c r="J119" s="2" t="s">
        <v>117</v>
      </c>
      <c r="L119" s="2" t="s">
        <v>1148</v>
      </c>
      <c r="N119" s="2" t="s">
        <v>1149</v>
      </c>
      <c r="P119" s="2" t="s">
        <v>117</v>
      </c>
      <c r="Q119" s="2" t="s">
        <v>455</v>
      </c>
      <c r="S119" s="2" t="s">
        <v>230</v>
      </c>
      <c r="T119" s="2" t="s">
        <v>455</v>
      </c>
      <c r="U119" s="2" t="s">
        <v>304</v>
      </c>
      <c r="V119" s="2" t="s">
        <v>305</v>
      </c>
      <c r="X119" s="2" t="s">
        <v>462</v>
      </c>
      <c r="Y119" s="2" t="s">
        <v>457</v>
      </c>
      <c r="Z119" s="2" t="s">
        <v>458</v>
      </c>
      <c r="AA119" s="2" t="s">
        <v>523</v>
      </c>
    </row>
    <row r="120" spans="1:28">
      <c r="A120" s="12">
        <v>44970.371212858794</v>
      </c>
      <c r="B120" s="2" t="s">
        <v>452</v>
      </c>
      <c r="C120" s="2" t="s">
        <v>453</v>
      </c>
      <c r="D120" s="2" t="s">
        <v>452</v>
      </c>
      <c r="E120" s="2" t="s">
        <v>454</v>
      </c>
      <c r="F120" s="2" t="s">
        <v>0</v>
      </c>
      <c r="H120" s="2" t="s">
        <v>1150</v>
      </c>
      <c r="J120" s="2" t="s">
        <v>117</v>
      </c>
      <c r="L120" s="2" t="s">
        <v>1151</v>
      </c>
      <c r="N120" s="2" t="s">
        <v>655</v>
      </c>
      <c r="O120" s="2" t="s">
        <v>524</v>
      </c>
      <c r="P120" s="2" t="s">
        <v>117</v>
      </c>
      <c r="Q120" s="2" t="s">
        <v>455</v>
      </c>
      <c r="R120" s="2" t="s">
        <v>1152</v>
      </c>
      <c r="T120" s="2" t="s">
        <v>455</v>
      </c>
      <c r="U120" s="2" t="s">
        <v>304</v>
      </c>
      <c r="V120" s="2" t="s">
        <v>305</v>
      </c>
      <c r="X120" s="2" t="s">
        <v>456</v>
      </c>
      <c r="Y120" s="2" t="s">
        <v>457</v>
      </c>
      <c r="Z120" s="2" t="s">
        <v>458</v>
      </c>
    </row>
    <row r="121" spans="1:28">
      <c r="A121" s="12">
        <v>44970.379113449075</v>
      </c>
      <c r="B121" s="2" t="s">
        <v>452</v>
      </c>
      <c r="C121" s="2" t="s">
        <v>453</v>
      </c>
      <c r="D121" s="2" t="s">
        <v>452</v>
      </c>
      <c r="E121" s="2" t="s">
        <v>454</v>
      </c>
      <c r="F121" s="2" t="s">
        <v>1153</v>
      </c>
      <c r="H121" s="2" t="s">
        <v>139</v>
      </c>
      <c r="J121" s="2" t="s">
        <v>140</v>
      </c>
      <c r="L121" s="2" t="s">
        <v>1154</v>
      </c>
      <c r="N121" s="2" t="s">
        <v>105</v>
      </c>
      <c r="P121" s="2" t="s">
        <v>1063</v>
      </c>
      <c r="Q121" s="2" t="s">
        <v>455</v>
      </c>
      <c r="R121" s="2" t="s">
        <v>184</v>
      </c>
      <c r="T121" s="2" t="s">
        <v>472</v>
      </c>
      <c r="X121" s="2" t="s">
        <v>456</v>
      </c>
      <c r="Y121" s="2" t="s">
        <v>457</v>
      </c>
      <c r="Z121" s="2" t="s">
        <v>458</v>
      </c>
    </row>
    <row r="122" spans="1:28">
      <c r="A122" s="12">
        <v>44970.395724131944</v>
      </c>
      <c r="B122" s="2" t="s">
        <v>452</v>
      </c>
      <c r="C122" s="2" t="s">
        <v>453</v>
      </c>
      <c r="D122" s="2" t="s">
        <v>452</v>
      </c>
      <c r="E122" s="2" t="s">
        <v>454</v>
      </c>
      <c r="F122" s="2" t="s">
        <v>1155</v>
      </c>
      <c r="H122" s="2" t="s">
        <v>1156</v>
      </c>
      <c r="J122" s="2" t="s">
        <v>717</v>
      </c>
      <c r="L122" s="2" t="s">
        <v>1157</v>
      </c>
      <c r="N122" s="2" t="s">
        <v>648</v>
      </c>
      <c r="O122" s="2" t="s">
        <v>115</v>
      </c>
      <c r="P122" s="2" t="s">
        <v>1158</v>
      </c>
      <c r="Q122" s="2" t="s">
        <v>455</v>
      </c>
      <c r="R122" s="2" t="s">
        <v>1159</v>
      </c>
      <c r="S122" s="2" t="s">
        <v>286</v>
      </c>
      <c r="T122" s="2" t="s">
        <v>455</v>
      </c>
      <c r="U122" s="2" t="s">
        <v>924</v>
      </c>
      <c r="V122" s="2" t="s">
        <v>305</v>
      </c>
      <c r="W122" s="2" t="s">
        <v>313</v>
      </c>
      <c r="X122" s="2" t="s">
        <v>462</v>
      </c>
      <c r="Y122" s="2" t="s">
        <v>457</v>
      </c>
      <c r="Z122" s="2" t="s">
        <v>458</v>
      </c>
    </row>
    <row r="123" spans="1:28">
      <c r="A123" s="12">
        <v>44970.395939062495</v>
      </c>
      <c r="B123" s="2" t="s">
        <v>452</v>
      </c>
      <c r="C123" s="2" t="s">
        <v>453</v>
      </c>
      <c r="D123" s="2" t="s">
        <v>452</v>
      </c>
      <c r="E123" s="2" t="s">
        <v>454</v>
      </c>
      <c r="F123" s="2" t="s">
        <v>1160</v>
      </c>
      <c r="H123" s="2" t="s">
        <v>653</v>
      </c>
      <c r="J123" s="2" t="s">
        <v>117</v>
      </c>
      <c r="L123" s="2" t="s">
        <v>1161</v>
      </c>
      <c r="N123" s="2" t="s">
        <v>106</v>
      </c>
      <c r="P123" s="2" t="s">
        <v>855</v>
      </c>
      <c r="Q123" s="2" t="s">
        <v>455</v>
      </c>
      <c r="R123" s="2" t="s">
        <v>1162</v>
      </c>
      <c r="T123" s="2" t="s">
        <v>455</v>
      </c>
      <c r="U123" s="2" t="s">
        <v>303</v>
      </c>
      <c r="V123" s="2" t="s">
        <v>305</v>
      </c>
      <c r="X123" s="2" t="s">
        <v>459</v>
      </c>
      <c r="Y123" s="2" t="s">
        <v>457</v>
      </c>
      <c r="Z123" s="2" t="s">
        <v>458</v>
      </c>
      <c r="AA123" s="2" t="s">
        <v>525</v>
      </c>
    </row>
    <row r="124" spans="1:28">
      <c r="A124" s="12">
        <v>44970.405927025466</v>
      </c>
      <c r="B124" s="2" t="s">
        <v>452</v>
      </c>
      <c r="C124" s="2" t="s">
        <v>453</v>
      </c>
      <c r="D124" s="2" t="s">
        <v>452</v>
      </c>
      <c r="E124" s="2" t="s">
        <v>454</v>
      </c>
      <c r="F124" s="2" t="s">
        <v>1163</v>
      </c>
      <c r="H124" s="2" t="s">
        <v>1164</v>
      </c>
      <c r="J124" s="2" t="s">
        <v>705</v>
      </c>
      <c r="L124" s="2" t="s">
        <v>1165</v>
      </c>
      <c r="N124" s="2" t="s">
        <v>1166</v>
      </c>
      <c r="P124" s="2" t="s">
        <v>1167</v>
      </c>
      <c r="Q124" s="2" t="s">
        <v>455</v>
      </c>
      <c r="R124" s="2" t="s">
        <v>180</v>
      </c>
      <c r="T124" s="2" t="s">
        <v>455</v>
      </c>
      <c r="U124" s="2" t="s">
        <v>869</v>
      </c>
      <c r="V124" s="2" t="s">
        <v>305</v>
      </c>
      <c r="X124" s="2" t="s">
        <v>462</v>
      </c>
      <c r="Y124" s="2" t="s">
        <v>457</v>
      </c>
      <c r="Z124" s="2" t="s">
        <v>458</v>
      </c>
    </row>
    <row r="125" spans="1:28">
      <c r="A125" s="12">
        <v>44970.407155717592</v>
      </c>
      <c r="B125" s="2" t="s">
        <v>452</v>
      </c>
      <c r="C125" s="2" t="s">
        <v>453</v>
      </c>
      <c r="D125" s="2" t="s">
        <v>452</v>
      </c>
      <c r="E125" s="2" t="s">
        <v>454</v>
      </c>
      <c r="F125" s="2" t="s">
        <v>1168</v>
      </c>
      <c r="H125" s="2" t="s">
        <v>139</v>
      </c>
      <c r="J125" s="2" t="s">
        <v>117</v>
      </c>
      <c r="L125" s="2" t="s">
        <v>1169</v>
      </c>
      <c r="N125" s="2" t="s">
        <v>105</v>
      </c>
      <c r="P125" s="2" t="s">
        <v>117</v>
      </c>
      <c r="Q125" s="2" t="s">
        <v>455</v>
      </c>
      <c r="R125" s="2" t="s">
        <v>1170</v>
      </c>
      <c r="S125" s="2" t="s">
        <v>222</v>
      </c>
      <c r="T125" s="2" t="s">
        <v>455</v>
      </c>
      <c r="U125" s="2" t="s">
        <v>304</v>
      </c>
      <c r="V125" s="2" t="s">
        <v>305</v>
      </c>
      <c r="X125" s="2" t="s">
        <v>462</v>
      </c>
      <c r="Y125" s="2" t="s">
        <v>457</v>
      </c>
      <c r="Z125" s="2" t="s">
        <v>458</v>
      </c>
      <c r="AA125" s="2" t="s">
        <v>526</v>
      </c>
    </row>
    <row r="126" spans="1:28">
      <c r="A126" s="12">
        <v>44970.424646238425</v>
      </c>
      <c r="B126" s="2" t="s">
        <v>452</v>
      </c>
      <c r="C126" s="2" t="s">
        <v>453</v>
      </c>
      <c r="D126" s="2" t="s">
        <v>452</v>
      </c>
      <c r="E126" s="2" t="s">
        <v>454</v>
      </c>
      <c r="F126" s="2" t="s">
        <v>1171</v>
      </c>
      <c r="H126" s="2" t="s">
        <v>139</v>
      </c>
      <c r="J126" s="2" t="s">
        <v>117</v>
      </c>
      <c r="L126" s="2" t="s">
        <v>1172</v>
      </c>
      <c r="N126" s="2" t="s">
        <v>105</v>
      </c>
      <c r="O126" s="2" t="s">
        <v>527</v>
      </c>
      <c r="P126" s="2" t="s">
        <v>117</v>
      </c>
      <c r="Q126" s="2" t="s">
        <v>455</v>
      </c>
      <c r="R126" s="2" t="s">
        <v>1173</v>
      </c>
      <c r="T126" s="2" t="s">
        <v>455</v>
      </c>
      <c r="U126" s="2" t="s">
        <v>299</v>
      </c>
      <c r="V126" s="2" t="s">
        <v>305</v>
      </c>
      <c r="X126" s="2" t="s">
        <v>474</v>
      </c>
      <c r="Y126" s="2" t="s">
        <v>457</v>
      </c>
      <c r="Z126" s="2" t="s">
        <v>458</v>
      </c>
    </row>
    <row r="127" spans="1:28">
      <c r="A127" s="12">
        <v>44970.425248240739</v>
      </c>
      <c r="B127" s="2" t="s">
        <v>452</v>
      </c>
      <c r="C127" s="2" t="s">
        <v>453</v>
      </c>
      <c r="D127" s="2" t="s">
        <v>452</v>
      </c>
      <c r="E127" s="2" t="s">
        <v>454</v>
      </c>
      <c r="F127" s="2" t="s">
        <v>1174</v>
      </c>
      <c r="H127" s="2" t="s">
        <v>139</v>
      </c>
      <c r="J127" s="2" t="s">
        <v>117</v>
      </c>
      <c r="L127" s="2" t="s">
        <v>1175</v>
      </c>
      <c r="N127" s="2" t="s">
        <v>105</v>
      </c>
      <c r="P127" s="2" t="s">
        <v>117</v>
      </c>
      <c r="Q127" s="2" t="s">
        <v>455</v>
      </c>
      <c r="R127" s="2" t="s">
        <v>1176</v>
      </c>
      <c r="T127" s="2" t="s">
        <v>455</v>
      </c>
      <c r="U127" s="2" t="s">
        <v>295</v>
      </c>
      <c r="V127" s="2" t="s">
        <v>305</v>
      </c>
      <c r="X127" s="2" t="s">
        <v>462</v>
      </c>
      <c r="Y127" s="2" t="s">
        <v>457</v>
      </c>
      <c r="Z127" s="2" t="s">
        <v>458</v>
      </c>
    </row>
    <row r="128" spans="1:28">
      <c r="A128" s="12">
        <v>44970.452609548607</v>
      </c>
      <c r="B128" s="2" t="s">
        <v>452</v>
      </c>
      <c r="C128" s="2" t="s">
        <v>453</v>
      </c>
      <c r="D128" s="2" t="s">
        <v>452</v>
      </c>
      <c r="E128" s="2" t="s">
        <v>454</v>
      </c>
      <c r="F128" s="2" t="s">
        <v>1177</v>
      </c>
      <c r="H128" s="2" t="s">
        <v>958</v>
      </c>
      <c r="J128" s="2" t="s">
        <v>117</v>
      </c>
      <c r="L128" s="2" t="s">
        <v>1178</v>
      </c>
      <c r="N128" s="2" t="s">
        <v>1179</v>
      </c>
      <c r="P128" s="2" t="s">
        <v>117</v>
      </c>
      <c r="Q128" s="2" t="s">
        <v>455</v>
      </c>
      <c r="R128" s="2" t="s">
        <v>1180</v>
      </c>
      <c r="T128" s="2" t="s">
        <v>455</v>
      </c>
      <c r="U128" s="2" t="s">
        <v>1181</v>
      </c>
      <c r="V128" s="2" t="s">
        <v>305</v>
      </c>
      <c r="X128" s="2" t="s">
        <v>459</v>
      </c>
      <c r="Y128" s="2" t="s">
        <v>457</v>
      </c>
      <c r="Z128" s="2" t="s">
        <v>458</v>
      </c>
    </row>
    <row r="129" spans="1:27">
      <c r="A129" s="12">
        <v>44970.476824317127</v>
      </c>
      <c r="B129" s="2" t="s">
        <v>452</v>
      </c>
      <c r="C129" s="2" t="s">
        <v>453</v>
      </c>
      <c r="D129" s="2" t="s">
        <v>452</v>
      </c>
      <c r="E129" s="2" t="s">
        <v>454</v>
      </c>
      <c r="F129" s="2" t="s">
        <v>1182</v>
      </c>
      <c r="H129" s="2" t="s">
        <v>883</v>
      </c>
      <c r="L129" s="2" t="s">
        <v>169</v>
      </c>
      <c r="M129" s="2" t="s">
        <v>98</v>
      </c>
      <c r="N129" s="2" t="s">
        <v>109</v>
      </c>
      <c r="P129" s="2" t="s">
        <v>995</v>
      </c>
      <c r="Q129" s="2" t="s">
        <v>455</v>
      </c>
      <c r="R129" s="2" t="s">
        <v>1183</v>
      </c>
      <c r="T129" s="2" t="s">
        <v>455</v>
      </c>
      <c r="U129" s="2" t="s">
        <v>304</v>
      </c>
      <c r="V129" s="2" t="s">
        <v>305</v>
      </c>
      <c r="X129" s="2" t="s">
        <v>456</v>
      </c>
      <c r="Y129" s="2" t="s">
        <v>457</v>
      </c>
      <c r="Z129" s="2" t="s">
        <v>458</v>
      </c>
    </row>
    <row r="130" spans="1:27">
      <c r="A130" s="12">
        <v>44970.482929583333</v>
      </c>
      <c r="B130" s="2" t="s">
        <v>452</v>
      </c>
      <c r="C130" s="2" t="s">
        <v>453</v>
      </c>
      <c r="D130" s="2" t="s">
        <v>452</v>
      </c>
      <c r="E130" s="2" t="s">
        <v>454</v>
      </c>
      <c r="F130" s="2" t="s">
        <v>1</v>
      </c>
      <c r="H130" s="2" t="s">
        <v>139</v>
      </c>
      <c r="J130" s="2" t="s">
        <v>117</v>
      </c>
      <c r="L130" s="2" t="s">
        <v>1184</v>
      </c>
      <c r="N130" s="2" t="s">
        <v>106</v>
      </c>
      <c r="O130" s="2" t="s">
        <v>528</v>
      </c>
      <c r="P130" s="2" t="s">
        <v>117</v>
      </c>
      <c r="Q130" s="2" t="s">
        <v>455</v>
      </c>
      <c r="R130" s="2" t="s">
        <v>1185</v>
      </c>
      <c r="T130" s="2" t="s">
        <v>455</v>
      </c>
      <c r="U130" s="2" t="s">
        <v>303</v>
      </c>
      <c r="V130" s="2" t="s">
        <v>305</v>
      </c>
      <c r="X130" s="2" t="s">
        <v>459</v>
      </c>
      <c r="Y130" s="2" t="s">
        <v>457</v>
      </c>
      <c r="Z130" s="2" t="s">
        <v>458</v>
      </c>
    </row>
    <row r="131" spans="1:27">
      <c r="A131" s="12">
        <v>44970.499441944441</v>
      </c>
      <c r="B131" s="2" t="s">
        <v>452</v>
      </c>
      <c r="C131" s="2" t="s">
        <v>453</v>
      </c>
      <c r="D131" s="2" t="s">
        <v>452</v>
      </c>
      <c r="E131" s="2" t="s">
        <v>454</v>
      </c>
      <c r="F131" s="2" t="s">
        <v>1186</v>
      </c>
      <c r="H131" s="2" t="s">
        <v>1187</v>
      </c>
      <c r="J131" s="2" t="s">
        <v>117</v>
      </c>
      <c r="L131" s="2" t="s">
        <v>1188</v>
      </c>
      <c r="N131" s="2" t="s">
        <v>1189</v>
      </c>
      <c r="P131" s="2" t="s">
        <v>1190</v>
      </c>
      <c r="Q131" s="2" t="s">
        <v>455</v>
      </c>
      <c r="R131" s="2" t="s">
        <v>180</v>
      </c>
      <c r="T131" s="2" t="s">
        <v>455</v>
      </c>
      <c r="U131" s="2" t="s">
        <v>298</v>
      </c>
      <c r="V131" s="2" t="s">
        <v>305</v>
      </c>
      <c r="X131" s="2" t="s">
        <v>456</v>
      </c>
      <c r="Y131" s="2" t="s">
        <v>457</v>
      </c>
      <c r="Z131" s="2" t="s">
        <v>458</v>
      </c>
    </row>
    <row r="132" spans="1:27">
      <c r="A132" s="12">
        <v>44970.49944929398</v>
      </c>
      <c r="B132" s="2" t="s">
        <v>452</v>
      </c>
      <c r="C132" s="2" t="s">
        <v>453</v>
      </c>
      <c r="D132" s="2" t="s">
        <v>452</v>
      </c>
      <c r="E132" s="2" t="s">
        <v>454</v>
      </c>
      <c r="F132" s="2" t="s">
        <v>1191</v>
      </c>
      <c r="H132" s="2" t="s">
        <v>1192</v>
      </c>
      <c r="J132" s="2" t="s">
        <v>117</v>
      </c>
      <c r="L132" s="2" t="s">
        <v>1193</v>
      </c>
      <c r="N132" s="2" t="s">
        <v>108</v>
      </c>
      <c r="P132" s="2" t="s">
        <v>117</v>
      </c>
      <c r="Q132" s="2" t="s">
        <v>455</v>
      </c>
      <c r="R132" s="2" t="s">
        <v>1194</v>
      </c>
      <c r="T132" s="2" t="s">
        <v>455</v>
      </c>
      <c r="U132" s="2" t="s">
        <v>857</v>
      </c>
      <c r="V132" s="2" t="s">
        <v>305</v>
      </c>
      <c r="X132" s="2" t="s">
        <v>459</v>
      </c>
      <c r="Y132" s="2" t="s">
        <v>457</v>
      </c>
      <c r="Z132" s="2" t="s">
        <v>458</v>
      </c>
    </row>
    <row r="133" spans="1:27">
      <c r="A133" s="12">
        <v>44970.527911249999</v>
      </c>
      <c r="B133" s="2" t="s">
        <v>452</v>
      </c>
      <c r="C133" s="2" t="s">
        <v>453</v>
      </c>
      <c r="D133" s="2" t="s">
        <v>452</v>
      </c>
      <c r="E133" s="2" t="s">
        <v>454</v>
      </c>
      <c r="F133" s="2" t="s">
        <v>1195</v>
      </c>
      <c r="H133" s="2" t="s">
        <v>653</v>
      </c>
      <c r="J133" s="2" t="s">
        <v>117</v>
      </c>
      <c r="L133" s="2" t="s">
        <v>1196</v>
      </c>
      <c r="N133" s="2" t="s">
        <v>1197</v>
      </c>
      <c r="P133" s="2" t="s">
        <v>117</v>
      </c>
      <c r="Q133" s="2" t="s">
        <v>455</v>
      </c>
      <c r="R133" s="2" t="s">
        <v>1198</v>
      </c>
      <c r="T133" s="2" t="s">
        <v>455</v>
      </c>
      <c r="U133" s="2" t="s">
        <v>1199</v>
      </c>
      <c r="V133" s="2" t="s">
        <v>305</v>
      </c>
      <c r="X133" s="2" t="s">
        <v>462</v>
      </c>
      <c r="Y133" s="2" t="s">
        <v>457</v>
      </c>
      <c r="Z133" s="2" t="s">
        <v>458</v>
      </c>
    </row>
    <row r="134" spans="1:27">
      <c r="A134" s="12">
        <v>44970.553498171299</v>
      </c>
      <c r="B134" s="2" t="s">
        <v>452</v>
      </c>
      <c r="C134" s="2" t="s">
        <v>453</v>
      </c>
      <c r="D134" s="2" t="s">
        <v>452</v>
      </c>
      <c r="E134" s="2" t="s">
        <v>454</v>
      </c>
      <c r="F134" s="2" t="s">
        <v>1200</v>
      </c>
      <c r="H134" s="2" t="s">
        <v>704</v>
      </c>
      <c r="J134" s="2" t="s">
        <v>1201</v>
      </c>
      <c r="L134" s="2" t="s">
        <v>1202</v>
      </c>
      <c r="N134" s="2" t="s">
        <v>1203</v>
      </c>
      <c r="P134" s="2" t="s">
        <v>1204</v>
      </c>
      <c r="Q134" s="2" t="s">
        <v>455</v>
      </c>
      <c r="R134" s="2" t="s">
        <v>1205</v>
      </c>
      <c r="T134" s="2" t="s">
        <v>455</v>
      </c>
      <c r="U134" s="2" t="s">
        <v>304</v>
      </c>
      <c r="V134" s="2" t="s">
        <v>305</v>
      </c>
      <c r="X134" s="2" t="s">
        <v>462</v>
      </c>
      <c r="Y134" s="2" t="s">
        <v>457</v>
      </c>
      <c r="Z134" s="2" t="s">
        <v>458</v>
      </c>
    </row>
    <row r="135" spans="1:27">
      <c r="A135" s="12">
        <v>44970.55612494213</v>
      </c>
      <c r="B135" s="2" t="s">
        <v>452</v>
      </c>
      <c r="C135" s="2" t="s">
        <v>453</v>
      </c>
      <c r="D135" s="2" t="s">
        <v>452</v>
      </c>
      <c r="E135" s="2" t="s">
        <v>454</v>
      </c>
      <c r="F135" s="2" t="s">
        <v>7</v>
      </c>
      <c r="H135" s="2" t="s">
        <v>139</v>
      </c>
      <c r="J135" s="2" t="s">
        <v>117</v>
      </c>
      <c r="L135" s="2" t="s">
        <v>167</v>
      </c>
      <c r="N135" s="2" t="s">
        <v>107</v>
      </c>
      <c r="P135" s="2" t="s">
        <v>117</v>
      </c>
      <c r="Q135" s="2" t="s">
        <v>455</v>
      </c>
      <c r="R135" s="2" t="s">
        <v>183</v>
      </c>
      <c r="T135" s="2" t="s">
        <v>472</v>
      </c>
      <c r="X135" s="2" t="s">
        <v>474</v>
      </c>
      <c r="Y135" s="2" t="s">
        <v>457</v>
      </c>
      <c r="Z135" s="2" t="s">
        <v>458</v>
      </c>
    </row>
    <row r="136" spans="1:27">
      <c r="A136" s="12">
        <v>44970.589435000002</v>
      </c>
      <c r="B136" s="2" t="s">
        <v>452</v>
      </c>
      <c r="C136" s="2" t="s">
        <v>453</v>
      </c>
      <c r="D136" s="2" t="s">
        <v>452</v>
      </c>
      <c r="E136" s="2" t="s">
        <v>454</v>
      </c>
      <c r="F136" s="2" t="s">
        <v>1206</v>
      </c>
      <c r="H136" s="2" t="s">
        <v>931</v>
      </c>
      <c r="J136" s="2" t="s">
        <v>117</v>
      </c>
      <c r="L136" s="2" t="s">
        <v>862</v>
      </c>
      <c r="N136" s="2" t="s">
        <v>105</v>
      </c>
      <c r="P136" s="2" t="s">
        <v>117</v>
      </c>
      <c r="Q136" s="2" t="s">
        <v>455</v>
      </c>
      <c r="R136" s="2" t="s">
        <v>1207</v>
      </c>
      <c r="T136" s="2" t="s">
        <v>472</v>
      </c>
      <c r="X136" s="2" t="s">
        <v>462</v>
      </c>
      <c r="Y136" s="2" t="s">
        <v>457</v>
      </c>
      <c r="Z136" s="2" t="s">
        <v>458</v>
      </c>
      <c r="AA136" s="2" t="s">
        <v>529</v>
      </c>
    </row>
    <row r="137" spans="1:27">
      <c r="A137" s="12">
        <v>44970.614236782407</v>
      </c>
      <c r="B137" s="2" t="s">
        <v>452</v>
      </c>
      <c r="C137" s="2" t="s">
        <v>453</v>
      </c>
      <c r="D137" s="2" t="s">
        <v>452</v>
      </c>
      <c r="E137" s="2" t="s">
        <v>454</v>
      </c>
      <c r="F137" s="2" t="s">
        <v>1208</v>
      </c>
      <c r="H137" s="2" t="s">
        <v>1209</v>
      </c>
      <c r="J137" s="2" t="s">
        <v>1210</v>
      </c>
      <c r="L137" s="2" t="s">
        <v>1211</v>
      </c>
      <c r="N137" s="2" t="s">
        <v>110</v>
      </c>
      <c r="P137" s="2" t="s">
        <v>119</v>
      </c>
      <c r="Q137" s="2" t="s">
        <v>455</v>
      </c>
      <c r="R137" s="2" t="s">
        <v>1212</v>
      </c>
      <c r="T137" s="2" t="s">
        <v>455</v>
      </c>
      <c r="U137" s="2" t="s">
        <v>304</v>
      </c>
      <c r="V137" s="2" t="s">
        <v>305</v>
      </c>
      <c r="X137" s="2" t="s">
        <v>501</v>
      </c>
      <c r="Y137" s="2" t="s">
        <v>457</v>
      </c>
      <c r="Z137" s="2" t="s">
        <v>458</v>
      </c>
    </row>
    <row r="138" spans="1:27">
      <c r="A138" s="12">
        <v>44970.639003136574</v>
      </c>
      <c r="B138" s="2" t="s">
        <v>452</v>
      </c>
      <c r="C138" s="2" t="s">
        <v>453</v>
      </c>
      <c r="D138" s="2" t="s">
        <v>452</v>
      </c>
      <c r="E138" s="2" t="s">
        <v>454</v>
      </c>
      <c r="F138" s="2" t="s">
        <v>1213</v>
      </c>
      <c r="H138" s="2" t="s">
        <v>1214</v>
      </c>
      <c r="J138" s="2" t="s">
        <v>117</v>
      </c>
      <c r="L138" s="2" t="s">
        <v>1215</v>
      </c>
      <c r="N138" s="2" t="s">
        <v>105</v>
      </c>
      <c r="P138" s="2" t="s">
        <v>117</v>
      </c>
      <c r="Q138" s="2" t="s">
        <v>455</v>
      </c>
      <c r="R138" s="2" t="s">
        <v>1216</v>
      </c>
      <c r="T138" s="2" t="s">
        <v>455</v>
      </c>
      <c r="U138" s="2" t="s">
        <v>853</v>
      </c>
      <c r="V138" s="2" t="s">
        <v>305</v>
      </c>
      <c r="X138" s="2" t="s">
        <v>462</v>
      </c>
      <c r="Y138" s="2" t="s">
        <v>457</v>
      </c>
      <c r="Z138" s="2" t="s">
        <v>458</v>
      </c>
    </row>
    <row r="139" spans="1:27">
      <c r="A139" s="12">
        <v>44970.656569282408</v>
      </c>
      <c r="B139" s="2" t="s">
        <v>452</v>
      </c>
      <c r="C139" s="2" t="s">
        <v>453</v>
      </c>
      <c r="D139" s="2" t="s">
        <v>452</v>
      </c>
      <c r="E139" s="2" t="s">
        <v>454</v>
      </c>
      <c r="F139" s="2" t="s">
        <v>1217</v>
      </c>
      <c r="H139" s="2" t="s">
        <v>139</v>
      </c>
      <c r="J139" s="2" t="s">
        <v>1218</v>
      </c>
      <c r="L139" s="2" t="s">
        <v>862</v>
      </c>
      <c r="N139" s="2" t="s">
        <v>107</v>
      </c>
      <c r="P139" s="2" t="s">
        <v>1219</v>
      </c>
      <c r="Q139" s="2" t="s">
        <v>455</v>
      </c>
      <c r="R139" s="2" t="s">
        <v>1220</v>
      </c>
      <c r="T139" s="2" t="s">
        <v>455</v>
      </c>
      <c r="U139" s="2" t="s">
        <v>1221</v>
      </c>
      <c r="V139" s="2" t="s">
        <v>302</v>
      </c>
      <c r="X139" s="2" t="s">
        <v>459</v>
      </c>
      <c r="Y139" s="2" t="s">
        <v>457</v>
      </c>
      <c r="Z139" s="2" t="s">
        <v>458</v>
      </c>
    </row>
    <row r="140" spans="1:27">
      <c r="A140" s="12">
        <v>44970.658421782406</v>
      </c>
      <c r="B140" s="2" t="s">
        <v>452</v>
      </c>
      <c r="C140" s="2" t="s">
        <v>453</v>
      </c>
      <c r="D140" s="2" t="s">
        <v>452</v>
      </c>
      <c r="E140" s="2" t="s">
        <v>454</v>
      </c>
      <c r="F140" s="2" t="s">
        <v>1222</v>
      </c>
      <c r="H140" s="2" t="s">
        <v>1223</v>
      </c>
      <c r="J140" s="2" t="s">
        <v>117</v>
      </c>
      <c r="L140" s="2" t="s">
        <v>167</v>
      </c>
      <c r="N140" s="2" t="s">
        <v>105</v>
      </c>
      <c r="P140" s="2" t="s">
        <v>855</v>
      </c>
      <c r="Q140" s="2" t="s">
        <v>455</v>
      </c>
      <c r="R140" s="2" t="s">
        <v>1224</v>
      </c>
      <c r="T140" s="2" t="s">
        <v>455</v>
      </c>
      <c r="U140" s="2" t="s">
        <v>299</v>
      </c>
      <c r="V140" s="2" t="s">
        <v>305</v>
      </c>
      <c r="X140" s="2" t="s">
        <v>462</v>
      </c>
      <c r="Y140" s="2" t="s">
        <v>457</v>
      </c>
      <c r="Z140" s="2" t="s">
        <v>458</v>
      </c>
    </row>
    <row r="141" spans="1:27">
      <c r="A141" s="12">
        <v>44970.661560995373</v>
      </c>
      <c r="B141" s="2" t="s">
        <v>452</v>
      </c>
      <c r="C141" s="2" t="s">
        <v>453</v>
      </c>
      <c r="D141" s="2" t="s">
        <v>452</v>
      </c>
      <c r="E141" s="2" t="s">
        <v>454</v>
      </c>
      <c r="F141" s="2" t="s">
        <v>1225</v>
      </c>
      <c r="H141" s="2" t="s">
        <v>139</v>
      </c>
      <c r="J141" s="2" t="s">
        <v>1078</v>
      </c>
      <c r="L141" s="2" t="s">
        <v>1226</v>
      </c>
      <c r="N141" s="2" t="s">
        <v>767</v>
      </c>
      <c r="P141" s="2" t="s">
        <v>120</v>
      </c>
      <c r="Q141" s="2" t="s">
        <v>455</v>
      </c>
      <c r="R141" s="2" t="s">
        <v>1227</v>
      </c>
      <c r="T141" s="2" t="s">
        <v>472</v>
      </c>
      <c r="X141" s="2" t="s">
        <v>464</v>
      </c>
      <c r="Y141" s="2" t="s">
        <v>457</v>
      </c>
      <c r="Z141" s="2" t="s">
        <v>458</v>
      </c>
    </row>
    <row r="142" spans="1:27">
      <c r="A142" s="12">
        <v>44970.665155625</v>
      </c>
      <c r="B142" s="2" t="s">
        <v>452</v>
      </c>
      <c r="C142" s="2" t="s">
        <v>453</v>
      </c>
      <c r="D142" s="2" t="s">
        <v>452</v>
      </c>
      <c r="E142" s="2" t="s">
        <v>454</v>
      </c>
      <c r="F142" s="2" t="s">
        <v>1228</v>
      </c>
      <c r="H142" s="2" t="s">
        <v>121</v>
      </c>
      <c r="J142" s="2" t="s">
        <v>845</v>
      </c>
      <c r="L142" s="2" t="s">
        <v>169</v>
      </c>
      <c r="N142" s="2" t="s">
        <v>105</v>
      </c>
      <c r="P142" s="2" t="s">
        <v>845</v>
      </c>
      <c r="Q142" s="2" t="s">
        <v>455</v>
      </c>
      <c r="R142" s="2" t="s">
        <v>1229</v>
      </c>
      <c r="S142" s="2" t="s">
        <v>203</v>
      </c>
      <c r="T142" s="2" t="s">
        <v>455</v>
      </c>
      <c r="U142" s="2" t="s">
        <v>1230</v>
      </c>
      <c r="V142" s="2" t="s">
        <v>305</v>
      </c>
      <c r="W142" s="2" t="s">
        <v>368</v>
      </c>
      <c r="X142" s="2" t="s">
        <v>475</v>
      </c>
      <c r="Y142" s="2" t="s">
        <v>457</v>
      </c>
      <c r="Z142" s="2" t="s">
        <v>458</v>
      </c>
      <c r="AA142" s="2" t="s">
        <v>530</v>
      </c>
    </row>
    <row r="143" spans="1:27">
      <c r="A143" s="12">
        <v>44970.667557824076</v>
      </c>
      <c r="B143" s="2" t="s">
        <v>452</v>
      </c>
      <c r="C143" s="2" t="s">
        <v>453</v>
      </c>
      <c r="D143" s="2" t="s">
        <v>452</v>
      </c>
      <c r="E143" s="2" t="s">
        <v>454</v>
      </c>
      <c r="F143" s="2" t="s">
        <v>1231</v>
      </c>
      <c r="H143" s="2" t="s">
        <v>139</v>
      </c>
      <c r="J143" s="2" t="s">
        <v>117</v>
      </c>
      <c r="L143" s="2" t="s">
        <v>167</v>
      </c>
      <c r="N143" s="2" t="s">
        <v>105</v>
      </c>
      <c r="P143" s="2" t="s">
        <v>117</v>
      </c>
      <c r="Q143" s="2" t="s">
        <v>455</v>
      </c>
      <c r="R143" s="2" t="s">
        <v>1232</v>
      </c>
      <c r="T143" s="2" t="s">
        <v>455</v>
      </c>
      <c r="U143" s="2" t="s">
        <v>1233</v>
      </c>
      <c r="V143" s="2" t="s">
        <v>305</v>
      </c>
      <c r="X143" s="2" t="s">
        <v>475</v>
      </c>
      <c r="Y143" s="2" t="s">
        <v>457</v>
      </c>
      <c r="Z143" s="2" t="s">
        <v>458</v>
      </c>
    </row>
    <row r="144" spans="1:27">
      <c r="A144" s="12">
        <v>44970.67000893518</v>
      </c>
      <c r="B144" s="2" t="s">
        <v>452</v>
      </c>
      <c r="C144" s="2" t="s">
        <v>453</v>
      </c>
      <c r="D144" s="2" t="s">
        <v>452</v>
      </c>
      <c r="E144" s="2" t="s">
        <v>454</v>
      </c>
      <c r="F144" s="2" t="s">
        <v>1234</v>
      </c>
      <c r="H144" s="2" t="s">
        <v>992</v>
      </c>
      <c r="J144" s="2" t="s">
        <v>117</v>
      </c>
      <c r="L144" s="2" t="s">
        <v>658</v>
      </c>
      <c r="O144" s="2" t="s">
        <v>531</v>
      </c>
      <c r="P144" s="2" t="s">
        <v>117</v>
      </c>
      <c r="Q144" s="2" t="s">
        <v>455</v>
      </c>
      <c r="R144" s="2" t="s">
        <v>1235</v>
      </c>
      <c r="T144" s="2" t="s">
        <v>455</v>
      </c>
      <c r="U144" s="2" t="s">
        <v>302</v>
      </c>
      <c r="V144" s="2" t="s">
        <v>302</v>
      </c>
      <c r="X144" s="2" t="s">
        <v>461</v>
      </c>
      <c r="Y144" s="2" t="s">
        <v>457</v>
      </c>
      <c r="Z144" s="2" t="s">
        <v>458</v>
      </c>
    </row>
    <row r="145" spans="1:27">
      <c r="A145" s="12">
        <v>44970.70251949074</v>
      </c>
      <c r="B145" s="2" t="s">
        <v>452</v>
      </c>
      <c r="C145" s="2" t="s">
        <v>453</v>
      </c>
      <c r="D145" s="2" t="s">
        <v>452</v>
      </c>
      <c r="E145" s="2" t="s">
        <v>454</v>
      </c>
      <c r="F145" s="2" t="s">
        <v>1236</v>
      </c>
      <c r="H145" s="2" t="s">
        <v>107</v>
      </c>
      <c r="J145" s="2" t="s">
        <v>117</v>
      </c>
      <c r="L145" s="2" t="s">
        <v>836</v>
      </c>
      <c r="N145" s="2" t="s">
        <v>1069</v>
      </c>
      <c r="P145" s="2" t="s">
        <v>117</v>
      </c>
      <c r="Q145" s="2" t="s">
        <v>455</v>
      </c>
      <c r="R145" s="2" t="s">
        <v>1237</v>
      </c>
      <c r="T145" s="2" t="s">
        <v>455</v>
      </c>
      <c r="U145" s="2" t="s">
        <v>299</v>
      </c>
      <c r="V145" s="2" t="s">
        <v>305</v>
      </c>
      <c r="X145" s="2" t="s">
        <v>456</v>
      </c>
      <c r="Y145" s="2" t="s">
        <v>457</v>
      </c>
      <c r="Z145" s="2" t="s">
        <v>458</v>
      </c>
    </row>
    <row r="146" spans="1:27">
      <c r="A146" s="12">
        <v>44970.714842071757</v>
      </c>
      <c r="B146" s="2" t="s">
        <v>452</v>
      </c>
      <c r="C146" s="2" t="s">
        <v>453</v>
      </c>
      <c r="D146" s="2" t="s">
        <v>452</v>
      </c>
      <c r="E146" s="2" t="s">
        <v>454</v>
      </c>
      <c r="F146" s="2" t="s">
        <v>1238</v>
      </c>
      <c r="H146" s="2" t="s">
        <v>653</v>
      </c>
      <c r="J146" s="2" t="s">
        <v>705</v>
      </c>
      <c r="L146" s="2" t="s">
        <v>1239</v>
      </c>
      <c r="M146" s="2" t="s">
        <v>532</v>
      </c>
      <c r="N146" s="2" t="s">
        <v>1132</v>
      </c>
      <c r="P146" s="2" t="s">
        <v>119</v>
      </c>
      <c r="Q146" s="2" t="s">
        <v>455</v>
      </c>
      <c r="R146" s="2" t="s">
        <v>1240</v>
      </c>
      <c r="S146" s="2" t="s">
        <v>275</v>
      </c>
      <c r="T146" s="2" t="s">
        <v>455</v>
      </c>
      <c r="U146" s="2" t="s">
        <v>1241</v>
      </c>
      <c r="V146" s="2" t="s">
        <v>295</v>
      </c>
      <c r="W146" s="2" t="s">
        <v>344</v>
      </c>
      <c r="X146" s="2" t="s">
        <v>456</v>
      </c>
      <c r="Y146" s="2" t="s">
        <v>457</v>
      </c>
      <c r="Z146" s="2" t="s">
        <v>458</v>
      </c>
      <c r="AA146" s="2" t="s">
        <v>533</v>
      </c>
    </row>
    <row r="147" spans="1:27">
      <c r="A147" s="12">
        <v>44970.721314699069</v>
      </c>
      <c r="B147" s="2" t="s">
        <v>452</v>
      </c>
      <c r="C147" s="2" t="s">
        <v>453</v>
      </c>
      <c r="D147" s="2" t="s">
        <v>452</v>
      </c>
      <c r="E147" s="2" t="s">
        <v>454</v>
      </c>
      <c r="F147" s="2" t="s">
        <v>1242</v>
      </c>
      <c r="H147" s="2" t="s">
        <v>139</v>
      </c>
      <c r="J147" s="2" t="s">
        <v>117</v>
      </c>
      <c r="L147" s="2" t="s">
        <v>1243</v>
      </c>
      <c r="N147" s="2" t="s">
        <v>106</v>
      </c>
      <c r="P147" s="2" t="s">
        <v>117</v>
      </c>
      <c r="Q147" s="2" t="s">
        <v>455</v>
      </c>
      <c r="R147" s="2" t="s">
        <v>1244</v>
      </c>
      <c r="T147" s="2" t="s">
        <v>455</v>
      </c>
      <c r="U147" s="2" t="s">
        <v>976</v>
      </c>
      <c r="V147" s="2" t="s">
        <v>1245</v>
      </c>
      <c r="W147" s="2" t="s">
        <v>333</v>
      </c>
      <c r="X147" s="2" t="s">
        <v>474</v>
      </c>
      <c r="Y147" s="2" t="s">
        <v>457</v>
      </c>
      <c r="Z147" s="2" t="s">
        <v>458</v>
      </c>
      <c r="AA147" s="2" t="s">
        <v>534</v>
      </c>
    </row>
    <row r="148" spans="1:27">
      <c r="A148" s="12">
        <v>44970.722096956015</v>
      </c>
      <c r="B148" s="2" t="s">
        <v>452</v>
      </c>
      <c r="C148" s="2" t="s">
        <v>453</v>
      </c>
      <c r="D148" s="2" t="s">
        <v>452</v>
      </c>
      <c r="E148" s="2" t="s">
        <v>454</v>
      </c>
      <c r="F148" s="2" t="s">
        <v>1171</v>
      </c>
      <c r="H148" s="2" t="s">
        <v>107</v>
      </c>
      <c r="J148" s="2" t="s">
        <v>117</v>
      </c>
      <c r="L148" s="2" t="s">
        <v>1246</v>
      </c>
      <c r="N148" s="2" t="s">
        <v>107</v>
      </c>
      <c r="P148" s="2" t="s">
        <v>117</v>
      </c>
      <c r="Q148" s="2" t="s">
        <v>455</v>
      </c>
      <c r="R148" s="2" t="s">
        <v>1247</v>
      </c>
      <c r="S148" s="2" t="s">
        <v>248</v>
      </c>
      <c r="T148" s="2" t="s">
        <v>455</v>
      </c>
      <c r="U148" s="2" t="s">
        <v>303</v>
      </c>
      <c r="V148" s="2" t="s">
        <v>305</v>
      </c>
      <c r="W148" s="2" t="s">
        <v>350</v>
      </c>
      <c r="X148" s="2" t="s">
        <v>462</v>
      </c>
      <c r="Y148" s="2" t="s">
        <v>457</v>
      </c>
      <c r="Z148" s="2" t="s">
        <v>458</v>
      </c>
      <c r="AA148" s="2" t="s">
        <v>535</v>
      </c>
    </row>
    <row r="149" spans="1:27">
      <c r="A149" s="12">
        <v>44970.725080231481</v>
      </c>
      <c r="B149" s="2" t="s">
        <v>452</v>
      </c>
      <c r="C149" s="2" t="s">
        <v>453</v>
      </c>
      <c r="D149" s="2" t="s">
        <v>452</v>
      </c>
      <c r="E149" s="2" t="s">
        <v>454</v>
      </c>
      <c r="F149" s="2" t="s">
        <v>4</v>
      </c>
      <c r="H149" s="2" t="s">
        <v>107</v>
      </c>
      <c r="J149" s="2" t="s">
        <v>117</v>
      </c>
      <c r="L149" s="2" t="s">
        <v>688</v>
      </c>
      <c r="N149" s="2" t="s">
        <v>105</v>
      </c>
      <c r="P149" s="2" t="s">
        <v>117</v>
      </c>
      <c r="Q149" s="2" t="s">
        <v>455</v>
      </c>
      <c r="R149" s="2" t="s">
        <v>1248</v>
      </c>
      <c r="T149" s="2" t="s">
        <v>455</v>
      </c>
      <c r="U149" s="2" t="s">
        <v>296</v>
      </c>
      <c r="V149" s="2" t="s">
        <v>305</v>
      </c>
      <c r="X149" s="2" t="s">
        <v>456</v>
      </c>
      <c r="Y149" s="2" t="s">
        <v>457</v>
      </c>
      <c r="Z149" s="2" t="s">
        <v>458</v>
      </c>
    </row>
    <row r="150" spans="1:27">
      <c r="A150" s="12">
        <v>44970.726838125003</v>
      </c>
      <c r="B150" s="2" t="s">
        <v>452</v>
      </c>
      <c r="C150" s="2" t="s">
        <v>453</v>
      </c>
      <c r="D150" s="2" t="s">
        <v>452</v>
      </c>
      <c r="E150" s="2" t="s">
        <v>454</v>
      </c>
      <c r="F150" s="2" t="s">
        <v>1249</v>
      </c>
      <c r="H150" s="2" t="s">
        <v>992</v>
      </c>
      <c r="J150" s="2" t="s">
        <v>117</v>
      </c>
      <c r="L150" s="2" t="s">
        <v>1250</v>
      </c>
      <c r="N150" s="2" t="s">
        <v>767</v>
      </c>
      <c r="P150" s="2" t="s">
        <v>1063</v>
      </c>
      <c r="Q150" s="2" t="s">
        <v>455</v>
      </c>
      <c r="R150" s="2" t="s">
        <v>1251</v>
      </c>
      <c r="T150" s="2" t="s">
        <v>455</v>
      </c>
      <c r="U150" s="2" t="s">
        <v>875</v>
      </c>
      <c r="V150" s="2" t="s">
        <v>1146</v>
      </c>
      <c r="W150" s="2" t="s">
        <v>411</v>
      </c>
      <c r="X150" s="2" t="s">
        <v>466</v>
      </c>
      <c r="Y150" s="2" t="s">
        <v>457</v>
      </c>
      <c r="Z150" s="2" t="s">
        <v>458</v>
      </c>
    </row>
    <row r="151" spans="1:27">
      <c r="A151" s="12">
        <v>44970.72934878472</v>
      </c>
      <c r="B151" s="2" t="s">
        <v>452</v>
      </c>
      <c r="C151" s="2" t="s">
        <v>453</v>
      </c>
      <c r="D151" s="2" t="s">
        <v>452</v>
      </c>
      <c r="E151" s="2" t="s">
        <v>454</v>
      </c>
      <c r="F151" s="2" t="s">
        <v>1252</v>
      </c>
      <c r="G151" s="2" t="s">
        <v>1253</v>
      </c>
      <c r="H151" s="2" t="s">
        <v>107</v>
      </c>
      <c r="J151" s="2" t="s">
        <v>1254</v>
      </c>
      <c r="L151" s="2" t="s">
        <v>1255</v>
      </c>
      <c r="M151" s="2" t="s">
        <v>93</v>
      </c>
      <c r="N151" s="2" t="s">
        <v>1256</v>
      </c>
      <c r="P151" s="2" t="s">
        <v>1257</v>
      </c>
      <c r="Q151" s="2" t="s">
        <v>455</v>
      </c>
      <c r="R151" s="2" t="s">
        <v>1258</v>
      </c>
      <c r="T151" s="2" t="s">
        <v>455</v>
      </c>
      <c r="U151" s="2" t="s">
        <v>296</v>
      </c>
      <c r="V151" s="2" t="s">
        <v>302</v>
      </c>
      <c r="X151" s="2" t="s">
        <v>461</v>
      </c>
      <c r="Y151" s="2" t="s">
        <v>457</v>
      </c>
      <c r="Z151" s="2" t="s">
        <v>458</v>
      </c>
    </row>
    <row r="152" spans="1:27">
      <c r="A152" s="12">
        <v>44970.734893587964</v>
      </c>
      <c r="B152" s="2" t="s">
        <v>452</v>
      </c>
      <c r="C152" s="2" t="s">
        <v>453</v>
      </c>
      <c r="D152" s="2" t="s">
        <v>452</v>
      </c>
      <c r="E152" s="2" t="s">
        <v>454</v>
      </c>
      <c r="F152" s="2" t="s">
        <v>1259</v>
      </c>
      <c r="H152" s="2" t="s">
        <v>121</v>
      </c>
      <c r="J152" s="2" t="s">
        <v>1005</v>
      </c>
      <c r="L152" s="2" t="s">
        <v>1260</v>
      </c>
      <c r="N152" s="2" t="s">
        <v>106</v>
      </c>
      <c r="P152" s="2" t="s">
        <v>884</v>
      </c>
      <c r="Q152" s="2" t="s">
        <v>455</v>
      </c>
      <c r="R152" s="2" t="s">
        <v>1261</v>
      </c>
      <c r="T152" s="2" t="s">
        <v>455</v>
      </c>
      <c r="U152" s="2" t="s">
        <v>1262</v>
      </c>
      <c r="V152" s="2" t="s">
        <v>305</v>
      </c>
      <c r="W152" s="2" t="s">
        <v>401</v>
      </c>
      <c r="X152" s="2" t="s">
        <v>456</v>
      </c>
      <c r="Y152" s="2" t="s">
        <v>457</v>
      </c>
      <c r="Z152" s="2" t="s">
        <v>458</v>
      </c>
    </row>
    <row r="153" spans="1:27">
      <c r="A153" s="12">
        <v>44970.737442731479</v>
      </c>
      <c r="B153" s="2" t="s">
        <v>452</v>
      </c>
      <c r="C153" s="2" t="s">
        <v>453</v>
      </c>
      <c r="D153" s="2" t="s">
        <v>452</v>
      </c>
      <c r="E153" s="2" t="s">
        <v>454</v>
      </c>
      <c r="F153" s="2" t="s">
        <v>1263</v>
      </c>
      <c r="H153" s="2" t="s">
        <v>139</v>
      </c>
      <c r="J153" s="2" t="s">
        <v>117</v>
      </c>
      <c r="L153" s="2" t="s">
        <v>1264</v>
      </c>
      <c r="N153" s="2" t="s">
        <v>105</v>
      </c>
      <c r="P153" s="2" t="s">
        <v>117</v>
      </c>
      <c r="Q153" s="2" t="s">
        <v>455</v>
      </c>
      <c r="R153" s="2" t="s">
        <v>1265</v>
      </c>
      <c r="T153" s="2" t="s">
        <v>455</v>
      </c>
      <c r="U153" s="2" t="s">
        <v>1266</v>
      </c>
      <c r="V153" s="2" t="s">
        <v>305</v>
      </c>
      <c r="X153" s="2" t="s">
        <v>464</v>
      </c>
      <c r="Y153" s="2" t="s">
        <v>457</v>
      </c>
      <c r="Z153" s="2" t="s">
        <v>458</v>
      </c>
    </row>
    <row r="154" spans="1:27">
      <c r="A154" s="12">
        <v>44970.738346562503</v>
      </c>
      <c r="B154" s="2" t="s">
        <v>452</v>
      </c>
      <c r="C154" s="2" t="s">
        <v>453</v>
      </c>
      <c r="D154" s="2" t="s">
        <v>452</v>
      </c>
      <c r="E154" s="2" t="s">
        <v>454</v>
      </c>
      <c r="F154" s="2" t="s">
        <v>1267</v>
      </c>
      <c r="H154" s="2" t="s">
        <v>1268</v>
      </c>
      <c r="J154" s="2" t="s">
        <v>140</v>
      </c>
      <c r="L154" s="2" t="s">
        <v>658</v>
      </c>
      <c r="N154" s="2" t="s">
        <v>105</v>
      </c>
      <c r="P154" s="2" t="s">
        <v>118</v>
      </c>
      <c r="Q154" s="2" t="s">
        <v>455</v>
      </c>
      <c r="R154" s="2" t="s">
        <v>1269</v>
      </c>
      <c r="T154" s="2" t="s">
        <v>455</v>
      </c>
      <c r="U154" s="2" t="s">
        <v>1270</v>
      </c>
      <c r="V154" s="2" t="s">
        <v>1270</v>
      </c>
      <c r="W154" s="2" t="s">
        <v>393</v>
      </c>
      <c r="X154" s="2" t="s">
        <v>474</v>
      </c>
      <c r="Y154" s="2" t="s">
        <v>457</v>
      </c>
      <c r="Z154" s="2" t="s">
        <v>458</v>
      </c>
    </row>
    <row r="155" spans="1:27">
      <c r="A155" s="12">
        <v>44970.741857280096</v>
      </c>
      <c r="B155" s="2" t="s">
        <v>452</v>
      </c>
      <c r="C155" s="2" t="s">
        <v>453</v>
      </c>
      <c r="D155" s="2" t="s">
        <v>452</v>
      </c>
      <c r="E155" s="2" t="s">
        <v>454</v>
      </c>
      <c r="F155" s="2" t="s">
        <v>1271</v>
      </c>
      <c r="H155" s="2" t="s">
        <v>1272</v>
      </c>
      <c r="J155" s="2" t="s">
        <v>1084</v>
      </c>
      <c r="L155" s="2" t="s">
        <v>1273</v>
      </c>
      <c r="N155" s="2" t="s">
        <v>763</v>
      </c>
      <c r="O155" s="2" t="s">
        <v>116</v>
      </c>
      <c r="P155" s="2" t="s">
        <v>1274</v>
      </c>
      <c r="Q155" s="2" t="s">
        <v>455</v>
      </c>
      <c r="R155" s="2" t="s">
        <v>1275</v>
      </c>
      <c r="S155" s="2" t="s">
        <v>293</v>
      </c>
      <c r="T155" s="2" t="s">
        <v>455</v>
      </c>
      <c r="U155" s="2" t="s">
        <v>1245</v>
      </c>
      <c r="V155" s="2" t="s">
        <v>305</v>
      </c>
      <c r="X155" s="2" t="s">
        <v>462</v>
      </c>
      <c r="Y155" s="2" t="s">
        <v>457</v>
      </c>
      <c r="Z155" s="2" t="s">
        <v>458</v>
      </c>
      <c r="AA155" s="2" t="s">
        <v>537</v>
      </c>
    </row>
    <row r="156" spans="1:27">
      <c r="A156" s="12">
        <v>44970.751032488421</v>
      </c>
      <c r="B156" s="2" t="s">
        <v>452</v>
      </c>
      <c r="C156" s="2" t="s">
        <v>453</v>
      </c>
      <c r="D156" s="2" t="s">
        <v>452</v>
      </c>
      <c r="E156" s="2" t="s">
        <v>454</v>
      </c>
      <c r="F156" s="2" t="s">
        <v>991</v>
      </c>
      <c r="H156" s="2" t="s">
        <v>139</v>
      </c>
      <c r="J156" s="2" t="s">
        <v>117</v>
      </c>
      <c r="L156" s="2" t="s">
        <v>168</v>
      </c>
      <c r="O156" s="2" t="s">
        <v>116</v>
      </c>
      <c r="P156" s="2" t="s">
        <v>117</v>
      </c>
      <c r="Q156" s="2" t="s">
        <v>455</v>
      </c>
      <c r="R156" s="2" t="s">
        <v>186</v>
      </c>
      <c r="T156" s="2" t="s">
        <v>455</v>
      </c>
      <c r="U156" s="2" t="s">
        <v>304</v>
      </c>
      <c r="V156" s="2" t="s">
        <v>305</v>
      </c>
      <c r="X156" s="2" t="s">
        <v>475</v>
      </c>
      <c r="Y156" s="2" t="s">
        <v>457</v>
      </c>
      <c r="Z156" s="2" t="s">
        <v>458</v>
      </c>
    </row>
    <row r="157" spans="1:27">
      <c r="A157" s="12">
        <v>44970.753290162036</v>
      </c>
      <c r="B157" s="2" t="s">
        <v>452</v>
      </c>
      <c r="C157" s="2" t="s">
        <v>453</v>
      </c>
      <c r="D157" s="2" t="s">
        <v>452</v>
      </c>
      <c r="E157" s="2" t="s">
        <v>454</v>
      </c>
      <c r="F157" s="2" t="s">
        <v>1276</v>
      </c>
      <c r="H157" s="2" t="s">
        <v>972</v>
      </c>
      <c r="J157" s="2" t="s">
        <v>1277</v>
      </c>
      <c r="L157" s="2" t="s">
        <v>1243</v>
      </c>
      <c r="N157" s="2" t="s">
        <v>1278</v>
      </c>
      <c r="P157" s="2" t="s">
        <v>1279</v>
      </c>
      <c r="Q157" s="2" t="s">
        <v>455</v>
      </c>
      <c r="R157" s="2" t="s">
        <v>1280</v>
      </c>
      <c r="T157" s="2" t="s">
        <v>455</v>
      </c>
      <c r="U157" s="2" t="s">
        <v>1281</v>
      </c>
      <c r="V157" s="2" t="s">
        <v>857</v>
      </c>
      <c r="W157" s="2" t="s">
        <v>315</v>
      </c>
      <c r="X157" s="2" t="s">
        <v>459</v>
      </c>
      <c r="Y157" s="2" t="s">
        <v>457</v>
      </c>
      <c r="Z157" s="2" t="s">
        <v>458</v>
      </c>
    </row>
    <row r="158" spans="1:27">
      <c r="A158" s="12">
        <v>44970.753664317133</v>
      </c>
      <c r="B158" s="2" t="s">
        <v>452</v>
      </c>
      <c r="C158" s="2" t="s">
        <v>453</v>
      </c>
      <c r="D158" s="2" t="s">
        <v>452</v>
      </c>
      <c r="E158" s="2" t="s">
        <v>454</v>
      </c>
      <c r="F158" s="2" t="s">
        <v>34</v>
      </c>
      <c r="H158" s="2" t="s">
        <v>139</v>
      </c>
      <c r="J158" s="2" t="s">
        <v>157</v>
      </c>
      <c r="L158" s="2" t="s">
        <v>169</v>
      </c>
      <c r="N158" s="2" t="s">
        <v>109</v>
      </c>
      <c r="P158" s="2" t="s">
        <v>120</v>
      </c>
      <c r="Q158" s="2" t="s">
        <v>455</v>
      </c>
      <c r="R158" s="2" t="s">
        <v>1282</v>
      </c>
      <c r="T158" s="2" t="s">
        <v>455</v>
      </c>
      <c r="U158" s="2" t="s">
        <v>1066</v>
      </c>
      <c r="V158" s="2" t="s">
        <v>1066</v>
      </c>
      <c r="X158" s="2" t="s">
        <v>461</v>
      </c>
      <c r="Y158" s="2" t="s">
        <v>457</v>
      </c>
      <c r="Z158" s="2" t="s">
        <v>458</v>
      </c>
    </row>
    <row r="159" spans="1:27">
      <c r="A159" s="12">
        <v>44970.760258819442</v>
      </c>
      <c r="B159" s="2" t="s">
        <v>452</v>
      </c>
      <c r="C159" s="2" t="s">
        <v>453</v>
      </c>
      <c r="D159" s="2" t="s">
        <v>452</v>
      </c>
      <c r="E159" s="2" t="s">
        <v>454</v>
      </c>
      <c r="F159" s="2" t="s">
        <v>1283</v>
      </c>
      <c r="H159" s="2" t="s">
        <v>1015</v>
      </c>
      <c r="J159" s="2" t="s">
        <v>1035</v>
      </c>
      <c r="L159" s="2" t="s">
        <v>1284</v>
      </c>
      <c r="N159" s="2" t="s">
        <v>1285</v>
      </c>
      <c r="P159" s="2" t="s">
        <v>649</v>
      </c>
      <c r="Q159" s="2" t="s">
        <v>455</v>
      </c>
      <c r="R159" s="2" t="s">
        <v>1286</v>
      </c>
      <c r="S159" s="2" t="s">
        <v>276</v>
      </c>
      <c r="T159" s="2" t="s">
        <v>455</v>
      </c>
      <c r="U159" s="2" t="s">
        <v>299</v>
      </c>
      <c r="V159" s="2" t="s">
        <v>305</v>
      </c>
      <c r="X159" s="2" t="s">
        <v>464</v>
      </c>
      <c r="Y159" s="2" t="s">
        <v>457</v>
      </c>
      <c r="Z159" s="2" t="s">
        <v>458</v>
      </c>
      <c r="AA159" s="2" t="s">
        <v>538</v>
      </c>
    </row>
    <row r="160" spans="1:27">
      <c r="A160" s="12">
        <v>44970.767889259259</v>
      </c>
      <c r="B160" s="2" t="s">
        <v>452</v>
      </c>
      <c r="C160" s="2" t="s">
        <v>453</v>
      </c>
      <c r="D160" s="2" t="s">
        <v>452</v>
      </c>
      <c r="E160" s="2" t="s">
        <v>454</v>
      </c>
      <c r="F160" s="2" t="s">
        <v>1287</v>
      </c>
      <c r="H160" s="2" t="s">
        <v>934</v>
      </c>
      <c r="J160" s="2" t="s">
        <v>893</v>
      </c>
      <c r="L160" s="2" t="s">
        <v>1288</v>
      </c>
      <c r="N160" s="2" t="s">
        <v>105</v>
      </c>
      <c r="O160" s="2" t="s">
        <v>539</v>
      </c>
      <c r="P160" s="2" t="s">
        <v>117</v>
      </c>
      <c r="Q160" s="2" t="s">
        <v>455</v>
      </c>
      <c r="R160" s="2" t="s">
        <v>1289</v>
      </c>
      <c r="S160" s="2" t="s">
        <v>199</v>
      </c>
      <c r="T160" s="2" t="s">
        <v>455</v>
      </c>
      <c r="U160" s="2" t="s">
        <v>982</v>
      </c>
      <c r="V160" s="2" t="s">
        <v>305</v>
      </c>
      <c r="X160" s="2" t="s">
        <v>462</v>
      </c>
      <c r="Y160" s="2" t="s">
        <v>457</v>
      </c>
      <c r="Z160" s="2" t="s">
        <v>458</v>
      </c>
    </row>
    <row r="161" spans="1:27">
      <c r="A161" s="12">
        <v>44970.769332476848</v>
      </c>
      <c r="B161" s="2" t="s">
        <v>452</v>
      </c>
      <c r="C161" s="2" t="s">
        <v>453</v>
      </c>
      <c r="D161" s="2" t="s">
        <v>452</v>
      </c>
      <c r="E161" s="2" t="s">
        <v>454</v>
      </c>
      <c r="F161" s="2" t="s">
        <v>1290</v>
      </c>
      <c r="H161" s="2" t="s">
        <v>139</v>
      </c>
      <c r="J161" s="2" t="s">
        <v>117</v>
      </c>
      <c r="L161" s="2" t="s">
        <v>1291</v>
      </c>
      <c r="N161" s="2" t="s">
        <v>105</v>
      </c>
      <c r="P161" s="2" t="s">
        <v>117</v>
      </c>
      <c r="Q161" s="2" t="s">
        <v>455</v>
      </c>
      <c r="R161" s="2" t="s">
        <v>1292</v>
      </c>
      <c r="T161" s="2" t="s">
        <v>455</v>
      </c>
      <c r="U161" s="2" t="s">
        <v>735</v>
      </c>
      <c r="V161" s="2" t="s">
        <v>305</v>
      </c>
      <c r="W161" s="2" t="s">
        <v>327</v>
      </c>
      <c r="X161" s="2" t="s">
        <v>459</v>
      </c>
      <c r="Y161" s="2" t="s">
        <v>457</v>
      </c>
      <c r="Z161" s="2" t="s">
        <v>458</v>
      </c>
      <c r="AA161" s="2" t="s">
        <v>540</v>
      </c>
    </row>
    <row r="162" spans="1:27">
      <c r="A162" s="12">
        <v>44970.770496215278</v>
      </c>
      <c r="B162" s="2" t="s">
        <v>452</v>
      </c>
      <c r="C162" s="2" t="s">
        <v>453</v>
      </c>
      <c r="D162" s="2" t="s">
        <v>452</v>
      </c>
      <c r="E162" s="2" t="s">
        <v>454</v>
      </c>
      <c r="F162" s="2" t="s">
        <v>1</v>
      </c>
      <c r="H162" s="2" t="s">
        <v>107</v>
      </c>
      <c r="J162" s="2" t="s">
        <v>117</v>
      </c>
      <c r="L162" s="2" t="s">
        <v>169</v>
      </c>
      <c r="N162" s="2" t="s">
        <v>106</v>
      </c>
      <c r="P162" s="2" t="s">
        <v>117</v>
      </c>
      <c r="Q162" s="2" t="s">
        <v>455</v>
      </c>
      <c r="R162" s="2" t="s">
        <v>1293</v>
      </c>
      <c r="S162" s="2" t="s">
        <v>262</v>
      </c>
      <c r="T162" s="2" t="s">
        <v>455</v>
      </c>
      <c r="U162" s="2" t="s">
        <v>304</v>
      </c>
      <c r="V162" s="2" t="s">
        <v>305</v>
      </c>
      <c r="X162" s="2" t="s">
        <v>474</v>
      </c>
      <c r="Y162" s="2" t="s">
        <v>457</v>
      </c>
      <c r="Z162" s="2" t="s">
        <v>458</v>
      </c>
    </row>
    <row r="163" spans="1:27">
      <c r="A163" s="12">
        <v>44970.787310266205</v>
      </c>
      <c r="B163" s="2" t="s">
        <v>452</v>
      </c>
      <c r="C163" s="2" t="s">
        <v>453</v>
      </c>
      <c r="D163" s="2" t="s">
        <v>452</v>
      </c>
      <c r="E163" s="2" t="s">
        <v>454</v>
      </c>
      <c r="F163" s="2" t="s">
        <v>1294</v>
      </c>
      <c r="H163" s="2" t="s">
        <v>139</v>
      </c>
      <c r="J163" s="2" t="s">
        <v>117</v>
      </c>
      <c r="L163" s="2" t="s">
        <v>1295</v>
      </c>
      <c r="N163" s="2" t="s">
        <v>106</v>
      </c>
      <c r="P163" s="2" t="s">
        <v>117</v>
      </c>
      <c r="Q163" s="2" t="s">
        <v>455</v>
      </c>
      <c r="R163" s="2" t="s">
        <v>1296</v>
      </c>
      <c r="T163" s="2" t="s">
        <v>472</v>
      </c>
      <c r="X163" s="2" t="s">
        <v>474</v>
      </c>
      <c r="Y163" s="2" t="s">
        <v>457</v>
      </c>
      <c r="Z163" s="2" t="s">
        <v>458</v>
      </c>
    </row>
    <row r="164" spans="1:27">
      <c r="A164" s="12">
        <v>44970.789615891204</v>
      </c>
      <c r="B164" s="2" t="s">
        <v>452</v>
      </c>
      <c r="C164" s="2" t="s">
        <v>453</v>
      </c>
      <c r="D164" s="2" t="s">
        <v>452</v>
      </c>
      <c r="E164" s="2" t="s">
        <v>454</v>
      </c>
      <c r="F164" s="2" t="s">
        <v>1297</v>
      </c>
      <c r="H164" s="2" t="s">
        <v>1298</v>
      </c>
      <c r="J164" s="2" t="s">
        <v>1299</v>
      </c>
      <c r="L164" s="2" t="s">
        <v>1300</v>
      </c>
      <c r="N164" s="2" t="s">
        <v>1301</v>
      </c>
      <c r="P164" s="2" t="s">
        <v>118</v>
      </c>
      <c r="Q164" s="2" t="s">
        <v>455</v>
      </c>
      <c r="R164" s="2" t="s">
        <v>1302</v>
      </c>
      <c r="T164" s="2" t="s">
        <v>455</v>
      </c>
      <c r="U164" s="2" t="s">
        <v>304</v>
      </c>
      <c r="V164" s="2" t="s">
        <v>305</v>
      </c>
      <c r="X164" s="2" t="s">
        <v>475</v>
      </c>
      <c r="Y164" s="2" t="s">
        <v>541</v>
      </c>
      <c r="Z164" s="2" t="s">
        <v>458</v>
      </c>
    </row>
    <row r="165" spans="1:27">
      <c r="A165" s="12">
        <v>44970.802669791665</v>
      </c>
      <c r="B165" s="2" t="s">
        <v>452</v>
      </c>
      <c r="C165" s="2" t="s">
        <v>453</v>
      </c>
      <c r="D165" s="2" t="s">
        <v>452</v>
      </c>
      <c r="E165" s="2" t="s">
        <v>454</v>
      </c>
      <c r="F165" s="2" t="s">
        <v>1303</v>
      </c>
      <c r="H165" s="2" t="s">
        <v>107</v>
      </c>
      <c r="J165" s="2" t="s">
        <v>117</v>
      </c>
      <c r="L165" s="2" t="s">
        <v>1304</v>
      </c>
      <c r="N165" s="2" t="s">
        <v>675</v>
      </c>
      <c r="P165" s="2" t="s">
        <v>117</v>
      </c>
      <c r="Q165" s="2" t="s">
        <v>455</v>
      </c>
      <c r="R165" s="2" t="s">
        <v>1305</v>
      </c>
      <c r="T165" s="2" t="s">
        <v>455</v>
      </c>
      <c r="U165" s="2" t="s">
        <v>304</v>
      </c>
      <c r="V165" s="2" t="s">
        <v>305</v>
      </c>
      <c r="X165" s="2" t="s">
        <v>459</v>
      </c>
      <c r="Y165" s="2" t="s">
        <v>457</v>
      </c>
      <c r="Z165" s="2" t="s">
        <v>458</v>
      </c>
    </row>
    <row r="166" spans="1:27">
      <c r="A166" s="12">
        <v>44970.807337916667</v>
      </c>
      <c r="B166" s="2" t="s">
        <v>452</v>
      </c>
      <c r="C166" s="2" t="s">
        <v>453</v>
      </c>
      <c r="D166" s="2" t="s">
        <v>452</v>
      </c>
      <c r="E166" s="2" t="s">
        <v>454</v>
      </c>
      <c r="F166" s="2" t="s">
        <v>1306</v>
      </c>
      <c r="H166" s="2" t="s">
        <v>789</v>
      </c>
      <c r="J166" s="2" t="s">
        <v>117</v>
      </c>
      <c r="L166" s="2" t="s">
        <v>167</v>
      </c>
      <c r="N166" s="2" t="s">
        <v>105</v>
      </c>
      <c r="P166" s="2" t="s">
        <v>117</v>
      </c>
      <c r="Q166" s="2" t="s">
        <v>455</v>
      </c>
      <c r="R166" s="2" t="s">
        <v>1307</v>
      </c>
      <c r="T166" s="2" t="s">
        <v>455</v>
      </c>
      <c r="U166" s="2" t="s">
        <v>304</v>
      </c>
      <c r="V166" s="2" t="s">
        <v>305</v>
      </c>
      <c r="X166" s="2" t="s">
        <v>474</v>
      </c>
      <c r="Y166" s="2" t="s">
        <v>457</v>
      </c>
      <c r="Z166" s="2" t="s">
        <v>458</v>
      </c>
    </row>
    <row r="167" spans="1:27">
      <c r="A167" s="12">
        <v>44970.809696516204</v>
      </c>
      <c r="B167" s="2" t="s">
        <v>452</v>
      </c>
      <c r="C167" s="2" t="s">
        <v>453</v>
      </c>
      <c r="D167" s="2" t="s">
        <v>452</v>
      </c>
      <c r="E167" s="2" t="s">
        <v>454</v>
      </c>
      <c r="F167" s="2" t="s">
        <v>1308</v>
      </c>
      <c r="H167" s="2" t="s">
        <v>1309</v>
      </c>
      <c r="J167" s="2" t="s">
        <v>1310</v>
      </c>
      <c r="L167" s="2" t="s">
        <v>1311</v>
      </c>
      <c r="N167" s="2" t="s">
        <v>655</v>
      </c>
      <c r="P167" s="2" t="s">
        <v>118</v>
      </c>
      <c r="Q167" s="2" t="s">
        <v>455</v>
      </c>
      <c r="R167" s="2" t="s">
        <v>1312</v>
      </c>
      <c r="T167" s="2" t="s">
        <v>455</v>
      </c>
      <c r="U167" s="2" t="s">
        <v>298</v>
      </c>
      <c r="V167" s="2" t="s">
        <v>303</v>
      </c>
      <c r="W167" s="2" t="s">
        <v>374</v>
      </c>
      <c r="X167" s="2" t="s">
        <v>456</v>
      </c>
      <c r="Y167" s="2" t="s">
        <v>457</v>
      </c>
      <c r="Z167" s="2" t="s">
        <v>458</v>
      </c>
    </row>
    <row r="168" spans="1:27">
      <c r="A168" s="12">
        <v>44970.814980995376</v>
      </c>
      <c r="B168" s="2" t="s">
        <v>452</v>
      </c>
      <c r="C168" s="2" t="s">
        <v>453</v>
      </c>
      <c r="D168" s="2" t="s">
        <v>452</v>
      </c>
      <c r="E168" s="2" t="s">
        <v>454</v>
      </c>
      <c r="F168" s="2" t="s">
        <v>1313</v>
      </c>
      <c r="H168" s="2" t="s">
        <v>1314</v>
      </c>
      <c r="J168" s="2" t="s">
        <v>117</v>
      </c>
      <c r="L168" s="2" t="s">
        <v>1315</v>
      </c>
      <c r="N168" s="2" t="s">
        <v>1316</v>
      </c>
      <c r="P168" s="2" t="s">
        <v>121</v>
      </c>
      <c r="Q168" s="2" t="s">
        <v>455</v>
      </c>
      <c r="R168" s="2" t="s">
        <v>1317</v>
      </c>
      <c r="S168" s="2" t="s">
        <v>254</v>
      </c>
      <c r="T168" s="2" t="s">
        <v>455</v>
      </c>
      <c r="U168" s="2" t="s">
        <v>304</v>
      </c>
      <c r="V168" s="2" t="s">
        <v>305</v>
      </c>
      <c r="X168" s="2" t="s">
        <v>462</v>
      </c>
      <c r="Y168" s="2" t="s">
        <v>457</v>
      </c>
      <c r="Z168" s="2" t="s">
        <v>458</v>
      </c>
      <c r="AA168" s="2" t="s">
        <v>542</v>
      </c>
    </row>
    <row r="169" spans="1:27">
      <c r="A169" s="12">
        <v>44970.817213298607</v>
      </c>
      <c r="B169" s="2" t="s">
        <v>452</v>
      </c>
      <c r="C169" s="2" t="s">
        <v>453</v>
      </c>
      <c r="D169" s="2" t="s">
        <v>452</v>
      </c>
      <c r="E169" s="2" t="s">
        <v>454</v>
      </c>
      <c r="F169" s="2" t="s">
        <v>1318</v>
      </c>
      <c r="H169" s="2" t="s">
        <v>1319</v>
      </c>
      <c r="J169" s="2" t="s">
        <v>117</v>
      </c>
      <c r="L169" s="2" t="s">
        <v>1320</v>
      </c>
      <c r="N169" s="2" t="s">
        <v>1321</v>
      </c>
      <c r="P169" s="2" t="s">
        <v>117</v>
      </c>
      <c r="Q169" s="2" t="s">
        <v>455</v>
      </c>
      <c r="R169" s="2" t="s">
        <v>1322</v>
      </c>
      <c r="T169" s="2" t="s">
        <v>455</v>
      </c>
      <c r="U169" s="2" t="s">
        <v>303</v>
      </c>
      <c r="V169" s="2" t="s">
        <v>305</v>
      </c>
      <c r="X169" s="2" t="s">
        <v>462</v>
      </c>
      <c r="Y169" s="2" t="s">
        <v>457</v>
      </c>
      <c r="Z169" s="2" t="s">
        <v>458</v>
      </c>
    </row>
    <row r="170" spans="1:27">
      <c r="A170" s="12">
        <v>44970.832185462961</v>
      </c>
      <c r="B170" s="2" t="s">
        <v>452</v>
      </c>
      <c r="C170" s="2" t="s">
        <v>453</v>
      </c>
      <c r="D170" s="2" t="s">
        <v>452</v>
      </c>
      <c r="E170" s="2" t="s">
        <v>454</v>
      </c>
      <c r="F170" s="2" t="s">
        <v>1323</v>
      </c>
      <c r="H170" s="2" t="s">
        <v>1324</v>
      </c>
      <c r="J170" s="2" t="s">
        <v>117</v>
      </c>
      <c r="L170" s="2" t="s">
        <v>1325</v>
      </c>
      <c r="N170" s="2" t="s">
        <v>105</v>
      </c>
      <c r="O170" s="2" t="s">
        <v>115</v>
      </c>
      <c r="P170" s="2" t="s">
        <v>118</v>
      </c>
      <c r="Q170" s="2" t="s">
        <v>455</v>
      </c>
      <c r="T170" s="2" t="s">
        <v>455</v>
      </c>
      <c r="U170" s="2" t="s">
        <v>787</v>
      </c>
      <c r="V170" s="2" t="s">
        <v>302</v>
      </c>
      <c r="X170" s="2" t="s">
        <v>501</v>
      </c>
      <c r="Y170" s="2" t="s">
        <v>457</v>
      </c>
      <c r="Z170" s="2" t="s">
        <v>458</v>
      </c>
    </row>
    <row r="171" spans="1:27">
      <c r="A171" s="12">
        <v>44970.832268032405</v>
      </c>
      <c r="B171" s="2" t="s">
        <v>452</v>
      </c>
      <c r="C171" s="2" t="s">
        <v>453</v>
      </c>
      <c r="D171" s="2" t="s">
        <v>452</v>
      </c>
      <c r="E171" s="2" t="s">
        <v>454</v>
      </c>
      <c r="F171" s="2" t="s">
        <v>1326</v>
      </c>
      <c r="H171" s="2" t="s">
        <v>139</v>
      </c>
      <c r="J171" s="2" t="s">
        <v>117</v>
      </c>
      <c r="L171" s="2" t="s">
        <v>1327</v>
      </c>
      <c r="M171" s="2" t="s">
        <v>58</v>
      </c>
      <c r="N171" s="2" t="s">
        <v>105</v>
      </c>
      <c r="P171" s="2" t="s">
        <v>117</v>
      </c>
      <c r="Q171" s="2" t="s">
        <v>455</v>
      </c>
      <c r="R171" s="2" t="s">
        <v>1328</v>
      </c>
      <c r="S171" s="2" t="s">
        <v>268</v>
      </c>
      <c r="T171" s="2" t="s">
        <v>455</v>
      </c>
      <c r="U171" s="2" t="s">
        <v>304</v>
      </c>
      <c r="V171" s="2" t="s">
        <v>305</v>
      </c>
      <c r="W171" s="2" t="s">
        <v>396</v>
      </c>
      <c r="X171" s="2" t="s">
        <v>456</v>
      </c>
      <c r="Y171" s="2" t="s">
        <v>457</v>
      </c>
      <c r="Z171" s="2" t="s">
        <v>458</v>
      </c>
    </row>
    <row r="172" spans="1:27">
      <c r="A172" s="12">
        <v>44970.832898680557</v>
      </c>
      <c r="B172" s="2" t="s">
        <v>452</v>
      </c>
      <c r="C172" s="2" t="s">
        <v>453</v>
      </c>
      <c r="D172" s="2" t="s">
        <v>452</v>
      </c>
      <c r="E172" s="2" t="s">
        <v>454</v>
      </c>
      <c r="F172" s="2" t="s">
        <v>1329</v>
      </c>
      <c r="H172" s="2" t="s">
        <v>789</v>
      </c>
      <c r="J172" s="2" t="s">
        <v>845</v>
      </c>
      <c r="L172" s="2" t="s">
        <v>1330</v>
      </c>
      <c r="N172" s="2" t="s">
        <v>105</v>
      </c>
      <c r="P172" s="2" t="s">
        <v>117</v>
      </c>
      <c r="Q172" s="2" t="s">
        <v>455</v>
      </c>
      <c r="R172" s="2" t="s">
        <v>1185</v>
      </c>
      <c r="T172" s="2" t="s">
        <v>455</v>
      </c>
      <c r="U172" s="2" t="s">
        <v>982</v>
      </c>
      <c r="V172" s="2" t="s">
        <v>305</v>
      </c>
      <c r="X172" s="2" t="s">
        <v>462</v>
      </c>
      <c r="Y172" s="2" t="s">
        <v>457</v>
      </c>
      <c r="Z172" s="2" t="s">
        <v>458</v>
      </c>
    </row>
    <row r="173" spans="1:27">
      <c r="A173" s="12">
        <v>44970.838872789347</v>
      </c>
      <c r="B173" s="2" t="s">
        <v>452</v>
      </c>
      <c r="C173" s="2" t="s">
        <v>453</v>
      </c>
      <c r="D173" s="2" t="s">
        <v>452</v>
      </c>
      <c r="E173" s="2" t="s">
        <v>454</v>
      </c>
      <c r="F173" s="2" t="s">
        <v>1331</v>
      </c>
      <c r="H173" s="2" t="s">
        <v>107</v>
      </c>
      <c r="J173" s="2" t="s">
        <v>154</v>
      </c>
      <c r="L173" s="2" t="s">
        <v>1332</v>
      </c>
      <c r="N173" s="2" t="s">
        <v>107</v>
      </c>
      <c r="P173" s="2" t="s">
        <v>117</v>
      </c>
      <c r="Q173" s="2" t="s">
        <v>455</v>
      </c>
      <c r="R173" s="2" t="s">
        <v>1333</v>
      </c>
      <c r="T173" s="2" t="s">
        <v>455</v>
      </c>
      <c r="U173" s="2" t="s">
        <v>304</v>
      </c>
      <c r="V173" s="2" t="s">
        <v>305</v>
      </c>
      <c r="X173" s="2" t="s">
        <v>459</v>
      </c>
      <c r="Y173" s="2" t="s">
        <v>457</v>
      </c>
      <c r="Z173" s="2" t="s">
        <v>458</v>
      </c>
    </row>
    <row r="174" spans="1:27">
      <c r="A174" s="12">
        <v>44970.84422864583</v>
      </c>
      <c r="B174" s="2" t="s">
        <v>452</v>
      </c>
      <c r="C174" s="2" t="s">
        <v>453</v>
      </c>
      <c r="D174" s="2" t="s">
        <v>452</v>
      </c>
      <c r="E174" s="2" t="s">
        <v>454</v>
      </c>
      <c r="F174" s="2" t="s">
        <v>1334</v>
      </c>
      <c r="H174" s="2" t="s">
        <v>1335</v>
      </c>
      <c r="J174" s="2" t="s">
        <v>117</v>
      </c>
      <c r="L174" s="2" t="s">
        <v>124</v>
      </c>
      <c r="N174" s="2" t="s">
        <v>106</v>
      </c>
      <c r="P174" s="2" t="s">
        <v>117</v>
      </c>
      <c r="Q174" s="2" t="s">
        <v>455</v>
      </c>
      <c r="R174" s="2" t="s">
        <v>1336</v>
      </c>
      <c r="T174" s="2" t="s">
        <v>455</v>
      </c>
      <c r="U174" s="2" t="s">
        <v>735</v>
      </c>
      <c r="V174" s="2" t="s">
        <v>305</v>
      </c>
      <c r="W174" s="2" t="s">
        <v>408</v>
      </c>
      <c r="X174" s="2" t="s">
        <v>462</v>
      </c>
      <c r="Y174" s="2" t="s">
        <v>457</v>
      </c>
      <c r="Z174" s="2" t="s">
        <v>458</v>
      </c>
    </row>
    <row r="175" spans="1:27">
      <c r="A175" s="12">
        <v>44970.848418194444</v>
      </c>
      <c r="B175" s="2" t="s">
        <v>452</v>
      </c>
      <c r="C175" s="2" t="s">
        <v>453</v>
      </c>
      <c r="D175" s="2" t="s">
        <v>452</v>
      </c>
      <c r="E175" s="2" t="s">
        <v>454</v>
      </c>
      <c r="F175" s="2" t="s">
        <v>1337</v>
      </c>
      <c r="H175" s="2" t="s">
        <v>1338</v>
      </c>
      <c r="J175" s="2" t="s">
        <v>117</v>
      </c>
      <c r="L175" s="2" t="s">
        <v>1339</v>
      </c>
      <c r="N175" s="2" t="s">
        <v>106</v>
      </c>
      <c r="P175" s="2" t="s">
        <v>117</v>
      </c>
      <c r="Q175" s="2" t="s">
        <v>455</v>
      </c>
      <c r="R175" s="2" t="s">
        <v>1340</v>
      </c>
      <c r="T175" s="2" t="s">
        <v>455</v>
      </c>
      <c r="U175" s="2" t="s">
        <v>304</v>
      </c>
      <c r="V175" s="2" t="s">
        <v>305</v>
      </c>
      <c r="X175" s="2" t="s">
        <v>464</v>
      </c>
      <c r="Y175" s="2" t="s">
        <v>457</v>
      </c>
      <c r="Z175" s="2" t="s">
        <v>458</v>
      </c>
    </row>
    <row r="176" spans="1:27">
      <c r="A176" s="12">
        <v>44970.853842997683</v>
      </c>
      <c r="B176" s="2" t="s">
        <v>452</v>
      </c>
      <c r="C176" s="2" t="s">
        <v>453</v>
      </c>
      <c r="D176" s="2" t="s">
        <v>452</v>
      </c>
      <c r="E176" s="2" t="s">
        <v>454</v>
      </c>
      <c r="F176" s="2" t="s">
        <v>1341</v>
      </c>
      <c r="G176" s="2" t="s">
        <v>29</v>
      </c>
      <c r="H176" s="2" t="s">
        <v>789</v>
      </c>
      <c r="J176" s="2" t="s">
        <v>705</v>
      </c>
      <c r="L176" s="2" t="s">
        <v>1342</v>
      </c>
      <c r="N176" s="2" t="s">
        <v>105</v>
      </c>
      <c r="P176" s="2" t="s">
        <v>118</v>
      </c>
      <c r="Q176" s="2" t="s">
        <v>455</v>
      </c>
      <c r="R176" s="2" t="s">
        <v>1343</v>
      </c>
      <c r="T176" s="2" t="s">
        <v>455</v>
      </c>
      <c r="U176" s="2" t="s">
        <v>735</v>
      </c>
      <c r="V176" s="2" t="s">
        <v>303</v>
      </c>
      <c r="W176" s="2" t="s">
        <v>319</v>
      </c>
      <c r="X176" s="2" t="s">
        <v>462</v>
      </c>
      <c r="Y176" s="2" t="s">
        <v>457</v>
      </c>
      <c r="Z176" s="2" t="s">
        <v>458</v>
      </c>
    </row>
    <row r="177" spans="1:27">
      <c r="A177" s="12">
        <v>44970.863178148153</v>
      </c>
      <c r="B177" s="2" t="s">
        <v>452</v>
      </c>
      <c r="C177" s="2" t="s">
        <v>453</v>
      </c>
      <c r="D177" s="2" t="s">
        <v>452</v>
      </c>
      <c r="E177" s="2" t="s">
        <v>454</v>
      </c>
      <c r="F177" s="2" t="s">
        <v>1344</v>
      </c>
      <c r="G177" s="2" t="s">
        <v>1345</v>
      </c>
      <c r="H177" s="2" t="s">
        <v>789</v>
      </c>
      <c r="I177" s="2" t="s">
        <v>144</v>
      </c>
      <c r="J177" s="2" t="s">
        <v>1346</v>
      </c>
      <c r="L177" s="2" t="s">
        <v>1347</v>
      </c>
      <c r="N177" s="2" t="s">
        <v>106</v>
      </c>
      <c r="P177" s="2" t="s">
        <v>676</v>
      </c>
      <c r="Q177" s="2" t="s">
        <v>455</v>
      </c>
      <c r="R177" s="2" t="s">
        <v>1348</v>
      </c>
      <c r="T177" s="2" t="s">
        <v>455</v>
      </c>
      <c r="U177" s="2" t="s">
        <v>1349</v>
      </c>
      <c r="V177" s="2" t="s">
        <v>1001</v>
      </c>
      <c r="X177" s="2" t="s">
        <v>459</v>
      </c>
      <c r="Y177" s="2" t="s">
        <v>457</v>
      </c>
      <c r="Z177" s="2" t="s">
        <v>458</v>
      </c>
    </row>
    <row r="178" spans="1:27">
      <c r="A178" s="12">
        <v>44970.875192905092</v>
      </c>
      <c r="B178" s="2" t="s">
        <v>452</v>
      </c>
      <c r="C178" s="2" t="s">
        <v>453</v>
      </c>
      <c r="D178" s="2" t="s">
        <v>452</v>
      </c>
      <c r="E178" s="2" t="s">
        <v>454</v>
      </c>
      <c r="F178" s="2" t="s">
        <v>1350</v>
      </c>
      <c r="H178" s="2" t="s">
        <v>883</v>
      </c>
      <c r="J178" s="2" t="s">
        <v>117</v>
      </c>
      <c r="L178" s="2" t="s">
        <v>1351</v>
      </c>
      <c r="M178" s="2" t="s">
        <v>57</v>
      </c>
      <c r="N178" s="2" t="s">
        <v>105</v>
      </c>
      <c r="P178" s="2" t="s">
        <v>117</v>
      </c>
      <c r="Q178" s="2" t="s">
        <v>455</v>
      </c>
      <c r="R178" s="2" t="s">
        <v>1352</v>
      </c>
      <c r="T178" s="2" t="s">
        <v>455</v>
      </c>
      <c r="U178" s="2" t="s">
        <v>1353</v>
      </c>
      <c r="V178" s="2" t="s">
        <v>305</v>
      </c>
      <c r="W178" s="2" t="s">
        <v>381</v>
      </c>
      <c r="X178" s="2" t="s">
        <v>462</v>
      </c>
      <c r="Y178" s="2" t="s">
        <v>457</v>
      </c>
      <c r="Z178" s="2" t="s">
        <v>458</v>
      </c>
    </row>
    <row r="179" spans="1:27">
      <c r="A179" s="12">
        <v>44970.879200636569</v>
      </c>
      <c r="B179" s="2" t="s">
        <v>452</v>
      </c>
      <c r="C179" s="2" t="s">
        <v>453</v>
      </c>
      <c r="D179" s="2" t="s">
        <v>452</v>
      </c>
      <c r="E179" s="2" t="s">
        <v>454</v>
      </c>
      <c r="F179" s="2" t="s">
        <v>1354</v>
      </c>
      <c r="G179" s="2" t="s">
        <v>1355</v>
      </c>
      <c r="H179" s="2" t="s">
        <v>139</v>
      </c>
      <c r="J179" s="2" t="s">
        <v>117</v>
      </c>
      <c r="L179" s="2" t="s">
        <v>1250</v>
      </c>
      <c r="N179" s="2" t="s">
        <v>763</v>
      </c>
      <c r="P179" s="2" t="s">
        <v>117</v>
      </c>
      <c r="Q179" s="2" t="s">
        <v>455</v>
      </c>
      <c r="R179" s="2" t="s">
        <v>181</v>
      </c>
      <c r="T179" s="2" t="s">
        <v>455</v>
      </c>
      <c r="U179" s="2" t="s">
        <v>304</v>
      </c>
      <c r="V179" s="2" t="s">
        <v>305</v>
      </c>
      <c r="X179" s="2" t="s">
        <v>459</v>
      </c>
      <c r="Y179" s="2" t="s">
        <v>457</v>
      </c>
      <c r="Z179" s="2" t="s">
        <v>458</v>
      </c>
    </row>
    <row r="180" spans="1:27">
      <c r="A180" s="12">
        <v>44970.885612094906</v>
      </c>
      <c r="B180" s="2" t="s">
        <v>452</v>
      </c>
      <c r="C180" s="2" t="s">
        <v>453</v>
      </c>
      <c r="D180" s="2" t="s">
        <v>452</v>
      </c>
      <c r="E180" s="2" t="s">
        <v>454</v>
      </c>
      <c r="F180" s="2" t="s">
        <v>1356</v>
      </c>
      <c r="H180" s="2" t="s">
        <v>139</v>
      </c>
      <c r="J180" s="2" t="s">
        <v>117</v>
      </c>
      <c r="L180" s="2" t="s">
        <v>1357</v>
      </c>
      <c r="N180" s="2" t="s">
        <v>1358</v>
      </c>
      <c r="P180" s="2" t="s">
        <v>117</v>
      </c>
      <c r="Q180" s="2" t="s">
        <v>455</v>
      </c>
      <c r="R180" s="2" t="s">
        <v>1359</v>
      </c>
      <c r="S180" s="2" t="s">
        <v>234</v>
      </c>
      <c r="T180" s="2" t="s">
        <v>455</v>
      </c>
      <c r="U180" s="2" t="s">
        <v>304</v>
      </c>
      <c r="V180" s="2" t="s">
        <v>305</v>
      </c>
      <c r="X180" s="2" t="s">
        <v>459</v>
      </c>
      <c r="Y180" s="2" t="s">
        <v>457</v>
      </c>
      <c r="Z180" s="2" t="s">
        <v>458</v>
      </c>
      <c r="AA180" s="2" t="s">
        <v>546</v>
      </c>
    </row>
    <row r="181" spans="1:27">
      <c r="A181" s="12">
        <v>44970.889421840278</v>
      </c>
      <c r="B181" s="2" t="s">
        <v>452</v>
      </c>
      <c r="C181" s="2" t="s">
        <v>453</v>
      </c>
      <c r="D181" s="2" t="s">
        <v>452</v>
      </c>
      <c r="E181" s="2" t="s">
        <v>454</v>
      </c>
      <c r="F181" s="2" t="s">
        <v>1360</v>
      </c>
      <c r="H181" s="2" t="s">
        <v>139</v>
      </c>
      <c r="J181" s="2" t="s">
        <v>117</v>
      </c>
      <c r="L181" s="2" t="s">
        <v>1361</v>
      </c>
      <c r="N181" s="2" t="s">
        <v>105</v>
      </c>
      <c r="O181" s="2" t="s">
        <v>485</v>
      </c>
      <c r="P181" s="2" t="s">
        <v>117</v>
      </c>
      <c r="Q181" s="2" t="s">
        <v>455</v>
      </c>
      <c r="R181" s="2" t="s">
        <v>1362</v>
      </c>
      <c r="T181" s="2" t="s">
        <v>455</v>
      </c>
      <c r="U181" s="2" t="s">
        <v>1363</v>
      </c>
      <c r="V181" s="2" t="s">
        <v>298</v>
      </c>
      <c r="X181" s="2" t="s">
        <v>456</v>
      </c>
      <c r="Y181" s="2" t="s">
        <v>457</v>
      </c>
      <c r="Z181" s="2" t="s">
        <v>458</v>
      </c>
    </row>
    <row r="182" spans="1:27">
      <c r="A182" s="12">
        <v>44970.88951011574</v>
      </c>
      <c r="B182" s="2" t="s">
        <v>452</v>
      </c>
      <c r="C182" s="2" t="s">
        <v>453</v>
      </c>
      <c r="D182" s="2" t="s">
        <v>452</v>
      </c>
      <c r="E182" s="2" t="s">
        <v>454</v>
      </c>
      <c r="F182" s="2" t="s">
        <v>1364</v>
      </c>
      <c r="H182" s="2" t="s">
        <v>139</v>
      </c>
      <c r="I182" s="2" t="s">
        <v>144</v>
      </c>
      <c r="J182" s="2" t="s">
        <v>117</v>
      </c>
      <c r="L182" s="2" t="s">
        <v>731</v>
      </c>
      <c r="N182" s="2" t="s">
        <v>1365</v>
      </c>
      <c r="P182" s="2" t="s">
        <v>838</v>
      </c>
      <c r="Q182" s="2" t="s">
        <v>455</v>
      </c>
      <c r="R182" s="2" t="s">
        <v>1366</v>
      </c>
      <c r="T182" s="2" t="s">
        <v>455</v>
      </c>
      <c r="U182" s="2" t="s">
        <v>1367</v>
      </c>
      <c r="V182" s="2" t="s">
        <v>1001</v>
      </c>
      <c r="W182" s="2" t="s">
        <v>417</v>
      </c>
      <c r="X182" s="2" t="s">
        <v>462</v>
      </c>
      <c r="Y182" s="2" t="s">
        <v>457</v>
      </c>
      <c r="Z182" s="2" t="s">
        <v>452</v>
      </c>
      <c r="AA182" s="2" t="s">
        <v>547</v>
      </c>
    </row>
    <row r="183" spans="1:27">
      <c r="A183" s="12">
        <v>44970.890658784723</v>
      </c>
      <c r="B183" s="2" t="s">
        <v>452</v>
      </c>
      <c r="C183" s="2" t="s">
        <v>453</v>
      </c>
      <c r="D183" s="2" t="s">
        <v>452</v>
      </c>
      <c r="E183" s="2" t="s">
        <v>454</v>
      </c>
      <c r="F183" s="2" t="s">
        <v>1368</v>
      </c>
      <c r="H183" s="2" t="s">
        <v>139</v>
      </c>
      <c r="J183" s="2" t="s">
        <v>117</v>
      </c>
      <c r="L183" s="2" t="s">
        <v>1369</v>
      </c>
      <c r="N183" s="2" t="s">
        <v>110</v>
      </c>
      <c r="P183" s="2" t="s">
        <v>117</v>
      </c>
      <c r="Q183" s="2" t="s">
        <v>455</v>
      </c>
      <c r="R183" s="2" t="s">
        <v>1370</v>
      </c>
      <c r="T183" s="2" t="s">
        <v>455</v>
      </c>
      <c r="U183" s="2" t="s">
        <v>304</v>
      </c>
      <c r="V183" s="2" t="s">
        <v>305</v>
      </c>
      <c r="X183" s="2" t="s">
        <v>474</v>
      </c>
      <c r="Y183" s="2" t="s">
        <v>457</v>
      </c>
      <c r="Z183" s="2" t="s">
        <v>458</v>
      </c>
    </row>
    <row r="184" spans="1:27">
      <c r="A184" s="12">
        <v>44970.891681307869</v>
      </c>
      <c r="B184" s="2" t="s">
        <v>452</v>
      </c>
      <c r="C184" s="2" t="s">
        <v>453</v>
      </c>
      <c r="D184" s="2" t="s">
        <v>452</v>
      </c>
      <c r="E184" s="2" t="s">
        <v>454</v>
      </c>
      <c r="F184" s="2" t="s">
        <v>1371</v>
      </c>
      <c r="H184" s="2" t="s">
        <v>139</v>
      </c>
      <c r="J184" s="2" t="s">
        <v>153</v>
      </c>
      <c r="L184" s="2" t="s">
        <v>1372</v>
      </c>
      <c r="N184" s="2" t="s">
        <v>1373</v>
      </c>
      <c r="P184" s="2" t="s">
        <v>123</v>
      </c>
      <c r="Q184" s="2" t="s">
        <v>455</v>
      </c>
      <c r="R184" s="2" t="s">
        <v>1374</v>
      </c>
      <c r="T184" s="2" t="s">
        <v>455</v>
      </c>
      <c r="U184" s="2" t="s">
        <v>1375</v>
      </c>
      <c r="V184" s="2" t="s">
        <v>976</v>
      </c>
      <c r="X184" s="2" t="s">
        <v>474</v>
      </c>
      <c r="Y184" s="2" t="s">
        <v>457</v>
      </c>
      <c r="Z184" s="2" t="s">
        <v>458</v>
      </c>
    </row>
    <row r="185" spans="1:27">
      <c r="A185" s="12">
        <v>44970.891832824069</v>
      </c>
      <c r="B185" s="2" t="s">
        <v>452</v>
      </c>
      <c r="C185" s="2" t="s">
        <v>453</v>
      </c>
      <c r="D185" s="2" t="s">
        <v>452</v>
      </c>
      <c r="E185" s="2" t="s">
        <v>454</v>
      </c>
      <c r="F185" s="2" t="s">
        <v>1376</v>
      </c>
      <c r="H185" s="2" t="s">
        <v>139</v>
      </c>
      <c r="J185" s="2" t="s">
        <v>117</v>
      </c>
      <c r="L185" s="2" t="s">
        <v>169</v>
      </c>
      <c r="N185" s="2" t="s">
        <v>109</v>
      </c>
      <c r="P185" s="2" t="s">
        <v>117</v>
      </c>
      <c r="Q185" s="2" t="s">
        <v>455</v>
      </c>
      <c r="R185" s="2" t="s">
        <v>1377</v>
      </c>
      <c r="T185" s="2" t="s">
        <v>455</v>
      </c>
      <c r="U185" s="2" t="s">
        <v>304</v>
      </c>
      <c r="V185" s="2" t="s">
        <v>305</v>
      </c>
      <c r="X185" s="2" t="s">
        <v>459</v>
      </c>
      <c r="Y185" s="2" t="s">
        <v>457</v>
      </c>
      <c r="Z185" s="2" t="s">
        <v>458</v>
      </c>
    </row>
    <row r="186" spans="1:27">
      <c r="A186" s="12">
        <v>44970.891888935184</v>
      </c>
      <c r="B186" s="2" t="s">
        <v>452</v>
      </c>
      <c r="C186" s="2" t="s">
        <v>453</v>
      </c>
      <c r="D186" s="2" t="s">
        <v>452</v>
      </c>
      <c r="E186" s="2" t="s">
        <v>454</v>
      </c>
      <c r="F186" s="2" t="s">
        <v>1378</v>
      </c>
      <c r="H186" s="2" t="s">
        <v>139</v>
      </c>
      <c r="J186" s="2" t="s">
        <v>893</v>
      </c>
      <c r="L186" s="2" t="s">
        <v>169</v>
      </c>
      <c r="N186" s="2" t="s">
        <v>763</v>
      </c>
      <c r="P186" s="2" t="s">
        <v>906</v>
      </c>
      <c r="Q186" s="2" t="s">
        <v>455</v>
      </c>
      <c r="R186" s="2" t="s">
        <v>180</v>
      </c>
      <c r="T186" s="2" t="s">
        <v>455</v>
      </c>
      <c r="U186" s="2" t="s">
        <v>304</v>
      </c>
      <c r="V186" s="2" t="s">
        <v>305</v>
      </c>
      <c r="X186" s="2" t="s">
        <v>456</v>
      </c>
      <c r="Y186" s="2" t="s">
        <v>457</v>
      </c>
      <c r="Z186" s="2" t="s">
        <v>458</v>
      </c>
    </row>
    <row r="187" spans="1:27">
      <c r="A187" s="12">
        <v>44970.89301915509</v>
      </c>
      <c r="B187" s="2" t="s">
        <v>452</v>
      </c>
      <c r="C187" s="2" t="s">
        <v>453</v>
      </c>
      <c r="D187" s="2" t="s">
        <v>452</v>
      </c>
      <c r="E187" s="2" t="s">
        <v>454</v>
      </c>
      <c r="F187" s="2" t="s">
        <v>1379</v>
      </c>
      <c r="H187" s="2" t="s">
        <v>1380</v>
      </c>
      <c r="J187" s="2" t="s">
        <v>117</v>
      </c>
      <c r="L187" s="2" t="s">
        <v>1381</v>
      </c>
      <c r="N187" s="2" t="s">
        <v>701</v>
      </c>
      <c r="P187" s="2" t="s">
        <v>117</v>
      </c>
      <c r="Q187" s="2" t="s">
        <v>455</v>
      </c>
      <c r="R187" s="2" t="s">
        <v>1185</v>
      </c>
      <c r="T187" s="2" t="s">
        <v>455</v>
      </c>
      <c r="U187" s="2" t="s">
        <v>304</v>
      </c>
      <c r="X187" s="2" t="s">
        <v>462</v>
      </c>
      <c r="Y187" s="2" t="s">
        <v>457</v>
      </c>
      <c r="Z187" s="2" t="s">
        <v>458</v>
      </c>
      <c r="AA187" s="2" t="s">
        <v>548</v>
      </c>
    </row>
    <row r="188" spans="1:27">
      <c r="A188" s="12">
        <v>44970.905266608796</v>
      </c>
      <c r="B188" s="2" t="s">
        <v>452</v>
      </c>
      <c r="C188" s="2" t="s">
        <v>453</v>
      </c>
      <c r="D188" s="2" t="s">
        <v>452</v>
      </c>
      <c r="E188" s="2" t="s">
        <v>454</v>
      </c>
      <c r="F188" s="2" t="s">
        <v>1382</v>
      </c>
      <c r="H188" s="2" t="s">
        <v>107</v>
      </c>
      <c r="J188" s="2" t="s">
        <v>117</v>
      </c>
      <c r="L188" s="2" t="s">
        <v>1383</v>
      </c>
      <c r="N188" s="2" t="s">
        <v>105</v>
      </c>
      <c r="P188" s="2" t="s">
        <v>117</v>
      </c>
      <c r="Q188" s="2" t="s">
        <v>455</v>
      </c>
      <c r="T188" s="2" t="s">
        <v>455</v>
      </c>
      <c r="U188" s="2" t="s">
        <v>304</v>
      </c>
      <c r="V188" s="2" t="s">
        <v>305</v>
      </c>
      <c r="X188" s="2" t="s">
        <v>456</v>
      </c>
      <c r="Y188" s="2" t="s">
        <v>457</v>
      </c>
      <c r="Z188" s="2" t="s">
        <v>458</v>
      </c>
    </row>
    <row r="189" spans="1:27">
      <c r="A189" s="12">
        <v>44970.907748819445</v>
      </c>
      <c r="B189" s="2" t="s">
        <v>452</v>
      </c>
      <c r="C189" s="2" t="s">
        <v>453</v>
      </c>
      <c r="D189" s="2" t="s">
        <v>452</v>
      </c>
      <c r="E189" s="2" t="s">
        <v>454</v>
      </c>
      <c r="F189" s="2" t="s">
        <v>1384</v>
      </c>
      <c r="H189" s="2" t="s">
        <v>139</v>
      </c>
      <c r="J189" s="2" t="s">
        <v>117</v>
      </c>
      <c r="L189" s="2" t="s">
        <v>1385</v>
      </c>
      <c r="N189" s="2" t="s">
        <v>106</v>
      </c>
      <c r="P189" s="2" t="s">
        <v>117</v>
      </c>
      <c r="Q189" s="2" t="s">
        <v>472</v>
      </c>
      <c r="T189" s="2" t="s">
        <v>455</v>
      </c>
      <c r="U189" s="2" t="s">
        <v>982</v>
      </c>
      <c r="V189" s="2" t="s">
        <v>305</v>
      </c>
      <c r="X189" s="2" t="s">
        <v>464</v>
      </c>
      <c r="Y189" s="2" t="s">
        <v>457</v>
      </c>
      <c r="Z189" s="2" t="s">
        <v>458</v>
      </c>
    </row>
    <row r="190" spans="1:27">
      <c r="A190" s="12">
        <v>44970.925343356481</v>
      </c>
      <c r="B190" s="2" t="s">
        <v>452</v>
      </c>
      <c r="C190" s="2" t="s">
        <v>453</v>
      </c>
      <c r="D190" s="2" t="s">
        <v>452</v>
      </c>
      <c r="E190" s="2" t="s">
        <v>454</v>
      </c>
      <c r="F190" s="2" t="s">
        <v>1386</v>
      </c>
      <c r="H190" s="2" t="s">
        <v>704</v>
      </c>
      <c r="J190" s="2" t="s">
        <v>117</v>
      </c>
      <c r="L190" s="2" t="s">
        <v>1387</v>
      </c>
      <c r="N190" s="2" t="s">
        <v>675</v>
      </c>
      <c r="P190" s="2" t="s">
        <v>117</v>
      </c>
      <c r="Q190" s="2" t="s">
        <v>455</v>
      </c>
      <c r="R190" s="2" t="s">
        <v>1388</v>
      </c>
      <c r="T190" s="2" t="s">
        <v>455</v>
      </c>
      <c r="U190" s="2" t="s">
        <v>304</v>
      </c>
      <c r="V190" s="2" t="s">
        <v>305</v>
      </c>
      <c r="X190" s="2" t="s">
        <v>462</v>
      </c>
      <c r="Y190" s="2" t="s">
        <v>457</v>
      </c>
      <c r="Z190" s="2" t="s">
        <v>458</v>
      </c>
    </row>
    <row r="191" spans="1:27">
      <c r="A191" s="12">
        <v>44970.929349768514</v>
      </c>
      <c r="B191" s="2" t="s">
        <v>452</v>
      </c>
      <c r="C191" s="2" t="s">
        <v>453</v>
      </c>
      <c r="D191" s="2" t="s">
        <v>452</v>
      </c>
      <c r="E191" s="2" t="s">
        <v>454</v>
      </c>
      <c r="F191" s="2" t="s">
        <v>7</v>
      </c>
      <c r="G191" s="2" t="s">
        <v>490</v>
      </c>
      <c r="H191" s="2" t="s">
        <v>653</v>
      </c>
      <c r="J191" s="2" t="s">
        <v>117</v>
      </c>
      <c r="L191" s="2" t="s">
        <v>836</v>
      </c>
      <c r="N191" s="2" t="s">
        <v>655</v>
      </c>
      <c r="P191" s="2" t="s">
        <v>117</v>
      </c>
      <c r="Q191" s="2" t="s">
        <v>455</v>
      </c>
      <c r="R191" s="2" t="s">
        <v>182</v>
      </c>
      <c r="T191" s="2" t="s">
        <v>455</v>
      </c>
      <c r="U191" s="2" t="s">
        <v>304</v>
      </c>
      <c r="V191" s="2" t="s">
        <v>305</v>
      </c>
      <c r="X191" s="2" t="s">
        <v>462</v>
      </c>
      <c r="Y191" s="2" t="s">
        <v>457</v>
      </c>
      <c r="Z191" s="2" t="s">
        <v>458</v>
      </c>
    </row>
    <row r="192" spans="1:27">
      <c r="A192" s="12">
        <v>44970.943661458332</v>
      </c>
      <c r="B192" s="2" t="s">
        <v>452</v>
      </c>
      <c r="C192" s="2" t="s">
        <v>453</v>
      </c>
      <c r="D192" s="2" t="s">
        <v>452</v>
      </c>
      <c r="E192" s="2" t="s">
        <v>454</v>
      </c>
      <c r="F192" s="2" t="s">
        <v>1389</v>
      </c>
      <c r="H192" s="2" t="s">
        <v>107</v>
      </c>
      <c r="J192" s="2" t="s">
        <v>117</v>
      </c>
      <c r="L192" s="2" t="s">
        <v>1390</v>
      </c>
      <c r="N192" s="2" t="s">
        <v>105</v>
      </c>
      <c r="P192" s="2" t="s">
        <v>1391</v>
      </c>
      <c r="Q192" s="2" t="s">
        <v>455</v>
      </c>
      <c r="R192" s="2" t="s">
        <v>1392</v>
      </c>
      <c r="T192" s="2" t="s">
        <v>455</v>
      </c>
      <c r="U192" s="2" t="s">
        <v>298</v>
      </c>
      <c r="V192" s="2" t="s">
        <v>305</v>
      </c>
      <c r="X192" s="2" t="s">
        <v>459</v>
      </c>
      <c r="Y192" s="2" t="s">
        <v>457</v>
      </c>
      <c r="Z192" s="2" t="s">
        <v>458</v>
      </c>
    </row>
    <row r="193" spans="1:27">
      <c r="A193" s="12">
        <v>44970.944879710645</v>
      </c>
      <c r="B193" s="2" t="s">
        <v>452</v>
      </c>
      <c r="C193" s="2" t="s">
        <v>453</v>
      </c>
      <c r="D193" s="2" t="s">
        <v>452</v>
      </c>
      <c r="E193" s="2" t="s">
        <v>454</v>
      </c>
      <c r="F193" s="2" t="s">
        <v>12</v>
      </c>
      <c r="H193" s="2" t="s">
        <v>139</v>
      </c>
      <c r="J193" s="2" t="s">
        <v>117</v>
      </c>
      <c r="L193" s="2" t="s">
        <v>124</v>
      </c>
      <c r="N193" s="2" t="s">
        <v>105</v>
      </c>
      <c r="P193" s="2" t="s">
        <v>117</v>
      </c>
      <c r="Q193" s="2" t="s">
        <v>455</v>
      </c>
      <c r="R193" s="2" t="s">
        <v>182</v>
      </c>
      <c r="T193" s="2" t="s">
        <v>455</v>
      </c>
      <c r="U193" s="2" t="s">
        <v>304</v>
      </c>
      <c r="V193" s="2" t="s">
        <v>305</v>
      </c>
      <c r="X193" s="2" t="s">
        <v>474</v>
      </c>
      <c r="Y193" s="2" t="s">
        <v>457</v>
      </c>
      <c r="Z193" s="2" t="s">
        <v>458</v>
      </c>
    </row>
    <row r="194" spans="1:27">
      <c r="A194" s="12">
        <v>44970.944978159721</v>
      </c>
      <c r="B194" s="2" t="s">
        <v>452</v>
      </c>
      <c r="C194" s="2" t="s">
        <v>453</v>
      </c>
      <c r="D194" s="2" t="s">
        <v>452</v>
      </c>
      <c r="E194" s="2" t="s">
        <v>454</v>
      </c>
      <c r="F194" s="2" t="s">
        <v>1393</v>
      </c>
      <c r="H194" s="2" t="s">
        <v>139</v>
      </c>
      <c r="J194" s="2" t="s">
        <v>107</v>
      </c>
      <c r="L194" s="2" t="s">
        <v>1394</v>
      </c>
      <c r="N194" s="2" t="s">
        <v>110</v>
      </c>
      <c r="P194" s="2" t="s">
        <v>121</v>
      </c>
      <c r="Q194" s="2" t="s">
        <v>455</v>
      </c>
      <c r="R194" s="2" t="s">
        <v>1395</v>
      </c>
      <c r="S194" s="2" t="s">
        <v>260</v>
      </c>
      <c r="T194" s="2" t="s">
        <v>455</v>
      </c>
      <c r="U194" s="2" t="s">
        <v>299</v>
      </c>
      <c r="V194" s="2" t="s">
        <v>305</v>
      </c>
      <c r="X194" s="2" t="s">
        <v>464</v>
      </c>
      <c r="Y194" s="2" t="s">
        <v>457</v>
      </c>
      <c r="Z194" s="2" t="s">
        <v>458</v>
      </c>
    </row>
    <row r="195" spans="1:27">
      <c r="A195" s="12">
        <v>44970.951794108798</v>
      </c>
      <c r="B195" s="2" t="s">
        <v>452</v>
      </c>
      <c r="C195" s="2" t="s">
        <v>453</v>
      </c>
      <c r="D195" s="2" t="s">
        <v>452</v>
      </c>
      <c r="E195" s="2" t="s">
        <v>454</v>
      </c>
      <c r="F195" s="2" t="s">
        <v>1396</v>
      </c>
      <c r="H195" s="2" t="s">
        <v>139</v>
      </c>
      <c r="J195" s="2" t="s">
        <v>117</v>
      </c>
      <c r="L195" s="2" t="s">
        <v>1397</v>
      </c>
      <c r="N195" s="2" t="s">
        <v>109</v>
      </c>
      <c r="P195" s="2" t="s">
        <v>117</v>
      </c>
      <c r="Q195" s="2" t="s">
        <v>455</v>
      </c>
      <c r="R195" s="2" t="s">
        <v>190</v>
      </c>
      <c r="T195" s="2" t="s">
        <v>455</v>
      </c>
      <c r="U195" s="2" t="s">
        <v>304</v>
      </c>
      <c r="V195" s="2" t="s">
        <v>305</v>
      </c>
      <c r="X195" s="2" t="s">
        <v>475</v>
      </c>
      <c r="Y195" s="2" t="s">
        <v>457</v>
      </c>
      <c r="Z195" s="2" t="s">
        <v>458</v>
      </c>
    </row>
    <row r="196" spans="1:27">
      <c r="A196" s="12">
        <v>44970.966999988421</v>
      </c>
      <c r="B196" s="2" t="s">
        <v>452</v>
      </c>
      <c r="C196" s="2" t="s">
        <v>453</v>
      </c>
      <c r="D196" s="2" t="s">
        <v>452</v>
      </c>
      <c r="E196" s="2" t="s">
        <v>454</v>
      </c>
      <c r="F196" s="2" t="s">
        <v>1398</v>
      </c>
      <c r="H196" s="2" t="s">
        <v>139</v>
      </c>
      <c r="J196" s="2" t="s">
        <v>117</v>
      </c>
      <c r="L196" s="2" t="s">
        <v>1399</v>
      </c>
      <c r="N196" s="2" t="s">
        <v>105</v>
      </c>
      <c r="P196" s="2" t="s">
        <v>117</v>
      </c>
      <c r="Q196" s="2" t="s">
        <v>455</v>
      </c>
      <c r="R196" s="2" t="s">
        <v>180</v>
      </c>
      <c r="T196" s="2" t="s">
        <v>455</v>
      </c>
      <c r="U196" s="2" t="s">
        <v>1142</v>
      </c>
      <c r="V196" s="2" t="s">
        <v>300</v>
      </c>
      <c r="W196" s="2" t="s">
        <v>387</v>
      </c>
      <c r="X196" s="2" t="s">
        <v>475</v>
      </c>
      <c r="Y196" s="2" t="s">
        <v>457</v>
      </c>
      <c r="Z196" s="2" t="s">
        <v>458</v>
      </c>
      <c r="AA196" s="2" t="s">
        <v>550</v>
      </c>
    </row>
    <row r="197" spans="1:27">
      <c r="A197" s="12">
        <v>44970.976021643517</v>
      </c>
      <c r="B197" s="2" t="s">
        <v>452</v>
      </c>
      <c r="C197" s="2" t="s">
        <v>453</v>
      </c>
      <c r="D197" s="2" t="s">
        <v>452</v>
      </c>
      <c r="E197" s="2" t="s">
        <v>454</v>
      </c>
      <c r="F197" s="2" t="s">
        <v>1400</v>
      </c>
      <c r="H197" s="2" t="s">
        <v>892</v>
      </c>
      <c r="J197" s="2" t="s">
        <v>107</v>
      </c>
      <c r="L197" s="2" t="s">
        <v>169</v>
      </c>
      <c r="N197" s="2" t="s">
        <v>107</v>
      </c>
      <c r="P197" s="2" t="s">
        <v>873</v>
      </c>
      <c r="Q197" s="2" t="s">
        <v>455</v>
      </c>
      <c r="R197" s="2" t="s">
        <v>180</v>
      </c>
      <c r="T197" s="2" t="s">
        <v>455</v>
      </c>
      <c r="U197" s="2" t="s">
        <v>304</v>
      </c>
      <c r="V197" s="2" t="s">
        <v>305</v>
      </c>
      <c r="X197" s="2" t="s">
        <v>456</v>
      </c>
      <c r="Y197" s="2" t="s">
        <v>457</v>
      </c>
      <c r="Z197" s="2" t="s">
        <v>458</v>
      </c>
    </row>
    <row r="198" spans="1:27">
      <c r="A198" s="12">
        <v>44970.97716451389</v>
      </c>
      <c r="B198" s="2" t="s">
        <v>452</v>
      </c>
      <c r="C198" s="2" t="s">
        <v>453</v>
      </c>
      <c r="D198" s="2" t="s">
        <v>452</v>
      </c>
      <c r="E198" s="2" t="s">
        <v>454</v>
      </c>
      <c r="F198" s="2" t="s">
        <v>1401</v>
      </c>
      <c r="G198" s="2" t="s">
        <v>1402</v>
      </c>
      <c r="H198" s="2" t="s">
        <v>140</v>
      </c>
      <c r="J198" s="2" t="s">
        <v>117</v>
      </c>
      <c r="L198" s="2" t="s">
        <v>1403</v>
      </c>
      <c r="N198" s="2" t="s">
        <v>1373</v>
      </c>
      <c r="O198" s="2" t="s">
        <v>552</v>
      </c>
      <c r="P198" s="2" t="s">
        <v>117</v>
      </c>
      <c r="Q198" s="2" t="s">
        <v>455</v>
      </c>
      <c r="R198" s="2" t="s">
        <v>1404</v>
      </c>
      <c r="S198" s="2" t="s">
        <v>266</v>
      </c>
      <c r="T198" s="2" t="s">
        <v>455</v>
      </c>
      <c r="U198" s="2" t="s">
        <v>1405</v>
      </c>
      <c r="V198" s="2" t="s">
        <v>303</v>
      </c>
      <c r="W198" s="2" t="s">
        <v>311</v>
      </c>
      <c r="X198" s="2" t="s">
        <v>459</v>
      </c>
      <c r="Y198" s="2" t="s">
        <v>457</v>
      </c>
      <c r="Z198" s="2" t="s">
        <v>458</v>
      </c>
    </row>
    <row r="199" spans="1:27">
      <c r="A199" s="12">
        <v>44971.012056898151</v>
      </c>
      <c r="B199" s="2" t="s">
        <v>452</v>
      </c>
      <c r="C199" s="2" t="s">
        <v>453</v>
      </c>
      <c r="D199" s="2" t="s">
        <v>452</v>
      </c>
      <c r="E199" s="2" t="s">
        <v>454</v>
      </c>
      <c r="F199" s="2" t="s">
        <v>0</v>
      </c>
      <c r="H199" s="2" t="s">
        <v>107</v>
      </c>
      <c r="J199" s="2" t="s">
        <v>117</v>
      </c>
      <c r="L199" s="2" t="s">
        <v>1406</v>
      </c>
      <c r="M199" s="2" t="s">
        <v>90</v>
      </c>
      <c r="N199" s="2" t="s">
        <v>701</v>
      </c>
      <c r="P199" s="2" t="s">
        <v>117</v>
      </c>
      <c r="Q199" s="2" t="s">
        <v>455</v>
      </c>
      <c r="R199" s="2" t="s">
        <v>848</v>
      </c>
      <c r="T199" s="2" t="s">
        <v>455</v>
      </c>
      <c r="U199" s="2" t="s">
        <v>1407</v>
      </c>
      <c r="V199" s="2" t="s">
        <v>305</v>
      </c>
      <c r="X199" s="2" t="s">
        <v>479</v>
      </c>
      <c r="Y199" s="2" t="s">
        <v>457</v>
      </c>
      <c r="Z199" s="2" t="s">
        <v>458</v>
      </c>
    </row>
    <row r="200" spans="1:27">
      <c r="A200" s="12">
        <v>44971.013137743052</v>
      </c>
      <c r="B200" s="2" t="s">
        <v>452</v>
      </c>
      <c r="C200" s="2" t="s">
        <v>453</v>
      </c>
      <c r="D200" s="2" t="s">
        <v>452</v>
      </c>
      <c r="E200" s="2" t="s">
        <v>454</v>
      </c>
      <c r="F200" s="2" t="s">
        <v>1408</v>
      </c>
      <c r="H200" s="2" t="s">
        <v>992</v>
      </c>
      <c r="J200" s="2" t="s">
        <v>117</v>
      </c>
      <c r="L200" s="2" t="s">
        <v>105</v>
      </c>
      <c r="N200" s="2" t="s">
        <v>109</v>
      </c>
      <c r="P200" s="2" t="s">
        <v>117</v>
      </c>
      <c r="Q200" s="2" t="s">
        <v>455</v>
      </c>
      <c r="R200" s="2" t="s">
        <v>1409</v>
      </c>
      <c r="T200" s="2" t="s">
        <v>455</v>
      </c>
      <c r="U200" s="2" t="s">
        <v>304</v>
      </c>
      <c r="V200" s="2" t="s">
        <v>305</v>
      </c>
      <c r="X200" s="2" t="s">
        <v>459</v>
      </c>
      <c r="Y200" s="2" t="s">
        <v>457</v>
      </c>
      <c r="Z200" s="2" t="s">
        <v>458</v>
      </c>
    </row>
    <row r="201" spans="1:27">
      <c r="A201" s="12">
        <v>44971.01332106482</v>
      </c>
      <c r="B201" s="2" t="s">
        <v>452</v>
      </c>
      <c r="C201" s="2" t="s">
        <v>453</v>
      </c>
      <c r="D201" s="2" t="s">
        <v>452</v>
      </c>
      <c r="E201" s="2" t="s">
        <v>454</v>
      </c>
      <c r="F201" s="2" t="s">
        <v>1410</v>
      </c>
      <c r="H201" s="2" t="s">
        <v>1411</v>
      </c>
      <c r="J201" s="2" t="s">
        <v>1412</v>
      </c>
      <c r="L201" s="2" t="s">
        <v>1413</v>
      </c>
      <c r="N201" s="2" t="s">
        <v>763</v>
      </c>
      <c r="P201" s="2" t="s">
        <v>120</v>
      </c>
      <c r="Q201" s="2" t="s">
        <v>455</v>
      </c>
      <c r="R201" s="2" t="s">
        <v>1414</v>
      </c>
      <c r="S201" s="2" t="s">
        <v>253</v>
      </c>
      <c r="T201" s="2" t="s">
        <v>455</v>
      </c>
      <c r="U201" s="2" t="s">
        <v>304</v>
      </c>
      <c r="V201" s="2" t="s">
        <v>305</v>
      </c>
      <c r="X201" s="2" t="s">
        <v>462</v>
      </c>
      <c r="Y201" s="2" t="s">
        <v>457</v>
      </c>
      <c r="Z201" s="2" t="s">
        <v>458</v>
      </c>
    </row>
    <row r="202" spans="1:27">
      <c r="A202" s="12">
        <v>44971.015748460646</v>
      </c>
      <c r="B202" s="2" t="s">
        <v>452</v>
      </c>
      <c r="C202" s="2" t="s">
        <v>453</v>
      </c>
      <c r="D202" s="2" t="s">
        <v>452</v>
      </c>
      <c r="E202" s="2" t="s">
        <v>454</v>
      </c>
      <c r="F202" s="2" t="s">
        <v>1415</v>
      </c>
      <c r="H202" s="2" t="s">
        <v>1416</v>
      </c>
      <c r="J202" s="2" t="s">
        <v>1417</v>
      </c>
      <c r="L202" s="2" t="s">
        <v>1418</v>
      </c>
      <c r="N202" s="2" t="s">
        <v>108</v>
      </c>
      <c r="P202" s="2" t="s">
        <v>123</v>
      </c>
      <c r="Q202" s="2" t="s">
        <v>455</v>
      </c>
      <c r="R202" s="2" t="s">
        <v>1419</v>
      </c>
      <c r="T202" s="2" t="s">
        <v>455</v>
      </c>
      <c r="U202" s="2" t="s">
        <v>881</v>
      </c>
      <c r="V202" s="2" t="s">
        <v>305</v>
      </c>
      <c r="X202" s="2" t="s">
        <v>462</v>
      </c>
      <c r="Y202" s="2" t="s">
        <v>457</v>
      </c>
      <c r="Z202" s="2" t="s">
        <v>458</v>
      </c>
    </row>
    <row r="203" spans="1:27">
      <c r="A203" s="12">
        <v>44971.017261493056</v>
      </c>
      <c r="B203" s="2" t="s">
        <v>452</v>
      </c>
      <c r="C203" s="2" t="s">
        <v>453</v>
      </c>
      <c r="D203" s="2" t="s">
        <v>452</v>
      </c>
      <c r="E203" s="2" t="s">
        <v>454</v>
      </c>
      <c r="F203" s="2" t="s">
        <v>1420</v>
      </c>
      <c r="H203" s="2" t="s">
        <v>1150</v>
      </c>
      <c r="I203" s="2" t="s">
        <v>144</v>
      </c>
      <c r="J203" s="2" t="s">
        <v>117</v>
      </c>
      <c r="L203" s="2" t="s">
        <v>1421</v>
      </c>
      <c r="M203" s="2" t="s">
        <v>97</v>
      </c>
      <c r="N203" s="2" t="s">
        <v>675</v>
      </c>
      <c r="O203" s="2" t="s">
        <v>97</v>
      </c>
      <c r="P203" s="2" t="s">
        <v>117</v>
      </c>
      <c r="Q203" s="2" t="s">
        <v>455</v>
      </c>
      <c r="R203" s="2" t="s">
        <v>1422</v>
      </c>
      <c r="S203" s="2" t="s">
        <v>229</v>
      </c>
      <c r="T203" s="2" t="s">
        <v>455</v>
      </c>
      <c r="U203" s="2" t="s">
        <v>304</v>
      </c>
      <c r="V203" s="2" t="s">
        <v>305</v>
      </c>
      <c r="X203" s="2" t="s">
        <v>459</v>
      </c>
      <c r="Y203" s="2" t="s">
        <v>457</v>
      </c>
      <c r="Z203" s="2" t="s">
        <v>458</v>
      </c>
    </row>
    <row r="204" spans="1:27">
      <c r="A204" s="12">
        <v>44971.042087997688</v>
      </c>
      <c r="B204" s="2" t="s">
        <v>452</v>
      </c>
      <c r="C204" s="2" t="s">
        <v>453</v>
      </c>
      <c r="D204" s="2" t="s">
        <v>452</v>
      </c>
      <c r="E204" s="2" t="s">
        <v>454</v>
      </c>
      <c r="F204" s="2" t="s">
        <v>1423</v>
      </c>
      <c r="H204" s="2" t="s">
        <v>883</v>
      </c>
      <c r="J204" s="2" t="s">
        <v>1424</v>
      </c>
      <c r="L204" s="2" t="s">
        <v>1425</v>
      </c>
      <c r="N204" s="2" t="s">
        <v>1426</v>
      </c>
      <c r="P204" s="2" t="s">
        <v>119</v>
      </c>
      <c r="Q204" s="2" t="s">
        <v>455</v>
      </c>
      <c r="R204" s="2" t="s">
        <v>1427</v>
      </c>
      <c r="T204" s="2" t="s">
        <v>455</v>
      </c>
      <c r="U204" s="2" t="s">
        <v>1428</v>
      </c>
      <c r="V204" s="2" t="s">
        <v>305</v>
      </c>
      <c r="X204" s="2" t="s">
        <v>462</v>
      </c>
      <c r="Y204" s="2" t="s">
        <v>457</v>
      </c>
      <c r="Z204" s="2" t="s">
        <v>458</v>
      </c>
    </row>
    <row r="205" spans="1:27">
      <c r="A205" s="12">
        <v>44971.069860567135</v>
      </c>
      <c r="B205" s="2" t="s">
        <v>452</v>
      </c>
      <c r="C205" s="2" t="s">
        <v>453</v>
      </c>
      <c r="D205" s="2" t="s">
        <v>452</v>
      </c>
      <c r="E205" s="2" t="s">
        <v>454</v>
      </c>
      <c r="F205" s="2" t="s">
        <v>1429</v>
      </c>
      <c r="H205" s="2" t="s">
        <v>1430</v>
      </c>
      <c r="J205" s="2" t="s">
        <v>140</v>
      </c>
      <c r="L205" s="2" t="s">
        <v>176</v>
      </c>
      <c r="N205" s="2" t="s">
        <v>109</v>
      </c>
      <c r="P205" s="2" t="s">
        <v>1431</v>
      </c>
      <c r="Q205" s="2" t="s">
        <v>455</v>
      </c>
      <c r="R205" s="2" t="s">
        <v>1432</v>
      </c>
      <c r="T205" s="2" t="s">
        <v>455</v>
      </c>
      <c r="U205" s="2" t="s">
        <v>304</v>
      </c>
      <c r="V205" s="2" t="s">
        <v>305</v>
      </c>
      <c r="W205" s="2" t="s">
        <v>321</v>
      </c>
      <c r="X205" s="2" t="s">
        <v>459</v>
      </c>
      <c r="Y205" s="2" t="s">
        <v>481</v>
      </c>
      <c r="Z205" s="2" t="s">
        <v>458</v>
      </c>
      <c r="AA205" s="2" t="s">
        <v>553</v>
      </c>
    </row>
    <row r="206" spans="1:27">
      <c r="A206" s="12">
        <v>44971.069980856482</v>
      </c>
      <c r="B206" s="2" t="s">
        <v>452</v>
      </c>
      <c r="C206" s="2" t="s">
        <v>453</v>
      </c>
      <c r="D206" s="2" t="s">
        <v>452</v>
      </c>
      <c r="E206" s="2" t="s">
        <v>454</v>
      </c>
      <c r="F206" s="2" t="s">
        <v>1433</v>
      </c>
      <c r="H206" s="2" t="s">
        <v>107</v>
      </c>
      <c r="J206" s="2" t="s">
        <v>1434</v>
      </c>
      <c r="L206" s="2" t="s">
        <v>1435</v>
      </c>
      <c r="N206" s="2" t="s">
        <v>107</v>
      </c>
      <c r="P206" s="2" t="s">
        <v>1190</v>
      </c>
      <c r="Q206" s="2" t="s">
        <v>455</v>
      </c>
      <c r="R206" s="2" t="s">
        <v>1436</v>
      </c>
      <c r="T206" s="2" t="s">
        <v>455</v>
      </c>
      <c r="U206" s="2" t="s">
        <v>304</v>
      </c>
      <c r="V206" s="2" t="s">
        <v>305</v>
      </c>
      <c r="X206" s="2" t="s">
        <v>479</v>
      </c>
      <c r="Y206" s="2" t="s">
        <v>457</v>
      </c>
      <c r="Z206" s="2" t="s">
        <v>458</v>
      </c>
      <c r="AA206" s="2" t="s">
        <v>554</v>
      </c>
    </row>
    <row r="207" spans="1:27">
      <c r="A207" s="12">
        <v>44971.088621655093</v>
      </c>
      <c r="B207" s="2" t="s">
        <v>452</v>
      </c>
      <c r="C207" s="2" t="s">
        <v>453</v>
      </c>
      <c r="D207" s="2" t="s">
        <v>452</v>
      </c>
      <c r="E207" s="2" t="s">
        <v>454</v>
      </c>
      <c r="F207" s="2" t="s">
        <v>1437</v>
      </c>
      <c r="H207" s="2" t="s">
        <v>139</v>
      </c>
      <c r="J207" s="2" t="s">
        <v>117</v>
      </c>
      <c r="L207" s="2" t="s">
        <v>1438</v>
      </c>
      <c r="N207" s="2" t="s">
        <v>1439</v>
      </c>
      <c r="P207" s="2" t="s">
        <v>117</v>
      </c>
      <c r="Q207" s="2" t="s">
        <v>455</v>
      </c>
      <c r="T207" s="2" t="s">
        <v>472</v>
      </c>
      <c r="X207" s="2" t="s">
        <v>456</v>
      </c>
      <c r="Y207" s="2" t="s">
        <v>457</v>
      </c>
      <c r="Z207" s="2" t="s">
        <v>458</v>
      </c>
    </row>
    <row r="208" spans="1:27">
      <c r="A208" s="12">
        <v>44971.108460671298</v>
      </c>
      <c r="B208" s="2" t="s">
        <v>452</v>
      </c>
      <c r="C208" s="2" t="s">
        <v>453</v>
      </c>
      <c r="D208" s="2" t="s">
        <v>452</v>
      </c>
      <c r="E208" s="2" t="s">
        <v>454</v>
      </c>
      <c r="F208" s="2" t="s">
        <v>1440</v>
      </c>
      <c r="G208" s="2" t="s">
        <v>1441</v>
      </c>
      <c r="H208" s="2" t="s">
        <v>883</v>
      </c>
      <c r="J208" s="2" t="s">
        <v>117</v>
      </c>
      <c r="L208" s="2" t="s">
        <v>1442</v>
      </c>
      <c r="N208" s="2" t="s">
        <v>1443</v>
      </c>
      <c r="P208" s="2" t="s">
        <v>117</v>
      </c>
      <c r="Q208" s="2" t="s">
        <v>455</v>
      </c>
      <c r="R208" s="2" t="s">
        <v>1444</v>
      </c>
      <c r="S208" s="2" t="s">
        <v>200</v>
      </c>
      <c r="T208" s="2" t="s">
        <v>455</v>
      </c>
      <c r="U208" s="2" t="s">
        <v>1445</v>
      </c>
      <c r="V208" s="2" t="s">
        <v>305</v>
      </c>
      <c r="W208" s="2" t="s">
        <v>322</v>
      </c>
      <c r="X208" s="2" t="s">
        <v>456</v>
      </c>
      <c r="Y208" s="2" t="s">
        <v>457</v>
      </c>
      <c r="Z208" s="2" t="s">
        <v>458</v>
      </c>
    </row>
    <row r="209" spans="1:27">
      <c r="A209" s="12">
        <v>44971.125476851856</v>
      </c>
      <c r="B209" s="2" t="s">
        <v>452</v>
      </c>
      <c r="C209" s="2" t="s">
        <v>453</v>
      </c>
      <c r="D209" s="2" t="s">
        <v>452</v>
      </c>
      <c r="E209" s="2" t="s">
        <v>454</v>
      </c>
      <c r="F209" s="2" t="s">
        <v>1446</v>
      </c>
      <c r="H209" s="2" t="s">
        <v>1447</v>
      </c>
      <c r="J209" s="2" t="s">
        <v>117</v>
      </c>
      <c r="L209" s="2" t="s">
        <v>1369</v>
      </c>
      <c r="N209" s="2" t="s">
        <v>105</v>
      </c>
      <c r="P209" s="2" t="s">
        <v>117</v>
      </c>
      <c r="Q209" s="2" t="s">
        <v>455</v>
      </c>
      <c r="R209" s="2" t="s">
        <v>1448</v>
      </c>
      <c r="T209" s="2" t="s">
        <v>455</v>
      </c>
      <c r="U209" s="2" t="s">
        <v>853</v>
      </c>
      <c r="V209" s="2" t="s">
        <v>305</v>
      </c>
      <c r="X209" s="2" t="s">
        <v>462</v>
      </c>
      <c r="Y209" s="2" t="s">
        <v>457</v>
      </c>
      <c r="Z209" s="2" t="s">
        <v>458</v>
      </c>
    </row>
    <row r="210" spans="1:27">
      <c r="A210" s="12">
        <v>44971.317260081021</v>
      </c>
      <c r="B210" s="2" t="s">
        <v>452</v>
      </c>
      <c r="C210" s="2" t="s">
        <v>453</v>
      </c>
      <c r="D210" s="2" t="s">
        <v>452</v>
      </c>
      <c r="E210" s="2" t="s">
        <v>454</v>
      </c>
      <c r="F210" s="2" t="s">
        <v>7</v>
      </c>
      <c r="H210" s="2" t="s">
        <v>139</v>
      </c>
      <c r="J210" s="2" t="s">
        <v>117</v>
      </c>
      <c r="L210" s="2" t="s">
        <v>1449</v>
      </c>
      <c r="O210" s="2" t="s">
        <v>83</v>
      </c>
      <c r="P210" s="2" t="s">
        <v>117</v>
      </c>
      <c r="Q210" s="2" t="s">
        <v>455</v>
      </c>
      <c r="R210" s="2" t="s">
        <v>1185</v>
      </c>
      <c r="T210" s="2" t="s">
        <v>455</v>
      </c>
      <c r="U210" s="2" t="s">
        <v>304</v>
      </c>
      <c r="V210" s="2" t="s">
        <v>305</v>
      </c>
      <c r="X210" s="2" t="s">
        <v>456</v>
      </c>
      <c r="Y210" s="2" t="s">
        <v>457</v>
      </c>
      <c r="Z210" s="2" t="s">
        <v>458</v>
      </c>
    </row>
    <row r="211" spans="1:27">
      <c r="A211" s="12">
        <v>44971.325307581021</v>
      </c>
      <c r="B211" s="2" t="s">
        <v>452</v>
      </c>
      <c r="C211" s="2" t="s">
        <v>453</v>
      </c>
      <c r="D211" s="2" t="s">
        <v>452</v>
      </c>
      <c r="E211" s="2" t="s">
        <v>454</v>
      </c>
      <c r="F211" s="2" t="s">
        <v>1450</v>
      </c>
      <c r="H211" s="2" t="s">
        <v>704</v>
      </c>
      <c r="J211" s="2" t="s">
        <v>117</v>
      </c>
      <c r="L211" s="2" t="s">
        <v>1451</v>
      </c>
      <c r="O211" s="2" t="s">
        <v>556</v>
      </c>
      <c r="P211" s="2" t="s">
        <v>117</v>
      </c>
      <c r="Q211" s="2" t="s">
        <v>455</v>
      </c>
      <c r="R211" s="2" t="s">
        <v>1452</v>
      </c>
      <c r="T211" s="2" t="s">
        <v>455</v>
      </c>
      <c r="U211" s="2" t="s">
        <v>300</v>
      </c>
      <c r="V211" s="2" t="s">
        <v>305</v>
      </c>
      <c r="X211" s="2" t="s">
        <v>456</v>
      </c>
      <c r="Y211" s="2" t="s">
        <v>457</v>
      </c>
      <c r="Z211" s="2" t="s">
        <v>458</v>
      </c>
    </row>
    <row r="212" spans="1:27">
      <c r="A212" s="12">
        <v>44971.337890694442</v>
      </c>
      <c r="B212" s="2" t="s">
        <v>452</v>
      </c>
      <c r="C212" s="2" t="s">
        <v>453</v>
      </c>
      <c r="D212" s="2" t="s">
        <v>452</v>
      </c>
      <c r="E212" s="2" t="s">
        <v>454</v>
      </c>
      <c r="F212" s="2" t="s">
        <v>1453</v>
      </c>
      <c r="H212" s="2" t="s">
        <v>704</v>
      </c>
      <c r="J212" s="2" t="s">
        <v>1454</v>
      </c>
      <c r="L212" s="2" t="s">
        <v>1394</v>
      </c>
      <c r="N212" s="2" t="s">
        <v>767</v>
      </c>
      <c r="P212" s="2" t="s">
        <v>1431</v>
      </c>
      <c r="Q212" s="2" t="s">
        <v>455</v>
      </c>
      <c r="R212" s="2" t="s">
        <v>1455</v>
      </c>
      <c r="T212" s="2" t="s">
        <v>455</v>
      </c>
      <c r="U212" s="2" t="s">
        <v>671</v>
      </c>
      <c r="V212" s="2" t="s">
        <v>671</v>
      </c>
      <c r="X212" s="2" t="s">
        <v>459</v>
      </c>
      <c r="Y212" s="2" t="s">
        <v>457</v>
      </c>
      <c r="Z212" s="2" t="s">
        <v>458</v>
      </c>
    </row>
    <row r="213" spans="1:27">
      <c r="A213" s="12">
        <v>44971.372301354168</v>
      </c>
      <c r="B213" s="2" t="s">
        <v>452</v>
      </c>
      <c r="C213" s="2" t="s">
        <v>453</v>
      </c>
      <c r="D213" s="2" t="s">
        <v>452</v>
      </c>
      <c r="E213" s="2" t="s">
        <v>454</v>
      </c>
      <c r="F213" s="2" t="s">
        <v>13</v>
      </c>
      <c r="H213" s="2" t="s">
        <v>139</v>
      </c>
      <c r="J213" s="2" t="s">
        <v>117</v>
      </c>
      <c r="L213" s="2" t="s">
        <v>169</v>
      </c>
      <c r="N213" s="2" t="s">
        <v>105</v>
      </c>
      <c r="P213" s="2" t="s">
        <v>117</v>
      </c>
      <c r="Q213" s="2" t="s">
        <v>455</v>
      </c>
      <c r="R213" s="2" t="s">
        <v>1456</v>
      </c>
      <c r="T213" s="2" t="s">
        <v>455</v>
      </c>
      <c r="U213" s="2" t="s">
        <v>304</v>
      </c>
      <c r="V213" s="2" t="s">
        <v>305</v>
      </c>
      <c r="X213" s="2" t="s">
        <v>474</v>
      </c>
      <c r="Y213" s="2" t="s">
        <v>457</v>
      </c>
      <c r="Z213" s="2" t="s">
        <v>458</v>
      </c>
    </row>
    <row r="214" spans="1:27">
      <c r="A214" s="12">
        <v>44971.416139537032</v>
      </c>
      <c r="B214" s="2" t="s">
        <v>452</v>
      </c>
      <c r="C214" s="2" t="s">
        <v>453</v>
      </c>
      <c r="D214" s="2" t="s">
        <v>452</v>
      </c>
      <c r="E214" s="2" t="s">
        <v>454</v>
      </c>
      <c r="F214" s="2" t="s">
        <v>1457</v>
      </c>
      <c r="H214" s="2" t="s">
        <v>653</v>
      </c>
      <c r="J214" s="2" t="s">
        <v>1310</v>
      </c>
      <c r="L214" s="2" t="s">
        <v>1458</v>
      </c>
      <c r="M214" s="2" t="s">
        <v>59</v>
      </c>
      <c r="N214" s="2" t="s">
        <v>105</v>
      </c>
      <c r="O214" s="2" t="s">
        <v>83</v>
      </c>
      <c r="P214" s="2" t="s">
        <v>738</v>
      </c>
      <c r="Q214" s="2" t="s">
        <v>455</v>
      </c>
      <c r="R214" s="2" t="s">
        <v>1459</v>
      </c>
      <c r="S214" s="2" t="s">
        <v>201</v>
      </c>
      <c r="T214" s="2" t="s">
        <v>455</v>
      </c>
      <c r="U214" s="2" t="s">
        <v>1033</v>
      </c>
      <c r="V214" s="2" t="s">
        <v>305</v>
      </c>
      <c r="W214" s="2" t="s">
        <v>414</v>
      </c>
      <c r="X214" s="2" t="s">
        <v>462</v>
      </c>
      <c r="Y214" s="2" t="s">
        <v>457</v>
      </c>
      <c r="Z214" s="2" t="s">
        <v>458</v>
      </c>
    </row>
    <row r="215" spans="1:27">
      <c r="A215" s="12">
        <v>44971.429066018522</v>
      </c>
      <c r="B215" s="2" t="s">
        <v>452</v>
      </c>
      <c r="C215" s="2" t="s">
        <v>453</v>
      </c>
      <c r="D215" s="2" t="s">
        <v>452</v>
      </c>
      <c r="E215" s="2" t="s">
        <v>454</v>
      </c>
      <c r="F215" s="2" t="s">
        <v>1460</v>
      </c>
      <c r="H215" s="2" t="s">
        <v>805</v>
      </c>
      <c r="J215" s="2" t="s">
        <v>117</v>
      </c>
      <c r="L215" s="2" t="s">
        <v>1461</v>
      </c>
      <c r="N215" s="2" t="s">
        <v>105</v>
      </c>
      <c r="P215" s="2" t="s">
        <v>117</v>
      </c>
      <c r="Q215" s="2" t="s">
        <v>455</v>
      </c>
      <c r="R215" s="2" t="s">
        <v>1462</v>
      </c>
      <c r="T215" s="2" t="s">
        <v>455</v>
      </c>
      <c r="U215" s="2" t="s">
        <v>982</v>
      </c>
      <c r="V215" s="2" t="s">
        <v>305</v>
      </c>
      <c r="X215" s="2" t="s">
        <v>462</v>
      </c>
      <c r="Y215" s="2" t="s">
        <v>457</v>
      </c>
      <c r="Z215" s="2" t="s">
        <v>458</v>
      </c>
    </row>
    <row r="216" spans="1:27">
      <c r="A216" s="12">
        <v>44971.44354216435</v>
      </c>
      <c r="B216" s="2" t="s">
        <v>452</v>
      </c>
      <c r="C216" s="2" t="s">
        <v>453</v>
      </c>
      <c r="D216" s="2" t="s">
        <v>452</v>
      </c>
      <c r="E216" s="2" t="s">
        <v>454</v>
      </c>
      <c r="F216" s="2" t="s">
        <v>1463</v>
      </c>
      <c r="H216" s="2" t="s">
        <v>777</v>
      </c>
      <c r="J216" s="2" t="s">
        <v>117</v>
      </c>
      <c r="L216" s="2" t="s">
        <v>1464</v>
      </c>
      <c r="N216" s="2" t="s">
        <v>106</v>
      </c>
      <c r="P216" s="2" t="s">
        <v>117</v>
      </c>
      <c r="Q216" s="2" t="s">
        <v>455</v>
      </c>
      <c r="R216" s="2" t="s">
        <v>1170</v>
      </c>
      <c r="T216" s="2" t="s">
        <v>455</v>
      </c>
      <c r="U216" s="2" t="s">
        <v>304</v>
      </c>
      <c r="V216" s="2" t="s">
        <v>305</v>
      </c>
      <c r="X216" s="2" t="s">
        <v>462</v>
      </c>
      <c r="Y216" s="2" t="s">
        <v>457</v>
      </c>
      <c r="Z216" s="2" t="s">
        <v>458</v>
      </c>
    </row>
    <row r="217" spans="1:27">
      <c r="A217" s="12">
        <v>44971.445760752315</v>
      </c>
      <c r="B217" s="2" t="s">
        <v>452</v>
      </c>
      <c r="C217" s="2" t="s">
        <v>453</v>
      </c>
      <c r="D217" s="2" t="s">
        <v>452</v>
      </c>
      <c r="E217" s="2" t="s">
        <v>454</v>
      </c>
      <c r="F217" s="2" t="s">
        <v>1465</v>
      </c>
      <c r="H217" s="2" t="s">
        <v>834</v>
      </c>
      <c r="J217" s="2" t="s">
        <v>1005</v>
      </c>
      <c r="L217" s="2" t="s">
        <v>1466</v>
      </c>
      <c r="N217" s="2" t="s">
        <v>1321</v>
      </c>
      <c r="P217" s="2" t="s">
        <v>938</v>
      </c>
      <c r="Q217" s="2" t="s">
        <v>455</v>
      </c>
      <c r="R217" s="2" t="s">
        <v>1467</v>
      </c>
      <c r="T217" s="2" t="s">
        <v>455</v>
      </c>
      <c r="U217" s="2" t="s">
        <v>296</v>
      </c>
      <c r="V217" s="2" t="s">
        <v>305</v>
      </c>
      <c r="X217" s="2" t="s">
        <v>456</v>
      </c>
      <c r="Y217" s="2" t="s">
        <v>457</v>
      </c>
      <c r="Z217" s="2" t="s">
        <v>458</v>
      </c>
    </row>
    <row r="218" spans="1:27">
      <c r="A218" s="12">
        <v>44971.487536574074</v>
      </c>
      <c r="B218" s="2" t="s">
        <v>452</v>
      </c>
      <c r="C218" s="2" t="s">
        <v>453</v>
      </c>
      <c r="D218" s="2" t="s">
        <v>452</v>
      </c>
      <c r="E218" s="2" t="s">
        <v>454</v>
      </c>
      <c r="F218" s="2" t="s">
        <v>1468</v>
      </c>
      <c r="G218" s="2" t="s">
        <v>1469</v>
      </c>
      <c r="H218" s="2" t="s">
        <v>1470</v>
      </c>
      <c r="J218" s="2" t="s">
        <v>1471</v>
      </c>
      <c r="L218" s="2" t="s">
        <v>1472</v>
      </c>
      <c r="M218" s="2" t="s">
        <v>77</v>
      </c>
      <c r="N218" s="2" t="s">
        <v>655</v>
      </c>
      <c r="O218" s="2" t="s">
        <v>558</v>
      </c>
      <c r="P218" s="2" t="s">
        <v>838</v>
      </c>
      <c r="Q218" s="2" t="s">
        <v>455</v>
      </c>
      <c r="R218" s="2" t="s">
        <v>1473</v>
      </c>
      <c r="T218" s="2" t="s">
        <v>455</v>
      </c>
      <c r="U218" s="2" t="s">
        <v>1474</v>
      </c>
      <c r="V218" s="2" t="s">
        <v>305</v>
      </c>
      <c r="W218" s="2" t="s">
        <v>330</v>
      </c>
      <c r="X218" s="2" t="s">
        <v>462</v>
      </c>
      <c r="Y218" s="2" t="s">
        <v>457</v>
      </c>
      <c r="Z218" s="2" t="s">
        <v>458</v>
      </c>
    </row>
    <row r="219" spans="1:27">
      <c r="A219" s="12">
        <v>44971.517350185182</v>
      </c>
      <c r="B219" s="2" t="s">
        <v>452</v>
      </c>
      <c r="C219" s="2" t="s">
        <v>453</v>
      </c>
      <c r="D219" s="2" t="s">
        <v>452</v>
      </c>
      <c r="E219" s="2" t="s">
        <v>454</v>
      </c>
      <c r="F219" s="2" t="s">
        <v>1475</v>
      </c>
      <c r="H219" s="2" t="s">
        <v>958</v>
      </c>
      <c r="J219" s="2" t="s">
        <v>117</v>
      </c>
      <c r="L219" s="2" t="s">
        <v>1476</v>
      </c>
      <c r="N219" s="2" t="s">
        <v>106</v>
      </c>
      <c r="P219" s="2" t="s">
        <v>117</v>
      </c>
      <c r="Q219" s="2" t="s">
        <v>455</v>
      </c>
      <c r="R219" s="2" t="s">
        <v>1477</v>
      </c>
      <c r="T219" s="2" t="s">
        <v>455</v>
      </c>
      <c r="U219" s="2" t="s">
        <v>735</v>
      </c>
      <c r="V219" s="2" t="s">
        <v>303</v>
      </c>
      <c r="X219" s="2" t="s">
        <v>464</v>
      </c>
      <c r="Y219" s="2" t="s">
        <v>457</v>
      </c>
      <c r="Z219" s="2" t="s">
        <v>458</v>
      </c>
    </row>
    <row r="220" spans="1:27">
      <c r="A220" s="12">
        <v>44971.535474999997</v>
      </c>
      <c r="B220" s="2" t="s">
        <v>452</v>
      </c>
      <c r="C220" s="2" t="s">
        <v>453</v>
      </c>
      <c r="D220" s="2" t="s">
        <v>452</v>
      </c>
      <c r="E220" s="2" t="s">
        <v>454</v>
      </c>
      <c r="F220" s="2" t="s">
        <v>1478</v>
      </c>
      <c r="H220" s="2" t="s">
        <v>1479</v>
      </c>
      <c r="J220" s="2" t="s">
        <v>117</v>
      </c>
      <c r="L220" s="2" t="s">
        <v>1480</v>
      </c>
      <c r="M220" s="2" t="s">
        <v>57</v>
      </c>
      <c r="N220" s="2" t="s">
        <v>105</v>
      </c>
      <c r="O220" s="2" t="s">
        <v>559</v>
      </c>
      <c r="P220" s="2" t="s">
        <v>117</v>
      </c>
      <c r="Q220" s="2" t="s">
        <v>455</v>
      </c>
      <c r="R220" s="2" t="s">
        <v>1481</v>
      </c>
      <c r="S220" s="2" t="s">
        <v>213</v>
      </c>
      <c r="T220" s="2" t="s">
        <v>455</v>
      </c>
      <c r="U220" s="2" t="s">
        <v>304</v>
      </c>
      <c r="V220" s="2" t="s">
        <v>305</v>
      </c>
      <c r="X220" s="2" t="s">
        <v>456</v>
      </c>
      <c r="Y220" s="2" t="s">
        <v>457</v>
      </c>
      <c r="Z220" s="2" t="s">
        <v>458</v>
      </c>
    </row>
    <row r="221" spans="1:27">
      <c r="A221" s="12">
        <v>44971.535786076391</v>
      </c>
      <c r="B221" s="2" t="s">
        <v>452</v>
      </c>
      <c r="C221" s="2" t="s">
        <v>453</v>
      </c>
      <c r="D221" s="2" t="s">
        <v>452</v>
      </c>
      <c r="E221" s="2" t="s">
        <v>454</v>
      </c>
      <c r="F221" s="2" t="s">
        <v>21</v>
      </c>
      <c r="H221" s="2" t="s">
        <v>139</v>
      </c>
      <c r="J221" s="2" t="s">
        <v>117</v>
      </c>
      <c r="L221" s="2" t="s">
        <v>1031</v>
      </c>
      <c r="M221" s="2" t="s">
        <v>78</v>
      </c>
      <c r="N221" s="2" t="s">
        <v>108</v>
      </c>
      <c r="O221" s="2" t="s">
        <v>78</v>
      </c>
      <c r="P221" s="2" t="s">
        <v>117</v>
      </c>
      <c r="Q221" s="2" t="s">
        <v>472</v>
      </c>
      <c r="T221" s="2" t="s">
        <v>472</v>
      </c>
      <c r="X221" s="2" t="s">
        <v>461</v>
      </c>
      <c r="Y221" s="2" t="s">
        <v>457</v>
      </c>
      <c r="Z221" s="2" t="s">
        <v>458</v>
      </c>
      <c r="AA221" s="2" t="s">
        <v>560</v>
      </c>
    </row>
    <row r="222" spans="1:27">
      <c r="A222" s="12">
        <v>44971.542232199077</v>
      </c>
      <c r="B222" s="2" t="s">
        <v>452</v>
      </c>
      <c r="C222" s="2" t="s">
        <v>453</v>
      </c>
      <c r="D222" s="2" t="s">
        <v>452</v>
      </c>
      <c r="E222" s="2" t="s">
        <v>454</v>
      </c>
      <c r="F222" s="2" t="s">
        <v>1482</v>
      </c>
      <c r="H222" s="2" t="s">
        <v>139</v>
      </c>
      <c r="J222" s="2" t="s">
        <v>117</v>
      </c>
      <c r="L222" s="2" t="s">
        <v>168</v>
      </c>
      <c r="N222" s="2" t="s">
        <v>109</v>
      </c>
      <c r="P222" s="2" t="s">
        <v>117</v>
      </c>
      <c r="Q222" s="2" t="s">
        <v>455</v>
      </c>
      <c r="R222" s="2" t="s">
        <v>1483</v>
      </c>
      <c r="T222" s="2" t="s">
        <v>455</v>
      </c>
      <c r="U222" s="2" t="s">
        <v>304</v>
      </c>
      <c r="V222" s="2" t="s">
        <v>305</v>
      </c>
      <c r="X222" s="2" t="s">
        <v>479</v>
      </c>
      <c r="Y222" s="2" t="s">
        <v>457</v>
      </c>
      <c r="Z222" s="2" t="s">
        <v>458</v>
      </c>
    </row>
    <row r="223" spans="1:27">
      <c r="A223" s="12">
        <v>44971.546398287042</v>
      </c>
      <c r="B223" s="2" t="s">
        <v>452</v>
      </c>
      <c r="C223" s="2" t="s">
        <v>453</v>
      </c>
      <c r="D223" s="2" t="s">
        <v>452</v>
      </c>
      <c r="E223" s="2" t="s">
        <v>454</v>
      </c>
      <c r="F223" s="2" t="s">
        <v>1484</v>
      </c>
      <c r="H223" s="2" t="s">
        <v>139</v>
      </c>
      <c r="J223" s="2" t="s">
        <v>117</v>
      </c>
      <c r="L223" s="2" t="s">
        <v>688</v>
      </c>
      <c r="N223" s="2" t="s">
        <v>823</v>
      </c>
      <c r="P223" s="2" t="s">
        <v>117</v>
      </c>
      <c r="Q223" s="2" t="s">
        <v>455</v>
      </c>
      <c r="R223" s="2" t="s">
        <v>1485</v>
      </c>
      <c r="T223" s="2" t="s">
        <v>455</v>
      </c>
      <c r="U223" s="2" t="s">
        <v>304</v>
      </c>
      <c r="V223" s="2" t="s">
        <v>300</v>
      </c>
      <c r="X223" s="2" t="s">
        <v>475</v>
      </c>
      <c r="Y223" s="2" t="s">
        <v>457</v>
      </c>
      <c r="Z223" s="2" t="s">
        <v>458</v>
      </c>
    </row>
    <row r="224" spans="1:27">
      <c r="A224" s="12">
        <v>44971.559113402778</v>
      </c>
      <c r="B224" s="2" t="s">
        <v>452</v>
      </c>
      <c r="C224" s="2" t="s">
        <v>453</v>
      </c>
      <c r="D224" s="2" t="s">
        <v>452</v>
      </c>
      <c r="E224" s="2" t="s">
        <v>454</v>
      </c>
      <c r="F224" s="2" t="s">
        <v>1486</v>
      </c>
      <c r="H224" s="2" t="s">
        <v>1487</v>
      </c>
      <c r="J224" s="2" t="s">
        <v>117</v>
      </c>
      <c r="L224" s="2" t="s">
        <v>1488</v>
      </c>
      <c r="N224" s="2" t="s">
        <v>107</v>
      </c>
      <c r="P224" s="2" t="s">
        <v>117</v>
      </c>
      <c r="Q224" s="2" t="s">
        <v>455</v>
      </c>
      <c r="R224" s="2" t="s">
        <v>1489</v>
      </c>
      <c r="T224" s="2" t="s">
        <v>455</v>
      </c>
      <c r="U224" s="2" t="s">
        <v>1490</v>
      </c>
      <c r="V224" s="2" t="s">
        <v>305</v>
      </c>
      <c r="X224" s="2" t="s">
        <v>456</v>
      </c>
      <c r="Y224" s="2" t="s">
        <v>457</v>
      </c>
      <c r="Z224" s="2" t="s">
        <v>458</v>
      </c>
    </row>
    <row r="225" spans="1:27">
      <c r="A225" s="12">
        <v>44971.559956226847</v>
      </c>
      <c r="B225" s="2" t="s">
        <v>452</v>
      </c>
      <c r="C225" s="2" t="s">
        <v>453</v>
      </c>
      <c r="D225" s="2" t="s">
        <v>452</v>
      </c>
      <c r="E225" s="2" t="s">
        <v>454</v>
      </c>
      <c r="F225" s="2" t="s">
        <v>1491</v>
      </c>
      <c r="H225" s="2" t="s">
        <v>107</v>
      </c>
      <c r="J225" s="2" t="s">
        <v>107</v>
      </c>
      <c r="L225" s="2" t="s">
        <v>124</v>
      </c>
      <c r="N225" s="2" t="s">
        <v>107</v>
      </c>
      <c r="P225" s="2" t="s">
        <v>122</v>
      </c>
      <c r="Q225" s="2" t="s">
        <v>455</v>
      </c>
      <c r="T225" s="2" t="s">
        <v>455</v>
      </c>
      <c r="U225" s="2" t="s">
        <v>304</v>
      </c>
      <c r="V225" s="2" t="s">
        <v>305</v>
      </c>
      <c r="X225" s="2" t="s">
        <v>456</v>
      </c>
      <c r="Y225" s="2" t="s">
        <v>457</v>
      </c>
      <c r="Z225" s="2" t="s">
        <v>458</v>
      </c>
    </row>
    <row r="226" spans="1:27">
      <c r="A226" s="12">
        <v>44971.563785891209</v>
      </c>
      <c r="B226" s="2" t="s">
        <v>452</v>
      </c>
      <c r="C226" s="2" t="s">
        <v>453</v>
      </c>
      <c r="D226" s="2" t="s">
        <v>452</v>
      </c>
      <c r="E226" s="2" t="s">
        <v>454</v>
      </c>
      <c r="F226" s="2" t="s">
        <v>1492</v>
      </c>
      <c r="H226" s="2" t="s">
        <v>1493</v>
      </c>
      <c r="J226" s="2" t="s">
        <v>117</v>
      </c>
      <c r="L226" s="2" t="s">
        <v>1031</v>
      </c>
      <c r="N226" s="2" t="s">
        <v>108</v>
      </c>
      <c r="P226" s="2" t="s">
        <v>117</v>
      </c>
      <c r="Q226" s="2" t="s">
        <v>455</v>
      </c>
      <c r="R226" s="2" t="s">
        <v>1494</v>
      </c>
      <c r="T226" s="2" t="s">
        <v>455</v>
      </c>
      <c r="U226" s="2" t="s">
        <v>857</v>
      </c>
      <c r="V226" s="2" t="s">
        <v>857</v>
      </c>
      <c r="W226" s="2" t="s">
        <v>309</v>
      </c>
      <c r="X226" s="2" t="s">
        <v>456</v>
      </c>
      <c r="Y226" s="2" t="s">
        <v>457</v>
      </c>
      <c r="Z226" s="2" t="s">
        <v>458</v>
      </c>
    </row>
    <row r="227" spans="1:27">
      <c r="A227" s="12">
        <v>44971.569000833333</v>
      </c>
      <c r="B227" s="2" t="s">
        <v>452</v>
      </c>
      <c r="C227" s="2" t="s">
        <v>453</v>
      </c>
      <c r="D227" s="2" t="s">
        <v>452</v>
      </c>
      <c r="E227" s="2" t="s">
        <v>454</v>
      </c>
      <c r="F227" s="2" t="s">
        <v>1495</v>
      </c>
      <c r="H227" s="2" t="s">
        <v>1496</v>
      </c>
      <c r="J227" s="2" t="s">
        <v>117</v>
      </c>
      <c r="L227" s="2" t="s">
        <v>1497</v>
      </c>
      <c r="N227" s="2" t="s">
        <v>1498</v>
      </c>
      <c r="P227" s="2" t="s">
        <v>117</v>
      </c>
      <c r="Q227" s="2" t="s">
        <v>455</v>
      </c>
      <c r="R227" s="2" t="s">
        <v>1499</v>
      </c>
      <c r="S227" s="2" t="s">
        <v>245</v>
      </c>
      <c r="T227" s="2" t="s">
        <v>455</v>
      </c>
      <c r="U227" s="2" t="s">
        <v>304</v>
      </c>
      <c r="V227" s="2" t="s">
        <v>305</v>
      </c>
      <c r="X227" s="2" t="s">
        <v>462</v>
      </c>
      <c r="Y227" s="2" t="s">
        <v>457</v>
      </c>
      <c r="Z227" s="2" t="s">
        <v>458</v>
      </c>
      <c r="AA227" s="2" t="s">
        <v>561</v>
      </c>
    </row>
    <row r="228" spans="1:27">
      <c r="A228" s="12">
        <v>44971.592506180554</v>
      </c>
      <c r="B228" s="2" t="s">
        <v>452</v>
      </c>
      <c r="C228" s="2" t="s">
        <v>453</v>
      </c>
      <c r="D228" s="2" t="s">
        <v>452</v>
      </c>
      <c r="E228" s="2" t="s">
        <v>454</v>
      </c>
      <c r="F228" s="2" t="s">
        <v>10</v>
      </c>
      <c r="H228" s="2" t="s">
        <v>1500</v>
      </c>
      <c r="J228" s="2" t="s">
        <v>117</v>
      </c>
      <c r="L228" s="2" t="s">
        <v>1501</v>
      </c>
      <c r="N228" s="2" t="s">
        <v>107</v>
      </c>
      <c r="P228" s="2" t="s">
        <v>117</v>
      </c>
      <c r="Q228" s="2" t="s">
        <v>455</v>
      </c>
      <c r="R228" s="2" t="s">
        <v>1502</v>
      </c>
      <c r="T228" s="2" t="s">
        <v>455</v>
      </c>
      <c r="U228" s="2" t="s">
        <v>875</v>
      </c>
      <c r="V228" s="2" t="s">
        <v>671</v>
      </c>
      <c r="X228" s="2" t="s">
        <v>456</v>
      </c>
      <c r="Y228" s="2" t="s">
        <v>457</v>
      </c>
      <c r="Z228" s="2" t="s">
        <v>458</v>
      </c>
    </row>
    <row r="229" spans="1:27">
      <c r="A229" s="12">
        <v>44971.645668715282</v>
      </c>
      <c r="B229" s="2" t="s">
        <v>452</v>
      </c>
      <c r="C229" s="2" t="s">
        <v>453</v>
      </c>
      <c r="D229" s="2" t="s">
        <v>452</v>
      </c>
      <c r="E229" s="2" t="s">
        <v>454</v>
      </c>
      <c r="F229" s="2" t="s">
        <v>1503</v>
      </c>
      <c r="H229" s="2" t="s">
        <v>139</v>
      </c>
      <c r="J229" s="2" t="s">
        <v>117</v>
      </c>
      <c r="L229" s="2" t="s">
        <v>1504</v>
      </c>
      <c r="O229" s="2" t="s">
        <v>115</v>
      </c>
      <c r="P229" s="2" t="s">
        <v>117</v>
      </c>
      <c r="Q229" s="2" t="s">
        <v>455</v>
      </c>
      <c r="R229" s="2" t="s">
        <v>180</v>
      </c>
      <c r="T229" s="2" t="s">
        <v>455</v>
      </c>
      <c r="U229" s="2" t="s">
        <v>304</v>
      </c>
      <c r="V229" s="2" t="s">
        <v>305</v>
      </c>
      <c r="X229" s="2" t="s">
        <v>479</v>
      </c>
      <c r="Y229" s="2" t="s">
        <v>457</v>
      </c>
      <c r="Z229" s="2" t="s">
        <v>458</v>
      </c>
    </row>
    <row r="230" spans="1:27">
      <c r="A230" s="12">
        <v>44971.659937048607</v>
      </c>
      <c r="B230" s="2" t="s">
        <v>452</v>
      </c>
      <c r="C230" s="2" t="s">
        <v>453</v>
      </c>
      <c r="D230" s="2" t="s">
        <v>452</v>
      </c>
      <c r="E230" s="2" t="s">
        <v>454</v>
      </c>
      <c r="F230" s="2" t="s">
        <v>5</v>
      </c>
      <c r="H230" s="2" t="s">
        <v>1505</v>
      </c>
      <c r="J230" s="2" t="s">
        <v>117</v>
      </c>
      <c r="L230" s="2" t="s">
        <v>1506</v>
      </c>
      <c r="N230" s="2" t="s">
        <v>106</v>
      </c>
      <c r="P230" s="2" t="s">
        <v>117</v>
      </c>
      <c r="Q230" s="2" t="s">
        <v>455</v>
      </c>
      <c r="R230" s="2" t="s">
        <v>1507</v>
      </c>
      <c r="S230" s="2" t="s">
        <v>212</v>
      </c>
      <c r="T230" s="2" t="s">
        <v>455</v>
      </c>
      <c r="U230" s="2" t="s">
        <v>296</v>
      </c>
      <c r="V230" s="2" t="s">
        <v>305</v>
      </c>
      <c r="W230" s="2" t="s">
        <v>325</v>
      </c>
      <c r="X230" s="2" t="s">
        <v>456</v>
      </c>
      <c r="Y230" s="2" t="s">
        <v>457</v>
      </c>
      <c r="Z230" s="2" t="s">
        <v>458</v>
      </c>
      <c r="AA230" s="2" t="s">
        <v>562</v>
      </c>
    </row>
    <row r="231" spans="1:27">
      <c r="A231" s="12">
        <v>44971.679573553236</v>
      </c>
      <c r="B231" s="2" t="s">
        <v>452</v>
      </c>
      <c r="C231" s="2" t="s">
        <v>453</v>
      </c>
      <c r="D231" s="2" t="s">
        <v>452</v>
      </c>
      <c r="E231" s="2" t="s">
        <v>454</v>
      </c>
      <c r="F231" s="2" t="s">
        <v>1508</v>
      </c>
      <c r="H231" s="2" t="s">
        <v>1509</v>
      </c>
      <c r="J231" s="2" t="s">
        <v>1510</v>
      </c>
      <c r="L231" s="2" t="s">
        <v>1511</v>
      </c>
      <c r="M231" s="2" t="s">
        <v>60</v>
      </c>
      <c r="N231" s="2" t="s">
        <v>106</v>
      </c>
      <c r="P231" s="2" t="s">
        <v>117</v>
      </c>
      <c r="Q231" s="2" t="s">
        <v>455</v>
      </c>
      <c r="R231" s="2" t="s">
        <v>1512</v>
      </c>
      <c r="T231" s="2" t="s">
        <v>455</v>
      </c>
      <c r="U231" s="2" t="s">
        <v>304</v>
      </c>
      <c r="V231" s="2" t="s">
        <v>305</v>
      </c>
      <c r="X231" s="2" t="s">
        <v>474</v>
      </c>
      <c r="Y231" s="2" t="s">
        <v>457</v>
      </c>
      <c r="Z231" s="2" t="s">
        <v>458</v>
      </c>
    </row>
    <row r="232" spans="1:27">
      <c r="A232" s="12">
        <v>44971.68863336806</v>
      </c>
      <c r="B232" s="2" t="s">
        <v>452</v>
      </c>
      <c r="C232" s="2" t="s">
        <v>453</v>
      </c>
      <c r="D232" s="2" t="s">
        <v>452</v>
      </c>
      <c r="E232" s="2" t="s">
        <v>454</v>
      </c>
      <c r="F232" s="2" t="s">
        <v>9</v>
      </c>
      <c r="H232" s="2" t="s">
        <v>107</v>
      </c>
      <c r="J232" s="2" t="s">
        <v>117</v>
      </c>
      <c r="L232" s="2" t="s">
        <v>169</v>
      </c>
      <c r="N232" s="2" t="s">
        <v>108</v>
      </c>
      <c r="P232" s="2" t="s">
        <v>738</v>
      </c>
      <c r="Q232" s="2" t="s">
        <v>455</v>
      </c>
      <c r="R232" s="2" t="s">
        <v>1513</v>
      </c>
      <c r="T232" s="2" t="s">
        <v>455</v>
      </c>
      <c r="U232" s="2" t="s">
        <v>301</v>
      </c>
      <c r="V232" s="2" t="s">
        <v>305</v>
      </c>
      <c r="Y232" s="2" t="s">
        <v>457</v>
      </c>
      <c r="Z232" s="2" t="s">
        <v>458</v>
      </c>
    </row>
    <row r="233" spans="1:27">
      <c r="A233" s="12">
        <v>44971.714665173611</v>
      </c>
      <c r="B233" s="2" t="s">
        <v>452</v>
      </c>
      <c r="C233" s="2" t="s">
        <v>453</v>
      </c>
      <c r="D233" s="2" t="s">
        <v>452</v>
      </c>
      <c r="E233" s="2" t="s">
        <v>454</v>
      </c>
      <c r="F233" s="2" t="s">
        <v>12</v>
      </c>
      <c r="H233" s="2" t="s">
        <v>704</v>
      </c>
      <c r="J233" s="2" t="s">
        <v>1514</v>
      </c>
      <c r="L233" s="2" t="s">
        <v>658</v>
      </c>
      <c r="N233" s="2" t="s">
        <v>107</v>
      </c>
      <c r="P233" s="2" t="s">
        <v>1515</v>
      </c>
      <c r="Q233" s="2" t="s">
        <v>455</v>
      </c>
      <c r="T233" s="2" t="s">
        <v>472</v>
      </c>
      <c r="X233" s="2" t="s">
        <v>474</v>
      </c>
      <c r="Y233" s="2" t="s">
        <v>457</v>
      </c>
      <c r="Z233" s="2" t="s">
        <v>458</v>
      </c>
    </row>
    <row r="234" spans="1:27">
      <c r="A234" s="12">
        <v>44971.814178356479</v>
      </c>
      <c r="B234" s="2" t="s">
        <v>452</v>
      </c>
      <c r="C234" s="2" t="s">
        <v>453</v>
      </c>
      <c r="D234" s="2" t="s">
        <v>452</v>
      </c>
      <c r="E234" s="2" t="s">
        <v>454</v>
      </c>
      <c r="F234" s="2" t="s">
        <v>1516</v>
      </c>
      <c r="H234" s="2" t="s">
        <v>107</v>
      </c>
      <c r="J234" s="2" t="s">
        <v>117</v>
      </c>
      <c r="L234" s="2" t="s">
        <v>168</v>
      </c>
      <c r="N234" s="2" t="s">
        <v>106</v>
      </c>
      <c r="P234" s="2" t="s">
        <v>117</v>
      </c>
      <c r="Q234" s="2" t="s">
        <v>455</v>
      </c>
      <c r="R234" s="2" t="s">
        <v>1517</v>
      </c>
      <c r="T234" s="2" t="s">
        <v>455</v>
      </c>
      <c r="U234" s="2" t="s">
        <v>300</v>
      </c>
      <c r="V234" s="2" t="s">
        <v>305</v>
      </c>
      <c r="X234" s="2" t="s">
        <v>456</v>
      </c>
      <c r="Y234" s="2" t="s">
        <v>457</v>
      </c>
      <c r="Z234" s="2" t="s">
        <v>458</v>
      </c>
    </row>
    <row r="235" spans="1:27">
      <c r="A235" s="12">
        <v>44971.841441886572</v>
      </c>
      <c r="B235" s="2" t="s">
        <v>452</v>
      </c>
      <c r="C235" s="2" t="s">
        <v>453</v>
      </c>
      <c r="D235" s="2" t="s">
        <v>452</v>
      </c>
      <c r="E235" s="2" t="s">
        <v>454</v>
      </c>
      <c r="F235" s="2" t="s">
        <v>1518</v>
      </c>
      <c r="H235" s="2" t="s">
        <v>1519</v>
      </c>
      <c r="J235" s="2" t="s">
        <v>117</v>
      </c>
      <c r="L235" s="2" t="s">
        <v>1520</v>
      </c>
      <c r="N235" s="2" t="s">
        <v>1521</v>
      </c>
      <c r="P235" s="2" t="s">
        <v>117</v>
      </c>
      <c r="Q235" s="2" t="s">
        <v>455</v>
      </c>
      <c r="R235" s="2" t="s">
        <v>1522</v>
      </c>
      <c r="T235" s="2" t="s">
        <v>455</v>
      </c>
      <c r="U235" s="2" t="s">
        <v>304</v>
      </c>
      <c r="V235" s="2" t="s">
        <v>305</v>
      </c>
      <c r="X235" s="2" t="s">
        <v>459</v>
      </c>
      <c r="Y235" s="2" t="s">
        <v>457</v>
      </c>
      <c r="Z235" s="2" t="s">
        <v>458</v>
      </c>
    </row>
    <row r="236" spans="1:27">
      <c r="A236" s="12">
        <v>44971.848973252316</v>
      </c>
      <c r="B236" s="2" t="s">
        <v>452</v>
      </c>
      <c r="C236" s="2" t="s">
        <v>453</v>
      </c>
      <c r="D236" s="2" t="s">
        <v>452</v>
      </c>
      <c r="E236" s="2" t="s">
        <v>454</v>
      </c>
      <c r="F236" s="2" t="s">
        <v>1523</v>
      </c>
      <c r="H236" s="2" t="s">
        <v>1524</v>
      </c>
      <c r="J236" s="2" t="s">
        <v>117</v>
      </c>
      <c r="L236" s="2" t="s">
        <v>167</v>
      </c>
      <c r="N236" s="2" t="s">
        <v>1525</v>
      </c>
      <c r="P236" s="2" t="s">
        <v>117</v>
      </c>
      <c r="Q236" s="2" t="s">
        <v>455</v>
      </c>
      <c r="R236" s="2" t="s">
        <v>184</v>
      </c>
      <c r="S236" s="2" t="s">
        <v>270</v>
      </c>
      <c r="T236" s="2" t="s">
        <v>455</v>
      </c>
      <c r="U236" s="2" t="s">
        <v>300</v>
      </c>
      <c r="V236" s="2" t="s">
        <v>305</v>
      </c>
      <c r="X236" s="2" t="s">
        <v>464</v>
      </c>
      <c r="Y236" s="2" t="s">
        <v>457</v>
      </c>
      <c r="Z236" s="2" t="s">
        <v>458</v>
      </c>
    </row>
    <row r="237" spans="1:27">
      <c r="A237" s="12">
        <v>44971.894312870369</v>
      </c>
      <c r="B237" s="2" t="s">
        <v>452</v>
      </c>
      <c r="C237" s="2" t="s">
        <v>453</v>
      </c>
      <c r="D237" s="2" t="s">
        <v>452</v>
      </c>
      <c r="E237" s="2" t="s">
        <v>454</v>
      </c>
      <c r="F237" s="2" t="s">
        <v>1526</v>
      </c>
      <c r="H237" s="2" t="s">
        <v>139</v>
      </c>
      <c r="J237" s="2" t="s">
        <v>117</v>
      </c>
      <c r="L237" s="2" t="s">
        <v>167</v>
      </c>
      <c r="N237" s="2" t="s">
        <v>105</v>
      </c>
      <c r="O237" s="2" t="s">
        <v>564</v>
      </c>
      <c r="P237" s="2" t="s">
        <v>117</v>
      </c>
      <c r="Q237" s="2" t="s">
        <v>455</v>
      </c>
      <c r="R237" s="2" t="s">
        <v>181</v>
      </c>
      <c r="T237" s="2" t="s">
        <v>455</v>
      </c>
      <c r="U237" s="2" t="s">
        <v>304</v>
      </c>
      <c r="V237" s="2" t="s">
        <v>305</v>
      </c>
      <c r="X237" s="2" t="s">
        <v>462</v>
      </c>
      <c r="Y237" s="2" t="s">
        <v>457</v>
      </c>
      <c r="Z237" s="2" t="s">
        <v>458</v>
      </c>
    </row>
    <row r="238" spans="1:27">
      <c r="A238" s="12">
        <v>44971.937798344909</v>
      </c>
      <c r="B238" s="2" t="s">
        <v>452</v>
      </c>
      <c r="C238" s="2" t="s">
        <v>453</v>
      </c>
      <c r="D238" s="2" t="s">
        <v>452</v>
      </c>
      <c r="E238" s="2" t="s">
        <v>454</v>
      </c>
      <c r="F238" s="2" t="s">
        <v>1527</v>
      </c>
      <c r="H238" s="2" t="s">
        <v>883</v>
      </c>
      <c r="J238" s="2" t="s">
        <v>1528</v>
      </c>
      <c r="L238" s="2" t="s">
        <v>1397</v>
      </c>
      <c r="N238" s="2" t="s">
        <v>1529</v>
      </c>
      <c r="O238" s="2" t="s">
        <v>115</v>
      </c>
      <c r="P238" s="2" t="s">
        <v>117</v>
      </c>
      <c r="Q238" s="2" t="s">
        <v>455</v>
      </c>
      <c r="R238" s="2" t="s">
        <v>1530</v>
      </c>
      <c r="T238" s="2" t="s">
        <v>455</v>
      </c>
      <c r="U238" s="2" t="s">
        <v>853</v>
      </c>
      <c r="V238" s="2" t="s">
        <v>305</v>
      </c>
      <c r="X238" s="2" t="s">
        <v>464</v>
      </c>
      <c r="Y238" s="2" t="s">
        <v>457</v>
      </c>
      <c r="Z238" s="2" t="s">
        <v>458</v>
      </c>
    </row>
    <row r="239" spans="1:27">
      <c r="A239" s="12">
        <v>44972.01081177083</v>
      </c>
      <c r="B239" s="2" t="s">
        <v>452</v>
      </c>
      <c r="C239" s="2" t="s">
        <v>453</v>
      </c>
      <c r="D239" s="2" t="s">
        <v>452</v>
      </c>
      <c r="E239" s="2" t="s">
        <v>454</v>
      </c>
      <c r="F239" s="2" t="s">
        <v>1531</v>
      </c>
      <c r="H239" s="2" t="s">
        <v>139</v>
      </c>
      <c r="J239" s="2" t="s">
        <v>156</v>
      </c>
      <c r="L239" s="2" t="s">
        <v>167</v>
      </c>
      <c r="N239" s="2" t="s">
        <v>108</v>
      </c>
      <c r="P239" s="2" t="s">
        <v>117</v>
      </c>
      <c r="Q239" s="2" t="s">
        <v>455</v>
      </c>
      <c r="S239" s="2" t="s">
        <v>294</v>
      </c>
      <c r="T239" s="2" t="s">
        <v>455</v>
      </c>
      <c r="U239" s="2" t="s">
        <v>1033</v>
      </c>
      <c r="V239" s="2" t="s">
        <v>976</v>
      </c>
      <c r="W239" s="2" t="s">
        <v>312</v>
      </c>
      <c r="X239" s="2" t="s">
        <v>456</v>
      </c>
      <c r="Y239" s="2" t="s">
        <v>457</v>
      </c>
      <c r="Z239" s="2" t="s">
        <v>458</v>
      </c>
    </row>
    <row r="240" spans="1:27">
      <c r="A240" s="12">
        <v>44972.02890873843</v>
      </c>
      <c r="B240" s="2" t="s">
        <v>452</v>
      </c>
      <c r="C240" s="2" t="s">
        <v>453</v>
      </c>
      <c r="D240" s="2" t="s">
        <v>452</v>
      </c>
      <c r="E240" s="2" t="s">
        <v>454</v>
      </c>
      <c r="F240" s="2" t="s">
        <v>1532</v>
      </c>
      <c r="H240" s="2" t="s">
        <v>883</v>
      </c>
      <c r="J240" s="2" t="s">
        <v>1533</v>
      </c>
      <c r="L240" s="2" t="s">
        <v>1534</v>
      </c>
      <c r="M240" s="2" t="s">
        <v>100</v>
      </c>
      <c r="N240" s="2" t="s">
        <v>105</v>
      </c>
      <c r="P240" s="2" t="s">
        <v>119</v>
      </c>
      <c r="Q240" s="2" t="s">
        <v>455</v>
      </c>
      <c r="R240" s="2" t="s">
        <v>1535</v>
      </c>
      <c r="T240" s="2" t="s">
        <v>455</v>
      </c>
      <c r="U240" s="2" t="s">
        <v>982</v>
      </c>
      <c r="V240" s="2" t="s">
        <v>305</v>
      </c>
      <c r="W240" s="2" t="s">
        <v>406</v>
      </c>
      <c r="X240" s="2" t="s">
        <v>459</v>
      </c>
      <c r="Y240" s="2" t="s">
        <v>457</v>
      </c>
      <c r="Z240" s="2" t="s">
        <v>458</v>
      </c>
    </row>
    <row r="241" spans="1:27">
      <c r="A241" s="12">
        <v>44972.184700972226</v>
      </c>
      <c r="B241" s="2" t="s">
        <v>452</v>
      </c>
      <c r="C241" s="2" t="s">
        <v>453</v>
      </c>
      <c r="D241" s="2" t="s">
        <v>452</v>
      </c>
      <c r="E241" s="2" t="s">
        <v>454</v>
      </c>
      <c r="F241" s="2" t="s">
        <v>1536</v>
      </c>
      <c r="H241" s="2" t="s">
        <v>139</v>
      </c>
      <c r="J241" s="2" t="s">
        <v>705</v>
      </c>
      <c r="L241" s="2" t="s">
        <v>1537</v>
      </c>
      <c r="M241" s="2" t="s">
        <v>83</v>
      </c>
      <c r="N241" s="2" t="s">
        <v>675</v>
      </c>
      <c r="P241" s="2" t="s">
        <v>649</v>
      </c>
      <c r="Q241" s="2" t="s">
        <v>455</v>
      </c>
      <c r="R241" s="2" t="s">
        <v>1538</v>
      </c>
      <c r="S241" s="2" t="s">
        <v>285</v>
      </c>
      <c r="T241" s="2" t="s">
        <v>455</v>
      </c>
      <c r="U241" s="2" t="s">
        <v>1539</v>
      </c>
      <c r="V241" s="2" t="s">
        <v>305</v>
      </c>
      <c r="W241" s="2" t="s">
        <v>366</v>
      </c>
      <c r="X241" s="2" t="s">
        <v>479</v>
      </c>
      <c r="Y241" s="2" t="s">
        <v>457</v>
      </c>
      <c r="Z241" s="2" t="s">
        <v>458</v>
      </c>
      <c r="AA241" s="2" t="s">
        <v>565</v>
      </c>
    </row>
    <row r="242" spans="1:27">
      <c r="A242" s="12">
        <v>44972.531819097218</v>
      </c>
      <c r="B242" s="2" t="s">
        <v>452</v>
      </c>
      <c r="C242" s="2" t="s">
        <v>453</v>
      </c>
      <c r="D242" s="2" t="s">
        <v>452</v>
      </c>
      <c r="E242" s="2" t="s">
        <v>454</v>
      </c>
      <c r="F242" s="2" t="s">
        <v>1540</v>
      </c>
      <c r="H242" s="2" t="s">
        <v>931</v>
      </c>
      <c r="J242" s="2" t="s">
        <v>117</v>
      </c>
      <c r="L242" s="2" t="s">
        <v>167</v>
      </c>
      <c r="N242" s="2" t="s">
        <v>107</v>
      </c>
      <c r="P242" s="2" t="s">
        <v>117</v>
      </c>
      <c r="Q242" s="2" t="s">
        <v>455</v>
      </c>
      <c r="R242" s="2" t="s">
        <v>1541</v>
      </c>
      <c r="T242" s="2" t="s">
        <v>455</v>
      </c>
      <c r="U242" s="2" t="s">
        <v>304</v>
      </c>
      <c r="V242" s="2" t="s">
        <v>305</v>
      </c>
      <c r="X242" s="2" t="s">
        <v>479</v>
      </c>
      <c r="Y242" s="2" t="s">
        <v>457</v>
      </c>
      <c r="Z242" s="2" t="s">
        <v>458</v>
      </c>
    </row>
    <row r="243" spans="1:27">
      <c r="A243" s="12">
        <v>44972.758295081017</v>
      </c>
      <c r="B243" s="2" t="s">
        <v>452</v>
      </c>
      <c r="C243" s="2" t="s">
        <v>453</v>
      </c>
      <c r="D243" s="2" t="s">
        <v>452</v>
      </c>
      <c r="E243" s="2" t="s">
        <v>454</v>
      </c>
      <c r="F243" s="2" t="s">
        <v>1542</v>
      </c>
      <c r="H243" s="2" t="s">
        <v>1023</v>
      </c>
      <c r="J243" s="2" t="s">
        <v>121</v>
      </c>
      <c r="L243" s="2" t="s">
        <v>1543</v>
      </c>
      <c r="N243" s="2" t="s">
        <v>106</v>
      </c>
      <c r="P243" s="2" t="s">
        <v>121</v>
      </c>
      <c r="Q243" s="2" t="s">
        <v>455</v>
      </c>
      <c r="R243" s="2" t="s">
        <v>1544</v>
      </c>
      <c r="T243" s="2" t="s">
        <v>455</v>
      </c>
      <c r="U243" s="2" t="s">
        <v>1474</v>
      </c>
      <c r="V243" s="2" t="s">
        <v>305</v>
      </c>
      <c r="X243" s="2" t="s">
        <v>462</v>
      </c>
      <c r="Y243" s="2" t="s">
        <v>457</v>
      </c>
      <c r="Z243" s="2" t="s">
        <v>458</v>
      </c>
    </row>
    <row r="244" spans="1:27">
      <c r="A244" s="12">
        <v>44973.070707210645</v>
      </c>
      <c r="B244" s="2" t="s">
        <v>452</v>
      </c>
      <c r="C244" s="2" t="s">
        <v>453</v>
      </c>
      <c r="D244" s="2" t="s">
        <v>452</v>
      </c>
      <c r="E244" s="2" t="s">
        <v>454</v>
      </c>
      <c r="F244" s="2" t="s">
        <v>1545</v>
      </c>
      <c r="H244" s="2" t="s">
        <v>139</v>
      </c>
      <c r="J244" s="2" t="s">
        <v>117</v>
      </c>
      <c r="L244" s="2" t="s">
        <v>836</v>
      </c>
      <c r="N244" s="2" t="s">
        <v>105</v>
      </c>
      <c r="P244" s="2" t="s">
        <v>117</v>
      </c>
      <c r="Q244" s="2" t="s">
        <v>455</v>
      </c>
      <c r="T244" s="2" t="s">
        <v>455</v>
      </c>
      <c r="X244" s="2" t="s">
        <v>459</v>
      </c>
      <c r="Y244" s="2" t="s">
        <v>457</v>
      </c>
      <c r="Z244" s="2" t="s">
        <v>458</v>
      </c>
    </row>
    <row r="245" spans="1:27">
      <c r="A245" s="12">
        <v>44973.09286336806</v>
      </c>
      <c r="B245" s="2" t="s">
        <v>452</v>
      </c>
      <c r="C245" s="2" t="s">
        <v>453</v>
      </c>
      <c r="D245" s="2" t="s">
        <v>452</v>
      </c>
      <c r="E245" s="2" t="s">
        <v>454</v>
      </c>
      <c r="F245" s="2" t="s">
        <v>1546</v>
      </c>
      <c r="H245" s="2" t="s">
        <v>107</v>
      </c>
      <c r="J245" s="2" t="s">
        <v>117</v>
      </c>
      <c r="L245" s="2" t="s">
        <v>1547</v>
      </c>
      <c r="N245" s="2" t="s">
        <v>107</v>
      </c>
      <c r="P245" s="2" t="s">
        <v>117</v>
      </c>
      <c r="Q245" s="2" t="s">
        <v>455</v>
      </c>
      <c r="R245" s="2" t="s">
        <v>183</v>
      </c>
      <c r="S245" s="2" t="s">
        <v>233</v>
      </c>
      <c r="T245" s="2" t="s">
        <v>455</v>
      </c>
      <c r="U245" s="2" t="s">
        <v>304</v>
      </c>
      <c r="V245" s="2" t="s">
        <v>305</v>
      </c>
      <c r="X245" s="2" t="s">
        <v>462</v>
      </c>
      <c r="Y245" s="2" t="s">
        <v>457</v>
      </c>
      <c r="Z245" s="2" t="s">
        <v>458</v>
      </c>
    </row>
    <row r="246" spans="1:27">
      <c r="A246" s="12">
        <v>44973.734177256949</v>
      </c>
      <c r="B246" s="2" t="s">
        <v>452</v>
      </c>
      <c r="C246" s="2" t="s">
        <v>453</v>
      </c>
      <c r="D246" s="2" t="s">
        <v>452</v>
      </c>
      <c r="E246" s="2" t="s">
        <v>454</v>
      </c>
      <c r="F246" s="2" t="s">
        <v>1341</v>
      </c>
      <c r="H246" s="2" t="s">
        <v>789</v>
      </c>
      <c r="J246" s="2" t="s">
        <v>140</v>
      </c>
      <c r="L246" s="2" t="s">
        <v>1548</v>
      </c>
      <c r="N246" s="2" t="s">
        <v>675</v>
      </c>
      <c r="P246" s="2" t="s">
        <v>838</v>
      </c>
      <c r="Q246" s="2" t="s">
        <v>455</v>
      </c>
      <c r="R246" s="2" t="s">
        <v>1549</v>
      </c>
      <c r="T246" s="2" t="s">
        <v>455</v>
      </c>
      <c r="U246" s="2" t="s">
        <v>304</v>
      </c>
      <c r="V246" s="2" t="s">
        <v>305</v>
      </c>
      <c r="X246" s="2" t="s">
        <v>462</v>
      </c>
      <c r="Y246" s="2" t="s">
        <v>457</v>
      </c>
      <c r="Z246" s="2" t="s">
        <v>458</v>
      </c>
      <c r="AA246" s="2" t="s">
        <v>566</v>
      </c>
    </row>
    <row r="247" spans="1:27">
      <c r="A247" s="12">
        <v>44973.882135821761</v>
      </c>
      <c r="B247" s="2" t="s">
        <v>452</v>
      </c>
      <c r="C247" s="2" t="s">
        <v>453</v>
      </c>
      <c r="D247" s="2" t="s">
        <v>452</v>
      </c>
      <c r="E247" s="2" t="s">
        <v>454</v>
      </c>
      <c r="F247" s="2" t="s">
        <v>1550</v>
      </c>
      <c r="H247" s="2" t="s">
        <v>704</v>
      </c>
      <c r="J247" s="2" t="s">
        <v>1005</v>
      </c>
      <c r="L247" s="2" t="s">
        <v>1551</v>
      </c>
      <c r="N247" s="2" t="s">
        <v>107</v>
      </c>
      <c r="P247" s="2" t="s">
        <v>117</v>
      </c>
      <c r="Q247" s="2" t="s">
        <v>455</v>
      </c>
      <c r="R247" s="2" t="s">
        <v>1552</v>
      </c>
      <c r="T247" s="2" t="s">
        <v>455</v>
      </c>
      <c r="U247" s="2" t="s">
        <v>302</v>
      </c>
      <c r="V247" s="2" t="s">
        <v>302</v>
      </c>
      <c r="X247" s="2" t="s">
        <v>501</v>
      </c>
      <c r="Y247" s="2" t="s">
        <v>457</v>
      </c>
      <c r="Z247" s="2" t="s">
        <v>458</v>
      </c>
    </row>
    <row r="248" spans="1:27">
      <c r="A248" s="12">
        <v>44974.027410474533</v>
      </c>
      <c r="B248" s="2" t="s">
        <v>452</v>
      </c>
      <c r="C248" s="2" t="s">
        <v>453</v>
      </c>
      <c r="D248" s="2" t="s">
        <v>452</v>
      </c>
      <c r="E248" s="2" t="s">
        <v>454</v>
      </c>
      <c r="F248" s="2" t="s">
        <v>1553</v>
      </c>
      <c r="G248" s="2" t="s">
        <v>1554</v>
      </c>
      <c r="H248" s="2" t="s">
        <v>107</v>
      </c>
      <c r="J248" s="2" t="s">
        <v>140</v>
      </c>
      <c r="L248" s="2" t="s">
        <v>168</v>
      </c>
      <c r="N248" s="2" t="s">
        <v>107</v>
      </c>
      <c r="P248" s="2" t="s">
        <v>122</v>
      </c>
      <c r="Q248" s="2" t="s">
        <v>455</v>
      </c>
      <c r="R248" s="2" t="s">
        <v>1555</v>
      </c>
      <c r="S248" s="2" t="s">
        <v>244</v>
      </c>
      <c r="T248" s="2" t="s">
        <v>455</v>
      </c>
      <c r="U248" s="2" t="s">
        <v>671</v>
      </c>
      <c r="V248" s="2" t="s">
        <v>303</v>
      </c>
      <c r="W248" s="2" t="s">
        <v>412</v>
      </c>
      <c r="X248" s="2" t="s">
        <v>464</v>
      </c>
      <c r="Y248" s="2" t="s">
        <v>457</v>
      </c>
      <c r="Z248" s="2" t="s">
        <v>458</v>
      </c>
    </row>
    <row r="249" spans="1:27">
      <c r="A249" s="12">
        <v>44974.248484814816</v>
      </c>
      <c r="B249" s="2" t="s">
        <v>452</v>
      </c>
      <c r="C249" s="2" t="s">
        <v>453</v>
      </c>
      <c r="D249" s="2" t="s">
        <v>452</v>
      </c>
      <c r="E249" s="2" t="s">
        <v>454</v>
      </c>
      <c r="F249" s="2" t="s">
        <v>1556</v>
      </c>
      <c r="J249" s="2" t="s">
        <v>1557</v>
      </c>
      <c r="P249" s="2" t="s">
        <v>838</v>
      </c>
      <c r="Q249" s="2" t="s">
        <v>455</v>
      </c>
      <c r="R249" s="2" t="s">
        <v>1558</v>
      </c>
      <c r="T249" s="2" t="s">
        <v>455</v>
      </c>
      <c r="U249" s="2" t="s">
        <v>1559</v>
      </c>
      <c r="V249" s="2" t="s">
        <v>305</v>
      </c>
      <c r="X249" s="2" t="s">
        <v>456</v>
      </c>
      <c r="Y249" s="2" t="s">
        <v>568</v>
      </c>
      <c r="Z249" s="2" t="s">
        <v>452</v>
      </c>
      <c r="AA249" s="2" t="s">
        <v>569</v>
      </c>
    </row>
    <row r="250" spans="1:27">
      <c r="A250" s="12">
        <v>44974.273795370369</v>
      </c>
      <c r="B250" s="2" t="s">
        <v>452</v>
      </c>
      <c r="C250" s="2" t="s">
        <v>453</v>
      </c>
      <c r="D250" s="2" t="s">
        <v>452</v>
      </c>
      <c r="E250" s="2" t="s">
        <v>454</v>
      </c>
      <c r="F250" s="2" t="s">
        <v>1560</v>
      </c>
      <c r="H250" s="2" t="s">
        <v>1268</v>
      </c>
      <c r="J250" s="2" t="s">
        <v>117</v>
      </c>
      <c r="L250" s="2" t="s">
        <v>1561</v>
      </c>
      <c r="N250" s="2" t="s">
        <v>1562</v>
      </c>
      <c r="O250" s="2" t="s">
        <v>570</v>
      </c>
      <c r="P250" s="2" t="s">
        <v>117</v>
      </c>
      <c r="Q250" s="2" t="s">
        <v>455</v>
      </c>
      <c r="R250" s="2" t="s">
        <v>1563</v>
      </c>
      <c r="T250" s="2" t="s">
        <v>455</v>
      </c>
      <c r="U250" s="2" t="s">
        <v>1564</v>
      </c>
      <c r="V250" s="2" t="s">
        <v>305</v>
      </c>
      <c r="W250" s="2" t="s">
        <v>354</v>
      </c>
      <c r="X250" s="2" t="s">
        <v>462</v>
      </c>
      <c r="Y250" s="2" t="s">
        <v>457</v>
      </c>
      <c r="Z250" s="2" t="s">
        <v>458</v>
      </c>
    </row>
    <row r="251" spans="1:27">
      <c r="A251" s="12">
        <v>44974.481918483798</v>
      </c>
      <c r="B251" s="2" t="s">
        <v>452</v>
      </c>
      <c r="C251" s="2" t="s">
        <v>453</v>
      </c>
      <c r="D251" s="2" t="s">
        <v>452</v>
      </c>
      <c r="E251" s="2" t="s">
        <v>454</v>
      </c>
      <c r="F251" s="2" t="s">
        <v>1565</v>
      </c>
      <c r="H251" s="2" t="s">
        <v>107</v>
      </c>
      <c r="J251" s="2" t="s">
        <v>117</v>
      </c>
      <c r="L251" s="2" t="s">
        <v>1566</v>
      </c>
      <c r="N251" s="2" t="s">
        <v>105</v>
      </c>
      <c r="P251" s="2" t="s">
        <v>838</v>
      </c>
      <c r="Q251" s="2" t="s">
        <v>455</v>
      </c>
      <c r="R251" s="2" t="s">
        <v>1567</v>
      </c>
      <c r="T251" s="2" t="s">
        <v>455</v>
      </c>
      <c r="U251" s="2" t="s">
        <v>300</v>
      </c>
      <c r="V251" s="2" t="s">
        <v>305</v>
      </c>
      <c r="W251" s="2" t="s">
        <v>309</v>
      </c>
      <c r="X251" s="2" t="s">
        <v>462</v>
      </c>
      <c r="Y251" s="2" t="s">
        <v>457</v>
      </c>
      <c r="Z251" s="2" t="s">
        <v>458</v>
      </c>
    </row>
    <row r="252" spans="1:27">
      <c r="A252" s="12">
        <v>44975.559752881949</v>
      </c>
      <c r="B252" s="2" t="s">
        <v>452</v>
      </c>
      <c r="C252" s="2" t="s">
        <v>453</v>
      </c>
      <c r="D252" s="2" t="s">
        <v>452</v>
      </c>
      <c r="E252" s="2" t="s">
        <v>454</v>
      </c>
      <c r="F252" s="2" t="s">
        <v>1568</v>
      </c>
      <c r="G252" s="2" t="s">
        <v>1569</v>
      </c>
      <c r="H252" s="2" t="s">
        <v>139</v>
      </c>
      <c r="J252" s="2" t="s">
        <v>117</v>
      </c>
      <c r="L252" s="2" t="s">
        <v>1570</v>
      </c>
      <c r="N252" s="2" t="s">
        <v>111</v>
      </c>
      <c r="P252" s="2" t="s">
        <v>773</v>
      </c>
      <c r="Q252" s="2" t="s">
        <v>455</v>
      </c>
      <c r="R252" s="2" t="s">
        <v>1467</v>
      </c>
      <c r="T252" s="2" t="s">
        <v>472</v>
      </c>
      <c r="X252" s="2" t="s">
        <v>456</v>
      </c>
      <c r="Y252" s="2" t="s">
        <v>457</v>
      </c>
      <c r="Z252" s="2" t="s">
        <v>458</v>
      </c>
    </row>
    <row r="253" spans="1:27">
      <c r="A253" s="12">
        <v>44975.701898599538</v>
      </c>
      <c r="B253" s="2" t="s">
        <v>452</v>
      </c>
      <c r="C253" s="2" t="s">
        <v>453</v>
      </c>
      <c r="D253" s="2" t="s">
        <v>452</v>
      </c>
      <c r="E253" s="2" t="s">
        <v>454</v>
      </c>
      <c r="F253" s="2" t="s">
        <v>1571</v>
      </c>
      <c r="G253" s="2" t="s">
        <v>1572</v>
      </c>
      <c r="H253" s="2" t="s">
        <v>107</v>
      </c>
      <c r="J253" s="2" t="s">
        <v>117</v>
      </c>
      <c r="L253" s="2" t="s">
        <v>1573</v>
      </c>
      <c r="N253" s="2" t="s">
        <v>675</v>
      </c>
      <c r="P253" s="2" t="s">
        <v>117</v>
      </c>
      <c r="Q253" s="2" t="s">
        <v>455</v>
      </c>
      <c r="R253" s="2" t="s">
        <v>1574</v>
      </c>
      <c r="S253" s="2" t="s">
        <v>211</v>
      </c>
      <c r="T253" s="2" t="s">
        <v>455</v>
      </c>
      <c r="U253" s="2" t="s">
        <v>299</v>
      </c>
      <c r="V253" s="2" t="s">
        <v>305</v>
      </c>
      <c r="X253" s="2" t="s">
        <v>459</v>
      </c>
      <c r="Y253" s="2" t="s">
        <v>457</v>
      </c>
      <c r="Z253" s="2" t="s">
        <v>458</v>
      </c>
    </row>
    <row r="254" spans="1:27">
      <c r="A254" s="12">
        <v>44976.978851805557</v>
      </c>
      <c r="B254" s="2" t="s">
        <v>452</v>
      </c>
      <c r="C254" s="2" t="s">
        <v>453</v>
      </c>
      <c r="D254" s="2" t="s">
        <v>452</v>
      </c>
      <c r="E254" s="2" t="s">
        <v>454</v>
      </c>
      <c r="F254" s="2" t="s">
        <v>1575</v>
      </c>
      <c r="H254" s="2" t="s">
        <v>1576</v>
      </c>
      <c r="J254" s="2" t="s">
        <v>117</v>
      </c>
      <c r="L254" s="2" t="s">
        <v>1577</v>
      </c>
      <c r="N254" s="2" t="s">
        <v>1578</v>
      </c>
      <c r="P254" s="2" t="s">
        <v>117</v>
      </c>
      <c r="Q254" s="2" t="s">
        <v>455</v>
      </c>
      <c r="R254" s="2" t="s">
        <v>1579</v>
      </c>
      <c r="T254" s="2" t="s">
        <v>455</v>
      </c>
      <c r="U254" s="2" t="s">
        <v>304</v>
      </c>
      <c r="V254" s="2" t="s">
        <v>305</v>
      </c>
      <c r="X254" s="2" t="s">
        <v>462</v>
      </c>
      <c r="Y254" s="2" t="s">
        <v>457</v>
      </c>
      <c r="Z254" s="2" t="s">
        <v>458</v>
      </c>
    </row>
    <row r="255" spans="1:27">
      <c r="A255" s="12">
        <v>44978.795643275458</v>
      </c>
      <c r="B255" s="2" t="s">
        <v>452</v>
      </c>
      <c r="C255" s="2" t="s">
        <v>453</v>
      </c>
      <c r="D255" s="2" t="s">
        <v>452</v>
      </c>
      <c r="E255" s="2" t="s">
        <v>454</v>
      </c>
      <c r="F255" s="2" t="s">
        <v>0</v>
      </c>
      <c r="H255" s="2" t="s">
        <v>139</v>
      </c>
      <c r="J255" s="2" t="s">
        <v>117</v>
      </c>
      <c r="L255" s="2" t="s">
        <v>169</v>
      </c>
      <c r="N255" s="2" t="s">
        <v>655</v>
      </c>
      <c r="P255" s="2" t="s">
        <v>117</v>
      </c>
      <c r="Q255" s="2" t="s">
        <v>455</v>
      </c>
      <c r="R255" s="2" t="s">
        <v>1580</v>
      </c>
      <c r="T255" s="2" t="s">
        <v>455</v>
      </c>
      <c r="U255" s="2" t="s">
        <v>1581</v>
      </c>
      <c r="V255" s="2" t="s">
        <v>1581</v>
      </c>
      <c r="W255" s="2" t="s">
        <v>372</v>
      </c>
      <c r="X255" s="2" t="s">
        <v>459</v>
      </c>
      <c r="Y255" s="2" t="s">
        <v>457</v>
      </c>
      <c r="Z255" s="2" t="s">
        <v>458</v>
      </c>
    </row>
    <row r="256" spans="1:27">
      <c r="A256" s="12">
        <v>44978.813184432875</v>
      </c>
      <c r="B256" s="2" t="s">
        <v>452</v>
      </c>
      <c r="C256" s="2" t="s">
        <v>453</v>
      </c>
      <c r="D256" s="2" t="s">
        <v>452</v>
      </c>
      <c r="E256" s="2" t="s">
        <v>454</v>
      </c>
      <c r="F256" s="2" t="s">
        <v>1582</v>
      </c>
      <c r="H256" s="2" t="s">
        <v>107</v>
      </c>
      <c r="J256" s="2" t="s">
        <v>845</v>
      </c>
      <c r="L256" s="2" t="s">
        <v>1583</v>
      </c>
      <c r="N256" s="2" t="s">
        <v>922</v>
      </c>
      <c r="P256" s="2" t="s">
        <v>1584</v>
      </c>
      <c r="Q256" s="2" t="s">
        <v>455</v>
      </c>
      <c r="R256" s="2" t="s">
        <v>1585</v>
      </c>
      <c r="T256" s="2" t="s">
        <v>455</v>
      </c>
      <c r="U256" s="2" t="s">
        <v>971</v>
      </c>
      <c r="V256" s="2" t="s">
        <v>976</v>
      </c>
      <c r="W256" s="2" t="s">
        <v>345</v>
      </c>
      <c r="X256" s="2" t="s">
        <v>462</v>
      </c>
      <c r="Y256" s="2" t="s">
        <v>457</v>
      </c>
      <c r="Z256" s="2" t="s">
        <v>458</v>
      </c>
    </row>
    <row r="257" spans="1:27">
      <c r="A257" s="12">
        <v>44978.815301736111</v>
      </c>
      <c r="B257" s="2" t="s">
        <v>452</v>
      </c>
      <c r="C257" s="2" t="s">
        <v>453</v>
      </c>
      <c r="D257" s="2" t="s">
        <v>452</v>
      </c>
      <c r="E257" s="2" t="s">
        <v>454</v>
      </c>
      <c r="F257" s="2" t="s">
        <v>1586</v>
      </c>
      <c r="H257" s="2" t="s">
        <v>1587</v>
      </c>
      <c r="J257" s="2" t="s">
        <v>117</v>
      </c>
      <c r="L257" s="2" t="s">
        <v>1588</v>
      </c>
      <c r="N257" s="2" t="s">
        <v>1069</v>
      </c>
      <c r="P257" s="2" t="s">
        <v>117</v>
      </c>
      <c r="Q257" s="2" t="s">
        <v>455</v>
      </c>
      <c r="R257" s="2" t="s">
        <v>1589</v>
      </c>
      <c r="T257" s="2" t="s">
        <v>455</v>
      </c>
      <c r="U257" s="2" t="s">
        <v>857</v>
      </c>
      <c r="V257" s="2" t="s">
        <v>857</v>
      </c>
      <c r="X257" s="2" t="s">
        <v>475</v>
      </c>
      <c r="Y257" s="2" t="s">
        <v>457</v>
      </c>
      <c r="Z257" s="2" t="s">
        <v>458</v>
      </c>
    </row>
    <row r="258" spans="1:27">
      <c r="A258" s="12">
        <v>44978.817899953705</v>
      </c>
      <c r="B258" s="2" t="s">
        <v>452</v>
      </c>
      <c r="C258" s="2" t="s">
        <v>453</v>
      </c>
      <c r="D258" s="2" t="s">
        <v>452</v>
      </c>
      <c r="E258" s="2" t="s">
        <v>454</v>
      </c>
      <c r="F258" s="2" t="s">
        <v>1590</v>
      </c>
      <c r="H258" s="2" t="s">
        <v>107</v>
      </c>
      <c r="J258" s="2" t="s">
        <v>1591</v>
      </c>
      <c r="L258" s="2" t="s">
        <v>836</v>
      </c>
      <c r="N258" s="2" t="s">
        <v>675</v>
      </c>
      <c r="P258" s="2" t="s">
        <v>118</v>
      </c>
      <c r="Q258" s="2" t="s">
        <v>455</v>
      </c>
      <c r="R258" s="2" t="s">
        <v>1592</v>
      </c>
      <c r="T258" s="2" t="s">
        <v>455</v>
      </c>
      <c r="U258" s="2" t="s">
        <v>304</v>
      </c>
      <c r="V258" s="2" t="s">
        <v>305</v>
      </c>
      <c r="X258" s="2" t="s">
        <v>459</v>
      </c>
      <c r="Y258" s="2" t="s">
        <v>457</v>
      </c>
      <c r="Z258" s="2" t="s">
        <v>458</v>
      </c>
    </row>
    <row r="259" spans="1:27">
      <c r="A259" s="12">
        <v>44978.819255289352</v>
      </c>
      <c r="B259" s="2" t="s">
        <v>452</v>
      </c>
      <c r="C259" s="2" t="s">
        <v>453</v>
      </c>
      <c r="D259" s="2" t="s">
        <v>452</v>
      </c>
      <c r="E259" s="2" t="s">
        <v>454</v>
      </c>
      <c r="F259" s="2" t="s">
        <v>1593</v>
      </c>
      <c r="H259" s="2" t="s">
        <v>139</v>
      </c>
      <c r="J259" s="2" t="s">
        <v>1005</v>
      </c>
      <c r="L259" s="2" t="s">
        <v>167</v>
      </c>
      <c r="N259" s="2" t="s">
        <v>1594</v>
      </c>
      <c r="P259" s="2" t="s">
        <v>117</v>
      </c>
      <c r="Q259" s="2" t="s">
        <v>455</v>
      </c>
      <c r="R259" s="2" t="s">
        <v>1185</v>
      </c>
      <c r="T259" s="2" t="s">
        <v>455</v>
      </c>
      <c r="U259" s="2" t="s">
        <v>304</v>
      </c>
      <c r="V259" s="2" t="s">
        <v>305</v>
      </c>
      <c r="X259" s="2" t="s">
        <v>459</v>
      </c>
      <c r="Y259" s="2" t="s">
        <v>457</v>
      </c>
      <c r="Z259" s="2" t="s">
        <v>458</v>
      </c>
    </row>
    <row r="260" spans="1:27">
      <c r="A260" s="12">
        <v>44978.821786932866</v>
      </c>
      <c r="B260" s="2" t="s">
        <v>452</v>
      </c>
      <c r="C260" s="2" t="s">
        <v>453</v>
      </c>
      <c r="D260" s="2" t="s">
        <v>452</v>
      </c>
      <c r="E260" s="2" t="s">
        <v>454</v>
      </c>
      <c r="F260" s="2" t="s">
        <v>1595</v>
      </c>
      <c r="H260" s="2" t="s">
        <v>1596</v>
      </c>
      <c r="J260" s="2" t="s">
        <v>117</v>
      </c>
      <c r="L260" s="2" t="s">
        <v>1597</v>
      </c>
      <c r="N260" s="2" t="s">
        <v>1132</v>
      </c>
      <c r="O260" s="2" t="s">
        <v>572</v>
      </c>
      <c r="P260" s="2" t="s">
        <v>117</v>
      </c>
      <c r="Q260" s="2" t="s">
        <v>455</v>
      </c>
      <c r="T260" s="2" t="s">
        <v>455</v>
      </c>
      <c r="U260" s="2" t="s">
        <v>304</v>
      </c>
      <c r="V260" s="2" t="s">
        <v>305</v>
      </c>
      <c r="X260" s="2" t="s">
        <v>479</v>
      </c>
      <c r="Y260" s="2" t="s">
        <v>457</v>
      </c>
      <c r="Z260" s="2" t="s">
        <v>458</v>
      </c>
    </row>
    <row r="261" spans="1:27">
      <c r="A261" s="12">
        <v>44978.915075428245</v>
      </c>
      <c r="B261" s="2" t="s">
        <v>452</v>
      </c>
      <c r="C261" s="2" t="s">
        <v>453</v>
      </c>
      <c r="D261" s="2" t="s">
        <v>452</v>
      </c>
      <c r="E261" s="2" t="s">
        <v>454</v>
      </c>
      <c r="F261" s="2" t="s">
        <v>1598</v>
      </c>
      <c r="H261" s="2" t="s">
        <v>992</v>
      </c>
      <c r="J261" s="2" t="s">
        <v>117</v>
      </c>
      <c r="L261" s="2" t="s">
        <v>1599</v>
      </c>
      <c r="M261" s="2" t="s">
        <v>59</v>
      </c>
      <c r="N261" s="2" t="s">
        <v>105</v>
      </c>
      <c r="O261" s="2" t="s">
        <v>115</v>
      </c>
      <c r="P261" s="2" t="s">
        <v>117</v>
      </c>
      <c r="Q261" s="2" t="s">
        <v>455</v>
      </c>
      <c r="R261" s="2" t="s">
        <v>1600</v>
      </c>
      <c r="T261" s="2" t="s">
        <v>455</v>
      </c>
      <c r="U261" s="2" t="s">
        <v>304</v>
      </c>
      <c r="V261" s="2" t="s">
        <v>305</v>
      </c>
      <c r="X261" s="2" t="s">
        <v>459</v>
      </c>
      <c r="Y261" s="2" t="s">
        <v>457</v>
      </c>
      <c r="Z261" s="2" t="s">
        <v>458</v>
      </c>
    </row>
    <row r="262" spans="1:27">
      <c r="A262" s="12">
        <v>44979.677996967592</v>
      </c>
      <c r="B262" s="2" t="s">
        <v>452</v>
      </c>
      <c r="C262" s="2" t="s">
        <v>453</v>
      </c>
      <c r="D262" s="2" t="s">
        <v>452</v>
      </c>
      <c r="E262" s="2" t="s">
        <v>454</v>
      </c>
      <c r="F262" s="2" t="s">
        <v>8</v>
      </c>
      <c r="H262" s="2" t="s">
        <v>121</v>
      </c>
      <c r="J262" s="2" t="s">
        <v>1601</v>
      </c>
      <c r="L262" s="2" t="s">
        <v>1602</v>
      </c>
      <c r="N262" s="2" t="s">
        <v>110</v>
      </c>
      <c r="P262" s="2" t="s">
        <v>1515</v>
      </c>
      <c r="Q262" s="2" t="s">
        <v>455</v>
      </c>
      <c r="R262" s="2" t="s">
        <v>1603</v>
      </c>
      <c r="T262" s="2" t="s">
        <v>455</v>
      </c>
      <c r="U262" s="2" t="s">
        <v>1474</v>
      </c>
      <c r="X262" s="2" t="s">
        <v>573</v>
      </c>
      <c r="Z262" s="2" t="s">
        <v>458</v>
      </c>
    </row>
    <row r="263" spans="1:27">
      <c r="A263" s="12">
        <v>44980.892654212963</v>
      </c>
      <c r="B263" s="2" t="s">
        <v>452</v>
      </c>
      <c r="C263" s="2" t="s">
        <v>453</v>
      </c>
      <c r="D263" s="2" t="s">
        <v>452</v>
      </c>
      <c r="E263" s="2" t="s">
        <v>454</v>
      </c>
      <c r="F263" s="2" t="s">
        <v>1604</v>
      </c>
      <c r="H263" s="2" t="s">
        <v>653</v>
      </c>
      <c r="J263" s="2" t="s">
        <v>154</v>
      </c>
      <c r="L263" s="2" t="s">
        <v>1520</v>
      </c>
      <c r="M263" s="2" t="s">
        <v>96</v>
      </c>
      <c r="N263" s="2" t="s">
        <v>945</v>
      </c>
      <c r="P263" s="2" t="s">
        <v>1605</v>
      </c>
      <c r="Q263" s="2" t="s">
        <v>455</v>
      </c>
      <c r="R263" s="2" t="s">
        <v>1606</v>
      </c>
      <c r="S263" s="2" t="s">
        <v>207</v>
      </c>
      <c r="T263" s="2" t="s">
        <v>455</v>
      </c>
      <c r="U263" s="2" t="s">
        <v>304</v>
      </c>
      <c r="X263" s="2" t="s">
        <v>474</v>
      </c>
      <c r="Y263" s="2" t="s">
        <v>457</v>
      </c>
      <c r="Z263" s="2" t="s">
        <v>458</v>
      </c>
      <c r="AA263" s="2" t="s">
        <v>574</v>
      </c>
    </row>
    <row r="264" spans="1:27">
      <c r="A264" s="12">
        <v>44981.611637604168</v>
      </c>
      <c r="B264" s="2" t="s">
        <v>452</v>
      </c>
      <c r="C264" s="2" t="s">
        <v>453</v>
      </c>
      <c r="D264" s="2" t="s">
        <v>452</v>
      </c>
      <c r="E264" s="2" t="s">
        <v>454</v>
      </c>
      <c r="F264" s="2" t="s">
        <v>1607</v>
      </c>
      <c r="H264" s="2" t="s">
        <v>1430</v>
      </c>
      <c r="J264" s="2" t="s">
        <v>117</v>
      </c>
      <c r="L264" s="2" t="s">
        <v>1608</v>
      </c>
      <c r="N264" s="2" t="s">
        <v>655</v>
      </c>
      <c r="P264" s="2" t="s">
        <v>855</v>
      </c>
      <c r="Q264" s="2" t="s">
        <v>455</v>
      </c>
      <c r="R264" s="2" t="s">
        <v>1609</v>
      </c>
      <c r="T264" s="2" t="s">
        <v>455</v>
      </c>
      <c r="U264" s="2" t="s">
        <v>302</v>
      </c>
      <c r="V264" s="2" t="s">
        <v>305</v>
      </c>
      <c r="W264" s="2" t="s">
        <v>331</v>
      </c>
      <c r="X264" s="2" t="s">
        <v>464</v>
      </c>
      <c r="Y264" s="2" t="s">
        <v>457</v>
      </c>
      <c r="Z264" s="2" t="s">
        <v>458</v>
      </c>
    </row>
    <row r="265" spans="1:27">
      <c r="A265" s="12">
        <v>44982.317096701387</v>
      </c>
      <c r="B265" s="2" t="s">
        <v>452</v>
      </c>
      <c r="C265" s="2" t="s">
        <v>453</v>
      </c>
      <c r="D265" s="2" t="s">
        <v>452</v>
      </c>
      <c r="E265" s="2" t="s">
        <v>454</v>
      </c>
      <c r="F265" s="2" t="s">
        <v>1610</v>
      </c>
      <c r="G265" s="2" t="s">
        <v>1611</v>
      </c>
      <c r="H265" s="2" t="s">
        <v>1612</v>
      </c>
      <c r="J265" s="2" t="s">
        <v>1613</v>
      </c>
      <c r="L265" s="2" t="s">
        <v>1614</v>
      </c>
      <c r="M265" s="2" t="s">
        <v>69</v>
      </c>
      <c r="N265" s="2" t="s">
        <v>112</v>
      </c>
      <c r="P265" s="2" t="s">
        <v>855</v>
      </c>
      <c r="Q265" s="2" t="s">
        <v>455</v>
      </c>
      <c r="R265" s="2" t="s">
        <v>1615</v>
      </c>
      <c r="S265" s="2" t="s">
        <v>227</v>
      </c>
      <c r="T265" s="2" t="s">
        <v>455</v>
      </c>
      <c r="U265" s="2" t="s">
        <v>299</v>
      </c>
      <c r="V265" s="2" t="s">
        <v>305</v>
      </c>
      <c r="W265" s="2" t="s">
        <v>360</v>
      </c>
      <c r="X265" s="2" t="s">
        <v>464</v>
      </c>
      <c r="Y265" s="2" t="s">
        <v>457</v>
      </c>
      <c r="Z265" s="2" t="s">
        <v>458</v>
      </c>
    </row>
    <row r="266" spans="1:27">
      <c r="A266" s="12">
        <v>44982.879413715273</v>
      </c>
      <c r="B266" s="2" t="s">
        <v>452</v>
      </c>
      <c r="C266" s="2" t="s">
        <v>453</v>
      </c>
      <c r="D266" s="2" t="s">
        <v>452</v>
      </c>
      <c r="E266" s="2" t="s">
        <v>454</v>
      </c>
      <c r="F266" s="2" t="s">
        <v>1616</v>
      </c>
      <c r="H266" s="2" t="s">
        <v>834</v>
      </c>
      <c r="J266" s="2" t="s">
        <v>1617</v>
      </c>
      <c r="L266" s="2" t="s">
        <v>1618</v>
      </c>
      <c r="N266" s="2" t="s">
        <v>1301</v>
      </c>
      <c r="P266" s="2" t="s">
        <v>1619</v>
      </c>
      <c r="Q266" s="2" t="s">
        <v>455</v>
      </c>
      <c r="R266" s="2" t="s">
        <v>1620</v>
      </c>
      <c r="T266" s="2" t="s">
        <v>455</v>
      </c>
      <c r="U266" s="2" t="s">
        <v>760</v>
      </c>
      <c r="V266" s="2" t="s">
        <v>305</v>
      </c>
      <c r="X266" s="2" t="s">
        <v>479</v>
      </c>
      <c r="Y266" s="2" t="s">
        <v>457</v>
      </c>
      <c r="Z266" s="2" t="s">
        <v>458</v>
      </c>
    </row>
    <row r="267" spans="1:27">
      <c r="A267" s="12">
        <v>44983.017205925928</v>
      </c>
      <c r="B267" s="2" t="s">
        <v>452</v>
      </c>
      <c r="C267" s="2" t="s">
        <v>453</v>
      </c>
      <c r="D267" s="2" t="s">
        <v>452</v>
      </c>
      <c r="E267" s="2" t="s">
        <v>454</v>
      </c>
      <c r="F267" s="2" t="s">
        <v>1621</v>
      </c>
      <c r="G267" s="2" t="s">
        <v>1622</v>
      </c>
      <c r="H267" s="2" t="s">
        <v>1623</v>
      </c>
      <c r="J267" s="2" t="s">
        <v>117</v>
      </c>
      <c r="L267" s="2" t="s">
        <v>1624</v>
      </c>
      <c r="M267" s="2" t="s">
        <v>61</v>
      </c>
      <c r="N267" s="2" t="s">
        <v>655</v>
      </c>
      <c r="P267" s="2" t="s">
        <v>119</v>
      </c>
      <c r="Q267" s="2" t="s">
        <v>455</v>
      </c>
      <c r="R267" s="2" t="s">
        <v>1625</v>
      </c>
      <c r="S267" s="2" t="s">
        <v>291</v>
      </c>
      <c r="T267" s="2" t="s">
        <v>455</v>
      </c>
      <c r="U267" s="2" t="s">
        <v>296</v>
      </c>
      <c r="V267" s="2" t="s">
        <v>305</v>
      </c>
      <c r="W267" s="2" t="s">
        <v>373</v>
      </c>
      <c r="X267" s="2" t="s">
        <v>462</v>
      </c>
      <c r="Y267" s="2" t="s">
        <v>457</v>
      </c>
      <c r="Z267" s="2" t="s">
        <v>458</v>
      </c>
    </row>
    <row r="268" spans="1:27">
      <c r="A268" s="12">
        <v>44983.043665925929</v>
      </c>
      <c r="B268" s="2" t="s">
        <v>452</v>
      </c>
      <c r="C268" s="2" t="s">
        <v>453</v>
      </c>
      <c r="D268" s="2" t="s">
        <v>452</v>
      </c>
      <c r="E268" s="2" t="s">
        <v>454</v>
      </c>
      <c r="F268" s="2" t="s">
        <v>3</v>
      </c>
      <c r="H268" s="2" t="s">
        <v>139</v>
      </c>
      <c r="L268" s="2" t="s">
        <v>836</v>
      </c>
      <c r="N268" s="2" t="s">
        <v>105</v>
      </c>
      <c r="Q268" s="2" t="s">
        <v>455</v>
      </c>
      <c r="R268" s="2" t="s">
        <v>1422</v>
      </c>
      <c r="T268" s="2" t="s">
        <v>455</v>
      </c>
      <c r="X268" s="2" t="s">
        <v>462</v>
      </c>
      <c r="Y268" s="2" t="s">
        <v>457</v>
      </c>
      <c r="Z268" s="2" t="s">
        <v>458</v>
      </c>
    </row>
    <row r="269" spans="1:27">
      <c r="A269" s="12">
        <v>44983.131646504626</v>
      </c>
      <c r="B269" s="2" t="s">
        <v>452</v>
      </c>
      <c r="C269" s="2" t="s">
        <v>453</v>
      </c>
      <c r="D269" s="2" t="s">
        <v>452</v>
      </c>
      <c r="E269" s="2" t="s">
        <v>454</v>
      </c>
      <c r="F269" s="2" t="s">
        <v>1626</v>
      </c>
      <c r="H269" s="2" t="s">
        <v>789</v>
      </c>
      <c r="J269" s="2" t="s">
        <v>153</v>
      </c>
      <c r="L269" s="2" t="s">
        <v>1627</v>
      </c>
      <c r="N269" s="2" t="s">
        <v>105</v>
      </c>
      <c r="P269" s="2" t="s">
        <v>118</v>
      </c>
      <c r="Q269" s="2" t="s">
        <v>455</v>
      </c>
      <c r="R269" s="2" t="s">
        <v>1628</v>
      </c>
      <c r="T269" s="2" t="s">
        <v>455</v>
      </c>
      <c r="U269" s="2" t="s">
        <v>299</v>
      </c>
      <c r="V269" s="2" t="s">
        <v>305</v>
      </c>
      <c r="X269" s="2" t="s">
        <v>462</v>
      </c>
      <c r="Y269" s="2" t="s">
        <v>457</v>
      </c>
      <c r="Z269" s="2" t="s">
        <v>458</v>
      </c>
    </row>
    <row r="270" spans="1:27">
      <c r="A270" s="12">
        <v>44983.138871909723</v>
      </c>
      <c r="B270" s="2" t="s">
        <v>452</v>
      </c>
      <c r="C270" s="2" t="s">
        <v>453</v>
      </c>
      <c r="D270" s="2" t="s">
        <v>452</v>
      </c>
      <c r="E270" s="2" t="s">
        <v>454</v>
      </c>
      <c r="F270" s="2" t="s">
        <v>1629</v>
      </c>
      <c r="I270" s="2" t="s">
        <v>151</v>
      </c>
      <c r="J270" s="2" t="s">
        <v>117</v>
      </c>
      <c r="L270" s="2" t="s">
        <v>1630</v>
      </c>
      <c r="O270" s="2" t="s">
        <v>577</v>
      </c>
      <c r="P270" s="2" t="s">
        <v>117</v>
      </c>
      <c r="Q270" s="2" t="s">
        <v>455</v>
      </c>
      <c r="R270" s="2" t="s">
        <v>1631</v>
      </c>
      <c r="T270" s="2" t="s">
        <v>455</v>
      </c>
      <c r="U270" s="2" t="s">
        <v>1632</v>
      </c>
      <c r="V270" s="2" t="s">
        <v>297</v>
      </c>
      <c r="W270" s="2" t="s">
        <v>335</v>
      </c>
      <c r="X270" s="2" t="s">
        <v>461</v>
      </c>
      <c r="Y270" s="2" t="s">
        <v>457</v>
      </c>
      <c r="Z270" s="2" t="s">
        <v>458</v>
      </c>
      <c r="AA270" s="2" t="s">
        <v>578</v>
      </c>
    </row>
    <row r="271" spans="1:27">
      <c r="A271" s="12">
        <v>44983.35085722222</v>
      </c>
      <c r="B271" s="2" t="s">
        <v>452</v>
      </c>
      <c r="C271" s="2" t="s">
        <v>453</v>
      </c>
      <c r="D271" s="2" t="s">
        <v>452</v>
      </c>
      <c r="E271" s="2" t="s">
        <v>454</v>
      </c>
      <c r="F271" s="2" t="s">
        <v>1633</v>
      </c>
      <c r="H271" s="2" t="s">
        <v>1634</v>
      </c>
      <c r="K271" s="2" t="s">
        <v>159</v>
      </c>
      <c r="L271" s="2" t="s">
        <v>658</v>
      </c>
      <c r="N271" s="2" t="s">
        <v>1635</v>
      </c>
      <c r="P271" s="2" t="s">
        <v>1636</v>
      </c>
      <c r="Q271" s="2" t="s">
        <v>455</v>
      </c>
      <c r="R271" s="2" t="s">
        <v>1637</v>
      </c>
      <c r="T271" s="2" t="s">
        <v>455</v>
      </c>
      <c r="U271" s="2" t="s">
        <v>299</v>
      </c>
      <c r="V271" s="2" t="s">
        <v>305</v>
      </c>
      <c r="X271" s="2" t="s">
        <v>462</v>
      </c>
      <c r="Y271" s="2" t="s">
        <v>481</v>
      </c>
      <c r="Z271" s="2" t="s">
        <v>458</v>
      </c>
    </row>
    <row r="272" spans="1:27">
      <c r="A272" s="12">
        <v>44983.362218530092</v>
      </c>
      <c r="B272" s="2" t="s">
        <v>452</v>
      </c>
      <c r="C272" s="2" t="s">
        <v>453</v>
      </c>
      <c r="D272" s="2" t="s">
        <v>452</v>
      </c>
      <c r="E272" s="2" t="s">
        <v>454</v>
      </c>
      <c r="F272" s="2" t="s">
        <v>1638</v>
      </c>
      <c r="H272" s="2" t="s">
        <v>777</v>
      </c>
      <c r="J272" s="2" t="s">
        <v>154</v>
      </c>
      <c r="L272" s="2" t="s">
        <v>731</v>
      </c>
      <c r="N272" s="2" t="s">
        <v>105</v>
      </c>
      <c r="P272" s="2" t="s">
        <v>118</v>
      </c>
      <c r="Q272" s="2" t="s">
        <v>472</v>
      </c>
      <c r="T272" s="2" t="s">
        <v>455</v>
      </c>
      <c r="U272" s="2" t="s">
        <v>1375</v>
      </c>
      <c r="V272" s="2" t="s">
        <v>1375</v>
      </c>
      <c r="X272" s="2" t="s">
        <v>479</v>
      </c>
      <c r="Y272" s="2" t="s">
        <v>579</v>
      </c>
      <c r="Z272" s="2" t="s">
        <v>452</v>
      </c>
    </row>
    <row r="273" spans="1:27">
      <c r="A273" s="12">
        <v>44983.384940625001</v>
      </c>
      <c r="B273" s="2" t="s">
        <v>452</v>
      </c>
      <c r="C273" s="2" t="s">
        <v>453</v>
      </c>
      <c r="D273" s="2" t="s">
        <v>452</v>
      </c>
      <c r="E273" s="2" t="s">
        <v>454</v>
      </c>
      <c r="F273" s="2" t="s">
        <v>1639</v>
      </c>
      <c r="H273" s="2" t="s">
        <v>1640</v>
      </c>
      <c r="J273" s="2" t="s">
        <v>1641</v>
      </c>
      <c r="L273" s="2" t="s">
        <v>1642</v>
      </c>
      <c r="M273" s="2" t="s">
        <v>89</v>
      </c>
      <c r="N273" s="2" t="s">
        <v>675</v>
      </c>
      <c r="P273" s="2" t="s">
        <v>1643</v>
      </c>
      <c r="Q273" s="2" t="s">
        <v>455</v>
      </c>
      <c r="R273" s="2" t="s">
        <v>1644</v>
      </c>
      <c r="S273" s="2" t="s">
        <v>237</v>
      </c>
      <c r="T273" s="2" t="s">
        <v>455</v>
      </c>
      <c r="U273" s="2" t="s">
        <v>1266</v>
      </c>
      <c r="V273" s="2" t="s">
        <v>305</v>
      </c>
      <c r="W273" s="2" t="s">
        <v>415</v>
      </c>
      <c r="X273" s="2" t="s">
        <v>464</v>
      </c>
      <c r="Y273" s="2" t="s">
        <v>457</v>
      </c>
      <c r="Z273" s="2" t="s">
        <v>458</v>
      </c>
    </row>
    <row r="274" spans="1:27">
      <c r="A274" s="12">
        <v>44989.693400937496</v>
      </c>
      <c r="B274" s="2" t="s">
        <v>452</v>
      </c>
      <c r="C274" s="2" t="s">
        <v>453</v>
      </c>
      <c r="D274" s="2" t="s">
        <v>452</v>
      </c>
      <c r="E274" s="2" t="s">
        <v>454</v>
      </c>
      <c r="F274" s="2" t="s">
        <v>1645</v>
      </c>
      <c r="G274" s="2" t="s">
        <v>1646</v>
      </c>
      <c r="H274" s="2" t="s">
        <v>1647</v>
      </c>
      <c r="J274" s="2" t="s">
        <v>117</v>
      </c>
      <c r="L274" s="2" t="s">
        <v>1648</v>
      </c>
      <c r="M274" s="2" t="s">
        <v>581</v>
      </c>
      <c r="N274" s="2" t="s">
        <v>1321</v>
      </c>
      <c r="P274" s="2" t="s">
        <v>117</v>
      </c>
      <c r="Q274" s="2" t="s">
        <v>455</v>
      </c>
      <c r="R274" s="2" t="s">
        <v>1649</v>
      </c>
      <c r="S274" s="2" t="s">
        <v>194</v>
      </c>
      <c r="T274" s="2" t="s">
        <v>455</v>
      </c>
      <c r="U274" s="2" t="s">
        <v>1650</v>
      </c>
      <c r="V274" s="2" t="s">
        <v>305</v>
      </c>
      <c r="X274" s="2" t="s">
        <v>462</v>
      </c>
      <c r="Y274" s="2" t="s">
        <v>457</v>
      </c>
      <c r="Z274" s="2" t="s">
        <v>458</v>
      </c>
    </row>
    <row r="275" spans="1:27">
      <c r="A275" s="12">
        <v>44989.926621967592</v>
      </c>
      <c r="B275" s="2" t="s">
        <v>452</v>
      </c>
      <c r="C275" s="2" t="s">
        <v>453</v>
      </c>
      <c r="D275" s="2" t="s">
        <v>452</v>
      </c>
      <c r="E275" s="2" t="s">
        <v>454</v>
      </c>
      <c r="F275" s="2" t="s">
        <v>35</v>
      </c>
      <c r="H275" s="2" t="s">
        <v>992</v>
      </c>
      <c r="J275" s="2" t="s">
        <v>117</v>
      </c>
      <c r="L275" s="2" t="s">
        <v>167</v>
      </c>
      <c r="N275" s="2" t="s">
        <v>109</v>
      </c>
      <c r="P275" s="2" t="s">
        <v>117</v>
      </c>
      <c r="Q275" s="2" t="s">
        <v>455</v>
      </c>
      <c r="R275" s="2" t="s">
        <v>1651</v>
      </c>
      <c r="T275" s="2" t="s">
        <v>455</v>
      </c>
      <c r="U275" s="2" t="s">
        <v>1230</v>
      </c>
      <c r="V275" s="2" t="s">
        <v>1652</v>
      </c>
      <c r="X275" s="2" t="s">
        <v>466</v>
      </c>
      <c r="Y275" s="2" t="s">
        <v>457</v>
      </c>
      <c r="Z275" s="2" t="s">
        <v>458</v>
      </c>
    </row>
    <row r="276" spans="1:27">
      <c r="A276" s="12">
        <v>44991.2223280787</v>
      </c>
      <c r="B276" s="2" t="s">
        <v>452</v>
      </c>
      <c r="C276" s="2" t="s">
        <v>453</v>
      </c>
      <c r="D276" s="2" t="s">
        <v>452</v>
      </c>
      <c r="E276" s="2" t="s">
        <v>454</v>
      </c>
      <c r="F276" s="2" t="s">
        <v>1653</v>
      </c>
      <c r="H276" s="2" t="s">
        <v>1150</v>
      </c>
      <c r="J276" s="2" t="s">
        <v>1654</v>
      </c>
      <c r="L276" s="2" t="s">
        <v>1655</v>
      </c>
      <c r="N276" s="2" t="s">
        <v>767</v>
      </c>
      <c r="P276" s="2" t="s">
        <v>1063</v>
      </c>
      <c r="Q276" s="2" t="s">
        <v>455</v>
      </c>
      <c r="R276" s="2" t="s">
        <v>1656</v>
      </c>
      <c r="T276" s="2" t="s">
        <v>455</v>
      </c>
      <c r="U276" s="2" t="s">
        <v>1657</v>
      </c>
      <c r="V276" s="2" t="s">
        <v>875</v>
      </c>
      <c r="X276" s="2" t="s">
        <v>462</v>
      </c>
      <c r="Y276" s="2" t="s">
        <v>457</v>
      </c>
      <c r="Z276" s="2" t="s">
        <v>458</v>
      </c>
    </row>
    <row r="277" spans="1:27">
      <c r="A277" s="12">
        <v>44991.293851678245</v>
      </c>
      <c r="B277" s="2" t="s">
        <v>452</v>
      </c>
      <c r="C277" s="2" t="s">
        <v>453</v>
      </c>
      <c r="D277" s="2" t="s">
        <v>452</v>
      </c>
      <c r="E277" s="2" t="s">
        <v>454</v>
      </c>
      <c r="F277" s="2" t="s">
        <v>1658</v>
      </c>
      <c r="H277" s="2" t="s">
        <v>139</v>
      </c>
      <c r="J277" s="2" t="s">
        <v>154</v>
      </c>
      <c r="L277" s="2" t="s">
        <v>174</v>
      </c>
      <c r="N277" s="2" t="s">
        <v>107</v>
      </c>
      <c r="P277" s="2" t="s">
        <v>125</v>
      </c>
      <c r="Q277" s="2" t="s">
        <v>455</v>
      </c>
      <c r="R277" s="2" t="s">
        <v>1659</v>
      </c>
      <c r="T277" s="2" t="s">
        <v>455</v>
      </c>
      <c r="U277" s="2" t="s">
        <v>1230</v>
      </c>
      <c r="V277" s="2" t="s">
        <v>1660</v>
      </c>
      <c r="W277" s="2" t="s">
        <v>349</v>
      </c>
      <c r="X277" s="2" t="s">
        <v>459</v>
      </c>
      <c r="Y277" s="2" t="s">
        <v>582</v>
      </c>
      <c r="Z277" s="2" t="s">
        <v>452</v>
      </c>
      <c r="AA277" s="2" t="s">
        <v>583</v>
      </c>
    </row>
    <row r="278" spans="1:27">
      <c r="A278" s="12">
        <v>44991.32170601852</v>
      </c>
      <c r="B278" s="2" t="s">
        <v>452</v>
      </c>
      <c r="C278" s="2" t="s">
        <v>453</v>
      </c>
      <c r="D278" s="2" t="s">
        <v>452</v>
      </c>
      <c r="E278" s="2" t="s">
        <v>454</v>
      </c>
      <c r="F278" s="2" t="s">
        <v>1661</v>
      </c>
      <c r="G278" s="2" t="s">
        <v>1662</v>
      </c>
      <c r="H278" s="2" t="s">
        <v>107</v>
      </c>
      <c r="J278" s="2" t="s">
        <v>1663</v>
      </c>
      <c r="L278" s="2" t="s">
        <v>1664</v>
      </c>
      <c r="N278" s="2" t="s">
        <v>1665</v>
      </c>
      <c r="P278" s="2" t="s">
        <v>1666</v>
      </c>
      <c r="Q278" s="2" t="s">
        <v>455</v>
      </c>
      <c r="R278" s="2" t="s">
        <v>1667</v>
      </c>
      <c r="T278" s="2" t="s">
        <v>455</v>
      </c>
      <c r="U278" s="2" t="s">
        <v>864</v>
      </c>
      <c r="V278" s="2" t="s">
        <v>1668</v>
      </c>
      <c r="W278" s="2" t="s">
        <v>388</v>
      </c>
      <c r="X278" s="2" t="s">
        <v>474</v>
      </c>
      <c r="Y278" s="2" t="s">
        <v>457</v>
      </c>
      <c r="Z278" s="2" t="s">
        <v>458</v>
      </c>
    </row>
    <row r="279" spans="1:27">
      <c r="A279" s="12">
        <v>44991.33598930556</v>
      </c>
      <c r="B279" s="2" t="s">
        <v>452</v>
      </c>
      <c r="C279" s="2" t="s">
        <v>453</v>
      </c>
      <c r="D279" s="2" t="s">
        <v>452</v>
      </c>
      <c r="E279" s="2" t="s">
        <v>454</v>
      </c>
      <c r="F279" s="2" t="s">
        <v>0</v>
      </c>
      <c r="H279" s="2" t="s">
        <v>139</v>
      </c>
      <c r="J279" s="2" t="s">
        <v>117</v>
      </c>
      <c r="L279" s="2" t="s">
        <v>731</v>
      </c>
      <c r="N279" s="2" t="s">
        <v>675</v>
      </c>
      <c r="P279" s="2" t="s">
        <v>117</v>
      </c>
      <c r="Q279" s="2" t="s">
        <v>455</v>
      </c>
      <c r="R279" s="2" t="s">
        <v>1669</v>
      </c>
      <c r="T279" s="2" t="s">
        <v>455</v>
      </c>
      <c r="U279" s="2" t="s">
        <v>304</v>
      </c>
      <c r="V279" s="2" t="s">
        <v>305</v>
      </c>
      <c r="X279" s="2" t="s">
        <v>459</v>
      </c>
      <c r="Y279" s="2" t="s">
        <v>457</v>
      </c>
      <c r="Z279" s="2" t="s">
        <v>458</v>
      </c>
    </row>
    <row r="280" spans="1:27">
      <c r="A280" s="12">
        <v>44991.348818344908</v>
      </c>
      <c r="B280" s="2" t="s">
        <v>452</v>
      </c>
      <c r="C280" s="2" t="s">
        <v>453</v>
      </c>
      <c r="D280" s="2" t="s">
        <v>452</v>
      </c>
      <c r="E280" s="2" t="s">
        <v>454</v>
      </c>
      <c r="F280" s="2" t="s">
        <v>1670</v>
      </c>
      <c r="H280" s="2" t="s">
        <v>139</v>
      </c>
      <c r="J280" s="2" t="s">
        <v>117</v>
      </c>
      <c r="L280" s="2" t="s">
        <v>944</v>
      </c>
      <c r="N280" s="2" t="s">
        <v>701</v>
      </c>
      <c r="P280" s="2" t="s">
        <v>117</v>
      </c>
      <c r="Q280" s="2" t="s">
        <v>455</v>
      </c>
      <c r="R280" s="2" t="s">
        <v>1671</v>
      </c>
      <c r="T280" s="2" t="s">
        <v>455</v>
      </c>
      <c r="U280" s="2" t="s">
        <v>299</v>
      </c>
      <c r="V280" s="2" t="s">
        <v>303</v>
      </c>
      <c r="X280" s="2" t="s">
        <v>501</v>
      </c>
      <c r="Y280" s="2" t="s">
        <v>457</v>
      </c>
      <c r="Z280" s="2" t="s">
        <v>458</v>
      </c>
    </row>
    <row r="281" spans="1:27">
      <c r="A281" s="12">
        <v>44991.349893668987</v>
      </c>
      <c r="B281" s="2" t="s">
        <v>452</v>
      </c>
      <c r="C281" s="2" t="s">
        <v>453</v>
      </c>
      <c r="D281" s="2" t="s">
        <v>452</v>
      </c>
      <c r="E281" s="2" t="s">
        <v>454</v>
      </c>
      <c r="F281" s="2" t="s">
        <v>1672</v>
      </c>
      <c r="G281" s="2" t="s">
        <v>1673</v>
      </c>
      <c r="H281" s="2" t="s">
        <v>1674</v>
      </c>
      <c r="J281" s="2" t="s">
        <v>117</v>
      </c>
      <c r="L281" s="2" t="s">
        <v>1675</v>
      </c>
      <c r="N281" s="2" t="s">
        <v>763</v>
      </c>
      <c r="P281" s="2" t="s">
        <v>117</v>
      </c>
      <c r="Q281" s="2" t="s">
        <v>455</v>
      </c>
      <c r="R281" s="2" t="s">
        <v>1205</v>
      </c>
      <c r="S281" s="2" t="s">
        <v>204</v>
      </c>
      <c r="T281" s="2" t="s">
        <v>455</v>
      </c>
      <c r="U281" s="2" t="s">
        <v>304</v>
      </c>
      <c r="V281" s="2" t="s">
        <v>305</v>
      </c>
      <c r="X281" s="2" t="s">
        <v>459</v>
      </c>
      <c r="Y281" s="2" t="s">
        <v>457</v>
      </c>
      <c r="Z281" s="2" t="s">
        <v>458</v>
      </c>
    </row>
    <row r="282" spans="1:27">
      <c r="A282" s="12">
        <v>44991.350223958332</v>
      </c>
      <c r="B282" s="2" t="s">
        <v>452</v>
      </c>
      <c r="C282" s="2" t="s">
        <v>453</v>
      </c>
      <c r="D282" s="2" t="s">
        <v>452</v>
      </c>
      <c r="E282" s="2" t="s">
        <v>454</v>
      </c>
      <c r="F282" s="2" t="s">
        <v>1676</v>
      </c>
      <c r="H282" s="2" t="s">
        <v>139</v>
      </c>
      <c r="J282" s="2" t="s">
        <v>117</v>
      </c>
      <c r="L282" s="2" t="s">
        <v>1677</v>
      </c>
      <c r="N282" s="2" t="s">
        <v>106</v>
      </c>
      <c r="P282" s="2" t="s">
        <v>117</v>
      </c>
      <c r="Q282" s="2" t="s">
        <v>455</v>
      </c>
      <c r="R282" s="2" t="s">
        <v>1678</v>
      </c>
      <c r="S282" s="2" t="s">
        <v>238</v>
      </c>
      <c r="T282" s="2" t="s">
        <v>455</v>
      </c>
      <c r="U282" s="2" t="s">
        <v>911</v>
      </c>
      <c r="W282" s="2" t="s">
        <v>397</v>
      </c>
      <c r="X282" s="2" t="s">
        <v>464</v>
      </c>
      <c r="Y282" s="2" t="s">
        <v>457</v>
      </c>
      <c r="Z282" s="2" t="s">
        <v>458</v>
      </c>
    </row>
    <row r="283" spans="1:27">
      <c r="A283" s="12">
        <v>44991.379494120367</v>
      </c>
      <c r="B283" s="2" t="s">
        <v>452</v>
      </c>
      <c r="C283" s="2" t="s">
        <v>453</v>
      </c>
      <c r="D283" s="2" t="s">
        <v>452</v>
      </c>
      <c r="E283" s="2" t="s">
        <v>454</v>
      </c>
      <c r="F283" s="2" t="s">
        <v>1679</v>
      </c>
      <c r="H283" s="2" t="s">
        <v>1680</v>
      </c>
      <c r="J283" s="2" t="s">
        <v>1681</v>
      </c>
      <c r="L283" s="2" t="s">
        <v>878</v>
      </c>
      <c r="N283" s="2" t="s">
        <v>655</v>
      </c>
      <c r="P283" s="2" t="s">
        <v>119</v>
      </c>
      <c r="Q283" s="2" t="s">
        <v>455</v>
      </c>
      <c r="R283" s="2" t="s">
        <v>1682</v>
      </c>
      <c r="T283" s="2" t="s">
        <v>455</v>
      </c>
      <c r="U283" s="2" t="s">
        <v>1683</v>
      </c>
      <c r="V283" s="2" t="s">
        <v>305</v>
      </c>
      <c r="X283" s="2" t="s">
        <v>459</v>
      </c>
      <c r="Y283" s="2" t="s">
        <v>457</v>
      </c>
      <c r="Z283" s="2" t="s">
        <v>458</v>
      </c>
    </row>
    <row r="284" spans="1:27">
      <c r="A284" s="12">
        <v>44991.389275775466</v>
      </c>
      <c r="B284" s="2" t="s">
        <v>452</v>
      </c>
      <c r="C284" s="2" t="s">
        <v>453</v>
      </c>
      <c r="D284" s="2" t="s">
        <v>452</v>
      </c>
      <c r="E284" s="2" t="s">
        <v>454</v>
      </c>
      <c r="F284" s="2" t="s">
        <v>13</v>
      </c>
      <c r="H284" s="2" t="s">
        <v>139</v>
      </c>
      <c r="J284" s="2" t="s">
        <v>117</v>
      </c>
      <c r="L284" s="2" t="s">
        <v>168</v>
      </c>
      <c r="O284" s="2" t="s">
        <v>503</v>
      </c>
      <c r="P284" s="2" t="s">
        <v>117</v>
      </c>
      <c r="Q284" s="2" t="s">
        <v>455</v>
      </c>
      <c r="R284" s="2" t="s">
        <v>180</v>
      </c>
      <c r="T284" s="2" t="s">
        <v>455</v>
      </c>
      <c r="U284" s="2" t="s">
        <v>296</v>
      </c>
      <c r="V284" s="2" t="s">
        <v>305</v>
      </c>
      <c r="X284" s="2" t="s">
        <v>464</v>
      </c>
      <c r="Y284" s="2" t="s">
        <v>457</v>
      </c>
      <c r="Z284" s="2" t="s">
        <v>458</v>
      </c>
    </row>
    <row r="285" spans="1:27">
      <c r="A285" s="12">
        <v>44991.39154975694</v>
      </c>
      <c r="B285" s="2" t="s">
        <v>452</v>
      </c>
      <c r="C285" s="2" t="s">
        <v>453</v>
      </c>
      <c r="D285" s="2" t="s">
        <v>452</v>
      </c>
      <c r="E285" s="2" t="s">
        <v>454</v>
      </c>
      <c r="F285" s="2" t="s">
        <v>1684</v>
      </c>
      <c r="H285" s="2" t="s">
        <v>107</v>
      </c>
      <c r="J285" s="2" t="s">
        <v>117</v>
      </c>
      <c r="L285" s="2" t="s">
        <v>836</v>
      </c>
      <c r="N285" s="2" t="s">
        <v>107</v>
      </c>
      <c r="P285" s="2" t="s">
        <v>117</v>
      </c>
      <c r="Q285" s="2" t="s">
        <v>455</v>
      </c>
      <c r="R285" s="2" t="s">
        <v>185</v>
      </c>
      <c r="T285" s="2" t="s">
        <v>472</v>
      </c>
      <c r="X285" s="2" t="s">
        <v>462</v>
      </c>
      <c r="Y285" s="2" t="s">
        <v>457</v>
      </c>
      <c r="Z285" s="2" t="s">
        <v>458</v>
      </c>
    </row>
    <row r="286" spans="1:27">
      <c r="A286" s="12">
        <v>44991.420197546293</v>
      </c>
      <c r="B286" s="2" t="s">
        <v>452</v>
      </c>
      <c r="C286" s="2" t="s">
        <v>453</v>
      </c>
      <c r="D286" s="2" t="s">
        <v>452</v>
      </c>
      <c r="E286" s="2" t="s">
        <v>454</v>
      </c>
      <c r="F286" s="2" t="s">
        <v>1685</v>
      </c>
      <c r="G286" s="2" t="s">
        <v>1686</v>
      </c>
      <c r="H286" s="2" t="s">
        <v>139</v>
      </c>
      <c r="J286" s="2" t="s">
        <v>155</v>
      </c>
      <c r="L286" s="2" t="s">
        <v>169</v>
      </c>
      <c r="N286" s="2" t="s">
        <v>109</v>
      </c>
      <c r="P286" s="2" t="s">
        <v>120</v>
      </c>
      <c r="Q286" s="2" t="s">
        <v>455</v>
      </c>
      <c r="R286" s="2" t="s">
        <v>1687</v>
      </c>
      <c r="S286" s="2" t="s">
        <v>255</v>
      </c>
      <c r="T286" s="2" t="s">
        <v>455</v>
      </c>
      <c r="U286" s="2" t="s">
        <v>1367</v>
      </c>
      <c r="V286" s="2" t="s">
        <v>857</v>
      </c>
      <c r="W286" s="2" t="s">
        <v>362</v>
      </c>
      <c r="X286" s="2" t="s">
        <v>474</v>
      </c>
      <c r="Y286" s="2" t="s">
        <v>457</v>
      </c>
      <c r="Z286" s="2" t="s">
        <v>458</v>
      </c>
    </row>
    <row r="287" spans="1:27">
      <c r="A287" s="12">
        <v>44991.420871342591</v>
      </c>
      <c r="B287" s="2" t="s">
        <v>452</v>
      </c>
      <c r="C287" s="2" t="s">
        <v>453</v>
      </c>
      <c r="D287" s="2" t="s">
        <v>452</v>
      </c>
      <c r="E287" s="2" t="s">
        <v>454</v>
      </c>
      <c r="F287" s="2" t="s">
        <v>1688</v>
      </c>
      <c r="H287" s="2" t="s">
        <v>139</v>
      </c>
      <c r="J287" s="2" t="s">
        <v>1689</v>
      </c>
      <c r="L287" s="2" t="s">
        <v>171</v>
      </c>
      <c r="N287" s="2" t="s">
        <v>675</v>
      </c>
      <c r="P287" s="2" t="s">
        <v>1690</v>
      </c>
      <c r="Q287" s="2" t="s">
        <v>455</v>
      </c>
      <c r="R287" s="2" t="s">
        <v>1691</v>
      </c>
      <c r="T287" s="2" t="s">
        <v>455</v>
      </c>
      <c r="U287" s="2" t="s">
        <v>304</v>
      </c>
      <c r="V287" s="2" t="s">
        <v>305</v>
      </c>
      <c r="X287" s="2" t="s">
        <v>459</v>
      </c>
      <c r="Y287" s="2" t="s">
        <v>457</v>
      </c>
      <c r="Z287" s="2" t="s">
        <v>458</v>
      </c>
    </row>
    <row r="288" spans="1:27">
      <c r="A288" s="12">
        <v>44991.426084062499</v>
      </c>
      <c r="B288" s="2" t="s">
        <v>452</v>
      </c>
      <c r="C288" s="2" t="s">
        <v>453</v>
      </c>
      <c r="D288" s="2" t="s">
        <v>452</v>
      </c>
      <c r="E288" s="2" t="s">
        <v>454</v>
      </c>
      <c r="F288" s="2" t="s">
        <v>1692</v>
      </c>
      <c r="H288" s="2" t="s">
        <v>1150</v>
      </c>
      <c r="J288" s="2" t="s">
        <v>117</v>
      </c>
      <c r="L288" s="2" t="s">
        <v>1693</v>
      </c>
      <c r="M288" s="2" t="s">
        <v>74</v>
      </c>
      <c r="N288" s="2" t="s">
        <v>109</v>
      </c>
      <c r="P288" s="2" t="s">
        <v>117</v>
      </c>
      <c r="Q288" s="2" t="s">
        <v>472</v>
      </c>
      <c r="T288" s="2" t="s">
        <v>455</v>
      </c>
      <c r="U288" s="2" t="s">
        <v>982</v>
      </c>
      <c r="V288" s="2" t="s">
        <v>305</v>
      </c>
      <c r="W288" s="2" t="s">
        <v>338</v>
      </c>
      <c r="X288" s="2" t="s">
        <v>464</v>
      </c>
      <c r="Y288" s="2" t="s">
        <v>457</v>
      </c>
    </row>
    <row r="289" spans="1:27">
      <c r="A289" s="12">
        <v>44991.432208564816</v>
      </c>
      <c r="B289" s="2" t="s">
        <v>452</v>
      </c>
      <c r="C289" s="2" t="s">
        <v>453</v>
      </c>
      <c r="D289" s="2" t="s">
        <v>452</v>
      </c>
      <c r="E289" s="2" t="s">
        <v>454</v>
      </c>
      <c r="F289" s="2" t="s">
        <v>1694</v>
      </c>
      <c r="H289" s="2" t="s">
        <v>139</v>
      </c>
      <c r="J289" s="2" t="s">
        <v>1254</v>
      </c>
      <c r="L289" s="2" t="s">
        <v>1695</v>
      </c>
      <c r="N289" s="2" t="s">
        <v>742</v>
      </c>
      <c r="O289" s="2" t="s">
        <v>587</v>
      </c>
      <c r="P289" s="2" t="s">
        <v>117</v>
      </c>
      <c r="Q289" s="2" t="s">
        <v>455</v>
      </c>
      <c r="R289" s="2" t="s">
        <v>1696</v>
      </c>
      <c r="S289" s="2" t="s">
        <v>202</v>
      </c>
      <c r="T289" s="2" t="s">
        <v>455</v>
      </c>
      <c r="U289" s="2" t="s">
        <v>304</v>
      </c>
      <c r="V289" s="2" t="s">
        <v>305</v>
      </c>
      <c r="X289" s="2" t="s">
        <v>459</v>
      </c>
      <c r="Y289" s="2" t="s">
        <v>457</v>
      </c>
      <c r="Z289" s="2" t="s">
        <v>458</v>
      </c>
    </row>
    <row r="290" spans="1:27">
      <c r="A290" s="12">
        <v>44991.434041886576</v>
      </c>
      <c r="B290" s="2" t="s">
        <v>452</v>
      </c>
      <c r="C290" s="2" t="s">
        <v>453</v>
      </c>
      <c r="D290" s="2" t="s">
        <v>452</v>
      </c>
      <c r="E290" s="2" t="s">
        <v>454</v>
      </c>
      <c r="F290" s="2" t="s">
        <v>1697</v>
      </c>
      <c r="H290" s="2" t="s">
        <v>139</v>
      </c>
      <c r="J290" s="2" t="s">
        <v>1698</v>
      </c>
      <c r="L290" s="2" t="s">
        <v>1372</v>
      </c>
      <c r="N290" s="2" t="s">
        <v>105</v>
      </c>
      <c r="P290" s="2" t="s">
        <v>649</v>
      </c>
      <c r="Q290" s="2" t="s">
        <v>455</v>
      </c>
      <c r="R290" s="2" t="s">
        <v>1699</v>
      </c>
      <c r="T290" s="2" t="s">
        <v>455</v>
      </c>
      <c r="U290" s="2" t="s">
        <v>875</v>
      </c>
      <c r="V290" s="2" t="s">
        <v>671</v>
      </c>
      <c r="X290" s="2" t="s">
        <v>462</v>
      </c>
      <c r="Y290" s="2" t="s">
        <v>457</v>
      </c>
      <c r="Z290" s="2" t="s">
        <v>458</v>
      </c>
    </row>
    <row r="291" spans="1:27">
      <c r="A291" s="12">
        <v>44991.436888171302</v>
      </c>
      <c r="B291" s="2" t="s">
        <v>452</v>
      </c>
      <c r="C291" s="2" t="s">
        <v>453</v>
      </c>
      <c r="D291" s="2" t="s">
        <v>452</v>
      </c>
      <c r="E291" s="2" t="s">
        <v>454</v>
      </c>
      <c r="F291" s="2" t="s">
        <v>1700</v>
      </c>
      <c r="H291" s="2" t="s">
        <v>1701</v>
      </c>
      <c r="J291" s="2" t="s">
        <v>107</v>
      </c>
      <c r="L291" s="2" t="s">
        <v>1702</v>
      </c>
      <c r="M291" s="2" t="s">
        <v>60</v>
      </c>
      <c r="N291" s="2" t="s">
        <v>701</v>
      </c>
      <c r="P291" s="2" t="s">
        <v>122</v>
      </c>
      <c r="Q291" s="2" t="s">
        <v>455</v>
      </c>
      <c r="R291" s="2" t="s">
        <v>1703</v>
      </c>
      <c r="T291" s="2" t="s">
        <v>455</v>
      </c>
      <c r="U291" s="2" t="s">
        <v>304</v>
      </c>
      <c r="V291" s="2" t="s">
        <v>305</v>
      </c>
      <c r="X291" s="2" t="s">
        <v>462</v>
      </c>
      <c r="Y291" s="2" t="s">
        <v>457</v>
      </c>
      <c r="Z291" s="2" t="s">
        <v>458</v>
      </c>
    </row>
    <row r="292" spans="1:27">
      <c r="A292" s="12">
        <v>44991.443524212962</v>
      </c>
      <c r="B292" s="2" t="s">
        <v>452</v>
      </c>
      <c r="C292" s="2" t="s">
        <v>453</v>
      </c>
      <c r="D292" s="2" t="s">
        <v>452</v>
      </c>
      <c r="E292" s="2" t="s">
        <v>454</v>
      </c>
      <c r="F292" s="2" t="s">
        <v>1704</v>
      </c>
      <c r="H292" s="2" t="s">
        <v>777</v>
      </c>
      <c r="J292" s="2" t="s">
        <v>914</v>
      </c>
      <c r="L292" s="2" t="s">
        <v>1705</v>
      </c>
      <c r="N292" s="2" t="s">
        <v>105</v>
      </c>
      <c r="P292" s="2" t="s">
        <v>1706</v>
      </c>
      <c r="Q292" s="2" t="s">
        <v>455</v>
      </c>
      <c r="R292" s="2" t="s">
        <v>1707</v>
      </c>
      <c r="T292" s="2" t="s">
        <v>455</v>
      </c>
      <c r="U292" s="2" t="s">
        <v>1363</v>
      </c>
      <c r="V292" s="2" t="s">
        <v>305</v>
      </c>
      <c r="X292" s="2" t="s">
        <v>462</v>
      </c>
      <c r="Y292" s="2" t="s">
        <v>457</v>
      </c>
      <c r="Z292" s="2" t="s">
        <v>458</v>
      </c>
    </row>
    <row r="293" spans="1:27">
      <c r="A293" s="12">
        <v>44991.460808692129</v>
      </c>
      <c r="B293" s="2" t="s">
        <v>452</v>
      </c>
      <c r="C293" s="2" t="s">
        <v>453</v>
      </c>
      <c r="D293" s="2" t="s">
        <v>452</v>
      </c>
      <c r="E293" s="2" t="s">
        <v>454</v>
      </c>
      <c r="F293" s="2" t="s">
        <v>1708</v>
      </c>
      <c r="H293" s="2" t="s">
        <v>777</v>
      </c>
      <c r="J293" s="2" t="s">
        <v>117</v>
      </c>
      <c r="L293" s="2" t="s">
        <v>1709</v>
      </c>
      <c r="N293" s="2" t="s">
        <v>111</v>
      </c>
      <c r="P293" s="2" t="s">
        <v>117</v>
      </c>
      <c r="Q293" s="2" t="s">
        <v>455</v>
      </c>
      <c r="R293" s="2" t="s">
        <v>1710</v>
      </c>
      <c r="T293" s="2" t="s">
        <v>455</v>
      </c>
      <c r="U293" s="2" t="s">
        <v>1490</v>
      </c>
      <c r="V293" s="2" t="s">
        <v>305</v>
      </c>
      <c r="W293" s="2" t="s">
        <v>383</v>
      </c>
      <c r="X293" s="2" t="s">
        <v>474</v>
      </c>
      <c r="Y293" s="2" t="s">
        <v>457</v>
      </c>
      <c r="Z293" s="2" t="s">
        <v>458</v>
      </c>
    </row>
    <row r="294" spans="1:27">
      <c r="A294" s="12">
        <v>44991.462850243057</v>
      </c>
      <c r="B294" s="2" t="s">
        <v>452</v>
      </c>
      <c r="C294" s="2" t="s">
        <v>453</v>
      </c>
      <c r="D294" s="2" t="s">
        <v>452</v>
      </c>
      <c r="E294" s="2" t="s">
        <v>454</v>
      </c>
      <c r="F294" s="2" t="s">
        <v>1711</v>
      </c>
      <c r="H294" s="2" t="s">
        <v>992</v>
      </c>
      <c r="J294" s="2" t="s">
        <v>117</v>
      </c>
      <c r="L294" s="2" t="s">
        <v>1712</v>
      </c>
      <c r="N294" s="2" t="s">
        <v>106</v>
      </c>
      <c r="P294" s="2" t="s">
        <v>117</v>
      </c>
      <c r="Q294" s="2" t="s">
        <v>455</v>
      </c>
      <c r="R294" s="2" t="s">
        <v>1713</v>
      </c>
      <c r="T294" s="2" t="s">
        <v>455</v>
      </c>
      <c r="U294" s="2" t="s">
        <v>300</v>
      </c>
      <c r="V294" s="2" t="s">
        <v>305</v>
      </c>
      <c r="X294" s="2" t="s">
        <v>459</v>
      </c>
      <c r="Y294" s="2" t="s">
        <v>457</v>
      </c>
      <c r="Z294" s="2" t="s">
        <v>458</v>
      </c>
    </row>
    <row r="295" spans="1:27">
      <c r="A295" s="12">
        <v>44991.475796354163</v>
      </c>
      <c r="B295" s="2" t="s">
        <v>452</v>
      </c>
      <c r="C295" s="2" t="s">
        <v>453</v>
      </c>
      <c r="D295" s="2" t="s">
        <v>452</v>
      </c>
      <c r="E295" s="2" t="s">
        <v>454</v>
      </c>
      <c r="F295" s="2" t="s">
        <v>1714</v>
      </c>
      <c r="G295" s="2" t="s">
        <v>1715</v>
      </c>
      <c r="H295" s="2" t="s">
        <v>1716</v>
      </c>
      <c r="J295" s="2" t="s">
        <v>117</v>
      </c>
      <c r="L295" s="2" t="s">
        <v>915</v>
      </c>
      <c r="N295" s="2" t="s">
        <v>701</v>
      </c>
      <c r="P295" s="2" t="s">
        <v>117</v>
      </c>
      <c r="Q295" s="2" t="s">
        <v>455</v>
      </c>
      <c r="S295" s="2" t="s">
        <v>271</v>
      </c>
      <c r="T295" s="2" t="s">
        <v>455</v>
      </c>
      <c r="U295" s="2" t="s">
        <v>304</v>
      </c>
      <c r="V295" s="2" t="s">
        <v>305</v>
      </c>
      <c r="X295" s="2" t="s">
        <v>462</v>
      </c>
      <c r="Y295" s="2" t="s">
        <v>457</v>
      </c>
      <c r="Z295" s="2" t="s">
        <v>458</v>
      </c>
    </row>
    <row r="296" spans="1:27">
      <c r="A296" s="12">
        <v>44991.481962222228</v>
      </c>
      <c r="B296" s="2" t="s">
        <v>452</v>
      </c>
      <c r="C296" s="2" t="s">
        <v>453</v>
      </c>
      <c r="D296" s="2" t="s">
        <v>452</v>
      </c>
      <c r="E296" s="2" t="s">
        <v>454</v>
      </c>
      <c r="F296" s="2" t="s">
        <v>1717</v>
      </c>
      <c r="H296" s="2" t="s">
        <v>704</v>
      </c>
      <c r="J296" s="2" t="s">
        <v>117</v>
      </c>
      <c r="L296" s="2" t="s">
        <v>1718</v>
      </c>
      <c r="N296" s="2" t="s">
        <v>105</v>
      </c>
      <c r="P296" s="2" t="s">
        <v>117</v>
      </c>
      <c r="Q296" s="2" t="s">
        <v>455</v>
      </c>
      <c r="R296" s="2" t="s">
        <v>183</v>
      </c>
      <c r="T296" s="2" t="s">
        <v>455</v>
      </c>
      <c r="U296" s="2" t="s">
        <v>304</v>
      </c>
      <c r="V296" s="2" t="s">
        <v>305</v>
      </c>
      <c r="X296" s="2" t="s">
        <v>462</v>
      </c>
      <c r="Y296" s="2" t="s">
        <v>457</v>
      </c>
      <c r="Z296" s="2" t="s">
        <v>458</v>
      </c>
      <c r="AA296" s="2" t="s">
        <v>589</v>
      </c>
    </row>
    <row r="297" spans="1:27">
      <c r="A297" s="12">
        <v>44991.489434583331</v>
      </c>
      <c r="B297" s="2" t="s">
        <v>452</v>
      </c>
      <c r="C297" s="2" t="s">
        <v>453</v>
      </c>
      <c r="D297" s="2" t="s">
        <v>452</v>
      </c>
      <c r="E297" s="2" t="s">
        <v>454</v>
      </c>
      <c r="F297" s="2" t="s">
        <v>1719</v>
      </c>
      <c r="H297" s="2" t="s">
        <v>1720</v>
      </c>
      <c r="J297" s="2" t="s">
        <v>117</v>
      </c>
      <c r="L297" s="2" t="s">
        <v>1165</v>
      </c>
      <c r="N297" s="2" t="s">
        <v>107</v>
      </c>
      <c r="P297" s="2" t="s">
        <v>117</v>
      </c>
      <c r="Q297" s="2" t="s">
        <v>455</v>
      </c>
      <c r="R297" s="2" t="s">
        <v>1721</v>
      </c>
      <c r="S297" s="2" t="s">
        <v>279</v>
      </c>
      <c r="T297" s="2" t="s">
        <v>455</v>
      </c>
      <c r="U297" s="2" t="s">
        <v>302</v>
      </c>
      <c r="V297" s="2" t="s">
        <v>305</v>
      </c>
      <c r="W297" s="2" t="s">
        <v>369</v>
      </c>
      <c r="X297" s="2" t="s">
        <v>456</v>
      </c>
      <c r="Y297" s="2" t="s">
        <v>457</v>
      </c>
      <c r="Z297" s="2" t="s">
        <v>458</v>
      </c>
    </row>
    <row r="298" spans="1:27">
      <c r="A298" s="12">
        <v>44991.49250043981</v>
      </c>
      <c r="B298" s="2" t="s">
        <v>452</v>
      </c>
      <c r="C298" s="2" t="s">
        <v>453</v>
      </c>
      <c r="D298" s="2" t="s">
        <v>452</v>
      </c>
      <c r="E298" s="2" t="s">
        <v>454</v>
      </c>
      <c r="F298" s="2" t="s">
        <v>830</v>
      </c>
      <c r="H298" s="2" t="s">
        <v>139</v>
      </c>
      <c r="J298" s="2" t="s">
        <v>117</v>
      </c>
      <c r="L298" s="2" t="s">
        <v>169</v>
      </c>
      <c r="M298" s="2" t="s">
        <v>84</v>
      </c>
      <c r="N298" s="2" t="s">
        <v>106</v>
      </c>
      <c r="P298" s="2" t="s">
        <v>117</v>
      </c>
      <c r="Q298" s="2" t="s">
        <v>455</v>
      </c>
      <c r="R298" s="2" t="s">
        <v>181</v>
      </c>
      <c r="T298" s="2" t="s">
        <v>472</v>
      </c>
      <c r="X298" s="2" t="s">
        <v>464</v>
      </c>
      <c r="Y298" s="2" t="s">
        <v>457</v>
      </c>
      <c r="Z298" s="2" t="s">
        <v>458</v>
      </c>
      <c r="AA298" s="2" t="s">
        <v>590</v>
      </c>
    </row>
    <row r="299" spans="1:27">
      <c r="A299" s="12">
        <v>44991.51264778935</v>
      </c>
      <c r="B299" s="2" t="s">
        <v>452</v>
      </c>
      <c r="C299" s="2" t="s">
        <v>453</v>
      </c>
      <c r="D299" s="2" t="s">
        <v>452</v>
      </c>
      <c r="E299" s="2" t="s">
        <v>454</v>
      </c>
      <c r="F299" s="2" t="s">
        <v>1722</v>
      </c>
      <c r="H299" s="2" t="s">
        <v>1223</v>
      </c>
      <c r="J299" s="2" t="s">
        <v>1723</v>
      </c>
      <c r="L299" s="2" t="s">
        <v>1724</v>
      </c>
      <c r="N299" s="2" t="s">
        <v>655</v>
      </c>
      <c r="P299" s="2" t="s">
        <v>121</v>
      </c>
      <c r="Q299" s="2" t="s">
        <v>455</v>
      </c>
      <c r="R299" s="2" t="s">
        <v>1725</v>
      </c>
      <c r="T299" s="2" t="s">
        <v>455</v>
      </c>
      <c r="U299" s="2" t="s">
        <v>304</v>
      </c>
      <c r="V299" s="2" t="s">
        <v>305</v>
      </c>
      <c r="X299" s="2" t="s">
        <v>459</v>
      </c>
      <c r="Y299" s="2" t="s">
        <v>457</v>
      </c>
    </row>
    <row r="300" spans="1:27">
      <c r="A300" s="12">
        <v>44991.515234282408</v>
      </c>
      <c r="B300" s="2" t="s">
        <v>452</v>
      </c>
      <c r="C300" s="2" t="s">
        <v>453</v>
      </c>
      <c r="D300" s="2" t="s">
        <v>452</v>
      </c>
      <c r="E300" s="2" t="s">
        <v>454</v>
      </c>
      <c r="F300" s="2" t="s">
        <v>1726</v>
      </c>
      <c r="H300" s="2" t="s">
        <v>139</v>
      </c>
      <c r="J300" s="2" t="s">
        <v>117</v>
      </c>
      <c r="L300" s="2" t="s">
        <v>167</v>
      </c>
      <c r="N300" s="2" t="s">
        <v>1727</v>
      </c>
      <c r="P300" s="2" t="s">
        <v>117</v>
      </c>
      <c r="Q300" s="2" t="s">
        <v>455</v>
      </c>
      <c r="R300" s="2" t="s">
        <v>1728</v>
      </c>
      <c r="S300" s="2" t="s">
        <v>225</v>
      </c>
      <c r="T300" s="2" t="s">
        <v>455</v>
      </c>
      <c r="U300" s="2" t="s">
        <v>1729</v>
      </c>
      <c r="V300" s="2" t="s">
        <v>1367</v>
      </c>
      <c r="W300" s="2" t="s">
        <v>391</v>
      </c>
      <c r="X300" s="2" t="s">
        <v>464</v>
      </c>
      <c r="Y300" s="2" t="s">
        <v>457</v>
      </c>
      <c r="Z300" s="2" t="s">
        <v>458</v>
      </c>
    </row>
    <row r="301" spans="1:27">
      <c r="A301" s="12">
        <v>44991.51787520833</v>
      </c>
      <c r="B301" s="2" t="s">
        <v>452</v>
      </c>
      <c r="C301" s="2" t="s">
        <v>453</v>
      </c>
      <c r="D301" s="2" t="s">
        <v>452</v>
      </c>
      <c r="E301" s="2" t="s">
        <v>454</v>
      </c>
      <c r="F301" s="2" t="s">
        <v>1730</v>
      </c>
      <c r="H301" s="2" t="s">
        <v>1731</v>
      </c>
      <c r="J301" s="2" t="s">
        <v>1732</v>
      </c>
      <c r="L301" s="2" t="s">
        <v>1733</v>
      </c>
      <c r="N301" s="2" t="s">
        <v>701</v>
      </c>
      <c r="O301" s="2" t="s">
        <v>115</v>
      </c>
      <c r="P301" s="2" t="s">
        <v>855</v>
      </c>
      <c r="Q301" s="2" t="s">
        <v>455</v>
      </c>
      <c r="R301" s="2" t="s">
        <v>1152</v>
      </c>
      <c r="T301" s="2" t="s">
        <v>455</v>
      </c>
      <c r="U301" s="2" t="s">
        <v>304</v>
      </c>
      <c r="V301" s="2" t="s">
        <v>305</v>
      </c>
      <c r="X301" s="2" t="s">
        <v>456</v>
      </c>
      <c r="Y301" s="2" t="s">
        <v>457</v>
      </c>
      <c r="Z301" s="2" t="s">
        <v>458</v>
      </c>
    </row>
    <row r="302" spans="1:27">
      <c r="A302" s="12">
        <v>44991.520590601853</v>
      </c>
      <c r="B302" s="2" t="s">
        <v>452</v>
      </c>
      <c r="C302" s="2" t="s">
        <v>453</v>
      </c>
      <c r="D302" s="2" t="s">
        <v>452</v>
      </c>
      <c r="E302" s="2" t="s">
        <v>454</v>
      </c>
      <c r="F302" s="2" t="s">
        <v>0</v>
      </c>
      <c r="H302" s="2" t="s">
        <v>139</v>
      </c>
      <c r="J302" s="2" t="s">
        <v>117</v>
      </c>
      <c r="L302" s="2" t="s">
        <v>836</v>
      </c>
      <c r="N302" s="2" t="s">
        <v>107</v>
      </c>
      <c r="P302" s="2" t="s">
        <v>117</v>
      </c>
      <c r="Q302" s="2" t="s">
        <v>455</v>
      </c>
      <c r="R302" s="2" t="s">
        <v>1734</v>
      </c>
      <c r="T302" s="2" t="s">
        <v>455</v>
      </c>
      <c r="U302" s="2" t="s">
        <v>853</v>
      </c>
      <c r="V302" s="2" t="s">
        <v>305</v>
      </c>
      <c r="X302" s="2" t="s">
        <v>456</v>
      </c>
      <c r="Y302" s="2" t="s">
        <v>457</v>
      </c>
      <c r="Z302" s="2" t="s">
        <v>458</v>
      </c>
    </row>
    <row r="303" spans="1:27">
      <c r="A303" s="12">
        <v>44991.520707037038</v>
      </c>
      <c r="B303" s="2" t="s">
        <v>452</v>
      </c>
      <c r="C303" s="2" t="s">
        <v>453</v>
      </c>
      <c r="D303" s="2" t="s">
        <v>452</v>
      </c>
      <c r="E303" s="2" t="s">
        <v>454</v>
      </c>
      <c r="F303" s="2" t="s">
        <v>1735</v>
      </c>
      <c r="H303" s="2" t="s">
        <v>1736</v>
      </c>
      <c r="J303" s="2" t="s">
        <v>117</v>
      </c>
      <c r="L303" s="2" t="s">
        <v>1737</v>
      </c>
      <c r="N303" s="2" t="s">
        <v>655</v>
      </c>
      <c r="P303" s="2" t="s">
        <v>117</v>
      </c>
      <c r="Q303" s="2" t="s">
        <v>455</v>
      </c>
      <c r="R303" s="2" t="s">
        <v>1738</v>
      </c>
      <c r="T303" s="2" t="s">
        <v>455</v>
      </c>
      <c r="U303" s="2" t="s">
        <v>1033</v>
      </c>
      <c r="V303" s="2" t="s">
        <v>857</v>
      </c>
      <c r="W303" s="2" t="s">
        <v>377</v>
      </c>
      <c r="X303" s="2" t="s">
        <v>462</v>
      </c>
      <c r="Y303" s="2" t="s">
        <v>457</v>
      </c>
      <c r="Z303" s="2" t="s">
        <v>458</v>
      </c>
    </row>
    <row r="304" spans="1:27">
      <c r="A304" s="12">
        <v>44991.529128078706</v>
      </c>
      <c r="B304" s="2" t="s">
        <v>452</v>
      </c>
      <c r="C304" s="2" t="s">
        <v>453</v>
      </c>
      <c r="D304" s="2" t="s">
        <v>452</v>
      </c>
      <c r="E304" s="2" t="s">
        <v>454</v>
      </c>
      <c r="F304" s="2" t="s">
        <v>1739</v>
      </c>
      <c r="H304" s="2" t="s">
        <v>107</v>
      </c>
      <c r="J304" s="2" t="s">
        <v>117</v>
      </c>
      <c r="L304" s="2" t="s">
        <v>167</v>
      </c>
      <c r="N304" s="2" t="s">
        <v>105</v>
      </c>
      <c r="P304" s="2" t="s">
        <v>117</v>
      </c>
      <c r="Q304" s="2" t="s">
        <v>455</v>
      </c>
      <c r="R304" s="2" t="s">
        <v>1740</v>
      </c>
      <c r="T304" s="2" t="s">
        <v>455</v>
      </c>
      <c r="U304" s="2" t="s">
        <v>304</v>
      </c>
      <c r="V304" s="2" t="s">
        <v>305</v>
      </c>
      <c r="X304" s="2" t="s">
        <v>456</v>
      </c>
      <c r="Y304" s="2" t="s">
        <v>457</v>
      </c>
      <c r="Z304" s="2" t="s">
        <v>458</v>
      </c>
    </row>
    <row r="305" spans="1:27">
      <c r="A305" s="12">
        <v>44991.537186608795</v>
      </c>
      <c r="B305" s="2" t="s">
        <v>452</v>
      </c>
      <c r="C305" s="2" t="s">
        <v>453</v>
      </c>
      <c r="D305" s="2" t="s">
        <v>452</v>
      </c>
      <c r="E305" s="2" t="s">
        <v>454</v>
      </c>
      <c r="F305" s="2" t="s">
        <v>1741</v>
      </c>
      <c r="H305" s="2" t="s">
        <v>1742</v>
      </c>
      <c r="I305" s="2" t="s">
        <v>591</v>
      </c>
      <c r="J305" s="2" t="s">
        <v>117</v>
      </c>
      <c r="L305" s="2" t="s">
        <v>1743</v>
      </c>
      <c r="M305" s="2" t="s">
        <v>73</v>
      </c>
      <c r="N305" s="2" t="s">
        <v>675</v>
      </c>
      <c r="O305" s="2" t="s">
        <v>592</v>
      </c>
      <c r="P305" s="2" t="s">
        <v>117</v>
      </c>
      <c r="Q305" s="2" t="s">
        <v>455</v>
      </c>
      <c r="R305" s="2" t="s">
        <v>1744</v>
      </c>
      <c r="S305" s="2" t="s">
        <v>197</v>
      </c>
      <c r="T305" s="2" t="s">
        <v>455</v>
      </c>
      <c r="U305" s="2" t="s">
        <v>1474</v>
      </c>
      <c r="V305" s="2" t="s">
        <v>1490</v>
      </c>
      <c r="W305" s="2" t="s">
        <v>334</v>
      </c>
      <c r="X305" s="2" t="s">
        <v>456</v>
      </c>
      <c r="Y305" s="2" t="s">
        <v>457</v>
      </c>
      <c r="Z305" s="2" t="s">
        <v>458</v>
      </c>
    </row>
    <row r="306" spans="1:27">
      <c r="A306" s="12">
        <v>44991.55313586806</v>
      </c>
      <c r="B306" s="2" t="s">
        <v>452</v>
      </c>
      <c r="C306" s="2" t="s">
        <v>453</v>
      </c>
      <c r="D306" s="2" t="s">
        <v>452</v>
      </c>
      <c r="E306" s="2" t="s">
        <v>454</v>
      </c>
      <c r="F306" s="2" t="s">
        <v>1745</v>
      </c>
      <c r="G306" s="2" t="s">
        <v>1746</v>
      </c>
      <c r="H306" s="2" t="s">
        <v>1747</v>
      </c>
      <c r="J306" s="2" t="s">
        <v>107</v>
      </c>
      <c r="L306" s="2" t="s">
        <v>1748</v>
      </c>
      <c r="N306" s="2" t="s">
        <v>107</v>
      </c>
      <c r="P306" s="2" t="s">
        <v>117</v>
      </c>
      <c r="Q306" s="2" t="s">
        <v>472</v>
      </c>
      <c r="T306" s="2" t="s">
        <v>455</v>
      </c>
      <c r="U306" s="2" t="s">
        <v>1749</v>
      </c>
      <c r="V306" s="2" t="s">
        <v>671</v>
      </c>
      <c r="X306" s="2" t="s">
        <v>479</v>
      </c>
      <c r="Y306" s="2" t="s">
        <v>457</v>
      </c>
      <c r="Z306" s="2" t="s">
        <v>458</v>
      </c>
    </row>
    <row r="307" spans="1:27">
      <c r="A307" s="12">
        <v>44991.565624953699</v>
      </c>
      <c r="B307" s="2" t="s">
        <v>452</v>
      </c>
      <c r="C307" s="2" t="s">
        <v>453</v>
      </c>
      <c r="D307" s="2" t="s">
        <v>452</v>
      </c>
      <c r="E307" s="2" t="s">
        <v>454</v>
      </c>
      <c r="F307" s="2" t="s">
        <v>1750</v>
      </c>
      <c r="H307" s="2" t="s">
        <v>725</v>
      </c>
      <c r="J307" s="2" t="s">
        <v>117</v>
      </c>
      <c r="L307" s="2" t="s">
        <v>1751</v>
      </c>
      <c r="N307" s="2" t="s">
        <v>1752</v>
      </c>
      <c r="P307" s="2" t="s">
        <v>117</v>
      </c>
      <c r="Q307" s="2" t="s">
        <v>455</v>
      </c>
      <c r="R307" s="2" t="s">
        <v>1753</v>
      </c>
      <c r="T307" s="2" t="s">
        <v>455</v>
      </c>
      <c r="U307" s="2" t="s">
        <v>982</v>
      </c>
      <c r="V307" s="2" t="s">
        <v>305</v>
      </c>
      <c r="X307" s="2" t="s">
        <v>459</v>
      </c>
      <c r="Y307" s="2" t="s">
        <v>457</v>
      </c>
      <c r="Z307" s="2" t="s">
        <v>458</v>
      </c>
      <c r="AA307" s="2" t="s">
        <v>594</v>
      </c>
    </row>
    <row r="308" spans="1:27">
      <c r="A308" s="12">
        <v>44991.578569108795</v>
      </c>
      <c r="B308" s="2" t="s">
        <v>452</v>
      </c>
      <c r="C308" s="2" t="s">
        <v>453</v>
      </c>
      <c r="D308" s="2" t="s">
        <v>452</v>
      </c>
      <c r="E308" s="2" t="s">
        <v>454</v>
      </c>
      <c r="F308" s="2" t="s">
        <v>1754</v>
      </c>
      <c r="H308" s="2" t="s">
        <v>139</v>
      </c>
      <c r="J308" s="2" t="s">
        <v>826</v>
      </c>
      <c r="L308" s="2" t="s">
        <v>1755</v>
      </c>
      <c r="N308" s="2" t="s">
        <v>675</v>
      </c>
      <c r="P308" s="2" t="s">
        <v>838</v>
      </c>
      <c r="Q308" s="2" t="s">
        <v>455</v>
      </c>
      <c r="R308" s="2" t="s">
        <v>180</v>
      </c>
      <c r="T308" s="2" t="s">
        <v>455</v>
      </c>
      <c r="U308" s="2" t="s">
        <v>304</v>
      </c>
      <c r="V308" s="2" t="s">
        <v>305</v>
      </c>
      <c r="W308" s="2" t="s">
        <v>359</v>
      </c>
      <c r="X308" s="2" t="s">
        <v>456</v>
      </c>
      <c r="Y308" s="2" t="s">
        <v>457</v>
      </c>
      <c r="Z308" s="2" t="s">
        <v>458</v>
      </c>
    </row>
    <row r="309" spans="1:27">
      <c r="A309" s="12">
        <v>44991.579249155096</v>
      </c>
      <c r="B309" s="2" t="s">
        <v>452</v>
      </c>
      <c r="C309" s="2" t="s">
        <v>453</v>
      </c>
      <c r="D309" s="2" t="s">
        <v>452</v>
      </c>
      <c r="E309" s="2" t="s">
        <v>454</v>
      </c>
      <c r="F309" s="2" t="s">
        <v>1756</v>
      </c>
      <c r="H309" s="2" t="s">
        <v>124</v>
      </c>
      <c r="J309" s="2" t="s">
        <v>1757</v>
      </c>
      <c r="L309" s="2" t="s">
        <v>836</v>
      </c>
      <c r="N309" s="2" t="s">
        <v>105</v>
      </c>
      <c r="P309" s="2" t="s">
        <v>1758</v>
      </c>
      <c r="Q309" s="2" t="s">
        <v>455</v>
      </c>
      <c r="R309" s="2" t="s">
        <v>1759</v>
      </c>
      <c r="S309" s="2" t="s">
        <v>269</v>
      </c>
      <c r="T309" s="2" t="s">
        <v>472</v>
      </c>
      <c r="X309" s="2" t="s">
        <v>459</v>
      </c>
      <c r="Z309" s="2" t="s">
        <v>458</v>
      </c>
    </row>
    <row r="310" spans="1:27">
      <c r="A310" s="12">
        <v>44991.58289612268</v>
      </c>
      <c r="B310" s="2" t="s">
        <v>452</v>
      </c>
      <c r="C310" s="2" t="s">
        <v>453</v>
      </c>
      <c r="D310" s="2" t="s">
        <v>452</v>
      </c>
      <c r="E310" s="2" t="s">
        <v>454</v>
      </c>
      <c r="F310" s="2" t="s">
        <v>1760</v>
      </c>
      <c r="H310" s="2" t="s">
        <v>139</v>
      </c>
      <c r="J310" s="2" t="s">
        <v>117</v>
      </c>
      <c r="L310" s="2" t="s">
        <v>177</v>
      </c>
      <c r="N310" s="2" t="s">
        <v>105</v>
      </c>
      <c r="P310" s="2" t="s">
        <v>117</v>
      </c>
      <c r="Q310" s="2" t="s">
        <v>455</v>
      </c>
      <c r="R310" s="2" t="s">
        <v>1761</v>
      </c>
      <c r="T310" s="2" t="s">
        <v>455</v>
      </c>
      <c r="U310" s="2" t="s">
        <v>982</v>
      </c>
      <c r="X310" s="2" t="s">
        <v>459</v>
      </c>
      <c r="Y310" s="2" t="s">
        <v>457</v>
      </c>
      <c r="Z310" s="2" t="s">
        <v>458</v>
      </c>
    </row>
    <row r="311" spans="1:27">
      <c r="A311" s="12">
        <v>44991.585432615742</v>
      </c>
      <c r="B311" s="2" t="s">
        <v>452</v>
      </c>
      <c r="C311" s="2" t="s">
        <v>453</v>
      </c>
      <c r="D311" s="2" t="s">
        <v>452</v>
      </c>
      <c r="E311" s="2" t="s">
        <v>454</v>
      </c>
      <c r="F311" s="2" t="s">
        <v>1762</v>
      </c>
      <c r="G311" s="2" t="s">
        <v>1763</v>
      </c>
      <c r="H311" s="2" t="s">
        <v>1764</v>
      </c>
      <c r="J311" s="2" t="s">
        <v>117</v>
      </c>
      <c r="L311" s="2" t="s">
        <v>1311</v>
      </c>
      <c r="N311" s="2" t="s">
        <v>105</v>
      </c>
      <c r="P311" s="2" t="s">
        <v>117</v>
      </c>
      <c r="Q311" s="2" t="s">
        <v>455</v>
      </c>
      <c r="R311" s="2" t="s">
        <v>1765</v>
      </c>
      <c r="T311" s="2" t="s">
        <v>455</v>
      </c>
      <c r="U311" s="2" t="s">
        <v>1581</v>
      </c>
      <c r="V311" s="2" t="s">
        <v>305</v>
      </c>
      <c r="X311" s="2" t="s">
        <v>456</v>
      </c>
      <c r="Y311" s="2" t="s">
        <v>457</v>
      </c>
      <c r="Z311" s="2" t="s">
        <v>458</v>
      </c>
    </row>
    <row r="312" spans="1:27">
      <c r="A312" s="12">
        <v>44991.587831805555</v>
      </c>
      <c r="B312" s="2" t="s">
        <v>452</v>
      </c>
      <c r="C312" s="2" t="s">
        <v>453</v>
      </c>
      <c r="D312" s="2" t="s">
        <v>452</v>
      </c>
      <c r="E312" s="2" t="s">
        <v>454</v>
      </c>
      <c r="F312" s="2" t="s">
        <v>1766</v>
      </c>
      <c r="G312" s="2" t="s">
        <v>1767</v>
      </c>
      <c r="H312" s="2" t="s">
        <v>139</v>
      </c>
      <c r="J312" s="2" t="s">
        <v>1768</v>
      </c>
      <c r="L312" s="2" t="s">
        <v>658</v>
      </c>
      <c r="M312" s="2" t="s">
        <v>91</v>
      </c>
      <c r="O312" s="2" t="s">
        <v>597</v>
      </c>
      <c r="P312" s="2" t="s">
        <v>120</v>
      </c>
      <c r="Q312" s="2" t="s">
        <v>455</v>
      </c>
      <c r="R312" s="2" t="s">
        <v>1769</v>
      </c>
      <c r="S312" s="2" t="s">
        <v>236</v>
      </c>
      <c r="T312" s="2" t="s">
        <v>455</v>
      </c>
      <c r="U312" s="2" t="s">
        <v>1657</v>
      </c>
      <c r="V312" s="2" t="s">
        <v>1729</v>
      </c>
      <c r="W312" s="2" t="s">
        <v>336</v>
      </c>
      <c r="X312" s="2" t="s">
        <v>462</v>
      </c>
      <c r="Y312" s="2" t="s">
        <v>457</v>
      </c>
      <c r="Z312" s="2" t="s">
        <v>458</v>
      </c>
    </row>
    <row r="313" spans="1:27">
      <c r="A313" s="12">
        <v>44991.589539768524</v>
      </c>
      <c r="B313" s="2" t="s">
        <v>452</v>
      </c>
      <c r="C313" s="2" t="s">
        <v>453</v>
      </c>
      <c r="D313" s="2" t="s">
        <v>452</v>
      </c>
      <c r="E313" s="2" t="s">
        <v>454</v>
      </c>
      <c r="F313" s="2" t="s">
        <v>1341</v>
      </c>
      <c r="H313" s="2" t="s">
        <v>139</v>
      </c>
      <c r="J313" s="2" t="s">
        <v>117</v>
      </c>
      <c r="L313" s="2" t="s">
        <v>167</v>
      </c>
      <c r="N313" s="2" t="s">
        <v>655</v>
      </c>
      <c r="P313" s="2" t="s">
        <v>117</v>
      </c>
      <c r="Q313" s="2" t="s">
        <v>455</v>
      </c>
      <c r="R313" s="2" t="s">
        <v>1770</v>
      </c>
      <c r="T313" s="2" t="s">
        <v>455</v>
      </c>
      <c r="U313" s="2" t="s">
        <v>1262</v>
      </c>
      <c r="V313" s="2" t="s">
        <v>305</v>
      </c>
      <c r="X313" s="2" t="s">
        <v>456</v>
      </c>
      <c r="Y313" s="2" t="s">
        <v>457</v>
      </c>
      <c r="Z313" s="2" t="s">
        <v>458</v>
      </c>
    </row>
    <row r="314" spans="1:27">
      <c r="A314" s="12">
        <v>44991.591695196759</v>
      </c>
      <c r="B314" s="2" t="s">
        <v>452</v>
      </c>
      <c r="C314" s="2" t="s">
        <v>453</v>
      </c>
      <c r="D314" s="2" t="s">
        <v>452</v>
      </c>
      <c r="E314" s="2" t="s">
        <v>454</v>
      </c>
      <c r="F314" s="2" t="s">
        <v>1771</v>
      </c>
      <c r="H314" s="2" t="s">
        <v>892</v>
      </c>
      <c r="J314" s="2" t="s">
        <v>1772</v>
      </c>
      <c r="L314" s="2" t="s">
        <v>1773</v>
      </c>
      <c r="N314" s="2" t="s">
        <v>675</v>
      </c>
      <c r="P314" s="2" t="s">
        <v>118</v>
      </c>
      <c r="Q314" s="2" t="s">
        <v>455</v>
      </c>
      <c r="R314" s="2" t="s">
        <v>1774</v>
      </c>
      <c r="S314" s="2" t="s">
        <v>256</v>
      </c>
      <c r="T314" s="2" t="s">
        <v>455</v>
      </c>
      <c r="U314" s="2" t="s">
        <v>304</v>
      </c>
      <c r="V314" s="2" t="s">
        <v>305</v>
      </c>
      <c r="X314" s="2" t="s">
        <v>462</v>
      </c>
      <c r="Y314" s="2" t="s">
        <v>457</v>
      </c>
      <c r="Z314" s="2" t="s">
        <v>458</v>
      </c>
    </row>
    <row r="315" spans="1:27">
      <c r="A315" s="12">
        <v>44991.60651193287</v>
      </c>
      <c r="B315" s="2" t="s">
        <v>452</v>
      </c>
      <c r="C315" s="2" t="s">
        <v>453</v>
      </c>
      <c r="D315" s="2" t="s">
        <v>452</v>
      </c>
      <c r="E315" s="2" t="s">
        <v>454</v>
      </c>
      <c r="F315" s="2" t="s">
        <v>1775</v>
      </c>
      <c r="H315" s="2" t="s">
        <v>139</v>
      </c>
      <c r="J315" s="2" t="s">
        <v>1776</v>
      </c>
      <c r="L315" s="2" t="s">
        <v>1777</v>
      </c>
      <c r="N315" s="2" t="s">
        <v>1778</v>
      </c>
      <c r="P315" s="2" t="s">
        <v>117</v>
      </c>
      <c r="Q315" s="2" t="s">
        <v>455</v>
      </c>
      <c r="R315" s="2" t="s">
        <v>1779</v>
      </c>
      <c r="S315" s="2" t="s">
        <v>278</v>
      </c>
      <c r="T315" s="2" t="s">
        <v>455</v>
      </c>
      <c r="U315" s="2" t="s">
        <v>300</v>
      </c>
      <c r="V315" s="2" t="s">
        <v>305</v>
      </c>
      <c r="W315" s="2" t="s">
        <v>361</v>
      </c>
      <c r="X315" s="2" t="s">
        <v>462</v>
      </c>
      <c r="Y315" s="2" t="s">
        <v>457</v>
      </c>
      <c r="Z315" s="2" t="s">
        <v>458</v>
      </c>
    </row>
    <row r="316" spans="1:27">
      <c r="A316" s="12">
        <v>44991.617051724534</v>
      </c>
      <c r="B316" s="2" t="s">
        <v>452</v>
      </c>
      <c r="C316" s="2" t="s">
        <v>453</v>
      </c>
      <c r="D316" s="2" t="s">
        <v>452</v>
      </c>
      <c r="E316" s="2" t="s">
        <v>454</v>
      </c>
      <c r="F316" s="2" t="s">
        <v>1780</v>
      </c>
      <c r="H316" s="2" t="s">
        <v>777</v>
      </c>
      <c r="J316" s="2" t="s">
        <v>1781</v>
      </c>
      <c r="L316" s="2" t="s">
        <v>1782</v>
      </c>
      <c r="N316" s="2" t="s">
        <v>675</v>
      </c>
      <c r="P316" s="2" t="s">
        <v>773</v>
      </c>
      <c r="Q316" s="2" t="s">
        <v>472</v>
      </c>
      <c r="T316" s="2" t="s">
        <v>455</v>
      </c>
      <c r="U316" s="2" t="s">
        <v>853</v>
      </c>
      <c r="V316" s="2" t="s">
        <v>303</v>
      </c>
      <c r="X316" s="2" t="s">
        <v>462</v>
      </c>
      <c r="Y316" s="2" t="s">
        <v>457</v>
      </c>
      <c r="Z316" s="2" t="s">
        <v>458</v>
      </c>
    </row>
    <row r="317" spans="1:27">
      <c r="A317" s="12">
        <v>44991.658258391202</v>
      </c>
      <c r="B317" s="2" t="s">
        <v>452</v>
      </c>
      <c r="C317" s="2" t="s">
        <v>453</v>
      </c>
      <c r="D317" s="2" t="s">
        <v>452</v>
      </c>
      <c r="E317" s="2" t="s">
        <v>454</v>
      </c>
      <c r="F317" s="2" t="s">
        <v>12</v>
      </c>
      <c r="H317" s="2" t="s">
        <v>139</v>
      </c>
      <c r="J317" s="2" t="s">
        <v>117</v>
      </c>
      <c r="L317" s="2" t="s">
        <v>1255</v>
      </c>
      <c r="N317" s="2" t="s">
        <v>106</v>
      </c>
      <c r="P317" s="2" t="s">
        <v>117</v>
      </c>
      <c r="Q317" s="2" t="s">
        <v>455</v>
      </c>
      <c r="R317" s="2" t="s">
        <v>1783</v>
      </c>
      <c r="T317" s="2" t="s">
        <v>455</v>
      </c>
      <c r="U317" s="2" t="s">
        <v>304</v>
      </c>
      <c r="X317" s="2" t="s">
        <v>459</v>
      </c>
      <c r="Y317" s="2" t="s">
        <v>457</v>
      </c>
      <c r="Z317" s="2" t="s">
        <v>458</v>
      </c>
    </row>
    <row r="318" spans="1:27">
      <c r="A318" s="12">
        <v>44991.659198344903</v>
      </c>
      <c r="B318" s="2" t="s">
        <v>452</v>
      </c>
      <c r="C318" s="2" t="s">
        <v>453</v>
      </c>
      <c r="D318" s="2" t="s">
        <v>452</v>
      </c>
      <c r="E318" s="2" t="s">
        <v>454</v>
      </c>
      <c r="F318" s="2" t="s">
        <v>1784</v>
      </c>
      <c r="H318" s="2" t="s">
        <v>1785</v>
      </c>
      <c r="J318" s="2" t="s">
        <v>1786</v>
      </c>
      <c r="L318" s="2" t="s">
        <v>1787</v>
      </c>
      <c r="N318" s="2" t="s">
        <v>922</v>
      </c>
      <c r="P318" s="2" t="s">
        <v>1788</v>
      </c>
      <c r="Q318" s="2" t="s">
        <v>455</v>
      </c>
      <c r="R318" s="2" t="s">
        <v>1789</v>
      </c>
      <c r="T318" s="2" t="s">
        <v>455</v>
      </c>
      <c r="U318" s="2" t="s">
        <v>735</v>
      </c>
      <c r="V318" s="2" t="s">
        <v>735</v>
      </c>
      <c r="X318" s="2" t="s">
        <v>456</v>
      </c>
      <c r="Y318" s="2" t="s">
        <v>457</v>
      </c>
      <c r="Z318" s="2" t="s">
        <v>458</v>
      </c>
    </row>
    <row r="319" spans="1:27">
      <c r="A319" s="12">
        <v>44991.661869282412</v>
      </c>
      <c r="B319" s="2" t="s">
        <v>452</v>
      </c>
      <c r="C319" s="2" t="s">
        <v>453</v>
      </c>
      <c r="D319" s="2" t="s">
        <v>452</v>
      </c>
      <c r="E319" s="2" t="s">
        <v>454</v>
      </c>
      <c r="F319" s="2" t="s">
        <v>1790</v>
      </c>
      <c r="H319" s="2" t="s">
        <v>789</v>
      </c>
      <c r="J319" s="2" t="s">
        <v>893</v>
      </c>
      <c r="L319" s="2" t="s">
        <v>1791</v>
      </c>
      <c r="N319" s="2" t="s">
        <v>105</v>
      </c>
      <c r="P319" s="2" t="s">
        <v>838</v>
      </c>
      <c r="Q319" s="2" t="s">
        <v>455</v>
      </c>
      <c r="R319" s="2" t="s">
        <v>1792</v>
      </c>
      <c r="T319" s="2" t="s">
        <v>455</v>
      </c>
      <c r="U319" s="2" t="s">
        <v>869</v>
      </c>
      <c r="V319" s="2" t="s">
        <v>305</v>
      </c>
      <c r="X319" s="2" t="s">
        <v>459</v>
      </c>
      <c r="Y319" s="2" t="s">
        <v>457</v>
      </c>
      <c r="Z319" s="2" t="s">
        <v>458</v>
      </c>
      <c r="AA319" s="2" t="s">
        <v>598</v>
      </c>
    </row>
    <row r="320" spans="1:27">
      <c r="A320" s="12">
        <v>44991.67129795139</v>
      </c>
      <c r="B320" s="2" t="s">
        <v>452</v>
      </c>
      <c r="C320" s="2" t="s">
        <v>453</v>
      </c>
      <c r="D320" s="2" t="s">
        <v>452</v>
      </c>
      <c r="E320" s="2" t="s">
        <v>454</v>
      </c>
      <c r="F320" s="2" t="s">
        <v>1793</v>
      </c>
      <c r="H320" s="2" t="s">
        <v>992</v>
      </c>
      <c r="J320" s="2" t="s">
        <v>117</v>
      </c>
      <c r="L320" s="2" t="s">
        <v>1794</v>
      </c>
      <c r="N320" s="2" t="s">
        <v>1795</v>
      </c>
      <c r="P320" s="2" t="s">
        <v>117</v>
      </c>
      <c r="Q320" s="2" t="s">
        <v>455</v>
      </c>
      <c r="R320" s="2" t="s">
        <v>1796</v>
      </c>
      <c r="T320" s="2" t="s">
        <v>455</v>
      </c>
      <c r="U320" s="2" t="s">
        <v>1797</v>
      </c>
      <c r="V320" s="2" t="s">
        <v>305</v>
      </c>
      <c r="X320" s="2" t="s">
        <v>456</v>
      </c>
      <c r="Y320" s="2" t="s">
        <v>457</v>
      </c>
      <c r="Z320" s="2" t="s">
        <v>458</v>
      </c>
    </row>
    <row r="321" spans="1:27">
      <c r="A321" s="12">
        <v>44991.672273159726</v>
      </c>
      <c r="B321" s="2" t="s">
        <v>452</v>
      </c>
      <c r="C321" s="2" t="s">
        <v>453</v>
      </c>
      <c r="D321" s="2" t="s">
        <v>452</v>
      </c>
      <c r="E321" s="2" t="s">
        <v>454</v>
      </c>
      <c r="F321" s="2" t="s">
        <v>1798</v>
      </c>
      <c r="H321" s="2" t="s">
        <v>139</v>
      </c>
      <c r="J321" s="2" t="s">
        <v>117</v>
      </c>
      <c r="L321" s="2" t="s">
        <v>169</v>
      </c>
      <c r="O321" s="2" t="s">
        <v>485</v>
      </c>
      <c r="P321" s="2" t="s">
        <v>117</v>
      </c>
      <c r="Q321" s="2" t="s">
        <v>455</v>
      </c>
      <c r="R321" s="2" t="s">
        <v>190</v>
      </c>
      <c r="T321" s="2" t="s">
        <v>455</v>
      </c>
      <c r="U321" s="2" t="s">
        <v>304</v>
      </c>
      <c r="V321" s="2" t="s">
        <v>305</v>
      </c>
      <c r="X321" s="2" t="s">
        <v>475</v>
      </c>
      <c r="Y321" s="2" t="s">
        <v>457</v>
      </c>
      <c r="Z321" s="2" t="s">
        <v>458</v>
      </c>
    </row>
    <row r="322" spans="1:27">
      <c r="A322" s="12">
        <v>44991.697156412032</v>
      </c>
      <c r="B322" s="2" t="s">
        <v>452</v>
      </c>
      <c r="C322" s="2" t="s">
        <v>453</v>
      </c>
      <c r="D322" s="2" t="s">
        <v>452</v>
      </c>
      <c r="E322" s="2" t="s">
        <v>454</v>
      </c>
      <c r="F322" s="2" t="s">
        <v>1799</v>
      </c>
      <c r="H322" s="2" t="s">
        <v>1612</v>
      </c>
      <c r="J322" s="2" t="s">
        <v>117</v>
      </c>
      <c r="L322" s="2" t="s">
        <v>1800</v>
      </c>
      <c r="N322" s="2" t="s">
        <v>105</v>
      </c>
      <c r="P322" s="2" t="s">
        <v>1063</v>
      </c>
      <c r="Q322" s="2" t="s">
        <v>455</v>
      </c>
      <c r="T322" s="2" t="s">
        <v>455</v>
      </c>
      <c r="U322" s="2" t="s">
        <v>304</v>
      </c>
      <c r="V322" s="2" t="s">
        <v>305</v>
      </c>
      <c r="X322" s="2" t="s">
        <v>462</v>
      </c>
      <c r="Y322" s="2" t="s">
        <v>457</v>
      </c>
      <c r="Z322" s="2" t="s">
        <v>458</v>
      </c>
    </row>
    <row r="323" spans="1:27">
      <c r="A323" s="12">
        <v>44991.751353912041</v>
      </c>
      <c r="B323" s="2" t="s">
        <v>452</v>
      </c>
      <c r="C323" s="2" t="s">
        <v>453</v>
      </c>
      <c r="D323" s="2" t="s">
        <v>452</v>
      </c>
      <c r="E323" s="2" t="s">
        <v>454</v>
      </c>
      <c r="F323" s="2" t="s">
        <v>1801</v>
      </c>
      <c r="H323" s="2" t="s">
        <v>107</v>
      </c>
      <c r="J323" s="2" t="s">
        <v>117</v>
      </c>
      <c r="L323" s="2" t="s">
        <v>1381</v>
      </c>
      <c r="N323" s="2" t="s">
        <v>655</v>
      </c>
      <c r="P323" s="2" t="s">
        <v>117</v>
      </c>
      <c r="Q323" s="2" t="s">
        <v>455</v>
      </c>
      <c r="R323" s="2" t="s">
        <v>1796</v>
      </c>
      <c r="T323" s="2" t="s">
        <v>455</v>
      </c>
      <c r="U323" s="2" t="s">
        <v>298</v>
      </c>
      <c r="V323" s="2" t="s">
        <v>305</v>
      </c>
      <c r="W323" s="2" t="s">
        <v>352</v>
      </c>
      <c r="X323" s="2" t="s">
        <v>474</v>
      </c>
      <c r="Y323" s="2" t="s">
        <v>457</v>
      </c>
      <c r="Z323" s="2" t="s">
        <v>458</v>
      </c>
    </row>
    <row r="324" spans="1:27">
      <c r="A324" s="12">
        <v>44991.754279259258</v>
      </c>
      <c r="B324" s="2" t="s">
        <v>452</v>
      </c>
      <c r="C324" s="2" t="s">
        <v>453</v>
      </c>
      <c r="D324" s="2" t="s">
        <v>452</v>
      </c>
      <c r="E324" s="2" t="s">
        <v>454</v>
      </c>
      <c r="F324" s="2" t="s">
        <v>0</v>
      </c>
      <c r="H324" s="2" t="s">
        <v>139</v>
      </c>
      <c r="J324" s="2" t="s">
        <v>117</v>
      </c>
      <c r="L324" s="2" t="s">
        <v>169</v>
      </c>
      <c r="N324" s="2" t="s">
        <v>105</v>
      </c>
      <c r="P324" s="2" t="s">
        <v>117</v>
      </c>
      <c r="Q324" s="2" t="s">
        <v>455</v>
      </c>
      <c r="R324" s="2" t="s">
        <v>1802</v>
      </c>
      <c r="T324" s="2" t="s">
        <v>455</v>
      </c>
      <c r="U324" s="2" t="s">
        <v>304</v>
      </c>
      <c r="V324" s="2" t="s">
        <v>305</v>
      </c>
      <c r="X324" s="2" t="s">
        <v>479</v>
      </c>
      <c r="Y324" s="2" t="s">
        <v>457</v>
      </c>
      <c r="Z324" s="2" t="s">
        <v>458</v>
      </c>
    </row>
    <row r="325" spans="1:27">
      <c r="A325" s="12">
        <v>44991.759694293985</v>
      </c>
      <c r="B325" s="2" t="s">
        <v>452</v>
      </c>
      <c r="C325" s="2" t="s">
        <v>453</v>
      </c>
      <c r="D325" s="2" t="s">
        <v>452</v>
      </c>
      <c r="E325" s="2" t="s">
        <v>454</v>
      </c>
      <c r="F325" s="2" t="s">
        <v>1803</v>
      </c>
      <c r="H325" s="2" t="s">
        <v>883</v>
      </c>
      <c r="J325" s="2" t="s">
        <v>154</v>
      </c>
      <c r="L325" s="2" t="s">
        <v>1804</v>
      </c>
      <c r="N325" s="2" t="s">
        <v>106</v>
      </c>
      <c r="P325" s="2" t="s">
        <v>118</v>
      </c>
      <c r="Q325" s="2" t="s">
        <v>455</v>
      </c>
      <c r="R325" s="2" t="s">
        <v>1805</v>
      </c>
      <c r="T325" s="2" t="s">
        <v>455</v>
      </c>
      <c r="U325" s="2" t="s">
        <v>1367</v>
      </c>
      <c r="V325" s="2" t="s">
        <v>1806</v>
      </c>
      <c r="X325" s="2" t="s">
        <v>464</v>
      </c>
      <c r="Y325" s="2" t="s">
        <v>457</v>
      </c>
      <c r="Z325" s="2" t="s">
        <v>458</v>
      </c>
    </row>
    <row r="326" spans="1:27">
      <c r="A326" s="12">
        <v>44991.795007789347</v>
      </c>
      <c r="B326" s="2" t="s">
        <v>452</v>
      </c>
      <c r="C326" s="2" t="s">
        <v>453</v>
      </c>
      <c r="D326" s="2" t="s">
        <v>452</v>
      </c>
      <c r="E326" s="2" t="s">
        <v>454</v>
      </c>
      <c r="F326" s="2" t="s">
        <v>1807</v>
      </c>
      <c r="H326" s="2" t="s">
        <v>777</v>
      </c>
      <c r="J326" s="2" t="s">
        <v>121</v>
      </c>
      <c r="L326" s="2" t="s">
        <v>167</v>
      </c>
      <c r="N326" s="2" t="s">
        <v>105</v>
      </c>
      <c r="P326" s="2" t="s">
        <v>119</v>
      </c>
      <c r="Q326" s="2" t="s">
        <v>455</v>
      </c>
      <c r="R326" s="2" t="s">
        <v>1808</v>
      </c>
      <c r="T326" s="2" t="s">
        <v>455</v>
      </c>
      <c r="U326" s="2" t="s">
        <v>853</v>
      </c>
      <c r="V326" s="2" t="s">
        <v>296</v>
      </c>
      <c r="X326" s="2" t="s">
        <v>456</v>
      </c>
      <c r="Y326" s="2" t="s">
        <v>457</v>
      </c>
      <c r="Z326" s="2" t="s">
        <v>458</v>
      </c>
    </row>
    <row r="327" spans="1:27">
      <c r="A327" s="12">
        <v>44991.800930162033</v>
      </c>
      <c r="B327" s="2" t="s">
        <v>452</v>
      </c>
      <c r="C327" s="2" t="s">
        <v>453</v>
      </c>
      <c r="D327" s="2" t="s">
        <v>452</v>
      </c>
      <c r="E327" s="2" t="s">
        <v>454</v>
      </c>
      <c r="F327" s="2" t="s">
        <v>1809</v>
      </c>
      <c r="H327" s="2" t="s">
        <v>139</v>
      </c>
      <c r="J327" s="2" t="s">
        <v>117</v>
      </c>
      <c r="L327" s="2" t="s">
        <v>658</v>
      </c>
      <c r="N327" s="2" t="s">
        <v>109</v>
      </c>
      <c r="P327" s="2" t="s">
        <v>117</v>
      </c>
      <c r="Q327" s="2" t="s">
        <v>455</v>
      </c>
      <c r="R327" s="2" t="s">
        <v>1810</v>
      </c>
      <c r="S327" s="2" t="s">
        <v>224</v>
      </c>
      <c r="T327" s="2" t="s">
        <v>455</v>
      </c>
      <c r="U327" s="2" t="s">
        <v>304</v>
      </c>
      <c r="V327" s="2" t="s">
        <v>305</v>
      </c>
      <c r="W327" s="2" t="s">
        <v>328</v>
      </c>
      <c r="X327" s="2" t="s">
        <v>474</v>
      </c>
      <c r="Y327" s="2" t="s">
        <v>457</v>
      </c>
      <c r="Z327" s="2" t="s">
        <v>458</v>
      </c>
    </row>
    <row r="328" spans="1:27">
      <c r="A328" s="12">
        <v>44991.843210868057</v>
      </c>
      <c r="B328" s="2" t="s">
        <v>452</v>
      </c>
      <c r="C328" s="2" t="s">
        <v>453</v>
      </c>
      <c r="D328" s="2" t="s">
        <v>452</v>
      </c>
      <c r="E328" s="2" t="s">
        <v>454</v>
      </c>
      <c r="F328" s="2" t="s">
        <v>1811</v>
      </c>
      <c r="H328" s="2" t="s">
        <v>139</v>
      </c>
      <c r="J328" s="2" t="s">
        <v>117</v>
      </c>
      <c r="L328" s="2" t="s">
        <v>1812</v>
      </c>
      <c r="N328" s="2" t="s">
        <v>105</v>
      </c>
      <c r="O328" s="2" t="s">
        <v>83</v>
      </c>
      <c r="P328" s="2" t="s">
        <v>117</v>
      </c>
      <c r="Q328" s="2" t="s">
        <v>455</v>
      </c>
      <c r="R328" s="2" t="s">
        <v>1813</v>
      </c>
      <c r="T328" s="2" t="s">
        <v>455</v>
      </c>
      <c r="U328" s="2" t="s">
        <v>304</v>
      </c>
      <c r="V328" s="2" t="s">
        <v>305</v>
      </c>
      <c r="X328" s="2" t="s">
        <v>456</v>
      </c>
      <c r="Y328" s="2" t="s">
        <v>457</v>
      </c>
      <c r="Z328" s="2" t="s">
        <v>458</v>
      </c>
    </row>
    <row r="329" spans="1:27">
      <c r="A329" s="12">
        <v>44991.856209594909</v>
      </c>
      <c r="B329" s="2" t="s">
        <v>452</v>
      </c>
      <c r="C329" s="2" t="s">
        <v>453</v>
      </c>
      <c r="D329" s="2" t="s">
        <v>452</v>
      </c>
      <c r="E329" s="2" t="s">
        <v>454</v>
      </c>
      <c r="F329" s="2" t="s">
        <v>1814</v>
      </c>
      <c r="H329" s="2" t="s">
        <v>789</v>
      </c>
      <c r="J329" s="2" t="s">
        <v>845</v>
      </c>
      <c r="L329" s="2" t="s">
        <v>1815</v>
      </c>
      <c r="N329" s="2" t="s">
        <v>105</v>
      </c>
      <c r="P329" s="2" t="s">
        <v>121</v>
      </c>
      <c r="Q329" s="2" t="s">
        <v>455</v>
      </c>
      <c r="R329" s="2" t="s">
        <v>1816</v>
      </c>
      <c r="T329" s="2" t="s">
        <v>455</v>
      </c>
      <c r="U329" s="2" t="s">
        <v>304</v>
      </c>
      <c r="V329" s="2" t="s">
        <v>305</v>
      </c>
      <c r="X329" s="2" t="s">
        <v>462</v>
      </c>
      <c r="Y329" s="2" t="s">
        <v>457</v>
      </c>
      <c r="Z329" s="2" t="s">
        <v>458</v>
      </c>
    </row>
    <row r="330" spans="1:27">
      <c r="A330" s="12">
        <v>44991.861999293978</v>
      </c>
      <c r="B330" s="2" t="s">
        <v>452</v>
      </c>
      <c r="C330" s="2" t="s">
        <v>453</v>
      </c>
      <c r="D330" s="2" t="s">
        <v>452</v>
      </c>
      <c r="E330" s="2" t="s">
        <v>454</v>
      </c>
      <c r="F330" s="2" t="s">
        <v>1817</v>
      </c>
      <c r="H330" s="2" t="s">
        <v>139</v>
      </c>
      <c r="J330" s="2" t="s">
        <v>140</v>
      </c>
      <c r="L330" s="2" t="s">
        <v>731</v>
      </c>
      <c r="N330" s="2" t="s">
        <v>107</v>
      </c>
      <c r="P330" s="2" t="s">
        <v>756</v>
      </c>
      <c r="Q330" s="2" t="s">
        <v>455</v>
      </c>
      <c r="R330" s="2" t="s">
        <v>1818</v>
      </c>
      <c r="T330" s="2" t="s">
        <v>455</v>
      </c>
      <c r="U330" s="2" t="s">
        <v>295</v>
      </c>
      <c r="X330" s="2" t="s">
        <v>456</v>
      </c>
      <c r="Y330" s="2" t="s">
        <v>457</v>
      </c>
      <c r="Z330" s="2" t="s">
        <v>458</v>
      </c>
    </row>
    <row r="331" spans="1:27">
      <c r="A331" s="12">
        <v>44991.868626863426</v>
      </c>
      <c r="B331" s="2" t="s">
        <v>452</v>
      </c>
      <c r="C331" s="2" t="s">
        <v>453</v>
      </c>
      <c r="D331" s="2" t="s">
        <v>452</v>
      </c>
      <c r="E331" s="2" t="s">
        <v>454</v>
      </c>
      <c r="F331" s="2" t="s">
        <v>2</v>
      </c>
      <c r="H331" s="2" t="s">
        <v>124</v>
      </c>
      <c r="J331" s="2" t="s">
        <v>117</v>
      </c>
      <c r="L331" s="2" t="s">
        <v>1243</v>
      </c>
      <c r="N331" s="2" t="s">
        <v>106</v>
      </c>
      <c r="P331" s="2" t="s">
        <v>117</v>
      </c>
      <c r="Q331" s="2" t="s">
        <v>455</v>
      </c>
      <c r="R331" s="2" t="s">
        <v>1819</v>
      </c>
      <c r="T331" s="2" t="s">
        <v>472</v>
      </c>
      <c r="X331" s="2" t="s">
        <v>464</v>
      </c>
      <c r="Y331" s="2" t="s">
        <v>457</v>
      </c>
      <c r="Z331" s="2" t="s">
        <v>458</v>
      </c>
    </row>
    <row r="332" spans="1:27">
      <c r="A332" s="12">
        <v>44991.888240682871</v>
      </c>
      <c r="B332" s="2" t="s">
        <v>452</v>
      </c>
      <c r="C332" s="2" t="s">
        <v>453</v>
      </c>
      <c r="D332" s="2" t="s">
        <v>452</v>
      </c>
      <c r="E332" s="2" t="s">
        <v>454</v>
      </c>
      <c r="F332" s="2" t="s">
        <v>1820</v>
      </c>
      <c r="H332" s="2" t="s">
        <v>139</v>
      </c>
      <c r="J332" s="2" t="s">
        <v>117</v>
      </c>
      <c r="L332" s="2" t="s">
        <v>1821</v>
      </c>
      <c r="N332" s="2" t="s">
        <v>1822</v>
      </c>
      <c r="P332" s="2" t="s">
        <v>117</v>
      </c>
      <c r="Q332" s="2" t="s">
        <v>455</v>
      </c>
      <c r="R332" s="2" t="s">
        <v>1823</v>
      </c>
      <c r="S332" s="2" t="s">
        <v>241</v>
      </c>
      <c r="T332" s="2" t="s">
        <v>455</v>
      </c>
      <c r="U332" s="2" t="s">
        <v>1824</v>
      </c>
      <c r="V332" s="2" t="s">
        <v>1825</v>
      </c>
      <c r="W332" s="2" t="s">
        <v>318</v>
      </c>
      <c r="X332" s="2" t="s">
        <v>474</v>
      </c>
      <c r="Y332" s="2" t="s">
        <v>457</v>
      </c>
      <c r="Z332" s="2" t="s">
        <v>458</v>
      </c>
      <c r="AA332" s="2" t="s">
        <v>599</v>
      </c>
    </row>
    <row r="333" spans="1:27">
      <c r="A333" s="12">
        <v>44991.90793429398</v>
      </c>
      <c r="B333" s="2" t="s">
        <v>452</v>
      </c>
      <c r="C333" s="2" t="s">
        <v>453</v>
      </c>
      <c r="D333" s="2" t="s">
        <v>452</v>
      </c>
      <c r="E333" s="2" t="s">
        <v>454</v>
      </c>
      <c r="F333" s="2" t="s">
        <v>1171</v>
      </c>
      <c r="G333" s="2" t="s">
        <v>1826</v>
      </c>
      <c r="H333" s="2" t="s">
        <v>121</v>
      </c>
      <c r="J333" s="2" t="s">
        <v>117</v>
      </c>
      <c r="L333" s="2" t="s">
        <v>169</v>
      </c>
      <c r="N333" s="2" t="s">
        <v>105</v>
      </c>
      <c r="P333" s="2" t="s">
        <v>117</v>
      </c>
      <c r="Q333" s="2" t="s">
        <v>455</v>
      </c>
      <c r="R333" s="2" t="s">
        <v>1467</v>
      </c>
      <c r="T333" s="2" t="s">
        <v>455</v>
      </c>
      <c r="U333" s="2" t="s">
        <v>304</v>
      </c>
      <c r="V333" s="2" t="s">
        <v>305</v>
      </c>
      <c r="X333" s="2" t="s">
        <v>459</v>
      </c>
      <c r="Y333" s="2" t="s">
        <v>457</v>
      </c>
      <c r="Z333" s="2" t="s">
        <v>458</v>
      </c>
    </row>
    <row r="334" spans="1:27">
      <c r="A334" s="12">
        <v>44991.913225798606</v>
      </c>
      <c r="B334" s="2" t="s">
        <v>452</v>
      </c>
      <c r="C334" s="2" t="s">
        <v>453</v>
      </c>
      <c r="D334" s="2" t="s">
        <v>452</v>
      </c>
      <c r="E334" s="2" t="s">
        <v>454</v>
      </c>
      <c r="F334" s="2" t="s">
        <v>1827</v>
      </c>
      <c r="H334" s="2" t="s">
        <v>124</v>
      </c>
      <c r="L334" s="2" t="s">
        <v>1332</v>
      </c>
      <c r="P334" s="2" t="s">
        <v>117</v>
      </c>
      <c r="Q334" s="2" t="s">
        <v>455</v>
      </c>
      <c r="T334" s="2" t="s">
        <v>455</v>
      </c>
      <c r="U334" s="2" t="s">
        <v>952</v>
      </c>
      <c r="V334" s="2" t="s">
        <v>305</v>
      </c>
      <c r="X334" s="2" t="s">
        <v>479</v>
      </c>
      <c r="Y334" s="2" t="s">
        <v>457</v>
      </c>
      <c r="Z334" s="2" t="s">
        <v>458</v>
      </c>
    </row>
    <row r="335" spans="1:27">
      <c r="A335" s="12">
        <v>44991.913735879629</v>
      </c>
      <c r="B335" s="2" t="s">
        <v>452</v>
      </c>
      <c r="C335" s="2" t="s">
        <v>453</v>
      </c>
      <c r="D335" s="2" t="s">
        <v>452</v>
      </c>
      <c r="E335" s="2" t="s">
        <v>454</v>
      </c>
      <c r="F335" s="2" t="s">
        <v>1828</v>
      </c>
      <c r="H335" s="2" t="s">
        <v>1829</v>
      </c>
      <c r="J335" s="2" t="s">
        <v>117</v>
      </c>
      <c r="L335" s="2" t="s">
        <v>1830</v>
      </c>
      <c r="N335" s="2" t="s">
        <v>107</v>
      </c>
      <c r="O335" s="2" t="s">
        <v>115</v>
      </c>
      <c r="P335" s="2" t="s">
        <v>117</v>
      </c>
      <c r="Q335" s="2" t="s">
        <v>455</v>
      </c>
      <c r="R335" s="2" t="s">
        <v>1831</v>
      </c>
      <c r="T335" s="2" t="s">
        <v>455</v>
      </c>
      <c r="U335" s="2" t="s">
        <v>1367</v>
      </c>
      <c r="V335" s="2" t="s">
        <v>1660</v>
      </c>
      <c r="X335" s="2" t="s">
        <v>456</v>
      </c>
      <c r="Y335" s="2" t="s">
        <v>457</v>
      </c>
      <c r="Z335" s="2" t="s">
        <v>458</v>
      </c>
    </row>
    <row r="336" spans="1:27">
      <c r="A336" s="12">
        <v>44991.91393023148</v>
      </c>
      <c r="B336" s="2" t="s">
        <v>452</v>
      </c>
      <c r="C336" s="2" t="s">
        <v>453</v>
      </c>
      <c r="D336" s="2" t="s">
        <v>452</v>
      </c>
      <c r="E336" s="2" t="s">
        <v>454</v>
      </c>
      <c r="F336" s="2" t="s">
        <v>1832</v>
      </c>
      <c r="H336" s="2" t="s">
        <v>1833</v>
      </c>
      <c r="J336" s="2" t="s">
        <v>117</v>
      </c>
      <c r="L336" s="2" t="s">
        <v>1834</v>
      </c>
      <c r="N336" s="2" t="s">
        <v>106</v>
      </c>
      <c r="P336" s="2" t="s">
        <v>117</v>
      </c>
      <c r="Q336" s="2" t="s">
        <v>455</v>
      </c>
      <c r="R336" s="2" t="s">
        <v>1835</v>
      </c>
      <c r="T336" s="2" t="s">
        <v>455</v>
      </c>
      <c r="U336" s="2" t="s">
        <v>304</v>
      </c>
      <c r="V336" s="2" t="s">
        <v>305</v>
      </c>
      <c r="X336" s="2" t="s">
        <v>456</v>
      </c>
      <c r="Y336" s="2" t="s">
        <v>457</v>
      </c>
      <c r="Z336" s="2" t="s">
        <v>458</v>
      </c>
      <c r="AA336" s="2" t="s">
        <v>601</v>
      </c>
    </row>
    <row r="337" spans="1:27">
      <c r="A337" s="12">
        <v>44991.917374074073</v>
      </c>
      <c r="B337" s="2" t="s">
        <v>452</v>
      </c>
      <c r="C337" s="2" t="s">
        <v>453</v>
      </c>
      <c r="D337" s="2" t="s">
        <v>452</v>
      </c>
      <c r="E337" s="2" t="s">
        <v>454</v>
      </c>
      <c r="F337" s="2" t="s">
        <v>1836</v>
      </c>
      <c r="H337" s="2" t="s">
        <v>1837</v>
      </c>
      <c r="J337" s="2" t="s">
        <v>117</v>
      </c>
      <c r="L337" s="2" t="s">
        <v>1255</v>
      </c>
      <c r="N337" s="2" t="s">
        <v>655</v>
      </c>
      <c r="P337" s="2" t="s">
        <v>117</v>
      </c>
      <c r="Q337" s="2" t="s">
        <v>455</v>
      </c>
      <c r="R337" s="2" t="s">
        <v>1838</v>
      </c>
      <c r="T337" s="2" t="s">
        <v>455</v>
      </c>
      <c r="U337" s="2" t="s">
        <v>1839</v>
      </c>
      <c r="V337" s="2" t="s">
        <v>1806</v>
      </c>
      <c r="W337" s="2" t="s">
        <v>346</v>
      </c>
      <c r="X337" s="2" t="s">
        <v>459</v>
      </c>
      <c r="Y337" s="2" t="s">
        <v>457</v>
      </c>
      <c r="Z337" s="2" t="s">
        <v>458</v>
      </c>
      <c r="AA337" s="2" t="s">
        <v>602</v>
      </c>
    </row>
    <row r="338" spans="1:27">
      <c r="A338" s="12">
        <v>44991.922475231477</v>
      </c>
      <c r="B338" s="2" t="s">
        <v>452</v>
      </c>
      <c r="C338" s="2" t="s">
        <v>453</v>
      </c>
      <c r="D338" s="2" t="s">
        <v>452</v>
      </c>
      <c r="E338" s="2" t="s">
        <v>454</v>
      </c>
      <c r="F338" s="2" t="s">
        <v>1840</v>
      </c>
      <c r="H338" s="2" t="s">
        <v>1841</v>
      </c>
      <c r="J338" s="2" t="s">
        <v>117</v>
      </c>
      <c r="L338" s="2" t="s">
        <v>1842</v>
      </c>
      <c r="N338" s="2" t="s">
        <v>1843</v>
      </c>
      <c r="P338" s="2" t="s">
        <v>117</v>
      </c>
      <c r="Q338" s="2" t="s">
        <v>455</v>
      </c>
      <c r="R338" s="2" t="s">
        <v>1844</v>
      </c>
      <c r="T338" s="2" t="s">
        <v>455</v>
      </c>
      <c r="U338" s="2" t="s">
        <v>1375</v>
      </c>
      <c r="V338" s="2" t="s">
        <v>976</v>
      </c>
      <c r="X338" s="2" t="s">
        <v>456</v>
      </c>
      <c r="Y338" s="2" t="s">
        <v>457</v>
      </c>
      <c r="Z338" s="2" t="s">
        <v>458</v>
      </c>
    </row>
    <row r="339" spans="1:27">
      <c r="A339" s="12">
        <v>44991.922544606481</v>
      </c>
      <c r="B339" s="2" t="s">
        <v>452</v>
      </c>
      <c r="C339" s="2" t="s">
        <v>453</v>
      </c>
      <c r="D339" s="2" t="s">
        <v>452</v>
      </c>
      <c r="E339" s="2" t="s">
        <v>454</v>
      </c>
      <c r="F339" s="2" t="s">
        <v>1845</v>
      </c>
      <c r="H339" s="2" t="s">
        <v>139</v>
      </c>
      <c r="J339" s="2" t="s">
        <v>154</v>
      </c>
      <c r="L339" s="2" t="s">
        <v>1846</v>
      </c>
      <c r="N339" s="2" t="s">
        <v>105</v>
      </c>
      <c r="P339" s="2" t="s">
        <v>118</v>
      </c>
      <c r="Q339" s="2" t="s">
        <v>455</v>
      </c>
      <c r="R339" s="2" t="s">
        <v>1847</v>
      </c>
      <c r="T339" s="2" t="s">
        <v>455</v>
      </c>
      <c r="U339" s="2" t="s">
        <v>1181</v>
      </c>
      <c r="V339" s="2" t="s">
        <v>305</v>
      </c>
      <c r="X339" s="2" t="s">
        <v>456</v>
      </c>
      <c r="Y339" s="2" t="s">
        <v>457</v>
      </c>
      <c r="Z339" s="2" t="s">
        <v>458</v>
      </c>
    </row>
    <row r="340" spans="1:27">
      <c r="A340" s="12">
        <v>44991.92713142361</v>
      </c>
      <c r="B340" s="2" t="s">
        <v>452</v>
      </c>
      <c r="C340" s="2" t="s">
        <v>453</v>
      </c>
      <c r="D340" s="2" t="s">
        <v>452</v>
      </c>
      <c r="E340" s="2" t="s">
        <v>454</v>
      </c>
      <c r="F340" s="2" t="s">
        <v>1848</v>
      </c>
      <c r="H340" s="2" t="s">
        <v>107</v>
      </c>
      <c r="J340" s="2" t="s">
        <v>117</v>
      </c>
      <c r="L340" s="2" t="s">
        <v>1849</v>
      </c>
      <c r="M340" s="2" t="s">
        <v>82</v>
      </c>
      <c r="N340" s="2" t="s">
        <v>105</v>
      </c>
      <c r="P340" s="2" t="s">
        <v>117</v>
      </c>
      <c r="Q340" s="2" t="s">
        <v>455</v>
      </c>
      <c r="R340" s="2" t="s">
        <v>1850</v>
      </c>
      <c r="S340" s="2" t="s">
        <v>258</v>
      </c>
      <c r="T340" s="2" t="s">
        <v>455</v>
      </c>
      <c r="U340" s="2" t="s">
        <v>1851</v>
      </c>
      <c r="V340" s="2" t="s">
        <v>305</v>
      </c>
      <c r="X340" s="2" t="s">
        <v>459</v>
      </c>
      <c r="Y340" s="2" t="s">
        <v>457</v>
      </c>
      <c r="Z340" s="2" t="s">
        <v>458</v>
      </c>
    </row>
    <row r="341" spans="1:27">
      <c r="A341" s="12">
        <v>44991.930522650466</v>
      </c>
      <c r="B341" s="2" t="s">
        <v>452</v>
      </c>
      <c r="C341" s="2" t="s">
        <v>453</v>
      </c>
      <c r="D341" s="2" t="s">
        <v>452</v>
      </c>
      <c r="E341" s="2" t="s">
        <v>454</v>
      </c>
      <c r="F341" s="2" t="s">
        <v>1852</v>
      </c>
      <c r="H341" s="2" t="s">
        <v>653</v>
      </c>
      <c r="J341" s="2" t="s">
        <v>117</v>
      </c>
      <c r="L341" s="2" t="s">
        <v>1853</v>
      </c>
      <c r="M341" s="2" t="s">
        <v>60</v>
      </c>
      <c r="N341" s="2" t="s">
        <v>1069</v>
      </c>
      <c r="P341" s="2" t="s">
        <v>117</v>
      </c>
      <c r="Q341" s="2" t="s">
        <v>455</v>
      </c>
      <c r="R341" s="2" t="s">
        <v>1854</v>
      </c>
      <c r="T341" s="2" t="s">
        <v>455</v>
      </c>
      <c r="U341" s="2" t="s">
        <v>1855</v>
      </c>
      <c r="V341" s="2" t="s">
        <v>305</v>
      </c>
      <c r="X341" s="2" t="s">
        <v>474</v>
      </c>
      <c r="Y341" s="2" t="s">
        <v>457</v>
      </c>
      <c r="Z341" s="2" t="s">
        <v>458</v>
      </c>
    </row>
    <row r="342" spans="1:27">
      <c r="A342" s="12">
        <v>44991.930795</v>
      </c>
      <c r="B342" s="2" t="s">
        <v>452</v>
      </c>
      <c r="C342" s="2" t="s">
        <v>453</v>
      </c>
      <c r="D342" s="2" t="s">
        <v>452</v>
      </c>
      <c r="E342" s="2" t="s">
        <v>454</v>
      </c>
      <c r="F342" s="2" t="s">
        <v>1856</v>
      </c>
      <c r="H342" s="2" t="s">
        <v>1857</v>
      </c>
      <c r="J342" s="2" t="s">
        <v>117</v>
      </c>
      <c r="L342" s="2" t="s">
        <v>1858</v>
      </c>
      <c r="N342" s="2" t="s">
        <v>105</v>
      </c>
      <c r="P342" s="2" t="s">
        <v>117</v>
      </c>
      <c r="Q342" s="2" t="s">
        <v>472</v>
      </c>
      <c r="T342" s="2" t="s">
        <v>472</v>
      </c>
      <c r="X342" s="2" t="s">
        <v>475</v>
      </c>
      <c r="Y342" s="2" t="s">
        <v>457</v>
      </c>
      <c r="Z342" s="2" t="s">
        <v>458</v>
      </c>
    </row>
    <row r="343" spans="1:27">
      <c r="A343" s="12">
        <v>44991.931901550925</v>
      </c>
      <c r="B343" s="2" t="s">
        <v>452</v>
      </c>
      <c r="C343" s="2" t="s">
        <v>453</v>
      </c>
      <c r="D343" s="2" t="s">
        <v>452</v>
      </c>
      <c r="E343" s="2" t="s">
        <v>454</v>
      </c>
      <c r="F343" s="2" t="s">
        <v>1859</v>
      </c>
      <c r="H343" s="2" t="s">
        <v>1860</v>
      </c>
      <c r="J343" s="2" t="s">
        <v>1861</v>
      </c>
      <c r="L343" s="2" t="s">
        <v>1862</v>
      </c>
      <c r="N343" s="2" t="s">
        <v>109</v>
      </c>
      <c r="P343" s="2" t="s">
        <v>120</v>
      </c>
      <c r="Q343" s="2" t="s">
        <v>455</v>
      </c>
      <c r="R343" s="2" t="s">
        <v>1863</v>
      </c>
      <c r="S343" s="2" t="s">
        <v>243</v>
      </c>
      <c r="T343" s="2" t="s">
        <v>455</v>
      </c>
      <c r="U343" s="2" t="s">
        <v>304</v>
      </c>
      <c r="V343" s="2" t="s">
        <v>305</v>
      </c>
      <c r="X343" s="2" t="s">
        <v>479</v>
      </c>
      <c r="Y343" s="2" t="s">
        <v>457</v>
      </c>
      <c r="Z343" s="2" t="s">
        <v>458</v>
      </c>
    </row>
    <row r="344" spans="1:27">
      <c r="A344" s="12">
        <v>44991.933908506944</v>
      </c>
      <c r="B344" s="2" t="s">
        <v>452</v>
      </c>
      <c r="C344" s="2" t="s">
        <v>453</v>
      </c>
      <c r="D344" s="2" t="s">
        <v>452</v>
      </c>
      <c r="E344" s="2" t="s">
        <v>454</v>
      </c>
      <c r="F344" s="2" t="s">
        <v>1864</v>
      </c>
      <c r="H344" s="2" t="s">
        <v>883</v>
      </c>
      <c r="J344" s="2" t="s">
        <v>117</v>
      </c>
      <c r="L344" s="2" t="s">
        <v>1865</v>
      </c>
      <c r="N344" s="2" t="s">
        <v>648</v>
      </c>
      <c r="P344" s="2" t="s">
        <v>117</v>
      </c>
      <c r="Q344" s="2" t="s">
        <v>455</v>
      </c>
      <c r="R344" s="2" t="s">
        <v>1173</v>
      </c>
      <c r="T344" s="2" t="s">
        <v>455</v>
      </c>
      <c r="U344" s="2" t="s">
        <v>304</v>
      </c>
      <c r="V344" s="2" t="s">
        <v>305</v>
      </c>
      <c r="X344" s="2" t="s">
        <v>462</v>
      </c>
      <c r="Y344" s="2" t="s">
        <v>457</v>
      </c>
      <c r="Z344" s="2" t="s">
        <v>458</v>
      </c>
    </row>
    <row r="345" spans="1:27">
      <c r="A345" s="12">
        <v>44991.934477083334</v>
      </c>
      <c r="B345" s="2" t="s">
        <v>452</v>
      </c>
      <c r="C345" s="2" t="s">
        <v>453</v>
      </c>
      <c r="D345" s="2" t="s">
        <v>452</v>
      </c>
      <c r="E345" s="2" t="s">
        <v>454</v>
      </c>
      <c r="F345" s="2" t="s">
        <v>0</v>
      </c>
      <c r="G345" s="2" t="s">
        <v>1866</v>
      </c>
      <c r="I345" s="2" t="s">
        <v>104</v>
      </c>
      <c r="K345" s="2" t="s">
        <v>104</v>
      </c>
      <c r="L345" s="2" t="s">
        <v>168</v>
      </c>
      <c r="M345" s="2" t="s">
        <v>104</v>
      </c>
      <c r="N345" s="2" t="s">
        <v>106</v>
      </c>
      <c r="O345" s="2" t="s">
        <v>104</v>
      </c>
      <c r="P345" s="2" t="s">
        <v>117</v>
      </c>
      <c r="Q345" s="2" t="s">
        <v>455</v>
      </c>
      <c r="R345" s="2" t="s">
        <v>1867</v>
      </c>
      <c r="S345" s="2" t="s">
        <v>259</v>
      </c>
      <c r="T345" s="2" t="s">
        <v>455</v>
      </c>
      <c r="U345" s="2" t="s">
        <v>304</v>
      </c>
      <c r="V345" s="2" t="s">
        <v>305</v>
      </c>
      <c r="X345" s="2" t="s">
        <v>475</v>
      </c>
      <c r="Y345" s="2" t="s">
        <v>457</v>
      </c>
      <c r="AA345" s="2" t="s">
        <v>604</v>
      </c>
    </row>
    <row r="346" spans="1:27">
      <c r="A346" s="12">
        <v>44991.934649212963</v>
      </c>
      <c r="B346" s="2" t="s">
        <v>452</v>
      </c>
      <c r="C346" s="2" t="s">
        <v>453</v>
      </c>
      <c r="D346" s="2" t="s">
        <v>452</v>
      </c>
      <c r="E346" s="2" t="s">
        <v>454</v>
      </c>
      <c r="F346" s="2" t="s">
        <v>1868</v>
      </c>
      <c r="G346" s="2" t="s">
        <v>1869</v>
      </c>
      <c r="H346" s="2" t="s">
        <v>1870</v>
      </c>
      <c r="J346" s="2" t="s">
        <v>117</v>
      </c>
      <c r="L346" s="2" t="s">
        <v>1773</v>
      </c>
      <c r="N346" s="2" t="s">
        <v>779</v>
      </c>
      <c r="P346" s="2" t="s">
        <v>117</v>
      </c>
      <c r="Q346" s="2" t="s">
        <v>455</v>
      </c>
      <c r="R346" s="2" t="s">
        <v>1871</v>
      </c>
      <c r="T346" s="2" t="s">
        <v>455</v>
      </c>
      <c r="U346" s="2" t="s">
        <v>1245</v>
      </c>
      <c r="V346" s="2" t="s">
        <v>305</v>
      </c>
      <c r="X346" s="2" t="s">
        <v>462</v>
      </c>
      <c r="Y346" s="2" t="s">
        <v>457</v>
      </c>
      <c r="Z346" s="2" t="s">
        <v>458</v>
      </c>
    </row>
    <row r="347" spans="1:27">
      <c r="A347" s="12">
        <v>44991.935154259263</v>
      </c>
      <c r="B347" s="2" t="s">
        <v>452</v>
      </c>
      <c r="C347" s="2" t="s">
        <v>453</v>
      </c>
      <c r="D347" s="2" t="s">
        <v>452</v>
      </c>
      <c r="E347" s="2" t="s">
        <v>454</v>
      </c>
      <c r="F347" s="2" t="s">
        <v>1872</v>
      </c>
      <c r="H347" s="2" t="s">
        <v>139</v>
      </c>
      <c r="J347" s="2" t="s">
        <v>117</v>
      </c>
      <c r="L347" s="2" t="s">
        <v>167</v>
      </c>
      <c r="N347" s="2" t="s">
        <v>105</v>
      </c>
      <c r="P347" s="2" t="s">
        <v>117</v>
      </c>
      <c r="Q347" s="2" t="s">
        <v>455</v>
      </c>
      <c r="R347" s="2" t="s">
        <v>1873</v>
      </c>
      <c r="T347" s="2" t="s">
        <v>455</v>
      </c>
      <c r="U347" s="2" t="s">
        <v>1266</v>
      </c>
      <c r="V347" s="2" t="s">
        <v>305</v>
      </c>
      <c r="X347" s="2" t="s">
        <v>462</v>
      </c>
      <c r="Y347" s="2" t="s">
        <v>457</v>
      </c>
      <c r="Z347" s="2" t="s">
        <v>458</v>
      </c>
    </row>
    <row r="348" spans="1:27">
      <c r="A348" s="12">
        <v>44991.940445405096</v>
      </c>
      <c r="B348" s="2" t="s">
        <v>452</v>
      </c>
      <c r="C348" s="2" t="s">
        <v>453</v>
      </c>
      <c r="D348" s="2" t="s">
        <v>452</v>
      </c>
      <c r="E348" s="2" t="s">
        <v>454</v>
      </c>
      <c r="F348" s="2" t="s">
        <v>1874</v>
      </c>
      <c r="H348" s="2" t="s">
        <v>789</v>
      </c>
      <c r="J348" s="2" t="s">
        <v>117</v>
      </c>
      <c r="L348" s="2" t="s">
        <v>1875</v>
      </c>
      <c r="N348" s="2" t="s">
        <v>109</v>
      </c>
      <c r="P348" s="2" t="s">
        <v>117</v>
      </c>
      <c r="Q348" s="2" t="s">
        <v>472</v>
      </c>
      <c r="T348" s="2" t="s">
        <v>472</v>
      </c>
      <c r="X348" s="2" t="s">
        <v>462</v>
      </c>
      <c r="Y348" s="2" t="s">
        <v>457</v>
      </c>
      <c r="Z348" s="2" t="s">
        <v>458</v>
      </c>
    </row>
    <row r="349" spans="1:27">
      <c r="A349" s="12">
        <v>44991.950764386573</v>
      </c>
      <c r="B349" s="2" t="s">
        <v>452</v>
      </c>
      <c r="C349" s="2" t="s">
        <v>453</v>
      </c>
      <c r="D349" s="2" t="s">
        <v>452</v>
      </c>
      <c r="E349" s="2" t="s">
        <v>454</v>
      </c>
      <c r="F349" s="2" t="s">
        <v>1341</v>
      </c>
      <c r="H349" s="2" t="s">
        <v>704</v>
      </c>
      <c r="J349" s="2" t="s">
        <v>117</v>
      </c>
      <c r="L349" s="2" t="s">
        <v>1876</v>
      </c>
      <c r="N349" s="2" t="s">
        <v>105</v>
      </c>
      <c r="P349" s="2" t="s">
        <v>117</v>
      </c>
      <c r="Q349" s="2" t="s">
        <v>455</v>
      </c>
      <c r="R349" s="2" t="s">
        <v>1877</v>
      </c>
      <c r="T349" s="2" t="s">
        <v>472</v>
      </c>
      <c r="X349" s="2" t="s">
        <v>462</v>
      </c>
      <c r="Y349" s="2" t="s">
        <v>457</v>
      </c>
      <c r="Z349" s="2" t="s">
        <v>458</v>
      </c>
    </row>
    <row r="350" spans="1:27">
      <c r="A350" s="12">
        <v>44991.950848078704</v>
      </c>
      <c r="B350" s="2" t="s">
        <v>452</v>
      </c>
      <c r="C350" s="2" t="s">
        <v>453</v>
      </c>
      <c r="D350" s="2" t="s">
        <v>452</v>
      </c>
      <c r="E350" s="2" t="s">
        <v>454</v>
      </c>
      <c r="F350" s="2" t="s">
        <v>1878</v>
      </c>
      <c r="H350" s="2" t="s">
        <v>1879</v>
      </c>
      <c r="J350" s="2" t="s">
        <v>117</v>
      </c>
      <c r="L350" s="2" t="s">
        <v>1880</v>
      </c>
      <c r="N350" s="2" t="s">
        <v>107</v>
      </c>
      <c r="P350" s="2" t="s">
        <v>117</v>
      </c>
      <c r="Q350" s="2" t="s">
        <v>455</v>
      </c>
      <c r="R350" s="2" t="s">
        <v>1370</v>
      </c>
      <c r="S350" s="2" t="s">
        <v>219</v>
      </c>
      <c r="T350" s="2" t="s">
        <v>455</v>
      </c>
      <c r="U350" s="2" t="s">
        <v>304</v>
      </c>
      <c r="V350" s="2" t="s">
        <v>305</v>
      </c>
      <c r="X350" s="2" t="s">
        <v>459</v>
      </c>
      <c r="Y350" s="2" t="s">
        <v>457</v>
      </c>
      <c r="Z350" s="2" t="s">
        <v>458</v>
      </c>
    </row>
    <row r="351" spans="1:27">
      <c r="A351" s="12">
        <v>44991.953911620367</v>
      </c>
      <c r="B351" s="2" t="s">
        <v>452</v>
      </c>
      <c r="C351" s="2" t="s">
        <v>453</v>
      </c>
      <c r="D351" s="2" t="s">
        <v>452</v>
      </c>
      <c r="E351" s="2" t="s">
        <v>454</v>
      </c>
      <c r="F351" s="2" t="s">
        <v>1881</v>
      </c>
      <c r="H351" s="2" t="s">
        <v>1882</v>
      </c>
      <c r="J351" s="2" t="s">
        <v>117</v>
      </c>
      <c r="L351" s="2" t="s">
        <v>1883</v>
      </c>
      <c r="N351" s="2" t="s">
        <v>655</v>
      </c>
      <c r="P351" s="2" t="s">
        <v>676</v>
      </c>
      <c r="Q351" s="2" t="s">
        <v>455</v>
      </c>
      <c r="R351" s="2" t="s">
        <v>1884</v>
      </c>
      <c r="T351" s="2" t="s">
        <v>455</v>
      </c>
      <c r="U351" s="2" t="s">
        <v>1885</v>
      </c>
      <c r="V351" s="2" t="s">
        <v>296</v>
      </c>
      <c r="W351" s="2" t="s">
        <v>341</v>
      </c>
      <c r="X351" s="2" t="s">
        <v>456</v>
      </c>
      <c r="Y351" s="2" t="s">
        <v>457</v>
      </c>
      <c r="Z351" s="2" t="s">
        <v>458</v>
      </c>
    </row>
    <row r="352" spans="1:27">
      <c r="A352" s="12">
        <v>44991.957025856478</v>
      </c>
      <c r="B352" s="2" t="s">
        <v>452</v>
      </c>
      <c r="C352" s="2" t="s">
        <v>453</v>
      </c>
      <c r="D352" s="2" t="s">
        <v>452</v>
      </c>
      <c r="E352" s="2" t="s">
        <v>454</v>
      </c>
      <c r="F352" s="2" t="s">
        <v>1886</v>
      </c>
      <c r="H352" s="2" t="s">
        <v>139</v>
      </c>
      <c r="J352" s="2" t="s">
        <v>117</v>
      </c>
      <c r="L352" s="2" t="s">
        <v>1887</v>
      </c>
      <c r="M352" s="2" t="s">
        <v>60</v>
      </c>
      <c r="N352" s="2" t="s">
        <v>105</v>
      </c>
      <c r="O352" s="2" t="s">
        <v>606</v>
      </c>
      <c r="P352" s="2" t="s">
        <v>117</v>
      </c>
      <c r="Q352" s="2" t="s">
        <v>455</v>
      </c>
      <c r="R352" s="2" t="s">
        <v>1888</v>
      </c>
      <c r="T352" s="2" t="s">
        <v>455</v>
      </c>
      <c r="U352" s="2" t="s">
        <v>304</v>
      </c>
      <c r="V352" s="2" t="s">
        <v>305</v>
      </c>
      <c r="X352" s="2" t="s">
        <v>459</v>
      </c>
      <c r="Y352" s="2" t="s">
        <v>457</v>
      </c>
      <c r="Z352" s="2" t="s">
        <v>458</v>
      </c>
    </row>
    <row r="353" spans="1:27">
      <c r="A353" s="12">
        <v>44991.965785509259</v>
      </c>
      <c r="B353" s="2" t="s">
        <v>452</v>
      </c>
      <c r="C353" s="2" t="s">
        <v>453</v>
      </c>
      <c r="D353" s="2" t="s">
        <v>452</v>
      </c>
      <c r="E353" s="2" t="s">
        <v>454</v>
      </c>
      <c r="F353" s="2" t="s">
        <v>1889</v>
      </c>
      <c r="H353" s="2" t="s">
        <v>1890</v>
      </c>
      <c r="J353" s="2" t="s">
        <v>1891</v>
      </c>
      <c r="L353" s="2" t="s">
        <v>1892</v>
      </c>
      <c r="M353" s="2" t="s">
        <v>65</v>
      </c>
      <c r="N353" s="2" t="s">
        <v>105</v>
      </c>
      <c r="O353" s="2" t="s">
        <v>607</v>
      </c>
      <c r="P353" s="2" t="s">
        <v>807</v>
      </c>
      <c r="Q353" s="2" t="s">
        <v>455</v>
      </c>
      <c r="R353" s="2" t="s">
        <v>1893</v>
      </c>
      <c r="S353" s="2" t="s">
        <v>208</v>
      </c>
      <c r="T353" s="2" t="s">
        <v>455</v>
      </c>
      <c r="U353" s="2" t="s">
        <v>299</v>
      </c>
      <c r="V353" s="2" t="s">
        <v>305</v>
      </c>
      <c r="W353" s="2" t="s">
        <v>418</v>
      </c>
      <c r="X353" s="2" t="s">
        <v>479</v>
      </c>
      <c r="Y353" s="2" t="s">
        <v>457</v>
      </c>
      <c r="Z353" s="2" t="s">
        <v>458</v>
      </c>
      <c r="AA353" s="2" t="s">
        <v>608</v>
      </c>
    </row>
    <row r="354" spans="1:27">
      <c r="A354" s="12">
        <v>44991.967250995367</v>
      </c>
      <c r="B354" s="2" t="s">
        <v>452</v>
      </c>
      <c r="C354" s="2" t="s">
        <v>453</v>
      </c>
      <c r="D354" s="2" t="s">
        <v>452</v>
      </c>
      <c r="E354" s="2" t="s">
        <v>454</v>
      </c>
      <c r="F354" s="2" t="s">
        <v>1894</v>
      </c>
      <c r="H354" s="2" t="s">
        <v>1895</v>
      </c>
      <c r="J354" s="2" t="s">
        <v>1896</v>
      </c>
      <c r="L354" s="2" t="s">
        <v>1897</v>
      </c>
      <c r="N354" s="2" t="s">
        <v>105</v>
      </c>
      <c r="P354" s="2" t="s">
        <v>1898</v>
      </c>
      <c r="Q354" s="2" t="s">
        <v>455</v>
      </c>
      <c r="R354" s="2" t="s">
        <v>180</v>
      </c>
      <c r="S354" s="2" t="s">
        <v>240</v>
      </c>
      <c r="T354" s="2" t="s">
        <v>455</v>
      </c>
      <c r="U354" s="2" t="s">
        <v>299</v>
      </c>
      <c r="V354" s="2" t="s">
        <v>305</v>
      </c>
      <c r="X354" s="2" t="s">
        <v>464</v>
      </c>
      <c r="Y354" s="2" t="s">
        <v>457</v>
      </c>
      <c r="Z354" s="2" t="s">
        <v>458</v>
      </c>
    </row>
    <row r="355" spans="1:27">
      <c r="A355" s="12">
        <v>44991.967270706024</v>
      </c>
      <c r="B355" s="2" t="s">
        <v>452</v>
      </c>
      <c r="C355" s="2" t="s">
        <v>453</v>
      </c>
      <c r="D355" s="2" t="s">
        <v>452</v>
      </c>
      <c r="E355" s="2" t="s">
        <v>454</v>
      </c>
      <c r="F355" s="2" t="s">
        <v>1899</v>
      </c>
      <c r="H355" s="2" t="s">
        <v>1900</v>
      </c>
      <c r="J355" s="2" t="s">
        <v>117</v>
      </c>
      <c r="L355" s="2" t="s">
        <v>1901</v>
      </c>
      <c r="N355" s="2" t="s">
        <v>106</v>
      </c>
      <c r="P355" s="2" t="s">
        <v>117</v>
      </c>
      <c r="Q355" s="2" t="s">
        <v>455</v>
      </c>
      <c r="R355" s="2" t="s">
        <v>1902</v>
      </c>
      <c r="T355" s="2" t="s">
        <v>455</v>
      </c>
      <c r="U355" s="2" t="s">
        <v>1903</v>
      </c>
      <c r="V355" s="2" t="s">
        <v>1904</v>
      </c>
      <c r="W355" s="2" t="s">
        <v>340</v>
      </c>
      <c r="X355" s="2" t="s">
        <v>459</v>
      </c>
      <c r="Y355" s="2" t="s">
        <v>457</v>
      </c>
      <c r="Z355" s="2" t="s">
        <v>458</v>
      </c>
    </row>
    <row r="356" spans="1:27">
      <c r="A356" s="12">
        <v>44991.968096493059</v>
      </c>
      <c r="B356" s="2" t="s">
        <v>452</v>
      </c>
      <c r="C356" s="2" t="s">
        <v>453</v>
      </c>
      <c r="D356" s="2" t="s">
        <v>452</v>
      </c>
      <c r="E356" s="2" t="s">
        <v>454</v>
      </c>
      <c r="F356" s="2" t="s">
        <v>0</v>
      </c>
      <c r="H356" s="2" t="s">
        <v>107</v>
      </c>
      <c r="J356" s="2" t="s">
        <v>140</v>
      </c>
      <c r="L356" s="2" t="s">
        <v>175</v>
      </c>
      <c r="N356" s="2" t="s">
        <v>105</v>
      </c>
      <c r="P356" s="2" t="s">
        <v>121</v>
      </c>
      <c r="Q356" s="2" t="s">
        <v>455</v>
      </c>
      <c r="R356" s="2" t="s">
        <v>791</v>
      </c>
      <c r="T356" s="2" t="s">
        <v>455</v>
      </c>
      <c r="U356" s="2" t="s">
        <v>304</v>
      </c>
      <c r="V356" s="2" t="s">
        <v>305</v>
      </c>
      <c r="X356" s="2" t="s">
        <v>464</v>
      </c>
      <c r="Y356" s="2" t="s">
        <v>457</v>
      </c>
      <c r="Z356" s="2" t="s">
        <v>458</v>
      </c>
    </row>
    <row r="357" spans="1:27">
      <c r="A357" s="12">
        <v>44991.968945081018</v>
      </c>
      <c r="B357" s="2" t="s">
        <v>452</v>
      </c>
      <c r="C357" s="2" t="s">
        <v>453</v>
      </c>
      <c r="D357" s="2" t="s">
        <v>452</v>
      </c>
      <c r="E357" s="2" t="s">
        <v>454</v>
      </c>
      <c r="F357" s="2" t="s">
        <v>1905</v>
      </c>
      <c r="G357" s="2" t="s">
        <v>1906</v>
      </c>
      <c r="H357" s="2" t="s">
        <v>934</v>
      </c>
      <c r="J357" s="2" t="s">
        <v>117</v>
      </c>
      <c r="L357" s="2" t="s">
        <v>1907</v>
      </c>
      <c r="M357" s="2" t="s">
        <v>57</v>
      </c>
      <c r="N357" s="2" t="s">
        <v>1908</v>
      </c>
      <c r="O357" s="2" t="s">
        <v>115</v>
      </c>
      <c r="Q357" s="2" t="s">
        <v>455</v>
      </c>
      <c r="R357" s="2" t="s">
        <v>1909</v>
      </c>
      <c r="S357" s="2" t="s">
        <v>198</v>
      </c>
      <c r="T357" s="2" t="s">
        <v>455</v>
      </c>
      <c r="U357" s="2" t="s">
        <v>295</v>
      </c>
      <c r="V357" s="2" t="s">
        <v>305</v>
      </c>
      <c r="X357" s="2" t="s">
        <v>462</v>
      </c>
      <c r="Y357" s="2" t="s">
        <v>457</v>
      </c>
      <c r="Z357" s="2" t="s">
        <v>458</v>
      </c>
      <c r="AA357" s="2" t="s">
        <v>610</v>
      </c>
    </row>
    <row r="358" spans="1:27">
      <c r="A358" s="12">
        <v>44991.971698506939</v>
      </c>
      <c r="B358" s="2" t="s">
        <v>452</v>
      </c>
      <c r="C358" s="2" t="s">
        <v>453</v>
      </c>
      <c r="D358" s="2" t="s">
        <v>452</v>
      </c>
      <c r="E358" s="2" t="s">
        <v>454</v>
      </c>
      <c r="F358" s="2" t="s">
        <v>1910</v>
      </c>
      <c r="H358" s="2" t="s">
        <v>1911</v>
      </c>
      <c r="J358" s="2" t="s">
        <v>1005</v>
      </c>
      <c r="L358" s="2" t="s">
        <v>1912</v>
      </c>
      <c r="N358" s="2" t="s">
        <v>111</v>
      </c>
      <c r="P358" s="2" t="s">
        <v>773</v>
      </c>
      <c r="Q358" s="2" t="s">
        <v>455</v>
      </c>
      <c r="R358" s="2" t="s">
        <v>1913</v>
      </c>
      <c r="T358" s="2" t="s">
        <v>455</v>
      </c>
      <c r="U358" s="2" t="s">
        <v>1559</v>
      </c>
      <c r="V358" s="2" t="s">
        <v>305</v>
      </c>
      <c r="W358" s="2" t="s">
        <v>379</v>
      </c>
      <c r="X358" s="2" t="s">
        <v>456</v>
      </c>
      <c r="Y358" s="2" t="s">
        <v>457</v>
      </c>
      <c r="Z358" s="2" t="s">
        <v>458</v>
      </c>
    </row>
    <row r="359" spans="1:27">
      <c r="A359" s="12">
        <v>44991.974247256949</v>
      </c>
      <c r="B359" s="2" t="s">
        <v>452</v>
      </c>
      <c r="C359" s="2" t="s">
        <v>453</v>
      </c>
      <c r="D359" s="2" t="s">
        <v>452</v>
      </c>
      <c r="E359" s="2" t="s">
        <v>454</v>
      </c>
      <c r="F359" s="2" t="s">
        <v>1914</v>
      </c>
      <c r="H359" s="2" t="s">
        <v>139</v>
      </c>
      <c r="J359" s="2" t="s">
        <v>154</v>
      </c>
      <c r="L359" s="2" t="s">
        <v>169</v>
      </c>
      <c r="N359" s="2" t="s">
        <v>106</v>
      </c>
      <c r="P359" s="2" t="s">
        <v>118</v>
      </c>
      <c r="Q359" s="2" t="s">
        <v>455</v>
      </c>
      <c r="R359" s="2" t="s">
        <v>1915</v>
      </c>
      <c r="T359" s="2" t="s">
        <v>455</v>
      </c>
      <c r="U359" s="2" t="s">
        <v>1241</v>
      </c>
      <c r="V359" s="2" t="s">
        <v>303</v>
      </c>
      <c r="X359" s="2" t="s">
        <v>479</v>
      </c>
      <c r="Y359" s="2" t="s">
        <v>457</v>
      </c>
      <c r="Z359" s="2" t="s">
        <v>458</v>
      </c>
    </row>
    <row r="360" spans="1:27">
      <c r="A360" s="12">
        <v>44991.974408020833</v>
      </c>
      <c r="B360" s="2" t="s">
        <v>452</v>
      </c>
      <c r="C360" s="2" t="s">
        <v>453</v>
      </c>
      <c r="D360" s="2" t="s">
        <v>452</v>
      </c>
      <c r="E360" s="2" t="s">
        <v>454</v>
      </c>
      <c r="F360" s="2" t="s">
        <v>1916</v>
      </c>
      <c r="H360" s="2" t="s">
        <v>107</v>
      </c>
      <c r="J360" s="2" t="s">
        <v>1005</v>
      </c>
      <c r="L360" s="2" t="s">
        <v>1917</v>
      </c>
      <c r="N360" s="2" t="s">
        <v>105</v>
      </c>
      <c r="P360" s="2" t="s">
        <v>117</v>
      </c>
      <c r="Q360" s="2" t="s">
        <v>455</v>
      </c>
      <c r="R360" s="2" t="s">
        <v>1918</v>
      </c>
      <c r="T360" s="2" t="s">
        <v>455</v>
      </c>
      <c r="U360" s="2" t="s">
        <v>304</v>
      </c>
      <c r="V360" s="2" t="s">
        <v>305</v>
      </c>
      <c r="W360" s="2" t="s">
        <v>343</v>
      </c>
      <c r="X360" s="2" t="s">
        <v>459</v>
      </c>
      <c r="Y360" s="2" t="s">
        <v>457</v>
      </c>
      <c r="Z360" s="2" t="s">
        <v>458</v>
      </c>
    </row>
    <row r="361" spans="1:27">
      <c r="A361" s="12">
        <v>44991.980094143517</v>
      </c>
      <c r="B361" s="2" t="s">
        <v>452</v>
      </c>
      <c r="C361" s="2" t="s">
        <v>453</v>
      </c>
      <c r="D361" s="2" t="s">
        <v>452</v>
      </c>
      <c r="E361" s="2" t="s">
        <v>454</v>
      </c>
      <c r="F361" s="2" t="s">
        <v>1919</v>
      </c>
      <c r="H361" s="2" t="s">
        <v>139</v>
      </c>
      <c r="J361" s="2" t="s">
        <v>117</v>
      </c>
      <c r="L361" s="2" t="s">
        <v>167</v>
      </c>
      <c r="N361" s="2" t="s">
        <v>1920</v>
      </c>
      <c r="P361" s="2" t="s">
        <v>117</v>
      </c>
      <c r="Q361" s="2" t="s">
        <v>455</v>
      </c>
      <c r="R361" s="2" t="s">
        <v>1448</v>
      </c>
      <c r="T361" s="2" t="s">
        <v>455</v>
      </c>
      <c r="U361" s="2" t="s">
        <v>829</v>
      </c>
      <c r="V361" s="2" t="s">
        <v>303</v>
      </c>
      <c r="X361" s="2" t="s">
        <v>459</v>
      </c>
      <c r="Y361" s="2" t="s">
        <v>457</v>
      </c>
      <c r="Z361" s="2" t="s">
        <v>458</v>
      </c>
    </row>
    <row r="362" spans="1:27">
      <c r="A362" s="12">
        <v>44991.982597349532</v>
      </c>
      <c r="B362" s="2" t="s">
        <v>452</v>
      </c>
      <c r="C362" s="2" t="s">
        <v>453</v>
      </c>
      <c r="D362" s="2" t="s">
        <v>452</v>
      </c>
      <c r="E362" s="2" t="s">
        <v>454</v>
      </c>
      <c r="F362" s="2" t="s">
        <v>47</v>
      </c>
      <c r="H362" s="2" t="s">
        <v>139</v>
      </c>
      <c r="J362" s="2" t="s">
        <v>140</v>
      </c>
      <c r="L362" s="2" t="s">
        <v>124</v>
      </c>
      <c r="N362" s="2" t="s">
        <v>106</v>
      </c>
      <c r="P362" s="2" t="s">
        <v>117</v>
      </c>
      <c r="Q362" s="2" t="s">
        <v>455</v>
      </c>
      <c r="R362" s="2" t="s">
        <v>184</v>
      </c>
      <c r="T362" s="2" t="s">
        <v>455</v>
      </c>
      <c r="U362" s="2" t="s">
        <v>304</v>
      </c>
      <c r="V362" s="2" t="s">
        <v>305</v>
      </c>
      <c r="X362" s="2" t="s">
        <v>475</v>
      </c>
      <c r="Y362" s="2" t="s">
        <v>457</v>
      </c>
      <c r="Z362" s="2" t="s">
        <v>458</v>
      </c>
    </row>
    <row r="363" spans="1:27">
      <c r="A363" s="12">
        <v>44991.985838819441</v>
      </c>
      <c r="B363" s="2" t="s">
        <v>452</v>
      </c>
      <c r="C363" s="2" t="s">
        <v>453</v>
      </c>
      <c r="D363" s="2" t="s">
        <v>452</v>
      </c>
      <c r="E363" s="2" t="s">
        <v>454</v>
      </c>
      <c r="F363" s="2" t="s">
        <v>1921</v>
      </c>
      <c r="H363" s="2" t="s">
        <v>777</v>
      </c>
      <c r="J363" s="2" t="s">
        <v>117</v>
      </c>
      <c r="K363" s="2" t="s">
        <v>160</v>
      </c>
      <c r="L363" s="2" t="s">
        <v>1151</v>
      </c>
      <c r="M363" s="2" t="s">
        <v>57</v>
      </c>
      <c r="N363" s="2" t="s">
        <v>1920</v>
      </c>
      <c r="P363" s="2" t="s">
        <v>117</v>
      </c>
      <c r="Q363" s="2" t="s">
        <v>455</v>
      </c>
      <c r="R363" s="2" t="s">
        <v>1370</v>
      </c>
      <c r="S363" s="2" t="s">
        <v>216</v>
      </c>
      <c r="T363" s="2" t="s">
        <v>472</v>
      </c>
      <c r="X363" s="2" t="s">
        <v>462</v>
      </c>
      <c r="Y363" s="2" t="s">
        <v>457</v>
      </c>
      <c r="Z363" s="2" t="s">
        <v>458</v>
      </c>
    </row>
    <row r="364" spans="1:27">
      <c r="A364" s="12">
        <v>44991.987170312495</v>
      </c>
      <c r="B364" s="2" t="s">
        <v>452</v>
      </c>
      <c r="C364" s="2" t="s">
        <v>453</v>
      </c>
      <c r="D364" s="2" t="s">
        <v>452</v>
      </c>
      <c r="E364" s="2" t="s">
        <v>454</v>
      </c>
      <c r="F364" s="2" t="s">
        <v>1922</v>
      </c>
      <c r="H364" s="2" t="s">
        <v>1923</v>
      </c>
      <c r="J364" s="2" t="s">
        <v>1924</v>
      </c>
      <c r="L364" s="2" t="s">
        <v>1925</v>
      </c>
      <c r="N364" s="2" t="s">
        <v>110</v>
      </c>
      <c r="O364" s="2" t="s">
        <v>115</v>
      </c>
      <c r="P364" s="2" t="s">
        <v>838</v>
      </c>
      <c r="Q364" s="2" t="s">
        <v>455</v>
      </c>
      <c r="R364" s="2" t="s">
        <v>1926</v>
      </c>
      <c r="T364" s="2" t="s">
        <v>455</v>
      </c>
      <c r="U364" s="2" t="s">
        <v>1927</v>
      </c>
      <c r="V364" s="2" t="s">
        <v>305</v>
      </c>
      <c r="W364" s="2" t="s">
        <v>363</v>
      </c>
      <c r="X364" s="2" t="s">
        <v>456</v>
      </c>
      <c r="Y364" s="2" t="s">
        <v>457</v>
      </c>
      <c r="Z364" s="2" t="s">
        <v>458</v>
      </c>
    </row>
    <row r="365" spans="1:27">
      <c r="A365" s="12">
        <v>44991.987331793978</v>
      </c>
      <c r="B365" s="2" t="s">
        <v>452</v>
      </c>
      <c r="C365" s="2" t="s">
        <v>453</v>
      </c>
      <c r="D365" s="2" t="s">
        <v>452</v>
      </c>
      <c r="E365" s="2" t="s">
        <v>454</v>
      </c>
      <c r="F365" s="2" t="s">
        <v>1928</v>
      </c>
      <c r="H365" s="2" t="s">
        <v>124</v>
      </c>
      <c r="J365" s="2" t="s">
        <v>117</v>
      </c>
      <c r="K365" s="2" t="s">
        <v>611</v>
      </c>
      <c r="L365" s="2" t="s">
        <v>1929</v>
      </c>
      <c r="M365" s="2" t="s">
        <v>67</v>
      </c>
      <c r="N365" s="2" t="s">
        <v>105</v>
      </c>
      <c r="O365" s="2" t="s">
        <v>612</v>
      </c>
      <c r="P365" s="2" t="s">
        <v>1930</v>
      </c>
      <c r="Q365" s="2" t="s">
        <v>455</v>
      </c>
      <c r="R365" s="2" t="s">
        <v>1931</v>
      </c>
      <c r="S365" s="2" t="s">
        <v>205</v>
      </c>
      <c r="T365" s="2" t="s">
        <v>455</v>
      </c>
      <c r="U365" s="2" t="s">
        <v>869</v>
      </c>
      <c r="W365" s="2" t="s">
        <v>351</v>
      </c>
      <c r="X365" s="2" t="s">
        <v>456</v>
      </c>
      <c r="Y365" s="2" t="s">
        <v>457</v>
      </c>
      <c r="Z365" s="2" t="s">
        <v>458</v>
      </c>
      <c r="AA365" s="2" t="s">
        <v>613</v>
      </c>
    </row>
    <row r="366" spans="1:27">
      <c r="A366" s="12">
        <v>44991.991463900464</v>
      </c>
      <c r="B366" s="2" t="s">
        <v>452</v>
      </c>
      <c r="C366" s="2" t="s">
        <v>453</v>
      </c>
      <c r="D366" s="2" t="s">
        <v>452</v>
      </c>
      <c r="E366" s="2" t="s">
        <v>454</v>
      </c>
      <c r="F366" s="2" t="s">
        <v>1932</v>
      </c>
      <c r="H366" s="2" t="s">
        <v>992</v>
      </c>
      <c r="J366" s="2" t="s">
        <v>117</v>
      </c>
      <c r="L366" s="2" t="s">
        <v>1933</v>
      </c>
      <c r="N366" s="2" t="s">
        <v>105</v>
      </c>
      <c r="O366" s="2" t="s">
        <v>614</v>
      </c>
      <c r="P366" s="2" t="s">
        <v>117</v>
      </c>
      <c r="Q366" s="2" t="s">
        <v>455</v>
      </c>
      <c r="R366" s="2" t="s">
        <v>1934</v>
      </c>
      <c r="T366" s="2" t="s">
        <v>455</v>
      </c>
      <c r="U366" s="2" t="s">
        <v>1266</v>
      </c>
      <c r="V366" s="2" t="s">
        <v>305</v>
      </c>
      <c r="W366" s="2" t="s">
        <v>365</v>
      </c>
      <c r="X366" s="2" t="s">
        <v>456</v>
      </c>
      <c r="Y366" s="2" t="s">
        <v>457</v>
      </c>
      <c r="Z366" s="2" t="s">
        <v>458</v>
      </c>
    </row>
    <row r="367" spans="1:27">
      <c r="A367" s="12">
        <v>44991.995225092593</v>
      </c>
      <c r="B367" s="2" t="s">
        <v>452</v>
      </c>
      <c r="C367" s="2" t="s">
        <v>453</v>
      </c>
      <c r="D367" s="2" t="s">
        <v>452</v>
      </c>
      <c r="E367" s="2" t="s">
        <v>454</v>
      </c>
      <c r="F367" s="2" t="s">
        <v>1935</v>
      </c>
      <c r="G367" s="2" t="s">
        <v>1936</v>
      </c>
      <c r="H367" s="2" t="s">
        <v>653</v>
      </c>
      <c r="I367" s="2" t="s">
        <v>144</v>
      </c>
      <c r="J367" s="2" t="s">
        <v>117</v>
      </c>
      <c r="L367" s="2" t="s">
        <v>1937</v>
      </c>
      <c r="O367" s="2" t="s">
        <v>616</v>
      </c>
      <c r="P367" s="2" t="s">
        <v>117</v>
      </c>
      <c r="Q367" s="2" t="s">
        <v>455</v>
      </c>
      <c r="R367" s="2" t="s">
        <v>1938</v>
      </c>
      <c r="S367" s="2" t="s">
        <v>196</v>
      </c>
      <c r="T367" s="2" t="s">
        <v>455</v>
      </c>
      <c r="U367" s="2" t="s">
        <v>1939</v>
      </c>
      <c r="V367" s="2" t="s">
        <v>303</v>
      </c>
      <c r="W367" s="2" t="s">
        <v>423</v>
      </c>
      <c r="X367" s="2" t="s">
        <v>456</v>
      </c>
      <c r="Y367" s="2" t="s">
        <v>457</v>
      </c>
      <c r="Z367" s="2" t="s">
        <v>458</v>
      </c>
      <c r="AA367" s="2" t="s">
        <v>617</v>
      </c>
    </row>
    <row r="368" spans="1:27">
      <c r="A368" s="12">
        <v>44992.006851886574</v>
      </c>
      <c r="B368" s="2" t="s">
        <v>452</v>
      </c>
      <c r="C368" s="2" t="s">
        <v>453</v>
      </c>
      <c r="D368" s="2" t="s">
        <v>452</v>
      </c>
      <c r="E368" s="2" t="s">
        <v>454</v>
      </c>
      <c r="F368" s="2" t="s">
        <v>1940</v>
      </c>
      <c r="H368" s="2" t="s">
        <v>139</v>
      </c>
      <c r="J368" s="2" t="s">
        <v>117</v>
      </c>
      <c r="L368" s="2" t="s">
        <v>1862</v>
      </c>
      <c r="N368" s="2" t="s">
        <v>767</v>
      </c>
      <c r="P368" s="2" t="s">
        <v>117</v>
      </c>
      <c r="Q368" s="2" t="s">
        <v>455</v>
      </c>
      <c r="R368" s="2" t="s">
        <v>1941</v>
      </c>
      <c r="T368" s="2" t="s">
        <v>455</v>
      </c>
      <c r="U368" s="2" t="s">
        <v>304</v>
      </c>
      <c r="V368" s="2" t="s">
        <v>305</v>
      </c>
      <c r="X368" s="2" t="s">
        <v>461</v>
      </c>
      <c r="Y368" s="2" t="s">
        <v>457</v>
      </c>
      <c r="Z368" s="2" t="s">
        <v>458</v>
      </c>
    </row>
    <row r="369" spans="1:27">
      <c r="A369" s="12">
        <v>44992.011158321759</v>
      </c>
      <c r="B369" s="2" t="s">
        <v>452</v>
      </c>
      <c r="C369" s="2" t="s">
        <v>453</v>
      </c>
      <c r="D369" s="2" t="s">
        <v>452</v>
      </c>
      <c r="E369" s="2" t="s">
        <v>454</v>
      </c>
      <c r="F369" s="2" t="s">
        <v>1942</v>
      </c>
      <c r="H369" s="2" t="s">
        <v>107</v>
      </c>
      <c r="J369" s="2" t="s">
        <v>117</v>
      </c>
      <c r="L369" s="2" t="s">
        <v>169</v>
      </c>
      <c r="N369" s="2" t="s">
        <v>108</v>
      </c>
      <c r="P369" s="2" t="s">
        <v>117</v>
      </c>
      <c r="Q369" s="2" t="s">
        <v>455</v>
      </c>
      <c r="R369" s="2" t="s">
        <v>1943</v>
      </c>
      <c r="T369" s="2" t="s">
        <v>455</v>
      </c>
      <c r="U369" s="2" t="s">
        <v>303</v>
      </c>
      <c r="V369" s="2" t="s">
        <v>305</v>
      </c>
      <c r="X369" s="2" t="s">
        <v>462</v>
      </c>
      <c r="Y369" s="2" t="s">
        <v>457</v>
      </c>
      <c r="Z369" s="2" t="s">
        <v>458</v>
      </c>
    </row>
    <row r="370" spans="1:27">
      <c r="A370" s="12">
        <v>44992.01262922454</v>
      </c>
      <c r="B370" s="2" t="s">
        <v>452</v>
      </c>
      <c r="C370" s="2" t="s">
        <v>453</v>
      </c>
      <c r="D370" s="2" t="s">
        <v>452</v>
      </c>
      <c r="E370" s="2" t="s">
        <v>454</v>
      </c>
      <c r="F370" s="2" t="s">
        <v>1944</v>
      </c>
      <c r="H370" s="2" t="s">
        <v>1164</v>
      </c>
      <c r="J370" s="2" t="s">
        <v>1945</v>
      </c>
      <c r="L370" s="2" t="s">
        <v>1946</v>
      </c>
      <c r="N370" s="2" t="s">
        <v>1947</v>
      </c>
      <c r="P370" s="2" t="s">
        <v>123</v>
      </c>
      <c r="Q370" s="2" t="s">
        <v>455</v>
      </c>
      <c r="R370" s="2" t="s">
        <v>1185</v>
      </c>
      <c r="T370" s="2" t="s">
        <v>472</v>
      </c>
      <c r="X370" s="2" t="s">
        <v>462</v>
      </c>
      <c r="Y370" s="2" t="s">
        <v>457</v>
      </c>
      <c r="Z370" s="2" t="s">
        <v>458</v>
      </c>
    </row>
    <row r="371" spans="1:27">
      <c r="A371" s="12">
        <v>44992.030260844913</v>
      </c>
      <c r="B371" s="2" t="s">
        <v>452</v>
      </c>
      <c r="C371" s="2" t="s">
        <v>453</v>
      </c>
      <c r="D371" s="2" t="s">
        <v>452</v>
      </c>
      <c r="E371" s="2" t="s">
        <v>454</v>
      </c>
      <c r="F371" s="2" t="s">
        <v>1948</v>
      </c>
      <c r="H371" s="2" t="s">
        <v>139</v>
      </c>
      <c r="J371" s="2" t="s">
        <v>117</v>
      </c>
      <c r="L371" s="2" t="s">
        <v>167</v>
      </c>
      <c r="N371" s="2" t="s">
        <v>105</v>
      </c>
      <c r="P371" s="2" t="s">
        <v>117</v>
      </c>
      <c r="Q371" s="2" t="s">
        <v>455</v>
      </c>
      <c r="R371" s="2" t="s">
        <v>1152</v>
      </c>
      <c r="T371" s="2" t="s">
        <v>455</v>
      </c>
      <c r="U371" s="2" t="s">
        <v>982</v>
      </c>
      <c r="V371" s="2" t="s">
        <v>305</v>
      </c>
      <c r="X371" s="2" t="s">
        <v>456</v>
      </c>
      <c r="Y371" s="2" t="s">
        <v>457</v>
      </c>
      <c r="Z371" s="2" t="s">
        <v>458</v>
      </c>
    </row>
    <row r="372" spans="1:27">
      <c r="A372" s="12">
        <v>44992.03359421296</v>
      </c>
      <c r="B372" s="2" t="s">
        <v>452</v>
      </c>
      <c r="C372" s="2" t="s">
        <v>453</v>
      </c>
      <c r="D372" s="2" t="s">
        <v>452</v>
      </c>
      <c r="E372" s="2" t="s">
        <v>454</v>
      </c>
      <c r="F372" s="2" t="s">
        <v>1949</v>
      </c>
      <c r="H372" s="2" t="s">
        <v>958</v>
      </c>
      <c r="J372" s="2" t="s">
        <v>117</v>
      </c>
      <c r="L372" s="2" t="s">
        <v>121</v>
      </c>
      <c r="N372" s="2" t="s">
        <v>105</v>
      </c>
      <c r="P372" s="2" t="s">
        <v>117</v>
      </c>
      <c r="Q372" s="2" t="s">
        <v>455</v>
      </c>
      <c r="R372" s="2" t="s">
        <v>1185</v>
      </c>
      <c r="T372" s="2" t="s">
        <v>455</v>
      </c>
      <c r="U372" s="2" t="s">
        <v>1474</v>
      </c>
      <c r="V372" s="2" t="s">
        <v>305</v>
      </c>
      <c r="X372" s="2" t="s">
        <v>462</v>
      </c>
      <c r="Y372" s="2" t="s">
        <v>457</v>
      </c>
      <c r="Z372" s="2" t="s">
        <v>458</v>
      </c>
    </row>
    <row r="373" spans="1:27">
      <c r="A373" s="12">
        <v>44992.046153113421</v>
      </c>
      <c r="B373" s="2" t="s">
        <v>452</v>
      </c>
      <c r="C373" s="2" t="s">
        <v>453</v>
      </c>
      <c r="D373" s="2" t="s">
        <v>452</v>
      </c>
      <c r="E373" s="2" t="s">
        <v>454</v>
      </c>
      <c r="F373" s="2" t="s">
        <v>1950</v>
      </c>
      <c r="H373" s="2" t="s">
        <v>1519</v>
      </c>
      <c r="J373" s="2" t="s">
        <v>117</v>
      </c>
      <c r="L373" s="2" t="s">
        <v>1951</v>
      </c>
      <c r="N373" s="2" t="s">
        <v>108</v>
      </c>
      <c r="P373" s="2" t="s">
        <v>117</v>
      </c>
      <c r="Q373" s="2" t="s">
        <v>455</v>
      </c>
      <c r="R373" s="2" t="s">
        <v>1952</v>
      </c>
      <c r="S373" s="2" t="s">
        <v>242</v>
      </c>
      <c r="T373" s="2" t="s">
        <v>455</v>
      </c>
      <c r="U373" s="2" t="s">
        <v>1013</v>
      </c>
      <c r="V373" s="2" t="s">
        <v>298</v>
      </c>
      <c r="X373" s="2" t="s">
        <v>479</v>
      </c>
      <c r="Y373" s="2" t="s">
        <v>457</v>
      </c>
      <c r="Z373" s="2" t="s">
        <v>458</v>
      </c>
    </row>
    <row r="374" spans="1:27">
      <c r="A374" s="12">
        <v>44992.064288611116</v>
      </c>
      <c r="B374" s="2" t="s">
        <v>452</v>
      </c>
      <c r="C374" s="2" t="s">
        <v>453</v>
      </c>
      <c r="D374" s="2" t="s">
        <v>452</v>
      </c>
      <c r="E374" s="2" t="s">
        <v>454</v>
      </c>
      <c r="F374" s="2" t="s">
        <v>1953</v>
      </c>
      <c r="H374" s="2" t="s">
        <v>1023</v>
      </c>
      <c r="J374" s="2" t="s">
        <v>117</v>
      </c>
      <c r="L374" s="2" t="s">
        <v>1954</v>
      </c>
      <c r="N374" s="2" t="s">
        <v>796</v>
      </c>
      <c r="P374" s="2" t="s">
        <v>117</v>
      </c>
      <c r="Q374" s="2" t="s">
        <v>455</v>
      </c>
      <c r="R374" s="2" t="s">
        <v>1955</v>
      </c>
      <c r="T374" s="2" t="s">
        <v>455</v>
      </c>
      <c r="U374" s="2" t="s">
        <v>1262</v>
      </c>
      <c r="X374" s="2" t="s">
        <v>456</v>
      </c>
      <c r="Y374" s="2" t="s">
        <v>457</v>
      </c>
      <c r="Z374" s="2" t="s">
        <v>458</v>
      </c>
    </row>
    <row r="375" spans="1:27">
      <c r="A375" s="12">
        <v>44992.071234745366</v>
      </c>
      <c r="B375" s="2" t="s">
        <v>452</v>
      </c>
      <c r="C375" s="2" t="s">
        <v>453</v>
      </c>
      <c r="D375" s="2" t="s">
        <v>452</v>
      </c>
      <c r="E375" s="2" t="s">
        <v>454</v>
      </c>
      <c r="F375" s="2" t="s">
        <v>1956</v>
      </c>
      <c r="G375" s="2" t="s">
        <v>1957</v>
      </c>
      <c r="H375" s="2" t="s">
        <v>107</v>
      </c>
      <c r="J375" s="2" t="s">
        <v>117</v>
      </c>
      <c r="L375" s="2" t="s">
        <v>1958</v>
      </c>
      <c r="M375" s="2" t="s">
        <v>66</v>
      </c>
      <c r="N375" s="2" t="s">
        <v>922</v>
      </c>
      <c r="O375" s="2" t="s">
        <v>115</v>
      </c>
      <c r="P375" s="2" t="s">
        <v>117</v>
      </c>
      <c r="Q375" s="2" t="s">
        <v>455</v>
      </c>
      <c r="R375" s="2" t="s">
        <v>1370</v>
      </c>
      <c r="S375" s="2" t="s">
        <v>289</v>
      </c>
      <c r="T375" s="2" t="s">
        <v>455</v>
      </c>
      <c r="U375" s="2" t="s">
        <v>982</v>
      </c>
      <c r="V375" s="2" t="s">
        <v>296</v>
      </c>
      <c r="X375" s="2" t="s">
        <v>459</v>
      </c>
      <c r="Y375" s="2" t="s">
        <v>457</v>
      </c>
      <c r="Z375" s="2" t="s">
        <v>458</v>
      </c>
    </row>
    <row r="376" spans="1:27">
      <c r="A376" s="12">
        <v>44992.176061377315</v>
      </c>
      <c r="B376" s="2" t="s">
        <v>452</v>
      </c>
      <c r="C376" s="2" t="s">
        <v>453</v>
      </c>
      <c r="D376" s="2" t="s">
        <v>452</v>
      </c>
      <c r="E376" s="2" t="s">
        <v>454</v>
      </c>
      <c r="F376" s="2" t="s">
        <v>32</v>
      </c>
      <c r="H376" s="2" t="s">
        <v>139</v>
      </c>
      <c r="J376" s="2" t="s">
        <v>117</v>
      </c>
      <c r="L376" s="2" t="s">
        <v>1773</v>
      </c>
      <c r="P376" s="2" t="s">
        <v>117</v>
      </c>
      <c r="Q376" s="2" t="s">
        <v>455</v>
      </c>
      <c r="R376" s="2" t="s">
        <v>1959</v>
      </c>
      <c r="T376" s="2" t="s">
        <v>455</v>
      </c>
      <c r="U376" s="2" t="s">
        <v>304</v>
      </c>
      <c r="V376" s="2" t="s">
        <v>305</v>
      </c>
      <c r="X376" s="2" t="s">
        <v>474</v>
      </c>
      <c r="Y376" s="2" t="s">
        <v>457</v>
      </c>
      <c r="Z376" s="2" t="s">
        <v>458</v>
      </c>
    </row>
    <row r="377" spans="1:27">
      <c r="A377" s="12">
        <v>44992.262673773148</v>
      </c>
      <c r="B377" s="2" t="s">
        <v>452</v>
      </c>
      <c r="C377" s="2" t="s">
        <v>453</v>
      </c>
      <c r="D377" s="2" t="s">
        <v>452</v>
      </c>
      <c r="E377" s="2" t="s">
        <v>454</v>
      </c>
      <c r="F377" s="2" t="s">
        <v>1960</v>
      </c>
      <c r="H377" s="2" t="s">
        <v>1837</v>
      </c>
      <c r="J377" s="2" t="s">
        <v>117</v>
      </c>
      <c r="L377" s="2" t="s">
        <v>167</v>
      </c>
      <c r="N377" s="2" t="s">
        <v>105</v>
      </c>
      <c r="P377" s="2" t="s">
        <v>117</v>
      </c>
      <c r="Q377" s="2" t="s">
        <v>455</v>
      </c>
      <c r="R377" s="2" t="s">
        <v>1961</v>
      </c>
      <c r="T377" s="2" t="s">
        <v>455</v>
      </c>
      <c r="U377" s="2" t="s">
        <v>296</v>
      </c>
      <c r="V377" s="2" t="s">
        <v>303</v>
      </c>
      <c r="W377" s="2" t="s">
        <v>348</v>
      </c>
      <c r="X377" s="2" t="s">
        <v>474</v>
      </c>
      <c r="Y377" s="2" t="s">
        <v>457</v>
      </c>
      <c r="Z377" s="2" t="s">
        <v>458</v>
      </c>
    </row>
    <row r="378" spans="1:27">
      <c r="A378" s="12">
        <v>44992.321184907407</v>
      </c>
      <c r="B378" s="2" t="s">
        <v>452</v>
      </c>
      <c r="C378" s="2" t="s">
        <v>453</v>
      </c>
      <c r="D378" s="2" t="s">
        <v>452</v>
      </c>
      <c r="E378" s="2" t="s">
        <v>454</v>
      </c>
      <c r="F378" s="2" t="s">
        <v>2</v>
      </c>
      <c r="H378" s="2" t="s">
        <v>139</v>
      </c>
      <c r="J378" s="2" t="s">
        <v>1962</v>
      </c>
      <c r="L378" s="2" t="s">
        <v>169</v>
      </c>
      <c r="N378" s="2" t="s">
        <v>105</v>
      </c>
      <c r="P378" s="2" t="s">
        <v>119</v>
      </c>
      <c r="Q378" s="2" t="s">
        <v>455</v>
      </c>
      <c r="R378" s="2" t="s">
        <v>1963</v>
      </c>
      <c r="T378" s="2" t="s">
        <v>455</v>
      </c>
      <c r="U378" s="2" t="s">
        <v>1146</v>
      </c>
      <c r="V378" s="2" t="s">
        <v>1146</v>
      </c>
      <c r="X378" s="2" t="s">
        <v>459</v>
      </c>
      <c r="Y378" s="2" t="s">
        <v>457</v>
      </c>
      <c r="Z378" s="2" t="s">
        <v>458</v>
      </c>
    </row>
    <row r="379" spans="1:27">
      <c r="A379" s="12">
        <v>44992.321731157412</v>
      </c>
      <c r="B379" s="2" t="s">
        <v>452</v>
      </c>
      <c r="C379" s="2" t="s">
        <v>453</v>
      </c>
      <c r="D379" s="2" t="s">
        <v>452</v>
      </c>
      <c r="E379" s="2" t="s">
        <v>454</v>
      </c>
      <c r="F379" s="2" t="s">
        <v>1964</v>
      </c>
      <c r="H379" s="2" t="s">
        <v>121</v>
      </c>
      <c r="J379" s="2" t="s">
        <v>117</v>
      </c>
      <c r="L379" s="2" t="s">
        <v>1965</v>
      </c>
      <c r="N379" s="2" t="s">
        <v>701</v>
      </c>
      <c r="P379" s="2" t="s">
        <v>117</v>
      </c>
      <c r="Q379" s="2" t="s">
        <v>455</v>
      </c>
      <c r="R379" s="2" t="s">
        <v>1966</v>
      </c>
      <c r="T379" s="2" t="s">
        <v>455</v>
      </c>
      <c r="U379" s="2" t="s">
        <v>303</v>
      </c>
      <c r="V379" s="2" t="s">
        <v>305</v>
      </c>
      <c r="X379" s="2" t="s">
        <v>456</v>
      </c>
      <c r="Y379" s="2" t="s">
        <v>457</v>
      </c>
      <c r="Z379" s="2" t="s">
        <v>458</v>
      </c>
    </row>
    <row r="380" spans="1:27">
      <c r="A380" s="12">
        <v>44992.352594976852</v>
      </c>
      <c r="B380" s="2" t="s">
        <v>452</v>
      </c>
      <c r="C380" s="2" t="s">
        <v>453</v>
      </c>
      <c r="D380" s="2" t="s">
        <v>452</v>
      </c>
      <c r="E380" s="2" t="s">
        <v>454</v>
      </c>
      <c r="F380" s="2" t="s">
        <v>1967</v>
      </c>
      <c r="H380" s="2" t="s">
        <v>139</v>
      </c>
      <c r="J380" s="2" t="s">
        <v>1968</v>
      </c>
      <c r="L380" s="2" t="s">
        <v>1969</v>
      </c>
      <c r="M380" s="2" t="s">
        <v>65</v>
      </c>
      <c r="N380" s="2" t="s">
        <v>1970</v>
      </c>
      <c r="O380" s="2" t="s">
        <v>115</v>
      </c>
      <c r="P380" s="2" t="s">
        <v>1971</v>
      </c>
      <c r="Q380" s="2" t="s">
        <v>455</v>
      </c>
      <c r="R380" s="2" t="s">
        <v>1972</v>
      </c>
      <c r="T380" s="2" t="s">
        <v>455</v>
      </c>
      <c r="U380" s="2" t="s">
        <v>1564</v>
      </c>
      <c r="W380" s="2" t="s">
        <v>353</v>
      </c>
      <c r="X380" s="2" t="s">
        <v>479</v>
      </c>
      <c r="Y380" s="2" t="s">
        <v>457</v>
      </c>
      <c r="Z380" s="2" t="s">
        <v>458</v>
      </c>
      <c r="AA380" s="2" t="s">
        <v>619</v>
      </c>
    </row>
    <row r="381" spans="1:27">
      <c r="A381" s="12">
        <v>44992.356180532406</v>
      </c>
      <c r="B381" s="2" t="s">
        <v>452</v>
      </c>
      <c r="C381" s="2" t="s">
        <v>453</v>
      </c>
      <c r="D381" s="2" t="s">
        <v>452</v>
      </c>
      <c r="E381" s="2" t="s">
        <v>454</v>
      </c>
      <c r="F381" s="2" t="s">
        <v>1341</v>
      </c>
      <c r="H381" s="2" t="s">
        <v>139</v>
      </c>
      <c r="J381" s="2" t="s">
        <v>117</v>
      </c>
      <c r="L381" s="2" t="s">
        <v>167</v>
      </c>
      <c r="N381" s="2" t="s">
        <v>109</v>
      </c>
      <c r="P381" s="2" t="s">
        <v>117</v>
      </c>
      <c r="Q381" s="2" t="s">
        <v>455</v>
      </c>
      <c r="R381" s="2" t="s">
        <v>1973</v>
      </c>
      <c r="T381" s="2" t="s">
        <v>455</v>
      </c>
      <c r="U381" s="2" t="s">
        <v>304</v>
      </c>
      <c r="V381" s="2" t="s">
        <v>305</v>
      </c>
      <c r="X381" s="2" t="s">
        <v>462</v>
      </c>
      <c r="Y381" s="2" t="s">
        <v>457</v>
      </c>
      <c r="Z381" s="2" t="s">
        <v>458</v>
      </c>
    </row>
    <row r="382" spans="1:27">
      <c r="A382" s="12">
        <v>44992.377421238431</v>
      </c>
      <c r="B382" s="2" t="s">
        <v>452</v>
      </c>
      <c r="C382" s="2" t="s">
        <v>453</v>
      </c>
      <c r="D382" s="2" t="s">
        <v>452</v>
      </c>
      <c r="E382" s="2" t="s">
        <v>454</v>
      </c>
      <c r="F382" s="2" t="s">
        <v>1974</v>
      </c>
      <c r="H382" s="2" t="s">
        <v>139</v>
      </c>
      <c r="J382" s="2" t="s">
        <v>705</v>
      </c>
      <c r="L382" s="2" t="s">
        <v>124</v>
      </c>
      <c r="N382" s="2" t="s">
        <v>112</v>
      </c>
      <c r="P382" s="2" t="s">
        <v>124</v>
      </c>
      <c r="Q382" s="2" t="s">
        <v>455</v>
      </c>
      <c r="R382" s="2" t="s">
        <v>183</v>
      </c>
      <c r="T382" s="2" t="s">
        <v>455</v>
      </c>
      <c r="U382" s="2" t="s">
        <v>304</v>
      </c>
      <c r="V382" s="2" t="s">
        <v>305</v>
      </c>
      <c r="X382" s="2" t="s">
        <v>479</v>
      </c>
      <c r="Y382" s="2" t="s">
        <v>457</v>
      </c>
      <c r="Z382" s="2" t="s">
        <v>458</v>
      </c>
    </row>
    <row r="383" spans="1:27">
      <c r="A383" s="12">
        <v>44992.397706805554</v>
      </c>
      <c r="B383" s="2" t="s">
        <v>452</v>
      </c>
      <c r="C383" s="2" t="s">
        <v>453</v>
      </c>
      <c r="D383" s="2" t="s">
        <v>452</v>
      </c>
      <c r="E383" s="2" t="s">
        <v>454</v>
      </c>
      <c r="F383" s="2" t="s">
        <v>1975</v>
      </c>
      <c r="H383" s="2" t="s">
        <v>1976</v>
      </c>
      <c r="J383" s="2" t="s">
        <v>1977</v>
      </c>
      <c r="L383" s="2" t="s">
        <v>1978</v>
      </c>
      <c r="O383" s="2" t="s">
        <v>620</v>
      </c>
      <c r="P383" s="2" t="s">
        <v>1133</v>
      </c>
      <c r="Q383" s="2" t="s">
        <v>455</v>
      </c>
      <c r="R383" s="2" t="s">
        <v>1979</v>
      </c>
      <c r="S383" s="2" t="s">
        <v>264</v>
      </c>
      <c r="T383" s="2" t="s">
        <v>472</v>
      </c>
      <c r="X383" s="2" t="s">
        <v>474</v>
      </c>
      <c r="Y383" s="2" t="s">
        <v>457</v>
      </c>
      <c r="Z383" s="2" t="s">
        <v>458</v>
      </c>
    </row>
    <row r="384" spans="1:27">
      <c r="A384" s="12">
        <v>44992.401955231486</v>
      </c>
      <c r="B384" s="2" t="s">
        <v>452</v>
      </c>
      <c r="C384" s="2" t="s">
        <v>453</v>
      </c>
      <c r="D384" s="2" t="s">
        <v>452</v>
      </c>
      <c r="E384" s="2" t="s">
        <v>454</v>
      </c>
      <c r="F384" s="2" t="s">
        <v>1980</v>
      </c>
      <c r="H384" s="2" t="s">
        <v>992</v>
      </c>
      <c r="J384" s="2" t="s">
        <v>155</v>
      </c>
      <c r="L384" s="2" t="s">
        <v>167</v>
      </c>
      <c r="N384" s="2" t="s">
        <v>105</v>
      </c>
      <c r="P384" s="2" t="s">
        <v>1981</v>
      </c>
      <c r="Q384" s="2" t="s">
        <v>455</v>
      </c>
      <c r="R384" s="2" t="s">
        <v>1982</v>
      </c>
      <c r="T384" s="2" t="s">
        <v>455</v>
      </c>
      <c r="U384" s="2" t="s">
        <v>1983</v>
      </c>
      <c r="V384" s="2" t="s">
        <v>305</v>
      </c>
      <c r="X384" s="2" t="s">
        <v>459</v>
      </c>
      <c r="Y384" s="2" t="s">
        <v>457</v>
      </c>
      <c r="Z384" s="2" t="s">
        <v>458</v>
      </c>
    </row>
    <row r="385" spans="1:27">
      <c r="A385" s="12">
        <v>44992.444780706021</v>
      </c>
      <c r="B385" s="2" t="s">
        <v>452</v>
      </c>
      <c r="C385" s="2" t="s">
        <v>453</v>
      </c>
      <c r="D385" s="2" t="s">
        <v>452</v>
      </c>
      <c r="E385" s="2" t="s">
        <v>454</v>
      </c>
      <c r="F385" s="2" t="s">
        <v>1984</v>
      </c>
      <c r="H385" s="2" t="s">
        <v>139</v>
      </c>
      <c r="J385" s="2" t="s">
        <v>154</v>
      </c>
      <c r="L385" s="2" t="s">
        <v>1985</v>
      </c>
      <c r="N385" s="2" t="s">
        <v>105</v>
      </c>
      <c r="P385" s="2" t="s">
        <v>118</v>
      </c>
      <c r="Q385" s="2" t="s">
        <v>455</v>
      </c>
      <c r="R385" s="2" t="s">
        <v>1986</v>
      </c>
      <c r="T385" s="2" t="s">
        <v>455</v>
      </c>
      <c r="U385" s="2" t="s">
        <v>302</v>
      </c>
      <c r="V385" s="2" t="s">
        <v>302</v>
      </c>
      <c r="X385" s="2" t="s">
        <v>475</v>
      </c>
      <c r="Y385" s="2" t="s">
        <v>457</v>
      </c>
      <c r="Z385" s="2" t="s">
        <v>458</v>
      </c>
    </row>
    <row r="386" spans="1:27">
      <c r="A386" s="12">
        <v>44992.44526925926</v>
      </c>
      <c r="B386" s="2" t="s">
        <v>452</v>
      </c>
      <c r="C386" s="2" t="s">
        <v>453</v>
      </c>
      <c r="D386" s="2" t="s">
        <v>452</v>
      </c>
      <c r="E386" s="2" t="s">
        <v>454</v>
      </c>
      <c r="F386" s="2" t="s">
        <v>1987</v>
      </c>
      <c r="H386" s="2" t="s">
        <v>789</v>
      </c>
      <c r="J386" s="2" t="s">
        <v>117</v>
      </c>
      <c r="L386" s="2" t="s">
        <v>1988</v>
      </c>
      <c r="N386" s="2" t="s">
        <v>1635</v>
      </c>
      <c r="P386" s="2" t="s">
        <v>117</v>
      </c>
      <c r="Q386" s="2" t="s">
        <v>455</v>
      </c>
      <c r="R386" s="2" t="s">
        <v>1989</v>
      </c>
      <c r="T386" s="2" t="s">
        <v>455</v>
      </c>
      <c r="U386" s="2" t="s">
        <v>304</v>
      </c>
      <c r="X386" s="2" t="s">
        <v>464</v>
      </c>
      <c r="Y386" s="2" t="s">
        <v>457</v>
      </c>
      <c r="Z386" s="2" t="s">
        <v>458</v>
      </c>
    </row>
    <row r="387" spans="1:27">
      <c r="A387" s="12">
        <v>44992.463911956016</v>
      </c>
      <c r="B387" s="2" t="s">
        <v>452</v>
      </c>
      <c r="C387" s="2" t="s">
        <v>453</v>
      </c>
      <c r="D387" s="2" t="s">
        <v>452</v>
      </c>
      <c r="E387" s="2" t="s">
        <v>454</v>
      </c>
      <c r="F387" s="2" t="s">
        <v>1990</v>
      </c>
      <c r="H387" s="2" t="s">
        <v>139</v>
      </c>
      <c r="J387" s="2" t="s">
        <v>153</v>
      </c>
      <c r="L387" s="2" t="s">
        <v>1169</v>
      </c>
      <c r="N387" s="2" t="s">
        <v>105</v>
      </c>
      <c r="P387" s="2" t="s">
        <v>122</v>
      </c>
      <c r="Q387" s="2" t="s">
        <v>472</v>
      </c>
      <c r="T387" s="2" t="s">
        <v>472</v>
      </c>
      <c r="X387" s="2" t="s">
        <v>501</v>
      </c>
      <c r="Y387" s="2" t="s">
        <v>621</v>
      </c>
      <c r="Z387" s="2" t="s">
        <v>452</v>
      </c>
    </row>
    <row r="388" spans="1:27">
      <c r="A388" s="12">
        <v>44992.48854395833</v>
      </c>
      <c r="B388" s="2" t="s">
        <v>452</v>
      </c>
      <c r="C388" s="2" t="s">
        <v>453</v>
      </c>
      <c r="D388" s="2" t="s">
        <v>452</v>
      </c>
      <c r="E388" s="2" t="s">
        <v>454</v>
      </c>
      <c r="F388" s="2" t="s">
        <v>1991</v>
      </c>
      <c r="H388" s="2" t="s">
        <v>992</v>
      </c>
      <c r="J388" s="2" t="s">
        <v>117</v>
      </c>
      <c r="L388" s="2" t="s">
        <v>1718</v>
      </c>
      <c r="N388" s="2" t="s">
        <v>106</v>
      </c>
      <c r="P388" s="2" t="s">
        <v>117</v>
      </c>
      <c r="Q388" s="2" t="s">
        <v>455</v>
      </c>
      <c r="R388" s="2" t="s">
        <v>1152</v>
      </c>
      <c r="T388" s="2" t="s">
        <v>472</v>
      </c>
      <c r="X388" s="2" t="s">
        <v>464</v>
      </c>
      <c r="Y388" s="2" t="s">
        <v>457</v>
      </c>
      <c r="Z388" s="2" t="s">
        <v>458</v>
      </c>
    </row>
    <row r="389" spans="1:27">
      <c r="A389" s="12">
        <v>44992.493967060189</v>
      </c>
      <c r="B389" s="2" t="s">
        <v>452</v>
      </c>
      <c r="C389" s="2" t="s">
        <v>453</v>
      </c>
      <c r="D389" s="2" t="s">
        <v>452</v>
      </c>
      <c r="E389" s="2" t="s">
        <v>454</v>
      </c>
      <c r="F389" s="2" t="s">
        <v>1992</v>
      </c>
      <c r="H389" s="2" t="s">
        <v>958</v>
      </c>
      <c r="J389" s="2" t="s">
        <v>117</v>
      </c>
      <c r="L389" s="2" t="s">
        <v>170</v>
      </c>
      <c r="M389" s="2" t="s">
        <v>79</v>
      </c>
      <c r="N389" s="2" t="s">
        <v>922</v>
      </c>
      <c r="P389" s="2" t="s">
        <v>117</v>
      </c>
      <c r="Q389" s="2" t="s">
        <v>455</v>
      </c>
      <c r="R389" s="2" t="s">
        <v>1993</v>
      </c>
      <c r="S389" s="2" t="s">
        <v>221</v>
      </c>
      <c r="T389" s="2" t="s">
        <v>455</v>
      </c>
      <c r="U389" s="2" t="s">
        <v>869</v>
      </c>
      <c r="V389" s="2" t="s">
        <v>305</v>
      </c>
      <c r="X389" s="2" t="s">
        <v>459</v>
      </c>
      <c r="Y389" s="2" t="s">
        <v>457</v>
      </c>
      <c r="Z389" s="2" t="s">
        <v>458</v>
      </c>
    </row>
    <row r="390" spans="1:27">
      <c r="A390" s="12">
        <v>44992.49910288195</v>
      </c>
      <c r="B390" s="2" t="s">
        <v>452</v>
      </c>
      <c r="C390" s="2" t="s">
        <v>453</v>
      </c>
      <c r="D390" s="2" t="s">
        <v>452</v>
      </c>
      <c r="E390" s="2" t="s">
        <v>454</v>
      </c>
      <c r="F390" s="2" t="s">
        <v>3</v>
      </c>
      <c r="H390" s="2" t="s">
        <v>1994</v>
      </c>
      <c r="J390" s="2" t="s">
        <v>845</v>
      </c>
      <c r="L390" s="2" t="s">
        <v>167</v>
      </c>
      <c r="N390" s="2" t="s">
        <v>655</v>
      </c>
      <c r="P390" s="2" t="s">
        <v>884</v>
      </c>
      <c r="Q390" s="2" t="s">
        <v>455</v>
      </c>
      <c r="R390" s="2" t="s">
        <v>1995</v>
      </c>
      <c r="T390" s="2" t="s">
        <v>455</v>
      </c>
      <c r="U390" s="2" t="s">
        <v>304</v>
      </c>
      <c r="V390" s="2" t="s">
        <v>305</v>
      </c>
      <c r="X390" s="2" t="s">
        <v>466</v>
      </c>
      <c r="Y390" s="2" t="s">
        <v>457</v>
      </c>
      <c r="Z390" s="2" t="s">
        <v>458</v>
      </c>
    </row>
    <row r="391" spans="1:27">
      <c r="A391" s="12">
        <v>44992.51604913194</v>
      </c>
      <c r="B391" s="2" t="s">
        <v>452</v>
      </c>
      <c r="C391" s="2" t="s">
        <v>453</v>
      </c>
      <c r="D391" s="2" t="s">
        <v>452</v>
      </c>
      <c r="E391" s="2" t="s">
        <v>454</v>
      </c>
      <c r="F391" s="2" t="s">
        <v>1996</v>
      </c>
      <c r="H391" s="2" t="s">
        <v>121</v>
      </c>
      <c r="J391" s="2" t="s">
        <v>117</v>
      </c>
      <c r="L391" s="2" t="s">
        <v>105</v>
      </c>
      <c r="N391" s="2" t="s">
        <v>106</v>
      </c>
      <c r="P391" s="2" t="s">
        <v>117</v>
      </c>
      <c r="Q391" s="2" t="s">
        <v>455</v>
      </c>
      <c r="R391" s="2" t="s">
        <v>1997</v>
      </c>
      <c r="S391" s="2" t="s">
        <v>235</v>
      </c>
      <c r="T391" s="2" t="s">
        <v>455</v>
      </c>
      <c r="U391" s="2" t="s">
        <v>304</v>
      </c>
      <c r="V391" s="2" t="s">
        <v>305</v>
      </c>
      <c r="X391" s="2" t="s">
        <v>462</v>
      </c>
      <c r="Y391" s="2" t="s">
        <v>457</v>
      </c>
      <c r="Z391" s="2" t="s">
        <v>458</v>
      </c>
    </row>
    <row r="392" spans="1:27">
      <c r="A392" s="12">
        <v>44992.530951701388</v>
      </c>
      <c r="B392" s="2" t="s">
        <v>452</v>
      </c>
      <c r="C392" s="2" t="s">
        <v>453</v>
      </c>
      <c r="D392" s="2" t="s">
        <v>452</v>
      </c>
      <c r="E392" s="2" t="s">
        <v>454</v>
      </c>
      <c r="F392" s="2" t="s">
        <v>1998</v>
      </c>
      <c r="H392" s="2" t="s">
        <v>1999</v>
      </c>
      <c r="I392" s="2" t="s">
        <v>622</v>
      </c>
      <c r="J392" s="2" t="s">
        <v>884</v>
      </c>
      <c r="K392" s="2" t="s">
        <v>623</v>
      </c>
      <c r="L392" s="2" t="s">
        <v>2000</v>
      </c>
      <c r="M392" s="2" t="s">
        <v>101</v>
      </c>
      <c r="O392" s="2" t="s">
        <v>624</v>
      </c>
      <c r="P392" s="2" t="s">
        <v>117</v>
      </c>
      <c r="Q392" s="2" t="s">
        <v>455</v>
      </c>
      <c r="R392" s="2" t="s">
        <v>2001</v>
      </c>
      <c r="S392" s="2" t="s">
        <v>249</v>
      </c>
      <c r="T392" s="2" t="s">
        <v>455</v>
      </c>
      <c r="U392" s="2" t="s">
        <v>303</v>
      </c>
      <c r="V392" s="2" t="s">
        <v>305</v>
      </c>
      <c r="X392" s="2" t="s">
        <v>474</v>
      </c>
      <c r="Y392" s="2" t="s">
        <v>457</v>
      </c>
      <c r="Z392" s="2" t="s">
        <v>458</v>
      </c>
      <c r="AA392" s="2" t="s">
        <v>625</v>
      </c>
    </row>
    <row r="393" spans="1:27">
      <c r="A393" s="12">
        <v>44992.54003668981</v>
      </c>
      <c r="B393" s="2" t="s">
        <v>452</v>
      </c>
      <c r="C393" s="2" t="s">
        <v>453</v>
      </c>
      <c r="D393" s="2" t="s">
        <v>452</v>
      </c>
      <c r="E393" s="2" t="s">
        <v>454</v>
      </c>
      <c r="F393" s="2" t="s">
        <v>2002</v>
      </c>
      <c r="H393" s="2" t="s">
        <v>1519</v>
      </c>
      <c r="J393" s="2" t="s">
        <v>117</v>
      </c>
      <c r="L393" s="2" t="s">
        <v>2003</v>
      </c>
      <c r="N393" s="2" t="s">
        <v>763</v>
      </c>
      <c r="P393" s="2" t="s">
        <v>117</v>
      </c>
      <c r="Q393" s="2" t="s">
        <v>455</v>
      </c>
      <c r="R393" s="2" t="s">
        <v>2004</v>
      </c>
      <c r="T393" s="2" t="s">
        <v>455</v>
      </c>
      <c r="U393" s="2" t="s">
        <v>304</v>
      </c>
      <c r="V393" s="2" t="s">
        <v>305</v>
      </c>
      <c r="X393" s="2" t="s">
        <v>462</v>
      </c>
      <c r="Y393" s="2" t="s">
        <v>457</v>
      </c>
      <c r="Z393" s="2" t="s">
        <v>458</v>
      </c>
    </row>
    <row r="394" spans="1:27">
      <c r="A394" s="12">
        <v>44992.54483702546</v>
      </c>
      <c r="B394" s="2" t="s">
        <v>452</v>
      </c>
      <c r="C394" s="2" t="s">
        <v>453</v>
      </c>
      <c r="D394" s="2" t="s">
        <v>452</v>
      </c>
      <c r="E394" s="2" t="s">
        <v>454</v>
      </c>
      <c r="F394" s="2" t="s">
        <v>2005</v>
      </c>
      <c r="H394" s="2" t="s">
        <v>2006</v>
      </c>
      <c r="J394" s="2" t="s">
        <v>155</v>
      </c>
      <c r="L394" s="2" t="s">
        <v>2007</v>
      </c>
      <c r="N394" s="2" t="s">
        <v>106</v>
      </c>
      <c r="P394" s="2" t="s">
        <v>117</v>
      </c>
      <c r="Q394" s="2" t="s">
        <v>455</v>
      </c>
      <c r="R394" s="2" t="s">
        <v>2008</v>
      </c>
      <c r="T394" s="2" t="s">
        <v>455</v>
      </c>
      <c r="U394" s="2" t="s">
        <v>304</v>
      </c>
      <c r="V394" s="2" t="s">
        <v>305</v>
      </c>
      <c r="X394" s="2" t="s">
        <v>456</v>
      </c>
      <c r="Y394" s="2" t="s">
        <v>457</v>
      </c>
      <c r="Z394" s="2" t="s">
        <v>458</v>
      </c>
    </row>
    <row r="395" spans="1:27">
      <c r="A395" s="12">
        <v>44992.565780960649</v>
      </c>
      <c r="B395" s="2" t="s">
        <v>452</v>
      </c>
      <c r="C395" s="2" t="s">
        <v>453</v>
      </c>
      <c r="D395" s="2" t="s">
        <v>452</v>
      </c>
      <c r="E395" s="2" t="s">
        <v>454</v>
      </c>
      <c r="F395" s="2" t="s">
        <v>2009</v>
      </c>
      <c r="H395" s="2" t="s">
        <v>139</v>
      </c>
      <c r="J395" s="2" t="s">
        <v>117</v>
      </c>
      <c r="L395" s="2" t="s">
        <v>2010</v>
      </c>
      <c r="N395" s="2" t="s">
        <v>106</v>
      </c>
      <c r="P395" s="2" t="s">
        <v>117</v>
      </c>
      <c r="Q395" s="2" t="s">
        <v>455</v>
      </c>
      <c r="R395" s="2" t="s">
        <v>2011</v>
      </c>
      <c r="T395" s="2" t="s">
        <v>455</v>
      </c>
      <c r="U395" s="2" t="s">
        <v>1367</v>
      </c>
      <c r="V395" s="2" t="s">
        <v>1367</v>
      </c>
      <c r="W395" s="2" t="s">
        <v>382</v>
      </c>
      <c r="X395" s="2" t="s">
        <v>456</v>
      </c>
      <c r="Y395" s="2" t="s">
        <v>457</v>
      </c>
      <c r="Z395" s="2" t="s">
        <v>458</v>
      </c>
    </row>
    <row r="396" spans="1:27">
      <c r="A396" s="12">
        <v>44992.578908020834</v>
      </c>
      <c r="B396" s="2" t="s">
        <v>452</v>
      </c>
      <c r="C396" s="2" t="s">
        <v>453</v>
      </c>
      <c r="D396" s="2" t="s">
        <v>452</v>
      </c>
      <c r="E396" s="2" t="s">
        <v>454</v>
      </c>
      <c r="F396" s="2" t="s">
        <v>0</v>
      </c>
      <c r="H396" s="2" t="s">
        <v>139</v>
      </c>
      <c r="J396" s="2" t="s">
        <v>140</v>
      </c>
      <c r="L396" s="2" t="s">
        <v>167</v>
      </c>
      <c r="N396" s="2" t="s">
        <v>675</v>
      </c>
      <c r="P396" s="2" t="s">
        <v>118</v>
      </c>
      <c r="Q396" s="2" t="s">
        <v>455</v>
      </c>
      <c r="R396" s="2" t="s">
        <v>2012</v>
      </c>
      <c r="T396" s="2" t="s">
        <v>455</v>
      </c>
      <c r="U396" s="2" t="s">
        <v>304</v>
      </c>
      <c r="V396" s="2" t="s">
        <v>305</v>
      </c>
      <c r="X396" s="2" t="s">
        <v>456</v>
      </c>
      <c r="Y396" s="2" t="s">
        <v>457</v>
      </c>
      <c r="Z396" s="2" t="s">
        <v>458</v>
      </c>
    </row>
    <row r="397" spans="1:27">
      <c r="A397" s="12">
        <v>44992.585362187499</v>
      </c>
      <c r="B397" s="2" t="s">
        <v>452</v>
      </c>
      <c r="C397" s="2" t="s">
        <v>453</v>
      </c>
      <c r="D397" s="2" t="s">
        <v>452</v>
      </c>
      <c r="E397" s="2" t="s">
        <v>454</v>
      </c>
      <c r="F397" s="2" t="s">
        <v>2013</v>
      </c>
      <c r="H397" s="2" t="s">
        <v>107</v>
      </c>
      <c r="J397" s="2" t="s">
        <v>117</v>
      </c>
      <c r="L397" s="2" t="s">
        <v>2014</v>
      </c>
      <c r="N397" s="2" t="s">
        <v>108</v>
      </c>
      <c r="P397" s="2" t="s">
        <v>2015</v>
      </c>
      <c r="Q397" s="2" t="s">
        <v>455</v>
      </c>
      <c r="R397" s="2" t="s">
        <v>2016</v>
      </c>
      <c r="T397" s="2" t="s">
        <v>455</v>
      </c>
      <c r="U397" s="2" t="s">
        <v>853</v>
      </c>
      <c r="V397" s="2" t="s">
        <v>853</v>
      </c>
      <c r="X397" s="2" t="s">
        <v>475</v>
      </c>
      <c r="Y397" s="2" t="s">
        <v>457</v>
      </c>
      <c r="Z397" s="2" t="s">
        <v>458</v>
      </c>
    </row>
    <row r="398" spans="1:27">
      <c r="A398" s="12">
        <v>44992.585612465278</v>
      </c>
      <c r="B398" s="2" t="s">
        <v>452</v>
      </c>
      <c r="C398" s="2" t="s">
        <v>453</v>
      </c>
      <c r="D398" s="2" t="s">
        <v>452</v>
      </c>
      <c r="E398" s="2" t="s">
        <v>454</v>
      </c>
      <c r="F398" s="2" t="s">
        <v>4</v>
      </c>
      <c r="H398" s="2" t="s">
        <v>121</v>
      </c>
      <c r="J398" s="2" t="s">
        <v>117</v>
      </c>
      <c r="L398" s="2" t="s">
        <v>168</v>
      </c>
      <c r="N398" s="2" t="s">
        <v>106</v>
      </c>
      <c r="P398" s="2" t="s">
        <v>117</v>
      </c>
      <c r="Q398" s="2" t="s">
        <v>455</v>
      </c>
      <c r="R398" s="2" t="s">
        <v>2017</v>
      </c>
      <c r="T398" s="2" t="s">
        <v>455</v>
      </c>
      <c r="U398" s="2" t="s">
        <v>304</v>
      </c>
      <c r="V398" s="2" t="s">
        <v>305</v>
      </c>
      <c r="X398" s="2" t="s">
        <v>475</v>
      </c>
      <c r="Y398" s="2" t="s">
        <v>457</v>
      </c>
      <c r="Z398" s="2" t="s">
        <v>458</v>
      </c>
    </row>
    <row r="399" spans="1:27">
      <c r="A399" s="12">
        <v>44992.605078437497</v>
      </c>
      <c r="B399" s="2" t="s">
        <v>452</v>
      </c>
      <c r="C399" s="2" t="s">
        <v>453</v>
      </c>
      <c r="D399" s="2" t="s">
        <v>452</v>
      </c>
      <c r="E399" s="2" t="s">
        <v>454</v>
      </c>
      <c r="F399" s="2" t="s">
        <v>2018</v>
      </c>
      <c r="H399" s="2" t="s">
        <v>107</v>
      </c>
      <c r="J399" s="2" t="s">
        <v>117</v>
      </c>
      <c r="L399" s="2" t="s">
        <v>2019</v>
      </c>
      <c r="N399" s="2" t="s">
        <v>107</v>
      </c>
      <c r="P399" s="2" t="s">
        <v>117</v>
      </c>
      <c r="Q399" s="2" t="s">
        <v>455</v>
      </c>
      <c r="R399" s="2" t="s">
        <v>2020</v>
      </c>
      <c r="T399" s="2" t="s">
        <v>455</v>
      </c>
      <c r="U399" s="2" t="s">
        <v>1539</v>
      </c>
      <c r="V399" s="2" t="s">
        <v>305</v>
      </c>
      <c r="X399" s="2" t="s">
        <v>456</v>
      </c>
      <c r="Y399" s="2" t="s">
        <v>457</v>
      </c>
      <c r="Z399" s="2" t="s">
        <v>458</v>
      </c>
    </row>
    <row r="400" spans="1:27">
      <c r="A400" s="12">
        <v>44992.637253576388</v>
      </c>
      <c r="B400" s="2" t="s">
        <v>452</v>
      </c>
      <c r="C400" s="2" t="s">
        <v>453</v>
      </c>
      <c r="D400" s="2" t="s">
        <v>452</v>
      </c>
      <c r="E400" s="2" t="s">
        <v>454</v>
      </c>
      <c r="F400" s="2" t="s">
        <v>2021</v>
      </c>
      <c r="H400" s="2" t="s">
        <v>139</v>
      </c>
      <c r="J400" s="2" t="s">
        <v>153</v>
      </c>
      <c r="L400" s="2" t="s">
        <v>658</v>
      </c>
      <c r="N400" s="2" t="s">
        <v>105</v>
      </c>
      <c r="P400" s="2" t="s">
        <v>121</v>
      </c>
      <c r="Q400" s="2" t="s">
        <v>455</v>
      </c>
      <c r="R400" s="2" t="s">
        <v>2022</v>
      </c>
      <c r="T400" s="2" t="s">
        <v>455</v>
      </c>
      <c r="U400" s="2" t="s">
        <v>304</v>
      </c>
      <c r="V400" s="2" t="s">
        <v>305</v>
      </c>
      <c r="W400" s="2" t="s">
        <v>392</v>
      </c>
      <c r="X400" s="2" t="s">
        <v>462</v>
      </c>
      <c r="Y400" s="2" t="s">
        <v>457</v>
      </c>
      <c r="Z400" s="2" t="s">
        <v>458</v>
      </c>
    </row>
    <row r="401" spans="1:27">
      <c r="A401" s="12">
        <v>44992.643606724538</v>
      </c>
      <c r="B401" s="2" t="s">
        <v>452</v>
      </c>
      <c r="C401" s="2" t="s">
        <v>453</v>
      </c>
      <c r="D401" s="2" t="s">
        <v>452</v>
      </c>
      <c r="E401" s="2" t="s">
        <v>454</v>
      </c>
      <c r="F401" s="2" t="s">
        <v>2023</v>
      </c>
      <c r="H401" s="2" t="s">
        <v>958</v>
      </c>
      <c r="J401" s="2" t="s">
        <v>2024</v>
      </c>
      <c r="L401" s="2" t="s">
        <v>2025</v>
      </c>
      <c r="N401" s="2" t="s">
        <v>922</v>
      </c>
      <c r="P401" s="2" t="s">
        <v>123</v>
      </c>
      <c r="Q401" s="2" t="s">
        <v>455</v>
      </c>
      <c r="R401" s="2" t="s">
        <v>2026</v>
      </c>
      <c r="T401" s="2" t="s">
        <v>455</v>
      </c>
      <c r="U401" s="2" t="s">
        <v>2027</v>
      </c>
      <c r="V401" s="2" t="s">
        <v>296</v>
      </c>
      <c r="X401" s="2" t="s">
        <v>462</v>
      </c>
      <c r="Y401" s="2" t="s">
        <v>457</v>
      </c>
      <c r="Z401" s="2" t="s">
        <v>458</v>
      </c>
    </row>
    <row r="402" spans="1:27">
      <c r="A402" s="12">
        <v>44992.67155767361</v>
      </c>
      <c r="B402" s="2" t="s">
        <v>452</v>
      </c>
      <c r="C402" s="2" t="s">
        <v>453</v>
      </c>
      <c r="D402" s="2" t="s">
        <v>452</v>
      </c>
      <c r="E402" s="2" t="s">
        <v>454</v>
      </c>
      <c r="F402" s="2" t="s">
        <v>2028</v>
      </c>
      <c r="H402" s="2" t="s">
        <v>139</v>
      </c>
      <c r="I402" s="2" t="s">
        <v>147</v>
      </c>
      <c r="J402" s="2" t="s">
        <v>2029</v>
      </c>
      <c r="L402" s="2" t="s">
        <v>2030</v>
      </c>
      <c r="N402" s="2" t="s">
        <v>2031</v>
      </c>
      <c r="P402" s="2" t="s">
        <v>2032</v>
      </c>
      <c r="Q402" s="2" t="s">
        <v>455</v>
      </c>
      <c r="R402" s="2" t="s">
        <v>2033</v>
      </c>
      <c r="T402" s="2" t="s">
        <v>455</v>
      </c>
      <c r="U402" s="2" t="s">
        <v>728</v>
      </c>
      <c r="V402" s="2" t="s">
        <v>305</v>
      </c>
      <c r="X402" s="2" t="s">
        <v>462</v>
      </c>
      <c r="Y402" s="2" t="s">
        <v>457</v>
      </c>
      <c r="Z402" s="2" t="s">
        <v>458</v>
      </c>
    </row>
    <row r="403" spans="1:27">
      <c r="A403" s="12">
        <v>44992.735290590281</v>
      </c>
      <c r="B403" s="2" t="s">
        <v>452</v>
      </c>
      <c r="C403" s="2" t="s">
        <v>453</v>
      </c>
      <c r="D403" s="2" t="s">
        <v>452</v>
      </c>
      <c r="E403" s="2" t="s">
        <v>454</v>
      </c>
      <c r="F403" s="2" t="s">
        <v>2034</v>
      </c>
      <c r="G403" s="2" t="s">
        <v>2035</v>
      </c>
      <c r="H403" s="2" t="s">
        <v>1736</v>
      </c>
      <c r="J403" s="2" t="s">
        <v>117</v>
      </c>
      <c r="L403" s="2" t="s">
        <v>2036</v>
      </c>
      <c r="M403" s="2" t="s">
        <v>88</v>
      </c>
      <c r="N403" s="2" t="s">
        <v>1132</v>
      </c>
      <c r="P403" s="2" t="s">
        <v>117</v>
      </c>
      <c r="Q403" s="2" t="s">
        <v>455</v>
      </c>
      <c r="R403" s="2" t="s">
        <v>2037</v>
      </c>
      <c r="T403" s="2" t="s">
        <v>455</v>
      </c>
      <c r="U403" s="2" t="s">
        <v>1375</v>
      </c>
      <c r="V403" s="2" t="s">
        <v>2038</v>
      </c>
      <c r="W403" s="2" t="s">
        <v>307</v>
      </c>
      <c r="X403" s="2" t="s">
        <v>462</v>
      </c>
      <c r="Y403" s="2" t="s">
        <v>457</v>
      </c>
      <c r="Z403" s="2" t="s">
        <v>458</v>
      </c>
    </row>
    <row r="404" spans="1:27">
      <c r="A404" s="12">
        <v>44992.808249583337</v>
      </c>
      <c r="B404" s="2" t="s">
        <v>452</v>
      </c>
      <c r="C404" s="2" t="s">
        <v>453</v>
      </c>
      <c r="D404" s="2" t="s">
        <v>452</v>
      </c>
      <c r="E404" s="2" t="s">
        <v>454</v>
      </c>
      <c r="F404" s="2" t="s">
        <v>0</v>
      </c>
      <c r="H404" s="2" t="s">
        <v>107</v>
      </c>
      <c r="J404" s="2" t="s">
        <v>117</v>
      </c>
      <c r="L404" s="2" t="s">
        <v>107</v>
      </c>
      <c r="N404" s="2" t="s">
        <v>107</v>
      </c>
      <c r="P404" s="2" t="s">
        <v>117</v>
      </c>
      <c r="Q404" s="2" t="s">
        <v>455</v>
      </c>
      <c r="R404" s="2" t="s">
        <v>190</v>
      </c>
      <c r="T404" s="2" t="s">
        <v>472</v>
      </c>
      <c r="X404" s="2" t="s">
        <v>479</v>
      </c>
      <c r="Y404" s="2" t="s">
        <v>457</v>
      </c>
      <c r="Z404" s="2" t="s">
        <v>458</v>
      </c>
    </row>
    <row r="405" spans="1:27">
      <c r="A405" s="12">
        <v>44992.838752627315</v>
      </c>
      <c r="B405" s="2" t="s">
        <v>452</v>
      </c>
      <c r="C405" s="2" t="s">
        <v>453</v>
      </c>
      <c r="D405" s="2" t="s">
        <v>452</v>
      </c>
      <c r="E405" s="2" t="s">
        <v>454</v>
      </c>
      <c r="F405" s="2" t="s">
        <v>2039</v>
      </c>
      <c r="H405" s="2" t="s">
        <v>958</v>
      </c>
      <c r="J405" s="2" t="s">
        <v>2040</v>
      </c>
      <c r="L405" s="2" t="s">
        <v>1381</v>
      </c>
      <c r="N405" s="2" t="s">
        <v>2041</v>
      </c>
      <c r="P405" s="2" t="s">
        <v>117</v>
      </c>
      <c r="Q405" s="2" t="s">
        <v>455</v>
      </c>
      <c r="R405" s="2" t="s">
        <v>2042</v>
      </c>
      <c r="T405" s="2" t="s">
        <v>472</v>
      </c>
      <c r="X405" s="2" t="s">
        <v>459</v>
      </c>
      <c r="Y405" s="2" t="s">
        <v>457</v>
      </c>
      <c r="Z405" s="2" t="s">
        <v>458</v>
      </c>
    </row>
    <row r="406" spans="1:27">
      <c r="A406" s="12">
        <v>44992.841440254633</v>
      </c>
      <c r="B406" s="2" t="s">
        <v>452</v>
      </c>
      <c r="C406" s="2" t="s">
        <v>453</v>
      </c>
      <c r="D406" s="2" t="s">
        <v>452</v>
      </c>
      <c r="E406" s="2" t="s">
        <v>454</v>
      </c>
      <c r="F406" s="2" t="s">
        <v>2043</v>
      </c>
      <c r="H406" s="2" t="s">
        <v>124</v>
      </c>
      <c r="J406" s="2" t="s">
        <v>117</v>
      </c>
      <c r="L406" s="2" t="s">
        <v>2044</v>
      </c>
      <c r="M406" s="2" t="s">
        <v>102</v>
      </c>
      <c r="N406" s="2" t="s">
        <v>110</v>
      </c>
      <c r="O406" s="2" t="s">
        <v>627</v>
      </c>
      <c r="P406" s="2" t="s">
        <v>117</v>
      </c>
      <c r="Q406" s="2" t="s">
        <v>455</v>
      </c>
      <c r="R406" s="2" t="s">
        <v>2045</v>
      </c>
      <c r="T406" s="2" t="s">
        <v>455</v>
      </c>
      <c r="U406" s="2" t="s">
        <v>300</v>
      </c>
      <c r="V406" s="2" t="s">
        <v>305</v>
      </c>
      <c r="X406" s="2" t="s">
        <v>459</v>
      </c>
      <c r="Y406" s="2" t="s">
        <v>457</v>
      </c>
      <c r="Z406" s="2" t="s">
        <v>458</v>
      </c>
      <c r="AA406" s="2" t="s">
        <v>628</v>
      </c>
    </row>
    <row r="407" spans="1:27">
      <c r="A407" s="12">
        <v>44992.865381388889</v>
      </c>
      <c r="B407" s="2" t="s">
        <v>452</v>
      </c>
      <c r="C407" s="2" t="s">
        <v>453</v>
      </c>
      <c r="D407" s="2" t="s">
        <v>452</v>
      </c>
      <c r="E407" s="2" t="s">
        <v>454</v>
      </c>
      <c r="F407" s="2" t="s">
        <v>2046</v>
      </c>
      <c r="H407" s="2" t="s">
        <v>139</v>
      </c>
      <c r="J407" s="2" t="s">
        <v>914</v>
      </c>
      <c r="L407" s="2" t="s">
        <v>2047</v>
      </c>
      <c r="N407" s="2" t="s">
        <v>108</v>
      </c>
      <c r="O407" s="2" t="s">
        <v>629</v>
      </c>
      <c r="P407" s="2" t="s">
        <v>1788</v>
      </c>
      <c r="Q407" s="2" t="s">
        <v>455</v>
      </c>
      <c r="R407" s="2" t="s">
        <v>1963</v>
      </c>
      <c r="T407" s="2" t="s">
        <v>455</v>
      </c>
      <c r="U407" s="2" t="s">
        <v>976</v>
      </c>
      <c r="V407" s="2" t="s">
        <v>305</v>
      </c>
      <c r="X407" s="2" t="s">
        <v>462</v>
      </c>
      <c r="Y407" s="2" t="s">
        <v>457</v>
      </c>
      <c r="Z407" s="2" t="s">
        <v>458</v>
      </c>
    </row>
    <row r="408" spans="1:27">
      <c r="A408" s="12">
        <v>44992.886372835652</v>
      </c>
      <c r="B408" s="2" t="s">
        <v>452</v>
      </c>
      <c r="C408" s="2" t="s">
        <v>453</v>
      </c>
      <c r="D408" s="2" t="s">
        <v>452</v>
      </c>
      <c r="E408" s="2" t="s">
        <v>454</v>
      </c>
      <c r="F408" s="2" t="s">
        <v>1171</v>
      </c>
      <c r="H408" s="2" t="s">
        <v>2048</v>
      </c>
      <c r="J408" s="2" t="s">
        <v>117</v>
      </c>
      <c r="L408" s="2" t="s">
        <v>944</v>
      </c>
      <c r="N408" s="2" t="s">
        <v>108</v>
      </c>
      <c r="P408" s="2" t="s">
        <v>117</v>
      </c>
      <c r="Q408" s="2" t="s">
        <v>455</v>
      </c>
      <c r="R408" s="2" t="s">
        <v>2049</v>
      </c>
      <c r="T408" s="2" t="s">
        <v>455</v>
      </c>
      <c r="U408" s="2" t="s">
        <v>1564</v>
      </c>
      <c r="V408" s="2" t="s">
        <v>300</v>
      </c>
      <c r="X408" s="2" t="s">
        <v>479</v>
      </c>
      <c r="Y408" s="2" t="s">
        <v>457</v>
      </c>
      <c r="Z408" s="2" t="s">
        <v>458</v>
      </c>
    </row>
    <row r="409" spans="1:27">
      <c r="A409" s="12">
        <v>44992.905975439819</v>
      </c>
      <c r="B409" s="2" t="s">
        <v>452</v>
      </c>
      <c r="C409" s="2" t="s">
        <v>453</v>
      </c>
      <c r="D409" s="2" t="s">
        <v>452</v>
      </c>
      <c r="E409" s="2" t="s">
        <v>454</v>
      </c>
      <c r="F409" s="2" t="s">
        <v>2050</v>
      </c>
      <c r="H409" s="2" t="s">
        <v>2051</v>
      </c>
      <c r="J409" s="2" t="s">
        <v>845</v>
      </c>
      <c r="L409" s="2" t="s">
        <v>2052</v>
      </c>
      <c r="N409" s="2" t="s">
        <v>107</v>
      </c>
      <c r="P409" s="2" t="s">
        <v>117</v>
      </c>
      <c r="Q409" s="2" t="s">
        <v>455</v>
      </c>
      <c r="R409" s="2" t="s">
        <v>183</v>
      </c>
      <c r="T409" s="2" t="s">
        <v>455</v>
      </c>
      <c r="U409" s="2" t="s">
        <v>299</v>
      </c>
      <c r="V409" s="2" t="s">
        <v>305</v>
      </c>
      <c r="W409" s="2" t="s">
        <v>419</v>
      </c>
      <c r="X409" s="2" t="s">
        <v>474</v>
      </c>
      <c r="Y409" s="2" t="s">
        <v>457</v>
      </c>
      <c r="Z409" s="2" t="s">
        <v>458</v>
      </c>
    </row>
    <row r="410" spans="1:27">
      <c r="A410" s="12">
        <v>44992.950450949073</v>
      </c>
      <c r="B410" s="2" t="s">
        <v>452</v>
      </c>
      <c r="C410" s="2" t="s">
        <v>453</v>
      </c>
      <c r="D410" s="2" t="s">
        <v>452</v>
      </c>
      <c r="E410" s="2" t="s">
        <v>454</v>
      </c>
      <c r="F410" s="2" t="s">
        <v>2053</v>
      </c>
      <c r="H410" s="2" t="s">
        <v>883</v>
      </c>
      <c r="J410" s="2" t="s">
        <v>2054</v>
      </c>
      <c r="L410" s="2" t="s">
        <v>2055</v>
      </c>
      <c r="N410" s="2" t="s">
        <v>107</v>
      </c>
      <c r="P410" s="2" t="s">
        <v>122</v>
      </c>
      <c r="Q410" s="2" t="s">
        <v>455</v>
      </c>
      <c r="R410" s="2" t="s">
        <v>2056</v>
      </c>
      <c r="T410" s="2" t="s">
        <v>455</v>
      </c>
      <c r="U410" s="2" t="s">
        <v>304</v>
      </c>
      <c r="V410" s="2" t="s">
        <v>305</v>
      </c>
      <c r="W410" s="2" t="s">
        <v>364</v>
      </c>
      <c r="X410" s="2" t="s">
        <v>479</v>
      </c>
      <c r="Y410" s="2" t="s">
        <v>457</v>
      </c>
      <c r="Z410" s="2" t="s">
        <v>458</v>
      </c>
    </row>
    <row r="411" spans="1:27">
      <c r="A411" s="12">
        <v>44992.998434803245</v>
      </c>
      <c r="B411" s="2" t="s">
        <v>452</v>
      </c>
      <c r="C411" s="2" t="s">
        <v>453</v>
      </c>
      <c r="D411" s="2" t="s">
        <v>452</v>
      </c>
      <c r="E411" s="2" t="s">
        <v>454</v>
      </c>
      <c r="F411" s="2" t="s">
        <v>2057</v>
      </c>
      <c r="H411" s="2" t="s">
        <v>1023</v>
      </c>
      <c r="J411" s="2" t="s">
        <v>845</v>
      </c>
      <c r="L411" s="2" t="s">
        <v>2058</v>
      </c>
      <c r="N411" s="2" t="s">
        <v>106</v>
      </c>
      <c r="P411" s="2" t="s">
        <v>676</v>
      </c>
      <c r="Q411" s="2" t="s">
        <v>455</v>
      </c>
      <c r="R411" s="2" t="s">
        <v>2059</v>
      </c>
      <c r="S411" s="2" t="s">
        <v>280</v>
      </c>
      <c r="T411" s="2" t="s">
        <v>455</v>
      </c>
      <c r="U411" s="2" t="s">
        <v>298</v>
      </c>
      <c r="V411" s="2" t="s">
        <v>305</v>
      </c>
      <c r="X411" s="2" t="s">
        <v>501</v>
      </c>
      <c r="Y411" s="2" t="s">
        <v>457</v>
      </c>
      <c r="Z411" s="2" t="s">
        <v>458</v>
      </c>
    </row>
    <row r="412" spans="1:27">
      <c r="A412" s="12">
        <v>44993.216773576394</v>
      </c>
      <c r="B412" s="2" t="s">
        <v>452</v>
      </c>
      <c r="C412" s="2" t="s">
        <v>453</v>
      </c>
      <c r="D412" s="2" t="s">
        <v>452</v>
      </c>
      <c r="E412" s="2" t="s">
        <v>454</v>
      </c>
      <c r="F412" s="2" t="s">
        <v>2060</v>
      </c>
      <c r="H412" s="2" t="s">
        <v>2061</v>
      </c>
      <c r="J412" s="2" t="s">
        <v>1424</v>
      </c>
      <c r="L412" s="2" t="s">
        <v>2062</v>
      </c>
      <c r="O412" s="2" t="s">
        <v>630</v>
      </c>
      <c r="P412" s="2" t="s">
        <v>2063</v>
      </c>
      <c r="Q412" s="2" t="s">
        <v>455</v>
      </c>
      <c r="R412" s="2" t="s">
        <v>2064</v>
      </c>
      <c r="T412" s="2" t="s">
        <v>455</v>
      </c>
      <c r="U412" s="2" t="s">
        <v>809</v>
      </c>
      <c r="V412" s="2" t="s">
        <v>305</v>
      </c>
      <c r="W412" s="2" t="s">
        <v>355</v>
      </c>
      <c r="X412" s="2" t="s">
        <v>459</v>
      </c>
      <c r="Y412" s="2" t="s">
        <v>631</v>
      </c>
      <c r="Z412" s="2" t="s">
        <v>452</v>
      </c>
      <c r="AA412" s="2" t="s">
        <v>632</v>
      </c>
    </row>
    <row r="413" spans="1:27">
      <c r="A413" s="12">
        <v>44993.221970752318</v>
      </c>
      <c r="B413" s="2" t="s">
        <v>452</v>
      </c>
      <c r="C413" s="2" t="s">
        <v>453</v>
      </c>
      <c r="D413" s="2" t="s">
        <v>452</v>
      </c>
      <c r="E413" s="2" t="s">
        <v>454</v>
      </c>
      <c r="F413" s="2" t="s">
        <v>2065</v>
      </c>
      <c r="H413" s="2" t="s">
        <v>107</v>
      </c>
      <c r="J413" s="2" t="s">
        <v>107</v>
      </c>
      <c r="L413" s="2" t="s">
        <v>2066</v>
      </c>
      <c r="N413" s="2" t="s">
        <v>2067</v>
      </c>
      <c r="P413" s="2" t="s">
        <v>117</v>
      </c>
      <c r="Q413" s="2" t="s">
        <v>455</v>
      </c>
      <c r="R413" s="2" t="s">
        <v>2068</v>
      </c>
      <c r="T413" s="2" t="s">
        <v>455</v>
      </c>
      <c r="U413" s="2" t="s">
        <v>2069</v>
      </c>
      <c r="V413" s="2" t="s">
        <v>305</v>
      </c>
      <c r="W413" s="2" t="s">
        <v>394</v>
      </c>
      <c r="X413" s="2" t="s">
        <v>462</v>
      </c>
      <c r="Y413" s="2" t="s">
        <v>457</v>
      </c>
      <c r="Z413" s="2" t="s">
        <v>458</v>
      </c>
    </row>
    <row r="414" spans="1:27">
      <c r="A414" s="12">
        <v>44993.361179259256</v>
      </c>
      <c r="B414" s="2" t="s">
        <v>452</v>
      </c>
      <c r="C414" s="2" t="s">
        <v>453</v>
      </c>
      <c r="D414" s="2" t="s">
        <v>452</v>
      </c>
      <c r="E414" s="2" t="s">
        <v>454</v>
      </c>
      <c r="F414" s="2" t="s">
        <v>2070</v>
      </c>
      <c r="H414" s="2" t="s">
        <v>139</v>
      </c>
      <c r="J414" s="2" t="s">
        <v>117</v>
      </c>
      <c r="L414" s="2" t="s">
        <v>2071</v>
      </c>
      <c r="N414" s="2" t="s">
        <v>105</v>
      </c>
      <c r="P414" s="2" t="s">
        <v>117</v>
      </c>
      <c r="Q414" s="2" t="s">
        <v>455</v>
      </c>
      <c r="R414" s="2" t="s">
        <v>2072</v>
      </c>
      <c r="S414" s="2" t="s">
        <v>209</v>
      </c>
      <c r="T414" s="2" t="s">
        <v>455</v>
      </c>
      <c r="U414" s="2" t="s">
        <v>299</v>
      </c>
      <c r="V414" s="2" t="s">
        <v>305</v>
      </c>
      <c r="X414" s="2" t="s">
        <v>479</v>
      </c>
      <c r="Y414" s="2" t="s">
        <v>457</v>
      </c>
      <c r="Z414" s="2" t="s">
        <v>458</v>
      </c>
    </row>
    <row r="415" spans="1:27">
      <c r="A415" s="12">
        <v>44993.54247641204</v>
      </c>
      <c r="B415" s="2" t="s">
        <v>452</v>
      </c>
      <c r="C415" s="2" t="s">
        <v>453</v>
      </c>
      <c r="D415" s="2" t="s">
        <v>452</v>
      </c>
      <c r="E415" s="2" t="s">
        <v>454</v>
      </c>
      <c r="F415" s="2" t="s">
        <v>2073</v>
      </c>
      <c r="H415" s="2" t="s">
        <v>121</v>
      </c>
      <c r="I415" s="2" t="s">
        <v>149</v>
      </c>
      <c r="J415" s="2" t="s">
        <v>914</v>
      </c>
      <c r="L415" s="2" t="s">
        <v>2074</v>
      </c>
      <c r="M415" s="2" t="s">
        <v>89</v>
      </c>
      <c r="N415" s="2" t="s">
        <v>106</v>
      </c>
      <c r="P415" s="2" t="s">
        <v>119</v>
      </c>
      <c r="Q415" s="2" t="s">
        <v>455</v>
      </c>
      <c r="R415" s="2" t="s">
        <v>2075</v>
      </c>
      <c r="T415" s="2" t="s">
        <v>455</v>
      </c>
      <c r="U415" s="2" t="s">
        <v>298</v>
      </c>
      <c r="X415" s="2" t="s">
        <v>459</v>
      </c>
      <c r="Y415" s="2" t="s">
        <v>457</v>
      </c>
      <c r="Z415" s="2" t="s">
        <v>458</v>
      </c>
    </row>
    <row r="416" spans="1:27">
      <c r="A416" s="12">
        <v>44993.56598561343</v>
      </c>
      <c r="B416" s="2" t="s">
        <v>452</v>
      </c>
      <c r="C416" s="2" t="s">
        <v>453</v>
      </c>
      <c r="D416" s="2" t="s">
        <v>452</v>
      </c>
      <c r="E416" s="2" t="s">
        <v>454</v>
      </c>
      <c r="F416" s="2" t="s">
        <v>2076</v>
      </c>
      <c r="H416" s="2" t="s">
        <v>958</v>
      </c>
      <c r="J416" s="2" t="s">
        <v>117</v>
      </c>
      <c r="L416" s="2" t="s">
        <v>167</v>
      </c>
      <c r="M416" s="2" t="s">
        <v>87</v>
      </c>
      <c r="N416" s="2" t="s">
        <v>675</v>
      </c>
      <c r="P416" s="2" t="s">
        <v>117</v>
      </c>
      <c r="Q416" s="2" t="s">
        <v>455</v>
      </c>
      <c r="R416" s="2" t="s">
        <v>2077</v>
      </c>
      <c r="T416" s="2" t="s">
        <v>455</v>
      </c>
      <c r="U416" s="2" t="s">
        <v>296</v>
      </c>
      <c r="V416" s="2" t="s">
        <v>303</v>
      </c>
      <c r="X416" s="2" t="s">
        <v>462</v>
      </c>
      <c r="Y416" s="2" t="s">
        <v>457</v>
      </c>
      <c r="Z416" s="2" t="s">
        <v>458</v>
      </c>
    </row>
    <row r="417" spans="1:27">
      <c r="A417" s="12">
        <v>44993.697378877318</v>
      </c>
      <c r="B417" s="2" t="s">
        <v>452</v>
      </c>
      <c r="C417" s="2" t="s">
        <v>453</v>
      </c>
      <c r="D417" s="2" t="s">
        <v>452</v>
      </c>
      <c r="E417" s="2" t="s">
        <v>454</v>
      </c>
      <c r="F417" s="2" t="s">
        <v>2078</v>
      </c>
      <c r="H417" s="2" t="s">
        <v>777</v>
      </c>
      <c r="J417" s="2" t="s">
        <v>121</v>
      </c>
      <c r="L417" s="2" t="s">
        <v>2079</v>
      </c>
      <c r="P417" s="2" t="s">
        <v>121</v>
      </c>
      <c r="Q417" s="2" t="s">
        <v>455</v>
      </c>
      <c r="R417" s="2" t="s">
        <v>2080</v>
      </c>
      <c r="T417" s="2" t="s">
        <v>455</v>
      </c>
      <c r="U417" s="2" t="s">
        <v>1262</v>
      </c>
      <c r="V417" s="2" t="s">
        <v>305</v>
      </c>
      <c r="X417" s="2" t="s">
        <v>462</v>
      </c>
      <c r="Y417" s="2" t="s">
        <v>457</v>
      </c>
      <c r="Z417" s="2" t="s">
        <v>458</v>
      </c>
    </row>
    <row r="418" spans="1:27">
      <c r="A418" s="12">
        <v>44993.712694606482</v>
      </c>
      <c r="B418" s="2" t="s">
        <v>452</v>
      </c>
      <c r="C418" s="2" t="s">
        <v>453</v>
      </c>
      <c r="D418" s="2" t="s">
        <v>452</v>
      </c>
      <c r="E418" s="2" t="s">
        <v>454</v>
      </c>
      <c r="F418" s="2" t="s">
        <v>2081</v>
      </c>
      <c r="H418" s="2" t="s">
        <v>139</v>
      </c>
      <c r="J418" s="2" t="s">
        <v>117</v>
      </c>
      <c r="L418" s="2" t="s">
        <v>1773</v>
      </c>
      <c r="N418" s="2" t="s">
        <v>105</v>
      </c>
      <c r="O418" s="2" t="s">
        <v>115</v>
      </c>
      <c r="P418" s="2" t="s">
        <v>117</v>
      </c>
      <c r="Q418" s="2" t="s">
        <v>455</v>
      </c>
      <c r="R418" s="2" t="s">
        <v>2082</v>
      </c>
      <c r="T418" s="2" t="s">
        <v>455</v>
      </c>
      <c r="U418" s="2" t="s">
        <v>2027</v>
      </c>
      <c r="V418" s="2" t="s">
        <v>305</v>
      </c>
      <c r="X418" s="2" t="s">
        <v>456</v>
      </c>
      <c r="Y418" s="2" t="s">
        <v>457</v>
      </c>
      <c r="Z418" s="2" t="s">
        <v>458</v>
      </c>
    </row>
    <row r="419" spans="1:27">
      <c r="A419" s="12">
        <v>44993.784079247685</v>
      </c>
      <c r="B419" s="2" t="s">
        <v>452</v>
      </c>
      <c r="C419" s="2" t="s">
        <v>453</v>
      </c>
      <c r="D419" s="2" t="s">
        <v>452</v>
      </c>
      <c r="E419" s="2" t="s">
        <v>454</v>
      </c>
      <c r="F419" s="2" t="s">
        <v>2</v>
      </c>
      <c r="H419" s="2" t="s">
        <v>140</v>
      </c>
      <c r="J419" s="2" t="s">
        <v>140</v>
      </c>
      <c r="L419" s="2" t="s">
        <v>170</v>
      </c>
      <c r="N419" s="2" t="s">
        <v>105</v>
      </c>
      <c r="P419" s="2" t="s">
        <v>119</v>
      </c>
      <c r="Q419" s="2" t="s">
        <v>455</v>
      </c>
      <c r="R419" s="2" t="s">
        <v>2083</v>
      </c>
      <c r="T419" s="2" t="s">
        <v>455</v>
      </c>
      <c r="U419" s="2" t="s">
        <v>1245</v>
      </c>
      <c r="V419" s="2" t="s">
        <v>305</v>
      </c>
      <c r="X419" s="2" t="s">
        <v>464</v>
      </c>
      <c r="Y419" s="2" t="s">
        <v>457</v>
      </c>
      <c r="Z419" s="2" t="s">
        <v>458</v>
      </c>
    </row>
    <row r="420" spans="1:27">
      <c r="A420" s="12">
        <v>44993.850728391204</v>
      </c>
      <c r="B420" s="2" t="s">
        <v>452</v>
      </c>
      <c r="C420" s="2" t="s">
        <v>453</v>
      </c>
      <c r="D420" s="2" t="s">
        <v>452</v>
      </c>
      <c r="E420" s="2" t="s">
        <v>454</v>
      </c>
      <c r="F420" s="2" t="s">
        <v>2084</v>
      </c>
      <c r="H420" s="2" t="s">
        <v>2085</v>
      </c>
      <c r="J420" s="2" t="s">
        <v>117</v>
      </c>
      <c r="L420" s="2" t="s">
        <v>2086</v>
      </c>
      <c r="N420" s="2" t="s">
        <v>105</v>
      </c>
      <c r="P420" s="2" t="s">
        <v>117</v>
      </c>
      <c r="Q420" s="2" t="s">
        <v>455</v>
      </c>
      <c r="R420" s="2" t="s">
        <v>2087</v>
      </c>
      <c r="T420" s="2" t="s">
        <v>455</v>
      </c>
      <c r="U420" s="2" t="s">
        <v>853</v>
      </c>
      <c r="V420" s="2" t="s">
        <v>305</v>
      </c>
      <c r="W420" s="2" t="s">
        <v>371</v>
      </c>
      <c r="X420" s="2" t="s">
        <v>459</v>
      </c>
      <c r="Y420" s="2" t="s">
        <v>457</v>
      </c>
      <c r="Z420" s="2" t="s">
        <v>458</v>
      </c>
    </row>
    <row r="421" spans="1:27">
      <c r="A421" s="12">
        <v>44993.864790474538</v>
      </c>
      <c r="B421" s="2" t="s">
        <v>452</v>
      </c>
      <c r="C421" s="2" t="s">
        <v>453</v>
      </c>
      <c r="D421" s="2" t="s">
        <v>452</v>
      </c>
      <c r="E421" s="2" t="s">
        <v>454</v>
      </c>
      <c r="F421" s="2" t="s">
        <v>2088</v>
      </c>
      <c r="H421" s="2" t="s">
        <v>2089</v>
      </c>
      <c r="J421" s="2" t="s">
        <v>1130</v>
      </c>
      <c r="L421" s="2" t="s">
        <v>1876</v>
      </c>
      <c r="N421" s="2" t="s">
        <v>763</v>
      </c>
      <c r="P421" s="2" t="s">
        <v>2090</v>
      </c>
      <c r="Q421" s="2" t="s">
        <v>455</v>
      </c>
      <c r="T421" s="2" t="s">
        <v>472</v>
      </c>
      <c r="X421" s="2" t="s">
        <v>459</v>
      </c>
      <c r="Y421" s="2" t="s">
        <v>457</v>
      </c>
      <c r="Z421" s="2" t="s">
        <v>458</v>
      </c>
    </row>
    <row r="422" spans="1:27">
      <c r="A422" s="12">
        <v>44993.882317256939</v>
      </c>
      <c r="B422" s="2" t="s">
        <v>452</v>
      </c>
      <c r="C422" s="2" t="s">
        <v>453</v>
      </c>
      <c r="D422" s="2" t="s">
        <v>452</v>
      </c>
      <c r="E422" s="2" t="s">
        <v>454</v>
      </c>
      <c r="F422" s="2" t="s">
        <v>2091</v>
      </c>
      <c r="H422" s="2" t="s">
        <v>1023</v>
      </c>
      <c r="J422" s="2" t="s">
        <v>117</v>
      </c>
      <c r="L422" s="2" t="s">
        <v>2092</v>
      </c>
      <c r="N422" s="2" t="s">
        <v>2093</v>
      </c>
      <c r="P422" s="2" t="s">
        <v>117</v>
      </c>
      <c r="Q422" s="2" t="s">
        <v>455</v>
      </c>
      <c r="R422" s="2" t="s">
        <v>791</v>
      </c>
      <c r="T422" s="2" t="s">
        <v>455</v>
      </c>
      <c r="U422" s="2" t="s">
        <v>304</v>
      </c>
      <c r="V422" s="2" t="s">
        <v>305</v>
      </c>
      <c r="X422" s="2" t="s">
        <v>459</v>
      </c>
      <c r="Y422" s="2" t="s">
        <v>457</v>
      </c>
      <c r="Z422" s="2" t="s">
        <v>458</v>
      </c>
    </row>
    <row r="423" spans="1:27">
      <c r="A423" s="12">
        <v>44993.906904421296</v>
      </c>
      <c r="B423" s="2" t="s">
        <v>452</v>
      </c>
      <c r="C423" s="2" t="s">
        <v>453</v>
      </c>
      <c r="D423" s="2" t="s">
        <v>452</v>
      </c>
      <c r="E423" s="2" t="s">
        <v>454</v>
      </c>
      <c r="F423" s="2" t="s">
        <v>2094</v>
      </c>
      <c r="H423" s="2" t="s">
        <v>139</v>
      </c>
      <c r="J423" s="2" t="s">
        <v>155</v>
      </c>
      <c r="L423" s="2" t="s">
        <v>1381</v>
      </c>
      <c r="N423" s="2" t="s">
        <v>107</v>
      </c>
      <c r="P423" s="2" t="s">
        <v>122</v>
      </c>
      <c r="Q423" s="2" t="s">
        <v>455</v>
      </c>
      <c r="R423" s="2" t="s">
        <v>1759</v>
      </c>
      <c r="T423" s="2" t="s">
        <v>455</v>
      </c>
      <c r="U423" s="2" t="s">
        <v>296</v>
      </c>
      <c r="V423" s="2" t="s">
        <v>305</v>
      </c>
      <c r="X423" s="2" t="s">
        <v>475</v>
      </c>
      <c r="Y423" s="2" t="s">
        <v>457</v>
      </c>
      <c r="Z423" s="2" t="s">
        <v>458</v>
      </c>
    </row>
    <row r="424" spans="1:27">
      <c r="A424" s="12">
        <v>44993.942990115742</v>
      </c>
      <c r="B424" s="2" t="s">
        <v>452</v>
      </c>
      <c r="C424" s="2" t="s">
        <v>453</v>
      </c>
      <c r="D424" s="2" t="s">
        <v>452</v>
      </c>
      <c r="E424" s="2" t="s">
        <v>454</v>
      </c>
      <c r="F424" s="2" t="s">
        <v>2095</v>
      </c>
      <c r="H424" s="2" t="s">
        <v>139</v>
      </c>
      <c r="J424" s="2" t="s">
        <v>117</v>
      </c>
      <c r="L424" s="2" t="s">
        <v>2096</v>
      </c>
      <c r="N424" s="2" t="s">
        <v>675</v>
      </c>
      <c r="P424" s="2" t="s">
        <v>117</v>
      </c>
      <c r="Q424" s="2" t="s">
        <v>455</v>
      </c>
      <c r="R424" s="2" t="s">
        <v>2097</v>
      </c>
      <c r="S424" s="2" t="s">
        <v>223</v>
      </c>
      <c r="T424" s="2" t="s">
        <v>455</v>
      </c>
      <c r="U424" s="2" t="s">
        <v>735</v>
      </c>
      <c r="V424" s="2" t="s">
        <v>305</v>
      </c>
      <c r="W424" s="2" t="s">
        <v>310</v>
      </c>
      <c r="X424" s="2" t="s">
        <v>459</v>
      </c>
      <c r="Y424" s="2" t="s">
        <v>457</v>
      </c>
      <c r="Z424" s="2" t="s">
        <v>458</v>
      </c>
      <c r="AA424" s="2" t="s">
        <v>523</v>
      </c>
    </row>
    <row r="425" spans="1:27">
      <c r="A425" s="12">
        <v>44994.005166006944</v>
      </c>
      <c r="B425" s="2" t="s">
        <v>452</v>
      </c>
      <c r="C425" s="2" t="s">
        <v>453</v>
      </c>
      <c r="D425" s="2" t="s">
        <v>452</v>
      </c>
      <c r="E425" s="2" t="s">
        <v>454</v>
      </c>
      <c r="F425" s="2" t="s">
        <v>2098</v>
      </c>
      <c r="H425" s="2" t="s">
        <v>653</v>
      </c>
      <c r="J425" s="2" t="s">
        <v>117</v>
      </c>
      <c r="L425" s="2" t="s">
        <v>2099</v>
      </c>
      <c r="N425" s="2" t="s">
        <v>107</v>
      </c>
      <c r="P425" s="2" t="s">
        <v>117</v>
      </c>
      <c r="Q425" s="2" t="s">
        <v>455</v>
      </c>
      <c r="R425" s="2" t="s">
        <v>2100</v>
      </c>
      <c r="T425" s="2" t="s">
        <v>455</v>
      </c>
      <c r="U425" s="2" t="s">
        <v>304</v>
      </c>
      <c r="V425" s="2" t="s">
        <v>305</v>
      </c>
      <c r="X425" s="2" t="s">
        <v>479</v>
      </c>
      <c r="Y425" s="2" t="s">
        <v>457</v>
      </c>
      <c r="Z425" s="2" t="s">
        <v>458</v>
      </c>
      <c r="AA425" s="2" t="s">
        <v>633</v>
      </c>
    </row>
    <row r="426" spans="1:27">
      <c r="A426" s="12">
        <v>44994.011701550931</v>
      </c>
      <c r="B426" s="2" t="s">
        <v>452</v>
      </c>
      <c r="C426" s="2" t="s">
        <v>453</v>
      </c>
      <c r="D426" s="2" t="s">
        <v>452</v>
      </c>
      <c r="E426" s="2" t="s">
        <v>454</v>
      </c>
      <c r="F426" s="2" t="s">
        <v>2101</v>
      </c>
      <c r="H426" s="2" t="s">
        <v>1015</v>
      </c>
      <c r="I426" s="2" t="s">
        <v>634</v>
      </c>
      <c r="J426" s="2" t="s">
        <v>154</v>
      </c>
      <c r="L426" s="2" t="s">
        <v>2102</v>
      </c>
      <c r="M426" s="2" t="s">
        <v>75</v>
      </c>
      <c r="N426" s="2" t="s">
        <v>1373</v>
      </c>
      <c r="O426" s="2" t="s">
        <v>635</v>
      </c>
      <c r="P426" s="2" t="s">
        <v>855</v>
      </c>
      <c r="Q426" s="2" t="s">
        <v>455</v>
      </c>
      <c r="R426" s="2" t="s">
        <v>2103</v>
      </c>
      <c r="S426" s="2" t="s">
        <v>273</v>
      </c>
      <c r="T426" s="2" t="s">
        <v>455</v>
      </c>
      <c r="U426" s="2" t="s">
        <v>809</v>
      </c>
      <c r="V426" s="2" t="s">
        <v>305</v>
      </c>
      <c r="W426" s="2" t="s">
        <v>398</v>
      </c>
      <c r="X426" s="2" t="s">
        <v>464</v>
      </c>
      <c r="Y426" s="2" t="s">
        <v>457</v>
      </c>
      <c r="Z426" s="2" t="s">
        <v>458</v>
      </c>
      <c r="AA426" s="2" t="s">
        <v>636</v>
      </c>
    </row>
    <row r="427" spans="1:27">
      <c r="A427" s="12">
        <v>44994.091199386574</v>
      </c>
      <c r="B427" s="2" t="s">
        <v>452</v>
      </c>
      <c r="C427" s="2" t="s">
        <v>453</v>
      </c>
      <c r="D427" s="2" t="s">
        <v>452</v>
      </c>
      <c r="E427" s="2" t="s">
        <v>454</v>
      </c>
      <c r="F427" s="2" t="s">
        <v>2104</v>
      </c>
      <c r="H427" s="2" t="s">
        <v>958</v>
      </c>
      <c r="J427" s="2" t="s">
        <v>117</v>
      </c>
      <c r="L427" s="2" t="s">
        <v>2105</v>
      </c>
      <c r="N427" s="2" t="s">
        <v>823</v>
      </c>
      <c r="P427" s="2" t="s">
        <v>119</v>
      </c>
      <c r="Q427" s="2" t="s">
        <v>455</v>
      </c>
      <c r="R427" s="2" t="s">
        <v>2106</v>
      </c>
      <c r="T427" s="2" t="s">
        <v>455</v>
      </c>
      <c r="U427" s="2" t="s">
        <v>304</v>
      </c>
      <c r="V427" s="2" t="s">
        <v>305</v>
      </c>
      <c r="X427" s="2" t="s">
        <v>464</v>
      </c>
      <c r="Y427" s="2" t="s">
        <v>457</v>
      </c>
      <c r="Z427" s="2" t="s">
        <v>458</v>
      </c>
    </row>
    <row r="428" spans="1:27">
      <c r="A428" s="12">
        <v>44994.494706041667</v>
      </c>
      <c r="B428" s="2" t="s">
        <v>452</v>
      </c>
      <c r="C428" s="2" t="s">
        <v>453</v>
      </c>
      <c r="D428" s="2" t="s">
        <v>452</v>
      </c>
      <c r="E428" s="2" t="s">
        <v>454</v>
      </c>
      <c r="F428" s="2" t="s">
        <v>2107</v>
      </c>
      <c r="H428" s="2" t="s">
        <v>139</v>
      </c>
      <c r="J428" s="2" t="s">
        <v>117</v>
      </c>
      <c r="L428" s="2" t="s">
        <v>1250</v>
      </c>
      <c r="M428" s="2" t="s">
        <v>76</v>
      </c>
      <c r="N428" s="2" t="s">
        <v>106</v>
      </c>
      <c r="P428" s="2" t="s">
        <v>117</v>
      </c>
      <c r="Q428" s="2" t="s">
        <v>455</v>
      </c>
      <c r="R428" s="2" t="s">
        <v>2108</v>
      </c>
      <c r="S428" s="2" t="s">
        <v>277</v>
      </c>
      <c r="T428" s="2" t="s">
        <v>455</v>
      </c>
      <c r="U428" s="2" t="s">
        <v>1490</v>
      </c>
      <c r="V428" s="2" t="s">
        <v>305</v>
      </c>
      <c r="W428" s="2" t="s">
        <v>400</v>
      </c>
      <c r="X428" s="2" t="s">
        <v>475</v>
      </c>
      <c r="Y428" s="2" t="s">
        <v>457</v>
      </c>
      <c r="Z428" s="2" t="s">
        <v>458</v>
      </c>
      <c r="AA428" s="2" t="s">
        <v>637</v>
      </c>
    </row>
    <row r="429" spans="1:27">
      <c r="A429" s="12">
        <v>44994.508180925928</v>
      </c>
      <c r="B429" s="2" t="s">
        <v>452</v>
      </c>
      <c r="C429" s="2" t="s">
        <v>453</v>
      </c>
      <c r="D429" s="2" t="s">
        <v>452</v>
      </c>
      <c r="E429" s="2" t="s">
        <v>454</v>
      </c>
      <c r="F429" s="2" t="s">
        <v>2109</v>
      </c>
      <c r="H429" s="2" t="s">
        <v>139</v>
      </c>
      <c r="J429" s="2" t="s">
        <v>117</v>
      </c>
      <c r="L429" s="2" t="s">
        <v>167</v>
      </c>
      <c r="N429" s="2" t="s">
        <v>106</v>
      </c>
      <c r="P429" s="2" t="s">
        <v>117</v>
      </c>
      <c r="Q429" s="2" t="s">
        <v>455</v>
      </c>
      <c r="R429" s="2" t="s">
        <v>2110</v>
      </c>
      <c r="S429" s="2" t="s">
        <v>263</v>
      </c>
      <c r="T429" s="2" t="s">
        <v>455</v>
      </c>
      <c r="U429" s="2" t="s">
        <v>304</v>
      </c>
      <c r="V429" s="2" t="s">
        <v>305</v>
      </c>
      <c r="W429" s="2" t="s">
        <v>409</v>
      </c>
      <c r="X429" s="2" t="s">
        <v>464</v>
      </c>
      <c r="Y429" s="2" t="s">
        <v>457</v>
      </c>
      <c r="Z429" s="2" t="s">
        <v>458</v>
      </c>
    </row>
    <row r="430" spans="1:27">
      <c r="A430" s="12">
        <v>44994.80977417824</v>
      </c>
      <c r="B430" s="2" t="s">
        <v>452</v>
      </c>
      <c r="C430" s="2" t="s">
        <v>453</v>
      </c>
      <c r="D430" s="2" t="s">
        <v>452</v>
      </c>
      <c r="E430" s="2" t="s">
        <v>454</v>
      </c>
      <c r="F430" s="2" t="s">
        <v>2111</v>
      </c>
      <c r="H430" s="2" t="s">
        <v>704</v>
      </c>
      <c r="J430" s="2" t="s">
        <v>2112</v>
      </c>
      <c r="L430" s="2" t="s">
        <v>1547</v>
      </c>
      <c r="N430" s="2" t="s">
        <v>922</v>
      </c>
      <c r="P430" s="2" t="s">
        <v>2113</v>
      </c>
      <c r="Q430" s="2" t="s">
        <v>455</v>
      </c>
      <c r="R430" s="2" t="s">
        <v>2114</v>
      </c>
      <c r="T430" s="2" t="s">
        <v>455</v>
      </c>
      <c r="U430" s="2" t="s">
        <v>809</v>
      </c>
      <c r="X430" s="2" t="s">
        <v>462</v>
      </c>
      <c r="Y430" s="2" t="s">
        <v>457</v>
      </c>
      <c r="Z430" s="2" t="s">
        <v>458</v>
      </c>
    </row>
    <row r="431" spans="1:27">
      <c r="A431" s="12">
        <v>44994.876417418986</v>
      </c>
      <c r="B431" s="2" t="s">
        <v>452</v>
      </c>
      <c r="C431" s="2" t="s">
        <v>453</v>
      </c>
      <c r="D431" s="2" t="s">
        <v>452</v>
      </c>
      <c r="E431" s="2" t="s">
        <v>454</v>
      </c>
      <c r="F431" s="2" t="s">
        <v>2115</v>
      </c>
      <c r="G431" s="2" t="s">
        <v>2116</v>
      </c>
      <c r="H431" s="2" t="s">
        <v>139</v>
      </c>
      <c r="I431" s="2" t="s">
        <v>144</v>
      </c>
      <c r="J431" s="2" t="s">
        <v>117</v>
      </c>
      <c r="L431" s="2" t="s">
        <v>2117</v>
      </c>
      <c r="N431" s="2" t="s">
        <v>922</v>
      </c>
      <c r="O431" s="2" t="s">
        <v>639</v>
      </c>
      <c r="P431" s="2" t="s">
        <v>117</v>
      </c>
      <c r="Q431" s="2" t="s">
        <v>455</v>
      </c>
      <c r="R431" s="2" t="s">
        <v>2118</v>
      </c>
      <c r="T431" s="2" t="s">
        <v>455</v>
      </c>
      <c r="U431" s="2" t="s">
        <v>1375</v>
      </c>
      <c r="V431" s="2" t="s">
        <v>1375</v>
      </c>
      <c r="W431" s="2" t="s">
        <v>347</v>
      </c>
      <c r="X431" s="2" t="s">
        <v>459</v>
      </c>
      <c r="Y431" s="2" t="s">
        <v>457</v>
      </c>
      <c r="Z431" s="2" t="s">
        <v>458</v>
      </c>
    </row>
    <row r="432" spans="1:27">
      <c r="A432" s="12">
        <v>44995.104968449072</v>
      </c>
      <c r="B432" s="2" t="s">
        <v>452</v>
      </c>
      <c r="C432" s="2" t="s">
        <v>453</v>
      </c>
      <c r="D432" s="2" t="s">
        <v>452</v>
      </c>
      <c r="E432" s="2" t="s">
        <v>454</v>
      </c>
      <c r="F432" s="2" t="s">
        <v>2119</v>
      </c>
      <c r="G432" s="2" t="s">
        <v>0</v>
      </c>
      <c r="H432" s="2" t="s">
        <v>139</v>
      </c>
      <c r="J432" s="2" t="s">
        <v>1723</v>
      </c>
      <c r="L432" s="2" t="s">
        <v>167</v>
      </c>
      <c r="N432" s="2" t="s">
        <v>655</v>
      </c>
      <c r="P432" s="2" t="s">
        <v>906</v>
      </c>
      <c r="Q432" s="2" t="s">
        <v>455</v>
      </c>
      <c r="R432" s="2" t="s">
        <v>2120</v>
      </c>
      <c r="S432" s="2" t="s">
        <v>210</v>
      </c>
      <c r="T432" s="2" t="s">
        <v>455</v>
      </c>
      <c r="U432" s="2" t="s">
        <v>1445</v>
      </c>
      <c r="V432" s="2" t="s">
        <v>305</v>
      </c>
      <c r="W432" s="2" t="s">
        <v>358</v>
      </c>
      <c r="X432" s="2" t="s">
        <v>474</v>
      </c>
      <c r="Y432" s="2" t="s">
        <v>582</v>
      </c>
      <c r="Z432" s="2" t="s">
        <v>458</v>
      </c>
      <c r="AA432" s="2" t="s">
        <v>641</v>
      </c>
    </row>
    <row r="433" spans="1:26">
      <c r="A433" s="12">
        <v>44995.444131203709</v>
      </c>
      <c r="B433" s="2" t="s">
        <v>452</v>
      </c>
      <c r="C433" s="2" t="s">
        <v>453</v>
      </c>
      <c r="D433" s="2" t="s">
        <v>452</v>
      </c>
      <c r="E433" s="2" t="s">
        <v>454</v>
      </c>
      <c r="F433" s="2" t="s">
        <v>2121</v>
      </c>
      <c r="H433" s="2" t="s">
        <v>789</v>
      </c>
      <c r="J433" s="2" t="s">
        <v>117</v>
      </c>
      <c r="L433" s="2" t="s">
        <v>167</v>
      </c>
      <c r="N433" s="2" t="s">
        <v>747</v>
      </c>
      <c r="P433" s="2" t="s">
        <v>117</v>
      </c>
      <c r="Q433" s="2" t="s">
        <v>455</v>
      </c>
      <c r="R433" s="2" t="s">
        <v>2122</v>
      </c>
      <c r="T433" s="2" t="s">
        <v>455</v>
      </c>
      <c r="U433" s="2" t="s">
        <v>304</v>
      </c>
      <c r="V433" s="2" t="s">
        <v>305</v>
      </c>
      <c r="X433" s="2" t="s">
        <v>462</v>
      </c>
      <c r="Y433" s="2" t="s">
        <v>457</v>
      </c>
      <c r="Z433" s="2" t="s">
        <v>458</v>
      </c>
    </row>
    <row r="434" spans="1:26">
      <c r="A434" s="12">
        <v>44995.65670039352</v>
      </c>
      <c r="B434" s="2" t="s">
        <v>452</v>
      </c>
      <c r="C434" s="2" t="s">
        <v>453</v>
      </c>
      <c r="D434" s="2" t="s">
        <v>452</v>
      </c>
      <c r="E434" s="2" t="s">
        <v>454</v>
      </c>
      <c r="F434" s="2" t="s">
        <v>2123</v>
      </c>
      <c r="H434" s="2" t="s">
        <v>883</v>
      </c>
      <c r="J434" s="2" t="s">
        <v>2124</v>
      </c>
      <c r="L434" s="2" t="s">
        <v>2125</v>
      </c>
      <c r="N434" s="2" t="s">
        <v>675</v>
      </c>
      <c r="P434" s="2" t="s">
        <v>855</v>
      </c>
      <c r="Q434" s="2" t="s">
        <v>455</v>
      </c>
      <c r="R434" s="2" t="s">
        <v>2126</v>
      </c>
      <c r="T434" s="2" t="s">
        <v>472</v>
      </c>
      <c r="X434" s="2" t="s">
        <v>456</v>
      </c>
      <c r="Y434" s="2" t="s">
        <v>457</v>
      </c>
      <c r="Z434" s="2" t="s">
        <v>458</v>
      </c>
    </row>
    <row r="435" spans="1:26">
      <c r="A435" s="12">
        <v>44995.802005115736</v>
      </c>
      <c r="B435" s="2" t="s">
        <v>452</v>
      </c>
      <c r="C435" s="2" t="s">
        <v>453</v>
      </c>
      <c r="D435" s="2" t="s">
        <v>452</v>
      </c>
      <c r="E435" s="2" t="s">
        <v>454</v>
      </c>
      <c r="F435" s="2" t="s">
        <v>2127</v>
      </c>
      <c r="H435" s="2" t="s">
        <v>1860</v>
      </c>
      <c r="J435" s="2" t="s">
        <v>117</v>
      </c>
      <c r="L435" s="2" t="s">
        <v>2019</v>
      </c>
      <c r="N435" s="2" t="s">
        <v>105</v>
      </c>
      <c r="P435" s="2" t="s">
        <v>120</v>
      </c>
      <c r="Q435" s="2" t="s">
        <v>455</v>
      </c>
      <c r="R435" s="2" t="s">
        <v>2128</v>
      </c>
      <c r="T435" s="2" t="s">
        <v>455</v>
      </c>
      <c r="U435" s="2" t="s">
        <v>304</v>
      </c>
      <c r="V435" s="2" t="s">
        <v>305</v>
      </c>
      <c r="X435" s="2" t="s">
        <v>464</v>
      </c>
      <c r="Y435" s="2" t="s">
        <v>457</v>
      </c>
      <c r="Z435" s="2" t="s">
        <v>458</v>
      </c>
    </row>
    <row r="436" spans="1:26">
      <c r="A436" s="12">
        <v>44995.816820486114</v>
      </c>
      <c r="B436" s="2" t="s">
        <v>452</v>
      </c>
      <c r="C436" s="2" t="s">
        <v>453</v>
      </c>
      <c r="D436" s="2" t="s">
        <v>452</v>
      </c>
      <c r="E436" s="2" t="s">
        <v>454</v>
      </c>
      <c r="F436" s="2" t="s">
        <v>2129</v>
      </c>
      <c r="H436" s="2" t="s">
        <v>139</v>
      </c>
      <c r="J436" s="2" t="s">
        <v>117</v>
      </c>
      <c r="L436" s="2" t="s">
        <v>2130</v>
      </c>
      <c r="N436" s="2" t="s">
        <v>105</v>
      </c>
      <c r="P436" s="2" t="s">
        <v>117</v>
      </c>
      <c r="Q436" s="2" t="s">
        <v>455</v>
      </c>
      <c r="R436" s="2" t="s">
        <v>2131</v>
      </c>
      <c r="T436" s="2" t="s">
        <v>455</v>
      </c>
      <c r="U436" s="2" t="s">
        <v>298</v>
      </c>
      <c r="V436" s="2" t="s">
        <v>305</v>
      </c>
      <c r="X436" s="2" t="s">
        <v>461</v>
      </c>
      <c r="Y436" s="2" t="s">
        <v>457</v>
      </c>
      <c r="Z436" s="2" t="s">
        <v>458</v>
      </c>
    </row>
    <row r="437" spans="1:26">
      <c r="A437" s="12">
        <v>44995.884242986111</v>
      </c>
      <c r="B437" s="2" t="s">
        <v>452</v>
      </c>
      <c r="C437" s="2" t="s">
        <v>453</v>
      </c>
      <c r="D437" s="2" t="s">
        <v>452</v>
      </c>
      <c r="E437" s="2" t="s">
        <v>454</v>
      </c>
      <c r="F437" s="2" t="s">
        <v>2132</v>
      </c>
      <c r="H437" s="2" t="s">
        <v>2133</v>
      </c>
      <c r="J437" s="2" t="s">
        <v>2134</v>
      </c>
      <c r="L437" s="2" t="s">
        <v>2135</v>
      </c>
      <c r="N437" s="2" t="s">
        <v>2136</v>
      </c>
      <c r="O437" s="2" t="s">
        <v>642</v>
      </c>
      <c r="P437" s="2" t="s">
        <v>2137</v>
      </c>
      <c r="Q437" s="2" t="s">
        <v>455</v>
      </c>
      <c r="R437" s="2" t="s">
        <v>2138</v>
      </c>
      <c r="S437" s="2" t="s">
        <v>284</v>
      </c>
      <c r="T437" s="2" t="s">
        <v>455</v>
      </c>
      <c r="U437" s="2" t="s">
        <v>1490</v>
      </c>
      <c r="V437" s="2" t="s">
        <v>305</v>
      </c>
      <c r="W437" s="2" t="s">
        <v>386</v>
      </c>
      <c r="X437" s="2" t="s">
        <v>456</v>
      </c>
      <c r="Y437" s="2" t="s">
        <v>457</v>
      </c>
      <c r="Z437" s="2" t="s">
        <v>458</v>
      </c>
    </row>
    <row r="438" spans="1:26">
      <c r="A438" s="12">
        <v>44995.903202199072</v>
      </c>
      <c r="B438" s="2" t="s">
        <v>452</v>
      </c>
      <c r="C438" s="2" t="s">
        <v>453</v>
      </c>
      <c r="D438" s="2" t="s">
        <v>452</v>
      </c>
      <c r="E438" s="2" t="s">
        <v>454</v>
      </c>
      <c r="F438" s="2" t="s">
        <v>2139</v>
      </c>
      <c r="H438" s="2" t="s">
        <v>139</v>
      </c>
      <c r="J438" s="2" t="s">
        <v>117</v>
      </c>
      <c r="L438" s="2" t="s">
        <v>2140</v>
      </c>
      <c r="M438" s="2" t="s">
        <v>58</v>
      </c>
      <c r="N438" s="2" t="s">
        <v>655</v>
      </c>
      <c r="P438" s="2" t="s">
        <v>121</v>
      </c>
      <c r="Q438" s="2" t="s">
        <v>455</v>
      </c>
      <c r="R438" s="2" t="s">
        <v>2141</v>
      </c>
      <c r="T438" s="2" t="s">
        <v>455</v>
      </c>
      <c r="U438" s="2" t="s">
        <v>1855</v>
      </c>
      <c r="V438" s="2" t="s">
        <v>305</v>
      </c>
      <c r="W438" s="2" t="s">
        <v>326</v>
      </c>
      <c r="X438" s="2" t="s">
        <v>456</v>
      </c>
      <c r="Y438" s="2" t="s">
        <v>457</v>
      </c>
      <c r="Z438" s="2" t="s">
        <v>458</v>
      </c>
    </row>
    <row r="439" spans="1:26">
      <c r="A439" s="12">
        <v>44995.993417002319</v>
      </c>
      <c r="B439" s="2" t="s">
        <v>452</v>
      </c>
      <c r="C439" s="2" t="s">
        <v>453</v>
      </c>
      <c r="D439" s="2" t="s">
        <v>452</v>
      </c>
      <c r="E439" s="2" t="s">
        <v>454</v>
      </c>
      <c r="F439" s="2" t="s">
        <v>2142</v>
      </c>
      <c r="H439" s="2" t="s">
        <v>1870</v>
      </c>
      <c r="J439" s="2" t="s">
        <v>2143</v>
      </c>
      <c r="L439" s="2" t="s">
        <v>2144</v>
      </c>
      <c r="N439" s="2" t="s">
        <v>922</v>
      </c>
      <c r="P439" s="2" t="s">
        <v>118</v>
      </c>
      <c r="Q439" s="2" t="s">
        <v>455</v>
      </c>
      <c r="R439" s="2" t="s">
        <v>2145</v>
      </c>
      <c r="S439" s="2" t="s">
        <v>239</v>
      </c>
      <c r="T439" s="2" t="s">
        <v>455</v>
      </c>
      <c r="U439" s="2" t="s">
        <v>982</v>
      </c>
      <c r="V439" s="2" t="s">
        <v>305</v>
      </c>
      <c r="W439" s="2" t="s">
        <v>413</v>
      </c>
      <c r="X439" s="2" t="s">
        <v>462</v>
      </c>
      <c r="Y439" s="2" t="s">
        <v>457</v>
      </c>
      <c r="Z439" s="2" t="s">
        <v>458</v>
      </c>
    </row>
    <row r="440" spans="1:26">
      <c r="A440" s="12">
        <v>44996.414881307872</v>
      </c>
      <c r="B440" s="2" t="s">
        <v>452</v>
      </c>
      <c r="C440" s="2" t="s">
        <v>453</v>
      </c>
      <c r="D440" s="2" t="s">
        <v>452</v>
      </c>
      <c r="E440" s="2" t="s">
        <v>454</v>
      </c>
      <c r="F440" s="2" t="s">
        <v>2146</v>
      </c>
      <c r="G440" s="2" t="s">
        <v>2147</v>
      </c>
      <c r="H440" s="2" t="s">
        <v>789</v>
      </c>
      <c r="J440" s="2" t="s">
        <v>117</v>
      </c>
      <c r="L440" s="2" t="s">
        <v>2148</v>
      </c>
      <c r="O440" s="2" t="s">
        <v>614</v>
      </c>
      <c r="P440" s="2" t="s">
        <v>117</v>
      </c>
      <c r="Q440" s="2" t="s">
        <v>455</v>
      </c>
      <c r="R440" s="2" t="s">
        <v>2149</v>
      </c>
      <c r="S440" s="2" t="s">
        <v>287</v>
      </c>
      <c r="T440" s="2" t="s">
        <v>455</v>
      </c>
      <c r="U440" s="2" t="s">
        <v>1474</v>
      </c>
      <c r="V440" s="2" t="s">
        <v>853</v>
      </c>
      <c r="W440" s="2" t="s">
        <v>356</v>
      </c>
      <c r="X440" s="2" t="s">
        <v>459</v>
      </c>
      <c r="Y440" s="2" t="s">
        <v>457</v>
      </c>
      <c r="Z440" s="2" t="s">
        <v>458</v>
      </c>
    </row>
    <row r="441" spans="1:26">
      <c r="A441" s="12">
        <v>44996.462194525462</v>
      </c>
      <c r="B441" s="2" t="s">
        <v>452</v>
      </c>
      <c r="C441" s="2" t="s">
        <v>453</v>
      </c>
      <c r="D441" s="2" t="s">
        <v>452</v>
      </c>
      <c r="E441" s="2" t="s">
        <v>454</v>
      </c>
      <c r="F441" s="2" t="s">
        <v>0</v>
      </c>
      <c r="H441" s="2" t="s">
        <v>139</v>
      </c>
      <c r="J441" s="2" t="s">
        <v>117</v>
      </c>
      <c r="L441" s="2" t="s">
        <v>2150</v>
      </c>
      <c r="N441" s="2" t="s">
        <v>108</v>
      </c>
      <c r="P441" s="2" t="s">
        <v>117</v>
      </c>
      <c r="Q441" s="2" t="s">
        <v>455</v>
      </c>
      <c r="R441" s="2" t="s">
        <v>182</v>
      </c>
      <c r="T441" s="2" t="s">
        <v>455</v>
      </c>
      <c r="U441" s="2" t="s">
        <v>304</v>
      </c>
      <c r="V441" s="2" t="s">
        <v>305</v>
      </c>
      <c r="X441" s="2" t="s">
        <v>461</v>
      </c>
      <c r="Y441" s="2" t="s">
        <v>457</v>
      </c>
      <c r="Z441" s="2" t="s">
        <v>458</v>
      </c>
    </row>
    <row r="442" spans="1:26">
      <c r="A442" s="12">
        <v>44996.750470694446</v>
      </c>
      <c r="B442" s="2" t="s">
        <v>452</v>
      </c>
      <c r="C442" s="2" t="s">
        <v>453</v>
      </c>
      <c r="D442" s="2" t="s">
        <v>452</v>
      </c>
      <c r="E442" s="2" t="s">
        <v>454</v>
      </c>
      <c r="F442" s="2" t="s">
        <v>2151</v>
      </c>
      <c r="H442" s="2" t="s">
        <v>139</v>
      </c>
      <c r="J442" s="2" t="s">
        <v>2152</v>
      </c>
      <c r="L442" s="2" t="s">
        <v>2153</v>
      </c>
      <c r="N442" s="2" t="s">
        <v>106</v>
      </c>
      <c r="P442" s="2" t="s">
        <v>2154</v>
      </c>
      <c r="Q442" s="2" t="s">
        <v>455</v>
      </c>
      <c r="R442" s="2" t="s">
        <v>2155</v>
      </c>
      <c r="T442" s="2" t="s">
        <v>455</v>
      </c>
      <c r="U442" s="2" t="s">
        <v>881</v>
      </c>
      <c r="W442" s="2" t="s">
        <v>421</v>
      </c>
      <c r="X442" s="2" t="s">
        <v>456</v>
      </c>
      <c r="Y442" s="2" t="s">
        <v>457</v>
      </c>
      <c r="Z442" s="2" t="s">
        <v>458</v>
      </c>
    </row>
    <row r="443" spans="1:26">
      <c r="A443" s="12">
        <v>44996.965745624999</v>
      </c>
      <c r="B443" s="2" t="s">
        <v>452</v>
      </c>
      <c r="C443" s="2" t="s">
        <v>453</v>
      </c>
      <c r="D443" s="2" t="s">
        <v>452</v>
      </c>
      <c r="E443" s="2" t="s">
        <v>454</v>
      </c>
      <c r="F443" s="2" t="s">
        <v>2156</v>
      </c>
      <c r="H443" s="2" t="s">
        <v>139</v>
      </c>
      <c r="J443" s="2" t="s">
        <v>117</v>
      </c>
      <c r="L443" s="2" t="s">
        <v>167</v>
      </c>
      <c r="N443" s="2" t="s">
        <v>105</v>
      </c>
      <c r="P443" s="2" t="s">
        <v>117</v>
      </c>
      <c r="Q443" s="2" t="s">
        <v>455</v>
      </c>
      <c r="T443" s="2" t="s">
        <v>455</v>
      </c>
      <c r="X443" s="2" t="s">
        <v>479</v>
      </c>
      <c r="Y443" s="2" t="s">
        <v>457</v>
      </c>
      <c r="Z443" s="2" t="s">
        <v>458</v>
      </c>
    </row>
    <row r="444" spans="1:26">
      <c r="A444" s="12">
        <v>44997.068150474537</v>
      </c>
      <c r="B444" s="2" t="s">
        <v>452</v>
      </c>
      <c r="C444" s="2" t="s">
        <v>453</v>
      </c>
      <c r="D444" s="2" t="s">
        <v>452</v>
      </c>
      <c r="E444" s="2" t="s">
        <v>454</v>
      </c>
      <c r="F444" s="2" t="s">
        <v>0</v>
      </c>
      <c r="H444" s="2" t="s">
        <v>121</v>
      </c>
      <c r="J444" s="2" t="s">
        <v>2157</v>
      </c>
      <c r="L444" s="2" t="s">
        <v>2158</v>
      </c>
      <c r="N444" s="2" t="s">
        <v>105</v>
      </c>
      <c r="P444" s="2" t="s">
        <v>118</v>
      </c>
      <c r="Q444" s="2" t="s">
        <v>455</v>
      </c>
      <c r="R444" s="2" t="s">
        <v>2159</v>
      </c>
      <c r="T444" s="2" t="s">
        <v>472</v>
      </c>
      <c r="X444" s="2" t="s">
        <v>462</v>
      </c>
      <c r="Y444" s="2" t="s">
        <v>457</v>
      </c>
      <c r="Z444" s="2" t="s">
        <v>458</v>
      </c>
    </row>
    <row r="445" spans="1:26">
      <c r="A445" s="12">
        <v>44997.136937488423</v>
      </c>
      <c r="B445" s="2" t="s">
        <v>452</v>
      </c>
      <c r="C445" s="2" t="s">
        <v>453</v>
      </c>
      <c r="D445" s="2" t="s">
        <v>452</v>
      </c>
      <c r="E445" s="2" t="s">
        <v>454</v>
      </c>
      <c r="F445" s="2" t="s">
        <v>2160</v>
      </c>
      <c r="H445" s="2" t="s">
        <v>2161</v>
      </c>
      <c r="J445" s="2" t="s">
        <v>1591</v>
      </c>
      <c r="L445" s="2" t="s">
        <v>2162</v>
      </c>
      <c r="N445" s="2" t="s">
        <v>1069</v>
      </c>
      <c r="P445" s="2" t="s">
        <v>2163</v>
      </c>
      <c r="Q445" s="2" t="s">
        <v>455</v>
      </c>
      <c r="R445" s="2" t="s">
        <v>2164</v>
      </c>
      <c r="T445" s="2" t="s">
        <v>455</v>
      </c>
      <c r="U445" s="2" t="s">
        <v>1445</v>
      </c>
      <c r="V445" s="2" t="s">
        <v>305</v>
      </c>
      <c r="X445" s="2" t="s">
        <v>464</v>
      </c>
      <c r="Y445" s="2" t="s">
        <v>457</v>
      </c>
      <c r="Z445" s="2" t="s">
        <v>458</v>
      </c>
    </row>
  </sheetData>
  <phoneticPr fontId="8"/>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J505"/>
  <sheetViews>
    <sheetView workbookViewId="0">
      <pane xSplit="1" ySplit="3" topLeftCell="AU4" activePane="bottomRight" state="frozen"/>
      <selection pane="topRight" activeCell="B1" sqref="B1"/>
      <selection pane="bottomLeft" activeCell="A4" sqref="A4"/>
      <selection pane="bottomRight" activeCell="BJ15" sqref="BJ15"/>
    </sheetView>
  </sheetViews>
  <sheetFormatPr defaultColWidth="12.5703125" defaultRowHeight="15.75" customHeight="1"/>
  <sheetData>
    <row r="1" spans="1:62" ht="12.75">
      <c r="B1" s="2" t="s">
        <v>133</v>
      </c>
      <c r="C1" s="2">
        <f>ROUND(AVERAGE(C4:C447),2)</f>
        <v>4.66</v>
      </c>
      <c r="D1" s="6" t="s">
        <v>134</v>
      </c>
      <c r="E1" s="2">
        <f t="shared" ref="E1:BJ1" si="0">SUM(E4:E447)</f>
        <v>256</v>
      </c>
      <c r="F1" s="2">
        <f t="shared" si="0"/>
        <v>144</v>
      </c>
      <c r="G1" s="2">
        <f t="shared" si="0"/>
        <v>121</v>
      </c>
      <c r="H1" s="2">
        <f t="shared" si="0"/>
        <v>86</v>
      </c>
      <c r="I1" s="2">
        <f t="shared" si="0"/>
        <v>86</v>
      </c>
      <c r="J1" s="2">
        <f t="shared" si="0"/>
        <v>75</v>
      </c>
      <c r="K1" s="2">
        <f t="shared" si="0"/>
        <v>74</v>
      </c>
      <c r="L1" s="2">
        <f t="shared" si="0"/>
        <v>71</v>
      </c>
      <c r="M1" s="2">
        <f t="shared" si="0"/>
        <v>71</v>
      </c>
      <c r="N1" s="2">
        <f t="shared" si="0"/>
        <v>69</v>
      </c>
      <c r="O1" s="2">
        <f t="shared" si="0"/>
        <v>60</v>
      </c>
      <c r="P1" s="2">
        <f t="shared" si="0"/>
        <v>60</v>
      </c>
      <c r="Q1" s="2">
        <f t="shared" si="0"/>
        <v>57</v>
      </c>
      <c r="R1" s="2">
        <f t="shared" si="0"/>
        <v>54</v>
      </c>
      <c r="S1" s="2">
        <f t="shared" si="0"/>
        <v>49</v>
      </c>
      <c r="T1" s="2">
        <f t="shared" si="0"/>
        <v>48</v>
      </c>
      <c r="U1" s="2">
        <f t="shared" si="0"/>
        <v>46</v>
      </c>
      <c r="V1" s="2">
        <f t="shared" si="0"/>
        <v>39</v>
      </c>
      <c r="W1" s="2">
        <f t="shared" si="0"/>
        <v>36</v>
      </c>
      <c r="X1" s="2">
        <f t="shared" si="0"/>
        <v>34</v>
      </c>
      <c r="Y1" s="2">
        <f t="shared" si="0"/>
        <v>26</v>
      </c>
      <c r="Z1" s="2">
        <f t="shared" si="0"/>
        <v>25</v>
      </c>
      <c r="AA1" s="2">
        <f t="shared" si="0"/>
        <v>25</v>
      </c>
      <c r="AB1" s="2">
        <f t="shared" si="0"/>
        <v>25</v>
      </c>
      <c r="AC1" s="2">
        <f t="shared" si="0"/>
        <v>22</v>
      </c>
      <c r="AD1" s="2">
        <f t="shared" si="0"/>
        <v>22</v>
      </c>
      <c r="AE1" s="2">
        <f t="shared" si="0"/>
        <v>20</v>
      </c>
      <c r="AF1" s="2">
        <f t="shared" si="0"/>
        <v>19</v>
      </c>
      <c r="AG1" s="2">
        <f t="shared" si="0"/>
        <v>18</v>
      </c>
      <c r="AH1" s="2">
        <f t="shared" si="0"/>
        <v>18</v>
      </c>
      <c r="AI1" s="2">
        <f t="shared" si="0"/>
        <v>16</v>
      </c>
      <c r="AJ1" s="2">
        <f t="shared" si="0"/>
        <v>16</v>
      </c>
      <c r="AK1" s="2">
        <f t="shared" si="0"/>
        <v>16</v>
      </c>
      <c r="AL1" s="2">
        <f t="shared" si="0"/>
        <v>15</v>
      </c>
      <c r="AM1" s="2">
        <f t="shared" si="0"/>
        <v>15</v>
      </c>
      <c r="AN1" s="2">
        <f t="shared" si="0"/>
        <v>15</v>
      </c>
      <c r="AO1" s="2">
        <f t="shared" si="0"/>
        <v>13</v>
      </c>
      <c r="AP1" s="2">
        <f t="shared" si="0"/>
        <v>13</v>
      </c>
      <c r="AQ1" s="2">
        <f t="shared" si="0"/>
        <v>12</v>
      </c>
      <c r="AR1" s="2">
        <f t="shared" si="0"/>
        <v>12</v>
      </c>
      <c r="AS1" s="2">
        <f t="shared" si="0"/>
        <v>9</v>
      </c>
      <c r="AT1" s="2">
        <f t="shared" si="0"/>
        <v>9</v>
      </c>
      <c r="AU1" s="2">
        <f t="shared" si="0"/>
        <v>8</v>
      </c>
      <c r="AV1" s="2">
        <f t="shared" si="0"/>
        <v>8</v>
      </c>
      <c r="AW1" s="2">
        <f t="shared" si="0"/>
        <v>8</v>
      </c>
      <c r="AX1" s="2">
        <f t="shared" si="0"/>
        <v>7</v>
      </c>
      <c r="AY1" s="2">
        <f t="shared" si="0"/>
        <v>7</v>
      </c>
      <c r="AZ1" s="2">
        <f t="shared" si="0"/>
        <v>7</v>
      </c>
      <c r="BA1" s="2">
        <f t="shared" si="0"/>
        <v>6</v>
      </c>
      <c r="BB1" s="2">
        <f t="shared" si="0"/>
        <v>6</v>
      </c>
      <c r="BC1" s="2">
        <f t="shared" si="0"/>
        <v>5</v>
      </c>
      <c r="BD1" s="2">
        <f t="shared" si="0"/>
        <v>5</v>
      </c>
      <c r="BE1" s="2">
        <f t="shared" si="0"/>
        <v>4</v>
      </c>
      <c r="BF1" s="2">
        <f t="shared" si="0"/>
        <v>4</v>
      </c>
      <c r="BG1" s="2">
        <f t="shared" si="0"/>
        <v>3</v>
      </c>
      <c r="BH1" s="2">
        <f t="shared" si="0"/>
        <v>2</v>
      </c>
      <c r="BI1" s="2">
        <f t="shared" si="0"/>
        <v>1</v>
      </c>
      <c r="BJ1" s="2">
        <f t="shared" si="0"/>
        <v>70</v>
      </c>
    </row>
    <row r="2" spans="1:62" ht="14.25">
      <c r="B2" s="3" t="s">
        <v>135</v>
      </c>
      <c r="C2" s="3">
        <f>MEDIAN(C4:C447)</f>
        <v>4</v>
      </c>
      <c r="D2" s="6" t="s">
        <v>136</v>
      </c>
      <c r="E2" s="3">
        <f t="shared" ref="E2:BJ2" si="1">ROUND(E1/443,3)*100</f>
        <v>57.8</v>
      </c>
      <c r="F2" s="3">
        <f t="shared" si="1"/>
        <v>32.5</v>
      </c>
      <c r="G2" s="3">
        <f t="shared" si="1"/>
        <v>27.3</v>
      </c>
      <c r="H2" s="3">
        <f t="shared" si="1"/>
        <v>19.400000000000002</v>
      </c>
      <c r="I2" s="3">
        <f t="shared" si="1"/>
        <v>19.400000000000002</v>
      </c>
      <c r="J2" s="3">
        <f t="shared" si="1"/>
        <v>16.900000000000002</v>
      </c>
      <c r="K2" s="3">
        <f t="shared" si="1"/>
        <v>16.7</v>
      </c>
      <c r="L2" s="3">
        <f t="shared" si="1"/>
        <v>16</v>
      </c>
      <c r="M2" s="3">
        <f t="shared" si="1"/>
        <v>16</v>
      </c>
      <c r="N2" s="3">
        <f t="shared" si="1"/>
        <v>15.6</v>
      </c>
      <c r="O2" s="3">
        <f t="shared" si="1"/>
        <v>13.5</v>
      </c>
      <c r="P2" s="3">
        <f t="shared" si="1"/>
        <v>13.5</v>
      </c>
      <c r="Q2" s="3">
        <f t="shared" si="1"/>
        <v>12.9</v>
      </c>
      <c r="R2" s="3">
        <f t="shared" si="1"/>
        <v>12.2</v>
      </c>
      <c r="S2" s="3">
        <f t="shared" si="1"/>
        <v>11.1</v>
      </c>
      <c r="T2" s="3">
        <f t="shared" si="1"/>
        <v>10.8</v>
      </c>
      <c r="U2" s="3">
        <f t="shared" si="1"/>
        <v>10.4</v>
      </c>
      <c r="V2" s="3">
        <f t="shared" si="1"/>
        <v>8.7999999999999989</v>
      </c>
      <c r="W2" s="3">
        <f t="shared" si="1"/>
        <v>8.1</v>
      </c>
      <c r="X2" s="3">
        <f t="shared" si="1"/>
        <v>7.7</v>
      </c>
      <c r="Y2" s="3">
        <f t="shared" si="1"/>
        <v>5.8999999999999995</v>
      </c>
      <c r="Z2" s="3">
        <f t="shared" si="1"/>
        <v>5.6000000000000005</v>
      </c>
      <c r="AA2" s="3">
        <f t="shared" si="1"/>
        <v>5.6000000000000005</v>
      </c>
      <c r="AB2" s="3">
        <f t="shared" si="1"/>
        <v>5.6000000000000005</v>
      </c>
      <c r="AC2" s="3">
        <f t="shared" si="1"/>
        <v>5</v>
      </c>
      <c r="AD2" s="3">
        <f t="shared" si="1"/>
        <v>5</v>
      </c>
      <c r="AE2" s="3">
        <f t="shared" si="1"/>
        <v>4.5</v>
      </c>
      <c r="AF2" s="3">
        <f t="shared" si="1"/>
        <v>4.3</v>
      </c>
      <c r="AG2" s="3">
        <f t="shared" si="1"/>
        <v>4.1000000000000005</v>
      </c>
      <c r="AH2" s="3">
        <f t="shared" si="1"/>
        <v>4.1000000000000005</v>
      </c>
      <c r="AI2" s="3">
        <f t="shared" si="1"/>
        <v>3.5999999999999996</v>
      </c>
      <c r="AJ2" s="3">
        <f t="shared" si="1"/>
        <v>3.5999999999999996</v>
      </c>
      <c r="AK2" s="3">
        <f t="shared" si="1"/>
        <v>3.5999999999999996</v>
      </c>
      <c r="AL2" s="3">
        <f t="shared" si="1"/>
        <v>3.4000000000000004</v>
      </c>
      <c r="AM2" s="3">
        <f t="shared" si="1"/>
        <v>3.4000000000000004</v>
      </c>
      <c r="AN2" s="3">
        <f t="shared" si="1"/>
        <v>3.4000000000000004</v>
      </c>
      <c r="AO2" s="3">
        <f t="shared" si="1"/>
        <v>2.9000000000000004</v>
      </c>
      <c r="AP2" s="3">
        <f t="shared" si="1"/>
        <v>2.9000000000000004</v>
      </c>
      <c r="AQ2" s="3">
        <f t="shared" si="1"/>
        <v>2.7</v>
      </c>
      <c r="AR2" s="3">
        <f t="shared" si="1"/>
        <v>2.7</v>
      </c>
      <c r="AS2" s="3">
        <f t="shared" si="1"/>
        <v>2</v>
      </c>
      <c r="AT2" s="3">
        <f t="shared" si="1"/>
        <v>2</v>
      </c>
      <c r="AU2" s="3">
        <f t="shared" si="1"/>
        <v>1.7999999999999998</v>
      </c>
      <c r="AV2" s="3">
        <f t="shared" si="1"/>
        <v>1.7999999999999998</v>
      </c>
      <c r="AW2" s="3">
        <f t="shared" si="1"/>
        <v>1.7999999999999998</v>
      </c>
      <c r="AX2" s="3">
        <f t="shared" si="1"/>
        <v>1.6</v>
      </c>
      <c r="AY2" s="3">
        <f t="shared" si="1"/>
        <v>1.6</v>
      </c>
      <c r="AZ2" s="3">
        <f t="shared" si="1"/>
        <v>1.6</v>
      </c>
      <c r="BA2" s="3">
        <f t="shared" si="1"/>
        <v>1.4000000000000001</v>
      </c>
      <c r="BB2" s="3">
        <f t="shared" si="1"/>
        <v>1.4000000000000001</v>
      </c>
      <c r="BC2" s="3">
        <f t="shared" si="1"/>
        <v>1.0999999999999999</v>
      </c>
      <c r="BD2" s="3">
        <f t="shared" si="1"/>
        <v>1.0999999999999999</v>
      </c>
      <c r="BE2" s="3">
        <f t="shared" si="1"/>
        <v>0.89999999999999991</v>
      </c>
      <c r="BF2" s="3">
        <f t="shared" si="1"/>
        <v>0.89999999999999991</v>
      </c>
      <c r="BG2" s="3">
        <f t="shared" si="1"/>
        <v>0.70000000000000007</v>
      </c>
      <c r="BH2" s="3">
        <f t="shared" si="1"/>
        <v>0.5</v>
      </c>
      <c r="BI2" s="3">
        <f t="shared" si="1"/>
        <v>0.2</v>
      </c>
      <c r="BJ2" s="3">
        <f t="shared" si="1"/>
        <v>15.8</v>
      </c>
    </row>
    <row r="3" spans="1:62" ht="14.25">
      <c r="B3" s="3"/>
      <c r="C3" s="3" t="s">
        <v>137</v>
      </c>
      <c r="D3" s="7"/>
      <c r="E3" s="3" t="s">
        <v>0</v>
      </c>
      <c r="F3" s="1" t="s">
        <v>1</v>
      </c>
      <c r="G3" s="1" t="s">
        <v>2</v>
      </c>
      <c r="H3" s="1" t="s">
        <v>3</v>
      </c>
      <c r="I3" s="4" t="s">
        <v>4</v>
      </c>
      <c r="J3" s="5" t="s">
        <v>5</v>
      </c>
      <c r="K3" s="1" t="s">
        <v>6</v>
      </c>
      <c r="L3" s="1" t="s">
        <v>7</v>
      </c>
      <c r="M3" s="1" t="s">
        <v>8</v>
      </c>
      <c r="N3" s="1" t="s">
        <v>9</v>
      </c>
      <c r="O3" s="1" t="s">
        <v>10</v>
      </c>
      <c r="P3" s="1" t="s">
        <v>11</v>
      </c>
      <c r="Q3" s="1" t="s">
        <v>12</v>
      </c>
      <c r="R3" s="1" t="s">
        <v>13</v>
      </c>
      <c r="S3" s="1" t="s">
        <v>14</v>
      </c>
      <c r="T3" s="4" t="s">
        <v>15</v>
      </c>
      <c r="U3" s="1" t="s">
        <v>16</v>
      </c>
      <c r="V3" s="1" t="s">
        <v>17</v>
      </c>
      <c r="W3" s="1" t="s">
        <v>18</v>
      </c>
      <c r="X3" s="4" t="s">
        <v>19</v>
      </c>
      <c r="Y3" s="1" t="s">
        <v>20</v>
      </c>
      <c r="Z3" s="1" t="s">
        <v>21</v>
      </c>
      <c r="AA3" s="5" t="s">
        <v>22</v>
      </c>
      <c r="AB3" s="1" t="s">
        <v>23</v>
      </c>
      <c r="AC3" s="1" t="s">
        <v>24</v>
      </c>
      <c r="AD3" s="1" t="s">
        <v>25</v>
      </c>
      <c r="AE3" s="1" t="s">
        <v>26</v>
      </c>
      <c r="AF3" s="1" t="s">
        <v>27</v>
      </c>
      <c r="AG3" s="1" t="s">
        <v>28</v>
      </c>
      <c r="AH3" s="1" t="s">
        <v>29</v>
      </c>
      <c r="AI3" s="1" t="s">
        <v>30</v>
      </c>
      <c r="AJ3" s="1" t="s">
        <v>31</v>
      </c>
      <c r="AK3" s="1" t="s">
        <v>32</v>
      </c>
      <c r="AL3" s="1" t="s">
        <v>33</v>
      </c>
      <c r="AM3" s="1" t="s">
        <v>34</v>
      </c>
      <c r="AN3" s="1" t="s">
        <v>35</v>
      </c>
      <c r="AO3" s="1" t="s">
        <v>36</v>
      </c>
      <c r="AP3" s="1" t="s">
        <v>37</v>
      </c>
      <c r="AQ3" s="1" t="s">
        <v>38</v>
      </c>
      <c r="AR3" s="1" t="s">
        <v>39</v>
      </c>
      <c r="AS3" s="1" t="s">
        <v>40</v>
      </c>
      <c r="AT3" s="1" t="s">
        <v>41</v>
      </c>
      <c r="AU3" s="1" t="s">
        <v>42</v>
      </c>
      <c r="AV3" s="1" t="s">
        <v>43</v>
      </c>
      <c r="AW3" s="1" t="s">
        <v>44</v>
      </c>
      <c r="AX3" s="1" t="s">
        <v>46</v>
      </c>
      <c r="AY3" s="1" t="s">
        <v>45</v>
      </c>
      <c r="AZ3" s="1" t="s">
        <v>47</v>
      </c>
      <c r="BA3" s="1" t="s">
        <v>48</v>
      </c>
      <c r="BB3" s="1" t="s">
        <v>49</v>
      </c>
      <c r="BC3" s="1" t="s">
        <v>50</v>
      </c>
      <c r="BD3" s="1" t="s">
        <v>51</v>
      </c>
      <c r="BE3" s="1" t="s">
        <v>52</v>
      </c>
      <c r="BF3" s="1" t="s">
        <v>53</v>
      </c>
      <c r="BG3" s="1" t="s">
        <v>54</v>
      </c>
      <c r="BH3" s="1" t="s">
        <v>55</v>
      </c>
      <c r="BI3" s="1" t="s">
        <v>56</v>
      </c>
      <c r="BJ3" s="5" t="s">
        <v>138</v>
      </c>
    </row>
    <row r="4" spans="1:62" ht="12.75">
      <c r="A4" s="8">
        <v>1</v>
      </c>
      <c r="C4" s="2">
        <f t="shared" ref="C4:C114" si="2">SUM(E4:BJ4)</f>
        <v>9</v>
      </c>
      <c r="D4" s="9"/>
      <c r="E4" s="2">
        <f>COUNTIFS(集計用!$G2,"*, "&amp;E$3&amp;", *")</f>
        <v>0</v>
      </c>
      <c r="F4" s="2">
        <f>COUNTIFS(集計用!$G2,"*, "&amp;F$3&amp;", *")</f>
        <v>1</v>
      </c>
      <c r="G4" s="2">
        <f>COUNTIFS(集計用!$G2,"*, "&amp;G$3&amp;", *")</f>
        <v>0</v>
      </c>
      <c r="H4" s="2">
        <f>COUNTIFS(集計用!$G2,"*, "&amp;H$3&amp;", *")</f>
        <v>1</v>
      </c>
      <c r="I4" s="2">
        <f>COUNTIFS(集計用!$G2,"*, "&amp;I$3&amp;", *")</f>
        <v>0</v>
      </c>
      <c r="J4" s="2">
        <f>COUNTIFS(集計用!$G2,"*, "&amp;J$3&amp;", *")</f>
        <v>1</v>
      </c>
      <c r="K4" s="2">
        <f>COUNTIFS(集計用!$G2,"*, "&amp;K$3&amp;", *")</f>
        <v>1</v>
      </c>
      <c r="L4" s="2">
        <f>COUNTIFS(集計用!$G2,"*, "&amp;L$3&amp;", *")</f>
        <v>1</v>
      </c>
      <c r="M4" s="2">
        <f>COUNTIFS(集計用!$G2,"*, "&amp;M$3&amp;", *")</f>
        <v>1</v>
      </c>
      <c r="N4" s="2">
        <f>COUNTIFS(集計用!$G2,"*, "&amp;N$3&amp;", *")</f>
        <v>0</v>
      </c>
      <c r="O4" s="2">
        <f>COUNTIFS(集計用!$G2,"*, "&amp;O$3&amp;", *")</f>
        <v>0</v>
      </c>
      <c r="P4" s="2">
        <f>COUNTIFS(集計用!$G2,"*, "&amp;P$3&amp;", *")</f>
        <v>0</v>
      </c>
      <c r="Q4" s="2">
        <f>COUNTIFS(集計用!$G2,"*, "&amp;Q$3&amp;", *")</f>
        <v>0</v>
      </c>
      <c r="R4" s="2">
        <f>COUNTIFS(集計用!$G2,"*, "&amp;R$3&amp;", *")</f>
        <v>0</v>
      </c>
      <c r="S4" s="2">
        <f>COUNTIFS(集計用!$G2,"*, "&amp;S$3&amp;", *")</f>
        <v>0</v>
      </c>
      <c r="T4" s="2">
        <f>COUNTIFS(集計用!$G2,"*, "&amp;T$3&amp;", *")</f>
        <v>1</v>
      </c>
      <c r="U4" s="2">
        <f>COUNTIFS(集計用!$G2,"*, "&amp;U$3&amp;", *")</f>
        <v>0</v>
      </c>
      <c r="V4" s="2">
        <f>COUNTIFS(集計用!$G2,"*, "&amp;V$3&amp;", *")</f>
        <v>0</v>
      </c>
      <c r="W4" s="2">
        <f>COUNTIFS(集計用!$G2,"*, "&amp;W$3&amp;", *")</f>
        <v>1</v>
      </c>
      <c r="X4" s="2">
        <f>COUNTIFS(集計用!$G2,"*, "&amp;X$3&amp;", *")</f>
        <v>0</v>
      </c>
      <c r="Y4" s="2">
        <f>COUNTIFS(集計用!$G2,"*, "&amp;Y$3&amp;", *")</f>
        <v>0</v>
      </c>
      <c r="Z4" s="2">
        <f>COUNTIFS(集計用!$G2,"*, "&amp;Z$3&amp;", *")</f>
        <v>0</v>
      </c>
      <c r="AA4" s="2">
        <f>COUNTIFS(集計用!$G2,"*, "&amp;AA$3&amp;", *")</f>
        <v>0</v>
      </c>
      <c r="AB4" s="2">
        <f>COUNTIFS(集計用!$G2,"*, "&amp;AB$3&amp;", *")</f>
        <v>0</v>
      </c>
      <c r="AC4" s="2">
        <f>COUNTIFS(集計用!$G2,"*, "&amp;AC$3&amp;", *")</f>
        <v>0</v>
      </c>
      <c r="AD4" s="2">
        <f>COUNTIFS(集計用!$G2,"*, "&amp;AD$3&amp;", *")</f>
        <v>0</v>
      </c>
      <c r="AE4" s="2">
        <f>COUNTIFS(集計用!$G2,"*, "&amp;AE$3&amp;", *")</f>
        <v>0</v>
      </c>
      <c r="AF4" s="2">
        <f>COUNTIFS(集計用!$G2,"*, "&amp;AF$3&amp;", *")</f>
        <v>0</v>
      </c>
      <c r="AG4" s="2">
        <f>COUNTIFS(集計用!$G2,"*, "&amp;AG$3&amp;", *")</f>
        <v>0</v>
      </c>
      <c r="AH4" s="2">
        <f>COUNTIFS(集計用!$G2,"*, "&amp;AH$3&amp;", *")</f>
        <v>0</v>
      </c>
      <c r="AI4" s="2">
        <f>COUNTIFS(集計用!$G2,"*, "&amp;AI$3&amp;", *")</f>
        <v>0</v>
      </c>
      <c r="AJ4" s="2">
        <f>COUNTIFS(集計用!$G2,"*, "&amp;AJ$3&amp;", *")</f>
        <v>0</v>
      </c>
      <c r="AK4" s="2">
        <f>COUNTIFS(集計用!$G2,"*, "&amp;AK$3&amp;", *")</f>
        <v>0</v>
      </c>
      <c r="AL4" s="2">
        <f>COUNTIFS(集計用!$G2,"*, "&amp;AL$3&amp;", *")</f>
        <v>0</v>
      </c>
      <c r="AM4" s="2">
        <f>COUNTIFS(集計用!$G2,"*, "&amp;AM$3&amp;", *")</f>
        <v>0</v>
      </c>
      <c r="AN4" s="2">
        <f>COUNTIFS(集計用!$G2,"*, "&amp;AN$3&amp;", *")</f>
        <v>0</v>
      </c>
      <c r="AO4" s="2">
        <f>COUNTIFS(集計用!$G2,"*, "&amp;AO$3&amp;", *")</f>
        <v>0</v>
      </c>
      <c r="AP4" s="2">
        <f>COUNTIFS(集計用!$G2,"*, "&amp;AP$3&amp;", *")</f>
        <v>1</v>
      </c>
      <c r="AQ4" s="2">
        <f>COUNTIFS(集計用!$G2,"*, "&amp;AQ$3&amp;", *")</f>
        <v>0</v>
      </c>
      <c r="AR4" s="2">
        <f>COUNTIFS(集計用!$G2,"*, "&amp;AR$3&amp;", *")</f>
        <v>0</v>
      </c>
      <c r="AS4" s="2">
        <f>COUNTIFS(集計用!$G2,"*, "&amp;AS$3&amp;", *")</f>
        <v>0</v>
      </c>
      <c r="AT4" s="2">
        <f>COUNTIFS(集計用!$G2,"*, "&amp;AT$3&amp;", *")</f>
        <v>0</v>
      </c>
      <c r="AU4" s="2">
        <f>COUNTIFS(集計用!$G2,"*, "&amp;AU$3&amp;", *")</f>
        <v>0</v>
      </c>
      <c r="AV4" s="2">
        <f>COUNTIFS(集計用!$G2,"*, "&amp;AV$3&amp;", *")</f>
        <v>0</v>
      </c>
      <c r="AW4" s="2">
        <f>COUNTIFS(集計用!$G2,"*, "&amp;AW$3&amp;", *")</f>
        <v>0</v>
      </c>
      <c r="AX4" s="2">
        <f>COUNTIFS(集計用!$G2,"*, "&amp;AX$3&amp;", *")</f>
        <v>0</v>
      </c>
      <c r="AY4" s="2">
        <f>COUNTIFS(集計用!$G2,"*, "&amp;AY$3&amp;", *")</f>
        <v>0</v>
      </c>
      <c r="AZ4" s="2">
        <f>COUNTIFS(集計用!$G2,"*, "&amp;AZ$3&amp;", *")</f>
        <v>0</v>
      </c>
      <c r="BA4" s="2">
        <f>COUNTIFS(集計用!$G2,"*, "&amp;BA$3&amp;", *")</f>
        <v>0</v>
      </c>
      <c r="BB4" s="2">
        <f>COUNTIFS(集計用!$G2,"*, "&amp;BB$3&amp;", *")</f>
        <v>0</v>
      </c>
      <c r="BC4" s="2">
        <f>COUNTIFS(集計用!$G2,"*, "&amp;BC$3&amp;", *")</f>
        <v>0</v>
      </c>
      <c r="BD4" s="2">
        <f>COUNTIFS(集計用!$G2,"*, "&amp;BD$3&amp;", *")</f>
        <v>0</v>
      </c>
      <c r="BE4" s="2">
        <f>COUNTIFS(集計用!$G2,"*, "&amp;BE$3&amp;", *")</f>
        <v>0</v>
      </c>
      <c r="BF4" s="2">
        <f>COUNTIFS(集計用!$G2,"*, "&amp;BF$3&amp;", *")</f>
        <v>0</v>
      </c>
      <c r="BG4" s="2">
        <f>COUNTIFS(集計用!$G2,"*, "&amp;BG$3&amp;", *")</f>
        <v>0</v>
      </c>
      <c r="BH4" s="2">
        <f>COUNTIFS(集計用!$G2,"*, "&amp;BH$3&amp;", *")</f>
        <v>0</v>
      </c>
      <c r="BI4" s="2">
        <f>COUNTIFS(集計用!$G2,"*, "&amp;BI$3&amp;", *")</f>
        <v>0</v>
      </c>
      <c r="BJ4" s="2">
        <f>LEN(集計用!H2)-LEN(SUBSTITUTE(集計用!H2,",",""))</f>
        <v>0</v>
      </c>
    </row>
    <row r="5" spans="1:62" ht="12.75">
      <c r="A5" s="8">
        <v>2</v>
      </c>
      <c r="C5" s="2">
        <f t="shared" si="2"/>
        <v>2</v>
      </c>
      <c r="D5" s="9"/>
      <c r="E5" s="2">
        <f>COUNTIFS(集計用!$G3,"*, "&amp;E$3&amp;", *")</f>
        <v>0</v>
      </c>
      <c r="F5" s="2">
        <f>COUNTIFS(集計用!$G3,"*, "&amp;F$3&amp;", *")</f>
        <v>0</v>
      </c>
      <c r="G5" s="2">
        <f>COUNTIFS(集計用!$G3,"*, "&amp;G$3&amp;", *")</f>
        <v>0</v>
      </c>
      <c r="H5" s="2">
        <f>COUNTIFS(集計用!$G3,"*, "&amp;H$3&amp;", *")</f>
        <v>0</v>
      </c>
      <c r="I5" s="2">
        <f>COUNTIFS(集計用!$G3,"*, "&amp;I$3&amp;", *")</f>
        <v>0</v>
      </c>
      <c r="J5" s="2">
        <f>COUNTIFS(集計用!$G3,"*, "&amp;J$3&amp;", *")</f>
        <v>0</v>
      </c>
      <c r="K5" s="2">
        <f>COUNTIFS(集計用!$G3,"*, "&amp;K$3&amp;", *")</f>
        <v>0</v>
      </c>
      <c r="L5" s="2">
        <f>COUNTIFS(集計用!$G3,"*, "&amp;L$3&amp;", *")</f>
        <v>0</v>
      </c>
      <c r="M5" s="2">
        <f>COUNTIFS(集計用!$G3,"*, "&amp;M$3&amp;", *")</f>
        <v>0</v>
      </c>
      <c r="N5" s="2">
        <f>COUNTIFS(集計用!$G3,"*, "&amp;N$3&amp;", *")</f>
        <v>0</v>
      </c>
      <c r="O5" s="2">
        <f>COUNTIFS(集計用!$G3,"*, "&amp;O$3&amp;", *")</f>
        <v>0</v>
      </c>
      <c r="P5" s="2">
        <f>COUNTIFS(集計用!$G3,"*, "&amp;P$3&amp;", *")</f>
        <v>0</v>
      </c>
      <c r="Q5" s="2">
        <f>COUNTIFS(集計用!$G3,"*, "&amp;Q$3&amp;", *")</f>
        <v>0</v>
      </c>
      <c r="R5" s="2">
        <f>COUNTIFS(集計用!$G3,"*, "&amp;R$3&amp;", *")</f>
        <v>0</v>
      </c>
      <c r="S5" s="2">
        <f>COUNTIFS(集計用!$G3,"*, "&amp;S$3&amp;", *")</f>
        <v>0</v>
      </c>
      <c r="T5" s="2">
        <f>COUNTIFS(集計用!$G3,"*, "&amp;T$3&amp;", *")</f>
        <v>0</v>
      </c>
      <c r="U5" s="2">
        <f>COUNTIFS(集計用!$G3,"*, "&amp;U$3&amp;", *")</f>
        <v>0</v>
      </c>
      <c r="V5" s="2">
        <f>COUNTIFS(集計用!$G3,"*, "&amp;V$3&amp;", *")</f>
        <v>0</v>
      </c>
      <c r="W5" s="2">
        <f>COUNTIFS(集計用!$G3,"*, "&amp;W$3&amp;", *")</f>
        <v>0</v>
      </c>
      <c r="X5" s="2">
        <f>COUNTIFS(集計用!$G3,"*, "&amp;X$3&amp;", *")</f>
        <v>0</v>
      </c>
      <c r="Y5" s="2">
        <f>COUNTIFS(集計用!$G3,"*, "&amp;Y$3&amp;", *")</f>
        <v>0</v>
      </c>
      <c r="Z5" s="2">
        <f>COUNTIFS(集計用!$G3,"*, "&amp;Z$3&amp;", *")</f>
        <v>1</v>
      </c>
      <c r="AA5" s="2">
        <f>COUNTIFS(集計用!$G3,"*, "&amp;AA$3&amp;", *")</f>
        <v>0</v>
      </c>
      <c r="AB5" s="2">
        <f>COUNTIFS(集計用!$G3,"*, "&amp;AB$3&amp;", *")</f>
        <v>0</v>
      </c>
      <c r="AC5" s="2">
        <f>COUNTIFS(集計用!$G3,"*, "&amp;AC$3&amp;", *")</f>
        <v>0</v>
      </c>
      <c r="AD5" s="2">
        <f>COUNTIFS(集計用!$G3,"*, "&amp;AD$3&amp;", *")</f>
        <v>0</v>
      </c>
      <c r="AE5" s="2">
        <f>COUNTIFS(集計用!$G3,"*, "&amp;AE$3&amp;", *")</f>
        <v>0</v>
      </c>
      <c r="AF5" s="2">
        <f>COUNTIFS(集計用!$G3,"*, "&amp;AF$3&amp;", *")</f>
        <v>0</v>
      </c>
      <c r="AG5" s="2">
        <f>COUNTIFS(集計用!$G3,"*, "&amp;AG$3&amp;", *")</f>
        <v>0</v>
      </c>
      <c r="AH5" s="2">
        <f>COUNTIFS(集計用!$G3,"*, "&amp;AH$3&amp;", *")</f>
        <v>0</v>
      </c>
      <c r="AI5" s="2">
        <f>COUNTIFS(集計用!$G3,"*, "&amp;AI$3&amp;", *")</f>
        <v>0</v>
      </c>
      <c r="AJ5" s="2">
        <f>COUNTIFS(集計用!$G3,"*, "&amp;AJ$3&amp;", *")</f>
        <v>0</v>
      </c>
      <c r="AK5" s="2">
        <f>COUNTIFS(集計用!$G3,"*, "&amp;AK$3&amp;", *")</f>
        <v>0</v>
      </c>
      <c r="AL5" s="2">
        <f>COUNTIFS(集計用!$G3,"*, "&amp;AL$3&amp;", *")</f>
        <v>0</v>
      </c>
      <c r="AM5" s="2">
        <f>COUNTIFS(集計用!$G3,"*, "&amp;AM$3&amp;", *")</f>
        <v>0</v>
      </c>
      <c r="AN5" s="2">
        <f>COUNTIFS(集計用!$G3,"*, "&amp;AN$3&amp;", *")</f>
        <v>0</v>
      </c>
      <c r="AO5" s="2">
        <f>COUNTIFS(集計用!$G3,"*, "&amp;AO$3&amp;", *")</f>
        <v>0</v>
      </c>
      <c r="AP5" s="2">
        <f>COUNTIFS(集計用!$G3,"*, "&amp;AP$3&amp;", *")</f>
        <v>0</v>
      </c>
      <c r="AQ5" s="2">
        <f>COUNTIFS(集計用!$G3,"*, "&amp;AQ$3&amp;", *")</f>
        <v>1</v>
      </c>
      <c r="AR5" s="2">
        <f>COUNTIFS(集計用!$G3,"*, "&amp;AR$3&amp;", *")</f>
        <v>0</v>
      </c>
      <c r="AS5" s="2">
        <f>COUNTIFS(集計用!$G3,"*, "&amp;AS$3&amp;", *")</f>
        <v>0</v>
      </c>
      <c r="AT5" s="2">
        <f>COUNTIFS(集計用!$G3,"*, "&amp;AT$3&amp;", *")</f>
        <v>0</v>
      </c>
      <c r="AU5" s="2">
        <f>COUNTIFS(集計用!$G3,"*, "&amp;AU$3&amp;", *")</f>
        <v>0</v>
      </c>
      <c r="AV5" s="2">
        <f>COUNTIFS(集計用!$G3,"*, "&amp;AV$3&amp;", *")</f>
        <v>0</v>
      </c>
      <c r="AW5" s="2">
        <f>COUNTIFS(集計用!$G3,"*, "&amp;AW$3&amp;", *")</f>
        <v>0</v>
      </c>
      <c r="AX5" s="2">
        <f>COUNTIFS(集計用!$G3,"*, "&amp;AX$3&amp;", *")</f>
        <v>0</v>
      </c>
      <c r="AY5" s="2">
        <f>COUNTIFS(集計用!$G3,"*, "&amp;AY$3&amp;", *")</f>
        <v>0</v>
      </c>
      <c r="AZ5" s="2">
        <f>COUNTIFS(集計用!$G3,"*, "&amp;AZ$3&amp;", *")</f>
        <v>0</v>
      </c>
      <c r="BA5" s="2">
        <f>COUNTIFS(集計用!$G3,"*, "&amp;BA$3&amp;", *")</f>
        <v>0</v>
      </c>
      <c r="BB5" s="2">
        <f>COUNTIFS(集計用!$G3,"*, "&amp;BB$3&amp;", *")</f>
        <v>0</v>
      </c>
      <c r="BC5" s="2">
        <f>COUNTIFS(集計用!$G3,"*, "&amp;BC$3&amp;", *")</f>
        <v>0</v>
      </c>
      <c r="BD5" s="2">
        <f>COUNTIFS(集計用!$G3,"*, "&amp;BD$3&amp;", *")</f>
        <v>0</v>
      </c>
      <c r="BE5" s="2">
        <f>COUNTIFS(集計用!$G3,"*, "&amp;BE$3&amp;", *")</f>
        <v>0</v>
      </c>
      <c r="BF5" s="2">
        <f>COUNTIFS(集計用!$G3,"*, "&amp;BF$3&amp;", *")</f>
        <v>0</v>
      </c>
      <c r="BG5" s="2">
        <f>COUNTIFS(集計用!$G3,"*, "&amp;BG$3&amp;", *")</f>
        <v>0</v>
      </c>
      <c r="BH5" s="2">
        <f>COUNTIFS(集計用!$G3,"*, "&amp;BH$3&amp;", *")</f>
        <v>0</v>
      </c>
      <c r="BI5" s="2">
        <f>COUNTIFS(集計用!$G3,"*, "&amp;BI$3&amp;", *")</f>
        <v>0</v>
      </c>
      <c r="BJ5" s="2">
        <f>LEN(集計用!H3)-LEN(SUBSTITUTE(集計用!H3,",",""))</f>
        <v>0</v>
      </c>
    </row>
    <row r="6" spans="1:62" ht="12.75">
      <c r="A6" s="8">
        <v>3</v>
      </c>
      <c r="C6" s="2">
        <f t="shared" si="2"/>
        <v>8</v>
      </c>
      <c r="D6" s="9"/>
      <c r="E6" s="2">
        <f>COUNTIFS(集計用!$G4,"*, "&amp;E$3&amp;", *")</f>
        <v>1</v>
      </c>
      <c r="F6" s="2">
        <f>COUNTIFS(集計用!$G4,"*, "&amp;F$3&amp;", *")</f>
        <v>0</v>
      </c>
      <c r="G6" s="2">
        <f>COUNTIFS(集計用!$G4,"*, "&amp;G$3&amp;", *")</f>
        <v>1</v>
      </c>
      <c r="H6" s="2">
        <f>COUNTIFS(集計用!$G4,"*, "&amp;H$3&amp;", *")</f>
        <v>1</v>
      </c>
      <c r="I6" s="2">
        <f>COUNTIFS(集計用!$G4,"*, "&amp;I$3&amp;", *")</f>
        <v>0</v>
      </c>
      <c r="J6" s="2">
        <f>COUNTIFS(集計用!$G4,"*, "&amp;J$3&amp;", *")</f>
        <v>0</v>
      </c>
      <c r="K6" s="2">
        <f>COUNTIFS(集計用!$G4,"*, "&amp;K$3&amp;", *")</f>
        <v>0</v>
      </c>
      <c r="L6" s="2">
        <f>COUNTIFS(集計用!$G4,"*, "&amp;L$3&amp;", *")</f>
        <v>0</v>
      </c>
      <c r="M6" s="2">
        <f>COUNTIFS(集計用!$G4,"*, "&amp;M$3&amp;", *")</f>
        <v>1</v>
      </c>
      <c r="N6" s="2">
        <f>COUNTIFS(集計用!$G4,"*, "&amp;N$3&amp;", *")</f>
        <v>1</v>
      </c>
      <c r="O6" s="2">
        <f>COUNTIFS(集計用!$G4,"*, "&amp;O$3&amp;", *")</f>
        <v>0</v>
      </c>
      <c r="P6" s="2">
        <f>COUNTIFS(集計用!$G4,"*, "&amp;P$3&amp;", *")</f>
        <v>1</v>
      </c>
      <c r="Q6" s="2">
        <f>COUNTIFS(集計用!$G4,"*, "&amp;Q$3&amp;", *")</f>
        <v>0</v>
      </c>
      <c r="R6" s="2">
        <f>COUNTIFS(集計用!$G4,"*, "&amp;R$3&amp;", *")</f>
        <v>0</v>
      </c>
      <c r="S6" s="2">
        <f>COUNTIFS(集計用!$G4,"*, "&amp;S$3&amp;", *")</f>
        <v>0</v>
      </c>
      <c r="T6" s="2">
        <f>COUNTIFS(集計用!$G4,"*, "&amp;T$3&amp;", *")</f>
        <v>0</v>
      </c>
      <c r="U6" s="2">
        <f>COUNTIFS(集計用!$G4,"*, "&amp;U$3&amp;", *")</f>
        <v>0</v>
      </c>
      <c r="V6" s="2">
        <f>COUNTIFS(集計用!$G4,"*, "&amp;V$3&amp;", *")</f>
        <v>0</v>
      </c>
      <c r="W6" s="2">
        <f>COUNTIFS(集計用!$G4,"*, "&amp;W$3&amp;", *")</f>
        <v>0</v>
      </c>
      <c r="X6" s="2">
        <f>COUNTIFS(集計用!$G4,"*, "&amp;X$3&amp;", *")</f>
        <v>0</v>
      </c>
      <c r="Y6" s="2">
        <f>COUNTIFS(集計用!$G4,"*, "&amp;Y$3&amp;", *")</f>
        <v>0</v>
      </c>
      <c r="Z6" s="2">
        <f>COUNTIFS(集計用!$G4,"*, "&amp;Z$3&amp;", *")</f>
        <v>0</v>
      </c>
      <c r="AA6" s="2">
        <f>COUNTIFS(集計用!$G4,"*, "&amp;AA$3&amp;", *")</f>
        <v>0</v>
      </c>
      <c r="AB6" s="2">
        <f>COUNTIFS(集計用!$G4,"*, "&amp;AB$3&amp;", *")</f>
        <v>1</v>
      </c>
      <c r="AC6" s="2">
        <f>COUNTIFS(集計用!$G4,"*, "&amp;AC$3&amp;", *")</f>
        <v>0</v>
      </c>
      <c r="AD6" s="2">
        <f>COUNTIFS(集計用!$G4,"*, "&amp;AD$3&amp;", *")</f>
        <v>0</v>
      </c>
      <c r="AE6" s="2">
        <f>COUNTIFS(集計用!$G4,"*, "&amp;AE$3&amp;", *")</f>
        <v>0</v>
      </c>
      <c r="AF6" s="2">
        <f>COUNTIFS(集計用!$G4,"*, "&amp;AF$3&amp;", *")</f>
        <v>0</v>
      </c>
      <c r="AG6" s="2">
        <f>COUNTIFS(集計用!$G4,"*, "&amp;AG$3&amp;", *")</f>
        <v>0</v>
      </c>
      <c r="AH6" s="2">
        <f>COUNTIFS(集計用!$G4,"*, "&amp;AH$3&amp;", *")</f>
        <v>0</v>
      </c>
      <c r="AI6" s="2">
        <f>COUNTIFS(集計用!$G4,"*, "&amp;AI$3&amp;", *")</f>
        <v>0</v>
      </c>
      <c r="AJ6" s="2">
        <f>COUNTIFS(集計用!$G4,"*, "&amp;AJ$3&amp;", *")</f>
        <v>0</v>
      </c>
      <c r="AK6" s="2">
        <f>COUNTIFS(集計用!$G4,"*, "&amp;AK$3&amp;", *")</f>
        <v>0</v>
      </c>
      <c r="AL6" s="2">
        <f>COUNTIFS(集計用!$G4,"*, "&amp;AL$3&amp;", *")</f>
        <v>0</v>
      </c>
      <c r="AM6" s="2">
        <f>COUNTIFS(集計用!$G4,"*, "&amp;AM$3&amp;", *")</f>
        <v>0</v>
      </c>
      <c r="AN6" s="2">
        <f>COUNTIFS(集計用!$G4,"*, "&amp;AN$3&amp;", *")</f>
        <v>0</v>
      </c>
      <c r="AO6" s="2">
        <f>COUNTIFS(集計用!$G4,"*, "&amp;AO$3&amp;", *")</f>
        <v>0</v>
      </c>
      <c r="AP6" s="2">
        <f>COUNTIFS(集計用!$G4,"*, "&amp;AP$3&amp;", *")</f>
        <v>0</v>
      </c>
      <c r="AQ6" s="2">
        <f>COUNTIFS(集計用!$G4,"*, "&amp;AQ$3&amp;", *")</f>
        <v>0</v>
      </c>
      <c r="AR6" s="2">
        <f>COUNTIFS(集計用!$G4,"*, "&amp;AR$3&amp;", *")</f>
        <v>0</v>
      </c>
      <c r="AS6" s="2">
        <f>COUNTIFS(集計用!$G4,"*, "&amp;AS$3&amp;", *")</f>
        <v>0</v>
      </c>
      <c r="AT6" s="2">
        <f>COUNTIFS(集計用!$G4,"*, "&amp;AT$3&amp;", *")</f>
        <v>0</v>
      </c>
      <c r="AU6" s="2">
        <f>COUNTIFS(集計用!$G4,"*, "&amp;AU$3&amp;", *")</f>
        <v>0</v>
      </c>
      <c r="AV6" s="2">
        <f>COUNTIFS(集計用!$G4,"*, "&amp;AV$3&amp;", *")</f>
        <v>0</v>
      </c>
      <c r="AW6" s="2">
        <f>COUNTIFS(集計用!$G4,"*, "&amp;AW$3&amp;", *")</f>
        <v>0</v>
      </c>
      <c r="AX6" s="2">
        <f>COUNTIFS(集計用!$G4,"*, "&amp;AX$3&amp;", *")</f>
        <v>0</v>
      </c>
      <c r="AY6" s="2">
        <f>COUNTIFS(集計用!$G4,"*, "&amp;AY$3&amp;", *")</f>
        <v>1</v>
      </c>
      <c r="AZ6" s="2">
        <f>COUNTIFS(集計用!$G4,"*, "&amp;AZ$3&amp;", *")</f>
        <v>0</v>
      </c>
      <c r="BA6" s="2">
        <f>COUNTIFS(集計用!$G4,"*, "&amp;BA$3&amp;", *")</f>
        <v>0</v>
      </c>
      <c r="BB6" s="2">
        <f>COUNTIFS(集計用!$G4,"*, "&amp;BB$3&amp;", *")</f>
        <v>0</v>
      </c>
      <c r="BC6" s="2">
        <f>COUNTIFS(集計用!$G4,"*, "&amp;BC$3&amp;", *")</f>
        <v>0</v>
      </c>
      <c r="BD6" s="2">
        <f>COUNTIFS(集計用!$G4,"*, "&amp;BD$3&amp;", *")</f>
        <v>0</v>
      </c>
      <c r="BE6" s="2">
        <f>COUNTIFS(集計用!$G4,"*, "&amp;BE$3&amp;", *")</f>
        <v>0</v>
      </c>
      <c r="BF6" s="2">
        <f>COUNTIFS(集計用!$G4,"*, "&amp;BF$3&amp;", *")</f>
        <v>0</v>
      </c>
      <c r="BG6" s="2">
        <f>COUNTIFS(集計用!$G4,"*, "&amp;BG$3&amp;", *")</f>
        <v>0</v>
      </c>
      <c r="BH6" s="2">
        <f>COUNTIFS(集計用!$G4,"*, "&amp;BH$3&amp;", *")</f>
        <v>0</v>
      </c>
      <c r="BI6" s="2">
        <f>COUNTIFS(集計用!$G4,"*, "&amp;BI$3&amp;", *")</f>
        <v>0</v>
      </c>
      <c r="BJ6" s="2">
        <f>LEN(集計用!H4)-LEN(SUBSTITUTE(集計用!H4,",",""))</f>
        <v>0</v>
      </c>
    </row>
    <row r="7" spans="1:62" ht="12.75">
      <c r="A7" s="8">
        <v>4</v>
      </c>
      <c r="C7" s="2">
        <f t="shared" si="2"/>
        <v>56</v>
      </c>
      <c r="D7" s="9"/>
      <c r="E7" s="2">
        <f>COUNTIFS(集計用!$G5,"*, "&amp;E$3&amp;", *")</f>
        <v>1</v>
      </c>
      <c r="F7" s="2">
        <f>COUNTIFS(集計用!$G5,"*, "&amp;F$3&amp;", *")</f>
        <v>1</v>
      </c>
      <c r="G7" s="2">
        <f>COUNTIFS(集計用!$G5,"*, "&amp;G$3&amp;", *")</f>
        <v>1</v>
      </c>
      <c r="H7" s="2">
        <f>COUNTIFS(集計用!$G5,"*, "&amp;H$3&amp;", *")</f>
        <v>1</v>
      </c>
      <c r="I7" s="2">
        <f>COUNTIFS(集計用!$G5,"*, "&amp;I$3&amp;", *")</f>
        <v>1</v>
      </c>
      <c r="J7" s="2">
        <f>COUNTIFS(集計用!$G5,"*, "&amp;J$3&amp;", *")</f>
        <v>1</v>
      </c>
      <c r="K7" s="2">
        <f>COUNTIFS(集計用!$G5,"*, "&amp;K$3&amp;", *")</f>
        <v>1</v>
      </c>
      <c r="L7" s="2">
        <f>COUNTIFS(集計用!$G5,"*, "&amp;L$3&amp;", *")</f>
        <v>1</v>
      </c>
      <c r="M7" s="2">
        <f>COUNTIFS(集計用!$G5,"*, "&amp;M$3&amp;", *")</f>
        <v>1</v>
      </c>
      <c r="N7" s="2">
        <f>COUNTIFS(集計用!$G5,"*, "&amp;N$3&amp;", *")</f>
        <v>1</v>
      </c>
      <c r="O7" s="2">
        <f>COUNTIFS(集計用!$G5,"*, "&amp;O$3&amp;", *")</f>
        <v>1</v>
      </c>
      <c r="P7" s="2">
        <f>COUNTIFS(集計用!$G5,"*, "&amp;P$3&amp;", *")</f>
        <v>1</v>
      </c>
      <c r="Q7" s="2">
        <f>COUNTIFS(集計用!$G5,"*, "&amp;Q$3&amp;", *")</f>
        <v>1</v>
      </c>
      <c r="R7" s="2">
        <f>COUNTIFS(集計用!$G5,"*, "&amp;R$3&amp;", *")</f>
        <v>1</v>
      </c>
      <c r="S7" s="2">
        <f>COUNTIFS(集計用!$G5,"*, "&amp;S$3&amp;", *")</f>
        <v>1</v>
      </c>
      <c r="T7" s="2">
        <f>COUNTIFS(集計用!$G5,"*, "&amp;T$3&amp;", *")</f>
        <v>1</v>
      </c>
      <c r="U7" s="2">
        <f>COUNTIFS(集計用!$G5,"*, "&amp;U$3&amp;", *")</f>
        <v>1</v>
      </c>
      <c r="V7" s="2">
        <f>COUNTIFS(集計用!$G5,"*, "&amp;V$3&amp;", *")</f>
        <v>1</v>
      </c>
      <c r="W7" s="2">
        <f>COUNTIFS(集計用!$G5,"*, "&amp;W$3&amp;", *")</f>
        <v>1</v>
      </c>
      <c r="X7" s="2">
        <f>COUNTIFS(集計用!$G5,"*, "&amp;X$3&amp;", *")</f>
        <v>1</v>
      </c>
      <c r="Y7" s="2">
        <f>COUNTIFS(集計用!$G5,"*, "&amp;Y$3&amp;", *")</f>
        <v>1</v>
      </c>
      <c r="Z7" s="2">
        <f>COUNTIFS(集計用!$G5,"*, "&amp;Z$3&amp;", *")</f>
        <v>1</v>
      </c>
      <c r="AA7" s="2">
        <f>COUNTIFS(集計用!$G5,"*, "&amp;AA$3&amp;", *")</f>
        <v>1</v>
      </c>
      <c r="AB7" s="2">
        <f>COUNTIFS(集計用!$G5,"*, "&amp;AB$3&amp;", *")</f>
        <v>1</v>
      </c>
      <c r="AC7" s="2">
        <f>COUNTIFS(集計用!$G5,"*, "&amp;AC$3&amp;", *")</f>
        <v>1</v>
      </c>
      <c r="AD7" s="2">
        <f>COUNTIFS(集計用!$G5,"*, "&amp;AD$3&amp;", *")</f>
        <v>1</v>
      </c>
      <c r="AE7" s="2">
        <f>COUNTIFS(集計用!$G5,"*, "&amp;AE$3&amp;", *")</f>
        <v>1</v>
      </c>
      <c r="AF7" s="2">
        <f>COUNTIFS(集計用!$G5,"*, "&amp;AF$3&amp;", *")</f>
        <v>1</v>
      </c>
      <c r="AG7" s="2">
        <f>COUNTIFS(集計用!$G5,"*, "&amp;AG$3&amp;", *")</f>
        <v>1</v>
      </c>
      <c r="AH7" s="2">
        <f>COUNTIFS(集計用!$G5,"*, "&amp;AH$3&amp;", *")</f>
        <v>1</v>
      </c>
      <c r="AI7" s="2">
        <f>COUNTIFS(集計用!$G5,"*, "&amp;AI$3&amp;", *")</f>
        <v>1</v>
      </c>
      <c r="AJ7" s="2">
        <f>COUNTIFS(集計用!$G5,"*, "&amp;AJ$3&amp;", *")</f>
        <v>1</v>
      </c>
      <c r="AK7" s="2">
        <f>COUNTIFS(集計用!$G5,"*, "&amp;AK$3&amp;", *")</f>
        <v>1</v>
      </c>
      <c r="AL7" s="2">
        <f>COUNTIFS(集計用!$G5,"*, "&amp;AL$3&amp;", *")</f>
        <v>1</v>
      </c>
      <c r="AM7" s="2">
        <f>COUNTIFS(集計用!$G5,"*, "&amp;AM$3&amp;", *")</f>
        <v>1</v>
      </c>
      <c r="AN7" s="2">
        <f>COUNTIFS(集計用!$G5,"*, "&amp;AN$3&amp;", *")</f>
        <v>1</v>
      </c>
      <c r="AO7" s="2">
        <f>COUNTIFS(集計用!$G5,"*, "&amp;AO$3&amp;", *")</f>
        <v>1</v>
      </c>
      <c r="AP7" s="2">
        <f>COUNTIFS(集計用!$G5,"*, "&amp;AP$3&amp;", *")</f>
        <v>1</v>
      </c>
      <c r="AQ7" s="2">
        <f>COUNTIFS(集計用!$G5,"*, "&amp;AQ$3&amp;", *")</f>
        <v>1</v>
      </c>
      <c r="AR7" s="2">
        <f>COUNTIFS(集計用!$G5,"*, "&amp;AR$3&amp;", *")</f>
        <v>1</v>
      </c>
      <c r="AS7" s="2">
        <f>COUNTIFS(集計用!$G5,"*, "&amp;AS$3&amp;", *")</f>
        <v>1</v>
      </c>
      <c r="AT7" s="2">
        <f>COUNTIFS(集計用!$G5,"*, "&amp;AT$3&amp;", *")</f>
        <v>1</v>
      </c>
      <c r="AU7" s="2">
        <f>COUNTIFS(集計用!$G5,"*, "&amp;AU$3&amp;", *")</f>
        <v>1</v>
      </c>
      <c r="AV7" s="2">
        <f>COUNTIFS(集計用!$G5,"*, "&amp;AV$3&amp;", *")</f>
        <v>1</v>
      </c>
      <c r="AW7" s="2">
        <f>COUNTIFS(集計用!$G5,"*, "&amp;AW$3&amp;", *")</f>
        <v>1</v>
      </c>
      <c r="AX7" s="2">
        <f>COUNTIFS(集計用!$G5,"*, "&amp;AX$3&amp;", *")</f>
        <v>1</v>
      </c>
      <c r="AY7" s="2">
        <f>COUNTIFS(集計用!$G5,"*, "&amp;AY$3&amp;", *")</f>
        <v>1</v>
      </c>
      <c r="AZ7" s="2">
        <f>COUNTIFS(集計用!$G5,"*, "&amp;AZ$3&amp;", *")</f>
        <v>1</v>
      </c>
      <c r="BA7" s="2">
        <f>COUNTIFS(集計用!$G5,"*, "&amp;BA$3&amp;", *")</f>
        <v>1</v>
      </c>
      <c r="BB7" s="2">
        <f>COUNTIFS(集計用!$G5,"*, "&amp;BB$3&amp;", *")</f>
        <v>1</v>
      </c>
      <c r="BC7" s="2">
        <f>COUNTIFS(集計用!$G5,"*, "&amp;BC$3&amp;", *")</f>
        <v>1</v>
      </c>
      <c r="BD7" s="2">
        <f>COUNTIFS(集計用!$G5,"*, "&amp;BD$3&amp;", *")</f>
        <v>1</v>
      </c>
      <c r="BE7" s="2">
        <f>COUNTIFS(集計用!$G5,"*, "&amp;BE$3&amp;", *")</f>
        <v>1</v>
      </c>
      <c r="BF7" s="2">
        <f>COUNTIFS(集計用!$G5,"*, "&amp;BF$3&amp;", *")</f>
        <v>1</v>
      </c>
      <c r="BG7" s="2">
        <f>COUNTIFS(集計用!$G5,"*, "&amp;BG$3&amp;", *")</f>
        <v>1</v>
      </c>
      <c r="BH7" s="2">
        <f>COUNTIFS(集計用!$G5,"*, "&amp;BH$3&amp;", *")</f>
        <v>1</v>
      </c>
      <c r="BI7" s="2">
        <f>COUNTIFS(集計用!$G5,"*, "&amp;BI$3&amp;", *")</f>
        <v>0</v>
      </c>
      <c r="BJ7" s="2">
        <f>LEN(集計用!H5)-LEN(SUBSTITUTE(集計用!H5,",",""))</f>
        <v>0</v>
      </c>
    </row>
    <row r="8" spans="1:62" ht="12.75">
      <c r="A8" s="8">
        <v>5</v>
      </c>
      <c r="C8" s="2">
        <f t="shared" si="2"/>
        <v>3</v>
      </c>
      <c r="D8" s="9"/>
      <c r="E8" s="2">
        <f>COUNTIFS(集計用!$G6,"*, "&amp;E$3&amp;", *")</f>
        <v>0</v>
      </c>
      <c r="F8" s="2">
        <f>COUNTIFS(集計用!$G6,"*, "&amp;F$3&amp;", *")</f>
        <v>0</v>
      </c>
      <c r="G8" s="2">
        <f>COUNTIFS(集計用!$G6,"*, "&amp;G$3&amp;", *")</f>
        <v>0</v>
      </c>
      <c r="H8" s="2">
        <f>COUNTIFS(集計用!$G6,"*, "&amp;H$3&amp;", *")</f>
        <v>0</v>
      </c>
      <c r="I8" s="2">
        <f>COUNTIFS(集計用!$G6,"*, "&amp;I$3&amp;", *")</f>
        <v>0</v>
      </c>
      <c r="J8" s="2">
        <f>COUNTIFS(集計用!$G6,"*, "&amp;J$3&amp;", *")</f>
        <v>0</v>
      </c>
      <c r="K8" s="2">
        <f>COUNTIFS(集計用!$G6,"*, "&amp;K$3&amp;", *")</f>
        <v>0</v>
      </c>
      <c r="L8" s="2">
        <f>COUNTIFS(集計用!$G6,"*, "&amp;L$3&amp;", *")</f>
        <v>0</v>
      </c>
      <c r="M8" s="2">
        <f>COUNTIFS(集計用!$G6,"*, "&amp;M$3&amp;", *")</f>
        <v>0</v>
      </c>
      <c r="N8" s="2">
        <f>COUNTIFS(集計用!$G6,"*, "&amp;N$3&amp;", *")</f>
        <v>0</v>
      </c>
      <c r="O8" s="2">
        <f>COUNTIFS(集計用!$G6,"*, "&amp;O$3&amp;", *")</f>
        <v>0</v>
      </c>
      <c r="P8" s="2">
        <f>COUNTIFS(集計用!$G6,"*, "&amp;P$3&amp;", *")</f>
        <v>0</v>
      </c>
      <c r="Q8" s="2">
        <f>COUNTIFS(集計用!$G6,"*, "&amp;Q$3&amp;", *")</f>
        <v>1</v>
      </c>
      <c r="R8" s="2">
        <f>COUNTIFS(集計用!$G6,"*, "&amp;R$3&amp;", *")</f>
        <v>1</v>
      </c>
      <c r="S8" s="2">
        <f>COUNTIFS(集計用!$G6,"*, "&amp;S$3&amp;", *")</f>
        <v>0</v>
      </c>
      <c r="T8" s="2">
        <f>COUNTIFS(集計用!$G6,"*, "&amp;T$3&amp;", *")</f>
        <v>0</v>
      </c>
      <c r="U8" s="2">
        <f>COUNTIFS(集計用!$G6,"*, "&amp;U$3&amp;", *")</f>
        <v>0</v>
      </c>
      <c r="V8" s="2">
        <f>COUNTIFS(集計用!$G6,"*, "&amp;V$3&amp;", *")</f>
        <v>0</v>
      </c>
      <c r="W8" s="2">
        <f>COUNTIFS(集計用!$G6,"*, "&amp;W$3&amp;", *")</f>
        <v>0</v>
      </c>
      <c r="X8" s="2">
        <f>COUNTIFS(集計用!$G6,"*, "&amp;X$3&amp;", *")</f>
        <v>0</v>
      </c>
      <c r="Y8" s="2">
        <f>COUNTIFS(集計用!$G6,"*, "&amp;Y$3&amp;", *")</f>
        <v>0</v>
      </c>
      <c r="Z8" s="2">
        <f>COUNTIFS(集計用!$G6,"*, "&amp;Z$3&amp;", *")</f>
        <v>0</v>
      </c>
      <c r="AA8" s="2">
        <f>COUNTIFS(集計用!$G6,"*, "&amp;AA$3&amp;", *")</f>
        <v>0</v>
      </c>
      <c r="AB8" s="2">
        <f>COUNTIFS(集計用!$G6,"*, "&amp;AB$3&amp;", *")</f>
        <v>0</v>
      </c>
      <c r="AC8" s="2">
        <f>COUNTIFS(集計用!$G6,"*, "&amp;AC$3&amp;", *")</f>
        <v>0</v>
      </c>
      <c r="AD8" s="2">
        <f>COUNTIFS(集計用!$G6,"*, "&amp;AD$3&amp;", *")</f>
        <v>0</v>
      </c>
      <c r="AE8" s="2">
        <f>COUNTIFS(集計用!$G6,"*, "&amp;AE$3&amp;", *")</f>
        <v>0</v>
      </c>
      <c r="AF8" s="2">
        <f>COUNTIFS(集計用!$G6,"*, "&amp;AF$3&amp;", *")</f>
        <v>0</v>
      </c>
      <c r="AG8" s="2">
        <f>COUNTIFS(集計用!$G6,"*, "&amp;AG$3&amp;", *")</f>
        <v>0</v>
      </c>
      <c r="AH8" s="2">
        <f>COUNTIFS(集計用!$G6,"*, "&amp;AH$3&amp;", *")</f>
        <v>0</v>
      </c>
      <c r="AI8" s="2">
        <f>COUNTIFS(集計用!$G6,"*, "&amp;AI$3&amp;", *")</f>
        <v>0</v>
      </c>
      <c r="AJ8" s="2">
        <f>COUNTIFS(集計用!$G6,"*, "&amp;AJ$3&amp;", *")</f>
        <v>0</v>
      </c>
      <c r="AK8" s="2">
        <f>COUNTIFS(集計用!$G6,"*, "&amp;AK$3&amp;", *")</f>
        <v>0</v>
      </c>
      <c r="AL8" s="2">
        <f>COUNTIFS(集計用!$G6,"*, "&amp;AL$3&amp;", *")</f>
        <v>0</v>
      </c>
      <c r="AM8" s="2">
        <f>COUNTIFS(集計用!$G6,"*, "&amp;AM$3&amp;", *")</f>
        <v>0</v>
      </c>
      <c r="AN8" s="2">
        <f>COUNTIFS(集計用!$G6,"*, "&amp;AN$3&amp;", *")</f>
        <v>0</v>
      </c>
      <c r="AO8" s="2">
        <f>COUNTIFS(集計用!$G6,"*, "&amp;AO$3&amp;", *")</f>
        <v>0</v>
      </c>
      <c r="AP8" s="2">
        <f>COUNTIFS(集計用!$G6,"*, "&amp;AP$3&amp;", *")</f>
        <v>0</v>
      </c>
      <c r="AQ8" s="2">
        <f>COUNTIFS(集計用!$G6,"*, "&amp;AQ$3&amp;", *")</f>
        <v>0</v>
      </c>
      <c r="AR8" s="2">
        <f>COUNTIFS(集計用!$G6,"*, "&amp;AR$3&amp;", *")</f>
        <v>0</v>
      </c>
      <c r="AS8" s="2">
        <f>COUNTIFS(集計用!$G6,"*, "&amp;AS$3&amp;", *")</f>
        <v>0</v>
      </c>
      <c r="AT8" s="2">
        <f>COUNTIFS(集計用!$G6,"*, "&amp;AT$3&amp;", *")</f>
        <v>1</v>
      </c>
      <c r="AU8" s="2">
        <f>COUNTIFS(集計用!$G6,"*, "&amp;AU$3&amp;", *")</f>
        <v>0</v>
      </c>
      <c r="AV8" s="2">
        <f>COUNTIFS(集計用!$G6,"*, "&amp;AV$3&amp;", *")</f>
        <v>0</v>
      </c>
      <c r="AW8" s="2">
        <f>COUNTIFS(集計用!$G6,"*, "&amp;AW$3&amp;", *")</f>
        <v>0</v>
      </c>
      <c r="AX8" s="2">
        <f>COUNTIFS(集計用!$G6,"*, "&amp;AX$3&amp;", *")</f>
        <v>0</v>
      </c>
      <c r="AY8" s="2">
        <f>COUNTIFS(集計用!$G6,"*, "&amp;AY$3&amp;", *")</f>
        <v>0</v>
      </c>
      <c r="AZ8" s="2">
        <f>COUNTIFS(集計用!$G6,"*, "&amp;AZ$3&amp;", *")</f>
        <v>0</v>
      </c>
      <c r="BA8" s="2">
        <f>COUNTIFS(集計用!$G6,"*, "&amp;BA$3&amp;", *")</f>
        <v>0</v>
      </c>
      <c r="BB8" s="2">
        <f>COUNTIFS(集計用!$G6,"*, "&amp;BB$3&amp;", *")</f>
        <v>0</v>
      </c>
      <c r="BC8" s="2">
        <f>COUNTIFS(集計用!$G6,"*, "&amp;BC$3&amp;", *")</f>
        <v>0</v>
      </c>
      <c r="BD8" s="2">
        <f>COUNTIFS(集計用!$G6,"*, "&amp;BD$3&amp;", *")</f>
        <v>0</v>
      </c>
      <c r="BE8" s="2">
        <f>COUNTIFS(集計用!$G6,"*, "&amp;BE$3&amp;", *")</f>
        <v>0</v>
      </c>
      <c r="BF8" s="2">
        <f>COUNTIFS(集計用!$G6,"*, "&amp;BF$3&amp;", *")</f>
        <v>0</v>
      </c>
      <c r="BG8" s="2">
        <f>COUNTIFS(集計用!$G6,"*, "&amp;BG$3&amp;", *")</f>
        <v>0</v>
      </c>
      <c r="BH8" s="2">
        <f>COUNTIFS(集計用!$G6,"*, "&amp;BH$3&amp;", *")</f>
        <v>0</v>
      </c>
      <c r="BI8" s="2">
        <f>COUNTIFS(集計用!$G6,"*, "&amp;BI$3&amp;", *")</f>
        <v>0</v>
      </c>
      <c r="BJ8" s="2">
        <f>LEN(集計用!H6)-LEN(SUBSTITUTE(集計用!H6,",",""))</f>
        <v>0</v>
      </c>
    </row>
    <row r="9" spans="1:62" ht="12.75">
      <c r="A9" s="8">
        <v>6</v>
      </c>
      <c r="C9" s="2">
        <f t="shared" si="2"/>
        <v>1</v>
      </c>
      <c r="D9" s="9"/>
      <c r="E9" s="2">
        <f>COUNTIFS(集計用!$G7,"*, "&amp;E$3&amp;", *")</f>
        <v>1</v>
      </c>
      <c r="F9" s="2">
        <f>COUNTIFS(集計用!$G7,"*, "&amp;F$3&amp;", *")</f>
        <v>0</v>
      </c>
      <c r="G9" s="2">
        <f>COUNTIFS(集計用!$G7,"*, "&amp;G$3&amp;", *")</f>
        <v>0</v>
      </c>
      <c r="H9" s="2">
        <f>COUNTIFS(集計用!$G7,"*, "&amp;H$3&amp;", *")</f>
        <v>0</v>
      </c>
      <c r="I9" s="2">
        <f>COUNTIFS(集計用!$G7,"*, "&amp;I$3&amp;", *")</f>
        <v>0</v>
      </c>
      <c r="J9" s="2">
        <f>COUNTIFS(集計用!$G7,"*, "&amp;J$3&amp;", *")</f>
        <v>0</v>
      </c>
      <c r="K9" s="2">
        <f>COUNTIFS(集計用!$G7,"*, "&amp;K$3&amp;", *")</f>
        <v>0</v>
      </c>
      <c r="L9" s="2">
        <f>COUNTIFS(集計用!$G7,"*, "&amp;L$3&amp;", *")</f>
        <v>0</v>
      </c>
      <c r="M9" s="2">
        <f>COUNTIFS(集計用!$G7,"*, "&amp;M$3&amp;", *")</f>
        <v>0</v>
      </c>
      <c r="N9" s="2">
        <f>COUNTIFS(集計用!$G7,"*, "&amp;N$3&amp;", *")</f>
        <v>0</v>
      </c>
      <c r="O9" s="2">
        <f>COUNTIFS(集計用!$G7,"*, "&amp;O$3&amp;", *")</f>
        <v>0</v>
      </c>
      <c r="P9" s="2">
        <f>COUNTIFS(集計用!$G7,"*, "&amp;P$3&amp;", *")</f>
        <v>0</v>
      </c>
      <c r="Q9" s="2">
        <f>COUNTIFS(集計用!$G7,"*, "&amp;Q$3&amp;", *")</f>
        <v>0</v>
      </c>
      <c r="R9" s="2">
        <f>COUNTIFS(集計用!$G7,"*, "&amp;R$3&amp;", *")</f>
        <v>0</v>
      </c>
      <c r="S9" s="2">
        <f>COUNTIFS(集計用!$G7,"*, "&amp;S$3&amp;", *")</f>
        <v>0</v>
      </c>
      <c r="T9" s="2">
        <f>COUNTIFS(集計用!$G7,"*, "&amp;T$3&amp;", *")</f>
        <v>0</v>
      </c>
      <c r="U9" s="2">
        <f>COUNTIFS(集計用!$G7,"*, "&amp;U$3&amp;", *")</f>
        <v>0</v>
      </c>
      <c r="V9" s="2">
        <f>COUNTIFS(集計用!$G7,"*, "&amp;V$3&amp;", *")</f>
        <v>0</v>
      </c>
      <c r="W9" s="2">
        <f>COUNTIFS(集計用!$G7,"*, "&amp;W$3&amp;", *")</f>
        <v>0</v>
      </c>
      <c r="X9" s="2">
        <f>COUNTIFS(集計用!$G7,"*, "&amp;X$3&amp;", *")</f>
        <v>0</v>
      </c>
      <c r="Y9" s="2">
        <f>COUNTIFS(集計用!$G7,"*, "&amp;Y$3&amp;", *")</f>
        <v>0</v>
      </c>
      <c r="Z9" s="2">
        <f>COUNTIFS(集計用!$G7,"*, "&amp;Z$3&amp;", *")</f>
        <v>0</v>
      </c>
      <c r="AA9" s="2">
        <f>COUNTIFS(集計用!$G7,"*, "&amp;AA$3&amp;", *")</f>
        <v>0</v>
      </c>
      <c r="AB9" s="2">
        <f>COUNTIFS(集計用!$G7,"*, "&amp;AB$3&amp;", *")</f>
        <v>0</v>
      </c>
      <c r="AC9" s="2">
        <f>COUNTIFS(集計用!$G7,"*, "&amp;AC$3&amp;", *")</f>
        <v>0</v>
      </c>
      <c r="AD9" s="2">
        <f>COUNTIFS(集計用!$G7,"*, "&amp;AD$3&amp;", *")</f>
        <v>0</v>
      </c>
      <c r="AE9" s="2">
        <f>COUNTIFS(集計用!$G7,"*, "&amp;AE$3&amp;", *")</f>
        <v>0</v>
      </c>
      <c r="AF9" s="2">
        <f>COUNTIFS(集計用!$G7,"*, "&amp;AF$3&amp;", *")</f>
        <v>0</v>
      </c>
      <c r="AG9" s="2">
        <f>COUNTIFS(集計用!$G7,"*, "&amp;AG$3&amp;", *")</f>
        <v>0</v>
      </c>
      <c r="AH9" s="2">
        <f>COUNTIFS(集計用!$G7,"*, "&amp;AH$3&amp;", *")</f>
        <v>0</v>
      </c>
      <c r="AI9" s="2">
        <f>COUNTIFS(集計用!$G7,"*, "&amp;AI$3&amp;", *")</f>
        <v>0</v>
      </c>
      <c r="AJ9" s="2">
        <f>COUNTIFS(集計用!$G7,"*, "&amp;AJ$3&amp;", *")</f>
        <v>0</v>
      </c>
      <c r="AK9" s="2">
        <f>COUNTIFS(集計用!$G7,"*, "&amp;AK$3&amp;", *")</f>
        <v>0</v>
      </c>
      <c r="AL9" s="2">
        <f>COUNTIFS(集計用!$G7,"*, "&amp;AL$3&amp;", *")</f>
        <v>0</v>
      </c>
      <c r="AM9" s="2">
        <f>COUNTIFS(集計用!$G7,"*, "&amp;AM$3&amp;", *")</f>
        <v>0</v>
      </c>
      <c r="AN9" s="2">
        <f>COUNTIFS(集計用!$G7,"*, "&amp;AN$3&amp;", *")</f>
        <v>0</v>
      </c>
      <c r="AO9" s="2">
        <f>COUNTIFS(集計用!$G7,"*, "&amp;AO$3&amp;", *")</f>
        <v>0</v>
      </c>
      <c r="AP9" s="2">
        <f>COUNTIFS(集計用!$G7,"*, "&amp;AP$3&amp;", *")</f>
        <v>0</v>
      </c>
      <c r="AQ9" s="2">
        <f>COUNTIFS(集計用!$G7,"*, "&amp;AQ$3&amp;", *")</f>
        <v>0</v>
      </c>
      <c r="AR9" s="2">
        <f>COUNTIFS(集計用!$G7,"*, "&amp;AR$3&amp;", *")</f>
        <v>0</v>
      </c>
      <c r="AS9" s="2">
        <f>COUNTIFS(集計用!$G7,"*, "&amp;AS$3&amp;", *")</f>
        <v>0</v>
      </c>
      <c r="AT9" s="2">
        <f>COUNTIFS(集計用!$G7,"*, "&amp;AT$3&amp;", *")</f>
        <v>0</v>
      </c>
      <c r="AU9" s="2">
        <f>COUNTIFS(集計用!$G7,"*, "&amp;AU$3&amp;", *")</f>
        <v>0</v>
      </c>
      <c r="AV9" s="2">
        <f>COUNTIFS(集計用!$G7,"*, "&amp;AV$3&amp;", *")</f>
        <v>0</v>
      </c>
      <c r="AW9" s="2">
        <f>COUNTIFS(集計用!$G7,"*, "&amp;AW$3&amp;", *")</f>
        <v>0</v>
      </c>
      <c r="AX9" s="2">
        <f>COUNTIFS(集計用!$G7,"*, "&amp;AX$3&amp;", *")</f>
        <v>0</v>
      </c>
      <c r="AY9" s="2">
        <f>COUNTIFS(集計用!$G7,"*, "&amp;AY$3&amp;", *")</f>
        <v>0</v>
      </c>
      <c r="AZ9" s="2">
        <f>COUNTIFS(集計用!$G7,"*, "&amp;AZ$3&amp;", *")</f>
        <v>0</v>
      </c>
      <c r="BA9" s="2">
        <f>COUNTIFS(集計用!$G7,"*, "&amp;BA$3&amp;", *")</f>
        <v>0</v>
      </c>
      <c r="BB9" s="2">
        <f>COUNTIFS(集計用!$G7,"*, "&amp;BB$3&amp;", *")</f>
        <v>0</v>
      </c>
      <c r="BC9" s="2">
        <f>COUNTIFS(集計用!$G7,"*, "&amp;BC$3&amp;", *")</f>
        <v>0</v>
      </c>
      <c r="BD9" s="2">
        <f>COUNTIFS(集計用!$G7,"*, "&amp;BD$3&amp;", *")</f>
        <v>0</v>
      </c>
      <c r="BE9" s="2">
        <f>COUNTIFS(集計用!$G7,"*, "&amp;BE$3&amp;", *")</f>
        <v>0</v>
      </c>
      <c r="BF9" s="2">
        <f>COUNTIFS(集計用!$G7,"*, "&amp;BF$3&amp;", *")</f>
        <v>0</v>
      </c>
      <c r="BG9" s="2">
        <f>COUNTIFS(集計用!$G7,"*, "&amp;BG$3&amp;", *")</f>
        <v>0</v>
      </c>
      <c r="BH9" s="2">
        <f>COUNTIFS(集計用!$G7,"*, "&amp;BH$3&amp;", *")</f>
        <v>0</v>
      </c>
      <c r="BI9" s="2">
        <f>COUNTIFS(集計用!$G7,"*, "&amp;BI$3&amp;", *")</f>
        <v>0</v>
      </c>
      <c r="BJ9" s="2">
        <f>LEN(集計用!H7)-LEN(SUBSTITUTE(集計用!H7,",",""))</f>
        <v>0</v>
      </c>
    </row>
    <row r="10" spans="1:62" ht="12.75">
      <c r="A10" s="8">
        <v>7</v>
      </c>
      <c r="C10" s="2">
        <f t="shared" si="2"/>
        <v>5</v>
      </c>
      <c r="D10" s="9"/>
      <c r="E10" s="2">
        <f>COUNTIFS(集計用!$G8,"*, "&amp;E$3&amp;", *")</f>
        <v>1</v>
      </c>
      <c r="F10" s="2">
        <f>COUNTIFS(集計用!$G8,"*, "&amp;F$3&amp;", *")</f>
        <v>0</v>
      </c>
      <c r="G10" s="2">
        <f>COUNTIFS(集計用!$G8,"*, "&amp;G$3&amp;", *")</f>
        <v>1</v>
      </c>
      <c r="H10" s="2">
        <f>COUNTIFS(集計用!$G8,"*, "&amp;H$3&amp;", *")</f>
        <v>1</v>
      </c>
      <c r="I10" s="2">
        <f>COUNTIFS(集計用!$G8,"*, "&amp;I$3&amp;", *")</f>
        <v>1</v>
      </c>
      <c r="J10" s="2">
        <f>COUNTIFS(集計用!$G8,"*, "&amp;J$3&amp;", *")</f>
        <v>0</v>
      </c>
      <c r="K10" s="2">
        <f>COUNTIFS(集計用!$G8,"*, "&amp;K$3&amp;", *")</f>
        <v>0</v>
      </c>
      <c r="L10" s="2">
        <f>COUNTIFS(集計用!$G8,"*, "&amp;L$3&amp;", *")</f>
        <v>0</v>
      </c>
      <c r="M10" s="2">
        <f>COUNTIFS(集計用!$G8,"*, "&amp;M$3&amp;", *")</f>
        <v>0</v>
      </c>
      <c r="N10" s="2">
        <f>COUNTIFS(集計用!$G8,"*, "&amp;N$3&amp;", *")</f>
        <v>1</v>
      </c>
      <c r="O10" s="2">
        <f>COUNTIFS(集計用!$G8,"*, "&amp;O$3&amp;", *")</f>
        <v>0</v>
      </c>
      <c r="P10" s="2">
        <f>COUNTIFS(集計用!$G8,"*, "&amp;P$3&amp;", *")</f>
        <v>0</v>
      </c>
      <c r="Q10" s="2">
        <f>COUNTIFS(集計用!$G8,"*, "&amp;Q$3&amp;", *")</f>
        <v>0</v>
      </c>
      <c r="R10" s="2">
        <f>COUNTIFS(集計用!$G8,"*, "&amp;R$3&amp;", *")</f>
        <v>0</v>
      </c>
      <c r="S10" s="2">
        <f>COUNTIFS(集計用!$G8,"*, "&amp;S$3&amp;", *")</f>
        <v>0</v>
      </c>
      <c r="T10" s="2">
        <f>COUNTIFS(集計用!$G8,"*, "&amp;T$3&amp;", *")</f>
        <v>0</v>
      </c>
      <c r="U10" s="2">
        <f>COUNTIFS(集計用!$G8,"*, "&amp;U$3&amp;", *")</f>
        <v>0</v>
      </c>
      <c r="V10" s="2">
        <f>COUNTIFS(集計用!$G8,"*, "&amp;V$3&amp;", *")</f>
        <v>0</v>
      </c>
      <c r="W10" s="2">
        <f>COUNTIFS(集計用!$G8,"*, "&amp;W$3&amp;", *")</f>
        <v>0</v>
      </c>
      <c r="X10" s="2">
        <f>COUNTIFS(集計用!$G8,"*, "&amp;X$3&amp;", *")</f>
        <v>0</v>
      </c>
      <c r="Y10" s="2">
        <f>COUNTIFS(集計用!$G8,"*, "&amp;Y$3&amp;", *")</f>
        <v>0</v>
      </c>
      <c r="Z10" s="2">
        <f>COUNTIFS(集計用!$G8,"*, "&amp;Z$3&amp;", *")</f>
        <v>0</v>
      </c>
      <c r="AA10" s="2">
        <f>COUNTIFS(集計用!$G8,"*, "&amp;AA$3&amp;", *")</f>
        <v>0</v>
      </c>
      <c r="AB10" s="2">
        <f>COUNTIFS(集計用!$G8,"*, "&amp;AB$3&amp;", *")</f>
        <v>0</v>
      </c>
      <c r="AC10" s="2">
        <f>COUNTIFS(集計用!$G8,"*, "&amp;AC$3&amp;", *")</f>
        <v>0</v>
      </c>
      <c r="AD10" s="2">
        <f>COUNTIFS(集計用!$G8,"*, "&amp;AD$3&amp;", *")</f>
        <v>0</v>
      </c>
      <c r="AE10" s="2">
        <f>COUNTIFS(集計用!$G8,"*, "&amp;AE$3&amp;", *")</f>
        <v>0</v>
      </c>
      <c r="AF10" s="2">
        <f>COUNTIFS(集計用!$G8,"*, "&amp;AF$3&amp;", *")</f>
        <v>0</v>
      </c>
      <c r="AG10" s="2">
        <f>COUNTIFS(集計用!$G8,"*, "&amp;AG$3&amp;", *")</f>
        <v>0</v>
      </c>
      <c r="AH10" s="2">
        <f>COUNTIFS(集計用!$G8,"*, "&amp;AH$3&amp;", *")</f>
        <v>0</v>
      </c>
      <c r="AI10" s="2">
        <f>COUNTIFS(集計用!$G8,"*, "&amp;AI$3&amp;", *")</f>
        <v>0</v>
      </c>
      <c r="AJ10" s="2">
        <f>COUNTIFS(集計用!$G8,"*, "&amp;AJ$3&amp;", *")</f>
        <v>0</v>
      </c>
      <c r="AK10" s="2">
        <f>COUNTIFS(集計用!$G8,"*, "&amp;AK$3&amp;", *")</f>
        <v>0</v>
      </c>
      <c r="AL10" s="2">
        <f>COUNTIFS(集計用!$G8,"*, "&amp;AL$3&amp;", *")</f>
        <v>0</v>
      </c>
      <c r="AM10" s="2">
        <f>COUNTIFS(集計用!$G8,"*, "&amp;AM$3&amp;", *")</f>
        <v>0</v>
      </c>
      <c r="AN10" s="2">
        <f>COUNTIFS(集計用!$G8,"*, "&amp;AN$3&amp;", *")</f>
        <v>0</v>
      </c>
      <c r="AO10" s="2">
        <f>COUNTIFS(集計用!$G8,"*, "&amp;AO$3&amp;", *")</f>
        <v>0</v>
      </c>
      <c r="AP10" s="2">
        <f>COUNTIFS(集計用!$G8,"*, "&amp;AP$3&amp;", *")</f>
        <v>0</v>
      </c>
      <c r="AQ10" s="2">
        <f>COUNTIFS(集計用!$G8,"*, "&amp;AQ$3&amp;", *")</f>
        <v>0</v>
      </c>
      <c r="AR10" s="2">
        <f>COUNTIFS(集計用!$G8,"*, "&amp;AR$3&amp;", *")</f>
        <v>0</v>
      </c>
      <c r="AS10" s="2">
        <f>COUNTIFS(集計用!$G8,"*, "&amp;AS$3&amp;", *")</f>
        <v>0</v>
      </c>
      <c r="AT10" s="2">
        <f>COUNTIFS(集計用!$G8,"*, "&amp;AT$3&amp;", *")</f>
        <v>0</v>
      </c>
      <c r="AU10" s="2">
        <f>COUNTIFS(集計用!$G8,"*, "&amp;AU$3&amp;", *")</f>
        <v>0</v>
      </c>
      <c r="AV10" s="2">
        <f>COUNTIFS(集計用!$G8,"*, "&amp;AV$3&amp;", *")</f>
        <v>0</v>
      </c>
      <c r="AW10" s="2">
        <f>COUNTIFS(集計用!$G8,"*, "&amp;AW$3&amp;", *")</f>
        <v>0</v>
      </c>
      <c r="AX10" s="2">
        <f>COUNTIFS(集計用!$G8,"*, "&amp;AX$3&amp;", *")</f>
        <v>0</v>
      </c>
      <c r="AY10" s="2">
        <f>COUNTIFS(集計用!$G8,"*, "&amp;AY$3&amp;", *")</f>
        <v>0</v>
      </c>
      <c r="AZ10" s="2">
        <f>COUNTIFS(集計用!$G8,"*, "&amp;AZ$3&amp;", *")</f>
        <v>0</v>
      </c>
      <c r="BA10" s="2">
        <f>COUNTIFS(集計用!$G8,"*, "&amp;BA$3&amp;", *")</f>
        <v>0</v>
      </c>
      <c r="BB10" s="2">
        <f>COUNTIFS(集計用!$G8,"*, "&amp;BB$3&amp;", *")</f>
        <v>0</v>
      </c>
      <c r="BC10" s="2">
        <f>COUNTIFS(集計用!$G8,"*, "&amp;BC$3&amp;", *")</f>
        <v>0</v>
      </c>
      <c r="BD10" s="2">
        <f>COUNTIFS(集計用!$G8,"*, "&amp;BD$3&amp;", *")</f>
        <v>0</v>
      </c>
      <c r="BE10" s="2">
        <f>COUNTIFS(集計用!$G8,"*, "&amp;BE$3&amp;", *")</f>
        <v>0</v>
      </c>
      <c r="BF10" s="2">
        <f>COUNTIFS(集計用!$G8,"*, "&amp;BF$3&amp;", *")</f>
        <v>0</v>
      </c>
      <c r="BG10" s="2">
        <f>COUNTIFS(集計用!$G8,"*, "&amp;BG$3&amp;", *")</f>
        <v>0</v>
      </c>
      <c r="BH10" s="2">
        <f>COUNTIFS(集計用!$G8,"*, "&amp;BH$3&amp;", *")</f>
        <v>0</v>
      </c>
      <c r="BI10" s="2">
        <f>COUNTIFS(集計用!$G8,"*, "&amp;BI$3&amp;", *")</f>
        <v>0</v>
      </c>
      <c r="BJ10" s="2">
        <f>LEN(集計用!H8)-LEN(SUBSTITUTE(集計用!H8,",",""))</f>
        <v>0</v>
      </c>
    </row>
    <row r="11" spans="1:62" ht="12.75">
      <c r="A11" s="8">
        <v>8</v>
      </c>
      <c r="C11" s="2">
        <f t="shared" si="2"/>
        <v>5</v>
      </c>
      <c r="D11" s="9"/>
      <c r="E11" s="2">
        <f>COUNTIFS(集計用!$G9,"*, "&amp;E$3&amp;", *")</f>
        <v>1</v>
      </c>
      <c r="F11" s="2">
        <f>COUNTIFS(集計用!$G9,"*, "&amp;F$3&amp;", *")</f>
        <v>0</v>
      </c>
      <c r="G11" s="2">
        <f>COUNTIFS(集計用!$G9,"*, "&amp;G$3&amp;", *")</f>
        <v>1</v>
      </c>
      <c r="H11" s="2">
        <f>COUNTIFS(集計用!$G9,"*, "&amp;H$3&amp;", *")</f>
        <v>0</v>
      </c>
      <c r="I11" s="2">
        <f>COUNTIFS(集計用!$G9,"*, "&amp;I$3&amp;", *")</f>
        <v>0</v>
      </c>
      <c r="J11" s="2">
        <f>COUNTIFS(集計用!$G9,"*, "&amp;J$3&amp;", *")</f>
        <v>0</v>
      </c>
      <c r="K11" s="2">
        <f>COUNTIFS(集計用!$G9,"*, "&amp;K$3&amp;", *")</f>
        <v>0</v>
      </c>
      <c r="L11" s="2">
        <f>COUNTIFS(集計用!$G9,"*, "&amp;L$3&amp;", *")</f>
        <v>0</v>
      </c>
      <c r="M11" s="2">
        <f>COUNTIFS(集計用!$G9,"*, "&amp;M$3&amp;", *")</f>
        <v>0</v>
      </c>
      <c r="N11" s="2">
        <f>COUNTIFS(集計用!$G9,"*, "&amp;N$3&amp;", *")</f>
        <v>0</v>
      </c>
      <c r="O11" s="2">
        <f>COUNTIFS(集計用!$G9,"*, "&amp;O$3&amp;", *")</f>
        <v>1</v>
      </c>
      <c r="P11" s="2">
        <f>COUNTIFS(集計用!$G9,"*, "&amp;P$3&amp;", *")</f>
        <v>0</v>
      </c>
      <c r="Q11" s="2">
        <f>COUNTIFS(集計用!$G9,"*, "&amp;Q$3&amp;", *")</f>
        <v>0</v>
      </c>
      <c r="R11" s="2">
        <f>COUNTIFS(集計用!$G9,"*, "&amp;R$3&amp;", *")</f>
        <v>0</v>
      </c>
      <c r="S11" s="2">
        <f>COUNTIFS(集計用!$G9,"*, "&amp;S$3&amp;", *")</f>
        <v>0</v>
      </c>
      <c r="T11" s="2">
        <f>COUNTIFS(集計用!$G9,"*, "&amp;T$3&amp;", *")</f>
        <v>0</v>
      </c>
      <c r="U11" s="2">
        <f>COUNTIFS(集計用!$G9,"*, "&amp;U$3&amp;", *")</f>
        <v>0</v>
      </c>
      <c r="V11" s="2">
        <f>COUNTIFS(集計用!$G9,"*, "&amp;V$3&amp;", *")</f>
        <v>0</v>
      </c>
      <c r="W11" s="2">
        <f>COUNTIFS(集計用!$G9,"*, "&amp;W$3&amp;", *")</f>
        <v>0</v>
      </c>
      <c r="X11" s="2">
        <f>COUNTIFS(集計用!$G9,"*, "&amp;X$3&amp;", *")</f>
        <v>0</v>
      </c>
      <c r="Y11" s="2">
        <f>COUNTIFS(集計用!$G9,"*, "&amp;Y$3&amp;", *")</f>
        <v>1</v>
      </c>
      <c r="Z11" s="2">
        <f>COUNTIFS(集計用!$G9,"*, "&amp;Z$3&amp;", *")</f>
        <v>0</v>
      </c>
      <c r="AA11" s="2">
        <f>COUNTIFS(集計用!$G9,"*, "&amp;AA$3&amp;", *")</f>
        <v>0</v>
      </c>
      <c r="AB11" s="2">
        <f>COUNTIFS(集計用!$G9,"*, "&amp;AB$3&amp;", *")</f>
        <v>0</v>
      </c>
      <c r="AC11" s="2">
        <f>COUNTIFS(集計用!$G9,"*, "&amp;AC$3&amp;", *")</f>
        <v>0</v>
      </c>
      <c r="AD11" s="2">
        <f>COUNTIFS(集計用!$G9,"*, "&amp;AD$3&amp;", *")</f>
        <v>0</v>
      </c>
      <c r="AE11" s="2">
        <f>COUNTIFS(集計用!$G9,"*, "&amp;AE$3&amp;", *")</f>
        <v>0</v>
      </c>
      <c r="AF11" s="2">
        <f>COUNTIFS(集計用!$G9,"*, "&amp;AF$3&amp;", *")</f>
        <v>0</v>
      </c>
      <c r="AG11" s="2">
        <f>COUNTIFS(集計用!$G9,"*, "&amp;AG$3&amp;", *")</f>
        <v>0</v>
      </c>
      <c r="AH11" s="2">
        <f>COUNTIFS(集計用!$G9,"*, "&amp;AH$3&amp;", *")</f>
        <v>0</v>
      </c>
      <c r="AI11" s="2">
        <f>COUNTIFS(集計用!$G9,"*, "&amp;AI$3&amp;", *")</f>
        <v>0</v>
      </c>
      <c r="AJ11" s="2">
        <f>COUNTIFS(集計用!$G9,"*, "&amp;AJ$3&amp;", *")</f>
        <v>0</v>
      </c>
      <c r="AK11" s="2">
        <f>COUNTIFS(集計用!$G9,"*, "&amp;AK$3&amp;", *")</f>
        <v>1</v>
      </c>
      <c r="AL11" s="2">
        <f>COUNTIFS(集計用!$G9,"*, "&amp;AL$3&amp;", *")</f>
        <v>0</v>
      </c>
      <c r="AM11" s="2">
        <f>COUNTIFS(集計用!$G9,"*, "&amp;AM$3&amp;", *")</f>
        <v>0</v>
      </c>
      <c r="AN11" s="2">
        <f>COUNTIFS(集計用!$G9,"*, "&amp;AN$3&amp;", *")</f>
        <v>0</v>
      </c>
      <c r="AO11" s="2">
        <f>COUNTIFS(集計用!$G9,"*, "&amp;AO$3&amp;", *")</f>
        <v>0</v>
      </c>
      <c r="AP11" s="2">
        <f>COUNTIFS(集計用!$G9,"*, "&amp;AP$3&amp;", *")</f>
        <v>0</v>
      </c>
      <c r="AQ11" s="2">
        <f>COUNTIFS(集計用!$G9,"*, "&amp;AQ$3&amp;", *")</f>
        <v>0</v>
      </c>
      <c r="AR11" s="2">
        <f>COUNTIFS(集計用!$G9,"*, "&amp;AR$3&amp;", *")</f>
        <v>0</v>
      </c>
      <c r="AS11" s="2">
        <f>COUNTIFS(集計用!$G9,"*, "&amp;AS$3&amp;", *")</f>
        <v>0</v>
      </c>
      <c r="AT11" s="2">
        <f>COUNTIFS(集計用!$G9,"*, "&amp;AT$3&amp;", *")</f>
        <v>0</v>
      </c>
      <c r="AU11" s="2">
        <f>COUNTIFS(集計用!$G9,"*, "&amp;AU$3&amp;", *")</f>
        <v>0</v>
      </c>
      <c r="AV11" s="2">
        <f>COUNTIFS(集計用!$G9,"*, "&amp;AV$3&amp;", *")</f>
        <v>0</v>
      </c>
      <c r="AW11" s="2">
        <f>COUNTIFS(集計用!$G9,"*, "&amp;AW$3&amp;", *")</f>
        <v>0</v>
      </c>
      <c r="AX11" s="2">
        <f>COUNTIFS(集計用!$G9,"*, "&amp;AX$3&amp;", *")</f>
        <v>0</v>
      </c>
      <c r="AY11" s="2">
        <f>COUNTIFS(集計用!$G9,"*, "&amp;AY$3&amp;", *")</f>
        <v>0</v>
      </c>
      <c r="AZ11" s="2">
        <f>COUNTIFS(集計用!$G9,"*, "&amp;AZ$3&amp;", *")</f>
        <v>0</v>
      </c>
      <c r="BA11" s="2">
        <f>COUNTIFS(集計用!$G9,"*, "&amp;BA$3&amp;", *")</f>
        <v>0</v>
      </c>
      <c r="BB11" s="2">
        <f>COUNTIFS(集計用!$G9,"*, "&amp;BB$3&amp;", *")</f>
        <v>0</v>
      </c>
      <c r="BC11" s="2">
        <f>COUNTIFS(集計用!$G9,"*, "&amp;BC$3&amp;", *")</f>
        <v>0</v>
      </c>
      <c r="BD11" s="2">
        <f>COUNTIFS(集計用!$G9,"*, "&amp;BD$3&amp;", *")</f>
        <v>0</v>
      </c>
      <c r="BE11" s="2">
        <f>COUNTIFS(集計用!$G9,"*, "&amp;BE$3&amp;", *")</f>
        <v>0</v>
      </c>
      <c r="BF11" s="2">
        <f>COUNTIFS(集計用!$G9,"*, "&amp;BF$3&amp;", *")</f>
        <v>0</v>
      </c>
      <c r="BG11" s="2">
        <f>COUNTIFS(集計用!$G9,"*, "&amp;BG$3&amp;", *")</f>
        <v>0</v>
      </c>
      <c r="BH11" s="2">
        <f>COUNTIFS(集計用!$G9,"*, "&amp;BH$3&amp;", *")</f>
        <v>0</v>
      </c>
      <c r="BI11" s="2">
        <f>COUNTIFS(集計用!$G9,"*, "&amp;BI$3&amp;", *")</f>
        <v>0</v>
      </c>
      <c r="BJ11" s="2">
        <f>LEN(集計用!H9)-LEN(SUBSTITUTE(集計用!H9,",",""))</f>
        <v>0</v>
      </c>
    </row>
    <row r="12" spans="1:62" ht="12.75">
      <c r="A12" s="8">
        <v>9</v>
      </c>
      <c r="C12" s="2">
        <f t="shared" si="2"/>
        <v>2</v>
      </c>
      <c r="D12" s="9"/>
      <c r="E12" s="2">
        <f>COUNTIFS(集計用!$G10,"*, "&amp;E$3&amp;", *")</f>
        <v>0</v>
      </c>
      <c r="F12" s="2">
        <f>COUNTIFS(集計用!$G10,"*, "&amp;F$3&amp;", *")</f>
        <v>1</v>
      </c>
      <c r="G12" s="2">
        <f>COUNTIFS(集計用!$G10,"*, "&amp;G$3&amp;", *")</f>
        <v>0</v>
      </c>
      <c r="H12" s="2">
        <f>COUNTIFS(集計用!$G10,"*, "&amp;H$3&amp;", *")</f>
        <v>0</v>
      </c>
      <c r="I12" s="2">
        <f>COUNTIFS(集計用!$G10,"*, "&amp;I$3&amp;", *")</f>
        <v>0</v>
      </c>
      <c r="J12" s="2">
        <f>COUNTIFS(集計用!$G10,"*, "&amp;J$3&amp;", *")</f>
        <v>1</v>
      </c>
      <c r="K12" s="2">
        <f>COUNTIFS(集計用!$G10,"*, "&amp;K$3&amp;", *")</f>
        <v>0</v>
      </c>
      <c r="L12" s="2">
        <f>COUNTIFS(集計用!$G10,"*, "&amp;L$3&amp;", *")</f>
        <v>0</v>
      </c>
      <c r="M12" s="2">
        <f>COUNTIFS(集計用!$G10,"*, "&amp;M$3&amp;", *")</f>
        <v>0</v>
      </c>
      <c r="N12" s="2">
        <f>COUNTIFS(集計用!$G10,"*, "&amp;N$3&amp;", *")</f>
        <v>0</v>
      </c>
      <c r="O12" s="2">
        <f>COUNTIFS(集計用!$G10,"*, "&amp;O$3&amp;", *")</f>
        <v>0</v>
      </c>
      <c r="P12" s="2">
        <f>COUNTIFS(集計用!$G10,"*, "&amp;P$3&amp;", *")</f>
        <v>0</v>
      </c>
      <c r="Q12" s="2">
        <f>COUNTIFS(集計用!$G10,"*, "&amp;Q$3&amp;", *")</f>
        <v>0</v>
      </c>
      <c r="R12" s="2">
        <f>COUNTIFS(集計用!$G10,"*, "&amp;R$3&amp;", *")</f>
        <v>0</v>
      </c>
      <c r="S12" s="2">
        <f>COUNTIFS(集計用!$G10,"*, "&amp;S$3&amp;", *")</f>
        <v>0</v>
      </c>
      <c r="T12" s="2">
        <f>COUNTIFS(集計用!$G10,"*, "&amp;T$3&amp;", *")</f>
        <v>0</v>
      </c>
      <c r="U12" s="2">
        <f>COUNTIFS(集計用!$G10,"*, "&amp;U$3&amp;", *")</f>
        <v>0</v>
      </c>
      <c r="V12" s="2">
        <f>COUNTIFS(集計用!$G10,"*, "&amp;V$3&amp;", *")</f>
        <v>0</v>
      </c>
      <c r="W12" s="2">
        <f>COUNTIFS(集計用!$G10,"*, "&amp;W$3&amp;", *")</f>
        <v>0</v>
      </c>
      <c r="X12" s="2">
        <f>COUNTIFS(集計用!$G10,"*, "&amp;X$3&amp;", *")</f>
        <v>0</v>
      </c>
      <c r="Y12" s="2">
        <f>COUNTIFS(集計用!$G10,"*, "&amp;Y$3&amp;", *")</f>
        <v>0</v>
      </c>
      <c r="Z12" s="2">
        <f>COUNTIFS(集計用!$G10,"*, "&amp;Z$3&amp;", *")</f>
        <v>0</v>
      </c>
      <c r="AA12" s="2">
        <f>COUNTIFS(集計用!$G10,"*, "&amp;AA$3&amp;", *")</f>
        <v>0</v>
      </c>
      <c r="AB12" s="2">
        <f>COUNTIFS(集計用!$G10,"*, "&amp;AB$3&amp;", *")</f>
        <v>0</v>
      </c>
      <c r="AC12" s="2">
        <f>COUNTIFS(集計用!$G10,"*, "&amp;AC$3&amp;", *")</f>
        <v>0</v>
      </c>
      <c r="AD12" s="2">
        <f>COUNTIFS(集計用!$G10,"*, "&amp;AD$3&amp;", *")</f>
        <v>0</v>
      </c>
      <c r="AE12" s="2">
        <f>COUNTIFS(集計用!$G10,"*, "&amp;AE$3&amp;", *")</f>
        <v>0</v>
      </c>
      <c r="AF12" s="2">
        <f>COUNTIFS(集計用!$G10,"*, "&amp;AF$3&amp;", *")</f>
        <v>0</v>
      </c>
      <c r="AG12" s="2">
        <f>COUNTIFS(集計用!$G10,"*, "&amp;AG$3&amp;", *")</f>
        <v>0</v>
      </c>
      <c r="AH12" s="2">
        <f>COUNTIFS(集計用!$G10,"*, "&amp;AH$3&amp;", *")</f>
        <v>0</v>
      </c>
      <c r="AI12" s="2">
        <f>COUNTIFS(集計用!$G10,"*, "&amp;AI$3&amp;", *")</f>
        <v>0</v>
      </c>
      <c r="AJ12" s="2">
        <f>COUNTIFS(集計用!$G10,"*, "&amp;AJ$3&amp;", *")</f>
        <v>0</v>
      </c>
      <c r="AK12" s="2">
        <f>COUNTIFS(集計用!$G10,"*, "&amp;AK$3&amp;", *")</f>
        <v>0</v>
      </c>
      <c r="AL12" s="2">
        <f>COUNTIFS(集計用!$G10,"*, "&amp;AL$3&amp;", *")</f>
        <v>0</v>
      </c>
      <c r="AM12" s="2">
        <f>COUNTIFS(集計用!$G10,"*, "&amp;AM$3&amp;", *")</f>
        <v>0</v>
      </c>
      <c r="AN12" s="2">
        <f>COUNTIFS(集計用!$G10,"*, "&amp;AN$3&amp;", *")</f>
        <v>0</v>
      </c>
      <c r="AO12" s="2">
        <f>COUNTIFS(集計用!$G10,"*, "&amp;AO$3&amp;", *")</f>
        <v>0</v>
      </c>
      <c r="AP12" s="2">
        <f>COUNTIFS(集計用!$G10,"*, "&amp;AP$3&amp;", *")</f>
        <v>0</v>
      </c>
      <c r="AQ12" s="2">
        <f>COUNTIFS(集計用!$G10,"*, "&amp;AQ$3&amp;", *")</f>
        <v>0</v>
      </c>
      <c r="AR12" s="2">
        <f>COUNTIFS(集計用!$G10,"*, "&amp;AR$3&amp;", *")</f>
        <v>0</v>
      </c>
      <c r="AS12" s="2">
        <f>COUNTIFS(集計用!$G10,"*, "&amp;AS$3&amp;", *")</f>
        <v>0</v>
      </c>
      <c r="AT12" s="2">
        <f>COUNTIFS(集計用!$G10,"*, "&amp;AT$3&amp;", *")</f>
        <v>0</v>
      </c>
      <c r="AU12" s="2">
        <f>COUNTIFS(集計用!$G10,"*, "&amp;AU$3&amp;", *")</f>
        <v>0</v>
      </c>
      <c r="AV12" s="2">
        <f>COUNTIFS(集計用!$G10,"*, "&amp;AV$3&amp;", *")</f>
        <v>0</v>
      </c>
      <c r="AW12" s="2">
        <f>COUNTIFS(集計用!$G10,"*, "&amp;AW$3&amp;", *")</f>
        <v>0</v>
      </c>
      <c r="AX12" s="2">
        <f>COUNTIFS(集計用!$G10,"*, "&amp;AX$3&amp;", *")</f>
        <v>0</v>
      </c>
      <c r="AY12" s="2">
        <f>COUNTIFS(集計用!$G10,"*, "&amp;AY$3&amp;", *")</f>
        <v>0</v>
      </c>
      <c r="AZ12" s="2">
        <f>COUNTIFS(集計用!$G10,"*, "&amp;AZ$3&amp;", *")</f>
        <v>0</v>
      </c>
      <c r="BA12" s="2">
        <f>COUNTIFS(集計用!$G10,"*, "&amp;BA$3&amp;", *")</f>
        <v>0</v>
      </c>
      <c r="BB12" s="2">
        <f>COUNTIFS(集計用!$G10,"*, "&amp;BB$3&amp;", *")</f>
        <v>0</v>
      </c>
      <c r="BC12" s="2">
        <f>COUNTIFS(集計用!$G10,"*, "&amp;BC$3&amp;", *")</f>
        <v>0</v>
      </c>
      <c r="BD12" s="2">
        <f>COUNTIFS(集計用!$G10,"*, "&amp;BD$3&amp;", *")</f>
        <v>0</v>
      </c>
      <c r="BE12" s="2">
        <f>COUNTIFS(集計用!$G10,"*, "&amp;BE$3&amp;", *")</f>
        <v>0</v>
      </c>
      <c r="BF12" s="2">
        <f>COUNTIFS(集計用!$G10,"*, "&amp;BF$3&amp;", *")</f>
        <v>0</v>
      </c>
      <c r="BG12" s="2">
        <f>COUNTIFS(集計用!$G10,"*, "&amp;BG$3&amp;", *")</f>
        <v>0</v>
      </c>
      <c r="BH12" s="2">
        <f>COUNTIFS(集計用!$G10,"*, "&amp;BH$3&amp;", *")</f>
        <v>0</v>
      </c>
      <c r="BI12" s="2">
        <f>COUNTIFS(集計用!$G10,"*, "&amp;BI$3&amp;", *")</f>
        <v>0</v>
      </c>
      <c r="BJ12" s="2">
        <f>LEN(集計用!H10)-LEN(SUBSTITUTE(集計用!H10,",",""))</f>
        <v>0</v>
      </c>
    </row>
    <row r="13" spans="1:62" ht="12.75">
      <c r="A13" s="8">
        <v>10</v>
      </c>
      <c r="C13" s="2">
        <f t="shared" si="2"/>
        <v>5</v>
      </c>
      <c r="D13" s="9"/>
      <c r="E13" s="2">
        <f>COUNTIFS(集計用!$G11,"*, "&amp;E$3&amp;", *")</f>
        <v>1</v>
      </c>
      <c r="F13" s="2">
        <f>COUNTIFS(集計用!$G11,"*, "&amp;F$3&amp;", *")</f>
        <v>1</v>
      </c>
      <c r="G13" s="2">
        <f>COUNTIFS(集計用!$G11,"*, "&amp;G$3&amp;", *")</f>
        <v>0</v>
      </c>
      <c r="H13" s="2">
        <f>COUNTIFS(集計用!$G11,"*, "&amp;H$3&amp;", *")</f>
        <v>0</v>
      </c>
      <c r="I13" s="2">
        <f>COUNTIFS(集計用!$G11,"*, "&amp;I$3&amp;", *")</f>
        <v>0</v>
      </c>
      <c r="J13" s="2">
        <f>COUNTIFS(集計用!$G11,"*, "&amp;J$3&amp;", *")</f>
        <v>0</v>
      </c>
      <c r="K13" s="2">
        <f>COUNTIFS(集計用!$G11,"*, "&amp;K$3&amp;", *")</f>
        <v>0</v>
      </c>
      <c r="L13" s="2">
        <f>COUNTIFS(集計用!$G11,"*, "&amp;L$3&amp;", *")</f>
        <v>0</v>
      </c>
      <c r="M13" s="2">
        <f>COUNTIFS(集計用!$G11,"*, "&amp;M$3&amp;", *")</f>
        <v>0</v>
      </c>
      <c r="N13" s="2">
        <f>COUNTIFS(集計用!$G11,"*, "&amp;N$3&amp;", *")</f>
        <v>0</v>
      </c>
      <c r="O13" s="2">
        <f>COUNTIFS(集計用!$G11,"*, "&amp;O$3&amp;", *")</f>
        <v>0</v>
      </c>
      <c r="P13" s="2">
        <f>COUNTIFS(集計用!$G11,"*, "&amp;P$3&amp;", *")</f>
        <v>0</v>
      </c>
      <c r="Q13" s="2">
        <f>COUNTIFS(集計用!$G11,"*, "&amp;Q$3&amp;", *")</f>
        <v>0</v>
      </c>
      <c r="R13" s="2">
        <f>COUNTIFS(集計用!$G11,"*, "&amp;R$3&amp;", *")</f>
        <v>0</v>
      </c>
      <c r="S13" s="2">
        <f>COUNTIFS(集計用!$G11,"*, "&amp;S$3&amp;", *")</f>
        <v>1</v>
      </c>
      <c r="T13" s="2">
        <f>COUNTIFS(集計用!$G11,"*, "&amp;T$3&amp;", *")</f>
        <v>0</v>
      </c>
      <c r="U13" s="2">
        <f>COUNTIFS(集計用!$G11,"*, "&amp;U$3&amp;", *")</f>
        <v>0</v>
      </c>
      <c r="V13" s="2">
        <f>COUNTIFS(集計用!$G11,"*, "&amp;V$3&amp;", *")</f>
        <v>0</v>
      </c>
      <c r="W13" s="2">
        <f>COUNTIFS(集計用!$G11,"*, "&amp;W$3&amp;", *")</f>
        <v>1</v>
      </c>
      <c r="X13" s="2">
        <f>COUNTIFS(集計用!$G11,"*, "&amp;X$3&amp;", *")</f>
        <v>0</v>
      </c>
      <c r="Y13" s="2">
        <f>COUNTIFS(集計用!$G11,"*, "&amp;Y$3&amp;", *")</f>
        <v>0</v>
      </c>
      <c r="Z13" s="2">
        <f>COUNTIFS(集計用!$G11,"*, "&amp;Z$3&amp;", *")</f>
        <v>0</v>
      </c>
      <c r="AA13" s="2">
        <f>COUNTIFS(集計用!$G11,"*, "&amp;AA$3&amp;", *")</f>
        <v>1</v>
      </c>
      <c r="AB13" s="2">
        <f>COUNTIFS(集計用!$G11,"*, "&amp;AB$3&amp;", *")</f>
        <v>0</v>
      </c>
      <c r="AC13" s="2">
        <f>COUNTIFS(集計用!$G11,"*, "&amp;AC$3&amp;", *")</f>
        <v>0</v>
      </c>
      <c r="AD13" s="2">
        <f>COUNTIFS(集計用!$G11,"*, "&amp;AD$3&amp;", *")</f>
        <v>0</v>
      </c>
      <c r="AE13" s="2">
        <f>COUNTIFS(集計用!$G11,"*, "&amp;AE$3&amp;", *")</f>
        <v>0</v>
      </c>
      <c r="AF13" s="2">
        <f>COUNTIFS(集計用!$G11,"*, "&amp;AF$3&amp;", *")</f>
        <v>0</v>
      </c>
      <c r="AG13" s="2">
        <f>COUNTIFS(集計用!$G11,"*, "&amp;AG$3&amp;", *")</f>
        <v>0</v>
      </c>
      <c r="AH13" s="2">
        <f>COUNTIFS(集計用!$G11,"*, "&amp;AH$3&amp;", *")</f>
        <v>0</v>
      </c>
      <c r="AI13" s="2">
        <f>COUNTIFS(集計用!$G11,"*, "&amp;AI$3&amp;", *")</f>
        <v>0</v>
      </c>
      <c r="AJ13" s="2">
        <f>COUNTIFS(集計用!$G11,"*, "&amp;AJ$3&amp;", *")</f>
        <v>0</v>
      </c>
      <c r="AK13" s="2">
        <f>COUNTIFS(集計用!$G11,"*, "&amp;AK$3&amp;", *")</f>
        <v>0</v>
      </c>
      <c r="AL13" s="2">
        <f>COUNTIFS(集計用!$G11,"*, "&amp;AL$3&amp;", *")</f>
        <v>0</v>
      </c>
      <c r="AM13" s="2">
        <f>COUNTIFS(集計用!$G11,"*, "&amp;AM$3&amp;", *")</f>
        <v>0</v>
      </c>
      <c r="AN13" s="2">
        <f>COUNTIFS(集計用!$G11,"*, "&amp;AN$3&amp;", *")</f>
        <v>0</v>
      </c>
      <c r="AO13" s="2">
        <f>COUNTIFS(集計用!$G11,"*, "&amp;AO$3&amp;", *")</f>
        <v>0</v>
      </c>
      <c r="AP13" s="2">
        <f>COUNTIFS(集計用!$G11,"*, "&amp;AP$3&amp;", *")</f>
        <v>0</v>
      </c>
      <c r="AQ13" s="2">
        <f>COUNTIFS(集計用!$G11,"*, "&amp;AQ$3&amp;", *")</f>
        <v>0</v>
      </c>
      <c r="AR13" s="2">
        <f>COUNTIFS(集計用!$G11,"*, "&amp;AR$3&amp;", *")</f>
        <v>0</v>
      </c>
      <c r="AS13" s="2">
        <f>COUNTIFS(集計用!$G11,"*, "&amp;AS$3&amp;", *")</f>
        <v>0</v>
      </c>
      <c r="AT13" s="2">
        <f>COUNTIFS(集計用!$G11,"*, "&amp;AT$3&amp;", *")</f>
        <v>0</v>
      </c>
      <c r="AU13" s="2">
        <f>COUNTIFS(集計用!$G11,"*, "&amp;AU$3&amp;", *")</f>
        <v>0</v>
      </c>
      <c r="AV13" s="2">
        <f>COUNTIFS(集計用!$G11,"*, "&amp;AV$3&amp;", *")</f>
        <v>0</v>
      </c>
      <c r="AW13" s="2">
        <f>COUNTIFS(集計用!$G11,"*, "&amp;AW$3&amp;", *")</f>
        <v>0</v>
      </c>
      <c r="AX13" s="2">
        <f>COUNTIFS(集計用!$G11,"*, "&amp;AX$3&amp;", *")</f>
        <v>0</v>
      </c>
      <c r="AY13" s="2">
        <f>COUNTIFS(集計用!$G11,"*, "&amp;AY$3&amp;", *")</f>
        <v>0</v>
      </c>
      <c r="AZ13" s="2">
        <f>COUNTIFS(集計用!$G11,"*, "&amp;AZ$3&amp;", *")</f>
        <v>0</v>
      </c>
      <c r="BA13" s="2">
        <f>COUNTIFS(集計用!$G11,"*, "&amp;BA$3&amp;", *")</f>
        <v>0</v>
      </c>
      <c r="BB13" s="2">
        <f>COUNTIFS(集計用!$G11,"*, "&amp;BB$3&amp;", *")</f>
        <v>0</v>
      </c>
      <c r="BC13" s="2">
        <f>COUNTIFS(集計用!$G11,"*, "&amp;BC$3&amp;", *")</f>
        <v>0</v>
      </c>
      <c r="BD13" s="2">
        <f>COUNTIFS(集計用!$G11,"*, "&amp;BD$3&amp;", *")</f>
        <v>0</v>
      </c>
      <c r="BE13" s="2">
        <f>COUNTIFS(集計用!$G11,"*, "&amp;BE$3&amp;", *")</f>
        <v>0</v>
      </c>
      <c r="BF13" s="2">
        <f>COUNTIFS(集計用!$G11,"*, "&amp;BF$3&amp;", *")</f>
        <v>0</v>
      </c>
      <c r="BG13" s="2">
        <f>COUNTIFS(集計用!$G11,"*, "&amp;BG$3&amp;", *")</f>
        <v>0</v>
      </c>
      <c r="BH13" s="2">
        <f>COUNTIFS(集計用!$G11,"*, "&amp;BH$3&amp;", *")</f>
        <v>0</v>
      </c>
      <c r="BI13" s="2">
        <f>COUNTIFS(集計用!$G11,"*, "&amp;BI$3&amp;", *")</f>
        <v>0</v>
      </c>
      <c r="BJ13" s="2">
        <f>LEN(集計用!H11)-LEN(SUBSTITUTE(集計用!H11,",",""))</f>
        <v>0</v>
      </c>
    </row>
    <row r="14" spans="1:62" ht="12.75">
      <c r="A14" s="8">
        <v>11</v>
      </c>
      <c r="C14" s="2">
        <f t="shared" si="2"/>
        <v>4</v>
      </c>
      <c r="D14" s="9"/>
      <c r="E14" s="2">
        <f>COUNTIFS(集計用!$G12,"*, "&amp;E$3&amp;", *")</f>
        <v>1</v>
      </c>
      <c r="F14" s="2">
        <f>COUNTIFS(集計用!$G12,"*, "&amp;F$3&amp;", *")</f>
        <v>0</v>
      </c>
      <c r="G14" s="2">
        <f>COUNTIFS(集計用!$G12,"*, "&amp;G$3&amp;", *")</f>
        <v>0</v>
      </c>
      <c r="H14" s="2">
        <f>COUNTIFS(集計用!$G12,"*, "&amp;H$3&amp;", *")</f>
        <v>0</v>
      </c>
      <c r="I14" s="2">
        <f>COUNTIFS(集計用!$G12,"*, "&amp;I$3&amp;", *")</f>
        <v>1</v>
      </c>
      <c r="J14" s="2">
        <f>COUNTIFS(集計用!$G12,"*, "&amp;J$3&amp;", *")</f>
        <v>0</v>
      </c>
      <c r="K14" s="2">
        <f>COUNTIFS(集計用!$G12,"*, "&amp;K$3&amp;", *")</f>
        <v>0</v>
      </c>
      <c r="L14" s="2">
        <f>COUNTIFS(集計用!$G12,"*, "&amp;L$3&amp;", *")</f>
        <v>0</v>
      </c>
      <c r="M14" s="2">
        <f>COUNTIFS(集計用!$G12,"*, "&amp;M$3&amp;", *")</f>
        <v>0</v>
      </c>
      <c r="N14" s="2">
        <f>COUNTIFS(集計用!$G12,"*, "&amp;N$3&amp;", *")</f>
        <v>1</v>
      </c>
      <c r="O14" s="2">
        <f>COUNTIFS(集計用!$G12,"*, "&amp;O$3&amp;", *")</f>
        <v>0</v>
      </c>
      <c r="P14" s="2">
        <f>COUNTIFS(集計用!$G12,"*, "&amp;P$3&amp;", *")</f>
        <v>1</v>
      </c>
      <c r="Q14" s="2">
        <f>COUNTIFS(集計用!$G12,"*, "&amp;Q$3&amp;", *")</f>
        <v>0</v>
      </c>
      <c r="R14" s="2">
        <f>COUNTIFS(集計用!$G12,"*, "&amp;R$3&amp;", *")</f>
        <v>0</v>
      </c>
      <c r="S14" s="2">
        <f>COUNTIFS(集計用!$G12,"*, "&amp;S$3&amp;", *")</f>
        <v>0</v>
      </c>
      <c r="T14" s="2">
        <f>COUNTIFS(集計用!$G12,"*, "&amp;T$3&amp;", *")</f>
        <v>0</v>
      </c>
      <c r="U14" s="2">
        <f>COUNTIFS(集計用!$G12,"*, "&amp;U$3&amp;", *")</f>
        <v>0</v>
      </c>
      <c r="V14" s="2">
        <f>COUNTIFS(集計用!$G12,"*, "&amp;V$3&amp;", *")</f>
        <v>0</v>
      </c>
      <c r="W14" s="2">
        <f>COUNTIFS(集計用!$G12,"*, "&amp;W$3&amp;", *")</f>
        <v>0</v>
      </c>
      <c r="X14" s="2">
        <f>COUNTIFS(集計用!$G12,"*, "&amp;X$3&amp;", *")</f>
        <v>0</v>
      </c>
      <c r="Y14" s="2">
        <f>COUNTIFS(集計用!$G12,"*, "&amp;Y$3&amp;", *")</f>
        <v>0</v>
      </c>
      <c r="Z14" s="2">
        <f>COUNTIFS(集計用!$G12,"*, "&amp;Z$3&amp;", *")</f>
        <v>0</v>
      </c>
      <c r="AA14" s="2">
        <f>COUNTIFS(集計用!$G12,"*, "&amp;AA$3&amp;", *")</f>
        <v>0</v>
      </c>
      <c r="AB14" s="2">
        <f>COUNTIFS(集計用!$G12,"*, "&amp;AB$3&amp;", *")</f>
        <v>0</v>
      </c>
      <c r="AC14" s="2">
        <f>COUNTIFS(集計用!$G12,"*, "&amp;AC$3&amp;", *")</f>
        <v>0</v>
      </c>
      <c r="AD14" s="2">
        <f>COUNTIFS(集計用!$G12,"*, "&amp;AD$3&amp;", *")</f>
        <v>0</v>
      </c>
      <c r="AE14" s="2">
        <f>COUNTIFS(集計用!$G12,"*, "&amp;AE$3&amp;", *")</f>
        <v>0</v>
      </c>
      <c r="AF14" s="2">
        <f>COUNTIFS(集計用!$G12,"*, "&amp;AF$3&amp;", *")</f>
        <v>0</v>
      </c>
      <c r="AG14" s="2">
        <f>COUNTIFS(集計用!$G12,"*, "&amp;AG$3&amp;", *")</f>
        <v>0</v>
      </c>
      <c r="AH14" s="2">
        <f>COUNTIFS(集計用!$G12,"*, "&amp;AH$3&amp;", *")</f>
        <v>0</v>
      </c>
      <c r="AI14" s="2">
        <f>COUNTIFS(集計用!$G12,"*, "&amp;AI$3&amp;", *")</f>
        <v>0</v>
      </c>
      <c r="AJ14" s="2">
        <f>COUNTIFS(集計用!$G12,"*, "&amp;AJ$3&amp;", *")</f>
        <v>0</v>
      </c>
      <c r="AK14" s="2">
        <f>COUNTIFS(集計用!$G12,"*, "&amp;AK$3&amp;", *")</f>
        <v>0</v>
      </c>
      <c r="AL14" s="2">
        <f>COUNTIFS(集計用!$G12,"*, "&amp;AL$3&amp;", *")</f>
        <v>0</v>
      </c>
      <c r="AM14" s="2">
        <f>COUNTIFS(集計用!$G12,"*, "&amp;AM$3&amp;", *")</f>
        <v>0</v>
      </c>
      <c r="AN14" s="2">
        <f>COUNTIFS(集計用!$G12,"*, "&amp;AN$3&amp;", *")</f>
        <v>0</v>
      </c>
      <c r="AO14" s="2">
        <f>COUNTIFS(集計用!$G12,"*, "&amp;AO$3&amp;", *")</f>
        <v>0</v>
      </c>
      <c r="AP14" s="2">
        <f>COUNTIFS(集計用!$G12,"*, "&amp;AP$3&amp;", *")</f>
        <v>0</v>
      </c>
      <c r="AQ14" s="2">
        <f>COUNTIFS(集計用!$G12,"*, "&amp;AQ$3&amp;", *")</f>
        <v>0</v>
      </c>
      <c r="AR14" s="2">
        <f>COUNTIFS(集計用!$G12,"*, "&amp;AR$3&amp;", *")</f>
        <v>0</v>
      </c>
      <c r="AS14" s="2">
        <f>COUNTIFS(集計用!$G12,"*, "&amp;AS$3&amp;", *")</f>
        <v>0</v>
      </c>
      <c r="AT14" s="2">
        <f>COUNTIFS(集計用!$G12,"*, "&amp;AT$3&amp;", *")</f>
        <v>0</v>
      </c>
      <c r="AU14" s="2">
        <f>COUNTIFS(集計用!$G12,"*, "&amp;AU$3&amp;", *")</f>
        <v>0</v>
      </c>
      <c r="AV14" s="2">
        <f>COUNTIFS(集計用!$G12,"*, "&amp;AV$3&amp;", *")</f>
        <v>0</v>
      </c>
      <c r="AW14" s="2">
        <f>COUNTIFS(集計用!$G12,"*, "&amp;AW$3&amp;", *")</f>
        <v>0</v>
      </c>
      <c r="AX14" s="2">
        <f>COUNTIFS(集計用!$G12,"*, "&amp;AX$3&amp;", *")</f>
        <v>0</v>
      </c>
      <c r="AY14" s="2">
        <f>COUNTIFS(集計用!$G12,"*, "&amp;AY$3&amp;", *")</f>
        <v>0</v>
      </c>
      <c r="AZ14" s="2">
        <f>COUNTIFS(集計用!$G12,"*, "&amp;AZ$3&amp;", *")</f>
        <v>0</v>
      </c>
      <c r="BA14" s="2">
        <f>COUNTIFS(集計用!$G12,"*, "&amp;BA$3&amp;", *")</f>
        <v>0</v>
      </c>
      <c r="BB14" s="2">
        <f>COUNTIFS(集計用!$G12,"*, "&amp;BB$3&amp;", *")</f>
        <v>0</v>
      </c>
      <c r="BC14" s="2">
        <f>COUNTIFS(集計用!$G12,"*, "&amp;BC$3&amp;", *")</f>
        <v>0</v>
      </c>
      <c r="BD14" s="2">
        <f>COUNTIFS(集計用!$G12,"*, "&amp;BD$3&amp;", *")</f>
        <v>0</v>
      </c>
      <c r="BE14" s="2">
        <f>COUNTIFS(集計用!$G12,"*, "&amp;BE$3&amp;", *")</f>
        <v>0</v>
      </c>
      <c r="BF14" s="2">
        <f>COUNTIFS(集計用!$G12,"*, "&amp;BF$3&amp;", *")</f>
        <v>0</v>
      </c>
      <c r="BG14" s="2">
        <f>COUNTIFS(集計用!$G12,"*, "&amp;BG$3&amp;", *")</f>
        <v>0</v>
      </c>
      <c r="BH14" s="2">
        <f>COUNTIFS(集計用!$G12,"*, "&amp;BH$3&amp;", *")</f>
        <v>0</v>
      </c>
      <c r="BI14" s="2">
        <f>COUNTIFS(集計用!$G12,"*, "&amp;BI$3&amp;", *")</f>
        <v>0</v>
      </c>
      <c r="BJ14" s="2">
        <f>LEN(集計用!H12)-LEN(SUBSTITUTE(集計用!H12,",",""))</f>
        <v>0</v>
      </c>
    </row>
    <row r="15" spans="1:62" ht="12.75">
      <c r="A15" s="8">
        <v>12</v>
      </c>
      <c r="C15" s="2">
        <f t="shared" si="2"/>
        <v>8</v>
      </c>
      <c r="D15" s="9"/>
      <c r="E15" s="2">
        <f>COUNTIFS(集計用!$G13,"*, "&amp;E$3&amp;", *")</f>
        <v>0</v>
      </c>
      <c r="F15" s="2">
        <f>COUNTIFS(集計用!$G13,"*, "&amp;F$3&amp;", *")</f>
        <v>1</v>
      </c>
      <c r="G15" s="2">
        <f>COUNTIFS(集計用!$G13,"*, "&amp;G$3&amp;", *")</f>
        <v>0</v>
      </c>
      <c r="H15" s="2">
        <f>COUNTIFS(集計用!$G13,"*, "&amp;H$3&amp;", *")</f>
        <v>0</v>
      </c>
      <c r="I15" s="2">
        <f>COUNTIFS(集計用!$G13,"*, "&amp;I$3&amp;", *")</f>
        <v>0</v>
      </c>
      <c r="J15" s="2">
        <f>COUNTIFS(集計用!$G13,"*, "&amp;J$3&amp;", *")</f>
        <v>0</v>
      </c>
      <c r="K15" s="2">
        <f>COUNTIFS(集計用!$G13,"*, "&amp;K$3&amp;", *")</f>
        <v>1</v>
      </c>
      <c r="L15" s="2">
        <f>COUNTIFS(集計用!$G13,"*, "&amp;L$3&amp;", *")</f>
        <v>0</v>
      </c>
      <c r="M15" s="2">
        <f>COUNTIFS(集計用!$G13,"*, "&amp;M$3&amp;", *")</f>
        <v>1</v>
      </c>
      <c r="N15" s="2">
        <f>COUNTIFS(集計用!$G13,"*, "&amp;N$3&amp;", *")</f>
        <v>0</v>
      </c>
      <c r="O15" s="2">
        <f>COUNTIFS(集計用!$G13,"*, "&amp;O$3&amp;", *")</f>
        <v>0</v>
      </c>
      <c r="P15" s="2">
        <f>COUNTIFS(集計用!$G13,"*, "&amp;P$3&amp;", *")</f>
        <v>0</v>
      </c>
      <c r="Q15" s="2">
        <f>COUNTIFS(集計用!$G13,"*, "&amp;Q$3&amp;", *")</f>
        <v>0</v>
      </c>
      <c r="R15" s="2">
        <f>COUNTIFS(集計用!$G13,"*, "&amp;R$3&amp;", *")</f>
        <v>0</v>
      </c>
      <c r="S15" s="2">
        <f>COUNTIFS(集計用!$G13,"*, "&amp;S$3&amp;", *")</f>
        <v>0</v>
      </c>
      <c r="T15" s="2">
        <f>COUNTIFS(集計用!$G13,"*, "&amp;T$3&amp;", *")</f>
        <v>0</v>
      </c>
      <c r="U15" s="2">
        <f>COUNTIFS(集計用!$G13,"*, "&amp;U$3&amp;", *")</f>
        <v>0</v>
      </c>
      <c r="V15" s="2">
        <f>COUNTIFS(集計用!$G13,"*, "&amp;V$3&amp;", *")</f>
        <v>0</v>
      </c>
      <c r="W15" s="2">
        <f>COUNTIFS(集計用!$G13,"*, "&amp;W$3&amp;", *")</f>
        <v>1</v>
      </c>
      <c r="X15" s="2">
        <f>COUNTIFS(集計用!$G13,"*, "&amp;X$3&amp;", *")</f>
        <v>0</v>
      </c>
      <c r="Y15" s="2">
        <f>COUNTIFS(集計用!$G13,"*, "&amp;Y$3&amp;", *")</f>
        <v>0</v>
      </c>
      <c r="Z15" s="2">
        <f>COUNTIFS(集計用!$G13,"*, "&amp;Z$3&amp;", *")</f>
        <v>0</v>
      </c>
      <c r="AA15" s="2">
        <f>COUNTIFS(集計用!$G13,"*, "&amp;AA$3&amp;", *")</f>
        <v>0</v>
      </c>
      <c r="AB15" s="2">
        <f>COUNTIFS(集計用!$G13,"*, "&amp;AB$3&amp;", *")</f>
        <v>0</v>
      </c>
      <c r="AC15" s="2">
        <f>COUNTIFS(集計用!$G13,"*, "&amp;AC$3&amp;", *")</f>
        <v>0</v>
      </c>
      <c r="AD15" s="2">
        <f>COUNTIFS(集計用!$G13,"*, "&amp;AD$3&amp;", *")</f>
        <v>0</v>
      </c>
      <c r="AE15" s="2">
        <f>COUNTIFS(集計用!$G13,"*, "&amp;AE$3&amp;", *")</f>
        <v>0</v>
      </c>
      <c r="AF15" s="2">
        <f>COUNTIFS(集計用!$G13,"*, "&amp;AF$3&amp;", *")</f>
        <v>0</v>
      </c>
      <c r="AG15" s="2">
        <f>COUNTIFS(集計用!$G13,"*, "&amp;AG$3&amp;", *")</f>
        <v>0</v>
      </c>
      <c r="AH15" s="2">
        <f>COUNTIFS(集計用!$G13,"*, "&amp;AH$3&amp;", *")</f>
        <v>0</v>
      </c>
      <c r="AI15" s="2">
        <f>COUNTIFS(集計用!$G13,"*, "&amp;AI$3&amp;", *")</f>
        <v>0</v>
      </c>
      <c r="AJ15" s="2">
        <f>COUNTIFS(集計用!$G13,"*, "&amp;AJ$3&amp;", *")</f>
        <v>0</v>
      </c>
      <c r="AK15" s="2">
        <f>COUNTIFS(集計用!$G13,"*, "&amp;AK$3&amp;", *")</f>
        <v>0</v>
      </c>
      <c r="AL15" s="2">
        <f>COUNTIFS(集計用!$G13,"*, "&amp;AL$3&amp;", *")</f>
        <v>1</v>
      </c>
      <c r="AM15" s="2">
        <f>COUNTIFS(集計用!$G13,"*, "&amp;AM$3&amp;", *")</f>
        <v>0</v>
      </c>
      <c r="AN15" s="2">
        <f>COUNTIFS(集計用!$G13,"*, "&amp;AN$3&amp;", *")</f>
        <v>0</v>
      </c>
      <c r="AO15" s="2">
        <f>COUNTIFS(集計用!$G13,"*, "&amp;AO$3&amp;", *")</f>
        <v>0</v>
      </c>
      <c r="AP15" s="2">
        <f>COUNTIFS(集計用!$G13,"*, "&amp;AP$3&amp;", *")</f>
        <v>0</v>
      </c>
      <c r="AQ15" s="2">
        <f>COUNTIFS(集計用!$G13,"*, "&amp;AQ$3&amp;", *")</f>
        <v>0</v>
      </c>
      <c r="AR15" s="2">
        <f>COUNTIFS(集計用!$G13,"*, "&amp;AR$3&amp;", *")</f>
        <v>0</v>
      </c>
      <c r="AS15" s="2">
        <f>COUNTIFS(集計用!$G13,"*, "&amp;AS$3&amp;", *")</f>
        <v>0</v>
      </c>
      <c r="AT15" s="2">
        <f>COUNTIFS(集計用!$G13,"*, "&amp;AT$3&amp;", *")</f>
        <v>0</v>
      </c>
      <c r="AU15" s="2">
        <f>COUNTIFS(集計用!$G13,"*, "&amp;AU$3&amp;", *")</f>
        <v>0</v>
      </c>
      <c r="AV15" s="2">
        <f>COUNTIFS(集計用!$G13,"*, "&amp;AV$3&amp;", *")</f>
        <v>0</v>
      </c>
      <c r="AW15" s="2">
        <f>COUNTIFS(集計用!$G13,"*, "&amp;AW$3&amp;", *")</f>
        <v>0</v>
      </c>
      <c r="AX15" s="2">
        <f>COUNTIFS(集計用!$G13,"*, "&amp;AX$3&amp;", *")</f>
        <v>0</v>
      </c>
      <c r="AY15" s="2">
        <f>COUNTIFS(集計用!$G13,"*, "&amp;AY$3&amp;", *")</f>
        <v>0</v>
      </c>
      <c r="AZ15" s="2">
        <f>COUNTIFS(集計用!$G13,"*, "&amp;AZ$3&amp;", *")</f>
        <v>0</v>
      </c>
      <c r="BA15" s="2">
        <f>COUNTIFS(集計用!$G13,"*, "&amp;BA$3&amp;", *")</f>
        <v>0</v>
      </c>
      <c r="BB15" s="2">
        <f>COUNTIFS(集計用!$G13,"*, "&amp;BB$3&amp;", *")</f>
        <v>0</v>
      </c>
      <c r="BC15" s="2">
        <f>COUNTIFS(集計用!$G13,"*, "&amp;BC$3&amp;", *")</f>
        <v>0</v>
      </c>
      <c r="BD15" s="2">
        <f>COUNTIFS(集計用!$G13,"*, "&amp;BD$3&amp;", *")</f>
        <v>0</v>
      </c>
      <c r="BE15" s="2">
        <f>COUNTIFS(集計用!$G13,"*, "&amp;BE$3&amp;", *")</f>
        <v>0</v>
      </c>
      <c r="BF15" s="2">
        <f>COUNTIFS(集計用!$G13,"*, "&amp;BF$3&amp;", *")</f>
        <v>0</v>
      </c>
      <c r="BG15" s="2">
        <f>COUNTIFS(集計用!$G13,"*, "&amp;BG$3&amp;", *")</f>
        <v>0</v>
      </c>
      <c r="BH15" s="2">
        <f>COUNTIFS(集計用!$G13,"*, "&amp;BH$3&amp;", *")</f>
        <v>0</v>
      </c>
      <c r="BI15" s="2">
        <f>COUNTIFS(集計用!$G13,"*, "&amp;BI$3&amp;", *")</f>
        <v>0</v>
      </c>
      <c r="BJ15" s="2">
        <f>LEN(集計用!H13)-LEN(SUBSTITUTE(集計用!H13,",",""))</f>
        <v>3</v>
      </c>
    </row>
    <row r="16" spans="1:62" ht="12.75">
      <c r="A16" s="8">
        <v>13</v>
      </c>
      <c r="C16" s="2">
        <f t="shared" si="2"/>
        <v>8</v>
      </c>
      <c r="D16" s="9"/>
      <c r="E16" s="2">
        <f>COUNTIFS(集計用!$G14,"*, "&amp;E$3&amp;", *")</f>
        <v>1</v>
      </c>
      <c r="F16" s="2">
        <f>COUNTIFS(集計用!$G14,"*, "&amp;F$3&amp;", *")</f>
        <v>0</v>
      </c>
      <c r="G16" s="2">
        <f>COUNTIFS(集計用!$G14,"*, "&amp;G$3&amp;", *")</f>
        <v>0</v>
      </c>
      <c r="H16" s="2">
        <f>COUNTIFS(集計用!$G14,"*, "&amp;H$3&amp;", *")</f>
        <v>0</v>
      </c>
      <c r="I16" s="2">
        <f>COUNTIFS(集計用!$G14,"*, "&amp;I$3&amp;", *")</f>
        <v>0</v>
      </c>
      <c r="J16" s="2">
        <f>COUNTIFS(集計用!$G14,"*, "&amp;J$3&amp;", *")</f>
        <v>0</v>
      </c>
      <c r="K16" s="2">
        <f>COUNTIFS(集計用!$G14,"*, "&amp;K$3&amp;", *")</f>
        <v>0</v>
      </c>
      <c r="L16" s="2">
        <f>COUNTIFS(集計用!$G14,"*, "&amp;L$3&amp;", *")</f>
        <v>1</v>
      </c>
      <c r="M16" s="2">
        <f>COUNTIFS(集計用!$G14,"*, "&amp;M$3&amp;", *")</f>
        <v>0</v>
      </c>
      <c r="N16" s="2">
        <f>COUNTIFS(集計用!$G14,"*, "&amp;N$3&amp;", *")</f>
        <v>0</v>
      </c>
      <c r="O16" s="2">
        <f>COUNTIFS(集計用!$G14,"*, "&amp;O$3&amp;", *")</f>
        <v>0</v>
      </c>
      <c r="P16" s="2">
        <f>COUNTIFS(集計用!$G14,"*, "&amp;P$3&amp;", *")</f>
        <v>0</v>
      </c>
      <c r="Q16" s="2">
        <f>COUNTIFS(集計用!$G14,"*, "&amp;Q$3&amp;", *")</f>
        <v>1</v>
      </c>
      <c r="R16" s="2">
        <f>COUNTIFS(集計用!$G14,"*, "&amp;R$3&amp;", *")</f>
        <v>1</v>
      </c>
      <c r="S16" s="2">
        <f>COUNTIFS(集計用!$G14,"*, "&amp;S$3&amp;", *")</f>
        <v>0</v>
      </c>
      <c r="T16" s="2">
        <f>COUNTIFS(集計用!$G14,"*, "&amp;T$3&amp;", *")</f>
        <v>0</v>
      </c>
      <c r="U16" s="2">
        <f>COUNTIFS(集計用!$G14,"*, "&amp;U$3&amp;", *")</f>
        <v>0</v>
      </c>
      <c r="V16" s="2">
        <f>COUNTIFS(集計用!$G14,"*, "&amp;V$3&amp;", *")</f>
        <v>0</v>
      </c>
      <c r="W16" s="2">
        <f>COUNTIFS(集計用!$G14,"*, "&amp;W$3&amp;", *")</f>
        <v>0</v>
      </c>
      <c r="X16" s="2">
        <f>COUNTIFS(集計用!$G14,"*, "&amp;X$3&amp;", *")</f>
        <v>0</v>
      </c>
      <c r="Y16" s="2">
        <f>COUNTIFS(集計用!$G14,"*, "&amp;Y$3&amp;", *")</f>
        <v>0</v>
      </c>
      <c r="Z16" s="2">
        <f>COUNTIFS(集計用!$G14,"*, "&amp;Z$3&amp;", *")</f>
        <v>0</v>
      </c>
      <c r="AA16" s="2">
        <f>COUNTIFS(集計用!$G14,"*, "&amp;AA$3&amp;", *")</f>
        <v>0</v>
      </c>
      <c r="AB16" s="2">
        <f>COUNTIFS(集計用!$G14,"*, "&amp;AB$3&amp;", *")</f>
        <v>0</v>
      </c>
      <c r="AC16" s="2">
        <f>COUNTIFS(集計用!$G14,"*, "&amp;AC$3&amp;", *")</f>
        <v>0</v>
      </c>
      <c r="AD16" s="2">
        <f>COUNTIFS(集計用!$G14,"*, "&amp;AD$3&amp;", *")</f>
        <v>0</v>
      </c>
      <c r="AE16" s="2">
        <f>COUNTIFS(集計用!$G14,"*, "&amp;AE$3&amp;", *")</f>
        <v>1</v>
      </c>
      <c r="AF16" s="2">
        <f>COUNTIFS(集計用!$G14,"*, "&amp;AF$3&amp;", *")</f>
        <v>0</v>
      </c>
      <c r="AG16" s="2">
        <f>COUNTIFS(集計用!$G14,"*, "&amp;AG$3&amp;", *")</f>
        <v>0</v>
      </c>
      <c r="AH16" s="2">
        <f>COUNTIFS(集計用!$G14,"*, "&amp;AH$3&amp;", *")</f>
        <v>0</v>
      </c>
      <c r="AI16" s="2">
        <f>COUNTIFS(集計用!$G14,"*, "&amp;AI$3&amp;", *")</f>
        <v>0</v>
      </c>
      <c r="AJ16" s="2">
        <f>COUNTIFS(集計用!$G14,"*, "&amp;AJ$3&amp;", *")</f>
        <v>0</v>
      </c>
      <c r="AK16" s="2">
        <f>COUNTIFS(集計用!$G14,"*, "&amp;AK$3&amp;", *")</f>
        <v>0</v>
      </c>
      <c r="AL16" s="2">
        <f>COUNTIFS(集計用!$G14,"*, "&amp;AL$3&amp;", *")</f>
        <v>0</v>
      </c>
      <c r="AM16" s="2">
        <f>COUNTIFS(集計用!$G14,"*, "&amp;AM$3&amp;", *")</f>
        <v>0</v>
      </c>
      <c r="AN16" s="2">
        <f>COUNTIFS(集計用!$G14,"*, "&amp;AN$3&amp;", *")</f>
        <v>0</v>
      </c>
      <c r="AO16" s="2">
        <f>COUNTIFS(集計用!$G14,"*, "&amp;AO$3&amp;", *")</f>
        <v>0</v>
      </c>
      <c r="AP16" s="2">
        <f>COUNTIFS(集計用!$G14,"*, "&amp;AP$3&amp;", *")</f>
        <v>0</v>
      </c>
      <c r="AQ16" s="2">
        <f>COUNTIFS(集計用!$G14,"*, "&amp;AQ$3&amp;", *")</f>
        <v>0</v>
      </c>
      <c r="AR16" s="2">
        <f>COUNTIFS(集計用!$G14,"*, "&amp;AR$3&amp;", *")</f>
        <v>0</v>
      </c>
      <c r="AS16" s="2">
        <f>COUNTIFS(集計用!$G14,"*, "&amp;AS$3&amp;", *")</f>
        <v>0</v>
      </c>
      <c r="AT16" s="2">
        <f>COUNTIFS(集計用!$G14,"*, "&amp;AT$3&amp;", *")</f>
        <v>0</v>
      </c>
      <c r="AU16" s="2">
        <f>COUNTIFS(集計用!$G14,"*, "&amp;AU$3&amp;", *")</f>
        <v>1</v>
      </c>
      <c r="AV16" s="2">
        <f>COUNTIFS(集計用!$G14,"*, "&amp;AV$3&amp;", *")</f>
        <v>0</v>
      </c>
      <c r="AW16" s="2">
        <f>COUNTIFS(集計用!$G14,"*, "&amp;AW$3&amp;", *")</f>
        <v>0</v>
      </c>
      <c r="AX16" s="2">
        <f>COUNTIFS(集計用!$G14,"*, "&amp;AX$3&amp;", *")</f>
        <v>0</v>
      </c>
      <c r="AY16" s="2">
        <f>COUNTIFS(集計用!$G14,"*, "&amp;AY$3&amp;", *")</f>
        <v>0</v>
      </c>
      <c r="AZ16" s="2">
        <f>COUNTIFS(集計用!$G14,"*, "&amp;AZ$3&amp;", *")</f>
        <v>0</v>
      </c>
      <c r="BA16" s="2">
        <f>COUNTIFS(集計用!$G14,"*, "&amp;BA$3&amp;", *")</f>
        <v>0</v>
      </c>
      <c r="BB16" s="2">
        <f>COUNTIFS(集計用!$G14,"*, "&amp;BB$3&amp;", *")</f>
        <v>0</v>
      </c>
      <c r="BC16" s="2">
        <f>COUNTIFS(集計用!$G14,"*, "&amp;BC$3&amp;", *")</f>
        <v>0</v>
      </c>
      <c r="BD16" s="2">
        <f>COUNTIFS(集計用!$G14,"*, "&amp;BD$3&amp;", *")</f>
        <v>0</v>
      </c>
      <c r="BE16" s="2">
        <f>COUNTIFS(集計用!$G14,"*, "&amp;BE$3&amp;", *")</f>
        <v>0</v>
      </c>
      <c r="BF16" s="2">
        <f>COUNTIFS(集計用!$G14,"*, "&amp;BF$3&amp;", *")</f>
        <v>0</v>
      </c>
      <c r="BG16" s="2">
        <f>COUNTIFS(集計用!$G14,"*, "&amp;BG$3&amp;", *")</f>
        <v>0</v>
      </c>
      <c r="BH16" s="2">
        <f>COUNTIFS(集計用!$G14,"*, "&amp;BH$3&amp;", *")</f>
        <v>0</v>
      </c>
      <c r="BI16" s="2">
        <f>COUNTIFS(集計用!$G14,"*, "&amp;BI$3&amp;", *")</f>
        <v>0</v>
      </c>
      <c r="BJ16" s="2">
        <f>LEN(集計用!H14)-LEN(SUBSTITUTE(集計用!H14,",",""))</f>
        <v>2</v>
      </c>
    </row>
    <row r="17" spans="1:62" ht="12.75">
      <c r="A17" s="8">
        <v>14</v>
      </c>
      <c r="C17" s="2">
        <f t="shared" si="2"/>
        <v>3</v>
      </c>
      <c r="D17" s="9"/>
      <c r="E17" s="2">
        <f>COUNTIFS(集計用!$G15,"*, "&amp;E$3&amp;", *")</f>
        <v>1</v>
      </c>
      <c r="F17" s="2">
        <f>COUNTIFS(集計用!$G15,"*, "&amp;F$3&amp;", *")</f>
        <v>0</v>
      </c>
      <c r="G17" s="2">
        <f>COUNTIFS(集計用!$G15,"*, "&amp;G$3&amp;", *")</f>
        <v>0</v>
      </c>
      <c r="H17" s="2">
        <f>COUNTIFS(集計用!$G15,"*, "&amp;H$3&amp;", *")</f>
        <v>0</v>
      </c>
      <c r="I17" s="2">
        <f>COUNTIFS(集計用!$G15,"*, "&amp;I$3&amp;", *")</f>
        <v>0</v>
      </c>
      <c r="J17" s="2">
        <f>COUNTIFS(集計用!$G15,"*, "&amp;J$3&amp;", *")</f>
        <v>0</v>
      </c>
      <c r="K17" s="2">
        <f>COUNTIFS(集計用!$G15,"*, "&amp;K$3&amp;", *")</f>
        <v>0</v>
      </c>
      <c r="L17" s="2">
        <f>COUNTIFS(集計用!$G15,"*, "&amp;L$3&amp;", *")</f>
        <v>0</v>
      </c>
      <c r="M17" s="2">
        <f>COUNTIFS(集計用!$G15,"*, "&amp;M$3&amp;", *")</f>
        <v>0</v>
      </c>
      <c r="N17" s="2">
        <f>COUNTIFS(集計用!$G15,"*, "&amp;N$3&amp;", *")</f>
        <v>0</v>
      </c>
      <c r="O17" s="2">
        <f>COUNTIFS(集計用!$G15,"*, "&amp;O$3&amp;", *")</f>
        <v>0</v>
      </c>
      <c r="P17" s="2">
        <f>COUNTIFS(集計用!$G15,"*, "&amp;P$3&amp;", *")</f>
        <v>0</v>
      </c>
      <c r="Q17" s="2">
        <f>COUNTIFS(集計用!$G15,"*, "&amp;Q$3&amp;", *")</f>
        <v>0</v>
      </c>
      <c r="R17" s="2">
        <f>COUNTIFS(集計用!$G15,"*, "&amp;R$3&amp;", *")</f>
        <v>0</v>
      </c>
      <c r="S17" s="2">
        <f>COUNTIFS(集計用!$G15,"*, "&amp;S$3&amp;", *")</f>
        <v>0</v>
      </c>
      <c r="T17" s="2">
        <f>COUNTIFS(集計用!$G15,"*, "&amp;T$3&amp;", *")</f>
        <v>0</v>
      </c>
      <c r="U17" s="2">
        <f>COUNTIFS(集計用!$G15,"*, "&amp;U$3&amp;", *")</f>
        <v>0</v>
      </c>
      <c r="V17" s="2">
        <f>COUNTIFS(集計用!$G15,"*, "&amp;V$3&amp;", *")</f>
        <v>0</v>
      </c>
      <c r="W17" s="2">
        <f>COUNTIFS(集計用!$G15,"*, "&amp;W$3&amp;", *")</f>
        <v>0</v>
      </c>
      <c r="X17" s="2">
        <f>COUNTIFS(集計用!$G15,"*, "&amp;X$3&amp;", *")</f>
        <v>0</v>
      </c>
      <c r="Y17" s="2">
        <f>COUNTIFS(集計用!$G15,"*, "&amp;Y$3&amp;", *")</f>
        <v>0</v>
      </c>
      <c r="Z17" s="2">
        <f>COUNTIFS(集計用!$G15,"*, "&amp;Z$3&amp;", *")</f>
        <v>0</v>
      </c>
      <c r="AA17" s="2">
        <f>COUNTIFS(集計用!$G15,"*, "&amp;AA$3&amp;", *")</f>
        <v>1</v>
      </c>
      <c r="AB17" s="2">
        <f>COUNTIFS(集計用!$G15,"*, "&amp;AB$3&amp;", *")</f>
        <v>0</v>
      </c>
      <c r="AC17" s="2">
        <f>COUNTIFS(集計用!$G15,"*, "&amp;AC$3&amp;", *")</f>
        <v>1</v>
      </c>
      <c r="AD17" s="2">
        <f>COUNTIFS(集計用!$G15,"*, "&amp;AD$3&amp;", *")</f>
        <v>0</v>
      </c>
      <c r="AE17" s="2">
        <f>COUNTIFS(集計用!$G15,"*, "&amp;AE$3&amp;", *")</f>
        <v>0</v>
      </c>
      <c r="AF17" s="2">
        <f>COUNTIFS(集計用!$G15,"*, "&amp;AF$3&amp;", *")</f>
        <v>0</v>
      </c>
      <c r="AG17" s="2">
        <f>COUNTIFS(集計用!$G15,"*, "&amp;AG$3&amp;", *")</f>
        <v>0</v>
      </c>
      <c r="AH17" s="2">
        <f>COUNTIFS(集計用!$G15,"*, "&amp;AH$3&amp;", *")</f>
        <v>0</v>
      </c>
      <c r="AI17" s="2">
        <f>COUNTIFS(集計用!$G15,"*, "&amp;AI$3&amp;", *")</f>
        <v>0</v>
      </c>
      <c r="AJ17" s="2">
        <f>COUNTIFS(集計用!$G15,"*, "&amp;AJ$3&amp;", *")</f>
        <v>0</v>
      </c>
      <c r="AK17" s="2">
        <f>COUNTIFS(集計用!$G15,"*, "&amp;AK$3&amp;", *")</f>
        <v>0</v>
      </c>
      <c r="AL17" s="2">
        <f>COUNTIFS(集計用!$G15,"*, "&amp;AL$3&amp;", *")</f>
        <v>0</v>
      </c>
      <c r="AM17" s="2">
        <f>COUNTIFS(集計用!$G15,"*, "&amp;AM$3&amp;", *")</f>
        <v>0</v>
      </c>
      <c r="AN17" s="2">
        <f>COUNTIFS(集計用!$G15,"*, "&amp;AN$3&amp;", *")</f>
        <v>0</v>
      </c>
      <c r="AO17" s="2">
        <f>COUNTIFS(集計用!$G15,"*, "&amp;AO$3&amp;", *")</f>
        <v>0</v>
      </c>
      <c r="AP17" s="2">
        <f>COUNTIFS(集計用!$G15,"*, "&amp;AP$3&amp;", *")</f>
        <v>0</v>
      </c>
      <c r="AQ17" s="2">
        <f>COUNTIFS(集計用!$G15,"*, "&amp;AQ$3&amp;", *")</f>
        <v>0</v>
      </c>
      <c r="AR17" s="2">
        <f>COUNTIFS(集計用!$G15,"*, "&amp;AR$3&amp;", *")</f>
        <v>0</v>
      </c>
      <c r="AS17" s="2">
        <f>COUNTIFS(集計用!$G15,"*, "&amp;AS$3&amp;", *")</f>
        <v>0</v>
      </c>
      <c r="AT17" s="2">
        <f>COUNTIFS(集計用!$G15,"*, "&amp;AT$3&amp;", *")</f>
        <v>0</v>
      </c>
      <c r="AU17" s="2">
        <f>COUNTIFS(集計用!$G15,"*, "&amp;AU$3&amp;", *")</f>
        <v>0</v>
      </c>
      <c r="AV17" s="2">
        <f>COUNTIFS(集計用!$G15,"*, "&amp;AV$3&amp;", *")</f>
        <v>0</v>
      </c>
      <c r="AW17" s="2">
        <f>COUNTIFS(集計用!$G15,"*, "&amp;AW$3&amp;", *")</f>
        <v>0</v>
      </c>
      <c r="AX17" s="2">
        <f>COUNTIFS(集計用!$G15,"*, "&amp;AX$3&amp;", *")</f>
        <v>0</v>
      </c>
      <c r="AY17" s="2">
        <f>COUNTIFS(集計用!$G15,"*, "&amp;AY$3&amp;", *")</f>
        <v>0</v>
      </c>
      <c r="AZ17" s="2">
        <f>COUNTIFS(集計用!$G15,"*, "&amp;AZ$3&amp;", *")</f>
        <v>0</v>
      </c>
      <c r="BA17" s="2">
        <f>COUNTIFS(集計用!$G15,"*, "&amp;BA$3&amp;", *")</f>
        <v>0</v>
      </c>
      <c r="BB17" s="2">
        <f>COUNTIFS(集計用!$G15,"*, "&amp;BB$3&amp;", *")</f>
        <v>0</v>
      </c>
      <c r="BC17" s="2">
        <f>COUNTIFS(集計用!$G15,"*, "&amp;BC$3&amp;", *")</f>
        <v>0</v>
      </c>
      <c r="BD17" s="2">
        <f>COUNTIFS(集計用!$G15,"*, "&amp;BD$3&amp;", *")</f>
        <v>0</v>
      </c>
      <c r="BE17" s="2">
        <f>COUNTIFS(集計用!$G15,"*, "&amp;BE$3&amp;", *")</f>
        <v>0</v>
      </c>
      <c r="BF17" s="2">
        <f>COUNTIFS(集計用!$G15,"*, "&amp;BF$3&amp;", *")</f>
        <v>0</v>
      </c>
      <c r="BG17" s="2">
        <f>COUNTIFS(集計用!$G15,"*, "&amp;BG$3&amp;", *")</f>
        <v>0</v>
      </c>
      <c r="BH17" s="2">
        <f>COUNTIFS(集計用!$G15,"*, "&amp;BH$3&amp;", *")</f>
        <v>0</v>
      </c>
      <c r="BI17" s="2">
        <f>COUNTIFS(集計用!$G15,"*, "&amp;BI$3&amp;", *")</f>
        <v>0</v>
      </c>
      <c r="BJ17" s="2">
        <f>LEN(集計用!H15)-LEN(SUBSTITUTE(集計用!H15,",",""))</f>
        <v>0</v>
      </c>
    </row>
    <row r="18" spans="1:62" ht="12.75">
      <c r="A18" s="8">
        <v>15</v>
      </c>
      <c r="C18" s="2">
        <f t="shared" si="2"/>
        <v>3</v>
      </c>
      <c r="D18" s="9"/>
      <c r="E18" s="2">
        <f>COUNTIFS(集計用!$G16,"*, "&amp;E$3&amp;", *")</f>
        <v>1</v>
      </c>
      <c r="F18" s="2">
        <f>COUNTIFS(集計用!$G16,"*, "&amp;F$3&amp;", *")</f>
        <v>1</v>
      </c>
      <c r="G18" s="2">
        <f>COUNTIFS(集計用!$G16,"*, "&amp;G$3&amp;", *")</f>
        <v>0</v>
      </c>
      <c r="H18" s="2">
        <f>COUNTIFS(集計用!$G16,"*, "&amp;H$3&amp;", *")</f>
        <v>0</v>
      </c>
      <c r="I18" s="2">
        <f>COUNTIFS(集計用!$G16,"*, "&amp;I$3&amp;", *")</f>
        <v>0</v>
      </c>
      <c r="J18" s="2">
        <f>COUNTIFS(集計用!$G16,"*, "&amp;J$3&amp;", *")</f>
        <v>0</v>
      </c>
      <c r="K18" s="2">
        <f>COUNTIFS(集計用!$G16,"*, "&amp;K$3&amp;", *")</f>
        <v>0</v>
      </c>
      <c r="L18" s="2">
        <f>COUNTIFS(集計用!$G16,"*, "&amp;L$3&amp;", *")</f>
        <v>0</v>
      </c>
      <c r="M18" s="2">
        <f>COUNTIFS(集計用!$G16,"*, "&amp;M$3&amp;", *")</f>
        <v>1</v>
      </c>
      <c r="N18" s="2">
        <f>COUNTIFS(集計用!$G16,"*, "&amp;N$3&amp;", *")</f>
        <v>0</v>
      </c>
      <c r="O18" s="2">
        <f>COUNTIFS(集計用!$G16,"*, "&amp;O$3&amp;", *")</f>
        <v>0</v>
      </c>
      <c r="P18" s="2">
        <f>COUNTIFS(集計用!$G16,"*, "&amp;P$3&amp;", *")</f>
        <v>0</v>
      </c>
      <c r="Q18" s="2">
        <f>COUNTIFS(集計用!$G16,"*, "&amp;Q$3&amp;", *")</f>
        <v>0</v>
      </c>
      <c r="R18" s="2">
        <f>COUNTIFS(集計用!$G16,"*, "&amp;R$3&amp;", *")</f>
        <v>0</v>
      </c>
      <c r="S18" s="2">
        <f>COUNTIFS(集計用!$G16,"*, "&amp;S$3&amp;", *")</f>
        <v>0</v>
      </c>
      <c r="T18" s="2">
        <f>COUNTIFS(集計用!$G16,"*, "&amp;T$3&amp;", *")</f>
        <v>0</v>
      </c>
      <c r="U18" s="2">
        <f>COUNTIFS(集計用!$G16,"*, "&amp;U$3&amp;", *")</f>
        <v>0</v>
      </c>
      <c r="V18" s="2">
        <f>COUNTIFS(集計用!$G16,"*, "&amp;V$3&amp;", *")</f>
        <v>0</v>
      </c>
      <c r="W18" s="2">
        <f>COUNTIFS(集計用!$G16,"*, "&amp;W$3&amp;", *")</f>
        <v>0</v>
      </c>
      <c r="X18" s="2">
        <f>COUNTIFS(集計用!$G16,"*, "&amp;X$3&amp;", *")</f>
        <v>0</v>
      </c>
      <c r="Y18" s="2">
        <f>COUNTIFS(集計用!$G16,"*, "&amp;Y$3&amp;", *")</f>
        <v>0</v>
      </c>
      <c r="Z18" s="2">
        <f>COUNTIFS(集計用!$G16,"*, "&amp;Z$3&amp;", *")</f>
        <v>0</v>
      </c>
      <c r="AA18" s="2">
        <f>COUNTIFS(集計用!$G16,"*, "&amp;AA$3&amp;", *")</f>
        <v>0</v>
      </c>
      <c r="AB18" s="2">
        <f>COUNTIFS(集計用!$G16,"*, "&amp;AB$3&amp;", *")</f>
        <v>0</v>
      </c>
      <c r="AC18" s="2">
        <f>COUNTIFS(集計用!$G16,"*, "&amp;AC$3&amp;", *")</f>
        <v>0</v>
      </c>
      <c r="AD18" s="2">
        <f>COUNTIFS(集計用!$G16,"*, "&amp;AD$3&amp;", *")</f>
        <v>0</v>
      </c>
      <c r="AE18" s="2">
        <f>COUNTIFS(集計用!$G16,"*, "&amp;AE$3&amp;", *")</f>
        <v>0</v>
      </c>
      <c r="AF18" s="2">
        <f>COUNTIFS(集計用!$G16,"*, "&amp;AF$3&amp;", *")</f>
        <v>0</v>
      </c>
      <c r="AG18" s="2">
        <f>COUNTIFS(集計用!$G16,"*, "&amp;AG$3&amp;", *")</f>
        <v>0</v>
      </c>
      <c r="AH18" s="2">
        <f>COUNTIFS(集計用!$G16,"*, "&amp;AH$3&amp;", *")</f>
        <v>0</v>
      </c>
      <c r="AI18" s="2">
        <f>COUNTIFS(集計用!$G16,"*, "&amp;AI$3&amp;", *")</f>
        <v>0</v>
      </c>
      <c r="AJ18" s="2">
        <f>COUNTIFS(集計用!$G16,"*, "&amp;AJ$3&amp;", *")</f>
        <v>0</v>
      </c>
      <c r="AK18" s="2">
        <f>COUNTIFS(集計用!$G16,"*, "&amp;AK$3&amp;", *")</f>
        <v>0</v>
      </c>
      <c r="AL18" s="2">
        <f>COUNTIFS(集計用!$G16,"*, "&amp;AL$3&amp;", *")</f>
        <v>0</v>
      </c>
      <c r="AM18" s="2">
        <f>COUNTIFS(集計用!$G16,"*, "&amp;AM$3&amp;", *")</f>
        <v>0</v>
      </c>
      <c r="AN18" s="2">
        <f>COUNTIFS(集計用!$G16,"*, "&amp;AN$3&amp;", *")</f>
        <v>0</v>
      </c>
      <c r="AO18" s="2">
        <f>COUNTIFS(集計用!$G16,"*, "&amp;AO$3&amp;", *")</f>
        <v>0</v>
      </c>
      <c r="AP18" s="2">
        <f>COUNTIFS(集計用!$G16,"*, "&amp;AP$3&amp;", *")</f>
        <v>0</v>
      </c>
      <c r="AQ18" s="2">
        <f>COUNTIFS(集計用!$G16,"*, "&amp;AQ$3&amp;", *")</f>
        <v>0</v>
      </c>
      <c r="AR18" s="2">
        <f>COUNTIFS(集計用!$G16,"*, "&amp;AR$3&amp;", *")</f>
        <v>0</v>
      </c>
      <c r="AS18" s="2">
        <f>COUNTIFS(集計用!$G16,"*, "&amp;AS$3&amp;", *")</f>
        <v>0</v>
      </c>
      <c r="AT18" s="2">
        <f>COUNTIFS(集計用!$G16,"*, "&amp;AT$3&amp;", *")</f>
        <v>0</v>
      </c>
      <c r="AU18" s="2">
        <f>COUNTIFS(集計用!$G16,"*, "&amp;AU$3&amp;", *")</f>
        <v>0</v>
      </c>
      <c r="AV18" s="2">
        <f>COUNTIFS(集計用!$G16,"*, "&amp;AV$3&amp;", *")</f>
        <v>0</v>
      </c>
      <c r="AW18" s="2">
        <f>COUNTIFS(集計用!$G16,"*, "&amp;AW$3&amp;", *")</f>
        <v>0</v>
      </c>
      <c r="AX18" s="2">
        <f>COUNTIFS(集計用!$G16,"*, "&amp;AX$3&amp;", *")</f>
        <v>0</v>
      </c>
      <c r="AY18" s="2">
        <f>COUNTIFS(集計用!$G16,"*, "&amp;AY$3&amp;", *")</f>
        <v>0</v>
      </c>
      <c r="AZ18" s="2">
        <f>COUNTIFS(集計用!$G16,"*, "&amp;AZ$3&amp;", *")</f>
        <v>0</v>
      </c>
      <c r="BA18" s="2">
        <f>COUNTIFS(集計用!$G16,"*, "&amp;BA$3&amp;", *")</f>
        <v>0</v>
      </c>
      <c r="BB18" s="2">
        <f>COUNTIFS(集計用!$G16,"*, "&amp;BB$3&amp;", *")</f>
        <v>0</v>
      </c>
      <c r="BC18" s="2">
        <f>COUNTIFS(集計用!$G16,"*, "&amp;BC$3&amp;", *")</f>
        <v>0</v>
      </c>
      <c r="BD18" s="2">
        <f>COUNTIFS(集計用!$G16,"*, "&amp;BD$3&amp;", *")</f>
        <v>0</v>
      </c>
      <c r="BE18" s="2">
        <f>COUNTIFS(集計用!$G16,"*, "&amp;BE$3&amp;", *")</f>
        <v>0</v>
      </c>
      <c r="BF18" s="2">
        <f>COUNTIFS(集計用!$G16,"*, "&amp;BF$3&amp;", *")</f>
        <v>0</v>
      </c>
      <c r="BG18" s="2">
        <f>COUNTIFS(集計用!$G16,"*, "&amp;BG$3&amp;", *")</f>
        <v>0</v>
      </c>
      <c r="BH18" s="2">
        <f>COUNTIFS(集計用!$G16,"*, "&amp;BH$3&amp;", *")</f>
        <v>0</v>
      </c>
      <c r="BI18" s="2">
        <f>COUNTIFS(集計用!$G16,"*, "&amp;BI$3&amp;", *")</f>
        <v>0</v>
      </c>
      <c r="BJ18" s="2">
        <f>LEN(集計用!H16)-LEN(SUBSTITUTE(集計用!H16,",",""))</f>
        <v>0</v>
      </c>
    </row>
    <row r="19" spans="1:62" ht="12.75">
      <c r="A19" s="8">
        <v>16</v>
      </c>
      <c r="C19" s="2">
        <f t="shared" si="2"/>
        <v>9</v>
      </c>
      <c r="D19" s="9"/>
      <c r="E19" s="2">
        <f>COUNTIFS(集計用!$G17,"*, "&amp;E$3&amp;", *")</f>
        <v>1</v>
      </c>
      <c r="F19" s="2">
        <f>COUNTIFS(集計用!$G17,"*, "&amp;F$3&amp;", *")</f>
        <v>0</v>
      </c>
      <c r="G19" s="2">
        <f>COUNTIFS(集計用!$G17,"*, "&amp;G$3&amp;", *")</f>
        <v>1</v>
      </c>
      <c r="H19" s="2">
        <f>COUNTIFS(集計用!$G17,"*, "&amp;H$3&amp;", *")</f>
        <v>1</v>
      </c>
      <c r="I19" s="2">
        <f>COUNTIFS(集計用!$G17,"*, "&amp;I$3&amp;", *")</f>
        <v>0</v>
      </c>
      <c r="J19" s="2">
        <f>COUNTIFS(集計用!$G17,"*, "&amp;J$3&amp;", *")</f>
        <v>0</v>
      </c>
      <c r="K19" s="2">
        <f>COUNTIFS(集計用!$G17,"*, "&amp;K$3&amp;", *")</f>
        <v>0</v>
      </c>
      <c r="L19" s="2">
        <f>COUNTIFS(集計用!$G17,"*, "&amp;L$3&amp;", *")</f>
        <v>1</v>
      </c>
      <c r="M19" s="2">
        <f>COUNTIFS(集計用!$G17,"*, "&amp;M$3&amp;", *")</f>
        <v>1</v>
      </c>
      <c r="N19" s="2">
        <f>COUNTIFS(集計用!$G17,"*, "&amp;N$3&amp;", *")</f>
        <v>0</v>
      </c>
      <c r="O19" s="2">
        <f>COUNTIFS(集計用!$G17,"*, "&amp;O$3&amp;", *")</f>
        <v>0</v>
      </c>
      <c r="P19" s="2">
        <f>COUNTIFS(集計用!$G17,"*, "&amp;P$3&amp;", *")</f>
        <v>0</v>
      </c>
      <c r="Q19" s="2">
        <f>COUNTIFS(集計用!$G17,"*, "&amp;Q$3&amp;", *")</f>
        <v>0</v>
      </c>
      <c r="R19" s="2">
        <f>COUNTIFS(集計用!$G17,"*, "&amp;R$3&amp;", *")</f>
        <v>0</v>
      </c>
      <c r="S19" s="2">
        <f>COUNTIFS(集計用!$G17,"*, "&amp;S$3&amp;", *")</f>
        <v>0</v>
      </c>
      <c r="T19" s="2">
        <f>COUNTIFS(集計用!$G17,"*, "&amp;T$3&amp;", *")</f>
        <v>0</v>
      </c>
      <c r="U19" s="2">
        <f>COUNTIFS(集計用!$G17,"*, "&amp;U$3&amp;", *")</f>
        <v>0</v>
      </c>
      <c r="V19" s="2">
        <f>COUNTIFS(集計用!$G17,"*, "&amp;V$3&amp;", *")</f>
        <v>0</v>
      </c>
      <c r="W19" s="2">
        <f>COUNTIFS(集計用!$G17,"*, "&amp;W$3&amp;", *")</f>
        <v>1</v>
      </c>
      <c r="X19" s="2">
        <f>COUNTIFS(集計用!$G17,"*, "&amp;X$3&amp;", *")</f>
        <v>0</v>
      </c>
      <c r="Y19" s="2">
        <f>COUNTIFS(集計用!$G17,"*, "&amp;Y$3&amp;", *")</f>
        <v>0</v>
      </c>
      <c r="Z19" s="2">
        <f>COUNTIFS(集計用!$G17,"*, "&amp;Z$3&amp;", *")</f>
        <v>0</v>
      </c>
      <c r="AA19" s="2">
        <f>COUNTIFS(集計用!$G17,"*, "&amp;AA$3&amp;", *")</f>
        <v>0</v>
      </c>
      <c r="AB19" s="2">
        <f>COUNTIFS(集計用!$G17,"*, "&amp;AB$3&amp;", *")</f>
        <v>0</v>
      </c>
      <c r="AC19" s="2">
        <f>COUNTIFS(集計用!$G17,"*, "&amp;AC$3&amp;", *")</f>
        <v>0</v>
      </c>
      <c r="AD19" s="2">
        <f>COUNTIFS(集計用!$G17,"*, "&amp;AD$3&amp;", *")</f>
        <v>0</v>
      </c>
      <c r="AE19" s="2">
        <f>COUNTIFS(集計用!$G17,"*, "&amp;AE$3&amp;", *")</f>
        <v>0</v>
      </c>
      <c r="AF19" s="2">
        <f>COUNTIFS(集計用!$G17,"*, "&amp;AF$3&amp;", *")</f>
        <v>0</v>
      </c>
      <c r="AG19" s="2">
        <f>COUNTIFS(集計用!$G17,"*, "&amp;AG$3&amp;", *")</f>
        <v>0</v>
      </c>
      <c r="AH19" s="2">
        <f>COUNTIFS(集計用!$G17,"*, "&amp;AH$3&amp;", *")</f>
        <v>0</v>
      </c>
      <c r="AI19" s="2">
        <f>COUNTIFS(集計用!$G17,"*, "&amp;AI$3&amp;", *")</f>
        <v>0</v>
      </c>
      <c r="AJ19" s="2">
        <f>COUNTIFS(集計用!$G17,"*, "&amp;AJ$3&amp;", *")</f>
        <v>0</v>
      </c>
      <c r="AK19" s="2">
        <f>COUNTIFS(集計用!$G17,"*, "&amp;AK$3&amp;", *")</f>
        <v>0</v>
      </c>
      <c r="AL19" s="2">
        <f>COUNTIFS(集計用!$G17,"*, "&amp;AL$3&amp;", *")</f>
        <v>0</v>
      </c>
      <c r="AM19" s="2">
        <f>COUNTIFS(集計用!$G17,"*, "&amp;AM$3&amp;", *")</f>
        <v>0</v>
      </c>
      <c r="AN19" s="2">
        <f>COUNTIFS(集計用!$G17,"*, "&amp;AN$3&amp;", *")</f>
        <v>0</v>
      </c>
      <c r="AO19" s="2">
        <f>COUNTIFS(集計用!$G17,"*, "&amp;AO$3&amp;", *")</f>
        <v>0</v>
      </c>
      <c r="AP19" s="2">
        <f>COUNTIFS(集計用!$G17,"*, "&amp;AP$3&amp;", *")</f>
        <v>1</v>
      </c>
      <c r="AQ19" s="2">
        <f>COUNTIFS(集計用!$G17,"*, "&amp;AQ$3&amp;", *")</f>
        <v>0</v>
      </c>
      <c r="AR19" s="2">
        <f>COUNTIFS(集計用!$G17,"*, "&amp;AR$3&amp;", *")</f>
        <v>0</v>
      </c>
      <c r="AS19" s="2">
        <f>COUNTIFS(集計用!$G17,"*, "&amp;AS$3&amp;", *")</f>
        <v>0</v>
      </c>
      <c r="AT19" s="2">
        <f>COUNTIFS(集計用!$G17,"*, "&amp;AT$3&amp;", *")</f>
        <v>0</v>
      </c>
      <c r="AU19" s="2">
        <f>COUNTIFS(集計用!$G17,"*, "&amp;AU$3&amp;", *")</f>
        <v>0</v>
      </c>
      <c r="AV19" s="2">
        <f>COUNTIFS(集計用!$G17,"*, "&amp;AV$3&amp;", *")</f>
        <v>0</v>
      </c>
      <c r="AW19" s="2">
        <f>COUNTIFS(集計用!$G17,"*, "&amp;AW$3&amp;", *")</f>
        <v>1</v>
      </c>
      <c r="AX19" s="2">
        <f>COUNTIFS(集計用!$G17,"*, "&amp;AX$3&amp;", *")</f>
        <v>0</v>
      </c>
      <c r="AY19" s="2">
        <f>COUNTIFS(集計用!$G17,"*, "&amp;AY$3&amp;", *")</f>
        <v>0</v>
      </c>
      <c r="AZ19" s="2">
        <f>COUNTIFS(集計用!$G17,"*, "&amp;AZ$3&amp;", *")</f>
        <v>0</v>
      </c>
      <c r="BA19" s="2">
        <f>COUNTIFS(集計用!$G17,"*, "&amp;BA$3&amp;", *")</f>
        <v>0</v>
      </c>
      <c r="BB19" s="2">
        <f>COUNTIFS(集計用!$G17,"*, "&amp;BB$3&amp;", *")</f>
        <v>0</v>
      </c>
      <c r="BC19" s="2">
        <f>COUNTIFS(集計用!$G17,"*, "&amp;BC$3&amp;", *")</f>
        <v>0</v>
      </c>
      <c r="BD19" s="2">
        <f>COUNTIFS(集計用!$G17,"*, "&amp;BD$3&amp;", *")</f>
        <v>0</v>
      </c>
      <c r="BE19" s="2">
        <f>COUNTIFS(集計用!$G17,"*, "&amp;BE$3&amp;", *")</f>
        <v>0</v>
      </c>
      <c r="BF19" s="2">
        <f>COUNTIFS(集計用!$G17,"*, "&amp;BF$3&amp;", *")</f>
        <v>0</v>
      </c>
      <c r="BG19" s="2">
        <f>COUNTIFS(集計用!$G17,"*, "&amp;BG$3&amp;", *")</f>
        <v>0</v>
      </c>
      <c r="BH19" s="2">
        <f>COUNTIFS(集計用!$G17,"*, "&amp;BH$3&amp;", *")</f>
        <v>0</v>
      </c>
      <c r="BI19" s="2">
        <f>COUNTIFS(集計用!$G17,"*, "&amp;BI$3&amp;", *")</f>
        <v>0</v>
      </c>
      <c r="BJ19" s="2">
        <f>LEN(集計用!H17)-LEN(SUBSTITUTE(集計用!H17,",",""))</f>
        <v>1</v>
      </c>
    </row>
    <row r="20" spans="1:62" ht="12.75">
      <c r="A20" s="8">
        <v>17</v>
      </c>
      <c r="C20" s="2">
        <f t="shared" si="2"/>
        <v>1</v>
      </c>
      <c r="D20" s="9"/>
      <c r="E20" s="2">
        <f>COUNTIFS(集計用!$G18,"*, "&amp;E$3&amp;", *")</f>
        <v>0</v>
      </c>
      <c r="F20" s="2">
        <f>COUNTIFS(集計用!$G18,"*, "&amp;F$3&amp;", *")</f>
        <v>0</v>
      </c>
      <c r="G20" s="2">
        <f>COUNTIFS(集計用!$G18,"*, "&amp;G$3&amp;", *")</f>
        <v>0</v>
      </c>
      <c r="H20" s="2">
        <f>COUNTIFS(集計用!$G18,"*, "&amp;H$3&amp;", *")</f>
        <v>0</v>
      </c>
      <c r="I20" s="2">
        <f>COUNTIFS(集計用!$G18,"*, "&amp;I$3&amp;", *")</f>
        <v>0</v>
      </c>
      <c r="J20" s="2">
        <f>COUNTIFS(集計用!$G18,"*, "&amp;J$3&amp;", *")</f>
        <v>0</v>
      </c>
      <c r="K20" s="2">
        <f>COUNTIFS(集計用!$G18,"*, "&amp;K$3&amp;", *")</f>
        <v>0</v>
      </c>
      <c r="L20" s="2">
        <f>COUNTIFS(集計用!$G18,"*, "&amp;L$3&amp;", *")</f>
        <v>0</v>
      </c>
      <c r="M20" s="2">
        <f>COUNTIFS(集計用!$G18,"*, "&amp;M$3&amp;", *")</f>
        <v>1</v>
      </c>
      <c r="N20" s="2">
        <f>COUNTIFS(集計用!$G18,"*, "&amp;N$3&amp;", *")</f>
        <v>0</v>
      </c>
      <c r="O20" s="2">
        <f>COUNTIFS(集計用!$G18,"*, "&amp;O$3&amp;", *")</f>
        <v>0</v>
      </c>
      <c r="P20" s="2">
        <f>COUNTIFS(集計用!$G18,"*, "&amp;P$3&amp;", *")</f>
        <v>0</v>
      </c>
      <c r="Q20" s="2">
        <f>COUNTIFS(集計用!$G18,"*, "&amp;Q$3&amp;", *")</f>
        <v>0</v>
      </c>
      <c r="R20" s="2">
        <f>COUNTIFS(集計用!$G18,"*, "&amp;R$3&amp;", *")</f>
        <v>0</v>
      </c>
      <c r="S20" s="2">
        <f>COUNTIFS(集計用!$G18,"*, "&amp;S$3&amp;", *")</f>
        <v>0</v>
      </c>
      <c r="T20" s="2">
        <f>COUNTIFS(集計用!$G18,"*, "&amp;T$3&amp;", *")</f>
        <v>0</v>
      </c>
      <c r="U20" s="2">
        <f>COUNTIFS(集計用!$G18,"*, "&amp;U$3&amp;", *")</f>
        <v>0</v>
      </c>
      <c r="V20" s="2">
        <f>COUNTIFS(集計用!$G18,"*, "&amp;V$3&amp;", *")</f>
        <v>0</v>
      </c>
      <c r="W20" s="2">
        <f>COUNTIFS(集計用!$G18,"*, "&amp;W$3&amp;", *")</f>
        <v>0</v>
      </c>
      <c r="X20" s="2">
        <f>COUNTIFS(集計用!$G18,"*, "&amp;X$3&amp;", *")</f>
        <v>0</v>
      </c>
      <c r="Y20" s="2">
        <f>COUNTIFS(集計用!$G18,"*, "&amp;Y$3&amp;", *")</f>
        <v>0</v>
      </c>
      <c r="Z20" s="2">
        <f>COUNTIFS(集計用!$G18,"*, "&amp;Z$3&amp;", *")</f>
        <v>0</v>
      </c>
      <c r="AA20" s="2">
        <f>COUNTIFS(集計用!$G18,"*, "&amp;AA$3&amp;", *")</f>
        <v>0</v>
      </c>
      <c r="AB20" s="2">
        <f>COUNTIFS(集計用!$G18,"*, "&amp;AB$3&amp;", *")</f>
        <v>0</v>
      </c>
      <c r="AC20" s="2">
        <f>COUNTIFS(集計用!$G18,"*, "&amp;AC$3&amp;", *")</f>
        <v>0</v>
      </c>
      <c r="AD20" s="2">
        <f>COUNTIFS(集計用!$G18,"*, "&amp;AD$3&amp;", *")</f>
        <v>0</v>
      </c>
      <c r="AE20" s="2">
        <f>COUNTIFS(集計用!$G18,"*, "&amp;AE$3&amp;", *")</f>
        <v>0</v>
      </c>
      <c r="AF20" s="2">
        <f>COUNTIFS(集計用!$G18,"*, "&amp;AF$3&amp;", *")</f>
        <v>0</v>
      </c>
      <c r="AG20" s="2">
        <f>COUNTIFS(集計用!$G18,"*, "&amp;AG$3&amp;", *")</f>
        <v>0</v>
      </c>
      <c r="AH20" s="2">
        <f>COUNTIFS(集計用!$G18,"*, "&amp;AH$3&amp;", *")</f>
        <v>0</v>
      </c>
      <c r="AI20" s="2">
        <f>COUNTIFS(集計用!$G18,"*, "&amp;AI$3&amp;", *")</f>
        <v>0</v>
      </c>
      <c r="AJ20" s="2">
        <f>COUNTIFS(集計用!$G18,"*, "&amp;AJ$3&amp;", *")</f>
        <v>0</v>
      </c>
      <c r="AK20" s="2">
        <f>COUNTIFS(集計用!$G18,"*, "&amp;AK$3&amp;", *")</f>
        <v>0</v>
      </c>
      <c r="AL20" s="2">
        <f>COUNTIFS(集計用!$G18,"*, "&amp;AL$3&amp;", *")</f>
        <v>0</v>
      </c>
      <c r="AM20" s="2">
        <f>COUNTIFS(集計用!$G18,"*, "&amp;AM$3&amp;", *")</f>
        <v>0</v>
      </c>
      <c r="AN20" s="2">
        <f>COUNTIFS(集計用!$G18,"*, "&amp;AN$3&amp;", *")</f>
        <v>0</v>
      </c>
      <c r="AO20" s="2">
        <f>COUNTIFS(集計用!$G18,"*, "&amp;AO$3&amp;", *")</f>
        <v>0</v>
      </c>
      <c r="AP20" s="2">
        <f>COUNTIFS(集計用!$G18,"*, "&amp;AP$3&amp;", *")</f>
        <v>0</v>
      </c>
      <c r="AQ20" s="2">
        <f>COUNTIFS(集計用!$G18,"*, "&amp;AQ$3&amp;", *")</f>
        <v>0</v>
      </c>
      <c r="AR20" s="2">
        <f>COUNTIFS(集計用!$G18,"*, "&amp;AR$3&amp;", *")</f>
        <v>0</v>
      </c>
      <c r="AS20" s="2">
        <f>COUNTIFS(集計用!$G18,"*, "&amp;AS$3&amp;", *")</f>
        <v>0</v>
      </c>
      <c r="AT20" s="2">
        <f>COUNTIFS(集計用!$G18,"*, "&amp;AT$3&amp;", *")</f>
        <v>0</v>
      </c>
      <c r="AU20" s="2">
        <f>COUNTIFS(集計用!$G18,"*, "&amp;AU$3&amp;", *")</f>
        <v>0</v>
      </c>
      <c r="AV20" s="2">
        <f>COUNTIFS(集計用!$G18,"*, "&amp;AV$3&amp;", *")</f>
        <v>0</v>
      </c>
      <c r="AW20" s="2">
        <f>COUNTIFS(集計用!$G18,"*, "&amp;AW$3&amp;", *")</f>
        <v>0</v>
      </c>
      <c r="AX20" s="2">
        <f>COUNTIFS(集計用!$G18,"*, "&amp;AX$3&amp;", *")</f>
        <v>0</v>
      </c>
      <c r="AY20" s="2">
        <f>COUNTIFS(集計用!$G18,"*, "&amp;AY$3&amp;", *")</f>
        <v>0</v>
      </c>
      <c r="AZ20" s="2">
        <f>COUNTIFS(集計用!$G18,"*, "&amp;AZ$3&amp;", *")</f>
        <v>0</v>
      </c>
      <c r="BA20" s="2">
        <f>COUNTIFS(集計用!$G18,"*, "&amp;BA$3&amp;", *")</f>
        <v>0</v>
      </c>
      <c r="BB20" s="2">
        <f>COUNTIFS(集計用!$G18,"*, "&amp;BB$3&amp;", *")</f>
        <v>0</v>
      </c>
      <c r="BC20" s="2">
        <f>COUNTIFS(集計用!$G18,"*, "&amp;BC$3&amp;", *")</f>
        <v>0</v>
      </c>
      <c r="BD20" s="2">
        <f>COUNTIFS(集計用!$G18,"*, "&amp;BD$3&amp;", *")</f>
        <v>0</v>
      </c>
      <c r="BE20" s="2">
        <f>COUNTIFS(集計用!$G18,"*, "&amp;BE$3&amp;", *")</f>
        <v>0</v>
      </c>
      <c r="BF20" s="2">
        <f>COUNTIFS(集計用!$G18,"*, "&amp;BF$3&amp;", *")</f>
        <v>0</v>
      </c>
      <c r="BG20" s="2">
        <f>COUNTIFS(集計用!$G18,"*, "&amp;BG$3&amp;", *")</f>
        <v>0</v>
      </c>
      <c r="BH20" s="2">
        <f>COUNTIFS(集計用!$G18,"*, "&amp;BH$3&amp;", *")</f>
        <v>0</v>
      </c>
      <c r="BI20" s="2">
        <f>COUNTIFS(集計用!$G18,"*, "&amp;BI$3&amp;", *")</f>
        <v>0</v>
      </c>
      <c r="BJ20" s="2">
        <f>LEN(集計用!H18)-LEN(SUBSTITUTE(集計用!H18,",",""))</f>
        <v>0</v>
      </c>
    </row>
    <row r="21" spans="1:62" ht="12.75">
      <c r="A21" s="8">
        <v>18</v>
      </c>
      <c r="C21" s="2">
        <f t="shared" si="2"/>
        <v>12</v>
      </c>
      <c r="D21" s="9"/>
      <c r="E21" s="2">
        <f>COUNTIFS(集計用!$G19,"*, "&amp;E$3&amp;", *")</f>
        <v>1</v>
      </c>
      <c r="F21" s="2">
        <f>COUNTIFS(集計用!$G19,"*, "&amp;F$3&amp;", *")</f>
        <v>0</v>
      </c>
      <c r="G21" s="2">
        <f>COUNTIFS(集計用!$G19,"*, "&amp;G$3&amp;", *")</f>
        <v>1</v>
      </c>
      <c r="H21" s="2">
        <f>COUNTIFS(集計用!$G19,"*, "&amp;H$3&amp;", *")</f>
        <v>1</v>
      </c>
      <c r="I21" s="2">
        <f>COUNTIFS(集計用!$G19,"*, "&amp;I$3&amp;", *")</f>
        <v>1</v>
      </c>
      <c r="J21" s="2">
        <f>COUNTIFS(集計用!$G19,"*, "&amp;J$3&amp;", *")</f>
        <v>0</v>
      </c>
      <c r="K21" s="2">
        <f>COUNTIFS(集計用!$G19,"*, "&amp;K$3&amp;", *")</f>
        <v>1</v>
      </c>
      <c r="L21" s="2">
        <f>COUNTIFS(集計用!$G19,"*, "&amp;L$3&amp;", *")</f>
        <v>1</v>
      </c>
      <c r="M21" s="2">
        <f>COUNTIFS(集計用!$G19,"*, "&amp;M$3&amp;", *")</f>
        <v>1</v>
      </c>
      <c r="N21" s="2">
        <f>COUNTIFS(集計用!$G19,"*, "&amp;N$3&amp;", *")</f>
        <v>1</v>
      </c>
      <c r="O21" s="2">
        <f>COUNTIFS(集計用!$G19,"*, "&amp;O$3&amp;", *")</f>
        <v>0</v>
      </c>
      <c r="P21" s="2">
        <f>COUNTIFS(集計用!$G19,"*, "&amp;P$3&amp;", *")</f>
        <v>0</v>
      </c>
      <c r="Q21" s="2">
        <f>COUNTIFS(集計用!$G19,"*, "&amp;Q$3&amp;", *")</f>
        <v>0</v>
      </c>
      <c r="R21" s="2">
        <f>COUNTIFS(集計用!$G19,"*, "&amp;R$3&amp;", *")</f>
        <v>0</v>
      </c>
      <c r="S21" s="2">
        <f>COUNTIFS(集計用!$G19,"*, "&amp;S$3&amp;", *")</f>
        <v>0</v>
      </c>
      <c r="T21" s="2">
        <f>COUNTIFS(集計用!$G19,"*, "&amp;T$3&amp;", *")</f>
        <v>1</v>
      </c>
      <c r="U21" s="2">
        <f>COUNTIFS(集計用!$G19,"*, "&amp;U$3&amp;", *")</f>
        <v>0</v>
      </c>
      <c r="V21" s="2">
        <f>COUNTIFS(集計用!$G19,"*, "&amp;V$3&amp;", *")</f>
        <v>0</v>
      </c>
      <c r="W21" s="2">
        <f>COUNTIFS(集計用!$G19,"*, "&amp;W$3&amp;", *")</f>
        <v>1</v>
      </c>
      <c r="X21" s="2">
        <f>COUNTIFS(集計用!$G19,"*, "&amp;X$3&amp;", *")</f>
        <v>0</v>
      </c>
      <c r="Y21" s="2">
        <f>COUNTIFS(集計用!$G19,"*, "&amp;Y$3&amp;", *")</f>
        <v>0</v>
      </c>
      <c r="Z21" s="2">
        <f>COUNTIFS(集計用!$G19,"*, "&amp;Z$3&amp;", *")</f>
        <v>0</v>
      </c>
      <c r="AA21" s="2">
        <f>COUNTIFS(集計用!$G19,"*, "&amp;AA$3&amp;", *")</f>
        <v>0</v>
      </c>
      <c r="AB21" s="2">
        <f>COUNTIFS(集計用!$G19,"*, "&amp;AB$3&amp;", *")</f>
        <v>1</v>
      </c>
      <c r="AC21" s="2">
        <f>COUNTIFS(集計用!$G19,"*, "&amp;AC$3&amp;", *")</f>
        <v>0</v>
      </c>
      <c r="AD21" s="2">
        <f>COUNTIFS(集計用!$G19,"*, "&amp;AD$3&amp;", *")</f>
        <v>0</v>
      </c>
      <c r="AE21" s="2">
        <f>COUNTIFS(集計用!$G19,"*, "&amp;AE$3&amp;", *")</f>
        <v>0</v>
      </c>
      <c r="AF21" s="2">
        <f>COUNTIFS(集計用!$G19,"*, "&amp;AF$3&amp;", *")</f>
        <v>0</v>
      </c>
      <c r="AG21" s="2">
        <f>COUNTIFS(集計用!$G19,"*, "&amp;AG$3&amp;", *")</f>
        <v>0</v>
      </c>
      <c r="AH21" s="2">
        <f>COUNTIFS(集計用!$G19,"*, "&amp;AH$3&amp;", *")</f>
        <v>0</v>
      </c>
      <c r="AI21" s="2">
        <f>COUNTIFS(集計用!$G19,"*, "&amp;AI$3&amp;", *")</f>
        <v>0</v>
      </c>
      <c r="AJ21" s="2">
        <f>COUNTIFS(集計用!$G19,"*, "&amp;AJ$3&amp;", *")</f>
        <v>0</v>
      </c>
      <c r="AK21" s="2">
        <f>COUNTIFS(集計用!$G19,"*, "&amp;AK$3&amp;", *")</f>
        <v>0</v>
      </c>
      <c r="AL21" s="2">
        <f>COUNTIFS(集計用!$G19,"*, "&amp;AL$3&amp;", *")</f>
        <v>0</v>
      </c>
      <c r="AM21" s="2">
        <f>COUNTIFS(集計用!$G19,"*, "&amp;AM$3&amp;", *")</f>
        <v>0</v>
      </c>
      <c r="AN21" s="2">
        <f>COUNTIFS(集計用!$G19,"*, "&amp;AN$3&amp;", *")</f>
        <v>0</v>
      </c>
      <c r="AO21" s="2">
        <f>COUNTIFS(集計用!$G19,"*, "&amp;AO$3&amp;", *")</f>
        <v>0</v>
      </c>
      <c r="AP21" s="2">
        <f>COUNTIFS(集計用!$G19,"*, "&amp;AP$3&amp;", *")</f>
        <v>1</v>
      </c>
      <c r="AQ21" s="2">
        <f>COUNTIFS(集計用!$G19,"*, "&amp;AQ$3&amp;", *")</f>
        <v>0</v>
      </c>
      <c r="AR21" s="2">
        <f>COUNTIFS(集計用!$G19,"*, "&amp;AR$3&amp;", *")</f>
        <v>0</v>
      </c>
      <c r="AS21" s="2">
        <f>COUNTIFS(集計用!$G19,"*, "&amp;AS$3&amp;", *")</f>
        <v>0</v>
      </c>
      <c r="AT21" s="2">
        <f>COUNTIFS(集計用!$G19,"*, "&amp;AT$3&amp;", *")</f>
        <v>0</v>
      </c>
      <c r="AU21" s="2">
        <f>COUNTIFS(集計用!$G19,"*, "&amp;AU$3&amp;", *")</f>
        <v>0</v>
      </c>
      <c r="AV21" s="2">
        <f>COUNTIFS(集計用!$G19,"*, "&amp;AV$3&amp;", *")</f>
        <v>0</v>
      </c>
      <c r="AW21" s="2">
        <f>COUNTIFS(集計用!$G19,"*, "&amp;AW$3&amp;", *")</f>
        <v>0</v>
      </c>
      <c r="AX21" s="2">
        <f>COUNTIFS(集計用!$G19,"*, "&amp;AX$3&amp;", *")</f>
        <v>0</v>
      </c>
      <c r="AY21" s="2">
        <f>COUNTIFS(集計用!$G19,"*, "&amp;AY$3&amp;", *")</f>
        <v>0</v>
      </c>
      <c r="AZ21" s="2">
        <f>COUNTIFS(集計用!$G19,"*, "&amp;AZ$3&amp;", *")</f>
        <v>0</v>
      </c>
      <c r="BA21" s="2">
        <f>COUNTIFS(集計用!$G19,"*, "&amp;BA$3&amp;", *")</f>
        <v>0</v>
      </c>
      <c r="BB21" s="2">
        <f>COUNTIFS(集計用!$G19,"*, "&amp;BB$3&amp;", *")</f>
        <v>0</v>
      </c>
      <c r="BC21" s="2">
        <f>COUNTIFS(集計用!$G19,"*, "&amp;BC$3&amp;", *")</f>
        <v>0</v>
      </c>
      <c r="BD21" s="2">
        <f>COUNTIFS(集計用!$G19,"*, "&amp;BD$3&amp;", *")</f>
        <v>0</v>
      </c>
      <c r="BE21" s="2">
        <f>COUNTIFS(集計用!$G19,"*, "&amp;BE$3&amp;", *")</f>
        <v>0</v>
      </c>
      <c r="BF21" s="2">
        <f>COUNTIFS(集計用!$G19,"*, "&amp;BF$3&amp;", *")</f>
        <v>0</v>
      </c>
      <c r="BG21" s="2">
        <f>COUNTIFS(集計用!$G19,"*, "&amp;BG$3&amp;", *")</f>
        <v>0</v>
      </c>
      <c r="BH21" s="2">
        <f>COUNTIFS(集計用!$G19,"*, "&amp;BH$3&amp;", *")</f>
        <v>0</v>
      </c>
      <c r="BI21" s="2">
        <f>COUNTIFS(集計用!$G19,"*, "&amp;BI$3&amp;", *")</f>
        <v>0</v>
      </c>
      <c r="BJ21" s="2">
        <f>LEN(集計用!H19)-LEN(SUBSTITUTE(集計用!H19,",",""))</f>
        <v>0</v>
      </c>
    </row>
    <row r="22" spans="1:62" ht="12.75">
      <c r="A22" s="8">
        <v>19</v>
      </c>
      <c r="C22" s="2">
        <f t="shared" si="2"/>
        <v>3</v>
      </c>
      <c r="D22" s="9"/>
      <c r="E22" s="2">
        <f>COUNTIFS(集計用!$G20,"*, "&amp;E$3&amp;", *")</f>
        <v>1</v>
      </c>
      <c r="F22" s="2">
        <f>COUNTIFS(集計用!$G20,"*, "&amp;F$3&amp;", *")</f>
        <v>1</v>
      </c>
      <c r="G22" s="2">
        <f>COUNTIFS(集計用!$G20,"*, "&amp;G$3&amp;", *")</f>
        <v>0</v>
      </c>
      <c r="H22" s="2">
        <f>COUNTIFS(集計用!$G20,"*, "&amp;H$3&amp;", *")</f>
        <v>0</v>
      </c>
      <c r="I22" s="2">
        <f>COUNTIFS(集計用!$G20,"*, "&amp;I$3&amp;", *")</f>
        <v>0</v>
      </c>
      <c r="J22" s="2">
        <f>COUNTIFS(集計用!$G20,"*, "&amp;J$3&amp;", *")</f>
        <v>0</v>
      </c>
      <c r="K22" s="2">
        <f>COUNTIFS(集計用!$G20,"*, "&amp;K$3&amp;", *")</f>
        <v>0</v>
      </c>
      <c r="L22" s="2">
        <f>COUNTIFS(集計用!$G20,"*, "&amp;L$3&amp;", *")</f>
        <v>0</v>
      </c>
      <c r="M22" s="2">
        <f>COUNTIFS(集計用!$G20,"*, "&amp;M$3&amp;", *")</f>
        <v>0</v>
      </c>
      <c r="N22" s="2">
        <f>COUNTIFS(集計用!$G20,"*, "&amp;N$3&amp;", *")</f>
        <v>0</v>
      </c>
      <c r="O22" s="2">
        <f>COUNTIFS(集計用!$G20,"*, "&amp;O$3&amp;", *")</f>
        <v>0</v>
      </c>
      <c r="P22" s="2">
        <f>COUNTIFS(集計用!$G20,"*, "&amp;P$3&amp;", *")</f>
        <v>0</v>
      </c>
      <c r="Q22" s="2">
        <f>COUNTIFS(集計用!$G20,"*, "&amp;Q$3&amp;", *")</f>
        <v>0</v>
      </c>
      <c r="R22" s="2">
        <f>COUNTIFS(集計用!$G20,"*, "&amp;R$3&amp;", *")</f>
        <v>0</v>
      </c>
      <c r="S22" s="2">
        <f>COUNTIFS(集計用!$G20,"*, "&amp;S$3&amp;", *")</f>
        <v>0</v>
      </c>
      <c r="T22" s="2">
        <f>COUNTIFS(集計用!$G20,"*, "&amp;T$3&amp;", *")</f>
        <v>0</v>
      </c>
      <c r="U22" s="2">
        <f>COUNTIFS(集計用!$G20,"*, "&amp;U$3&amp;", *")</f>
        <v>0</v>
      </c>
      <c r="V22" s="2">
        <f>COUNTIFS(集計用!$G20,"*, "&amp;V$3&amp;", *")</f>
        <v>0</v>
      </c>
      <c r="W22" s="2">
        <f>COUNTIFS(集計用!$G20,"*, "&amp;W$3&amp;", *")</f>
        <v>1</v>
      </c>
      <c r="X22" s="2">
        <f>COUNTIFS(集計用!$G20,"*, "&amp;X$3&amp;", *")</f>
        <v>0</v>
      </c>
      <c r="Y22" s="2">
        <f>COUNTIFS(集計用!$G20,"*, "&amp;Y$3&amp;", *")</f>
        <v>0</v>
      </c>
      <c r="Z22" s="2">
        <f>COUNTIFS(集計用!$G20,"*, "&amp;Z$3&amp;", *")</f>
        <v>0</v>
      </c>
      <c r="AA22" s="2">
        <f>COUNTIFS(集計用!$G20,"*, "&amp;AA$3&amp;", *")</f>
        <v>0</v>
      </c>
      <c r="AB22" s="2">
        <f>COUNTIFS(集計用!$G20,"*, "&amp;AB$3&amp;", *")</f>
        <v>0</v>
      </c>
      <c r="AC22" s="2">
        <f>COUNTIFS(集計用!$G20,"*, "&amp;AC$3&amp;", *")</f>
        <v>0</v>
      </c>
      <c r="AD22" s="2">
        <f>COUNTIFS(集計用!$G20,"*, "&amp;AD$3&amp;", *")</f>
        <v>0</v>
      </c>
      <c r="AE22" s="2">
        <f>COUNTIFS(集計用!$G20,"*, "&amp;AE$3&amp;", *")</f>
        <v>0</v>
      </c>
      <c r="AF22" s="2">
        <f>COUNTIFS(集計用!$G20,"*, "&amp;AF$3&amp;", *")</f>
        <v>0</v>
      </c>
      <c r="AG22" s="2">
        <f>COUNTIFS(集計用!$G20,"*, "&amp;AG$3&amp;", *")</f>
        <v>0</v>
      </c>
      <c r="AH22" s="2">
        <f>COUNTIFS(集計用!$G20,"*, "&amp;AH$3&amp;", *")</f>
        <v>0</v>
      </c>
      <c r="AI22" s="2">
        <f>COUNTIFS(集計用!$G20,"*, "&amp;AI$3&amp;", *")</f>
        <v>0</v>
      </c>
      <c r="AJ22" s="2">
        <f>COUNTIFS(集計用!$G20,"*, "&amp;AJ$3&amp;", *")</f>
        <v>0</v>
      </c>
      <c r="AK22" s="2">
        <f>COUNTIFS(集計用!$G20,"*, "&amp;AK$3&amp;", *")</f>
        <v>0</v>
      </c>
      <c r="AL22" s="2">
        <f>COUNTIFS(集計用!$G20,"*, "&amp;AL$3&amp;", *")</f>
        <v>0</v>
      </c>
      <c r="AM22" s="2">
        <f>COUNTIFS(集計用!$G20,"*, "&amp;AM$3&amp;", *")</f>
        <v>0</v>
      </c>
      <c r="AN22" s="2">
        <f>COUNTIFS(集計用!$G20,"*, "&amp;AN$3&amp;", *")</f>
        <v>0</v>
      </c>
      <c r="AO22" s="2">
        <f>COUNTIFS(集計用!$G20,"*, "&amp;AO$3&amp;", *")</f>
        <v>0</v>
      </c>
      <c r="AP22" s="2">
        <f>COUNTIFS(集計用!$G20,"*, "&amp;AP$3&amp;", *")</f>
        <v>0</v>
      </c>
      <c r="AQ22" s="2">
        <f>COUNTIFS(集計用!$G20,"*, "&amp;AQ$3&amp;", *")</f>
        <v>0</v>
      </c>
      <c r="AR22" s="2">
        <f>COUNTIFS(集計用!$G20,"*, "&amp;AR$3&amp;", *")</f>
        <v>0</v>
      </c>
      <c r="AS22" s="2">
        <f>COUNTIFS(集計用!$G20,"*, "&amp;AS$3&amp;", *")</f>
        <v>0</v>
      </c>
      <c r="AT22" s="2">
        <f>COUNTIFS(集計用!$G20,"*, "&amp;AT$3&amp;", *")</f>
        <v>0</v>
      </c>
      <c r="AU22" s="2">
        <f>COUNTIFS(集計用!$G20,"*, "&amp;AU$3&amp;", *")</f>
        <v>0</v>
      </c>
      <c r="AV22" s="2">
        <f>COUNTIFS(集計用!$G20,"*, "&amp;AV$3&amp;", *")</f>
        <v>0</v>
      </c>
      <c r="AW22" s="2">
        <f>COUNTIFS(集計用!$G20,"*, "&amp;AW$3&amp;", *")</f>
        <v>0</v>
      </c>
      <c r="AX22" s="2">
        <f>COUNTIFS(集計用!$G20,"*, "&amp;AX$3&amp;", *")</f>
        <v>0</v>
      </c>
      <c r="AY22" s="2">
        <f>COUNTIFS(集計用!$G20,"*, "&amp;AY$3&amp;", *")</f>
        <v>0</v>
      </c>
      <c r="AZ22" s="2">
        <f>COUNTIFS(集計用!$G20,"*, "&amp;AZ$3&amp;", *")</f>
        <v>0</v>
      </c>
      <c r="BA22" s="2">
        <f>COUNTIFS(集計用!$G20,"*, "&amp;BA$3&amp;", *")</f>
        <v>0</v>
      </c>
      <c r="BB22" s="2">
        <f>COUNTIFS(集計用!$G20,"*, "&amp;BB$3&amp;", *")</f>
        <v>0</v>
      </c>
      <c r="BC22" s="2">
        <f>COUNTIFS(集計用!$G20,"*, "&amp;BC$3&amp;", *")</f>
        <v>0</v>
      </c>
      <c r="BD22" s="2">
        <f>COUNTIFS(集計用!$G20,"*, "&amp;BD$3&amp;", *")</f>
        <v>0</v>
      </c>
      <c r="BE22" s="2">
        <f>COUNTIFS(集計用!$G20,"*, "&amp;BE$3&amp;", *")</f>
        <v>0</v>
      </c>
      <c r="BF22" s="2">
        <f>COUNTIFS(集計用!$G20,"*, "&amp;BF$3&amp;", *")</f>
        <v>0</v>
      </c>
      <c r="BG22" s="2">
        <f>COUNTIFS(集計用!$G20,"*, "&amp;BG$3&amp;", *")</f>
        <v>0</v>
      </c>
      <c r="BH22" s="2">
        <f>COUNTIFS(集計用!$G20,"*, "&amp;BH$3&amp;", *")</f>
        <v>0</v>
      </c>
      <c r="BI22" s="2">
        <f>COUNTIFS(集計用!$G20,"*, "&amp;BI$3&amp;", *")</f>
        <v>0</v>
      </c>
      <c r="BJ22" s="2">
        <f>LEN(集計用!H20)-LEN(SUBSTITUTE(集計用!H20,",",""))</f>
        <v>0</v>
      </c>
    </row>
    <row r="23" spans="1:62" ht="12.75">
      <c r="A23" s="8">
        <v>20</v>
      </c>
      <c r="C23" s="2">
        <f t="shared" si="2"/>
        <v>2</v>
      </c>
      <c r="D23" s="9"/>
      <c r="E23" s="2">
        <f>COUNTIFS(集計用!$G21,"*, "&amp;E$3&amp;", *")</f>
        <v>1</v>
      </c>
      <c r="F23" s="2">
        <f>COUNTIFS(集計用!$G21,"*, "&amp;F$3&amp;", *")</f>
        <v>0</v>
      </c>
      <c r="G23" s="2">
        <f>COUNTIFS(集計用!$G21,"*, "&amp;G$3&amp;", *")</f>
        <v>0</v>
      </c>
      <c r="H23" s="2">
        <f>COUNTIFS(集計用!$G21,"*, "&amp;H$3&amp;", *")</f>
        <v>1</v>
      </c>
      <c r="I23" s="2">
        <f>COUNTIFS(集計用!$G21,"*, "&amp;I$3&amp;", *")</f>
        <v>0</v>
      </c>
      <c r="J23" s="2">
        <f>COUNTIFS(集計用!$G21,"*, "&amp;J$3&amp;", *")</f>
        <v>0</v>
      </c>
      <c r="K23" s="2">
        <f>COUNTIFS(集計用!$G21,"*, "&amp;K$3&amp;", *")</f>
        <v>0</v>
      </c>
      <c r="L23" s="2">
        <f>COUNTIFS(集計用!$G21,"*, "&amp;L$3&amp;", *")</f>
        <v>0</v>
      </c>
      <c r="M23" s="2">
        <f>COUNTIFS(集計用!$G21,"*, "&amp;M$3&amp;", *")</f>
        <v>0</v>
      </c>
      <c r="N23" s="2">
        <f>COUNTIFS(集計用!$G21,"*, "&amp;N$3&amp;", *")</f>
        <v>0</v>
      </c>
      <c r="O23" s="2">
        <f>COUNTIFS(集計用!$G21,"*, "&amp;O$3&amp;", *")</f>
        <v>0</v>
      </c>
      <c r="P23" s="2">
        <f>COUNTIFS(集計用!$G21,"*, "&amp;P$3&amp;", *")</f>
        <v>0</v>
      </c>
      <c r="Q23" s="2">
        <f>COUNTIFS(集計用!$G21,"*, "&amp;Q$3&amp;", *")</f>
        <v>0</v>
      </c>
      <c r="R23" s="2">
        <f>COUNTIFS(集計用!$G21,"*, "&amp;R$3&amp;", *")</f>
        <v>0</v>
      </c>
      <c r="S23" s="2">
        <f>COUNTIFS(集計用!$G21,"*, "&amp;S$3&amp;", *")</f>
        <v>0</v>
      </c>
      <c r="T23" s="2">
        <f>COUNTIFS(集計用!$G21,"*, "&amp;T$3&amp;", *")</f>
        <v>0</v>
      </c>
      <c r="U23" s="2">
        <f>COUNTIFS(集計用!$G21,"*, "&amp;U$3&amp;", *")</f>
        <v>0</v>
      </c>
      <c r="V23" s="2">
        <f>COUNTIFS(集計用!$G21,"*, "&amp;V$3&amp;", *")</f>
        <v>0</v>
      </c>
      <c r="W23" s="2">
        <f>COUNTIFS(集計用!$G21,"*, "&amp;W$3&amp;", *")</f>
        <v>0</v>
      </c>
      <c r="X23" s="2">
        <f>COUNTIFS(集計用!$G21,"*, "&amp;X$3&amp;", *")</f>
        <v>0</v>
      </c>
      <c r="Y23" s="2">
        <f>COUNTIFS(集計用!$G21,"*, "&amp;Y$3&amp;", *")</f>
        <v>0</v>
      </c>
      <c r="Z23" s="2">
        <f>COUNTIFS(集計用!$G21,"*, "&amp;Z$3&amp;", *")</f>
        <v>0</v>
      </c>
      <c r="AA23" s="2">
        <f>COUNTIFS(集計用!$G21,"*, "&amp;AA$3&amp;", *")</f>
        <v>0</v>
      </c>
      <c r="AB23" s="2">
        <f>COUNTIFS(集計用!$G21,"*, "&amp;AB$3&amp;", *")</f>
        <v>0</v>
      </c>
      <c r="AC23" s="2">
        <f>COUNTIFS(集計用!$G21,"*, "&amp;AC$3&amp;", *")</f>
        <v>0</v>
      </c>
      <c r="AD23" s="2">
        <f>COUNTIFS(集計用!$G21,"*, "&amp;AD$3&amp;", *")</f>
        <v>0</v>
      </c>
      <c r="AE23" s="2">
        <f>COUNTIFS(集計用!$G21,"*, "&amp;AE$3&amp;", *")</f>
        <v>0</v>
      </c>
      <c r="AF23" s="2">
        <f>COUNTIFS(集計用!$G21,"*, "&amp;AF$3&amp;", *")</f>
        <v>0</v>
      </c>
      <c r="AG23" s="2">
        <f>COUNTIFS(集計用!$G21,"*, "&amp;AG$3&amp;", *")</f>
        <v>0</v>
      </c>
      <c r="AH23" s="2">
        <f>COUNTIFS(集計用!$G21,"*, "&amp;AH$3&amp;", *")</f>
        <v>0</v>
      </c>
      <c r="AI23" s="2">
        <f>COUNTIFS(集計用!$G21,"*, "&amp;AI$3&amp;", *")</f>
        <v>0</v>
      </c>
      <c r="AJ23" s="2">
        <f>COUNTIFS(集計用!$G21,"*, "&amp;AJ$3&amp;", *")</f>
        <v>0</v>
      </c>
      <c r="AK23" s="2">
        <f>COUNTIFS(集計用!$G21,"*, "&amp;AK$3&amp;", *")</f>
        <v>0</v>
      </c>
      <c r="AL23" s="2">
        <f>COUNTIFS(集計用!$G21,"*, "&amp;AL$3&amp;", *")</f>
        <v>0</v>
      </c>
      <c r="AM23" s="2">
        <f>COUNTIFS(集計用!$G21,"*, "&amp;AM$3&amp;", *")</f>
        <v>0</v>
      </c>
      <c r="AN23" s="2">
        <f>COUNTIFS(集計用!$G21,"*, "&amp;AN$3&amp;", *")</f>
        <v>0</v>
      </c>
      <c r="AO23" s="2">
        <f>COUNTIFS(集計用!$G21,"*, "&amp;AO$3&amp;", *")</f>
        <v>0</v>
      </c>
      <c r="AP23" s="2">
        <f>COUNTIFS(集計用!$G21,"*, "&amp;AP$3&amp;", *")</f>
        <v>0</v>
      </c>
      <c r="AQ23" s="2">
        <f>COUNTIFS(集計用!$G21,"*, "&amp;AQ$3&amp;", *")</f>
        <v>0</v>
      </c>
      <c r="AR23" s="2">
        <f>COUNTIFS(集計用!$G21,"*, "&amp;AR$3&amp;", *")</f>
        <v>0</v>
      </c>
      <c r="AS23" s="2">
        <f>COUNTIFS(集計用!$G21,"*, "&amp;AS$3&amp;", *")</f>
        <v>0</v>
      </c>
      <c r="AT23" s="2">
        <f>COUNTIFS(集計用!$G21,"*, "&amp;AT$3&amp;", *")</f>
        <v>0</v>
      </c>
      <c r="AU23" s="2">
        <f>COUNTIFS(集計用!$G21,"*, "&amp;AU$3&amp;", *")</f>
        <v>0</v>
      </c>
      <c r="AV23" s="2">
        <f>COUNTIFS(集計用!$G21,"*, "&amp;AV$3&amp;", *")</f>
        <v>0</v>
      </c>
      <c r="AW23" s="2">
        <f>COUNTIFS(集計用!$G21,"*, "&amp;AW$3&amp;", *")</f>
        <v>0</v>
      </c>
      <c r="AX23" s="2">
        <f>COUNTIFS(集計用!$G21,"*, "&amp;AX$3&amp;", *")</f>
        <v>0</v>
      </c>
      <c r="AY23" s="2">
        <f>COUNTIFS(集計用!$G21,"*, "&amp;AY$3&amp;", *")</f>
        <v>0</v>
      </c>
      <c r="AZ23" s="2">
        <f>COUNTIFS(集計用!$G21,"*, "&amp;AZ$3&amp;", *")</f>
        <v>0</v>
      </c>
      <c r="BA23" s="2">
        <f>COUNTIFS(集計用!$G21,"*, "&amp;BA$3&amp;", *")</f>
        <v>0</v>
      </c>
      <c r="BB23" s="2">
        <f>COUNTIFS(集計用!$G21,"*, "&amp;BB$3&amp;", *")</f>
        <v>0</v>
      </c>
      <c r="BC23" s="2">
        <f>COUNTIFS(集計用!$G21,"*, "&amp;BC$3&amp;", *")</f>
        <v>0</v>
      </c>
      <c r="BD23" s="2">
        <f>COUNTIFS(集計用!$G21,"*, "&amp;BD$3&amp;", *")</f>
        <v>0</v>
      </c>
      <c r="BE23" s="2">
        <f>COUNTIFS(集計用!$G21,"*, "&amp;BE$3&amp;", *")</f>
        <v>0</v>
      </c>
      <c r="BF23" s="2">
        <f>COUNTIFS(集計用!$G21,"*, "&amp;BF$3&amp;", *")</f>
        <v>0</v>
      </c>
      <c r="BG23" s="2">
        <f>COUNTIFS(集計用!$G21,"*, "&amp;BG$3&amp;", *")</f>
        <v>0</v>
      </c>
      <c r="BH23" s="2">
        <f>COUNTIFS(集計用!$G21,"*, "&amp;BH$3&amp;", *")</f>
        <v>0</v>
      </c>
      <c r="BI23" s="2">
        <f>COUNTIFS(集計用!$G21,"*, "&amp;BI$3&amp;", *")</f>
        <v>0</v>
      </c>
      <c r="BJ23" s="2">
        <f>LEN(集計用!H21)-LEN(SUBSTITUTE(集計用!H21,",",""))</f>
        <v>0</v>
      </c>
    </row>
    <row r="24" spans="1:62" ht="12.75">
      <c r="A24" s="8">
        <v>21</v>
      </c>
      <c r="C24" s="2">
        <f t="shared" si="2"/>
        <v>8</v>
      </c>
      <c r="D24" s="9"/>
      <c r="E24" s="2">
        <f>COUNTIFS(集計用!$G22,"*, "&amp;E$3&amp;", *")</f>
        <v>1</v>
      </c>
      <c r="F24" s="2">
        <f>COUNTIFS(集計用!$G22,"*, "&amp;F$3&amp;", *")</f>
        <v>0</v>
      </c>
      <c r="G24" s="2">
        <f>COUNTIFS(集計用!$G22,"*, "&amp;G$3&amp;", *")</f>
        <v>0</v>
      </c>
      <c r="H24" s="2">
        <f>COUNTIFS(集計用!$G22,"*, "&amp;H$3&amp;", *")</f>
        <v>1</v>
      </c>
      <c r="I24" s="2">
        <f>COUNTIFS(集計用!$G22,"*, "&amp;I$3&amp;", *")</f>
        <v>0</v>
      </c>
      <c r="J24" s="2">
        <f>COUNTIFS(集計用!$G22,"*, "&amp;J$3&amp;", *")</f>
        <v>0</v>
      </c>
      <c r="K24" s="2">
        <f>COUNTIFS(集計用!$G22,"*, "&amp;K$3&amp;", *")</f>
        <v>0</v>
      </c>
      <c r="L24" s="2">
        <f>COUNTIFS(集計用!$G22,"*, "&amp;L$3&amp;", *")</f>
        <v>1</v>
      </c>
      <c r="M24" s="2">
        <f>COUNTIFS(集計用!$G22,"*, "&amp;M$3&amp;", *")</f>
        <v>0</v>
      </c>
      <c r="N24" s="2">
        <f>COUNTIFS(集計用!$G22,"*, "&amp;N$3&amp;", *")</f>
        <v>0</v>
      </c>
      <c r="O24" s="2">
        <f>COUNTIFS(集計用!$G22,"*, "&amp;O$3&amp;", *")</f>
        <v>0</v>
      </c>
      <c r="P24" s="2">
        <f>COUNTIFS(集計用!$G22,"*, "&amp;P$3&amp;", *")</f>
        <v>1</v>
      </c>
      <c r="Q24" s="2">
        <f>COUNTIFS(集計用!$G22,"*, "&amp;Q$3&amp;", *")</f>
        <v>1</v>
      </c>
      <c r="R24" s="2">
        <f>COUNTIFS(集計用!$G22,"*, "&amp;R$3&amp;", *")</f>
        <v>1</v>
      </c>
      <c r="S24" s="2">
        <f>COUNTIFS(集計用!$G22,"*, "&amp;S$3&amp;", *")</f>
        <v>0</v>
      </c>
      <c r="T24" s="2">
        <f>COUNTIFS(集計用!$G22,"*, "&amp;T$3&amp;", *")</f>
        <v>1</v>
      </c>
      <c r="U24" s="2">
        <f>COUNTIFS(集計用!$G22,"*, "&amp;U$3&amp;", *")</f>
        <v>0</v>
      </c>
      <c r="V24" s="2">
        <f>COUNTIFS(集計用!$G22,"*, "&amp;V$3&amp;", *")</f>
        <v>0</v>
      </c>
      <c r="W24" s="2">
        <f>COUNTIFS(集計用!$G22,"*, "&amp;W$3&amp;", *")</f>
        <v>0</v>
      </c>
      <c r="X24" s="2">
        <f>COUNTIFS(集計用!$G22,"*, "&amp;X$3&amp;", *")</f>
        <v>0</v>
      </c>
      <c r="Y24" s="2">
        <f>COUNTIFS(集計用!$G22,"*, "&amp;Y$3&amp;", *")</f>
        <v>0</v>
      </c>
      <c r="Z24" s="2">
        <f>COUNTIFS(集計用!$G22,"*, "&amp;Z$3&amp;", *")</f>
        <v>0</v>
      </c>
      <c r="AA24" s="2">
        <f>COUNTIFS(集計用!$G22,"*, "&amp;AA$3&amp;", *")</f>
        <v>0</v>
      </c>
      <c r="AB24" s="2">
        <f>COUNTIFS(集計用!$G22,"*, "&amp;AB$3&amp;", *")</f>
        <v>0</v>
      </c>
      <c r="AC24" s="2">
        <f>COUNTIFS(集計用!$G22,"*, "&amp;AC$3&amp;", *")</f>
        <v>0</v>
      </c>
      <c r="AD24" s="2">
        <f>COUNTIFS(集計用!$G22,"*, "&amp;AD$3&amp;", *")</f>
        <v>0</v>
      </c>
      <c r="AE24" s="2">
        <f>COUNTIFS(集計用!$G22,"*, "&amp;AE$3&amp;", *")</f>
        <v>0</v>
      </c>
      <c r="AF24" s="2">
        <f>COUNTIFS(集計用!$G22,"*, "&amp;AF$3&amp;", *")</f>
        <v>0</v>
      </c>
      <c r="AG24" s="2">
        <f>COUNTIFS(集計用!$G22,"*, "&amp;AG$3&amp;", *")</f>
        <v>0</v>
      </c>
      <c r="AH24" s="2">
        <f>COUNTIFS(集計用!$G22,"*, "&amp;AH$3&amp;", *")</f>
        <v>0</v>
      </c>
      <c r="AI24" s="2">
        <f>COUNTIFS(集計用!$G22,"*, "&amp;AI$3&amp;", *")</f>
        <v>0</v>
      </c>
      <c r="AJ24" s="2">
        <f>COUNTIFS(集計用!$G22,"*, "&amp;AJ$3&amp;", *")</f>
        <v>0</v>
      </c>
      <c r="AK24" s="2">
        <f>COUNTIFS(集計用!$G22,"*, "&amp;AK$3&amp;", *")</f>
        <v>0</v>
      </c>
      <c r="AL24" s="2">
        <f>COUNTIFS(集計用!$G22,"*, "&amp;AL$3&amp;", *")</f>
        <v>0</v>
      </c>
      <c r="AM24" s="2">
        <f>COUNTIFS(集計用!$G22,"*, "&amp;AM$3&amp;", *")</f>
        <v>0</v>
      </c>
      <c r="AN24" s="2">
        <f>COUNTIFS(集計用!$G22,"*, "&amp;AN$3&amp;", *")</f>
        <v>0</v>
      </c>
      <c r="AO24" s="2">
        <f>COUNTIFS(集計用!$G22,"*, "&amp;AO$3&amp;", *")</f>
        <v>0</v>
      </c>
      <c r="AP24" s="2">
        <f>COUNTIFS(集計用!$G22,"*, "&amp;AP$3&amp;", *")</f>
        <v>0</v>
      </c>
      <c r="AQ24" s="2">
        <f>COUNTIFS(集計用!$G22,"*, "&amp;AQ$3&amp;", *")</f>
        <v>1</v>
      </c>
      <c r="AR24" s="2">
        <f>COUNTIFS(集計用!$G22,"*, "&amp;AR$3&amp;", *")</f>
        <v>0</v>
      </c>
      <c r="AS24" s="2">
        <f>COUNTIFS(集計用!$G22,"*, "&amp;AS$3&amp;", *")</f>
        <v>0</v>
      </c>
      <c r="AT24" s="2">
        <f>COUNTIFS(集計用!$G22,"*, "&amp;AT$3&amp;", *")</f>
        <v>0</v>
      </c>
      <c r="AU24" s="2">
        <f>COUNTIFS(集計用!$G22,"*, "&amp;AU$3&amp;", *")</f>
        <v>0</v>
      </c>
      <c r="AV24" s="2">
        <f>COUNTIFS(集計用!$G22,"*, "&amp;AV$3&amp;", *")</f>
        <v>0</v>
      </c>
      <c r="AW24" s="2">
        <f>COUNTIFS(集計用!$G22,"*, "&amp;AW$3&amp;", *")</f>
        <v>0</v>
      </c>
      <c r="AX24" s="2">
        <f>COUNTIFS(集計用!$G22,"*, "&amp;AX$3&amp;", *")</f>
        <v>0</v>
      </c>
      <c r="AY24" s="2">
        <f>COUNTIFS(集計用!$G22,"*, "&amp;AY$3&amp;", *")</f>
        <v>0</v>
      </c>
      <c r="AZ24" s="2">
        <f>COUNTIFS(集計用!$G22,"*, "&amp;AZ$3&amp;", *")</f>
        <v>0</v>
      </c>
      <c r="BA24" s="2">
        <f>COUNTIFS(集計用!$G22,"*, "&amp;BA$3&amp;", *")</f>
        <v>0</v>
      </c>
      <c r="BB24" s="2">
        <f>COUNTIFS(集計用!$G22,"*, "&amp;BB$3&amp;", *")</f>
        <v>0</v>
      </c>
      <c r="BC24" s="2">
        <f>COUNTIFS(集計用!$G22,"*, "&amp;BC$3&amp;", *")</f>
        <v>0</v>
      </c>
      <c r="BD24" s="2">
        <f>COUNTIFS(集計用!$G22,"*, "&amp;BD$3&amp;", *")</f>
        <v>0</v>
      </c>
      <c r="BE24" s="2">
        <f>COUNTIFS(集計用!$G22,"*, "&amp;BE$3&amp;", *")</f>
        <v>0</v>
      </c>
      <c r="BF24" s="2">
        <f>COUNTIFS(集計用!$G22,"*, "&amp;BF$3&amp;", *")</f>
        <v>0</v>
      </c>
      <c r="BG24" s="2">
        <f>COUNTIFS(集計用!$G22,"*, "&amp;BG$3&amp;", *")</f>
        <v>0</v>
      </c>
      <c r="BH24" s="2">
        <f>COUNTIFS(集計用!$G22,"*, "&amp;BH$3&amp;", *")</f>
        <v>0</v>
      </c>
      <c r="BI24" s="2">
        <f>COUNTIFS(集計用!$G22,"*, "&amp;BI$3&amp;", *")</f>
        <v>0</v>
      </c>
      <c r="BJ24" s="2">
        <f>LEN(集計用!H22)-LEN(SUBSTITUTE(集計用!H22,",",""))</f>
        <v>0</v>
      </c>
    </row>
    <row r="25" spans="1:62" ht="12.75">
      <c r="A25" s="8">
        <v>22</v>
      </c>
      <c r="C25" s="2">
        <f t="shared" si="2"/>
        <v>3</v>
      </c>
      <c r="D25" s="9"/>
      <c r="E25" s="2">
        <f>COUNTIFS(集計用!$G23,"*, "&amp;E$3&amp;", *")</f>
        <v>1</v>
      </c>
      <c r="F25" s="2">
        <f>COUNTIFS(集計用!$G23,"*, "&amp;F$3&amp;", *")</f>
        <v>0</v>
      </c>
      <c r="G25" s="2">
        <f>COUNTIFS(集計用!$G23,"*, "&amp;G$3&amp;", *")</f>
        <v>0</v>
      </c>
      <c r="H25" s="2">
        <f>COUNTIFS(集計用!$G23,"*, "&amp;H$3&amp;", *")</f>
        <v>0</v>
      </c>
      <c r="I25" s="2">
        <f>COUNTIFS(集計用!$G23,"*, "&amp;I$3&amp;", *")</f>
        <v>0</v>
      </c>
      <c r="J25" s="2">
        <f>COUNTIFS(集計用!$G23,"*, "&amp;J$3&amp;", *")</f>
        <v>0</v>
      </c>
      <c r="K25" s="2">
        <f>COUNTIFS(集計用!$G23,"*, "&amp;K$3&amp;", *")</f>
        <v>1</v>
      </c>
      <c r="L25" s="2">
        <f>COUNTIFS(集計用!$G23,"*, "&amp;L$3&amp;", *")</f>
        <v>0</v>
      </c>
      <c r="M25" s="2">
        <f>COUNTIFS(集計用!$G23,"*, "&amp;M$3&amp;", *")</f>
        <v>0</v>
      </c>
      <c r="N25" s="2">
        <f>COUNTIFS(集計用!$G23,"*, "&amp;N$3&amp;", *")</f>
        <v>0</v>
      </c>
      <c r="O25" s="2">
        <f>COUNTIFS(集計用!$G23,"*, "&amp;O$3&amp;", *")</f>
        <v>0</v>
      </c>
      <c r="P25" s="2">
        <f>COUNTIFS(集計用!$G23,"*, "&amp;P$3&amp;", *")</f>
        <v>0</v>
      </c>
      <c r="Q25" s="2">
        <f>COUNTIFS(集計用!$G23,"*, "&amp;Q$3&amp;", *")</f>
        <v>0</v>
      </c>
      <c r="R25" s="2">
        <f>COUNTIFS(集計用!$G23,"*, "&amp;R$3&amp;", *")</f>
        <v>0</v>
      </c>
      <c r="S25" s="2">
        <f>COUNTIFS(集計用!$G23,"*, "&amp;S$3&amp;", *")</f>
        <v>0</v>
      </c>
      <c r="T25" s="2">
        <f>COUNTIFS(集計用!$G23,"*, "&amp;T$3&amp;", *")</f>
        <v>0</v>
      </c>
      <c r="U25" s="2">
        <f>COUNTIFS(集計用!$G23,"*, "&amp;U$3&amp;", *")</f>
        <v>0</v>
      </c>
      <c r="V25" s="2">
        <f>COUNTIFS(集計用!$G23,"*, "&amp;V$3&amp;", *")</f>
        <v>0</v>
      </c>
      <c r="W25" s="2">
        <f>COUNTIFS(集計用!$G23,"*, "&amp;W$3&amp;", *")</f>
        <v>0</v>
      </c>
      <c r="X25" s="2">
        <f>COUNTIFS(集計用!$G23,"*, "&amp;X$3&amp;", *")</f>
        <v>0</v>
      </c>
      <c r="Y25" s="2">
        <f>COUNTIFS(集計用!$G23,"*, "&amp;Y$3&amp;", *")</f>
        <v>0</v>
      </c>
      <c r="Z25" s="2">
        <f>COUNTIFS(集計用!$G23,"*, "&amp;Z$3&amp;", *")</f>
        <v>0</v>
      </c>
      <c r="AA25" s="2">
        <f>COUNTIFS(集計用!$G23,"*, "&amp;AA$3&amp;", *")</f>
        <v>0</v>
      </c>
      <c r="AB25" s="2">
        <f>COUNTIFS(集計用!$G23,"*, "&amp;AB$3&amp;", *")</f>
        <v>0</v>
      </c>
      <c r="AC25" s="2">
        <f>COUNTIFS(集計用!$G23,"*, "&amp;AC$3&amp;", *")</f>
        <v>1</v>
      </c>
      <c r="AD25" s="2">
        <f>COUNTIFS(集計用!$G23,"*, "&amp;AD$3&amp;", *")</f>
        <v>0</v>
      </c>
      <c r="AE25" s="2">
        <f>COUNTIFS(集計用!$G23,"*, "&amp;AE$3&amp;", *")</f>
        <v>0</v>
      </c>
      <c r="AF25" s="2">
        <f>COUNTIFS(集計用!$G23,"*, "&amp;AF$3&amp;", *")</f>
        <v>0</v>
      </c>
      <c r="AG25" s="2">
        <f>COUNTIFS(集計用!$G23,"*, "&amp;AG$3&amp;", *")</f>
        <v>0</v>
      </c>
      <c r="AH25" s="2">
        <f>COUNTIFS(集計用!$G23,"*, "&amp;AH$3&amp;", *")</f>
        <v>0</v>
      </c>
      <c r="AI25" s="2">
        <f>COUNTIFS(集計用!$G23,"*, "&amp;AI$3&amp;", *")</f>
        <v>0</v>
      </c>
      <c r="AJ25" s="2">
        <f>COUNTIFS(集計用!$G23,"*, "&amp;AJ$3&amp;", *")</f>
        <v>0</v>
      </c>
      <c r="AK25" s="2">
        <f>COUNTIFS(集計用!$G23,"*, "&amp;AK$3&amp;", *")</f>
        <v>0</v>
      </c>
      <c r="AL25" s="2">
        <f>COUNTIFS(集計用!$G23,"*, "&amp;AL$3&amp;", *")</f>
        <v>0</v>
      </c>
      <c r="AM25" s="2">
        <f>COUNTIFS(集計用!$G23,"*, "&amp;AM$3&amp;", *")</f>
        <v>0</v>
      </c>
      <c r="AN25" s="2">
        <f>COUNTIFS(集計用!$G23,"*, "&amp;AN$3&amp;", *")</f>
        <v>0</v>
      </c>
      <c r="AO25" s="2">
        <f>COUNTIFS(集計用!$G23,"*, "&amp;AO$3&amp;", *")</f>
        <v>0</v>
      </c>
      <c r="AP25" s="2">
        <f>COUNTIFS(集計用!$G23,"*, "&amp;AP$3&amp;", *")</f>
        <v>0</v>
      </c>
      <c r="AQ25" s="2">
        <f>COUNTIFS(集計用!$G23,"*, "&amp;AQ$3&amp;", *")</f>
        <v>0</v>
      </c>
      <c r="AR25" s="2">
        <f>COUNTIFS(集計用!$G23,"*, "&amp;AR$3&amp;", *")</f>
        <v>0</v>
      </c>
      <c r="AS25" s="2">
        <f>COUNTIFS(集計用!$G23,"*, "&amp;AS$3&amp;", *")</f>
        <v>0</v>
      </c>
      <c r="AT25" s="2">
        <f>COUNTIFS(集計用!$G23,"*, "&amp;AT$3&amp;", *")</f>
        <v>0</v>
      </c>
      <c r="AU25" s="2">
        <f>COUNTIFS(集計用!$G23,"*, "&amp;AU$3&amp;", *")</f>
        <v>0</v>
      </c>
      <c r="AV25" s="2">
        <f>COUNTIFS(集計用!$G23,"*, "&amp;AV$3&amp;", *")</f>
        <v>0</v>
      </c>
      <c r="AW25" s="2">
        <f>COUNTIFS(集計用!$G23,"*, "&amp;AW$3&amp;", *")</f>
        <v>0</v>
      </c>
      <c r="AX25" s="2">
        <f>COUNTIFS(集計用!$G23,"*, "&amp;AX$3&amp;", *")</f>
        <v>0</v>
      </c>
      <c r="AY25" s="2">
        <f>COUNTIFS(集計用!$G23,"*, "&amp;AY$3&amp;", *")</f>
        <v>0</v>
      </c>
      <c r="AZ25" s="2">
        <f>COUNTIFS(集計用!$G23,"*, "&amp;AZ$3&amp;", *")</f>
        <v>0</v>
      </c>
      <c r="BA25" s="2">
        <f>COUNTIFS(集計用!$G23,"*, "&amp;BA$3&amp;", *")</f>
        <v>0</v>
      </c>
      <c r="BB25" s="2">
        <f>COUNTIFS(集計用!$G23,"*, "&amp;BB$3&amp;", *")</f>
        <v>0</v>
      </c>
      <c r="BC25" s="2">
        <f>COUNTIFS(集計用!$G23,"*, "&amp;BC$3&amp;", *")</f>
        <v>0</v>
      </c>
      <c r="BD25" s="2">
        <f>COUNTIFS(集計用!$G23,"*, "&amp;BD$3&amp;", *")</f>
        <v>0</v>
      </c>
      <c r="BE25" s="2">
        <f>COUNTIFS(集計用!$G23,"*, "&amp;BE$3&amp;", *")</f>
        <v>0</v>
      </c>
      <c r="BF25" s="2">
        <f>COUNTIFS(集計用!$G23,"*, "&amp;BF$3&amp;", *")</f>
        <v>0</v>
      </c>
      <c r="BG25" s="2">
        <f>COUNTIFS(集計用!$G23,"*, "&amp;BG$3&amp;", *")</f>
        <v>0</v>
      </c>
      <c r="BH25" s="2">
        <f>COUNTIFS(集計用!$G23,"*, "&amp;BH$3&amp;", *")</f>
        <v>0</v>
      </c>
      <c r="BI25" s="2">
        <f>COUNTIFS(集計用!$G23,"*, "&amp;BI$3&amp;", *")</f>
        <v>0</v>
      </c>
      <c r="BJ25" s="2">
        <f>LEN(集計用!H23)-LEN(SUBSTITUTE(集計用!H23,",",""))</f>
        <v>0</v>
      </c>
    </row>
    <row r="26" spans="1:62" ht="12.75">
      <c r="A26" s="8">
        <v>23</v>
      </c>
      <c r="C26" s="2">
        <f t="shared" si="2"/>
        <v>14</v>
      </c>
      <c r="D26" s="9"/>
      <c r="E26" s="2">
        <f>COUNTIFS(集計用!$G24,"*, "&amp;E$3&amp;", *")</f>
        <v>0</v>
      </c>
      <c r="F26" s="2">
        <f>COUNTIFS(集計用!$G24,"*, "&amp;F$3&amp;", *")</f>
        <v>0</v>
      </c>
      <c r="G26" s="2">
        <f>COUNTIFS(集計用!$G24,"*, "&amp;G$3&amp;", *")</f>
        <v>0</v>
      </c>
      <c r="H26" s="2">
        <f>COUNTIFS(集計用!$G24,"*, "&amp;H$3&amp;", *")</f>
        <v>0</v>
      </c>
      <c r="I26" s="2">
        <f>COUNTIFS(集計用!$G24,"*, "&amp;I$3&amp;", *")</f>
        <v>0</v>
      </c>
      <c r="J26" s="2">
        <f>COUNTIFS(集計用!$G24,"*, "&amp;J$3&amp;", *")</f>
        <v>0</v>
      </c>
      <c r="K26" s="2">
        <f>COUNTIFS(集計用!$G24,"*, "&amp;K$3&amp;", *")</f>
        <v>0</v>
      </c>
      <c r="L26" s="2">
        <f>COUNTIFS(集計用!$G24,"*, "&amp;L$3&amp;", *")</f>
        <v>0</v>
      </c>
      <c r="M26" s="2">
        <f>COUNTIFS(集計用!$G24,"*, "&amp;M$3&amp;", *")</f>
        <v>0</v>
      </c>
      <c r="N26" s="2">
        <f>COUNTIFS(集計用!$G24,"*, "&amp;N$3&amp;", *")</f>
        <v>0</v>
      </c>
      <c r="O26" s="2">
        <f>COUNTIFS(集計用!$G24,"*, "&amp;O$3&amp;", *")</f>
        <v>0</v>
      </c>
      <c r="P26" s="2">
        <f>COUNTIFS(集計用!$G24,"*, "&amp;P$3&amp;", *")</f>
        <v>0</v>
      </c>
      <c r="Q26" s="2">
        <f>COUNTIFS(集計用!$G24,"*, "&amp;Q$3&amp;", *")</f>
        <v>1</v>
      </c>
      <c r="R26" s="2">
        <f>COUNTIFS(集計用!$G24,"*, "&amp;R$3&amp;", *")</f>
        <v>0</v>
      </c>
      <c r="S26" s="2">
        <f>COUNTIFS(集計用!$G24,"*, "&amp;S$3&amp;", *")</f>
        <v>0</v>
      </c>
      <c r="T26" s="2">
        <f>COUNTIFS(集計用!$G24,"*, "&amp;T$3&amp;", *")</f>
        <v>1</v>
      </c>
      <c r="U26" s="2">
        <f>COUNTIFS(集計用!$G24,"*, "&amp;U$3&amp;", *")</f>
        <v>0</v>
      </c>
      <c r="V26" s="2">
        <f>COUNTIFS(集計用!$G24,"*, "&amp;V$3&amp;", *")</f>
        <v>1</v>
      </c>
      <c r="W26" s="2">
        <f>COUNTIFS(集計用!$G24,"*, "&amp;W$3&amp;", *")</f>
        <v>0</v>
      </c>
      <c r="X26" s="2">
        <f>COUNTIFS(集計用!$G24,"*, "&amp;X$3&amp;", *")</f>
        <v>0</v>
      </c>
      <c r="Y26" s="2">
        <f>COUNTIFS(集計用!$G24,"*, "&amp;Y$3&amp;", *")</f>
        <v>0</v>
      </c>
      <c r="Z26" s="2">
        <f>COUNTIFS(集計用!$G24,"*, "&amp;Z$3&amp;", *")</f>
        <v>1</v>
      </c>
      <c r="AA26" s="2">
        <f>COUNTIFS(集計用!$G24,"*, "&amp;AA$3&amp;", *")</f>
        <v>1</v>
      </c>
      <c r="AB26" s="2">
        <f>COUNTIFS(集計用!$G24,"*, "&amp;AB$3&amp;", *")</f>
        <v>1</v>
      </c>
      <c r="AC26" s="2">
        <f>COUNTIFS(集計用!$G24,"*, "&amp;AC$3&amp;", *")</f>
        <v>0</v>
      </c>
      <c r="AD26" s="2">
        <f>COUNTIFS(集計用!$G24,"*, "&amp;AD$3&amp;", *")</f>
        <v>0</v>
      </c>
      <c r="AE26" s="2">
        <f>COUNTIFS(集計用!$G24,"*, "&amp;AE$3&amp;", *")</f>
        <v>0</v>
      </c>
      <c r="AF26" s="2">
        <f>COUNTIFS(集計用!$G24,"*, "&amp;AF$3&amp;", *")</f>
        <v>0</v>
      </c>
      <c r="AG26" s="2">
        <f>COUNTIFS(集計用!$G24,"*, "&amp;AG$3&amp;", *")</f>
        <v>0</v>
      </c>
      <c r="AH26" s="2">
        <f>COUNTIFS(集計用!$G24,"*, "&amp;AH$3&amp;", *")</f>
        <v>0</v>
      </c>
      <c r="AI26" s="2">
        <f>COUNTIFS(集計用!$G24,"*, "&amp;AI$3&amp;", *")</f>
        <v>0</v>
      </c>
      <c r="AJ26" s="2">
        <f>COUNTIFS(集計用!$G24,"*, "&amp;AJ$3&amp;", *")</f>
        <v>0</v>
      </c>
      <c r="AK26" s="2">
        <f>COUNTIFS(集計用!$G24,"*, "&amp;AK$3&amp;", *")</f>
        <v>0</v>
      </c>
      <c r="AL26" s="2">
        <f>COUNTIFS(集計用!$G24,"*, "&amp;AL$3&amp;", *")</f>
        <v>0</v>
      </c>
      <c r="AM26" s="2">
        <f>COUNTIFS(集計用!$G24,"*, "&amp;AM$3&amp;", *")</f>
        <v>1</v>
      </c>
      <c r="AN26" s="2">
        <f>COUNTIFS(集計用!$G24,"*, "&amp;AN$3&amp;", *")</f>
        <v>0</v>
      </c>
      <c r="AO26" s="2">
        <f>COUNTIFS(集計用!$G24,"*, "&amp;AO$3&amp;", *")</f>
        <v>0</v>
      </c>
      <c r="AP26" s="2">
        <f>COUNTIFS(集計用!$G24,"*, "&amp;AP$3&amp;", *")</f>
        <v>0</v>
      </c>
      <c r="AQ26" s="2">
        <f>COUNTIFS(集計用!$G24,"*, "&amp;AQ$3&amp;", *")</f>
        <v>0</v>
      </c>
      <c r="AR26" s="2">
        <f>COUNTIFS(集計用!$G24,"*, "&amp;AR$3&amp;", *")</f>
        <v>0</v>
      </c>
      <c r="AS26" s="2">
        <f>COUNTIFS(集計用!$G24,"*, "&amp;AS$3&amp;", *")</f>
        <v>0</v>
      </c>
      <c r="AT26" s="2">
        <f>COUNTIFS(集計用!$G24,"*, "&amp;AT$3&amp;", *")</f>
        <v>0</v>
      </c>
      <c r="AU26" s="2">
        <f>COUNTIFS(集計用!$G24,"*, "&amp;AU$3&amp;", *")</f>
        <v>0</v>
      </c>
      <c r="AV26" s="2">
        <f>COUNTIFS(集計用!$G24,"*, "&amp;AV$3&amp;", *")</f>
        <v>0</v>
      </c>
      <c r="AW26" s="2">
        <f>COUNTIFS(集計用!$G24,"*, "&amp;AW$3&amp;", *")</f>
        <v>1</v>
      </c>
      <c r="AX26" s="2">
        <f>COUNTIFS(集計用!$G24,"*, "&amp;AX$3&amp;", *")</f>
        <v>1</v>
      </c>
      <c r="AY26" s="2">
        <f>COUNTIFS(集計用!$G24,"*, "&amp;AY$3&amp;", *")</f>
        <v>0</v>
      </c>
      <c r="AZ26" s="2">
        <f>COUNTIFS(集計用!$G24,"*, "&amp;AZ$3&amp;", *")</f>
        <v>1</v>
      </c>
      <c r="BA26" s="2">
        <f>COUNTIFS(集計用!$G24,"*, "&amp;BA$3&amp;", *")</f>
        <v>0</v>
      </c>
      <c r="BB26" s="2">
        <f>COUNTIFS(集計用!$G24,"*, "&amp;BB$3&amp;", *")</f>
        <v>0</v>
      </c>
      <c r="BC26" s="2">
        <f>COUNTIFS(集計用!$G24,"*, "&amp;BC$3&amp;", *")</f>
        <v>0</v>
      </c>
      <c r="BD26" s="2">
        <f>COUNTIFS(集計用!$G24,"*, "&amp;BD$3&amp;", *")</f>
        <v>0</v>
      </c>
      <c r="BE26" s="2">
        <f>COUNTIFS(集計用!$G24,"*, "&amp;BE$3&amp;", *")</f>
        <v>0</v>
      </c>
      <c r="BF26" s="2">
        <f>COUNTIFS(集計用!$G24,"*, "&amp;BF$3&amp;", *")</f>
        <v>0</v>
      </c>
      <c r="BG26" s="2">
        <f>COUNTIFS(集計用!$G24,"*, "&amp;BG$3&amp;", *")</f>
        <v>0</v>
      </c>
      <c r="BH26" s="2">
        <f>COUNTIFS(集計用!$G24,"*, "&amp;BH$3&amp;", *")</f>
        <v>0</v>
      </c>
      <c r="BI26" s="2">
        <f>COUNTIFS(集計用!$G24,"*, "&amp;BI$3&amp;", *")</f>
        <v>0</v>
      </c>
      <c r="BJ26" s="2">
        <f>LEN(集計用!H24)-LEN(SUBSTITUTE(集計用!H24,",",""))</f>
        <v>4</v>
      </c>
    </row>
    <row r="27" spans="1:62" ht="12.75">
      <c r="A27" s="8">
        <v>24</v>
      </c>
      <c r="C27" s="2">
        <f t="shared" si="2"/>
        <v>4</v>
      </c>
      <c r="D27" s="9"/>
      <c r="E27" s="2">
        <f>COUNTIFS(集計用!$G25,"*, "&amp;E$3&amp;", *")</f>
        <v>1</v>
      </c>
      <c r="F27" s="2">
        <f>COUNTIFS(集計用!$G25,"*, "&amp;F$3&amp;", *")</f>
        <v>0</v>
      </c>
      <c r="G27" s="2">
        <f>COUNTIFS(集計用!$G25,"*, "&amp;G$3&amp;", *")</f>
        <v>0</v>
      </c>
      <c r="H27" s="2">
        <f>COUNTIFS(集計用!$G25,"*, "&amp;H$3&amp;", *")</f>
        <v>1</v>
      </c>
      <c r="I27" s="2">
        <f>COUNTIFS(集計用!$G25,"*, "&amp;I$3&amp;", *")</f>
        <v>0</v>
      </c>
      <c r="J27" s="2">
        <f>COUNTIFS(集計用!$G25,"*, "&amp;J$3&amp;", *")</f>
        <v>0</v>
      </c>
      <c r="K27" s="2">
        <f>COUNTIFS(集計用!$G25,"*, "&amp;K$3&amp;", *")</f>
        <v>0</v>
      </c>
      <c r="L27" s="2">
        <f>COUNTIFS(集計用!$G25,"*, "&amp;L$3&amp;", *")</f>
        <v>0</v>
      </c>
      <c r="M27" s="2">
        <f>COUNTIFS(集計用!$G25,"*, "&amp;M$3&amp;", *")</f>
        <v>0</v>
      </c>
      <c r="N27" s="2">
        <f>COUNTIFS(集計用!$G25,"*, "&amp;N$3&amp;", *")</f>
        <v>0</v>
      </c>
      <c r="O27" s="2">
        <f>COUNTIFS(集計用!$G25,"*, "&amp;O$3&amp;", *")</f>
        <v>0</v>
      </c>
      <c r="P27" s="2">
        <f>COUNTIFS(集計用!$G25,"*, "&amp;P$3&amp;", *")</f>
        <v>0</v>
      </c>
      <c r="Q27" s="2">
        <f>COUNTIFS(集計用!$G25,"*, "&amp;Q$3&amp;", *")</f>
        <v>0</v>
      </c>
      <c r="R27" s="2">
        <f>COUNTIFS(集計用!$G25,"*, "&amp;R$3&amp;", *")</f>
        <v>1</v>
      </c>
      <c r="S27" s="2">
        <f>COUNTIFS(集計用!$G25,"*, "&amp;S$3&amp;", *")</f>
        <v>0</v>
      </c>
      <c r="T27" s="2">
        <f>COUNTIFS(集計用!$G25,"*, "&amp;T$3&amp;", *")</f>
        <v>0</v>
      </c>
      <c r="U27" s="2">
        <f>COUNTIFS(集計用!$G25,"*, "&amp;U$3&amp;", *")</f>
        <v>0</v>
      </c>
      <c r="V27" s="2">
        <f>COUNTIFS(集計用!$G25,"*, "&amp;V$3&amp;", *")</f>
        <v>0</v>
      </c>
      <c r="W27" s="2">
        <f>COUNTIFS(集計用!$G25,"*, "&amp;W$3&amp;", *")</f>
        <v>0</v>
      </c>
      <c r="X27" s="2">
        <f>COUNTIFS(集計用!$G25,"*, "&amp;X$3&amp;", *")</f>
        <v>0</v>
      </c>
      <c r="Y27" s="2">
        <f>COUNTIFS(集計用!$G25,"*, "&amp;Y$3&amp;", *")</f>
        <v>0</v>
      </c>
      <c r="Z27" s="2">
        <f>COUNTIFS(集計用!$G25,"*, "&amp;Z$3&amp;", *")</f>
        <v>0</v>
      </c>
      <c r="AA27" s="2">
        <f>COUNTIFS(集計用!$G25,"*, "&amp;AA$3&amp;", *")</f>
        <v>0</v>
      </c>
      <c r="AB27" s="2">
        <f>COUNTIFS(集計用!$G25,"*, "&amp;AB$3&amp;", *")</f>
        <v>0</v>
      </c>
      <c r="AC27" s="2">
        <f>COUNTIFS(集計用!$G25,"*, "&amp;AC$3&amp;", *")</f>
        <v>1</v>
      </c>
      <c r="AD27" s="2">
        <f>COUNTIFS(集計用!$G25,"*, "&amp;AD$3&amp;", *")</f>
        <v>0</v>
      </c>
      <c r="AE27" s="2">
        <f>COUNTIFS(集計用!$G25,"*, "&amp;AE$3&amp;", *")</f>
        <v>0</v>
      </c>
      <c r="AF27" s="2">
        <f>COUNTIFS(集計用!$G25,"*, "&amp;AF$3&amp;", *")</f>
        <v>0</v>
      </c>
      <c r="AG27" s="2">
        <f>COUNTIFS(集計用!$G25,"*, "&amp;AG$3&amp;", *")</f>
        <v>0</v>
      </c>
      <c r="AH27" s="2">
        <f>COUNTIFS(集計用!$G25,"*, "&amp;AH$3&amp;", *")</f>
        <v>0</v>
      </c>
      <c r="AI27" s="2">
        <f>COUNTIFS(集計用!$G25,"*, "&amp;AI$3&amp;", *")</f>
        <v>0</v>
      </c>
      <c r="AJ27" s="2">
        <f>COUNTIFS(集計用!$G25,"*, "&amp;AJ$3&amp;", *")</f>
        <v>0</v>
      </c>
      <c r="AK27" s="2">
        <f>COUNTIFS(集計用!$G25,"*, "&amp;AK$3&amp;", *")</f>
        <v>0</v>
      </c>
      <c r="AL27" s="2">
        <f>COUNTIFS(集計用!$G25,"*, "&amp;AL$3&amp;", *")</f>
        <v>0</v>
      </c>
      <c r="AM27" s="2">
        <f>COUNTIFS(集計用!$G25,"*, "&amp;AM$3&amp;", *")</f>
        <v>0</v>
      </c>
      <c r="AN27" s="2">
        <f>COUNTIFS(集計用!$G25,"*, "&amp;AN$3&amp;", *")</f>
        <v>0</v>
      </c>
      <c r="AO27" s="2">
        <f>COUNTIFS(集計用!$G25,"*, "&amp;AO$3&amp;", *")</f>
        <v>0</v>
      </c>
      <c r="AP27" s="2">
        <f>COUNTIFS(集計用!$G25,"*, "&amp;AP$3&amp;", *")</f>
        <v>0</v>
      </c>
      <c r="AQ27" s="2">
        <f>COUNTIFS(集計用!$G25,"*, "&amp;AQ$3&amp;", *")</f>
        <v>0</v>
      </c>
      <c r="AR27" s="2">
        <f>COUNTIFS(集計用!$G25,"*, "&amp;AR$3&amp;", *")</f>
        <v>0</v>
      </c>
      <c r="AS27" s="2">
        <f>COUNTIFS(集計用!$G25,"*, "&amp;AS$3&amp;", *")</f>
        <v>0</v>
      </c>
      <c r="AT27" s="2">
        <f>COUNTIFS(集計用!$G25,"*, "&amp;AT$3&amp;", *")</f>
        <v>0</v>
      </c>
      <c r="AU27" s="2">
        <f>COUNTIFS(集計用!$G25,"*, "&amp;AU$3&amp;", *")</f>
        <v>0</v>
      </c>
      <c r="AV27" s="2">
        <f>COUNTIFS(集計用!$G25,"*, "&amp;AV$3&amp;", *")</f>
        <v>0</v>
      </c>
      <c r="AW27" s="2">
        <f>COUNTIFS(集計用!$G25,"*, "&amp;AW$3&amp;", *")</f>
        <v>0</v>
      </c>
      <c r="AX27" s="2">
        <f>COUNTIFS(集計用!$G25,"*, "&amp;AX$3&amp;", *")</f>
        <v>0</v>
      </c>
      <c r="AY27" s="2">
        <f>COUNTIFS(集計用!$G25,"*, "&amp;AY$3&amp;", *")</f>
        <v>0</v>
      </c>
      <c r="AZ27" s="2">
        <f>COUNTIFS(集計用!$G25,"*, "&amp;AZ$3&amp;", *")</f>
        <v>0</v>
      </c>
      <c r="BA27" s="2">
        <f>COUNTIFS(集計用!$G25,"*, "&amp;BA$3&amp;", *")</f>
        <v>0</v>
      </c>
      <c r="BB27" s="2">
        <f>COUNTIFS(集計用!$G25,"*, "&amp;BB$3&amp;", *")</f>
        <v>0</v>
      </c>
      <c r="BC27" s="2">
        <f>COUNTIFS(集計用!$G25,"*, "&amp;BC$3&amp;", *")</f>
        <v>0</v>
      </c>
      <c r="BD27" s="2">
        <f>COUNTIFS(集計用!$G25,"*, "&amp;BD$3&amp;", *")</f>
        <v>0</v>
      </c>
      <c r="BE27" s="2">
        <f>COUNTIFS(集計用!$G25,"*, "&amp;BE$3&amp;", *")</f>
        <v>0</v>
      </c>
      <c r="BF27" s="2">
        <f>COUNTIFS(集計用!$G25,"*, "&amp;BF$3&amp;", *")</f>
        <v>0</v>
      </c>
      <c r="BG27" s="2">
        <f>COUNTIFS(集計用!$G25,"*, "&amp;BG$3&amp;", *")</f>
        <v>0</v>
      </c>
      <c r="BH27" s="2">
        <f>COUNTIFS(集計用!$G25,"*, "&amp;BH$3&amp;", *")</f>
        <v>0</v>
      </c>
      <c r="BI27" s="2">
        <f>COUNTIFS(集計用!$G25,"*, "&amp;BI$3&amp;", *")</f>
        <v>0</v>
      </c>
      <c r="BJ27" s="2">
        <f>LEN(集計用!H25)-LEN(SUBSTITUTE(集計用!H25,",",""))</f>
        <v>0</v>
      </c>
    </row>
    <row r="28" spans="1:62" ht="12.75">
      <c r="A28" s="8">
        <v>25</v>
      </c>
      <c r="C28" s="2">
        <f t="shared" si="2"/>
        <v>6</v>
      </c>
      <c r="D28" s="9"/>
      <c r="E28" s="2">
        <f>COUNTIFS(集計用!$G26,"*, "&amp;E$3&amp;", *")</f>
        <v>1</v>
      </c>
      <c r="F28" s="2">
        <f>COUNTIFS(集計用!$G26,"*, "&amp;F$3&amp;", *")</f>
        <v>1</v>
      </c>
      <c r="G28" s="2">
        <f>COUNTIFS(集計用!$G26,"*, "&amp;G$3&amp;", *")</f>
        <v>0</v>
      </c>
      <c r="H28" s="2">
        <f>COUNTIFS(集計用!$G26,"*, "&amp;H$3&amp;", *")</f>
        <v>0</v>
      </c>
      <c r="I28" s="2">
        <f>COUNTIFS(集計用!$G26,"*, "&amp;I$3&amp;", *")</f>
        <v>0</v>
      </c>
      <c r="J28" s="2">
        <f>COUNTIFS(集計用!$G26,"*, "&amp;J$3&amp;", *")</f>
        <v>1</v>
      </c>
      <c r="K28" s="2">
        <f>COUNTIFS(集計用!$G26,"*, "&amp;K$3&amp;", *")</f>
        <v>1</v>
      </c>
      <c r="L28" s="2">
        <f>COUNTIFS(集計用!$G26,"*, "&amp;L$3&amp;", *")</f>
        <v>0</v>
      </c>
      <c r="M28" s="2">
        <f>COUNTIFS(集計用!$G26,"*, "&amp;M$3&amp;", *")</f>
        <v>1</v>
      </c>
      <c r="N28" s="2">
        <f>COUNTIFS(集計用!$G26,"*, "&amp;N$3&amp;", *")</f>
        <v>0</v>
      </c>
      <c r="O28" s="2">
        <f>COUNTIFS(集計用!$G26,"*, "&amp;O$3&amp;", *")</f>
        <v>1</v>
      </c>
      <c r="P28" s="2">
        <f>COUNTIFS(集計用!$G26,"*, "&amp;P$3&amp;", *")</f>
        <v>0</v>
      </c>
      <c r="Q28" s="2">
        <f>COUNTIFS(集計用!$G26,"*, "&amp;Q$3&amp;", *")</f>
        <v>0</v>
      </c>
      <c r="R28" s="2">
        <f>COUNTIFS(集計用!$G26,"*, "&amp;R$3&amp;", *")</f>
        <v>0</v>
      </c>
      <c r="S28" s="2">
        <f>COUNTIFS(集計用!$G26,"*, "&amp;S$3&amp;", *")</f>
        <v>0</v>
      </c>
      <c r="T28" s="2">
        <f>COUNTIFS(集計用!$G26,"*, "&amp;T$3&amp;", *")</f>
        <v>0</v>
      </c>
      <c r="U28" s="2">
        <f>COUNTIFS(集計用!$G26,"*, "&amp;U$3&amp;", *")</f>
        <v>0</v>
      </c>
      <c r="V28" s="2">
        <f>COUNTIFS(集計用!$G26,"*, "&amp;V$3&amp;", *")</f>
        <v>0</v>
      </c>
      <c r="W28" s="2">
        <f>COUNTIFS(集計用!$G26,"*, "&amp;W$3&amp;", *")</f>
        <v>0</v>
      </c>
      <c r="X28" s="2">
        <f>COUNTIFS(集計用!$G26,"*, "&amp;X$3&amp;", *")</f>
        <v>0</v>
      </c>
      <c r="Y28" s="2">
        <f>COUNTIFS(集計用!$G26,"*, "&amp;Y$3&amp;", *")</f>
        <v>0</v>
      </c>
      <c r="Z28" s="2">
        <f>COUNTIFS(集計用!$G26,"*, "&amp;Z$3&amp;", *")</f>
        <v>0</v>
      </c>
      <c r="AA28" s="2">
        <f>COUNTIFS(集計用!$G26,"*, "&amp;AA$3&amp;", *")</f>
        <v>0</v>
      </c>
      <c r="AB28" s="2">
        <f>COUNTIFS(集計用!$G26,"*, "&amp;AB$3&amp;", *")</f>
        <v>0</v>
      </c>
      <c r="AC28" s="2">
        <f>COUNTIFS(集計用!$G26,"*, "&amp;AC$3&amp;", *")</f>
        <v>0</v>
      </c>
      <c r="AD28" s="2">
        <f>COUNTIFS(集計用!$G26,"*, "&amp;AD$3&amp;", *")</f>
        <v>0</v>
      </c>
      <c r="AE28" s="2">
        <f>COUNTIFS(集計用!$G26,"*, "&amp;AE$3&amp;", *")</f>
        <v>0</v>
      </c>
      <c r="AF28" s="2">
        <f>COUNTIFS(集計用!$G26,"*, "&amp;AF$3&amp;", *")</f>
        <v>0</v>
      </c>
      <c r="AG28" s="2">
        <f>COUNTIFS(集計用!$G26,"*, "&amp;AG$3&amp;", *")</f>
        <v>0</v>
      </c>
      <c r="AH28" s="2">
        <f>COUNTIFS(集計用!$G26,"*, "&amp;AH$3&amp;", *")</f>
        <v>0</v>
      </c>
      <c r="AI28" s="2">
        <f>COUNTIFS(集計用!$G26,"*, "&amp;AI$3&amp;", *")</f>
        <v>0</v>
      </c>
      <c r="AJ28" s="2">
        <f>COUNTIFS(集計用!$G26,"*, "&amp;AJ$3&amp;", *")</f>
        <v>0</v>
      </c>
      <c r="AK28" s="2">
        <f>COUNTIFS(集計用!$G26,"*, "&amp;AK$3&amp;", *")</f>
        <v>0</v>
      </c>
      <c r="AL28" s="2">
        <f>COUNTIFS(集計用!$G26,"*, "&amp;AL$3&amp;", *")</f>
        <v>0</v>
      </c>
      <c r="AM28" s="2">
        <f>COUNTIFS(集計用!$G26,"*, "&amp;AM$3&amp;", *")</f>
        <v>0</v>
      </c>
      <c r="AN28" s="2">
        <f>COUNTIFS(集計用!$G26,"*, "&amp;AN$3&amp;", *")</f>
        <v>0</v>
      </c>
      <c r="AO28" s="2">
        <f>COUNTIFS(集計用!$G26,"*, "&amp;AO$3&amp;", *")</f>
        <v>0</v>
      </c>
      <c r="AP28" s="2">
        <f>COUNTIFS(集計用!$G26,"*, "&amp;AP$3&amp;", *")</f>
        <v>0</v>
      </c>
      <c r="AQ28" s="2">
        <f>COUNTIFS(集計用!$G26,"*, "&amp;AQ$3&amp;", *")</f>
        <v>0</v>
      </c>
      <c r="AR28" s="2">
        <f>COUNTIFS(集計用!$G26,"*, "&amp;AR$3&amp;", *")</f>
        <v>0</v>
      </c>
      <c r="AS28" s="2">
        <f>COUNTIFS(集計用!$G26,"*, "&amp;AS$3&amp;", *")</f>
        <v>0</v>
      </c>
      <c r="AT28" s="2">
        <f>COUNTIFS(集計用!$G26,"*, "&amp;AT$3&amp;", *")</f>
        <v>0</v>
      </c>
      <c r="AU28" s="2">
        <f>COUNTIFS(集計用!$G26,"*, "&amp;AU$3&amp;", *")</f>
        <v>0</v>
      </c>
      <c r="AV28" s="2">
        <f>COUNTIFS(集計用!$G26,"*, "&amp;AV$3&amp;", *")</f>
        <v>0</v>
      </c>
      <c r="AW28" s="2">
        <f>COUNTIFS(集計用!$G26,"*, "&amp;AW$3&amp;", *")</f>
        <v>0</v>
      </c>
      <c r="AX28" s="2">
        <f>COUNTIFS(集計用!$G26,"*, "&amp;AX$3&amp;", *")</f>
        <v>0</v>
      </c>
      <c r="AY28" s="2">
        <f>COUNTIFS(集計用!$G26,"*, "&amp;AY$3&amp;", *")</f>
        <v>0</v>
      </c>
      <c r="AZ28" s="2">
        <f>COUNTIFS(集計用!$G26,"*, "&amp;AZ$3&amp;", *")</f>
        <v>0</v>
      </c>
      <c r="BA28" s="2">
        <f>COUNTIFS(集計用!$G26,"*, "&amp;BA$3&amp;", *")</f>
        <v>0</v>
      </c>
      <c r="BB28" s="2">
        <f>COUNTIFS(集計用!$G26,"*, "&amp;BB$3&amp;", *")</f>
        <v>0</v>
      </c>
      <c r="BC28" s="2">
        <f>COUNTIFS(集計用!$G26,"*, "&amp;BC$3&amp;", *")</f>
        <v>0</v>
      </c>
      <c r="BD28" s="2">
        <f>COUNTIFS(集計用!$G26,"*, "&amp;BD$3&amp;", *")</f>
        <v>0</v>
      </c>
      <c r="BE28" s="2">
        <f>COUNTIFS(集計用!$G26,"*, "&amp;BE$3&amp;", *")</f>
        <v>0</v>
      </c>
      <c r="BF28" s="2">
        <f>COUNTIFS(集計用!$G26,"*, "&amp;BF$3&amp;", *")</f>
        <v>0</v>
      </c>
      <c r="BG28" s="2">
        <f>COUNTIFS(集計用!$G26,"*, "&amp;BG$3&amp;", *")</f>
        <v>0</v>
      </c>
      <c r="BH28" s="2">
        <f>COUNTIFS(集計用!$G26,"*, "&amp;BH$3&amp;", *")</f>
        <v>0</v>
      </c>
      <c r="BI28" s="2">
        <f>COUNTIFS(集計用!$G26,"*, "&amp;BI$3&amp;", *")</f>
        <v>0</v>
      </c>
      <c r="BJ28" s="2">
        <f>LEN(集計用!H26)-LEN(SUBSTITUTE(集計用!H26,",",""))</f>
        <v>0</v>
      </c>
    </row>
    <row r="29" spans="1:62" ht="12.75">
      <c r="A29" s="8">
        <v>26</v>
      </c>
      <c r="C29" s="2">
        <f t="shared" si="2"/>
        <v>3</v>
      </c>
      <c r="D29" s="9"/>
      <c r="E29" s="2">
        <f>COUNTIFS(集計用!$G27,"*, "&amp;E$3&amp;", *")</f>
        <v>0</v>
      </c>
      <c r="F29" s="2">
        <f>COUNTIFS(集計用!$G27,"*, "&amp;F$3&amp;", *")</f>
        <v>1</v>
      </c>
      <c r="G29" s="2">
        <f>COUNTIFS(集計用!$G27,"*, "&amp;G$3&amp;", *")</f>
        <v>0</v>
      </c>
      <c r="H29" s="2">
        <f>COUNTIFS(集計用!$G27,"*, "&amp;H$3&amp;", *")</f>
        <v>0</v>
      </c>
      <c r="I29" s="2">
        <f>COUNTIFS(集計用!$G27,"*, "&amp;I$3&amp;", *")</f>
        <v>0</v>
      </c>
      <c r="J29" s="2">
        <f>COUNTIFS(集計用!$G27,"*, "&amp;J$3&amp;", *")</f>
        <v>0</v>
      </c>
      <c r="K29" s="2">
        <f>COUNTIFS(集計用!$G27,"*, "&amp;K$3&amp;", *")</f>
        <v>0</v>
      </c>
      <c r="L29" s="2">
        <f>COUNTIFS(集計用!$G27,"*, "&amp;L$3&amp;", *")</f>
        <v>0</v>
      </c>
      <c r="M29" s="2">
        <f>COUNTIFS(集計用!$G27,"*, "&amp;M$3&amp;", *")</f>
        <v>0</v>
      </c>
      <c r="N29" s="2">
        <f>COUNTIFS(集計用!$G27,"*, "&amp;N$3&amp;", *")</f>
        <v>0</v>
      </c>
      <c r="O29" s="2">
        <f>COUNTIFS(集計用!$G27,"*, "&amp;O$3&amp;", *")</f>
        <v>0</v>
      </c>
      <c r="P29" s="2">
        <f>COUNTIFS(集計用!$G27,"*, "&amp;P$3&amp;", *")</f>
        <v>0</v>
      </c>
      <c r="Q29" s="2">
        <f>COUNTIFS(集計用!$G27,"*, "&amp;Q$3&amp;", *")</f>
        <v>0</v>
      </c>
      <c r="R29" s="2">
        <f>COUNTIFS(集計用!$G27,"*, "&amp;R$3&amp;", *")</f>
        <v>0</v>
      </c>
      <c r="S29" s="2">
        <f>COUNTIFS(集計用!$G27,"*, "&amp;S$3&amp;", *")</f>
        <v>0</v>
      </c>
      <c r="T29" s="2">
        <f>COUNTIFS(集計用!$G27,"*, "&amp;T$3&amp;", *")</f>
        <v>0</v>
      </c>
      <c r="U29" s="2">
        <f>COUNTIFS(集計用!$G27,"*, "&amp;U$3&amp;", *")</f>
        <v>0</v>
      </c>
      <c r="V29" s="2">
        <f>COUNTIFS(集計用!$G27,"*, "&amp;V$3&amp;", *")</f>
        <v>0</v>
      </c>
      <c r="W29" s="2">
        <f>COUNTIFS(集計用!$G27,"*, "&amp;W$3&amp;", *")</f>
        <v>0</v>
      </c>
      <c r="X29" s="2">
        <f>COUNTIFS(集計用!$G27,"*, "&amp;X$3&amp;", *")</f>
        <v>0</v>
      </c>
      <c r="Y29" s="2">
        <f>COUNTIFS(集計用!$G27,"*, "&amp;Y$3&amp;", *")</f>
        <v>0</v>
      </c>
      <c r="Z29" s="2">
        <f>COUNTIFS(集計用!$G27,"*, "&amp;Z$3&amp;", *")</f>
        <v>0</v>
      </c>
      <c r="AA29" s="2">
        <f>COUNTIFS(集計用!$G27,"*, "&amp;AA$3&amp;", *")</f>
        <v>0</v>
      </c>
      <c r="AB29" s="2">
        <f>COUNTIFS(集計用!$G27,"*, "&amp;AB$3&amp;", *")</f>
        <v>0</v>
      </c>
      <c r="AC29" s="2">
        <f>COUNTIFS(集計用!$G27,"*, "&amp;AC$3&amp;", *")</f>
        <v>0</v>
      </c>
      <c r="AD29" s="2">
        <f>COUNTIFS(集計用!$G27,"*, "&amp;AD$3&amp;", *")</f>
        <v>0</v>
      </c>
      <c r="AE29" s="2">
        <f>COUNTIFS(集計用!$G27,"*, "&amp;AE$3&amp;", *")</f>
        <v>0</v>
      </c>
      <c r="AF29" s="2">
        <f>COUNTIFS(集計用!$G27,"*, "&amp;AF$3&amp;", *")</f>
        <v>1</v>
      </c>
      <c r="AG29" s="2">
        <f>COUNTIFS(集計用!$G27,"*, "&amp;AG$3&amp;", *")</f>
        <v>0</v>
      </c>
      <c r="AH29" s="2">
        <f>COUNTIFS(集計用!$G27,"*, "&amp;AH$3&amp;", *")</f>
        <v>0</v>
      </c>
      <c r="AI29" s="2">
        <f>COUNTIFS(集計用!$G27,"*, "&amp;AI$3&amp;", *")</f>
        <v>0</v>
      </c>
      <c r="AJ29" s="2">
        <f>COUNTIFS(集計用!$G27,"*, "&amp;AJ$3&amp;", *")</f>
        <v>0</v>
      </c>
      <c r="AK29" s="2">
        <f>COUNTIFS(集計用!$G27,"*, "&amp;AK$3&amp;", *")</f>
        <v>0</v>
      </c>
      <c r="AL29" s="2">
        <f>COUNTIFS(集計用!$G27,"*, "&amp;AL$3&amp;", *")</f>
        <v>0</v>
      </c>
      <c r="AM29" s="2">
        <f>COUNTIFS(集計用!$G27,"*, "&amp;AM$3&amp;", *")</f>
        <v>0</v>
      </c>
      <c r="AN29" s="2">
        <f>COUNTIFS(集計用!$G27,"*, "&amp;AN$3&amp;", *")</f>
        <v>0</v>
      </c>
      <c r="AO29" s="2">
        <f>COUNTIFS(集計用!$G27,"*, "&amp;AO$3&amp;", *")</f>
        <v>0</v>
      </c>
      <c r="AP29" s="2">
        <f>COUNTIFS(集計用!$G27,"*, "&amp;AP$3&amp;", *")</f>
        <v>1</v>
      </c>
      <c r="AQ29" s="2">
        <f>COUNTIFS(集計用!$G27,"*, "&amp;AQ$3&amp;", *")</f>
        <v>0</v>
      </c>
      <c r="AR29" s="2">
        <f>COUNTIFS(集計用!$G27,"*, "&amp;AR$3&amp;", *")</f>
        <v>0</v>
      </c>
      <c r="AS29" s="2">
        <f>COUNTIFS(集計用!$G27,"*, "&amp;AS$3&amp;", *")</f>
        <v>0</v>
      </c>
      <c r="AT29" s="2">
        <f>COUNTIFS(集計用!$G27,"*, "&amp;AT$3&amp;", *")</f>
        <v>0</v>
      </c>
      <c r="AU29" s="2">
        <f>COUNTIFS(集計用!$G27,"*, "&amp;AU$3&amp;", *")</f>
        <v>0</v>
      </c>
      <c r="AV29" s="2">
        <f>COUNTIFS(集計用!$G27,"*, "&amp;AV$3&amp;", *")</f>
        <v>0</v>
      </c>
      <c r="AW29" s="2">
        <f>COUNTIFS(集計用!$G27,"*, "&amp;AW$3&amp;", *")</f>
        <v>0</v>
      </c>
      <c r="AX29" s="2">
        <f>COUNTIFS(集計用!$G27,"*, "&amp;AX$3&amp;", *")</f>
        <v>0</v>
      </c>
      <c r="AY29" s="2">
        <f>COUNTIFS(集計用!$G27,"*, "&amp;AY$3&amp;", *")</f>
        <v>0</v>
      </c>
      <c r="AZ29" s="2">
        <f>COUNTIFS(集計用!$G27,"*, "&amp;AZ$3&amp;", *")</f>
        <v>0</v>
      </c>
      <c r="BA29" s="2">
        <f>COUNTIFS(集計用!$G27,"*, "&amp;BA$3&amp;", *")</f>
        <v>0</v>
      </c>
      <c r="BB29" s="2">
        <f>COUNTIFS(集計用!$G27,"*, "&amp;BB$3&amp;", *")</f>
        <v>0</v>
      </c>
      <c r="BC29" s="2">
        <f>COUNTIFS(集計用!$G27,"*, "&amp;BC$3&amp;", *")</f>
        <v>0</v>
      </c>
      <c r="BD29" s="2">
        <f>COUNTIFS(集計用!$G27,"*, "&amp;BD$3&amp;", *")</f>
        <v>0</v>
      </c>
      <c r="BE29" s="2">
        <f>COUNTIFS(集計用!$G27,"*, "&amp;BE$3&amp;", *")</f>
        <v>0</v>
      </c>
      <c r="BF29" s="2">
        <f>COUNTIFS(集計用!$G27,"*, "&amp;BF$3&amp;", *")</f>
        <v>0</v>
      </c>
      <c r="BG29" s="2">
        <f>COUNTIFS(集計用!$G27,"*, "&amp;BG$3&amp;", *")</f>
        <v>0</v>
      </c>
      <c r="BH29" s="2">
        <f>COUNTIFS(集計用!$G27,"*, "&amp;BH$3&amp;", *")</f>
        <v>0</v>
      </c>
      <c r="BI29" s="2">
        <f>COUNTIFS(集計用!$G27,"*, "&amp;BI$3&amp;", *")</f>
        <v>0</v>
      </c>
      <c r="BJ29" s="2">
        <f>LEN(集計用!H27)-LEN(SUBSTITUTE(集計用!H27,",",""))</f>
        <v>0</v>
      </c>
    </row>
    <row r="30" spans="1:62" ht="12.75">
      <c r="A30" s="8">
        <v>27</v>
      </c>
      <c r="C30" s="2">
        <f t="shared" si="2"/>
        <v>2</v>
      </c>
      <c r="D30" s="9"/>
      <c r="E30" s="2">
        <f>COUNTIFS(集計用!$G28,"*, "&amp;E$3&amp;", *")</f>
        <v>0</v>
      </c>
      <c r="F30" s="2">
        <f>COUNTIFS(集計用!$G28,"*, "&amp;F$3&amp;", *")</f>
        <v>0</v>
      </c>
      <c r="G30" s="2">
        <f>COUNTIFS(集計用!$G28,"*, "&amp;G$3&amp;", *")</f>
        <v>0</v>
      </c>
      <c r="H30" s="2">
        <f>COUNTIFS(集計用!$G28,"*, "&amp;H$3&amp;", *")</f>
        <v>0</v>
      </c>
      <c r="I30" s="2">
        <f>COUNTIFS(集計用!$G28,"*, "&amp;I$3&amp;", *")</f>
        <v>0</v>
      </c>
      <c r="J30" s="2">
        <f>COUNTIFS(集計用!$G28,"*, "&amp;J$3&amp;", *")</f>
        <v>0</v>
      </c>
      <c r="K30" s="2">
        <f>COUNTIFS(集計用!$G28,"*, "&amp;K$3&amp;", *")</f>
        <v>0</v>
      </c>
      <c r="L30" s="2">
        <f>COUNTIFS(集計用!$G28,"*, "&amp;L$3&amp;", *")</f>
        <v>0</v>
      </c>
      <c r="M30" s="2">
        <f>COUNTIFS(集計用!$G28,"*, "&amp;M$3&amp;", *")</f>
        <v>0</v>
      </c>
      <c r="N30" s="2">
        <f>COUNTIFS(集計用!$G28,"*, "&amp;N$3&amp;", *")</f>
        <v>0</v>
      </c>
      <c r="O30" s="2">
        <f>COUNTIFS(集計用!$G28,"*, "&amp;O$3&amp;", *")</f>
        <v>0</v>
      </c>
      <c r="P30" s="2">
        <f>COUNTIFS(集計用!$G28,"*, "&amp;P$3&amp;", *")</f>
        <v>1</v>
      </c>
      <c r="Q30" s="2">
        <f>COUNTIFS(集計用!$G28,"*, "&amp;Q$3&amp;", *")</f>
        <v>0</v>
      </c>
      <c r="R30" s="2">
        <f>COUNTIFS(集計用!$G28,"*, "&amp;R$3&amp;", *")</f>
        <v>1</v>
      </c>
      <c r="S30" s="2">
        <f>COUNTIFS(集計用!$G28,"*, "&amp;S$3&amp;", *")</f>
        <v>0</v>
      </c>
      <c r="T30" s="2">
        <f>COUNTIFS(集計用!$G28,"*, "&amp;T$3&amp;", *")</f>
        <v>0</v>
      </c>
      <c r="U30" s="2">
        <f>COUNTIFS(集計用!$G28,"*, "&amp;U$3&amp;", *")</f>
        <v>0</v>
      </c>
      <c r="V30" s="2">
        <f>COUNTIFS(集計用!$G28,"*, "&amp;V$3&amp;", *")</f>
        <v>0</v>
      </c>
      <c r="W30" s="2">
        <f>COUNTIFS(集計用!$G28,"*, "&amp;W$3&amp;", *")</f>
        <v>0</v>
      </c>
      <c r="X30" s="2">
        <f>COUNTIFS(集計用!$G28,"*, "&amp;X$3&amp;", *")</f>
        <v>0</v>
      </c>
      <c r="Y30" s="2">
        <f>COUNTIFS(集計用!$G28,"*, "&amp;Y$3&amp;", *")</f>
        <v>0</v>
      </c>
      <c r="Z30" s="2">
        <f>COUNTIFS(集計用!$G28,"*, "&amp;Z$3&amp;", *")</f>
        <v>0</v>
      </c>
      <c r="AA30" s="2">
        <f>COUNTIFS(集計用!$G28,"*, "&amp;AA$3&amp;", *")</f>
        <v>0</v>
      </c>
      <c r="AB30" s="2">
        <f>COUNTIFS(集計用!$G28,"*, "&amp;AB$3&amp;", *")</f>
        <v>0</v>
      </c>
      <c r="AC30" s="2">
        <f>COUNTIFS(集計用!$G28,"*, "&amp;AC$3&amp;", *")</f>
        <v>0</v>
      </c>
      <c r="AD30" s="2">
        <f>COUNTIFS(集計用!$G28,"*, "&amp;AD$3&amp;", *")</f>
        <v>0</v>
      </c>
      <c r="AE30" s="2">
        <f>COUNTIFS(集計用!$G28,"*, "&amp;AE$3&amp;", *")</f>
        <v>0</v>
      </c>
      <c r="AF30" s="2">
        <f>COUNTIFS(集計用!$G28,"*, "&amp;AF$3&amp;", *")</f>
        <v>0</v>
      </c>
      <c r="AG30" s="2">
        <f>COUNTIFS(集計用!$G28,"*, "&amp;AG$3&amp;", *")</f>
        <v>0</v>
      </c>
      <c r="AH30" s="2">
        <f>COUNTIFS(集計用!$G28,"*, "&amp;AH$3&amp;", *")</f>
        <v>0</v>
      </c>
      <c r="AI30" s="2">
        <f>COUNTIFS(集計用!$G28,"*, "&amp;AI$3&amp;", *")</f>
        <v>0</v>
      </c>
      <c r="AJ30" s="2">
        <f>COUNTIFS(集計用!$G28,"*, "&amp;AJ$3&amp;", *")</f>
        <v>0</v>
      </c>
      <c r="AK30" s="2">
        <f>COUNTIFS(集計用!$G28,"*, "&amp;AK$3&amp;", *")</f>
        <v>0</v>
      </c>
      <c r="AL30" s="2">
        <f>COUNTIFS(集計用!$G28,"*, "&amp;AL$3&amp;", *")</f>
        <v>0</v>
      </c>
      <c r="AM30" s="2">
        <f>COUNTIFS(集計用!$G28,"*, "&amp;AM$3&amp;", *")</f>
        <v>0</v>
      </c>
      <c r="AN30" s="2">
        <f>COUNTIFS(集計用!$G28,"*, "&amp;AN$3&amp;", *")</f>
        <v>0</v>
      </c>
      <c r="AO30" s="2">
        <f>COUNTIFS(集計用!$G28,"*, "&amp;AO$3&amp;", *")</f>
        <v>0</v>
      </c>
      <c r="AP30" s="2">
        <f>COUNTIFS(集計用!$G28,"*, "&amp;AP$3&amp;", *")</f>
        <v>0</v>
      </c>
      <c r="AQ30" s="2">
        <f>COUNTIFS(集計用!$G28,"*, "&amp;AQ$3&amp;", *")</f>
        <v>0</v>
      </c>
      <c r="AR30" s="2">
        <f>COUNTIFS(集計用!$G28,"*, "&amp;AR$3&amp;", *")</f>
        <v>0</v>
      </c>
      <c r="AS30" s="2">
        <f>COUNTIFS(集計用!$G28,"*, "&amp;AS$3&amp;", *")</f>
        <v>0</v>
      </c>
      <c r="AT30" s="2">
        <f>COUNTIFS(集計用!$G28,"*, "&amp;AT$3&amp;", *")</f>
        <v>0</v>
      </c>
      <c r="AU30" s="2">
        <f>COUNTIFS(集計用!$G28,"*, "&amp;AU$3&amp;", *")</f>
        <v>0</v>
      </c>
      <c r="AV30" s="2">
        <f>COUNTIFS(集計用!$G28,"*, "&amp;AV$3&amp;", *")</f>
        <v>0</v>
      </c>
      <c r="AW30" s="2">
        <f>COUNTIFS(集計用!$G28,"*, "&amp;AW$3&amp;", *")</f>
        <v>0</v>
      </c>
      <c r="AX30" s="2">
        <f>COUNTIFS(集計用!$G28,"*, "&amp;AX$3&amp;", *")</f>
        <v>0</v>
      </c>
      <c r="AY30" s="2">
        <f>COUNTIFS(集計用!$G28,"*, "&amp;AY$3&amp;", *")</f>
        <v>0</v>
      </c>
      <c r="AZ30" s="2">
        <f>COUNTIFS(集計用!$G28,"*, "&amp;AZ$3&amp;", *")</f>
        <v>0</v>
      </c>
      <c r="BA30" s="2">
        <f>COUNTIFS(集計用!$G28,"*, "&amp;BA$3&amp;", *")</f>
        <v>0</v>
      </c>
      <c r="BB30" s="2">
        <f>COUNTIFS(集計用!$G28,"*, "&amp;BB$3&amp;", *")</f>
        <v>0</v>
      </c>
      <c r="BC30" s="2">
        <f>COUNTIFS(集計用!$G28,"*, "&amp;BC$3&amp;", *")</f>
        <v>0</v>
      </c>
      <c r="BD30" s="2">
        <f>COUNTIFS(集計用!$G28,"*, "&amp;BD$3&amp;", *")</f>
        <v>0</v>
      </c>
      <c r="BE30" s="2">
        <f>COUNTIFS(集計用!$G28,"*, "&amp;BE$3&amp;", *")</f>
        <v>0</v>
      </c>
      <c r="BF30" s="2">
        <f>COUNTIFS(集計用!$G28,"*, "&amp;BF$3&amp;", *")</f>
        <v>0</v>
      </c>
      <c r="BG30" s="2">
        <f>COUNTIFS(集計用!$G28,"*, "&amp;BG$3&amp;", *")</f>
        <v>0</v>
      </c>
      <c r="BH30" s="2">
        <f>COUNTIFS(集計用!$G28,"*, "&amp;BH$3&amp;", *")</f>
        <v>0</v>
      </c>
      <c r="BI30" s="2">
        <f>COUNTIFS(集計用!$G28,"*, "&amp;BI$3&amp;", *")</f>
        <v>0</v>
      </c>
      <c r="BJ30" s="2">
        <f>LEN(集計用!H28)-LEN(SUBSTITUTE(集計用!H28,",",""))</f>
        <v>0</v>
      </c>
    </row>
    <row r="31" spans="1:62" ht="12.75">
      <c r="A31" s="8">
        <v>28</v>
      </c>
      <c r="C31" s="2">
        <f t="shared" si="2"/>
        <v>1</v>
      </c>
      <c r="D31" s="9"/>
      <c r="E31" s="2">
        <f>COUNTIFS(集計用!$G29,"*, "&amp;E$3&amp;", *")</f>
        <v>1</v>
      </c>
      <c r="F31" s="2">
        <f>COUNTIFS(集計用!$G29,"*, "&amp;F$3&amp;", *")</f>
        <v>0</v>
      </c>
      <c r="G31" s="2">
        <f>COUNTIFS(集計用!$G29,"*, "&amp;G$3&amp;", *")</f>
        <v>0</v>
      </c>
      <c r="H31" s="2">
        <f>COUNTIFS(集計用!$G29,"*, "&amp;H$3&amp;", *")</f>
        <v>0</v>
      </c>
      <c r="I31" s="2">
        <f>COUNTIFS(集計用!$G29,"*, "&amp;I$3&amp;", *")</f>
        <v>0</v>
      </c>
      <c r="J31" s="2">
        <f>COUNTIFS(集計用!$G29,"*, "&amp;J$3&amp;", *")</f>
        <v>0</v>
      </c>
      <c r="K31" s="2">
        <f>COUNTIFS(集計用!$G29,"*, "&amp;K$3&amp;", *")</f>
        <v>0</v>
      </c>
      <c r="L31" s="2">
        <f>COUNTIFS(集計用!$G29,"*, "&amp;L$3&amp;", *")</f>
        <v>0</v>
      </c>
      <c r="M31" s="2">
        <f>COUNTIFS(集計用!$G29,"*, "&amp;M$3&amp;", *")</f>
        <v>0</v>
      </c>
      <c r="N31" s="2">
        <f>COUNTIFS(集計用!$G29,"*, "&amp;N$3&amp;", *")</f>
        <v>0</v>
      </c>
      <c r="O31" s="2">
        <f>COUNTIFS(集計用!$G29,"*, "&amp;O$3&amp;", *")</f>
        <v>0</v>
      </c>
      <c r="P31" s="2">
        <f>COUNTIFS(集計用!$G29,"*, "&amp;P$3&amp;", *")</f>
        <v>0</v>
      </c>
      <c r="Q31" s="2">
        <f>COUNTIFS(集計用!$G29,"*, "&amp;Q$3&amp;", *")</f>
        <v>0</v>
      </c>
      <c r="R31" s="2">
        <f>COUNTIFS(集計用!$G29,"*, "&amp;R$3&amp;", *")</f>
        <v>0</v>
      </c>
      <c r="S31" s="2">
        <f>COUNTIFS(集計用!$G29,"*, "&amp;S$3&amp;", *")</f>
        <v>0</v>
      </c>
      <c r="T31" s="2">
        <f>COUNTIFS(集計用!$G29,"*, "&amp;T$3&amp;", *")</f>
        <v>0</v>
      </c>
      <c r="U31" s="2">
        <f>COUNTIFS(集計用!$G29,"*, "&amp;U$3&amp;", *")</f>
        <v>0</v>
      </c>
      <c r="V31" s="2">
        <f>COUNTIFS(集計用!$G29,"*, "&amp;V$3&amp;", *")</f>
        <v>0</v>
      </c>
      <c r="W31" s="2">
        <f>COUNTIFS(集計用!$G29,"*, "&amp;W$3&amp;", *")</f>
        <v>0</v>
      </c>
      <c r="X31" s="2">
        <f>COUNTIFS(集計用!$G29,"*, "&amp;X$3&amp;", *")</f>
        <v>0</v>
      </c>
      <c r="Y31" s="2">
        <f>COUNTIFS(集計用!$G29,"*, "&amp;Y$3&amp;", *")</f>
        <v>0</v>
      </c>
      <c r="Z31" s="2">
        <f>COUNTIFS(集計用!$G29,"*, "&amp;Z$3&amp;", *")</f>
        <v>0</v>
      </c>
      <c r="AA31" s="2">
        <f>COUNTIFS(集計用!$G29,"*, "&amp;AA$3&amp;", *")</f>
        <v>0</v>
      </c>
      <c r="AB31" s="2">
        <f>COUNTIFS(集計用!$G29,"*, "&amp;AB$3&amp;", *")</f>
        <v>0</v>
      </c>
      <c r="AC31" s="2">
        <f>COUNTIFS(集計用!$G29,"*, "&amp;AC$3&amp;", *")</f>
        <v>0</v>
      </c>
      <c r="AD31" s="2">
        <f>COUNTIFS(集計用!$G29,"*, "&amp;AD$3&amp;", *")</f>
        <v>0</v>
      </c>
      <c r="AE31" s="2">
        <f>COUNTIFS(集計用!$G29,"*, "&amp;AE$3&amp;", *")</f>
        <v>0</v>
      </c>
      <c r="AF31" s="2">
        <f>COUNTIFS(集計用!$G29,"*, "&amp;AF$3&amp;", *")</f>
        <v>0</v>
      </c>
      <c r="AG31" s="2">
        <f>COUNTIFS(集計用!$G29,"*, "&amp;AG$3&amp;", *")</f>
        <v>0</v>
      </c>
      <c r="AH31" s="2">
        <f>COUNTIFS(集計用!$G29,"*, "&amp;AH$3&amp;", *")</f>
        <v>0</v>
      </c>
      <c r="AI31" s="2">
        <f>COUNTIFS(集計用!$G29,"*, "&amp;AI$3&amp;", *")</f>
        <v>0</v>
      </c>
      <c r="AJ31" s="2">
        <f>COUNTIFS(集計用!$G29,"*, "&amp;AJ$3&amp;", *")</f>
        <v>0</v>
      </c>
      <c r="AK31" s="2">
        <f>COUNTIFS(集計用!$G29,"*, "&amp;AK$3&amp;", *")</f>
        <v>0</v>
      </c>
      <c r="AL31" s="2">
        <f>COUNTIFS(集計用!$G29,"*, "&amp;AL$3&amp;", *")</f>
        <v>0</v>
      </c>
      <c r="AM31" s="2">
        <f>COUNTIFS(集計用!$G29,"*, "&amp;AM$3&amp;", *")</f>
        <v>0</v>
      </c>
      <c r="AN31" s="2">
        <f>COUNTIFS(集計用!$G29,"*, "&amp;AN$3&amp;", *")</f>
        <v>0</v>
      </c>
      <c r="AO31" s="2">
        <f>COUNTIFS(集計用!$G29,"*, "&amp;AO$3&amp;", *")</f>
        <v>0</v>
      </c>
      <c r="AP31" s="2">
        <f>COUNTIFS(集計用!$G29,"*, "&amp;AP$3&amp;", *")</f>
        <v>0</v>
      </c>
      <c r="AQ31" s="2">
        <f>COUNTIFS(集計用!$G29,"*, "&amp;AQ$3&amp;", *")</f>
        <v>0</v>
      </c>
      <c r="AR31" s="2">
        <f>COUNTIFS(集計用!$G29,"*, "&amp;AR$3&amp;", *")</f>
        <v>0</v>
      </c>
      <c r="AS31" s="2">
        <f>COUNTIFS(集計用!$G29,"*, "&amp;AS$3&amp;", *")</f>
        <v>0</v>
      </c>
      <c r="AT31" s="2">
        <f>COUNTIFS(集計用!$G29,"*, "&amp;AT$3&amp;", *")</f>
        <v>0</v>
      </c>
      <c r="AU31" s="2">
        <f>COUNTIFS(集計用!$G29,"*, "&amp;AU$3&amp;", *")</f>
        <v>0</v>
      </c>
      <c r="AV31" s="2">
        <f>COUNTIFS(集計用!$G29,"*, "&amp;AV$3&amp;", *")</f>
        <v>0</v>
      </c>
      <c r="AW31" s="2">
        <f>COUNTIFS(集計用!$G29,"*, "&amp;AW$3&amp;", *")</f>
        <v>0</v>
      </c>
      <c r="AX31" s="2">
        <f>COUNTIFS(集計用!$G29,"*, "&amp;AX$3&amp;", *")</f>
        <v>0</v>
      </c>
      <c r="AY31" s="2">
        <f>COUNTIFS(集計用!$G29,"*, "&amp;AY$3&amp;", *")</f>
        <v>0</v>
      </c>
      <c r="AZ31" s="2">
        <f>COUNTIFS(集計用!$G29,"*, "&amp;AZ$3&amp;", *")</f>
        <v>0</v>
      </c>
      <c r="BA31" s="2">
        <f>COUNTIFS(集計用!$G29,"*, "&amp;BA$3&amp;", *")</f>
        <v>0</v>
      </c>
      <c r="BB31" s="2">
        <f>COUNTIFS(集計用!$G29,"*, "&amp;BB$3&amp;", *")</f>
        <v>0</v>
      </c>
      <c r="BC31" s="2">
        <f>COUNTIFS(集計用!$G29,"*, "&amp;BC$3&amp;", *")</f>
        <v>0</v>
      </c>
      <c r="BD31" s="2">
        <f>COUNTIFS(集計用!$G29,"*, "&amp;BD$3&amp;", *")</f>
        <v>0</v>
      </c>
      <c r="BE31" s="2">
        <f>COUNTIFS(集計用!$G29,"*, "&amp;BE$3&amp;", *")</f>
        <v>0</v>
      </c>
      <c r="BF31" s="2">
        <f>COUNTIFS(集計用!$G29,"*, "&amp;BF$3&amp;", *")</f>
        <v>0</v>
      </c>
      <c r="BG31" s="2">
        <f>COUNTIFS(集計用!$G29,"*, "&amp;BG$3&amp;", *")</f>
        <v>0</v>
      </c>
      <c r="BH31" s="2">
        <f>COUNTIFS(集計用!$G29,"*, "&amp;BH$3&amp;", *")</f>
        <v>0</v>
      </c>
      <c r="BI31" s="2">
        <f>COUNTIFS(集計用!$G29,"*, "&amp;BI$3&amp;", *")</f>
        <v>0</v>
      </c>
      <c r="BJ31" s="2">
        <f>LEN(集計用!H29)-LEN(SUBSTITUTE(集計用!H29,",",""))</f>
        <v>0</v>
      </c>
    </row>
    <row r="32" spans="1:62" ht="12.75">
      <c r="A32" s="8">
        <v>29</v>
      </c>
      <c r="C32" s="2">
        <f t="shared" si="2"/>
        <v>4</v>
      </c>
      <c r="D32" s="9"/>
      <c r="E32" s="2">
        <f>COUNTIFS(集計用!$G30,"*, "&amp;E$3&amp;", *")</f>
        <v>0</v>
      </c>
      <c r="F32" s="2">
        <f>COUNTIFS(集計用!$G30,"*, "&amp;F$3&amp;", *")</f>
        <v>0</v>
      </c>
      <c r="G32" s="2">
        <f>COUNTIFS(集計用!$G30,"*, "&amp;G$3&amp;", *")</f>
        <v>0</v>
      </c>
      <c r="H32" s="2">
        <f>COUNTIFS(集計用!$G30,"*, "&amp;H$3&amp;", *")</f>
        <v>0</v>
      </c>
      <c r="I32" s="2">
        <f>COUNTIFS(集計用!$G30,"*, "&amp;I$3&amp;", *")</f>
        <v>0</v>
      </c>
      <c r="J32" s="2">
        <f>COUNTIFS(集計用!$G30,"*, "&amp;J$3&amp;", *")</f>
        <v>0</v>
      </c>
      <c r="K32" s="2">
        <f>COUNTIFS(集計用!$G30,"*, "&amp;K$3&amp;", *")</f>
        <v>0</v>
      </c>
      <c r="L32" s="2">
        <f>COUNTIFS(集計用!$G30,"*, "&amp;L$3&amp;", *")</f>
        <v>0</v>
      </c>
      <c r="M32" s="2">
        <f>COUNTIFS(集計用!$G30,"*, "&amp;M$3&amp;", *")</f>
        <v>0</v>
      </c>
      <c r="N32" s="2">
        <f>COUNTIFS(集計用!$G30,"*, "&amp;N$3&amp;", *")</f>
        <v>0</v>
      </c>
      <c r="O32" s="2">
        <f>COUNTIFS(集計用!$G30,"*, "&amp;O$3&amp;", *")</f>
        <v>0</v>
      </c>
      <c r="P32" s="2">
        <f>COUNTIFS(集計用!$G30,"*, "&amp;P$3&amp;", *")</f>
        <v>0</v>
      </c>
      <c r="Q32" s="2">
        <f>COUNTIFS(集計用!$G30,"*, "&amp;Q$3&amp;", *")</f>
        <v>1</v>
      </c>
      <c r="R32" s="2">
        <f>COUNTIFS(集計用!$G30,"*, "&amp;R$3&amp;", *")</f>
        <v>1</v>
      </c>
      <c r="S32" s="2">
        <f>COUNTIFS(集計用!$G30,"*, "&amp;S$3&amp;", *")</f>
        <v>0</v>
      </c>
      <c r="T32" s="2">
        <f>COUNTIFS(集計用!$G30,"*, "&amp;T$3&amp;", *")</f>
        <v>0</v>
      </c>
      <c r="U32" s="2">
        <f>COUNTIFS(集計用!$G30,"*, "&amp;U$3&amp;", *")</f>
        <v>0</v>
      </c>
      <c r="V32" s="2">
        <f>COUNTIFS(集計用!$G30,"*, "&amp;V$3&amp;", *")</f>
        <v>0</v>
      </c>
      <c r="W32" s="2">
        <f>COUNTIFS(集計用!$G30,"*, "&amp;W$3&amp;", *")</f>
        <v>0</v>
      </c>
      <c r="X32" s="2">
        <f>COUNTIFS(集計用!$G30,"*, "&amp;X$3&amp;", *")</f>
        <v>0</v>
      </c>
      <c r="Y32" s="2">
        <f>COUNTIFS(集計用!$G30,"*, "&amp;Y$3&amp;", *")</f>
        <v>0</v>
      </c>
      <c r="Z32" s="2">
        <f>COUNTIFS(集計用!$G30,"*, "&amp;Z$3&amp;", *")</f>
        <v>0</v>
      </c>
      <c r="AA32" s="2">
        <f>COUNTIFS(集計用!$G30,"*, "&amp;AA$3&amp;", *")</f>
        <v>0</v>
      </c>
      <c r="AB32" s="2">
        <f>COUNTIFS(集計用!$G30,"*, "&amp;AB$3&amp;", *")</f>
        <v>1</v>
      </c>
      <c r="AC32" s="2">
        <f>COUNTIFS(集計用!$G30,"*, "&amp;AC$3&amp;", *")</f>
        <v>0</v>
      </c>
      <c r="AD32" s="2">
        <f>COUNTIFS(集計用!$G30,"*, "&amp;AD$3&amp;", *")</f>
        <v>0</v>
      </c>
      <c r="AE32" s="2">
        <f>COUNTIFS(集計用!$G30,"*, "&amp;AE$3&amp;", *")</f>
        <v>0</v>
      </c>
      <c r="AF32" s="2">
        <f>COUNTIFS(集計用!$G30,"*, "&amp;AF$3&amp;", *")</f>
        <v>0</v>
      </c>
      <c r="AG32" s="2">
        <f>COUNTIFS(集計用!$G30,"*, "&amp;AG$3&amp;", *")</f>
        <v>0</v>
      </c>
      <c r="AH32" s="2">
        <f>COUNTIFS(集計用!$G30,"*, "&amp;AH$3&amp;", *")</f>
        <v>0</v>
      </c>
      <c r="AI32" s="2">
        <f>COUNTIFS(集計用!$G30,"*, "&amp;AI$3&amp;", *")</f>
        <v>0</v>
      </c>
      <c r="AJ32" s="2">
        <f>COUNTIFS(集計用!$G30,"*, "&amp;AJ$3&amp;", *")</f>
        <v>0</v>
      </c>
      <c r="AK32" s="2">
        <f>COUNTIFS(集計用!$G30,"*, "&amp;AK$3&amp;", *")</f>
        <v>1</v>
      </c>
      <c r="AL32" s="2">
        <f>COUNTIFS(集計用!$G30,"*, "&amp;AL$3&amp;", *")</f>
        <v>0</v>
      </c>
      <c r="AM32" s="2">
        <f>COUNTIFS(集計用!$G30,"*, "&amp;AM$3&amp;", *")</f>
        <v>0</v>
      </c>
      <c r="AN32" s="2">
        <f>COUNTIFS(集計用!$G30,"*, "&amp;AN$3&amp;", *")</f>
        <v>0</v>
      </c>
      <c r="AO32" s="2">
        <f>COUNTIFS(集計用!$G30,"*, "&amp;AO$3&amp;", *")</f>
        <v>0</v>
      </c>
      <c r="AP32" s="2">
        <f>COUNTIFS(集計用!$G30,"*, "&amp;AP$3&amp;", *")</f>
        <v>0</v>
      </c>
      <c r="AQ32" s="2">
        <f>COUNTIFS(集計用!$G30,"*, "&amp;AQ$3&amp;", *")</f>
        <v>0</v>
      </c>
      <c r="AR32" s="2">
        <f>COUNTIFS(集計用!$G30,"*, "&amp;AR$3&amp;", *")</f>
        <v>0</v>
      </c>
      <c r="AS32" s="2">
        <f>COUNTIFS(集計用!$G30,"*, "&amp;AS$3&amp;", *")</f>
        <v>0</v>
      </c>
      <c r="AT32" s="2">
        <f>COUNTIFS(集計用!$G30,"*, "&amp;AT$3&amp;", *")</f>
        <v>0</v>
      </c>
      <c r="AU32" s="2">
        <f>COUNTIFS(集計用!$G30,"*, "&amp;AU$3&amp;", *")</f>
        <v>0</v>
      </c>
      <c r="AV32" s="2">
        <f>COUNTIFS(集計用!$G30,"*, "&amp;AV$3&amp;", *")</f>
        <v>0</v>
      </c>
      <c r="AW32" s="2">
        <f>COUNTIFS(集計用!$G30,"*, "&amp;AW$3&amp;", *")</f>
        <v>0</v>
      </c>
      <c r="AX32" s="2">
        <f>COUNTIFS(集計用!$G30,"*, "&amp;AX$3&amp;", *")</f>
        <v>0</v>
      </c>
      <c r="AY32" s="2">
        <f>COUNTIFS(集計用!$G30,"*, "&amp;AY$3&amp;", *")</f>
        <v>0</v>
      </c>
      <c r="AZ32" s="2">
        <f>COUNTIFS(集計用!$G30,"*, "&amp;AZ$3&amp;", *")</f>
        <v>0</v>
      </c>
      <c r="BA32" s="2">
        <f>COUNTIFS(集計用!$G30,"*, "&amp;BA$3&amp;", *")</f>
        <v>0</v>
      </c>
      <c r="BB32" s="2">
        <f>COUNTIFS(集計用!$G30,"*, "&amp;BB$3&amp;", *")</f>
        <v>0</v>
      </c>
      <c r="BC32" s="2">
        <f>COUNTIFS(集計用!$G30,"*, "&amp;BC$3&amp;", *")</f>
        <v>0</v>
      </c>
      <c r="BD32" s="2">
        <f>COUNTIFS(集計用!$G30,"*, "&amp;BD$3&amp;", *")</f>
        <v>0</v>
      </c>
      <c r="BE32" s="2">
        <f>COUNTIFS(集計用!$G30,"*, "&amp;BE$3&amp;", *")</f>
        <v>0</v>
      </c>
      <c r="BF32" s="2">
        <f>COUNTIFS(集計用!$G30,"*, "&amp;BF$3&amp;", *")</f>
        <v>0</v>
      </c>
      <c r="BG32" s="2">
        <f>COUNTIFS(集計用!$G30,"*, "&amp;BG$3&amp;", *")</f>
        <v>0</v>
      </c>
      <c r="BH32" s="2">
        <f>COUNTIFS(集計用!$G30,"*, "&amp;BH$3&amp;", *")</f>
        <v>0</v>
      </c>
      <c r="BI32" s="2">
        <f>COUNTIFS(集計用!$G30,"*, "&amp;BI$3&amp;", *")</f>
        <v>0</v>
      </c>
      <c r="BJ32" s="2">
        <f>LEN(集計用!H30)-LEN(SUBSTITUTE(集計用!H30,",",""))</f>
        <v>0</v>
      </c>
    </row>
    <row r="33" spans="1:62" ht="12.75">
      <c r="A33" s="8">
        <v>30</v>
      </c>
      <c r="C33" s="2">
        <f t="shared" si="2"/>
        <v>6</v>
      </c>
      <c r="D33" s="9"/>
      <c r="E33" s="2">
        <f>COUNTIFS(集計用!$G31,"*, "&amp;E$3&amp;", *")</f>
        <v>0</v>
      </c>
      <c r="F33" s="2">
        <f>COUNTIFS(集計用!$G31,"*, "&amp;F$3&amp;", *")</f>
        <v>1</v>
      </c>
      <c r="G33" s="2">
        <f>COUNTIFS(集計用!$G31,"*, "&amp;G$3&amp;", *")</f>
        <v>0</v>
      </c>
      <c r="H33" s="2">
        <f>COUNTIFS(集計用!$G31,"*, "&amp;H$3&amp;", *")</f>
        <v>0</v>
      </c>
      <c r="I33" s="2">
        <f>COUNTIFS(集計用!$G31,"*, "&amp;I$3&amp;", *")</f>
        <v>0</v>
      </c>
      <c r="J33" s="2">
        <f>COUNTIFS(集計用!$G31,"*, "&amp;J$3&amp;", *")</f>
        <v>0</v>
      </c>
      <c r="K33" s="2">
        <f>COUNTIFS(集計用!$G31,"*, "&amp;K$3&amp;", *")</f>
        <v>0</v>
      </c>
      <c r="L33" s="2">
        <f>COUNTIFS(集計用!$G31,"*, "&amp;L$3&amp;", *")</f>
        <v>0</v>
      </c>
      <c r="M33" s="2">
        <f>COUNTIFS(集計用!$G31,"*, "&amp;M$3&amp;", *")</f>
        <v>0</v>
      </c>
      <c r="N33" s="2">
        <f>COUNTIFS(集計用!$G31,"*, "&amp;N$3&amp;", *")</f>
        <v>0</v>
      </c>
      <c r="O33" s="2">
        <f>COUNTIFS(集計用!$G31,"*, "&amp;O$3&amp;", *")</f>
        <v>1</v>
      </c>
      <c r="P33" s="2">
        <f>COUNTIFS(集計用!$G31,"*, "&amp;P$3&amp;", *")</f>
        <v>0</v>
      </c>
      <c r="Q33" s="2">
        <f>COUNTIFS(集計用!$G31,"*, "&amp;Q$3&amp;", *")</f>
        <v>0</v>
      </c>
      <c r="R33" s="2">
        <f>COUNTIFS(集計用!$G31,"*, "&amp;R$3&amp;", *")</f>
        <v>0</v>
      </c>
      <c r="S33" s="2">
        <f>COUNTIFS(集計用!$G31,"*, "&amp;S$3&amp;", *")</f>
        <v>0</v>
      </c>
      <c r="T33" s="2">
        <f>COUNTIFS(集計用!$G31,"*, "&amp;T$3&amp;", *")</f>
        <v>0</v>
      </c>
      <c r="U33" s="2">
        <f>COUNTIFS(集計用!$G31,"*, "&amp;U$3&amp;", *")</f>
        <v>1</v>
      </c>
      <c r="V33" s="2">
        <f>COUNTIFS(集計用!$G31,"*, "&amp;V$3&amp;", *")</f>
        <v>0</v>
      </c>
      <c r="W33" s="2">
        <f>COUNTIFS(集計用!$G31,"*, "&amp;W$3&amp;", *")</f>
        <v>0</v>
      </c>
      <c r="X33" s="2">
        <f>COUNTIFS(集計用!$G31,"*, "&amp;X$3&amp;", *")</f>
        <v>0</v>
      </c>
      <c r="Y33" s="2">
        <f>COUNTIFS(集計用!$G31,"*, "&amp;Y$3&amp;", *")</f>
        <v>0</v>
      </c>
      <c r="Z33" s="2">
        <f>COUNTIFS(集計用!$G31,"*, "&amp;Z$3&amp;", *")</f>
        <v>1</v>
      </c>
      <c r="AA33" s="2">
        <f>COUNTIFS(集計用!$G31,"*, "&amp;AA$3&amp;", *")</f>
        <v>0</v>
      </c>
      <c r="AB33" s="2">
        <f>COUNTIFS(集計用!$G31,"*, "&amp;AB$3&amp;", *")</f>
        <v>0</v>
      </c>
      <c r="AC33" s="2">
        <f>COUNTIFS(集計用!$G31,"*, "&amp;AC$3&amp;", *")</f>
        <v>0</v>
      </c>
      <c r="AD33" s="2">
        <f>COUNTIFS(集計用!$G31,"*, "&amp;AD$3&amp;", *")</f>
        <v>0</v>
      </c>
      <c r="AE33" s="2">
        <f>COUNTIFS(集計用!$G31,"*, "&amp;AE$3&amp;", *")</f>
        <v>0</v>
      </c>
      <c r="AF33" s="2">
        <f>COUNTIFS(集計用!$G31,"*, "&amp;AF$3&amp;", *")</f>
        <v>0</v>
      </c>
      <c r="AG33" s="2">
        <f>COUNTIFS(集計用!$G31,"*, "&amp;AG$3&amp;", *")</f>
        <v>1</v>
      </c>
      <c r="AH33" s="2">
        <f>COUNTIFS(集計用!$G31,"*, "&amp;AH$3&amp;", *")</f>
        <v>1</v>
      </c>
      <c r="AI33" s="2">
        <f>COUNTIFS(集計用!$G31,"*, "&amp;AI$3&amp;", *")</f>
        <v>0</v>
      </c>
      <c r="AJ33" s="2">
        <f>COUNTIFS(集計用!$G31,"*, "&amp;AJ$3&amp;", *")</f>
        <v>0</v>
      </c>
      <c r="AK33" s="2">
        <f>COUNTIFS(集計用!$G31,"*, "&amp;AK$3&amp;", *")</f>
        <v>0</v>
      </c>
      <c r="AL33" s="2">
        <f>COUNTIFS(集計用!$G31,"*, "&amp;AL$3&amp;", *")</f>
        <v>0</v>
      </c>
      <c r="AM33" s="2">
        <f>COUNTIFS(集計用!$G31,"*, "&amp;AM$3&amp;", *")</f>
        <v>0</v>
      </c>
      <c r="AN33" s="2">
        <f>COUNTIFS(集計用!$G31,"*, "&amp;AN$3&amp;", *")</f>
        <v>0</v>
      </c>
      <c r="AO33" s="2">
        <f>COUNTIFS(集計用!$G31,"*, "&amp;AO$3&amp;", *")</f>
        <v>0</v>
      </c>
      <c r="AP33" s="2">
        <f>COUNTIFS(集計用!$G31,"*, "&amp;AP$3&amp;", *")</f>
        <v>0</v>
      </c>
      <c r="AQ33" s="2">
        <f>COUNTIFS(集計用!$G31,"*, "&amp;AQ$3&amp;", *")</f>
        <v>0</v>
      </c>
      <c r="AR33" s="2">
        <f>COUNTIFS(集計用!$G31,"*, "&amp;AR$3&amp;", *")</f>
        <v>0</v>
      </c>
      <c r="AS33" s="2">
        <f>COUNTIFS(集計用!$G31,"*, "&amp;AS$3&amp;", *")</f>
        <v>0</v>
      </c>
      <c r="AT33" s="2">
        <f>COUNTIFS(集計用!$G31,"*, "&amp;AT$3&amp;", *")</f>
        <v>0</v>
      </c>
      <c r="AU33" s="2">
        <f>COUNTIFS(集計用!$G31,"*, "&amp;AU$3&amp;", *")</f>
        <v>0</v>
      </c>
      <c r="AV33" s="2">
        <f>COUNTIFS(集計用!$G31,"*, "&amp;AV$3&amp;", *")</f>
        <v>0</v>
      </c>
      <c r="AW33" s="2">
        <f>COUNTIFS(集計用!$G31,"*, "&amp;AW$3&amp;", *")</f>
        <v>0</v>
      </c>
      <c r="AX33" s="2">
        <f>COUNTIFS(集計用!$G31,"*, "&amp;AX$3&amp;", *")</f>
        <v>0</v>
      </c>
      <c r="AY33" s="2">
        <f>COUNTIFS(集計用!$G31,"*, "&amp;AY$3&amp;", *")</f>
        <v>0</v>
      </c>
      <c r="AZ33" s="2">
        <f>COUNTIFS(集計用!$G31,"*, "&amp;AZ$3&amp;", *")</f>
        <v>0</v>
      </c>
      <c r="BA33" s="2">
        <f>COUNTIFS(集計用!$G31,"*, "&amp;BA$3&amp;", *")</f>
        <v>0</v>
      </c>
      <c r="BB33" s="2">
        <f>COUNTIFS(集計用!$G31,"*, "&amp;BB$3&amp;", *")</f>
        <v>0</v>
      </c>
      <c r="BC33" s="2">
        <f>COUNTIFS(集計用!$G31,"*, "&amp;BC$3&amp;", *")</f>
        <v>0</v>
      </c>
      <c r="BD33" s="2">
        <f>COUNTIFS(集計用!$G31,"*, "&amp;BD$3&amp;", *")</f>
        <v>0</v>
      </c>
      <c r="BE33" s="2">
        <f>COUNTIFS(集計用!$G31,"*, "&amp;BE$3&amp;", *")</f>
        <v>0</v>
      </c>
      <c r="BF33" s="2">
        <f>COUNTIFS(集計用!$G31,"*, "&amp;BF$3&amp;", *")</f>
        <v>0</v>
      </c>
      <c r="BG33" s="2">
        <f>COUNTIFS(集計用!$G31,"*, "&amp;BG$3&amp;", *")</f>
        <v>0</v>
      </c>
      <c r="BH33" s="2">
        <f>COUNTIFS(集計用!$G31,"*, "&amp;BH$3&amp;", *")</f>
        <v>0</v>
      </c>
      <c r="BI33" s="2">
        <f>COUNTIFS(集計用!$G31,"*, "&amp;BI$3&amp;", *")</f>
        <v>0</v>
      </c>
      <c r="BJ33" s="2">
        <f>LEN(集計用!H31)-LEN(SUBSTITUTE(集計用!H31,",",""))</f>
        <v>0</v>
      </c>
    </row>
    <row r="34" spans="1:62" ht="12.75">
      <c r="A34" s="8">
        <v>31</v>
      </c>
      <c r="C34" s="2">
        <f t="shared" si="2"/>
        <v>4</v>
      </c>
      <c r="D34" s="9"/>
      <c r="E34" s="2">
        <f>COUNTIFS(集計用!$G32,"*, "&amp;E$3&amp;", *")</f>
        <v>1</v>
      </c>
      <c r="F34" s="2">
        <f>COUNTIFS(集計用!$G32,"*, "&amp;F$3&amp;", *")</f>
        <v>1</v>
      </c>
      <c r="G34" s="2">
        <f>COUNTIFS(集計用!$G32,"*, "&amp;G$3&amp;", *")</f>
        <v>0</v>
      </c>
      <c r="H34" s="2">
        <f>COUNTIFS(集計用!$G32,"*, "&amp;H$3&amp;", *")</f>
        <v>0</v>
      </c>
      <c r="I34" s="2">
        <f>COUNTIFS(集計用!$G32,"*, "&amp;I$3&amp;", *")</f>
        <v>1</v>
      </c>
      <c r="J34" s="2">
        <f>COUNTIFS(集計用!$G32,"*, "&amp;J$3&amp;", *")</f>
        <v>0</v>
      </c>
      <c r="K34" s="2">
        <f>COUNTIFS(集計用!$G32,"*, "&amp;K$3&amp;", *")</f>
        <v>0</v>
      </c>
      <c r="L34" s="2">
        <f>COUNTIFS(集計用!$G32,"*, "&amp;L$3&amp;", *")</f>
        <v>0</v>
      </c>
      <c r="M34" s="2">
        <f>COUNTIFS(集計用!$G32,"*, "&amp;M$3&amp;", *")</f>
        <v>1</v>
      </c>
      <c r="N34" s="2">
        <f>COUNTIFS(集計用!$G32,"*, "&amp;N$3&amp;", *")</f>
        <v>0</v>
      </c>
      <c r="O34" s="2">
        <f>COUNTIFS(集計用!$G32,"*, "&amp;O$3&amp;", *")</f>
        <v>0</v>
      </c>
      <c r="P34" s="2">
        <f>COUNTIFS(集計用!$G32,"*, "&amp;P$3&amp;", *")</f>
        <v>0</v>
      </c>
      <c r="Q34" s="2">
        <f>COUNTIFS(集計用!$G32,"*, "&amp;Q$3&amp;", *")</f>
        <v>0</v>
      </c>
      <c r="R34" s="2">
        <f>COUNTIFS(集計用!$G32,"*, "&amp;R$3&amp;", *")</f>
        <v>0</v>
      </c>
      <c r="S34" s="2">
        <f>COUNTIFS(集計用!$G32,"*, "&amp;S$3&amp;", *")</f>
        <v>0</v>
      </c>
      <c r="T34" s="2">
        <f>COUNTIFS(集計用!$G32,"*, "&amp;T$3&amp;", *")</f>
        <v>0</v>
      </c>
      <c r="U34" s="2">
        <f>COUNTIFS(集計用!$G32,"*, "&amp;U$3&amp;", *")</f>
        <v>0</v>
      </c>
      <c r="V34" s="2">
        <f>COUNTIFS(集計用!$G32,"*, "&amp;V$3&amp;", *")</f>
        <v>0</v>
      </c>
      <c r="W34" s="2">
        <f>COUNTIFS(集計用!$G32,"*, "&amp;W$3&amp;", *")</f>
        <v>0</v>
      </c>
      <c r="X34" s="2">
        <f>COUNTIFS(集計用!$G32,"*, "&amp;X$3&amp;", *")</f>
        <v>0</v>
      </c>
      <c r="Y34" s="2">
        <f>COUNTIFS(集計用!$G32,"*, "&amp;Y$3&amp;", *")</f>
        <v>0</v>
      </c>
      <c r="Z34" s="2">
        <f>COUNTIFS(集計用!$G32,"*, "&amp;Z$3&amp;", *")</f>
        <v>0</v>
      </c>
      <c r="AA34" s="2">
        <f>COUNTIFS(集計用!$G32,"*, "&amp;AA$3&amp;", *")</f>
        <v>0</v>
      </c>
      <c r="AB34" s="2">
        <f>COUNTIFS(集計用!$G32,"*, "&amp;AB$3&amp;", *")</f>
        <v>0</v>
      </c>
      <c r="AC34" s="2">
        <f>COUNTIFS(集計用!$G32,"*, "&amp;AC$3&amp;", *")</f>
        <v>0</v>
      </c>
      <c r="AD34" s="2">
        <f>COUNTIFS(集計用!$G32,"*, "&amp;AD$3&amp;", *")</f>
        <v>0</v>
      </c>
      <c r="AE34" s="2">
        <f>COUNTIFS(集計用!$G32,"*, "&amp;AE$3&amp;", *")</f>
        <v>0</v>
      </c>
      <c r="AF34" s="2">
        <f>COUNTIFS(集計用!$G32,"*, "&amp;AF$3&amp;", *")</f>
        <v>0</v>
      </c>
      <c r="AG34" s="2">
        <f>COUNTIFS(集計用!$G32,"*, "&amp;AG$3&amp;", *")</f>
        <v>0</v>
      </c>
      <c r="AH34" s="2">
        <f>COUNTIFS(集計用!$G32,"*, "&amp;AH$3&amp;", *")</f>
        <v>0</v>
      </c>
      <c r="AI34" s="2">
        <f>COUNTIFS(集計用!$G32,"*, "&amp;AI$3&amp;", *")</f>
        <v>0</v>
      </c>
      <c r="AJ34" s="2">
        <f>COUNTIFS(集計用!$G32,"*, "&amp;AJ$3&amp;", *")</f>
        <v>0</v>
      </c>
      <c r="AK34" s="2">
        <f>COUNTIFS(集計用!$G32,"*, "&amp;AK$3&amp;", *")</f>
        <v>0</v>
      </c>
      <c r="AL34" s="2">
        <f>COUNTIFS(集計用!$G32,"*, "&amp;AL$3&amp;", *")</f>
        <v>0</v>
      </c>
      <c r="AM34" s="2">
        <f>COUNTIFS(集計用!$G32,"*, "&amp;AM$3&amp;", *")</f>
        <v>0</v>
      </c>
      <c r="AN34" s="2">
        <f>COUNTIFS(集計用!$G32,"*, "&amp;AN$3&amp;", *")</f>
        <v>0</v>
      </c>
      <c r="AO34" s="2">
        <f>COUNTIFS(集計用!$G32,"*, "&amp;AO$3&amp;", *")</f>
        <v>0</v>
      </c>
      <c r="AP34" s="2">
        <f>COUNTIFS(集計用!$G32,"*, "&amp;AP$3&amp;", *")</f>
        <v>0</v>
      </c>
      <c r="AQ34" s="2">
        <f>COUNTIFS(集計用!$G32,"*, "&amp;AQ$3&amp;", *")</f>
        <v>0</v>
      </c>
      <c r="AR34" s="2">
        <f>COUNTIFS(集計用!$G32,"*, "&amp;AR$3&amp;", *")</f>
        <v>0</v>
      </c>
      <c r="AS34" s="2">
        <f>COUNTIFS(集計用!$G32,"*, "&amp;AS$3&amp;", *")</f>
        <v>0</v>
      </c>
      <c r="AT34" s="2">
        <f>COUNTIFS(集計用!$G32,"*, "&amp;AT$3&amp;", *")</f>
        <v>0</v>
      </c>
      <c r="AU34" s="2">
        <f>COUNTIFS(集計用!$G32,"*, "&amp;AU$3&amp;", *")</f>
        <v>0</v>
      </c>
      <c r="AV34" s="2">
        <f>COUNTIFS(集計用!$G32,"*, "&amp;AV$3&amp;", *")</f>
        <v>0</v>
      </c>
      <c r="AW34" s="2">
        <f>COUNTIFS(集計用!$G32,"*, "&amp;AW$3&amp;", *")</f>
        <v>0</v>
      </c>
      <c r="AX34" s="2">
        <f>COUNTIFS(集計用!$G32,"*, "&amp;AX$3&amp;", *")</f>
        <v>0</v>
      </c>
      <c r="AY34" s="2">
        <f>COUNTIFS(集計用!$G32,"*, "&amp;AY$3&amp;", *")</f>
        <v>0</v>
      </c>
      <c r="AZ34" s="2">
        <f>COUNTIFS(集計用!$G32,"*, "&amp;AZ$3&amp;", *")</f>
        <v>0</v>
      </c>
      <c r="BA34" s="2">
        <f>COUNTIFS(集計用!$G32,"*, "&amp;BA$3&amp;", *")</f>
        <v>0</v>
      </c>
      <c r="BB34" s="2">
        <f>COUNTIFS(集計用!$G32,"*, "&amp;BB$3&amp;", *")</f>
        <v>0</v>
      </c>
      <c r="BC34" s="2">
        <f>COUNTIFS(集計用!$G32,"*, "&amp;BC$3&amp;", *")</f>
        <v>0</v>
      </c>
      <c r="BD34" s="2">
        <f>COUNTIFS(集計用!$G32,"*, "&amp;BD$3&amp;", *")</f>
        <v>0</v>
      </c>
      <c r="BE34" s="2">
        <f>COUNTIFS(集計用!$G32,"*, "&amp;BE$3&amp;", *")</f>
        <v>0</v>
      </c>
      <c r="BF34" s="2">
        <f>COUNTIFS(集計用!$G32,"*, "&amp;BF$3&amp;", *")</f>
        <v>0</v>
      </c>
      <c r="BG34" s="2">
        <f>COUNTIFS(集計用!$G32,"*, "&amp;BG$3&amp;", *")</f>
        <v>0</v>
      </c>
      <c r="BH34" s="2">
        <f>COUNTIFS(集計用!$G32,"*, "&amp;BH$3&amp;", *")</f>
        <v>0</v>
      </c>
      <c r="BI34" s="2">
        <f>COUNTIFS(集計用!$G32,"*, "&amp;BI$3&amp;", *")</f>
        <v>0</v>
      </c>
      <c r="BJ34" s="2">
        <f>LEN(集計用!H32)-LEN(SUBSTITUTE(集計用!H32,",",""))</f>
        <v>0</v>
      </c>
    </row>
    <row r="35" spans="1:62" ht="12.75">
      <c r="A35" s="8">
        <v>32</v>
      </c>
      <c r="C35" s="2">
        <f t="shared" si="2"/>
        <v>1</v>
      </c>
      <c r="D35" s="9"/>
      <c r="E35" s="2">
        <f>COUNTIFS(集計用!$G33,"*, "&amp;E$3&amp;", *")</f>
        <v>0</v>
      </c>
      <c r="F35" s="2">
        <f>COUNTIFS(集計用!$G33,"*, "&amp;F$3&amp;", *")</f>
        <v>1</v>
      </c>
      <c r="G35" s="2">
        <f>COUNTIFS(集計用!$G33,"*, "&amp;G$3&amp;", *")</f>
        <v>0</v>
      </c>
      <c r="H35" s="2">
        <f>COUNTIFS(集計用!$G33,"*, "&amp;H$3&amp;", *")</f>
        <v>0</v>
      </c>
      <c r="I35" s="2">
        <f>COUNTIFS(集計用!$G33,"*, "&amp;I$3&amp;", *")</f>
        <v>0</v>
      </c>
      <c r="J35" s="2">
        <f>COUNTIFS(集計用!$G33,"*, "&amp;J$3&amp;", *")</f>
        <v>0</v>
      </c>
      <c r="K35" s="2">
        <f>COUNTIFS(集計用!$G33,"*, "&amp;K$3&amp;", *")</f>
        <v>0</v>
      </c>
      <c r="L35" s="2">
        <f>COUNTIFS(集計用!$G33,"*, "&amp;L$3&amp;", *")</f>
        <v>0</v>
      </c>
      <c r="M35" s="2">
        <f>COUNTIFS(集計用!$G33,"*, "&amp;M$3&amp;", *")</f>
        <v>0</v>
      </c>
      <c r="N35" s="2">
        <f>COUNTIFS(集計用!$G33,"*, "&amp;N$3&amp;", *")</f>
        <v>0</v>
      </c>
      <c r="O35" s="2">
        <f>COUNTIFS(集計用!$G33,"*, "&amp;O$3&amp;", *")</f>
        <v>0</v>
      </c>
      <c r="P35" s="2">
        <f>COUNTIFS(集計用!$G33,"*, "&amp;P$3&amp;", *")</f>
        <v>0</v>
      </c>
      <c r="Q35" s="2">
        <f>COUNTIFS(集計用!$G33,"*, "&amp;Q$3&amp;", *")</f>
        <v>0</v>
      </c>
      <c r="R35" s="2">
        <f>COUNTIFS(集計用!$G33,"*, "&amp;R$3&amp;", *")</f>
        <v>0</v>
      </c>
      <c r="S35" s="2">
        <f>COUNTIFS(集計用!$G33,"*, "&amp;S$3&amp;", *")</f>
        <v>0</v>
      </c>
      <c r="T35" s="2">
        <f>COUNTIFS(集計用!$G33,"*, "&amp;T$3&amp;", *")</f>
        <v>0</v>
      </c>
      <c r="U35" s="2">
        <f>COUNTIFS(集計用!$G33,"*, "&amp;U$3&amp;", *")</f>
        <v>0</v>
      </c>
      <c r="V35" s="2">
        <f>COUNTIFS(集計用!$G33,"*, "&amp;V$3&amp;", *")</f>
        <v>0</v>
      </c>
      <c r="W35" s="2">
        <f>COUNTIFS(集計用!$G33,"*, "&amp;W$3&amp;", *")</f>
        <v>0</v>
      </c>
      <c r="X35" s="2">
        <f>COUNTIFS(集計用!$G33,"*, "&amp;X$3&amp;", *")</f>
        <v>0</v>
      </c>
      <c r="Y35" s="2">
        <f>COUNTIFS(集計用!$G33,"*, "&amp;Y$3&amp;", *")</f>
        <v>0</v>
      </c>
      <c r="Z35" s="2">
        <f>COUNTIFS(集計用!$G33,"*, "&amp;Z$3&amp;", *")</f>
        <v>0</v>
      </c>
      <c r="AA35" s="2">
        <f>COUNTIFS(集計用!$G33,"*, "&amp;AA$3&amp;", *")</f>
        <v>0</v>
      </c>
      <c r="AB35" s="2">
        <f>COUNTIFS(集計用!$G33,"*, "&amp;AB$3&amp;", *")</f>
        <v>0</v>
      </c>
      <c r="AC35" s="2">
        <f>COUNTIFS(集計用!$G33,"*, "&amp;AC$3&amp;", *")</f>
        <v>0</v>
      </c>
      <c r="AD35" s="2">
        <f>COUNTIFS(集計用!$G33,"*, "&amp;AD$3&amp;", *")</f>
        <v>0</v>
      </c>
      <c r="AE35" s="2">
        <f>COUNTIFS(集計用!$G33,"*, "&amp;AE$3&amp;", *")</f>
        <v>0</v>
      </c>
      <c r="AF35" s="2">
        <f>COUNTIFS(集計用!$G33,"*, "&amp;AF$3&amp;", *")</f>
        <v>0</v>
      </c>
      <c r="AG35" s="2">
        <f>COUNTIFS(集計用!$G33,"*, "&amp;AG$3&amp;", *")</f>
        <v>0</v>
      </c>
      <c r="AH35" s="2">
        <f>COUNTIFS(集計用!$G33,"*, "&amp;AH$3&amp;", *")</f>
        <v>0</v>
      </c>
      <c r="AI35" s="2">
        <f>COUNTIFS(集計用!$G33,"*, "&amp;AI$3&amp;", *")</f>
        <v>0</v>
      </c>
      <c r="AJ35" s="2">
        <f>COUNTIFS(集計用!$G33,"*, "&amp;AJ$3&amp;", *")</f>
        <v>0</v>
      </c>
      <c r="AK35" s="2">
        <f>COUNTIFS(集計用!$G33,"*, "&amp;AK$3&amp;", *")</f>
        <v>0</v>
      </c>
      <c r="AL35" s="2">
        <f>COUNTIFS(集計用!$G33,"*, "&amp;AL$3&amp;", *")</f>
        <v>0</v>
      </c>
      <c r="AM35" s="2">
        <f>COUNTIFS(集計用!$G33,"*, "&amp;AM$3&amp;", *")</f>
        <v>0</v>
      </c>
      <c r="AN35" s="2">
        <f>COUNTIFS(集計用!$G33,"*, "&amp;AN$3&amp;", *")</f>
        <v>0</v>
      </c>
      <c r="AO35" s="2">
        <f>COUNTIFS(集計用!$G33,"*, "&amp;AO$3&amp;", *")</f>
        <v>0</v>
      </c>
      <c r="AP35" s="2">
        <f>COUNTIFS(集計用!$G33,"*, "&amp;AP$3&amp;", *")</f>
        <v>0</v>
      </c>
      <c r="AQ35" s="2">
        <f>COUNTIFS(集計用!$G33,"*, "&amp;AQ$3&amp;", *")</f>
        <v>0</v>
      </c>
      <c r="AR35" s="2">
        <f>COUNTIFS(集計用!$G33,"*, "&amp;AR$3&amp;", *")</f>
        <v>0</v>
      </c>
      <c r="AS35" s="2">
        <f>COUNTIFS(集計用!$G33,"*, "&amp;AS$3&amp;", *")</f>
        <v>0</v>
      </c>
      <c r="AT35" s="2">
        <f>COUNTIFS(集計用!$G33,"*, "&amp;AT$3&amp;", *")</f>
        <v>0</v>
      </c>
      <c r="AU35" s="2">
        <f>COUNTIFS(集計用!$G33,"*, "&amp;AU$3&amp;", *")</f>
        <v>0</v>
      </c>
      <c r="AV35" s="2">
        <f>COUNTIFS(集計用!$G33,"*, "&amp;AV$3&amp;", *")</f>
        <v>0</v>
      </c>
      <c r="AW35" s="2">
        <f>COUNTIFS(集計用!$G33,"*, "&amp;AW$3&amp;", *")</f>
        <v>0</v>
      </c>
      <c r="AX35" s="2">
        <f>COUNTIFS(集計用!$G33,"*, "&amp;AX$3&amp;", *")</f>
        <v>0</v>
      </c>
      <c r="AY35" s="2">
        <f>COUNTIFS(集計用!$G33,"*, "&amp;AY$3&amp;", *")</f>
        <v>0</v>
      </c>
      <c r="AZ35" s="2">
        <f>COUNTIFS(集計用!$G33,"*, "&amp;AZ$3&amp;", *")</f>
        <v>0</v>
      </c>
      <c r="BA35" s="2">
        <f>COUNTIFS(集計用!$G33,"*, "&amp;BA$3&amp;", *")</f>
        <v>0</v>
      </c>
      <c r="BB35" s="2">
        <f>COUNTIFS(集計用!$G33,"*, "&amp;BB$3&amp;", *")</f>
        <v>0</v>
      </c>
      <c r="BC35" s="2">
        <f>COUNTIFS(集計用!$G33,"*, "&amp;BC$3&amp;", *")</f>
        <v>0</v>
      </c>
      <c r="BD35" s="2">
        <f>COUNTIFS(集計用!$G33,"*, "&amp;BD$3&amp;", *")</f>
        <v>0</v>
      </c>
      <c r="BE35" s="2">
        <f>COUNTIFS(集計用!$G33,"*, "&amp;BE$3&amp;", *")</f>
        <v>0</v>
      </c>
      <c r="BF35" s="2">
        <f>COUNTIFS(集計用!$G33,"*, "&amp;BF$3&amp;", *")</f>
        <v>0</v>
      </c>
      <c r="BG35" s="2">
        <f>COUNTIFS(集計用!$G33,"*, "&amp;BG$3&amp;", *")</f>
        <v>0</v>
      </c>
      <c r="BH35" s="2">
        <f>COUNTIFS(集計用!$G33,"*, "&amp;BH$3&amp;", *")</f>
        <v>0</v>
      </c>
      <c r="BI35" s="2">
        <f>COUNTIFS(集計用!$G33,"*, "&amp;BI$3&amp;", *")</f>
        <v>0</v>
      </c>
      <c r="BJ35" s="2">
        <f>LEN(集計用!H33)-LEN(SUBSTITUTE(集計用!H33,",",""))</f>
        <v>0</v>
      </c>
    </row>
    <row r="36" spans="1:62" ht="12.75">
      <c r="A36" s="8">
        <v>33</v>
      </c>
      <c r="C36" s="2">
        <f t="shared" si="2"/>
        <v>1</v>
      </c>
      <c r="D36" s="9"/>
      <c r="E36" s="2">
        <f>COUNTIFS(集計用!$G34,"*, "&amp;E$3&amp;", *")</f>
        <v>0</v>
      </c>
      <c r="F36" s="2">
        <f>COUNTIFS(集計用!$G34,"*, "&amp;F$3&amp;", *")</f>
        <v>0</v>
      </c>
      <c r="G36" s="2">
        <f>COUNTIFS(集計用!$G34,"*, "&amp;G$3&amp;", *")</f>
        <v>0</v>
      </c>
      <c r="H36" s="2">
        <f>COUNTIFS(集計用!$G34,"*, "&amp;H$3&amp;", *")</f>
        <v>0</v>
      </c>
      <c r="I36" s="2">
        <f>COUNTIFS(集計用!$G34,"*, "&amp;I$3&amp;", *")</f>
        <v>0</v>
      </c>
      <c r="J36" s="2">
        <f>COUNTIFS(集計用!$G34,"*, "&amp;J$3&amp;", *")</f>
        <v>0</v>
      </c>
      <c r="K36" s="2">
        <f>COUNTIFS(集計用!$G34,"*, "&amp;K$3&amp;", *")</f>
        <v>0</v>
      </c>
      <c r="L36" s="2">
        <f>COUNTIFS(集計用!$G34,"*, "&amp;L$3&amp;", *")</f>
        <v>0</v>
      </c>
      <c r="M36" s="2">
        <f>COUNTIFS(集計用!$G34,"*, "&amp;M$3&amp;", *")</f>
        <v>0</v>
      </c>
      <c r="N36" s="2">
        <f>COUNTIFS(集計用!$G34,"*, "&amp;N$3&amp;", *")</f>
        <v>0</v>
      </c>
      <c r="O36" s="2">
        <f>COUNTIFS(集計用!$G34,"*, "&amp;O$3&amp;", *")</f>
        <v>0</v>
      </c>
      <c r="P36" s="2">
        <f>COUNTIFS(集計用!$G34,"*, "&amp;P$3&amp;", *")</f>
        <v>0</v>
      </c>
      <c r="Q36" s="2">
        <f>COUNTIFS(集計用!$G34,"*, "&amp;Q$3&amp;", *")</f>
        <v>1</v>
      </c>
      <c r="R36" s="2">
        <f>COUNTIFS(集計用!$G34,"*, "&amp;R$3&amp;", *")</f>
        <v>0</v>
      </c>
      <c r="S36" s="2">
        <f>COUNTIFS(集計用!$G34,"*, "&amp;S$3&amp;", *")</f>
        <v>0</v>
      </c>
      <c r="T36" s="2">
        <f>COUNTIFS(集計用!$G34,"*, "&amp;T$3&amp;", *")</f>
        <v>0</v>
      </c>
      <c r="U36" s="2">
        <f>COUNTIFS(集計用!$G34,"*, "&amp;U$3&amp;", *")</f>
        <v>0</v>
      </c>
      <c r="V36" s="2">
        <f>COUNTIFS(集計用!$G34,"*, "&amp;V$3&amp;", *")</f>
        <v>0</v>
      </c>
      <c r="W36" s="2">
        <f>COUNTIFS(集計用!$G34,"*, "&amp;W$3&amp;", *")</f>
        <v>0</v>
      </c>
      <c r="X36" s="2">
        <f>COUNTIFS(集計用!$G34,"*, "&amp;X$3&amp;", *")</f>
        <v>0</v>
      </c>
      <c r="Y36" s="2">
        <f>COUNTIFS(集計用!$G34,"*, "&amp;Y$3&amp;", *")</f>
        <v>0</v>
      </c>
      <c r="Z36" s="2">
        <f>COUNTIFS(集計用!$G34,"*, "&amp;Z$3&amp;", *")</f>
        <v>0</v>
      </c>
      <c r="AA36" s="2">
        <f>COUNTIFS(集計用!$G34,"*, "&amp;AA$3&amp;", *")</f>
        <v>0</v>
      </c>
      <c r="AB36" s="2">
        <f>COUNTIFS(集計用!$G34,"*, "&amp;AB$3&amp;", *")</f>
        <v>0</v>
      </c>
      <c r="AC36" s="2">
        <f>COUNTIFS(集計用!$G34,"*, "&amp;AC$3&amp;", *")</f>
        <v>0</v>
      </c>
      <c r="AD36" s="2">
        <f>COUNTIFS(集計用!$G34,"*, "&amp;AD$3&amp;", *")</f>
        <v>0</v>
      </c>
      <c r="AE36" s="2">
        <f>COUNTIFS(集計用!$G34,"*, "&amp;AE$3&amp;", *")</f>
        <v>0</v>
      </c>
      <c r="AF36" s="2">
        <f>COUNTIFS(集計用!$G34,"*, "&amp;AF$3&amp;", *")</f>
        <v>0</v>
      </c>
      <c r="AG36" s="2">
        <f>COUNTIFS(集計用!$G34,"*, "&amp;AG$3&amp;", *")</f>
        <v>0</v>
      </c>
      <c r="AH36" s="2">
        <f>COUNTIFS(集計用!$G34,"*, "&amp;AH$3&amp;", *")</f>
        <v>0</v>
      </c>
      <c r="AI36" s="2">
        <f>COUNTIFS(集計用!$G34,"*, "&amp;AI$3&amp;", *")</f>
        <v>0</v>
      </c>
      <c r="AJ36" s="2">
        <f>COUNTIFS(集計用!$G34,"*, "&amp;AJ$3&amp;", *")</f>
        <v>0</v>
      </c>
      <c r="AK36" s="2">
        <f>COUNTIFS(集計用!$G34,"*, "&amp;AK$3&amp;", *")</f>
        <v>0</v>
      </c>
      <c r="AL36" s="2">
        <f>COUNTIFS(集計用!$G34,"*, "&amp;AL$3&amp;", *")</f>
        <v>0</v>
      </c>
      <c r="AM36" s="2">
        <f>COUNTIFS(集計用!$G34,"*, "&amp;AM$3&amp;", *")</f>
        <v>0</v>
      </c>
      <c r="AN36" s="2">
        <f>COUNTIFS(集計用!$G34,"*, "&amp;AN$3&amp;", *")</f>
        <v>0</v>
      </c>
      <c r="AO36" s="2">
        <f>COUNTIFS(集計用!$G34,"*, "&amp;AO$3&amp;", *")</f>
        <v>0</v>
      </c>
      <c r="AP36" s="2">
        <f>COUNTIFS(集計用!$G34,"*, "&amp;AP$3&amp;", *")</f>
        <v>0</v>
      </c>
      <c r="AQ36" s="2">
        <f>COUNTIFS(集計用!$G34,"*, "&amp;AQ$3&amp;", *")</f>
        <v>0</v>
      </c>
      <c r="AR36" s="2">
        <f>COUNTIFS(集計用!$G34,"*, "&amp;AR$3&amp;", *")</f>
        <v>0</v>
      </c>
      <c r="AS36" s="2">
        <f>COUNTIFS(集計用!$G34,"*, "&amp;AS$3&amp;", *")</f>
        <v>0</v>
      </c>
      <c r="AT36" s="2">
        <f>COUNTIFS(集計用!$G34,"*, "&amp;AT$3&amp;", *")</f>
        <v>0</v>
      </c>
      <c r="AU36" s="2">
        <f>COUNTIFS(集計用!$G34,"*, "&amp;AU$3&amp;", *")</f>
        <v>0</v>
      </c>
      <c r="AV36" s="2">
        <f>COUNTIFS(集計用!$G34,"*, "&amp;AV$3&amp;", *")</f>
        <v>0</v>
      </c>
      <c r="AW36" s="2">
        <f>COUNTIFS(集計用!$G34,"*, "&amp;AW$3&amp;", *")</f>
        <v>0</v>
      </c>
      <c r="AX36" s="2">
        <f>COUNTIFS(集計用!$G34,"*, "&amp;AX$3&amp;", *")</f>
        <v>0</v>
      </c>
      <c r="AY36" s="2">
        <f>COUNTIFS(集計用!$G34,"*, "&amp;AY$3&amp;", *")</f>
        <v>0</v>
      </c>
      <c r="AZ36" s="2">
        <f>COUNTIFS(集計用!$G34,"*, "&amp;AZ$3&amp;", *")</f>
        <v>0</v>
      </c>
      <c r="BA36" s="2">
        <f>COUNTIFS(集計用!$G34,"*, "&amp;BA$3&amp;", *")</f>
        <v>0</v>
      </c>
      <c r="BB36" s="2">
        <f>COUNTIFS(集計用!$G34,"*, "&amp;BB$3&amp;", *")</f>
        <v>0</v>
      </c>
      <c r="BC36" s="2">
        <f>COUNTIFS(集計用!$G34,"*, "&amp;BC$3&amp;", *")</f>
        <v>0</v>
      </c>
      <c r="BD36" s="2">
        <f>COUNTIFS(集計用!$G34,"*, "&amp;BD$3&amp;", *")</f>
        <v>0</v>
      </c>
      <c r="BE36" s="2">
        <f>COUNTIFS(集計用!$G34,"*, "&amp;BE$3&amp;", *")</f>
        <v>0</v>
      </c>
      <c r="BF36" s="2">
        <f>COUNTIFS(集計用!$G34,"*, "&amp;BF$3&amp;", *")</f>
        <v>0</v>
      </c>
      <c r="BG36" s="2">
        <f>COUNTIFS(集計用!$G34,"*, "&amp;BG$3&amp;", *")</f>
        <v>0</v>
      </c>
      <c r="BH36" s="2">
        <f>COUNTIFS(集計用!$G34,"*, "&amp;BH$3&amp;", *")</f>
        <v>0</v>
      </c>
      <c r="BI36" s="2">
        <f>COUNTIFS(集計用!$G34,"*, "&amp;BI$3&amp;", *")</f>
        <v>0</v>
      </c>
      <c r="BJ36" s="2">
        <f>LEN(集計用!H34)-LEN(SUBSTITUTE(集計用!H34,",",""))</f>
        <v>0</v>
      </c>
    </row>
    <row r="37" spans="1:62" ht="12.75">
      <c r="A37" s="8">
        <v>34</v>
      </c>
      <c r="C37" s="2">
        <f t="shared" si="2"/>
        <v>7</v>
      </c>
      <c r="D37" s="9"/>
      <c r="E37" s="2">
        <f>COUNTIFS(集計用!$G35,"*, "&amp;E$3&amp;", *")</f>
        <v>1</v>
      </c>
      <c r="F37" s="2">
        <f>COUNTIFS(集計用!$G35,"*, "&amp;F$3&amp;", *")</f>
        <v>1</v>
      </c>
      <c r="G37" s="2">
        <f>COUNTIFS(集計用!$G35,"*, "&amp;G$3&amp;", *")</f>
        <v>0</v>
      </c>
      <c r="H37" s="2">
        <f>COUNTIFS(集計用!$G35,"*, "&amp;H$3&amp;", *")</f>
        <v>1</v>
      </c>
      <c r="I37" s="2">
        <f>COUNTIFS(集計用!$G35,"*, "&amp;I$3&amp;", *")</f>
        <v>0</v>
      </c>
      <c r="J37" s="2">
        <f>COUNTIFS(集計用!$G35,"*, "&amp;J$3&amp;", *")</f>
        <v>0</v>
      </c>
      <c r="K37" s="2">
        <f>COUNTIFS(集計用!$G35,"*, "&amp;K$3&amp;", *")</f>
        <v>0</v>
      </c>
      <c r="L37" s="2">
        <f>COUNTIFS(集計用!$G35,"*, "&amp;L$3&amp;", *")</f>
        <v>0</v>
      </c>
      <c r="M37" s="2">
        <f>COUNTIFS(集計用!$G35,"*, "&amp;M$3&amp;", *")</f>
        <v>0</v>
      </c>
      <c r="N37" s="2">
        <f>COUNTIFS(集計用!$G35,"*, "&amp;N$3&amp;", *")</f>
        <v>0</v>
      </c>
      <c r="O37" s="2">
        <f>COUNTIFS(集計用!$G35,"*, "&amp;O$3&amp;", *")</f>
        <v>0</v>
      </c>
      <c r="P37" s="2">
        <f>COUNTIFS(集計用!$G35,"*, "&amp;P$3&amp;", *")</f>
        <v>0</v>
      </c>
      <c r="Q37" s="2">
        <f>COUNTIFS(集計用!$G35,"*, "&amp;Q$3&amp;", *")</f>
        <v>0</v>
      </c>
      <c r="R37" s="2">
        <f>COUNTIFS(集計用!$G35,"*, "&amp;R$3&amp;", *")</f>
        <v>0</v>
      </c>
      <c r="S37" s="2">
        <f>COUNTIFS(集計用!$G35,"*, "&amp;S$3&amp;", *")</f>
        <v>0</v>
      </c>
      <c r="T37" s="2">
        <f>COUNTIFS(集計用!$G35,"*, "&amp;T$3&amp;", *")</f>
        <v>0</v>
      </c>
      <c r="U37" s="2">
        <f>COUNTIFS(集計用!$G35,"*, "&amp;U$3&amp;", *")</f>
        <v>0</v>
      </c>
      <c r="V37" s="2">
        <f>COUNTIFS(集計用!$G35,"*, "&amp;V$3&amp;", *")</f>
        <v>0</v>
      </c>
      <c r="W37" s="2">
        <f>COUNTIFS(集計用!$G35,"*, "&amp;W$3&amp;", *")</f>
        <v>0</v>
      </c>
      <c r="X37" s="2">
        <f>COUNTIFS(集計用!$G35,"*, "&amp;X$3&amp;", *")</f>
        <v>0</v>
      </c>
      <c r="Y37" s="2">
        <f>COUNTIFS(集計用!$G35,"*, "&amp;Y$3&amp;", *")</f>
        <v>0</v>
      </c>
      <c r="Z37" s="2">
        <f>COUNTIFS(集計用!$G35,"*, "&amp;Z$3&amp;", *")</f>
        <v>0</v>
      </c>
      <c r="AA37" s="2">
        <f>COUNTIFS(集計用!$G35,"*, "&amp;AA$3&amp;", *")</f>
        <v>0</v>
      </c>
      <c r="AB37" s="2">
        <f>COUNTIFS(集計用!$G35,"*, "&amp;AB$3&amp;", *")</f>
        <v>0</v>
      </c>
      <c r="AC37" s="2">
        <f>COUNTIFS(集計用!$G35,"*, "&amp;AC$3&amp;", *")</f>
        <v>1</v>
      </c>
      <c r="AD37" s="2">
        <f>COUNTIFS(集計用!$G35,"*, "&amp;AD$3&amp;", *")</f>
        <v>0</v>
      </c>
      <c r="AE37" s="2">
        <f>COUNTIFS(集計用!$G35,"*, "&amp;AE$3&amp;", *")</f>
        <v>0</v>
      </c>
      <c r="AF37" s="2">
        <f>COUNTIFS(集計用!$G35,"*, "&amp;AF$3&amp;", *")</f>
        <v>0</v>
      </c>
      <c r="AG37" s="2">
        <f>COUNTIFS(集計用!$G35,"*, "&amp;AG$3&amp;", *")</f>
        <v>0</v>
      </c>
      <c r="AH37" s="2">
        <f>COUNTIFS(集計用!$G35,"*, "&amp;AH$3&amp;", *")</f>
        <v>0</v>
      </c>
      <c r="AI37" s="2">
        <f>COUNTIFS(集計用!$G35,"*, "&amp;AI$3&amp;", *")</f>
        <v>0</v>
      </c>
      <c r="AJ37" s="2">
        <f>COUNTIFS(集計用!$G35,"*, "&amp;AJ$3&amp;", *")</f>
        <v>0</v>
      </c>
      <c r="AK37" s="2">
        <f>COUNTIFS(集計用!$G35,"*, "&amp;AK$3&amp;", *")</f>
        <v>0</v>
      </c>
      <c r="AL37" s="2">
        <f>COUNTIFS(集計用!$G35,"*, "&amp;AL$3&amp;", *")</f>
        <v>0</v>
      </c>
      <c r="AM37" s="2">
        <f>COUNTIFS(集計用!$G35,"*, "&amp;AM$3&amp;", *")</f>
        <v>0</v>
      </c>
      <c r="AN37" s="2">
        <f>COUNTIFS(集計用!$G35,"*, "&amp;AN$3&amp;", *")</f>
        <v>0</v>
      </c>
      <c r="AO37" s="2">
        <f>COUNTIFS(集計用!$G35,"*, "&amp;AO$3&amp;", *")</f>
        <v>0</v>
      </c>
      <c r="AP37" s="2">
        <f>COUNTIFS(集計用!$G35,"*, "&amp;AP$3&amp;", *")</f>
        <v>0</v>
      </c>
      <c r="AQ37" s="2">
        <f>COUNTIFS(集計用!$G35,"*, "&amp;AQ$3&amp;", *")</f>
        <v>0</v>
      </c>
      <c r="AR37" s="2">
        <f>COUNTIFS(集計用!$G35,"*, "&amp;AR$3&amp;", *")</f>
        <v>0</v>
      </c>
      <c r="AS37" s="2">
        <f>COUNTIFS(集計用!$G35,"*, "&amp;AS$3&amp;", *")</f>
        <v>0</v>
      </c>
      <c r="AT37" s="2">
        <f>COUNTIFS(集計用!$G35,"*, "&amp;AT$3&amp;", *")</f>
        <v>0</v>
      </c>
      <c r="AU37" s="2">
        <f>COUNTIFS(集計用!$G35,"*, "&amp;AU$3&amp;", *")</f>
        <v>0</v>
      </c>
      <c r="AV37" s="2">
        <f>COUNTIFS(集計用!$G35,"*, "&amp;AV$3&amp;", *")</f>
        <v>0</v>
      </c>
      <c r="AW37" s="2">
        <f>COUNTIFS(集計用!$G35,"*, "&amp;AW$3&amp;", *")</f>
        <v>0</v>
      </c>
      <c r="AX37" s="2">
        <f>COUNTIFS(集計用!$G35,"*, "&amp;AX$3&amp;", *")</f>
        <v>0</v>
      </c>
      <c r="AY37" s="2">
        <f>COUNTIFS(集計用!$G35,"*, "&amp;AY$3&amp;", *")</f>
        <v>0</v>
      </c>
      <c r="AZ37" s="2">
        <f>COUNTIFS(集計用!$G35,"*, "&amp;AZ$3&amp;", *")</f>
        <v>1</v>
      </c>
      <c r="BA37" s="2">
        <f>COUNTIFS(集計用!$G35,"*, "&amp;BA$3&amp;", *")</f>
        <v>0</v>
      </c>
      <c r="BB37" s="2">
        <f>COUNTIFS(集計用!$G35,"*, "&amp;BB$3&amp;", *")</f>
        <v>0</v>
      </c>
      <c r="BC37" s="2">
        <f>COUNTIFS(集計用!$G35,"*, "&amp;BC$3&amp;", *")</f>
        <v>0</v>
      </c>
      <c r="BD37" s="2">
        <f>COUNTIFS(集計用!$G35,"*, "&amp;BD$3&amp;", *")</f>
        <v>0</v>
      </c>
      <c r="BE37" s="2">
        <f>COUNTIFS(集計用!$G35,"*, "&amp;BE$3&amp;", *")</f>
        <v>0</v>
      </c>
      <c r="BF37" s="2">
        <f>COUNTIFS(集計用!$G35,"*, "&amp;BF$3&amp;", *")</f>
        <v>0</v>
      </c>
      <c r="BG37" s="2">
        <f>COUNTIFS(集計用!$G35,"*, "&amp;BG$3&amp;", *")</f>
        <v>0</v>
      </c>
      <c r="BH37" s="2">
        <f>COUNTIFS(集計用!$G35,"*, "&amp;BH$3&amp;", *")</f>
        <v>0</v>
      </c>
      <c r="BI37" s="2">
        <f>COUNTIFS(集計用!$G35,"*, "&amp;BI$3&amp;", *")</f>
        <v>0</v>
      </c>
      <c r="BJ37" s="2">
        <f>LEN(集計用!H35)-LEN(SUBSTITUTE(集計用!H35,",",""))</f>
        <v>2</v>
      </c>
    </row>
    <row r="38" spans="1:62" ht="12.75">
      <c r="A38" s="8">
        <v>35</v>
      </c>
      <c r="C38" s="2">
        <f t="shared" si="2"/>
        <v>7</v>
      </c>
      <c r="D38" s="9"/>
      <c r="E38" s="2">
        <f>COUNTIFS(集計用!$G36,"*, "&amp;E$3&amp;", *")</f>
        <v>1</v>
      </c>
      <c r="F38" s="2">
        <f>COUNTIFS(集計用!$G36,"*, "&amp;F$3&amp;", *")</f>
        <v>1</v>
      </c>
      <c r="G38" s="2">
        <f>COUNTIFS(集計用!$G36,"*, "&amp;G$3&amp;", *")</f>
        <v>1</v>
      </c>
      <c r="H38" s="2">
        <f>COUNTIFS(集計用!$G36,"*, "&amp;H$3&amp;", *")</f>
        <v>1</v>
      </c>
      <c r="I38" s="2">
        <f>COUNTIFS(集計用!$G36,"*, "&amp;I$3&amp;", *")</f>
        <v>0</v>
      </c>
      <c r="J38" s="2">
        <f>COUNTIFS(集計用!$G36,"*, "&amp;J$3&amp;", *")</f>
        <v>1</v>
      </c>
      <c r="K38" s="2">
        <f>COUNTIFS(集計用!$G36,"*, "&amp;K$3&amp;", *")</f>
        <v>1</v>
      </c>
      <c r="L38" s="2">
        <f>COUNTIFS(集計用!$G36,"*, "&amp;L$3&amp;", *")</f>
        <v>0</v>
      </c>
      <c r="M38" s="2">
        <f>COUNTIFS(集計用!$G36,"*, "&amp;M$3&amp;", *")</f>
        <v>0</v>
      </c>
      <c r="N38" s="2">
        <f>COUNTIFS(集計用!$G36,"*, "&amp;N$3&amp;", *")</f>
        <v>0</v>
      </c>
      <c r="O38" s="2">
        <f>COUNTIFS(集計用!$G36,"*, "&amp;O$3&amp;", *")</f>
        <v>0</v>
      </c>
      <c r="P38" s="2">
        <f>COUNTIFS(集計用!$G36,"*, "&amp;P$3&amp;", *")</f>
        <v>0</v>
      </c>
      <c r="Q38" s="2">
        <f>COUNTIFS(集計用!$G36,"*, "&amp;Q$3&amp;", *")</f>
        <v>0</v>
      </c>
      <c r="R38" s="2">
        <f>COUNTIFS(集計用!$G36,"*, "&amp;R$3&amp;", *")</f>
        <v>0</v>
      </c>
      <c r="S38" s="2">
        <f>COUNTIFS(集計用!$G36,"*, "&amp;S$3&amp;", *")</f>
        <v>1</v>
      </c>
      <c r="T38" s="2">
        <f>COUNTIFS(集計用!$G36,"*, "&amp;T$3&amp;", *")</f>
        <v>0</v>
      </c>
      <c r="U38" s="2">
        <f>COUNTIFS(集計用!$G36,"*, "&amp;U$3&amp;", *")</f>
        <v>0</v>
      </c>
      <c r="V38" s="2">
        <f>COUNTIFS(集計用!$G36,"*, "&amp;V$3&amp;", *")</f>
        <v>0</v>
      </c>
      <c r="W38" s="2">
        <f>COUNTIFS(集計用!$G36,"*, "&amp;W$3&amp;", *")</f>
        <v>0</v>
      </c>
      <c r="X38" s="2">
        <f>COUNTIFS(集計用!$G36,"*, "&amp;X$3&amp;", *")</f>
        <v>0</v>
      </c>
      <c r="Y38" s="2">
        <f>COUNTIFS(集計用!$G36,"*, "&amp;Y$3&amp;", *")</f>
        <v>0</v>
      </c>
      <c r="Z38" s="2">
        <f>COUNTIFS(集計用!$G36,"*, "&amp;Z$3&amp;", *")</f>
        <v>0</v>
      </c>
      <c r="AA38" s="2">
        <f>COUNTIFS(集計用!$G36,"*, "&amp;AA$3&amp;", *")</f>
        <v>0</v>
      </c>
      <c r="AB38" s="2">
        <f>COUNTIFS(集計用!$G36,"*, "&amp;AB$3&amp;", *")</f>
        <v>0</v>
      </c>
      <c r="AC38" s="2">
        <f>COUNTIFS(集計用!$G36,"*, "&amp;AC$3&amp;", *")</f>
        <v>0</v>
      </c>
      <c r="AD38" s="2">
        <f>COUNTIFS(集計用!$G36,"*, "&amp;AD$3&amp;", *")</f>
        <v>0</v>
      </c>
      <c r="AE38" s="2">
        <f>COUNTIFS(集計用!$G36,"*, "&amp;AE$3&amp;", *")</f>
        <v>0</v>
      </c>
      <c r="AF38" s="2">
        <f>COUNTIFS(集計用!$G36,"*, "&amp;AF$3&amp;", *")</f>
        <v>0</v>
      </c>
      <c r="AG38" s="2">
        <f>COUNTIFS(集計用!$G36,"*, "&amp;AG$3&amp;", *")</f>
        <v>0</v>
      </c>
      <c r="AH38" s="2">
        <f>COUNTIFS(集計用!$G36,"*, "&amp;AH$3&amp;", *")</f>
        <v>0</v>
      </c>
      <c r="AI38" s="2">
        <f>COUNTIFS(集計用!$G36,"*, "&amp;AI$3&amp;", *")</f>
        <v>0</v>
      </c>
      <c r="AJ38" s="2">
        <f>COUNTIFS(集計用!$G36,"*, "&amp;AJ$3&amp;", *")</f>
        <v>0</v>
      </c>
      <c r="AK38" s="2">
        <f>COUNTIFS(集計用!$G36,"*, "&amp;AK$3&amp;", *")</f>
        <v>0</v>
      </c>
      <c r="AL38" s="2">
        <f>COUNTIFS(集計用!$G36,"*, "&amp;AL$3&amp;", *")</f>
        <v>0</v>
      </c>
      <c r="AM38" s="2">
        <f>COUNTIFS(集計用!$G36,"*, "&amp;AM$3&amp;", *")</f>
        <v>0</v>
      </c>
      <c r="AN38" s="2">
        <f>COUNTIFS(集計用!$G36,"*, "&amp;AN$3&amp;", *")</f>
        <v>0</v>
      </c>
      <c r="AO38" s="2">
        <f>COUNTIFS(集計用!$G36,"*, "&amp;AO$3&amp;", *")</f>
        <v>0</v>
      </c>
      <c r="AP38" s="2">
        <f>COUNTIFS(集計用!$G36,"*, "&amp;AP$3&amp;", *")</f>
        <v>0</v>
      </c>
      <c r="AQ38" s="2">
        <f>COUNTIFS(集計用!$G36,"*, "&amp;AQ$3&amp;", *")</f>
        <v>0</v>
      </c>
      <c r="AR38" s="2">
        <f>COUNTIFS(集計用!$G36,"*, "&amp;AR$3&amp;", *")</f>
        <v>0</v>
      </c>
      <c r="AS38" s="2">
        <f>COUNTIFS(集計用!$G36,"*, "&amp;AS$3&amp;", *")</f>
        <v>0</v>
      </c>
      <c r="AT38" s="2">
        <f>COUNTIFS(集計用!$G36,"*, "&amp;AT$3&amp;", *")</f>
        <v>0</v>
      </c>
      <c r="AU38" s="2">
        <f>COUNTIFS(集計用!$G36,"*, "&amp;AU$3&amp;", *")</f>
        <v>0</v>
      </c>
      <c r="AV38" s="2">
        <f>COUNTIFS(集計用!$G36,"*, "&amp;AV$3&amp;", *")</f>
        <v>0</v>
      </c>
      <c r="AW38" s="2">
        <f>COUNTIFS(集計用!$G36,"*, "&amp;AW$3&amp;", *")</f>
        <v>0</v>
      </c>
      <c r="AX38" s="2">
        <f>COUNTIFS(集計用!$G36,"*, "&amp;AX$3&amp;", *")</f>
        <v>0</v>
      </c>
      <c r="AY38" s="2">
        <f>COUNTIFS(集計用!$G36,"*, "&amp;AY$3&amp;", *")</f>
        <v>0</v>
      </c>
      <c r="AZ38" s="2">
        <f>COUNTIFS(集計用!$G36,"*, "&amp;AZ$3&amp;", *")</f>
        <v>0</v>
      </c>
      <c r="BA38" s="2">
        <f>COUNTIFS(集計用!$G36,"*, "&amp;BA$3&amp;", *")</f>
        <v>0</v>
      </c>
      <c r="BB38" s="2">
        <f>COUNTIFS(集計用!$G36,"*, "&amp;BB$3&amp;", *")</f>
        <v>0</v>
      </c>
      <c r="BC38" s="2">
        <f>COUNTIFS(集計用!$G36,"*, "&amp;BC$3&amp;", *")</f>
        <v>0</v>
      </c>
      <c r="BD38" s="2">
        <f>COUNTIFS(集計用!$G36,"*, "&amp;BD$3&amp;", *")</f>
        <v>0</v>
      </c>
      <c r="BE38" s="2">
        <f>COUNTIFS(集計用!$G36,"*, "&amp;BE$3&amp;", *")</f>
        <v>0</v>
      </c>
      <c r="BF38" s="2">
        <f>COUNTIFS(集計用!$G36,"*, "&amp;BF$3&amp;", *")</f>
        <v>0</v>
      </c>
      <c r="BG38" s="2">
        <f>COUNTIFS(集計用!$G36,"*, "&amp;BG$3&amp;", *")</f>
        <v>0</v>
      </c>
      <c r="BH38" s="2">
        <f>COUNTIFS(集計用!$G36,"*, "&amp;BH$3&amp;", *")</f>
        <v>0</v>
      </c>
      <c r="BI38" s="2">
        <f>COUNTIFS(集計用!$G36,"*, "&amp;BI$3&amp;", *")</f>
        <v>0</v>
      </c>
      <c r="BJ38" s="2">
        <f>LEN(集計用!H36)-LEN(SUBSTITUTE(集計用!H36,",",""))</f>
        <v>0</v>
      </c>
    </row>
    <row r="39" spans="1:62" ht="12.75">
      <c r="A39" s="8">
        <v>36</v>
      </c>
      <c r="C39" s="2">
        <f t="shared" si="2"/>
        <v>3</v>
      </c>
      <c r="D39" s="9"/>
      <c r="E39" s="2">
        <f>COUNTIFS(集計用!$G37,"*, "&amp;E$3&amp;", *")</f>
        <v>1</v>
      </c>
      <c r="F39" s="2">
        <f>COUNTIFS(集計用!$G37,"*, "&amp;F$3&amp;", *")</f>
        <v>1</v>
      </c>
      <c r="G39" s="2">
        <f>COUNTIFS(集計用!$G37,"*, "&amp;G$3&amp;", *")</f>
        <v>0</v>
      </c>
      <c r="H39" s="2">
        <f>COUNTIFS(集計用!$G37,"*, "&amp;H$3&amp;", *")</f>
        <v>1</v>
      </c>
      <c r="I39" s="2">
        <f>COUNTIFS(集計用!$G37,"*, "&amp;I$3&amp;", *")</f>
        <v>0</v>
      </c>
      <c r="J39" s="2">
        <f>COUNTIFS(集計用!$G37,"*, "&amp;J$3&amp;", *")</f>
        <v>0</v>
      </c>
      <c r="K39" s="2">
        <f>COUNTIFS(集計用!$G37,"*, "&amp;K$3&amp;", *")</f>
        <v>0</v>
      </c>
      <c r="L39" s="2">
        <f>COUNTIFS(集計用!$G37,"*, "&amp;L$3&amp;", *")</f>
        <v>0</v>
      </c>
      <c r="M39" s="2">
        <f>COUNTIFS(集計用!$G37,"*, "&amp;M$3&amp;", *")</f>
        <v>0</v>
      </c>
      <c r="N39" s="2">
        <f>COUNTIFS(集計用!$G37,"*, "&amp;N$3&amp;", *")</f>
        <v>0</v>
      </c>
      <c r="O39" s="2">
        <f>COUNTIFS(集計用!$G37,"*, "&amp;O$3&amp;", *")</f>
        <v>0</v>
      </c>
      <c r="P39" s="2">
        <f>COUNTIFS(集計用!$G37,"*, "&amp;P$3&amp;", *")</f>
        <v>0</v>
      </c>
      <c r="Q39" s="2">
        <f>COUNTIFS(集計用!$G37,"*, "&amp;Q$3&amp;", *")</f>
        <v>0</v>
      </c>
      <c r="R39" s="2">
        <f>COUNTIFS(集計用!$G37,"*, "&amp;R$3&amp;", *")</f>
        <v>0</v>
      </c>
      <c r="S39" s="2">
        <f>COUNTIFS(集計用!$G37,"*, "&amp;S$3&amp;", *")</f>
        <v>0</v>
      </c>
      <c r="T39" s="2">
        <f>COUNTIFS(集計用!$G37,"*, "&amp;T$3&amp;", *")</f>
        <v>0</v>
      </c>
      <c r="U39" s="2">
        <f>COUNTIFS(集計用!$G37,"*, "&amp;U$3&amp;", *")</f>
        <v>0</v>
      </c>
      <c r="V39" s="2">
        <f>COUNTIFS(集計用!$G37,"*, "&amp;V$3&amp;", *")</f>
        <v>0</v>
      </c>
      <c r="W39" s="2">
        <f>COUNTIFS(集計用!$G37,"*, "&amp;W$3&amp;", *")</f>
        <v>0</v>
      </c>
      <c r="X39" s="2">
        <f>COUNTIFS(集計用!$G37,"*, "&amp;X$3&amp;", *")</f>
        <v>0</v>
      </c>
      <c r="Y39" s="2">
        <f>COUNTIFS(集計用!$G37,"*, "&amp;Y$3&amp;", *")</f>
        <v>0</v>
      </c>
      <c r="Z39" s="2">
        <f>COUNTIFS(集計用!$G37,"*, "&amp;Z$3&amp;", *")</f>
        <v>0</v>
      </c>
      <c r="AA39" s="2">
        <f>COUNTIFS(集計用!$G37,"*, "&amp;AA$3&amp;", *")</f>
        <v>0</v>
      </c>
      <c r="AB39" s="2">
        <f>COUNTIFS(集計用!$G37,"*, "&amp;AB$3&amp;", *")</f>
        <v>0</v>
      </c>
      <c r="AC39" s="2">
        <f>COUNTIFS(集計用!$G37,"*, "&amp;AC$3&amp;", *")</f>
        <v>0</v>
      </c>
      <c r="AD39" s="2">
        <f>COUNTIFS(集計用!$G37,"*, "&amp;AD$3&amp;", *")</f>
        <v>0</v>
      </c>
      <c r="AE39" s="2">
        <f>COUNTIFS(集計用!$G37,"*, "&amp;AE$3&amp;", *")</f>
        <v>0</v>
      </c>
      <c r="AF39" s="2">
        <f>COUNTIFS(集計用!$G37,"*, "&amp;AF$3&amp;", *")</f>
        <v>0</v>
      </c>
      <c r="AG39" s="2">
        <f>COUNTIFS(集計用!$G37,"*, "&amp;AG$3&amp;", *")</f>
        <v>0</v>
      </c>
      <c r="AH39" s="2">
        <f>COUNTIFS(集計用!$G37,"*, "&amp;AH$3&amp;", *")</f>
        <v>0</v>
      </c>
      <c r="AI39" s="2">
        <f>COUNTIFS(集計用!$G37,"*, "&amp;AI$3&amp;", *")</f>
        <v>0</v>
      </c>
      <c r="AJ39" s="2">
        <f>COUNTIFS(集計用!$G37,"*, "&amp;AJ$3&amp;", *")</f>
        <v>0</v>
      </c>
      <c r="AK39" s="2">
        <f>COUNTIFS(集計用!$G37,"*, "&amp;AK$3&amp;", *")</f>
        <v>0</v>
      </c>
      <c r="AL39" s="2">
        <f>COUNTIFS(集計用!$G37,"*, "&amp;AL$3&amp;", *")</f>
        <v>0</v>
      </c>
      <c r="AM39" s="2">
        <f>COUNTIFS(集計用!$G37,"*, "&amp;AM$3&amp;", *")</f>
        <v>0</v>
      </c>
      <c r="AN39" s="2">
        <f>COUNTIFS(集計用!$G37,"*, "&amp;AN$3&amp;", *")</f>
        <v>0</v>
      </c>
      <c r="AO39" s="2">
        <f>COUNTIFS(集計用!$G37,"*, "&amp;AO$3&amp;", *")</f>
        <v>0</v>
      </c>
      <c r="AP39" s="2">
        <f>COUNTIFS(集計用!$G37,"*, "&amp;AP$3&amp;", *")</f>
        <v>0</v>
      </c>
      <c r="AQ39" s="2">
        <f>COUNTIFS(集計用!$G37,"*, "&amp;AQ$3&amp;", *")</f>
        <v>0</v>
      </c>
      <c r="AR39" s="2">
        <f>COUNTIFS(集計用!$G37,"*, "&amp;AR$3&amp;", *")</f>
        <v>0</v>
      </c>
      <c r="AS39" s="2">
        <f>COUNTIFS(集計用!$G37,"*, "&amp;AS$3&amp;", *")</f>
        <v>0</v>
      </c>
      <c r="AT39" s="2">
        <f>COUNTIFS(集計用!$G37,"*, "&amp;AT$3&amp;", *")</f>
        <v>0</v>
      </c>
      <c r="AU39" s="2">
        <f>COUNTIFS(集計用!$G37,"*, "&amp;AU$3&amp;", *")</f>
        <v>0</v>
      </c>
      <c r="AV39" s="2">
        <f>COUNTIFS(集計用!$G37,"*, "&amp;AV$3&amp;", *")</f>
        <v>0</v>
      </c>
      <c r="AW39" s="2">
        <f>COUNTIFS(集計用!$G37,"*, "&amp;AW$3&amp;", *")</f>
        <v>0</v>
      </c>
      <c r="AX39" s="2">
        <f>COUNTIFS(集計用!$G37,"*, "&amp;AX$3&amp;", *")</f>
        <v>0</v>
      </c>
      <c r="AY39" s="2">
        <f>COUNTIFS(集計用!$G37,"*, "&amp;AY$3&amp;", *")</f>
        <v>0</v>
      </c>
      <c r="AZ39" s="2">
        <f>COUNTIFS(集計用!$G37,"*, "&amp;AZ$3&amp;", *")</f>
        <v>0</v>
      </c>
      <c r="BA39" s="2">
        <f>COUNTIFS(集計用!$G37,"*, "&amp;BA$3&amp;", *")</f>
        <v>0</v>
      </c>
      <c r="BB39" s="2">
        <f>COUNTIFS(集計用!$G37,"*, "&amp;BB$3&amp;", *")</f>
        <v>0</v>
      </c>
      <c r="BC39" s="2">
        <f>COUNTIFS(集計用!$G37,"*, "&amp;BC$3&amp;", *")</f>
        <v>0</v>
      </c>
      <c r="BD39" s="2">
        <f>COUNTIFS(集計用!$G37,"*, "&amp;BD$3&amp;", *")</f>
        <v>0</v>
      </c>
      <c r="BE39" s="2">
        <f>COUNTIFS(集計用!$G37,"*, "&amp;BE$3&amp;", *")</f>
        <v>0</v>
      </c>
      <c r="BF39" s="2">
        <f>COUNTIFS(集計用!$G37,"*, "&amp;BF$3&amp;", *")</f>
        <v>0</v>
      </c>
      <c r="BG39" s="2">
        <f>COUNTIFS(集計用!$G37,"*, "&amp;BG$3&amp;", *")</f>
        <v>0</v>
      </c>
      <c r="BH39" s="2">
        <f>COUNTIFS(集計用!$G37,"*, "&amp;BH$3&amp;", *")</f>
        <v>0</v>
      </c>
      <c r="BI39" s="2">
        <f>COUNTIFS(集計用!$G37,"*, "&amp;BI$3&amp;", *")</f>
        <v>0</v>
      </c>
      <c r="BJ39" s="2">
        <f>LEN(集計用!H37)-LEN(SUBSTITUTE(集計用!H37,",",""))</f>
        <v>0</v>
      </c>
    </row>
    <row r="40" spans="1:62" ht="12.75">
      <c r="A40" s="8">
        <v>37</v>
      </c>
      <c r="C40" s="2">
        <f t="shared" si="2"/>
        <v>6</v>
      </c>
      <c r="D40" s="9"/>
      <c r="E40" s="2">
        <f>COUNTIFS(集計用!$G38,"*, "&amp;E$3&amp;", *")</f>
        <v>1</v>
      </c>
      <c r="F40" s="2">
        <f>COUNTIFS(集計用!$G38,"*, "&amp;F$3&amp;", *")</f>
        <v>0</v>
      </c>
      <c r="G40" s="2">
        <f>COUNTIFS(集計用!$G38,"*, "&amp;G$3&amp;", *")</f>
        <v>0</v>
      </c>
      <c r="H40" s="2">
        <f>COUNTIFS(集計用!$G38,"*, "&amp;H$3&amp;", *")</f>
        <v>1</v>
      </c>
      <c r="I40" s="2">
        <f>COUNTIFS(集計用!$G38,"*, "&amp;I$3&amp;", *")</f>
        <v>0</v>
      </c>
      <c r="J40" s="2">
        <f>COUNTIFS(集計用!$G38,"*, "&amp;J$3&amp;", *")</f>
        <v>0</v>
      </c>
      <c r="K40" s="2">
        <f>COUNTIFS(集計用!$G38,"*, "&amp;K$3&amp;", *")</f>
        <v>0</v>
      </c>
      <c r="L40" s="2">
        <f>COUNTIFS(集計用!$G38,"*, "&amp;L$3&amp;", *")</f>
        <v>0</v>
      </c>
      <c r="M40" s="2">
        <f>COUNTIFS(集計用!$G38,"*, "&amp;M$3&amp;", *")</f>
        <v>0</v>
      </c>
      <c r="N40" s="2">
        <f>COUNTIFS(集計用!$G38,"*, "&amp;N$3&amp;", *")</f>
        <v>0</v>
      </c>
      <c r="O40" s="2">
        <f>COUNTIFS(集計用!$G38,"*, "&amp;O$3&amp;", *")</f>
        <v>0</v>
      </c>
      <c r="P40" s="2">
        <f>COUNTIFS(集計用!$G38,"*, "&amp;P$3&amp;", *")</f>
        <v>0</v>
      </c>
      <c r="Q40" s="2">
        <f>COUNTIFS(集計用!$G38,"*, "&amp;Q$3&amp;", *")</f>
        <v>0</v>
      </c>
      <c r="R40" s="2">
        <f>COUNTIFS(集計用!$G38,"*, "&amp;R$3&amp;", *")</f>
        <v>0</v>
      </c>
      <c r="S40" s="2">
        <f>COUNTIFS(集計用!$G38,"*, "&amp;S$3&amp;", *")</f>
        <v>0</v>
      </c>
      <c r="T40" s="2">
        <f>COUNTIFS(集計用!$G38,"*, "&amp;T$3&amp;", *")</f>
        <v>0</v>
      </c>
      <c r="U40" s="2">
        <f>COUNTIFS(集計用!$G38,"*, "&amp;U$3&amp;", *")</f>
        <v>0</v>
      </c>
      <c r="V40" s="2">
        <f>COUNTIFS(集計用!$G38,"*, "&amp;V$3&amp;", *")</f>
        <v>0</v>
      </c>
      <c r="W40" s="2">
        <f>COUNTIFS(集計用!$G38,"*, "&amp;W$3&amp;", *")</f>
        <v>1</v>
      </c>
      <c r="X40" s="2">
        <f>COUNTIFS(集計用!$G38,"*, "&amp;X$3&amp;", *")</f>
        <v>0</v>
      </c>
      <c r="Y40" s="2">
        <f>COUNTIFS(集計用!$G38,"*, "&amp;Y$3&amp;", *")</f>
        <v>0</v>
      </c>
      <c r="Z40" s="2">
        <f>COUNTIFS(集計用!$G38,"*, "&amp;Z$3&amp;", *")</f>
        <v>0</v>
      </c>
      <c r="AA40" s="2">
        <f>COUNTIFS(集計用!$G38,"*, "&amp;AA$3&amp;", *")</f>
        <v>0</v>
      </c>
      <c r="AB40" s="2">
        <f>COUNTIFS(集計用!$G38,"*, "&amp;AB$3&amp;", *")</f>
        <v>0</v>
      </c>
      <c r="AC40" s="2">
        <f>COUNTIFS(集計用!$G38,"*, "&amp;AC$3&amp;", *")</f>
        <v>0</v>
      </c>
      <c r="AD40" s="2">
        <f>COUNTIFS(集計用!$G38,"*, "&amp;AD$3&amp;", *")</f>
        <v>0</v>
      </c>
      <c r="AE40" s="2">
        <f>COUNTIFS(集計用!$G38,"*, "&amp;AE$3&amp;", *")</f>
        <v>0</v>
      </c>
      <c r="AF40" s="2">
        <f>COUNTIFS(集計用!$G38,"*, "&amp;AF$3&amp;", *")</f>
        <v>1</v>
      </c>
      <c r="AG40" s="2">
        <f>COUNTIFS(集計用!$G38,"*, "&amp;AG$3&amp;", *")</f>
        <v>0</v>
      </c>
      <c r="AH40" s="2">
        <f>COUNTIFS(集計用!$G38,"*, "&amp;AH$3&amp;", *")</f>
        <v>0</v>
      </c>
      <c r="AI40" s="2">
        <f>COUNTIFS(集計用!$G38,"*, "&amp;AI$3&amp;", *")</f>
        <v>0</v>
      </c>
      <c r="AJ40" s="2">
        <f>COUNTIFS(集計用!$G38,"*, "&amp;AJ$3&amp;", *")</f>
        <v>1</v>
      </c>
      <c r="AK40" s="2">
        <f>COUNTIFS(集計用!$G38,"*, "&amp;AK$3&amp;", *")</f>
        <v>0</v>
      </c>
      <c r="AL40" s="2">
        <f>COUNTIFS(集計用!$G38,"*, "&amp;AL$3&amp;", *")</f>
        <v>0</v>
      </c>
      <c r="AM40" s="2">
        <f>COUNTIFS(集計用!$G38,"*, "&amp;AM$3&amp;", *")</f>
        <v>0</v>
      </c>
      <c r="AN40" s="2">
        <f>COUNTIFS(集計用!$G38,"*, "&amp;AN$3&amp;", *")</f>
        <v>0</v>
      </c>
      <c r="AO40" s="2">
        <f>COUNTIFS(集計用!$G38,"*, "&amp;AO$3&amp;", *")</f>
        <v>0</v>
      </c>
      <c r="AP40" s="2">
        <f>COUNTIFS(集計用!$G38,"*, "&amp;AP$3&amp;", *")</f>
        <v>1</v>
      </c>
      <c r="AQ40" s="2">
        <f>COUNTIFS(集計用!$G38,"*, "&amp;AQ$3&amp;", *")</f>
        <v>0</v>
      </c>
      <c r="AR40" s="2">
        <f>COUNTIFS(集計用!$G38,"*, "&amp;AR$3&amp;", *")</f>
        <v>0</v>
      </c>
      <c r="AS40" s="2">
        <f>COUNTIFS(集計用!$G38,"*, "&amp;AS$3&amp;", *")</f>
        <v>0</v>
      </c>
      <c r="AT40" s="2">
        <f>COUNTIFS(集計用!$G38,"*, "&amp;AT$3&amp;", *")</f>
        <v>0</v>
      </c>
      <c r="AU40" s="2">
        <f>COUNTIFS(集計用!$G38,"*, "&amp;AU$3&amp;", *")</f>
        <v>0</v>
      </c>
      <c r="AV40" s="2">
        <f>COUNTIFS(集計用!$G38,"*, "&amp;AV$3&amp;", *")</f>
        <v>0</v>
      </c>
      <c r="AW40" s="2">
        <f>COUNTIFS(集計用!$G38,"*, "&amp;AW$3&amp;", *")</f>
        <v>0</v>
      </c>
      <c r="AX40" s="2">
        <f>COUNTIFS(集計用!$G38,"*, "&amp;AX$3&amp;", *")</f>
        <v>0</v>
      </c>
      <c r="AY40" s="2">
        <f>COUNTIFS(集計用!$G38,"*, "&amp;AY$3&amp;", *")</f>
        <v>0</v>
      </c>
      <c r="AZ40" s="2">
        <f>COUNTIFS(集計用!$G38,"*, "&amp;AZ$3&amp;", *")</f>
        <v>0</v>
      </c>
      <c r="BA40" s="2">
        <f>COUNTIFS(集計用!$G38,"*, "&amp;BA$3&amp;", *")</f>
        <v>0</v>
      </c>
      <c r="BB40" s="2">
        <f>COUNTIFS(集計用!$G38,"*, "&amp;BB$3&amp;", *")</f>
        <v>0</v>
      </c>
      <c r="BC40" s="2">
        <f>COUNTIFS(集計用!$G38,"*, "&amp;BC$3&amp;", *")</f>
        <v>0</v>
      </c>
      <c r="BD40" s="2">
        <f>COUNTIFS(集計用!$G38,"*, "&amp;BD$3&amp;", *")</f>
        <v>0</v>
      </c>
      <c r="BE40" s="2">
        <f>COUNTIFS(集計用!$G38,"*, "&amp;BE$3&amp;", *")</f>
        <v>0</v>
      </c>
      <c r="BF40" s="2">
        <f>COUNTIFS(集計用!$G38,"*, "&amp;BF$3&amp;", *")</f>
        <v>0</v>
      </c>
      <c r="BG40" s="2">
        <f>COUNTIFS(集計用!$G38,"*, "&amp;BG$3&amp;", *")</f>
        <v>0</v>
      </c>
      <c r="BH40" s="2">
        <f>COUNTIFS(集計用!$G38,"*, "&amp;BH$3&amp;", *")</f>
        <v>0</v>
      </c>
      <c r="BI40" s="2">
        <f>COUNTIFS(集計用!$G38,"*, "&amp;BI$3&amp;", *")</f>
        <v>0</v>
      </c>
      <c r="BJ40" s="2">
        <f>LEN(集計用!H38)-LEN(SUBSTITUTE(集計用!H38,",",""))</f>
        <v>0</v>
      </c>
    </row>
    <row r="41" spans="1:62" ht="12.75">
      <c r="A41" s="8">
        <v>38</v>
      </c>
      <c r="C41" s="2">
        <f t="shared" si="2"/>
        <v>2</v>
      </c>
      <c r="D41" s="9"/>
      <c r="E41" s="2">
        <f>COUNTIFS(集計用!$G39,"*, "&amp;E$3&amp;", *")</f>
        <v>0</v>
      </c>
      <c r="F41" s="2">
        <f>COUNTIFS(集計用!$G39,"*, "&amp;F$3&amp;", *")</f>
        <v>0</v>
      </c>
      <c r="G41" s="2">
        <f>COUNTIFS(集計用!$G39,"*, "&amp;G$3&amp;", *")</f>
        <v>0</v>
      </c>
      <c r="H41" s="2">
        <f>COUNTIFS(集計用!$G39,"*, "&amp;H$3&amp;", *")</f>
        <v>0</v>
      </c>
      <c r="I41" s="2">
        <f>COUNTIFS(集計用!$G39,"*, "&amp;I$3&amp;", *")</f>
        <v>1</v>
      </c>
      <c r="J41" s="2">
        <f>COUNTIFS(集計用!$G39,"*, "&amp;J$3&amp;", *")</f>
        <v>0</v>
      </c>
      <c r="K41" s="2">
        <f>COUNTIFS(集計用!$G39,"*, "&amp;K$3&amp;", *")</f>
        <v>0</v>
      </c>
      <c r="L41" s="2">
        <f>COUNTIFS(集計用!$G39,"*, "&amp;L$3&amp;", *")</f>
        <v>0</v>
      </c>
      <c r="M41" s="2">
        <f>COUNTIFS(集計用!$G39,"*, "&amp;M$3&amp;", *")</f>
        <v>1</v>
      </c>
      <c r="N41" s="2">
        <f>COUNTIFS(集計用!$G39,"*, "&amp;N$3&amp;", *")</f>
        <v>0</v>
      </c>
      <c r="O41" s="2">
        <f>COUNTIFS(集計用!$G39,"*, "&amp;O$3&amp;", *")</f>
        <v>0</v>
      </c>
      <c r="P41" s="2">
        <f>COUNTIFS(集計用!$G39,"*, "&amp;P$3&amp;", *")</f>
        <v>0</v>
      </c>
      <c r="Q41" s="2">
        <f>COUNTIFS(集計用!$G39,"*, "&amp;Q$3&amp;", *")</f>
        <v>0</v>
      </c>
      <c r="R41" s="2">
        <f>COUNTIFS(集計用!$G39,"*, "&amp;R$3&amp;", *")</f>
        <v>0</v>
      </c>
      <c r="S41" s="2">
        <f>COUNTIFS(集計用!$G39,"*, "&amp;S$3&amp;", *")</f>
        <v>0</v>
      </c>
      <c r="T41" s="2">
        <f>COUNTIFS(集計用!$G39,"*, "&amp;T$3&amp;", *")</f>
        <v>0</v>
      </c>
      <c r="U41" s="2">
        <f>COUNTIFS(集計用!$G39,"*, "&amp;U$3&amp;", *")</f>
        <v>0</v>
      </c>
      <c r="V41" s="2">
        <f>COUNTIFS(集計用!$G39,"*, "&amp;V$3&amp;", *")</f>
        <v>0</v>
      </c>
      <c r="W41" s="2">
        <f>COUNTIFS(集計用!$G39,"*, "&amp;W$3&amp;", *")</f>
        <v>0</v>
      </c>
      <c r="X41" s="2">
        <f>COUNTIFS(集計用!$G39,"*, "&amp;X$3&amp;", *")</f>
        <v>0</v>
      </c>
      <c r="Y41" s="2">
        <f>COUNTIFS(集計用!$G39,"*, "&amp;Y$3&amp;", *")</f>
        <v>0</v>
      </c>
      <c r="Z41" s="2">
        <f>COUNTIFS(集計用!$G39,"*, "&amp;Z$3&amp;", *")</f>
        <v>0</v>
      </c>
      <c r="AA41" s="2">
        <f>COUNTIFS(集計用!$G39,"*, "&amp;AA$3&amp;", *")</f>
        <v>0</v>
      </c>
      <c r="AB41" s="2">
        <f>COUNTIFS(集計用!$G39,"*, "&amp;AB$3&amp;", *")</f>
        <v>0</v>
      </c>
      <c r="AC41" s="2">
        <f>COUNTIFS(集計用!$G39,"*, "&amp;AC$3&amp;", *")</f>
        <v>0</v>
      </c>
      <c r="AD41" s="2">
        <f>COUNTIFS(集計用!$G39,"*, "&amp;AD$3&amp;", *")</f>
        <v>0</v>
      </c>
      <c r="AE41" s="2">
        <f>COUNTIFS(集計用!$G39,"*, "&amp;AE$3&amp;", *")</f>
        <v>0</v>
      </c>
      <c r="AF41" s="2">
        <f>COUNTIFS(集計用!$G39,"*, "&amp;AF$3&amp;", *")</f>
        <v>0</v>
      </c>
      <c r="AG41" s="2">
        <f>COUNTIFS(集計用!$G39,"*, "&amp;AG$3&amp;", *")</f>
        <v>0</v>
      </c>
      <c r="AH41" s="2">
        <f>COUNTIFS(集計用!$G39,"*, "&amp;AH$3&amp;", *")</f>
        <v>0</v>
      </c>
      <c r="AI41" s="2">
        <f>COUNTIFS(集計用!$G39,"*, "&amp;AI$3&amp;", *")</f>
        <v>0</v>
      </c>
      <c r="AJ41" s="2">
        <f>COUNTIFS(集計用!$G39,"*, "&amp;AJ$3&amp;", *")</f>
        <v>0</v>
      </c>
      <c r="AK41" s="2">
        <f>COUNTIFS(集計用!$G39,"*, "&amp;AK$3&amp;", *")</f>
        <v>0</v>
      </c>
      <c r="AL41" s="2">
        <f>COUNTIFS(集計用!$G39,"*, "&amp;AL$3&amp;", *")</f>
        <v>0</v>
      </c>
      <c r="AM41" s="2">
        <f>COUNTIFS(集計用!$G39,"*, "&amp;AM$3&amp;", *")</f>
        <v>0</v>
      </c>
      <c r="AN41" s="2">
        <f>COUNTIFS(集計用!$G39,"*, "&amp;AN$3&amp;", *")</f>
        <v>0</v>
      </c>
      <c r="AO41" s="2">
        <f>COUNTIFS(集計用!$G39,"*, "&amp;AO$3&amp;", *")</f>
        <v>0</v>
      </c>
      <c r="AP41" s="2">
        <f>COUNTIFS(集計用!$G39,"*, "&amp;AP$3&amp;", *")</f>
        <v>0</v>
      </c>
      <c r="AQ41" s="2">
        <f>COUNTIFS(集計用!$G39,"*, "&amp;AQ$3&amp;", *")</f>
        <v>0</v>
      </c>
      <c r="AR41" s="2">
        <f>COUNTIFS(集計用!$G39,"*, "&amp;AR$3&amp;", *")</f>
        <v>0</v>
      </c>
      <c r="AS41" s="2">
        <f>COUNTIFS(集計用!$G39,"*, "&amp;AS$3&amp;", *")</f>
        <v>0</v>
      </c>
      <c r="AT41" s="2">
        <f>COUNTIFS(集計用!$G39,"*, "&amp;AT$3&amp;", *")</f>
        <v>0</v>
      </c>
      <c r="AU41" s="2">
        <f>COUNTIFS(集計用!$G39,"*, "&amp;AU$3&amp;", *")</f>
        <v>0</v>
      </c>
      <c r="AV41" s="2">
        <f>COUNTIFS(集計用!$G39,"*, "&amp;AV$3&amp;", *")</f>
        <v>0</v>
      </c>
      <c r="AW41" s="2">
        <f>COUNTIFS(集計用!$G39,"*, "&amp;AW$3&amp;", *")</f>
        <v>0</v>
      </c>
      <c r="AX41" s="2">
        <f>COUNTIFS(集計用!$G39,"*, "&amp;AX$3&amp;", *")</f>
        <v>0</v>
      </c>
      <c r="AY41" s="2">
        <f>COUNTIFS(集計用!$G39,"*, "&amp;AY$3&amp;", *")</f>
        <v>0</v>
      </c>
      <c r="AZ41" s="2">
        <f>COUNTIFS(集計用!$G39,"*, "&amp;AZ$3&amp;", *")</f>
        <v>0</v>
      </c>
      <c r="BA41" s="2">
        <f>COUNTIFS(集計用!$G39,"*, "&amp;BA$3&amp;", *")</f>
        <v>0</v>
      </c>
      <c r="BB41" s="2">
        <f>COUNTIFS(集計用!$G39,"*, "&amp;BB$3&amp;", *")</f>
        <v>0</v>
      </c>
      <c r="BC41" s="2">
        <f>COUNTIFS(集計用!$G39,"*, "&amp;BC$3&amp;", *")</f>
        <v>0</v>
      </c>
      <c r="BD41" s="2">
        <f>COUNTIFS(集計用!$G39,"*, "&amp;BD$3&amp;", *")</f>
        <v>0</v>
      </c>
      <c r="BE41" s="2">
        <f>COUNTIFS(集計用!$G39,"*, "&amp;BE$3&amp;", *")</f>
        <v>0</v>
      </c>
      <c r="BF41" s="2">
        <f>COUNTIFS(集計用!$G39,"*, "&amp;BF$3&amp;", *")</f>
        <v>0</v>
      </c>
      <c r="BG41" s="2">
        <f>COUNTIFS(集計用!$G39,"*, "&amp;BG$3&amp;", *")</f>
        <v>0</v>
      </c>
      <c r="BH41" s="2">
        <f>COUNTIFS(集計用!$G39,"*, "&amp;BH$3&amp;", *")</f>
        <v>0</v>
      </c>
      <c r="BI41" s="2">
        <f>COUNTIFS(集計用!$G39,"*, "&amp;BI$3&amp;", *")</f>
        <v>0</v>
      </c>
      <c r="BJ41" s="2">
        <f>LEN(集計用!H39)-LEN(SUBSTITUTE(集計用!H39,",",""))</f>
        <v>0</v>
      </c>
    </row>
    <row r="42" spans="1:62" ht="12.75">
      <c r="A42" s="8">
        <v>39</v>
      </c>
      <c r="C42" s="2">
        <f t="shared" si="2"/>
        <v>1</v>
      </c>
      <c r="D42" s="9"/>
      <c r="E42" s="2">
        <f>COUNTIFS(集計用!$G40,"*, "&amp;E$3&amp;", *")</f>
        <v>0</v>
      </c>
      <c r="F42" s="2">
        <f>COUNTIFS(集計用!$G40,"*, "&amp;F$3&amp;", *")</f>
        <v>0</v>
      </c>
      <c r="G42" s="2">
        <f>COUNTIFS(集計用!$G40,"*, "&amp;G$3&amp;", *")</f>
        <v>0</v>
      </c>
      <c r="H42" s="2">
        <f>COUNTIFS(集計用!$G40,"*, "&amp;H$3&amp;", *")</f>
        <v>0</v>
      </c>
      <c r="I42" s="2">
        <f>COUNTIFS(集計用!$G40,"*, "&amp;I$3&amp;", *")</f>
        <v>0</v>
      </c>
      <c r="J42" s="2">
        <f>COUNTIFS(集計用!$G40,"*, "&amp;J$3&amp;", *")</f>
        <v>0</v>
      </c>
      <c r="K42" s="2">
        <f>COUNTIFS(集計用!$G40,"*, "&amp;K$3&amp;", *")</f>
        <v>0</v>
      </c>
      <c r="L42" s="2">
        <f>COUNTIFS(集計用!$G40,"*, "&amp;L$3&amp;", *")</f>
        <v>1</v>
      </c>
      <c r="M42" s="2">
        <f>COUNTIFS(集計用!$G40,"*, "&amp;M$3&amp;", *")</f>
        <v>0</v>
      </c>
      <c r="N42" s="2">
        <f>COUNTIFS(集計用!$G40,"*, "&amp;N$3&amp;", *")</f>
        <v>0</v>
      </c>
      <c r="O42" s="2">
        <f>COUNTIFS(集計用!$G40,"*, "&amp;O$3&amp;", *")</f>
        <v>0</v>
      </c>
      <c r="P42" s="2">
        <f>COUNTIFS(集計用!$G40,"*, "&amp;P$3&amp;", *")</f>
        <v>0</v>
      </c>
      <c r="Q42" s="2">
        <f>COUNTIFS(集計用!$G40,"*, "&amp;Q$3&amp;", *")</f>
        <v>0</v>
      </c>
      <c r="R42" s="2">
        <f>COUNTIFS(集計用!$G40,"*, "&amp;R$3&amp;", *")</f>
        <v>0</v>
      </c>
      <c r="S42" s="2">
        <f>COUNTIFS(集計用!$G40,"*, "&amp;S$3&amp;", *")</f>
        <v>0</v>
      </c>
      <c r="T42" s="2">
        <f>COUNTIFS(集計用!$G40,"*, "&amp;T$3&amp;", *")</f>
        <v>0</v>
      </c>
      <c r="U42" s="2">
        <f>COUNTIFS(集計用!$G40,"*, "&amp;U$3&amp;", *")</f>
        <v>0</v>
      </c>
      <c r="V42" s="2">
        <f>COUNTIFS(集計用!$G40,"*, "&amp;V$3&amp;", *")</f>
        <v>0</v>
      </c>
      <c r="W42" s="2">
        <f>COUNTIFS(集計用!$G40,"*, "&amp;W$3&amp;", *")</f>
        <v>0</v>
      </c>
      <c r="X42" s="2">
        <f>COUNTIFS(集計用!$G40,"*, "&amp;X$3&amp;", *")</f>
        <v>0</v>
      </c>
      <c r="Y42" s="2">
        <f>COUNTIFS(集計用!$G40,"*, "&amp;Y$3&amp;", *")</f>
        <v>0</v>
      </c>
      <c r="Z42" s="2">
        <f>COUNTIFS(集計用!$G40,"*, "&amp;Z$3&amp;", *")</f>
        <v>0</v>
      </c>
      <c r="AA42" s="2">
        <f>COUNTIFS(集計用!$G40,"*, "&amp;AA$3&amp;", *")</f>
        <v>0</v>
      </c>
      <c r="AB42" s="2">
        <f>COUNTIFS(集計用!$G40,"*, "&amp;AB$3&amp;", *")</f>
        <v>0</v>
      </c>
      <c r="AC42" s="2">
        <f>COUNTIFS(集計用!$G40,"*, "&amp;AC$3&amp;", *")</f>
        <v>0</v>
      </c>
      <c r="AD42" s="2">
        <f>COUNTIFS(集計用!$G40,"*, "&amp;AD$3&amp;", *")</f>
        <v>0</v>
      </c>
      <c r="AE42" s="2">
        <f>COUNTIFS(集計用!$G40,"*, "&amp;AE$3&amp;", *")</f>
        <v>0</v>
      </c>
      <c r="AF42" s="2">
        <f>COUNTIFS(集計用!$G40,"*, "&amp;AF$3&amp;", *")</f>
        <v>0</v>
      </c>
      <c r="AG42" s="2">
        <f>COUNTIFS(集計用!$G40,"*, "&amp;AG$3&amp;", *")</f>
        <v>0</v>
      </c>
      <c r="AH42" s="2">
        <f>COUNTIFS(集計用!$G40,"*, "&amp;AH$3&amp;", *")</f>
        <v>0</v>
      </c>
      <c r="AI42" s="2">
        <f>COUNTIFS(集計用!$G40,"*, "&amp;AI$3&amp;", *")</f>
        <v>0</v>
      </c>
      <c r="AJ42" s="2">
        <f>COUNTIFS(集計用!$G40,"*, "&amp;AJ$3&amp;", *")</f>
        <v>0</v>
      </c>
      <c r="AK42" s="2">
        <f>COUNTIFS(集計用!$G40,"*, "&amp;AK$3&amp;", *")</f>
        <v>0</v>
      </c>
      <c r="AL42" s="2">
        <f>COUNTIFS(集計用!$G40,"*, "&amp;AL$3&amp;", *")</f>
        <v>0</v>
      </c>
      <c r="AM42" s="2">
        <f>COUNTIFS(集計用!$G40,"*, "&amp;AM$3&amp;", *")</f>
        <v>0</v>
      </c>
      <c r="AN42" s="2">
        <f>COUNTIFS(集計用!$G40,"*, "&amp;AN$3&amp;", *")</f>
        <v>0</v>
      </c>
      <c r="AO42" s="2">
        <f>COUNTIFS(集計用!$G40,"*, "&amp;AO$3&amp;", *")</f>
        <v>0</v>
      </c>
      <c r="AP42" s="2">
        <f>COUNTIFS(集計用!$G40,"*, "&amp;AP$3&amp;", *")</f>
        <v>0</v>
      </c>
      <c r="AQ42" s="2">
        <f>COUNTIFS(集計用!$G40,"*, "&amp;AQ$3&amp;", *")</f>
        <v>0</v>
      </c>
      <c r="AR42" s="2">
        <f>COUNTIFS(集計用!$G40,"*, "&amp;AR$3&amp;", *")</f>
        <v>0</v>
      </c>
      <c r="AS42" s="2">
        <f>COUNTIFS(集計用!$G40,"*, "&amp;AS$3&amp;", *")</f>
        <v>0</v>
      </c>
      <c r="AT42" s="2">
        <f>COUNTIFS(集計用!$G40,"*, "&amp;AT$3&amp;", *")</f>
        <v>0</v>
      </c>
      <c r="AU42" s="2">
        <f>COUNTIFS(集計用!$G40,"*, "&amp;AU$3&amp;", *")</f>
        <v>0</v>
      </c>
      <c r="AV42" s="2">
        <f>COUNTIFS(集計用!$G40,"*, "&amp;AV$3&amp;", *")</f>
        <v>0</v>
      </c>
      <c r="AW42" s="2">
        <f>COUNTIFS(集計用!$G40,"*, "&amp;AW$3&amp;", *")</f>
        <v>0</v>
      </c>
      <c r="AX42" s="2">
        <f>COUNTIFS(集計用!$G40,"*, "&amp;AX$3&amp;", *")</f>
        <v>0</v>
      </c>
      <c r="AY42" s="2">
        <f>COUNTIFS(集計用!$G40,"*, "&amp;AY$3&amp;", *")</f>
        <v>0</v>
      </c>
      <c r="AZ42" s="2">
        <f>COUNTIFS(集計用!$G40,"*, "&amp;AZ$3&amp;", *")</f>
        <v>0</v>
      </c>
      <c r="BA42" s="2">
        <f>COUNTIFS(集計用!$G40,"*, "&amp;BA$3&amp;", *")</f>
        <v>0</v>
      </c>
      <c r="BB42" s="2">
        <f>COUNTIFS(集計用!$G40,"*, "&amp;BB$3&amp;", *")</f>
        <v>0</v>
      </c>
      <c r="BC42" s="2">
        <f>COUNTIFS(集計用!$G40,"*, "&amp;BC$3&amp;", *")</f>
        <v>0</v>
      </c>
      <c r="BD42" s="2">
        <f>COUNTIFS(集計用!$G40,"*, "&amp;BD$3&amp;", *")</f>
        <v>0</v>
      </c>
      <c r="BE42" s="2">
        <f>COUNTIFS(集計用!$G40,"*, "&amp;BE$3&amp;", *")</f>
        <v>0</v>
      </c>
      <c r="BF42" s="2">
        <f>COUNTIFS(集計用!$G40,"*, "&amp;BF$3&amp;", *")</f>
        <v>0</v>
      </c>
      <c r="BG42" s="2">
        <f>COUNTIFS(集計用!$G40,"*, "&amp;BG$3&amp;", *")</f>
        <v>0</v>
      </c>
      <c r="BH42" s="2">
        <f>COUNTIFS(集計用!$G40,"*, "&amp;BH$3&amp;", *")</f>
        <v>0</v>
      </c>
      <c r="BI42" s="2">
        <f>COUNTIFS(集計用!$G40,"*, "&amp;BI$3&amp;", *")</f>
        <v>0</v>
      </c>
      <c r="BJ42" s="2">
        <f>LEN(集計用!H40)-LEN(SUBSTITUTE(集計用!H40,",",""))</f>
        <v>0</v>
      </c>
    </row>
    <row r="43" spans="1:62" ht="12.75">
      <c r="A43" s="8">
        <v>40</v>
      </c>
      <c r="C43" s="2">
        <f t="shared" si="2"/>
        <v>2</v>
      </c>
      <c r="D43" s="9"/>
      <c r="E43" s="2">
        <f>COUNTIFS(集計用!$G41,"*, "&amp;E$3&amp;", *")</f>
        <v>0</v>
      </c>
      <c r="F43" s="2">
        <f>COUNTIFS(集計用!$G41,"*, "&amp;F$3&amp;", *")</f>
        <v>0</v>
      </c>
      <c r="G43" s="2">
        <f>COUNTIFS(集計用!$G41,"*, "&amp;G$3&amp;", *")</f>
        <v>0</v>
      </c>
      <c r="H43" s="2">
        <f>COUNTIFS(集計用!$G41,"*, "&amp;H$3&amp;", *")</f>
        <v>0</v>
      </c>
      <c r="I43" s="2">
        <f>COUNTIFS(集計用!$G41,"*, "&amp;I$3&amp;", *")</f>
        <v>0</v>
      </c>
      <c r="J43" s="2">
        <f>COUNTIFS(集計用!$G41,"*, "&amp;J$3&amp;", *")</f>
        <v>0</v>
      </c>
      <c r="K43" s="2">
        <f>COUNTIFS(集計用!$G41,"*, "&amp;K$3&amp;", *")</f>
        <v>0</v>
      </c>
      <c r="L43" s="2">
        <f>COUNTIFS(集計用!$G41,"*, "&amp;L$3&amp;", *")</f>
        <v>1</v>
      </c>
      <c r="M43" s="2">
        <f>COUNTIFS(集計用!$G41,"*, "&amp;M$3&amp;", *")</f>
        <v>0</v>
      </c>
      <c r="N43" s="2">
        <f>COUNTIFS(集計用!$G41,"*, "&amp;N$3&amp;", *")</f>
        <v>0</v>
      </c>
      <c r="O43" s="2">
        <f>COUNTIFS(集計用!$G41,"*, "&amp;O$3&amp;", *")</f>
        <v>0</v>
      </c>
      <c r="P43" s="2">
        <f>COUNTIFS(集計用!$G41,"*, "&amp;P$3&amp;", *")</f>
        <v>0</v>
      </c>
      <c r="Q43" s="2">
        <f>COUNTIFS(集計用!$G41,"*, "&amp;Q$3&amp;", *")</f>
        <v>1</v>
      </c>
      <c r="R43" s="2">
        <f>COUNTIFS(集計用!$G41,"*, "&amp;R$3&amp;", *")</f>
        <v>0</v>
      </c>
      <c r="S43" s="2">
        <f>COUNTIFS(集計用!$G41,"*, "&amp;S$3&amp;", *")</f>
        <v>0</v>
      </c>
      <c r="T43" s="2">
        <f>COUNTIFS(集計用!$G41,"*, "&amp;T$3&amp;", *")</f>
        <v>0</v>
      </c>
      <c r="U43" s="2">
        <f>COUNTIFS(集計用!$G41,"*, "&amp;U$3&amp;", *")</f>
        <v>0</v>
      </c>
      <c r="V43" s="2">
        <f>COUNTIFS(集計用!$G41,"*, "&amp;V$3&amp;", *")</f>
        <v>0</v>
      </c>
      <c r="W43" s="2">
        <f>COUNTIFS(集計用!$G41,"*, "&amp;W$3&amp;", *")</f>
        <v>0</v>
      </c>
      <c r="X43" s="2">
        <f>COUNTIFS(集計用!$G41,"*, "&amp;X$3&amp;", *")</f>
        <v>0</v>
      </c>
      <c r="Y43" s="2">
        <f>COUNTIFS(集計用!$G41,"*, "&amp;Y$3&amp;", *")</f>
        <v>0</v>
      </c>
      <c r="Z43" s="2">
        <f>COUNTIFS(集計用!$G41,"*, "&amp;Z$3&amp;", *")</f>
        <v>0</v>
      </c>
      <c r="AA43" s="2">
        <f>COUNTIFS(集計用!$G41,"*, "&amp;AA$3&amp;", *")</f>
        <v>0</v>
      </c>
      <c r="AB43" s="2">
        <f>COUNTIFS(集計用!$G41,"*, "&amp;AB$3&amp;", *")</f>
        <v>0</v>
      </c>
      <c r="AC43" s="2">
        <f>COUNTIFS(集計用!$G41,"*, "&amp;AC$3&amp;", *")</f>
        <v>0</v>
      </c>
      <c r="AD43" s="2">
        <f>COUNTIFS(集計用!$G41,"*, "&amp;AD$3&amp;", *")</f>
        <v>0</v>
      </c>
      <c r="AE43" s="2">
        <f>COUNTIFS(集計用!$G41,"*, "&amp;AE$3&amp;", *")</f>
        <v>0</v>
      </c>
      <c r="AF43" s="2">
        <f>COUNTIFS(集計用!$G41,"*, "&amp;AF$3&amp;", *")</f>
        <v>0</v>
      </c>
      <c r="AG43" s="2">
        <f>COUNTIFS(集計用!$G41,"*, "&amp;AG$3&amp;", *")</f>
        <v>0</v>
      </c>
      <c r="AH43" s="2">
        <f>COUNTIFS(集計用!$G41,"*, "&amp;AH$3&amp;", *")</f>
        <v>0</v>
      </c>
      <c r="AI43" s="2">
        <f>COUNTIFS(集計用!$G41,"*, "&amp;AI$3&amp;", *")</f>
        <v>0</v>
      </c>
      <c r="AJ43" s="2">
        <f>COUNTIFS(集計用!$G41,"*, "&amp;AJ$3&amp;", *")</f>
        <v>0</v>
      </c>
      <c r="AK43" s="2">
        <f>COUNTIFS(集計用!$G41,"*, "&amp;AK$3&amp;", *")</f>
        <v>0</v>
      </c>
      <c r="AL43" s="2">
        <f>COUNTIFS(集計用!$G41,"*, "&amp;AL$3&amp;", *")</f>
        <v>0</v>
      </c>
      <c r="AM43" s="2">
        <f>COUNTIFS(集計用!$G41,"*, "&amp;AM$3&amp;", *")</f>
        <v>0</v>
      </c>
      <c r="AN43" s="2">
        <f>COUNTIFS(集計用!$G41,"*, "&amp;AN$3&amp;", *")</f>
        <v>0</v>
      </c>
      <c r="AO43" s="2">
        <f>COUNTIFS(集計用!$G41,"*, "&amp;AO$3&amp;", *")</f>
        <v>0</v>
      </c>
      <c r="AP43" s="2">
        <f>COUNTIFS(集計用!$G41,"*, "&amp;AP$3&amp;", *")</f>
        <v>0</v>
      </c>
      <c r="AQ43" s="2">
        <f>COUNTIFS(集計用!$G41,"*, "&amp;AQ$3&amp;", *")</f>
        <v>0</v>
      </c>
      <c r="AR43" s="2">
        <f>COUNTIFS(集計用!$G41,"*, "&amp;AR$3&amp;", *")</f>
        <v>0</v>
      </c>
      <c r="AS43" s="2">
        <f>COUNTIFS(集計用!$G41,"*, "&amp;AS$3&amp;", *")</f>
        <v>0</v>
      </c>
      <c r="AT43" s="2">
        <f>COUNTIFS(集計用!$G41,"*, "&amp;AT$3&amp;", *")</f>
        <v>0</v>
      </c>
      <c r="AU43" s="2">
        <f>COUNTIFS(集計用!$G41,"*, "&amp;AU$3&amp;", *")</f>
        <v>0</v>
      </c>
      <c r="AV43" s="2">
        <f>COUNTIFS(集計用!$G41,"*, "&amp;AV$3&amp;", *")</f>
        <v>0</v>
      </c>
      <c r="AW43" s="2">
        <f>COUNTIFS(集計用!$G41,"*, "&amp;AW$3&amp;", *")</f>
        <v>0</v>
      </c>
      <c r="AX43" s="2">
        <f>COUNTIFS(集計用!$G41,"*, "&amp;AX$3&amp;", *")</f>
        <v>0</v>
      </c>
      <c r="AY43" s="2">
        <f>COUNTIFS(集計用!$G41,"*, "&amp;AY$3&amp;", *")</f>
        <v>0</v>
      </c>
      <c r="AZ43" s="2">
        <f>COUNTIFS(集計用!$G41,"*, "&amp;AZ$3&amp;", *")</f>
        <v>0</v>
      </c>
      <c r="BA43" s="2">
        <f>COUNTIFS(集計用!$G41,"*, "&amp;BA$3&amp;", *")</f>
        <v>0</v>
      </c>
      <c r="BB43" s="2">
        <f>COUNTIFS(集計用!$G41,"*, "&amp;BB$3&amp;", *")</f>
        <v>0</v>
      </c>
      <c r="BC43" s="2">
        <f>COUNTIFS(集計用!$G41,"*, "&amp;BC$3&amp;", *")</f>
        <v>0</v>
      </c>
      <c r="BD43" s="2">
        <f>COUNTIFS(集計用!$G41,"*, "&amp;BD$3&amp;", *")</f>
        <v>0</v>
      </c>
      <c r="BE43" s="2">
        <f>COUNTIFS(集計用!$G41,"*, "&amp;BE$3&amp;", *")</f>
        <v>0</v>
      </c>
      <c r="BF43" s="2">
        <f>COUNTIFS(集計用!$G41,"*, "&amp;BF$3&amp;", *")</f>
        <v>0</v>
      </c>
      <c r="BG43" s="2">
        <f>COUNTIFS(集計用!$G41,"*, "&amp;BG$3&amp;", *")</f>
        <v>0</v>
      </c>
      <c r="BH43" s="2">
        <f>COUNTIFS(集計用!$G41,"*, "&amp;BH$3&amp;", *")</f>
        <v>0</v>
      </c>
      <c r="BI43" s="2">
        <f>COUNTIFS(集計用!$G41,"*, "&amp;BI$3&amp;", *")</f>
        <v>0</v>
      </c>
      <c r="BJ43" s="2">
        <f>LEN(集計用!H41)-LEN(SUBSTITUTE(集計用!H41,",",""))</f>
        <v>0</v>
      </c>
    </row>
    <row r="44" spans="1:62" ht="12.75">
      <c r="A44" s="8">
        <v>41</v>
      </c>
      <c r="C44" s="2">
        <f t="shared" si="2"/>
        <v>5</v>
      </c>
      <c r="D44" s="9"/>
      <c r="E44" s="2">
        <f>COUNTIFS(集計用!$G42,"*, "&amp;E$3&amp;", *")</f>
        <v>0</v>
      </c>
      <c r="F44" s="2">
        <f>COUNTIFS(集計用!$G42,"*, "&amp;F$3&amp;", *")</f>
        <v>1</v>
      </c>
      <c r="G44" s="2">
        <f>COUNTIFS(集計用!$G42,"*, "&amp;G$3&amp;", *")</f>
        <v>0</v>
      </c>
      <c r="H44" s="2">
        <f>COUNTIFS(集計用!$G42,"*, "&amp;H$3&amp;", *")</f>
        <v>0</v>
      </c>
      <c r="I44" s="2">
        <f>COUNTIFS(集計用!$G42,"*, "&amp;I$3&amp;", *")</f>
        <v>0</v>
      </c>
      <c r="J44" s="2">
        <f>COUNTIFS(集計用!$G42,"*, "&amp;J$3&amp;", *")</f>
        <v>0</v>
      </c>
      <c r="K44" s="2">
        <f>COUNTIFS(集計用!$G42,"*, "&amp;K$3&amp;", *")</f>
        <v>1</v>
      </c>
      <c r="L44" s="2">
        <f>COUNTIFS(集計用!$G42,"*, "&amp;L$3&amp;", *")</f>
        <v>0</v>
      </c>
      <c r="M44" s="2">
        <f>COUNTIFS(集計用!$G42,"*, "&amp;M$3&amp;", *")</f>
        <v>0</v>
      </c>
      <c r="N44" s="2">
        <f>COUNTIFS(集計用!$G42,"*, "&amp;N$3&amp;", *")</f>
        <v>0</v>
      </c>
      <c r="O44" s="2">
        <f>COUNTIFS(集計用!$G42,"*, "&amp;O$3&amp;", *")</f>
        <v>0</v>
      </c>
      <c r="P44" s="2">
        <f>COUNTIFS(集計用!$G42,"*, "&amp;P$3&amp;", *")</f>
        <v>1</v>
      </c>
      <c r="Q44" s="2">
        <f>COUNTIFS(集計用!$G42,"*, "&amp;Q$3&amp;", *")</f>
        <v>1</v>
      </c>
      <c r="R44" s="2">
        <f>COUNTIFS(集計用!$G42,"*, "&amp;R$3&amp;", *")</f>
        <v>0</v>
      </c>
      <c r="S44" s="2">
        <f>COUNTIFS(集計用!$G42,"*, "&amp;S$3&amp;", *")</f>
        <v>0</v>
      </c>
      <c r="T44" s="2">
        <f>COUNTIFS(集計用!$G42,"*, "&amp;T$3&amp;", *")</f>
        <v>0</v>
      </c>
      <c r="U44" s="2">
        <f>COUNTIFS(集計用!$G42,"*, "&amp;U$3&amp;", *")</f>
        <v>0</v>
      </c>
      <c r="V44" s="2">
        <f>COUNTIFS(集計用!$G42,"*, "&amp;V$3&amp;", *")</f>
        <v>0</v>
      </c>
      <c r="W44" s="2">
        <f>COUNTIFS(集計用!$G42,"*, "&amp;W$3&amp;", *")</f>
        <v>0</v>
      </c>
      <c r="X44" s="2">
        <f>COUNTIFS(集計用!$G42,"*, "&amp;X$3&amp;", *")</f>
        <v>1</v>
      </c>
      <c r="Y44" s="2">
        <f>COUNTIFS(集計用!$G42,"*, "&amp;Y$3&amp;", *")</f>
        <v>0</v>
      </c>
      <c r="Z44" s="2">
        <f>COUNTIFS(集計用!$G42,"*, "&amp;Z$3&amp;", *")</f>
        <v>0</v>
      </c>
      <c r="AA44" s="2">
        <f>COUNTIFS(集計用!$G42,"*, "&amp;AA$3&amp;", *")</f>
        <v>0</v>
      </c>
      <c r="AB44" s="2">
        <f>COUNTIFS(集計用!$G42,"*, "&amp;AB$3&amp;", *")</f>
        <v>0</v>
      </c>
      <c r="AC44" s="2">
        <f>COUNTIFS(集計用!$G42,"*, "&amp;AC$3&amp;", *")</f>
        <v>0</v>
      </c>
      <c r="AD44" s="2">
        <f>COUNTIFS(集計用!$G42,"*, "&amp;AD$3&amp;", *")</f>
        <v>0</v>
      </c>
      <c r="AE44" s="2">
        <f>COUNTIFS(集計用!$G42,"*, "&amp;AE$3&amp;", *")</f>
        <v>0</v>
      </c>
      <c r="AF44" s="2">
        <f>COUNTIFS(集計用!$G42,"*, "&amp;AF$3&amp;", *")</f>
        <v>0</v>
      </c>
      <c r="AG44" s="2">
        <f>COUNTIFS(集計用!$G42,"*, "&amp;AG$3&amp;", *")</f>
        <v>0</v>
      </c>
      <c r="AH44" s="2">
        <f>COUNTIFS(集計用!$G42,"*, "&amp;AH$3&amp;", *")</f>
        <v>0</v>
      </c>
      <c r="AI44" s="2">
        <f>COUNTIFS(集計用!$G42,"*, "&amp;AI$3&amp;", *")</f>
        <v>0</v>
      </c>
      <c r="AJ44" s="2">
        <f>COUNTIFS(集計用!$G42,"*, "&amp;AJ$3&amp;", *")</f>
        <v>0</v>
      </c>
      <c r="AK44" s="2">
        <f>COUNTIFS(集計用!$G42,"*, "&amp;AK$3&amp;", *")</f>
        <v>0</v>
      </c>
      <c r="AL44" s="2">
        <f>COUNTIFS(集計用!$G42,"*, "&amp;AL$3&amp;", *")</f>
        <v>0</v>
      </c>
      <c r="AM44" s="2">
        <f>COUNTIFS(集計用!$G42,"*, "&amp;AM$3&amp;", *")</f>
        <v>0</v>
      </c>
      <c r="AN44" s="2">
        <f>COUNTIFS(集計用!$G42,"*, "&amp;AN$3&amp;", *")</f>
        <v>0</v>
      </c>
      <c r="AO44" s="2">
        <f>COUNTIFS(集計用!$G42,"*, "&amp;AO$3&amp;", *")</f>
        <v>0</v>
      </c>
      <c r="AP44" s="2">
        <f>COUNTIFS(集計用!$G42,"*, "&amp;AP$3&amp;", *")</f>
        <v>0</v>
      </c>
      <c r="AQ44" s="2">
        <f>COUNTIFS(集計用!$G42,"*, "&amp;AQ$3&amp;", *")</f>
        <v>0</v>
      </c>
      <c r="AR44" s="2">
        <f>COUNTIFS(集計用!$G42,"*, "&amp;AR$3&amp;", *")</f>
        <v>0</v>
      </c>
      <c r="AS44" s="2">
        <f>COUNTIFS(集計用!$G42,"*, "&amp;AS$3&amp;", *")</f>
        <v>0</v>
      </c>
      <c r="AT44" s="2">
        <f>COUNTIFS(集計用!$G42,"*, "&amp;AT$3&amp;", *")</f>
        <v>0</v>
      </c>
      <c r="AU44" s="2">
        <f>COUNTIFS(集計用!$G42,"*, "&amp;AU$3&amp;", *")</f>
        <v>0</v>
      </c>
      <c r="AV44" s="2">
        <f>COUNTIFS(集計用!$G42,"*, "&amp;AV$3&amp;", *")</f>
        <v>0</v>
      </c>
      <c r="AW44" s="2">
        <f>COUNTIFS(集計用!$G42,"*, "&amp;AW$3&amp;", *")</f>
        <v>0</v>
      </c>
      <c r="AX44" s="2">
        <f>COUNTIFS(集計用!$G42,"*, "&amp;AX$3&amp;", *")</f>
        <v>0</v>
      </c>
      <c r="AY44" s="2">
        <f>COUNTIFS(集計用!$G42,"*, "&amp;AY$3&amp;", *")</f>
        <v>0</v>
      </c>
      <c r="AZ44" s="2">
        <f>COUNTIFS(集計用!$G42,"*, "&amp;AZ$3&amp;", *")</f>
        <v>0</v>
      </c>
      <c r="BA44" s="2">
        <f>COUNTIFS(集計用!$G42,"*, "&amp;BA$3&amp;", *")</f>
        <v>0</v>
      </c>
      <c r="BB44" s="2">
        <f>COUNTIFS(集計用!$G42,"*, "&amp;BB$3&amp;", *")</f>
        <v>0</v>
      </c>
      <c r="BC44" s="2">
        <f>COUNTIFS(集計用!$G42,"*, "&amp;BC$3&amp;", *")</f>
        <v>0</v>
      </c>
      <c r="BD44" s="2">
        <f>COUNTIFS(集計用!$G42,"*, "&amp;BD$3&amp;", *")</f>
        <v>0</v>
      </c>
      <c r="BE44" s="2">
        <f>COUNTIFS(集計用!$G42,"*, "&amp;BE$3&amp;", *")</f>
        <v>0</v>
      </c>
      <c r="BF44" s="2">
        <f>COUNTIFS(集計用!$G42,"*, "&amp;BF$3&amp;", *")</f>
        <v>0</v>
      </c>
      <c r="BG44" s="2">
        <f>COUNTIFS(集計用!$G42,"*, "&amp;BG$3&amp;", *")</f>
        <v>0</v>
      </c>
      <c r="BH44" s="2">
        <f>COUNTIFS(集計用!$G42,"*, "&amp;BH$3&amp;", *")</f>
        <v>0</v>
      </c>
      <c r="BI44" s="2">
        <f>COUNTIFS(集計用!$G42,"*, "&amp;BI$3&amp;", *")</f>
        <v>0</v>
      </c>
      <c r="BJ44" s="2">
        <f>LEN(集計用!H42)-LEN(SUBSTITUTE(集計用!H42,",",""))</f>
        <v>0</v>
      </c>
    </row>
    <row r="45" spans="1:62" ht="12.75">
      <c r="A45" s="8">
        <v>42</v>
      </c>
      <c r="C45" s="2">
        <f t="shared" si="2"/>
        <v>2</v>
      </c>
      <c r="D45" s="9"/>
      <c r="E45" s="2">
        <f>COUNTIFS(集計用!$G43,"*, "&amp;E$3&amp;", *")</f>
        <v>1</v>
      </c>
      <c r="F45" s="2">
        <f>COUNTIFS(集計用!$G43,"*, "&amp;F$3&amp;", *")</f>
        <v>0</v>
      </c>
      <c r="G45" s="2">
        <f>COUNTIFS(集計用!$G43,"*, "&amp;G$3&amp;", *")</f>
        <v>0</v>
      </c>
      <c r="H45" s="2">
        <f>COUNTIFS(集計用!$G43,"*, "&amp;H$3&amp;", *")</f>
        <v>0</v>
      </c>
      <c r="I45" s="2">
        <f>COUNTIFS(集計用!$G43,"*, "&amp;I$3&amp;", *")</f>
        <v>0</v>
      </c>
      <c r="J45" s="2">
        <f>COUNTIFS(集計用!$G43,"*, "&amp;J$3&amp;", *")</f>
        <v>0</v>
      </c>
      <c r="K45" s="2">
        <f>COUNTIFS(集計用!$G43,"*, "&amp;K$3&amp;", *")</f>
        <v>0</v>
      </c>
      <c r="L45" s="2">
        <f>COUNTIFS(集計用!$G43,"*, "&amp;L$3&amp;", *")</f>
        <v>1</v>
      </c>
      <c r="M45" s="2">
        <f>COUNTIFS(集計用!$G43,"*, "&amp;M$3&amp;", *")</f>
        <v>0</v>
      </c>
      <c r="N45" s="2">
        <f>COUNTIFS(集計用!$G43,"*, "&amp;N$3&amp;", *")</f>
        <v>0</v>
      </c>
      <c r="O45" s="2">
        <f>COUNTIFS(集計用!$G43,"*, "&amp;O$3&amp;", *")</f>
        <v>0</v>
      </c>
      <c r="P45" s="2">
        <f>COUNTIFS(集計用!$G43,"*, "&amp;P$3&amp;", *")</f>
        <v>0</v>
      </c>
      <c r="Q45" s="2">
        <f>COUNTIFS(集計用!$G43,"*, "&amp;Q$3&amp;", *")</f>
        <v>0</v>
      </c>
      <c r="R45" s="2">
        <f>COUNTIFS(集計用!$G43,"*, "&amp;R$3&amp;", *")</f>
        <v>0</v>
      </c>
      <c r="S45" s="2">
        <f>COUNTIFS(集計用!$G43,"*, "&amp;S$3&amp;", *")</f>
        <v>0</v>
      </c>
      <c r="T45" s="2">
        <f>COUNTIFS(集計用!$G43,"*, "&amp;T$3&amp;", *")</f>
        <v>0</v>
      </c>
      <c r="U45" s="2">
        <f>COUNTIFS(集計用!$G43,"*, "&amp;U$3&amp;", *")</f>
        <v>0</v>
      </c>
      <c r="V45" s="2">
        <f>COUNTIFS(集計用!$G43,"*, "&amp;V$3&amp;", *")</f>
        <v>0</v>
      </c>
      <c r="W45" s="2">
        <f>COUNTIFS(集計用!$G43,"*, "&amp;W$3&amp;", *")</f>
        <v>0</v>
      </c>
      <c r="X45" s="2">
        <f>COUNTIFS(集計用!$G43,"*, "&amp;X$3&amp;", *")</f>
        <v>0</v>
      </c>
      <c r="Y45" s="2">
        <f>COUNTIFS(集計用!$G43,"*, "&amp;Y$3&amp;", *")</f>
        <v>0</v>
      </c>
      <c r="Z45" s="2">
        <f>COUNTIFS(集計用!$G43,"*, "&amp;Z$3&amp;", *")</f>
        <v>0</v>
      </c>
      <c r="AA45" s="2">
        <f>COUNTIFS(集計用!$G43,"*, "&amp;AA$3&amp;", *")</f>
        <v>0</v>
      </c>
      <c r="AB45" s="2">
        <f>COUNTIFS(集計用!$G43,"*, "&amp;AB$3&amp;", *")</f>
        <v>0</v>
      </c>
      <c r="AC45" s="2">
        <f>COUNTIFS(集計用!$G43,"*, "&amp;AC$3&amp;", *")</f>
        <v>0</v>
      </c>
      <c r="AD45" s="2">
        <f>COUNTIFS(集計用!$G43,"*, "&amp;AD$3&amp;", *")</f>
        <v>0</v>
      </c>
      <c r="AE45" s="2">
        <f>COUNTIFS(集計用!$G43,"*, "&amp;AE$3&amp;", *")</f>
        <v>0</v>
      </c>
      <c r="AF45" s="2">
        <f>COUNTIFS(集計用!$G43,"*, "&amp;AF$3&amp;", *")</f>
        <v>0</v>
      </c>
      <c r="AG45" s="2">
        <f>COUNTIFS(集計用!$G43,"*, "&amp;AG$3&amp;", *")</f>
        <v>0</v>
      </c>
      <c r="AH45" s="2">
        <f>COUNTIFS(集計用!$G43,"*, "&amp;AH$3&amp;", *")</f>
        <v>0</v>
      </c>
      <c r="AI45" s="2">
        <f>COUNTIFS(集計用!$G43,"*, "&amp;AI$3&amp;", *")</f>
        <v>0</v>
      </c>
      <c r="AJ45" s="2">
        <f>COUNTIFS(集計用!$G43,"*, "&amp;AJ$3&amp;", *")</f>
        <v>0</v>
      </c>
      <c r="AK45" s="2">
        <f>COUNTIFS(集計用!$G43,"*, "&amp;AK$3&amp;", *")</f>
        <v>0</v>
      </c>
      <c r="AL45" s="2">
        <f>COUNTIFS(集計用!$G43,"*, "&amp;AL$3&amp;", *")</f>
        <v>0</v>
      </c>
      <c r="AM45" s="2">
        <f>COUNTIFS(集計用!$G43,"*, "&amp;AM$3&amp;", *")</f>
        <v>0</v>
      </c>
      <c r="AN45" s="2">
        <f>COUNTIFS(集計用!$G43,"*, "&amp;AN$3&amp;", *")</f>
        <v>0</v>
      </c>
      <c r="AO45" s="2">
        <f>COUNTIFS(集計用!$G43,"*, "&amp;AO$3&amp;", *")</f>
        <v>0</v>
      </c>
      <c r="AP45" s="2">
        <f>COUNTIFS(集計用!$G43,"*, "&amp;AP$3&amp;", *")</f>
        <v>0</v>
      </c>
      <c r="AQ45" s="2">
        <f>COUNTIFS(集計用!$G43,"*, "&amp;AQ$3&amp;", *")</f>
        <v>0</v>
      </c>
      <c r="AR45" s="2">
        <f>COUNTIFS(集計用!$G43,"*, "&amp;AR$3&amp;", *")</f>
        <v>0</v>
      </c>
      <c r="AS45" s="2">
        <f>COUNTIFS(集計用!$G43,"*, "&amp;AS$3&amp;", *")</f>
        <v>0</v>
      </c>
      <c r="AT45" s="2">
        <f>COUNTIFS(集計用!$G43,"*, "&amp;AT$3&amp;", *")</f>
        <v>0</v>
      </c>
      <c r="AU45" s="2">
        <f>COUNTIFS(集計用!$G43,"*, "&amp;AU$3&amp;", *")</f>
        <v>0</v>
      </c>
      <c r="AV45" s="2">
        <f>COUNTIFS(集計用!$G43,"*, "&amp;AV$3&amp;", *")</f>
        <v>0</v>
      </c>
      <c r="AW45" s="2">
        <f>COUNTIFS(集計用!$G43,"*, "&amp;AW$3&amp;", *")</f>
        <v>0</v>
      </c>
      <c r="AX45" s="2">
        <f>COUNTIFS(集計用!$G43,"*, "&amp;AX$3&amp;", *")</f>
        <v>0</v>
      </c>
      <c r="AY45" s="2">
        <f>COUNTIFS(集計用!$G43,"*, "&amp;AY$3&amp;", *")</f>
        <v>0</v>
      </c>
      <c r="AZ45" s="2">
        <f>COUNTIFS(集計用!$G43,"*, "&amp;AZ$3&amp;", *")</f>
        <v>0</v>
      </c>
      <c r="BA45" s="2">
        <f>COUNTIFS(集計用!$G43,"*, "&amp;BA$3&amp;", *")</f>
        <v>0</v>
      </c>
      <c r="BB45" s="2">
        <f>COUNTIFS(集計用!$G43,"*, "&amp;BB$3&amp;", *")</f>
        <v>0</v>
      </c>
      <c r="BC45" s="2">
        <f>COUNTIFS(集計用!$G43,"*, "&amp;BC$3&amp;", *")</f>
        <v>0</v>
      </c>
      <c r="BD45" s="2">
        <f>COUNTIFS(集計用!$G43,"*, "&amp;BD$3&amp;", *")</f>
        <v>0</v>
      </c>
      <c r="BE45" s="2">
        <f>COUNTIFS(集計用!$G43,"*, "&amp;BE$3&amp;", *")</f>
        <v>0</v>
      </c>
      <c r="BF45" s="2">
        <f>COUNTIFS(集計用!$G43,"*, "&amp;BF$3&amp;", *")</f>
        <v>0</v>
      </c>
      <c r="BG45" s="2">
        <f>COUNTIFS(集計用!$G43,"*, "&amp;BG$3&amp;", *")</f>
        <v>0</v>
      </c>
      <c r="BH45" s="2">
        <f>COUNTIFS(集計用!$G43,"*, "&amp;BH$3&amp;", *")</f>
        <v>0</v>
      </c>
      <c r="BI45" s="2">
        <f>COUNTIFS(集計用!$G43,"*, "&amp;BI$3&amp;", *")</f>
        <v>0</v>
      </c>
      <c r="BJ45" s="2">
        <f>LEN(集計用!H43)-LEN(SUBSTITUTE(集計用!H43,",",""))</f>
        <v>0</v>
      </c>
    </row>
    <row r="46" spans="1:62" ht="12.75">
      <c r="A46" s="8">
        <v>43</v>
      </c>
      <c r="C46" s="2">
        <f t="shared" si="2"/>
        <v>6</v>
      </c>
      <c r="D46" s="9"/>
      <c r="E46" s="2">
        <f>COUNTIFS(集計用!$G44,"*, "&amp;E$3&amp;", *")</f>
        <v>1</v>
      </c>
      <c r="F46" s="2">
        <f>COUNTIFS(集計用!$G44,"*, "&amp;F$3&amp;", *")</f>
        <v>1</v>
      </c>
      <c r="G46" s="2">
        <f>COUNTIFS(集計用!$G44,"*, "&amp;G$3&amp;", *")</f>
        <v>1</v>
      </c>
      <c r="H46" s="2">
        <f>COUNTIFS(集計用!$G44,"*, "&amp;H$3&amp;", *")</f>
        <v>0</v>
      </c>
      <c r="I46" s="2">
        <f>COUNTIFS(集計用!$G44,"*, "&amp;I$3&amp;", *")</f>
        <v>0</v>
      </c>
      <c r="J46" s="2">
        <f>COUNTIFS(集計用!$G44,"*, "&amp;J$3&amp;", *")</f>
        <v>0</v>
      </c>
      <c r="K46" s="2">
        <f>COUNTIFS(集計用!$G44,"*, "&amp;K$3&amp;", *")</f>
        <v>1</v>
      </c>
      <c r="L46" s="2">
        <f>COUNTIFS(集計用!$G44,"*, "&amp;L$3&amp;", *")</f>
        <v>1</v>
      </c>
      <c r="M46" s="2">
        <f>COUNTIFS(集計用!$G44,"*, "&amp;M$3&amp;", *")</f>
        <v>1</v>
      </c>
      <c r="N46" s="2">
        <f>COUNTIFS(集計用!$G44,"*, "&amp;N$3&amp;", *")</f>
        <v>0</v>
      </c>
      <c r="O46" s="2">
        <f>COUNTIFS(集計用!$G44,"*, "&amp;O$3&amp;", *")</f>
        <v>0</v>
      </c>
      <c r="P46" s="2">
        <f>COUNTIFS(集計用!$G44,"*, "&amp;P$3&amp;", *")</f>
        <v>0</v>
      </c>
      <c r="Q46" s="2">
        <f>COUNTIFS(集計用!$G44,"*, "&amp;Q$3&amp;", *")</f>
        <v>0</v>
      </c>
      <c r="R46" s="2">
        <f>COUNTIFS(集計用!$G44,"*, "&amp;R$3&amp;", *")</f>
        <v>0</v>
      </c>
      <c r="S46" s="2">
        <f>COUNTIFS(集計用!$G44,"*, "&amp;S$3&amp;", *")</f>
        <v>0</v>
      </c>
      <c r="T46" s="2">
        <f>COUNTIFS(集計用!$G44,"*, "&amp;T$3&amp;", *")</f>
        <v>0</v>
      </c>
      <c r="U46" s="2">
        <f>COUNTIFS(集計用!$G44,"*, "&amp;U$3&amp;", *")</f>
        <v>0</v>
      </c>
      <c r="V46" s="2">
        <f>COUNTIFS(集計用!$G44,"*, "&amp;V$3&amp;", *")</f>
        <v>0</v>
      </c>
      <c r="W46" s="2">
        <f>COUNTIFS(集計用!$G44,"*, "&amp;W$3&amp;", *")</f>
        <v>0</v>
      </c>
      <c r="X46" s="2">
        <f>COUNTIFS(集計用!$G44,"*, "&amp;X$3&amp;", *")</f>
        <v>0</v>
      </c>
      <c r="Y46" s="2">
        <f>COUNTIFS(集計用!$G44,"*, "&amp;Y$3&amp;", *")</f>
        <v>0</v>
      </c>
      <c r="Z46" s="2">
        <f>COUNTIFS(集計用!$G44,"*, "&amp;Z$3&amp;", *")</f>
        <v>0</v>
      </c>
      <c r="AA46" s="2">
        <f>COUNTIFS(集計用!$G44,"*, "&amp;AA$3&amp;", *")</f>
        <v>0</v>
      </c>
      <c r="AB46" s="2">
        <f>COUNTIFS(集計用!$G44,"*, "&amp;AB$3&amp;", *")</f>
        <v>0</v>
      </c>
      <c r="AC46" s="2">
        <f>COUNTIFS(集計用!$G44,"*, "&amp;AC$3&amp;", *")</f>
        <v>0</v>
      </c>
      <c r="AD46" s="2">
        <f>COUNTIFS(集計用!$G44,"*, "&amp;AD$3&amp;", *")</f>
        <v>0</v>
      </c>
      <c r="AE46" s="2">
        <f>COUNTIFS(集計用!$G44,"*, "&amp;AE$3&amp;", *")</f>
        <v>0</v>
      </c>
      <c r="AF46" s="2">
        <f>COUNTIFS(集計用!$G44,"*, "&amp;AF$3&amp;", *")</f>
        <v>0</v>
      </c>
      <c r="AG46" s="2">
        <f>COUNTIFS(集計用!$G44,"*, "&amp;AG$3&amp;", *")</f>
        <v>0</v>
      </c>
      <c r="AH46" s="2">
        <f>COUNTIFS(集計用!$G44,"*, "&amp;AH$3&amp;", *")</f>
        <v>0</v>
      </c>
      <c r="AI46" s="2">
        <f>COUNTIFS(集計用!$G44,"*, "&amp;AI$3&amp;", *")</f>
        <v>0</v>
      </c>
      <c r="AJ46" s="2">
        <f>COUNTIFS(集計用!$G44,"*, "&amp;AJ$3&amp;", *")</f>
        <v>0</v>
      </c>
      <c r="AK46" s="2">
        <f>COUNTIFS(集計用!$G44,"*, "&amp;AK$3&amp;", *")</f>
        <v>0</v>
      </c>
      <c r="AL46" s="2">
        <f>COUNTIFS(集計用!$G44,"*, "&amp;AL$3&amp;", *")</f>
        <v>0</v>
      </c>
      <c r="AM46" s="2">
        <f>COUNTIFS(集計用!$G44,"*, "&amp;AM$3&amp;", *")</f>
        <v>0</v>
      </c>
      <c r="AN46" s="2">
        <f>COUNTIFS(集計用!$G44,"*, "&amp;AN$3&amp;", *")</f>
        <v>0</v>
      </c>
      <c r="AO46" s="2">
        <f>COUNTIFS(集計用!$G44,"*, "&amp;AO$3&amp;", *")</f>
        <v>0</v>
      </c>
      <c r="AP46" s="2">
        <f>COUNTIFS(集計用!$G44,"*, "&amp;AP$3&amp;", *")</f>
        <v>0</v>
      </c>
      <c r="AQ46" s="2">
        <f>COUNTIFS(集計用!$G44,"*, "&amp;AQ$3&amp;", *")</f>
        <v>0</v>
      </c>
      <c r="AR46" s="2">
        <f>COUNTIFS(集計用!$G44,"*, "&amp;AR$3&amp;", *")</f>
        <v>0</v>
      </c>
      <c r="AS46" s="2">
        <f>COUNTIFS(集計用!$G44,"*, "&amp;AS$3&amp;", *")</f>
        <v>0</v>
      </c>
      <c r="AT46" s="2">
        <f>COUNTIFS(集計用!$G44,"*, "&amp;AT$3&amp;", *")</f>
        <v>0</v>
      </c>
      <c r="AU46" s="2">
        <f>COUNTIFS(集計用!$G44,"*, "&amp;AU$3&amp;", *")</f>
        <v>0</v>
      </c>
      <c r="AV46" s="2">
        <f>COUNTIFS(集計用!$G44,"*, "&amp;AV$3&amp;", *")</f>
        <v>0</v>
      </c>
      <c r="AW46" s="2">
        <f>COUNTIFS(集計用!$G44,"*, "&amp;AW$3&amp;", *")</f>
        <v>0</v>
      </c>
      <c r="AX46" s="2">
        <f>COUNTIFS(集計用!$G44,"*, "&amp;AX$3&amp;", *")</f>
        <v>0</v>
      </c>
      <c r="AY46" s="2">
        <f>COUNTIFS(集計用!$G44,"*, "&amp;AY$3&amp;", *")</f>
        <v>0</v>
      </c>
      <c r="AZ46" s="2">
        <f>COUNTIFS(集計用!$G44,"*, "&amp;AZ$3&amp;", *")</f>
        <v>0</v>
      </c>
      <c r="BA46" s="2">
        <f>COUNTIFS(集計用!$G44,"*, "&amp;BA$3&amp;", *")</f>
        <v>0</v>
      </c>
      <c r="BB46" s="2">
        <f>COUNTIFS(集計用!$G44,"*, "&amp;BB$3&amp;", *")</f>
        <v>0</v>
      </c>
      <c r="BC46" s="2">
        <f>COUNTIFS(集計用!$G44,"*, "&amp;BC$3&amp;", *")</f>
        <v>0</v>
      </c>
      <c r="BD46" s="2">
        <f>COUNTIFS(集計用!$G44,"*, "&amp;BD$3&amp;", *")</f>
        <v>0</v>
      </c>
      <c r="BE46" s="2">
        <f>COUNTIFS(集計用!$G44,"*, "&amp;BE$3&amp;", *")</f>
        <v>0</v>
      </c>
      <c r="BF46" s="2">
        <f>COUNTIFS(集計用!$G44,"*, "&amp;BF$3&amp;", *")</f>
        <v>0</v>
      </c>
      <c r="BG46" s="2">
        <f>COUNTIFS(集計用!$G44,"*, "&amp;BG$3&amp;", *")</f>
        <v>0</v>
      </c>
      <c r="BH46" s="2">
        <f>COUNTIFS(集計用!$G44,"*, "&amp;BH$3&amp;", *")</f>
        <v>0</v>
      </c>
      <c r="BI46" s="2">
        <f>COUNTIFS(集計用!$G44,"*, "&amp;BI$3&amp;", *")</f>
        <v>0</v>
      </c>
      <c r="BJ46" s="2">
        <f>LEN(集計用!H44)-LEN(SUBSTITUTE(集計用!H44,",",""))</f>
        <v>0</v>
      </c>
    </row>
    <row r="47" spans="1:62" ht="12.75">
      <c r="A47" s="8">
        <v>44</v>
      </c>
      <c r="C47" s="2">
        <f t="shared" si="2"/>
        <v>4</v>
      </c>
      <c r="D47" s="9"/>
      <c r="E47" s="2">
        <f>COUNTIFS(集計用!$G45,"*, "&amp;E$3&amp;", *")</f>
        <v>1</v>
      </c>
      <c r="F47" s="2">
        <f>COUNTIFS(集計用!$G45,"*, "&amp;F$3&amp;", *")</f>
        <v>1</v>
      </c>
      <c r="G47" s="2">
        <f>COUNTIFS(集計用!$G45,"*, "&amp;G$3&amp;", *")</f>
        <v>0</v>
      </c>
      <c r="H47" s="2">
        <f>COUNTIFS(集計用!$G45,"*, "&amp;H$3&amp;", *")</f>
        <v>0</v>
      </c>
      <c r="I47" s="2">
        <f>COUNTIFS(集計用!$G45,"*, "&amp;I$3&amp;", *")</f>
        <v>0</v>
      </c>
      <c r="J47" s="2">
        <f>COUNTIFS(集計用!$G45,"*, "&amp;J$3&amp;", *")</f>
        <v>0</v>
      </c>
      <c r="K47" s="2">
        <f>COUNTIFS(集計用!$G45,"*, "&amp;K$3&amp;", *")</f>
        <v>1</v>
      </c>
      <c r="L47" s="2">
        <f>COUNTIFS(集計用!$G45,"*, "&amp;L$3&amp;", *")</f>
        <v>0</v>
      </c>
      <c r="M47" s="2">
        <f>COUNTIFS(集計用!$G45,"*, "&amp;M$3&amp;", *")</f>
        <v>1</v>
      </c>
      <c r="N47" s="2">
        <f>COUNTIFS(集計用!$G45,"*, "&amp;N$3&amp;", *")</f>
        <v>0</v>
      </c>
      <c r="O47" s="2">
        <f>COUNTIFS(集計用!$G45,"*, "&amp;O$3&amp;", *")</f>
        <v>0</v>
      </c>
      <c r="P47" s="2">
        <f>COUNTIFS(集計用!$G45,"*, "&amp;P$3&amp;", *")</f>
        <v>0</v>
      </c>
      <c r="Q47" s="2">
        <f>COUNTIFS(集計用!$G45,"*, "&amp;Q$3&amp;", *")</f>
        <v>0</v>
      </c>
      <c r="R47" s="2">
        <f>COUNTIFS(集計用!$G45,"*, "&amp;R$3&amp;", *")</f>
        <v>0</v>
      </c>
      <c r="S47" s="2">
        <f>COUNTIFS(集計用!$G45,"*, "&amp;S$3&amp;", *")</f>
        <v>0</v>
      </c>
      <c r="T47" s="2">
        <f>COUNTIFS(集計用!$G45,"*, "&amp;T$3&amp;", *")</f>
        <v>0</v>
      </c>
      <c r="U47" s="2">
        <f>COUNTIFS(集計用!$G45,"*, "&amp;U$3&amp;", *")</f>
        <v>0</v>
      </c>
      <c r="V47" s="2">
        <f>COUNTIFS(集計用!$G45,"*, "&amp;V$3&amp;", *")</f>
        <v>0</v>
      </c>
      <c r="W47" s="2">
        <f>COUNTIFS(集計用!$G45,"*, "&amp;W$3&amp;", *")</f>
        <v>0</v>
      </c>
      <c r="X47" s="2">
        <f>COUNTIFS(集計用!$G45,"*, "&amp;X$3&amp;", *")</f>
        <v>0</v>
      </c>
      <c r="Y47" s="2">
        <f>COUNTIFS(集計用!$G45,"*, "&amp;Y$3&amp;", *")</f>
        <v>0</v>
      </c>
      <c r="Z47" s="2">
        <f>COUNTIFS(集計用!$G45,"*, "&amp;Z$3&amp;", *")</f>
        <v>0</v>
      </c>
      <c r="AA47" s="2">
        <f>COUNTIFS(集計用!$G45,"*, "&amp;AA$3&amp;", *")</f>
        <v>0</v>
      </c>
      <c r="AB47" s="2">
        <f>COUNTIFS(集計用!$G45,"*, "&amp;AB$3&amp;", *")</f>
        <v>0</v>
      </c>
      <c r="AC47" s="2">
        <f>COUNTIFS(集計用!$G45,"*, "&amp;AC$3&amp;", *")</f>
        <v>0</v>
      </c>
      <c r="AD47" s="2">
        <f>COUNTIFS(集計用!$G45,"*, "&amp;AD$3&amp;", *")</f>
        <v>0</v>
      </c>
      <c r="AE47" s="2">
        <f>COUNTIFS(集計用!$G45,"*, "&amp;AE$3&amp;", *")</f>
        <v>0</v>
      </c>
      <c r="AF47" s="2">
        <f>COUNTIFS(集計用!$G45,"*, "&amp;AF$3&amp;", *")</f>
        <v>0</v>
      </c>
      <c r="AG47" s="2">
        <f>COUNTIFS(集計用!$G45,"*, "&amp;AG$3&amp;", *")</f>
        <v>0</v>
      </c>
      <c r="AH47" s="2">
        <f>COUNTIFS(集計用!$G45,"*, "&amp;AH$3&amp;", *")</f>
        <v>0</v>
      </c>
      <c r="AI47" s="2">
        <f>COUNTIFS(集計用!$G45,"*, "&amp;AI$3&amp;", *")</f>
        <v>0</v>
      </c>
      <c r="AJ47" s="2">
        <f>COUNTIFS(集計用!$G45,"*, "&amp;AJ$3&amp;", *")</f>
        <v>0</v>
      </c>
      <c r="AK47" s="2">
        <f>COUNTIFS(集計用!$G45,"*, "&amp;AK$3&amp;", *")</f>
        <v>0</v>
      </c>
      <c r="AL47" s="2">
        <f>COUNTIFS(集計用!$G45,"*, "&amp;AL$3&amp;", *")</f>
        <v>0</v>
      </c>
      <c r="AM47" s="2">
        <f>COUNTIFS(集計用!$G45,"*, "&amp;AM$3&amp;", *")</f>
        <v>0</v>
      </c>
      <c r="AN47" s="2">
        <f>COUNTIFS(集計用!$G45,"*, "&amp;AN$3&amp;", *")</f>
        <v>0</v>
      </c>
      <c r="AO47" s="2">
        <f>COUNTIFS(集計用!$G45,"*, "&amp;AO$3&amp;", *")</f>
        <v>0</v>
      </c>
      <c r="AP47" s="2">
        <f>COUNTIFS(集計用!$G45,"*, "&amp;AP$3&amp;", *")</f>
        <v>0</v>
      </c>
      <c r="AQ47" s="2">
        <f>COUNTIFS(集計用!$G45,"*, "&amp;AQ$3&amp;", *")</f>
        <v>0</v>
      </c>
      <c r="AR47" s="2">
        <f>COUNTIFS(集計用!$G45,"*, "&amp;AR$3&amp;", *")</f>
        <v>0</v>
      </c>
      <c r="AS47" s="2">
        <f>COUNTIFS(集計用!$G45,"*, "&amp;AS$3&amp;", *")</f>
        <v>0</v>
      </c>
      <c r="AT47" s="2">
        <f>COUNTIFS(集計用!$G45,"*, "&amp;AT$3&amp;", *")</f>
        <v>0</v>
      </c>
      <c r="AU47" s="2">
        <f>COUNTIFS(集計用!$G45,"*, "&amp;AU$3&amp;", *")</f>
        <v>0</v>
      </c>
      <c r="AV47" s="2">
        <f>COUNTIFS(集計用!$G45,"*, "&amp;AV$3&amp;", *")</f>
        <v>0</v>
      </c>
      <c r="AW47" s="2">
        <f>COUNTIFS(集計用!$G45,"*, "&amp;AW$3&amp;", *")</f>
        <v>0</v>
      </c>
      <c r="AX47" s="2">
        <f>COUNTIFS(集計用!$G45,"*, "&amp;AX$3&amp;", *")</f>
        <v>0</v>
      </c>
      <c r="AY47" s="2">
        <f>COUNTIFS(集計用!$G45,"*, "&amp;AY$3&amp;", *")</f>
        <v>0</v>
      </c>
      <c r="AZ47" s="2">
        <f>COUNTIFS(集計用!$G45,"*, "&amp;AZ$3&amp;", *")</f>
        <v>0</v>
      </c>
      <c r="BA47" s="2">
        <f>COUNTIFS(集計用!$G45,"*, "&amp;BA$3&amp;", *")</f>
        <v>0</v>
      </c>
      <c r="BB47" s="2">
        <f>COUNTIFS(集計用!$G45,"*, "&amp;BB$3&amp;", *")</f>
        <v>0</v>
      </c>
      <c r="BC47" s="2">
        <f>COUNTIFS(集計用!$G45,"*, "&amp;BC$3&amp;", *")</f>
        <v>0</v>
      </c>
      <c r="BD47" s="2">
        <f>COUNTIFS(集計用!$G45,"*, "&amp;BD$3&amp;", *")</f>
        <v>0</v>
      </c>
      <c r="BE47" s="2">
        <f>COUNTIFS(集計用!$G45,"*, "&amp;BE$3&amp;", *")</f>
        <v>0</v>
      </c>
      <c r="BF47" s="2">
        <f>COUNTIFS(集計用!$G45,"*, "&amp;BF$3&amp;", *")</f>
        <v>0</v>
      </c>
      <c r="BG47" s="2">
        <f>COUNTIFS(集計用!$G45,"*, "&amp;BG$3&amp;", *")</f>
        <v>0</v>
      </c>
      <c r="BH47" s="2">
        <f>COUNTIFS(集計用!$G45,"*, "&amp;BH$3&amp;", *")</f>
        <v>0</v>
      </c>
      <c r="BI47" s="2">
        <f>COUNTIFS(集計用!$G45,"*, "&amp;BI$3&amp;", *")</f>
        <v>0</v>
      </c>
      <c r="BJ47" s="2">
        <f>LEN(集計用!H45)-LEN(SUBSTITUTE(集計用!H45,",",""))</f>
        <v>0</v>
      </c>
    </row>
    <row r="48" spans="1:62" ht="12.75">
      <c r="A48" s="8">
        <v>45</v>
      </c>
      <c r="C48" s="2">
        <f t="shared" si="2"/>
        <v>4</v>
      </c>
      <c r="D48" s="9"/>
      <c r="E48" s="2">
        <f>COUNTIFS(集計用!$G46,"*, "&amp;E$3&amp;", *")</f>
        <v>0</v>
      </c>
      <c r="F48" s="2">
        <f>COUNTIFS(集計用!$G46,"*, "&amp;F$3&amp;", *")</f>
        <v>0</v>
      </c>
      <c r="G48" s="2">
        <f>COUNTIFS(集計用!$G46,"*, "&amp;G$3&amp;", *")</f>
        <v>0</v>
      </c>
      <c r="H48" s="2">
        <f>COUNTIFS(集計用!$G46,"*, "&amp;H$3&amp;", *")</f>
        <v>1</v>
      </c>
      <c r="I48" s="2">
        <f>COUNTIFS(集計用!$G46,"*, "&amp;I$3&amp;", *")</f>
        <v>0</v>
      </c>
      <c r="J48" s="2">
        <f>COUNTIFS(集計用!$G46,"*, "&amp;J$3&amp;", *")</f>
        <v>0</v>
      </c>
      <c r="K48" s="2">
        <f>COUNTIFS(集計用!$G46,"*, "&amp;K$3&amp;", *")</f>
        <v>0</v>
      </c>
      <c r="L48" s="2">
        <f>COUNTIFS(集計用!$G46,"*, "&amp;L$3&amp;", *")</f>
        <v>0</v>
      </c>
      <c r="M48" s="2">
        <f>COUNTIFS(集計用!$G46,"*, "&amp;M$3&amp;", *")</f>
        <v>0</v>
      </c>
      <c r="N48" s="2">
        <f>COUNTIFS(集計用!$G46,"*, "&amp;N$3&amp;", *")</f>
        <v>0</v>
      </c>
      <c r="O48" s="2">
        <f>COUNTIFS(集計用!$G46,"*, "&amp;O$3&amp;", *")</f>
        <v>0</v>
      </c>
      <c r="P48" s="2">
        <f>COUNTIFS(集計用!$G46,"*, "&amp;P$3&amp;", *")</f>
        <v>0</v>
      </c>
      <c r="Q48" s="2">
        <f>COUNTIFS(集計用!$G46,"*, "&amp;Q$3&amp;", *")</f>
        <v>1</v>
      </c>
      <c r="R48" s="2">
        <f>COUNTIFS(集計用!$G46,"*, "&amp;R$3&amp;", *")</f>
        <v>1</v>
      </c>
      <c r="S48" s="2">
        <f>COUNTIFS(集計用!$G46,"*, "&amp;S$3&amp;", *")</f>
        <v>0</v>
      </c>
      <c r="T48" s="2">
        <f>COUNTIFS(集計用!$G46,"*, "&amp;T$3&amp;", *")</f>
        <v>0</v>
      </c>
      <c r="U48" s="2">
        <f>COUNTIFS(集計用!$G46,"*, "&amp;U$3&amp;", *")</f>
        <v>0</v>
      </c>
      <c r="V48" s="2">
        <f>COUNTIFS(集計用!$G46,"*, "&amp;V$3&amp;", *")</f>
        <v>0</v>
      </c>
      <c r="W48" s="2">
        <f>COUNTIFS(集計用!$G46,"*, "&amp;W$3&amp;", *")</f>
        <v>0</v>
      </c>
      <c r="X48" s="2">
        <f>COUNTIFS(集計用!$G46,"*, "&amp;X$3&amp;", *")</f>
        <v>1</v>
      </c>
      <c r="Y48" s="2">
        <f>COUNTIFS(集計用!$G46,"*, "&amp;Y$3&amp;", *")</f>
        <v>0</v>
      </c>
      <c r="Z48" s="2">
        <f>COUNTIFS(集計用!$G46,"*, "&amp;Z$3&amp;", *")</f>
        <v>0</v>
      </c>
      <c r="AA48" s="2">
        <f>COUNTIFS(集計用!$G46,"*, "&amp;AA$3&amp;", *")</f>
        <v>0</v>
      </c>
      <c r="AB48" s="2">
        <f>COUNTIFS(集計用!$G46,"*, "&amp;AB$3&amp;", *")</f>
        <v>0</v>
      </c>
      <c r="AC48" s="2">
        <f>COUNTIFS(集計用!$G46,"*, "&amp;AC$3&amp;", *")</f>
        <v>0</v>
      </c>
      <c r="AD48" s="2">
        <f>COUNTIFS(集計用!$G46,"*, "&amp;AD$3&amp;", *")</f>
        <v>0</v>
      </c>
      <c r="AE48" s="2">
        <f>COUNTIFS(集計用!$G46,"*, "&amp;AE$3&amp;", *")</f>
        <v>0</v>
      </c>
      <c r="AF48" s="2">
        <f>COUNTIFS(集計用!$G46,"*, "&amp;AF$3&amp;", *")</f>
        <v>0</v>
      </c>
      <c r="AG48" s="2">
        <f>COUNTIFS(集計用!$G46,"*, "&amp;AG$3&amp;", *")</f>
        <v>0</v>
      </c>
      <c r="AH48" s="2">
        <f>COUNTIFS(集計用!$G46,"*, "&amp;AH$3&amp;", *")</f>
        <v>0</v>
      </c>
      <c r="AI48" s="2">
        <f>COUNTIFS(集計用!$G46,"*, "&amp;AI$3&amp;", *")</f>
        <v>0</v>
      </c>
      <c r="AJ48" s="2">
        <f>COUNTIFS(集計用!$G46,"*, "&amp;AJ$3&amp;", *")</f>
        <v>0</v>
      </c>
      <c r="AK48" s="2">
        <f>COUNTIFS(集計用!$G46,"*, "&amp;AK$3&amp;", *")</f>
        <v>0</v>
      </c>
      <c r="AL48" s="2">
        <f>COUNTIFS(集計用!$G46,"*, "&amp;AL$3&amp;", *")</f>
        <v>0</v>
      </c>
      <c r="AM48" s="2">
        <f>COUNTIFS(集計用!$G46,"*, "&amp;AM$3&amp;", *")</f>
        <v>0</v>
      </c>
      <c r="AN48" s="2">
        <f>COUNTIFS(集計用!$G46,"*, "&amp;AN$3&amp;", *")</f>
        <v>0</v>
      </c>
      <c r="AO48" s="2">
        <f>COUNTIFS(集計用!$G46,"*, "&amp;AO$3&amp;", *")</f>
        <v>0</v>
      </c>
      <c r="AP48" s="2">
        <f>COUNTIFS(集計用!$G46,"*, "&amp;AP$3&amp;", *")</f>
        <v>0</v>
      </c>
      <c r="AQ48" s="2">
        <f>COUNTIFS(集計用!$G46,"*, "&amp;AQ$3&amp;", *")</f>
        <v>0</v>
      </c>
      <c r="AR48" s="2">
        <f>COUNTIFS(集計用!$G46,"*, "&amp;AR$3&amp;", *")</f>
        <v>0</v>
      </c>
      <c r="AS48" s="2">
        <f>COUNTIFS(集計用!$G46,"*, "&amp;AS$3&amp;", *")</f>
        <v>0</v>
      </c>
      <c r="AT48" s="2">
        <f>COUNTIFS(集計用!$G46,"*, "&amp;AT$3&amp;", *")</f>
        <v>0</v>
      </c>
      <c r="AU48" s="2">
        <f>COUNTIFS(集計用!$G46,"*, "&amp;AU$3&amp;", *")</f>
        <v>0</v>
      </c>
      <c r="AV48" s="2">
        <f>COUNTIFS(集計用!$G46,"*, "&amp;AV$3&amp;", *")</f>
        <v>0</v>
      </c>
      <c r="AW48" s="2">
        <f>COUNTIFS(集計用!$G46,"*, "&amp;AW$3&amp;", *")</f>
        <v>0</v>
      </c>
      <c r="AX48" s="2">
        <f>COUNTIFS(集計用!$G46,"*, "&amp;AX$3&amp;", *")</f>
        <v>0</v>
      </c>
      <c r="AY48" s="2">
        <f>COUNTIFS(集計用!$G46,"*, "&amp;AY$3&amp;", *")</f>
        <v>0</v>
      </c>
      <c r="AZ48" s="2">
        <f>COUNTIFS(集計用!$G46,"*, "&amp;AZ$3&amp;", *")</f>
        <v>0</v>
      </c>
      <c r="BA48" s="2">
        <f>COUNTIFS(集計用!$G46,"*, "&amp;BA$3&amp;", *")</f>
        <v>0</v>
      </c>
      <c r="BB48" s="2">
        <f>COUNTIFS(集計用!$G46,"*, "&amp;BB$3&amp;", *")</f>
        <v>0</v>
      </c>
      <c r="BC48" s="2">
        <f>COUNTIFS(集計用!$G46,"*, "&amp;BC$3&amp;", *")</f>
        <v>0</v>
      </c>
      <c r="BD48" s="2">
        <f>COUNTIFS(集計用!$G46,"*, "&amp;BD$3&amp;", *")</f>
        <v>0</v>
      </c>
      <c r="BE48" s="2">
        <f>COUNTIFS(集計用!$G46,"*, "&amp;BE$3&amp;", *")</f>
        <v>0</v>
      </c>
      <c r="BF48" s="2">
        <f>COUNTIFS(集計用!$G46,"*, "&amp;BF$3&amp;", *")</f>
        <v>0</v>
      </c>
      <c r="BG48" s="2">
        <f>COUNTIFS(集計用!$G46,"*, "&amp;BG$3&amp;", *")</f>
        <v>0</v>
      </c>
      <c r="BH48" s="2">
        <f>COUNTIFS(集計用!$G46,"*, "&amp;BH$3&amp;", *")</f>
        <v>0</v>
      </c>
      <c r="BI48" s="2">
        <f>COUNTIFS(集計用!$G46,"*, "&amp;BI$3&amp;", *")</f>
        <v>0</v>
      </c>
      <c r="BJ48" s="2">
        <f>LEN(集計用!H46)-LEN(SUBSTITUTE(集計用!H46,",",""))</f>
        <v>0</v>
      </c>
    </row>
    <row r="49" spans="1:62" ht="12.75">
      <c r="A49" s="8">
        <v>46</v>
      </c>
      <c r="C49" s="2">
        <f t="shared" si="2"/>
        <v>6</v>
      </c>
      <c r="D49" s="9"/>
      <c r="E49" s="2">
        <f>COUNTIFS(集計用!$G47,"*, "&amp;E$3&amp;", *")</f>
        <v>1</v>
      </c>
      <c r="F49" s="2">
        <f>COUNTIFS(集計用!$G47,"*, "&amp;F$3&amp;", *")</f>
        <v>0</v>
      </c>
      <c r="G49" s="2">
        <f>COUNTIFS(集計用!$G47,"*, "&amp;G$3&amp;", *")</f>
        <v>0</v>
      </c>
      <c r="H49" s="2">
        <f>COUNTIFS(集計用!$G47,"*, "&amp;H$3&amp;", *")</f>
        <v>0</v>
      </c>
      <c r="I49" s="2">
        <f>COUNTIFS(集計用!$G47,"*, "&amp;I$3&amp;", *")</f>
        <v>0</v>
      </c>
      <c r="J49" s="2">
        <f>COUNTIFS(集計用!$G47,"*, "&amp;J$3&amp;", *")</f>
        <v>0</v>
      </c>
      <c r="K49" s="2">
        <f>COUNTIFS(集計用!$G47,"*, "&amp;K$3&amp;", *")</f>
        <v>1</v>
      </c>
      <c r="L49" s="2">
        <f>COUNTIFS(集計用!$G47,"*, "&amp;L$3&amp;", *")</f>
        <v>0</v>
      </c>
      <c r="M49" s="2">
        <f>COUNTIFS(集計用!$G47,"*, "&amp;M$3&amp;", *")</f>
        <v>0</v>
      </c>
      <c r="N49" s="2">
        <f>COUNTIFS(集計用!$G47,"*, "&amp;N$3&amp;", *")</f>
        <v>0</v>
      </c>
      <c r="O49" s="2">
        <f>COUNTIFS(集計用!$G47,"*, "&amp;O$3&amp;", *")</f>
        <v>0</v>
      </c>
      <c r="P49" s="2">
        <f>COUNTIFS(集計用!$G47,"*, "&amp;P$3&amp;", *")</f>
        <v>0</v>
      </c>
      <c r="Q49" s="2">
        <f>COUNTIFS(集計用!$G47,"*, "&amp;Q$3&amp;", *")</f>
        <v>0</v>
      </c>
      <c r="R49" s="2">
        <f>COUNTIFS(集計用!$G47,"*, "&amp;R$3&amp;", *")</f>
        <v>1</v>
      </c>
      <c r="S49" s="2">
        <f>COUNTIFS(集計用!$G47,"*, "&amp;S$3&amp;", *")</f>
        <v>0</v>
      </c>
      <c r="T49" s="2">
        <f>COUNTIFS(集計用!$G47,"*, "&amp;T$3&amp;", *")</f>
        <v>0</v>
      </c>
      <c r="U49" s="2">
        <f>COUNTIFS(集計用!$G47,"*, "&amp;U$3&amp;", *")</f>
        <v>1</v>
      </c>
      <c r="V49" s="2">
        <f>COUNTIFS(集計用!$G47,"*, "&amp;V$3&amp;", *")</f>
        <v>1</v>
      </c>
      <c r="W49" s="2">
        <f>COUNTIFS(集計用!$G47,"*, "&amp;W$3&amp;", *")</f>
        <v>0</v>
      </c>
      <c r="X49" s="2">
        <f>COUNTIFS(集計用!$G47,"*, "&amp;X$3&amp;", *")</f>
        <v>0</v>
      </c>
      <c r="Y49" s="2">
        <f>COUNTIFS(集計用!$G47,"*, "&amp;Y$3&amp;", *")</f>
        <v>0</v>
      </c>
      <c r="Z49" s="2">
        <f>COUNTIFS(集計用!$G47,"*, "&amp;Z$3&amp;", *")</f>
        <v>0</v>
      </c>
      <c r="AA49" s="2">
        <f>COUNTIFS(集計用!$G47,"*, "&amp;AA$3&amp;", *")</f>
        <v>0</v>
      </c>
      <c r="AB49" s="2">
        <f>COUNTIFS(集計用!$G47,"*, "&amp;AB$3&amp;", *")</f>
        <v>0</v>
      </c>
      <c r="AC49" s="2">
        <f>COUNTIFS(集計用!$G47,"*, "&amp;AC$3&amp;", *")</f>
        <v>0</v>
      </c>
      <c r="AD49" s="2">
        <f>COUNTIFS(集計用!$G47,"*, "&amp;AD$3&amp;", *")</f>
        <v>0</v>
      </c>
      <c r="AE49" s="2">
        <f>COUNTIFS(集計用!$G47,"*, "&amp;AE$3&amp;", *")</f>
        <v>0</v>
      </c>
      <c r="AF49" s="2">
        <f>COUNTIFS(集計用!$G47,"*, "&amp;AF$3&amp;", *")</f>
        <v>0</v>
      </c>
      <c r="AG49" s="2">
        <f>COUNTIFS(集計用!$G47,"*, "&amp;AG$3&amp;", *")</f>
        <v>0</v>
      </c>
      <c r="AH49" s="2">
        <f>COUNTIFS(集計用!$G47,"*, "&amp;AH$3&amp;", *")</f>
        <v>0</v>
      </c>
      <c r="AI49" s="2">
        <f>COUNTIFS(集計用!$G47,"*, "&amp;AI$3&amp;", *")</f>
        <v>0</v>
      </c>
      <c r="AJ49" s="2">
        <f>COUNTIFS(集計用!$G47,"*, "&amp;AJ$3&amp;", *")</f>
        <v>0</v>
      </c>
      <c r="AK49" s="2">
        <f>COUNTIFS(集計用!$G47,"*, "&amp;AK$3&amp;", *")</f>
        <v>0</v>
      </c>
      <c r="AL49" s="2">
        <f>COUNTIFS(集計用!$G47,"*, "&amp;AL$3&amp;", *")</f>
        <v>0</v>
      </c>
      <c r="AM49" s="2">
        <f>COUNTIFS(集計用!$G47,"*, "&amp;AM$3&amp;", *")</f>
        <v>0</v>
      </c>
      <c r="AN49" s="2">
        <f>COUNTIFS(集計用!$G47,"*, "&amp;AN$3&amp;", *")</f>
        <v>0</v>
      </c>
      <c r="AO49" s="2">
        <f>COUNTIFS(集計用!$G47,"*, "&amp;AO$3&amp;", *")</f>
        <v>0</v>
      </c>
      <c r="AP49" s="2">
        <f>COUNTIFS(集計用!$G47,"*, "&amp;AP$3&amp;", *")</f>
        <v>0</v>
      </c>
      <c r="AQ49" s="2">
        <f>COUNTIFS(集計用!$G47,"*, "&amp;AQ$3&amp;", *")</f>
        <v>0</v>
      </c>
      <c r="AR49" s="2">
        <f>COUNTIFS(集計用!$G47,"*, "&amp;AR$3&amp;", *")</f>
        <v>1</v>
      </c>
      <c r="AS49" s="2">
        <f>COUNTIFS(集計用!$G47,"*, "&amp;AS$3&amp;", *")</f>
        <v>0</v>
      </c>
      <c r="AT49" s="2">
        <f>COUNTIFS(集計用!$G47,"*, "&amp;AT$3&amp;", *")</f>
        <v>0</v>
      </c>
      <c r="AU49" s="2">
        <f>COUNTIFS(集計用!$G47,"*, "&amp;AU$3&amp;", *")</f>
        <v>0</v>
      </c>
      <c r="AV49" s="2">
        <f>COUNTIFS(集計用!$G47,"*, "&amp;AV$3&amp;", *")</f>
        <v>0</v>
      </c>
      <c r="AW49" s="2">
        <f>COUNTIFS(集計用!$G47,"*, "&amp;AW$3&amp;", *")</f>
        <v>0</v>
      </c>
      <c r="AX49" s="2">
        <f>COUNTIFS(集計用!$G47,"*, "&amp;AX$3&amp;", *")</f>
        <v>0</v>
      </c>
      <c r="AY49" s="2">
        <f>COUNTIFS(集計用!$G47,"*, "&amp;AY$3&amp;", *")</f>
        <v>0</v>
      </c>
      <c r="AZ49" s="2">
        <f>COUNTIFS(集計用!$G47,"*, "&amp;AZ$3&amp;", *")</f>
        <v>0</v>
      </c>
      <c r="BA49" s="2">
        <f>COUNTIFS(集計用!$G47,"*, "&amp;BA$3&amp;", *")</f>
        <v>0</v>
      </c>
      <c r="BB49" s="2">
        <f>COUNTIFS(集計用!$G47,"*, "&amp;BB$3&amp;", *")</f>
        <v>0</v>
      </c>
      <c r="BC49" s="2">
        <f>COUNTIFS(集計用!$G47,"*, "&amp;BC$3&amp;", *")</f>
        <v>0</v>
      </c>
      <c r="BD49" s="2">
        <f>COUNTIFS(集計用!$G47,"*, "&amp;BD$3&amp;", *")</f>
        <v>0</v>
      </c>
      <c r="BE49" s="2">
        <f>COUNTIFS(集計用!$G47,"*, "&amp;BE$3&amp;", *")</f>
        <v>0</v>
      </c>
      <c r="BF49" s="2">
        <f>COUNTIFS(集計用!$G47,"*, "&amp;BF$3&amp;", *")</f>
        <v>0</v>
      </c>
      <c r="BG49" s="2">
        <f>COUNTIFS(集計用!$G47,"*, "&amp;BG$3&amp;", *")</f>
        <v>0</v>
      </c>
      <c r="BH49" s="2">
        <f>COUNTIFS(集計用!$G47,"*, "&amp;BH$3&amp;", *")</f>
        <v>0</v>
      </c>
      <c r="BI49" s="2">
        <f>COUNTIFS(集計用!$G47,"*, "&amp;BI$3&amp;", *")</f>
        <v>0</v>
      </c>
      <c r="BJ49" s="2">
        <f>LEN(集計用!H47)-LEN(SUBSTITUTE(集計用!H47,",",""))</f>
        <v>0</v>
      </c>
    </row>
    <row r="50" spans="1:62" ht="12.75">
      <c r="A50" s="8">
        <v>47</v>
      </c>
      <c r="C50" s="2">
        <f t="shared" si="2"/>
        <v>2</v>
      </c>
      <c r="D50" s="9"/>
      <c r="E50" s="2">
        <f>COUNTIFS(集計用!$G48,"*, "&amp;E$3&amp;", *")</f>
        <v>0</v>
      </c>
      <c r="F50" s="2">
        <f>COUNTIFS(集計用!$G48,"*, "&amp;F$3&amp;", *")</f>
        <v>0</v>
      </c>
      <c r="G50" s="2">
        <f>COUNTIFS(集計用!$G48,"*, "&amp;G$3&amp;", *")</f>
        <v>0</v>
      </c>
      <c r="H50" s="2">
        <f>COUNTIFS(集計用!$G48,"*, "&amp;H$3&amp;", *")</f>
        <v>0</v>
      </c>
      <c r="I50" s="2">
        <f>COUNTIFS(集計用!$G48,"*, "&amp;I$3&amp;", *")</f>
        <v>1</v>
      </c>
      <c r="J50" s="2">
        <f>COUNTIFS(集計用!$G48,"*, "&amp;J$3&amp;", *")</f>
        <v>0</v>
      </c>
      <c r="K50" s="2">
        <f>COUNTIFS(集計用!$G48,"*, "&amp;K$3&amp;", *")</f>
        <v>0</v>
      </c>
      <c r="L50" s="2">
        <f>COUNTIFS(集計用!$G48,"*, "&amp;L$3&amp;", *")</f>
        <v>0</v>
      </c>
      <c r="M50" s="2">
        <f>COUNTIFS(集計用!$G48,"*, "&amp;M$3&amp;", *")</f>
        <v>0</v>
      </c>
      <c r="N50" s="2">
        <f>COUNTIFS(集計用!$G48,"*, "&amp;N$3&amp;", *")</f>
        <v>0</v>
      </c>
      <c r="O50" s="2">
        <f>COUNTIFS(集計用!$G48,"*, "&amp;O$3&amp;", *")</f>
        <v>0</v>
      </c>
      <c r="P50" s="2">
        <f>COUNTIFS(集計用!$G48,"*, "&amp;P$3&amp;", *")</f>
        <v>0</v>
      </c>
      <c r="Q50" s="2">
        <f>COUNTIFS(集計用!$G48,"*, "&amp;Q$3&amp;", *")</f>
        <v>0</v>
      </c>
      <c r="R50" s="2">
        <f>COUNTIFS(集計用!$G48,"*, "&amp;R$3&amp;", *")</f>
        <v>0</v>
      </c>
      <c r="S50" s="2">
        <f>COUNTIFS(集計用!$G48,"*, "&amp;S$3&amp;", *")</f>
        <v>0</v>
      </c>
      <c r="T50" s="2">
        <f>COUNTIFS(集計用!$G48,"*, "&amp;T$3&amp;", *")</f>
        <v>0</v>
      </c>
      <c r="U50" s="2">
        <f>COUNTIFS(集計用!$G48,"*, "&amp;U$3&amp;", *")</f>
        <v>0</v>
      </c>
      <c r="V50" s="2">
        <f>COUNTIFS(集計用!$G48,"*, "&amp;V$3&amp;", *")</f>
        <v>0</v>
      </c>
      <c r="W50" s="2">
        <f>COUNTIFS(集計用!$G48,"*, "&amp;W$3&amp;", *")</f>
        <v>0</v>
      </c>
      <c r="X50" s="2">
        <f>COUNTIFS(集計用!$G48,"*, "&amp;X$3&amp;", *")</f>
        <v>1</v>
      </c>
      <c r="Y50" s="2">
        <f>COUNTIFS(集計用!$G48,"*, "&amp;Y$3&amp;", *")</f>
        <v>0</v>
      </c>
      <c r="Z50" s="2">
        <f>COUNTIFS(集計用!$G48,"*, "&amp;Z$3&amp;", *")</f>
        <v>0</v>
      </c>
      <c r="AA50" s="2">
        <f>COUNTIFS(集計用!$G48,"*, "&amp;AA$3&amp;", *")</f>
        <v>0</v>
      </c>
      <c r="AB50" s="2">
        <f>COUNTIFS(集計用!$G48,"*, "&amp;AB$3&amp;", *")</f>
        <v>0</v>
      </c>
      <c r="AC50" s="2">
        <f>COUNTIFS(集計用!$G48,"*, "&amp;AC$3&amp;", *")</f>
        <v>0</v>
      </c>
      <c r="AD50" s="2">
        <f>COUNTIFS(集計用!$G48,"*, "&amp;AD$3&amp;", *")</f>
        <v>0</v>
      </c>
      <c r="AE50" s="2">
        <f>COUNTIFS(集計用!$G48,"*, "&amp;AE$3&amp;", *")</f>
        <v>0</v>
      </c>
      <c r="AF50" s="2">
        <f>COUNTIFS(集計用!$G48,"*, "&amp;AF$3&amp;", *")</f>
        <v>0</v>
      </c>
      <c r="AG50" s="2">
        <f>COUNTIFS(集計用!$G48,"*, "&amp;AG$3&amp;", *")</f>
        <v>0</v>
      </c>
      <c r="AH50" s="2">
        <f>COUNTIFS(集計用!$G48,"*, "&amp;AH$3&amp;", *")</f>
        <v>0</v>
      </c>
      <c r="AI50" s="2">
        <f>COUNTIFS(集計用!$G48,"*, "&amp;AI$3&amp;", *")</f>
        <v>0</v>
      </c>
      <c r="AJ50" s="2">
        <f>COUNTIFS(集計用!$G48,"*, "&amp;AJ$3&amp;", *")</f>
        <v>0</v>
      </c>
      <c r="AK50" s="2">
        <f>COUNTIFS(集計用!$G48,"*, "&amp;AK$3&amp;", *")</f>
        <v>0</v>
      </c>
      <c r="AL50" s="2">
        <f>COUNTIFS(集計用!$G48,"*, "&amp;AL$3&amp;", *")</f>
        <v>0</v>
      </c>
      <c r="AM50" s="2">
        <f>COUNTIFS(集計用!$G48,"*, "&amp;AM$3&amp;", *")</f>
        <v>0</v>
      </c>
      <c r="AN50" s="2">
        <f>COUNTIFS(集計用!$G48,"*, "&amp;AN$3&amp;", *")</f>
        <v>0</v>
      </c>
      <c r="AO50" s="2">
        <f>COUNTIFS(集計用!$G48,"*, "&amp;AO$3&amp;", *")</f>
        <v>0</v>
      </c>
      <c r="AP50" s="2">
        <f>COUNTIFS(集計用!$G48,"*, "&amp;AP$3&amp;", *")</f>
        <v>0</v>
      </c>
      <c r="AQ50" s="2">
        <f>COUNTIFS(集計用!$G48,"*, "&amp;AQ$3&amp;", *")</f>
        <v>0</v>
      </c>
      <c r="AR50" s="2">
        <f>COUNTIFS(集計用!$G48,"*, "&amp;AR$3&amp;", *")</f>
        <v>0</v>
      </c>
      <c r="AS50" s="2">
        <f>COUNTIFS(集計用!$G48,"*, "&amp;AS$3&amp;", *")</f>
        <v>0</v>
      </c>
      <c r="AT50" s="2">
        <f>COUNTIFS(集計用!$G48,"*, "&amp;AT$3&amp;", *")</f>
        <v>0</v>
      </c>
      <c r="AU50" s="2">
        <f>COUNTIFS(集計用!$G48,"*, "&amp;AU$3&amp;", *")</f>
        <v>0</v>
      </c>
      <c r="AV50" s="2">
        <f>COUNTIFS(集計用!$G48,"*, "&amp;AV$3&amp;", *")</f>
        <v>0</v>
      </c>
      <c r="AW50" s="2">
        <f>COUNTIFS(集計用!$G48,"*, "&amp;AW$3&amp;", *")</f>
        <v>0</v>
      </c>
      <c r="AX50" s="2">
        <f>COUNTIFS(集計用!$G48,"*, "&amp;AX$3&amp;", *")</f>
        <v>0</v>
      </c>
      <c r="AY50" s="2">
        <f>COUNTIFS(集計用!$G48,"*, "&amp;AY$3&amp;", *")</f>
        <v>0</v>
      </c>
      <c r="AZ50" s="2">
        <f>COUNTIFS(集計用!$G48,"*, "&amp;AZ$3&amp;", *")</f>
        <v>0</v>
      </c>
      <c r="BA50" s="2">
        <f>COUNTIFS(集計用!$G48,"*, "&amp;BA$3&amp;", *")</f>
        <v>0</v>
      </c>
      <c r="BB50" s="2">
        <f>COUNTIFS(集計用!$G48,"*, "&amp;BB$3&amp;", *")</f>
        <v>0</v>
      </c>
      <c r="BC50" s="2">
        <f>COUNTIFS(集計用!$G48,"*, "&amp;BC$3&amp;", *")</f>
        <v>0</v>
      </c>
      <c r="BD50" s="2">
        <f>COUNTIFS(集計用!$G48,"*, "&amp;BD$3&amp;", *")</f>
        <v>0</v>
      </c>
      <c r="BE50" s="2">
        <f>COUNTIFS(集計用!$G48,"*, "&amp;BE$3&amp;", *")</f>
        <v>0</v>
      </c>
      <c r="BF50" s="2">
        <f>COUNTIFS(集計用!$G48,"*, "&amp;BF$3&amp;", *")</f>
        <v>0</v>
      </c>
      <c r="BG50" s="2">
        <f>COUNTIFS(集計用!$G48,"*, "&amp;BG$3&amp;", *")</f>
        <v>0</v>
      </c>
      <c r="BH50" s="2">
        <f>COUNTIFS(集計用!$G48,"*, "&amp;BH$3&amp;", *")</f>
        <v>0</v>
      </c>
      <c r="BI50" s="2">
        <f>COUNTIFS(集計用!$G48,"*, "&amp;BI$3&amp;", *")</f>
        <v>0</v>
      </c>
      <c r="BJ50" s="2">
        <f>LEN(集計用!H48)-LEN(SUBSTITUTE(集計用!H48,",",""))</f>
        <v>0</v>
      </c>
    </row>
    <row r="51" spans="1:62" ht="12.75">
      <c r="A51" s="8">
        <v>48</v>
      </c>
      <c r="C51" s="2">
        <f t="shared" si="2"/>
        <v>1</v>
      </c>
      <c r="D51" s="9"/>
      <c r="E51" s="2">
        <f>COUNTIFS(集計用!$G49,"*, "&amp;E$3&amp;", *")</f>
        <v>0</v>
      </c>
      <c r="F51" s="2">
        <f>COUNTIFS(集計用!$G49,"*, "&amp;F$3&amp;", *")</f>
        <v>0</v>
      </c>
      <c r="G51" s="2">
        <f>COUNTIFS(集計用!$G49,"*, "&amp;G$3&amp;", *")</f>
        <v>0</v>
      </c>
      <c r="H51" s="2">
        <f>COUNTIFS(集計用!$G49,"*, "&amp;H$3&amp;", *")</f>
        <v>0</v>
      </c>
      <c r="I51" s="2">
        <f>COUNTIFS(集計用!$G49,"*, "&amp;I$3&amp;", *")</f>
        <v>0</v>
      </c>
      <c r="J51" s="2">
        <f>COUNTIFS(集計用!$G49,"*, "&amp;J$3&amp;", *")</f>
        <v>0</v>
      </c>
      <c r="K51" s="2">
        <f>COUNTIFS(集計用!$G49,"*, "&amp;K$3&amp;", *")</f>
        <v>0</v>
      </c>
      <c r="L51" s="2">
        <f>COUNTIFS(集計用!$G49,"*, "&amp;L$3&amp;", *")</f>
        <v>0</v>
      </c>
      <c r="M51" s="2">
        <f>COUNTIFS(集計用!$G49,"*, "&amp;M$3&amp;", *")</f>
        <v>0</v>
      </c>
      <c r="N51" s="2">
        <f>COUNTIFS(集計用!$G49,"*, "&amp;N$3&amp;", *")</f>
        <v>0</v>
      </c>
      <c r="O51" s="2">
        <f>COUNTIFS(集計用!$G49,"*, "&amp;O$3&amp;", *")</f>
        <v>0</v>
      </c>
      <c r="P51" s="2">
        <f>COUNTIFS(集計用!$G49,"*, "&amp;P$3&amp;", *")</f>
        <v>0</v>
      </c>
      <c r="Q51" s="2">
        <f>COUNTIFS(集計用!$G49,"*, "&amp;Q$3&amp;", *")</f>
        <v>0</v>
      </c>
      <c r="R51" s="2">
        <f>COUNTIFS(集計用!$G49,"*, "&amp;R$3&amp;", *")</f>
        <v>1</v>
      </c>
      <c r="S51" s="2">
        <f>COUNTIFS(集計用!$G49,"*, "&amp;S$3&amp;", *")</f>
        <v>0</v>
      </c>
      <c r="T51" s="2">
        <f>COUNTIFS(集計用!$G49,"*, "&amp;T$3&amp;", *")</f>
        <v>0</v>
      </c>
      <c r="U51" s="2">
        <f>COUNTIFS(集計用!$G49,"*, "&amp;U$3&amp;", *")</f>
        <v>0</v>
      </c>
      <c r="V51" s="2">
        <f>COUNTIFS(集計用!$G49,"*, "&amp;V$3&amp;", *")</f>
        <v>0</v>
      </c>
      <c r="W51" s="2">
        <f>COUNTIFS(集計用!$G49,"*, "&amp;W$3&amp;", *")</f>
        <v>0</v>
      </c>
      <c r="X51" s="2">
        <f>COUNTIFS(集計用!$G49,"*, "&amp;X$3&amp;", *")</f>
        <v>0</v>
      </c>
      <c r="Y51" s="2">
        <f>COUNTIFS(集計用!$G49,"*, "&amp;Y$3&amp;", *")</f>
        <v>0</v>
      </c>
      <c r="Z51" s="2">
        <f>COUNTIFS(集計用!$G49,"*, "&amp;Z$3&amp;", *")</f>
        <v>0</v>
      </c>
      <c r="AA51" s="2">
        <f>COUNTIFS(集計用!$G49,"*, "&amp;AA$3&amp;", *")</f>
        <v>0</v>
      </c>
      <c r="AB51" s="2">
        <f>COUNTIFS(集計用!$G49,"*, "&amp;AB$3&amp;", *")</f>
        <v>0</v>
      </c>
      <c r="AC51" s="2">
        <f>COUNTIFS(集計用!$G49,"*, "&amp;AC$3&amp;", *")</f>
        <v>0</v>
      </c>
      <c r="AD51" s="2">
        <f>COUNTIFS(集計用!$G49,"*, "&amp;AD$3&amp;", *")</f>
        <v>0</v>
      </c>
      <c r="AE51" s="2">
        <f>COUNTIFS(集計用!$G49,"*, "&amp;AE$3&amp;", *")</f>
        <v>0</v>
      </c>
      <c r="AF51" s="2">
        <f>COUNTIFS(集計用!$G49,"*, "&amp;AF$3&amp;", *")</f>
        <v>0</v>
      </c>
      <c r="AG51" s="2">
        <f>COUNTIFS(集計用!$G49,"*, "&amp;AG$3&amp;", *")</f>
        <v>0</v>
      </c>
      <c r="AH51" s="2">
        <f>COUNTIFS(集計用!$G49,"*, "&amp;AH$3&amp;", *")</f>
        <v>0</v>
      </c>
      <c r="AI51" s="2">
        <f>COUNTIFS(集計用!$G49,"*, "&amp;AI$3&amp;", *")</f>
        <v>0</v>
      </c>
      <c r="AJ51" s="2">
        <f>COUNTIFS(集計用!$G49,"*, "&amp;AJ$3&amp;", *")</f>
        <v>0</v>
      </c>
      <c r="AK51" s="2">
        <f>COUNTIFS(集計用!$G49,"*, "&amp;AK$3&amp;", *")</f>
        <v>0</v>
      </c>
      <c r="AL51" s="2">
        <f>COUNTIFS(集計用!$G49,"*, "&amp;AL$3&amp;", *")</f>
        <v>0</v>
      </c>
      <c r="AM51" s="2">
        <f>COUNTIFS(集計用!$G49,"*, "&amp;AM$3&amp;", *")</f>
        <v>0</v>
      </c>
      <c r="AN51" s="2">
        <f>COUNTIFS(集計用!$G49,"*, "&amp;AN$3&amp;", *")</f>
        <v>0</v>
      </c>
      <c r="AO51" s="2">
        <f>COUNTIFS(集計用!$G49,"*, "&amp;AO$3&amp;", *")</f>
        <v>0</v>
      </c>
      <c r="AP51" s="2">
        <f>COUNTIFS(集計用!$G49,"*, "&amp;AP$3&amp;", *")</f>
        <v>0</v>
      </c>
      <c r="AQ51" s="2">
        <f>COUNTIFS(集計用!$G49,"*, "&amp;AQ$3&amp;", *")</f>
        <v>0</v>
      </c>
      <c r="AR51" s="2">
        <f>COUNTIFS(集計用!$G49,"*, "&amp;AR$3&amp;", *")</f>
        <v>0</v>
      </c>
      <c r="AS51" s="2">
        <f>COUNTIFS(集計用!$G49,"*, "&amp;AS$3&amp;", *")</f>
        <v>0</v>
      </c>
      <c r="AT51" s="2">
        <f>COUNTIFS(集計用!$G49,"*, "&amp;AT$3&amp;", *")</f>
        <v>0</v>
      </c>
      <c r="AU51" s="2">
        <f>COUNTIFS(集計用!$G49,"*, "&amp;AU$3&amp;", *")</f>
        <v>0</v>
      </c>
      <c r="AV51" s="2">
        <f>COUNTIFS(集計用!$G49,"*, "&amp;AV$3&amp;", *")</f>
        <v>0</v>
      </c>
      <c r="AW51" s="2">
        <f>COUNTIFS(集計用!$G49,"*, "&amp;AW$3&amp;", *")</f>
        <v>0</v>
      </c>
      <c r="AX51" s="2">
        <f>COUNTIFS(集計用!$G49,"*, "&amp;AX$3&amp;", *")</f>
        <v>0</v>
      </c>
      <c r="AY51" s="2">
        <f>COUNTIFS(集計用!$G49,"*, "&amp;AY$3&amp;", *")</f>
        <v>0</v>
      </c>
      <c r="AZ51" s="2">
        <f>COUNTIFS(集計用!$G49,"*, "&amp;AZ$3&amp;", *")</f>
        <v>0</v>
      </c>
      <c r="BA51" s="2">
        <f>COUNTIFS(集計用!$G49,"*, "&amp;BA$3&amp;", *")</f>
        <v>0</v>
      </c>
      <c r="BB51" s="2">
        <f>COUNTIFS(集計用!$G49,"*, "&amp;BB$3&amp;", *")</f>
        <v>0</v>
      </c>
      <c r="BC51" s="2">
        <f>COUNTIFS(集計用!$G49,"*, "&amp;BC$3&amp;", *")</f>
        <v>0</v>
      </c>
      <c r="BD51" s="2">
        <f>COUNTIFS(集計用!$G49,"*, "&amp;BD$3&amp;", *")</f>
        <v>0</v>
      </c>
      <c r="BE51" s="2">
        <f>COUNTIFS(集計用!$G49,"*, "&amp;BE$3&amp;", *")</f>
        <v>0</v>
      </c>
      <c r="BF51" s="2">
        <f>COUNTIFS(集計用!$G49,"*, "&amp;BF$3&amp;", *")</f>
        <v>0</v>
      </c>
      <c r="BG51" s="2">
        <f>COUNTIFS(集計用!$G49,"*, "&amp;BG$3&amp;", *")</f>
        <v>0</v>
      </c>
      <c r="BH51" s="2">
        <f>COUNTIFS(集計用!$G49,"*, "&amp;BH$3&amp;", *")</f>
        <v>0</v>
      </c>
      <c r="BI51" s="2">
        <f>COUNTIFS(集計用!$G49,"*, "&amp;BI$3&amp;", *")</f>
        <v>0</v>
      </c>
      <c r="BJ51" s="2">
        <f>LEN(集計用!H49)-LEN(SUBSTITUTE(集計用!H49,",",""))</f>
        <v>0</v>
      </c>
    </row>
    <row r="52" spans="1:62" ht="12.75">
      <c r="A52" s="8">
        <v>49</v>
      </c>
      <c r="C52" s="2">
        <f t="shared" si="2"/>
        <v>11</v>
      </c>
      <c r="D52" s="9"/>
      <c r="E52" s="2">
        <f>COUNTIFS(集計用!$G50,"*, "&amp;E$3&amp;", *")</f>
        <v>1</v>
      </c>
      <c r="F52" s="2">
        <f>COUNTIFS(集計用!$G50,"*, "&amp;F$3&amp;", *")</f>
        <v>1</v>
      </c>
      <c r="G52" s="2">
        <f>COUNTIFS(集計用!$G50,"*, "&amp;G$3&amp;", *")</f>
        <v>1</v>
      </c>
      <c r="H52" s="2">
        <f>COUNTIFS(集計用!$G50,"*, "&amp;H$3&amp;", *")</f>
        <v>1</v>
      </c>
      <c r="I52" s="2">
        <f>COUNTIFS(集計用!$G50,"*, "&amp;I$3&amp;", *")</f>
        <v>1</v>
      </c>
      <c r="J52" s="2">
        <f>COUNTIFS(集計用!$G50,"*, "&amp;J$3&amp;", *")</f>
        <v>1</v>
      </c>
      <c r="K52" s="2">
        <f>COUNTIFS(集計用!$G50,"*, "&amp;K$3&amp;", *")</f>
        <v>0</v>
      </c>
      <c r="L52" s="2">
        <f>COUNTIFS(集計用!$G50,"*, "&amp;L$3&amp;", *")</f>
        <v>1</v>
      </c>
      <c r="M52" s="2">
        <f>COUNTIFS(集計用!$G50,"*, "&amp;M$3&amp;", *")</f>
        <v>0</v>
      </c>
      <c r="N52" s="2">
        <f>COUNTIFS(集計用!$G50,"*, "&amp;N$3&amp;", *")</f>
        <v>1</v>
      </c>
      <c r="O52" s="2">
        <f>COUNTIFS(集計用!$G50,"*, "&amp;O$3&amp;", *")</f>
        <v>0</v>
      </c>
      <c r="P52" s="2">
        <f>COUNTIFS(集計用!$G50,"*, "&amp;P$3&amp;", *")</f>
        <v>0</v>
      </c>
      <c r="Q52" s="2">
        <f>COUNTIFS(集計用!$G50,"*, "&amp;Q$3&amp;", *")</f>
        <v>0</v>
      </c>
      <c r="R52" s="2">
        <f>COUNTIFS(集計用!$G50,"*, "&amp;R$3&amp;", *")</f>
        <v>0</v>
      </c>
      <c r="S52" s="2">
        <f>COUNTIFS(集計用!$G50,"*, "&amp;S$3&amp;", *")</f>
        <v>1</v>
      </c>
      <c r="T52" s="2">
        <f>COUNTIFS(集計用!$G50,"*, "&amp;T$3&amp;", *")</f>
        <v>1</v>
      </c>
      <c r="U52" s="2">
        <f>COUNTIFS(集計用!$G50,"*, "&amp;U$3&amp;", *")</f>
        <v>0</v>
      </c>
      <c r="V52" s="2">
        <f>COUNTIFS(集計用!$G50,"*, "&amp;V$3&amp;", *")</f>
        <v>0</v>
      </c>
      <c r="W52" s="2">
        <f>COUNTIFS(集計用!$G50,"*, "&amp;W$3&amp;", *")</f>
        <v>0</v>
      </c>
      <c r="X52" s="2">
        <f>COUNTIFS(集計用!$G50,"*, "&amp;X$3&amp;", *")</f>
        <v>1</v>
      </c>
      <c r="Y52" s="2">
        <f>COUNTIFS(集計用!$G50,"*, "&amp;Y$3&amp;", *")</f>
        <v>0</v>
      </c>
      <c r="Z52" s="2">
        <f>COUNTIFS(集計用!$G50,"*, "&amp;Z$3&amp;", *")</f>
        <v>0</v>
      </c>
      <c r="AA52" s="2">
        <f>COUNTIFS(集計用!$G50,"*, "&amp;AA$3&amp;", *")</f>
        <v>0</v>
      </c>
      <c r="AB52" s="2">
        <f>COUNTIFS(集計用!$G50,"*, "&amp;AB$3&amp;", *")</f>
        <v>0</v>
      </c>
      <c r="AC52" s="2">
        <f>COUNTIFS(集計用!$G50,"*, "&amp;AC$3&amp;", *")</f>
        <v>0</v>
      </c>
      <c r="AD52" s="2">
        <f>COUNTIFS(集計用!$G50,"*, "&amp;AD$3&amp;", *")</f>
        <v>0</v>
      </c>
      <c r="AE52" s="2">
        <f>COUNTIFS(集計用!$G50,"*, "&amp;AE$3&amp;", *")</f>
        <v>0</v>
      </c>
      <c r="AF52" s="2">
        <f>COUNTIFS(集計用!$G50,"*, "&amp;AF$3&amp;", *")</f>
        <v>0</v>
      </c>
      <c r="AG52" s="2">
        <f>COUNTIFS(集計用!$G50,"*, "&amp;AG$3&amp;", *")</f>
        <v>0</v>
      </c>
      <c r="AH52" s="2">
        <f>COUNTIFS(集計用!$G50,"*, "&amp;AH$3&amp;", *")</f>
        <v>0</v>
      </c>
      <c r="AI52" s="2">
        <f>COUNTIFS(集計用!$G50,"*, "&amp;AI$3&amp;", *")</f>
        <v>0</v>
      </c>
      <c r="AJ52" s="2">
        <f>COUNTIFS(集計用!$G50,"*, "&amp;AJ$3&amp;", *")</f>
        <v>0</v>
      </c>
      <c r="AK52" s="2">
        <f>COUNTIFS(集計用!$G50,"*, "&amp;AK$3&amp;", *")</f>
        <v>0</v>
      </c>
      <c r="AL52" s="2">
        <f>COUNTIFS(集計用!$G50,"*, "&amp;AL$3&amp;", *")</f>
        <v>0</v>
      </c>
      <c r="AM52" s="2">
        <f>COUNTIFS(集計用!$G50,"*, "&amp;AM$3&amp;", *")</f>
        <v>0</v>
      </c>
      <c r="AN52" s="2">
        <f>COUNTIFS(集計用!$G50,"*, "&amp;AN$3&amp;", *")</f>
        <v>0</v>
      </c>
      <c r="AO52" s="2">
        <f>COUNTIFS(集計用!$G50,"*, "&amp;AO$3&amp;", *")</f>
        <v>0</v>
      </c>
      <c r="AP52" s="2">
        <f>COUNTIFS(集計用!$G50,"*, "&amp;AP$3&amp;", *")</f>
        <v>0</v>
      </c>
      <c r="AQ52" s="2">
        <f>COUNTIFS(集計用!$G50,"*, "&amp;AQ$3&amp;", *")</f>
        <v>0</v>
      </c>
      <c r="AR52" s="2">
        <f>COUNTIFS(集計用!$G50,"*, "&amp;AR$3&amp;", *")</f>
        <v>0</v>
      </c>
      <c r="AS52" s="2">
        <f>COUNTIFS(集計用!$G50,"*, "&amp;AS$3&amp;", *")</f>
        <v>0</v>
      </c>
      <c r="AT52" s="2">
        <f>COUNTIFS(集計用!$G50,"*, "&amp;AT$3&amp;", *")</f>
        <v>0</v>
      </c>
      <c r="AU52" s="2">
        <f>COUNTIFS(集計用!$G50,"*, "&amp;AU$3&amp;", *")</f>
        <v>0</v>
      </c>
      <c r="AV52" s="2">
        <f>COUNTIFS(集計用!$G50,"*, "&amp;AV$3&amp;", *")</f>
        <v>0</v>
      </c>
      <c r="AW52" s="2">
        <f>COUNTIFS(集計用!$G50,"*, "&amp;AW$3&amp;", *")</f>
        <v>0</v>
      </c>
      <c r="AX52" s="2">
        <f>COUNTIFS(集計用!$G50,"*, "&amp;AX$3&amp;", *")</f>
        <v>0</v>
      </c>
      <c r="AY52" s="2">
        <f>COUNTIFS(集計用!$G50,"*, "&amp;AY$3&amp;", *")</f>
        <v>0</v>
      </c>
      <c r="AZ52" s="2">
        <f>COUNTIFS(集計用!$G50,"*, "&amp;AZ$3&amp;", *")</f>
        <v>0</v>
      </c>
      <c r="BA52" s="2">
        <f>COUNTIFS(集計用!$G50,"*, "&amp;BA$3&amp;", *")</f>
        <v>0</v>
      </c>
      <c r="BB52" s="2">
        <f>COUNTIFS(集計用!$G50,"*, "&amp;BB$3&amp;", *")</f>
        <v>0</v>
      </c>
      <c r="BC52" s="2">
        <f>COUNTIFS(集計用!$G50,"*, "&amp;BC$3&amp;", *")</f>
        <v>0</v>
      </c>
      <c r="BD52" s="2">
        <f>COUNTIFS(集計用!$G50,"*, "&amp;BD$3&amp;", *")</f>
        <v>0</v>
      </c>
      <c r="BE52" s="2">
        <f>COUNTIFS(集計用!$G50,"*, "&amp;BE$3&amp;", *")</f>
        <v>0</v>
      </c>
      <c r="BF52" s="2">
        <f>COUNTIFS(集計用!$G50,"*, "&amp;BF$3&amp;", *")</f>
        <v>0</v>
      </c>
      <c r="BG52" s="2">
        <f>COUNTIFS(集計用!$G50,"*, "&amp;BG$3&amp;", *")</f>
        <v>0</v>
      </c>
      <c r="BH52" s="2">
        <f>COUNTIFS(集計用!$G50,"*, "&amp;BH$3&amp;", *")</f>
        <v>0</v>
      </c>
      <c r="BI52" s="2">
        <f>COUNTIFS(集計用!$G50,"*, "&amp;BI$3&amp;", *")</f>
        <v>0</v>
      </c>
      <c r="BJ52" s="2">
        <f>LEN(集計用!H50)-LEN(SUBSTITUTE(集計用!H50,",",""))</f>
        <v>0</v>
      </c>
    </row>
    <row r="53" spans="1:62" ht="12.75">
      <c r="A53" s="8">
        <v>50</v>
      </c>
      <c r="C53" s="2">
        <f t="shared" si="2"/>
        <v>10</v>
      </c>
      <c r="D53" s="9"/>
      <c r="E53" s="2">
        <f>COUNTIFS(集計用!$G51,"*, "&amp;E$3&amp;", *")</f>
        <v>1</v>
      </c>
      <c r="F53" s="2">
        <f>COUNTIFS(集計用!$G51,"*, "&amp;F$3&amp;", *")</f>
        <v>0</v>
      </c>
      <c r="G53" s="2">
        <f>COUNTIFS(集計用!$G51,"*, "&amp;G$3&amp;", *")</f>
        <v>0</v>
      </c>
      <c r="H53" s="2">
        <f>COUNTIFS(集計用!$G51,"*, "&amp;H$3&amp;", *")</f>
        <v>1</v>
      </c>
      <c r="I53" s="2">
        <f>COUNTIFS(集計用!$G51,"*, "&amp;I$3&amp;", *")</f>
        <v>0</v>
      </c>
      <c r="J53" s="2">
        <f>COUNTIFS(集計用!$G51,"*, "&amp;J$3&amp;", *")</f>
        <v>0</v>
      </c>
      <c r="K53" s="2">
        <f>COUNTIFS(集計用!$G51,"*, "&amp;K$3&amp;", *")</f>
        <v>0</v>
      </c>
      <c r="L53" s="2">
        <f>COUNTIFS(集計用!$G51,"*, "&amp;L$3&amp;", *")</f>
        <v>0</v>
      </c>
      <c r="M53" s="2">
        <f>COUNTIFS(集計用!$G51,"*, "&amp;M$3&amp;", *")</f>
        <v>0</v>
      </c>
      <c r="N53" s="2">
        <f>COUNTIFS(集計用!$G51,"*, "&amp;N$3&amp;", *")</f>
        <v>0</v>
      </c>
      <c r="O53" s="2">
        <f>COUNTIFS(集計用!$G51,"*, "&amp;O$3&amp;", *")</f>
        <v>1</v>
      </c>
      <c r="P53" s="2">
        <f>COUNTIFS(集計用!$G51,"*, "&amp;P$3&amp;", *")</f>
        <v>0</v>
      </c>
      <c r="Q53" s="2">
        <f>COUNTIFS(集計用!$G51,"*, "&amp;Q$3&amp;", *")</f>
        <v>1</v>
      </c>
      <c r="R53" s="2">
        <f>COUNTIFS(集計用!$G51,"*, "&amp;R$3&amp;", *")</f>
        <v>1</v>
      </c>
      <c r="S53" s="2">
        <f>COUNTIFS(集計用!$G51,"*, "&amp;S$3&amp;", *")</f>
        <v>0</v>
      </c>
      <c r="T53" s="2">
        <f>COUNTIFS(集計用!$G51,"*, "&amp;T$3&amp;", *")</f>
        <v>0</v>
      </c>
      <c r="U53" s="2">
        <f>COUNTIFS(集計用!$G51,"*, "&amp;U$3&amp;", *")</f>
        <v>1</v>
      </c>
      <c r="V53" s="2">
        <f>COUNTIFS(集計用!$G51,"*, "&amp;V$3&amp;", *")</f>
        <v>1</v>
      </c>
      <c r="W53" s="2">
        <f>COUNTIFS(集計用!$G51,"*, "&amp;W$3&amp;", *")</f>
        <v>0</v>
      </c>
      <c r="X53" s="2">
        <f>COUNTIFS(集計用!$G51,"*, "&amp;X$3&amp;", *")</f>
        <v>0</v>
      </c>
      <c r="Y53" s="2">
        <f>COUNTIFS(集計用!$G51,"*, "&amp;Y$3&amp;", *")</f>
        <v>0</v>
      </c>
      <c r="Z53" s="2">
        <f>COUNTIFS(集計用!$G51,"*, "&amp;Z$3&amp;", *")</f>
        <v>0</v>
      </c>
      <c r="AA53" s="2">
        <f>COUNTIFS(集計用!$G51,"*, "&amp;AA$3&amp;", *")</f>
        <v>0</v>
      </c>
      <c r="AB53" s="2">
        <f>COUNTIFS(集計用!$G51,"*, "&amp;AB$3&amp;", *")</f>
        <v>0</v>
      </c>
      <c r="AC53" s="2">
        <f>COUNTIFS(集計用!$G51,"*, "&amp;AC$3&amp;", *")</f>
        <v>0</v>
      </c>
      <c r="AD53" s="2">
        <f>COUNTIFS(集計用!$G51,"*, "&amp;AD$3&amp;", *")</f>
        <v>0</v>
      </c>
      <c r="AE53" s="2">
        <f>COUNTIFS(集計用!$G51,"*, "&amp;AE$3&amp;", *")</f>
        <v>0</v>
      </c>
      <c r="AF53" s="2">
        <f>COUNTIFS(集計用!$G51,"*, "&amp;AF$3&amp;", *")</f>
        <v>0</v>
      </c>
      <c r="AG53" s="2">
        <f>COUNTIFS(集計用!$G51,"*, "&amp;AG$3&amp;", *")</f>
        <v>0</v>
      </c>
      <c r="AH53" s="2">
        <f>COUNTIFS(集計用!$G51,"*, "&amp;AH$3&amp;", *")</f>
        <v>0</v>
      </c>
      <c r="AI53" s="2">
        <f>COUNTIFS(集計用!$G51,"*, "&amp;AI$3&amp;", *")</f>
        <v>0</v>
      </c>
      <c r="AJ53" s="2">
        <f>COUNTIFS(集計用!$G51,"*, "&amp;AJ$3&amp;", *")</f>
        <v>0</v>
      </c>
      <c r="AK53" s="2">
        <f>COUNTIFS(集計用!$G51,"*, "&amp;AK$3&amp;", *")</f>
        <v>0</v>
      </c>
      <c r="AL53" s="2">
        <f>COUNTIFS(集計用!$G51,"*, "&amp;AL$3&amp;", *")</f>
        <v>0</v>
      </c>
      <c r="AM53" s="2">
        <f>COUNTIFS(集計用!$G51,"*, "&amp;AM$3&amp;", *")</f>
        <v>0</v>
      </c>
      <c r="AN53" s="2">
        <f>COUNTIFS(集計用!$G51,"*, "&amp;AN$3&amp;", *")</f>
        <v>1</v>
      </c>
      <c r="AO53" s="2">
        <f>COUNTIFS(集計用!$G51,"*, "&amp;AO$3&amp;", *")</f>
        <v>0</v>
      </c>
      <c r="AP53" s="2">
        <f>COUNTIFS(集計用!$G51,"*, "&amp;AP$3&amp;", *")</f>
        <v>0</v>
      </c>
      <c r="AQ53" s="2">
        <f>COUNTIFS(集計用!$G51,"*, "&amp;AQ$3&amp;", *")</f>
        <v>0</v>
      </c>
      <c r="AR53" s="2">
        <f>COUNTIFS(集計用!$G51,"*, "&amp;AR$3&amp;", *")</f>
        <v>1</v>
      </c>
      <c r="AS53" s="2">
        <f>COUNTIFS(集計用!$G51,"*, "&amp;AS$3&amp;", *")</f>
        <v>0</v>
      </c>
      <c r="AT53" s="2">
        <f>COUNTIFS(集計用!$G51,"*, "&amp;AT$3&amp;", *")</f>
        <v>1</v>
      </c>
      <c r="AU53" s="2">
        <f>COUNTIFS(集計用!$G51,"*, "&amp;AU$3&amp;", *")</f>
        <v>0</v>
      </c>
      <c r="AV53" s="2">
        <f>COUNTIFS(集計用!$G51,"*, "&amp;AV$3&amp;", *")</f>
        <v>0</v>
      </c>
      <c r="AW53" s="2">
        <f>COUNTIFS(集計用!$G51,"*, "&amp;AW$3&amp;", *")</f>
        <v>0</v>
      </c>
      <c r="AX53" s="2">
        <f>COUNTIFS(集計用!$G51,"*, "&amp;AX$3&amp;", *")</f>
        <v>0</v>
      </c>
      <c r="AY53" s="2">
        <f>COUNTIFS(集計用!$G51,"*, "&amp;AY$3&amp;", *")</f>
        <v>0</v>
      </c>
      <c r="AZ53" s="2">
        <f>COUNTIFS(集計用!$G51,"*, "&amp;AZ$3&amp;", *")</f>
        <v>0</v>
      </c>
      <c r="BA53" s="2">
        <f>COUNTIFS(集計用!$G51,"*, "&amp;BA$3&amp;", *")</f>
        <v>0</v>
      </c>
      <c r="BB53" s="2">
        <f>COUNTIFS(集計用!$G51,"*, "&amp;BB$3&amp;", *")</f>
        <v>0</v>
      </c>
      <c r="BC53" s="2">
        <f>COUNTIFS(集計用!$G51,"*, "&amp;BC$3&amp;", *")</f>
        <v>0</v>
      </c>
      <c r="BD53" s="2">
        <f>COUNTIFS(集計用!$G51,"*, "&amp;BD$3&amp;", *")</f>
        <v>0</v>
      </c>
      <c r="BE53" s="2">
        <f>COUNTIFS(集計用!$G51,"*, "&amp;BE$3&amp;", *")</f>
        <v>0</v>
      </c>
      <c r="BF53" s="2">
        <f>COUNTIFS(集計用!$G51,"*, "&amp;BF$3&amp;", *")</f>
        <v>0</v>
      </c>
      <c r="BG53" s="2">
        <f>COUNTIFS(集計用!$G51,"*, "&amp;BG$3&amp;", *")</f>
        <v>0</v>
      </c>
      <c r="BH53" s="2">
        <f>COUNTIFS(集計用!$G51,"*, "&amp;BH$3&amp;", *")</f>
        <v>0</v>
      </c>
      <c r="BI53" s="2">
        <f>COUNTIFS(集計用!$G51,"*, "&amp;BI$3&amp;", *")</f>
        <v>0</v>
      </c>
      <c r="BJ53" s="2">
        <f>LEN(集計用!H51)-LEN(SUBSTITUTE(集計用!H51,",",""))</f>
        <v>0</v>
      </c>
    </row>
    <row r="54" spans="1:62" ht="12.75">
      <c r="A54" s="8">
        <v>51</v>
      </c>
      <c r="C54" s="2">
        <f t="shared" si="2"/>
        <v>6</v>
      </c>
      <c r="D54" s="9"/>
      <c r="E54" s="2">
        <f>COUNTIFS(集計用!$G52,"*, "&amp;E$3&amp;", *")</f>
        <v>1</v>
      </c>
      <c r="F54" s="2">
        <f>COUNTIFS(集計用!$G52,"*, "&amp;F$3&amp;", *")</f>
        <v>1</v>
      </c>
      <c r="G54" s="2">
        <f>COUNTIFS(集計用!$G52,"*, "&amp;G$3&amp;", *")</f>
        <v>0</v>
      </c>
      <c r="H54" s="2">
        <f>COUNTIFS(集計用!$G52,"*, "&amp;H$3&amp;", *")</f>
        <v>0</v>
      </c>
      <c r="I54" s="2">
        <f>COUNTIFS(集計用!$G52,"*, "&amp;I$3&amp;", *")</f>
        <v>1</v>
      </c>
      <c r="J54" s="2">
        <f>COUNTIFS(集計用!$G52,"*, "&amp;J$3&amp;", *")</f>
        <v>0</v>
      </c>
      <c r="K54" s="2">
        <f>COUNTIFS(集計用!$G52,"*, "&amp;K$3&amp;", *")</f>
        <v>0</v>
      </c>
      <c r="L54" s="2">
        <f>COUNTIFS(集計用!$G52,"*, "&amp;L$3&amp;", *")</f>
        <v>0</v>
      </c>
      <c r="M54" s="2">
        <f>COUNTIFS(集計用!$G52,"*, "&amp;M$3&amp;", *")</f>
        <v>0</v>
      </c>
      <c r="N54" s="2">
        <f>COUNTIFS(集計用!$G52,"*, "&amp;N$3&amp;", *")</f>
        <v>0</v>
      </c>
      <c r="O54" s="2">
        <f>COUNTIFS(集計用!$G52,"*, "&amp;O$3&amp;", *")</f>
        <v>0</v>
      </c>
      <c r="P54" s="2">
        <f>COUNTIFS(集計用!$G52,"*, "&amp;P$3&amp;", *")</f>
        <v>0</v>
      </c>
      <c r="Q54" s="2">
        <f>COUNTIFS(集計用!$G52,"*, "&amp;Q$3&amp;", *")</f>
        <v>0</v>
      </c>
      <c r="R54" s="2">
        <f>COUNTIFS(集計用!$G52,"*, "&amp;R$3&amp;", *")</f>
        <v>0</v>
      </c>
      <c r="S54" s="2">
        <f>COUNTIFS(集計用!$G52,"*, "&amp;S$3&amp;", *")</f>
        <v>0</v>
      </c>
      <c r="T54" s="2">
        <f>COUNTIFS(集計用!$G52,"*, "&amp;T$3&amp;", *")</f>
        <v>0</v>
      </c>
      <c r="U54" s="2">
        <f>COUNTIFS(集計用!$G52,"*, "&amp;U$3&amp;", *")</f>
        <v>0</v>
      </c>
      <c r="V54" s="2">
        <f>COUNTIFS(集計用!$G52,"*, "&amp;V$3&amp;", *")</f>
        <v>0</v>
      </c>
      <c r="W54" s="2">
        <f>COUNTIFS(集計用!$G52,"*, "&amp;W$3&amp;", *")</f>
        <v>0</v>
      </c>
      <c r="X54" s="2">
        <f>COUNTIFS(集計用!$G52,"*, "&amp;X$3&amp;", *")</f>
        <v>0</v>
      </c>
      <c r="Y54" s="2">
        <f>COUNTIFS(集計用!$G52,"*, "&amp;Y$3&amp;", *")</f>
        <v>0</v>
      </c>
      <c r="Z54" s="2">
        <f>COUNTIFS(集計用!$G52,"*, "&amp;Z$3&amp;", *")</f>
        <v>0</v>
      </c>
      <c r="AA54" s="2">
        <f>COUNTIFS(集計用!$G52,"*, "&amp;AA$3&amp;", *")</f>
        <v>0</v>
      </c>
      <c r="AB54" s="2">
        <f>COUNTIFS(集計用!$G52,"*, "&amp;AB$3&amp;", *")</f>
        <v>0</v>
      </c>
      <c r="AC54" s="2">
        <f>COUNTIFS(集計用!$G52,"*, "&amp;AC$3&amp;", *")</f>
        <v>0</v>
      </c>
      <c r="AD54" s="2">
        <f>COUNTIFS(集計用!$G52,"*, "&amp;AD$3&amp;", *")</f>
        <v>0</v>
      </c>
      <c r="AE54" s="2">
        <f>COUNTIFS(集計用!$G52,"*, "&amp;AE$3&amp;", *")</f>
        <v>0</v>
      </c>
      <c r="AF54" s="2">
        <f>COUNTIFS(集計用!$G52,"*, "&amp;AF$3&amp;", *")</f>
        <v>0</v>
      </c>
      <c r="AG54" s="2">
        <f>COUNTIFS(集計用!$G52,"*, "&amp;AG$3&amp;", *")</f>
        <v>0</v>
      </c>
      <c r="AH54" s="2">
        <f>COUNTIFS(集計用!$G52,"*, "&amp;AH$3&amp;", *")</f>
        <v>0</v>
      </c>
      <c r="AI54" s="2">
        <f>COUNTIFS(集計用!$G52,"*, "&amp;AI$3&amp;", *")</f>
        <v>0</v>
      </c>
      <c r="AJ54" s="2">
        <f>COUNTIFS(集計用!$G52,"*, "&amp;AJ$3&amp;", *")</f>
        <v>0</v>
      </c>
      <c r="AK54" s="2">
        <f>COUNTIFS(集計用!$G52,"*, "&amp;AK$3&amp;", *")</f>
        <v>0</v>
      </c>
      <c r="AL54" s="2">
        <f>COUNTIFS(集計用!$G52,"*, "&amp;AL$3&amp;", *")</f>
        <v>0</v>
      </c>
      <c r="AM54" s="2">
        <f>COUNTIFS(集計用!$G52,"*, "&amp;AM$3&amp;", *")</f>
        <v>0</v>
      </c>
      <c r="AN54" s="2">
        <f>COUNTIFS(集計用!$G52,"*, "&amp;AN$3&amp;", *")</f>
        <v>1</v>
      </c>
      <c r="AO54" s="2">
        <f>COUNTIFS(集計用!$G52,"*, "&amp;AO$3&amp;", *")</f>
        <v>0</v>
      </c>
      <c r="AP54" s="2">
        <f>COUNTIFS(集計用!$G52,"*, "&amp;AP$3&amp;", *")</f>
        <v>0</v>
      </c>
      <c r="AQ54" s="2">
        <f>COUNTIFS(集計用!$G52,"*, "&amp;AQ$3&amp;", *")</f>
        <v>0</v>
      </c>
      <c r="AR54" s="2">
        <f>COUNTIFS(集計用!$G52,"*, "&amp;AR$3&amp;", *")</f>
        <v>0</v>
      </c>
      <c r="AS54" s="2">
        <f>COUNTIFS(集計用!$G52,"*, "&amp;AS$3&amp;", *")</f>
        <v>0</v>
      </c>
      <c r="AT54" s="2">
        <f>COUNTIFS(集計用!$G52,"*, "&amp;AT$3&amp;", *")</f>
        <v>1</v>
      </c>
      <c r="AU54" s="2">
        <f>COUNTIFS(集計用!$G52,"*, "&amp;AU$3&amp;", *")</f>
        <v>0</v>
      </c>
      <c r="AV54" s="2">
        <f>COUNTIFS(集計用!$G52,"*, "&amp;AV$3&amp;", *")</f>
        <v>0</v>
      </c>
      <c r="AW54" s="2">
        <f>COUNTIFS(集計用!$G52,"*, "&amp;AW$3&amp;", *")</f>
        <v>0</v>
      </c>
      <c r="AX54" s="2">
        <f>COUNTIFS(集計用!$G52,"*, "&amp;AX$3&amp;", *")</f>
        <v>0</v>
      </c>
      <c r="AY54" s="2">
        <f>COUNTIFS(集計用!$G52,"*, "&amp;AY$3&amp;", *")</f>
        <v>0</v>
      </c>
      <c r="AZ54" s="2">
        <f>COUNTIFS(集計用!$G52,"*, "&amp;AZ$3&amp;", *")</f>
        <v>0</v>
      </c>
      <c r="BA54" s="2">
        <f>COUNTIFS(集計用!$G52,"*, "&amp;BA$3&amp;", *")</f>
        <v>0</v>
      </c>
      <c r="BB54" s="2">
        <f>COUNTIFS(集計用!$G52,"*, "&amp;BB$3&amp;", *")</f>
        <v>0</v>
      </c>
      <c r="BC54" s="2">
        <f>COUNTIFS(集計用!$G52,"*, "&amp;BC$3&amp;", *")</f>
        <v>0</v>
      </c>
      <c r="BD54" s="2">
        <f>COUNTIFS(集計用!$G52,"*, "&amp;BD$3&amp;", *")</f>
        <v>0</v>
      </c>
      <c r="BE54" s="2">
        <f>COUNTIFS(集計用!$G52,"*, "&amp;BE$3&amp;", *")</f>
        <v>0</v>
      </c>
      <c r="BF54" s="2">
        <f>COUNTIFS(集計用!$G52,"*, "&amp;BF$3&amp;", *")</f>
        <v>0</v>
      </c>
      <c r="BG54" s="2">
        <f>COUNTIFS(集計用!$G52,"*, "&amp;BG$3&amp;", *")</f>
        <v>0</v>
      </c>
      <c r="BH54" s="2">
        <f>COUNTIFS(集計用!$G52,"*, "&amp;BH$3&amp;", *")</f>
        <v>0</v>
      </c>
      <c r="BI54" s="2">
        <f>COUNTIFS(集計用!$G52,"*, "&amp;BI$3&amp;", *")</f>
        <v>0</v>
      </c>
      <c r="BJ54" s="2">
        <f>LEN(集計用!H52)-LEN(SUBSTITUTE(集計用!H52,",",""))</f>
        <v>1</v>
      </c>
    </row>
    <row r="55" spans="1:62" ht="12.75">
      <c r="A55" s="8">
        <v>52</v>
      </c>
      <c r="C55" s="2">
        <f t="shared" si="2"/>
        <v>6</v>
      </c>
      <c r="D55" s="9"/>
      <c r="E55" s="2">
        <f>COUNTIFS(集計用!$G53,"*, "&amp;E$3&amp;", *")</f>
        <v>0</v>
      </c>
      <c r="F55" s="2">
        <f>COUNTIFS(集計用!$G53,"*, "&amp;F$3&amp;", *")</f>
        <v>0</v>
      </c>
      <c r="G55" s="2">
        <f>COUNTIFS(集計用!$G53,"*, "&amp;G$3&amp;", *")</f>
        <v>0</v>
      </c>
      <c r="H55" s="2">
        <f>COUNTIFS(集計用!$G53,"*, "&amp;H$3&amp;", *")</f>
        <v>0</v>
      </c>
      <c r="I55" s="2">
        <f>COUNTIFS(集計用!$G53,"*, "&amp;I$3&amp;", *")</f>
        <v>0</v>
      </c>
      <c r="J55" s="2">
        <f>COUNTIFS(集計用!$G53,"*, "&amp;J$3&amp;", *")</f>
        <v>0</v>
      </c>
      <c r="K55" s="2">
        <f>COUNTIFS(集計用!$G53,"*, "&amp;K$3&amp;", *")</f>
        <v>0</v>
      </c>
      <c r="L55" s="2">
        <f>COUNTIFS(集計用!$G53,"*, "&amp;L$3&amp;", *")</f>
        <v>1</v>
      </c>
      <c r="M55" s="2">
        <f>COUNTIFS(集計用!$G53,"*, "&amp;M$3&amp;", *")</f>
        <v>0</v>
      </c>
      <c r="N55" s="2">
        <f>COUNTIFS(集計用!$G53,"*, "&amp;N$3&amp;", *")</f>
        <v>0</v>
      </c>
      <c r="O55" s="2">
        <f>COUNTIFS(集計用!$G53,"*, "&amp;O$3&amp;", *")</f>
        <v>0</v>
      </c>
      <c r="P55" s="2">
        <f>COUNTIFS(集計用!$G53,"*, "&amp;P$3&amp;", *")</f>
        <v>0</v>
      </c>
      <c r="Q55" s="2">
        <f>COUNTIFS(集計用!$G53,"*, "&amp;Q$3&amp;", *")</f>
        <v>0</v>
      </c>
      <c r="R55" s="2">
        <f>COUNTIFS(集計用!$G53,"*, "&amp;R$3&amp;", *")</f>
        <v>0</v>
      </c>
      <c r="S55" s="2">
        <f>COUNTIFS(集計用!$G53,"*, "&amp;S$3&amp;", *")</f>
        <v>0</v>
      </c>
      <c r="T55" s="2">
        <f>COUNTIFS(集計用!$G53,"*, "&amp;T$3&amp;", *")</f>
        <v>0</v>
      </c>
      <c r="U55" s="2">
        <f>COUNTIFS(集計用!$G53,"*, "&amp;U$3&amp;", *")</f>
        <v>0</v>
      </c>
      <c r="V55" s="2">
        <f>COUNTIFS(集計用!$G53,"*, "&amp;V$3&amp;", *")</f>
        <v>0</v>
      </c>
      <c r="W55" s="2">
        <f>COUNTIFS(集計用!$G53,"*, "&amp;W$3&amp;", *")</f>
        <v>0</v>
      </c>
      <c r="X55" s="2">
        <f>COUNTIFS(集計用!$G53,"*, "&amp;X$3&amp;", *")</f>
        <v>0</v>
      </c>
      <c r="Y55" s="2">
        <f>COUNTIFS(集計用!$G53,"*, "&amp;Y$3&amp;", *")</f>
        <v>0</v>
      </c>
      <c r="Z55" s="2">
        <f>COUNTIFS(集計用!$G53,"*, "&amp;Z$3&amp;", *")</f>
        <v>0</v>
      </c>
      <c r="AA55" s="2">
        <f>COUNTIFS(集計用!$G53,"*, "&amp;AA$3&amp;", *")</f>
        <v>0</v>
      </c>
      <c r="AB55" s="2">
        <f>COUNTIFS(集計用!$G53,"*, "&amp;AB$3&amp;", *")</f>
        <v>0</v>
      </c>
      <c r="AC55" s="2">
        <f>COUNTIFS(集計用!$G53,"*, "&amp;AC$3&amp;", *")</f>
        <v>0</v>
      </c>
      <c r="AD55" s="2">
        <f>COUNTIFS(集計用!$G53,"*, "&amp;AD$3&amp;", *")</f>
        <v>0</v>
      </c>
      <c r="AE55" s="2">
        <f>COUNTIFS(集計用!$G53,"*, "&amp;AE$3&amp;", *")</f>
        <v>0</v>
      </c>
      <c r="AF55" s="2">
        <f>COUNTIFS(集計用!$G53,"*, "&amp;AF$3&amp;", *")</f>
        <v>1</v>
      </c>
      <c r="AG55" s="2">
        <f>COUNTIFS(集計用!$G53,"*, "&amp;AG$3&amp;", *")</f>
        <v>0</v>
      </c>
      <c r="AH55" s="2">
        <f>COUNTIFS(集計用!$G53,"*, "&amp;AH$3&amp;", *")</f>
        <v>0</v>
      </c>
      <c r="AI55" s="2">
        <f>COUNTIFS(集計用!$G53,"*, "&amp;AI$3&amp;", *")</f>
        <v>0</v>
      </c>
      <c r="AJ55" s="2">
        <f>COUNTIFS(集計用!$G53,"*, "&amp;AJ$3&amp;", *")</f>
        <v>1</v>
      </c>
      <c r="AK55" s="2">
        <f>COUNTIFS(集計用!$G53,"*, "&amp;AK$3&amp;", *")</f>
        <v>0</v>
      </c>
      <c r="AL55" s="2">
        <f>COUNTIFS(集計用!$G53,"*, "&amp;AL$3&amp;", *")</f>
        <v>0</v>
      </c>
      <c r="AM55" s="2">
        <f>COUNTIFS(集計用!$G53,"*, "&amp;AM$3&amp;", *")</f>
        <v>0</v>
      </c>
      <c r="AN55" s="2">
        <f>COUNTIFS(集計用!$G53,"*, "&amp;AN$3&amp;", *")</f>
        <v>0</v>
      </c>
      <c r="AO55" s="2">
        <f>COUNTIFS(集計用!$G53,"*, "&amp;AO$3&amp;", *")</f>
        <v>1</v>
      </c>
      <c r="AP55" s="2">
        <f>COUNTIFS(集計用!$G53,"*, "&amp;AP$3&amp;", *")</f>
        <v>1</v>
      </c>
      <c r="AQ55" s="2">
        <f>COUNTIFS(集計用!$G53,"*, "&amp;AQ$3&amp;", *")</f>
        <v>0</v>
      </c>
      <c r="AR55" s="2">
        <f>COUNTIFS(集計用!$G53,"*, "&amp;AR$3&amp;", *")</f>
        <v>0</v>
      </c>
      <c r="AS55" s="2">
        <f>COUNTIFS(集計用!$G53,"*, "&amp;AS$3&amp;", *")</f>
        <v>0</v>
      </c>
      <c r="AT55" s="2">
        <f>COUNTIFS(集計用!$G53,"*, "&amp;AT$3&amp;", *")</f>
        <v>1</v>
      </c>
      <c r="AU55" s="2">
        <f>COUNTIFS(集計用!$G53,"*, "&amp;AU$3&amp;", *")</f>
        <v>0</v>
      </c>
      <c r="AV55" s="2">
        <f>COUNTIFS(集計用!$G53,"*, "&amp;AV$3&amp;", *")</f>
        <v>0</v>
      </c>
      <c r="AW55" s="2">
        <f>COUNTIFS(集計用!$G53,"*, "&amp;AW$3&amp;", *")</f>
        <v>0</v>
      </c>
      <c r="AX55" s="2">
        <f>COUNTIFS(集計用!$G53,"*, "&amp;AX$3&amp;", *")</f>
        <v>0</v>
      </c>
      <c r="AY55" s="2">
        <f>COUNTIFS(集計用!$G53,"*, "&amp;AY$3&amp;", *")</f>
        <v>0</v>
      </c>
      <c r="AZ55" s="2">
        <f>COUNTIFS(集計用!$G53,"*, "&amp;AZ$3&amp;", *")</f>
        <v>0</v>
      </c>
      <c r="BA55" s="2">
        <f>COUNTIFS(集計用!$G53,"*, "&amp;BA$3&amp;", *")</f>
        <v>0</v>
      </c>
      <c r="BB55" s="2">
        <f>COUNTIFS(集計用!$G53,"*, "&amp;BB$3&amp;", *")</f>
        <v>0</v>
      </c>
      <c r="BC55" s="2">
        <f>COUNTIFS(集計用!$G53,"*, "&amp;BC$3&amp;", *")</f>
        <v>0</v>
      </c>
      <c r="BD55" s="2">
        <f>COUNTIFS(集計用!$G53,"*, "&amp;BD$3&amp;", *")</f>
        <v>0</v>
      </c>
      <c r="BE55" s="2">
        <f>COUNTIFS(集計用!$G53,"*, "&amp;BE$3&amp;", *")</f>
        <v>0</v>
      </c>
      <c r="BF55" s="2">
        <f>COUNTIFS(集計用!$G53,"*, "&amp;BF$3&amp;", *")</f>
        <v>0</v>
      </c>
      <c r="BG55" s="2">
        <f>COUNTIFS(集計用!$G53,"*, "&amp;BG$3&amp;", *")</f>
        <v>0</v>
      </c>
      <c r="BH55" s="2">
        <f>COUNTIFS(集計用!$G53,"*, "&amp;BH$3&amp;", *")</f>
        <v>0</v>
      </c>
      <c r="BI55" s="2">
        <f>COUNTIFS(集計用!$G53,"*, "&amp;BI$3&amp;", *")</f>
        <v>0</v>
      </c>
      <c r="BJ55" s="2">
        <f>LEN(集計用!H53)-LEN(SUBSTITUTE(集計用!H53,",",""))</f>
        <v>0</v>
      </c>
    </row>
    <row r="56" spans="1:62" ht="12.75">
      <c r="A56" s="8">
        <v>53</v>
      </c>
      <c r="C56" s="2">
        <f t="shared" si="2"/>
        <v>4</v>
      </c>
      <c r="D56" s="9"/>
      <c r="E56" s="2">
        <f>COUNTIFS(集計用!$G54,"*, "&amp;E$3&amp;", *")</f>
        <v>0</v>
      </c>
      <c r="F56" s="2">
        <f>COUNTIFS(集計用!$G54,"*, "&amp;F$3&amp;", *")</f>
        <v>1</v>
      </c>
      <c r="G56" s="2">
        <f>COUNTIFS(集計用!$G54,"*, "&amp;G$3&amp;", *")</f>
        <v>0</v>
      </c>
      <c r="H56" s="2">
        <f>COUNTIFS(集計用!$G54,"*, "&amp;H$3&amp;", *")</f>
        <v>1</v>
      </c>
      <c r="I56" s="2">
        <f>COUNTIFS(集計用!$G54,"*, "&amp;I$3&amp;", *")</f>
        <v>0</v>
      </c>
      <c r="J56" s="2">
        <f>COUNTIFS(集計用!$G54,"*, "&amp;J$3&amp;", *")</f>
        <v>0</v>
      </c>
      <c r="K56" s="2">
        <f>COUNTIFS(集計用!$G54,"*, "&amp;K$3&amp;", *")</f>
        <v>1</v>
      </c>
      <c r="L56" s="2">
        <f>COUNTIFS(集計用!$G54,"*, "&amp;L$3&amp;", *")</f>
        <v>0</v>
      </c>
      <c r="M56" s="2">
        <f>COUNTIFS(集計用!$G54,"*, "&amp;M$3&amp;", *")</f>
        <v>0</v>
      </c>
      <c r="N56" s="2">
        <f>COUNTIFS(集計用!$G54,"*, "&amp;N$3&amp;", *")</f>
        <v>0</v>
      </c>
      <c r="O56" s="2">
        <f>COUNTIFS(集計用!$G54,"*, "&amp;O$3&amp;", *")</f>
        <v>0</v>
      </c>
      <c r="P56" s="2">
        <f>COUNTIFS(集計用!$G54,"*, "&amp;P$3&amp;", *")</f>
        <v>0</v>
      </c>
      <c r="Q56" s="2">
        <f>COUNTIFS(集計用!$G54,"*, "&amp;Q$3&amp;", *")</f>
        <v>0</v>
      </c>
      <c r="R56" s="2">
        <f>COUNTIFS(集計用!$G54,"*, "&amp;R$3&amp;", *")</f>
        <v>0</v>
      </c>
      <c r="S56" s="2">
        <f>COUNTIFS(集計用!$G54,"*, "&amp;S$3&amp;", *")</f>
        <v>0</v>
      </c>
      <c r="T56" s="2">
        <f>COUNTIFS(集計用!$G54,"*, "&amp;T$3&amp;", *")</f>
        <v>0</v>
      </c>
      <c r="U56" s="2">
        <f>COUNTIFS(集計用!$G54,"*, "&amp;U$3&amp;", *")</f>
        <v>0</v>
      </c>
      <c r="V56" s="2">
        <f>COUNTIFS(集計用!$G54,"*, "&amp;V$3&amp;", *")</f>
        <v>0</v>
      </c>
      <c r="W56" s="2">
        <f>COUNTIFS(集計用!$G54,"*, "&amp;W$3&amp;", *")</f>
        <v>0</v>
      </c>
      <c r="X56" s="2">
        <f>COUNTIFS(集計用!$G54,"*, "&amp;X$3&amp;", *")</f>
        <v>0</v>
      </c>
      <c r="Y56" s="2">
        <f>COUNTIFS(集計用!$G54,"*, "&amp;Y$3&amp;", *")</f>
        <v>0</v>
      </c>
      <c r="Z56" s="2">
        <f>COUNTIFS(集計用!$G54,"*, "&amp;Z$3&amp;", *")</f>
        <v>0</v>
      </c>
      <c r="AA56" s="2">
        <f>COUNTIFS(集計用!$G54,"*, "&amp;AA$3&amp;", *")</f>
        <v>0</v>
      </c>
      <c r="AB56" s="2">
        <f>COUNTIFS(集計用!$G54,"*, "&amp;AB$3&amp;", *")</f>
        <v>0</v>
      </c>
      <c r="AC56" s="2">
        <f>COUNTIFS(集計用!$G54,"*, "&amp;AC$3&amp;", *")</f>
        <v>0</v>
      </c>
      <c r="AD56" s="2">
        <f>COUNTIFS(集計用!$G54,"*, "&amp;AD$3&amp;", *")</f>
        <v>0</v>
      </c>
      <c r="AE56" s="2">
        <f>COUNTIFS(集計用!$G54,"*, "&amp;AE$3&amp;", *")</f>
        <v>1</v>
      </c>
      <c r="AF56" s="2">
        <f>COUNTIFS(集計用!$G54,"*, "&amp;AF$3&amp;", *")</f>
        <v>0</v>
      </c>
      <c r="AG56" s="2">
        <f>COUNTIFS(集計用!$G54,"*, "&amp;AG$3&amp;", *")</f>
        <v>0</v>
      </c>
      <c r="AH56" s="2">
        <f>COUNTIFS(集計用!$G54,"*, "&amp;AH$3&amp;", *")</f>
        <v>0</v>
      </c>
      <c r="AI56" s="2">
        <f>COUNTIFS(集計用!$G54,"*, "&amp;AI$3&amp;", *")</f>
        <v>0</v>
      </c>
      <c r="AJ56" s="2">
        <f>COUNTIFS(集計用!$G54,"*, "&amp;AJ$3&amp;", *")</f>
        <v>0</v>
      </c>
      <c r="AK56" s="2">
        <f>COUNTIFS(集計用!$G54,"*, "&amp;AK$3&amp;", *")</f>
        <v>0</v>
      </c>
      <c r="AL56" s="2">
        <f>COUNTIFS(集計用!$G54,"*, "&amp;AL$3&amp;", *")</f>
        <v>0</v>
      </c>
      <c r="AM56" s="2">
        <f>COUNTIFS(集計用!$G54,"*, "&amp;AM$3&amp;", *")</f>
        <v>0</v>
      </c>
      <c r="AN56" s="2">
        <f>COUNTIFS(集計用!$G54,"*, "&amp;AN$3&amp;", *")</f>
        <v>0</v>
      </c>
      <c r="AO56" s="2">
        <f>COUNTIFS(集計用!$G54,"*, "&amp;AO$3&amp;", *")</f>
        <v>0</v>
      </c>
      <c r="AP56" s="2">
        <f>COUNTIFS(集計用!$G54,"*, "&amp;AP$3&amp;", *")</f>
        <v>0</v>
      </c>
      <c r="AQ56" s="2">
        <f>COUNTIFS(集計用!$G54,"*, "&amp;AQ$3&amp;", *")</f>
        <v>0</v>
      </c>
      <c r="AR56" s="2">
        <f>COUNTIFS(集計用!$G54,"*, "&amp;AR$3&amp;", *")</f>
        <v>0</v>
      </c>
      <c r="AS56" s="2">
        <f>COUNTIFS(集計用!$G54,"*, "&amp;AS$3&amp;", *")</f>
        <v>0</v>
      </c>
      <c r="AT56" s="2">
        <f>COUNTIFS(集計用!$G54,"*, "&amp;AT$3&amp;", *")</f>
        <v>0</v>
      </c>
      <c r="AU56" s="2">
        <f>COUNTIFS(集計用!$G54,"*, "&amp;AU$3&amp;", *")</f>
        <v>0</v>
      </c>
      <c r="AV56" s="2">
        <f>COUNTIFS(集計用!$G54,"*, "&amp;AV$3&amp;", *")</f>
        <v>0</v>
      </c>
      <c r="AW56" s="2">
        <f>COUNTIFS(集計用!$G54,"*, "&amp;AW$3&amp;", *")</f>
        <v>0</v>
      </c>
      <c r="AX56" s="2">
        <f>COUNTIFS(集計用!$G54,"*, "&amp;AX$3&amp;", *")</f>
        <v>0</v>
      </c>
      <c r="AY56" s="2">
        <f>COUNTIFS(集計用!$G54,"*, "&amp;AY$3&amp;", *")</f>
        <v>0</v>
      </c>
      <c r="AZ56" s="2">
        <f>COUNTIFS(集計用!$G54,"*, "&amp;AZ$3&amp;", *")</f>
        <v>0</v>
      </c>
      <c r="BA56" s="2">
        <f>COUNTIFS(集計用!$G54,"*, "&amp;BA$3&amp;", *")</f>
        <v>0</v>
      </c>
      <c r="BB56" s="2">
        <f>COUNTIFS(集計用!$G54,"*, "&amp;BB$3&amp;", *")</f>
        <v>0</v>
      </c>
      <c r="BC56" s="2">
        <f>COUNTIFS(集計用!$G54,"*, "&amp;BC$3&amp;", *")</f>
        <v>0</v>
      </c>
      <c r="BD56" s="2">
        <f>COUNTIFS(集計用!$G54,"*, "&amp;BD$3&amp;", *")</f>
        <v>0</v>
      </c>
      <c r="BE56" s="2">
        <f>COUNTIFS(集計用!$G54,"*, "&amp;BE$3&amp;", *")</f>
        <v>0</v>
      </c>
      <c r="BF56" s="2">
        <f>COUNTIFS(集計用!$G54,"*, "&amp;BF$3&amp;", *")</f>
        <v>0</v>
      </c>
      <c r="BG56" s="2">
        <f>COUNTIFS(集計用!$G54,"*, "&amp;BG$3&amp;", *")</f>
        <v>0</v>
      </c>
      <c r="BH56" s="2">
        <f>COUNTIFS(集計用!$G54,"*, "&amp;BH$3&amp;", *")</f>
        <v>0</v>
      </c>
      <c r="BI56" s="2">
        <f>COUNTIFS(集計用!$G54,"*, "&amp;BI$3&amp;", *")</f>
        <v>0</v>
      </c>
      <c r="BJ56" s="2">
        <f>LEN(集計用!H54)-LEN(SUBSTITUTE(集計用!H54,",",""))</f>
        <v>0</v>
      </c>
    </row>
    <row r="57" spans="1:62" ht="12.75">
      <c r="A57" s="8">
        <v>54</v>
      </c>
      <c r="C57" s="2">
        <f t="shared" si="2"/>
        <v>7</v>
      </c>
      <c r="D57" s="9"/>
      <c r="E57" s="2">
        <f>COUNTIFS(集計用!$G55,"*, "&amp;E$3&amp;", *")</f>
        <v>0</v>
      </c>
      <c r="F57" s="2">
        <f>COUNTIFS(集計用!$G55,"*, "&amp;F$3&amp;", *")</f>
        <v>1</v>
      </c>
      <c r="G57" s="2">
        <f>COUNTIFS(集計用!$G55,"*, "&amp;G$3&amp;", *")</f>
        <v>0</v>
      </c>
      <c r="H57" s="2">
        <f>COUNTIFS(集計用!$G55,"*, "&amp;H$3&amp;", *")</f>
        <v>0</v>
      </c>
      <c r="I57" s="2">
        <f>COUNTIFS(集計用!$G55,"*, "&amp;I$3&amp;", *")</f>
        <v>0</v>
      </c>
      <c r="J57" s="2">
        <f>COUNTIFS(集計用!$G55,"*, "&amp;J$3&amp;", *")</f>
        <v>0</v>
      </c>
      <c r="K57" s="2">
        <f>COUNTIFS(集計用!$G55,"*, "&amp;K$3&amp;", *")</f>
        <v>0</v>
      </c>
      <c r="L57" s="2">
        <f>COUNTIFS(集計用!$G55,"*, "&amp;L$3&amp;", *")</f>
        <v>0</v>
      </c>
      <c r="M57" s="2">
        <f>COUNTIFS(集計用!$G55,"*, "&amp;M$3&amp;", *")</f>
        <v>0</v>
      </c>
      <c r="N57" s="2">
        <f>COUNTIFS(集計用!$G55,"*, "&amp;N$3&amp;", *")</f>
        <v>0</v>
      </c>
      <c r="O57" s="2">
        <f>COUNTIFS(集計用!$G55,"*, "&amp;O$3&amp;", *")</f>
        <v>1</v>
      </c>
      <c r="P57" s="2">
        <f>COUNTIFS(集計用!$G55,"*, "&amp;P$3&amp;", *")</f>
        <v>0</v>
      </c>
      <c r="Q57" s="2">
        <f>COUNTIFS(集計用!$G55,"*, "&amp;Q$3&amp;", *")</f>
        <v>0</v>
      </c>
      <c r="R57" s="2">
        <f>COUNTIFS(集計用!$G55,"*, "&amp;R$3&amp;", *")</f>
        <v>0</v>
      </c>
      <c r="S57" s="2">
        <f>COUNTIFS(集計用!$G55,"*, "&amp;S$3&amp;", *")</f>
        <v>0</v>
      </c>
      <c r="T57" s="2">
        <f>COUNTIFS(集計用!$G55,"*, "&amp;T$3&amp;", *")</f>
        <v>0</v>
      </c>
      <c r="U57" s="2">
        <f>COUNTIFS(集計用!$G55,"*, "&amp;U$3&amp;", *")</f>
        <v>1</v>
      </c>
      <c r="V57" s="2">
        <f>COUNTIFS(集計用!$G55,"*, "&amp;V$3&amp;", *")</f>
        <v>1</v>
      </c>
      <c r="W57" s="2">
        <f>COUNTIFS(集計用!$G55,"*, "&amp;W$3&amp;", *")</f>
        <v>0</v>
      </c>
      <c r="X57" s="2">
        <f>COUNTIFS(集計用!$G55,"*, "&amp;X$3&amp;", *")</f>
        <v>0</v>
      </c>
      <c r="Y57" s="2">
        <f>COUNTIFS(集計用!$G55,"*, "&amp;Y$3&amp;", *")</f>
        <v>0</v>
      </c>
      <c r="Z57" s="2">
        <f>COUNTIFS(集計用!$G55,"*, "&amp;Z$3&amp;", *")</f>
        <v>1</v>
      </c>
      <c r="AA57" s="2">
        <f>COUNTIFS(集計用!$G55,"*, "&amp;AA$3&amp;", *")</f>
        <v>0</v>
      </c>
      <c r="AB57" s="2">
        <f>COUNTIFS(集計用!$G55,"*, "&amp;AB$3&amp;", *")</f>
        <v>0</v>
      </c>
      <c r="AC57" s="2">
        <f>COUNTIFS(集計用!$G55,"*, "&amp;AC$3&amp;", *")</f>
        <v>0</v>
      </c>
      <c r="AD57" s="2">
        <f>COUNTIFS(集計用!$G55,"*, "&amp;AD$3&amp;", *")</f>
        <v>0</v>
      </c>
      <c r="AE57" s="2">
        <f>COUNTIFS(集計用!$G55,"*, "&amp;AE$3&amp;", *")</f>
        <v>0</v>
      </c>
      <c r="AF57" s="2">
        <f>COUNTIFS(集計用!$G55,"*, "&amp;AF$3&amp;", *")</f>
        <v>0</v>
      </c>
      <c r="AG57" s="2">
        <f>COUNTIFS(集計用!$G55,"*, "&amp;AG$3&amp;", *")</f>
        <v>1</v>
      </c>
      <c r="AH57" s="2">
        <f>COUNTIFS(集計用!$G55,"*, "&amp;AH$3&amp;", *")</f>
        <v>0</v>
      </c>
      <c r="AI57" s="2">
        <f>COUNTIFS(集計用!$G55,"*, "&amp;AI$3&amp;", *")</f>
        <v>0</v>
      </c>
      <c r="AJ57" s="2">
        <f>COUNTIFS(集計用!$G55,"*, "&amp;AJ$3&amp;", *")</f>
        <v>0</v>
      </c>
      <c r="AK57" s="2">
        <f>COUNTIFS(集計用!$G55,"*, "&amp;AK$3&amp;", *")</f>
        <v>0</v>
      </c>
      <c r="AL57" s="2">
        <f>COUNTIFS(集計用!$G55,"*, "&amp;AL$3&amp;", *")</f>
        <v>0</v>
      </c>
      <c r="AM57" s="2">
        <f>COUNTIFS(集計用!$G55,"*, "&amp;AM$3&amp;", *")</f>
        <v>0</v>
      </c>
      <c r="AN57" s="2">
        <f>COUNTIFS(集計用!$G55,"*, "&amp;AN$3&amp;", *")</f>
        <v>0</v>
      </c>
      <c r="AO57" s="2">
        <f>COUNTIFS(集計用!$G55,"*, "&amp;AO$3&amp;", *")</f>
        <v>1</v>
      </c>
      <c r="AP57" s="2">
        <f>COUNTIFS(集計用!$G55,"*, "&amp;AP$3&amp;", *")</f>
        <v>0</v>
      </c>
      <c r="AQ57" s="2">
        <f>COUNTIFS(集計用!$G55,"*, "&amp;AQ$3&amp;", *")</f>
        <v>0</v>
      </c>
      <c r="AR57" s="2">
        <f>COUNTIFS(集計用!$G55,"*, "&amp;AR$3&amp;", *")</f>
        <v>0</v>
      </c>
      <c r="AS57" s="2">
        <f>COUNTIFS(集計用!$G55,"*, "&amp;AS$3&amp;", *")</f>
        <v>0</v>
      </c>
      <c r="AT57" s="2">
        <f>COUNTIFS(集計用!$G55,"*, "&amp;AT$3&amp;", *")</f>
        <v>0</v>
      </c>
      <c r="AU57" s="2">
        <f>COUNTIFS(集計用!$G55,"*, "&amp;AU$3&amp;", *")</f>
        <v>0</v>
      </c>
      <c r="AV57" s="2">
        <f>COUNTIFS(集計用!$G55,"*, "&amp;AV$3&amp;", *")</f>
        <v>0</v>
      </c>
      <c r="AW57" s="2">
        <f>COUNTIFS(集計用!$G55,"*, "&amp;AW$3&amp;", *")</f>
        <v>0</v>
      </c>
      <c r="AX57" s="2">
        <f>COUNTIFS(集計用!$G55,"*, "&amp;AX$3&amp;", *")</f>
        <v>0</v>
      </c>
      <c r="AY57" s="2">
        <f>COUNTIFS(集計用!$G55,"*, "&amp;AY$3&amp;", *")</f>
        <v>0</v>
      </c>
      <c r="AZ57" s="2">
        <f>COUNTIFS(集計用!$G55,"*, "&amp;AZ$3&amp;", *")</f>
        <v>0</v>
      </c>
      <c r="BA57" s="2">
        <f>COUNTIFS(集計用!$G55,"*, "&amp;BA$3&amp;", *")</f>
        <v>0</v>
      </c>
      <c r="BB57" s="2">
        <f>COUNTIFS(集計用!$G55,"*, "&amp;BB$3&amp;", *")</f>
        <v>0</v>
      </c>
      <c r="BC57" s="2">
        <f>COUNTIFS(集計用!$G55,"*, "&amp;BC$3&amp;", *")</f>
        <v>0</v>
      </c>
      <c r="BD57" s="2">
        <f>COUNTIFS(集計用!$G55,"*, "&amp;BD$3&amp;", *")</f>
        <v>0</v>
      </c>
      <c r="BE57" s="2">
        <f>COUNTIFS(集計用!$G55,"*, "&amp;BE$3&amp;", *")</f>
        <v>0</v>
      </c>
      <c r="BF57" s="2">
        <f>COUNTIFS(集計用!$G55,"*, "&amp;BF$3&amp;", *")</f>
        <v>0</v>
      </c>
      <c r="BG57" s="2">
        <f>COUNTIFS(集計用!$G55,"*, "&amp;BG$3&amp;", *")</f>
        <v>0</v>
      </c>
      <c r="BH57" s="2">
        <f>COUNTIFS(集計用!$G55,"*, "&amp;BH$3&amp;", *")</f>
        <v>0</v>
      </c>
      <c r="BI57" s="2">
        <f>COUNTIFS(集計用!$G55,"*, "&amp;BI$3&amp;", *")</f>
        <v>0</v>
      </c>
      <c r="BJ57" s="2">
        <f>LEN(集計用!H55)-LEN(SUBSTITUTE(集計用!H55,",",""))</f>
        <v>0</v>
      </c>
    </row>
    <row r="58" spans="1:62" ht="12.75">
      <c r="A58" s="8">
        <v>55</v>
      </c>
      <c r="C58" s="2">
        <f t="shared" si="2"/>
        <v>6</v>
      </c>
      <c r="D58" s="9"/>
      <c r="E58" s="2">
        <f>COUNTIFS(集計用!$G56,"*, "&amp;E$3&amp;", *")</f>
        <v>0</v>
      </c>
      <c r="F58" s="2">
        <f>COUNTIFS(集計用!$G56,"*, "&amp;F$3&amp;", *")</f>
        <v>0</v>
      </c>
      <c r="G58" s="2">
        <f>COUNTIFS(集計用!$G56,"*, "&amp;G$3&amp;", *")</f>
        <v>1</v>
      </c>
      <c r="H58" s="2">
        <f>COUNTIFS(集計用!$G56,"*, "&amp;H$3&amp;", *")</f>
        <v>0</v>
      </c>
      <c r="I58" s="2">
        <f>COUNTIFS(集計用!$G56,"*, "&amp;I$3&amp;", *")</f>
        <v>0</v>
      </c>
      <c r="J58" s="2">
        <f>COUNTIFS(集計用!$G56,"*, "&amp;J$3&amp;", *")</f>
        <v>0</v>
      </c>
      <c r="K58" s="2">
        <f>COUNTIFS(集計用!$G56,"*, "&amp;K$3&amp;", *")</f>
        <v>0</v>
      </c>
      <c r="L58" s="2">
        <f>COUNTIFS(集計用!$G56,"*, "&amp;L$3&amp;", *")</f>
        <v>0</v>
      </c>
      <c r="M58" s="2">
        <f>COUNTIFS(集計用!$G56,"*, "&amp;M$3&amp;", *")</f>
        <v>1</v>
      </c>
      <c r="N58" s="2">
        <f>COUNTIFS(集計用!$G56,"*, "&amp;N$3&amp;", *")</f>
        <v>1</v>
      </c>
      <c r="O58" s="2">
        <f>COUNTIFS(集計用!$G56,"*, "&amp;O$3&amp;", *")</f>
        <v>0</v>
      </c>
      <c r="P58" s="2">
        <f>COUNTIFS(集計用!$G56,"*, "&amp;P$3&amp;", *")</f>
        <v>0</v>
      </c>
      <c r="Q58" s="2">
        <f>COUNTIFS(集計用!$G56,"*, "&amp;Q$3&amp;", *")</f>
        <v>0</v>
      </c>
      <c r="R58" s="2">
        <f>COUNTIFS(集計用!$G56,"*, "&amp;R$3&amp;", *")</f>
        <v>0</v>
      </c>
      <c r="S58" s="2">
        <f>COUNTIFS(集計用!$G56,"*, "&amp;S$3&amp;", *")</f>
        <v>0</v>
      </c>
      <c r="T58" s="2">
        <f>COUNTIFS(集計用!$G56,"*, "&amp;T$3&amp;", *")</f>
        <v>1</v>
      </c>
      <c r="U58" s="2">
        <f>COUNTIFS(集計用!$G56,"*, "&amp;U$3&amp;", *")</f>
        <v>0</v>
      </c>
      <c r="V58" s="2">
        <f>COUNTIFS(集計用!$G56,"*, "&amp;V$3&amp;", *")</f>
        <v>0</v>
      </c>
      <c r="W58" s="2">
        <f>COUNTIFS(集計用!$G56,"*, "&amp;W$3&amp;", *")</f>
        <v>0</v>
      </c>
      <c r="X58" s="2">
        <f>COUNTIFS(集計用!$G56,"*, "&amp;X$3&amp;", *")</f>
        <v>0</v>
      </c>
      <c r="Y58" s="2">
        <f>COUNTIFS(集計用!$G56,"*, "&amp;Y$3&amp;", *")</f>
        <v>0</v>
      </c>
      <c r="Z58" s="2">
        <f>COUNTIFS(集計用!$G56,"*, "&amp;Z$3&amp;", *")</f>
        <v>0</v>
      </c>
      <c r="AA58" s="2">
        <f>COUNTIFS(集計用!$G56,"*, "&amp;AA$3&amp;", *")</f>
        <v>0</v>
      </c>
      <c r="AB58" s="2">
        <f>COUNTIFS(集計用!$G56,"*, "&amp;AB$3&amp;", *")</f>
        <v>0</v>
      </c>
      <c r="AC58" s="2">
        <f>COUNTIFS(集計用!$G56,"*, "&amp;AC$3&amp;", *")</f>
        <v>0</v>
      </c>
      <c r="AD58" s="2">
        <f>COUNTIFS(集計用!$G56,"*, "&amp;AD$3&amp;", *")</f>
        <v>0</v>
      </c>
      <c r="AE58" s="2">
        <f>COUNTIFS(集計用!$G56,"*, "&amp;AE$3&amp;", *")</f>
        <v>0</v>
      </c>
      <c r="AF58" s="2">
        <f>COUNTIFS(集計用!$G56,"*, "&amp;AF$3&amp;", *")</f>
        <v>0</v>
      </c>
      <c r="AG58" s="2">
        <f>COUNTIFS(集計用!$G56,"*, "&amp;AG$3&amp;", *")</f>
        <v>0</v>
      </c>
      <c r="AH58" s="2">
        <f>COUNTIFS(集計用!$G56,"*, "&amp;AH$3&amp;", *")</f>
        <v>0</v>
      </c>
      <c r="AI58" s="2">
        <f>COUNTIFS(集計用!$G56,"*, "&amp;AI$3&amp;", *")</f>
        <v>0</v>
      </c>
      <c r="AJ58" s="2">
        <f>COUNTIFS(集計用!$G56,"*, "&amp;AJ$3&amp;", *")</f>
        <v>0</v>
      </c>
      <c r="AK58" s="2">
        <f>COUNTIFS(集計用!$G56,"*, "&amp;AK$3&amp;", *")</f>
        <v>0</v>
      </c>
      <c r="AL58" s="2">
        <f>COUNTIFS(集計用!$G56,"*, "&amp;AL$3&amp;", *")</f>
        <v>0</v>
      </c>
      <c r="AM58" s="2">
        <f>COUNTIFS(集計用!$G56,"*, "&amp;AM$3&amp;", *")</f>
        <v>0</v>
      </c>
      <c r="AN58" s="2">
        <f>COUNTIFS(集計用!$G56,"*, "&amp;AN$3&amp;", *")</f>
        <v>0</v>
      </c>
      <c r="AO58" s="2">
        <f>COUNTIFS(集計用!$G56,"*, "&amp;AO$3&amp;", *")</f>
        <v>0</v>
      </c>
      <c r="AP58" s="2">
        <f>COUNTIFS(集計用!$G56,"*, "&amp;AP$3&amp;", *")</f>
        <v>0</v>
      </c>
      <c r="AQ58" s="2">
        <f>COUNTIFS(集計用!$G56,"*, "&amp;AQ$3&amp;", *")</f>
        <v>0</v>
      </c>
      <c r="AR58" s="2">
        <f>COUNTIFS(集計用!$G56,"*, "&amp;AR$3&amp;", *")</f>
        <v>0</v>
      </c>
      <c r="AS58" s="2">
        <f>COUNTIFS(集計用!$G56,"*, "&amp;AS$3&amp;", *")</f>
        <v>0</v>
      </c>
      <c r="AT58" s="2">
        <f>COUNTIFS(集計用!$G56,"*, "&amp;AT$3&amp;", *")</f>
        <v>0</v>
      </c>
      <c r="AU58" s="2">
        <f>COUNTIFS(集計用!$G56,"*, "&amp;AU$3&amp;", *")</f>
        <v>0</v>
      </c>
      <c r="AV58" s="2">
        <f>COUNTIFS(集計用!$G56,"*, "&amp;AV$3&amp;", *")</f>
        <v>0</v>
      </c>
      <c r="AW58" s="2">
        <f>COUNTIFS(集計用!$G56,"*, "&amp;AW$3&amp;", *")</f>
        <v>0</v>
      </c>
      <c r="AX58" s="2">
        <f>COUNTIFS(集計用!$G56,"*, "&amp;AX$3&amp;", *")</f>
        <v>0</v>
      </c>
      <c r="AY58" s="2">
        <f>COUNTIFS(集計用!$G56,"*, "&amp;AY$3&amp;", *")</f>
        <v>1</v>
      </c>
      <c r="AZ58" s="2">
        <f>COUNTIFS(集計用!$G56,"*, "&amp;AZ$3&amp;", *")</f>
        <v>0</v>
      </c>
      <c r="BA58" s="2">
        <f>COUNTIFS(集計用!$G56,"*, "&amp;BA$3&amp;", *")</f>
        <v>0</v>
      </c>
      <c r="BB58" s="2">
        <f>COUNTIFS(集計用!$G56,"*, "&amp;BB$3&amp;", *")</f>
        <v>0</v>
      </c>
      <c r="BC58" s="2">
        <f>COUNTIFS(集計用!$G56,"*, "&amp;BC$3&amp;", *")</f>
        <v>0</v>
      </c>
      <c r="BD58" s="2">
        <f>COUNTIFS(集計用!$G56,"*, "&amp;BD$3&amp;", *")</f>
        <v>0</v>
      </c>
      <c r="BE58" s="2">
        <f>COUNTIFS(集計用!$G56,"*, "&amp;BE$3&amp;", *")</f>
        <v>0</v>
      </c>
      <c r="BF58" s="2">
        <f>COUNTIFS(集計用!$G56,"*, "&amp;BF$3&amp;", *")</f>
        <v>0</v>
      </c>
      <c r="BG58" s="2">
        <f>COUNTIFS(集計用!$G56,"*, "&amp;BG$3&amp;", *")</f>
        <v>0</v>
      </c>
      <c r="BH58" s="2">
        <f>COUNTIFS(集計用!$G56,"*, "&amp;BH$3&amp;", *")</f>
        <v>0</v>
      </c>
      <c r="BI58" s="2">
        <f>COUNTIFS(集計用!$G56,"*, "&amp;BI$3&amp;", *")</f>
        <v>0</v>
      </c>
      <c r="BJ58" s="2">
        <f>LEN(集計用!H56)-LEN(SUBSTITUTE(集計用!H56,",",""))</f>
        <v>1</v>
      </c>
    </row>
    <row r="59" spans="1:62" ht="12.75">
      <c r="A59" s="8">
        <v>56</v>
      </c>
      <c r="C59" s="2">
        <f t="shared" si="2"/>
        <v>3</v>
      </c>
      <c r="D59" s="9"/>
      <c r="E59" s="2">
        <f>COUNTIFS(集計用!$G57,"*, "&amp;E$3&amp;", *")</f>
        <v>1</v>
      </c>
      <c r="F59" s="2">
        <f>COUNTIFS(集計用!$G57,"*, "&amp;F$3&amp;", *")</f>
        <v>1</v>
      </c>
      <c r="G59" s="2">
        <f>COUNTIFS(集計用!$G57,"*, "&amp;G$3&amp;", *")</f>
        <v>0</v>
      </c>
      <c r="H59" s="2">
        <f>COUNTIFS(集計用!$G57,"*, "&amp;H$3&amp;", *")</f>
        <v>0</v>
      </c>
      <c r="I59" s="2">
        <f>COUNTIFS(集計用!$G57,"*, "&amp;I$3&amp;", *")</f>
        <v>0</v>
      </c>
      <c r="J59" s="2">
        <f>COUNTIFS(集計用!$G57,"*, "&amp;J$3&amp;", *")</f>
        <v>0</v>
      </c>
      <c r="K59" s="2">
        <f>COUNTIFS(集計用!$G57,"*, "&amp;K$3&amp;", *")</f>
        <v>0</v>
      </c>
      <c r="L59" s="2">
        <f>COUNTIFS(集計用!$G57,"*, "&amp;L$3&amp;", *")</f>
        <v>0</v>
      </c>
      <c r="M59" s="2">
        <f>COUNTIFS(集計用!$G57,"*, "&amp;M$3&amp;", *")</f>
        <v>0</v>
      </c>
      <c r="N59" s="2">
        <f>COUNTIFS(集計用!$G57,"*, "&amp;N$3&amp;", *")</f>
        <v>0</v>
      </c>
      <c r="O59" s="2">
        <f>COUNTIFS(集計用!$G57,"*, "&amp;O$3&amp;", *")</f>
        <v>0</v>
      </c>
      <c r="P59" s="2">
        <f>COUNTIFS(集計用!$G57,"*, "&amp;P$3&amp;", *")</f>
        <v>0</v>
      </c>
      <c r="Q59" s="2">
        <f>COUNTIFS(集計用!$G57,"*, "&amp;Q$3&amp;", *")</f>
        <v>0</v>
      </c>
      <c r="R59" s="2">
        <f>COUNTIFS(集計用!$G57,"*, "&amp;R$3&amp;", *")</f>
        <v>0</v>
      </c>
      <c r="S59" s="2">
        <f>COUNTIFS(集計用!$G57,"*, "&amp;S$3&amp;", *")</f>
        <v>0</v>
      </c>
      <c r="T59" s="2">
        <f>COUNTIFS(集計用!$G57,"*, "&amp;T$3&amp;", *")</f>
        <v>0</v>
      </c>
      <c r="U59" s="2">
        <f>COUNTIFS(集計用!$G57,"*, "&amp;U$3&amp;", *")</f>
        <v>0</v>
      </c>
      <c r="V59" s="2">
        <f>COUNTIFS(集計用!$G57,"*, "&amp;V$3&amp;", *")</f>
        <v>0</v>
      </c>
      <c r="W59" s="2">
        <f>COUNTIFS(集計用!$G57,"*, "&amp;W$3&amp;", *")</f>
        <v>0</v>
      </c>
      <c r="X59" s="2">
        <f>COUNTIFS(集計用!$G57,"*, "&amp;X$3&amp;", *")</f>
        <v>0</v>
      </c>
      <c r="Y59" s="2">
        <f>COUNTIFS(集計用!$G57,"*, "&amp;Y$3&amp;", *")</f>
        <v>0</v>
      </c>
      <c r="Z59" s="2">
        <f>COUNTIFS(集計用!$G57,"*, "&amp;Z$3&amp;", *")</f>
        <v>0</v>
      </c>
      <c r="AA59" s="2">
        <f>COUNTIFS(集計用!$G57,"*, "&amp;AA$3&amp;", *")</f>
        <v>0</v>
      </c>
      <c r="AB59" s="2">
        <f>COUNTIFS(集計用!$G57,"*, "&amp;AB$3&amp;", *")</f>
        <v>0</v>
      </c>
      <c r="AC59" s="2">
        <f>COUNTIFS(集計用!$G57,"*, "&amp;AC$3&amp;", *")</f>
        <v>0</v>
      </c>
      <c r="AD59" s="2">
        <f>COUNTIFS(集計用!$G57,"*, "&amp;AD$3&amp;", *")</f>
        <v>0</v>
      </c>
      <c r="AE59" s="2">
        <f>COUNTIFS(集計用!$G57,"*, "&amp;AE$3&amp;", *")</f>
        <v>0</v>
      </c>
      <c r="AF59" s="2">
        <f>COUNTIFS(集計用!$G57,"*, "&amp;AF$3&amp;", *")</f>
        <v>0</v>
      </c>
      <c r="AG59" s="2">
        <f>COUNTIFS(集計用!$G57,"*, "&amp;AG$3&amp;", *")</f>
        <v>0</v>
      </c>
      <c r="AH59" s="2">
        <f>COUNTIFS(集計用!$G57,"*, "&amp;AH$3&amp;", *")</f>
        <v>0</v>
      </c>
      <c r="AI59" s="2">
        <f>COUNTIFS(集計用!$G57,"*, "&amp;AI$3&amp;", *")</f>
        <v>0</v>
      </c>
      <c r="AJ59" s="2">
        <f>COUNTIFS(集計用!$G57,"*, "&amp;AJ$3&amp;", *")</f>
        <v>0</v>
      </c>
      <c r="AK59" s="2">
        <f>COUNTIFS(集計用!$G57,"*, "&amp;AK$3&amp;", *")</f>
        <v>0</v>
      </c>
      <c r="AL59" s="2">
        <f>COUNTIFS(集計用!$G57,"*, "&amp;AL$3&amp;", *")</f>
        <v>0</v>
      </c>
      <c r="AM59" s="2">
        <f>COUNTIFS(集計用!$G57,"*, "&amp;AM$3&amp;", *")</f>
        <v>0</v>
      </c>
      <c r="AN59" s="2">
        <f>COUNTIFS(集計用!$G57,"*, "&amp;AN$3&amp;", *")</f>
        <v>0</v>
      </c>
      <c r="AO59" s="2">
        <f>COUNTIFS(集計用!$G57,"*, "&amp;AO$3&amp;", *")</f>
        <v>0</v>
      </c>
      <c r="AP59" s="2">
        <f>COUNTIFS(集計用!$G57,"*, "&amp;AP$3&amp;", *")</f>
        <v>0</v>
      </c>
      <c r="AQ59" s="2">
        <f>COUNTIFS(集計用!$G57,"*, "&amp;AQ$3&amp;", *")</f>
        <v>0</v>
      </c>
      <c r="AR59" s="2">
        <f>COUNTIFS(集計用!$G57,"*, "&amp;AR$3&amp;", *")</f>
        <v>0</v>
      </c>
      <c r="AS59" s="2">
        <f>COUNTIFS(集計用!$G57,"*, "&amp;AS$3&amp;", *")</f>
        <v>0</v>
      </c>
      <c r="AT59" s="2">
        <f>COUNTIFS(集計用!$G57,"*, "&amp;AT$3&amp;", *")</f>
        <v>0</v>
      </c>
      <c r="AU59" s="2">
        <f>COUNTIFS(集計用!$G57,"*, "&amp;AU$3&amp;", *")</f>
        <v>0</v>
      </c>
      <c r="AV59" s="2">
        <f>COUNTIFS(集計用!$G57,"*, "&amp;AV$3&amp;", *")</f>
        <v>0</v>
      </c>
      <c r="AW59" s="2">
        <f>COUNTIFS(集計用!$G57,"*, "&amp;AW$3&amp;", *")</f>
        <v>0</v>
      </c>
      <c r="AX59" s="2">
        <f>COUNTIFS(集計用!$G57,"*, "&amp;AX$3&amp;", *")</f>
        <v>0</v>
      </c>
      <c r="AY59" s="2">
        <f>COUNTIFS(集計用!$G57,"*, "&amp;AY$3&amp;", *")</f>
        <v>1</v>
      </c>
      <c r="AZ59" s="2">
        <f>COUNTIFS(集計用!$G57,"*, "&amp;AZ$3&amp;", *")</f>
        <v>0</v>
      </c>
      <c r="BA59" s="2">
        <f>COUNTIFS(集計用!$G57,"*, "&amp;BA$3&amp;", *")</f>
        <v>0</v>
      </c>
      <c r="BB59" s="2">
        <f>COUNTIFS(集計用!$G57,"*, "&amp;BB$3&amp;", *")</f>
        <v>0</v>
      </c>
      <c r="BC59" s="2">
        <f>COUNTIFS(集計用!$G57,"*, "&amp;BC$3&amp;", *")</f>
        <v>0</v>
      </c>
      <c r="BD59" s="2">
        <f>COUNTIFS(集計用!$G57,"*, "&amp;BD$3&amp;", *")</f>
        <v>0</v>
      </c>
      <c r="BE59" s="2">
        <f>COUNTIFS(集計用!$G57,"*, "&amp;BE$3&amp;", *")</f>
        <v>0</v>
      </c>
      <c r="BF59" s="2">
        <f>COUNTIFS(集計用!$G57,"*, "&amp;BF$3&amp;", *")</f>
        <v>0</v>
      </c>
      <c r="BG59" s="2">
        <f>COUNTIFS(集計用!$G57,"*, "&amp;BG$3&amp;", *")</f>
        <v>0</v>
      </c>
      <c r="BH59" s="2">
        <f>COUNTIFS(集計用!$G57,"*, "&amp;BH$3&amp;", *")</f>
        <v>0</v>
      </c>
      <c r="BI59" s="2">
        <f>COUNTIFS(集計用!$G57,"*, "&amp;BI$3&amp;", *")</f>
        <v>0</v>
      </c>
      <c r="BJ59" s="2">
        <f>LEN(集計用!H57)-LEN(SUBSTITUTE(集計用!H57,",",""))</f>
        <v>0</v>
      </c>
    </row>
    <row r="60" spans="1:62" ht="12.75">
      <c r="A60" s="8">
        <v>57</v>
      </c>
      <c r="C60" s="2">
        <f t="shared" si="2"/>
        <v>2</v>
      </c>
      <c r="D60" s="9"/>
      <c r="E60" s="2">
        <f>COUNTIFS(集計用!$G58,"*, "&amp;E$3&amp;", *")</f>
        <v>0</v>
      </c>
      <c r="F60" s="2">
        <f>COUNTIFS(集計用!$G58,"*, "&amp;F$3&amp;", *")</f>
        <v>0</v>
      </c>
      <c r="G60" s="2">
        <f>COUNTIFS(集計用!$G58,"*, "&amp;G$3&amp;", *")</f>
        <v>0</v>
      </c>
      <c r="H60" s="2">
        <f>COUNTIFS(集計用!$G58,"*, "&amp;H$3&amp;", *")</f>
        <v>0</v>
      </c>
      <c r="I60" s="2">
        <f>COUNTIFS(集計用!$G58,"*, "&amp;I$3&amp;", *")</f>
        <v>0</v>
      </c>
      <c r="J60" s="2">
        <f>COUNTIFS(集計用!$G58,"*, "&amp;J$3&amp;", *")</f>
        <v>0</v>
      </c>
      <c r="K60" s="2">
        <f>COUNTIFS(集計用!$G58,"*, "&amp;K$3&amp;", *")</f>
        <v>0</v>
      </c>
      <c r="L60" s="2">
        <f>COUNTIFS(集計用!$G58,"*, "&amp;L$3&amp;", *")</f>
        <v>0</v>
      </c>
      <c r="M60" s="2">
        <f>COUNTIFS(集計用!$G58,"*, "&amp;M$3&amp;", *")</f>
        <v>1</v>
      </c>
      <c r="N60" s="2">
        <f>COUNTIFS(集計用!$G58,"*, "&amp;N$3&amp;", *")</f>
        <v>0</v>
      </c>
      <c r="O60" s="2">
        <f>COUNTIFS(集計用!$G58,"*, "&amp;O$3&amp;", *")</f>
        <v>0</v>
      </c>
      <c r="P60" s="2">
        <f>COUNTIFS(集計用!$G58,"*, "&amp;P$3&amp;", *")</f>
        <v>0</v>
      </c>
      <c r="Q60" s="2">
        <f>COUNTIFS(集計用!$G58,"*, "&amp;Q$3&amp;", *")</f>
        <v>0</v>
      </c>
      <c r="R60" s="2">
        <f>COUNTIFS(集計用!$G58,"*, "&amp;R$3&amp;", *")</f>
        <v>1</v>
      </c>
      <c r="S60" s="2">
        <f>COUNTIFS(集計用!$G58,"*, "&amp;S$3&amp;", *")</f>
        <v>0</v>
      </c>
      <c r="T60" s="2">
        <f>COUNTIFS(集計用!$G58,"*, "&amp;T$3&amp;", *")</f>
        <v>0</v>
      </c>
      <c r="U60" s="2">
        <f>COUNTIFS(集計用!$G58,"*, "&amp;U$3&amp;", *")</f>
        <v>0</v>
      </c>
      <c r="V60" s="2">
        <f>COUNTIFS(集計用!$G58,"*, "&amp;V$3&amp;", *")</f>
        <v>0</v>
      </c>
      <c r="W60" s="2">
        <f>COUNTIFS(集計用!$G58,"*, "&amp;W$3&amp;", *")</f>
        <v>0</v>
      </c>
      <c r="X60" s="2">
        <f>COUNTIFS(集計用!$G58,"*, "&amp;X$3&amp;", *")</f>
        <v>0</v>
      </c>
      <c r="Y60" s="2">
        <f>COUNTIFS(集計用!$G58,"*, "&amp;Y$3&amp;", *")</f>
        <v>0</v>
      </c>
      <c r="Z60" s="2">
        <f>COUNTIFS(集計用!$G58,"*, "&amp;Z$3&amp;", *")</f>
        <v>0</v>
      </c>
      <c r="AA60" s="2">
        <f>COUNTIFS(集計用!$G58,"*, "&amp;AA$3&amp;", *")</f>
        <v>0</v>
      </c>
      <c r="AB60" s="2">
        <f>COUNTIFS(集計用!$G58,"*, "&amp;AB$3&amp;", *")</f>
        <v>0</v>
      </c>
      <c r="AC60" s="2">
        <f>COUNTIFS(集計用!$G58,"*, "&amp;AC$3&amp;", *")</f>
        <v>0</v>
      </c>
      <c r="AD60" s="2">
        <f>COUNTIFS(集計用!$G58,"*, "&amp;AD$3&amp;", *")</f>
        <v>0</v>
      </c>
      <c r="AE60" s="2">
        <f>COUNTIFS(集計用!$G58,"*, "&amp;AE$3&amp;", *")</f>
        <v>0</v>
      </c>
      <c r="AF60" s="2">
        <f>COUNTIFS(集計用!$G58,"*, "&amp;AF$3&amp;", *")</f>
        <v>0</v>
      </c>
      <c r="AG60" s="2">
        <f>COUNTIFS(集計用!$G58,"*, "&amp;AG$3&amp;", *")</f>
        <v>0</v>
      </c>
      <c r="AH60" s="2">
        <f>COUNTIFS(集計用!$G58,"*, "&amp;AH$3&amp;", *")</f>
        <v>0</v>
      </c>
      <c r="AI60" s="2">
        <f>COUNTIFS(集計用!$G58,"*, "&amp;AI$3&amp;", *")</f>
        <v>0</v>
      </c>
      <c r="AJ60" s="2">
        <f>COUNTIFS(集計用!$G58,"*, "&amp;AJ$3&amp;", *")</f>
        <v>0</v>
      </c>
      <c r="AK60" s="2">
        <f>COUNTIFS(集計用!$G58,"*, "&amp;AK$3&amp;", *")</f>
        <v>0</v>
      </c>
      <c r="AL60" s="2">
        <f>COUNTIFS(集計用!$G58,"*, "&amp;AL$3&amp;", *")</f>
        <v>0</v>
      </c>
      <c r="AM60" s="2">
        <f>COUNTIFS(集計用!$G58,"*, "&amp;AM$3&amp;", *")</f>
        <v>0</v>
      </c>
      <c r="AN60" s="2">
        <f>COUNTIFS(集計用!$G58,"*, "&amp;AN$3&amp;", *")</f>
        <v>0</v>
      </c>
      <c r="AO60" s="2">
        <f>COUNTIFS(集計用!$G58,"*, "&amp;AO$3&amp;", *")</f>
        <v>0</v>
      </c>
      <c r="AP60" s="2">
        <f>COUNTIFS(集計用!$G58,"*, "&amp;AP$3&amp;", *")</f>
        <v>0</v>
      </c>
      <c r="AQ60" s="2">
        <f>COUNTIFS(集計用!$G58,"*, "&amp;AQ$3&amp;", *")</f>
        <v>0</v>
      </c>
      <c r="AR60" s="2">
        <f>COUNTIFS(集計用!$G58,"*, "&amp;AR$3&amp;", *")</f>
        <v>0</v>
      </c>
      <c r="AS60" s="2">
        <f>COUNTIFS(集計用!$G58,"*, "&amp;AS$3&amp;", *")</f>
        <v>0</v>
      </c>
      <c r="AT60" s="2">
        <f>COUNTIFS(集計用!$G58,"*, "&amp;AT$3&amp;", *")</f>
        <v>0</v>
      </c>
      <c r="AU60" s="2">
        <f>COUNTIFS(集計用!$G58,"*, "&amp;AU$3&amp;", *")</f>
        <v>0</v>
      </c>
      <c r="AV60" s="2">
        <f>COUNTIFS(集計用!$G58,"*, "&amp;AV$3&amp;", *")</f>
        <v>0</v>
      </c>
      <c r="AW60" s="2">
        <f>COUNTIFS(集計用!$G58,"*, "&amp;AW$3&amp;", *")</f>
        <v>0</v>
      </c>
      <c r="AX60" s="2">
        <f>COUNTIFS(集計用!$G58,"*, "&amp;AX$3&amp;", *")</f>
        <v>0</v>
      </c>
      <c r="AY60" s="2">
        <f>COUNTIFS(集計用!$G58,"*, "&amp;AY$3&amp;", *")</f>
        <v>0</v>
      </c>
      <c r="AZ60" s="2">
        <f>COUNTIFS(集計用!$G58,"*, "&amp;AZ$3&amp;", *")</f>
        <v>0</v>
      </c>
      <c r="BA60" s="2">
        <f>COUNTIFS(集計用!$G58,"*, "&amp;BA$3&amp;", *")</f>
        <v>0</v>
      </c>
      <c r="BB60" s="2">
        <f>COUNTIFS(集計用!$G58,"*, "&amp;BB$3&amp;", *")</f>
        <v>0</v>
      </c>
      <c r="BC60" s="2">
        <f>COUNTIFS(集計用!$G58,"*, "&amp;BC$3&amp;", *")</f>
        <v>0</v>
      </c>
      <c r="BD60" s="2">
        <f>COUNTIFS(集計用!$G58,"*, "&amp;BD$3&amp;", *")</f>
        <v>0</v>
      </c>
      <c r="BE60" s="2">
        <f>COUNTIFS(集計用!$G58,"*, "&amp;BE$3&amp;", *")</f>
        <v>0</v>
      </c>
      <c r="BF60" s="2">
        <f>COUNTIFS(集計用!$G58,"*, "&amp;BF$3&amp;", *")</f>
        <v>0</v>
      </c>
      <c r="BG60" s="2">
        <f>COUNTIFS(集計用!$G58,"*, "&amp;BG$3&amp;", *")</f>
        <v>0</v>
      </c>
      <c r="BH60" s="2">
        <f>COUNTIFS(集計用!$G58,"*, "&amp;BH$3&amp;", *")</f>
        <v>0</v>
      </c>
      <c r="BI60" s="2">
        <f>COUNTIFS(集計用!$G58,"*, "&amp;BI$3&amp;", *")</f>
        <v>0</v>
      </c>
      <c r="BJ60" s="2">
        <f>LEN(集計用!H58)-LEN(SUBSTITUTE(集計用!H58,",",""))</f>
        <v>0</v>
      </c>
    </row>
    <row r="61" spans="1:62" ht="12.75">
      <c r="A61" s="8">
        <v>58</v>
      </c>
      <c r="C61" s="2">
        <f t="shared" si="2"/>
        <v>4</v>
      </c>
      <c r="D61" s="9"/>
      <c r="E61" s="2">
        <f>COUNTIFS(集計用!$G59,"*, "&amp;E$3&amp;", *")</f>
        <v>1</v>
      </c>
      <c r="F61" s="2">
        <f>COUNTIFS(集計用!$G59,"*, "&amp;F$3&amp;", *")</f>
        <v>0</v>
      </c>
      <c r="G61" s="2">
        <f>COUNTIFS(集計用!$G59,"*, "&amp;G$3&amp;", *")</f>
        <v>0</v>
      </c>
      <c r="H61" s="2">
        <f>COUNTIFS(集計用!$G59,"*, "&amp;H$3&amp;", *")</f>
        <v>0</v>
      </c>
      <c r="I61" s="2">
        <f>COUNTIFS(集計用!$G59,"*, "&amp;I$3&amp;", *")</f>
        <v>1</v>
      </c>
      <c r="J61" s="2">
        <f>COUNTIFS(集計用!$G59,"*, "&amp;J$3&amp;", *")</f>
        <v>0</v>
      </c>
      <c r="K61" s="2">
        <f>COUNTIFS(集計用!$G59,"*, "&amp;K$3&amp;", *")</f>
        <v>0</v>
      </c>
      <c r="L61" s="2">
        <f>COUNTIFS(集計用!$G59,"*, "&amp;L$3&amp;", *")</f>
        <v>0</v>
      </c>
      <c r="M61" s="2">
        <f>COUNTIFS(集計用!$G59,"*, "&amp;M$3&amp;", *")</f>
        <v>1</v>
      </c>
      <c r="N61" s="2">
        <f>COUNTIFS(集計用!$G59,"*, "&amp;N$3&amp;", *")</f>
        <v>0</v>
      </c>
      <c r="O61" s="2">
        <f>COUNTIFS(集計用!$G59,"*, "&amp;O$3&amp;", *")</f>
        <v>0</v>
      </c>
      <c r="P61" s="2">
        <f>COUNTIFS(集計用!$G59,"*, "&amp;P$3&amp;", *")</f>
        <v>0</v>
      </c>
      <c r="Q61" s="2">
        <f>COUNTIFS(集計用!$G59,"*, "&amp;Q$3&amp;", *")</f>
        <v>0</v>
      </c>
      <c r="R61" s="2">
        <f>COUNTIFS(集計用!$G59,"*, "&amp;R$3&amp;", *")</f>
        <v>0</v>
      </c>
      <c r="S61" s="2">
        <f>COUNTIFS(集計用!$G59,"*, "&amp;S$3&amp;", *")</f>
        <v>0</v>
      </c>
      <c r="T61" s="2">
        <f>COUNTIFS(集計用!$G59,"*, "&amp;T$3&amp;", *")</f>
        <v>0</v>
      </c>
      <c r="U61" s="2">
        <f>COUNTIFS(集計用!$G59,"*, "&amp;U$3&amp;", *")</f>
        <v>0</v>
      </c>
      <c r="V61" s="2">
        <f>COUNTIFS(集計用!$G59,"*, "&amp;V$3&amp;", *")</f>
        <v>0</v>
      </c>
      <c r="W61" s="2">
        <f>COUNTIFS(集計用!$G59,"*, "&amp;W$3&amp;", *")</f>
        <v>0</v>
      </c>
      <c r="X61" s="2">
        <f>COUNTIFS(集計用!$G59,"*, "&amp;X$3&amp;", *")</f>
        <v>0</v>
      </c>
      <c r="Y61" s="2">
        <f>COUNTIFS(集計用!$G59,"*, "&amp;Y$3&amp;", *")</f>
        <v>0</v>
      </c>
      <c r="Z61" s="2">
        <f>COUNTIFS(集計用!$G59,"*, "&amp;Z$3&amp;", *")</f>
        <v>0</v>
      </c>
      <c r="AA61" s="2">
        <f>COUNTIFS(集計用!$G59,"*, "&amp;AA$3&amp;", *")</f>
        <v>0</v>
      </c>
      <c r="AB61" s="2">
        <f>COUNTIFS(集計用!$G59,"*, "&amp;AB$3&amp;", *")</f>
        <v>0</v>
      </c>
      <c r="AC61" s="2">
        <f>COUNTIFS(集計用!$G59,"*, "&amp;AC$3&amp;", *")</f>
        <v>0</v>
      </c>
      <c r="AD61" s="2">
        <f>COUNTIFS(集計用!$G59,"*, "&amp;AD$3&amp;", *")</f>
        <v>0</v>
      </c>
      <c r="AE61" s="2">
        <f>COUNTIFS(集計用!$G59,"*, "&amp;AE$3&amp;", *")</f>
        <v>0</v>
      </c>
      <c r="AF61" s="2">
        <f>COUNTIFS(集計用!$G59,"*, "&amp;AF$3&amp;", *")</f>
        <v>0</v>
      </c>
      <c r="AG61" s="2">
        <f>COUNTIFS(集計用!$G59,"*, "&amp;AG$3&amp;", *")</f>
        <v>0</v>
      </c>
      <c r="AH61" s="2">
        <f>COUNTIFS(集計用!$G59,"*, "&amp;AH$3&amp;", *")</f>
        <v>0</v>
      </c>
      <c r="AI61" s="2">
        <f>COUNTIFS(集計用!$G59,"*, "&amp;AI$3&amp;", *")</f>
        <v>0</v>
      </c>
      <c r="AJ61" s="2">
        <f>COUNTIFS(集計用!$G59,"*, "&amp;AJ$3&amp;", *")</f>
        <v>0</v>
      </c>
      <c r="AK61" s="2">
        <f>COUNTIFS(集計用!$G59,"*, "&amp;AK$3&amp;", *")</f>
        <v>0</v>
      </c>
      <c r="AL61" s="2">
        <f>COUNTIFS(集計用!$G59,"*, "&amp;AL$3&amp;", *")</f>
        <v>0</v>
      </c>
      <c r="AM61" s="2">
        <f>COUNTIFS(集計用!$G59,"*, "&amp;AM$3&amp;", *")</f>
        <v>0</v>
      </c>
      <c r="AN61" s="2">
        <f>COUNTIFS(集計用!$G59,"*, "&amp;AN$3&amp;", *")</f>
        <v>0</v>
      </c>
      <c r="AO61" s="2">
        <f>COUNTIFS(集計用!$G59,"*, "&amp;AO$3&amp;", *")</f>
        <v>0</v>
      </c>
      <c r="AP61" s="2">
        <f>COUNTIFS(集計用!$G59,"*, "&amp;AP$3&amp;", *")</f>
        <v>0</v>
      </c>
      <c r="AQ61" s="2">
        <f>COUNTIFS(集計用!$G59,"*, "&amp;AQ$3&amp;", *")</f>
        <v>0</v>
      </c>
      <c r="AR61" s="2">
        <f>COUNTIFS(集計用!$G59,"*, "&amp;AR$3&amp;", *")</f>
        <v>0</v>
      </c>
      <c r="AS61" s="2">
        <f>COUNTIFS(集計用!$G59,"*, "&amp;AS$3&amp;", *")</f>
        <v>0</v>
      </c>
      <c r="AT61" s="2">
        <f>COUNTIFS(集計用!$G59,"*, "&amp;AT$3&amp;", *")</f>
        <v>0</v>
      </c>
      <c r="AU61" s="2">
        <f>COUNTIFS(集計用!$G59,"*, "&amp;AU$3&amp;", *")</f>
        <v>0</v>
      </c>
      <c r="AV61" s="2">
        <f>COUNTIFS(集計用!$G59,"*, "&amp;AV$3&amp;", *")</f>
        <v>0</v>
      </c>
      <c r="AW61" s="2">
        <f>COUNTIFS(集計用!$G59,"*, "&amp;AW$3&amp;", *")</f>
        <v>0</v>
      </c>
      <c r="AX61" s="2">
        <f>COUNTIFS(集計用!$G59,"*, "&amp;AX$3&amp;", *")</f>
        <v>0</v>
      </c>
      <c r="AY61" s="2">
        <f>COUNTIFS(集計用!$G59,"*, "&amp;AY$3&amp;", *")</f>
        <v>0</v>
      </c>
      <c r="AZ61" s="2">
        <f>COUNTIFS(集計用!$G59,"*, "&amp;AZ$3&amp;", *")</f>
        <v>0</v>
      </c>
      <c r="BA61" s="2">
        <f>COUNTIFS(集計用!$G59,"*, "&amp;BA$3&amp;", *")</f>
        <v>0</v>
      </c>
      <c r="BB61" s="2">
        <f>COUNTIFS(集計用!$G59,"*, "&amp;BB$3&amp;", *")</f>
        <v>0</v>
      </c>
      <c r="BC61" s="2">
        <f>COUNTIFS(集計用!$G59,"*, "&amp;BC$3&amp;", *")</f>
        <v>0</v>
      </c>
      <c r="BD61" s="2">
        <f>COUNTIFS(集計用!$G59,"*, "&amp;BD$3&amp;", *")</f>
        <v>0</v>
      </c>
      <c r="BE61" s="2">
        <f>COUNTIFS(集計用!$G59,"*, "&amp;BE$3&amp;", *")</f>
        <v>1</v>
      </c>
      <c r="BF61" s="2">
        <f>COUNTIFS(集計用!$G59,"*, "&amp;BF$3&amp;", *")</f>
        <v>0</v>
      </c>
      <c r="BG61" s="2">
        <f>COUNTIFS(集計用!$G59,"*, "&amp;BG$3&amp;", *")</f>
        <v>0</v>
      </c>
      <c r="BH61" s="2">
        <f>COUNTIFS(集計用!$G59,"*, "&amp;BH$3&amp;", *")</f>
        <v>0</v>
      </c>
      <c r="BI61" s="2">
        <f>COUNTIFS(集計用!$G59,"*, "&amp;BI$3&amp;", *")</f>
        <v>0</v>
      </c>
      <c r="BJ61" s="2">
        <f>LEN(集計用!H59)-LEN(SUBSTITUTE(集計用!H59,",",""))</f>
        <v>0</v>
      </c>
    </row>
    <row r="62" spans="1:62" ht="12.75">
      <c r="A62" s="8">
        <v>59</v>
      </c>
      <c r="C62" s="2">
        <f t="shared" si="2"/>
        <v>1</v>
      </c>
      <c r="D62" s="9"/>
      <c r="E62" s="2">
        <f>COUNTIFS(集計用!$G60,"*, "&amp;E$3&amp;", *")</f>
        <v>0</v>
      </c>
      <c r="F62" s="2">
        <f>COUNTIFS(集計用!$G60,"*, "&amp;F$3&amp;", *")</f>
        <v>0</v>
      </c>
      <c r="G62" s="2">
        <f>COUNTIFS(集計用!$G60,"*, "&amp;G$3&amp;", *")</f>
        <v>0</v>
      </c>
      <c r="H62" s="2">
        <f>COUNTIFS(集計用!$G60,"*, "&amp;H$3&amp;", *")</f>
        <v>0</v>
      </c>
      <c r="I62" s="2">
        <f>COUNTIFS(集計用!$G60,"*, "&amp;I$3&amp;", *")</f>
        <v>0</v>
      </c>
      <c r="J62" s="2">
        <f>COUNTIFS(集計用!$G60,"*, "&amp;J$3&amp;", *")</f>
        <v>0</v>
      </c>
      <c r="K62" s="2">
        <f>COUNTIFS(集計用!$G60,"*, "&amp;K$3&amp;", *")</f>
        <v>0</v>
      </c>
      <c r="L62" s="2">
        <f>COUNTIFS(集計用!$G60,"*, "&amp;L$3&amp;", *")</f>
        <v>0</v>
      </c>
      <c r="M62" s="2">
        <f>COUNTIFS(集計用!$G60,"*, "&amp;M$3&amp;", *")</f>
        <v>0</v>
      </c>
      <c r="N62" s="2">
        <f>COUNTIFS(集計用!$G60,"*, "&amp;N$3&amp;", *")</f>
        <v>0</v>
      </c>
      <c r="O62" s="2">
        <f>COUNTIFS(集計用!$G60,"*, "&amp;O$3&amp;", *")</f>
        <v>0</v>
      </c>
      <c r="P62" s="2">
        <f>COUNTIFS(集計用!$G60,"*, "&amp;P$3&amp;", *")</f>
        <v>0</v>
      </c>
      <c r="Q62" s="2">
        <f>COUNTIFS(集計用!$G60,"*, "&amp;Q$3&amp;", *")</f>
        <v>1</v>
      </c>
      <c r="R62" s="2">
        <f>COUNTIFS(集計用!$G60,"*, "&amp;R$3&amp;", *")</f>
        <v>0</v>
      </c>
      <c r="S62" s="2">
        <f>COUNTIFS(集計用!$G60,"*, "&amp;S$3&amp;", *")</f>
        <v>0</v>
      </c>
      <c r="T62" s="2">
        <f>COUNTIFS(集計用!$G60,"*, "&amp;T$3&amp;", *")</f>
        <v>0</v>
      </c>
      <c r="U62" s="2">
        <f>COUNTIFS(集計用!$G60,"*, "&amp;U$3&amp;", *")</f>
        <v>0</v>
      </c>
      <c r="V62" s="2">
        <f>COUNTIFS(集計用!$G60,"*, "&amp;V$3&amp;", *")</f>
        <v>0</v>
      </c>
      <c r="W62" s="2">
        <f>COUNTIFS(集計用!$G60,"*, "&amp;W$3&amp;", *")</f>
        <v>0</v>
      </c>
      <c r="X62" s="2">
        <f>COUNTIFS(集計用!$G60,"*, "&amp;X$3&amp;", *")</f>
        <v>0</v>
      </c>
      <c r="Y62" s="2">
        <f>COUNTIFS(集計用!$G60,"*, "&amp;Y$3&amp;", *")</f>
        <v>0</v>
      </c>
      <c r="Z62" s="2">
        <f>COUNTIFS(集計用!$G60,"*, "&amp;Z$3&amp;", *")</f>
        <v>0</v>
      </c>
      <c r="AA62" s="2">
        <f>COUNTIFS(集計用!$G60,"*, "&amp;AA$3&amp;", *")</f>
        <v>0</v>
      </c>
      <c r="AB62" s="2">
        <f>COUNTIFS(集計用!$G60,"*, "&amp;AB$3&amp;", *")</f>
        <v>0</v>
      </c>
      <c r="AC62" s="2">
        <f>COUNTIFS(集計用!$G60,"*, "&amp;AC$3&amp;", *")</f>
        <v>0</v>
      </c>
      <c r="AD62" s="2">
        <f>COUNTIFS(集計用!$G60,"*, "&amp;AD$3&amp;", *")</f>
        <v>0</v>
      </c>
      <c r="AE62" s="2">
        <f>COUNTIFS(集計用!$G60,"*, "&amp;AE$3&amp;", *")</f>
        <v>0</v>
      </c>
      <c r="AF62" s="2">
        <f>COUNTIFS(集計用!$G60,"*, "&amp;AF$3&amp;", *")</f>
        <v>0</v>
      </c>
      <c r="AG62" s="2">
        <f>COUNTIFS(集計用!$G60,"*, "&amp;AG$3&amp;", *")</f>
        <v>0</v>
      </c>
      <c r="AH62" s="2">
        <f>COUNTIFS(集計用!$G60,"*, "&amp;AH$3&amp;", *")</f>
        <v>0</v>
      </c>
      <c r="AI62" s="2">
        <f>COUNTIFS(集計用!$G60,"*, "&amp;AI$3&amp;", *")</f>
        <v>0</v>
      </c>
      <c r="AJ62" s="2">
        <f>COUNTIFS(集計用!$G60,"*, "&amp;AJ$3&amp;", *")</f>
        <v>0</v>
      </c>
      <c r="AK62" s="2">
        <f>COUNTIFS(集計用!$G60,"*, "&amp;AK$3&amp;", *")</f>
        <v>0</v>
      </c>
      <c r="AL62" s="2">
        <f>COUNTIFS(集計用!$G60,"*, "&amp;AL$3&amp;", *")</f>
        <v>0</v>
      </c>
      <c r="AM62" s="2">
        <f>COUNTIFS(集計用!$G60,"*, "&amp;AM$3&amp;", *")</f>
        <v>0</v>
      </c>
      <c r="AN62" s="2">
        <f>COUNTIFS(集計用!$G60,"*, "&amp;AN$3&amp;", *")</f>
        <v>0</v>
      </c>
      <c r="AO62" s="2">
        <f>COUNTIFS(集計用!$G60,"*, "&amp;AO$3&amp;", *")</f>
        <v>0</v>
      </c>
      <c r="AP62" s="2">
        <f>COUNTIFS(集計用!$G60,"*, "&amp;AP$3&amp;", *")</f>
        <v>0</v>
      </c>
      <c r="AQ62" s="2">
        <f>COUNTIFS(集計用!$G60,"*, "&amp;AQ$3&amp;", *")</f>
        <v>0</v>
      </c>
      <c r="AR62" s="2">
        <f>COUNTIFS(集計用!$G60,"*, "&amp;AR$3&amp;", *")</f>
        <v>0</v>
      </c>
      <c r="AS62" s="2">
        <f>COUNTIFS(集計用!$G60,"*, "&amp;AS$3&amp;", *")</f>
        <v>0</v>
      </c>
      <c r="AT62" s="2">
        <f>COUNTIFS(集計用!$G60,"*, "&amp;AT$3&amp;", *")</f>
        <v>0</v>
      </c>
      <c r="AU62" s="2">
        <f>COUNTIFS(集計用!$G60,"*, "&amp;AU$3&amp;", *")</f>
        <v>0</v>
      </c>
      <c r="AV62" s="2">
        <f>COUNTIFS(集計用!$G60,"*, "&amp;AV$3&amp;", *")</f>
        <v>0</v>
      </c>
      <c r="AW62" s="2">
        <f>COUNTIFS(集計用!$G60,"*, "&amp;AW$3&amp;", *")</f>
        <v>0</v>
      </c>
      <c r="AX62" s="2">
        <f>COUNTIFS(集計用!$G60,"*, "&amp;AX$3&amp;", *")</f>
        <v>0</v>
      </c>
      <c r="AY62" s="2">
        <f>COUNTIFS(集計用!$G60,"*, "&amp;AY$3&amp;", *")</f>
        <v>0</v>
      </c>
      <c r="AZ62" s="2">
        <f>COUNTIFS(集計用!$G60,"*, "&amp;AZ$3&amp;", *")</f>
        <v>0</v>
      </c>
      <c r="BA62" s="2">
        <f>COUNTIFS(集計用!$G60,"*, "&amp;BA$3&amp;", *")</f>
        <v>0</v>
      </c>
      <c r="BB62" s="2">
        <f>COUNTIFS(集計用!$G60,"*, "&amp;BB$3&amp;", *")</f>
        <v>0</v>
      </c>
      <c r="BC62" s="2">
        <f>COUNTIFS(集計用!$G60,"*, "&amp;BC$3&amp;", *")</f>
        <v>0</v>
      </c>
      <c r="BD62" s="2">
        <f>COUNTIFS(集計用!$G60,"*, "&amp;BD$3&amp;", *")</f>
        <v>0</v>
      </c>
      <c r="BE62" s="2">
        <f>COUNTIFS(集計用!$G60,"*, "&amp;BE$3&amp;", *")</f>
        <v>0</v>
      </c>
      <c r="BF62" s="2">
        <f>COUNTIFS(集計用!$G60,"*, "&amp;BF$3&amp;", *")</f>
        <v>0</v>
      </c>
      <c r="BG62" s="2">
        <f>COUNTIFS(集計用!$G60,"*, "&amp;BG$3&amp;", *")</f>
        <v>0</v>
      </c>
      <c r="BH62" s="2">
        <f>COUNTIFS(集計用!$G60,"*, "&amp;BH$3&amp;", *")</f>
        <v>0</v>
      </c>
      <c r="BI62" s="2">
        <f>COUNTIFS(集計用!$G60,"*, "&amp;BI$3&amp;", *")</f>
        <v>0</v>
      </c>
      <c r="BJ62" s="2">
        <f>LEN(集計用!H60)-LEN(SUBSTITUTE(集計用!H60,",",""))</f>
        <v>0</v>
      </c>
    </row>
    <row r="63" spans="1:62" ht="12.75">
      <c r="A63" s="8">
        <v>60</v>
      </c>
      <c r="C63" s="2">
        <f t="shared" si="2"/>
        <v>4</v>
      </c>
      <c r="D63" s="9"/>
      <c r="E63" s="2">
        <f>COUNTIFS(集計用!$G61,"*, "&amp;E$3&amp;", *")</f>
        <v>1</v>
      </c>
      <c r="F63" s="2">
        <f>COUNTIFS(集計用!$G61,"*, "&amp;F$3&amp;", *")</f>
        <v>0</v>
      </c>
      <c r="G63" s="2">
        <f>COUNTIFS(集計用!$G61,"*, "&amp;G$3&amp;", *")</f>
        <v>0</v>
      </c>
      <c r="H63" s="2">
        <f>COUNTIFS(集計用!$G61,"*, "&amp;H$3&amp;", *")</f>
        <v>0</v>
      </c>
      <c r="I63" s="2">
        <f>COUNTIFS(集計用!$G61,"*, "&amp;I$3&amp;", *")</f>
        <v>0</v>
      </c>
      <c r="J63" s="2">
        <f>COUNTIFS(集計用!$G61,"*, "&amp;J$3&amp;", *")</f>
        <v>0</v>
      </c>
      <c r="K63" s="2">
        <f>COUNTIFS(集計用!$G61,"*, "&amp;K$3&amp;", *")</f>
        <v>1</v>
      </c>
      <c r="L63" s="2">
        <f>COUNTIFS(集計用!$G61,"*, "&amp;L$3&amp;", *")</f>
        <v>1</v>
      </c>
      <c r="M63" s="2">
        <f>COUNTIFS(集計用!$G61,"*, "&amp;M$3&amp;", *")</f>
        <v>0</v>
      </c>
      <c r="N63" s="2">
        <f>COUNTIFS(集計用!$G61,"*, "&amp;N$3&amp;", *")</f>
        <v>0</v>
      </c>
      <c r="O63" s="2">
        <f>COUNTIFS(集計用!$G61,"*, "&amp;O$3&amp;", *")</f>
        <v>0</v>
      </c>
      <c r="P63" s="2">
        <f>COUNTIFS(集計用!$G61,"*, "&amp;P$3&amp;", *")</f>
        <v>0</v>
      </c>
      <c r="Q63" s="2">
        <f>COUNTIFS(集計用!$G61,"*, "&amp;Q$3&amp;", *")</f>
        <v>0</v>
      </c>
      <c r="R63" s="2">
        <f>COUNTIFS(集計用!$G61,"*, "&amp;R$3&amp;", *")</f>
        <v>0</v>
      </c>
      <c r="S63" s="2">
        <f>COUNTIFS(集計用!$G61,"*, "&amp;S$3&amp;", *")</f>
        <v>0</v>
      </c>
      <c r="T63" s="2">
        <f>COUNTIFS(集計用!$G61,"*, "&amp;T$3&amp;", *")</f>
        <v>0</v>
      </c>
      <c r="U63" s="2">
        <f>COUNTIFS(集計用!$G61,"*, "&amp;U$3&amp;", *")</f>
        <v>0</v>
      </c>
      <c r="V63" s="2">
        <f>COUNTIFS(集計用!$G61,"*, "&amp;V$3&amp;", *")</f>
        <v>0</v>
      </c>
      <c r="W63" s="2">
        <f>COUNTIFS(集計用!$G61,"*, "&amp;W$3&amp;", *")</f>
        <v>1</v>
      </c>
      <c r="X63" s="2">
        <f>COUNTIFS(集計用!$G61,"*, "&amp;X$3&amp;", *")</f>
        <v>0</v>
      </c>
      <c r="Y63" s="2">
        <f>COUNTIFS(集計用!$G61,"*, "&amp;Y$3&amp;", *")</f>
        <v>0</v>
      </c>
      <c r="Z63" s="2">
        <f>COUNTIFS(集計用!$G61,"*, "&amp;Z$3&amp;", *")</f>
        <v>0</v>
      </c>
      <c r="AA63" s="2">
        <f>COUNTIFS(集計用!$G61,"*, "&amp;AA$3&amp;", *")</f>
        <v>0</v>
      </c>
      <c r="AB63" s="2">
        <f>COUNTIFS(集計用!$G61,"*, "&amp;AB$3&amp;", *")</f>
        <v>0</v>
      </c>
      <c r="AC63" s="2">
        <f>COUNTIFS(集計用!$G61,"*, "&amp;AC$3&amp;", *")</f>
        <v>0</v>
      </c>
      <c r="AD63" s="2">
        <f>COUNTIFS(集計用!$G61,"*, "&amp;AD$3&amp;", *")</f>
        <v>0</v>
      </c>
      <c r="AE63" s="2">
        <f>COUNTIFS(集計用!$G61,"*, "&amp;AE$3&amp;", *")</f>
        <v>0</v>
      </c>
      <c r="AF63" s="2">
        <f>COUNTIFS(集計用!$G61,"*, "&amp;AF$3&amp;", *")</f>
        <v>0</v>
      </c>
      <c r="AG63" s="2">
        <f>COUNTIFS(集計用!$G61,"*, "&amp;AG$3&amp;", *")</f>
        <v>0</v>
      </c>
      <c r="AH63" s="2">
        <f>COUNTIFS(集計用!$G61,"*, "&amp;AH$3&amp;", *")</f>
        <v>0</v>
      </c>
      <c r="AI63" s="2">
        <f>COUNTIFS(集計用!$G61,"*, "&amp;AI$3&amp;", *")</f>
        <v>0</v>
      </c>
      <c r="AJ63" s="2">
        <f>COUNTIFS(集計用!$G61,"*, "&amp;AJ$3&amp;", *")</f>
        <v>0</v>
      </c>
      <c r="AK63" s="2">
        <f>COUNTIFS(集計用!$G61,"*, "&amp;AK$3&amp;", *")</f>
        <v>0</v>
      </c>
      <c r="AL63" s="2">
        <f>COUNTIFS(集計用!$G61,"*, "&amp;AL$3&amp;", *")</f>
        <v>0</v>
      </c>
      <c r="AM63" s="2">
        <f>COUNTIFS(集計用!$G61,"*, "&amp;AM$3&amp;", *")</f>
        <v>0</v>
      </c>
      <c r="AN63" s="2">
        <f>COUNTIFS(集計用!$G61,"*, "&amp;AN$3&amp;", *")</f>
        <v>0</v>
      </c>
      <c r="AO63" s="2">
        <f>COUNTIFS(集計用!$G61,"*, "&amp;AO$3&amp;", *")</f>
        <v>0</v>
      </c>
      <c r="AP63" s="2">
        <f>COUNTIFS(集計用!$G61,"*, "&amp;AP$3&amp;", *")</f>
        <v>0</v>
      </c>
      <c r="AQ63" s="2">
        <f>COUNTIFS(集計用!$G61,"*, "&amp;AQ$3&amp;", *")</f>
        <v>0</v>
      </c>
      <c r="AR63" s="2">
        <f>COUNTIFS(集計用!$G61,"*, "&amp;AR$3&amp;", *")</f>
        <v>0</v>
      </c>
      <c r="AS63" s="2">
        <f>COUNTIFS(集計用!$G61,"*, "&amp;AS$3&amp;", *")</f>
        <v>0</v>
      </c>
      <c r="AT63" s="2">
        <f>COUNTIFS(集計用!$G61,"*, "&amp;AT$3&amp;", *")</f>
        <v>0</v>
      </c>
      <c r="AU63" s="2">
        <f>COUNTIFS(集計用!$G61,"*, "&amp;AU$3&amp;", *")</f>
        <v>0</v>
      </c>
      <c r="AV63" s="2">
        <f>COUNTIFS(集計用!$G61,"*, "&amp;AV$3&amp;", *")</f>
        <v>0</v>
      </c>
      <c r="AW63" s="2">
        <f>COUNTIFS(集計用!$G61,"*, "&amp;AW$3&amp;", *")</f>
        <v>0</v>
      </c>
      <c r="AX63" s="2">
        <f>COUNTIFS(集計用!$G61,"*, "&amp;AX$3&amp;", *")</f>
        <v>0</v>
      </c>
      <c r="AY63" s="2">
        <f>COUNTIFS(集計用!$G61,"*, "&amp;AY$3&amp;", *")</f>
        <v>0</v>
      </c>
      <c r="AZ63" s="2">
        <f>COUNTIFS(集計用!$G61,"*, "&amp;AZ$3&amp;", *")</f>
        <v>0</v>
      </c>
      <c r="BA63" s="2">
        <f>COUNTIFS(集計用!$G61,"*, "&amp;BA$3&amp;", *")</f>
        <v>0</v>
      </c>
      <c r="BB63" s="2">
        <f>COUNTIFS(集計用!$G61,"*, "&amp;BB$3&amp;", *")</f>
        <v>0</v>
      </c>
      <c r="BC63" s="2">
        <f>COUNTIFS(集計用!$G61,"*, "&amp;BC$3&amp;", *")</f>
        <v>0</v>
      </c>
      <c r="BD63" s="2">
        <f>COUNTIFS(集計用!$G61,"*, "&amp;BD$3&amp;", *")</f>
        <v>0</v>
      </c>
      <c r="BE63" s="2">
        <f>COUNTIFS(集計用!$G61,"*, "&amp;BE$3&amp;", *")</f>
        <v>0</v>
      </c>
      <c r="BF63" s="2">
        <f>COUNTIFS(集計用!$G61,"*, "&amp;BF$3&amp;", *")</f>
        <v>0</v>
      </c>
      <c r="BG63" s="2">
        <f>COUNTIFS(集計用!$G61,"*, "&amp;BG$3&amp;", *")</f>
        <v>0</v>
      </c>
      <c r="BH63" s="2">
        <f>COUNTIFS(集計用!$G61,"*, "&amp;BH$3&amp;", *")</f>
        <v>0</v>
      </c>
      <c r="BI63" s="2">
        <f>COUNTIFS(集計用!$G61,"*, "&amp;BI$3&amp;", *")</f>
        <v>0</v>
      </c>
      <c r="BJ63" s="2">
        <f>LEN(集計用!H61)-LEN(SUBSTITUTE(集計用!H61,",",""))</f>
        <v>0</v>
      </c>
    </row>
    <row r="64" spans="1:62" ht="12.75">
      <c r="A64" s="8">
        <v>61</v>
      </c>
      <c r="C64" s="2">
        <f t="shared" si="2"/>
        <v>2</v>
      </c>
      <c r="D64" s="9"/>
      <c r="E64" s="2">
        <f>COUNTIFS(集計用!$G62,"*, "&amp;E$3&amp;", *")</f>
        <v>0</v>
      </c>
      <c r="F64" s="2">
        <f>COUNTIFS(集計用!$G62,"*, "&amp;F$3&amp;", *")</f>
        <v>0</v>
      </c>
      <c r="G64" s="2">
        <f>COUNTIFS(集計用!$G62,"*, "&amp;G$3&amp;", *")</f>
        <v>0</v>
      </c>
      <c r="H64" s="2">
        <f>COUNTIFS(集計用!$G62,"*, "&amp;H$3&amp;", *")</f>
        <v>0</v>
      </c>
      <c r="I64" s="2">
        <f>COUNTIFS(集計用!$G62,"*, "&amp;I$3&amp;", *")</f>
        <v>0</v>
      </c>
      <c r="J64" s="2">
        <f>COUNTIFS(集計用!$G62,"*, "&amp;J$3&amp;", *")</f>
        <v>0</v>
      </c>
      <c r="K64" s="2">
        <f>COUNTIFS(集計用!$G62,"*, "&amp;K$3&amp;", *")</f>
        <v>0</v>
      </c>
      <c r="L64" s="2">
        <f>COUNTIFS(集計用!$G62,"*, "&amp;L$3&amp;", *")</f>
        <v>0</v>
      </c>
      <c r="M64" s="2">
        <f>COUNTIFS(集計用!$G62,"*, "&amp;M$3&amp;", *")</f>
        <v>0</v>
      </c>
      <c r="N64" s="2">
        <f>COUNTIFS(集計用!$G62,"*, "&amp;N$3&amp;", *")</f>
        <v>0</v>
      </c>
      <c r="O64" s="2">
        <f>COUNTIFS(集計用!$G62,"*, "&amp;O$3&amp;", *")</f>
        <v>0</v>
      </c>
      <c r="P64" s="2">
        <f>COUNTIFS(集計用!$G62,"*, "&amp;P$3&amp;", *")</f>
        <v>0</v>
      </c>
      <c r="Q64" s="2">
        <f>COUNTIFS(集計用!$G62,"*, "&amp;Q$3&amp;", *")</f>
        <v>0</v>
      </c>
      <c r="R64" s="2">
        <f>COUNTIFS(集計用!$G62,"*, "&amp;R$3&amp;", *")</f>
        <v>0</v>
      </c>
      <c r="S64" s="2">
        <f>COUNTIFS(集計用!$G62,"*, "&amp;S$3&amp;", *")</f>
        <v>0</v>
      </c>
      <c r="T64" s="2">
        <f>COUNTIFS(集計用!$G62,"*, "&amp;T$3&amp;", *")</f>
        <v>0</v>
      </c>
      <c r="U64" s="2">
        <f>COUNTIFS(集計用!$G62,"*, "&amp;U$3&amp;", *")</f>
        <v>0</v>
      </c>
      <c r="V64" s="2">
        <f>COUNTIFS(集計用!$G62,"*, "&amp;V$3&amp;", *")</f>
        <v>1</v>
      </c>
      <c r="W64" s="2">
        <f>COUNTIFS(集計用!$G62,"*, "&amp;W$3&amp;", *")</f>
        <v>0</v>
      </c>
      <c r="X64" s="2">
        <f>COUNTIFS(集計用!$G62,"*, "&amp;X$3&amp;", *")</f>
        <v>0</v>
      </c>
      <c r="Y64" s="2">
        <f>COUNTIFS(集計用!$G62,"*, "&amp;Y$3&amp;", *")</f>
        <v>0</v>
      </c>
      <c r="Z64" s="2">
        <f>COUNTIFS(集計用!$G62,"*, "&amp;Z$3&amp;", *")</f>
        <v>0</v>
      </c>
      <c r="AA64" s="2">
        <f>COUNTIFS(集計用!$G62,"*, "&amp;AA$3&amp;", *")</f>
        <v>0</v>
      </c>
      <c r="AB64" s="2">
        <f>COUNTIFS(集計用!$G62,"*, "&amp;AB$3&amp;", *")</f>
        <v>0</v>
      </c>
      <c r="AC64" s="2">
        <f>COUNTIFS(集計用!$G62,"*, "&amp;AC$3&amp;", *")</f>
        <v>0</v>
      </c>
      <c r="AD64" s="2">
        <f>COUNTIFS(集計用!$G62,"*, "&amp;AD$3&amp;", *")</f>
        <v>0</v>
      </c>
      <c r="AE64" s="2">
        <f>COUNTIFS(集計用!$G62,"*, "&amp;AE$3&amp;", *")</f>
        <v>0</v>
      </c>
      <c r="AF64" s="2">
        <f>COUNTIFS(集計用!$G62,"*, "&amp;AF$3&amp;", *")</f>
        <v>0</v>
      </c>
      <c r="AG64" s="2">
        <f>COUNTIFS(集計用!$G62,"*, "&amp;AG$3&amp;", *")</f>
        <v>1</v>
      </c>
      <c r="AH64" s="2">
        <f>COUNTIFS(集計用!$G62,"*, "&amp;AH$3&amp;", *")</f>
        <v>0</v>
      </c>
      <c r="AI64" s="2">
        <f>COUNTIFS(集計用!$G62,"*, "&amp;AI$3&amp;", *")</f>
        <v>0</v>
      </c>
      <c r="AJ64" s="2">
        <f>COUNTIFS(集計用!$G62,"*, "&amp;AJ$3&amp;", *")</f>
        <v>0</v>
      </c>
      <c r="AK64" s="2">
        <f>COUNTIFS(集計用!$G62,"*, "&amp;AK$3&amp;", *")</f>
        <v>0</v>
      </c>
      <c r="AL64" s="2">
        <f>COUNTIFS(集計用!$G62,"*, "&amp;AL$3&amp;", *")</f>
        <v>0</v>
      </c>
      <c r="AM64" s="2">
        <f>COUNTIFS(集計用!$G62,"*, "&amp;AM$3&amp;", *")</f>
        <v>0</v>
      </c>
      <c r="AN64" s="2">
        <f>COUNTIFS(集計用!$G62,"*, "&amp;AN$3&amp;", *")</f>
        <v>0</v>
      </c>
      <c r="AO64" s="2">
        <f>COUNTIFS(集計用!$G62,"*, "&amp;AO$3&amp;", *")</f>
        <v>0</v>
      </c>
      <c r="AP64" s="2">
        <f>COUNTIFS(集計用!$G62,"*, "&amp;AP$3&amp;", *")</f>
        <v>0</v>
      </c>
      <c r="AQ64" s="2">
        <f>COUNTIFS(集計用!$G62,"*, "&amp;AQ$3&amp;", *")</f>
        <v>0</v>
      </c>
      <c r="AR64" s="2">
        <f>COUNTIFS(集計用!$G62,"*, "&amp;AR$3&amp;", *")</f>
        <v>0</v>
      </c>
      <c r="AS64" s="2">
        <f>COUNTIFS(集計用!$G62,"*, "&amp;AS$3&amp;", *")</f>
        <v>0</v>
      </c>
      <c r="AT64" s="2">
        <f>COUNTIFS(集計用!$G62,"*, "&amp;AT$3&amp;", *")</f>
        <v>0</v>
      </c>
      <c r="AU64" s="2">
        <f>COUNTIFS(集計用!$G62,"*, "&amp;AU$3&amp;", *")</f>
        <v>0</v>
      </c>
      <c r="AV64" s="2">
        <f>COUNTIFS(集計用!$G62,"*, "&amp;AV$3&amp;", *")</f>
        <v>0</v>
      </c>
      <c r="AW64" s="2">
        <f>COUNTIFS(集計用!$G62,"*, "&amp;AW$3&amp;", *")</f>
        <v>0</v>
      </c>
      <c r="AX64" s="2">
        <f>COUNTIFS(集計用!$G62,"*, "&amp;AX$3&amp;", *")</f>
        <v>0</v>
      </c>
      <c r="AY64" s="2">
        <f>COUNTIFS(集計用!$G62,"*, "&amp;AY$3&amp;", *")</f>
        <v>0</v>
      </c>
      <c r="AZ64" s="2">
        <f>COUNTIFS(集計用!$G62,"*, "&amp;AZ$3&amp;", *")</f>
        <v>0</v>
      </c>
      <c r="BA64" s="2">
        <f>COUNTIFS(集計用!$G62,"*, "&amp;BA$3&amp;", *")</f>
        <v>0</v>
      </c>
      <c r="BB64" s="2">
        <f>COUNTIFS(集計用!$G62,"*, "&amp;BB$3&amp;", *")</f>
        <v>0</v>
      </c>
      <c r="BC64" s="2">
        <f>COUNTIFS(集計用!$G62,"*, "&amp;BC$3&amp;", *")</f>
        <v>0</v>
      </c>
      <c r="BD64" s="2">
        <f>COUNTIFS(集計用!$G62,"*, "&amp;BD$3&amp;", *")</f>
        <v>0</v>
      </c>
      <c r="BE64" s="2">
        <f>COUNTIFS(集計用!$G62,"*, "&amp;BE$3&amp;", *")</f>
        <v>0</v>
      </c>
      <c r="BF64" s="2">
        <f>COUNTIFS(集計用!$G62,"*, "&amp;BF$3&amp;", *")</f>
        <v>0</v>
      </c>
      <c r="BG64" s="2">
        <f>COUNTIFS(集計用!$G62,"*, "&amp;BG$3&amp;", *")</f>
        <v>0</v>
      </c>
      <c r="BH64" s="2">
        <f>COUNTIFS(集計用!$G62,"*, "&amp;BH$3&amp;", *")</f>
        <v>0</v>
      </c>
      <c r="BI64" s="2">
        <f>COUNTIFS(集計用!$G62,"*, "&amp;BI$3&amp;", *")</f>
        <v>0</v>
      </c>
      <c r="BJ64" s="2">
        <f>LEN(集計用!H62)-LEN(SUBSTITUTE(集計用!H62,",",""))</f>
        <v>0</v>
      </c>
    </row>
    <row r="65" spans="1:62" ht="12.75">
      <c r="A65" s="8">
        <v>62</v>
      </c>
      <c r="C65" s="2">
        <f t="shared" si="2"/>
        <v>4</v>
      </c>
      <c r="D65" s="9"/>
      <c r="E65" s="2">
        <f>COUNTIFS(集計用!$G63,"*, "&amp;E$3&amp;", *")</f>
        <v>1</v>
      </c>
      <c r="F65" s="2">
        <f>COUNTIFS(集計用!$G63,"*, "&amp;F$3&amp;", *")</f>
        <v>1</v>
      </c>
      <c r="G65" s="2">
        <f>COUNTIFS(集計用!$G63,"*, "&amp;G$3&amp;", *")</f>
        <v>0</v>
      </c>
      <c r="H65" s="2">
        <f>COUNTIFS(集計用!$G63,"*, "&amp;H$3&amp;", *")</f>
        <v>1</v>
      </c>
      <c r="I65" s="2">
        <f>COUNTIFS(集計用!$G63,"*, "&amp;I$3&amp;", *")</f>
        <v>0</v>
      </c>
      <c r="J65" s="2">
        <f>COUNTIFS(集計用!$G63,"*, "&amp;J$3&amp;", *")</f>
        <v>0</v>
      </c>
      <c r="K65" s="2">
        <f>COUNTIFS(集計用!$G63,"*, "&amp;K$3&amp;", *")</f>
        <v>1</v>
      </c>
      <c r="L65" s="2">
        <f>COUNTIFS(集計用!$G63,"*, "&amp;L$3&amp;", *")</f>
        <v>0</v>
      </c>
      <c r="M65" s="2">
        <f>COUNTIFS(集計用!$G63,"*, "&amp;M$3&amp;", *")</f>
        <v>0</v>
      </c>
      <c r="N65" s="2">
        <f>COUNTIFS(集計用!$G63,"*, "&amp;N$3&amp;", *")</f>
        <v>0</v>
      </c>
      <c r="O65" s="2">
        <f>COUNTIFS(集計用!$G63,"*, "&amp;O$3&amp;", *")</f>
        <v>0</v>
      </c>
      <c r="P65" s="2">
        <f>COUNTIFS(集計用!$G63,"*, "&amp;P$3&amp;", *")</f>
        <v>0</v>
      </c>
      <c r="Q65" s="2">
        <f>COUNTIFS(集計用!$G63,"*, "&amp;Q$3&amp;", *")</f>
        <v>0</v>
      </c>
      <c r="R65" s="2">
        <f>COUNTIFS(集計用!$G63,"*, "&amp;R$3&amp;", *")</f>
        <v>0</v>
      </c>
      <c r="S65" s="2">
        <f>COUNTIFS(集計用!$G63,"*, "&amp;S$3&amp;", *")</f>
        <v>0</v>
      </c>
      <c r="T65" s="2">
        <f>COUNTIFS(集計用!$G63,"*, "&amp;T$3&amp;", *")</f>
        <v>0</v>
      </c>
      <c r="U65" s="2">
        <f>COUNTIFS(集計用!$G63,"*, "&amp;U$3&amp;", *")</f>
        <v>0</v>
      </c>
      <c r="V65" s="2">
        <f>COUNTIFS(集計用!$G63,"*, "&amp;V$3&amp;", *")</f>
        <v>0</v>
      </c>
      <c r="W65" s="2">
        <f>COUNTIFS(集計用!$G63,"*, "&amp;W$3&amp;", *")</f>
        <v>0</v>
      </c>
      <c r="X65" s="2">
        <f>COUNTIFS(集計用!$G63,"*, "&amp;X$3&amp;", *")</f>
        <v>0</v>
      </c>
      <c r="Y65" s="2">
        <f>COUNTIFS(集計用!$G63,"*, "&amp;Y$3&amp;", *")</f>
        <v>0</v>
      </c>
      <c r="Z65" s="2">
        <f>COUNTIFS(集計用!$G63,"*, "&amp;Z$3&amp;", *")</f>
        <v>0</v>
      </c>
      <c r="AA65" s="2">
        <f>COUNTIFS(集計用!$G63,"*, "&amp;AA$3&amp;", *")</f>
        <v>0</v>
      </c>
      <c r="AB65" s="2">
        <f>COUNTIFS(集計用!$G63,"*, "&amp;AB$3&amp;", *")</f>
        <v>0</v>
      </c>
      <c r="AC65" s="2">
        <f>COUNTIFS(集計用!$G63,"*, "&amp;AC$3&amp;", *")</f>
        <v>0</v>
      </c>
      <c r="AD65" s="2">
        <f>COUNTIFS(集計用!$G63,"*, "&amp;AD$3&amp;", *")</f>
        <v>0</v>
      </c>
      <c r="AE65" s="2">
        <f>COUNTIFS(集計用!$G63,"*, "&amp;AE$3&amp;", *")</f>
        <v>0</v>
      </c>
      <c r="AF65" s="2">
        <f>COUNTIFS(集計用!$G63,"*, "&amp;AF$3&amp;", *")</f>
        <v>0</v>
      </c>
      <c r="AG65" s="2">
        <f>COUNTIFS(集計用!$G63,"*, "&amp;AG$3&amp;", *")</f>
        <v>0</v>
      </c>
      <c r="AH65" s="2">
        <f>COUNTIFS(集計用!$G63,"*, "&amp;AH$3&amp;", *")</f>
        <v>0</v>
      </c>
      <c r="AI65" s="2">
        <f>COUNTIFS(集計用!$G63,"*, "&amp;AI$3&amp;", *")</f>
        <v>0</v>
      </c>
      <c r="AJ65" s="2">
        <f>COUNTIFS(集計用!$G63,"*, "&amp;AJ$3&amp;", *")</f>
        <v>0</v>
      </c>
      <c r="AK65" s="2">
        <f>COUNTIFS(集計用!$G63,"*, "&amp;AK$3&amp;", *")</f>
        <v>0</v>
      </c>
      <c r="AL65" s="2">
        <f>COUNTIFS(集計用!$G63,"*, "&amp;AL$3&amp;", *")</f>
        <v>0</v>
      </c>
      <c r="AM65" s="2">
        <f>COUNTIFS(集計用!$G63,"*, "&amp;AM$3&amp;", *")</f>
        <v>0</v>
      </c>
      <c r="AN65" s="2">
        <f>COUNTIFS(集計用!$G63,"*, "&amp;AN$3&amp;", *")</f>
        <v>0</v>
      </c>
      <c r="AO65" s="2">
        <f>COUNTIFS(集計用!$G63,"*, "&amp;AO$3&amp;", *")</f>
        <v>0</v>
      </c>
      <c r="AP65" s="2">
        <f>COUNTIFS(集計用!$G63,"*, "&amp;AP$3&amp;", *")</f>
        <v>0</v>
      </c>
      <c r="AQ65" s="2">
        <f>COUNTIFS(集計用!$G63,"*, "&amp;AQ$3&amp;", *")</f>
        <v>0</v>
      </c>
      <c r="AR65" s="2">
        <f>COUNTIFS(集計用!$G63,"*, "&amp;AR$3&amp;", *")</f>
        <v>0</v>
      </c>
      <c r="AS65" s="2">
        <f>COUNTIFS(集計用!$G63,"*, "&amp;AS$3&amp;", *")</f>
        <v>0</v>
      </c>
      <c r="AT65" s="2">
        <f>COUNTIFS(集計用!$G63,"*, "&amp;AT$3&amp;", *")</f>
        <v>0</v>
      </c>
      <c r="AU65" s="2">
        <f>COUNTIFS(集計用!$G63,"*, "&amp;AU$3&amp;", *")</f>
        <v>0</v>
      </c>
      <c r="AV65" s="2">
        <f>COUNTIFS(集計用!$G63,"*, "&amp;AV$3&amp;", *")</f>
        <v>0</v>
      </c>
      <c r="AW65" s="2">
        <f>COUNTIFS(集計用!$G63,"*, "&amp;AW$3&amp;", *")</f>
        <v>0</v>
      </c>
      <c r="AX65" s="2">
        <f>COUNTIFS(集計用!$G63,"*, "&amp;AX$3&amp;", *")</f>
        <v>0</v>
      </c>
      <c r="AY65" s="2">
        <f>COUNTIFS(集計用!$G63,"*, "&amp;AY$3&amp;", *")</f>
        <v>0</v>
      </c>
      <c r="AZ65" s="2">
        <f>COUNTIFS(集計用!$G63,"*, "&amp;AZ$3&amp;", *")</f>
        <v>0</v>
      </c>
      <c r="BA65" s="2">
        <f>COUNTIFS(集計用!$G63,"*, "&amp;BA$3&amp;", *")</f>
        <v>0</v>
      </c>
      <c r="BB65" s="2">
        <f>COUNTIFS(集計用!$G63,"*, "&amp;BB$3&amp;", *")</f>
        <v>0</v>
      </c>
      <c r="BC65" s="2">
        <f>COUNTIFS(集計用!$G63,"*, "&amp;BC$3&amp;", *")</f>
        <v>0</v>
      </c>
      <c r="BD65" s="2">
        <f>COUNTIFS(集計用!$G63,"*, "&amp;BD$3&amp;", *")</f>
        <v>0</v>
      </c>
      <c r="BE65" s="2">
        <f>COUNTIFS(集計用!$G63,"*, "&amp;BE$3&amp;", *")</f>
        <v>0</v>
      </c>
      <c r="BF65" s="2">
        <f>COUNTIFS(集計用!$G63,"*, "&amp;BF$3&amp;", *")</f>
        <v>0</v>
      </c>
      <c r="BG65" s="2">
        <f>COUNTIFS(集計用!$G63,"*, "&amp;BG$3&amp;", *")</f>
        <v>0</v>
      </c>
      <c r="BH65" s="2">
        <f>COUNTIFS(集計用!$G63,"*, "&amp;BH$3&amp;", *")</f>
        <v>0</v>
      </c>
      <c r="BI65" s="2">
        <f>COUNTIFS(集計用!$G63,"*, "&amp;BI$3&amp;", *")</f>
        <v>0</v>
      </c>
      <c r="BJ65" s="2">
        <f>LEN(集計用!H63)-LEN(SUBSTITUTE(集計用!H63,",",""))</f>
        <v>0</v>
      </c>
    </row>
    <row r="66" spans="1:62" ht="12.75">
      <c r="A66" s="8">
        <v>63</v>
      </c>
      <c r="C66" s="2">
        <f t="shared" si="2"/>
        <v>2</v>
      </c>
      <c r="D66" s="9"/>
      <c r="E66" s="2">
        <f>COUNTIFS(集計用!$G64,"*, "&amp;E$3&amp;", *")</f>
        <v>1</v>
      </c>
      <c r="F66" s="2">
        <f>COUNTIFS(集計用!$G64,"*, "&amp;F$3&amp;", *")</f>
        <v>0</v>
      </c>
      <c r="G66" s="2">
        <f>COUNTIFS(集計用!$G64,"*, "&amp;G$3&amp;", *")</f>
        <v>0</v>
      </c>
      <c r="H66" s="2">
        <f>COUNTIFS(集計用!$G64,"*, "&amp;H$3&amp;", *")</f>
        <v>0</v>
      </c>
      <c r="I66" s="2">
        <f>COUNTIFS(集計用!$G64,"*, "&amp;I$3&amp;", *")</f>
        <v>0</v>
      </c>
      <c r="J66" s="2">
        <f>COUNTIFS(集計用!$G64,"*, "&amp;J$3&amp;", *")</f>
        <v>0</v>
      </c>
      <c r="K66" s="2">
        <f>COUNTIFS(集計用!$G64,"*, "&amp;K$3&amp;", *")</f>
        <v>0</v>
      </c>
      <c r="L66" s="2">
        <f>COUNTIFS(集計用!$G64,"*, "&amp;L$3&amp;", *")</f>
        <v>0</v>
      </c>
      <c r="M66" s="2">
        <f>COUNTIFS(集計用!$G64,"*, "&amp;M$3&amp;", *")</f>
        <v>0</v>
      </c>
      <c r="N66" s="2">
        <f>COUNTIFS(集計用!$G64,"*, "&amp;N$3&amp;", *")</f>
        <v>0</v>
      </c>
      <c r="O66" s="2">
        <f>COUNTIFS(集計用!$G64,"*, "&amp;O$3&amp;", *")</f>
        <v>0</v>
      </c>
      <c r="P66" s="2">
        <f>COUNTIFS(集計用!$G64,"*, "&amp;P$3&amp;", *")</f>
        <v>0</v>
      </c>
      <c r="Q66" s="2">
        <f>COUNTIFS(集計用!$G64,"*, "&amp;Q$3&amp;", *")</f>
        <v>0</v>
      </c>
      <c r="R66" s="2">
        <f>COUNTIFS(集計用!$G64,"*, "&amp;R$3&amp;", *")</f>
        <v>0</v>
      </c>
      <c r="S66" s="2">
        <f>COUNTIFS(集計用!$G64,"*, "&amp;S$3&amp;", *")</f>
        <v>0</v>
      </c>
      <c r="T66" s="2">
        <f>COUNTIFS(集計用!$G64,"*, "&amp;T$3&amp;", *")</f>
        <v>0</v>
      </c>
      <c r="U66" s="2">
        <f>COUNTIFS(集計用!$G64,"*, "&amp;U$3&amp;", *")</f>
        <v>0</v>
      </c>
      <c r="V66" s="2">
        <f>COUNTIFS(集計用!$G64,"*, "&amp;V$3&amp;", *")</f>
        <v>0</v>
      </c>
      <c r="W66" s="2">
        <f>COUNTIFS(集計用!$G64,"*, "&amp;W$3&amp;", *")</f>
        <v>0</v>
      </c>
      <c r="X66" s="2">
        <f>COUNTIFS(集計用!$G64,"*, "&amp;X$3&amp;", *")</f>
        <v>0</v>
      </c>
      <c r="Y66" s="2">
        <f>COUNTIFS(集計用!$G64,"*, "&amp;Y$3&amp;", *")</f>
        <v>0</v>
      </c>
      <c r="Z66" s="2">
        <f>COUNTIFS(集計用!$G64,"*, "&amp;Z$3&amp;", *")</f>
        <v>0</v>
      </c>
      <c r="AA66" s="2">
        <f>COUNTIFS(集計用!$G64,"*, "&amp;AA$3&amp;", *")</f>
        <v>0</v>
      </c>
      <c r="AB66" s="2">
        <f>COUNTIFS(集計用!$G64,"*, "&amp;AB$3&amp;", *")</f>
        <v>0</v>
      </c>
      <c r="AC66" s="2">
        <f>COUNTIFS(集計用!$G64,"*, "&amp;AC$3&amp;", *")</f>
        <v>0</v>
      </c>
      <c r="AD66" s="2">
        <f>COUNTIFS(集計用!$G64,"*, "&amp;AD$3&amp;", *")</f>
        <v>0</v>
      </c>
      <c r="AE66" s="2">
        <f>COUNTIFS(集計用!$G64,"*, "&amp;AE$3&amp;", *")</f>
        <v>0</v>
      </c>
      <c r="AF66" s="2">
        <f>COUNTIFS(集計用!$G64,"*, "&amp;AF$3&amp;", *")</f>
        <v>0</v>
      </c>
      <c r="AG66" s="2">
        <f>COUNTIFS(集計用!$G64,"*, "&amp;AG$3&amp;", *")</f>
        <v>0</v>
      </c>
      <c r="AH66" s="2">
        <f>COUNTIFS(集計用!$G64,"*, "&amp;AH$3&amp;", *")</f>
        <v>0</v>
      </c>
      <c r="AI66" s="2">
        <f>COUNTIFS(集計用!$G64,"*, "&amp;AI$3&amp;", *")</f>
        <v>0</v>
      </c>
      <c r="AJ66" s="2">
        <f>COUNTIFS(集計用!$G64,"*, "&amp;AJ$3&amp;", *")</f>
        <v>0</v>
      </c>
      <c r="AK66" s="2">
        <f>COUNTIFS(集計用!$G64,"*, "&amp;AK$3&amp;", *")</f>
        <v>0</v>
      </c>
      <c r="AL66" s="2">
        <f>COUNTIFS(集計用!$G64,"*, "&amp;AL$3&amp;", *")</f>
        <v>0</v>
      </c>
      <c r="AM66" s="2">
        <f>COUNTIFS(集計用!$G64,"*, "&amp;AM$3&amp;", *")</f>
        <v>0</v>
      </c>
      <c r="AN66" s="2">
        <f>COUNTIFS(集計用!$G64,"*, "&amp;AN$3&amp;", *")</f>
        <v>0</v>
      </c>
      <c r="AO66" s="2">
        <f>COUNTIFS(集計用!$G64,"*, "&amp;AO$3&amp;", *")</f>
        <v>0</v>
      </c>
      <c r="AP66" s="2">
        <f>COUNTIFS(集計用!$G64,"*, "&amp;AP$3&amp;", *")</f>
        <v>0</v>
      </c>
      <c r="AQ66" s="2">
        <f>COUNTIFS(集計用!$G64,"*, "&amp;AQ$3&amp;", *")</f>
        <v>0</v>
      </c>
      <c r="AR66" s="2">
        <f>COUNTIFS(集計用!$G64,"*, "&amp;AR$3&amp;", *")</f>
        <v>0</v>
      </c>
      <c r="AS66" s="2">
        <f>COUNTIFS(集計用!$G64,"*, "&amp;AS$3&amp;", *")</f>
        <v>0</v>
      </c>
      <c r="AT66" s="2">
        <f>COUNTIFS(集計用!$G64,"*, "&amp;AT$3&amp;", *")</f>
        <v>0</v>
      </c>
      <c r="AU66" s="2">
        <f>COUNTIFS(集計用!$G64,"*, "&amp;AU$3&amp;", *")</f>
        <v>0</v>
      </c>
      <c r="AV66" s="2">
        <f>COUNTIFS(集計用!$G64,"*, "&amp;AV$3&amp;", *")</f>
        <v>0</v>
      </c>
      <c r="AW66" s="2">
        <f>COUNTIFS(集計用!$G64,"*, "&amp;AW$3&amp;", *")</f>
        <v>0</v>
      </c>
      <c r="AX66" s="2">
        <f>COUNTIFS(集計用!$G64,"*, "&amp;AX$3&amp;", *")</f>
        <v>0</v>
      </c>
      <c r="AY66" s="2">
        <f>COUNTIFS(集計用!$G64,"*, "&amp;AY$3&amp;", *")</f>
        <v>0</v>
      </c>
      <c r="AZ66" s="2">
        <f>COUNTIFS(集計用!$G64,"*, "&amp;AZ$3&amp;", *")</f>
        <v>0</v>
      </c>
      <c r="BA66" s="2">
        <f>COUNTIFS(集計用!$G64,"*, "&amp;BA$3&amp;", *")</f>
        <v>0</v>
      </c>
      <c r="BB66" s="2">
        <f>COUNTIFS(集計用!$G64,"*, "&amp;BB$3&amp;", *")</f>
        <v>0</v>
      </c>
      <c r="BC66" s="2">
        <f>COUNTIFS(集計用!$G64,"*, "&amp;BC$3&amp;", *")</f>
        <v>0</v>
      </c>
      <c r="BD66" s="2">
        <f>COUNTIFS(集計用!$G64,"*, "&amp;BD$3&amp;", *")</f>
        <v>0</v>
      </c>
      <c r="BE66" s="2">
        <f>COUNTIFS(集計用!$G64,"*, "&amp;BE$3&amp;", *")</f>
        <v>0</v>
      </c>
      <c r="BF66" s="2">
        <f>COUNTIFS(集計用!$G64,"*, "&amp;BF$3&amp;", *")</f>
        <v>0</v>
      </c>
      <c r="BG66" s="2">
        <f>COUNTIFS(集計用!$G64,"*, "&amp;BG$3&amp;", *")</f>
        <v>0</v>
      </c>
      <c r="BH66" s="2">
        <f>COUNTIFS(集計用!$G64,"*, "&amp;BH$3&amp;", *")</f>
        <v>0</v>
      </c>
      <c r="BI66" s="2">
        <f>COUNTIFS(集計用!$G64,"*, "&amp;BI$3&amp;", *")</f>
        <v>0</v>
      </c>
      <c r="BJ66" s="2">
        <f>LEN(集計用!H64)-LEN(SUBSTITUTE(集計用!H64,",",""))</f>
        <v>1</v>
      </c>
    </row>
    <row r="67" spans="1:62" ht="12.75">
      <c r="A67" s="8">
        <v>64</v>
      </c>
      <c r="C67" s="2">
        <f t="shared" si="2"/>
        <v>7</v>
      </c>
      <c r="D67" s="9"/>
      <c r="E67" s="2">
        <f>COUNTIFS(集計用!$G65,"*, "&amp;E$3&amp;", *")</f>
        <v>0</v>
      </c>
      <c r="F67" s="2">
        <f>COUNTIFS(集計用!$G65,"*, "&amp;F$3&amp;", *")</f>
        <v>1</v>
      </c>
      <c r="G67" s="2">
        <f>COUNTIFS(集計用!$G65,"*, "&amp;G$3&amp;", *")</f>
        <v>1</v>
      </c>
      <c r="H67" s="2">
        <f>COUNTIFS(集計用!$G65,"*, "&amp;H$3&amp;", *")</f>
        <v>0</v>
      </c>
      <c r="I67" s="2">
        <f>COUNTIFS(集計用!$G65,"*, "&amp;I$3&amp;", *")</f>
        <v>0</v>
      </c>
      <c r="J67" s="2">
        <f>COUNTIFS(集計用!$G65,"*, "&amp;J$3&amp;", *")</f>
        <v>1</v>
      </c>
      <c r="K67" s="2">
        <f>COUNTIFS(集計用!$G65,"*, "&amp;K$3&amp;", *")</f>
        <v>0</v>
      </c>
      <c r="L67" s="2">
        <f>COUNTIFS(集計用!$G65,"*, "&amp;L$3&amp;", *")</f>
        <v>0</v>
      </c>
      <c r="M67" s="2">
        <f>COUNTIFS(集計用!$G65,"*, "&amp;M$3&amp;", *")</f>
        <v>0</v>
      </c>
      <c r="N67" s="2">
        <f>COUNTIFS(集計用!$G65,"*, "&amp;N$3&amp;", *")</f>
        <v>0</v>
      </c>
      <c r="O67" s="2">
        <f>COUNTIFS(集計用!$G65,"*, "&amp;O$3&amp;", *")</f>
        <v>0</v>
      </c>
      <c r="P67" s="2">
        <f>COUNTIFS(集計用!$G65,"*, "&amp;P$3&amp;", *")</f>
        <v>1</v>
      </c>
      <c r="Q67" s="2">
        <f>COUNTIFS(集計用!$G65,"*, "&amp;Q$3&amp;", *")</f>
        <v>0</v>
      </c>
      <c r="R67" s="2">
        <f>COUNTIFS(集計用!$G65,"*, "&amp;R$3&amp;", *")</f>
        <v>1</v>
      </c>
      <c r="S67" s="2">
        <f>COUNTIFS(集計用!$G65,"*, "&amp;S$3&amp;", *")</f>
        <v>1</v>
      </c>
      <c r="T67" s="2">
        <f>COUNTIFS(集計用!$G65,"*, "&amp;T$3&amp;", *")</f>
        <v>0</v>
      </c>
      <c r="U67" s="2">
        <f>COUNTIFS(集計用!$G65,"*, "&amp;U$3&amp;", *")</f>
        <v>0</v>
      </c>
      <c r="V67" s="2">
        <f>COUNTIFS(集計用!$G65,"*, "&amp;V$3&amp;", *")</f>
        <v>0</v>
      </c>
      <c r="W67" s="2">
        <f>COUNTIFS(集計用!$G65,"*, "&amp;W$3&amp;", *")</f>
        <v>0</v>
      </c>
      <c r="X67" s="2">
        <f>COUNTIFS(集計用!$G65,"*, "&amp;X$3&amp;", *")</f>
        <v>0</v>
      </c>
      <c r="Y67" s="2">
        <f>COUNTIFS(集計用!$G65,"*, "&amp;Y$3&amp;", *")</f>
        <v>0</v>
      </c>
      <c r="Z67" s="2">
        <f>COUNTIFS(集計用!$G65,"*, "&amp;Z$3&amp;", *")</f>
        <v>0</v>
      </c>
      <c r="AA67" s="2">
        <f>COUNTIFS(集計用!$G65,"*, "&amp;AA$3&amp;", *")</f>
        <v>0</v>
      </c>
      <c r="AB67" s="2">
        <f>COUNTIFS(集計用!$G65,"*, "&amp;AB$3&amp;", *")</f>
        <v>0</v>
      </c>
      <c r="AC67" s="2">
        <f>COUNTIFS(集計用!$G65,"*, "&amp;AC$3&amp;", *")</f>
        <v>0</v>
      </c>
      <c r="AD67" s="2">
        <f>COUNTIFS(集計用!$G65,"*, "&amp;AD$3&amp;", *")</f>
        <v>0</v>
      </c>
      <c r="AE67" s="2">
        <f>COUNTIFS(集計用!$G65,"*, "&amp;AE$3&amp;", *")</f>
        <v>0</v>
      </c>
      <c r="AF67" s="2">
        <f>COUNTIFS(集計用!$G65,"*, "&amp;AF$3&amp;", *")</f>
        <v>1</v>
      </c>
      <c r="AG67" s="2">
        <f>COUNTIFS(集計用!$G65,"*, "&amp;AG$3&amp;", *")</f>
        <v>0</v>
      </c>
      <c r="AH67" s="2">
        <f>COUNTIFS(集計用!$G65,"*, "&amp;AH$3&amp;", *")</f>
        <v>0</v>
      </c>
      <c r="AI67" s="2">
        <f>COUNTIFS(集計用!$G65,"*, "&amp;AI$3&amp;", *")</f>
        <v>0</v>
      </c>
      <c r="AJ67" s="2">
        <f>COUNTIFS(集計用!$G65,"*, "&amp;AJ$3&amp;", *")</f>
        <v>0</v>
      </c>
      <c r="AK67" s="2">
        <f>COUNTIFS(集計用!$G65,"*, "&amp;AK$3&amp;", *")</f>
        <v>0</v>
      </c>
      <c r="AL67" s="2">
        <f>COUNTIFS(集計用!$G65,"*, "&amp;AL$3&amp;", *")</f>
        <v>0</v>
      </c>
      <c r="AM67" s="2">
        <f>COUNTIFS(集計用!$G65,"*, "&amp;AM$3&amp;", *")</f>
        <v>0</v>
      </c>
      <c r="AN67" s="2">
        <f>COUNTIFS(集計用!$G65,"*, "&amp;AN$3&amp;", *")</f>
        <v>0</v>
      </c>
      <c r="AO67" s="2">
        <f>COUNTIFS(集計用!$G65,"*, "&amp;AO$3&amp;", *")</f>
        <v>0</v>
      </c>
      <c r="AP67" s="2">
        <f>COUNTIFS(集計用!$G65,"*, "&amp;AP$3&amp;", *")</f>
        <v>0</v>
      </c>
      <c r="AQ67" s="2">
        <f>COUNTIFS(集計用!$G65,"*, "&amp;AQ$3&amp;", *")</f>
        <v>0</v>
      </c>
      <c r="AR67" s="2">
        <f>COUNTIFS(集計用!$G65,"*, "&amp;AR$3&amp;", *")</f>
        <v>0</v>
      </c>
      <c r="AS67" s="2">
        <f>COUNTIFS(集計用!$G65,"*, "&amp;AS$3&amp;", *")</f>
        <v>0</v>
      </c>
      <c r="AT67" s="2">
        <f>COUNTIFS(集計用!$G65,"*, "&amp;AT$3&amp;", *")</f>
        <v>0</v>
      </c>
      <c r="AU67" s="2">
        <f>COUNTIFS(集計用!$G65,"*, "&amp;AU$3&amp;", *")</f>
        <v>0</v>
      </c>
      <c r="AV67" s="2">
        <f>COUNTIFS(集計用!$G65,"*, "&amp;AV$3&amp;", *")</f>
        <v>0</v>
      </c>
      <c r="AW67" s="2">
        <f>COUNTIFS(集計用!$G65,"*, "&amp;AW$3&amp;", *")</f>
        <v>0</v>
      </c>
      <c r="AX67" s="2">
        <f>COUNTIFS(集計用!$G65,"*, "&amp;AX$3&amp;", *")</f>
        <v>0</v>
      </c>
      <c r="AY67" s="2">
        <f>COUNTIFS(集計用!$G65,"*, "&amp;AY$3&amp;", *")</f>
        <v>0</v>
      </c>
      <c r="AZ67" s="2">
        <f>COUNTIFS(集計用!$G65,"*, "&amp;AZ$3&amp;", *")</f>
        <v>0</v>
      </c>
      <c r="BA67" s="2">
        <f>COUNTIFS(集計用!$G65,"*, "&amp;BA$3&amp;", *")</f>
        <v>0</v>
      </c>
      <c r="BB67" s="2">
        <f>COUNTIFS(集計用!$G65,"*, "&amp;BB$3&amp;", *")</f>
        <v>0</v>
      </c>
      <c r="BC67" s="2">
        <f>COUNTIFS(集計用!$G65,"*, "&amp;BC$3&amp;", *")</f>
        <v>0</v>
      </c>
      <c r="BD67" s="2">
        <f>COUNTIFS(集計用!$G65,"*, "&amp;BD$3&amp;", *")</f>
        <v>0</v>
      </c>
      <c r="BE67" s="2">
        <f>COUNTIFS(集計用!$G65,"*, "&amp;BE$3&amp;", *")</f>
        <v>0</v>
      </c>
      <c r="BF67" s="2">
        <f>COUNTIFS(集計用!$G65,"*, "&amp;BF$3&amp;", *")</f>
        <v>0</v>
      </c>
      <c r="BG67" s="2">
        <f>COUNTIFS(集計用!$G65,"*, "&amp;BG$3&amp;", *")</f>
        <v>0</v>
      </c>
      <c r="BH67" s="2">
        <f>COUNTIFS(集計用!$G65,"*, "&amp;BH$3&amp;", *")</f>
        <v>0</v>
      </c>
      <c r="BI67" s="2">
        <f>COUNTIFS(集計用!$G65,"*, "&amp;BI$3&amp;", *")</f>
        <v>0</v>
      </c>
      <c r="BJ67" s="2">
        <f>LEN(集計用!H65)-LEN(SUBSTITUTE(集計用!H65,",",""))</f>
        <v>0</v>
      </c>
    </row>
    <row r="68" spans="1:62" ht="12.75">
      <c r="A68" s="8">
        <v>65</v>
      </c>
      <c r="C68" s="2">
        <f t="shared" si="2"/>
        <v>19</v>
      </c>
      <c r="D68" s="9"/>
      <c r="E68" s="2">
        <f>COUNTIFS(集計用!$G66,"*, "&amp;E$3&amp;", *")</f>
        <v>1</v>
      </c>
      <c r="F68" s="2">
        <f>COUNTIFS(集計用!$G66,"*, "&amp;F$3&amp;", *")</f>
        <v>1</v>
      </c>
      <c r="G68" s="2">
        <f>COUNTIFS(集計用!$G66,"*, "&amp;G$3&amp;", *")</f>
        <v>1</v>
      </c>
      <c r="H68" s="2">
        <f>COUNTIFS(集計用!$G66,"*, "&amp;H$3&amp;", *")</f>
        <v>0</v>
      </c>
      <c r="I68" s="2">
        <f>COUNTIFS(集計用!$G66,"*, "&amp;I$3&amp;", *")</f>
        <v>1</v>
      </c>
      <c r="J68" s="2">
        <f>COUNTIFS(集計用!$G66,"*, "&amp;J$3&amp;", *")</f>
        <v>1</v>
      </c>
      <c r="K68" s="2">
        <f>COUNTIFS(集計用!$G66,"*, "&amp;K$3&amp;", *")</f>
        <v>0</v>
      </c>
      <c r="L68" s="2">
        <f>COUNTIFS(集計用!$G66,"*, "&amp;L$3&amp;", *")</f>
        <v>0</v>
      </c>
      <c r="M68" s="2">
        <f>COUNTIFS(集計用!$G66,"*, "&amp;M$3&amp;", *")</f>
        <v>0</v>
      </c>
      <c r="N68" s="2">
        <f>COUNTIFS(集計用!$G66,"*, "&amp;N$3&amp;", *")</f>
        <v>0</v>
      </c>
      <c r="O68" s="2">
        <f>COUNTIFS(集計用!$G66,"*, "&amp;O$3&amp;", *")</f>
        <v>1</v>
      </c>
      <c r="P68" s="2">
        <f>COUNTIFS(集計用!$G66,"*, "&amp;P$3&amp;", *")</f>
        <v>0</v>
      </c>
      <c r="Q68" s="2">
        <f>COUNTIFS(集計用!$G66,"*, "&amp;Q$3&amp;", *")</f>
        <v>1</v>
      </c>
      <c r="R68" s="2">
        <f>COUNTIFS(集計用!$G66,"*, "&amp;R$3&amp;", *")</f>
        <v>0</v>
      </c>
      <c r="S68" s="2">
        <f>COUNTIFS(集計用!$G66,"*, "&amp;S$3&amp;", *")</f>
        <v>1</v>
      </c>
      <c r="T68" s="2">
        <f>COUNTIFS(集計用!$G66,"*, "&amp;T$3&amp;", *")</f>
        <v>0</v>
      </c>
      <c r="U68" s="2">
        <f>COUNTIFS(集計用!$G66,"*, "&amp;U$3&amp;", *")</f>
        <v>1</v>
      </c>
      <c r="V68" s="2">
        <f>COUNTIFS(集計用!$G66,"*, "&amp;V$3&amp;", *")</f>
        <v>0</v>
      </c>
      <c r="W68" s="2">
        <f>COUNTIFS(集計用!$G66,"*, "&amp;W$3&amp;", *")</f>
        <v>0</v>
      </c>
      <c r="X68" s="2">
        <f>COUNTIFS(集計用!$G66,"*, "&amp;X$3&amp;", *")</f>
        <v>0</v>
      </c>
      <c r="Y68" s="2">
        <f>COUNTIFS(集計用!$G66,"*, "&amp;Y$3&amp;", *")</f>
        <v>1</v>
      </c>
      <c r="Z68" s="2">
        <f>COUNTIFS(集計用!$G66,"*, "&amp;Z$3&amp;", *")</f>
        <v>0</v>
      </c>
      <c r="AA68" s="2">
        <f>COUNTIFS(集計用!$G66,"*, "&amp;AA$3&amp;", *")</f>
        <v>0</v>
      </c>
      <c r="AB68" s="2">
        <f>COUNTIFS(集計用!$G66,"*, "&amp;AB$3&amp;", *")</f>
        <v>0</v>
      </c>
      <c r="AC68" s="2">
        <f>COUNTIFS(集計用!$G66,"*, "&amp;AC$3&amp;", *")</f>
        <v>1</v>
      </c>
      <c r="AD68" s="2">
        <f>COUNTIFS(集計用!$G66,"*, "&amp;AD$3&amp;", *")</f>
        <v>0</v>
      </c>
      <c r="AE68" s="2">
        <f>COUNTIFS(集計用!$G66,"*, "&amp;AE$3&amp;", *")</f>
        <v>0</v>
      </c>
      <c r="AF68" s="2">
        <f>COUNTIFS(集計用!$G66,"*, "&amp;AF$3&amp;", *")</f>
        <v>0</v>
      </c>
      <c r="AG68" s="2">
        <f>COUNTIFS(集計用!$G66,"*, "&amp;AG$3&amp;", *")</f>
        <v>0</v>
      </c>
      <c r="AH68" s="2">
        <f>COUNTIFS(集計用!$G66,"*, "&amp;AH$3&amp;", *")</f>
        <v>0</v>
      </c>
      <c r="AI68" s="2">
        <f>COUNTIFS(集計用!$G66,"*, "&amp;AI$3&amp;", *")</f>
        <v>0</v>
      </c>
      <c r="AJ68" s="2">
        <f>COUNTIFS(集計用!$G66,"*, "&amp;AJ$3&amp;", *")</f>
        <v>0</v>
      </c>
      <c r="AK68" s="2">
        <f>COUNTIFS(集計用!$G66,"*, "&amp;AK$3&amp;", *")</f>
        <v>1</v>
      </c>
      <c r="AL68" s="2">
        <f>COUNTIFS(集計用!$G66,"*, "&amp;AL$3&amp;", *")</f>
        <v>1</v>
      </c>
      <c r="AM68" s="2">
        <f>COUNTIFS(集計用!$G66,"*, "&amp;AM$3&amp;", *")</f>
        <v>0</v>
      </c>
      <c r="AN68" s="2">
        <f>COUNTIFS(集計用!$G66,"*, "&amp;AN$3&amp;", *")</f>
        <v>0</v>
      </c>
      <c r="AO68" s="2">
        <f>COUNTIFS(集計用!$G66,"*, "&amp;AO$3&amp;", *")</f>
        <v>1</v>
      </c>
      <c r="AP68" s="2">
        <f>COUNTIFS(集計用!$G66,"*, "&amp;AP$3&amp;", *")</f>
        <v>0</v>
      </c>
      <c r="AQ68" s="2">
        <f>COUNTIFS(集計用!$G66,"*, "&amp;AQ$3&amp;", *")</f>
        <v>0</v>
      </c>
      <c r="AR68" s="2">
        <f>COUNTIFS(集計用!$G66,"*, "&amp;AR$3&amp;", *")</f>
        <v>1</v>
      </c>
      <c r="AS68" s="2">
        <f>COUNTIFS(集計用!$G66,"*, "&amp;AS$3&amp;", *")</f>
        <v>1</v>
      </c>
      <c r="AT68" s="2">
        <f>COUNTIFS(集計用!$G66,"*, "&amp;AT$3&amp;", *")</f>
        <v>0</v>
      </c>
      <c r="AU68" s="2">
        <f>COUNTIFS(集計用!$G66,"*, "&amp;AU$3&amp;", *")</f>
        <v>1</v>
      </c>
      <c r="AV68" s="2">
        <f>COUNTIFS(集計用!$G66,"*, "&amp;AV$3&amp;", *")</f>
        <v>1</v>
      </c>
      <c r="AW68" s="2">
        <f>COUNTIFS(集計用!$G66,"*, "&amp;AW$3&amp;", *")</f>
        <v>0</v>
      </c>
      <c r="AX68" s="2">
        <f>COUNTIFS(集計用!$G66,"*, "&amp;AX$3&amp;", *")</f>
        <v>0</v>
      </c>
      <c r="AY68" s="2">
        <f>COUNTIFS(集計用!$G66,"*, "&amp;AY$3&amp;", *")</f>
        <v>0</v>
      </c>
      <c r="AZ68" s="2">
        <f>COUNTIFS(集計用!$G66,"*, "&amp;AZ$3&amp;", *")</f>
        <v>0</v>
      </c>
      <c r="BA68" s="2">
        <f>COUNTIFS(集計用!$G66,"*, "&amp;BA$3&amp;", *")</f>
        <v>0</v>
      </c>
      <c r="BB68" s="2">
        <f>COUNTIFS(集計用!$G66,"*, "&amp;BB$3&amp;", *")</f>
        <v>0</v>
      </c>
      <c r="BC68" s="2">
        <f>COUNTIFS(集計用!$G66,"*, "&amp;BC$3&amp;", *")</f>
        <v>1</v>
      </c>
      <c r="BD68" s="2">
        <f>COUNTIFS(集計用!$G66,"*, "&amp;BD$3&amp;", *")</f>
        <v>0</v>
      </c>
      <c r="BE68" s="2">
        <f>COUNTIFS(集計用!$G66,"*, "&amp;BE$3&amp;", *")</f>
        <v>0</v>
      </c>
      <c r="BF68" s="2">
        <f>COUNTIFS(集計用!$G66,"*, "&amp;BF$3&amp;", *")</f>
        <v>0</v>
      </c>
      <c r="BG68" s="2">
        <f>COUNTIFS(集計用!$G66,"*, "&amp;BG$3&amp;", *")</f>
        <v>0</v>
      </c>
      <c r="BH68" s="2">
        <f>COUNTIFS(集計用!$G66,"*, "&amp;BH$3&amp;", *")</f>
        <v>0</v>
      </c>
      <c r="BI68" s="2">
        <f>COUNTIFS(集計用!$G66,"*, "&amp;BI$3&amp;", *")</f>
        <v>0</v>
      </c>
      <c r="BJ68" s="2">
        <f>LEN(集計用!H66)-LEN(SUBSTITUTE(集計用!H66,",",""))</f>
        <v>0</v>
      </c>
    </row>
    <row r="69" spans="1:62" ht="12.75">
      <c r="A69" s="8">
        <v>66</v>
      </c>
      <c r="C69" s="2">
        <f t="shared" si="2"/>
        <v>14</v>
      </c>
      <c r="D69" s="9"/>
      <c r="E69" s="2">
        <f>COUNTIFS(集計用!$G67,"*, "&amp;E$3&amp;", *")</f>
        <v>1</v>
      </c>
      <c r="F69" s="2">
        <f>COUNTIFS(集計用!$G67,"*, "&amp;F$3&amp;", *")</f>
        <v>0</v>
      </c>
      <c r="G69" s="2">
        <f>COUNTIFS(集計用!$G67,"*, "&amp;G$3&amp;", *")</f>
        <v>0</v>
      </c>
      <c r="H69" s="2">
        <f>COUNTIFS(集計用!$G67,"*, "&amp;H$3&amp;", *")</f>
        <v>1</v>
      </c>
      <c r="I69" s="2">
        <f>COUNTIFS(集計用!$G67,"*, "&amp;I$3&amp;", *")</f>
        <v>0</v>
      </c>
      <c r="J69" s="2">
        <f>COUNTIFS(集計用!$G67,"*, "&amp;J$3&amp;", *")</f>
        <v>0</v>
      </c>
      <c r="K69" s="2">
        <f>COUNTIFS(集計用!$G67,"*, "&amp;K$3&amp;", *")</f>
        <v>0</v>
      </c>
      <c r="L69" s="2">
        <f>COUNTIFS(集計用!$G67,"*, "&amp;L$3&amp;", *")</f>
        <v>0</v>
      </c>
      <c r="M69" s="2">
        <f>COUNTIFS(集計用!$G67,"*, "&amp;M$3&amp;", *")</f>
        <v>0</v>
      </c>
      <c r="N69" s="2">
        <f>COUNTIFS(集計用!$G67,"*, "&amp;N$3&amp;", *")</f>
        <v>0</v>
      </c>
      <c r="O69" s="2">
        <f>COUNTIFS(集計用!$G67,"*, "&amp;O$3&amp;", *")</f>
        <v>1</v>
      </c>
      <c r="P69" s="2">
        <f>COUNTIFS(集計用!$G67,"*, "&amp;P$3&amp;", *")</f>
        <v>0</v>
      </c>
      <c r="Q69" s="2">
        <f>COUNTIFS(集計用!$G67,"*, "&amp;Q$3&amp;", *")</f>
        <v>0</v>
      </c>
      <c r="R69" s="2">
        <f>COUNTIFS(集計用!$G67,"*, "&amp;R$3&amp;", *")</f>
        <v>1</v>
      </c>
      <c r="S69" s="2">
        <f>COUNTIFS(集計用!$G67,"*, "&amp;S$3&amp;", *")</f>
        <v>0</v>
      </c>
      <c r="T69" s="2">
        <f>COUNTIFS(集計用!$G67,"*, "&amp;T$3&amp;", *")</f>
        <v>0</v>
      </c>
      <c r="U69" s="2">
        <f>COUNTIFS(集計用!$G67,"*, "&amp;U$3&amp;", *")</f>
        <v>1</v>
      </c>
      <c r="V69" s="2">
        <f>COUNTIFS(集計用!$G67,"*, "&amp;V$3&amp;", *")</f>
        <v>1</v>
      </c>
      <c r="W69" s="2">
        <f>COUNTIFS(集計用!$G67,"*, "&amp;W$3&amp;", *")</f>
        <v>0</v>
      </c>
      <c r="X69" s="2">
        <f>COUNTIFS(集計用!$G67,"*, "&amp;X$3&amp;", *")</f>
        <v>1</v>
      </c>
      <c r="Y69" s="2">
        <f>COUNTIFS(集計用!$G67,"*, "&amp;Y$3&amp;", *")</f>
        <v>0</v>
      </c>
      <c r="Z69" s="2">
        <f>COUNTIFS(集計用!$G67,"*, "&amp;Z$3&amp;", *")</f>
        <v>0</v>
      </c>
      <c r="AA69" s="2">
        <f>COUNTIFS(集計用!$G67,"*, "&amp;AA$3&amp;", *")</f>
        <v>1</v>
      </c>
      <c r="AB69" s="2">
        <f>COUNTIFS(集計用!$G67,"*, "&amp;AB$3&amp;", *")</f>
        <v>0</v>
      </c>
      <c r="AC69" s="2">
        <f>COUNTIFS(集計用!$G67,"*, "&amp;AC$3&amp;", *")</f>
        <v>0</v>
      </c>
      <c r="AD69" s="2">
        <f>COUNTIFS(集計用!$G67,"*, "&amp;AD$3&amp;", *")</f>
        <v>1</v>
      </c>
      <c r="AE69" s="2">
        <f>COUNTIFS(集計用!$G67,"*, "&amp;AE$3&amp;", *")</f>
        <v>1</v>
      </c>
      <c r="AF69" s="2">
        <f>COUNTIFS(集計用!$G67,"*, "&amp;AF$3&amp;", *")</f>
        <v>0</v>
      </c>
      <c r="AG69" s="2">
        <f>COUNTIFS(集計用!$G67,"*, "&amp;AG$3&amp;", *")</f>
        <v>1</v>
      </c>
      <c r="AH69" s="2">
        <f>COUNTIFS(集計用!$G67,"*, "&amp;AH$3&amp;", *")</f>
        <v>0</v>
      </c>
      <c r="AI69" s="2">
        <f>COUNTIFS(集計用!$G67,"*, "&amp;AI$3&amp;", *")</f>
        <v>0</v>
      </c>
      <c r="AJ69" s="2">
        <f>COUNTIFS(集計用!$G67,"*, "&amp;AJ$3&amp;", *")</f>
        <v>0</v>
      </c>
      <c r="AK69" s="2">
        <f>COUNTIFS(集計用!$G67,"*, "&amp;AK$3&amp;", *")</f>
        <v>0</v>
      </c>
      <c r="AL69" s="2">
        <f>COUNTIFS(集計用!$G67,"*, "&amp;AL$3&amp;", *")</f>
        <v>0</v>
      </c>
      <c r="AM69" s="2">
        <f>COUNTIFS(集計用!$G67,"*, "&amp;AM$3&amp;", *")</f>
        <v>1</v>
      </c>
      <c r="AN69" s="2">
        <f>COUNTIFS(集計用!$G67,"*, "&amp;AN$3&amp;", *")</f>
        <v>1</v>
      </c>
      <c r="AO69" s="2">
        <f>COUNTIFS(集計用!$G67,"*, "&amp;AO$3&amp;", *")</f>
        <v>0</v>
      </c>
      <c r="AP69" s="2">
        <f>COUNTIFS(集計用!$G67,"*, "&amp;AP$3&amp;", *")</f>
        <v>0</v>
      </c>
      <c r="AQ69" s="2">
        <f>COUNTIFS(集計用!$G67,"*, "&amp;AQ$3&amp;", *")</f>
        <v>0</v>
      </c>
      <c r="AR69" s="2">
        <f>COUNTIFS(集計用!$G67,"*, "&amp;AR$3&amp;", *")</f>
        <v>0</v>
      </c>
      <c r="AS69" s="2">
        <f>COUNTIFS(集計用!$G67,"*, "&amp;AS$3&amp;", *")</f>
        <v>0</v>
      </c>
      <c r="AT69" s="2">
        <f>COUNTIFS(集計用!$G67,"*, "&amp;AT$3&amp;", *")</f>
        <v>1</v>
      </c>
      <c r="AU69" s="2">
        <f>COUNTIFS(集計用!$G67,"*, "&amp;AU$3&amp;", *")</f>
        <v>0</v>
      </c>
      <c r="AV69" s="2">
        <f>COUNTIFS(集計用!$G67,"*, "&amp;AV$3&amp;", *")</f>
        <v>0</v>
      </c>
      <c r="AW69" s="2">
        <f>COUNTIFS(集計用!$G67,"*, "&amp;AW$3&amp;", *")</f>
        <v>0</v>
      </c>
      <c r="AX69" s="2">
        <f>COUNTIFS(集計用!$G67,"*, "&amp;AX$3&amp;", *")</f>
        <v>0</v>
      </c>
      <c r="AY69" s="2">
        <f>COUNTIFS(集計用!$G67,"*, "&amp;AY$3&amp;", *")</f>
        <v>0</v>
      </c>
      <c r="AZ69" s="2">
        <f>COUNTIFS(集計用!$G67,"*, "&amp;AZ$3&amp;", *")</f>
        <v>0</v>
      </c>
      <c r="BA69" s="2">
        <f>COUNTIFS(集計用!$G67,"*, "&amp;BA$3&amp;", *")</f>
        <v>0</v>
      </c>
      <c r="BB69" s="2">
        <f>COUNTIFS(集計用!$G67,"*, "&amp;BB$3&amp;", *")</f>
        <v>0</v>
      </c>
      <c r="BC69" s="2">
        <f>COUNTIFS(集計用!$G67,"*, "&amp;BC$3&amp;", *")</f>
        <v>0</v>
      </c>
      <c r="BD69" s="2">
        <f>COUNTIFS(集計用!$G67,"*, "&amp;BD$3&amp;", *")</f>
        <v>0</v>
      </c>
      <c r="BE69" s="2">
        <f>COUNTIFS(集計用!$G67,"*, "&amp;BE$3&amp;", *")</f>
        <v>0</v>
      </c>
      <c r="BF69" s="2">
        <f>COUNTIFS(集計用!$G67,"*, "&amp;BF$3&amp;", *")</f>
        <v>0</v>
      </c>
      <c r="BG69" s="2">
        <f>COUNTIFS(集計用!$G67,"*, "&amp;BG$3&amp;", *")</f>
        <v>0</v>
      </c>
      <c r="BH69" s="2">
        <f>COUNTIFS(集計用!$G67,"*, "&amp;BH$3&amp;", *")</f>
        <v>0</v>
      </c>
      <c r="BI69" s="2">
        <f>COUNTIFS(集計用!$G67,"*, "&amp;BI$3&amp;", *")</f>
        <v>0</v>
      </c>
      <c r="BJ69" s="2">
        <f>LEN(集計用!H67)-LEN(SUBSTITUTE(集計用!H67,",",""))</f>
        <v>0</v>
      </c>
    </row>
    <row r="70" spans="1:62" ht="12.75">
      <c r="A70" s="8">
        <v>67</v>
      </c>
      <c r="C70" s="2">
        <f t="shared" si="2"/>
        <v>8</v>
      </c>
      <c r="D70" s="9"/>
      <c r="E70" s="2">
        <f>COUNTIFS(集計用!$G68,"*, "&amp;E$3&amp;", *")</f>
        <v>1</v>
      </c>
      <c r="F70" s="2">
        <f>COUNTIFS(集計用!$G68,"*, "&amp;F$3&amp;", *")</f>
        <v>1</v>
      </c>
      <c r="G70" s="2">
        <f>COUNTIFS(集計用!$G68,"*, "&amp;G$3&amp;", *")</f>
        <v>0</v>
      </c>
      <c r="H70" s="2">
        <f>COUNTIFS(集計用!$G68,"*, "&amp;H$3&amp;", *")</f>
        <v>0</v>
      </c>
      <c r="I70" s="2">
        <f>COUNTIFS(集計用!$G68,"*, "&amp;I$3&amp;", *")</f>
        <v>0</v>
      </c>
      <c r="J70" s="2">
        <f>COUNTIFS(集計用!$G68,"*, "&amp;J$3&amp;", *")</f>
        <v>1</v>
      </c>
      <c r="K70" s="2">
        <f>COUNTIFS(集計用!$G68,"*, "&amp;K$3&amp;", *")</f>
        <v>0</v>
      </c>
      <c r="L70" s="2">
        <f>COUNTIFS(集計用!$G68,"*, "&amp;L$3&amp;", *")</f>
        <v>1</v>
      </c>
      <c r="M70" s="2">
        <f>COUNTIFS(集計用!$G68,"*, "&amp;M$3&amp;", *")</f>
        <v>0</v>
      </c>
      <c r="N70" s="2">
        <f>COUNTIFS(集計用!$G68,"*, "&amp;N$3&amp;", *")</f>
        <v>0</v>
      </c>
      <c r="O70" s="2">
        <f>COUNTIFS(集計用!$G68,"*, "&amp;O$3&amp;", *")</f>
        <v>1</v>
      </c>
      <c r="P70" s="2">
        <f>COUNTIFS(集計用!$G68,"*, "&amp;P$3&amp;", *")</f>
        <v>0</v>
      </c>
      <c r="Q70" s="2">
        <f>COUNTIFS(集計用!$G68,"*, "&amp;Q$3&amp;", *")</f>
        <v>0</v>
      </c>
      <c r="R70" s="2">
        <f>COUNTIFS(集計用!$G68,"*, "&amp;R$3&amp;", *")</f>
        <v>0</v>
      </c>
      <c r="S70" s="2">
        <f>COUNTIFS(集計用!$G68,"*, "&amp;S$3&amp;", *")</f>
        <v>0</v>
      </c>
      <c r="T70" s="2">
        <f>COUNTIFS(集計用!$G68,"*, "&amp;T$3&amp;", *")</f>
        <v>0</v>
      </c>
      <c r="U70" s="2">
        <f>COUNTIFS(集計用!$G68,"*, "&amp;U$3&amp;", *")</f>
        <v>1</v>
      </c>
      <c r="V70" s="2">
        <f>COUNTIFS(集計用!$G68,"*, "&amp;V$3&amp;", *")</f>
        <v>0</v>
      </c>
      <c r="W70" s="2">
        <f>COUNTIFS(集計用!$G68,"*, "&amp;W$3&amp;", *")</f>
        <v>1</v>
      </c>
      <c r="X70" s="2">
        <f>COUNTIFS(集計用!$G68,"*, "&amp;X$3&amp;", *")</f>
        <v>0</v>
      </c>
      <c r="Y70" s="2">
        <f>COUNTIFS(集計用!$G68,"*, "&amp;Y$3&amp;", *")</f>
        <v>0</v>
      </c>
      <c r="Z70" s="2">
        <f>COUNTIFS(集計用!$G68,"*, "&amp;Z$3&amp;", *")</f>
        <v>0</v>
      </c>
      <c r="AA70" s="2">
        <f>COUNTIFS(集計用!$G68,"*, "&amp;AA$3&amp;", *")</f>
        <v>0</v>
      </c>
      <c r="AB70" s="2">
        <f>COUNTIFS(集計用!$G68,"*, "&amp;AB$3&amp;", *")</f>
        <v>0</v>
      </c>
      <c r="AC70" s="2">
        <f>COUNTIFS(集計用!$G68,"*, "&amp;AC$3&amp;", *")</f>
        <v>0</v>
      </c>
      <c r="AD70" s="2">
        <f>COUNTIFS(集計用!$G68,"*, "&amp;AD$3&amp;", *")</f>
        <v>0</v>
      </c>
      <c r="AE70" s="2">
        <f>COUNTIFS(集計用!$G68,"*, "&amp;AE$3&amp;", *")</f>
        <v>0</v>
      </c>
      <c r="AF70" s="2">
        <f>COUNTIFS(集計用!$G68,"*, "&amp;AF$3&amp;", *")</f>
        <v>0</v>
      </c>
      <c r="AG70" s="2">
        <f>COUNTIFS(集計用!$G68,"*, "&amp;AG$3&amp;", *")</f>
        <v>0</v>
      </c>
      <c r="AH70" s="2">
        <f>COUNTIFS(集計用!$G68,"*, "&amp;AH$3&amp;", *")</f>
        <v>0</v>
      </c>
      <c r="AI70" s="2">
        <f>COUNTIFS(集計用!$G68,"*, "&amp;AI$3&amp;", *")</f>
        <v>0</v>
      </c>
      <c r="AJ70" s="2">
        <f>COUNTIFS(集計用!$G68,"*, "&amp;AJ$3&amp;", *")</f>
        <v>0</v>
      </c>
      <c r="AK70" s="2">
        <f>COUNTIFS(集計用!$G68,"*, "&amp;AK$3&amp;", *")</f>
        <v>0</v>
      </c>
      <c r="AL70" s="2">
        <f>COUNTIFS(集計用!$G68,"*, "&amp;AL$3&amp;", *")</f>
        <v>0</v>
      </c>
      <c r="AM70" s="2">
        <f>COUNTIFS(集計用!$G68,"*, "&amp;AM$3&amp;", *")</f>
        <v>0</v>
      </c>
      <c r="AN70" s="2">
        <f>COUNTIFS(集計用!$G68,"*, "&amp;AN$3&amp;", *")</f>
        <v>0</v>
      </c>
      <c r="AO70" s="2">
        <f>COUNTIFS(集計用!$G68,"*, "&amp;AO$3&amp;", *")</f>
        <v>0</v>
      </c>
      <c r="AP70" s="2">
        <f>COUNTIFS(集計用!$G68,"*, "&amp;AP$3&amp;", *")</f>
        <v>0</v>
      </c>
      <c r="AQ70" s="2">
        <f>COUNTIFS(集計用!$G68,"*, "&amp;AQ$3&amp;", *")</f>
        <v>0</v>
      </c>
      <c r="AR70" s="2">
        <f>COUNTIFS(集計用!$G68,"*, "&amp;AR$3&amp;", *")</f>
        <v>0</v>
      </c>
      <c r="AS70" s="2">
        <f>COUNTIFS(集計用!$G68,"*, "&amp;AS$3&amp;", *")</f>
        <v>0</v>
      </c>
      <c r="AT70" s="2">
        <f>COUNTIFS(集計用!$G68,"*, "&amp;AT$3&amp;", *")</f>
        <v>0</v>
      </c>
      <c r="AU70" s="2">
        <f>COUNTIFS(集計用!$G68,"*, "&amp;AU$3&amp;", *")</f>
        <v>0</v>
      </c>
      <c r="AV70" s="2">
        <f>COUNTIFS(集計用!$G68,"*, "&amp;AV$3&amp;", *")</f>
        <v>0</v>
      </c>
      <c r="AW70" s="2">
        <f>COUNTIFS(集計用!$G68,"*, "&amp;AW$3&amp;", *")</f>
        <v>0</v>
      </c>
      <c r="AX70" s="2">
        <f>COUNTIFS(集計用!$G68,"*, "&amp;AX$3&amp;", *")</f>
        <v>0</v>
      </c>
      <c r="AY70" s="2">
        <f>COUNTIFS(集計用!$G68,"*, "&amp;AY$3&amp;", *")</f>
        <v>0</v>
      </c>
      <c r="AZ70" s="2">
        <f>COUNTIFS(集計用!$G68,"*, "&amp;AZ$3&amp;", *")</f>
        <v>0</v>
      </c>
      <c r="BA70" s="2">
        <f>COUNTIFS(集計用!$G68,"*, "&amp;BA$3&amp;", *")</f>
        <v>0</v>
      </c>
      <c r="BB70" s="2">
        <f>COUNTIFS(集計用!$G68,"*, "&amp;BB$3&amp;", *")</f>
        <v>0</v>
      </c>
      <c r="BC70" s="2">
        <f>COUNTIFS(集計用!$G68,"*, "&amp;BC$3&amp;", *")</f>
        <v>0</v>
      </c>
      <c r="BD70" s="2">
        <f>COUNTIFS(集計用!$G68,"*, "&amp;BD$3&amp;", *")</f>
        <v>0</v>
      </c>
      <c r="BE70" s="2">
        <f>COUNTIFS(集計用!$G68,"*, "&amp;BE$3&amp;", *")</f>
        <v>0</v>
      </c>
      <c r="BF70" s="2">
        <f>COUNTIFS(集計用!$G68,"*, "&amp;BF$3&amp;", *")</f>
        <v>0</v>
      </c>
      <c r="BG70" s="2">
        <f>COUNTIFS(集計用!$G68,"*, "&amp;BG$3&amp;", *")</f>
        <v>0</v>
      </c>
      <c r="BH70" s="2">
        <f>COUNTIFS(集計用!$G68,"*, "&amp;BH$3&amp;", *")</f>
        <v>0</v>
      </c>
      <c r="BI70" s="2">
        <f>COUNTIFS(集計用!$G68,"*, "&amp;BI$3&amp;", *")</f>
        <v>0</v>
      </c>
      <c r="BJ70" s="2">
        <f>LEN(集計用!H68)-LEN(SUBSTITUTE(集計用!H68,",",""))</f>
        <v>1</v>
      </c>
    </row>
    <row r="71" spans="1:62" ht="12.75">
      <c r="A71" s="8">
        <v>68</v>
      </c>
      <c r="C71" s="2">
        <f t="shared" si="2"/>
        <v>4</v>
      </c>
      <c r="D71" s="9"/>
      <c r="E71" s="2">
        <f>COUNTIFS(集計用!$G69,"*, "&amp;E$3&amp;", *")</f>
        <v>1</v>
      </c>
      <c r="F71" s="2">
        <f>COUNTIFS(集計用!$G69,"*, "&amp;F$3&amp;", *")</f>
        <v>0</v>
      </c>
      <c r="G71" s="2">
        <f>COUNTIFS(集計用!$G69,"*, "&amp;G$3&amp;", *")</f>
        <v>0</v>
      </c>
      <c r="H71" s="2">
        <f>COUNTIFS(集計用!$G69,"*, "&amp;H$3&amp;", *")</f>
        <v>1</v>
      </c>
      <c r="I71" s="2">
        <f>COUNTIFS(集計用!$G69,"*, "&amp;I$3&amp;", *")</f>
        <v>1</v>
      </c>
      <c r="J71" s="2">
        <f>COUNTIFS(集計用!$G69,"*, "&amp;J$3&amp;", *")</f>
        <v>0</v>
      </c>
      <c r="K71" s="2">
        <f>COUNTIFS(集計用!$G69,"*, "&amp;K$3&amp;", *")</f>
        <v>0</v>
      </c>
      <c r="L71" s="2">
        <f>COUNTIFS(集計用!$G69,"*, "&amp;L$3&amp;", *")</f>
        <v>0</v>
      </c>
      <c r="M71" s="2">
        <f>COUNTIFS(集計用!$G69,"*, "&amp;M$3&amp;", *")</f>
        <v>0</v>
      </c>
      <c r="N71" s="2">
        <f>COUNTIFS(集計用!$G69,"*, "&amp;N$3&amp;", *")</f>
        <v>0</v>
      </c>
      <c r="O71" s="2">
        <f>COUNTIFS(集計用!$G69,"*, "&amp;O$3&amp;", *")</f>
        <v>0</v>
      </c>
      <c r="P71" s="2">
        <f>COUNTIFS(集計用!$G69,"*, "&amp;P$3&amp;", *")</f>
        <v>1</v>
      </c>
      <c r="Q71" s="2">
        <f>COUNTIFS(集計用!$G69,"*, "&amp;Q$3&amp;", *")</f>
        <v>0</v>
      </c>
      <c r="R71" s="2">
        <f>COUNTIFS(集計用!$G69,"*, "&amp;R$3&amp;", *")</f>
        <v>0</v>
      </c>
      <c r="S71" s="2">
        <f>COUNTIFS(集計用!$G69,"*, "&amp;S$3&amp;", *")</f>
        <v>0</v>
      </c>
      <c r="T71" s="2">
        <f>COUNTIFS(集計用!$G69,"*, "&amp;T$3&amp;", *")</f>
        <v>0</v>
      </c>
      <c r="U71" s="2">
        <f>COUNTIFS(集計用!$G69,"*, "&amp;U$3&amp;", *")</f>
        <v>0</v>
      </c>
      <c r="V71" s="2">
        <f>COUNTIFS(集計用!$G69,"*, "&amp;V$3&amp;", *")</f>
        <v>0</v>
      </c>
      <c r="W71" s="2">
        <f>COUNTIFS(集計用!$G69,"*, "&amp;W$3&amp;", *")</f>
        <v>0</v>
      </c>
      <c r="X71" s="2">
        <f>COUNTIFS(集計用!$G69,"*, "&amp;X$3&amp;", *")</f>
        <v>0</v>
      </c>
      <c r="Y71" s="2">
        <f>COUNTIFS(集計用!$G69,"*, "&amp;Y$3&amp;", *")</f>
        <v>0</v>
      </c>
      <c r="Z71" s="2">
        <f>COUNTIFS(集計用!$G69,"*, "&amp;Z$3&amp;", *")</f>
        <v>0</v>
      </c>
      <c r="AA71" s="2">
        <f>COUNTIFS(集計用!$G69,"*, "&amp;AA$3&amp;", *")</f>
        <v>0</v>
      </c>
      <c r="AB71" s="2">
        <f>COUNTIFS(集計用!$G69,"*, "&amp;AB$3&amp;", *")</f>
        <v>0</v>
      </c>
      <c r="AC71" s="2">
        <f>COUNTIFS(集計用!$G69,"*, "&amp;AC$3&amp;", *")</f>
        <v>0</v>
      </c>
      <c r="AD71" s="2">
        <f>COUNTIFS(集計用!$G69,"*, "&amp;AD$3&amp;", *")</f>
        <v>0</v>
      </c>
      <c r="AE71" s="2">
        <f>COUNTIFS(集計用!$G69,"*, "&amp;AE$3&amp;", *")</f>
        <v>0</v>
      </c>
      <c r="AF71" s="2">
        <f>COUNTIFS(集計用!$G69,"*, "&amp;AF$3&amp;", *")</f>
        <v>0</v>
      </c>
      <c r="AG71" s="2">
        <f>COUNTIFS(集計用!$G69,"*, "&amp;AG$3&amp;", *")</f>
        <v>0</v>
      </c>
      <c r="AH71" s="2">
        <f>COUNTIFS(集計用!$G69,"*, "&amp;AH$3&amp;", *")</f>
        <v>0</v>
      </c>
      <c r="AI71" s="2">
        <f>COUNTIFS(集計用!$G69,"*, "&amp;AI$3&amp;", *")</f>
        <v>0</v>
      </c>
      <c r="AJ71" s="2">
        <f>COUNTIFS(集計用!$G69,"*, "&amp;AJ$3&amp;", *")</f>
        <v>0</v>
      </c>
      <c r="AK71" s="2">
        <f>COUNTIFS(集計用!$G69,"*, "&amp;AK$3&amp;", *")</f>
        <v>0</v>
      </c>
      <c r="AL71" s="2">
        <f>COUNTIFS(集計用!$G69,"*, "&amp;AL$3&amp;", *")</f>
        <v>0</v>
      </c>
      <c r="AM71" s="2">
        <f>COUNTIFS(集計用!$G69,"*, "&amp;AM$3&amp;", *")</f>
        <v>0</v>
      </c>
      <c r="AN71" s="2">
        <f>COUNTIFS(集計用!$G69,"*, "&amp;AN$3&amp;", *")</f>
        <v>0</v>
      </c>
      <c r="AO71" s="2">
        <f>COUNTIFS(集計用!$G69,"*, "&amp;AO$3&amp;", *")</f>
        <v>0</v>
      </c>
      <c r="AP71" s="2">
        <f>COUNTIFS(集計用!$G69,"*, "&amp;AP$3&amp;", *")</f>
        <v>0</v>
      </c>
      <c r="AQ71" s="2">
        <f>COUNTIFS(集計用!$G69,"*, "&amp;AQ$3&amp;", *")</f>
        <v>0</v>
      </c>
      <c r="AR71" s="2">
        <f>COUNTIFS(集計用!$G69,"*, "&amp;AR$3&amp;", *")</f>
        <v>0</v>
      </c>
      <c r="AS71" s="2">
        <f>COUNTIFS(集計用!$G69,"*, "&amp;AS$3&amp;", *")</f>
        <v>0</v>
      </c>
      <c r="AT71" s="2">
        <f>COUNTIFS(集計用!$G69,"*, "&amp;AT$3&amp;", *")</f>
        <v>0</v>
      </c>
      <c r="AU71" s="2">
        <f>COUNTIFS(集計用!$G69,"*, "&amp;AU$3&amp;", *")</f>
        <v>0</v>
      </c>
      <c r="AV71" s="2">
        <f>COUNTIFS(集計用!$G69,"*, "&amp;AV$3&amp;", *")</f>
        <v>0</v>
      </c>
      <c r="AW71" s="2">
        <f>COUNTIFS(集計用!$G69,"*, "&amp;AW$3&amp;", *")</f>
        <v>0</v>
      </c>
      <c r="AX71" s="2">
        <f>COUNTIFS(集計用!$G69,"*, "&amp;AX$3&amp;", *")</f>
        <v>0</v>
      </c>
      <c r="AY71" s="2">
        <f>COUNTIFS(集計用!$G69,"*, "&amp;AY$3&amp;", *")</f>
        <v>0</v>
      </c>
      <c r="AZ71" s="2">
        <f>COUNTIFS(集計用!$G69,"*, "&amp;AZ$3&amp;", *")</f>
        <v>0</v>
      </c>
      <c r="BA71" s="2">
        <f>COUNTIFS(集計用!$G69,"*, "&amp;BA$3&amp;", *")</f>
        <v>0</v>
      </c>
      <c r="BB71" s="2">
        <f>COUNTIFS(集計用!$G69,"*, "&amp;BB$3&amp;", *")</f>
        <v>0</v>
      </c>
      <c r="BC71" s="2">
        <f>COUNTIFS(集計用!$G69,"*, "&amp;BC$3&amp;", *")</f>
        <v>0</v>
      </c>
      <c r="BD71" s="2">
        <f>COUNTIFS(集計用!$G69,"*, "&amp;BD$3&amp;", *")</f>
        <v>0</v>
      </c>
      <c r="BE71" s="2">
        <f>COUNTIFS(集計用!$G69,"*, "&amp;BE$3&amp;", *")</f>
        <v>0</v>
      </c>
      <c r="BF71" s="2">
        <f>COUNTIFS(集計用!$G69,"*, "&amp;BF$3&amp;", *")</f>
        <v>0</v>
      </c>
      <c r="BG71" s="2">
        <f>COUNTIFS(集計用!$G69,"*, "&amp;BG$3&amp;", *")</f>
        <v>0</v>
      </c>
      <c r="BH71" s="2">
        <f>COUNTIFS(集計用!$G69,"*, "&amp;BH$3&amp;", *")</f>
        <v>0</v>
      </c>
      <c r="BI71" s="2">
        <f>COUNTIFS(集計用!$G69,"*, "&amp;BI$3&amp;", *")</f>
        <v>0</v>
      </c>
      <c r="BJ71" s="2">
        <f>LEN(集計用!H69)-LEN(SUBSTITUTE(集計用!H69,",",""))</f>
        <v>0</v>
      </c>
    </row>
    <row r="72" spans="1:62" ht="12.75">
      <c r="A72" s="8">
        <v>69</v>
      </c>
      <c r="C72" s="2">
        <f t="shared" si="2"/>
        <v>1</v>
      </c>
      <c r="D72" s="9"/>
      <c r="E72" s="2">
        <f>COUNTIFS(集計用!$G70,"*, "&amp;E$3&amp;", *")</f>
        <v>0</v>
      </c>
      <c r="F72" s="2">
        <f>COUNTIFS(集計用!$G70,"*, "&amp;F$3&amp;", *")</f>
        <v>0</v>
      </c>
      <c r="G72" s="2">
        <f>COUNTIFS(集計用!$G70,"*, "&amp;G$3&amp;", *")</f>
        <v>0</v>
      </c>
      <c r="H72" s="2">
        <f>COUNTIFS(集計用!$G70,"*, "&amp;H$3&amp;", *")</f>
        <v>0</v>
      </c>
      <c r="I72" s="2">
        <f>COUNTIFS(集計用!$G70,"*, "&amp;I$3&amp;", *")</f>
        <v>0</v>
      </c>
      <c r="J72" s="2">
        <f>COUNTIFS(集計用!$G70,"*, "&amp;J$3&amp;", *")</f>
        <v>0</v>
      </c>
      <c r="K72" s="2">
        <f>COUNTIFS(集計用!$G70,"*, "&amp;K$3&amp;", *")</f>
        <v>0</v>
      </c>
      <c r="L72" s="2">
        <f>COUNTIFS(集計用!$G70,"*, "&amp;L$3&amp;", *")</f>
        <v>0</v>
      </c>
      <c r="M72" s="2">
        <f>COUNTIFS(集計用!$G70,"*, "&amp;M$3&amp;", *")</f>
        <v>0</v>
      </c>
      <c r="N72" s="2">
        <f>COUNTIFS(集計用!$G70,"*, "&amp;N$3&amp;", *")</f>
        <v>0</v>
      </c>
      <c r="O72" s="2">
        <f>COUNTIFS(集計用!$G70,"*, "&amp;O$3&amp;", *")</f>
        <v>0</v>
      </c>
      <c r="P72" s="2">
        <f>COUNTIFS(集計用!$G70,"*, "&amp;P$3&amp;", *")</f>
        <v>0</v>
      </c>
      <c r="Q72" s="2">
        <f>COUNTIFS(集計用!$G70,"*, "&amp;Q$3&amp;", *")</f>
        <v>1</v>
      </c>
      <c r="R72" s="2">
        <f>COUNTIFS(集計用!$G70,"*, "&amp;R$3&amp;", *")</f>
        <v>0</v>
      </c>
      <c r="S72" s="2">
        <f>COUNTIFS(集計用!$G70,"*, "&amp;S$3&amp;", *")</f>
        <v>0</v>
      </c>
      <c r="T72" s="2">
        <f>COUNTIFS(集計用!$G70,"*, "&amp;T$3&amp;", *")</f>
        <v>0</v>
      </c>
      <c r="U72" s="2">
        <f>COUNTIFS(集計用!$G70,"*, "&amp;U$3&amp;", *")</f>
        <v>0</v>
      </c>
      <c r="V72" s="2">
        <f>COUNTIFS(集計用!$G70,"*, "&amp;V$3&amp;", *")</f>
        <v>0</v>
      </c>
      <c r="W72" s="2">
        <f>COUNTIFS(集計用!$G70,"*, "&amp;W$3&amp;", *")</f>
        <v>0</v>
      </c>
      <c r="X72" s="2">
        <f>COUNTIFS(集計用!$G70,"*, "&amp;X$3&amp;", *")</f>
        <v>0</v>
      </c>
      <c r="Y72" s="2">
        <f>COUNTIFS(集計用!$G70,"*, "&amp;Y$3&amp;", *")</f>
        <v>0</v>
      </c>
      <c r="Z72" s="2">
        <f>COUNTIFS(集計用!$G70,"*, "&amp;Z$3&amp;", *")</f>
        <v>0</v>
      </c>
      <c r="AA72" s="2">
        <f>COUNTIFS(集計用!$G70,"*, "&amp;AA$3&amp;", *")</f>
        <v>0</v>
      </c>
      <c r="AB72" s="2">
        <f>COUNTIFS(集計用!$G70,"*, "&amp;AB$3&amp;", *")</f>
        <v>0</v>
      </c>
      <c r="AC72" s="2">
        <f>COUNTIFS(集計用!$G70,"*, "&amp;AC$3&amp;", *")</f>
        <v>0</v>
      </c>
      <c r="AD72" s="2">
        <f>COUNTIFS(集計用!$G70,"*, "&amp;AD$3&amp;", *")</f>
        <v>0</v>
      </c>
      <c r="AE72" s="2">
        <f>COUNTIFS(集計用!$G70,"*, "&amp;AE$3&amp;", *")</f>
        <v>0</v>
      </c>
      <c r="AF72" s="2">
        <f>COUNTIFS(集計用!$G70,"*, "&amp;AF$3&amp;", *")</f>
        <v>0</v>
      </c>
      <c r="AG72" s="2">
        <f>COUNTIFS(集計用!$G70,"*, "&amp;AG$3&amp;", *")</f>
        <v>0</v>
      </c>
      <c r="AH72" s="2">
        <f>COUNTIFS(集計用!$G70,"*, "&amp;AH$3&amp;", *")</f>
        <v>0</v>
      </c>
      <c r="AI72" s="2">
        <f>COUNTIFS(集計用!$G70,"*, "&amp;AI$3&amp;", *")</f>
        <v>0</v>
      </c>
      <c r="AJ72" s="2">
        <f>COUNTIFS(集計用!$G70,"*, "&amp;AJ$3&amp;", *")</f>
        <v>0</v>
      </c>
      <c r="AK72" s="2">
        <f>COUNTIFS(集計用!$G70,"*, "&amp;AK$3&amp;", *")</f>
        <v>0</v>
      </c>
      <c r="AL72" s="2">
        <f>COUNTIFS(集計用!$G70,"*, "&amp;AL$3&amp;", *")</f>
        <v>0</v>
      </c>
      <c r="AM72" s="2">
        <f>COUNTIFS(集計用!$G70,"*, "&amp;AM$3&amp;", *")</f>
        <v>0</v>
      </c>
      <c r="AN72" s="2">
        <f>COUNTIFS(集計用!$G70,"*, "&amp;AN$3&amp;", *")</f>
        <v>0</v>
      </c>
      <c r="AO72" s="2">
        <f>COUNTIFS(集計用!$G70,"*, "&amp;AO$3&amp;", *")</f>
        <v>0</v>
      </c>
      <c r="AP72" s="2">
        <f>COUNTIFS(集計用!$G70,"*, "&amp;AP$3&amp;", *")</f>
        <v>0</v>
      </c>
      <c r="AQ72" s="2">
        <f>COUNTIFS(集計用!$G70,"*, "&amp;AQ$3&amp;", *")</f>
        <v>0</v>
      </c>
      <c r="AR72" s="2">
        <f>COUNTIFS(集計用!$G70,"*, "&amp;AR$3&amp;", *")</f>
        <v>0</v>
      </c>
      <c r="AS72" s="2">
        <f>COUNTIFS(集計用!$G70,"*, "&amp;AS$3&amp;", *")</f>
        <v>0</v>
      </c>
      <c r="AT72" s="2">
        <f>COUNTIFS(集計用!$G70,"*, "&amp;AT$3&amp;", *")</f>
        <v>0</v>
      </c>
      <c r="AU72" s="2">
        <f>COUNTIFS(集計用!$G70,"*, "&amp;AU$3&amp;", *")</f>
        <v>0</v>
      </c>
      <c r="AV72" s="2">
        <f>COUNTIFS(集計用!$G70,"*, "&amp;AV$3&amp;", *")</f>
        <v>0</v>
      </c>
      <c r="AW72" s="2">
        <f>COUNTIFS(集計用!$G70,"*, "&amp;AW$3&amp;", *")</f>
        <v>0</v>
      </c>
      <c r="AX72" s="2">
        <f>COUNTIFS(集計用!$G70,"*, "&amp;AX$3&amp;", *")</f>
        <v>0</v>
      </c>
      <c r="AY72" s="2">
        <f>COUNTIFS(集計用!$G70,"*, "&amp;AY$3&amp;", *")</f>
        <v>0</v>
      </c>
      <c r="AZ72" s="2">
        <f>COUNTIFS(集計用!$G70,"*, "&amp;AZ$3&amp;", *")</f>
        <v>0</v>
      </c>
      <c r="BA72" s="2">
        <f>COUNTIFS(集計用!$G70,"*, "&amp;BA$3&amp;", *")</f>
        <v>0</v>
      </c>
      <c r="BB72" s="2">
        <f>COUNTIFS(集計用!$G70,"*, "&amp;BB$3&amp;", *")</f>
        <v>0</v>
      </c>
      <c r="BC72" s="2">
        <f>COUNTIFS(集計用!$G70,"*, "&amp;BC$3&amp;", *")</f>
        <v>0</v>
      </c>
      <c r="BD72" s="2">
        <f>COUNTIFS(集計用!$G70,"*, "&amp;BD$3&amp;", *")</f>
        <v>0</v>
      </c>
      <c r="BE72" s="2">
        <f>COUNTIFS(集計用!$G70,"*, "&amp;BE$3&amp;", *")</f>
        <v>0</v>
      </c>
      <c r="BF72" s="2">
        <f>COUNTIFS(集計用!$G70,"*, "&amp;BF$3&amp;", *")</f>
        <v>0</v>
      </c>
      <c r="BG72" s="2">
        <f>COUNTIFS(集計用!$G70,"*, "&amp;BG$3&amp;", *")</f>
        <v>0</v>
      </c>
      <c r="BH72" s="2">
        <f>COUNTIFS(集計用!$G70,"*, "&amp;BH$3&amp;", *")</f>
        <v>0</v>
      </c>
      <c r="BI72" s="2">
        <f>COUNTIFS(集計用!$G70,"*, "&amp;BI$3&amp;", *")</f>
        <v>0</v>
      </c>
      <c r="BJ72" s="2">
        <f>LEN(集計用!H70)-LEN(SUBSTITUTE(集計用!H70,",",""))</f>
        <v>0</v>
      </c>
    </row>
    <row r="73" spans="1:62" ht="12.75">
      <c r="A73" s="8">
        <v>70</v>
      </c>
      <c r="C73" s="2">
        <f t="shared" si="2"/>
        <v>1</v>
      </c>
      <c r="D73" s="9"/>
      <c r="E73" s="2">
        <f>COUNTIFS(集計用!$G71,"*, "&amp;E$3&amp;", *")</f>
        <v>0</v>
      </c>
      <c r="F73" s="2">
        <f>COUNTIFS(集計用!$G71,"*, "&amp;F$3&amp;", *")</f>
        <v>0</v>
      </c>
      <c r="G73" s="2">
        <f>COUNTIFS(集計用!$G71,"*, "&amp;G$3&amp;", *")</f>
        <v>0</v>
      </c>
      <c r="H73" s="2">
        <f>COUNTIFS(集計用!$G71,"*, "&amp;H$3&amp;", *")</f>
        <v>0</v>
      </c>
      <c r="I73" s="2">
        <f>COUNTIFS(集計用!$G71,"*, "&amp;I$3&amp;", *")</f>
        <v>0</v>
      </c>
      <c r="J73" s="2">
        <f>COUNTIFS(集計用!$G71,"*, "&amp;J$3&amp;", *")</f>
        <v>0</v>
      </c>
      <c r="K73" s="2">
        <f>COUNTIFS(集計用!$G71,"*, "&amp;K$3&amp;", *")</f>
        <v>0</v>
      </c>
      <c r="L73" s="2">
        <f>COUNTIFS(集計用!$G71,"*, "&amp;L$3&amp;", *")</f>
        <v>0</v>
      </c>
      <c r="M73" s="2">
        <f>COUNTIFS(集計用!$G71,"*, "&amp;M$3&amp;", *")</f>
        <v>0</v>
      </c>
      <c r="N73" s="2">
        <f>COUNTIFS(集計用!$G71,"*, "&amp;N$3&amp;", *")</f>
        <v>0</v>
      </c>
      <c r="O73" s="2">
        <f>COUNTIFS(集計用!$G71,"*, "&amp;O$3&amp;", *")</f>
        <v>0</v>
      </c>
      <c r="P73" s="2">
        <f>COUNTIFS(集計用!$G71,"*, "&amp;P$3&amp;", *")</f>
        <v>0</v>
      </c>
      <c r="Q73" s="2">
        <f>COUNTIFS(集計用!$G71,"*, "&amp;Q$3&amp;", *")</f>
        <v>0</v>
      </c>
      <c r="R73" s="2">
        <f>COUNTIFS(集計用!$G71,"*, "&amp;R$3&amp;", *")</f>
        <v>0</v>
      </c>
      <c r="S73" s="2">
        <f>COUNTIFS(集計用!$G71,"*, "&amp;S$3&amp;", *")</f>
        <v>0</v>
      </c>
      <c r="T73" s="2">
        <f>COUNTIFS(集計用!$G71,"*, "&amp;T$3&amp;", *")</f>
        <v>0</v>
      </c>
      <c r="U73" s="2">
        <f>COUNTIFS(集計用!$G71,"*, "&amp;U$3&amp;", *")</f>
        <v>0</v>
      </c>
      <c r="V73" s="2">
        <f>COUNTIFS(集計用!$G71,"*, "&amp;V$3&amp;", *")</f>
        <v>0</v>
      </c>
      <c r="W73" s="2">
        <f>COUNTIFS(集計用!$G71,"*, "&amp;W$3&amp;", *")</f>
        <v>0</v>
      </c>
      <c r="X73" s="2">
        <f>COUNTIFS(集計用!$G71,"*, "&amp;X$3&amp;", *")</f>
        <v>0</v>
      </c>
      <c r="Y73" s="2">
        <f>COUNTIFS(集計用!$G71,"*, "&amp;Y$3&amp;", *")</f>
        <v>0</v>
      </c>
      <c r="Z73" s="2">
        <f>COUNTIFS(集計用!$G71,"*, "&amp;Z$3&amp;", *")</f>
        <v>0</v>
      </c>
      <c r="AA73" s="2">
        <f>COUNTIFS(集計用!$G71,"*, "&amp;AA$3&amp;", *")</f>
        <v>0</v>
      </c>
      <c r="AB73" s="2">
        <f>COUNTIFS(集計用!$G71,"*, "&amp;AB$3&amp;", *")</f>
        <v>0</v>
      </c>
      <c r="AC73" s="2">
        <f>COUNTIFS(集計用!$G71,"*, "&amp;AC$3&amp;", *")</f>
        <v>0</v>
      </c>
      <c r="AD73" s="2">
        <f>COUNTIFS(集計用!$G71,"*, "&amp;AD$3&amp;", *")</f>
        <v>0</v>
      </c>
      <c r="AE73" s="2">
        <f>COUNTIFS(集計用!$G71,"*, "&amp;AE$3&amp;", *")</f>
        <v>0</v>
      </c>
      <c r="AF73" s="2">
        <f>COUNTIFS(集計用!$G71,"*, "&amp;AF$3&amp;", *")</f>
        <v>1</v>
      </c>
      <c r="AG73" s="2">
        <f>COUNTIFS(集計用!$G71,"*, "&amp;AG$3&amp;", *")</f>
        <v>0</v>
      </c>
      <c r="AH73" s="2">
        <f>COUNTIFS(集計用!$G71,"*, "&amp;AH$3&amp;", *")</f>
        <v>0</v>
      </c>
      <c r="AI73" s="2">
        <f>COUNTIFS(集計用!$G71,"*, "&amp;AI$3&amp;", *")</f>
        <v>0</v>
      </c>
      <c r="AJ73" s="2">
        <f>COUNTIFS(集計用!$G71,"*, "&amp;AJ$3&amp;", *")</f>
        <v>0</v>
      </c>
      <c r="AK73" s="2">
        <f>COUNTIFS(集計用!$G71,"*, "&amp;AK$3&amp;", *")</f>
        <v>0</v>
      </c>
      <c r="AL73" s="2">
        <f>COUNTIFS(集計用!$G71,"*, "&amp;AL$3&amp;", *")</f>
        <v>0</v>
      </c>
      <c r="AM73" s="2">
        <f>COUNTIFS(集計用!$G71,"*, "&amp;AM$3&amp;", *")</f>
        <v>0</v>
      </c>
      <c r="AN73" s="2">
        <f>COUNTIFS(集計用!$G71,"*, "&amp;AN$3&amp;", *")</f>
        <v>0</v>
      </c>
      <c r="AO73" s="2">
        <f>COUNTIFS(集計用!$G71,"*, "&amp;AO$3&amp;", *")</f>
        <v>0</v>
      </c>
      <c r="AP73" s="2">
        <f>COUNTIFS(集計用!$G71,"*, "&amp;AP$3&amp;", *")</f>
        <v>0</v>
      </c>
      <c r="AQ73" s="2">
        <f>COUNTIFS(集計用!$G71,"*, "&amp;AQ$3&amp;", *")</f>
        <v>0</v>
      </c>
      <c r="AR73" s="2">
        <f>COUNTIFS(集計用!$G71,"*, "&amp;AR$3&amp;", *")</f>
        <v>0</v>
      </c>
      <c r="AS73" s="2">
        <f>COUNTIFS(集計用!$G71,"*, "&amp;AS$3&amp;", *")</f>
        <v>0</v>
      </c>
      <c r="AT73" s="2">
        <f>COUNTIFS(集計用!$G71,"*, "&amp;AT$3&amp;", *")</f>
        <v>0</v>
      </c>
      <c r="AU73" s="2">
        <f>COUNTIFS(集計用!$G71,"*, "&amp;AU$3&amp;", *")</f>
        <v>0</v>
      </c>
      <c r="AV73" s="2">
        <f>COUNTIFS(集計用!$G71,"*, "&amp;AV$3&amp;", *")</f>
        <v>0</v>
      </c>
      <c r="AW73" s="2">
        <f>COUNTIFS(集計用!$G71,"*, "&amp;AW$3&amp;", *")</f>
        <v>0</v>
      </c>
      <c r="AX73" s="2">
        <f>COUNTIFS(集計用!$G71,"*, "&amp;AX$3&amp;", *")</f>
        <v>0</v>
      </c>
      <c r="AY73" s="2">
        <f>COUNTIFS(集計用!$G71,"*, "&amp;AY$3&amp;", *")</f>
        <v>0</v>
      </c>
      <c r="AZ73" s="2">
        <f>COUNTIFS(集計用!$G71,"*, "&amp;AZ$3&amp;", *")</f>
        <v>0</v>
      </c>
      <c r="BA73" s="2">
        <f>COUNTIFS(集計用!$G71,"*, "&amp;BA$3&amp;", *")</f>
        <v>0</v>
      </c>
      <c r="BB73" s="2">
        <f>COUNTIFS(集計用!$G71,"*, "&amp;BB$3&amp;", *")</f>
        <v>0</v>
      </c>
      <c r="BC73" s="2">
        <f>COUNTIFS(集計用!$G71,"*, "&amp;BC$3&amp;", *")</f>
        <v>0</v>
      </c>
      <c r="BD73" s="2">
        <f>COUNTIFS(集計用!$G71,"*, "&amp;BD$3&amp;", *")</f>
        <v>0</v>
      </c>
      <c r="BE73" s="2">
        <f>COUNTIFS(集計用!$G71,"*, "&amp;BE$3&amp;", *")</f>
        <v>0</v>
      </c>
      <c r="BF73" s="2">
        <f>COUNTIFS(集計用!$G71,"*, "&amp;BF$3&amp;", *")</f>
        <v>0</v>
      </c>
      <c r="BG73" s="2">
        <f>COUNTIFS(集計用!$G71,"*, "&amp;BG$3&amp;", *")</f>
        <v>0</v>
      </c>
      <c r="BH73" s="2">
        <f>COUNTIFS(集計用!$G71,"*, "&amp;BH$3&amp;", *")</f>
        <v>0</v>
      </c>
      <c r="BI73" s="2">
        <f>COUNTIFS(集計用!$G71,"*, "&amp;BI$3&amp;", *")</f>
        <v>0</v>
      </c>
      <c r="BJ73" s="2">
        <f>LEN(集計用!H71)-LEN(SUBSTITUTE(集計用!H71,",",""))</f>
        <v>0</v>
      </c>
    </row>
    <row r="74" spans="1:62" ht="12.75">
      <c r="A74" s="8">
        <v>71</v>
      </c>
      <c r="C74" s="2">
        <f t="shared" si="2"/>
        <v>2</v>
      </c>
      <c r="D74" s="9"/>
      <c r="E74" s="2">
        <f>COUNTIFS(集計用!$G72,"*, "&amp;E$3&amp;", *")</f>
        <v>1</v>
      </c>
      <c r="F74" s="2">
        <f>COUNTIFS(集計用!$G72,"*, "&amp;F$3&amp;", *")</f>
        <v>0</v>
      </c>
      <c r="G74" s="2">
        <f>COUNTIFS(集計用!$G72,"*, "&amp;G$3&amp;", *")</f>
        <v>1</v>
      </c>
      <c r="H74" s="2">
        <f>COUNTIFS(集計用!$G72,"*, "&amp;H$3&amp;", *")</f>
        <v>0</v>
      </c>
      <c r="I74" s="2">
        <f>COUNTIFS(集計用!$G72,"*, "&amp;I$3&amp;", *")</f>
        <v>0</v>
      </c>
      <c r="J74" s="2">
        <f>COUNTIFS(集計用!$G72,"*, "&amp;J$3&amp;", *")</f>
        <v>0</v>
      </c>
      <c r="K74" s="2">
        <f>COUNTIFS(集計用!$G72,"*, "&amp;K$3&amp;", *")</f>
        <v>0</v>
      </c>
      <c r="L74" s="2">
        <f>COUNTIFS(集計用!$G72,"*, "&amp;L$3&amp;", *")</f>
        <v>0</v>
      </c>
      <c r="M74" s="2">
        <f>COUNTIFS(集計用!$G72,"*, "&amp;M$3&amp;", *")</f>
        <v>0</v>
      </c>
      <c r="N74" s="2">
        <f>COUNTIFS(集計用!$G72,"*, "&amp;N$3&amp;", *")</f>
        <v>0</v>
      </c>
      <c r="O74" s="2">
        <f>COUNTIFS(集計用!$G72,"*, "&amp;O$3&amp;", *")</f>
        <v>0</v>
      </c>
      <c r="P74" s="2">
        <f>COUNTIFS(集計用!$G72,"*, "&amp;P$3&amp;", *")</f>
        <v>0</v>
      </c>
      <c r="Q74" s="2">
        <f>COUNTIFS(集計用!$G72,"*, "&amp;Q$3&amp;", *")</f>
        <v>0</v>
      </c>
      <c r="R74" s="2">
        <f>COUNTIFS(集計用!$G72,"*, "&amp;R$3&amp;", *")</f>
        <v>0</v>
      </c>
      <c r="S74" s="2">
        <f>COUNTIFS(集計用!$G72,"*, "&amp;S$3&amp;", *")</f>
        <v>0</v>
      </c>
      <c r="T74" s="2">
        <f>COUNTIFS(集計用!$G72,"*, "&amp;T$3&amp;", *")</f>
        <v>0</v>
      </c>
      <c r="U74" s="2">
        <f>COUNTIFS(集計用!$G72,"*, "&amp;U$3&amp;", *")</f>
        <v>0</v>
      </c>
      <c r="V74" s="2">
        <f>COUNTIFS(集計用!$G72,"*, "&amp;V$3&amp;", *")</f>
        <v>0</v>
      </c>
      <c r="W74" s="2">
        <f>COUNTIFS(集計用!$G72,"*, "&amp;W$3&amp;", *")</f>
        <v>0</v>
      </c>
      <c r="X74" s="2">
        <f>COUNTIFS(集計用!$G72,"*, "&amp;X$3&amp;", *")</f>
        <v>0</v>
      </c>
      <c r="Y74" s="2">
        <f>COUNTIFS(集計用!$G72,"*, "&amp;Y$3&amp;", *")</f>
        <v>0</v>
      </c>
      <c r="Z74" s="2">
        <f>COUNTIFS(集計用!$G72,"*, "&amp;Z$3&amp;", *")</f>
        <v>0</v>
      </c>
      <c r="AA74" s="2">
        <f>COUNTIFS(集計用!$G72,"*, "&amp;AA$3&amp;", *")</f>
        <v>0</v>
      </c>
      <c r="AB74" s="2">
        <f>COUNTIFS(集計用!$G72,"*, "&amp;AB$3&amp;", *")</f>
        <v>0</v>
      </c>
      <c r="AC74" s="2">
        <f>COUNTIFS(集計用!$G72,"*, "&amp;AC$3&amp;", *")</f>
        <v>0</v>
      </c>
      <c r="AD74" s="2">
        <f>COUNTIFS(集計用!$G72,"*, "&amp;AD$3&amp;", *")</f>
        <v>0</v>
      </c>
      <c r="AE74" s="2">
        <f>COUNTIFS(集計用!$G72,"*, "&amp;AE$3&amp;", *")</f>
        <v>0</v>
      </c>
      <c r="AF74" s="2">
        <f>COUNTIFS(集計用!$G72,"*, "&amp;AF$3&amp;", *")</f>
        <v>0</v>
      </c>
      <c r="AG74" s="2">
        <f>COUNTIFS(集計用!$G72,"*, "&amp;AG$3&amp;", *")</f>
        <v>0</v>
      </c>
      <c r="AH74" s="2">
        <f>COUNTIFS(集計用!$G72,"*, "&amp;AH$3&amp;", *")</f>
        <v>0</v>
      </c>
      <c r="AI74" s="2">
        <f>COUNTIFS(集計用!$G72,"*, "&amp;AI$3&amp;", *")</f>
        <v>0</v>
      </c>
      <c r="AJ74" s="2">
        <f>COUNTIFS(集計用!$G72,"*, "&amp;AJ$3&amp;", *")</f>
        <v>0</v>
      </c>
      <c r="AK74" s="2">
        <f>COUNTIFS(集計用!$G72,"*, "&amp;AK$3&amp;", *")</f>
        <v>0</v>
      </c>
      <c r="AL74" s="2">
        <f>COUNTIFS(集計用!$G72,"*, "&amp;AL$3&amp;", *")</f>
        <v>0</v>
      </c>
      <c r="AM74" s="2">
        <f>COUNTIFS(集計用!$G72,"*, "&amp;AM$3&amp;", *")</f>
        <v>0</v>
      </c>
      <c r="AN74" s="2">
        <f>COUNTIFS(集計用!$G72,"*, "&amp;AN$3&amp;", *")</f>
        <v>0</v>
      </c>
      <c r="AO74" s="2">
        <f>COUNTIFS(集計用!$G72,"*, "&amp;AO$3&amp;", *")</f>
        <v>0</v>
      </c>
      <c r="AP74" s="2">
        <f>COUNTIFS(集計用!$G72,"*, "&amp;AP$3&amp;", *")</f>
        <v>0</v>
      </c>
      <c r="AQ74" s="2">
        <f>COUNTIFS(集計用!$G72,"*, "&amp;AQ$3&amp;", *")</f>
        <v>0</v>
      </c>
      <c r="AR74" s="2">
        <f>COUNTIFS(集計用!$G72,"*, "&amp;AR$3&amp;", *")</f>
        <v>0</v>
      </c>
      <c r="AS74" s="2">
        <f>COUNTIFS(集計用!$G72,"*, "&amp;AS$3&amp;", *")</f>
        <v>0</v>
      </c>
      <c r="AT74" s="2">
        <f>COUNTIFS(集計用!$G72,"*, "&amp;AT$3&amp;", *")</f>
        <v>0</v>
      </c>
      <c r="AU74" s="2">
        <f>COUNTIFS(集計用!$G72,"*, "&amp;AU$3&amp;", *")</f>
        <v>0</v>
      </c>
      <c r="AV74" s="2">
        <f>COUNTIFS(集計用!$G72,"*, "&amp;AV$3&amp;", *")</f>
        <v>0</v>
      </c>
      <c r="AW74" s="2">
        <f>COUNTIFS(集計用!$G72,"*, "&amp;AW$3&amp;", *")</f>
        <v>0</v>
      </c>
      <c r="AX74" s="2">
        <f>COUNTIFS(集計用!$G72,"*, "&amp;AX$3&amp;", *")</f>
        <v>0</v>
      </c>
      <c r="AY74" s="2">
        <f>COUNTIFS(集計用!$G72,"*, "&amp;AY$3&amp;", *")</f>
        <v>0</v>
      </c>
      <c r="AZ74" s="2">
        <f>COUNTIFS(集計用!$G72,"*, "&amp;AZ$3&amp;", *")</f>
        <v>0</v>
      </c>
      <c r="BA74" s="2">
        <f>COUNTIFS(集計用!$G72,"*, "&amp;BA$3&amp;", *")</f>
        <v>0</v>
      </c>
      <c r="BB74" s="2">
        <f>COUNTIFS(集計用!$G72,"*, "&amp;BB$3&amp;", *")</f>
        <v>0</v>
      </c>
      <c r="BC74" s="2">
        <f>COUNTIFS(集計用!$G72,"*, "&amp;BC$3&amp;", *")</f>
        <v>0</v>
      </c>
      <c r="BD74" s="2">
        <f>COUNTIFS(集計用!$G72,"*, "&amp;BD$3&amp;", *")</f>
        <v>0</v>
      </c>
      <c r="BE74" s="2">
        <f>COUNTIFS(集計用!$G72,"*, "&amp;BE$3&amp;", *")</f>
        <v>0</v>
      </c>
      <c r="BF74" s="2">
        <f>COUNTIFS(集計用!$G72,"*, "&amp;BF$3&amp;", *")</f>
        <v>0</v>
      </c>
      <c r="BG74" s="2">
        <f>COUNTIFS(集計用!$G72,"*, "&amp;BG$3&amp;", *")</f>
        <v>0</v>
      </c>
      <c r="BH74" s="2">
        <f>COUNTIFS(集計用!$G72,"*, "&amp;BH$3&amp;", *")</f>
        <v>0</v>
      </c>
      <c r="BI74" s="2">
        <f>COUNTIFS(集計用!$G72,"*, "&amp;BI$3&amp;", *")</f>
        <v>0</v>
      </c>
      <c r="BJ74" s="2">
        <f>LEN(集計用!H72)-LEN(SUBSTITUTE(集計用!H72,",",""))</f>
        <v>0</v>
      </c>
    </row>
    <row r="75" spans="1:62" ht="12.75">
      <c r="A75" s="8">
        <v>72</v>
      </c>
      <c r="C75" s="2">
        <f t="shared" si="2"/>
        <v>4</v>
      </c>
      <c r="D75" s="9"/>
      <c r="E75" s="2">
        <f>COUNTIFS(集計用!$G73,"*, "&amp;E$3&amp;", *")</f>
        <v>1</v>
      </c>
      <c r="F75" s="2">
        <f>COUNTIFS(集計用!$G73,"*, "&amp;F$3&amp;", *")</f>
        <v>0</v>
      </c>
      <c r="G75" s="2">
        <f>COUNTIFS(集計用!$G73,"*, "&amp;G$3&amp;", *")</f>
        <v>0</v>
      </c>
      <c r="H75" s="2">
        <f>COUNTIFS(集計用!$G73,"*, "&amp;H$3&amp;", *")</f>
        <v>1</v>
      </c>
      <c r="I75" s="2">
        <f>COUNTIFS(集計用!$G73,"*, "&amp;I$3&amp;", *")</f>
        <v>0</v>
      </c>
      <c r="J75" s="2">
        <f>COUNTIFS(集計用!$G73,"*, "&amp;J$3&amp;", *")</f>
        <v>0</v>
      </c>
      <c r="K75" s="2">
        <f>COUNTIFS(集計用!$G73,"*, "&amp;K$3&amp;", *")</f>
        <v>0</v>
      </c>
      <c r="L75" s="2">
        <f>COUNTIFS(集計用!$G73,"*, "&amp;L$3&amp;", *")</f>
        <v>0</v>
      </c>
      <c r="M75" s="2">
        <f>COUNTIFS(集計用!$G73,"*, "&amp;M$3&amp;", *")</f>
        <v>0</v>
      </c>
      <c r="N75" s="2">
        <f>COUNTIFS(集計用!$G73,"*, "&amp;N$3&amp;", *")</f>
        <v>0</v>
      </c>
      <c r="O75" s="2">
        <f>COUNTIFS(集計用!$G73,"*, "&amp;O$3&amp;", *")</f>
        <v>0</v>
      </c>
      <c r="P75" s="2">
        <f>COUNTIFS(集計用!$G73,"*, "&amp;P$3&amp;", *")</f>
        <v>0</v>
      </c>
      <c r="Q75" s="2">
        <f>COUNTIFS(集計用!$G73,"*, "&amp;Q$3&amp;", *")</f>
        <v>0</v>
      </c>
      <c r="R75" s="2">
        <f>COUNTIFS(集計用!$G73,"*, "&amp;R$3&amp;", *")</f>
        <v>1</v>
      </c>
      <c r="S75" s="2">
        <f>COUNTIFS(集計用!$G73,"*, "&amp;S$3&amp;", *")</f>
        <v>0</v>
      </c>
      <c r="T75" s="2">
        <f>COUNTIFS(集計用!$G73,"*, "&amp;T$3&amp;", *")</f>
        <v>0</v>
      </c>
      <c r="U75" s="2">
        <f>COUNTIFS(集計用!$G73,"*, "&amp;U$3&amp;", *")</f>
        <v>0</v>
      </c>
      <c r="V75" s="2">
        <f>COUNTIFS(集計用!$G73,"*, "&amp;V$3&amp;", *")</f>
        <v>0</v>
      </c>
      <c r="W75" s="2">
        <f>COUNTIFS(集計用!$G73,"*, "&amp;W$3&amp;", *")</f>
        <v>0</v>
      </c>
      <c r="X75" s="2">
        <f>COUNTIFS(集計用!$G73,"*, "&amp;X$3&amp;", *")</f>
        <v>0</v>
      </c>
      <c r="Y75" s="2">
        <f>COUNTIFS(集計用!$G73,"*, "&amp;Y$3&amp;", *")</f>
        <v>0</v>
      </c>
      <c r="Z75" s="2">
        <f>COUNTIFS(集計用!$G73,"*, "&amp;Z$3&amp;", *")</f>
        <v>0</v>
      </c>
      <c r="AA75" s="2">
        <f>COUNTIFS(集計用!$G73,"*, "&amp;AA$3&amp;", *")</f>
        <v>0</v>
      </c>
      <c r="AB75" s="2">
        <f>COUNTIFS(集計用!$G73,"*, "&amp;AB$3&amp;", *")</f>
        <v>0</v>
      </c>
      <c r="AC75" s="2">
        <f>COUNTIFS(集計用!$G73,"*, "&amp;AC$3&amp;", *")</f>
        <v>0</v>
      </c>
      <c r="AD75" s="2">
        <f>COUNTIFS(集計用!$G73,"*, "&amp;AD$3&amp;", *")</f>
        <v>0</v>
      </c>
      <c r="AE75" s="2">
        <f>COUNTIFS(集計用!$G73,"*, "&amp;AE$3&amp;", *")</f>
        <v>0</v>
      </c>
      <c r="AF75" s="2">
        <f>COUNTIFS(集計用!$G73,"*, "&amp;AF$3&amp;", *")</f>
        <v>0</v>
      </c>
      <c r="AG75" s="2">
        <f>COUNTIFS(集計用!$G73,"*, "&amp;AG$3&amp;", *")</f>
        <v>0</v>
      </c>
      <c r="AH75" s="2">
        <f>COUNTIFS(集計用!$G73,"*, "&amp;AH$3&amp;", *")</f>
        <v>0</v>
      </c>
      <c r="AI75" s="2">
        <f>COUNTIFS(集計用!$G73,"*, "&amp;AI$3&amp;", *")</f>
        <v>0</v>
      </c>
      <c r="AJ75" s="2">
        <f>COUNTIFS(集計用!$G73,"*, "&amp;AJ$3&amp;", *")</f>
        <v>0</v>
      </c>
      <c r="AK75" s="2">
        <f>COUNTIFS(集計用!$G73,"*, "&amp;AK$3&amp;", *")</f>
        <v>0</v>
      </c>
      <c r="AL75" s="2">
        <f>COUNTIFS(集計用!$G73,"*, "&amp;AL$3&amp;", *")</f>
        <v>0</v>
      </c>
      <c r="AM75" s="2">
        <f>COUNTIFS(集計用!$G73,"*, "&amp;AM$3&amp;", *")</f>
        <v>0</v>
      </c>
      <c r="AN75" s="2">
        <f>COUNTIFS(集計用!$G73,"*, "&amp;AN$3&amp;", *")</f>
        <v>0</v>
      </c>
      <c r="AO75" s="2">
        <f>COUNTIFS(集計用!$G73,"*, "&amp;AO$3&amp;", *")</f>
        <v>0</v>
      </c>
      <c r="AP75" s="2">
        <f>COUNTIFS(集計用!$G73,"*, "&amp;AP$3&amp;", *")</f>
        <v>0</v>
      </c>
      <c r="AQ75" s="2">
        <f>COUNTIFS(集計用!$G73,"*, "&amp;AQ$3&amp;", *")</f>
        <v>0</v>
      </c>
      <c r="AR75" s="2">
        <f>COUNTIFS(集計用!$G73,"*, "&amp;AR$3&amp;", *")</f>
        <v>0</v>
      </c>
      <c r="AS75" s="2">
        <f>COUNTIFS(集計用!$G73,"*, "&amp;AS$3&amp;", *")</f>
        <v>0</v>
      </c>
      <c r="AT75" s="2">
        <f>COUNTIFS(集計用!$G73,"*, "&amp;AT$3&amp;", *")</f>
        <v>0</v>
      </c>
      <c r="AU75" s="2">
        <f>COUNTIFS(集計用!$G73,"*, "&amp;AU$3&amp;", *")</f>
        <v>0</v>
      </c>
      <c r="AV75" s="2">
        <f>COUNTIFS(集計用!$G73,"*, "&amp;AV$3&amp;", *")</f>
        <v>0</v>
      </c>
      <c r="AW75" s="2">
        <f>COUNTIFS(集計用!$G73,"*, "&amp;AW$3&amp;", *")</f>
        <v>1</v>
      </c>
      <c r="AX75" s="2">
        <f>COUNTIFS(集計用!$G73,"*, "&amp;AX$3&amp;", *")</f>
        <v>0</v>
      </c>
      <c r="AY75" s="2">
        <f>COUNTIFS(集計用!$G73,"*, "&amp;AY$3&amp;", *")</f>
        <v>0</v>
      </c>
      <c r="AZ75" s="2">
        <f>COUNTIFS(集計用!$G73,"*, "&amp;AZ$3&amp;", *")</f>
        <v>0</v>
      </c>
      <c r="BA75" s="2">
        <f>COUNTIFS(集計用!$G73,"*, "&amp;BA$3&amp;", *")</f>
        <v>0</v>
      </c>
      <c r="BB75" s="2">
        <f>COUNTIFS(集計用!$G73,"*, "&amp;BB$3&amp;", *")</f>
        <v>0</v>
      </c>
      <c r="BC75" s="2">
        <f>COUNTIFS(集計用!$G73,"*, "&amp;BC$3&amp;", *")</f>
        <v>0</v>
      </c>
      <c r="BD75" s="2">
        <f>COUNTIFS(集計用!$G73,"*, "&amp;BD$3&amp;", *")</f>
        <v>0</v>
      </c>
      <c r="BE75" s="2">
        <f>COUNTIFS(集計用!$G73,"*, "&amp;BE$3&amp;", *")</f>
        <v>0</v>
      </c>
      <c r="BF75" s="2">
        <f>COUNTIFS(集計用!$G73,"*, "&amp;BF$3&amp;", *")</f>
        <v>0</v>
      </c>
      <c r="BG75" s="2">
        <f>COUNTIFS(集計用!$G73,"*, "&amp;BG$3&amp;", *")</f>
        <v>0</v>
      </c>
      <c r="BH75" s="2">
        <f>COUNTIFS(集計用!$G73,"*, "&amp;BH$3&amp;", *")</f>
        <v>0</v>
      </c>
      <c r="BI75" s="2">
        <f>COUNTIFS(集計用!$G73,"*, "&amp;BI$3&amp;", *")</f>
        <v>0</v>
      </c>
      <c r="BJ75" s="2">
        <f>LEN(集計用!H73)-LEN(SUBSTITUTE(集計用!H73,",",""))</f>
        <v>0</v>
      </c>
    </row>
    <row r="76" spans="1:62" ht="12.75">
      <c r="A76" s="8">
        <v>73</v>
      </c>
      <c r="C76" s="2">
        <f t="shared" si="2"/>
        <v>3</v>
      </c>
      <c r="D76" s="9"/>
      <c r="E76" s="2">
        <f>COUNTIFS(集計用!$G74,"*, "&amp;E$3&amp;", *")</f>
        <v>0</v>
      </c>
      <c r="F76" s="2">
        <f>COUNTIFS(集計用!$G74,"*, "&amp;F$3&amp;", *")</f>
        <v>0</v>
      </c>
      <c r="G76" s="2">
        <f>COUNTIFS(集計用!$G74,"*, "&amp;G$3&amp;", *")</f>
        <v>0</v>
      </c>
      <c r="H76" s="2">
        <f>COUNTIFS(集計用!$G74,"*, "&amp;H$3&amp;", *")</f>
        <v>0</v>
      </c>
      <c r="I76" s="2">
        <f>COUNTIFS(集計用!$G74,"*, "&amp;I$3&amp;", *")</f>
        <v>0</v>
      </c>
      <c r="J76" s="2">
        <f>COUNTIFS(集計用!$G74,"*, "&amp;J$3&amp;", *")</f>
        <v>1</v>
      </c>
      <c r="K76" s="2">
        <f>COUNTIFS(集計用!$G74,"*, "&amp;K$3&amp;", *")</f>
        <v>0</v>
      </c>
      <c r="L76" s="2">
        <f>COUNTIFS(集計用!$G74,"*, "&amp;L$3&amp;", *")</f>
        <v>0</v>
      </c>
      <c r="M76" s="2">
        <f>COUNTIFS(集計用!$G74,"*, "&amp;M$3&amp;", *")</f>
        <v>0</v>
      </c>
      <c r="N76" s="2">
        <f>COUNTIFS(集計用!$G74,"*, "&amp;N$3&amp;", *")</f>
        <v>0</v>
      </c>
      <c r="O76" s="2">
        <f>COUNTIFS(集計用!$G74,"*, "&amp;O$3&amp;", *")</f>
        <v>0</v>
      </c>
      <c r="P76" s="2">
        <f>COUNTIFS(集計用!$G74,"*, "&amp;P$3&amp;", *")</f>
        <v>0</v>
      </c>
      <c r="Q76" s="2">
        <f>COUNTIFS(集計用!$G74,"*, "&amp;Q$3&amp;", *")</f>
        <v>1</v>
      </c>
      <c r="R76" s="2">
        <f>COUNTIFS(集計用!$G74,"*, "&amp;R$3&amp;", *")</f>
        <v>0</v>
      </c>
      <c r="S76" s="2">
        <f>COUNTIFS(集計用!$G74,"*, "&amp;S$3&amp;", *")</f>
        <v>0</v>
      </c>
      <c r="T76" s="2">
        <f>COUNTIFS(集計用!$G74,"*, "&amp;T$3&amp;", *")</f>
        <v>0</v>
      </c>
      <c r="U76" s="2">
        <f>COUNTIFS(集計用!$G74,"*, "&amp;U$3&amp;", *")</f>
        <v>0</v>
      </c>
      <c r="V76" s="2">
        <f>COUNTIFS(集計用!$G74,"*, "&amp;V$3&amp;", *")</f>
        <v>0</v>
      </c>
      <c r="W76" s="2">
        <f>COUNTIFS(集計用!$G74,"*, "&amp;W$3&amp;", *")</f>
        <v>0</v>
      </c>
      <c r="X76" s="2">
        <f>COUNTIFS(集計用!$G74,"*, "&amp;X$3&amp;", *")</f>
        <v>0</v>
      </c>
      <c r="Y76" s="2">
        <f>COUNTIFS(集計用!$G74,"*, "&amp;Y$3&amp;", *")</f>
        <v>0</v>
      </c>
      <c r="Z76" s="2">
        <f>COUNTIFS(集計用!$G74,"*, "&amp;Z$3&amp;", *")</f>
        <v>0</v>
      </c>
      <c r="AA76" s="2">
        <f>COUNTIFS(集計用!$G74,"*, "&amp;AA$3&amp;", *")</f>
        <v>0</v>
      </c>
      <c r="AB76" s="2">
        <f>COUNTIFS(集計用!$G74,"*, "&amp;AB$3&amp;", *")</f>
        <v>0</v>
      </c>
      <c r="AC76" s="2">
        <f>COUNTIFS(集計用!$G74,"*, "&amp;AC$3&amp;", *")</f>
        <v>0</v>
      </c>
      <c r="AD76" s="2">
        <f>COUNTIFS(集計用!$G74,"*, "&amp;AD$3&amp;", *")</f>
        <v>0</v>
      </c>
      <c r="AE76" s="2">
        <f>COUNTIFS(集計用!$G74,"*, "&amp;AE$3&amp;", *")</f>
        <v>1</v>
      </c>
      <c r="AF76" s="2">
        <f>COUNTIFS(集計用!$G74,"*, "&amp;AF$3&amp;", *")</f>
        <v>0</v>
      </c>
      <c r="AG76" s="2">
        <f>COUNTIFS(集計用!$G74,"*, "&amp;AG$3&amp;", *")</f>
        <v>0</v>
      </c>
      <c r="AH76" s="2">
        <f>COUNTIFS(集計用!$G74,"*, "&amp;AH$3&amp;", *")</f>
        <v>0</v>
      </c>
      <c r="AI76" s="2">
        <f>COUNTIFS(集計用!$G74,"*, "&amp;AI$3&amp;", *")</f>
        <v>0</v>
      </c>
      <c r="AJ76" s="2">
        <f>COUNTIFS(集計用!$G74,"*, "&amp;AJ$3&amp;", *")</f>
        <v>0</v>
      </c>
      <c r="AK76" s="2">
        <f>COUNTIFS(集計用!$G74,"*, "&amp;AK$3&amp;", *")</f>
        <v>0</v>
      </c>
      <c r="AL76" s="2">
        <f>COUNTIFS(集計用!$G74,"*, "&amp;AL$3&amp;", *")</f>
        <v>0</v>
      </c>
      <c r="AM76" s="2">
        <f>COUNTIFS(集計用!$G74,"*, "&amp;AM$3&amp;", *")</f>
        <v>0</v>
      </c>
      <c r="AN76" s="2">
        <f>COUNTIFS(集計用!$G74,"*, "&amp;AN$3&amp;", *")</f>
        <v>0</v>
      </c>
      <c r="AO76" s="2">
        <f>COUNTIFS(集計用!$G74,"*, "&amp;AO$3&amp;", *")</f>
        <v>0</v>
      </c>
      <c r="AP76" s="2">
        <f>COUNTIFS(集計用!$G74,"*, "&amp;AP$3&amp;", *")</f>
        <v>0</v>
      </c>
      <c r="AQ76" s="2">
        <f>COUNTIFS(集計用!$G74,"*, "&amp;AQ$3&amp;", *")</f>
        <v>0</v>
      </c>
      <c r="AR76" s="2">
        <f>COUNTIFS(集計用!$G74,"*, "&amp;AR$3&amp;", *")</f>
        <v>0</v>
      </c>
      <c r="AS76" s="2">
        <f>COUNTIFS(集計用!$G74,"*, "&amp;AS$3&amp;", *")</f>
        <v>0</v>
      </c>
      <c r="AT76" s="2">
        <f>COUNTIFS(集計用!$G74,"*, "&amp;AT$3&amp;", *")</f>
        <v>0</v>
      </c>
      <c r="AU76" s="2">
        <f>COUNTIFS(集計用!$G74,"*, "&amp;AU$3&amp;", *")</f>
        <v>0</v>
      </c>
      <c r="AV76" s="2">
        <f>COUNTIFS(集計用!$G74,"*, "&amp;AV$3&amp;", *")</f>
        <v>0</v>
      </c>
      <c r="AW76" s="2">
        <f>COUNTIFS(集計用!$G74,"*, "&amp;AW$3&amp;", *")</f>
        <v>0</v>
      </c>
      <c r="AX76" s="2">
        <f>COUNTIFS(集計用!$G74,"*, "&amp;AX$3&amp;", *")</f>
        <v>0</v>
      </c>
      <c r="AY76" s="2">
        <f>COUNTIFS(集計用!$G74,"*, "&amp;AY$3&amp;", *")</f>
        <v>0</v>
      </c>
      <c r="AZ76" s="2">
        <f>COUNTIFS(集計用!$G74,"*, "&amp;AZ$3&amp;", *")</f>
        <v>0</v>
      </c>
      <c r="BA76" s="2">
        <f>COUNTIFS(集計用!$G74,"*, "&amp;BA$3&amp;", *")</f>
        <v>0</v>
      </c>
      <c r="BB76" s="2">
        <f>COUNTIFS(集計用!$G74,"*, "&amp;BB$3&amp;", *")</f>
        <v>0</v>
      </c>
      <c r="BC76" s="2">
        <f>COUNTIFS(集計用!$G74,"*, "&amp;BC$3&amp;", *")</f>
        <v>0</v>
      </c>
      <c r="BD76" s="2">
        <f>COUNTIFS(集計用!$G74,"*, "&amp;BD$3&amp;", *")</f>
        <v>0</v>
      </c>
      <c r="BE76" s="2">
        <f>COUNTIFS(集計用!$G74,"*, "&amp;BE$3&amp;", *")</f>
        <v>0</v>
      </c>
      <c r="BF76" s="2">
        <f>COUNTIFS(集計用!$G74,"*, "&amp;BF$3&amp;", *")</f>
        <v>0</v>
      </c>
      <c r="BG76" s="2">
        <f>COUNTIFS(集計用!$G74,"*, "&amp;BG$3&amp;", *")</f>
        <v>0</v>
      </c>
      <c r="BH76" s="2">
        <f>COUNTIFS(集計用!$G74,"*, "&amp;BH$3&amp;", *")</f>
        <v>0</v>
      </c>
      <c r="BI76" s="2">
        <f>COUNTIFS(集計用!$G74,"*, "&amp;BI$3&amp;", *")</f>
        <v>0</v>
      </c>
      <c r="BJ76" s="2">
        <f>LEN(集計用!H74)-LEN(SUBSTITUTE(集計用!H74,",",""))</f>
        <v>0</v>
      </c>
    </row>
    <row r="77" spans="1:62" ht="12.75">
      <c r="A77" s="8">
        <v>74</v>
      </c>
      <c r="C77" s="2">
        <f t="shared" si="2"/>
        <v>3</v>
      </c>
      <c r="D77" s="9"/>
      <c r="E77" s="2">
        <f>COUNTIFS(集計用!$G75,"*, "&amp;E$3&amp;", *")</f>
        <v>0</v>
      </c>
      <c r="F77" s="2">
        <f>COUNTIFS(集計用!$G75,"*, "&amp;F$3&amp;", *")</f>
        <v>0</v>
      </c>
      <c r="G77" s="2">
        <f>COUNTIFS(集計用!$G75,"*, "&amp;G$3&amp;", *")</f>
        <v>0</v>
      </c>
      <c r="H77" s="2">
        <f>COUNTIFS(集計用!$G75,"*, "&amp;H$3&amp;", *")</f>
        <v>0</v>
      </c>
      <c r="I77" s="2">
        <f>COUNTIFS(集計用!$G75,"*, "&amp;I$3&amp;", *")</f>
        <v>1</v>
      </c>
      <c r="J77" s="2">
        <f>COUNTIFS(集計用!$G75,"*, "&amp;J$3&amp;", *")</f>
        <v>0</v>
      </c>
      <c r="K77" s="2">
        <f>COUNTIFS(集計用!$G75,"*, "&amp;K$3&amp;", *")</f>
        <v>0</v>
      </c>
      <c r="L77" s="2">
        <f>COUNTIFS(集計用!$G75,"*, "&amp;L$3&amp;", *")</f>
        <v>0</v>
      </c>
      <c r="M77" s="2">
        <f>COUNTIFS(集計用!$G75,"*, "&amp;M$3&amp;", *")</f>
        <v>0</v>
      </c>
      <c r="N77" s="2">
        <f>COUNTIFS(集計用!$G75,"*, "&amp;N$3&amp;", *")</f>
        <v>0</v>
      </c>
      <c r="O77" s="2">
        <f>COUNTIFS(集計用!$G75,"*, "&amp;O$3&amp;", *")</f>
        <v>0</v>
      </c>
      <c r="P77" s="2">
        <f>COUNTIFS(集計用!$G75,"*, "&amp;P$3&amp;", *")</f>
        <v>0</v>
      </c>
      <c r="Q77" s="2">
        <f>COUNTIFS(集計用!$G75,"*, "&amp;Q$3&amp;", *")</f>
        <v>0</v>
      </c>
      <c r="R77" s="2">
        <f>COUNTIFS(集計用!$G75,"*, "&amp;R$3&amp;", *")</f>
        <v>0</v>
      </c>
      <c r="S77" s="2">
        <f>COUNTIFS(集計用!$G75,"*, "&amp;S$3&amp;", *")</f>
        <v>0</v>
      </c>
      <c r="T77" s="2">
        <f>COUNTIFS(集計用!$G75,"*, "&amp;T$3&amp;", *")</f>
        <v>1</v>
      </c>
      <c r="U77" s="2">
        <f>COUNTIFS(集計用!$G75,"*, "&amp;U$3&amp;", *")</f>
        <v>0</v>
      </c>
      <c r="V77" s="2">
        <f>COUNTIFS(集計用!$G75,"*, "&amp;V$3&amp;", *")</f>
        <v>0</v>
      </c>
      <c r="W77" s="2">
        <f>COUNTIFS(集計用!$G75,"*, "&amp;W$3&amp;", *")</f>
        <v>0</v>
      </c>
      <c r="X77" s="2">
        <f>COUNTIFS(集計用!$G75,"*, "&amp;X$3&amp;", *")</f>
        <v>0</v>
      </c>
      <c r="Y77" s="2">
        <f>COUNTIFS(集計用!$G75,"*, "&amp;Y$3&amp;", *")</f>
        <v>0</v>
      </c>
      <c r="Z77" s="2">
        <f>COUNTIFS(集計用!$G75,"*, "&amp;Z$3&amp;", *")</f>
        <v>0</v>
      </c>
      <c r="AA77" s="2">
        <f>COUNTIFS(集計用!$G75,"*, "&amp;AA$3&amp;", *")</f>
        <v>0</v>
      </c>
      <c r="AB77" s="2">
        <f>COUNTIFS(集計用!$G75,"*, "&amp;AB$3&amp;", *")</f>
        <v>0</v>
      </c>
      <c r="AC77" s="2">
        <f>COUNTIFS(集計用!$G75,"*, "&amp;AC$3&amp;", *")</f>
        <v>0</v>
      </c>
      <c r="AD77" s="2">
        <f>COUNTIFS(集計用!$G75,"*, "&amp;AD$3&amp;", *")</f>
        <v>0</v>
      </c>
      <c r="AE77" s="2">
        <f>COUNTIFS(集計用!$G75,"*, "&amp;AE$3&amp;", *")</f>
        <v>0</v>
      </c>
      <c r="AF77" s="2">
        <f>COUNTIFS(集計用!$G75,"*, "&amp;AF$3&amp;", *")</f>
        <v>0</v>
      </c>
      <c r="AG77" s="2">
        <f>COUNTIFS(集計用!$G75,"*, "&amp;AG$3&amp;", *")</f>
        <v>0</v>
      </c>
      <c r="AH77" s="2">
        <f>COUNTIFS(集計用!$G75,"*, "&amp;AH$3&amp;", *")</f>
        <v>0</v>
      </c>
      <c r="AI77" s="2">
        <f>COUNTIFS(集計用!$G75,"*, "&amp;AI$3&amp;", *")</f>
        <v>0</v>
      </c>
      <c r="AJ77" s="2">
        <f>COUNTIFS(集計用!$G75,"*, "&amp;AJ$3&amp;", *")</f>
        <v>0</v>
      </c>
      <c r="AK77" s="2">
        <f>COUNTIFS(集計用!$G75,"*, "&amp;AK$3&amp;", *")</f>
        <v>0</v>
      </c>
      <c r="AL77" s="2">
        <f>COUNTIFS(集計用!$G75,"*, "&amp;AL$3&amp;", *")</f>
        <v>0</v>
      </c>
      <c r="AM77" s="2">
        <f>COUNTIFS(集計用!$G75,"*, "&amp;AM$3&amp;", *")</f>
        <v>0</v>
      </c>
      <c r="AN77" s="2">
        <f>COUNTIFS(集計用!$G75,"*, "&amp;AN$3&amp;", *")</f>
        <v>0</v>
      </c>
      <c r="AO77" s="2">
        <f>COUNTIFS(集計用!$G75,"*, "&amp;AO$3&amp;", *")</f>
        <v>0</v>
      </c>
      <c r="AP77" s="2">
        <f>COUNTIFS(集計用!$G75,"*, "&amp;AP$3&amp;", *")</f>
        <v>0</v>
      </c>
      <c r="AQ77" s="2">
        <f>COUNTIFS(集計用!$G75,"*, "&amp;AQ$3&amp;", *")</f>
        <v>0</v>
      </c>
      <c r="AR77" s="2">
        <f>COUNTIFS(集計用!$G75,"*, "&amp;AR$3&amp;", *")</f>
        <v>0</v>
      </c>
      <c r="AS77" s="2">
        <f>COUNTIFS(集計用!$G75,"*, "&amp;AS$3&amp;", *")</f>
        <v>0</v>
      </c>
      <c r="AT77" s="2">
        <f>COUNTIFS(集計用!$G75,"*, "&amp;AT$3&amp;", *")</f>
        <v>0</v>
      </c>
      <c r="AU77" s="2">
        <f>COUNTIFS(集計用!$G75,"*, "&amp;AU$3&amp;", *")</f>
        <v>0</v>
      </c>
      <c r="AV77" s="2">
        <f>COUNTIFS(集計用!$G75,"*, "&amp;AV$3&amp;", *")</f>
        <v>0</v>
      </c>
      <c r="AW77" s="2">
        <f>COUNTIFS(集計用!$G75,"*, "&amp;AW$3&amp;", *")</f>
        <v>0</v>
      </c>
      <c r="AX77" s="2">
        <f>COUNTIFS(集計用!$G75,"*, "&amp;AX$3&amp;", *")</f>
        <v>0</v>
      </c>
      <c r="AY77" s="2">
        <f>COUNTIFS(集計用!$G75,"*, "&amp;AY$3&amp;", *")</f>
        <v>0</v>
      </c>
      <c r="AZ77" s="2">
        <f>COUNTIFS(集計用!$G75,"*, "&amp;AZ$3&amp;", *")</f>
        <v>0</v>
      </c>
      <c r="BA77" s="2">
        <f>COUNTIFS(集計用!$G75,"*, "&amp;BA$3&amp;", *")</f>
        <v>0</v>
      </c>
      <c r="BB77" s="2">
        <f>COUNTIFS(集計用!$G75,"*, "&amp;BB$3&amp;", *")</f>
        <v>0</v>
      </c>
      <c r="BC77" s="2">
        <f>COUNTIFS(集計用!$G75,"*, "&amp;BC$3&amp;", *")</f>
        <v>0</v>
      </c>
      <c r="BD77" s="2">
        <f>COUNTIFS(集計用!$G75,"*, "&amp;BD$3&amp;", *")</f>
        <v>0</v>
      </c>
      <c r="BE77" s="2">
        <f>COUNTIFS(集計用!$G75,"*, "&amp;BE$3&amp;", *")</f>
        <v>0</v>
      </c>
      <c r="BF77" s="2">
        <f>COUNTIFS(集計用!$G75,"*, "&amp;BF$3&amp;", *")</f>
        <v>0</v>
      </c>
      <c r="BG77" s="2">
        <f>COUNTIFS(集計用!$G75,"*, "&amp;BG$3&amp;", *")</f>
        <v>0</v>
      </c>
      <c r="BH77" s="2">
        <f>COUNTIFS(集計用!$G75,"*, "&amp;BH$3&amp;", *")</f>
        <v>0</v>
      </c>
      <c r="BI77" s="2">
        <f>COUNTIFS(集計用!$G75,"*, "&amp;BI$3&amp;", *")</f>
        <v>0</v>
      </c>
      <c r="BJ77" s="2">
        <f>LEN(集計用!H75)-LEN(SUBSTITUTE(集計用!H75,",",""))</f>
        <v>1</v>
      </c>
    </row>
    <row r="78" spans="1:62" ht="12.75">
      <c r="A78" s="8">
        <v>75</v>
      </c>
      <c r="C78" s="2">
        <f t="shared" si="2"/>
        <v>1</v>
      </c>
      <c r="D78" s="9"/>
      <c r="E78" s="2">
        <f>COUNTIFS(集計用!$G76,"*, "&amp;E$3&amp;", *")</f>
        <v>1</v>
      </c>
      <c r="F78" s="2">
        <f>COUNTIFS(集計用!$G76,"*, "&amp;F$3&amp;", *")</f>
        <v>0</v>
      </c>
      <c r="G78" s="2">
        <f>COUNTIFS(集計用!$G76,"*, "&amp;G$3&amp;", *")</f>
        <v>0</v>
      </c>
      <c r="H78" s="2">
        <f>COUNTIFS(集計用!$G76,"*, "&amp;H$3&amp;", *")</f>
        <v>0</v>
      </c>
      <c r="I78" s="2">
        <f>COUNTIFS(集計用!$G76,"*, "&amp;I$3&amp;", *")</f>
        <v>0</v>
      </c>
      <c r="J78" s="2">
        <f>COUNTIFS(集計用!$G76,"*, "&amp;J$3&amp;", *")</f>
        <v>0</v>
      </c>
      <c r="K78" s="2">
        <f>COUNTIFS(集計用!$G76,"*, "&amp;K$3&amp;", *")</f>
        <v>0</v>
      </c>
      <c r="L78" s="2">
        <f>COUNTIFS(集計用!$G76,"*, "&amp;L$3&amp;", *")</f>
        <v>0</v>
      </c>
      <c r="M78" s="2">
        <f>COUNTIFS(集計用!$G76,"*, "&amp;M$3&amp;", *")</f>
        <v>0</v>
      </c>
      <c r="N78" s="2">
        <f>COUNTIFS(集計用!$G76,"*, "&amp;N$3&amp;", *")</f>
        <v>0</v>
      </c>
      <c r="O78" s="2">
        <f>COUNTIFS(集計用!$G76,"*, "&amp;O$3&amp;", *")</f>
        <v>0</v>
      </c>
      <c r="P78" s="2">
        <f>COUNTIFS(集計用!$G76,"*, "&amp;P$3&amp;", *")</f>
        <v>0</v>
      </c>
      <c r="Q78" s="2">
        <f>COUNTIFS(集計用!$G76,"*, "&amp;Q$3&amp;", *")</f>
        <v>0</v>
      </c>
      <c r="R78" s="2">
        <f>COUNTIFS(集計用!$G76,"*, "&amp;R$3&amp;", *")</f>
        <v>0</v>
      </c>
      <c r="S78" s="2">
        <f>COUNTIFS(集計用!$G76,"*, "&amp;S$3&amp;", *")</f>
        <v>0</v>
      </c>
      <c r="T78" s="2">
        <f>COUNTIFS(集計用!$G76,"*, "&amp;T$3&amp;", *")</f>
        <v>0</v>
      </c>
      <c r="U78" s="2">
        <f>COUNTIFS(集計用!$G76,"*, "&amp;U$3&amp;", *")</f>
        <v>0</v>
      </c>
      <c r="V78" s="2">
        <f>COUNTIFS(集計用!$G76,"*, "&amp;V$3&amp;", *")</f>
        <v>0</v>
      </c>
      <c r="W78" s="2">
        <f>COUNTIFS(集計用!$G76,"*, "&amp;W$3&amp;", *")</f>
        <v>0</v>
      </c>
      <c r="X78" s="2">
        <f>COUNTIFS(集計用!$G76,"*, "&amp;X$3&amp;", *")</f>
        <v>0</v>
      </c>
      <c r="Y78" s="2">
        <f>COUNTIFS(集計用!$G76,"*, "&amp;Y$3&amp;", *")</f>
        <v>0</v>
      </c>
      <c r="Z78" s="2">
        <f>COUNTIFS(集計用!$G76,"*, "&amp;Z$3&amp;", *")</f>
        <v>0</v>
      </c>
      <c r="AA78" s="2">
        <f>COUNTIFS(集計用!$G76,"*, "&amp;AA$3&amp;", *")</f>
        <v>0</v>
      </c>
      <c r="AB78" s="2">
        <f>COUNTIFS(集計用!$G76,"*, "&amp;AB$3&amp;", *")</f>
        <v>0</v>
      </c>
      <c r="AC78" s="2">
        <f>COUNTIFS(集計用!$G76,"*, "&amp;AC$3&amp;", *")</f>
        <v>0</v>
      </c>
      <c r="AD78" s="2">
        <f>COUNTIFS(集計用!$G76,"*, "&amp;AD$3&amp;", *")</f>
        <v>0</v>
      </c>
      <c r="AE78" s="2">
        <f>COUNTIFS(集計用!$G76,"*, "&amp;AE$3&amp;", *")</f>
        <v>0</v>
      </c>
      <c r="AF78" s="2">
        <f>COUNTIFS(集計用!$G76,"*, "&amp;AF$3&amp;", *")</f>
        <v>0</v>
      </c>
      <c r="AG78" s="2">
        <f>COUNTIFS(集計用!$G76,"*, "&amp;AG$3&amp;", *")</f>
        <v>0</v>
      </c>
      <c r="AH78" s="2">
        <f>COUNTIFS(集計用!$G76,"*, "&amp;AH$3&amp;", *")</f>
        <v>0</v>
      </c>
      <c r="AI78" s="2">
        <f>COUNTIFS(集計用!$G76,"*, "&amp;AI$3&amp;", *")</f>
        <v>0</v>
      </c>
      <c r="AJ78" s="2">
        <f>COUNTIFS(集計用!$G76,"*, "&amp;AJ$3&amp;", *")</f>
        <v>0</v>
      </c>
      <c r="AK78" s="2">
        <f>COUNTIFS(集計用!$G76,"*, "&amp;AK$3&amp;", *")</f>
        <v>0</v>
      </c>
      <c r="AL78" s="2">
        <f>COUNTIFS(集計用!$G76,"*, "&amp;AL$3&amp;", *")</f>
        <v>0</v>
      </c>
      <c r="AM78" s="2">
        <f>COUNTIFS(集計用!$G76,"*, "&amp;AM$3&amp;", *")</f>
        <v>0</v>
      </c>
      <c r="AN78" s="2">
        <f>COUNTIFS(集計用!$G76,"*, "&amp;AN$3&amp;", *")</f>
        <v>0</v>
      </c>
      <c r="AO78" s="2">
        <f>COUNTIFS(集計用!$G76,"*, "&amp;AO$3&amp;", *")</f>
        <v>0</v>
      </c>
      <c r="AP78" s="2">
        <f>COUNTIFS(集計用!$G76,"*, "&amp;AP$3&amp;", *")</f>
        <v>0</v>
      </c>
      <c r="AQ78" s="2">
        <f>COUNTIFS(集計用!$G76,"*, "&amp;AQ$3&amp;", *")</f>
        <v>0</v>
      </c>
      <c r="AR78" s="2">
        <f>COUNTIFS(集計用!$G76,"*, "&amp;AR$3&amp;", *")</f>
        <v>0</v>
      </c>
      <c r="AS78" s="2">
        <f>COUNTIFS(集計用!$G76,"*, "&amp;AS$3&amp;", *")</f>
        <v>0</v>
      </c>
      <c r="AT78" s="2">
        <f>COUNTIFS(集計用!$G76,"*, "&amp;AT$3&amp;", *")</f>
        <v>0</v>
      </c>
      <c r="AU78" s="2">
        <f>COUNTIFS(集計用!$G76,"*, "&amp;AU$3&amp;", *")</f>
        <v>0</v>
      </c>
      <c r="AV78" s="2">
        <f>COUNTIFS(集計用!$G76,"*, "&amp;AV$3&amp;", *")</f>
        <v>0</v>
      </c>
      <c r="AW78" s="2">
        <f>COUNTIFS(集計用!$G76,"*, "&amp;AW$3&amp;", *")</f>
        <v>0</v>
      </c>
      <c r="AX78" s="2">
        <f>COUNTIFS(集計用!$G76,"*, "&amp;AX$3&amp;", *")</f>
        <v>0</v>
      </c>
      <c r="AY78" s="2">
        <f>COUNTIFS(集計用!$G76,"*, "&amp;AY$3&amp;", *")</f>
        <v>0</v>
      </c>
      <c r="AZ78" s="2">
        <f>COUNTIFS(集計用!$G76,"*, "&amp;AZ$3&amp;", *")</f>
        <v>0</v>
      </c>
      <c r="BA78" s="2">
        <f>COUNTIFS(集計用!$G76,"*, "&amp;BA$3&amp;", *")</f>
        <v>0</v>
      </c>
      <c r="BB78" s="2">
        <f>COUNTIFS(集計用!$G76,"*, "&amp;BB$3&amp;", *")</f>
        <v>0</v>
      </c>
      <c r="BC78" s="2">
        <f>COUNTIFS(集計用!$G76,"*, "&amp;BC$3&amp;", *")</f>
        <v>0</v>
      </c>
      <c r="BD78" s="2">
        <f>COUNTIFS(集計用!$G76,"*, "&amp;BD$3&amp;", *")</f>
        <v>0</v>
      </c>
      <c r="BE78" s="2">
        <f>COUNTIFS(集計用!$G76,"*, "&amp;BE$3&amp;", *")</f>
        <v>0</v>
      </c>
      <c r="BF78" s="2">
        <f>COUNTIFS(集計用!$G76,"*, "&amp;BF$3&amp;", *")</f>
        <v>0</v>
      </c>
      <c r="BG78" s="2">
        <f>COUNTIFS(集計用!$G76,"*, "&amp;BG$3&amp;", *")</f>
        <v>0</v>
      </c>
      <c r="BH78" s="2">
        <f>COUNTIFS(集計用!$G76,"*, "&amp;BH$3&amp;", *")</f>
        <v>0</v>
      </c>
      <c r="BI78" s="2">
        <f>COUNTIFS(集計用!$G76,"*, "&amp;BI$3&amp;", *")</f>
        <v>0</v>
      </c>
      <c r="BJ78" s="2">
        <f>LEN(集計用!H76)-LEN(SUBSTITUTE(集計用!H76,",",""))</f>
        <v>0</v>
      </c>
    </row>
    <row r="79" spans="1:62" ht="12.75">
      <c r="A79" s="8">
        <v>76</v>
      </c>
      <c r="C79" s="2">
        <f t="shared" si="2"/>
        <v>3</v>
      </c>
      <c r="D79" s="9"/>
      <c r="E79" s="2">
        <f>COUNTIFS(集計用!$G77,"*, "&amp;E$3&amp;", *")</f>
        <v>0</v>
      </c>
      <c r="F79" s="2">
        <f>COUNTIFS(集計用!$G77,"*, "&amp;F$3&amp;", *")</f>
        <v>0</v>
      </c>
      <c r="G79" s="2">
        <f>COUNTIFS(集計用!$G77,"*, "&amp;G$3&amp;", *")</f>
        <v>0</v>
      </c>
      <c r="H79" s="2">
        <f>COUNTIFS(集計用!$G77,"*, "&amp;H$3&amp;", *")</f>
        <v>0</v>
      </c>
      <c r="I79" s="2">
        <f>COUNTIFS(集計用!$G77,"*, "&amp;I$3&amp;", *")</f>
        <v>0</v>
      </c>
      <c r="J79" s="2">
        <f>COUNTIFS(集計用!$G77,"*, "&amp;J$3&amp;", *")</f>
        <v>0</v>
      </c>
      <c r="K79" s="2">
        <f>COUNTIFS(集計用!$G77,"*, "&amp;K$3&amp;", *")</f>
        <v>0</v>
      </c>
      <c r="L79" s="2">
        <f>COUNTIFS(集計用!$G77,"*, "&amp;L$3&amp;", *")</f>
        <v>0</v>
      </c>
      <c r="M79" s="2">
        <f>COUNTIFS(集計用!$G77,"*, "&amp;M$3&amp;", *")</f>
        <v>0</v>
      </c>
      <c r="N79" s="2">
        <f>COUNTIFS(集計用!$G77,"*, "&amp;N$3&amp;", *")</f>
        <v>0</v>
      </c>
      <c r="O79" s="2">
        <f>COUNTIFS(集計用!$G77,"*, "&amp;O$3&amp;", *")</f>
        <v>0</v>
      </c>
      <c r="P79" s="2">
        <f>COUNTIFS(集計用!$G77,"*, "&amp;P$3&amp;", *")</f>
        <v>0</v>
      </c>
      <c r="Q79" s="2">
        <f>COUNTIFS(集計用!$G77,"*, "&amp;Q$3&amp;", *")</f>
        <v>0</v>
      </c>
      <c r="R79" s="2">
        <f>COUNTIFS(集計用!$G77,"*, "&amp;R$3&amp;", *")</f>
        <v>0</v>
      </c>
      <c r="S79" s="2">
        <f>COUNTIFS(集計用!$G77,"*, "&amp;S$3&amp;", *")</f>
        <v>0</v>
      </c>
      <c r="T79" s="2">
        <f>COUNTIFS(集計用!$G77,"*, "&amp;T$3&amp;", *")</f>
        <v>0</v>
      </c>
      <c r="U79" s="2">
        <f>COUNTIFS(集計用!$G77,"*, "&amp;U$3&amp;", *")</f>
        <v>0</v>
      </c>
      <c r="V79" s="2">
        <f>COUNTIFS(集計用!$G77,"*, "&amp;V$3&amp;", *")</f>
        <v>0</v>
      </c>
      <c r="W79" s="2">
        <f>COUNTIFS(集計用!$G77,"*, "&amp;W$3&amp;", *")</f>
        <v>0</v>
      </c>
      <c r="X79" s="2">
        <f>COUNTIFS(集計用!$G77,"*, "&amp;X$3&amp;", *")</f>
        <v>0</v>
      </c>
      <c r="Y79" s="2">
        <f>COUNTIFS(集計用!$G77,"*, "&amp;Y$3&amp;", *")</f>
        <v>0</v>
      </c>
      <c r="Z79" s="2">
        <f>COUNTIFS(集計用!$G77,"*, "&amp;Z$3&amp;", *")</f>
        <v>1</v>
      </c>
      <c r="AA79" s="2">
        <f>COUNTIFS(集計用!$G77,"*, "&amp;AA$3&amp;", *")</f>
        <v>0</v>
      </c>
      <c r="AB79" s="2">
        <f>COUNTIFS(集計用!$G77,"*, "&amp;AB$3&amp;", *")</f>
        <v>0</v>
      </c>
      <c r="AC79" s="2">
        <f>COUNTIFS(集計用!$G77,"*, "&amp;AC$3&amp;", *")</f>
        <v>0</v>
      </c>
      <c r="AD79" s="2">
        <f>COUNTIFS(集計用!$G77,"*, "&amp;AD$3&amp;", *")</f>
        <v>0</v>
      </c>
      <c r="AE79" s="2">
        <f>COUNTIFS(集計用!$G77,"*, "&amp;AE$3&amp;", *")</f>
        <v>0</v>
      </c>
      <c r="AF79" s="2">
        <f>COUNTIFS(集計用!$G77,"*, "&amp;AF$3&amp;", *")</f>
        <v>0</v>
      </c>
      <c r="AG79" s="2">
        <f>COUNTIFS(集計用!$G77,"*, "&amp;AG$3&amp;", *")</f>
        <v>0</v>
      </c>
      <c r="AH79" s="2">
        <f>COUNTIFS(集計用!$G77,"*, "&amp;AH$3&amp;", *")</f>
        <v>0</v>
      </c>
      <c r="AI79" s="2">
        <f>COUNTIFS(集計用!$G77,"*, "&amp;AI$3&amp;", *")</f>
        <v>1</v>
      </c>
      <c r="AJ79" s="2">
        <f>COUNTIFS(集計用!$G77,"*, "&amp;AJ$3&amp;", *")</f>
        <v>0</v>
      </c>
      <c r="AK79" s="2">
        <f>COUNTIFS(集計用!$G77,"*, "&amp;AK$3&amp;", *")</f>
        <v>0</v>
      </c>
      <c r="AL79" s="2">
        <f>COUNTIFS(集計用!$G77,"*, "&amp;AL$3&amp;", *")</f>
        <v>0</v>
      </c>
      <c r="AM79" s="2">
        <f>COUNTIFS(集計用!$G77,"*, "&amp;AM$3&amp;", *")</f>
        <v>0</v>
      </c>
      <c r="AN79" s="2">
        <f>COUNTIFS(集計用!$G77,"*, "&amp;AN$3&amp;", *")</f>
        <v>0</v>
      </c>
      <c r="AO79" s="2">
        <f>COUNTIFS(集計用!$G77,"*, "&amp;AO$3&amp;", *")</f>
        <v>0</v>
      </c>
      <c r="AP79" s="2">
        <f>COUNTIFS(集計用!$G77,"*, "&amp;AP$3&amp;", *")</f>
        <v>0</v>
      </c>
      <c r="AQ79" s="2">
        <f>COUNTIFS(集計用!$G77,"*, "&amp;AQ$3&amp;", *")</f>
        <v>1</v>
      </c>
      <c r="AR79" s="2">
        <f>COUNTIFS(集計用!$G77,"*, "&amp;AR$3&amp;", *")</f>
        <v>0</v>
      </c>
      <c r="AS79" s="2">
        <f>COUNTIFS(集計用!$G77,"*, "&amp;AS$3&amp;", *")</f>
        <v>0</v>
      </c>
      <c r="AT79" s="2">
        <f>COUNTIFS(集計用!$G77,"*, "&amp;AT$3&amp;", *")</f>
        <v>0</v>
      </c>
      <c r="AU79" s="2">
        <f>COUNTIFS(集計用!$G77,"*, "&amp;AU$3&amp;", *")</f>
        <v>0</v>
      </c>
      <c r="AV79" s="2">
        <f>COUNTIFS(集計用!$G77,"*, "&amp;AV$3&amp;", *")</f>
        <v>0</v>
      </c>
      <c r="AW79" s="2">
        <f>COUNTIFS(集計用!$G77,"*, "&amp;AW$3&amp;", *")</f>
        <v>0</v>
      </c>
      <c r="AX79" s="2">
        <f>COUNTIFS(集計用!$G77,"*, "&amp;AX$3&amp;", *")</f>
        <v>0</v>
      </c>
      <c r="AY79" s="2">
        <f>COUNTIFS(集計用!$G77,"*, "&amp;AY$3&amp;", *")</f>
        <v>0</v>
      </c>
      <c r="AZ79" s="2">
        <f>COUNTIFS(集計用!$G77,"*, "&amp;AZ$3&amp;", *")</f>
        <v>0</v>
      </c>
      <c r="BA79" s="2">
        <f>COUNTIFS(集計用!$G77,"*, "&amp;BA$3&amp;", *")</f>
        <v>0</v>
      </c>
      <c r="BB79" s="2">
        <f>COUNTIFS(集計用!$G77,"*, "&amp;BB$3&amp;", *")</f>
        <v>0</v>
      </c>
      <c r="BC79" s="2">
        <f>COUNTIFS(集計用!$G77,"*, "&amp;BC$3&amp;", *")</f>
        <v>0</v>
      </c>
      <c r="BD79" s="2">
        <f>COUNTIFS(集計用!$G77,"*, "&amp;BD$3&amp;", *")</f>
        <v>0</v>
      </c>
      <c r="BE79" s="2">
        <f>COUNTIFS(集計用!$G77,"*, "&amp;BE$3&amp;", *")</f>
        <v>0</v>
      </c>
      <c r="BF79" s="2">
        <f>COUNTIFS(集計用!$G77,"*, "&amp;BF$3&amp;", *")</f>
        <v>0</v>
      </c>
      <c r="BG79" s="2">
        <f>COUNTIFS(集計用!$G77,"*, "&amp;BG$3&amp;", *")</f>
        <v>0</v>
      </c>
      <c r="BH79" s="2">
        <f>COUNTIFS(集計用!$G77,"*, "&amp;BH$3&amp;", *")</f>
        <v>0</v>
      </c>
      <c r="BI79" s="2">
        <f>COUNTIFS(集計用!$G77,"*, "&amp;BI$3&amp;", *")</f>
        <v>0</v>
      </c>
      <c r="BJ79" s="2">
        <f>LEN(集計用!H77)-LEN(SUBSTITUTE(集計用!H77,",",""))</f>
        <v>0</v>
      </c>
    </row>
    <row r="80" spans="1:62" ht="12.75">
      <c r="A80" s="8">
        <v>77</v>
      </c>
      <c r="C80" s="2">
        <f t="shared" si="2"/>
        <v>2</v>
      </c>
      <c r="D80" s="9"/>
      <c r="E80" s="2">
        <f>COUNTIFS(集計用!$G78,"*, "&amp;E$3&amp;", *")</f>
        <v>1</v>
      </c>
      <c r="F80" s="2">
        <f>COUNTIFS(集計用!$G78,"*, "&amp;F$3&amp;", *")</f>
        <v>0</v>
      </c>
      <c r="G80" s="2">
        <f>COUNTIFS(集計用!$G78,"*, "&amp;G$3&amp;", *")</f>
        <v>1</v>
      </c>
      <c r="H80" s="2">
        <f>COUNTIFS(集計用!$G78,"*, "&amp;H$3&amp;", *")</f>
        <v>0</v>
      </c>
      <c r="I80" s="2">
        <f>COUNTIFS(集計用!$G78,"*, "&amp;I$3&amp;", *")</f>
        <v>0</v>
      </c>
      <c r="J80" s="2">
        <f>COUNTIFS(集計用!$G78,"*, "&amp;J$3&amp;", *")</f>
        <v>0</v>
      </c>
      <c r="K80" s="2">
        <f>COUNTIFS(集計用!$G78,"*, "&amp;K$3&amp;", *")</f>
        <v>0</v>
      </c>
      <c r="L80" s="2">
        <f>COUNTIFS(集計用!$G78,"*, "&amp;L$3&amp;", *")</f>
        <v>0</v>
      </c>
      <c r="M80" s="2">
        <f>COUNTIFS(集計用!$G78,"*, "&amp;M$3&amp;", *")</f>
        <v>0</v>
      </c>
      <c r="N80" s="2">
        <f>COUNTIFS(集計用!$G78,"*, "&amp;N$3&amp;", *")</f>
        <v>0</v>
      </c>
      <c r="O80" s="2">
        <f>COUNTIFS(集計用!$G78,"*, "&amp;O$3&amp;", *")</f>
        <v>0</v>
      </c>
      <c r="P80" s="2">
        <f>COUNTIFS(集計用!$G78,"*, "&amp;P$3&amp;", *")</f>
        <v>0</v>
      </c>
      <c r="Q80" s="2">
        <f>COUNTIFS(集計用!$G78,"*, "&amp;Q$3&amp;", *")</f>
        <v>0</v>
      </c>
      <c r="R80" s="2">
        <f>COUNTIFS(集計用!$G78,"*, "&amp;R$3&amp;", *")</f>
        <v>0</v>
      </c>
      <c r="S80" s="2">
        <f>COUNTIFS(集計用!$G78,"*, "&amp;S$3&amp;", *")</f>
        <v>0</v>
      </c>
      <c r="T80" s="2">
        <f>COUNTIFS(集計用!$G78,"*, "&amp;T$3&amp;", *")</f>
        <v>0</v>
      </c>
      <c r="U80" s="2">
        <f>COUNTIFS(集計用!$G78,"*, "&amp;U$3&amp;", *")</f>
        <v>0</v>
      </c>
      <c r="V80" s="2">
        <f>COUNTIFS(集計用!$G78,"*, "&amp;V$3&amp;", *")</f>
        <v>0</v>
      </c>
      <c r="W80" s="2">
        <f>COUNTIFS(集計用!$G78,"*, "&amp;W$3&amp;", *")</f>
        <v>0</v>
      </c>
      <c r="X80" s="2">
        <f>COUNTIFS(集計用!$G78,"*, "&amp;X$3&amp;", *")</f>
        <v>0</v>
      </c>
      <c r="Y80" s="2">
        <f>COUNTIFS(集計用!$G78,"*, "&amp;Y$3&amp;", *")</f>
        <v>0</v>
      </c>
      <c r="Z80" s="2">
        <f>COUNTIFS(集計用!$G78,"*, "&amp;Z$3&amp;", *")</f>
        <v>0</v>
      </c>
      <c r="AA80" s="2">
        <f>COUNTIFS(集計用!$G78,"*, "&amp;AA$3&amp;", *")</f>
        <v>0</v>
      </c>
      <c r="AB80" s="2">
        <f>COUNTIFS(集計用!$G78,"*, "&amp;AB$3&amp;", *")</f>
        <v>0</v>
      </c>
      <c r="AC80" s="2">
        <f>COUNTIFS(集計用!$G78,"*, "&amp;AC$3&amp;", *")</f>
        <v>0</v>
      </c>
      <c r="AD80" s="2">
        <f>COUNTIFS(集計用!$G78,"*, "&amp;AD$3&amp;", *")</f>
        <v>0</v>
      </c>
      <c r="AE80" s="2">
        <f>COUNTIFS(集計用!$G78,"*, "&amp;AE$3&amp;", *")</f>
        <v>0</v>
      </c>
      <c r="AF80" s="2">
        <f>COUNTIFS(集計用!$G78,"*, "&amp;AF$3&amp;", *")</f>
        <v>0</v>
      </c>
      <c r="AG80" s="2">
        <f>COUNTIFS(集計用!$G78,"*, "&amp;AG$3&amp;", *")</f>
        <v>0</v>
      </c>
      <c r="AH80" s="2">
        <f>COUNTIFS(集計用!$G78,"*, "&amp;AH$3&amp;", *")</f>
        <v>0</v>
      </c>
      <c r="AI80" s="2">
        <f>COUNTIFS(集計用!$G78,"*, "&amp;AI$3&amp;", *")</f>
        <v>0</v>
      </c>
      <c r="AJ80" s="2">
        <f>COUNTIFS(集計用!$G78,"*, "&amp;AJ$3&amp;", *")</f>
        <v>0</v>
      </c>
      <c r="AK80" s="2">
        <f>COUNTIFS(集計用!$G78,"*, "&amp;AK$3&amp;", *")</f>
        <v>0</v>
      </c>
      <c r="AL80" s="2">
        <f>COUNTIFS(集計用!$G78,"*, "&amp;AL$3&amp;", *")</f>
        <v>0</v>
      </c>
      <c r="AM80" s="2">
        <f>COUNTIFS(集計用!$G78,"*, "&amp;AM$3&amp;", *")</f>
        <v>0</v>
      </c>
      <c r="AN80" s="2">
        <f>COUNTIFS(集計用!$G78,"*, "&amp;AN$3&amp;", *")</f>
        <v>0</v>
      </c>
      <c r="AO80" s="2">
        <f>COUNTIFS(集計用!$G78,"*, "&amp;AO$3&amp;", *")</f>
        <v>0</v>
      </c>
      <c r="AP80" s="2">
        <f>COUNTIFS(集計用!$G78,"*, "&amp;AP$3&amp;", *")</f>
        <v>0</v>
      </c>
      <c r="AQ80" s="2">
        <f>COUNTIFS(集計用!$G78,"*, "&amp;AQ$3&amp;", *")</f>
        <v>0</v>
      </c>
      <c r="AR80" s="2">
        <f>COUNTIFS(集計用!$G78,"*, "&amp;AR$3&amp;", *")</f>
        <v>0</v>
      </c>
      <c r="AS80" s="2">
        <f>COUNTIFS(集計用!$G78,"*, "&amp;AS$3&amp;", *")</f>
        <v>0</v>
      </c>
      <c r="AT80" s="2">
        <f>COUNTIFS(集計用!$G78,"*, "&amp;AT$3&amp;", *")</f>
        <v>0</v>
      </c>
      <c r="AU80" s="2">
        <f>COUNTIFS(集計用!$G78,"*, "&amp;AU$3&amp;", *")</f>
        <v>0</v>
      </c>
      <c r="AV80" s="2">
        <f>COUNTIFS(集計用!$G78,"*, "&amp;AV$3&amp;", *")</f>
        <v>0</v>
      </c>
      <c r="AW80" s="2">
        <f>COUNTIFS(集計用!$G78,"*, "&amp;AW$3&amp;", *")</f>
        <v>0</v>
      </c>
      <c r="AX80" s="2">
        <f>COUNTIFS(集計用!$G78,"*, "&amp;AX$3&amp;", *")</f>
        <v>0</v>
      </c>
      <c r="AY80" s="2">
        <f>COUNTIFS(集計用!$G78,"*, "&amp;AY$3&amp;", *")</f>
        <v>0</v>
      </c>
      <c r="AZ80" s="2">
        <f>COUNTIFS(集計用!$G78,"*, "&amp;AZ$3&amp;", *")</f>
        <v>0</v>
      </c>
      <c r="BA80" s="2">
        <f>COUNTIFS(集計用!$G78,"*, "&amp;BA$3&amp;", *")</f>
        <v>0</v>
      </c>
      <c r="BB80" s="2">
        <f>COUNTIFS(集計用!$G78,"*, "&amp;BB$3&amp;", *")</f>
        <v>0</v>
      </c>
      <c r="BC80" s="2">
        <f>COUNTIFS(集計用!$G78,"*, "&amp;BC$3&amp;", *")</f>
        <v>0</v>
      </c>
      <c r="BD80" s="2">
        <f>COUNTIFS(集計用!$G78,"*, "&amp;BD$3&amp;", *")</f>
        <v>0</v>
      </c>
      <c r="BE80" s="2">
        <f>COUNTIFS(集計用!$G78,"*, "&amp;BE$3&amp;", *")</f>
        <v>0</v>
      </c>
      <c r="BF80" s="2">
        <f>COUNTIFS(集計用!$G78,"*, "&amp;BF$3&amp;", *")</f>
        <v>0</v>
      </c>
      <c r="BG80" s="2">
        <f>COUNTIFS(集計用!$G78,"*, "&amp;BG$3&amp;", *")</f>
        <v>0</v>
      </c>
      <c r="BH80" s="2">
        <f>COUNTIFS(集計用!$G78,"*, "&amp;BH$3&amp;", *")</f>
        <v>0</v>
      </c>
      <c r="BI80" s="2">
        <f>COUNTIFS(集計用!$G78,"*, "&amp;BI$3&amp;", *")</f>
        <v>0</v>
      </c>
      <c r="BJ80" s="2">
        <f>LEN(集計用!H78)-LEN(SUBSTITUTE(集計用!H78,",",""))</f>
        <v>0</v>
      </c>
    </row>
    <row r="81" spans="1:62" ht="12.75">
      <c r="A81" s="8">
        <v>78</v>
      </c>
      <c r="C81" s="2">
        <f t="shared" si="2"/>
        <v>1</v>
      </c>
      <c r="D81" s="9"/>
      <c r="E81" s="2">
        <f>COUNTIFS(集計用!$G79,"*, "&amp;E$3&amp;", *")</f>
        <v>0</v>
      </c>
      <c r="F81" s="2">
        <f>COUNTIFS(集計用!$G79,"*, "&amp;F$3&amp;", *")</f>
        <v>0</v>
      </c>
      <c r="G81" s="2">
        <f>COUNTIFS(集計用!$G79,"*, "&amp;G$3&amp;", *")</f>
        <v>0</v>
      </c>
      <c r="H81" s="2">
        <f>COUNTIFS(集計用!$G79,"*, "&amp;H$3&amp;", *")</f>
        <v>0</v>
      </c>
      <c r="I81" s="2">
        <f>COUNTIFS(集計用!$G79,"*, "&amp;I$3&amp;", *")</f>
        <v>0</v>
      </c>
      <c r="J81" s="2">
        <f>COUNTIFS(集計用!$G79,"*, "&amp;J$3&amp;", *")</f>
        <v>0</v>
      </c>
      <c r="K81" s="2">
        <f>COUNTIFS(集計用!$G79,"*, "&amp;K$3&amp;", *")</f>
        <v>0</v>
      </c>
      <c r="L81" s="2">
        <f>COUNTIFS(集計用!$G79,"*, "&amp;L$3&amp;", *")</f>
        <v>1</v>
      </c>
      <c r="M81" s="2">
        <f>COUNTIFS(集計用!$G79,"*, "&amp;M$3&amp;", *")</f>
        <v>0</v>
      </c>
      <c r="N81" s="2">
        <f>COUNTIFS(集計用!$G79,"*, "&amp;N$3&amp;", *")</f>
        <v>0</v>
      </c>
      <c r="O81" s="2">
        <f>COUNTIFS(集計用!$G79,"*, "&amp;O$3&amp;", *")</f>
        <v>0</v>
      </c>
      <c r="P81" s="2">
        <f>COUNTIFS(集計用!$G79,"*, "&amp;P$3&amp;", *")</f>
        <v>0</v>
      </c>
      <c r="Q81" s="2">
        <f>COUNTIFS(集計用!$G79,"*, "&amp;Q$3&amp;", *")</f>
        <v>0</v>
      </c>
      <c r="R81" s="2">
        <f>COUNTIFS(集計用!$G79,"*, "&amp;R$3&amp;", *")</f>
        <v>0</v>
      </c>
      <c r="S81" s="2">
        <f>COUNTIFS(集計用!$G79,"*, "&amp;S$3&amp;", *")</f>
        <v>0</v>
      </c>
      <c r="T81" s="2">
        <f>COUNTIFS(集計用!$G79,"*, "&amp;T$3&amp;", *")</f>
        <v>0</v>
      </c>
      <c r="U81" s="2">
        <f>COUNTIFS(集計用!$G79,"*, "&amp;U$3&amp;", *")</f>
        <v>0</v>
      </c>
      <c r="V81" s="2">
        <f>COUNTIFS(集計用!$G79,"*, "&amp;V$3&amp;", *")</f>
        <v>0</v>
      </c>
      <c r="W81" s="2">
        <f>COUNTIFS(集計用!$G79,"*, "&amp;W$3&amp;", *")</f>
        <v>0</v>
      </c>
      <c r="X81" s="2">
        <f>COUNTIFS(集計用!$G79,"*, "&amp;X$3&amp;", *")</f>
        <v>0</v>
      </c>
      <c r="Y81" s="2">
        <f>COUNTIFS(集計用!$G79,"*, "&amp;Y$3&amp;", *")</f>
        <v>0</v>
      </c>
      <c r="Z81" s="2">
        <f>COUNTIFS(集計用!$G79,"*, "&amp;Z$3&amp;", *")</f>
        <v>0</v>
      </c>
      <c r="AA81" s="2">
        <f>COUNTIFS(集計用!$G79,"*, "&amp;AA$3&amp;", *")</f>
        <v>0</v>
      </c>
      <c r="AB81" s="2">
        <f>COUNTIFS(集計用!$G79,"*, "&amp;AB$3&amp;", *")</f>
        <v>0</v>
      </c>
      <c r="AC81" s="2">
        <f>COUNTIFS(集計用!$G79,"*, "&amp;AC$3&amp;", *")</f>
        <v>0</v>
      </c>
      <c r="AD81" s="2">
        <f>COUNTIFS(集計用!$G79,"*, "&amp;AD$3&amp;", *")</f>
        <v>0</v>
      </c>
      <c r="AE81" s="2">
        <f>COUNTIFS(集計用!$G79,"*, "&amp;AE$3&amp;", *")</f>
        <v>0</v>
      </c>
      <c r="AF81" s="2">
        <f>COUNTIFS(集計用!$G79,"*, "&amp;AF$3&amp;", *")</f>
        <v>0</v>
      </c>
      <c r="AG81" s="2">
        <f>COUNTIFS(集計用!$G79,"*, "&amp;AG$3&amp;", *")</f>
        <v>0</v>
      </c>
      <c r="AH81" s="2">
        <f>COUNTIFS(集計用!$G79,"*, "&amp;AH$3&amp;", *")</f>
        <v>0</v>
      </c>
      <c r="AI81" s="2">
        <f>COUNTIFS(集計用!$G79,"*, "&amp;AI$3&amp;", *")</f>
        <v>0</v>
      </c>
      <c r="AJ81" s="2">
        <f>COUNTIFS(集計用!$G79,"*, "&amp;AJ$3&amp;", *")</f>
        <v>0</v>
      </c>
      <c r="AK81" s="2">
        <f>COUNTIFS(集計用!$G79,"*, "&amp;AK$3&amp;", *")</f>
        <v>0</v>
      </c>
      <c r="AL81" s="2">
        <f>COUNTIFS(集計用!$G79,"*, "&amp;AL$3&amp;", *")</f>
        <v>0</v>
      </c>
      <c r="AM81" s="2">
        <f>COUNTIFS(集計用!$G79,"*, "&amp;AM$3&amp;", *")</f>
        <v>0</v>
      </c>
      <c r="AN81" s="2">
        <f>COUNTIFS(集計用!$G79,"*, "&amp;AN$3&amp;", *")</f>
        <v>0</v>
      </c>
      <c r="AO81" s="2">
        <f>COUNTIFS(集計用!$G79,"*, "&amp;AO$3&amp;", *")</f>
        <v>0</v>
      </c>
      <c r="AP81" s="2">
        <f>COUNTIFS(集計用!$G79,"*, "&amp;AP$3&amp;", *")</f>
        <v>0</v>
      </c>
      <c r="AQ81" s="2">
        <f>COUNTIFS(集計用!$G79,"*, "&amp;AQ$3&amp;", *")</f>
        <v>0</v>
      </c>
      <c r="AR81" s="2">
        <f>COUNTIFS(集計用!$G79,"*, "&amp;AR$3&amp;", *")</f>
        <v>0</v>
      </c>
      <c r="AS81" s="2">
        <f>COUNTIFS(集計用!$G79,"*, "&amp;AS$3&amp;", *")</f>
        <v>0</v>
      </c>
      <c r="AT81" s="2">
        <f>COUNTIFS(集計用!$G79,"*, "&amp;AT$3&amp;", *")</f>
        <v>0</v>
      </c>
      <c r="AU81" s="2">
        <f>COUNTIFS(集計用!$G79,"*, "&amp;AU$3&amp;", *")</f>
        <v>0</v>
      </c>
      <c r="AV81" s="2">
        <f>COUNTIFS(集計用!$G79,"*, "&amp;AV$3&amp;", *")</f>
        <v>0</v>
      </c>
      <c r="AW81" s="2">
        <f>COUNTIFS(集計用!$G79,"*, "&amp;AW$3&amp;", *")</f>
        <v>0</v>
      </c>
      <c r="AX81" s="2">
        <f>COUNTIFS(集計用!$G79,"*, "&amp;AX$3&amp;", *")</f>
        <v>0</v>
      </c>
      <c r="AY81" s="2">
        <f>COUNTIFS(集計用!$G79,"*, "&amp;AY$3&amp;", *")</f>
        <v>0</v>
      </c>
      <c r="AZ81" s="2">
        <f>COUNTIFS(集計用!$G79,"*, "&amp;AZ$3&amp;", *")</f>
        <v>0</v>
      </c>
      <c r="BA81" s="2">
        <f>COUNTIFS(集計用!$G79,"*, "&amp;BA$3&amp;", *")</f>
        <v>0</v>
      </c>
      <c r="BB81" s="2">
        <f>COUNTIFS(集計用!$G79,"*, "&amp;BB$3&amp;", *")</f>
        <v>0</v>
      </c>
      <c r="BC81" s="2">
        <f>COUNTIFS(集計用!$G79,"*, "&amp;BC$3&amp;", *")</f>
        <v>0</v>
      </c>
      <c r="BD81" s="2">
        <f>COUNTIFS(集計用!$G79,"*, "&amp;BD$3&amp;", *")</f>
        <v>0</v>
      </c>
      <c r="BE81" s="2">
        <f>COUNTIFS(集計用!$G79,"*, "&amp;BE$3&amp;", *")</f>
        <v>0</v>
      </c>
      <c r="BF81" s="2">
        <f>COUNTIFS(集計用!$G79,"*, "&amp;BF$3&amp;", *")</f>
        <v>0</v>
      </c>
      <c r="BG81" s="2">
        <f>COUNTIFS(集計用!$G79,"*, "&amp;BG$3&amp;", *")</f>
        <v>0</v>
      </c>
      <c r="BH81" s="2">
        <f>COUNTIFS(集計用!$G79,"*, "&amp;BH$3&amp;", *")</f>
        <v>0</v>
      </c>
      <c r="BI81" s="2">
        <f>COUNTIFS(集計用!$G79,"*, "&amp;BI$3&amp;", *")</f>
        <v>0</v>
      </c>
      <c r="BJ81" s="2">
        <f>LEN(集計用!H79)-LEN(SUBSTITUTE(集計用!H79,",",""))</f>
        <v>0</v>
      </c>
    </row>
    <row r="82" spans="1:62" ht="12.75">
      <c r="A82" s="8">
        <v>79</v>
      </c>
      <c r="C82" s="2">
        <f t="shared" si="2"/>
        <v>2</v>
      </c>
      <c r="D82" s="9"/>
      <c r="E82" s="2">
        <f>COUNTIFS(集計用!$G80,"*, "&amp;E$3&amp;", *")</f>
        <v>0</v>
      </c>
      <c r="F82" s="2">
        <f>COUNTIFS(集計用!$G80,"*, "&amp;F$3&amp;", *")</f>
        <v>1</v>
      </c>
      <c r="G82" s="2">
        <f>COUNTIFS(集計用!$G80,"*, "&amp;G$3&amp;", *")</f>
        <v>0</v>
      </c>
      <c r="H82" s="2">
        <f>COUNTIFS(集計用!$G80,"*, "&amp;H$3&amp;", *")</f>
        <v>0</v>
      </c>
      <c r="I82" s="2">
        <f>COUNTIFS(集計用!$G80,"*, "&amp;I$3&amp;", *")</f>
        <v>0</v>
      </c>
      <c r="J82" s="2">
        <f>COUNTIFS(集計用!$G80,"*, "&amp;J$3&amp;", *")</f>
        <v>0</v>
      </c>
      <c r="K82" s="2">
        <f>COUNTIFS(集計用!$G80,"*, "&amp;K$3&amp;", *")</f>
        <v>0</v>
      </c>
      <c r="L82" s="2">
        <f>COUNTIFS(集計用!$G80,"*, "&amp;L$3&amp;", *")</f>
        <v>0</v>
      </c>
      <c r="M82" s="2">
        <f>COUNTIFS(集計用!$G80,"*, "&amp;M$3&amp;", *")</f>
        <v>0</v>
      </c>
      <c r="N82" s="2">
        <f>COUNTIFS(集計用!$G80,"*, "&amp;N$3&amp;", *")</f>
        <v>0</v>
      </c>
      <c r="O82" s="2">
        <f>COUNTIFS(集計用!$G80,"*, "&amp;O$3&amp;", *")</f>
        <v>0</v>
      </c>
      <c r="P82" s="2">
        <f>COUNTIFS(集計用!$G80,"*, "&amp;P$3&amp;", *")</f>
        <v>0</v>
      </c>
      <c r="Q82" s="2">
        <f>COUNTIFS(集計用!$G80,"*, "&amp;Q$3&amp;", *")</f>
        <v>1</v>
      </c>
      <c r="R82" s="2">
        <f>COUNTIFS(集計用!$G80,"*, "&amp;R$3&amp;", *")</f>
        <v>0</v>
      </c>
      <c r="S82" s="2">
        <f>COUNTIFS(集計用!$G80,"*, "&amp;S$3&amp;", *")</f>
        <v>0</v>
      </c>
      <c r="T82" s="2">
        <f>COUNTIFS(集計用!$G80,"*, "&amp;T$3&amp;", *")</f>
        <v>0</v>
      </c>
      <c r="U82" s="2">
        <f>COUNTIFS(集計用!$G80,"*, "&amp;U$3&amp;", *")</f>
        <v>0</v>
      </c>
      <c r="V82" s="2">
        <f>COUNTIFS(集計用!$G80,"*, "&amp;V$3&amp;", *")</f>
        <v>0</v>
      </c>
      <c r="W82" s="2">
        <f>COUNTIFS(集計用!$G80,"*, "&amp;W$3&amp;", *")</f>
        <v>0</v>
      </c>
      <c r="X82" s="2">
        <f>COUNTIFS(集計用!$G80,"*, "&amp;X$3&amp;", *")</f>
        <v>0</v>
      </c>
      <c r="Y82" s="2">
        <f>COUNTIFS(集計用!$G80,"*, "&amp;Y$3&amp;", *")</f>
        <v>0</v>
      </c>
      <c r="Z82" s="2">
        <f>COUNTIFS(集計用!$G80,"*, "&amp;Z$3&amp;", *")</f>
        <v>0</v>
      </c>
      <c r="AA82" s="2">
        <f>COUNTIFS(集計用!$G80,"*, "&amp;AA$3&amp;", *")</f>
        <v>0</v>
      </c>
      <c r="AB82" s="2">
        <f>COUNTIFS(集計用!$G80,"*, "&amp;AB$3&amp;", *")</f>
        <v>0</v>
      </c>
      <c r="AC82" s="2">
        <f>COUNTIFS(集計用!$G80,"*, "&amp;AC$3&amp;", *")</f>
        <v>0</v>
      </c>
      <c r="AD82" s="2">
        <f>COUNTIFS(集計用!$G80,"*, "&amp;AD$3&amp;", *")</f>
        <v>0</v>
      </c>
      <c r="AE82" s="2">
        <f>COUNTIFS(集計用!$G80,"*, "&amp;AE$3&amp;", *")</f>
        <v>0</v>
      </c>
      <c r="AF82" s="2">
        <f>COUNTIFS(集計用!$G80,"*, "&amp;AF$3&amp;", *")</f>
        <v>0</v>
      </c>
      <c r="AG82" s="2">
        <f>COUNTIFS(集計用!$G80,"*, "&amp;AG$3&amp;", *")</f>
        <v>0</v>
      </c>
      <c r="AH82" s="2">
        <f>COUNTIFS(集計用!$G80,"*, "&amp;AH$3&amp;", *")</f>
        <v>0</v>
      </c>
      <c r="AI82" s="2">
        <f>COUNTIFS(集計用!$G80,"*, "&amp;AI$3&amp;", *")</f>
        <v>0</v>
      </c>
      <c r="AJ82" s="2">
        <f>COUNTIFS(集計用!$G80,"*, "&amp;AJ$3&amp;", *")</f>
        <v>0</v>
      </c>
      <c r="AK82" s="2">
        <f>COUNTIFS(集計用!$G80,"*, "&amp;AK$3&amp;", *")</f>
        <v>0</v>
      </c>
      <c r="AL82" s="2">
        <f>COUNTIFS(集計用!$G80,"*, "&amp;AL$3&amp;", *")</f>
        <v>0</v>
      </c>
      <c r="AM82" s="2">
        <f>COUNTIFS(集計用!$G80,"*, "&amp;AM$3&amp;", *")</f>
        <v>0</v>
      </c>
      <c r="AN82" s="2">
        <f>COUNTIFS(集計用!$G80,"*, "&amp;AN$3&amp;", *")</f>
        <v>0</v>
      </c>
      <c r="AO82" s="2">
        <f>COUNTIFS(集計用!$G80,"*, "&amp;AO$3&amp;", *")</f>
        <v>0</v>
      </c>
      <c r="AP82" s="2">
        <f>COUNTIFS(集計用!$G80,"*, "&amp;AP$3&amp;", *")</f>
        <v>0</v>
      </c>
      <c r="AQ82" s="2">
        <f>COUNTIFS(集計用!$G80,"*, "&amp;AQ$3&amp;", *")</f>
        <v>0</v>
      </c>
      <c r="AR82" s="2">
        <f>COUNTIFS(集計用!$G80,"*, "&amp;AR$3&amp;", *")</f>
        <v>0</v>
      </c>
      <c r="AS82" s="2">
        <f>COUNTIFS(集計用!$G80,"*, "&amp;AS$3&amp;", *")</f>
        <v>0</v>
      </c>
      <c r="AT82" s="2">
        <f>COUNTIFS(集計用!$G80,"*, "&amp;AT$3&amp;", *")</f>
        <v>0</v>
      </c>
      <c r="AU82" s="2">
        <f>COUNTIFS(集計用!$G80,"*, "&amp;AU$3&amp;", *")</f>
        <v>0</v>
      </c>
      <c r="AV82" s="2">
        <f>COUNTIFS(集計用!$G80,"*, "&amp;AV$3&amp;", *")</f>
        <v>0</v>
      </c>
      <c r="AW82" s="2">
        <f>COUNTIFS(集計用!$G80,"*, "&amp;AW$3&amp;", *")</f>
        <v>0</v>
      </c>
      <c r="AX82" s="2">
        <f>COUNTIFS(集計用!$G80,"*, "&amp;AX$3&amp;", *")</f>
        <v>0</v>
      </c>
      <c r="AY82" s="2">
        <f>COUNTIFS(集計用!$G80,"*, "&amp;AY$3&amp;", *")</f>
        <v>0</v>
      </c>
      <c r="AZ82" s="2">
        <f>COUNTIFS(集計用!$G80,"*, "&amp;AZ$3&amp;", *")</f>
        <v>0</v>
      </c>
      <c r="BA82" s="2">
        <f>COUNTIFS(集計用!$G80,"*, "&amp;BA$3&amp;", *")</f>
        <v>0</v>
      </c>
      <c r="BB82" s="2">
        <f>COUNTIFS(集計用!$G80,"*, "&amp;BB$3&amp;", *")</f>
        <v>0</v>
      </c>
      <c r="BC82" s="2">
        <f>COUNTIFS(集計用!$G80,"*, "&amp;BC$3&amp;", *")</f>
        <v>0</v>
      </c>
      <c r="BD82" s="2">
        <f>COUNTIFS(集計用!$G80,"*, "&amp;BD$3&amp;", *")</f>
        <v>0</v>
      </c>
      <c r="BE82" s="2">
        <f>COUNTIFS(集計用!$G80,"*, "&amp;BE$3&amp;", *")</f>
        <v>0</v>
      </c>
      <c r="BF82" s="2">
        <f>COUNTIFS(集計用!$G80,"*, "&amp;BF$3&amp;", *")</f>
        <v>0</v>
      </c>
      <c r="BG82" s="2">
        <f>COUNTIFS(集計用!$G80,"*, "&amp;BG$3&amp;", *")</f>
        <v>0</v>
      </c>
      <c r="BH82" s="2">
        <f>COUNTIFS(集計用!$G80,"*, "&amp;BH$3&amp;", *")</f>
        <v>0</v>
      </c>
      <c r="BI82" s="2">
        <f>COUNTIFS(集計用!$G80,"*, "&amp;BI$3&amp;", *")</f>
        <v>0</v>
      </c>
      <c r="BJ82" s="2">
        <f>LEN(集計用!H80)-LEN(SUBSTITUTE(集計用!H80,",",""))</f>
        <v>0</v>
      </c>
    </row>
    <row r="83" spans="1:62" ht="12.75">
      <c r="A83" s="8">
        <v>80</v>
      </c>
      <c r="C83" s="2">
        <f t="shared" si="2"/>
        <v>1</v>
      </c>
      <c r="D83" s="9"/>
      <c r="E83" s="2">
        <f>COUNTIFS(集計用!$G81,"*, "&amp;E$3&amp;", *")</f>
        <v>0</v>
      </c>
      <c r="F83" s="2">
        <f>COUNTIFS(集計用!$G81,"*, "&amp;F$3&amp;", *")</f>
        <v>0</v>
      </c>
      <c r="G83" s="2">
        <f>COUNTIFS(集計用!$G81,"*, "&amp;G$3&amp;", *")</f>
        <v>0</v>
      </c>
      <c r="H83" s="2">
        <f>COUNTIFS(集計用!$G81,"*, "&amp;H$3&amp;", *")</f>
        <v>0</v>
      </c>
      <c r="I83" s="2">
        <f>COUNTIFS(集計用!$G81,"*, "&amp;I$3&amp;", *")</f>
        <v>0</v>
      </c>
      <c r="J83" s="2">
        <f>COUNTIFS(集計用!$G81,"*, "&amp;J$3&amp;", *")</f>
        <v>0</v>
      </c>
      <c r="K83" s="2">
        <f>COUNTIFS(集計用!$G81,"*, "&amp;K$3&amp;", *")</f>
        <v>0</v>
      </c>
      <c r="L83" s="2">
        <f>COUNTIFS(集計用!$G81,"*, "&amp;L$3&amp;", *")</f>
        <v>0</v>
      </c>
      <c r="M83" s="2">
        <f>COUNTIFS(集計用!$G81,"*, "&amp;M$3&amp;", *")</f>
        <v>0</v>
      </c>
      <c r="N83" s="2">
        <f>COUNTIFS(集計用!$G81,"*, "&amp;N$3&amp;", *")</f>
        <v>0</v>
      </c>
      <c r="O83" s="2">
        <f>COUNTIFS(集計用!$G81,"*, "&amp;O$3&amp;", *")</f>
        <v>0</v>
      </c>
      <c r="P83" s="2">
        <f>COUNTIFS(集計用!$G81,"*, "&amp;P$3&amp;", *")</f>
        <v>0</v>
      </c>
      <c r="Q83" s="2">
        <f>COUNTIFS(集計用!$G81,"*, "&amp;Q$3&amp;", *")</f>
        <v>1</v>
      </c>
      <c r="R83" s="2">
        <f>COUNTIFS(集計用!$G81,"*, "&amp;R$3&amp;", *")</f>
        <v>0</v>
      </c>
      <c r="S83" s="2">
        <f>COUNTIFS(集計用!$G81,"*, "&amp;S$3&amp;", *")</f>
        <v>0</v>
      </c>
      <c r="T83" s="2">
        <f>COUNTIFS(集計用!$G81,"*, "&amp;T$3&amp;", *")</f>
        <v>0</v>
      </c>
      <c r="U83" s="2">
        <f>COUNTIFS(集計用!$G81,"*, "&amp;U$3&amp;", *")</f>
        <v>0</v>
      </c>
      <c r="V83" s="2">
        <f>COUNTIFS(集計用!$G81,"*, "&amp;V$3&amp;", *")</f>
        <v>0</v>
      </c>
      <c r="W83" s="2">
        <f>COUNTIFS(集計用!$G81,"*, "&amp;W$3&amp;", *")</f>
        <v>0</v>
      </c>
      <c r="X83" s="2">
        <f>COUNTIFS(集計用!$G81,"*, "&amp;X$3&amp;", *")</f>
        <v>0</v>
      </c>
      <c r="Y83" s="2">
        <f>COUNTIFS(集計用!$G81,"*, "&amp;Y$3&amp;", *")</f>
        <v>0</v>
      </c>
      <c r="Z83" s="2">
        <f>COUNTIFS(集計用!$G81,"*, "&amp;Z$3&amp;", *")</f>
        <v>0</v>
      </c>
      <c r="AA83" s="2">
        <f>COUNTIFS(集計用!$G81,"*, "&amp;AA$3&amp;", *")</f>
        <v>0</v>
      </c>
      <c r="AB83" s="2">
        <f>COUNTIFS(集計用!$G81,"*, "&amp;AB$3&amp;", *")</f>
        <v>0</v>
      </c>
      <c r="AC83" s="2">
        <f>COUNTIFS(集計用!$G81,"*, "&amp;AC$3&amp;", *")</f>
        <v>0</v>
      </c>
      <c r="AD83" s="2">
        <f>COUNTIFS(集計用!$G81,"*, "&amp;AD$3&amp;", *")</f>
        <v>0</v>
      </c>
      <c r="AE83" s="2">
        <f>COUNTIFS(集計用!$G81,"*, "&amp;AE$3&amp;", *")</f>
        <v>0</v>
      </c>
      <c r="AF83" s="2">
        <f>COUNTIFS(集計用!$G81,"*, "&amp;AF$3&amp;", *")</f>
        <v>0</v>
      </c>
      <c r="AG83" s="2">
        <f>COUNTIFS(集計用!$G81,"*, "&amp;AG$3&amp;", *")</f>
        <v>0</v>
      </c>
      <c r="AH83" s="2">
        <f>COUNTIFS(集計用!$G81,"*, "&amp;AH$3&amp;", *")</f>
        <v>0</v>
      </c>
      <c r="AI83" s="2">
        <f>COUNTIFS(集計用!$G81,"*, "&amp;AI$3&amp;", *")</f>
        <v>0</v>
      </c>
      <c r="AJ83" s="2">
        <f>COUNTIFS(集計用!$G81,"*, "&amp;AJ$3&amp;", *")</f>
        <v>0</v>
      </c>
      <c r="AK83" s="2">
        <f>COUNTIFS(集計用!$G81,"*, "&amp;AK$3&amp;", *")</f>
        <v>0</v>
      </c>
      <c r="AL83" s="2">
        <f>COUNTIFS(集計用!$G81,"*, "&amp;AL$3&amp;", *")</f>
        <v>0</v>
      </c>
      <c r="AM83" s="2">
        <f>COUNTIFS(集計用!$G81,"*, "&amp;AM$3&amp;", *")</f>
        <v>0</v>
      </c>
      <c r="AN83" s="2">
        <f>COUNTIFS(集計用!$G81,"*, "&amp;AN$3&amp;", *")</f>
        <v>0</v>
      </c>
      <c r="AO83" s="2">
        <f>COUNTIFS(集計用!$G81,"*, "&amp;AO$3&amp;", *")</f>
        <v>0</v>
      </c>
      <c r="AP83" s="2">
        <f>COUNTIFS(集計用!$G81,"*, "&amp;AP$3&amp;", *")</f>
        <v>0</v>
      </c>
      <c r="AQ83" s="2">
        <f>COUNTIFS(集計用!$G81,"*, "&amp;AQ$3&amp;", *")</f>
        <v>0</v>
      </c>
      <c r="AR83" s="2">
        <f>COUNTIFS(集計用!$G81,"*, "&amp;AR$3&amp;", *")</f>
        <v>0</v>
      </c>
      <c r="AS83" s="2">
        <f>COUNTIFS(集計用!$G81,"*, "&amp;AS$3&amp;", *")</f>
        <v>0</v>
      </c>
      <c r="AT83" s="2">
        <f>COUNTIFS(集計用!$G81,"*, "&amp;AT$3&amp;", *")</f>
        <v>0</v>
      </c>
      <c r="AU83" s="2">
        <f>COUNTIFS(集計用!$G81,"*, "&amp;AU$3&amp;", *")</f>
        <v>0</v>
      </c>
      <c r="AV83" s="2">
        <f>COUNTIFS(集計用!$G81,"*, "&amp;AV$3&amp;", *")</f>
        <v>0</v>
      </c>
      <c r="AW83" s="2">
        <f>COUNTIFS(集計用!$G81,"*, "&amp;AW$3&amp;", *")</f>
        <v>0</v>
      </c>
      <c r="AX83" s="2">
        <f>COUNTIFS(集計用!$G81,"*, "&amp;AX$3&amp;", *")</f>
        <v>0</v>
      </c>
      <c r="AY83" s="2">
        <f>COUNTIFS(集計用!$G81,"*, "&amp;AY$3&amp;", *")</f>
        <v>0</v>
      </c>
      <c r="AZ83" s="2">
        <f>COUNTIFS(集計用!$G81,"*, "&amp;AZ$3&amp;", *")</f>
        <v>0</v>
      </c>
      <c r="BA83" s="2">
        <f>COUNTIFS(集計用!$G81,"*, "&amp;BA$3&amp;", *")</f>
        <v>0</v>
      </c>
      <c r="BB83" s="2">
        <f>COUNTIFS(集計用!$G81,"*, "&amp;BB$3&amp;", *")</f>
        <v>0</v>
      </c>
      <c r="BC83" s="2">
        <f>COUNTIFS(集計用!$G81,"*, "&amp;BC$3&amp;", *")</f>
        <v>0</v>
      </c>
      <c r="BD83" s="2">
        <f>COUNTIFS(集計用!$G81,"*, "&amp;BD$3&amp;", *")</f>
        <v>0</v>
      </c>
      <c r="BE83" s="2">
        <f>COUNTIFS(集計用!$G81,"*, "&amp;BE$3&amp;", *")</f>
        <v>0</v>
      </c>
      <c r="BF83" s="2">
        <f>COUNTIFS(集計用!$G81,"*, "&amp;BF$3&amp;", *")</f>
        <v>0</v>
      </c>
      <c r="BG83" s="2">
        <f>COUNTIFS(集計用!$G81,"*, "&amp;BG$3&amp;", *")</f>
        <v>0</v>
      </c>
      <c r="BH83" s="2">
        <f>COUNTIFS(集計用!$G81,"*, "&amp;BH$3&amp;", *")</f>
        <v>0</v>
      </c>
      <c r="BI83" s="2">
        <f>COUNTIFS(集計用!$G81,"*, "&amp;BI$3&amp;", *")</f>
        <v>0</v>
      </c>
      <c r="BJ83" s="2">
        <f>LEN(集計用!H81)-LEN(SUBSTITUTE(集計用!H81,",",""))</f>
        <v>0</v>
      </c>
    </row>
    <row r="84" spans="1:62" ht="12.75">
      <c r="A84" s="8">
        <v>81</v>
      </c>
      <c r="C84" s="2">
        <f t="shared" si="2"/>
        <v>13</v>
      </c>
      <c r="D84" s="9"/>
      <c r="E84" s="2">
        <f>COUNTIFS(集計用!$G82,"*, "&amp;E$3&amp;", *")</f>
        <v>1</v>
      </c>
      <c r="F84" s="2">
        <f>COUNTIFS(集計用!$G82,"*, "&amp;F$3&amp;", *")</f>
        <v>1</v>
      </c>
      <c r="G84" s="2">
        <f>COUNTIFS(集計用!$G82,"*, "&amp;G$3&amp;", *")</f>
        <v>0</v>
      </c>
      <c r="H84" s="2">
        <f>COUNTIFS(集計用!$G82,"*, "&amp;H$3&amp;", *")</f>
        <v>0</v>
      </c>
      <c r="I84" s="2">
        <f>COUNTIFS(集計用!$G82,"*, "&amp;I$3&amp;", *")</f>
        <v>0</v>
      </c>
      <c r="J84" s="2">
        <f>COUNTIFS(集計用!$G82,"*, "&amp;J$3&amp;", *")</f>
        <v>0</v>
      </c>
      <c r="K84" s="2">
        <f>COUNTIFS(集計用!$G82,"*, "&amp;K$3&amp;", *")</f>
        <v>1</v>
      </c>
      <c r="L84" s="2">
        <f>COUNTIFS(集計用!$G82,"*, "&amp;L$3&amp;", *")</f>
        <v>0</v>
      </c>
      <c r="M84" s="2">
        <f>COUNTIFS(集計用!$G82,"*, "&amp;M$3&amp;", *")</f>
        <v>0</v>
      </c>
      <c r="N84" s="2">
        <f>COUNTIFS(集計用!$G82,"*, "&amp;N$3&amp;", *")</f>
        <v>0</v>
      </c>
      <c r="O84" s="2">
        <f>COUNTIFS(集計用!$G82,"*, "&amp;O$3&amp;", *")</f>
        <v>1</v>
      </c>
      <c r="P84" s="2">
        <f>COUNTIFS(集計用!$G82,"*, "&amp;P$3&amp;", *")</f>
        <v>0</v>
      </c>
      <c r="Q84" s="2">
        <f>COUNTIFS(集計用!$G82,"*, "&amp;Q$3&amp;", *")</f>
        <v>1</v>
      </c>
      <c r="R84" s="2">
        <f>COUNTIFS(集計用!$G82,"*, "&amp;R$3&amp;", *")</f>
        <v>1</v>
      </c>
      <c r="S84" s="2">
        <f>COUNTIFS(集計用!$G82,"*, "&amp;S$3&amp;", *")</f>
        <v>0</v>
      </c>
      <c r="T84" s="2">
        <f>COUNTIFS(集計用!$G82,"*, "&amp;T$3&amp;", *")</f>
        <v>0</v>
      </c>
      <c r="U84" s="2">
        <f>COUNTIFS(集計用!$G82,"*, "&amp;U$3&amp;", *")</f>
        <v>0</v>
      </c>
      <c r="V84" s="2">
        <f>COUNTIFS(集計用!$G82,"*, "&amp;V$3&amp;", *")</f>
        <v>0</v>
      </c>
      <c r="W84" s="2">
        <f>COUNTIFS(集計用!$G82,"*, "&amp;W$3&amp;", *")</f>
        <v>0</v>
      </c>
      <c r="X84" s="2">
        <f>COUNTIFS(集計用!$G82,"*, "&amp;X$3&amp;", *")</f>
        <v>0</v>
      </c>
      <c r="Y84" s="2">
        <f>COUNTIFS(集計用!$G82,"*, "&amp;Y$3&amp;", *")</f>
        <v>0</v>
      </c>
      <c r="Z84" s="2">
        <f>COUNTIFS(集計用!$G82,"*, "&amp;Z$3&amp;", *")</f>
        <v>1</v>
      </c>
      <c r="AA84" s="2">
        <f>COUNTIFS(集計用!$G82,"*, "&amp;AA$3&amp;", *")</f>
        <v>1</v>
      </c>
      <c r="AB84" s="2">
        <f>COUNTIFS(集計用!$G82,"*, "&amp;AB$3&amp;", *")</f>
        <v>0</v>
      </c>
      <c r="AC84" s="2">
        <f>COUNTIFS(集計用!$G82,"*, "&amp;AC$3&amp;", *")</f>
        <v>1</v>
      </c>
      <c r="AD84" s="2">
        <f>COUNTIFS(集計用!$G82,"*, "&amp;AD$3&amp;", *")</f>
        <v>0</v>
      </c>
      <c r="AE84" s="2">
        <f>COUNTIFS(集計用!$G82,"*, "&amp;AE$3&amp;", *")</f>
        <v>0</v>
      </c>
      <c r="AF84" s="2">
        <f>COUNTIFS(集計用!$G82,"*, "&amp;AF$3&amp;", *")</f>
        <v>1</v>
      </c>
      <c r="AG84" s="2">
        <f>COUNTIFS(集計用!$G82,"*, "&amp;AG$3&amp;", *")</f>
        <v>0</v>
      </c>
      <c r="AH84" s="2">
        <f>COUNTIFS(集計用!$G82,"*, "&amp;AH$3&amp;", *")</f>
        <v>1</v>
      </c>
      <c r="AI84" s="2">
        <f>COUNTIFS(集計用!$G82,"*, "&amp;AI$3&amp;", *")</f>
        <v>0</v>
      </c>
      <c r="AJ84" s="2">
        <f>COUNTIFS(集計用!$G82,"*, "&amp;AJ$3&amp;", *")</f>
        <v>0</v>
      </c>
      <c r="AK84" s="2">
        <f>COUNTIFS(集計用!$G82,"*, "&amp;AK$3&amp;", *")</f>
        <v>0</v>
      </c>
      <c r="AL84" s="2">
        <f>COUNTIFS(集計用!$G82,"*, "&amp;AL$3&amp;", *")</f>
        <v>0</v>
      </c>
      <c r="AM84" s="2">
        <f>COUNTIFS(集計用!$G82,"*, "&amp;AM$3&amp;", *")</f>
        <v>0</v>
      </c>
      <c r="AN84" s="2">
        <f>COUNTIFS(集計用!$G82,"*, "&amp;AN$3&amp;", *")</f>
        <v>0</v>
      </c>
      <c r="AO84" s="2">
        <f>COUNTIFS(集計用!$G82,"*, "&amp;AO$3&amp;", *")</f>
        <v>0</v>
      </c>
      <c r="AP84" s="2">
        <f>COUNTIFS(集計用!$G82,"*, "&amp;AP$3&amp;", *")</f>
        <v>0</v>
      </c>
      <c r="AQ84" s="2">
        <f>COUNTIFS(集計用!$G82,"*, "&amp;AQ$3&amp;", *")</f>
        <v>0</v>
      </c>
      <c r="AR84" s="2">
        <f>COUNTIFS(集計用!$G82,"*, "&amp;AR$3&amp;", *")</f>
        <v>0</v>
      </c>
      <c r="AS84" s="2">
        <f>COUNTIFS(集計用!$G82,"*, "&amp;AS$3&amp;", *")</f>
        <v>0</v>
      </c>
      <c r="AT84" s="2">
        <f>COUNTIFS(集計用!$G82,"*, "&amp;AT$3&amp;", *")</f>
        <v>0</v>
      </c>
      <c r="AU84" s="2">
        <f>COUNTIFS(集計用!$G82,"*, "&amp;AU$3&amp;", *")</f>
        <v>0</v>
      </c>
      <c r="AV84" s="2">
        <f>COUNTIFS(集計用!$G82,"*, "&amp;AV$3&amp;", *")</f>
        <v>0</v>
      </c>
      <c r="AW84" s="2">
        <f>COUNTIFS(集計用!$G82,"*, "&amp;AW$3&amp;", *")</f>
        <v>0</v>
      </c>
      <c r="AX84" s="2">
        <f>COUNTIFS(集計用!$G82,"*, "&amp;AX$3&amp;", *")</f>
        <v>0</v>
      </c>
      <c r="AY84" s="2">
        <f>COUNTIFS(集計用!$G82,"*, "&amp;AY$3&amp;", *")</f>
        <v>0</v>
      </c>
      <c r="AZ84" s="2">
        <f>COUNTIFS(集計用!$G82,"*, "&amp;AZ$3&amp;", *")</f>
        <v>0</v>
      </c>
      <c r="BA84" s="2">
        <f>COUNTIFS(集計用!$G82,"*, "&amp;BA$3&amp;", *")</f>
        <v>0</v>
      </c>
      <c r="BB84" s="2">
        <f>COUNTIFS(集計用!$G82,"*, "&amp;BB$3&amp;", *")</f>
        <v>0</v>
      </c>
      <c r="BC84" s="2">
        <f>COUNTIFS(集計用!$G82,"*, "&amp;BC$3&amp;", *")</f>
        <v>0</v>
      </c>
      <c r="BD84" s="2">
        <f>COUNTIFS(集計用!$G82,"*, "&amp;BD$3&amp;", *")</f>
        <v>0</v>
      </c>
      <c r="BE84" s="2">
        <f>COUNTIFS(集計用!$G82,"*, "&amp;BE$3&amp;", *")</f>
        <v>0</v>
      </c>
      <c r="BF84" s="2">
        <f>COUNTIFS(集計用!$G82,"*, "&amp;BF$3&amp;", *")</f>
        <v>0</v>
      </c>
      <c r="BG84" s="2">
        <f>COUNTIFS(集計用!$G82,"*, "&amp;BG$3&amp;", *")</f>
        <v>0</v>
      </c>
      <c r="BH84" s="2">
        <f>COUNTIFS(集計用!$G82,"*, "&amp;BH$3&amp;", *")</f>
        <v>0</v>
      </c>
      <c r="BI84" s="2">
        <f>COUNTIFS(集計用!$G82,"*, "&amp;BI$3&amp;", *")</f>
        <v>0</v>
      </c>
      <c r="BJ84" s="2">
        <f>LEN(集計用!H82)-LEN(SUBSTITUTE(集計用!H82,",",""))</f>
        <v>2</v>
      </c>
    </row>
    <row r="85" spans="1:62" ht="12.75">
      <c r="A85" s="8">
        <v>82</v>
      </c>
      <c r="C85" s="2">
        <f t="shared" si="2"/>
        <v>3</v>
      </c>
      <c r="D85" s="9"/>
      <c r="E85" s="2">
        <f>COUNTIFS(集計用!$G83,"*, "&amp;E$3&amp;", *")</f>
        <v>1</v>
      </c>
      <c r="F85" s="2">
        <f>COUNTIFS(集計用!$G83,"*, "&amp;F$3&amp;", *")</f>
        <v>0</v>
      </c>
      <c r="G85" s="2">
        <f>COUNTIFS(集計用!$G83,"*, "&amp;G$3&amp;", *")</f>
        <v>0</v>
      </c>
      <c r="H85" s="2">
        <f>COUNTIFS(集計用!$G83,"*, "&amp;H$3&amp;", *")</f>
        <v>0</v>
      </c>
      <c r="I85" s="2">
        <f>COUNTIFS(集計用!$G83,"*, "&amp;I$3&amp;", *")</f>
        <v>0</v>
      </c>
      <c r="J85" s="2">
        <f>COUNTIFS(集計用!$G83,"*, "&amp;J$3&amp;", *")</f>
        <v>1</v>
      </c>
      <c r="K85" s="2">
        <f>COUNTIFS(集計用!$G83,"*, "&amp;K$3&amp;", *")</f>
        <v>0</v>
      </c>
      <c r="L85" s="2">
        <f>COUNTIFS(集計用!$G83,"*, "&amp;L$3&amp;", *")</f>
        <v>0</v>
      </c>
      <c r="M85" s="2">
        <f>COUNTIFS(集計用!$G83,"*, "&amp;M$3&amp;", *")</f>
        <v>0</v>
      </c>
      <c r="N85" s="2">
        <f>COUNTIFS(集計用!$G83,"*, "&amp;N$3&amp;", *")</f>
        <v>0</v>
      </c>
      <c r="O85" s="2">
        <f>COUNTIFS(集計用!$G83,"*, "&amp;O$3&amp;", *")</f>
        <v>0</v>
      </c>
      <c r="P85" s="2">
        <f>COUNTIFS(集計用!$G83,"*, "&amp;P$3&amp;", *")</f>
        <v>1</v>
      </c>
      <c r="Q85" s="2">
        <f>COUNTIFS(集計用!$G83,"*, "&amp;Q$3&amp;", *")</f>
        <v>0</v>
      </c>
      <c r="R85" s="2">
        <f>COUNTIFS(集計用!$G83,"*, "&amp;R$3&amp;", *")</f>
        <v>0</v>
      </c>
      <c r="S85" s="2">
        <f>COUNTIFS(集計用!$G83,"*, "&amp;S$3&amp;", *")</f>
        <v>0</v>
      </c>
      <c r="T85" s="2">
        <f>COUNTIFS(集計用!$G83,"*, "&amp;T$3&amp;", *")</f>
        <v>0</v>
      </c>
      <c r="U85" s="2">
        <f>COUNTIFS(集計用!$G83,"*, "&amp;U$3&amp;", *")</f>
        <v>0</v>
      </c>
      <c r="V85" s="2">
        <f>COUNTIFS(集計用!$G83,"*, "&amp;V$3&amp;", *")</f>
        <v>0</v>
      </c>
      <c r="W85" s="2">
        <f>COUNTIFS(集計用!$G83,"*, "&amp;W$3&amp;", *")</f>
        <v>0</v>
      </c>
      <c r="X85" s="2">
        <f>COUNTIFS(集計用!$G83,"*, "&amp;X$3&amp;", *")</f>
        <v>0</v>
      </c>
      <c r="Y85" s="2">
        <f>COUNTIFS(集計用!$G83,"*, "&amp;Y$3&amp;", *")</f>
        <v>0</v>
      </c>
      <c r="Z85" s="2">
        <f>COUNTIFS(集計用!$G83,"*, "&amp;Z$3&amp;", *")</f>
        <v>0</v>
      </c>
      <c r="AA85" s="2">
        <f>COUNTIFS(集計用!$G83,"*, "&amp;AA$3&amp;", *")</f>
        <v>0</v>
      </c>
      <c r="AB85" s="2">
        <f>COUNTIFS(集計用!$G83,"*, "&amp;AB$3&amp;", *")</f>
        <v>0</v>
      </c>
      <c r="AC85" s="2">
        <f>COUNTIFS(集計用!$G83,"*, "&amp;AC$3&amp;", *")</f>
        <v>0</v>
      </c>
      <c r="AD85" s="2">
        <f>COUNTIFS(集計用!$G83,"*, "&amp;AD$3&amp;", *")</f>
        <v>0</v>
      </c>
      <c r="AE85" s="2">
        <f>COUNTIFS(集計用!$G83,"*, "&amp;AE$3&amp;", *")</f>
        <v>0</v>
      </c>
      <c r="AF85" s="2">
        <f>COUNTIFS(集計用!$G83,"*, "&amp;AF$3&amp;", *")</f>
        <v>0</v>
      </c>
      <c r="AG85" s="2">
        <f>COUNTIFS(集計用!$G83,"*, "&amp;AG$3&amp;", *")</f>
        <v>0</v>
      </c>
      <c r="AH85" s="2">
        <f>COUNTIFS(集計用!$G83,"*, "&amp;AH$3&amp;", *")</f>
        <v>0</v>
      </c>
      <c r="AI85" s="2">
        <f>COUNTIFS(集計用!$G83,"*, "&amp;AI$3&amp;", *")</f>
        <v>0</v>
      </c>
      <c r="AJ85" s="2">
        <f>COUNTIFS(集計用!$G83,"*, "&amp;AJ$3&amp;", *")</f>
        <v>0</v>
      </c>
      <c r="AK85" s="2">
        <f>COUNTIFS(集計用!$G83,"*, "&amp;AK$3&amp;", *")</f>
        <v>0</v>
      </c>
      <c r="AL85" s="2">
        <f>COUNTIFS(集計用!$G83,"*, "&amp;AL$3&amp;", *")</f>
        <v>0</v>
      </c>
      <c r="AM85" s="2">
        <f>COUNTIFS(集計用!$G83,"*, "&amp;AM$3&amp;", *")</f>
        <v>0</v>
      </c>
      <c r="AN85" s="2">
        <f>COUNTIFS(集計用!$G83,"*, "&amp;AN$3&amp;", *")</f>
        <v>0</v>
      </c>
      <c r="AO85" s="2">
        <f>COUNTIFS(集計用!$G83,"*, "&amp;AO$3&amp;", *")</f>
        <v>0</v>
      </c>
      <c r="AP85" s="2">
        <f>COUNTIFS(集計用!$G83,"*, "&amp;AP$3&amp;", *")</f>
        <v>0</v>
      </c>
      <c r="AQ85" s="2">
        <f>COUNTIFS(集計用!$G83,"*, "&amp;AQ$3&amp;", *")</f>
        <v>0</v>
      </c>
      <c r="AR85" s="2">
        <f>COUNTIFS(集計用!$G83,"*, "&amp;AR$3&amp;", *")</f>
        <v>0</v>
      </c>
      <c r="AS85" s="2">
        <f>COUNTIFS(集計用!$G83,"*, "&amp;AS$3&amp;", *")</f>
        <v>0</v>
      </c>
      <c r="AT85" s="2">
        <f>COUNTIFS(集計用!$G83,"*, "&amp;AT$3&amp;", *")</f>
        <v>0</v>
      </c>
      <c r="AU85" s="2">
        <f>COUNTIFS(集計用!$G83,"*, "&amp;AU$3&amp;", *")</f>
        <v>0</v>
      </c>
      <c r="AV85" s="2">
        <f>COUNTIFS(集計用!$G83,"*, "&amp;AV$3&amp;", *")</f>
        <v>0</v>
      </c>
      <c r="AW85" s="2">
        <f>COUNTIFS(集計用!$G83,"*, "&amp;AW$3&amp;", *")</f>
        <v>0</v>
      </c>
      <c r="AX85" s="2">
        <f>COUNTIFS(集計用!$G83,"*, "&amp;AX$3&amp;", *")</f>
        <v>0</v>
      </c>
      <c r="AY85" s="2">
        <f>COUNTIFS(集計用!$G83,"*, "&amp;AY$3&amp;", *")</f>
        <v>0</v>
      </c>
      <c r="AZ85" s="2">
        <f>COUNTIFS(集計用!$G83,"*, "&amp;AZ$3&amp;", *")</f>
        <v>0</v>
      </c>
      <c r="BA85" s="2">
        <f>COUNTIFS(集計用!$G83,"*, "&amp;BA$3&amp;", *")</f>
        <v>0</v>
      </c>
      <c r="BB85" s="2">
        <f>COUNTIFS(集計用!$G83,"*, "&amp;BB$3&amp;", *")</f>
        <v>0</v>
      </c>
      <c r="BC85" s="2">
        <f>COUNTIFS(集計用!$G83,"*, "&amp;BC$3&amp;", *")</f>
        <v>0</v>
      </c>
      <c r="BD85" s="2">
        <f>COUNTIFS(集計用!$G83,"*, "&amp;BD$3&amp;", *")</f>
        <v>0</v>
      </c>
      <c r="BE85" s="2">
        <f>COUNTIFS(集計用!$G83,"*, "&amp;BE$3&amp;", *")</f>
        <v>0</v>
      </c>
      <c r="BF85" s="2">
        <f>COUNTIFS(集計用!$G83,"*, "&amp;BF$3&amp;", *")</f>
        <v>0</v>
      </c>
      <c r="BG85" s="2">
        <f>COUNTIFS(集計用!$G83,"*, "&amp;BG$3&amp;", *")</f>
        <v>0</v>
      </c>
      <c r="BH85" s="2">
        <f>COUNTIFS(集計用!$G83,"*, "&amp;BH$3&amp;", *")</f>
        <v>0</v>
      </c>
      <c r="BI85" s="2">
        <f>COUNTIFS(集計用!$G83,"*, "&amp;BI$3&amp;", *")</f>
        <v>0</v>
      </c>
      <c r="BJ85" s="2">
        <f>LEN(集計用!H83)-LEN(SUBSTITUTE(集計用!H83,",",""))</f>
        <v>0</v>
      </c>
    </row>
    <row r="86" spans="1:62" ht="12.75">
      <c r="A86" s="8">
        <v>83</v>
      </c>
      <c r="C86" s="2">
        <f t="shared" si="2"/>
        <v>8</v>
      </c>
      <c r="D86" s="9"/>
      <c r="E86" s="2">
        <f>COUNTIFS(集計用!$G84,"*, "&amp;E$3&amp;", *")</f>
        <v>1</v>
      </c>
      <c r="F86" s="2">
        <f>COUNTIFS(集計用!$G84,"*, "&amp;F$3&amp;", *")</f>
        <v>1</v>
      </c>
      <c r="G86" s="2">
        <f>COUNTIFS(集計用!$G84,"*, "&amp;G$3&amp;", *")</f>
        <v>1</v>
      </c>
      <c r="H86" s="2">
        <f>COUNTIFS(集計用!$G84,"*, "&amp;H$3&amp;", *")</f>
        <v>0</v>
      </c>
      <c r="I86" s="2">
        <f>COUNTIFS(集計用!$G84,"*, "&amp;I$3&amp;", *")</f>
        <v>0</v>
      </c>
      <c r="J86" s="2">
        <f>COUNTIFS(集計用!$G84,"*, "&amp;J$3&amp;", *")</f>
        <v>0</v>
      </c>
      <c r="K86" s="2">
        <f>COUNTIFS(集計用!$G84,"*, "&amp;K$3&amp;", *")</f>
        <v>1</v>
      </c>
      <c r="L86" s="2">
        <f>COUNTIFS(集計用!$G84,"*, "&amp;L$3&amp;", *")</f>
        <v>0</v>
      </c>
      <c r="M86" s="2">
        <f>COUNTIFS(集計用!$G84,"*, "&amp;M$3&amp;", *")</f>
        <v>0</v>
      </c>
      <c r="N86" s="2">
        <f>COUNTIFS(集計用!$G84,"*, "&amp;N$3&amp;", *")</f>
        <v>1</v>
      </c>
      <c r="O86" s="2">
        <f>COUNTIFS(集計用!$G84,"*, "&amp;O$3&amp;", *")</f>
        <v>1</v>
      </c>
      <c r="P86" s="2">
        <f>COUNTIFS(集計用!$G84,"*, "&amp;P$3&amp;", *")</f>
        <v>0</v>
      </c>
      <c r="Q86" s="2">
        <f>COUNTIFS(集計用!$G84,"*, "&amp;Q$3&amp;", *")</f>
        <v>0</v>
      </c>
      <c r="R86" s="2">
        <f>COUNTIFS(集計用!$G84,"*, "&amp;R$3&amp;", *")</f>
        <v>0</v>
      </c>
      <c r="S86" s="2">
        <f>COUNTIFS(集計用!$G84,"*, "&amp;S$3&amp;", *")</f>
        <v>0</v>
      </c>
      <c r="T86" s="2">
        <f>COUNTIFS(集計用!$G84,"*, "&amp;T$3&amp;", *")</f>
        <v>0</v>
      </c>
      <c r="U86" s="2">
        <f>COUNTIFS(集計用!$G84,"*, "&amp;U$3&amp;", *")</f>
        <v>1</v>
      </c>
      <c r="V86" s="2">
        <f>COUNTIFS(集計用!$G84,"*, "&amp;V$3&amp;", *")</f>
        <v>1</v>
      </c>
      <c r="W86" s="2">
        <f>COUNTIFS(集計用!$G84,"*, "&amp;W$3&amp;", *")</f>
        <v>0</v>
      </c>
      <c r="X86" s="2">
        <f>COUNTIFS(集計用!$G84,"*, "&amp;X$3&amp;", *")</f>
        <v>0</v>
      </c>
      <c r="Y86" s="2">
        <f>COUNTIFS(集計用!$G84,"*, "&amp;Y$3&amp;", *")</f>
        <v>0</v>
      </c>
      <c r="Z86" s="2">
        <f>COUNTIFS(集計用!$G84,"*, "&amp;Z$3&amp;", *")</f>
        <v>0</v>
      </c>
      <c r="AA86" s="2">
        <f>COUNTIFS(集計用!$G84,"*, "&amp;AA$3&amp;", *")</f>
        <v>0</v>
      </c>
      <c r="AB86" s="2">
        <f>COUNTIFS(集計用!$G84,"*, "&amp;AB$3&amp;", *")</f>
        <v>0</v>
      </c>
      <c r="AC86" s="2">
        <f>COUNTIFS(集計用!$G84,"*, "&amp;AC$3&amp;", *")</f>
        <v>0</v>
      </c>
      <c r="AD86" s="2">
        <f>COUNTIFS(集計用!$G84,"*, "&amp;AD$3&amp;", *")</f>
        <v>0</v>
      </c>
      <c r="AE86" s="2">
        <f>COUNTIFS(集計用!$G84,"*, "&amp;AE$3&amp;", *")</f>
        <v>0</v>
      </c>
      <c r="AF86" s="2">
        <f>COUNTIFS(集計用!$G84,"*, "&amp;AF$3&amp;", *")</f>
        <v>0</v>
      </c>
      <c r="AG86" s="2">
        <f>COUNTIFS(集計用!$G84,"*, "&amp;AG$3&amp;", *")</f>
        <v>0</v>
      </c>
      <c r="AH86" s="2">
        <f>COUNTIFS(集計用!$G84,"*, "&amp;AH$3&amp;", *")</f>
        <v>0</v>
      </c>
      <c r="AI86" s="2">
        <f>COUNTIFS(集計用!$G84,"*, "&amp;AI$3&amp;", *")</f>
        <v>0</v>
      </c>
      <c r="AJ86" s="2">
        <f>COUNTIFS(集計用!$G84,"*, "&amp;AJ$3&amp;", *")</f>
        <v>0</v>
      </c>
      <c r="AK86" s="2">
        <f>COUNTIFS(集計用!$G84,"*, "&amp;AK$3&amp;", *")</f>
        <v>0</v>
      </c>
      <c r="AL86" s="2">
        <f>COUNTIFS(集計用!$G84,"*, "&amp;AL$3&amp;", *")</f>
        <v>0</v>
      </c>
      <c r="AM86" s="2">
        <f>COUNTIFS(集計用!$G84,"*, "&amp;AM$3&amp;", *")</f>
        <v>0</v>
      </c>
      <c r="AN86" s="2">
        <f>COUNTIFS(集計用!$G84,"*, "&amp;AN$3&amp;", *")</f>
        <v>0</v>
      </c>
      <c r="AO86" s="2">
        <f>COUNTIFS(集計用!$G84,"*, "&amp;AO$3&amp;", *")</f>
        <v>0</v>
      </c>
      <c r="AP86" s="2">
        <f>COUNTIFS(集計用!$G84,"*, "&amp;AP$3&amp;", *")</f>
        <v>0</v>
      </c>
      <c r="AQ86" s="2">
        <f>COUNTIFS(集計用!$G84,"*, "&amp;AQ$3&amp;", *")</f>
        <v>0</v>
      </c>
      <c r="AR86" s="2">
        <f>COUNTIFS(集計用!$G84,"*, "&amp;AR$3&amp;", *")</f>
        <v>0</v>
      </c>
      <c r="AS86" s="2">
        <f>COUNTIFS(集計用!$G84,"*, "&amp;AS$3&amp;", *")</f>
        <v>0</v>
      </c>
      <c r="AT86" s="2">
        <f>COUNTIFS(集計用!$G84,"*, "&amp;AT$3&amp;", *")</f>
        <v>0</v>
      </c>
      <c r="AU86" s="2">
        <f>COUNTIFS(集計用!$G84,"*, "&amp;AU$3&amp;", *")</f>
        <v>0</v>
      </c>
      <c r="AV86" s="2">
        <f>COUNTIFS(集計用!$G84,"*, "&amp;AV$3&amp;", *")</f>
        <v>0</v>
      </c>
      <c r="AW86" s="2">
        <f>COUNTIFS(集計用!$G84,"*, "&amp;AW$3&amp;", *")</f>
        <v>0</v>
      </c>
      <c r="AX86" s="2">
        <f>COUNTIFS(集計用!$G84,"*, "&amp;AX$3&amp;", *")</f>
        <v>0</v>
      </c>
      <c r="AY86" s="2">
        <f>COUNTIFS(集計用!$G84,"*, "&amp;AY$3&amp;", *")</f>
        <v>0</v>
      </c>
      <c r="AZ86" s="2">
        <f>COUNTIFS(集計用!$G84,"*, "&amp;AZ$3&amp;", *")</f>
        <v>0</v>
      </c>
      <c r="BA86" s="2">
        <f>COUNTIFS(集計用!$G84,"*, "&amp;BA$3&amp;", *")</f>
        <v>0</v>
      </c>
      <c r="BB86" s="2">
        <f>COUNTIFS(集計用!$G84,"*, "&amp;BB$3&amp;", *")</f>
        <v>0</v>
      </c>
      <c r="BC86" s="2">
        <f>COUNTIFS(集計用!$G84,"*, "&amp;BC$3&amp;", *")</f>
        <v>0</v>
      </c>
      <c r="BD86" s="2">
        <f>COUNTIFS(集計用!$G84,"*, "&amp;BD$3&amp;", *")</f>
        <v>0</v>
      </c>
      <c r="BE86" s="2">
        <f>COUNTIFS(集計用!$G84,"*, "&amp;BE$3&amp;", *")</f>
        <v>0</v>
      </c>
      <c r="BF86" s="2">
        <f>COUNTIFS(集計用!$G84,"*, "&amp;BF$3&amp;", *")</f>
        <v>0</v>
      </c>
      <c r="BG86" s="2">
        <f>COUNTIFS(集計用!$G84,"*, "&amp;BG$3&amp;", *")</f>
        <v>0</v>
      </c>
      <c r="BH86" s="2">
        <f>COUNTIFS(集計用!$G84,"*, "&amp;BH$3&amp;", *")</f>
        <v>0</v>
      </c>
      <c r="BI86" s="2">
        <f>COUNTIFS(集計用!$G84,"*, "&amp;BI$3&amp;", *")</f>
        <v>0</v>
      </c>
      <c r="BJ86" s="2">
        <f>LEN(集計用!H84)-LEN(SUBSTITUTE(集計用!H84,",",""))</f>
        <v>0</v>
      </c>
    </row>
    <row r="87" spans="1:62" ht="12.75">
      <c r="A87" s="8">
        <v>84</v>
      </c>
      <c r="C87" s="2">
        <f t="shared" si="2"/>
        <v>1</v>
      </c>
      <c r="D87" s="9"/>
      <c r="E87" s="2">
        <f>COUNTIFS(集計用!$G85,"*, "&amp;E$3&amp;", *")</f>
        <v>0</v>
      </c>
      <c r="F87" s="2">
        <f>COUNTIFS(集計用!$G85,"*, "&amp;F$3&amp;", *")</f>
        <v>0</v>
      </c>
      <c r="G87" s="2">
        <f>COUNTIFS(集計用!$G85,"*, "&amp;G$3&amp;", *")</f>
        <v>0</v>
      </c>
      <c r="H87" s="2">
        <f>COUNTIFS(集計用!$G85,"*, "&amp;H$3&amp;", *")</f>
        <v>0</v>
      </c>
      <c r="I87" s="2">
        <f>COUNTIFS(集計用!$G85,"*, "&amp;I$3&amp;", *")</f>
        <v>0</v>
      </c>
      <c r="J87" s="2">
        <f>COUNTIFS(集計用!$G85,"*, "&amp;J$3&amp;", *")</f>
        <v>0</v>
      </c>
      <c r="K87" s="2">
        <f>COUNTIFS(集計用!$G85,"*, "&amp;K$3&amp;", *")</f>
        <v>0</v>
      </c>
      <c r="L87" s="2">
        <f>COUNTIFS(集計用!$G85,"*, "&amp;L$3&amp;", *")</f>
        <v>0</v>
      </c>
      <c r="M87" s="2">
        <f>COUNTIFS(集計用!$G85,"*, "&amp;M$3&amp;", *")</f>
        <v>0</v>
      </c>
      <c r="N87" s="2">
        <f>COUNTIFS(集計用!$G85,"*, "&amp;N$3&amp;", *")</f>
        <v>0</v>
      </c>
      <c r="O87" s="2">
        <f>COUNTIFS(集計用!$G85,"*, "&amp;O$3&amp;", *")</f>
        <v>0</v>
      </c>
      <c r="P87" s="2">
        <f>COUNTIFS(集計用!$G85,"*, "&amp;P$3&amp;", *")</f>
        <v>0</v>
      </c>
      <c r="Q87" s="2">
        <f>COUNTIFS(集計用!$G85,"*, "&amp;Q$3&amp;", *")</f>
        <v>0</v>
      </c>
      <c r="R87" s="2">
        <f>COUNTIFS(集計用!$G85,"*, "&amp;R$3&amp;", *")</f>
        <v>0</v>
      </c>
      <c r="S87" s="2">
        <f>COUNTIFS(集計用!$G85,"*, "&amp;S$3&amp;", *")</f>
        <v>0</v>
      </c>
      <c r="T87" s="2">
        <f>COUNTIFS(集計用!$G85,"*, "&amp;T$3&amp;", *")</f>
        <v>1</v>
      </c>
      <c r="U87" s="2">
        <f>COUNTIFS(集計用!$G85,"*, "&amp;U$3&amp;", *")</f>
        <v>0</v>
      </c>
      <c r="V87" s="2">
        <f>COUNTIFS(集計用!$G85,"*, "&amp;V$3&amp;", *")</f>
        <v>0</v>
      </c>
      <c r="W87" s="2">
        <f>COUNTIFS(集計用!$G85,"*, "&amp;W$3&amp;", *")</f>
        <v>0</v>
      </c>
      <c r="X87" s="2">
        <f>COUNTIFS(集計用!$G85,"*, "&amp;X$3&amp;", *")</f>
        <v>0</v>
      </c>
      <c r="Y87" s="2">
        <f>COUNTIFS(集計用!$G85,"*, "&amp;Y$3&amp;", *")</f>
        <v>0</v>
      </c>
      <c r="Z87" s="2">
        <f>COUNTIFS(集計用!$G85,"*, "&amp;Z$3&amp;", *")</f>
        <v>0</v>
      </c>
      <c r="AA87" s="2">
        <f>COUNTIFS(集計用!$G85,"*, "&amp;AA$3&amp;", *")</f>
        <v>0</v>
      </c>
      <c r="AB87" s="2">
        <f>COUNTIFS(集計用!$G85,"*, "&amp;AB$3&amp;", *")</f>
        <v>0</v>
      </c>
      <c r="AC87" s="2">
        <f>COUNTIFS(集計用!$G85,"*, "&amp;AC$3&amp;", *")</f>
        <v>0</v>
      </c>
      <c r="AD87" s="2">
        <f>COUNTIFS(集計用!$G85,"*, "&amp;AD$3&amp;", *")</f>
        <v>0</v>
      </c>
      <c r="AE87" s="2">
        <f>COUNTIFS(集計用!$G85,"*, "&amp;AE$3&amp;", *")</f>
        <v>0</v>
      </c>
      <c r="AF87" s="2">
        <f>COUNTIFS(集計用!$G85,"*, "&amp;AF$3&amp;", *")</f>
        <v>0</v>
      </c>
      <c r="AG87" s="2">
        <f>COUNTIFS(集計用!$G85,"*, "&amp;AG$3&amp;", *")</f>
        <v>0</v>
      </c>
      <c r="AH87" s="2">
        <f>COUNTIFS(集計用!$G85,"*, "&amp;AH$3&amp;", *")</f>
        <v>0</v>
      </c>
      <c r="AI87" s="2">
        <f>COUNTIFS(集計用!$G85,"*, "&amp;AI$3&amp;", *")</f>
        <v>0</v>
      </c>
      <c r="AJ87" s="2">
        <f>COUNTIFS(集計用!$G85,"*, "&amp;AJ$3&amp;", *")</f>
        <v>0</v>
      </c>
      <c r="AK87" s="2">
        <f>COUNTIFS(集計用!$G85,"*, "&amp;AK$3&amp;", *")</f>
        <v>0</v>
      </c>
      <c r="AL87" s="2">
        <f>COUNTIFS(集計用!$G85,"*, "&amp;AL$3&amp;", *")</f>
        <v>0</v>
      </c>
      <c r="AM87" s="2">
        <f>COUNTIFS(集計用!$G85,"*, "&amp;AM$3&amp;", *")</f>
        <v>0</v>
      </c>
      <c r="AN87" s="2">
        <f>COUNTIFS(集計用!$G85,"*, "&amp;AN$3&amp;", *")</f>
        <v>0</v>
      </c>
      <c r="AO87" s="2">
        <f>COUNTIFS(集計用!$G85,"*, "&amp;AO$3&amp;", *")</f>
        <v>0</v>
      </c>
      <c r="AP87" s="2">
        <f>COUNTIFS(集計用!$G85,"*, "&amp;AP$3&amp;", *")</f>
        <v>0</v>
      </c>
      <c r="AQ87" s="2">
        <f>COUNTIFS(集計用!$G85,"*, "&amp;AQ$3&amp;", *")</f>
        <v>0</v>
      </c>
      <c r="AR87" s="2">
        <f>COUNTIFS(集計用!$G85,"*, "&amp;AR$3&amp;", *")</f>
        <v>0</v>
      </c>
      <c r="AS87" s="2">
        <f>COUNTIFS(集計用!$G85,"*, "&amp;AS$3&amp;", *")</f>
        <v>0</v>
      </c>
      <c r="AT87" s="2">
        <f>COUNTIFS(集計用!$G85,"*, "&amp;AT$3&amp;", *")</f>
        <v>0</v>
      </c>
      <c r="AU87" s="2">
        <f>COUNTIFS(集計用!$G85,"*, "&amp;AU$3&amp;", *")</f>
        <v>0</v>
      </c>
      <c r="AV87" s="2">
        <f>COUNTIFS(集計用!$G85,"*, "&amp;AV$3&amp;", *")</f>
        <v>0</v>
      </c>
      <c r="AW87" s="2">
        <f>COUNTIFS(集計用!$G85,"*, "&amp;AW$3&amp;", *")</f>
        <v>0</v>
      </c>
      <c r="AX87" s="2">
        <f>COUNTIFS(集計用!$G85,"*, "&amp;AX$3&amp;", *")</f>
        <v>0</v>
      </c>
      <c r="AY87" s="2">
        <f>COUNTIFS(集計用!$G85,"*, "&amp;AY$3&amp;", *")</f>
        <v>0</v>
      </c>
      <c r="AZ87" s="2">
        <f>COUNTIFS(集計用!$G85,"*, "&amp;AZ$3&amp;", *")</f>
        <v>0</v>
      </c>
      <c r="BA87" s="2">
        <f>COUNTIFS(集計用!$G85,"*, "&amp;BA$3&amp;", *")</f>
        <v>0</v>
      </c>
      <c r="BB87" s="2">
        <f>COUNTIFS(集計用!$G85,"*, "&amp;BB$3&amp;", *")</f>
        <v>0</v>
      </c>
      <c r="BC87" s="2">
        <f>COUNTIFS(集計用!$G85,"*, "&amp;BC$3&amp;", *")</f>
        <v>0</v>
      </c>
      <c r="BD87" s="2">
        <f>COUNTIFS(集計用!$G85,"*, "&amp;BD$3&amp;", *")</f>
        <v>0</v>
      </c>
      <c r="BE87" s="2">
        <f>COUNTIFS(集計用!$G85,"*, "&amp;BE$3&amp;", *")</f>
        <v>0</v>
      </c>
      <c r="BF87" s="2">
        <f>COUNTIFS(集計用!$G85,"*, "&amp;BF$3&amp;", *")</f>
        <v>0</v>
      </c>
      <c r="BG87" s="2">
        <f>COUNTIFS(集計用!$G85,"*, "&amp;BG$3&amp;", *")</f>
        <v>0</v>
      </c>
      <c r="BH87" s="2">
        <f>COUNTIFS(集計用!$G85,"*, "&amp;BH$3&amp;", *")</f>
        <v>0</v>
      </c>
      <c r="BI87" s="2">
        <f>COUNTIFS(集計用!$G85,"*, "&amp;BI$3&amp;", *")</f>
        <v>0</v>
      </c>
      <c r="BJ87" s="2">
        <f>LEN(集計用!H85)-LEN(SUBSTITUTE(集計用!H85,",",""))</f>
        <v>0</v>
      </c>
    </row>
    <row r="88" spans="1:62" ht="12.75">
      <c r="A88" s="8">
        <v>85</v>
      </c>
      <c r="C88" s="2">
        <f t="shared" si="2"/>
        <v>7</v>
      </c>
      <c r="D88" s="9"/>
      <c r="E88" s="2">
        <f>COUNTIFS(集計用!$G86,"*, "&amp;E$3&amp;", *")</f>
        <v>0</v>
      </c>
      <c r="F88" s="2">
        <f>COUNTIFS(集計用!$G86,"*, "&amp;F$3&amp;", *")</f>
        <v>0</v>
      </c>
      <c r="G88" s="2">
        <f>COUNTIFS(集計用!$G86,"*, "&amp;G$3&amp;", *")</f>
        <v>1</v>
      </c>
      <c r="H88" s="2">
        <f>COUNTIFS(集計用!$G86,"*, "&amp;H$3&amp;", *")</f>
        <v>0</v>
      </c>
      <c r="I88" s="2">
        <f>COUNTIFS(集計用!$G86,"*, "&amp;I$3&amp;", *")</f>
        <v>0</v>
      </c>
      <c r="J88" s="2">
        <f>COUNTIFS(集計用!$G86,"*, "&amp;J$3&amp;", *")</f>
        <v>1</v>
      </c>
      <c r="K88" s="2">
        <f>COUNTIFS(集計用!$G86,"*, "&amp;K$3&amp;", *")</f>
        <v>0</v>
      </c>
      <c r="L88" s="2">
        <f>COUNTIFS(集計用!$G86,"*, "&amp;L$3&amp;", *")</f>
        <v>1</v>
      </c>
      <c r="M88" s="2">
        <f>COUNTIFS(集計用!$G86,"*, "&amp;M$3&amp;", *")</f>
        <v>0</v>
      </c>
      <c r="N88" s="2">
        <f>COUNTIFS(集計用!$G86,"*, "&amp;N$3&amp;", *")</f>
        <v>0</v>
      </c>
      <c r="O88" s="2">
        <f>COUNTIFS(集計用!$G86,"*, "&amp;O$3&amp;", *")</f>
        <v>0</v>
      </c>
      <c r="P88" s="2">
        <f>COUNTIFS(集計用!$G86,"*, "&amp;P$3&amp;", *")</f>
        <v>0</v>
      </c>
      <c r="Q88" s="2">
        <f>COUNTIFS(集計用!$G86,"*, "&amp;Q$3&amp;", *")</f>
        <v>0</v>
      </c>
      <c r="R88" s="2">
        <f>COUNTIFS(集計用!$G86,"*, "&amp;R$3&amp;", *")</f>
        <v>0</v>
      </c>
      <c r="S88" s="2">
        <f>COUNTIFS(集計用!$G86,"*, "&amp;S$3&amp;", *")</f>
        <v>1</v>
      </c>
      <c r="T88" s="2">
        <f>COUNTIFS(集計用!$G86,"*, "&amp;T$3&amp;", *")</f>
        <v>0</v>
      </c>
      <c r="U88" s="2">
        <f>COUNTIFS(集計用!$G86,"*, "&amp;U$3&amp;", *")</f>
        <v>0</v>
      </c>
      <c r="V88" s="2">
        <f>COUNTIFS(集計用!$G86,"*, "&amp;V$3&amp;", *")</f>
        <v>0</v>
      </c>
      <c r="W88" s="2">
        <f>COUNTIFS(集計用!$G86,"*, "&amp;W$3&amp;", *")</f>
        <v>0</v>
      </c>
      <c r="X88" s="2">
        <f>COUNTIFS(集計用!$G86,"*, "&amp;X$3&amp;", *")</f>
        <v>1</v>
      </c>
      <c r="Y88" s="2">
        <f>COUNTIFS(集計用!$G86,"*, "&amp;Y$3&amp;", *")</f>
        <v>0</v>
      </c>
      <c r="Z88" s="2">
        <f>COUNTIFS(集計用!$G86,"*, "&amp;Z$3&amp;", *")</f>
        <v>0</v>
      </c>
      <c r="AA88" s="2">
        <f>COUNTIFS(集計用!$G86,"*, "&amp;AA$3&amp;", *")</f>
        <v>0</v>
      </c>
      <c r="AB88" s="2">
        <f>COUNTIFS(集計用!$G86,"*, "&amp;AB$3&amp;", *")</f>
        <v>0</v>
      </c>
      <c r="AC88" s="2">
        <f>COUNTIFS(集計用!$G86,"*, "&amp;AC$3&amp;", *")</f>
        <v>0</v>
      </c>
      <c r="AD88" s="2">
        <f>COUNTIFS(集計用!$G86,"*, "&amp;AD$3&amp;", *")</f>
        <v>1</v>
      </c>
      <c r="AE88" s="2">
        <f>COUNTIFS(集計用!$G86,"*, "&amp;AE$3&amp;", *")</f>
        <v>0</v>
      </c>
      <c r="AF88" s="2">
        <f>COUNTIFS(集計用!$G86,"*, "&amp;AF$3&amp;", *")</f>
        <v>0</v>
      </c>
      <c r="AG88" s="2">
        <f>COUNTIFS(集計用!$G86,"*, "&amp;AG$3&amp;", *")</f>
        <v>0</v>
      </c>
      <c r="AH88" s="2">
        <f>COUNTIFS(集計用!$G86,"*, "&amp;AH$3&amp;", *")</f>
        <v>0</v>
      </c>
      <c r="AI88" s="2">
        <f>COUNTIFS(集計用!$G86,"*, "&amp;AI$3&amp;", *")</f>
        <v>0</v>
      </c>
      <c r="AJ88" s="2">
        <f>COUNTIFS(集計用!$G86,"*, "&amp;AJ$3&amp;", *")</f>
        <v>0</v>
      </c>
      <c r="AK88" s="2">
        <f>COUNTIFS(集計用!$G86,"*, "&amp;AK$3&amp;", *")</f>
        <v>0</v>
      </c>
      <c r="AL88" s="2">
        <f>COUNTIFS(集計用!$G86,"*, "&amp;AL$3&amp;", *")</f>
        <v>0</v>
      </c>
      <c r="AM88" s="2">
        <f>COUNTIFS(集計用!$G86,"*, "&amp;AM$3&amp;", *")</f>
        <v>0</v>
      </c>
      <c r="AN88" s="2">
        <f>COUNTIFS(集計用!$G86,"*, "&amp;AN$3&amp;", *")</f>
        <v>0</v>
      </c>
      <c r="AO88" s="2">
        <f>COUNTIFS(集計用!$G86,"*, "&amp;AO$3&amp;", *")</f>
        <v>0</v>
      </c>
      <c r="AP88" s="2">
        <f>COUNTIFS(集計用!$G86,"*, "&amp;AP$3&amp;", *")</f>
        <v>0</v>
      </c>
      <c r="AQ88" s="2">
        <f>COUNTIFS(集計用!$G86,"*, "&amp;AQ$3&amp;", *")</f>
        <v>0</v>
      </c>
      <c r="AR88" s="2">
        <f>COUNTIFS(集計用!$G86,"*, "&amp;AR$3&amp;", *")</f>
        <v>0</v>
      </c>
      <c r="AS88" s="2">
        <f>COUNTIFS(集計用!$G86,"*, "&amp;AS$3&amp;", *")</f>
        <v>0</v>
      </c>
      <c r="AT88" s="2">
        <f>COUNTIFS(集計用!$G86,"*, "&amp;AT$3&amp;", *")</f>
        <v>0</v>
      </c>
      <c r="AU88" s="2">
        <f>COUNTIFS(集計用!$G86,"*, "&amp;AU$3&amp;", *")</f>
        <v>0</v>
      </c>
      <c r="AV88" s="2">
        <f>COUNTIFS(集計用!$G86,"*, "&amp;AV$3&amp;", *")</f>
        <v>0</v>
      </c>
      <c r="AW88" s="2">
        <f>COUNTIFS(集計用!$G86,"*, "&amp;AW$3&amp;", *")</f>
        <v>0</v>
      </c>
      <c r="AX88" s="2">
        <f>COUNTIFS(集計用!$G86,"*, "&amp;AX$3&amp;", *")</f>
        <v>0</v>
      </c>
      <c r="AY88" s="2">
        <f>COUNTIFS(集計用!$G86,"*, "&amp;AY$3&amp;", *")</f>
        <v>0</v>
      </c>
      <c r="AZ88" s="2">
        <f>COUNTIFS(集計用!$G86,"*, "&amp;AZ$3&amp;", *")</f>
        <v>0</v>
      </c>
      <c r="BA88" s="2">
        <f>COUNTIFS(集計用!$G86,"*, "&amp;BA$3&amp;", *")</f>
        <v>0</v>
      </c>
      <c r="BB88" s="2">
        <f>COUNTIFS(集計用!$G86,"*, "&amp;BB$3&amp;", *")</f>
        <v>0</v>
      </c>
      <c r="BC88" s="2">
        <f>COUNTIFS(集計用!$G86,"*, "&amp;BC$3&amp;", *")</f>
        <v>0</v>
      </c>
      <c r="BD88" s="2">
        <f>COUNTIFS(集計用!$G86,"*, "&amp;BD$3&amp;", *")</f>
        <v>0</v>
      </c>
      <c r="BE88" s="2">
        <f>COUNTIFS(集計用!$G86,"*, "&amp;BE$3&amp;", *")</f>
        <v>0</v>
      </c>
      <c r="BF88" s="2">
        <f>COUNTIFS(集計用!$G86,"*, "&amp;BF$3&amp;", *")</f>
        <v>1</v>
      </c>
      <c r="BG88" s="2">
        <f>COUNTIFS(集計用!$G86,"*, "&amp;BG$3&amp;", *")</f>
        <v>0</v>
      </c>
      <c r="BH88" s="2">
        <f>COUNTIFS(集計用!$G86,"*, "&amp;BH$3&amp;", *")</f>
        <v>0</v>
      </c>
      <c r="BI88" s="2">
        <f>COUNTIFS(集計用!$G86,"*, "&amp;BI$3&amp;", *")</f>
        <v>0</v>
      </c>
      <c r="BJ88" s="2">
        <f>LEN(集計用!H86)-LEN(SUBSTITUTE(集計用!H86,",",""))</f>
        <v>0</v>
      </c>
    </row>
    <row r="89" spans="1:62" ht="12.75">
      <c r="A89" s="8">
        <v>86</v>
      </c>
      <c r="C89" s="2">
        <f t="shared" si="2"/>
        <v>5</v>
      </c>
      <c r="D89" s="9"/>
      <c r="E89" s="2">
        <f>COUNTIFS(集計用!$G87,"*, "&amp;E$3&amp;", *")</f>
        <v>1</v>
      </c>
      <c r="F89" s="2">
        <f>COUNTIFS(集計用!$G87,"*, "&amp;F$3&amp;", *")</f>
        <v>0</v>
      </c>
      <c r="G89" s="2">
        <f>COUNTIFS(集計用!$G87,"*, "&amp;G$3&amp;", *")</f>
        <v>1</v>
      </c>
      <c r="H89" s="2">
        <f>COUNTIFS(集計用!$G87,"*, "&amp;H$3&amp;", *")</f>
        <v>0</v>
      </c>
      <c r="I89" s="2">
        <f>COUNTIFS(集計用!$G87,"*, "&amp;I$3&amp;", *")</f>
        <v>0</v>
      </c>
      <c r="J89" s="2">
        <f>COUNTIFS(集計用!$G87,"*, "&amp;J$3&amp;", *")</f>
        <v>0</v>
      </c>
      <c r="K89" s="2">
        <f>COUNTIFS(集計用!$G87,"*, "&amp;K$3&amp;", *")</f>
        <v>1</v>
      </c>
      <c r="L89" s="2">
        <f>COUNTIFS(集計用!$G87,"*, "&amp;L$3&amp;", *")</f>
        <v>1</v>
      </c>
      <c r="M89" s="2">
        <f>COUNTIFS(集計用!$G87,"*, "&amp;M$3&amp;", *")</f>
        <v>0</v>
      </c>
      <c r="N89" s="2">
        <f>COUNTIFS(集計用!$G87,"*, "&amp;N$3&amp;", *")</f>
        <v>0</v>
      </c>
      <c r="O89" s="2">
        <f>COUNTIFS(集計用!$G87,"*, "&amp;O$3&amp;", *")</f>
        <v>0</v>
      </c>
      <c r="P89" s="2">
        <f>COUNTIFS(集計用!$G87,"*, "&amp;P$3&amp;", *")</f>
        <v>0</v>
      </c>
      <c r="Q89" s="2">
        <f>COUNTIFS(集計用!$G87,"*, "&amp;Q$3&amp;", *")</f>
        <v>0</v>
      </c>
      <c r="R89" s="2">
        <f>COUNTIFS(集計用!$G87,"*, "&amp;R$3&amp;", *")</f>
        <v>0</v>
      </c>
      <c r="S89" s="2">
        <f>COUNTIFS(集計用!$G87,"*, "&amp;S$3&amp;", *")</f>
        <v>0</v>
      </c>
      <c r="T89" s="2">
        <f>COUNTIFS(集計用!$G87,"*, "&amp;T$3&amp;", *")</f>
        <v>0</v>
      </c>
      <c r="U89" s="2">
        <f>COUNTIFS(集計用!$G87,"*, "&amp;U$3&amp;", *")</f>
        <v>1</v>
      </c>
      <c r="V89" s="2">
        <f>COUNTIFS(集計用!$G87,"*, "&amp;V$3&amp;", *")</f>
        <v>0</v>
      </c>
      <c r="W89" s="2">
        <f>COUNTIFS(集計用!$G87,"*, "&amp;W$3&amp;", *")</f>
        <v>0</v>
      </c>
      <c r="X89" s="2">
        <f>COUNTIFS(集計用!$G87,"*, "&amp;X$3&amp;", *")</f>
        <v>0</v>
      </c>
      <c r="Y89" s="2">
        <f>COUNTIFS(集計用!$G87,"*, "&amp;Y$3&amp;", *")</f>
        <v>0</v>
      </c>
      <c r="Z89" s="2">
        <f>COUNTIFS(集計用!$G87,"*, "&amp;Z$3&amp;", *")</f>
        <v>0</v>
      </c>
      <c r="AA89" s="2">
        <f>COUNTIFS(集計用!$G87,"*, "&amp;AA$3&amp;", *")</f>
        <v>0</v>
      </c>
      <c r="AB89" s="2">
        <f>COUNTIFS(集計用!$G87,"*, "&amp;AB$3&amp;", *")</f>
        <v>0</v>
      </c>
      <c r="AC89" s="2">
        <f>COUNTIFS(集計用!$G87,"*, "&amp;AC$3&amp;", *")</f>
        <v>0</v>
      </c>
      <c r="AD89" s="2">
        <f>COUNTIFS(集計用!$G87,"*, "&amp;AD$3&amp;", *")</f>
        <v>0</v>
      </c>
      <c r="AE89" s="2">
        <f>COUNTIFS(集計用!$G87,"*, "&amp;AE$3&amp;", *")</f>
        <v>0</v>
      </c>
      <c r="AF89" s="2">
        <f>COUNTIFS(集計用!$G87,"*, "&amp;AF$3&amp;", *")</f>
        <v>0</v>
      </c>
      <c r="AG89" s="2">
        <f>COUNTIFS(集計用!$G87,"*, "&amp;AG$3&amp;", *")</f>
        <v>0</v>
      </c>
      <c r="AH89" s="2">
        <f>COUNTIFS(集計用!$G87,"*, "&amp;AH$3&amp;", *")</f>
        <v>0</v>
      </c>
      <c r="AI89" s="2">
        <f>COUNTIFS(集計用!$G87,"*, "&amp;AI$3&amp;", *")</f>
        <v>0</v>
      </c>
      <c r="AJ89" s="2">
        <f>COUNTIFS(集計用!$G87,"*, "&amp;AJ$3&amp;", *")</f>
        <v>0</v>
      </c>
      <c r="AK89" s="2">
        <f>COUNTIFS(集計用!$G87,"*, "&amp;AK$3&amp;", *")</f>
        <v>0</v>
      </c>
      <c r="AL89" s="2">
        <f>COUNTIFS(集計用!$G87,"*, "&amp;AL$3&amp;", *")</f>
        <v>0</v>
      </c>
      <c r="AM89" s="2">
        <f>COUNTIFS(集計用!$G87,"*, "&amp;AM$3&amp;", *")</f>
        <v>0</v>
      </c>
      <c r="AN89" s="2">
        <f>COUNTIFS(集計用!$G87,"*, "&amp;AN$3&amp;", *")</f>
        <v>0</v>
      </c>
      <c r="AO89" s="2">
        <f>COUNTIFS(集計用!$G87,"*, "&amp;AO$3&amp;", *")</f>
        <v>0</v>
      </c>
      <c r="AP89" s="2">
        <f>COUNTIFS(集計用!$G87,"*, "&amp;AP$3&amp;", *")</f>
        <v>0</v>
      </c>
      <c r="AQ89" s="2">
        <f>COUNTIFS(集計用!$G87,"*, "&amp;AQ$3&amp;", *")</f>
        <v>0</v>
      </c>
      <c r="AR89" s="2">
        <f>COUNTIFS(集計用!$G87,"*, "&amp;AR$3&amp;", *")</f>
        <v>0</v>
      </c>
      <c r="AS89" s="2">
        <f>COUNTIFS(集計用!$G87,"*, "&amp;AS$3&amp;", *")</f>
        <v>0</v>
      </c>
      <c r="AT89" s="2">
        <f>COUNTIFS(集計用!$G87,"*, "&amp;AT$3&amp;", *")</f>
        <v>0</v>
      </c>
      <c r="AU89" s="2">
        <f>COUNTIFS(集計用!$G87,"*, "&amp;AU$3&amp;", *")</f>
        <v>0</v>
      </c>
      <c r="AV89" s="2">
        <f>COUNTIFS(集計用!$G87,"*, "&amp;AV$3&amp;", *")</f>
        <v>0</v>
      </c>
      <c r="AW89" s="2">
        <f>COUNTIFS(集計用!$G87,"*, "&amp;AW$3&amp;", *")</f>
        <v>0</v>
      </c>
      <c r="AX89" s="2">
        <f>COUNTIFS(集計用!$G87,"*, "&amp;AX$3&amp;", *")</f>
        <v>0</v>
      </c>
      <c r="AY89" s="2">
        <f>COUNTIFS(集計用!$G87,"*, "&amp;AY$3&amp;", *")</f>
        <v>0</v>
      </c>
      <c r="AZ89" s="2">
        <f>COUNTIFS(集計用!$G87,"*, "&amp;AZ$3&amp;", *")</f>
        <v>0</v>
      </c>
      <c r="BA89" s="2">
        <f>COUNTIFS(集計用!$G87,"*, "&amp;BA$3&amp;", *")</f>
        <v>0</v>
      </c>
      <c r="BB89" s="2">
        <f>COUNTIFS(集計用!$G87,"*, "&amp;BB$3&amp;", *")</f>
        <v>0</v>
      </c>
      <c r="BC89" s="2">
        <f>COUNTIFS(集計用!$G87,"*, "&amp;BC$3&amp;", *")</f>
        <v>0</v>
      </c>
      <c r="BD89" s="2">
        <f>COUNTIFS(集計用!$G87,"*, "&amp;BD$3&amp;", *")</f>
        <v>0</v>
      </c>
      <c r="BE89" s="2">
        <f>COUNTIFS(集計用!$G87,"*, "&amp;BE$3&amp;", *")</f>
        <v>0</v>
      </c>
      <c r="BF89" s="2">
        <f>COUNTIFS(集計用!$G87,"*, "&amp;BF$3&amp;", *")</f>
        <v>0</v>
      </c>
      <c r="BG89" s="2">
        <f>COUNTIFS(集計用!$G87,"*, "&amp;BG$3&amp;", *")</f>
        <v>0</v>
      </c>
      <c r="BH89" s="2">
        <f>COUNTIFS(集計用!$G87,"*, "&amp;BH$3&amp;", *")</f>
        <v>0</v>
      </c>
      <c r="BI89" s="2">
        <f>COUNTIFS(集計用!$G87,"*, "&amp;BI$3&amp;", *")</f>
        <v>0</v>
      </c>
      <c r="BJ89" s="2">
        <f>LEN(集計用!H87)-LEN(SUBSTITUTE(集計用!H87,",",""))</f>
        <v>0</v>
      </c>
    </row>
    <row r="90" spans="1:62" ht="12.75">
      <c r="A90" s="8">
        <v>87</v>
      </c>
      <c r="C90" s="2">
        <f t="shared" si="2"/>
        <v>11</v>
      </c>
      <c r="D90" s="9"/>
      <c r="E90" s="2">
        <f>COUNTIFS(集計用!$G88,"*, "&amp;E$3&amp;", *")</f>
        <v>1</v>
      </c>
      <c r="F90" s="2">
        <f>COUNTIFS(集計用!$G88,"*, "&amp;F$3&amp;", *")</f>
        <v>0</v>
      </c>
      <c r="G90" s="2">
        <f>COUNTIFS(集計用!$G88,"*, "&amp;G$3&amp;", *")</f>
        <v>0</v>
      </c>
      <c r="H90" s="2">
        <f>COUNTIFS(集計用!$G88,"*, "&amp;H$3&amp;", *")</f>
        <v>0</v>
      </c>
      <c r="I90" s="2">
        <f>COUNTIFS(集計用!$G88,"*, "&amp;I$3&amp;", *")</f>
        <v>1</v>
      </c>
      <c r="J90" s="2">
        <f>COUNTIFS(集計用!$G88,"*, "&amp;J$3&amp;", *")</f>
        <v>1</v>
      </c>
      <c r="K90" s="2">
        <f>COUNTIFS(集計用!$G88,"*, "&amp;K$3&amp;", *")</f>
        <v>0</v>
      </c>
      <c r="L90" s="2">
        <f>COUNTIFS(集計用!$G88,"*, "&amp;L$3&amp;", *")</f>
        <v>0</v>
      </c>
      <c r="M90" s="2">
        <f>COUNTIFS(集計用!$G88,"*, "&amp;M$3&amp;", *")</f>
        <v>1</v>
      </c>
      <c r="N90" s="2">
        <f>COUNTIFS(集計用!$G88,"*, "&amp;N$3&amp;", *")</f>
        <v>0</v>
      </c>
      <c r="O90" s="2">
        <f>COUNTIFS(集計用!$G88,"*, "&amp;O$3&amp;", *")</f>
        <v>0</v>
      </c>
      <c r="P90" s="2">
        <f>COUNTIFS(集計用!$G88,"*, "&amp;P$3&amp;", *")</f>
        <v>0</v>
      </c>
      <c r="Q90" s="2">
        <f>COUNTIFS(集計用!$G88,"*, "&amp;Q$3&amp;", *")</f>
        <v>0</v>
      </c>
      <c r="R90" s="2">
        <f>COUNTIFS(集計用!$G88,"*, "&amp;R$3&amp;", *")</f>
        <v>0</v>
      </c>
      <c r="S90" s="2">
        <f>COUNTIFS(集計用!$G88,"*, "&amp;S$3&amp;", *")</f>
        <v>1</v>
      </c>
      <c r="T90" s="2">
        <f>COUNTIFS(集計用!$G88,"*, "&amp;T$3&amp;", *")</f>
        <v>0</v>
      </c>
      <c r="U90" s="2">
        <f>COUNTIFS(集計用!$G88,"*, "&amp;U$3&amp;", *")</f>
        <v>0</v>
      </c>
      <c r="V90" s="2">
        <f>COUNTIFS(集計用!$G88,"*, "&amp;V$3&amp;", *")</f>
        <v>0</v>
      </c>
      <c r="W90" s="2">
        <f>COUNTIFS(集計用!$G88,"*, "&amp;W$3&amp;", *")</f>
        <v>1</v>
      </c>
      <c r="X90" s="2">
        <f>COUNTIFS(集計用!$G88,"*, "&amp;X$3&amp;", *")</f>
        <v>1</v>
      </c>
      <c r="Y90" s="2">
        <f>COUNTIFS(集計用!$G88,"*, "&amp;Y$3&amp;", *")</f>
        <v>0</v>
      </c>
      <c r="Z90" s="2">
        <f>COUNTIFS(集計用!$G88,"*, "&amp;Z$3&amp;", *")</f>
        <v>0</v>
      </c>
      <c r="AA90" s="2">
        <f>COUNTIFS(集計用!$G88,"*, "&amp;AA$3&amp;", *")</f>
        <v>0</v>
      </c>
      <c r="AB90" s="2">
        <f>COUNTIFS(集計用!$G88,"*, "&amp;AB$3&amp;", *")</f>
        <v>0</v>
      </c>
      <c r="AC90" s="2">
        <f>COUNTIFS(集計用!$G88,"*, "&amp;AC$3&amp;", *")</f>
        <v>0</v>
      </c>
      <c r="AD90" s="2">
        <f>COUNTIFS(集計用!$G88,"*, "&amp;AD$3&amp;", *")</f>
        <v>1</v>
      </c>
      <c r="AE90" s="2">
        <f>COUNTIFS(集計用!$G88,"*, "&amp;AE$3&amp;", *")</f>
        <v>0</v>
      </c>
      <c r="AF90" s="2">
        <f>COUNTIFS(集計用!$G88,"*, "&amp;AF$3&amp;", *")</f>
        <v>0</v>
      </c>
      <c r="AG90" s="2">
        <f>COUNTIFS(集計用!$G88,"*, "&amp;AG$3&amp;", *")</f>
        <v>0</v>
      </c>
      <c r="AH90" s="2">
        <f>COUNTIFS(集計用!$G88,"*, "&amp;AH$3&amp;", *")</f>
        <v>1</v>
      </c>
      <c r="AI90" s="2">
        <f>COUNTIFS(集計用!$G88,"*, "&amp;AI$3&amp;", *")</f>
        <v>1</v>
      </c>
      <c r="AJ90" s="2">
        <f>COUNTIFS(集計用!$G88,"*, "&amp;AJ$3&amp;", *")</f>
        <v>0</v>
      </c>
      <c r="AK90" s="2">
        <f>COUNTIFS(集計用!$G88,"*, "&amp;AK$3&amp;", *")</f>
        <v>0</v>
      </c>
      <c r="AL90" s="2">
        <f>COUNTIFS(集計用!$G88,"*, "&amp;AL$3&amp;", *")</f>
        <v>0</v>
      </c>
      <c r="AM90" s="2">
        <f>COUNTIFS(集計用!$G88,"*, "&amp;AM$3&amp;", *")</f>
        <v>0</v>
      </c>
      <c r="AN90" s="2">
        <f>COUNTIFS(集計用!$G88,"*, "&amp;AN$3&amp;", *")</f>
        <v>0</v>
      </c>
      <c r="AO90" s="2">
        <f>COUNTIFS(集計用!$G88,"*, "&amp;AO$3&amp;", *")</f>
        <v>0</v>
      </c>
      <c r="AP90" s="2">
        <f>COUNTIFS(集計用!$G88,"*, "&amp;AP$3&amp;", *")</f>
        <v>0</v>
      </c>
      <c r="AQ90" s="2">
        <f>COUNTIFS(集計用!$G88,"*, "&amp;AQ$3&amp;", *")</f>
        <v>0</v>
      </c>
      <c r="AR90" s="2">
        <f>COUNTIFS(集計用!$G88,"*, "&amp;AR$3&amp;", *")</f>
        <v>0</v>
      </c>
      <c r="AS90" s="2">
        <f>COUNTIFS(集計用!$G88,"*, "&amp;AS$3&amp;", *")</f>
        <v>0</v>
      </c>
      <c r="AT90" s="2">
        <f>COUNTIFS(集計用!$G88,"*, "&amp;AT$3&amp;", *")</f>
        <v>0</v>
      </c>
      <c r="AU90" s="2">
        <f>COUNTIFS(集計用!$G88,"*, "&amp;AU$3&amp;", *")</f>
        <v>0</v>
      </c>
      <c r="AV90" s="2">
        <f>COUNTIFS(集計用!$G88,"*, "&amp;AV$3&amp;", *")</f>
        <v>0</v>
      </c>
      <c r="AW90" s="2">
        <f>COUNTIFS(集計用!$G88,"*, "&amp;AW$3&amp;", *")</f>
        <v>0</v>
      </c>
      <c r="AX90" s="2">
        <f>COUNTIFS(集計用!$G88,"*, "&amp;AX$3&amp;", *")</f>
        <v>0</v>
      </c>
      <c r="AY90" s="2">
        <f>COUNTIFS(集計用!$G88,"*, "&amp;AY$3&amp;", *")</f>
        <v>1</v>
      </c>
      <c r="AZ90" s="2">
        <f>COUNTIFS(集計用!$G88,"*, "&amp;AZ$3&amp;", *")</f>
        <v>0</v>
      </c>
      <c r="BA90" s="2">
        <f>COUNTIFS(集計用!$G88,"*, "&amp;BA$3&amp;", *")</f>
        <v>0</v>
      </c>
      <c r="BB90" s="2">
        <f>COUNTIFS(集計用!$G88,"*, "&amp;BB$3&amp;", *")</f>
        <v>0</v>
      </c>
      <c r="BC90" s="2">
        <f>COUNTIFS(集計用!$G88,"*, "&amp;BC$3&amp;", *")</f>
        <v>0</v>
      </c>
      <c r="BD90" s="2">
        <f>COUNTIFS(集計用!$G88,"*, "&amp;BD$3&amp;", *")</f>
        <v>0</v>
      </c>
      <c r="BE90" s="2">
        <f>COUNTIFS(集計用!$G88,"*, "&amp;BE$3&amp;", *")</f>
        <v>0</v>
      </c>
      <c r="BF90" s="2">
        <f>COUNTIFS(集計用!$G88,"*, "&amp;BF$3&amp;", *")</f>
        <v>0</v>
      </c>
      <c r="BG90" s="2">
        <f>COUNTIFS(集計用!$G88,"*, "&amp;BG$3&amp;", *")</f>
        <v>0</v>
      </c>
      <c r="BH90" s="2">
        <f>COUNTIFS(集計用!$G88,"*, "&amp;BH$3&amp;", *")</f>
        <v>0</v>
      </c>
      <c r="BI90" s="2">
        <f>COUNTIFS(集計用!$G88,"*, "&amp;BI$3&amp;", *")</f>
        <v>0</v>
      </c>
      <c r="BJ90" s="2">
        <f>LEN(集計用!H88)-LEN(SUBSTITUTE(集計用!H88,",",""))</f>
        <v>0</v>
      </c>
    </row>
    <row r="91" spans="1:62" ht="12.75">
      <c r="A91" s="8">
        <v>88</v>
      </c>
      <c r="C91" s="2">
        <f t="shared" si="2"/>
        <v>4</v>
      </c>
      <c r="D91" s="9"/>
      <c r="E91" s="2">
        <f>COUNTIFS(集計用!$G89,"*, "&amp;E$3&amp;", *")</f>
        <v>1</v>
      </c>
      <c r="F91" s="2">
        <f>COUNTIFS(集計用!$G89,"*, "&amp;F$3&amp;", *")</f>
        <v>0</v>
      </c>
      <c r="G91" s="2">
        <f>COUNTIFS(集計用!$G89,"*, "&amp;G$3&amp;", *")</f>
        <v>0</v>
      </c>
      <c r="H91" s="2">
        <f>COUNTIFS(集計用!$G89,"*, "&amp;H$3&amp;", *")</f>
        <v>0</v>
      </c>
      <c r="I91" s="2">
        <f>COUNTIFS(集計用!$G89,"*, "&amp;I$3&amp;", *")</f>
        <v>0</v>
      </c>
      <c r="J91" s="2">
        <f>COUNTIFS(集計用!$G89,"*, "&amp;J$3&amp;", *")</f>
        <v>0</v>
      </c>
      <c r="K91" s="2">
        <f>COUNTIFS(集計用!$G89,"*, "&amp;K$3&amp;", *")</f>
        <v>0</v>
      </c>
      <c r="L91" s="2">
        <f>COUNTIFS(集計用!$G89,"*, "&amp;L$3&amp;", *")</f>
        <v>0</v>
      </c>
      <c r="M91" s="2">
        <f>COUNTIFS(集計用!$G89,"*, "&amp;M$3&amp;", *")</f>
        <v>0</v>
      </c>
      <c r="N91" s="2">
        <f>COUNTIFS(集計用!$G89,"*, "&amp;N$3&amp;", *")</f>
        <v>1</v>
      </c>
      <c r="O91" s="2">
        <f>COUNTIFS(集計用!$G89,"*, "&amp;O$3&amp;", *")</f>
        <v>0</v>
      </c>
      <c r="P91" s="2">
        <f>COUNTIFS(集計用!$G89,"*, "&amp;P$3&amp;", *")</f>
        <v>1</v>
      </c>
      <c r="Q91" s="2">
        <f>COUNTIFS(集計用!$G89,"*, "&amp;Q$3&amp;", *")</f>
        <v>0</v>
      </c>
      <c r="R91" s="2">
        <f>COUNTIFS(集計用!$G89,"*, "&amp;R$3&amp;", *")</f>
        <v>0</v>
      </c>
      <c r="S91" s="2">
        <f>COUNTIFS(集計用!$G89,"*, "&amp;S$3&amp;", *")</f>
        <v>1</v>
      </c>
      <c r="T91" s="2">
        <f>COUNTIFS(集計用!$G89,"*, "&amp;T$3&amp;", *")</f>
        <v>0</v>
      </c>
      <c r="U91" s="2">
        <f>COUNTIFS(集計用!$G89,"*, "&amp;U$3&amp;", *")</f>
        <v>0</v>
      </c>
      <c r="V91" s="2">
        <f>COUNTIFS(集計用!$G89,"*, "&amp;V$3&amp;", *")</f>
        <v>0</v>
      </c>
      <c r="W91" s="2">
        <f>COUNTIFS(集計用!$G89,"*, "&amp;W$3&amp;", *")</f>
        <v>0</v>
      </c>
      <c r="X91" s="2">
        <f>COUNTIFS(集計用!$G89,"*, "&amp;X$3&amp;", *")</f>
        <v>0</v>
      </c>
      <c r="Y91" s="2">
        <f>COUNTIFS(集計用!$G89,"*, "&amp;Y$3&amp;", *")</f>
        <v>0</v>
      </c>
      <c r="Z91" s="2">
        <f>COUNTIFS(集計用!$G89,"*, "&amp;Z$3&amp;", *")</f>
        <v>0</v>
      </c>
      <c r="AA91" s="2">
        <f>COUNTIFS(集計用!$G89,"*, "&amp;AA$3&amp;", *")</f>
        <v>0</v>
      </c>
      <c r="AB91" s="2">
        <f>COUNTIFS(集計用!$G89,"*, "&amp;AB$3&amp;", *")</f>
        <v>0</v>
      </c>
      <c r="AC91" s="2">
        <f>COUNTIFS(集計用!$G89,"*, "&amp;AC$3&amp;", *")</f>
        <v>0</v>
      </c>
      <c r="AD91" s="2">
        <f>COUNTIFS(集計用!$G89,"*, "&amp;AD$3&amp;", *")</f>
        <v>0</v>
      </c>
      <c r="AE91" s="2">
        <f>COUNTIFS(集計用!$G89,"*, "&amp;AE$3&amp;", *")</f>
        <v>0</v>
      </c>
      <c r="AF91" s="2">
        <f>COUNTIFS(集計用!$G89,"*, "&amp;AF$3&amp;", *")</f>
        <v>0</v>
      </c>
      <c r="AG91" s="2">
        <f>COUNTIFS(集計用!$G89,"*, "&amp;AG$3&amp;", *")</f>
        <v>0</v>
      </c>
      <c r="AH91" s="2">
        <f>COUNTIFS(集計用!$G89,"*, "&amp;AH$3&amp;", *")</f>
        <v>0</v>
      </c>
      <c r="AI91" s="2">
        <f>COUNTIFS(集計用!$G89,"*, "&amp;AI$3&amp;", *")</f>
        <v>0</v>
      </c>
      <c r="AJ91" s="2">
        <f>COUNTIFS(集計用!$G89,"*, "&amp;AJ$3&amp;", *")</f>
        <v>0</v>
      </c>
      <c r="AK91" s="2">
        <f>COUNTIFS(集計用!$G89,"*, "&amp;AK$3&amp;", *")</f>
        <v>0</v>
      </c>
      <c r="AL91" s="2">
        <f>COUNTIFS(集計用!$G89,"*, "&amp;AL$3&amp;", *")</f>
        <v>0</v>
      </c>
      <c r="AM91" s="2">
        <f>COUNTIFS(集計用!$G89,"*, "&amp;AM$3&amp;", *")</f>
        <v>0</v>
      </c>
      <c r="AN91" s="2">
        <f>COUNTIFS(集計用!$G89,"*, "&amp;AN$3&amp;", *")</f>
        <v>0</v>
      </c>
      <c r="AO91" s="2">
        <f>COUNTIFS(集計用!$G89,"*, "&amp;AO$3&amp;", *")</f>
        <v>0</v>
      </c>
      <c r="AP91" s="2">
        <f>COUNTIFS(集計用!$G89,"*, "&amp;AP$3&amp;", *")</f>
        <v>0</v>
      </c>
      <c r="AQ91" s="2">
        <f>COUNTIFS(集計用!$G89,"*, "&amp;AQ$3&amp;", *")</f>
        <v>0</v>
      </c>
      <c r="AR91" s="2">
        <f>COUNTIFS(集計用!$G89,"*, "&amp;AR$3&amp;", *")</f>
        <v>0</v>
      </c>
      <c r="AS91" s="2">
        <f>COUNTIFS(集計用!$G89,"*, "&amp;AS$3&amp;", *")</f>
        <v>0</v>
      </c>
      <c r="AT91" s="2">
        <f>COUNTIFS(集計用!$G89,"*, "&amp;AT$3&amp;", *")</f>
        <v>0</v>
      </c>
      <c r="AU91" s="2">
        <f>COUNTIFS(集計用!$G89,"*, "&amp;AU$3&amp;", *")</f>
        <v>0</v>
      </c>
      <c r="AV91" s="2">
        <f>COUNTIFS(集計用!$G89,"*, "&amp;AV$3&amp;", *")</f>
        <v>0</v>
      </c>
      <c r="AW91" s="2">
        <f>COUNTIFS(集計用!$G89,"*, "&amp;AW$3&amp;", *")</f>
        <v>0</v>
      </c>
      <c r="AX91" s="2">
        <f>COUNTIFS(集計用!$G89,"*, "&amp;AX$3&amp;", *")</f>
        <v>0</v>
      </c>
      <c r="AY91" s="2">
        <f>COUNTIFS(集計用!$G89,"*, "&amp;AY$3&amp;", *")</f>
        <v>0</v>
      </c>
      <c r="AZ91" s="2">
        <f>COUNTIFS(集計用!$G89,"*, "&amp;AZ$3&amp;", *")</f>
        <v>0</v>
      </c>
      <c r="BA91" s="2">
        <f>COUNTIFS(集計用!$G89,"*, "&amp;BA$3&amp;", *")</f>
        <v>0</v>
      </c>
      <c r="BB91" s="2">
        <f>COUNTIFS(集計用!$G89,"*, "&amp;BB$3&amp;", *")</f>
        <v>0</v>
      </c>
      <c r="BC91" s="2">
        <f>COUNTIFS(集計用!$G89,"*, "&amp;BC$3&amp;", *")</f>
        <v>0</v>
      </c>
      <c r="BD91" s="2">
        <f>COUNTIFS(集計用!$G89,"*, "&amp;BD$3&amp;", *")</f>
        <v>0</v>
      </c>
      <c r="BE91" s="2">
        <f>COUNTIFS(集計用!$G89,"*, "&amp;BE$3&amp;", *")</f>
        <v>0</v>
      </c>
      <c r="BF91" s="2">
        <f>COUNTIFS(集計用!$G89,"*, "&amp;BF$3&amp;", *")</f>
        <v>0</v>
      </c>
      <c r="BG91" s="2">
        <f>COUNTIFS(集計用!$G89,"*, "&amp;BG$3&amp;", *")</f>
        <v>0</v>
      </c>
      <c r="BH91" s="2">
        <f>COUNTIFS(集計用!$G89,"*, "&amp;BH$3&amp;", *")</f>
        <v>0</v>
      </c>
      <c r="BI91" s="2">
        <f>COUNTIFS(集計用!$G89,"*, "&amp;BI$3&amp;", *")</f>
        <v>0</v>
      </c>
      <c r="BJ91" s="2">
        <f>LEN(集計用!H89)-LEN(SUBSTITUTE(集計用!H89,",",""))</f>
        <v>0</v>
      </c>
    </row>
    <row r="92" spans="1:62" ht="12.75">
      <c r="A92" s="8">
        <v>89</v>
      </c>
      <c r="C92" s="2">
        <f t="shared" si="2"/>
        <v>4</v>
      </c>
      <c r="D92" s="9"/>
      <c r="E92" s="2">
        <f>COUNTIFS(集計用!$G90,"*, "&amp;E$3&amp;", *")</f>
        <v>0</v>
      </c>
      <c r="F92" s="2">
        <f>COUNTIFS(集計用!$G90,"*, "&amp;F$3&amp;", *")</f>
        <v>0</v>
      </c>
      <c r="G92" s="2">
        <f>COUNTIFS(集計用!$G90,"*, "&amp;G$3&amp;", *")</f>
        <v>0</v>
      </c>
      <c r="H92" s="2">
        <f>COUNTIFS(集計用!$G90,"*, "&amp;H$3&amp;", *")</f>
        <v>0</v>
      </c>
      <c r="I92" s="2">
        <f>COUNTIFS(集計用!$G90,"*, "&amp;I$3&amp;", *")</f>
        <v>0</v>
      </c>
      <c r="J92" s="2">
        <f>COUNTIFS(集計用!$G90,"*, "&amp;J$3&amp;", *")</f>
        <v>1</v>
      </c>
      <c r="K92" s="2">
        <f>COUNTIFS(集計用!$G90,"*, "&amp;K$3&amp;", *")</f>
        <v>0</v>
      </c>
      <c r="L92" s="2">
        <f>COUNTIFS(集計用!$G90,"*, "&amp;L$3&amp;", *")</f>
        <v>1</v>
      </c>
      <c r="M92" s="2">
        <f>COUNTIFS(集計用!$G90,"*, "&amp;M$3&amp;", *")</f>
        <v>0</v>
      </c>
      <c r="N92" s="2">
        <f>COUNTIFS(集計用!$G90,"*, "&amp;N$3&amp;", *")</f>
        <v>0</v>
      </c>
      <c r="O92" s="2">
        <f>COUNTIFS(集計用!$G90,"*, "&amp;O$3&amp;", *")</f>
        <v>0</v>
      </c>
      <c r="P92" s="2">
        <f>COUNTIFS(集計用!$G90,"*, "&amp;P$3&amp;", *")</f>
        <v>0</v>
      </c>
      <c r="Q92" s="2">
        <f>COUNTIFS(集計用!$G90,"*, "&amp;Q$3&amp;", *")</f>
        <v>0</v>
      </c>
      <c r="R92" s="2">
        <f>COUNTIFS(集計用!$G90,"*, "&amp;R$3&amp;", *")</f>
        <v>0</v>
      </c>
      <c r="S92" s="2">
        <f>COUNTIFS(集計用!$G90,"*, "&amp;S$3&amp;", *")</f>
        <v>0</v>
      </c>
      <c r="T92" s="2">
        <f>COUNTIFS(集計用!$G90,"*, "&amp;T$3&amp;", *")</f>
        <v>1</v>
      </c>
      <c r="U92" s="2">
        <f>COUNTIFS(集計用!$G90,"*, "&amp;U$3&amp;", *")</f>
        <v>0</v>
      </c>
      <c r="V92" s="2">
        <f>COUNTIFS(集計用!$G90,"*, "&amp;V$3&amp;", *")</f>
        <v>1</v>
      </c>
      <c r="W92" s="2">
        <f>COUNTIFS(集計用!$G90,"*, "&amp;W$3&amp;", *")</f>
        <v>0</v>
      </c>
      <c r="X92" s="2">
        <f>COUNTIFS(集計用!$G90,"*, "&amp;X$3&amp;", *")</f>
        <v>0</v>
      </c>
      <c r="Y92" s="2">
        <f>COUNTIFS(集計用!$G90,"*, "&amp;Y$3&amp;", *")</f>
        <v>0</v>
      </c>
      <c r="Z92" s="2">
        <f>COUNTIFS(集計用!$G90,"*, "&amp;Z$3&amp;", *")</f>
        <v>0</v>
      </c>
      <c r="AA92" s="2">
        <f>COUNTIFS(集計用!$G90,"*, "&amp;AA$3&amp;", *")</f>
        <v>0</v>
      </c>
      <c r="AB92" s="2">
        <f>COUNTIFS(集計用!$G90,"*, "&amp;AB$3&amp;", *")</f>
        <v>0</v>
      </c>
      <c r="AC92" s="2">
        <f>COUNTIFS(集計用!$G90,"*, "&amp;AC$3&amp;", *")</f>
        <v>0</v>
      </c>
      <c r="AD92" s="2">
        <f>COUNTIFS(集計用!$G90,"*, "&amp;AD$3&amp;", *")</f>
        <v>0</v>
      </c>
      <c r="AE92" s="2">
        <f>COUNTIFS(集計用!$G90,"*, "&amp;AE$3&amp;", *")</f>
        <v>0</v>
      </c>
      <c r="AF92" s="2">
        <f>COUNTIFS(集計用!$G90,"*, "&amp;AF$3&amp;", *")</f>
        <v>0</v>
      </c>
      <c r="AG92" s="2">
        <f>COUNTIFS(集計用!$G90,"*, "&amp;AG$3&amp;", *")</f>
        <v>0</v>
      </c>
      <c r="AH92" s="2">
        <f>COUNTIFS(集計用!$G90,"*, "&amp;AH$3&amp;", *")</f>
        <v>0</v>
      </c>
      <c r="AI92" s="2">
        <f>COUNTIFS(集計用!$G90,"*, "&amp;AI$3&amp;", *")</f>
        <v>0</v>
      </c>
      <c r="AJ92" s="2">
        <f>COUNTIFS(集計用!$G90,"*, "&amp;AJ$3&amp;", *")</f>
        <v>0</v>
      </c>
      <c r="AK92" s="2">
        <f>COUNTIFS(集計用!$G90,"*, "&amp;AK$3&amp;", *")</f>
        <v>0</v>
      </c>
      <c r="AL92" s="2">
        <f>COUNTIFS(集計用!$G90,"*, "&amp;AL$3&amp;", *")</f>
        <v>0</v>
      </c>
      <c r="AM92" s="2">
        <f>COUNTIFS(集計用!$G90,"*, "&amp;AM$3&amp;", *")</f>
        <v>0</v>
      </c>
      <c r="AN92" s="2">
        <f>COUNTIFS(集計用!$G90,"*, "&amp;AN$3&amp;", *")</f>
        <v>0</v>
      </c>
      <c r="AO92" s="2">
        <f>COUNTIFS(集計用!$G90,"*, "&amp;AO$3&amp;", *")</f>
        <v>0</v>
      </c>
      <c r="AP92" s="2">
        <f>COUNTIFS(集計用!$G90,"*, "&amp;AP$3&amp;", *")</f>
        <v>0</v>
      </c>
      <c r="AQ92" s="2">
        <f>COUNTIFS(集計用!$G90,"*, "&amp;AQ$3&amp;", *")</f>
        <v>0</v>
      </c>
      <c r="AR92" s="2">
        <f>COUNTIFS(集計用!$G90,"*, "&amp;AR$3&amp;", *")</f>
        <v>0</v>
      </c>
      <c r="AS92" s="2">
        <f>COUNTIFS(集計用!$G90,"*, "&amp;AS$3&amp;", *")</f>
        <v>0</v>
      </c>
      <c r="AT92" s="2">
        <f>COUNTIFS(集計用!$G90,"*, "&amp;AT$3&amp;", *")</f>
        <v>0</v>
      </c>
      <c r="AU92" s="2">
        <f>COUNTIFS(集計用!$G90,"*, "&amp;AU$3&amp;", *")</f>
        <v>0</v>
      </c>
      <c r="AV92" s="2">
        <f>COUNTIFS(集計用!$G90,"*, "&amp;AV$3&amp;", *")</f>
        <v>0</v>
      </c>
      <c r="AW92" s="2">
        <f>COUNTIFS(集計用!$G90,"*, "&amp;AW$3&amp;", *")</f>
        <v>0</v>
      </c>
      <c r="AX92" s="2">
        <f>COUNTIFS(集計用!$G90,"*, "&amp;AX$3&amp;", *")</f>
        <v>0</v>
      </c>
      <c r="AY92" s="2">
        <f>COUNTIFS(集計用!$G90,"*, "&amp;AY$3&amp;", *")</f>
        <v>0</v>
      </c>
      <c r="AZ92" s="2">
        <f>COUNTIFS(集計用!$G90,"*, "&amp;AZ$3&amp;", *")</f>
        <v>0</v>
      </c>
      <c r="BA92" s="2">
        <f>COUNTIFS(集計用!$G90,"*, "&amp;BA$3&amp;", *")</f>
        <v>0</v>
      </c>
      <c r="BB92" s="2">
        <f>COUNTIFS(集計用!$G90,"*, "&amp;BB$3&amp;", *")</f>
        <v>0</v>
      </c>
      <c r="BC92" s="2">
        <f>COUNTIFS(集計用!$G90,"*, "&amp;BC$3&amp;", *")</f>
        <v>0</v>
      </c>
      <c r="BD92" s="2">
        <f>COUNTIFS(集計用!$G90,"*, "&amp;BD$3&amp;", *")</f>
        <v>0</v>
      </c>
      <c r="BE92" s="2">
        <f>COUNTIFS(集計用!$G90,"*, "&amp;BE$3&amp;", *")</f>
        <v>0</v>
      </c>
      <c r="BF92" s="2">
        <f>COUNTIFS(集計用!$G90,"*, "&amp;BF$3&amp;", *")</f>
        <v>0</v>
      </c>
      <c r="BG92" s="2">
        <f>COUNTIFS(集計用!$G90,"*, "&amp;BG$3&amp;", *")</f>
        <v>0</v>
      </c>
      <c r="BH92" s="2">
        <f>COUNTIFS(集計用!$G90,"*, "&amp;BH$3&amp;", *")</f>
        <v>0</v>
      </c>
      <c r="BI92" s="2">
        <f>COUNTIFS(集計用!$G90,"*, "&amp;BI$3&amp;", *")</f>
        <v>0</v>
      </c>
      <c r="BJ92" s="2">
        <f>LEN(集計用!H90)-LEN(SUBSTITUTE(集計用!H90,",",""))</f>
        <v>0</v>
      </c>
    </row>
    <row r="93" spans="1:62" ht="12.75">
      <c r="A93" s="8">
        <v>90</v>
      </c>
      <c r="C93" s="2">
        <f t="shared" si="2"/>
        <v>11</v>
      </c>
      <c r="D93" s="9"/>
      <c r="E93" s="2">
        <f>COUNTIFS(集計用!$G91,"*, "&amp;E$3&amp;", *")</f>
        <v>1</v>
      </c>
      <c r="F93" s="2">
        <f>COUNTIFS(集計用!$G91,"*, "&amp;F$3&amp;", *")</f>
        <v>1</v>
      </c>
      <c r="G93" s="2">
        <f>COUNTIFS(集計用!$G91,"*, "&amp;G$3&amp;", *")</f>
        <v>1</v>
      </c>
      <c r="H93" s="2">
        <f>COUNTIFS(集計用!$G91,"*, "&amp;H$3&amp;", *")</f>
        <v>1</v>
      </c>
      <c r="I93" s="2">
        <f>COUNTIFS(集計用!$G91,"*, "&amp;I$3&amp;", *")</f>
        <v>0</v>
      </c>
      <c r="J93" s="2">
        <f>COUNTIFS(集計用!$G91,"*, "&amp;J$3&amp;", *")</f>
        <v>1</v>
      </c>
      <c r="K93" s="2">
        <f>COUNTIFS(集計用!$G91,"*, "&amp;K$3&amp;", *")</f>
        <v>1</v>
      </c>
      <c r="L93" s="2">
        <f>COUNTIFS(集計用!$G91,"*, "&amp;L$3&amp;", *")</f>
        <v>0</v>
      </c>
      <c r="M93" s="2">
        <f>COUNTIFS(集計用!$G91,"*, "&amp;M$3&amp;", *")</f>
        <v>0</v>
      </c>
      <c r="N93" s="2">
        <f>COUNTIFS(集計用!$G91,"*, "&amp;N$3&amp;", *")</f>
        <v>0</v>
      </c>
      <c r="O93" s="2">
        <f>COUNTIFS(集計用!$G91,"*, "&amp;O$3&amp;", *")</f>
        <v>0</v>
      </c>
      <c r="P93" s="2">
        <f>COUNTIFS(集計用!$G91,"*, "&amp;P$3&amp;", *")</f>
        <v>0</v>
      </c>
      <c r="Q93" s="2">
        <f>COUNTIFS(集計用!$G91,"*, "&amp;Q$3&amp;", *")</f>
        <v>0</v>
      </c>
      <c r="R93" s="2">
        <f>COUNTIFS(集計用!$G91,"*, "&amp;R$3&amp;", *")</f>
        <v>1</v>
      </c>
      <c r="S93" s="2">
        <f>COUNTIFS(集計用!$G91,"*, "&amp;S$3&amp;", *")</f>
        <v>1</v>
      </c>
      <c r="T93" s="2">
        <f>COUNTIFS(集計用!$G91,"*, "&amp;T$3&amp;", *")</f>
        <v>0</v>
      </c>
      <c r="U93" s="2">
        <f>COUNTIFS(集計用!$G91,"*, "&amp;U$3&amp;", *")</f>
        <v>0</v>
      </c>
      <c r="V93" s="2">
        <f>COUNTIFS(集計用!$G91,"*, "&amp;V$3&amp;", *")</f>
        <v>0</v>
      </c>
      <c r="W93" s="2">
        <f>COUNTIFS(集計用!$G91,"*, "&amp;W$3&amp;", *")</f>
        <v>0</v>
      </c>
      <c r="X93" s="2">
        <f>COUNTIFS(集計用!$G91,"*, "&amp;X$3&amp;", *")</f>
        <v>0</v>
      </c>
      <c r="Y93" s="2">
        <f>COUNTIFS(集計用!$G91,"*, "&amp;Y$3&amp;", *")</f>
        <v>1</v>
      </c>
      <c r="Z93" s="2">
        <f>COUNTIFS(集計用!$G91,"*, "&amp;Z$3&amp;", *")</f>
        <v>0</v>
      </c>
      <c r="AA93" s="2">
        <f>COUNTIFS(集計用!$G91,"*, "&amp;AA$3&amp;", *")</f>
        <v>0</v>
      </c>
      <c r="AB93" s="2">
        <f>COUNTIFS(集計用!$G91,"*, "&amp;AB$3&amp;", *")</f>
        <v>0</v>
      </c>
      <c r="AC93" s="2">
        <f>COUNTIFS(集計用!$G91,"*, "&amp;AC$3&amp;", *")</f>
        <v>0</v>
      </c>
      <c r="AD93" s="2">
        <f>COUNTIFS(集計用!$G91,"*, "&amp;AD$3&amp;", *")</f>
        <v>0</v>
      </c>
      <c r="AE93" s="2">
        <f>COUNTIFS(集計用!$G91,"*, "&amp;AE$3&amp;", *")</f>
        <v>0</v>
      </c>
      <c r="AF93" s="2">
        <f>COUNTIFS(集計用!$G91,"*, "&amp;AF$3&amp;", *")</f>
        <v>1</v>
      </c>
      <c r="AG93" s="2">
        <f>COUNTIFS(集計用!$G91,"*, "&amp;AG$3&amp;", *")</f>
        <v>0</v>
      </c>
      <c r="AH93" s="2">
        <f>COUNTIFS(集計用!$G91,"*, "&amp;AH$3&amp;", *")</f>
        <v>0</v>
      </c>
      <c r="AI93" s="2">
        <f>COUNTIFS(集計用!$G91,"*, "&amp;AI$3&amp;", *")</f>
        <v>0</v>
      </c>
      <c r="AJ93" s="2">
        <f>COUNTIFS(集計用!$G91,"*, "&amp;AJ$3&amp;", *")</f>
        <v>0</v>
      </c>
      <c r="AK93" s="2">
        <f>COUNTIFS(集計用!$G91,"*, "&amp;AK$3&amp;", *")</f>
        <v>0</v>
      </c>
      <c r="AL93" s="2">
        <f>COUNTIFS(集計用!$G91,"*, "&amp;AL$3&amp;", *")</f>
        <v>0</v>
      </c>
      <c r="AM93" s="2">
        <f>COUNTIFS(集計用!$G91,"*, "&amp;AM$3&amp;", *")</f>
        <v>0</v>
      </c>
      <c r="AN93" s="2">
        <f>COUNTIFS(集計用!$G91,"*, "&amp;AN$3&amp;", *")</f>
        <v>0</v>
      </c>
      <c r="AO93" s="2">
        <f>COUNTIFS(集計用!$G91,"*, "&amp;AO$3&amp;", *")</f>
        <v>0</v>
      </c>
      <c r="AP93" s="2">
        <f>COUNTIFS(集計用!$G91,"*, "&amp;AP$3&amp;", *")</f>
        <v>0</v>
      </c>
      <c r="AQ93" s="2">
        <f>COUNTIFS(集計用!$G91,"*, "&amp;AQ$3&amp;", *")</f>
        <v>0</v>
      </c>
      <c r="AR93" s="2">
        <f>COUNTIFS(集計用!$G91,"*, "&amp;AR$3&amp;", *")</f>
        <v>0</v>
      </c>
      <c r="AS93" s="2">
        <f>COUNTIFS(集計用!$G91,"*, "&amp;AS$3&amp;", *")</f>
        <v>0</v>
      </c>
      <c r="AT93" s="2">
        <f>COUNTIFS(集計用!$G91,"*, "&amp;AT$3&amp;", *")</f>
        <v>0</v>
      </c>
      <c r="AU93" s="2">
        <f>COUNTIFS(集計用!$G91,"*, "&amp;AU$3&amp;", *")</f>
        <v>0</v>
      </c>
      <c r="AV93" s="2">
        <f>COUNTIFS(集計用!$G91,"*, "&amp;AV$3&amp;", *")</f>
        <v>0</v>
      </c>
      <c r="AW93" s="2">
        <f>COUNTIFS(集計用!$G91,"*, "&amp;AW$3&amp;", *")</f>
        <v>0</v>
      </c>
      <c r="AX93" s="2">
        <f>COUNTIFS(集計用!$G91,"*, "&amp;AX$3&amp;", *")</f>
        <v>0</v>
      </c>
      <c r="AY93" s="2">
        <f>COUNTIFS(集計用!$G91,"*, "&amp;AY$3&amp;", *")</f>
        <v>0</v>
      </c>
      <c r="AZ93" s="2">
        <f>COUNTIFS(集計用!$G91,"*, "&amp;AZ$3&amp;", *")</f>
        <v>0</v>
      </c>
      <c r="BA93" s="2">
        <f>COUNTIFS(集計用!$G91,"*, "&amp;BA$3&amp;", *")</f>
        <v>0</v>
      </c>
      <c r="BB93" s="2">
        <f>COUNTIFS(集計用!$G91,"*, "&amp;BB$3&amp;", *")</f>
        <v>0</v>
      </c>
      <c r="BC93" s="2">
        <f>COUNTIFS(集計用!$G91,"*, "&amp;BC$3&amp;", *")</f>
        <v>0</v>
      </c>
      <c r="BD93" s="2">
        <f>COUNTIFS(集計用!$G91,"*, "&amp;BD$3&amp;", *")</f>
        <v>1</v>
      </c>
      <c r="BE93" s="2">
        <f>COUNTIFS(集計用!$G91,"*, "&amp;BE$3&amp;", *")</f>
        <v>0</v>
      </c>
      <c r="BF93" s="2">
        <f>COUNTIFS(集計用!$G91,"*, "&amp;BF$3&amp;", *")</f>
        <v>0</v>
      </c>
      <c r="BG93" s="2">
        <f>COUNTIFS(集計用!$G91,"*, "&amp;BG$3&amp;", *")</f>
        <v>0</v>
      </c>
      <c r="BH93" s="2">
        <f>COUNTIFS(集計用!$G91,"*, "&amp;BH$3&amp;", *")</f>
        <v>0</v>
      </c>
      <c r="BI93" s="2">
        <f>COUNTIFS(集計用!$G91,"*, "&amp;BI$3&amp;", *")</f>
        <v>0</v>
      </c>
      <c r="BJ93" s="2">
        <f>LEN(集計用!H91)-LEN(SUBSTITUTE(集計用!H91,",",""))</f>
        <v>0</v>
      </c>
    </row>
    <row r="94" spans="1:62" ht="12.75">
      <c r="A94" s="8">
        <v>91</v>
      </c>
      <c r="C94" s="2">
        <f t="shared" si="2"/>
        <v>7</v>
      </c>
      <c r="D94" s="9"/>
      <c r="E94" s="2">
        <f>COUNTIFS(集計用!$G92,"*, "&amp;E$3&amp;", *")</f>
        <v>1</v>
      </c>
      <c r="F94" s="2">
        <f>COUNTIFS(集計用!$G92,"*, "&amp;F$3&amp;", *")</f>
        <v>0</v>
      </c>
      <c r="G94" s="2">
        <f>COUNTIFS(集計用!$G92,"*, "&amp;G$3&amp;", *")</f>
        <v>0</v>
      </c>
      <c r="H94" s="2">
        <f>COUNTIFS(集計用!$G92,"*, "&amp;H$3&amp;", *")</f>
        <v>0</v>
      </c>
      <c r="I94" s="2">
        <f>COUNTIFS(集計用!$G92,"*, "&amp;I$3&amp;", *")</f>
        <v>0</v>
      </c>
      <c r="J94" s="2">
        <f>COUNTIFS(集計用!$G92,"*, "&amp;J$3&amp;", *")</f>
        <v>0</v>
      </c>
      <c r="K94" s="2">
        <f>COUNTIFS(集計用!$G92,"*, "&amp;K$3&amp;", *")</f>
        <v>0</v>
      </c>
      <c r="L94" s="2">
        <f>COUNTIFS(集計用!$G92,"*, "&amp;L$3&amp;", *")</f>
        <v>0</v>
      </c>
      <c r="M94" s="2">
        <f>COUNTIFS(集計用!$G92,"*, "&amp;M$3&amp;", *")</f>
        <v>0</v>
      </c>
      <c r="N94" s="2">
        <f>COUNTIFS(集計用!$G92,"*, "&amp;N$3&amp;", *")</f>
        <v>0</v>
      </c>
      <c r="O94" s="2">
        <f>COUNTIFS(集計用!$G92,"*, "&amp;O$3&amp;", *")</f>
        <v>1</v>
      </c>
      <c r="P94" s="2">
        <f>COUNTIFS(集計用!$G92,"*, "&amp;P$3&amp;", *")</f>
        <v>0</v>
      </c>
      <c r="Q94" s="2">
        <f>COUNTIFS(集計用!$G92,"*, "&amp;Q$3&amp;", *")</f>
        <v>0</v>
      </c>
      <c r="R94" s="2">
        <f>COUNTIFS(集計用!$G92,"*, "&amp;R$3&amp;", *")</f>
        <v>0</v>
      </c>
      <c r="S94" s="2">
        <f>COUNTIFS(集計用!$G92,"*, "&amp;S$3&amp;", *")</f>
        <v>0</v>
      </c>
      <c r="T94" s="2">
        <f>COUNTIFS(集計用!$G92,"*, "&amp;T$3&amp;", *")</f>
        <v>1</v>
      </c>
      <c r="U94" s="2">
        <f>COUNTIFS(集計用!$G92,"*, "&amp;U$3&amp;", *")</f>
        <v>1</v>
      </c>
      <c r="V94" s="2">
        <f>COUNTIFS(集計用!$G92,"*, "&amp;V$3&amp;", *")</f>
        <v>0</v>
      </c>
      <c r="W94" s="2">
        <f>COUNTIFS(集計用!$G92,"*, "&amp;W$3&amp;", *")</f>
        <v>0</v>
      </c>
      <c r="X94" s="2">
        <f>COUNTIFS(集計用!$G92,"*, "&amp;X$3&amp;", *")</f>
        <v>0</v>
      </c>
      <c r="Y94" s="2">
        <f>COUNTIFS(集計用!$G92,"*, "&amp;Y$3&amp;", *")</f>
        <v>0</v>
      </c>
      <c r="Z94" s="2">
        <f>COUNTIFS(集計用!$G92,"*, "&amp;Z$3&amp;", *")</f>
        <v>0</v>
      </c>
      <c r="AA94" s="2">
        <f>COUNTIFS(集計用!$G92,"*, "&amp;AA$3&amp;", *")</f>
        <v>0</v>
      </c>
      <c r="AB94" s="2">
        <f>COUNTIFS(集計用!$G92,"*, "&amp;AB$3&amp;", *")</f>
        <v>0</v>
      </c>
      <c r="AC94" s="2">
        <f>COUNTIFS(集計用!$G92,"*, "&amp;AC$3&amp;", *")</f>
        <v>1</v>
      </c>
      <c r="AD94" s="2">
        <f>COUNTIFS(集計用!$G92,"*, "&amp;AD$3&amp;", *")</f>
        <v>0</v>
      </c>
      <c r="AE94" s="2">
        <f>COUNTIFS(集計用!$G92,"*, "&amp;AE$3&amp;", *")</f>
        <v>0</v>
      </c>
      <c r="AF94" s="2">
        <f>COUNTIFS(集計用!$G92,"*, "&amp;AF$3&amp;", *")</f>
        <v>0</v>
      </c>
      <c r="AG94" s="2">
        <f>COUNTIFS(集計用!$G92,"*, "&amp;AG$3&amp;", *")</f>
        <v>0</v>
      </c>
      <c r="AH94" s="2">
        <f>COUNTIFS(集計用!$G92,"*, "&amp;AH$3&amp;", *")</f>
        <v>0</v>
      </c>
      <c r="AI94" s="2">
        <f>COUNTIFS(集計用!$G92,"*, "&amp;AI$3&amp;", *")</f>
        <v>0</v>
      </c>
      <c r="AJ94" s="2">
        <f>COUNTIFS(集計用!$G92,"*, "&amp;AJ$3&amp;", *")</f>
        <v>0</v>
      </c>
      <c r="AK94" s="2">
        <f>COUNTIFS(集計用!$G92,"*, "&amp;AK$3&amp;", *")</f>
        <v>0</v>
      </c>
      <c r="AL94" s="2">
        <f>COUNTIFS(集計用!$G92,"*, "&amp;AL$3&amp;", *")</f>
        <v>0</v>
      </c>
      <c r="AM94" s="2">
        <f>COUNTIFS(集計用!$G92,"*, "&amp;AM$3&amp;", *")</f>
        <v>0</v>
      </c>
      <c r="AN94" s="2">
        <f>COUNTIFS(集計用!$G92,"*, "&amp;AN$3&amp;", *")</f>
        <v>0</v>
      </c>
      <c r="AO94" s="2">
        <f>COUNTIFS(集計用!$G92,"*, "&amp;AO$3&amp;", *")</f>
        <v>0</v>
      </c>
      <c r="AP94" s="2">
        <f>COUNTIFS(集計用!$G92,"*, "&amp;AP$3&amp;", *")</f>
        <v>0</v>
      </c>
      <c r="AQ94" s="2">
        <f>COUNTIFS(集計用!$G92,"*, "&amp;AQ$3&amp;", *")</f>
        <v>0</v>
      </c>
      <c r="AR94" s="2">
        <f>COUNTIFS(集計用!$G92,"*, "&amp;AR$3&amp;", *")</f>
        <v>0</v>
      </c>
      <c r="AS94" s="2">
        <f>COUNTIFS(集計用!$G92,"*, "&amp;AS$3&amp;", *")</f>
        <v>0</v>
      </c>
      <c r="AT94" s="2">
        <f>COUNTIFS(集計用!$G92,"*, "&amp;AT$3&amp;", *")</f>
        <v>0</v>
      </c>
      <c r="AU94" s="2">
        <f>COUNTIFS(集計用!$G92,"*, "&amp;AU$3&amp;", *")</f>
        <v>0</v>
      </c>
      <c r="AV94" s="2">
        <f>COUNTIFS(集計用!$G92,"*, "&amp;AV$3&amp;", *")</f>
        <v>0</v>
      </c>
      <c r="AW94" s="2">
        <f>COUNTIFS(集計用!$G92,"*, "&amp;AW$3&amp;", *")</f>
        <v>0</v>
      </c>
      <c r="AX94" s="2">
        <f>COUNTIFS(集計用!$G92,"*, "&amp;AX$3&amp;", *")</f>
        <v>0</v>
      </c>
      <c r="AY94" s="2">
        <f>COUNTIFS(集計用!$G92,"*, "&amp;AY$3&amp;", *")</f>
        <v>0</v>
      </c>
      <c r="AZ94" s="2">
        <f>COUNTIFS(集計用!$G92,"*, "&amp;AZ$3&amp;", *")</f>
        <v>1</v>
      </c>
      <c r="BA94" s="2">
        <f>COUNTIFS(集計用!$G92,"*, "&amp;BA$3&amp;", *")</f>
        <v>0</v>
      </c>
      <c r="BB94" s="2">
        <f>COUNTIFS(集計用!$G92,"*, "&amp;BB$3&amp;", *")</f>
        <v>0</v>
      </c>
      <c r="BC94" s="2">
        <f>COUNTIFS(集計用!$G92,"*, "&amp;BC$3&amp;", *")</f>
        <v>1</v>
      </c>
      <c r="BD94" s="2">
        <f>COUNTIFS(集計用!$G92,"*, "&amp;BD$3&amp;", *")</f>
        <v>0</v>
      </c>
      <c r="BE94" s="2">
        <f>COUNTIFS(集計用!$G92,"*, "&amp;BE$3&amp;", *")</f>
        <v>0</v>
      </c>
      <c r="BF94" s="2">
        <f>COUNTIFS(集計用!$G92,"*, "&amp;BF$3&amp;", *")</f>
        <v>0</v>
      </c>
      <c r="BG94" s="2">
        <f>COUNTIFS(集計用!$G92,"*, "&amp;BG$3&amp;", *")</f>
        <v>0</v>
      </c>
      <c r="BH94" s="2">
        <f>COUNTIFS(集計用!$G92,"*, "&amp;BH$3&amp;", *")</f>
        <v>0</v>
      </c>
      <c r="BI94" s="2">
        <f>COUNTIFS(集計用!$G92,"*, "&amp;BI$3&amp;", *")</f>
        <v>0</v>
      </c>
      <c r="BJ94" s="2">
        <f>LEN(集計用!H92)-LEN(SUBSTITUTE(集計用!H92,",",""))</f>
        <v>0</v>
      </c>
    </row>
    <row r="95" spans="1:62" ht="12.75">
      <c r="A95" s="8">
        <v>92</v>
      </c>
      <c r="C95" s="2">
        <f t="shared" si="2"/>
        <v>10</v>
      </c>
      <c r="D95" s="9"/>
      <c r="E95" s="2">
        <f>COUNTIFS(集計用!$G93,"*, "&amp;E$3&amp;", *")</f>
        <v>1</v>
      </c>
      <c r="F95" s="2">
        <f>COUNTIFS(集計用!$G93,"*, "&amp;F$3&amp;", *")</f>
        <v>0</v>
      </c>
      <c r="G95" s="2">
        <f>COUNTIFS(集計用!$G93,"*, "&amp;G$3&amp;", *")</f>
        <v>1</v>
      </c>
      <c r="H95" s="2">
        <f>COUNTIFS(集計用!$G93,"*, "&amp;H$3&amp;", *")</f>
        <v>0</v>
      </c>
      <c r="I95" s="2">
        <f>COUNTIFS(集計用!$G93,"*, "&amp;I$3&amp;", *")</f>
        <v>0</v>
      </c>
      <c r="J95" s="2">
        <f>COUNTIFS(集計用!$G93,"*, "&amp;J$3&amp;", *")</f>
        <v>0</v>
      </c>
      <c r="K95" s="2">
        <f>COUNTIFS(集計用!$G93,"*, "&amp;K$3&amp;", *")</f>
        <v>0</v>
      </c>
      <c r="L95" s="2">
        <f>COUNTIFS(集計用!$G93,"*, "&amp;L$3&amp;", *")</f>
        <v>0</v>
      </c>
      <c r="M95" s="2">
        <f>COUNTIFS(集計用!$G93,"*, "&amp;M$3&amp;", *")</f>
        <v>0</v>
      </c>
      <c r="N95" s="2">
        <f>COUNTIFS(集計用!$G93,"*, "&amp;N$3&amp;", *")</f>
        <v>1</v>
      </c>
      <c r="O95" s="2">
        <f>COUNTIFS(集計用!$G93,"*, "&amp;O$3&amp;", *")</f>
        <v>1</v>
      </c>
      <c r="P95" s="2">
        <f>COUNTIFS(集計用!$G93,"*, "&amp;P$3&amp;", *")</f>
        <v>1</v>
      </c>
      <c r="Q95" s="2">
        <f>COUNTIFS(集計用!$G93,"*, "&amp;Q$3&amp;", *")</f>
        <v>0</v>
      </c>
      <c r="R95" s="2">
        <f>COUNTIFS(集計用!$G93,"*, "&amp;R$3&amp;", *")</f>
        <v>0</v>
      </c>
      <c r="S95" s="2">
        <f>COUNTIFS(集計用!$G93,"*, "&amp;S$3&amp;", *")</f>
        <v>0</v>
      </c>
      <c r="T95" s="2">
        <f>COUNTIFS(集計用!$G93,"*, "&amp;T$3&amp;", *")</f>
        <v>1</v>
      </c>
      <c r="U95" s="2">
        <f>COUNTIFS(集計用!$G93,"*, "&amp;U$3&amp;", *")</f>
        <v>0</v>
      </c>
      <c r="V95" s="2">
        <f>COUNTIFS(集計用!$G93,"*, "&amp;V$3&amp;", *")</f>
        <v>1</v>
      </c>
      <c r="W95" s="2">
        <f>COUNTIFS(集計用!$G93,"*, "&amp;W$3&amp;", *")</f>
        <v>0</v>
      </c>
      <c r="X95" s="2">
        <f>COUNTIFS(集計用!$G93,"*, "&amp;X$3&amp;", *")</f>
        <v>1</v>
      </c>
      <c r="Y95" s="2">
        <f>COUNTIFS(集計用!$G93,"*, "&amp;Y$3&amp;", *")</f>
        <v>1</v>
      </c>
      <c r="Z95" s="2">
        <f>COUNTIFS(集計用!$G93,"*, "&amp;Z$3&amp;", *")</f>
        <v>0</v>
      </c>
      <c r="AA95" s="2">
        <f>COUNTIFS(集計用!$G93,"*, "&amp;AA$3&amp;", *")</f>
        <v>0</v>
      </c>
      <c r="AB95" s="2">
        <f>COUNTIFS(集計用!$G93,"*, "&amp;AB$3&amp;", *")</f>
        <v>0</v>
      </c>
      <c r="AC95" s="2">
        <f>COUNTIFS(集計用!$G93,"*, "&amp;AC$3&amp;", *")</f>
        <v>0</v>
      </c>
      <c r="AD95" s="2">
        <f>COUNTIFS(集計用!$G93,"*, "&amp;AD$3&amp;", *")</f>
        <v>0</v>
      </c>
      <c r="AE95" s="2">
        <f>COUNTIFS(集計用!$G93,"*, "&amp;AE$3&amp;", *")</f>
        <v>0</v>
      </c>
      <c r="AF95" s="2">
        <f>COUNTIFS(集計用!$G93,"*, "&amp;AF$3&amp;", *")</f>
        <v>0</v>
      </c>
      <c r="AG95" s="2">
        <f>COUNTIFS(集計用!$G93,"*, "&amp;AG$3&amp;", *")</f>
        <v>0</v>
      </c>
      <c r="AH95" s="2">
        <f>COUNTIFS(集計用!$G93,"*, "&amp;AH$3&amp;", *")</f>
        <v>0</v>
      </c>
      <c r="AI95" s="2">
        <f>COUNTIFS(集計用!$G93,"*, "&amp;AI$3&amp;", *")</f>
        <v>0</v>
      </c>
      <c r="AJ95" s="2">
        <f>COUNTIFS(集計用!$G93,"*, "&amp;AJ$3&amp;", *")</f>
        <v>0</v>
      </c>
      <c r="AK95" s="2">
        <f>COUNTIFS(集計用!$G93,"*, "&amp;AK$3&amp;", *")</f>
        <v>0</v>
      </c>
      <c r="AL95" s="2">
        <f>COUNTIFS(集計用!$G93,"*, "&amp;AL$3&amp;", *")</f>
        <v>0</v>
      </c>
      <c r="AM95" s="2">
        <f>COUNTIFS(集計用!$G93,"*, "&amp;AM$3&amp;", *")</f>
        <v>1</v>
      </c>
      <c r="AN95" s="2">
        <f>COUNTIFS(集計用!$G93,"*, "&amp;AN$3&amp;", *")</f>
        <v>0</v>
      </c>
      <c r="AO95" s="2">
        <f>COUNTIFS(集計用!$G93,"*, "&amp;AO$3&amp;", *")</f>
        <v>0</v>
      </c>
      <c r="AP95" s="2">
        <f>COUNTIFS(集計用!$G93,"*, "&amp;AP$3&amp;", *")</f>
        <v>0</v>
      </c>
      <c r="AQ95" s="2">
        <f>COUNTIFS(集計用!$G93,"*, "&amp;AQ$3&amp;", *")</f>
        <v>0</v>
      </c>
      <c r="AR95" s="2">
        <f>COUNTIFS(集計用!$G93,"*, "&amp;AR$3&amp;", *")</f>
        <v>0</v>
      </c>
      <c r="AS95" s="2">
        <f>COUNTIFS(集計用!$G93,"*, "&amp;AS$3&amp;", *")</f>
        <v>0</v>
      </c>
      <c r="AT95" s="2">
        <f>COUNTIFS(集計用!$G93,"*, "&amp;AT$3&amp;", *")</f>
        <v>0</v>
      </c>
      <c r="AU95" s="2">
        <f>COUNTIFS(集計用!$G93,"*, "&amp;AU$3&amp;", *")</f>
        <v>0</v>
      </c>
      <c r="AV95" s="2">
        <f>COUNTIFS(集計用!$G93,"*, "&amp;AV$3&amp;", *")</f>
        <v>0</v>
      </c>
      <c r="AW95" s="2">
        <f>COUNTIFS(集計用!$G93,"*, "&amp;AW$3&amp;", *")</f>
        <v>0</v>
      </c>
      <c r="AX95" s="2">
        <f>COUNTIFS(集計用!$G93,"*, "&amp;AX$3&amp;", *")</f>
        <v>0</v>
      </c>
      <c r="AY95" s="2">
        <f>COUNTIFS(集計用!$G93,"*, "&amp;AY$3&amp;", *")</f>
        <v>0</v>
      </c>
      <c r="AZ95" s="2">
        <f>COUNTIFS(集計用!$G93,"*, "&amp;AZ$3&amp;", *")</f>
        <v>0</v>
      </c>
      <c r="BA95" s="2">
        <f>COUNTIFS(集計用!$G93,"*, "&amp;BA$3&amp;", *")</f>
        <v>0</v>
      </c>
      <c r="BB95" s="2">
        <f>COUNTIFS(集計用!$G93,"*, "&amp;BB$3&amp;", *")</f>
        <v>0</v>
      </c>
      <c r="BC95" s="2">
        <f>COUNTIFS(集計用!$G93,"*, "&amp;BC$3&amp;", *")</f>
        <v>0</v>
      </c>
      <c r="BD95" s="2">
        <f>COUNTIFS(集計用!$G93,"*, "&amp;BD$3&amp;", *")</f>
        <v>0</v>
      </c>
      <c r="BE95" s="2">
        <f>COUNTIFS(集計用!$G93,"*, "&amp;BE$3&amp;", *")</f>
        <v>0</v>
      </c>
      <c r="BF95" s="2">
        <f>COUNTIFS(集計用!$G93,"*, "&amp;BF$3&amp;", *")</f>
        <v>0</v>
      </c>
      <c r="BG95" s="2">
        <f>COUNTIFS(集計用!$G93,"*, "&amp;BG$3&amp;", *")</f>
        <v>0</v>
      </c>
      <c r="BH95" s="2">
        <f>COUNTIFS(集計用!$G93,"*, "&amp;BH$3&amp;", *")</f>
        <v>0</v>
      </c>
      <c r="BI95" s="2">
        <f>COUNTIFS(集計用!$G93,"*, "&amp;BI$3&amp;", *")</f>
        <v>0</v>
      </c>
      <c r="BJ95" s="2">
        <f>LEN(集計用!H93)-LEN(SUBSTITUTE(集計用!H93,",",""))</f>
        <v>0</v>
      </c>
    </row>
    <row r="96" spans="1:62" ht="12.75">
      <c r="A96" s="8">
        <v>93</v>
      </c>
      <c r="C96" s="2">
        <f t="shared" si="2"/>
        <v>7</v>
      </c>
      <c r="D96" s="9"/>
      <c r="E96" s="2">
        <f>COUNTIFS(集計用!$G94,"*, "&amp;E$3&amp;", *")</f>
        <v>1</v>
      </c>
      <c r="F96" s="2">
        <f>COUNTIFS(集計用!$G94,"*, "&amp;F$3&amp;", *")</f>
        <v>1</v>
      </c>
      <c r="G96" s="2">
        <f>COUNTIFS(集計用!$G94,"*, "&amp;G$3&amp;", *")</f>
        <v>0</v>
      </c>
      <c r="H96" s="2">
        <f>COUNTIFS(集計用!$G94,"*, "&amp;H$3&amp;", *")</f>
        <v>0</v>
      </c>
      <c r="I96" s="2">
        <f>COUNTIFS(集計用!$G94,"*, "&amp;I$3&amp;", *")</f>
        <v>1</v>
      </c>
      <c r="J96" s="2">
        <f>COUNTIFS(集計用!$G94,"*, "&amp;J$3&amp;", *")</f>
        <v>0</v>
      </c>
      <c r="K96" s="2">
        <f>COUNTIFS(集計用!$G94,"*, "&amp;K$3&amp;", *")</f>
        <v>1</v>
      </c>
      <c r="L96" s="2">
        <f>COUNTIFS(集計用!$G94,"*, "&amp;L$3&amp;", *")</f>
        <v>0</v>
      </c>
      <c r="M96" s="2">
        <f>COUNTIFS(集計用!$G94,"*, "&amp;M$3&amp;", *")</f>
        <v>1</v>
      </c>
      <c r="N96" s="2">
        <f>COUNTIFS(集計用!$G94,"*, "&amp;N$3&amp;", *")</f>
        <v>0</v>
      </c>
      <c r="O96" s="2">
        <f>COUNTIFS(集計用!$G94,"*, "&amp;O$3&amp;", *")</f>
        <v>0</v>
      </c>
      <c r="P96" s="2">
        <f>COUNTIFS(集計用!$G94,"*, "&amp;P$3&amp;", *")</f>
        <v>0</v>
      </c>
      <c r="Q96" s="2">
        <f>COUNTIFS(集計用!$G94,"*, "&amp;Q$3&amp;", *")</f>
        <v>0</v>
      </c>
      <c r="R96" s="2">
        <f>COUNTIFS(集計用!$G94,"*, "&amp;R$3&amp;", *")</f>
        <v>0</v>
      </c>
      <c r="S96" s="2">
        <f>COUNTIFS(集計用!$G94,"*, "&amp;S$3&amp;", *")</f>
        <v>0</v>
      </c>
      <c r="T96" s="2">
        <f>COUNTIFS(集計用!$G94,"*, "&amp;T$3&amp;", *")</f>
        <v>0</v>
      </c>
      <c r="U96" s="2">
        <f>COUNTIFS(集計用!$G94,"*, "&amp;U$3&amp;", *")</f>
        <v>1</v>
      </c>
      <c r="V96" s="2">
        <f>COUNTIFS(集計用!$G94,"*, "&amp;V$3&amp;", *")</f>
        <v>0</v>
      </c>
      <c r="W96" s="2">
        <f>COUNTIFS(集計用!$G94,"*, "&amp;W$3&amp;", *")</f>
        <v>0</v>
      </c>
      <c r="X96" s="2">
        <f>COUNTIFS(集計用!$G94,"*, "&amp;X$3&amp;", *")</f>
        <v>0</v>
      </c>
      <c r="Y96" s="2">
        <f>COUNTIFS(集計用!$G94,"*, "&amp;Y$3&amp;", *")</f>
        <v>0</v>
      </c>
      <c r="Z96" s="2">
        <f>COUNTIFS(集計用!$G94,"*, "&amp;Z$3&amp;", *")</f>
        <v>0</v>
      </c>
      <c r="AA96" s="2">
        <f>COUNTIFS(集計用!$G94,"*, "&amp;AA$3&amp;", *")</f>
        <v>0</v>
      </c>
      <c r="AB96" s="2">
        <f>COUNTIFS(集計用!$G94,"*, "&amp;AB$3&amp;", *")</f>
        <v>0</v>
      </c>
      <c r="AC96" s="2">
        <f>COUNTIFS(集計用!$G94,"*, "&amp;AC$3&amp;", *")</f>
        <v>1</v>
      </c>
      <c r="AD96" s="2">
        <f>COUNTIFS(集計用!$G94,"*, "&amp;AD$3&amp;", *")</f>
        <v>0</v>
      </c>
      <c r="AE96" s="2">
        <f>COUNTIFS(集計用!$G94,"*, "&amp;AE$3&amp;", *")</f>
        <v>0</v>
      </c>
      <c r="AF96" s="2">
        <f>COUNTIFS(集計用!$G94,"*, "&amp;AF$3&amp;", *")</f>
        <v>0</v>
      </c>
      <c r="AG96" s="2">
        <f>COUNTIFS(集計用!$G94,"*, "&amp;AG$3&amp;", *")</f>
        <v>0</v>
      </c>
      <c r="AH96" s="2">
        <f>COUNTIFS(集計用!$G94,"*, "&amp;AH$3&amp;", *")</f>
        <v>0</v>
      </c>
      <c r="AI96" s="2">
        <f>COUNTIFS(集計用!$G94,"*, "&amp;AI$3&amp;", *")</f>
        <v>0</v>
      </c>
      <c r="AJ96" s="2">
        <f>COUNTIFS(集計用!$G94,"*, "&amp;AJ$3&amp;", *")</f>
        <v>0</v>
      </c>
      <c r="AK96" s="2">
        <f>COUNTIFS(集計用!$G94,"*, "&amp;AK$3&amp;", *")</f>
        <v>0</v>
      </c>
      <c r="AL96" s="2">
        <f>COUNTIFS(集計用!$G94,"*, "&amp;AL$3&amp;", *")</f>
        <v>0</v>
      </c>
      <c r="AM96" s="2">
        <f>COUNTIFS(集計用!$G94,"*, "&amp;AM$3&amp;", *")</f>
        <v>0</v>
      </c>
      <c r="AN96" s="2">
        <f>COUNTIFS(集計用!$G94,"*, "&amp;AN$3&amp;", *")</f>
        <v>0</v>
      </c>
      <c r="AO96" s="2">
        <f>COUNTIFS(集計用!$G94,"*, "&amp;AO$3&amp;", *")</f>
        <v>0</v>
      </c>
      <c r="AP96" s="2">
        <f>COUNTIFS(集計用!$G94,"*, "&amp;AP$3&amp;", *")</f>
        <v>0</v>
      </c>
      <c r="AQ96" s="2">
        <f>COUNTIFS(集計用!$G94,"*, "&amp;AQ$3&amp;", *")</f>
        <v>0</v>
      </c>
      <c r="AR96" s="2">
        <f>COUNTIFS(集計用!$G94,"*, "&amp;AR$3&amp;", *")</f>
        <v>0</v>
      </c>
      <c r="AS96" s="2">
        <f>COUNTIFS(集計用!$G94,"*, "&amp;AS$3&amp;", *")</f>
        <v>0</v>
      </c>
      <c r="AT96" s="2">
        <f>COUNTIFS(集計用!$G94,"*, "&amp;AT$3&amp;", *")</f>
        <v>0</v>
      </c>
      <c r="AU96" s="2">
        <f>COUNTIFS(集計用!$G94,"*, "&amp;AU$3&amp;", *")</f>
        <v>0</v>
      </c>
      <c r="AV96" s="2">
        <f>COUNTIFS(集計用!$G94,"*, "&amp;AV$3&amp;", *")</f>
        <v>0</v>
      </c>
      <c r="AW96" s="2">
        <f>COUNTIFS(集計用!$G94,"*, "&amp;AW$3&amp;", *")</f>
        <v>0</v>
      </c>
      <c r="AX96" s="2">
        <f>COUNTIFS(集計用!$G94,"*, "&amp;AX$3&amp;", *")</f>
        <v>0</v>
      </c>
      <c r="AY96" s="2">
        <f>COUNTIFS(集計用!$G94,"*, "&amp;AY$3&amp;", *")</f>
        <v>0</v>
      </c>
      <c r="AZ96" s="2">
        <f>COUNTIFS(集計用!$G94,"*, "&amp;AZ$3&amp;", *")</f>
        <v>0</v>
      </c>
      <c r="BA96" s="2">
        <f>COUNTIFS(集計用!$G94,"*, "&amp;BA$3&amp;", *")</f>
        <v>0</v>
      </c>
      <c r="BB96" s="2">
        <f>COUNTIFS(集計用!$G94,"*, "&amp;BB$3&amp;", *")</f>
        <v>0</v>
      </c>
      <c r="BC96" s="2">
        <f>COUNTIFS(集計用!$G94,"*, "&amp;BC$3&amp;", *")</f>
        <v>0</v>
      </c>
      <c r="BD96" s="2">
        <f>COUNTIFS(集計用!$G94,"*, "&amp;BD$3&amp;", *")</f>
        <v>0</v>
      </c>
      <c r="BE96" s="2">
        <f>COUNTIFS(集計用!$G94,"*, "&amp;BE$3&amp;", *")</f>
        <v>0</v>
      </c>
      <c r="BF96" s="2">
        <f>COUNTIFS(集計用!$G94,"*, "&amp;BF$3&amp;", *")</f>
        <v>0</v>
      </c>
      <c r="BG96" s="2">
        <f>COUNTIFS(集計用!$G94,"*, "&amp;BG$3&amp;", *")</f>
        <v>0</v>
      </c>
      <c r="BH96" s="2">
        <f>COUNTIFS(集計用!$G94,"*, "&amp;BH$3&amp;", *")</f>
        <v>0</v>
      </c>
      <c r="BI96" s="2">
        <f>COUNTIFS(集計用!$G94,"*, "&amp;BI$3&amp;", *")</f>
        <v>0</v>
      </c>
      <c r="BJ96" s="2">
        <f>LEN(集計用!H94)-LEN(SUBSTITUTE(集計用!H94,",",""))</f>
        <v>0</v>
      </c>
    </row>
    <row r="97" spans="1:62" ht="12.75">
      <c r="A97" s="8">
        <v>94</v>
      </c>
      <c r="C97" s="2">
        <f t="shared" si="2"/>
        <v>5</v>
      </c>
      <c r="D97" s="9"/>
      <c r="E97" s="2">
        <f>COUNTIFS(集計用!$G95,"*, "&amp;E$3&amp;", *")</f>
        <v>1</v>
      </c>
      <c r="F97" s="2">
        <f>COUNTIFS(集計用!$G95,"*, "&amp;F$3&amp;", *")</f>
        <v>0</v>
      </c>
      <c r="G97" s="2">
        <f>COUNTIFS(集計用!$G95,"*, "&amp;G$3&amp;", *")</f>
        <v>0</v>
      </c>
      <c r="H97" s="2">
        <f>COUNTIFS(集計用!$G95,"*, "&amp;H$3&amp;", *")</f>
        <v>0</v>
      </c>
      <c r="I97" s="2">
        <f>COUNTIFS(集計用!$G95,"*, "&amp;I$3&amp;", *")</f>
        <v>1</v>
      </c>
      <c r="J97" s="2">
        <f>COUNTIFS(集計用!$G95,"*, "&amp;J$3&amp;", *")</f>
        <v>0</v>
      </c>
      <c r="K97" s="2">
        <f>COUNTIFS(集計用!$G95,"*, "&amp;K$3&amp;", *")</f>
        <v>0</v>
      </c>
      <c r="L97" s="2">
        <f>COUNTIFS(集計用!$G95,"*, "&amp;L$3&amp;", *")</f>
        <v>0</v>
      </c>
      <c r="M97" s="2">
        <f>COUNTIFS(集計用!$G95,"*, "&amp;M$3&amp;", *")</f>
        <v>1</v>
      </c>
      <c r="N97" s="2">
        <f>COUNTIFS(集計用!$G95,"*, "&amp;N$3&amp;", *")</f>
        <v>1</v>
      </c>
      <c r="O97" s="2">
        <f>COUNTIFS(集計用!$G95,"*, "&amp;O$3&amp;", *")</f>
        <v>0</v>
      </c>
      <c r="P97" s="2">
        <f>COUNTIFS(集計用!$G95,"*, "&amp;P$3&amp;", *")</f>
        <v>0</v>
      </c>
      <c r="Q97" s="2">
        <f>COUNTIFS(集計用!$G95,"*, "&amp;Q$3&amp;", *")</f>
        <v>0</v>
      </c>
      <c r="R97" s="2">
        <f>COUNTIFS(集計用!$G95,"*, "&amp;R$3&amp;", *")</f>
        <v>0</v>
      </c>
      <c r="S97" s="2">
        <f>COUNTIFS(集計用!$G95,"*, "&amp;S$3&amp;", *")</f>
        <v>0</v>
      </c>
      <c r="T97" s="2">
        <f>COUNTIFS(集計用!$G95,"*, "&amp;T$3&amp;", *")</f>
        <v>1</v>
      </c>
      <c r="U97" s="2">
        <f>COUNTIFS(集計用!$G95,"*, "&amp;U$3&amp;", *")</f>
        <v>0</v>
      </c>
      <c r="V97" s="2">
        <f>COUNTIFS(集計用!$G95,"*, "&amp;V$3&amp;", *")</f>
        <v>0</v>
      </c>
      <c r="W97" s="2">
        <f>COUNTIFS(集計用!$G95,"*, "&amp;W$3&amp;", *")</f>
        <v>0</v>
      </c>
      <c r="X97" s="2">
        <f>COUNTIFS(集計用!$G95,"*, "&amp;X$3&amp;", *")</f>
        <v>0</v>
      </c>
      <c r="Y97" s="2">
        <f>COUNTIFS(集計用!$G95,"*, "&amp;Y$3&amp;", *")</f>
        <v>0</v>
      </c>
      <c r="Z97" s="2">
        <f>COUNTIFS(集計用!$G95,"*, "&amp;Z$3&amp;", *")</f>
        <v>0</v>
      </c>
      <c r="AA97" s="2">
        <f>COUNTIFS(集計用!$G95,"*, "&amp;AA$3&amp;", *")</f>
        <v>0</v>
      </c>
      <c r="AB97" s="2">
        <f>COUNTIFS(集計用!$G95,"*, "&amp;AB$3&amp;", *")</f>
        <v>0</v>
      </c>
      <c r="AC97" s="2">
        <f>COUNTIFS(集計用!$G95,"*, "&amp;AC$3&amp;", *")</f>
        <v>0</v>
      </c>
      <c r="AD97" s="2">
        <f>COUNTIFS(集計用!$G95,"*, "&amp;AD$3&amp;", *")</f>
        <v>0</v>
      </c>
      <c r="AE97" s="2">
        <f>COUNTIFS(集計用!$G95,"*, "&amp;AE$3&amp;", *")</f>
        <v>0</v>
      </c>
      <c r="AF97" s="2">
        <f>COUNTIFS(集計用!$G95,"*, "&amp;AF$3&amp;", *")</f>
        <v>0</v>
      </c>
      <c r="AG97" s="2">
        <f>COUNTIFS(集計用!$G95,"*, "&amp;AG$3&amp;", *")</f>
        <v>0</v>
      </c>
      <c r="AH97" s="2">
        <f>COUNTIFS(集計用!$G95,"*, "&amp;AH$3&amp;", *")</f>
        <v>0</v>
      </c>
      <c r="AI97" s="2">
        <f>COUNTIFS(集計用!$G95,"*, "&amp;AI$3&amp;", *")</f>
        <v>0</v>
      </c>
      <c r="AJ97" s="2">
        <f>COUNTIFS(集計用!$G95,"*, "&amp;AJ$3&amp;", *")</f>
        <v>0</v>
      </c>
      <c r="AK97" s="2">
        <f>COUNTIFS(集計用!$G95,"*, "&amp;AK$3&amp;", *")</f>
        <v>0</v>
      </c>
      <c r="AL97" s="2">
        <f>COUNTIFS(集計用!$G95,"*, "&amp;AL$3&amp;", *")</f>
        <v>0</v>
      </c>
      <c r="AM97" s="2">
        <f>COUNTIFS(集計用!$G95,"*, "&amp;AM$3&amp;", *")</f>
        <v>0</v>
      </c>
      <c r="AN97" s="2">
        <f>COUNTIFS(集計用!$G95,"*, "&amp;AN$3&amp;", *")</f>
        <v>0</v>
      </c>
      <c r="AO97" s="2">
        <f>COUNTIFS(集計用!$G95,"*, "&amp;AO$3&amp;", *")</f>
        <v>0</v>
      </c>
      <c r="AP97" s="2">
        <f>COUNTIFS(集計用!$G95,"*, "&amp;AP$3&amp;", *")</f>
        <v>0</v>
      </c>
      <c r="AQ97" s="2">
        <f>COUNTIFS(集計用!$G95,"*, "&amp;AQ$3&amp;", *")</f>
        <v>0</v>
      </c>
      <c r="AR97" s="2">
        <f>COUNTIFS(集計用!$G95,"*, "&amp;AR$3&amp;", *")</f>
        <v>0</v>
      </c>
      <c r="AS97" s="2">
        <f>COUNTIFS(集計用!$G95,"*, "&amp;AS$3&amp;", *")</f>
        <v>0</v>
      </c>
      <c r="AT97" s="2">
        <f>COUNTIFS(集計用!$G95,"*, "&amp;AT$3&amp;", *")</f>
        <v>0</v>
      </c>
      <c r="AU97" s="2">
        <f>COUNTIFS(集計用!$G95,"*, "&amp;AU$3&amp;", *")</f>
        <v>0</v>
      </c>
      <c r="AV97" s="2">
        <f>COUNTIFS(集計用!$G95,"*, "&amp;AV$3&amp;", *")</f>
        <v>0</v>
      </c>
      <c r="AW97" s="2">
        <f>COUNTIFS(集計用!$G95,"*, "&amp;AW$3&amp;", *")</f>
        <v>0</v>
      </c>
      <c r="AX97" s="2">
        <f>COUNTIFS(集計用!$G95,"*, "&amp;AX$3&amp;", *")</f>
        <v>0</v>
      </c>
      <c r="AY97" s="2">
        <f>COUNTIFS(集計用!$G95,"*, "&amp;AY$3&amp;", *")</f>
        <v>0</v>
      </c>
      <c r="AZ97" s="2">
        <f>COUNTIFS(集計用!$G95,"*, "&amp;AZ$3&amp;", *")</f>
        <v>0</v>
      </c>
      <c r="BA97" s="2">
        <f>COUNTIFS(集計用!$G95,"*, "&amp;BA$3&amp;", *")</f>
        <v>0</v>
      </c>
      <c r="BB97" s="2">
        <f>COUNTIFS(集計用!$G95,"*, "&amp;BB$3&amp;", *")</f>
        <v>0</v>
      </c>
      <c r="BC97" s="2">
        <f>COUNTIFS(集計用!$G95,"*, "&amp;BC$3&amp;", *")</f>
        <v>0</v>
      </c>
      <c r="BD97" s="2">
        <f>COUNTIFS(集計用!$G95,"*, "&amp;BD$3&amp;", *")</f>
        <v>0</v>
      </c>
      <c r="BE97" s="2">
        <f>COUNTIFS(集計用!$G95,"*, "&amp;BE$3&amp;", *")</f>
        <v>0</v>
      </c>
      <c r="BF97" s="2">
        <f>COUNTIFS(集計用!$G95,"*, "&amp;BF$3&amp;", *")</f>
        <v>0</v>
      </c>
      <c r="BG97" s="2">
        <f>COUNTIFS(集計用!$G95,"*, "&amp;BG$3&amp;", *")</f>
        <v>0</v>
      </c>
      <c r="BH97" s="2">
        <f>COUNTIFS(集計用!$G95,"*, "&amp;BH$3&amp;", *")</f>
        <v>0</v>
      </c>
      <c r="BI97" s="2">
        <f>COUNTIFS(集計用!$G95,"*, "&amp;BI$3&amp;", *")</f>
        <v>0</v>
      </c>
      <c r="BJ97" s="2">
        <f>LEN(集計用!H95)-LEN(SUBSTITUTE(集計用!H95,",",""))</f>
        <v>0</v>
      </c>
    </row>
    <row r="98" spans="1:62" ht="12.75">
      <c r="A98" s="8">
        <v>95</v>
      </c>
      <c r="C98" s="2">
        <f t="shared" si="2"/>
        <v>2</v>
      </c>
      <c r="D98" s="9"/>
      <c r="E98" s="2">
        <f>COUNTIFS(集計用!$G96,"*, "&amp;E$3&amp;", *")</f>
        <v>0</v>
      </c>
      <c r="F98" s="2">
        <f>COUNTIFS(集計用!$G96,"*, "&amp;F$3&amp;", *")</f>
        <v>0</v>
      </c>
      <c r="G98" s="2">
        <f>COUNTIFS(集計用!$G96,"*, "&amp;G$3&amp;", *")</f>
        <v>0</v>
      </c>
      <c r="H98" s="2">
        <f>COUNTIFS(集計用!$G96,"*, "&amp;H$3&amp;", *")</f>
        <v>0</v>
      </c>
      <c r="I98" s="2">
        <f>COUNTIFS(集計用!$G96,"*, "&amp;I$3&amp;", *")</f>
        <v>0</v>
      </c>
      <c r="J98" s="2">
        <f>COUNTIFS(集計用!$G96,"*, "&amp;J$3&amp;", *")</f>
        <v>0</v>
      </c>
      <c r="K98" s="2">
        <f>COUNTIFS(集計用!$G96,"*, "&amp;K$3&amp;", *")</f>
        <v>0</v>
      </c>
      <c r="L98" s="2">
        <f>COUNTIFS(集計用!$G96,"*, "&amp;L$3&amp;", *")</f>
        <v>0</v>
      </c>
      <c r="M98" s="2">
        <f>COUNTIFS(集計用!$G96,"*, "&amp;M$3&amp;", *")</f>
        <v>0</v>
      </c>
      <c r="N98" s="2">
        <f>COUNTIFS(集計用!$G96,"*, "&amp;N$3&amp;", *")</f>
        <v>0</v>
      </c>
      <c r="O98" s="2">
        <f>COUNTIFS(集計用!$G96,"*, "&amp;O$3&amp;", *")</f>
        <v>0</v>
      </c>
      <c r="P98" s="2">
        <f>COUNTIFS(集計用!$G96,"*, "&amp;P$3&amp;", *")</f>
        <v>0</v>
      </c>
      <c r="Q98" s="2">
        <f>COUNTIFS(集計用!$G96,"*, "&amp;Q$3&amp;", *")</f>
        <v>0</v>
      </c>
      <c r="R98" s="2">
        <f>COUNTIFS(集計用!$G96,"*, "&amp;R$3&amp;", *")</f>
        <v>0</v>
      </c>
      <c r="S98" s="2">
        <f>COUNTIFS(集計用!$G96,"*, "&amp;S$3&amp;", *")</f>
        <v>0</v>
      </c>
      <c r="T98" s="2">
        <f>COUNTIFS(集計用!$G96,"*, "&amp;T$3&amp;", *")</f>
        <v>0</v>
      </c>
      <c r="U98" s="2">
        <f>COUNTIFS(集計用!$G96,"*, "&amp;U$3&amp;", *")</f>
        <v>0</v>
      </c>
      <c r="V98" s="2">
        <f>COUNTIFS(集計用!$G96,"*, "&amp;V$3&amp;", *")</f>
        <v>0</v>
      </c>
      <c r="W98" s="2">
        <f>COUNTIFS(集計用!$G96,"*, "&amp;W$3&amp;", *")</f>
        <v>0</v>
      </c>
      <c r="X98" s="2">
        <f>COUNTIFS(集計用!$G96,"*, "&amp;X$3&amp;", *")</f>
        <v>0</v>
      </c>
      <c r="Y98" s="2">
        <f>COUNTIFS(集計用!$G96,"*, "&amp;Y$3&amp;", *")</f>
        <v>0</v>
      </c>
      <c r="Z98" s="2">
        <f>COUNTIFS(集計用!$G96,"*, "&amp;Z$3&amp;", *")</f>
        <v>1</v>
      </c>
      <c r="AA98" s="2">
        <f>COUNTIFS(集計用!$G96,"*, "&amp;AA$3&amp;", *")</f>
        <v>0</v>
      </c>
      <c r="AB98" s="2">
        <f>COUNTIFS(集計用!$G96,"*, "&amp;AB$3&amp;", *")</f>
        <v>0</v>
      </c>
      <c r="AC98" s="2">
        <f>COUNTIFS(集計用!$G96,"*, "&amp;AC$3&amp;", *")</f>
        <v>0</v>
      </c>
      <c r="AD98" s="2">
        <f>COUNTIFS(集計用!$G96,"*, "&amp;AD$3&amp;", *")</f>
        <v>0</v>
      </c>
      <c r="AE98" s="2">
        <f>COUNTIFS(集計用!$G96,"*, "&amp;AE$3&amp;", *")</f>
        <v>0</v>
      </c>
      <c r="AF98" s="2">
        <f>COUNTIFS(集計用!$G96,"*, "&amp;AF$3&amp;", *")</f>
        <v>0</v>
      </c>
      <c r="AG98" s="2">
        <f>COUNTIFS(集計用!$G96,"*, "&amp;AG$3&amp;", *")</f>
        <v>0</v>
      </c>
      <c r="AH98" s="2">
        <f>COUNTIFS(集計用!$G96,"*, "&amp;AH$3&amp;", *")</f>
        <v>0</v>
      </c>
      <c r="AI98" s="2">
        <f>COUNTIFS(集計用!$G96,"*, "&amp;AI$3&amp;", *")</f>
        <v>0</v>
      </c>
      <c r="AJ98" s="2">
        <f>COUNTIFS(集計用!$G96,"*, "&amp;AJ$3&amp;", *")</f>
        <v>0</v>
      </c>
      <c r="AK98" s="2">
        <f>COUNTIFS(集計用!$G96,"*, "&amp;AK$3&amp;", *")</f>
        <v>0</v>
      </c>
      <c r="AL98" s="2">
        <f>COUNTIFS(集計用!$G96,"*, "&amp;AL$3&amp;", *")</f>
        <v>0</v>
      </c>
      <c r="AM98" s="2">
        <f>COUNTIFS(集計用!$G96,"*, "&amp;AM$3&amp;", *")</f>
        <v>0</v>
      </c>
      <c r="AN98" s="2">
        <f>COUNTIFS(集計用!$G96,"*, "&amp;AN$3&amp;", *")</f>
        <v>0</v>
      </c>
      <c r="AO98" s="2">
        <f>COUNTIFS(集計用!$G96,"*, "&amp;AO$3&amp;", *")</f>
        <v>0</v>
      </c>
      <c r="AP98" s="2">
        <f>COUNTIFS(集計用!$G96,"*, "&amp;AP$3&amp;", *")</f>
        <v>0</v>
      </c>
      <c r="AQ98" s="2">
        <f>COUNTIFS(集計用!$G96,"*, "&amp;AQ$3&amp;", *")</f>
        <v>1</v>
      </c>
      <c r="AR98" s="2">
        <f>COUNTIFS(集計用!$G96,"*, "&amp;AR$3&amp;", *")</f>
        <v>0</v>
      </c>
      <c r="AS98" s="2">
        <f>COUNTIFS(集計用!$G96,"*, "&amp;AS$3&amp;", *")</f>
        <v>0</v>
      </c>
      <c r="AT98" s="2">
        <f>COUNTIFS(集計用!$G96,"*, "&amp;AT$3&amp;", *")</f>
        <v>0</v>
      </c>
      <c r="AU98" s="2">
        <f>COUNTIFS(集計用!$G96,"*, "&amp;AU$3&amp;", *")</f>
        <v>0</v>
      </c>
      <c r="AV98" s="2">
        <f>COUNTIFS(集計用!$G96,"*, "&amp;AV$3&amp;", *")</f>
        <v>0</v>
      </c>
      <c r="AW98" s="2">
        <f>COUNTIFS(集計用!$G96,"*, "&amp;AW$3&amp;", *")</f>
        <v>0</v>
      </c>
      <c r="AX98" s="2">
        <f>COUNTIFS(集計用!$G96,"*, "&amp;AX$3&amp;", *")</f>
        <v>0</v>
      </c>
      <c r="AY98" s="2">
        <f>COUNTIFS(集計用!$G96,"*, "&amp;AY$3&amp;", *")</f>
        <v>0</v>
      </c>
      <c r="AZ98" s="2">
        <f>COUNTIFS(集計用!$G96,"*, "&amp;AZ$3&amp;", *")</f>
        <v>0</v>
      </c>
      <c r="BA98" s="2">
        <f>COUNTIFS(集計用!$G96,"*, "&amp;BA$3&amp;", *")</f>
        <v>0</v>
      </c>
      <c r="BB98" s="2">
        <f>COUNTIFS(集計用!$G96,"*, "&amp;BB$3&amp;", *")</f>
        <v>0</v>
      </c>
      <c r="BC98" s="2">
        <f>COUNTIFS(集計用!$G96,"*, "&amp;BC$3&amp;", *")</f>
        <v>0</v>
      </c>
      <c r="BD98" s="2">
        <f>COUNTIFS(集計用!$G96,"*, "&amp;BD$3&amp;", *")</f>
        <v>0</v>
      </c>
      <c r="BE98" s="2">
        <f>COUNTIFS(集計用!$G96,"*, "&amp;BE$3&amp;", *")</f>
        <v>0</v>
      </c>
      <c r="BF98" s="2">
        <f>COUNTIFS(集計用!$G96,"*, "&amp;BF$3&amp;", *")</f>
        <v>0</v>
      </c>
      <c r="BG98" s="2">
        <f>COUNTIFS(集計用!$G96,"*, "&amp;BG$3&amp;", *")</f>
        <v>0</v>
      </c>
      <c r="BH98" s="2">
        <f>COUNTIFS(集計用!$G96,"*, "&amp;BH$3&amp;", *")</f>
        <v>0</v>
      </c>
      <c r="BI98" s="2">
        <f>COUNTIFS(集計用!$G96,"*, "&amp;BI$3&amp;", *")</f>
        <v>0</v>
      </c>
      <c r="BJ98" s="2">
        <f>LEN(集計用!H96)-LEN(SUBSTITUTE(集計用!H96,",",""))</f>
        <v>0</v>
      </c>
    </row>
    <row r="99" spans="1:62" ht="12.75">
      <c r="A99" s="8">
        <v>96</v>
      </c>
      <c r="C99" s="2">
        <f t="shared" si="2"/>
        <v>4</v>
      </c>
      <c r="D99" s="9"/>
      <c r="E99" s="2">
        <f>COUNTIFS(集計用!$G97,"*, "&amp;E$3&amp;", *")</f>
        <v>0</v>
      </c>
      <c r="F99" s="2">
        <f>COUNTIFS(集計用!$G97,"*, "&amp;F$3&amp;", *")</f>
        <v>0</v>
      </c>
      <c r="G99" s="2">
        <f>COUNTIFS(集計用!$G97,"*, "&amp;G$3&amp;", *")</f>
        <v>0</v>
      </c>
      <c r="H99" s="2">
        <f>COUNTIFS(集計用!$G97,"*, "&amp;H$3&amp;", *")</f>
        <v>0</v>
      </c>
      <c r="I99" s="2">
        <f>COUNTIFS(集計用!$G97,"*, "&amp;I$3&amp;", *")</f>
        <v>0</v>
      </c>
      <c r="J99" s="2">
        <f>COUNTIFS(集計用!$G97,"*, "&amp;J$3&amp;", *")</f>
        <v>0</v>
      </c>
      <c r="K99" s="2">
        <f>COUNTIFS(集計用!$G97,"*, "&amp;K$3&amp;", *")</f>
        <v>0</v>
      </c>
      <c r="L99" s="2">
        <f>COUNTIFS(集計用!$G97,"*, "&amp;L$3&amp;", *")</f>
        <v>0</v>
      </c>
      <c r="M99" s="2">
        <f>COUNTIFS(集計用!$G97,"*, "&amp;M$3&amp;", *")</f>
        <v>0</v>
      </c>
      <c r="N99" s="2">
        <f>COUNTIFS(集計用!$G97,"*, "&amp;N$3&amp;", *")</f>
        <v>0</v>
      </c>
      <c r="O99" s="2">
        <f>COUNTIFS(集計用!$G97,"*, "&amp;O$3&amp;", *")</f>
        <v>0</v>
      </c>
      <c r="P99" s="2">
        <f>COUNTIFS(集計用!$G97,"*, "&amp;P$3&amp;", *")</f>
        <v>0</v>
      </c>
      <c r="Q99" s="2">
        <f>COUNTIFS(集計用!$G97,"*, "&amp;Q$3&amp;", *")</f>
        <v>0</v>
      </c>
      <c r="R99" s="2">
        <f>COUNTIFS(集計用!$G97,"*, "&amp;R$3&amp;", *")</f>
        <v>0</v>
      </c>
      <c r="S99" s="2">
        <f>COUNTIFS(集計用!$G97,"*, "&amp;S$3&amp;", *")</f>
        <v>0</v>
      </c>
      <c r="T99" s="2">
        <f>COUNTIFS(集計用!$G97,"*, "&amp;T$3&amp;", *")</f>
        <v>0</v>
      </c>
      <c r="U99" s="2">
        <f>COUNTIFS(集計用!$G97,"*, "&amp;U$3&amp;", *")</f>
        <v>0</v>
      </c>
      <c r="V99" s="2">
        <f>COUNTIFS(集計用!$G97,"*, "&amp;V$3&amp;", *")</f>
        <v>1</v>
      </c>
      <c r="W99" s="2">
        <f>COUNTIFS(集計用!$G97,"*, "&amp;W$3&amp;", *")</f>
        <v>0</v>
      </c>
      <c r="X99" s="2">
        <f>COUNTIFS(集計用!$G97,"*, "&amp;X$3&amp;", *")</f>
        <v>1</v>
      </c>
      <c r="Y99" s="2">
        <f>COUNTIFS(集計用!$G97,"*, "&amp;Y$3&amp;", *")</f>
        <v>0</v>
      </c>
      <c r="Z99" s="2">
        <f>COUNTIFS(集計用!$G97,"*, "&amp;Z$3&amp;", *")</f>
        <v>0</v>
      </c>
      <c r="AA99" s="2">
        <f>COUNTIFS(集計用!$G97,"*, "&amp;AA$3&amp;", *")</f>
        <v>0</v>
      </c>
      <c r="AB99" s="2">
        <f>COUNTIFS(集計用!$G97,"*, "&amp;AB$3&amp;", *")</f>
        <v>0</v>
      </c>
      <c r="AC99" s="2">
        <f>COUNTIFS(集計用!$G97,"*, "&amp;AC$3&amp;", *")</f>
        <v>0</v>
      </c>
      <c r="AD99" s="2">
        <f>COUNTIFS(集計用!$G97,"*, "&amp;AD$3&amp;", *")</f>
        <v>0</v>
      </c>
      <c r="AE99" s="2">
        <f>COUNTIFS(集計用!$G97,"*, "&amp;AE$3&amp;", *")</f>
        <v>0</v>
      </c>
      <c r="AF99" s="2">
        <f>COUNTIFS(集計用!$G97,"*, "&amp;AF$3&amp;", *")</f>
        <v>0</v>
      </c>
      <c r="AG99" s="2">
        <f>COUNTIFS(集計用!$G97,"*, "&amp;AG$3&amp;", *")</f>
        <v>0</v>
      </c>
      <c r="AH99" s="2">
        <f>COUNTIFS(集計用!$G97,"*, "&amp;AH$3&amp;", *")</f>
        <v>0</v>
      </c>
      <c r="AI99" s="2">
        <f>COUNTIFS(集計用!$G97,"*, "&amp;AI$3&amp;", *")</f>
        <v>0</v>
      </c>
      <c r="AJ99" s="2">
        <f>COUNTIFS(集計用!$G97,"*, "&amp;AJ$3&amp;", *")</f>
        <v>0</v>
      </c>
      <c r="AK99" s="2">
        <f>COUNTIFS(集計用!$G97,"*, "&amp;AK$3&amp;", *")</f>
        <v>0</v>
      </c>
      <c r="AL99" s="2">
        <f>COUNTIFS(集計用!$G97,"*, "&amp;AL$3&amp;", *")</f>
        <v>0</v>
      </c>
      <c r="AM99" s="2">
        <f>COUNTIFS(集計用!$G97,"*, "&amp;AM$3&amp;", *")</f>
        <v>1</v>
      </c>
      <c r="AN99" s="2">
        <f>COUNTIFS(集計用!$G97,"*, "&amp;AN$3&amp;", *")</f>
        <v>1</v>
      </c>
      <c r="AO99" s="2">
        <f>COUNTIFS(集計用!$G97,"*, "&amp;AO$3&amp;", *")</f>
        <v>0</v>
      </c>
      <c r="AP99" s="2">
        <f>COUNTIFS(集計用!$G97,"*, "&amp;AP$3&amp;", *")</f>
        <v>0</v>
      </c>
      <c r="AQ99" s="2">
        <f>COUNTIFS(集計用!$G97,"*, "&amp;AQ$3&amp;", *")</f>
        <v>0</v>
      </c>
      <c r="AR99" s="2">
        <f>COUNTIFS(集計用!$G97,"*, "&amp;AR$3&amp;", *")</f>
        <v>0</v>
      </c>
      <c r="AS99" s="2">
        <f>COUNTIFS(集計用!$G97,"*, "&amp;AS$3&amp;", *")</f>
        <v>0</v>
      </c>
      <c r="AT99" s="2">
        <f>COUNTIFS(集計用!$G97,"*, "&amp;AT$3&amp;", *")</f>
        <v>0</v>
      </c>
      <c r="AU99" s="2">
        <f>COUNTIFS(集計用!$G97,"*, "&amp;AU$3&amp;", *")</f>
        <v>0</v>
      </c>
      <c r="AV99" s="2">
        <f>COUNTIFS(集計用!$G97,"*, "&amp;AV$3&amp;", *")</f>
        <v>0</v>
      </c>
      <c r="AW99" s="2">
        <f>COUNTIFS(集計用!$G97,"*, "&amp;AW$3&amp;", *")</f>
        <v>0</v>
      </c>
      <c r="AX99" s="2">
        <f>COUNTIFS(集計用!$G97,"*, "&amp;AX$3&amp;", *")</f>
        <v>0</v>
      </c>
      <c r="AY99" s="2">
        <f>COUNTIFS(集計用!$G97,"*, "&amp;AY$3&amp;", *")</f>
        <v>0</v>
      </c>
      <c r="AZ99" s="2">
        <f>COUNTIFS(集計用!$G97,"*, "&amp;AZ$3&amp;", *")</f>
        <v>0</v>
      </c>
      <c r="BA99" s="2">
        <f>COUNTIFS(集計用!$G97,"*, "&amp;BA$3&amp;", *")</f>
        <v>0</v>
      </c>
      <c r="BB99" s="2">
        <f>COUNTIFS(集計用!$G97,"*, "&amp;BB$3&amp;", *")</f>
        <v>0</v>
      </c>
      <c r="BC99" s="2">
        <f>COUNTIFS(集計用!$G97,"*, "&amp;BC$3&amp;", *")</f>
        <v>0</v>
      </c>
      <c r="BD99" s="2">
        <f>COUNTIFS(集計用!$G97,"*, "&amp;BD$3&amp;", *")</f>
        <v>0</v>
      </c>
      <c r="BE99" s="2">
        <f>COUNTIFS(集計用!$G97,"*, "&amp;BE$3&amp;", *")</f>
        <v>0</v>
      </c>
      <c r="BF99" s="2">
        <f>COUNTIFS(集計用!$G97,"*, "&amp;BF$3&amp;", *")</f>
        <v>0</v>
      </c>
      <c r="BG99" s="2">
        <f>COUNTIFS(集計用!$G97,"*, "&amp;BG$3&amp;", *")</f>
        <v>0</v>
      </c>
      <c r="BH99" s="2">
        <f>COUNTIFS(集計用!$G97,"*, "&amp;BH$3&amp;", *")</f>
        <v>0</v>
      </c>
      <c r="BI99" s="2">
        <f>COUNTIFS(集計用!$G97,"*, "&amp;BI$3&amp;", *")</f>
        <v>0</v>
      </c>
      <c r="BJ99" s="2">
        <f>LEN(集計用!H97)-LEN(SUBSTITUTE(集計用!H97,",",""))</f>
        <v>0</v>
      </c>
    </row>
    <row r="100" spans="1:62" ht="12.75">
      <c r="A100" s="8">
        <v>97</v>
      </c>
      <c r="C100" s="2">
        <f t="shared" si="2"/>
        <v>3</v>
      </c>
      <c r="D100" s="9"/>
      <c r="E100" s="2">
        <f>COUNTIFS(集計用!$G98,"*, "&amp;E$3&amp;", *")</f>
        <v>0</v>
      </c>
      <c r="F100" s="2">
        <f>COUNTIFS(集計用!$G98,"*, "&amp;F$3&amp;", *")</f>
        <v>0</v>
      </c>
      <c r="G100" s="2">
        <f>COUNTIFS(集計用!$G98,"*, "&amp;G$3&amp;", *")</f>
        <v>0</v>
      </c>
      <c r="H100" s="2">
        <f>COUNTIFS(集計用!$G98,"*, "&amp;H$3&amp;", *")</f>
        <v>0</v>
      </c>
      <c r="I100" s="2">
        <f>COUNTIFS(集計用!$G98,"*, "&amp;I$3&amp;", *")</f>
        <v>0</v>
      </c>
      <c r="J100" s="2">
        <f>COUNTIFS(集計用!$G98,"*, "&amp;J$3&amp;", *")</f>
        <v>1</v>
      </c>
      <c r="K100" s="2">
        <f>COUNTIFS(集計用!$G98,"*, "&amp;K$3&amp;", *")</f>
        <v>0</v>
      </c>
      <c r="L100" s="2">
        <f>COUNTIFS(集計用!$G98,"*, "&amp;L$3&amp;", *")</f>
        <v>0</v>
      </c>
      <c r="M100" s="2">
        <f>COUNTIFS(集計用!$G98,"*, "&amp;M$3&amp;", *")</f>
        <v>0</v>
      </c>
      <c r="N100" s="2">
        <f>COUNTIFS(集計用!$G98,"*, "&amp;N$3&amp;", *")</f>
        <v>0</v>
      </c>
      <c r="O100" s="2">
        <f>COUNTIFS(集計用!$G98,"*, "&amp;O$3&amp;", *")</f>
        <v>0</v>
      </c>
      <c r="P100" s="2">
        <f>COUNTIFS(集計用!$G98,"*, "&amp;P$3&amp;", *")</f>
        <v>0</v>
      </c>
      <c r="Q100" s="2">
        <f>COUNTIFS(集計用!$G98,"*, "&amp;Q$3&amp;", *")</f>
        <v>0</v>
      </c>
      <c r="R100" s="2">
        <f>COUNTIFS(集計用!$G98,"*, "&amp;R$3&amp;", *")</f>
        <v>0</v>
      </c>
      <c r="S100" s="2">
        <f>COUNTIFS(集計用!$G98,"*, "&amp;S$3&amp;", *")</f>
        <v>0</v>
      </c>
      <c r="T100" s="2">
        <f>COUNTIFS(集計用!$G98,"*, "&amp;T$3&amp;", *")</f>
        <v>0</v>
      </c>
      <c r="U100" s="2">
        <f>COUNTIFS(集計用!$G98,"*, "&amp;U$3&amp;", *")</f>
        <v>0</v>
      </c>
      <c r="V100" s="2">
        <f>COUNTIFS(集計用!$G98,"*, "&amp;V$3&amp;", *")</f>
        <v>0</v>
      </c>
      <c r="W100" s="2">
        <f>COUNTIFS(集計用!$G98,"*, "&amp;W$3&amp;", *")</f>
        <v>0</v>
      </c>
      <c r="X100" s="2">
        <f>COUNTIFS(集計用!$G98,"*, "&amp;X$3&amp;", *")</f>
        <v>0</v>
      </c>
      <c r="Y100" s="2">
        <f>COUNTIFS(集計用!$G98,"*, "&amp;Y$3&amp;", *")</f>
        <v>0</v>
      </c>
      <c r="Z100" s="2">
        <f>COUNTIFS(集計用!$G98,"*, "&amp;Z$3&amp;", *")</f>
        <v>1</v>
      </c>
      <c r="AA100" s="2">
        <f>COUNTIFS(集計用!$G98,"*, "&amp;AA$3&amp;", *")</f>
        <v>1</v>
      </c>
      <c r="AB100" s="2">
        <f>COUNTIFS(集計用!$G98,"*, "&amp;AB$3&amp;", *")</f>
        <v>0</v>
      </c>
      <c r="AC100" s="2">
        <f>COUNTIFS(集計用!$G98,"*, "&amp;AC$3&amp;", *")</f>
        <v>0</v>
      </c>
      <c r="AD100" s="2">
        <f>COUNTIFS(集計用!$G98,"*, "&amp;AD$3&amp;", *")</f>
        <v>0</v>
      </c>
      <c r="AE100" s="2">
        <f>COUNTIFS(集計用!$G98,"*, "&amp;AE$3&amp;", *")</f>
        <v>0</v>
      </c>
      <c r="AF100" s="2">
        <f>COUNTIFS(集計用!$G98,"*, "&amp;AF$3&amp;", *")</f>
        <v>0</v>
      </c>
      <c r="AG100" s="2">
        <f>COUNTIFS(集計用!$G98,"*, "&amp;AG$3&amp;", *")</f>
        <v>0</v>
      </c>
      <c r="AH100" s="2">
        <f>COUNTIFS(集計用!$G98,"*, "&amp;AH$3&amp;", *")</f>
        <v>0</v>
      </c>
      <c r="AI100" s="2">
        <f>COUNTIFS(集計用!$G98,"*, "&amp;AI$3&amp;", *")</f>
        <v>0</v>
      </c>
      <c r="AJ100" s="2">
        <f>COUNTIFS(集計用!$G98,"*, "&amp;AJ$3&amp;", *")</f>
        <v>0</v>
      </c>
      <c r="AK100" s="2">
        <f>COUNTIFS(集計用!$G98,"*, "&amp;AK$3&amp;", *")</f>
        <v>0</v>
      </c>
      <c r="AL100" s="2">
        <f>COUNTIFS(集計用!$G98,"*, "&amp;AL$3&amp;", *")</f>
        <v>0</v>
      </c>
      <c r="AM100" s="2">
        <f>COUNTIFS(集計用!$G98,"*, "&amp;AM$3&amp;", *")</f>
        <v>0</v>
      </c>
      <c r="AN100" s="2">
        <f>COUNTIFS(集計用!$G98,"*, "&amp;AN$3&amp;", *")</f>
        <v>0</v>
      </c>
      <c r="AO100" s="2">
        <f>COUNTIFS(集計用!$G98,"*, "&amp;AO$3&amp;", *")</f>
        <v>0</v>
      </c>
      <c r="AP100" s="2">
        <f>COUNTIFS(集計用!$G98,"*, "&amp;AP$3&amp;", *")</f>
        <v>0</v>
      </c>
      <c r="AQ100" s="2">
        <f>COUNTIFS(集計用!$G98,"*, "&amp;AQ$3&amp;", *")</f>
        <v>0</v>
      </c>
      <c r="AR100" s="2">
        <f>COUNTIFS(集計用!$G98,"*, "&amp;AR$3&amp;", *")</f>
        <v>0</v>
      </c>
      <c r="AS100" s="2">
        <f>COUNTIFS(集計用!$G98,"*, "&amp;AS$3&amp;", *")</f>
        <v>0</v>
      </c>
      <c r="AT100" s="2">
        <f>COUNTIFS(集計用!$G98,"*, "&amp;AT$3&amp;", *")</f>
        <v>0</v>
      </c>
      <c r="AU100" s="2">
        <f>COUNTIFS(集計用!$G98,"*, "&amp;AU$3&amp;", *")</f>
        <v>0</v>
      </c>
      <c r="AV100" s="2">
        <f>COUNTIFS(集計用!$G98,"*, "&amp;AV$3&amp;", *")</f>
        <v>0</v>
      </c>
      <c r="AW100" s="2">
        <f>COUNTIFS(集計用!$G98,"*, "&amp;AW$3&amp;", *")</f>
        <v>0</v>
      </c>
      <c r="AX100" s="2">
        <f>COUNTIFS(集計用!$G98,"*, "&amp;AX$3&amp;", *")</f>
        <v>0</v>
      </c>
      <c r="AY100" s="2">
        <f>COUNTIFS(集計用!$G98,"*, "&amp;AY$3&amp;", *")</f>
        <v>0</v>
      </c>
      <c r="AZ100" s="2">
        <f>COUNTIFS(集計用!$G98,"*, "&amp;AZ$3&amp;", *")</f>
        <v>0</v>
      </c>
      <c r="BA100" s="2">
        <f>COUNTIFS(集計用!$G98,"*, "&amp;BA$3&amp;", *")</f>
        <v>0</v>
      </c>
      <c r="BB100" s="2">
        <f>COUNTIFS(集計用!$G98,"*, "&amp;BB$3&amp;", *")</f>
        <v>0</v>
      </c>
      <c r="BC100" s="2">
        <f>COUNTIFS(集計用!$G98,"*, "&amp;BC$3&amp;", *")</f>
        <v>0</v>
      </c>
      <c r="BD100" s="2">
        <f>COUNTIFS(集計用!$G98,"*, "&amp;BD$3&amp;", *")</f>
        <v>0</v>
      </c>
      <c r="BE100" s="2">
        <f>COUNTIFS(集計用!$G98,"*, "&amp;BE$3&amp;", *")</f>
        <v>0</v>
      </c>
      <c r="BF100" s="2">
        <f>COUNTIFS(集計用!$G98,"*, "&amp;BF$3&amp;", *")</f>
        <v>0</v>
      </c>
      <c r="BG100" s="2">
        <f>COUNTIFS(集計用!$G98,"*, "&amp;BG$3&amp;", *")</f>
        <v>0</v>
      </c>
      <c r="BH100" s="2">
        <f>COUNTIFS(集計用!$G98,"*, "&amp;BH$3&amp;", *")</f>
        <v>0</v>
      </c>
      <c r="BI100" s="2">
        <f>COUNTIFS(集計用!$G98,"*, "&amp;BI$3&amp;", *")</f>
        <v>0</v>
      </c>
      <c r="BJ100" s="2">
        <f>LEN(集計用!H98)-LEN(SUBSTITUTE(集計用!H98,",",""))</f>
        <v>0</v>
      </c>
    </row>
    <row r="101" spans="1:62" ht="12.75">
      <c r="A101" s="8">
        <v>98</v>
      </c>
      <c r="C101" s="2">
        <f t="shared" si="2"/>
        <v>3</v>
      </c>
      <c r="D101" s="9"/>
      <c r="E101" s="2">
        <f>COUNTIFS(集計用!$G99,"*, "&amp;E$3&amp;", *")</f>
        <v>0</v>
      </c>
      <c r="F101" s="2">
        <f>COUNTIFS(集計用!$G99,"*, "&amp;F$3&amp;", *")</f>
        <v>0</v>
      </c>
      <c r="G101" s="2">
        <f>COUNTIFS(集計用!$G99,"*, "&amp;G$3&amp;", *")</f>
        <v>0</v>
      </c>
      <c r="H101" s="2">
        <f>COUNTIFS(集計用!$G99,"*, "&amp;H$3&amp;", *")</f>
        <v>0</v>
      </c>
      <c r="I101" s="2">
        <f>COUNTIFS(集計用!$G99,"*, "&amp;I$3&amp;", *")</f>
        <v>0</v>
      </c>
      <c r="J101" s="2">
        <f>COUNTIFS(集計用!$G99,"*, "&amp;J$3&amp;", *")</f>
        <v>0</v>
      </c>
      <c r="K101" s="2">
        <f>COUNTIFS(集計用!$G99,"*, "&amp;K$3&amp;", *")</f>
        <v>0</v>
      </c>
      <c r="L101" s="2">
        <f>COUNTIFS(集計用!$G99,"*, "&amp;L$3&amp;", *")</f>
        <v>1</v>
      </c>
      <c r="M101" s="2">
        <f>COUNTIFS(集計用!$G99,"*, "&amp;M$3&amp;", *")</f>
        <v>0</v>
      </c>
      <c r="N101" s="2">
        <f>COUNTIFS(集計用!$G99,"*, "&amp;N$3&amp;", *")</f>
        <v>0</v>
      </c>
      <c r="O101" s="2">
        <f>COUNTIFS(集計用!$G99,"*, "&amp;O$3&amp;", *")</f>
        <v>0</v>
      </c>
      <c r="P101" s="2">
        <f>COUNTIFS(集計用!$G99,"*, "&amp;P$3&amp;", *")</f>
        <v>0</v>
      </c>
      <c r="Q101" s="2">
        <f>COUNTIFS(集計用!$G99,"*, "&amp;Q$3&amp;", *")</f>
        <v>0</v>
      </c>
      <c r="R101" s="2">
        <f>COUNTIFS(集計用!$G99,"*, "&amp;R$3&amp;", *")</f>
        <v>0</v>
      </c>
      <c r="S101" s="2">
        <f>COUNTIFS(集計用!$G99,"*, "&amp;S$3&amp;", *")</f>
        <v>0</v>
      </c>
      <c r="T101" s="2">
        <f>COUNTIFS(集計用!$G99,"*, "&amp;T$3&amp;", *")</f>
        <v>0</v>
      </c>
      <c r="U101" s="2">
        <f>COUNTIFS(集計用!$G99,"*, "&amp;U$3&amp;", *")</f>
        <v>0</v>
      </c>
      <c r="V101" s="2">
        <f>COUNTIFS(集計用!$G99,"*, "&amp;V$3&amp;", *")</f>
        <v>0</v>
      </c>
      <c r="W101" s="2">
        <f>COUNTIFS(集計用!$G99,"*, "&amp;W$3&amp;", *")</f>
        <v>0</v>
      </c>
      <c r="X101" s="2">
        <f>COUNTIFS(集計用!$G99,"*, "&amp;X$3&amp;", *")</f>
        <v>0</v>
      </c>
      <c r="Y101" s="2">
        <f>COUNTIFS(集計用!$G99,"*, "&amp;Y$3&amp;", *")</f>
        <v>0</v>
      </c>
      <c r="Z101" s="2">
        <f>COUNTIFS(集計用!$G99,"*, "&amp;Z$3&amp;", *")</f>
        <v>0</v>
      </c>
      <c r="AA101" s="2">
        <f>COUNTIFS(集計用!$G99,"*, "&amp;AA$3&amp;", *")</f>
        <v>0</v>
      </c>
      <c r="AB101" s="2">
        <f>COUNTIFS(集計用!$G99,"*, "&amp;AB$3&amp;", *")</f>
        <v>0</v>
      </c>
      <c r="AC101" s="2">
        <f>COUNTIFS(集計用!$G99,"*, "&amp;AC$3&amp;", *")</f>
        <v>0</v>
      </c>
      <c r="AD101" s="2">
        <f>COUNTIFS(集計用!$G99,"*, "&amp;AD$3&amp;", *")</f>
        <v>0</v>
      </c>
      <c r="AE101" s="2">
        <f>COUNTIFS(集計用!$G99,"*, "&amp;AE$3&amp;", *")</f>
        <v>0</v>
      </c>
      <c r="AF101" s="2">
        <f>COUNTIFS(集計用!$G99,"*, "&amp;AF$3&amp;", *")</f>
        <v>0</v>
      </c>
      <c r="AG101" s="2">
        <f>COUNTIFS(集計用!$G99,"*, "&amp;AG$3&amp;", *")</f>
        <v>0</v>
      </c>
      <c r="AH101" s="2">
        <f>COUNTIFS(集計用!$G99,"*, "&amp;AH$3&amp;", *")</f>
        <v>0</v>
      </c>
      <c r="AI101" s="2">
        <f>COUNTIFS(集計用!$G99,"*, "&amp;AI$3&amp;", *")</f>
        <v>0</v>
      </c>
      <c r="AJ101" s="2">
        <f>COUNTIFS(集計用!$G99,"*, "&amp;AJ$3&amp;", *")</f>
        <v>0</v>
      </c>
      <c r="AK101" s="2">
        <f>COUNTIFS(集計用!$G99,"*, "&amp;AK$3&amp;", *")</f>
        <v>0</v>
      </c>
      <c r="AL101" s="2">
        <f>COUNTIFS(集計用!$G99,"*, "&amp;AL$3&amp;", *")</f>
        <v>0</v>
      </c>
      <c r="AM101" s="2">
        <f>COUNTIFS(集計用!$G99,"*, "&amp;AM$3&amp;", *")</f>
        <v>0</v>
      </c>
      <c r="AN101" s="2">
        <f>COUNTIFS(集計用!$G99,"*, "&amp;AN$3&amp;", *")</f>
        <v>0</v>
      </c>
      <c r="AO101" s="2">
        <f>COUNTIFS(集計用!$G99,"*, "&amp;AO$3&amp;", *")</f>
        <v>0</v>
      </c>
      <c r="AP101" s="2">
        <f>COUNTIFS(集計用!$G99,"*, "&amp;AP$3&amp;", *")</f>
        <v>0</v>
      </c>
      <c r="AQ101" s="2">
        <f>COUNTIFS(集計用!$G99,"*, "&amp;AQ$3&amp;", *")</f>
        <v>0</v>
      </c>
      <c r="AR101" s="2">
        <f>COUNTIFS(集計用!$G99,"*, "&amp;AR$3&amp;", *")</f>
        <v>0</v>
      </c>
      <c r="AS101" s="2">
        <f>COUNTIFS(集計用!$G99,"*, "&amp;AS$3&amp;", *")</f>
        <v>0</v>
      </c>
      <c r="AT101" s="2">
        <f>COUNTIFS(集計用!$G99,"*, "&amp;AT$3&amp;", *")</f>
        <v>0</v>
      </c>
      <c r="AU101" s="2">
        <f>COUNTIFS(集計用!$G99,"*, "&amp;AU$3&amp;", *")</f>
        <v>0</v>
      </c>
      <c r="AV101" s="2">
        <f>COUNTIFS(集計用!$G99,"*, "&amp;AV$3&amp;", *")</f>
        <v>0</v>
      </c>
      <c r="AW101" s="2">
        <f>COUNTIFS(集計用!$G99,"*, "&amp;AW$3&amp;", *")</f>
        <v>0</v>
      </c>
      <c r="AX101" s="2">
        <f>COUNTIFS(集計用!$G99,"*, "&amp;AX$3&amp;", *")</f>
        <v>0</v>
      </c>
      <c r="AY101" s="2">
        <f>COUNTIFS(集計用!$G99,"*, "&amp;AY$3&amp;", *")</f>
        <v>0</v>
      </c>
      <c r="AZ101" s="2">
        <f>COUNTIFS(集計用!$G99,"*, "&amp;AZ$3&amp;", *")</f>
        <v>0</v>
      </c>
      <c r="BA101" s="2">
        <f>COUNTIFS(集計用!$G99,"*, "&amp;BA$3&amp;", *")</f>
        <v>0</v>
      </c>
      <c r="BB101" s="2">
        <f>COUNTIFS(集計用!$G99,"*, "&amp;BB$3&amp;", *")</f>
        <v>0</v>
      </c>
      <c r="BC101" s="2">
        <f>COUNTIFS(集計用!$G99,"*, "&amp;BC$3&amp;", *")</f>
        <v>0</v>
      </c>
      <c r="BD101" s="2">
        <f>COUNTIFS(集計用!$G99,"*, "&amp;BD$3&amp;", *")</f>
        <v>1</v>
      </c>
      <c r="BE101" s="2">
        <f>COUNTIFS(集計用!$G99,"*, "&amp;BE$3&amp;", *")</f>
        <v>0</v>
      </c>
      <c r="BF101" s="2">
        <f>COUNTIFS(集計用!$G99,"*, "&amp;BF$3&amp;", *")</f>
        <v>0</v>
      </c>
      <c r="BG101" s="2">
        <f>COUNTIFS(集計用!$G99,"*, "&amp;BG$3&amp;", *")</f>
        <v>0</v>
      </c>
      <c r="BH101" s="2">
        <f>COUNTIFS(集計用!$G99,"*, "&amp;BH$3&amp;", *")</f>
        <v>0</v>
      </c>
      <c r="BI101" s="2">
        <f>COUNTIFS(集計用!$G99,"*, "&amp;BI$3&amp;", *")</f>
        <v>0</v>
      </c>
      <c r="BJ101" s="2">
        <f>LEN(集計用!H99)-LEN(SUBSTITUTE(集計用!H99,",",""))</f>
        <v>1</v>
      </c>
    </row>
    <row r="102" spans="1:62" ht="12.75">
      <c r="A102" s="8">
        <v>99</v>
      </c>
      <c r="C102" s="2">
        <f t="shared" si="2"/>
        <v>2</v>
      </c>
      <c r="D102" s="9"/>
      <c r="E102" s="2">
        <f>COUNTIFS(集計用!$G100,"*, "&amp;E$3&amp;", *")</f>
        <v>0</v>
      </c>
      <c r="F102" s="2">
        <f>COUNTIFS(集計用!$G100,"*, "&amp;F$3&amp;", *")</f>
        <v>0</v>
      </c>
      <c r="G102" s="2">
        <f>COUNTIFS(集計用!$G100,"*, "&amp;G$3&amp;", *")</f>
        <v>1</v>
      </c>
      <c r="H102" s="2">
        <f>COUNTIFS(集計用!$G100,"*, "&amp;H$3&amp;", *")</f>
        <v>1</v>
      </c>
      <c r="I102" s="2">
        <f>COUNTIFS(集計用!$G100,"*, "&amp;I$3&amp;", *")</f>
        <v>0</v>
      </c>
      <c r="J102" s="2">
        <f>COUNTIFS(集計用!$G100,"*, "&amp;J$3&amp;", *")</f>
        <v>0</v>
      </c>
      <c r="K102" s="2">
        <f>COUNTIFS(集計用!$G100,"*, "&amp;K$3&amp;", *")</f>
        <v>0</v>
      </c>
      <c r="L102" s="2">
        <f>COUNTIFS(集計用!$G100,"*, "&amp;L$3&amp;", *")</f>
        <v>0</v>
      </c>
      <c r="M102" s="2">
        <f>COUNTIFS(集計用!$G100,"*, "&amp;M$3&amp;", *")</f>
        <v>0</v>
      </c>
      <c r="N102" s="2">
        <f>COUNTIFS(集計用!$G100,"*, "&amp;N$3&amp;", *")</f>
        <v>0</v>
      </c>
      <c r="O102" s="2">
        <f>COUNTIFS(集計用!$G100,"*, "&amp;O$3&amp;", *")</f>
        <v>0</v>
      </c>
      <c r="P102" s="2">
        <f>COUNTIFS(集計用!$G100,"*, "&amp;P$3&amp;", *")</f>
        <v>0</v>
      </c>
      <c r="Q102" s="2">
        <f>COUNTIFS(集計用!$G100,"*, "&amp;Q$3&amp;", *")</f>
        <v>0</v>
      </c>
      <c r="R102" s="2">
        <f>COUNTIFS(集計用!$G100,"*, "&amp;R$3&amp;", *")</f>
        <v>0</v>
      </c>
      <c r="S102" s="2">
        <f>COUNTIFS(集計用!$G100,"*, "&amp;S$3&amp;", *")</f>
        <v>0</v>
      </c>
      <c r="T102" s="2">
        <f>COUNTIFS(集計用!$G100,"*, "&amp;T$3&amp;", *")</f>
        <v>0</v>
      </c>
      <c r="U102" s="2">
        <f>COUNTIFS(集計用!$G100,"*, "&amp;U$3&amp;", *")</f>
        <v>0</v>
      </c>
      <c r="V102" s="2">
        <f>COUNTIFS(集計用!$G100,"*, "&amp;V$3&amp;", *")</f>
        <v>0</v>
      </c>
      <c r="W102" s="2">
        <f>COUNTIFS(集計用!$G100,"*, "&amp;W$3&amp;", *")</f>
        <v>0</v>
      </c>
      <c r="X102" s="2">
        <f>COUNTIFS(集計用!$G100,"*, "&amp;X$3&amp;", *")</f>
        <v>0</v>
      </c>
      <c r="Y102" s="2">
        <f>COUNTIFS(集計用!$G100,"*, "&amp;Y$3&amp;", *")</f>
        <v>0</v>
      </c>
      <c r="Z102" s="2">
        <f>COUNTIFS(集計用!$G100,"*, "&amp;Z$3&amp;", *")</f>
        <v>0</v>
      </c>
      <c r="AA102" s="2">
        <f>COUNTIFS(集計用!$G100,"*, "&amp;AA$3&amp;", *")</f>
        <v>0</v>
      </c>
      <c r="AB102" s="2">
        <f>COUNTIFS(集計用!$G100,"*, "&amp;AB$3&amp;", *")</f>
        <v>0</v>
      </c>
      <c r="AC102" s="2">
        <f>COUNTIFS(集計用!$G100,"*, "&amp;AC$3&amp;", *")</f>
        <v>0</v>
      </c>
      <c r="AD102" s="2">
        <f>COUNTIFS(集計用!$G100,"*, "&amp;AD$3&amp;", *")</f>
        <v>0</v>
      </c>
      <c r="AE102" s="2">
        <f>COUNTIFS(集計用!$G100,"*, "&amp;AE$3&amp;", *")</f>
        <v>0</v>
      </c>
      <c r="AF102" s="2">
        <f>COUNTIFS(集計用!$G100,"*, "&amp;AF$3&amp;", *")</f>
        <v>0</v>
      </c>
      <c r="AG102" s="2">
        <f>COUNTIFS(集計用!$G100,"*, "&amp;AG$3&amp;", *")</f>
        <v>0</v>
      </c>
      <c r="AH102" s="2">
        <f>COUNTIFS(集計用!$G100,"*, "&amp;AH$3&amp;", *")</f>
        <v>0</v>
      </c>
      <c r="AI102" s="2">
        <f>COUNTIFS(集計用!$G100,"*, "&amp;AI$3&amp;", *")</f>
        <v>0</v>
      </c>
      <c r="AJ102" s="2">
        <f>COUNTIFS(集計用!$G100,"*, "&amp;AJ$3&amp;", *")</f>
        <v>0</v>
      </c>
      <c r="AK102" s="2">
        <f>COUNTIFS(集計用!$G100,"*, "&amp;AK$3&amp;", *")</f>
        <v>0</v>
      </c>
      <c r="AL102" s="2">
        <f>COUNTIFS(集計用!$G100,"*, "&amp;AL$3&amp;", *")</f>
        <v>0</v>
      </c>
      <c r="AM102" s="2">
        <f>COUNTIFS(集計用!$G100,"*, "&amp;AM$3&amp;", *")</f>
        <v>0</v>
      </c>
      <c r="AN102" s="2">
        <f>COUNTIFS(集計用!$G100,"*, "&amp;AN$3&amp;", *")</f>
        <v>0</v>
      </c>
      <c r="AO102" s="2">
        <f>COUNTIFS(集計用!$G100,"*, "&amp;AO$3&amp;", *")</f>
        <v>0</v>
      </c>
      <c r="AP102" s="2">
        <f>COUNTIFS(集計用!$G100,"*, "&amp;AP$3&amp;", *")</f>
        <v>0</v>
      </c>
      <c r="AQ102" s="2">
        <f>COUNTIFS(集計用!$G100,"*, "&amp;AQ$3&amp;", *")</f>
        <v>0</v>
      </c>
      <c r="AR102" s="2">
        <f>COUNTIFS(集計用!$G100,"*, "&amp;AR$3&amp;", *")</f>
        <v>0</v>
      </c>
      <c r="AS102" s="2">
        <f>COUNTIFS(集計用!$G100,"*, "&amp;AS$3&amp;", *")</f>
        <v>0</v>
      </c>
      <c r="AT102" s="2">
        <f>COUNTIFS(集計用!$G100,"*, "&amp;AT$3&amp;", *")</f>
        <v>0</v>
      </c>
      <c r="AU102" s="2">
        <f>COUNTIFS(集計用!$G100,"*, "&amp;AU$3&amp;", *")</f>
        <v>0</v>
      </c>
      <c r="AV102" s="2">
        <f>COUNTIFS(集計用!$G100,"*, "&amp;AV$3&amp;", *")</f>
        <v>0</v>
      </c>
      <c r="AW102" s="2">
        <f>COUNTIFS(集計用!$G100,"*, "&amp;AW$3&amp;", *")</f>
        <v>0</v>
      </c>
      <c r="AX102" s="2">
        <f>COUNTIFS(集計用!$G100,"*, "&amp;AX$3&amp;", *")</f>
        <v>0</v>
      </c>
      <c r="AY102" s="2">
        <f>COUNTIFS(集計用!$G100,"*, "&amp;AY$3&amp;", *")</f>
        <v>0</v>
      </c>
      <c r="AZ102" s="2">
        <f>COUNTIFS(集計用!$G100,"*, "&amp;AZ$3&amp;", *")</f>
        <v>0</v>
      </c>
      <c r="BA102" s="2">
        <f>COUNTIFS(集計用!$G100,"*, "&amp;BA$3&amp;", *")</f>
        <v>0</v>
      </c>
      <c r="BB102" s="2">
        <f>COUNTIFS(集計用!$G100,"*, "&amp;BB$3&amp;", *")</f>
        <v>0</v>
      </c>
      <c r="BC102" s="2">
        <f>COUNTIFS(集計用!$G100,"*, "&amp;BC$3&amp;", *")</f>
        <v>0</v>
      </c>
      <c r="BD102" s="2">
        <f>COUNTIFS(集計用!$G100,"*, "&amp;BD$3&amp;", *")</f>
        <v>0</v>
      </c>
      <c r="BE102" s="2">
        <f>COUNTIFS(集計用!$G100,"*, "&amp;BE$3&amp;", *")</f>
        <v>0</v>
      </c>
      <c r="BF102" s="2">
        <f>COUNTIFS(集計用!$G100,"*, "&amp;BF$3&amp;", *")</f>
        <v>0</v>
      </c>
      <c r="BG102" s="2">
        <f>COUNTIFS(集計用!$G100,"*, "&amp;BG$3&amp;", *")</f>
        <v>0</v>
      </c>
      <c r="BH102" s="2">
        <f>COUNTIFS(集計用!$G100,"*, "&amp;BH$3&amp;", *")</f>
        <v>0</v>
      </c>
      <c r="BI102" s="2">
        <f>COUNTIFS(集計用!$G100,"*, "&amp;BI$3&amp;", *")</f>
        <v>0</v>
      </c>
      <c r="BJ102" s="2">
        <f>LEN(集計用!H100)-LEN(SUBSTITUTE(集計用!H100,",",""))</f>
        <v>0</v>
      </c>
    </row>
    <row r="103" spans="1:62" ht="12.75">
      <c r="A103" s="8">
        <v>100</v>
      </c>
      <c r="C103" s="2">
        <f t="shared" si="2"/>
        <v>16</v>
      </c>
      <c r="D103" s="9"/>
      <c r="E103" s="2">
        <f>COUNTIFS(集計用!$G101,"*, "&amp;E$3&amp;", *")</f>
        <v>1</v>
      </c>
      <c r="F103" s="2">
        <f>COUNTIFS(集計用!$G101,"*, "&amp;F$3&amp;", *")</f>
        <v>0</v>
      </c>
      <c r="G103" s="2">
        <f>COUNTIFS(集計用!$G101,"*, "&amp;G$3&amp;", *")</f>
        <v>1</v>
      </c>
      <c r="H103" s="2">
        <f>COUNTIFS(集計用!$G101,"*, "&amp;H$3&amp;", *")</f>
        <v>1</v>
      </c>
      <c r="I103" s="2">
        <f>COUNTIFS(集計用!$G101,"*, "&amp;I$3&amp;", *")</f>
        <v>0</v>
      </c>
      <c r="J103" s="2">
        <f>COUNTIFS(集計用!$G101,"*, "&amp;J$3&amp;", *")</f>
        <v>1</v>
      </c>
      <c r="K103" s="2">
        <f>COUNTIFS(集計用!$G101,"*, "&amp;K$3&amp;", *")</f>
        <v>0</v>
      </c>
      <c r="L103" s="2">
        <f>COUNTIFS(集計用!$G101,"*, "&amp;L$3&amp;", *")</f>
        <v>1</v>
      </c>
      <c r="M103" s="2">
        <f>COUNTIFS(集計用!$G101,"*, "&amp;M$3&amp;", *")</f>
        <v>0</v>
      </c>
      <c r="N103" s="2">
        <f>COUNTIFS(集計用!$G101,"*, "&amp;N$3&amp;", *")</f>
        <v>1</v>
      </c>
      <c r="O103" s="2">
        <f>COUNTIFS(集計用!$G101,"*, "&amp;O$3&amp;", *")</f>
        <v>0</v>
      </c>
      <c r="P103" s="2">
        <f>COUNTIFS(集計用!$G101,"*, "&amp;P$3&amp;", *")</f>
        <v>1</v>
      </c>
      <c r="Q103" s="2">
        <f>COUNTIFS(集計用!$G101,"*, "&amp;Q$3&amp;", *")</f>
        <v>1</v>
      </c>
      <c r="R103" s="2">
        <f>COUNTIFS(集計用!$G101,"*, "&amp;R$3&amp;", *")</f>
        <v>0</v>
      </c>
      <c r="S103" s="2">
        <f>COUNTIFS(集計用!$G101,"*, "&amp;S$3&amp;", *")</f>
        <v>1</v>
      </c>
      <c r="T103" s="2">
        <f>COUNTIFS(集計用!$G101,"*, "&amp;T$3&amp;", *")</f>
        <v>0</v>
      </c>
      <c r="U103" s="2">
        <f>COUNTIFS(集計用!$G101,"*, "&amp;U$3&amp;", *")</f>
        <v>0</v>
      </c>
      <c r="V103" s="2">
        <f>COUNTIFS(集計用!$G101,"*, "&amp;V$3&amp;", *")</f>
        <v>0</v>
      </c>
      <c r="W103" s="2">
        <f>COUNTIFS(集計用!$G101,"*, "&amp;W$3&amp;", *")</f>
        <v>0</v>
      </c>
      <c r="X103" s="2">
        <f>COUNTIFS(集計用!$G101,"*, "&amp;X$3&amp;", *")</f>
        <v>0</v>
      </c>
      <c r="Y103" s="2">
        <f>COUNTIFS(集計用!$G101,"*, "&amp;Y$3&amp;", *")</f>
        <v>1</v>
      </c>
      <c r="Z103" s="2">
        <f>COUNTIFS(集計用!$G101,"*, "&amp;Z$3&amp;", *")</f>
        <v>0</v>
      </c>
      <c r="AA103" s="2">
        <f>COUNTIFS(集計用!$G101,"*, "&amp;AA$3&amp;", *")</f>
        <v>0</v>
      </c>
      <c r="AB103" s="2">
        <f>COUNTIFS(集計用!$G101,"*, "&amp;AB$3&amp;", *")</f>
        <v>0</v>
      </c>
      <c r="AC103" s="2">
        <f>COUNTIFS(集計用!$G101,"*, "&amp;AC$3&amp;", *")</f>
        <v>0</v>
      </c>
      <c r="AD103" s="2">
        <f>COUNTIFS(集計用!$G101,"*, "&amp;AD$3&amp;", *")</f>
        <v>0</v>
      </c>
      <c r="AE103" s="2">
        <f>COUNTIFS(集計用!$G101,"*, "&amp;AE$3&amp;", *")</f>
        <v>0</v>
      </c>
      <c r="AF103" s="2">
        <f>COUNTIFS(集計用!$G101,"*, "&amp;AF$3&amp;", *")</f>
        <v>1</v>
      </c>
      <c r="AG103" s="2">
        <f>COUNTIFS(集計用!$G101,"*, "&amp;AG$3&amp;", *")</f>
        <v>0</v>
      </c>
      <c r="AH103" s="2">
        <f>COUNTIFS(集計用!$G101,"*, "&amp;AH$3&amp;", *")</f>
        <v>0</v>
      </c>
      <c r="AI103" s="2">
        <f>COUNTIFS(集計用!$G101,"*, "&amp;AI$3&amp;", *")</f>
        <v>0</v>
      </c>
      <c r="AJ103" s="2">
        <f>COUNTIFS(集計用!$G101,"*, "&amp;AJ$3&amp;", *")</f>
        <v>1</v>
      </c>
      <c r="AK103" s="2">
        <f>COUNTIFS(集計用!$G101,"*, "&amp;AK$3&amp;", *")</f>
        <v>1</v>
      </c>
      <c r="AL103" s="2">
        <f>COUNTIFS(集計用!$G101,"*, "&amp;AL$3&amp;", *")</f>
        <v>1</v>
      </c>
      <c r="AM103" s="2">
        <f>COUNTIFS(集計用!$G101,"*, "&amp;AM$3&amp;", *")</f>
        <v>0</v>
      </c>
      <c r="AN103" s="2">
        <f>COUNTIFS(集計用!$G101,"*, "&amp;AN$3&amp;", *")</f>
        <v>0</v>
      </c>
      <c r="AO103" s="2">
        <f>COUNTIFS(集計用!$G101,"*, "&amp;AO$3&amp;", *")</f>
        <v>1</v>
      </c>
      <c r="AP103" s="2">
        <f>COUNTIFS(集計用!$G101,"*, "&amp;AP$3&amp;", *")</f>
        <v>0</v>
      </c>
      <c r="AQ103" s="2">
        <f>COUNTIFS(集計用!$G101,"*, "&amp;AQ$3&amp;", *")</f>
        <v>0</v>
      </c>
      <c r="AR103" s="2">
        <f>COUNTIFS(集計用!$G101,"*, "&amp;AR$3&amp;", *")</f>
        <v>0</v>
      </c>
      <c r="AS103" s="2">
        <f>COUNTIFS(集計用!$G101,"*, "&amp;AS$3&amp;", *")</f>
        <v>0</v>
      </c>
      <c r="AT103" s="2">
        <f>COUNTIFS(集計用!$G101,"*, "&amp;AT$3&amp;", *")</f>
        <v>0</v>
      </c>
      <c r="AU103" s="2">
        <f>COUNTIFS(集計用!$G101,"*, "&amp;AU$3&amp;", *")</f>
        <v>0</v>
      </c>
      <c r="AV103" s="2">
        <f>COUNTIFS(集計用!$G101,"*, "&amp;AV$3&amp;", *")</f>
        <v>0</v>
      </c>
      <c r="AW103" s="2">
        <f>COUNTIFS(集計用!$G101,"*, "&amp;AW$3&amp;", *")</f>
        <v>0</v>
      </c>
      <c r="AX103" s="2">
        <f>COUNTIFS(集計用!$G101,"*, "&amp;AX$3&amp;", *")</f>
        <v>0</v>
      </c>
      <c r="AY103" s="2">
        <f>COUNTIFS(集計用!$G101,"*, "&amp;AY$3&amp;", *")</f>
        <v>0</v>
      </c>
      <c r="AZ103" s="2">
        <f>COUNTIFS(集計用!$G101,"*, "&amp;AZ$3&amp;", *")</f>
        <v>0</v>
      </c>
      <c r="BA103" s="2">
        <f>COUNTIFS(集計用!$G101,"*, "&amp;BA$3&amp;", *")</f>
        <v>0</v>
      </c>
      <c r="BB103" s="2">
        <f>COUNTIFS(集計用!$G101,"*, "&amp;BB$3&amp;", *")</f>
        <v>0</v>
      </c>
      <c r="BC103" s="2">
        <f>COUNTIFS(集計用!$G101,"*, "&amp;BC$3&amp;", *")</f>
        <v>0</v>
      </c>
      <c r="BD103" s="2">
        <f>COUNTIFS(集計用!$G101,"*, "&amp;BD$3&amp;", *")</f>
        <v>0</v>
      </c>
      <c r="BE103" s="2">
        <f>COUNTIFS(集計用!$G101,"*, "&amp;BE$3&amp;", *")</f>
        <v>0</v>
      </c>
      <c r="BF103" s="2">
        <f>COUNTIFS(集計用!$G101,"*, "&amp;BF$3&amp;", *")</f>
        <v>0</v>
      </c>
      <c r="BG103" s="2">
        <f>COUNTIFS(集計用!$G101,"*, "&amp;BG$3&amp;", *")</f>
        <v>0</v>
      </c>
      <c r="BH103" s="2">
        <f>COUNTIFS(集計用!$G101,"*, "&amp;BH$3&amp;", *")</f>
        <v>0</v>
      </c>
      <c r="BI103" s="2">
        <f>COUNTIFS(集計用!$G101,"*, "&amp;BI$3&amp;", *")</f>
        <v>0</v>
      </c>
      <c r="BJ103" s="2">
        <f>LEN(集計用!H101)-LEN(SUBSTITUTE(集計用!H101,",",""))</f>
        <v>1</v>
      </c>
    </row>
    <row r="104" spans="1:62" ht="12.75">
      <c r="A104" s="8">
        <v>101</v>
      </c>
      <c r="C104" s="2">
        <f t="shared" si="2"/>
        <v>4</v>
      </c>
      <c r="D104" s="9"/>
      <c r="E104" s="2">
        <f>COUNTIFS(集計用!$G102,"*, "&amp;E$3&amp;", *")</f>
        <v>1</v>
      </c>
      <c r="F104" s="2">
        <f>COUNTIFS(集計用!$G102,"*, "&amp;F$3&amp;", *")</f>
        <v>1</v>
      </c>
      <c r="G104" s="2">
        <f>COUNTIFS(集計用!$G102,"*, "&amp;G$3&amp;", *")</f>
        <v>0</v>
      </c>
      <c r="H104" s="2">
        <f>COUNTIFS(集計用!$G102,"*, "&amp;H$3&amp;", *")</f>
        <v>1</v>
      </c>
      <c r="I104" s="2">
        <f>COUNTIFS(集計用!$G102,"*, "&amp;I$3&amp;", *")</f>
        <v>1</v>
      </c>
      <c r="J104" s="2">
        <f>COUNTIFS(集計用!$G102,"*, "&amp;J$3&amp;", *")</f>
        <v>0</v>
      </c>
      <c r="K104" s="2">
        <f>COUNTIFS(集計用!$G102,"*, "&amp;K$3&amp;", *")</f>
        <v>0</v>
      </c>
      <c r="L104" s="2">
        <f>COUNTIFS(集計用!$G102,"*, "&amp;L$3&amp;", *")</f>
        <v>0</v>
      </c>
      <c r="M104" s="2">
        <f>COUNTIFS(集計用!$G102,"*, "&amp;M$3&amp;", *")</f>
        <v>0</v>
      </c>
      <c r="N104" s="2">
        <f>COUNTIFS(集計用!$G102,"*, "&amp;N$3&amp;", *")</f>
        <v>0</v>
      </c>
      <c r="O104" s="2">
        <f>COUNTIFS(集計用!$G102,"*, "&amp;O$3&amp;", *")</f>
        <v>0</v>
      </c>
      <c r="P104" s="2">
        <f>COUNTIFS(集計用!$G102,"*, "&amp;P$3&amp;", *")</f>
        <v>0</v>
      </c>
      <c r="Q104" s="2">
        <f>COUNTIFS(集計用!$G102,"*, "&amp;Q$3&amp;", *")</f>
        <v>0</v>
      </c>
      <c r="R104" s="2">
        <f>COUNTIFS(集計用!$G102,"*, "&amp;R$3&amp;", *")</f>
        <v>0</v>
      </c>
      <c r="S104" s="2">
        <f>COUNTIFS(集計用!$G102,"*, "&amp;S$3&amp;", *")</f>
        <v>0</v>
      </c>
      <c r="T104" s="2">
        <f>COUNTIFS(集計用!$G102,"*, "&amp;T$3&amp;", *")</f>
        <v>0</v>
      </c>
      <c r="U104" s="2">
        <f>COUNTIFS(集計用!$G102,"*, "&amp;U$3&amp;", *")</f>
        <v>0</v>
      </c>
      <c r="V104" s="2">
        <f>COUNTIFS(集計用!$G102,"*, "&amp;V$3&amp;", *")</f>
        <v>0</v>
      </c>
      <c r="W104" s="2">
        <f>COUNTIFS(集計用!$G102,"*, "&amp;W$3&amp;", *")</f>
        <v>0</v>
      </c>
      <c r="X104" s="2">
        <f>COUNTIFS(集計用!$G102,"*, "&amp;X$3&amp;", *")</f>
        <v>0</v>
      </c>
      <c r="Y104" s="2">
        <f>COUNTIFS(集計用!$G102,"*, "&amp;Y$3&amp;", *")</f>
        <v>0</v>
      </c>
      <c r="Z104" s="2">
        <f>COUNTIFS(集計用!$G102,"*, "&amp;Z$3&amp;", *")</f>
        <v>0</v>
      </c>
      <c r="AA104" s="2">
        <f>COUNTIFS(集計用!$G102,"*, "&amp;AA$3&amp;", *")</f>
        <v>0</v>
      </c>
      <c r="AB104" s="2">
        <f>COUNTIFS(集計用!$G102,"*, "&amp;AB$3&amp;", *")</f>
        <v>0</v>
      </c>
      <c r="AC104" s="2">
        <f>COUNTIFS(集計用!$G102,"*, "&amp;AC$3&amp;", *")</f>
        <v>0</v>
      </c>
      <c r="AD104" s="2">
        <f>COUNTIFS(集計用!$G102,"*, "&amp;AD$3&amp;", *")</f>
        <v>0</v>
      </c>
      <c r="AE104" s="2">
        <f>COUNTIFS(集計用!$G102,"*, "&amp;AE$3&amp;", *")</f>
        <v>0</v>
      </c>
      <c r="AF104" s="2">
        <f>COUNTIFS(集計用!$G102,"*, "&amp;AF$3&amp;", *")</f>
        <v>0</v>
      </c>
      <c r="AG104" s="2">
        <f>COUNTIFS(集計用!$G102,"*, "&amp;AG$3&amp;", *")</f>
        <v>0</v>
      </c>
      <c r="AH104" s="2">
        <f>COUNTIFS(集計用!$G102,"*, "&amp;AH$3&amp;", *")</f>
        <v>0</v>
      </c>
      <c r="AI104" s="2">
        <f>COUNTIFS(集計用!$G102,"*, "&amp;AI$3&amp;", *")</f>
        <v>0</v>
      </c>
      <c r="AJ104" s="2">
        <f>COUNTIFS(集計用!$G102,"*, "&amp;AJ$3&amp;", *")</f>
        <v>0</v>
      </c>
      <c r="AK104" s="2">
        <f>COUNTIFS(集計用!$G102,"*, "&amp;AK$3&amp;", *")</f>
        <v>0</v>
      </c>
      <c r="AL104" s="2">
        <f>COUNTIFS(集計用!$G102,"*, "&amp;AL$3&amp;", *")</f>
        <v>0</v>
      </c>
      <c r="AM104" s="2">
        <f>COUNTIFS(集計用!$G102,"*, "&amp;AM$3&amp;", *")</f>
        <v>0</v>
      </c>
      <c r="AN104" s="2">
        <f>COUNTIFS(集計用!$G102,"*, "&amp;AN$3&amp;", *")</f>
        <v>0</v>
      </c>
      <c r="AO104" s="2">
        <f>COUNTIFS(集計用!$G102,"*, "&amp;AO$3&amp;", *")</f>
        <v>0</v>
      </c>
      <c r="AP104" s="2">
        <f>COUNTIFS(集計用!$G102,"*, "&amp;AP$3&amp;", *")</f>
        <v>0</v>
      </c>
      <c r="AQ104" s="2">
        <f>COUNTIFS(集計用!$G102,"*, "&amp;AQ$3&amp;", *")</f>
        <v>0</v>
      </c>
      <c r="AR104" s="2">
        <f>COUNTIFS(集計用!$G102,"*, "&amp;AR$3&amp;", *")</f>
        <v>0</v>
      </c>
      <c r="AS104" s="2">
        <f>COUNTIFS(集計用!$G102,"*, "&amp;AS$3&amp;", *")</f>
        <v>0</v>
      </c>
      <c r="AT104" s="2">
        <f>COUNTIFS(集計用!$G102,"*, "&amp;AT$3&amp;", *")</f>
        <v>0</v>
      </c>
      <c r="AU104" s="2">
        <f>COUNTIFS(集計用!$G102,"*, "&amp;AU$3&amp;", *")</f>
        <v>0</v>
      </c>
      <c r="AV104" s="2">
        <f>COUNTIFS(集計用!$G102,"*, "&amp;AV$3&amp;", *")</f>
        <v>0</v>
      </c>
      <c r="AW104" s="2">
        <f>COUNTIFS(集計用!$G102,"*, "&amp;AW$3&amp;", *")</f>
        <v>0</v>
      </c>
      <c r="AX104" s="2">
        <f>COUNTIFS(集計用!$G102,"*, "&amp;AX$3&amp;", *")</f>
        <v>0</v>
      </c>
      <c r="AY104" s="2">
        <f>COUNTIFS(集計用!$G102,"*, "&amp;AY$3&amp;", *")</f>
        <v>0</v>
      </c>
      <c r="AZ104" s="2">
        <f>COUNTIFS(集計用!$G102,"*, "&amp;AZ$3&amp;", *")</f>
        <v>0</v>
      </c>
      <c r="BA104" s="2">
        <f>COUNTIFS(集計用!$G102,"*, "&amp;BA$3&amp;", *")</f>
        <v>0</v>
      </c>
      <c r="BB104" s="2">
        <f>COUNTIFS(集計用!$G102,"*, "&amp;BB$3&amp;", *")</f>
        <v>0</v>
      </c>
      <c r="BC104" s="2">
        <f>COUNTIFS(集計用!$G102,"*, "&amp;BC$3&amp;", *")</f>
        <v>0</v>
      </c>
      <c r="BD104" s="2">
        <f>COUNTIFS(集計用!$G102,"*, "&amp;BD$3&amp;", *")</f>
        <v>0</v>
      </c>
      <c r="BE104" s="2">
        <f>COUNTIFS(集計用!$G102,"*, "&amp;BE$3&amp;", *")</f>
        <v>0</v>
      </c>
      <c r="BF104" s="2">
        <f>COUNTIFS(集計用!$G102,"*, "&amp;BF$3&amp;", *")</f>
        <v>0</v>
      </c>
      <c r="BG104" s="2">
        <f>COUNTIFS(集計用!$G102,"*, "&amp;BG$3&amp;", *")</f>
        <v>0</v>
      </c>
      <c r="BH104" s="2">
        <f>COUNTIFS(集計用!$G102,"*, "&amp;BH$3&amp;", *")</f>
        <v>0</v>
      </c>
      <c r="BI104" s="2">
        <f>COUNTIFS(集計用!$G102,"*, "&amp;BI$3&amp;", *")</f>
        <v>0</v>
      </c>
      <c r="BJ104" s="2">
        <f>LEN(集計用!H102)-LEN(SUBSTITUTE(集計用!H102,",",""))</f>
        <v>0</v>
      </c>
    </row>
    <row r="105" spans="1:62" ht="12.75">
      <c r="A105" s="8">
        <v>102</v>
      </c>
      <c r="C105" s="2">
        <f t="shared" si="2"/>
        <v>11</v>
      </c>
      <c r="D105" s="9"/>
      <c r="E105" s="2">
        <f>COUNTIFS(集計用!$G103,"*, "&amp;E$3&amp;", *")</f>
        <v>0</v>
      </c>
      <c r="F105" s="2">
        <f>COUNTIFS(集計用!$G103,"*, "&amp;F$3&amp;", *")</f>
        <v>1</v>
      </c>
      <c r="G105" s="2">
        <f>COUNTIFS(集計用!$G103,"*, "&amp;G$3&amp;", *")</f>
        <v>1</v>
      </c>
      <c r="H105" s="2">
        <f>COUNTIFS(集計用!$G103,"*, "&amp;H$3&amp;", *")</f>
        <v>1</v>
      </c>
      <c r="I105" s="2">
        <f>COUNTIFS(集計用!$G103,"*, "&amp;I$3&amp;", *")</f>
        <v>1</v>
      </c>
      <c r="J105" s="2">
        <f>COUNTIFS(集計用!$G103,"*, "&amp;J$3&amp;", *")</f>
        <v>0</v>
      </c>
      <c r="K105" s="2">
        <f>COUNTIFS(集計用!$G103,"*, "&amp;K$3&amp;", *")</f>
        <v>1</v>
      </c>
      <c r="L105" s="2">
        <f>COUNTIFS(集計用!$G103,"*, "&amp;L$3&amp;", *")</f>
        <v>0</v>
      </c>
      <c r="M105" s="2">
        <f>COUNTIFS(集計用!$G103,"*, "&amp;M$3&amp;", *")</f>
        <v>0</v>
      </c>
      <c r="N105" s="2">
        <f>COUNTIFS(集計用!$G103,"*, "&amp;N$3&amp;", *")</f>
        <v>1</v>
      </c>
      <c r="O105" s="2">
        <f>COUNTIFS(集計用!$G103,"*, "&amp;O$3&amp;", *")</f>
        <v>0</v>
      </c>
      <c r="P105" s="2">
        <f>COUNTIFS(集計用!$G103,"*, "&amp;P$3&amp;", *")</f>
        <v>1</v>
      </c>
      <c r="Q105" s="2">
        <f>COUNTIFS(集計用!$G103,"*, "&amp;Q$3&amp;", *")</f>
        <v>0</v>
      </c>
      <c r="R105" s="2">
        <f>COUNTIFS(集計用!$G103,"*, "&amp;R$3&amp;", *")</f>
        <v>1</v>
      </c>
      <c r="S105" s="2">
        <f>COUNTIFS(集計用!$G103,"*, "&amp;S$3&amp;", *")</f>
        <v>1</v>
      </c>
      <c r="T105" s="2">
        <f>COUNTIFS(集計用!$G103,"*, "&amp;T$3&amp;", *")</f>
        <v>0</v>
      </c>
      <c r="U105" s="2">
        <f>COUNTIFS(集計用!$G103,"*, "&amp;U$3&amp;", *")</f>
        <v>0</v>
      </c>
      <c r="V105" s="2">
        <f>COUNTIFS(集計用!$G103,"*, "&amp;V$3&amp;", *")</f>
        <v>0</v>
      </c>
      <c r="W105" s="2">
        <f>COUNTIFS(集計用!$G103,"*, "&amp;W$3&amp;", *")</f>
        <v>0</v>
      </c>
      <c r="X105" s="2">
        <f>COUNTIFS(集計用!$G103,"*, "&amp;X$3&amp;", *")</f>
        <v>0</v>
      </c>
      <c r="Y105" s="2">
        <f>COUNTIFS(集計用!$G103,"*, "&amp;Y$3&amp;", *")</f>
        <v>1</v>
      </c>
      <c r="Z105" s="2">
        <f>COUNTIFS(集計用!$G103,"*, "&amp;Z$3&amp;", *")</f>
        <v>0</v>
      </c>
      <c r="AA105" s="2">
        <f>COUNTIFS(集計用!$G103,"*, "&amp;AA$3&amp;", *")</f>
        <v>0</v>
      </c>
      <c r="AB105" s="2">
        <f>COUNTIFS(集計用!$G103,"*, "&amp;AB$3&amp;", *")</f>
        <v>0</v>
      </c>
      <c r="AC105" s="2">
        <f>COUNTIFS(集計用!$G103,"*, "&amp;AC$3&amp;", *")</f>
        <v>0</v>
      </c>
      <c r="AD105" s="2">
        <f>COUNTIFS(集計用!$G103,"*, "&amp;AD$3&amp;", *")</f>
        <v>1</v>
      </c>
      <c r="AE105" s="2">
        <f>COUNTIFS(集計用!$G103,"*, "&amp;AE$3&amp;", *")</f>
        <v>0</v>
      </c>
      <c r="AF105" s="2">
        <f>COUNTIFS(集計用!$G103,"*, "&amp;AF$3&amp;", *")</f>
        <v>0</v>
      </c>
      <c r="AG105" s="2">
        <f>COUNTIFS(集計用!$G103,"*, "&amp;AG$3&amp;", *")</f>
        <v>0</v>
      </c>
      <c r="AH105" s="2">
        <f>COUNTIFS(集計用!$G103,"*, "&amp;AH$3&amp;", *")</f>
        <v>0</v>
      </c>
      <c r="AI105" s="2">
        <f>COUNTIFS(集計用!$G103,"*, "&amp;AI$3&amp;", *")</f>
        <v>0</v>
      </c>
      <c r="AJ105" s="2">
        <f>COUNTIFS(集計用!$G103,"*, "&amp;AJ$3&amp;", *")</f>
        <v>0</v>
      </c>
      <c r="AK105" s="2">
        <f>COUNTIFS(集計用!$G103,"*, "&amp;AK$3&amp;", *")</f>
        <v>0</v>
      </c>
      <c r="AL105" s="2">
        <f>COUNTIFS(集計用!$G103,"*, "&amp;AL$3&amp;", *")</f>
        <v>0</v>
      </c>
      <c r="AM105" s="2">
        <f>COUNTIFS(集計用!$G103,"*, "&amp;AM$3&amp;", *")</f>
        <v>0</v>
      </c>
      <c r="AN105" s="2">
        <f>COUNTIFS(集計用!$G103,"*, "&amp;AN$3&amp;", *")</f>
        <v>0</v>
      </c>
      <c r="AO105" s="2">
        <f>COUNTIFS(集計用!$G103,"*, "&amp;AO$3&amp;", *")</f>
        <v>0</v>
      </c>
      <c r="AP105" s="2">
        <f>COUNTIFS(集計用!$G103,"*, "&amp;AP$3&amp;", *")</f>
        <v>0</v>
      </c>
      <c r="AQ105" s="2">
        <f>COUNTIFS(集計用!$G103,"*, "&amp;AQ$3&amp;", *")</f>
        <v>0</v>
      </c>
      <c r="AR105" s="2">
        <f>COUNTIFS(集計用!$G103,"*, "&amp;AR$3&amp;", *")</f>
        <v>0</v>
      </c>
      <c r="AS105" s="2">
        <f>COUNTIFS(集計用!$G103,"*, "&amp;AS$3&amp;", *")</f>
        <v>0</v>
      </c>
      <c r="AT105" s="2">
        <f>COUNTIFS(集計用!$G103,"*, "&amp;AT$3&amp;", *")</f>
        <v>0</v>
      </c>
      <c r="AU105" s="2">
        <f>COUNTIFS(集計用!$G103,"*, "&amp;AU$3&amp;", *")</f>
        <v>0</v>
      </c>
      <c r="AV105" s="2">
        <f>COUNTIFS(集計用!$G103,"*, "&amp;AV$3&amp;", *")</f>
        <v>0</v>
      </c>
      <c r="AW105" s="2">
        <f>COUNTIFS(集計用!$G103,"*, "&amp;AW$3&amp;", *")</f>
        <v>0</v>
      </c>
      <c r="AX105" s="2">
        <f>COUNTIFS(集計用!$G103,"*, "&amp;AX$3&amp;", *")</f>
        <v>0</v>
      </c>
      <c r="AY105" s="2">
        <f>COUNTIFS(集計用!$G103,"*, "&amp;AY$3&amp;", *")</f>
        <v>0</v>
      </c>
      <c r="AZ105" s="2">
        <f>COUNTIFS(集計用!$G103,"*, "&amp;AZ$3&amp;", *")</f>
        <v>0</v>
      </c>
      <c r="BA105" s="2">
        <f>COUNTIFS(集計用!$G103,"*, "&amp;BA$3&amp;", *")</f>
        <v>0</v>
      </c>
      <c r="BB105" s="2">
        <f>COUNTIFS(集計用!$G103,"*, "&amp;BB$3&amp;", *")</f>
        <v>0</v>
      </c>
      <c r="BC105" s="2">
        <f>COUNTIFS(集計用!$G103,"*, "&amp;BC$3&amp;", *")</f>
        <v>0</v>
      </c>
      <c r="BD105" s="2">
        <f>COUNTIFS(集計用!$G103,"*, "&amp;BD$3&amp;", *")</f>
        <v>0</v>
      </c>
      <c r="BE105" s="2">
        <f>COUNTIFS(集計用!$G103,"*, "&amp;BE$3&amp;", *")</f>
        <v>0</v>
      </c>
      <c r="BF105" s="2">
        <f>COUNTIFS(集計用!$G103,"*, "&amp;BF$3&amp;", *")</f>
        <v>0</v>
      </c>
      <c r="BG105" s="2">
        <f>COUNTIFS(集計用!$G103,"*, "&amp;BG$3&amp;", *")</f>
        <v>0</v>
      </c>
      <c r="BH105" s="2">
        <f>COUNTIFS(集計用!$G103,"*, "&amp;BH$3&amp;", *")</f>
        <v>0</v>
      </c>
      <c r="BI105" s="2">
        <f>COUNTIFS(集計用!$G103,"*, "&amp;BI$3&amp;", *")</f>
        <v>0</v>
      </c>
      <c r="BJ105" s="2">
        <f>LEN(集計用!H103)-LEN(SUBSTITUTE(集計用!H103,",",""))</f>
        <v>0</v>
      </c>
    </row>
    <row r="106" spans="1:62" ht="12.75">
      <c r="A106" s="8">
        <v>103</v>
      </c>
      <c r="C106" s="2">
        <f t="shared" si="2"/>
        <v>9</v>
      </c>
      <c r="D106" s="9"/>
      <c r="E106" s="2">
        <f>COUNTIFS(集計用!$G104,"*, "&amp;E$3&amp;", *")</f>
        <v>0</v>
      </c>
      <c r="F106" s="2">
        <f>COUNTIFS(集計用!$G104,"*, "&amp;F$3&amp;", *")</f>
        <v>1</v>
      </c>
      <c r="G106" s="2">
        <f>COUNTIFS(集計用!$G104,"*, "&amp;G$3&amp;", *")</f>
        <v>0</v>
      </c>
      <c r="H106" s="2">
        <f>COUNTIFS(集計用!$G104,"*, "&amp;H$3&amp;", *")</f>
        <v>1</v>
      </c>
      <c r="I106" s="2">
        <f>COUNTIFS(集計用!$G104,"*, "&amp;I$3&amp;", *")</f>
        <v>0</v>
      </c>
      <c r="J106" s="2">
        <f>COUNTIFS(集計用!$G104,"*, "&amp;J$3&amp;", *")</f>
        <v>1</v>
      </c>
      <c r="K106" s="2">
        <f>COUNTIFS(集計用!$G104,"*, "&amp;K$3&amp;", *")</f>
        <v>1</v>
      </c>
      <c r="L106" s="2">
        <f>COUNTIFS(集計用!$G104,"*, "&amp;L$3&amp;", *")</f>
        <v>0</v>
      </c>
      <c r="M106" s="2">
        <f>COUNTIFS(集計用!$G104,"*, "&amp;M$3&amp;", *")</f>
        <v>0</v>
      </c>
      <c r="N106" s="2">
        <f>COUNTIFS(集計用!$G104,"*, "&amp;N$3&amp;", *")</f>
        <v>0</v>
      </c>
      <c r="O106" s="2">
        <f>COUNTIFS(集計用!$G104,"*, "&amp;O$3&amp;", *")</f>
        <v>0</v>
      </c>
      <c r="P106" s="2">
        <f>COUNTIFS(集計用!$G104,"*, "&amp;P$3&amp;", *")</f>
        <v>0</v>
      </c>
      <c r="Q106" s="2">
        <f>COUNTIFS(集計用!$G104,"*, "&amp;Q$3&amp;", *")</f>
        <v>0</v>
      </c>
      <c r="R106" s="2">
        <f>COUNTIFS(集計用!$G104,"*, "&amp;R$3&amp;", *")</f>
        <v>1</v>
      </c>
      <c r="S106" s="2">
        <f>COUNTIFS(集計用!$G104,"*, "&amp;S$3&amp;", *")</f>
        <v>0</v>
      </c>
      <c r="T106" s="2">
        <f>COUNTIFS(集計用!$G104,"*, "&amp;T$3&amp;", *")</f>
        <v>0</v>
      </c>
      <c r="U106" s="2">
        <f>COUNTIFS(集計用!$G104,"*, "&amp;U$3&amp;", *")</f>
        <v>0</v>
      </c>
      <c r="V106" s="2">
        <f>COUNTIFS(集計用!$G104,"*, "&amp;V$3&amp;", *")</f>
        <v>0</v>
      </c>
      <c r="W106" s="2">
        <f>COUNTIFS(集計用!$G104,"*, "&amp;W$3&amp;", *")</f>
        <v>0</v>
      </c>
      <c r="X106" s="2">
        <f>COUNTIFS(集計用!$G104,"*, "&amp;X$3&amp;", *")</f>
        <v>0</v>
      </c>
      <c r="Y106" s="2">
        <f>COUNTIFS(集計用!$G104,"*, "&amp;Y$3&amp;", *")</f>
        <v>0</v>
      </c>
      <c r="Z106" s="2">
        <f>COUNTIFS(集計用!$G104,"*, "&amp;Z$3&amp;", *")</f>
        <v>0</v>
      </c>
      <c r="AA106" s="2">
        <f>COUNTIFS(集計用!$G104,"*, "&amp;AA$3&amp;", *")</f>
        <v>0</v>
      </c>
      <c r="AB106" s="2">
        <f>COUNTIFS(集計用!$G104,"*, "&amp;AB$3&amp;", *")</f>
        <v>0</v>
      </c>
      <c r="AC106" s="2">
        <f>COUNTIFS(集計用!$G104,"*, "&amp;AC$3&amp;", *")</f>
        <v>0</v>
      </c>
      <c r="AD106" s="2">
        <f>COUNTIFS(集計用!$G104,"*, "&amp;AD$3&amp;", *")</f>
        <v>0</v>
      </c>
      <c r="AE106" s="2">
        <f>COUNTIFS(集計用!$G104,"*, "&amp;AE$3&amp;", *")</f>
        <v>0</v>
      </c>
      <c r="AF106" s="2">
        <f>COUNTIFS(集計用!$G104,"*, "&amp;AF$3&amp;", *")</f>
        <v>0</v>
      </c>
      <c r="AG106" s="2">
        <f>COUNTIFS(集計用!$G104,"*, "&amp;AG$3&amp;", *")</f>
        <v>0</v>
      </c>
      <c r="AH106" s="2">
        <f>COUNTIFS(集計用!$G104,"*, "&amp;AH$3&amp;", *")</f>
        <v>0</v>
      </c>
      <c r="AI106" s="2">
        <f>COUNTIFS(集計用!$G104,"*, "&amp;AI$3&amp;", *")</f>
        <v>0</v>
      </c>
      <c r="AJ106" s="2">
        <f>COUNTIFS(集計用!$G104,"*, "&amp;AJ$3&amp;", *")</f>
        <v>1</v>
      </c>
      <c r="AK106" s="2">
        <f>COUNTIFS(集計用!$G104,"*, "&amp;AK$3&amp;", *")</f>
        <v>0</v>
      </c>
      <c r="AL106" s="2">
        <f>COUNTIFS(集計用!$G104,"*, "&amp;AL$3&amp;", *")</f>
        <v>1</v>
      </c>
      <c r="AM106" s="2">
        <f>COUNTIFS(集計用!$G104,"*, "&amp;AM$3&amp;", *")</f>
        <v>0</v>
      </c>
      <c r="AN106" s="2">
        <f>COUNTIFS(集計用!$G104,"*, "&amp;AN$3&amp;", *")</f>
        <v>0</v>
      </c>
      <c r="AO106" s="2">
        <f>COUNTIFS(集計用!$G104,"*, "&amp;AO$3&amp;", *")</f>
        <v>0</v>
      </c>
      <c r="AP106" s="2">
        <f>COUNTIFS(集計用!$G104,"*, "&amp;AP$3&amp;", *")</f>
        <v>0</v>
      </c>
      <c r="AQ106" s="2">
        <f>COUNTIFS(集計用!$G104,"*, "&amp;AQ$3&amp;", *")</f>
        <v>0</v>
      </c>
      <c r="AR106" s="2">
        <f>COUNTIFS(集計用!$G104,"*, "&amp;AR$3&amp;", *")</f>
        <v>0</v>
      </c>
      <c r="AS106" s="2">
        <f>COUNTIFS(集計用!$G104,"*, "&amp;AS$3&amp;", *")</f>
        <v>0</v>
      </c>
      <c r="AT106" s="2">
        <f>COUNTIFS(集計用!$G104,"*, "&amp;AT$3&amp;", *")</f>
        <v>0</v>
      </c>
      <c r="AU106" s="2">
        <f>COUNTIFS(集計用!$G104,"*, "&amp;AU$3&amp;", *")</f>
        <v>0</v>
      </c>
      <c r="AV106" s="2">
        <f>COUNTIFS(集計用!$G104,"*, "&amp;AV$3&amp;", *")</f>
        <v>0</v>
      </c>
      <c r="AW106" s="2">
        <f>COUNTIFS(集計用!$G104,"*, "&amp;AW$3&amp;", *")</f>
        <v>0</v>
      </c>
      <c r="AX106" s="2">
        <f>COUNTIFS(集計用!$G104,"*, "&amp;AX$3&amp;", *")</f>
        <v>0</v>
      </c>
      <c r="AY106" s="2">
        <f>COUNTIFS(集計用!$G104,"*, "&amp;AY$3&amp;", *")</f>
        <v>0</v>
      </c>
      <c r="AZ106" s="2">
        <f>COUNTIFS(集計用!$G104,"*, "&amp;AZ$3&amp;", *")</f>
        <v>0</v>
      </c>
      <c r="BA106" s="2">
        <f>COUNTIFS(集計用!$G104,"*, "&amp;BA$3&amp;", *")</f>
        <v>0</v>
      </c>
      <c r="BB106" s="2">
        <f>COUNTIFS(集計用!$G104,"*, "&amp;BB$3&amp;", *")</f>
        <v>0</v>
      </c>
      <c r="BC106" s="2">
        <f>COUNTIFS(集計用!$G104,"*, "&amp;BC$3&amp;", *")</f>
        <v>0</v>
      </c>
      <c r="BD106" s="2">
        <f>COUNTIFS(集計用!$G104,"*, "&amp;BD$3&amp;", *")</f>
        <v>0</v>
      </c>
      <c r="BE106" s="2">
        <f>COUNTIFS(集計用!$G104,"*, "&amp;BE$3&amp;", *")</f>
        <v>0</v>
      </c>
      <c r="BF106" s="2">
        <f>COUNTIFS(集計用!$G104,"*, "&amp;BF$3&amp;", *")</f>
        <v>0</v>
      </c>
      <c r="BG106" s="2">
        <f>COUNTIFS(集計用!$G104,"*, "&amp;BG$3&amp;", *")</f>
        <v>0</v>
      </c>
      <c r="BH106" s="2">
        <f>COUNTIFS(集計用!$G104,"*, "&amp;BH$3&amp;", *")</f>
        <v>0</v>
      </c>
      <c r="BI106" s="2">
        <f>COUNTIFS(集計用!$G104,"*, "&amp;BI$3&amp;", *")</f>
        <v>0</v>
      </c>
      <c r="BJ106" s="2">
        <f>LEN(集計用!H104)-LEN(SUBSTITUTE(集計用!H104,",",""))</f>
        <v>2</v>
      </c>
    </row>
    <row r="107" spans="1:62" ht="12.75">
      <c r="A107" s="8">
        <v>104</v>
      </c>
      <c r="C107" s="2">
        <f t="shared" si="2"/>
        <v>7</v>
      </c>
      <c r="D107" s="9"/>
      <c r="E107" s="2">
        <f>COUNTIFS(集計用!$G105,"*, "&amp;E$3&amp;", *")</f>
        <v>0</v>
      </c>
      <c r="F107" s="2">
        <f>COUNTIFS(集計用!$G105,"*, "&amp;F$3&amp;", *")</f>
        <v>1</v>
      </c>
      <c r="G107" s="2">
        <f>COUNTIFS(集計用!$G105,"*, "&amp;G$3&amp;", *")</f>
        <v>0</v>
      </c>
      <c r="H107" s="2">
        <f>COUNTIFS(集計用!$G105,"*, "&amp;H$3&amp;", *")</f>
        <v>0</v>
      </c>
      <c r="I107" s="2">
        <f>COUNTIFS(集計用!$G105,"*, "&amp;I$3&amp;", *")</f>
        <v>0</v>
      </c>
      <c r="J107" s="2">
        <f>COUNTIFS(集計用!$G105,"*, "&amp;J$3&amp;", *")</f>
        <v>1</v>
      </c>
      <c r="K107" s="2">
        <f>COUNTIFS(集計用!$G105,"*, "&amp;K$3&amp;", *")</f>
        <v>0</v>
      </c>
      <c r="L107" s="2">
        <f>COUNTIFS(集計用!$G105,"*, "&amp;L$3&amp;", *")</f>
        <v>0</v>
      </c>
      <c r="M107" s="2">
        <f>COUNTIFS(集計用!$G105,"*, "&amp;M$3&amp;", *")</f>
        <v>0</v>
      </c>
      <c r="N107" s="2">
        <f>COUNTIFS(集計用!$G105,"*, "&amp;N$3&amp;", *")</f>
        <v>0</v>
      </c>
      <c r="O107" s="2">
        <f>COUNTIFS(集計用!$G105,"*, "&amp;O$3&amp;", *")</f>
        <v>0</v>
      </c>
      <c r="P107" s="2">
        <f>COUNTIFS(集計用!$G105,"*, "&amp;P$3&amp;", *")</f>
        <v>0</v>
      </c>
      <c r="Q107" s="2">
        <f>COUNTIFS(集計用!$G105,"*, "&amp;Q$3&amp;", *")</f>
        <v>0</v>
      </c>
      <c r="R107" s="2">
        <f>COUNTIFS(集計用!$G105,"*, "&amp;R$3&amp;", *")</f>
        <v>1</v>
      </c>
      <c r="S107" s="2">
        <f>COUNTIFS(集計用!$G105,"*, "&amp;S$3&amp;", *")</f>
        <v>0</v>
      </c>
      <c r="T107" s="2">
        <f>COUNTIFS(集計用!$G105,"*, "&amp;T$3&amp;", *")</f>
        <v>0</v>
      </c>
      <c r="U107" s="2">
        <f>COUNTIFS(集計用!$G105,"*, "&amp;U$3&amp;", *")</f>
        <v>0</v>
      </c>
      <c r="V107" s="2">
        <f>COUNTIFS(集計用!$G105,"*, "&amp;V$3&amp;", *")</f>
        <v>0</v>
      </c>
      <c r="W107" s="2">
        <f>COUNTIFS(集計用!$G105,"*, "&amp;W$3&amp;", *")</f>
        <v>1</v>
      </c>
      <c r="X107" s="2">
        <f>COUNTIFS(集計用!$G105,"*, "&amp;X$3&amp;", *")</f>
        <v>0</v>
      </c>
      <c r="Y107" s="2">
        <f>COUNTIFS(集計用!$G105,"*, "&amp;Y$3&amp;", *")</f>
        <v>0</v>
      </c>
      <c r="Z107" s="2">
        <f>COUNTIFS(集計用!$G105,"*, "&amp;Z$3&amp;", *")</f>
        <v>0</v>
      </c>
      <c r="AA107" s="2">
        <f>COUNTIFS(集計用!$G105,"*, "&amp;AA$3&amp;", *")</f>
        <v>0</v>
      </c>
      <c r="AB107" s="2">
        <f>COUNTIFS(集計用!$G105,"*, "&amp;AB$3&amp;", *")</f>
        <v>0</v>
      </c>
      <c r="AC107" s="2">
        <f>COUNTIFS(集計用!$G105,"*, "&amp;AC$3&amp;", *")</f>
        <v>0</v>
      </c>
      <c r="AD107" s="2">
        <f>COUNTIFS(集計用!$G105,"*, "&amp;AD$3&amp;", *")</f>
        <v>0</v>
      </c>
      <c r="AE107" s="2">
        <f>COUNTIFS(集計用!$G105,"*, "&amp;AE$3&amp;", *")</f>
        <v>0</v>
      </c>
      <c r="AF107" s="2">
        <f>COUNTIFS(集計用!$G105,"*, "&amp;AF$3&amp;", *")</f>
        <v>1</v>
      </c>
      <c r="AG107" s="2">
        <f>COUNTIFS(集計用!$G105,"*, "&amp;AG$3&amp;", *")</f>
        <v>0</v>
      </c>
      <c r="AH107" s="2">
        <f>COUNTIFS(集計用!$G105,"*, "&amp;AH$3&amp;", *")</f>
        <v>0</v>
      </c>
      <c r="AI107" s="2">
        <f>COUNTIFS(集計用!$G105,"*, "&amp;AI$3&amp;", *")</f>
        <v>0</v>
      </c>
      <c r="AJ107" s="2">
        <f>COUNTIFS(集計用!$G105,"*, "&amp;AJ$3&amp;", *")</f>
        <v>1</v>
      </c>
      <c r="AK107" s="2">
        <f>COUNTIFS(集計用!$G105,"*, "&amp;AK$3&amp;", *")</f>
        <v>0</v>
      </c>
      <c r="AL107" s="2">
        <f>COUNTIFS(集計用!$G105,"*, "&amp;AL$3&amp;", *")</f>
        <v>0</v>
      </c>
      <c r="AM107" s="2">
        <f>COUNTIFS(集計用!$G105,"*, "&amp;AM$3&amp;", *")</f>
        <v>0</v>
      </c>
      <c r="AN107" s="2">
        <f>COUNTIFS(集計用!$G105,"*, "&amp;AN$3&amp;", *")</f>
        <v>0</v>
      </c>
      <c r="AO107" s="2">
        <f>COUNTIFS(集計用!$G105,"*, "&amp;AO$3&amp;", *")</f>
        <v>0</v>
      </c>
      <c r="AP107" s="2">
        <f>COUNTIFS(集計用!$G105,"*, "&amp;AP$3&amp;", *")</f>
        <v>0</v>
      </c>
      <c r="AQ107" s="2">
        <f>COUNTIFS(集計用!$G105,"*, "&amp;AQ$3&amp;", *")</f>
        <v>0</v>
      </c>
      <c r="AR107" s="2">
        <f>COUNTIFS(集計用!$G105,"*, "&amp;AR$3&amp;", *")</f>
        <v>0</v>
      </c>
      <c r="AS107" s="2">
        <f>COUNTIFS(集計用!$G105,"*, "&amp;AS$3&amp;", *")</f>
        <v>0</v>
      </c>
      <c r="AT107" s="2">
        <f>COUNTIFS(集計用!$G105,"*, "&amp;AT$3&amp;", *")</f>
        <v>0</v>
      </c>
      <c r="AU107" s="2">
        <f>COUNTIFS(集計用!$G105,"*, "&amp;AU$3&amp;", *")</f>
        <v>1</v>
      </c>
      <c r="AV107" s="2">
        <f>COUNTIFS(集計用!$G105,"*, "&amp;AV$3&amp;", *")</f>
        <v>0</v>
      </c>
      <c r="AW107" s="2">
        <f>COUNTIFS(集計用!$G105,"*, "&amp;AW$3&amp;", *")</f>
        <v>0</v>
      </c>
      <c r="AX107" s="2">
        <f>COUNTIFS(集計用!$G105,"*, "&amp;AX$3&amp;", *")</f>
        <v>0</v>
      </c>
      <c r="AY107" s="2">
        <f>COUNTIFS(集計用!$G105,"*, "&amp;AY$3&amp;", *")</f>
        <v>0</v>
      </c>
      <c r="AZ107" s="2">
        <f>COUNTIFS(集計用!$G105,"*, "&amp;AZ$3&amp;", *")</f>
        <v>0</v>
      </c>
      <c r="BA107" s="2">
        <f>COUNTIFS(集計用!$G105,"*, "&amp;BA$3&amp;", *")</f>
        <v>0</v>
      </c>
      <c r="BB107" s="2">
        <f>COUNTIFS(集計用!$G105,"*, "&amp;BB$3&amp;", *")</f>
        <v>0</v>
      </c>
      <c r="BC107" s="2">
        <f>COUNTIFS(集計用!$G105,"*, "&amp;BC$3&amp;", *")</f>
        <v>0</v>
      </c>
      <c r="BD107" s="2">
        <f>COUNTIFS(集計用!$G105,"*, "&amp;BD$3&amp;", *")</f>
        <v>0</v>
      </c>
      <c r="BE107" s="2">
        <f>COUNTIFS(集計用!$G105,"*, "&amp;BE$3&amp;", *")</f>
        <v>0</v>
      </c>
      <c r="BF107" s="2">
        <f>COUNTIFS(集計用!$G105,"*, "&amp;BF$3&amp;", *")</f>
        <v>0</v>
      </c>
      <c r="BG107" s="2">
        <f>COUNTIFS(集計用!$G105,"*, "&amp;BG$3&amp;", *")</f>
        <v>0</v>
      </c>
      <c r="BH107" s="2">
        <f>COUNTIFS(集計用!$G105,"*, "&amp;BH$3&amp;", *")</f>
        <v>0</v>
      </c>
      <c r="BI107" s="2">
        <f>COUNTIFS(集計用!$G105,"*, "&amp;BI$3&amp;", *")</f>
        <v>0</v>
      </c>
      <c r="BJ107" s="2">
        <f>LEN(集計用!H105)-LEN(SUBSTITUTE(集計用!H105,",",""))</f>
        <v>0</v>
      </c>
    </row>
    <row r="108" spans="1:62" ht="12.75">
      <c r="A108" s="8">
        <v>105</v>
      </c>
      <c r="C108" s="2">
        <f t="shared" si="2"/>
        <v>1</v>
      </c>
      <c r="D108" s="9"/>
      <c r="E108" s="2">
        <f>COUNTIFS(集計用!$G106,"*, "&amp;E$3&amp;", *")</f>
        <v>1</v>
      </c>
      <c r="F108" s="2">
        <f>COUNTIFS(集計用!$G106,"*, "&amp;F$3&amp;", *")</f>
        <v>0</v>
      </c>
      <c r="G108" s="2">
        <f>COUNTIFS(集計用!$G106,"*, "&amp;G$3&amp;", *")</f>
        <v>0</v>
      </c>
      <c r="H108" s="2">
        <f>COUNTIFS(集計用!$G106,"*, "&amp;H$3&amp;", *")</f>
        <v>0</v>
      </c>
      <c r="I108" s="2">
        <f>COUNTIFS(集計用!$G106,"*, "&amp;I$3&amp;", *")</f>
        <v>0</v>
      </c>
      <c r="J108" s="2">
        <f>COUNTIFS(集計用!$G106,"*, "&amp;J$3&amp;", *")</f>
        <v>0</v>
      </c>
      <c r="K108" s="2">
        <f>COUNTIFS(集計用!$G106,"*, "&amp;K$3&amp;", *")</f>
        <v>0</v>
      </c>
      <c r="L108" s="2">
        <f>COUNTIFS(集計用!$G106,"*, "&amp;L$3&amp;", *")</f>
        <v>0</v>
      </c>
      <c r="M108" s="2">
        <f>COUNTIFS(集計用!$G106,"*, "&amp;M$3&amp;", *")</f>
        <v>0</v>
      </c>
      <c r="N108" s="2">
        <f>COUNTIFS(集計用!$G106,"*, "&amp;N$3&amp;", *")</f>
        <v>0</v>
      </c>
      <c r="O108" s="2">
        <f>COUNTIFS(集計用!$G106,"*, "&amp;O$3&amp;", *")</f>
        <v>0</v>
      </c>
      <c r="P108" s="2">
        <f>COUNTIFS(集計用!$G106,"*, "&amp;P$3&amp;", *")</f>
        <v>0</v>
      </c>
      <c r="Q108" s="2">
        <f>COUNTIFS(集計用!$G106,"*, "&amp;Q$3&amp;", *")</f>
        <v>0</v>
      </c>
      <c r="R108" s="2">
        <f>COUNTIFS(集計用!$G106,"*, "&amp;R$3&amp;", *")</f>
        <v>0</v>
      </c>
      <c r="S108" s="2">
        <f>COUNTIFS(集計用!$G106,"*, "&amp;S$3&amp;", *")</f>
        <v>0</v>
      </c>
      <c r="T108" s="2">
        <f>COUNTIFS(集計用!$G106,"*, "&amp;T$3&amp;", *")</f>
        <v>0</v>
      </c>
      <c r="U108" s="2">
        <f>COUNTIFS(集計用!$G106,"*, "&amp;U$3&amp;", *")</f>
        <v>0</v>
      </c>
      <c r="V108" s="2">
        <f>COUNTIFS(集計用!$G106,"*, "&amp;V$3&amp;", *")</f>
        <v>0</v>
      </c>
      <c r="W108" s="2">
        <f>COUNTIFS(集計用!$G106,"*, "&amp;W$3&amp;", *")</f>
        <v>0</v>
      </c>
      <c r="X108" s="2">
        <f>COUNTIFS(集計用!$G106,"*, "&amp;X$3&amp;", *")</f>
        <v>0</v>
      </c>
      <c r="Y108" s="2">
        <f>COUNTIFS(集計用!$G106,"*, "&amp;Y$3&amp;", *")</f>
        <v>0</v>
      </c>
      <c r="Z108" s="2">
        <f>COUNTIFS(集計用!$G106,"*, "&amp;Z$3&amp;", *")</f>
        <v>0</v>
      </c>
      <c r="AA108" s="2">
        <f>COUNTIFS(集計用!$G106,"*, "&amp;AA$3&amp;", *")</f>
        <v>0</v>
      </c>
      <c r="AB108" s="2">
        <f>COUNTIFS(集計用!$G106,"*, "&amp;AB$3&amp;", *")</f>
        <v>0</v>
      </c>
      <c r="AC108" s="2">
        <f>COUNTIFS(集計用!$G106,"*, "&amp;AC$3&amp;", *")</f>
        <v>0</v>
      </c>
      <c r="AD108" s="2">
        <f>COUNTIFS(集計用!$G106,"*, "&amp;AD$3&amp;", *")</f>
        <v>0</v>
      </c>
      <c r="AE108" s="2">
        <f>COUNTIFS(集計用!$G106,"*, "&amp;AE$3&amp;", *")</f>
        <v>0</v>
      </c>
      <c r="AF108" s="2">
        <f>COUNTIFS(集計用!$G106,"*, "&amp;AF$3&amp;", *")</f>
        <v>0</v>
      </c>
      <c r="AG108" s="2">
        <f>COUNTIFS(集計用!$G106,"*, "&amp;AG$3&amp;", *")</f>
        <v>0</v>
      </c>
      <c r="AH108" s="2">
        <f>COUNTIFS(集計用!$G106,"*, "&amp;AH$3&amp;", *")</f>
        <v>0</v>
      </c>
      <c r="AI108" s="2">
        <f>COUNTIFS(集計用!$G106,"*, "&amp;AI$3&amp;", *")</f>
        <v>0</v>
      </c>
      <c r="AJ108" s="2">
        <f>COUNTIFS(集計用!$G106,"*, "&amp;AJ$3&amp;", *")</f>
        <v>0</v>
      </c>
      <c r="AK108" s="2">
        <f>COUNTIFS(集計用!$G106,"*, "&amp;AK$3&amp;", *")</f>
        <v>0</v>
      </c>
      <c r="AL108" s="2">
        <f>COUNTIFS(集計用!$G106,"*, "&amp;AL$3&amp;", *")</f>
        <v>0</v>
      </c>
      <c r="AM108" s="2">
        <f>COUNTIFS(集計用!$G106,"*, "&amp;AM$3&amp;", *")</f>
        <v>0</v>
      </c>
      <c r="AN108" s="2">
        <f>COUNTIFS(集計用!$G106,"*, "&amp;AN$3&amp;", *")</f>
        <v>0</v>
      </c>
      <c r="AO108" s="2">
        <f>COUNTIFS(集計用!$G106,"*, "&amp;AO$3&amp;", *")</f>
        <v>0</v>
      </c>
      <c r="AP108" s="2">
        <f>COUNTIFS(集計用!$G106,"*, "&amp;AP$3&amp;", *")</f>
        <v>0</v>
      </c>
      <c r="AQ108" s="2">
        <f>COUNTIFS(集計用!$G106,"*, "&amp;AQ$3&amp;", *")</f>
        <v>0</v>
      </c>
      <c r="AR108" s="2">
        <f>COUNTIFS(集計用!$G106,"*, "&amp;AR$3&amp;", *")</f>
        <v>0</v>
      </c>
      <c r="AS108" s="2">
        <f>COUNTIFS(集計用!$G106,"*, "&amp;AS$3&amp;", *")</f>
        <v>0</v>
      </c>
      <c r="AT108" s="2">
        <f>COUNTIFS(集計用!$G106,"*, "&amp;AT$3&amp;", *")</f>
        <v>0</v>
      </c>
      <c r="AU108" s="2">
        <f>COUNTIFS(集計用!$G106,"*, "&amp;AU$3&amp;", *")</f>
        <v>0</v>
      </c>
      <c r="AV108" s="2">
        <f>COUNTIFS(集計用!$G106,"*, "&amp;AV$3&amp;", *")</f>
        <v>0</v>
      </c>
      <c r="AW108" s="2">
        <f>COUNTIFS(集計用!$G106,"*, "&amp;AW$3&amp;", *")</f>
        <v>0</v>
      </c>
      <c r="AX108" s="2">
        <f>COUNTIFS(集計用!$G106,"*, "&amp;AX$3&amp;", *")</f>
        <v>0</v>
      </c>
      <c r="AY108" s="2">
        <f>COUNTIFS(集計用!$G106,"*, "&amp;AY$3&amp;", *")</f>
        <v>0</v>
      </c>
      <c r="AZ108" s="2">
        <f>COUNTIFS(集計用!$G106,"*, "&amp;AZ$3&amp;", *")</f>
        <v>0</v>
      </c>
      <c r="BA108" s="2">
        <f>COUNTIFS(集計用!$G106,"*, "&amp;BA$3&amp;", *")</f>
        <v>0</v>
      </c>
      <c r="BB108" s="2">
        <f>COUNTIFS(集計用!$G106,"*, "&amp;BB$3&amp;", *")</f>
        <v>0</v>
      </c>
      <c r="BC108" s="2">
        <f>COUNTIFS(集計用!$G106,"*, "&amp;BC$3&amp;", *")</f>
        <v>0</v>
      </c>
      <c r="BD108" s="2">
        <f>COUNTIFS(集計用!$G106,"*, "&amp;BD$3&amp;", *")</f>
        <v>0</v>
      </c>
      <c r="BE108" s="2">
        <f>COUNTIFS(集計用!$G106,"*, "&amp;BE$3&amp;", *")</f>
        <v>0</v>
      </c>
      <c r="BF108" s="2">
        <f>COUNTIFS(集計用!$G106,"*, "&amp;BF$3&amp;", *")</f>
        <v>0</v>
      </c>
      <c r="BG108" s="2">
        <f>COUNTIFS(集計用!$G106,"*, "&amp;BG$3&amp;", *")</f>
        <v>0</v>
      </c>
      <c r="BH108" s="2">
        <f>COUNTIFS(集計用!$G106,"*, "&amp;BH$3&amp;", *")</f>
        <v>0</v>
      </c>
      <c r="BI108" s="2">
        <f>COUNTIFS(集計用!$G106,"*, "&amp;BI$3&amp;", *")</f>
        <v>0</v>
      </c>
      <c r="BJ108" s="2">
        <f>LEN(集計用!H106)-LEN(SUBSTITUTE(集計用!H106,",",""))</f>
        <v>0</v>
      </c>
    </row>
    <row r="109" spans="1:62" ht="12.75">
      <c r="A109" s="8">
        <v>106</v>
      </c>
      <c r="C109" s="2">
        <f t="shared" si="2"/>
        <v>9</v>
      </c>
      <c r="D109" s="9"/>
      <c r="E109" s="2">
        <f>COUNTIFS(集計用!$G107,"*, "&amp;E$3&amp;", *")</f>
        <v>0</v>
      </c>
      <c r="F109" s="2">
        <f>COUNTIFS(集計用!$G107,"*, "&amp;F$3&amp;", *")</f>
        <v>1</v>
      </c>
      <c r="G109" s="2">
        <f>COUNTIFS(集計用!$G107,"*, "&amp;G$3&amp;", *")</f>
        <v>0</v>
      </c>
      <c r="H109" s="2">
        <f>COUNTIFS(集計用!$G107,"*, "&amp;H$3&amp;", *")</f>
        <v>1</v>
      </c>
      <c r="I109" s="2">
        <f>COUNTIFS(集計用!$G107,"*, "&amp;I$3&amp;", *")</f>
        <v>0</v>
      </c>
      <c r="J109" s="2">
        <f>COUNTIFS(集計用!$G107,"*, "&amp;J$3&amp;", *")</f>
        <v>1</v>
      </c>
      <c r="K109" s="2">
        <f>COUNTIFS(集計用!$G107,"*, "&amp;K$3&amp;", *")</f>
        <v>1</v>
      </c>
      <c r="L109" s="2">
        <f>COUNTIFS(集計用!$G107,"*, "&amp;L$3&amp;", *")</f>
        <v>0</v>
      </c>
      <c r="M109" s="2">
        <f>COUNTIFS(集計用!$G107,"*, "&amp;M$3&amp;", *")</f>
        <v>0</v>
      </c>
      <c r="N109" s="2">
        <f>COUNTIFS(集計用!$G107,"*, "&amp;N$3&amp;", *")</f>
        <v>0</v>
      </c>
      <c r="O109" s="2">
        <f>COUNTIFS(集計用!$G107,"*, "&amp;O$3&amp;", *")</f>
        <v>0</v>
      </c>
      <c r="P109" s="2">
        <f>COUNTIFS(集計用!$G107,"*, "&amp;P$3&amp;", *")</f>
        <v>0</v>
      </c>
      <c r="Q109" s="2">
        <f>COUNTIFS(集計用!$G107,"*, "&amp;Q$3&amp;", *")</f>
        <v>0</v>
      </c>
      <c r="R109" s="2">
        <f>COUNTIFS(集計用!$G107,"*, "&amp;R$3&amp;", *")</f>
        <v>0</v>
      </c>
      <c r="S109" s="2">
        <f>COUNTIFS(集計用!$G107,"*, "&amp;S$3&amp;", *")</f>
        <v>0</v>
      </c>
      <c r="T109" s="2">
        <f>COUNTIFS(集計用!$G107,"*, "&amp;T$3&amp;", *")</f>
        <v>0</v>
      </c>
      <c r="U109" s="2">
        <f>COUNTIFS(集計用!$G107,"*, "&amp;U$3&amp;", *")</f>
        <v>0</v>
      </c>
      <c r="V109" s="2">
        <f>COUNTIFS(集計用!$G107,"*, "&amp;V$3&amp;", *")</f>
        <v>0</v>
      </c>
      <c r="W109" s="2">
        <f>COUNTIFS(集計用!$G107,"*, "&amp;W$3&amp;", *")</f>
        <v>0</v>
      </c>
      <c r="X109" s="2">
        <f>COUNTIFS(集計用!$G107,"*, "&amp;X$3&amp;", *")</f>
        <v>0</v>
      </c>
      <c r="Y109" s="2">
        <f>COUNTIFS(集計用!$G107,"*, "&amp;Y$3&amp;", *")</f>
        <v>0</v>
      </c>
      <c r="Z109" s="2">
        <f>COUNTIFS(集計用!$G107,"*, "&amp;Z$3&amp;", *")</f>
        <v>0</v>
      </c>
      <c r="AA109" s="2">
        <f>COUNTIFS(集計用!$G107,"*, "&amp;AA$3&amp;", *")</f>
        <v>0</v>
      </c>
      <c r="AB109" s="2">
        <f>COUNTIFS(集計用!$G107,"*, "&amp;AB$3&amp;", *")</f>
        <v>0</v>
      </c>
      <c r="AC109" s="2">
        <f>COUNTIFS(集計用!$G107,"*, "&amp;AC$3&amp;", *")</f>
        <v>0</v>
      </c>
      <c r="AD109" s="2">
        <f>COUNTIFS(集計用!$G107,"*, "&amp;AD$3&amp;", *")</f>
        <v>0</v>
      </c>
      <c r="AE109" s="2">
        <f>COUNTIFS(集計用!$G107,"*, "&amp;AE$3&amp;", *")</f>
        <v>0</v>
      </c>
      <c r="AF109" s="2">
        <f>COUNTIFS(集計用!$G107,"*, "&amp;AF$3&amp;", *")</f>
        <v>0</v>
      </c>
      <c r="AG109" s="2">
        <f>COUNTIFS(集計用!$G107,"*, "&amp;AG$3&amp;", *")</f>
        <v>0</v>
      </c>
      <c r="AH109" s="2">
        <f>COUNTIFS(集計用!$G107,"*, "&amp;AH$3&amp;", *")</f>
        <v>1</v>
      </c>
      <c r="AI109" s="2">
        <f>COUNTIFS(集計用!$G107,"*, "&amp;AI$3&amp;", *")</f>
        <v>0</v>
      </c>
      <c r="AJ109" s="2">
        <f>COUNTIFS(集計用!$G107,"*, "&amp;AJ$3&amp;", *")</f>
        <v>1</v>
      </c>
      <c r="AK109" s="2">
        <f>COUNTIFS(集計用!$G107,"*, "&amp;AK$3&amp;", *")</f>
        <v>0</v>
      </c>
      <c r="AL109" s="2">
        <f>COUNTIFS(集計用!$G107,"*, "&amp;AL$3&amp;", *")</f>
        <v>0</v>
      </c>
      <c r="AM109" s="2">
        <f>COUNTIFS(集計用!$G107,"*, "&amp;AM$3&amp;", *")</f>
        <v>0</v>
      </c>
      <c r="AN109" s="2">
        <f>COUNTIFS(集計用!$G107,"*, "&amp;AN$3&amp;", *")</f>
        <v>0</v>
      </c>
      <c r="AO109" s="2">
        <f>COUNTIFS(集計用!$G107,"*, "&amp;AO$3&amp;", *")</f>
        <v>1</v>
      </c>
      <c r="AP109" s="2">
        <f>COUNTIFS(集計用!$G107,"*, "&amp;AP$3&amp;", *")</f>
        <v>0</v>
      </c>
      <c r="AQ109" s="2">
        <f>COUNTIFS(集計用!$G107,"*, "&amp;AQ$3&amp;", *")</f>
        <v>0</v>
      </c>
      <c r="AR109" s="2">
        <f>COUNTIFS(集計用!$G107,"*, "&amp;AR$3&amp;", *")</f>
        <v>0</v>
      </c>
      <c r="AS109" s="2">
        <f>COUNTIFS(集計用!$G107,"*, "&amp;AS$3&amp;", *")</f>
        <v>0</v>
      </c>
      <c r="AT109" s="2">
        <f>COUNTIFS(集計用!$G107,"*, "&amp;AT$3&amp;", *")</f>
        <v>0</v>
      </c>
      <c r="AU109" s="2">
        <f>COUNTIFS(集計用!$G107,"*, "&amp;AU$3&amp;", *")</f>
        <v>0</v>
      </c>
      <c r="AV109" s="2">
        <f>COUNTIFS(集計用!$G107,"*, "&amp;AV$3&amp;", *")</f>
        <v>1</v>
      </c>
      <c r="AW109" s="2">
        <f>COUNTIFS(集計用!$G107,"*, "&amp;AW$3&amp;", *")</f>
        <v>0</v>
      </c>
      <c r="AX109" s="2">
        <f>COUNTIFS(集計用!$G107,"*, "&amp;AX$3&amp;", *")</f>
        <v>0</v>
      </c>
      <c r="AY109" s="2">
        <f>COUNTIFS(集計用!$G107,"*, "&amp;AY$3&amp;", *")</f>
        <v>0</v>
      </c>
      <c r="AZ109" s="2">
        <f>COUNTIFS(集計用!$G107,"*, "&amp;AZ$3&amp;", *")</f>
        <v>0</v>
      </c>
      <c r="BA109" s="2">
        <f>COUNTIFS(集計用!$G107,"*, "&amp;BA$3&amp;", *")</f>
        <v>0</v>
      </c>
      <c r="BB109" s="2">
        <f>COUNTIFS(集計用!$G107,"*, "&amp;BB$3&amp;", *")</f>
        <v>0</v>
      </c>
      <c r="BC109" s="2">
        <f>COUNTIFS(集計用!$G107,"*, "&amp;BC$3&amp;", *")</f>
        <v>0</v>
      </c>
      <c r="BD109" s="2">
        <f>COUNTIFS(集計用!$G107,"*, "&amp;BD$3&amp;", *")</f>
        <v>0</v>
      </c>
      <c r="BE109" s="2">
        <f>COUNTIFS(集計用!$G107,"*, "&amp;BE$3&amp;", *")</f>
        <v>1</v>
      </c>
      <c r="BF109" s="2">
        <f>COUNTIFS(集計用!$G107,"*, "&amp;BF$3&amp;", *")</f>
        <v>0</v>
      </c>
      <c r="BG109" s="2">
        <f>COUNTIFS(集計用!$G107,"*, "&amp;BG$3&amp;", *")</f>
        <v>0</v>
      </c>
      <c r="BH109" s="2">
        <f>COUNTIFS(集計用!$G107,"*, "&amp;BH$3&amp;", *")</f>
        <v>0</v>
      </c>
      <c r="BI109" s="2">
        <f>COUNTIFS(集計用!$G107,"*, "&amp;BI$3&amp;", *")</f>
        <v>0</v>
      </c>
      <c r="BJ109" s="2">
        <f>LEN(集計用!H107)-LEN(SUBSTITUTE(集計用!H107,",",""))</f>
        <v>0</v>
      </c>
    </row>
    <row r="110" spans="1:62" ht="12.75">
      <c r="A110" s="8">
        <v>107</v>
      </c>
      <c r="C110" s="2">
        <f t="shared" si="2"/>
        <v>3</v>
      </c>
      <c r="D110" s="9"/>
      <c r="E110" s="2">
        <f>COUNTIFS(集計用!$G108,"*, "&amp;E$3&amp;", *")</f>
        <v>1</v>
      </c>
      <c r="F110" s="2">
        <f>COUNTIFS(集計用!$G108,"*, "&amp;F$3&amp;", *")</f>
        <v>0</v>
      </c>
      <c r="G110" s="2">
        <f>COUNTIFS(集計用!$G108,"*, "&amp;G$3&amp;", *")</f>
        <v>0</v>
      </c>
      <c r="H110" s="2">
        <f>COUNTIFS(集計用!$G108,"*, "&amp;H$3&amp;", *")</f>
        <v>0</v>
      </c>
      <c r="I110" s="2">
        <f>COUNTIFS(集計用!$G108,"*, "&amp;I$3&amp;", *")</f>
        <v>0</v>
      </c>
      <c r="J110" s="2">
        <f>COUNTIFS(集計用!$G108,"*, "&amp;J$3&amp;", *")</f>
        <v>0</v>
      </c>
      <c r="K110" s="2">
        <f>COUNTIFS(集計用!$G108,"*, "&amp;K$3&amp;", *")</f>
        <v>1</v>
      </c>
      <c r="L110" s="2">
        <f>COUNTIFS(集計用!$G108,"*, "&amp;L$3&amp;", *")</f>
        <v>0</v>
      </c>
      <c r="M110" s="2">
        <f>COUNTIFS(集計用!$G108,"*, "&amp;M$3&amp;", *")</f>
        <v>0</v>
      </c>
      <c r="N110" s="2">
        <f>COUNTIFS(集計用!$G108,"*, "&amp;N$3&amp;", *")</f>
        <v>0</v>
      </c>
      <c r="O110" s="2">
        <f>COUNTIFS(集計用!$G108,"*, "&amp;O$3&amp;", *")</f>
        <v>0</v>
      </c>
      <c r="P110" s="2">
        <f>COUNTIFS(集計用!$G108,"*, "&amp;P$3&amp;", *")</f>
        <v>0</v>
      </c>
      <c r="Q110" s="2">
        <f>COUNTIFS(集計用!$G108,"*, "&amp;Q$3&amp;", *")</f>
        <v>0</v>
      </c>
      <c r="R110" s="2">
        <f>COUNTIFS(集計用!$G108,"*, "&amp;R$3&amp;", *")</f>
        <v>0</v>
      </c>
      <c r="S110" s="2">
        <f>COUNTIFS(集計用!$G108,"*, "&amp;S$3&amp;", *")</f>
        <v>0</v>
      </c>
      <c r="T110" s="2">
        <f>COUNTIFS(集計用!$G108,"*, "&amp;T$3&amp;", *")</f>
        <v>0</v>
      </c>
      <c r="U110" s="2">
        <f>COUNTIFS(集計用!$G108,"*, "&amp;U$3&amp;", *")</f>
        <v>0</v>
      </c>
      <c r="V110" s="2">
        <f>COUNTIFS(集計用!$G108,"*, "&amp;V$3&amp;", *")</f>
        <v>0</v>
      </c>
      <c r="W110" s="2">
        <f>COUNTIFS(集計用!$G108,"*, "&amp;W$3&amp;", *")</f>
        <v>0</v>
      </c>
      <c r="X110" s="2">
        <f>COUNTIFS(集計用!$G108,"*, "&amp;X$3&amp;", *")</f>
        <v>0</v>
      </c>
      <c r="Y110" s="2">
        <f>COUNTIFS(集計用!$G108,"*, "&amp;Y$3&amp;", *")</f>
        <v>0</v>
      </c>
      <c r="Z110" s="2">
        <f>COUNTIFS(集計用!$G108,"*, "&amp;Z$3&amp;", *")</f>
        <v>0</v>
      </c>
      <c r="AA110" s="2">
        <f>COUNTIFS(集計用!$G108,"*, "&amp;AA$3&amp;", *")</f>
        <v>0</v>
      </c>
      <c r="AB110" s="2">
        <f>COUNTIFS(集計用!$G108,"*, "&amp;AB$3&amp;", *")</f>
        <v>0</v>
      </c>
      <c r="AC110" s="2">
        <f>COUNTIFS(集計用!$G108,"*, "&amp;AC$3&amp;", *")</f>
        <v>0</v>
      </c>
      <c r="AD110" s="2">
        <f>COUNTIFS(集計用!$G108,"*, "&amp;AD$3&amp;", *")</f>
        <v>0</v>
      </c>
      <c r="AE110" s="2">
        <f>COUNTIFS(集計用!$G108,"*, "&amp;AE$3&amp;", *")</f>
        <v>0</v>
      </c>
      <c r="AF110" s="2">
        <f>COUNTIFS(集計用!$G108,"*, "&amp;AF$3&amp;", *")</f>
        <v>1</v>
      </c>
      <c r="AG110" s="2">
        <f>COUNTIFS(集計用!$G108,"*, "&amp;AG$3&amp;", *")</f>
        <v>0</v>
      </c>
      <c r="AH110" s="2">
        <f>COUNTIFS(集計用!$G108,"*, "&amp;AH$3&amp;", *")</f>
        <v>0</v>
      </c>
      <c r="AI110" s="2">
        <f>COUNTIFS(集計用!$G108,"*, "&amp;AI$3&amp;", *")</f>
        <v>0</v>
      </c>
      <c r="AJ110" s="2">
        <f>COUNTIFS(集計用!$G108,"*, "&amp;AJ$3&amp;", *")</f>
        <v>0</v>
      </c>
      <c r="AK110" s="2">
        <f>COUNTIFS(集計用!$G108,"*, "&amp;AK$3&amp;", *")</f>
        <v>0</v>
      </c>
      <c r="AL110" s="2">
        <f>COUNTIFS(集計用!$G108,"*, "&amp;AL$3&amp;", *")</f>
        <v>0</v>
      </c>
      <c r="AM110" s="2">
        <f>COUNTIFS(集計用!$G108,"*, "&amp;AM$3&amp;", *")</f>
        <v>0</v>
      </c>
      <c r="AN110" s="2">
        <f>COUNTIFS(集計用!$G108,"*, "&amp;AN$3&amp;", *")</f>
        <v>0</v>
      </c>
      <c r="AO110" s="2">
        <f>COUNTIFS(集計用!$G108,"*, "&amp;AO$3&amp;", *")</f>
        <v>0</v>
      </c>
      <c r="AP110" s="2">
        <f>COUNTIFS(集計用!$G108,"*, "&amp;AP$3&amp;", *")</f>
        <v>0</v>
      </c>
      <c r="AQ110" s="2">
        <f>COUNTIFS(集計用!$G108,"*, "&amp;AQ$3&amp;", *")</f>
        <v>0</v>
      </c>
      <c r="AR110" s="2">
        <f>COUNTIFS(集計用!$G108,"*, "&amp;AR$3&amp;", *")</f>
        <v>0</v>
      </c>
      <c r="AS110" s="2">
        <f>COUNTIFS(集計用!$G108,"*, "&amp;AS$3&amp;", *")</f>
        <v>0</v>
      </c>
      <c r="AT110" s="2">
        <f>COUNTIFS(集計用!$G108,"*, "&amp;AT$3&amp;", *")</f>
        <v>0</v>
      </c>
      <c r="AU110" s="2">
        <f>COUNTIFS(集計用!$G108,"*, "&amp;AU$3&amp;", *")</f>
        <v>0</v>
      </c>
      <c r="AV110" s="2">
        <f>COUNTIFS(集計用!$G108,"*, "&amp;AV$3&amp;", *")</f>
        <v>0</v>
      </c>
      <c r="AW110" s="2">
        <f>COUNTIFS(集計用!$G108,"*, "&amp;AW$3&amp;", *")</f>
        <v>0</v>
      </c>
      <c r="AX110" s="2">
        <f>COUNTIFS(集計用!$G108,"*, "&amp;AX$3&amp;", *")</f>
        <v>0</v>
      </c>
      <c r="AY110" s="2">
        <f>COUNTIFS(集計用!$G108,"*, "&amp;AY$3&amp;", *")</f>
        <v>0</v>
      </c>
      <c r="AZ110" s="2">
        <f>COUNTIFS(集計用!$G108,"*, "&amp;AZ$3&amp;", *")</f>
        <v>0</v>
      </c>
      <c r="BA110" s="2">
        <f>COUNTIFS(集計用!$G108,"*, "&amp;BA$3&amp;", *")</f>
        <v>0</v>
      </c>
      <c r="BB110" s="2">
        <f>COUNTIFS(集計用!$G108,"*, "&amp;BB$3&amp;", *")</f>
        <v>0</v>
      </c>
      <c r="BC110" s="2">
        <f>COUNTIFS(集計用!$G108,"*, "&amp;BC$3&amp;", *")</f>
        <v>0</v>
      </c>
      <c r="BD110" s="2">
        <f>COUNTIFS(集計用!$G108,"*, "&amp;BD$3&amp;", *")</f>
        <v>0</v>
      </c>
      <c r="BE110" s="2">
        <f>COUNTIFS(集計用!$G108,"*, "&amp;BE$3&amp;", *")</f>
        <v>0</v>
      </c>
      <c r="BF110" s="2">
        <f>COUNTIFS(集計用!$G108,"*, "&amp;BF$3&amp;", *")</f>
        <v>0</v>
      </c>
      <c r="BG110" s="2">
        <f>COUNTIFS(集計用!$G108,"*, "&amp;BG$3&amp;", *")</f>
        <v>0</v>
      </c>
      <c r="BH110" s="2">
        <f>COUNTIFS(集計用!$G108,"*, "&amp;BH$3&amp;", *")</f>
        <v>0</v>
      </c>
      <c r="BI110" s="2">
        <f>COUNTIFS(集計用!$G108,"*, "&amp;BI$3&amp;", *")</f>
        <v>0</v>
      </c>
      <c r="BJ110" s="2">
        <f>LEN(集計用!H108)-LEN(SUBSTITUTE(集計用!H108,",",""))</f>
        <v>0</v>
      </c>
    </row>
    <row r="111" spans="1:62" ht="12.75">
      <c r="A111" s="8">
        <v>108</v>
      </c>
      <c r="C111" s="2">
        <f t="shared" si="2"/>
        <v>8</v>
      </c>
      <c r="D111" s="9"/>
      <c r="E111" s="2">
        <f>COUNTIFS(集計用!$G109,"*, "&amp;E$3&amp;", *")</f>
        <v>1</v>
      </c>
      <c r="F111" s="2">
        <f>COUNTIFS(集計用!$G109,"*, "&amp;F$3&amp;", *")</f>
        <v>1</v>
      </c>
      <c r="G111" s="2">
        <f>COUNTIFS(集計用!$G109,"*, "&amp;G$3&amp;", *")</f>
        <v>1</v>
      </c>
      <c r="H111" s="2">
        <f>COUNTIFS(集計用!$G109,"*, "&amp;H$3&amp;", *")</f>
        <v>1</v>
      </c>
      <c r="I111" s="2">
        <f>COUNTIFS(集計用!$G109,"*, "&amp;I$3&amp;", *")</f>
        <v>1</v>
      </c>
      <c r="J111" s="2">
        <f>COUNTIFS(集計用!$G109,"*, "&amp;J$3&amp;", *")</f>
        <v>0</v>
      </c>
      <c r="K111" s="2">
        <f>COUNTIFS(集計用!$G109,"*, "&amp;K$3&amp;", *")</f>
        <v>0</v>
      </c>
      <c r="L111" s="2">
        <f>COUNTIFS(集計用!$G109,"*, "&amp;L$3&amp;", *")</f>
        <v>0</v>
      </c>
      <c r="M111" s="2">
        <f>COUNTIFS(集計用!$G109,"*, "&amp;M$3&amp;", *")</f>
        <v>1</v>
      </c>
      <c r="N111" s="2">
        <f>COUNTIFS(集計用!$G109,"*, "&amp;N$3&amp;", *")</f>
        <v>0</v>
      </c>
      <c r="O111" s="2">
        <f>COUNTIFS(集計用!$G109,"*, "&amp;O$3&amp;", *")</f>
        <v>0</v>
      </c>
      <c r="P111" s="2">
        <f>COUNTIFS(集計用!$G109,"*, "&amp;P$3&amp;", *")</f>
        <v>0</v>
      </c>
      <c r="Q111" s="2">
        <f>COUNTIFS(集計用!$G109,"*, "&amp;Q$3&amp;", *")</f>
        <v>0</v>
      </c>
      <c r="R111" s="2">
        <f>COUNTIFS(集計用!$G109,"*, "&amp;R$3&amp;", *")</f>
        <v>1</v>
      </c>
      <c r="S111" s="2">
        <f>COUNTIFS(集計用!$G109,"*, "&amp;S$3&amp;", *")</f>
        <v>0</v>
      </c>
      <c r="T111" s="2">
        <f>COUNTIFS(集計用!$G109,"*, "&amp;T$3&amp;", *")</f>
        <v>1</v>
      </c>
      <c r="U111" s="2">
        <f>COUNTIFS(集計用!$G109,"*, "&amp;U$3&amp;", *")</f>
        <v>0</v>
      </c>
      <c r="V111" s="2">
        <f>COUNTIFS(集計用!$G109,"*, "&amp;V$3&amp;", *")</f>
        <v>0</v>
      </c>
      <c r="W111" s="2">
        <f>COUNTIFS(集計用!$G109,"*, "&amp;W$3&amp;", *")</f>
        <v>0</v>
      </c>
      <c r="X111" s="2">
        <f>COUNTIFS(集計用!$G109,"*, "&amp;X$3&amp;", *")</f>
        <v>0</v>
      </c>
      <c r="Y111" s="2">
        <f>COUNTIFS(集計用!$G109,"*, "&amp;Y$3&amp;", *")</f>
        <v>0</v>
      </c>
      <c r="Z111" s="2">
        <f>COUNTIFS(集計用!$G109,"*, "&amp;Z$3&amp;", *")</f>
        <v>0</v>
      </c>
      <c r="AA111" s="2">
        <f>COUNTIFS(集計用!$G109,"*, "&amp;AA$3&amp;", *")</f>
        <v>0</v>
      </c>
      <c r="AB111" s="2">
        <f>COUNTIFS(集計用!$G109,"*, "&amp;AB$3&amp;", *")</f>
        <v>0</v>
      </c>
      <c r="AC111" s="2">
        <f>COUNTIFS(集計用!$G109,"*, "&amp;AC$3&amp;", *")</f>
        <v>0</v>
      </c>
      <c r="AD111" s="2">
        <f>COUNTIFS(集計用!$G109,"*, "&amp;AD$3&amp;", *")</f>
        <v>0</v>
      </c>
      <c r="AE111" s="2">
        <f>COUNTIFS(集計用!$G109,"*, "&amp;AE$3&amp;", *")</f>
        <v>0</v>
      </c>
      <c r="AF111" s="2">
        <f>COUNTIFS(集計用!$G109,"*, "&amp;AF$3&amp;", *")</f>
        <v>0</v>
      </c>
      <c r="AG111" s="2">
        <f>COUNTIFS(集計用!$G109,"*, "&amp;AG$3&amp;", *")</f>
        <v>0</v>
      </c>
      <c r="AH111" s="2">
        <f>COUNTIFS(集計用!$G109,"*, "&amp;AH$3&amp;", *")</f>
        <v>0</v>
      </c>
      <c r="AI111" s="2">
        <f>COUNTIFS(集計用!$G109,"*, "&amp;AI$3&amp;", *")</f>
        <v>0</v>
      </c>
      <c r="AJ111" s="2">
        <f>COUNTIFS(集計用!$G109,"*, "&amp;AJ$3&amp;", *")</f>
        <v>0</v>
      </c>
      <c r="AK111" s="2">
        <f>COUNTIFS(集計用!$G109,"*, "&amp;AK$3&amp;", *")</f>
        <v>0</v>
      </c>
      <c r="AL111" s="2">
        <f>COUNTIFS(集計用!$G109,"*, "&amp;AL$3&amp;", *")</f>
        <v>0</v>
      </c>
      <c r="AM111" s="2">
        <f>COUNTIFS(集計用!$G109,"*, "&amp;AM$3&amp;", *")</f>
        <v>0</v>
      </c>
      <c r="AN111" s="2">
        <f>COUNTIFS(集計用!$G109,"*, "&amp;AN$3&amp;", *")</f>
        <v>0</v>
      </c>
      <c r="AO111" s="2">
        <f>COUNTIFS(集計用!$G109,"*, "&amp;AO$3&amp;", *")</f>
        <v>0</v>
      </c>
      <c r="AP111" s="2">
        <f>COUNTIFS(集計用!$G109,"*, "&amp;AP$3&amp;", *")</f>
        <v>0</v>
      </c>
      <c r="AQ111" s="2">
        <f>COUNTIFS(集計用!$G109,"*, "&amp;AQ$3&amp;", *")</f>
        <v>0</v>
      </c>
      <c r="AR111" s="2">
        <f>COUNTIFS(集計用!$G109,"*, "&amp;AR$3&amp;", *")</f>
        <v>0</v>
      </c>
      <c r="AS111" s="2">
        <f>COUNTIFS(集計用!$G109,"*, "&amp;AS$3&amp;", *")</f>
        <v>0</v>
      </c>
      <c r="AT111" s="2">
        <f>COUNTIFS(集計用!$G109,"*, "&amp;AT$3&amp;", *")</f>
        <v>0</v>
      </c>
      <c r="AU111" s="2">
        <f>COUNTIFS(集計用!$G109,"*, "&amp;AU$3&amp;", *")</f>
        <v>0</v>
      </c>
      <c r="AV111" s="2">
        <f>COUNTIFS(集計用!$G109,"*, "&amp;AV$3&amp;", *")</f>
        <v>0</v>
      </c>
      <c r="AW111" s="2">
        <f>COUNTIFS(集計用!$G109,"*, "&amp;AW$3&amp;", *")</f>
        <v>0</v>
      </c>
      <c r="AX111" s="2">
        <f>COUNTIFS(集計用!$G109,"*, "&amp;AX$3&amp;", *")</f>
        <v>0</v>
      </c>
      <c r="AY111" s="2">
        <f>COUNTIFS(集計用!$G109,"*, "&amp;AY$3&amp;", *")</f>
        <v>0</v>
      </c>
      <c r="AZ111" s="2">
        <f>COUNTIFS(集計用!$G109,"*, "&amp;AZ$3&amp;", *")</f>
        <v>0</v>
      </c>
      <c r="BA111" s="2">
        <f>COUNTIFS(集計用!$G109,"*, "&amp;BA$3&amp;", *")</f>
        <v>0</v>
      </c>
      <c r="BB111" s="2">
        <f>COUNTIFS(集計用!$G109,"*, "&amp;BB$3&amp;", *")</f>
        <v>0</v>
      </c>
      <c r="BC111" s="2">
        <f>COUNTIFS(集計用!$G109,"*, "&amp;BC$3&amp;", *")</f>
        <v>0</v>
      </c>
      <c r="BD111" s="2">
        <f>COUNTIFS(集計用!$G109,"*, "&amp;BD$3&amp;", *")</f>
        <v>0</v>
      </c>
      <c r="BE111" s="2">
        <f>COUNTIFS(集計用!$G109,"*, "&amp;BE$3&amp;", *")</f>
        <v>0</v>
      </c>
      <c r="BF111" s="2">
        <f>COUNTIFS(集計用!$G109,"*, "&amp;BF$3&amp;", *")</f>
        <v>0</v>
      </c>
      <c r="BG111" s="2">
        <f>COUNTIFS(集計用!$G109,"*, "&amp;BG$3&amp;", *")</f>
        <v>0</v>
      </c>
      <c r="BH111" s="2">
        <f>COUNTIFS(集計用!$G109,"*, "&amp;BH$3&amp;", *")</f>
        <v>0</v>
      </c>
      <c r="BI111" s="2">
        <f>COUNTIFS(集計用!$G109,"*, "&amp;BI$3&amp;", *")</f>
        <v>0</v>
      </c>
      <c r="BJ111" s="2">
        <f>LEN(集計用!H109)-LEN(SUBSTITUTE(集計用!H109,",",""))</f>
        <v>0</v>
      </c>
    </row>
    <row r="112" spans="1:62" ht="12.75">
      <c r="A112" s="8">
        <v>109</v>
      </c>
      <c r="C112" s="2">
        <f t="shared" si="2"/>
        <v>3</v>
      </c>
      <c r="D112" s="9"/>
      <c r="E112" s="2">
        <f>COUNTIFS(集計用!$G110,"*, "&amp;E$3&amp;", *")</f>
        <v>1</v>
      </c>
      <c r="F112" s="2">
        <f>COUNTIFS(集計用!$G110,"*, "&amp;F$3&amp;", *")</f>
        <v>1</v>
      </c>
      <c r="G112" s="2">
        <f>COUNTIFS(集計用!$G110,"*, "&amp;G$3&amp;", *")</f>
        <v>0</v>
      </c>
      <c r="H112" s="2">
        <f>COUNTIFS(集計用!$G110,"*, "&amp;H$3&amp;", *")</f>
        <v>0</v>
      </c>
      <c r="I112" s="2">
        <f>COUNTIFS(集計用!$G110,"*, "&amp;I$3&amp;", *")</f>
        <v>0</v>
      </c>
      <c r="J112" s="2">
        <f>COUNTIFS(集計用!$G110,"*, "&amp;J$3&amp;", *")</f>
        <v>0</v>
      </c>
      <c r="K112" s="2">
        <f>COUNTIFS(集計用!$G110,"*, "&amp;K$3&amp;", *")</f>
        <v>0</v>
      </c>
      <c r="L112" s="2">
        <f>COUNTIFS(集計用!$G110,"*, "&amp;L$3&amp;", *")</f>
        <v>0</v>
      </c>
      <c r="M112" s="2">
        <f>COUNTIFS(集計用!$G110,"*, "&amp;M$3&amp;", *")</f>
        <v>1</v>
      </c>
      <c r="N112" s="2">
        <f>COUNTIFS(集計用!$G110,"*, "&amp;N$3&amp;", *")</f>
        <v>0</v>
      </c>
      <c r="O112" s="2">
        <f>COUNTIFS(集計用!$G110,"*, "&amp;O$3&amp;", *")</f>
        <v>0</v>
      </c>
      <c r="P112" s="2">
        <f>COUNTIFS(集計用!$G110,"*, "&amp;P$3&amp;", *")</f>
        <v>0</v>
      </c>
      <c r="Q112" s="2">
        <f>COUNTIFS(集計用!$G110,"*, "&amp;Q$3&amp;", *")</f>
        <v>0</v>
      </c>
      <c r="R112" s="2">
        <f>COUNTIFS(集計用!$G110,"*, "&amp;R$3&amp;", *")</f>
        <v>0</v>
      </c>
      <c r="S112" s="2">
        <f>COUNTIFS(集計用!$G110,"*, "&amp;S$3&amp;", *")</f>
        <v>0</v>
      </c>
      <c r="T112" s="2">
        <f>COUNTIFS(集計用!$G110,"*, "&amp;T$3&amp;", *")</f>
        <v>0</v>
      </c>
      <c r="U112" s="2">
        <f>COUNTIFS(集計用!$G110,"*, "&amp;U$3&amp;", *")</f>
        <v>0</v>
      </c>
      <c r="V112" s="2">
        <f>COUNTIFS(集計用!$G110,"*, "&amp;V$3&amp;", *")</f>
        <v>0</v>
      </c>
      <c r="W112" s="2">
        <f>COUNTIFS(集計用!$G110,"*, "&amp;W$3&amp;", *")</f>
        <v>0</v>
      </c>
      <c r="X112" s="2">
        <f>COUNTIFS(集計用!$G110,"*, "&amp;X$3&amp;", *")</f>
        <v>0</v>
      </c>
      <c r="Y112" s="2">
        <f>COUNTIFS(集計用!$G110,"*, "&amp;Y$3&amp;", *")</f>
        <v>0</v>
      </c>
      <c r="Z112" s="2">
        <f>COUNTIFS(集計用!$G110,"*, "&amp;Z$3&amp;", *")</f>
        <v>0</v>
      </c>
      <c r="AA112" s="2">
        <f>COUNTIFS(集計用!$G110,"*, "&amp;AA$3&amp;", *")</f>
        <v>0</v>
      </c>
      <c r="AB112" s="2">
        <f>COUNTIFS(集計用!$G110,"*, "&amp;AB$3&amp;", *")</f>
        <v>0</v>
      </c>
      <c r="AC112" s="2">
        <f>COUNTIFS(集計用!$G110,"*, "&amp;AC$3&amp;", *")</f>
        <v>0</v>
      </c>
      <c r="AD112" s="2">
        <f>COUNTIFS(集計用!$G110,"*, "&amp;AD$3&amp;", *")</f>
        <v>0</v>
      </c>
      <c r="AE112" s="2">
        <f>COUNTIFS(集計用!$G110,"*, "&amp;AE$3&amp;", *")</f>
        <v>0</v>
      </c>
      <c r="AF112" s="2">
        <f>COUNTIFS(集計用!$G110,"*, "&amp;AF$3&amp;", *")</f>
        <v>0</v>
      </c>
      <c r="AG112" s="2">
        <f>COUNTIFS(集計用!$G110,"*, "&amp;AG$3&amp;", *")</f>
        <v>0</v>
      </c>
      <c r="AH112" s="2">
        <f>COUNTIFS(集計用!$G110,"*, "&amp;AH$3&amp;", *")</f>
        <v>0</v>
      </c>
      <c r="AI112" s="2">
        <f>COUNTIFS(集計用!$G110,"*, "&amp;AI$3&amp;", *")</f>
        <v>0</v>
      </c>
      <c r="AJ112" s="2">
        <f>COUNTIFS(集計用!$G110,"*, "&amp;AJ$3&amp;", *")</f>
        <v>0</v>
      </c>
      <c r="AK112" s="2">
        <f>COUNTIFS(集計用!$G110,"*, "&amp;AK$3&amp;", *")</f>
        <v>0</v>
      </c>
      <c r="AL112" s="2">
        <f>COUNTIFS(集計用!$G110,"*, "&amp;AL$3&amp;", *")</f>
        <v>0</v>
      </c>
      <c r="AM112" s="2">
        <f>COUNTIFS(集計用!$G110,"*, "&amp;AM$3&amp;", *")</f>
        <v>0</v>
      </c>
      <c r="AN112" s="2">
        <f>COUNTIFS(集計用!$G110,"*, "&amp;AN$3&amp;", *")</f>
        <v>0</v>
      </c>
      <c r="AO112" s="2">
        <f>COUNTIFS(集計用!$G110,"*, "&amp;AO$3&amp;", *")</f>
        <v>0</v>
      </c>
      <c r="AP112" s="2">
        <f>COUNTIFS(集計用!$G110,"*, "&amp;AP$3&amp;", *")</f>
        <v>0</v>
      </c>
      <c r="AQ112" s="2">
        <f>COUNTIFS(集計用!$G110,"*, "&amp;AQ$3&amp;", *")</f>
        <v>0</v>
      </c>
      <c r="AR112" s="2">
        <f>COUNTIFS(集計用!$G110,"*, "&amp;AR$3&amp;", *")</f>
        <v>0</v>
      </c>
      <c r="AS112" s="2">
        <f>COUNTIFS(集計用!$G110,"*, "&amp;AS$3&amp;", *")</f>
        <v>0</v>
      </c>
      <c r="AT112" s="2">
        <f>COUNTIFS(集計用!$G110,"*, "&amp;AT$3&amp;", *")</f>
        <v>0</v>
      </c>
      <c r="AU112" s="2">
        <f>COUNTIFS(集計用!$G110,"*, "&amp;AU$3&amp;", *")</f>
        <v>0</v>
      </c>
      <c r="AV112" s="2">
        <f>COUNTIFS(集計用!$G110,"*, "&amp;AV$3&amp;", *")</f>
        <v>0</v>
      </c>
      <c r="AW112" s="2">
        <f>COUNTIFS(集計用!$G110,"*, "&amp;AW$3&amp;", *")</f>
        <v>0</v>
      </c>
      <c r="AX112" s="2">
        <f>COUNTIFS(集計用!$G110,"*, "&amp;AX$3&amp;", *")</f>
        <v>0</v>
      </c>
      <c r="AY112" s="2">
        <f>COUNTIFS(集計用!$G110,"*, "&amp;AY$3&amp;", *")</f>
        <v>0</v>
      </c>
      <c r="AZ112" s="2">
        <f>COUNTIFS(集計用!$G110,"*, "&amp;AZ$3&amp;", *")</f>
        <v>0</v>
      </c>
      <c r="BA112" s="2">
        <f>COUNTIFS(集計用!$G110,"*, "&amp;BA$3&amp;", *")</f>
        <v>0</v>
      </c>
      <c r="BB112" s="2">
        <f>COUNTIFS(集計用!$G110,"*, "&amp;BB$3&amp;", *")</f>
        <v>0</v>
      </c>
      <c r="BC112" s="2">
        <f>COUNTIFS(集計用!$G110,"*, "&amp;BC$3&amp;", *")</f>
        <v>0</v>
      </c>
      <c r="BD112" s="2">
        <f>COUNTIFS(集計用!$G110,"*, "&amp;BD$3&amp;", *")</f>
        <v>0</v>
      </c>
      <c r="BE112" s="2">
        <f>COUNTIFS(集計用!$G110,"*, "&amp;BE$3&amp;", *")</f>
        <v>0</v>
      </c>
      <c r="BF112" s="2">
        <f>COUNTIFS(集計用!$G110,"*, "&amp;BF$3&amp;", *")</f>
        <v>0</v>
      </c>
      <c r="BG112" s="2">
        <f>COUNTIFS(集計用!$G110,"*, "&amp;BG$3&amp;", *")</f>
        <v>0</v>
      </c>
      <c r="BH112" s="2">
        <f>COUNTIFS(集計用!$G110,"*, "&amp;BH$3&amp;", *")</f>
        <v>0</v>
      </c>
      <c r="BI112" s="2">
        <f>COUNTIFS(集計用!$G110,"*, "&amp;BI$3&amp;", *")</f>
        <v>0</v>
      </c>
      <c r="BJ112" s="2">
        <f>LEN(集計用!H110)-LEN(SUBSTITUTE(集計用!H110,",",""))</f>
        <v>0</v>
      </c>
    </row>
    <row r="113" spans="1:62" ht="12.75">
      <c r="A113" s="8">
        <v>110</v>
      </c>
      <c r="C113" s="2">
        <f t="shared" si="2"/>
        <v>1</v>
      </c>
      <c r="D113" s="9"/>
      <c r="E113" s="2">
        <f>COUNTIFS(集計用!$G111,"*, "&amp;E$3&amp;", *")</f>
        <v>0</v>
      </c>
      <c r="F113" s="2">
        <f>COUNTIFS(集計用!$G111,"*, "&amp;F$3&amp;", *")</f>
        <v>0</v>
      </c>
      <c r="G113" s="2">
        <f>COUNTIFS(集計用!$G111,"*, "&amp;G$3&amp;", *")</f>
        <v>0</v>
      </c>
      <c r="H113" s="2">
        <f>COUNTIFS(集計用!$G111,"*, "&amp;H$3&amp;", *")</f>
        <v>0</v>
      </c>
      <c r="I113" s="2">
        <f>COUNTIFS(集計用!$G111,"*, "&amp;I$3&amp;", *")</f>
        <v>0</v>
      </c>
      <c r="J113" s="2">
        <f>COUNTIFS(集計用!$G111,"*, "&amp;J$3&amp;", *")</f>
        <v>0</v>
      </c>
      <c r="K113" s="2">
        <f>COUNTIFS(集計用!$G111,"*, "&amp;K$3&amp;", *")</f>
        <v>0</v>
      </c>
      <c r="L113" s="2">
        <f>COUNTIFS(集計用!$G111,"*, "&amp;L$3&amp;", *")</f>
        <v>0</v>
      </c>
      <c r="M113" s="2">
        <f>COUNTIFS(集計用!$G111,"*, "&amp;M$3&amp;", *")</f>
        <v>0</v>
      </c>
      <c r="N113" s="2">
        <f>COUNTIFS(集計用!$G111,"*, "&amp;N$3&amp;", *")</f>
        <v>0</v>
      </c>
      <c r="O113" s="2">
        <f>COUNTIFS(集計用!$G111,"*, "&amp;O$3&amp;", *")</f>
        <v>0</v>
      </c>
      <c r="P113" s="2">
        <f>COUNTIFS(集計用!$G111,"*, "&amp;P$3&amp;", *")</f>
        <v>0</v>
      </c>
      <c r="Q113" s="2">
        <f>COUNTIFS(集計用!$G111,"*, "&amp;Q$3&amp;", *")</f>
        <v>1</v>
      </c>
      <c r="R113" s="2">
        <f>COUNTIFS(集計用!$G111,"*, "&amp;R$3&amp;", *")</f>
        <v>0</v>
      </c>
      <c r="S113" s="2">
        <f>COUNTIFS(集計用!$G111,"*, "&amp;S$3&amp;", *")</f>
        <v>0</v>
      </c>
      <c r="T113" s="2">
        <f>COUNTIFS(集計用!$G111,"*, "&amp;T$3&amp;", *")</f>
        <v>0</v>
      </c>
      <c r="U113" s="2">
        <f>COUNTIFS(集計用!$G111,"*, "&amp;U$3&amp;", *")</f>
        <v>0</v>
      </c>
      <c r="V113" s="2">
        <f>COUNTIFS(集計用!$G111,"*, "&amp;V$3&amp;", *")</f>
        <v>0</v>
      </c>
      <c r="W113" s="2">
        <f>COUNTIFS(集計用!$G111,"*, "&amp;W$3&amp;", *")</f>
        <v>0</v>
      </c>
      <c r="X113" s="2">
        <f>COUNTIFS(集計用!$G111,"*, "&amp;X$3&amp;", *")</f>
        <v>0</v>
      </c>
      <c r="Y113" s="2">
        <f>COUNTIFS(集計用!$G111,"*, "&amp;Y$3&amp;", *")</f>
        <v>0</v>
      </c>
      <c r="Z113" s="2">
        <f>COUNTIFS(集計用!$G111,"*, "&amp;Z$3&amp;", *")</f>
        <v>0</v>
      </c>
      <c r="AA113" s="2">
        <f>COUNTIFS(集計用!$G111,"*, "&amp;AA$3&amp;", *")</f>
        <v>0</v>
      </c>
      <c r="AB113" s="2">
        <f>COUNTIFS(集計用!$G111,"*, "&amp;AB$3&amp;", *")</f>
        <v>0</v>
      </c>
      <c r="AC113" s="2">
        <f>COUNTIFS(集計用!$G111,"*, "&amp;AC$3&amp;", *")</f>
        <v>0</v>
      </c>
      <c r="AD113" s="2">
        <f>COUNTIFS(集計用!$G111,"*, "&amp;AD$3&amp;", *")</f>
        <v>0</v>
      </c>
      <c r="AE113" s="2">
        <f>COUNTIFS(集計用!$G111,"*, "&amp;AE$3&amp;", *")</f>
        <v>0</v>
      </c>
      <c r="AF113" s="2">
        <f>COUNTIFS(集計用!$G111,"*, "&amp;AF$3&amp;", *")</f>
        <v>0</v>
      </c>
      <c r="AG113" s="2">
        <f>COUNTIFS(集計用!$G111,"*, "&amp;AG$3&amp;", *")</f>
        <v>0</v>
      </c>
      <c r="AH113" s="2">
        <f>COUNTIFS(集計用!$G111,"*, "&amp;AH$3&amp;", *")</f>
        <v>0</v>
      </c>
      <c r="AI113" s="2">
        <f>COUNTIFS(集計用!$G111,"*, "&amp;AI$3&amp;", *")</f>
        <v>0</v>
      </c>
      <c r="AJ113" s="2">
        <f>COUNTIFS(集計用!$G111,"*, "&amp;AJ$3&amp;", *")</f>
        <v>0</v>
      </c>
      <c r="AK113" s="2">
        <f>COUNTIFS(集計用!$G111,"*, "&amp;AK$3&amp;", *")</f>
        <v>0</v>
      </c>
      <c r="AL113" s="2">
        <f>COUNTIFS(集計用!$G111,"*, "&amp;AL$3&amp;", *")</f>
        <v>0</v>
      </c>
      <c r="AM113" s="2">
        <f>COUNTIFS(集計用!$G111,"*, "&amp;AM$3&amp;", *")</f>
        <v>0</v>
      </c>
      <c r="AN113" s="2">
        <f>COUNTIFS(集計用!$G111,"*, "&amp;AN$3&amp;", *")</f>
        <v>0</v>
      </c>
      <c r="AO113" s="2">
        <f>COUNTIFS(集計用!$G111,"*, "&amp;AO$3&amp;", *")</f>
        <v>0</v>
      </c>
      <c r="AP113" s="2">
        <f>COUNTIFS(集計用!$G111,"*, "&amp;AP$3&amp;", *")</f>
        <v>0</v>
      </c>
      <c r="AQ113" s="2">
        <f>COUNTIFS(集計用!$G111,"*, "&amp;AQ$3&amp;", *")</f>
        <v>0</v>
      </c>
      <c r="AR113" s="2">
        <f>COUNTIFS(集計用!$G111,"*, "&amp;AR$3&amp;", *")</f>
        <v>0</v>
      </c>
      <c r="AS113" s="2">
        <f>COUNTIFS(集計用!$G111,"*, "&amp;AS$3&amp;", *")</f>
        <v>0</v>
      </c>
      <c r="AT113" s="2">
        <f>COUNTIFS(集計用!$G111,"*, "&amp;AT$3&amp;", *")</f>
        <v>0</v>
      </c>
      <c r="AU113" s="2">
        <f>COUNTIFS(集計用!$G111,"*, "&amp;AU$3&amp;", *")</f>
        <v>0</v>
      </c>
      <c r="AV113" s="2">
        <f>COUNTIFS(集計用!$G111,"*, "&amp;AV$3&amp;", *")</f>
        <v>0</v>
      </c>
      <c r="AW113" s="2">
        <f>COUNTIFS(集計用!$G111,"*, "&amp;AW$3&amp;", *")</f>
        <v>0</v>
      </c>
      <c r="AX113" s="2">
        <f>COUNTIFS(集計用!$G111,"*, "&amp;AX$3&amp;", *")</f>
        <v>0</v>
      </c>
      <c r="AY113" s="2">
        <f>COUNTIFS(集計用!$G111,"*, "&amp;AY$3&amp;", *")</f>
        <v>0</v>
      </c>
      <c r="AZ113" s="2">
        <f>COUNTIFS(集計用!$G111,"*, "&amp;AZ$3&amp;", *")</f>
        <v>0</v>
      </c>
      <c r="BA113" s="2">
        <f>COUNTIFS(集計用!$G111,"*, "&amp;BA$3&amp;", *")</f>
        <v>0</v>
      </c>
      <c r="BB113" s="2">
        <f>COUNTIFS(集計用!$G111,"*, "&amp;BB$3&amp;", *")</f>
        <v>0</v>
      </c>
      <c r="BC113" s="2">
        <f>COUNTIFS(集計用!$G111,"*, "&amp;BC$3&amp;", *")</f>
        <v>0</v>
      </c>
      <c r="BD113" s="2">
        <f>COUNTIFS(集計用!$G111,"*, "&amp;BD$3&amp;", *")</f>
        <v>0</v>
      </c>
      <c r="BE113" s="2">
        <f>COUNTIFS(集計用!$G111,"*, "&amp;BE$3&amp;", *")</f>
        <v>0</v>
      </c>
      <c r="BF113" s="2">
        <f>COUNTIFS(集計用!$G111,"*, "&amp;BF$3&amp;", *")</f>
        <v>0</v>
      </c>
      <c r="BG113" s="2">
        <f>COUNTIFS(集計用!$G111,"*, "&amp;BG$3&amp;", *")</f>
        <v>0</v>
      </c>
      <c r="BH113" s="2">
        <f>COUNTIFS(集計用!$G111,"*, "&amp;BH$3&amp;", *")</f>
        <v>0</v>
      </c>
      <c r="BI113" s="2">
        <f>COUNTIFS(集計用!$G111,"*, "&amp;BI$3&amp;", *")</f>
        <v>0</v>
      </c>
      <c r="BJ113" s="2">
        <f>LEN(集計用!H111)-LEN(SUBSTITUTE(集計用!H111,",",""))</f>
        <v>0</v>
      </c>
    </row>
    <row r="114" spans="1:62" ht="12.75">
      <c r="A114" s="8">
        <v>111</v>
      </c>
      <c r="C114" s="2">
        <f t="shared" si="2"/>
        <v>1</v>
      </c>
      <c r="D114" s="9"/>
      <c r="E114" s="2">
        <f>COUNTIFS(集計用!$G112,"*, "&amp;E$3&amp;", *")</f>
        <v>1</v>
      </c>
      <c r="F114" s="2">
        <f>COUNTIFS(集計用!$G112,"*, "&amp;F$3&amp;", *")</f>
        <v>0</v>
      </c>
      <c r="G114" s="2">
        <f>COUNTIFS(集計用!$G112,"*, "&amp;G$3&amp;", *")</f>
        <v>0</v>
      </c>
      <c r="H114" s="2">
        <f>COUNTIFS(集計用!$G112,"*, "&amp;H$3&amp;", *")</f>
        <v>0</v>
      </c>
      <c r="I114" s="2">
        <f>COUNTIFS(集計用!$G112,"*, "&amp;I$3&amp;", *")</f>
        <v>0</v>
      </c>
      <c r="J114" s="2">
        <f>COUNTIFS(集計用!$G112,"*, "&amp;J$3&amp;", *")</f>
        <v>0</v>
      </c>
      <c r="K114" s="2">
        <f>COUNTIFS(集計用!$G112,"*, "&amp;K$3&amp;", *")</f>
        <v>0</v>
      </c>
      <c r="L114" s="2">
        <f>COUNTIFS(集計用!$G112,"*, "&amp;L$3&amp;", *")</f>
        <v>0</v>
      </c>
      <c r="M114" s="2">
        <f>COUNTIFS(集計用!$G112,"*, "&amp;M$3&amp;", *")</f>
        <v>0</v>
      </c>
      <c r="N114" s="2">
        <f>COUNTIFS(集計用!$G112,"*, "&amp;N$3&amp;", *")</f>
        <v>0</v>
      </c>
      <c r="O114" s="2">
        <f>COUNTIFS(集計用!$G112,"*, "&amp;O$3&amp;", *")</f>
        <v>0</v>
      </c>
      <c r="P114" s="2">
        <f>COUNTIFS(集計用!$G112,"*, "&amp;P$3&amp;", *")</f>
        <v>0</v>
      </c>
      <c r="Q114" s="2">
        <f>COUNTIFS(集計用!$G112,"*, "&amp;Q$3&amp;", *")</f>
        <v>0</v>
      </c>
      <c r="R114" s="2">
        <f>COUNTIFS(集計用!$G112,"*, "&amp;R$3&amp;", *")</f>
        <v>0</v>
      </c>
      <c r="S114" s="2">
        <f>COUNTIFS(集計用!$G112,"*, "&amp;S$3&amp;", *")</f>
        <v>0</v>
      </c>
      <c r="T114" s="2">
        <f>COUNTIFS(集計用!$G112,"*, "&amp;T$3&amp;", *")</f>
        <v>0</v>
      </c>
      <c r="U114" s="2">
        <f>COUNTIFS(集計用!$G112,"*, "&amp;U$3&amp;", *")</f>
        <v>0</v>
      </c>
      <c r="V114" s="2">
        <f>COUNTIFS(集計用!$G112,"*, "&amp;V$3&amp;", *")</f>
        <v>0</v>
      </c>
      <c r="W114" s="2">
        <f>COUNTIFS(集計用!$G112,"*, "&amp;W$3&amp;", *")</f>
        <v>0</v>
      </c>
      <c r="X114" s="2">
        <f>COUNTIFS(集計用!$G112,"*, "&amp;X$3&amp;", *")</f>
        <v>0</v>
      </c>
      <c r="Y114" s="2">
        <f>COUNTIFS(集計用!$G112,"*, "&amp;Y$3&amp;", *")</f>
        <v>0</v>
      </c>
      <c r="Z114" s="2">
        <f>COUNTIFS(集計用!$G112,"*, "&amp;Z$3&amp;", *")</f>
        <v>0</v>
      </c>
      <c r="AA114" s="2">
        <f>COUNTIFS(集計用!$G112,"*, "&amp;AA$3&amp;", *")</f>
        <v>0</v>
      </c>
      <c r="AB114" s="2">
        <f>COUNTIFS(集計用!$G112,"*, "&amp;AB$3&amp;", *")</f>
        <v>0</v>
      </c>
      <c r="AC114" s="2">
        <f>COUNTIFS(集計用!$G112,"*, "&amp;AC$3&amp;", *")</f>
        <v>0</v>
      </c>
      <c r="AD114" s="2">
        <f>COUNTIFS(集計用!$G112,"*, "&amp;AD$3&amp;", *")</f>
        <v>0</v>
      </c>
      <c r="AE114" s="2">
        <f>COUNTIFS(集計用!$G112,"*, "&amp;AE$3&amp;", *")</f>
        <v>0</v>
      </c>
      <c r="AF114" s="2">
        <f>COUNTIFS(集計用!$G112,"*, "&amp;AF$3&amp;", *")</f>
        <v>0</v>
      </c>
      <c r="AG114" s="2">
        <f>COUNTIFS(集計用!$G112,"*, "&amp;AG$3&amp;", *")</f>
        <v>0</v>
      </c>
      <c r="AH114" s="2">
        <f>COUNTIFS(集計用!$G112,"*, "&amp;AH$3&amp;", *")</f>
        <v>0</v>
      </c>
      <c r="AI114" s="2">
        <f>COUNTIFS(集計用!$G112,"*, "&amp;AI$3&amp;", *")</f>
        <v>0</v>
      </c>
      <c r="AJ114" s="2">
        <f>COUNTIFS(集計用!$G112,"*, "&amp;AJ$3&amp;", *")</f>
        <v>0</v>
      </c>
      <c r="AK114" s="2">
        <f>COUNTIFS(集計用!$G112,"*, "&amp;AK$3&amp;", *")</f>
        <v>0</v>
      </c>
      <c r="AL114" s="2">
        <f>COUNTIFS(集計用!$G112,"*, "&amp;AL$3&amp;", *")</f>
        <v>0</v>
      </c>
      <c r="AM114" s="2">
        <f>COUNTIFS(集計用!$G112,"*, "&amp;AM$3&amp;", *")</f>
        <v>0</v>
      </c>
      <c r="AN114" s="2">
        <f>COUNTIFS(集計用!$G112,"*, "&amp;AN$3&amp;", *")</f>
        <v>0</v>
      </c>
      <c r="AO114" s="2">
        <f>COUNTIFS(集計用!$G112,"*, "&amp;AO$3&amp;", *")</f>
        <v>0</v>
      </c>
      <c r="AP114" s="2">
        <f>COUNTIFS(集計用!$G112,"*, "&amp;AP$3&amp;", *")</f>
        <v>0</v>
      </c>
      <c r="AQ114" s="2">
        <f>COUNTIFS(集計用!$G112,"*, "&amp;AQ$3&amp;", *")</f>
        <v>0</v>
      </c>
      <c r="AR114" s="2">
        <f>COUNTIFS(集計用!$G112,"*, "&amp;AR$3&amp;", *")</f>
        <v>0</v>
      </c>
      <c r="AS114" s="2">
        <f>COUNTIFS(集計用!$G112,"*, "&amp;AS$3&amp;", *")</f>
        <v>0</v>
      </c>
      <c r="AT114" s="2">
        <f>COUNTIFS(集計用!$G112,"*, "&amp;AT$3&amp;", *")</f>
        <v>0</v>
      </c>
      <c r="AU114" s="2">
        <f>COUNTIFS(集計用!$G112,"*, "&amp;AU$3&amp;", *")</f>
        <v>0</v>
      </c>
      <c r="AV114" s="2">
        <f>COUNTIFS(集計用!$G112,"*, "&amp;AV$3&amp;", *")</f>
        <v>0</v>
      </c>
      <c r="AW114" s="2">
        <f>COUNTIFS(集計用!$G112,"*, "&amp;AW$3&amp;", *")</f>
        <v>0</v>
      </c>
      <c r="AX114" s="2">
        <f>COUNTIFS(集計用!$G112,"*, "&amp;AX$3&amp;", *")</f>
        <v>0</v>
      </c>
      <c r="AY114" s="2">
        <f>COUNTIFS(集計用!$G112,"*, "&amp;AY$3&amp;", *")</f>
        <v>0</v>
      </c>
      <c r="AZ114" s="2">
        <f>COUNTIFS(集計用!$G112,"*, "&amp;AZ$3&amp;", *")</f>
        <v>0</v>
      </c>
      <c r="BA114" s="2">
        <f>COUNTIFS(集計用!$G112,"*, "&amp;BA$3&amp;", *")</f>
        <v>0</v>
      </c>
      <c r="BB114" s="2">
        <f>COUNTIFS(集計用!$G112,"*, "&amp;BB$3&amp;", *")</f>
        <v>0</v>
      </c>
      <c r="BC114" s="2">
        <f>COUNTIFS(集計用!$G112,"*, "&amp;BC$3&amp;", *")</f>
        <v>0</v>
      </c>
      <c r="BD114" s="2">
        <f>COUNTIFS(集計用!$G112,"*, "&amp;BD$3&amp;", *")</f>
        <v>0</v>
      </c>
      <c r="BE114" s="2">
        <f>COUNTIFS(集計用!$G112,"*, "&amp;BE$3&amp;", *")</f>
        <v>0</v>
      </c>
      <c r="BF114" s="2">
        <f>COUNTIFS(集計用!$G112,"*, "&amp;BF$3&amp;", *")</f>
        <v>0</v>
      </c>
      <c r="BG114" s="2">
        <f>COUNTIFS(集計用!$G112,"*, "&amp;BG$3&amp;", *")</f>
        <v>0</v>
      </c>
      <c r="BH114" s="2">
        <f>COUNTIFS(集計用!$G112,"*, "&amp;BH$3&amp;", *")</f>
        <v>0</v>
      </c>
      <c r="BI114" s="2">
        <f>COUNTIFS(集計用!$G112,"*, "&amp;BI$3&amp;", *")</f>
        <v>0</v>
      </c>
      <c r="BJ114" s="2">
        <f>LEN(集計用!H112)-LEN(SUBSTITUTE(集計用!H112,",",""))</f>
        <v>0</v>
      </c>
    </row>
    <row r="115" spans="1:62" ht="12.75">
      <c r="A115" s="8"/>
      <c r="D115" s="9"/>
      <c r="E115" s="2">
        <f>COUNTIFS(集計用!$G113,"*, "&amp;E$3&amp;", *")</f>
        <v>1</v>
      </c>
      <c r="F115" s="2">
        <f>COUNTIFS(集計用!$G113,"*, "&amp;F$3&amp;", *")</f>
        <v>0</v>
      </c>
      <c r="G115" s="2">
        <f>COUNTIFS(集計用!$G113,"*, "&amp;G$3&amp;", *")</f>
        <v>0</v>
      </c>
      <c r="H115" s="2">
        <f>COUNTIFS(集計用!$G113,"*, "&amp;H$3&amp;", *")</f>
        <v>0</v>
      </c>
      <c r="I115" s="2">
        <f>COUNTIFS(集計用!$G113,"*, "&amp;I$3&amp;", *")</f>
        <v>1</v>
      </c>
      <c r="J115" s="2">
        <f>COUNTIFS(集計用!$G113,"*, "&amp;J$3&amp;", *")</f>
        <v>0</v>
      </c>
      <c r="K115" s="2">
        <f>COUNTIFS(集計用!$G113,"*, "&amp;K$3&amp;", *")</f>
        <v>0</v>
      </c>
      <c r="L115" s="2">
        <f>COUNTIFS(集計用!$G113,"*, "&amp;L$3&amp;", *")</f>
        <v>0</v>
      </c>
      <c r="M115" s="2">
        <f>COUNTIFS(集計用!$G113,"*, "&amp;M$3&amp;", *")</f>
        <v>0</v>
      </c>
      <c r="N115" s="2">
        <f>COUNTIFS(集計用!$G113,"*, "&amp;N$3&amp;", *")</f>
        <v>0</v>
      </c>
      <c r="O115" s="2">
        <f>COUNTIFS(集計用!$G113,"*, "&amp;O$3&amp;", *")</f>
        <v>0</v>
      </c>
      <c r="P115" s="2">
        <f>COUNTIFS(集計用!$G113,"*, "&amp;P$3&amp;", *")</f>
        <v>0</v>
      </c>
      <c r="Q115" s="2">
        <f>COUNTIFS(集計用!$G113,"*, "&amp;Q$3&amp;", *")</f>
        <v>0</v>
      </c>
      <c r="R115" s="2">
        <f>COUNTIFS(集計用!$G113,"*, "&amp;R$3&amp;", *")</f>
        <v>0</v>
      </c>
      <c r="S115" s="2">
        <f>COUNTIFS(集計用!$G113,"*, "&amp;S$3&amp;", *")</f>
        <v>0</v>
      </c>
      <c r="T115" s="2">
        <f>COUNTIFS(集計用!$G113,"*, "&amp;T$3&amp;", *")</f>
        <v>1</v>
      </c>
      <c r="U115" s="2">
        <f>COUNTIFS(集計用!$G113,"*, "&amp;U$3&amp;", *")</f>
        <v>0</v>
      </c>
      <c r="V115" s="2">
        <f>COUNTIFS(集計用!$G113,"*, "&amp;V$3&amp;", *")</f>
        <v>0</v>
      </c>
      <c r="W115" s="2">
        <f>COUNTIFS(集計用!$G113,"*, "&amp;W$3&amp;", *")</f>
        <v>0</v>
      </c>
      <c r="X115" s="2">
        <f>COUNTIFS(集計用!$G113,"*, "&amp;X$3&amp;", *")</f>
        <v>1</v>
      </c>
      <c r="Y115" s="2">
        <f>COUNTIFS(集計用!$G113,"*, "&amp;Y$3&amp;", *")</f>
        <v>0</v>
      </c>
      <c r="Z115" s="2">
        <f>COUNTIFS(集計用!$G113,"*, "&amp;Z$3&amp;", *")</f>
        <v>0</v>
      </c>
      <c r="AA115" s="2">
        <f>COUNTIFS(集計用!$G113,"*, "&amp;AA$3&amp;", *")</f>
        <v>0</v>
      </c>
      <c r="AB115" s="2">
        <f>COUNTIFS(集計用!$G113,"*, "&amp;AB$3&amp;", *")</f>
        <v>0</v>
      </c>
      <c r="AC115" s="2">
        <f>COUNTIFS(集計用!$G113,"*, "&amp;AC$3&amp;", *")</f>
        <v>0</v>
      </c>
      <c r="AD115" s="2">
        <f>COUNTIFS(集計用!$G113,"*, "&amp;AD$3&amp;", *")</f>
        <v>0</v>
      </c>
      <c r="AE115" s="2">
        <f>COUNTIFS(集計用!$G113,"*, "&amp;AE$3&amp;", *")</f>
        <v>0</v>
      </c>
      <c r="AF115" s="2">
        <f>COUNTIFS(集計用!$G113,"*, "&amp;AF$3&amp;", *")</f>
        <v>0</v>
      </c>
      <c r="AG115" s="2">
        <f>COUNTIFS(集計用!$G113,"*, "&amp;AG$3&amp;", *")</f>
        <v>0</v>
      </c>
      <c r="AH115" s="2">
        <f>COUNTIFS(集計用!$G113,"*, "&amp;AH$3&amp;", *")</f>
        <v>0</v>
      </c>
      <c r="AI115" s="2">
        <f>COUNTIFS(集計用!$G113,"*, "&amp;AI$3&amp;", *")</f>
        <v>0</v>
      </c>
      <c r="AJ115" s="2">
        <f>COUNTIFS(集計用!$G113,"*, "&amp;AJ$3&amp;", *")</f>
        <v>0</v>
      </c>
      <c r="AK115" s="2">
        <f>COUNTIFS(集計用!$G113,"*, "&amp;AK$3&amp;", *")</f>
        <v>0</v>
      </c>
      <c r="AL115" s="2">
        <f>COUNTIFS(集計用!$G113,"*, "&amp;AL$3&amp;", *")</f>
        <v>0</v>
      </c>
      <c r="AM115" s="2">
        <f>COUNTIFS(集計用!$G113,"*, "&amp;AM$3&amp;", *")</f>
        <v>0</v>
      </c>
      <c r="AN115" s="2">
        <f>COUNTIFS(集計用!$G113,"*, "&amp;AN$3&amp;", *")</f>
        <v>0</v>
      </c>
      <c r="AO115" s="2">
        <f>COUNTIFS(集計用!$G113,"*, "&amp;AO$3&amp;", *")</f>
        <v>0</v>
      </c>
      <c r="AP115" s="2">
        <f>COUNTIFS(集計用!$G113,"*, "&amp;AP$3&amp;", *")</f>
        <v>0</v>
      </c>
      <c r="AQ115" s="2">
        <f>COUNTIFS(集計用!$G113,"*, "&amp;AQ$3&amp;", *")</f>
        <v>0</v>
      </c>
      <c r="AR115" s="2">
        <f>COUNTIFS(集計用!$G113,"*, "&amp;AR$3&amp;", *")</f>
        <v>0</v>
      </c>
      <c r="AS115" s="2">
        <f>COUNTIFS(集計用!$G113,"*, "&amp;AS$3&amp;", *")</f>
        <v>0</v>
      </c>
      <c r="AT115" s="2">
        <f>COUNTIFS(集計用!$G113,"*, "&amp;AT$3&amp;", *")</f>
        <v>0</v>
      </c>
      <c r="AU115" s="2">
        <f>COUNTIFS(集計用!$G113,"*, "&amp;AU$3&amp;", *")</f>
        <v>0</v>
      </c>
      <c r="AV115" s="2">
        <f>COUNTIFS(集計用!$G113,"*, "&amp;AV$3&amp;", *")</f>
        <v>0</v>
      </c>
      <c r="AW115" s="2">
        <f>COUNTIFS(集計用!$G113,"*, "&amp;AW$3&amp;", *")</f>
        <v>0</v>
      </c>
      <c r="AX115" s="2">
        <f>COUNTIFS(集計用!$G113,"*, "&amp;AX$3&amp;", *")</f>
        <v>0</v>
      </c>
      <c r="AY115" s="2">
        <f>COUNTIFS(集計用!$G113,"*, "&amp;AY$3&amp;", *")</f>
        <v>0</v>
      </c>
      <c r="AZ115" s="2">
        <f>COUNTIFS(集計用!$G113,"*, "&amp;AZ$3&amp;", *")</f>
        <v>0</v>
      </c>
      <c r="BA115" s="2">
        <f>COUNTIFS(集計用!$G113,"*, "&amp;BA$3&amp;", *")</f>
        <v>0</v>
      </c>
      <c r="BB115" s="2">
        <f>COUNTIFS(集計用!$G113,"*, "&amp;BB$3&amp;", *")</f>
        <v>0</v>
      </c>
      <c r="BC115" s="2">
        <f>COUNTIFS(集計用!$G113,"*, "&amp;BC$3&amp;", *")</f>
        <v>0</v>
      </c>
      <c r="BD115" s="2">
        <f>COUNTIFS(集計用!$G113,"*, "&amp;BD$3&amp;", *")</f>
        <v>0</v>
      </c>
      <c r="BE115" s="2">
        <f>COUNTIFS(集計用!$G113,"*, "&amp;BE$3&amp;", *")</f>
        <v>0</v>
      </c>
      <c r="BF115" s="2">
        <f>COUNTIFS(集計用!$G113,"*, "&amp;BF$3&amp;", *")</f>
        <v>0</v>
      </c>
      <c r="BG115" s="2">
        <f>COUNTIFS(集計用!$G113,"*, "&amp;BG$3&amp;", *")</f>
        <v>0</v>
      </c>
      <c r="BH115" s="2">
        <f>COUNTIFS(集計用!$G113,"*, "&amp;BH$3&amp;", *")</f>
        <v>0</v>
      </c>
      <c r="BI115" s="2">
        <f>COUNTIFS(集計用!$G113,"*, "&amp;BI$3&amp;", *")</f>
        <v>0</v>
      </c>
    </row>
    <row r="116" spans="1:62" ht="12.75">
      <c r="A116" s="8">
        <v>113</v>
      </c>
      <c r="C116" s="2">
        <f t="shared" ref="C116:C370" si="3">SUM(E116:BJ116)</f>
        <v>3</v>
      </c>
      <c r="D116" s="9"/>
      <c r="E116" s="2">
        <f>COUNTIFS(集計用!$G114,"*, "&amp;E$3&amp;", *")</f>
        <v>1</v>
      </c>
      <c r="F116" s="2">
        <f>COUNTIFS(集計用!$G114,"*, "&amp;F$3&amp;", *")</f>
        <v>0</v>
      </c>
      <c r="G116" s="2">
        <f>COUNTIFS(集計用!$G114,"*, "&amp;G$3&amp;", *")</f>
        <v>1</v>
      </c>
      <c r="H116" s="2">
        <f>COUNTIFS(集計用!$G114,"*, "&amp;H$3&amp;", *")</f>
        <v>0</v>
      </c>
      <c r="I116" s="2">
        <f>COUNTIFS(集計用!$G114,"*, "&amp;I$3&amp;", *")</f>
        <v>0</v>
      </c>
      <c r="J116" s="2">
        <f>COUNTIFS(集計用!$G114,"*, "&amp;J$3&amp;", *")</f>
        <v>0</v>
      </c>
      <c r="K116" s="2">
        <f>COUNTIFS(集計用!$G114,"*, "&amp;K$3&amp;", *")</f>
        <v>0</v>
      </c>
      <c r="L116" s="2">
        <f>COUNTIFS(集計用!$G114,"*, "&amp;L$3&amp;", *")</f>
        <v>0</v>
      </c>
      <c r="M116" s="2">
        <f>COUNTIFS(集計用!$G114,"*, "&amp;M$3&amp;", *")</f>
        <v>0</v>
      </c>
      <c r="N116" s="2">
        <f>COUNTIFS(集計用!$G114,"*, "&amp;N$3&amp;", *")</f>
        <v>1</v>
      </c>
      <c r="O116" s="2">
        <f>COUNTIFS(集計用!$G114,"*, "&amp;O$3&amp;", *")</f>
        <v>0</v>
      </c>
      <c r="P116" s="2">
        <f>COUNTIFS(集計用!$G114,"*, "&amp;P$3&amp;", *")</f>
        <v>0</v>
      </c>
      <c r="Q116" s="2">
        <f>COUNTIFS(集計用!$G114,"*, "&amp;Q$3&amp;", *")</f>
        <v>0</v>
      </c>
      <c r="R116" s="2">
        <f>COUNTIFS(集計用!$G114,"*, "&amp;R$3&amp;", *")</f>
        <v>0</v>
      </c>
      <c r="S116" s="2">
        <f>COUNTIFS(集計用!$G114,"*, "&amp;S$3&amp;", *")</f>
        <v>0</v>
      </c>
      <c r="T116" s="2">
        <f>COUNTIFS(集計用!$G114,"*, "&amp;T$3&amp;", *")</f>
        <v>0</v>
      </c>
      <c r="U116" s="2">
        <f>COUNTIFS(集計用!$G114,"*, "&amp;U$3&amp;", *")</f>
        <v>0</v>
      </c>
      <c r="V116" s="2">
        <f>COUNTIFS(集計用!$G114,"*, "&amp;V$3&amp;", *")</f>
        <v>0</v>
      </c>
      <c r="W116" s="2">
        <f>COUNTIFS(集計用!$G114,"*, "&amp;W$3&amp;", *")</f>
        <v>0</v>
      </c>
      <c r="X116" s="2">
        <f>COUNTIFS(集計用!$G114,"*, "&amp;X$3&amp;", *")</f>
        <v>0</v>
      </c>
      <c r="Y116" s="2">
        <f>COUNTIFS(集計用!$G114,"*, "&amp;Y$3&amp;", *")</f>
        <v>0</v>
      </c>
      <c r="Z116" s="2">
        <f>COUNTIFS(集計用!$G114,"*, "&amp;Z$3&amp;", *")</f>
        <v>0</v>
      </c>
      <c r="AA116" s="2">
        <f>COUNTIFS(集計用!$G114,"*, "&amp;AA$3&amp;", *")</f>
        <v>0</v>
      </c>
      <c r="AB116" s="2">
        <f>COUNTIFS(集計用!$G114,"*, "&amp;AB$3&amp;", *")</f>
        <v>0</v>
      </c>
      <c r="AC116" s="2">
        <f>COUNTIFS(集計用!$G114,"*, "&amp;AC$3&amp;", *")</f>
        <v>0</v>
      </c>
      <c r="AD116" s="2">
        <f>COUNTIFS(集計用!$G114,"*, "&amp;AD$3&amp;", *")</f>
        <v>0</v>
      </c>
      <c r="AE116" s="2">
        <f>COUNTIFS(集計用!$G114,"*, "&amp;AE$3&amp;", *")</f>
        <v>0</v>
      </c>
      <c r="AF116" s="2">
        <f>COUNTIFS(集計用!$G114,"*, "&amp;AF$3&amp;", *")</f>
        <v>0</v>
      </c>
      <c r="AG116" s="2">
        <f>COUNTIFS(集計用!$G114,"*, "&amp;AG$3&amp;", *")</f>
        <v>0</v>
      </c>
      <c r="AH116" s="2">
        <f>COUNTIFS(集計用!$G114,"*, "&amp;AH$3&amp;", *")</f>
        <v>0</v>
      </c>
      <c r="AI116" s="2">
        <f>COUNTIFS(集計用!$G114,"*, "&amp;AI$3&amp;", *")</f>
        <v>0</v>
      </c>
      <c r="AJ116" s="2">
        <f>COUNTIFS(集計用!$G114,"*, "&amp;AJ$3&amp;", *")</f>
        <v>0</v>
      </c>
      <c r="AK116" s="2">
        <f>COUNTIFS(集計用!$G114,"*, "&amp;AK$3&amp;", *")</f>
        <v>0</v>
      </c>
      <c r="AL116" s="2">
        <f>COUNTIFS(集計用!$G114,"*, "&amp;AL$3&amp;", *")</f>
        <v>0</v>
      </c>
      <c r="AM116" s="2">
        <f>COUNTIFS(集計用!$G114,"*, "&amp;AM$3&amp;", *")</f>
        <v>0</v>
      </c>
      <c r="AN116" s="2">
        <f>COUNTIFS(集計用!$G114,"*, "&amp;AN$3&amp;", *")</f>
        <v>0</v>
      </c>
      <c r="AO116" s="2">
        <f>COUNTIFS(集計用!$G114,"*, "&amp;AO$3&amp;", *")</f>
        <v>0</v>
      </c>
      <c r="AP116" s="2">
        <f>COUNTIFS(集計用!$G114,"*, "&amp;AP$3&amp;", *")</f>
        <v>0</v>
      </c>
      <c r="AQ116" s="2">
        <f>COUNTIFS(集計用!$G114,"*, "&amp;AQ$3&amp;", *")</f>
        <v>0</v>
      </c>
      <c r="AR116" s="2">
        <f>COUNTIFS(集計用!$G114,"*, "&amp;AR$3&amp;", *")</f>
        <v>0</v>
      </c>
      <c r="AS116" s="2">
        <f>COUNTIFS(集計用!$G114,"*, "&amp;AS$3&amp;", *")</f>
        <v>0</v>
      </c>
      <c r="AT116" s="2">
        <f>COUNTIFS(集計用!$G114,"*, "&amp;AT$3&amp;", *")</f>
        <v>0</v>
      </c>
      <c r="AU116" s="2">
        <f>COUNTIFS(集計用!$G114,"*, "&amp;AU$3&amp;", *")</f>
        <v>0</v>
      </c>
      <c r="AV116" s="2">
        <f>COUNTIFS(集計用!$G114,"*, "&amp;AV$3&amp;", *")</f>
        <v>0</v>
      </c>
      <c r="AW116" s="2">
        <f>COUNTIFS(集計用!$G114,"*, "&amp;AW$3&amp;", *")</f>
        <v>0</v>
      </c>
      <c r="AX116" s="2">
        <f>COUNTIFS(集計用!$G114,"*, "&amp;AX$3&amp;", *")</f>
        <v>0</v>
      </c>
      <c r="AY116" s="2">
        <f>COUNTIFS(集計用!$G114,"*, "&amp;AY$3&amp;", *")</f>
        <v>0</v>
      </c>
      <c r="AZ116" s="2">
        <f>COUNTIFS(集計用!$G114,"*, "&amp;AZ$3&amp;", *")</f>
        <v>0</v>
      </c>
      <c r="BA116" s="2">
        <f>COUNTIFS(集計用!$G114,"*, "&amp;BA$3&amp;", *")</f>
        <v>0</v>
      </c>
      <c r="BB116" s="2">
        <f>COUNTIFS(集計用!$G114,"*, "&amp;BB$3&amp;", *")</f>
        <v>0</v>
      </c>
      <c r="BC116" s="2">
        <f>COUNTIFS(集計用!$G114,"*, "&amp;BC$3&amp;", *")</f>
        <v>0</v>
      </c>
      <c r="BD116" s="2">
        <f>COUNTIFS(集計用!$G114,"*, "&amp;BD$3&amp;", *")</f>
        <v>0</v>
      </c>
      <c r="BE116" s="2">
        <f>COUNTIFS(集計用!$G114,"*, "&amp;BE$3&amp;", *")</f>
        <v>0</v>
      </c>
      <c r="BF116" s="2">
        <f>COUNTIFS(集計用!$G114,"*, "&amp;BF$3&amp;", *")</f>
        <v>0</v>
      </c>
      <c r="BG116" s="2">
        <f>COUNTIFS(集計用!$G114,"*, "&amp;BG$3&amp;", *")</f>
        <v>0</v>
      </c>
      <c r="BH116" s="2">
        <f>COUNTIFS(集計用!$G114,"*, "&amp;BH$3&amp;", *")</f>
        <v>0</v>
      </c>
      <c r="BI116" s="2">
        <f>COUNTIFS(集計用!$G114,"*, "&amp;BI$3&amp;", *")</f>
        <v>0</v>
      </c>
      <c r="BJ116" s="2">
        <f>LEN(集計用!H114)-LEN(SUBSTITUTE(集計用!H114,",",""))</f>
        <v>0</v>
      </c>
    </row>
    <row r="117" spans="1:62" ht="12.75">
      <c r="A117" s="8">
        <v>114</v>
      </c>
      <c r="C117" s="2">
        <f t="shared" si="3"/>
        <v>1</v>
      </c>
      <c r="D117" s="9"/>
      <c r="E117" s="2">
        <f>COUNTIFS(集計用!$G115,"*, "&amp;E$3&amp;", *")</f>
        <v>0</v>
      </c>
      <c r="F117" s="2">
        <f>COUNTIFS(集計用!$G115,"*, "&amp;F$3&amp;", *")</f>
        <v>0</v>
      </c>
      <c r="G117" s="2">
        <f>COUNTIFS(集計用!$G115,"*, "&amp;G$3&amp;", *")</f>
        <v>0</v>
      </c>
      <c r="H117" s="2">
        <f>COUNTIFS(集計用!$G115,"*, "&amp;H$3&amp;", *")</f>
        <v>0</v>
      </c>
      <c r="I117" s="2">
        <f>COUNTIFS(集計用!$G115,"*, "&amp;I$3&amp;", *")</f>
        <v>0</v>
      </c>
      <c r="J117" s="2">
        <f>COUNTIFS(集計用!$G115,"*, "&amp;J$3&amp;", *")</f>
        <v>0</v>
      </c>
      <c r="K117" s="2">
        <f>COUNTIFS(集計用!$G115,"*, "&amp;K$3&amp;", *")</f>
        <v>0</v>
      </c>
      <c r="L117" s="2">
        <f>COUNTIFS(集計用!$G115,"*, "&amp;L$3&amp;", *")</f>
        <v>0</v>
      </c>
      <c r="M117" s="2">
        <f>COUNTIFS(集計用!$G115,"*, "&amp;M$3&amp;", *")</f>
        <v>0</v>
      </c>
      <c r="N117" s="2">
        <f>COUNTIFS(集計用!$G115,"*, "&amp;N$3&amp;", *")</f>
        <v>0</v>
      </c>
      <c r="O117" s="2">
        <f>COUNTIFS(集計用!$G115,"*, "&amp;O$3&amp;", *")</f>
        <v>0</v>
      </c>
      <c r="P117" s="2">
        <f>COUNTIFS(集計用!$G115,"*, "&amp;P$3&amp;", *")</f>
        <v>0</v>
      </c>
      <c r="Q117" s="2">
        <f>COUNTIFS(集計用!$G115,"*, "&amp;Q$3&amp;", *")</f>
        <v>0</v>
      </c>
      <c r="R117" s="2">
        <f>COUNTIFS(集計用!$G115,"*, "&amp;R$3&amp;", *")</f>
        <v>0</v>
      </c>
      <c r="S117" s="2">
        <f>COUNTIFS(集計用!$G115,"*, "&amp;S$3&amp;", *")</f>
        <v>0</v>
      </c>
      <c r="T117" s="2">
        <f>COUNTIFS(集計用!$G115,"*, "&amp;T$3&amp;", *")</f>
        <v>0</v>
      </c>
      <c r="U117" s="2">
        <f>COUNTIFS(集計用!$G115,"*, "&amp;U$3&amp;", *")</f>
        <v>0</v>
      </c>
      <c r="V117" s="2">
        <f>COUNTIFS(集計用!$G115,"*, "&amp;V$3&amp;", *")</f>
        <v>0</v>
      </c>
      <c r="W117" s="2">
        <f>COUNTIFS(集計用!$G115,"*, "&amp;W$3&amp;", *")</f>
        <v>0</v>
      </c>
      <c r="X117" s="2">
        <f>COUNTIFS(集計用!$G115,"*, "&amp;X$3&amp;", *")</f>
        <v>0</v>
      </c>
      <c r="Y117" s="2">
        <f>COUNTIFS(集計用!$G115,"*, "&amp;Y$3&amp;", *")</f>
        <v>0</v>
      </c>
      <c r="Z117" s="2">
        <f>COUNTIFS(集計用!$G115,"*, "&amp;Z$3&amp;", *")</f>
        <v>0</v>
      </c>
      <c r="AA117" s="2">
        <f>COUNTIFS(集計用!$G115,"*, "&amp;AA$3&amp;", *")</f>
        <v>0</v>
      </c>
      <c r="AB117" s="2">
        <f>COUNTIFS(集計用!$G115,"*, "&amp;AB$3&amp;", *")</f>
        <v>0</v>
      </c>
      <c r="AC117" s="2">
        <f>COUNTIFS(集計用!$G115,"*, "&amp;AC$3&amp;", *")</f>
        <v>0</v>
      </c>
      <c r="AD117" s="2">
        <f>COUNTIFS(集計用!$G115,"*, "&amp;AD$3&amp;", *")</f>
        <v>0</v>
      </c>
      <c r="AE117" s="2">
        <f>COUNTIFS(集計用!$G115,"*, "&amp;AE$3&amp;", *")</f>
        <v>0</v>
      </c>
      <c r="AF117" s="2">
        <f>COUNTIFS(集計用!$G115,"*, "&amp;AF$3&amp;", *")</f>
        <v>0</v>
      </c>
      <c r="AG117" s="2">
        <f>COUNTIFS(集計用!$G115,"*, "&amp;AG$3&amp;", *")</f>
        <v>0</v>
      </c>
      <c r="AH117" s="2">
        <f>COUNTIFS(集計用!$G115,"*, "&amp;AH$3&amp;", *")</f>
        <v>0</v>
      </c>
      <c r="AI117" s="2">
        <f>COUNTIFS(集計用!$G115,"*, "&amp;AI$3&amp;", *")</f>
        <v>0</v>
      </c>
      <c r="AJ117" s="2">
        <f>COUNTIFS(集計用!$G115,"*, "&amp;AJ$3&amp;", *")</f>
        <v>0</v>
      </c>
      <c r="AK117" s="2">
        <f>COUNTIFS(集計用!$G115,"*, "&amp;AK$3&amp;", *")</f>
        <v>1</v>
      </c>
      <c r="AL117" s="2">
        <f>COUNTIFS(集計用!$G115,"*, "&amp;AL$3&amp;", *")</f>
        <v>0</v>
      </c>
      <c r="AM117" s="2">
        <f>COUNTIFS(集計用!$G115,"*, "&amp;AM$3&amp;", *")</f>
        <v>0</v>
      </c>
      <c r="AN117" s="2">
        <f>COUNTIFS(集計用!$G115,"*, "&amp;AN$3&amp;", *")</f>
        <v>0</v>
      </c>
      <c r="AO117" s="2">
        <f>COUNTIFS(集計用!$G115,"*, "&amp;AO$3&amp;", *")</f>
        <v>0</v>
      </c>
      <c r="AP117" s="2">
        <f>COUNTIFS(集計用!$G115,"*, "&amp;AP$3&amp;", *")</f>
        <v>0</v>
      </c>
      <c r="AQ117" s="2">
        <f>COUNTIFS(集計用!$G115,"*, "&amp;AQ$3&amp;", *")</f>
        <v>0</v>
      </c>
      <c r="AR117" s="2">
        <f>COUNTIFS(集計用!$G115,"*, "&amp;AR$3&amp;", *")</f>
        <v>0</v>
      </c>
      <c r="AS117" s="2">
        <f>COUNTIFS(集計用!$G115,"*, "&amp;AS$3&amp;", *")</f>
        <v>0</v>
      </c>
      <c r="AT117" s="2">
        <f>COUNTIFS(集計用!$G115,"*, "&amp;AT$3&amp;", *")</f>
        <v>0</v>
      </c>
      <c r="AU117" s="2">
        <f>COUNTIFS(集計用!$G115,"*, "&amp;AU$3&amp;", *")</f>
        <v>0</v>
      </c>
      <c r="AV117" s="2">
        <f>COUNTIFS(集計用!$G115,"*, "&amp;AV$3&amp;", *")</f>
        <v>0</v>
      </c>
      <c r="AW117" s="2">
        <f>COUNTIFS(集計用!$G115,"*, "&amp;AW$3&amp;", *")</f>
        <v>0</v>
      </c>
      <c r="AX117" s="2">
        <f>COUNTIFS(集計用!$G115,"*, "&amp;AX$3&amp;", *")</f>
        <v>0</v>
      </c>
      <c r="AY117" s="2">
        <f>COUNTIFS(集計用!$G115,"*, "&amp;AY$3&amp;", *")</f>
        <v>0</v>
      </c>
      <c r="AZ117" s="2">
        <f>COUNTIFS(集計用!$G115,"*, "&amp;AZ$3&amp;", *")</f>
        <v>0</v>
      </c>
      <c r="BA117" s="2">
        <f>COUNTIFS(集計用!$G115,"*, "&amp;BA$3&amp;", *")</f>
        <v>0</v>
      </c>
      <c r="BB117" s="2">
        <f>COUNTIFS(集計用!$G115,"*, "&amp;BB$3&amp;", *")</f>
        <v>0</v>
      </c>
      <c r="BC117" s="2">
        <f>COUNTIFS(集計用!$G115,"*, "&amp;BC$3&amp;", *")</f>
        <v>0</v>
      </c>
      <c r="BD117" s="2">
        <f>COUNTIFS(集計用!$G115,"*, "&amp;BD$3&amp;", *")</f>
        <v>0</v>
      </c>
      <c r="BE117" s="2">
        <f>COUNTIFS(集計用!$G115,"*, "&amp;BE$3&amp;", *")</f>
        <v>0</v>
      </c>
      <c r="BF117" s="2">
        <f>COUNTIFS(集計用!$G115,"*, "&amp;BF$3&amp;", *")</f>
        <v>0</v>
      </c>
      <c r="BG117" s="2">
        <f>COUNTIFS(集計用!$G115,"*, "&amp;BG$3&amp;", *")</f>
        <v>0</v>
      </c>
      <c r="BH117" s="2">
        <f>COUNTIFS(集計用!$G115,"*, "&amp;BH$3&amp;", *")</f>
        <v>0</v>
      </c>
      <c r="BI117" s="2">
        <f>COUNTIFS(集計用!$G115,"*, "&amp;BI$3&amp;", *")</f>
        <v>0</v>
      </c>
      <c r="BJ117" s="2">
        <f>LEN(集計用!H115)-LEN(SUBSTITUTE(集計用!H115,",",""))</f>
        <v>0</v>
      </c>
    </row>
    <row r="118" spans="1:62" ht="12.75">
      <c r="A118" s="8">
        <v>115</v>
      </c>
      <c r="C118" s="2">
        <f t="shared" si="3"/>
        <v>1</v>
      </c>
      <c r="D118" s="9"/>
      <c r="E118" s="2">
        <f>COUNTIFS(集計用!$G116,"*, "&amp;E$3&amp;", *")</f>
        <v>0</v>
      </c>
      <c r="F118" s="2">
        <f>COUNTIFS(集計用!$G116,"*, "&amp;F$3&amp;", *")</f>
        <v>0</v>
      </c>
      <c r="G118" s="2">
        <f>COUNTIFS(集計用!$G116,"*, "&amp;G$3&amp;", *")</f>
        <v>0</v>
      </c>
      <c r="H118" s="2">
        <f>COUNTIFS(集計用!$G116,"*, "&amp;H$3&amp;", *")</f>
        <v>0</v>
      </c>
      <c r="I118" s="2">
        <f>COUNTIFS(集計用!$G116,"*, "&amp;I$3&amp;", *")</f>
        <v>0</v>
      </c>
      <c r="J118" s="2">
        <f>COUNTIFS(集計用!$G116,"*, "&amp;J$3&amp;", *")</f>
        <v>0</v>
      </c>
      <c r="K118" s="2">
        <f>COUNTIFS(集計用!$G116,"*, "&amp;K$3&amp;", *")</f>
        <v>0</v>
      </c>
      <c r="L118" s="2">
        <f>COUNTIFS(集計用!$G116,"*, "&amp;L$3&amp;", *")</f>
        <v>0</v>
      </c>
      <c r="M118" s="2">
        <f>COUNTIFS(集計用!$G116,"*, "&amp;M$3&amp;", *")</f>
        <v>0</v>
      </c>
      <c r="N118" s="2">
        <f>COUNTIFS(集計用!$G116,"*, "&amp;N$3&amp;", *")</f>
        <v>0</v>
      </c>
      <c r="O118" s="2">
        <f>COUNTIFS(集計用!$G116,"*, "&amp;O$3&amp;", *")</f>
        <v>0</v>
      </c>
      <c r="P118" s="2">
        <f>COUNTIFS(集計用!$G116,"*, "&amp;P$3&amp;", *")</f>
        <v>0</v>
      </c>
      <c r="Q118" s="2">
        <f>COUNTIFS(集計用!$G116,"*, "&amp;Q$3&amp;", *")</f>
        <v>0</v>
      </c>
      <c r="R118" s="2">
        <f>COUNTIFS(集計用!$G116,"*, "&amp;R$3&amp;", *")</f>
        <v>0</v>
      </c>
      <c r="S118" s="2">
        <f>COUNTIFS(集計用!$G116,"*, "&amp;S$3&amp;", *")</f>
        <v>0</v>
      </c>
      <c r="T118" s="2">
        <f>COUNTIFS(集計用!$G116,"*, "&amp;T$3&amp;", *")</f>
        <v>0</v>
      </c>
      <c r="U118" s="2">
        <f>COUNTIFS(集計用!$G116,"*, "&amp;U$3&amp;", *")</f>
        <v>0</v>
      </c>
      <c r="V118" s="2">
        <f>COUNTIFS(集計用!$G116,"*, "&amp;V$3&amp;", *")</f>
        <v>0</v>
      </c>
      <c r="W118" s="2">
        <f>COUNTIFS(集計用!$G116,"*, "&amp;W$3&amp;", *")</f>
        <v>0</v>
      </c>
      <c r="X118" s="2">
        <f>COUNTIFS(集計用!$G116,"*, "&amp;X$3&amp;", *")</f>
        <v>0</v>
      </c>
      <c r="Y118" s="2">
        <f>COUNTIFS(集計用!$G116,"*, "&amp;Y$3&amp;", *")</f>
        <v>0</v>
      </c>
      <c r="Z118" s="2">
        <f>COUNTIFS(集計用!$G116,"*, "&amp;Z$3&amp;", *")</f>
        <v>1</v>
      </c>
      <c r="AA118" s="2">
        <f>COUNTIFS(集計用!$G116,"*, "&amp;AA$3&amp;", *")</f>
        <v>0</v>
      </c>
      <c r="AB118" s="2">
        <f>COUNTIFS(集計用!$G116,"*, "&amp;AB$3&amp;", *")</f>
        <v>0</v>
      </c>
      <c r="AC118" s="2">
        <f>COUNTIFS(集計用!$G116,"*, "&amp;AC$3&amp;", *")</f>
        <v>0</v>
      </c>
      <c r="AD118" s="2">
        <f>COUNTIFS(集計用!$G116,"*, "&amp;AD$3&amp;", *")</f>
        <v>0</v>
      </c>
      <c r="AE118" s="2">
        <f>COUNTIFS(集計用!$G116,"*, "&amp;AE$3&amp;", *")</f>
        <v>0</v>
      </c>
      <c r="AF118" s="2">
        <f>COUNTIFS(集計用!$G116,"*, "&amp;AF$3&amp;", *")</f>
        <v>0</v>
      </c>
      <c r="AG118" s="2">
        <f>COUNTIFS(集計用!$G116,"*, "&amp;AG$3&amp;", *")</f>
        <v>0</v>
      </c>
      <c r="AH118" s="2">
        <f>COUNTIFS(集計用!$G116,"*, "&amp;AH$3&amp;", *")</f>
        <v>0</v>
      </c>
      <c r="AI118" s="2">
        <f>COUNTIFS(集計用!$G116,"*, "&amp;AI$3&amp;", *")</f>
        <v>0</v>
      </c>
      <c r="AJ118" s="2">
        <f>COUNTIFS(集計用!$G116,"*, "&amp;AJ$3&amp;", *")</f>
        <v>0</v>
      </c>
      <c r="AK118" s="2">
        <f>COUNTIFS(集計用!$G116,"*, "&amp;AK$3&amp;", *")</f>
        <v>0</v>
      </c>
      <c r="AL118" s="2">
        <f>COUNTIFS(集計用!$G116,"*, "&amp;AL$3&amp;", *")</f>
        <v>0</v>
      </c>
      <c r="AM118" s="2">
        <f>COUNTIFS(集計用!$G116,"*, "&amp;AM$3&amp;", *")</f>
        <v>0</v>
      </c>
      <c r="AN118" s="2">
        <f>COUNTIFS(集計用!$G116,"*, "&amp;AN$3&amp;", *")</f>
        <v>0</v>
      </c>
      <c r="AO118" s="2">
        <f>COUNTIFS(集計用!$G116,"*, "&amp;AO$3&amp;", *")</f>
        <v>0</v>
      </c>
      <c r="AP118" s="2">
        <f>COUNTIFS(集計用!$G116,"*, "&amp;AP$3&amp;", *")</f>
        <v>0</v>
      </c>
      <c r="AQ118" s="2">
        <f>COUNTIFS(集計用!$G116,"*, "&amp;AQ$3&amp;", *")</f>
        <v>0</v>
      </c>
      <c r="AR118" s="2">
        <f>COUNTIFS(集計用!$G116,"*, "&amp;AR$3&amp;", *")</f>
        <v>0</v>
      </c>
      <c r="AS118" s="2">
        <f>COUNTIFS(集計用!$G116,"*, "&amp;AS$3&amp;", *")</f>
        <v>0</v>
      </c>
      <c r="AT118" s="2">
        <f>COUNTIFS(集計用!$G116,"*, "&amp;AT$3&amp;", *")</f>
        <v>0</v>
      </c>
      <c r="AU118" s="2">
        <f>COUNTIFS(集計用!$G116,"*, "&amp;AU$3&amp;", *")</f>
        <v>0</v>
      </c>
      <c r="AV118" s="2">
        <f>COUNTIFS(集計用!$G116,"*, "&amp;AV$3&amp;", *")</f>
        <v>0</v>
      </c>
      <c r="AW118" s="2">
        <f>COUNTIFS(集計用!$G116,"*, "&amp;AW$3&amp;", *")</f>
        <v>0</v>
      </c>
      <c r="AX118" s="2">
        <f>COUNTIFS(集計用!$G116,"*, "&amp;AX$3&amp;", *")</f>
        <v>0</v>
      </c>
      <c r="AY118" s="2">
        <f>COUNTIFS(集計用!$G116,"*, "&amp;AY$3&amp;", *")</f>
        <v>0</v>
      </c>
      <c r="AZ118" s="2">
        <f>COUNTIFS(集計用!$G116,"*, "&amp;AZ$3&amp;", *")</f>
        <v>0</v>
      </c>
      <c r="BA118" s="2">
        <f>COUNTIFS(集計用!$G116,"*, "&amp;BA$3&amp;", *")</f>
        <v>0</v>
      </c>
      <c r="BB118" s="2">
        <f>COUNTIFS(集計用!$G116,"*, "&amp;BB$3&amp;", *")</f>
        <v>0</v>
      </c>
      <c r="BC118" s="2">
        <f>COUNTIFS(集計用!$G116,"*, "&amp;BC$3&amp;", *")</f>
        <v>0</v>
      </c>
      <c r="BD118" s="2">
        <f>COUNTIFS(集計用!$G116,"*, "&amp;BD$3&amp;", *")</f>
        <v>0</v>
      </c>
      <c r="BE118" s="2">
        <f>COUNTIFS(集計用!$G116,"*, "&amp;BE$3&amp;", *")</f>
        <v>0</v>
      </c>
      <c r="BF118" s="2">
        <f>COUNTIFS(集計用!$G116,"*, "&amp;BF$3&amp;", *")</f>
        <v>0</v>
      </c>
      <c r="BG118" s="2">
        <f>COUNTIFS(集計用!$G116,"*, "&amp;BG$3&amp;", *")</f>
        <v>0</v>
      </c>
      <c r="BH118" s="2">
        <f>COUNTIFS(集計用!$G116,"*, "&amp;BH$3&amp;", *")</f>
        <v>0</v>
      </c>
      <c r="BI118" s="2">
        <f>COUNTIFS(集計用!$G116,"*, "&amp;BI$3&amp;", *")</f>
        <v>0</v>
      </c>
      <c r="BJ118" s="2">
        <f>LEN(集計用!H116)-LEN(SUBSTITUTE(集計用!H116,",",""))</f>
        <v>0</v>
      </c>
    </row>
    <row r="119" spans="1:62" ht="12.75">
      <c r="A119" s="8">
        <v>116</v>
      </c>
      <c r="C119" s="2">
        <f t="shared" si="3"/>
        <v>9</v>
      </c>
      <c r="D119" s="9"/>
      <c r="E119" s="2">
        <f>COUNTIFS(集計用!$G117,"*, "&amp;E$3&amp;", *")</f>
        <v>1</v>
      </c>
      <c r="F119" s="2">
        <f>COUNTIFS(集計用!$G117,"*, "&amp;F$3&amp;", *")</f>
        <v>0</v>
      </c>
      <c r="G119" s="2">
        <f>COUNTIFS(集計用!$G117,"*, "&amp;G$3&amp;", *")</f>
        <v>0</v>
      </c>
      <c r="H119" s="2">
        <f>COUNTIFS(集計用!$G117,"*, "&amp;H$3&amp;", *")</f>
        <v>0</v>
      </c>
      <c r="I119" s="2">
        <f>COUNTIFS(集計用!$G117,"*, "&amp;I$3&amp;", *")</f>
        <v>0</v>
      </c>
      <c r="J119" s="2">
        <f>COUNTIFS(集計用!$G117,"*, "&amp;J$3&amp;", *")</f>
        <v>0</v>
      </c>
      <c r="K119" s="2">
        <f>COUNTIFS(集計用!$G117,"*, "&amp;K$3&amp;", *")</f>
        <v>0</v>
      </c>
      <c r="L119" s="2">
        <f>COUNTIFS(集計用!$G117,"*, "&amp;L$3&amp;", *")</f>
        <v>0</v>
      </c>
      <c r="M119" s="2">
        <f>COUNTIFS(集計用!$G117,"*, "&amp;M$3&amp;", *")</f>
        <v>0</v>
      </c>
      <c r="N119" s="2">
        <f>COUNTIFS(集計用!$G117,"*, "&amp;N$3&amp;", *")</f>
        <v>0</v>
      </c>
      <c r="O119" s="2">
        <f>COUNTIFS(集計用!$G117,"*, "&amp;O$3&amp;", *")</f>
        <v>1</v>
      </c>
      <c r="P119" s="2">
        <f>COUNTIFS(集計用!$G117,"*, "&amp;P$3&amp;", *")</f>
        <v>0</v>
      </c>
      <c r="Q119" s="2">
        <f>COUNTIFS(集計用!$G117,"*, "&amp;Q$3&amp;", *")</f>
        <v>1</v>
      </c>
      <c r="R119" s="2">
        <f>COUNTIFS(集計用!$G117,"*, "&amp;R$3&amp;", *")</f>
        <v>0</v>
      </c>
      <c r="S119" s="2">
        <f>COUNTIFS(集計用!$G117,"*, "&amp;S$3&amp;", *")</f>
        <v>0</v>
      </c>
      <c r="T119" s="2">
        <f>COUNTIFS(集計用!$G117,"*, "&amp;T$3&amp;", *")</f>
        <v>0</v>
      </c>
      <c r="U119" s="2">
        <f>COUNTIFS(集計用!$G117,"*, "&amp;U$3&amp;", *")</f>
        <v>0</v>
      </c>
      <c r="V119" s="2">
        <f>COUNTIFS(集計用!$G117,"*, "&amp;V$3&amp;", *")</f>
        <v>1</v>
      </c>
      <c r="W119" s="2">
        <f>COUNTIFS(集計用!$G117,"*, "&amp;W$3&amp;", *")</f>
        <v>0</v>
      </c>
      <c r="X119" s="2">
        <f>COUNTIFS(集計用!$G117,"*, "&amp;X$3&amp;", *")</f>
        <v>0</v>
      </c>
      <c r="Y119" s="2">
        <f>COUNTIFS(集計用!$G117,"*, "&amp;Y$3&amp;", *")</f>
        <v>0</v>
      </c>
      <c r="Z119" s="2">
        <f>COUNTIFS(集計用!$G117,"*, "&amp;Z$3&amp;", *")</f>
        <v>1</v>
      </c>
      <c r="AA119" s="2">
        <f>COUNTIFS(集計用!$G117,"*, "&amp;AA$3&amp;", *")</f>
        <v>0</v>
      </c>
      <c r="AB119" s="2">
        <f>COUNTIFS(集計用!$G117,"*, "&amp;AB$3&amp;", *")</f>
        <v>0</v>
      </c>
      <c r="AC119" s="2">
        <f>COUNTIFS(集計用!$G117,"*, "&amp;AC$3&amp;", *")</f>
        <v>1</v>
      </c>
      <c r="AD119" s="2">
        <f>COUNTIFS(集計用!$G117,"*, "&amp;AD$3&amp;", *")</f>
        <v>0</v>
      </c>
      <c r="AE119" s="2">
        <f>COUNTIFS(集計用!$G117,"*, "&amp;AE$3&amp;", *")</f>
        <v>0</v>
      </c>
      <c r="AF119" s="2">
        <f>COUNTIFS(集計用!$G117,"*, "&amp;AF$3&amp;", *")</f>
        <v>0</v>
      </c>
      <c r="AG119" s="2">
        <f>COUNTIFS(集計用!$G117,"*, "&amp;AG$3&amp;", *")</f>
        <v>0</v>
      </c>
      <c r="AH119" s="2">
        <f>COUNTIFS(集計用!$G117,"*, "&amp;AH$3&amp;", *")</f>
        <v>0</v>
      </c>
      <c r="AI119" s="2">
        <f>COUNTIFS(集計用!$G117,"*, "&amp;AI$3&amp;", *")</f>
        <v>0</v>
      </c>
      <c r="AJ119" s="2">
        <f>COUNTIFS(集計用!$G117,"*, "&amp;AJ$3&amp;", *")</f>
        <v>0</v>
      </c>
      <c r="AK119" s="2">
        <f>COUNTIFS(集計用!$G117,"*, "&amp;AK$3&amp;", *")</f>
        <v>1</v>
      </c>
      <c r="AL119" s="2">
        <f>COUNTIFS(集計用!$G117,"*, "&amp;AL$3&amp;", *")</f>
        <v>0</v>
      </c>
      <c r="AM119" s="2">
        <f>COUNTIFS(集計用!$G117,"*, "&amp;AM$3&amp;", *")</f>
        <v>0</v>
      </c>
      <c r="AN119" s="2">
        <f>COUNTIFS(集計用!$G117,"*, "&amp;AN$3&amp;", *")</f>
        <v>1</v>
      </c>
      <c r="AO119" s="2">
        <f>COUNTIFS(集計用!$G117,"*, "&amp;AO$3&amp;", *")</f>
        <v>0</v>
      </c>
      <c r="AP119" s="2">
        <f>COUNTIFS(集計用!$G117,"*, "&amp;AP$3&amp;", *")</f>
        <v>0</v>
      </c>
      <c r="AQ119" s="2">
        <f>COUNTIFS(集計用!$G117,"*, "&amp;AQ$3&amp;", *")</f>
        <v>0</v>
      </c>
      <c r="AR119" s="2">
        <f>COUNTIFS(集計用!$G117,"*, "&amp;AR$3&amp;", *")</f>
        <v>0</v>
      </c>
      <c r="AS119" s="2">
        <f>COUNTIFS(集計用!$G117,"*, "&amp;AS$3&amp;", *")</f>
        <v>0</v>
      </c>
      <c r="AT119" s="2">
        <f>COUNTIFS(集計用!$G117,"*, "&amp;AT$3&amp;", *")</f>
        <v>1</v>
      </c>
      <c r="AU119" s="2">
        <f>COUNTIFS(集計用!$G117,"*, "&amp;AU$3&amp;", *")</f>
        <v>0</v>
      </c>
      <c r="AV119" s="2">
        <f>COUNTIFS(集計用!$G117,"*, "&amp;AV$3&amp;", *")</f>
        <v>0</v>
      </c>
      <c r="AW119" s="2">
        <f>COUNTIFS(集計用!$G117,"*, "&amp;AW$3&amp;", *")</f>
        <v>0</v>
      </c>
      <c r="AX119" s="2">
        <f>COUNTIFS(集計用!$G117,"*, "&amp;AX$3&amp;", *")</f>
        <v>0</v>
      </c>
      <c r="AY119" s="2">
        <f>COUNTIFS(集計用!$G117,"*, "&amp;AY$3&amp;", *")</f>
        <v>0</v>
      </c>
      <c r="AZ119" s="2">
        <f>COUNTIFS(集計用!$G117,"*, "&amp;AZ$3&amp;", *")</f>
        <v>0</v>
      </c>
      <c r="BA119" s="2">
        <f>COUNTIFS(集計用!$G117,"*, "&amp;BA$3&amp;", *")</f>
        <v>0</v>
      </c>
      <c r="BB119" s="2">
        <f>COUNTIFS(集計用!$G117,"*, "&amp;BB$3&amp;", *")</f>
        <v>0</v>
      </c>
      <c r="BC119" s="2">
        <f>COUNTIFS(集計用!$G117,"*, "&amp;BC$3&amp;", *")</f>
        <v>0</v>
      </c>
      <c r="BD119" s="2">
        <f>COUNTIFS(集計用!$G117,"*, "&amp;BD$3&amp;", *")</f>
        <v>0</v>
      </c>
      <c r="BE119" s="2">
        <f>COUNTIFS(集計用!$G117,"*, "&amp;BE$3&amp;", *")</f>
        <v>0</v>
      </c>
      <c r="BF119" s="2">
        <f>COUNTIFS(集計用!$G117,"*, "&amp;BF$3&amp;", *")</f>
        <v>0</v>
      </c>
      <c r="BG119" s="2">
        <f>COUNTIFS(集計用!$G117,"*, "&amp;BG$3&amp;", *")</f>
        <v>0</v>
      </c>
      <c r="BH119" s="2">
        <f>COUNTIFS(集計用!$G117,"*, "&amp;BH$3&amp;", *")</f>
        <v>0</v>
      </c>
      <c r="BI119" s="2">
        <f>COUNTIFS(集計用!$G117,"*, "&amp;BI$3&amp;", *")</f>
        <v>0</v>
      </c>
      <c r="BJ119" s="2">
        <f>LEN(集計用!H117)-LEN(SUBSTITUTE(集計用!H117,",",""))</f>
        <v>0</v>
      </c>
    </row>
    <row r="120" spans="1:62" ht="12.75">
      <c r="A120" s="8">
        <v>117</v>
      </c>
      <c r="C120" s="2">
        <f t="shared" si="3"/>
        <v>5</v>
      </c>
      <c r="D120" s="9"/>
      <c r="E120" s="2">
        <f>COUNTIFS(集計用!$G118,"*, "&amp;E$3&amp;", *")</f>
        <v>0</v>
      </c>
      <c r="F120" s="2">
        <f>COUNTIFS(集計用!$G118,"*, "&amp;F$3&amp;", *")</f>
        <v>0</v>
      </c>
      <c r="G120" s="2">
        <f>COUNTIFS(集計用!$G118,"*, "&amp;G$3&amp;", *")</f>
        <v>0</v>
      </c>
      <c r="H120" s="2">
        <f>COUNTIFS(集計用!$G118,"*, "&amp;H$3&amp;", *")</f>
        <v>0</v>
      </c>
      <c r="I120" s="2">
        <f>COUNTIFS(集計用!$G118,"*, "&amp;I$3&amp;", *")</f>
        <v>0</v>
      </c>
      <c r="J120" s="2">
        <f>COUNTIFS(集計用!$G118,"*, "&amp;J$3&amp;", *")</f>
        <v>0</v>
      </c>
      <c r="K120" s="2">
        <f>COUNTIFS(集計用!$G118,"*, "&amp;K$3&amp;", *")</f>
        <v>0</v>
      </c>
      <c r="L120" s="2">
        <f>COUNTIFS(集計用!$G118,"*, "&amp;L$3&amp;", *")</f>
        <v>0</v>
      </c>
      <c r="M120" s="2">
        <f>COUNTIFS(集計用!$G118,"*, "&amp;M$3&amp;", *")</f>
        <v>0</v>
      </c>
      <c r="N120" s="2">
        <f>COUNTIFS(集計用!$G118,"*, "&amp;N$3&amp;", *")</f>
        <v>0</v>
      </c>
      <c r="O120" s="2">
        <f>COUNTIFS(集計用!$G118,"*, "&amp;O$3&amp;", *")</f>
        <v>0</v>
      </c>
      <c r="P120" s="2">
        <f>COUNTIFS(集計用!$G118,"*, "&amp;P$3&amp;", *")</f>
        <v>0</v>
      </c>
      <c r="Q120" s="2">
        <f>COUNTIFS(集計用!$G118,"*, "&amp;Q$3&amp;", *")</f>
        <v>0</v>
      </c>
      <c r="R120" s="2">
        <f>COUNTIFS(集計用!$G118,"*, "&amp;R$3&amp;", *")</f>
        <v>0</v>
      </c>
      <c r="S120" s="2">
        <f>COUNTIFS(集計用!$G118,"*, "&amp;S$3&amp;", *")</f>
        <v>0</v>
      </c>
      <c r="T120" s="2">
        <f>COUNTIFS(集計用!$G118,"*, "&amp;T$3&amp;", *")</f>
        <v>0</v>
      </c>
      <c r="U120" s="2">
        <f>COUNTIFS(集計用!$G118,"*, "&amp;U$3&amp;", *")</f>
        <v>0</v>
      </c>
      <c r="V120" s="2">
        <f>COUNTIFS(集計用!$G118,"*, "&amp;V$3&amp;", *")</f>
        <v>0</v>
      </c>
      <c r="W120" s="2">
        <f>COUNTIFS(集計用!$G118,"*, "&amp;W$3&amp;", *")</f>
        <v>1</v>
      </c>
      <c r="X120" s="2">
        <f>COUNTIFS(集計用!$G118,"*, "&amp;X$3&amp;", *")</f>
        <v>0</v>
      </c>
      <c r="Y120" s="2">
        <f>COUNTIFS(集計用!$G118,"*, "&amp;Y$3&amp;", *")</f>
        <v>0</v>
      </c>
      <c r="Z120" s="2">
        <f>COUNTIFS(集計用!$G118,"*, "&amp;Z$3&amp;", *")</f>
        <v>0</v>
      </c>
      <c r="AA120" s="2">
        <f>COUNTIFS(集計用!$G118,"*, "&amp;AA$3&amp;", *")</f>
        <v>0</v>
      </c>
      <c r="AB120" s="2">
        <f>COUNTIFS(集計用!$G118,"*, "&amp;AB$3&amp;", *")</f>
        <v>0</v>
      </c>
      <c r="AC120" s="2">
        <f>COUNTIFS(集計用!$G118,"*, "&amp;AC$3&amp;", *")</f>
        <v>0</v>
      </c>
      <c r="AD120" s="2">
        <f>COUNTIFS(集計用!$G118,"*, "&amp;AD$3&amp;", *")</f>
        <v>0</v>
      </c>
      <c r="AE120" s="2">
        <f>COUNTIFS(集計用!$G118,"*, "&amp;AE$3&amp;", *")</f>
        <v>1</v>
      </c>
      <c r="AF120" s="2">
        <f>COUNTIFS(集計用!$G118,"*, "&amp;AF$3&amp;", *")</f>
        <v>0</v>
      </c>
      <c r="AG120" s="2">
        <f>COUNTIFS(集計用!$G118,"*, "&amp;AG$3&amp;", *")</f>
        <v>0</v>
      </c>
      <c r="AH120" s="2">
        <f>COUNTIFS(集計用!$G118,"*, "&amp;AH$3&amp;", *")</f>
        <v>0</v>
      </c>
      <c r="AI120" s="2">
        <f>COUNTIFS(集計用!$G118,"*, "&amp;AI$3&amp;", *")</f>
        <v>0</v>
      </c>
      <c r="AJ120" s="2">
        <f>COUNTIFS(集計用!$G118,"*, "&amp;AJ$3&amp;", *")</f>
        <v>1</v>
      </c>
      <c r="AK120" s="2">
        <f>COUNTIFS(集計用!$G118,"*, "&amp;AK$3&amp;", *")</f>
        <v>0</v>
      </c>
      <c r="AL120" s="2">
        <f>COUNTIFS(集計用!$G118,"*, "&amp;AL$3&amp;", *")</f>
        <v>1</v>
      </c>
      <c r="AM120" s="2">
        <f>COUNTIFS(集計用!$G118,"*, "&amp;AM$3&amp;", *")</f>
        <v>0</v>
      </c>
      <c r="AN120" s="2">
        <f>COUNTIFS(集計用!$G118,"*, "&amp;AN$3&amp;", *")</f>
        <v>0</v>
      </c>
      <c r="AO120" s="2">
        <f>COUNTIFS(集計用!$G118,"*, "&amp;AO$3&amp;", *")</f>
        <v>1</v>
      </c>
      <c r="AP120" s="2">
        <f>COUNTIFS(集計用!$G118,"*, "&amp;AP$3&amp;", *")</f>
        <v>0</v>
      </c>
      <c r="AQ120" s="2">
        <f>COUNTIFS(集計用!$G118,"*, "&amp;AQ$3&amp;", *")</f>
        <v>0</v>
      </c>
      <c r="AR120" s="2">
        <f>COUNTIFS(集計用!$G118,"*, "&amp;AR$3&amp;", *")</f>
        <v>0</v>
      </c>
      <c r="AS120" s="2">
        <f>COUNTIFS(集計用!$G118,"*, "&amp;AS$3&amp;", *")</f>
        <v>0</v>
      </c>
      <c r="AT120" s="2">
        <f>COUNTIFS(集計用!$G118,"*, "&amp;AT$3&amp;", *")</f>
        <v>0</v>
      </c>
      <c r="AU120" s="2">
        <f>COUNTIFS(集計用!$G118,"*, "&amp;AU$3&amp;", *")</f>
        <v>0</v>
      </c>
      <c r="AV120" s="2">
        <f>COUNTIFS(集計用!$G118,"*, "&amp;AV$3&amp;", *")</f>
        <v>0</v>
      </c>
      <c r="AW120" s="2">
        <f>COUNTIFS(集計用!$G118,"*, "&amp;AW$3&amp;", *")</f>
        <v>0</v>
      </c>
      <c r="AX120" s="2">
        <f>COUNTIFS(集計用!$G118,"*, "&amp;AX$3&amp;", *")</f>
        <v>0</v>
      </c>
      <c r="AY120" s="2">
        <f>COUNTIFS(集計用!$G118,"*, "&amp;AY$3&amp;", *")</f>
        <v>0</v>
      </c>
      <c r="AZ120" s="2">
        <f>COUNTIFS(集計用!$G118,"*, "&amp;AZ$3&amp;", *")</f>
        <v>0</v>
      </c>
      <c r="BA120" s="2">
        <f>COUNTIFS(集計用!$G118,"*, "&amp;BA$3&amp;", *")</f>
        <v>0</v>
      </c>
      <c r="BB120" s="2">
        <f>COUNTIFS(集計用!$G118,"*, "&amp;BB$3&amp;", *")</f>
        <v>0</v>
      </c>
      <c r="BC120" s="2">
        <f>COUNTIFS(集計用!$G118,"*, "&amp;BC$3&amp;", *")</f>
        <v>0</v>
      </c>
      <c r="BD120" s="2">
        <f>COUNTIFS(集計用!$G118,"*, "&amp;BD$3&amp;", *")</f>
        <v>0</v>
      </c>
      <c r="BE120" s="2">
        <f>COUNTIFS(集計用!$G118,"*, "&amp;BE$3&amp;", *")</f>
        <v>0</v>
      </c>
      <c r="BF120" s="2">
        <f>COUNTIFS(集計用!$G118,"*, "&amp;BF$3&amp;", *")</f>
        <v>0</v>
      </c>
      <c r="BG120" s="2">
        <f>COUNTIFS(集計用!$G118,"*, "&amp;BG$3&amp;", *")</f>
        <v>0</v>
      </c>
      <c r="BH120" s="2">
        <f>COUNTIFS(集計用!$G118,"*, "&amp;BH$3&amp;", *")</f>
        <v>0</v>
      </c>
      <c r="BI120" s="2">
        <f>COUNTIFS(集計用!$G118,"*, "&amp;BI$3&amp;", *")</f>
        <v>0</v>
      </c>
      <c r="BJ120" s="2">
        <f>LEN(集計用!H118)-LEN(SUBSTITUTE(集計用!H118,",",""))</f>
        <v>0</v>
      </c>
    </row>
    <row r="121" spans="1:62" ht="12.75">
      <c r="A121" s="8">
        <v>118</v>
      </c>
      <c r="C121" s="2">
        <f t="shared" si="3"/>
        <v>4</v>
      </c>
      <c r="D121" s="9"/>
      <c r="E121" s="2">
        <f>COUNTIFS(集計用!$G119,"*, "&amp;E$3&amp;", *")</f>
        <v>1</v>
      </c>
      <c r="F121" s="2">
        <f>COUNTIFS(集計用!$G119,"*, "&amp;F$3&amp;", *")</f>
        <v>0</v>
      </c>
      <c r="G121" s="2">
        <f>COUNTIFS(集計用!$G119,"*, "&amp;G$3&amp;", *")</f>
        <v>1</v>
      </c>
      <c r="H121" s="2">
        <f>COUNTIFS(集計用!$G119,"*, "&amp;H$3&amp;", *")</f>
        <v>0</v>
      </c>
      <c r="I121" s="2">
        <f>COUNTIFS(集計用!$G119,"*, "&amp;I$3&amp;", *")</f>
        <v>1</v>
      </c>
      <c r="J121" s="2">
        <f>COUNTIFS(集計用!$G119,"*, "&amp;J$3&amp;", *")</f>
        <v>0</v>
      </c>
      <c r="K121" s="2">
        <f>COUNTIFS(集計用!$G119,"*, "&amp;K$3&amp;", *")</f>
        <v>0</v>
      </c>
      <c r="L121" s="2">
        <f>COUNTIFS(集計用!$G119,"*, "&amp;L$3&amp;", *")</f>
        <v>0</v>
      </c>
      <c r="M121" s="2">
        <f>COUNTIFS(集計用!$G119,"*, "&amp;M$3&amp;", *")</f>
        <v>0</v>
      </c>
      <c r="N121" s="2">
        <f>COUNTIFS(集計用!$G119,"*, "&amp;N$3&amp;", *")</f>
        <v>1</v>
      </c>
      <c r="O121" s="2">
        <f>COUNTIFS(集計用!$G119,"*, "&amp;O$3&amp;", *")</f>
        <v>0</v>
      </c>
      <c r="P121" s="2">
        <f>COUNTIFS(集計用!$G119,"*, "&amp;P$3&amp;", *")</f>
        <v>0</v>
      </c>
      <c r="Q121" s="2">
        <f>COUNTIFS(集計用!$G119,"*, "&amp;Q$3&amp;", *")</f>
        <v>0</v>
      </c>
      <c r="R121" s="2">
        <f>COUNTIFS(集計用!$G119,"*, "&amp;R$3&amp;", *")</f>
        <v>0</v>
      </c>
      <c r="S121" s="2">
        <f>COUNTIFS(集計用!$G119,"*, "&amp;S$3&amp;", *")</f>
        <v>0</v>
      </c>
      <c r="T121" s="2">
        <f>COUNTIFS(集計用!$G119,"*, "&amp;T$3&amp;", *")</f>
        <v>0</v>
      </c>
      <c r="U121" s="2">
        <f>COUNTIFS(集計用!$G119,"*, "&amp;U$3&amp;", *")</f>
        <v>0</v>
      </c>
      <c r="V121" s="2">
        <f>COUNTIFS(集計用!$G119,"*, "&amp;V$3&amp;", *")</f>
        <v>0</v>
      </c>
      <c r="W121" s="2">
        <f>COUNTIFS(集計用!$G119,"*, "&amp;W$3&amp;", *")</f>
        <v>0</v>
      </c>
      <c r="X121" s="2">
        <f>COUNTIFS(集計用!$G119,"*, "&amp;X$3&amp;", *")</f>
        <v>0</v>
      </c>
      <c r="Y121" s="2">
        <f>COUNTIFS(集計用!$G119,"*, "&amp;Y$3&amp;", *")</f>
        <v>0</v>
      </c>
      <c r="Z121" s="2">
        <f>COUNTIFS(集計用!$G119,"*, "&amp;Z$3&amp;", *")</f>
        <v>0</v>
      </c>
      <c r="AA121" s="2">
        <f>COUNTIFS(集計用!$G119,"*, "&amp;AA$3&amp;", *")</f>
        <v>0</v>
      </c>
      <c r="AB121" s="2">
        <f>COUNTIFS(集計用!$G119,"*, "&amp;AB$3&amp;", *")</f>
        <v>0</v>
      </c>
      <c r="AC121" s="2">
        <f>COUNTIFS(集計用!$G119,"*, "&amp;AC$3&amp;", *")</f>
        <v>0</v>
      </c>
      <c r="AD121" s="2">
        <f>COUNTIFS(集計用!$G119,"*, "&amp;AD$3&amp;", *")</f>
        <v>0</v>
      </c>
      <c r="AE121" s="2">
        <f>COUNTIFS(集計用!$G119,"*, "&amp;AE$3&amp;", *")</f>
        <v>0</v>
      </c>
      <c r="AF121" s="2">
        <f>COUNTIFS(集計用!$G119,"*, "&amp;AF$3&amp;", *")</f>
        <v>0</v>
      </c>
      <c r="AG121" s="2">
        <f>COUNTIFS(集計用!$G119,"*, "&amp;AG$3&amp;", *")</f>
        <v>0</v>
      </c>
      <c r="AH121" s="2">
        <f>COUNTIFS(集計用!$G119,"*, "&amp;AH$3&amp;", *")</f>
        <v>0</v>
      </c>
      <c r="AI121" s="2">
        <f>COUNTIFS(集計用!$G119,"*, "&amp;AI$3&amp;", *")</f>
        <v>0</v>
      </c>
      <c r="AJ121" s="2">
        <f>COUNTIFS(集計用!$G119,"*, "&amp;AJ$3&amp;", *")</f>
        <v>0</v>
      </c>
      <c r="AK121" s="2">
        <f>COUNTIFS(集計用!$G119,"*, "&amp;AK$3&amp;", *")</f>
        <v>0</v>
      </c>
      <c r="AL121" s="2">
        <f>COUNTIFS(集計用!$G119,"*, "&amp;AL$3&amp;", *")</f>
        <v>0</v>
      </c>
      <c r="AM121" s="2">
        <f>COUNTIFS(集計用!$G119,"*, "&amp;AM$3&amp;", *")</f>
        <v>0</v>
      </c>
      <c r="AN121" s="2">
        <f>COUNTIFS(集計用!$G119,"*, "&amp;AN$3&amp;", *")</f>
        <v>0</v>
      </c>
      <c r="AO121" s="2">
        <f>COUNTIFS(集計用!$G119,"*, "&amp;AO$3&amp;", *")</f>
        <v>0</v>
      </c>
      <c r="AP121" s="2">
        <f>COUNTIFS(集計用!$G119,"*, "&amp;AP$3&amp;", *")</f>
        <v>0</v>
      </c>
      <c r="AQ121" s="2">
        <f>COUNTIFS(集計用!$G119,"*, "&amp;AQ$3&amp;", *")</f>
        <v>0</v>
      </c>
      <c r="AR121" s="2">
        <f>COUNTIFS(集計用!$G119,"*, "&amp;AR$3&amp;", *")</f>
        <v>0</v>
      </c>
      <c r="AS121" s="2">
        <f>COUNTIFS(集計用!$G119,"*, "&amp;AS$3&amp;", *")</f>
        <v>0</v>
      </c>
      <c r="AT121" s="2">
        <f>COUNTIFS(集計用!$G119,"*, "&amp;AT$3&amp;", *")</f>
        <v>0</v>
      </c>
      <c r="AU121" s="2">
        <f>COUNTIFS(集計用!$G119,"*, "&amp;AU$3&amp;", *")</f>
        <v>0</v>
      </c>
      <c r="AV121" s="2">
        <f>COUNTIFS(集計用!$G119,"*, "&amp;AV$3&amp;", *")</f>
        <v>0</v>
      </c>
      <c r="AW121" s="2">
        <f>COUNTIFS(集計用!$G119,"*, "&amp;AW$3&amp;", *")</f>
        <v>0</v>
      </c>
      <c r="AX121" s="2">
        <f>COUNTIFS(集計用!$G119,"*, "&amp;AX$3&amp;", *")</f>
        <v>0</v>
      </c>
      <c r="AY121" s="2">
        <f>COUNTIFS(集計用!$G119,"*, "&amp;AY$3&amp;", *")</f>
        <v>0</v>
      </c>
      <c r="AZ121" s="2">
        <f>COUNTIFS(集計用!$G119,"*, "&amp;AZ$3&amp;", *")</f>
        <v>0</v>
      </c>
      <c r="BA121" s="2">
        <f>COUNTIFS(集計用!$G119,"*, "&amp;BA$3&amp;", *")</f>
        <v>0</v>
      </c>
      <c r="BB121" s="2">
        <f>COUNTIFS(集計用!$G119,"*, "&amp;BB$3&amp;", *")</f>
        <v>0</v>
      </c>
      <c r="BC121" s="2">
        <f>COUNTIFS(集計用!$G119,"*, "&amp;BC$3&amp;", *")</f>
        <v>0</v>
      </c>
      <c r="BD121" s="2">
        <f>COUNTIFS(集計用!$G119,"*, "&amp;BD$3&amp;", *")</f>
        <v>0</v>
      </c>
      <c r="BE121" s="2">
        <f>COUNTIFS(集計用!$G119,"*, "&amp;BE$3&amp;", *")</f>
        <v>0</v>
      </c>
      <c r="BF121" s="2">
        <f>COUNTIFS(集計用!$G119,"*, "&amp;BF$3&amp;", *")</f>
        <v>0</v>
      </c>
      <c r="BG121" s="2">
        <f>COUNTIFS(集計用!$G119,"*, "&amp;BG$3&amp;", *")</f>
        <v>0</v>
      </c>
      <c r="BH121" s="2">
        <f>COUNTIFS(集計用!$G119,"*, "&amp;BH$3&amp;", *")</f>
        <v>0</v>
      </c>
      <c r="BI121" s="2">
        <f>COUNTIFS(集計用!$G119,"*, "&amp;BI$3&amp;", *")</f>
        <v>0</v>
      </c>
      <c r="BJ121" s="2">
        <f>LEN(集計用!H119)-LEN(SUBSTITUTE(集計用!H119,",",""))</f>
        <v>0</v>
      </c>
    </row>
    <row r="122" spans="1:62" ht="12.75">
      <c r="A122" s="8">
        <v>119</v>
      </c>
      <c r="C122" s="2">
        <f t="shared" si="3"/>
        <v>2</v>
      </c>
      <c r="D122" s="9"/>
      <c r="E122" s="2">
        <f>COUNTIFS(集計用!$G120,"*, "&amp;E$3&amp;", *")</f>
        <v>0</v>
      </c>
      <c r="F122" s="2">
        <f>COUNTIFS(集計用!$G120,"*, "&amp;F$3&amp;", *")</f>
        <v>1</v>
      </c>
      <c r="G122" s="2">
        <f>COUNTIFS(集計用!$G120,"*, "&amp;G$3&amp;", *")</f>
        <v>0</v>
      </c>
      <c r="H122" s="2">
        <f>COUNTIFS(集計用!$G120,"*, "&amp;H$3&amp;", *")</f>
        <v>0</v>
      </c>
      <c r="I122" s="2">
        <f>COUNTIFS(集計用!$G120,"*, "&amp;I$3&amp;", *")</f>
        <v>0</v>
      </c>
      <c r="J122" s="2">
        <f>COUNTIFS(集計用!$G120,"*, "&amp;J$3&amp;", *")</f>
        <v>0</v>
      </c>
      <c r="K122" s="2">
        <f>COUNTIFS(集計用!$G120,"*, "&amp;K$3&amp;", *")</f>
        <v>0</v>
      </c>
      <c r="L122" s="2">
        <f>COUNTIFS(集計用!$G120,"*, "&amp;L$3&amp;", *")</f>
        <v>0</v>
      </c>
      <c r="M122" s="2">
        <f>COUNTIFS(集計用!$G120,"*, "&amp;M$3&amp;", *")</f>
        <v>0</v>
      </c>
      <c r="N122" s="2">
        <f>COUNTIFS(集計用!$G120,"*, "&amp;N$3&amp;", *")</f>
        <v>0</v>
      </c>
      <c r="O122" s="2">
        <f>COUNTIFS(集計用!$G120,"*, "&amp;O$3&amp;", *")</f>
        <v>0</v>
      </c>
      <c r="P122" s="2">
        <f>COUNTIFS(集計用!$G120,"*, "&amp;P$3&amp;", *")</f>
        <v>0</v>
      </c>
      <c r="Q122" s="2">
        <f>COUNTIFS(集計用!$G120,"*, "&amp;Q$3&amp;", *")</f>
        <v>0</v>
      </c>
      <c r="R122" s="2">
        <f>COUNTIFS(集計用!$G120,"*, "&amp;R$3&amp;", *")</f>
        <v>1</v>
      </c>
      <c r="S122" s="2">
        <f>COUNTIFS(集計用!$G120,"*, "&amp;S$3&amp;", *")</f>
        <v>0</v>
      </c>
      <c r="T122" s="2">
        <f>COUNTIFS(集計用!$G120,"*, "&amp;T$3&amp;", *")</f>
        <v>0</v>
      </c>
      <c r="U122" s="2">
        <f>COUNTIFS(集計用!$G120,"*, "&amp;U$3&amp;", *")</f>
        <v>0</v>
      </c>
      <c r="V122" s="2">
        <f>COUNTIFS(集計用!$G120,"*, "&amp;V$3&amp;", *")</f>
        <v>0</v>
      </c>
      <c r="W122" s="2">
        <f>COUNTIFS(集計用!$G120,"*, "&amp;W$3&amp;", *")</f>
        <v>0</v>
      </c>
      <c r="X122" s="2">
        <f>COUNTIFS(集計用!$G120,"*, "&amp;X$3&amp;", *")</f>
        <v>0</v>
      </c>
      <c r="Y122" s="2">
        <f>COUNTIFS(集計用!$G120,"*, "&amp;Y$3&amp;", *")</f>
        <v>0</v>
      </c>
      <c r="Z122" s="2">
        <f>COUNTIFS(集計用!$G120,"*, "&amp;Z$3&amp;", *")</f>
        <v>0</v>
      </c>
      <c r="AA122" s="2">
        <f>COUNTIFS(集計用!$G120,"*, "&amp;AA$3&amp;", *")</f>
        <v>0</v>
      </c>
      <c r="AB122" s="2">
        <f>COUNTIFS(集計用!$G120,"*, "&amp;AB$3&amp;", *")</f>
        <v>0</v>
      </c>
      <c r="AC122" s="2">
        <f>COUNTIFS(集計用!$G120,"*, "&amp;AC$3&amp;", *")</f>
        <v>0</v>
      </c>
      <c r="AD122" s="2">
        <f>COUNTIFS(集計用!$G120,"*, "&amp;AD$3&amp;", *")</f>
        <v>0</v>
      </c>
      <c r="AE122" s="2">
        <f>COUNTIFS(集計用!$G120,"*, "&amp;AE$3&amp;", *")</f>
        <v>0</v>
      </c>
      <c r="AF122" s="2">
        <f>COUNTIFS(集計用!$G120,"*, "&amp;AF$3&amp;", *")</f>
        <v>0</v>
      </c>
      <c r="AG122" s="2">
        <f>COUNTIFS(集計用!$G120,"*, "&amp;AG$3&amp;", *")</f>
        <v>0</v>
      </c>
      <c r="AH122" s="2">
        <f>COUNTIFS(集計用!$G120,"*, "&amp;AH$3&amp;", *")</f>
        <v>0</v>
      </c>
      <c r="AI122" s="2">
        <f>COUNTIFS(集計用!$G120,"*, "&amp;AI$3&amp;", *")</f>
        <v>0</v>
      </c>
      <c r="AJ122" s="2">
        <f>COUNTIFS(集計用!$G120,"*, "&amp;AJ$3&amp;", *")</f>
        <v>0</v>
      </c>
      <c r="AK122" s="2">
        <f>COUNTIFS(集計用!$G120,"*, "&amp;AK$3&amp;", *")</f>
        <v>0</v>
      </c>
      <c r="AL122" s="2">
        <f>COUNTIFS(集計用!$G120,"*, "&amp;AL$3&amp;", *")</f>
        <v>0</v>
      </c>
      <c r="AM122" s="2">
        <f>COUNTIFS(集計用!$G120,"*, "&amp;AM$3&amp;", *")</f>
        <v>0</v>
      </c>
      <c r="AN122" s="2">
        <f>COUNTIFS(集計用!$G120,"*, "&amp;AN$3&amp;", *")</f>
        <v>0</v>
      </c>
      <c r="AO122" s="2">
        <f>COUNTIFS(集計用!$G120,"*, "&amp;AO$3&amp;", *")</f>
        <v>0</v>
      </c>
      <c r="AP122" s="2">
        <f>COUNTIFS(集計用!$G120,"*, "&amp;AP$3&amp;", *")</f>
        <v>0</v>
      </c>
      <c r="AQ122" s="2">
        <f>COUNTIFS(集計用!$G120,"*, "&amp;AQ$3&amp;", *")</f>
        <v>0</v>
      </c>
      <c r="AR122" s="2">
        <f>COUNTIFS(集計用!$G120,"*, "&amp;AR$3&amp;", *")</f>
        <v>0</v>
      </c>
      <c r="AS122" s="2">
        <f>COUNTIFS(集計用!$G120,"*, "&amp;AS$3&amp;", *")</f>
        <v>0</v>
      </c>
      <c r="AT122" s="2">
        <f>COUNTIFS(集計用!$G120,"*, "&amp;AT$3&amp;", *")</f>
        <v>0</v>
      </c>
      <c r="AU122" s="2">
        <f>COUNTIFS(集計用!$G120,"*, "&amp;AU$3&amp;", *")</f>
        <v>0</v>
      </c>
      <c r="AV122" s="2">
        <f>COUNTIFS(集計用!$G120,"*, "&amp;AV$3&amp;", *")</f>
        <v>0</v>
      </c>
      <c r="AW122" s="2">
        <f>COUNTIFS(集計用!$G120,"*, "&amp;AW$3&amp;", *")</f>
        <v>0</v>
      </c>
      <c r="AX122" s="2">
        <f>COUNTIFS(集計用!$G120,"*, "&amp;AX$3&amp;", *")</f>
        <v>0</v>
      </c>
      <c r="AY122" s="2">
        <f>COUNTIFS(集計用!$G120,"*, "&amp;AY$3&amp;", *")</f>
        <v>0</v>
      </c>
      <c r="AZ122" s="2">
        <f>COUNTIFS(集計用!$G120,"*, "&amp;AZ$3&amp;", *")</f>
        <v>0</v>
      </c>
      <c r="BA122" s="2">
        <f>COUNTIFS(集計用!$G120,"*, "&amp;BA$3&amp;", *")</f>
        <v>0</v>
      </c>
      <c r="BB122" s="2">
        <f>COUNTIFS(集計用!$G120,"*, "&amp;BB$3&amp;", *")</f>
        <v>0</v>
      </c>
      <c r="BC122" s="2">
        <f>COUNTIFS(集計用!$G120,"*, "&amp;BC$3&amp;", *")</f>
        <v>0</v>
      </c>
      <c r="BD122" s="2">
        <f>COUNTIFS(集計用!$G120,"*, "&amp;BD$3&amp;", *")</f>
        <v>0</v>
      </c>
      <c r="BE122" s="2">
        <f>COUNTIFS(集計用!$G120,"*, "&amp;BE$3&amp;", *")</f>
        <v>0</v>
      </c>
      <c r="BF122" s="2">
        <f>COUNTIFS(集計用!$G120,"*, "&amp;BF$3&amp;", *")</f>
        <v>0</v>
      </c>
      <c r="BG122" s="2">
        <f>COUNTIFS(集計用!$G120,"*, "&amp;BG$3&amp;", *")</f>
        <v>0</v>
      </c>
      <c r="BH122" s="2">
        <f>COUNTIFS(集計用!$G120,"*, "&amp;BH$3&amp;", *")</f>
        <v>0</v>
      </c>
      <c r="BI122" s="2">
        <f>COUNTIFS(集計用!$G120,"*, "&amp;BI$3&amp;", *")</f>
        <v>0</v>
      </c>
      <c r="BJ122" s="2">
        <f>LEN(集計用!H120)-LEN(SUBSTITUTE(集計用!H120,",",""))</f>
        <v>0</v>
      </c>
    </row>
    <row r="123" spans="1:62" ht="12.75">
      <c r="A123" s="8">
        <v>120</v>
      </c>
      <c r="C123" s="2">
        <f t="shared" si="3"/>
        <v>3</v>
      </c>
      <c r="D123" s="9"/>
      <c r="E123" s="2">
        <f>COUNTIFS(集計用!$G121,"*, "&amp;E$3&amp;", *")</f>
        <v>0</v>
      </c>
      <c r="F123" s="2">
        <f>COUNTIFS(集計用!$G121,"*, "&amp;F$3&amp;", *")</f>
        <v>0</v>
      </c>
      <c r="G123" s="2">
        <f>COUNTIFS(集計用!$G121,"*, "&amp;G$3&amp;", *")</f>
        <v>0</v>
      </c>
      <c r="H123" s="2">
        <f>COUNTIFS(集計用!$G121,"*, "&amp;H$3&amp;", *")</f>
        <v>0</v>
      </c>
      <c r="I123" s="2">
        <f>COUNTIFS(集計用!$G121,"*, "&amp;I$3&amp;", *")</f>
        <v>0</v>
      </c>
      <c r="J123" s="2">
        <f>COUNTIFS(集計用!$G121,"*, "&amp;J$3&amp;", *")</f>
        <v>0</v>
      </c>
      <c r="K123" s="2">
        <f>COUNTIFS(集計用!$G121,"*, "&amp;K$3&amp;", *")</f>
        <v>0</v>
      </c>
      <c r="L123" s="2">
        <f>COUNTIFS(集計用!$G121,"*, "&amp;L$3&amp;", *")</f>
        <v>1</v>
      </c>
      <c r="M123" s="2">
        <f>COUNTIFS(集計用!$G121,"*, "&amp;M$3&amp;", *")</f>
        <v>0</v>
      </c>
      <c r="N123" s="2">
        <f>COUNTIFS(集計用!$G121,"*, "&amp;N$3&amp;", *")</f>
        <v>0</v>
      </c>
      <c r="O123" s="2">
        <f>COUNTIFS(集計用!$G121,"*, "&amp;O$3&amp;", *")</f>
        <v>0</v>
      </c>
      <c r="P123" s="2">
        <f>COUNTIFS(集計用!$G121,"*, "&amp;P$3&amp;", *")</f>
        <v>0</v>
      </c>
      <c r="Q123" s="2">
        <f>COUNTIFS(集計用!$G121,"*, "&amp;Q$3&amp;", *")</f>
        <v>0</v>
      </c>
      <c r="R123" s="2">
        <f>COUNTIFS(集計用!$G121,"*, "&amp;R$3&amp;", *")</f>
        <v>0</v>
      </c>
      <c r="S123" s="2">
        <f>COUNTIFS(集計用!$G121,"*, "&amp;S$3&amp;", *")</f>
        <v>0</v>
      </c>
      <c r="T123" s="2">
        <f>COUNTIFS(集計用!$G121,"*, "&amp;T$3&amp;", *")</f>
        <v>0</v>
      </c>
      <c r="U123" s="2">
        <f>COUNTIFS(集計用!$G121,"*, "&amp;U$3&amp;", *")</f>
        <v>0</v>
      </c>
      <c r="V123" s="2">
        <f>COUNTIFS(集計用!$G121,"*, "&amp;V$3&amp;", *")</f>
        <v>0</v>
      </c>
      <c r="W123" s="2">
        <f>COUNTIFS(集計用!$G121,"*, "&amp;W$3&amp;", *")</f>
        <v>0</v>
      </c>
      <c r="X123" s="2">
        <f>COUNTIFS(集計用!$G121,"*, "&amp;X$3&amp;", *")</f>
        <v>0</v>
      </c>
      <c r="Y123" s="2">
        <f>COUNTIFS(集計用!$G121,"*, "&amp;Y$3&amp;", *")</f>
        <v>0</v>
      </c>
      <c r="Z123" s="2">
        <f>COUNTIFS(集計用!$G121,"*, "&amp;Z$3&amp;", *")</f>
        <v>0</v>
      </c>
      <c r="AA123" s="2">
        <f>COUNTIFS(集計用!$G121,"*, "&amp;AA$3&amp;", *")</f>
        <v>0</v>
      </c>
      <c r="AB123" s="2">
        <f>COUNTIFS(集計用!$G121,"*, "&amp;AB$3&amp;", *")</f>
        <v>0</v>
      </c>
      <c r="AC123" s="2">
        <f>COUNTIFS(集計用!$G121,"*, "&amp;AC$3&amp;", *")</f>
        <v>0</v>
      </c>
      <c r="AD123" s="2">
        <f>COUNTIFS(集計用!$G121,"*, "&amp;AD$3&amp;", *")</f>
        <v>0</v>
      </c>
      <c r="AE123" s="2">
        <f>COUNTIFS(集計用!$G121,"*, "&amp;AE$3&amp;", *")</f>
        <v>0</v>
      </c>
      <c r="AF123" s="2">
        <f>COUNTIFS(集計用!$G121,"*, "&amp;AF$3&amp;", *")</f>
        <v>0</v>
      </c>
      <c r="AG123" s="2">
        <f>COUNTIFS(集計用!$G121,"*, "&amp;AG$3&amp;", *")</f>
        <v>0</v>
      </c>
      <c r="AH123" s="2">
        <f>COUNTIFS(集計用!$G121,"*, "&amp;AH$3&amp;", *")</f>
        <v>0</v>
      </c>
      <c r="AI123" s="2">
        <f>COUNTIFS(集計用!$G121,"*, "&amp;AI$3&amp;", *")</f>
        <v>0</v>
      </c>
      <c r="AJ123" s="2">
        <f>COUNTIFS(集計用!$G121,"*, "&amp;AJ$3&amp;", *")</f>
        <v>0</v>
      </c>
      <c r="AK123" s="2">
        <f>COUNTIFS(集計用!$G121,"*, "&amp;AK$3&amp;", *")</f>
        <v>0</v>
      </c>
      <c r="AL123" s="2">
        <f>COUNTIFS(集計用!$G121,"*, "&amp;AL$3&amp;", *")</f>
        <v>0</v>
      </c>
      <c r="AM123" s="2">
        <f>COUNTIFS(集計用!$G121,"*, "&amp;AM$3&amp;", *")</f>
        <v>0</v>
      </c>
      <c r="AN123" s="2">
        <f>COUNTIFS(集計用!$G121,"*, "&amp;AN$3&amp;", *")</f>
        <v>0</v>
      </c>
      <c r="AO123" s="2">
        <f>COUNTIFS(集計用!$G121,"*, "&amp;AO$3&amp;", *")</f>
        <v>0</v>
      </c>
      <c r="AP123" s="2">
        <f>COUNTIFS(集計用!$G121,"*, "&amp;AP$3&amp;", *")</f>
        <v>0</v>
      </c>
      <c r="AQ123" s="2">
        <f>COUNTIFS(集計用!$G121,"*, "&amp;AQ$3&amp;", *")</f>
        <v>0</v>
      </c>
      <c r="AR123" s="2">
        <f>COUNTIFS(集計用!$G121,"*, "&amp;AR$3&amp;", *")</f>
        <v>0</v>
      </c>
      <c r="AS123" s="2">
        <f>COUNTIFS(集計用!$G121,"*, "&amp;AS$3&amp;", *")</f>
        <v>0</v>
      </c>
      <c r="AT123" s="2">
        <f>COUNTIFS(集計用!$G121,"*, "&amp;AT$3&amp;", *")</f>
        <v>0</v>
      </c>
      <c r="AU123" s="2">
        <f>COUNTIFS(集計用!$G121,"*, "&amp;AU$3&amp;", *")</f>
        <v>0</v>
      </c>
      <c r="AV123" s="2">
        <f>COUNTIFS(集計用!$G121,"*, "&amp;AV$3&amp;", *")</f>
        <v>0</v>
      </c>
      <c r="AW123" s="2">
        <f>COUNTIFS(集計用!$G121,"*, "&amp;AW$3&amp;", *")</f>
        <v>0</v>
      </c>
      <c r="AX123" s="2">
        <f>COUNTIFS(集計用!$G121,"*, "&amp;AX$3&amp;", *")</f>
        <v>0</v>
      </c>
      <c r="AY123" s="2">
        <f>COUNTIFS(集計用!$G121,"*, "&amp;AY$3&amp;", *")</f>
        <v>0</v>
      </c>
      <c r="AZ123" s="2">
        <f>COUNTIFS(集計用!$G121,"*, "&amp;AZ$3&amp;", *")</f>
        <v>0</v>
      </c>
      <c r="BA123" s="2">
        <f>COUNTIFS(集計用!$G121,"*, "&amp;BA$3&amp;", *")</f>
        <v>0</v>
      </c>
      <c r="BB123" s="2">
        <f>COUNTIFS(集計用!$G121,"*, "&amp;BB$3&amp;", *")</f>
        <v>0</v>
      </c>
      <c r="BC123" s="2">
        <f>COUNTIFS(集計用!$G121,"*, "&amp;BC$3&amp;", *")</f>
        <v>0</v>
      </c>
      <c r="BD123" s="2">
        <f>COUNTIFS(集計用!$G121,"*, "&amp;BD$3&amp;", *")</f>
        <v>0</v>
      </c>
      <c r="BE123" s="2">
        <f>COUNTIFS(集計用!$G121,"*, "&amp;BE$3&amp;", *")</f>
        <v>0</v>
      </c>
      <c r="BF123" s="2">
        <f>COUNTIFS(集計用!$G121,"*, "&amp;BF$3&amp;", *")</f>
        <v>0</v>
      </c>
      <c r="BG123" s="2">
        <f>COUNTIFS(集計用!$G121,"*, "&amp;BG$3&amp;", *")</f>
        <v>0</v>
      </c>
      <c r="BH123" s="2">
        <f>COUNTIFS(集計用!$G121,"*, "&amp;BH$3&amp;", *")</f>
        <v>0</v>
      </c>
      <c r="BI123" s="2">
        <f>COUNTIFS(集計用!$G121,"*, "&amp;BI$3&amp;", *")</f>
        <v>0</v>
      </c>
      <c r="BJ123" s="2">
        <f>LEN(集計用!H121)-LEN(SUBSTITUTE(集計用!H121,",",""))</f>
        <v>2</v>
      </c>
    </row>
    <row r="124" spans="1:62" ht="12.75">
      <c r="A124" s="8">
        <v>121</v>
      </c>
      <c r="C124" s="2">
        <f t="shared" si="3"/>
        <v>4</v>
      </c>
      <c r="D124" s="9"/>
      <c r="E124" s="2">
        <f>COUNTIFS(集計用!$G122,"*, "&amp;E$3&amp;", *")</f>
        <v>0</v>
      </c>
      <c r="F124" s="2">
        <f>COUNTIFS(集計用!$G122,"*, "&amp;F$3&amp;", *")</f>
        <v>0</v>
      </c>
      <c r="G124" s="2">
        <f>COUNTIFS(集計用!$G122,"*, "&amp;G$3&amp;", *")</f>
        <v>0</v>
      </c>
      <c r="H124" s="2">
        <f>COUNTIFS(集計用!$G122,"*, "&amp;H$3&amp;", *")</f>
        <v>1</v>
      </c>
      <c r="I124" s="2">
        <f>COUNTIFS(集計用!$G122,"*, "&amp;I$3&amp;", *")</f>
        <v>0</v>
      </c>
      <c r="J124" s="2">
        <f>COUNTIFS(集計用!$G122,"*, "&amp;J$3&amp;", *")</f>
        <v>0</v>
      </c>
      <c r="K124" s="2">
        <f>COUNTIFS(集計用!$G122,"*, "&amp;K$3&amp;", *")</f>
        <v>1</v>
      </c>
      <c r="L124" s="2">
        <f>COUNTIFS(集計用!$G122,"*, "&amp;L$3&amp;", *")</f>
        <v>1</v>
      </c>
      <c r="M124" s="2">
        <f>COUNTIFS(集計用!$G122,"*, "&amp;M$3&amp;", *")</f>
        <v>0</v>
      </c>
      <c r="N124" s="2">
        <f>COUNTIFS(集計用!$G122,"*, "&amp;N$3&amp;", *")</f>
        <v>0</v>
      </c>
      <c r="O124" s="2">
        <f>COUNTIFS(集計用!$G122,"*, "&amp;O$3&amp;", *")</f>
        <v>0</v>
      </c>
      <c r="P124" s="2">
        <f>COUNTIFS(集計用!$G122,"*, "&amp;P$3&amp;", *")</f>
        <v>0</v>
      </c>
      <c r="Q124" s="2">
        <f>COUNTIFS(集計用!$G122,"*, "&amp;Q$3&amp;", *")</f>
        <v>0</v>
      </c>
      <c r="R124" s="2">
        <f>COUNTIFS(集計用!$G122,"*, "&amp;R$3&amp;", *")</f>
        <v>0</v>
      </c>
      <c r="S124" s="2">
        <f>COUNTIFS(集計用!$G122,"*, "&amp;S$3&amp;", *")</f>
        <v>0</v>
      </c>
      <c r="T124" s="2">
        <f>COUNTIFS(集計用!$G122,"*, "&amp;T$3&amp;", *")</f>
        <v>0</v>
      </c>
      <c r="U124" s="2">
        <f>COUNTIFS(集計用!$G122,"*, "&amp;U$3&amp;", *")</f>
        <v>0</v>
      </c>
      <c r="V124" s="2">
        <f>COUNTIFS(集計用!$G122,"*, "&amp;V$3&amp;", *")</f>
        <v>0</v>
      </c>
      <c r="W124" s="2">
        <f>COUNTIFS(集計用!$G122,"*, "&amp;W$3&amp;", *")</f>
        <v>1</v>
      </c>
      <c r="X124" s="2">
        <f>COUNTIFS(集計用!$G122,"*, "&amp;X$3&amp;", *")</f>
        <v>0</v>
      </c>
      <c r="Y124" s="2">
        <f>COUNTIFS(集計用!$G122,"*, "&amp;Y$3&amp;", *")</f>
        <v>0</v>
      </c>
      <c r="Z124" s="2">
        <f>COUNTIFS(集計用!$G122,"*, "&amp;Z$3&amp;", *")</f>
        <v>0</v>
      </c>
      <c r="AA124" s="2">
        <f>COUNTIFS(集計用!$G122,"*, "&amp;AA$3&amp;", *")</f>
        <v>0</v>
      </c>
      <c r="AB124" s="2">
        <f>COUNTIFS(集計用!$G122,"*, "&amp;AB$3&amp;", *")</f>
        <v>0</v>
      </c>
      <c r="AC124" s="2">
        <f>COUNTIFS(集計用!$G122,"*, "&amp;AC$3&amp;", *")</f>
        <v>0</v>
      </c>
      <c r="AD124" s="2">
        <f>COUNTIFS(集計用!$G122,"*, "&amp;AD$3&amp;", *")</f>
        <v>0</v>
      </c>
      <c r="AE124" s="2">
        <f>COUNTIFS(集計用!$G122,"*, "&amp;AE$3&amp;", *")</f>
        <v>0</v>
      </c>
      <c r="AF124" s="2">
        <f>COUNTIFS(集計用!$G122,"*, "&amp;AF$3&amp;", *")</f>
        <v>0</v>
      </c>
      <c r="AG124" s="2">
        <f>COUNTIFS(集計用!$G122,"*, "&amp;AG$3&amp;", *")</f>
        <v>0</v>
      </c>
      <c r="AH124" s="2">
        <f>COUNTIFS(集計用!$G122,"*, "&amp;AH$3&amp;", *")</f>
        <v>0</v>
      </c>
      <c r="AI124" s="2">
        <f>COUNTIFS(集計用!$G122,"*, "&amp;AI$3&amp;", *")</f>
        <v>0</v>
      </c>
      <c r="AJ124" s="2">
        <f>COUNTIFS(集計用!$G122,"*, "&amp;AJ$3&amp;", *")</f>
        <v>0</v>
      </c>
      <c r="AK124" s="2">
        <f>COUNTIFS(集計用!$G122,"*, "&amp;AK$3&amp;", *")</f>
        <v>0</v>
      </c>
      <c r="AL124" s="2">
        <f>COUNTIFS(集計用!$G122,"*, "&amp;AL$3&amp;", *")</f>
        <v>0</v>
      </c>
      <c r="AM124" s="2">
        <f>COUNTIFS(集計用!$G122,"*, "&amp;AM$3&amp;", *")</f>
        <v>0</v>
      </c>
      <c r="AN124" s="2">
        <f>COUNTIFS(集計用!$G122,"*, "&amp;AN$3&amp;", *")</f>
        <v>0</v>
      </c>
      <c r="AO124" s="2">
        <f>COUNTIFS(集計用!$G122,"*, "&amp;AO$3&amp;", *")</f>
        <v>0</v>
      </c>
      <c r="AP124" s="2">
        <f>COUNTIFS(集計用!$G122,"*, "&amp;AP$3&amp;", *")</f>
        <v>0</v>
      </c>
      <c r="AQ124" s="2">
        <f>COUNTIFS(集計用!$G122,"*, "&amp;AQ$3&amp;", *")</f>
        <v>0</v>
      </c>
      <c r="AR124" s="2">
        <f>COUNTIFS(集計用!$G122,"*, "&amp;AR$3&amp;", *")</f>
        <v>0</v>
      </c>
      <c r="AS124" s="2">
        <f>COUNTIFS(集計用!$G122,"*, "&amp;AS$3&amp;", *")</f>
        <v>0</v>
      </c>
      <c r="AT124" s="2">
        <f>COUNTIFS(集計用!$G122,"*, "&amp;AT$3&amp;", *")</f>
        <v>0</v>
      </c>
      <c r="AU124" s="2">
        <f>COUNTIFS(集計用!$G122,"*, "&amp;AU$3&amp;", *")</f>
        <v>0</v>
      </c>
      <c r="AV124" s="2">
        <f>COUNTIFS(集計用!$G122,"*, "&amp;AV$3&amp;", *")</f>
        <v>0</v>
      </c>
      <c r="AW124" s="2">
        <f>COUNTIFS(集計用!$G122,"*, "&amp;AW$3&amp;", *")</f>
        <v>0</v>
      </c>
      <c r="AX124" s="2">
        <f>COUNTIFS(集計用!$G122,"*, "&amp;AX$3&amp;", *")</f>
        <v>0</v>
      </c>
      <c r="AY124" s="2">
        <f>COUNTIFS(集計用!$G122,"*, "&amp;AY$3&amp;", *")</f>
        <v>0</v>
      </c>
      <c r="AZ124" s="2">
        <f>COUNTIFS(集計用!$G122,"*, "&amp;AZ$3&amp;", *")</f>
        <v>0</v>
      </c>
      <c r="BA124" s="2">
        <f>COUNTIFS(集計用!$G122,"*, "&amp;BA$3&amp;", *")</f>
        <v>0</v>
      </c>
      <c r="BB124" s="2">
        <f>COUNTIFS(集計用!$G122,"*, "&amp;BB$3&amp;", *")</f>
        <v>0</v>
      </c>
      <c r="BC124" s="2">
        <f>COUNTIFS(集計用!$G122,"*, "&amp;BC$3&amp;", *")</f>
        <v>0</v>
      </c>
      <c r="BD124" s="2">
        <f>COUNTIFS(集計用!$G122,"*, "&amp;BD$3&amp;", *")</f>
        <v>0</v>
      </c>
      <c r="BE124" s="2">
        <f>COUNTIFS(集計用!$G122,"*, "&amp;BE$3&amp;", *")</f>
        <v>0</v>
      </c>
      <c r="BF124" s="2">
        <f>COUNTIFS(集計用!$G122,"*, "&amp;BF$3&amp;", *")</f>
        <v>0</v>
      </c>
      <c r="BG124" s="2">
        <f>COUNTIFS(集計用!$G122,"*, "&amp;BG$3&amp;", *")</f>
        <v>0</v>
      </c>
      <c r="BH124" s="2">
        <f>COUNTIFS(集計用!$G122,"*, "&amp;BH$3&amp;", *")</f>
        <v>0</v>
      </c>
      <c r="BI124" s="2">
        <f>COUNTIFS(集計用!$G122,"*, "&amp;BI$3&amp;", *")</f>
        <v>0</v>
      </c>
      <c r="BJ124" s="2">
        <f>LEN(集計用!H122)-LEN(SUBSTITUTE(集計用!H122,",",""))</f>
        <v>0</v>
      </c>
    </row>
    <row r="125" spans="1:62" ht="12.75">
      <c r="A125" s="8">
        <v>122</v>
      </c>
      <c r="C125" s="2">
        <f t="shared" si="3"/>
        <v>3</v>
      </c>
      <c r="D125" s="9"/>
      <c r="E125" s="2">
        <f>COUNTIFS(集計用!$G123,"*, "&amp;E$3&amp;", *")</f>
        <v>1</v>
      </c>
      <c r="F125" s="2">
        <f>COUNTIFS(集計用!$G123,"*, "&amp;F$3&amp;", *")</f>
        <v>0</v>
      </c>
      <c r="G125" s="2">
        <f>COUNTIFS(集計用!$G123,"*, "&amp;G$3&amp;", *")</f>
        <v>0</v>
      </c>
      <c r="H125" s="2">
        <f>COUNTIFS(集計用!$G123,"*, "&amp;H$3&amp;", *")</f>
        <v>0</v>
      </c>
      <c r="I125" s="2">
        <f>COUNTIFS(集計用!$G123,"*, "&amp;I$3&amp;", *")</f>
        <v>0</v>
      </c>
      <c r="J125" s="2">
        <f>COUNTIFS(集計用!$G123,"*, "&amp;J$3&amp;", *")</f>
        <v>0</v>
      </c>
      <c r="K125" s="2">
        <f>COUNTIFS(集計用!$G123,"*, "&amp;K$3&amp;", *")</f>
        <v>0</v>
      </c>
      <c r="L125" s="2">
        <f>COUNTIFS(集計用!$G123,"*, "&amp;L$3&amp;", *")</f>
        <v>1</v>
      </c>
      <c r="M125" s="2">
        <f>COUNTIFS(集計用!$G123,"*, "&amp;M$3&amp;", *")</f>
        <v>0</v>
      </c>
      <c r="N125" s="2">
        <f>COUNTIFS(集計用!$G123,"*, "&amp;N$3&amp;", *")</f>
        <v>0</v>
      </c>
      <c r="O125" s="2">
        <f>COUNTIFS(集計用!$G123,"*, "&amp;O$3&amp;", *")</f>
        <v>0</v>
      </c>
      <c r="P125" s="2">
        <f>COUNTIFS(集計用!$G123,"*, "&amp;P$3&amp;", *")</f>
        <v>0</v>
      </c>
      <c r="Q125" s="2">
        <f>COUNTIFS(集計用!$G123,"*, "&amp;Q$3&amp;", *")</f>
        <v>0</v>
      </c>
      <c r="R125" s="2">
        <f>COUNTIFS(集計用!$G123,"*, "&amp;R$3&amp;", *")</f>
        <v>0</v>
      </c>
      <c r="S125" s="2">
        <f>COUNTIFS(集計用!$G123,"*, "&amp;S$3&amp;", *")</f>
        <v>0</v>
      </c>
      <c r="T125" s="2">
        <f>COUNTIFS(集計用!$G123,"*, "&amp;T$3&amp;", *")</f>
        <v>0</v>
      </c>
      <c r="U125" s="2">
        <f>COUNTIFS(集計用!$G123,"*, "&amp;U$3&amp;", *")</f>
        <v>0</v>
      </c>
      <c r="V125" s="2">
        <f>COUNTIFS(集計用!$G123,"*, "&amp;V$3&amp;", *")</f>
        <v>0</v>
      </c>
      <c r="W125" s="2">
        <f>COUNTIFS(集計用!$G123,"*, "&amp;W$3&amp;", *")</f>
        <v>0</v>
      </c>
      <c r="X125" s="2">
        <f>COUNTIFS(集計用!$G123,"*, "&amp;X$3&amp;", *")</f>
        <v>0</v>
      </c>
      <c r="Y125" s="2">
        <f>COUNTIFS(集計用!$G123,"*, "&amp;Y$3&amp;", *")</f>
        <v>0</v>
      </c>
      <c r="Z125" s="2">
        <f>COUNTIFS(集計用!$G123,"*, "&amp;Z$3&amp;", *")</f>
        <v>0</v>
      </c>
      <c r="AA125" s="2">
        <f>COUNTIFS(集計用!$G123,"*, "&amp;AA$3&amp;", *")</f>
        <v>0</v>
      </c>
      <c r="AB125" s="2">
        <f>COUNTIFS(集計用!$G123,"*, "&amp;AB$3&amp;", *")</f>
        <v>0</v>
      </c>
      <c r="AC125" s="2">
        <f>COUNTIFS(集計用!$G123,"*, "&amp;AC$3&amp;", *")</f>
        <v>0</v>
      </c>
      <c r="AD125" s="2">
        <f>COUNTIFS(集計用!$G123,"*, "&amp;AD$3&amp;", *")</f>
        <v>0</v>
      </c>
      <c r="AE125" s="2">
        <f>COUNTIFS(集計用!$G123,"*, "&amp;AE$3&amp;", *")</f>
        <v>0</v>
      </c>
      <c r="AF125" s="2">
        <f>COUNTIFS(集計用!$G123,"*, "&amp;AF$3&amp;", *")</f>
        <v>0</v>
      </c>
      <c r="AG125" s="2">
        <f>COUNTIFS(集計用!$G123,"*, "&amp;AG$3&amp;", *")</f>
        <v>0</v>
      </c>
      <c r="AH125" s="2">
        <f>COUNTIFS(集計用!$G123,"*, "&amp;AH$3&amp;", *")</f>
        <v>0</v>
      </c>
      <c r="AI125" s="2">
        <f>COUNTIFS(集計用!$G123,"*, "&amp;AI$3&amp;", *")</f>
        <v>0</v>
      </c>
      <c r="AJ125" s="2">
        <f>COUNTIFS(集計用!$G123,"*, "&amp;AJ$3&amp;", *")</f>
        <v>0</v>
      </c>
      <c r="AK125" s="2">
        <f>COUNTIFS(集計用!$G123,"*, "&amp;AK$3&amp;", *")</f>
        <v>0</v>
      </c>
      <c r="AL125" s="2">
        <f>COUNTIFS(集計用!$G123,"*, "&amp;AL$3&amp;", *")</f>
        <v>0</v>
      </c>
      <c r="AM125" s="2">
        <f>COUNTIFS(集計用!$G123,"*, "&amp;AM$3&amp;", *")</f>
        <v>0</v>
      </c>
      <c r="AN125" s="2">
        <f>COUNTIFS(集計用!$G123,"*, "&amp;AN$3&amp;", *")</f>
        <v>0</v>
      </c>
      <c r="AO125" s="2">
        <f>COUNTIFS(集計用!$G123,"*, "&amp;AO$3&amp;", *")</f>
        <v>0</v>
      </c>
      <c r="AP125" s="2">
        <f>COUNTIFS(集計用!$G123,"*, "&amp;AP$3&amp;", *")</f>
        <v>0</v>
      </c>
      <c r="AQ125" s="2">
        <f>COUNTIFS(集計用!$G123,"*, "&amp;AQ$3&amp;", *")</f>
        <v>1</v>
      </c>
      <c r="AR125" s="2">
        <f>COUNTIFS(集計用!$G123,"*, "&amp;AR$3&amp;", *")</f>
        <v>0</v>
      </c>
      <c r="AS125" s="2">
        <f>COUNTIFS(集計用!$G123,"*, "&amp;AS$3&amp;", *")</f>
        <v>0</v>
      </c>
      <c r="AT125" s="2">
        <f>COUNTIFS(集計用!$G123,"*, "&amp;AT$3&amp;", *")</f>
        <v>0</v>
      </c>
      <c r="AU125" s="2">
        <f>COUNTIFS(集計用!$G123,"*, "&amp;AU$3&amp;", *")</f>
        <v>0</v>
      </c>
      <c r="AV125" s="2">
        <f>COUNTIFS(集計用!$G123,"*, "&amp;AV$3&amp;", *")</f>
        <v>0</v>
      </c>
      <c r="AW125" s="2">
        <f>COUNTIFS(集計用!$G123,"*, "&amp;AW$3&amp;", *")</f>
        <v>0</v>
      </c>
      <c r="AX125" s="2">
        <f>COUNTIFS(集計用!$G123,"*, "&amp;AX$3&amp;", *")</f>
        <v>0</v>
      </c>
      <c r="AY125" s="2">
        <f>COUNTIFS(集計用!$G123,"*, "&amp;AY$3&amp;", *")</f>
        <v>0</v>
      </c>
      <c r="AZ125" s="2">
        <f>COUNTIFS(集計用!$G123,"*, "&amp;AZ$3&amp;", *")</f>
        <v>0</v>
      </c>
      <c r="BA125" s="2">
        <f>COUNTIFS(集計用!$G123,"*, "&amp;BA$3&amp;", *")</f>
        <v>0</v>
      </c>
      <c r="BB125" s="2">
        <f>COUNTIFS(集計用!$G123,"*, "&amp;BB$3&amp;", *")</f>
        <v>0</v>
      </c>
      <c r="BC125" s="2">
        <f>COUNTIFS(集計用!$G123,"*, "&amp;BC$3&amp;", *")</f>
        <v>0</v>
      </c>
      <c r="BD125" s="2">
        <f>COUNTIFS(集計用!$G123,"*, "&amp;BD$3&amp;", *")</f>
        <v>0</v>
      </c>
      <c r="BE125" s="2">
        <f>COUNTIFS(集計用!$G123,"*, "&amp;BE$3&amp;", *")</f>
        <v>0</v>
      </c>
      <c r="BF125" s="2">
        <f>COUNTIFS(集計用!$G123,"*, "&amp;BF$3&amp;", *")</f>
        <v>0</v>
      </c>
      <c r="BG125" s="2">
        <f>COUNTIFS(集計用!$G123,"*, "&amp;BG$3&amp;", *")</f>
        <v>0</v>
      </c>
      <c r="BH125" s="2">
        <f>COUNTIFS(集計用!$G123,"*, "&amp;BH$3&amp;", *")</f>
        <v>0</v>
      </c>
      <c r="BI125" s="2">
        <f>COUNTIFS(集計用!$G123,"*, "&amp;BI$3&amp;", *")</f>
        <v>0</v>
      </c>
      <c r="BJ125" s="2">
        <f>LEN(集計用!H123)-LEN(SUBSTITUTE(集計用!H123,",",""))</f>
        <v>0</v>
      </c>
    </row>
    <row r="126" spans="1:62" ht="12.75">
      <c r="A126" s="8">
        <v>123</v>
      </c>
      <c r="C126" s="2">
        <f t="shared" si="3"/>
        <v>2</v>
      </c>
      <c r="D126" s="9"/>
      <c r="E126" s="2">
        <f>COUNTIFS(集計用!$G124,"*, "&amp;E$3&amp;", *")</f>
        <v>1</v>
      </c>
      <c r="F126" s="2">
        <f>COUNTIFS(集計用!$G124,"*, "&amp;F$3&amp;", *")</f>
        <v>0</v>
      </c>
      <c r="G126" s="2">
        <f>COUNTIFS(集計用!$G124,"*, "&amp;G$3&amp;", *")</f>
        <v>1</v>
      </c>
      <c r="H126" s="2">
        <f>COUNTIFS(集計用!$G124,"*, "&amp;H$3&amp;", *")</f>
        <v>0</v>
      </c>
      <c r="I126" s="2">
        <f>COUNTIFS(集計用!$G124,"*, "&amp;I$3&amp;", *")</f>
        <v>0</v>
      </c>
      <c r="J126" s="2">
        <f>COUNTIFS(集計用!$G124,"*, "&amp;J$3&amp;", *")</f>
        <v>0</v>
      </c>
      <c r="K126" s="2">
        <f>COUNTIFS(集計用!$G124,"*, "&amp;K$3&amp;", *")</f>
        <v>0</v>
      </c>
      <c r="L126" s="2">
        <f>COUNTIFS(集計用!$G124,"*, "&amp;L$3&amp;", *")</f>
        <v>0</v>
      </c>
      <c r="M126" s="2">
        <f>COUNTIFS(集計用!$G124,"*, "&amp;M$3&amp;", *")</f>
        <v>0</v>
      </c>
      <c r="N126" s="2">
        <f>COUNTIFS(集計用!$G124,"*, "&amp;N$3&amp;", *")</f>
        <v>0</v>
      </c>
      <c r="O126" s="2">
        <f>COUNTIFS(集計用!$G124,"*, "&amp;O$3&amp;", *")</f>
        <v>0</v>
      </c>
      <c r="P126" s="2">
        <f>COUNTIFS(集計用!$G124,"*, "&amp;P$3&amp;", *")</f>
        <v>0</v>
      </c>
      <c r="Q126" s="2">
        <f>COUNTIFS(集計用!$G124,"*, "&amp;Q$3&amp;", *")</f>
        <v>0</v>
      </c>
      <c r="R126" s="2">
        <f>COUNTIFS(集計用!$G124,"*, "&amp;R$3&amp;", *")</f>
        <v>0</v>
      </c>
      <c r="S126" s="2">
        <f>COUNTIFS(集計用!$G124,"*, "&amp;S$3&amp;", *")</f>
        <v>0</v>
      </c>
      <c r="T126" s="2">
        <f>COUNTIFS(集計用!$G124,"*, "&amp;T$3&amp;", *")</f>
        <v>0</v>
      </c>
      <c r="U126" s="2">
        <f>COUNTIFS(集計用!$G124,"*, "&amp;U$3&amp;", *")</f>
        <v>0</v>
      </c>
      <c r="V126" s="2">
        <f>COUNTIFS(集計用!$G124,"*, "&amp;V$3&amp;", *")</f>
        <v>0</v>
      </c>
      <c r="W126" s="2">
        <f>COUNTIFS(集計用!$G124,"*, "&amp;W$3&amp;", *")</f>
        <v>0</v>
      </c>
      <c r="X126" s="2">
        <f>COUNTIFS(集計用!$G124,"*, "&amp;X$3&amp;", *")</f>
        <v>0</v>
      </c>
      <c r="Y126" s="2">
        <f>COUNTIFS(集計用!$G124,"*, "&amp;Y$3&amp;", *")</f>
        <v>0</v>
      </c>
      <c r="Z126" s="2">
        <f>COUNTIFS(集計用!$G124,"*, "&amp;Z$3&amp;", *")</f>
        <v>0</v>
      </c>
      <c r="AA126" s="2">
        <f>COUNTIFS(集計用!$G124,"*, "&amp;AA$3&amp;", *")</f>
        <v>0</v>
      </c>
      <c r="AB126" s="2">
        <f>COUNTIFS(集計用!$G124,"*, "&amp;AB$3&amp;", *")</f>
        <v>0</v>
      </c>
      <c r="AC126" s="2">
        <f>COUNTIFS(集計用!$G124,"*, "&amp;AC$3&amp;", *")</f>
        <v>0</v>
      </c>
      <c r="AD126" s="2">
        <f>COUNTIFS(集計用!$G124,"*, "&amp;AD$3&amp;", *")</f>
        <v>0</v>
      </c>
      <c r="AE126" s="2">
        <f>COUNTIFS(集計用!$G124,"*, "&amp;AE$3&amp;", *")</f>
        <v>0</v>
      </c>
      <c r="AF126" s="2">
        <f>COUNTIFS(集計用!$G124,"*, "&amp;AF$3&amp;", *")</f>
        <v>0</v>
      </c>
      <c r="AG126" s="2">
        <f>COUNTIFS(集計用!$G124,"*, "&amp;AG$3&amp;", *")</f>
        <v>0</v>
      </c>
      <c r="AH126" s="2">
        <f>COUNTIFS(集計用!$G124,"*, "&amp;AH$3&amp;", *")</f>
        <v>0</v>
      </c>
      <c r="AI126" s="2">
        <f>COUNTIFS(集計用!$G124,"*, "&amp;AI$3&amp;", *")</f>
        <v>0</v>
      </c>
      <c r="AJ126" s="2">
        <f>COUNTIFS(集計用!$G124,"*, "&amp;AJ$3&amp;", *")</f>
        <v>0</v>
      </c>
      <c r="AK126" s="2">
        <f>COUNTIFS(集計用!$G124,"*, "&amp;AK$3&amp;", *")</f>
        <v>0</v>
      </c>
      <c r="AL126" s="2">
        <f>COUNTIFS(集計用!$G124,"*, "&amp;AL$3&amp;", *")</f>
        <v>0</v>
      </c>
      <c r="AM126" s="2">
        <f>COUNTIFS(集計用!$G124,"*, "&amp;AM$3&amp;", *")</f>
        <v>0</v>
      </c>
      <c r="AN126" s="2">
        <f>COUNTIFS(集計用!$G124,"*, "&amp;AN$3&amp;", *")</f>
        <v>0</v>
      </c>
      <c r="AO126" s="2">
        <f>COUNTIFS(集計用!$G124,"*, "&amp;AO$3&amp;", *")</f>
        <v>0</v>
      </c>
      <c r="AP126" s="2">
        <f>COUNTIFS(集計用!$G124,"*, "&amp;AP$3&amp;", *")</f>
        <v>0</v>
      </c>
      <c r="AQ126" s="2">
        <f>COUNTIFS(集計用!$G124,"*, "&amp;AQ$3&amp;", *")</f>
        <v>0</v>
      </c>
      <c r="AR126" s="2">
        <f>COUNTIFS(集計用!$G124,"*, "&amp;AR$3&amp;", *")</f>
        <v>0</v>
      </c>
      <c r="AS126" s="2">
        <f>COUNTIFS(集計用!$G124,"*, "&amp;AS$3&amp;", *")</f>
        <v>0</v>
      </c>
      <c r="AT126" s="2">
        <f>COUNTIFS(集計用!$G124,"*, "&amp;AT$3&amp;", *")</f>
        <v>0</v>
      </c>
      <c r="AU126" s="2">
        <f>COUNTIFS(集計用!$G124,"*, "&amp;AU$3&amp;", *")</f>
        <v>0</v>
      </c>
      <c r="AV126" s="2">
        <f>COUNTIFS(集計用!$G124,"*, "&amp;AV$3&amp;", *")</f>
        <v>0</v>
      </c>
      <c r="AW126" s="2">
        <f>COUNTIFS(集計用!$G124,"*, "&amp;AW$3&amp;", *")</f>
        <v>0</v>
      </c>
      <c r="AX126" s="2">
        <f>COUNTIFS(集計用!$G124,"*, "&amp;AX$3&amp;", *")</f>
        <v>0</v>
      </c>
      <c r="AY126" s="2">
        <f>COUNTIFS(集計用!$G124,"*, "&amp;AY$3&amp;", *")</f>
        <v>0</v>
      </c>
      <c r="AZ126" s="2">
        <f>COUNTIFS(集計用!$G124,"*, "&amp;AZ$3&amp;", *")</f>
        <v>0</v>
      </c>
      <c r="BA126" s="2">
        <f>COUNTIFS(集計用!$G124,"*, "&amp;BA$3&amp;", *")</f>
        <v>0</v>
      </c>
      <c r="BB126" s="2">
        <f>COUNTIFS(集計用!$G124,"*, "&amp;BB$3&amp;", *")</f>
        <v>0</v>
      </c>
      <c r="BC126" s="2">
        <f>COUNTIFS(集計用!$G124,"*, "&amp;BC$3&amp;", *")</f>
        <v>0</v>
      </c>
      <c r="BD126" s="2">
        <f>COUNTIFS(集計用!$G124,"*, "&amp;BD$3&amp;", *")</f>
        <v>0</v>
      </c>
      <c r="BE126" s="2">
        <f>COUNTIFS(集計用!$G124,"*, "&amp;BE$3&amp;", *")</f>
        <v>0</v>
      </c>
      <c r="BF126" s="2">
        <f>COUNTIFS(集計用!$G124,"*, "&amp;BF$3&amp;", *")</f>
        <v>0</v>
      </c>
      <c r="BG126" s="2">
        <f>COUNTIFS(集計用!$G124,"*, "&amp;BG$3&amp;", *")</f>
        <v>0</v>
      </c>
      <c r="BH126" s="2">
        <f>COUNTIFS(集計用!$G124,"*, "&amp;BH$3&amp;", *")</f>
        <v>0</v>
      </c>
      <c r="BI126" s="2">
        <f>COUNTIFS(集計用!$G124,"*, "&amp;BI$3&amp;", *")</f>
        <v>0</v>
      </c>
      <c r="BJ126" s="2">
        <f>LEN(集計用!H124)-LEN(SUBSTITUTE(集計用!H124,",",""))</f>
        <v>0</v>
      </c>
    </row>
    <row r="127" spans="1:62" ht="12.75">
      <c r="A127" s="8">
        <v>124</v>
      </c>
      <c r="C127" s="2">
        <f t="shared" si="3"/>
        <v>7</v>
      </c>
      <c r="D127" s="9"/>
      <c r="E127" s="2">
        <f>COUNTIFS(集計用!$G125,"*, "&amp;E$3&amp;", *")</f>
        <v>1</v>
      </c>
      <c r="F127" s="2">
        <f>COUNTIFS(集計用!$G125,"*, "&amp;F$3&amp;", *")</f>
        <v>1</v>
      </c>
      <c r="G127" s="2">
        <f>COUNTIFS(集計用!$G125,"*, "&amp;G$3&amp;", *")</f>
        <v>0</v>
      </c>
      <c r="H127" s="2">
        <f>COUNTIFS(集計用!$G125,"*, "&amp;H$3&amp;", *")</f>
        <v>1</v>
      </c>
      <c r="I127" s="2">
        <f>COUNTIFS(集計用!$G125,"*, "&amp;I$3&amp;", *")</f>
        <v>0</v>
      </c>
      <c r="J127" s="2">
        <f>COUNTIFS(集計用!$G125,"*, "&amp;J$3&amp;", *")</f>
        <v>0</v>
      </c>
      <c r="K127" s="2">
        <f>COUNTIFS(集計用!$G125,"*, "&amp;K$3&amp;", *")</f>
        <v>1</v>
      </c>
      <c r="L127" s="2">
        <f>COUNTIFS(集計用!$G125,"*, "&amp;L$3&amp;", *")</f>
        <v>0</v>
      </c>
      <c r="M127" s="2">
        <f>COUNTIFS(集計用!$G125,"*, "&amp;M$3&amp;", *")</f>
        <v>0</v>
      </c>
      <c r="N127" s="2">
        <f>COUNTIFS(集計用!$G125,"*, "&amp;N$3&amp;", *")</f>
        <v>0</v>
      </c>
      <c r="O127" s="2">
        <f>COUNTIFS(集計用!$G125,"*, "&amp;O$3&amp;", *")</f>
        <v>0</v>
      </c>
      <c r="P127" s="2">
        <f>COUNTIFS(集計用!$G125,"*, "&amp;P$3&amp;", *")</f>
        <v>1</v>
      </c>
      <c r="Q127" s="2">
        <f>COUNTIFS(集計用!$G125,"*, "&amp;Q$3&amp;", *")</f>
        <v>0</v>
      </c>
      <c r="R127" s="2">
        <f>COUNTIFS(集計用!$G125,"*, "&amp;R$3&amp;", *")</f>
        <v>0</v>
      </c>
      <c r="S127" s="2">
        <f>COUNTIFS(集計用!$G125,"*, "&amp;S$3&amp;", *")</f>
        <v>0</v>
      </c>
      <c r="T127" s="2">
        <f>COUNTIFS(集計用!$G125,"*, "&amp;T$3&amp;", *")</f>
        <v>0</v>
      </c>
      <c r="U127" s="2">
        <f>COUNTIFS(集計用!$G125,"*, "&amp;U$3&amp;", *")</f>
        <v>0</v>
      </c>
      <c r="V127" s="2">
        <f>COUNTIFS(集計用!$G125,"*, "&amp;V$3&amp;", *")</f>
        <v>0</v>
      </c>
      <c r="W127" s="2">
        <f>COUNTIFS(集計用!$G125,"*, "&amp;W$3&amp;", *")</f>
        <v>0</v>
      </c>
      <c r="X127" s="2">
        <f>COUNTIFS(集計用!$G125,"*, "&amp;X$3&amp;", *")</f>
        <v>0</v>
      </c>
      <c r="Y127" s="2">
        <f>COUNTIFS(集計用!$G125,"*, "&amp;Y$3&amp;", *")</f>
        <v>0</v>
      </c>
      <c r="Z127" s="2">
        <f>COUNTIFS(集計用!$G125,"*, "&amp;Z$3&amp;", *")</f>
        <v>0</v>
      </c>
      <c r="AA127" s="2">
        <f>COUNTIFS(集計用!$G125,"*, "&amp;AA$3&amp;", *")</f>
        <v>0</v>
      </c>
      <c r="AB127" s="2">
        <f>COUNTIFS(集計用!$G125,"*, "&amp;AB$3&amp;", *")</f>
        <v>0</v>
      </c>
      <c r="AC127" s="2">
        <f>COUNTIFS(集計用!$G125,"*, "&amp;AC$3&amp;", *")</f>
        <v>1</v>
      </c>
      <c r="AD127" s="2">
        <f>COUNTIFS(集計用!$G125,"*, "&amp;AD$3&amp;", *")</f>
        <v>0</v>
      </c>
      <c r="AE127" s="2">
        <f>COUNTIFS(集計用!$G125,"*, "&amp;AE$3&amp;", *")</f>
        <v>0</v>
      </c>
      <c r="AF127" s="2">
        <f>COUNTIFS(集計用!$G125,"*, "&amp;AF$3&amp;", *")</f>
        <v>0</v>
      </c>
      <c r="AG127" s="2">
        <f>COUNTIFS(集計用!$G125,"*, "&amp;AG$3&amp;", *")</f>
        <v>0</v>
      </c>
      <c r="AH127" s="2">
        <f>COUNTIFS(集計用!$G125,"*, "&amp;AH$3&amp;", *")</f>
        <v>0</v>
      </c>
      <c r="AI127" s="2">
        <f>COUNTIFS(集計用!$G125,"*, "&amp;AI$3&amp;", *")</f>
        <v>0</v>
      </c>
      <c r="AJ127" s="2">
        <f>COUNTIFS(集計用!$G125,"*, "&amp;AJ$3&amp;", *")</f>
        <v>0</v>
      </c>
      <c r="AK127" s="2">
        <f>COUNTIFS(集計用!$G125,"*, "&amp;AK$3&amp;", *")</f>
        <v>0</v>
      </c>
      <c r="AL127" s="2">
        <f>COUNTIFS(集計用!$G125,"*, "&amp;AL$3&amp;", *")</f>
        <v>0</v>
      </c>
      <c r="AM127" s="2">
        <f>COUNTIFS(集計用!$G125,"*, "&amp;AM$3&amp;", *")</f>
        <v>0</v>
      </c>
      <c r="AN127" s="2">
        <f>COUNTIFS(集計用!$G125,"*, "&amp;AN$3&amp;", *")</f>
        <v>0</v>
      </c>
      <c r="AO127" s="2">
        <f>COUNTIFS(集計用!$G125,"*, "&amp;AO$3&amp;", *")</f>
        <v>0</v>
      </c>
      <c r="AP127" s="2">
        <f>COUNTIFS(集計用!$G125,"*, "&amp;AP$3&amp;", *")</f>
        <v>0</v>
      </c>
      <c r="AQ127" s="2">
        <f>COUNTIFS(集計用!$G125,"*, "&amp;AQ$3&amp;", *")</f>
        <v>0</v>
      </c>
      <c r="AR127" s="2">
        <f>COUNTIFS(集計用!$G125,"*, "&amp;AR$3&amp;", *")</f>
        <v>1</v>
      </c>
      <c r="AS127" s="2">
        <f>COUNTIFS(集計用!$G125,"*, "&amp;AS$3&amp;", *")</f>
        <v>0</v>
      </c>
      <c r="AT127" s="2">
        <f>COUNTIFS(集計用!$G125,"*, "&amp;AT$3&amp;", *")</f>
        <v>0</v>
      </c>
      <c r="AU127" s="2">
        <f>COUNTIFS(集計用!$G125,"*, "&amp;AU$3&amp;", *")</f>
        <v>0</v>
      </c>
      <c r="AV127" s="2">
        <f>COUNTIFS(集計用!$G125,"*, "&amp;AV$3&amp;", *")</f>
        <v>0</v>
      </c>
      <c r="AW127" s="2">
        <f>COUNTIFS(集計用!$G125,"*, "&amp;AW$3&amp;", *")</f>
        <v>0</v>
      </c>
      <c r="AX127" s="2">
        <f>COUNTIFS(集計用!$G125,"*, "&amp;AX$3&amp;", *")</f>
        <v>0</v>
      </c>
      <c r="AY127" s="2">
        <f>COUNTIFS(集計用!$G125,"*, "&amp;AY$3&amp;", *")</f>
        <v>0</v>
      </c>
      <c r="AZ127" s="2">
        <f>COUNTIFS(集計用!$G125,"*, "&amp;AZ$3&amp;", *")</f>
        <v>0</v>
      </c>
      <c r="BA127" s="2">
        <f>COUNTIFS(集計用!$G125,"*, "&amp;BA$3&amp;", *")</f>
        <v>0</v>
      </c>
      <c r="BB127" s="2">
        <f>COUNTIFS(集計用!$G125,"*, "&amp;BB$3&amp;", *")</f>
        <v>0</v>
      </c>
      <c r="BC127" s="2">
        <f>COUNTIFS(集計用!$G125,"*, "&amp;BC$3&amp;", *")</f>
        <v>0</v>
      </c>
      <c r="BD127" s="2">
        <f>COUNTIFS(集計用!$G125,"*, "&amp;BD$3&amp;", *")</f>
        <v>0</v>
      </c>
      <c r="BE127" s="2">
        <f>COUNTIFS(集計用!$G125,"*, "&amp;BE$3&amp;", *")</f>
        <v>0</v>
      </c>
      <c r="BF127" s="2">
        <f>COUNTIFS(集計用!$G125,"*, "&amp;BF$3&amp;", *")</f>
        <v>0</v>
      </c>
      <c r="BG127" s="2">
        <f>COUNTIFS(集計用!$G125,"*, "&amp;BG$3&amp;", *")</f>
        <v>0</v>
      </c>
      <c r="BH127" s="2">
        <f>COUNTIFS(集計用!$G125,"*, "&amp;BH$3&amp;", *")</f>
        <v>0</v>
      </c>
      <c r="BI127" s="2">
        <f>COUNTIFS(集計用!$G125,"*, "&amp;BI$3&amp;", *")</f>
        <v>0</v>
      </c>
      <c r="BJ127" s="2">
        <f>LEN(集計用!H125)-LEN(SUBSTITUTE(集計用!H125,",",""))</f>
        <v>0</v>
      </c>
    </row>
    <row r="128" spans="1:62" ht="12.75">
      <c r="A128" s="8">
        <v>125</v>
      </c>
      <c r="C128" s="2">
        <f t="shared" si="3"/>
        <v>4</v>
      </c>
      <c r="D128" s="9"/>
      <c r="E128" s="2">
        <f>COUNTIFS(集計用!$G126,"*, "&amp;E$3&amp;", *")</f>
        <v>1</v>
      </c>
      <c r="F128" s="2">
        <f>COUNTIFS(集計用!$G126,"*, "&amp;F$3&amp;", *")</f>
        <v>0</v>
      </c>
      <c r="G128" s="2">
        <f>COUNTIFS(集計用!$G126,"*, "&amp;G$3&amp;", *")</f>
        <v>0</v>
      </c>
      <c r="H128" s="2">
        <f>COUNTIFS(集計用!$G126,"*, "&amp;H$3&amp;", *")</f>
        <v>0</v>
      </c>
      <c r="I128" s="2">
        <f>COUNTIFS(集計用!$G126,"*, "&amp;I$3&amp;", *")</f>
        <v>0</v>
      </c>
      <c r="J128" s="2">
        <f>COUNTIFS(集計用!$G126,"*, "&amp;J$3&amp;", *")</f>
        <v>1</v>
      </c>
      <c r="K128" s="2">
        <f>COUNTIFS(集計用!$G126,"*, "&amp;K$3&amp;", *")</f>
        <v>0</v>
      </c>
      <c r="L128" s="2">
        <f>COUNTIFS(集計用!$G126,"*, "&amp;L$3&amp;", *")</f>
        <v>0</v>
      </c>
      <c r="M128" s="2">
        <f>COUNTIFS(集計用!$G126,"*, "&amp;M$3&amp;", *")</f>
        <v>0</v>
      </c>
      <c r="N128" s="2">
        <f>COUNTIFS(集計用!$G126,"*, "&amp;N$3&amp;", *")</f>
        <v>0</v>
      </c>
      <c r="O128" s="2">
        <f>COUNTIFS(集計用!$G126,"*, "&amp;O$3&amp;", *")</f>
        <v>0</v>
      </c>
      <c r="P128" s="2">
        <f>COUNTIFS(集計用!$G126,"*, "&amp;P$3&amp;", *")</f>
        <v>1</v>
      </c>
      <c r="Q128" s="2">
        <f>COUNTIFS(集計用!$G126,"*, "&amp;Q$3&amp;", *")</f>
        <v>0</v>
      </c>
      <c r="R128" s="2">
        <f>COUNTIFS(集計用!$G126,"*, "&amp;R$3&amp;", *")</f>
        <v>0</v>
      </c>
      <c r="S128" s="2">
        <f>COUNTIFS(集計用!$G126,"*, "&amp;S$3&amp;", *")</f>
        <v>1</v>
      </c>
      <c r="T128" s="2">
        <f>COUNTIFS(集計用!$G126,"*, "&amp;T$3&amp;", *")</f>
        <v>0</v>
      </c>
      <c r="U128" s="2">
        <f>COUNTIFS(集計用!$G126,"*, "&amp;U$3&amp;", *")</f>
        <v>0</v>
      </c>
      <c r="V128" s="2">
        <f>COUNTIFS(集計用!$G126,"*, "&amp;V$3&amp;", *")</f>
        <v>0</v>
      </c>
      <c r="W128" s="2">
        <f>COUNTIFS(集計用!$G126,"*, "&amp;W$3&amp;", *")</f>
        <v>0</v>
      </c>
      <c r="X128" s="2">
        <f>COUNTIFS(集計用!$G126,"*, "&amp;X$3&amp;", *")</f>
        <v>0</v>
      </c>
      <c r="Y128" s="2">
        <f>COUNTIFS(集計用!$G126,"*, "&amp;Y$3&amp;", *")</f>
        <v>0</v>
      </c>
      <c r="Z128" s="2">
        <f>COUNTIFS(集計用!$G126,"*, "&amp;Z$3&amp;", *")</f>
        <v>0</v>
      </c>
      <c r="AA128" s="2">
        <f>COUNTIFS(集計用!$G126,"*, "&amp;AA$3&amp;", *")</f>
        <v>0</v>
      </c>
      <c r="AB128" s="2">
        <f>COUNTIFS(集計用!$G126,"*, "&amp;AB$3&amp;", *")</f>
        <v>0</v>
      </c>
      <c r="AC128" s="2">
        <f>COUNTIFS(集計用!$G126,"*, "&amp;AC$3&amp;", *")</f>
        <v>0</v>
      </c>
      <c r="AD128" s="2">
        <f>COUNTIFS(集計用!$G126,"*, "&amp;AD$3&amp;", *")</f>
        <v>0</v>
      </c>
      <c r="AE128" s="2">
        <f>COUNTIFS(集計用!$G126,"*, "&amp;AE$3&amp;", *")</f>
        <v>0</v>
      </c>
      <c r="AF128" s="2">
        <f>COUNTIFS(集計用!$G126,"*, "&amp;AF$3&amp;", *")</f>
        <v>0</v>
      </c>
      <c r="AG128" s="2">
        <f>COUNTIFS(集計用!$G126,"*, "&amp;AG$3&amp;", *")</f>
        <v>0</v>
      </c>
      <c r="AH128" s="2">
        <f>COUNTIFS(集計用!$G126,"*, "&amp;AH$3&amp;", *")</f>
        <v>0</v>
      </c>
      <c r="AI128" s="2">
        <f>COUNTIFS(集計用!$G126,"*, "&amp;AI$3&amp;", *")</f>
        <v>0</v>
      </c>
      <c r="AJ128" s="2">
        <f>COUNTIFS(集計用!$G126,"*, "&amp;AJ$3&amp;", *")</f>
        <v>0</v>
      </c>
      <c r="AK128" s="2">
        <f>COUNTIFS(集計用!$G126,"*, "&amp;AK$3&amp;", *")</f>
        <v>0</v>
      </c>
      <c r="AL128" s="2">
        <f>COUNTIFS(集計用!$G126,"*, "&amp;AL$3&amp;", *")</f>
        <v>0</v>
      </c>
      <c r="AM128" s="2">
        <f>COUNTIFS(集計用!$G126,"*, "&amp;AM$3&amp;", *")</f>
        <v>0</v>
      </c>
      <c r="AN128" s="2">
        <f>COUNTIFS(集計用!$G126,"*, "&amp;AN$3&amp;", *")</f>
        <v>0</v>
      </c>
      <c r="AO128" s="2">
        <f>COUNTIFS(集計用!$G126,"*, "&amp;AO$3&amp;", *")</f>
        <v>0</v>
      </c>
      <c r="AP128" s="2">
        <f>COUNTIFS(集計用!$G126,"*, "&amp;AP$3&amp;", *")</f>
        <v>0</v>
      </c>
      <c r="AQ128" s="2">
        <f>COUNTIFS(集計用!$G126,"*, "&amp;AQ$3&amp;", *")</f>
        <v>0</v>
      </c>
      <c r="AR128" s="2">
        <f>COUNTIFS(集計用!$G126,"*, "&amp;AR$3&amp;", *")</f>
        <v>0</v>
      </c>
      <c r="AS128" s="2">
        <f>COUNTIFS(集計用!$G126,"*, "&amp;AS$3&amp;", *")</f>
        <v>0</v>
      </c>
      <c r="AT128" s="2">
        <f>COUNTIFS(集計用!$G126,"*, "&amp;AT$3&amp;", *")</f>
        <v>0</v>
      </c>
      <c r="AU128" s="2">
        <f>COUNTIFS(集計用!$G126,"*, "&amp;AU$3&amp;", *")</f>
        <v>0</v>
      </c>
      <c r="AV128" s="2">
        <f>COUNTIFS(集計用!$G126,"*, "&amp;AV$3&amp;", *")</f>
        <v>0</v>
      </c>
      <c r="AW128" s="2">
        <f>COUNTIFS(集計用!$G126,"*, "&amp;AW$3&amp;", *")</f>
        <v>0</v>
      </c>
      <c r="AX128" s="2">
        <f>COUNTIFS(集計用!$G126,"*, "&amp;AX$3&amp;", *")</f>
        <v>0</v>
      </c>
      <c r="AY128" s="2">
        <f>COUNTIFS(集計用!$G126,"*, "&amp;AY$3&amp;", *")</f>
        <v>0</v>
      </c>
      <c r="AZ128" s="2">
        <f>COUNTIFS(集計用!$G126,"*, "&amp;AZ$3&amp;", *")</f>
        <v>0</v>
      </c>
      <c r="BA128" s="2">
        <f>COUNTIFS(集計用!$G126,"*, "&amp;BA$3&amp;", *")</f>
        <v>0</v>
      </c>
      <c r="BB128" s="2">
        <f>COUNTIFS(集計用!$G126,"*, "&amp;BB$3&amp;", *")</f>
        <v>0</v>
      </c>
      <c r="BC128" s="2">
        <f>COUNTIFS(集計用!$G126,"*, "&amp;BC$3&amp;", *")</f>
        <v>0</v>
      </c>
      <c r="BD128" s="2">
        <f>COUNTIFS(集計用!$G126,"*, "&amp;BD$3&amp;", *")</f>
        <v>0</v>
      </c>
      <c r="BE128" s="2">
        <f>COUNTIFS(集計用!$G126,"*, "&amp;BE$3&amp;", *")</f>
        <v>0</v>
      </c>
      <c r="BF128" s="2">
        <f>COUNTIFS(集計用!$G126,"*, "&amp;BF$3&amp;", *")</f>
        <v>0</v>
      </c>
      <c r="BG128" s="2">
        <f>COUNTIFS(集計用!$G126,"*, "&amp;BG$3&amp;", *")</f>
        <v>0</v>
      </c>
      <c r="BH128" s="2">
        <f>COUNTIFS(集計用!$G126,"*, "&amp;BH$3&amp;", *")</f>
        <v>0</v>
      </c>
      <c r="BI128" s="2">
        <f>COUNTIFS(集計用!$G126,"*, "&amp;BI$3&amp;", *")</f>
        <v>0</v>
      </c>
      <c r="BJ128" s="2">
        <f>LEN(集計用!H126)-LEN(SUBSTITUTE(集計用!H126,",",""))</f>
        <v>0</v>
      </c>
    </row>
    <row r="129" spans="1:62" ht="12.75">
      <c r="A129" s="8">
        <v>126</v>
      </c>
      <c r="C129" s="2">
        <f t="shared" si="3"/>
        <v>11</v>
      </c>
      <c r="D129" s="9"/>
      <c r="E129" s="2">
        <f>COUNTIFS(集計用!$G127,"*, "&amp;E$3&amp;", *")</f>
        <v>0</v>
      </c>
      <c r="F129" s="2">
        <f>COUNTIFS(集計用!$G127,"*, "&amp;F$3&amp;", *")</f>
        <v>0</v>
      </c>
      <c r="G129" s="2">
        <f>COUNTIFS(集計用!$G127,"*, "&amp;G$3&amp;", *")</f>
        <v>0</v>
      </c>
      <c r="H129" s="2">
        <f>COUNTIFS(集計用!$G127,"*, "&amp;H$3&amp;", *")</f>
        <v>0</v>
      </c>
      <c r="I129" s="2">
        <f>COUNTIFS(集計用!$G127,"*, "&amp;I$3&amp;", *")</f>
        <v>0</v>
      </c>
      <c r="J129" s="2">
        <f>COUNTIFS(集計用!$G127,"*, "&amp;J$3&amp;", *")</f>
        <v>1</v>
      </c>
      <c r="K129" s="2">
        <f>COUNTIFS(集計用!$G127,"*, "&amp;K$3&amp;", *")</f>
        <v>0</v>
      </c>
      <c r="L129" s="2">
        <f>COUNTIFS(集計用!$G127,"*, "&amp;L$3&amp;", *")</f>
        <v>0</v>
      </c>
      <c r="M129" s="2">
        <f>COUNTIFS(集計用!$G127,"*, "&amp;M$3&amp;", *")</f>
        <v>0</v>
      </c>
      <c r="N129" s="2">
        <f>COUNTIFS(集計用!$G127,"*, "&amp;N$3&amp;", *")</f>
        <v>0</v>
      </c>
      <c r="O129" s="2">
        <f>COUNTIFS(集計用!$G127,"*, "&amp;O$3&amp;", *")</f>
        <v>1</v>
      </c>
      <c r="P129" s="2">
        <f>COUNTIFS(集計用!$G127,"*, "&amp;P$3&amp;", *")</f>
        <v>1</v>
      </c>
      <c r="Q129" s="2">
        <f>COUNTIFS(集計用!$G127,"*, "&amp;Q$3&amp;", *")</f>
        <v>0</v>
      </c>
      <c r="R129" s="2">
        <f>COUNTIFS(集計用!$G127,"*, "&amp;R$3&amp;", *")</f>
        <v>0</v>
      </c>
      <c r="S129" s="2">
        <f>COUNTIFS(集計用!$G127,"*, "&amp;S$3&amp;", *")</f>
        <v>1</v>
      </c>
      <c r="T129" s="2">
        <f>COUNTIFS(集計用!$G127,"*, "&amp;T$3&amp;", *")</f>
        <v>0</v>
      </c>
      <c r="U129" s="2">
        <f>COUNTIFS(集計用!$G127,"*, "&amp;U$3&amp;", *")</f>
        <v>0</v>
      </c>
      <c r="V129" s="2">
        <f>COUNTIFS(集計用!$G127,"*, "&amp;V$3&amp;", *")</f>
        <v>0</v>
      </c>
      <c r="W129" s="2">
        <f>COUNTIFS(集計用!$G127,"*, "&amp;W$3&amp;", *")</f>
        <v>0</v>
      </c>
      <c r="X129" s="2">
        <f>COUNTIFS(集計用!$G127,"*, "&amp;X$3&amp;", *")</f>
        <v>0</v>
      </c>
      <c r="Y129" s="2">
        <f>COUNTIFS(集計用!$G127,"*, "&amp;Y$3&amp;", *")</f>
        <v>1</v>
      </c>
      <c r="Z129" s="2">
        <f>COUNTIFS(集計用!$G127,"*, "&amp;Z$3&amp;", *")</f>
        <v>0</v>
      </c>
      <c r="AA129" s="2">
        <f>COUNTIFS(集計用!$G127,"*, "&amp;AA$3&amp;", *")</f>
        <v>0</v>
      </c>
      <c r="AB129" s="2">
        <f>COUNTIFS(集計用!$G127,"*, "&amp;AB$3&amp;", *")</f>
        <v>1</v>
      </c>
      <c r="AC129" s="2">
        <f>COUNTIFS(集計用!$G127,"*, "&amp;AC$3&amp;", *")</f>
        <v>1</v>
      </c>
      <c r="AD129" s="2">
        <f>COUNTIFS(集計用!$G127,"*, "&amp;AD$3&amp;", *")</f>
        <v>0</v>
      </c>
      <c r="AE129" s="2">
        <f>COUNTIFS(集計用!$G127,"*, "&amp;AE$3&amp;", *")</f>
        <v>0</v>
      </c>
      <c r="AF129" s="2">
        <f>COUNTIFS(集計用!$G127,"*, "&amp;AF$3&amp;", *")</f>
        <v>0</v>
      </c>
      <c r="AG129" s="2">
        <f>COUNTIFS(集計用!$G127,"*, "&amp;AG$3&amp;", *")</f>
        <v>0</v>
      </c>
      <c r="AH129" s="2">
        <f>COUNTIFS(集計用!$G127,"*, "&amp;AH$3&amp;", *")</f>
        <v>0</v>
      </c>
      <c r="AI129" s="2">
        <f>COUNTIFS(集計用!$G127,"*, "&amp;AI$3&amp;", *")</f>
        <v>0</v>
      </c>
      <c r="AJ129" s="2">
        <f>COUNTIFS(集計用!$G127,"*, "&amp;AJ$3&amp;", *")</f>
        <v>0</v>
      </c>
      <c r="AK129" s="2">
        <f>COUNTIFS(集計用!$G127,"*, "&amp;AK$3&amp;", *")</f>
        <v>0</v>
      </c>
      <c r="AL129" s="2">
        <f>COUNTIFS(集計用!$G127,"*, "&amp;AL$3&amp;", *")</f>
        <v>1</v>
      </c>
      <c r="AM129" s="2">
        <f>COUNTIFS(集計用!$G127,"*, "&amp;AM$3&amp;", *")</f>
        <v>0</v>
      </c>
      <c r="AN129" s="2">
        <f>COUNTIFS(集計用!$G127,"*, "&amp;AN$3&amp;", *")</f>
        <v>0</v>
      </c>
      <c r="AO129" s="2">
        <f>COUNTIFS(集計用!$G127,"*, "&amp;AO$3&amp;", *")</f>
        <v>1</v>
      </c>
      <c r="AP129" s="2">
        <f>COUNTIFS(集計用!$G127,"*, "&amp;AP$3&amp;", *")</f>
        <v>1</v>
      </c>
      <c r="AQ129" s="2">
        <f>COUNTIFS(集計用!$G127,"*, "&amp;AQ$3&amp;", *")</f>
        <v>0</v>
      </c>
      <c r="AR129" s="2">
        <f>COUNTIFS(集計用!$G127,"*, "&amp;AR$3&amp;", *")</f>
        <v>0</v>
      </c>
      <c r="AS129" s="2">
        <f>COUNTIFS(集計用!$G127,"*, "&amp;AS$3&amp;", *")</f>
        <v>0</v>
      </c>
      <c r="AT129" s="2">
        <f>COUNTIFS(集計用!$G127,"*, "&amp;AT$3&amp;", *")</f>
        <v>0</v>
      </c>
      <c r="AU129" s="2">
        <f>COUNTIFS(集計用!$G127,"*, "&amp;AU$3&amp;", *")</f>
        <v>0</v>
      </c>
      <c r="AV129" s="2">
        <f>COUNTIFS(集計用!$G127,"*, "&amp;AV$3&amp;", *")</f>
        <v>0</v>
      </c>
      <c r="AW129" s="2">
        <f>COUNTIFS(集計用!$G127,"*, "&amp;AW$3&amp;", *")</f>
        <v>0</v>
      </c>
      <c r="AX129" s="2">
        <f>COUNTIFS(集計用!$G127,"*, "&amp;AX$3&amp;", *")</f>
        <v>0</v>
      </c>
      <c r="AY129" s="2">
        <f>COUNTIFS(集計用!$G127,"*, "&amp;AY$3&amp;", *")</f>
        <v>0</v>
      </c>
      <c r="AZ129" s="2">
        <f>COUNTIFS(集計用!$G127,"*, "&amp;AZ$3&amp;", *")</f>
        <v>0</v>
      </c>
      <c r="BA129" s="2">
        <f>COUNTIFS(集計用!$G127,"*, "&amp;BA$3&amp;", *")</f>
        <v>0</v>
      </c>
      <c r="BB129" s="2">
        <f>COUNTIFS(集計用!$G127,"*, "&amp;BB$3&amp;", *")</f>
        <v>1</v>
      </c>
      <c r="BC129" s="2">
        <f>COUNTIFS(集計用!$G127,"*, "&amp;BC$3&amp;", *")</f>
        <v>0</v>
      </c>
      <c r="BD129" s="2">
        <f>COUNTIFS(集計用!$G127,"*, "&amp;BD$3&amp;", *")</f>
        <v>0</v>
      </c>
      <c r="BE129" s="2">
        <f>COUNTIFS(集計用!$G127,"*, "&amp;BE$3&amp;", *")</f>
        <v>0</v>
      </c>
      <c r="BF129" s="2">
        <f>COUNTIFS(集計用!$G127,"*, "&amp;BF$3&amp;", *")</f>
        <v>0</v>
      </c>
      <c r="BG129" s="2">
        <f>COUNTIFS(集計用!$G127,"*, "&amp;BG$3&amp;", *")</f>
        <v>0</v>
      </c>
      <c r="BH129" s="2">
        <f>COUNTIFS(集計用!$G127,"*, "&amp;BH$3&amp;", *")</f>
        <v>0</v>
      </c>
      <c r="BI129" s="2">
        <f>COUNTIFS(集計用!$G127,"*, "&amp;BI$3&amp;", *")</f>
        <v>0</v>
      </c>
      <c r="BJ129" s="2">
        <f>LEN(集計用!H127)-LEN(SUBSTITUTE(集計用!H127,",",""))</f>
        <v>0</v>
      </c>
    </row>
    <row r="130" spans="1:62" ht="12.75">
      <c r="A130" s="8">
        <v>127</v>
      </c>
      <c r="C130" s="2">
        <f t="shared" si="3"/>
        <v>2</v>
      </c>
      <c r="D130" s="9"/>
      <c r="E130" s="2">
        <f>COUNTIFS(集計用!$G128,"*, "&amp;E$3&amp;", *")</f>
        <v>0</v>
      </c>
      <c r="F130" s="2">
        <f>COUNTIFS(集計用!$G128,"*, "&amp;F$3&amp;", *")</f>
        <v>0</v>
      </c>
      <c r="G130" s="2">
        <f>COUNTIFS(集計用!$G128,"*, "&amp;G$3&amp;", *")</f>
        <v>0</v>
      </c>
      <c r="H130" s="2">
        <f>COUNTIFS(集計用!$G128,"*, "&amp;H$3&amp;", *")</f>
        <v>0</v>
      </c>
      <c r="I130" s="2">
        <f>COUNTIFS(集計用!$G128,"*, "&amp;I$3&amp;", *")</f>
        <v>1</v>
      </c>
      <c r="J130" s="2">
        <f>COUNTIFS(集計用!$G128,"*, "&amp;J$3&amp;", *")</f>
        <v>0</v>
      </c>
      <c r="K130" s="2">
        <f>COUNTIFS(集計用!$G128,"*, "&amp;K$3&amp;", *")</f>
        <v>0</v>
      </c>
      <c r="L130" s="2">
        <f>COUNTIFS(集計用!$G128,"*, "&amp;L$3&amp;", *")</f>
        <v>0</v>
      </c>
      <c r="M130" s="2">
        <f>COUNTIFS(集計用!$G128,"*, "&amp;M$3&amp;", *")</f>
        <v>0</v>
      </c>
      <c r="N130" s="2">
        <f>COUNTIFS(集計用!$G128,"*, "&amp;N$3&amp;", *")</f>
        <v>1</v>
      </c>
      <c r="O130" s="2">
        <f>COUNTIFS(集計用!$G128,"*, "&amp;O$3&amp;", *")</f>
        <v>0</v>
      </c>
      <c r="P130" s="2">
        <f>COUNTIFS(集計用!$G128,"*, "&amp;P$3&amp;", *")</f>
        <v>0</v>
      </c>
      <c r="Q130" s="2">
        <f>COUNTIFS(集計用!$G128,"*, "&amp;Q$3&amp;", *")</f>
        <v>0</v>
      </c>
      <c r="R130" s="2">
        <f>COUNTIFS(集計用!$G128,"*, "&amp;R$3&amp;", *")</f>
        <v>0</v>
      </c>
      <c r="S130" s="2">
        <f>COUNTIFS(集計用!$G128,"*, "&amp;S$3&amp;", *")</f>
        <v>0</v>
      </c>
      <c r="T130" s="2">
        <f>COUNTIFS(集計用!$G128,"*, "&amp;T$3&amp;", *")</f>
        <v>0</v>
      </c>
      <c r="U130" s="2">
        <f>COUNTIFS(集計用!$G128,"*, "&amp;U$3&amp;", *")</f>
        <v>0</v>
      </c>
      <c r="V130" s="2">
        <f>COUNTIFS(集計用!$G128,"*, "&amp;V$3&amp;", *")</f>
        <v>0</v>
      </c>
      <c r="W130" s="2">
        <f>COUNTIFS(集計用!$G128,"*, "&amp;W$3&amp;", *")</f>
        <v>0</v>
      </c>
      <c r="X130" s="2">
        <f>COUNTIFS(集計用!$G128,"*, "&amp;X$3&amp;", *")</f>
        <v>0</v>
      </c>
      <c r="Y130" s="2">
        <f>COUNTIFS(集計用!$G128,"*, "&amp;Y$3&amp;", *")</f>
        <v>0</v>
      </c>
      <c r="Z130" s="2">
        <f>COUNTIFS(集計用!$G128,"*, "&amp;Z$3&amp;", *")</f>
        <v>0</v>
      </c>
      <c r="AA130" s="2">
        <f>COUNTIFS(集計用!$G128,"*, "&amp;AA$3&amp;", *")</f>
        <v>0</v>
      </c>
      <c r="AB130" s="2">
        <f>COUNTIFS(集計用!$G128,"*, "&amp;AB$3&amp;", *")</f>
        <v>0</v>
      </c>
      <c r="AC130" s="2">
        <f>COUNTIFS(集計用!$G128,"*, "&amp;AC$3&amp;", *")</f>
        <v>0</v>
      </c>
      <c r="AD130" s="2">
        <f>COUNTIFS(集計用!$G128,"*, "&amp;AD$3&amp;", *")</f>
        <v>0</v>
      </c>
      <c r="AE130" s="2">
        <f>COUNTIFS(集計用!$G128,"*, "&amp;AE$3&amp;", *")</f>
        <v>0</v>
      </c>
      <c r="AF130" s="2">
        <f>COUNTIFS(集計用!$G128,"*, "&amp;AF$3&amp;", *")</f>
        <v>0</v>
      </c>
      <c r="AG130" s="2">
        <f>COUNTIFS(集計用!$G128,"*, "&amp;AG$3&amp;", *")</f>
        <v>0</v>
      </c>
      <c r="AH130" s="2">
        <f>COUNTIFS(集計用!$G128,"*, "&amp;AH$3&amp;", *")</f>
        <v>0</v>
      </c>
      <c r="AI130" s="2">
        <f>COUNTIFS(集計用!$G128,"*, "&amp;AI$3&amp;", *")</f>
        <v>0</v>
      </c>
      <c r="AJ130" s="2">
        <f>COUNTIFS(集計用!$G128,"*, "&amp;AJ$3&amp;", *")</f>
        <v>0</v>
      </c>
      <c r="AK130" s="2">
        <f>COUNTIFS(集計用!$G128,"*, "&amp;AK$3&amp;", *")</f>
        <v>0</v>
      </c>
      <c r="AL130" s="2">
        <f>COUNTIFS(集計用!$G128,"*, "&amp;AL$3&amp;", *")</f>
        <v>0</v>
      </c>
      <c r="AM130" s="2">
        <f>COUNTIFS(集計用!$G128,"*, "&amp;AM$3&amp;", *")</f>
        <v>0</v>
      </c>
      <c r="AN130" s="2">
        <f>COUNTIFS(集計用!$G128,"*, "&amp;AN$3&amp;", *")</f>
        <v>0</v>
      </c>
      <c r="AO130" s="2">
        <f>COUNTIFS(集計用!$G128,"*, "&amp;AO$3&amp;", *")</f>
        <v>0</v>
      </c>
      <c r="AP130" s="2">
        <f>COUNTIFS(集計用!$G128,"*, "&amp;AP$3&amp;", *")</f>
        <v>0</v>
      </c>
      <c r="AQ130" s="2">
        <f>COUNTIFS(集計用!$G128,"*, "&amp;AQ$3&amp;", *")</f>
        <v>0</v>
      </c>
      <c r="AR130" s="2">
        <f>COUNTIFS(集計用!$G128,"*, "&amp;AR$3&amp;", *")</f>
        <v>0</v>
      </c>
      <c r="AS130" s="2">
        <f>COUNTIFS(集計用!$G128,"*, "&amp;AS$3&amp;", *")</f>
        <v>0</v>
      </c>
      <c r="AT130" s="2">
        <f>COUNTIFS(集計用!$G128,"*, "&amp;AT$3&amp;", *")</f>
        <v>0</v>
      </c>
      <c r="AU130" s="2">
        <f>COUNTIFS(集計用!$G128,"*, "&amp;AU$3&amp;", *")</f>
        <v>0</v>
      </c>
      <c r="AV130" s="2">
        <f>COUNTIFS(集計用!$G128,"*, "&amp;AV$3&amp;", *")</f>
        <v>0</v>
      </c>
      <c r="AW130" s="2">
        <f>COUNTIFS(集計用!$G128,"*, "&amp;AW$3&amp;", *")</f>
        <v>0</v>
      </c>
      <c r="AX130" s="2">
        <f>COUNTIFS(集計用!$G128,"*, "&amp;AX$3&amp;", *")</f>
        <v>0</v>
      </c>
      <c r="AY130" s="2">
        <f>COUNTIFS(集計用!$G128,"*, "&amp;AY$3&amp;", *")</f>
        <v>0</v>
      </c>
      <c r="AZ130" s="2">
        <f>COUNTIFS(集計用!$G128,"*, "&amp;AZ$3&amp;", *")</f>
        <v>0</v>
      </c>
      <c r="BA130" s="2">
        <f>COUNTIFS(集計用!$G128,"*, "&amp;BA$3&amp;", *")</f>
        <v>0</v>
      </c>
      <c r="BB130" s="2">
        <f>COUNTIFS(集計用!$G128,"*, "&amp;BB$3&amp;", *")</f>
        <v>0</v>
      </c>
      <c r="BC130" s="2">
        <f>COUNTIFS(集計用!$G128,"*, "&amp;BC$3&amp;", *")</f>
        <v>0</v>
      </c>
      <c r="BD130" s="2">
        <f>COUNTIFS(集計用!$G128,"*, "&amp;BD$3&amp;", *")</f>
        <v>0</v>
      </c>
      <c r="BE130" s="2">
        <f>COUNTIFS(集計用!$G128,"*, "&amp;BE$3&amp;", *")</f>
        <v>0</v>
      </c>
      <c r="BF130" s="2">
        <f>COUNTIFS(集計用!$G128,"*, "&amp;BF$3&amp;", *")</f>
        <v>0</v>
      </c>
      <c r="BG130" s="2">
        <f>COUNTIFS(集計用!$G128,"*, "&amp;BG$3&amp;", *")</f>
        <v>0</v>
      </c>
      <c r="BH130" s="2">
        <f>COUNTIFS(集計用!$G128,"*, "&amp;BH$3&amp;", *")</f>
        <v>0</v>
      </c>
      <c r="BI130" s="2">
        <f>COUNTIFS(集計用!$G128,"*, "&amp;BI$3&amp;", *")</f>
        <v>0</v>
      </c>
      <c r="BJ130" s="2">
        <f>LEN(集計用!H128)-LEN(SUBSTITUTE(集計用!H128,",",""))</f>
        <v>0</v>
      </c>
    </row>
    <row r="131" spans="1:62" ht="12.75">
      <c r="A131" s="8">
        <v>128</v>
      </c>
      <c r="C131" s="2">
        <f t="shared" si="3"/>
        <v>4</v>
      </c>
      <c r="D131" s="9"/>
      <c r="E131" s="2">
        <f>COUNTIFS(集計用!$G129,"*, "&amp;E$3&amp;", *")</f>
        <v>1</v>
      </c>
      <c r="F131" s="2">
        <f>COUNTIFS(集計用!$G129,"*, "&amp;F$3&amp;", *")</f>
        <v>0</v>
      </c>
      <c r="G131" s="2">
        <f>COUNTIFS(集計用!$G129,"*, "&amp;G$3&amp;", *")</f>
        <v>0</v>
      </c>
      <c r="H131" s="2">
        <f>COUNTIFS(集計用!$G129,"*, "&amp;H$3&amp;", *")</f>
        <v>0</v>
      </c>
      <c r="I131" s="2">
        <f>COUNTIFS(集計用!$G129,"*, "&amp;I$3&amp;", *")</f>
        <v>0</v>
      </c>
      <c r="J131" s="2">
        <f>COUNTIFS(集計用!$G129,"*, "&amp;J$3&amp;", *")</f>
        <v>0</v>
      </c>
      <c r="K131" s="2">
        <f>COUNTIFS(集計用!$G129,"*, "&amp;K$3&amp;", *")</f>
        <v>1</v>
      </c>
      <c r="L131" s="2">
        <f>COUNTIFS(集計用!$G129,"*, "&amp;L$3&amp;", *")</f>
        <v>0</v>
      </c>
      <c r="M131" s="2">
        <f>COUNTIFS(集計用!$G129,"*, "&amp;M$3&amp;", *")</f>
        <v>0</v>
      </c>
      <c r="N131" s="2">
        <f>COUNTIFS(集計用!$G129,"*, "&amp;N$3&amp;", *")</f>
        <v>0</v>
      </c>
      <c r="O131" s="2">
        <f>COUNTIFS(集計用!$G129,"*, "&amp;O$3&amp;", *")</f>
        <v>0</v>
      </c>
      <c r="P131" s="2">
        <f>COUNTIFS(集計用!$G129,"*, "&amp;P$3&amp;", *")</f>
        <v>0</v>
      </c>
      <c r="Q131" s="2">
        <f>COUNTIFS(集計用!$G129,"*, "&amp;Q$3&amp;", *")</f>
        <v>0</v>
      </c>
      <c r="R131" s="2">
        <f>COUNTIFS(集計用!$G129,"*, "&amp;R$3&amp;", *")</f>
        <v>0</v>
      </c>
      <c r="S131" s="2">
        <f>COUNTIFS(集計用!$G129,"*, "&amp;S$3&amp;", *")</f>
        <v>0</v>
      </c>
      <c r="T131" s="2">
        <f>COUNTIFS(集計用!$G129,"*, "&amp;T$3&amp;", *")</f>
        <v>0</v>
      </c>
      <c r="U131" s="2">
        <f>COUNTIFS(集計用!$G129,"*, "&amp;U$3&amp;", *")</f>
        <v>0</v>
      </c>
      <c r="V131" s="2">
        <f>COUNTIFS(集計用!$G129,"*, "&amp;V$3&amp;", *")</f>
        <v>0</v>
      </c>
      <c r="W131" s="2">
        <f>COUNTIFS(集計用!$G129,"*, "&amp;W$3&amp;", *")</f>
        <v>0</v>
      </c>
      <c r="X131" s="2">
        <f>COUNTIFS(集計用!$G129,"*, "&amp;X$3&amp;", *")</f>
        <v>0</v>
      </c>
      <c r="Y131" s="2">
        <f>COUNTIFS(集計用!$G129,"*, "&amp;Y$3&amp;", *")</f>
        <v>0</v>
      </c>
      <c r="Z131" s="2">
        <f>COUNTIFS(集計用!$G129,"*, "&amp;Z$3&amp;", *")</f>
        <v>0</v>
      </c>
      <c r="AA131" s="2">
        <f>COUNTIFS(集計用!$G129,"*, "&amp;AA$3&amp;", *")</f>
        <v>0</v>
      </c>
      <c r="AB131" s="2">
        <f>COUNTIFS(集計用!$G129,"*, "&amp;AB$3&amp;", *")</f>
        <v>0</v>
      </c>
      <c r="AC131" s="2">
        <f>COUNTIFS(集計用!$G129,"*, "&amp;AC$3&amp;", *")</f>
        <v>0</v>
      </c>
      <c r="AD131" s="2">
        <f>COUNTIFS(集計用!$G129,"*, "&amp;AD$3&amp;", *")</f>
        <v>0</v>
      </c>
      <c r="AE131" s="2">
        <f>COUNTIFS(集計用!$G129,"*, "&amp;AE$3&amp;", *")</f>
        <v>0</v>
      </c>
      <c r="AF131" s="2">
        <f>COUNTIFS(集計用!$G129,"*, "&amp;AF$3&amp;", *")</f>
        <v>0</v>
      </c>
      <c r="AG131" s="2">
        <f>COUNTIFS(集計用!$G129,"*, "&amp;AG$3&amp;", *")</f>
        <v>0</v>
      </c>
      <c r="AH131" s="2">
        <f>COUNTIFS(集計用!$G129,"*, "&amp;AH$3&amp;", *")</f>
        <v>0</v>
      </c>
      <c r="AI131" s="2">
        <f>COUNTIFS(集計用!$G129,"*, "&amp;AI$3&amp;", *")</f>
        <v>0</v>
      </c>
      <c r="AJ131" s="2">
        <f>COUNTIFS(集計用!$G129,"*, "&amp;AJ$3&amp;", *")</f>
        <v>0</v>
      </c>
      <c r="AK131" s="2">
        <f>COUNTIFS(集計用!$G129,"*, "&amp;AK$3&amp;", *")</f>
        <v>0</v>
      </c>
      <c r="AL131" s="2">
        <f>COUNTIFS(集計用!$G129,"*, "&amp;AL$3&amp;", *")</f>
        <v>0</v>
      </c>
      <c r="AM131" s="2">
        <f>COUNTIFS(集計用!$G129,"*, "&amp;AM$3&amp;", *")</f>
        <v>0</v>
      </c>
      <c r="AN131" s="2">
        <f>COUNTIFS(集計用!$G129,"*, "&amp;AN$3&amp;", *")</f>
        <v>0</v>
      </c>
      <c r="AO131" s="2">
        <f>COUNTIFS(集計用!$G129,"*, "&amp;AO$3&amp;", *")</f>
        <v>0</v>
      </c>
      <c r="AP131" s="2">
        <f>COUNTIFS(集計用!$G129,"*, "&amp;AP$3&amp;", *")</f>
        <v>0</v>
      </c>
      <c r="AQ131" s="2">
        <f>COUNTIFS(集計用!$G129,"*, "&amp;AQ$3&amp;", *")</f>
        <v>0</v>
      </c>
      <c r="AR131" s="2">
        <f>COUNTIFS(集計用!$G129,"*, "&amp;AR$3&amp;", *")</f>
        <v>0</v>
      </c>
      <c r="AS131" s="2">
        <f>COUNTIFS(集計用!$G129,"*, "&amp;AS$3&amp;", *")</f>
        <v>0</v>
      </c>
      <c r="AT131" s="2">
        <f>COUNTIFS(集計用!$G129,"*, "&amp;AT$3&amp;", *")</f>
        <v>0</v>
      </c>
      <c r="AU131" s="2">
        <f>COUNTIFS(集計用!$G129,"*, "&amp;AU$3&amp;", *")</f>
        <v>0</v>
      </c>
      <c r="AV131" s="2">
        <f>COUNTIFS(集計用!$G129,"*, "&amp;AV$3&amp;", *")</f>
        <v>1</v>
      </c>
      <c r="AW131" s="2">
        <f>COUNTIFS(集計用!$G129,"*, "&amp;AW$3&amp;", *")</f>
        <v>0</v>
      </c>
      <c r="AX131" s="2">
        <f>COUNTIFS(集計用!$G129,"*, "&amp;AX$3&amp;", *")</f>
        <v>0</v>
      </c>
      <c r="AY131" s="2">
        <f>COUNTIFS(集計用!$G129,"*, "&amp;AY$3&amp;", *")</f>
        <v>0</v>
      </c>
      <c r="AZ131" s="2">
        <f>COUNTIFS(集計用!$G129,"*, "&amp;AZ$3&amp;", *")</f>
        <v>0</v>
      </c>
      <c r="BA131" s="2">
        <f>COUNTIFS(集計用!$G129,"*, "&amp;BA$3&amp;", *")</f>
        <v>0</v>
      </c>
      <c r="BB131" s="2">
        <f>COUNTIFS(集計用!$G129,"*, "&amp;BB$3&amp;", *")</f>
        <v>0</v>
      </c>
      <c r="BC131" s="2">
        <f>COUNTIFS(集計用!$G129,"*, "&amp;BC$3&amp;", *")</f>
        <v>0</v>
      </c>
      <c r="BD131" s="2">
        <f>COUNTIFS(集計用!$G129,"*, "&amp;BD$3&amp;", *")</f>
        <v>0</v>
      </c>
      <c r="BE131" s="2">
        <f>COUNTIFS(集計用!$G129,"*, "&amp;BE$3&amp;", *")</f>
        <v>0</v>
      </c>
      <c r="BF131" s="2">
        <f>COUNTIFS(集計用!$G129,"*, "&amp;BF$3&amp;", *")</f>
        <v>0</v>
      </c>
      <c r="BG131" s="2">
        <f>COUNTIFS(集計用!$G129,"*, "&amp;BG$3&amp;", *")</f>
        <v>0</v>
      </c>
      <c r="BH131" s="2">
        <f>COUNTIFS(集計用!$G129,"*, "&amp;BH$3&amp;", *")</f>
        <v>0</v>
      </c>
      <c r="BI131" s="2">
        <f>COUNTIFS(集計用!$G129,"*, "&amp;BI$3&amp;", *")</f>
        <v>0</v>
      </c>
      <c r="BJ131" s="2">
        <f>LEN(集計用!H129)-LEN(SUBSTITUTE(集計用!H129,",",""))</f>
        <v>1</v>
      </c>
    </row>
    <row r="132" spans="1:62" ht="12.75">
      <c r="A132" s="8">
        <v>129</v>
      </c>
      <c r="C132" s="2">
        <f t="shared" si="3"/>
        <v>3</v>
      </c>
      <c r="D132" s="9"/>
      <c r="E132" s="2">
        <f>COUNTIFS(集計用!$G130,"*, "&amp;E$3&amp;", *")</f>
        <v>1</v>
      </c>
      <c r="F132" s="2">
        <f>COUNTIFS(集計用!$G130,"*, "&amp;F$3&amp;", *")</f>
        <v>1</v>
      </c>
      <c r="G132" s="2">
        <f>COUNTIFS(集計用!$G130,"*, "&amp;G$3&amp;", *")</f>
        <v>0</v>
      </c>
      <c r="H132" s="2">
        <f>COUNTIFS(集計用!$G130,"*, "&amp;H$3&amp;", *")</f>
        <v>0</v>
      </c>
      <c r="I132" s="2">
        <f>COUNTIFS(集計用!$G130,"*, "&amp;I$3&amp;", *")</f>
        <v>0</v>
      </c>
      <c r="J132" s="2">
        <f>COUNTIFS(集計用!$G130,"*, "&amp;J$3&amp;", *")</f>
        <v>1</v>
      </c>
      <c r="K132" s="2">
        <f>COUNTIFS(集計用!$G130,"*, "&amp;K$3&amp;", *")</f>
        <v>0</v>
      </c>
      <c r="L132" s="2">
        <f>COUNTIFS(集計用!$G130,"*, "&amp;L$3&amp;", *")</f>
        <v>0</v>
      </c>
      <c r="M132" s="2">
        <f>COUNTIFS(集計用!$G130,"*, "&amp;M$3&amp;", *")</f>
        <v>0</v>
      </c>
      <c r="N132" s="2">
        <f>COUNTIFS(集計用!$G130,"*, "&amp;N$3&amp;", *")</f>
        <v>0</v>
      </c>
      <c r="O132" s="2">
        <f>COUNTIFS(集計用!$G130,"*, "&amp;O$3&amp;", *")</f>
        <v>0</v>
      </c>
      <c r="P132" s="2">
        <f>COUNTIFS(集計用!$G130,"*, "&amp;P$3&amp;", *")</f>
        <v>0</v>
      </c>
      <c r="Q132" s="2">
        <f>COUNTIFS(集計用!$G130,"*, "&amp;Q$3&amp;", *")</f>
        <v>0</v>
      </c>
      <c r="R132" s="2">
        <f>COUNTIFS(集計用!$G130,"*, "&amp;R$3&amp;", *")</f>
        <v>0</v>
      </c>
      <c r="S132" s="2">
        <f>COUNTIFS(集計用!$G130,"*, "&amp;S$3&amp;", *")</f>
        <v>0</v>
      </c>
      <c r="T132" s="2">
        <f>COUNTIFS(集計用!$G130,"*, "&amp;T$3&amp;", *")</f>
        <v>0</v>
      </c>
      <c r="U132" s="2">
        <f>COUNTIFS(集計用!$G130,"*, "&amp;U$3&amp;", *")</f>
        <v>0</v>
      </c>
      <c r="V132" s="2">
        <f>COUNTIFS(集計用!$G130,"*, "&amp;V$3&amp;", *")</f>
        <v>0</v>
      </c>
      <c r="W132" s="2">
        <f>COUNTIFS(集計用!$G130,"*, "&amp;W$3&amp;", *")</f>
        <v>0</v>
      </c>
      <c r="X132" s="2">
        <f>COUNTIFS(集計用!$G130,"*, "&amp;X$3&amp;", *")</f>
        <v>0</v>
      </c>
      <c r="Y132" s="2">
        <f>COUNTIFS(集計用!$G130,"*, "&amp;Y$3&amp;", *")</f>
        <v>0</v>
      </c>
      <c r="Z132" s="2">
        <f>COUNTIFS(集計用!$G130,"*, "&amp;Z$3&amp;", *")</f>
        <v>0</v>
      </c>
      <c r="AA132" s="2">
        <f>COUNTIFS(集計用!$G130,"*, "&amp;AA$3&amp;", *")</f>
        <v>0</v>
      </c>
      <c r="AB132" s="2">
        <f>COUNTIFS(集計用!$G130,"*, "&amp;AB$3&amp;", *")</f>
        <v>0</v>
      </c>
      <c r="AC132" s="2">
        <f>COUNTIFS(集計用!$G130,"*, "&amp;AC$3&amp;", *")</f>
        <v>0</v>
      </c>
      <c r="AD132" s="2">
        <f>COUNTIFS(集計用!$G130,"*, "&amp;AD$3&amp;", *")</f>
        <v>0</v>
      </c>
      <c r="AE132" s="2">
        <f>COUNTIFS(集計用!$G130,"*, "&amp;AE$3&amp;", *")</f>
        <v>0</v>
      </c>
      <c r="AF132" s="2">
        <f>COUNTIFS(集計用!$G130,"*, "&amp;AF$3&amp;", *")</f>
        <v>0</v>
      </c>
      <c r="AG132" s="2">
        <f>COUNTIFS(集計用!$G130,"*, "&amp;AG$3&amp;", *")</f>
        <v>0</v>
      </c>
      <c r="AH132" s="2">
        <f>COUNTIFS(集計用!$G130,"*, "&amp;AH$3&amp;", *")</f>
        <v>0</v>
      </c>
      <c r="AI132" s="2">
        <f>COUNTIFS(集計用!$G130,"*, "&amp;AI$3&amp;", *")</f>
        <v>0</v>
      </c>
      <c r="AJ132" s="2">
        <f>COUNTIFS(集計用!$G130,"*, "&amp;AJ$3&amp;", *")</f>
        <v>0</v>
      </c>
      <c r="AK132" s="2">
        <f>COUNTIFS(集計用!$G130,"*, "&amp;AK$3&amp;", *")</f>
        <v>0</v>
      </c>
      <c r="AL132" s="2">
        <f>COUNTIFS(集計用!$G130,"*, "&amp;AL$3&amp;", *")</f>
        <v>0</v>
      </c>
      <c r="AM132" s="2">
        <f>COUNTIFS(集計用!$G130,"*, "&amp;AM$3&amp;", *")</f>
        <v>0</v>
      </c>
      <c r="AN132" s="2">
        <f>COUNTIFS(集計用!$G130,"*, "&amp;AN$3&amp;", *")</f>
        <v>0</v>
      </c>
      <c r="AO132" s="2">
        <f>COUNTIFS(集計用!$G130,"*, "&amp;AO$3&amp;", *")</f>
        <v>0</v>
      </c>
      <c r="AP132" s="2">
        <f>COUNTIFS(集計用!$G130,"*, "&amp;AP$3&amp;", *")</f>
        <v>0</v>
      </c>
      <c r="AQ132" s="2">
        <f>COUNTIFS(集計用!$G130,"*, "&amp;AQ$3&amp;", *")</f>
        <v>0</v>
      </c>
      <c r="AR132" s="2">
        <f>COUNTIFS(集計用!$G130,"*, "&amp;AR$3&amp;", *")</f>
        <v>0</v>
      </c>
      <c r="AS132" s="2">
        <f>COUNTIFS(集計用!$G130,"*, "&amp;AS$3&amp;", *")</f>
        <v>0</v>
      </c>
      <c r="AT132" s="2">
        <f>COUNTIFS(集計用!$G130,"*, "&amp;AT$3&amp;", *")</f>
        <v>0</v>
      </c>
      <c r="AU132" s="2">
        <f>COUNTIFS(集計用!$G130,"*, "&amp;AU$3&amp;", *")</f>
        <v>0</v>
      </c>
      <c r="AV132" s="2">
        <f>COUNTIFS(集計用!$G130,"*, "&amp;AV$3&amp;", *")</f>
        <v>0</v>
      </c>
      <c r="AW132" s="2">
        <f>COUNTIFS(集計用!$G130,"*, "&amp;AW$3&amp;", *")</f>
        <v>0</v>
      </c>
      <c r="AX132" s="2">
        <f>COUNTIFS(集計用!$G130,"*, "&amp;AX$3&amp;", *")</f>
        <v>0</v>
      </c>
      <c r="AY132" s="2">
        <f>COUNTIFS(集計用!$G130,"*, "&amp;AY$3&amp;", *")</f>
        <v>0</v>
      </c>
      <c r="AZ132" s="2">
        <f>COUNTIFS(集計用!$G130,"*, "&amp;AZ$3&amp;", *")</f>
        <v>0</v>
      </c>
      <c r="BA132" s="2">
        <f>COUNTIFS(集計用!$G130,"*, "&amp;BA$3&amp;", *")</f>
        <v>0</v>
      </c>
      <c r="BB132" s="2">
        <f>COUNTIFS(集計用!$G130,"*, "&amp;BB$3&amp;", *")</f>
        <v>0</v>
      </c>
      <c r="BC132" s="2">
        <f>COUNTIFS(集計用!$G130,"*, "&amp;BC$3&amp;", *")</f>
        <v>0</v>
      </c>
      <c r="BD132" s="2">
        <f>COUNTIFS(集計用!$G130,"*, "&amp;BD$3&amp;", *")</f>
        <v>0</v>
      </c>
      <c r="BE132" s="2">
        <f>COUNTIFS(集計用!$G130,"*, "&amp;BE$3&amp;", *")</f>
        <v>0</v>
      </c>
      <c r="BF132" s="2">
        <f>COUNTIFS(集計用!$G130,"*, "&amp;BF$3&amp;", *")</f>
        <v>0</v>
      </c>
      <c r="BG132" s="2">
        <f>COUNTIFS(集計用!$G130,"*, "&amp;BG$3&amp;", *")</f>
        <v>0</v>
      </c>
      <c r="BH132" s="2">
        <f>COUNTIFS(集計用!$G130,"*, "&amp;BH$3&amp;", *")</f>
        <v>0</v>
      </c>
      <c r="BI132" s="2">
        <f>COUNTIFS(集計用!$G130,"*, "&amp;BI$3&amp;", *")</f>
        <v>0</v>
      </c>
      <c r="BJ132" s="2">
        <f>LEN(集計用!H130)-LEN(SUBSTITUTE(集計用!H130,",",""))</f>
        <v>0</v>
      </c>
    </row>
    <row r="133" spans="1:62" ht="12.75">
      <c r="A133" s="8">
        <v>130</v>
      </c>
      <c r="C133" s="2">
        <f t="shared" si="3"/>
        <v>3</v>
      </c>
      <c r="D133" s="9"/>
      <c r="E133" s="2">
        <f>COUNTIFS(集計用!$G131,"*, "&amp;E$3&amp;", *")</f>
        <v>1</v>
      </c>
      <c r="F133" s="2">
        <f>COUNTIFS(集計用!$G131,"*, "&amp;F$3&amp;", *")</f>
        <v>0</v>
      </c>
      <c r="G133" s="2">
        <f>COUNTIFS(集計用!$G131,"*, "&amp;G$3&amp;", *")</f>
        <v>0</v>
      </c>
      <c r="H133" s="2">
        <f>COUNTIFS(集計用!$G131,"*, "&amp;H$3&amp;", *")</f>
        <v>0</v>
      </c>
      <c r="I133" s="2">
        <f>COUNTIFS(集計用!$G131,"*, "&amp;I$3&amp;", *")</f>
        <v>0</v>
      </c>
      <c r="J133" s="2">
        <f>COUNTIFS(集計用!$G131,"*, "&amp;J$3&amp;", *")</f>
        <v>1</v>
      </c>
      <c r="K133" s="2">
        <f>COUNTIFS(集計用!$G131,"*, "&amp;K$3&amp;", *")</f>
        <v>0</v>
      </c>
      <c r="L133" s="2">
        <f>COUNTIFS(集計用!$G131,"*, "&amp;L$3&amp;", *")</f>
        <v>0</v>
      </c>
      <c r="M133" s="2">
        <f>COUNTIFS(集計用!$G131,"*, "&amp;M$3&amp;", *")</f>
        <v>0</v>
      </c>
      <c r="N133" s="2">
        <f>COUNTIFS(集計用!$G131,"*, "&amp;N$3&amp;", *")</f>
        <v>0</v>
      </c>
      <c r="O133" s="2">
        <f>COUNTIFS(集計用!$G131,"*, "&amp;O$3&amp;", *")</f>
        <v>0</v>
      </c>
      <c r="P133" s="2">
        <f>COUNTIFS(集計用!$G131,"*, "&amp;P$3&amp;", *")</f>
        <v>0</v>
      </c>
      <c r="Q133" s="2">
        <f>COUNTIFS(集計用!$G131,"*, "&amp;Q$3&amp;", *")</f>
        <v>0</v>
      </c>
      <c r="R133" s="2">
        <f>COUNTIFS(集計用!$G131,"*, "&amp;R$3&amp;", *")</f>
        <v>0</v>
      </c>
      <c r="S133" s="2">
        <f>COUNTIFS(集計用!$G131,"*, "&amp;S$3&amp;", *")</f>
        <v>1</v>
      </c>
      <c r="T133" s="2">
        <f>COUNTIFS(集計用!$G131,"*, "&amp;T$3&amp;", *")</f>
        <v>0</v>
      </c>
      <c r="U133" s="2">
        <f>COUNTIFS(集計用!$G131,"*, "&amp;U$3&amp;", *")</f>
        <v>0</v>
      </c>
      <c r="V133" s="2">
        <f>COUNTIFS(集計用!$G131,"*, "&amp;V$3&amp;", *")</f>
        <v>0</v>
      </c>
      <c r="W133" s="2">
        <f>COUNTIFS(集計用!$G131,"*, "&amp;W$3&amp;", *")</f>
        <v>0</v>
      </c>
      <c r="X133" s="2">
        <f>COUNTIFS(集計用!$G131,"*, "&amp;X$3&amp;", *")</f>
        <v>0</v>
      </c>
      <c r="Y133" s="2">
        <f>COUNTIFS(集計用!$G131,"*, "&amp;Y$3&amp;", *")</f>
        <v>0</v>
      </c>
      <c r="Z133" s="2">
        <f>COUNTIFS(集計用!$G131,"*, "&amp;Z$3&amp;", *")</f>
        <v>0</v>
      </c>
      <c r="AA133" s="2">
        <f>COUNTIFS(集計用!$G131,"*, "&amp;AA$3&amp;", *")</f>
        <v>0</v>
      </c>
      <c r="AB133" s="2">
        <f>COUNTIFS(集計用!$G131,"*, "&amp;AB$3&amp;", *")</f>
        <v>0</v>
      </c>
      <c r="AC133" s="2">
        <f>COUNTIFS(集計用!$G131,"*, "&amp;AC$3&amp;", *")</f>
        <v>0</v>
      </c>
      <c r="AD133" s="2">
        <f>COUNTIFS(集計用!$G131,"*, "&amp;AD$3&amp;", *")</f>
        <v>0</v>
      </c>
      <c r="AE133" s="2">
        <f>COUNTIFS(集計用!$G131,"*, "&amp;AE$3&amp;", *")</f>
        <v>0</v>
      </c>
      <c r="AF133" s="2">
        <f>COUNTIFS(集計用!$G131,"*, "&amp;AF$3&amp;", *")</f>
        <v>0</v>
      </c>
      <c r="AG133" s="2">
        <f>COUNTIFS(集計用!$G131,"*, "&amp;AG$3&amp;", *")</f>
        <v>0</v>
      </c>
      <c r="AH133" s="2">
        <f>COUNTIFS(集計用!$G131,"*, "&amp;AH$3&amp;", *")</f>
        <v>0</v>
      </c>
      <c r="AI133" s="2">
        <f>COUNTIFS(集計用!$G131,"*, "&amp;AI$3&amp;", *")</f>
        <v>0</v>
      </c>
      <c r="AJ133" s="2">
        <f>COUNTIFS(集計用!$G131,"*, "&amp;AJ$3&amp;", *")</f>
        <v>0</v>
      </c>
      <c r="AK133" s="2">
        <f>COUNTIFS(集計用!$G131,"*, "&amp;AK$3&amp;", *")</f>
        <v>0</v>
      </c>
      <c r="AL133" s="2">
        <f>COUNTIFS(集計用!$G131,"*, "&amp;AL$3&amp;", *")</f>
        <v>0</v>
      </c>
      <c r="AM133" s="2">
        <f>COUNTIFS(集計用!$G131,"*, "&amp;AM$3&amp;", *")</f>
        <v>0</v>
      </c>
      <c r="AN133" s="2">
        <f>COUNTIFS(集計用!$G131,"*, "&amp;AN$3&amp;", *")</f>
        <v>0</v>
      </c>
      <c r="AO133" s="2">
        <f>COUNTIFS(集計用!$G131,"*, "&amp;AO$3&amp;", *")</f>
        <v>0</v>
      </c>
      <c r="AP133" s="2">
        <f>COUNTIFS(集計用!$G131,"*, "&amp;AP$3&amp;", *")</f>
        <v>0</v>
      </c>
      <c r="AQ133" s="2">
        <f>COUNTIFS(集計用!$G131,"*, "&amp;AQ$3&amp;", *")</f>
        <v>0</v>
      </c>
      <c r="AR133" s="2">
        <f>COUNTIFS(集計用!$G131,"*, "&amp;AR$3&amp;", *")</f>
        <v>0</v>
      </c>
      <c r="AS133" s="2">
        <f>COUNTIFS(集計用!$G131,"*, "&amp;AS$3&amp;", *")</f>
        <v>0</v>
      </c>
      <c r="AT133" s="2">
        <f>COUNTIFS(集計用!$G131,"*, "&amp;AT$3&amp;", *")</f>
        <v>0</v>
      </c>
      <c r="AU133" s="2">
        <f>COUNTIFS(集計用!$G131,"*, "&amp;AU$3&amp;", *")</f>
        <v>0</v>
      </c>
      <c r="AV133" s="2">
        <f>COUNTIFS(集計用!$G131,"*, "&amp;AV$3&amp;", *")</f>
        <v>0</v>
      </c>
      <c r="AW133" s="2">
        <f>COUNTIFS(集計用!$G131,"*, "&amp;AW$3&amp;", *")</f>
        <v>0</v>
      </c>
      <c r="AX133" s="2">
        <f>COUNTIFS(集計用!$G131,"*, "&amp;AX$3&amp;", *")</f>
        <v>0</v>
      </c>
      <c r="AY133" s="2">
        <f>COUNTIFS(集計用!$G131,"*, "&amp;AY$3&amp;", *")</f>
        <v>0</v>
      </c>
      <c r="AZ133" s="2">
        <f>COUNTIFS(集計用!$G131,"*, "&amp;AZ$3&amp;", *")</f>
        <v>0</v>
      </c>
      <c r="BA133" s="2">
        <f>COUNTIFS(集計用!$G131,"*, "&amp;BA$3&amp;", *")</f>
        <v>0</v>
      </c>
      <c r="BB133" s="2">
        <f>COUNTIFS(集計用!$G131,"*, "&amp;BB$3&amp;", *")</f>
        <v>0</v>
      </c>
      <c r="BC133" s="2">
        <f>COUNTIFS(集計用!$G131,"*, "&amp;BC$3&amp;", *")</f>
        <v>0</v>
      </c>
      <c r="BD133" s="2">
        <f>COUNTIFS(集計用!$G131,"*, "&amp;BD$3&amp;", *")</f>
        <v>0</v>
      </c>
      <c r="BE133" s="2">
        <f>COUNTIFS(集計用!$G131,"*, "&amp;BE$3&amp;", *")</f>
        <v>0</v>
      </c>
      <c r="BF133" s="2">
        <f>COUNTIFS(集計用!$G131,"*, "&amp;BF$3&amp;", *")</f>
        <v>0</v>
      </c>
      <c r="BG133" s="2">
        <f>COUNTIFS(集計用!$G131,"*, "&amp;BG$3&amp;", *")</f>
        <v>0</v>
      </c>
      <c r="BH133" s="2">
        <f>COUNTIFS(集計用!$G131,"*, "&amp;BH$3&amp;", *")</f>
        <v>0</v>
      </c>
      <c r="BI133" s="2">
        <f>COUNTIFS(集計用!$G131,"*, "&amp;BI$3&amp;", *")</f>
        <v>0</v>
      </c>
      <c r="BJ133" s="2">
        <f>LEN(集計用!H131)-LEN(SUBSTITUTE(集計用!H131,",",""))</f>
        <v>0</v>
      </c>
    </row>
    <row r="134" spans="1:62" ht="12.75">
      <c r="A134" s="8">
        <v>131</v>
      </c>
      <c r="C134" s="2">
        <f t="shared" si="3"/>
        <v>3</v>
      </c>
      <c r="D134" s="9"/>
      <c r="E134" s="2">
        <f>COUNTIFS(集計用!$G132,"*, "&amp;E$3&amp;", *")</f>
        <v>0</v>
      </c>
      <c r="F134" s="2">
        <f>COUNTIFS(集計用!$G132,"*, "&amp;F$3&amp;", *")</f>
        <v>0</v>
      </c>
      <c r="G134" s="2">
        <f>COUNTIFS(集計用!$G132,"*, "&amp;G$3&amp;", *")</f>
        <v>0</v>
      </c>
      <c r="H134" s="2">
        <f>COUNTIFS(集計用!$G132,"*, "&amp;H$3&amp;", *")</f>
        <v>0</v>
      </c>
      <c r="I134" s="2">
        <f>COUNTIFS(集計用!$G132,"*, "&amp;I$3&amp;", *")</f>
        <v>0</v>
      </c>
      <c r="J134" s="2">
        <f>COUNTIFS(集計用!$G132,"*, "&amp;J$3&amp;", *")</f>
        <v>0</v>
      </c>
      <c r="K134" s="2">
        <f>COUNTIFS(集計用!$G132,"*, "&amp;K$3&amp;", *")</f>
        <v>1</v>
      </c>
      <c r="L134" s="2">
        <f>COUNTIFS(集計用!$G132,"*, "&amp;L$3&amp;", *")</f>
        <v>0</v>
      </c>
      <c r="M134" s="2">
        <f>COUNTIFS(集計用!$G132,"*, "&amp;M$3&amp;", *")</f>
        <v>1</v>
      </c>
      <c r="N134" s="2">
        <f>COUNTIFS(集計用!$G132,"*, "&amp;N$3&amp;", *")</f>
        <v>0</v>
      </c>
      <c r="O134" s="2">
        <f>COUNTIFS(集計用!$G132,"*, "&amp;O$3&amp;", *")</f>
        <v>0</v>
      </c>
      <c r="P134" s="2">
        <f>COUNTIFS(集計用!$G132,"*, "&amp;P$3&amp;", *")</f>
        <v>0</v>
      </c>
      <c r="Q134" s="2">
        <f>COUNTIFS(集計用!$G132,"*, "&amp;Q$3&amp;", *")</f>
        <v>0</v>
      </c>
      <c r="R134" s="2">
        <f>COUNTIFS(集計用!$G132,"*, "&amp;R$3&amp;", *")</f>
        <v>0</v>
      </c>
      <c r="S134" s="2">
        <f>COUNTIFS(集計用!$G132,"*, "&amp;S$3&amp;", *")</f>
        <v>0</v>
      </c>
      <c r="T134" s="2">
        <f>COUNTIFS(集計用!$G132,"*, "&amp;T$3&amp;", *")</f>
        <v>1</v>
      </c>
      <c r="U134" s="2">
        <f>COUNTIFS(集計用!$G132,"*, "&amp;U$3&amp;", *")</f>
        <v>0</v>
      </c>
      <c r="V134" s="2">
        <f>COUNTIFS(集計用!$G132,"*, "&amp;V$3&amp;", *")</f>
        <v>0</v>
      </c>
      <c r="W134" s="2">
        <f>COUNTIFS(集計用!$G132,"*, "&amp;W$3&amp;", *")</f>
        <v>0</v>
      </c>
      <c r="X134" s="2">
        <f>COUNTIFS(集計用!$G132,"*, "&amp;X$3&amp;", *")</f>
        <v>0</v>
      </c>
      <c r="Y134" s="2">
        <f>COUNTIFS(集計用!$G132,"*, "&amp;Y$3&amp;", *")</f>
        <v>0</v>
      </c>
      <c r="Z134" s="2">
        <f>COUNTIFS(集計用!$G132,"*, "&amp;Z$3&amp;", *")</f>
        <v>0</v>
      </c>
      <c r="AA134" s="2">
        <f>COUNTIFS(集計用!$G132,"*, "&amp;AA$3&amp;", *")</f>
        <v>0</v>
      </c>
      <c r="AB134" s="2">
        <f>COUNTIFS(集計用!$G132,"*, "&amp;AB$3&amp;", *")</f>
        <v>0</v>
      </c>
      <c r="AC134" s="2">
        <f>COUNTIFS(集計用!$G132,"*, "&amp;AC$3&amp;", *")</f>
        <v>0</v>
      </c>
      <c r="AD134" s="2">
        <f>COUNTIFS(集計用!$G132,"*, "&amp;AD$3&amp;", *")</f>
        <v>0</v>
      </c>
      <c r="AE134" s="2">
        <f>COUNTIFS(集計用!$G132,"*, "&amp;AE$3&amp;", *")</f>
        <v>0</v>
      </c>
      <c r="AF134" s="2">
        <f>COUNTIFS(集計用!$G132,"*, "&amp;AF$3&amp;", *")</f>
        <v>0</v>
      </c>
      <c r="AG134" s="2">
        <f>COUNTIFS(集計用!$G132,"*, "&amp;AG$3&amp;", *")</f>
        <v>0</v>
      </c>
      <c r="AH134" s="2">
        <f>COUNTIFS(集計用!$G132,"*, "&amp;AH$3&amp;", *")</f>
        <v>0</v>
      </c>
      <c r="AI134" s="2">
        <f>COUNTIFS(集計用!$G132,"*, "&amp;AI$3&amp;", *")</f>
        <v>0</v>
      </c>
      <c r="AJ134" s="2">
        <f>COUNTIFS(集計用!$G132,"*, "&amp;AJ$3&amp;", *")</f>
        <v>0</v>
      </c>
      <c r="AK134" s="2">
        <f>COUNTIFS(集計用!$G132,"*, "&amp;AK$3&amp;", *")</f>
        <v>0</v>
      </c>
      <c r="AL134" s="2">
        <f>COUNTIFS(集計用!$G132,"*, "&amp;AL$3&amp;", *")</f>
        <v>0</v>
      </c>
      <c r="AM134" s="2">
        <f>COUNTIFS(集計用!$G132,"*, "&amp;AM$3&amp;", *")</f>
        <v>0</v>
      </c>
      <c r="AN134" s="2">
        <f>COUNTIFS(集計用!$G132,"*, "&amp;AN$3&amp;", *")</f>
        <v>0</v>
      </c>
      <c r="AO134" s="2">
        <f>COUNTIFS(集計用!$G132,"*, "&amp;AO$3&amp;", *")</f>
        <v>0</v>
      </c>
      <c r="AP134" s="2">
        <f>COUNTIFS(集計用!$G132,"*, "&amp;AP$3&amp;", *")</f>
        <v>0</v>
      </c>
      <c r="AQ134" s="2">
        <f>COUNTIFS(集計用!$G132,"*, "&amp;AQ$3&amp;", *")</f>
        <v>0</v>
      </c>
      <c r="AR134" s="2">
        <f>COUNTIFS(集計用!$G132,"*, "&amp;AR$3&amp;", *")</f>
        <v>0</v>
      </c>
      <c r="AS134" s="2">
        <f>COUNTIFS(集計用!$G132,"*, "&amp;AS$3&amp;", *")</f>
        <v>0</v>
      </c>
      <c r="AT134" s="2">
        <f>COUNTIFS(集計用!$G132,"*, "&amp;AT$3&amp;", *")</f>
        <v>0</v>
      </c>
      <c r="AU134" s="2">
        <f>COUNTIFS(集計用!$G132,"*, "&amp;AU$3&amp;", *")</f>
        <v>0</v>
      </c>
      <c r="AV134" s="2">
        <f>COUNTIFS(集計用!$G132,"*, "&amp;AV$3&amp;", *")</f>
        <v>0</v>
      </c>
      <c r="AW134" s="2">
        <f>COUNTIFS(集計用!$G132,"*, "&amp;AW$3&amp;", *")</f>
        <v>0</v>
      </c>
      <c r="AX134" s="2">
        <f>COUNTIFS(集計用!$G132,"*, "&amp;AX$3&amp;", *")</f>
        <v>0</v>
      </c>
      <c r="AY134" s="2">
        <f>COUNTIFS(集計用!$G132,"*, "&amp;AY$3&amp;", *")</f>
        <v>0</v>
      </c>
      <c r="AZ134" s="2">
        <f>COUNTIFS(集計用!$G132,"*, "&amp;AZ$3&amp;", *")</f>
        <v>0</v>
      </c>
      <c r="BA134" s="2">
        <f>COUNTIFS(集計用!$G132,"*, "&amp;BA$3&amp;", *")</f>
        <v>0</v>
      </c>
      <c r="BB134" s="2">
        <f>COUNTIFS(集計用!$G132,"*, "&amp;BB$3&amp;", *")</f>
        <v>0</v>
      </c>
      <c r="BC134" s="2">
        <f>COUNTIFS(集計用!$G132,"*, "&amp;BC$3&amp;", *")</f>
        <v>0</v>
      </c>
      <c r="BD134" s="2">
        <f>COUNTIFS(集計用!$G132,"*, "&amp;BD$3&amp;", *")</f>
        <v>0</v>
      </c>
      <c r="BE134" s="2">
        <f>COUNTIFS(集計用!$G132,"*, "&amp;BE$3&amp;", *")</f>
        <v>0</v>
      </c>
      <c r="BF134" s="2">
        <f>COUNTIFS(集計用!$G132,"*, "&amp;BF$3&amp;", *")</f>
        <v>0</v>
      </c>
      <c r="BG134" s="2">
        <f>COUNTIFS(集計用!$G132,"*, "&amp;BG$3&amp;", *")</f>
        <v>0</v>
      </c>
      <c r="BH134" s="2">
        <f>COUNTIFS(集計用!$G132,"*, "&amp;BH$3&amp;", *")</f>
        <v>0</v>
      </c>
      <c r="BI134" s="2">
        <f>COUNTIFS(集計用!$G132,"*, "&amp;BI$3&amp;", *")</f>
        <v>0</v>
      </c>
      <c r="BJ134" s="2">
        <f>LEN(集計用!H132)-LEN(SUBSTITUTE(集計用!H132,",",""))</f>
        <v>0</v>
      </c>
    </row>
    <row r="135" spans="1:62" ht="12.75">
      <c r="A135" s="8">
        <v>132</v>
      </c>
      <c r="C135" s="2">
        <f t="shared" si="3"/>
        <v>4</v>
      </c>
      <c r="D135" s="9"/>
      <c r="E135" s="2">
        <f>COUNTIFS(集計用!$G133,"*, "&amp;E$3&amp;", *")</f>
        <v>1</v>
      </c>
      <c r="F135" s="2">
        <f>COUNTIFS(集計用!$G133,"*, "&amp;F$3&amp;", *")</f>
        <v>1</v>
      </c>
      <c r="G135" s="2">
        <f>COUNTIFS(集計用!$G133,"*, "&amp;G$3&amp;", *")</f>
        <v>0</v>
      </c>
      <c r="H135" s="2">
        <f>COUNTIFS(集計用!$G133,"*, "&amp;H$3&amp;", *")</f>
        <v>1</v>
      </c>
      <c r="I135" s="2">
        <f>COUNTIFS(集計用!$G133,"*, "&amp;I$3&amp;", *")</f>
        <v>0</v>
      </c>
      <c r="J135" s="2">
        <f>COUNTIFS(集計用!$G133,"*, "&amp;J$3&amp;", *")</f>
        <v>0</v>
      </c>
      <c r="K135" s="2">
        <f>COUNTIFS(集計用!$G133,"*, "&amp;K$3&amp;", *")</f>
        <v>0</v>
      </c>
      <c r="L135" s="2">
        <f>COUNTIFS(集計用!$G133,"*, "&amp;L$3&amp;", *")</f>
        <v>0</v>
      </c>
      <c r="M135" s="2">
        <f>COUNTIFS(集計用!$G133,"*, "&amp;M$3&amp;", *")</f>
        <v>0</v>
      </c>
      <c r="N135" s="2">
        <f>COUNTIFS(集計用!$G133,"*, "&amp;N$3&amp;", *")</f>
        <v>0</v>
      </c>
      <c r="O135" s="2">
        <f>COUNTIFS(集計用!$G133,"*, "&amp;O$3&amp;", *")</f>
        <v>0</v>
      </c>
      <c r="P135" s="2">
        <f>COUNTIFS(集計用!$G133,"*, "&amp;P$3&amp;", *")</f>
        <v>0</v>
      </c>
      <c r="Q135" s="2">
        <f>COUNTIFS(集計用!$G133,"*, "&amp;Q$3&amp;", *")</f>
        <v>1</v>
      </c>
      <c r="R135" s="2">
        <f>COUNTIFS(集計用!$G133,"*, "&amp;R$3&amp;", *")</f>
        <v>0</v>
      </c>
      <c r="S135" s="2">
        <f>COUNTIFS(集計用!$G133,"*, "&amp;S$3&amp;", *")</f>
        <v>0</v>
      </c>
      <c r="T135" s="2">
        <f>COUNTIFS(集計用!$G133,"*, "&amp;T$3&amp;", *")</f>
        <v>0</v>
      </c>
      <c r="U135" s="2">
        <f>COUNTIFS(集計用!$G133,"*, "&amp;U$3&amp;", *")</f>
        <v>0</v>
      </c>
      <c r="V135" s="2">
        <f>COUNTIFS(集計用!$G133,"*, "&amp;V$3&amp;", *")</f>
        <v>0</v>
      </c>
      <c r="W135" s="2">
        <f>COUNTIFS(集計用!$G133,"*, "&amp;W$3&amp;", *")</f>
        <v>0</v>
      </c>
      <c r="X135" s="2">
        <f>COUNTIFS(集計用!$G133,"*, "&amp;X$3&amp;", *")</f>
        <v>0</v>
      </c>
      <c r="Y135" s="2">
        <f>COUNTIFS(集計用!$G133,"*, "&amp;Y$3&amp;", *")</f>
        <v>0</v>
      </c>
      <c r="Z135" s="2">
        <f>COUNTIFS(集計用!$G133,"*, "&amp;Z$3&amp;", *")</f>
        <v>0</v>
      </c>
      <c r="AA135" s="2">
        <f>COUNTIFS(集計用!$G133,"*, "&amp;AA$3&amp;", *")</f>
        <v>0</v>
      </c>
      <c r="AB135" s="2">
        <f>COUNTIFS(集計用!$G133,"*, "&amp;AB$3&amp;", *")</f>
        <v>0</v>
      </c>
      <c r="AC135" s="2">
        <f>COUNTIFS(集計用!$G133,"*, "&amp;AC$3&amp;", *")</f>
        <v>0</v>
      </c>
      <c r="AD135" s="2">
        <f>COUNTIFS(集計用!$G133,"*, "&amp;AD$3&amp;", *")</f>
        <v>0</v>
      </c>
      <c r="AE135" s="2">
        <f>COUNTIFS(集計用!$G133,"*, "&amp;AE$3&amp;", *")</f>
        <v>0</v>
      </c>
      <c r="AF135" s="2">
        <f>COUNTIFS(集計用!$G133,"*, "&amp;AF$3&amp;", *")</f>
        <v>0</v>
      </c>
      <c r="AG135" s="2">
        <f>COUNTIFS(集計用!$G133,"*, "&amp;AG$3&amp;", *")</f>
        <v>0</v>
      </c>
      <c r="AH135" s="2">
        <f>COUNTIFS(集計用!$G133,"*, "&amp;AH$3&amp;", *")</f>
        <v>0</v>
      </c>
      <c r="AI135" s="2">
        <f>COUNTIFS(集計用!$G133,"*, "&amp;AI$3&amp;", *")</f>
        <v>0</v>
      </c>
      <c r="AJ135" s="2">
        <f>COUNTIFS(集計用!$G133,"*, "&amp;AJ$3&amp;", *")</f>
        <v>0</v>
      </c>
      <c r="AK135" s="2">
        <f>COUNTIFS(集計用!$G133,"*, "&amp;AK$3&amp;", *")</f>
        <v>0</v>
      </c>
      <c r="AL135" s="2">
        <f>COUNTIFS(集計用!$G133,"*, "&amp;AL$3&amp;", *")</f>
        <v>0</v>
      </c>
      <c r="AM135" s="2">
        <f>COUNTIFS(集計用!$G133,"*, "&amp;AM$3&amp;", *")</f>
        <v>0</v>
      </c>
      <c r="AN135" s="2">
        <f>COUNTIFS(集計用!$G133,"*, "&amp;AN$3&amp;", *")</f>
        <v>0</v>
      </c>
      <c r="AO135" s="2">
        <f>COUNTIFS(集計用!$G133,"*, "&amp;AO$3&amp;", *")</f>
        <v>0</v>
      </c>
      <c r="AP135" s="2">
        <f>COUNTIFS(集計用!$G133,"*, "&amp;AP$3&amp;", *")</f>
        <v>0</v>
      </c>
      <c r="AQ135" s="2">
        <f>COUNTIFS(集計用!$G133,"*, "&amp;AQ$3&amp;", *")</f>
        <v>0</v>
      </c>
      <c r="AR135" s="2">
        <f>COUNTIFS(集計用!$G133,"*, "&amp;AR$3&amp;", *")</f>
        <v>0</v>
      </c>
      <c r="AS135" s="2">
        <f>COUNTIFS(集計用!$G133,"*, "&amp;AS$3&amp;", *")</f>
        <v>0</v>
      </c>
      <c r="AT135" s="2">
        <f>COUNTIFS(集計用!$G133,"*, "&amp;AT$3&amp;", *")</f>
        <v>0</v>
      </c>
      <c r="AU135" s="2">
        <f>COUNTIFS(集計用!$G133,"*, "&amp;AU$3&amp;", *")</f>
        <v>0</v>
      </c>
      <c r="AV135" s="2">
        <f>COUNTIFS(集計用!$G133,"*, "&amp;AV$3&amp;", *")</f>
        <v>0</v>
      </c>
      <c r="AW135" s="2">
        <f>COUNTIFS(集計用!$G133,"*, "&amp;AW$3&amp;", *")</f>
        <v>0</v>
      </c>
      <c r="AX135" s="2">
        <f>COUNTIFS(集計用!$G133,"*, "&amp;AX$3&amp;", *")</f>
        <v>0</v>
      </c>
      <c r="AY135" s="2">
        <f>COUNTIFS(集計用!$G133,"*, "&amp;AY$3&amp;", *")</f>
        <v>0</v>
      </c>
      <c r="AZ135" s="2">
        <f>COUNTIFS(集計用!$G133,"*, "&amp;AZ$3&amp;", *")</f>
        <v>0</v>
      </c>
      <c r="BA135" s="2">
        <f>COUNTIFS(集計用!$G133,"*, "&amp;BA$3&amp;", *")</f>
        <v>0</v>
      </c>
      <c r="BB135" s="2">
        <f>COUNTIFS(集計用!$G133,"*, "&amp;BB$3&amp;", *")</f>
        <v>0</v>
      </c>
      <c r="BC135" s="2">
        <f>COUNTIFS(集計用!$G133,"*, "&amp;BC$3&amp;", *")</f>
        <v>0</v>
      </c>
      <c r="BD135" s="2">
        <f>COUNTIFS(集計用!$G133,"*, "&amp;BD$3&amp;", *")</f>
        <v>0</v>
      </c>
      <c r="BE135" s="2">
        <f>COUNTIFS(集計用!$G133,"*, "&amp;BE$3&amp;", *")</f>
        <v>0</v>
      </c>
      <c r="BF135" s="2">
        <f>COUNTIFS(集計用!$G133,"*, "&amp;BF$3&amp;", *")</f>
        <v>0</v>
      </c>
      <c r="BG135" s="2">
        <f>COUNTIFS(集計用!$G133,"*, "&amp;BG$3&amp;", *")</f>
        <v>0</v>
      </c>
      <c r="BH135" s="2">
        <f>COUNTIFS(集計用!$G133,"*, "&amp;BH$3&amp;", *")</f>
        <v>0</v>
      </c>
      <c r="BI135" s="2">
        <f>COUNTIFS(集計用!$G133,"*, "&amp;BI$3&amp;", *")</f>
        <v>0</v>
      </c>
      <c r="BJ135" s="2">
        <f>LEN(集計用!H133)-LEN(SUBSTITUTE(集計用!H133,",",""))</f>
        <v>0</v>
      </c>
    </row>
    <row r="136" spans="1:62" ht="12.75">
      <c r="A136" s="8">
        <v>133</v>
      </c>
      <c r="C136" s="2">
        <f t="shared" si="3"/>
        <v>1</v>
      </c>
      <c r="D136" s="9"/>
      <c r="E136" s="2">
        <f>COUNTIFS(集計用!$G134,"*, "&amp;E$3&amp;", *")</f>
        <v>0</v>
      </c>
      <c r="F136" s="2">
        <f>COUNTIFS(集計用!$G134,"*, "&amp;F$3&amp;", *")</f>
        <v>0</v>
      </c>
      <c r="G136" s="2">
        <f>COUNTIFS(集計用!$G134,"*, "&amp;G$3&amp;", *")</f>
        <v>0</v>
      </c>
      <c r="H136" s="2">
        <f>COUNTIFS(集計用!$G134,"*, "&amp;H$3&amp;", *")</f>
        <v>0</v>
      </c>
      <c r="I136" s="2">
        <f>COUNTIFS(集計用!$G134,"*, "&amp;I$3&amp;", *")</f>
        <v>0</v>
      </c>
      <c r="J136" s="2">
        <f>COUNTIFS(集計用!$G134,"*, "&amp;J$3&amp;", *")</f>
        <v>0</v>
      </c>
      <c r="K136" s="2">
        <f>COUNTIFS(集計用!$G134,"*, "&amp;K$3&amp;", *")</f>
        <v>0</v>
      </c>
      <c r="L136" s="2">
        <f>COUNTIFS(集計用!$G134,"*, "&amp;L$3&amp;", *")</f>
        <v>1</v>
      </c>
      <c r="M136" s="2">
        <f>COUNTIFS(集計用!$G134,"*, "&amp;M$3&amp;", *")</f>
        <v>0</v>
      </c>
      <c r="N136" s="2">
        <f>COUNTIFS(集計用!$G134,"*, "&amp;N$3&amp;", *")</f>
        <v>0</v>
      </c>
      <c r="O136" s="2">
        <f>COUNTIFS(集計用!$G134,"*, "&amp;O$3&amp;", *")</f>
        <v>0</v>
      </c>
      <c r="P136" s="2">
        <f>COUNTIFS(集計用!$G134,"*, "&amp;P$3&amp;", *")</f>
        <v>0</v>
      </c>
      <c r="Q136" s="2">
        <f>COUNTIFS(集計用!$G134,"*, "&amp;Q$3&amp;", *")</f>
        <v>0</v>
      </c>
      <c r="R136" s="2">
        <f>COUNTIFS(集計用!$G134,"*, "&amp;R$3&amp;", *")</f>
        <v>0</v>
      </c>
      <c r="S136" s="2">
        <f>COUNTIFS(集計用!$G134,"*, "&amp;S$3&amp;", *")</f>
        <v>0</v>
      </c>
      <c r="T136" s="2">
        <f>COUNTIFS(集計用!$G134,"*, "&amp;T$3&amp;", *")</f>
        <v>0</v>
      </c>
      <c r="U136" s="2">
        <f>COUNTIFS(集計用!$G134,"*, "&amp;U$3&amp;", *")</f>
        <v>0</v>
      </c>
      <c r="V136" s="2">
        <f>COUNTIFS(集計用!$G134,"*, "&amp;V$3&amp;", *")</f>
        <v>0</v>
      </c>
      <c r="W136" s="2">
        <f>COUNTIFS(集計用!$G134,"*, "&amp;W$3&amp;", *")</f>
        <v>0</v>
      </c>
      <c r="X136" s="2">
        <f>COUNTIFS(集計用!$G134,"*, "&amp;X$3&amp;", *")</f>
        <v>0</v>
      </c>
      <c r="Y136" s="2">
        <f>COUNTIFS(集計用!$G134,"*, "&amp;Y$3&amp;", *")</f>
        <v>0</v>
      </c>
      <c r="Z136" s="2">
        <f>COUNTIFS(集計用!$G134,"*, "&amp;Z$3&amp;", *")</f>
        <v>0</v>
      </c>
      <c r="AA136" s="2">
        <f>COUNTIFS(集計用!$G134,"*, "&amp;AA$3&amp;", *")</f>
        <v>0</v>
      </c>
      <c r="AB136" s="2">
        <f>COUNTIFS(集計用!$G134,"*, "&amp;AB$3&amp;", *")</f>
        <v>0</v>
      </c>
      <c r="AC136" s="2">
        <f>COUNTIFS(集計用!$G134,"*, "&amp;AC$3&amp;", *")</f>
        <v>0</v>
      </c>
      <c r="AD136" s="2">
        <f>COUNTIFS(集計用!$G134,"*, "&amp;AD$3&amp;", *")</f>
        <v>0</v>
      </c>
      <c r="AE136" s="2">
        <f>COUNTIFS(集計用!$G134,"*, "&amp;AE$3&amp;", *")</f>
        <v>0</v>
      </c>
      <c r="AF136" s="2">
        <f>COUNTIFS(集計用!$G134,"*, "&amp;AF$3&amp;", *")</f>
        <v>0</v>
      </c>
      <c r="AG136" s="2">
        <f>COUNTIFS(集計用!$G134,"*, "&amp;AG$3&amp;", *")</f>
        <v>0</v>
      </c>
      <c r="AH136" s="2">
        <f>COUNTIFS(集計用!$G134,"*, "&amp;AH$3&amp;", *")</f>
        <v>0</v>
      </c>
      <c r="AI136" s="2">
        <f>COUNTIFS(集計用!$G134,"*, "&amp;AI$3&amp;", *")</f>
        <v>0</v>
      </c>
      <c r="AJ136" s="2">
        <f>COUNTIFS(集計用!$G134,"*, "&amp;AJ$3&amp;", *")</f>
        <v>0</v>
      </c>
      <c r="AK136" s="2">
        <f>COUNTIFS(集計用!$G134,"*, "&amp;AK$3&amp;", *")</f>
        <v>0</v>
      </c>
      <c r="AL136" s="2">
        <f>COUNTIFS(集計用!$G134,"*, "&amp;AL$3&amp;", *")</f>
        <v>0</v>
      </c>
      <c r="AM136" s="2">
        <f>COUNTIFS(集計用!$G134,"*, "&amp;AM$3&amp;", *")</f>
        <v>0</v>
      </c>
      <c r="AN136" s="2">
        <f>COUNTIFS(集計用!$G134,"*, "&amp;AN$3&amp;", *")</f>
        <v>0</v>
      </c>
      <c r="AO136" s="2">
        <f>COUNTIFS(集計用!$G134,"*, "&amp;AO$3&amp;", *")</f>
        <v>0</v>
      </c>
      <c r="AP136" s="2">
        <f>COUNTIFS(集計用!$G134,"*, "&amp;AP$3&amp;", *")</f>
        <v>0</v>
      </c>
      <c r="AQ136" s="2">
        <f>COUNTIFS(集計用!$G134,"*, "&amp;AQ$3&amp;", *")</f>
        <v>0</v>
      </c>
      <c r="AR136" s="2">
        <f>COUNTIFS(集計用!$G134,"*, "&amp;AR$3&amp;", *")</f>
        <v>0</v>
      </c>
      <c r="AS136" s="2">
        <f>COUNTIFS(集計用!$G134,"*, "&amp;AS$3&amp;", *")</f>
        <v>0</v>
      </c>
      <c r="AT136" s="2">
        <f>COUNTIFS(集計用!$G134,"*, "&amp;AT$3&amp;", *")</f>
        <v>0</v>
      </c>
      <c r="AU136" s="2">
        <f>COUNTIFS(集計用!$G134,"*, "&amp;AU$3&amp;", *")</f>
        <v>0</v>
      </c>
      <c r="AV136" s="2">
        <f>COUNTIFS(集計用!$G134,"*, "&amp;AV$3&amp;", *")</f>
        <v>0</v>
      </c>
      <c r="AW136" s="2">
        <f>COUNTIFS(集計用!$G134,"*, "&amp;AW$3&amp;", *")</f>
        <v>0</v>
      </c>
      <c r="AX136" s="2">
        <f>COUNTIFS(集計用!$G134,"*, "&amp;AX$3&amp;", *")</f>
        <v>0</v>
      </c>
      <c r="AY136" s="2">
        <f>COUNTIFS(集計用!$G134,"*, "&amp;AY$3&amp;", *")</f>
        <v>0</v>
      </c>
      <c r="AZ136" s="2">
        <f>COUNTIFS(集計用!$G134,"*, "&amp;AZ$3&amp;", *")</f>
        <v>0</v>
      </c>
      <c r="BA136" s="2">
        <f>COUNTIFS(集計用!$G134,"*, "&amp;BA$3&amp;", *")</f>
        <v>0</v>
      </c>
      <c r="BB136" s="2">
        <f>COUNTIFS(集計用!$G134,"*, "&amp;BB$3&amp;", *")</f>
        <v>0</v>
      </c>
      <c r="BC136" s="2">
        <f>COUNTIFS(集計用!$G134,"*, "&amp;BC$3&amp;", *")</f>
        <v>0</v>
      </c>
      <c r="BD136" s="2">
        <f>COUNTIFS(集計用!$G134,"*, "&amp;BD$3&amp;", *")</f>
        <v>0</v>
      </c>
      <c r="BE136" s="2">
        <f>COUNTIFS(集計用!$G134,"*, "&amp;BE$3&amp;", *")</f>
        <v>0</v>
      </c>
      <c r="BF136" s="2">
        <f>COUNTIFS(集計用!$G134,"*, "&amp;BF$3&amp;", *")</f>
        <v>0</v>
      </c>
      <c r="BG136" s="2">
        <f>COUNTIFS(集計用!$G134,"*, "&amp;BG$3&amp;", *")</f>
        <v>0</v>
      </c>
      <c r="BH136" s="2">
        <f>COUNTIFS(集計用!$G134,"*, "&amp;BH$3&amp;", *")</f>
        <v>0</v>
      </c>
      <c r="BI136" s="2">
        <f>COUNTIFS(集計用!$G134,"*, "&amp;BI$3&amp;", *")</f>
        <v>0</v>
      </c>
      <c r="BJ136" s="2">
        <f>LEN(集計用!H134)-LEN(SUBSTITUTE(集計用!H134,",",""))</f>
        <v>0</v>
      </c>
    </row>
    <row r="137" spans="1:62" ht="12.75">
      <c r="A137" s="8">
        <v>134</v>
      </c>
      <c r="C137" s="2">
        <f t="shared" si="3"/>
        <v>3</v>
      </c>
      <c r="D137" s="9"/>
      <c r="E137" s="2">
        <f>COUNTIFS(集計用!$G135,"*, "&amp;E$3&amp;", *")</f>
        <v>1</v>
      </c>
      <c r="F137" s="2">
        <f>COUNTIFS(集計用!$G135,"*, "&amp;F$3&amp;", *")</f>
        <v>0</v>
      </c>
      <c r="G137" s="2">
        <f>COUNTIFS(集計用!$G135,"*, "&amp;G$3&amp;", *")</f>
        <v>0</v>
      </c>
      <c r="H137" s="2">
        <f>COUNTIFS(集計用!$G135,"*, "&amp;H$3&amp;", *")</f>
        <v>0</v>
      </c>
      <c r="I137" s="2">
        <f>COUNTIFS(集計用!$G135,"*, "&amp;I$3&amp;", *")</f>
        <v>0</v>
      </c>
      <c r="J137" s="2">
        <f>COUNTIFS(集計用!$G135,"*, "&amp;J$3&amp;", *")</f>
        <v>0</v>
      </c>
      <c r="K137" s="2">
        <f>COUNTIFS(集計用!$G135,"*, "&amp;K$3&amp;", *")</f>
        <v>1</v>
      </c>
      <c r="L137" s="2">
        <f>COUNTIFS(集計用!$G135,"*, "&amp;L$3&amp;", *")</f>
        <v>0</v>
      </c>
      <c r="M137" s="2">
        <f>COUNTIFS(集計用!$G135,"*, "&amp;M$3&amp;", *")</f>
        <v>0</v>
      </c>
      <c r="N137" s="2">
        <f>COUNTIFS(集計用!$G135,"*, "&amp;N$3&amp;", *")</f>
        <v>0</v>
      </c>
      <c r="O137" s="2">
        <f>COUNTIFS(集計用!$G135,"*, "&amp;O$3&amp;", *")</f>
        <v>0</v>
      </c>
      <c r="P137" s="2">
        <f>COUNTIFS(集計用!$G135,"*, "&amp;P$3&amp;", *")</f>
        <v>0</v>
      </c>
      <c r="Q137" s="2">
        <f>COUNTIFS(集計用!$G135,"*, "&amp;Q$3&amp;", *")</f>
        <v>0</v>
      </c>
      <c r="R137" s="2">
        <f>COUNTIFS(集計用!$G135,"*, "&amp;R$3&amp;", *")</f>
        <v>0</v>
      </c>
      <c r="S137" s="2">
        <f>COUNTIFS(集計用!$G135,"*, "&amp;S$3&amp;", *")</f>
        <v>0</v>
      </c>
      <c r="T137" s="2">
        <f>COUNTIFS(集計用!$G135,"*, "&amp;T$3&amp;", *")</f>
        <v>0</v>
      </c>
      <c r="U137" s="2">
        <f>COUNTIFS(集計用!$G135,"*, "&amp;U$3&amp;", *")</f>
        <v>0</v>
      </c>
      <c r="V137" s="2">
        <f>COUNTIFS(集計用!$G135,"*, "&amp;V$3&amp;", *")</f>
        <v>0</v>
      </c>
      <c r="W137" s="2">
        <f>COUNTIFS(集計用!$G135,"*, "&amp;W$3&amp;", *")</f>
        <v>0</v>
      </c>
      <c r="X137" s="2">
        <f>COUNTIFS(集計用!$G135,"*, "&amp;X$3&amp;", *")</f>
        <v>0</v>
      </c>
      <c r="Y137" s="2">
        <f>COUNTIFS(集計用!$G135,"*, "&amp;Y$3&amp;", *")</f>
        <v>0</v>
      </c>
      <c r="Z137" s="2">
        <f>COUNTIFS(集計用!$G135,"*, "&amp;Z$3&amp;", *")</f>
        <v>0</v>
      </c>
      <c r="AA137" s="2">
        <f>COUNTIFS(集計用!$G135,"*, "&amp;AA$3&amp;", *")</f>
        <v>0</v>
      </c>
      <c r="AB137" s="2">
        <f>COUNTIFS(集計用!$G135,"*, "&amp;AB$3&amp;", *")</f>
        <v>0</v>
      </c>
      <c r="AC137" s="2">
        <f>COUNTIFS(集計用!$G135,"*, "&amp;AC$3&amp;", *")</f>
        <v>0</v>
      </c>
      <c r="AD137" s="2">
        <f>COUNTIFS(集計用!$G135,"*, "&amp;AD$3&amp;", *")</f>
        <v>0</v>
      </c>
      <c r="AE137" s="2">
        <f>COUNTIFS(集計用!$G135,"*, "&amp;AE$3&amp;", *")</f>
        <v>0</v>
      </c>
      <c r="AF137" s="2">
        <f>COUNTIFS(集計用!$G135,"*, "&amp;AF$3&amp;", *")</f>
        <v>1</v>
      </c>
      <c r="AG137" s="2">
        <f>COUNTIFS(集計用!$G135,"*, "&amp;AG$3&amp;", *")</f>
        <v>0</v>
      </c>
      <c r="AH137" s="2">
        <f>COUNTIFS(集計用!$G135,"*, "&amp;AH$3&amp;", *")</f>
        <v>0</v>
      </c>
      <c r="AI137" s="2">
        <f>COUNTIFS(集計用!$G135,"*, "&amp;AI$3&amp;", *")</f>
        <v>0</v>
      </c>
      <c r="AJ137" s="2">
        <f>COUNTIFS(集計用!$G135,"*, "&amp;AJ$3&amp;", *")</f>
        <v>0</v>
      </c>
      <c r="AK137" s="2">
        <f>COUNTIFS(集計用!$G135,"*, "&amp;AK$3&amp;", *")</f>
        <v>0</v>
      </c>
      <c r="AL137" s="2">
        <f>COUNTIFS(集計用!$G135,"*, "&amp;AL$3&amp;", *")</f>
        <v>0</v>
      </c>
      <c r="AM137" s="2">
        <f>COUNTIFS(集計用!$G135,"*, "&amp;AM$3&amp;", *")</f>
        <v>0</v>
      </c>
      <c r="AN137" s="2">
        <f>COUNTIFS(集計用!$G135,"*, "&amp;AN$3&amp;", *")</f>
        <v>0</v>
      </c>
      <c r="AO137" s="2">
        <f>COUNTIFS(集計用!$G135,"*, "&amp;AO$3&amp;", *")</f>
        <v>0</v>
      </c>
      <c r="AP137" s="2">
        <f>COUNTIFS(集計用!$G135,"*, "&amp;AP$3&amp;", *")</f>
        <v>0</v>
      </c>
      <c r="AQ137" s="2">
        <f>COUNTIFS(集計用!$G135,"*, "&amp;AQ$3&amp;", *")</f>
        <v>0</v>
      </c>
      <c r="AR137" s="2">
        <f>COUNTIFS(集計用!$G135,"*, "&amp;AR$3&amp;", *")</f>
        <v>0</v>
      </c>
      <c r="AS137" s="2">
        <f>COUNTIFS(集計用!$G135,"*, "&amp;AS$3&amp;", *")</f>
        <v>0</v>
      </c>
      <c r="AT137" s="2">
        <f>COUNTIFS(集計用!$G135,"*, "&amp;AT$3&amp;", *")</f>
        <v>0</v>
      </c>
      <c r="AU137" s="2">
        <f>COUNTIFS(集計用!$G135,"*, "&amp;AU$3&amp;", *")</f>
        <v>0</v>
      </c>
      <c r="AV137" s="2">
        <f>COUNTIFS(集計用!$G135,"*, "&amp;AV$3&amp;", *")</f>
        <v>0</v>
      </c>
      <c r="AW137" s="2">
        <f>COUNTIFS(集計用!$G135,"*, "&amp;AW$3&amp;", *")</f>
        <v>0</v>
      </c>
      <c r="AX137" s="2">
        <f>COUNTIFS(集計用!$G135,"*, "&amp;AX$3&amp;", *")</f>
        <v>0</v>
      </c>
      <c r="AY137" s="2">
        <f>COUNTIFS(集計用!$G135,"*, "&amp;AY$3&amp;", *")</f>
        <v>0</v>
      </c>
      <c r="AZ137" s="2">
        <f>COUNTIFS(集計用!$G135,"*, "&amp;AZ$3&amp;", *")</f>
        <v>0</v>
      </c>
      <c r="BA137" s="2">
        <f>COUNTIFS(集計用!$G135,"*, "&amp;BA$3&amp;", *")</f>
        <v>0</v>
      </c>
      <c r="BB137" s="2">
        <f>COUNTIFS(集計用!$G135,"*, "&amp;BB$3&amp;", *")</f>
        <v>0</v>
      </c>
      <c r="BC137" s="2">
        <f>COUNTIFS(集計用!$G135,"*, "&amp;BC$3&amp;", *")</f>
        <v>0</v>
      </c>
      <c r="BD137" s="2">
        <f>COUNTIFS(集計用!$G135,"*, "&amp;BD$3&amp;", *")</f>
        <v>0</v>
      </c>
      <c r="BE137" s="2">
        <f>COUNTIFS(集計用!$G135,"*, "&amp;BE$3&amp;", *")</f>
        <v>0</v>
      </c>
      <c r="BF137" s="2">
        <f>COUNTIFS(集計用!$G135,"*, "&amp;BF$3&amp;", *")</f>
        <v>0</v>
      </c>
      <c r="BG137" s="2">
        <f>COUNTIFS(集計用!$G135,"*, "&amp;BG$3&amp;", *")</f>
        <v>0</v>
      </c>
      <c r="BH137" s="2">
        <f>COUNTIFS(集計用!$G135,"*, "&amp;BH$3&amp;", *")</f>
        <v>0</v>
      </c>
      <c r="BI137" s="2">
        <f>COUNTIFS(集計用!$G135,"*, "&amp;BI$3&amp;", *")</f>
        <v>0</v>
      </c>
      <c r="BJ137" s="2">
        <f>LEN(集計用!H135)-LEN(SUBSTITUTE(集計用!H135,",",""))</f>
        <v>0</v>
      </c>
    </row>
    <row r="138" spans="1:62" ht="12.75">
      <c r="A138" s="8">
        <v>135</v>
      </c>
      <c r="C138" s="2">
        <f t="shared" si="3"/>
        <v>2</v>
      </c>
      <c r="D138" s="9"/>
      <c r="E138" s="2">
        <f>COUNTIFS(集計用!$G136,"*, "&amp;E$3&amp;", *")</f>
        <v>0</v>
      </c>
      <c r="F138" s="2">
        <f>COUNTIFS(集計用!$G136,"*, "&amp;F$3&amp;", *")</f>
        <v>0</v>
      </c>
      <c r="G138" s="2">
        <f>COUNTIFS(集計用!$G136,"*, "&amp;G$3&amp;", *")</f>
        <v>0</v>
      </c>
      <c r="H138" s="2">
        <f>COUNTIFS(集計用!$G136,"*, "&amp;H$3&amp;", *")</f>
        <v>0</v>
      </c>
      <c r="I138" s="2">
        <f>COUNTIFS(集計用!$G136,"*, "&amp;I$3&amp;", *")</f>
        <v>1</v>
      </c>
      <c r="J138" s="2">
        <f>COUNTIFS(集計用!$G136,"*, "&amp;J$3&amp;", *")</f>
        <v>0</v>
      </c>
      <c r="K138" s="2">
        <f>COUNTIFS(集計用!$G136,"*, "&amp;K$3&amp;", *")</f>
        <v>1</v>
      </c>
      <c r="L138" s="2">
        <f>COUNTIFS(集計用!$G136,"*, "&amp;L$3&amp;", *")</f>
        <v>0</v>
      </c>
      <c r="M138" s="2">
        <f>COUNTIFS(集計用!$G136,"*, "&amp;M$3&amp;", *")</f>
        <v>0</v>
      </c>
      <c r="N138" s="2">
        <f>COUNTIFS(集計用!$G136,"*, "&amp;N$3&amp;", *")</f>
        <v>0</v>
      </c>
      <c r="O138" s="2">
        <f>COUNTIFS(集計用!$G136,"*, "&amp;O$3&amp;", *")</f>
        <v>0</v>
      </c>
      <c r="P138" s="2">
        <f>COUNTIFS(集計用!$G136,"*, "&amp;P$3&amp;", *")</f>
        <v>0</v>
      </c>
      <c r="Q138" s="2">
        <f>COUNTIFS(集計用!$G136,"*, "&amp;Q$3&amp;", *")</f>
        <v>0</v>
      </c>
      <c r="R138" s="2">
        <f>COUNTIFS(集計用!$G136,"*, "&amp;R$3&amp;", *")</f>
        <v>0</v>
      </c>
      <c r="S138" s="2">
        <f>COUNTIFS(集計用!$G136,"*, "&amp;S$3&amp;", *")</f>
        <v>0</v>
      </c>
      <c r="T138" s="2">
        <f>COUNTIFS(集計用!$G136,"*, "&amp;T$3&amp;", *")</f>
        <v>0</v>
      </c>
      <c r="U138" s="2">
        <f>COUNTIFS(集計用!$G136,"*, "&amp;U$3&amp;", *")</f>
        <v>0</v>
      </c>
      <c r="V138" s="2">
        <f>COUNTIFS(集計用!$G136,"*, "&amp;V$3&amp;", *")</f>
        <v>0</v>
      </c>
      <c r="W138" s="2">
        <f>COUNTIFS(集計用!$G136,"*, "&amp;W$3&amp;", *")</f>
        <v>0</v>
      </c>
      <c r="X138" s="2">
        <f>COUNTIFS(集計用!$G136,"*, "&amp;X$3&amp;", *")</f>
        <v>0</v>
      </c>
      <c r="Y138" s="2">
        <f>COUNTIFS(集計用!$G136,"*, "&amp;Y$3&amp;", *")</f>
        <v>0</v>
      </c>
      <c r="Z138" s="2">
        <f>COUNTIFS(集計用!$G136,"*, "&amp;Z$3&amp;", *")</f>
        <v>0</v>
      </c>
      <c r="AA138" s="2">
        <f>COUNTIFS(集計用!$G136,"*, "&amp;AA$3&amp;", *")</f>
        <v>0</v>
      </c>
      <c r="AB138" s="2">
        <f>COUNTIFS(集計用!$G136,"*, "&amp;AB$3&amp;", *")</f>
        <v>0</v>
      </c>
      <c r="AC138" s="2">
        <f>COUNTIFS(集計用!$G136,"*, "&amp;AC$3&amp;", *")</f>
        <v>0</v>
      </c>
      <c r="AD138" s="2">
        <f>COUNTIFS(集計用!$G136,"*, "&amp;AD$3&amp;", *")</f>
        <v>0</v>
      </c>
      <c r="AE138" s="2">
        <f>COUNTIFS(集計用!$G136,"*, "&amp;AE$3&amp;", *")</f>
        <v>0</v>
      </c>
      <c r="AF138" s="2">
        <f>COUNTIFS(集計用!$G136,"*, "&amp;AF$3&amp;", *")</f>
        <v>0</v>
      </c>
      <c r="AG138" s="2">
        <f>COUNTIFS(集計用!$G136,"*, "&amp;AG$3&amp;", *")</f>
        <v>0</v>
      </c>
      <c r="AH138" s="2">
        <f>COUNTIFS(集計用!$G136,"*, "&amp;AH$3&amp;", *")</f>
        <v>0</v>
      </c>
      <c r="AI138" s="2">
        <f>COUNTIFS(集計用!$G136,"*, "&amp;AI$3&amp;", *")</f>
        <v>0</v>
      </c>
      <c r="AJ138" s="2">
        <f>COUNTIFS(集計用!$G136,"*, "&amp;AJ$3&amp;", *")</f>
        <v>0</v>
      </c>
      <c r="AK138" s="2">
        <f>COUNTIFS(集計用!$G136,"*, "&amp;AK$3&amp;", *")</f>
        <v>0</v>
      </c>
      <c r="AL138" s="2">
        <f>COUNTIFS(集計用!$G136,"*, "&amp;AL$3&amp;", *")</f>
        <v>0</v>
      </c>
      <c r="AM138" s="2">
        <f>COUNTIFS(集計用!$G136,"*, "&amp;AM$3&amp;", *")</f>
        <v>0</v>
      </c>
      <c r="AN138" s="2">
        <f>COUNTIFS(集計用!$G136,"*, "&amp;AN$3&amp;", *")</f>
        <v>0</v>
      </c>
      <c r="AO138" s="2">
        <f>COUNTIFS(集計用!$G136,"*, "&amp;AO$3&amp;", *")</f>
        <v>0</v>
      </c>
      <c r="AP138" s="2">
        <f>COUNTIFS(集計用!$G136,"*, "&amp;AP$3&amp;", *")</f>
        <v>0</v>
      </c>
      <c r="AQ138" s="2">
        <f>COUNTIFS(集計用!$G136,"*, "&amp;AQ$3&amp;", *")</f>
        <v>0</v>
      </c>
      <c r="AR138" s="2">
        <f>COUNTIFS(集計用!$G136,"*, "&amp;AR$3&amp;", *")</f>
        <v>0</v>
      </c>
      <c r="AS138" s="2">
        <f>COUNTIFS(集計用!$G136,"*, "&amp;AS$3&amp;", *")</f>
        <v>0</v>
      </c>
      <c r="AT138" s="2">
        <f>COUNTIFS(集計用!$G136,"*, "&amp;AT$3&amp;", *")</f>
        <v>0</v>
      </c>
      <c r="AU138" s="2">
        <f>COUNTIFS(集計用!$G136,"*, "&amp;AU$3&amp;", *")</f>
        <v>0</v>
      </c>
      <c r="AV138" s="2">
        <f>COUNTIFS(集計用!$G136,"*, "&amp;AV$3&amp;", *")</f>
        <v>0</v>
      </c>
      <c r="AW138" s="2">
        <f>COUNTIFS(集計用!$G136,"*, "&amp;AW$3&amp;", *")</f>
        <v>0</v>
      </c>
      <c r="AX138" s="2">
        <f>COUNTIFS(集計用!$G136,"*, "&amp;AX$3&amp;", *")</f>
        <v>0</v>
      </c>
      <c r="AY138" s="2">
        <f>COUNTIFS(集計用!$G136,"*, "&amp;AY$3&amp;", *")</f>
        <v>0</v>
      </c>
      <c r="AZ138" s="2">
        <f>COUNTIFS(集計用!$G136,"*, "&amp;AZ$3&amp;", *")</f>
        <v>0</v>
      </c>
      <c r="BA138" s="2">
        <f>COUNTIFS(集計用!$G136,"*, "&amp;BA$3&amp;", *")</f>
        <v>0</v>
      </c>
      <c r="BB138" s="2">
        <f>COUNTIFS(集計用!$G136,"*, "&amp;BB$3&amp;", *")</f>
        <v>0</v>
      </c>
      <c r="BC138" s="2">
        <f>COUNTIFS(集計用!$G136,"*, "&amp;BC$3&amp;", *")</f>
        <v>0</v>
      </c>
      <c r="BD138" s="2">
        <f>COUNTIFS(集計用!$G136,"*, "&amp;BD$3&amp;", *")</f>
        <v>0</v>
      </c>
      <c r="BE138" s="2">
        <f>COUNTIFS(集計用!$G136,"*, "&amp;BE$3&amp;", *")</f>
        <v>0</v>
      </c>
      <c r="BF138" s="2">
        <f>COUNTIFS(集計用!$G136,"*, "&amp;BF$3&amp;", *")</f>
        <v>0</v>
      </c>
      <c r="BG138" s="2">
        <f>COUNTIFS(集計用!$G136,"*, "&amp;BG$3&amp;", *")</f>
        <v>0</v>
      </c>
      <c r="BH138" s="2">
        <f>COUNTIFS(集計用!$G136,"*, "&amp;BH$3&amp;", *")</f>
        <v>0</v>
      </c>
      <c r="BI138" s="2">
        <f>COUNTIFS(集計用!$G136,"*, "&amp;BI$3&amp;", *")</f>
        <v>0</v>
      </c>
      <c r="BJ138" s="2">
        <f>LEN(集計用!H136)-LEN(SUBSTITUTE(集計用!H136,",",""))</f>
        <v>0</v>
      </c>
    </row>
    <row r="139" spans="1:62" ht="12.75">
      <c r="A139" s="8">
        <v>136</v>
      </c>
      <c r="C139" s="2">
        <f t="shared" si="3"/>
        <v>9</v>
      </c>
      <c r="D139" s="9"/>
      <c r="E139" s="2">
        <f>COUNTIFS(集計用!$G137,"*, "&amp;E$3&amp;", *")</f>
        <v>1</v>
      </c>
      <c r="F139" s="2">
        <f>COUNTIFS(集計用!$G137,"*, "&amp;F$3&amp;", *")</f>
        <v>1</v>
      </c>
      <c r="G139" s="2">
        <f>COUNTIFS(集計用!$G137,"*, "&amp;G$3&amp;", *")</f>
        <v>1</v>
      </c>
      <c r="H139" s="2">
        <f>COUNTIFS(集計用!$G137,"*, "&amp;H$3&amp;", *")</f>
        <v>0</v>
      </c>
      <c r="I139" s="2">
        <f>COUNTIFS(集計用!$G137,"*, "&amp;I$3&amp;", *")</f>
        <v>0</v>
      </c>
      <c r="J139" s="2">
        <f>COUNTIFS(集計用!$G137,"*, "&amp;J$3&amp;", *")</f>
        <v>0</v>
      </c>
      <c r="K139" s="2">
        <f>COUNTIFS(集計用!$G137,"*, "&amp;K$3&amp;", *")</f>
        <v>1</v>
      </c>
      <c r="L139" s="2">
        <f>COUNTIFS(集計用!$G137,"*, "&amp;L$3&amp;", *")</f>
        <v>1</v>
      </c>
      <c r="M139" s="2">
        <f>COUNTIFS(集計用!$G137,"*, "&amp;M$3&amp;", *")</f>
        <v>1</v>
      </c>
      <c r="N139" s="2">
        <f>COUNTIFS(集計用!$G137,"*, "&amp;N$3&amp;", *")</f>
        <v>1</v>
      </c>
      <c r="O139" s="2">
        <f>COUNTIFS(集計用!$G137,"*, "&amp;O$3&amp;", *")</f>
        <v>0</v>
      </c>
      <c r="P139" s="2">
        <f>COUNTIFS(集計用!$G137,"*, "&amp;P$3&amp;", *")</f>
        <v>0</v>
      </c>
      <c r="Q139" s="2">
        <f>COUNTIFS(集計用!$G137,"*, "&amp;Q$3&amp;", *")</f>
        <v>0</v>
      </c>
      <c r="R139" s="2">
        <f>COUNTIFS(集計用!$G137,"*, "&amp;R$3&amp;", *")</f>
        <v>0</v>
      </c>
      <c r="S139" s="2">
        <f>COUNTIFS(集計用!$G137,"*, "&amp;S$3&amp;", *")</f>
        <v>0</v>
      </c>
      <c r="T139" s="2">
        <f>COUNTIFS(集計用!$G137,"*, "&amp;T$3&amp;", *")</f>
        <v>1</v>
      </c>
      <c r="U139" s="2">
        <f>COUNTIFS(集計用!$G137,"*, "&amp;U$3&amp;", *")</f>
        <v>0</v>
      </c>
      <c r="V139" s="2">
        <f>COUNTIFS(集計用!$G137,"*, "&amp;V$3&amp;", *")</f>
        <v>0</v>
      </c>
      <c r="W139" s="2">
        <f>COUNTIFS(集計用!$G137,"*, "&amp;W$3&amp;", *")</f>
        <v>0</v>
      </c>
      <c r="X139" s="2">
        <f>COUNTIFS(集計用!$G137,"*, "&amp;X$3&amp;", *")</f>
        <v>0</v>
      </c>
      <c r="Y139" s="2">
        <f>COUNTIFS(集計用!$G137,"*, "&amp;Y$3&amp;", *")</f>
        <v>0</v>
      </c>
      <c r="Z139" s="2">
        <f>COUNTIFS(集計用!$G137,"*, "&amp;Z$3&amp;", *")</f>
        <v>0</v>
      </c>
      <c r="AA139" s="2">
        <f>COUNTIFS(集計用!$G137,"*, "&amp;AA$3&amp;", *")</f>
        <v>1</v>
      </c>
      <c r="AB139" s="2">
        <f>COUNTIFS(集計用!$G137,"*, "&amp;AB$3&amp;", *")</f>
        <v>0</v>
      </c>
      <c r="AC139" s="2">
        <f>COUNTIFS(集計用!$G137,"*, "&amp;AC$3&amp;", *")</f>
        <v>0</v>
      </c>
      <c r="AD139" s="2">
        <f>COUNTIFS(集計用!$G137,"*, "&amp;AD$3&amp;", *")</f>
        <v>0</v>
      </c>
      <c r="AE139" s="2">
        <f>COUNTIFS(集計用!$G137,"*, "&amp;AE$3&amp;", *")</f>
        <v>0</v>
      </c>
      <c r="AF139" s="2">
        <f>COUNTIFS(集計用!$G137,"*, "&amp;AF$3&amp;", *")</f>
        <v>0</v>
      </c>
      <c r="AG139" s="2">
        <f>COUNTIFS(集計用!$G137,"*, "&amp;AG$3&amp;", *")</f>
        <v>0</v>
      </c>
      <c r="AH139" s="2">
        <f>COUNTIFS(集計用!$G137,"*, "&amp;AH$3&amp;", *")</f>
        <v>0</v>
      </c>
      <c r="AI139" s="2">
        <f>COUNTIFS(集計用!$G137,"*, "&amp;AI$3&amp;", *")</f>
        <v>0</v>
      </c>
      <c r="AJ139" s="2">
        <f>COUNTIFS(集計用!$G137,"*, "&amp;AJ$3&amp;", *")</f>
        <v>0</v>
      </c>
      <c r="AK139" s="2">
        <f>COUNTIFS(集計用!$G137,"*, "&amp;AK$3&amp;", *")</f>
        <v>0</v>
      </c>
      <c r="AL139" s="2">
        <f>COUNTIFS(集計用!$G137,"*, "&amp;AL$3&amp;", *")</f>
        <v>0</v>
      </c>
      <c r="AM139" s="2">
        <f>COUNTIFS(集計用!$G137,"*, "&amp;AM$3&amp;", *")</f>
        <v>0</v>
      </c>
      <c r="AN139" s="2">
        <f>COUNTIFS(集計用!$G137,"*, "&amp;AN$3&amp;", *")</f>
        <v>0</v>
      </c>
      <c r="AO139" s="2">
        <f>COUNTIFS(集計用!$G137,"*, "&amp;AO$3&amp;", *")</f>
        <v>0</v>
      </c>
      <c r="AP139" s="2">
        <f>COUNTIFS(集計用!$G137,"*, "&amp;AP$3&amp;", *")</f>
        <v>0</v>
      </c>
      <c r="AQ139" s="2">
        <f>COUNTIFS(集計用!$G137,"*, "&amp;AQ$3&amp;", *")</f>
        <v>0</v>
      </c>
      <c r="AR139" s="2">
        <f>COUNTIFS(集計用!$G137,"*, "&amp;AR$3&amp;", *")</f>
        <v>0</v>
      </c>
      <c r="AS139" s="2">
        <f>COUNTIFS(集計用!$G137,"*, "&amp;AS$3&amp;", *")</f>
        <v>0</v>
      </c>
      <c r="AT139" s="2">
        <f>COUNTIFS(集計用!$G137,"*, "&amp;AT$3&amp;", *")</f>
        <v>0</v>
      </c>
      <c r="AU139" s="2">
        <f>COUNTIFS(集計用!$G137,"*, "&amp;AU$3&amp;", *")</f>
        <v>0</v>
      </c>
      <c r="AV139" s="2">
        <f>COUNTIFS(集計用!$G137,"*, "&amp;AV$3&amp;", *")</f>
        <v>0</v>
      </c>
      <c r="AW139" s="2">
        <f>COUNTIFS(集計用!$G137,"*, "&amp;AW$3&amp;", *")</f>
        <v>0</v>
      </c>
      <c r="AX139" s="2">
        <f>COUNTIFS(集計用!$G137,"*, "&amp;AX$3&amp;", *")</f>
        <v>0</v>
      </c>
      <c r="AY139" s="2">
        <f>COUNTIFS(集計用!$G137,"*, "&amp;AY$3&amp;", *")</f>
        <v>0</v>
      </c>
      <c r="AZ139" s="2">
        <f>COUNTIFS(集計用!$G137,"*, "&amp;AZ$3&amp;", *")</f>
        <v>0</v>
      </c>
      <c r="BA139" s="2">
        <f>COUNTIFS(集計用!$G137,"*, "&amp;BA$3&amp;", *")</f>
        <v>0</v>
      </c>
      <c r="BB139" s="2">
        <f>COUNTIFS(集計用!$G137,"*, "&amp;BB$3&amp;", *")</f>
        <v>0</v>
      </c>
      <c r="BC139" s="2">
        <f>COUNTIFS(集計用!$G137,"*, "&amp;BC$3&amp;", *")</f>
        <v>0</v>
      </c>
      <c r="BD139" s="2">
        <f>COUNTIFS(集計用!$G137,"*, "&amp;BD$3&amp;", *")</f>
        <v>0</v>
      </c>
      <c r="BE139" s="2">
        <f>COUNTIFS(集計用!$G137,"*, "&amp;BE$3&amp;", *")</f>
        <v>0</v>
      </c>
      <c r="BF139" s="2">
        <f>COUNTIFS(集計用!$G137,"*, "&amp;BF$3&amp;", *")</f>
        <v>0</v>
      </c>
      <c r="BG139" s="2">
        <f>COUNTIFS(集計用!$G137,"*, "&amp;BG$3&amp;", *")</f>
        <v>0</v>
      </c>
      <c r="BH139" s="2">
        <f>COUNTIFS(集計用!$G137,"*, "&amp;BH$3&amp;", *")</f>
        <v>0</v>
      </c>
      <c r="BI139" s="2">
        <f>COUNTIFS(集計用!$G137,"*, "&amp;BI$3&amp;", *")</f>
        <v>0</v>
      </c>
      <c r="BJ139" s="2">
        <f>LEN(集計用!H137)-LEN(SUBSTITUTE(集計用!H137,",",""))</f>
        <v>0</v>
      </c>
    </row>
    <row r="140" spans="1:62" ht="12.75">
      <c r="A140" s="8">
        <v>137</v>
      </c>
      <c r="C140" s="2">
        <f t="shared" si="3"/>
        <v>11</v>
      </c>
      <c r="D140" s="9"/>
      <c r="E140" s="2">
        <f>COUNTIFS(集計用!$G138,"*, "&amp;E$3&amp;", *")</f>
        <v>1</v>
      </c>
      <c r="F140" s="2">
        <f>COUNTIFS(集計用!$G138,"*, "&amp;F$3&amp;", *")</f>
        <v>0</v>
      </c>
      <c r="G140" s="2">
        <f>COUNTIFS(集計用!$G138,"*, "&amp;G$3&amp;", *")</f>
        <v>1</v>
      </c>
      <c r="H140" s="2">
        <f>COUNTIFS(集計用!$G138,"*, "&amp;H$3&amp;", *")</f>
        <v>1</v>
      </c>
      <c r="I140" s="2">
        <f>COUNTIFS(集計用!$G138,"*, "&amp;I$3&amp;", *")</f>
        <v>1</v>
      </c>
      <c r="J140" s="2">
        <f>COUNTIFS(集計用!$G138,"*, "&amp;J$3&amp;", *")</f>
        <v>1</v>
      </c>
      <c r="K140" s="2">
        <f>COUNTIFS(集計用!$G138,"*, "&amp;K$3&amp;", *")</f>
        <v>0</v>
      </c>
      <c r="L140" s="2">
        <f>COUNTIFS(集計用!$G138,"*, "&amp;L$3&amp;", *")</f>
        <v>0</v>
      </c>
      <c r="M140" s="2">
        <f>COUNTIFS(集計用!$G138,"*, "&amp;M$3&amp;", *")</f>
        <v>0</v>
      </c>
      <c r="N140" s="2">
        <f>COUNTIFS(集計用!$G138,"*, "&amp;N$3&amp;", *")</f>
        <v>0</v>
      </c>
      <c r="O140" s="2">
        <f>COUNTIFS(集計用!$G138,"*, "&amp;O$3&amp;", *")</f>
        <v>1</v>
      </c>
      <c r="P140" s="2">
        <f>COUNTIFS(集計用!$G138,"*, "&amp;P$3&amp;", *")</f>
        <v>1</v>
      </c>
      <c r="Q140" s="2">
        <f>COUNTIFS(集計用!$G138,"*, "&amp;Q$3&amp;", *")</f>
        <v>0</v>
      </c>
      <c r="R140" s="2">
        <f>COUNTIFS(集計用!$G138,"*, "&amp;R$3&amp;", *")</f>
        <v>0</v>
      </c>
      <c r="S140" s="2">
        <f>COUNTIFS(集計用!$G138,"*, "&amp;S$3&amp;", *")</f>
        <v>0</v>
      </c>
      <c r="T140" s="2">
        <f>COUNTIFS(集計用!$G138,"*, "&amp;T$3&amp;", *")</f>
        <v>0</v>
      </c>
      <c r="U140" s="2">
        <f>COUNTIFS(集計用!$G138,"*, "&amp;U$3&amp;", *")</f>
        <v>0</v>
      </c>
      <c r="V140" s="2">
        <f>COUNTIFS(集計用!$G138,"*, "&amp;V$3&amp;", *")</f>
        <v>1</v>
      </c>
      <c r="W140" s="2">
        <f>COUNTIFS(集計用!$G138,"*, "&amp;W$3&amp;", *")</f>
        <v>1</v>
      </c>
      <c r="X140" s="2">
        <f>COUNTIFS(集計用!$G138,"*, "&amp;X$3&amp;", *")</f>
        <v>0</v>
      </c>
      <c r="Y140" s="2">
        <f>COUNTIFS(集計用!$G138,"*, "&amp;Y$3&amp;", *")</f>
        <v>0</v>
      </c>
      <c r="Z140" s="2">
        <f>COUNTIFS(集計用!$G138,"*, "&amp;Z$3&amp;", *")</f>
        <v>0</v>
      </c>
      <c r="AA140" s="2">
        <f>COUNTIFS(集計用!$G138,"*, "&amp;AA$3&amp;", *")</f>
        <v>0</v>
      </c>
      <c r="AB140" s="2">
        <f>COUNTIFS(集計用!$G138,"*, "&amp;AB$3&amp;", *")</f>
        <v>0</v>
      </c>
      <c r="AC140" s="2">
        <f>COUNTIFS(集計用!$G138,"*, "&amp;AC$3&amp;", *")</f>
        <v>0</v>
      </c>
      <c r="AD140" s="2">
        <f>COUNTIFS(集計用!$G138,"*, "&amp;AD$3&amp;", *")</f>
        <v>0</v>
      </c>
      <c r="AE140" s="2">
        <f>COUNTIFS(集計用!$G138,"*, "&amp;AE$3&amp;", *")</f>
        <v>0</v>
      </c>
      <c r="AF140" s="2">
        <f>COUNTIFS(集計用!$G138,"*, "&amp;AF$3&amp;", *")</f>
        <v>0</v>
      </c>
      <c r="AG140" s="2">
        <f>COUNTIFS(集計用!$G138,"*, "&amp;AG$3&amp;", *")</f>
        <v>0</v>
      </c>
      <c r="AH140" s="2">
        <f>COUNTIFS(集計用!$G138,"*, "&amp;AH$3&amp;", *")</f>
        <v>0</v>
      </c>
      <c r="AI140" s="2">
        <f>COUNTIFS(集計用!$G138,"*, "&amp;AI$3&amp;", *")</f>
        <v>0</v>
      </c>
      <c r="AJ140" s="2">
        <f>COUNTIFS(集計用!$G138,"*, "&amp;AJ$3&amp;", *")</f>
        <v>0</v>
      </c>
      <c r="AK140" s="2">
        <f>COUNTIFS(集計用!$G138,"*, "&amp;AK$3&amp;", *")</f>
        <v>0</v>
      </c>
      <c r="AL140" s="2">
        <f>COUNTIFS(集計用!$G138,"*, "&amp;AL$3&amp;", *")</f>
        <v>1</v>
      </c>
      <c r="AM140" s="2">
        <f>COUNTIFS(集計用!$G138,"*, "&amp;AM$3&amp;", *")</f>
        <v>1</v>
      </c>
      <c r="AN140" s="2">
        <f>COUNTIFS(集計用!$G138,"*, "&amp;AN$3&amp;", *")</f>
        <v>0</v>
      </c>
      <c r="AO140" s="2">
        <f>COUNTIFS(集計用!$G138,"*, "&amp;AO$3&amp;", *")</f>
        <v>0</v>
      </c>
      <c r="AP140" s="2">
        <f>COUNTIFS(集計用!$G138,"*, "&amp;AP$3&amp;", *")</f>
        <v>0</v>
      </c>
      <c r="AQ140" s="2">
        <f>COUNTIFS(集計用!$G138,"*, "&amp;AQ$3&amp;", *")</f>
        <v>0</v>
      </c>
      <c r="AR140" s="2">
        <f>COUNTIFS(集計用!$G138,"*, "&amp;AR$3&amp;", *")</f>
        <v>0</v>
      </c>
      <c r="AS140" s="2">
        <f>COUNTIFS(集計用!$G138,"*, "&amp;AS$3&amp;", *")</f>
        <v>0</v>
      </c>
      <c r="AT140" s="2">
        <f>COUNTIFS(集計用!$G138,"*, "&amp;AT$3&amp;", *")</f>
        <v>0</v>
      </c>
      <c r="AU140" s="2">
        <f>COUNTIFS(集計用!$G138,"*, "&amp;AU$3&amp;", *")</f>
        <v>0</v>
      </c>
      <c r="AV140" s="2">
        <f>COUNTIFS(集計用!$G138,"*, "&amp;AV$3&amp;", *")</f>
        <v>0</v>
      </c>
      <c r="AW140" s="2">
        <f>COUNTIFS(集計用!$G138,"*, "&amp;AW$3&amp;", *")</f>
        <v>0</v>
      </c>
      <c r="AX140" s="2">
        <f>COUNTIFS(集計用!$G138,"*, "&amp;AX$3&amp;", *")</f>
        <v>0</v>
      </c>
      <c r="AY140" s="2">
        <f>COUNTIFS(集計用!$G138,"*, "&amp;AY$3&amp;", *")</f>
        <v>0</v>
      </c>
      <c r="AZ140" s="2">
        <f>COUNTIFS(集計用!$G138,"*, "&amp;AZ$3&amp;", *")</f>
        <v>0</v>
      </c>
      <c r="BA140" s="2">
        <f>COUNTIFS(集計用!$G138,"*, "&amp;BA$3&amp;", *")</f>
        <v>0</v>
      </c>
      <c r="BB140" s="2">
        <f>COUNTIFS(集計用!$G138,"*, "&amp;BB$3&amp;", *")</f>
        <v>0</v>
      </c>
      <c r="BC140" s="2">
        <f>COUNTIFS(集計用!$G138,"*, "&amp;BC$3&amp;", *")</f>
        <v>0</v>
      </c>
      <c r="BD140" s="2">
        <f>COUNTIFS(集計用!$G138,"*, "&amp;BD$3&amp;", *")</f>
        <v>0</v>
      </c>
      <c r="BE140" s="2">
        <f>COUNTIFS(集計用!$G138,"*, "&amp;BE$3&amp;", *")</f>
        <v>0</v>
      </c>
      <c r="BF140" s="2">
        <f>COUNTIFS(集計用!$G138,"*, "&amp;BF$3&amp;", *")</f>
        <v>0</v>
      </c>
      <c r="BG140" s="2">
        <f>COUNTIFS(集計用!$G138,"*, "&amp;BG$3&amp;", *")</f>
        <v>0</v>
      </c>
      <c r="BH140" s="2">
        <f>COUNTIFS(集計用!$G138,"*, "&amp;BH$3&amp;", *")</f>
        <v>0</v>
      </c>
      <c r="BI140" s="2">
        <f>COUNTIFS(集計用!$G138,"*, "&amp;BI$3&amp;", *")</f>
        <v>0</v>
      </c>
      <c r="BJ140" s="2">
        <f>LEN(集計用!H138)-LEN(SUBSTITUTE(集計用!H138,",",""))</f>
        <v>0</v>
      </c>
    </row>
    <row r="141" spans="1:62" ht="12.75">
      <c r="A141" s="8">
        <v>138</v>
      </c>
      <c r="C141" s="2">
        <f t="shared" si="3"/>
        <v>4</v>
      </c>
      <c r="D141" s="9"/>
      <c r="E141" s="2">
        <f>COUNTIFS(集計用!$G139,"*, "&amp;E$3&amp;", *")</f>
        <v>1</v>
      </c>
      <c r="F141" s="2">
        <f>COUNTIFS(集計用!$G139,"*, "&amp;F$3&amp;", *")</f>
        <v>1</v>
      </c>
      <c r="G141" s="2">
        <f>COUNTIFS(集計用!$G139,"*, "&amp;G$3&amp;", *")</f>
        <v>1</v>
      </c>
      <c r="H141" s="2">
        <f>COUNTIFS(集計用!$G139,"*, "&amp;H$3&amp;", *")</f>
        <v>0</v>
      </c>
      <c r="I141" s="2">
        <f>COUNTIFS(集計用!$G139,"*, "&amp;I$3&amp;", *")</f>
        <v>1</v>
      </c>
      <c r="J141" s="2">
        <f>COUNTIFS(集計用!$G139,"*, "&amp;J$3&amp;", *")</f>
        <v>0</v>
      </c>
      <c r="K141" s="2">
        <f>COUNTIFS(集計用!$G139,"*, "&amp;K$3&amp;", *")</f>
        <v>0</v>
      </c>
      <c r="L141" s="2">
        <f>COUNTIFS(集計用!$G139,"*, "&amp;L$3&amp;", *")</f>
        <v>0</v>
      </c>
      <c r="M141" s="2">
        <f>COUNTIFS(集計用!$G139,"*, "&amp;M$3&amp;", *")</f>
        <v>0</v>
      </c>
      <c r="N141" s="2">
        <f>COUNTIFS(集計用!$G139,"*, "&amp;N$3&amp;", *")</f>
        <v>0</v>
      </c>
      <c r="O141" s="2">
        <f>COUNTIFS(集計用!$G139,"*, "&amp;O$3&amp;", *")</f>
        <v>0</v>
      </c>
      <c r="P141" s="2">
        <f>COUNTIFS(集計用!$G139,"*, "&amp;P$3&amp;", *")</f>
        <v>0</v>
      </c>
      <c r="Q141" s="2">
        <f>COUNTIFS(集計用!$G139,"*, "&amp;Q$3&amp;", *")</f>
        <v>0</v>
      </c>
      <c r="R141" s="2">
        <f>COUNTIFS(集計用!$G139,"*, "&amp;R$3&amp;", *")</f>
        <v>0</v>
      </c>
      <c r="S141" s="2">
        <f>COUNTIFS(集計用!$G139,"*, "&amp;S$3&amp;", *")</f>
        <v>0</v>
      </c>
      <c r="T141" s="2">
        <f>COUNTIFS(集計用!$G139,"*, "&amp;T$3&amp;", *")</f>
        <v>0</v>
      </c>
      <c r="U141" s="2">
        <f>COUNTIFS(集計用!$G139,"*, "&amp;U$3&amp;", *")</f>
        <v>0</v>
      </c>
      <c r="V141" s="2">
        <f>COUNTIFS(集計用!$G139,"*, "&amp;V$3&amp;", *")</f>
        <v>0</v>
      </c>
      <c r="W141" s="2">
        <f>COUNTIFS(集計用!$G139,"*, "&amp;W$3&amp;", *")</f>
        <v>0</v>
      </c>
      <c r="X141" s="2">
        <f>COUNTIFS(集計用!$G139,"*, "&amp;X$3&amp;", *")</f>
        <v>0</v>
      </c>
      <c r="Y141" s="2">
        <f>COUNTIFS(集計用!$G139,"*, "&amp;Y$3&amp;", *")</f>
        <v>0</v>
      </c>
      <c r="Z141" s="2">
        <f>COUNTIFS(集計用!$G139,"*, "&amp;Z$3&amp;", *")</f>
        <v>0</v>
      </c>
      <c r="AA141" s="2">
        <f>COUNTIFS(集計用!$G139,"*, "&amp;AA$3&amp;", *")</f>
        <v>0</v>
      </c>
      <c r="AB141" s="2">
        <f>COUNTIFS(集計用!$G139,"*, "&amp;AB$3&amp;", *")</f>
        <v>0</v>
      </c>
      <c r="AC141" s="2">
        <f>COUNTIFS(集計用!$G139,"*, "&amp;AC$3&amp;", *")</f>
        <v>0</v>
      </c>
      <c r="AD141" s="2">
        <f>COUNTIFS(集計用!$G139,"*, "&amp;AD$3&amp;", *")</f>
        <v>0</v>
      </c>
      <c r="AE141" s="2">
        <f>COUNTIFS(集計用!$G139,"*, "&amp;AE$3&amp;", *")</f>
        <v>0</v>
      </c>
      <c r="AF141" s="2">
        <f>COUNTIFS(集計用!$G139,"*, "&amp;AF$3&amp;", *")</f>
        <v>0</v>
      </c>
      <c r="AG141" s="2">
        <f>COUNTIFS(集計用!$G139,"*, "&amp;AG$3&amp;", *")</f>
        <v>0</v>
      </c>
      <c r="AH141" s="2">
        <f>COUNTIFS(集計用!$G139,"*, "&amp;AH$3&amp;", *")</f>
        <v>0</v>
      </c>
      <c r="AI141" s="2">
        <f>COUNTIFS(集計用!$G139,"*, "&amp;AI$3&amp;", *")</f>
        <v>0</v>
      </c>
      <c r="AJ141" s="2">
        <f>COUNTIFS(集計用!$G139,"*, "&amp;AJ$3&amp;", *")</f>
        <v>0</v>
      </c>
      <c r="AK141" s="2">
        <f>COUNTIFS(集計用!$G139,"*, "&amp;AK$3&amp;", *")</f>
        <v>0</v>
      </c>
      <c r="AL141" s="2">
        <f>COUNTIFS(集計用!$G139,"*, "&amp;AL$3&amp;", *")</f>
        <v>0</v>
      </c>
      <c r="AM141" s="2">
        <f>COUNTIFS(集計用!$G139,"*, "&amp;AM$3&amp;", *")</f>
        <v>0</v>
      </c>
      <c r="AN141" s="2">
        <f>COUNTIFS(集計用!$G139,"*, "&amp;AN$3&amp;", *")</f>
        <v>0</v>
      </c>
      <c r="AO141" s="2">
        <f>COUNTIFS(集計用!$G139,"*, "&amp;AO$3&amp;", *")</f>
        <v>0</v>
      </c>
      <c r="AP141" s="2">
        <f>COUNTIFS(集計用!$G139,"*, "&amp;AP$3&amp;", *")</f>
        <v>0</v>
      </c>
      <c r="AQ141" s="2">
        <f>COUNTIFS(集計用!$G139,"*, "&amp;AQ$3&amp;", *")</f>
        <v>0</v>
      </c>
      <c r="AR141" s="2">
        <f>COUNTIFS(集計用!$G139,"*, "&amp;AR$3&amp;", *")</f>
        <v>0</v>
      </c>
      <c r="AS141" s="2">
        <f>COUNTIFS(集計用!$G139,"*, "&amp;AS$3&amp;", *")</f>
        <v>0</v>
      </c>
      <c r="AT141" s="2">
        <f>COUNTIFS(集計用!$G139,"*, "&amp;AT$3&amp;", *")</f>
        <v>0</v>
      </c>
      <c r="AU141" s="2">
        <f>COUNTIFS(集計用!$G139,"*, "&amp;AU$3&amp;", *")</f>
        <v>0</v>
      </c>
      <c r="AV141" s="2">
        <f>COUNTIFS(集計用!$G139,"*, "&amp;AV$3&amp;", *")</f>
        <v>0</v>
      </c>
      <c r="AW141" s="2">
        <f>COUNTIFS(集計用!$G139,"*, "&amp;AW$3&amp;", *")</f>
        <v>0</v>
      </c>
      <c r="AX141" s="2">
        <f>COUNTIFS(集計用!$G139,"*, "&amp;AX$3&amp;", *")</f>
        <v>0</v>
      </c>
      <c r="AY141" s="2">
        <f>COUNTIFS(集計用!$G139,"*, "&amp;AY$3&amp;", *")</f>
        <v>0</v>
      </c>
      <c r="AZ141" s="2">
        <f>COUNTIFS(集計用!$G139,"*, "&amp;AZ$3&amp;", *")</f>
        <v>0</v>
      </c>
      <c r="BA141" s="2">
        <f>COUNTIFS(集計用!$G139,"*, "&amp;BA$3&amp;", *")</f>
        <v>0</v>
      </c>
      <c r="BB141" s="2">
        <f>COUNTIFS(集計用!$G139,"*, "&amp;BB$3&amp;", *")</f>
        <v>0</v>
      </c>
      <c r="BC141" s="2">
        <f>COUNTIFS(集計用!$G139,"*, "&amp;BC$3&amp;", *")</f>
        <v>0</v>
      </c>
      <c r="BD141" s="2">
        <f>COUNTIFS(集計用!$G139,"*, "&amp;BD$3&amp;", *")</f>
        <v>0</v>
      </c>
      <c r="BE141" s="2">
        <f>COUNTIFS(集計用!$G139,"*, "&amp;BE$3&amp;", *")</f>
        <v>0</v>
      </c>
      <c r="BF141" s="2">
        <f>COUNTIFS(集計用!$G139,"*, "&amp;BF$3&amp;", *")</f>
        <v>0</v>
      </c>
      <c r="BG141" s="2">
        <f>COUNTIFS(集計用!$G139,"*, "&amp;BG$3&amp;", *")</f>
        <v>0</v>
      </c>
      <c r="BH141" s="2">
        <f>COUNTIFS(集計用!$G139,"*, "&amp;BH$3&amp;", *")</f>
        <v>0</v>
      </c>
      <c r="BI141" s="2">
        <f>COUNTIFS(集計用!$G139,"*, "&amp;BI$3&amp;", *")</f>
        <v>0</v>
      </c>
      <c r="BJ141" s="2">
        <f>LEN(集計用!H139)-LEN(SUBSTITUTE(集計用!H139,",",""))</f>
        <v>0</v>
      </c>
    </row>
    <row r="142" spans="1:62" ht="12.75">
      <c r="A142" s="8">
        <v>139</v>
      </c>
      <c r="C142" s="2">
        <f t="shared" si="3"/>
        <v>3</v>
      </c>
      <c r="D142" s="9"/>
      <c r="E142" s="2">
        <f>COUNTIFS(集計用!$G140,"*, "&amp;E$3&amp;", *")</f>
        <v>0</v>
      </c>
      <c r="F142" s="2">
        <f>COUNTIFS(集計用!$G140,"*, "&amp;F$3&amp;", *")</f>
        <v>0</v>
      </c>
      <c r="G142" s="2">
        <f>COUNTIFS(集計用!$G140,"*, "&amp;G$3&amp;", *")</f>
        <v>0</v>
      </c>
      <c r="H142" s="2">
        <f>COUNTIFS(集計用!$G140,"*, "&amp;H$3&amp;", *")</f>
        <v>0</v>
      </c>
      <c r="I142" s="2">
        <f>COUNTIFS(集計用!$G140,"*, "&amp;I$3&amp;", *")</f>
        <v>0</v>
      </c>
      <c r="J142" s="2">
        <f>COUNTIFS(集計用!$G140,"*, "&amp;J$3&amp;", *")</f>
        <v>0</v>
      </c>
      <c r="K142" s="2">
        <f>COUNTIFS(集計用!$G140,"*, "&amp;K$3&amp;", *")</f>
        <v>0</v>
      </c>
      <c r="L142" s="2">
        <f>COUNTIFS(集計用!$G140,"*, "&amp;L$3&amp;", *")</f>
        <v>0</v>
      </c>
      <c r="M142" s="2">
        <f>COUNTIFS(集計用!$G140,"*, "&amp;M$3&amp;", *")</f>
        <v>0</v>
      </c>
      <c r="N142" s="2">
        <f>COUNTIFS(集計用!$G140,"*, "&amp;N$3&amp;", *")</f>
        <v>0</v>
      </c>
      <c r="O142" s="2">
        <f>COUNTIFS(集計用!$G140,"*, "&amp;O$3&amp;", *")</f>
        <v>0</v>
      </c>
      <c r="P142" s="2">
        <f>COUNTIFS(集計用!$G140,"*, "&amp;P$3&amp;", *")</f>
        <v>0</v>
      </c>
      <c r="Q142" s="2">
        <f>COUNTIFS(集計用!$G140,"*, "&amp;Q$3&amp;", *")</f>
        <v>0</v>
      </c>
      <c r="R142" s="2">
        <f>COUNTIFS(集計用!$G140,"*, "&amp;R$3&amp;", *")</f>
        <v>0</v>
      </c>
      <c r="S142" s="2">
        <f>COUNTIFS(集計用!$G140,"*, "&amp;S$3&amp;", *")</f>
        <v>0</v>
      </c>
      <c r="T142" s="2">
        <f>COUNTIFS(集計用!$G140,"*, "&amp;T$3&amp;", *")</f>
        <v>1</v>
      </c>
      <c r="U142" s="2">
        <f>COUNTIFS(集計用!$G140,"*, "&amp;U$3&amp;", *")</f>
        <v>0</v>
      </c>
      <c r="V142" s="2">
        <f>COUNTIFS(集計用!$G140,"*, "&amp;V$3&amp;", *")</f>
        <v>0</v>
      </c>
      <c r="W142" s="2">
        <f>COUNTIFS(集計用!$G140,"*, "&amp;W$3&amp;", *")</f>
        <v>0</v>
      </c>
      <c r="X142" s="2">
        <f>COUNTIFS(集計用!$G140,"*, "&amp;X$3&amp;", *")</f>
        <v>0</v>
      </c>
      <c r="Y142" s="2">
        <f>COUNTIFS(集計用!$G140,"*, "&amp;Y$3&amp;", *")</f>
        <v>0</v>
      </c>
      <c r="Z142" s="2">
        <f>COUNTIFS(集計用!$G140,"*, "&amp;Z$3&amp;", *")</f>
        <v>0</v>
      </c>
      <c r="AA142" s="2">
        <f>COUNTIFS(集計用!$G140,"*, "&amp;AA$3&amp;", *")</f>
        <v>0</v>
      </c>
      <c r="AB142" s="2">
        <f>COUNTIFS(集計用!$G140,"*, "&amp;AB$3&amp;", *")</f>
        <v>0</v>
      </c>
      <c r="AC142" s="2">
        <f>COUNTIFS(集計用!$G140,"*, "&amp;AC$3&amp;", *")</f>
        <v>0</v>
      </c>
      <c r="AD142" s="2">
        <f>COUNTIFS(集計用!$G140,"*, "&amp;AD$3&amp;", *")</f>
        <v>0</v>
      </c>
      <c r="AE142" s="2">
        <f>COUNTIFS(集計用!$G140,"*, "&amp;AE$3&amp;", *")</f>
        <v>0</v>
      </c>
      <c r="AF142" s="2">
        <f>COUNTIFS(集計用!$G140,"*, "&amp;AF$3&amp;", *")</f>
        <v>0</v>
      </c>
      <c r="AG142" s="2">
        <f>COUNTIFS(集計用!$G140,"*, "&amp;AG$3&amp;", *")</f>
        <v>0</v>
      </c>
      <c r="AH142" s="2">
        <f>COUNTIFS(集計用!$G140,"*, "&amp;AH$3&amp;", *")</f>
        <v>0</v>
      </c>
      <c r="AI142" s="2">
        <f>COUNTIFS(集計用!$G140,"*, "&amp;AI$3&amp;", *")</f>
        <v>0</v>
      </c>
      <c r="AJ142" s="2">
        <f>COUNTIFS(集計用!$G140,"*, "&amp;AJ$3&amp;", *")</f>
        <v>0</v>
      </c>
      <c r="AK142" s="2">
        <f>COUNTIFS(集計用!$G140,"*, "&amp;AK$3&amp;", *")</f>
        <v>0</v>
      </c>
      <c r="AL142" s="2">
        <f>COUNTIFS(集計用!$G140,"*, "&amp;AL$3&amp;", *")</f>
        <v>0</v>
      </c>
      <c r="AM142" s="2">
        <f>COUNTIFS(集計用!$G140,"*, "&amp;AM$3&amp;", *")</f>
        <v>0</v>
      </c>
      <c r="AN142" s="2">
        <f>COUNTIFS(集計用!$G140,"*, "&amp;AN$3&amp;", *")</f>
        <v>0</v>
      </c>
      <c r="AO142" s="2">
        <f>COUNTIFS(集計用!$G140,"*, "&amp;AO$3&amp;", *")</f>
        <v>0</v>
      </c>
      <c r="AP142" s="2">
        <f>COUNTIFS(集計用!$G140,"*, "&amp;AP$3&amp;", *")</f>
        <v>0</v>
      </c>
      <c r="AQ142" s="2">
        <f>COUNTIFS(集計用!$G140,"*, "&amp;AQ$3&amp;", *")</f>
        <v>0</v>
      </c>
      <c r="AR142" s="2">
        <f>COUNTIFS(集計用!$G140,"*, "&amp;AR$3&amp;", *")</f>
        <v>0</v>
      </c>
      <c r="AS142" s="2">
        <f>COUNTIFS(集計用!$G140,"*, "&amp;AS$3&amp;", *")</f>
        <v>0</v>
      </c>
      <c r="AT142" s="2">
        <f>COUNTIFS(集計用!$G140,"*, "&amp;AT$3&amp;", *")</f>
        <v>0</v>
      </c>
      <c r="AU142" s="2">
        <f>COUNTIFS(集計用!$G140,"*, "&amp;AU$3&amp;", *")</f>
        <v>0</v>
      </c>
      <c r="AV142" s="2">
        <f>COUNTIFS(集計用!$G140,"*, "&amp;AV$3&amp;", *")</f>
        <v>0</v>
      </c>
      <c r="AW142" s="2">
        <f>COUNTIFS(集計用!$G140,"*, "&amp;AW$3&amp;", *")</f>
        <v>0</v>
      </c>
      <c r="AX142" s="2">
        <f>COUNTIFS(集計用!$G140,"*, "&amp;AX$3&amp;", *")</f>
        <v>0</v>
      </c>
      <c r="AY142" s="2">
        <f>COUNTIFS(集計用!$G140,"*, "&amp;AY$3&amp;", *")</f>
        <v>0</v>
      </c>
      <c r="AZ142" s="2">
        <f>COUNTIFS(集計用!$G140,"*, "&amp;AZ$3&amp;", *")</f>
        <v>0</v>
      </c>
      <c r="BA142" s="2">
        <f>COUNTIFS(集計用!$G140,"*, "&amp;BA$3&amp;", *")</f>
        <v>0</v>
      </c>
      <c r="BB142" s="2">
        <f>COUNTIFS(集計用!$G140,"*, "&amp;BB$3&amp;", *")</f>
        <v>0</v>
      </c>
      <c r="BC142" s="2">
        <f>COUNTIFS(集計用!$G140,"*, "&amp;BC$3&amp;", *")</f>
        <v>0</v>
      </c>
      <c r="BD142" s="2">
        <f>COUNTIFS(集計用!$G140,"*, "&amp;BD$3&amp;", *")</f>
        <v>0</v>
      </c>
      <c r="BE142" s="2">
        <f>COUNTIFS(集計用!$G140,"*, "&amp;BE$3&amp;", *")</f>
        <v>1</v>
      </c>
      <c r="BF142" s="2">
        <f>COUNTIFS(集計用!$G140,"*, "&amp;BF$3&amp;", *")</f>
        <v>1</v>
      </c>
      <c r="BG142" s="2">
        <f>COUNTIFS(集計用!$G140,"*, "&amp;BG$3&amp;", *")</f>
        <v>0</v>
      </c>
      <c r="BH142" s="2">
        <f>COUNTIFS(集計用!$G140,"*, "&amp;BH$3&amp;", *")</f>
        <v>0</v>
      </c>
      <c r="BI142" s="2">
        <f>COUNTIFS(集計用!$G140,"*, "&amp;BI$3&amp;", *")</f>
        <v>0</v>
      </c>
      <c r="BJ142" s="2">
        <f>LEN(集計用!H140)-LEN(SUBSTITUTE(集計用!H140,",",""))</f>
        <v>0</v>
      </c>
    </row>
    <row r="143" spans="1:62" ht="12.75">
      <c r="A143" s="8">
        <v>140</v>
      </c>
      <c r="C143" s="2">
        <f t="shared" si="3"/>
        <v>4</v>
      </c>
      <c r="D143" s="9"/>
      <c r="E143" s="2">
        <f>COUNTIFS(集計用!$G141,"*, "&amp;E$3&amp;", *")</f>
        <v>0</v>
      </c>
      <c r="F143" s="2">
        <f>COUNTIFS(集計用!$G141,"*, "&amp;F$3&amp;", *")</f>
        <v>1</v>
      </c>
      <c r="G143" s="2">
        <f>COUNTIFS(集計用!$G141,"*, "&amp;G$3&amp;", *")</f>
        <v>0</v>
      </c>
      <c r="H143" s="2">
        <f>COUNTIFS(集計用!$G141,"*, "&amp;H$3&amp;", *")</f>
        <v>0</v>
      </c>
      <c r="I143" s="2">
        <f>COUNTIFS(集計用!$G141,"*, "&amp;I$3&amp;", *")</f>
        <v>1</v>
      </c>
      <c r="J143" s="2">
        <f>COUNTIFS(集計用!$G141,"*, "&amp;J$3&amp;", *")</f>
        <v>0</v>
      </c>
      <c r="K143" s="2">
        <f>COUNTIFS(集計用!$G141,"*, "&amp;K$3&amp;", *")</f>
        <v>1</v>
      </c>
      <c r="L143" s="2">
        <f>COUNTIFS(集計用!$G141,"*, "&amp;L$3&amp;", *")</f>
        <v>0</v>
      </c>
      <c r="M143" s="2">
        <f>COUNTIFS(集計用!$G141,"*, "&amp;M$3&amp;", *")</f>
        <v>0</v>
      </c>
      <c r="N143" s="2">
        <f>COUNTIFS(集計用!$G141,"*, "&amp;N$3&amp;", *")</f>
        <v>0</v>
      </c>
      <c r="O143" s="2">
        <f>COUNTIFS(集計用!$G141,"*, "&amp;O$3&amp;", *")</f>
        <v>0</v>
      </c>
      <c r="P143" s="2">
        <f>COUNTIFS(集計用!$G141,"*, "&amp;P$3&amp;", *")</f>
        <v>1</v>
      </c>
      <c r="Q143" s="2">
        <f>COUNTIFS(集計用!$G141,"*, "&amp;Q$3&amp;", *")</f>
        <v>0</v>
      </c>
      <c r="R143" s="2">
        <f>COUNTIFS(集計用!$G141,"*, "&amp;R$3&amp;", *")</f>
        <v>0</v>
      </c>
      <c r="S143" s="2">
        <f>COUNTIFS(集計用!$G141,"*, "&amp;S$3&amp;", *")</f>
        <v>0</v>
      </c>
      <c r="T143" s="2">
        <f>COUNTIFS(集計用!$G141,"*, "&amp;T$3&amp;", *")</f>
        <v>0</v>
      </c>
      <c r="U143" s="2">
        <f>COUNTIFS(集計用!$G141,"*, "&amp;U$3&amp;", *")</f>
        <v>0</v>
      </c>
      <c r="V143" s="2">
        <f>COUNTIFS(集計用!$G141,"*, "&amp;V$3&amp;", *")</f>
        <v>0</v>
      </c>
      <c r="W143" s="2">
        <f>COUNTIFS(集計用!$G141,"*, "&amp;W$3&amp;", *")</f>
        <v>0</v>
      </c>
      <c r="X143" s="2">
        <f>COUNTIFS(集計用!$G141,"*, "&amp;X$3&amp;", *")</f>
        <v>0</v>
      </c>
      <c r="Y143" s="2">
        <f>COUNTIFS(集計用!$G141,"*, "&amp;Y$3&amp;", *")</f>
        <v>0</v>
      </c>
      <c r="Z143" s="2">
        <f>COUNTIFS(集計用!$G141,"*, "&amp;Z$3&amp;", *")</f>
        <v>0</v>
      </c>
      <c r="AA143" s="2">
        <f>COUNTIFS(集計用!$G141,"*, "&amp;AA$3&amp;", *")</f>
        <v>0</v>
      </c>
      <c r="AB143" s="2">
        <f>COUNTIFS(集計用!$G141,"*, "&amp;AB$3&amp;", *")</f>
        <v>0</v>
      </c>
      <c r="AC143" s="2">
        <f>COUNTIFS(集計用!$G141,"*, "&amp;AC$3&amp;", *")</f>
        <v>0</v>
      </c>
      <c r="AD143" s="2">
        <f>COUNTIFS(集計用!$G141,"*, "&amp;AD$3&amp;", *")</f>
        <v>0</v>
      </c>
      <c r="AE143" s="2">
        <f>COUNTIFS(集計用!$G141,"*, "&amp;AE$3&amp;", *")</f>
        <v>0</v>
      </c>
      <c r="AF143" s="2">
        <f>COUNTIFS(集計用!$G141,"*, "&amp;AF$3&amp;", *")</f>
        <v>0</v>
      </c>
      <c r="AG143" s="2">
        <f>COUNTIFS(集計用!$G141,"*, "&amp;AG$3&amp;", *")</f>
        <v>0</v>
      </c>
      <c r="AH143" s="2">
        <f>COUNTIFS(集計用!$G141,"*, "&amp;AH$3&amp;", *")</f>
        <v>0</v>
      </c>
      <c r="AI143" s="2">
        <f>COUNTIFS(集計用!$G141,"*, "&amp;AI$3&amp;", *")</f>
        <v>0</v>
      </c>
      <c r="AJ143" s="2">
        <f>COUNTIFS(集計用!$G141,"*, "&amp;AJ$3&amp;", *")</f>
        <v>0</v>
      </c>
      <c r="AK143" s="2">
        <f>COUNTIFS(集計用!$G141,"*, "&amp;AK$3&amp;", *")</f>
        <v>0</v>
      </c>
      <c r="AL143" s="2">
        <f>COUNTIFS(集計用!$G141,"*, "&amp;AL$3&amp;", *")</f>
        <v>0</v>
      </c>
      <c r="AM143" s="2">
        <f>COUNTIFS(集計用!$G141,"*, "&amp;AM$3&amp;", *")</f>
        <v>0</v>
      </c>
      <c r="AN143" s="2">
        <f>COUNTIFS(集計用!$G141,"*, "&amp;AN$3&amp;", *")</f>
        <v>0</v>
      </c>
      <c r="AO143" s="2">
        <f>COUNTIFS(集計用!$G141,"*, "&amp;AO$3&amp;", *")</f>
        <v>0</v>
      </c>
      <c r="AP143" s="2">
        <f>COUNTIFS(集計用!$G141,"*, "&amp;AP$3&amp;", *")</f>
        <v>0</v>
      </c>
      <c r="AQ143" s="2">
        <f>COUNTIFS(集計用!$G141,"*, "&amp;AQ$3&amp;", *")</f>
        <v>0</v>
      </c>
      <c r="AR143" s="2">
        <f>COUNTIFS(集計用!$G141,"*, "&amp;AR$3&amp;", *")</f>
        <v>0</v>
      </c>
      <c r="AS143" s="2">
        <f>COUNTIFS(集計用!$G141,"*, "&amp;AS$3&amp;", *")</f>
        <v>0</v>
      </c>
      <c r="AT143" s="2">
        <f>COUNTIFS(集計用!$G141,"*, "&amp;AT$3&amp;", *")</f>
        <v>0</v>
      </c>
      <c r="AU143" s="2">
        <f>COUNTIFS(集計用!$G141,"*, "&amp;AU$3&amp;", *")</f>
        <v>0</v>
      </c>
      <c r="AV143" s="2">
        <f>COUNTIFS(集計用!$G141,"*, "&amp;AV$3&amp;", *")</f>
        <v>0</v>
      </c>
      <c r="AW143" s="2">
        <f>COUNTIFS(集計用!$G141,"*, "&amp;AW$3&amp;", *")</f>
        <v>0</v>
      </c>
      <c r="AX143" s="2">
        <f>COUNTIFS(集計用!$G141,"*, "&amp;AX$3&amp;", *")</f>
        <v>0</v>
      </c>
      <c r="AY143" s="2">
        <f>COUNTIFS(集計用!$G141,"*, "&amp;AY$3&amp;", *")</f>
        <v>0</v>
      </c>
      <c r="AZ143" s="2">
        <f>COUNTIFS(集計用!$G141,"*, "&amp;AZ$3&amp;", *")</f>
        <v>0</v>
      </c>
      <c r="BA143" s="2">
        <f>COUNTIFS(集計用!$G141,"*, "&amp;BA$3&amp;", *")</f>
        <v>0</v>
      </c>
      <c r="BB143" s="2">
        <f>COUNTIFS(集計用!$G141,"*, "&amp;BB$3&amp;", *")</f>
        <v>0</v>
      </c>
      <c r="BC143" s="2">
        <f>COUNTIFS(集計用!$G141,"*, "&amp;BC$3&amp;", *")</f>
        <v>0</v>
      </c>
      <c r="BD143" s="2">
        <f>COUNTIFS(集計用!$G141,"*, "&amp;BD$3&amp;", *")</f>
        <v>0</v>
      </c>
      <c r="BE143" s="2">
        <f>COUNTIFS(集計用!$G141,"*, "&amp;BE$3&amp;", *")</f>
        <v>0</v>
      </c>
      <c r="BF143" s="2">
        <f>COUNTIFS(集計用!$G141,"*, "&amp;BF$3&amp;", *")</f>
        <v>0</v>
      </c>
      <c r="BG143" s="2">
        <f>COUNTIFS(集計用!$G141,"*, "&amp;BG$3&amp;", *")</f>
        <v>0</v>
      </c>
      <c r="BH143" s="2">
        <f>COUNTIFS(集計用!$G141,"*, "&amp;BH$3&amp;", *")</f>
        <v>0</v>
      </c>
      <c r="BI143" s="2">
        <f>COUNTIFS(集計用!$G141,"*, "&amp;BI$3&amp;", *")</f>
        <v>0</v>
      </c>
      <c r="BJ143" s="2">
        <f>LEN(集計用!H141)-LEN(SUBSTITUTE(集計用!H141,",",""))</f>
        <v>0</v>
      </c>
    </row>
    <row r="144" spans="1:62" ht="12.75">
      <c r="A144" s="8">
        <v>141</v>
      </c>
      <c r="C144" s="2">
        <f t="shared" si="3"/>
        <v>8</v>
      </c>
      <c r="D144" s="9"/>
      <c r="E144" s="2">
        <f>COUNTIFS(集計用!$G142,"*, "&amp;E$3&amp;", *")</f>
        <v>1</v>
      </c>
      <c r="F144" s="2">
        <f>COUNTIFS(集計用!$G142,"*, "&amp;F$3&amp;", *")</f>
        <v>0</v>
      </c>
      <c r="G144" s="2">
        <f>COUNTIFS(集計用!$G142,"*, "&amp;G$3&amp;", *")</f>
        <v>1</v>
      </c>
      <c r="H144" s="2">
        <f>COUNTIFS(集計用!$G142,"*, "&amp;H$3&amp;", *")</f>
        <v>0</v>
      </c>
      <c r="I144" s="2">
        <f>COUNTIFS(集計用!$G142,"*, "&amp;I$3&amp;", *")</f>
        <v>1</v>
      </c>
      <c r="J144" s="2">
        <f>COUNTIFS(集計用!$G142,"*, "&amp;J$3&amp;", *")</f>
        <v>0</v>
      </c>
      <c r="K144" s="2">
        <f>COUNTIFS(集計用!$G142,"*, "&amp;K$3&amp;", *")</f>
        <v>0</v>
      </c>
      <c r="L144" s="2">
        <f>COUNTIFS(集計用!$G142,"*, "&amp;L$3&amp;", *")</f>
        <v>0</v>
      </c>
      <c r="M144" s="2">
        <f>COUNTIFS(集計用!$G142,"*, "&amp;M$3&amp;", *")</f>
        <v>0</v>
      </c>
      <c r="N144" s="2">
        <f>COUNTIFS(集計用!$G142,"*, "&amp;N$3&amp;", *")</f>
        <v>1</v>
      </c>
      <c r="O144" s="2">
        <f>COUNTIFS(集計用!$G142,"*, "&amp;O$3&amp;", *")</f>
        <v>0</v>
      </c>
      <c r="P144" s="2">
        <f>COUNTIFS(集計用!$G142,"*, "&amp;P$3&amp;", *")</f>
        <v>0</v>
      </c>
      <c r="Q144" s="2">
        <f>COUNTIFS(集計用!$G142,"*, "&amp;Q$3&amp;", *")</f>
        <v>0</v>
      </c>
      <c r="R144" s="2">
        <f>COUNTIFS(集計用!$G142,"*, "&amp;R$3&amp;", *")</f>
        <v>0</v>
      </c>
      <c r="S144" s="2">
        <f>COUNTIFS(集計用!$G142,"*, "&amp;S$3&amp;", *")</f>
        <v>1</v>
      </c>
      <c r="T144" s="2">
        <f>COUNTIFS(集計用!$G142,"*, "&amp;T$3&amp;", *")</f>
        <v>0</v>
      </c>
      <c r="U144" s="2">
        <f>COUNTIFS(集計用!$G142,"*, "&amp;U$3&amp;", *")</f>
        <v>0</v>
      </c>
      <c r="V144" s="2">
        <f>COUNTIFS(集計用!$G142,"*, "&amp;V$3&amp;", *")</f>
        <v>0</v>
      </c>
      <c r="W144" s="2">
        <f>COUNTIFS(集計用!$G142,"*, "&amp;W$3&amp;", *")</f>
        <v>1</v>
      </c>
      <c r="X144" s="2">
        <f>COUNTIFS(集計用!$G142,"*, "&amp;X$3&amp;", *")</f>
        <v>1</v>
      </c>
      <c r="Y144" s="2">
        <f>COUNTIFS(集計用!$G142,"*, "&amp;Y$3&amp;", *")</f>
        <v>0</v>
      </c>
      <c r="Z144" s="2">
        <f>COUNTIFS(集計用!$G142,"*, "&amp;Z$3&amp;", *")</f>
        <v>0</v>
      </c>
      <c r="AA144" s="2">
        <f>COUNTIFS(集計用!$G142,"*, "&amp;AA$3&amp;", *")</f>
        <v>0</v>
      </c>
      <c r="AB144" s="2">
        <f>COUNTIFS(集計用!$G142,"*, "&amp;AB$3&amp;", *")</f>
        <v>1</v>
      </c>
      <c r="AC144" s="2">
        <f>COUNTIFS(集計用!$G142,"*, "&amp;AC$3&amp;", *")</f>
        <v>0</v>
      </c>
      <c r="AD144" s="2">
        <f>COUNTIFS(集計用!$G142,"*, "&amp;AD$3&amp;", *")</f>
        <v>0</v>
      </c>
      <c r="AE144" s="2">
        <f>COUNTIFS(集計用!$G142,"*, "&amp;AE$3&amp;", *")</f>
        <v>0</v>
      </c>
      <c r="AF144" s="2">
        <f>COUNTIFS(集計用!$G142,"*, "&amp;AF$3&amp;", *")</f>
        <v>0</v>
      </c>
      <c r="AG144" s="2">
        <f>COUNTIFS(集計用!$G142,"*, "&amp;AG$3&amp;", *")</f>
        <v>0</v>
      </c>
      <c r="AH144" s="2">
        <f>COUNTIFS(集計用!$G142,"*, "&amp;AH$3&amp;", *")</f>
        <v>0</v>
      </c>
      <c r="AI144" s="2">
        <f>COUNTIFS(集計用!$G142,"*, "&amp;AI$3&amp;", *")</f>
        <v>0</v>
      </c>
      <c r="AJ144" s="2">
        <f>COUNTIFS(集計用!$G142,"*, "&amp;AJ$3&amp;", *")</f>
        <v>0</v>
      </c>
      <c r="AK144" s="2">
        <f>COUNTIFS(集計用!$G142,"*, "&amp;AK$3&amp;", *")</f>
        <v>0</v>
      </c>
      <c r="AL144" s="2">
        <f>COUNTIFS(集計用!$G142,"*, "&amp;AL$3&amp;", *")</f>
        <v>0</v>
      </c>
      <c r="AM144" s="2">
        <f>COUNTIFS(集計用!$G142,"*, "&amp;AM$3&amp;", *")</f>
        <v>0</v>
      </c>
      <c r="AN144" s="2">
        <f>COUNTIFS(集計用!$G142,"*, "&amp;AN$3&amp;", *")</f>
        <v>0</v>
      </c>
      <c r="AO144" s="2">
        <f>COUNTIFS(集計用!$G142,"*, "&amp;AO$3&amp;", *")</f>
        <v>0</v>
      </c>
      <c r="AP144" s="2">
        <f>COUNTIFS(集計用!$G142,"*, "&amp;AP$3&amp;", *")</f>
        <v>0</v>
      </c>
      <c r="AQ144" s="2">
        <f>COUNTIFS(集計用!$G142,"*, "&amp;AQ$3&amp;", *")</f>
        <v>0</v>
      </c>
      <c r="AR144" s="2">
        <f>COUNTIFS(集計用!$G142,"*, "&amp;AR$3&amp;", *")</f>
        <v>0</v>
      </c>
      <c r="AS144" s="2">
        <f>COUNTIFS(集計用!$G142,"*, "&amp;AS$3&amp;", *")</f>
        <v>0</v>
      </c>
      <c r="AT144" s="2">
        <f>COUNTIFS(集計用!$G142,"*, "&amp;AT$3&amp;", *")</f>
        <v>0</v>
      </c>
      <c r="AU144" s="2">
        <f>COUNTIFS(集計用!$G142,"*, "&amp;AU$3&amp;", *")</f>
        <v>0</v>
      </c>
      <c r="AV144" s="2">
        <f>COUNTIFS(集計用!$G142,"*, "&amp;AV$3&amp;", *")</f>
        <v>0</v>
      </c>
      <c r="AW144" s="2">
        <f>COUNTIFS(集計用!$G142,"*, "&amp;AW$3&amp;", *")</f>
        <v>0</v>
      </c>
      <c r="AX144" s="2">
        <f>COUNTIFS(集計用!$G142,"*, "&amp;AX$3&amp;", *")</f>
        <v>0</v>
      </c>
      <c r="AY144" s="2">
        <f>COUNTIFS(集計用!$G142,"*, "&amp;AY$3&amp;", *")</f>
        <v>0</v>
      </c>
      <c r="AZ144" s="2">
        <f>COUNTIFS(集計用!$G142,"*, "&amp;AZ$3&amp;", *")</f>
        <v>0</v>
      </c>
      <c r="BA144" s="2">
        <f>COUNTIFS(集計用!$G142,"*, "&amp;BA$3&amp;", *")</f>
        <v>0</v>
      </c>
      <c r="BB144" s="2">
        <f>COUNTIFS(集計用!$G142,"*, "&amp;BB$3&amp;", *")</f>
        <v>0</v>
      </c>
      <c r="BC144" s="2">
        <f>COUNTIFS(集計用!$G142,"*, "&amp;BC$3&amp;", *")</f>
        <v>0</v>
      </c>
      <c r="BD144" s="2">
        <f>COUNTIFS(集計用!$G142,"*, "&amp;BD$3&amp;", *")</f>
        <v>0</v>
      </c>
      <c r="BE144" s="2">
        <f>COUNTIFS(集計用!$G142,"*, "&amp;BE$3&amp;", *")</f>
        <v>0</v>
      </c>
      <c r="BF144" s="2">
        <f>COUNTIFS(集計用!$G142,"*, "&amp;BF$3&amp;", *")</f>
        <v>0</v>
      </c>
      <c r="BG144" s="2">
        <f>COUNTIFS(集計用!$G142,"*, "&amp;BG$3&amp;", *")</f>
        <v>0</v>
      </c>
      <c r="BH144" s="2">
        <f>COUNTIFS(集計用!$G142,"*, "&amp;BH$3&amp;", *")</f>
        <v>0</v>
      </c>
      <c r="BI144" s="2">
        <f>COUNTIFS(集計用!$G142,"*, "&amp;BI$3&amp;", *")</f>
        <v>0</v>
      </c>
      <c r="BJ144" s="2">
        <f>LEN(集計用!H142)-LEN(SUBSTITUTE(集計用!H142,",",""))</f>
        <v>0</v>
      </c>
    </row>
    <row r="145" spans="1:62" ht="12.75">
      <c r="A145" s="8">
        <v>142</v>
      </c>
      <c r="C145" s="2">
        <f t="shared" si="3"/>
        <v>4</v>
      </c>
      <c r="D145" s="9"/>
      <c r="E145" s="2">
        <f>COUNTIFS(集計用!$G143,"*, "&amp;E$3&amp;", *")</f>
        <v>0</v>
      </c>
      <c r="F145" s="2">
        <f>COUNTIFS(集計用!$G143,"*, "&amp;F$3&amp;", *")</f>
        <v>1</v>
      </c>
      <c r="G145" s="2">
        <f>COUNTIFS(集計用!$G143,"*, "&amp;G$3&amp;", *")</f>
        <v>0</v>
      </c>
      <c r="H145" s="2">
        <f>COUNTIFS(集計用!$G143,"*, "&amp;H$3&amp;", *")</f>
        <v>0</v>
      </c>
      <c r="I145" s="2">
        <f>COUNTIFS(集計用!$G143,"*, "&amp;I$3&amp;", *")</f>
        <v>0</v>
      </c>
      <c r="J145" s="2">
        <f>COUNTIFS(集計用!$G143,"*, "&amp;J$3&amp;", *")</f>
        <v>0</v>
      </c>
      <c r="K145" s="2">
        <f>COUNTIFS(集計用!$G143,"*, "&amp;K$3&amp;", *")</f>
        <v>0</v>
      </c>
      <c r="L145" s="2">
        <f>COUNTIFS(集計用!$G143,"*, "&amp;L$3&amp;", *")</f>
        <v>0</v>
      </c>
      <c r="M145" s="2">
        <f>COUNTIFS(集計用!$G143,"*, "&amp;M$3&amp;", *")</f>
        <v>0</v>
      </c>
      <c r="N145" s="2">
        <f>COUNTIFS(集計用!$G143,"*, "&amp;N$3&amp;", *")</f>
        <v>0</v>
      </c>
      <c r="O145" s="2">
        <f>COUNTIFS(集計用!$G143,"*, "&amp;O$3&amp;", *")</f>
        <v>0</v>
      </c>
      <c r="P145" s="2">
        <f>COUNTIFS(集計用!$G143,"*, "&amp;P$3&amp;", *")</f>
        <v>0</v>
      </c>
      <c r="Q145" s="2">
        <f>COUNTIFS(集計用!$G143,"*, "&amp;Q$3&amp;", *")</f>
        <v>0</v>
      </c>
      <c r="R145" s="2">
        <f>COUNTIFS(集計用!$G143,"*, "&amp;R$3&amp;", *")</f>
        <v>0</v>
      </c>
      <c r="S145" s="2">
        <f>COUNTIFS(集計用!$G143,"*, "&amp;S$3&amp;", *")</f>
        <v>0</v>
      </c>
      <c r="T145" s="2">
        <f>COUNTIFS(集計用!$G143,"*, "&amp;T$3&amp;", *")</f>
        <v>0</v>
      </c>
      <c r="U145" s="2">
        <f>COUNTIFS(集計用!$G143,"*, "&amp;U$3&amp;", *")</f>
        <v>0</v>
      </c>
      <c r="V145" s="2">
        <f>COUNTIFS(集計用!$G143,"*, "&amp;V$3&amp;", *")</f>
        <v>0</v>
      </c>
      <c r="W145" s="2">
        <f>COUNTIFS(集計用!$G143,"*, "&amp;W$3&amp;", *")</f>
        <v>0</v>
      </c>
      <c r="X145" s="2">
        <f>COUNTIFS(集計用!$G143,"*, "&amp;X$3&amp;", *")</f>
        <v>0</v>
      </c>
      <c r="Y145" s="2">
        <f>COUNTIFS(集計用!$G143,"*, "&amp;Y$3&amp;", *")</f>
        <v>0</v>
      </c>
      <c r="Z145" s="2">
        <f>COUNTIFS(集計用!$G143,"*, "&amp;Z$3&amp;", *")</f>
        <v>1</v>
      </c>
      <c r="AA145" s="2">
        <f>COUNTIFS(集計用!$G143,"*, "&amp;AA$3&amp;", *")</f>
        <v>0</v>
      </c>
      <c r="AB145" s="2">
        <f>COUNTIFS(集計用!$G143,"*, "&amp;AB$3&amp;", *")</f>
        <v>0</v>
      </c>
      <c r="AC145" s="2">
        <f>COUNTIFS(集計用!$G143,"*, "&amp;AC$3&amp;", *")</f>
        <v>0</v>
      </c>
      <c r="AD145" s="2">
        <f>COUNTIFS(集計用!$G143,"*, "&amp;AD$3&amp;", *")</f>
        <v>0</v>
      </c>
      <c r="AE145" s="2">
        <f>COUNTIFS(集計用!$G143,"*, "&amp;AE$3&amp;", *")</f>
        <v>1</v>
      </c>
      <c r="AF145" s="2">
        <f>COUNTIFS(集計用!$G143,"*, "&amp;AF$3&amp;", *")</f>
        <v>0</v>
      </c>
      <c r="AG145" s="2">
        <f>COUNTIFS(集計用!$G143,"*, "&amp;AG$3&amp;", *")</f>
        <v>0</v>
      </c>
      <c r="AH145" s="2">
        <f>COUNTIFS(集計用!$G143,"*, "&amp;AH$3&amp;", *")</f>
        <v>0</v>
      </c>
      <c r="AI145" s="2">
        <f>COUNTIFS(集計用!$G143,"*, "&amp;AI$3&amp;", *")</f>
        <v>1</v>
      </c>
      <c r="AJ145" s="2">
        <f>COUNTIFS(集計用!$G143,"*, "&amp;AJ$3&amp;", *")</f>
        <v>0</v>
      </c>
      <c r="AK145" s="2">
        <f>COUNTIFS(集計用!$G143,"*, "&amp;AK$3&amp;", *")</f>
        <v>0</v>
      </c>
      <c r="AL145" s="2">
        <f>COUNTIFS(集計用!$G143,"*, "&amp;AL$3&amp;", *")</f>
        <v>0</v>
      </c>
      <c r="AM145" s="2">
        <f>COUNTIFS(集計用!$G143,"*, "&amp;AM$3&amp;", *")</f>
        <v>0</v>
      </c>
      <c r="AN145" s="2">
        <f>COUNTIFS(集計用!$G143,"*, "&amp;AN$3&amp;", *")</f>
        <v>0</v>
      </c>
      <c r="AO145" s="2">
        <f>COUNTIFS(集計用!$G143,"*, "&amp;AO$3&amp;", *")</f>
        <v>0</v>
      </c>
      <c r="AP145" s="2">
        <f>COUNTIFS(集計用!$G143,"*, "&amp;AP$3&amp;", *")</f>
        <v>0</v>
      </c>
      <c r="AQ145" s="2">
        <f>COUNTIFS(集計用!$G143,"*, "&amp;AQ$3&amp;", *")</f>
        <v>0</v>
      </c>
      <c r="AR145" s="2">
        <f>COUNTIFS(集計用!$G143,"*, "&amp;AR$3&amp;", *")</f>
        <v>0</v>
      </c>
      <c r="AS145" s="2">
        <f>COUNTIFS(集計用!$G143,"*, "&amp;AS$3&amp;", *")</f>
        <v>0</v>
      </c>
      <c r="AT145" s="2">
        <f>COUNTIFS(集計用!$G143,"*, "&amp;AT$3&amp;", *")</f>
        <v>0</v>
      </c>
      <c r="AU145" s="2">
        <f>COUNTIFS(集計用!$G143,"*, "&amp;AU$3&amp;", *")</f>
        <v>0</v>
      </c>
      <c r="AV145" s="2">
        <f>COUNTIFS(集計用!$G143,"*, "&amp;AV$3&amp;", *")</f>
        <v>0</v>
      </c>
      <c r="AW145" s="2">
        <f>COUNTIFS(集計用!$G143,"*, "&amp;AW$3&amp;", *")</f>
        <v>0</v>
      </c>
      <c r="AX145" s="2">
        <f>COUNTIFS(集計用!$G143,"*, "&amp;AX$3&amp;", *")</f>
        <v>0</v>
      </c>
      <c r="AY145" s="2">
        <f>COUNTIFS(集計用!$G143,"*, "&amp;AY$3&amp;", *")</f>
        <v>0</v>
      </c>
      <c r="AZ145" s="2">
        <f>COUNTIFS(集計用!$G143,"*, "&amp;AZ$3&amp;", *")</f>
        <v>0</v>
      </c>
      <c r="BA145" s="2">
        <f>COUNTIFS(集計用!$G143,"*, "&amp;BA$3&amp;", *")</f>
        <v>0</v>
      </c>
      <c r="BB145" s="2">
        <f>COUNTIFS(集計用!$G143,"*, "&amp;BB$3&amp;", *")</f>
        <v>0</v>
      </c>
      <c r="BC145" s="2">
        <f>COUNTIFS(集計用!$G143,"*, "&amp;BC$3&amp;", *")</f>
        <v>0</v>
      </c>
      <c r="BD145" s="2">
        <f>COUNTIFS(集計用!$G143,"*, "&amp;BD$3&amp;", *")</f>
        <v>0</v>
      </c>
      <c r="BE145" s="2">
        <f>COUNTIFS(集計用!$G143,"*, "&amp;BE$3&amp;", *")</f>
        <v>0</v>
      </c>
      <c r="BF145" s="2">
        <f>COUNTIFS(集計用!$G143,"*, "&amp;BF$3&amp;", *")</f>
        <v>0</v>
      </c>
      <c r="BG145" s="2">
        <f>COUNTIFS(集計用!$G143,"*, "&amp;BG$3&amp;", *")</f>
        <v>0</v>
      </c>
      <c r="BH145" s="2">
        <f>COUNTIFS(集計用!$G143,"*, "&amp;BH$3&amp;", *")</f>
        <v>0</v>
      </c>
      <c r="BI145" s="2">
        <f>COUNTIFS(集計用!$G143,"*, "&amp;BI$3&amp;", *")</f>
        <v>0</v>
      </c>
      <c r="BJ145" s="2">
        <f>LEN(集計用!H143)-LEN(SUBSTITUTE(集計用!H143,",",""))</f>
        <v>0</v>
      </c>
    </row>
    <row r="146" spans="1:62" ht="12.75">
      <c r="A146" s="8">
        <v>143</v>
      </c>
      <c r="C146" s="2">
        <f t="shared" si="3"/>
        <v>5</v>
      </c>
      <c r="D146" s="9"/>
      <c r="E146" s="2">
        <f>COUNTIFS(集計用!$G144,"*, "&amp;E$3&amp;", *")</f>
        <v>1</v>
      </c>
      <c r="F146" s="2">
        <f>COUNTIFS(集計用!$G144,"*, "&amp;F$3&amp;", *")</f>
        <v>0</v>
      </c>
      <c r="G146" s="2">
        <f>COUNTIFS(集計用!$G144,"*, "&amp;G$3&amp;", *")</f>
        <v>0</v>
      </c>
      <c r="H146" s="2">
        <f>COUNTIFS(集計用!$G144,"*, "&amp;H$3&amp;", *")</f>
        <v>1</v>
      </c>
      <c r="I146" s="2">
        <f>COUNTIFS(集計用!$G144,"*, "&amp;I$3&amp;", *")</f>
        <v>0</v>
      </c>
      <c r="J146" s="2">
        <f>COUNTIFS(集計用!$G144,"*, "&amp;J$3&amp;", *")</f>
        <v>1</v>
      </c>
      <c r="K146" s="2">
        <f>COUNTIFS(集計用!$G144,"*, "&amp;K$3&amp;", *")</f>
        <v>0</v>
      </c>
      <c r="L146" s="2">
        <f>COUNTIFS(集計用!$G144,"*, "&amp;L$3&amp;", *")</f>
        <v>1</v>
      </c>
      <c r="M146" s="2">
        <f>COUNTIFS(集計用!$G144,"*, "&amp;M$3&amp;", *")</f>
        <v>0</v>
      </c>
      <c r="N146" s="2">
        <f>COUNTIFS(集計用!$G144,"*, "&amp;N$3&amp;", *")</f>
        <v>0</v>
      </c>
      <c r="O146" s="2">
        <f>COUNTIFS(集計用!$G144,"*, "&amp;O$3&amp;", *")</f>
        <v>0</v>
      </c>
      <c r="P146" s="2">
        <f>COUNTIFS(集計用!$G144,"*, "&amp;P$3&amp;", *")</f>
        <v>1</v>
      </c>
      <c r="Q146" s="2">
        <f>COUNTIFS(集計用!$G144,"*, "&amp;Q$3&amp;", *")</f>
        <v>0</v>
      </c>
      <c r="R146" s="2">
        <f>COUNTIFS(集計用!$G144,"*, "&amp;R$3&amp;", *")</f>
        <v>0</v>
      </c>
      <c r="S146" s="2">
        <f>COUNTIFS(集計用!$G144,"*, "&amp;S$3&amp;", *")</f>
        <v>0</v>
      </c>
      <c r="T146" s="2">
        <f>COUNTIFS(集計用!$G144,"*, "&amp;T$3&amp;", *")</f>
        <v>0</v>
      </c>
      <c r="U146" s="2">
        <f>COUNTIFS(集計用!$G144,"*, "&amp;U$3&amp;", *")</f>
        <v>0</v>
      </c>
      <c r="V146" s="2">
        <f>COUNTIFS(集計用!$G144,"*, "&amp;V$3&amp;", *")</f>
        <v>0</v>
      </c>
      <c r="W146" s="2">
        <f>COUNTIFS(集計用!$G144,"*, "&amp;W$3&amp;", *")</f>
        <v>0</v>
      </c>
      <c r="X146" s="2">
        <f>COUNTIFS(集計用!$G144,"*, "&amp;X$3&amp;", *")</f>
        <v>0</v>
      </c>
      <c r="Y146" s="2">
        <f>COUNTIFS(集計用!$G144,"*, "&amp;Y$3&amp;", *")</f>
        <v>0</v>
      </c>
      <c r="Z146" s="2">
        <f>COUNTIFS(集計用!$G144,"*, "&amp;Z$3&amp;", *")</f>
        <v>0</v>
      </c>
      <c r="AA146" s="2">
        <f>COUNTIFS(集計用!$G144,"*, "&amp;AA$3&amp;", *")</f>
        <v>0</v>
      </c>
      <c r="AB146" s="2">
        <f>COUNTIFS(集計用!$G144,"*, "&amp;AB$3&amp;", *")</f>
        <v>0</v>
      </c>
      <c r="AC146" s="2">
        <f>COUNTIFS(集計用!$G144,"*, "&amp;AC$3&amp;", *")</f>
        <v>0</v>
      </c>
      <c r="AD146" s="2">
        <f>COUNTIFS(集計用!$G144,"*, "&amp;AD$3&amp;", *")</f>
        <v>0</v>
      </c>
      <c r="AE146" s="2">
        <f>COUNTIFS(集計用!$G144,"*, "&amp;AE$3&amp;", *")</f>
        <v>0</v>
      </c>
      <c r="AF146" s="2">
        <f>COUNTIFS(集計用!$G144,"*, "&amp;AF$3&amp;", *")</f>
        <v>0</v>
      </c>
      <c r="AG146" s="2">
        <f>COUNTIFS(集計用!$G144,"*, "&amp;AG$3&amp;", *")</f>
        <v>0</v>
      </c>
      <c r="AH146" s="2">
        <f>COUNTIFS(集計用!$G144,"*, "&amp;AH$3&amp;", *")</f>
        <v>0</v>
      </c>
      <c r="AI146" s="2">
        <f>COUNTIFS(集計用!$G144,"*, "&amp;AI$3&amp;", *")</f>
        <v>0</v>
      </c>
      <c r="AJ146" s="2">
        <f>COUNTIFS(集計用!$G144,"*, "&amp;AJ$3&amp;", *")</f>
        <v>0</v>
      </c>
      <c r="AK146" s="2">
        <f>COUNTIFS(集計用!$G144,"*, "&amp;AK$3&amp;", *")</f>
        <v>0</v>
      </c>
      <c r="AL146" s="2">
        <f>COUNTIFS(集計用!$G144,"*, "&amp;AL$3&amp;", *")</f>
        <v>0</v>
      </c>
      <c r="AM146" s="2">
        <f>COUNTIFS(集計用!$G144,"*, "&amp;AM$3&amp;", *")</f>
        <v>0</v>
      </c>
      <c r="AN146" s="2">
        <f>COUNTIFS(集計用!$G144,"*, "&amp;AN$3&amp;", *")</f>
        <v>0</v>
      </c>
      <c r="AO146" s="2">
        <f>COUNTIFS(集計用!$G144,"*, "&amp;AO$3&amp;", *")</f>
        <v>0</v>
      </c>
      <c r="AP146" s="2">
        <f>COUNTIFS(集計用!$G144,"*, "&amp;AP$3&amp;", *")</f>
        <v>0</v>
      </c>
      <c r="AQ146" s="2">
        <f>COUNTIFS(集計用!$G144,"*, "&amp;AQ$3&amp;", *")</f>
        <v>0</v>
      </c>
      <c r="AR146" s="2">
        <f>COUNTIFS(集計用!$G144,"*, "&amp;AR$3&amp;", *")</f>
        <v>0</v>
      </c>
      <c r="AS146" s="2">
        <f>COUNTIFS(集計用!$G144,"*, "&amp;AS$3&amp;", *")</f>
        <v>0</v>
      </c>
      <c r="AT146" s="2">
        <f>COUNTIFS(集計用!$G144,"*, "&amp;AT$3&amp;", *")</f>
        <v>0</v>
      </c>
      <c r="AU146" s="2">
        <f>COUNTIFS(集計用!$G144,"*, "&amp;AU$3&amp;", *")</f>
        <v>0</v>
      </c>
      <c r="AV146" s="2">
        <f>COUNTIFS(集計用!$G144,"*, "&amp;AV$3&amp;", *")</f>
        <v>0</v>
      </c>
      <c r="AW146" s="2">
        <f>COUNTIFS(集計用!$G144,"*, "&amp;AW$3&amp;", *")</f>
        <v>0</v>
      </c>
      <c r="AX146" s="2">
        <f>COUNTIFS(集計用!$G144,"*, "&amp;AX$3&amp;", *")</f>
        <v>0</v>
      </c>
      <c r="AY146" s="2">
        <f>COUNTIFS(集計用!$G144,"*, "&amp;AY$3&amp;", *")</f>
        <v>0</v>
      </c>
      <c r="AZ146" s="2">
        <f>COUNTIFS(集計用!$G144,"*, "&amp;AZ$3&amp;", *")</f>
        <v>0</v>
      </c>
      <c r="BA146" s="2">
        <f>COUNTIFS(集計用!$G144,"*, "&amp;BA$3&amp;", *")</f>
        <v>0</v>
      </c>
      <c r="BB146" s="2">
        <f>COUNTIFS(集計用!$G144,"*, "&amp;BB$3&amp;", *")</f>
        <v>0</v>
      </c>
      <c r="BC146" s="2">
        <f>COUNTIFS(集計用!$G144,"*, "&amp;BC$3&amp;", *")</f>
        <v>0</v>
      </c>
      <c r="BD146" s="2">
        <f>COUNTIFS(集計用!$G144,"*, "&amp;BD$3&amp;", *")</f>
        <v>0</v>
      </c>
      <c r="BE146" s="2">
        <f>COUNTIFS(集計用!$G144,"*, "&amp;BE$3&amp;", *")</f>
        <v>0</v>
      </c>
      <c r="BF146" s="2">
        <f>COUNTIFS(集計用!$G144,"*, "&amp;BF$3&amp;", *")</f>
        <v>0</v>
      </c>
      <c r="BG146" s="2">
        <f>COUNTIFS(集計用!$G144,"*, "&amp;BG$3&amp;", *")</f>
        <v>0</v>
      </c>
      <c r="BH146" s="2">
        <f>COUNTIFS(集計用!$G144,"*, "&amp;BH$3&amp;", *")</f>
        <v>0</v>
      </c>
      <c r="BI146" s="2">
        <f>COUNTIFS(集計用!$G144,"*, "&amp;BI$3&amp;", *")</f>
        <v>0</v>
      </c>
      <c r="BJ146" s="2">
        <f>LEN(集計用!H144)-LEN(SUBSTITUTE(集計用!H144,",",""))</f>
        <v>0</v>
      </c>
    </row>
    <row r="147" spans="1:62" ht="12.75">
      <c r="A147" s="8">
        <v>144</v>
      </c>
      <c r="C147" s="2">
        <f t="shared" si="3"/>
        <v>8</v>
      </c>
      <c r="D147" s="9"/>
      <c r="E147" s="2">
        <f>COUNTIFS(集計用!$G145,"*, "&amp;E$3&amp;", *")</f>
        <v>1</v>
      </c>
      <c r="F147" s="2">
        <f>COUNTIFS(集計用!$G145,"*, "&amp;F$3&amp;", *")</f>
        <v>0</v>
      </c>
      <c r="G147" s="2">
        <f>COUNTIFS(集計用!$G145,"*, "&amp;G$3&amp;", *")</f>
        <v>1</v>
      </c>
      <c r="H147" s="2">
        <f>COUNTIFS(集計用!$G145,"*, "&amp;H$3&amp;", *")</f>
        <v>0</v>
      </c>
      <c r="I147" s="2">
        <f>COUNTIFS(集計用!$G145,"*, "&amp;I$3&amp;", *")</f>
        <v>1</v>
      </c>
      <c r="J147" s="2">
        <f>COUNTIFS(集計用!$G145,"*, "&amp;J$3&amp;", *")</f>
        <v>0</v>
      </c>
      <c r="K147" s="2">
        <f>COUNTIFS(集計用!$G145,"*, "&amp;K$3&amp;", *")</f>
        <v>0</v>
      </c>
      <c r="L147" s="2">
        <f>COUNTIFS(集計用!$G145,"*, "&amp;L$3&amp;", *")</f>
        <v>0</v>
      </c>
      <c r="M147" s="2">
        <f>COUNTIFS(集計用!$G145,"*, "&amp;M$3&amp;", *")</f>
        <v>0</v>
      </c>
      <c r="N147" s="2">
        <f>COUNTIFS(集計用!$G145,"*, "&amp;N$3&amp;", *")</f>
        <v>1</v>
      </c>
      <c r="O147" s="2">
        <f>COUNTIFS(集計用!$G145,"*, "&amp;O$3&amp;", *")</f>
        <v>0</v>
      </c>
      <c r="P147" s="2">
        <f>COUNTIFS(集計用!$G145,"*, "&amp;P$3&amp;", *")</f>
        <v>0</v>
      </c>
      <c r="Q147" s="2">
        <f>COUNTIFS(集計用!$G145,"*, "&amp;Q$3&amp;", *")</f>
        <v>0</v>
      </c>
      <c r="R147" s="2">
        <f>COUNTIFS(集計用!$G145,"*, "&amp;R$3&amp;", *")</f>
        <v>0</v>
      </c>
      <c r="S147" s="2">
        <f>COUNTIFS(集計用!$G145,"*, "&amp;S$3&amp;", *")</f>
        <v>0</v>
      </c>
      <c r="T147" s="2">
        <f>COUNTIFS(集計用!$G145,"*, "&amp;T$3&amp;", *")</f>
        <v>1</v>
      </c>
      <c r="U147" s="2">
        <f>COUNTIFS(集計用!$G145,"*, "&amp;U$3&amp;", *")</f>
        <v>1</v>
      </c>
      <c r="V147" s="2">
        <f>COUNTIFS(集計用!$G145,"*, "&amp;V$3&amp;", *")</f>
        <v>1</v>
      </c>
      <c r="W147" s="2">
        <f>COUNTIFS(集計用!$G145,"*, "&amp;W$3&amp;", *")</f>
        <v>0</v>
      </c>
      <c r="X147" s="2">
        <f>COUNTIFS(集計用!$G145,"*, "&amp;X$3&amp;", *")</f>
        <v>0</v>
      </c>
      <c r="Y147" s="2">
        <f>COUNTIFS(集計用!$G145,"*, "&amp;Y$3&amp;", *")</f>
        <v>1</v>
      </c>
      <c r="Z147" s="2">
        <f>COUNTIFS(集計用!$G145,"*, "&amp;Z$3&amp;", *")</f>
        <v>0</v>
      </c>
      <c r="AA147" s="2">
        <f>COUNTIFS(集計用!$G145,"*, "&amp;AA$3&amp;", *")</f>
        <v>0</v>
      </c>
      <c r="AB147" s="2">
        <f>COUNTIFS(集計用!$G145,"*, "&amp;AB$3&amp;", *")</f>
        <v>0</v>
      </c>
      <c r="AC147" s="2">
        <f>COUNTIFS(集計用!$G145,"*, "&amp;AC$3&amp;", *")</f>
        <v>0</v>
      </c>
      <c r="AD147" s="2">
        <f>COUNTIFS(集計用!$G145,"*, "&amp;AD$3&amp;", *")</f>
        <v>0</v>
      </c>
      <c r="AE147" s="2">
        <f>COUNTIFS(集計用!$G145,"*, "&amp;AE$3&amp;", *")</f>
        <v>0</v>
      </c>
      <c r="AF147" s="2">
        <f>COUNTIFS(集計用!$G145,"*, "&amp;AF$3&amp;", *")</f>
        <v>0</v>
      </c>
      <c r="AG147" s="2">
        <f>COUNTIFS(集計用!$G145,"*, "&amp;AG$3&amp;", *")</f>
        <v>0</v>
      </c>
      <c r="AH147" s="2">
        <f>COUNTIFS(集計用!$G145,"*, "&amp;AH$3&amp;", *")</f>
        <v>0</v>
      </c>
      <c r="AI147" s="2">
        <f>COUNTIFS(集計用!$G145,"*, "&amp;AI$3&amp;", *")</f>
        <v>0</v>
      </c>
      <c r="AJ147" s="2">
        <f>COUNTIFS(集計用!$G145,"*, "&amp;AJ$3&amp;", *")</f>
        <v>0</v>
      </c>
      <c r="AK147" s="2">
        <f>COUNTIFS(集計用!$G145,"*, "&amp;AK$3&amp;", *")</f>
        <v>0</v>
      </c>
      <c r="AL147" s="2">
        <f>COUNTIFS(集計用!$G145,"*, "&amp;AL$3&amp;", *")</f>
        <v>0</v>
      </c>
      <c r="AM147" s="2">
        <f>COUNTIFS(集計用!$G145,"*, "&amp;AM$3&amp;", *")</f>
        <v>0</v>
      </c>
      <c r="AN147" s="2">
        <f>COUNTIFS(集計用!$G145,"*, "&amp;AN$3&amp;", *")</f>
        <v>0</v>
      </c>
      <c r="AO147" s="2">
        <f>COUNTIFS(集計用!$G145,"*, "&amp;AO$3&amp;", *")</f>
        <v>0</v>
      </c>
      <c r="AP147" s="2">
        <f>COUNTIFS(集計用!$G145,"*, "&amp;AP$3&amp;", *")</f>
        <v>0</v>
      </c>
      <c r="AQ147" s="2">
        <f>COUNTIFS(集計用!$G145,"*, "&amp;AQ$3&amp;", *")</f>
        <v>0</v>
      </c>
      <c r="AR147" s="2">
        <f>COUNTIFS(集計用!$G145,"*, "&amp;AR$3&amp;", *")</f>
        <v>0</v>
      </c>
      <c r="AS147" s="2">
        <f>COUNTIFS(集計用!$G145,"*, "&amp;AS$3&amp;", *")</f>
        <v>0</v>
      </c>
      <c r="AT147" s="2">
        <f>COUNTIFS(集計用!$G145,"*, "&amp;AT$3&amp;", *")</f>
        <v>0</v>
      </c>
      <c r="AU147" s="2">
        <f>COUNTIFS(集計用!$G145,"*, "&amp;AU$3&amp;", *")</f>
        <v>0</v>
      </c>
      <c r="AV147" s="2">
        <f>COUNTIFS(集計用!$G145,"*, "&amp;AV$3&amp;", *")</f>
        <v>0</v>
      </c>
      <c r="AW147" s="2">
        <f>COUNTIFS(集計用!$G145,"*, "&amp;AW$3&amp;", *")</f>
        <v>0</v>
      </c>
      <c r="AX147" s="2">
        <f>COUNTIFS(集計用!$G145,"*, "&amp;AX$3&amp;", *")</f>
        <v>0</v>
      </c>
      <c r="AY147" s="2">
        <f>COUNTIFS(集計用!$G145,"*, "&amp;AY$3&amp;", *")</f>
        <v>0</v>
      </c>
      <c r="AZ147" s="2">
        <f>COUNTIFS(集計用!$G145,"*, "&amp;AZ$3&amp;", *")</f>
        <v>0</v>
      </c>
      <c r="BA147" s="2">
        <f>COUNTIFS(集計用!$G145,"*, "&amp;BA$3&amp;", *")</f>
        <v>0</v>
      </c>
      <c r="BB147" s="2">
        <f>COUNTIFS(集計用!$G145,"*, "&amp;BB$3&amp;", *")</f>
        <v>0</v>
      </c>
      <c r="BC147" s="2">
        <f>COUNTIFS(集計用!$G145,"*, "&amp;BC$3&amp;", *")</f>
        <v>0</v>
      </c>
      <c r="BD147" s="2">
        <f>COUNTIFS(集計用!$G145,"*, "&amp;BD$3&amp;", *")</f>
        <v>0</v>
      </c>
      <c r="BE147" s="2">
        <f>COUNTIFS(集計用!$G145,"*, "&amp;BE$3&amp;", *")</f>
        <v>0</v>
      </c>
      <c r="BF147" s="2">
        <f>COUNTIFS(集計用!$G145,"*, "&amp;BF$3&amp;", *")</f>
        <v>0</v>
      </c>
      <c r="BG147" s="2">
        <f>COUNTIFS(集計用!$G145,"*, "&amp;BG$3&amp;", *")</f>
        <v>0</v>
      </c>
      <c r="BH147" s="2">
        <f>COUNTIFS(集計用!$G145,"*, "&amp;BH$3&amp;", *")</f>
        <v>0</v>
      </c>
      <c r="BI147" s="2">
        <f>COUNTIFS(集計用!$G145,"*, "&amp;BI$3&amp;", *")</f>
        <v>0</v>
      </c>
      <c r="BJ147" s="2">
        <f>LEN(集計用!H145)-LEN(SUBSTITUTE(集計用!H145,",",""))</f>
        <v>0</v>
      </c>
    </row>
    <row r="148" spans="1:62" ht="12.75">
      <c r="A148" s="8">
        <v>145</v>
      </c>
      <c r="C148" s="2">
        <f t="shared" si="3"/>
        <v>5</v>
      </c>
      <c r="D148" s="9"/>
      <c r="E148" s="2">
        <f>COUNTIFS(集計用!$G146,"*, "&amp;E$3&amp;", *")</f>
        <v>1</v>
      </c>
      <c r="F148" s="2">
        <f>COUNTIFS(集計用!$G146,"*, "&amp;F$3&amp;", *")</f>
        <v>1</v>
      </c>
      <c r="G148" s="2">
        <f>COUNTIFS(集計用!$G146,"*, "&amp;G$3&amp;", *")</f>
        <v>0</v>
      </c>
      <c r="H148" s="2">
        <f>COUNTIFS(集計用!$G146,"*, "&amp;H$3&amp;", *")</f>
        <v>0</v>
      </c>
      <c r="I148" s="2">
        <f>COUNTIFS(集計用!$G146,"*, "&amp;I$3&amp;", *")</f>
        <v>0</v>
      </c>
      <c r="J148" s="2">
        <f>COUNTIFS(集計用!$G146,"*, "&amp;J$3&amp;", *")</f>
        <v>0</v>
      </c>
      <c r="K148" s="2">
        <f>COUNTIFS(集計用!$G146,"*, "&amp;K$3&amp;", *")</f>
        <v>0</v>
      </c>
      <c r="L148" s="2">
        <f>COUNTIFS(集計用!$G146,"*, "&amp;L$3&amp;", *")</f>
        <v>0</v>
      </c>
      <c r="M148" s="2">
        <f>COUNTIFS(集計用!$G146,"*, "&amp;M$3&amp;", *")</f>
        <v>0</v>
      </c>
      <c r="N148" s="2">
        <f>COUNTIFS(集計用!$G146,"*, "&amp;N$3&amp;", *")</f>
        <v>0</v>
      </c>
      <c r="O148" s="2">
        <f>COUNTIFS(集計用!$G146,"*, "&amp;O$3&amp;", *")</f>
        <v>1</v>
      </c>
      <c r="P148" s="2">
        <f>COUNTIFS(集計用!$G146,"*, "&amp;P$3&amp;", *")</f>
        <v>0</v>
      </c>
      <c r="Q148" s="2">
        <f>COUNTIFS(集計用!$G146,"*, "&amp;Q$3&amp;", *")</f>
        <v>0</v>
      </c>
      <c r="R148" s="2">
        <f>COUNTIFS(集計用!$G146,"*, "&amp;R$3&amp;", *")</f>
        <v>0</v>
      </c>
      <c r="S148" s="2">
        <f>COUNTIFS(集計用!$G146,"*, "&amp;S$3&amp;", *")</f>
        <v>0</v>
      </c>
      <c r="T148" s="2">
        <f>COUNTIFS(集計用!$G146,"*, "&amp;T$3&amp;", *")</f>
        <v>1</v>
      </c>
      <c r="U148" s="2">
        <f>COUNTIFS(集計用!$G146,"*, "&amp;U$3&amp;", *")</f>
        <v>1</v>
      </c>
      <c r="V148" s="2">
        <f>COUNTIFS(集計用!$G146,"*, "&amp;V$3&amp;", *")</f>
        <v>0</v>
      </c>
      <c r="W148" s="2">
        <f>COUNTIFS(集計用!$G146,"*, "&amp;W$3&amp;", *")</f>
        <v>0</v>
      </c>
      <c r="X148" s="2">
        <f>COUNTIFS(集計用!$G146,"*, "&amp;X$3&amp;", *")</f>
        <v>0</v>
      </c>
      <c r="Y148" s="2">
        <f>COUNTIFS(集計用!$G146,"*, "&amp;Y$3&amp;", *")</f>
        <v>0</v>
      </c>
      <c r="Z148" s="2">
        <f>COUNTIFS(集計用!$G146,"*, "&amp;Z$3&amp;", *")</f>
        <v>0</v>
      </c>
      <c r="AA148" s="2">
        <f>COUNTIFS(集計用!$G146,"*, "&amp;AA$3&amp;", *")</f>
        <v>0</v>
      </c>
      <c r="AB148" s="2">
        <f>COUNTIFS(集計用!$G146,"*, "&amp;AB$3&amp;", *")</f>
        <v>0</v>
      </c>
      <c r="AC148" s="2">
        <f>COUNTIFS(集計用!$G146,"*, "&amp;AC$3&amp;", *")</f>
        <v>0</v>
      </c>
      <c r="AD148" s="2">
        <f>COUNTIFS(集計用!$G146,"*, "&amp;AD$3&amp;", *")</f>
        <v>0</v>
      </c>
      <c r="AE148" s="2">
        <f>COUNTIFS(集計用!$G146,"*, "&amp;AE$3&amp;", *")</f>
        <v>0</v>
      </c>
      <c r="AF148" s="2">
        <f>COUNTIFS(集計用!$G146,"*, "&amp;AF$3&amp;", *")</f>
        <v>0</v>
      </c>
      <c r="AG148" s="2">
        <f>COUNTIFS(集計用!$G146,"*, "&amp;AG$3&amp;", *")</f>
        <v>0</v>
      </c>
      <c r="AH148" s="2">
        <f>COUNTIFS(集計用!$G146,"*, "&amp;AH$3&amp;", *")</f>
        <v>0</v>
      </c>
      <c r="AI148" s="2">
        <f>COUNTIFS(集計用!$G146,"*, "&amp;AI$3&amp;", *")</f>
        <v>0</v>
      </c>
      <c r="AJ148" s="2">
        <f>COUNTIFS(集計用!$G146,"*, "&amp;AJ$3&amp;", *")</f>
        <v>0</v>
      </c>
      <c r="AK148" s="2">
        <f>COUNTIFS(集計用!$G146,"*, "&amp;AK$3&amp;", *")</f>
        <v>0</v>
      </c>
      <c r="AL148" s="2">
        <f>COUNTIFS(集計用!$G146,"*, "&amp;AL$3&amp;", *")</f>
        <v>0</v>
      </c>
      <c r="AM148" s="2">
        <f>COUNTIFS(集計用!$G146,"*, "&amp;AM$3&amp;", *")</f>
        <v>0</v>
      </c>
      <c r="AN148" s="2">
        <f>COUNTIFS(集計用!$G146,"*, "&amp;AN$3&amp;", *")</f>
        <v>0</v>
      </c>
      <c r="AO148" s="2">
        <f>COUNTIFS(集計用!$G146,"*, "&amp;AO$3&amp;", *")</f>
        <v>0</v>
      </c>
      <c r="AP148" s="2">
        <f>COUNTIFS(集計用!$G146,"*, "&amp;AP$3&amp;", *")</f>
        <v>0</v>
      </c>
      <c r="AQ148" s="2">
        <f>COUNTIFS(集計用!$G146,"*, "&amp;AQ$3&amp;", *")</f>
        <v>0</v>
      </c>
      <c r="AR148" s="2">
        <f>COUNTIFS(集計用!$G146,"*, "&amp;AR$3&amp;", *")</f>
        <v>0</v>
      </c>
      <c r="AS148" s="2">
        <f>COUNTIFS(集計用!$G146,"*, "&amp;AS$3&amp;", *")</f>
        <v>0</v>
      </c>
      <c r="AT148" s="2">
        <f>COUNTIFS(集計用!$G146,"*, "&amp;AT$3&amp;", *")</f>
        <v>0</v>
      </c>
      <c r="AU148" s="2">
        <f>COUNTIFS(集計用!$G146,"*, "&amp;AU$3&amp;", *")</f>
        <v>0</v>
      </c>
      <c r="AV148" s="2">
        <f>COUNTIFS(集計用!$G146,"*, "&amp;AV$3&amp;", *")</f>
        <v>0</v>
      </c>
      <c r="AW148" s="2">
        <f>COUNTIFS(集計用!$G146,"*, "&amp;AW$3&amp;", *")</f>
        <v>0</v>
      </c>
      <c r="AX148" s="2">
        <f>COUNTIFS(集計用!$G146,"*, "&amp;AX$3&amp;", *")</f>
        <v>0</v>
      </c>
      <c r="AY148" s="2">
        <f>COUNTIFS(集計用!$G146,"*, "&amp;AY$3&amp;", *")</f>
        <v>0</v>
      </c>
      <c r="AZ148" s="2">
        <f>COUNTIFS(集計用!$G146,"*, "&amp;AZ$3&amp;", *")</f>
        <v>0</v>
      </c>
      <c r="BA148" s="2">
        <f>COUNTIFS(集計用!$G146,"*, "&amp;BA$3&amp;", *")</f>
        <v>0</v>
      </c>
      <c r="BB148" s="2">
        <f>COUNTIFS(集計用!$G146,"*, "&amp;BB$3&amp;", *")</f>
        <v>0</v>
      </c>
      <c r="BC148" s="2">
        <f>COUNTIFS(集計用!$G146,"*, "&amp;BC$3&amp;", *")</f>
        <v>0</v>
      </c>
      <c r="BD148" s="2">
        <f>COUNTIFS(集計用!$G146,"*, "&amp;BD$3&amp;", *")</f>
        <v>0</v>
      </c>
      <c r="BE148" s="2">
        <f>COUNTIFS(集計用!$G146,"*, "&amp;BE$3&amp;", *")</f>
        <v>0</v>
      </c>
      <c r="BF148" s="2">
        <f>COUNTIFS(集計用!$G146,"*, "&amp;BF$3&amp;", *")</f>
        <v>0</v>
      </c>
      <c r="BG148" s="2">
        <f>COUNTIFS(集計用!$G146,"*, "&amp;BG$3&amp;", *")</f>
        <v>0</v>
      </c>
      <c r="BH148" s="2">
        <f>COUNTIFS(集計用!$G146,"*, "&amp;BH$3&amp;", *")</f>
        <v>0</v>
      </c>
      <c r="BI148" s="2">
        <f>COUNTIFS(集計用!$G146,"*, "&amp;BI$3&amp;", *")</f>
        <v>0</v>
      </c>
      <c r="BJ148" s="2">
        <f>LEN(集計用!H146)-LEN(SUBSTITUTE(集計用!H146,",",""))</f>
        <v>0</v>
      </c>
    </row>
    <row r="149" spans="1:62" ht="12.75">
      <c r="A149" s="8">
        <v>146</v>
      </c>
      <c r="C149" s="2">
        <f t="shared" si="3"/>
        <v>1</v>
      </c>
      <c r="D149" s="9"/>
      <c r="E149" s="2">
        <f>COUNTIFS(集計用!$G147,"*, "&amp;E$3&amp;", *")</f>
        <v>1</v>
      </c>
      <c r="F149" s="2">
        <f>COUNTIFS(集計用!$G147,"*, "&amp;F$3&amp;", *")</f>
        <v>0</v>
      </c>
      <c r="G149" s="2">
        <f>COUNTIFS(集計用!$G147,"*, "&amp;G$3&amp;", *")</f>
        <v>0</v>
      </c>
      <c r="H149" s="2">
        <f>COUNTIFS(集計用!$G147,"*, "&amp;H$3&amp;", *")</f>
        <v>0</v>
      </c>
      <c r="I149" s="2">
        <f>COUNTIFS(集計用!$G147,"*, "&amp;I$3&amp;", *")</f>
        <v>0</v>
      </c>
      <c r="J149" s="2">
        <f>COUNTIFS(集計用!$G147,"*, "&amp;J$3&amp;", *")</f>
        <v>0</v>
      </c>
      <c r="K149" s="2">
        <f>COUNTIFS(集計用!$G147,"*, "&amp;K$3&amp;", *")</f>
        <v>0</v>
      </c>
      <c r="L149" s="2">
        <f>COUNTIFS(集計用!$G147,"*, "&amp;L$3&amp;", *")</f>
        <v>0</v>
      </c>
      <c r="M149" s="2">
        <f>COUNTIFS(集計用!$G147,"*, "&amp;M$3&amp;", *")</f>
        <v>0</v>
      </c>
      <c r="N149" s="2">
        <f>COUNTIFS(集計用!$G147,"*, "&amp;N$3&amp;", *")</f>
        <v>0</v>
      </c>
      <c r="O149" s="2">
        <f>COUNTIFS(集計用!$G147,"*, "&amp;O$3&amp;", *")</f>
        <v>0</v>
      </c>
      <c r="P149" s="2">
        <f>COUNTIFS(集計用!$G147,"*, "&amp;P$3&amp;", *")</f>
        <v>0</v>
      </c>
      <c r="Q149" s="2">
        <f>COUNTIFS(集計用!$G147,"*, "&amp;Q$3&amp;", *")</f>
        <v>0</v>
      </c>
      <c r="R149" s="2">
        <f>COUNTIFS(集計用!$G147,"*, "&amp;R$3&amp;", *")</f>
        <v>0</v>
      </c>
      <c r="S149" s="2">
        <f>COUNTIFS(集計用!$G147,"*, "&amp;S$3&amp;", *")</f>
        <v>0</v>
      </c>
      <c r="T149" s="2">
        <f>COUNTIFS(集計用!$G147,"*, "&amp;T$3&amp;", *")</f>
        <v>0</v>
      </c>
      <c r="U149" s="2">
        <f>COUNTIFS(集計用!$G147,"*, "&amp;U$3&amp;", *")</f>
        <v>0</v>
      </c>
      <c r="V149" s="2">
        <f>COUNTIFS(集計用!$G147,"*, "&amp;V$3&amp;", *")</f>
        <v>0</v>
      </c>
      <c r="W149" s="2">
        <f>COUNTIFS(集計用!$G147,"*, "&amp;W$3&amp;", *")</f>
        <v>0</v>
      </c>
      <c r="X149" s="2">
        <f>COUNTIFS(集計用!$G147,"*, "&amp;X$3&amp;", *")</f>
        <v>0</v>
      </c>
      <c r="Y149" s="2">
        <f>COUNTIFS(集計用!$G147,"*, "&amp;Y$3&amp;", *")</f>
        <v>0</v>
      </c>
      <c r="Z149" s="2">
        <f>COUNTIFS(集計用!$G147,"*, "&amp;Z$3&amp;", *")</f>
        <v>0</v>
      </c>
      <c r="AA149" s="2">
        <f>COUNTIFS(集計用!$G147,"*, "&amp;AA$3&amp;", *")</f>
        <v>0</v>
      </c>
      <c r="AB149" s="2">
        <f>COUNTIFS(集計用!$G147,"*, "&amp;AB$3&amp;", *")</f>
        <v>0</v>
      </c>
      <c r="AC149" s="2">
        <f>COUNTIFS(集計用!$G147,"*, "&amp;AC$3&amp;", *")</f>
        <v>0</v>
      </c>
      <c r="AD149" s="2">
        <f>COUNTIFS(集計用!$G147,"*, "&amp;AD$3&amp;", *")</f>
        <v>0</v>
      </c>
      <c r="AE149" s="2">
        <f>COUNTIFS(集計用!$G147,"*, "&amp;AE$3&amp;", *")</f>
        <v>0</v>
      </c>
      <c r="AF149" s="2">
        <f>COUNTIFS(集計用!$G147,"*, "&amp;AF$3&amp;", *")</f>
        <v>0</v>
      </c>
      <c r="AG149" s="2">
        <f>COUNTIFS(集計用!$G147,"*, "&amp;AG$3&amp;", *")</f>
        <v>0</v>
      </c>
      <c r="AH149" s="2">
        <f>COUNTIFS(集計用!$G147,"*, "&amp;AH$3&amp;", *")</f>
        <v>0</v>
      </c>
      <c r="AI149" s="2">
        <f>COUNTIFS(集計用!$G147,"*, "&amp;AI$3&amp;", *")</f>
        <v>0</v>
      </c>
      <c r="AJ149" s="2">
        <f>COUNTIFS(集計用!$G147,"*, "&amp;AJ$3&amp;", *")</f>
        <v>0</v>
      </c>
      <c r="AK149" s="2">
        <f>COUNTIFS(集計用!$G147,"*, "&amp;AK$3&amp;", *")</f>
        <v>0</v>
      </c>
      <c r="AL149" s="2">
        <f>COUNTIFS(集計用!$G147,"*, "&amp;AL$3&amp;", *")</f>
        <v>0</v>
      </c>
      <c r="AM149" s="2">
        <f>COUNTIFS(集計用!$G147,"*, "&amp;AM$3&amp;", *")</f>
        <v>0</v>
      </c>
      <c r="AN149" s="2">
        <f>COUNTIFS(集計用!$G147,"*, "&amp;AN$3&amp;", *")</f>
        <v>0</v>
      </c>
      <c r="AO149" s="2">
        <f>COUNTIFS(集計用!$G147,"*, "&amp;AO$3&amp;", *")</f>
        <v>0</v>
      </c>
      <c r="AP149" s="2">
        <f>COUNTIFS(集計用!$G147,"*, "&amp;AP$3&amp;", *")</f>
        <v>0</v>
      </c>
      <c r="AQ149" s="2">
        <f>COUNTIFS(集計用!$G147,"*, "&amp;AQ$3&amp;", *")</f>
        <v>0</v>
      </c>
      <c r="AR149" s="2">
        <f>COUNTIFS(集計用!$G147,"*, "&amp;AR$3&amp;", *")</f>
        <v>0</v>
      </c>
      <c r="AS149" s="2">
        <f>COUNTIFS(集計用!$G147,"*, "&amp;AS$3&amp;", *")</f>
        <v>0</v>
      </c>
      <c r="AT149" s="2">
        <f>COUNTIFS(集計用!$G147,"*, "&amp;AT$3&amp;", *")</f>
        <v>0</v>
      </c>
      <c r="AU149" s="2">
        <f>COUNTIFS(集計用!$G147,"*, "&amp;AU$3&amp;", *")</f>
        <v>0</v>
      </c>
      <c r="AV149" s="2">
        <f>COUNTIFS(集計用!$G147,"*, "&amp;AV$3&amp;", *")</f>
        <v>0</v>
      </c>
      <c r="AW149" s="2">
        <f>COUNTIFS(集計用!$G147,"*, "&amp;AW$3&amp;", *")</f>
        <v>0</v>
      </c>
      <c r="AX149" s="2">
        <f>COUNTIFS(集計用!$G147,"*, "&amp;AX$3&amp;", *")</f>
        <v>0</v>
      </c>
      <c r="AY149" s="2">
        <f>COUNTIFS(集計用!$G147,"*, "&amp;AY$3&amp;", *")</f>
        <v>0</v>
      </c>
      <c r="AZ149" s="2">
        <f>COUNTIFS(集計用!$G147,"*, "&amp;AZ$3&amp;", *")</f>
        <v>0</v>
      </c>
      <c r="BA149" s="2">
        <f>COUNTIFS(集計用!$G147,"*, "&amp;BA$3&amp;", *")</f>
        <v>0</v>
      </c>
      <c r="BB149" s="2">
        <f>COUNTIFS(集計用!$G147,"*, "&amp;BB$3&amp;", *")</f>
        <v>0</v>
      </c>
      <c r="BC149" s="2">
        <f>COUNTIFS(集計用!$G147,"*, "&amp;BC$3&amp;", *")</f>
        <v>0</v>
      </c>
      <c r="BD149" s="2">
        <f>COUNTIFS(集計用!$G147,"*, "&amp;BD$3&amp;", *")</f>
        <v>0</v>
      </c>
      <c r="BE149" s="2">
        <f>COUNTIFS(集計用!$G147,"*, "&amp;BE$3&amp;", *")</f>
        <v>0</v>
      </c>
      <c r="BF149" s="2">
        <f>COUNTIFS(集計用!$G147,"*, "&amp;BF$3&amp;", *")</f>
        <v>0</v>
      </c>
      <c r="BG149" s="2">
        <f>COUNTIFS(集計用!$G147,"*, "&amp;BG$3&amp;", *")</f>
        <v>0</v>
      </c>
      <c r="BH149" s="2">
        <f>COUNTIFS(集計用!$G147,"*, "&amp;BH$3&amp;", *")</f>
        <v>0</v>
      </c>
      <c r="BI149" s="2">
        <f>COUNTIFS(集計用!$G147,"*, "&amp;BI$3&amp;", *")</f>
        <v>0</v>
      </c>
      <c r="BJ149" s="2">
        <f>LEN(集計用!H147)-LEN(SUBSTITUTE(集計用!H147,",",""))</f>
        <v>0</v>
      </c>
    </row>
    <row r="150" spans="1:62" ht="12.75">
      <c r="A150" s="8">
        <v>147</v>
      </c>
      <c r="C150" s="2">
        <f t="shared" si="3"/>
        <v>1</v>
      </c>
      <c r="D150" s="9"/>
      <c r="E150" s="2">
        <f>COUNTIFS(集計用!$G148,"*, "&amp;E$3&amp;", *")</f>
        <v>0</v>
      </c>
      <c r="F150" s="2">
        <f>COUNTIFS(集計用!$G148,"*, "&amp;F$3&amp;", *")</f>
        <v>0</v>
      </c>
      <c r="G150" s="2">
        <f>COUNTIFS(集計用!$G148,"*, "&amp;G$3&amp;", *")</f>
        <v>0</v>
      </c>
      <c r="H150" s="2">
        <f>COUNTIFS(集計用!$G148,"*, "&amp;H$3&amp;", *")</f>
        <v>0</v>
      </c>
      <c r="I150" s="2">
        <f>COUNTIFS(集計用!$G148,"*, "&amp;I$3&amp;", *")</f>
        <v>1</v>
      </c>
      <c r="J150" s="2">
        <f>COUNTIFS(集計用!$G148,"*, "&amp;J$3&amp;", *")</f>
        <v>0</v>
      </c>
      <c r="K150" s="2">
        <f>COUNTIFS(集計用!$G148,"*, "&amp;K$3&amp;", *")</f>
        <v>0</v>
      </c>
      <c r="L150" s="2">
        <f>COUNTIFS(集計用!$G148,"*, "&amp;L$3&amp;", *")</f>
        <v>0</v>
      </c>
      <c r="M150" s="2">
        <f>COUNTIFS(集計用!$G148,"*, "&amp;M$3&amp;", *")</f>
        <v>0</v>
      </c>
      <c r="N150" s="2">
        <f>COUNTIFS(集計用!$G148,"*, "&amp;N$3&amp;", *")</f>
        <v>0</v>
      </c>
      <c r="O150" s="2">
        <f>COUNTIFS(集計用!$G148,"*, "&amp;O$3&amp;", *")</f>
        <v>0</v>
      </c>
      <c r="P150" s="2">
        <f>COUNTIFS(集計用!$G148,"*, "&amp;P$3&amp;", *")</f>
        <v>0</v>
      </c>
      <c r="Q150" s="2">
        <f>COUNTIFS(集計用!$G148,"*, "&amp;Q$3&amp;", *")</f>
        <v>0</v>
      </c>
      <c r="R150" s="2">
        <f>COUNTIFS(集計用!$G148,"*, "&amp;R$3&amp;", *")</f>
        <v>0</v>
      </c>
      <c r="S150" s="2">
        <f>COUNTIFS(集計用!$G148,"*, "&amp;S$3&amp;", *")</f>
        <v>0</v>
      </c>
      <c r="T150" s="2">
        <f>COUNTIFS(集計用!$G148,"*, "&amp;T$3&amp;", *")</f>
        <v>0</v>
      </c>
      <c r="U150" s="2">
        <f>COUNTIFS(集計用!$G148,"*, "&amp;U$3&amp;", *")</f>
        <v>0</v>
      </c>
      <c r="V150" s="2">
        <f>COUNTIFS(集計用!$G148,"*, "&amp;V$3&amp;", *")</f>
        <v>0</v>
      </c>
      <c r="W150" s="2">
        <f>COUNTIFS(集計用!$G148,"*, "&amp;W$3&amp;", *")</f>
        <v>0</v>
      </c>
      <c r="X150" s="2">
        <f>COUNTIFS(集計用!$G148,"*, "&amp;X$3&amp;", *")</f>
        <v>0</v>
      </c>
      <c r="Y150" s="2">
        <f>COUNTIFS(集計用!$G148,"*, "&amp;Y$3&amp;", *")</f>
        <v>0</v>
      </c>
      <c r="Z150" s="2">
        <f>COUNTIFS(集計用!$G148,"*, "&amp;Z$3&amp;", *")</f>
        <v>0</v>
      </c>
      <c r="AA150" s="2">
        <f>COUNTIFS(集計用!$G148,"*, "&amp;AA$3&amp;", *")</f>
        <v>0</v>
      </c>
      <c r="AB150" s="2">
        <f>COUNTIFS(集計用!$G148,"*, "&amp;AB$3&amp;", *")</f>
        <v>0</v>
      </c>
      <c r="AC150" s="2">
        <f>COUNTIFS(集計用!$G148,"*, "&amp;AC$3&amp;", *")</f>
        <v>0</v>
      </c>
      <c r="AD150" s="2">
        <f>COUNTIFS(集計用!$G148,"*, "&amp;AD$3&amp;", *")</f>
        <v>0</v>
      </c>
      <c r="AE150" s="2">
        <f>COUNTIFS(集計用!$G148,"*, "&amp;AE$3&amp;", *")</f>
        <v>0</v>
      </c>
      <c r="AF150" s="2">
        <f>COUNTIFS(集計用!$G148,"*, "&amp;AF$3&amp;", *")</f>
        <v>0</v>
      </c>
      <c r="AG150" s="2">
        <f>COUNTIFS(集計用!$G148,"*, "&amp;AG$3&amp;", *")</f>
        <v>0</v>
      </c>
      <c r="AH150" s="2">
        <f>COUNTIFS(集計用!$G148,"*, "&amp;AH$3&amp;", *")</f>
        <v>0</v>
      </c>
      <c r="AI150" s="2">
        <f>COUNTIFS(集計用!$G148,"*, "&amp;AI$3&amp;", *")</f>
        <v>0</v>
      </c>
      <c r="AJ150" s="2">
        <f>COUNTIFS(集計用!$G148,"*, "&amp;AJ$3&amp;", *")</f>
        <v>0</v>
      </c>
      <c r="AK150" s="2">
        <f>COUNTIFS(集計用!$G148,"*, "&amp;AK$3&amp;", *")</f>
        <v>0</v>
      </c>
      <c r="AL150" s="2">
        <f>COUNTIFS(集計用!$G148,"*, "&amp;AL$3&amp;", *")</f>
        <v>0</v>
      </c>
      <c r="AM150" s="2">
        <f>COUNTIFS(集計用!$G148,"*, "&amp;AM$3&amp;", *")</f>
        <v>0</v>
      </c>
      <c r="AN150" s="2">
        <f>COUNTIFS(集計用!$G148,"*, "&amp;AN$3&amp;", *")</f>
        <v>0</v>
      </c>
      <c r="AO150" s="2">
        <f>COUNTIFS(集計用!$G148,"*, "&amp;AO$3&amp;", *")</f>
        <v>0</v>
      </c>
      <c r="AP150" s="2">
        <f>COUNTIFS(集計用!$G148,"*, "&amp;AP$3&amp;", *")</f>
        <v>0</v>
      </c>
      <c r="AQ150" s="2">
        <f>COUNTIFS(集計用!$G148,"*, "&amp;AQ$3&amp;", *")</f>
        <v>0</v>
      </c>
      <c r="AR150" s="2">
        <f>COUNTIFS(集計用!$G148,"*, "&amp;AR$3&amp;", *")</f>
        <v>0</v>
      </c>
      <c r="AS150" s="2">
        <f>COUNTIFS(集計用!$G148,"*, "&amp;AS$3&amp;", *")</f>
        <v>0</v>
      </c>
      <c r="AT150" s="2">
        <f>COUNTIFS(集計用!$G148,"*, "&amp;AT$3&amp;", *")</f>
        <v>0</v>
      </c>
      <c r="AU150" s="2">
        <f>COUNTIFS(集計用!$G148,"*, "&amp;AU$3&amp;", *")</f>
        <v>0</v>
      </c>
      <c r="AV150" s="2">
        <f>COUNTIFS(集計用!$G148,"*, "&amp;AV$3&amp;", *")</f>
        <v>0</v>
      </c>
      <c r="AW150" s="2">
        <f>COUNTIFS(集計用!$G148,"*, "&amp;AW$3&amp;", *")</f>
        <v>0</v>
      </c>
      <c r="AX150" s="2">
        <f>COUNTIFS(集計用!$G148,"*, "&amp;AX$3&amp;", *")</f>
        <v>0</v>
      </c>
      <c r="AY150" s="2">
        <f>COUNTIFS(集計用!$G148,"*, "&amp;AY$3&amp;", *")</f>
        <v>0</v>
      </c>
      <c r="AZ150" s="2">
        <f>COUNTIFS(集計用!$G148,"*, "&amp;AZ$3&amp;", *")</f>
        <v>0</v>
      </c>
      <c r="BA150" s="2">
        <f>COUNTIFS(集計用!$G148,"*, "&amp;BA$3&amp;", *")</f>
        <v>0</v>
      </c>
      <c r="BB150" s="2">
        <f>COUNTIFS(集計用!$G148,"*, "&amp;BB$3&amp;", *")</f>
        <v>0</v>
      </c>
      <c r="BC150" s="2">
        <f>COUNTIFS(集計用!$G148,"*, "&amp;BC$3&amp;", *")</f>
        <v>0</v>
      </c>
      <c r="BD150" s="2">
        <f>COUNTIFS(集計用!$G148,"*, "&amp;BD$3&amp;", *")</f>
        <v>0</v>
      </c>
      <c r="BE150" s="2">
        <f>COUNTIFS(集計用!$G148,"*, "&amp;BE$3&amp;", *")</f>
        <v>0</v>
      </c>
      <c r="BF150" s="2">
        <f>COUNTIFS(集計用!$G148,"*, "&amp;BF$3&amp;", *")</f>
        <v>0</v>
      </c>
      <c r="BG150" s="2">
        <f>COUNTIFS(集計用!$G148,"*, "&amp;BG$3&amp;", *")</f>
        <v>0</v>
      </c>
      <c r="BH150" s="2">
        <f>COUNTIFS(集計用!$G148,"*, "&amp;BH$3&amp;", *")</f>
        <v>0</v>
      </c>
      <c r="BI150" s="2">
        <f>COUNTIFS(集計用!$G148,"*, "&amp;BI$3&amp;", *")</f>
        <v>0</v>
      </c>
      <c r="BJ150" s="2">
        <f>LEN(集計用!H148)-LEN(SUBSTITUTE(集計用!H148,",",""))</f>
        <v>0</v>
      </c>
    </row>
    <row r="151" spans="1:62" ht="12.75">
      <c r="A151" s="8">
        <v>148</v>
      </c>
      <c r="C151" s="2">
        <f t="shared" si="3"/>
        <v>4</v>
      </c>
      <c r="D151" s="9"/>
      <c r="E151" s="2">
        <f>COUNTIFS(集計用!$G149,"*, "&amp;E$3&amp;", *")</f>
        <v>0</v>
      </c>
      <c r="F151" s="2">
        <f>COUNTIFS(集計用!$G149,"*, "&amp;F$3&amp;", *")</f>
        <v>1</v>
      </c>
      <c r="G151" s="2">
        <f>COUNTIFS(集計用!$G149,"*, "&amp;G$3&amp;", *")</f>
        <v>0</v>
      </c>
      <c r="H151" s="2">
        <f>COUNTIFS(集計用!$G149,"*, "&amp;H$3&amp;", *")</f>
        <v>0</v>
      </c>
      <c r="I151" s="2">
        <f>COUNTIFS(集計用!$G149,"*, "&amp;I$3&amp;", *")</f>
        <v>0</v>
      </c>
      <c r="J151" s="2">
        <f>COUNTIFS(集計用!$G149,"*, "&amp;J$3&amp;", *")</f>
        <v>0</v>
      </c>
      <c r="K151" s="2">
        <f>COUNTIFS(集計用!$G149,"*, "&amp;K$3&amp;", *")</f>
        <v>0</v>
      </c>
      <c r="L151" s="2">
        <f>COUNTIFS(集計用!$G149,"*, "&amp;L$3&amp;", *")</f>
        <v>0</v>
      </c>
      <c r="M151" s="2">
        <f>COUNTIFS(集計用!$G149,"*, "&amp;M$3&amp;", *")</f>
        <v>0</v>
      </c>
      <c r="N151" s="2">
        <f>COUNTIFS(集計用!$G149,"*, "&amp;N$3&amp;", *")</f>
        <v>0</v>
      </c>
      <c r="O151" s="2">
        <f>COUNTIFS(集計用!$G149,"*, "&amp;O$3&amp;", *")</f>
        <v>1</v>
      </c>
      <c r="P151" s="2">
        <f>COUNTIFS(集計用!$G149,"*, "&amp;P$3&amp;", *")</f>
        <v>0</v>
      </c>
      <c r="Q151" s="2">
        <f>COUNTIFS(集計用!$G149,"*, "&amp;Q$3&amp;", *")</f>
        <v>1</v>
      </c>
      <c r="R151" s="2">
        <f>COUNTIFS(集計用!$G149,"*, "&amp;R$3&amp;", *")</f>
        <v>0</v>
      </c>
      <c r="S151" s="2">
        <f>COUNTIFS(集計用!$G149,"*, "&amp;S$3&amp;", *")</f>
        <v>0</v>
      </c>
      <c r="T151" s="2">
        <f>COUNTIFS(集計用!$G149,"*, "&amp;T$3&amp;", *")</f>
        <v>0</v>
      </c>
      <c r="U151" s="2">
        <f>COUNTIFS(集計用!$G149,"*, "&amp;U$3&amp;", *")</f>
        <v>0</v>
      </c>
      <c r="V151" s="2">
        <f>COUNTIFS(集計用!$G149,"*, "&amp;V$3&amp;", *")</f>
        <v>0</v>
      </c>
      <c r="W151" s="2">
        <f>COUNTIFS(集計用!$G149,"*, "&amp;W$3&amp;", *")</f>
        <v>0</v>
      </c>
      <c r="X151" s="2">
        <f>COUNTIFS(集計用!$G149,"*, "&amp;X$3&amp;", *")</f>
        <v>0</v>
      </c>
      <c r="Y151" s="2">
        <f>COUNTIFS(集計用!$G149,"*, "&amp;Y$3&amp;", *")</f>
        <v>0</v>
      </c>
      <c r="Z151" s="2">
        <f>COUNTIFS(集計用!$G149,"*, "&amp;Z$3&amp;", *")</f>
        <v>0</v>
      </c>
      <c r="AA151" s="2">
        <f>COUNTIFS(集計用!$G149,"*, "&amp;AA$3&amp;", *")</f>
        <v>0</v>
      </c>
      <c r="AB151" s="2">
        <f>COUNTIFS(集計用!$G149,"*, "&amp;AB$3&amp;", *")</f>
        <v>0</v>
      </c>
      <c r="AC151" s="2">
        <f>COUNTIFS(集計用!$G149,"*, "&amp;AC$3&amp;", *")</f>
        <v>0</v>
      </c>
      <c r="AD151" s="2">
        <f>COUNTIFS(集計用!$G149,"*, "&amp;AD$3&amp;", *")</f>
        <v>0</v>
      </c>
      <c r="AE151" s="2">
        <f>COUNTIFS(集計用!$G149,"*, "&amp;AE$3&amp;", *")</f>
        <v>0</v>
      </c>
      <c r="AF151" s="2">
        <f>COUNTIFS(集計用!$G149,"*, "&amp;AF$3&amp;", *")</f>
        <v>0</v>
      </c>
      <c r="AG151" s="2">
        <f>COUNTIFS(集計用!$G149,"*, "&amp;AG$3&amp;", *")</f>
        <v>0</v>
      </c>
      <c r="AH151" s="2">
        <f>COUNTIFS(集計用!$G149,"*, "&amp;AH$3&amp;", *")</f>
        <v>0</v>
      </c>
      <c r="AI151" s="2">
        <f>COUNTIFS(集計用!$G149,"*, "&amp;AI$3&amp;", *")</f>
        <v>0</v>
      </c>
      <c r="AJ151" s="2">
        <f>COUNTIFS(集計用!$G149,"*, "&amp;AJ$3&amp;", *")</f>
        <v>0</v>
      </c>
      <c r="AK151" s="2">
        <f>COUNTIFS(集計用!$G149,"*, "&amp;AK$3&amp;", *")</f>
        <v>0</v>
      </c>
      <c r="AL151" s="2">
        <f>COUNTIFS(集計用!$G149,"*, "&amp;AL$3&amp;", *")</f>
        <v>0</v>
      </c>
      <c r="AM151" s="2">
        <f>COUNTIFS(集計用!$G149,"*, "&amp;AM$3&amp;", *")</f>
        <v>0</v>
      </c>
      <c r="AN151" s="2">
        <f>COUNTIFS(集計用!$G149,"*, "&amp;AN$3&amp;", *")</f>
        <v>1</v>
      </c>
      <c r="AO151" s="2">
        <f>COUNTIFS(集計用!$G149,"*, "&amp;AO$3&amp;", *")</f>
        <v>0</v>
      </c>
      <c r="AP151" s="2">
        <f>COUNTIFS(集計用!$G149,"*, "&amp;AP$3&amp;", *")</f>
        <v>0</v>
      </c>
      <c r="AQ151" s="2">
        <f>COUNTIFS(集計用!$G149,"*, "&amp;AQ$3&amp;", *")</f>
        <v>0</v>
      </c>
      <c r="AR151" s="2">
        <f>COUNTIFS(集計用!$G149,"*, "&amp;AR$3&amp;", *")</f>
        <v>0</v>
      </c>
      <c r="AS151" s="2">
        <f>COUNTIFS(集計用!$G149,"*, "&amp;AS$3&amp;", *")</f>
        <v>0</v>
      </c>
      <c r="AT151" s="2">
        <f>COUNTIFS(集計用!$G149,"*, "&amp;AT$3&amp;", *")</f>
        <v>0</v>
      </c>
      <c r="AU151" s="2">
        <f>COUNTIFS(集計用!$G149,"*, "&amp;AU$3&amp;", *")</f>
        <v>0</v>
      </c>
      <c r="AV151" s="2">
        <f>COUNTIFS(集計用!$G149,"*, "&amp;AV$3&amp;", *")</f>
        <v>0</v>
      </c>
      <c r="AW151" s="2">
        <f>COUNTIFS(集計用!$G149,"*, "&amp;AW$3&amp;", *")</f>
        <v>0</v>
      </c>
      <c r="AX151" s="2">
        <f>COUNTIFS(集計用!$G149,"*, "&amp;AX$3&amp;", *")</f>
        <v>0</v>
      </c>
      <c r="AY151" s="2">
        <f>COUNTIFS(集計用!$G149,"*, "&amp;AY$3&amp;", *")</f>
        <v>0</v>
      </c>
      <c r="AZ151" s="2">
        <f>COUNTIFS(集計用!$G149,"*, "&amp;AZ$3&amp;", *")</f>
        <v>0</v>
      </c>
      <c r="BA151" s="2">
        <f>COUNTIFS(集計用!$G149,"*, "&amp;BA$3&amp;", *")</f>
        <v>0</v>
      </c>
      <c r="BB151" s="2">
        <f>COUNTIFS(集計用!$G149,"*, "&amp;BB$3&amp;", *")</f>
        <v>0</v>
      </c>
      <c r="BC151" s="2">
        <f>COUNTIFS(集計用!$G149,"*, "&amp;BC$3&amp;", *")</f>
        <v>0</v>
      </c>
      <c r="BD151" s="2">
        <f>COUNTIFS(集計用!$G149,"*, "&amp;BD$3&amp;", *")</f>
        <v>0</v>
      </c>
      <c r="BE151" s="2">
        <f>COUNTIFS(集計用!$G149,"*, "&amp;BE$3&amp;", *")</f>
        <v>0</v>
      </c>
      <c r="BF151" s="2">
        <f>COUNTIFS(集計用!$G149,"*, "&amp;BF$3&amp;", *")</f>
        <v>0</v>
      </c>
      <c r="BG151" s="2">
        <f>COUNTIFS(集計用!$G149,"*, "&amp;BG$3&amp;", *")</f>
        <v>0</v>
      </c>
      <c r="BH151" s="2">
        <f>COUNTIFS(集計用!$G149,"*, "&amp;BH$3&amp;", *")</f>
        <v>0</v>
      </c>
      <c r="BI151" s="2">
        <f>COUNTIFS(集計用!$G149,"*, "&amp;BI$3&amp;", *")</f>
        <v>0</v>
      </c>
      <c r="BJ151" s="2">
        <f>LEN(集計用!H149)-LEN(SUBSTITUTE(集計用!H149,",",""))</f>
        <v>0</v>
      </c>
    </row>
    <row r="152" spans="1:62" ht="12.75">
      <c r="A152" s="8">
        <v>149</v>
      </c>
      <c r="C152" s="2">
        <f t="shared" si="3"/>
        <v>4</v>
      </c>
      <c r="D152" s="9"/>
      <c r="E152" s="2">
        <f>COUNTIFS(集計用!$G150,"*, "&amp;E$3&amp;", *")</f>
        <v>0</v>
      </c>
      <c r="F152" s="2">
        <f>COUNTIFS(集計用!$G150,"*, "&amp;F$3&amp;", *")</f>
        <v>0</v>
      </c>
      <c r="G152" s="2">
        <f>COUNTIFS(集計用!$G150,"*, "&amp;G$3&amp;", *")</f>
        <v>0</v>
      </c>
      <c r="H152" s="2">
        <f>COUNTIFS(集計用!$G150,"*, "&amp;H$3&amp;", *")</f>
        <v>0</v>
      </c>
      <c r="I152" s="2">
        <f>COUNTIFS(集計用!$G150,"*, "&amp;I$3&amp;", *")</f>
        <v>0</v>
      </c>
      <c r="J152" s="2">
        <f>COUNTIFS(集計用!$G150,"*, "&amp;J$3&amp;", *")</f>
        <v>0</v>
      </c>
      <c r="K152" s="2">
        <f>COUNTIFS(集計用!$G150,"*, "&amp;K$3&amp;", *")</f>
        <v>0</v>
      </c>
      <c r="L152" s="2">
        <f>COUNTIFS(集計用!$G150,"*, "&amp;L$3&amp;", *")</f>
        <v>0</v>
      </c>
      <c r="M152" s="2">
        <f>COUNTIFS(集計用!$G150,"*, "&amp;M$3&amp;", *")</f>
        <v>1</v>
      </c>
      <c r="N152" s="2">
        <f>COUNTIFS(集計用!$G150,"*, "&amp;N$3&amp;", *")</f>
        <v>0</v>
      </c>
      <c r="O152" s="2">
        <f>COUNTIFS(集計用!$G150,"*, "&amp;O$3&amp;", *")</f>
        <v>0</v>
      </c>
      <c r="P152" s="2">
        <f>COUNTIFS(集計用!$G150,"*, "&amp;P$3&amp;", *")</f>
        <v>0</v>
      </c>
      <c r="Q152" s="2">
        <f>COUNTIFS(集計用!$G150,"*, "&amp;Q$3&amp;", *")</f>
        <v>0</v>
      </c>
      <c r="R152" s="2">
        <f>COUNTIFS(集計用!$G150,"*, "&amp;R$3&amp;", *")</f>
        <v>0</v>
      </c>
      <c r="S152" s="2">
        <f>COUNTIFS(集計用!$G150,"*, "&amp;S$3&amp;", *")</f>
        <v>0</v>
      </c>
      <c r="T152" s="2">
        <f>COUNTIFS(集計用!$G150,"*, "&amp;T$3&amp;", *")</f>
        <v>0</v>
      </c>
      <c r="U152" s="2">
        <f>COUNTIFS(集計用!$G150,"*, "&amp;U$3&amp;", *")</f>
        <v>0</v>
      </c>
      <c r="V152" s="2">
        <f>COUNTIFS(集計用!$G150,"*, "&amp;V$3&amp;", *")</f>
        <v>0</v>
      </c>
      <c r="W152" s="2">
        <f>COUNTIFS(集計用!$G150,"*, "&amp;W$3&amp;", *")</f>
        <v>0</v>
      </c>
      <c r="X152" s="2">
        <f>COUNTIFS(集計用!$G150,"*, "&amp;X$3&amp;", *")</f>
        <v>0</v>
      </c>
      <c r="Y152" s="2">
        <f>COUNTIFS(集計用!$G150,"*, "&amp;Y$3&amp;", *")</f>
        <v>0</v>
      </c>
      <c r="Z152" s="2">
        <f>COUNTIFS(集計用!$G150,"*, "&amp;Z$3&amp;", *")</f>
        <v>0</v>
      </c>
      <c r="AA152" s="2">
        <f>COUNTIFS(集計用!$G150,"*, "&amp;AA$3&amp;", *")</f>
        <v>0</v>
      </c>
      <c r="AB152" s="2">
        <f>COUNTIFS(集計用!$G150,"*, "&amp;AB$3&amp;", *")</f>
        <v>0</v>
      </c>
      <c r="AC152" s="2">
        <f>COUNTIFS(集計用!$G150,"*, "&amp;AC$3&amp;", *")</f>
        <v>0</v>
      </c>
      <c r="AD152" s="2">
        <f>COUNTIFS(集計用!$G150,"*, "&amp;AD$3&amp;", *")</f>
        <v>1</v>
      </c>
      <c r="AE152" s="2">
        <f>COUNTIFS(集計用!$G150,"*, "&amp;AE$3&amp;", *")</f>
        <v>0</v>
      </c>
      <c r="AF152" s="2">
        <f>COUNTIFS(集計用!$G150,"*, "&amp;AF$3&amp;", *")</f>
        <v>0</v>
      </c>
      <c r="AG152" s="2">
        <f>COUNTIFS(集計用!$G150,"*, "&amp;AG$3&amp;", *")</f>
        <v>0</v>
      </c>
      <c r="AH152" s="2">
        <f>COUNTIFS(集計用!$G150,"*, "&amp;AH$3&amp;", *")</f>
        <v>0</v>
      </c>
      <c r="AI152" s="2">
        <f>COUNTIFS(集計用!$G150,"*, "&amp;AI$3&amp;", *")</f>
        <v>0</v>
      </c>
      <c r="AJ152" s="2">
        <f>COUNTIFS(集計用!$G150,"*, "&amp;AJ$3&amp;", *")</f>
        <v>0</v>
      </c>
      <c r="AK152" s="2">
        <f>COUNTIFS(集計用!$G150,"*, "&amp;AK$3&amp;", *")</f>
        <v>0</v>
      </c>
      <c r="AL152" s="2">
        <f>COUNTIFS(集計用!$G150,"*, "&amp;AL$3&amp;", *")</f>
        <v>0</v>
      </c>
      <c r="AM152" s="2">
        <f>COUNTIFS(集計用!$G150,"*, "&amp;AM$3&amp;", *")</f>
        <v>0</v>
      </c>
      <c r="AN152" s="2">
        <f>COUNTIFS(集計用!$G150,"*, "&amp;AN$3&amp;", *")</f>
        <v>0</v>
      </c>
      <c r="AO152" s="2">
        <f>COUNTIFS(集計用!$G150,"*, "&amp;AO$3&amp;", *")</f>
        <v>0</v>
      </c>
      <c r="AP152" s="2">
        <f>COUNTIFS(集計用!$G150,"*, "&amp;AP$3&amp;", *")</f>
        <v>0</v>
      </c>
      <c r="AQ152" s="2">
        <f>COUNTIFS(集計用!$G150,"*, "&amp;AQ$3&amp;", *")</f>
        <v>0</v>
      </c>
      <c r="AR152" s="2">
        <f>COUNTIFS(集計用!$G150,"*, "&amp;AR$3&amp;", *")</f>
        <v>0</v>
      </c>
      <c r="AS152" s="2">
        <f>COUNTIFS(集計用!$G150,"*, "&amp;AS$3&amp;", *")</f>
        <v>0</v>
      </c>
      <c r="AT152" s="2">
        <f>COUNTIFS(集計用!$G150,"*, "&amp;AT$3&amp;", *")</f>
        <v>0</v>
      </c>
      <c r="AU152" s="2">
        <f>COUNTIFS(集計用!$G150,"*, "&amp;AU$3&amp;", *")</f>
        <v>0</v>
      </c>
      <c r="AV152" s="2">
        <f>COUNTIFS(集計用!$G150,"*, "&amp;AV$3&amp;", *")</f>
        <v>0</v>
      </c>
      <c r="AW152" s="2">
        <f>COUNTIFS(集計用!$G150,"*, "&amp;AW$3&amp;", *")</f>
        <v>1</v>
      </c>
      <c r="AX152" s="2">
        <f>COUNTIFS(集計用!$G150,"*, "&amp;AX$3&amp;", *")</f>
        <v>0</v>
      </c>
      <c r="AY152" s="2">
        <f>COUNTIFS(集計用!$G150,"*, "&amp;AY$3&amp;", *")</f>
        <v>0</v>
      </c>
      <c r="AZ152" s="2">
        <f>COUNTIFS(集計用!$G150,"*, "&amp;AZ$3&amp;", *")</f>
        <v>0</v>
      </c>
      <c r="BA152" s="2">
        <f>COUNTIFS(集計用!$G150,"*, "&amp;BA$3&amp;", *")</f>
        <v>0</v>
      </c>
      <c r="BB152" s="2">
        <f>COUNTIFS(集計用!$G150,"*, "&amp;BB$3&amp;", *")</f>
        <v>0</v>
      </c>
      <c r="BC152" s="2">
        <f>COUNTIFS(集計用!$G150,"*, "&amp;BC$3&amp;", *")</f>
        <v>0</v>
      </c>
      <c r="BD152" s="2">
        <f>COUNTIFS(集計用!$G150,"*, "&amp;BD$3&amp;", *")</f>
        <v>0</v>
      </c>
      <c r="BE152" s="2">
        <f>COUNTIFS(集計用!$G150,"*, "&amp;BE$3&amp;", *")</f>
        <v>0</v>
      </c>
      <c r="BF152" s="2">
        <f>COUNTIFS(集計用!$G150,"*, "&amp;BF$3&amp;", *")</f>
        <v>0</v>
      </c>
      <c r="BG152" s="2">
        <f>COUNTIFS(集計用!$G150,"*, "&amp;BG$3&amp;", *")</f>
        <v>0</v>
      </c>
      <c r="BH152" s="2">
        <f>COUNTIFS(集計用!$G150,"*, "&amp;BH$3&amp;", *")</f>
        <v>0</v>
      </c>
      <c r="BI152" s="2">
        <f>COUNTIFS(集計用!$G150,"*, "&amp;BI$3&amp;", *")</f>
        <v>0</v>
      </c>
      <c r="BJ152" s="2">
        <f>LEN(集計用!H150)-LEN(SUBSTITUTE(集計用!H150,",",""))</f>
        <v>1</v>
      </c>
    </row>
    <row r="153" spans="1:62" ht="12.75">
      <c r="A153" s="8">
        <v>150</v>
      </c>
      <c r="C153" s="2">
        <f t="shared" si="3"/>
        <v>3</v>
      </c>
      <c r="D153" s="9"/>
      <c r="E153" s="2">
        <f>COUNTIFS(集計用!$G151,"*, "&amp;E$3&amp;", *")</f>
        <v>1</v>
      </c>
      <c r="F153" s="2">
        <f>COUNTIFS(集計用!$G151,"*, "&amp;F$3&amp;", *")</f>
        <v>0</v>
      </c>
      <c r="G153" s="2">
        <f>COUNTIFS(集計用!$G151,"*, "&amp;G$3&amp;", *")</f>
        <v>0</v>
      </c>
      <c r="H153" s="2">
        <f>COUNTIFS(集計用!$G151,"*, "&amp;H$3&amp;", *")</f>
        <v>0</v>
      </c>
      <c r="I153" s="2">
        <f>COUNTIFS(集計用!$G151,"*, "&amp;I$3&amp;", *")</f>
        <v>0</v>
      </c>
      <c r="J153" s="2">
        <f>COUNTIFS(集計用!$G151,"*, "&amp;J$3&amp;", *")</f>
        <v>0</v>
      </c>
      <c r="K153" s="2">
        <f>COUNTIFS(集計用!$G151,"*, "&amp;K$3&amp;", *")</f>
        <v>0</v>
      </c>
      <c r="L153" s="2">
        <f>COUNTIFS(集計用!$G151,"*, "&amp;L$3&amp;", *")</f>
        <v>0</v>
      </c>
      <c r="M153" s="2">
        <f>COUNTIFS(集計用!$G151,"*, "&amp;M$3&amp;", *")</f>
        <v>1</v>
      </c>
      <c r="N153" s="2">
        <f>COUNTIFS(集計用!$G151,"*, "&amp;N$3&amp;", *")</f>
        <v>0</v>
      </c>
      <c r="O153" s="2">
        <f>COUNTIFS(集計用!$G151,"*, "&amp;O$3&amp;", *")</f>
        <v>1</v>
      </c>
      <c r="P153" s="2">
        <f>COUNTIFS(集計用!$G151,"*, "&amp;P$3&amp;", *")</f>
        <v>0</v>
      </c>
      <c r="Q153" s="2">
        <f>COUNTIFS(集計用!$G151,"*, "&amp;Q$3&amp;", *")</f>
        <v>0</v>
      </c>
      <c r="R153" s="2">
        <f>COUNTIFS(集計用!$G151,"*, "&amp;R$3&amp;", *")</f>
        <v>0</v>
      </c>
      <c r="S153" s="2">
        <f>COUNTIFS(集計用!$G151,"*, "&amp;S$3&amp;", *")</f>
        <v>0</v>
      </c>
      <c r="T153" s="2">
        <f>COUNTIFS(集計用!$G151,"*, "&amp;T$3&amp;", *")</f>
        <v>0</v>
      </c>
      <c r="U153" s="2">
        <f>COUNTIFS(集計用!$G151,"*, "&amp;U$3&amp;", *")</f>
        <v>0</v>
      </c>
      <c r="V153" s="2">
        <f>COUNTIFS(集計用!$G151,"*, "&amp;V$3&amp;", *")</f>
        <v>0</v>
      </c>
      <c r="W153" s="2">
        <f>COUNTIFS(集計用!$G151,"*, "&amp;W$3&amp;", *")</f>
        <v>0</v>
      </c>
      <c r="X153" s="2">
        <f>COUNTIFS(集計用!$G151,"*, "&amp;X$3&amp;", *")</f>
        <v>0</v>
      </c>
      <c r="Y153" s="2">
        <f>COUNTIFS(集計用!$G151,"*, "&amp;Y$3&amp;", *")</f>
        <v>0</v>
      </c>
      <c r="Z153" s="2">
        <f>COUNTIFS(集計用!$G151,"*, "&amp;Z$3&amp;", *")</f>
        <v>0</v>
      </c>
      <c r="AA153" s="2">
        <f>COUNTIFS(集計用!$G151,"*, "&amp;AA$3&amp;", *")</f>
        <v>0</v>
      </c>
      <c r="AB153" s="2">
        <f>COUNTIFS(集計用!$G151,"*, "&amp;AB$3&amp;", *")</f>
        <v>0</v>
      </c>
      <c r="AC153" s="2">
        <f>COUNTIFS(集計用!$G151,"*, "&amp;AC$3&amp;", *")</f>
        <v>0</v>
      </c>
      <c r="AD153" s="2">
        <f>COUNTIFS(集計用!$G151,"*, "&amp;AD$3&amp;", *")</f>
        <v>0</v>
      </c>
      <c r="AE153" s="2">
        <f>COUNTIFS(集計用!$G151,"*, "&amp;AE$3&amp;", *")</f>
        <v>0</v>
      </c>
      <c r="AF153" s="2">
        <f>COUNTIFS(集計用!$G151,"*, "&amp;AF$3&amp;", *")</f>
        <v>0</v>
      </c>
      <c r="AG153" s="2">
        <f>COUNTIFS(集計用!$G151,"*, "&amp;AG$3&amp;", *")</f>
        <v>0</v>
      </c>
      <c r="AH153" s="2">
        <f>COUNTIFS(集計用!$G151,"*, "&amp;AH$3&amp;", *")</f>
        <v>0</v>
      </c>
      <c r="AI153" s="2">
        <f>COUNTIFS(集計用!$G151,"*, "&amp;AI$3&amp;", *")</f>
        <v>0</v>
      </c>
      <c r="AJ153" s="2">
        <f>COUNTIFS(集計用!$G151,"*, "&amp;AJ$3&amp;", *")</f>
        <v>0</v>
      </c>
      <c r="AK153" s="2">
        <f>COUNTIFS(集計用!$G151,"*, "&amp;AK$3&amp;", *")</f>
        <v>0</v>
      </c>
      <c r="AL153" s="2">
        <f>COUNTIFS(集計用!$G151,"*, "&amp;AL$3&amp;", *")</f>
        <v>0</v>
      </c>
      <c r="AM153" s="2">
        <f>COUNTIFS(集計用!$G151,"*, "&amp;AM$3&amp;", *")</f>
        <v>0</v>
      </c>
      <c r="AN153" s="2">
        <f>COUNTIFS(集計用!$G151,"*, "&amp;AN$3&amp;", *")</f>
        <v>0</v>
      </c>
      <c r="AO153" s="2">
        <f>COUNTIFS(集計用!$G151,"*, "&amp;AO$3&amp;", *")</f>
        <v>0</v>
      </c>
      <c r="AP153" s="2">
        <f>COUNTIFS(集計用!$G151,"*, "&amp;AP$3&amp;", *")</f>
        <v>0</v>
      </c>
      <c r="AQ153" s="2">
        <f>COUNTIFS(集計用!$G151,"*, "&amp;AQ$3&amp;", *")</f>
        <v>0</v>
      </c>
      <c r="AR153" s="2">
        <f>COUNTIFS(集計用!$G151,"*, "&amp;AR$3&amp;", *")</f>
        <v>0</v>
      </c>
      <c r="AS153" s="2">
        <f>COUNTIFS(集計用!$G151,"*, "&amp;AS$3&amp;", *")</f>
        <v>0</v>
      </c>
      <c r="AT153" s="2">
        <f>COUNTIFS(集計用!$G151,"*, "&amp;AT$3&amp;", *")</f>
        <v>0</v>
      </c>
      <c r="AU153" s="2">
        <f>COUNTIFS(集計用!$G151,"*, "&amp;AU$3&amp;", *")</f>
        <v>0</v>
      </c>
      <c r="AV153" s="2">
        <f>COUNTIFS(集計用!$G151,"*, "&amp;AV$3&amp;", *")</f>
        <v>0</v>
      </c>
      <c r="AW153" s="2">
        <f>COUNTIFS(集計用!$G151,"*, "&amp;AW$3&amp;", *")</f>
        <v>0</v>
      </c>
      <c r="AX153" s="2">
        <f>COUNTIFS(集計用!$G151,"*, "&amp;AX$3&amp;", *")</f>
        <v>0</v>
      </c>
      <c r="AY153" s="2">
        <f>COUNTIFS(集計用!$G151,"*, "&amp;AY$3&amp;", *")</f>
        <v>0</v>
      </c>
      <c r="AZ153" s="2">
        <f>COUNTIFS(集計用!$G151,"*, "&amp;AZ$3&amp;", *")</f>
        <v>0</v>
      </c>
      <c r="BA153" s="2">
        <f>COUNTIFS(集計用!$G151,"*, "&amp;BA$3&amp;", *")</f>
        <v>0</v>
      </c>
      <c r="BB153" s="2">
        <f>COUNTIFS(集計用!$G151,"*, "&amp;BB$3&amp;", *")</f>
        <v>0</v>
      </c>
      <c r="BC153" s="2">
        <f>COUNTIFS(集計用!$G151,"*, "&amp;BC$3&amp;", *")</f>
        <v>0</v>
      </c>
      <c r="BD153" s="2">
        <f>COUNTIFS(集計用!$G151,"*, "&amp;BD$3&amp;", *")</f>
        <v>0</v>
      </c>
      <c r="BE153" s="2">
        <f>COUNTIFS(集計用!$G151,"*, "&amp;BE$3&amp;", *")</f>
        <v>0</v>
      </c>
      <c r="BF153" s="2">
        <f>COUNTIFS(集計用!$G151,"*, "&amp;BF$3&amp;", *")</f>
        <v>0</v>
      </c>
      <c r="BG153" s="2">
        <f>COUNTIFS(集計用!$G151,"*, "&amp;BG$3&amp;", *")</f>
        <v>0</v>
      </c>
      <c r="BH153" s="2">
        <f>COUNTIFS(集計用!$G151,"*, "&amp;BH$3&amp;", *")</f>
        <v>0</v>
      </c>
      <c r="BI153" s="2">
        <f>COUNTIFS(集計用!$G151,"*, "&amp;BI$3&amp;", *")</f>
        <v>0</v>
      </c>
      <c r="BJ153" s="2">
        <f>LEN(集計用!H151)-LEN(SUBSTITUTE(集計用!H151,",",""))</f>
        <v>0</v>
      </c>
    </row>
    <row r="154" spans="1:62" ht="12.75">
      <c r="A154" s="8">
        <v>151</v>
      </c>
      <c r="C154" s="2">
        <f t="shared" si="3"/>
        <v>2</v>
      </c>
      <c r="D154" s="9"/>
      <c r="E154" s="2">
        <f>COUNTIFS(集計用!$G152,"*, "&amp;E$3&amp;", *")</f>
        <v>0</v>
      </c>
      <c r="F154" s="2">
        <f>COUNTIFS(集計用!$G152,"*, "&amp;F$3&amp;", *")</f>
        <v>0</v>
      </c>
      <c r="G154" s="2">
        <f>COUNTIFS(集計用!$G152,"*, "&amp;G$3&amp;", *")</f>
        <v>1</v>
      </c>
      <c r="H154" s="2">
        <f>COUNTIFS(集計用!$G152,"*, "&amp;H$3&amp;", *")</f>
        <v>0</v>
      </c>
      <c r="I154" s="2">
        <f>COUNTIFS(集計用!$G152,"*, "&amp;I$3&amp;", *")</f>
        <v>0</v>
      </c>
      <c r="J154" s="2">
        <f>COUNTIFS(集計用!$G152,"*, "&amp;J$3&amp;", *")</f>
        <v>0</v>
      </c>
      <c r="K154" s="2">
        <f>COUNTIFS(集計用!$G152,"*, "&amp;K$3&amp;", *")</f>
        <v>0</v>
      </c>
      <c r="L154" s="2">
        <f>COUNTIFS(集計用!$G152,"*, "&amp;L$3&amp;", *")</f>
        <v>0</v>
      </c>
      <c r="M154" s="2">
        <f>COUNTIFS(集計用!$G152,"*, "&amp;M$3&amp;", *")</f>
        <v>0</v>
      </c>
      <c r="N154" s="2">
        <f>COUNTIFS(集計用!$G152,"*, "&amp;N$3&amp;", *")</f>
        <v>1</v>
      </c>
      <c r="O154" s="2">
        <f>COUNTIFS(集計用!$G152,"*, "&amp;O$3&amp;", *")</f>
        <v>0</v>
      </c>
      <c r="P154" s="2">
        <f>COUNTIFS(集計用!$G152,"*, "&amp;P$3&amp;", *")</f>
        <v>0</v>
      </c>
      <c r="Q154" s="2">
        <f>COUNTIFS(集計用!$G152,"*, "&amp;Q$3&amp;", *")</f>
        <v>0</v>
      </c>
      <c r="R154" s="2">
        <f>COUNTIFS(集計用!$G152,"*, "&amp;R$3&amp;", *")</f>
        <v>0</v>
      </c>
      <c r="S154" s="2">
        <f>COUNTIFS(集計用!$G152,"*, "&amp;S$3&amp;", *")</f>
        <v>0</v>
      </c>
      <c r="T154" s="2">
        <f>COUNTIFS(集計用!$G152,"*, "&amp;T$3&amp;", *")</f>
        <v>0</v>
      </c>
      <c r="U154" s="2">
        <f>COUNTIFS(集計用!$G152,"*, "&amp;U$3&amp;", *")</f>
        <v>0</v>
      </c>
      <c r="V154" s="2">
        <f>COUNTIFS(集計用!$G152,"*, "&amp;V$3&amp;", *")</f>
        <v>0</v>
      </c>
      <c r="W154" s="2">
        <f>COUNTIFS(集計用!$G152,"*, "&amp;W$3&amp;", *")</f>
        <v>0</v>
      </c>
      <c r="X154" s="2">
        <f>COUNTIFS(集計用!$G152,"*, "&amp;X$3&amp;", *")</f>
        <v>0</v>
      </c>
      <c r="Y154" s="2">
        <f>COUNTIFS(集計用!$G152,"*, "&amp;Y$3&amp;", *")</f>
        <v>0</v>
      </c>
      <c r="Z154" s="2">
        <f>COUNTIFS(集計用!$G152,"*, "&amp;Z$3&amp;", *")</f>
        <v>0</v>
      </c>
      <c r="AA154" s="2">
        <f>COUNTIFS(集計用!$G152,"*, "&amp;AA$3&amp;", *")</f>
        <v>0</v>
      </c>
      <c r="AB154" s="2">
        <f>COUNTIFS(集計用!$G152,"*, "&amp;AB$3&amp;", *")</f>
        <v>0</v>
      </c>
      <c r="AC154" s="2">
        <f>COUNTIFS(集計用!$G152,"*, "&amp;AC$3&amp;", *")</f>
        <v>0</v>
      </c>
      <c r="AD154" s="2">
        <f>COUNTIFS(集計用!$G152,"*, "&amp;AD$3&amp;", *")</f>
        <v>0</v>
      </c>
      <c r="AE154" s="2">
        <f>COUNTIFS(集計用!$G152,"*, "&amp;AE$3&amp;", *")</f>
        <v>0</v>
      </c>
      <c r="AF154" s="2">
        <f>COUNTIFS(集計用!$G152,"*, "&amp;AF$3&amp;", *")</f>
        <v>0</v>
      </c>
      <c r="AG154" s="2">
        <f>COUNTIFS(集計用!$G152,"*, "&amp;AG$3&amp;", *")</f>
        <v>0</v>
      </c>
      <c r="AH154" s="2">
        <f>COUNTIFS(集計用!$G152,"*, "&amp;AH$3&amp;", *")</f>
        <v>0</v>
      </c>
      <c r="AI154" s="2">
        <f>COUNTIFS(集計用!$G152,"*, "&amp;AI$3&amp;", *")</f>
        <v>0</v>
      </c>
      <c r="AJ154" s="2">
        <f>COUNTIFS(集計用!$G152,"*, "&amp;AJ$3&amp;", *")</f>
        <v>0</v>
      </c>
      <c r="AK154" s="2">
        <f>COUNTIFS(集計用!$G152,"*, "&amp;AK$3&amp;", *")</f>
        <v>0</v>
      </c>
      <c r="AL154" s="2">
        <f>COUNTIFS(集計用!$G152,"*, "&amp;AL$3&amp;", *")</f>
        <v>0</v>
      </c>
      <c r="AM154" s="2">
        <f>COUNTIFS(集計用!$G152,"*, "&amp;AM$3&amp;", *")</f>
        <v>0</v>
      </c>
      <c r="AN154" s="2">
        <f>COUNTIFS(集計用!$G152,"*, "&amp;AN$3&amp;", *")</f>
        <v>0</v>
      </c>
      <c r="AO154" s="2">
        <f>COUNTIFS(集計用!$G152,"*, "&amp;AO$3&amp;", *")</f>
        <v>0</v>
      </c>
      <c r="AP154" s="2">
        <f>COUNTIFS(集計用!$G152,"*, "&amp;AP$3&amp;", *")</f>
        <v>0</v>
      </c>
      <c r="AQ154" s="2">
        <f>COUNTIFS(集計用!$G152,"*, "&amp;AQ$3&amp;", *")</f>
        <v>0</v>
      </c>
      <c r="AR154" s="2">
        <f>COUNTIFS(集計用!$G152,"*, "&amp;AR$3&amp;", *")</f>
        <v>0</v>
      </c>
      <c r="AS154" s="2">
        <f>COUNTIFS(集計用!$G152,"*, "&amp;AS$3&amp;", *")</f>
        <v>0</v>
      </c>
      <c r="AT154" s="2">
        <f>COUNTIFS(集計用!$G152,"*, "&amp;AT$3&amp;", *")</f>
        <v>0</v>
      </c>
      <c r="AU154" s="2">
        <f>COUNTIFS(集計用!$G152,"*, "&amp;AU$3&amp;", *")</f>
        <v>0</v>
      </c>
      <c r="AV154" s="2">
        <f>COUNTIFS(集計用!$G152,"*, "&amp;AV$3&amp;", *")</f>
        <v>0</v>
      </c>
      <c r="AW154" s="2">
        <f>COUNTIFS(集計用!$G152,"*, "&amp;AW$3&amp;", *")</f>
        <v>0</v>
      </c>
      <c r="AX154" s="2">
        <f>COUNTIFS(集計用!$G152,"*, "&amp;AX$3&amp;", *")</f>
        <v>0</v>
      </c>
      <c r="AY154" s="2">
        <f>COUNTIFS(集計用!$G152,"*, "&amp;AY$3&amp;", *")</f>
        <v>0</v>
      </c>
      <c r="AZ154" s="2">
        <f>COUNTIFS(集計用!$G152,"*, "&amp;AZ$3&amp;", *")</f>
        <v>0</v>
      </c>
      <c r="BA154" s="2">
        <f>COUNTIFS(集計用!$G152,"*, "&amp;BA$3&amp;", *")</f>
        <v>0</v>
      </c>
      <c r="BB154" s="2">
        <f>COUNTIFS(集計用!$G152,"*, "&amp;BB$3&amp;", *")</f>
        <v>0</v>
      </c>
      <c r="BC154" s="2">
        <f>COUNTIFS(集計用!$G152,"*, "&amp;BC$3&amp;", *")</f>
        <v>0</v>
      </c>
      <c r="BD154" s="2">
        <f>COUNTIFS(集計用!$G152,"*, "&amp;BD$3&amp;", *")</f>
        <v>0</v>
      </c>
      <c r="BE154" s="2">
        <f>COUNTIFS(集計用!$G152,"*, "&amp;BE$3&amp;", *")</f>
        <v>0</v>
      </c>
      <c r="BF154" s="2">
        <f>COUNTIFS(集計用!$G152,"*, "&amp;BF$3&amp;", *")</f>
        <v>0</v>
      </c>
      <c r="BG154" s="2">
        <f>COUNTIFS(集計用!$G152,"*, "&amp;BG$3&amp;", *")</f>
        <v>0</v>
      </c>
      <c r="BH154" s="2">
        <f>COUNTIFS(集計用!$G152,"*, "&amp;BH$3&amp;", *")</f>
        <v>0</v>
      </c>
      <c r="BI154" s="2">
        <f>COUNTIFS(集計用!$G152,"*, "&amp;BI$3&amp;", *")</f>
        <v>0</v>
      </c>
      <c r="BJ154" s="2">
        <f>LEN(集計用!H152)-LEN(SUBSTITUTE(集計用!H152,",",""))</f>
        <v>0</v>
      </c>
    </row>
    <row r="155" spans="1:62" ht="12.75">
      <c r="A155" s="8">
        <v>152</v>
      </c>
      <c r="C155" s="2">
        <f t="shared" si="3"/>
        <v>2</v>
      </c>
      <c r="D155" s="9"/>
      <c r="E155" s="2">
        <f>COUNTIFS(集計用!$G153,"*, "&amp;E$3&amp;", *")</f>
        <v>0</v>
      </c>
      <c r="F155" s="2">
        <f>COUNTIFS(集計用!$G153,"*, "&amp;F$3&amp;", *")</f>
        <v>0</v>
      </c>
      <c r="G155" s="2">
        <f>COUNTIFS(集計用!$G153,"*, "&amp;G$3&amp;", *")</f>
        <v>0</v>
      </c>
      <c r="H155" s="2">
        <f>COUNTIFS(集計用!$G153,"*, "&amp;H$3&amp;", *")</f>
        <v>0</v>
      </c>
      <c r="I155" s="2">
        <f>COUNTIFS(集計用!$G153,"*, "&amp;I$3&amp;", *")</f>
        <v>0</v>
      </c>
      <c r="J155" s="2">
        <f>COUNTIFS(集計用!$G153,"*, "&amp;J$3&amp;", *")</f>
        <v>0</v>
      </c>
      <c r="K155" s="2">
        <f>COUNTIFS(集計用!$G153,"*, "&amp;K$3&amp;", *")</f>
        <v>0</v>
      </c>
      <c r="L155" s="2">
        <f>COUNTIFS(集計用!$G153,"*, "&amp;L$3&amp;", *")</f>
        <v>0</v>
      </c>
      <c r="M155" s="2">
        <f>COUNTIFS(集計用!$G153,"*, "&amp;M$3&amp;", *")</f>
        <v>0</v>
      </c>
      <c r="N155" s="2">
        <f>COUNTIFS(集計用!$G153,"*, "&amp;N$3&amp;", *")</f>
        <v>0</v>
      </c>
      <c r="O155" s="2">
        <f>COUNTIFS(集計用!$G153,"*, "&amp;O$3&amp;", *")</f>
        <v>0</v>
      </c>
      <c r="P155" s="2">
        <f>COUNTIFS(集計用!$G153,"*, "&amp;P$3&amp;", *")</f>
        <v>0</v>
      </c>
      <c r="Q155" s="2">
        <f>COUNTIFS(集計用!$G153,"*, "&amp;Q$3&amp;", *")</f>
        <v>0</v>
      </c>
      <c r="R155" s="2">
        <f>COUNTIFS(集計用!$G153,"*, "&amp;R$3&amp;", *")</f>
        <v>0</v>
      </c>
      <c r="S155" s="2">
        <f>COUNTIFS(集計用!$G153,"*, "&amp;S$3&amp;", *")</f>
        <v>0</v>
      </c>
      <c r="T155" s="2">
        <f>COUNTIFS(集計用!$G153,"*, "&amp;T$3&amp;", *")</f>
        <v>1</v>
      </c>
      <c r="U155" s="2">
        <f>COUNTIFS(集計用!$G153,"*, "&amp;U$3&amp;", *")</f>
        <v>0</v>
      </c>
      <c r="V155" s="2">
        <f>COUNTIFS(集計用!$G153,"*, "&amp;V$3&amp;", *")</f>
        <v>0</v>
      </c>
      <c r="W155" s="2">
        <f>COUNTIFS(集計用!$G153,"*, "&amp;W$3&amp;", *")</f>
        <v>0</v>
      </c>
      <c r="X155" s="2">
        <f>COUNTIFS(集計用!$G153,"*, "&amp;X$3&amp;", *")</f>
        <v>0</v>
      </c>
      <c r="Y155" s="2">
        <f>COUNTIFS(集計用!$G153,"*, "&amp;Y$3&amp;", *")</f>
        <v>0</v>
      </c>
      <c r="Z155" s="2">
        <f>COUNTIFS(集計用!$G153,"*, "&amp;Z$3&amp;", *")</f>
        <v>0</v>
      </c>
      <c r="AA155" s="2">
        <f>COUNTIFS(集計用!$G153,"*, "&amp;AA$3&amp;", *")</f>
        <v>0</v>
      </c>
      <c r="AB155" s="2">
        <f>COUNTIFS(集計用!$G153,"*, "&amp;AB$3&amp;", *")</f>
        <v>0</v>
      </c>
      <c r="AC155" s="2">
        <f>COUNTIFS(集計用!$G153,"*, "&amp;AC$3&amp;", *")</f>
        <v>0</v>
      </c>
      <c r="AD155" s="2">
        <f>COUNTIFS(集計用!$G153,"*, "&amp;AD$3&amp;", *")</f>
        <v>0</v>
      </c>
      <c r="AE155" s="2">
        <f>COUNTIFS(集計用!$G153,"*, "&amp;AE$3&amp;", *")</f>
        <v>0</v>
      </c>
      <c r="AF155" s="2">
        <f>COUNTIFS(集計用!$G153,"*, "&amp;AF$3&amp;", *")</f>
        <v>0</v>
      </c>
      <c r="AG155" s="2">
        <f>COUNTIFS(集計用!$G153,"*, "&amp;AG$3&amp;", *")</f>
        <v>0</v>
      </c>
      <c r="AH155" s="2">
        <f>COUNTIFS(集計用!$G153,"*, "&amp;AH$3&amp;", *")</f>
        <v>0</v>
      </c>
      <c r="AI155" s="2">
        <f>COUNTIFS(集計用!$G153,"*, "&amp;AI$3&amp;", *")</f>
        <v>0</v>
      </c>
      <c r="AJ155" s="2">
        <f>COUNTIFS(集計用!$G153,"*, "&amp;AJ$3&amp;", *")</f>
        <v>0</v>
      </c>
      <c r="AK155" s="2">
        <f>COUNTIFS(集計用!$G153,"*, "&amp;AK$3&amp;", *")</f>
        <v>0</v>
      </c>
      <c r="AL155" s="2">
        <f>COUNTIFS(集計用!$G153,"*, "&amp;AL$3&amp;", *")</f>
        <v>0</v>
      </c>
      <c r="AM155" s="2">
        <f>COUNTIFS(集計用!$G153,"*, "&amp;AM$3&amp;", *")</f>
        <v>0</v>
      </c>
      <c r="AN155" s="2">
        <f>COUNTIFS(集計用!$G153,"*, "&amp;AN$3&amp;", *")</f>
        <v>0</v>
      </c>
      <c r="AO155" s="2">
        <f>COUNTIFS(集計用!$G153,"*, "&amp;AO$3&amp;", *")</f>
        <v>0</v>
      </c>
      <c r="AP155" s="2">
        <f>COUNTIFS(集計用!$G153,"*, "&amp;AP$3&amp;", *")</f>
        <v>0</v>
      </c>
      <c r="AQ155" s="2">
        <f>COUNTIFS(集計用!$G153,"*, "&amp;AQ$3&amp;", *")</f>
        <v>0</v>
      </c>
      <c r="AR155" s="2">
        <f>COUNTIFS(集計用!$G153,"*, "&amp;AR$3&amp;", *")</f>
        <v>0</v>
      </c>
      <c r="AS155" s="2">
        <f>COUNTIFS(集計用!$G153,"*, "&amp;AS$3&amp;", *")</f>
        <v>0</v>
      </c>
      <c r="AT155" s="2">
        <f>COUNTIFS(集計用!$G153,"*, "&amp;AT$3&amp;", *")</f>
        <v>0</v>
      </c>
      <c r="AU155" s="2">
        <f>COUNTIFS(集計用!$G153,"*, "&amp;AU$3&amp;", *")</f>
        <v>0</v>
      </c>
      <c r="AV155" s="2">
        <f>COUNTIFS(集計用!$G153,"*, "&amp;AV$3&amp;", *")</f>
        <v>0</v>
      </c>
      <c r="AW155" s="2">
        <f>COUNTIFS(集計用!$G153,"*, "&amp;AW$3&amp;", *")</f>
        <v>0</v>
      </c>
      <c r="AX155" s="2">
        <f>COUNTIFS(集計用!$G153,"*, "&amp;AX$3&amp;", *")</f>
        <v>0</v>
      </c>
      <c r="AY155" s="2">
        <f>COUNTIFS(集計用!$G153,"*, "&amp;AY$3&amp;", *")</f>
        <v>0</v>
      </c>
      <c r="AZ155" s="2">
        <f>COUNTIFS(集計用!$G153,"*, "&amp;AZ$3&amp;", *")</f>
        <v>0</v>
      </c>
      <c r="BA155" s="2">
        <f>COUNTIFS(集計用!$G153,"*, "&amp;BA$3&amp;", *")</f>
        <v>0</v>
      </c>
      <c r="BB155" s="2">
        <f>COUNTIFS(集計用!$G153,"*, "&amp;BB$3&amp;", *")</f>
        <v>0</v>
      </c>
      <c r="BC155" s="2">
        <f>COUNTIFS(集計用!$G153,"*, "&amp;BC$3&amp;", *")</f>
        <v>0</v>
      </c>
      <c r="BD155" s="2">
        <f>COUNTIFS(集計用!$G153,"*, "&amp;BD$3&amp;", *")</f>
        <v>0</v>
      </c>
      <c r="BE155" s="2">
        <f>COUNTIFS(集計用!$G153,"*, "&amp;BE$3&amp;", *")</f>
        <v>0</v>
      </c>
      <c r="BF155" s="2">
        <f>COUNTIFS(集計用!$G153,"*, "&amp;BF$3&amp;", *")</f>
        <v>0</v>
      </c>
      <c r="BG155" s="2">
        <f>COUNTIFS(集計用!$G153,"*, "&amp;BG$3&amp;", *")</f>
        <v>1</v>
      </c>
      <c r="BH155" s="2">
        <f>COUNTIFS(集計用!$G153,"*, "&amp;BH$3&amp;", *")</f>
        <v>0</v>
      </c>
      <c r="BI155" s="2">
        <f>COUNTIFS(集計用!$G153,"*, "&amp;BI$3&amp;", *")</f>
        <v>0</v>
      </c>
      <c r="BJ155" s="2">
        <f>LEN(集計用!H153)-LEN(SUBSTITUTE(集計用!H153,",",""))</f>
        <v>0</v>
      </c>
    </row>
    <row r="156" spans="1:62" ht="12.75">
      <c r="A156" s="8">
        <v>153</v>
      </c>
      <c r="C156" s="2">
        <f t="shared" si="3"/>
        <v>6</v>
      </c>
      <c r="D156" s="9"/>
      <c r="E156" s="2">
        <f>COUNTIFS(集計用!$G154,"*, "&amp;E$3&amp;", *")</f>
        <v>1</v>
      </c>
      <c r="F156" s="2">
        <f>COUNTIFS(集計用!$G154,"*, "&amp;F$3&amp;", *")</f>
        <v>0</v>
      </c>
      <c r="G156" s="2">
        <f>COUNTIFS(集計用!$G154,"*, "&amp;G$3&amp;", *")</f>
        <v>0</v>
      </c>
      <c r="H156" s="2">
        <f>COUNTIFS(集計用!$G154,"*, "&amp;H$3&amp;", *")</f>
        <v>1</v>
      </c>
      <c r="I156" s="2">
        <f>COUNTIFS(集計用!$G154,"*, "&amp;I$3&amp;", *")</f>
        <v>0</v>
      </c>
      <c r="J156" s="2">
        <f>COUNTIFS(集計用!$G154,"*, "&amp;J$3&amp;", *")</f>
        <v>0</v>
      </c>
      <c r="K156" s="2">
        <f>COUNTIFS(集計用!$G154,"*, "&amp;K$3&amp;", *")</f>
        <v>0</v>
      </c>
      <c r="L156" s="2">
        <f>COUNTIFS(集計用!$G154,"*, "&amp;L$3&amp;", *")</f>
        <v>0</v>
      </c>
      <c r="M156" s="2">
        <f>COUNTIFS(集計用!$G154,"*, "&amp;M$3&amp;", *")</f>
        <v>0</v>
      </c>
      <c r="N156" s="2">
        <f>COUNTIFS(集計用!$G154,"*, "&amp;N$3&amp;", *")</f>
        <v>0</v>
      </c>
      <c r="O156" s="2">
        <f>COUNTIFS(集計用!$G154,"*, "&amp;O$3&amp;", *")</f>
        <v>0</v>
      </c>
      <c r="P156" s="2">
        <f>COUNTIFS(集計用!$G154,"*, "&amp;P$3&amp;", *")</f>
        <v>0</v>
      </c>
      <c r="Q156" s="2">
        <f>COUNTIFS(集計用!$G154,"*, "&amp;Q$3&amp;", *")</f>
        <v>0</v>
      </c>
      <c r="R156" s="2">
        <f>COUNTIFS(集計用!$G154,"*, "&amp;R$3&amp;", *")</f>
        <v>0</v>
      </c>
      <c r="S156" s="2">
        <f>COUNTIFS(集計用!$G154,"*, "&amp;S$3&amp;", *")</f>
        <v>0</v>
      </c>
      <c r="T156" s="2">
        <f>COUNTIFS(集計用!$G154,"*, "&amp;T$3&amp;", *")</f>
        <v>0</v>
      </c>
      <c r="U156" s="2">
        <f>COUNTIFS(集計用!$G154,"*, "&amp;U$3&amp;", *")</f>
        <v>0</v>
      </c>
      <c r="V156" s="2">
        <f>COUNTIFS(集計用!$G154,"*, "&amp;V$3&amp;", *")</f>
        <v>0</v>
      </c>
      <c r="W156" s="2">
        <f>COUNTIFS(集計用!$G154,"*, "&amp;W$3&amp;", *")</f>
        <v>0</v>
      </c>
      <c r="X156" s="2">
        <f>COUNTIFS(集計用!$G154,"*, "&amp;X$3&amp;", *")</f>
        <v>0</v>
      </c>
      <c r="Y156" s="2">
        <f>COUNTIFS(集計用!$G154,"*, "&amp;Y$3&amp;", *")</f>
        <v>1</v>
      </c>
      <c r="Z156" s="2">
        <f>COUNTIFS(集計用!$G154,"*, "&amp;Z$3&amp;", *")</f>
        <v>0</v>
      </c>
      <c r="AA156" s="2">
        <f>COUNTIFS(集計用!$G154,"*, "&amp;AA$3&amp;", *")</f>
        <v>0</v>
      </c>
      <c r="AB156" s="2">
        <f>COUNTIFS(集計用!$G154,"*, "&amp;AB$3&amp;", *")</f>
        <v>0</v>
      </c>
      <c r="AC156" s="2">
        <f>COUNTIFS(集計用!$G154,"*, "&amp;AC$3&amp;", *")</f>
        <v>0</v>
      </c>
      <c r="AD156" s="2">
        <f>COUNTIFS(集計用!$G154,"*, "&amp;AD$3&amp;", *")</f>
        <v>0</v>
      </c>
      <c r="AE156" s="2">
        <f>COUNTIFS(集計用!$G154,"*, "&amp;AE$3&amp;", *")</f>
        <v>0</v>
      </c>
      <c r="AF156" s="2">
        <f>COUNTIFS(集計用!$G154,"*, "&amp;AF$3&amp;", *")</f>
        <v>0</v>
      </c>
      <c r="AG156" s="2">
        <f>COUNTIFS(集計用!$G154,"*, "&amp;AG$3&amp;", *")</f>
        <v>1</v>
      </c>
      <c r="AH156" s="2">
        <f>COUNTIFS(集計用!$G154,"*, "&amp;AH$3&amp;", *")</f>
        <v>0</v>
      </c>
      <c r="AI156" s="2">
        <f>COUNTIFS(集計用!$G154,"*, "&amp;AI$3&amp;", *")</f>
        <v>1</v>
      </c>
      <c r="AJ156" s="2">
        <f>COUNTIFS(集計用!$G154,"*, "&amp;AJ$3&amp;", *")</f>
        <v>0</v>
      </c>
      <c r="AK156" s="2">
        <f>COUNTIFS(集計用!$G154,"*, "&amp;AK$3&amp;", *")</f>
        <v>0</v>
      </c>
      <c r="AL156" s="2">
        <f>COUNTIFS(集計用!$G154,"*, "&amp;AL$3&amp;", *")</f>
        <v>0</v>
      </c>
      <c r="AM156" s="2">
        <f>COUNTIFS(集計用!$G154,"*, "&amp;AM$3&amp;", *")</f>
        <v>0</v>
      </c>
      <c r="AN156" s="2">
        <f>COUNTIFS(集計用!$G154,"*, "&amp;AN$3&amp;", *")</f>
        <v>0</v>
      </c>
      <c r="AO156" s="2">
        <f>COUNTIFS(集計用!$G154,"*, "&amp;AO$3&amp;", *")</f>
        <v>0</v>
      </c>
      <c r="AP156" s="2">
        <f>COUNTIFS(集計用!$G154,"*, "&amp;AP$3&amp;", *")</f>
        <v>0</v>
      </c>
      <c r="AQ156" s="2">
        <f>COUNTIFS(集計用!$G154,"*, "&amp;AQ$3&amp;", *")</f>
        <v>0</v>
      </c>
      <c r="AR156" s="2">
        <f>COUNTIFS(集計用!$G154,"*, "&amp;AR$3&amp;", *")</f>
        <v>0</v>
      </c>
      <c r="AS156" s="2">
        <f>COUNTIFS(集計用!$G154,"*, "&amp;AS$3&amp;", *")</f>
        <v>0</v>
      </c>
      <c r="AT156" s="2">
        <f>COUNTIFS(集計用!$G154,"*, "&amp;AT$3&amp;", *")</f>
        <v>0</v>
      </c>
      <c r="AU156" s="2">
        <f>COUNTIFS(集計用!$G154,"*, "&amp;AU$3&amp;", *")</f>
        <v>0</v>
      </c>
      <c r="AV156" s="2">
        <f>COUNTIFS(集計用!$G154,"*, "&amp;AV$3&amp;", *")</f>
        <v>0</v>
      </c>
      <c r="AW156" s="2">
        <f>COUNTIFS(集計用!$G154,"*, "&amp;AW$3&amp;", *")</f>
        <v>0</v>
      </c>
      <c r="AX156" s="2">
        <f>COUNTIFS(集計用!$G154,"*, "&amp;AX$3&amp;", *")</f>
        <v>0</v>
      </c>
      <c r="AY156" s="2">
        <f>COUNTIFS(集計用!$G154,"*, "&amp;AY$3&amp;", *")</f>
        <v>0</v>
      </c>
      <c r="AZ156" s="2">
        <f>COUNTIFS(集計用!$G154,"*, "&amp;AZ$3&amp;", *")</f>
        <v>0</v>
      </c>
      <c r="BA156" s="2">
        <f>COUNTIFS(集計用!$G154,"*, "&amp;BA$3&amp;", *")</f>
        <v>0</v>
      </c>
      <c r="BB156" s="2">
        <f>COUNTIFS(集計用!$G154,"*, "&amp;BB$3&amp;", *")</f>
        <v>0</v>
      </c>
      <c r="BC156" s="2">
        <f>COUNTIFS(集計用!$G154,"*, "&amp;BC$3&amp;", *")</f>
        <v>0</v>
      </c>
      <c r="BD156" s="2">
        <f>COUNTIFS(集計用!$G154,"*, "&amp;BD$3&amp;", *")</f>
        <v>0</v>
      </c>
      <c r="BE156" s="2">
        <f>COUNTIFS(集計用!$G154,"*, "&amp;BE$3&amp;", *")</f>
        <v>0</v>
      </c>
      <c r="BF156" s="2">
        <f>COUNTIFS(集計用!$G154,"*, "&amp;BF$3&amp;", *")</f>
        <v>0</v>
      </c>
      <c r="BG156" s="2">
        <f>COUNTIFS(集計用!$G154,"*, "&amp;BG$3&amp;", *")</f>
        <v>0</v>
      </c>
      <c r="BH156" s="2">
        <f>COUNTIFS(集計用!$G154,"*, "&amp;BH$3&amp;", *")</f>
        <v>0</v>
      </c>
      <c r="BI156" s="2">
        <f>COUNTIFS(集計用!$G154,"*, "&amp;BI$3&amp;", *")</f>
        <v>0</v>
      </c>
      <c r="BJ156" s="2">
        <f>LEN(集計用!H154)-LEN(SUBSTITUTE(集計用!H154,",",""))</f>
        <v>1</v>
      </c>
    </row>
    <row r="157" spans="1:62" ht="12.75">
      <c r="A157" s="8">
        <v>154</v>
      </c>
      <c r="C157" s="2">
        <f t="shared" si="3"/>
        <v>4</v>
      </c>
      <c r="D157" s="9"/>
      <c r="E157" s="2">
        <f>COUNTIFS(集計用!$G155,"*, "&amp;E$3&amp;", *")</f>
        <v>1</v>
      </c>
      <c r="F157" s="2">
        <f>COUNTIFS(集計用!$G155,"*, "&amp;F$3&amp;", *")</f>
        <v>0</v>
      </c>
      <c r="G157" s="2">
        <f>COUNTIFS(集計用!$G155,"*, "&amp;G$3&amp;", *")</f>
        <v>0</v>
      </c>
      <c r="H157" s="2">
        <f>COUNTIFS(集計用!$G155,"*, "&amp;H$3&amp;", *")</f>
        <v>0</v>
      </c>
      <c r="I157" s="2">
        <f>COUNTIFS(集計用!$G155,"*, "&amp;I$3&amp;", *")</f>
        <v>1</v>
      </c>
      <c r="J157" s="2">
        <f>COUNTIFS(集計用!$G155,"*, "&amp;J$3&amp;", *")</f>
        <v>0</v>
      </c>
      <c r="K157" s="2">
        <f>COUNTIFS(集計用!$G155,"*, "&amp;K$3&amp;", *")</f>
        <v>0</v>
      </c>
      <c r="L157" s="2">
        <f>COUNTIFS(集計用!$G155,"*, "&amp;L$3&amp;", *")</f>
        <v>0</v>
      </c>
      <c r="M157" s="2">
        <f>COUNTIFS(集計用!$G155,"*, "&amp;M$3&amp;", *")</f>
        <v>1</v>
      </c>
      <c r="N157" s="2">
        <f>COUNTIFS(集計用!$G155,"*, "&amp;N$3&amp;", *")</f>
        <v>0</v>
      </c>
      <c r="O157" s="2">
        <f>COUNTIFS(集計用!$G155,"*, "&amp;O$3&amp;", *")</f>
        <v>0</v>
      </c>
      <c r="P157" s="2">
        <f>COUNTIFS(集計用!$G155,"*, "&amp;P$3&amp;", *")</f>
        <v>0</v>
      </c>
      <c r="Q157" s="2">
        <f>COUNTIFS(集計用!$G155,"*, "&amp;Q$3&amp;", *")</f>
        <v>0</v>
      </c>
      <c r="R157" s="2">
        <f>COUNTIFS(集計用!$G155,"*, "&amp;R$3&amp;", *")</f>
        <v>0</v>
      </c>
      <c r="S157" s="2">
        <f>COUNTIFS(集計用!$G155,"*, "&amp;S$3&amp;", *")</f>
        <v>0</v>
      </c>
      <c r="T157" s="2">
        <f>COUNTIFS(集計用!$G155,"*, "&amp;T$3&amp;", *")</f>
        <v>0</v>
      </c>
      <c r="U157" s="2">
        <f>COUNTIFS(集計用!$G155,"*, "&amp;U$3&amp;", *")</f>
        <v>0</v>
      </c>
      <c r="V157" s="2">
        <f>COUNTIFS(集計用!$G155,"*, "&amp;V$3&amp;", *")</f>
        <v>0</v>
      </c>
      <c r="W157" s="2">
        <f>COUNTIFS(集計用!$G155,"*, "&amp;W$3&amp;", *")</f>
        <v>0</v>
      </c>
      <c r="X157" s="2">
        <f>COUNTIFS(集計用!$G155,"*, "&amp;X$3&amp;", *")</f>
        <v>0</v>
      </c>
      <c r="Y157" s="2">
        <f>COUNTIFS(集計用!$G155,"*, "&amp;Y$3&amp;", *")</f>
        <v>0</v>
      </c>
      <c r="Z157" s="2">
        <f>COUNTIFS(集計用!$G155,"*, "&amp;Z$3&amp;", *")</f>
        <v>0</v>
      </c>
      <c r="AA157" s="2">
        <f>COUNTIFS(集計用!$G155,"*, "&amp;AA$3&amp;", *")</f>
        <v>0</v>
      </c>
      <c r="AB157" s="2">
        <f>COUNTIFS(集計用!$G155,"*, "&amp;AB$3&amp;", *")</f>
        <v>0</v>
      </c>
      <c r="AC157" s="2">
        <f>COUNTIFS(集計用!$G155,"*, "&amp;AC$3&amp;", *")</f>
        <v>1</v>
      </c>
      <c r="AD157" s="2">
        <f>COUNTIFS(集計用!$G155,"*, "&amp;AD$3&amp;", *")</f>
        <v>0</v>
      </c>
      <c r="AE157" s="2">
        <f>COUNTIFS(集計用!$G155,"*, "&amp;AE$3&amp;", *")</f>
        <v>0</v>
      </c>
      <c r="AF157" s="2">
        <f>COUNTIFS(集計用!$G155,"*, "&amp;AF$3&amp;", *")</f>
        <v>0</v>
      </c>
      <c r="AG157" s="2">
        <f>COUNTIFS(集計用!$G155,"*, "&amp;AG$3&amp;", *")</f>
        <v>0</v>
      </c>
      <c r="AH157" s="2">
        <f>COUNTIFS(集計用!$G155,"*, "&amp;AH$3&amp;", *")</f>
        <v>0</v>
      </c>
      <c r="AI157" s="2">
        <f>COUNTIFS(集計用!$G155,"*, "&amp;AI$3&amp;", *")</f>
        <v>0</v>
      </c>
      <c r="AJ157" s="2">
        <f>COUNTIFS(集計用!$G155,"*, "&amp;AJ$3&amp;", *")</f>
        <v>0</v>
      </c>
      <c r="AK157" s="2">
        <f>COUNTIFS(集計用!$G155,"*, "&amp;AK$3&amp;", *")</f>
        <v>0</v>
      </c>
      <c r="AL157" s="2">
        <f>COUNTIFS(集計用!$G155,"*, "&amp;AL$3&amp;", *")</f>
        <v>0</v>
      </c>
      <c r="AM157" s="2">
        <f>COUNTIFS(集計用!$G155,"*, "&amp;AM$3&amp;", *")</f>
        <v>0</v>
      </c>
      <c r="AN157" s="2">
        <f>COUNTIFS(集計用!$G155,"*, "&amp;AN$3&amp;", *")</f>
        <v>0</v>
      </c>
      <c r="AO157" s="2">
        <f>COUNTIFS(集計用!$G155,"*, "&amp;AO$3&amp;", *")</f>
        <v>0</v>
      </c>
      <c r="AP157" s="2">
        <f>COUNTIFS(集計用!$G155,"*, "&amp;AP$3&amp;", *")</f>
        <v>0</v>
      </c>
      <c r="AQ157" s="2">
        <f>COUNTIFS(集計用!$G155,"*, "&amp;AQ$3&amp;", *")</f>
        <v>0</v>
      </c>
      <c r="AR157" s="2">
        <f>COUNTIFS(集計用!$G155,"*, "&amp;AR$3&amp;", *")</f>
        <v>0</v>
      </c>
      <c r="AS157" s="2">
        <f>COUNTIFS(集計用!$G155,"*, "&amp;AS$3&amp;", *")</f>
        <v>0</v>
      </c>
      <c r="AT157" s="2">
        <f>COUNTIFS(集計用!$G155,"*, "&amp;AT$3&amp;", *")</f>
        <v>0</v>
      </c>
      <c r="AU157" s="2">
        <f>COUNTIFS(集計用!$G155,"*, "&amp;AU$3&amp;", *")</f>
        <v>0</v>
      </c>
      <c r="AV157" s="2">
        <f>COUNTIFS(集計用!$G155,"*, "&amp;AV$3&amp;", *")</f>
        <v>0</v>
      </c>
      <c r="AW157" s="2">
        <f>COUNTIFS(集計用!$G155,"*, "&amp;AW$3&amp;", *")</f>
        <v>0</v>
      </c>
      <c r="AX157" s="2">
        <f>COUNTIFS(集計用!$G155,"*, "&amp;AX$3&amp;", *")</f>
        <v>0</v>
      </c>
      <c r="AY157" s="2">
        <f>COUNTIFS(集計用!$G155,"*, "&amp;AY$3&amp;", *")</f>
        <v>0</v>
      </c>
      <c r="AZ157" s="2">
        <f>COUNTIFS(集計用!$G155,"*, "&amp;AZ$3&amp;", *")</f>
        <v>0</v>
      </c>
      <c r="BA157" s="2">
        <f>COUNTIFS(集計用!$G155,"*, "&amp;BA$3&amp;", *")</f>
        <v>0</v>
      </c>
      <c r="BB157" s="2">
        <f>COUNTIFS(集計用!$G155,"*, "&amp;BB$3&amp;", *")</f>
        <v>0</v>
      </c>
      <c r="BC157" s="2">
        <f>COUNTIFS(集計用!$G155,"*, "&amp;BC$3&amp;", *")</f>
        <v>0</v>
      </c>
      <c r="BD157" s="2">
        <f>COUNTIFS(集計用!$G155,"*, "&amp;BD$3&amp;", *")</f>
        <v>0</v>
      </c>
      <c r="BE157" s="2">
        <f>COUNTIFS(集計用!$G155,"*, "&amp;BE$3&amp;", *")</f>
        <v>0</v>
      </c>
      <c r="BF157" s="2">
        <f>COUNTIFS(集計用!$G155,"*, "&amp;BF$3&amp;", *")</f>
        <v>0</v>
      </c>
      <c r="BG157" s="2">
        <f>COUNTIFS(集計用!$G155,"*, "&amp;BG$3&amp;", *")</f>
        <v>0</v>
      </c>
      <c r="BH157" s="2">
        <f>COUNTIFS(集計用!$G155,"*, "&amp;BH$3&amp;", *")</f>
        <v>0</v>
      </c>
      <c r="BI157" s="2">
        <f>COUNTIFS(集計用!$G155,"*, "&amp;BI$3&amp;", *")</f>
        <v>0</v>
      </c>
      <c r="BJ157" s="2">
        <f>LEN(集計用!H155)-LEN(SUBSTITUTE(集計用!H155,",",""))</f>
        <v>0</v>
      </c>
    </row>
    <row r="158" spans="1:62" ht="12.75">
      <c r="A158" s="8">
        <v>155</v>
      </c>
      <c r="C158" s="2">
        <f t="shared" si="3"/>
        <v>15</v>
      </c>
      <c r="D158" s="9"/>
      <c r="E158" s="2">
        <f>COUNTIFS(集計用!$G156,"*, "&amp;E$3&amp;", *")</f>
        <v>1</v>
      </c>
      <c r="F158" s="2">
        <f>COUNTIFS(集計用!$G156,"*, "&amp;F$3&amp;", *")</f>
        <v>1</v>
      </c>
      <c r="G158" s="2">
        <f>COUNTIFS(集計用!$G156,"*, "&amp;G$3&amp;", *")</f>
        <v>0</v>
      </c>
      <c r="H158" s="2">
        <f>COUNTIFS(集計用!$G156,"*, "&amp;H$3&amp;", *")</f>
        <v>0</v>
      </c>
      <c r="I158" s="2">
        <f>COUNTIFS(集計用!$G156,"*, "&amp;I$3&amp;", *")</f>
        <v>0</v>
      </c>
      <c r="J158" s="2">
        <f>COUNTIFS(集計用!$G156,"*, "&amp;J$3&amp;", *")</f>
        <v>1</v>
      </c>
      <c r="K158" s="2">
        <f>COUNTIFS(集計用!$G156,"*, "&amp;K$3&amp;", *")</f>
        <v>0</v>
      </c>
      <c r="L158" s="2">
        <f>COUNTIFS(集計用!$G156,"*, "&amp;L$3&amp;", *")</f>
        <v>0</v>
      </c>
      <c r="M158" s="2">
        <f>COUNTIFS(集計用!$G156,"*, "&amp;M$3&amp;", *")</f>
        <v>1</v>
      </c>
      <c r="N158" s="2">
        <f>COUNTIFS(集計用!$G156,"*, "&amp;N$3&amp;", *")</f>
        <v>0</v>
      </c>
      <c r="O158" s="2">
        <f>COUNTIFS(集計用!$G156,"*, "&amp;O$3&amp;", *")</f>
        <v>1</v>
      </c>
      <c r="P158" s="2">
        <f>COUNTIFS(集計用!$G156,"*, "&amp;P$3&amp;", *")</f>
        <v>0</v>
      </c>
      <c r="Q158" s="2">
        <f>COUNTIFS(集計用!$G156,"*, "&amp;Q$3&amp;", *")</f>
        <v>0</v>
      </c>
      <c r="R158" s="2">
        <f>COUNTIFS(集計用!$G156,"*, "&amp;R$3&amp;", *")</f>
        <v>0</v>
      </c>
      <c r="S158" s="2">
        <f>COUNTIFS(集計用!$G156,"*, "&amp;S$3&amp;", *")</f>
        <v>0</v>
      </c>
      <c r="T158" s="2">
        <f>COUNTIFS(集計用!$G156,"*, "&amp;T$3&amp;", *")</f>
        <v>0</v>
      </c>
      <c r="U158" s="2">
        <f>COUNTIFS(集計用!$G156,"*, "&amp;U$3&amp;", *")</f>
        <v>1</v>
      </c>
      <c r="V158" s="2">
        <f>COUNTIFS(集計用!$G156,"*, "&amp;V$3&amp;", *")</f>
        <v>1</v>
      </c>
      <c r="W158" s="2">
        <f>COUNTIFS(集計用!$G156,"*, "&amp;W$3&amp;", *")</f>
        <v>1</v>
      </c>
      <c r="X158" s="2">
        <f>COUNTIFS(集計用!$G156,"*, "&amp;X$3&amp;", *")</f>
        <v>0</v>
      </c>
      <c r="Y158" s="2">
        <f>COUNTIFS(集計用!$G156,"*, "&amp;Y$3&amp;", *")</f>
        <v>0</v>
      </c>
      <c r="Z158" s="2">
        <f>COUNTIFS(集計用!$G156,"*, "&amp;Z$3&amp;", *")</f>
        <v>1</v>
      </c>
      <c r="AA158" s="2">
        <f>COUNTIFS(集計用!$G156,"*, "&amp;AA$3&amp;", *")</f>
        <v>1</v>
      </c>
      <c r="AB158" s="2">
        <f>COUNTIFS(集計用!$G156,"*, "&amp;AB$3&amp;", *")</f>
        <v>0</v>
      </c>
      <c r="AC158" s="2">
        <f>COUNTIFS(集計用!$G156,"*, "&amp;AC$3&amp;", *")</f>
        <v>0</v>
      </c>
      <c r="AD158" s="2">
        <f>COUNTIFS(集計用!$G156,"*, "&amp;AD$3&amp;", *")</f>
        <v>0</v>
      </c>
      <c r="AE158" s="2">
        <f>COUNTIFS(集計用!$G156,"*, "&amp;AE$3&amp;", *")</f>
        <v>0</v>
      </c>
      <c r="AF158" s="2">
        <f>COUNTIFS(集計用!$G156,"*, "&amp;AF$3&amp;", *")</f>
        <v>0</v>
      </c>
      <c r="AG158" s="2">
        <f>COUNTIFS(集計用!$G156,"*, "&amp;AG$3&amp;", *")</f>
        <v>1</v>
      </c>
      <c r="AH158" s="2">
        <f>COUNTIFS(集計用!$G156,"*, "&amp;AH$3&amp;", *")</f>
        <v>1</v>
      </c>
      <c r="AI158" s="2">
        <f>COUNTIFS(集計用!$G156,"*, "&amp;AI$3&amp;", *")</f>
        <v>0</v>
      </c>
      <c r="AJ158" s="2">
        <f>COUNTIFS(集計用!$G156,"*, "&amp;AJ$3&amp;", *")</f>
        <v>0</v>
      </c>
      <c r="AK158" s="2">
        <f>COUNTIFS(集計用!$G156,"*, "&amp;AK$3&amp;", *")</f>
        <v>0</v>
      </c>
      <c r="AL158" s="2">
        <f>COUNTIFS(集計用!$G156,"*, "&amp;AL$3&amp;", *")</f>
        <v>1</v>
      </c>
      <c r="AM158" s="2">
        <f>COUNTIFS(集計用!$G156,"*, "&amp;AM$3&amp;", *")</f>
        <v>1</v>
      </c>
      <c r="AN158" s="2">
        <f>COUNTIFS(集計用!$G156,"*, "&amp;AN$3&amp;", *")</f>
        <v>0</v>
      </c>
      <c r="AO158" s="2">
        <f>COUNTIFS(集計用!$G156,"*, "&amp;AO$3&amp;", *")</f>
        <v>0</v>
      </c>
      <c r="AP158" s="2">
        <f>COUNTIFS(集計用!$G156,"*, "&amp;AP$3&amp;", *")</f>
        <v>0</v>
      </c>
      <c r="AQ158" s="2">
        <f>COUNTIFS(集計用!$G156,"*, "&amp;AQ$3&amp;", *")</f>
        <v>0</v>
      </c>
      <c r="AR158" s="2">
        <f>COUNTIFS(集計用!$G156,"*, "&amp;AR$3&amp;", *")</f>
        <v>0</v>
      </c>
      <c r="AS158" s="2">
        <f>COUNTIFS(集計用!$G156,"*, "&amp;AS$3&amp;", *")</f>
        <v>0</v>
      </c>
      <c r="AT158" s="2">
        <f>COUNTIFS(集計用!$G156,"*, "&amp;AT$3&amp;", *")</f>
        <v>0</v>
      </c>
      <c r="AU158" s="2">
        <f>COUNTIFS(集計用!$G156,"*, "&amp;AU$3&amp;", *")</f>
        <v>0</v>
      </c>
      <c r="AV158" s="2">
        <f>COUNTIFS(集計用!$G156,"*, "&amp;AV$3&amp;", *")</f>
        <v>0</v>
      </c>
      <c r="AW158" s="2">
        <f>COUNTIFS(集計用!$G156,"*, "&amp;AW$3&amp;", *")</f>
        <v>0</v>
      </c>
      <c r="AX158" s="2">
        <f>COUNTIFS(集計用!$G156,"*, "&amp;AX$3&amp;", *")</f>
        <v>1</v>
      </c>
      <c r="AY158" s="2">
        <f>COUNTIFS(集計用!$G156,"*, "&amp;AY$3&amp;", *")</f>
        <v>0</v>
      </c>
      <c r="AZ158" s="2">
        <f>COUNTIFS(集計用!$G156,"*, "&amp;AZ$3&amp;", *")</f>
        <v>0</v>
      </c>
      <c r="BA158" s="2">
        <f>COUNTIFS(集計用!$G156,"*, "&amp;BA$3&amp;", *")</f>
        <v>0</v>
      </c>
      <c r="BB158" s="2">
        <f>COUNTIFS(集計用!$G156,"*, "&amp;BB$3&amp;", *")</f>
        <v>0</v>
      </c>
      <c r="BC158" s="2">
        <f>COUNTIFS(集計用!$G156,"*, "&amp;BC$3&amp;", *")</f>
        <v>0</v>
      </c>
      <c r="BD158" s="2">
        <f>COUNTIFS(集計用!$G156,"*, "&amp;BD$3&amp;", *")</f>
        <v>0</v>
      </c>
      <c r="BE158" s="2">
        <f>COUNTIFS(集計用!$G156,"*, "&amp;BE$3&amp;", *")</f>
        <v>0</v>
      </c>
      <c r="BF158" s="2">
        <f>COUNTIFS(集計用!$G156,"*, "&amp;BF$3&amp;", *")</f>
        <v>0</v>
      </c>
      <c r="BG158" s="2">
        <f>COUNTIFS(集計用!$G156,"*, "&amp;BG$3&amp;", *")</f>
        <v>0</v>
      </c>
      <c r="BH158" s="2">
        <f>COUNTIFS(集計用!$G156,"*, "&amp;BH$3&amp;", *")</f>
        <v>0</v>
      </c>
      <c r="BI158" s="2">
        <f>COUNTIFS(集計用!$G156,"*, "&amp;BI$3&amp;", *")</f>
        <v>0</v>
      </c>
      <c r="BJ158" s="2">
        <f>LEN(集計用!H156)-LEN(SUBSTITUTE(集計用!H156,",",""))</f>
        <v>0</v>
      </c>
    </row>
    <row r="159" spans="1:62" ht="12.75">
      <c r="A159" s="8">
        <v>156</v>
      </c>
      <c r="C159" s="2">
        <f t="shared" si="3"/>
        <v>2</v>
      </c>
      <c r="D159" s="9"/>
      <c r="E159" s="2">
        <f>COUNTIFS(集計用!$G157,"*, "&amp;E$3&amp;", *")</f>
        <v>0</v>
      </c>
      <c r="F159" s="2">
        <f>COUNTIFS(集計用!$G157,"*, "&amp;F$3&amp;", *")</f>
        <v>0</v>
      </c>
      <c r="G159" s="2">
        <f>COUNTIFS(集計用!$G157,"*, "&amp;G$3&amp;", *")</f>
        <v>0</v>
      </c>
      <c r="H159" s="2">
        <f>COUNTIFS(集計用!$G157,"*, "&amp;H$3&amp;", *")</f>
        <v>0</v>
      </c>
      <c r="I159" s="2">
        <f>COUNTIFS(集計用!$G157,"*, "&amp;I$3&amp;", *")</f>
        <v>0</v>
      </c>
      <c r="J159" s="2">
        <f>COUNTIFS(集計用!$G157,"*, "&amp;J$3&amp;", *")</f>
        <v>0</v>
      </c>
      <c r="K159" s="2">
        <f>COUNTIFS(集計用!$G157,"*, "&amp;K$3&amp;", *")</f>
        <v>0</v>
      </c>
      <c r="L159" s="2">
        <f>COUNTIFS(集計用!$G157,"*, "&amp;L$3&amp;", *")</f>
        <v>0</v>
      </c>
      <c r="M159" s="2">
        <f>COUNTIFS(集計用!$G157,"*, "&amp;M$3&amp;", *")</f>
        <v>0</v>
      </c>
      <c r="N159" s="2">
        <f>COUNTIFS(集計用!$G157,"*, "&amp;N$3&amp;", *")</f>
        <v>0</v>
      </c>
      <c r="O159" s="2">
        <f>COUNTIFS(集計用!$G157,"*, "&amp;O$3&amp;", *")</f>
        <v>0</v>
      </c>
      <c r="P159" s="2">
        <f>COUNTIFS(集計用!$G157,"*, "&amp;P$3&amp;", *")</f>
        <v>0</v>
      </c>
      <c r="Q159" s="2">
        <f>COUNTIFS(集計用!$G157,"*, "&amp;Q$3&amp;", *")</f>
        <v>0</v>
      </c>
      <c r="R159" s="2">
        <f>COUNTIFS(集計用!$G157,"*, "&amp;R$3&amp;", *")</f>
        <v>0</v>
      </c>
      <c r="S159" s="2">
        <f>COUNTIFS(集計用!$G157,"*, "&amp;S$3&amp;", *")</f>
        <v>0</v>
      </c>
      <c r="T159" s="2">
        <f>COUNTIFS(集計用!$G157,"*, "&amp;T$3&amp;", *")</f>
        <v>0</v>
      </c>
      <c r="U159" s="2">
        <f>COUNTIFS(集計用!$G157,"*, "&amp;U$3&amp;", *")</f>
        <v>0</v>
      </c>
      <c r="V159" s="2">
        <f>COUNTIFS(集計用!$G157,"*, "&amp;V$3&amp;", *")</f>
        <v>1</v>
      </c>
      <c r="W159" s="2">
        <f>COUNTIFS(集計用!$G157,"*, "&amp;W$3&amp;", *")</f>
        <v>0</v>
      </c>
      <c r="X159" s="2">
        <f>COUNTIFS(集計用!$G157,"*, "&amp;X$3&amp;", *")</f>
        <v>0</v>
      </c>
      <c r="Y159" s="2">
        <f>COUNTIFS(集計用!$G157,"*, "&amp;Y$3&amp;", *")</f>
        <v>0</v>
      </c>
      <c r="Z159" s="2">
        <f>COUNTIFS(集計用!$G157,"*, "&amp;Z$3&amp;", *")</f>
        <v>0</v>
      </c>
      <c r="AA159" s="2">
        <f>COUNTIFS(集計用!$G157,"*, "&amp;AA$3&amp;", *")</f>
        <v>0</v>
      </c>
      <c r="AB159" s="2">
        <f>COUNTIFS(集計用!$G157,"*, "&amp;AB$3&amp;", *")</f>
        <v>0</v>
      </c>
      <c r="AC159" s="2">
        <f>COUNTIFS(集計用!$G157,"*, "&amp;AC$3&amp;", *")</f>
        <v>0</v>
      </c>
      <c r="AD159" s="2">
        <f>COUNTIFS(集計用!$G157,"*, "&amp;AD$3&amp;", *")</f>
        <v>0</v>
      </c>
      <c r="AE159" s="2">
        <f>COUNTIFS(集計用!$G157,"*, "&amp;AE$3&amp;", *")</f>
        <v>0</v>
      </c>
      <c r="AF159" s="2">
        <f>COUNTIFS(集計用!$G157,"*, "&amp;AF$3&amp;", *")</f>
        <v>0</v>
      </c>
      <c r="AG159" s="2">
        <f>COUNTIFS(集計用!$G157,"*, "&amp;AG$3&amp;", *")</f>
        <v>0</v>
      </c>
      <c r="AH159" s="2">
        <f>COUNTIFS(集計用!$G157,"*, "&amp;AH$3&amp;", *")</f>
        <v>0</v>
      </c>
      <c r="AI159" s="2">
        <f>COUNTIFS(集計用!$G157,"*, "&amp;AI$3&amp;", *")</f>
        <v>0</v>
      </c>
      <c r="AJ159" s="2">
        <f>COUNTIFS(集計用!$G157,"*, "&amp;AJ$3&amp;", *")</f>
        <v>0</v>
      </c>
      <c r="AK159" s="2">
        <f>COUNTIFS(集計用!$G157,"*, "&amp;AK$3&amp;", *")</f>
        <v>0</v>
      </c>
      <c r="AL159" s="2">
        <f>COUNTIFS(集計用!$G157,"*, "&amp;AL$3&amp;", *")</f>
        <v>0</v>
      </c>
      <c r="AM159" s="2">
        <f>COUNTIFS(集計用!$G157,"*, "&amp;AM$3&amp;", *")</f>
        <v>1</v>
      </c>
      <c r="AN159" s="2">
        <f>COUNTIFS(集計用!$G157,"*, "&amp;AN$3&amp;", *")</f>
        <v>0</v>
      </c>
      <c r="AO159" s="2">
        <f>COUNTIFS(集計用!$G157,"*, "&amp;AO$3&amp;", *")</f>
        <v>0</v>
      </c>
      <c r="AP159" s="2">
        <f>COUNTIFS(集計用!$G157,"*, "&amp;AP$3&amp;", *")</f>
        <v>0</v>
      </c>
      <c r="AQ159" s="2">
        <f>COUNTIFS(集計用!$G157,"*, "&amp;AQ$3&amp;", *")</f>
        <v>0</v>
      </c>
      <c r="AR159" s="2">
        <f>COUNTIFS(集計用!$G157,"*, "&amp;AR$3&amp;", *")</f>
        <v>0</v>
      </c>
      <c r="AS159" s="2">
        <f>COUNTIFS(集計用!$G157,"*, "&amp;AS$3&amp;", *")</f>
        <v>0</v>
      </c>
      <c r="AT159" s="2">
        <f>COUNTIFS(集計用!$G157,"*, "&amp;AT$3&amp;", *")</f>
        <v>0</v>
      </c>
      <c r="AU159" s="2">
        <f>COUNTIFS(集計用!$G157,"*, "&amp;AU$3&amp;", *")</f>
        <v>0</v>
      </c>
      <c r="AV159" s="2">
        <f>COUNTIFS(集計用!$G157,"*, "&amp;AV$3&amp;", *")</f>
        <v>0</v>
      </c>
      <c r="AW159" s="2">
        <f>COUNTIFS(集計用!$G157,"*, "&amp;AW$3&amp;", *")</f>
        <v>0</v>
      </c>
      <c r="AX159" s="2">
        <f>COUNTIFS(集計用!$G157,"*, "&amp;AX$3&amp;", *")</f>
        <v>0</v>
      </c>
      <c r="AY159" s="2">
        <f>COUNTIFS(集計用!$G157,"*, "&amp;AY$3&amp;", *")</f>
        <v>0</v>
      </c>
      <c r="AZ159" s="2">
        <f>COUNTIFS(集計用!$G157,"*, "&amp;AZ$3&amp;", *")</f>
        <v>0</v>
      </c>
      <c r="BA159" s="2">
        <f>COUNTIFS(集計用!$G157,"*, "&amp;BA$3&amp;", *")</f>
        <v>0</v>
      </c>
      <c r="BB159" s="2">
        <f>COUNTIFS(集計用!$G157,"*, "&amp;BB$3&amp;", *")</f>
        <v>0</v>
      </c>
      <c r="BC159" s="2">
        <f>COUNTIFS(集計用!$G157,"*, "&amp;BC$3&amp;", *")</f>
        <v>0</v>
      </c>
      <c r="BD159" s="2">
        <f>COUNTIFS(集計用!$G157,"*, "&amp;BD$3&amp;", *")</f>
        <v>0</v>
      </c>
      <c r="BE159" s="2">
        <f>COUNTIFS(集計用!$G157,"*, "&amp;BE$3&amp;", *")</f>
        <v>0</v>
      </c>
      <c r="BF159" s="2">
        <f>COUNTIFS(集計用!$G157,"*, "&amp;BF$3&amp;", *")</f>
        <v>0</v>
      </c>
      <c r="BG159" s="2">
        <f>COUNTIFS(集計用!$G157,"*, "&amp;BG$3&amp;", *")</f>
        <v>0</v>
      </c>
      <c r="BH159" s="2">
        <f>COUNTIFS(集計用!$G157,"*, "&amp;BH$3&amp;", *")</f>
        <v>0</v>
      </c>
      <c r="BI159" s="2">
        <f>COUNTIFS(集計用!$G157,"*, "&amp;BI$3&amp;", *")</f>
        <v>0</v>
      </c>
      <c r="BJ159" s="2">
        <f>LEN(集計用!H157)-LEN(SUBSTITUTE(集計用!H157,",",""))</f>
        <v>0</v>
      </c>
    </row>
    <row r="160" spans="1:62" ht="12.75">
      <c r="A160" s="8">
        <v>157</v>
      </c>
      <c r="C160" s="2">
        <f t="shared" si="3"/>
        <v>5</v>
      </c>
      <c r="D160" s="9"/>
      <c r="E160" s="2">
        <f>COUNTIFS(集計用!$G158,"*, "&amp;E$3&amp;", *")</f>
        <v>1</v>
      </c>
      <c r="F160" s="2">
        <f>COUNTIFS(集計用!$G158,"*, "&amp;F$3&amp;", *")</f>
        <v>0</v>
      </c>
      <c r="G160" s="2">
        <f>COUNTIFS(集計用!$G158,"*, "&amp;G$3&amp;", *")</f>
        <v>0</v>
      </c>
      <c r="H160" s="2">
        <f>COUNTIFS(集計用!$G158,"*, "&amp;H$3&amp;", *")</f>
        <v>0</v>
      </c>
      <c r="I160" s="2">
        <f>COUNTIFS(集計用!$G158,"*, "&amp;I$3&amp;", *")</f>
        <v>1</v>
      </c>
      <c r="J160" s="2">
        <f>COUNTIFS(集計用!$G158,"*, "&amp;J$3&amp;", *")</f>
        <v>0</v>
      </c>
      <c r="K160" s="2">
        <f>COUNTIFS(集計用!$G158,"*, "&amp;K$3&amp;", *")</f>
        <v>0</v>
      </c>
      <c r="L160" s="2">
        <f>COUNTIFS(集計用!$G158,"*, "&amp;L$3&amp;", *")</f>
        <v>0</v>
      </c>
      <c r="M160" s="2">
        <f>COUNTIFS(集計用!$G158,"*, "&amp;M$3&amp;", *")</f>
        <v>1</v>
      </c>
      <c r="N160" s="2">
        <f>COUNTIFS(集計用!$G158,"*, "&amp;N$3&amp;", *")</f>
        <v>0</v>
      </c>
      <c r="O160" s="2">
        <f>COUNTIFS(集計用!$G158,"*, "&amp;O$3&amp;", *")</f>
        <v>0</v>
      </c>
      <c r="P160" s="2">
        <f>COUNTIFS(集計用!$G158,"*, "&amp;P$3&amp;", *")</f>
        <v>0</v>
      </c>
      <c r="Q160" s="2">
        <f>COUNTIFS(集計用!$G158,"*, "&amp;Q$3&amp;", *")</f>
        <v>0</v>
      </c>
      <c r="R160" s="2">
        <f>COUNTIFS(集計用!$G158,"*, "&amp;R$3&amp;", *")</f>
        <v>0</v>
      </c>
      <c r="S160" s="2">
        <f>COUNTIFS(集計用!$G158,"*, "&amp;S$3&amp;", *")</f>
        <v>0</v>
      </c>
      <c r="T160" s="2">
        <f>COUNTIFS(集計用!$G158,"*, "&amp;T$3&amp;", *")</f>
        <v>0</v>
      </c>
      <c r="U160" s="2">
        <f>COUNTIFS(集計用!$G158,"*, "&amp;U$3&amp;", *")</f>
        <v>0</v>
      </c>
      <c r="V160" s="2">
        <f>COUNTIFS(集計用!$G158,"*, "&amp;V$3&amp;", *")</f>
        <v>0</v>
      </c>
      <c r="W160" s="2">
        <f>COUNTIFS(集計用!$G158,"*, "&amp;W$3&amp;", *")</f>
        <v>1</v>
      </c>
      <c r="X160" s="2">
        <f>COUNTIFS(集計用!$G158,"*, "&amp;X$3&amp;", *")</f>
        <v>0</v>
      </c>
      <c r="Y160" s="2">
        <f>COUNTIFS(集計用!$G158,"*, "&amp;Y$3&amp;", *")</f>
        <v>0</v>
      </c>
      <c r="Z160" s="2">
        <f>COUNTIFS(集計用!$G158,"*, "&amp;Z$3&amp;", *")</f>
        <v>0</v>
      </c>
      <c r="AA160" s="2">
        <f>COUNTIFS(集計用!$G158,"*, "&amp;AA$3&amp;", *")</f>
        <v>0</v>
      </c>
      <c r="AB160" s="2">
        <f>COUNTIFS(集計用!$G158,"*, "&amp;AB$3&amp;", *")</f>
        <v>0</v>
      </c>
      <c r="AC160" s="2">
        <f>COUNTIFS(集計用!$G158,"*, "&amp;AC$3&amp;", *")</f>
        <v>1</v>
      </c>
      <c r="AD160" s="2">
        <f>COUNTIFS(集計用!$G158,"*, "&amp;AD$3&amp;", *")</f>
        <v>0</v>
      </c>
      <c r="AE160" s="2">
        <f>COUNTIFS(集計用!$G158,"*, "&amp;AE$3&amp;", *")</f>
        <v>0</v>
      </c>
      <c r="AF160" s="2">
        <f>COUNTIFS(集計用!$G158,"*, "&amp;AF$3&amp;", *")</f>
        <v>0</v>
      </c>
      <c r="AG160" s="2">
        <f>COUNTIFS(集計用!$G158,"*, "&amp;AG$3&amp;", *")</f>
        <v>0</v>
      </c>
      <c r="AH160" s="2">
        <f>COUNTIFS(集計用!$G158,"*, "&amp;AH$3&amp;", *")</f>
        <v>0</v>
      </c>
      <c r="AI160" s="2">
        <f>COUNTIFS(集計用!$G158,"*, "&amp;AI$3&amp;", *")</f>
        <v>0</v>
      </c>
      <c r="AJ160" s="2">
        <f>COUNTIFS(集計用!$G158,"*, "&amp;AJ$3&amp;", *")</f>
        <v>0</v>
      </c>
      <c r="AK160" s="2">
        <f>COUNTIFS(集計用!$G158,"*, "&amp;AK$3&amp;", *")</f>
        <v>0</v>
      </c>
      <c r="AL160" s="2">
        <f>COUNTIFS(集計用!$G158,"*, "&amp;AL$3&amp;", *")</f>
        <v>0</v>
      </c>
      <c r="AM160" s="2">
        <f>COUNTIFS(集計用!$G158,"*, "&amp;AM$3&amp;", *")</f>
        <v>0</v>
      </c>
      <c r="AN160" s="2">
        <f>COUNTIFS(集計用!$G158,"*, "&amp;AN$3&amp;", *")</f>
        <v>0</v>
      </c>
      <c r="AO160" s="2">
        <f>COUNTIFS(集計用!$G158,"*, "&amp;AO$3&amp;", *")</f>
        <v>0</v>
      </c>
      <c r="AP160" s="2">
        <f>COUNTIFS(集計用!$G158,"*, "&amp;AP$3&amp;", *")</f>
        <v>0</v>
      </c>
      <c r="AQ160" s="2">
        <f>COUNTIFS(集計用!$G158,"*, "&amp;AQ$3&amp;", *")</f>
        <v>0</v>
      </c>
      <c r="AR160" s="2">
        <f>COUNTIFS(集計用!$G158,"*, "&amp;AR$3&amp;", *")</f>
        <v>0</v>
      </c>
      <c r="AS160" s="2">
        <f>COUNTIFS(集計用!$G158,"*, "&amp;AS$3&amp;", *")</f>
        <v>0</v>
      </c>
      <c r="AT160" s="2">
        <f>COUNTIFS(集計用!$G158,"*, "&amp;AT$3&amp;", *")</f>
        <v>0</v>
      </c>
      <c r="AU160" s="2">
        <f>COUNTIFS(集計用!$G158,"*, "&amp;AU$3&amp;", *")</f>
        <v>0</v>
      </c>
      <c r="AV160" s="2">
        <f>COUNTIFS(集計用!$G158,"*, "&amp;AV$3&amp;", *")</f>
        <v>0</v>
      </c>
      <c r="AW160" s="2">
        <f>COUNTIFS(集計用!$G158,"*, "&amp;AW$3&amp;", *")</f>
        <v>0</v>
      </c>
      <c r="AX160" s="2">
        <f>COUNTIFS(集計用!$G158,"*, "&amp;AX$3&amp;", *")</f>
        <v>0</v>
      </c>
      <c r="AY160" s="2">
        <f>COUNTIFS(集計用!$G158,"*, "&amp;AY$3&amp;", *")</f>
        <v>0</v>
      </c>
      <c r="AZ160" s="2">
        <f>COUNTIFS(集計用!$G158,"*, "&amp;AZ$3&amp;", *")</f>
        <v>0</v>
      </c>
      <c r="BA160" s="2">
        <f>COUNTIFS(集計用!$G158,"*, "&amp;BA$3&amp;", *")</f>
        <v>0</v>
      </c>
      <c r="BB160" s="2">
        <f>COUNTIFS(集計用!$G158,"*, "&amp;BB$3&amp;", *")</f>
        <v>0</v>
      </c>
      <c r="BC160" s="2">
        <f>COUNTIFS(集計用!$G158,"*, "&amp;BC$3&amp;", *")</f>
        <v>0</v>
      </c>
      <c r="BD160" s="2">
        <f>COUNTIFS(集計用!$G158,"*, "&amp;BD$3&amp;", *")</f>
        <v>0</v>
      </c>
      <c r="BE160" s="2">
        <f>COUNTIFS(集計用!$G158,"*, "&amp;BE$3&amp;", *")</f>
        <v>0</v>
      </c>
      <c r="BF160" s="2">
        <f>COUNTIFS(集計用!$G158,"*, "&amp;BF$3&amp;", *")</f>
        <v>0</v>
      </c>
      <c r="BG160" s="2">
        <f>COUNTIFS(集計用!$G158,"*, "&amp;BG$3&amp;", *")</f>
        <v>0</v>
      </c>
      <c r="BH160" s="2">
        <f>COUNTIFS(集計用!$G158,"*, "&amp;BH$3&amp;", *")</f>
        <v>0</v>
      </c>
      <c r="BI160" s="2">
        <f>COUNTIFS(集計用!$G158,"*, "&amp;BI$3&amp;", *")</f>
        <v>0</v>
      </c>
      <c r="BJ160" s="2">
        <f>LEN(集計用!H158)-LEN(SUBSTITUTE(集計用!H158,",",""))</f>
        <v>0</v>
      </c>
    </row>
    <row r="161" spans="1:62" ht="12.75">
      <c r="A161" s="8">
        <v>158</v>
      </c>
      <c r="C161" s="2">
        <f t="shared" si="3"/>
        <v>1</v>
      </c>
      <c r="D161" s="9"/>
      <c r="E161" s="2">
        <f>COUNTIFS(集計用!$G159,"*, "&amp;E$3&amp;", *")</f>
        <v>0</v>
      </c>
      <c r="F161" s="2">
        <f>COUNTIFS(集計用!$G159,"*, "&amp;F$3&amp;", *")</f>
        <v>0</v>
      </c>
      <c r="G161" s="2">
        <f>COUNTIFS(集計用!$G159,"*, "&amp;G$3&amp;", *")</f>
        <v>0</v>
      </c>
      <c r="H161" s="2">
        <f>COUNTIFS(集計用!$G159,"*, "&amp;H$3&amp;", *")</f>
        <v>0</v>
      </c>
      <c r="I161" s="2">
        <f>COUNTIFS(集計用!$G159,"*, "&amp;I$3&amp;", *")</f>
        <v>0</v>
      </c>
      <c r="J161" s="2">
        <f>COUNTIFS(集計用!$G159,"*, "&amp;J$3&amp;", *")</f>
        <v>0</v>
      </c>
      <c r="K161" s="2">
        <f>COUNTIFS(集計用!$G159,"*, "&amp;K$3&amp;", *")</f>
        <v>0</v>
      </c>
      <c r="L161" s="2">
        <f>COUNTIFS(集計用!$G159,"*, "&amp;L$3&amp;", *")</f>
        <v>0</v>
      </c>
      <c r="M161" s="2">
        <f>COUNTIFS(集計用!$G159,"*, "&amp;M$3&amp;", *")</f>
        <v>0</v>
      </c>
      <c r="N161" s="2">
        <f>COUNTIFS(集計用!$G159,"*, "&amp;N$3&amp;", *")</f>
        <v>0</v>
      </c>
      <c r="O161" s="2">
        <f>COUNTIFS(集計用!$G159,"*, "&amp;O$3&amp;", *")</f>
        <v>0</v>
      </c>
      <c r="P161" s="2">
        <f>COUNTIFS(集計用!$G159,"*, "&amp;P$3&amp;", *")</f>
        <v>0</v>
      </c>
      <c r="Q161" s="2">
        <f>COUNTIFS(集計用!$G159,"*, "&amp;Q$3&amp;", *")</f>
        <v>0</v>
      </c>
      <c r="R161" s="2">
        <f>COUNTIFS(集計用!$G159,"*, "&amp;R$3&amp;", *")</f>
        <v>0</v>
      </c>
      <c r="S161" s="2">
        <f>COUNTIFS(集計用!$G159,"*, "&amp;S$3&amp;", *")</f>
        <v>0</v>
      </c>
      <c r="T161" s="2">
        <f>COUNTIFS(集計用!$G159,"*, "&amp;T$3&amp;", *")</f>
        <v>0</v>
      </c>
      <c r="U161" s="2">
        <f>COUNTIFS(集計用!$G159,"*, "&amp;U$3&amp;", *")</f>
        <v>0</v>
      </c>
      <c r="V161" s="2">
        <f>COUNTIFS(集計用!$G159,"*, "&amp;V$3&amp;", *")</f>
        <v>0</v>
      </c>
      <c r="W161" s="2">
        <f>COUNTIFS(集計用!$G159,"*, "&amp;W$3&amp;", *")</f>
        <v>0</v>
      </c>
      <c r="X161" s="2">
        <f>COUNTIFS(集計用!$G159,"*, "&amp;X$3&amp;", *")</f>
        <v>0</v>
      </c>
      <c r="Y161" s="2">
        <f>COUNTIFS(集計用!$G159,"*, "&amp;Y$3&amp;", *")</f>
        <v>0</v>
      </c>
      <c r="Z161" s="2">
        <f>COUNTIFS(集計用!$G159,"*, "&amp;Z$3&amp;", *")</f>
        <v>1</v>
      </c>
      <c r="AA161" s="2">
        <f>COUNTIFS(集計用!$G159,"*, "&amp;AA$3&amp;", *")</f>
        <v>0</v>
      </c>
      <c r="AB161" s="2">
        <f>COUNTIFS(集計用!$G159,"*, "&amp;AB$3&amp;", *")</f>
        <v>0</v>
      </c>
      <c r="AC161" s="2">
        <f>COUNTIFS(集計用!$G159,"*, "&amp;AC$3&amp;", *")</f>
        <v>0</v>
      </c>
      <c r="AD161" s="2">
        <f>COUNTIFS(集計用!$G159,"*, "&amp;AD$3&amp;", *")</f>
        <v>0</v>
      </c>
      <c r="AE161" s="2">
        <f>COUNTIFS(集計用!$G159,"*, "&amp;AE$3&amp;", *")</f>
        <v>0</v>
      </c>
      <c r="AF161" s="2">
        <f>COUNTIFS(集計用!$G159,"*, "&amp;AF$3&amp;", *")</f>
        <v>0</v>
      </c>
      <c r="AG161" s="2">
        <f>COUNTIFS(集計用!$G159,"*, "&amp;AG$3&amp;", *")</f>
        <v>0</v>
      </c>
      <c r="AH161" s="2">
        <f>COUNTIFS(集計用!$G159,"*, "&amp;AH$3&amp;", *")</f>
        <v>0</v>
      </c>
      <c r="AI161" s="2">
        <f>COUNTIFS(集計用!$G159,"*, "&amp;AI$3&amp;", *")</f>
        <v>0</v>
      </c>
      <c r="AJ161" s="2">
        <f>COUNTIFS(集計用!$G159,"*, "&amp;AJ$3&amp;", *")</f>
        <v>0</v>
      </c>
      <c r="AK161" s="2">
        <f>COUNTIFS(集計用!$G159,"*, "&amp;AK$3&amp;", *")</f>
        <v>0</v>
      </c>
      <c r="AL161" s="2">
        <f>COUNTIFS(集計用!$G159,"*, "&amp;AL$3&amp;", *")</f>
        <v>0</v>
      </c>
      <c r="AM161" s="2">
        <f>COUNTIFS(集計用!$G159,"*, "&amp;AM$3&amp;", *")</f>
        <v>0</v>
      </c>
      <c r="AN161" s="2">
        <f>COUNTIFS(集計用!$G159,"*, "&amp;AN$3&amp;", *")</f>
        <v>0</v>
      </c>
      <c r="AO161" s="2">
        <f>COUNTIFS(集計用!$G159,"*, "&amp;AO$3&amp;", *")</f>
        <v>0</v>
      </c>
      <c r="AP161" s="2">
        <f>COUNTIFS(集計用!$G159,"*, "&amp;AP$3&amp;", *")</f>
        <v>0</v>
      </c>
      <c r="AQ161" s="2">
        <f>COUNTIFS(集計用!$G159,"*, "&amp;AQ$3&amp;", *")</f>
        <v>0</v>
      </c>
      <c r="AR161" s="2">
        <f>COUNTIFS(集計用!$G159,"*, "&amp;AR$3&amp;", *")</f>
        <v>0</v>
      </c>
      <c r="AS161" s="2">
        <f>COUNTIFS(集計用!$G159,"*, "&amp;AS$3&amp;", *")</f>
        <v>0</v>
      </c>
      <c r="AT161" s="2">
        <f>COUNTIFS(集計用!$G159,"*, "&amp;AT$3&amp;", *")</f>
        <v>0</v>
      </c>
      <c r="AU161" s="2">
        <f>COUNTIFS(集計用!$G159,"*, "&amp;AU$3&amp;", *")</f>
        <v>0</v>
      </c>
      <c r="AV161" s="2">
        <f>COUNTIFS(集計用!$G159,"*, "&amp;AV$3&amp;", *")</f>
        <v>0</v>
      </c>
      <c r="AW161" s="2">
        <f>COUNTIFS(集計用!$G159,"*, "&amp;AW$3&amp;", *")</f>
        <v>0</v>
      </c>
      <c r="AX161" s="2">
        <f>COUNTIFS(集計用!$G159,"*, "&amp;AX$3&amp;", *")</f>
        <v>0</v>
      </c>
      <c r="AY161" s="2">
        <f>COUNTIFS(集計用!$G159,"*, "&amp;AY$3&amp;", *")</f>
        <v>0</v>
      </c>
      <c r="AZ161" s="2">
        <f>COUNTIFS(集計用!$G159,"*, "&amp;AZ$3&amp;", *")</f>
        <v>0</v>
      </c>
      <c r="BA161" s="2">
        <f>COUNTIFS(集計用!$G159,"*, "&amp;BA$3&amp;", *")</f>
        <v>0</v>
      </c>
      <c r="BB161" s="2">
        <f>COUNTIFS(集計用!$G159,"*, "&amp;BB$3&amp;", *")</f>
        <v>0</v>
      </c>
      <c r="BC161" s="2">
        <f>COUNTIFS(集計用!$G159,"*, "&amp;BC$3&amp;", *")</f>
        <v>0</v>
      </c>
      <c r="BD161" s="2">
        <f>COUNTIFS(集計用!$G159,"*, "&amp;BD$3&amp;", *")</f>
        <v>0</v>
      </c>
      <c r="BE161" s="2">
        <f>COUNTIFS(集計用!$G159,"*, "&amp;BE$3&amp;", *")</f>
        <v>0</v>
      </c>
      <c r="BF161" s="2">
        <f>COUNTIFS(集計用!$G159,"*, "&amp;BF$3&amp;", *")</f>
        <v>0</v>
      </c>
      <c r="BG161" s="2">
        <f>COUNTIFS(集計用!$G159,"*, "&amp;BG$3&amp;", *")</f>
        <v>0</v>
      </c>
      <c r="BH161" s="2">
        <f>COUNTIFS(集計用!$G159,"*, "&amp;BH$3&amp;", *")</f>
        <v>0</v>
      </c>
      <c r="BI161" s="2">
        <f>COUNTIFS(集計用!$G159,"*, "&amp;BI$3&amp;", *")</f>
        <v>0</v>
      </c>
      <c r="BJ161" s="2">
        <f>LEN(集計用!H159)-LEN(SUBSTITUTE(集計用!H159,",",""))</f>
        <v>0</v>
      </c>
    </row>
    <row r="162" spans="1:62" ht="12.75">
      <c r="A162" s="8">
        <v>159</v>
      </c>
      <c r="C162" s="2">
        <f t="shared" si="3"/>
        <v>8</v>
      </c>
      <c r="D162" s="9"/>
      <c r="E162" s="2">
        <f>COUNTIFS(集計用!$G160,"*, "&amp;E$3&amp;", *")</f>
        <v>1</v>
      </c>
      <c r="F162" s="2">
        <f>COUNTIFS(集計用!$G160,"*, "&amp;F$3&amp;", *")</f>
        <v>1</v>
      </c>
      <c r="G162" s="2">
        <f>COUNTIFS(集計用!$G160,"*, "&amp;G$3&amp;", *")</f>
        <v>0</v>
      </c>
      <c r="H162" s="2">
        <f>COUNTIFS(集計用!$G160,"*, "&amp;H$3&amp;", *")</f>
        <v>0</v>
      </c>
      <c r="I162" s="2">
        <f>COUNTIFS(集計用!$G160,"*, "&amp;I$3&amp;", *")</f>
        <v>0</v>
      </c>
      <c r="J162" s="2">
        <f>COUNTIFS(集計用!$G160,"*, "&amp;J$3&amp;", *")</f>
        <v>0</v>
      </c>
      <c r="K162" s="2">
        <f>COUNTIFS(集計用!$G160,"*, "&amp;K$3&amp;", *")</f>
        <v>0</v>
      </c>
      <c r="L162" s="2">
        <f>COUNTIFS(集計用!$G160,"*, "&amp;L$3&amp;", *")</f>
        <v>0</v>
      </c>
      <c r="M162" s="2">
        <f>COUNTIFS(集計用!$G160,"*, "&amp;M$3&amp;", *")</f>
        <v>1</v>
      </c>
      <c r="N162" s="2">
        <f>COUNTIFS(集計用!$G160,"*, "&amp;N$3&amp;", *")</f>
        <v>0</v>
      </c>
      <c r="O162" s="2">
        <f>COUNTIFS(集計用!$G160,"*, "&amp;O$3&amp;", *")</f>
        <v>1</v>
      </c>
      <c r="P162" s="2">
        <f>COUNTIFS(集計用!$G160,"*, "&amp;P$3&amp;", *")</f>
        <v>0</v>
      </c>
      <c r="Q162" s="2">
        <f>COUNTIFS(集計用!$G160,"*, "&amp;Q$3&amp;", *")</f>
        <v>0</v>
      </c>
      <c r="R162" s="2">
        <f>COUNTIFS(集計用!$G160,"*, "&amp;R$3&amp;", *")</f>
        <v>0</v>
      </c>
      <c r="S162" s="2">
        <f>COUNTIFS(集計用!$G160,"*, "&amp;S$3&amp;", *")</f>
        <v>0</v>
      </c>
      <c r="T162" s="2">
        <f>COUNTIFS(集計用!$G160,"*, "&amp;T$3&amp;", *")</f>
        <v>0</v>
      </c>
      <c r="U162" s="2">
        <f>COUNTIFS(集計用!$G160,"*, "&amp;U$3&amp;", *")</f>
        <v>0</v>
      </c>
      <c r="V162" s="2">
        <f>COUNTIFS(集計用!$G160,"*, "&amp;V$3&amp;", *")</f>
        <v>1</v>
      </c>
      <c r="W162" s="2">
        <f>COUNTIFS(集計用!$G160,"*, "&amp;W$3&amp;", *")</f>
        <v>0</v>
      </c>
      <c r="X162" s="2">
        <f>COUNTIFS(集計用!$G160,"*, "&amp;X$3&amp;", *")</f>
        <v>0</v>
      </c>
      <c r="Y162" s="2">
        <f>COUNTIFS(集計用!$G160,"*, "&amp;Y$3&amp;", *")</f>
        <v>0</v>
      </c>
      <c r="Z162" s="2">
        <f>COUNTIFS(集計用!$G160,"*, "&amp;Z$3&amp;", *")</f>
        <v>0</v>
      </c>
      <c r="AA162" s="2">
        <f>COUNTIFS(集計用!$G160,"*, "&amp;AA$3&amp;", *")</f>
        <v>0</v>
      </c>
      <c r="AB162" s="2">
        <f>COUNTIFS(集計用!$G160,"*, "&amp;AB$3&amp;", *")</f>
        <v>0</v>
      </c>
      <c r="AC162" s="2">
        <f>COUNTIFS(集計用!$G160,"*, "&amp;AC$3&amp;", *")</f>
        <v>0</v>
      </c>
      <c r="AD162" s="2">
        <f>COUNTIFS(集計用!$G160,"*, "&amp;AD$3&amp;", *")</f>
        <v>0</v>
      </c>
      <c r="AE162" s="2">
        <f>COUNTIFS(集計用!$G160,"*, "&amp;AE$3&amp;", *")</f>
        <v>0</v>
      </c>
      <c r="AF162" s="2">
        <f>COUNTIFS(集計用!$G160,"*, "&amp;AF$3&amp;", *")</f>
        <v>0</v>
      </c>
      <c r="AG162" s="2">
        <f>COUNTIFS(集計用!$G160,"*, "&amp;AG$3&amp;", *")</f>
        <v>0</v>
      </c>
      <c r="AH162" s="2">
        <f>COUNTIFS(集計用!$G160,"*, "&amp;AH$3&amp;", *")</f>
        <v>1</v>
      </c>
      <c r="AI162" s="2">
        <f>COUNTIFS(集計用!$G160,"*, "&amp;AI$3&amp;", *")</f>
        <v>0</v>
      </c>
      <c r="AJ162" s="2">
        <f>COUNTIFS(集計用!$G160,"*, "&amp;AJ$3&amp;", *")</f>
        <v>0</v>
      </c>
      <c r="AK162" s="2">
        <f>COUNTIFS(集計用!$G160,"*, "&amp;AK$3&amp;", *")</f>
        <v>0</v>
      </c>
      <c r="AL162" s="2">
        <f>COUNTIFS(集計用!$G160,"*, "&amp;AL$3&amp;", *")</f>
        <v>0</v>
      </c>
      <c r="AM162" s="2">
        <f>COUNTIFS(集計用!$G160,"*, "&amp;AM$3&amp;", *")</f>
        <v>1</v>
      </c>
      <c r="AN162" s="2">
        <f>COUNTIFS(集計用!$G160,"*, "&amp;AN$3&amp;", *")</f>
        <v>0</v>
      </c>
      <c r="AO162" s="2">
        <f>COUNTIFS(集計用!$G160,"*, "&amp;AO$3&amp;", *")</f>
        <v>0</v>
      </c>
      <c r="AP162" s="2">
        <f>COUNTIFS(集計用!$G160,"*, "&amp;AP$3&amp;", *")</f>
        <v>0</v>
      </c>
      <c r="AQ162" s="2">
        <f>COUNTIFS(集計用!$G160,"*, "&amp;AQ$3&amp;", *")</f>
        <v>0</v>
      </c>
      <c r="AR162" s="2">
        <f>COUNTIFS(集計用!$G160,"*, "&amp;AR$3&amp;", *")</f>
        <v>0</v>
      </c>
      <c r="AS162" s="2">
        <f>COUNTIFS(集計用!$G160,"*, "&amp;AS$3&amp;", *")</f>
        <v>0</v>
      </c>
      <c r="AT162" s="2">
        <f>COUNTIFS(集計用!$G160,"*, "&amp;AT$3&amp;", *")</f>
        <v>0</v>
      </c>
      <c r="AU162" s="2">
        <f>COUNTIFS(集計用!$G160,"*, "&amp;AU$3&amp;", *")</f>
        <v>0</v>
      </c>
      <c r="AV162" s="2">
        <f>COUNTIFS(集計用!$G160,"*, "&amp;AV$3&amp;", *")</f>
        <v>1</v>
      </c>
      <c r="AW162" s="2">
        <f>COUNTIFS(集計用!$G160,"*, "&amp;AW$3&amp;", *")</f>
        <v>0</v>
      </c>
      <c r="AX162" s="2">
        <f>COUNTIFS(集計用!$G160,"*, "&amp;AX$3&amp;", *")</f>
        <v>0</v>
      </c>
      <c r="AY162" s="2">
        <f>COUNTIFS(集計用!$G160,"*, "&amp;AY$3&amp;", *")</f>
        <v>0</v>
      </c>
      <c r="AZ162" s="2">
        <f>COUNTIFS(集計用!$G160,"*, "&amp;AZ$3&amp;", *")</f>
        <v>0</v>
      </c>
      <c r="BA162" s="2">
        <f>COUNTIFS(集計用!$G160,"*, "&amp;BA$3&amp;", *")</f>
        <v>0</v>
      </c>
      <c r="BB162" s="2">
        <f>COUNTIFS(集計用!$G160,"*, "&amp;BB$3&amp;", *")</f>
        <v>0</v>
      </c>
      <c r="BC162" s="2">
        <f>COUNTIFS(集計用!$G160,"*, "&amp;BC$3&amp;", *")</f>
        <v>0</v>
      </c>
      <c r="BD162" s="2">
        <f>COUNTIFS(集計用!$G160,"*, "&amp;BD$3&amp;", *")</f>
        <v>0</v>
      </c>
      <c r="BE162" s="2">
        <f>COUNTIFS(集計用!$G160,"*, "&amp;BE$3&amp;", *")</f>
        <v>0</v>
      </c>
      <c r="BF162" s="2">
        <f>COUNTIFS(集計用!$G160,"*, "&amp;BF$3&amp;", *")</f>
        <v>0</v>
      </c>
      <c r="BG162" s="2">
        <f>COUNTIFS(集計用!$G160,"*, "&amp;BG$3&amp;", *")</f>
        <v>0</v>
      </c>
      <c r="BH162" s="2">
        <f>COUNTIFS(集計用!$G160,"*, "&amp;BH$3&amp;", *")</f>
        <v>0</v>
      </c>
      <c r="BI162" s="2">
        <f>COUNTIFS(集計用!$G160,"*, "&amp;BI$3&amp;", *")</f>
        <v>0</v>
      </c>
      <c r="BJ162" s="2">
        <f>LEN(集計用!H160)-LEN(SUBSTITUTE(集計用!H160,",",""))</f>
        <v>0</v>
      </c>
    </row>
    <row r="163" spans="1:62" ht="12.75">
      <c r="A163" s="8">
        <v>160</v>
      </c>
      <c r="C163" s="2">
        <f t="shared" si="3"/>
        <v>1</v>
      </c>
      <c r="D163" s="9"/>
      <c r="E163" s="2">
        <f>COUNTIFS(集計用!$G161,"*, "&amp;E$3&amp;", *")</f>
        <v>0</v>
      </c>
      <c r="F163" s="2">
        <f>COUNTIFS(集計用!$G161,"*, "&amp;F$3&amp;", *")</f>
        <v>1</v>
      </c>
      <c r="G163" s="2">
        <f>COUNTIFS(集計用!$G161,"*, "&amp;G$3&amp;", *")</f>
        <v>0</v>
      </c>
      <c r="H163" s="2">
        <f>COUNTIFS(集計用!$G161,"*, "&amp;H$3&amp;", *")</f>
        <v>0</v>
      </c>
      <c r="I163" s="2">
        <f>COUNTIFS(集計用!$G161,"*, "&amp;I$3&amp;", *")</f>
        <v>0</v>
      </c>
      <c r="J163" s="2">
        <f>COUNTIFS(集計用!$G161,"*, "&amp;J$3&amp;", *")</f>
        <v>0</v>
      </c>
      <c r="K163" s="2">
        <f>COUNTIFS(集計用!$G161,"*, "&amp;K$3&amp;", *")</f>
        <v>0</v>
      </c>
      <c r="L163" s="2">
        <f>COUNTIFS(集計用!$G161,"*, "&amp;L$3&amp;", *")</f>
        <v>0</v>
      </c>
      <c r="M163" s="2">
        <f>COUNTIFS(集計用!$G161,"*, "&amp;M$3&amp;", *")</f>
        <v>0</v>
      </c>
      <c r="N163" s="2">
        <f>COUNTIFS(集計用!$G161,"*, "&amp;N$3&amp;", *")</f>
        <v>0</v>
      </c>
      <c r="O163" s="2">
        <f>COUNTIFS(集計用!$G161,"*, "&amp;O$3&amp;", *")</f>
        <v>0</v>
      </c>
      <c r="P163" s="2">
        <f>COUNTIFS(集計用!$G161,"*, "&amp;P$3&amp;", *")</f>
        <v>0</v>
      </c>
      <c r="Q163" s="2">
        <f>COUNTIFS(集計用!$G161,"*, "&amp;Q$3&amp;", *")</f>
        <v>0</v>
      </c>
      <c r="R163" s="2">
        <f>COUNTIFS(集計用!$G161,"*, "&amp;R$3&amp;", *")</f>
        <v>0</v>
      </c>
      <c r="S163" s="2">
        <f>COUNTIFS(集計用!$G161,"*, "&amp;S$3&amp;", *")</f>
        <v>0</v>
      </c>
      <c r="T163" s="2">
        <f>COUNTIFS(集計用!$G161,"*, "&amp;T$3&amp;", *")</f>
        <v>0</v>
      </c>
      <c r="U163" s="2">
        <f>COUNTIFS(集計用!$G161,"*, "&amp;U$3&amp;", *")</f>
        <v>0</v>
      </c>
      <c r="V163" s="2">
        <f>COUNTIFS(集計用!$G161,"*, "&amp;V$3&amp;", *")</f>
        <v>0</v>
      </c>
      <c r="W163" s="2">
        <f>COUNTIFS(集計用!$G161,"*, "&amp;W$3&amp;", *")</f>
        <v>0</v>
      </c>
      <c r="X163" s="2">
        <f>COUNTIFS(集計用!$G161,"*, "&amp;X$3&amp;", *")</f>
        <v>0</v>
      </c>
      <c r="Y163" s="2">
        <f>COUNTIFS(集計用!$G161,"*, "&amp;Y$3&amp;", *")</f>
        <v>0</v>
      </c>
      <c r="Z163" s="2">
        <f>COUNTIFS(集計用!$G161,"*, "&amp;Z$3&amp;", *")</f>
        <v>0</v>
      </c>
      <c r="AA163" s="2">
        <f>COUNTIFS(集計用!$G161,"*, "&amp;AA$3&amp;", *")</f>
        <v>0</v>
      </c>
      <c r="AB163" s="2">
        <f>COUNTIFS(集計用!$G161,"*, "&amp;AB$3&amp;", *")</f>
        <v>0</v>
      </c>
      <c r="AC163" s="2">
        <f>COUNTIFS(集計用!$G161,"*, "&amp;AC$3&amp;", *")</f>
        <v>0</v>
      </c>
      <c r="AD163" s="2">
        <f>COUNTIFS(集計用!$G161,"*, "&amp;AD$3&amp;", *")</f>
        <v>0</v>
      </c>
      <c r="AE163" s="2">
        <f>COUNTIFS(集計用!$G161,"*, "&amp;AE$3&amp;", *")</f>
        <v>0</v>
      </c>
      <c r="AF163" s="2">
        <f>COUNTIFS(集計用!$G161,"*, "&amp;AF$3&amp;", *")</f>
        <v>0</v>
      </c>
      <c r="AG163" s="2">
        <f>COUNTIFS(集計用!$G161,"*, "&amp;AG$3&amp;", *")</f>
        <v>0</v>
      </c>
      <c r="AH163" s="2">
        <f>COUNTIFS(集計用!$G161,"*, "&amp;AH$3&amp;", *")</f>
        <v>0</v>
      </c>
      <c r="AI163" s="2">
        <f>COUNTIFS(集計用!$G161,"*, "&amp;AI$3&amp;", *")</f>
        <v>0</v>
      </c>
      <c r="AJ163" s="2">
        <f>COUNTIFS(集計用!$G161,"*, "&amp;AJ$3&amp;", *")</f>
        <v>0</v>
      </c>
      <c r="AK163" s="2">
        <f>COUNTIFS(集計用!$G161,"*, "&amp;AK$3&amp;", *")</f>
        <v>0</v>
      </c>
      <c r="AL163" s="2">
        <f>COUNTIFS(集計用!$G161,"*, "&amp;AL$3&amp;", *")</f>
        <v>0</v>
      </c>
      <c r="AM163" s="2">
        <f>COUNTIFS(集計用!$G161,"*, "&amp;AM$3&amp;", *")</f>
        <v>0</v>
      </c>
      <c r="AN163" s="2">
        <f>COUNTIFS(集計用!$G161,"*, "&amp;AN$3&amp;", *")</f>
        <v>0</v>
      </c>
      <c r="AO163" s="2">
        <f>COUNTIFS(集計用!$G161,"*, "&amp;AO$3&amp;", *")</f>
        <v>0</v>
      </c>
      <c r="AP163" s="2">
        <f>COUNTIFS(集計用!$G161,"*, "&amp;AP$3&amp;", *")</f>
        <v>0</v>
      </c>
      <c r="AQ163" s="2">
        <f>COUNTIFS(集計用!$G161,"*, "&amp;AQ$3&amp;", *")</f>
        <v>0</v>
      </c>
      <c r="AR163" s="2">
        <f>COUNTIFS(集計用!$G161,"*, "&amp;AR$3&amp;", *")</f>
        <v>0</v>
      </c>
      <c r="AS163" s="2">
        <f>COUNTIFS(集計用!$G161,"*, "&amp;AS$3&amp;", *")</f>
        <v>0</v>
      </c>
      <c r="AT163" s="2">
        <f>COUNTIFS(集計用!$G161,"*, "&amp;AT$3&amp;", *")</f>
        <v>0</v>
      </c>
      <c r="AU163" s="2">
        <f>COUNTIFS(集計用!$G161,"*, "&amp;AU$3&amp;", *")</f>
        <v>0</v>
      </c>
      <c r="AV163" s="2">
        <f>COUNTIFS(集計用!$G161,"*, "&amp;AV$3&amp;", *")</f>
        <v>0</v>
      </c>
      <c r="AW163" s="2">
        <f>COUNTIFS(集計用!$G161,"*, "&amp;AW$3&amp;", *")</f>
        <v>0</v>
      </c>
      <c r="AX163" s="2">
        <f>COUNTIFS(集計用!$G161,"*, "&amp;AX$3&amp;", *")</f>
        <v>0</v>
      </c>
      <c r="AY163" s="2">
        <f>COUNTIFS(集計用!$G161,"*, "&amp;AY$3&amp;", *")</f>
        <v>0</v>
      </c>
      <c r="AZ163" s="2">
        <f>COUNTIFS(集計用!$G161,"*, "&amp;AZ$3&amp;", *")</f>
        <v>0</v>
      </c>
      <c r="BA163" s="2">
        <f>COUNTIFS(集計用!$G161,"*, "&amp;BA$3&amp;", *")</f>
        <v>0</v>
      </c>
      <c r="BB163" s="2">
        <f>COUNTIFS(集計用!$G161,"*, "&amp;BB$3&amp;", *")</f>
        <v>0</v>
      </c>
      <c r="BC163" s="2">
        <f>COUNTIFS(集計用!$G161,"*, "&amp;BC$3&amp;", *")</f>
        <v>0</v>
      </c>
      <c r="BD163" s="2">
        <f>COUNTIFS(集計用!$G161,"*, "&amp;BD$3&amp;", *")</f>
        <v>0</v>
      </c>
      <c r="BE163" s="2">
        <f>COUNTIFS(集計用!$G161,"*, "&amp;BE$3&amp;", *")</f>
        <v>0</v>
      </c>
      <c r="BF163" s="2">
        <f>COUNTIFS(集計用!$G161,"*, "&amp;BF$3&amp;", *")</f>
        <v>0</v>
      </c>
      <c r="BG163" s="2">
        <f>COUNTIFS(集計用!$G161,"*, "&amp;BG$3&amp;", *")</f>
        <v>0</v>
      </c>
      <c r="BH163" s="2">
        <f>COUNTIFS(集計用!$G161,"*, "&amp;BH$3&amp;", *")</f>
        <v>0</v>
      </c>
      <c r="BI163" s="2">
        <f>COUNTIFS(集計用!$G161,"*, "&amp;BI$3&amp;", *")</f>
        <v>0</v>
      </c>
      <c r="BJ163" s="2">
        <f>LEN(集計用!H161)-LEN(SUBSTITUTE(集計用!H161,",",""))</f>
        <v>0</v>
      </c>
    </row>
    <row r="164" spans="1:62" ht="12.75">
      <c r="A164" s="8">
        <v>161</v>
      </c>
      <c r="C164" s="2">
        <f t="shared" si="3"/>
        <v>3</v>
      </c>
      <c r="D164" s="9"/>
      <c r="E164" s="2">
        <f>COUNTIFS(集計用!$G162,"*, "&amp;E$3&amp;", *")</f>
        <v>1</v>
      </c>
      <c r="F164" s="2">
        <f>COUNTIFS(集計用!$G162,"*, "&amp;F$3&amp;", *")</f>
        <v>0</v>
      </c>
      <c r="G164" s="2">
        <f>COUNTIFS(集計用!$G162,"*, "&amp;G$3&amp;", *")</f>
        <v>0</v>
      </c>
      <c r="H164" s="2">
        <f>COUNTIFS(集計用!$G162,"*, "&amp;H$3&amp;", *")</f>
        <v>0</v>
      </c>
      <c r="I164" s="2">
        <f>COUNTIFS(集計用!$G162,"*, "&amp;I$3&amp;", *")</f>
        <v>0</v>
      </c>
      <c r="J164" s="2">
        <f>COUNTIFS(集計用!$G162,"*, "&amp;J$3&amp;", *")</f>
        <v>0</v>
      </c>
      <c r="K164" s="2">
        <f>COUNTIFS(集計用!$G162,"*, "&amp;K$3&amp;", *")</f>
        <v>0</v>
      </c>
      <c r="L164" s="2">
        <f>COUNTIFS(集計用!$G162,"*, "&amp;L$3&amp;", *")</f>
        <v>0</v>
      </c>
      <c r="M164" s="2">
        <f>COUNTIFS(集計用!$G162,"*, "&amp;M$3&amp;", *")</f>
        <v>1</v>
      </c>
      <c r="N164" s="2">
        <f>COUNTIFS(集計用!$G162,"*, "&amp;N$3&amp;", *")</f>
        <v>0</v>
      </c>
      <c r="O164" s="2">
        <f>COUNTIFS(集計用!$G162,"*, "&amp;O$3&amp;", *")</f>
        <v>0</v>
      </c>
      <c r="P164" s="2">
        <f>COUNTIFS(集計用!$G162,"*, "&amp;P$3&amp;", *")</f>
        <v>0</v>
      </c>
      <c r="Q164" s="2">
        <f>COUNTIFS(集計用!$G162,"*, "&amp;Q$3&amp;", *")</f>
        <v>0</v>
      </c>
      <c r="R164" s="2">
        <f>COUNTIFS(集計用!$G162,"*, "&amp;R$3&amp;", *")</f>
        <v>0</v>
      </c>
      <c r="S164" s="2">
        <f>COUNTIFS(集計用!$G162,"*, "&amp;S$3&amp;", *")</f>
        <v>0</v>
      </c>
      <c r="T164" s="2">
        <f>COUNTIFS(集計用!$G162,"*, "&amp;T$3&amp;", *")</f>
        <v>1</v>
      </c>
      <c r="U164" s="2">
        <f>COUNTIFS(集計用!$G162,"*, "&amp;U$3&amp;", *")</f>
        <v>0</v>
      </c>
      <c r="V164" s="2">
        <f>COUNTIFS(集計用!$G162,"*, "&amp;V$3&amp;", *")</f>
        <v>0</v>
      </c>
      <c r="W164" s="2">
        <f>COUNTIFS(集計用!$G162,"*, "&amp;W$3&amp;", *")</f>
        <v>0</v>
      </c>
      <c r="X164" s="2">
        <f>COUNTIFS(集計用!$G162,"*, "&amp;X$3&amp;", *")</f>
        <v>0</v>
      </c>
      <c r="Y164" s="2">
        <f>COUNTIFS(集計用!$G162,"*, "&amp;Y$3&amp;", *")</f>
        <v>0</v>
      </c>
      <c r="Z164" s="2">
        <f>COUNTIFS(集計用!$G162,"*, "&amp;Z$3&amp;", *")</f>
        <v>0</v>
      </c>
      <c r="AA164" s="2">
        <f>COUNTIFS(集計用!$G162,"*, "&amp;AA$3&amp;", *")</f>
        <v>0</v>
      </c>
      <c r="AB164" s="2">
        <f>COUNTIFS(集計用!$G162,"*, "&amp;AB$3&amp;", *")</f>
        <v>0</v>
      </c>
      <c r="AC164" s="2">
        <f>COUNTIFS(集計用!$G162,"*, "&amp;AC$3&amp;", *")</f>
        <v>0</v>
      </c>
      <c r="AD164" s="2">
        <f>COUNTIFS(集計用!$G162,"*, "&amp;AD$3&amp;", *")</f>
        <v>0</v>
      </c>
      <c r="AE164" s="2">
        <f>COUNTIFS(集計用!$G162,"*, "&amp;AE$3&amp;", *")</f>
        <v>0</v>
      </c>
      <c r="AF164" s="2">
        <f>COUNTIFS(集計用!$G162,"*, "&amp;AF$3&amp;", *")</f>
        <v>0</v>
      </c>
      <c r="AG164" s="2">
        <f>COUNTIFS(集計用!$G162,"*, "&amp;AG$3&amp;", *")</f>
        <v>0</v>
      </c>
      <c r="AH164" s="2">
        <f>COUNTIFS(集計用!$G162,"*, "&amp;AH$3&amp;", *")</f>
        <v>0</v>
      </c>
      <c r="AI164" s="2">
        <f>COUNTIFS(集計用!$G162,"*, "&amp;AI$3&amp;", *")</f>
        <v>0</v>
      </c>
      <c r="AJ164" s="2">
        <f>COUNTIFS(集計用!$G162,"*, "&amp;AJ$3&amp;", *")</f>
        <v>0</v>
      </c>
      <c r="AK164" s="2">
        <f>COUNTIFS(集計用!$G162,"*, "&amp;AK$3&amp;", *")</f>
        <v>0</v>
      </c>
      <c r="AL164" s="2">
        <f>COUNTIFS(集計用!$G162,"*, "&amp;AL$3&amp;", *")</f>
        <v>0</v>
      </c>
      <c r="AM164" s="2">
        <f>COUNTIFS(集計用!$G162,"*, "&amp;AM$3&amp;", *")</f>
        <v>0</v>
      </c>
      <c r="AN164" s="2">
        <f>COUNTIFS(集計用!$G162,"*, "&amp;AN$3&amp;", *")</f>
        <v>0</v>
      </c>
      <c r="AO164" s="2">
        <f>COUNTIFS(集計用!$G162,"*, "&amp;AO$3&amp;", *")</f>
        <v>0</v>
      </c>
      <c r="AP164" s="2">
        <f>COUNTIFS(集計用!$G162,"*, "&amp;AP$3&amp;", *")</f>
        <v>0</v>
      </c>
      <c r="AQ164" s="2">
        <f>COUNTIFS(集計用!$G162,"*, "&amp;AQ$3&amp;", *")</f>
        <v>0</v>
      </c>
      <c r="AR164" s="2">
        <f>COUNTIFS(集計用!$G162,"*, "&amp;AR$3&amp;", *")</f>
        <v>0</v>
      </c>
      <c r="AS164" s="2">
        <f>COUNTIFS(集計用!$G162,"*, "&amp;AS$3&amp;", *")</f>
        <v>0</v>
      </c>
      <c r="AT164" s="2">
        <f>COUNTIFS(集計用!$G162,"*, "&amp;AT$3&amp;", *")</f>
        <v>0</v>
      </c>
      <c r="AU164" s="2">
        <f>COUNTIFS(集計用!$G162,"*, "&amp;AU$3&amp;", *")</f>
        <v>0</v>
      </c>
      <c r="AV164" s="2">
        <f>COUNTIFS(集計用!$G162,"*, "&amp;AV$3&amp;", *")</f>
        <v>0</v>
      </c>
      <c r="AW164" s="2">
        <f>COUNTIFS(集計用!$G162,"*, "&amp;AW$3&amp;", *")</f>
        <v>0</v>
      </c>
      <c r="AX164" s="2">
        <f>COUNTIFS(集計用!$G162,"*, "&amp;AX$3&amp;", *")</f>
        <v>0</v>
      </c>
      <c r="AY164" s="2">
        <f>COUNTIFS(集計用!$G162,"*, "&amp;AY$3&amp;", *")</f>
        <v>0</v>
      </c>
      <c r="AZ164" s="2">
        <f>COUNTIFS(集計用!$G162,"*, "&amp;AZ$3&amp;", *")</f>
        <v>0</v>
      </c>
      <c r="BA164" s="2">
        <f>COUNTIFS(集計用!$G162,"*, "&amp;BA$3&amp;", *")</f>
        <v>0</v>
      </c>
      <c r="BB164" s="2">
        <f>COUNTIFS(集計用!$G162,"*, "&amp;BB$3&amp;", *")</f>
        <v>0</v>
      </c>
      <c r="BC164" s="2">
        <f>COUNTIFS(集計用!$G162,"*, "&amp;BC$3&amp;", *")</f>
        <v>0</v>
      </c>
      <c r="BD164" s="2">
        <f>COUNTIFS(集計用!$G162,"*, "&amp;BD$3&amp;", *")</f>
        <v>0</v>
      </c>
      <c r="BE164" s="2">
        <f>COUNTIFS(集計用!$G162,"*, "&amp;BE$3&amp;", *")</f>
        <v>0</v>
      </c>
      <c r="BF164" s="2">
        <f>COUNTIFS(集計用!$G162,"*, "&amp;BF$3&amp;", *")</f>
        <v>0</v>
      </c>
      <c r="BG164" s="2">
        <f>COUNTIFS(集計用!$G162,"*, "&amp;BG$3&amp;", *")</f>
        <v>0</v>
      </c>
      <c r="BH164" s="2">
        <f>COUNTIFS(集計用!$G162,"*, "&amp;BH$3&amp;", *")</f>
        <v>0</v>
      </c>
      <c r="BI164" s="2">
        <f>COUNTIFS(集計用!$G162,"*, "&amp;BI$3&amp;", *")</f>
        <v>0</v>
      </c>
      <c r="BJ164" s="2">
        <f>LEN(集計用!H162)-LEN(SUBSTITUTE(集計用!H162,",",""))</f>
        <v>0</v>
      </c>
    </row>
    <row r="165" spans="1:62" ht="12.75">
      <c r="A165" s="8">
        <v>162</v>
      </c>
      <c r="C165" s="2">
        <f t="shared" si="3"/>
        <v>5</v>
      </c>
      <c r="D165" s="9"/>
      <c r="E165" s="2">
        <f>COUNTIFS(集計用!$G163,"*, "&amp;E$3&amp;", *")</f>
        <v>0</v>
      </c>
      <c r="F165" s="2">
        <f>COUNTIFS(集計用!$G163,"*, "&amp;F$3&amp;", *")</f>
        <v>1</v>
      </c>
      <c r="G165" s="2">
        <f>COUNTIFS(集計用!$G163,"*, "&amp;G$3&amp;", *")</f>
        <v>1</v>
      </c>
      <c r="H165" s="2">
        <f>COUNTIFS(集計用!$G163,"*, "&amp;H$3&amp;", *")</f>
        <v>0</v>
      </c>
      <c r="I165" s="2">
        <f>COUNTIFS(集計用!$G163,"*, "&amp;I$3&amp;", *")</f>
        <v>0</v>
      </c>
      <c r="J165" s="2">
        <f>COUNTIFS(集計用!$G163,"*, "&amp;J$3&amp;", *")</f>
        <v>0</v>
      </c>
      <c r="K165" s="2">
        <f>COUNTIFS(集計用!$G163,"*, "&amp;K$3&amp;", *")</f>
        <v>1</v>
      </c>
      <c r="L165" s="2">
        <f>COUNTIFS(集計用!$G163,"*, "&amp;L$3&amp;", *")</f>
        <v>0</v>
      </c>
      <c r="M165" s="2">
        <f>COUNTIFS(集計用!$G163,"*, "&amp;M$3&amp;", *")</f>
        <v>0</v>
      </c>
      <c r="N165" s="2">
        <f>COUNTIFS(集計用!$G163,"*, "&amp;N$3&amp;", *")</f>
        <v>1</v>
      </c>
      <c r="O165" s="2">
        <f>COUNTIFS(集計用!$G163,"*, "&amp;O$3&amp;", *")</f>
        <v>0</v>
      </c>
      <c r="P165" s="2">
        <f>COUNTIFS(集計用!$G163,"*, "&amp;P$3&amp;", *")</f>
        <v>0</v>
      </c>
      <c r="Q165" s="2">
        <f>COUNTIFS(集計用!$G163,"*, "&amp;Q$3&amp;", *")</f>
        <v>0</v>
      </c>
      <c r="R165" s="2">
        <f>COUNTIFS(集計用!$G163,"*, "&amp;R$3&amp;", *")</f>
        <v>0</v>
      </c>
      <c r="S165" s="2">
        <f>COUNTIFS(集計用!$G163,"*, "&amp;S$3&amp;", *")</f>
        <v>0</v>
      </c>
      <c r="T165" s="2">
        <f>COUNTIFS(集計用!$G163,"*, "&amp;T$3&amp;", *")</f>
        <v>0</v>
      </c>
      <c r="U165" s="2">
        <f>COUNTIFS(集計用!$G163,"*, "&amp;U$3&amp;", *")</f>
        <v>0</v>
      </c>
      <c r="V165" s="2">
        <f>COUNTIFS(集計用!$G163,"*, "&amp;V$3&amp;", *")</f>
        <v>0</v>
      </c>
      <c r="W165" s="2">
        <f>COUNTIFS(集計用!$G163,"*, "&amp;W$3&amp;", *")</f>
        <v>0</v>
      </c>
      <c r="X165" s="2">
        <f>COUNTIFS(集計用!$G163,"*, "&amp;X$3&amp;", *")</f>
        <v>1</v>
      </c>
      <c r="Y165" s="2">
        <f>COUNTIFS(集計用!$G163,"*, "&amp;Y$3&amp;", *")</f>
        <v>0</v>
      </c>
      <c r="Z165" s="2">
        <f>COUNTIFS(集計用!$G163,"*, "&amp;Z$3&amp;", *")</f>
        <v>0</v>
      </c>
      <c r="AA165" s="2">
        <f>COUNTIFS(集計用!$G163,"*, "&amp;AA$3&amp;", *")</f>
        <v>0</v>
      </c>
      <c r="AB165" s="2">
        <f>COUNTIFS(集計用!$G163,"*, "&amp;AB$3&amp;", *")</f>
        <v>0</v>
      </c>
      <c r="AC165" s="2">
        <f>COUNTIFS(集計用!$G163,"*, "&amp;AC$3&amp;", *")</f>
        <v>0</v>
      </c>
      <c r="AD165" s="2">
        <f>COUNTIFS(集計用!$G163,"*, "&amp;AD$3&amp;", *")</f>
        <v>0</v>
      </c>
      <c r="AE165" s="2">
        <f>COUNTIFS(集計用!$G163,"*, "&amp;AE$3&amp;", *")</f>
        <v>0</v>
      </c>
      <c r="AF165" s="2">
        <f>COUNTIFS(集計用!$G163,"*, "&amp;AF$3&amp;", *")</f>
        <v>0</v>
      </c>
      <c r="AG165" s="2">
        <f>COUNTIFS(集計用!$G163,"*, "&amp;AG$3&amp;", *")</f>
        <v>0</v>
      </c>
      <c r="AH165" s="2">
        <f>COUNTIFS(集計用!$G163,"*, "&amp;AH$3&amp;", *")</f>
        <v>0</v>
      </c>
      <c r="AI165" s="2">
        <f>COUNTIFS(集計用!$G163,"*, "&amp;AI$3&amp;", *")</f>
        <v>0</v>
      </c>
      <c r="AJ165" s="2">
        <f>COUNTIFS(集計用!$G163,"*, "&amp;AJ$3&amp;", *")</f>
        <v>0</v>
      </c>
      <c r="AK165" s="2">
        <f>COUNTIFS(集計用!$G163,"*, "&amp;AK$3&amp;", *")</f>
        <v>0</v>
      </c>
      <c r="AL165" s="2">
        <f>COUNTIFS(集計用!$G163,"*, "&amp;AL$3&amp;", *")</f>
        <v>0</v>
      </c>
      <c r="AM165" s="2">
        <f>COUNTIFS(集計用!$G163,"*, "&amp;AM$3&amp;", *")</f>
        <v>0</v>
      </c>
      <c r="AN165" s="2">
        <f>COUNTIFS(集計用!$G163,"*, "&amp;AN$3&amp;", *")</f>
        <v>0</v>
      </c>
      <c r="AO165" s="2">
        <f>COUNTIFS(集計用!$G163,"*, "&amp;AO$3&amp;", *")</f>
        <v>0</v>
      </c>
      <c r="AP165" s="2">
        <f>COUNTIFS(集計用!$G163,"*, "&amp;AP$3&amp;", *")</f>
        <v>0</v>
      </c>
      <c r="AQ165" s="2">
        <f>COUNTIFS(集計用!$G163,"*, "&amp;AQ$3&amp;", *")</f>
        <v>0</v>
      </c>
      <c r="AR165" s="2">
        <f>COUNTIFS(集計用!$G163,"*, "&amp;AR$3&amp;", *")</f>
        <v>0</v>
      </c>
      <c r="AS165" s="2">
        <f>COUNTIFS(集計用!$G163,"*, "&amp;AS$3&amp;", *")</f>
        <v>0</v>
      </c>
      <c r="AT165" s="2">
        <f>COUNTIFS(集計用!$G163,"*, "&amp;AT$3&amp;", *")</f>
        <v>0</v>
      </c>
      <c r="AU165" s="2">
        <f>COUNTIFS(集計用!$G163,"*, "&amp;AU$3&amp;", *")</f>
        <v>0</v>
      </c>
      <c r="AV165" s="2">
        <f>COUNTIFS(集計用!$G163,"*, "&amp;AV$3&amp;", *")</f>
        <v>0</v>
      </c>
      <c r="AW165" s="2">
        <f>COUNTIFS(集計用!$G163,"*, "&amp;AW$3&amp;", *")</f>
        <v>0</v>
      </c>
      <c r="AX165" s="2">
        <f>COUNTIFS(集計用!$G163,"*, "&amp;AX$3&amp;", *")</f>
        <v>0</v>
      </c>
      <c r="AY165" s="2">
        <f>COUNTIFS(集計用!$G163,"*, "&amp;AY$3&amp;", *")</f>
        <v>0</v>
      </c>
      <c r="AZ165" s="2">
        <f>COUNTIFS(集計用!$G163,"*, "&amp;AZ$3&amp;", *")</f>
        <v>0</v>
      </c>
      <c r="BA165" s="2">
        <f>COUNTIFS(集計用!$G163,"*, "&amp;BA$3&amp;", *")</f>
        <v>0</v>
      </c>
      <c r="BB165" s="2">
        <f>COUNTIFS(集計用!$G163,"*, "&amp;BB$3&amp;", *")</f>
        <v>0</v>
      </c>
      <c r="BC165" s="2">
        <f>COUNTIFS(集計用!$G163,"*, "&amp;BC$3&amp;", *")</f>
        <v>0</v>
      </c>
      <c r="BD165" s="2">
        <f>COUNTIFS(集計用!$G163,"*, "&amp;BD$3&amp;", *")</f>
        <v>0</v>
      </c>
      <c r="BE165" s="2">
        <f>COUNTIFS(集計用!$G163,"*, "&amp;BE$3&amp;", *")</f>
        <v>0</v>
      </c>
      <c r="BF165" s="2">
        <f>COUNTIFS(集計用!$G163,"*, "&amp;BF$3&amp;", *")</f>
        <v>0</v>
      </c>
      <c r="BG165" s="2">
        <f>COUNTIFS(集計用!$G163,"*, "&amp;BG$3&amp;", *")</f>
        <v>0</v>
      </c>
      <c r="BH165" s="2">
        <f>COUNTIFS(集計用!$G163,"*, "&amp;BH$3&amp;", *")</f>
        <v>0</v>
      </c>
      <c r="BI165" s="2">
        <f>COUNTIFS(集計用!$G163,"*, "&amp;BI$3&amp;", *")</f>
        <v>0</v>
      </c>
      <c r="BJ165" s="2">
        <f>LEN(集計用!H163)-LEN(SUBSTITUTE(集計用!H163,",",""))</f>
        <v>0</v>
      </c>
    </row>
    <row r="166" spans="1:62" ht="12.75">
      <c r="A166" s="8">
        <v>163</v>
      </c>
      <c r="C166" s="2">
        <f t="shared" si="3"/>
        <v>3</v>
      </c>
      <c r="D166" s="9"/>
      <c r="E166" s="2">
        <f>COUNTIFS(集計用!$G164,"*, "&amp;E$3&amp;", *")</f>
        <v>0</v>
      </c>
      <c r="F166" s="2">
        <f>COUNTIFS(集計用!$G164,"*, "&amp;F$3&amp;", *")</f>
        <v>0</v>
      </c>
      <c r="G166" s="2">
        <f>COUNTIFS(集計用!$G164,"*, "&amp;G$3&amp;", *")</f>
        <v>0</v>
      </c>
      <c r="H166" s="2">
        <f>COUNTIFS(集計用!$G164,"*, "&amp;H$3&amp;", *")</f>
        <v>0</v>
      </c>
      <c r="I166" s="2">
        <f>COUNTIFS(集計用!$G164,"*, "&amp;I$3&amp;", *")</f>
        <v>1</v>
      </c>
      <c r="J166" s="2">
        <f>COUNTIFS(集計用!$G164,"*, "&amp;J$3&amp;", *")</f>
        <v>0</v>
      </c>
      <c r="K166" s="2">
        <f>COUNTIFS(集計用!$G164,"*, "&amp;K$3&amp;", *")</f>
        <v>0</v>
      </c>
      <c r="L166" s="2">
        <f>COUNTIFS(集計用!$G164,"*, "&amp;L$3&amp;", *")</f>
        <v>0</v>
      </c>
      <c r="M166" s="2">
        <f>COUNTIFS(集計用!$G164,"*, "&amp;M$3&amp;", *")</f>
        <v>1</v>
      </c>
      <c r="N166" s="2">
        <f>COUNTIFS(集計用!$G164,"*, "&amp;N$3&amp;", *")</f>
        <v>0</v>
      </c>
      <c r="O166" s="2">
        <f>COUNTIFS(集計用!$G164,"*, "&amp;O$3&amp;", *")</f>
        <v>0</v>
      </c>
      <c r="P166" s="2">
        <f>COUNTIFS(集計用!$G164,"*, "&amp;P$3&amp;", *")</f>
        <v>0</v>
      </c>
      <c r="Q166" s="2">
        <f>COUNTIFS(集計用!$G164,"*, "&amp;Q$3&amp;", *")</f>
        <v>0</v>
      </c>
      <c r="R166" s="2">
        <f>COUNTIFS(集計用!$G164,"*, "&amp;R$3&amp;", *")</f>
        <v>0</v>
      </c>
      <c r="S166" s="2">
        <f>COUNTIFS(集計用!$G164,"*, "&amp;S$3&amp;", *")</f>
        <v>0</v>
      </c>
      <c r="T166" s="2">
        <f>COUNTIFS(集計用!$G164,"*, "&amp;T$3&amp;", *")</f>
        <v>1</v>
      </c>
      <c r="U166" s="2">
        <f>COUNTIFS(集計用!$G164,"*, "&amp;U$3&amp;", *")</f>
        <v>0</v>
      </c>
      <c r="V166" s="2">
        <f>COUNTIFS(集計用!$G164,"*, "&amp;V$3&amp;", *")</f>
        <v>0</v>
      </c>
      <c r="W166" s="2">
        <f>COUNTIFS(集計用!$G164,"*, "&amp;W$3&amp;", *")</f>
        <v>0</v>
      </c>
      <c r="X166" s="2">
        <f>COUNTIFS(集計用!$G164,"*, "&amp;X$3&amp;", *")</f>
        <v>0</v>
      </c>
      <c r="Y166" s="2">
        <f>COUNTIFS(集計用!$G164,"*, "&amp;Y$3&amp;", *")</f>
        <v>0</v>
      </c>
      <c r="Z166" s="2">
        <f>COUNTIFS(集計用!$G164,"*, "&amp;Z$3&amp;", *")</f>
        <v>0</v>
      </c>
      <c r="AA166" s="2">
        <f>COUNTIFS(集計用!$G164,"*, "&amp;AA$3&amp;", *")</f>
        <v>0</v>
      </c>
      <c r="AB166" s="2">
        <f>COUNTIFS(集計用!$G164,"*, "&amp;AB$3&amp;", *")</f>
        <v>0</v>
      </c>
      <c r="AC166" s="2">
        <f>COUNTIFS(集計用!$G164,"*, "&amp;AC$3&amp;", *")</f>
        <v>0</v>
      </c>
      <c r="AD166" s="2">
        <f>COUNTIFS(集計用!$G164,"*, "&amp;AD$3&amp;", *")</f>
        <v>0</v>
      </c>
      <c r="AE166" s="2">
        <f>COUNTIFS(集計用!$G164,"*, "&amp;AE$3&amp;", *")</f>
        <v>0</v>
      </c>
      <c r="AF166" s="2">
        <f>COUNTIFS(集計用!$G164,"*, "&amp;AF$3&amp;", *")</f>
        <v>0</v>
      </c>
      <c r="AG166" s="2">
        <f>COUNTIFS(集計用!$G164,"*, "&amp;AG$3&amp;", *")</f>
        <v>0</v>
      </c>
      <c r="AH166" s="2">
        <f>COUNTIFS(集計用!$G164,"*, "&amp;AH$3&amp;", *")</f>
        <v>0</v>
      </c>
      <c r="AI166" s="2">
        <f>COUNTIFS(集計用!$G164,"*, "&amp;AI$3&amp;", *")</f>
        <v>0</v>
      </c>
      <c r="AJ166" s="2">
        <f>COUNTIFS(集計用!$G164,"*, "&amp;AJ$3&amp;", *")</f>
        <v>0</v>
      </c>
      <c r="AK166" s="2">
        <f>COUNTIFS(集計用!$G164,"*, "&amp;AK$3&amp;", *")</f>
        <v>0</v>
      </c>
      <c r="AL166" s="2">
        <f>COUNTIFS(集計用!$G164,"*, "&amp;AL$3&amp;", *")</f>
        <v>0</v>
      </c>
      <c r="AM166" s="2">
        <f>COUNTIFS(集計用!$G164,"*, "&amp;AM$3&amp;", *")</f>
        <v>0</v>
      </c>
      <c r="AN166" s="2">
        <f>COUNTIFS(集計用!$G164,"*, "&amp;AN$3&amp;", *")</f>
        <v>0</v>
      </c>
      <c r="AO166" s="2">
        <f>COUNTIFS(集計用!$G164,"*, "&amp;AO$3&amp;", *")</f>
        <v>0</v>
      </c>
      <c r="AP166" s="2">
        <f>COUNTIFS(集計用!$G164,"*, "&amp;AP$3&amp;", *")</f>
        <v>0</v>
      </c>
      <c r="AQ166" s="2">
        <f>COUNTIFS(集計用!$G164,"*, "&amp;AQ$3&amp;", *")</f>
        <v>0</v>
      </c>
      <c r="AR166" s="2">
        <f>COUNTIFS(集計用!$G164,"*, "&amp;AR$3&amp;", *")</f>
        <v>0</v>
      </c>
      <c r="AS166" s="2">
        <f>COUNTIFS(集計用!$G164,"*, "&amp;AS$3&amp;", *")</f>
        <v>0</v>
      </c>
      <c r="AT166" s="2">
        <f>COUNTIFS(集計用!$G164,"*, "&amp;AT$3&amp;", *")</f>
        <v>0</v>
      </c>
      <c r="AU166" s="2">
        <f>COUNTIFS(集計用!$G164,"*, "&amp;AU$3&amp;", *")</f>
        <v>0</v>
      </c>
      <c r="AV166" s="2">
        <f>COUNTIFS(集計用!$G164,"*, "&amp;AV$3&amp;", *")</f>
        <v>0</v>
      </c>
      <c r="AW166" s="2">
        <f>COUNTIFS(集計用!$G164,"*, "&amp;AW$3&amp;", *")</f>
        <v>0</v>
      </c>
      <c r="AX166" s="2">
        <f>COUNTIFS(集計用!$G164,"*, "&amp;AX$3&amp;", *")</f>
        <v>0</v>
      </c>
      <c r="AY166" s="2">
        <f>COUNTIFS(集計用!$G164,"*, "&amp;AY$3&amp;", *")</f>
        <v>0</v>
      </c>
      <c r="AZ166" s="2">
        <f>COUNTIFS(集計用!$G164,"*, "&amp;AZ$3&amp;", *")</f>
        <v>0</v>
      </c>
      <c r="BA166" s="2">
        <f>COUNTIFS(集計用!$G164,"*, "&amp;BA$3&amp;", *")</f>
        <v>0</v>
      </c>
      <c r="BB166" s="2">
        <f>COUNTIFS(集計用!$G164,"*, "&amp;BB$3&amp;", *")</f>
        <v>0</v>
      </c>
      <c r="BC166" s="2">
        <f>COUNTIFS(集計用!$G164,"*, "&amp;BC$3&amp;", *")</f>
        <v>0</v>
      </c>
      <c r="BD166" s="2">
        <f>COUNTIFS(集計用!$G164,"*, "&amp;BD$3&amp;", *")</f>
        <v>0</v>
      </c>
      <c r="BE166" s="2">
        <f>COUNTIFS(集計用!$G164,"*, "&amp;BE$3&amp;", *")</f>
        <v>0</v>
      </c>
      <c r="BF166" s="2">
        <f>COUNTIFS(集計用!$G164,"*, "&amp;BF$3&amp;", *")</f>
        <v>0</v>
      </c>
      <c r="BG166" s="2">
        <f>COUNTIFS(集計用!$G164,"*, "&amp;BG$3&amp;", *")</f>
        <v>0</v>
      </c>
      <c r="BH166" s="2">
        <f>COUNTIFS(集計用!$G164,"*, "&amp;BH$3&amp;", *")</f>
        <v>0</v>
      </c>
      <c r="BI166" s="2">
        <f>COUNTIFS(集計用!$G164,"*, "&amp;BI$3&amp;", *")</f>
        <v>0</v>
      </c>
      <c r="BJ166" s="2">
        <f>LEN(集計用!H164)-LEN(SUBSTITUTE(集計用!H164,",",""))</f>
        <v>0</v>
      </c>
    </row>
    <row r="167" spans="1:62" ht="12.75">
      <c r="A167" s="8">
        <v>164</v>
      </c>
      <c r="C167" s="2">
        <f t="shared" si="3"/>
        <v>5</v>
      </c>
      <c r="D167" s="9"/>
      <c r="E167" s="2">
        <f>COUNTIFS(集計用!$G165,"*, "&amp;E$3&amp;", *")</f>
        <v>1</v>
      </c>
      <c r="F167" s="2">
        <f>COUNTIFS(集計用!$G165,"*, "&amp;F$3&amp;", *")</f>
        <v>1</v>
      </c>
      <c r="G167" s="2">
        <f>COUNTIFS(集計用!$G165,"*, "&amp;G$3&amp;", *")</f>
        <v>1</v>
      </c>
      <c r="H167" s="2">
        <f>COUNTIFS(集計用!$G165,"*, "&amp;H$3&amp;", *")</f>
        <v>0</v>
      </c>
      <c r="I167" s="2">
        <f>COUNTIFS(集計用!$G165,"*, "&amp;I$3&amp;", *")</f>
        <v>1</v>
      </c>
      <c r="J167" s="2">
        <f>COUNTIFS(集計用!$G165,"*, "&amp;J$3&amp;", *")</f>
        <v>0</v>
      </c>
      <c r="K167" s="2">
        <f>COUNTIFS(集計用!$G165,"*, "&amp;K$3&amp;", *")</f>
        <v>0</v>
      </c>
      <c r="L167" s="2">
        <f>COUNTIFS(集計用!$G165,"*, "&amp;L$3&amp;", *")</f>
        <v>0</v>
      </c>
      <c r="M167" s="2">
        <f>COUNTIFS(集計用!$G165,"*, "&amp;M$3&amp;", *")</f>
        <v>0</v>
      </c>
      <c r="N167" s="2">
        <f>COUNTIFS(集計用!$G165,"*, "&amp;N$3&amp;", *")</f>
        <v>0</v>
      </c>
      <c r="O167" s="2">
        <f>COUNTIFS(集計用!$G165,"*, "&amp;O$3&amp;", *")</f>
        <v>0</v>
      </c>
      <c r="P167" s="2">
        <f>COUNTIFS(集計用!$G165,"*, "&amp;P$3&amp;", *")</f>
        <v>0</v>
      </c>
      <c r="Q167" s="2">
        <f>COUNTIFS(集計用!$G165,"*, "&amp;Q$3&amp;", *")</f>
        <v>0</v>
      </c>
      <c r="R167" s="2">
        <f>COUNTIFS(集計用!$G165,"*, "&amp;R$3&amp;", *")</f>
        <v>0</v>
      </c>
      <c r="S167" s="2">
        <f>COUNTIFS(集計用!$G165,"*, "&amp;S$3&amp;", *")</f>
        <v>0</v>
      </c>
      <c r="T167" s="2">
        <f>COUNTIFS(集計用!$G165,"*, "&amp;T$3&amp;", *")</f>
        <v>0</v>
      </c>
      <c r="U167" s="2">
        <f>COUNTIFS(集計用!$G165,"*, "&amp;U$3&amp;", *")</f>
        <v>0</v>
      </c>
      <c r="V167" s="2">
        <f>COUNTIFS(集計用!$G165,"*, "&amp;V$3&amp;", *")</f>
        <v>0</v>
      </c>
      <c r="W167" s="2">
        <f>COUNTIFS(集計用!$G165,"*, "&amp;W$3&amp;", *")</f>
        <v>1</v>
      </c>
      <c r="X167" s="2">
        <f>COUNTIFS(集計用!$G165,"*, "&amp;X$3&amp;", *")</f>
        <v>0</v>
      </c>
      <c r="Y167" s="2">
        <f>COUNTIFS(集計用!$G165,"*, "&amp;Y$3&amp;", *")</f>
        <v>0</v>
      </c>
      <c r="Z167" s="2">
        <f>COUNTIFS(集計用!$G165,"*, "&amp;Z$3&amp;", *")</f>
        <v>0</v>
      </c>
      <c r="AA167" s="2">
        <f>COUNTIFS(集計用!$G165,"*, "&amp;AA$3&amp;", *")</f>
        <v>0</v>
      </c>
      <c r="AB167" s="2">
        <f>COUNTIFS(集計用!$G165,"*, "&amp;AB$3&amp;", *")</f>
        <v>0</v>
      </c>
      <c r="AC167" s="2">
        <f>COUNTIFS(集計用!$G165,"*, "&amp;AC$3&amp;", *")</f>
        <v>0</v>
      </c>
      <c r="AD167" s="2">
        <f>COUNTIFS(集計用!$G165,"*, "&amp;AD$3&amp;", *")</f>
        <v>0</v>
      </c>
      <c r="AE167" s="2">
        <f>COUNTIFS(集計用!$G165,"*, "&amp;AE$3&amp;", *")</f>
        <v>0</v>
      </c>
      <c r="AF167" s="2">
        <f>COUNTIFS(集計用!$G165,"*, "&amp;AF$3&amp;", *")</f>
        <v>0</v>
      </c>
      <c r="AG167" s="2">
        <f>COUNTIFS(集計用!$G165,"*, "&amp;AG$3&amp;", *")</f>
        <v>0</v>
      </c>
      <c r="AH167" s="2">
        <f>COUNTIFS(集計用!$G165,"*, "&amp;AH$3&amp;", *")</f>
        <v>0</v>
      </c>
      <c r="AI167" s="2">
        <f>COUNTIFS(集計用!$G165,"*, "&amp;AI$3&amp;", *")</f>
        <v>0</v>
      </c>
      <c r="AJ167" s="2">
        <f>COUNTIFS(集計用!$G165,"*, "&amp;AJ$3&amp;", *")</f>
        <v>0</v>
      </c>
      <c r="AK167" s="2">
        <f>COUNTIFS(集計用!$G165,"*, "&amp;AK$3&amp;", *")</f>
        <v>0</v>
      </c>
      <c r="AL167" s="2">
        <f>COUNTIFS(集計用!$G165,"*, "&amp;AL$3&amp;", *")</f>
        <v>0</v>
      </c>
      <c r="AM167" s="2">
        <f>COUNTIFS(集計用!$G165,"*, "&amp;AM$3&amp;", *")</f>
        <v>0</v>
      </c>
      <c r="AN167" s="2">
        <f>COUNTIFS(集計用!$G165,"*, "&amp;AN$3&amp;", *")</f>
        <v>0</v>
      </c>
      <c r="AO167" s="2">
        <f>COUNTIFS(集計用!$G165,"*, "&amp;AO$3&amp;", *")</f>
        <v>0</v>
      </c>
      <c r="AP167" s="2">
        <f>COUNTIFS(集計用!$G165,"*, "&amp;AP$3&amp;", *")</f>
        <v>0</v>
      </c>
      <c r="AQ167" s="2">
        <f>COUNTIFS(集計用!$G165,"*, "&amp;AQ$3&amp;", *")</f>
        <v>0</v>
      </c>
      <c r="AR167" s="2">
        <f>COUNTIFS(集計用!$G165,"*, "&amp;AR$3&amp;", *")</f>
        <v>0</v>
      </c>
      <c r="AS167" s="2">
        <f>COUNTIFS(集計用!$G165,"*, "&amp;AS$3&amp;", *")</f>
        <v>0</v>
      </c>
      <c r="AT167" s="2">
        <f>COUNTIFS(集計用!$G165,"*, "&amp;AT$3&amp;", *")</f>
        <v>0</v>
      </c>
      <c r="AU167" s="2">
        <f>COUNTIFS(集計用!$G165,"*, "&amp;AU$3&amp;", *")</f>
        <v>0</v>
      </c>
      <c r="AV167" s="2">
        <f>COUNTIFS(集計用!$G165,"*, "&amp;AV$3&amp;", *")</f>
        <v>0</v>
      </c>
      <c r="AW167" s="2">
        <f>COUNTIFS(集計用!$G165,"*, "&amp;AW$3&amp;", *")</f>
        <v>0</v>
      </c>
      <c r="AX167" s="2">
        <f>COUNTIFS(集計用!$G165,"*, "&amp;AX$3&amp;", *")</f>
        <v>0</v>
      </c>
      <c r="AY167" s="2">
        <f>COUNTIFS(集計用!$G165,"*, "&amp;AY$3&amp;", *")</f>
        <v>0</v>
      </c>
      <c r="AZ167" s="2">
        <f>COUNTIFS(集計用!$G165,"*, "&amp;AZ$3&amp;", *")</f>
        <v>0</v>
      </c>
      <c r="BA167" s="2">
        <f>COUNTIFS(集計用!$G165,"*, "&amp;BA$3&amp;", *")</f>
        <v>0</v>
      </c>
      <c r="BB167" s="2">
        <f>COUNTIFS(集計用!$G165,"*, "&amp;BB$3&amp;", *")</f>
        <v>0</v>
      </c>
      <c r="BC167" s="2">
        <f>COUNTIFS(集計用!$G165,"*, "&amp;BC$3&amp;", *")</f>
        <v>0</v>
      </c>
      <c r="BD167" s="2">
        <f>COUNTIFS(集計用!$G165,"*, "&amp;BD$3&amp;", *")</f>
        <v>0</v>
      </c>
      <c r="BE167" s="2">
        <f>COUNTIFS(集計用!$G165,"*, "&amp;BE$3&amp;", *")</f>
        <v>0</v>
      </c>
      <c r="BF167" s="2">
        <f>COUNTIFS(集計用!$G165,"*, "&amp;BF$3&amp;", *")</f>
        <v>0</v>
      </c>
      <c r="BG167" s="2">
        <f>COUNTIFS(集計用!$G165,"*, "&amp;BG$3&amp;", *")</f>
        <v>0</v>
      </c>
      <c r="BH167" s="2">
        <f>COUNTIFS(集計用!$G165,"*, "&amp;BH$3&amp;", *")</f>
        <v>0</v>
      </c>
      <c r="BI167" s="2">
        <f>COUNTIFS(集計用!$G165,"*, "&amp;BI$3&amp;", *")</f>
        <v>0</v>
      </c>
      <c r="BJ167" s="2">
        <f>LEN(集計用!H165)-LEN(SUBSTITUTE(集計用!H165,",",""))</f>
        <v>0</v>
      </c>
    </row>
    <row r="168" spans="1:62" ht="12.75">
      <c r="A168" s="8">
        <v>165</v>
      </c>
      <c r="C168" s="2">
        <f t="shared" si="3"/>
        <v>8</v>
      </c>
      <c r="D168" s="9"/>
      <c r="E168" s="2">
        <f>COUNTIFS(集計用!$G166,"*, "&amp;E$3&amp;", *")</f>
        <v>1</v>
      </c>
      <c r="F168" s="2">
        <f>COUNTIFS(集計用!$G166,"*, "&amp;F$3&amp;", *")</f>
        <v>0</v>
      </c>
      <c r="G168" s="2">
        <f>COUNTIFS(集計用!$G166,"*, "&amp;G$3&amp;", *")</f>
        <v>1</v>
      </c>
      <c r="H168" s="2">
        <f>COUNTIFS(集計用!$G166,"*, "&amp;H$3&amp;", *")</f>
        <v>0</v>
      </c>
      <c r="I168" s="2">
        <f>COUNTIFS(集計用!$G166,"*, "&amp;I$3&amp;", *")</f>
        <v>0</v>
      </c>
      <c r="J168" s="2">
        <f>COUNTIFS(集計用!$G166,"*, "&amp;J$3&amp;", *")</f>
        <v>0</v>
      </c>
      <c r="K168" s="2">
        <f>COUNTIFS(集計用!$G166,"*, "&amp;K$3&amp;", *")</f>
        <v>0</v>
      </c>
      <c r="L168" s="2">
        <f>COUNTIFS(集計用!$G166,"*, "&amp;L$3&amp;", *")</f>
        <v>0</v>
      </c>
      <c r="M168" s="2">
        <f>COUNTIFS(集計用!$G166,"*, "&amp;M$3&amp;", *")</f>
        <v>0</v>
      </c>
      <c r="N168" s="2">
        <f>COUNTIFS(集計用!$G166,"*, "&amp;N$3&amp;", *")</f>
        <v>1</v>
      </c>
      <c r="O168" s="2">
        <f>COUNTIFS(集計用!$G166,"*, "&amp;O$3&amp;", *")</f>
        <v>1</v>
      </c>
      <c r="P168" s="2">
        <f>COUNTIFS(集計用!$G166,"*, "&amp;P$3&amp;", *")</f>
        <v>1</v>
      </c>
      <c r="Q168" s="2">
        <f>COUNTIFS(集計用!$G166,"*, "&amp;Q$3&amp;", *")</f>
        <v>0</v>
      </c>
      <c r="R168" s="2">
        <f>COUNTIFS(集計用!$G166,"*, "&amp;R$3&amp;", *")</f>
        <v>0</v>
      </c>
      <c r="S168" s="2">
        <f>COUNTIFS(集計用!$G166,"*, "&amp;S$3&amp;", *")</f>
        <v>1</v>
      </c>
      <c r="T168" s="2">
        <f>COUNTIFS(集計用!$G166,"*, "&amp;T$3&amp;", *")</f>
        <v>0</v>
      </c>
      <c r="U168" s="2">
        <f>COUNTIFS(集計用!$G166,"*, "&amp;U$3&amp;", *")</f>
        <v>1</v>
      </c>
      <c r="V168" s="2">
        <f>COUNTIFS(集計用!$G166,"*, "&amp;V$3&amp;", *")</f>
        <v>0</v>
      </c>
      <c r="W168" s="2">
        <f>COUNTIFS(集計用!$G166,"*, "&amp;W$3&amp;", *")</f>
        <v>0</v>
      </c>
      <c r="X168" s="2">
        <f>COUNTIFS(集計用!$G166,"*, "&amp;X$3&amp;", *")</f>
        <v>0</v>
      </c>
      <c r="Y168" s="2">
        <f>COUNTIFS(集計用!$G166,"*, "&amp;Y$3&amp;", *")</f>
        <v>0</v>
      </c>
      <c r="Z168" s="2">
        <f>COUNTIFS(集計用!$G166,"*, "&amp;Z$3&amp;", *")</f>
        <v>0</v>
      </c>
      <c r="AA168" s="2">
        <f>COUNTIFS(集計用!$G166,"*, "&amp;AA$3&amp;", *")</f>
        <v>0</v>
      </c>
      <c r="AB168" s="2">
        <f>COUNTIFS(集計用!$G166,"*, "&amp;AB$3&amp;", *")</f>
        <v>1</v>
      </c>
      <c r="AC168" s="2">
        <f>COUNTIFS(集計用!$G166,"*, "&amp;AC$3&amp;", *")</f>
        <v>0</v>
      </c>
      <c r="AD168" s="2">
        <f>COUNTIFS(集計用!$G166,"*, "&amp;AD$3&amp;", *")</f>
        <v>0</v>
      </c>
      <c r="AE168" s="2">
        <f>COUNTIFS(集計用!$G166,"*, "&amp;AE$3&amp;", *")</f>
        <v>0</v>
      </c>
      <c r="AF168" s="2">
        <f>COUNTIFS(集計用!$G166,"*, "&amp;AF$3&amp;", *")</f>
        <v>0</v>
      </c>
      <c r="AG168" s="2">
        <f>COUNTIFS(集計用!$G166,"*, "&amp;AG$3&amp;", *")</f>
        <v>0</v>
      </c>
      <c r="AH168" s="2">
        <f>COUNTIFS(集計用!$G166,"*, "&amp;AH$3&amp;", *")</f>
        <v>0</v>
      </c>
      <c r="AI168" s="2">
        <f>COUNTIFS(集計用!$G166,"*, "&amp;AI$3&amp;", *")</f>
        <v>0</v>
      </c>
      <c r="AJ168" s="2">
        <f>COUNTIFS(集計用!$G166,"*, "&amp;AJ$3&amp;", *")</f>
        <v>0</v>
      </c>
      <c r="AK168" s="2">
        <f>COUNTIFS(集計用!$G166,"*, "&amp;AK$3&amp;", *")</f>
        <v>0</v>
      </c>
      <c r="AL168" s="2">
        <f>COUNTIFS(集計用!$G166,"*, "&amp;AL$3&amp;", *")</f>
        <v>0</v>
      </c>
      <c r="AM168" s="2">
        <f>COUNTIFS(集計用!$G166,"*, "&amp;AM$3&amp;", *")</f>
        <v>0</v>
      </c>
      <c r="AN168" s="2">
        <f>COUNTIFS(集計用!$G166,"*, "&amp;AN$3&amp;", *")</f>
        <v>0</v>
      </c>
      <c r="AO168" s="2">
        <f>COUNTIFS(集計用!$G166,"*, "&amp;AO$3&amp;", *")</f>
        <v>0</v>
      </c>
      <c r="AP168" s="2">
        <f>COUNTIFS(集計用!$G166,"*, "&amp;AP$3&amp;", *")</f>
        <v>0</v>
      </c>
      <c r="AQ168" s="2">
        <f>COUNTIFS(集計用!$G166,"*, "&amp;AQ$3&amp;", *")</f>
        <v>0</v>
      </c>
      <c r="AR168" s="2">
        <f>COUNTIFS(集計用!$G166,"*, "&amp;AR$3&amp;", *")</f>
        <v>0</v>
      </c>
      <c r="AS168" s="2">
        <f>COUNTIFS(集計用!$G166,"*, "&amp;AS$3&amp;", *")</f>
        <v>0</v>
      </c>
      <c r="AT168" s="2">
        <f>COUNTIFS(集計用!$G166,"*, "&amp;AT$3&amp;", *")</f>
        <v>0</v>
      </c>
      <c r="AU168" s="2">
        <f>COUNTIFS(集計用!$G166,"*, "&amp;AU$3&amp;", *")</f>
        <v>0</v>
      </c>
      <c r="AV168" s="2">
        <f>COUNTIFS(集計用!$G166,"*, "&amp;AV$3&amp;", *")</f>
        <v>0</v>
      </c>
      <c r="AW168" s="2">
        <f>COUNTIFS(集計用!$G166,"*, "&amp;AW$3&amp;", *")</f>
        <v>0</v>
      </c>
      <c r="AX168" s="2">
        <f>COUNTIFS(集計用!$G166,"*, "&amp;AX$3&amp;", *")</f>
        <v>0</v>
      </c>
      <c r="AY168" s="2">
        <f>COUNTIFS(集計用!$G166,"*, "&amp;AY$3&amp;", *")</f>
        <v>0</v>
      </c>
      <c r="AZ168" s="2">
        <f>COUNTIFS(集計用!$G166,"*, "&amp;AZ$3&amp;", *")</f>
        <v>0</v>
      </c>
      <c r="BA168" s="2">
        <f>COUNTIFS(集計用!$G166,"*, "&amp;BA$3&amp;", *")</f>
        <v>0</v>
      </c>
      <c r="BB168" s="2">
        <f>COUNTIFS(集計用!$G166,"*, "&amp;BB$3&amp;", *")</f>
        <v>0</v>
      </c>
      <c r="BC168" s="2">
        <f>COUNTIFS(集計用!$G166,"*, "&amp;BC$3&amp;", *")</f>
        <v>0</v>
      </c>
      <c r="BD168" s="2">
        <f>COUNTIFS(集計用!$G166,"*, "&amp;BD$3&amp;", *")</f>
        <v>0</v>
      </c>
      <c r="BE168" s="2">
        <f>COUNTIFS(集計用!$G166,"*, "&amp;BE$3&amp;", *")</f>
        <v>0</v>
      </c>
      <c r="BF168" s="2">
        <f>COUNTIFS(集計用!$G166,"*, "&amp;BF$3&amp;", *")</f>
        <v>0</v>
      </c>
      <c r="BG168" s="2">
        <f>COUNTIFS(集計用!$G166,"*, "&amp;BG$3&amp;", *")</f>
        <v>0</v>
      </c>
      <c r="BH168" s="2">
        <f>COUNTIFS(集計用!$G166,"*, "&amp;BH$3&amp;", *")</f>
        <v>0</v>
      </c>
      <c r="BI168" s="2">
        <f>COUNTIFS(集計用!$G166,"*, "&amp;BI$3&amp;", *")</f>
        <v>0</v>
      </c>
      <c r="BJ168" s="2">
        <f>LEN(集計用!H166)-LEN(SUBSTITUTE(集計用!H166,",",""))</f>
        <v>0</v>
      </c>
    </row>
    <row r="169" spans="1:62" ht="12.75">
      <c r="A169" s="8">
        <v>166</v>
      </c>
      <c r="C169" s="2">
        <f t="shared" si="3"/>
        <v>6</v>
      </c>
      <c r="D169" s="9"/>
      <c r="E169" s="2">
        <f>COUNTIFS(集計用!$G167,"*, "&amp;E$3&amp;", *")</f>
        <v>1</v>
      </c>
      <c r="F169" s="2">
        <f>COUNTIFS(集計用!$G167,"*, "&amp;F$3&amp;", *")</f>
        <v>1</v>
      </c>
      <c r="G169" s="2">
        <f>COUNTIFS(集計用!$G167,"*, "&amp;G$3&amp;", *")</f>
        <v>0</v>
      </c>
      <c r="H169" s="2">
        <f>COUNTIFS(集計用!$G167,"*, "&amp;H$3&amp;", *")</f>
        <v>0</v>
      </c>
      <c r="I169" s="2">
        <f>COUNTIFS(集計用!$G167,"*, "&amp;I$3&amp;", *")</f>
        <v>0</v>
      </c>
      <c r="J169" s="2">
        <f>COUNTIFS(集計用!$G167,"*, "&amp;J$3&amp;", *")</f>
        <v>1</v>
      </c>
      <c r="K169" s="2">
        <f>COUNTIFS(集計用!$G167,"*, "&amp;K$3&amp;", *")</f>
        <v>0</v>
      </c>
      <c r="L169" s="2">
        <f>COUNTIFS(集計用!$G167,"*, "&amp;L$3&amp;", *")</f>
        <v>0</v>
      </c>
      <c r="M169" s="2">
        <f>COUNTIFS(集計用!$G167,"*, "&amp;M$3&amp;", *")</f>
        <v>0</v>
      </c>
      <c r="N169" s="2">
        <f>COUNTIFS(集計用!$G167,"*, "&amp;N$3&amp;", *")</f>
        <v>0</v>
      </c>
      <c r="O169" s="2">
        <f>COUNTIFS(集計用!$G167,"*, "&amp;O$3&amp;", *")</f>
        <v>0</v>
      </c>
      <c r="P169" s="2">
        <f>COUNTIFS(集計用!$G167,"*, "&amp;P$3&amp;", *")</f>
        <v>0</v>
      </c>
      <c r="Q169" s="2">
        <f>COUNTIFS(集計用!$G167,"*, "&amp;Q$3&amp;", *")</f>
        <v>0</v>
      </c>
      <c r="R169" s="2">
        <f>COUNTIFS(集計用!$G167,"*, "&amp;R$3&amp;", *")</f>
        <v>0</v>
      </c>
      <c r="S169" s="2">
        <f>COUNTIFS(集計用!$G167,"*, "&amp;S$3&amp;", *")</f>
        <v>1</v>
      </c>
      <c r="T169" s="2">
        <f>COUNTIFS(集計用!$G167,"*, "&amp;T$3&amp;", *")</f>
        <v>0</v>
      </c>
      <c r="U169" s="2">
        <f>COUNTIFS(集計用!$G167,"*, "&amp;U$3&amp;", *")</f>
        <v>0</v>
      </c>
      <c r="V169" s="2">
        <f>COUNTIFS(集計用!$G167,"*, "&amp;V$3&amp;", *")</f>
        <v>0</v>
      </c>
      <c r="W169" s="2">
        <f>COUNTIFS(集計用!$G167,"*, "&amp;W$3&amp;", *")</f>
        <v>0</v>
      </c>
      <c r="X169" s="2">
        <f>COUNTIFS(集計用!$G167,"*, "&amp;X$3&amp;", *")</f>
        <v>0</v>
      </c>
      <c r="Y169" s="2">
        <f>COUNTIFS(集計用!$G167,"*, "&amp;Y$3&amp;", *")</f>
        <v>0</v>
      </c>
      <c r="Z169" s="2">
        <f>COUNTIFS(集計用!$G167,"*, "&amp;Z$3&amp;", *")</f>
        <v>0</v>
      </c>
      <c r="AA169" s="2">
        <f>COUNTIFS(集計用!$G167,"*, "&amp;AA$3&amp;", *")</f>
        <v>0</v>
      </c>
      <c r="AB169" s="2">
        <f>COUNTIFS(集計用!$G167,"*, "&amp;AB$3&amp;", *")</f>
        <v>0</v>
      </c>
      <c r="AC169" s="2">
        <f>COUNTIFS(集計用!$G167,"*, "&amp;AC$3&amp;", *")</f>
        <v>1</v>
      </c>
      <c r="AD169" s="2">
        <f>COUNTIFS(集計用!$G167,"*, "&amp;AD$3&amp;", *")</f>
        <v>0</v>
      </c>
      <c r="AE169" s="2">
        <f>COUNTIFS(集計用!$G167,"*, "&amp;AE$3&amp;", *")</f>
        <v>0</v>
      </c>
      <c r="AF169" s="2">
        <f>COUNTIFS(集計用!$G167,"*, "&amp;AF$3&amp;", *")</f>
        <v>0</v>
      </c>
      <c r="AG169" s="2">
        <f>COUNTIFS(集計用!$G167,"*, "&amp;AG$3&amp;", *")</f>
        <v>0</v>
      </c>
      <c r="AH169" s="2">
        <f>COUNTIFS(集計用!$G167,"*, "&amp;AH$3&amp;", *")</f>
        <v>1</v>
      </c>
      <c r="AI169" s="2">
        <f>COUNTIFS(集計用!$G167,"*, "&amp;AI$3&amp;", *")</f>
        <v>0</v>
      </c>
      <c r="AJ169" s="2">
        <f>COUNTIFS(集計用!$G167,"*, "&amp;AJ$3&amp;", *")</f>
        <v>0</v>
      </c>
      <c r="AK169" s="2">
        <f>COUNTIFS(集計用!$G167,"*, "&amp;AK$3&amp;", *")</f>
        <v>0</v>
      </c>
      <c r="AL169" s="2">
        <f>COUNTIFS(集計用!$G167,"*, "&amp;AL$3&amp;", *")</f>
        <v>0</v>
      </c>
      <c r="AM169" s="2">
        <f>COUNTIFS(集計用!$G167,"*, "&amp;AM$3&amp;", *")</f>
        <v>0</v>
      </c>
      <c r="AN169" s="2">
        <f>COUNTIFS(集計用!$G167,"*, "&amp;AN$3&amp;", *")</f>
        <v>0</v>
      </c>
      <c r="AO169" s="2">
        <f>COUNTIFS(集計用!$G167,"*, "&amp;AO$3&amp;", *")</f>
        <v>0</v>
      </c>
      <c r="AP169" s="2">
        <f>COUNTIFS(集計用!$G167,"*, "&amp;AP$3&amp;", *")</f>
        <v>0</v>
      </c>
      <c r="AQ169" s="2">
        <f>COUNTIFS(集計用!$G167,"*, "&amp;AQ$3&amp;", *")</f>
        <v>0</v>
      </c>
      <c r="AR169" s="2">
        <f>COUNTIFS(集計用!$G167,"*, "&amp;AR$3&amp;", *")</f>
        <v>0</v>
      </c>
      <c r="AS169" s="2">
        <f>COUNTIFS(集計用!$G167,"*, "&amp;AS$3&amp;", *")</f>
        <v>0</v>
      </c>
      <c r="AT169" s="2">
        <f>COUNTIFS(集計用!$G167,"*, "&amp;AT$3&amp;", *")</f>
        <v>0</v>
      </c>
      <c r="AU169" s="2">
        <f>COUNTIFS(集計用!$G167,"*, "&amp;AU$3&amp;", *")</f>
        <v>0</v>
      </c>
      <c r="AV169" s="2">
        <f>COUNTIFS(集計用!$G167,"*, "&amp;AV$3&amp;", *")</f>
        <v>0</v>
      </c>
      <c r="AW169" s="2">
        <f>COUNTIFS(集計用!$G167,"*, "&amp;AW$3&amp;", *")</f>
        <v>0</v>
      </c>
      <c r="AX169" s="2">
        <f>COUNTIFS(集計用!$G167,"*, "&amp;AX$3&amp;", *")</f>
        <v>0</v>
      </c>
      <c r="AY169" s="2">
        <f>COUNTIFS(集計用!$G167,"*, "&amp;AY$3&amp;", *")</f>
        <v>0</v>
      </c>
      <c r="AZ169" s="2">
        <f>COUNTIFS(集計用!$G167,"*, "&amp;AZ$3&amp;", *")</f>
        <v>0</v>
      </c>
      <c r="BA169" s="2">
        <f>COUNTIFS(集計用!$G167,"*, "&amp;BA$3&amp;", *")</f>
        <v>0</v>
      </c>
      <c r="BB169" s="2">
        <f>COUNTIFS(集計用!$G167,"*, "&amp;BB$3&amp;", *")</f>
        <v>0</v>
      </c>
      <c r="BC169" s="2">
        <f>COUNTIFS(集計用!$G167,"*, "&amp;BC$3&amp;", *")</f>
        <v>0</v>
      </c>
      <c r="BD169" s="2">
        <f>COUNTIFS(集計用!$G167,"*, "&amp;BD$3&amp;", *")</f>
        <v>0</v>
      </c>
      <c r="BE169" s="2">
        <f>COUNTIFS(集計用!$G167,"*, "&amp;BE$3&amp;", *")</f>
        <v>0</v>
      </c>
      <c r="BF169" s="2">
        <f>COUNTIFS(集計用!$G167,"*, "&amp;BF$3&amp;", *")</f>
        <v>0</v>
      </c>
      <c r="BG169" s="2">
        <f>COUNTIFS(集計用!$G167,"*, "&amp;BG$3&amp;", *")</f>
        <v>0</v>
      </c>
      <c r="BH169" s="2">
        <f>COUNTIFS(集計用!$G167,"*, "&amp;BH$3&amp;", *")</f>
        <v>0</v>
      </c>
      <c r="BI169" s="2">
        <f>COUNTIFS(集計用!$G167,"*, "&amp;BI$3&amp;", *")</f>
        <v>0</v>
      </c>
      <c r="BJ169" s="2">
        <f>LEN(集計用!H167)-LEN(SUBSTITUTE(集計用!H167,",",""))</f>
        <v>0</v>
      </c>
    </row>
    <row r="170" spans="1:62" ht="12.75">
      <c r="A170" s="8">
        <v>167</v>
      </c>
      <c r="C170" s="2">
        <f t="shared" si="3"/>
        <v>2</v>
      </c>
      <c r="D170" s="9"/>
      <c r="E170" s="2">
        <f>COUNTIFS(集計用!$G168,"*, "&amp;E$3&amp;", *")</f>
        <v>1</v>
      </c>
      <c r="F170" s="2">
        <f>COUNTIFS(集計用!$G168,"*, "&amp;F$3&amp;", *")</f>
        <v>0</v>
      </c>
      <c r="G170" s="2">
        <f>COUNTIFS(集計用!$G168,"*, "&amp;G$3&amp;", *")</f>
        <v>0</v>
      </c>
      <c r="H170" s="2">
        <f>COUNTIFS(集計用!$G168,"*, "&amp;H$3&amp;", *")</f>
        <v>1</v>
      </c>
      <c r="I170" s="2">
        <f>COUNTIFS(集計用!$G168,"*, "&amp;I$3&amp;", *")</f>
        <v>0</v>
      </c>
      <c r="J170" s="2">
        <f>COUNTIFS(集計用!$G168,"*, "&amp;J$3&amp;", *")</f>
        <v>0</v>
      </c>
      <c r="K170" s="2">
        <f>COUNTIFS(集計用!$G168,"*, "&amp;K$3&amp;", *")</f>
        <v>0</v>
      </c>
      <c r="L170" s="2">
        <f>COUNTIFS(集計用!$G168,"*, "&amp;L$3&amp;", *")</f>
        <v>0</v>
      </c>
      <c r="M170" s="2">
        <f>COUNTIFS(集計用!$G168,"*, "&amp;M$3&amp;", *")</f>
        <v>0</v>
      </c>
      <c r="N170" s="2">
        <f>COUNTIFS(集計用!$G168,"*, "&amp;N$3&amp;", *")</f>
        <v>0</v>
      </c>
      <c r="O170" s="2">
        <f>COUNTIFS(集計用!$G168,"*, "&amp;O$3&amp;", *")</f>
        <v>0</v>
      </c>
      <c r="P170" s="2">
        <f>COUNTIFS(集計用!$G168,"*, "&amp;P$3&amp;", *")</f>
        <v>0</v>
      </c>
      <c r="Q170" s="2">
        <f>COUNTIFS(集計用!$G168,"*, "&amp;Q$3&amp;", *")</f>
        <v>0</v>
      </c>
      <c r="R170" s="2">
        <f>COUNTIFS(集計用!$G168,"*, "&amp;R$3&amp;", *")</f>
        <v>0</v>
      </c>
      <c r="S170" s="2">
        <f>COUNTIFS(集計用!$G168,"*, "&amp;S$3&amp;", *")</f>
        <v>0</v>
      </c>
      <c r="T170" s="2">
        <f>COUNTIFS(集計用!$G168,"*, "&amp;T$3&amp;", *")</f>
        <v>0</v>
      </c>
      <c r="U170" s="2">
        <f>COUNTIFS(集計用!$G168,"*, "&amp;U$3&amp;", *")</f>
        <v>0</v>
      </c>
      <c r="V170" s="2">
        <f>COUNTIFS(集計用!$G168,"*, "&amp;V$3&amp;", *")</f>
        <v>0</v>
      </c>
      <c r="W170" s="2">
        <f>COUNTIFS(集計用!$G168,"*, "&amp;W$3&amp;", *")</f>
        <v>0</v>
      </c>
      <c r="X170" s="2">
        <f>COUNTIFS(集計用!$G168,"*, "&amp;X$3&amp;", *")</f>
        <v>0</v>
      </c>
      <c r="Y170" s="2">
        <f>COUNTIFS(集計用!$G168,"*, "&amp;Y$3&amp;", *")</f>
        <v>0</v>
      </c>
      <c r="Z170" s="2">
        <f>COUNTIFS(集計用!$G168,"*, "&amp;Z$3&amp;", *")</f>
        <v>0</v>
      </c>
      <c r="AA170" s="2">
        <f>COUNTIFS(集計用!$G168,"*, "&amp;AA$3&amp;", *")</f>
        <v>0</v>
      </c>
      <c r="AB170" s="2">
        <f>COUNTIFS(集計用!$G168,"*, "&amp;AB$3&amp;", *")</f>
        <v>0</v>
      </c>
      <c r="AC170" s="2">
        <f>COUNTIFS(集計用!$G168,"*, "&amp;AC$3&amp;", *")</f>
        <v>0</v>
      </c>
      <c r="AD170" s="2">
        <f>COUNTIFS(集計用!$G168,"*, "&amp;AD$3&amp;", *")</f>
        <v>0</v>
      </c>
      <c r="AE170" s="2">
        <f>COUNTIFS(集計用!$G168,"*, "&amp;AE$3&amp;", *")</f>
        <v>0</v>
      </c>
      <c r="AF170" s="2">
        <f>COUNTIFS(集計用!$G168,"*, "&amp;AF$3&amp;", *")</f>
        <v>0</v>
      </c>
      <c r="AG170" s="2">
        <f>COUNTIFS(集計用!$G168,"*, "&amp;AG$3&amp;", *")</f>
        <v>0</v>
      </c>
      <c r="AH170" s="2">
        <f>COUNTIFS(集計用!$G168,"*, "&amp;AH$3&amp;", *")</f>
        <v>0</v>
      </c>
      <c r="AI170" s="2">
        <f>COUNTIFS(集計用!$G168,"*, "&amp;AI$3&amp;", *")</f>
        <v>0</v>
      </c>
      <c r="AJ170" s="2">
        <f>COUNTIFS(集計用!$G168,"*, "&amp;AJ$3&amp;", *")</f>
        <v>0</v>
      </c>
      <c r="AK170" s="2">
        <f>COUNTIFS(集計用!$G168,"*, "&amp;AK$3&amp;", *")</f>
        <v>0</v>
      </c>
      <c r="AL170" s="2">
        <f>COUNTIFS(集計用!$G168,"*, "&amp;AL$3&amp;", *")</f>
        <v>0</v>
      </c>
      <c r="AM170" s="2">
        <f>COUNTIFS(集計用!$G168,"*, "&amp;AM$3&amp;", *")</f>
        <v>0</v>
      </c>
      <c r="AN170" s="2">
        <f>COUNTIFS(集計用!$G168,"*, "&amp;AN$3&amp;", *")</f>
        <v>0</v>
      </c>
      <c r="AO170" s="2">
        <f>COUNTIFS(集計用!$G168,"*, "&amp;AO$3&amp;", *")</f>
        <v>0</v>
      </c>
      <c r="AP170" s="2">
        <f>COUNTIFS(集計用!$G168,"*, "&amp;AP$3&amp;", *")</f>
        <v>0</v>
      </c>
      <c r="AQ170" s="2">
        <f>COUNTIFS(集計用!$G168,"*, "&amp;AQ$3&amp;", *")</f>
        <v>0</v>
      </c>
      <c r="AR170" s="2">
        <f>COUNTIFS(集計用!$G168,"*, "&amp;AR$3&amp;", *")</f>
        <v>0</v>
      </c>
      <c r="AS170" s="2">
        <f>COUNTIFS(集計用!$G168,"*, "&amp;AS$3&amp;", *")</f>
        <v>0</v>
      </c>
      <c r="AT170" s="2">
        <f>COUNTIFS(集計用!$G168,"*, "&amp;AT$3&amp;", *")</f>
        <v>0</v>
      </c>
      <c r="AU170" s="2">
        <f>COUNTIFS(集計用!$G168,"*, "&amp;AU$3&amp;", *")</f>
        <v>0</v>
      </c>
      <c r="AV170" s="2">
        <f>COUNTIFS(集計用!$G168,"*, "&amp;AV$3&amp;", *")</f>
        <v>0</v>
      </c>
      <c r="AW170" s="2">
        <f>COUNTIFS(集計用!$G168,"*, "&amp;AW$3&amp;", *")</f>
        <v>0</v>
      </c>
      <c r="AX170" s="2">
        <f>COUNTIFS(集計用!$G168,"*, "&amp;AX$3&amp;", *")</f>
        <v>0</v>
      </c>
      <c r="AY170" s="2">
        <f>COUNTIFS(集計用!$G168,"*, "&amp;AY$3&amp;", *")</f>
        <v>0</v>
      </c>
      <c r="AZ170" s="2">
        <f>COUNTIFS(集計用!$G168,"*, "&amp;AZ$3&amp;", *")</f>
        <v>0</v>
      </c>
      <c r="BA170" s="2">
        <f>COUNTIFS(集計用!$G168,"*, "&amp;BA$3&amp;", *")</f>
        <v>0</v>
      </c>
      <c r="BB170" s="2">
        <f>COUNTIFS(集計用!$G168,"*, "&amp;BB$3&amp;", *")</f>
        <v>0</v>
      </c>
      <c r="BC170" s="2">
        <f>COUNTIFS(集計用!$G168,"*, "&amp;BC$3&amp;", *")</f>
        <v>0</v>
      </c>
      <c r="BD170" s="2">
        <f>COUNTIFS(集計用!$G168,"*, "&amp;BD$3&amp;", *")</f>
        <v>0</v>
      </c>
      <c r="BE170" s="2">
        <f>COUNTIFS(集計用!$G168,"*, "&amp;BE$3&amp;", *")</f>
        <v>0</v>
      </c>
      <c r="BF170" s="2">
        <f>COUNTIFS(集計用!$G168,"*, "&amp;BF$3&amp;", *")</f>
        <v>0</v>
      </c>
      <c r="BG170" s="2">
        <f>COUNTIFS(集計用!$G168,"*, "&amp;BG$3&amp;", *")</f>
        <v>0</v>
      </c>
      <c r="BH170" s="2">
        <f>COUNTIFS(集計用!$G168,"*, "&amp;BH$3&amp;", *")</f>
        <v>0</v>
      </c>
      <c r="BI170" s="2">
        <f>COUNTIFS(集計用!$G168,"*, "&amp;BI$3&amp;", *")</f>
        <v>0</v>
      </c>
      <c r="BJ170" s="2">
        <f>LEN(集計用!H168)-LEN(SUBSTITUTE(集計用!H168,",",""))</f>
        <v>0</v>
      </c>
    </row>
    <row r="171" spans="1:62" ht="12.75">
      <c r="A171" s="8">
        <v>168</v>
      </c>
      <c r="C171" s="2">
        <f t="shared" si="3"/>
        <v>5</v>
      </c>
      <c r="D171" s="9"/>
      <c r="E171" s="2">
        <f>COUNTIFS(集計用!$G169,"*, "&amp;E$3&amp;", *")</f>
        <v>1</v>
      </c>
      <c r="F171" s="2">
        <f>COUNTIFS(集計用!$G169,"*, "&amp;F$3&amp;", *")</f>
        <v>1</v>
      </c>
      <c r="G171" s="2">
        <f>COUNTIFS(集計用!$G169,"*, "&amp;G$3&amp;", *")</f>
        <v>0</v>
      </c>
      <c r="H171" s="2">
        <f>COUNTIFS(集計用!$G169,"*, "&amp;H$3&amp;", *")</f>
        <v>0</v>
      </c>
      <c r="I171" s="2">
        <f>COUNTIFS(集計用!$G169,"*, "&amp;I$3&amp;", *")</f>
        <v>0</v>
      </c>
      <c r="J171" s="2">
        <f>COUNTIFS(集計用!$G169,"*, "&amp;J$3&amp;", *")</f>
        <v>1</v>
      </c>
      <c r="K171" s="2">
        <f>COUNTIFS(集計用!$G169,"*, "&amp;K$3&amp;", *")</f>
        <v>0</v>
      </c>
      <c r="L171" s="2">
        <f>COUNTIFS(集計用!$G169,"*, "&amp;L$3&amp;", *")</f>
        <v>0</v>
      </c>
      <c r="M171" s="2">
        <f>COUNTIFS(集計用!$G169,"*, "&amp;M$3&amp;", *")</f>
        <v>0</v>
      </c>
      <c r="N171" s="2">
        <f>COUNTIFS(集計用!$G169,"*, "&amp;N$3&amp;", *")</f>
        <v>0</v>
      </c>
      <c r="O171" s="2">
        <f>COUNTIFS(集計用!$G169,"*, "&amp;O$3&amp;", *")</f>
        <v>0</v>
      </c>
      <c r="P171" s="2">
        <f>COUNTIFS(集計用!$G169,"*, "&amp;P$3&amp;", *")</f>
        <v>0</v>
      </c>
      <c r="Q171" s="2">
        <f>COUNTIFS(集計用!$G169,"*, "&amp;Q$3&amp;", *")</f>
        <v>0</v>
      </c>
      <c r="R171" s="2">
        <f>COUNTIFS(集計用!$G169,"*, "&amp;R$3&amp;", *")</f>
        <v>0</v>
      </c>
      <c r="S171" s="2">
        <f>COUNTIFS(集計用!$G169,"*, "&amp;S$3&amp;", *")</f>
        <v>0</v>
      </c>
      <c r="T171" s="2">
        <f>COUNTIFS(集計用!$G169,"*, "&amp;T$3&amp;", *")</f>
        <v>0</v>
      </c>
      <c r="U171" s="2">
        <f>COUNTIFS(集計用!$G169,"*, "&amp;U$3&amp;", *")</f>
        <v>0</v>
      </c>
      <c r="V171" s="2">
        <f>COUNTIFS(集計用!$G169,"*, "&amp;V$3&amp;", *")</f>
        <v>0</v>
      </c>
      <c r="W171" s="2">
        <f>COUNTIFS(集計用!$G169,"*, "&amp;W$3&amp;", *")</f>
        <v>0</v>
      </c>
      <c r="X171" s="2">
        <f>COUNTIFS(集計用!$G169,"*, "&amp;X$3&amp;", *")</f>
        <v>0</v>
      </c>
      <c r="Y171" s="2">
        <f>COUNTIFS(集計用!$G169,"*, "&amp;Y$3&amp;", *")</f>
        <v>0</v>
      </c>
      <c r="Z171" s="2">
        <f>COUNTIFS(集計用!$G169,"*, "&amp;Z$3&amp;", *")</f>
        <v>0</v>
      </c>
      <c r="AA171" s="2">
        <f>COUNTIFS(集計用!$G169,"*, "&amp;AA$3&amp;", *")</f>
        <v>1</v>
      </c>
      <c r="AB171" s="2">
        <f>COUNTIFS(集計用!$G169,"*, "&amp;AB$3&amp;", *")</f>
        <v>0</v>
      </c>
      <c r="AC171" s="2">
        <f>COUNTIFS(集計用!$G169,"*, "&amp;AC$3&amp;", *")</f>
        <v>0</v>
      </c>
      <c r="AD171" s="2">
        <f>COUNTIFS(集計用!$G169,"*, "&amp;AD$3&amp;", *")</f>
        <v>0</v>
      </c>
      <c r="AE171" s="2">
        <f>COUNTIFS(集計用!$G169,"*, "&amp;AE$3&amp;", *")</f>
        <v>0</v>
      </c>
      <c r="AF171" s="2">
        <f>COUNTIFS(集計用!$G169,"*, "&amp;AF$3&amp;", *")</f>
        <v>0</v>
      </c>
      <c r="AG171" s="2">
        <f>COUNTIFS(集計用!$G169,"*, "&amp;AG$3&amp;", *")</f>
        <v>0</v>
      </c>
      <c r="AH171" s="2">
        <f>COUNTIFS(集計用!$G169,"*, "&amp;AH$3&amp;", *")</f>
        <v>0</v>
      </c>
      <c r="AI171" s="2">
        <f>COUNTIFS(集計用!$G169,"*, "&amp;AI$3&amp;", *")</f>
        <v>1</v>
      </c>
      <c r="AJ171" s="2">
        <f>COUNTIFS(集計用!$G169,"*, "&amp;AJ$3&amp;", *")</f>
        <v>0</v>
      </c>
      <c r="AK171" s="2">
        <f>COUNTIFS(集計用!$G169,"*, "&amp;AK$3&amp;", *")</f>
        <v>0</v>
      </c>
      <c r="AL171" s="2">
        <f>COUNTIFS(集計用!$G169,"*, "&amp;AL$3&amp;", *")</f>
        <v>0</v>
      </c>
      <c r="AM171" s="2">
        <f>COUNTIFS(集計用!$G169,"*, "&amp;AM$3&amp;", *")</f>
        <v>0</v>
      </c>
      <c r="AN171" s="2">
        <f>COUNTIFS(集計用!$G169,"*, "&amp;AN$3&amp;", *")</f>
        <v>0</v>
      </c>
      <c r="AO171" s="2">
        <f>COUNTIFS(集計用!$G169,"*, "&amp;AO$3&amp;", *")</f>
        <v>0</v>
      </c>
      <c r="AP171" s="2">
        <f>COUNTIFS(集計用!$G169,"*, "&amp;AP$3&amp;", *")</f>
        <v>0</v>
      </c>
      <c r="AQ171" s="2">
        <f>COUNTIFS(集計用!$G169,"*, "&amp;AQ$3&amp;", *")</f>
        <v>0</v>
      </c>
      <c r="AR171" s="2">
        <f>COUNTIFS(集計用!$G169,"*, "&amp;AR$3&amp;", *")</f>
        <v>0</v>
      </c>
      <c r="AS171" s="2">
        <f>COUNTIFS(集計用!$G169,"*, "&amp;AS$3&amp;", *")</f>
        <v>0</v>
      </c>
      <c r="AT171" s="2">
        <f>COUNTIFS(集計用!$G169,"*, "&amp;AT$3&amp;", *")</f>
        <v>0</v>
      </c>
      <c r="AU171" s="2">
        <f>COUNTIFS(集計用!$G169,"*, "&amp;AU$3&amp;", *")</f>
        <v>0</v>
      </c>
      <c r="AV171" s="2">
        <f>COUNTIFS(集計用!$G169,"*, "&amp;AV$3&amp;", *")</f>
        <v>0</v>
      </c>
      <c r="AW171" s="2">
        <f>COUNTIFS(集計用!$G169,"*, "&amp;AW$3&amp;", *")</f>
        <v>0</v>
      </c>
      <c r="AX171" s="2">
        <f>COUNTIFS(集計用!$G169,"*, "&amp;AX$3&amp;", *")</f>
        <v>0</v>
      </c>
      <c r="AY171" s="2">
        <f>COUNTIFS(集計用!$G169,"*, "&amp;AY$3&amp;", *")</f>
        <v>0</v>
      </c>
      <c r="AZ171" s="2">
        <f>COUNTIFS(集計用!$G169,"*, "&amp;AZ$3&amp;", *")</f>
        <v>0</v>
      </c>
      <c r="BA171" s="2">
        <f>COUNTIFS(集計用!$G169,"*, "&amp;BA$3&amp;", *")</f>
        <v>0</v>
      </c>
      <c r="BB171" s="2">
        <f>COUNTIFS(集計用!$G169,"*, "&amp;BB$3&amp;", *")</f>
        <v>0</v>
      </c>
      <c r="BC171" s="2">
        <f>COUNTIFS(集計用!$G169,"*, "&amp;BC$3&amp;", *")</f>
        <v>0</v>
      </c>
      <c r="BD171" s="2">
        <f>COUNTIFS(集計用!$G169,"*, "&amp;BD$3&amp;", *")</f>
        <v>0</v>
      </c>
      <c r="BE171" s="2">
        <f>COUNTIFS(集計用!$G169,"*, "&amp;BE$3&amp;", *")</f>
        <v>0</v>
      </c>
      <c r="BF171" s="2">
        <f>COUNTIFS(集計用!$G169,"*, "&amp;BF$3&amp;", *")</f>
        <v>0</v>
      </c>
      <c r="BG171" s="2">
        <f>COUNTIFS(集計用!$G169,"*, "&amp;BG$3&amp;", *")</f>
        <v>0</v>
      </c>
      <c r="BH171" s="2">
        <f>COUNTIFS(集計用!$G169,"*, "&amp;BH$3&amp;", *")</f>
        <v>0</v>
      </c>
      <c r="BI171" s="2">
        <f>COUNTIFS(集計用!$G169,"*, "&amp;BI$3&amp;", *")</f>
        <v>0</v>
      </c>
      <c r="BJ171" s="2">
        <f>LEN(集計用!H169)-LEN(SUBSTITUTE(集計用!H169,",",""))</f>
        <v>0</v>
      </c>
    </row>
    <row r="172" spans="1:62" ht="12.75">
      <c r="A172" s="8">
        <v>169</v>
      </c>
      <c r="C172" s="2">
        <f t="shared" si="3"/>
        <v>2</v>
      </c>
      <c r="D172" s="9"/>
      <c r="E172" s="2">
        <f>COUNTIFS(集計用!$G170,"*, "&amp;E$3&amp;", *")</f>
        <v>1</v>
      </c>
      <c r="F172" s="2">
        <f>COUNTIFS(集計用!$G170,"*, "&amp;F$3&amp;", *")</f>
        <v>0</v>
      </c>
      <c r="G172" s="2">
        <f>COUNTIFS(集計用!$G170,"*, "&amp;G$3&amp;", *")</f>
        <v>0</v>
      </c>
      <c r="H172" s="2">
        <f>COUNTIFS(集計用!$G170,"*, "&amp;H$3&amp;", *")</f>
        <v>0</v>
      </c>
      <c r="I172" s="2">
        <f>COUNTIFS(集計用!$G170,"*, "&amp;I$3&amp;", *")</f>
        <v>0</v>
      </c>
      <c r="J172" s="2">
        <f>COUNTIFS(集計用!$G170,"*, "&amp;J$3&amp;", *")</f>
        <v>1</v>
      </c>
      <c r="K172" s="2">
        <f>COUNTIFS(集計用!$G170,"*, "&amp;K$3&amp;", *")</f>
        <v>0</v>
      </c>
      <c r="L172" s="2">
        <f>COUNTIFS(集計用!$G170,"*, "&amp;L$3&amp;", *")</f>
        <v>0</v>
      </c>
      <c r="M172" s="2">
        <f>COUNTIFS(集計用!$G170,"*, "&amp;M$3&amp;", *")</f>
        <v>0</v>
      </c>
      <c r="N172" s="2">
        <f>COUNTIFS(集計用!$G170,"*, "&amp;N$3&amp;", *")</f>
        <v>0</v>
      </c>
      <c r="O172" s="2">
        <f>COUNTIFS(集計用!$G170,"*, "&amp;O$3&amp;", *")</f>
        <v>0</v>
      </c>
      <c r="P172" s="2">
        <f>COUNTIFS(集計用!$G170,"*, "&amp;P$3&amp;", *")</f>
        <v>0</v>
      </c>
      <c r="Q172" s="2">
        <f>COUNTIFS(集計用!$G170,"*, "&amp;Q$3&amp;", *")</f>
        <v>0</v>
      </c>
      <c r="R172" s="2">
        <f>COUNTIFS(集計用!$G170,"*, "&amp;R$3&amp;", *")</f>
        <v>0</v>
      </c>
      <c r="S172" s="2">
        <f>COUNTIFS(集計用!$G170,"*, "&amp;S$3&amp;", *")</f>
        <v>0</v>
      </c>
      <c r="T172" s="2">
        <f>COUNTIFS(集計用!$G170,"*, "&amp;T$3&amp;", *")</f>
        <v>0</v>
      </c>
      <c r="U172" s="2">
        <f>COUNTIFS(集計用!$G170,"*, "&amp;U$3&amp;", *")</f>
        <v>0</v>
      </c>
      <c r="V172" s="2">
        <f>COUNTIFS(集計用!$G170,"*, "&amp;V$3&amp;", *")</f>
        <v>0</v>
      </c>
      <c r="W172" s="2">
        <f>COUNTIFS(集計用!$G170,"*, "&amp;W$3&amp;", *")</f>
        <v>0</v>
      </c>
      <c r="X172" s="2">
        <f>COUNTIFS(集計用!$G170,"*, "&amp;X$3&amp;", *")</f>
        <v>0</v>
      </c>
      <c r="Y172" s="2">
        <f>COUNTIFS(集計用!$G170,"*, "&amp;Y$3&amp;", *")</f>
        <v>0</v>
      </c>
      <c r="Z172" s="2">
        <f>COUNTIFS(集計用!$G170,"*, "&amp;Z$3&amp;", *")</f>
        <v>0</v>
      </c>
      <c r="AA172" s="2">
        <f>COUNTIFS(集計用!$G170,"*, "&amp;AA$3&amp;", *")</f>
        <v>0</v>
      </c>
      <c r="AB172" s="2">
        <f>COUNTIFS(集計用!$G170,"*, "&amp;AB$3&amp;", *")</f>
        <v>0</v>
      </c>
      <c r="AC172" s="2">
        <f>COUNTIFS(集計用!$G170,"*, "&amp;AC$3&amp;", *")</f>
        <v>0</v>
      </c>
      <c r="AD172" s="2">
        <f>COUNTIFS(集計用!$G170,"*, "&amp;AD$3&amp;", *")</f>
        <v>0</v>
      </c>
      <c r="AE172" s="2">
        <f>COUNTIFS(集計用!$G170,"*, "&amp;AE$3&amp;", *")</f>
        <v>0</v>
      </c>
      <c r="AF172" s="2">
        <f>COUNTIFS(集計用!$G170,"*, "&amp;AF$3&amp;", *")</f>
        <v>0</v>
      </c>
      <c r="AG172" s="2">
        <f>COUNTIFS(集計用!$G170,"*, "&amp;AG$3&amp;", *")</f>
        <v>0</v>
      </c>
      <c r="AH172" s="2">
        <f>COUNTIFS(集計用!$G170,"*, "&amp;AH$3&amp;", *")</f>
        <v>0</v>
      </c>
      <c r="AI172" s="2">
        <f>COUNTIFS(集計用!$G170,"*, "&amp;AI$3&amp;", *")</f>
        <v>0</v>
      </c>
      <c r="AJ172" s="2">
        <f>COUNTIFS(集計用!$G170,"*, "&amp;AJ$3&amp;", *")</f>
        <v>0</v>
      </c>
      <c r="AK172" s="2">
        <f>COUNTIFS(集計用!$G170,"*, "&amp;AK$3&amp;", *")</f>
        <v>0</v>
      </c>
      <c r="AL172" s="2">
        <f>COUNTIFS(集計用!$G170,"*, "&amp;AL$3&amp;", *")</f>
        <v>0</v>
      </c>
      <c r="AM172" s="2">
        <f>COUNTIFS(集計用!$G170,"*, "&amp;AM$3&amp;", *")</f>
        <v>0</v>
      </c>
      <c r="AN172" s="2">
        <f>COUNTIFS(集計用!$G170,"*, "&amp;AN$3&amp;", *")</f>
        <v>0</v>
      </c>
      <c r="AO172" s="2">
        <f>COUNTIFS(集計用!$G170,"*, "&amp;AO$3&amp;", *")</f>
        <v>0</v>
      </c>
      <c r="AP172" s="2">
        <f>COUNTIFS(集計用!$G170,"*, "&amp;AP$3&amp;", *")</f>
        <v>0</v>
      </c>
      <c r="AQ172" s="2">
        <f>COUNTIFS(集計用!$G170,"*, "&amp;AQ$3&amp;", *")</f>
        <v>0</v>
      </c>
      <c r="AR172" s="2">
        <f>COUNTIFS(集計用!$G170,"*, "&amp;AR$3&amp;", *")</f>
        <v>0</v>
      </c>
      <c r="AS172" s="2">
        <f>COUNTIFS(集計用!$G170,"*, "&amp;AS$3&amp;", *")</f>
        <v>0</v>
      </c>
      <c r="AT172" s="2">
        <f>COUNTIFS(集計用!$G170,"*, "&amp;AT$3&amp;", *")</f>
        <v>0</v>
      </c>
      <c r="AU172" s="2">
        <f>COUNTIFS(集計用!$G170,"*, "&amp;AU$3&amp;", *")</f>
        <v>0</v>
      </c>
      <c r="AV172" s="2">
        <f>COUNTIFS(集計用!$G170,"*, "&amp;AV$3&amp;", *")</f>
        <v>0</v>
      </c>
      <c r="AW172" s="2">
        <f>COUNTIFS(集計用!$G170,"*, "&amp;AW$3&amp;", *")</f>
        <v>0</v>
      </c>
      <c r="AX172" s="2">
        <f>COUNTIFS(集計用!$G170,"*, "&amp;AX$3&amp;", *")</f>
        <v>0</v>
      </c>
      <c r="AY172" s="2">
        <f>COUNTIFS(集計用!$G170,"*, "&amp;AY$3&amp;", *")</f>
        <v>0</v>
      </c>
      <c r="AZ172" s="2">
        <f>COUNTIFS(集計用!$G170,"*, "&amp;AZ$3&amp;", *")</f>
        <v>0</v>
      </c>
      <c r="BA172" s="2">
        <f>COUNTIFS(集計用!$G170,"*, "&amp;BA$3&amp;", *")</f>
        <v>0</v>
      </c>
      <c r="BB172" s="2">
        <f>COUNTIFS(集計用!$G170,"*, "&amp;BB$3&amp;", *")</f>
        <v>0</v>
      </c>
      <c r="BC172" s="2">
        <f>COUNTIFS(集計用!$G170,"*, "&amp;BC$3&amp;", *")</f>
        <v>0</v>
      </c>
      <c r="BD172" s="2">
        <f>COUNTIFS(集計用!$G170,"*, "&amp;BD$3&amp;", *")</f>
        <v>0</v>
      </c>
      <c r="BE172" s="2">
        <f>COUNTIFS(集計用!$G170,"*, "&amp;BE$3&amp;", *")</f>
        <v>0</v>
      </c>
      <c r="BF172" s="2">
        <f>COUNTIFS(集計用!$G170,"*, "&amp;BF$3&amp;", *")</f>
        <v>0</v>
      </c>
      <c r="BG172" s="2">
        <f>COUNTIFS(集計用!$G170,"*, "&amp;BG$3&amp;", *")</f>
        <v>0</v>
      </c>
      <c r="BH172" s="2">
        <f>COUNTIFS(集計用!$G170,"*, "&amp;BH$3&amp;", *")</f>
        <v>0</v>
      </c>
      <c r="BI172" s="2">
        <f>COUNTIFS(集計用!$G170,"*, "&amp;BI$3&amp;", *")</f>
        <v>0</v>
      </c>
      <c r="BJ172" s="2">
        <f>LEN(集計用!H170)-LEN(SUBSTITUTE(集計用!H170,",",""))</f>
        <v>0</v>
      </c>
    </row>
    <row r="173" spans="1:62" ht="12.75">
      <c r="A173" s="8">
        <v>170</v>
      </c>
      <c r="C173" s="2">
        <f t="shared" si="3"/>
        <v>5</v>
      </c>
      <c r="D173" s="9"/>
      <c r="E173" s="2">
        <f>COUNTIFS(集計用!$G171,"*, "&amp;E$3&amp;", *")</f>
        <v>1</v>
      </c>
      <c r="F173" s="2">
        <f>COUNTIFS(集計用!$G171,"*, "&amp;F$3&amp;", *")</f>
        <v>1</v>
      </c>
      <c r="G173" s="2">
        <f>COUNTIFS(集計用!$G171,"*, "&amp;G$3&amp;", *")</f>
        <v>0</v>
      </c>
      <c r="H173" s="2">
        <f>COUNTIFS(集計用!$G171,"*, "&amp;H$3&amp;", *")</f>
        <v>0</v>
      </c>
      <c r="I173" s="2">
        <f>COUNTIFS(集計用!$G171,"*, "&amp;I$3&amp;", *")</f>
        <v>0</v>
      </c>
      <c r="J173" s="2">
        <f>COUNTIFS(集計用!$G171,"*, "&amp;J$3&amp;", *")</f>
        <v>0</v>
      </c>
      <c r="K173" s="2">
        <f>COUNTIFS(集計用!$G171,"*, "&amp;K$3&amp;", *")</f>
        <v>0</v>
      </c>
      <c r="L173" s="2">
        <f>COUNTIFS(集計用!$G171,"*, "&amp;L$3&amp;", *")</f>
        <v>1</v>
      </c>
      <c r="M173" s="2">
        <f>COUNTIFS(集計用!$G171,"*, "&amp;M$3&amp;", *")</f>
        <v>0</v>
      </c>
      <c r="N173" s="2">
        <f>COUNTIFS(集計用!$G171,"*, "&amp;N$3&amp;", *")</f>
        <v>0</v>
      </c>
      <c r="O173" s="2">
        <f>COUNTIFS(集計用!$G171,"*, "&amp;O$3&amp;", *")</f>
        <v>0</v>
      </c>
      <c r="P173" s="2">
        <f>COUNTIFS(集計用!$G171,"*, "&amp;P$3&amp;", *")</f>
        <v>0</v>
      </c>
      <c r="Q173" s="2">
        <f>COUNTIFS(集計用!$G171,"*, "&amp;Q$3&amp;", *")</f>
        <v>0</v>
      </c>
      <c r="R173" s="2">
        <f>COUNTIFS(集計用!$G171,"*, "&amp;R$3&amp;", *")</f>
        <v>1</v>
      </c>
      <c r="S173" s="2">
        <f>COUNTIFS(集計用!$G171,"*, "&amp;S$3&amp;", *")</f>
        <v>0</v>
      </c>
      <c r="T173" s="2">
        <f>COUNTIFS(集計用!$G171,"*, "&amp;T$3&amp;", *")</f>
        <v>1</v>
      </c>
      <c r="U173" s="2">
        <f>COUNTIFS(集計用!$G171,"*, "&amp;U$3&amp;", *")</f>
        <v>0</v>
      </c>
      <c r="V173" s="2">
        <f>COUNTIFS(集計用!$G171,"*, "&amp;V$3&amp;", *")</f>
        <v>0</v>
      </c>
      <c r="W173" s="2">
        <f>COUNTIFS(集計用!$G171,"*, "&amp;W$3&amp;", *")</f>
        <v>0</v>
      </c>
      <c r="X173" s="2">
        <f>COUNTIFS(集計用!$G171,"*, "&amp;X$3&amp;", *")</f>
        <v>0</v>
      </c>
      <c r="Y173" s="2">
        <f>COUNTIFS(集計用!$G171,"*, "&amp;Y$3&amp;", *")</f>
        <v>0</v>
      </c>
      <c r="Z173" s="2">
        <f>COUNTIFS(集計用!$G171,"*, "&amp;Z$3&amp;", *")</f>
        <v>0</v>
      </c>
      <c r="AA173" s="2">
        <f>COUNTIFS(集計用!$G171,"*, "&amp;AA$3&amp;", *")</f>
        <v>0</v>
      </c>
      <c r="AB173" s="2">
        <f>COUNTIFS(集計用!$G171,"*, "&amp;AB$3&amp;", *")</f>
        <v>0</v>
      </c>
      <c r="AC173" s="2">
        <f>COUNTIFS(集計用!$G171,"*, "&amp;AC$3&amp;", *")</f>
        <v>0</v>
      </c>
      <c r="AD173" s="2">
        <f>COUNTIFS(集計用!$G171,"*, "&amp;AD$3&amp;", *")</f>
        <v>0</v>
      </c>
      <c r="AE173" s="2">
        <f>COUNTIFS(集計用!$G171,"*, "&amp;AE$3&amp;", *")</f>
        <v>0</v>
      </c>
      <c r="AF173" s="2">
        <f>COUNTIFS(集計用!$G171,"*, "&amp;AF$3&amp;", *")</f>
        <v>0</v>
      </c>
      <c r="AG173" s="2">
        <f>COUNTIFS(集計用!$G171,"*, "&amp;AG$3&amp;", *")</f>
        <v>0</v>
      </c>
      <c r="AH173" s="2">
        <f>COUNTIFS(集計用!$G171,"*, "&amp;AH$3&amp;", *")</f>
        <v>0</v>
      </c>
      <c r="AI173" s="2">
        <f>COUNTIFS(集計用!$G171,"*, "&amp;AI$3&amp;", *")</f>
        <v>0</v>
      </c>
      <c r="AJ173" s="2">
        <f>COUNTIFS(集計用!$G171,"*, "&amp;AJ$3&amp;", *")</f>
        <v>0</v>
      </c>
      <c r="AK173" s="2">
        <f>COUNTIFS(集計用!$G171,"*, "&amp;AK$3&amp;", *")</f>
        <v>0</v>
      </c>
      <c r="AL173" s="2">
        <f>COUNTIFS(集計用!$G171,"*, "&amp;AL$3&amp;", *")</f>
        <v>0</v>
      </c>
      <c r="AM173" s="2">
        <f>COUNTIFS(集計用!$G171,"*, "&amp;AM$3&amp;", *")</f>
        <v>0</v>
      </c>
      <c r="AN173" s="2">
        <f>COUNTIFS(集計用!$G171,"*, "&amp;AN$3&amp;", *")</f>
        <v>0</v>
      </c>
      <c r="AO173" s="2">
        <f>COUNTIFS(集計用!$G171,"*, "&amp;AO$3&amp;", *")</f>
        <v>0</v>
      </c>
      <c r="AP173" s="2">
        <f>COUNTIFS(集計用!$G171,"*, "&amp;AP$3&amp;", *")</f>
        <v>0</v>
      </c>
      <c r="AQ173" s="2">
        <f>COUNTIFS(集計用!$G171,"*, "&amp;AQ$3&amp;", *")</f>
        <v>0</v>
      </c>
      <c r="AR173" s="2">
        <f>COUNTIFS(集計用!$G171,"*, "&amp;AR$3&amp;", *")</f>
        <v>0</v>
      </c>
      <c r="AS173" s="2">
        <f>COUNTIFS(集計用!$G171,"*, "&amp;AS$3&amp;", *")</f>
        <v>0</v>
      </c>
      <c r="AT173" s="2">
        <f>COUNTIFS(集計用!$G171,"*, "&amp;AT$3&amp;", *")</f>
        <v>0</v>
      </c>
      <c r="AU173" s="2">
        <f>COUNTIFS(集計用!$G171,"*, "&amp;AU$3&amp;", *")</f>
        <v>0</v>
      </c>
      <c r="AV173" s="2">
        <f>COUNTIFS(集計用!$G171,"*, "&amp;AV$3&amp;", *")</f>
        <v>0</v>
      </c>
      <c r="AW173" s="2">
        <f>COUNTIFS(集計用!$G171,"*, "&amp;AW$3&amp;", *")</f>
        <v>0</v>
      </c>
      <c r="AX173" s="2">
        <f>COUNTIFS(集計用!$G171,"*, "&amp;AX$3&amp;", *")</f>
        <v>0</v>
      </c>
      <c r="AY173" s="2">
        <f>COUNTIFS(集計用!$G171,"*, "&amp;AY$3&amp;", *")</f>
        <v>0</v>
      </c>
      <c r="AZ173" s="2">
        <f>COUNTIFS(集計用!$G171,"*, "&amp;AZ$3&amp;", *")</f>
        <v>0</v>
      </c>
      <c r="BA173" s="2">
        <f>COUNTIFS(集計用!$G171,"*, "&amp;BA$3&amp;", *")</f>
        <v>0</v>
      </c>
      <c r="BB173" s="2">
        <f>COUNTIFS(集計用!$G171,"*, "&amp;BB$3&amp;", *")</f>
        <v>0</v>
      </c>
      <c r="BC173" s="2">
        <f>COUNTIFS(集計用!$G171,"*, "&amp;BC$3&amp;", *")</f>
        <v>0</v>
      </c>
      <c r="BD173" s="2">
        <f>COUNTIFS(集計用!$G171,"*, "&amp;BD$3&amp;", *")</f>
        <v>0</v>
      </c>
      <c r="BE173" s="2">
        <f>COUNTIFS(集計用!$G171,"*, "&amp;BE$3&amp;", *")</f>
        <v>0</v>
      </c>
      <c r="BF173" s="2">
        <f>COUNTIFS(集計用!$G171,"*, "&amp;BF$3&amp;", *")</f>
        <v>0</v>
      </c>
      <c r="BG173" s="2">
        <f>COUNTIFS(集計用!$G171,"*, "&amp;BG$3&amp;", *")</f>
        <v>0</v>
      </c>
      <c r="BH173" s="2">
        <f>COUNTIFS(集計用!$G171,"*, "&amp;BH$3&amp;", *")</f>
        <v>0</v>
      </c>
      <c r="BI173" s="2">
        <f>COUNTIFS(集計用!$G171,"*, "&amp;BI$3&amp;", *")</f>
        <v>0</v>
      </c>
      <c r="BJ173" s="2">
        <f>LEN(集計用!H171)-LEN(SUBSTITUTE(集計用!H171,",",""))</f>
        <v>0</v>
      </c>
    </row>
    <row r="174" spans="1:62" ht="12.75">
      <c r="A174" s="8">
        <v>171</v>
      </c>
      <c r="C174" s="2">
        <f t="shared" si="3"/>
        <v>5</v>
      </c>
      <c r="D174" s="9"/>
      <c r="E174" s="2">
        <f>COUNTIFS(集計用!$G172,"*, "&amp;E$3&amp;", *")</f>
        <v>1</v>
      </c>
      <c r="F174" s="2">
        <f>COUNTIFS(集計用!$G172,"*, "&amp;F$3&amp;", *")</f>
        <v>0</v>
      </c>
      <c r="G174" s="2">
        <f>COUNTIFS(集計用!$G172,"*, "&amp;G$3&amp;", *")</f>
        <v>1</v>
      </c>
      <c r="H174" s="2">
        <f>COUNTIFS(集計用!$G172,"*, "&amp;H$3&amp;", *")</f>
        <v>0</v>
      </c>
      <c r="I174" s="2">
        <f>COUNTIFS(集計用!$G172,"*, "&amp;I$3&amp;", *")</f>
        <v>0</v>
      </c>
      <c r="J174" s="2">
        <f>COUNTIFS(集計用!$G172,"*, "&amp;J$3&amp;", *")</f>
        <v>0</v>
      </c>
      <c r="K174" s="2">
        <f>COUNTIFS(集計用!$G172,"*, "&amp;K$3&amp;", *")</f>
        <v>0</v>
      </c>
      <c r="L174" s="2">
        <f>COUNTIFS(集計用!$G172,"*, "&amp;L$3&amp;", *")</f>
        <v>0</v>
      </c>
      <c r="M174" s="2">
        <f>COUNTIFS(集計用!$G172,"*, "&amp;M$3&amp;", *")</f>
        <v>0</v>
      </c>
      <c r="N174" s="2">
        <f>COUNTIFS(集計用!$G172,"*, "&amp;N$3&amp;", *")</f>
        <v>1</v>
      </c>
      <c r="O174" s="2">
        <f>COUNTIFS(集計用!$G172,"*, "&amp;O$3&amp;", *")</f>
        <v>0</v>
      </c>
      <c r="P174" s="2">
        <f>COUNTIFS(集計用!$G172,"*, "&amp;P$3&amp;", *")</f>
        <v>1</v>
      </c>
      <c r="Q174" s="2">
        <f>COUNTIFS(集計用!$G172,"*, "&amp;Q$3&amp;", *")</f>
        <v>0</v>
      </c>
      <c r="R174" s="2">
        <f>COUNTIFS(集計用!$G172,"*, "&amp;R$3&amp;", *")</f>
        <v>1</v>
      </c>
      <c r="S174" s="2">
        <f>COUNTIFS(集計用!$G172,"*, "&amp;S$3&amp;", *")</f>
        <v>0</v>
      </c>
      <c r="T174" s="2">
        <f>COUNTIFS(集計用!$G172,"*, "&amp;T$3&amp;", *")</f>
        <v>0</v>
      </c>
      <c r="U174" s="2">
        <f>COUNTIFS(集計用!$G172,"*, "&amp;U$3&amp;", *")</f>
        <v>0</v>
      </c>
      <c r="V174" s="2">
        <f>COUNTIFS(集計用!$G172,"*, "&amp;V$3&amp;", *")</f>
        <v>0</v>
      </c>
      <c r="W174" s="2">
        <f>COUNTIFS(集計用!$G172,"*, "&amp;W$3&amp;", *")</f>
        <v>0</v>
      </c>
      <c r="X174" s="2">
        <f>COUNTIFS(集計用!$G172,"*, "&amp;X$3&amp;", *")</f>
        <v>0</v>
      </c>
      <c r="Y174" s="2">
        <f>COUNTIFS(集計用!$G172,"*, "&amp;Y$3&amp;", *")</f>
        <v>0</v>
      </c>
      <c r="Z174" s="2">
        <f>COUNTIFS(集計用!$G172,"*, "&amp;Z$3&amp;", *")</f>
        <v>0</v>
      </c>
      <c r="AA174" s="2">
        <f>COUNTIFS(集計用!$G172,"*, "&amp;AA$3&amp;", *")</f>
        <v>0</v>
      </c>
      <c r="AB174" s="2">
        <f>COUNTIFS(集計用!$G172,"*, "&amp;AB$3&amp;", *")</f>
        <v>0</v>
      </c>
      <c r="AC174" s="2">
        <f>COUNTIFS(集計用!$G172,"*, "&amp;AC$3&amp;", *")</f>
        <v>0</v>
      </c>
      <c r="AD174" s="2">
        <f>COUNTIFS(集計用!$G172,"*, "&amp;AD$3&amp;", *")</f>
        <v>0</v>
      </c>
      <c r="AE174" s="2">
        <f>COUNTIFS(集計用!$G172,"*, "&amp;AE$3&amp;", *")</f>
        <v>0</v>
      </c>
      <c r="AF174" s="2">
        <f>COUNTIFS(集計用!$G172,"*, "&amp;AF$3&amp;", *")</f>
        <v>0</v>
      </c>
      <c r="AG174" s="2">
        <f>COUNTIFS(集計用!$G172,"*, "&amp;AG$3&amp;", *")</f>
        <v>0</v>
      </c>
      <c r="AH174" s="2">
        <f>COUNTIFS(集計用!$G172,"*, "&amp;AH$3&amp;", *")</f>
        <v>0</v>
      </c>
      <c r="AI174" s="2">
        <f>COUNTIFS(集計用!$G172,"*, "&amp;AI$3&amp;", *")</f>
        <v>0</v>
      </c>
      <c r="AJ174" s="2">
        <f>COUNTIFS(集計用!$G172,"*, "&amp;AJ$3&amp;", *")</f>
        <v>0</v>
      </c>
      <c r="AK174" s="2">
        <f>COUNTIFS(集計用!$G172,"*, "&amp;AK$3&amp;", *")</f>
        <v>0</v>
      </c>
      <c r="AL174" s="2">
        <f>COUNTIFS(集計用!$G172,"*, "&amp;AL$3&amp;", *")</f>
        <v>0</v>
      </c>
      <c r="AM174" s="2">
        <f>COUNTIFS(集計用!$G172,"*, "&amp;AM$3&amp;", *")</f>
        <v>0</v>
      </c>
      <c r="AN174" s="2">
        <f>COUNTIFS(集計用!$G172,"*, "&amp;AN$3&amp;", *")</f>
        <v>0</v>
      </c>
      <c r="AO174" s="2">
        <f>COUNTIFS(集計用!$G172,"*, "&amp;AO$3&amp;", *")</f>
        <v>0</v>
      </c>
      <c r="AP174" s="2">
        <f>COUNTIFS(集計用!$G172,"*, "&amp;AP$3&amp;", *")</f>
        <v>0</v>
      </c>
      <c r="AQ174" s="2">
        <f>COUNTIFS(集計用!$G172,"*, "&amp;AQ$3&amp;", *")</f>
        <v>0</v>
      </c>
      <c r="AR174" s="2">
        <f>COUNTIFS(集計用!$G172,"*, "&amp;AR$3&amp;", *")</f>
        <v>0</v>
      </c>
      <c r="AS174" s="2">
        <f>COUNTIFS(集計用!$G172,"*, "&amp;AS$3&amp;", *")</f>
        <v>0</v>
      </c>
      <c r="AT174" s="2">
        <f>COUNTIFS(集計用!$G172,"*, "&amp;AT$3&amp;", *")</f>
        <v>0</v>
      </c>
      <c r="AU174" s="2">
        <f>COUNTIFS(集計用!$G172,"*, "&amp;AU$3&amp;", *")</f>
        <v>0</v>
      </c>
      <c r="AV174" s="2">
        <f>COUNTIFS(集計用!$G172,"*, "&amp;AV$3&amp;", *")</f>
        <v>0</v>
      </c>
      <c r="AW174" s="2">
        <f>COUNTIFS(集計用!$G172,"*, "&amp;AW$3&amp;", *")</f>
        <v>0</v>
      </c>
      <c r="AX174" s="2">
        <f>COUNTIFS(集計用!$G172,"*, "&amp;AX$3&amp;", *")</f>
        <v>0</v>
      </c>
      <c r="AY174" s="2">
        <f>COUNTIFS(集計用!$G172,"*, "&amp;AY$3&amp;", *")</f>
        <v>0</v>
      </c>
      <c r="AZ174" s="2">
        <f>COUNTIFS(集計用!$G172,"*, "&amp;AZ$3&amp;", *")</f>
        <v>0</v>
      </c>
      <c r="BA174" s="2">
        <f>COUNTIFS(集計用!$G172,"*, "&amp;BA$3&amp;", *")</f>
        <v>0</v>
      </c>
      <c r="BB174" s="2">
        <f>COUNTIFS(集計用!$G172,"*, "&amp;BB$3&amp;", *")</f>
        <v>0</v>
      </c>
      <c r="BC174" s="2">
        <f>COUNTIFS(集計用!$G172,"*, "&amp;BC$3&amp;", *")</f>
        <v>0</v>
      </c>
      <c r="BD174" s="2">
        <f>COUNTIFS(集計用!$G172,"*, "&amp;BD$3&amp;", *")</f>
        <v>0</v>
      </c>
      <c r="BE174" s="2">
        <f>COUNTIFS(集計用!$G172,"*, "&amp;BE$3&amp;", *")</f>
        <v>0</v>
      </c>
      <c r="BF174" s="2">
        <f>COUNTIFS(集計用!$G172,"*, "&amp;BF$3&amp;", *")</f>
        <v>0</v>
      </c>
      <c r="BG174" s="2">
        <f>COUNTIFS(集計用!$G172,"*, "&amp;BG$3&amp;", *")</f>
        <v>0</v>
      </c>
      <c r="BH174" s="2">
        <f>COUNTIFS(集計用!$G172,"*, "&amp;BH$3&amp;", *")</f>
        <v>0</v>
      </c>
      <c r="BI174" s="2">
        <f>COUNTIFS(集計用!$G172,"*, "&amp;BI$3&amp;", *")</f>
        <v>0</v>
      </c>
      <c r="BJ174" s="2">
        <f>LEN(集計用!H172)-LEN(SUBSTITUTE(集計用!H172,",",""))</f>
        <v>0</v>
      </c>
    </row>
    <row r="175" spans="1:62" ht="12.75">
      <c r="A175" s="8">
        <v>172</v>
      </c>
      <c r="C175" s="2">
        <f t="shared" si="3"/>
        <v>8</v>
      </c>
      <c r="D175" s="9"/>
      <c r="E175" s="2">
        <f>COUNTIFS(集計用!$G173,"*, "&amp;E$3&amp;", *")</f>
        <v>1</v>
      </c>
      <c r="F175" s="2">
        <f>COUNTIFS(集計用!$G173,"*, "&amp;F$3&amp;", *")</f>
        <v>1</v>
      </c>
      <c r="G175" s="2">
        <f>COUNTIFS(集計用!$G173,"*, "&amp;G$3&amp;", *")</f>
        <v>0</v>
      </c>
      <c r="H175" s="2">
        <f>COUNTIFS(集計用!$G173,"*, "&amp;H$3&amp;", *")</f>
        <v>0</v>
      </c>
      <c r="I175" s="2">
        <f>COUNTIFS(集計用!$G173,"*, "&amp;I$3&amp;", *")</f>
        <v>0</v>
      </c>
      <c r="J175" s="2">
        <f>COUNTIFS(集計用!$G173,"*, "&amp;J$3&amp;", *")</f>
        <v>0</v>
      </c>
      <c r="K175" s="2">
        <f>COUNTIFS(集計用!$G173,"*, "&amp;K$3&amp;", *")</f>
        <v>1</v>
      </c>
      <c r="L175" s="2">
        <f>COUNTIFS(集計用!$G173,"*, "&amp;L$3&amp;", *")</f>
        <v>1</v>
      </c>
      <c r="M175" s="2">
        <f>COUNTIFS(集計用!$G173,"*, "&amp;M$3&amp;", *")</f>
        <v>0</v>
      </c>
      <c r="N175" s="2">
        <f>COUNTIFS(集計用!$G173,"*, "&amp;N$3&amp;", *")</f>
        <v>1</v>
      </c>
      <c r="O175" s="2">
        <f>COUNTIFS(集計用!$G173,"*, "&amp;O$3&amp;", *")</f>
        <v>1</v>
      </c>
      <c r="P175" s="2">
        <f>COUNTIFS(集計用!$G173,"*, "&amp;P$3&amp;", *")</f>
        <v>0</v>
      </c>
      <c r="Q175" s="2">
        <f>COUNTIFS(集計用!$G173,"*, "&amp;Q$3&amp;", *")</f>
        <v>0</v>
      </c>
      <c r="R175" s="2">
        <f>COUNTIFS(集計用!$G173,"*, "&amp;R$3&amp;", *")</f>
        <v>0</v>
      </c>
      <c r="S175" s="2">
        <f>COUNTIFS(集計用!$G173,"*, "&amp;S$3&amp;", *")</f>
        <v>0</v>
      </c>
      <c r="T175" s="2">
        <f>COUNTIFS(集計用!$G173,"*, "&amp;T$3&amp;", *")</f>
        <v>0</v>
      </c>
      <c r="U175" s="2">
        <f>COUNTIFS(集計用!$G173,"*, "&amp;U$3&amp;", *")</f>
        <v>1</v>
      </c>
      <c r="V175" s="2">
        <f>COUNTIFS(集計用!$G173,"*, "&amp;V$3&amp;", *")</f>
        <v>0</v>
      </c>
      <c r="W175" s="2">
        <f>COUNTIFS(集計用!$G173,"*, "&amp;W$3&amp;", *")</f>
        <v>0</v>
      </c>
      <c r="X175" s="2">
        <f>COUNTIFS(集計用!$G173,"*, "&amp;X$3&amp;", *")</f>
        <v>0</v>
      </c>
      <c r="Y175" s="2">
        <f>COUNTIFS(集計用!$G173,"*, "&amp;Y$3&amp;", *")</f>
        <v>0</v>
      </c>
      <c r="Z175" s="2">
        <f>COUNTIFS(集計用!$G173,"*, "&amp;Z$3&amp;", *")</f>
        <v>0</v>
      </c>
      <c r="AA175" s="2">
        <f>COUNTIFS(集計用!$G173,"*, "&amp;AA$3&amp;", *")</f>
        <v>1</v>
      </c>
      <c r="AB175" s="2">
        <f>COUNTIFS(集計用!$G173,"*, "&amp;AB$3&amp;", *")</f>
        <v>0</v>
      </c>
      <c r="AC175" s="2">
        <f>COUNTIFS(集計用!$G173,"*, "&amp;AC$3&amp;", *")</f>
        <v>0</v>
      </c>
      <c r="AD175" s="2">
        <f>COUNTIFS(集計用!$G173,"*, "&amp;AD$3&amp;", *")</f>
        <v>0</v>
      </c>
      <c r="AE175" s="2">
        <f>COUNTIFS(集計用!$G173,"*, "&amp;AE$3&amp;", *")</f>
        <v>0</v>
      </c>
      <c r="AF175" s="2">
        <f>COUNTIFS(集計用!$G173,"*, "&amp;AF$3&amp;", *")</f>
        <v>0</v>
      </c>
      <c r="AG175" s="2">
        <f>COUNTIFS(集計用!$G173,"*, "&amp;AG$3&amp;", *")</f>
        <v>0</v>
      </c>
      <c r="AH175" s="2">
        <f>COUNTIFS(集計用!$G173,"*, "&amp;AH$3&amp;", *")</f>
        <v>0</v>
      </c>
      <c r="AI175" s="2">
        <f>COUNTIFS(集計用!$G173,"*, "&amp;AI$3&amp;", *")</f>
        <v>0</v>
      </c>
      <c r="AJ175" s="2">
        <f>COUNTIFS(集計用!$G173,"*, "&amp;AJ$3&amp;", *")</f>
        <v>0</v>
      </c>
      <c r="AK175" s="2">
        <f>COUNTIFS(集計用!$G173,"*, "&amp;AK$3&amp;", *")</f>
        <v>0</v>
      </c>
      <c r="AL175" s="2">
        <f>COUNTIFS(集計用!$G173,"*, "&amp;AL$3&amp;", *")</f>
        <v>0</v>
      </c>
      <c r="AM175" s="2">
        <f>COUNTIFS(集計用!$G173,"*, "&amp;AM$3&amp;", *")</f>
        <v>0</v>
      </c>
      <c r="AN175" s="2">
        <f>COUNTIFS(集計用!$G173,"*, "&amp;AN$3&amp;", *")</f>
        <v>0</v>
      </c>
      <c r="AO175" s="2">
        <f>COUNTIFS(集計用!$G173,"*, "&amp;AO$3&amp;", *")</f>
        <v>0</v>
      </c>
      <c r="AP175" s="2">
        <f>COUNTIFS(集計用!$G173,"*, "&amp;AP$3&amp;", *")</f>
        <v>0</v>
      </c>
      <c r="AQ175" s="2">
        <f>COUNTIFS(集計用!$G173,"*, "&amp;AQ$3&amp;", *")</f>
        <v>0</v>
      </c>
      <c r="AR175" s="2">
        <f>COUNTIFS(集計用!$G173,"*, "&amp;AR$3&amp;", *")</f>
        <v>0</v>
      </c>
      <c r="AS175" s="2">
        <f>COUNTIFS(集計用!$G173,"*, "&amp;AS$3&amp;", *")</f>
        <v>0</v>
      </c>
      <c r="AT175" s="2">
        <f>COUNTIFS(集計用!$G173,"*, "&amp;AT$3&amp;", *")</f>
        <v>0</v>
      </c>
      <c r="AU175" s="2">
        <f>COUNTIFS(集計用!$G173,"*, "&amp;AU$3&amp;", *")</f>
        <v>0</v>
      </c>
      <c r="AV175" s="2">
        <f>COUNTIFS(集計用!$G173,"*, "&amp;AV$3&amp;", *")</f>
        <v>0</v>
      </c>
      <c r="AW175" s="2">
        <f>COUNTIFS(集計用!$G173,"*, "&amp;AW$3&amp;", *")</f>
        <v>0</v>
      </c>
      <c r="AX175" s="2">
        <f>COUNTIFS(集計用!$G173,"*, "&amp;AX$3&amp;", *")</f>
        <v>0</v>
      </c>
      <c r="AY175" s="2">
        <f>COUNTIFS(集計用!$G173,"*, "&amp;AY$3&amp;", *")</f>
        <v>0</v>
      </c>
      <c r="AZ175" s="2">
        <f>COUNTIFS(集計用!$G173,"*, "&amp;AZ$3&amp;", *")</f>
        <v>0</v>
      </c>
      <c r="BA175" s="2">
        <f>COUNTIFS(集計用!$G173,"*, "&amp;BA$3&amp;", *")</f>
        <v>0</v>
      </c>
      <c r="BB175" s="2">
        <f>COUNTIFS(集計用!$G173,"*, "&amp;BB$3&amp;", *")</f>
        <v>0</v>
      </c>
      <c r="BC175" s="2">
        <f>COUNTIFS(集計用!$G173,"*, "&amp;BC$3&amp;", *")</f>
        <v>0</v>
      </c>
      <c r="BD175" s="2">
        <f>COUNTIFS(集計用!$G173,"*, "&amp;BD$3&amp;", *")</f>
        <v>0</v>
      </c>
      <c r="BE175" s="2">
        <f>COUNTIFS(集計用!$G173,"*, "&amp;BE$3&amp;", *")</f>
        <v>0</v>
      </c>
      <c r="BF175" s="2">
        <f>COUNTIFS(集計用!$G173,"*, "&amp;BF$3&amp;", *")</f>
        <v>0</v>
      </c>
      <c r="BG175" s="2">
        <f>COUNTIFS(集計用!$G173,"*, "&amp;BG$3&amp;", *")</f>
        <v>0</v>
      </c>
      <c r="BH175" s="2">
        <f>COUNTIFS(集計用!$G173,"*, "&amp;BH$3&amp;", *")</f>
        <v>0</v>
      </c>
      <c r="BI175" s="2">
        <f>COUNTIFS(集計用!$G173,"*, "&amp;BI$3&amp;", *")</f>
        <v>0</v>
      </c>
      <c r="BJ175" s="2">
        <f>LEN(集計用!H173)-LEN(SUBSTITUTE(集計用!H173,",",""))</f>
        <v>0</v>
      </c>
    </row>
    <row r="176" spans="1:62" ht="12.75">
      <c r="A176" s="8">
        <v>173</v>
      </c>
      <c r="C176" s="2">
        <f t="shared" si="3"/>
        <v>3</v>
      </c>
      <c r="D176" s="9"/>
      <c r="E176" s="2">
        <f>COUNTIFS(集計用!$G174,"*, "&amp;E$3&amp;", *")</f>
        <v>1</v>
      </c>
      <c r="F176" s="2">
        <f>COUNTIFS(集計用!$G174,"*, "&amp;F$3&amp;", *")</f>
        <v>0</v>
      </c>
      <c r="G176" s="2">
        <f>COUNTIFS(集計用!$G174,"*, "&amp;G$3&amp;", *")</f>
        <v>0</v>
      </c>
      <c r="H176" s="2">
        <f>COUNTIFS(集計用!$G174,"*, "&amp;H$3&amp;", *")</f>
        <v>1</v>
      </c>
      <c r="I176" s="2">
        <f>COUNTIFS(集計用!$G174,"*, "&amp;I$3&amp;", *")</f>
        <v>0</v>
      </c>
      <c r="J176" s="2">
        <f>COUNTIFS(集計用!$G174,"*, "&amp;J$3&amp;", *")</f>
        <v>1</v>
      </c>
      <c r="K176" s="2">
        <f>COUNTIFS(集計用!$G174,"*, "&amp;K$3&amp;", *")</f>
        <v>0</v>
      </c>
      <c r="L176" s="2">
        <f>COUNTIFS(集計用!$G174,"*, "&amp;L$3&amp;", *")</f>
        <v>0</v>
      </c>
      <c r="M176" s="2">
        <f>COUNTIFS(集計用!$G174,"*, "&amp;M$3&amp;", *")</f>
        <v>0</v>
      </c>
      <c r="N176" s="2">
        <f>COUNTIFS(集計用!$G174,"*, "&amp;N$3&amp;", *")</f>
        <v>0</v>
      </c>
      <c r="O176" s="2">
        <f>COUNTIFS(集計用!$G174,"*, "&amp;O$3&amp;", *")</f>
        <v>0</v>
      </c>
      <c r="P176" s="2">
        <f>COUNTIFS(集計用!$G174,"*, "&amp;P$3&amp;", *")</f>
        <v>0</v>
      </c>
      <c r="Q176" s="2">
        <f>COUNTIFS(集計用!$G174,"*, "&amp;Q$3&amp;", *")</f>
        <v>0</v>
      </c>
      <c r="R176" s="2">
        <f>COUNTIFS(集計用!$G174,"*, "&amp;R$3&amp;", *")</f>
        <v>0</v>
      </c>
      <c r="S176" s="2">
        <f>COUNTIFS(集計用!$G174,"*, "&amp;S$3&amp;", *")</f>
        <v>0</v>
      </c>
      <c r="T176" s="2">
        <f>COUNTIFS(集計用!$G174,"*, "&amp;T$3&amp;", *")</f>
        <v>0</v>
      </c>
      <c r="U176" s="2">
        <f>COUNTIFS(集計用!$G174,"*, "&amp;U$3&amp;", *")</f>
        <v>0</v>
      </c>
      <c r="V176" s="2">
        <f>COUNTIFS(集計用!$G174,"*, "&amp;V$3&amp;", *")</f>
        <v>0</v>
      </c>
      <c r="W176" s="2">
        <f>COUNTIFS(集計用!$G174,"*, "&amp;W$3&amp;", *")</f>
        <v>0</v>
      </c>
      <c r="X176" s="2">
        <f>COUNTIFS(集計用!$G174,"*, "&amp;X$3&amp;", *")</f>
        <v>0</v>
      </c>
      <c r="Y176" s="2">
        <f>COUNTIFS(集計用!$G174,"*, "&amp;Y$3&amp;", *")</f>
        <v>0</v>
      </c>
      <c r="Z176" s="2">
        <f>COUNTIFS(集計用!$G174,"*, "&amp;Z$3&amp;", *")</f>
        <v>0</v>
      </c>
      <c r="AA176" s="2">
        <f>COUNTIFS(集計用!$G174,"*, "&amp;AA$3&amp;", *")</f>
        <v>0</v>
      </c>
      <c r="AB176" s="2">
        <f>COUNTIFS(集計用!$G174,"*, "&amp;AB$3&amp;", *")</f>
        <v>0</v>
      </c>
      <c r="AC176" s="2">
        <f>COUNTIFS(集計用!$G174,"*, "&amp;AC$3&amp;", *")</f>
        <v>0</v>
      </c>
      <c r="AD176" s="2">
        <f>COUNTIFS(集計用!$G174,"*, "&amp;AD$3&amp;", *")</f>
        <v>0</v>
      </c>
      <c r="AE176" s="2">
        <f>COUNTIFS(集計用!$G174,"*, "&amp;AE$3&amp;", *")</f>
        <v>0</v>
      </c>
      <c r="AF176" s="2">
        <f>COUNTIFS(集計用!$G174,"*, "&amp;AF$3&amp;", *")</f>
        <v>0</v>
      </c>
      <c r="AG176" s="2">
        <f>COUNTIFS(集計用!$G174,"*, "&amp;AG$3&amp;", *")</f>
        <v>0</v>
      </c>
      <c r="AH176" s="2">
        <f>COUNTIFS(集計用!$G174,"*, "&amp;AH$3&amp;", *")</f>
        <v>0</v>
      </c>
      <c r="AI176" s="2">
        <f>COUNTIFS(集計用!$G174,"*, "&amp;AI$3&amp;", *")</f>
        <v>0</v>
      </c>
      <c r="AJ176" s="2">
        <f>COUNTIFS(集計用!$G174,"*, "&amp;AJ$3&amp;", *")</f>
        <v>0</v>
      </c>
      <c r="AK176" s="2">
        <f>COUNTIFS(集計用!$G174,"*, "&amp;AK$3&amp;", *")</f>
        <v>0</v>
      </c>
      <c r="AL176" s="2">
        <f>COUNTIFS(集計用!$G174,"*, "&amp;AL$3&amp;", *")</f>
        <v>0</v>
      </c>
      <c r="AM176" s="2">
        <f>COUNTIFS(集計用!$G174,"*, "&amp;AM$3&amp;", *")</f>
        <v>0</v>
      </c>
      <c r="AN176" s="2">
        <f>COUNTIFS(集計用!$G174,"*, "&amp;AN$3&amp;", *")</f>
        <v>0</v>
      </c>
      <c r="AO176" s="2">
        <f>COUNTIFS(集計用!$G174,"*, "&amp;AO$3&amp;", *")</f>
        <v>0</v>
      </c>
      <c r="AP176" s="2">
        <f>COUNTIFS(集計用!$G174,"*, "&amp;AP$3&amp;", *")</f>
        <v>0</v>
      </c>
      <c r="AQ176" s="2">
        <f>COUNTIFS(集計用!$G174,"*, "&amp;AQ$3&amp;", *")</f>
        <v>0</v>
      </c>
      <c r="AR176" s="2">
        <f>COUNTIFS(集計用!$G174,"*, "&amp;AR$3&amp;", *")</f>
        <v>0</v>
      </c>
      <c r="AS176" s="2">
        <f>COUNTIFS(集計用!$G174,"*, "&amp;AS$3&amp;", *")</f>
        <v>0</v>
      </c>
      <c r="AT176" s="2">
        <f>COUNTIFS(集計用!$G174,"*, "&amp;AT$3&amp;", *")</f>
        <v>0</v>
      </c>
      <c r="AU176" s="2">
        <f>COUNTIFS(集計用!$G174,"*, "&amp;AU$3&amp;", *")</f>
        <v>0</v>
      </c>
      <c r="AV176" s="2">
        <f>COUNTIFS(集計用!$G174,"*, "&amp;AV$3&amp;", *")</f>
        <v>0</v>
      </c>
      <c r="AW176" s="2">
        <f>COUNTIFS(集計用!$G174,"*, "&amp;AW$3&amp;", *")</f>
        <v>0</v>
      </c>
      <c r="AX176" s="2">
        <f>COUNTIFS(集計用!$G174,"*, "&amp;AX$3&amp;", *")</f>
        <v>0</v>
      </c>
      <c r="AY176" s="2">
        <f>COUNTIFS(集計用!$G174,"*, "&amp;AY$3&amp;", *")</f>
        <v>0</v>
      </c>
      <c r="AZ176" s="2">
        <f>COUNTIFS(集計用!$G174,"*, "&amp;AZ$3&amp;", *")</f>
        <v>0</v>
      </c>
      <c r="BA176" s="2">
        <f>COUNTIFS(集計用!$G174,"*, "&amp;BA$3&amp;", *")</f>
        <v>0</v>
      </c>
      <c r="BB176" s="2">
        <f>COUNTIFS(集計用!$G174,"*, "&amp;BB$3&amp;", *")</f>
        <v>0</v>
      </c>
      <c r="BC176" s="2">
        <f>COUNTIFS(集計用!$G174,"*, "&amp;BC$3&amp;", *")</f>
        <v>0</v>
      </c>
      <c r="BD176" s="2">
        <f>COUNTIFS(集計用!$G174,"*, "&amp;BD$3&amp;", *")</f>
        <v>0</v>
      </c>
      <c r="BE176" s="2">
        <f>COUNTIFS(集計用!$G174,"*, "&amp;BE$3&amp;", *")</f>
        <v>0</v>
      </c>
      <c r="BF176" s="2">
        <f>COUNTIFS(集計用!$G174,"*, "&amp;BF$3&amp;", *")</f>
        <v>0</v>
      </c>
      <c r="BG176" s="2">
        <f>COUNTIFS(集計用!$G174,"*, "&amp;BG$3&amp;", *")</f>
        <v>0</v>
      </c>
      <c r="BH176" s="2">
        <f>COUNTIFS(集計用!$G174,"*, "&amp;BH$3&amp;", *")</f>
        <v>0</v>
      </c>
      <c r="BI176" s="2">
        <f>COUNTIFS(集計用!$G174,"*, "&amp;BI$3&amp;", *")</f>
        <v>0</v>
      </c>
      <c r="BJ176" s="2">
        <f>LEN(集計用!H174)-LEN(SUBSTITUTE(集計用!H174,",",""))</f>
        <v>0</v>
      </c>
    </row>
    <row r="177" spans="1:62" ht="12.75">
      <c r="A177" s="8">
        <v>174</v>
      </c>
      <c r="C177" s="2">
        <f t="shared" si="3"/>
        <v>2</v>
      </c>
      <c r="D177" s="9"/>
      <c r="E177" s="2">
        <f>COUNTIFS(集計用!$G175,"*, "&amp;E$3&amp;", *")</f>
        <v>1</v>
      </c>
      <c r="F177" s="2">
        <f>COUNTIFS(集計用!$G175,"*, "&amp;F$3&amp;", *")</f>
        <v>0</v>
      </c>
      <c r="G177" s="2">
        <f>COUNTIFS(集計用!$G175,"*, "&amp;G$3&amp;", *")</f>
        <v>0</v>
      </c>
      <c r="H177" s="2">
        <f>COUNTIFS(集計用!$G175,"*, "&amp;H$3&amp;", *")</f>
        <v>0</v>
      </c>
      <c r="I177" s="2">
        <f>COUNTIFS(集計用!$G175,"*, "&amp;I$3&amp;", *")</f>
        <v>0</v>
      </c>
      <c r="J177" s="2">
        <f>COUNTIFS(集計用!$G175,"*, "&amp;J$3&amp;", *")</f>
        <v>0</v>
      </c>
      <c r="K177" s="2">
        <f>COUNTIFS(集計用!$G175,"*, "&amp;K$3&amp;", *")</f>
        <v>0</v>
      </c>
      <c r="L177" s="2">
        <f>COUNTIFS(集計用!$G175,"*, "&amp;L$3&amp;", *")</f>
        <v>0</v>
      </c>
      <c r="M177" s="2">
        <f>COUNTIFS(集計用!$G175,"*, "&amp;M$3&amp;", *")</f>
        <v>0</v>
      </c>
      <c r="N177" s="2">
        <f>COUNTIFS(集計用!$G175,"*, "&amp;N$3&amp;", *")</f>
        <v>0</v>
      </c>
      <c r="O177" s="2">
        <f>COUNTIFS(集計用!$G175,"*, "&amp;O$3&amp;", *")</f>
        <v>0</v>
      </c>
      <c r="P177" s="2">
        <f>COUNTIFS(集計用!$G175,"*, "&amp;P$3&amp;", *")</f>
        <v>0</v>
      </c>
      <c r="Q177" s="2">
        <f>COUNTIFS(集計用!$G175,"*, "&amp;Q$3&amp;", *")</f>
        <v>0</v>
      </c>
      <c r="R177" s="2">
        <f>COUNTIFS(集計用!$G175,"*, "&amp;R$3&amp;", *")</f>
        <v>0</v>
      </c>
      <c r="S177" s="2">
        <f>COUNTIFS(集計用!$G175,"*, "&amp;S$3&amp;", *")</f>
        <v>0</v>
      </c>
      <c r="T177" s="2">
        <f>COUNTIFS(集計用!$G175,"*, "&amp;T$3&amp;", *")</f>
        <v>0</v>
      </c>
      <c r="U177" s="2">
        <f>COUNTIFS(集計用!$G175,"*, "&amp;U$3&amp;", *")</f>
        <v>0</v>
      </c>
      <c r="V177" s="2">
        <f>COUNTIFS(集計用!$G175,"*, "&amp;V$3&amp;", *")</f>
        <v>0</v>
      </c>
      <c r="W177" s="2">
        <f>COUNTIFS(集計用!$G175,"*, "&amp;W$3&amp;", *")</f>
        <v>0</v>
      </c>
      <c r="X177" s="2">
        <f>COUNTIFS(集計用!$G175,"*, "&amp;X$3&amp;", *")</f>
        <v>0</v>
      </c>
      <c r="Y177" s="2">
        <f>COUNTIFS(集計用!$G175,"*, "&amp;Y$3&amp;", *")</f>
        <v>0</v>
      </c>
      <c r="Z177" s="2">
        <f>COUNTIFS(集計用!$G175,"*, "&amp;Z$3&amp;", *")</f>
        <v>0</v>
      </c>
      <c r="AA177" s="2">
        <f>COUNTIFS(集計用!$G175,"*, "&amp;AA$3&amp;", *")</f>
        <v>0</v>
      </c>
      <c r="AB177" s="2">
        <f>COUNTIFS(集計用!$G175,"*, "&amp;AB$3&amp;", *")</f>
        <v>0</v>
      </c>
      <c r="AC177" s="2">
        <f>COUNTIFS(集計用!$G175,"*, "&amp;AC$3&amp;", *")</f>
        <v>0</v>
      </c>
      <c r="AD177" s="2">
        <f>COUNTIFS(集計用!$G175,"*, "&amp;AD$3&amp;", *")</f>
        <v>0</v>
      </c>
      <c r="AE177" s="2">
        <f>COUNTIFS(集計用!$G175,"*, "&amp;AE$3&amp;", *")</f>
        <v>0</v>
      </c>
      <c r="AF177" s="2">
        <f>COUNTIFS(集計用!$G175,"*, "&amp;AF$3&amp;", *")</f>
        <v>0</v>
      </c>
      <c r="AG177" s="2">
        <f>COUNTIFS(集計用!$G175,"*, "&amp;AG$3&amp;", *")</f>
        <v>0</v>
      </c>
      <c r="AH177" s="2">
        <f>COUNTIFS(集計用!$G175,"*, "&amp;AH$3&amp;", *")</f>
        <v>0</v>
      </c>
      <c r="AI177" s="2">
        <f>COUNTIFS(集計用!$G175,"*, "&amp;AI$3&amp;", *")</f>
        <v>0</v>
      </c>
      <c r="AJ177" s="2">
        <f>COUNTIFS(集計用!$G175,"*, "&amp;AJ$3&amp;", *")</f>
        <v>0</v>
      </c>
      <c r="AK177" s="2">
        <f>COUNTIFS(集計用!$G175,"*, "&amp;AK$3&amp;", *")</f>
        <v>0</v>
      </c>
      <c r="AL177" s="2">
        <f>COUNTIFS(集計用!$G175,"*, "&amp;AL$3&amp;", *")</f>
        <v>0</v>
      </c>
      <c r="AM177" s="2">
        <f>COUNTIFS(集計用!$G175,"*, "&amp;AM$3&amp;", *")</f>
        <v>0</v>
      </c>
      <c r="AN177" s="2">
        <f>COUNTIFS(集計用!$G175,"*, "&amp;AN$3&amp;", *")</f>
        <v>0</v>
      </c>
      <c r="AO177" s="2">
        <f>COUNTIFS(集計用!$G175,"*, "&amp;AO$3&amp;", *")</f>
        <v>0</v>
      </c>
      <c r="AP177" s="2">
        <f>COUNTIFS(集計用!$G175,"*, "&amp;AP$3&amp;", *")</f>
        <v>0</v>
      </c>
      <c r="AQ177" s="2">
        <f>COUNTIFS(集計用!$G175,"*, "&amp;AQ$3&amp;", *")</f>
        <v>0</v>
      </c>
      <c r="AR177" s="2">
        <f>COUNTIFS(集計用!$G175,"*, "&amp;AR$3&amp;", *")</f>
        <v>0</v>
      </c>
      <c r="AS177" s="2">
        <f>COUNTIFS(集計用!$G175,"*, "&amp;AS$3&amp;", *")</f>
        <v>0</v>
      </c>
      <c r="AT177" s="2">
        <f>COUNTIFS(集計用!$G175,"*, "&amp;AT$3&amp;", *")</f>
        <v>0</v>
      </c>
      <c r="AU177" s="2">
        <f>COUNTIFS(集計用!$G175,"*, "&amp;AU$3&amp;", *")</f>
        <v>0</v>
      </c>
      <c r="AV177" s="2">
        <f>COUNTIFS(集計用!$G175,"*, "&amp;AV$3&amp;", *")</f>
        <v>0</v>
      </c>
      <c r="AW177" s="2">
        <f>COUNTIFS(集計用!$G175,"*, "&amp;AW$3&amp;", *")</f>
        <v>0</v>
      </c>
      <c r="AX177" s="2">
        <f>COUNTIFS(集計用!$G175,"*, "&amp;AX$3&amp;", *")</f>
        <v>0</v>
      </c>
      <c r="AY177" s="2">
        <f>COUNTIFS(集計用!$G175,"*, "&amp;AY$3&amp;", *")</f>
        <v>0</v>
      </c>
      <c r="AZ177" s="2">
        <f>COUNTIFS(集計用!$G175,"*, "&amp;AZ$3&amp;", *")</f>
        <v>0</v>
      </c>
      <c r="BA177" s="2">
        <f>COUNTIFS(集計用!$G175,"*, "&amp;BA$3&amp;", *")</f>
        <v>0</v>
      </c>
      <c r="BB177" s="2">
        <f>COUNTIFS(集計用!$G175,"*, "&amp;BB$3&amp;", *")</f>
        <v>0</v>
      </c>
      <c r="BC177" s="2">
        <f>COUNTIFS(集計用!$G175,"*, "&amp;BC$3&amp;", *")</f>
        <v>0</v>
      </c>
      <c r="BD177" s="2">
        <f>COUNTIFS(集計用!$G175,"*, "&amp;BD$3&amp;", *")</f>
        <v>0</v>
      </c>
      <c r="BE177" s="2">
        <f>COUNTIFS(集計用!$G175,"*, "&amp;BE$3&amp;", *")</f>
        <v>0</v>
      </c>
      <c r="BF177" s="2">
        <f>COUNTIFS(集計用!$G175,"*, "&amp;BF$3&amp;", *")</f>
        <v>0</v>
      </c>
      <c r="BG177" s="2">
        <f>COUNTIFS(集計用!$G175,"*, "&amp;BG$3&amp;", *")</f>
        <v>0</v>
      </c>
      <c r="BH177" s="2">
        <f>COUNTIFS(集計用!$G175,"*, "&amp;BH$3&amp;", *")</f>
        <v>0</v>
      </c>
      <c r="BI177" s="2">
        <f>COUNTIFS(集計用!$G175,"*, "&amp;BI$3&amp;", *")</f>
        <v>0</v>
      </c>
      <c r="BJ177" s="2">
        <f>LEN(集計用!H175)-LEN(SUBSTITUTE(集計用!H175,",",""))</f>
        <v>1</v>
      </c>
    </row>
    <row r="178" spans="1:62" ht="12.75">
      <c r="A178" s="8">
        <v>175</v>
      </c>
      <c r="C178" s="2">
        <f t="shared" si="3"/>
        <v>5</v>
      </c>
      <c r="D178" s="9"/>
      <c r="E178" s="2">
        <f>COUNTIFS(集計用!$G176,"*, "&amp;E$3&amp;", *")</f>
        <v>1</v>
      </c>
      <c r="F178" s="2">
        <f>COUNTIFS(集計用!$G176,"*, "&amp;F$3&amp;", *")</f>
        <v>0</v>
      </c>
      <c r="G178" s="2">
        <f>COUNTIFS(集計用!$G176,"*, "&amp;G$3&amp;", *")</f>
        <v>0</v>
      </c>
      <c r="H178" s="2">
        <f>COUNTIFS(集計用!$G176,"*, "&amp;H$3&amp;", *")</f>
        <v>0</v>
      </c>
      <c r="I178" s="2">
        <f>COUNTIFS(集計用!$G176,"*, "&amp;I$3&amp;", *")</f>
        <v>0</v>
      </c>
      <c r="J178" s="2">
        <f>COUNTIFS(集計用!$G176,"*, "&amp;J$3&amp;", *")</f>
        <v>0</v>
      </c>
      <c r="K178" s="2">
        <f>COUNTIFS(集計用!$G176,"*, "&amp;K$3&amp;", *")</f>
        <v>1</v>
      </c>
      <c r="L178" s="2">
        <f>COUNTIFS(集計用!$G176,"*, "&amp;L$3&amp;", *")</f>
        <v>0</v>
      </c>
      <c r="M178" s="2">
        <f>COUNTIFS(集計用!$G176,"*, "&amp;M$3&amp;", *")</f>
        <v>0</v>
      </c>
      <c r="N178" s="2">
        <f>COUNTIFS(集計用!$G176,"*, "&amp;N$3&amp;", *")</f>
        <v>0</v>
      </c>
      <c r="O178" s="2">
        <f>COUNTIFS(集計用!$G176,"*, "&amp;O$3&amp;", *")</f>
        <v>1</v>
      </c>
      <c r="P178" s="2">
        <f>COUNTIFS(集計用!$G176,"*, "&amp;P$3&amp;", *")</f>
        <v>0</v>
      </c>
      <c r="Q178" s="2">
        <f>COUNTIFS(集計用!$G176,"*, "&amp;Q$3&amp;", *")</f>
        <v>0</v>
      </c>
      <c r="R178" s="2">
        <f>COUNTIFS(集計用!$G176,"*, "&amp;R$3&amp;", *")</f>
        <v>0</v>
      </c>
      <c r="S178" s="2">
        <f>COUNTIFS(集計用!$G176,"*, "&amp;S$3&amp;", *")</f>
        <v>0</v>
      </c>
      <c r="T178" s="2">
        <f>COUNTIFS(集計用!$G176,"*, "&amp;T$3&amp;", *")</f>
        <v>0</v>
      </c>
      <c r="U178" s="2">
        <f>COUNTIFS(集計用!$G176,"*, "&amp;U$3&amp;", *")</f>
        <v>0</v>
      </c>
      <c r="V178" s="2">
        <f>COUNTIFS(集計用!$G176,"*, "&amp;V$3&amp;", *")</f>
        <v>0</v>
      </c>
      <c r="W178" s="2">
        <f>COUNTIFS(集計用!$G176,"*, "&amp;W$3&amp;", *")</f>
        <v>1</v>
      </c>
      <c r="X178" s="2">
        <f>COUNTIFS(集計用!$G176,"*, "&amp;X$3&amp;", *")</f>
        <v>0</v>
      </c>
      <c r="Y178" s="2">
        <f>COUNTIFS(集計用!$G176,"*, "&amp;Y$3&amp;", *")</f>
        <v>0</v>
      </c>
      <c r="Z178" s="2">
        <f>COUNTIFS(集計用!$G176,"*, "&amp;Z$3&amp;", *")</f>
        <v>0</v>
      </c>
      <c r="AA178" s="2">
        <f>COUNTIFS(集計用!$G176,"*, "&amp;AA$3&amp;", *")</f>
        <v>0</v>
      </c>
      <c r="AB178" s="2">
        <f>COUNTIFS(集計用!$G176,"*, "&amp;AB$3&amp;", *")</f>
        <v>0</v>
      </c>
      <c r="AC178" s="2">
        <f>COUNTIFS(集計用!$G176,"*, "&amp;AC$3&amp;", *")</f>
        <v>0</v>
      </c>
      <c r="AD178" s="2">
        <f>COUNTIFS(集計用!$G176,"*, "&amp;AD$3&amp;", *")</f>
        <v>0</v>
      </c>
      <c r="AE178" s="2">
        <f>COUNTIFS(集計用!$G176,"*, "&amp;AE$3&amp;", *")</f>
        <v>0</v>
      </c>
      <c r="AF178" s="2">
        <f>COUNTIFS(集計用!$G176,"*, "&amp;AF$3&amp;", *")</f>
        <v>0</v>
      </c>
      <c r="AG178" s="2">
        <f>COUNTIFS(集計用!$G176,"*, "&amp;AG$3&amp;", *")</f>
        <v>0</v>
      </c>
      <c r="AH178" s="2">
        <f>COUNTIFS(集計用!$G176,"*, "&amp;AH$3&amp;", *")</f>
        <v>0</v>
      </c>
      <c r="AI178" s="2">
        <f>COUNTIFS(集計用!$G176,"*, "&amp;AI$3&amp;", *")</f>
        <v>0</v>
      </c>
      <c r="AJ178" s="2">
        <f>COUNTIFS(集計用!$G176,"*, "&amp;AJ$3&amp;", *")</f>
        <v>0</v>
      </c>
      <c r="AK178" s="2">
        <f>COUNTIFS(集計用!$G176,"*, "&amp;AK$3&amp;", *")</f>
        <v>0</v>
      </c>
      <c r="AL178" s="2">
        <f>COUNTIFS(集計用!$G176,"*, "&amp;AL$3&amp;", *")</f>
        <v>0</v>
      </c>
      <c r="AM178" s="2">
        <f>COUNTIFS(集計用!$G176,"*, "&amp;AM$3&amp;", *")</f>
        <v>0</v>
      </c>
      <c r="AN178" s="2">
        <f>COUNTIFS(集計用!$G176,"*, "&amp;AN$3&amp;", *")</f>
        <v>0</v>
      </c>
      <c r="AO178" s="2">
        <f>COUNTIFS(集計用!$G176,"*, "&amp;AO$3&amp;", *")</f>
        <v>0</v>
      </c>
      <c r="AP178" s="2">
        <f>COUNTIFS(集計用!$G176,"*, "&amp;AP$3&amp;", *")</f>
        <v>0</v>
      </c>
      <c r="AQ178" s="2">
        <f>COUNTIFS(集計用!$G176,"*, "&amp;AQ$3&amp;", *")</f>
        <v>0</v>
      </c>
      <c r="AR178" s="2">
        <f>COUNTIFS(集計用!$G176,"*, "&amp;AR$3&amp;", *")</f>
        <v>0</v>
      </c>
      <c r="AS178" s="2">
        <f>COUNTIFS(集計用!$G176,"*, "&amp;AS$3&amp;", *")</f>
        <v>0</v>
      </c>
      <c r="AT178" s="2">
        <f>COUNTIFS(集計用!$G176,"*, "&amp;AT$3&amp;", *")</f>
        <v>0</v>
      </c>
      <c r="AU178" s="2">
        <f>COUNTIFS(集計用!$G176,"*, "&amp;AU$3&amp;", *")</f>
        <v>0</v>
      </c>
      <c r="AV178" s="2">
        <f>COUNTIFS(集計用!$G176,"*, "&amp;AV$3&amp;", *")</f>
        <v>0</v>
      </c>
      <c r="AW178" s="2">
        <f>COUNTIFS(集計用!$G176,"*, "&amp;AW$3&amp;", *")</f>
        <v>0</v>
      </c>
      <c r="AX178" s="2">
        <f>COUNTIFS(集計用!$G176,"*, "&amp;AX$3&amp;", *")</f>
        <v>0</v>
      </c>
      <c r="AY178" s="2">
        <f>COUNTIFS(集計用!$G176,"*, "&amp;AY$3&amp;", *")</f>
        <v>0</v>
      </c>
      <c r="AZ178" s="2">
        <f>COUNTIFS(集計用!$G176,"*, "&amp;AZ$3&amp;", *")</f>
        <v>0</v>
      </c>
      <c r="BA178" s="2">
        <f>COUNTIFS(集計用!$G176,"*, "&amp;BA$3&amp;", *")</f>
        <v>0</v>
      </c>
      <c r="BB178" s="2">
        <f>COUNTIFS(集計用!$G176,"*, "&amp;BB$3&amp;", *")</f>
        <v>0</v>
      </c>
      <c r="BC178" s="2">
        <f>COUNTIFS(集計用!$G176,"*, "&amp;BC$3&amp;", *")</f>
        <v>0</v>
      </c>
      <c r="BD178" s="2">
        <f>COUNTIFS(集計用!$G176,"*, "&amp;BD$3&amp;", *")</f>
        <v>0</v>
      </c>
      <c r="BE178" s="2">
        <f>COUNTIFS(集計用!$G176,"*, "&amp;BE$3&amp;", *")</f>
        <v>0</v>
      </c>
      <c r="BF178" s="2">
        <f>COUNTIFS(集計用!$G176,"*, "&amp;BF$3&amp;", *")</f>
        <v>0</v>
      </c>
      <c r="BG178" s="2">
        <f>COUNTIFS(集計用!$G176,"*, "&amp;BG$3&amp;", *")</f>
        <v>0</v>
      </c>
      <c r="BH178" s="2">
        <f>COUNTIFS(集計用!$G176,"*, "&amp;BH$3&amp;", *")</f>
        <v>0</v>
      </c>
      <c r="BI178" s="2">
        <f>COUNTIFS(集計用!$G176,"*, "&amp;BI$3&amp;", *")</f>
        <v>0</v>
      </c>
      <c r="BJ178" s="2">
        <f>LEN(集計用!H176)-LEN(SUBSTITUTE(集計用!H176,",",""))</f>
        <v>1</v>
      </c>
    </row>
    <row r="179" spans="1:62" ht="12.75">
      <c r="A179" s="8">
        <v>176</v>
      </c>
      <c r="C179" s="2">
        <f t="shared" si="3"/>
        <v>6</v>
      </c>
      <c r="D179" s="9"/>
      <c r="E179" s="2">
        <f>COUNTIFS(集計用!$G177,"*, "&amp;E$3&amp;", *")</f>
        <v>1</v>
      </c>
      <c r="F179" s="2">
        <f>COUNTIFS(集計用!$G177,"*, "&amp;F$3&amp;", *")</f>
        <v>0</v>
      </c>
      <c r="G179" s="2">
        <f>COUNTIFS(集計用!$G177,"*, "&amp;G$3&amp;", *")</f>
        <v>1</v>
      </c>
      <c r="H179" s="2">
        <f>COUNTIFS(集計用!$G177,"*, "&amp;H$3&amp;", *")</f>
        <v>1</v>
      </c>
      <c r="I179" s="2">
        <f>COUNTIFS(集計用!$G177,"*, "&amp;I$3&amp;", *")</f>
        <v>1</v>
      </c>
      <c r="J179" s="2">
        <f>COUNTIFS(集計用!$G177,"*, "&amp;J$3&amp;", *")</f>
        <v>0</v>
      </c>
      <c r="K179" s="2">
        <f>COUNTIFS(集計用!$G177,"*, "&amp;K$3&amp;", *")</f>
        <v>1</v>
      </c>
      <c r="L179" s="2">
        <f>COUNTIFS(集計用!$G177,"*, "&amp;L$3&amp;", *")</f>
        <v>0</v>
      </c>
      <c r="M179" s="2">
        <f>COUNTIFS(集計用!$G177,"*, "&amp;M$3&amp;", *")</f>
        <v>1</v>
      </c>
      <c r="N179" s="2">
        <f>COUNTIFS(集計用!$G177,"*, "&amp;N$3&amp;", *")</f>
        <v>0</v>
      </c>
      <c r="O179" s="2">
        <f>COUNTIFS(集計用!$G177,"*, "&amp;O$3&amp;", *")</f>
        <v>0</v>
      </c>
      <c r="P179" s="2">
        <f>COUNTIFS(集計用!$G177,"*, "&amp;P$3&amp;", *")</f>
        <v>0</v>
      </c>
      <c r="Q179" s="2">
        <f>COUNTIFS(集計用!$G177,"*, "&amp;Q$3&amp;", *")</f>
        <v>0</v>
      </c>
      <c r="R179" s="2">
        <f>COUNTIFS(集計用!$G177,"*, "&amp;R$3&amp;", *")</f>
        <v>0</v>
      </c>
      <c r="S179" s="2">
        <f>COUNTIFS(集計用!$G177,"*, "&amp;S$3&amp;", *")</f>
        <v>0</v>
      </c>
      <c r="T179" s="2">
        <f>COUNTIFS(集計用!$G177,"*, "&amp;T$3&amp;", *")</f>
        <v>0</v>
      </c>
      <c r="U179" s="2">
        <f>COUNTIFS(集計用!$G177,"*, "&amp;U$3&amp;", *")</f>
        <v>0</v>
      </c>
      <c r="V179" s="2">
        <f>COUNTIFS(集計用!$G177,"*, "&amp;V$3&amp;", *")</f>
        <v>0</v>
      </c>
      <c r="W179" s="2">
        <f>COUNTIFS(集計用!$G177,"*, "&amp;W$3&amp;", *")</f>
        <v>0</v>
      </c>
      <c r="X179" s="2">
        <f>COUNTIFS(集計用!$G177,"*, "&amp;X$3&amp;", *")</f>
        <v>0</v>
      </c>
      <c r="Y179" s="2">
        <f>COUNTIFS(集計用!$G177,"*, "&amp;Y$3&amp;", *")</f>
        <v>0</v>
      </c>
      <c r="Z179" s="2">
        <f>COUNTIFS(集計用!$G177,"*, "&amp;Z$3&amp;", *")</f>
        <v>0</v>
      </c>
      <c r="AA179" s="2">
        <f>COUNTIFS(集計用!$G177,"*, "&amp;AA$3&amp;", *")</f>
        <v>0</v>
      </c>
      <c r="AB179" s="2">
        <f>COUNTIFS(集計用!$G177,"*, "&amp;AB$3&amp;", *")</f>
        <v>0</v>
      </c>
      <c r="AC179" s="2">
        <f>COUNTIFS(集計用!$G177,"*, "&amp;AC$3&amp;", *")</f>
        <v>0</v>
      </c>
      <c r="AD179" s="2">
        <f>COUNTIFS(集計用!$G177,"*, "&amp;AD$3&amp;", *")</f>
        <v>0</v>
      </c>
      <c r="AE179" s="2">
        <f>COUNTIFS(集計用!$G177,"*, "&amp;AE$3&amp;", *")</f>
        <v>0</v>
      </c>
      <c r="AF179" s="2">
        <f>COUNTIFS(集計用!$G177,"*, "&amp;AF$3&amp;", *")</f>
        <v>0</v>
      </c>
      <c r="AG179" s="2">
        <f>COUNTIFS(集計用!$G177,"*, "&amp;AG$3&amp;", *")</f>
        <v>0</v>
      </c>
      <c r="AH179" s="2">
        <f>COUNTIFS(集計用!$G177,"*, "&amp;AH$3&amp;", *")</f>
        <v>0</v>
      </c>
      <c r="AI179" s="2">
        <f>COUNTIFS(集計用!$G177,"*, "&amp;AI$3&amp;", *")</f>
        <v>0</v>
      </c>
      <c r="AJ179" s="2">
        <f>COUNTIFS(集計用!$G177,"*, "&amp;AJ$3&amp;", *")</f>
        <v>0</v>
      </c>
      <c r="AK179" s="2">
        <f>COUNTIFS(集計用!$G177,"*, "&amp;AK$3&amp;", *")</f>
        <v>0</v>
      </c>
      <c r="AL179" s="2">
        <f>COUNTIFS(集計用!$G177,"*, "&amp;AL$3&amp;", *")</f>
        <v>0</v>
      </c>
      <c r="AM179" s="2">
        <f>COUNTIFS(集計用!$G177,"*, "&amp;AM$3&amp;", *")</f>
        <v>0</v>
      </c>
      <c r="AN179" s="2">
        <f>COUNTIFS(集計用!$G177,"*, "&amp;AN$3&amp;", *")</f>
        <v>0</v>
      </c>
      <c r="AO179" s="2">
        <f>COUNTIFS(集計用!$G177,"*, "&amp;AO$3&amp;", *")</f>
        <v>0</v>
      </c>
      <c r="AP179" s="2">
        <f>COUNTIFS(集計用!$G177,"*, "&amp;AP$3&amp;", *")</f>
        <v>0</v>
      </c>
      <c r="AQ179" s="2">
        <f>COUNTIFS(集計用!$G177,"*, "&amp;AQ$3&amp;", *")</f>
        <v>0</v>
      </c>
      <c r="AR179" s="2">
        <f>COUNTIFS(集計用!$G177,"*, "&amp;AR$3&amp;", *")</f>
        <v>0</v>
      </c>
      <c r="AS179" s="2">
        <f>COUNTIFS(集計用!$G177,"*, "&amp;AS$3&amp;", *")</f>
        <v>0</v>
      </c>
      <c r="AT179" s="2">
        <f>COUNTIFS(集計用!$G177,"*, "&amp;AT$3&amp;", *")</f>
        <v>0</v>
      </c>
      <c r="AU179" s="2">
        <f>COUNTIFS(集計用!$G177,"*, "&amp;AU$3&amp;", *")</f>
        <v>0</v>
      </c>
      <c r="AV179" s="2">
        <f>COUNTIFS(集計用!$G177,"*, "&amp;AV$3&amp;", *")</f>
        <v>0</v>
      </c>
      <c r="AW179" s="2">
        <f>COUNTIFS(集計用!$G177,"*, "&amp;AW$3&amp;", *")</f>
        <v>0</v>
      </c>
      <c r="AX179" s="2">
        <f>COUNTIFS(集計用!$G177,"*, "&amp;AX$3&amp;", *")</f>
        <v>0</v>
      </c>
      <c r="AY179" s="2">
        <f>COUNTIFS(集計用!$G177,"*, "&amp;AY$3&amp;", *")</f>
        <v>0</v>
      </c>
      <c r="AZ179" s="2">
        <f>COUNTIFS(集計用!$G177,"*, "&amp;AZ$3&amp;", *")</f>
        <v>0</v>
      </c>
      <c r="BA179" s="2">
        <f>COUNTIFS(集計用!$G177,"*, "&amp;BA$3&amp;", *")</f>
        <v>0</v>
      </c>
      <c r="BB179" s="2">
        <f>COUNTIFS(集計用!$G177,"*, "&amp;BB$3&amp;", *")</f>
        <v>0</v>
      </c>
      <c r="BC179" s="2">
        <f>COUNTIFS(集計用!$G177,"*, "&amp;BC$3&amp;", *")</f>
        <v>0</v>
      </c>
      <c r="BD179" s="2">
        <f>COUNTIFS(集計用!$G177,"*, "&amp;BD$3&amp;", *")</f>
        <v>0</v>
      </c>
      <c r="BE179" s="2">
        <f>COUNTIFS(集計用!$G177,"*, "&amp;BE$3&amp;", *")</f>
        <v>0</v>
      </c>
      <c r="BF179" s="2">
        <f>COUNTIFS(集計用!$G177,"*, "&amp;BF$3&amp;", *")</f>
        <v>0</v>
      </c>
      <c r="BG179" s="2">
        <f>COUNTIFS(集計用!$G177,"*, "&amp;BG$3&amp;", *")</f>
        <v>0</v>
      </c>
      <c r="BH179" s="2">
        <f>COUNTIFS(集計用!$G177,"*, "&amp;BH$3&amp;", *")</f>
        <v>0</v>
      </c>
      <c r="BI179" s="2">
        <f>COUNTIFS(集計用!$G177,"*, "&amp;BI$3&amp;", *")</f>
        <v>0</v>
      </c>
      <c r="BJ179" s="2">
        <f>LEN(集計用!H177)-LEN(SUBSTITUTE(集計用!H177,",",""))</f>
        <v>0</v>
      </c>
    </row>
    <row r="180" spans="1:62" ht="12.75">
      <c r="A180" s="8">
        <v>177</v>
      </c>
      <c r="C180" s="2">
        <f t="shared" si="3"/>
        <v>8</v>
      </c>
      <c r="D180" s="9"/>
      <c r="E180" s="2">
        <f>COUNTIFS(集計用!$G178,"*, "&amp;E$3&amp;", *")</f>
        <v>1</v>
      </c>
      <c r="F180" s="2">
        <f>COUNTIFS(集計用!$G178,"*, "&amp;F$3&amp;", *")</f>
        <v>0</v>
      </c>
      <c r="G180" s="2">
        <f>COUNTIFS(集計用!$G178,"*, "&amp;G$3&amp;", *")</f>
        <v>0</v>
      </c>
      <c r="H180" s="2">
        <f>COUNTIFS(集計用!$G178,"*, "&amp;H$3&amp;", *")</f>
        <v>0</v>
      </c>
      <c r="I180" s="2">
        <f>COUNTIFS(集計用!$G178,"*, "&amp;I$3&amp;", *")</f>
        <v>0</v>
      </c>
      <c r="J180" s="2">
        <f>COUNTIFS(集計用!$G178,"*, "&amp;J$3&amp;", *")</f>
        <v>1</v>
      </c>
      <c r="K180" s="2">
        <f>COUNTIFS(集計用!$G178,"*, "&amp;K$3&amp;", *")</f>
        <v>0</v>
      </c>
      <c r="L180" s="2">
        <f>COUNTIFS(集計用!$G178,"*, "&amp;L$3&amp;", *")</f>
        <v>0</v>
      </c>
      <c r="M180" s="2">
        <f>COUNTIFS(集計用!$G178,"*, "&amp;M$3&amp;", *")</f>
        <v>0</v>
      </c>
      <c r="N180" s="2">
        <f>COUNTIFS(集計用!$G178,"*, "&amp;N$3&amp;", *")</f>
        <v>0</v>
      </c>
      <c r="O180" s="2">
        <f>COUNTIFS(集計用!$G178,"*, "&amp;O$3&amp;", *")</f>
        <v>0</v>
      </c>
      <c r="P180" s="2">
        <f>COUNTIFS(集計用!$G178,"*, "&amp;P$3&amp;", *")</f>
        <v>1</v>
      </c>
      <c r="Q180" s="2">
        <f>COUNTIFS(集計用!$G178,"*, "&amp;Q$3&amp;", *")</f>
        <v>0</v>
      </c>
      <c r="R180" s="2">
        <f>COUNTIFS(集計用!$G178,"*, "&amp;R$3&amp;", *")</f>
        <v>1</v>
      </c>
      <c r="S180" s="2">
        <f>COUNTIFS(集計用!$G178,"*, "&amp;S$3&amp;", *")</f>
        <v>0</v>
      </c>
      <c r="T180" s="2">
        <f>COUNTIFS(集計用!$G178,"*, "&amp;T$3&amp;", *")</f>
        <v>0</v>
      </c>
      <c r="U180" s="2">
        <f>COUNTIFS(集計用!$G178,"*, "&amp;U$3&amp;", *")</f>
        <v>0</v>
      </c>
      <c r="V180" s="2">
        <f>COUNTIFS(集計用!$G178,"*, "&amp;V$3&amp;", *")</f>
        <v>0</v>
      </c>
      <c r="W180" s="2">
        <f>COUNTIFS(集計用!$G178,"*, "&amp;W$3&amp;", *")</f>
        <v>0</v>
      </c>
      <c r="X180" s="2">
        <f>COUNTIFS(集計用!$G178,"*, "&amp;X$3&amp;", *")</f>
        <v>1</v>
      </c>
      <c r="Y180" s="2">
        <f>COUNTIFS(集計用!$G178,"*, "&amp;Y$3&amp;", *")</f>
        <v>0</v>
      </c>
      <c r="Z180" s="2">
        <f>COUNTIFS(集計用!$G178,"*, "&amp;Z$3&amp;", *")</f>
        <v>0</v>
      </c>
      <c r="AA180" s="2">
        <f>COUNTIFS(集計用!$G178,"*, "&amp;AA$3&amp;", *")</f>
        <v>0</v>
      </c>
      <c r="AB180" s="2">
        <f>COUNTIFS(集計用!$G178,"*, "&amp;AB$3&amp;", *")</f>
        <v>0</v>
      </c>
      <c r="AC180" s="2">
        <f>COUNTIFS(集計用!$G178,"*, "&amp;AC$3&amp;", *")</f>
        <v>0</v>
      </c>
      <c r="AD180" s="2">
        <f>COUNTIFS(集計用!$G178,"*, "&amp;AD$3&amp;", *")</f>
        <v>1</v>
      </c>
      <c r="AE180" s="2">
        <f>COUNTIFS(集計用!$G178,"*, "&amp;AE$3&amp;", *")</f>
        <v>0</v>
      </c>
      <c r="AF180" s="2">
        <f>COUNTIFS(集計用!$G178,"*, "&amp;AF$3&amp;", *")</f>
        <v>0</v>
      </c>
      <c r="AG180" s="2">
        <f>COUNTIFS(集計用!$G178,"*, "&amp;AG$3&amp;", *")</f>
        <v>0</v>
      </c>
      <c r="AH180" s="2">
        <f>COUNTIFS(集計用!$G178,"*, "&amp;AH$3&amp;", *")</f>
        <v>0</v>
      </c>
      <c r="AI180" s="2">
        <f>COUNTIFS(集計用!$G178,"*, "&amp;AI$3&amp;", *")</f>
        <v>0</v>
      </c>
      <c r="AJ180" s="2">
        <f>COUNTIFS(集計用!$G178,"*, "&amp;AJ$3&amp;", *")</f>
        <v>0</v>
      </c>
      <c r="AK180" s="2">
        <f>COUNTIFS(集計用!$G178,"*, "&amp;AK$3&amp;", *")</f>
        <v>0</v>
      </c>
      <c r="AL180" s="2">
        <f>COUNTIFS(集計用!$G178,"*, "&amp;AL$3&amp;", *")</f>
        <v>0</v>
      </c>
      <c r="AM180" s="2">
        <f>COUNTIFS(集計用!$G178,"*, "&amp;AM$3&amp;", *")</f>
        <v>0</v>
      </c>
      <c r="AN180" s="2">
        <f>COUNTIFS(集計用!$G178,"*, "&amp;AN$3&amp;", *")</f>
        <v>0</v>
      </c>
      <c r="AO180" s="2">
        <f>COUNTIFS(集計用!$G178,"*, "&amp;AO$3&amp;", *")</f>
        <v>0</v>
      </c>
      <c r="AP180" s="2">
        <f>COUNTIFS(集計用!$G178,"*, "&amp;AP$3&amp;", *")</f>
        <v>0</v>
      </c>
      <c r="AQ180" s="2">
        <f>COUNTIFS(集計用!$G178,"*, "&amp;AQ$3&amp;", *")</f>
        <v>0</v>
      </c>
      <c r="AR180" s="2">
        <f>COUNTIFS(集計用!$G178,"*, "&amp;AR$3&amp;", *")</f>
        <v>0</v>
      </c>
      <c r="AS180" s="2">
        <f>COUNTIFS(集計用!$G178,"*, "&amp;AS$3&amp;", *")</f>
        <v>0</v>
      </c>
      <c r="AT180" s="2">
        <f>COUNTIFS(集計用!$G178,"*, "&amp;AT$3&amp;", *")</f>
        <v>0</v>
      </c>
      <c r="AU180" s="2">
        <f>COUNTIFS(集計用!$G178,"*, "&amp;AU$3&amp;", *")</f>
        <v>0</v>
      </c>
      <c r="AV180" s="2">
        <f>COUNTIFS(集計用!$G178,"*, "&amp;AV$3&amp;", *")</f>
        <v>0</v>
      </c>
      <c r="AW180" s="2">
        <f>COUNTIFS(集計用!$G178,"*, "&amp;AW$3&amp;", *")</f>
        <v>0</v>
      </c>
      <c r="AX180" s="2">
        <f>COUNTIFS(集計用!$G178,"*, "&amp;AX$3&amp;", *")</f>
        <v>0</v>
      </c>
      <c r="AY180" s="2">
        <f>COUNTIFS(集計用!$G178,"*, "&amp;AY$3&amp;", *")</f>
        <v>0</v>
      </c>
      <c r="AZ180" s="2">
        <f>COUNTIFS(集計用!$G178,"*, "&amp;AZ$3&amp;", *")</f>
        <v>0</v>
      </c>
      <c r="BA180" s="2">
        <f>COUNTIFS(集計用!$G178,"*, "&amp;BA$3&amp;", *")</f>
        <v>0</v>
      </c>
      <c r="BB180" s="2">
        <f>COUNTIFS(集計用!$G178,"*, "&amp;BB$3&amp;", *")</f>
        <v>0</v>
      </c>
      <c r="BC180" s="2">
        <f>COUNTIFS(集計用!$G178,"*, "&amp;BC$3&amp;", *")</f>
        <v>0</v>
      </c>
      <c r="BD180" s="2">
        <f>COUNTIFS(集計用!$G178,"*, "&amp;BD$3&amp;", *")</f>
        <v>0</v>
      </c>
      <c r="BE180" s="2">
        <f>COUNTIFS(集計用!$G178,"*, "&amp;BE$3&amp;", *")</f>
        <v>0</v>
      </c>
      <c r="BF180" s="2">
        <f>COUNTIFS(集計用!$G178,"*, "&amp;BF$3&amp;", *")</f>
        <v>0</v>
      </c>
      <c r="BG180" s="2">
        <f>COUNTIFS(集計用!$G178,"*, "&amp;BG$3&amp;", *")</f>
        <v>0</v>
      </c>
      <c r="BH180" s="2">
        <f>COUNTIFS(集計用!$G178,"*, "&amp;BH$3&amp;", *")</f>
        <v>0</v>
      </c>
      <c r="BI180" s="2">
        <f>COUNTIFS(集計用!$G178,"*, "&amp;BI$3&amp;", *")</f>
        <v>0</v>
      </c>
      <c r="BJ180" s="2">
        <f>LEN(集計用!H178)-LEN(SUBSTITUTE(集計用!H178,",",""))</f>
        <v>2</v>
      </c>
    </row>
    <row r="181" spans="1:62" ht="12.75">
      <c r="A181" s="8">
        <v>178</v>
      </c>
      <c r="C181" s="2">
        <f t="shared" si="3"/>
        <v>2</v>
      </c>
      <c r="D181" s="9"/>
      <c r="E181" s="2">
        <f>COUNTIFS(集計用!$G179,"*, "&amp;E$3&amp;", *")</f>
        <v>0</v>
      </c>
      <c r="F181" s="2">
        <f>COUNTIFS(集計用!$G179,"*, "&amp;F$3&amp;", *")</f>
        <v>0</v>
      </c>
      <c r="G181" s="2">
        <f>COUNTIFS(集計用!$G179,"*, "&amp;G$3&amp;", *")</f>
        <v>0</v>
      </c>
      <c r="H181" s="2">
        <f>COUNTIFS(集計用!$G179,"*, "&amp;H$3&amp;", *")</f>
        <v>0</v>
      </c>
      <c r="I181" s="2">
        <f>COUNTIFS(集計用!$G179,"*, "&amp;I$3&amp;", *")</f>
        <v>0</v>
      </c>
      <c r="J181" s="2">
        <f>COUNTIFS(集計用!$G179,"*, "&amp;J$3&amp;", *")</f>
        <v>0</v>
      </c>
      <c r="K181" s="2">
        <f>COUNTIFS(集計用!$G179,"*, "&amp;K$3&amp;", *")</f>
        <v>0</v>
      </c>
      <c r="L181" s="2">
        <f>COUNTIFS(集計用!$G179,"*, "&amp;L$3&amp;", *")</f>
        <v>0</v>
      </c>
      <c r="M181" s="2">
        <f>COUNTIFS(集計用!$G179,"*, "&amp;M$3&amp;", *")</f>
        <v>0</v>
      </c>
      <c r="N181" s="2">
        <f>COUNTIFS(集計用!$G179,"*, "&amp;N$3&amp;", *")</f>
        <v>0</v>
      </c>
      <c r="O181" s="2">
        <f>COUNTIFS(集計用!$G179,"*, "&amp;O$3&amp;", *")</f>
        <v>0</v>
      </c>
      <c r="P181" s="2">
        <f>COUNTIFS(集計用!$G179,"*, "&amp;P$3&amp;", *")</f>
        <v>0</v>
      </c>
      <c r="Q181" s="2">
        <f>COUNTIFS(集計用!$G179,"*, "&amp;Q$3&amp;", *")</f>
        <v>0</v>
      </c>
      <c r="R181" s="2">
        <f>COUNTIFS(集計用!$G179,"*, "&amp;R$3&amp;", *")</f>
        <v>0</v>
      </c>
      <c r="S181" s="2">
        <f>COUNTIFS(集計用!$G179,"*, "&amp;S$3&amp;", *")</f>
        <v>0</v>
      </c>
      <c r="T181" s="2">
        <f>COUNTIFS(集計用!$G179,"*, "&amp;T$3&amp;", *")</f>
        <v>0</v>
      </c>
      <c r="U181" s="2">
        <f>COUNTIFS(集計用!$G179,"*, "&amp;U$3&amp;", *")</f>
        <v>0</v>
      </c>
      <c r="V181" s="2">
        <f>COUNTIFS(集計用!$G179,"*, "&amp;V$3&amp;", *")</f>
        <v>0</v>
      </c>
      <c r="W181" s="2">
        <f>COUNTIFS(集計用!$G179,"*, "&amp;W$3&amp;", *")</f>
        <v>0</v>
      </c>
      <c r="X181" s="2">
        <f>COUNTIFS(集計用!$G179,"*, "&amp;X$3&amp;", *")</f>
        <v>0</v>
      </c>
      <c r="Y181" s="2">
        <f>COUNTIFS(集計用!$G179,"*, "&amp;Y$3&amp;", *")</f>
        <v>0</v>
      </c>
      <c r="Z181" s="2">
        <f>COUNTIFS(集計用!$G179,"*, "&amp;Z$3&amp;", *")</f>
        <v>1</v>
      </c>
      <c r="AA181" s="2">
        <f>COUNTIFS(集計用!$G179,"*, "&amp;AA$3&amp;", *")</f>
        <v>0</v>
      </c>
      <c r="AB181" s="2">
        <f>COUNTIFS(集計用!$G179,"*, "&amp;AB$3&amp;", *")</f>
        <v>0</v>
      </c>
      <c r="AC181" s="2">
        <f>COUNTIFS(集計用!$G179,"*, "&amp;AC$3&amp;", *")</f>
        <v>0</v>
      </c>
      <c r="AD181" s="2">
        <f>COUNTIFS(集計用!$G179,"*, "&amp;AD$3&amp;", *")</f>
        <v>0</v>
      </c>
      <c r="AE181" s="2">
        <f>COUNTIFS(集計用!$G179,"*, "&amp;AE$3&amp;", *")</f>
        <v>0</v>
      </c>
      <c r="AF181" s="2">
        <f>COUNTIFS(集計用!$G179,"*, "&amp;AF$3&amp;", *")</f>
        <v>0</v>
      </c>
      <c r="AG181" s="2">
        <f>COUNTIFS(集計用!$G179,"*, "&amp;AG$3&amp;", *")</f>
        <v>0</v>
      </c>
      <c r="AH181" s="2">
        <f>COUNTIFS(集計用!$G179,"*, "&amp;AH$3&amp;", *")</f>
        <v>0</v>
      </c>
      <c r="AI181" s="2">
        <f>COUNTIFS(集計用!$G179,"*, "&amp;AI$3&amp;", *")</f>
        <v>1</v>
      </c>
      <c r="AJ181" s="2">
        <f>COUNTIFS(集計用!$G179,"*, "&amp;AJ$3&amp;", *")</f>
        <v>0</v>
      </c>
      <c r="AK181" s="2">
        <f>COUNTIFS(集計用!$G179,"*, "&amp;AK$3&amp;", *")</f>
        <v>0</v>
      </c>
      <c r="AL181" s="2">
        <f>COUNTIFS(集計用!$G179,"*, "&amp;AL$3&amp;", *")</f>
        <v>0</v>
      </c>
      <c r="AM181" s="2">
        <f>COUNTIFS(集計用!$G179,"*, "&amp;AM$3&amp;", *")</f>
        <v>0</v>
      </c>
      <c r="AN181" s="2">
        <f>COUNTIFS(集計用!$G179,"*, "&amp;AN$3&amp;", *")</f>
        <v>0</v>
      </c>
      <c r="AO181" s="2">
        <f>COUNTIFS(集計用!$G179,"*, "&amp;AO$3&amp;", *")</f>
        <v>0</v>
      </c>
      <c r="AP181" s="2">
        <f>COUNTIFS(集計用!$G179,"*, "&amp;AP$3&amp;", *")</f>
        <v>0</v>
      </c>
      <c r="AQ181" s="2">
        <f>COUNTIFS(集計用!$G179,"*, "&amp;AQ$3&amp;", *")</f>
        <v>0</v>
      </c>
      <c r="AR181" s="2">
        <f>COUNTIFS(集計用!$G179,"*, "&amp;AR$3&amp;", *")</f>
        <v>0</v>
      </c>
      <c r="AS181" s="2">
        <f>COUNTIFS(集計用!$G179,"*, "&amp;AS$3&amp;", *")</f>
        <v>0</v>
      </c>
      <c r="AT181" s="2">
        <f>COUNTIFS(集計用!$G179,"*, "&amp;AT$3&amp;", *")</f>
        <v>0</v>
      </c>
      <c r="AU181" s="2">
        <f>COUNTIFS(集計用!$G179,"*, "&amp;AU$3&amp;", *")</f>
        <v>0</v>
      </c>
      <c r="AV181" s="2">
        <f>COUNTIFS(集計用!$G179,"*, "&amp;AV$3&amp;", *")</f>
        <v>0</v>
      </c>
      <c r="AW181" s="2">
        <f>COUNTIFS(集計用!$G179,"*, "&amp;AW$3&amp;", *")</f>
        <v>0</v>
      </c>
      <c r="AX181" s="2">
        <f>COUNTIFS(集計用!$G179,"*, "&amp;AX$3&amp;", *")</f>
        <v>0</v>
      </c>
      <c r="AY181" s="2">
        <f>COUNTIFS(集計用!$G179,"*, "&amp;AY$3&amp;", *")</f>
        <v>0</v>
      </c>
      <c r="AZ181" s="2">
        <f>COUNTIFS(集計用!$G179,"*, "&amp;AZ$3&amp;", *")</f>
        <v>0</v>
      </c>
      <c r="BA181" s="2">
        <f>COUNTIFS(集計用!$G179,"*, "&amp;BA$3&amp;", *")</f>
        <v>0</v>
      </c>
      <c r="BB181" s="2">
        <f>COUNTIFS(集計用!$G179,"*, "&amp;BB$3&amp;", *")</f>
        <v>0</v>
      </c>
      <c r="BC181" s="2">
        <f>COUNTIFS(集計用!$G179,"*, "&amp;BC$3&amp;", *")</f>
        <v>0</v>
      </c>
      <c r="BD181" s="2">
        <f>COUNTIFS(集計用!$G179,"*, "&amp;BD$3&amp;", *")</f>
        <v>0</v>
      </c>
      <c r="BE181" s="2">
        <f>COUNTIFS(集計用!$G179,"*, "&amp;BE$3&amp;", *")</f>
        <v>0</v>
      </c>
      <c r="BF181" s="2">
        <f>COUNTIFS(集計用!$G179,"*, "&amp;BF$3&amp;", *")</f>
        <v>0</v>
      </c>
      <c r="BG181" s="2">
        <f>COUNTIFS(集計用!$G179,"*, "&amp;BG$3&amp;", *")</f>
        <v>0</v>
      </c>
      <c r="BH181" s="2">
        <f>COUNTIFS(集計用!$G179,"*, "&amp;BH$3&amp;", *")</f>
        <v>0</v>
      </c>
      <c r="BI181" s="2">
        <f>COUNTIFS(集計用!$G179,"*, "&amp;BI$3&amp;", *")</f>
        <v>0</v>
      </c>
      <c r="BJ181" s="2">
        <f>LEN(集計用!H179)-LEN(SUBSTITUTE(集計用!H179,",",""))</f>
        <v>0</v>
      </c>
    </row>
    <row r="182" spans="1:62" ht="12.75">
      <c r="A182" s="8">
        <v>179</v>
      </c>
      <c r="C182" s="2">
        <f t="shared" si="3"/>
        <v>2</v>
      </c>
      <c r="D182" s="9"/>
      <c r="E182" s="2">
        <f>COUNTIFS(集計用!$G180,"*, "&amp;E$3&amp;", *")</f>
        <v>1</v>
      </c>
      <c r="F182" s="2">
        <f>COUNTIFS(集計用!$G180,"*, "&amp;F$3&amp;", *")</f>
        <v>0</v>
      </c>
      <c r="G182" s="2">
        <f>COUNTIFS(集計用!$G180,"*, "&amp;G$3&amp;", *")</f>
        <v>0</v>
      </c>
      <c r="H182" s="2">
        <f>COUNTIFS(集計用!$G180,"*, "&amp;H$3&amp;", *")</f>
        <v>0</v>
      </c>
      <c r="I182" s="2">
        <f>COUNTIFS(集計用!$G180,"*, "&amp;I$3&amp;", *")</f>
        <v>0</v>
      </c>
      <c r="J182" s="2">
        <f>COUNTIFS(集計用!$G180,"*, "&amp;J$3&amp;", *")</f>
        <v>0</v>
      </c>
      <c r="K182" s="2">
        <f>COUNTIFS(集計用!$G180,"*, "&amp;K$3&amp;", *")</f>
        <v>0</v>
      </c>
      <c r="L182" s="2">
        <f>COUNTIFS(集計用!$G180,"*, "&amp;L$3&amp;", *")</f>
        <v>0</v>
      </c>
      <c r="M182" s="2">
        <f>COUNTIFS(集計用!$G180,"*, "&amp;M$3&amp;", *")</f>
        <v>0</v>
      </c>
      <c r="N182" s="2">
        <f>COUNTIFS(集計用!$G180,"*, "&amp;N$3&amp;", *")</f>
        <v>0</v>
      </c>
      <c r="O182" s="2">
        <f>COUNTIFS(集計用!$G180,"*, "&amp;O$3&amp;", *")</f>
        <v>0</v>
      </c>
      <c r="P182" s="2">
        <f>COUNTIFS(集計用!$G180,"*, "&amp;P$3&amp;", *")</f>
        <v>0</v>
      </c>
      <c r="Q182" s="2">
        <f>COUNTIFS(集計用!$G180,"*, "&amp;Q$3&amp;", *")</f>
        <v>0</v>
      </c>
      <c r="R182" s="2">
        <f>COUNTIFS(集計用!$G180,"*, "&amp;R$3&amp;", *")</f>
        <v>1</v>
      </c>
      <c r="S182" s="2">
        <f>COUNTIFS(集計用!$G180,"*, "&amp;S$3&amp;", *")</f>
        <v>0</v>
      </c>
      <c r="T182" s="2">
        <f>COUNTIFS(集計用!$G180,"*, "&amp;T$3&amp;", *")</f>
        <v>0</v>
      </c>
      <c r="U182" s="2">
        <f>COUNTIFS(集計用!$G180,"*, "&amp;U$3&amp;", *")</f>
        <v>0</v>
      </c>
      <c r="V182" s="2">
        <f>COUNTIFS(集計用!$G180,"*, "&amp;V$3&amp;", *")</f>
        <v>0</v>
      </c>
      <c r="W182" s="2">
        <f>COUNTIFS(集計用!$G180,"*, "&amp;W$3&amp;", *")</f>
        <v>0</v>
      </c>
      <c r="X182" s="2">
        <f>COUNTIFS(集計用!$G180,"*, "&amp;X$3&amp;", *")</f>
        <v>0</v>
      </c>
      <c r="Y182" s="2">
        <f>COUNTIFS(集計用!$G180,"*, "&amp;Y$3&amp;", *")</f>
        <v>0</v>
      </c>
      <c r="Z182" s="2">
        <f>COUNTIFS(集計用!$G180,"*, "&amp;Z$3&amp;", *")</f>
        <v>0</v>
      </c>
      <c r="AA182" s="2">
        <f>COUNTIFS(集計用!$G180,"*, "&amp;AA$3&amp;", *")</f>
        <v>0</v>
      </c>
      <c r="AB182" s="2">
        <f>COUNTIFS(集計用!$G180,"*, "&amp;AB$3&amp;", *")</f>
        <v>0</v>
      </c>
      <c r="AC182" s="2">
        <f>COUNTIFS(集計用!$G180,"*, "&amp;AC$3&amp;", *")</f>
        <v>0</v>
      </c>
      <c r="AD182" s="2">
        <f>COUNTIFS(集計用!$G180,"*, "&amp;AD$3&amp;", *")</f>
        <v>0</v>
      </c>
      <c r="AE182" s="2">
        <f>COUNTIFS(集計用!$G180,"*, "&amp;AE$3&amp;", *")</f>
        <v>0</v>
      </c>
      <c r="AF182" s="2">
        <f>COUNTIFS(集計用!$G180,"*, "&amp;AF$3&amp;", *")</f>
        <v>0</v>
      </c>
      <c r="AG182" s="2">
        <f>COUNTIFS(集計用!$G180,"*, "&amp;AG$3&amp;", *")</f>
        <v>0</v>
      </c>
      <c r="AH182" s="2">
        <f>COUNTIFS(集計用!$G180,"*, "&amp;AH$3&amp;", *")</f>
        <v>0</v>
      </c>
      <c r="AI182" s="2">
        <f>COUNTIFS(集計用!$G180,"*, "&amp;AI$3&amp;", *")</f>
        <v>0</v>
      </c>
      <c r="AJ182" s="2">
        <f>COUNTIFS(集計用!$G180,"*, "&amp;AJ$3&amp;", *")</f>
        <v>0</v>
      </c>
      <c r="AK182" s="2">
        <f>COUNTIFS(集計用!$G180,"*, "&amp;AK$3&amp;", *")</f>
        <v>0</v>
      </c>
      <c r="AL182" s="2">
        <f>COUNTIFS(集計用!$G180,"*, "&amp;AL$3&amp;", *")</f>
        <v>0</v>
      </c>
      <c r="AM182" s="2">
        <f>COUNTIFS(集計用!$G180,"*, "&amp;AM$3&amp;", *")</f>
        <v>0</v>
      </c>
      <c r="AN182" s="2">
        <f>COUNTIFS(集計用!$G180,"*, "&amp;AN$3&amp;", *")</f>
        <v>0</v>
      </c>
      <c r="AO182" s="2">
        <f>COUNTIFS(集計用!$G180,"*, "&amp;AO$3&amp;", *")</f>
        <v>0</v>
      </c>
      <c r="AP182" s="2">
        <f>COUNTIFS(集計用!$G180,"*, "&amp;AP$3&amp;", *")</f>
        <v>0</v>
      </c>
      <c r="AQ182" s="2">
        <f>COUNTIFS(集計用!$G180,"*, "&amp;AQ$3&amp;", *")</f>
        <v>0</v>
      </c>
      <c r="AR182" s="2">
        <f>COUNTIFS(集計用!$G180,"*, "&amp;AR$3&amp;", *")</f>
        <v>0</v>
      </c>
      <c r="AS182" s="2">
        <f>COUNTIFS(集計用!$G180,"*, "&amp;AS$3&amp;", *")</f>
        <v>0</v>
      </c>
      <c r="AT182" s="2">
        <f>COUNTIFS(集計用!$G180,"*, "&amp;AT$3&amp;", *")</f>
        <v>0</v>
      </c>
      <c r="AU182" s="2">
        <f>COUNTIFS(集計用!$G180,"*, "&amp;AU$3&amp;", *")</f>
        <v>0</v>
      </c>
      <c r="AV182" s="2">
        <f>COUNTIFS(集計用!$G180,"*, "&amp;AV$3&amp;", *")</f>
        <v>0</v>
      </c>
      <c r="AW182" s="2">
        <f>COUNTIFS(集計用!$G180,"*, "&amp;AW$3&amp;", *")</f>
        <v>0</v>
      </c>
      <c r="AX182" s="2">
        <f>COUNTIFS(集計用!$G180,"*, "&amp;AX$3&amp;", *")</f>
        <v>0</v>
      </c>
      <c r="AY182" s="2">
        <f>COUNTIFS(集計用!$G180,"*, "&amp;AY$3&amp;", *")</f>
        <v>0</v>
      </c>
      <c r="AZ182" s="2">
        <f>COUNTIFS(集計用!$G180,"*, "&amp;AZ$3&amp;", *")</f>
        <v>0</v>
      </c>
      <c r="BA182" s="2">
        <f>COUNTIFS(集計用!$G180,"*, "&amp;BA$3&amp;", *")</f>
        <v>0</v>
      </c>
      <c r="BB182" s="2">
        <f>COUNTIFS(集計用!$G180,"*, "&amp;BB$3&amp;", *")</f>
        <v>0</v>
      </c>
      <c r="BC182" s="2">
        <f>COUNTIFS(集計用!$G180,"*, "&amp;BC$3&amp;", *")</f>
        <v>0</v>
      </c>
      <c r="BD182" s="2">
        <f>COUNTIFS(集計用!$G180,"*, "&amp;BD$3&amp;", *")</f>
        <v>0</v>
      </c>
      <c r="BE182" s="2">
        <f>COUNTIFS(集計用!$G180,"*, "&amp;BE$3&amp;", *")</f>
        <v>0</v>
      </c>
      <c r="BF182" s="2">
        <f>COUNTIFS(集計用!$G180,"*, "&amp;BF$3&amp;", *")</f>
        <v>0</v>
      </c>
      <c r="BG182" s="2">
        <f>COUNTIFS(集計用!$G180,"*, "&amp;BG$3&amp;", *")</f>
        <v>0</v>
      </c>
      <c r="BH182" s="2">
        <f>COUNTIFS(集計用!$G180,"*, "&amp;BH$3&amp;", *")</f>
        <v>0</v>
      </c>
      <c r="BI182" s="2">
        <f>COUNTIFS(集計用!$G180,"*, "&amp;BI$3&amp;", *")</f>
        <v>0</v>
      </c>
      <c r="BJ182" s="2">
        <f>LEN(集計用!H180)-LEN(SUBSTITUTE(集計用!H180,",",""))</f>
        <v>0</v>
      </c>
    </row>
    <row r="183" spans="1:62" ht="12.75">
      <c r="A183" s="8">
        <v>180</v>
      </c>
      <c r="C183" s="2">
        <f t="shared" si="3"/>
        <v>6</v>
      </c>
      <c r="D183" s="9"/>
      <c r="E183" s="2">
        <f>COUNTIFS(集計用!$G181,"*, "&amp;E$3&amp;", *")</f>
        <v>1</v>
      </c>
      <c r="F183" s="2">
        <f>COUNTIFS(集計用!$G181,"*, "&amp;F$3&amp;", *")</f>
        <v>0</v>
      </c>
      <c r="G183" s="2">
        <f>COUNTIFS(集計用!$G181,"*, "&amp;G$3&amp;", *")</f>
        <v>1</v>
      </c>
      <c r="H183" s="2">
        <f>COUNTIFS(集計用!$G181,"*, "&amp;H$3&amp;", *")</f>
        <v>0</v>
      </c>
      <c r="I183" s="2">
        <f>COUNTIFS(集計用!$G181,"*, "&amp;I$3&amp;", *")</f>
        <v>1</v>
      </c>
      <c r="J183" s="2">
        <f>COUNTIFS(集計用!$G181,"*, "&amp;J$3&amp;", *")</f>
        <v>0</v>
      </c>
      <c r="K183" s="2">
        <f>COUNTIFS(集計用!$G181,"*, "&amp;K$3&amp;", *")</f>
        <v>0</v>
      </c>
      <c r="L183" s="2">
        <f>COUNTIFS(集計用!$G181,"*, "&amp;L$3&amp;", *")</f>
        <v>0</v>
      </c>
      <c r="M183" s="2">
        <f>COUNTIFS(集計用!$G181,"*, "&amp;M$3&amp;", *")</f>
        <v>1</v>
      </c>
      <c r="N183" s="2">
        <f>COUNTIFS(集計用!$G181,"*, "&amp;N$3&amp;", *")</f>
        <v>0</v>
      </c>
      <c r="O183" s="2">
        <f>COUNTIFS(集計用!$G181,"*, "&amp;O$3&amp;", *")</f>
        <v>1</v>
      </c>
      <c r="P183" s="2">
        <f>COUNTIFS(集計用!$G181,"*, "&amp;P$3&amp;", *")</f>
        <v>0</v>
      </c>
      <c r="Q183" s="2">
        <f>COUNTIFS(集計用!$G181,"*, "&amp;Q$3&amp;", *")</f>
        <v>0</v>
      </c>
      <c r="R183" s="2">
        <f>COUNTIFS(集計用!$G181,"*, "&amp;R$3&amp;", *")</f>
        <v>0</v>
      </c>
      <c r="S183" s="2">
        <f>COUNTIFS(集計用!$G181,"*, "&amp;S$3&amp;", *")</f>
        <v>0</v>
      </c>
      <c r="T183" s="2">
        <f>COUNTIFS(集計用!$G181,"*, "&amp;T$3&amp;", *")</f>
        <v>0</v>
      </c>
      <c r="U183" s="2">
        <f>COUNTIFS(集計用!$G181,"*, "&amp;U$3&amp;", *")</f>
        <v>0</v>
      </c>
      <c r="V183" s="2">
        <f>COUNTIFS(集計用!$G181,"*, "&amp;V$3&amp;", *")</f>
        <v>1</v>
      </c>
      <c r="W183" s="2">
        <f>COUNTIFS(集計用!$G181,"*, "&amp;W$3&amp;", *")</f>
        <v>0</v>
      </c>
      <c r="X183" s="2">
        <f>COUNTIFS(集計用!$G181,"*, "&amp;X$3&amp;", *")</f>
        <v>0</v>
      </c>
      <c r="Y183" s="2">
        <f>COUNTIFS(集計用!$G181,"*, "&amp;Y$3&amp;", *")</f>
        <v>0</v>
      </c>
      <c r="Z183" s="2">
        <f>COUNTIFS(集計用!$G181,"*, "&amp;Z$3&amp;", *")</f>
        <v>0</v>
      </c>
      <c r="AA183" s="2">
        <f>COUNTIFS(集計用!$G181,"*, "&amp;AA$3&amp;", *")</f>
        <v>0</v>
      </c>
      <c r="AB183" s="2">
        <f>COUNTIFS(集計用!$G181,"*, "&amp;AB$3&amp;", *")</f>
        <v>0</v>
      </c>
      <c r="AC183" s="2">
        <f>COUNTIFS(集計用!$G181,"*, "&amp;AC$3&amp;", *")</f>
        <v>0</v>
      </c>
      <c r="AD183" s="2">
        <f>COUNTIFS(集計用!$G181,"*, "&amp;AD$3&amp;", *")</f>
        <v>0</v>
      </c>
      <c r="AE183" s="2">
        <f>COUNTIFS(集計用!$G181,"*, "&amp;AE$3&amp;", *")</f>
        <v>0</v>
      </c>
      <c r="AF183" s="2">
        <f>COUNTIFS(集計用!$G181,"*, "&amp;AF$3&amp;", *")</f>
        <v>0</v>
      </c>
      <c r="AG183" s="2">
        <f>COUNTIFS(集計用!$G181,"*, "&amp;AG$3&amp;", *")</f>
        <v>0</v>
      </c>
      <c r="AH183" s="2">
        <f>COUNTIFS(集計用!$G181,"*, "&amp;AH$3&amp;", *")</f>
        <v>0</v>
      </c>
      <c r="AI183" s="2">
        <f>COUNTIFS(集計用!$G181,"*, "&amp;AI$3&amp;", *")</f>
        <v>0</v>
      </c>
      <c r="AJ183" s="2">
        <f>COUNTIFS(集計用!$G181,"*, "&amp;AJ$3&amp;", *")</f>
        <v>0</v>
      </c>
      <c r="AK183" s="2">
        <f>COUNTIFS(集計用!$G181,"*, "&amp;AK$3&amp;", *")</f>
        <v>0</v>
      </c>
      <c r="AL183" s="2">
        <f>COUNTIFS(集計用!$G181,"*, "&amp;AL$3&amp;", *")</f>
        <v>0</v>
      </c>
      <c r="AM183" s="2">
        <f>COUNTIFS(集計用!$G181,"*, "&amp;AM$3&amp;", *")</f>
        <v>0</v>
      </c>
      <c r="AN183" s="2">
        <f>COUNTIFS(集計用!$G181,"*, "&amp;AN$3&amp;", *")</f>
        <v>0</v>
      </c>
      <c r="AO183" s="2">
        <f>COUNTIFS(集計用!$G181,"*, "&amp;AO$3&amp;", *")</f>
        <v>0</v>
      </c>
      <c r="AP183" s="2">
        <f>COUNTIFS(集計用!$G181,"*, "&amp;AP$3&amp;", *")</f>
        <v>0</v>
      </c>
      <c r="AQ183" s="2">
        <f>COUNTIFS(集計用!$G181,"*, "&amp;AQ$3&amp;", *")</f>
        <v>0</v>
      </c>
      <c r="AR183" s="2">
        <f>COUNTIFS(集計用!$G181,"*, "&amp;AR$3&amp;", *")</f>
        <v>0</v>
      </c>
      <c r="AS183" s="2">
        <f>COUNTIFS(集計用!$G181,"*, "&amp;AS$3&amp;", *")</f>
        <v>0</v>
      </c>
      <c r="AT183" s="2">
        <f>COUNTIFS(集計用!$G181,"*, "&amp;AT$3&amp;", *")</f>
        <v>0</v>
      </c>
      <c r="AU183" s="2">
        <f>COUNTIFS(集計用!$G181,"*, "&amp;AU$3&amp;", *")</f>
        <v>0</v>
      </c>
      <c r="AV183" s="2">
        <f>COUNTIFS(集計用!$G181,"*, "&amp;AV$3&amp;", *")</f>
        <v>0</v>
      </c>
      <c r="AW183" s="2">
        <f>COUNTIFS(集計用!$G181,"*, "&amp;AW$3&amp;", *")</f>
        <v>0</v>
      </c>
      <c r="AX183" s="2">
        <f>COUNTIFS(集計用!$G181,"*, "&amp;AX$3&amp;", *")</f>
        <v>0</v>
      </c>
      <c r="AY183" s="2">
        <f>COUNTIFS(集計用!$G181,"*, "&amp;AY$3&amp;", *")</f>
        <v>0</v>
      </c>
      <c r="AZ183" s="2">
        <f>COUNTIFS(集計用!$G181,"*, "&amp;AZ$3&amp;", *")</f>
        <v>0</v>
      </c>
      <c r="BA183" s="2">
        <f>COUNTIFS(集計用!$G181,"*, "&amp;BA$3&amp;", *")</f>
        <v>0</v>
      </c>
      <c r="BB183" s="2">
        <f>COUNTIFS(集計用!$G181,"*, "&amp;BB$3&amp;", *")</f>
        <v>0</v>
      </c>
      <c r="BC183" s="2">
        <f>COUNTIFS(集計用!$G181,"*, "&amp;BC$3&amp;", *")</f>
        <v>0</v>
      </c>
      <c r="BD183" s="2">
        <f>COUNTIFS(集計用!$G181,"*, "&amp;BD$3&amp;", *")</f>
        <v>0</v>
      </c>
      <c r="BE183" s="2">
        <f>COUNTIFS(集計用!$G181,"*, "&amp;BE$3&amp;", *")</f>
        <v>0</v>
      </c>
      <c r="BF183" s="2">
        <f>COUNTIFS(集計用!$G181,"*, "&amp;BF$3&amp;", *")</f>
        <v>0</v>
      </c>
      <c r="BG183" s="2">
        <f>COUNTIFS(集計用!$G181,"*, "&amp;BG$3&amp;", *")</f>
        <v>0</v>
      </c>
      <c r="BH183" s="2">
        <f>COUNTIFS(集計用!$G181,"*, "&amp;BH$3&amp;", *")</f>
        <v>0</v>
      </c>
      <c r="BI183" s="2">
        <f>COUNTIFS(集計用!$G181,"*, "&amp;BI$3&amp;", *")</f>
        <v>0</v>
      </c>
      <c r="BJ183" s="2">
        <f>LEN(集計用!H181)-LEN(SUBSTITUTE(集計用!H181,",",""))</f>
        <v>0</v>
      </c>
    </row>
    <row r="184" spans="1:62" ht="12.75">
      <c r="A184" s="8">
        <v>181</v>
      </c>
      <c r="C184" s="2">
        <f t="shared" si="3"/>
        <v>3</v>
      </c>
      <c r="D184" s="9"/>
      <c r="E184" s="2">
        <f>COUNTIFS(集計用!$G182,"*, "&amp;E$3&amp;", *")</f>
        <v>1</v>
      </c>
      <c r="F184" s="2">
        <f>COUNTIFS(集計用!$G182,"*, "&amp;F$3&amp;", *")</f>
        <v>0</v>
      </c>
      <c r="G184" s="2">
        <f>COUNTIFS(集計用!$G182,"*, "&amp;G$3&amp;", *")</f>
        <v>0</v>
      </c>
      <c r="H184" s="2">
        <f>COUNTIFS(集計用!$G182,"*, "&amp;H$3&amp;", *")</f>
        <v>0</v>
      </c>
      <c r="I184" s="2">
        <f>COUNTIFS(集計用!$G182,"*, "&amp;I$3&amp;", *")</f>
        <v>0</v>
      </c>
      <c r="J184" s="2">
        <f>COUNTIFS(集計用!$G182,"*, "&amp;J$3&amp;", *")</f>
        <v>0</v>
      </c>
      <c r="K184" s="2">
        <f>COUNTIFS(集計用!$G182,"*, "&amp;K$3&amp;", *")</f>
        <v>0</v>
      </c>
      <c r="L184" s="2">
        <f>COUNTIFS(集計用!$G182,"*, "&amp;L$3&amp;", *")</f>
        <v>0</v>
      </c>
      <c r="M184" s="2">
        <f>COUNTIFS(集計用!$G182,"*, "&amp;M$3&amp;", *")</f>
        <v>0</v>
      </c>
      <c r="N184" s="2">
        <f>COUNTIFS(集計用!$G182,"*, "&amp;N$3&amp;", *")</f>
        <v>1</v>
      </c>
      <c r="O184" s="2">
        <f>COUNTIFS(集計用!$G182,"*, "&amp;O$3&amp;", *")</f>
        <v>0</v>
      </c>
      <c r="P184" s="2">
        <f>COUNTIFS(集計用!$G182,"*, "&amp;P$3&amp;", *")</f>
        <v>0</v>
      </c>
      <c r="Q184" s="2">
        <f>COUNTIFS(集計用!$G182,"*, "&amp;Q$3&amp;", *")</f>
        <v>0</v>
      </c>
      <c r="R184" s="2">
        <f>COUNTIFS(集計用!$G182,"*, "&amp;R$3&amp;", *")</f>
        <v>0</v>
      </c>
      <c r="S184" s="2">
        <f>COUNTIFS(集計用!$G182,"*, "&amp;S$3&amp;", *")</f>
        <v>0</v>
      </c>
      <c r="T184" s="2">
        <f>COUNTIFS(集計用!$G182,"*, "&amp;T$3&amp;", *")</f>
        <v>0</v>
      </c>
      <c r="U184" s="2">
        <f>COUNTIFS(集計用!$G182,"*, "&amp;U$3&amp;", *")</f>
        <v>0</v>
      </c>
      <c r="V184" s="2">
        <f>COUNTIFS(集計用!$G182,"*, "&amp;V$3&amp;", *")</f>
        <v>0</v>
      </c>
      <c r="W184" s="2">
        <f>COUNTIFS(集計用!$G182,"*, "&amp;W$3&amp;", *")</f>
        <v>0</v>
      </c>
      <c r="X184" s="2">
        <f>COUNTIFS(集計用!$G182,"*, "&amp;X$3&amp;", *")</f>
        <v>0</v>
      </c>
      <c r="Y184" s="2">
        <f>COUNTIFS(集計用!$G182,"*, "&amp;Y$3&amp;", *")</f>
        <v>0</v>
      </c>
      <c r="Z184" s="2">
        <f>COUNTIFS(集計用!$G182,"*, "&amp;Z$3&amp;", *")</f>
        <v>0</v>
      </c>
      <c r="AA184" s="2">
        <f>COUNTIFS(集計用!$G182,"*, "&amp;AA$3&amp;", *")</f>
        <v>0</v>
      </c>
      <c r="AB184" s="2">
        <f>COUNTIFS(集計用!$G182,"*, "&amp;AB$3&amp;", *")</f>
        <v>0</v>
      </c>
      <c r="AC184" s="2">
        <f>COUNTIFS(集計用!$G182,"*, "&amp;AC$3&amp;", *")</f>
        <v>0</v>
      </c>
      <c r="AD184" s="2">
        <f>COUNTIFS(集計用!$G182,"*, "&amp;AD$3&amp;", *")</f>
        <v>0</v>
      </c>
      <c r="AE184" s="2">
        <f>COUNTIFS(集計用!$G182,"*, "&amp;AE$3&amp;", *")</f>
        <v>0</v>
      </c>
      <c r="AF184" s="2">
        <f>COUNTIFS(集計用!$G182,"*, "&amp;AF$3&amp;", *")</f>
        <v>0</v>
      </c>
      <c r="AG184" s="2">
        <f>COUNTIFS(集計用!$G182,"*, "&amp;AG$3&amp;", *")</f>
        <v>0</v>
      </c>
      <c r="AH184" s="2">
        <f>COUNTIFS(集計用!$G182,"*, "&amp;AH$3&amp;", *")</f>
        <v>0</v>
      </c>
      <c r="AI184" s="2">
        <f>COUNTIFS(集計用!$G182,"*, "&amp;AI$3&amp;", *")</f>
        <v>0</v>
      </c>
      <c r="AJ184" s="2">
        <f>COUNTIFS(集計用!$G182,"*, "&amp;AJ$3&amp;", *")</f>
        <v>0</v>
      </c>
      <c r="AK184" s="2">
        <f>COUNTIFS(集計用!$G182,"*, "&amp;AK$3&amp;", *")</f>
        <v>0</v>
      </c>
      <c r="AL184" s="2">
        <f>COUNTIFS(集計用!$G182,"*, "&amp;AL$3&amp;", *")</f>
        <v>0</v>
      </c>
      <c r="AM184" s="2">
        <f>COUNTIFS(集計用!$G182,"*, "&amp;AM$3&amp;", *")</f>
        <v>0</v>
      </c>
      <c r="AN184" s="2">
        <f>COUNTIFS(集計用!$G182,"*, "&amp;AN$3&amp;", *")</f>
        <v>0</v>
      </c>
      <c r="AO184" s="2">
        <f>COUNTIFS(集計用!$G182,"*, "&amp;AO$3&amp;", *")</f>
        <v>0</v>
      </c>
      <c r="AP184" s="2">
        <f>COUNTIFS(集計用!$G182,"*, "&amp;AP$3&amp;", *")</f>
        <v>0</v>
      </c>
      <c r="AQ184" s="2">
        <f>COUNTIFS(集計用!$G182,"*, "&amp;AQ$3&amp;", *")</f>
        <v>0</v>
      </c>
      <c r="AR184" s="2">
        <f>COUNTIFS(集計用!$G182,"*, "&amp;AR$3&amp;", *")</f>
        <v>0</v>
      </c>
      <c r="AS184" s="2">
        <f>COUNTIFS(集計用!$G182,"*, "&amp;AS$3&amp;", *")</f>
        <v>0</v>
      </c>
      <c r="AT184" s="2">
        <f>COUNTIFS(集計用!$G182,"*, "&amp;AT$3&amp;", *")</f>
        <v>0</v>
      </c>
      <c r="AU184" s="2">
        <f>COUNTIFS(集計用!$G182,"*, "&amp;AU$3&amp;", *")</f>
        <v>0</v>
      </c>
      <c r="AV184" s="2">
        <f>COUNTIFS(集計用!$G182,"*, "&amp;AV$3&amp;", *")</f>
        <v>0</v>
      </c>
      <c r="AW184" s="2">
        <f>COUNTIFS(集計用!$G182,"*, "&amp;AW$3&amp;", *")</f>
        <v>0</v>
      </c>
      <c r="AX184" s="2">
        <f>COUNTIFS(集計用!$G182,"*, "&amp;AX$3&amp;", *")</f>
        <v>0</v>
      </c>
      <c r="AY184" s="2">
        <f>COUNTIFS(集計用!$G182,"*, "&amp;AY$3&amp;", *")</f>
        <v>0</v>
      </c>
      <c r="AZ184" s="2">
        <f>COUNTIFS(集計用!$G182,"*, "&amp;AZ$3&amp;", *")</f>
        <v>0</v>
      </c>
      <c r="BA184" s="2">
        <f>COUNTIFS(集計用!$G182,"*, "&amp;BA$3&amp;", *")</f>
        <v>0</v>
      </c>
      <c r="BB184" s="2">
        <f>COUNTIFS(集計用!$G182,"*, "&amp;BB$3&amp;", *")</f>
        <v>0</v>
      </c>
      <c r="BC184" s="2">
        <f>COUNTIFS(集計用!$G182,"*, "&amp;BC$3&amp;", *")</f>
        <v>0</v>
      </c>
      <c r="BD184" s="2">
        <f>COUNTIFS(集計用!$G182,"*, "&amp;BD$3&amp;", *")</f>
        <v>1</v>
      </c>
      <c r="BE184" s="2">
        <f>COUNTIFS(集計用!$G182,"*, "&amp;BE$3&amp;", *")</f>
        <v>0</v>
      </c>
      <c r="BF184" s="2">
        <f>COUNTIFS(集計用!$G182,"*, "&amp;BF$3&amp;", *")</f>
        <v>0</v>
      </c>
      <c r="BG184" s="2">
        <f>COUNTIFS(集計用!$G182,"*, "&amp;BG$3&amp;", *")</f>
        <v>0</v>
      </c>
      <c r="BH184" s="2">
        <f>COUNTIFS(集計用!$G182,"*, "&amp;BH$3&amp;", *")</f>
        <v>0</v>
      </c>
      <c r="BI184" s="2">
        <f>COUNTIFS(集計用!$G182,"*, "&amp;BI$3&amp;", *")</f>
        <v>0</v>
      </c>
      <c r="BJ184" s="2">
        <f>LEN(集計用!H182)-LEN(SUBSTITUTE(集計用!H182,",",""))</f>
        <v>0</v>
      </c>
    </row>
    <row r="185" spans="1:62" ht="12.75">
      <c r="A185" s="8">
        <v>182</v>
      </c>
      <c r="C185" s="2">
        <f t="shared" si="3"/>
        <v>3</v>
      </c>
      <c r="D185" s="9"/>
      <c r="E185" s="2">
        <f>COUNTIFS(集計用!$G183,"*, "&amp;E$3&amp;", *")</f>
        <v>0</v>
      </c>
      <c r="F185" s="2">
        <f>COUNTIFS(集計用!$G183,"*, "&amp;F$3&amp;", *")</f>
        <v>0</v>
      </c>
      <c r="G185" s="2">
        <f>COUNTIFS(集計用!$G183,"*, "&amp;G$3&amp;", *")</f>
        <v>0</v>
      </c>
      <c r="H185" s="2">
        <f>COUNTIFS(集計用!$G183,"*, "&amp;H$3&amp;", *")</f>
        <v>0</v>
      </c>
      <c r="I185" s="2">
        <f>COUNTIFS(集計用!$G183,"*, "&amp;I$3&amp;", *")</f>
        <v>0</v>
      </c>
      <c r="J185" s="2">
        <f>COUNTIFS(集計用!$G183,"*, "&amp;J$3&amp;", *")</f>
        <v>0</v>
      </c>
      <c r="K185" s="2">
        <f>COUNTIFS(集計用!$G183,"*, "&amp;K$3&amp;", *")</f>
        <v>0</v>
      </c>
      <c r="L185" s="2">
        <f>COUNTIFS(集計用!$G183,"*, "&amp;L$3&amp;", *")</f>
        <v>0</v>
      </c>
      <c r="M185" s="2">
        <f>COUNTIFS(集計用!$G183,"*, "&amp;M$3&amp;", *")</f>
        <v>0</v>
      </c>
      <c r="N185" s="2">
        <f>COUNTIFS(集計用!$G183,"*, "&amp;N$3&amp;", *")</f>
        <v>0</v>
      </c>
      <c r="O185" s="2">
        <f>COUNTIFS(集計用!$G183,"*, "&amp;O$3&amp;", *")</f>
        <v>1</v>
      </c>
      <c r="P185" s="2">
        <f>COUNTIFS(集計用!$G183,"*, "&amp;P$3&amp;", *")</f>
        <v>0</v>
      </c>
      <c r="Q185" s="2">
        <f>COUNTIFS(集計用!$G183,"*, "&amp;Q$3&amp;", *")</f>
        <v>0</v>
      </c>
      <c r="R185" s="2">
        <f>COUNTIFS(集計用!$G183,"*, "&amp;R$3&amp;", *")</f>
        <v>0</v>
      </c>
      <c r="S185" s="2">
        <f>COUNTIFS(集計用!$G183,"*, "&amp;S$3&amp;", *")</f>
        <v>1</v>
      </c>
      <c r="T185" s="2">
        <f>COUNTIFS(集計用!$G183,"*, "&amp;T$3&amp;", *")</f>
        <v>0</v>
      </c>
      <c r="U185" s="2">
        <f>COUNTIFS(集計用!$G183,"*, "&amp;U$3&amp;", *")</f>
        <v>0</v>
      </c>
      <c r="V185" s="2">
        <f>COUNTIFS(集計用!$G183,"*, "&amp;V$3&amp;", *")</f>
        <v>1</v>
      </c>
      <c r="W185" s="2">
        <f>COUNTIFS(集計用!$G183,"*, "&amp;W$3&amp;", *")</f>
        <v>0</v>
      </c>
      <c r="X185" s="2">
        <f>COUNTIFS(集計用!$G183,"*, "&amp;X$3&amp;", *")</f>
        <v>0</v>
      </c>
      <c r="Y185" s="2">
        <f>COUNTIFS(集計用!$G183,"*, "&amp;Y$3&amp;", *")</f>
        <v>0</v>
      </c>
      <c r="Z185" s="2">
        <f>COUNTIFS(集計用!$G183,"*, "&amp;Z$3&amp;", *")</f>
        <v>0</v>
      </c>
      <c r="AA185" s="2">
        <f>COUNTIFS(集計用!$G183,"*, "&amp;AA$3&amp;", *")</f>
        <v>0</v>
      </c>
      <c r="AB185" s="2">
        <f>COUNTIFS(集計用!$G183,"*, "&amp;AB$3&amp;", *")</f>
        <v>0</v>
      </c>
      <c r="AC185" s="2">
        <f>COUNTIFS(集計用!$G183,"*, "&amp;AC$3&amp;", *")</f>
        <v>0</v>
      </c>
      <c r="AD185" s="2">
        <f>COUNTIFS(集計用!$G183,"*, "&amp;AD$3&amp;", *")</f>
        <v>0</v>
      </c>
      <c r="AE185" s="2">
        <f>COUNTIFS(集計用!$G183,"*, "&amp;AE$3&amp;", *")</f>
        <v>0</v>
      </c>
      <c r="AF185" s="2">
        <f>COUNTIFS(集計用!$G183,"*, "&amp;AF$3&amp;", *")</f>
        <v>0</v>
      </c>
      <c r="AG185" s="2">
        <f>COUNTIFS(集計用!$G183,"*, "&amp;AG$3&amp;", *")</f>
        <v>0</v>
      </c>
      <c r="AH185" s="2">
        <f>COUNTIFS(集計用!$G183,"*, "&amp;AH$3&amp;", *")</f>
        <v>0</v>
      </c>
      <c r="AI185" s="2">
        <f>COUNTIFS(集計用!$G183,"*, "&amp;AI$3&amp;", *")</f>
        <v>0</v>
      </c>
      <c r="AJ185" s="2">
        <f>COUNTIFS(集計用!$G183,"*, "&amp;AJ$3&amp;", *")</f>
        <v>0</v>
      </c>
      <c r="AK185" s="2">
        <f>COUNTIFS(集計用!$G183,"*, "&amp;AK$3&amp;", *")</f>
        <v>0</v>
      </c>
      <c r="AL185" s="2">
        <f>COUNTIFS(集計用!$G183,"*, "&amp;AL$3&amp;", *")</f>
        <v>0</v>
      </c>
      <c r="AM185" s="2">
        <f>COUNTIFS(集計用!$G183,"*, "&amp;AM$3&amp;", *")</f>
        <v>0</v>
      </c>
      <c r="AN185" s="2">
        <f>COUNTIFS(集計用!$G183,"*, "&amp;AN$3&amp;", *")</f>
        <v>0</v>
      </c>
      <c r="AO185" s="2">
        <f>COUNTIFS(集計用!$G183,"*, "&amp;AO$3&amp;", *")</f>
        <v>0</v>
      </c>
      <c r="AP185" s="2">
        <f>COUNTIFS(集計用!$G183,"*, "&amp;AP$3&amp;", *")</f>
        <v>0</v>
      </c>
      <c r="AQ185" s="2">
        <f>COUNTIFS(集計用!$G183,"*, "&amp;AQ$3&amp;", *")</f>
        <v>0</v>
      </c>
      <c r="AR185" s="2">
        <f>COUNTIFS(集計用!$G183,"*, "&amp;AR$3&amp;", *")</f>
        <v>0</v>
      </c>
      <c r="AS185" s="2">
        <f>COUNTIFS(集計用!$G183,"*, "&amp;AS$3&amp;", *")</f>
        <v>0</v>
      </c>
      <c r="AT185" s="2">
        <f>COUNTIFS(集計用!$G183,"*, "&amp;AT$3&amp;", *")</f>
        <v>0</v>
      </c>
      <c r="AU185" s="2">
        <f>COUNTIFS(集計用!$G183,"*, "&amp;AU$3&amp;", *")</f>
        <v>0</v>
      </c>
      <c r="AV185" s="2">
        <f>COUNTIFS(集計用!$G183,"*, "&amp;AV$3&amp;", *")</f>
        <v>0</v>
      </c>
      <c r="AW185" s="2">
        <f>COUNTIFS(集計用!$G183,"*, "&amp;AW$3&amp;", *")</f>
        <v>0</v>
      </c>
      <c r="AX185" s="2">
        <f>COUNTIFS(集計用!$G183,"*, "&amp;AX$3&amp;", *")</f>
        <v>0</v>
      </c>
      <c r="AY185" s="2">
        <f>COUNTIFS(集計用!$G183,"*, "&amp;AY$3&amp;", *")</f>
        <v>0</v>
      </c>
      <c r="AZ185" s="2">
        <f>COUNTIFS(集計用!$G183,"*, "&amp;AZ$3&amp;", *")</f>
        <v>0</v>
      </c>
      <c r="BA185" s="2">
        <f>COUNTIFS(集計用!$G183,"*, "&amp;BA$3&amp;", *")</f>
        <v>0</v>
      </c>
      <c r="BB185" s="2">
        <f>COUNTIFS(集計用!$G183,"*, "&amp;BB$3&amp;", *")</f>
        <v>0</v>
      </c>
      <c r="BC185" s="2">
        <f>COUNTIFS(集計用!$G183,"*, "&amp;BC$3&amp;", *")</f>
        <v>0</v>
      </c>
      <c r="BD185" s="2">
        <f>COUNTIFS(集計用!$G183,"*, "&amp;BD$3&amp;", *")</f>
        <v>0</v>
      </c>
      <c r="BE185" s="2">
        <f>COUNTIFS(集計用!$G183,"*, "&amp;BE$3&amp;", *")</f>
        <v>0</v>
      </c>
      <c r="BF185" s="2">
        <f>COUNTIFS(集計用!$G183,"*, "&amp;BF$3&amp;", *")</f>
        <v>0</v>
      </c>
      <c r="BG185" s="2">
        <f>COUNTIFS(集計用!$G183,"*, "&amp;BG$3&amp;", *")</f>
        <v>0</v>
      </c>
      <c r="BH185" s="2">
        <f>COUNTIFS(集計用!$G183,"*, "&amp;BH$3&amp;", *")</f>
        <v>0</v>
      </c>
      <c r="BI185" s="2">
        <f>COUNTIFS(集計用!$G183,"*, "&amp;BI$3&amp;", *")</f>
        <v>0</v>
      </c>
      <c r="BJ185" s="2">
        <f>LEN(集計用!H183)-LEN(SUBSTITUTE(集計用!H183,",",""))</f>
        <v>0</v>
      </c>
    </row>
    <row r="186" spans="1:62" ht="12.75">
      <c r="A186" s="8">
        <v>183</v>
      </c>
      <c r="C186" s="2">
        <f t="shared" si="3"/>
        <v>2</v>
      </c>
      <c r="D186" s="9"/>
      <c r="E186" s="2">
        <f>COUNTIFS(集計用!$G184,"*, "&amp;E$3&amp;", *")</f>
        <v>0</v>
      </c>
      <c r="F186" s="2">
        <f>COUNTIFS(集計用!$G184,"*, "&amp;F$3&amp;", *")</f>
        <v>0</v>
      </c>
      <c r="G186" s="2">
        <f>COUNTIFS(集計用!$G184,"*, "&amp;G$3&amp;", *")</f>
        <v>0</v>
      </c>
      <c r="H186" s="2">
        <f>COUNTIFS(集計用!$G184,"*, "&amp;H$3&amp;", *")</f>
        <v>0</v>
      </c>
      <c r="I186" s="2">
        <f>COUNTIFS(集計用!$G184,"*, "&amp;I$3&amp;", *")</f>
        <v>0</v>
      </c>
      <c r="J186" s="2">
        <f>COUNTIFS(集計用!$G184,"*, "&amp;J$3&amp;", *")</f>
        <v>0</v>
      </c>
      <c r="K186" s="2">
        <f>COUNTIFS(集計用!$G184,"*, "&amp;K$3&amp;", *")</f>
        <v>0</v>
      </c>
      <c r="L186" s="2">
        <f>COUNTIFS(集計用!$G184,"*, "&amp;L$3&amp;", *")</f>
        <v>0</v>
      </c>
      <c r="M186" s="2">
        <f>COUNTIFS(集計用!$G184,"*, "&amp;M$3&amp;", *")</f>
        <v>0</v>
      </c>
      <c r="N186" s="2">
        <f>COUNTIFS(集計用!$G184,"*, "&amp;N$3&amp;", *")</f>
        <v>0</v>
      </c>
      <c r="O186" s="2">
        <f>COUNTIFS(集計用!$G184,"*, "&amp;O$3&amp;", *")</f>
        <v>0</v>
      </c>
      <c r="P186" s="2">
        <f>COUNTIFS(集計用!$G184,"*, "&amp;P$3&amp;", *")</f>
        <v>0</v>
      </c>
      <c r="Q186" s="2">
        <f>COUNTIFS(集計用!$G184,"*, "&amp;Q$3&amp;", *")</f>
        <v>1</v>
      </c>
      <c r="R186" s="2">
        <f>COUNTIFS(集計用!$G184,"*, "&amp;R$3&amp;", *")</f>
        <v>0</v>
      </c>
      <c r="S186" s="2">
        <f>COUNTIFS(集計用!$G184,"*, "&amp;S$3&amp;", *")</f>
        <v>0</v>
      </c>
      <c r="T186" s="2">
        <f>COUNTIFS(集計用!$G184,"*, "&amp;T$3&amp;", *")</f>
        <v>0</v>
      </c>
      <c r="U186" s="2">
        <f>COUNTIFS(集計用!$G184,"*, "&amp;U$3&amp;", *")</f>
        <v>0</v>
      </c>
      <c r="V186" s="2">
        <f>COUNTIFS(集計用!$G184,"*, "&amp;V$3&amp;", *")</f>
        <v>0</v>
      </c>
      <c r="W186" s="2">
        <f>COUNTIFS(集計用!$G184,"*, "&amp;W$3&amp;", *")</f>
        <v>0</v>
      </c>
      <c r="X186" s="2">
        <f>COUNTIFS(集計用!$G184,"*, "&amp;X$3&amp;", *")</f>
        <v>0</v>
      </c>
      <c r="Y186" s="2">
        <f>COUNTIFS(集計用!$G184,"*, "&amp;Y$3&amp;", *")</f>
        <v>0</v>
      </c>
      <c r="Z186" s="2">
        <f>COUNTIFS(集計用!$G184,"*, "&amp;Z$3&amp;", *")</f>
        <v>0</v>
      </c>
      <c r="AA186" s="2">
        <f>COUNTIFS(集計用!$G184,"*, "&amp;AA$3&amp;", *")</f>
        <v>0</v>
      </c>
      <c r="AB186" s="2">
        <f>COUNTIFS(集計用!$G184,"*, "&amp;AB$3&amp;", *")</f>
        <v>0</v>
      </c>
      <c r="AC186" s="2">
        <f>COUNTIFS(集計用!$G184,"*, "&amp;AC$3&amp;", *")</f>
        <v>0</v>
      </c>
      <c r="AD186" s="2">
        <f>COUNTIFS(集計用!$G184,"*, "&amp;AD$3&amp;", *")</f>
        <v>1</v>
      </c>
      <c r="AE186" s="2">
        <f>COUNTIFS(集計用!$G184,"*, "&amp;AE$3&amp;", *")</f>
        <v>0</v>
      </c>
      <c r="AF186" s="2">
        <f>COUNTIFS(集計用!$G184,"*, "&amp;AF$3&amp;", *")</f>
        <v>0</v>
      </c>
      <c r="AG186" s="2">
        <f>COUNTIFS(集計用!$G184,"*, "&amp;AG$3&amp;", *")</f>
        <v>0</v>
      </c>
      <c r="AH186" s="2">
        <f>COUNTIFS(集計用!$G184,"*, "&amp;AH$3&amp;", *")</f>
        <v>0</v>
      </c>
      <c r="AI186" s="2">
        <f>COUNTIFS(集計用!$G184,"*, "&amp;AI$3&amp;", *")</f>
        <v>0</v>
      </c>
      <c r="AJ186" s="2">
        <f>COUNTIFS(集計用!$G184,"*, "&amp;AJ$3&amp;", *")</f>
        <v>0</v>
      </c>
      <c r="AK186" s="2">
        <f>COUNTIFS(集計用!$G184,"*, "&amp;AK$3&amp;", *")</f>
        <v>0</v>
      </c>
      <c r="AL186" s="2">
        <f>COUNTIFS(集計用!$G184,"*, "&amp;AL$3&amp;", *")</f>
        <v>0</v>
      </c>
      <c r="AM186" s="2">
        <f>COUNTIFS(集計用!$G184,"*, "&amp;AM$3&amp;", *")</f>
        <v>0</v>
      </c>
      <c r="AN186" s="2">
        <f>COUNTIFS(集計用!$G184,"*, "&amp;AN$3&amp;", *")</f>
        <v>0</v>
      </c>
      <c r="AO186" s="2">
        <f>COUNTIFS(集計用!$G184,"*, "&amp;AO$3&amp;", *")</f>
        <v>0</v>
      </c>
      <c r="AP186" s="2">
        <f>COUNTIFS(集計用!$G184,"*, "&amp;AP$3&amp;", *")</f>
        <v>0</v>
      </c>
      <c r="AQ186" s="2">
        <f>COUNTIFS(集計用!$G184,"*, "&amp;AQ$3&amp;", *")</f>
        <v>0</v>
      </c>
      <c r="AR186" s="2">
        <f>COUNTIFS(集計用!$G184,"*, "&amp;AR$3&amp;", *")</f>
        <v>0</v>
      </c>
      <c r="AS186" s="2">
        <f>COUNTIFS(集計用!$G184,"*, "&amp;AS$3&amp;", *")</f>
        <v>0</v>
      </c>
      <c r="AT186" s="2">
        <f>COUNTIFS(集計用!$G184,"*, "&amp;AT$3&amp;", *")</f>
        <v>0</v>
      </c>
      <c r="AU186" s="2">
        <f>COUNTIFS(集計用!$G184,"*, "&amp;AU$3&amp;", *")</f>
        <v>0</v>
      </c>
      <c r="AV186" s="2">
        <f>COUNTIFS(集計用!$G184,"*, "&amp;AV$3&amp;", *")</f>
        <v>0</v>
      </c>
      <c r="AW186" s="2">
        <f>COUNTIFS(集計用!$G184,"*, "&amp;AW$3&amp;", *")</f>
        <v>0</v>
      </c>
      <c r="AX186" s="2">
        <f>COUNTIFS(集計用!$G184,"*, "&amp;AX$3&amp;", *")</f>
        <v>0</v>
      </c>
      <c r="AY186" s="2">
        <f>COUNTIFS(集計用!$G184,"*, "&amp;AY$3&amp;", *")</f>
        <v>0</v>
      </c>
      <c r="AZ186" s="2">
        <f>COUNTIFS(集計用!$G184,"*, "&amp;AZ$3&amp;", *")</f>
        <v>0</v>
      </c>
      <c r="BA186" s="2">
        <f>COUNTIFS(集計用!$G184,"*, "&amp;BA$3&amp;", *")</f>
        <v>0</v>
      </c>
      <c r="BB186" s="2">
        <f>COUNTIFS(集計用!$G184,"*, "&amp;BB$3&amp;", *")</f>
        <v>0</v>
      </c>
      <c r="BC186" s="2">
        <f>COUNTIFS(集計用!$G184,"*, "&amp;BC$3&amp;", *")</f>
        <v>0</v>
      </c>
      <c r="BD186" s="2">
        <f>COUNTIFS(集計用!$G184,"*, "&amp;BD$3&amp;", *")</f>
        <v>0</v>
      </c>
      <c r="BE186" s="2">
        <f>COUNTIFS(集計用!$G184,"*, "&amp;BE$3&amp;", *")</f>
        <v>0</v>
      </c>
      <c r="BF186" s="2">
        <f>COUNTIFS(集計用!$G184,"*, "&amp;BF$3&amp;", *")</f>
        <v>0</v>
      </c>
      <c r="BG186" s="2">
        <f>COUNTIFS(集計用!$G184,"*, "&amp;BG$3&amp;", *")</f>
        <v>0</v>
      </c>
      <c r="BH186" s="2">
        <f>COUNTIFS(集計用!$G184,"*, "&amp;BH$3&amp;", *")</f>
        <v>0</v>
      </c>
      <c r="BI186" s="2">
        <f>COUNTIFS(集計用!$G184,"*, "&amp;BI$3&amp;", *")</f>
        <v>0</v>
      </c>
      <c r="BJ186" s="2">
        <f>LEN(集計用!H184)-LEN(SUBSTITUTE(集計用!H184,",",""))</f>
        <v>0</v>
      </c>
    </row>
    <row r="187" spans="1:62" ht="12.75">
      <c r="A187" s="8">
        <v>184</v>
      </c>
      <c r="C187" s="2">
        <f t="shared" si="3"/>
        <v>3</v>
      </c>
      <c r="D187" s="9"/>
      <c r="E187" s="2">
        <f>COUNTIFS(集計用!$G185,"*, "&amp;E$3&amp;", *")</f>
        <v>0</v>
      </c>
      <c r="F187" s="2">
        <f>COUNTIFS(集計用!$G185,"*, "&amp;F$3&amp;", *")</f>
        <v>1</v>
      </c>
      <c r="G187" s="2">
        <f>COUNTIFS(集計用!$G185,"*, "&amp;G$3&amp;", *")</f>
        <v>0</v>
      </c>
      <c r="H187" s="2">
        <f>COUNTIFS(集計用!$G185,"*, "&amp;H$3&amp;", *")</f>
        <v>0</v>
      </c>
      <c r="I187" s="2">
        <f>COUNTIFS(集計用!$G185,"*, "&amp;I$3&amp;", *")</f>
        <v>0</v>
      </c>
      <c r="J187" s="2">
        <f>COUNTIFS(集計用!$G185,"*, "&amp;J$3&amp;", *")</f>
        <v>0</v>
      </c>
      <c r="K187" s="2">
        <f>COUNTIFS(集計用!$G185,"*, "&amp;K$3&amp;", *")</f>
        <v>0</v>
      </c>
      <c r="L187" s="2">
        <f>COUNTIFS(集計用!$G185,"*, "&amp;L$3&amp;", *")</f>
        <v>0</v>
      </c>
      <c r="M187" s="2">
        <f>COUNTIFS(集計用!$G185,"*, "&amp;M$3&amp;", *")</f>
        <v>0</v>
      </c>
      <c r="N187" s="2">
        <f>COUNTIFS(集計用!$G185,"*, "&amp;N$3&amp;", *")</f>
        <v>0</v>
      </c>
      <c r="O187" s="2">
        <f>COUNTIFS(集計用!$G185,"*, "&amp;O$3&amp;", *")</f>
        <v>0</v>
      </c>
      <c r="P187" s="2">
        <f>COUNTIFS(集計用!$G185,"*, "&amp;P$3&amp;", *")</f>
        <v>0</v>
      </c>
      <c r="Q187" s="2">
        <f>COUNTIFS(集計用!$G185,"*, "&amp;Q$3&amp;", *")</f>
        <v>0</v>
      </c>
      <c r="R187" s="2">
        <f>COUNTIFS(集計用!$G185,"*, "&amp;R$3&amp;", *")</f>
        <v>0</v>
      </c>
      <c r="S187" s="2">
        <f>COUNTIFS(集計用!$G185,"*, "&amp;S$3&amp;", *")</f>
        <v>0</v>
      </c>
      <c r="T187" s="2">
        <f>COUNTIFS(集計用!$G185,"*, "&amp;T$3&amp;", *")</f>
        <v>0</v>
      </c>
      <c r="U187" s="2">
        <f>COUNTIFS(集計用!$G185,"*, "&amp;U$3&amp;", *")</f>
        <v>0</v>
      </c>
      <c r="V187" s="2">
        <f>COUNTIFS(集計用!$G185,"*, "&amp;V$3&amp;", *")</f>
        <v>0</v>
      </c>
      <c r="W187" s="2">
        <f>COUNTIFS(集計用!$G185,"*, "&amp;W$3&amp;", *")</f>
        <v>1</v>
      </c>
      <c r="X187" s="2">
        <f>COUNTIFS(集計用!$G185,"*, "&amp;X$3&amp;", *")</f>
        <v>0</v>
      </c>
      <c r="Y187" s="2">
        <f>COUNTIFS(集計用!$G185,"*, "&amp;Y$3&amp;", *")</f>
        <v>0</v>
      </c>
      <c r="Z187" s="2">
        <f>COUNTIFS(集計用!$G185,"*, "&amp;Z$3&amp;", *")</f>
        <v>0</v>
      </c>
      <c r="AA187" s="2">
        <f>COUNTIFS(集計用!$G185,"*, "&amp;AA$3&amp;", *")</f>
        <v>0</v>
      </c>
      <c r="AB187" s="2">
        <f>COUNTIFS(集計用!$G185,"*, "&amp;AB$3&amp;", *")</f>
        <v>1</v>
      </c>
      <c r="AC187" s="2">
        <f>COUNTIFS(集計用!$G185,"*, "&amp;AC$3&amp;", *")</f>
        <v>0</v>
      </c>
      <c r="AD187" s="2">
        <f>COUNTIFS(集計用!$G185,"*, "&amp;AD$3&amp;", *")</f>
        <v>0</v>
      </c>
      <c r="AE187" s="2">
        <f>COUNTIFS(集計用!$G185,"*, "&amp;AE$3&amp;", *")</f>
        <v>0</v>
      </c>
      <c r="AF187" s="2">
        <f>COUNTIFS(集計用!$G185,"*, "&amp;AF$3&amp;", *")</f>
        <v>0</v>
      </c>
      <c r="AG187" s="2">
        <f>COUNTIFS(集計用!$G185,"*, "&amp;AG$3&amp;", *")</f>
        <v>0</v>
      </c>
      <c r="AH187" s="2">
        <f>COUNTIFS(集計用!$G185,"*, "&amp;AH$3&amp;", *")</f>
        <v>0</v>
      </c>
      <c r="AI187" s="2">
        <f>COUNTIFS(集計用!$G185,"*, "&amp;AI$3&amp;", *")</f>
        <v>0</v>
      </c>
      <c r="AJ187" s="2">
        <f>COUNTIFS(集計用!$G185,"*, "&amp;AJ$3&amp;", *")</f>
        <v>0</v>
      </c>
      <c r="AK187" s="2">
        <f>COUNTIFS(集計用!$G185,"*, "&amp;AK$3&amp;", *")</f>
        <v>0</v>
      </c>
      <c r="AL187" s="2">
        <f>COUNTIFS(集計用!$G185,"*, "&amp;AL$3&amp;", *")</f>
        <v>0</v>
      </c>
      <c r="AM187" s="2">
        <f>COUNTIFS(集計用!$G185,"*, "&amp;AM$3&amp;", *")</f>
        <v>0</v>
      </c>
      <c r="AN187" s="2">
        <f>COUNTIFS(集計用!$G185,"*, "&amp;AN$3&amp;", *")</f>
        <v>0</v>
      </c>
      <c r="AO187" s="2">
        <f>COUNTIFS(集計用!$G185,"*, "&amp;AO$3&amp;", *")</f>
        <v>0</v>
      </c>
      <c r="AP187" s="2">
        <f>COUNTIFS(集計用!$G185,"*, "&amp;AP$3&amp;", *")</f>
        <v>0</v>
      </c>
      <c r="AQ187" s="2">
        <f>COUNTIFS(集計用!$G185,"*, "&amp;AQ$3&amp;", *")</f>
        <v>0</v>
      </c>
      <c r="AR187" s="2">
        <f>COUNTIFS(集計用!$G185,"*, "&amp;AR$3&amp;", *")</f>
        <v>0</v>
      </c>
      <c r="AS187" s="2">
        <f>COUNTIFS(集計用!$G185,"*, "&amp;AS$3&amp;", *")</f>
        <v>0</v>
      </c>
      <c r="AT187" s="2">
        <f>COUNTIFS(集計用!$G185,"*, "&amp;AT$3&amp;", *")</f>
        <v>0</v>
      </c>
      <c r="AU187" s="2">
        <f>COUNTIFS(集計用!$G185,"*, "&amp;AU$3&amp;", *")</f>
        <v>0</v>
      </c>
      <c r="AV187" s="2">
        <f>COUNTIFS(集計用!$G185,"*, "&amp;AV$3&amp;", *")</f>
        <v>0</v>
      </c>
      <c r="AW187" s="2">
        <f>COUNTIFS(集計用!$G185,"*, "&amp;AW$3&amp;", *")</f>
        <v>0</v>
      </c>
      <c r="AX187" s="2">
        <f>COUNTIFS(集計用!$G185,"*, "&amp;AX$3&amp;", *")</f>
        <v>0</v>
      </c>
      <c r="AY187" s="2">
        <f>COUNTIFS(集計用!$G185,"*, "&amp;AY$3&amp;", *")</f>
        <v>0</v>
      </c>
      <c r="AZ187" s="2">
        <f>COUNTIFS(集計用!$G185,"*, "&amp;AZ$3&amp;", *")</f>
        <v>0</v>
      </c>
      <c r="BA187" s="2">
        <f>COUNTIFS(集計用!$G185,"*, "&amp;BA$3&amp;", *")</f>
        <v>0</v>
      </c>
      <c r="BB187" s="2">
        <f>COUNTIFS(集計用!$G185,"*, "&amp;BB$3&amp;", *")</f>
        <v>0</v>
      </c>
      <c r="BC187" s="2">
        <f>COUNTIFS(集計用!$G185,"*, "&amp;BC$3&amp;", *")</f>
        <v>0</v>
      </c>
      <c r="BD187" s="2">
        <f>COUNTIFS(集計用!$G185,"*, "&amp;BD$3&amp;", *")</f>
        <v>0</v>
      </c>
      <c r="BE187" s="2">
        <f>COUNTIFS(集計用!$G185,"*, "&amp;BE$3&amp;", *")</f>
        <v>0</v>
      </c>
      <c r="BF187" s="2">
        <f>COUNTIFS(集計用!$G185,"*, "&amp;BF$3&amp;", *")</f>
        <v>0</v>
      </c>
      <c r="BG187" s="2">
        <f>COUNTIFS(集計用!$G185,"*, "&amp;BG$3&amp;", *")</f>
        <v>0</v>
      </c>
      <c r="BH187" s="2">
        <f>COUNTIFS(集計用!$G185,"*, "&amp;BH$3&amp;", *")</f>
        <v>0</v>
      </c>
      <c r="BI187" s="2">
        <f>COUNTIFS(集計用!$G185,"*, "&amp;BI$3&amp;", *")</f>
        <v>0</v>
      </c>
      <c r="BJ187" s="2">
        <f>LEN(集計用!H185)-LEN(SUBSTITUTE(集計用!H185,",",""))</f>
        <v>0</v>
      </c>
    </row>
    <row r="188" spans="1:62" ht="12.75">
      <c r="A188" s="8">
        <v>185</v>
      </c>
      <c r="C188" s="2">
        <f t="shared" si="3"/>
        <v>3</v>
      </c>
      <c r="D188" s="9"/>
      <c r="E188" s="2">
        <f>COUNTIFS(集計用!$G186,"*, "&amp;E$3&amp;", *")</f>
        <v>1</v>
      </c>
      <c r="F188" s="2">
        <f>COUNTIFS(集計用!$G186,"*, "&amp;F$3&amp;", *")</f>
        <v>1</v>
      </c>
      <c r="G188" s="2">
        <f>COUNTIFS(集計用!$G186,"*, "&amp;G$3&amp;", *")</f>
        <v>0</v>
      </c>
      <c r="H188" s="2">
        <f>COUNTIFS(集計用!$G186,"*, "&amp;H$3&amp;", *")</f>
        <v>0</v>
      </c>
      <c r="I188" s="2">
        <f>COUNTIFS(集計用!$G186,"*, "&amp;I$3&amp;", *")</f>
        <v>0</v>
      </c>
      <c r="J188" s="2">
        <f>COUNTIFS(集計用!$G186,"*, "&amp;J$3&amp;", *")</f>
        <v>1</v>
      </c>
      <c r="K188" s="2">
        <f>COUNTIFS(集計用!$G186,"*, "&amp;K$3&amp;", *")</f>
        <v>0</v>
      </c>
      <c r="L188" s="2">
        <f>COUNTIFS(集計用!$G186,"*, "&amp;L$3&amp;", *")</f>
        <v>0</v>
      </c>
      <c r="M188" s="2">
        <f>COUNTIFS(集計用!$G186,"*, "&amp;M$3&amp;", *")</f>
        <v>0</v>
      </c>
      <c r="N188" s="2">
        <f>COUNTIFS(集計用!$G186,"*, "&amp;N$3&amp;", *")</f>
        <v>0</v>
      </c>
      <c r="O188" s="2">
        <f>COUNTIFS(集計用!$G186,"*, "&amp;O$3&amp;", *")</f>
        <v>0</v>
      </c>
      <c r="P188" s="2">
        <f>COUNTIFS(集計用!$G186,"*, "&amp;P$3&amp;", *")</f>
        <v>0</v>
      </c>
      <c r="Q188" s="2">
        <f>COUNTIFS(集計用!$G186,"*, "&amp;Q$3&amp;", *")</f>
        <v>0</v>
      </c>
      <c r="R188" s="2">
        <f>COUNTIFS(集計用!$G186,"*, "&amp;R$3&amp;", *")</f>
        <v>0</v>
      </c>
      <c r="S188" s="2">
        <f>COUNTIFS(集計用!$G186,"*, "&amp;S$3&amp;", *")</f>
        <v>0</v>
      </c>
      <c r="T188" s="2">
        <f>COUNTIFS(集計用!$G186,"*, "&amp;T$3&amp;", *")</f>
        <v>0</v>
      </c>
      <c r="U188" s="2">
        <f>COUNTIFS(集計用!$G186,"*, "&amp;U$3&amp;", *")</f>
        <v>0</v>
      </c>
      <c r="V188" s="2">
        <f>COUNTIFS(集計用!$G186,"*, "&amp;V$3&amp;", *")</f>
        <v>0</v>
      </c>
      <c r="W188" s="2">
        <f>COUNTIFS(集計用!$G186,"*, "&amp;W$3&amp;", *")</f>
        <v>0</v>
      </c>
      <c r="X188" s="2">
        <f>COUNTIFS(集計用!$G186,"*, "&amp;X$3&amp;", *")</f>
        <v>0</v>
      </c>
      <c r="Y188" s="2">
        <f>COUNTIFS(集計用!$G186,"*, "&amp;Y$3&amp;", *")</f>
        <v>0</v>
      </c>
      <c r="Z188" s="2">
        <f>COUNTIFS(集計用!$G186,"*, "&amp;Z$3&amp;", *")</f>
        <v>0</v>
      </c>
      <c r="AA188" s="2">
        <f>COUNTIFS(集計用!$G186,"*, "&amp;AA$3&amp;", *")</f>
        <v>0</v>
      </c>
      <c r="AB188" s="2">
        <f>COUNTIFS(集計用!$G186,"*, "&amp;AB$3&amp;", *")</f>
        <v>0</v>
      </c>
      <c r="AC188" s="2">
        <f>COUNTIFS(集計用!$G186,"*, "&amp;AC$3&amp;", *")</f>
        <v>0</v>
      </c>
      <c r="AD188" s="2">
        <f>COUNTIFS(集計用!$G186,"*, "&amp;AD$3&amp;", *")</f>
        <v>0</v>
      </c>
      <c r="AE188" s="2">
        <f>COUNTIFS(集計用!$G186,"*, "&amp;AE$3&amp;", *")</f>
        <v>0</v>
      </c>
      <c r="AF188" s="2">
        <f>COUNTIFS(集計用!$G186,"*, "&amp;AF$3&amp;", *")</f>
        <v>0</v>
      </c>
      <c r="AG188" s="2">
        <f>COUNTIFS(集計用!$G186,"*, "&amp;AG$3&amp;", *")</f>
        <v>0</v>
      </c>
      <c r="AH188" s="2">
        <f>COUNTIFS(集計用!$G186,"*, "&amp;AH$3&amp;", *")</f>
        <v>0</v>
      </c>
      <c r="AI188" s="2">
        <f>COUNTIFS(集計用!$G186,"*, "&amp;AI$3&amp;", *")</f>
        <v>0</v>
      </c>
      <c r="AJ188" s="2">
        <f>COUNTIFS(集計用!$G186,"*, "&amp;AJ$3&amp;", *")</f>
        <v>0</v>
      </c>
      <c r="AK188" s="2">
        <f>COUNTIFS(集計用!$G186,"*, "&amp;AK$3&amp;", *")</f>
        <v>0</v>
      </c>
      <c r="AL188" s="2">
        <f>COUNTIFS(集計用!$G186,"*, "&amp;AL$3&amp;", *")</f>
        <v>0</v>
      </c>
      <c r="AM188" s="2">
        <f>COUNTIFS(集計用!$G186,"*, "&amp;AM$3&amp;", *")</f>
        <v>0</v>
      </c>
      <c r="AN188" s="2">
        <f>COUNTIFS(集計用!$G186,"*, "&amp;AN$3&amp;", *")</f>
        <v>0</v>
      </c>
      <c r="AO188" s="2">
        <f>COUNTIFS(集計用!$G186,"*, "&amp;AO$3&amp;", *")</f>
        <v>0</v>
      </c>
      <c r="AP188" s="2">
        <f>COUNTIFS(集計用!$G186,"*, "&amp;AP$3&amp;", *")</f>
        <v>0</v>
      </c>
      <c r="AQ188" s="2">
        <f>COUNTIFS(集計用!$G186,"*, "&amp;AQ$3&amp;", *")</f>
        <v>0</v>
      </c>
      <c r="AR188" s="2">
        <f>COUNTIFS(集計用!$G186,"*, "&amp;AR$3&amp;", *")</f>
        <v>0</v>
      </c>
      <c r="AS188" s="2">
        <f>COUNTIFS(集計用!$G186,"*, "&amp;AS$3&amp;", *")</f>
        <v>0</v>
      </c>
      <c r="AT188" s="2">
        <f>COUNTIFS(集計用!$G186,"*, "&amp;AT$3&amp;", *")</f>
        <v>0</v>
      </c>
      <c r="AU188" s="2">
        <f>COUNTIFS(集計用!$G186,"*, "&amp;AU$3&amp;", *")</f>
        <v>0</v>
      </c>
      <c r="AV188" s="2">
        <f>COUNTIFS(集計用!$G186,"*, "&amp;AV$3&amp;", *")</f>
        <v>0</v>
      </c>
      <c r="AW188" s="2">
        <f>COUNTIFS(集計用!$G186,"*, "&amp;AW$3&amp;", *")</f>
        <v>0</v>
      </c>
      <c r="AX188" s="2">
        <f>COUNTIFS(集計用!$G186,"*, "&amp;AX$3&amp;", *")</f>
        <v>0</v>
      </c>
      <c r="AY188" s="2">
        <f>COUNTIFS(集計用!$G186,"*, "&amp;AY$3&amp;", *")</f>
        <v>0</v>
      </c>
      <c r="AZ188" s="2">
        <f>COUNTIFS(集計用!$G186,"*, "&amp;AZ$3&amp;", *")</f>
        <v>0</v>
      </c>
      <c r="BA188" s="2">
        <f>COUNTIFS(集計用!$G186,"*, "&amp;BA$3&amp;", *")</f>
        <v>0</v>
      </c>
      <c r="BB188" s="2">
        <f>COUNTIFS(集計用!$G186,"*, "&amp;BB$3&amp;", *")</f>
        <v>0</v>
      </c>
      <c r="BC188" s="2">
        <f>COUNTIFS(集計用!$G186,"*, "&amp;BC$3&amp;", *")</f>
        <v>0</v>
      </c>
      <c r="BD188" s="2">
        <f>COUNTIFS(集計用!$G186,"*, "&amp;BD$3&amp;", *")</f>
        <v>0</v>
      </c>
      <c r="BE188" s="2">
        <f>COUNTIFS(集計用!$G186,"*, "&amp;BE$3&amp;", *")</f>
        <v>0</v>
      </c>
      <c r="BF188" s="2">
        <f>COUNTIFS(集計用!$G186,"*, "&amp;BF$3&amp;", *")</f>
        <v>0</v>
      </c>
      <c r="BG188" s="2">
        <f>COUNTIFS(集計用!$G186,"*, "&amp;BG$3&amp;", *")</f>
        <v>0</v>
      </c>
      <c r="BH188" s="2">
        <f>COUNTIFS(集計用!$G186,"*, "&amp;BH$3&amp;", *")</f>
        <v>0</v>
      </c>
      <c r="BI188" s="2">
        <f>COUNTIFS(集計用!$G186,"*, "&amp;BI$3&amp;", *")</f>
        <v>0</v>
      </c>
      <c r="BJ188" s="2">
        <f>LEN(集計用!H186)-LEN(SUBSTITUTE(集計用!H186,",",""))</f>
        <v>0</v>
      </c>
    </row>
    <row r="189" spans="1:62" ht="12.75">
      <c r="A189" s="8">
        <v>186</v>
      </c>
      <c r="C189" s="2">
        <f t="shared" si="3"/>
        <v>6</v>
      </c>
      <c r="D189" s="9"/>
      <c r="E189" s="2">
        <f>COUNTIFS(集計用!$G187,"*, "&amp;E$3&amp;", *")</f>
        <v>0</v>
      </c>
      <c r="F189" s="2">
        <f>COUNTIFS(集計用!$G187,"*, "&amp;F$3&amp;", *")</f>
        <v>0</v>
      </c>
      <c r="G189" s="2">
        <f>COUNTIFS(集計用!$G187,"*, "&amp;G$3&amp;", *")</f>
        <v>0</v>
      </c>
      <c r="H189" s="2">
        <f>COUNTIFS(集計用!$G187,"*, "&amp;H$3&amp;", *")</f>
        <v>1</v>
      </c>
      <c r="I189" s="2">
        <f>COUNTIFS(集計用!$G187,"*, "&amp;I$3&amp;", *")</f>
        <v>0</v>
      </c>
      <c r="J189" s="2">
        <f>COUNTIFS(集計用!$G187,"*, "&amp;J$3&amp;", *")</f>
        <v>0</v>
      </c>
      <c r="K189" s="2">
        <f>COUNTIFS(集計用!$G187,"*, "&amp;K$3&amp;", *")</f>
        <v>0</v>
      </c>
      <c r="L189" s="2">
        <f>COUNTIFS(集計用!$G187,"*, "&amp;L$3&amp;", *")</f>
        <v>0</v>
      </c>
      <c r="M189" s="2">
        <f>COUNTIFS(集計用!$G187,"*, "&amp;M$3&amp;", *")</f>
        <v>0</v>
      </c>
      <c r="N189" s="2">
        <f>COUNTIFS(集計用!$G187,"*, "&amp;N$3&amp;", *")</f>
        <v>0</v>
      </c>
      <c r="O189" s="2">
        <f>COUNTIFS(集計用!$G187,"*, "&amp;O$3&amp;", *")</f>
        <v>0</v>
      </c>
      <c r="P189" s="2">
        <f>COUNTIFS(集計用!$G187,"*, "&amp;P$3&amp;", *")</f>
        <v>1</v>
      </c>
      <c r="Q189" s="2">
        <f>COUNTIFS(集計用!$G187,"*, "&amp;Q$3&amp;", *")</f>
        <v>0</v>
      </c>
      <c r="R189" s="2">
        <f>COUNTIFS(集計用!$G187,"*, "&amp;R$3&amp;", *")</f>
        <v>0</v>
      </c>
      <c r="S189" s="2">
        <f>COUNTIFS(集計用!$G187,"*, "&amp;S$3&amp;", *")</f>
        <v>1</v>
      </c>
      <c r="T189" s="2">
        <f>COUNTIFS(集計用!$G187,"*, "&amp;T$3&amp;", *")</f>
        <v>1</v>
      </c>
      <c r="U189" s="2">
        <f>COUNTIFS(集計用!$G187,"*, "&amp;U$3&amp;", *")</f>
        <v>0</v>
      </c>
      <c r="V189" s="2">
        <f>COUNTIFS(集計用!$G187,"*, "&amp;V$3&amp;", *")</f>
        <v>0</v>
      </c>
      <c r="W189" s="2">
        <f>COUNTIFS(集計用!$G187,"*, "&amp;W$3&amp;", *")</f>
        <v>0</v>
      </c>
      <c r="X189" s="2">
        <f>COUNTIFS(集計用!$G187,"*, "&amp;X$3&amp;", *")</f>
        <v>0</v>
      </c>
      <c r="Y189" s="2">
        <f>COUNTIFS(集計用!$G187,"*, "&amp;Y$3&amp;", *")</f>
        <v>0</v>
      </c>
      <c r="Z189" s="2">
        <f>COUNTIFS(集計用!$G187,"*, "&amp;Z$3&amp;", *")</f>
        <v>0</v>
      </c>
      <c r="AA189" s="2">
        <f>COUNTIFS(集計用!$G187,"*, "&amp;AA$3&amp;", *")</f>
        <v>0</v>
      </c>
      <c r="AB189" s="2">
        <f>COUNTIFS(集計用!$G187,"*, "&amp;AB$3&amp;", *")</f>
        <v>0</v>
      </c>
      <c r="AC189" s="2">
        <f>COUNTIFS(集計用!$G187,"*, "&amp;AC$3&amp;", *")</f>
        <v>0</v>
      </c>
      <c r="AD189" s="2">
        <f>COUNTIFS(集計用!$G187,"*, "&amp;AD$3&amp;", *")</f>
        <v>0</v>
      </c>
      <c r="AE189" s="2">
        <f>COUNTIFS(集計用!$G187,"*, "&amp;AE$3&amp;", *")</f>
        <v>1</v>
      </c>
      <c r="AF189" s="2">
        <f>COUNTIFS(集計用!$G187,"*, "&amp;AF$3&amp;", *")</f>
        <v>0</v>
      </c>
      <c r="AG189" s="2">
        <f>COUNTIFS(集計用!$G187,"*, "&amp;AG$3&amp;", *")</f>
        <v>0</v>
      </c>
      <c r="AH189" s="2">
        <f>COUNTIFS(集計用!$G187,"*, "&amp;AH$3&amp;", *")</f>
        <v>0</v>
      </c>
      <c r="AI189" s="2">
        <f>COUNTIFS(集計用!$G187,"*, "&amp;AI$3&amp;", *")</f>
        <v>0</v>
      </c>
      <c r="AJ189" s="2">
        <f>COUNTIFS(集計用!$G187,"*, "&amp;AJ$3&amp;", *")</f>
        <v>0</v>
      </c>
      <c r="AK189" s="2">
        <f>COUNTIFS(集計用!$G187,"*, "&amp;AK$3&amp;", *")</f>
        <v>0</v>
      </c>
      <c r="AL189" s="2">
        <f>COUNTIFS(集計用!$G187,"*, "&amp;AL$3&amp;", *")</f>
        <v>0</v>
      </c>
      <c r="AM189" s="2">
        <f>COUNTIFS(集計用!$G187,"*, "&amp;AM$3&amp;", *")</f>
        <v>0</v>
      </c>
      <c r="AN189" s="2">
        <f>COUNTIFS(集計用!$G187,"*, "&amp;AN$3&amp;", *")</f>
        <v>0</v>
      </c>
      <c r="AO189" s="2">
        <f>COUNTIFS(集計用!$G187,"*, "&amp;AO$3&amp;", *")</f>
        <v>0</v>
      </c>
      <c r="AP189" s="2">
        <f>COUNTIFS(集計用!$G187,"*, "&amp;AP$3&amp;", *")</f>
        <v>0</v>
      </c>
      <c r="AQ189" s="2">
        <f>COUNTIFS(集計用!$G187,"*, "&amp;AQ$3&amp;", *")</f>
        <v>0</v>
      </c>
      <c r="AR189" s="2">
        <f>COUNTIFS(集計用!$G187,"*, "&amp;AR$3&amp;", *")</f>
        <v>0</v>
      </c>
      <c r="AS189" s="2">
        <f>COUNTIFS(集計用!$G187,"*, "&amp;AS$3&amp;", *")</f>
        <v>0</v>
      </c>
      <c r="AT189" s="2">
        <f>COUNTIFS(集計用!$G187,"*, "&amp;AT$3&amp;", *")</f>
        <v>0</v>
      </c>
      <c r="AU189" s="2">
        <f>COUNTIFS(集計用!$G187,"*, "&amp;AU$3&amp;", *")</f>
        <v>0</v>
      </c>
      <c r="AV189" s="2">
        <f>COUNTIFS(集計用!$G187,"*, "&amp;AV$3&amp;", *")</f>
        <v>0</v>
      </c>
      <c r="AW189" s="2">
        <f>COUNTIFS(集計用!$G187,"*, "&amp;AW$3&amp;", *")</f>
        <v>0</v>
      </c>
      <c r="AX189" s="2">
        <f>COUNTIFS(集計用!$G187,"*, "&amp;AX$3&amp;", *")</f>
        <v>0</v>
      </c>
      <c r="AY189" s="2">
        <f>COUNTIFS(集計用!$G187,"*, "&amp;AY$3&amp;", *")</f>
        <v>0</v>
      </c>
      <c r="AZ189" s="2">
        <f>COUNTIFS(集計用!$G187,"*, "&amp;AZ$3&amp;", *")</f>
        <v>0</v>
      </c>
      <c r="BA189" s="2">
        <f>COUNTIFS(集計用!$G187,"*, "&amp;BA$3&amp;", *")</f>
        <v>1</v>
      </c>
      <c r="BB189" s="2">
        <f>COUNTIFS(集計用!$G187,"*, "&amp;BB$3&amp;", *")</f>
        <v>0</v>
      </c>
      <c r="BC189" s="2">
        <f>COUNTIFS(集計用!$G187,"*, "&amp;BC$3&amp;", *")</f>
        <v>0</v>
      </c>
      <c r="BD189" s="2">
        <f>COUNTIFS(集計用!$G187,"*, "&amp;BD$3&amp;", *")</f>
        <v>0</v>
      </c>
      <c r="BE189" s="2">
        <f>COUNTIFS(集計用!$G187,"*, "&amp;BE$3&amp;", *")</f>
        <v>0</v>
      </c>
      <c r="BF189" s="2">
        <f>COUNTIFS(集計用!$G187,"*, "&amp;BF$3&amp;", *")</f>
        <v>0</v>
      </c>
      <c r="BG189" s="2">
        <f>COUNTIFS(集計用!$G187,"*, "&amp;BG$3&amp;", *")</f>
        <v>0</v>
      </c>
      <c r="BH189" s="2">
        <f>COUNTIFS(集計用!$G187,"*, "&amp;BH$3&amp;", *")</f>
        <v>0</v>
      </c>
      <c r="BI189" s="2">
        <f>COUNTIFS(集計用!$G187,"*, "&amp;BI$3&amp;", *")</f>
        <v>0</v>
      </c>
      <c r="BJ189" s="2">
        <f>LEN(集計用!H187)-LEN(SUBSTITUTE(集計用!H187,",",""))</f>
        <v>0</v>
      </c>
    </row>
    <row r="190" spans="1:62" ht="12.75">
      <c r="A190" s="8">
        <v>187</v>
      </c>
      <c r="C190" s="2">
        <f t="shared" si="3"/>
        <v>3</v>
      </c>
      <c r="D190" s="9"/>
      <c r="E190" s="2">
        <f>COUNTIFS(集計用!$G188,"*, "&amp;E$3&amp;", *")</f>
        <v>1</v>
      </c>
      <c r="F190" s="2">
        <f>COUNTIFS(集計用!$G188,"*, "&amp;F$3&amp;", *")</f>
        <v>1</v>
      </c>
      <c r="G190" s="2">
        <f>COUNTIFS(集計用!$G188,"*, "&amp;G$3&amp;", *")</f>
        <v>0</v>
      </c>
      <c r="H190" s="2">
        <f>COUNTIFS(集計用!$G188,"*, "&amp;H$3&amp;", *")</f>
        <v>0</v>
      </c>
      <c r="I190" s="2">
        <f>COUNTIFS(集計用!$G188,"*, "&amp;I$3&amp;", *")</f>
        <v>0</v>
      </c>
      <c r="J190" s="2">
        <f>COUNTIFS(集計用!$G188,"*, "&amp;J$3&amp;", *")</f>
        <v>0</v>
      </c>
      <c r="K190" s="2">
        <f>COUNTIFS(集計用!$G188,"*, "&amp;K$3&amp;", *")</f>
        <v>1</v>
      </c>
      <c r="L190" s="2">
        <f>COUNTIFS(集計用!$G188,"*, "&amp;L$3&amp;", *")</f>
        <v>0</v>
      </c>
      <c r="M190" s="2">
        <f>COUNTIFS(集計用!$G188,"*, "&amp;M$3&amp;", *")</f>
        <v>0</v>
      </c>
      <c r="N190" s="2">
        <f>COUNTIFS(集計用!$G188,"*, "&amp;N$3&amp;", *")</f>
        <v>0</v>
      </c>
      <c r="O190" s="2">
        <f>COUNTIFS(集計用!$G188,"*, "&amp;O$3&amp;", *")</f>
        <v>0</v>
      </c>
      <c r="P190" s="2">
        <f>COUNTIFS(集計用!$G188,"*, "&amp;P$3&amp;", *")</f>
        <v>0</v>
      </c>
      <c r="Q190" s="2">
        <f>COUNTIFS(集計用!$G188,"*, "&amp;Q$3&amp;", *")</f>
        <v>0</v>
      </c>
      <c r="R190" s="2">
        <f>COUNTIFS(集計用!$G188,"*, "&amp;R$3&amp;", *")</f>
        <v>0</v>
      </c>
      <c r="S190" s="2">
        <f>COUNTIFS(集計用!$G188,"*, "&amp;S$3&amp;", *")</f>
        <v>0</v>
      </c>
      <c r="T190" s="2">
        <f>COUNTIFS(集計用!$G188,"*, "&amp;T$3&amp;", *")</f>
        <v>0</v>
      </c>
      <c r="U190" s="2">
        <f>COUNTIFS(集計用!$G188,"*, "&amp;U$3&amp;", *")</f>
        <v>0</v>
      </c>
      <c r="V190" s="2">
        <f>COUNTIFS(集計用!$G188,"*, "&amp;V$3&amp;", *")</f>
        <v>0</v>
      </c>
      <c r="W190" s="2">
        <f>COUNTIFS(集計用!$G188,"*, "&amp;W$3&amp;", *")</f>
        <v>0</v>
      </c>
      <c r="X190" s="2">
        <f>COUNTIFS(集計用!$G188,"*, "&amp;X$3&amp;", *")</f>
        <v>0</v>
      </c>
      <c r="Y190" s="2">
        <f>COUNTIFS(集計用!$G188,"*, "&amp;Y$3&amp;", *")</f>
        <v>0</v>
      </c>
      <c r="Z190" s="2">
        <f>COUNTIFS(集計用!$G188,"*, "&amp;Z$3&amp;", *")</f>
        <v>0</v>
      </c>
      <c r="AA190" s="2">
        <f>COUNTIFS(集計用!$G188,"*, "&amp;AA$3&amp;", *")</f>
        <v>0</v>
      </c>
      <c r="AB190" s="2">
        <f>COUNTIFS(集計用!$G188,"*, "&amp;AB$3&amp;", *")</f>
        <v>0</v>
      </c>
      <c r="AC190" s="2">
        <f>COUNTIFS(集計用!$G188,"*, "&amp;AC$3&amp;", *")</f>
        <v>0</v>
      </c>
      <c r="AD190" s="2">
        <f>COUNTIFS(集計用!$G188,"*, "&amp;AD$3&amp;", *")</f>
        <v>0</v>
      </c>
      <c r="AE190" s="2">
        <f>COUNTIFS(集計用!$G188,"*, "&amp;AE$3&amp;", *")</f>
        <v>0</v>
      </c>
      <c r="AF190" s="2">
        <f>COUNTIFS(集計用!$G188,"*, "&amp;AF$3&amp;", *")</f>
        <v>0</v>
      </c>
      <c r="AG190" s="2">
        <f>COUNTIFS(集計用!$G188,"*, "&amp;AG$3&amp;", *")</f>
        <v>0</v>
      </c>
      <c r="AH190" s="2">
        <f>COUNTIFS(集計用!$G188,"*, "&amp;AH$3&amp;", *")</f>
        <v>0</v>
      </c>
      <c r="AI190" s="2">
        <f>COUNTIFS(集計用!$G188,"*, "&amp;AI$3&amp;", *")</f>
        <v>0</v>
      </c>
      <c r="AJ190" s="2">
        <f>COUNTIFS(集計用!$G188,"*, "&amp;AJ$3&amp;", *")</f>
        <v>0</v>
      </c>
      <c r="AK190" s="2">
        <f>COUNTIFS(集計用!$G188,"*, "&amp;AK$3&amp;", *")</f>
        <v>0</v>
      </c>
      <c r="AL190" s="2">
        <f>COUNTIFS(集計用!$G188,"*, "&amp;AL$3&amp;", *")</f>
        <v>0</v>
      </c>
      <c r="AM190" s="2">
        <f>COUNTIFS(集計用!$G188,"*, "&amp;AM$3&amp;", *")</f>
        <v>0</v>
      </c>
      <c r="AN190" s="2">
        <f>COUNTIFS(集計用!$G188,"*, "&amp;AN$3&amp;", *")</f>
        <v>0</v>
      </c>
      <c r="AO190" s="2">
        <f>COUNTIFS(集計用!$G188,"*, "&amp;AO$3&amp;", *")</f>
        <v>0</v>
      </c>
      <c r="AP190" s="2">
        <f>COUNTIFS(集計用!$G188,"*, "&amp;AP$3&amp;", *")</f>
        <v>0</v>
      </c>
      <c r="AQ190" s="2">
        <f>COUNTIFS(集計用!$G188,"*, "&amp;AQ$3&amp;", *")</f>
        <v>0</v>
      </c>
      <c r="AR190" s="2">
        <f>COUNTIFS(集計用!$G188,"*, "&amp;AR$3&amp;", *")</f>
        <v>0</v>
      </c>
      <c r="AS190" s="2">
        <f>COUNTIFS(集計用!$G188,"*, "&amp;AS$3&amp;", *")</f>
        <v>0</v>
      </c>
      <c r="AT190" s="2">
        <f>COUNTIFS(集計用!$G188,"*, "&amp;AT$3&amp;", *")</f>
        <v>0</v>
      </c>
      <c r="AU190" s="2">
        <f>COUNTIFS(集計用!$G188,"*, "&amp;AU$3&amp;", *")</f>
        <v>0</v>
      </c>
      <c r="AV190" s="2">
        <f>COUNTIFS(集計用!$G188,"*, "&amp;AV$3&amp;", *")</f>
        <v>0</v>
      </c>
      <c r="AW190" s="2">
        <f>COUNTIFS(集計用!$G188,"*, "&amp;AW$3&amp;", *")</f>
        <v>0</v>
      </c>
      <c r="AX190" s="2">
        <f>COUNTIFS(集計用!$G188,"*, "&amp;AX$3&amp;", *")</f>
        <v>0</v>
      </c>
      <c r="AY190" s="2">
        <f>COUNTIFS(集計用!$G188,"*, "&amp;AY$3&amp;", *")</f>
        <v>0</v>
      </c>
      <c r="AZ190" s="2">
        <f>COUNTIFS(集計用!$G188,"*, "&amp;AZ$3&amp;", *")</f>
        <v>0</v>
      </c>
      <c r="BA190" s="2">
        <f>COUNTIFS(集計用!$G188,"*, "&amp;BA$3&amp;", *")</f>
        <v>0</v>
      </c>
      <c r="BB190" s="2">
        <f>COUNTIFS(集計用!$G188,"*, "&amp;BB$3&amp;", *")</f>
        <v>0</v>
      </c>
      <c r="BC190" s="2">
        <f>COUNTIFS(集計用!$G188,"*, "&amp;BC$3&amp;", *")</f>
        <v>0</v>
      </c>
      <c r="BD190" s="2">
        <f>COUNTIFS(集計用!$G188,"*, "&amp;BD$3&amp;", *")</f>
        <v>0</v>
      </c>
      <c r="BE190" s="2">
        <f>COUNTIFS(集計用!$G188,"*, "&amp;BE$3&amp;", *")</f>
        <v>0</v>
      </c>
      <c r="BF190" s="2">
        <f>COUNTIFS(集計用!$G188,"*, "&amp;BF$3&amp;", *")</f>
        <v>0</v>
      </c>
      <c r="BG190" s="2">
        <f>COUNTIFS(集計用!$G188,"*, "&amp;BG$3&amp;", *")</f>
        <v>0</v>
      </c>
      <c r="BH190" s="2">
        <f>COUNTIFS(集計用!$G188,"*, "&amp;BH$3&amp;", *")</f>
        <v>0</v>
      </c>
      <c r="BI190" s="2">
        <f>COUNTIFS(集計用!$G188,"*, "&amp;BI$3&amp;", *")</f>
        <v>0</v>
      </c>
      <c r="BJ190" s="2">
        <f>LEN(集計用!H188)-LEN(SUBSTITUTE(集計用!H188,",",""))</f>
        <v>0</v>
      </c>
    </row>
    <row r="191" spans="1:62" ht="12.75">
      <c r="A191" s="8">
        <v>188</v>
      </c>
      <c r="C191" s="2">
        <f t="shared" si="3"/>
        <v>8</v>
      </c>
      <c r="D191" s="9"/>
      <c r="E191" s="2">
        <f>COUNTIFS(集計用!$G189,"*, "&amp;E$3&amp;", *")</f>
        <v>1</v>
      </c>
      <c r="F191" s="2">
        <f>COUNTIFS(集計用!$G189,"*, "&amp;F$3&amp;", *")</f>
        <v>1</v>
      </c>
      <c r="G191" s="2">
        <f>COUNTIFS(集計用!$G189,"*, "&amp;G$3&amp;", *")</f>
        <v>0</v>
      </c>
      <c r="H191" s="2">
        <f>COUNTIFS(集計用!$G189,"*, "&amp;H$3&amp;", *")</f>
        <v>1</v>
      </c>
      <c r="I191" s="2">
        <f>COUNTIFS(集計用!$G189,"*, "&amp;I$3&amp;", *")</f>
        <v>0</v>
      </c>
      <c r="J191" s="2">
        <f>COUNTIFS(集計用!$G189,"*, "&amp;J$3&amp;", *")</f>
        <v>1</v>
      </c>
      <c r="K191" s="2">
        <f>COUNTIFS(集計用!$G189,"*, "&amp;K$3&amp;", *")</f>
        <v>1</v>
      </c>
      <c r="L191" s="2">
        <f>COUNTIFS(集計用!$G189,"*, "&amp;L$3&amp;", *")</f>
        <v>0</v>
      </c>
      <c r="M191" s="2">
        <f>COUNTIFS(集計用!$G189,"*, "&amp;M$3&amp;", *")</f>
        <v>1</v>
      </c>
      <c r="N191" s="2">
        <f>COUNTIFS(集計用!$G189,"*, "&amp;N$3&amp;", *")</f>
        <v>0</v>
      </c>
      <c r="O191" s="2">
        <f>COUNTIFS(集計用!$G189,"*, "&amp;O$3&amp;", *")</f>
        <v>0</v>
      </c>
      <c r="P191" s="2">
        <f>COUNTIFS(集計用!$G189,"*, "&amp;P$3&amp;", *")</f>
        <v>0</v>
      </c>
      <c r="Q191" s="2">
        <f>COUNTIFS(集計用!$G189,"*, "&amp;Q$3&amp;", *")</f>
        <v>0</v>
      </c>
      <c r="R191" s="2">
        <f>COUNTIFS(集計用!$G189,"*, "&amp;R$3&amp;", *")</f>
        <v>1</v>
      </c>
      <c r="S191" s="2">
        <f>COUNTIFS(集計用!$G189,"*, "&amp;S$3&amp;", *")</f>
        <v>0</v>
      </c>
      <c r="T191" s="2">
        <f>COUNTIFS(集計用!$G189,"*, "&amp;T$3&amp;", *")</f>
        <v>0</v>
      </c>
      <c r="U191" s="2">
        <f>COUNTIFS(集計用!$G189,"*, "&amp;U$3&amp;", *")</f>
        <v>0</v>
      </c>
      <c r="V191" s="2">
        <f>COUNTIFS(集計用!$G189,"*, "&amp;V$3&amp;", *")</f>
        <v>0</v>
      </c>
      <c r="W191" s="2">
        <f>COUNTIFS(集計用!$G189,"*, "&amp;W$3&amp;", *")</f>
        <v>0</v>
      </c>
      <c r="X191" s="2">
        <f>COUNTIFS(集計用!$G189,"*, "&amp;X$3&amp;", *")</f>
        <v>0</v>
      </c>
      <c r="Y191" s="2">
        <f>COUNTIFS(集計用!$G189,"*, "&amp;Y$3&amp;", *")</f>
        <v>0</v>
      </c>
      <c r="Z191" s="2">
        <f>COUNTIFS(集計用!$G189,"*, "&amp;Z$3&amp;", *")</f>
        <v>0</v>
      </c>
      <c r="AA191" s="2">
        <f>COUNTIFS(集計用!$G189,"*, "&amp;AA$3&amp;", *")</f>
        <v>0</v>
      </c>
      <c r="AB191" s="2">
        <f>COUNTIFS(集計用!$G189,"*, "&amp;AB$3&amp;", *")</f>
        <v>0</v>
      </c>
      <c r="AC191" s="2">
        <f>COUNTIFS(集計用!$G189,"*, "&amp;AC$3&amp;", *")</f>
        <v>0</v>
      </c>
      <c r="AD191" s="2">
        <f>COUNTIFS(集計用!$G189,"*, "&amp;AD$3&amp;", *")</f>
        <v>0</v>
      </c>
      <c r="AE191" s="2">
        <f>COUNTIFS(集計用!$G189,"*, "&amp;AE$3&amp;", *")</f>
        <v>0</v>
      </c>
      <c r="AF191" s="2">
        <f>COUNTIFS(集計用!$G189,"*, "&amp;AF$3&amp;", *")</f>
        <v>0</v>
      </c>
      <c r="AG191" s="2">
        <f>COUNTIFS(集計用!$G189,"*, "&amp;AG$3&amp;", *")</f>
        <v>0</v>
      </c>
      <c r="AH191" s="2">
        <f>COUNTIFS(集計用!$G189,"*, "&amp;AH$3&amp;", *")</f>
        <v>0</v>
      </c>
      <c r="AI191" s="2">
        <f>COUNTIFS(集計用!$G189,"*, "&amp;AI$3&amp;", *")</f>
        <v>0</v>
      </c>
      <c r="AJ191" s="2">
        <f>COUNTIFS(集計用!$G189,"*, "&amp;AJ$3&amp;", *")</f>
        <v>0</v>
      </c>
      <c r="AK191" s="2">
        <f>COUNTIFS(集計用!$G189,"*, "&amp;AK$3&amp;", *")</f>
        <v>0</v>
      </c>
      <c r="AL191" s="2">
        <f>COUNTIFS(集計用!$G189,"*, "&amp;AL$3&amp;", *")</f>
        <v>0</v>
      </c>
      <c r="AM191" s="2">
        <f>COUNTIFS(集計用!$G189,"*, "&amp;AM$3&amp;", *")</f>
        <v>0</v>
      </c>
      <c r="AN191" s="2">
        <f>COUNTIFS(集計用!$G189,"*, "&amp;AN$3&amp;", *")</f>
        <v>0</v>
      </c>
      <c r="AO191" s="2">
        <f>COUNTIFS(集計用!$G189,"*, "&amp;AO$3&amp;", *")</f>
        <v>0</v>
      </c>
      <c r="AP191" s="2">
        <f>COUNTIFS(集計用!$G189,"*, "&amp;AP$3&amp;", *")</f>
        <v>1</v>
      </c>
      <c r="AQ191" s="2">
        <f>COUNTIFS(集計用!$G189,"*, "&amp;AQ$3&amp;", *")</f>
        <v>0</v>
      </c>
      <c r="AR191" s="2">
        <f>COUNTIFS(集計用!$G189,"*, "&amp;AR$3&amp;", *")</f>
        <v>0</v>
      </c>
      <c r="AS191" s="2">
        <f>COUNTIFS(集計用!$G189,"*, "&amp;AS$3&amp;", *")</f>
        <v>0</v>
      </c>
      <c r="AT191" s="2">
        <f>COUNTIFS(集計用!$G189,"*, "&amp;AT$3&amp;", *")</f>
        <v>0</v>
      </c>
      <c r="AU191" s="2">
        <f>COUNTIFS(集計用!$G189,"*, "&amp;AU$3&amp;", *")</f>
        <v>0</v>
      </c>
      <c r="AV191" s="2">
        <f>COUNTIFS(集計用!$G189,"*, "&amp;AV$3&amp;", *")</f>
        <v>0</v>
      </c>
      <c r="AW191" s="2">
        <f>COUNTIFS(集計用!$G189,"*, "&amp;AW$3&amp;", *")</f>
        <v>0</v>
      </c>
      <c r="AX191" s="2">
        <f>COUNTIFS(集計用!$G189,"*, "&amp;AX$3&amp;", *")</f>
        <v>0</v>
      </c>
      <c r="AY191" s="2">
        <f>COUNTIFS(集計用!$G189,"*, "&amp;AY$3&amp;", *")</f>
        <v>0</v>
      </c>
      <c r="AZ191" s="2">
        <f>COUNTIFS(集計用!$G189,"*, "&amp;AZ$3&amp;", *")</f>
        <v>0</v>
      </c>
      <c r="BA191" s="2">
        <f>COUNTIFS(集計用!$G189,"*, "&amp;BA$3&amp;", *")</f>
        <v>0</v>
      </c>
      <c r="BB191" s="2">
        <f>COUNTIFS(集計用!$G189,"*, "&amp;BB$3&amp;", *")</f>
        <v>0</v>
      </c>
      <c r="BC191" s="2">
        <f>COUNTIFS(集計用!$G189,"*, "&amp;BC$3&amp;", *")</f>
        <v>0</v>
      </c>
      <c r="BD191" s="2">
        <f>COUNTIFS(集計用!$G189,"*, "&amp;BD$3&amp;", *")</f>
        <v>0</v>
      </c>
      <c r="BE191" s="2">
        <f>COUNTIFS(集計用!$G189,"*, "&amp;BE$3&amp;", *")</f>
        <v>0</v>
      </c>
      <c r="BF191" s="2">
        <f>COUNTIFS(集計用!$G189,"*, "&amp;BF$3&amp;", *")</f>
        <v>0</v>
      </c>
      <c r="BG191" s="2">
        <f>COUNTIFS(集計用!$G189,"*, "&amp;BG$3&amp;", *")</f>
        <v>0</v>
      </c>
      <c r="BH191" s="2">
        <f>COUNTIFS(集計用!$G189,"*, "&amp;BH$3&amp;", *")</f>
        <v>0</v>
      </c>
      <c r="BI191" s="2">
        <f>COUNTIFS(集計用!$G189,"*, "&amp;BI$3&amp;", *")</f>
        <v>0</v>
      </c>
      <c r="BJ191" s="2">
        <f>LEN(集計用!H189)-LEN(SUBSTITUTE(集計用!H189,",",""))</f>
        <v>0</v>
      </c>
    </row>
    <row r="192" spans="1:62" ht="12.75">
      <c r="A192" s="8">
        <v>189</v>
      </c>
      <c r="C192" s="2">
        <f t="shared" si="3"/>
        <v>3</v>
      </c>
      <c r="D192" s="9"/>
      <c r="E192" s="2">
        <f>COUNTIFS(集計用!$G190,"*, "&amp;E$3&amp;", *")</f>
        <v>0</v>
      </c>
      <c r="F192" s="2">
        <f>COUNTIFS(集計用!$G190,"*, "&amp;F$3&amp;", *")</f>
        <v>0</v>
      </c>
      <c r="G192" s="2">
        <f>COUNTIFS(集計用!$G190,"*, "&amp;G$3&amp;", *")</f>
        <v>0</v>
      </c>
      <c r="H192" s="2">
        <f>COUNTIFS(集計用!$G190,"*, "&amp;H$3&amp;", *")</f>
        <v>0</v>
      </c>
      <c r="I192" s="2">
        <f>COUNTIFS(集計用!$G190,"*, "&amp;I$3&amp;", *")</f>
        <v>0</v>
      </c>
      <c r="J192" s="2">
        <f>COUNTIFS(集計用!$G190,"*, "&amp;J$3&amp;", *")</f>
        <v>0</v>
      </c>
      <c r="K192" s="2">
        <f>COUNTIFS(集計用!$G190,"*, "&amp;K$3&amp;", *")</f>
        <v>0</v>
      </c>
      <c r="L192" s="2">
        <f>COUNTIFS(集計用!$G190,"*, "&amp;L$3&amp;", *")</f>
        <v>1</v>
      </c>
      <c r="M192" s="2">
        <f>COUNTIFS(集計用!$G190,"*, "&amp;M$3&amp;", *")</f>
        <v>0</v>
      </c>
      <c r="N192" s="2">
        <f>COUNTIFS(集計用!$G190,"*, "&amp;N$3&amp;", *")</f>
        <v>0</v>
      </c>
      <c r="O192" s="2">
        <f>COUNTIFS(集計用!$G190,"*, "&amp;O$3&amp;", *")</f>
        <v>0</v>
      </c>
      <c r="P192" s="2">
        <f>COUNTIFS(集計用!$G190,"*, "&amp;P$3&amp;", *")</f>
        <v>0</v>
      </c>
      <c r="Q192" s="2">
        <f>COUNTIFS(集計用!$G190,"*, "&amp;Q$3&amp;", *")</f>
        <v>0</v>
      </c>
      <c r="R192" s="2">
        <f>COUNTIFS(集計用!$G190,"*, "&amp;R$3&amp;", *")</f>
        <v>0</v>
      </c>
      <c r="S192" s="2">
        <f>COUNTIFS(集計用!$G190,"*, "&amp;S$3&amp;", *")</f>
        <v>0</v>
      </c>
      <c r="T192" s="2">
        <f>COUNTIFS(集計用!$G190,"*, "&amp;T$3&amp;", *")</f>
        <v>0</v>
      </c>
      <c r="U192" s="2">
        <f>COUNTIFS(集計用!$G190,"*, "&amp;U$3&amp;", *")</f>
        <v>0</v>
      </c>
      <c r="V192" s="2">
        <f>COUNTIFS(集計用!$G190,"*, "&amp;V$3&amp;", *")</f>
        <v>0</v>
      </c>
      <c r="W192" s="2">
        <f>COUNTIFS(集計用!$G190,"*, "&amp;W$3&amp;", *")</f>
        <v>0</v>
      </c>
      <c r="X192" s="2">
        <f>COUNTIFS(集計用!$G190,"*, "&amp;X$3&amp;", *")</f>
        <v>0</v>
      </c>
      <c r="Y192" s="2">
        <f>COUNTIFS(集計用!$G190,"*, "&amp;Y$3&amp;", *")</f>
        <v>0</v>
      </c>
      <c r="Z192" s="2">
        <f>COUNTIFS(集計用!$G190,"*, "&amp;Z$3&amp;", *")</f>
        <v>0</v>
      </c>
      <c r="AA192" s="2">
        <f>COUNTIFS(集計用!$G190,"*, "&amp;AA$3&amp;", *")</f>
        <v>0</v>
      </c>
      <c r="AB192" s="2">
        <f>COUNTIFS(集計用!$G190,"*, "&amp;AB$3&amp;", *")</f>
        <v>0</v>
      </c>
      <c r="AC192" s="2">
        <f>COUNTIFS(集計用!$G190,"*, "&amp;AC$3&amp;", *")</f>
        <v>0</v>
      </c>
      <c r="AD192" s="2">
        <f>COUNTIFS(集計用!$G190,"*, "&amp;AD$3&amp;", *")</f>
        <v>0</v>
      </c>
      <c r="AE192" s="2">
        <f>COUNTIFS(集計用!$G190,"*, "&amp;AE$3&amp;", *")</f>
        <v>0</v>
      </c>
      <c r="AF192" s="2">
        <f>COUNTIFS(集計用!$G190,"*, "&amp;AF$3&amp;", *")</f>
        <v>0</v>
      </c>
      <c r="AG192" s="2">
        <f>COUNTIFS(集計用!$G190,"*, "&amp;AG$3&amp;", *")</f>
        <v>0</v>
      </c>
      <c r="AH192" s="2">
        <f>COUNTIFS(集計用!$G190,"*, "&amp;AH$3&amp;", *")</f>
        <v>0</v>
      </c>
      <c r="AI192" s="2">
        <f>COUNTIFS(集計用!$G190,"*, "&amp;AI$3&amp;", *")</f>
        <v>0</v>
      </c>
      <c r="AJ192" s="2">
        <f>COUNTIFS(集計用!$G190,"*, "&amp;AJ$3&amp;", *")</f>
        <v>0</v>
      </c>
      <c r="AK192" s="2">
        <f>COUNTIFS(集計用!$G190,"*, "&amp;AK$3&amp;", *")</f>
        <v>0</v>
      </c>
      <c r="AL192" s="2">
        <f>COUNTIFS(集計用!$G190,"*, "&amp;AL$3&amp;", *")</f>
        <v>0</v>
      </c>
      <c r="AM192" s="2">
        <f>COUNTIFS(集計用!$G190,"*, "&amp;AM$3&amp;", *")</f>
        <v>0</v>
      </c>
      <c r="AN192" s="2">
        <f>COUNTIFS(集計用!$G190,"*, "&amp;AN$3&amp;", *")</f>
        <v>0</v>
      </c>
      <c r="AO192" s="2">
        <f>COUNTIFS(集計用!$G190,"*, "&amp;AO$3&amp;", *")</f>
        <v>0</v>
      </c>
      <c r="AP192" s="2">
        <f>COUNTIFS(集計用!$G190,"*, "&amp;AP$3&amp;", *")</f>
        <v>0</v>
      </c>
      <c r="AQ192" s="2">
        <f>COUNTIFS(集計用!$G190,"*, "&amp;AQ$3&amp;", *")</f>
        <v>0</v>
      </c>
      <c r="AR192" s="2">
        <f>COUNTIFS(集計用!$G190,"*, "&amp;AR$3&amp;", *")</f>
        <v>0</v>
      </c>
      <c r="AS192" s="2">
        <f>COUNTIFS(集計用!$G190,"*, "&amp;AS$3&amp;", *")</f>
        <v>0</v>
      </c>
      <c r="AT192" s="2">
        <f>COUNTIFS(集計用!$G190,"*, "&amp;AT$3&amp;", *")</f>
        <v>0</v>
      </c>
      <c r="AU192" s="2">
        <f>COUNTIFS(集計用!$G190,"*, "&amp;AU$3&amp;", *")</f>
        <v>0</v>
      </c>
      <c r="AV192" s="2">
        <f>COUNTIFS(集計用!$G190,"*, "&amp;AV$3&amp;", *")</f>
        <v>0</v>
      </c>
      <c r="AW192" s="2">
        <f>COUNTIFS(集計用!$G190,"*, "&amp;AW$3&amp;", *")</f>
        <v>0</v>
      </c>
      <c r="AX192" s="2">
        <f>COUNTIFS(集計用!$G190,"*, "&amp;AX$3&amp;", *")</f>
        <v>0</v>
      </c>
      <c r="AY192" s="2">
        <f>COUNTIFS(集計用!$G190,"*, "&amp;AY$3&amp;", *")</f>
        <v>0</v>
      </c>
      <c r="AZ192" s="2">
        <f>COUNTIFS(集計用!$G190,"*, "&amp;AZ$3&amp;", *")</f>
        <v>0</v>
      </c>
      <c r="BA192" s="2">
        <f>COUNTIFS(集計用!$G190,"*, "&amp;BA$3&amp;", *")</f>
        <v>0</v>
      </c>
      <c r="BB192" s="2">
        <f>COUNTIFS(集計用!$G190,"*, "&amp;BB$3&amp;", *")</f>
        <v>0</v>
      </c>
      <c r="BC192" s="2">
        <f>COUNTIFS(集計用!$G190,"*, "&amp;BC$3&amp;", *")</f>
        <v>0</v>
      </c>
      <c r="BD192" s="2">
        <f>COUNTIFS(集計用!$G190,"*, "&amp;BD$3&amp;", *")</f>
        <v>0</v>
      </c>
      <c r="BE192" s="2">
        <f>COUNTIFS(集計用!$G190,"*, "&amp;BE$3&amp;", *")</f>
        <v>0</v>
      </c>
      <c r="BF192" s="2">
        <f>COUNTIFS(集計用!$G190,"*, "&amp;BF$3&amp;", *")</f>
        <v>0</v>
      </c>
      <c r="BG192" s="2">
        <f>COUNTIFS(集計用!$G190,"*, "&amp;BG$3&amp;", *")</f>
        <v>0</v>
      </c>
      <c r="BH192" s="2">
        <f>COUNTIFS(集計用!$G190,"*, "&amp;BH$3&amp;", *")</f>
        <v>0</v>
      </c>
      <c r="BI192" s="2">
        <f>COUNTIFS(集計用!$G190,"*, "&amp;BI$3&amp;", *")</f>
        <v>0</v>
      </c>
      <c r="BJ192" s="2">
        <f>LEN(集計用!H190)-LEN(SUBSTITUTE(集計用!H190,",",""))</f>
        <v>2</v>
      </c>
    </row>
    <row r="193" spans="1:62" ht="12.75">
      <c r="A193" s="8">
        <v>190</v>
      </c>
      <c r="C193" s="2">
        <f t="shared" si="3"/>
        <v>13</v>
      </c>
      <c r="D193" s="9"/>
      <c r="E193" s="2">
        <f>COUNTIFS(集計用!$G191,"*, "&amp;E$3&amp;", *")</f>
        <v>1</v>
      </c>
      <c r="F193" s="2">
        <f>COUNTIFS(集計用!$G191,"*, "&amp;F$3&amp;", *")</f>
        <v>1</v>
      </c>
      <c r="G193" s="2">
        <f>COUNTIFS(集計用!$G191,"*, "&amp;G$3&amp;", *")</f>
        <v>1</v>
      </c>
      <c r="H193" s="2">
        <f>COUNTIFS(集計用!$G191,"*, "&amp;H$3&amp;", *")</f>
        <v>1</v>
      </c>
      <c r="I193" s="2">
        <f>COUNTIFS(集計用!$G191,"*, "&amp;I$3&amp;", *")</f>
        <v>0</v>
      </c>
      <c r="J193" s="2">
        <f>COUNTIFS(集計用!$G191,"*, "&amp;J$3&amp;", *")</f>
        <v>1</v>
      </c>
      <c r="K193" s="2">
        <f>COUNTIFS(集計用!$G191,"*, "&amp;K$3&amp;", *")</f>
        <v>1</v>
      </c>
      <c r="L193" s="2">
        <f>COUNTIFS(集計用!$G191,"*, "&amp;L$3&amp;", *")</f>
        <v>1</v>
      </c>
      <c r="M193" s="2">
        <f>COUNTIFS(集計用!$G191,"*, "&amp;M$3&amp;", *")</f>
        <v>0</v>
      </c>
      <c r="N193" s="2">
        <f>COUNTIFS(集計用!$G191,"*, "&amp;N$3&amp;", *")</f>
        <v>0</v>
      </c>
      <c r="O193" s="2">
        <f>COUNTIFS(集計用!$G191,"*, "&amp;O$3&amp;", *")</f>
        <v>0</v>
      </c>
      <c r="P193" s="2">
        <f>COUNTIFS(集計用!$G191,"*, "&amp;P$3&amp;", *")</f>
        <v>0</v>
      </c>
      <c r="Q193" s="2">
        <f>COUNTIFS(集計用!$G191,"*, "&amp;Q$3&amp;", *")</f>
        <v>0</v>
      </c>
      <c r="R193" s="2">
        <f>COUNTIFS(集計用!$G191,"*, "&amp;R$3&amp;", *")</f>
        <v>0</v>
      </c>
      <c r="S193" s="2">
        <f>COUNTIFS(集計用!$G191,"*, "&amp;S$3&amp;", *")</f>
        <v>1</v>
      </c>
      <c r="T193" s="2">
        <f>COUNTIFS(集計用!$G191,"*, "&amp;T$3&amp;", *")</f>
        <v>0</v>
      </c>
      <c r="U193" s="2">
        <f>COUNTIFS(集計用!$G191,"*, "&amp;U$3&amp;", *")</f>
        <v>0</v>
      </c>
      <c r="V193" s="2">
        <f>COUNTIFS(集計用!$G191,"*, "&amp;V$3&amp;", *")</f>
        <v>0</v>
      </c>
      <c r="W193" s="2">
        <f>COUNTIFS(集計用!$G191,"*, "&amp;W$3&amp;", *")</f>
        <v>1</v>
      </c>
      <c r="X193" s="2">
        <f>COUNTIFS(集計用!$G191,"*, "&amp;X$3&amp;", *")</f>
        <v>0</v>
      </c>
      <c r="Y193" s="2">
        <f>COUNTIFS(集計用!$G191,"*, "&amp;Y$3&amp;", *")</f>
        <v>0</v>
      </c>
      <c r="Z193" s="2">
        <f>COUNTIFS(集計用!$G191,"*, "&amp;Z$3&amp;", *")</f>
        <v>0</v>
      </c>
      <c r="AA193" s="2">
        <f>COUNTIFS(集計用!$G191,"*, "&amp;AA$3&amp;", *")</f>
        <v>1</v>
      </c>
      <c r="AB193" s="2">
        <f>COUNTIFS(集計用!$G191,"*, "&amp;AB$3&amp;", *")</f>
        <v>0</v>
      </c>
      <c r="AC193" s="2">
        <f>COUNTIFS(集計用!$G191,"*, "&amp;AC$3&amp;", *")</f>
        <v>0</v>
      </c>
      <c r="AD193" s="2">
        <f>COUNTIFS(集計用!$G191,"*, "&amp;AD$3&amp;", *")</f>
        <v>0</v>
      </c>
      <c r="AE193" s="2">
        <f>COUNTIFS(集計用!$G191,"*, "&amp;AE$3&amp;", *")</f>
        <v>0</v>
      </c>
      <c r="AF193" s="2">
        <f>COUNTIFS(集計用!$G191,"*, "&amp;AF$3&amp;", *")</f>
        <v>0</v>
      </c>
      <c r="AG193" s="2">
        <f>COUNTIFS(集計用!$G191,"*, "&amp;AG$3&amp;", *")</f>
        <v>0</v>
      </c>
      <c r="AH193" s="2">
        <f>COUNTIFS(集計用!$G191,"*, "&amp;AH$3&amp;", *")</f>
        <v>0</v>
      </c>
      <c r="AI193" s="2">
        <f>COUNTIFS(集計用!$G191,"*, "&amp;AI$3&amp;", *")</f>
        <v>0</v>
      </c>
      <c r="AJ193" s="2">
        <f>COUNTIFS(集計用!$G191,"*, "&amp;AJ$3&amp;", *")</f>
        <v>1</v>
      </c>
      <c r="AK193" s="2">
        <f>COUNTIFS(集計用!$G191,"*, "&amp;AK$3&amp;", *")</f>
        <v>0</v>
      </c>
      <c r="AL193" s="2">
        <f>COUNTIFS(集計用!$G191,"*, "&amp;AL$3&amp;", *")</f>
        <v>0</v>
      </c>
      <c r="AM193" s="2">
        <f>COUNTIFS(集計用!$G191,"*, "&amp;AM$3&amp;", *")</f>
        <v>0</v>
      </c>
      <c r="AN193" s="2">
        <f>COUNTIFS(集計用!$G191,"*, "&amp;AN$3&amp;", *")</f>
        <v>0</v>
      </c>
      <c r="AO193" s="2">
        <f>COUNTIFS(集計用!$G191,"*, "&amp;AO$3&amp;", *")</f>
        <v>1</v>
      </c>
      <c r="AP193" s="2">
        <f>COUNTIFS(集計用!$G191,"*, "&amp;AP$3&amp;", *")</f>
        <v>0</v>
      </c>
      <c r="AQ193" s="2">
        <f>COUNTIFS(集計用!$G191,"*, "&amp;AQ$3&amp;", *")</f>
        <v>0</v>
      </c>
      <c r="AR193" s="2">
        <f>COUNTIFS(集計用!$G191,"*, "&amp;AR$3&amp;", *")</f>
        <v>0</v>
      </c>
      <c r="AS193" s="2">
        <f>COUNTIFS(集計用!$G191,"*, "&amp;AS$3&amp;", *")</f>
        <v>1</v>
      </c>
      <c r="AT193" s="2">
        <f>COUNTIFS(集計用!$G191,"*, "&amp;AT$3&amp;", *")</f>
        <v>0</v>
      </c>
      <c r="AU193" s="2">
        <f>COUNTIFS(集計用!$G191,"*, "&amp;AU$3&amp;", *")</f>
        <v>0</v>
      </c>
      <c r="AV193" s="2">
        <f>COUNTIFS(集計用!$G191,"*, "&amp;AV$3&amp;", *")</f>
        <v>0</v>
      </c>
      <c r="AW193" s="2">
        <f>COUNTIFS(集計用!$G191,"*, "&amp;AW$3&amp;", *")</f>
        <v>0</v>
      </c>
      <c r="AX193" s="2">
        <f>COUNTIFS(集計用!$G191,"*, "&amp;AX$3&amp;", *")</f>
        <v>0</v>
      </c>
      <c r="AY193" s="2">
        <f>COUNTIFS(集計用!$G191,"*, "&amp;AY$3&amp;", *")</f>
        <v>0</v>
      </c>
      <c r="AZ193" s="2">
        <f>COUNTIFS(集計用!$G191,"*, "&amp;AZ$3&amp;", *")</f>
        <v>0</v>
      </c>
      <c r="BA193" s="2">
        <f>COUNTIFS(集計用!$G191,"*, "&amp;BA$3&amp;", *")</f>
        <v>0</v>
      </c>
      <c r="BB193" s="2">
        <f>COUNTIFS(集計用!$G191,"*, "&amp;BB$3&amp;", *")</f>
        <v>0</v>
      </c>
      <c r="BC193" s="2">
        <f>COUNTIFS(集計用!$G191,"*, "&amp;BC$3&amp;", *")</f>
        <v>0</v>
      </c>
      <c r="BD193" s="2">
        <f>COUNTIFS(集計用!$G191,"*, "&amp;BD$3&amp;", *")</f>
        <v>0</v>
      </c>
      <c r="BE193" s="2">
        <f>COUNTIFS(集計用!$G191,"*, "&amp;BE$3&amp;", *")</f>
        <v>0</v>
      </c>
      <c r="BF193" s="2">
        <f>COUNTIFS(集計用!$G191,"*, "&amp;BF$3&amp;", *")</f>
        <v>0</v>
      </c>
      <c r="BG193" s="2">
        <f>COUNTIFS(集計用!$G191,"*, "&amp;BG$3&amp;", *")</f>
        <v>0</v>
      </c>
      <c r="BH193" s="2">
        <f>COUNTIFS(集計用!$G191,"*, "&amp;BH$3&amp;", *")</f>
        <v>0</v>
      </c>
      <c r="BI193" s="2">
        <f>COUNTIFS(集計用!$G191,"*, "&amp;BI$3&amp;", *")</f>
        <v>0</v>
      </c>
      <c r="BJ193" s="2">
        <f>LEN(集計用!H191)-LEN(SUBSTITUTE(集計用!H191,",",""))</f>
        <v>0</v>
      </c>
    </row>
    <row r="194" spans="1:62" ht="12.75">
      <c r="A194" s="8">
        <v>191</v>
      </c>
      <c r="C194" s="2">
        <f t="shared" si="3"/>
        <v>1</v>
      </c>
      <c r="D194" s="9"/>
      <c r="E194" s="2">
        <f>COUNTIFS(集計用!$G192,"*, "&amp;E$3&amp;", *")</f>
        <v>0</v>
      </c>
      <c r="F194" s="2">
        <f>COUNTIFS(集計用!$G192,"*, "&amp;F$3&amp;", *")</f>
        <v>0</v>
      </c>
      <c r="G194" s="2">
        <f>COUNTIFS(集計用!$G192,"*, "&amp;G$3&amp;", *")</f>
        <v>0</v>
      </c>
      <c r="H194" s="2">
        <f>COUNTIFS(集計用!$G192,"*, "&amp;H$3&amp;", *")</f>
        <v>0</v>
      </c>
      <c r="I194" s="2">
        <f>COUNTIFS(集計用!$G192,"*, "&amp;I$3&amp;", *")</f>
        <v>0</v>
      </c>
      <c r="J194" s="2">
        <f>COUNTIFS(集計用!$G192,"*, "&amp;J$3&amp;", *")</f>
        <v>0</v>
      </c>
      <c r="K194" s="2">
        <f>COUNTIFS(集計用!$G192,"*, "&amp;K$3&amp;", *")</f>
        <v>0</v>
      </c>
      <c r="L194" s="2">
        <f>COUNTIFS(集計用!$G192,"*, "&amp;L$3&amp;", *")</f>
        <v>0</v>
      </c>
      <c r="M194" s="2">
        <f>COUNTIFS(集計用!$G192,"*, "&amp;M$3&amp;", *")</f>
        <v>0</v>
      </c>
      <c r="N194" s="2">
        <f>COUNTIFS(集計用!$G192,"*, "&amp;N$3&amp;", *")</f>
        <v>0</v>
      </c>
      <c r="O194" s="2">
        <f>COUNTIFS(集計用!$G192,"*, "&amp;O$3&amp;", *")</f>
        <v>0</v>
      </c>
      <c r="P194" s="2">
        <f>COUNTIFS(集計用!$G192,"*, "&amp;P$3&amp;", *")</f>
        <v>0</v>
      </c>
      <c r="Q194" s="2">
        <f>COUNTIFS(集計用!$G192,"*, "&amp;Q$3&amp;", *")</f>
        <v>1</v>
      </c>
      <c r="R194" s="2">
        <f>COUNTIFS(集計用!$G192,"*, "&amp;R$3&amp;", *")</f>
        <v>0</v>
      </c>
      <c r="S194" s="2">
        <f>COUNTIFS(集計用!$G192,"*, "&amp;S$3&amp;", *")</f>
        <v>0</v>
      </c>
      <c r="T194" s="2">
        <f>COUNTIFS(集計用!$G192,"*, "&amp;T$3&amp;", *")</f>
        <v>0</v>
      </c>
      <c r="U194" s="2">
        <f>COUNTIFS(集計用!$G192,"*, "&amp;U$3&amp;", *")</f>
        <v>0</v>
      </c>
      <c r="V194" s="2">
        <f>COUNTIFS(集計用!$G192,"*, "&amp;V$3&amp;", *")</f>
        <v>0</v>
      </c>
      <c r="W194" s="2">
        <f>COUNTIFS(集計用!$G192,"*, "&amp;W$3&amp;", *")</f>
        <v>0</v>
      </c>
      <c r="X194" s="2">
        <f>COUNTIFS(集計用!$G192,"*, "&amp;X$3&amp;", *")</f>
        <v>0</v>
      </c>
      <c r="Y194" s="2">
        <f>COUNTIFS(集計用!$G192,"*, "&amp;Y$3&amp;", *")</f>
        <v>0</v>
      </c>
      <c r="Z194" s="2">
        <f>COUNTIFS(集計用!$G192,"*, "&amp;Z$3&amp;", *")</f>
        <v>0</v>
      </c>
      <c r="AA194" s="2">
        <f>COUNTIFS(集計用!$G192,"*, "&amp;AA$3&amp;", *")</f>
        <v>0</v>
      </c>
      <c r="AB194" s="2">
        <f>COUNTIFS(集計用!$G192,"*, "&amp;AB$3&amp;", *")</f>
        <v>0</v>
      </c>
      <c r="AC194" s="2">
        <f>COUNTIFS(集計用!$G192,"*, "&amp;AC$3&amp;", *")</f>
        <v>0</v>
      </c>
      <c r="AD194" s="2">
        <f>COUNTIFS(集計用!$G192,"*, "&amp;AD$3&amp;", *")</f>
        <v>0</v>
      </c>
      <c r="AE194" s="2">
        <f>COUNTIFS(集計用!$G192,"*, "&amp;AE$3&amp;", *")</f>
        <v>0</v>
      </c>
      <c r="AF194" s="2">
        <f>COUNTIFS(集計用!$G192,"*, "&amp;AF$3&amp;", *")</f>
        <v>0</v>
      </c>
      <c r="AG194" s="2">
        <f>COUNTIFS(集計用!$G192,"*, "&amp;AG$3&amp;", *")</f>
        <v>0</v>
      </c>
      <c r="AH194" s="2">
        <f>COUNTIFS(集計用!$G192,"*, "&amp;AH$3&amp;", *")</f>
        <v>0</v>
      </c>
      <c r="AI194" s="2">
        <f>COUNTIFS(集計用!$G192,"*, "&amp;AI$3&amp;", *")</f>
        <v>0</v>
      </c>
      <c r="AJ194" s="2">
        <f>COUNTIFS(集計用!$G192,"*, "&amp;AJ$3&amp;", *")</f>
        <v>0</v>
      </c>
      <c r="AK194" s="2">
        <f>COUNTIFS(集計用!$G192,"*, "&amp;AK$3&amp;", *")</f>
        <v>0</v>
      </c>
      <c r="AL194" s="2">
        <f>COUNTIFS(集計用!$G192,"*, "&amp;AL$3&amp;", *")</f>
        <v>0</v>
      </c>
      <c r="AM194" s="2">
        <f>COUNTIFS(集計用!$G192,"*, "&amp;AM$3&amp;", *")</f>
        <v>0</v>
      </c>
      <c r="AN194" s="2">
        <f>COUNTIFS(集計用!$G192,"*, "&amp;AN$3&amp;", *")</f>
        <v>0</v>
      </c>
      <c r="AO194" s="2">
        <f>COUNTIFS(集計用!$G192,"*, "&amp;AO$3&amp;", *")</f>
        <v>0</v>
      </c>
      <c r="AP194" s="2">
        <f>COUNTIFS(集計用!$G192,"*, "&amp;AP$3&amp;", *")</f>
        <v>0</v>
      </c>
      <c r="AQ194" s="2">
        <f>COUNTIFS(集計用!$G192,"*, "&amp;AQ$3&amp;", *")</f>
        <v>0</v>
      </c>
      <c r="AR194" s="2">
        <f>COUNTIFS(集計用!$G192,"*, "&amp;AR$3&amp;", *")</f>
        <v>0</v>
      </c>
      <c r="AS194" s="2">
        <f>COUNTIFS(集計用!$G192,"*, "&amp;AS$3&amp;", *")</f>
        <v>0</v>
      </c>
      <c r="AT194" s="2">
        <f>COUNTIFS(集計用!$G192,"*, "&amp;AT$3&amp;", *")</f>
        <v>0</v>
      </c>
      <c r="AU194" s="2">
        <f>COUNTIFS(集計用!$G192,"*, "&amp;AU$3&amp;", *")</f>
        <v>0</v>
      </c>
      <c r="AV194" s="2">
        <f>COUNTIFS(集計用!$G192,"*, "&amp;AV$3&amp;", *")</f>
        <v>0</v>
      </c>
      <c r="AW194" s="2">
        <f>COUNTIFS(集計用!$G192,"*, "&amp;AW$3&amp;", *")</f>
        <v>0</v>
      </c>
      <c r="AX194" s="2">
        <f>COUNTIFS(集計用!$G192,"*, "&amp;AX$3&amp;", *")</f>
        <v>0</v>
      </c>
      <c r="AY194" s="2">
        <f>COUNTIFS(集計用!$G192,"*, "&amp;AY$3&amp;", *")</f>
        <v>0</v>
      </c>
      <c r="AZ194" s="2">
        <f>COUNTIFS(集計用!$G192,"*, "&amp;AZ$3&amp;", *")</f>
        <v>0</v>
      </c>
      <c r="BA194" s="2">
        <f>COUNTIFS(集計用!$G192,"*, "&amp;BA$3&amp;", *")</f>
        <v>0</v>
      </c>
      <c r="BB194" s="2">
        <f>COUNTIFS(集計用!$G192,"*, "&amp;BB$3&amp;", *")</f>
        <v>0</v>
      </c>
      <c r="BC194" s="2">
        <f>COUNTIFS(集計用!$G192,"*, "&amp;BC$3&amp;", *")</f>
        <v>0</v>
      </c>
      <c r="BD194" s="2">
        <f>COUNTIFS(集計用!$G192,"*, "&amp;BD$3&amp;", *")</f>
        <v>0</v>
      </c>
      <c r="BE194" s="2">
        <f>COUNTIFS(集計用!$G192,"*, "&amp;BE$3&amp;", *")</f>
        <v>0</v>
      </c>
      <c r="BF194" s="2">
        <f>COUNTIFS(集計用!$G192,"*, "&amp;BF$3&amp;", *")</f>
        <v>0</v>
      </c>
      <c r="BG194" s="2">
        <f>COUNTIFS(集計用!$G192,"*, "&amp;BG$3&amp;", *")</f>
        <v>0</v>
      </c>
      <c r="BH194" s="2">
        <f>COUNTIFS(集計用!$G192,"*, "&amp;BH$3&amp;", *")</f>
        <v>0</v>
      </c>
      <c r="BI194" s="2">
        <f>COUNTIFS(集計用!$G192,"*, "&amp;BI$3&amp;", *")</f>
        <v>0</v>
      </c>
      <c r="BJ194" s="2">
        <f>LEN(集計用!H192)-LEN(SUBSTITUTE(集計用!H192,",",""))</f>
        <v>0</v>
      </c>
    </row>
    <row r="195" spans="1:62" ht="12.75">
      <c r="A195" s="8">
        <v>192</v>
      </c>
      <c r="C195" s="2">
        <f t="shared" si="3"/>
        <v>4</v>
      </c>
      <c r="D195" s="9"/>
      <c r="E195" s="2">
        <f>COUNTIFS(集計用!$G193,"*, "&amp;E$3&amp;", *")</f>
        <v>1</v>
      </c>
      <c r="F195" s="2">
        <f>COUNTIFS(集計用!$G193,"*, "&amp;F$3&amp;", *")</f>
        <v>0</v>
      </c>
      <c r="G195" s="2">
        <f>COUNTIFS(集計用!$G193,"*, "&amp;G$3&amp;", *")</f>
        <v>0</v>
      </c>
      <c r="H195" s="2">
        <f>COUNTIFS(集計用!$G193,"*, "&amp;H$3&amp;", *")</f>
        <v>0</v>
      </c>
      <c r="I195" s="2">
        <f>COUNTIFS(集計用!$G193,"*, "&amp;I$3&amp;", *")</f>
        <v>0</v>
      </c>
      <c r="J195" s="2">
        <f>COUNTIFS(集計用!$G193,"*, "&amp;J$3&amp;", *")</f>
        <v>0</v>
      </c>
      <c r="K195" s="2">
        <f>COUNTIFS(集計用!$G193,"*, "&amp;K$3&amp;", *")</f>
        <v>0</v>
      </c>
      <c r="L195" s="2">
        <f>COUNTIFS(集計用!$G193,"*, "&amp;L$3&amp;", *")</f>
        <v>0</v>
      </c>
      <c r="M195" s="2">
        <f>COUNTIFS(集計用!$G193,"*, "&amp;M$3&amp;", *")</f>
        <v>1</v>
      </c>
      <c r="N195" s="2">
        <f>COUNTIFS(集計用!$G193,"*, "&amp;N$3&amp;", *")</f>
        <v>0</v>
      </c>
      <c r="O195" s="2">
        <f>COUNTIFS(集計用!$G193,"*, "&amp;O$3&amp;", *")</f>
        <v>1</v>
      </c>
      <c r="P195" s="2">
        <f>COUNTIFS(集計用!$G193,"*, "&amp;P$3&amp;", *")</f>
        <v>0</v>
      </c>
      <c r="Q195" s="2">
        <f>COUNTIFS(集計用!$G193,"*, "&amp;Q$3&amp;", *")</f>
        <v>0</v>
      </c>
      <c r="R195" s="2">
        <f>COUNTIFS(集計用!$G193,"*, "&amp;R$3&amp;", *")</f>
        <v>0</v>
      </c>
      <c r="S195" s="2">
        <f>COUNTIFS(集計用!$G193,"*, "&amp;S$3&amp;", *")</f>
        <v>0</v>
      </c>
      <c r="T195" s="2">
        <f>COUNTIFS(集計用!$G193,"*, "&amp;T$3&amp;", *")</f>
        <v>0</v>
      </c>
      <c r="U195" s="2">
        <f>COUNTIFS(集計用!$G193,"*, "&amp;U$3&amp;", *")</f>
        <v>0</v>
      </c>
      <c r="V195" s="2">
        <f>COUNTIFS(集計用!$G193,"*, "&amp;V$3&amp;", *")</f>
        <v>0</v>
      </c>
      <c r="W195" s="2">
        <f>COUNTIFS(集計用!$G193,"*, "&amp;W$3&amp;", *")</f>
        <v>0</v>
      </c>
      <c r="X195" s="2">
        <f>COUNTIFS(集計用!$G193,"*, "&amp;X$3&amp;", *")</f>
        <v>0</v>
      </c>
      <c r="Y195" s="2">
        <f>COUNTIFS(集計用!$G193,"*, "&amp;Y$3&amp;", *")</f>
        <v>0</v>
      </c>
      <c r="Z195" s="2">
        <f>COUNTIFS(集計用!$G193,"*, "&amp;Z$3&amp;", *")</f>
        <v>0</v>
      </c>
      <c r="AA195" s="2">
        <f>COUNTIFS(集計用!$G193,"*, "&amp;AA$3&amp;", *")</f>
        <v>0</v>
      </c>
      <c r="AB195" s="2">
        <f>COUNTIFS(集計用!$G193,"*, "&amp;AB$3&amp;", *")</f>
        <v>0</v>
      </c>
      <c r="AC195" s="2">
        <f>COUNTIFS(集計用!$G193,"*, "&amp;AC$3&amp;", *")</f>
        <v>1</v>
      </c>
      <c r="AD195" s="2">
        <f>COUNTIFS(集計用!$G193,"*, "&amp;AD$3&amp;", *")</f>
        <v>0</v>
      </c>
      <c r="AE195" s="2">
        <f>COUNTIFS(集計用!$G193,"*, "&amp;AE$3&amp;", *")</f>
        <v>0</v>
      </c>
      <c r="AF195" s="2">
        <f>COUNTIFS(集計用!$G193,"*, "&amp;AF$3&amp;", *")</f>
        <v>0</v>
      </c>
      <c r="AG195" s="2">
        <f>COUNTIFS(集計用!$G193,"*, "&amp;AG$3&amp;", *")</f>
        <v>0</v>
      </c>
      <c r="AH195" s="2">
        <f>COUNTIFS(集計用!$G193,"*, "&amp;AH$3&amp;", *")</f>
        <v>0</v>
      </c>
      <c r="AI195" s="2">
        <f>COUNTIFS(集計用!$G193,"*, "&amp;AI$3&amp;", *")</f>
        <v>0</v>
      </c>
      <c r="AJ195" s="2">
        <f>COUNTIFS(集計用!$G193,"*, "&amp;AJ$3&amp;", *")</f>
        <v>0</v>
      </c>
      <c r="AK195" s="2">
        <f>COUNTIFS(集計用!$G193,"*, "&amp;AK$3&amp;", *")</f>
        <v>0</v>
      </c>
      <c r="AL195" s="2">
        <f>COUNTIFS(集計用!$G193,"*, "&amp;AL$3&amp;", *")</f>
        <v>0</v>
      </c>
      <c r="AM195" s="2">
        <f>COUNTIFS(集計用!$G193,"*, "&amp;AM$3&amp;", *")</f>
        <v>0</v>
      </c>
      <c r="AN195" s="2">
        <f>COUNTIFS(集計用!$G193,"*, "&amp;AN$3&amp;", *")</f>
        <v>0</v>
      </c>
      <c r="AO195" s="2">
        <f>COUNTIFS(集計用!$G193,"*, "&amp;AO$3&amp;", *")</f>
        <v>0</v>
      </c>
      <c r="AP195" s="2">
        <f>COUNTIFS(集計用!$G193,"*, "&amp;AP$3&amp;", *")</f>
        <v>0</v>
      </c>
      <c r="AQ195" s="2">
        <f>COUNTIFS(集計用!$G193,"*, "&amp;AQ$3&amp;", *")</f>
        <v>0</v>
      </c>
      <c r="AR195" s="2">
        <f>COUNTIFS(集計用!$G193,"*, "&amp;AR$3&amp;", *")</f>
        <v>0</v>
      </c>
      <c r="AS195" s="2">
        <f>COUNTIFS(集計用!$G193,"*, "&amp;AS$3&amp;", *")</f>
        <v>0</v>
      </c>
      <c r="AT195" s="2">
        <f>COUNTIFS(集計用!$G193,"*, "&amp;AT$3&amp;", *")</f>
        <v>0</v>
      </c>
      <c r="AU195" s="2">
        <f>COUNTIFS(集計用!$G193,"*, "&amp;AU$3&amp;", *")</f>
        <v>0</v>
      </c>
      <c r="AV195" s="2">
        <f>COUNTIFS(集計用!$G193,"*, "&amp;AV$3&amp;", *")</f>
        <v>0</v>
      </c>
      <c r="AW195" s="2">
        <f>COUNTIFS(集計用!$G193,"*, "&amp;AW$3&amp;", *")</f>
        <v>0</v>
      </c>
      <c r="AX195" s="2">
        <f>COUNTIFS(集計用!$G193,"*, "&amp;AX$3&amp;", *")</f>
        <v>0</v>
      </c>
      <c r="AY195" s="2">
        <f>COUNTIFS(集計用!$G193,"*, "&amp;AY$3&amp;", *")</f>
        <v>0</v>
      </c>
      <c r="AZ195" s="2">
        <f>COUNTIFS(集計用!$G193,"*, "&amp;AZ$3&amp;", *")</f>
        <v>0</v>
      </c>
      <c r="BA195" s="2">
        <f>COUNTIFS(集計用!$G193,"*, "&amp;BA$3&amp;", *")</f>
        <v>0</v>
      </c>
      <c r="BB195" s="2">
        <f>COUNTIFS(集計用!$G193,"*, "&amp;BB$3&amp;", *")</f>
        <v>0</v>
      </c>
      <c r="BC195" s="2">
        <f>COUNTIFS(集計用!$G193,"*, "&amp;BC$3&amp;", *")</f>
        <v>0</v>
      </c>
      <c r="BD195" s="2">
        <f>COUNTIFS(集計用!$G193,"*, "&amp;BD$3&amp;", *")</f>
        <v>0</v>
      </c>
      <c r="BE195" s="2">
        <f>COUNTIFS(集計用!$G193,"*, "&amp;BE$3&amp;", *")</f>
        <v>0</v>
      </c>
      <c r="BF195" s="2">
        <f>COUNTIFS(集計用!$G193,"*, "&amp;BF$3&amp;", *")</f>
        <v>0</v>
      </c>
      <c r="BG195" s="2">
        <f>COUNTIFS(集計用!$G193,"*, "&amp;BG$3&amp;", *")</f>
        <v>0</v>
      </c>
      <c r="BH195" s="2">
        <f>COUNTIFS(集計用!$G193,"*, "&amp;BH$3&amp;", *")</f>
        <v>0</v>
      </c>
      <c r="BI195" s="2">
        <f>COUNTIFS(集計用!$G193,"*, "&amp;BI$3&amp;", *")</f>
        <v>0</v>
      </c>
      <c r="BJ195" s="2">
        <f>LEN(集計用!H193)-LEN(SUBSTITUTE(集計用!H193,",",""))</f>
        <v>0</v>
      </c>
    </row>
    <row r="196" spans="1:62" ht="12.75">
      <c r="A196" s="8">
        <v>193</v>
      </c>
      <c r="C196" s="2">
        <f t="shared" si="3"/>
        <v>1</v>
      </c>
      <c r="D196" s="9"/>
      <c r="E196" s="2">
        <f>COUNTIFS(集計用!$G194,"*, "&amp;E$3&amp;", *")</f>
        <v>0</v>
      </c>
      <c r="F196" s="2">
        <f>COUNTIFS(集計用!$G194,"*, "&amp;F$3&amp;", *")</f>
        <v>0</v>
      </c>
      <c r="G196" s="2">
        <f>COUNTIFS(集計用!$G194,"*, "&amp;G$3&amp;", *")</f>
        <v>0</v>
      </c>
      <c r="H196" s="2">
        <f>COUNTIFS(集計用!$G194,"*, "&amp;H$3&amp;", *")</f>
        <v>0</v>
      </c>
      <c r="I196" s="2">
        <f>COUNTIFS(集計用!$G194,"*, "&amp;I$3&amp;", *")</f>
        <v>0</v>
      </c>
      <c r="J196" s="2">
        <f>COUNTIFS(集計用!$G194,"*, "&amp;J$3&amp;", *")</f>
        <v>0</v>
      </c>
      <c r="K196" s="2">
        <f>COUNTIFS(集計用!$G194,"*, "&amp;K$3&amp;", *")</f>
        <v>0</v>
      </c>
      <c r="L196" s="2">
        <f>COUNTIFS(集計用!$G194,"*, "&amp;L$3&amp;", *")</f>
        <v>0</v>
      </c>
      <c r="M196" s="2">
        <f>COUNTIFS(集計用!$G194,"*, "&amp;M$3&amp;", *")</f>
        <v>0</v>
      </c>
      <c r="N196" s="2">
        <f>COUNTIFS(集計用!$G194,"*, "&amp;N$3&amp;", *")</f>
        <v>0</v>
      </c>
      <c r="O196" s="2">
        <f>COUNTIFS(集計用!$G194,"*, "&amp;O$3&amp;", *")</f>
        <v>0</v>
      </c>
      <c r="P196" s="2">
        <f>COUNTIFS(集計用!$G194,"*, "&amp;P$3&amp;", *")</f>
        <v>0</v>
      </c>
      <c r="Q196" s="2">
        <f>COUNTIFS(集計用!$G194,"*, "&amp;Q$3&amp;", *")</f>
        <v>0</v>
      </c>
      <c r="R196" s="2">
        <f>COUNTIFS(集計用!$G194,"*, "&amp;R$3&amp;", *")</f>
        <v>0</v>
      </c>
      <c r="S196" s="2">
        <f>COUNTIFS(集計用!$G194,"*, "&amp;S$3&amp;", *")</f>
        <v>0</v>
      </c>
      <c r="T196" s="2">
        <f>COUNTIFS(集計用!$G194,"*, "&amp;T$3&amp;", *")</f>
        <v>0</v>
      </c>
      <c r="U196" s="2">
        <f>COUNTIFS(集計用!$G194,"*, "&amp;U$3&amp;", *")</f>
        <v>0</v>
      </c>
      <c r="V196" s="2">
        <f>COUNTIFS(集計用!$G194,"*, "&amp;V$3&amp;", *")</f>
        <v>0</v>
      </c>
      <c r="W196" s="2">
        <f>COUNTIFS(集計用!$G194,"*, "&amp;W$3&amp;", *")</f>
        <v>0</v>
      </c>
      <c r="X196" s="2">
        <f>COUNTIFS(集計用!$G194,"*, "&amp;X$3&amp;", *")</f>
        <v>0</v>
      </c>
      <c r="Y196" s="2">
        <f>COUNTIFS(集計用!$G194,"*, "&amp;Y$3&amp;", *")</f>
        <v>0</v>
      </c>
      <c r="Z196" s="2">
        <f>COUNTIFS(集計用!$G194,"*, "&amp;Z$3&amp;", *")</f>
        <v>0</v>
      </c>
      <c r="AA196" s="2">
        <f>COUNTIFS(集計用!$G194,"*, "&amp;AA$3&amp;", *")</f>
        <v>0</v>
      </c>
      <c r="AB196" s="2">
        <f>COUNTIFS(集計用!$G194,"*, "&amp;AB$3&amp;", *")</f>
        <v>0</v>
      </c>
      <c r="AC196" s="2">
        <f>COUNTIFS(集計用!$G194,"*, "&amp;AC$3&amp;", *")</f>
        <v>0</v>
      </c>
      <c r="AD196" s="2">
        <f>COUNTIFS(集計用!$G194,"*, "&amp;AD$3&amp;", *")</f>
        <v>0</v>
      </c>
      <c r="AE196" s="2">
        <f>COUNTIFS(集計用!$G194,"*, "&amp;AE$3&amp;", *")</f>
        <v>1</v>
      </c>
      <c r="AF196" s="2">
        <f>COUNTIFS(集計用!$G194,"*, "&amp;AF$3&amp;", *")</f>
        <v>0</v>
      </c>
      <c r="AG196" s="2">
        <f>COUNTIFS(集計用!$G194,"*, "&amp;AG$3&amp;", *")</f>
        <v>0</v>
      </c>
      <c r="AH196" s="2">
        <f>COUNTIFS(集計用!$G194,"*, "&amp;AH$3&amp;", *")</f>
        <v>0</v>
      </c>
      <c r="AI196" s="2">
        <f>COUNTIFS(集計用!$G194,"*, "&amp;AI$3&amp;", *")</f>
        <v>0</v>
      </c>
      <c r="AJ196" s="2">
        <f>COUNTIFS(集計用!$G194,"*, "&amp;AJ$3&amp;", *")</f>
        <v>0</v>
      </c>
      <c r="AK196" s="2">
        <f>COUNTIFS(集計用!$G194,"*, "&amp;AK$3&amp;", *")</f>
        <v>0</v>
      </c>
      <c r="AL196" s="2">
        <f>COUNTIFS(集計用!$G194,"*, "&amp;AL$3&amp;", *")</f>
        <v>0</v>
      </c>
      <c r="AM196" s="2">
        <f>COUNTIFS(集計用!$G194,"*, "&amp;AM$3&amp;", *")</f>
        <v>0</v>
      </c>
      <c r="AN196" s="2">
        <f>COUNTIFS(集計用!$G194,"*, "&amp;AN$3&amp;", *")</f>
        <v>0</v>
      </c>
      <c r="AO196" s="2">
        <f>COUNTIFS(集計用!$G194,"*, "&amp;AO$3&amp;", *")</f>
        <v>0</v>
      </c>
      <c r="AP196" s="2">
        <f>COUNTIFS(集計用!$G194,"*, "&amp;AP$3&amp;", *")</f>
        <v>0</v>
      </c>
      <c r="AQ196" s="2">
        <f>COUNTIFS(集計用!$G194,"*, "&amp;AQ$3&amp;", *")</f>
        <v>0</v>
      </c>
      <c r="AR196" s="2">
        <f>COUNTIFS(集計用!$G194,"*, "&amp;AR$3&amp;", *")</f>
        <v>0</v>
      </c>
      <c r="AS196" s="2">
        <f>COUNTIFS(集計用!$G194,"*, "&amp;AS$3&amp;", *")</f>
        <v>0</v>
      </c>
      <c r="AT196" s="2">
        <f>COUNTIFS(集計用!$G194,"*, "&amp;AT$3&amp;", *")</f>
        <v>0</v>
      </c>
      <c r="AU196" s="2">
        <f>COUNTIFS(集計用!$G194,"*, "&amp;AU$3&amp;", *")</f>
        <v>0</v>
      </c>
      <c r="AV196" s="2">
        <f>COUNTIFS(集計用!$G194,"*, "&amp;AV$3&amp;", *")</f>
        <v>0</v>
      </c>
      <c r="AW196" s="2">
        <f>COUNTIFS(集計用!$G194,"*, "&amp;AW$3&amp;", *")</f>
        <v>0</v>
      </c>
      <c r="AX196" s="2">
        <f>COUNTIFS(集計用!$G194,"*, "&amp;AX$3&amp;", *")</f>
        <v>0</v>
      </c>
      <c r="AY196" s="2">
        <f>COUNTIFS(集計用!$G194,"*, "&amp;AY$3&amp;", *")</f>
        <v>0</v>
      </c>
      <c r="AZ196" s="2">
        <f>COUNTIFS(集計用!$G194,"*, "&amp;AZ$3&amp;", *")</f>
        <v>0</v>
      </c>
      <c r="BA196" s="2">
        <f>COUNTIFS(集計用!$G194,"*, "&amp;BA$3&amp;", *")</f>
        <v>0</v>
      </c>
      <c r="BB196" s="2">
        <f>COUNTIFS(集計用!$G194,"*, "&amp;BB$3&amp;", *")</f>
        <v>0</v>
      </c>
      <c r="BC196" s="2">
        <f>COUNTIFS(集計用!$G194,"*, "&amp;BC$3&amp;", *")</f>
        <v>0</v>
      </c>
      <c r="BD196" s="2">
        <f>COUNTIFS(集計用!$G194,"*, "&amp;BD$3&amp;", *")</f>
        <v>0</v>
      </c>
      <c r="BE196" s="2">
        <f>COUNTIFS(集計用!$G194,"*, "&amp;BE$3&amp;", *")</f>
        <v>0</v>
      </c>
      <c r="BF196" s="2">
        <f>COUNTIFS(集計用!$G194,"*, "&amp;BF$3&amp;", *")</f>
        <v>0</v>
      </c>
      <c r="BG196" s="2">
        <f>COUNTIFS(集計用!$G194,"*, "&amp;BG$3&amp;", *")</f>
        <v>0</v>
      </c>
      <c r="BH196" s="2">
        <f>COUNTIFS(集計用!$G194,"*, "&amp;BH$3&amp;", *")</f>
        <v>0</v>
      </c>
      <c r="BI196" s="2">
        <f>COUNTIFS(集計用!$G194,"*, "&amp;BI$3&amp;", *")</f>
        <v>0</v>
      </c>
      <c r="BJ196" s="2">
        <f>LEN(集計用!H194)-LEN(SUBSTITUTE(集計用!H194,",",""))</f>
        <v>0</v>
      </c>
    </row>
    <row r="197" spans="1:62" ht="12.75">
      <c r="A197" s="8">
        <v>194</v>
      </c>
      <c r="C197" s="2">
        <f t="shared" si="3"/>
        <v>4</v>
      </c>
      <c r="D197" s="9"/>
      <c r="E197" s="2">
        <f>COUNTIFS(集計用!$G195,"*, "&amp;E$3&amp;", *")</f>
        <v>0</v>
      </c>
      <c r="F197" s="2">
        <f>COUNTIFS(集計用!$G195,"*, "&amp;F$3&amp;", *")</f>
        <v>0</v>
      </c>
      <c r="G197" s="2">
        <f>COUNTIFS(集計用!$G195,"*, "&amp;G$3&amp;", *")</f>
        <v>1</v>
      </c>
      <c r="H197" s="2">
        <f>COUNTIFS(集計用!$G195,"*, "&amp;H$3&amp;", *")</f>
        <v>0</v>
      </c>
      <c r="I197" s="2">
        <f>COUNTIFS(集計用!$G195,"*, "&amp;I$3&amp;", *")</f>
        <v>0</v>
      </c>
      <c r="J197" s="2">
        <f>COUNTIFS(集計用!$G195,"*, "&amp;J$3&amp;", *")</f>
        <v>1</v>
      </c>
      <c r="K197" s="2">
        <f>COUNTIFS(集計用!$G195,"*, "&amp;K$3&amp;", *")</f>
        <v>0</v>
      </c>
      <c r="L197" s="2">
        <f>COUNTIFS(集計用!$G195,"*, "&amp;L$3&amp;", *")</f>
        <v>0</v>
      </c>
      <c r="M197" s="2">
        <f>COUNTIFS(集計用!$G195,"*, "&amp;M$3&amp;", *")</f>
        <v>0</v>
      </c>
      <c r="N197" s="2">
        <f>COUNTIFS(集計用!$G195,"*, "&amp;N$3&amp;", *")</f>
        <v>0</v>
      </c>
      <c r="O197" s="2">
        <f>COUNTIFS(集計用!$G195,"*, "&amp;O$3&amp;", *")</f>
        <v>0</v>
      </c>
      <c r="P197" s="2">
        <f>COUNTIFS(集計用!$G195,"*, "&amp;P$3&amp;", *")</f>
        <v>1</v>
      </c>
      <c r="Q197" s="2">
        <f>COUNTIFS(集計用!$G195,"*, "&amp;Q$3&amp;", *")</f>
        <v>0</v>
      </c>
      <c r="R197" s="2">
        <f>COUNTIFS(集計用!$G195,"*, "&amp;R$3&amp;", *")</f>
        <v>0</v>
      </c>
      <c r="S197" s="2">
        <f>COUNTIFS(集計用!$G195,"*, "&amp;S$3&amp;", *")</f>
        <v>0</v>
      </c>
      <c r="T197" s="2">
        <f>COUNTIFS(集計用!$G195,"*, "&amp;T$3&amp;", *")</f>
        <v>0</v>
      </c>
      <c r="U197" s="2">
        <f>COUNTIFS(集計用!$G195,"*, "&amp;U$3&amp;", *")</f>
        <v>0</v>
      </c>
      <c r="V197" s="2">
        <f>COUNTIFS(集計用!$G195,"*, "&amp;V$3&amp;", *")</f>
        <v>0</v>
      </c>
      <c r="W197" s="2">
        <f>COUNTIFS(集計用!$G195,"*, "&amp;W$3&amp;", *")</f>
        <v>0</v>
      </c>
      <c r="X197" s="2">
        <f>COUNTIFS(集計用!$G195,"*, "&amp;X$3&amp;", *")</f>
        <v>0</v>
      </c>
      <c r="Y197" s="2">
        <f>COUNTIFS(集計用!$G195,"*, "&amp;Y$3&amp;", *")</f>
        <v>0</v>
      </c>
      <c r="Z197" s="2">
        <f>COUNTIFS(集計用!$G195,"*, "&amp;Z$3&amp;", *")</f>
        <v>0</v>
      </c>
      <c r="AA197" s="2">
        <f>COUNTIFS(集計用!$G195,"*, "&amp;AA$3&amp;", *")</f>
        <v>0</v>
      </c>
      <c r="AB197" s="2">
        <f>COUNTIFS(集計用!$G195,"*, "&amp;AB$3&amp;", *")</f>
        <v>0</v>
      </c>
      <c r="AC197" s="2">
        <f>COUNTIFS(集計用!$G195,"*, "&amp;AC$3&amp;", *")</f>
        <v>0</v>
      </c>
      <c r="AD197" s="2">
        <f>COUNTIFS(集計用!$G195,"*, "&amp;AD$3&amp;", *")</f>
        <v>0</v>
      </c>
      <c r="AE197" s="2">
        <f>COUNTIFS(集計用!$G195,"*, "&amp;AE$3&amp;", *")</f>
        <v>0</v>
      </c>
      <c r="AF197" s="2">
        <f>COUNTIFS(集計用!$G195,"*, "&amp;AF$3&amp;", *")</f>
        <v>0</v>
      </c>
      <c r="AG197" s="2">
        <f>COUNTIFS(集計用!$G195,"*, "&amp;AG$3&amp;", *")</f>
        <v>0</v>
      </c>
      <c r="AH197" s="2">
        <f>COUNTIFS(集計用!$G195,"*, "&amp;AH$3&amp;", *")</f>
        <v>0</v>
      </c>
      <c r="AI197" s="2">
        <f>COUNTIFS(集計用!$G195,"*, "&amp;AI$3&amp;", *")</f>
        <v>0</v>
      </c>
      <c r="AJ197" s="2">
        <f>COUNTIFS(集計用!$G195,"*, "&amp;AJ$3&amp;", *")</f>
        <v>0</v>
      </c>
      <c r="AK197" s="2">
        <f>COUNTIFS(集計用!$G195,"*, "&amp;AK$3&amp;", *")</f>
        <v>0</v>
      </c>
      <c r="AL197" s="2">
        <f>COUNTIFS(集計用!$G195,"*, "&amp;AL$3&amp;", *")</f>
        <v>0</v>
      </c>
      <c r="AM197" s="2">
        <f>COUNTIFS(集計用!$G195,"*, "&amp;AM$3&amp;", *")</f>
        <v>0</v>
      </c>
      <c r="AN197" s="2">
        <f>COUNTIFS(集計用!$G195,"*, "&amp;AN$3&amp;", *")</f>
        <v>0</v>
      </c>
      <c r="AO197" s="2">
        <f>COUNTIFS(集計用!$G195,"*, "&amp;AO$3&amp;", *")</f>
        <v>0</v>
      </c>
      <c r="AP197" s="2">
        <f>COUNTIFS(集計用!$G195,"*, "&amp;AP$3&amp;", *")</f>
        <v>0</v>
      </c>
      <c r="AQ197" s="2">
        <f>COUNTIFS(集計用!$G195,"*, "&amp;AQ$3&amp;", *")</f>
        <v>0</v>
      </c>
      <c r="AR197" s="2">
        <f>COUNTIFS(集計用!$G195,"*, "&amp;AR$3&amp;", *")</f>
        <v>0</v>
      </c>
      <c r="AS197" s="2">
        <f>COUNTIFS(集計用!$G195,"*, "&amp;AS$3&amp;", *")</f>
        <v>0</v>
      </c>
      <c r="AT197" s="2">
        <f>COUNTIFS(集計用!$G195,"*, "&amp;AT$3&amp;", *")</f>
        <v>0</v>
      </c>
      <c r="AU197" s="2">
        <f>COUNTIFS(集計用!$G195,"*, "&amp;AU$3&amp;", *")</f>
        <v>0</v>
      </c>
      <c r="AV197" s="2">
        <f>COUNTIFS(集計用!$G195,"*, "&amp;AV$3&amp;", *")</f>
        <v>0</v>
      </c>
      <c r="AW197" s="2">
        <f>COUNTIFS(集計用!$G195,"*, "&amp;AW$3&amp;", *")</f>
        <v>1</v>
      </c>
      <c r="AX197" s="2">
        <f>COUNTIFS(集計用!$G195,"*, "&amp;AX$3&amp;", *")</f>
        <v>0</v>
      </c>
      <c r="AY197" s="2">
        <f>COUNTIFS(集計用!$G195,"*, "&amp;AY$3&amp;", *")</f>
        <v>0</v>
      </c>
      <c r="AZ197" s="2">
        <f>COUNTIFS(集計用!$G195,"*, "&amp;AZ$3&amp;", *")</f>
        <v>0</v>
      </c>
      <c r="BA197" s="2">
        <f>COUNTIFS(集計用!$G195,"*, "&amp;BA$3&amp;", *")</f>
        <v>0</v>
      </c>
      <c r="BB197" s="2">
        <f>COUNTIFS(集計用!$G195,"*, "&amp;BB$3&amp;", *")</f>
        <v>0</v>
      </c>
      <c r="BC197" s="2">
        <f>COUNTIFS(集計用!$G195,"*, "&amp;BC$3&amp;", *")</f>
        <v>0</v>
      </c>
      <c r="BD197" s="2">
        <f>COUNTIFS(集計用!$G195,"*, "&amp;BD$3&amp;", *")</f>
        <v>0</v>
      </c>
      <c r="BE197" s="2">
        <f>COUNTIFS(集計用!$G195,"*, "&amp;BE$3&amp;", *")</f>
        <v>0</v>
      </c>
      <c r="BF197" s="2">
        <f>COUNTIFS(集計用!$G195,"*, "&amp;BF$3&amp;", *")</f>
        <v>0</v>
      </c>
      <c r="BG197" s="2">
        <f>COUNTIFS(集計用!$G195,"*, "&amp;BG$3&amp;", *")</f>
        <v>0</v>
      </c>
      <c r="BH197" s="2">
        <f>COUNTIFS(集計用!$G195,"*, "&amp;BH$3&amp;", *")</f>
        <v>0</v>
      </c>
      <c r="BI197" s="2">
        <f>COUNTIFS(集計用!$G195,"*, "&amp;BI$3&amp;", *")</f>
        <v>0</v>
      </c>
      <c r="BJ197" s="2">
        <f>LEN(集計用!H195)-LEN(SUBSTITUTE(集計用!H195,",",""))</f>
        <v>0</v>
      </c>
    </row>
    <row r="198" spans="1:62" ht="12.75">
      <c r="A198" s="8">
        <v>195</v>
      </c>
      <c r="C198" s="2">
        <f t="shared" si="3"/>
        <v>8</v>
      </c>
      <c r="D198" s="9"/>
      <c r="E198" s="2">
        <f>COUNTIFS(集計用!$G196,"*, "&amp;E$3&amp;", *")</f>
        <v>1</v>
      </c>
      <c r="F198" s="2">
        <f>COUNTIFS(集計用!$G196,"*, "&amp;F$3&amp;", *")</f>
        <v>1</v>
      </c>
      <c r="G198" s="2">
        <f>COUNTIFS(集計用!$G196,"*, "&amp;G$3&amp;", *")</f>
        <v>1</v>
      </c>
      <c r="H198" s="2">
        <f>COUNTIFS(集計用!$G196,"*, "&amp;H$3&amp;", *")</f>
        <v>1</v>
      </c>
      <c r="I198" s="2">
        <f>COUNTIFS(集計用!$G196,"*, "&amp;I$3&amp;", *")</f>
        <v>0</v>
      </c>
      <c r="J198" s="2">
        <f>COUNTIFS(集計用!$G196,"*, "&amp;J$3&amp;", *")</f>
        <v>0</v>
      </c>
      <c r="K198" s="2">
        <f>COUNTIFS(集計用!$G196,"*, "&amp;K$3&amp;", *")</f>
        <v>1</v>
      </c>
      <c r="L198" s="2">
        <f>COUNTIFS(集計用!$G196,"*, "&amp;L$3&amp;", *")</f>
        <v>0</v>
      </c>
      <c r="M198" s="2">
        <f>COUNTIFS(集計用!$G196,"*, "&amp;M$3&amp;", *")</f>
        <v>1</v>
      </c>
      <c r="N198" s="2">
        <f>COUNTIFS(集計用!$G196,"*, "&amp;N$3&amp;", *")</f>
        <v>0</v>
      </c>
      <c r="O198" s="2">
        <f>COUNTIFS(集計用!$G196,"*, "&amp;O$3&amp;", *")</f>
        <v>0</v>
      </c>
      <c r="P198" s="2">
        <f>COUNTIFS(集計用!$G196,"*, "&amp;P$3&amp;", *")</f>
        <v>0</v>
      </c>
      <c r="Q198" s="2">
        <f>COUNTIFS(集計用!$G196,"*, "&amp;Q$3&amp;", *")</f>
        <v>1</v>
      </c>
      <c r="R198" s="2">
        <f>COUNTIFS(集計用!$G196,"*, "&amp;R$3&amp;", *")</f>
        <v>0</v>
      </c>
      <c r="S198" s="2">
        <f>COUNTIFS(集計用!$G196,"*, "&amp;S$3&amp;", *")</f>
        <v>0</v>
      </c>
      <c r="T198" s="2">
        <f>COUNTIFS(集計用!$G196,"*, "&amp;T$3&amp;", *")</f>
        <v>0</v>
      </c>
      <c r="U198" s="2">
        <f>COUNTIFS(集計用!$G196,"*, "&amp;U$3&amp;", *")</f>
        <v>0</v>
      </c>
      <c r="V198" s="2">
        <f>COUNTIFS(集計用!$G196,"*, "&amp;V$3&amp;", *")</f>
        <v>0</v>
      </c>
      <c r="W198" s="2">
        <f>COUNTIFS(集計用!$G196,"*, "&amp;W$3&amp;", *")</f>
        <v>0</v>
      </c>
      <c r="X198" s="2">
        <f>COUNTIFS(集計用!$G196,"*, "&amp;X$3&amp;", *")</f>
        <v>0</v>
      </c>
      <c r="Y198" s="2">
        <f>COUNTIFS(集計用!$G196,"*, "&amp;Y$3&amp;", *")</f>
        <v>0</v>
      </c>
      <c r="Z198" s="2">
        <f>COUNTIFS(集計用!$G196,"*, "&amp;Z$3&amp;", *")</f>
        <v>0</v>
      </c>
      <c r="AA198" s="2">
        <f>COUNTIFS(集計用!$G196,"*, "&amp;AA$3&amp;", *")</f>
        <v>0</v>
      </c>
      <c r="AB198" s="2">
        <f>COUNTIFS(集計用!$G196,"*, "&amp;AB$3&amp;", *")</f>
        <v>1</v>
      </c>
      <c r="AC198" s="2">
        <f>COUNTIFS(集計用!$G196,"*, "&amp;AC$3&amp;", *")</f>
        <v>0</v>
      </c>
      <c r="AD198" s="2">
        <f>COUNTIFS(集計用!$G196,"*, "&amp;AD$3&amp;", *")</f>
        <v>0</v>
      </c>
      <c r="AE198" s="2">
        <f>COUNTIFS(集計用!$G196,"*, "&amp;AE$3&amp;", *")</f>
        <v>0</v>
      </c>
      <c r="AF198" s="2">
        <f>COUNTIFS(集計用!$G196,"*, "&amp;AF$3&amp;", *")</f>
        <v>0</v>
      </c>
      <c r="AG198" s="2">
        <f>COUNTIFS(集計用!$G196,"*, "&amp;AG$3&amp;", *")</f>
        <v>0</v>
      </c>
      <c r="AH198" s="2">
        <f>COUNTIFS(集計用!$G196,"*, "&amp;AH$3&amp;", *")</f>
        <v>0</v>
      </c>
      <c r="AI198" s="2">
        <f>COUNTIFS(集計用!$G196,"*, "&amp;AI$3&amp;", *")</f>
        <v>0</v>
      </c>
      <c r="AJ198" s="2">
        <f>COUNTIFS(集計用!$G196,"*, "&amp;AJ$3&amp;", *")</f>
        <v>0</v>
      </c>
      <c r="AK198" s="2">
        <f>COUNTIFS(集計用!$G196,"*, "&amp;AK$3&amp;", *")</f>
        <v>0</v>
      </c>
      <c r="AL198" s="2">
        <f>COUNTIFS(集計用!$G196,"*, "&amp;AL$3&amp;", *")</f>
        <v>0</v>
      </c>
      <c r="AM198" s="2">
        <f>COUNTIFS(集計用!$G196,"*, "&amp;AM$3&amp;", *")</f>
        <v>0</v>
      </c>
      <c r="AN198" s="2">
        <f>COUNTIFS(集計用!$G196,"*, "&amp;AN$3&amp;", *")</f>
        <v>0</v>
      </c>
      <c r="AO198" s="2">
        <f>COUNTIFS(集計用!$G196,"*, "&amp;AO$3&amp;", *")</f>
        <v>0</v>
      </c>
      <c r="AP198" s="2">
        <f>COUNTIFS(集計用!$G196,"*, "&amp;AP$3&amp;", *")</f>
        <v>0</v>
      </c>
      <c r="AQ198" s="2">
        <f>COUNTIFS(集計用!$G196,"*, "&amp;AQ$3&amp;", *")</f>
        <v>0</v>
      </c>
      <c r="AR198" s="2">
        <f>COUNTIFS(集計用!$G196,"*, "&amp;AR$3&amp;", *")</f>
        <v>0</v>
      </c>
      <c r="AS198" s="2">
        <f>COUNTIFS(集計用!$G196,"*, "&amp;AS$3&amp;", *")</f>
        <v>0</v>
      </c>
      <c r="AT198" s="2">
        <f>COUNTIFS(集計用!$G196,"*, "&amp;AT$3&amp;", *")</f>
        <v>0</v>
      </c>
      <c r="AU198" s="2">
        <f>COUNTIFS(集計用!$G196,"*, "&amp;AU$3&amp;", *")</f>
        <v>0</v>
      </c>
      <c r="AV198" s="2">
        <f>COUNTIFS(集計用!$G196,"*, "&amp;AV$3&amp;", *")</f>
        <v>0</v>
      </c>
      <c r="AW198" s="2">
        <f>COUNTIFS(集計用!$G196,"*, "&amp;AW$3&amp;", *")</f>
        <v>0</v>
      </c>
      <c r="AX198" s="2">
        <f>COUNTIFS(集計用!$G196,"*, "&amp;AX$3&amp;", *")</f>
        <v>0</v>
      </c>
      <c r="AY198" s="2">
        <f>COUNTIFS(集計用!$G196,"*, "&amp;AY$3&amp;", *")</f>
        <v>0</v>
      </c>
      <c r="AZ198" s="2">
        <f>COUNTIFS(集計用!$G196,"*, "&amp;AZ$3&amp;", *")</f>
        <v>0</v>
      </c>
      <c r="BA198" s="2">
        <f>COUNTIFS(集計用!$G196,"*, "&amp;BA$3&amp;", *")</f>
        <v>0</v>
      </c>
      <c r="BB198" s="2">
        <f>COUNTIFS(集計用!$G196,"*, "&amp;BB$3&amp;", *")</f>
        <v>0</v>
      </c>
      <c r="BC198" s="2">
        <f>COUNTIFS(集計用!$G196,"*, "&amp;BC$3&amp;", *")</f>
        <v>0</v>
      </c>
      <c r="BD198" s="2">
        <f>COUNTIFS(集計用!$G196,"*, "&amp;BD$3&amp;", *")</f>
        <v>0</v>
      </c>
      <c r="BE198" s="2">
        <f>COUNTIFS(集計用!$G196,"*, "&amp;BE$3&amp;", *")</f>
        <v>0</v>
      </c>
      <c r="BF198" s="2">
        <f>COUNTIFS(集計用!$G196,"*, "&amp;BF$3&amp;", *")</f>
        <v>0</v>
      </c>
      <c r="BG198" s="2">
        <f>COUNTIFS(集計用!$G196,"*, "&amp;BG$3&amp;", *")</f>
        <v>0</v>
      </c>
      <c r="BH198" s="2">
        <f>COUNTIFS(集計用!$G196,"*, "&amp;BH$3&amp;", *")</f>
        <v>0</v>
      </c>
      <c r="BI198" s="2">
        <f>COUNTIFS(集計用!$G196,"*, "&amp;BI$3&amp;", *")</f>
        <v>0</v>
      </c>
      <c r="BJ198" s="2">
        <f>LEN(集計用!H196)-LEN(SUBSTITUTE(集計用!H196,",",""))</f>
        <v>0</v>
      </c>
    </row>
    <row r="199" spans="1:62" ht="12.75">
      <c r="A199" s="8">
        <v>196</v>
      </c>
      <c r="C199" s="2">
        <f t="shared" si="3"/>
        <v>7</v>
      </c>
      <c r="D199" s="9"/>
      <c r="E199" s="2">
        <f>COUNTIFS(集計用!$G197,"*, "&amp;E$3&amp;", *")</f>
        <v>1</v>
      </c>
      <c r="F199" s="2">
        <f>COUNTIFS(集計用!$G197,"*, "&amp;F$3&amp;", *")</f>
        <v>1</v>
      </c>
      <c r="G199" s="2">
        <f>COUNTIFS(集計用!$G197,"*, "&amp;G$3&amp;", *")</f>
        <v>1</v>
      </c>
      <c r="H199" s="2">
        <f>COUNTIFS(集計用!$G197,"*, "&amp;H$3&amp;", *")</f>
        <v>0</v>
      </c>
      <c r="I199" s="2">
        <f>COUNTIFS(集計用!$G197,"*, "&amp;I$3&amp;", *")</f>
        <v>0</v>
      </c>
      <c r="J199" s="2">
        <f>COUNTIFS(集計用!$G197,"*, "&amp;J$3&amp;", *")</f>
        <v>0</v>
      </c>
      <c r="K199" s="2">
        <f>COUNTIFS(集計用!$G197,"*, "&amp;K$3&amp;", *")</f>
        <v>1</v>
      </c>
      <c r="L199" s="2">
        <f>COUNTIFS(集計用!$G197,"*, "&amp;L$3&amp;", *")</f>
        <v>0</v>
      </c>
      <c r="M199" s="2">
        <f>COUNTIFS(集計用!$G197,"*, "&amp;M$3&amp;", *")</f>
        <v>0</v>
      </c>
      <c r="N199" s="2">
        <f>COUNTIFS(集計用!$G197,"*, "&amp;N$3&amp;", *")</f>
        <v>0</v>
      </c>
      <c r="O199" s="2">
        <f>COUNTIFS(集計用!$G197,"*, "&amp;O$3&amp;", *")</f>
        <v>0</v>
      </c>
      <c r="P199" s="2">
        <f>COUNTIFS(集計用!$G197,"*, "&amp;P$3&amp;", *")</f>
        <v>0</v>
      </c>
      <c r="Q199" s="2">
        <f>COUNTIFS(集計用!$G197,"*, "&amp;Q$3&amp;", *")</f>
        <v>0</v>
      </c>
      <c r="R199" s="2">
        <f>COUNTIFS(集計用!$G197,"*, "&amp;R$3&amp;", *")</f>
        <v>0</v>
      </c>
      <c r="S199" s="2">
        <f>COUNTIFS(集計用!$G197,"*, "&amp;S$3&amp;", *")</f>
        <v>0</v>
      </c>
      <c r="T199" s="2">
        <f>COUNTIFS(集計用!$G197,"*, "&amp;T$3&amp;", *")</f>
        <v>0</v>
      </c>
      <c r="U199" s="2">
        <f>COUNTIFS(集計用!$G197,"*, "&amp;U$3&amp;", *")</f>
        <v>0</v>
      </c>
      <c r="V199" s="2">
        <f>COUNTIFS(集計用!$G197,"*, "&amp;V$3&amp;", *")</f>
        <v>0</v>
      </c>
      <c r="W199" s="2">
        <f>COUNTIFS(集計用!$G197,"*, "&amp;W$3&amp;", *")</f>
        <v>1</v>
      </c>
      <c r="X199" s="2">
        <f>COUNTIFS(集計用!$G197,"*, "&amp;X$3&amp;", *")</f>
        <v>0</v>
      </c>
      <c r="Y199" s="2">
        <f>COUNTIFS(集計用!$G197,"*, "&amp;Y$3&amp;", *")</f>
        <v>0</v>
      </c>
      <c r="Z199" s="2">
        <f>COUNTIFS(集計用!$G197,"*, "&amp;Z$3&amp;", *")</f>
        <v>0</v>
      </c>
      <c r="AA199" s="2">
        <f>COUNTIFS(集計用!$G197,"*, "&amp;AA$3&amp;", *")</f>
        <v>0</v>
      </c>
      <c r="AB199" s="2">
        <f>COUNTIFS(集計用!$G197,"*, "&amp;AB$3&amp;", *")</f>
        <v>0</v>
      </c>
      <c r="AC199" s="2">
        <f>COUNTIFS(集計用!$G197,"*, "&amp;AC$3&amp;", *")</f>
        <v>0</v>
      </c>
      <c r="AD199" s="2">
        <f>COUNTIFS(集計用!$G197,"*, "&amp;AD$3&amp;", *")</f>
        <v>0</v>
      </c>
      <c r="AE199" s="2">
        <f>COUNTIFS(集計用!$G197,"*, "&amp;AE$3&amp;", *")</f>
        <v>0</v>
      </c>
      <c r="AF199" s="2">
        <f>COUNTIFS(集計用!$G197,"*, "&amp;AF$3&amp;", *")</f>
        <v>0</v>
      </c>
      <c r="AG199" s="2">
        <f>COUNTIFS(集計用!$G197,"*, "&amp;AG$3&amp;", *")</f>
        <v>0</v>
      </c>
      <c r="AH199" s="2">
        <f>COUNTIFS(集計用!$G197,"*, "&amp;AH$3&amp;", *")</f>
        <v>0</v>
      </c>
      <c r="AI199" s="2">
        <f>COUNTIFS(集計用!$G197,"*, "&amp;AI$3&amp;", *")</f>
        <v>0</v>
      </c>
      <c r="AJ199" s="2">
        <f>COUNTIFS(集計用!$G197,"*, "&amp;AJ$3&amp;", *")</f>
        <v>0</v>
      </c>
      <c r="AK199" s="2">
        <f>COUNTIFS(集計用!$G197,"*, "&amp;AK$3&amp;", *")</f>
        <v>0</v>
      </c>
      <c r="AL199" s="2">
        <f>COUNTIFS(集計用!$G197,"*, "&amp;AL$3&amp;", *")</f>
        <v>0</v>
      </c>
      <c r="AM199" s="2">
        <f>COUNTIFS(集計用!$G197,"*, "&amp;AM$3&amp;", *")</f>
        <v>0</v>
      </c>
      <c r="AN199" s="2">
        <f>COUNTIFS(集計用!$G197,"*, "&amp;AN$3&amp;", *")</f>
        <v>0</v>
      </c>
      <c r="AO199" s="2">
        <f>COUNTIFS(集計用!$G197,"*, "&amp;AO$3&amp;", *")</f>
        <v>0</v>
      </c>
      <c r="AP199" s="2">
        <f>COUNTIFS(集計用!$G197,"*, "&amp;AP$3&amp;", *")</f>
        <v>0</v>
      </c>
      <c r="AQ199" s="2">
        <f>COUNTIFS(集計用!$G197,"*, "&amp;AQ$3&amp;", *")</f>
        <v>0</v>
      </c>
      <c r="AR199" s="2">
        <f>COUNTIFS(集計用!$G197,"*, "&amp;AR$3&amp;", *")</f>
        <v>0</v>
      </c>
      <c r="AS199" s="2">
        <f>COUNTIFS(集計用!$G197,"*, "&amp;AS$3&amp;", *")</f>
        <v>0</v>
      </c>
      <c r="AT199" s="2">
        <f>COUNTIFS(集計用!$G197,"*, "&amp;AT$3&amp;", *")</f>
        <v>0</v>
      </c>
      <c r="AU199" s="2">
        <f>COUNTIFS(集計用!$G197,"*, "&amp;AU$3&amp;", *")</f>
        <v>0</v>
      </c>
      <c r="AV199" s="2">
        <f>COUNTIFS(集計用!$G197,"*, "&amp;AV$3&amp;", *")</f>
        <v>0</v>
      </c>
      <c r="AW199" s="2">
        <f>COUNTIFS(集計用!$G197,"*, "&amp;AW$3&amp;", *")</f>
        <v>0</v>
      </c>
      <c r="AX199" s="2">
        <f>COUNTIFS(集計用!$G197,"*, "&amp;AX$3&amp;", *")</f>
        <v>0</v>
      </c>
      <c r="AY199" s="2">
        <f>COUNTIFS(集計用!$G197,"*, "&amp;AY$3&amp;", *")</f>
        <v>0</v>
      </c>
      <c r="AZ199" s="2">
        <f>COUNTIFS(集計用!$G197,"*, "&amp;AZ$3&amp;", *")</f>
        <v>0</v>
      </c>
      <c r="BA199" s="2">
        <f>COUNTIFS(集計用!$G197,"*, "&amp;BA$3&amp;", *")</f>
        <v>0</v>
      </c>
      <c r="BB199" s="2">
        <f>COUNTIFS(集計用!$G197,"*, "&amp;BB$3&amp;", *")</f>
        <v>0</v>
      </c>
      <c r="BC199" s="2">
        <f>COUNTIFS(集計用!$G197,"*, "&amp;BC$3&amp;", *")</f>
        <v>0</v>
      </c>
      <c r="BD199" s="2">
        <f>COUNTIFS(集計用!$G197,"*, "&amp;BD$3&amp;", *")</f>
        <v>0</v>
      </c>
      <c r="BE199" s="2">
        <f>COUNTIFS(集計用!$G197,"*, "&amp;BE$3&amp;", *")</f>
        <v>0</v>
      </c>
      <c r="BF199" s="2">
        <f>COUNTIFS(集計用!$G197,"*, "&amp;BF$3&amp;", *")</f>
        <v>0</v>
      </c>
      <c r="BG199" s="2">
        <f>COUNTIFS(集計用!$G197,"*, "&amp;BG$3&amp;", *")</f>
        <v>0</v>
      </c>
      <c r="BH199" s="2">
        <f>COUNTIFS(集計用!$G197,"*, "&amp;BH$3&amp;", *")</f>
        <v>0</v>
      </c>
      <c r="BI199" s="2">
        <f>COUNTIFS(集計用!$G197,"*, "&amp;BI$3&amp;", *")</f>
        <v>0</v>
      </c>
      <c r="BJ199" s="2">
        <f>LEN(集計用!H197)-LEN(SUBSTITUTE(集計用!H197,",",""))</f>
        <v>2</v>
      </c>
    </row>
    <row r="200" spans="1:62" ht="12.75">
      <c r="A200" s="8">
        <v>197</v>
      </c>
      <c r="C200" s="2">
        <f t="shared" si="3"/>
        <v>8</v>
      </c>
      <c r="D200" s="9"/>
      <c r="E200" s="2">
        <f>COUNTIFS(集計用!$G198,"*, "&amp;E$3&amp;", *")</f>
        <v>1</v>
      </c>
      <c r="F200" s="2">
        <f>COUNTIFS(集計用!$G198,"*, "&amp;F$3&amp;", *")</f>
        <v>0</v>
      </c>
      <c r="G200" s="2">
        <f>COUNTIFS(集計用!$G198,"*, "&amp;G$3&amp;", *")</f>
        <v>0</v>
      </c>
      <c r="H200" s="2">
        <f>COUNTIFS(集計用!$G198,"*, "&amp;H$3&amp;", *")</f>
        <v>1</v>
      </c>
      <c r="I200" s="2">
        <f>COUNTIFS(集計用!$G198,"*, "&amp;I$3&amp;", *")</f>
        <v>0</v>
      </c>
      <c r="J200" s="2">
        <f>COUNTIFS(集計用!$G198,"*, "&amp;J$3&amp;", *")</f>
        <v>1</v>
      </c>
      <c r="K200" s="2">
        <f>COUNTIFS(集計用!$G198,"*, "&amp;K$3&amp;", *")</f>
        <v>0</v>
      </c>
      <c r="L200" s="2">
        <f>COUNTIFS(集計用!$G198,"*, "&amp;L$3&amp;", *")</f>
        <v>0</v>
      </c>
      <c r="M200" s="2">
        <f>COUNTIFS(集計用!$G198,"*, "&amp;M$3&amp;", *")</f>
        <v>0</v>
      </c>
      <c r="N200" s="2">
        <f>COUNTIFS(集計用!$G198,"*, "&amp;N$3&amp;", *")</f>
        <v>0</v>
      </c>
      <c r="O200" s="2">
        <f>COUNTIFS(集計用!$G198,"*, "&amp;O$3&amp;", *")</f>
        <v>0</v>
      </c>
      <c r="P200" s="2">
        <f>COUNTIFS(集計用!$G198,"*, "&amp;P$3&amp;", *")</f>
        <v>0</v>
      </c>
      <c r="Q200" s="2">
        <f>COUNTIFS(集計用!$G198,"*, "&amp;Q$3&amp;", *")</f>
        <v>1</v>
      </c>
      <c r="R200" s="2">
        <f>COUNTIFS(集計用!$G198,"*, "&amp;R$3&amp;", *")</f>
        <v>0</v>
      </c>
      <c r="S200" s="2">
        <f>COUNTIFS(集計用!$G198,"*, "&amp;S$3&amp;", *")</f>
        <v>0</v>
      </c>
      <c r="T200" s="2">
        <f>COUNTIFS(集計用!$G198,"*, "&amp;T$3&amp;", *")</f>
        <v>0</v>
      </c>
      <c r="U200" s="2">
        <f>COUNTIFS(集計用!$G198,"*, "&amp;U$3&amp;", *")</f>
        <v>0</v>
      </c>
      <c r="V200" s="2">
        <f>COUNTIFS(集計用!$G198,"*, "&amp;V$3&amp;", *")</f>
        <v>0</v>
      </c>
      <c r="W200" s="2">
        <f>COUNTIFS(集計用!$G198,"*, "&amp;W$3&amp;", *")</f>
        <v>0</v>
      </c>
      <c r="X200" s="2">
        <f>COUNTIFS(集計用!$G198,"*, "&amp;X$3&amp;", *")</f>
        <v>0</v>
      </c>
      <c r="Y200" s="2">
        <f>COUNTIFS(集計用!$G198,"*, "&amp;Y$3&amp;", *")</f>
        <v>0</v>
      </c>
      <c r="Z200" s="2">
        <f>COUNTIFS(集計用!$G198,"*, "&amp;Z$3&amp;", *")</f>
        <v>0</v>
      </c>
      <c r="AA200" s="2">
        <f>COUNTIFS(集計用!$G198,"*, "&amp;AA$3&amp;", *")</f>
        <v>0</v>
      </c>
      <c r="AB200" s="2">
        <f>COUNTIFS(集計用!$G198,"*, "&amp;AB$3&amp;", *")</f>
        <v>0</v>
      </c>
      <c r="AC200" s="2">
        <f>COUNTIFS(集計用!$G198,"*, "&amp;AC$3&amp;", *")</f>
        <v>0</v>
      </c>
      <c r="AD200" s="2">
        <f>COUNTIFS(集計用!$G198,"*, "&amp;AD$3&amp;", *")</f>
        <v>1</v>
      </c>
      <c r="AE200" s="2">
        <f>COUNTIFS(集計用!$G198,"*, "&amp;AE$3&amp;", *")</f>
        <v>1</v>
      </c>
      <c r="AF200" s="2">
        <f>COUNTIFS(集計用!$G198,"*, "&amp;AF$3&amp;", *")</f>
        <v>0</v>
      </c>
      <c r="AG200" s="2">
        <f>COUNTIFS(集計用!$G198,"*, "&amp;AG$3&amp;", *")</f>
        <v>0</v>
      </c>
      <c r="AH200" s="2">
        <f>COUNTIFS(集計用!$G198,"*, "&amp;AH$3&amp;", *")</f>
        <v>0</v>
      </c>
      <c r="AI200" s="2">
        <f>COUNTIFS(集計用!$G198,"*, "&amp;AI$3&amp;", *")</f>
        <v>0</v>
      </c>
      <c r="AJ200" s="2">
        <f>COUNTIFS(集計用!$G198,"*, "&amp;AJ$3&amp;", *")</f>
        <v>0</v>
      </c>
      <c r="AK200" s="2">
        <f>COUNTIFS(集計用!$G198,"*, "&amp;AK$3&amp;", *")</f>
        <v>0</v>
      </c>
      <c r="AL200" s="2">
        <f>COUNTIFS(集計用!$G198,"*, "&amp;AL$3&amp;", *")</f>
        <v>0</v>
      </c>
      <c r="AM200" s="2">
        <f>COUNTIFS(集計用!$G198,"*, "&amp;AM$3&amp;", *")</f>
        <v>0</v>
      </c>
      <c r="AN200" s="2">
        <f>COUNTIFS(集計用!$G198,"*, "&amp;AN$3&amp;", *")</f>
        <v>0</v>
      </c>
      <c r="AO200" s="2">
        <f>COUNTIFS(集計用!$G198,"*, "&amp;AO$3&amp;", *")</f>
        <v>0</v>
      </c>
      <c r="AP200" s="2">
        <f>COUNTIFS(集計用!$G198,"*, "&amp;AP$3&amp;", *")</f>
        <v>0</v>
      </c>
      <c r="AQ200" s="2">
        <f>COUNTIFS(集計用!$G198,"*, "&amp;AQ$3&amp;", *")</f>
        <v>0</v>
      </c>
      <c r="AR200" s="2">
        <f>COUNTIFS(集計用!$G198,"*, "&amp;AR$3&amp;", *")</f>
        <v>0</v>
      </c>
      <c r="AS200" s="2">
        <f>COUNTIFS(集計用!$G198,"*, "&amp;AS$3&amp;", *")</f>
        <v>0</v>
      </c>
      <c r="AT200" s="2">
        <f>COUNTIFS(集計用!$G198,"*, "&amp;AT$3&amp;", *")</f>
        <v>1</v>
      </c>
      <c r="AU200" s="2">
        <f>COUNTIFS(集計用!$G198,"*, "&amp;AU$3&amp;", *")</f>
        <v>0</v>
      </c>
      <c r="AV200" s="2">
        <f>COUNTIFS(集計用!$G198,"*, "&amp;AV$3&amp;", *")</f>
        <v>0</v>
      </c>
      <c r="AW200" s="2">
        <f>COUNTIFS(集計用!$G198,"*, "&amp;AW$3&amp;", *")</f>
        <v>0</v>
      </c>
      <c r="AX200" s="2">
        <f>COUNTIFS(集計用!$G198,"*, "&amp;AX$3&amp;", *")</f>
        <v>1</v>
      </c>
      <c r="AY200" s="2">
        <f>COUNTIFS(集計用!$G198,"*, "&amp;AY$3&amp;", *")</f>
        <v>0</v>
      </c>
      <c r="AZ200" s="2">
        <f>COUNTIFS(集計用!$G198,"*, "&amp;AZ$3&amp;", *")</f>
        <v>0</v>
      </c>
      <c r="BA200" s="2">
        <f>COUNTIFS(集計用!$G198,"*, "&amp;BA$3&amp;", *")</f>
        <v>0</v>
      </c>
      <c r="BB200" s="2">
        <f>COUNTIFS(集計用!$G198,"*, "&amp;BB$3&amp;", *")</f>
        <v>0</v>
      </c>
      <c r="BC200" s="2">
        <f>COUNTIFS(集計用!$G198,"*, "&amp;BC$3&amp;", *")</f>
        <v>0</v>
      </c>
      <c r="BD200" s="2">
        <f>COUNTIFS(集計用!$G198,"*, "&amp;BD$3&amp;", *")</f>
        <v>0</v>
      </c>
      <c r="BE200" s="2">
        <f>COUNTIFS(集計用!$G198,"*, "&amp;BE$3&amp;", *")</f>
        <v>0</v>
      </c>
      <c r="BF200" s="2">
        <f>COUNTIFS(集計用!$G198,"*, "&amp;BF$3&amp;", *")</f>
        <v>0</v>
      </c>
      <c r="BG200" s="2">
        <f>COUNTIFS(集計用!$G198,"*, "&amp;BG$3&amp;", *")</f>
        <v>0</v>
      </c>
      <c r="BH200" s="2">
        <f>COUNTIFS(集計用!$G198,"*, "&amp;BH$3&amp;", *")</f>
        <v>0</v>
      </c>
      <c r="BI200" s="2">
        <f>COUNTIFS(集計用!$G198,"*, "&amp;BI$3&amp;", *")</f>
        <v>0</v>
      </c>
      <c r="BJ200" s="2">
        <f>LEN(集計用!H198)-LEN(SUBSTITUTE(集計用!H198,",",""))</f>
        <v>0</v>
      </c>
    </row>
    <row r="201" spans="1:62" ht="12.75">
      <c r="A201" s="8">
        <v>198</v>
      </c>
      <c r="C201" s="2">
        <f t="shared" si="3"/>
        <v>3</v>
      </c>
      <c r="D201" s="9"/>
      <c r="E201" s="2">
        <f>COUNTIFS(集計用!$G199,"*, "&amp;E$3&amp;", *")</f>
        <v>0</v>
      </c>
      <c r="F201" s="2">
        <f>COUNTIFS(集計用!$G199,"*, "&amp;F$3&amp;", *")</f>
        <v>0</v>
      </c>
      <c r="G201" s="2">
        <f>COUNTIFS(集計用!$G199,"*, "&amp;G$3&amp;", *")</f>
        <v>0</v>
      </c>
      <c r="H201" s="2">
        <f>COUNTIFS(集計用!$G199,"*, "&amp;H$3&amp;", *")</f>
        <v>0</v>
      </c>
      <c r="I201" s="2">
        <f>COUNTIFS(集計用!$G199,"*, "&amp;I$3&amp;", *")</f>
        <v>0</v>
      </c>
      <c r="J201" s="2">
        <f>COUNTIFS(集計用!$G199,"*, "&amp;J$3&amp;", *")</f>
        <v>0</v>
      </c>
      <c r="K201" s="2">
        <f>COUNTIFS(集計用!$G199,"*, "&amp;K$3&amp;", *")</f>
        <v>0</v>
      </c>
      <c r="L201" s="2">
        <f>COUNTIFS(集計用!$G199,"*, "&amp;L$3&amp;", *")</f>
        <v>0</v>
      </c>
      <c r="M201" s="2">
        <f>COUNTIFS(集計用!$G199,"*, "&amp;M$3&amp;", *")</f>
        <v>0</v>
      </c>
      <c r="N201" s="2">
        <f>COUNTIFS(集計用!$G199,"*, "&amp;N$3&amp;", *")</f>
        <v>0</v>
      </c>
      <c r="O201" s="2">
        <f>COUNTIFS(集計用!$G199,"*, "&amp;O$3&amp;", *")</f>
        <v>0</v>
      </c>
      <c r="P201" s="2">
        <f>COUNTIFS(集計用!$G199,"*, "&amp;P$3&amp;", *")</f>
        <v>0</v>
      </c>
      <c r="Q201" s="2">
        <f>COUNTIFS(集計用!$G199,"*, "&amp;Q$3&amp;", *")</f>
        <v>1</v>
      </c>
      <c r="R201" s="2">
        <f>COUNTIFS(集計用!$G199,"*, "&amp;R$3&amp;", *")</f>
        <v>0</v>
      </c>
      <c r="S201" s="2">
        <f>COUNTIFS(集計用!$G199,"*, "&amp;S$3&amp;", *")</f>
        <v>0</v>
      </c>
      <c r="T201" s="2">
        <f>COUNTIFS(集計用!$G199,"*, "&amp;T$3&amp;", *")</f>
        <v>0</v>
      </c>
      <c r="U201" s="2">
        <f>COUNTIFS(集計用!$G199,"*, "&amp;U$3&amp;", *")</f>
        <v>0</v>
      </c>
      <c r="V201" s="2">
        <f>COUNTIFS(集計用!$G199,"*, "&amp;V$3&amp;", *")</f>
        <v>0</v>
      </c>
      <c r="W201" s="2">
        <f>COUNTIFS(集計用!$G199,"*, "&amp;W$3&amp;", *")</f>
        <v>0</v>
      </c>
      <c r="X201" s="2">
        <f>COUNTIFS(集計用!$G199,"*, "&amp;X$3&amp;", *")</f>
        <v>0</v>
      </c>
      <c r="Y201" s="2">
        <f>COUNTIFS(集計用!$G199,"*, "&amp;Y$3&amp;", *")</f>
        <v>0</v>
      </c>
      <c r="Z201" s="2">
        <f>COUNTIFS(集計用!$G199,"*, "&amp;Z$3&amp;", *")</f>
        <v>0</v>
      </c>
      <c r="AA201" s="2">
        <f>COUNTIFS(集計用!$G199,"*, "&amp;AA$3&amp;", *")</f>
        <v>0</v>
      </c>
      <c r="AB201" s="2">
        <f>COUNTIFS(集計用!$G199,"*, "&amp;AB$3&amp;", *")</f>
        <v>0</v>
      </c>
      <c r="AC201" s="2">
        <f>COUNTIFS(集計用!$G199,"*, "&amp;AC$3&amp;", *")</f>
        <v>0</v>
      </c>
      <c r="AD201" s="2">
        <f>COUNTIFS(集計用!$G199,"*, "&amp;AD$3&amp;", *")</f>
        <v>0</v>
      </c>
      <c r="AE201" s="2">
        <f>COUNTIFS(集計用!$G199,"*, "&amp;AE$3&amp;", *")</f>
        <v>0</v>
      </c>
      <c r="AF201" s="2">
        <f>COUNTIFS(集計用!$G199,"*, "&amp;AF$3&amp;", *")</f>
        <v>0</v>
      </c>
      <c r="AG201" s="2">
        <f>COUNTIFS(集計用!$G199,"*, "&amp;AG$3&amp;", *")</f>
        <v>0</v>
      </c>
      <c r="AH201" s="2">
        <f>COUNTIFS(集計用!$G199,"*, "&amp;AH$3&amp;", *")</f>
        <v>0</v>
      </c>
      <c r="AI201" s="2">
        <f>COUNTIFS(集計用!$G199,"*, "&amp;AI$3&amp;", *")</f>
        <v>0</v>
      </c>
      <c r="AJ201" s="2">
        <f>COUNTIFS(集計用!$G199,"*, "&amp;AJ$3&amp;", *")</f>
        <v>0</v>
      </c>
      <c r="AK201" s="2">
        <f>COUNTIFS(集計用!$G199,"*, "&amp;AK$3&amp;", *")</f>
        <v>1</v>
      </c>
      <c r="AL201" s="2">
        <f>COUNTIFS(集計用!$G199,"*, "&amp;AL$3&amp;", *")</f>
        <v>0</v>
      </c>
      <c r="AM201" s="2">
        <f>COUNTIFS(集計用!$G199,"*, "&amp;AM$3&amp;", *")</f>
        <v>0</v>
      </c>
      <c r="AN201" s="2">
        <f>COUNTIFS(集計用!$G199,"*, "&amp;AN$3&amp;", *")</f>
        <v>0</v>
      </c>
      <c r="AO201" s="2">
        <f>COUNTIFS(集計用!$G199,"*, "&amp;AO$3&amp;", *")</f>
        <v>0</v>
      </c>
      <c r="AP201" s="2">
        <f>COUNTIFS(集計用!$G199,"*, "&amp;AP$3&amp;", *")</f>
        <v>0</v>
      </c>
      <c r="AQ201" s="2">
        <f>COUNTIFS(集計用!$G199,"*, "&amp;AQ$3&amp;", *")</f>
        <v>0</v>
      </c>
      <c r="AR201" s="2">
        <f>COUNTIFS(集計用!$G199,"*, "&amp;AR$3&amp;", *")</f>
        <v>0</v>
      </c>
      <c r="AS201" s="2">
        <f>COUNTIFS(集計用!$G199,"*, "&amp;AS$3&amp;", *")</f>
        <v>0</v>
      </c>
      <c r="AT201" s="2">
        <f>COUNTIFS(集計用!$G199,"*, "&amp;AT$3&amp;", *")</f>
        <v>1</v>
      </c>
      <c r="AU201" s="2">
        <f>COUNTIFS(集計用!$G199,"*, "&amp;AU$3&amp;", *")</f>
        <v>0</v>
      </c>
      <c r="AV201" s="2">
        <f>COUNTIFS(集計用!$G199,"*, "&amp;AV$3&amp;", *")</f>
        <v>0</v>
      </c>
      <c r="AW201" s="2">
        <f>COUNTIFS(集計用!$G199,"*, "&amp;AW$3&amp;", *")</f>
        <v>0</v>
      </c>
      <c r="AX201" s="2">
        <f>COUNTIFS(集計用!$G199,"*, "&amp;AX$3&amp;", *")</f>
        <v>0</v>
      </c>
      <c r="AY201" s="2">
        <f>COUNTIFS(集計用!$G199,"*, "&amp;AY$3&amp;", *")</f>
        <v>0</v>
      </c>
      <c r="AZ201" s="2">
        <f>COUNTIFS(集計用!$G199,"*, "&amp;AZ$3&amp;", *")</f>
        <v>0</v>
      </c>
      <c r="BA201" s="2">
        <f>COUNTIFS(集計用!$G199,"*, "&amp;BA$3&amp;", *")</f>
        <v>0</v>
      </c>
      <c r="BB201" s="2">
        <f>COUNTIFS(集計用!$G199,"*, "&amp;BB$3&amp;", *")</f>
        <v>0</v>
      </c>
      <c r="BC201" s="2">
        <f>COUNTIFS(集計用!$G199,"*, "&amp;BC$3&amp;", *")</f>
        <v>0</v>
      </c>
      <c r="BD201" s="2">
        <f>COUNTIFS(集計用!$G199,"*, "&amp;BD$3&amp;", *")</f>
        <v>0</v>
      </c>
      <c r="BE201" s="2">
        <f>COUNTIFS(集計用!$G199,"*, "&amp;BE$3&amp;", *")</f>
        <v>0</v>
      </c>
      <c r="BF201" s="2">
        <f>COUNTIFS(集計用!$G199,"*, "&amp;BF$3&amp;", *")</f>
        <v>0</v>
      </c>
      <c r="BG201" s="2">
        <f>COUNTIFS(集計用!$G199,"*, "&amp;BG$3&amp;", *")</f>
        <v>0</v>
      </c>
      <c r="BH201" s="2">
        <f>COUNTIFS(集計用!$G199,"*, "&amp;BH$3&amp;", *")</f>
        <v>0</v>
      </c>
      <c r="BI201" s="2">
        <f>COUNTIFS(集計用!$G199,"*, "&amp;BI$3&amp;", *")</f>
        <v>0</v>
      </c>
      <c r="BJ201" s="2">
        <f>LEN(集計用!H199)-LEN(SUBSTITUTE(集計用!H199,",",""))</f>
        <v>0</v>
      </c>
    </row>
    <row r="202" spans="1:62" ht="12.75">
      <c r="A202" s="8">
        <v>199</v>
      </c>
      <c r="C202" s="2">
        <f t="shared" si="3"/>
        <v>6</v>
      </c>
      <c r="D202" s="9"/>
      <c r="E202" s="2">
        <f>COUNTIFS(集計用!$G200,"*, "&amp;E$3&amp;", *")</f>
        <v>1</v>
      </c>
      <c r="F202" s="2">
        <f>COUNTIFS(集計用!$G200,"*, "&amp;F$3&amp;", *")</f>
        <v>0</v>
      </c>
      <c r="G202" s="2">
        <f>COUNTIFS(集計用!$G200,"*, "&amp;G$3&amp;", *")</f>
        <v>0</v>
      </c>
      <c r="H202" s="2">
        <f>COUNTIFS(集計用!$G200,"*, "&amp;H$3&amp;", *")</f>
        <v>0</v>
      </c>
      <c r="I202" s="2">
        <f>COUNTIFS(集計用!$G200,"*, "&amp;I$3&amp;", *")</f>
        <v>0</v>
      </c>
      <c r="J202" s="2">
        <f>COUNTIFS(集計用!$G200,"*, "&amp;J$3&amp;", *")</f>
        <v>0</v>
      </c>
      <c r="K202" s="2">
        <f>COUNTIFS(集計用!$G200,"*, "&amp;K$3&amp;", *")</f>
        <v>0</v>
      </c>
      <c r="L202" s="2">
        <f>COUNTIFS(集計用!$G200,"*, "&amp;L$3&amp;", *")</f>
        <v>0</v>
      </c>
      <c r="M202" s="2">
        <f>COUNTIFS(集計用!$G200,"*, "&amp;M$3&amp;", *")</f>
        <v>0</v>
      </c>
      <c r="N202" s="2">
        <f>COUNTIFS(集計用!$G200,"*, "&amp;N$3&amp;", *")</f>
        <v>0</v>
      </c>
      <c r="O202" s="2">
        <f>COUNTIFS(集計用!$G200,"*, "&amp;O$3&amp;", *")</f>
        <v>0</v>
      </c>
      <c r="P202" s="2">
        <f>COUNTIFS(集計用!$G200,"*, "&amp;P$3&amp;", *")</f>
        <v>0</v>
      </c>
      <c r="Q202" s="2">
        <f>COUNTIFS(集計用!$G200,"*, "&amp;Q$3&amp;", *")</f>
        <v>1</v>
      </c>
      <c r="R202" s="2">
        <f>COUNTIFS(集計用!$G200,"*, "&amp;R$3&amp;", *")</f>
        <v>0</v>
      </c>
      <c r="S202" s="2">
        <f>COUNTIFS(集計用!$G200,"*, "&amp;S$3&amp;", *")</f>
        <v>0</v>
      </c>
      <c r="T202" s="2">
        <f>COUNTIFS(集計用!$G200,"*, "&amp;T$3&amp;", *")</f>
        <v>0</v>
      </c>
      <c r="U202" s="2">
        <f>COUNTIFS(集計用!$G200,"*, "&amp;U$3&amp;", *")</f>
        <v>0</v>
      </c>
      <c r="V202" s="2">
        <f>COUNTIFS(集計用!$G200,"*, "&amp;V$3&amp;", *")</f>
        <v>0</v>
      </c>
      <c r="W202" s="2">
        <f>COUNTIFS(集計用!$G200,"*, "&amp;W$3&amp;", *")</f>
        <v>0</v>
      </c>
      <c r="X202" s="2">
        <f>COUNTIFS(集計用!$G200,"*, "&amp;X$3&amp;", *")</f>
        <v>1</v>
      </c>
      <c r="Y202" s="2">
        <f>COUNTIFS(集計用!$G200,"*, "&amp;Y$3&amp;", *")</f>
        <v>0</v>
      </c>
      <c r="Z202" s="2">
        <f>COUNTIFS(集計用!$G200,"*, "&amp;Z$3&amp;", *")</f>
        <v>0</v>
      </c>
      <c r="AA202" s="2">
        <f>COUNTIFS(集計用!$G200,"*, "&amp;AA$3&amp;", *")</f>
        <v>0</v>
      </c>
      <c r="AB202" s="2">
        <f>COUNTIFS(集計用!$G200,"*, "&amp;AB$3&amp;", *")</f>
        <v>0</v>
      </c>
      <c r="AC202" s="2">
        <f>COUNTIFS(集計用!$G200,"*, "&amp;AC$3&amp;", *")</f>
        <v>0</v>
      </c>
      <c r="AD202" s="2">
        <f>COUNTIFS(集計用!$G200,"*, "&amp;AD$3&amp;", *")</f>
        <v>0</v>
      </c>
      <c r="AE202" s="2">
        <f>COUNTIFS(集計用!$G200,"*, "&amp;AE$3&amp;", *")</f>
        <v>0</v>
      </c>
      <c r="AF202" s="2">
        <f>COUNTIFS(集計用!$G200,"*, "&amp;AF$3&amp;", *")</f>
        <v>0</v>
      </c>
      <c r="AG202" s="2">
        <f>COUNTIFS(集計用!$G200,"*, "&amp;AG$3&amp;", *")</f>
        <v>0</v>
      </c>
      <c r="AH202" s="2">
        <f>COUNTIFS(集計用!$G200,"*, "&amp;AH$3&amp;", *")</f>
        <v>0</v>
      </c>
      <c r="AI202" s="2">
        <f>COUNTIFS(集計用!$G200,"*, "&amp;AI$3&amp;", *")</f>
        <v>0</v>
      </c>
      <c r="AJ202" s="2">
        <f>COUNTIFS(集計用!$G200,"*, "&amp;AJ$3&amp;", *")</f>
        <v>1</v>
      </c>
      <c r="AK202" s="2">
        <f>COUNTIFS(集計用!$G200,"*, "&amp;AK$3&amp;", *")</f>
        <v>0</v>
      </c>
      <c r="AL202" s="2">
        <f>COUNTIFS(集計用!$G200,"*, "&amp;AL$3&amp;", *")</f>
        <v>0</v>
      </c>
      <c r="AM202" s="2">
        <f>COUNTIFS(集計用!$G200,"*, "&amp;AM$3&amp;", *")</f>
        <v>0</v>
      </c>
      <c r="AN202" s="2">
        <f>COUNTIFS(集計用!$G200,"*, "&amp;AN$3&amp;", *")</f>
        <v>0</v>
      </c>
      <c r="AO202" s="2">
        <f>COUNTIFS(集計用!$G200,"*, "&amp;AO$3&amp;", *")</f>
        <v>0</v>
      </c>
      <c r="AP202" s="2">
        <f>COUNTIFS(集計用!$G200,"*, "&amp;AP$3&amp;", *")</f>
        <v>1</v>
      </c>
      <c r="AQ202" s="2">
        <f>COUNTIFS(集計用!$G200,"*, "&amp;AQ$3&amp;", *")</f>
        <v>0</v>
      </c>
      <c r="AR202" s="2">
        <f>COUNTIFS(集計用!$G200,"*, "&amp;AR$3&amp;", *")</f>
        <v>0</v>
      </c>
      <c r="AS202" s="2">
        <f>COUNTIFS(集計用!$G200,"*, "&amp;AS$3&amp;", *")</f>
        <v>0</v>
      </c>
      <c r="AT202" s="2">
        <f>COUNTIFS(集計用!$G200,"*, "&amp;AT$3&amp;", *")</f>
        <v>0</v>
      </c>
      <c r="AU202" s="2">
        <f>COUNTIFS(集計用!$G200,"*, "&amp;AU$3&amp;", *")</f>
        <v>1</v>
      </c>
      <c r="AV202" s="2">
        <f>COUNTIFS(集計用!$G200,"*, "&amp;AV$3&amp;", *")</f>
        <v>0</v>
      </c>
      <c r="AW202" s="2">
        <f>COUNTIFS(集計用!$G200,"*, "&amp;AW$3&amp;", *")</f>
        <v>0</v>
      </c>
      <c r="AX202" s="2">
        <f>COUNTIFS(集計用!$G200,"*, "&amp;AX$3&amp;", *")</f>
        <v>0</v>
      </c>
      <c r="AY202" s="2">
        <f>COUNTIFS(集計用!$G200,"*, "&amp;AY$3&amp;", *")</f>
        <v>0</v>
      </c>
      <c r="AZ202" s="2">
        <f>COUNTIFS(集計用!$G200,"*, "&amp;AZ$3&amp;", *")</f>
        <v>0</v>
      </c>
      <c r="BA202" s="2">
        <f>COUNTIFS(集計用!$G200,"*, "&amp;BA$3&amp;", *")</f>
        <v>0</v>
      </c>
      <c r="BB202" s="2">
        <f>COUNTIFS(集計用!$G200,"*, "&amp;BB$3&amp;", *")</f>
        <v>0</v>
      </c>
      <c r="BC202" s="2">
        <f>COUNTIFS(集計用!$G200,"*, "&amp;BC$3&amp;", *")</f>
        <v>0</v>
      </c>
      <c r="BD202" s="2">
        <f>COUNTIFS(集計用!$G200,"*, "&amp;BD$3&amp;", *")</f>
        <v>0</v>
      </c>
      <c r="BE202" s="2">
        <f>COUNTIFS(集計用!$G200,"*, "&amp;BE$3&amp;", *")</f>
        <v>0</v>
      </c>
      <c r="BF202" s="2">
        <f>COUNTIFS(集計用!$G200,"*, "&amp;BF$3&amp;", *")</f>
        <v>0</v>
      </c>
      <c r="BG202" s="2">
        <f>COUNTIFS(集計用!$G200,"*, "&amp;BG$3&amp;", *")</f>
        <v>0</v>
      </c>
      <c r="BH202" s="2">
        <f>COUNTIFS(集計用!$G200,"*, "&amp;BH$3&amp;", *")</f>
        <v>0</v>
      </c>
      <c r="BI202" s="2">
        <f>COUNTIFS(集計用!$G200,"*, "&amp;BI$3&amp;", *")</f>
        <v>0</v>
      </c>
      <c r="BJ202" s="2">
        <f>LEN(集計用!H200)-LEN(SUBSTITUTE(集計用!H200,",",""))</f>
        <v>0</v>
      </c>
    </row>
    <row r="203" spans="1:62" ht="12.75">
      <c r="A203" s="8">
        <v>200</v>
      </c>
      <c r="C203" s="2">
        <f t="shared" si="3"/>
        <v>10</v>
      </c>
      <c r="D203" s="9"/>
      <c r="E203" s="2">
        <f>COUNTIFS(集計用!$G201,"*, "&amp;E$3&amp;", *")</f>
        <v>1</v>
      </c>
      <c r="F203" s="2">
        <f>COUNTIFS(集計用!$G201,"*, "&amp;F$3&amp;", *")</f>
        <v>0</v>
      </c>
      <c r="G203" s="2">
        <f>COUNTIFS(集計用!$G201,"*, "&amp;G$3&amp;", *")</f>
        <v>1</v>
      </c>
      <c r="H203" s="2">
        <f>COUNTIFS(集計用!$G201,"*, "&amp;H$3&amp;", *")</f>
        <v>0</v>
      </c>
      <c r="I203" s="2">
        <f>COUNTIFS(集計用!$G201,"*, "&amp;I$3&amp;", *")</f>
        <v>0</v>
      </c>
      <c r="J203" s="2">
        <f>COUNTIFS(集計用!$G201,"*, "&amp;J$3&amp;", *")</f>
        <v>0</v>
      </c>
      <c r="K203" s="2">
        <f>COUNTIFS(集計用!$G201,"*, "&amp;K$3&amp;", *")</f>
        <v>0</v>
      </c>
      <c r="L203" s="2">
        <f>COUNTIFS(集計用!$G201,"*, "&amp;L$3&amp;", *")</f>
        <v>0</v>
      </c>
      <c r="M203" s="2">
        <f>COUNTIFS(集計用!$G201,"*, "&amp;M$3&amp;", *")</f>
        <v>0</v>
      </c>
      <c r="N203" s="2">
        <f>COUNTIFS(集計用!$G201,"*, "&amp;N$3&amp;", *")</f>
        <v>1</v>
      </c>
      <c r="O203" s="2">
        <f>COUNTIFS(集計用!$G201,"*, "&amp;O$3&amp;", *")</f>
        <v>1</v>
      </c>
      <c r="P203" s="2">
        <f>COUNTIFS(集計用!$G201,"*, "&amp;P$3&amp;", *")</f>
        <v>0</v>
      </c>
      <c r="Q203" s="2">
        <f>COUNTIFS(集計用!$G201,"*, "&amp;Q$3&amp;", *")</f>
        <v>0</v>
      </c>
      <c r="R203" s="2">
        <f>COUNTIFS(集計用!$G201,"*, "&amp;R$3&amp;", *")</f>
        <v>0</v>
      </c>
      <c r="S203" s="2">
        <f>COUNTIFS(集計用!$G201,"*, "&amp;S$3&amp;", *")</f>
        <v>0</v>
      </c>
      <c r="T203" s="2">
        <f>COUNTIFS(集計用!$G201,"*, "&amp;T$3&amp;", *")</f>
        <v>0</v>
      </c>
      <c r="U203" s="2">
        <f>COUNTIFS(集計用!$G201,"*, "&amp;U$3&amp;", *")</f>
        <v>1</v>
      </c>
      <c r="V203" s="2">
        <f>COUNTIFS(集計用!$G201,"*, "&amp;V$3&amp;", *")</f>
        <v>1</v>
      </c>
      <c r="W203" s="2">
        <f>COUNTIFS(集計用!$G201,"*, "&amp;W$3&amp;", *")</f>
        <v>0</v>
      </c>
      <c r="X203" s="2">
        <f>COUNTIFS(集計用!$G201,"*, "&amp;X$3&amp;", *")</f>
        <v>0</v>
      </c>
      <c r="Y203" s="2">
        <f>COUNTIFS(集計用!$G201,"*, "&amp;Y$3&amp;", *")</f>
        <v>1</v>
      </c>
      <c r="Z203" s="2">
        <f>COUNTIFS(集計用!$G201,"*, "&amp;Z$3&amp;", *")</f>
        <v>0</v>
      </c>
      <c r="AA203" s="2">
        <f>COUNTIFS(集計用!$G201,"*, "&amp;AA$3&amp;", *")</f>
        <v>0</v>
      </c>
      <c r="AB203" s="2">
        <f>COUNTIFS(集計用!$G201,"*, "&amp;AB$3&amp;", *")</f>
        <v>0</v>
      </c>
      <c r="AC203" s="2">
        <f>COUNTIFS(集計用!$G201,"*, "&amp;AC$3&amp;", *")</f>
        <v>0</v>
      </c>
      <c r="AD203" s="2">
        <f>COUNTIFS(集計用!$G201,"*, "&amp;AD$3&amp;", *")</f>
        <v>0</v>
      </c>
      <c r="AE203" s="2">
        <f>COUNTIFS(集計用!$G201,"*, "&amp;AE$3&amp;", *")</f>
        <v>0</v>
      </c>
      <c r="AF203" s="2">
        <f>COUNTIFS(集計用!$G201,"*, "&amp;AF$3&amp;", *")</f>
        <v>0</v>
      </c>
      <c r="AG203" s="2">
        <f>COUNTIFS(集計用!$G201,"*, "&amp;AG$3&amp;", *")</f>
        <v>0</v>
      </c>
      <c r="AH203" s="2">
        <f>COUNTIFS(集計用!$G201,"*, "&amp;AH$3&amp;", *")</f>
        <v>0</v>
      </c>
      <c r="AI203" s="2">
        <f>COUNTIFS(集計用!$G201,"*, "&amp;AI$3&amp;", *")</f>
        <v>0</v>
      </c>
      <c r="AJ203" s="2">
        <f>COUNTIFS(集計用!$G201,"*, "&amp;AJ$3&amp;", *")</f>
        <v>0</v>
      </c>
      <c r="AK203" s="2">
        <f>COUNTIFS(集計用!$G201,"*, "&amp;AK$3&amp;", *")</f>
        <v>0</v>
      </c>
      <c r="AL203" s="2">
        <f>COUNTIFS(集計用!$G201,"*, "&amp;AL$3&amp;", *")</f>
        <v>0</v>
      </c>
      <c r="AM203" s="2">
        <f>COUNTIFS(集計用!$G201,"*, "&amp;AM$3&amp;", *")</f>
        <v>1</v>
      </c>
      <c r="AN203" s="2">
        <f>COUNTIFS(集計用!$G201,"*, "&amp;AN$3&amp;", *")</f>
        <v>0</v>
      </c>
      <c r="AO203" s="2">
        <f>COUNTIFS(集計用!$G201,"*, "&amp;AO$3&amp;", *")</f>
        <v>0</v>
      </c>
      <c r="AP203" s="2">
        <f>COUNTIFS(集計用!$G201,"*, "&amp;AP$3&amp;", *")</f>
        <v>0</v>
      </c>
      <c r="AQ203" s="2">
        <f>COUNTIFS(集計用!$G201,"*, "&amp;AQ$3&amp;", *")</f>
        <v>0</v>
      </c>
      <c r="AR203" s="2">
        <f>COUNTIFS(集計用!$G201,"*, "&amp;AR$3&amp;", *")</f>
        <v>0</v>
      </c>
      <c r="AS203" s="2">
        <f>COUNTIFS(集計用!$G201,"*, "&amp;AS$3&amp;", *")</f>
        <v>1</v>
      </c>
      <c r="AT203" s="2">
        <f>COUNTIFS(集計用!$G201,"*, "&amp;AT$3&amp;", *")</f>
        <v>0</v>
      </c>
      <c r="AU203" s="2">
        <f>COUNTIFS(集計用!$G201,"*, "&amp;AU$3&amp;", *")</f>
        <v>0</v>
      </c>
      <c r="AV203" s="2">
        <f>COUNTIFS(集計用!$G201,"*, "&amp;AV$3&amp;", *")</f>
        <v>0</v>
      </c>
      <c r="AW203" s="2">
        <f>COUNTIFS(集計用!$G201,"*, "&amp;AW$3&amp;", *")</f>
        <v>0</v>
      </c>
      <c r="AX203" s="2">
        <f>COUNTIFS(集計用!$G201,"*, "&amp;AX$3&amp;", *")</f>
        <v>0</v>
      </c>
      <c r="AY203" s="2">
        <f>COUNTIFS(集計用!$G201,"*, "&amp;AY$3&amp;", *")</f>
        <v>0</v>
      </c>
      <c r="AZ203" s="2">
        <f>COUNTIFS(集計用!$G201,"*, "&amp;AZ$3&amp;", *")</f>
        <v>0</v>
      </c>
      <c r="BA203" s="2">
        <f>COUNTIFS(集計用!$G201,"*, "&amp;BA$3&amp;", *")</f>
        <v>1</v>
      </c>
      <c r="BB203" s="2">
        <f>COUNTIFS(集計用!$G201,"*, "&amp;BB$3&amp;", *")</f>
        <v>0</v>
      </c>
      <c r="BC203" s="2">
        <f>COUNTIFS(集計用!$G201,"*, "&amp;BC$3&amp;", *")</f>
        <v>0</v>
      </c>
      <c r="BD203" s="2">
        <f>COUNTIFS(集計用!$G201,"*, "&amp;BD$3&amp;", *")</f>
        <v>0</v>
      </c>
      <c r="BE203" s="2">
        <f>COUNTIFS(集計用!$G201,"*, "&amp;BE$3&amp;", *")</f>
        <v>0</v>
      </c>
      <c r="BF203" s="2">
        <f>COUNTIFS(集計用!$G201,"*, "&amp;BF$3&amp;", *")</f>
        <v>0</v>
      </c>
      <c r="BG203" s="2">
        <f>COUNTIFS(集計用!$G201,"*, "&amp;BG$3&amp;", *")</f>
        <v>0</v>
      </c>
      <c r="BH203" s="2">
        <f>COUNTIFS(集計用!$G201,"*, "&amp;BH$3&amp;", *")</f>
        <v>0</v>
      </c>
      <c r="BI203" s="2">
        <f>COUNTIFS(集計用!$G201,"*, "&amp;BI$3&amp;", *")</f>
        <v>0</v>
      </c>
      <c r="BJ203" s="2">
        <f>LEN(集計用!H201)-LEN(SUBSTITUTE(集計用!H201,",",""))</f>
        <v>0</v>
      </c>
    </row>
    <row r="204" spans="1:62" ht="12.75">
      <c r="A204" s="8">
        <v>201</v>
      </c>
      <c r="C204" s="2">
        <f t="shared" si="3"/>
        <v>4</v>
      </c>
      <c r="D204" s="9"/>
      <c r="E204" s="2">
        <f>COUNTIFS(集計用!$G202,"*, "&amp;E$3&amp;", *")</f>
        <v>1</v>
      </c>
      <c r="F204" s="2">
        <f>COUNTIFS(集計用!$G202,"*, "&amp;F$3&amp;", *")</f>
        <v>0</v>
      </c>
      <c r="G204" s="2">
        <f>COUNTIFS(集計用!$G202,"*, "&amp;G$3&amp;", *")</f>
        <v>0</v>
      </c>
      <c r="H204" s="2">
        <f>COUNTIFS(集計用!$G202,"*, "&amp;H$3&amp;", *")</f>
        <v>0</v>
      </c>
      <c r="I204" s="2">
        <f>COUNTIFS(集計用!$G202,"*, "&amp;I$3&amp;", *")</f>
        <v>0</v>
      </c>
      <c r="J204" s="2">
        <f>COUNTIFS(集計用!$G202,"*, "&amp;J$3&amp;", *")</f>
        <v>0</v>
      </c>
      <c r="K204" s="2">
        <f>COUNTIFS(集計用!$G202,"*, "&amp;K$3&amp;", *")</f>
        <v>0</v>
      </c>
      <c r="L204" s="2">
        <f>COUNTIFS(集計用!$G202,"*, "&amp;L$3&amp;", *")</f>
        <v>0</v>
      </c>
      <c r="M204" s="2">
        <f>COUNTIFS(集計用!$G202,"*, "&amp;M$3&amp;", *")</f>
        <v>1</v>
      </c>
      <c r="N204" s="2">
        <f>COUNTIFS(集計用!$G202,"*, "&amp;N$3&amp;", *")</f>
        <v>0</v>
      </c>
      <c r="O204" s="2">
        <f>COUNTIFS(集計用!$G202,"*, "&amp;O$3&amp;", *")</f>
        <v>0</v>
      </c>
      <c r="P204" s="2">
        <f>COUNTIFS(集計用!$G202,"*, "&amp;P$3&amp;", *")</f>
        <v>0</v>
      </c>
      <c r="Q204" s="2">
        <f>COUNTIFS(集計用!$G202,"*, "&amp;Q$3&amp;", *")</f>
        <v>0</v>
      </c>
      <c r="R204" s="2">
        <f>COUNTIFS(集計用!$G202,"*, "&amp;R$3&amp;", *")</f>
        <v>0</v>
      </c>
      <c r="S204" s="2">
        <f>COUNTIFS(集計用!$G202,"*, "&amp;S$3&amp;", *")</f>
        <v>0</v>
      </c>
      <c r="T204" s="2">
        <f>COUNTIFS(集計用!$G202,"*, "&amp;T$3&amp;", *")</f>
        <v>1</v>
      </c>
      <c r="U204" s="2">
        <f>COUNTIFS(集計用!$G202,"*, "&amp;U$3&amp;", *")</f>
        <v>0</v>
      </c>
      <c r="V204" s="2">
        <f>COUNTIFS(集計用!$G202,"*, "&amp;V$3&amp;", *")</f>
        <v>0</v>
      </c>
      <c r="W204" s="2">
        <f>COUNTIFS(集計用!$G202,"*, "&amp;W$3&amp;", *")</f>
        <v>0</v>
      </c>
      <c r="X204" s="2">
        <f>COUNTIFS(集計用!$G202,"*, "&amp;X$3&amp;", *")</f>
        <v>0</v>
      </c>
      <c r="Y204" s="2">
        <f>COUNTIFS(集計用!$G202,"*, "&amp;Y$3&amp;", *")</f>
        <v>0</v>
      </c>
      <c r="Z204" s="2">
        <f>COUNTIFS(集計用!$G202,"*, "&amp;Z$3&amp;", *")</f>
        <v>0</v>
      </c>
      <c r="AA204" s="2">
        <f>COUNTIFS(集計用!$G202,"*, "&amp;AA$3&amp;", *")</f>
        <v>0</v>
      </c>
      <c r="AB204" s="2">
        <f>COUNTIFS(集計用!$G202,"*, "&amp;AB$3&amp;", *")</f>
        <v>0</v>
      </c>
      <c r="AC204" s="2">
        <f>COUNTIFS(集計用!$G202,"*, "&amp;AC$3&amp;", *")</f>
        <v>0</v>
      </c>
      <c r="AD204" s="2">
        <f>COUNTIFS(集計用!$G202,"*, "&amp;AD$3&amp;", *")</f>
        <v>0</v>
      </c>
      <c r="AE204" s="2">
        <f>COUNTIFS(集計用!$G202,"*, "&amp;AE$3&amp;", *")</f>
        <v>0</v>
      </c>
      <c r="AF204" s="2">
        <f>COUNTIFS(集計用!$G202,"*, "&amp;AF$3&amp;", *")</f>
        <v>0</v>
      </c>
      <c r="AG204" s="2">
        <f>COUNTIFS(集計用!$G202,"*, "&amp;AG$3&amp;", *")</f>
        <v>0</v>
      </c>
      <c r="AH204" s="2">
        <f>COUNTIFS(集計用!$G202,"*, "&amp;AH$3&amp;", *")</f>
        <v>0</v>
      </c>
      <c r="AI204" s="2">
        <f>COUNTIFS(集計用!$G202,"*, "&amp;AI$3&amp;", *")</f>
        <v>0</v>
      </c>
      <c r="AJ204" s="2">
        <f>COUNTIFS(集計用!$G202,"*, "&amp;AJ$3&amp;", *")</f>
        <v>0</v>
      </c>
      <c r="AK204" s="2">
        <f>COUNTIFS(集計用!$G202,"*, "&amp;AK$3&amp;", *")</f>
        <v>0</v>
      </c>
      <c r="AL204" s="2">
        <f>COUNTIFS(集計用!$G202,"*, "&amp;AL$3&amp;", *")</f>
        <v>0</v>
      </c>
      <c r="AM204" s="2">
        <f>COUNTIFS(集計用!$G202,"*, "&amp;AM$3&amp;", *")</f>
        <v>0</v>
      </c>
      <c r="AN204" s="2">
        <f>COUNTIFS(集計用!$G202,"*, "&amp;AN$3&amp;", *")</f>
        <v>0</v>
      </c>
      <c r="AO204" s="2">
        <f>COUNTIFS(集計用!$G202,"*, "&amp;AO$3&amp;", *")</f>
        <v>0</v>
      </c>
      <c r="AP204" s="2">
        <f>COUNTIFS(集計用!$G202,"*, "&amp;AP$3&amp;", *")</f>
        <v>0</v>
      </c>
      <c r="AQ204" s="2">
        <f>COUNTIFS(集計用!$G202,"*, "&amp;AQ$3&amp;", *")</f>
        <v>0</v>
      </c>
      <c r="AR204" s="2">
        <f>COUNTIFS(集計用!$G202,"*, "&amp;AR$3&amp;", *")</f>
        <v>0</v>
      </c>
      <c r="AS204" s="2">
        <f>COUNTIFS(集計用!$G202,"*, "&amp;AS$3&amp;", *")</f>
        <v>0</v>
      </c>
      <c r="AT204" s="2">
        <f>COUNTIFS(集計用!$G202,"*, "&amp;AT$3&amp;", *")</f>
        <v>0</v>
      </c>
      <c r="AU204" s="2">
        <f>COUNTIFS(集計用!$G202,"*, "&amp;AU$3&amp;", *")</f>
        <v>0</v>
      </c>
      <c r="AV204" s="2">
        <f>COUNTIFS(集計用!$G202,"*, "&amp;AV$3&amp;", *")</f>
        <v>0</v>
      </c>
      <c r="AW204" s="2">
        <f>COUNTIFS(集計用!$G202,"*, "&amp;AW$3&amp;", *")</f>
        <v>0</v>
      </c>
      <c r="AX204" s="2">
        <f>COUNTIFS(集計用!$G202,"*, "&amp;AX$3&amp;", *")</f>
        <v>0</v>
      </c>
      <c r="AY204" s="2">
        <f>COUNTIFS(集計用!$G202,"*, "&amp;AY$3&amp;", *")</f>
        <v>0</v>
      </c>
      <c r="AZ204" s="2">
        <f>COUNTIFS(集計用!$G202,"*, "&amp;AZ$3&amp;", *")</f>
        <v>0</v>
      </c>
      <c r="BA204" s="2">
        <f>COUNTIFS(集計用!$G202,"*, "&amp;BA$3&amp;", *")</f>
        <v>0</v>
      </c>
      <c r="BB204" s="2">
        <f>COUNTIFS(集計用!$G202,"*, "&amp;BB$3&amp;", *")</f>
        <v>0</v>
      </c>
      <c r="BC204" s="2">
        <f>COUNTIFS(集計用!$G202,"*, "&amp;BC$3&amp;", *")</f>
        <v>0</v>
      </c>
      <c r="BD204" s="2">
        <f>COUNTIFS(集計用!$G202,"*, "&amp;BD$3&amp;", *")</f>
        <v>0</v>
      </c>
      <c r="BE204" s="2">
        <f>COUNTIFS(集計用!$G202,"*, "&amp;BE$3&amp;", *")</f>
        <v>0</v>
      </c>
      <c r="BF204" s="2">
        <f>COUNTIFS(集計用!$G202,"*, "&amp;BF$3&amp;", *")</f>
        <v>0</v>
      </c>
      <c r="BG204" s="2">
        <f>COUNTIFS(集計用!$G202,"*, "&amp;BG$3&amp;", *")</f>
        <v>0</v>
      </c>
      <c r="BH204" s="2">
        <f>COUNTIFS(集計用!$G202,"*, "&amp;BH$3&amp;", *")</f>
        <v>0</v>
      </c>
      <c r="BI204" s="2">
        <f>COUNTIFS(集計用!$G202,"*, "&amp;BI$3&amp;", *")</f>
        <v>0</v>
      </c>
      <c r="BJ204" s="2">
        <f>LEN(集計用!H202)-LEN(SUBSTITUTE(集計用!H202,",",""))</f>
        <v>1</v>
      </c>
    </row>
    <row r="205" spans="1:62" ht="12.75">
      <c r="A205" s="8">
        <v>202</v>
      </c>
      <c r="C205" s="2">
        <f t="shared" si="3"/>
        <v>10</v>
      </c>
      <c r="D205" s="9"/>
      <c r="E205" s="2">
        <f>COUNTIFS(集計用!$G203,"*, "&amp;E$3&amp;", *")</f>
        <v>1</v>
      </c>
      <c r="F205" s="2">
        <f>COUNTIFS(集計用!$G203,"*, "&amp;F$3&amp;", *")</f>
        <v>1</v>
      </c>
      <c r="G205" s="2">
        <f>COUNTIFS(集計用!$G203,"*, "&amp;G$3&amp;", *")</f>
        <v>0</v>
      </c>
      <c r="H205" s="2">
        <f>COUNTIFS(集計用!$G203,"*, "&amp;H$3&amp;", *")</f>
        <v>1</v>
      </c>
      <c r="I205" s="2">
        <f>COUNTIFS(集計用!$G203,"*, "&amp;I$3&amp;", *")</f>
        <v>0</v>
      </c>
      <c r="J205" s="2">
        <f>COUNTIFS(集計用!$G203,"*, "&amp;J$3&amp;", *")</f>
        <v>0</v>
      </c>
      <c r="K205" s="2">
        <f>COUNTIFS(集計用!$G203,"*, "&amp;K$3&amp;", *")</f>
        <v>1</v>
      </c>
      <c r="L205" s="2">
        <f>COUNTIFS(集計用!$G203,"*, "&amp;L$3&amp;", *")</f>
        <v>1</v>
      </c>
      <c r="M205" s="2">
        <f>COUNTIFS(集計用!$G203,"*, "&amp;M$3&amp;", *")</f>
        <v>0</v>
      </c>
      <c r="N205" s="2">
        <f>COUNTIFS(集計用!$G203,"*, "&amp;N$3&amp;", *")</f>
        <v>0</v>
      </c>
      <c r="O205" s="2">
        <f>COUNTIFS(集計用!$G203,"*, "&amp;O$3&amp;", *")</f>
        <v>1</v>
      </c>
      <c r="P205" s="2">
        <f>COUNTIFS(集計用!$G203,"*, "&amp;P$3&amp;", *")</f>
        <v>0</v>
      </c>
      <c r="Q205" s="2">
        <f>COUNTIFS(集計用!$G203,"*, "&amp;Q$3&amp;", *")</f>
        <v>0</v>
      </c>
      <c r="R205" s="2">
        <f>COUNTIFS(集計用!$G203,"*, "&amp;R$3&amp;", *")</f>
        <v>0</v>
      </c>
      <c r="S205" s="2">
        <f>COUNTIFS(集計用!$G203,"*, "&amp;S$3&amp;", *")</f>
        <v>0</v>
      </c>
      <c r="T205" s="2">
        <f>COUNTIFS(集計用!$G203,"*, "&amp;T$3&amp;", *")</f>
        <v>0</v>
      </c>
      <c r="U205" s="2">
        <f>COUNTIFS(集計用!$G203,"*, "&amp;U$3&amp;", *")</f>
        <v>0</v>
      </c>
      <c r="V205" s="2">
        <f>COUNTIFS(集計用!$G203,"*, "&amp;V$3&amp;", *")</f>
        <v>1</v>
      </c>
      <c r="W205" s="2">
        <f>COUNTIFS(集計用!$G203,"*, "&amp;W$3&amp;", *")</f>
        <v>1</v>
      </c>
      <c r="X205" s="2">
        <f>COUNTIFS(集計用!$G203,"*, "&amp;X$3&amp;", *")</f>
        <v>0</v>
      </c>
      <c r="Y205" s="2">
        <f>COUNTIFS(集計用!$G203,"*, "&amp;Y$3&amp;", *")</f>
        <v>0</v>
      </c>
      <c r="Z205" s="2">
        <f>COUNTIFS(集計用!$G203,"*, "&amp;Z$3&amp;", *")</f>
        <v>0</v>
      </c>
      <c r="AA205" s="2">
        <f>COUNTIFS(集計用!$G203,"*, "&amp;AA$3&amp;", *")</f>
        <v>0</v>
      </c>
      <c r="AB205" s="2">
        <f>COUNTIFS(集計用!$G203,"*, "&amp;AB$3&amp;", *")</f>
        <v>0</v>
      </c>
      <c r="AC205" s="2">
        <f>COUNTIFS(集計用!$G203,"*, "&amp;AC$3&amp;", *")</f>
        <v>0</v>
      </c>
      <c r="AD205" s="2">
        <f>COUNTIFS(集計用!$G203,"*, "&amp;AD$3&amp;", *")</f>
        <v>0</v>
      </c>
      <c r="AE205" s="2">
        <f>COUNTIFS(集計用!$G203,"*, "&amp;AE$3&amp;", *")</f>
        <v>0</v>
      </c>
      <c r="AF205" s="2">
        <f>COUNTIFS(集計用!$G203,"*, "&amp;AF$3&amp;", *")</f>
        <v>1</v>
      </c>
      <c r="AG205" s="2">
        <f>COUNTIFS(集計用!$G203,"*, "&amp;AG$3&amp;", *")</f>
        <v>0</v>
      </c>
      <c r="AH205" s="2">
        <f>COUNTIFS(集計用!$G203,"*, "&amp;AH$3&amp;", *")</f>
        <v>0</v>
      </c>
      <c r="AI205" s="2">
        <f>COUNTIFS(集計用!$G203,"*, "&amp;AI$3&amp;", *")</f>
        <v>0</v>
      </c>
      <c r="AJ205" s="2">
        <f>COUNTIFS(集計用!$G203,"*, "&amp;AJ$3&amp;", *")</f>
        <v>0</v>
      </c>
      <c r="AK205" s="2">
        <f>COUNTIFS(集計用!$G203,"*, "&amp;AK$3&amp;", *")</f>
        <v>0</v>
      </c>
      <c r="AL205" s="2">
        <f>COUNTIFS(集計用!$G203,"*, "&amp;AL$3&amp;", *")</f>
        <v>0</v>
      </c>
      <c r="AM205" s="2">
        <f>COUNTIFS(集計用!$G203,"*, "&amp;AM$3&amp;", *")</f>
        <v>0</v>
      </c>
      <c r="AN205" s="2">
        <f>COUNTIFS(集計用!$G203,"*, "&amp;AN$3&amp;", *")</f>
        <v>0</v>
      </c>
      <c r="AO205" s="2">
        <f>COUNTIFS(集計用!$G203,"*, "&amp;AO$3&amp;", *")</f>
        <v>0</v>
      </c>
      <c r="AP205" s="2">
        <f>COUNTIFS(集計用!$G203,"*, "&amp;AP$3&amp;", *")</f>
        <v>0</v>
      </c>
      <c r="AQ205" s="2">
        <f>COUNTIFS(集計用!$G203,"*, "&amp;AQ$3&amp;", *")</f>
        <v>0</v>
      </c>
      <c r="AR205" s="2">
        <f>COUNTIFS(集計用!$G203,"*, "&amp;AR$3&amp;", *")</f>
        <v>1</v>
      </c>
      <c r="AS205" s="2">
        <f>COUNTIFS(集計用!$G203,"*, "&amp;AS$3&amp;", *")</f>
        <v>0</v>
      </c>
      <c r="AT205" s="2">
        <f>COUNTIFS(集計用!$G203,"*, "&amp;AT$3&amp;", *")</f>
        <v>0</v>
      </c>
      <c r="AU205" s="2">
        <f>COUNTIFS(集計用!$G203,"*, "&amp;AU$3&amp;", *")</f>
        <v>0</v>
      </c>
      <c r="AV205" s="2">
        <f>COUNTIFS(集計用!$G203,"*, "&amp;AV$3&amp;", *")</f>
        <v>0</v>
      </c>
      <c r="AW205" s="2">
        <f>COUNTIFS(集計用!$G203,"*, "&amp;AW$3&amp;", *")</f>
        <v>0</v>
      </c>
      <c r="AX205" s="2">
        <f>COUNTIFS(集計用!$G203,"*, "&amp;AX$3&amp;", *")</f>
        <v>0</v>
      </c>
      <c r="AY205" s="2">
        <f>COUNTIFS(集計用!$G203,"*, "&amp;AY$3&amp;", *")</f>
        <v>0</v>
      </c>
      <c r="AZ205" s="2">
        <f>COUNTIFS(集計用!$G203,"*, "&amp;AZ$3&amp;", *")</f>
        <v>0</v>
      </c>
      <c r="BA205" s="2">
        <f>COUNTIFS(集計用!$G203,"*, "&amp;BA$3&amp;", *")</f>
        <v>0</v>
      </c>
      <c r="BB205" s="2">
        <f>COUNTIFS(集計用!$G203,"*, "&amp;BB$3&amp;", *")</f>
        <v>0</v>
      </c>
      <c r="BC205" s="2">
        <f>COUNTIFS(集計用!$G203,"*, "&amp;BC$3&amp;", *")</f>
        <v>0</v>
      </c>
      <c r="BD205" s="2">
        <f>COUNTIFS(集計用!$G203,"*, "&amp;BD$3&amp;", *")</f>
        <v>0</v>
      </c>
      <c r="BE205" s="2">
        <f>COUNTIFS(集計用!$G203,"*, "&amp;BE$3&amp;", *")</f>
        <v>0</v>
      </c>
      <c r="BF205" s="2">
        <f>COUNTIFS(集計用!$G203,"*, "&amp;BF$3&amp;", *")</f>
        <v>0</v>
      </c>
      <c r="BG205" s="2">
        <f>COUNTIFS(集計用!$G203,"*, "&amp;BG$3&amp;", *")</f>
        <v>0</v>
      </c>
      <c r="BH205" s="2">
        <f>COUNTIFS(集計用!$G203,"*, "&amp;BH$3&amp;", *")</f>
        <v>0</v>
      </c>
      <c r="BI205" s="2">
        <f>COUNTIFS(集計用!$G203,"*, "&amp;BI$3&amp;", *")</f>
        <v>0</v>
      </c>
      <c r="BJ205" s="2">
        <f>LEN(集計用!H203)-LEN(SUBSTITUTE(集計用!H203,",",""))</f>
        <v>0</v>
      </c>
    </row>
    <row r="206" spans="1:62" ht="12.75">
      <c r="A206" s="8">
        <v>203</v>
      </c>
      <c r="C206" s="2">
        <f t="shared" si="3"/>
        <v>17</v>
      </c>
      <c r="D206" s="9"/>
      <c r="E206" s="2">
        <f>COUNTIFS(集計用!$G204,"*, "&amp;E$3&amp;", *")</f>
        <v>1</v>
      </c>
      <c r="F206" s="2">
        <f>COUNTIFS(集計用!$G204,"*, "&amp;F$3&amp;", *")</f>
        <v>1</v>
      </c>
      <c r="G206" s="2">
        <f>COUNTIFS(集計用!$G204,"*, "&amp;G$3&amp;", *")</f>
        <v>0</v>
      </c>
      <c r="H206" s="2">
        <f>COUNTIFS(集計用!$G204,"*, "&amp;H$3&amp;", *")</f>
        <v>1</v>
      </c>
      <c r="I206" s="2">
        <f>COUNTIFS(集計用!$G204,"*, "&amp;I$3&amp;", *")</f>
        <v>0</v>
      </c>
      <c r="J206" s="2">
        <f>COUNTIFS(集計用!$G204,"*, "&amp;J$3&amp;", *")</f>
        <v>1</v>
      </c>
      <c r="K206" s="2">
        <f>COUNTIFS(集計用!$G204,"*, "&amp;K$3&amp;", *")</f>
        <v>1</v>
      </c>
      <c r="L206" s="2">
        <f>COUNTIFS(集計用!$G204,"*, "&amp;L$3&amp;", *")</f>
        <v>0</v>
      </c>
      <c r="M206" s="2">
        <f>COUNTIFS(集計用!$G204,"*, "&amp;M$3&amp;", *")</f>
        <v>0</v>
      </c>
      <c r="N206" s="2">
        <f>COUNTIFS(集計用!$G204,"*, "&amp;N$3&amp;", *")</f>
        <v>0</v>
      </c>
      <c r="O206" s="2">
        <f>COUNTIFS(集計用!$G204,"*, "&amp;O$3&amp;", *")</f>
        <v>0</v>
      </c>
      <c r="P206" s="2">
        <f>COUNTIFS(集計用!$G204,"*, "&amp;P$3&amp;", *")</f>
        <v>1</v>
      </c>
      <c r="Q206" s="2">
        <f>COUNTIFS(集計用!$G204,"*, "&amp;Q$3&amp;", *")</f>
        <v>0</v>
      </c>
      <c r="R206" s="2">
        <f>COUNTIFS(集計用!$G204,"*, "&amp;R$3&amp;", *")</f>
        <v>1</v>
      </c>
      <c r="S206" s="2">
        <f>COUNTIFS(集計用!$G204,"*, "&amp;S$3&amp;", *")</f>
        <v>0</v>
      </c>
      <c r="T206" s="2">
        <f>COUNTIFS(集計用!$G204,"*, "&amp;T$3&amp;", *")</f>
        <v>0</v>
      </c>
      <c r="U206" s="2">
        <f>COUNTIFS(集計用!$G204,"*, "&amp;U$3&amp;", *")</f>
        <v>0</v>
      </c>
      <c r="V206" s="2">
        <f>COUNTIFS(集計用!$G204,"*, "&amp;V$3&amp;", *")</f>
        <v>0</v>
      </c>
      <c r="W206" s="2">
        <f>COUNTIFS(集計用!$G204,"*, "&amp;W$3&amp;", *")</f>
        <v>1</v>
      </c>
      <c r="X206" s="2">
        <f>COUNTIFS(集計用!$G204,"*, "&amp;X$3&amp;", *")</f>
        <v>0</v>
      </c>
      <c r="Y206" s="2">
        <f>COUNTIFS(集計用!$G204,"*, "&amp;Y$3&amp;", *")</f>
        <v>0</v>
      </c>
      <c r="Z206" s="2">
        <f>COUNTIFS(集計用!$G204,"*, "&amp;Z$3&amp;", *")</f>
        <v>0</v>
      </c>
      <c r="AA206" s="2">
        <f>COUNTIFS(集計用!$G204,"*, "&amp;AA$3&amp;", *")</f>
        <v>0</v>
      </c>
      <c r="AB206" s="2">
        <f>COUNTIFS(集計用!$G204,"*, "&amp;AB$3&amp;", *")</f>
        <v>1</v>
      </c>
      <c r="AC206" s="2">
        <f>COUNTIFS(集計用!$G204,"*, "&amp;AC$3&amp;", *")</f>
        <v>1</v>
      </c>
      <c r="AD206" s="2">
        <f>COUNTIFS(集計用!$G204,"*, "&amp;AD$3&amp;", *")</f>
        <v>0</v>
      </c>
      <c r="AE206" s="2">
        <f>COUNTIFS(集計用!$G204,"*, "&amp;AE$3&amp;", *")</f>
        <v>1</v>
      </c>
      <c r="AF206" s="2">
        <f>COUNTIFS(集計用!$G204,"*, "&amp;AF$3&amp;", *")</f>
        <v>0</v>
      </c>
      <c r="AG206" s="2">
        <f>COUNTIFS(集計用!$G204,"*, "&amp;AG$3&amp;", *")</f>
        <v>0</v>
      </c>
      <c r="AH206" s="2">
        <f>COUNTIFS(集計用!$G204,"*, "&amp;AH$3&amp;", *")</f>
        <v>0</v>
      </c>
      <c r="AI206" s="2">
        <f>COUNTIFS(集計用!$G204,"*, "&amp;AI$3&amp;", *")</f>
        <v>0</v>
      </c>
      <c r="AJ206" s="2">
        <f>COUNTIFS(集計用!$G204,"*, "&amp;AJ$3&amp;", *")</f>
        <v>1</v>
      </c>
      <c r="AK206" s="2">
        <f>COUNTIFS(集計用!$G204,"*, "&amp;AK$3&amp;", *")</f>
        <v>1</v>
      </c>
      <c r="AL206" s="2">
        <f>COUNTIFS(集計用!$G204,"*, "&amp;AL$3&amp;", *")</f>
        <v>1</v>
      </c>
      <c r="AM206" s="2">
        <f>COUNTIFS(集計用!$G204,"*, "&amp;AM$3&amp;", *")</f>
        <v>0</v>
      </c>
      <c r="AN206" s="2">
        <f>COUNTIFS(集計用!$G204,"*, "&amp;AN$3&amp;", *")</f>
        <v>0</v>
      </c>
      <c r="AO206" s="2">
        <f>COUNTIFS(集計用!$G204,"*, "&amp;AO$3&amp;", *")</f>
        <v>0</v>
      </c>
      <c r="AP206" s="2">
        <f>COUNTIFS(集計用!$G204,"*, "&amp;AP$3&amp;", *")</f>
        <v>0</v>
      </c>
      <c r="AQ206" s="2">
        <f>COUNTIFS(集計用!$G204,"*, "&amp;AQ$3&amp;", *")</f>
        <v>0</v>
      </c>
      <c r="AR206" s="2">
        <f>COUNTIFS(集計用!$G204,"*, "&amp;AR$3&amp;", *")</f>
        <v>1</v>
      </c>
      <c r="AS206" s="2">
        <f>COUNTIFS(集計用!$G204,"*, "&amp;AS$3&amp;", *")</f>
        <v>0</v>
      </c>
      <c r="AT206" s="2">
        <f>COUNTIFS(集計用!$G204,"*, "&amp;AT$3&amp;", *")</f>
        <v>0</v>
      </c>
      <c r="AU206" s="2">
        <f>COUNTIFS(集計用!$G204,"*, "&amp;AU$3&amp;", *")</f>
        <v>0</v>
      </c>
      <c r="AV206" s="2">
        <f>COUNTIFS(集計用!$G204,"*, "&amp;AV$3&amp;", *")</f>
        <v>1</v>
      </c>
      <c r="AW206" s="2">
        <f>COUNTIFS(集計用!$G204,"*, "&amp;AW$3&amp;", *")</f>
        <v>0</v>
      </c>
      <c r="AX206" s="2">
        <f>COUNTIFS(集計用!$G204,"*, "&amp;AX$3&amp;", *")</f>
        <v>0</v>
      </c>
      <c r="AY206" s="2">
        <f>COUNTIFS(集計用!$G204,"*, "&amp;AY$3&amp;", *")</f>
        <v>0</v>
      </c>
      <c r="AZ206" s="2">
        <f>COUNTIFS(集計用!$G204,"*, "&amp;AZ$3&amp;", *")</f>
        <v>0</v>
      </c>
      <c r="BA206" s="2">
        <f>COUNTIFS(集計用!$G204,"*, "&amp;BA$3&amp;", *")</f>
        <v>0</v>
      </c>
      <c r="BB206" s="2">
        <f>COUNTIFS(集計用!$G204,"*, "&amp;BB$3&amp;", *")</f>
        <v>0</v>
      </c>
      <c r="BC206" s="2">
        <f>COUNTIFS(集計用!$G204,"*, "&amp;BC$3&amp;", *")</f>
        <v>0</v>
      </c>
      <c r="BD206" s="2">
        <f>COUNTIFS(集計用!$G204,"*, "&amp;BD$3&amp;", *")</f>
        <v>1</v>
      </c>
      <c r="BE206" s="2">
        <f>COUNTIFS(集計用!$G204,"*, "&amp;BE$3&amp;", *")</f>
        <v>0</v>
      </c>
      <c r="BF206" s="2">
        <f>COUNTIFS(集計用!$G204,"*, "&amp;BF$3&amp;", *")</f>
        <v>0</v>
      </c>
      <c r="BG206" s="2">
        <f>COUNTIFS(集計用!$G204,"*, "&amp;BG$3&amp;", *")</f>
        <v>0</v>
      </c>
      <c r="BH206" s="2">
        <f>COUNTIFS(集計用!$G204,"*, "&amp;BH$3&amp;", *")</f>
        <v>0</v>
      </c>
      <c r="BI206" s="2">
        <f>COUNTIFS(集計用!$G204,"*, "&amp;BI$3&amp;", *")</f>
        <v>0</v>
      </c>
      <c r="BJ206" s="2">
        <f>LEN(集計用!H204)-LEN(SUBSTITUTE(集計用!H204,",",""))</f>
        <v>0</v>
      </c>
    </row>
    <row r="207" spans="1:62" ht="12.75">
      <c r="A207" s="8">
        <v>204</v>
      </c>
      <c r="C207" s="2">
        <f t="shared" si="3"/>
        <v>2</v>
      </c>
      <c r="D207" s="9"/>
      <c r="E207" s="2">
        <f>COUNTIFS(集計用!$G205,"*, "&amp;E$3&amp;", *")</f>
        <v>0</v>
      </c>
      <c r="F207" s="2">
        <f>COUNTIFS(集計用!$G205,"*, "&amp;F$3&amp;", *")</f>
        <v>0</v>
      </c>
      <c r="G207" s="2">
        <f>COUNTIFS(集計用!$G205,"*, "&amp;G$3&amp;", *")</f>
        <v>1</v>
      </c>
      <c r="H207" s="2">
        <f>COUNTIFS(集計用!$G205,"*, "&amp;H$3&amp;", *")</f>
        <v>0</v>
      </c>
      <c r="I207" s="2">
        <f>COUNTIFS(集計用!$G205,"*, "&amp;I$3&amp;", *")</f>
        <v>0</v>
      </c>
      <c r="J207" s="2">
        <f>COUNTIFS(集計用!$G205,"*, "&amp;J$3&amp;", *")</f>
        <v>0</v>
      </c>
      <c r="K207" s="2">
        <f>COUNTIFS(集計用!$G205,"*, "&amp;K$3&amp;", *")</f>
        <v>0</v>
      </c>
      <c r="L207" s="2">
        <f>COUNTIFS(集計用!$G205,"*, "&amp;L$3&amp;", *")</f>
        <v>0</v>
      </c>
      <c r="M207" s="2">
        <f>COUNTIFS(集計用!$G205,"*, "&amp;M$3&amp;", *")</f>
        <v>0</v>
      </c>
      <c r="N207" s="2">
        <f>COUNTIFS(集計用!$G205,"*, "&amp;N$3&amp;", *")</f>
        <v>0</v>
      </c>
      <c r="O207" s="2">
        <f>COUNTIFS(集計用!$G205,"*, "&amp;O$3&amp;", *")</f>
        <v>0</v>
      </c>
      <c r="P207" s="2">
        <f>COUNTIFS(集計用!$G205,"*, "&amp;P$3&amp;", *")</f>
        <v>0</v>
      </c>
      <c r="Q207" s="2">
        <f>COUNTIFS(集計用!$G205,"*, "&amp;Q$3&amp;", *")</f>
        <v>0</v>
      </c>
      <c r="R207" s="2">
        <f>COUNTIFS(集計用!$G205,"*, "&amp;R$3&amp;", *")</f>
        <v>0</v>
      </c>
      <c r="S207" s="2">
        <f>COUNTIFS(集計用!$G205,"*, "&amp;S$3&amp;", *")</f>
        <v>1</v>
      </c>
      <c r="T207" s="2">
        <f>COUNTIFS(集計用!$G205,"*, "&amp;T$3&amp;", *")</f>
        <v>0</v>
      </c>
      <c r="U207" s="2">
        <f>COUNTIFS(集計用!$G205,"*, "&amp;U$3&amp;", *")</f>
        <v>0</v>
      </c>
      <c r="V207" s="2">
        <f>COUNTIFS(集計用!$G205,"*, "&amp;V$3&amp;", *")</f>
        <v>0</v>
      </c>
      <c r="W207" s="2">
        <f>COUNTIFS(集計用!$G205,"*, "&amp;W$3&amp;", *")</f>
        <v>0</v>
      </c>
      <c r="X207" s="2">
        <f>COUNTIFS(集計用!$G205,"*, "&amp;X$3&amp;", *")</f>
        <v>0</v>
      </c>
      <c r="Y207" s="2">
        <f>COUNTIFS(集計用!$G205,"*, "&amp;Y$3&amp;", *")</f>
        <v>0</v>
      </c>
      <c r="Z207" s="2">
        <f>COUNTIFS(集計用!$G205,"*, "&amp;Z$3&amp;", *")</f>
        <v>0</v>
      </c>
      <c r="AA207" s="2">
        <f>COUNTIFS(集計用!$G205,"*, "&amp;AA$3&amp;", *")</f>
        <v>0</v>
      </c>
      <c r="AB207" s="2">
        <f>COUNTIFS(集計用!$G205,"*, "&amp;AB$3&amp;", *")</f>
        <v>0</v>
      </c>
      <c r="AC207" s="2">
        <f>COUNTIFS(集計用!$G205,"*, "&amp;AC$3&amp;", *")</f>
        <v>0</v>
      </c>
      <c r="AD207" s="2">
        <f>COUNTIFS(集計用!$G205,"*, "&amp;AD$3&amp;", *")</f>
        <v>0</v>
      </c>
      <c r="AE207" s="2">
        <f>COUNTIFS(集計用!$G205,"*, "&amp;AE$3&amp;", *")</f>
        <v>0</v>
      </c>
      <c r="AF207" s="2">
        <f>COUNTIFS(集計用!$G205,"*, "&amp;AF$3&amp;", *")</f>
        <v>0</v>
      </c>
      <c r="AG207" s="2">
        <f>COUNTIFS(集計用!$G205,"*, "&amp;AG$3&amp;", *")</f>
        <v>0</v>
      </c>
      <c r="AH207" s="2">
        <f>COUNTIFS(集計用!$G205,"*, "&amp;AH$3&amp;", *")</f>
        <v>0</v>
      </c>
      <c r="AI207" s="2">
        <f>COUNTIFS(集計用!$G205,"*, "&amp;AI$3&amp;", *")</f>
        <v>0</v>
      </c>
      <c r="AJ207" s="2">
        <f>COUNTIFS(集計用!$G205,"*, "&amp;AJ$3&amp;", *")</f>
        <v>0</v>
      </c>
      <c r="AK207" s="2">
        <f>COUNTIFS(集計用!$G205,"*, "&amp;AK$3&amp;", *")</f>
        <v>0</v>
      </c>
      <c r="AL207" s="2">
        <f>COUNTIFS(集計用!$G205,"*, "&amp;AL$3&amp;", *")</f>
        <v>0</v>
      </c>
      <c r="AM207" s="2">
        <f>COUNTIFS(集計用!$G205,"*, "&amp;AM$3&amp;", *")</f>
        <v>0</v>
      </c>
      <c r="AN207" s="2">
        <f>COUNTIFS(集計用!$G205,"*, "&amp;AN$3&amp;", *")</f>
        <v>0</v>
      </c>
      <c r="AO207" s="2">
        <f>COUNTIFS(集計用!$G205,"*, "&amp;AO$3&amp;", *")</f>
        <v>0</v>
      </c>
      <c r="AP207" s="2">
        <f>COUNTIFS(集計用!$G205,"*, "&amp;AP$3&amp;", *")</f>
        <v>0</v>
      </c>
      <c r="AQ207" s="2">
        <f>COUNTIFS(集計用!$G205,"*, "&amp;AQ$3&amp;", *")</f>
        <v>0</v>
      </c>
      <c r="AR207" s="2">
        <f>COUNTIFS(集計用!$G205,"*, "&amp;AR$3&amp;", *")</f>
        <v>0</v>
      </c>
      <c r="AS207" s="2">
        <f>COUNTIFS(集計用!$G205,"*, "&amp;AS$3&amp;", *")</f>
        <v>0</v>
      </c>
      <c r="AT207" s="2">
        <f>COUNTIFS(集計用!$G205,"*, "&amp;AT$3&amp;", *")</f>
        <v>0</v>
      </c>
      <c r="AU207" s="2">
        <f>COUNTIFS(集計用!$G205,"*, "&amp;AU$3&amp;", *")</f>
        <v>0</v>
      </c>
      <c r="AV207" s="2">
        <f>COUNTIFS(集計用!$G205,"*, "&amp;AV$3&amp;", *")</f>
        <v>0</v>
      </c>
      <c r="AW207" s="2">
        <f>COUNTIFS(集計用!$G205,"*, "&amp;AW$3&amp;", *")</f>
        <v>0</v>
      </c>
      <c r="AX207" s="2">
        <f>COUNTIFS(集計用!$G205,"*, "&amp;AX$3&amp;", *")</f>
        <v>0</v>
      </c>
      <c r="AY207" s="2">
        <f>COUNTIFS(集計用!$G205,"*, "&amp;AY$3&amp;", *")</f>
        <v>0</v>
      </c>
      <c r="AZ207" s="2">
        <f>COUNTIFS(集計用!$G205,"*, "&amp;AZ$3&amp;", *")</f>
        <v>0</v>
      </c>
      <c r="BA207" s="2">
        <f>COUNTIFS(集計用!$G205,"*, "&amp;BA$3&amp;", *")</f>
        <v>0</v>
      </c>
      <c r="BB207" s="2">
        <f>COUNTIFS(集計用!$G205,"*, "&amp;BB$3&amp;", *")</f>
        <v>0</v>
      </c>
      <c r="BC207" s="2">
        <f>COUNTIFS(集計用!$G205,"*, "&amp;BC$3&amp;", *")</f>
        <v>0</v>
      </c>
      <c r="BD207" s="2">
        <f>COUNTIFS(集計用!$G205,"*, "&amp;BD$3&amp;", *")</f>
        <v>0</v>
      </c>
      <c r="BE207" s="2">
        <f>COUNTIFS(集計用!$G205,"*, "&amp;BE$3&amp;", *")</f>
        <v>0</v>
      </c>
      <c r="BF207" s="2">
        <f>COUNTIFS(集計用!$G205,"*, "&amp;BF$3&amp;", *")</f>
        <v>0</v>
      </c>
      <c r="BG207" s="2">
        <f>COUNTIFS(集計用!$G205,"*, "&amp;BG$3&amp;", *")</f>
        <v>0</v>
      </c>
      <c r="BH207" s="2">
        <f>COUNTIFS(集計用!$G205,"*, "&amp;BH$3&amp;", *")</f>
        <v>0</v>
      </c>
      <c r="BI207" s="2">
        <f>COUNTIFS(集計用!$G205,"*, "&amp;BI$3&amp;", *")</f>
        <v>0</v>
      </c>
      <c r="BJ207" s="2">
        <f>LEN(集計用!H205)-LEN(SUBSTITUTE(集計用!H205,",",""))</f>
        <v>0</v>
      </c>
    </row>
    <row r="208" spans="1:62" ht="12.75">
      <c r="A208" s="8">
        <v>205</v>
      </c>
      <c r="C208" s="2">
        <f t="shared" si="3"/>
        <v>5</v>
      </c>
      <c r="D208" s="9"/>
      <c r="E208" s="2">
        <f>COUNTIFS(集計用!$G206,"*, "&amp;E$3&amp;", *")</f>
        <v>0</v>
      </c>
      <c r="F208" s="2">
        <f>COUNTIFS(集計用!$G206,"*, "&amp;F$3&amp;", *")</f>
        <v>1</v>
      </c>
      <c r="G208" s="2">
        <f>COUNTIFS(集計用!$G206,"*, "&amp;G$3&amp;", *")</f>
        <v>0</v>
      </c>
      <c r="H208" s="2">
        <f>COUNTIFS(集計用!$G206,"*, "&amp;H$3&amp;", *")</f>
        <v>1</v>
      </c>
      <c r="I208" s="2">
        <f>COUNTIFS(集計用!$G206,"*, "&amp;I$3&amp;", *")</f>
        <v>0</v>
      </c>
      <c r="J208" s="2">
        <f>COUNTIFS(集計用!$G206,"*, "&amp;J$3&amp;", *")</f>
        <v>0</v>
      </c>
      <c r="K208" s="2">
        <f>COUNTIFS(集計用!$G206,"*, "&amp;K$3&amp;", *")</f>
        <v>0</v>
      </c>
      <c r="L208" s="2">
        <f>COUNTIFS(集計用!$G206,"*, "&amp;L$3&amp;", *")</f>
        <v>1</v>
      </c>
      <c r="M208" s="2">
        <f>COUNTIFS(集計用!$G206,"*, "&amp;M$3&amp;", *")</f>
        <v>0</v>
      </c>
      <c r="N208" s="2">
        <f>COUNTIFS(集計用!$G206,"*, "&amp;N$3&amp;", *")</f>
        <v>0</v>
      </c>
      <c r="O208" s="2">
        <f>COUNTIFS(集計用!$G206,"*, "&amp;O$3&amp;", *")</f>
        <v>0</v>
      </c>
      <c r="P208" s="2">
        <f>COUNTIFS(集計用!$G206,"*, "&amp;P$3&amp;", *")</f>
        <v>0</v>
      </c>
      <c r="Q208" s="2">
        <f>COUNTIFS(集計用!$G206,"*, "&amp;Q$3&amp;", *")</f>
        <v>1</v>
      </c>
      <c r="R208" s="2">
        <f>COUNTIFS(集計用!$G206,"*, "&amp;R$3&amp;", *")</f>
        <v>1</v>
      </c>
      <c r="S208" s="2">
        <f>COUNTIFS(集計用!$G206,"*, "&amp;S$3&amp;", *")</f>
        <v>0</v>
      </c>
      <c r="T208" s="2">
        <f>COUNTIFS(集計用!$G206,"*, "&amp;T$3&amp;", *")</f>
        <v>0</v>
      </c>
      <c r="U208" s="2">
        <f>COUNTIFS(集計用!$G206,"*, "&amp;U$3&amp;", *")</f>
        <v>0</v>
      </c>
      <c r="V208" s="2">
        <f>COUNTIFS(集計用!$G206,"*, "&amp;V$3&amp;", *")</f>
        <v>0</v>
      </c>
      <c r="W208" s="2">
        <f>COUNTIFS(集計用!$G206,"*, "&amp;W$3&amp;", *")</f>
        <v>0</v>
      </c>
      <c r="X208" s="2">
        <f>COUNTIFS(集計用!$G206,"*, "&amp;X$3&amp;", *")</f>
        <v>0</v>
      </c>
      <c r="Y208" s="2">
        <f>COUNTIFS(集計用!$G206,"*, "&amp;Y$3&amp;", *")</f>
        <v>0</v>
      </c>
      <c r="Z208" s="2">
        <f>COUNTIFS(集計用!$G206,"*, "&amp;Z$3&amp;", *")</f>
        <v>0</v>
      </c>
      <c r="AA208" s="2">
        <f>COUNTIFS(集計用!$G206,"*, "&amp;AA$3&amp;", *")</f>
        <v>0</v>
      </c>
      <c r="AB208" s="2">
        <f>COUNTIFS(集計用!$G206,"*, "&amp;AB$3&amp;", *")</f>
        <v>0</v>
      </c>
      <c r="AC208" s="2">
        <f>COUNTIFS(集計用!$G206,"*, "&amp;AC$3&amp;", *")</f>
        <v>0</v>
      </c>
      <c r="AD208" s="2">
        <f>COUNTIFS(集計用!$G206,"*, "&amp;AD$3&amp;", *")</f>
        <v>0</v>
      </c>
      <c r="AE208" s="2">
        <f>COUNTIFS(集計用!$G206,"*, "&amp;AE$3&amp;", *")</f>
        <v>0</v>
      </c>
      <c r="AF208" s="2">
        <f>COUNTIFS(集計用!$G206,"*, "&amp;AF$3&amp;", *")</f>
        <v>0</v>
      </c>
      <c r="AG208" s="2">
        <f>COUNTIFS(集計用!$G206,"*, "&amp;AG$3&amp;", *")</f>
        <v>0</v>
      </c>
      <c r="AH208" s="2">
        <f>COUNTIFS(集計用!$G206,"*, "&amp;AH$3&amp;", *")</f>
        <v>0</v>
      </c>
      <c r="AI208" s="2">
        <f>COUNTIFS(集計用!$G206,"*, "&amp;AI$3&amp;", *")</f>
        <v>0</v>
      </c>
      <c r="AJ208" s="2">
        <f>COUNTIFS(集計用!$G206,"*, "&amp;AJ$3&amp;", *")</f>
        <v>0</v>
      </c>
      <c r="AK208" s="2">
        <f>COUNTIFS(集計用!$G206,"*, "&amp;AK$3&amp;", *")</f>
        <v>0</v>
      </c>
      <c r="AL208" s="2">
        <f>COUNTIFS(集計用!$G206,"*, "&amp;AL$3&amp;", *")</f>
        <v>0</v>
      </c>
      <c r="AM208" s="2">
        <f>COUNTIFS(集計用!$G206,"*, "&amp;AM$3&amp;", *")</f>
        <v>0</v>
      </c>
      <c r="AN208" s="2">
        <f>COUNTIFS(集計用!$G206,"*, "&amp;AN$3&amp;", *")</f>
        <v>0</v>
      </c>
      <c r="AO208" s="2">
        <f>COUNTIFS(集計用!$G206,"*, "&amp;AO$3&amp;", *")</f>
        <v>0</v>
      </c>
      <c r="AP208" s="2">
        <f>COUNTIFS(集計用!$G206,"*, "&amp;AP$3&amp;", *")</f>
        <v>0</v>
      </c>
      <c r="AQ208" s="2">
        <f>COUNTIFS(集計用!$G206,"*, "&amp;AQ$3&amp;", *")</f>
        <v>0</v>
      </c>
      <c r="AR208" s="2">
        <f>COUNTIFS(集計用!$G206,"*, "&amp;AR$3&amp;", *")</f>
        <v>0</v>
      </c>
      <c r="AS208" s="2">
        <f>COUNTIFS(集計用!$G206,"*, "&amp;AS$3&amp;", *")</f>
        <v>0</v>
      </c>
      <c r="AT208" s="2">
        <f>COUNTIFS(集計用!$G206,"*, "&amp;AT$3&amp;", *")</f>
        <v>0</v>
      </c>
      <c r="AU208" s="2">
        <f>COUNTIFS(集計用!$G206,"*, "&amp;AU$3&amp;", *")</f>
        <v>0</v>
      </c>
      <c r="AV208" s="2">
        <f>COUNTIFS(集計用!$G206,"*, "&amp;AV$3&amp;", *")</f>
        <v>0</v>
      </c>
      <c r="AW208" s="2">
        <f>COUNTIFS(集計用!$G206,"*, "&amp;AW$3&amp;", *")</f>
        <v>0</v>
      </c>
      <c r="AX208" s="2">
        <f>COUNTIFS(集計用!$G206,"*, "&amp;AX$3&amp;", *")</f>
        <v>0</v>
      </c>
      <c r="AY208" s="2">
        <f>COUNTIFS(集計用!$G206,"*, "&amp;AY$3&amp;", *")</f>
        <v>0</v>
      </c>
      <c r="AZ208" s="2">
        <f>COUNTIFS(集計用!$G206,"*, "&amp;AZ$3&amp;", *")</f>
        <v>0</v>
      </c>
      <c r="BA208" s="2">
        <f>COUNTIFS(集計用!$G206,"*, "&amp;BA$3&amp;", *")</f>
        <v>0</v>
      </c>
      <c r="BB208" s="2">
        <f>COUNTIFS(集計用!$G206,"*, "&amp;BB$3&amp;", *")</f>
        <v>0</v>
      </c>
      <c r="BC208" s="2">
        <f>COUNTIFS(集計用!$G206,"*, "&amp;BC$3&amp;", *")</f>
        <v>0</v>
      </c>
      <c r="BD208" s="2">
        <f>COUNTIFS(集計用!$G206,"*, "&amp;BD$3&amp;", *")</f>
        <v>0</v>
      </c>
      <c r="BE208" s="2">
        <f>COUNTIFS(集計用!$G206,"*, "&amp;BE$3&amp;", *")</f>
        <v>0</v>
      </c>
      <c r="BF208" s="2">
        <f>COUNTIFS(集計用!$G206,"*, "&amp;BF$3&amp;", *")</f>
        <v>0</v>
      </c>
      <c r="BG208" s="2">
        <f>COUNTIFS(集計用!$G206,"*, "&amp;BG$3&amp;", *")</f>
        <v>0</v>
      </c>
      <c r="BH208" s="2">
        <f>COUNTIFS(集計用!$G206,"*, "&amp;BH$3&amp;", *")</f>
        <v>0</v>
      </c>
      <c r="BI208" s="2">
        <f>COUNTIFS(集計用!$G206,"*, "&amp;BI$3&amp;", *")</f>
        <v>0</v>
      </c>
      <c r="BJ208" s="2">
        <f>LEN(集計用!H206)-LEN(SUBSTITUTE(集計用!H206,",",""))</f>
        <v>0</v>
      </c>
    </row>
    <row r="209" spans="1:62" ht="12.75">
      <c r="A209" s="8">
        <v>206</v>
      </c>
      <c r="C209" s="2">
        <f t="shared" si="3"/>
        <v>4</v>
      </c>
      <c r="D209" s="9"/>
      <c r="E209" s="2">
        <f>COUNTIFS(集計用!$G207,"*, "&amp;E$3&amp;", *")</f>
        <v>1</v>
      </c>
      <c r="F209" s="2">
        <f>COUNTIFS(集計用!$G207,"*, "&amp;F$3&amp;", *")</f>
        <v>0</v>
      </c>
      <c r="G209" s="2">
        <f>COUNTIFS(集計用!$G207,"*, "&amp;G$3&amp;", *")</f>
        <v>0</v>
      </c>
      <c r="H209" s="2">
        <f>COUNTIFS(集計用!$G207,"*, "&amp;H$3&amp;", *")</f>
        <v>0</v>
      </c>
      <c r="I209" s="2">
        <f>COUNTIFS(集計用!$G207,"*, "&amp;I$3&amp;", *")</f>
        <v>0</v>
      </c>
      <c r="J209" s="2">
        <f>COUNTIFS(集計用!$G207,"*, "&amp;J$3&amp;", *")</f>
        <v>1</v>
      </c>
      <c r="K209" s="2">
        <f>COUNTIFS(集計用!$G207,"*, "&amp;K$3&amp;", *")</f>
        <v>0</v>
      </c>
      <c r="L209" s="2">
        <f>COUNTIFS(集計用!$G207,"*, "&amp;L$3&amp;", *")</f>
        <v>0</v>
      </c>
      <c r="M209" s="2">
        <f>COUNTIFS(集計用!$G207,"*, "&amp;M$3&amp;", *")</f>
        <v>0</v>
      </c>
      <c r="N209" s="2">
        <f>COUNTIFS(集計用!$G207,"*, "&amp;N$3&amp;", *")</f>
        <v>0</v>
      </c>
      <c r="O209" s="2">
        <f>COUNTIFS(集計用!$G207,"*, "&amp;O$3&amp;", *")</f>
        <v>0</v>
      </c>
      <c r="P209" s="2">
        <f>COUNTIFS(集計用!$G207,"*, "&amp;P$3&amp;", *")</f>
        <v>0</v>
      </c>
      <c r="Q209" s="2">
        <f>COUNTIFS(集計用!$G207,"*, "&amp;Q$3&amp;", *")</f>
        <v>0</v>
      </c>
      <c r="R209" s="2">
        <f>COUNTIFS(集計用!$G207,"*, "&amp;R$3&amp;", *")</f>
        <v>0</v>
      </c>
      <c r="S209" s="2">
        <f>COUNTIFS(集計用!$G207,"*, "&amp;S$3&amp;", *")</f>
        <v>0</v>
      </c>
      <c r="T209" s="2">
        <f>COUNTIFS(集計用!$G207,"*, "&amp;T$3&amp;", *")</f>
        <v>0</v>
      </c>
      <c r="U209" s="2">
        <f>COUNTIFS(集計用!$G207,"*, "&amp;U$3&amp;", *")</f>
        <v>0</v>
      </c>
      <c r="V209" s="2">
        <f>COUNTIFS(集計用!$G207,"*, "&amp;V$3&amp;", *")</f>
        <v>0</v>
      </c>
      <c r="W209" s="2">
        <f>COUNTIFS(集計用!$G207,"*, "&amp;W$3&amp;", *")</f>
        <v>0</v>
      </c>
      <c r="X209" s="2">
        <f>COUNTIFS(集計用!$G207,"*, "&amp;X$3&amp;", *")</f>
        <v>0</v>
      </c>
      <c r="Y209" s="2">
        <f>COUNTIFS(集計用!$G207,"*, "&amp;Y$3&amp;", *")</f>
        <v>0</v>
      </c>
      <c r="Z209" s="2">
        <f>COUNTIFS(集計用!$G207,"*, "&amp;Z$3&amp;", *")</f>
        <v>0</v>
      </c>
      <c r="AA209" s="2">
        <f>COUNTIFS(集計用!$G207,"*, "&amp;AA$3&amp;", *")</f>
        <v>0</v>
      </c>
      <c r="AB209" s="2">
        <f>COUNTIFS(集計用!$G207,"*, "&amp;AB$3&amp;", *")</f>
        <v>0</v>
      </c>
      <c r="AC209" s="2">
        <f>COUNTIFS(集計用!$G207,"*, "&amp;AC$3&amp;", *")</f>
        <v>0</v>
      </c>
      <c r="AD209" s="2">
        <f>COUNTIFS(集計用!$G207,"*, "&amp;AD$3&amp;", *")</f>
        <v>0</v>
      </c>
      <c r="AE209" s="2">
        <f>COUNTIFS(集計用!$G207,"*, "&amp;AE$3&amp;", *")</f>
        <v>0</v>
      </c>
      <c r="AF209" s="2">
        <f>COUNTIFS(集計用!$G207,"*, "&amp;AF$3&amp;", *")</f>
        <v>0</v>
      </c>
      <c r="AG209" s="2">
        <f>COUNTIFS(集計用!$G207,"*, "&amp;AG$3&amp;", *")</f>
        <v>0</v>
      </c>
      <c r="AH209" s="2">
        <f>COUNTIFS(集計用!$G207,"*, "&amp;AH$3&amp;", *")</f>
        <v>0</v>
      </c>
      <c r="AI209" s="2">
        <f>COUNTIFS(集計用!$G207,"*, "&amp;AI$3&amp;", *")</f>
        <v>0</v>
      </c>
      <c r="AJ209" s="2">
        <f>COUNTIFS(集計用!$G207,"*, "&amp;AJ$3&amp;", *")</f>
        <v>0</v>
      </c>
      <c r="AK209" s="2">
        <f>COUNTIFS(集計用!$G207,"*, "&amp;AK$3&amp;", *")</f>
        <v>1</v>
      </c>
      <c r="AL209" s="2">
        <f>COUNTIFS(集計用!$G207,"*, "&amp;AL$3&amp;", *")</f>
        <v>0</v>
      </c>
      <c r="AM209" s="2">
        <f>COUNTIFS(集計用!$G207,"*, "&amp;AM$3&amp;", *")</f>
        <v>0</v>
      </c>
      <c r="AN209" s="2">
        <f>COUNTIFS(集計用!$G207,"*, "&amp;AN$3&amp;", *")</f>
        <v>0</v>
      </c>
      <c r="AO209" s="2">
        <f>COUNTIFS(集計用!$G207,"*, "&amp;AO$3&amp;", *")</f>
        <v>0</v>
      </c>
      <c r="AP209" s="2">
        <f>COUNTIFS(集計用!$G207,"*, "&amp;AP$3&amp;", *")</f>
        <v>0</v>
      </c>
      <c r="AQ209" s="2">
        <f>COUNTIFS(集計用!$G207,"*, "&amp;AQ$3&amp;", *")</f>
        <v>0</v>
      </c>
      <c r="AR209" s="2">
        <f>COUNTIFS(集計用!$G207,"*, "&amp;AR$3&amp;", *")</f>
        <v>0</v>
      </c>
      <c r="AS209" s="2">
        <f>COUNTIFS(集計用!$G207,"*, "&amp;AS$3&amp;", *")</f>
        <v>0</v>
      </c>
      <c r="AT209" s="2">
        <f>COUNTIFS(集計用!$G207,"*, "&amp;AT$3&amp;", *")</f>
        <v>0</v>
      </c>
      <c r="AU209" s="2">
        <f>COUNTIFS(集計用!$G207,"*, "&amp;AU$3&amp;", *")</f>
        <v>0</v>
      </c>
      <c r="AV209" s="2">
        <f>COUNTIFS(集計用!$G207,"*, "&amp;AV$3&amp;", *")</f>
        <v>0</v>
      </c>
      <c r="AW209" s="2">
        <f>COUNTIFS(集計用!$G207,"*, "&amp;AW$3&amp;", *")</f>
        <v>0</v>
      </c>
      <c r="AX209" s="2">
        <f>COUNTIFS(集計用!$G207,"*, "&amp;AX$3&amp;", *")</f>
        <v>0</v>
      </c>
      <c r="AY209" s="2">
        <f>COUNTIFS(集計用!$G207,"*, "&amp;AY$3&amp;", *")</f>
        <v>0</v>
      </c>
      <c r="AZ209" s="2">
        <f>COUNTIFS(集計用!$G207,"*, "&amp;AZ$3&amp;", *")</f>
        <v>0</v>
      </c>
      <c r="BA209" s="2">
        <f>COUNTIFS(集計用!$G207,"*, "&amp;BA$3&amp;", *")</f>
        <v>0</v>
      </c>
      <c r="BB209" s="2">
        <f>COUNTIFS(集計用!$G207,"*, "&amp;BB$3&amp;", *")</f>
        <v>0</v>
      </c>
      <c r="BC209" s="2">
        <f>COUNTIFS(集計用!$G207,"*, "&amp;BC$3&amp;", *")</f>
        <v>0</v>
      </c>
      <c r="BD209" s="2">
        <f>COUNTIFS(集計用!$G207,"*, "&amp;BD$3&amp;", *")</f>
        <v>0</v>
      </c>
      <c r="BE209" s="2">
        <f>COUNTIFS(集計用!$G207,"*, "&amp;BE$3&amp;", *")</f>
        <v>0</v>
      </c>
      <c r="BF209" s="2">
        <f>COUNTIFS(集計用!$G207,"*, "&amp;BF$3&amp;", *")</f>
        <v>0</v>
      </c>
      <c r="BG209" s="2">
        <f>COUNTIFS(集計用!$G207,"*, "&amp;BG$3&amp;", *")</f>
        <v>0</v>
      </c>
      <c r="BH209" s="2">
        <f>COUNTIFS(集計用!$G207,"*, "&amp;BH$3&amp;", *")</f>
        <v>0</v>
      </c>
      <c r="BI209" s="2">
        <f>COUNTIFS(集計用!$G207,"*, "&amp;BI$3&amp;", *")</f>
        <v>0</v>
      </c>
      <c r="BJ209" s="2">
        <f>LEN(集計用!H207)-LEN(SUBSTITUTE(集計用!H207,",",""))</f>
        <v>1</v>
      </c>
    </row>
    <row r="210" spans="1:62" ht="12.75">
      <c r="A210" s="8">
        <v>207</v>
      </c>
      <c r="C210" s="2">
        <f t="shared" si="3"/>
        <v>2</v>
      </c>
      <c r="D210" s="9"/>
      <c r="E210" s="2">
        <f>COUNTIFS(集計用!$G208,"*, "&amp;E$3&amp;", *")</f>
        <v>1</v>
      </c>
      <c r="F210" s="2">
        <f>COUNTIFS(集計用!$G208,"*, "&amp;F$3&amp;", *")</f>
        <v>1</v>
      </c>
      <c r="G210" s="2">
        <f>COUNTIFS(集計用!$G208,"*, "&amp;G$3&amp;", *")</f>
        <v>0</v>
      </c>
      <c r="H210" s="2">
        <f>COUNTIFS(集計用!$G208,"*, "&amp;H$3&amp;", *")</f>
        <v>0</v>
      </c>
      <c r="I210" s="2">
        <f>COUNTIFS(集計用!$G208,"*, "&amp;I$3&amp;", *")</f>
        <v>0</v>
      </c>
      <c r="J210" s="2">
        <f>COUNTIFS(集計用!$G208,"*, "&amp;J$3&amp;", *")</f>
        <v>0</v>
      </c>
      <c r="K210" s="2">
        <f>COUNTIFS(集計用!$G208,"*, "&amp;K$3&amp;", *")</f>
        <v>0</v>
      </c>
      <c r="L210" s="2">
        <f>COUNTIFS(集計用!$G208,"*, "&amp;L$3&amp;", *")</f>
        <v>0</v>
      </c>
      <c r="M210" s="2">
        <f>COUNTIFS(集計用!$G208,"*, "&amp;M$3&amp;", *")</f>
        <v>0</v>
      </c>
      <c r="N210" s="2">
        <f>COUNTIFS(集計用!$G208,"*, "&amp;N$3&amp;", *")</f>
        <v>0</v>
      </c>
      <c r="O210" s="2">
        <f>COUNTIFS(集計用!$G208,"*, "&amp;O$3&amp;", *")</f>
        <v>0</v>
      </c>
      <c r="P210" s="2">
        <f>COUNTIFS(集計用!$G208,"*, "&amp;P$3&amp;", *")</f>
        <v>0</v>
      </c>
      <c r="Q210" s="2">
        <f>COUNTIFS(集計用!$G208,"*, "&amp;Q$3&amp;", *")</f>
        <v>0</v>
      </c>
      <c r="R210" s="2">
        <f>COUNTIFS(集計用!$G208,"*, "&amp;R$3&amp;", *")</f>
        <v>0</v>
      </c>
      <c r="S210" s="2">
        <f>COUNTIFS(集計用!$G208,"*, "&amp;S$3&amp;", *")</f>
        <v>0</v>
      </c>
      <c r="T210" s="2">
        <f>COUNTIFS(集計用!$G208,"*, "&amp;T$3&amp;", *")</f>
        <v>0</v>
      </c>
      <c r="U210" s="2">
        <f>COUNTIFS(集計用!$G208,"*, "&amp;U$3&amp;", *")</f>
        <v>0</v>
      </c>
      <c r="V210" s="2">
        <f>COUNTIFS(集計用!$G208,"*, "&amp;V$3&amp;", *")</f>
        <v>0</v>
      </c>
      <c r="W210" s="2">
        <f>COUNTIFS(集計用!$G208,"*, "&amp;W$3&amp;", *")</f>
        <v>0</v>
      </c>
      <c r="X210" s="2">
        <f>COUNTIFS(集計用!$G208,"*, "&amp;X$3&amp;", *")</f>
        <v>0</v>
      </c>
      <c r="Y210" s="2">
        <f>COUNTIFS(集計用!$G208,"*, "&amp;Y$3&amp;", *")</f>
        <v>0</v>
      </c>
      <c r="Z210" s="2">
        <f>COUNTIFS(集計用!$G208,"*, "&amp;Z$3&amp;", *")</f>
        <v>0</v>
      </c>
      <c r="AA210" s="2">
        <f>COUNTIFS(集計用!$G208,"*, "&amp;AA$3&amp;", *")</f>
        <v>0</v>
      </c>
      <c r="AB210" s="2">
        <f>COUNTIFS(集計用!$G208,"*, "&amp;AB$3&amp;", *")</f>
        <v>0</v>
      </c>
      <c r="AC210" s="2">
        <f>COUNTIFS(集計用!$G208,"*, "&amp;AC$3&amp;", *")</f>
        <v>0</v>
      </c>
      <c r="AD210" s="2">
        <f>COUNTIFS(集計用!$G208,"*, "&amp;AD$3&amp;", *")</f>
        <v>0</v>
      </c>
      <c r="AE210" s="2">
        <f>COUNTIFS(集計用!$G208,"*, "&amp;AE$3&amp;", *")</f>
        <v>0</v>
      </c>
      <c r="AF210" s="2">
        <f>COUNTIFS(集計用!$G208,"*, "&amp;AF$3&amp;", *")</f>
        <v>0</v>
      </c>
      <c r="AG210" s="2">
        <f>COUNTIFS(集計用!$G208,"*, "&amp;AG$3&amp;", *")</f>
        <v>0</v>
      </c>
      <c r="AH210" s="2">
        <f>COUNTIFS(集計用!$G208,"*, "&amp;AH$3&amp;", *")</f>
        <v>0</v>
      </c>
      <c r="AI210" s="2">
        <f>COUNTIFS(集計用!$G208,"*, "&amp;AI$3&amp;", *")</f>
        <v>0</v>
      </c>
      <c r="AJ210" s="2">
        <f>COUNTIFS(集計用!$G208,"*, "&amp;AJ$3&amp;", *")</f>
        <v>0</v>
      </c>
      <c r="AK210" s="2">
        <f>COUNTIFS(集計用!$G208,"*, "&amp;AK$3&amp;", *")</f>
        <v>0</v>
      </c>
      <c r="AL210" s="2">
        <f>COUNTIFS(集計用!$G208,"*, "&amp;AL$3&amp;", *")</f>
        <v>0</v>
      </c>
      <c r="AM210" s="2">
        <f>COUNTIFS(集計用!$G208,"*, "&amp;AM$3&amp;", *")</f>
        <v>0</v>
      </c>
      <c r="AN210" s="2">
        <f>COUNTIFS(集計用!$G208,"*, "&amp;AN$3&amp;", *")</f>
        <v>0</v>
      </c>
      <c r="AO210" s="2">
        <f>COUNTIFS(集計用!$G208,"*, "&amp;AO$3&amp;", *")</f>
        <v>0</v>
      </c>
      <c r="AP210" s="2">
        <f>COUNTIFS(集計用!$G208,"*, "&amp;AP$3&amp;", *")</f>
        <v>0</v>
      </c>
      <c r="AQ210" s="2">
        <f>COUNTIFS(集計用!$G208,"*, "&amp;AQ$3&amp;", *")</f>
        <v>0</v>
      </c>
      <c r="AR210" s="2">
        <f>COUNTIFS(集計用!$G208,"*, "&amp;AR$3&amp;", *")</f>
        <v>0</v>
      </c>
      <c r="AS210" s="2">
        <f>COUNTIFS(集計用!$G208,"*, "&amp;AS$3&amp;", *")</f>
        <v>0</v>
      </c>
      <c r="AT210" s="2">
        <f>COUNTIFS(集計用!$G208,"*, "&amp;AT$3&amp;", *")</f>
        <v>0</v>
      </c>
      <c r="AU210" s="2">
        <f>COUNTIFS(集計用!$G208,"*, "&amp;AU$3&amp;", *")</f>
        <v>0</v>
      </c>
      <c r="AV210" s="2">
        <f>COUNTIFS(集計用!$G208,"*, "&amp;AV$3&amp;", *")</f>
        <v>0</v>
      </c>
      <c r="AW210" s="2">
        <f>COUNTIFS(集計用!$G208,"*, "&amp;AW$3&amp;", *")</f>
        <v>0</v>
      </c>
      <c r="AX210" s="2">
        <f>COUNTIFS(集計用!$G208,"*, "&amp;AX$3&amp;", *")</f>
        <v>0</v>
      </c>
      <c r="AY210" s="2">
        <f>COUNTIFS(集計用!$G208,"*, "&amp;AY$3&amp;", *")</f>
        <v>0</v>
      </c>
      <c r="AZ210" s="2">
        <f>COUNTIFS(集計用!$G208,"*, "&amp;AZ$3&amp;", *")</f>
        <v>0</v>
      </c>
      <c r="BA210" s="2">
        <f>COUNTIFS(集計用!$G208,"*, "&amp;BA$3&amp;", *")</f>
        <v>0</v>
      </c>
      <c r="BB210" s="2">
        <f>COUNTIFS(集計用!$G208,"*, "&amp;BB$3&amp;", *")</f>
        <v>0</v>
      </c>
      <c r="BC210" s="2">
        <f>COUNTIFS(集計用!$G208,"*, "&amp;BC$3&amp;", *")</f>
        <v>0</v>
      </c>
      <c r="BD210" s="2">
        <f>COUNTIFS(集計用!$G208,"*, "&amp;BD$3&amp;", *")</f>
        <v>0</v>
      </c>
      <c r="BE210" s="2">
        <f>COUNTIFS(集計用!$G208,"*, "&amp;BE$3&amp;", *")</f>
        <v>0</v>
      </c>
      <c r="BF210" s="2">
        <f>COUNTIFS(集計用!$G208,"*, "&amp;BF$3&amp;", *")</f>
        <v>0</v>
      </c>
      <c r="BG210" s="2">
        <f>COUNTIFS(集計用!$G208,"*, "&amp;BG$3&amp;", *")</f>
        <v>0</v>
      </c>
      <c r="BH210" s="2">
        <f>COUNTIFS(集計用!$G208,"*, "&amp;BH$3&amp;", *")</f>
        <v>0</v>
      </c>
      <c r="BI210" s="2">
        <f>COUNTIFS(集計用!$G208,"*, "&amp;BI$3&amp;", *")</f>
        <v>0</v>
      </c>
      <c r="BJ210" s="2">
        <f>LEN(集計用!H208)-LEN(SUBSTITUTE(集計用!H208,",",""))</f>
        <v>0</v>
      </c>
    </row>
    <row r="211" spans="1:62" ht="12.75">
      <c r="A211" s="8">
        <v>208</v>
      </c>
      <c r="C211" s="2">
        <f t="shared" si="3"/>
        <v>6</v>
      </c>
      <c r="D211" s="9"/>
      <c r="E211" s="2">
        <f>COUNTIFS(集計用!$G209,"*, "&amp;E$3&amp;", *")</f>
        <v>0</v>
      </c>
      <c r="F211" s="2">
        <f>COUNTIFS(集計用!$G209,"*, "&amp;F$3&amp;", *")</f>
        <v>0</v>
      </c>
      <c r="G211" s="2">
        <f>COUNTIFS(集計用!$G209,"*, "&amp;G$3&amp;", *")</f>
        <v>1</v>
      </c>
      <c r="H211" s="2">
        <f>COUNTIFS(集計用!$G209,"*, "&amp;H$3&amp;", *")</f>
        <v>0</v>
      </c>
      <c r="I211" s="2">
        <f>COUNTIFS(集計用!$G209,"*, "&amp;I$3&amp;", *")</f>
        <v>1</v>
      </c>
      <c r="J211" s="2">
        <f>COUNTIFS(集計用!$G209,"*, "&amp;J$3&amp;", *")</f>
        <v>0</v>
      </c>
      <c r="K211" s="2">
        <f>COUNTIFS(集計用!$G209,"*, "&amp;K$3&amp;", *")</f>
        <v>0</v>
      </c>
      <c r="L211" s="2">
        <f>COUNTIFS(集計用!$G209,"*, "&amp;L$3&amp;", *")</f>
        <v>1</v>
      </c>
      <c r="M211" s="2">
        <f>COUNTIFS(集計用!$G209,"*, "&amp;M$3&amp;", *")</f>
        <v>0</v>
      </c>
      <c r="N211" s="2">
        <f>COUNTIFS(集計用!$G209,"*, "&amp;N$3&amp;", *")</f>
        <v>1</v>
      </c>
      <c r="O211" s="2">
        <f>COUNTIFS(集計用!$G209,"*, "&amp;O$3&amp;", *")</f>
        <v>0</v>
      </c>
      <c r="P211" s="2">
        <f>COUNTIFS(集計用!$G209,"*, "&amp;P$3&amp;", *")</f>
        <v>0</v>
      </c>
      <c r="Q211" s="2">
        <f>COUNTIFS(集計用!$G209,"*, "&amp;Q$3&amp;", *")</f>
        <v>0</v>
      </c>
      <c r="R211" s="2">
        <f>COUNTIFS(集計用!$G209,"*, "&amp;R$3&amp;", *")</f>
        <v>0</v>
      </c>
      <c r="S211" s="2">
        <f>COUNTIFS(集計用!$G209,"*, "&amp;S$3&amp;", *")</f>
        <v>0</v>
      </c>
      <c r="T211" s="2">
        <f>COUNTIFS(集計用!$G209,"*, "&amp;T$3&amp;", *")</f>
        <v>1</v>
      </c>
      <c r="U211" s="2">
        <f>COUNTIFS(集計用!$G209,"*, "&amp;U$3&amp;", *")</f>
        <v>0</v>
      </c>
      <c r="V211" s="2">
        <f>COUNTIFS(集計用!$G209,"*, "&amp;V$3&amp;", *")</f>
        <v>0</v>
      </c>
      <c r="W211" s="2">
        <f>COUNTIFS(集計用!$G209,"*, "&amp;W$3&amp;", *")</f>
        <v>0</v>
      </c>
      <c r="X211" s="2">
        <f>COUNTIFS(集計用!$G209,"*, "&amp;X$3&amp;", *")</f>
        <v>0</v>
      </c>
      <c r="Y211" s="2">
        <f>COUNTIFS(集計用!$G209,"*, "&amp;Y$3&amp;", *")</f>
        <v>0</v>
      </c>
      <c r="Z211" s="2">
        <f>COUNTIFS(集計用!$G209,"*, "&amp;Z$3&amp;", *")</f>
        <v>0</v>
      </c>
      <c r="AA211" s="2">
        <f>COUNTIFS(集計用!$G209,"*, "&amp;AA$3&amp;", *")</f>
        <v>0</v>
      </c>
      <c r="AB211" s="2">
        <f>COUNTIFS(集計用!$G209,"*, "&amp;AB$3&amp;", *")</f>
        <v>0</v>
      </c>
      <c r="AC211" s="2">
        <f>COUNTIFS(集計用!$G209,"*, "&amp;AC$3&amp;", *")</f>
        <v>0</v>
      </c>
      <c r="AD211" s="2">
        <f>COUNTIFS(集計用!$G209,"*, "&amp;AD$3&amp;", *")</f>
        <v>0</v>
      </c>
      <c r="AE211" s="2">
        <f>COUNTIFS(集計用!$G209,"*, "&amp;AE$3&amp;", *")</f>
        <v>0</v>
      </c>
      <c r="AF211" s="2">
        <f>COUNTIFS(集計用!$G209,"*, "&amp;AF$3&amp;", *")</f>
        <v>0</v>
      </c>
      <c r="AG211" s="2">
        <f>COUNTIFS(集計用!$G209,"*, "&amp;AG$3&amp;", *")</f>
        <v>0</v>
      </c>
      <c r="AH211" s="2">
        <f>COUNTIFS(集計用!$G209,"*, "&amp;AH$3&amp;", *")</f>
        <v>0</v>
      </c>
      <c r="AI211" s="2">
        <f>COUNTIFS(集計用!$G209,"*, "&amp;AI$3&amp;", *")</f>
        <v>0</v>
      </c>
      <c r="AJ211" s="2">
        <f>COUNTIFS(集計用!$G209,"*, "&amp;AJ$3&amp;", *")</f>
        <v>0</v>
      </c>
      <c r="AK211" s="2">
        <f>COUNTIFS(集計用!$G209,"*, "&amp;AK$3&amp;", *")</f>
        <v>0</v>
      </c>
      <c r="AL211" s="2">
        <f>COUNTIFS(集計用!$G209,"*, "&amp;AL$3&amp;", *")</f>
        <v>0</v>
      </c>
      <c r="AM211" s="2">
        <f>COUNTIFS(集計用!$G209,"*, "&amp;AM$3&amp;", *")</f>
        <v>0</v>
      </c>
      <c r="AN211" s="2">
        <f>COUNTIFS(集計用!$G209,"*, "&amp;AN$3&amp;", *")</f>
        <v>0</v>
      </c>
      <c r="AO211" s="2">
        <f>COUNTIFS(集計用!$G209,"*, "&amp;AO$3&amp;", *")</f>
        <v>0</v>
      </c>
      <c r="AP211" s="2">
        <f>COUNTIFS(集計用!$G209,"*, "&amp;AP$3&amp;", *")</f>
        <v>0</v>
      </c>
      <c r="AQ211" s="2">
        <f>COUNTIFS(集計用!$G209,"*, "&amp;AQ$3&amp;", *")</f>
        <v>0</v>
      </c>
      <c r="AR211" s="2">
        <f>COUNTIFS(集計用!$G209,"*, "&amp;AR$3&amp;", *")</f>
        <v>0</v>
      </c>
      <c r="AS211" s="2">
        <f>COUNTIFS(集計用!$G209,"*, "&amp;AS$3&amp;", *")</f>
        <v>0</v>
      </c>
      <c r="AT211" s="2">
        <f>COUNTIFS(集計用!$G209,"*, "&amp;AT$3&amp;", *")</f>
        <v>0</v>
      </c>
      <c r="AU211" s="2">
        <f>COUNTIFS(集計用!$G209,"*, "&amp;AU$3&amp;", *")</f>
        <v>0</v>
      </c>
      <c r="AV211" s="2">
        <f>COUNTIFS(集計用!$G209,"*, "&amp;AV$3&amp;", *")</f>
        <v>0</v>
      </c>
      <c r="AW211" s="2">
        <f>COUNTIFS(集計用!$G209,"*, "&amp;AW$3&amp;", *")</f>
        <v>0</v>
      </c>
      <c r="AX211" s="2">
        <f>COUNTIFS(集計用!$G209,"*, "&amp;AX$3&amp;", *")</f>
        <v>0</v>
      </c>
      <c r="AY211" s="2">
        <f>COUNTIFS(集計用!$G209,"*, "&amp;AY$3&amp;", *")</f>
        <v>0</v>
      </c>
      <c r="AZ211" s="2">
        <f>COUNTIFS(集計用!$G209,"*, "&amp;AZ$3&amp;", *")</f>
        <v>0</v>
      </c>
      <c r="BA211" s="2">
        <f>COUNTIFS(集計用!$G209,"*, "&amp;BA$3&amp;", *")</f>
        <v>0</v>
      </c>
      <c r="BB211" s="2">
        <f>COUNTIFS(集計用!$G209,"*, "&amp;BB$3&amp;", *")</f>
        <v>0</v>
      </c>
      <c r="BC211" s="2">
        <f>COUNTIFS(集計用!$G209,"*, "&amp;BC$3&amp;", *")</f>
        <v>0</v>
      </c>
      <c r="BD211" s="2">
        <f>COUNTIFS(集計用!$G209,"*, "&amp;BD$3&amp;", *")</f>
        <v>0</v>
      </c>
      <c r="BE211" s="2">
        <f>COUNTIFS(集計用!$G209,"*, "&amp;BE$3&amp;", *")</f>
        <v>0</v>
      </c>
      <c r="BF211" s="2">
        <f>COUNTIFS(集計用!$G209,"*, "&amp;BF$3&amp;", *")</f>
        <v>0</v>
      </c>
      <c r="BG211" s="2">
        <f>COUNTIFS(集計用!$G209,"*, "&amp;BG$3&amp;", *")</f>
        <v>0</v>
      </c>
      <c r="BH211" s="2">
        <f>COUNTIFS(集計用!$G209,"*, "&amp;BH$3&amp;", *")</f>
        <v>0</v>
      </c>
      <c r="BI211" s="2">
        <f>COUNTIFS(集計用!$G209,"*, "&amp;BI$3&amp;", *")</f>
        <v>0</v>
      </c>
      <c r="BJ211" s="2">
        <f>LEN(集計用!H209)-LEN(SUBSTITUTE(集計用!H209,",",""))</f>
        <v>1</v>
      </c>
    </row>
    <row r="212" spans="1:62" ht="12.75">
      <c r="A212" s="8">
        <v>209</v>
      </c>
      <c r="C212" s="2">
        <f t="shared" si="3"/>
        <v>4</v>
      </c>
      <c r="D212" s="9"/>
      <c r="E212" s="2">
        <f>COUNTIFS(集計用!$G210,"*, "&amp;E$3&amp;", *")</f>
        <v>1</v>
      </c>
      <c r="F212" s="2">
        <f>COUNTIFS(集計用!$G210,"*, "&amp;F$3&amp;", *")</f>
        <v>0</v>
      </c>
      <c r="G212" s="2">
        <f>COUNTIFS(集計用!$G210,"*, "&amp;G$3&amp;", *")</f>
        <v>0</v>
      </c>
      <c r="H212" s="2">
        <f>COUNTIFS(集計用!$G210,"*, "&amp;H$3&amp;", *")</f>
        <v>0</v>
      </c>
      <c r="I212" s="2">
        <f>COUNTIFS(集計用!$G210,"*, "&amp;I$3&amp;", *")</f>
        <v>1</v>
      </c>
      <c r="J212" s="2">
        <f>COUNTIFS(集計用!$G210,"*, "&amp;J$3&amp;", *")</f>
        <v>0</v>
      </c>
      <c r="K212" s="2">
        <f>COUNTIFS(集計用!$G210,"*, "&amp;K$3&amp;", *")</f>
        <v>0</v>
      </c>
      <c r="L212" s="2">
        <f>COUNTIFS(集計用!$G210,"*, "&amp;L$3&amp;", *")</f>
        <v>0</v>
      </c>
      <c r="M212" s="2">
        <f>COUNTIFS(集計用!$G210,"*, "&amp;M$3&amp;", *")</f>
        <v>0</v>
      </c>
      <c r="N212" s="2">
        <f>COUNTIFS(集計用!$G210,"*, "&amp;N$3&amp;", *")</f>
        <v>0</v>
      </c>
      <c r="O212" s="2">
        <f>COUNTIFS(集計用!$G210,"*, "&amp;O$3&amp;", *")</f>
        <v>0</v>
      </c>
      <c r="P212" s="2">
        <f>COUNTIFS(集計用!$G210,"*, "&amp;P$3&amp;", *")</f>
        <v>0</v>
      </c>
      <c r="Q212" s="2">
        <f>COUNTIFS(集計用!$G210,"*, "&amp;Q$3&amp;", *")</f>
        <v>0</v>
      </c>
      <c r="R212" s="2">
        <f>COUNTIFS(集計用!$G210,"*, "&amp;R$3&amp;", *")</f>
        <v>0</v>
      </c>
      <c r="S212" s="2">
        <f>COUNTIFS(集計用!$G210,"*, "&amp;S$3&amp;", *")</f>
        <v>0</v>
      </c>
      <c r="T212" s="2">
        <f>COUNTIFS(集計用!$G210,"*, "&amp;T$3&amp;", *")</f>
        <v>0</v>
      </c>
      <c r="U212" s="2">
        <f>COUNTIFS(集計用!$G210,"*, "&amp;U$3&amp;", *")</f>
        <v>0</v>
      </c>
      <c r="V212" s="2">
        <f>COUNTIFS(集計用!$G210,"*, "&amp;V$3&amp;", *")</f>
        <v>0</v>
      </c>
      <c r="W212" s="2">
        <f>COUNTIFS(集計用!$G210,"*, "&amp;W$3&amp;", *")</f>
        <v>0</v>
      </c>
      <c r="X212" s="2">
        <f>COUNTIFS(集計用!$G210,"*, "&amp;X$3&amp;", *")</f>
        <v>0</v>
      </c>
      <c r="Y212" s="2">
        <f>COUNTIFS(集計用!$G210,"*, "&amp;Y$3&amp;", *")</f>
        <v>0</v>
      </c>
      <c r="Z212" s="2">
        <f>COUNTIFS(集計用!$G210,"*, "&amp;Z$3&amp;", *")</f>
        <v>0</v>
      </c>
      <c r="AA212" s="2">
        <f>COUNTIFS(集計用!$G210,"*, "&amp;AA$3&amp;", *")</f>
        <v>0</v>
      </c>
      <c r="AB212" s="2">
        <f>COUNTIFS(集計用!$G210,"*, "&amp;AB$3&amp;", *")</f>
        <v>0</v>
      </c>
      <c r="AC212" s="2">
        <f>COUNTIFS(集計用!$G210,"*, "&amp;AC$3&amp;", *")</f>
        <v>0</v>
      </c>
      <c r="AD212" s="2">
        <f>COUNTIFS(集計用!$G210,"*, "&amp;AD$3&amp;", *")</f>
        <v>0</v>
      </c>
      <c r="AE212" s="2">
        <f>COUNTIFS(集計用!$G210,"*, "&amp;AE$3&amp;", *")</f>
        <v>0</v>
      </c>
      <c r="AF212" s="2">
        <f>COUNTIFS(集計用!$G210,"*, "&amp;AF$3&amp;", *")</f>
        <v>0</v>
      </c>
      <c r="AG212" s="2">
        <f>COUNTIFS(集計用!$G210,"*, "&amp;AG$3&amp;", *")</f>
        <v>0</v>
      </c>
      <c r="AH212" s="2">
        <f>COUNTIFS(集計用!$G210,"*, "&amp;AH$3&amp;", *")</f>
        <v>0</v>
      </c>
      <c r="AI212" s="2">
        <f>COUNTIFS(集計用!$G210,"*, "&amp;AI$3&amp;", *")</f>
        <v>0</v>
      </c>
      <c r="AJ212" s="2">
        <f>COUNTIFS(集計用!$G210,"*, "&amp;AJ$3&amp;", *")</f>
        <v>0</v>
      </c>
      <c r="AK212" s="2">
        <f>COUNTIFS(集計用!$G210,"*, "&amp;AK$3&amp;", *")</f>
        <v>0</v>
      </c>
      <c r="AL212" s="2">
        <f>COUNTIFS(集計用!$G210,"*, "&amp;AL$3&amp;", *")</f>
        <v>0</v>
      </c>
      <c r="AM212" s="2">
        <f>COUNTIFS(集計用!$G210,"*, "&amp;AM$3&amp;", *")</f>
        <v>0</v>
      </c>
      <c r="AN212" s="2">
        <f>COUNTIFS(集計用!$G210,"*, "&amp;AN$3&amp;", *")</f>
        <v>0</v>
      </c>
      <c r="AO212" s="2">
        <f>COUNTIFS(集計用!$G210,"*, "&amp;AO$3&amp;", *")</f>
        <v>0</v>
      </c>
      <c r="AP212" s="2">
        <f>COUNTIFS(集計用!$G210,"*, "&amp;AP$3&amp;", *")</f>
        <v>0</v>
      </c>
      <c r="AQ212" s="2">
        <f>COUNTIFS(集計用!$G210,"*, "&amp;AQ$3&amp;", *")</f>
        <v>0</v>
      </c>
      <c r="AR212" s="2">
        <f>COUNTIFS(集計用!$G210,"*, "&amp;AR$3&amp;", *")</f>
        <v>0</v>
      </c>
      <c r="AS212" s="2">
        <f>COUNTIFS(集計用!$G210,"*, "&amp;AS$3&amp;", *")</f>
        <v>0</v>
      </c>
      <c r="AT212" s="2">
        <f>COUNTIFS(集計用!$G210,"*, "&amp;AT$3&amp;", *")</f>
        <v>0</v>
      </c>
      <c r="AU212" s="2">
        <f>COUNTIFS(集計用!$G210,"*, "&amp;AU$3&amp;", *")</f>
        <v>0</v>
      </c>
      <c r="AV212" s="2">
        <f>COUNTIFS(集計用!$G210,"*, "&amp;AV$3&amp;", *")</f>
        <v>0</v>
      </c>
      <c r="AW212" s="2">
        <f>COUNTIFS(集計用!$G210,"*, "&amp;AW$3&amp;", *")</f>
        <v>0</v>
      </c>
      <c r="AX212" s="2">
        <f>COUNTIFS(集計用!$G210,"*, "&amp;AX$3&amp;", *")</f>
        <v>0</v>
      </c>
      <c r="AY212" s="2">
        <f>COUNTIFS(集計用!$G210,"*, "&amp;AY$3&amp;", *")</f>
        <v>0</v>
      </c>
      <c r="AZ212" s="2">
        <f>COUNTIFS(集計用!$G210,"*, "&amp;AZ$3&amp;", *")</f>
        <v>0</v>
      </c>
      <c r="BA212" s="2">
        <f>COUNTIFS(集計用!$G210,"*, "&amp;BA$3&amp;", *")</f>
        <v>0</v>
      </c>
      <c r="BB212" s="2">
        <f>COUNTIFS(集計用!$G210,"*, "&amp;BB$3&amp;", *")</f>
        <v>0</v>
      </c>
      <c r="BC212" s="2">
        <f>COUNTIFS(集計用!$G210,"*, "&amp;BC$3&amp;", *")</f>
        <v>0</v>
      </c>
      <c r="BD212" s="2">
        <f>COUNTIFS(集計用!$G210,"*, "&amp;BD$3&amp;", *")</f>
        <v>0</v>
      </c>
      <c r="BE212" s="2">
        <f>COUNTIFS(集計用!$G210,"*, "&amp;BE$3&amp;", *")</f>
        <v>0</v>
      </c>
      <c r="BF212" s="2">
        <f>COUNTIFS(集計用!$G210,"*, "&amp;BF$3&amp;", *")</f>
        <v>0</v>
      </c>
      <c r="BG212" s="2">
        <f>COUNTIFS(集計用!$G210,"*, "&amp;BG$3&amp;", *")</f>
        <v>0</v>
      </c>
      <c r="BH212" s="2">
        <f>COUNTIFS(集計用!$G210,"*, "&amp;BH$3&amp;", *")</f>
        <v>0</v>
      </c>
      <c r="BI212" s="2">
        <f>COUNTIFS(集計用!$G210,"*, "&amp;BI$3&amp;", *")</f>
        <v>0</v>
      </c>
      <c r="BJ212" s="2">
        <f>LEN(集計用!H210)-LEN(SUBSTITUTE(集計用!H210,",",""))</f>
        <v>2</v>
      </c>
    </row>
    <row r="213" spans="1:62" ht="12.75">
      <c r="A213" s="8">
        <v>210</v>
      </c>
      <c r="C213" s="2">
        <f t="shared" si="3"/>
        <v>9</v>
      </c>
      <c r="D213" s="9"/>
      <c r="E213" s="2">
        <f>COUNTIFS(集計用!$G211,"*, "&amp;E$3&amp;", *")</f>
        <v>0</v>
      </c>
      <c r="F213" s="2">
        <f>COUNTIFS(集計用!$G211,"*, "&amp;F$3&amp;", *")</f>
        <v>1</v>
      </c>
      <c r="G213" s="2">
        <f>COUNTIFS(集計用!$G211,"*, "&amp;G$3&amp;", *")</f>
        <v>0</v>
      </c>
      <c r="H213" s="2">
        <f>COUNTIFS(集計用!$G211,"*, "&amp;H$3&amp;", *")</f>
        <v>0</v>
      </c>
      <c r="I213" s="2">
        <f>COUNTIFS(集計用!$G211,"*, "&amp;I$3&amp;", *")</f>
        <v>0</v>
      </c>
      <c r="J213" s="2">
        <f>COUNTIFS(集計用!$G211,"*, "&amp;J$3&amp;", *")</f>
        <v>0</v>
      </c>
      <c r="K213" s="2">
        <f>COUNTIFS(集計用!$G211,"*, "&amp;K$3&amp;", *")</f>
        <v>0</v>
      </c>
      <c r="L213" s="2">
        <f>COUNTIFS(集計用!$G211,"*, "&amp;L$3&amp;", *")</f>
        <v>1</v>
      </c>
      <c r="M213" s="2">
        <f>COUNTIFS(集計用!$G211,"*, "&amp;M$3&amp;", *")</f>
        <v>1</v>
      </c>
      <c r="N213" s="2">
        <f>COUNTIFS(集計用!$G211,"*, "&amp;N$3&amp;", *")</f>
        <v>0</v>
      </c>
      <c r="O213" s="2">
        <f>COUNTIFS(集計用!$G211,"*, "&amp;O$3&amp;", *")</f>
        <v>0</v>
      </c>
      <c r="P213" s="2">
        <f>COUNTIFS(集計用!$G211,"*, "&amp;P$3&amp;", *")</f>
        <v>0</v>
      </c>
      <c r="Q213" s="2">
        <f>COUNTIFS(集計用!$G211,"*, "&amp;Q$3&amp;", *")</f>
        <v>1</v>
      </c>
      <c r="R213" s="2">
        <f>COUNTIFS(集計用!$G211,"*, "&amp;R$3&amp;", *")</f>
        <v>0</v>
      </c>
      <c r="S213" s="2">
        <f>COUNTIFS(集計用!$G211,"*, "&amp;S$3&amp;", *")</f>
        <v>0</v>
      </c>
      <c r="T213" s="2">
        <f>COUNTIFS(集計用!$G211,"*, "&amp;T$3&amp;", *")</f>
        <v>0</v>
      </c>
      <c r="U213" s="2">
        <f>COUNTIFS(集計用!$G211,"*, "&amp;U$3&amp;", *")</f>
        <v>1</v>
      </c>
      <c r="V213" s="2">
        <f>COUNTIFS(集計用!$G211,"*, "&amp;V$3&amp;", *")</f>
        <v>1</v>
      </c>
      <c r="W213" s="2">
        <f>COUNTIFS(集計用!$G211,"*, "&amp;W$3&amp;", *")</f>
        <v>0</v>
      </c>
      <c r="X213" s="2">
        <f>COUNTIFS(集計用!$G211,"*, "&amp;X$3&amp;", *")</f>
        <v>0</v>
      </c>
      <c r="Y213" s="2">
        <f>COUNTIFS(集計用!$G211,"*, "&amp;Y$3&amp;", *")</f>
        <v>0</v>
      </c>
      <c r="Z213" s="2">
        <f>COUNTIFS(集計用!$G211,"*, "&amp;Z$3&amp;", *")</f>
        <v>0</v>
      </c>
      <c r="AA213" s="2">
        <f>COUNTIFS(集計用!$G211,"*, "&amp;AA$3&amp;", *")</f>
        <v>0</v>
      </c>
      <c r="AB213" s="2">
        <f>COUNTIFS(集計用!$G211,"*, "&amp;AB$3&amp;", *")</f>
        <v>0</v>
      </c>
      <c r="AC213" s="2">
        <f>COUNTIFS(集計用!$G211,"*, "&amp;AC$3&amp;", *")</f>
        <v>0</v>
      </c>
      <c r="AD213" s="2">
        <f>COUNTIFS(集計用!$G211,"*, "&amp;AD$3&amp;", *")</f>
        <v>0</v>
      </c>
      <c r="AE213" s="2">
        <f>COUNTIFS(集計用!$G211,"*, "&amp;AE$3&amp;", *")</f>
        <v>0</v>
      </c>
      <c r="AF213" s="2">
        <f>COUNTIFS(集計用!$G211,"*, "&amp;AF$3&amp;", *")</f>
        <v>0</v>
      </c>
      <c r="AG213" s="2">
        <f>COUNTIFS(集計用!$G211,"*, "&amp;AG$3&amp;", *")</f>
        <v>0</v>
      </c>
      <c r="AH213" s="2">
        <f>COUNTIFS(集計用!$G211,"*, "&amp;AH$3&amp;", *")</f>
        <v>0</v>
      </c>
      <c r="AI213" s="2">
        <f>COUNTIFS(集計用!$G211,"*, "&amp;AI$3&amp;", *")</f>
        <v>0</v>
      </c>
      <c r="AJ213" s="2">
        <f>COUNTIFS(集計用!$G211,"*, "&amp;AJ$3&amp;", *")</f>
        <v>0</v>
      </c>
      <c r="AK213" s="2">
        <f>COUNTIFS(集計用!$G211,"*, "&amp;AK$3&amp;", *")</f>
        <v>0</v>
      </c>
      <c r="AL213" s="2">
        <f>COUNTIFS(集計用!$G211,"*, "&amp;AL$3&amp;", *")</f>
        <v>0</v>
      </c>
      <c r="AM213" s="2">
        <f>COUNTIFS(集計用!$G211,"*, "&amp;AM$3&amp;", *")</f>
        <v>1</v>
      </c>
      <c r="AN213" s="2">
        <f>COUNTIFS(集計用!$G211,"*, "&amp;AN$3&amp;", *")</f>
        <v>1</v>
      </c>
      <c r="AO213" s="2">
        <f>COUNTIFS(集計用!$G211,"*, "&amp;AO$3&amp;", *")</f>
        <v>0</v>
      </c>
      <c r="AP213" s="2">
        <f>COUNTIFS(集計用!$G211,"*, "&amp;AP$3&amp;", *")</f>
        <v>0</v>
      </c>
      <c r="AQ213" s="2">
        <f>COUNTIFS(集計用!$G211,"*, "&amp;AQ$3&amp;", *")</f>
        <v>0</v>
      </c>
      <c r="AR213" s="2">
        <f>COUNTIFS(集計用!$G211,"*, "&amp;AR$3&amp;", *")</f>
        <v>1</v>
      </c>
      <c r="AS213" s="2">
        <f>COUNTIFS(集計用!$G211,"*, "&amp;AS$3&amp;", *")</f>
        <v>0</v>
      </c>
      <c r="AT213" s="2">
        <f>COUNTIFS(集計用!$G211,"*, "&amp;AT$3&amp;", *")</f>
        <v>0</v>
      </c>
      <c r="AU213" s="2">
        <f>COUNTIFS(集計用!$G211,"*, "&amp;AU$3&amp;", *")</f>
        <v>0</v>
      </c>
      <c r="AV213" s="2">
        <f>COUNTIFS(集計用!$G211,"*, "&amp;AV$3&amp;", *")</f>
        <v>0</v>
      </c>
      <c r="AW213" s="2">
        <f>COUNTIFS(集計用!$G211,"*, "&amp;AW$3&amp;", *")</f>
        <v>0</v>
      </c>
      <c r="AX213" s="2">
        <f>COUNTIFS(集計用!$G211,"*, "&amp;AX$3&amp;", *")</f>
        <v>0</v>
      </c>
      <c r="AY213" s="2">
        <f>COUNTIFS(集計用!$G211,"*, "&amp;AY$3&amp;", *")</f>
        <v>0</v>
      </c>
      <c r="AZ213" s="2">
        <f>COUNTIFS(集計用!$G211,"*, "&amp;AZ$3&amp;", *")</f>
        <v>0</v>
      </c>
      <c r="BA213" s="2">
        <f>COUNTIFS(集計用!$G211,"*, "&amp;BA$3&amp;", *")</f>
        <v>0</v>
      </c>
      <c r="BB213" s="2">
        <f>COUNTIFS(集計用!$G211,"*, "&amp;BB$3&amp;", *")</f>
        <v>0</v>
      </c>
      <c r="BC213" s="2">
        <f>COUNTIFS(集計用!$G211,"*, "&amp;BC$3&amp;", *")</f>
        <v>0</v>
      </c>
      <c r="BD213" s="2">
        <f>COUNTIFS(集計用!$G211,"*, "&amp;BD$3&amp;", *")</f>
        <v>0</v>
      </c>
      <c r="BE213" s="2">
        <f>COUNTIFS(集計用!$G211,"*, "&amp;BE$3&amp;", *")</f>
        <v>0</v>
      </c>
      <c r="BF213" s="2">
        <f>COUNTIFS(集計用!$G211,"*, "&amp;BF$3&amp;", *")</f>
        <v>0</v>
      </c>
      <c r="BG213" s="2">
        <f>COUNTIFS(集計用!$G211,"*, "&amp;BG$3&amp;", *")</f>
        <v>0</v>
      </c>
      <c r="BH213" s="2">
        <f>COUNTIFS(集計用!$G211,"*, "&amp;BH$3&amp;", *")</f>
        <v>0</v>
      </c>
      <c r="BI213" s="2">
        <f>COUNTIFS(集計用!$G211,"*, "&amp;BI$3&amp;", *")</f>
        <v>0</v>
      </c>
      <c r="BJ213" s="2">
        <f>LEN(集計用!H211)-LEN(SUBSTITUTE(集計用!H211,",",""))</f>
        <v>0</v>
      </c>
    </row>
    <row r="214" spans="1:62" ht="12.75">
      <c r="A214" s="8">
        <v>211</v>
      </c>
      <c r="C214" s="2">
        <f t="shared" si="3"/>
        <v>1</v>
      </c>
      <c r="D214" s="9"/>
      <c r="E214" s="2">
        <f>COUNTIFS(集計用!$G212,"*, "&amp;E$3&amp;", *")</f>
        <v>0</v>
      </c>
      <c r="F214" s="2">
        <f>COUNTIFS(集計用!$G212,"*, "&amp;F$3&amp;", *")</f>
        <v>0</v>
      </c>
      <c r="G214" s="2">
        <f>COUNTIFS(集計用!$G212,"*, "&amp;G$3&amp;", *")</f>
        <v>0</v>
      </c>
      <c r="H214" s="2">
        <f>COUNTIFS(集計用!$G212,"*, "&amp;H$3&amp;", *")</f>
        <v>0</v>
      </c>
      <c r="I214" s="2">
        <f>COUNTIFS(集計用!$G212,"*, "&amp;I$3&amp;", *")</f>
        <v>0</v>
      </c>
      <c r="J214" s="2">
        <f>COUNTIFS(集計用!$G212,"*, "&amp;J$3&amp;", *")</f>
        <v>0</v>
      </c>
      <c r="K214" s="2">
        <f>COUNTIFS(集計用!$G212,"*, "&amp;K$3&amp;", *")</f>
        <v>0</v>
      </c>
      <c r="L214" s="2">
        <f>COUNTIFS(集計用!$G212,"*, "&amp;L$3&amp;", *")</f>
        <v>0</v>
      </c>
      <c r="M214" s="2">
        <f>COUNTIFS(集計用!$G212,"*, "&amp;M$3&amp;", *")</f>
        <v>0</v>
      </c>
      <c r="N214" s="2">
        <f>COUNTIFS(集計用!$G212,"*, "&amp;N$3&amp;", *")</f>
        <v>0</v>
      </c>
      <c r="O214" s="2">
        <f>COUNTIFS(集計用!$G212,"*, "&amp;O$3&amp;", *")</f>
        <v>0</v>
      </c>
      <c r="P214" s="2">
        <f>COUNTIFS(集計用!$G212,"*, "&amp;P$3&amp;", *")</f>
        <v>0</v>
      </c>
      <c r="Q214" s="2">
        <f>COUNTIFS(集計用!$G212,"*, "&amp;Q$3&amp;", *")</f>
        <v>0</v>
      </c>
      <c r="R214" s="2">
        <f>COUNTIFS(集計用!$G212,"*, "&amp;R$3&amp;", *")</f>
        <v>1</v>
      </c>
      <c r="S214" s="2">
        <f>COUNTIFS(集計用!$G212,"*, "&amp;S$3&amp;", *")</f>
        <v>0</v>
      </c>
      <c r="T214" s="2">
        <f>COUNTIFS(集計用!$G212,"*, "&amp;T$3&amp;", *")</f>
        <v>0</v>
      </c>
      <c r="U214" s="2">
        <f>COUNTIFS(集計用!$G212,"*, "&amp;U$3&amp;", *")</f>
        <v>0</v>
      </c>
      <c r="V214" s="2">
        <f>COUNTIFS(集計用!$G212,"*, "&amp;V$3&amp;", *")</f>
        <v>0</v>
      </c>
      <c r="W214" s="2">
        <f>COUNTIFS(集計用!$G212,"*, "&amp;W$3&amp;", *")</f>
        <v>0</v>
      </c>
      <c r="X214" s="2">
        <f>COUNTIFS(集計用!$G212,"*, "&amp;X$3&amp;", *")</f>
        <v>0</v>
      </c>
      <c r="Y214" s="2">
        <f>COUNTIFS(集計用!$G212,"*, "&amp;Y$3&amp;", *")</f>
        <v>0</v>
      </c>
      <c r="Z214" s="2">
        <f>COUNTIFS(集計用!$G212,"*, "&amp;Z$3&amp;", *")</f>
        <v>0</v>
      </c>
      <c r="AA214" s="2">
        <f>COUNTIFS(集計用!$G212,"*, "&amp;AA$3&amp;", *")</f>
        <v>0</v>
      </c>
      <c r="AB214" s="2">
        <f>COUNTIFS(集計用!$G212,"*, "&amp;AB$3&amp;", *")</f>
        <v>0</v>
      </c>
      <c r="AC214" s="2">
        <f>COUNTIFS(集計用!$G212,"*, "&amp;AC$3&amp;", *")</f>
        <v>0</v>
      </c>
      <c r="AD214" s="2">
        <f>COUNTIFS(集計用!$G212,"*, "&amp;AD$3&amp;", *")</f>
        <v>0</v>
      </c>
      <c r="AE214" s="2">
        <f>COUNTIFS(集計用!$G212,"*, "&amp;AE$3&amp;", *")</f>
        <v>0</v>
      </c>
      <c r="AF214" s="2">
        <f>COUNTIFS(集計用!$G212,"*, "&amp;AF$3&amp;", *")</f>
        <v>0</v>
      </c>
      <c r="AG214" s="2">
        <f>COUNTIFS(集計用!$G212,"*, "&amp;AG$3&amp;", *")</f>
        <v>0</v>
      </c>
      <c r="AH214" s="2">
        <f>COUNTIFS(集計用!$G212,"*, "&amp;AH$3&amp;", *")</f>
        <v>0</v>
      </c>
      <c r="AI214" s="2">
        <f>COUNTIFS(集計用!$G212,"*, "&amp;AI$3&amp;", *")</f>
        <v>0</v>
      </c>
      <c r="AJ214" s="2">
        <f>COUNTIFS(集計用!$G212,"*, "&amp;AJ$3&amp;", *")</f>
        <v>0</v>
      </c>
      <c r="AK214" s="2">
        <f>COUNTIFS(集計用!$G212,"*, "&amp;AK$3&amp;", *")</f>
        <v>0</v>
      </c>
      <c r="AL214" s="2">
        <f>COUNTIFS(集計用!$G212,"*, "&amp;AL$3&amp;", *")</f>
        <v>0</v>
      </c>
      <c r="AM214" s="2">
        <f>COUNTIFS(集計用!$G212,"*, "&amp;AM$3&amp;", *")</f>
        <v>0</v>
      </c>
      <c r="AN214" s="2">
        <f>COUNTIFS(集計用!$G212,"*, "&amp;AN$3&amp;", *")</f>
        <v>0</v>
      </c>
      <c r="AO214" s="2">
        <f>COUNTIFS(集計用!$G212,"*, "&amp;AO$3&amp;", *")</f>
        <v>0</v>
      </c>
      <c r="AP214" s="2">
        <f>COUNTIFS(集計用!$G212,"*, "&amp;AP$3&amp;", *")</f>
        <v>0</v>
      </c>
      <c r="AQ214" s="2">
        <f>COUNTIFS(集計用!$G212,"*, "&amp;AQ$3&amp;", *")</f>
        <v>0</v>
      </c>
      <c r="AR214" s="2">
        <f>COUNTIFS(集計用!$G212,"*, "&amp;AR$3&amp;", *")</f>
        <v>0</v>
      </c>
      <c r="AS214" s="2">
        <f>COUNTIFS(集計用!$G212,"*, "&amp;AS$3&amp;", *")</f>
        <v>0</v>
      </c>
      <c r="AT214" s="2">
        <f>COUNTIFS(集計用!$G212,"*, "&amp;AT$3&amp;", *")</f>
        <v>0</v>
      </c>
      <c r="AU214" s="2">
        <f>COUNTIFS(集計用!$G212,"*, "&amp;AU$3&amp;", *")</f>
        <v>0</v>
      </c>
      <c r="AV214" s="2">
        <f>COUNTIFS(集計用!$G212,"*, "&amp;AV$3&amp;", *")</f>
        <v>0</v>
      </c>
      <c r="AW214" s="2">
        <f>COUNTIFS(集計用!$G212,"*, "&amp;AW$3&amp;", *")</f>
        <v>0</v>
      </c>
      <c r="AX214" s="2">
        <f>COUNTIFS(集計用!$G212,"*, "&amp;AX$3&amp;", *")</f>
        <v>0</v>
      </c>
      <c r="AY214" s="2">
        <f>COUNTIFS(集計用!$G212,"*, "&amp;AY$3&amp;", *")</f>
        <v>0</v>
      </c>
      <c r="AZ214" s="2">
        <f>COUNTIFS(集計用!$G212,"*, "&amp;AZ$3&amp;", *")</f>
        <v>0</v>
      </c>
      <c r="BA214" s="2">
        <f>COUNTIFS(集計用!$G212,"*, "&amp;BA$3&amp;", *")</f>
        <v>0</v>
      </c>
      <c r="BB214" s="2">
        <f>COUNTIFS(集計用!$G212,"*, "&amp;BB$3&amp;", *")</f>
        <v>0</v>
      </c>
      <c r="BC214" s="2">
        <f>COUNTIFS(集計用!$G212,"*, "&amp;BC$3&amp;", *")</f>
        <v>0</v>
      </c>
      <c r="BD214" s="2">
        <f>COUNTIFS(集計用!$G212,"*, "&amp;BD$3&amp;", *")</f>
        <v>0</v>
      </c>
      <c r="BE214" s="2">
        <f>COUNTIFS(集計用!$G212,"*, "&amp;BE$3&amp;", *")</f>
        <v>0</v>
      </c>
      <c r="BF214" s="2">
        <f>COUNTIFS(集計用!$G212,"*, "&amp;BF$3&amp;", *")</f>
        <v>0</v>
      </c>
      <c r="BG214" s="2">
        <f>COUNTIFS(集計用!$G212,"*, "&amp;BG$3&amp;", *")</f>
        <v>0</v>
      </c>
      <c r="BH214" s="2">
        <f>COUNTIFS(集計用!$G212,"*, "&amp;BH$3&amp;", *")</f>
        <v>0</v>
      </c>
      <c r="BI214" s="2">
        <f>COUNTIFS(集計用!$G212,"*, "&amp;BI$3&amp;", *")</f>
        <v>0</v>
      </c>
      <c r="BJ214" s="2">
        <f>LEN(集計用!H212)-LEN(SUBSTITUTE(集計用!H212,",",""))</f>
        <v>0</v>
      </c>
    </row>
    <row r="215" spans="1:62" ht="12.75">
      <c r="A215" s="8">
        <v>212</v>
      </c>
      <c r="C215" s="2">
        <f t="shared" si="3"/>
        <v>9</v>
      </c>
      <c r="D215" s="9"/>
      <c r="E215" s="2">
        <f>COUNTIFS(集計用!$G213,"*, "&amp;E$3&amp;", *")</f>
        <v>0</v>
      </c>
      <c r="F215" s="2">
        <f>COUNTIFS(集計用!$G213,"*, "&amp;F$3&amp;", *")</f>
        <v>1</v>
      </c>
      <c r="G215" s="2">
        <f>COUNTIFS(集計用!$G213,"*, "&amp;G$3&amp;", *")</f>
        <v>0</v>
      </c>
      <c r="H215" s="2">
        <f>COUNTIFS(集計用!$G213,"*, "&amp;H$3&amp;", *")</f>
        <v>0</v>
      </c>
      <c r="I215" s="2">
        <f>COUNTIFS(集計用!$G213,"*, "&amp;I$3&amp;", *")</f>
        <v>0</v>
      </c>
      <c r="J215" s="2">
        <f>COUNTIFS(集計用!$G213,"*, "&amp;J$3&amp;", *")</f>
        <v>0</v>
      </c>
      <c r="K215" s="2">
        <f>COUNTIFS(集計用!$G213,"*, "&amp;K$3&amp;", *")</f>
        <v>0</v>
      </c>
      <c r="L215" s="2">
        <f>COUNTIFS(集計用!$G213,"*, "&amp;L$3&amp;", *")</f>
        <v>1</v>
      </c>
      <c r="M215" s="2">
        <f>COUNTIFS(集計用!$G213,"*, "&amp;M$3&amp;", *")</f>
        <v>0</v>
      </c>
      <c r="N215" s="2">
        <f>COUNTIFS(集計用!$G213,"*, "&amp;N$3&amp;", *")</f>
        <v>0</v>
      </c>
      <c r="O215" s="2">
        <f>COUNTIFS(集計用!$G213,"*, "&amp;O$3&amp;", *")</f>
        <v>0</v>
      </c>
      <c r="P215" s="2">
        <f>COUNTIFS(集計用!$G213,"*, "&amp;P$3&amp;", *")</f>
        <v>0</v>
      </c>
      <c r="Q215" s="2">
        <f>COUNTIFS(集計用!$G213,"*, "&amp;Q$3&amp;", *")</f>
        <v>0</v>
      </c>
      <c r="R215" s="2">
        <f>COUNTIFS(集計用!$G213,"*, "&amp;R$3&amp;", *")</f>
        <v>0</v>
      </c>
      <c r="S215" s="2">
        <f>COUNTIFS(集計用!$G213,"*, "&amp;S$3&amp;", *")</f>
        <v>0</v>
      </c>
      <c r="T215" s="2">
        <f>COUNTIFS(集計用!$G213,"*, "&amp;T$3&amp;", *")</f>
        <v>0</v>
      </c>
      <c r="U215" s="2">
        <f>COUNTIFS(集計用!$G213,"*, "&amp;U$3&amp;", *")</f>
        <v>0</v>
      </c>
      <c r="V215" s="2">
        <f>COUNTIFS(集計用!$G213,"*, "&amp;V$3&amp;", *")</f>
        <v>0</v>
      </c>
      <c r="W215" s="2">
        <f>COUNTIFS(集計用!$G213,"*, "&amp;W$3&amp;", *")</f>
        <v>0</v>
      </c>
      <c r="X215" s="2">
        <f>COUNTIFS(集計用!$G213,"*, "&amp;X$3&amp;", *")</f>
        <v>0</v>
      </c>
      <c r="Y215" s="2">
        <f>COUNTIFS(集計用!$G213,"*, "&amp;Y$3&amp;", *")</f>
        <v>0</v>
      </c>
      <c r="Z215" s="2">
        <f>COUNTIFS(集計用!$G213,"*, "&amp;Z$3&amp;", *")</f>
        <v>1</v>
      </c>
      <c r="AA215" s="2">
        <f>COUNTIFS(集計用!$G213,"*, "&amp;AA$3&amp;", *")</f>
        <v>0</v>
      </c>
      <c r="AB215" s="2">
        <f>COUNTIFS(集計用!$G213,"*, "&amp;AB$3&amp;", *")</f>
        <v>0</v>
      </c>
      <c r="AC215" s="2">
        <f>COUNTIFS(集計用!$G213,"*, "&amp;AC$3&amp;", *")</f>
        <v>0</v>
      </c>
      <c r="AD215" s="2">
        <f>COUNTIFS(集計用!$G213,"*, "&amp;AD$3&amp;", *")</f>
        <v>0</v>
      </c>
      <c r="AE215" s="2">
        <f>COUNTIFS(集計用!$G213,"*, "&amp;AE$3&amp;", *")</f>
        <v>1</v>
      </c>
      <c r="AF215" s="2">
        <f>COUNTIFS(集計用!$G213,"*, "&amp;AF$3&amp;", *")</f>
        <v>0</v>
      </c>
      <c r="AG215" s="2">
        <f>COUNTIFS(集計用!$G213,"*, "&amp;AG$3&amp;", *")</f>
        <v>0</v>
      </c>
      <c r="AH215" s="2">
        <f>COUNTIFS(集計用!$G213,"*, "&amp;AH$3&amp;", *")</f>
        <v>0</v>
      </c>
      <c r="AI215" s="2">
        <f>COUNTIFS(集計用!$G213,"*, "&amp;AI$3&amp;", *")</f>
        <v>1</v>
      </c>
      <c r="AJ215" s="2">
        <f>COUNTIFS(集計用!$G213,"*, "&amp;AJ$3&amp;", *")</f>
        <v>0</v>
      </c>
      <c r="AK215" s="2">
        <f>COUNTIFS(集計用!$G213,"*, "&amp;AK$3&amp;", *")</f>
        <v>0</v>
      </c>
      <c r="AL215" s="2">
        <f>COUNTIFS(集計用!$G213,"*, "&amp;AL$3&amp;", *")</f>
        <v>0</v>
      </c>
      <c r="AM215" s="2">
        <f>COUNTIFS(集計用!$G213,"*, "&amp;AM$3&amp;", *")</f>
        <v>0</v>
      </c>
      <c r="AN215" s="2">
        <f>COUNTIFS(集計用!$G213,"*, "&amp;AN$3&amp;", *")</f>
        <v>0</v>
      </c>
      <c r="AO215" s="2">
        <f>COUNTIFS(集計用!$G213,"*, "&amp;AO$3&amp;", *")</f>
        <v>0</v>
      </c>
      <c r="AP215" s="2">
        <f>COUNTIFS(集計用!$G213,"*, "&amp;AP$3&amp;", *")</f>
        <v>0</v>
      </c>
      <c r="AQ215" s="2">
        <f>COUNTIFS(集計用!$G213,"*, "&amp;AQ$3&amp;", *")</f>
        <v>1</v>
      </c>
      <c r="AR215" s="2">
        <f>COUNTIFS(集計用!$G213,"*, "&amp;AR$3&amp;", *")</f>
        <v>0</v>
      </c>
      <c r="AS215" s="2">
        <f>COUNTIFS(集計用!$G213,"*, "&amp;AS$3&amp;", *")</f>
        <v>0</v>
      </c>
      <c r="AT215" s="2">
        <f>COUNTIFS(集計用!$G213,"*, "&amp;AT$3&amp;", *")</f>
        <v>0</v>
      </c>
      <c r="AU215" s="2">
        <f>COUNTIFS(集計用!$G213,"*, "&amp;AU$3&amp;", *")</f>
        <v>0</v>
      </c>
      <c r="AV215" s="2">
        <f>COUNTIFS(集計用!$G213,"*, "&amp;AV$3&amp;", *")</f>
        <v>0</v>
      </c>
      <c r="AW215" s="2">
        <f>COUNTIFS(集計用!$G213,"*, "&amp;AW$3&amp;", *")</f>
        <v>0</v>
      </c>
      <c r="AX215" s="2">
        <f>COUNTIFS(集計用!$G213,"*, "&amp;AX$3&amp;", *")</f>
        <v>0</v>
      </c>
      <c r="AY215" s="2">
        <f>COUNTIFS(集計用!$G213,"*, "&amp;AY$3&amp;", *")</f>
        <v>1</v>
      </c>
      <c r="AZ215" s="2">
        <f>COUNTIFS(集計用!$G213,"*, "&amp;AZ$3&amp;", *")</f>
        <v>0</v>
      </c>
      <c r="BA215" s="2">
        <f>COUNTIFS(集計用!$G213,"*, "&amp;BA$3&amp;", *")</f>
        <v>0</v>
      </c>
      <c r="BB215" s="2">
        <f>COUNTIFS(集計用!$G213,"*, "&amp;BB$3&amp;", *")</f>
        <v>1</v>
      </c>
      <c r="BC215" s="2">
        <f>COUNTIFS(集計用!$G213,"*, "&amp;BC$3&amp;", *")</f>
        <v>0</v>
      </c>
      <c r="BD215" s="2">
        <f>COUNTIFS(集計用!$G213,"*, "&amp;BD$3&amp;", *")</f>
        <v>0</v>
      </c>
      <c r="BE215" s="2">
        <f>COUNTIFS(集計用!$G213,"*, "&amp;BE$3&amp;", *")</f>
        <v>0</v>
      </c>
      <c r="BF215" s="2">
        <f>COUNTIFS(集計用!$G213,"*, "&amp;BF$3&amp;", *")</f>
        <v>0</v>
      </c>
      <c r="BG215" s="2">
        <f>COUNTIFS(集計用!$G213,"*, "&amp;BG$3&amp;", *")</f>
        <v>1</v>
      </c>
      <c r="BH215" s="2">
        <f>COUNTIFS(集計用!$G213,"*, "&amp;BH$3&amp;", *")</f>
        <v>0</v>
      </c>
      <c r="BI215" s="2">
        <f>COUNTIFS(集計用!$G213,"*, "&amp;BI$3&amp;", *")</f>
        <v>0</v>
      </c>
      <c r="BJ215" s="2">
        <f>LEN(集計用!H213)-LEN(SUBSTITUTE(集計用!H213,",",""))</f>
        <v>0</v>
      </c>
    </row>
    <row r="216" spans="1:62" ht="12.75">
      <c r="A216" s="8">
        <v>213</v>
      </c>
      <c r="C216" s="2">
        <f t="shared" si="3"/>
        <v>4</v>
      </c>
      <c r="D216" s="9"/>
      <c r="E216" s="2">
        <f>COUNTIFS(集計用!$G214,"*, "&amp;E$3&amp;", *")</f>
        <v>1</v>
      </c>
      <c r="F216" s="2">
        <f>COUNTIFS(集計用!$G214,"*, "&amp;F$3&amp;", *")</f>
        <v>1</v>
      </c>
      <c r="G216" s="2">
        <f>COUNTIFS(集計用!$G214,"*, "&amp;G$3&amp;", *")</f>
        <v>1</v>
      </c>
      <c r="H216" s="2">
        <f>COUNTIFS(集計用!$G214,"*, "&amp;H$3&amp;", *")</f>
        <v>0</v>
      </c>
      <c r="I216" s="2">
        <f>COUNTIFS(集計用!$G214,"*, "&amp;I$3&amp;", *")</f>
        <v>0</v>
      </c>
      <c r="J216" s="2">
        <f>COUNTIFS(集計用!$G214,"*, "&amp;J$3&amp;", *")</f>
        <v>0</v>
      </c>
      <c r="K216" s="2">
        <f>COUNTIFS(集計用!$G214,"*, "&amp;K$3&amp;", *")</f>
        <v>0</v>
      </c>
      <c r="L216" s="2">
        <f>COUNTIFS(集計用!$G214,"*, "&amp;L$3&amp;", *")</f>
        <v>0</v>
      </c>
      <c r="M216" s="2">
        <f>COUNTIFS(集計用!$G214,"*, "&amp;M$3&amp;", *")</f>
        <v>1</v>
      </c>
      <c r="N216" s="2">
        <f>COUNTIFS(集計用!$G214,"*, "&amp;N$3&amp;", *")</f>
        <v>0</v>
      </c>
      <c r="O216" s="2">
        <f>COUNTIFS(集計用!$G214,"*, "&amp;O$3&amp;", *")</f>
        <v>0</v>
      </c>
      <c r="P216" s="2">
        <f>COUNTIFS(集計用!$G214,"*, "&amp;P$3&amp;", *")</f>
        <v>0</v>
      </c>
      <c r="Q216" s="2">
        <f>COUNTIFS(集計用!$G214,"*, "&amp;Q$3&amp;", *")</f>
        <v>0</v>
      </c>
      <c r="R216" s="2">
        <f>COUNTIFS(集計用!$G214,"*, "&amp;R$3&amp;", *")</f>
        <v>0</v>
      </c>
      <c r="S216" s="2">
        <f>COUNTIFS(集計用!$G214,"*, "&amp;S$3&amp;", *")</f>
        <v>0</v>
      </c>
      <c r="T216" s="2">
        <f>COUNTIFS(集計用!$G214,"*, "&amp;T$3&amp;", *")</f>
        <v>0</v>
      </c>
      <c r="U216" s="2">
        <f>COUNTIFS(集計用!$G214,"*, "&amp;U$3&amp;", *")</f>
        <v>0</v>
      </c>
      <c r="V216" s="2">
        <f>COUNTIFS(集計用!$G214,"*, "&amp;V$3&amp;", *")</f>
        <v>0</v>
      </c>
      <c r="W216" s="2">
        <f>COUNTIFS(集計用!$G214,"*, "&amp;W$3&amp;", *")</f>
        <v>0</v>
      </c>
      <c r="X216" s="2">
        <f>COUNTIFS(集計用!$G214,"*, "&amp;X$3&amp;", *")</f>
        <v>0</v>
      </c>
      <c r="Y216" s="2">
        <f>COUNTIFS(集計用!$G214,"*, "&amp;Y$3&amp;", *")</f>
        <v>0</v>
      </c>
      <c r="Z216" s="2">
        <f>COUNTIFS(集計用!$G214,"*, "&amp;Z$3&amp;", *")</f>
        <v>0</v>
      </c>
      <c r="AA216" s="2">
        <f>COUNTIFS(集計用!$G214,"*, "&amp;AA$3&amp;", *")</f>
        <v>0</v>
      </c>
      <c r="AB216" s="2">
        <f>COUNTIFS(集計用!$G214,"*, "&amp;AB$3&amp;", *")</f>
        <v>0</v>
      </c>
      <c r="AC216" s="2">
        <f>COUNTIFS(集計用!$G214,"*, "&amp;AC$3&amp;", *")</f>
        <v>0</v>
      </c>
      <c r="AD216" s="2">
        <f>COUNTIFS(集計用!$G214,"*, "&amp;AD$3&amp;", *")</f>
        <v>0</v>
      </c>
      <c r="AE216" s="2">
        <f>COUNTIFS(集計用!$G214,"*, "&amp;AE$3&amp;", *")</f>
        <v>0</v>
      </c>
      <c r="AF216" s="2">
        <f>COUNTIFS(集計用!$G214,"*, "&amp;AF$3&amp;", *")</f>
        <v>0</v>
      </c>
      <c r="AG216" s="2">
        <f>COUNTIFS(集計用!$G214,"*, "&amp;AG$3&amp;", *")</f>
        <v>0</v>
      </c>
      <c r="AH216" s="2">
        <f>COUNTIFS(集計用!$G214,"*, "&amp;AH$3&amp;", *")</f>
        <v>0</v>
      </c>
      <c r="AI216" s="2">
        <f>COUNTIFS(集計用!$G214,"*, "&amp;AI$3&amp;", *")</f>
        <v>0</v>
      </c>
      <c r="AJ216" s="2">
        <f>COUNTIFS(集計用!$G214,"*, "&amp;AJ$3&amp;", *")</f>
        <v>0</v>
      </c>
      <c r="AK216" s="2">
        <f>COUNTIFS(集計用!$G214,"*, "&amp;AK$3&amp;", *")</f>
        <v>0</v>
      </c>
      <c r="AL216" s="2">
        <f>COUNTIFS(集計用!$G214,"*, "&amp;AL$3&amp;", *")</f>
        <v>0</v>
      </c>
      <c r="AM216" s="2">
        <f>COUNTIFS(集計用!$G214,"*, "&amp;AM$3&amp;", *")</f>
        <v>0</v>
      </c>
      <c r="AN216" s="2">
        <f>COUNTIFS(集計用!$G214,"*, "&amp;AN$3&amp;", *")</f>
        <v>0</v>
      </c>
      <c r="AO216" s="2">
        <f>COUNTIFS(集計用!$G214,"*, "&amp;AO$3&amp;", *")</f>
        <v>0</v>
      </c>
      <c r="AP216" s="2">
        <f>COUNTIFS(集計用!$G214,"*, "&amp;AP$3&amp;", *")</f>
        <v>0</v>
      </c>
      <c r="AQ216" s="2">
        <f>COUNTIFS(集計用!$G214,"*, "&amp;AQ$3&amp;", *")</f>
        <v>0</v>
      </c>
      <c r="AR216" s="2">
        <f>COUNTIFS(集計用!$G214,"*, "&amp;AR$3&amp;", *")</f>
        <v>0</v>
      </c>
      <c r="AS216" s="2">
        <f>COUNTIFS(集計用!$G214,"*, "&amp;AS$3&amp;", *")</f>
        <v>0</v>
      </c>
      <c r="AT216" s="2">
        <f>COUNTIFS(集計用!$G214,"*, "&amp;AT$3&amp;", *")</f>
        <v>0</v>
      </c>
      <c r="AU216" s="2">
        <f>COUNTIFS(集計用!$G214,"*, "&amp;AU$3&amp;", *")</f>
        <v>0</v>
      </c>
      <c r="AV216" s="2">
        <f>COUNTIFS(集計用!$G214,"*, "&amp;AV$3&amp;", *")</f>
        <v>0</v>
      </c>
      <c r="AW216" s="2">
        <f>COUNTIFS(集計用!$G214,"*, "&amp;AW$3&amp;", *")</f>
        <v>0</v>
      </c>
      <c r="AX216" s="2">
        <f>COUNTIFS(集計用!$G214,"*, "&amp;AX$3&amp;", *")</f>
        <v>0</v>
      </c>
      <c r="AY216" s="2">
        <f>COUNTIFS(集計用!$G214,"*, "&amp;AY$3&amp;", *")</f>
        <v>0</v>
      </c>
      <c r="AZ216" s="2">
        <f>COUNTIFS(集計用!$G214,"*, "&amp;AZ$3&amp;", *")</f>
        <v>0</v>
      </c>
      <c r="BA216" s="2">
        <f>COUNTIFS(集計用!$G214,"*, "&amp;BA$3&amp;", *")</f>
        <v>0</v>
      </c>
      <c r="BB216" s="2">
        <f>COUNTIFS(集計用!$G214,"*, "&amp;BB$3&amp;", *")</f>
        <v>0</v>
      </c>
      <c r="BC216" s="2">
        <f>COUNTIFS(集計用!$G214,"*, "&amp;BC$3&amp;", *")</f>
        <v>0</v>
      </c>
      <c r="BD216" s="2">
        <f>COUNTIFS(集計用!$G214,"*, "&amp;BD$3&amp;", *")</f>
        <v>0</v>
      </c>
      <c r="BE216" s="2">
        <f>COUNTIFS(集計用!$G214,"*, "&amp;BE$3&amp;", *")</f>
        <v>0</v>
      </c>
      <c r="BF216" s="2">
        <f>COUNTIFS(集計用!$G214,"*, "&amp;BF$3&amp;", *")</f>
        <v>0</v>
      </c>
      <c r="BG216" s="2">
        <f>COUNTIFS(集計用!$G214,"*, "&amp;BG$3&amp;", *")</f>
        <v>0</v>
      </c>
      <c r="BH216" s="2">
        <f>COUNTIFS(集計用!$G214,"*, "&amp;BH$3&amp;", *")</f>
        <v>0</v>
      </c>
      <c r="BI216" s="2">
        <f>COUNTIFS(集計用!$G214,"*, "&amp;BI$3&amp;", *")</f>
        <v>0</v>
      </c>
      <c r="BJ216" s="2">
        <f>LEN(集計用!H214)-LEN(SUBSTITUTE(集計用!H214,",",""))</f>
        <v>0</v>
      </c>
    </row>
    <row r="217" spans="1:62" ht="12.75">
      <c r="A217" s="8">
        <v>214</v>
      </c>
      <c r="C217" s="2">
        <f t="shared" si="3"/>
        <v>3</v>
      </c>
      <c r="D217" s="9"/>
      <c r="E217" s="2">
        <f>COUNTIFS(集計用!$G215,"*, "&amp;E$3&amp;", *")</f>
        <v>1</v>
      </c>
      <c r="F217" s="2">
        <f>COUNTIFS(集計用!$G215,"*, "&amp;F$3&amp;", *")</f>
        <v>0</v>
      </c>
      <c r="G217" s="2">
        <f>COUNTIFS(集計用!$G215,"*, "&amp;G$3&amp;", *")</f>
        <v>0</v>
      </c>
      <c r="H217" s="2">
        <f>COUNTIFS(集計用!$G215,"*, "&amp;H$3&amp;", *")</f>
        <v>0</v>
      </c>
      <c r="I217" s="2">
        <f>COUNTIFS(集計用!$G215,"*, "&amp;I$3&amp;", *")</f>
        <v>0</v>
      </c>
      <c r="J217" s="2">
        <f>COUNTIFS(集計用!$G215,"*, "&amp;J$3&amp;", *")</f>
        <v>1</v>
      </c>
      <c r="K217" s="2">
        <f>COUNTIFS(集計用!$G215,"*, "&amp;K$3&amp;", *")</f>
        <v>0</v>
      </c>
      <c r="L217" s="2">
        <f>COUNTIFS(集計用!$G215,"*, "&amp;L$3&amp;", *")</f>
        <v>0</v>
      </c>
      <c r="M217" s="2">
        <f>COUNTIFS(集計用!$G215,"*, "&amp;M$3&amp;", *")</f>
        <v>0</v>
      </c>
      <c r="N217" s="2">
        <f>COUNTIFS(集計用!$G215,"*, "&amp;N$3&amp;", *")</f>
        <v>0</v>
      </c>
      <c r="O217" s="2">
        <f>COUNTIFS(集計用!$G215,"*, "&amp;O$3&amp;", *")</f>
        <v>1</v>
      </c>
      <c r="P217" s="2">
        <f>COUNTIFS(集計用!$G215,"*, "&amp;P$3&amp;", *")</f>
        <v>0</v>
      </c>
      <c r="Q217" s="2">
        <f>COUNTIFS(集計用!$G215,"*, "&amp;Q$3&amp;", *")</f>
        <v>0</v>
      </c>
      <c r="R217" s="2">
        <f>COUNTIFS(集計用!$G215,"*, "&amp;R$3&amp;", *")</f>
        <v>0</v>
      </c>
      <c r="S217" s="2">
        <f>COUNTIFS(集計用!$G215,"*, "&amp;S$3&amp;", *")</f>
        <v>0</v>
      </c>
      <c r="T217" s="2">
        <f>COUNTIFS(集計用!$G215,"*, "&amp;T$3&amp;", *")</f>
        <v>0</v>
      </c>
      <c r="U217" s="2">
        <f>COUNTIFS(集計用!$G215,"*, "&amp;U$3&amp;", *")</f>
        <v>0</v>
      </c>
      <c r="V217" s="2">
        <f>COUNTIFS(集計用!$G215,"*, "&amp;V$3&amp;", *")</f>
        <v>0</v>
      </c>
      <c r="W217" s="2">
        <f>COUNTIFS(集計用!$G215,"*, "&amp;W$3&amp;", *")</f>
        <v>0</v>
      </c>
      <c r="X217" s="2">
        <f>COUNTIFS(集計用!$G215,"*, "&amp;X$3&amp;", *")</f>
        <v>0</v>
      </c>
      <c r="Y217" s="2">
        <f>COUNTIFS(集計用!$G215,"*, "&amp;Y$3&amp;", *")</f>
        <v>0</v>
      </c>
      <c r="Z217" s="2">
        <f>COUNTIFS(集計用!$G215,"*, "&amp;Z$3&amp;", *")</f>
        <v>0</v>
      </c>
      <c r="AA217" s="2">
        <f>COUNTIFS(集計用!$G215,"*, "&amp;AA$3&amp;", *")</f>
        <v>0</v>
      </c>
      <c r="AB217" s="2">
        <f>COUNTIFS(集計用!$G215,"*, "&amp;AB$3&amp;", *")</f>
        <v>0</v>
      </c>
      <c r="AC217" s="2">
        <f>COUNTIFS(集計用!$G215,"*, "&amp;AC$3&amp;", *")</f>
        <v>0</v>
      </c>
      <c r="AD217" s="2">
        <f>COUNTIFS(集計用!$G215,"*, "&amp;AD$3&amp;", *")</f>
        <v>0</v>
      </c>
      <c r="AE217" s="2">
        <f>COUNTIFS(集計用!$G215,"*, "&amp;AE$3&amp;", *")</f>
        <v>0</v>
      </c>
      <c r="AF217" s="2">
        <f>COUNTIFS(集計用!$G215,"*, "&amp;AF$3&amp;", *")</f>
        <v>0</v>
      </c>
      <c r="AG217" s="2">
        <f>COUNTIFS(集計用!$G215,"*, "&amp;AG$3&amp;", *")</f>
        <v>0</v>
      </c>
      <c r="AH217" s="2">
        <f>COUNTIFS(集計用!$G215,"*, "&amp;AH$3&amp;", *")</f>
        <v>0</v>
      </c>
      <c r="AI217" s="2">
        <f>COUNTIFS(集計用!$G215,"*, "&amp;AI$3&amp;", *")</f>
        <v>0</v>
      </c>
      <c r="AJ217" s="2">
        <f>COUNTIFS(集計用!$G215,"*, "&amp;AJ$3&amp;", *")</f>
        <v>0</v>
      </c>
      <c r="AK217" s="2">
        <f>COUNTIFS(集計用!$G215,"*, "&amp;AK$3&amp;", *")</f>
        <v>0</v>
      </c>
      <c r="AL217" s="2">
        <f>COUNTIFS(集計用!$G215,"*, "&amp;AL$3&amp;", *")</f>
        <v>0</v>
      </c>
      <c r="AM217" s="2">
        <f>COUNTIFS(集計用!$G215,"*, "&amp;AM$3&amp;", *")</f>
        <v>0</v>
      </c>
      <c r="AN217" s="2">
        <f>COUNTIFS(集計用!$G215,"*, "&amp;AN$3&amp;", *")</f>
        <v>0</v>
      </c>
      <c r="AO217" s="2">
        <f>COUNTIFS(集計用!$G215,"*, "&amp;AO$3&amp;", *")</f>
        <v>0</v>
      </c>
      <c r="AP217" s="2">
        <f>COUNTIFS(集計用!$G215,"*, "&amp;AP$3&amp;", *")</f>
        <v>0</v>
      </c>
      <c r="AQ217" s="2">
        <f>COUNTIFS(集計用!$G215,"*, "&amp;AQ$3&amp;", *")</f>
        <v>0</v>
      </c>
      <c r="AR217" s="2">
        <f>COUNTIFS(集計用!$G215,"*, "&amp;AR$3&amp;", *")</f>
        <v>0</v>
      </c>
      <c r="AS217" s="2">
        <f>COUNTIFS(集計用!$G215,"*, "&amp;AS$3&amp;", *")</f>
        <v>0</v>
      </c>
      <c r="AT217" s="2">
        <f>COUNTIFS(集計用!$G215,"*, "&amp;AT$3&amp;", *")</f>
        <v>0</v>
      </c>
      <c r="AU217" s="2">
        <f>COUNTIFS(集計用!$G215,"*, "&amp;AU$3&amp;", *")</f>
        <v>0</v>
      </c>
      <c r="AV217" s="2">
        <f>COUNTIFS(集計用!$G215,"*, "&amp;AV$3&amp;", *")</f>
        <v>0</v>
      </c>
      <c r="AW217" s="2">
        <f>COUNTIFS(集計用!$G215,"*, "&amp;AW$3&amp;", *")</f>
        <v>0</v>
      </c>
      <c r="AX217" s="2">
        <f>COUNTIFS(集計用!$G215,"*, "&amp;AX$3&amp;", *")</f>
        <v>0</v>
      </c>
      <c r="AY217" s="2">
        <f>COUNTIFS(集計用!$G215,"*, "&amp;AY$3&amp;", *")</f>
        <v>0</v>
      </c>
      <c r="AZ217" s="2">
        <f>COUNTIFS(集計用!$G215,"*, "&amp;AZ$3&amp;", *")</f>
        <v>0</v>
      </c>
      <c r="BA217" s="2">
        <f>COUNTIFS(集計用!$G215,"*, "&amp;BA$3&amp;", *")</f>
        <v>0</v>
      </c>
      <c r="BB217" s="2">
        <f>COUNTIFS(集計用!$G215,"*, "&amp;BB$3&amp;", *")</f>
        <v>0</v>
      </c>
      <c r="BC217" s="2">
        <f>COUNTIFS(集計用!$G215,"*, "&amp;BC$3&amp;", *")</f>
        <v>0</v>
      </c>
      <c r="BD217" s="2">
        <f>COUNTIFS(集計用!$G215,"*, "&amp;BD$3&amp;", *")</f>
        <v>0</v>
      </c>
      <c r="BE217" s="2">
        <f>COUNTIFS(集計用!$G215,"*, "&amp;BE$3&amp;", *")</f>
        <v>0</v>
      </c>
      <c r="BF217" s="2">
        <f>COUNTIFS(集計用!$G215,"*, "&amp;BF$3&amp;", *")</f>
        <v>0</v>
      </c>
      <c r="BG217" s="2">
        <f>COUNTIFS(集計用!$G215,"*, "&amp;BG$3&amp;", *")</f>
        <v>0</v>
      </c>
      <c r="BH217" s="2">
        <f>COUNTIFS(集計用!$G215,"*, "&amp;BH$3&amp;", *")</f>
        <v>0</v>
      </c>
      <c r="BI217" s="2">
        <f>COUNTIFS(集計用!$G215,"*, "&amp;BI$3&amp;", *")</f>
        <v>0</v>
      </c>
      <c r="BJ217" s="2">
        <f>LEN(集計用!H215)-LEN(SUBSTITUTE(集計用!H215,",",""))</f>
        <v>0</v>
      </c>
    </row>
    <row r="218" spans="1:62" ht="12.75">
      <c r="A218" s="8">
        <v>215</v>
      </c>
      <c r="C218" s="2">
        <f t="shared" si="3"/>
        <v>6</v>
      </c>
      <c r="D218" s="9"/>
      <c r="E218" s="2">
        <f>COUNTIFS(集計用!$G216,"*, "&amp;E$3&amp;", *")</f>
        <v>1</v>
      </c>
      <c r="F218" s="2">
        <f>COUNTIFS(集計用!$G216,"*, "&amp;F$3&amp;", *")</f>
        <v>1</v>
      </c>
      <c r="G218" s="2">
        <f>COUNTIFS(集計用!$G216,"*, "&amp;G$3&amp;", *")</f>
        <v>0</v>
      </c>
      <c r="H218" s="2">
        <f>COUNTIFS(集計用!$G216,"*, "&amp;H$3&amp;", *")</f>
        <v>1</v>
      </c>
      <c r="I218" s="2">
        <f>COUNTIFS(集計用!$G216,"*, "&amp;I$3&amp;", *")</f>
        <v>0</v>
      </c>
      <c r="J218" s="2">
        <f>COUNTIFS(集計用!$G216,"*, "&amp;J$3&amp;", *")</f>
        <v>0</v>
      </c>
      <c r="K218" s="2">
        <f>COUNTIFS(集計用!$G216,"*, "&amp;K$3&amp;", *")</f>
        <v>1</v>
      </c>
      <c r="L218" s="2">
        <f>COUNTIFS(集計用!$G216,"*, "&amp;L$3&amp;", *")</f>
        <v>0</v>
      </c>
      <c r="M218" s="2">
        <f>COUNTIFS(集計用!$G216,"*, "&amp;M$3&amp;", *")</f>
        <v>0</v>
      </c>
      <c r="N218" s="2">
        <f>COUNTIFS(集計用!$G216,"*, "&amp;N$3&amp;", *")</f>
        <v>0</v>
      </c>
      <c r="O218" s="2">
        <f>COUNTIFS(集計用!$G216,"*, "&amp;O$3&amp;", *")</f>
        <v>0</v>
      </c>
      <c r="P218" s="2">
        <f>COUNTIFS(集計用!$G216,"*, "&amp;P$3&amp;", *")</f>
        <v>0</v>
      </c>
      <c r="Q218" s="2">
        <f>COUNTIFS(集計用!$G216,"*, "&amp;Q$3&amp;", *")</f>
        <v>0</v>
      </c>
      <c r="R218" s="2">
        <f>COUNTIFS(集計用!$G216,"*, "&amp;R$3&amp;", *")</f>
        <v>1</v>
      </c>
      <c r="S218" s="2">
        <f>COUNTIFS(集計用!$G216,"*, "&amp;S$3&amp;", *")</f>
        <v>0</v>
      </c>
      <c r="T218" s="2">
        <f>COUNTIFS(集計用!$G216,"*, "&amp;T$3&amp;", *")</f>
        <v>0</v>
      </c>
      <c r="U218" s="2">
        <f>COUNTIFS(集計用!$G216,"*, "&amp;U$3&amp;", *")</f>
        <v>0</v>
      </c>
      <c r="V218" s="2">
        <f>COUNTIFS(集計用!$G216,"*, "&amp;V$3&amp;", *")</f>
        <v>0</v>
      </c>
      <c r="W218" s="2">
        <f>COUNTIFS(集計用!$G216,"*, "&amp;W$3&amp;", *")</f>
        <v>0</v>
      </c>
      <c r="X218" s="2">
        <f>COUNTIFS(集計用!$G216,"*, "&amp;X$3&amp;", *")</f>
        <v>0</v>
      </c>
      <c r="Y218" s="2">
        <f>COUNTIFS(集計用!$G216,"*, "&amp;Y$3&amp;", *")</f>
        <v>0</v>
      </c>
      <c r="Z218" s="2">
        <f>COUNTIFS(集計用!$G216,"*, "&amp;Z$3&amp;", *")</f>
        <v>0</v>
      </c>
      <c r="AA218" s="2">
        <f>COUNTIFS(集計用!$G216,"*, "&amp;AA$3&amp;", *")</f>
        <v>0</v>
      </c>
      <c r="AB218" s="2">
        <f>COUNTIFS(集計用!$G216,"*, "&amp;AB$3&amp;", *")</f>
        <v>0</v>
      </c>
      <c r="AC218" s="2">
        <f>COUNTIFS(集計用!$G216,"*, "&amp;AC$3&amp;", *")</f>
        <v>0</v>
      </c>
      <c r="AD218" s="2">
        <f>COUNTIFS(集計用!$G216,"*, "&amp;AD$3&amp;", *")</f>
        <v>1</v>
      </c>
      <c r="AE218" s="2">
        <f>COUNTIFS(集計用!$G216,"*, "&amp;AE$3&amp;", *")</f>
        <v>0</v>
      </c>
      <c r="AF218" s="2">
        <f>COUNTIFS(集計用!$G216,"*, "&amp;AF$3&amp;", *")</f>
        <v>0</v>
      </c>
      <c r="AG218" s="2">
        <f>COUNTIFS(集計用!$G216,"*, "&amp;AG$3&amp;", *")</f>
        <v>0</v>
      </c>
      <c r="AH218" s="2">
        <f>COUNTIFS(集計用!$G216,"*, "&amp;AH$3&amp;", *")</f>
        <v>0</v>
      </c>
      <c r="AI218" s="2">
        <f>COUNTIFS(集計用!$G216,"*, "&amp;AI$3&amp;", *")</f>
        <v>0</v>
      </c>
      <c r="AJ218" s="2">
        <f>COUNTIFS(集計用!$G216,"*, "&amp;AJ$3&amp;", *")</f>
        <v>0</v>
      </c>
      <c r="AK218" s="2">
        <f>COUNTIFS(集計用!$G216,"*, "&amp;AK$3&amp;", *")</f>
        <v>0</v>
      </c>
      <c r="AL218" s="2">
        <f>COUNTIFS(集計用!$G216,"*, "&amp;AL$3&amp;", *")</f>
        <v>0</v>
      </c>
      <c r="AM218" s="2">
        <f>COUNTIFS(集計用!$G216,"*, "&amp;AM$3&amp;", *")</f>
        <v>0</v>
      </c>
      <c r="AN218" s="2">
        <f>COUNTIFS(集計用!$G216,"*, "&amp;AN$3&amp;", *")</f>
        <v>0</v>
      </c>
      <c r="AO218" s="2">
        <f>COUNTIFS(集計用!$G216,"*, "&amp;AO$3&amp;", *")</f>
        <v>0</v>
      </c>
      <c r="AP218" s="2">
        <f>COUNTIFS(集計用!$G216,"*, "&amp;AP$3&amp;", *")</f>
        <v>0</v>
      </c>
      <c r="AQ218" s="2">
        <f>COUNTIFS(集計用!$G216,"*, "&amp;AQ$3&amp;", *")</f>
        <v>0</v>
      </c>
      <c r="AR218" s="2">
        <f>COUNTIFS(集計用!$G216,"*, "&amp;AR$3&amp;", *")</f>
        <v>0</v>
      </c>
      <c r="AS218" s="2">
        <f>COUNTIFS(集計用!$G216,"*, "&amp;AS$3&amp;", *")</f>
        <v>0</v>
      </c>
      <c r="AT218" s="2">
        <f>COUNTIFS(集計用!$G216,"*, "&amp;AT$3&amp;", *")</f>
        <v>0</v>
      </c>
      <c r="AU218" s="2">
        <f>COUNTIFS(集計用!$G216,"*, "&amp;AU$3&amp;", *")</f>
        <v>0</v>
      </c>
      <c r="AV218" s="2">
        <f>COUNTIFS(集計用!$G216,"*, "&amp;AV$3&amp;", *")</f>
        <v>0</v>
      </c>
      <c r="AW218" s="2">
        <f>COUNTIFS(集計用!$G216,"*, "&amp;AW$3&amp;", *")</f>
        <v>0</v>
      </c>
      <c r="AX218" s="2">
        <f>COUNTIFS(集計用!$G216,"*, "&amp;AX$3&amp;", *")</f>
        <v>0</v>
      </c>
      <c r="AY218" s="2">
        <f>COUNTIFS(集計用!$G216,"*, "&amp;AY$3&amp;", *")</f>
        <v>0</v>
      </c>
      <c r="AZ218" s="2">
        <f>COUNTIFS(集計用!$G216,"*, "&amp;AZ$3&amp;", *")</f>
        <v>0</v>
      </c>
      <c r="BA218" s="2">
        <f>COUNTIFS(集計用!$G216,"*, "&amp;BA$3&amp;", *")</f>
        <v>0</v>
      </c>
      <c r="BB218" s="2">
        <f>COUNTIFS(集計用!$G216,"*, "&amp;BB$3&amp;", *")</f>
        <v>0</v>
      </c>
      <c r="BC218" s="2">
        <f>COUNTIFS(集計用!$G216,"*, "&amp;BC$3&amp;", *")</f>
        <v>0</v>
      </c>
      <c r="BD218" s="2">
        <f>COUNTIFS(集計用!$G216,"*, "&amp;BD$3&amp;", *")</f>
        <v>0</v>
      </c>
      <c r="BE218" s="2">
        <f>COUNTIFS(集計用!$G216,"*, "&amp;BE$3&amp;", *")</f>
        <v>0</v>
      </c>
      <c r="BF218" s="2">
        <f>COUNTIFS(集計用!$G216,"*, "&amp;BF$3&amp;", *")</f>
        <v>0</v>
      </c>
      <c r="BG218" s="2">
        <f>COUNTIFS(集計用!$G216,"*, "&amp;BG$3&amp;", *")</f>
        <v>0</v>
      </c>
      <c r="BH218" s="2">
        <f>COUNTIFS(集計用!$G216,"*, "&amp;BH$3&amp;", *")</f>
        <v>0</v>
      </c>
      <c r="BI218" s="2">
        <f>COUNTIFS(集計用!$G216,"*, "&amp;BI$3&amp;", *")</f>
        <v>0</v>
      </c>
      <c r="BJ218" s="2">
        <f>LEN(集計用!H216)-LEN(SUBSTITUTE(集計用!H216,",",""))</f>
        <v>0</v>
      </c>
    </row>
    <row r="219" spans="1:62" ht="12.75">
      <c r="A219" s="8">
        <v>216</v>
      </c>
      <c r="C219" s="2">
        <f t="shared" si="3"/>
        <v>2</v>
      </c>
      <c r="D219" s="9"/>
      <c r="E219" s="2">
        <f>COUNTIFS(集計用!$G217,"*, "&amp;E$3&amp;", *")</f>
        <v>1</v>
      </c>
      <c r="F219" s="2">
        <f>COUNTIFS(集計用!$G217,"*, "&amp;F$3&amp;", *")</f>
        <v>0</v>
      </c>
      <c r="G219" s="2">
        <f>COUNTIFS(集計用!$G217,"*, "&amp;G$3&amp;", *")</f>
        <v>0</v>
      </c>
      <c r="H219" s="2">
        <f>COUNTIFS(集計用!$G217,"*, "&amp;H$3&amp;", *")</f>
        <v>0</v>
      </c>
      <c r="I219" s="2">
        <f>COUNTIFS(集計用!$G217,"*, "&amp;I$3&amp;", *")</f>
        <v>0</v>
      </c>
      <c r="J219" s="2">
        <f>COUNTIFS(集計用!$G217,"*, "&amp;J$3&amp;", *")</f>
        <v>0</v>
      </c>
      <c r="K219" s="2">
        <f>COUNTIFS(集計用!$G217,"*, "&amp;K$3&amp;", *")</f>
        <v>0</v>
      </c>
      <c r="L219" s="2">
        <f>COUNTIFS(集計用!$G217,"*, "&amp;L$3&amp;", *")</f>
        <v>0</v>
      </c>
      <c r="M219" s="2">
        <f>COUNTIFS(集計用!$G217,"*, "&amp;M$3&amp;", *")</f>
        <v>1</v>
      </c>
      <c r="N219" s="2">
        <f>COUNTIFS(集計用!$G217,"*, "&amp;N$3&amp;", *")</f>
        <v>0</v>
      </c>
      <c r="O219" s="2">
        <f>COUNTIFS(集計用!$G217,"*, "&amp;O$3&amp;", *")</f>
        <v>0</v>
      </c>
      <c r="P219" s="2">
        <f>COUNTIFS(集計用!$G217,"*, "&amp;P$3&amp;", *")</f>
        <v>0</v>
      </c>
      <c r="Q219" s="2">
        <f>COUNTIFS(集計用!$G217,"*, "&amp;Q$3&amp;", *")</f>
        <v>0</v>
      </c>
      <c r="R219" s="2">
        <f>COUNTIFS(集計用!$G217,"*, "&amp;R$3&amp;", *")</f>
        <v>0</v>
      </c>
      <c r="S219" s="2">
        <f>COUNTIFS(集計用!$G217,"*, "&amp;S$3&amp;", *")</f>
        <v>0</v>
      </c>
      <c r="T219" s="2">
        <f>COUNTIFS(集計用!$G217,"*, "&amp;T$3&amp;", *")</f>
        <v>0</v>
      </c>
      <c r="U219" s="2">
        <f>COUNTIFS(集計用!$G217,"*, "&amp;U$3&amp;", *")</f>
        <v>0</v>
      </c>
      <c r="V219" s="2">
        <f>COUNTIFS(集計用!$G217,"*, "&amp;V$3&amp;", *")</f>
        <v>0</v>
      </c>
      <c r="W219" s="2">
        <f>COUNTIFS(集計用!$G217,"*, "&amp;W$3&amp;", *")</f>
        <v>0</v>
      </c>
      <c r="X219" s="2">
        <f>COUNTIFS(集計用!$G217,"*, "&amp;X$3&amp;", *")</f>
        <v>0</v>
      </c>
      <c r="Y219" s="2">
        <f>COUNTIFS(集計用!$G217,"*, "&amp;Y$3&amp;", *")</f>
        <v>0</v>
      </c>
      <c r="Z219" s="2">
        <f>COUNTIFS(集計用!$G217,"*, "&amp;Z$3&amp;", *")</f>
        <v>0</v>
      </c>
      <c r="AA219" s="2">
        <f>COUNTIFS(集計用!$G217,"*, "&amp;AA$3&amp;", *")</f>
        <v>0</v>
      </c>
      <c r="AB219" s="2">
        <f>COUNTIFS(集計用!$G217,"*, "&amp;AB$3&amp;", *")</f>
        <v>0</v>
      </c>
      <c r="AC219" s="2">
        <f>COUNTIFS(集計用!$G217,"*, "&amp;AC$3&amp;", *")</f>
        <v>0</v>
      </c>
      <c r="AD219" s="2">
        <f>COUNTIFS(集計用!$G217,"*, "&amp;AD$3&amp;", *")</f>
        <v>0</v>
      </c>
      <c r="AE219" s="2">
        <f>COUNTIFS(集計用!$G217,"*, "&amp;AE$3&amp;", *")</f>
        <v>0</v>
      </c>
      <c r="AF219" s="2">
        <f>COUNTIFS(集計用!$G217,"*, "&amp;AF$3&amp;", *")</f>
        <v>0</v>
      </c>
      <c r="AG219" s="2">
        <f>COUNTIFS(集計用!$G217,"*, "&amp;AG$3&amp;", *")</f>
        <v>0</v>
      </c>
      <c r="AH219" s="2">
        <f>COUNTIFS(集計用!$G217,"*, "&amp;AH$3&amp;", *")</f>
        <v>0</v>
      </c>
      <c r="AI219" s="2">
        <f>COUNTIFS(集計用!$G217,"*, "&amp;AI$3&amp;", *")</f>
        <v>0</v>
      </c>
      <c r="AJ219" s="2">
        <f>COUNTIFS(集計用!$G217,"*, "&amp;AJ$3&amp;", *")</f>
        <v>0</v>
      </c>
      <c r="AK219" s="2">
        <f>COUNTIFS(集計用!$G217,"*, "&amp;AK$3&amp;", *")</f>
        <v>0</v>
      </c>
      <c r="AL219" s="2">
        <f>COUNTIFS(集計用!$G217,"*, "&amp;AL$3&amp;", *")</f>
        <v>0</v>
      </c>
      <c r="AM219" s="2">
        <f>COUNTIFS(集計用!$G217,"*, "&amp;AM$3&amp;", *")</f>
        <v>0</v>
      </c>
      <c r="AN219" s="2">
        <f>COUNTIFS(集計用!$G217,"*, "&amp;AN$3&amp;", *")</f>
        <v>0</v>
      </c>
      <c r="AO219" s="2">
        <f>COUNTIFS(集計用!$G217,"*, "&amp;AO$3&amp;", *")</f>
        <v>0</v>
      </c>
      <c r="AP219" s="2">
        <f>COUNTIFS(集計用!$G217,"*, "&amp;AP$3&amp;", *")</f>
        <v>0</v>
      </c>
      <c r="AQ219" s="2">
        <f>COUNTIFS(集計用!$G217,"*, "&amp;AQ$3&amp;", *")</f>
        <v>0</v>
      </c>
      <c r="AR219" s="2">
        <f>COUNTIFS(集計用!$G217,"*, "&amp;AR$3&amp;", *")</f>
        <v>0</v>
      </c>
      <c r="AS219" s="2">
        <f>COUNTIFS(集計用!$G217,"*, "&amp;AS$3&amp;", *")</f>
        <v>0</v>
      </c>
      <c r="AT219" s="2">
        <f>COUNTIFS(集計用!$G217,"*, "&amp;AT$3&amp;", *")</f>
        <v>0</v>
      </c>
      <c r="AU219" s="2">
        <f>COUNTIFS(集計用!$G217,"*, "&amp;AU$3&amp;", *")</f>
        <v>0</v>
      </c>
      <c r="AV219" s="2">
        <f>COUNTIFS(集計用!$G217,"*, "&amp;AV$3&amp;", *")</f>
        <v>0</v>
      </c>
      <c r="AW219" s="2">
        <f>COUNTIFS(集計用!$G217,"*, "&amp;AW$3&amp;", *")</f>
        <v>0</v>
      </c>
      <c r="AX219" s="2">
        <f>COUNTIFS(集計用!$G217,"*, "&amp;AX$3&amp;", *")</f>
        <v>0</v>
      </c>
      <c r="AY219" s="2">
        <f>COUNTIFS(集計用!$G217,"*, "&amp;AY$3&amp;", *")</f>
        <v>0</v>
      </c>
      <c r="AZ219" s="2">
        <f>COUNTIFS(集計用!$G217,"*, "&amp;AZ$3&amp;", *")</f>
        <v>0</v>
      </c>
      <c r="BA219" s="2">
        <f>COUNTIFS(集計用!$G217,"*, "&amp;BA$3&amp;", *")</f>
        <v>0</v>
      </c>
      <c r="BB219" s="2">
        <f>COUNTIFS(集計用!$G217,"*, "&amp;BB$3&amp;", *")</f>
        <v>0</v>
      </c>
      <c r="BC219" s="2">
        <f>COUNTIFS(集計用!$G217,"*, "&amp;BC$3&amp;", *")</f>
        <v>0</v>
      </c>
      <c r="BD219" s="2">
        <f>COUNTIFS(集計用!$G217,"*, "&amp;BD$3&amp;", *")</f>
        <v>0</v>
      </c>
      <c r="BE219" s="2">
        <f>COUNTIFS(集計用!$G217,"*, "&amp;BE$3&amp;", *")</f>
        <v>0</v>
      </c>
      <c r="BF219" s="2">
        <f>COUNTIFS(集計用!$G217,"*, "&amp;BF$3&amp;", *")</f>
        <v>0</v>
      </c>
      <c r="BG219" s="2">
        <f>COUNTIFS(集計用!$G217,"*, "&amp;BG$3&amp;", *")</f>
        <v>0</v>
      </c>
      <c r="BH219" s="2">
        <f>COUNTIFS(集計用!$G217,"*, "&amp;BH$3&amp;", *")</f>
        <v>0</v>
      </c>
      <c r="BI219" s="2">
        <f>COUNTIFS(集計用!$G217,"*, "&amp;BI$3&amp;", *")</f>
        <v>0</v>
      </c>
      <c r="BJ219" s="2">
        <f>LEN(集計用!H217)-LEN(SUBSTITUTE(集計用!H217,",",""))</f>
        <v>0</v>
      </c>
    </row>
    <row r="220" spans="1:62" ht="12.75">
      <c r="A220" s="8">
        <v>217</v>
      </c>
      <c r="C220" s="2">
        <f t="shared" si="3"/>
        <v>1</v>
      </c>
      <c r="D220" s="9"/>
      <c r="E220" s="2">
        <f>COUNTIFS(集計用!$G218,"*, "&amp;E$3&amp;", *")</f>
        <v>0</v>
      </c>
      <c r="F220" s="2">
        <f>COUNTIFS(集計用!$G218,"*, "&amp;F$3&amp;", *")</f>
        <v>0</v>
      </c>
      <c r="G220" s="2">
        <f>COUNTIFS(集計用!$G218,"*, "&amp;G$3&amp;", *")</f>
        <v>0</v>
      </c>
      <c r="H220" s="2">
        <f>COUNTIFS(集計用!$G218,"*, "&amp;H$3&amp;", *")</f>
        <v>0</v>
      </c>
      <c r="I220" s="2">
        <f>COUNTIFS(集計用!$G218,"*, "&amp;I$3&amp;", *")</f>
        <v>0</v>
      </c>
      <c r="J220" s="2">
        <f>COUNTIFS(集計用!$G218,"*, "&amp;J$3&amp;", *")</f>
        <v>0</v>
      </c>
      <c r="K220" s="2">
        <f>COUNTIFS(集計用!$G218,"*, "&amp;K$3&amp;", *")</f>
        <v>0</v>
      </c>
      <c r="L220" s="2">
        <f>COUNTIFS(集計用!$G218,"*, "&amp;L$3&amp;", *")</f>
        <v>0</v>
      </c>
      <c r="M220" s="2">
        <f>COUNTIFS(集計用!$G218,"*, "&amp;M$3&amp;", *")</f>
        <v>0</v>
      </c>
      <c r="N220" s="2">
        <f>COUNTIFS(集計用!$G218,"*, "&amp;N$3&amp;", *")</f>
        <v>0</v>
      </c>
      <c r="O220" s="2">
        <f>COUNTIFS(集計用!$G218,"*, "&amp;O$3&amp;", *")</f>
        <v>0</v>
      </c>
      <c r="P220" s="2">
        <f>COUNTIFS(集計用!$G218,"*, "&amp;P$3&amp;", *")</f>
        <v>0</v>
      </c>
      <c r="Q220" s="2">
        <f>COUNTIFS(集計用!$G218,"*, "&amp;Q$3&amp;", *")</f>
        <v>0</v>
      </c>
      <c r="R220" s="2">
        <f>COUNTIFS(集計用!$G218,"*, "&amp;R$3&amp;", *")</f>
        <v>0</v>
      </c>
      <c r="S220" s="2">
        <f>COUNTIFS(集計用!$G218,"*, "&amp;S$3&amp;", *")</f>
        <v>0</v>
      </c>
      <c r="T220" s="2">
        <f>COUNTIFS(集計用!$G218,"*, "&amp;T$3&amp;", *")</f>
        <v>0</v>
      </c>
      <c r="U220" s="2">
        <f>COUNTIFS(集計用!$G218,"*, "&amp;U$3&amp;", *")</f>
        <v>0</v>
      </c>
      <c r="V220" s="2">
        <f>COUNTIFS(集計用!$G218,"*, "&amp;V$3&amp;", *")</f>
        <v>0</v>
      </c>
      <c r="W220" s="2">
        <f>COUNTIFS(集計用!$G218,"*, "&amp;W$3&amp;", *")</f>
        <v>0</v>
      </c>
      <c r="X220" s="2">
        <f>COUNTIFS(集計用!$G218,"*, "&amp;X$3&amp;", *")</f>
        <v>0</v>
      </c>
      <c r="Y220" s="2">
        <f>COUNTIFS(集計用!$G218,"*, "&amp;Y$3&amp;", *")</f>
        <v>0</v>
      </c>
      <c r="Z220" s="2">
        <f>COUNTIFS(集計用!$G218,"*, "&amp;Z$3&amp;", *")</f>
        <v>0</v>
      </c>
      <c r="AA220" s="2">
        <f>COUNTIFS(集計用!$G218,"*, "&amp;AA$3&amp;", *")</f>
        <v>0</v>
      </c>
      <c r="AB220" s="2">
        <f>COUNTIFS(集計用!$G218,"*, "&amp;AB$3&amp;", *")</f>
        <v>0</v>
      </c>
      <c r="AC220" s="2">
        <f>COUNTIFS(集計用!$G218,"*, "&amp;AC$3&amp;", *")</f>
        <v>0</v>
      </c>
      <c r="AD220" s="2">
        <f>COUNTIFS(集計用!$G218,"*, "&amp;AD$3&amp;", *")</f>
        <v>0</v>
      </c>
      <c r="AE220" s="2">
        <f>COUNTIFS(集計用!$G218,"*, "&amp;AE$3&amp;", *")</f>
        <v>0</v>
      </c>
      <c r="AF220" s="2">
        <f>COUNTIFS(集計用!$G218,"*, "&amp;AF$3&amp;", *")</f>
        <v>0</v>
      </c>
      <c r="AG220" s="2">
        <f>COUNTIFS(集計用!$G218,"*, "&amp;AG$3&amp;", *")</f>
        <v>0</v>
      </c>
      <c r="AH220" s="2">
        <f>COUNTIFS(集計用!$G218,"*, "&amp;AH$3&amp;", *")</f>
        <v>1</v>
      </c>
      <c r="AI220" s="2">
        <f>COUNTIFS(集計用!$G218,"*, "&amp;AI$3&amp;", *")</f>
        <v>0</v>
      </c>
      <c r="AJ220" s="2">
        <f>COUNTIFS(集計用!$G218,"*, "&amp;AJ$3&amp;", *")</f>
        <v>0</v>
      </c>
      <c r="AK220" s="2">
        <f>COUNTIFS(集計用!$G218,"*, "&amp;AK$3&amp;", *")</f>
        <v>0</v>
      </c>
      <c r="AL220" s="2">
        <f>COUNTIFS(集計用!$G218,"*, "&amp;AL$3&amp;", *")</f>
        <v>0</v>
      </c>
      <c r="AM220" s="2">
        <f>COUNTIFS(集計用!$G218,"*, "&amp;AM$3&amp;", *")</f>
        <v>0</v>
      </c>
      <c r="AN220" s="2">
        <f>COUNTIFS(集計用!$G218,"*, "&amp;AN$3&amp;", *")</f>
        <v>0</v>
      </c>
      <c r="AO220" s="2">
        <f>COUNTIFS(集計用!$G218,"*, "&amp;AO$3&amp;", *")</f>
        <v>0</v>
      </c>
      <c r="AP220" s="2">
        <f>COUNTIFS(集計用!$G218,"*, "&amp;AP$3&amp;", *")</f>
        <v>0</v>
      </c>
      <c r="AQ220" s="2">
        <f>COUNTIFS(集計用!$G218,"*, "&amp;AQ$3&amp;", *")</f>
        <v>0</v>
      </c>
      <c r="AR220" s="2">
        <f>COUNTIFS(集計用!$G218,"*, "&amp;AR$3&amp;", *")</f>
        <v>0</v>
      </c>
      <c r="AS220" s="2">
        <f>COUNTIFS(集計用!$G218,"*, "&amp;AS$3&amp;", *")</f>
        <v>0</v>
      </c>
      <c r="AT220" s="2">
        <f>COUNTIFS(集計用!$G218,"*, "&amp;AT$3&amp;", *")</f>
        <v>0</v>
      </c>
      <c r="AU220" s="2">
        <f>COUNTIFS(集計用!$G218,"*, "&amp;AU$3&amp;", *")</f>
        <v>0</v>
      </c>
      <c r="AV220" s="2">
        <f>COUNTIFS(集計用!$G218,"*, "&amp;AV$3&amp;", *")</f>
        <v>0</v>
      </c>
      <c r="AW220" s="2">
        <f>COUNTIFS(集計用!$G218,"*, "&amp;AW$3&amp;", *")</f>
        <v>0</v>
      </c>
      <c r="AX220" s="2">
        <f>COUNTIFS(集計用!$G218,"*, "&amp;AX$3&amp;", *")</f>
        <v>0</v>
      </c>
      <c r="AY220" s="2">
        <f>COUNTIFS(集計用!$G218,"*, "&amp;AY$3&amp;", *")</f>
        <v>0</v>
      </c>
      <c r="AZ220" s="2">
        <f>COUNTIFS(集計用!$G218,"*, "&amp;AZ$3&amp;", *")</f>
        <v>0</v>
      </c>
      <c r="BA220" s="2">
        <f>COUNTIFS(集計用!$G218,"*, "&amp;BA$3&amp;", *")</f>
        <v>0</v>
      </c>
      <c r="BB220" s="2">
        <f>COUNTIFS(集計用!$G218,"*, "&amp;BB$3&amp;", *")</f>
        <v>0</v>
      </c>
      <c r="BC220" s="2">
        <f>COUNTIFS(集計用!$G218,"*, "&amp;BC$3&amp;", *")</f>
        <v>0</v>
      </c>
      <c r="BD220" s="2">
        <f>COUNTIFS(集計用!$G218,"*, "&amp;BD$3&amp;", *")</f>
        <v>0</v>
      </c>
      <c r="BE220" s="2">
        <f>COUNTIFS(集計用!$G218,"*, "&amp;BE$3&amp;", *")</f>
        <v>0</v>
      </c>
      <c r="BF220" s="2">
        <f>COUNTIFS(集計用!$G218,"*, "&amp;BF$3&amp;", *")</f>
        <v>0</v>
      </c>
      <c r="BG220" s="2">
        <f>COUNTIFS(集計用!$G218,"*, "&amp;BG$3&amp;", *")</f>
        <v>0</v>
      </c>
      <c r="BH220" s="2">
        <f>COUNTIFS(集計用!$G218,"*, "&amp;BH$3&amp;", *")</f>
        <v>0</v>
      </c>
      <c r="BI220" s="2">
        <f>COUNTIFS(集計用!$G218,"*, "&amp;BI$3&amp;", *")</f>
        <v>0</v>
      </c>
      <c r="BJ220" s="2">
        <f>LEN(集計用!H218)-LEN(SUBSTITUTE(集計用!H218,",",""))</f>
        <v>0</v>
      </c>
    </row>
    <row r="221" spans="1:62" ht="12.75">
      <c r="A221" s="8">
        <v>218</v>
      </c>
      <c r="C221" s="2">
        <f t="shared" si="3"/>
        <v>9</v>
      </c>
      <c r="D221" s="9"/>
      <c r="E221" s="2">
        <f>COUNTIFS(集計用!$G219,"*, "&amp;E$3&amp;", *")</f>
        <v>0</v>
      </c>
      <c r="F221" s="2">
        <f>COUNTIFS(集計用!$G219,"*, "&amp;F$3&amp;", *")</f>
        <v>1</v>
      </c>
      <c r="G221" s="2">
        <f>COUNTIFS(集計用!$G219,"*, "&amp;G$3&amp;", *")</f>
        <v>0</v>
      </c>
      <c r="H221" s="2">
        <f>COUNTIFS(集計用!$G219,"*, "&amp;H$3&amp;", *")</f>
        <v>0</v>
      </c>
      <c r="I221" s="2">
        <f>COUNTIFS(集計用!$G219,"*, "&amp;I$3&amp;", *")</f>
        <v>0</v>
      </c>
      <c r="J221" s="2">
        <f>COUNTIFS(集計用!$G219,"*, "&amp;J$3&amp;", *")</f>
        <v>1</v>
      </c>
      <c r="K221" s="2">
        <f>COUNTIFS(集計用!$G219,"*, "&amp;K$3&amp;", *")</f>
        <v>1</v>
      </c>
      <c r="L221" s="2">
        <f>COUNTIFS(集計用!$G219,"*, "&amp;L$3&amp;", *")</f>
        <v>0</v>
      </c>
      <c r="M221" s="2">
        <f>COUNTIFS(集計用!$G219,"*, "&amp;M$3&amp;", *")</f>
        <v>0</v>
      </c>
      <c r="N221" s="2">
        <f>COUNTIFS(集計用!$G219,"*, "&amp;N$3&amp;", *")</f>
        <v>0</v>
      </c>
      <c r="O221" s="2">
        <f>COUNTIFS(集計用!$G219,"*, "&amp;O$3&amp;", *")</f>
        <v>0</v>
      </c>
      <c r="P221" s="2">
        <f>COUNTIFS(集計用!$G219,"*, "&amp;P$3&amp;", *")</f>
        <v>0</v>
      </c>
      <c r="Q221" s="2">
        <f>COUNTIFS(集計用!$G219,"*, "&amp;Q$3&amp;", *")</f>
        <v>0</v>
      </c>
      <c r="R221" s="2">
        <f>COUNTIFS(集計用!$G219,"*, "&amp;R$3&amp;", *")</f>
        <v>0</v>
      </c>
      <c r="S221" s="2">
        <f>COUNTIFS(集計用!$G219,"*, "&amp;S$3&amp;", *")</f>
        <v>0</v>
      </c>
      <c r="T221" s="2">
        <f>COUNTIFS(集計用!$G219,"*, "&amp;T$3&amp;", *")</f>
        <v>0</v>
      </c>
      <c r="U221" s="2">
        <f>COUNTIFS(集計用!$G219,"*, "&amp;U$3&amp;", *")</f>
        <v>0</v>
      </c>
      <c r="V221" s="2">
        <f>COUNTIFS(集計用!$G219,"*, "&amp;V$3&amp;", *")</f>
        <v>0</v>
      </c>
      <c r="W221" s="2">
        <f>COUNTIFS(集計用!$G219,"*, "&amp;W$3&amp;", *")</f>
        <v>0</v>
      </c>
      <c r="X221" s="2">
        <f>COUNTIFS(集計用!$G219,"*, "&amp;X$3&amp;", *")</f>
        <v>1</v>
      </c>
      <c r="Y221" s="2">
        <f>COUNTIFS(集計用!$G219,"*, "&amp;Y$3&amp;", *")</f>
        <v>0</v>
      </c>
      <c r="Z221" s="2">
        <f>COUNTIFS(集計用!$G219,"*, "&amp;Z$3&amp;", *")</f>
        <v>0</v>
      </c>
      <c r="AA221" s="2">
        <f>COUNTIFS(集計用!$G219,"*, "&amp;AA$3&amp;", *")</f>
        <v>0</v>
      </c>
      <c r="AB221" s="2">
        <f>COUNTIFS(集計用!$G219,"*, "&amp;AB$3&amp;", *")</f>
        <v>0</v>
      </c>
      <c r="AC221" s="2">
        <f>COUNTIFS(集計用!$G219,"*, "&amp;AC$3&amp;", *")</f>
        <v>0</v>
      </c>
      <c r="AD221" s="2">
        <f>COUNTIFS(集計用!$G219,"*, "&amp;AD$3&amp;", *")</f>
        <v>0</v>
      </c>
      <c r="AE221" s="2">
        <f>COUNTIFS(集計用!$G219,"*, "&amp;AE$3&amp;", *")</f>
        <v>0</v>
      </c>
      <c r="AF221" s="2">
        <f>COUNTIFS(集計用!$G219,"*, "&amp;AF$3&amp;", *")</f>
        <v>1</v>
      </c>
      <c r="AG221" s="2">
        <f>COUNTIFS(集計用!$G219,"*, "&amp;AG$3&amp;", *")</f>
        <v>0</v>
      </c>
      <c r="AH221" s="2">
        <f>COUNTIFS(集計用!$G219,"*, "&amp;AH$3&amp;", *")</f>
        <v>0</v>
      </c>
      <c r="AI221" s="2">
        <f>COUNTIFS(集計用!$G219,"*, "&amp;AI$3&amp;", *")</f>
        <v>0</v>
      </c>
      <c r="AJ221" s="2">
        <f>COUNTIFS(集計用!$G219,"*, "&amp;AJ$3&amp;", *")</f>
        <v>0</v>
      </c>
      <c r="AK221" s="2">
        <f>COUNTIFS(集計用!$G219,"*, "&amp;AK$3&amp;", *")</f>
        <v>1</v>
      </c>
      <c r="AL221" s="2">
        <f>COUNTIFS(集計用!$G219,"*, "&amp;AL$3&amp;", *")</f>
        <v>1</v>
      </c>
      <c r="AM221" s="2">
        <f>COUNTIFS(集計用!$G219,"*, "&amp;AM$3&amp;", *")</f>
        <v>0</v>
      </c>
      <c r="AN221" s="2">
        <f>COUNTIFS(集計用!$G219,"*, "&amp;AN$3&amp;", *")</f>
        <v>0</v>
      </c>
      <c r="AO221" s="2">
        <f>COUNTIFS(集計用!$G219,"*, "&amp;AO$3&amp;", *")</f>
        <v>0</v>
      </c>
      <c r="AP221" s="2">
        <f>COUNTIFS(集計用!$G219,"*, "&amp;AP$3&amp;", *")</f>
        <v>0</v>
      </c>
      <c r="AQ221" s="2">
        <f>COUNTIFS(集計用!$G219,"*, "&amp;AQ$3&amp;", *")</f>
        <v>0</v>
      </c>
      <c r="AR221" s="2">
        <f>COUNTIFS(集計用!$G219,"*, "&amp;AR$3&amp;", *")</f>
        <v>0</v>
      </c>
      <c r="AS221" s="2">
        <f>COUNTIFS(集計用!$G219,"*, "&amp;AS$3&amp;", *")</f>
        <v>0</v>
      </c>
      <c r="AT221" s="2">
        <f>COUNTIFS(集計用!$G219,"*, "&amp;AT$3&amp;", *")</f>
        <v>0</v>
      </c>
      <c r="AU221" s="2">
        <f>COUNTIFS(集計用!$G219,"*, "&amp;AU$3&amp;", *")</f>
        <v>1</v>
      </c>
      <c r="AV221" s="2">
        <f>COUNTIFS(集計用!$G219,"*, "&amp;AV$3&amp;", *")</f>
        <v>0</v>
      </c>
      <c r="AW221" s="2">
        <f>COUNTIFS(集計用!$G219,"*, "&amp;AW$3&amp;", *")</f>
        <v>0</v>
      </c>
      <c r="AX221" s="2">
        <f>COUNTIFS(集計用!$G219,"*, "&amp;AX$3&amp;", *")</f>
        <v>0</v>
      </c>
      <c r="AY221" s="2">
        <f>COUNTIFS(集計用!$G219,"*, "&amp;AY$3&amp;", *")</f>
        <v>0</v>
      </c>
      <c r="AZ221" s="2">
        <f>COUNTIFS(集計用!$G219,"*, "&amp;AZ$3&amp;", *")</f>
        <v>0</v>
      </c>
      <c r="BA221" s="2">
        <f>COUNTIFS(集計用!$G219,"*, "&amp;BA$3&amp;", *")</f>
        <v>0</v>
      </c>
      <c r="BB221" s="2">
        <f>COUNTIFS(集計用!$G219,"*, "&amp;BB$3&amp;", *")</f>
        <v>1</v>
      </c>
      <c r="BC221" s="2">
        <f>COUNTIFS(集計用!$G219,"*, "&amp;BC$3&amp;", *")</f>
        <v>0</v>
      </c>
      <c r="BD221" s="2">
        <f>COUNTIFS(集計用!$G219,"*, "&amp;BD$3&amp;", *")</f>
        <v>0</v>
      </c>
      <c r="BE221" s="2">
        <f>COUNTIFS(集計用!$G219,"*, "&amp;BE$3&amp;", *")</f>
        <v>0</v>
      </c>
      <c r="BF221" s="2">
        <f>COUNTIFS(集計用!$G219,"*, "&amp;BF$3&amp;", *")</f>
        <v>0</v>
      </c>
      <c r="BG221" s="2">
        <f>COUNTIFS(集計用!$G219,"*, "&amp;BG$3&amp;", *")</f>
        <v>0</v>
      </c>
      <c r="BH221" s="2">
        <f>COUNTIFS(集計用!$G219,"*, "&amp;BH$3&amp;", *")</f>
        <v>0</v>
      </c>
      <c r="BI221" s="2">
        <f>COUNTIFS(集計用!$G219,"*, "&amp;BI$3&amp;", *")</f>
        <v>0</v>
      </c>
      <c r="BJ221" s="2">
        <f>LEN(集計用!H219)-LEN(SUBSTITUTE(集計用!H219,",",""))</f>
        <v>0</v>
      </c>
    </row>
    <row r="222" spans="1:62" ht="12.75">
      <c r="A222" s="8">
        <v>219</v>
      </c>
      <c r="C222" s="2">
        <f t="shared" si="3"/>
        <v>6</v>
      </c>
      <c r="D222" s="9"/>
      <c r="E222" s="2">
        <f>COUNTIFS(集計用!$G220,"*, "&amp;E$3&amp;", *")</f>
        <v>1</v>
      </c>
      <c r="F222" s="2">
        <f>COUNTIFS(集計用!$G220,"*, "&amp;F$3&amp;", *")</f>
        <v>0</v>
      </c>
      <c r="G222" s="2">
        <f>COUNTIFS(集計用!$G220,"*, "&amp;G$3&amp;", *")</f>
        <v>0</v>
      </c>
      <c r="H222" s="2">
        <f>COUNTIFS(集計用!$G220,"*, "&amp;H$3&amp;", *")</f>
        <v>1</v>
      </c>
      <c r="I222" s="2">
        <f>COUNTIFS(集計用!$G220,"*, "&amp;I$3&amp;", *")</f>
        <v>0</v>
      </c>
      <c r="J222" s="2">
        <f>COUNTIFS(集計用!$G220,"*, "&amp;J$3&amp;", *")</f>
        <v>0</v>
      </c>
      <c r="K222" s="2">
        <f>COUNTIFS(集計用!$G220,"*, "&amp;K$3&amp;", *")</f>
        <v>0</v>
      </c>
      <c r="L222" s="2">
        <f>COUNTIFS(集計用!$G220,"*, "&amp;L$3&amp;", *")</f>
        <v>0</v>
      </c>
      <c r="M222" s="2">
        <f>COUNTIFS(集計用!$G220,"*, "&amp;M$3&amp;", *")</f>
        <v>0</v>
      </c>
      <c r="N222" s="2">
        <f>COUNTIFS(集計用!$G220,"*, "&amp;N$3&amp;", *")</f>
        <v>0</v>
      </c>
      <c r="O222" s="2">
        <f>COUNTIFS(集計用!$G220,"*, "&amp;O$3&amp;", *")</f>
        <v>0</v>
      </c>
      <c r="P222" s="2">
        <f>COUNTIFS(集計用!$G220,"*, "&amp;P$3&amp;", *")</f>
        <v>1</v>
      </c>
      <c r="Q222" s="2">
        <f>COUNTIFS(集計用!$G220,"*, "&amp;Q$3&amp;", *")</f>
        <v>0</v>
      </c>
      <c r="R222" s="2">
        <f>COUNTIFS(集計用!$G220,"*, "&amp;R$3&amp;", *")</f>
        <v>0</v>
      </c>
      <c r="S222" s="2">
        <f>COUNTIFS(集計用!$G220,"*, "&amp;S$3&amp;", *")</f>
        <v>1</v>
      </c>
      <c r="T222" s="2">
        <f>COUNTIFS(集計用!$G220,"*, "&amp;T$3&amp;", *")</f>
        <v>0</v>
      </c>
      <c r="U222" s="2">
        <f>COUNTIFS(集計用!$G220,"*, "&amp;U$3&amp;", *")</f>
        <v>0</v>
      </c>
      <c r="V222" s="2">
        <f>COUNTIFS(集計用!$G220,"*, "&amp;V$3&amp;", *")</f>
        <v>0</v>
      </c>
      <c r="W222" s="2">
        <f>COUNTIFS(集計用!$G220,"*, "&amp;W$3&amp;", *")</f>
        <v>0</v>
      </c>
      <c r="X222" s="2">
        <f>COUNTIFS(集計用!$G220,"*, "&amp;X$3&amp;", *")</f>
        <v>0</v>
      </c>
      <c r="Y222" s="2">
        <f>COUNTIFS(集計用!$G220,"*, "&amp;Y$3&amp;", *")</f>
        <v>1</v>
      </c>
      <c r="Z222" s="2">
        <f>COUNTIFS(集計用!$G220,"*, "&amp;Z$3&amp;", *")</f>
        <v>0</v>
      </c>
      <c r="AA222" s="2">
        <f>COUNTIFS(集計用!$G220,"*, "&amp;AA$3&amp;", *")</f>
        <v>0</v>
      </c>
      <c r="AB222" s="2">
        <f>COUNTIFS(集計用!$G220,"*, "&amp;AB$3&amp;", *")</f>
        <v>0</v>
      </c>
      <c r="AC222" s="2">
        <f>COUNTIFS(集計用!$G220,"*, "&amp;AC$3&amp;", *")</f>
        <v>0</v>
      </c>
      <c r="AD222" s="2">
        <f>COUNTIFS(集計用!$G220,"*, "&amp;AD$3&amp;", *")</f>
        <v>0</v>
      </c>
      <c r="AE222" s="2">
        <f>COUNTIFS(集計用!$G220,"*, "&amp;AE$3&amp;", *")</f>
        <v>0</v>
      </c>
      <c r="AF222" s="2">
        <f>COUNTIFS(集計用!$G220,"*, "&amp;AF$3&amp;", *")</f>
        <v>0</v>
      </c>
      <c r="AG222" s="2">
        <f>COUNTIFS(集計用!$G220,"*, "&amp;AG$3&amp;", *")</f>
        <v>0</v>
      </c>
      <c r="AH222" s="2">
        <f>COUNTIFS(集計用!$G220,"*, "&amp;AH$3&amp;", *")</f>
        <v>0</v>
      </c>
      <c r="AI222" s="2">
        <f>COUNTIFS(集計用!$G220,"*, "&amp;AI$3&amp;", *")</f>
        <v>0</v>
      </c>
      <c r="AJ222" s="2">
        <f>COUNTIFS(集計用!$G220,"*, "&amp;AJ$3&amp;", *")</f>
        <v>0</v>
      </c>
      <c r="AK222" s="2">
        <f>COUNTIFS(集計用!$G220,"*, "&amp;AK$3&amp;", *")</f>
        <v>0</v>
      </c>
      <c r="AL222" s="2">
        <f>COUNTIFS(集計用!$G220,"*, "&amp;AL$3&amp;", *")</f>
        <v>0</v>
      </c>
      <c r="AM222" s="2">
        <f>COUNTIFS(集計用!$G220,"*, "&amp;AM$3&amp;", *")</f>
        <v>0</v>
      </c>
      <c r="AN222" s="2">
        <f>COUNTIFS(集計用!$G220,"*, "&amp;AN$3&amp;", *")</f>
        <v>0</v>
      </c>
      <c r="AO222" s="2">
        <f>COUNTIFS(集計用!$G220,"*, "&amp;AO$3&amp;", *")</f>
        <v>0</v>
      </c>
      <c r="AP222" s="2">
        <f>COUNTIFS(集計用!$G220,"*, "&amp;AP$3&amp;", *")</f>
        <v>0</v>
      </c>
      <c r="AQ222" s="2">
        <f>COUNTIFS(集計用!$G220,"*, "&amp;AQ$3&amp;", *")</f>
        <v>1</v>
      </c>
      <c r="AR222" s="2">
        <f>COUNTIFS(集計用!$G220,"*, "&amp;AR$3&amp;", *")</f>
        <v>0</v>
      </c>
      <c r="AS222" s="2">
        <f>COUNTIFS(集計用!$G220,"*, "&amp;AS$3&amp;", *")</f>
        <v>0</v>
      </c>
      <c r="AT222" s="2">
        <f>COUNTIFS(集計用!$G220,"*, "&amp;AT$3&amp;", *")</f>
        <v>0</v>
      </c>
      <c r="AU222" s="2">
        <f>COUNTIFS(集計用!$G220,"*, "&amp;AU$3&amp;", *")</f>
        <v>0</v>
      </c>
      <c r="AV222" s="2">
        <f>COUNTIFS(集計用!$G220,"*, "&amp;AV$3&amp;", *")</f>
        <v>0</v>
      </c>
      <c r="AW222" s="2">
        <f>COUNTIFS(集計用!$G220,"*, "&amp;AW$3&amp;", *")</f>
        <v>0</v>
      </c>
      <c r="AX222" s="2">
        <f>COUNTIFS(集計用!$G220,"*, "&amp;AX$3&amp;", *")</f>
        <v>0</v>
      </c>
      <c r="AY222" s="2">
        <f>COUNTIFS(集計用!$G220,"*, "&amp;AY$3&amp;", *")</f>
        <v>0</v>
      </c>
      <c r="AZ222" s="2">
        <f>COUNTIFS(集計用!$G220,"*, "&amp;AZ$3&amp;", *")</f>
        <v>0</v>
      </c>
      <c r="BA222" s="2">
        <f>COUNTIFS(集計用!$G220,"*, "&amp;BA$3&amp;", *")</f>
        <v>0</v>
      </c>
      <c r="BB222" s="2">
        <f>COUNTIFS(集計用!$G220,"*, "&amp;BB$3&amp;", *")</f>
        <v>0</v>
      </c>
      <c r="BC222" s="2">
        <f>COUNTIFS(集計用!$G220,"*, "&amp;BC$3&amp;", *")</f>
        <v>0</v>
      </c>
      <c r="BD222" s="2">
        <f>COUNTIFS(集計用!$G220,"*, "&amp;BD$3&amp;", *")</f>
        <v>0</v>
      </c>
      <c r="BE222" s="2">
        <f>COUNTIFS(集計用!$G220,"*, "&amp;BE$3&amp;", *")</f>
        <v>0</v>
      </c>
      <c r="BF222" s="2">
        <f>COUNTIFS(集計用!$G220,"*, "&amp;BF$3&amp;", *")</f>
        <v>0</v>
      </c>
      <c r="BG222" s="2">
        <f>COUNTIFS(集計用!$G220,"*, "&amp;BG$3&amp;", *")</f>
        <v>0</v>
      </c>
      <c r="BH222" s="2">
        <f>COUNTIFS(集計用!$G220,"*, "&amp;BH$3&amp;", *")</f>
        <v>0</v>
      </c>
      <c r="BI222" s="2">
        <f>COUNTIFS(集計用!$G220,"*, "&amp;BI$3&amp;", *")</f>
        <v>0</v>
      </c>
      <c r="BJ222" s="2">
        <f>LEN(集計用!H220)-LEN(SUBSTITUTE(集計用!H220,",",""))</f>
        <v>0</v>
      </c>
    </row>
    <row r="223" spans="1:62" ht="12.75">
      <c r="A223" s="8">
        <v>220</v>
      </c>
      <c r="C223" s="2">
        <f t="shared" si="3"/>
        <v>2</v>
      </c>
      <c r="D223" s="9"/>
      <c r="E223" s="2">
        <f>COUNTIFS(集計用!$G221,"*, "&amp;E$3&amp;", *")</f>
        <v>0</v>
      </c>
      <c r="F223" s="2">
        <f>COUNTIFS(集計用!$G221,"*, "&amp;F$3&amp;", *")</f>
        <v>0</v>
      </c>
      <c r="G223" s="2">
        <f>COUNTIFS(集計用!$G221,"*, "&amp;G$3&amp;", *")</f>
        <v>0</v>
      </c>
      <c r="H223" s="2">
        <f>COUNTIFS(集計用!$G221,"*, "&amp;H$3&amp;", *")</f>
        <v>0</v>
      </c>
      <c r="I223" s="2">
        <f>COUNTIFS(集計用!$G221,"*, "&amp;I$3&amp;", *")</f>
        <v>0</v>
      </c>
      <c r="J223" s="2">
        <f>COUNTIFS(集計用!$G221,"*, "&amp;J$3&amp;", *")</f>
        <v>0</v>
      </c>
      <c r="K223" s="2">
        <f>COUNTIFS(集計用!$G221,"*, "&amp;K$3&amp;", *")</f>
        <v>0</v>
      </c>
      <c r="L223" s="2">
        <f>COUNTIFS(集計用!$G221,"*, "&amp;L$3&amp;", *")</f>
        <v>0</v>
      </c>
      <c r="M223" s="2">
        <f>COUNTIFS(集計用!$G221,"*, "&amp;M$3&amp;", *")</f>
        <v>0</v>
      </c>
      <c r="N223" s="2">
        <f>COUNTIFS(集計用!$G221,"*, "&amp;N$3&amp;", *")</f>
        <v>0</v>
      </c>
      <c r="O223" s="2">
        <f>COUNTIFS(集計用!$G221,"*, "&amp;O$3&amp;", *")</f>
        <v>0</v>
      </c>
      <c r="P223" s="2">
        <f>COUNTIFS(集計用!$G221,"*, "&amp;P$3&amp;", *")</f>
        <v>0</v>
      </c>
      <c r="Q223" s="2">
        <f>COUNTIFS(集計用!$G221,"*, "&amp;Q$3&amp;", *")</f>
        <v>0</v>
      </c>
      <c r="R223" s="2">
        <f>COUNTIFS(集計用!$G221,"*, "&amp;R$3&amp;", *")</f>
        <v>0</v>
      </c>
      <c r="S223" s="2">
        <f>COUNTIFS(集計用!$G221,"*, "&amp;S$3&amp;", *")</f>
        <v>0</v>
      </c>
      <c r="T223" s="2">
        <f>COUNTIFS(集計用!$G221,"*, "&amp;T$3&amp;", *")</f>
        <v>0</v>
      </c>
      <c r="U223" s="2">
        <f>COUNTIFS(集計用!$G221,"*, "&amp;U$3&amp;", *")</f>
        <v>0</v>
      </c>
      <c r="V223" s="2">
        <f>COUNTIFS(集計用!$G221,"*, "&amp;V$3&amp;", *")</f>
        <v>0</v>
      </c>
      <c r="W223" s="2">
        <f>COUNTIFS(集計用!$G221,"*, "&amp;W$3&amp;", *")</f>
        <v>0</v>
      </c>
      <c r="X223" s="2">
        <f>COUNTIFS(集計用!$G221,"*, "&amp;X$3&amp;", *")</f>
        <v>0</v>
      </c>
      <c r="Y223" s="2">
        <f>COUNTIFS(集計用!$G221,"*, "&amp;Y$3&amp;", *")</f>
        <v>0</v>
      </c>
      <c r="Z223" s="2">
        <f>COUNTIFS(集計用!$G221,"*, "&amp;Z$3&amp;", *")</f>
        <v>0</v>
      </c>
      <c r="AA223" s="2">
        <f>COUNTIFS(集計用!$G221,"*, "&amp;AA$3&amp;", *")</f>
        <v>0</v>
      </c>
      <c r="AB223" s="2">
        <f>COUNTIFS(集計用!$G221,"*, "&amp;AB$3&amp;", *")</f>
        <v>0</v>
      </c>
      <c r="AC223" s="2">
        <f>COUNTIFS(集計用!$G221,"*, "&amp;AC$3&amp;", *")</f>
        <v>0</v>
      </c>
      <c r="AD223" s="2">
        <f>COUNTIFS(集計用!$G221,"*, "&amp;AD$3&amp;", *")</f>
        <v>0</v>
      </c>
      <c r="AE223" s="2">
        <f>COUNTIFS(集計用!$G221,"*, "&amp;AE$3&amp;", *")</f>
        <v>0</v>
      </c>
      <c r="AF223" s="2">
        <f>COUNTIFS(集計用!$G221,"*, "&amp;AF$3&amp;", *")</f>
        <v>0</v>
      </c>
      <c r="AG223" s="2">
        <f>COUNTIFS(集計用!$G221,"*, "&amp;AG$3&amp;", *")</f>
        <v>1</v>
      </c>
      <c r="AH223" s="2">
        <f>COUNTIFS(集計用!$G221,"*, "&amp;AH$3&amp;", *")</f>
        <v>0</v>
      </c>
      <c r="AI223" s="2">
        <f>COUNTIFS(集計用!$G221,"*, "&amp;AI$3&amp;", *")</f>
        <v>1</v>
      </c>
      <c r="AJ223" s="2">
        <f>COUNTIFS(集計用!$G221,"*, "&amp;AJ$3&amp;", *")</f>
        <v>0</v>
      </c>
      <c r="AK223" s="2">
        <f>COUNTIFS(集計用!$G221,"*, "&amp;AK$3&amp;", *")</f>
        <v>0</v>
      </c>
      <c r="AL223" s="2">
        <f>COUNTIFS(集計用!$G221,"*, "&amp;AL$3&amp;", *")</f>
        <v>0</v>
      </c>
      <c r="AM223" s="2">
        <f>COUNTIFS(集計用!$G221,"*, "&amp;AM$3&amp;", *")</f>
        <v>0</v>
      </c>
      <c r="AN223" s="2">
        <f>COUNTIFS(集計用!$G221,"*, "&amp;AN$3&amp;", *")</f>
        <v>0</v>
      </c>
      <c r="AO223" s="2">
        <f>COUNTIFS(集計用!$G221,"*, "&amp;AO$3&amp;", *")</f>
        <v>0</v>
      </c>
      <c r="AP223" s="2">
        <f>COUNTIFS(集計用!$G221,"*, "&amp;AP$3&amp;", *")</f>
        <v>0</v>
      </c>
      <c r="AQ223" s="2">
        <f>COUNTIFS(集計用!$G221,"*, "&amp;AQ$3&amp;", *")</f>
        <v>0</v>
      </c>
      <c r="AR223" s="2">
        <f>COUNTIFS(集計用!$G221,"*, "&amp;AR$3&amp;", *")</f>
        <v>0</v>
      </c>
      <c r="AS223" s="2">
        <f>COUNTIFS(集計用!$G221,"*, "&amp;AS$3&amp;", *")</f>
        <v>0</v>
      </c>
      <c r="AT223" s="2">
        <f>COUNTIFS(集計用!$G221,"*, "&amp;AT$3&amp;", *")</f>
        <v>0</v>
      </c>
      <c r="AU223" s="2">
        <f>COUNTIFS(集計用!$G221,"*, "&amp;AU$3&amp;", *")</f>
        <v>0</v>
      </c>
      <c r="AV223" s="2">
        <f>COUNTIFS(集計用!$G221,"*, "&amp;AV$3&amp;", *")</f>
        <v>0</v>
      </c>
      <c r="AW223" s="2">
        <f>COUNTIFS(集計用!$G221,"*, "&amp;AW$3&amp;", *")</f>
        <v>0</v>
      </c>
      <c r="AX223" s="2">
        <f>COUNTIFS(集計用!$G221,"*, "&amp;AX$3&amp;", *")</f>
        <v>0</v>
      </c>
      <c r="AY223" s="2">
        <f>COUNTIFS(集計用!$G221,"*, "&amp;AY$3&amp;", *")</f>
        <v>0</v>
      </c>
      <c r="AZ223" s="2">
        <f>COUNTIFS(集計用!$G221,"*, "&amp;AZ$3&amp;", *")</f>
        <v>0</v>
      </c>
      <c r="BA223" s="2">
        <f>COUNTIFS(集計用!$G221,"*, "&amp;BA$3&amp;", *")</f>
        <v>0</v>
      </c>
      <c r="BB223" s="2">
        <f>COUNTIFS(集計用!$G221,"*, "&amp;BB$3&amp;", *")</f>
        <v>0</v>
      </c>
      <c r="BC223" s="2">
        <f>COUNTIFS(集計用!$G221,"*, "&amp;BC$3&amp;", *")</f>
        <v>0</v>
      </c>
      <c r="BD223" s="2">
        <f>COUNTIFS(集計用!$G221,"*, "&amp;BD$3&amp;", *")</f>
        <v>0</v>
      </c>
      <c r="BE223" s="2">
        <f>COUNTIFS(集計用!$G221,"*, "&amp;BE$3&amp;", *")</f>
        <v>0</v>
      </c>
      <c r="BF223" s="2">
        <f>COUNTIFS(集計用!$G221,"*, "&amp;BF$3&amp;", *")</f>
        <v>0</v>
      </c>
      <c r="BG223" s="2">
        <f>COUNTIFS(集計用!$G221,"*, "&amp;BG$3&amp;", *")</f>
        <v>0</v>
      </c>
      <c r="BH223" s="2">
        <f>COUNTIFS(集計用!$G221,"*, "&amp;BH$3&amp;", *")</f>
        <v>0</v>
      </c>
      <c r="BI223" s="2">
        <f>COUNTIFS(集計用!$G221,"*, "&amp;BI$3&amp;", *")</f>
        <v>0</v>
      </c>
      <c r="BJ223" s="2">
        <f>LEN(集計用!H221)-LEN(SUBSTITUTE(集計用!H221,",",""))</f>
        <v>0</v>
      </c>
    </row>
    <row r="224" spans="1:62" ht="12.75">
      <c r="A224" s="8">
        <v>221</v>
      </c>
      <c r="C224" s="2">
        <f t="shared" si="3"/>
        <v>6</v>
      </c>
      <c r="D224" s="9"/>
      <c r="E224" s="2">
        <f>COUNTIFS(集計用!$G222,"*, "&amp;E$3&amp;", *")</f>
        <v>0</v>
      </c>
      <c r="F224" s="2">
        <f>COUNTIFS(集計用!$G222,"*, "&amp;F$3&amp;", *")</f>
        <v>1</v>
      </c>
      <c r="G224" s="2">
        <f>COUNTIFS(集計用!$G222,"*, "&amp;G$3&amp;", *")</f>
        <v>0</v>
      </c>
      <c r="H224" s="2">
        <f>COUNTIFS(集計用!$G222,"*, "&amp;H$3&amp;", *")</f>
        <v>0</v>
      </c>
      <c r="I224" s="2">
        <f>COUNTIFS(集計用!$G222,"*, "&amp;I$3&amp;", *")</f>
        <v>0</v>
      </c>
      <c r="J224" s="2">
        <f>COUNTIFS(集計用!$G222,"*, "&amp;J$3&amp;", *")</f>
        <v>0</v>
      </c>
      <c r="K224" s="2">
        <f>COUNTIFS(集計用!$G222,"*, "&amp;K$3&amp;", *")</f>
        <v>0</v>
      </c>
      <c r="L224" s="2">
        <f>COUNTIFS(集計用!$G222,"*, "&amp;L$3&amp;", *")</f>
        <v>1</v>
      </c>
      <c r="M224" s="2">
        <f>COUNTIFS(集計用!$G222,"*, "&amp;M$3&amp;", *")</f>
        <v>0</v>
      </c>
      <c r="N224" s="2">
        <f>COUNTIFS(集計用!$G222,"*, "&amp;N$3&amp;", *")</f>
        <v>0</v>
      </c>
      <c r="O224" s="2">
        <f>COUNTIFS(集計用!$G222,"*, "&amp;O$3&amp;", *")</f>
        <v>0</v>
      </c>
      <c r="P224" s="2">
        <f>COUNTIFS(集計用!$G222,"*, "&amp;P$3&amp;", *")</f>
        <v>0</v>
      </c>
      <c r="Q224" s="2">
        <f>COUNTIFS(集計用!$G222,"*, "&amp;Q$3&amp;", *")</f>
        <v>1</v>
      </c>
      <c r="R224" s="2">
        <f>COUNTIFS(集計用!$G222,"*, "&amp;R$3&amp;", *")</f>
        <v>0</v>
      </c>
      <c r="S224" s="2">
        <f>COUNTIFS(集計用!$G222,"*, "&amp;S$3&amp;", *")</f>
        <v>0</v>
      </c>
      <c r="T224" s="2">
        <f>COUNTIFS(集計用!$G222,"*, "&amp;T$3&amp;", *")</f>
        <v>0</v>
      </c>
      <c r="U224" s="2">
        <f>COUNTIFS(集計用!$G222,"*, "&amp;U$3&amp;", *")</f>
        <v>0</v>
      </c>
      <c r="V224" s="2">
        <f>COUNTIFS(集計用!$G222,"*, "&amp;V$3&amp;", *")</f>
        <v>0</v>
      </c>
      <c r="W224" s="2">
        <f>COUNTIFS(集計用!$G222,"*, "&amp;W$3&amp;", *")</f>
        <v>0</v>
      </c>
      <c r="X224" s="2">
        <f>COUNTIFS(集計用!$G222,"*, "&amp;X$3&amp;", *")</f>
        <v>0</v>
      </c>
      <c r="Y224" s="2">
        <f>COUNTIFS(集計用!$G222,"*, "&amp;Y$3&amp;", *")</f>
        <v>0</v>
      </c>
      <c r="Z224" s="2">
        <f>COUNTIFS(集計用!$G222,"*, "&amp;Z$3&amp;", *")</f>
        <v>0</v>
      </c>
      <c r="AA224" s="2">
        <f>COUNTIFS(集計用!$G222,"*, "&amp;AA$3&amp;", *")</f>
        <v>0</v>
      </c>
      <c r="AB224" s="2">
        <f>COUNTIFS(集計用!$G222,"*, "&amp;AB$3&amp;", *")</f>
        <v>0</v>
      </c>
      <c r="AC224" s="2">
        <f>COUNTIFS(集計用!$G222,"*, "&amp;AC$3&amp;", *")</f>
        <v>0</v>
      </c>
      <c r="AD224" s="2">
        <f>COUNTIFS(集計用!$G222,"*, "&amp;AD$3&amp;", *")</f>
        <v>1</v>
      </c>
      <c r="AE224" s="2">
        <f>COUNTIFS(集計用!$G222,"*, "&amp;AE$3&amp;", *")</f>
        <v>0</v>
      </c>
      <c r="AF224" s="2">
        <f>COUNTIFS(集計用!$G222,"*, "&amp;AF$3&amp;", *")</f>
        <v>0</v>
      </c>
      <c r="AG224" s="2">
        <f>COUNTIFS(集計用!$G222,"*, "&amp;AG$3&amp;", *")</f>
        <v>0</v>
      </c>
      <c r="AH224" s="2">
        <f>COUNTIFS(集計用!$G222,"*, "&amp;AH$3&amp;", *")</f>
        <v>1</v>
      </c>
      <c r="AI224" s="2">
        <f>COUNTIFS(集計用!$G222,"*, "&amp;AI$3&amp;", *")</f>
        <v>0</v>
      </c>
      <c r="AJ224" s="2">
        <f>COUNTIFS(集計用!$G222,"*, "&amp;AJ$3&amp;", *")</f>
        <v>0</v>
      </c>
      <c r="AK224" s="2">
        <f>COUNTIFS(集計用!$G222,"*, "&amp;AK$3&amp;", *")</f>
        <v>0</v>
      </c>
      <c r="AL224" s="2">
        <f>COUNTIFS(集計用!$G222,"*, "&amp;AL$3&amp;", *")</f>
        <v>0</v>
      </c>
      <c r="AM224" s="2">
        <f>COUNTIFS(集計用!$G222,"*, "&amp;AM$3&amp;", *")</f>
        <v>0</v>
      </c>
      <c r="AN224" s="2">
        <f>COUNTIFS(集計用!$G222,"*, "&amp;AN$3&amp;", *")</f>
        <v>0</v>
      </c>
      <c r="AO224" s="2">
        <f>COUNTIFS(集計用!$G222,"*, "&amp;AO$3&amp;", *")</f>
        <v>0</v>
      </c>
      <c r="AP224" s="2">
        <f>COUNTIFS(集計用!$G222,"*, "&amp;AP$3&amp;", *")</f>
        <v>0</v>
      </c>
      <c r="AQ224" s="2">
        <f>COUNTIFS(集計用!$G222,"*, "&amp;AQ$3&amp;", *")</f>
        <v>0</v>
      </c>
      <c r="AR224" s="2">
        <f>COUNTIFS(集計用!$G222,"*, "&amp;AR$3&amp;", *")</f>
        <v>0</v>
      </c>
      <c r="AS224" s="2">
        <f>COUNTIFS(集計用!$G222,"*, "&amp;AS$3&amp;", *")</f>
        <v>0</v>
      </c>
      <c r="AT224" s="2">
        <f>COUNTIFS(集計用!$G222,"*, "&amp;AT$3&amp;", *")</f>
        <v>0</v>
      </c>
      <c r="AU224" s="2">
        <f>COUNTIFS(集計用!$G222,"*, "&amp;AU$3&amp;", *")</f>
        <v>0</v>
      </c>
      <c r="AV224" s="2">
        <f>COUNTIFS(集計用!$G222,"*, "&amp;AV$3&amp;", *")</f>
        <v>0</v>
      </c>
      <c r="AW224" s="2">
        <f>COUNTIFS(集計用!$G222,"*, "&amp;AW$3&amp;", *")</f>
        <v>0</v>
      </c>
      <c r="AX224" s="2">
        <f>COUNTIFS(集計用!$G222,"*, "&amp;AX$3&amp;", *")</f>
        <v>0</v>
      </c>
      <c r="AY224" s="2">
        <f>COUNTIFS(集計用!$G222,"*, "&amp;AY$3&amp;", *")</f>
        <v>0</v>
      </c>
      <c r="AZ224" s="2">
        <f>COUNTIFS(集計用!$G222,"*, "&amp;AZ$3&amp;", *")</f>
        <v>0</v>
      </c>
      <c r="BA224" s="2">
        <f>COUNTIFS(集計用!$G222,"*, "&amp;BA$3&amp;", *")</f>
        <v>0</v>
      </c>
      <c r="BB224" s="2">
        <f>COUNTIFS(集計用!$G222,"*, "&amp;BB$3&amp;", *")</f>
        <v>0</v>
      </c>
      <c r="BC224" s="2">
        <f>COUNTIFS(集計用!$G222,"*, "&amp;BC$3&amp;", *")</f>
        <v>0</v>
      </c>
      <c r="BD224" s="2">
        <f>COUNTIFS(集計用!$G222,"*, "&amp;BD$3&amp;", *")</f>
        <v>0</v>
      </c>
      <c r="BE224" s="2">
        <f>COUNTIFS(集計用!$G222,"*, "&amp;BE$3&amp;", *")</f>
        <v>0</v>
      </c>
      <c r="BF224" s="2">
        <f>COUNTIFS(集計用!$G222,"*, "&amp;BF$3&amp;", *")</f>
        <v>1</v>
      </c>
      <c r="BG224" s="2">
        <f>COUNTIFS(集計用!$G222,"*, "&amp;BG$3&amp;", *")</f>
        <v>0</v>
      </c>
      <c r="BH224" s="2">
        <f>COUNTIFS(集計用!$G222,"*, "&amp;BH$3&amp;", *")</f>
        <v>0</v>
      </c>
      <c r="BI224" s="2">
        <f>COUNTIFS(集計用!$G222,"*, "&amp;BI$3&amp;", *")</f>
        <v>0</v>
      </c>
      <c r="BJ224" s="2">
        <f>LEN(集計用!H222)-LEN(SUBSTITUTE(集計用!H222,",",""))</f>
        <v>0</v>
      </c>
    </row>
    <row r="225" spans="1:62" ht="12.75">
      <c r="A225" s="8">
        <v>222</v>
      </c>
      <c r="C225" s="2">
        <f t="shared" si="3"/>
        <v>4</v>
      </c>
      <c r="D225" s="9"/>
      <c r="E225" s="2">
        <f>COUNTIFS(集計用!$G223,"*, "&amp;E$3&amp;", *")</f>
        <v>0</v>
      </c>
      <c r="F225" s="2">
        <f>COUNTIFS(集計用!$G223,"*, "&amp;F$3&amp;", *")</f>
        <v>0</v>
      </c>
      <c r="G225" s="2">
        <f>COUNTIFS(集計用!$G223,"*, "&amp;G$3&amp;", *")</f>
        <v>1</v>
      </c>
      <c r="H225" s="2">
        <f>COUNTIFS(集計用!$G223,"*, "&amp;H$3&amp;", *")</f>
        <v>0</v>
      </c>
      <c r="I225" s="2">
        <f>COUNTIFS(集計用!$G223,"*, "&amp;I$3&amp;", *")</f>
        <v>1</v>
      </c>
      <c r="J225" s="2">
        <f>COUNTIFS(集計用!$G223,"*, "&amp;J$3&amp;", *")</f>
        <v>0</v>
      </c>
      <c r="K225" s="2">
        <f>COUNTIFS(集計用!$G223,"*, "&amp;K$3&amp;", *")</f>
        <v>0</v>
      </c>
      <c r="L225" s="2">
        <f>COUNTIFS(集計用!$G223,"*, "&amp;L$3&amp;", *")</f>
        <v>0</v>
      </c>
      <c r="M225" s="2">
        <f>COUNTIFS(集計用!$G223,"*, "&amp;M$3&amp;", *")</f>
        <v>0</v>
      </c>
      <c r="N225" s="2">
        <f>COUNTIFS(集計用!$G223,"*, "&amp;N$3&amp;", *")</f>
        <v>0</v>
      </c>
      <c r="O225" s="2">
        <f>COUNTIFS(集計用!$G223,"*, "&amp;O$3&amp;", *")</f>
        <v>0</v>
      </c>
      <c r="P225" s="2">
        <f>COUNTIFS(集計用!$G223,"*, "&amp;P$3&amp;", *")</f>
        <v>1</v>
      </c>
      <c r="Q225" s="2">
        <f>COUNTIFS(集計用!$G223,"*, "&amp;Q$3&amp;", *")</f>
        <v>0</v>
      </c>
      <c r="R225" s="2">
        <f>COUNTIFS(集計用!$G223,"*, "&amp;R$3&amp;", *")</f>
        <v>0</v>
      </c>
      <c r="S225" s="2">
        <f>COUNTIFS(集計用!$G223,"*, "&amp;S$3&amp;", *")</f>
        <v>0</v>
      </c>
      <c r="T225" s="2">
        <f>COUNTIFS(集計用!$G223,"*, "&amp;T$3&amp;", *")</f>
        <v>1</v>
      </c>
      <c r="U225" s="2">
        <f>COUNTIFS(集計用!$G223,"*, "&amp;U$3&amp;", *")</f>
        <v>0</v>
      </c>
      <c r="V225" s="2">
        <f>COUNTIFS(集計用!$G223,"*, "&amp;V$3&amp;", *")</f>
        <v>0</v>
      </c>
      <c r="W225" s="2">
        <f>COUNTIFS(集計用!$G223,"*, "&amp;W$3&amp;", *")</f>
        <v>0</v>
      </c>
      <c r="X225" s="2">
        <f>COUNTIFS(集計用!$G223,"*, "&amp;X$3&amp;", *")</f>
        <v>0</v>
      </c>
      <c r="Y225" s="2">
        <f>COUNTIFS(集計用!$G223,"*, "&amp;Y$3&amp;", *")</f>
        <v>0</v>
      </c>
      <c r="Z225" s="2">
        <f>COUNTIFS(集計用!$G223,"*, "&amp;Z$3&amp;", *")</f>
        <v>0</v>
      </c>
      <c r="AA225" s="2">
        <f>COUNTIFS(集計用!$G223,"*, "&amp;AA$3&amp;", *")</f>
        <v>0</v>
      </c>
      <c r="AB225" s="2">
        <f>COUNTIFS(集計用!$G223,"*, "&amp;AB$3&amp;", *")</f>
        <v>0</v>
      </c>
      <c r="AC225" s="2">
        <f>COUNTIFS(集計用!$G223,"*, "&amp;AC$3&amp;", *")</f>
        <v>0</v>
      </c>
      <c r="AD225" s="2">
        <f>COUNTIFS(集計用!$G223,"*, "&amp;AD$3&amp;", *")</f>
        <v>0</v>
      </c>
      <c r="AE225" s="2">
        <f>COUNTIFS(集計用!$G223,"*, "&amp;AE$3&amp;", *")</f>
        <v>0</v>
      </c>
      <c r="AF225" s="2">
        <f>COUNTIFS(集計用!$G223,"*, "&amp;AF$3&amp;", *")</f>
        <v>0</v>
      </c>
      <c r="AG225" s="2">
        <f>COUNTIFS(集計用!$G223,"*, "&amp;AG$3&amp;", *")</f>
        <v>0</v>
      </c>
      <c r="AH225" s="2">
        <f>COUNTIFS(集計用!$G223,"*, "&amp;AH$3&amp;", *")</f>
        <v>0</v>
      </c>
      <c r="AI225" s="2">
        <f>COUNTIFS(集計用!$G223,"*, "&amp;AI$3&amp;", *")</f>
        <v>0</v>
      </c>
      <c r="AJ225" s="2">
        <f>COUNTIFS(集計用!$G223,"*, "&amp;AJ$3&amp;", *")</f>
        <v>0</v>
      </c>
      <c r="AK225" s="2">
        <f>COUNTIFS(集計用!$G223,"*, "&amp;AK$3&amp;", *")</f>
        <v>0</v>
      </c>
      <c r="AL225" s="2">
        <f>COUNTIFS(集計用!$G223,"*, "&amp;AL$3&amp;", *")</f>
        <v>0</v>
      </c>
      <c r="AM225" s="2">
        <f>COUNTIFS(集計用!$G223,"*, "&amp;AM$3&amp;", *")</f>
        <v>0</v>
      </c>
      <c r="AN225" s="2">
        <f>COUNTIFS(集計用!$G223,"*, "&amp;AN$3&amp;", *")</f>
        <v>0</v>
      </c>
      <c r="AO225" s="2">
        <f>COUNTIFS(集計用!$G223,"*, "&amp;AO$3&amp;", *")</f>
        <v>0</v>
      </c>
      <c r="AP225" s="2">
        <f>COUNTIFS(集計用!$G223,"*, "&amp;AP$3&amp;", *")</f>
        <v>0</v>
      </c>
      <c r="AQ225" s="2">
        <f>COUNTIFS(集計用!$G223,"*, "&amp;AQ$3&amp;", *")</f>
        <v>0</v>
      </c>
      <c r="AR225" s="2">
        <f>COUNTIFS(集計用!$G223,"*, "&amp;AR$3&amp;", *")</f>
        <v>0</v>
      </c>
      <c r="AS225" s="2">
        <f>COUNTIFS(集計用!$G223,"*, "&amp;AS$3&amp;", *")</f>
        <v>0</v>
      </c>
      <c r="AT225" s="2">
        <f>COUNTIFS(集計用!$G223,"*, "&amp;AT$3&amp;", *")</f>
        <v>0</v>
      </c>
      <c r="AU225" s="2">
        <f>COUNTIFS(集計用!$G223,"*, "&amp;AU$3&amp;", *")</f>
        <v>0</v>
      </c>
      <c r="AV225" s="2">
        <f>COUNTIFS(集計用!$G223,"*, "&amp;AV$3&amp;", *")</f>
        <v>0</v>
      </c>
      <c r="AW225" s="2">
        <f>COUNTIFS(集計用!$G223,"*, "&amp;AW$3&amp;", *")</f>
        <v>0</v>
      </c>
      <c r="AX225" s="2">
        <f>COUNTIFS(集計用!$G223,"*, "&amp;AX$3&amp;", *")</f>
        <v>0</v>
      </c>
      <c r="AY225" s="2">
        <f>COUNTIFS(集計用!$G223,"*, "&amp;AY$3&amp;", *")</f>
        <v>0</v>
      </c>
      <c r="AZ225" s="2">
        <f>COUNTIFS(集計用!$G223,"*, "&amp;AZ$3&amp;", *")</f>
        <v>0</v>
      </c>
      <c r="BA225" s="2">
        <f>COUNTIFS(集計用!$G223,"*, "&amp;BA$3&amp;", *")</f>
        <v>0</v>
      </c>
      <c r="BB225" s="2">
        <f>COUNTIFS(集計用!$G223,"*, "&amp;BB$3&amp;", *")</f>
        <v>0</v>
      </c>
      <c r="BC225" s="2">
        <f>COUNTIFS(集計用!$G223,"*, "&amp;BC$3&amp;", *")</f>
        <v>0</v>
      </c>
      <c r="BD225" s="2">
        <f>COUNTIFS(集計用!$G223,"*, "&amp;BD$3&amp;", *")</f>
        <v>0</v>
      </c>
      <c r="BE225" s="2">
        <f>COUNTIFS(集計用!$G223,"*, "&amp;BE$3&amp;", *")</f>
        <v>0</v>
      </c>
      <c r="BF225" s="2">
        <f>COUNTIFS(集計用!$G223,"*, "&amp;BF$3&amp;", *")</f>
        <v>0</v>
      </c>
      <c r="BG225" s="2">
        <f>COUNTIFS(集計用!$G223,"*, "&amp;BG$3&amp;", *")</f>
        <v>0</v>
      </c>
      <c r="BH225" s="2">
        <f>COUNTIFS(集計用!$G223,"*, "&amp;BH$3&amp;", *")</f>
        <v>0</v>
      </c>
      <c r="BI225" s="2">
        <f>COUNTIFS(集計用!$G223,"*, "&amp;BI$3&amp;", *")</f>
        <v>0</v>
      </c>
      <c r="BJ225" s="2">
        <f>LEN(集計用!H223)-LEN(SUBSTITUTE(集計用!H223,",",""))</f>
        <v>0</v>
      </c>
    </row>
    <row r="226" spans="1:62" ht="12.75">
      <c r="A226" s="8">
        <v>223</v>
      </c>
      <c r="C226" s="2">
        <f t="shared" si="3"/>
        <v>2</v>
      </c>
      <c r="D226" s="9"/>
      <c r="E226" s="2">
        <f>COUNTIFS(集計用!$G224,"*, "&amp;E$3&amp;", *")</f>
        <v>0</v>
      </c>
      <c r="F226" s="2">
        <f>COUNTIFS(集計用!$G224,"*, "&amp;F$3&amp;", *")</f>
        <v>0</v>
      </c>
      <c r="G226" s="2">
        <f>COUNTIFS(集計用!$G224,"*, "&amp;G$3&amp;", *")</f>
        <v>0</v>
      </c>
      <c r="H226" s="2">
        <f>COUNTIFS(集計用!$G224,"*, "&amp;H$3&amp;", *")</f>
        <v>0</v>
      </c>
      <c r="I226" s="2">
        <f>COUNTIFS(集計用!$G224,"*, "&amp;I$3&amp;", *")</f>
        <v>0</v>
      </c>
      <c r="J226" s="2">
        <f>COUNTIFS(集計用!$G224,"*, "&amp;J$3&amp;", *")</f>
        <v>0</v>
      </c>
      <c r="K226" s="2">
        <f>COUNTIFS(集計用!$G224,"*, "&amp;K$3&amp;", *")</f>
        <v>0</v>
      </c>
      <c r="L226" s="2">
        <f>COUNTIFS(集計用!$G224,"*, "&amp;L$3&amp;", *")</f>
        <v>0</v>
      </c>
      <c r="M226" s="2">
        <f>COUNTIFS(集計用!$G224,"*, "&amp;M$3&amp;", *")</f>
        <v>0</v>
      </c>
      <c r="N226" s="2">
        <f>COUNTIFS(集計用!$G224,"*, "&amp;N$3&amp;", *")</f>
        <v>0</v>
      </c>
      <c r="O226" s="2">
        <f>COUNTIFS(集計用!$G224,"*, "&amp;O$3&amp;", *")</f>
        <v>0</v>
      </c>
      <c r="P226" s="2">
        <f>COUNTIFS(集計用!$G224,"*, "&amp;P$3&amp;", *")</f>
        <v>0</v>
      </c>
      <c r="Q226" s="2">
        <f>COUNTIFS(集計用!$G224,"*, "&amp;Q$3&amp;", *")</f>
        <v>0</v>
      </c>
      <c r="R226" s="2">
        <f>COUNTIFS(集計用!$G224,"*, "&amp;R$3&amp;", *")</f>
        <v>0</v>
      </c>
      <c r="S226" s="2">
        <f>COUNTIFS(集計用!$G224,"*, "&amp;S$3&amp;", *")</f>
        <v>0</v>
      </c>
      <c r="T226" s="2">
        <f>COUNTIFS(集計用!$G224,"*, "&amp;T$3&amp;", *")</f>
        <v>0</v>
      </c>
      <c r="U226" s="2">
        <f>COUNTIFS(集計用!$G224,"*, "&amp;U$3&amp;", *")</f>
        <v>0</v>
      </c>
      <c r="V226" s="2">
        <f>COUNTIFS(集計用!$G224,"*, "&amp;V$3&amp;", *")</f>
        <v>0</v>
      </c>
      <c r="W226" s="2">
        <f>COUNTIFS(集計用!$G224,"*, "&amp;W$3&amp;", *")</f>
        <v>0</v>
      </c>
      <c r="X226" s="2">
        <f>COUNTIFS(集計用!$G224,"*, "&amp;X$3&amp;", *")</f>
        <v>0</v>
      </c>
      <c r="Y226" s="2">
        <f>COUNTIFS(集計用!$G224,"*, "&amp;Y$3&amp;", *")</f>
        <v>0</v>
      </c>
      <c r="Z226" s="2">
        <f>COUNTIFS(集計用!$G224,"*, "&amp;Z$3&amp;", *")</f>
        <v>1</v>
      </c>
      <c r="AA226" s="2">
        <f>COUNTIFS(集計用!$G224,"*, "&amp;AA$3&amp;", *")</f>
        <v>0</v>
      </c>
      <c r="AB226" s="2">
        <f>COUNTIFS(集計用!$G224,"*, "&amp;AB$3&amp;", *")</f>
        <v>0</v>
      </c>
      <c r="AC226" s="2">
        <f>COUNTIFS(集計用!$G224,"*, "&amp;AC$3&amp;", *")</f>
        <v>0</v>
      </c>
      <c r="AD226" s="2">
        <f>COUNTIFS(集計用!$G224,"*, "&amp;AD$3&amp;", *")</f>
        <v>0</v>
      </c>
      <c r="AE226" s="2">
        <f>COUNTIFS(集計用!$G224,"*, "&amp;AE$3&amp;", *")</f>
        <v>1</v>
      </c>
      <c r="AF226" s="2">
        <f>COUNTIFS(集計用!$G224,"*, "&amp;AF$3&amp;", *")</f>
        <v>0</v>
      </c>
      <c r="AG226" s="2">
        <f>COUNTIFS(集計用!$G224,"*, "&amp;AG$3&amp;", *")</f>
        <v>0</v>
      </c>
      <c r="AH226" s="2">
        <f>COUNTIFS(集計用!$G224,"*, "&amp;AH$3&amp;", *")</f>
        <v>0</v>
      </c>
      <c r="AI226" s="2">
        <f>COUNTIFS(集計用!$G224,"*, "&amp;AI$3&amp;", *")</f>
        <v>0</v>
      </c>
      <c r="AJ226" s="2">
        <f>COUNTIFS(集計用!$G224,"*, "&amp;AJ$3&amp;", *")</f>
        <v>0</v>
      </c>
      <c r="AK226" s="2">
        <f>COUNTIFS(集計用!$G224,"*, "&amp;AK$3&amp;", *")</f>
        <v>0</v>
      </c>
      <c r="AL226" s="2">
        <f>COUNTIFS(集計用!$G224,"*, "&amp;AL$3&amp;", *")</f>
        <v>0</v>
      </c>
      <c r="AM226" s="2">
        <f>COUNTIFS(集計用!$G224,"*, "&amp;AM$3&amp;", *")</f>
        <v>0</v>
      </c>
      <c r="AN226" s="2">
        <f>COUNTIFS(集計用!$G224,"*, "&amp;AN$3&amp;", *")</f>
        <v>0</v>
      </c>
      <c r="AO226" s="2">
        <f>COUNTIFS(集計用!$G224,"*, "&amp;AO$3&amp;", *")</f>
        <v>0</v>
      </c>
      <c r="AP226" s="2">
        <f>COUNTIFS(集計用!$G224,"*, "&amp;AP$3&amp;", *")</f>
        <v>0</v>
      </c>
      <c r="AQ226" s="2">
        <f>COUNTIFS(集計用!$G224,"*, "&amp;AQ$3&amp;", *")</f>
        <v>0</v>
      </c>
      <c r="AR226" s="2">
        <f>COUNTIFS(集計用!$G224,"*, "&amp;AR$3&amp;", *")</f>
        <v>0</v>
      </c>
      <c r="AS226" s="2">
        <f>COUNTIFS(集計用!$G224,"*, "&amp;AS$3&amp;", *")</f>
        <v>0</v>
      </c>
      <c r="AT226" s="2">
        <f>COUNTIFS(集計用!$G224,"*, "&amp;AT$3&amp;", *")</f>
        <v>0</v>
      </c>
      <c r="AU226" s="2">
        <f>COUNTIFS(集計用!$G224,"*, "&amp;AU$3&amp;", *")</f>
        <v>0</v>
      </c>
      <c r="AV226" s="2">
        <f>COUNTIFS(集計用!$G224,"*, "&amp;AV$3&amp;", *")</f>
        <v>0</v>
      </c>
      <c r="AW226" s="2">
        <f>COUNTIFS(集計用!$G224,"*, "&amp;AW$3&amp;", *")</f>
        <v>0</v>
      </c>
      <c r="AX226" s="2">
        <f>COUNTIFS(集計用!$G224,"*, "&amp;AX$3&amp;", *")</f>
        <v>0</v>
      </c>
      <c r="AY226" s="2">
        <f>COUNTIFS(集計用!$G224,"*, "&amp;AY$3&amp;", *")</f>
        <v>0</v>
      </c>
      <c r="AZ226" s="2">
        <f>COUNTIFS(集計用!$G224,"*, "&amp;AZ$3&amp;", *")</f>
        <v>0</v>
      </c>
      <c r="BA226" s="2">
        <f>COUNTIFS(集計用!$G224,"*, "&amp;BA$3&amp;", *")</f>
        <v>0</v>
      </c>
      <c r="BB226" s="2">
        <f>COUNTIFS(集計用!$G224,"*, "&amp;BB$3&amp;", *")</f>
        <v>0</v>
      </c>
      <c r="BC226" s="2">
        <f>COUNTIFS(集計用!$G224,"*, "&amp;BC$3&amp;", *")</f>
        <v>0</v>
      </c>
      <c r="BD226" s="2">
        <f>COUNTIFS(集計用!$G224,"*, "&amp;BD$3&amp;", *")</f>
        <v>0</v>
      </c>
      <c r="BE226" s="2">
        <f>COUNTIFS(集計用!$G224,"*, "&amp;BE$3&amp;", *")</f>
        <v>0</v>
      </c>
      <c r="BF226" s="2">
        <f>COUNTIFS(集計用!$G224,"*, "&amp;BF$3&amp;", *")</f>
        <v>0</v>
      </c>
      <c r="BG226" s="2">
        <f>COUNTIFS(集計用!$G224,"*, "&amp;BG$3&amp;", *")</f>
        <v>0</v>
      </c>
      <c r="BH226" s="2">
        <f>COUNTIFS(集計用!$G224,"*, "&amp;BH$3&amp;", *")</f>
        <v>0</v>
      </c>
      <c r="BI226" s="2">
        <f>COUNTIFS(集計用!$G224,"*, "&amp;BI$3&amp;", *")</f>
        <v>0</v>
      </c>
      <c r="BJ226" s="2">
        <f>LEN(集計用!H224)-LEN(SUBSTITUTE(集計用!H224,",",""))</f>
        <v>0</v>
      </c>
    </row>
    <row r="227" spans="1:62" ht="12.75">
      <c r="A227" s="8">
        <v>224</v>
      </c>
      <c r="C227" s="2">
        <f t="shared" si="3"/>
        <v>8</v>
      </c>
      <c r="D227" s="9"/>
      <c r="E227" s="2">
        <f>COUNTIFS(集計用!$G225,"*, "&amp;E$3&amp;", *")</f>
        <v>0</v>
      </c>
      <c r="F227" s="2">
        <f>COUNTIFS(集計用!$G225,"*, "&amp;F$3&amp;", *")</f>
        <v>0</v>
      </c>
      <c r="G227" s="2">
        <f>COUNTIFS(集計用!$G225,"*, "&amp;G$3&amp;", *")</f>
        <v>0</v>
      </c>
      <c r="H227" s="2">
        <f>COUNTIFS(集計用!$G225,"*, "&amp;H$3&amp;", *")</f>
        <v>0</v>
      </c>
      <c r="I227" s="2">
        <f>COUNTIFS(集計用!$G225,"*, "&amp;I$3&amp;", *")</f>
        <v>0</v>
      </c>
      <c r="J227" s="2">
        <f>COUNTIFS(集計用!$G225,"*, "&amp;J$3&amp;", *")</f>
        <v>0</v>
      </c>
      <c r="K227" s="2">
        <f>COUNTIFS(集計用!$G225,"*, "&amp;K$3&amp;", *")</f>
        <v>0</v>
      </c>
      <c r="L227" s="2">
        <f>COUNTIFS(集計用!$G225,"*, "&amp;L$3&amp;", *")</f>
        <v>0</v>
      </c>
      <c r="M227" s="2">
        <f>COUNTIFS(集計用!$G225,"*, "&amp;M$3&amp;", *")</f>
        <v>0</v>
      </c>
      <c r="N227" s="2">
        <f>COUNTIFS(集計用!$G225,"*, "&amp;N$3&amp;", *")</f>
        <v>0</v>
      </c>
      <c r="O227" s="2">
        <f>COUNTIFS(集計用!$G225,"*, "&amp;O$3&amp;", *")</f>
        <v>1</v>
      </c>
      <c r="P227" s="2">
        <f>COUNTIFS(集計用!$G225,"*, "&amp;P$3&amp;", *")</f>
        <v>0</v>
      </c>
      <c r="Q227" s="2">
        <f>COUNTIFS(集計用!$G225,"*, "&amp;Q$3&amp;", *")</f>
        <v>0</v>
      </c>
      <c r="R227" s="2">
        <f>COUNTIFS(集計用!$G225,"*, "&amp;R$3&amp;", *")</f>
        <v>0</v>
      </c>
      <c r="S227" s="2">
        <f>COUNTIFS(集計用!$G225,"*, "&amp;S$3&amp;", *")</f>
        <v>0</v>
      </c>
      <c r="T227" s="2">
        <f>COUNTIFS(集計用!$G225,"*, "&amp;T$3&amp;", *")</f>
        <v>0</v>
      </c>
      <c r="U227" s="2">
        <f>COUNTIFS(集計用!$G225,"*, "&amp;U$3&amp;", *")</f>
        <v>1</v>
      </c>
      <c r="V227" s="2">
        <f>COUNTIFS(集計用!$G225,"*, "&amp;V$3&amp;", *")</f>
        <v>1</v>
      </c>
      <c r="W227" s="2">
        <f>COUNTIFS(集計用!$G225,"*, "&amp;W$3&amp;", *")</f>
        <v>0</v>
      </c>
      <c r="X227" s="2">
        <f>COUNTIFS(集計用!$G225,"*, "&amp;X$3&amp;", *")</f>
        <v>0</v>
      </c>
      <c r="Y227" s="2">
        <f>COUNTIFS(集計用!$G225,"*, "&amp;Y$3&amp;", *")</f>
        <v>0</v>
      </c>
      <c r="Z227" s="2">
        <f>COUNTIFS(集計用!$G225,"*, "&amp;Z$3&amp;", *")</f>
        <v>1</v>
      </c>
      <c r="AA227" s="2">
        <f>COUNTIFS(集計用!$G225,"*, "&amp;AA$3&amp;", *")</f>
        <v>0</v>
      </c>
      <c r="AB227" s="2">
        <f>COUNTIFS(集計用!$G225,"*, "&amp;AB$3&amp;", *")</f>
        <v>0</v>
      </c>
      <c r="AC227" s="2">
        <f>COUNTIFS(集計用!$G225,"*, "&amp;AC$3&amp;", *")</f>
        <v>0</v>
      </c>
      <c r="AD227" s="2">
        <f>COUNTIFS(集計用!$G225,"*, "&amp;AD$3&amp;", *")</f>
        <v>0</v>
      </c>
      <c r="AE227" s="2">
        <f>COUNTIFS(集計用!$G225,"*, "&amp;AE$3&amp;", *")</f>
        <v>0</v>
      </c>
      <c r="AF227" s="2">
        <f>COUNTIFS(集計用!$G225,"*, "&amp;AF$3&amp;", *")</f>
        <v>0</v>
      </c>
      <c r="AG227" s="2">
        <f>COUNTIFS(集計用!$G225,"*, "&amp;AG$3&amp;", *")</f>
        <v>1</v>
      </c>
      <c r="AH227" s="2">
        <f>COUNTIFS(集計用!$G225,"*, "&amp;AH$3&amp;", *")</f>
        <v>0</v>
      </c>
      <c r="AI227" s="2">
        <f>COUNTIFS(集計用!$G225,"*, "&amp;AI$3&amp;", *")</f>
        <v>0</v>
      </c>
      <c r="AJ227" s="2">
        <f>COUNTIFS(集計用!$G225,"*, "&amp;AJ$3&amp;", *")</f>
        <v>0</v>
      </c>
      <c r="AK227" s="2">
        <f>COUNTIFS(集計用!$G225,"*, "&amp;AK$3&amp;", *")</f>
        <v>0</v>
      </c>
      <c r="AL227" s="2">
        <f>COUNTIFS(集計用!$G225,"*, "&amp;AL$3&amp;", *")</f>
        <v>0</v>
      </c>
      <c r="AM227" s="2">
        <f>COUNTIFS(集計用!$G225,"*, "&amp;AM$3&amp;", *")</f>
        <v>0</v>
      </c>
      <c r="AN227" s="2">
        <f>COUNTIFS(集計用!$G225,"*, "&amp;AN$3&amp;", *")</f>
        <v>0</v>
      </c>
      <c r="AO227" s="2">
        <f>COUNTIFS(集計用!$G225,"*, "&amp;AO$3&amp;", *")</f>
        <v>0</v>
      </c>
      <c r="AP227" s="2">
        <f>COUNTIFS(集計用!$G225,"*, "&amp;AP$3&amp;", *")</f>
        <v>0</v>
      </c>
      <c r="AQ227" s="2">
        <f>COUNTIFS(集計用!$G225,"*, "&amp;AQ$3&amp;", *")</f>
        <v>1</v>
      </c>
      <c r="AR227" s="2">
        <f>COUNTIFS(集計用!$G225,"*, "&amp;AR$3&amp;", *")</f>
        <v>0</v>
      </c>
      <c r="AS227" s="2">
        <f>COUNTIFS(集計用!$G225,"*, "&amp;AS$3&amp;", *")</f>
        <v>0</v>
      </c>
      <c r="AT227" s="2">
        <f>COUNTIFS(集計用!$G225,"*, "&amp;AT$3&amp;", *")</f>
        <v>0</v>
      </c>
      <c r="AU227" s="2">
        <f>COUNTIFS(集計用!$G225,"*, "&amp;AU$3&amp;", *")</f>
        <v>0</v>
      </c>
      <c r="AV227" s="2">
        <f>COUNTIFS(集計用!$G225,"*, "&amp;AV$3&amp;", *")</f>
        <v>0</v>
      </c>
      <c r="AW227" s="2">
        <f>COUNTIFS(集計用!$G225,"*, "&amp;AW$3&amp;", *")</f>
        <v>0</v>
      </c>
      <c r="AX227" s="2">
        <f>COUNTIFS(集計用!$G225,"*, "&amp;AX$3&amp;", *")</f>
        <v>0</v>
      </c>
      <c r="AY227" s="2">
        <f>COUNTIFS(集計用!$G225,"*, "&amp;AY$3&amp;", *")</f>
        <v>0</v>
      </c>
      <c r="AZ227" s="2">
        <f>COUNTIFS(集計用!$G225,"*, "&amp;AZ$3&amp;", *")</f>
        <v>0</v>
      </c>
      <c r="BA227" s="2">
        <f>COUNTIFS(集計用!$G225,"*, "&amp;BA$3&amp;", *")</f>
        <v>0</v>
      </c>
      <c r="BB227" s="2">
        <f>COUNTIFS(集計用!$G225,"*, "&amp;BB$3&amp;", *")</f>
        <v>1</v>
      </c>
      <c r="BC227" s="2">
        <f>COUNTIFS(集計用!$G225,"*, "&amp;BC$3&amp;", *")</f>
        <v>0</v>
      </c>
      <c r="BD227" s="2">
        <f>COUNTIFS(集計用!$G225,"*, "&amp;BD$3&amp;", *")</f>
        <v>0</v>
      </c>
      <c r="BE227" s="2">
        <f>COUNTIFS(集計用!$G225,"*, "&amp;BE$3&amp;", *")</f>
        <v>0</v>
      </c>
      <c r="BF227" s="2">
        <f>COUNTIFS(集計用!$G225,"*, "&amp;BF$3&amp;", *")</f>
        <v>0</v>
      </c>
      <c r="BG227" s="2">
        <f>COUNTIFS(集計用!$G225,"*, "&amp;BG$3&amp;", *")</f>
        <v>0</v>
      </c>
      <c r="BH227" s="2">
        <f>COUNTIFS(集計用!$G225,"*, "&amp;BH$3&amp;", *")</f>
        <v>0</v>
      </c>
      <c r="BI227" s="2">
        <f>COUNTIFS(集計用!$G225,"*, "&amp;BI$3&amp;", *")</f>
        <v>1</v>
      </c>
      <c r="BJ227" s="2">
        <f>LEN(集計用!H225)-LEN(SUBSTITUTE(集計用!H225,",",""))</f>
        <v>0</v>
      </c>
    </row>
    <row r="228" spans="1:62" ht="12.75">
      <c r="A228" s="8">
        <v>225</v>
      </c>
      <c r="C228" s="2">
        <f t="shared" si="3"/>
        <v>4</v>
      </c>
      <c r="D228" s="9"/>
      <c r="E228" s="2">
        <f>COUNTIFS(集計用!$G226,"*, "&amp;E$3&amp;", *")</f>
        <v>0</v>
      </c>
      <c r="F228" s="2">
        <f>COUNTIFS(集計用!$G226,"*, "&amp;F$3&amp;", *")</f>
        <v>0</v>
      </c>
      <c r="G228" s="2">
        <f>COUNTIFS(集計用!$G226,"*, "&amp;G$3&amp;", *")</f>
        <v>0</v>
      </c>
      <c r="H228" s="2">
        <f>COUNTIFS(集計用!$G226,"*, "&amp;H$3&amp;", *")</f>
        <v>0</v>
      </c>
      <c r="I228" s="2">
        <f>COUNTIFS(集計用!$G226,"*, "&amp;I$3&amp;", *")</f>
        <v>0</v>
      </c>
      <c r="J228" s="2">
        <f>COUNTIFS(集計用!$G226,"*, "&amp;J$3&amp;", *")</f>
        <v>0</v>
      </c>
      <c r="K228" s="2">
        <f>COUNTIFS(集計用!$G226,"*, "&amp;K$3&amp;", *")</f>
        <v>0</v>
      </c>
      <c r="L228" s="2">
        <f>COUNTIFS(集計用!$G226,"*, "&amp;L$3&amp;", *")</f>
        <v>0</v>
      </c>
      <c r="M228" s="2">
        <f>COUNTIFS(集計用!$G226,"*, "&amp;M$3&amp;", *")</f>
        <v>0</v>
      </c>
      <c r="N228" s="2">
        <f>COUNTIFS(集計用!$G226,"*, "&amp;N$3&amp;", *")</f>
        <v>0</v>
      </c>
      <c r="O228" s="2">
        <f>COUNTIFS(集計用!$G226,"*, "&amp;O$3&amp;", *")</f>
        <v>0</v>
      </c>
      <c r="P228" s="2">
        <f>COUNTIFS(集計用!$G226,"*, "&amp;P$3&amp;", *")</f>
        <v>1</v>
      </c>
      <c r="Q228" s="2">
        <f>COUNTIFS(集計用!$G226,"*, "&amp;Q$3&amp;", *")</f>
        <v>1</v>
      </c>
      <c r="R228" s="2">
        <f>COUNTIFS(集計用!$G226,"*, "&amp;R$3&amp;", *")</f>
        <v>0</v>
      </c>
      <c r="S228" s="2">
        <f>COUNTIFS(集計用!$G226,"*, "&amp;S$3&amp;", *")</f>
        <v>1</v>
      </c>
      <c r="T228" s="2">
        <f>COUNTIFS(集計用!$G226,"*, "&amp;T$3&amp;", *")</f>
        <v>0</v>
      </c>
      <c r="U228" s="2">
        <f>COUNTIFS(集計用!$G226,"*, "&amp;U$3&amp;", *")</f>
        <v>0</v>
      </c>
      <c r="V228" s="2">
        <f>COUNTIFS(集計用!$G226,"*, "&amp;V$3&amp;", *")</f>
        <v>0</v>
      </c>
      <c r="W228" s="2">
        <f>COUNTIFS(集計用!$G226,"*, "&amp;W$3&amp;", *")</f>
        <v>0</v>
      </c>
      <c r="X228" s="2">
        <f>COUNTIFS(集計用!$G226,"*, "&amp;X$3&amp;", *")</f>
        <v>0</v>
      </c>
      <c r="Y228" s="2">
        <f>COUNTIFS(集計用!$G226,"*, "&amp;Y$3&amp;", *")</f>
        <v>0</v>
      </c>
      <c r="Z228" s="2">
        <f>COUNTIFS(集計用!$G226,"*, "&amp;Z$3&amp;", *")</f>
        <v>0</v>
      </c>
      <c r="AA228" s="2">
        <f>COUNTIFS(集計用!$G226,"*, "&amp;AA$3&amp;", *")</f>
        <v>0</v>
      </c>
      <c r="AB228" s="2">
        <f>COUNTIFS(集計用!$G226,"*, "&amp;AB$3&amp;", *")</f>
        <v>0</v>
      </c>
      <c r="AC228" s="2">
        <f>COUNTIFS(集計用!$G226,"*, "&amp;AC$3&amp;", *")</f>
        <v>0</v>
      </c>
      <c r="AD228" s="2">
        <f>COUNTIFS(集計用!$G226,"*, "&amp;AD$3&amp;", *")</f>
        <v>0</v>
      </c>
      <c r="AE228" s="2">
        <f>COUNTIFS(集計用!$G226,"*, "&amp;AE$3&amp;", *")</f>
        <v>0</v>
      </c>
      <c r="AF228" s="2">
        <f>COUNTIFS(集計用!$G226,"*, "&amp;AF$3&amp;", *")</f>
        <v>0</v>
      </c>
      <c r="AG228" s="2">
        <f>COUNTIFS(集計用!$G226,"*, "&amp;AG$3&amp;", *")</f>
        <v>0</v>
      </c>
      <c r="AH228" s="2">
        <f>COUNTIFS(集計用!$G226,"*, "&amp;AH$3&amp;", *")</f>
        <v>0</v>
      </c>
      <c r="AI228" s="2">
        <f>COUNTIFS(集計用!$G226,"*, "&amp;AI$3&amp;", *")</f>
        <v>0</v>
      </c>
      <c r="AJ228" s="2">
        <f>COUNTIFS(集計用!$G226,"*, "&amp;AJ$3&amp;", *")</f>
        <v>0</v>
      </c>
      <c r="AK228" s="2">
        <f>COUNTIFS(集計用!$G226,"*, "&amp;AK$3&amp;", *")</f>
        <v>0</v>
      </c>
      <c r="AL228" s="2">
        <f>COUNTIFS(集計用!$G226,"*, "&amp;AL$3&amp;", *")</f>
        <v>0</v>
      </c>
      <c r="AM228" s="2">
        <f>COUNTIFS(集計用!$G226,"*, "&amp;AM$3&amp;", *")</f>
        <v>0</v>
      </c>
      <c r="AN228" s="2">
        <f>COUNTIFS(集計用!$G226,"*, "&amp;AN$3&amp;", *")</f>
        <v>0</v>
      </c>
      <c r="AO228" s="2">
        <f>COUNTIFS(集計用!$G226,"*, "&amp;AO$3&amp;", *")</f>
        <v>0</v>
      </c>
      <c r="AP228" s="2">
        <f>COUNTIFS(集計用!$G226,"*, "&amp;AP$3&amp;", *")</f>
        <v>0</v>
      </c>
      <c r="AQ228" s="2">
        <f>COUNTIFS(集計用!$G226,"*, "&amp;AQ$3&amp;", *")</f>
        <v>0</v>
      </c>
      <c r="AR228" s="2">
        <f>COUNTIFS(集計用!$G226,"*, "&amp;AR$3&amp;", *")</f>
        <v>0</v>
      </c>
      <c r="AS228" s="2">
        <f>COUNTIFS(集計用!$G226,"*, "&amp;AS$3&amp;", *")</f>
        <v>0</v>
      </c>
      <c r="AT228" s="2">
        <f>COUNTIFS(集計用!$G226,"*, "&amp;AT$3&amp;", *")</f>
        <v>0</v>
      </c>
      <c r="AU228" s="2">
        <f>COUNTIFS(集計用!$G226,"*, "&amp;AU$3&amp;", *")</f>
        <v>0</v>
      </c>
      <c r="AV228" s="2">
        <f>COUNTIFS(集計用!$G226,"*, "&amp;AV$3&amp;", *")</f>
        <v>0</v>
      </c>
      <c r="AW228" s="2">
        <f>COUNTIFS(集計用!$G226,"*, "&amp;AW$3&amp;", *")</f>
        <v>0</v>
      </c>
      <c r="AX228" s="2">
        <f>COUNTIFS(集計用!$G226,"*, "&amp;AX$3&amp;", *")</f>
        <v>0</v>
      </c>
      <c r="AY228" s="2">
        <f>COUNTIFS(集計用!$G226,"*, "&amp;AY$3&amp;", *")</f>
        <v>0</v>
      </c>
      <c r="AZ228" s="2">
        <f>COUNTIFS(集計用!$G226,"*, "&amp;AZ$3&amp;", *")</f>
        <v>0</v>
      </c>
      <c r="BA228" s="2">
        <f>COUNTIFS(集計用!$G226,"*, "&amp;BA$3&amp;", *")</f>
        <v>0</v>
      </c>
      <c r="BB228" s="2">
        <f>COUNTIFS(集計用!$G226,"*, "&amp;BB$3&amp;", *")</f>
        <v>1</v>
      </c>
      <c r="BC228" s="2">
        <f>COUNTIFS(集計用!$G226,"*, "&amp;BC$3&amp;", *")</f>
        <v>0</v>
      </c>
      <c r="BD228" s="2">
        <f>COUNTIFS(集計用!$G226,"*, "&amp;BD$3&amp;", *")</f>
        <v>0</v>
      </c>
      <c r="BE228" s="2">
        <f>COUNTIFS(集計用!$G226,"*, "&amp;BE$3&amp;", *")</f>
        <v>0</v>
      </c>
      <c r="BF228" s="2">
        <f>COUNTIFS(集計用!$G226,"*, "&amp;BF$3&amp;", *")</f>
        <v>0</v>
      </c>
      <c r="BG228" s="2">
        <f>COUNTIFS(集計用!$G226,"*, "&amp;BG$3&amp;", *")</f>
        <v>0</v>
      </c>
      <c r="BH228" s="2">
        <f>COUNTIFS(集計用!$G226,"*, "&amp;BH$3&amp;", *")</f>
        <v>0</v>
      </c>
      <c r="BI228" s="2">
        <f>COUNTIFS(集計用!$G226,"*, "&amp;BI$3&amp;", *")</f>
        <v>0</v>
      </c>
      <c r="BJ228" s="2">
        <f>LEN(集計用!H226)-LEN(SUBSTITUTE(集計用!H226,",",""))</f>
        <v>0</v>
      </c>
    </row>
    <row r="229" spans="1:62" ht="12.75">
      <c r="A229" s="8">
        <v>226</v>
      </c>
      <c r="C229" s="2">
        <f t="shared" si="3"/>
        <v>1</v>
      </c>
      <c r="D229" s="9"/>
      <c r="E229" s="2">
        <f>COUNTIFS(集計用!$G227,"*, "&amp;E$3&amp;", *")</f>
        <v>0</v>
      </c>
      <c r="F229" s="2">
        <f>COUNTIFS(集計用!$G227,"*, "&amp;F$3&amp;", *")</f>
        <v>0</v>
      </c>
      <c r="G229" s="2">
        <f>COUNTIFS(集計用!$G227,"*, "&amp;G$3&amp;", *")</f>
        <v>0</v>
      </c>
      <c r="H229" s="2">
        <f>COUNTIFS(集計用!$G227,"*, "&amp;H$3&amp;", *")</f>
        <v>0</v>
      </c>
      <c r="I229" s="2">
        <f>COUNTIFS(集計用!$G227,"*, "&amp;I$3&amp;", *")</f>
        <v>0</v>
      </c>
      <c r="J229" s="2">
        <f>COUNTIFS(集計用!$G227,"*, "&amp;J$3&amp;", *")</f>
        <v>0</v>
      </c>
      <c r="K229" s="2">
        <f>COUNTIFS(集計用!$G227,"*, "&amp;K$3&amp;", *")</f>
        <v>0</v>
      </c>
      <c r="L229" s="2">
        <f>COUNTIFS(集計用!$G227,"*, "&amp;L$3&amp;", *")</f>
        <v>0</v>
      </c>
      <c r="M229" s="2">
        <f>COUNTIFS(集計用!$G227,"*, "&amp;M$3&amp;", *")</f>
        <v>0</v>
      </c>
      <c r="N229" s="2">
        <f>COUNTIFS(集計用!$G227,"*, "&amp;N$3&amp;", *")</f>
        <v>0</v>
      </c>
      <c r="O229" s="2">
        <f>COUNTIFS(集計用!$G227,"*, "&amp;O$3&amp;", *")</f>
        <v>1</v>
      </c>
      <c r="P229" s="2">
        <f>COUNTIFS(集計用!$G227,"*, "&amp;P$3&amp;", *")</f>
        <v>0</v>
      </c>
      <c r="Q229" s="2">
        <f>COUNTIFS(集計用!$G227,"*, "&amp;Q$3&amp;", *")</f>
        <v>0</v>
      </c>
      <c r="R229" s="2">
        <f>COUNTIFS(集計用!$G227,"*, "&amp;R$3&amp;", *")</f>
        <v>0</v>
      </c>
      <c r="S229" s="2">
        <f>COUNTIFS(集計用!$G227,"*, "&amp;S$3&amp;", *")</f>
        <v>0</v>
      </c>
      <c r="T229" s="2">
        <f>COUNTIFS(集計用!$G227,"*, "&amp;T$3&amp;", *")</f>
        <v>0</v>
      </c>
      <c r="U229" s="2">
        <f>COUNTIFS(集計用!$G227,"*, "&amp;U$3&amp;", *")</f>
        <v>0</v>
      </c>
      <c r="V229" s="2">
        <f>COUNTIFS(集計用!$G227,"*, "&amp;V$3&amp;", *")</f>
        <v>0</v>
      </c>
      <c r="W229" s="2">
        <f>COUNTIFS(集計用!$G227,"*, "&amp;W$3&amp;", *")</f>
        <v>0</v>
      </c>
      <c r="X229" s="2">
        <f>COUNTIFS(集計用!$G227,"*, "&amp;X$3&amp;", *")</f>
        <v>0</v>
      </c>
      <c r="Y229" s="2">
        <f>COUNTIFS(集計用!$G227,"*, "&amp;Y$3&amp;", *")</f>
        <v>0</v>
      </c>
      <c r="Z229" s="2">
        <f>COUNTIFS(集計用!$G227,"*, "&amp;Z$3&amp;", *")</f>
        <v>0</v>
      </c>
      <c r="AA229" s="2">
        <f>COUNTIFS(集計用!$G227,"*, "&amp;AA$3&amp;", *")</f>
        <v>0</v>
      </c>
      <c r="AB229" s="2">
        <f>COUNTIFS(集計用!$G227,"*, "&amp;AB$3&amp;", *")</f>
        <v>0</v>
      </c>
      <c r="AC229" s="2">
        <f>COUNTIFS(集計用!$G227,"*, "&amp;AC$3&amp;", *")</f>
        <v>0</v>
      </c>
      <c r="AD229" s="2">
        <f>COUNTIFS(集計用!$G227,"*, "&amp;AD$3&amp;", *")</f>
        <v>0</v>
      </c>
      <c r="AE229" s="2">
        <f>COUNTIFS(集計用!$G227,"*, "&amp;AE$3&amp;", *")</f>
        <v>0</v>
      </c>
      <c r="AF229" s="2">
        <f>COUNTIFS(集計用!$G227,"*, "&amp;AF$3&amp;", *")</f>
        <v>0</v>
      </c>
      <c r="AG229" s="2">
        <f>COUNTIFS(集計用!$G227,"*, "&amp;AG$3&amp;", *")</f>
        <v>0</v>
      </c>
      <c r="AH229" s="2">
        <f>COUNTIFS(集計用!$G227,"*, "&amp;AH$3&amp;", *")</f>
        <v>0</v>
      </c>
      <c r="AI229" s="2">
        <f>COUNTIFS(集計用!$G227,"*, "&amp;AI$3&amp;", *")</f>
        <v>0</v>
      </c>
      <c r="AJ229" s="2">
        <f>COUNTIFS(集計用!$G227,"*, "&amp;AJ$3&amp;", *")</f>
        <v>0</v>
      </c>
      <c r="AK229" s="2">
        <f>COUNTIFS(集計用!$G227,"*, "&amp;AK$3&amp;", *")</f>
        <v>0</v>
      </c>
      <c r="AL229" s="2">
        <f>COUNTIFS(集計用!$G227,"*, "&amp;AL$3&amp;", *")</f>
        <v>0</v>
      </c>
      <c r="AM229" s="2">
        <f>COUNTIFS(集計用!$G227,"*, "&amp;AM$3&amp;", *")</f>
        <v>0</v>
      </c>
      <c r="AN229" s="2">
        <f>COUNTIFS(集計用!$G227,"*, "&amp;AN$3&amp;", *")</f>
        <v>0</v>
      </c>
      <c r="AO229" s="2">
        <f>COUNTIFS(集計用!$G227,"*, "&amp;AO$3&amp;", *")</f>
        <v>0</v>
      </c>
      <c r="AP229" s="2">
        <f>COUNTIFS(集計用!$G227,"*, "&amp;AP$3&amp;", *")</f>
        <v>0</v>
      </c>
      <c r="AQ229" s="2">
        <f>COUNTIFS(集計用!$G227,"*, "&amp;AQ$3&amp;", *")</f>
        <v>0</v>
      </c>
      <c r="AR229" s="2">
        <f>COUNTIFS(集計用!$G227,"*, "&amp;AR$3&amp;", *")</f>
        <v>0</v>
      </c>
      <c r="AS229" s="2">
        <f>COUNTIFS(集計用!$G227,"*, "&amp;AS$3&amp;", *")</f>
        <v>0</v>
      </c>
      <c r="AT229" s="2">
        <f>COUNTIFS(集計用!$G227,"*, "&amp;AT$3&amp;", *")</f>
        <v>0</v>
      </c>
      <c r="AU229" s="2">
        <f>COUNTIFS(集計用!$G227,"*, "&amp;AU$3&amp;", *")</f>
        <v>0</v>
      </c>
      <c r="AV229" s="2">
        <f>COUNTIFS(集計用!$G227,"*, "&amp;AV$3&amp;", *")</f>
        <v>0</v>
      </c>
      <c r="AW229" s="2">
        <f>COUNTIFS(集計用!$G227,"*, "&amp;AW$3&amp;", *")</f>
        <v>0</v>
      </c>
      <c r="AX229" s="2">
        <f>COUNTIFS(集計用!$G227,"*, "&amp;AX$3&amp;", *")</f>
        <v>0</v>
      </c>
      <c r="AY229" s="2">
        <f>COUNTIFS(集計用!$G227,"*, "&amp;AY$3&amp;", *")</f>
        <v>0</v>
      </c>
      <c r="AZ229" s="2">
        <f>COUNTIFS(集計用!$G227,"*, "&amp;AZ$3&amp;", *")</f>
        <v>0</v>
      </c>
      <c r="BA229" s="2">
        <f>COUNTIFS(集計用!$G227,"*, "&amp;BA$3&amp;", *")</f>
        <v>0</v>
      </c>
      <c r="BB229" s="2">
        <f>COUNTIFS(集計用!$G227,"*, "&amp;BB$3&amp;", *")</f>
        <v>0</v>
      </c>
      <c r="BC229" s="2">
        <f>COUNTIFS(集計用!$G227,"*, "&amp;BC$3&amp;", *")</f>
        <v>0</v>
      </c>
      <c r="BD229" s="2">
        <f>COUNTIFS(集計用!$G227,"*, "&amp;BD$3&amp;", *")</f>
        <v>0</v>
      </c>
      <c r="BE229" s="2">
        <f>COUNTIFS(集計用!$G227,"*, "&amp;BE$3&amp;", *")</f>
        <v>0</v>
      </c>
      <c r="BF229" s="2">
        <f>COUNTIFS(集計用!$G227,"*, "&amp;BF$3&amp;", *")</f>
        <v>0</v>
      </c>
      <c r="BG229" s="2">
        <f>COUNTIFS(集計用!$G227,"*, "&amp;BG$3&amp;", *")</f>
        <v>0</v>
      </c>
      <c r="BH229" s="2">
        <f>COUNTIFS(集計用!$G227,"*, "&amp;BH$3&amp;", *")</f>
        <v>0</v>
      </c>
      <c r="BI229" s="2">
        <f>COUNTIFS(集計用!$G227,"*, "&amp;BI$3&amp;", *")</f>
        <v>0</v>
      </c>
      <c r="BJ229" s="2">
        <f>LEN(集計用!H227)-LEN(SUBSTITUTE(集計用!H227,",",""))</f>
        <v>0</v>
      </c>
    </row>
    <row r="230" spans="1:62" ht="12.75">
      <c r="A230" s="8">
        <v>227</v>
      </c>
      <c r="C230" s="2">
        <f t="shared" si="3"/>
        <v>5</v>
      </c>
      <c r="D230" s="9"/>
      <c r="E230" s="2">
        <f>COUNTIFS(集計用!$G228,"*, "&amp;E$3&amp;", *")</f>
        <v>1</v>
      </c>
      <c r="F230" s="2">
        <f>COUNTIFS(集計用!$G228,"*, "&amp;F$3&amp;", *")</f>
        <v>0</v>
      </c>
      <c r="G230" s="2">
        <f>COUNTIFS(集計用!$G228,"*, "&amp;G$3&amp;", *")</f>
        <v>1</v>
      </c>
      <c r="H230" s="2">
        <f>COUNTIFS(集計用!$G228,"*, "&amp;H$3&amp;", *")</f>
        <v>0</v>
      </c>
      <c r="I230" s="2">
        <f>COUNTIFS(集計用!$G228,"*, "&amp;I$3&amp;", *")</f>
        <v>0</v>
      </c>
      <c r="J230" s="2">
        <f>COUNTIFS(集計用!$G228,"*, "&amp;J$3&amp;", *")</f>
        <v>0</v>
      </c>
      <c r="K230" s="2">
        <f>COUNTIFS(集計用!$G228,"*, "&amp;K$3&amp;", *")</f>
        <v>0</v>
      </c>
      <c r="L230" s="2">
        <f>COUNTIFS(集計用!$G228,"*, "&amp;L$3&amp;", *")</f>
        <v>0</v>
      </c>
      <c r="M230" s="2">
        <f>COUNTIFS(集計用!$G228,"*, "&amp;M$3&amp;", *")</f>
        <v>0</v>
      </c>
      <c r="N230" s="2">
        <f>COUNTIFS(集計用!$G228,"*, "&amp;N$3&amp;", *")</f>
        <v>1</v>
      </c>
      <c r="O230" s="2">
        <f>COUNTIFS(集計用!$G228,"*, "&amp;O$3&amp;", *")</f>
        <v>1</v>
      </c>
      <c r="P230" s="2">
        <f>COUNTIFS(集計用!$G228,"*, "&amp;P$3&amp;", *")</f>
        <v>1</v>
      </c>
      <c r="Q230" s="2">
        <f>COUNTIFS(集計用!$G228,"*, "&amp;Q$3&amp;", *")</f>
        <v>0</v>
      </c>
      <c r="R230" s="2">
        <f>COUNTIFS(集計用!$G228,"*, "&amp;R$3&amp;", *")</f>
        <v>0</v>
      </c>
      <c r="S230" s="2">
        <f>COUNTIFS(集計用!$G228,"*, "&amp;S$3&amp;", *")</f>
        <v>0</v>
      </c>
      <c r="T230" s="2">
        <f>COUNTIFS(集計用!$G228,"*, "&amp;T$3&amp;", *")</f>
        <v>0</v>
      </c>
      <c r="U230" s="2">
        <f>COUNTIFS(集計用!$G228,"*, "&amp;U$3&amp;", *")</f>
        <v>0</v>
      </c>
      <c r="V230" s="2">
        <f>COUNTIFS(集計用!$G228,"*, "&amp;V$3&amp;", *")</f>
        <v>0</v>
      </c>
      <c r="W230" s="2">
        <f>COUNTIFS(集計用!$G228,"*, "&amp;W$3&amp;", *")</f>
        <v>0</v>
      </c>
      <c r="X230" s="2">
        <f>COUNTIFS(集計用!$G228,"*, "&amp;X$3&amp;", *")</f>
        <v>0</v>
      </c>
      <c r="Y230" s="2">
        <f>COUNTIFS(集計用!$G228,"*, "&amp;Y$3&amp;", *")</f>
        <v>0</v>
      </c>
      <c r="Z230" s="2">
        <f>COUNTIFS(集計用!$G228,"*, "&amp;Z$3&amp;", *")</f>
        <v>0</v>
      </c>
      <c r="AA230" s="2">
        <f>COUNTIFS(集計用!$G228,"*, "&amp;AA$3&amp;", *")</f>
        <v>0</v>
      </c>
      <c r="AB230" s="2">
        <f>COUNTIFS(集計用!$G228,"*, "&amp;AB$3&amp;", *")</f>
        <v>0</v>
      </c>
      <c r="AC230" s="2">
        <f>COUNTIFS(集計用!$G228,"*, "&amp;AC$3&amp;", *")</f>
        <v>0</v>
      </c>
      <c r="AD230" s="2">
        <f>COUNTIFS(集計用!$G228,"*, "&amp;AD$3&amp;", *")</f>
        <v>0</v>
      </c>
      <c r="AE230" s="2">
        <f>COUNTIFS(集計用!$G228,"*, "&amp;AE$3&amp;", *")</f>
        <v>0</v>
      </c>
      <c r="AF230" s="2">
        <f>COUNTIFS(集計用!$G228,"*, "&amp;AF$3&amp;", *")</f>
        <v>0</v>
      </c>
      <c r="AG230" s="2">
        <f>COUNTIFS(集計用!$G228,"*, "&amp;AG$3&amp;", *")</f>
        <v>0</v>
      </c>
      <c r="AH230" s="2">
        <f>COUNTIFS(集計用!$G228,"*, "&amp;AH$3&amp;", *")</f>
        <v>0</v>
      </c>
      <c r="AI230" s="2">
        <f>COUNTIFS(集計用!$G228,"*, "&amp;AI$3&amp;", *")</f>
        <v>0</v>
      </c>
      <c r="AJ230" s="2">
        <f>COUNTIFS(集計用!$G228,"*, "&amp;AJ$3&amp;", *")</f>
        <v>0</v>
      </c>
      <c r="AK230" s="2">
        <f>COUNTIFS(集計用!$G228,"*, "&amp;AK$3&amp;", *")</f>
        <v>0</v>
      </c>
      <c r="AL230" s="2">
        <f>COUNTIFS(集計用!$G228,"*, "&amp;AL$3&amp;", *")</f>
        <v>0</v>
      </c>
      <c r="AM230" s="2">
        <f>COUNTIFS(集計用!$G228,"*, "&amp;AM$3&amp;", *")</f>
        <v>0</v>
      </c>
      <c r="AN230" s="2">
        <f>COUNTIFS(集計用!$G228,"*, "&amp;AN$3&amp;", *")</f>
        <v>0</v>
      </c>
      <c r="AO230" s="2">
        <f>COUNTIFS(集計用!$G228,"*, "&amp;AO$3&amp;", *")</f>
        <v>0</v>
      </c>
      <c r="AP230" s="2">
        <f>COUNTIFS(集計用!$G228,"*, "&amp;AP$3&amp;", *")</f>
        <v>0</v>
      </c>
      <c r="AQ230" s="2">
        <f>COUNTIFS(集計用!$G228,"*, "&amp;AQ$3&amp;", *")</f>
        <v>0</v>
      </c>
      <c r="AR230" s="2">
        <f>COUNTIFS(集計用!$G228,"*, "&amp;AR$3&amp;", *")</f>
        <v>0</v>
      </c>
      <c r="AS230" s="2">
        <f>COUNTIFS(集計用!$G228,"*, "&amp;AS$3&amp;", *")</f>
        <v>0</v>
      </c>
      <c r="AT230" s="2">
        <f>COUNTIFS(集計用!$G228,"*, "&amp;AT$3&amp;", *")</f>
        <v>0</v>
      </c>
      <c r="AU230" s="2">
        <f>COUNTIFS(集計用!$G228,"*, "&amp;AU$3&amp;", *")</f>
        <v>0</v>
      </c>
      <c r="AV230" s="2">
        <f>COUNTIFS(集計用!$G228,"*, "&amp;AV$3&amp;", *")</f>
        <v>0</v>
      </c>
      <c r="AW230" s="2">
        <f>COUNTIFS(集計用!$G228,"*, "&amp;AW$3&amp;", *")</f>
        <v>0</v>
      </c>
      <c r="AX230" s="2">
        <f>COUNTIFS(集計用!$G228,"*, "&amp;AX$3&amp;", *")</f>
        <v>0</v>
      </c>
      <c r="AY230" s="2">
        <f>COUNTIFS(集計用!$G228,"*, "&amp;AY$3&amp;", *")</f>
        <v>0</v>
      </c>
      <c r="AZ230" s="2">
        <f>COUNTIFS(集計用!$G228,"*, "&amp;AZ$3&amp;", *")</f>
        <v>0</v>
      </c>
      <c r="BA230" s="2">
        <f>COUNTIFS(集計用!$G228,"*, "&amp;BA$3&amp;", *")</f>
        <v>0</v>
      </c>
      <c r="BB230" s="2">
        <f>COUNTIFS(集計用!$G228,"*, "&amp;BB$3&amp;", *")</f>
        <v>0</v>
      </c>
      <c r="BC230" s="2">
        <f>COUNTIFS(集計用!$G228,"*, "&amp;BC$3&amp;", *")</f>
        <v>0</v>
      </c>
      <c r="BD230" s="2">
        <f>COUNTIFS(集計用!$G228,"*, "&amp;BD$3&amp;", *")</f>
        <v>0</v>
      </c>
      <c r="BE230" s="2">
        <f>COUNTIFS(集計用!$G228,"*, "&amp;BE$3&amp;", *")</f>
        <v>0</v>
      </c>
      <c r="BF230" s="2">
        <f>COUNTIFS(集計用!$G228,"*, "&amp;BF$3&amp;", *")</f>
        <v>0</v>
      </c>
      <c r="BG230" s="2">
        <f>COUNTIFS(集計用!$G228,"*, "&amp;BG$3&amp;", *")</f>
        <v>0</v>
      </c>
      <c r="BH230" s="2">
        <f>COUNTIFS(集計用!$G228,"*, "&amp;BH$3&amp;", *")</f>
        <v>0</v>
      </c>
      <c r="BI230" s="2">
        <f>COUNTIFS(集計用!$G228,"*, "&amp;BI$3&amp;", *")</f>
        <v>0</v>
      </c>
      <c r="BJ230" s="2">
        <f>LEN(集計用!H228)-LEN(SUBSTITUTE(集計用!H228,",",""))</f>
        <v>0</v>
      </c>
    </row>
    <row r="231" spans="1:62" ht="12.75">
      <c r="A231" s="8">
        <v>228</v>
      </c>
      <c r="C231" s="2">
        <f t="shared" si="3"/>
        <v>1</v>
      </c>
      <c r="D231" s="9"/>
      <c r="E231" s="2">
        <f>COUNTIFS(集計用!$G229,"*, "&amp;E$3&amp;", *")</f>
        <v>0</v>
      </c>
      <c r="F231" s="2">
        <f>COUNTIFS(集計用!$G229,"*, "&amp;F$3&amp;", *")</f>
        <v>0</v>
      </c>
      <c r="G231" s="2">
        <f>COUNTIFS(集計用!$G229,"*, "&amp;G$3&amp;", *")</f>
        <v>0</v>
      </c>
      <c r="H231" s="2">
        <f>COUNTIFS(集計用!$G229,"*, "&amp;H$3&amp;", *")</f>
        <v>0</v>
      </c>
      <c r="I231" s="2">
        <f>COUNTIFS(集計用!$G229,"*, "&amp;I$3&amp;", *")</f>
        <v>0</v>
      </c>
      <c r="J231" s="2">
        <f>COUNTIFS(集計用!$G229,"*, "&amp;J$3&amp;", *")</f>
        <v>1</v>
      </c>
      <c r="K231" s="2">
        <f>COUNTIFS(集計用!$G229,"*, "&amp;K$3&amp;", *")</f>
        <v>0</v>
      </c>
      <c r="L231" s="2">
        <f>COUNTIFS(集計用!$G229,"*, "&amp;L$3&amp;", *")</f>
        <v>0</v>
      </c>
      <c r="M231" s="2">
        <f>COUNTIFS(集計用!$G229,"*, "&amp;M$3&amp;", *")</f>
        <v>0</v>
      </c>
      <c r="N231" s="2">
        <f>COUNTIFS(集計用!$G229,"*, "&amp;N$3&amp;", *")</f>
        <v>0</v>
      </c>
      <c r="O231" s="2">
        <f>COUNTIFS(集計用!$G229,"*, "&amp;O$3&amp;", *")</f>
        <v>0</v>
      </c>
      <c r="P231" s="2">
        <f>COUNTIFS(集計用!$G229,"*, "&amp;P$3&amp;", *")</f>
        <v>0</v>
      </c>
      <c r="Q231" s="2">
        <f>COUNTIFS(集計用!$G229,"*, "&amp;Q$3&amp;", *")</f>
        <v>0</v>
      </c>
      <c r="R231" s="2">
        <f>COUNTIFS(集計用!$G229,"*, "&amp;R$3&amp;", *")</f>
        <v>0</v>
      </c>
      <c r="S231" s="2">
        <f>COUNTIFS(集計用!$G229,"*, "&amp;S$3&amp;", *")</f>
        <v>0</v>
      </c>
      <c r="T231" s="2">
        <f>COUNTIFS(集計用!$G229,"*, "&amp;T$3&amp;", *")</f>
        <v>0</v>
      </c>
      <c r="U231" s="2">
        <f>COUNTIFS(集計用!$G229,"*, "&amp;U$3&amp;", *")</f>
        <v>0</v>
      </c>
      <c r="V231" s="2">
        <f>COUNTIFS(集計用!$G229,"*, "&amp;V$3&amp;", *")</f>
        <v>0</v>
      </c>
      <c r="W231" s="2">
        <f>COUNTIFS(集計用!$G229,"*, "&amp;W$3&amp;", *")</f>
        <v>0</v>
      </c>
      <c r="X231" s="2">
        <f>COUNTIFS(集計用!$G229,"*, "&amp;X$3&amp;", *")</f>
        <v>0</v>
      </c>
      <c r="Y231" s="2">
        <f>COUNTIFS(集計用!$G229,"*, "&amp;Y$3&amp;", *")</f>
        <v>0</v>
      </c>
      <c r="Z231" s="2">
        <f>COUNTIFS(集計用!$G229,"*, "&amp;Z$3&amp;", *")</f>
        <v>0</v>
      </c>
      <c r="AA231" s="2">
        <f>COUNTIFS(集計用!$G229,"*, "&amp;AA$3&amp;", *")</f>
        <v>0</v>
      </c>
      <c r="AB231" s="2">
        <f>COUNTIFS(集計用!$G229,"*, "&amp;AB$3&amp;", *")</f>
        <v>0</v>
      </c>
      <c r="AC231" s="2">
        <f>COUNTIFS(集計用!$G229,"*, "&amp;AC$3&amp;", *")</f>
        <v>0</v>
      </c>
      <c r="AD231" s="2">
        <f>COUNTIFS(集計用!$G229,"*, "&amp;AD$3&amp;", *")</f>
        <v>0</v>
      </c>
      <c r="AE231" s="2">
        <f>COUNTIFS(集計用!$G229,"*, "&amp;AE$3&amp;", *")</f>
        <v>0</v>
      </c>
      <c r="AF231" s="2">
        <f>COUNTIFS(集計用!$G229,"*, "&amp;AF$3&amp;", *")</f>
        <v>0</v>
      </c>
      <c r="AG231" s="2">
        <f>COUNTIFS(集計用!$G229,"*, "&amp;AG$3&amp;", *")</f>
        <v>0</v>
      </c>
      <c r="AH231" s="2">
        <f>COUNTIFS(集計用!$G229,"*, "&amp;AH$3&amp;", *")</f>
        <v>0</v>
      </c>
      <c r="AI231" s="2">
        <f>COUNTIFS(集計用!$G229,"*, "&amp;AI$3&amp;", *")</f>
        <v>0</v>
      </c>
      <c r="AJ231" s="2">
        <f>COUNTIFS(集計用!$G229,"*, "&amp;AJ$3&amp;", *")</f>
        <v>0</v>
      </c>
      <c r="AK231" s="2">
        <f>COUNTIFS(集計用!$G229,"*, "&amp;AK$3&amp;", *")</f>
        <v>0</v>
      </c>
      <c r="AL231" s="2">
        <f>COUNTIFS(集計用!$G229,"*, "&amp;AL$3&amp;", *")</f>
        <v>0</v>
      </c>
      <c r="AM231" s="2">
        <f>COUNTIFS(集計用!$G229,"*, "&amp;AM$3&amp;", *")</f>
        <v>0</v>
      </c>
      <c r="AN231" s="2">
        <f>COUNTIFS(集計用!$G229,"*, "&amp;AN$3&amp;", *")</f>
        <v>0</v>
      </c>
      <c r="AO231" s="2">
        <f>COUNTIFS(集計用!$G229,"*, "&amp;AO$3&amp;", *")</f>
        <v>0</v>
      </c>
      <c r="AP231" s="2">
        <f>COUNTIFS(集計用!$G229,"*, "&amp;AP$3&amp;", *")</f>
        <v>0</v>
      </c>
      <c r="AQ231" s="2">
        <f>COUNTIFS(集計用!$G229,"*, "&amp;AQ$3&amp;", *")</f>
        <v>0</v>
      </c>
      <c r="AR231" s="2">
        <f>COUNTIFS(集計用!$G229,"*, "&amp;AR$3&amp;", *")</f>
        <v>0</v>
      </c>
      <c r="AS231" s="2">
        <f>COUNTIFS(集計用!$G229,"*, "&amp;AS$3&amp;", *")</f>
        <v>0</v>
      </c>
      <c r="AT231" s="2">
        <f>COUNTIFS(集計用!$G229,"*, "&amp;AT$3&amp;", *")</f>
        <v>0</v>
      </c>
      <c r="AU231" s="2">
        <f>COUNTIFS(集計用!$G229,"*, "&amp;AU$3&amp;", *")</f>
        <v>0</v>
      </c>
      <c r="AV231" s="2">
        <f>COUNTIFS(集計用!$G229,"*, "&amp;AV$3&amp;", *")</f>
        <v>0</v>
      </c>
      <c r="AW231" s="2">
        <f>COUNTIFS(集計用!$G229,"*, "&amp;AW$3&amp;", *")</f>
        <v>0</v>
      </c>
      <c r="AX231" s="2">
        <f>COUNTIFS(集計用!$G229,"*, "&amp;AX$3&amp;", *")</f>
        <v>0</v>
      </c>
      <c r="AY231" s="2">
        <f>COUNTIFS(集計用!$G229,"*, "&amp;AY$3&amp;", *")</f>
        <v>0</v>
      </c>
      <c r="AZ231" s="2">
        <f>COUNTIFS(集計用!$G229,"*, "&amp;AZ$3&amp;", *")</f>
        <v>0</v>
      </c>
      <c r="BA231" s="2">
        <f>COUNTIFS(集計用!$G229,"*, "&amp;BA$3&amp;", *")</f>
        <v>0</v>
      </c>
      <c r="BB231" s="2">
        <f>COUNTIFS(集計用!$G229,"*, "&amp;BB$3&amp;", *")</f>
        <v>0</v>
      </c>
      <c r="BC231" s="2">
        <f>COUNTIFS(集計用!$G229,"*, "&amp;BC$3&amp;", *")</f>
        <v>0</v>
      </c>
      <c r="BD231" s="2">
        <f>COUNTIFS(集計用!$G229,"*, "&amp;BD$3&amp;", *")</f>
        <v>0</v>
      </c>
      <c r="BE231" s="2">
        <f>COUNTIFS(集計用!$G229,"*, "&amp;BE$3&amp;", *")</f>
        <v>0</v>
      </c>
      <c r="BF231" s="2">
        <f>COUNTIFS(集計用!$G229,"*, "&amp;BF$3&amp;", *")</f>
        <v>0</v>
      </c>
      <c r="BG231" s="2">
        <f>COUNTIFS(集計用!$G229,"*, "&amp;BG$3&amp;", *")</f>
        <v>0</v>
      </c>
      <c r="BH231" s="2">
        <f>COUNTIFS(集計用!$G229,"*, "&amp;BH$3&amp;", *")</f>
        <v>0</v>
      </c>
      <c r="BI231" s="2">
        <f>COUNTIFS(集計用!$G229,"*, "&amp;BI$3&amp;", *")</f>
        <v>0</v>
      </c>
      <c r="BJ231" s="2">
        <f>LEN(集計用!H229)-LEN(SUBSTITUTE(集計用!H229,",",""))</f>
        <v>0</v>
      </c>
    </row>
    <row r="232" spans="1:62" ht="12.75">
      <c r="A232" s="8">
        <v>229</v>
      </c>
      <c r="C232" s="2">
        <f t="shared" si="3"/>
        <v>3</v>
      </c>
      <c r="D232" s="9"/>
      <c r="E232" s="2">
        <f>COUNTIFS(集計用!$G230,"*, "&amp;E$3&amp;", *")</f>
        <v>0</v>
      </c>
      <c r="F232" s="2">
        <f>COUNTIFS(集計用!$G230,"*, "&amp;F$3&amp;", *")</f>
        <v>0</v>
      </c>
      <c r="G232" s="2">
        <f>COUNTIFS(集計用!$G230,"*, "&amp;G$3&amp;", *")</f>
        <v>0</v>
      </c>
      <c r="H232" s="2">
        <f>COUNTIFS(集計用!$G230,"*, "&amp;H$3&amp;", *")</f>
        <v>0</v>
      </c>
      <c r="I232" s="2">
        <f>COUNTIFS(集計用!$G230,"*, "&amp;I$3&amp;", *")</f>
        <v>0</v>
      </c>
      <c r="J232" s="2">
        <f>COUNTIFS(集計用!$G230,"*, "&amp;J$3&amp;", *")</f>
        <v>0</v>
      </c>
      <c r="K232" s="2">
        <f>COUNTIFS(集計用!$G230,"*, "&amp;K$3&amp;", *")</f>
        <v>0</v>
      </c>
      <c r="L232" s="2">
        <f>COUNTIFS(集計用!$G230,"*, "&amp;L$3&amp;", *")</f>
        <v>0</v>
      </c>
      <c r="M232" s="2">
        <f>COUNTIFS(集計用!$G230,"*, "&amp;M$3&amp;", *")</f>
        <v>0</v>
      </c>
      <c r="N232" s="2">
        <f>COUNTIFS(集計用!$G230,"*, "&amp;N$3&amp;", *")</f>
        <v>0</v>
      </c>
      <c r="O232" s="2">
        <f>COUNTIFS(集計用!$G230,"*, "&amp;O$3&amp;", *")</f>
        <v>0</v>
      </c>
      <c r="P232" s="2">
        <f>COUNTIFS(集計用!$G230,"*, "&amp;P$3&amp;", *")</f>
        <v>0</v>
      </c>
      <c r="Q232" s="2">
        <f>COUNTIFS(集計用!$G230,"*, "&amp;Q$3&amp;", *")</f>
        <v>0</v>
      </c>
      <c r="R232" s="2">
        <f>COUNTIFS(集計用!$G230,"*, "&amp;R$3&amp;", *")</f>
        <v>0</v>
      </c>
      <c r="S232" s="2">
        <f>COUNTIFS(集計用!$G230,"*, "&amp;S$3&amp;", *")</f>
        <v>0</v>
      </c>
      <c r="T232" s="2">
        <f>COUNTIFS(集計用!$G230,"*, "&amp;T$3&amp;", *")</f>
        <v>0</v>
      </c>
      <c r="U232" s="2">
        <f>COUNTIFS(集計用!$G230,"*, "&amp;U$3&amp;", *")</f>
        <v>0</v>
      </c>
      <c r="V232" s="2">
        <f>COUNTIFS(集計用!$G230,"*, "&amp;V$3&amp;", *")</f>
        <v>0</v>
      </c>
      <c r="W232" s="2">
        <f>COUNTIFS(集計用!$G230,"*, "&amp;W$3&amp;", *")</f>
        <v>0</v>
      </c>
      <c r="X232" s="2">
        <f>COUNTIFS(集計用!$G230,"*, "&amp;X$3&amp;", *")</f>
        <v>0</v>
      </c>
      <c r="Y232" s="2">
        <f>COUNTIFS(集計用!$G230,"*, "&amp;Y$3&amp;", *")</f>
        <v>0</v>
      </c>
      <c r="Z232" s="2">
        <f>COUNTIFS(集計用!$G230,"*, "&amp;Z$3&amp;", *")</f>
        <v>0</v>
      </c>
      <c r="AA232" s="2">
        <f>COUNTIFS(集計用!$G230,"*, "&amp;AA$3&amp;", *")</f>
        <v>0</v>
      </c>
      <c r="AB232" s="2">
        <f>COUNTIFS(集計用!$G230,"*, "&amp;AB$3&amp;", *")</f>
        <v>0</v>
      </c>
      <c r="AC232" s="2">
        <f>COUNTIFS(集計用!$G230,"*, "&amp;AC$3&amp;", *")</f>
        <v>0</v>
      </c>
      <c r="AD232" s="2">
        <f>COUNTIFS(集計用!$G230,"*, "&amp;AD$3&amp;", *")</f>
        <v>0</v>
      </c>
      <c r="AE232" s="2">
        <f>COUNTIFS(集計用!$G230,"*, "&amp;AE$3&amp;", *")</f>
        <v>0</v>
      </c>
      <c r="AF232" s="2">
        <f>COUNTIFS(集計用!$G230,"*, "&amp;AF$3&amp;", *")</f>
        <v>0</v>
      </c>
      <c r="AG232" s="2">
        <f>COUNTIFS(集計用!$G230,"*, "&amp;AG$3&amp;", *")</f>
        <v>0</v>
      </c>
      <c r="AH232" s="2">
        <f>COUNTIFS(集計用!$G230,"*, "&amp;AH$3&amp;", *")</f>
        <v>0</v>
      </c>
      <c r="AI232" s="2">
        <f>COUNTIFS(集計用!$G230,"*, "&amp;AI$3&amp;", *")</f>
        <v>0</v>
      </c>
      <c r="AJ232" s="2">
        <f>COUNTIFS(集計用!$G230,"*, "&amp;AJ$3&amp;", *")</f>
        <v>0</v>
      </c>
      <c r="AK232" s="2">
        <f>COUNTIFS(集計用!$G230,"*, "&amp;AK$3&amp;", *")</f>
        <v>0</v>
      </c>
      <c r="AL232" s="2">
        <f>COUNTIFS(集計用!$G230,"*, "&amp;AL$3&amp;", *")</f>
        <v>0</v>
      </c>
      <c r="AM232" s="2">
        <f>COUNTIFS(集計用!$G230,"*, "&amp;AM$3&amp;", *")</f>
        <v>0</v>
      </c>
      <c r="AN232" s="2">
        <f>COUNTIFS(集計用!$G230,"*, "&amp;AN$3&amp;", *")</f>
        <v>0</v>
      </c>
      <c r="AO232" s="2">
        <f>COUNTIFS(集計用!$G230,"*, "&amp;AO$3&amp;", *")</f>
        <v>1</v>
      </c>
      <c r="AP232" s="2">
        <f>COUNTIFS(集計用!$G230,"*, "&amp;AP$3&amp;", *")</f>
        <v>0</v>
      </c>
      <c r="AQ232" s="2">
        <f>COUNTIFS(集計用!$G230,"*, "&amp;AQ$3&amp;", *")</f>
        <v>0</v>
      </c>
      <c r="AR232" s="2">
        <f>COUNTIFS(集計用!$G230,"*, "&amp;AR$3&amp;", *")</f>
        <v>0</v>
      </c>
      <c r="AS232" s="2">
        <f>COUNTIFS(集計用!$G230,"*, "&amp;AS$3&amp;", *")</f>
        <v>0</v>
      </c>
      <c r="AT232" s="2">
        <f>COUNTIFS(集計用!$G230,"*, "&amp;AT$3&amp;", *")</f>
        <v>0</v>
      </c>
      <c r="AU232" s="2">
        <f>COUNTIFS(集計用!$G230,"*, "&amp;AU$3&amp;", *")</f>
        <v>0</v>
      </c>
      <c r="AV232" s="2">
        <f>COUNTIFS(集計用!$G230,"*, "&amp;AV$3&amp;", *")</f>
        <v>0</v>
      </c>
      <c r="AW232" s="2">
        <f>COUNTIFS(集計用!$G230,"*, "&amp;AW$3&amp;", *")</f>
        <v>0</v>
      </c>
      <c r="AX232" s="2">
        <f>COUNTIFS(集計用!$G230,"*, "&amp;AX$3&amp;", *")</f>
        <v>0</v>
      </c>
      <c r="AY232" s="2">
        <f>COUNTIFS(集計用!$G230,"*, "&amp;AY$3&amp;", *")</f>
        <v>0</v>
      </c>
      <c r="AZ232" s="2">
        <f>COUNTIFS(集計用!$G230,"*, "&amp;AZ$3&amp;", *")</f>
        <v>0</v>
      </c>
      <c r="BA232" s="2">
        <f>COUNTIFS(集計用!$G230,"*, "&amp;BA$3&amp;", *")</f>
        <v>0</v>
      </c>
      <c r="BB232" s="2">
        <f>COUNTIFS(集計用!$G230,"*, "&amp;BB$3&amp;", *")</f>
        <v>0</v>
      </c>
      <c r="BC232" s="2">
        <f>COUNTIFS(集計用!$G230,"*, "&amp;BC$3&amp;", *")</f>
        <v>0</v>
      </c>
      <c r="BD232" s="2">
        <f>COUNTIFS(集計用!$G230,"*, "&amp;BD$3&amp;", *")</f>
        <v>0</v>
      </c>
      <c r="BE232" s="2">
        <f>COUNTIFS(集計用!$G230,"*, "&amp;BE$3&amp;", *")</f>
        <v>0</v>
      </c>
      <c r="BF232" s="2">
        <f>COUNTIFS(集計用!$G230,"*, "&amp;BF$3&amp;", *")</f>
        <v>0</v>
      </c>
      <c r="BG232" s="2">
        <f>COUNTIFS(集計用!$G230,"*, "&amp;BG$3&amp;", *")</f>
        <v>0</v>
      </c>
      <c r="BH232" s="2">
        <f>COUNTIFS(集計用!$G230,"*, "&amp;BH$3&amp;", *")</f>
        <v>0</v>
      </c>
      <c r="BI232" s="2">
        <f>COUNTIFS(集計用!$G230,"*, "&amp;BI$3&amp;", *")</f>
        <v>0</v>
      </c>
      <c r="BJ232" s="2">
        <f>LEN(集計用!H230)-LEN(SUBSTITUTE(集計用!H230,",",""))</f>
        <v>2</v>
      </c>
    </row>
    <row r="233" spans="1:62" ht="12.75">
      <c r="A233" s="8">
        <v>230</v>
      </c>
      <c r="C233" s="2">
        <f t="shared" si="3"/>
        <v>1</v>
      </c>
      <c r="D233" s="9"/>
      <c r="E233" s="2">
        <f>COUNTIFS(集計用!$G231,"*, "&amp;E$3&amp;", *")</f>
        <v>0</v>
      </c>
      <c r="F233" s="2">
        <f>COUNTIFS(集計用!$G231,"*, "&amp;F$3&amp;", *")</f>
        <v>0</v>
      </c>
      <c r="G233" s="2">
        <f>COUNTIFS(集計用!$G231,"*, "&amp;G$3&amp;", *")</f>
        <v>0</v>
      </c>
      <c r="H233" s="2">
        <f>COUNTIFS(集計用!$G231,"*, "&amp;H$3&amp;", *")</f>
        <v>0</v>
      </c>
      <c r="I233" s="2">
        <f>COUNTIFS(集計用!$G231,"*, "&amp;I$3&amp;", *")</f>
        <v>0</v>
      </c>
      <c r="J233" s="2">
        <f>COUNTIFS(集計用!$G231,"*, "&amp;J$3&amp;", *")</f>
        <v>0</v>
      </c>
      <c r="K233" s="2">
        <f>COUNTIFS(集計用!$G231,"*, "&amp;K$3&amp;", *")</f>
        <v>0</v>
      </c>
      <c r="L233" s="2">
        <f>COUNTIFS(集計用!$G231,"*, "&amp;L$3&amp;", *")</f>
        <v>0</v>
      </c>
      <c r="M233" s="2">
        <f>COUNTIFS(集計用!$G231,"*, "&amp;M$3&amp;", *")</f>
        <v>0</v>
      </c>
      <c r="N233" s="2">
        <f>COUNTIFS(集計用!$G231,"*, "&amp;N$3&amp;", *")</f>
        <v>1</v>
      </c>
      <c r="O233" s="2">
        <f>COUNTIFS(集計用!$G231,"*, "&amp;O$3&amp;", *")</f>
        <v>0</v>
      </c>
      <c r="P233" s="2">
        <f>COUNTIFS(集計用!$G231,"*, "&amp;P$3&amp;", *")</f>
        <v>0</v>
      </c>
      <c r="Q233" s="2">
        <f>COUNTIFS(集計用!$G231,"*, "&amp;Q$3&amp;", *")</f>
        <v>0</v>
      </c>
      <c r="R233" s="2">
        <f>COUNTIFS(集計用!$G231,"*, "&amp;R$3&amp;", *")</f>
        <v>0</v>
      </c>
      <c r="S233" s="2">
        <f>COUNTIFS(集計用!$G231,"*, "&amp;S$3&amp;", *")</f>
        <v>0</v>
      </c>
      <c r="T233" s="2">
        <f>COUNTIFS(集計用!$G231,"*, "&amp;T$3&amp;", *")</f>
        <v>0</v>
      </c>
      <c r="U233" s="2">
        <f>COUNTIFS(集計用!$G231,"*, "&amp;U$3&amp;", *")</f>
        <v>0</v>
      </c>
      <c r="V233" s="2">
        <f>COUNTIFS(集計用!$G231,"*, "&amp;V$3&amp;", *")</f>
        <v>0</v>
      </c>
      <c r="W233" s="2">
        <f>COUNTIFS(集計用!$G231,"*, "&amp;W$3&amp;", *")</f>
        <v>0</v>
      </c>
      <c r="X233" s="2">
        <f>COUNTIFS(集計用!$G231,"*, "&amp;X$3&amp;", *")</f>
        <v>0</v>
      </c>
      <c r="Y233" s="2">
        <f>COUNTIFS(集計用!$G231,"*, "&amp;Y$3&amp;", *")</f>
        <v>0</v>
      </c>
      <c r="Z233" s="2">
        <f>COUNTIFS(集計用!$G231,"*, "&amp;Z$3&amp;", *")</f>
        <v>0</v>
      </c>
      <c r="AA233" s="2">
        <f>COUNTIFS(集計用!$G231,"*, "&amp;AA$3&amp;", *")</f>
        <v>0</v>
      </c>
      <c r="AB233" s="2">
        <f>COUNTIFS(集計用!$G231,"*, "&amp;AB$3&amp;", *")</f>
        <v>0</v>
      </c>
      <c r="AC233" s="2">
        <f>COUNTIFS(集計用!$G231,"*, "&amp;AC$3&amp;", *")</f>
        <v>0</v>
      </c>
      <c r="AD233" s="2">
        <f>COUNTIFS(集計用!$G231,"*, "&amp;AD$3&amp;", *")</f>
        <v>0</v>
      </c>
      <c r="AE233" s="2">
        <f>COUNTIFS(集計用!$G231,"*, "&amp;AE$3&amp;", *")</f>
        <v>0</v>
      </c>
      <c r="AF233" s="2">
        <f>COUNTIFS(集計用!$G231,"*, "&amp;AF$3&amp;", *")</f>
        <v>0</v>
      </c>
      <c r="AG233" s="2">
        <f>COUNTIFS(集計用!$G231,"*, "&amp;AG$3&amp;", *")</f>
        <v>0</v>
      </c>
      <c r="AH233" s="2">
        <f>COUNTIFS(集計用!$G231,"*, "&amp;AH$3&amp;", *")</f>
        <v>0</v>
      </c>
      <c r="AI233" s="2">
        <f>COUNTIFS(集計用!$G231,"*, "&amp;AI$3&amp;", *")</f>
        <v>0</v>
      </c>
      <c r="AJ233" s="2">
        <f>COUNTIFS(集計用!$G231,"*, "&amp;AJ$3&amp;", *")</f>
        <v>0</v>
      </c>
      <c r="AK233" s="2">
        <f>COUNTIFS(集計用!$G231,"*, "&amp;AK$3&amp;", *")</f>
        <v>0</v>
      </c>
      <c r="AL233" s="2">
        <f>COUNTIFS(集計用!$G231,"*, "&amp;AL$3&amp;", *")</f>
        <v>0</v>
      </c>
      <c r="AM233" s="2">
        <f>COUNTIFS(集計用!$G231,"*, "&amp;AM$3&amp;", *")</f>
        <v>0</v>
      </c>
      <c r="AN233" s="2">
        <f>COUNTIFS(集計用!$G231,"*, "&amp;AN$3&amp;", *")</f>
        <v>0</v>
      </c>
      <c r="AO233" s="2">
        <f>COUNTIFS(集計用!$G231,"*, "&amp;AO$3&amp;", *")</f>
        <v>0</v>
      </c>
      <c r="AP233" s="2">
        <f>COUNTIFS(集計用!$G231,"*, "&amp;AP$3&amp;", *")</f>
        <v>0</v>
      </c>
      <c r="AQ233" s="2">
        <f>COUNTIFS(集計用!$G231,"*, "&amp;AQ$3&amp;", *")</f>
        <v>0</v>
      </c>
      <c r="AR233" s="2">
        <f>COUNTIFS(集計用!$G231,"*, "&amp;AR$3&amp;", *")</f>
        <v>0</v>
      </c>
      <c r="AS233" s="2">
        <f>COUNTIFS(集計用!$G231,"*, "&amp;AS$3&amp;", *")</f>
        <v>0</v>
      </c>
      <c r="AT233" s="2">
        <f>COUNTIFS(集計用!$G231,"*, "&amp;AT$3&amp;", *")</f>
        <v>0</v>
      </c>
      <c r="AU233" s="2">
        <f>COUNTIFS(集計用!$G231,"*, "&amp;AU$3&amp;", *")</f>
        <v>0</v>
      </c>
      <c r="AV233" s="2">
        <f>COUNTIFS(集計用!$G231,"*, "&amp;AV$3&amp;", *")</f>
        <v>0</v>
      </c>
      <c r="AW233" s="2">
        <f>COUNTIFS(集計用!$G231,"*, "&amp;AW$3&amp;", *")</f>
        <v>0</v>
      </c>
      <c r="AX233" s="2">
        <f>COUNTIFS(集計用!$G231,"*, "&amp;AX$3&amp;", *")</f>
        <v>0</v>
      </c>
      <c r="AY233" s="2">
        <f>COUNTIFS(集計用!$G231,"*, "&amp;AY$3&amp;", *")</f>
        <v>0</v>
      </c>
      <c r="AZ233" s="2">
        <f>COUNTIFS(集計用!$G231,"*, "&amp;AZ$3&amp;", *")</f>
        <v>0</v>
      </c>
      <c r="BA233" s="2">
        <f>COUNTIFS(集計用!$G231,"*, "&amp;BA$3&amp;", *")</f>
        <v>0</v>
      </c>
      <c r="BB233" s="2">
        <f>COUNTIFS(集計用!$G231,"*, "&amp;BB$3&amp;", *")</f>
        <v>0</v>
      </c>
      <c r="BC233" s="2">
        <f>COUNTIFS(集計用!$G231,"*, "&amp;BC$3&amp;", *")</f>
        <v>0</v>
      </c>
      <c r="BD233" s="2">
        <f>COUNTIFS(集計用!$G231,"*, "&amp;BD$3&amp;", *")</f>
        <v>0</v>
      </c>
      <c r="BE233" s="2">
        <f>COUNTIFS(集計用!$G231,"*, "&amp;BE$3&amp;", *")</f>
        <v>0</v>
      </c>
      <c r="BF233" s="2">
        <f>COUNTIFS(集計用!$G231,"*, "&amp;BF$3&amp;", *")</f>
        <v>0</v>
      </c>
      <c r="BG233" s="2">
        <f>COUNTIFS(集計用!$G231,"*, "&amp;BG$3&amp;", *")</f>
        <v>0</v>
      </c>
      <c r="BH233" s="2">
        <f>COUNTIFS(集計用!$G231,"*, "&amp;BH$3&amp;", *")</f>
        <v>0</v>
      </c>
      <c r="BI233" s="2">
        <f>COUNTIFS(集計用!$G231,"*, "&amp;BI$3&amp;", *")</f>
        <v>0</v>
      </c>
      <c r="BJ233" s="2">
        <f>LEN(集計用!H231)-LEN(SUBSTITUTE(集計用!H231,",",""))</f>
        <v>0</v>
      </c>
    </row>
    <row r="234" spans="1:62" ht="12.75">
      <c r="A234" s="8">
        <v>231</v>
      </c>
      <c r="C234" s="2">
        <f t="shared" si="3"/>
        <v>1</v>
      </c>
      <c r="D234" s="9"/>
      <c r="E234" s="2">
        <f>COUNTIFS(集計用!$G232,"*, "&amp;E$3&amp;", *")</f>
        <v>0</v>
      </c>
      <c r="F234" s="2">
        <f>COUNTIFS(集計用!$G232,"*, "&amp;F$3&amp;", *")</f>
        <v>0</v>
      </c>
      <c r="G234" s="2">
        <f>COUNTIFS(集計用!$G232,"*, "&amp;G$3&amp;", *")</f>
        <v>0</v>
      </c>
      <c r="H234" s="2">
        <f>COUNTIFS(集計用!$G232,"*, "&amp;H$3&amp;", *")</f>
        <v>0</v>
      </c>
      <c r="I234" s="2">
        <f>COUNTIFS(集計用!$G232,"*, "&amp;I$3&amp;", *")</f>
        <v>0</v>
      </c>
      <c r="J234" s="2">
        <f>COUNTIFS(集計用!$G232,"*, "&amp;J$3&amp;", *")</f>
        <v>0</v>
      </c>
      <c r="K234" s="2">
        <f>COUNTIFS(集計用!$G232,"*, "&amp;K$3&amp;", *")</f>
        <v>0</v>
      </c>
      <c r="L234" s="2">
        <f>COUNTIFS(集計用!$G232,"*, "&amp;L$3&amp;", *")</f>
        <v>0</v>
      </c>
      <c r="M234" s="2">
        <f>COUNTIFS(集計用!$G232,"*, "&amp;M$3&amp;", *")</f>
        <v>0</v>
      </c>
      <c r="N234" s="2">
        <f>COUNTIFS(集計用!$G232,"*, "&amp;N$3&amp;", *")</f>
        <v>0</v>
      </c>
      <c r="O234" s="2">
        <f>COUNTIFS(集計用!$G232,"*, "&amp;O$3&amp;", *")</f>
        <v>0</v>
      </c>
      <c r="P234" s="2">
        <f>COUNTIFS(集計用!$G232,"*, "&amp;P$3&amp;", *")</f>
        <v>0</v>
      </c>
      <c r="Q234" s="2">
        <f>COUNTIFS(集計用!$G232,"*, "&amp;Q$3&amp;", *")</f>
        <v>1</v>
      </c>
      <c r="R234" s="2">
        <f>COUNTIFS(集計用!$G232,"*, "&amp;R$3&amp;", *")</f>
        <v>0</v>
      </c>
      <c r="S234" s="2">
        <f>COUNTIFS(集計用!$G232,"*, "&amp;S$3&amp;", *")</f>
        <v>0</v>
      </c>
      <c r="T234" s="2">
        <f>COUNTIFS(集計用!$G232,"*, "&amp;T$3&amp;", *")</f>
        <v>0</v>
      </c>
      <c r="U234" s="2">
        <f>COUNTIFS(集計用!$G232,"*, "&amp;U$3&amp;", *")</f>
        <v>0</v>
      </c>
      <c r="V234" s="2">
        <f>COUNTIFS(集計用!$G232,"*, "&amp;V$3&amp;", *")</f>
        <v>0</v>
      </c>
      <c r="W234" s="2">
        <f>COUNTIFS(集計用!$G232,"*, "&amp;W$3&amp;", *")</f>
        <v>0</v>
      </c>
      <c r="X234" s="2">
        <f>COUNTIFS(集計用!$G232,"*, "&amp;X$3&amp;", *")</f>
        <v>0</v>
      </c>
      <c r="Y234" s="2">
        <f>COUNTIFS(集計用!$G232,"*, "&amp;Y$3&amp;", *")</f>
        <v>0</v>
      </c>
      <c r="Z234" s="2">
        <f>COUNTIFS(集計用!$G232,"*, "&amp;Z$3&amp;", *")</f>
        <v>0</v>
      </c>
      <c r="AA234" s="2">
        <f>COUNTIFS(集計用!$G232,"*, "&amp;AA$3&amp;", *")</f>
        <v>0</v>
      </c>
      <c r="AB234" s="2">
        <f>COUNTIFS(集計用!$G232,"*, "&amp;AB$3&amp;", *")</f>
        <v>0</v>
      </c>
      <c r="AC234" s="2">
        <f>COUNTIFS(集計用!$G232,"*, "&amp;AC$3&amp;", *")</f>
        <v>0</v>
      </c>
      <c r="AD234" s="2">
        <f>COUNTIFS(集計用!$G232,"*, "&amp;AD$3&amp;", *")</f>
        <v>0</v>
      </c>
      <c r="AE234" s="2">
        <f>COUNTIFS(集計用!$G232,"*, "&amp;AE$3&amp;", *")</f>
        <v>0</v>
      </c>
      <c r="AF234" s="2">
        <f>COUNTIFS(集計用!$G232,"*, "&amp;AF$3&amp;", *")</f>
        <v>0</v>
      </c>
      <c r="AG234" s="2">
        <f>COUNTIFS(集計用!$G232,"*, "&amp;AG$3&amp;", *")</f>
        <v>0</v>
      </c>
      <c r="AH234" s="2">
        <f>COUNTIFS(集計用!$G232,"*, "&amp;AH$3&amp;", *")</f>
        <v>0</v>
      </c>
      <c r="AI234" s="2">
        <f>COUNTIFS(集計用!$G232,"*, "&amp;AI$3&amp;", *")</f>
        <v>0</v>
      </c>
      <c r="AJ234" s="2">
        <f>COUNTIFS(集計用!$G232,"*, "&amp;AJ$3&amp;", *")</f>
        <v>0</v>
      </c>
      <c r="AK234" s="2">
        <f>COUNTIFS(集計用!$G232,"*, "&amp;AK$3&amp;", *")</f>
        <v>0</v>
      </c>
      <c r="AL234" s="2">
        <f>COUNTIFS(集計用!$G232,"*, "&amp;AL$3&amp;", *")</f>
        <v>0</v>
      </c>
      <c r="AM234" s="2">
        <f>COUNTIFS(集計用!$G232,"*, "&amp;AM$3&amp;", *")</f>
        <v>0</v>
      </c>
      <c r="AN234" s="2">
        <f>COUNTIFS(集計用!$G232,"*, "&amp;AN$3&amp;", *")</f>
        <v>0</v>
      </c>
      <c r="AO234" s="2">
        <f>COUNTIFS(集計用!$G232,"*, "&amp;AO$3&amp;", *")</f>
        <v>0</v>
      </c>
      <c r="AP234" s="2">
        <f>COUNTIFS(集計用!$G232,"*, "&amp;AP$3&amp;", *")</f>
        <v>0</v>
      </c>
      <c r="AQ234" s="2">
        <f>COUNTIFS(集計用!$G232,"*, "&amp;AQ$3&amp;", *")</f>
        <v>0</v>
      </c>
      <c r="AR234" s="2">
        <f>COUNTIFS(集計用!$G232,"*, "&amp;AR$3&amp;", *")</f>
        <v>0</v>
      </c>
      <c r="AS234" s="2">
        <f>COUNTIFS(集計用!$G232,"*, "&amp;AS$3&amp;", *")</f>
        <v>0</v>
      </c>
      <c r="AT234" s="2">
        <f>COUNTIFS(集計用!$G232,"*, "&amp;AT$3&amp;", *")</f>
        <v>0</v>
      </c>
      <c r="AU234" s="2">
        <f>COUNTIFS(集計用!$G232,"*, "&amp;AU$3&amp;", *")</f>
        <v>0</v>
      </c>
      <c r="AV234" s="2">
        <f>COUNTIFS(集計用!$G232,"*, "&amp;AV$3&amp;", *")</f>
        <v>0</v>
      </c>
      <c r="AW234" s="2">
        <f>COUNTIFS(集計用!$G232,"*, "&amp;AW$3&amp;", *")</f>
        <v>0</v>
      </c>
      <c r="AX234" s="2">
        <f>COUNTIFS(集計用!$G232,"*, "&amp;AX$3&amp;", *")</f>
        <v>0</v>
      </c>
      <c r="AY234" s="2">
        <f>COUNTIFS(集計用!$G232,"*, "&amp;AY$3&amp;", *")</f>
        <v>0</v>
      </c>
      <c r="AZ234" s="2">
        <f>COUNTIFS(集計用!$G232,"*, "&amp;AZ$3&amp;", *")</f>
        <v>0</v>
      </c>
      <c r="BA234" s="2">
        <f>COUNTIFS(集計用!$G232,"*, "&amp;BA$3&amp;", *")</f>
        <v>0</v>
      </c>
      <c r="BB234" s="2">
        <f>COUNTIFS(集計用!$G232,"*, "&amp;BB$3&amp;", *")</f>
        <v>0</v>
      </c>
      <c r="BC234" s="2">
        <f>COUNTIFS(集計用!$G232,"*, "&amp;BC$3&amp;", *")</f>
        <v>0</v>
      </c>
      <c r="BD234" s="2">
        <f>COUNTIFS(集計用!$G232,"*, "&amp;BD$3&amp;", *")</f>
        <v>0</v>
      </c>
      <c r="BE234" s="2">
        <f>COUNTIFS(集計用!$G232,"*, "&amp;BE$3&amp;", *")</f>
        <v>0</v>
      </c>
      <c r="BF234" s="2">
        <f>COUNTIFS(集計用!$G232,"*, "&amp;BF$3&amp;", *")</f>
        <v>0</v>
      </c>
      <c r="BG234" s="2">
        <f>COUNTIFS(集計用!$G232,"*, "&amp;BG$3&amp;", *")</f>
        <v>0</v>
      </c>
      <c r="BH234" s="2">
        <f>COUNTIFS(集計用!$G232,"*, "&amp;BH$3&amp;", *")</f>
        <v>0</v>
      </c>
      <c r="BI234" s="2">
        <f>COUNTIFS(集計用!$G232,"*, "&amp;BI$3&amp;", *")</f>
        <v>0</v>
      </c>
      <c r="BJ234" s="2">
        <f>LEN(集計用!H232)-LEN(SUBSTITUTE(集計用!H232,",",""))</f>
        <v>0</v>
      </c>
    </row>
    <row r="235" spans="1:62" ht="12.75">
      <c r="A235" s="8">
        <v>232</v>
      </c>
      <c r="C235" s="2">
        <f t="shared" si="3"/>
        <v>4</v>
      </c>
      <c r="D235" s="9"/>
      <c r="E235" s="2">
        <f>COUNTIFS(集計用!$G233,"*, "&amp;E$3&amp;", *")</f>
        <v>1</v>
      </c>
      <c r="F235" s="2">
        <f>COUNTIFS(集計用!$G233,"*, "&amp;F$3&amp;", *")</f>
        <v>0</v>
      </c>
      <c r="G235" s="2">
        <f>COUNTIFS(集計用!$G233,"*, "&amp;G$3&amp;", *")</f>
        <v>0</v>
      </c>
      <c r="H235" s="2">
        <f>COUNTIFS(集計用!$G233,"*, "&amp;H$3&amp;", *")</f>
        <v>1</v>
      </c>
      <c r="I235" s="2">
        <f>COUNTIFS(集計用!$G233,"*, "&amp;I$3&amp;", *")</f>
        <v>1</v>
      </c>
      <c r="J235" s="2">
        <f>COUNTIFS(集計用!$G233,"*, "&amp;J$3&amp;", *")</f>
        <v>0</v>
      </c>
      <c r="K235" s="2">
        <f>COUNTIFS(集計用!$G233,"*, "&amp;K$3&amp;", *")</f>
        <v>0</v>
      </c>
      <c r="L235" s="2">
        <f>COUNTIFS(集計用!$G233,"*, "&amp;L$3&amp;", *")</f>
        <v>1</v>
      </c>
      <c r="M235" s="2">
        <f>COUNTIFS(集計用!$G233,"*, "&amp;M$3&amp;", *")</f>
        <v>0</v>
      </c>
      <c r="N235" s="2">
        <f>COUNTIFS(集計用!$G233,"*, "&amp;N$3&amp;", *")</f>
        <v>0</v>
      </c>
      <c r="O235" s="2">
        <f>COUNTIFS(集計用!$G233,"*, "&amp;O$3&amp;", *")</f>
        <v>0</v>
      </c>
      <c r="P235" s="2">
        <f>COUNTIFS(集計用!$G233,"*, "&amp;P$3&amp;", *")</f>
        <v>0</v>
      </c>
      <c r="Q235" s="2">
        <f>COUNTIFS(集計用!$G233,"*, "&amp;Q$3&amp;", *")</f>
        <v>0</v>
      </c>
      <c r="R235" s="2">
        <f>COUNTIFS(集計用!$G233,"*, "&amp;R$3&amp;", *")</f>
        <v>0</v>
      </c>
      <c r="S235" s="2">
        <f>COUNTIFS(集計用!$G233,"*, "&amp;S$3&amp;", *")</f>
        <v>0</v>
      </c>
      <c r="T235" s="2">
        <f>COUNTIFS(集計用!$G233,"*, "&amp;T$3&amp;", *")</f>
        <v>0</v>
      </c>
      <c r="U235" s="2">
        <f>COUNTIFS(集計用!$G233,"*, "&amp;U$3&amp;", *")</f>
        <v>0</v>
      </c>
      <c r="V235" s="2">
        <f>COUNTIFS(集計用!$G233,"*, "&amp;V$3&amp;", *")</f>
        <v>0</v>
      </c>
      <c r="W235" s="2">
        <f>COUNTIFS(集計用!$G233,"*, "&amp;W$3&amp;", *")</f>
        <v>0</v>
      </c>
      <c r="X235" s="2">
        <f>COUNTIFS(集計用!$G233,"*, "&amp;X$3&amp;", *")</f>
        <v>0</v>
      </c>
      <c r="Y235" s="2">
        <f>COUNTIFS(集計用!$G233,"*, "&amp;Y$3&amp;", *")</f>
        <v>0</v>
      </c>
      <c r="Z235" s="2">
        <f>COUNTIFS(集計用!$G233,"*, "&amp;Z$3&amp;", *")</f>
        <v>0</v>
      </c>
      <c r="AA235" s="2">
        <f>COUNTIFS(集計用!$G233,"*, "&amp;AA$3&amp;", *")</f>
        <v>0</v>
      </c>
      <c r="AB235" s="2">
        <f>COUNTIFS(集計用!$G233,"*, "&amp;AB$3&amp;", *")</f>
        <v>0</v>
      </c>
      <c r="AC235" s="2">
        <f>COUNTIFS(集計用!$G233,"*, "&amp;AC$3&amp;", *")</f>
        <v>0</v>
      </c>
      <c r="AD235" s="2">
        <f>COUNTIFS(集計用!$G233,"*, "&amp;AD$3&amp;", *")</f>
        <v>0</v>
      </c>
      <c r="AE235" s="2">
        <f>COUNTIFS(集計用!$G233,"*, "&amp;AE$3&amp;", *")</f>
        <v>0</v>
      </c>
      <c r="AF235" s="2">
        <f>COUNTIFS(集計用!$G233,"*, "&amp;AF$3&amp;", *")</f>
        <v>0</v>
      </c>
      <c r="AG235" s="2">
        <f>COUNTIFS(集計用!$G233,"*, "&amp;AG$3&amp;", *")</f>
        <v>0</v>
      </c>
      <c r="AH235" s="2">
        <f>COUNTIFS(集計用!$G233,"*, "&amp;AH$3&amp;", *")</f>
        <v>0</v>
      </c>
      <c r="AI235" s="2">
        <f>COUNTIFS(集計用!$G233,"*, "&amp;AI$3&amp;", *")</f>
        <v>0</v>
      </c>
      <c r="AJ235" s="2">
        <f>COUNTIFS(集計用!$G233,"*, "&amp;AJ$3&amp;", *")</f>
        <v>0</v>
      </c>
      <c r="AK235" s="2">
        <f>COUNTIFS(集計用!$G233,"*, "&amp;AK$3&amp;", *")</f>
        <v>0</v>
      </c>
      <c r="AL235" s="2">
        <f>COUNTIFS(集計用!$G233,"*, "&amp;AL$3&amp;", *")</f>
        <v>0</v>
      </c>
      <c r="AM235" s="2">
        <f>COUNTIFS(集計用!$G233,"*, "&amp;AM$3&amp;", *")</f>
        <v>0</v>
      </c>
      <c r="AN235" s="2">
        <f>COUNTIFS(集計用!$G233,"*, "&amp;AN$3&amp;", *")</f>
        <v>0</v>
      </c>
      <c r="AO235" s="2">
        <f>COUNTIFS(集計用!$G233,"*, "&amp;AO$3&amp;", *")</f>
        <v>0</v>
      </c>
      <c r="AP235" s="2">
        <f>COUNTIFS(集計用!$G233,"*, "&amp;AP$3&amp;", *")</f>
        <v>0</v>
      </c>
      <c r="AQ235" s="2">
        <f>COUNTIFS(集計用!$G233,"*, "&amp;AQ$3&amp;", *")</f>
        <v>0</v>
      </c>
      <c r="AR235" s="2">
        <f>COUNTIFS(集計用!$G233,"*, "&amp;AR$3&amp;", *")</f>
        <v>0</v>
      </c>
      <c r="AS235" s="2">
        <f>COUNTIFS(集計用!$G233,"*, "&amp;AS$3&amp;", *")</f>
        <v>0</v>
      </c>
      <c r="AT235" s="2">
        <f>COUNTIFS(集計用!$G233,"*, "&amp;AT$3&amp;", *")</f>
        <v>0</v>
      </c>
      <c r="AU235" s="2">
        <f>COUNTIFS(集計用!$G233,"*, "&amp;AU$3&amp;", *")</f>
        <v>0</v>
      </c>
      <c r="AV235" s="2">
        <f>COUNTIFS(集計用!$G233,"*, "&amp;AV$3&amp;", *")</f>
        <v>0</v>
      </c>
      <c r="AW235" s="2">
        <f>COUNTIFS(集計用!$G233,"*, "&amp;AW$3&amp;", *")</f>
        <v>0</v>
      </c>
      <c r="AX235" s="2">
        <f>COUNTIFS(集計用!$G233,"*, "&amp;AX$3&amp;", *")</f>
        <v>0</v>
      </c>
      <c r="AY235" s="2">
        <f>COUNTIFS(集計用!$G233,"*, "&amp;AY$3&amp;", *")</f>
        <v>0</v>
      </c>
      <c r="AZ235" s="2">
        <f>COUNTIFS(集計用!$G233,"*, "&amp;AZ$3&amp;", *")</f>
        <v>0</v>
      </c>
      <c r="BA235" s="2">
        <f>COUNTIFS(集計用!$G233,"*, "&amp;BA$3&amp;", *")</f>
        <v>0</v>
      </c>
      <c r="BB235" s="2">
        <f>COUNTIFS(集計用!$G233,"*, "&amp;BB$3&amp;", *")</f>
        <v>0</v>
      </c>
      <c r="BC235" s="2">
        <f>COUNTIFS(集計用!$G233,"*, "&amp;BC$3&amp;", *")</f>
        <v>0</v>
      </c>
      <c r="BD235" s="2">
        <f>COUNTIFS(集計用!$G233,"*, "&amp;BD$3&amp;", *")</f>
        <v>0</v>
      </c>
      <c r="BE235" s="2">
        <f>COUNTIFS(集計用!$G233,"*, "&amp;BE$3&amp;", *")</f>
        <v>0</v>
      </c>
      <c r="BF235" s="2">
        <f>COUNTIFS(集計用!$G233,"*, "&amp;BF$3&amp;", *")</f>
        <v>0</v>
      </c>
      <c r="BG235" s="2">
        <f>COUNTIFS(集計用!$G233,"*, "&amp;BG$3&amp;", *")</f>
        <v>0</v>
      </c>
      <c r="BH235" s="2">
        <f>COUNTIFS(集計用!$G233,"*, "&amp;BH$3&amp;", *")</f>
        <v>0</v>
      </c>
      <c r="BI235" s="2">
        <f>COUNTIFS(集計用!$G233,"*, "&amp;BI$3&amp;", *")</f>
        <v>0</v>
      </c>
      <c r="BJ235" s="2">
        <f>LEN(集計用!H233)-LEN(SUBSTITUTE(集計用!H233,",",""))</f>
        <v>0</v>
      </c>
    </row>
    <row r="236" spans="1:62" ht="12.75">
      <c r="A236" s="8">
        <v>233</v>
      </c>
      <c r="C236" s="2">
        <f t="shared" si="3"/>
        <v>9</v>
      </c>
      <c r="D236" s="9"/>
      <c r="E236" s="2">
        <f>COUNTIFS(集計用!$G234,"*, "&amp;E$3&amp;", *")</f>
        <v>1</v>
      </c>
      <c r="F236" s="2">
        <f>COUNTIFS(集計用!$G234,"*, "&amp;F$3&amp;", *")</f>
        <v>0</v>
      </c>
      <c r="G236" s="2">
        <f>COUNTIFS(集計用!$G234,"*, "&amp;G$3&amp;", *")</f>
        <v>0</v>
      </c>
      <c r="H236" s="2">
        <f>COUNTIFS(集計用!$G234,"*, "&amp;H$3&amp;", *")</f>
        <v>0</v>
      </c>
      <c r="I236" s="2">
        <f>COUNTIFS(集計用!$G234,"*, "&amp;I$3&amp;", *")</f>
        <v>1</v>
      </c>
      <c r="J236" s="2">
        <f>COUNTIFS(集計用!$G234,"*, "&amp;J$3&amp;", *")</f>
        <v>1</v>
      </c>
      <c r="K236" s="2">
        <f>COUNTIFS(集計用!$G234,"*, "&amp;K$3&amp;", *")</f>
        <v>0</v>
      </c>
      <c r="L236" s="2">
        <f>COUNTIFS(集計用!$G234,"*, "&amp;L$3&amp;", *")</f>
        <v>0</v>
      </c>
      <c r="M236" s="2">
        <f>COUNTIFS(集計用!$G234,"*, "&amp;M$3&amp;", *")</f>
        <v>1</v>
      </c>
      <c r="N236" s="2">
        <f>COUNTIFS(集計用!$G234,"*, "&amp;N$3&amp;", *")</f>
        <v>0</v>
      </c>
      <c r="O236" s="2">
        <f>COUNTIFS(集計用!$G234,"*, "&amp;O$3&amp;", *")</f>
        <v>0</v>
      </c>
      <c r="P236" s="2">
        <f>COUNTIFS(集計用!$G234,"*, "&amp;P$3&amp;", *")</f>
        <v>0</v>
      </c>
      <c r="Q236" s="2">
        <f>COUNTIFS(集計用!$G234,"*, "&amp;Q$3&amp;", *")</f>
        <v>1</v>
      </c>
      <c r="R236" s="2">
        <f>COUNTIFS(集計用!$G234,"*, "&amp;R$3&amp;", *")</f>
        <v>1</v>
      </c>
      <c r="S236" s="2">
        <f>COUNTIFS(集計用!$G234,"*, "&amp;S$3&amp;", *")</f>
        <v>0</v>
      </c>
      <c r="T236" s="2">
        <f>COUNTIFS(集計用!$G234,"*, "&amp;T$3&amp;", *")</f>
        <v>0</v>
      </c>
      <c r="U236" s="2">
        <f>COUNTIFS(集計用!$G234,"*, "&amp;U$3&amp;", *")</f>
        <v>0</v>
      </c>
      <c r="V236" s="2">
        <f>COUNTIFS(集計用!$G234,"*, "&amp;V$3&amp;", *")</f>
        <v>0</v>
      </c>
      <c r="W236" s="2">
        <f>COUNTIFS(集計用!$G234,"*, "&amp;W$3&amp;", *")</f>
        <v>0</v>
      </c>
      <c r="X236" s="2">
        <f>COUNTIFS(集計用!$G234,"*, "&amp;X$3&amp;", *")</f>
        <v>0</v>
      </c>
      <c r="Y236" s="2">
        <f>COUNTIFS(集計用!$G234,"*, "&amp;Y$3&amp;", *")</f>
        <v>0</v>
      </c>
      <c r="Z236" s="2">
        <f>COUNTIFS(集計用!$G234,"*, "&amp;Z$3&amp;", *")</f>
        <v>0</v>
      </c>
      <c r="AA236" s="2">
        <f>COUNTIFS(集計用!$G234,"*, "&amp;AA$3&amp;", *")</f>
        <v>0</v>
      </c>
      <c r="AB236" s="2">
        <f>COUNTIFS(集計用!$G234,"*, "&amp;AB$3&amp;", *")</f>
        <v>0</v>
      </c>
      <c r="AC236" s="2">
        <f>COUNTIFS(集計用!$G234,"*, "&amp;AC$3&amp;", *")</f>
        <v>0</v>
      </c>
      <c r="AD236" s="2">
        <f>COUNTIFS(集計用!$G234,"*, "&amp;AD$3&amp;", *")</f>
        <v>0</v>
      </c>
      <c r="AE236" s="2">
        <f>COUNTIFS(集計用!$G234,"*, "&amp;AE$3&amp;", *")</f>
        <v>0</v>
      </c>
      <c r="AF236" s="2">
        <f>COUNTIFS(集計用!$G234,"*, "&amp;AF$3&amp;", *")</f>
        <v>1</v>
      </c>
      <c r="AG236" s="2">
        <f>COUNTIFS(集計用!$G234,"*, "&amp;AG$3&amp;", *")</f>
        <v>0</v>
      </c>
      <c r="AH236" s="2">
        <f>COUNTIFS(集計用!$G234,"*, "&amp;AH$3&amp;", *")</f>
        <v>0</v>
      </c>
      <c r="AI236" s="2">
        <f>COUNTIFS(集計用!$G234,"*, "&amp;AI$3&amp;", *")</f>
        <v>0</v>
      </c>
      <c r="AJ236" s="2">
        <f>COUNTIFS(集計用!$G234,"*, "&amp;AJ$3&amp;", *")</f>
        <v>1</v>
      </c>
      <c r="AK236" s="2">
        <f>COUNTIFS(集計用!$G234,"*, "&amp;AK$3&amp;", *")</f>
        <v>0</v>
      </c>
      <c r="AL236" s="2">
        <f>COUNTIFS(集計用!$G234,"*, "&amp;AL$3&amp;", *")</f>
        <v>0</v>
      </c>
      <c r="AM236" s="2">
        <f>COUNTIFS(集計用!$G234,"*, "&amp;AM$3&amp;", *")</f>
        <v>0</v>
      </c>
      <c r="AN236" s="2">
        <f>COUNTIFS(集計用!$G234,"*, "&amp;AN$3&amp;", *")</f>
        <v>0</v>
      </c>
      <c r="AO236" s="2">
        <f>COUNTIFS(集計用!$G234,"*, "&amp;AO$3&amp;", *")</f>
        <v>0</v>
      </c>
      <c r="AP236" s="2">
        <f>COUNTIFS(集計用!$G234,"*, "&amp;AP$3&amp;", *")</f>
        <v>1</v>
      </c>
      <c r="AQ236" s="2">
        <f>COUNTIFS(集計用!$G234,"*, "&amp;AQ$3&amp;", *")</f>
        <v>0</v>
      </c>
      <c r="AR236" s="2">
        <f>COUNTIFS(集計用!$G234,"*, "&amp;AR$3&amp;", *")</f>
        <v>0</v>
      </c>
      <c r="AS236" s="2">
        <f>COUNTIFS(集計用!$G234,"*, "&amp;AS$3&amp;", *")</f>
        <v>0</v>
      </c>
      <c r="AT236" s="2">
        <f>COUNTIFS(集計用!$G234,"*, "&amp;AT$3&amp;", *")</f>
        <v>0</v>
      </c>
      <c r="AU236" s="2">
        <f>COUNTIFS(集計用!$G234,"*, "&amp;AU$3&amp;", *")</f>
        <v>0</v>
      </c>
      <c r="AV236" s="2">
        <f>COUNTIFS(集計用!$G234,"*, "&amp;AV$3&amp;", *")</f>
        <v>0</v>
      </c>
      <c r="AW236" s="2">
        <f>COUNTIFS(集計用!$G234,"*, "&amp;AW$3&amp;", *")</f>
        <v>0</v>
      </c>
      <c r="AX236" s="2">
        <f>COUNTIFS(集計用!$G234,"*, "&amp;AX$3&amp;", *")</f>
        <v>0</v>
      </c>
      <c r="AY236" s="2">
        <f>COUNTIFS(集計用!$G234,"*, "&amp;AY$3&amp;", *")</f>
        <v>0</v>
      </c>
      <c r="AZ236" s="2">
        <f>COUNTIFS(集計用!$G234,"*, "&amp;AZ$3&amp;", *")</f>
        <v>0</v>
      </c>
      <c r="BA236" s="2">
        <f>COUNTIFS(集計用!$G234,"*, "&amp;BA$3&amp;", *")</f>
        <v>0</v>
      </c>
      <c r="BB236" s="2">
        <f>COUNTIFS(集計用!$G234,"*, "&amp;BB$3&amp;", *")</f>
        <v>0</v>
      </c>
      <c r="BC236" s="2">
        <f>COUNTIFS(集計用!$G234,"*, "&amp;BC$3&amp;", *")</f>
        <v>0</v>
      </c>
      <c r="BD236" s="2">
        <f>COUNTIFS(集計用!$G234,"*, "&amp;BD$3&amp;", *")</f>
        <v>0</v>
      </c>
      <c r="BE236" s="2">
        <f>COUNTIFS(集計用!$G234,"*, "&amp;BE$3&amp;", *")</f>
        <v>0</v>
      </c>
      <c r="BF236" s="2">
        <f>COUNTIFS(集計用!$G234,"*, "&amp;BF$3&amp;", *")</f>
        <v>0</v>
      </c>
      <c r="BG236" s="2">
        <f>COUNTIFS(集計用!$G234,"*, "&amp;BG$3&amp;", *")</f>
        <v>0</v>
      </c>
      <c r="BH236" s="2">
        <f>COUNTIFS(集計用!$G234,"*, "&amp;BH$3&amp;", *")</f>
        <v>0</v>
      </c>
      <c r="BI236" s="2">
        <f>COUNTIFS(集計用!$G234,"*, "&amp;BI$3&amp;", *")</f>
        <v>0</v>
      </c>
      <c r="BJ236" s="2">
        <f>LEN(集計用!H234)-LEN(SUBSTITUTE(集計用!H234,",",""))</f>
        <v>0</v>
      </c>
    </row>
    <row r="237" spans="1:62" ht="12.75">
      <c r="A237" s="8">
        <v>234</v>
      </c>
      <c r="C237" s="2">
        <f t="shared" si="3"/>
        <v>5</v>
      </c>
      <c r="D237" s="9"/>
      <c r="E237" s="2">
        <f>COUNTIFS(集計用!$G235,"*, "&amp;E$3&amp;", *")</f>
        <v>0</v>
      </c>
      <c r="F237" s="2">
        <f>COUNTIFS(集計用!$G235,"*, "&amp;F$3&amp;", *")</f>
        <v>0</v>
      </c>
      <c r="G237" s="2">
        <f>COUNTIFS(集計用!$G235,"*, "&amp;G$3&amp;", *")</f>
        <v>1</v>
      </c>
      <c r="H237" s="2">
        <f>COUNTIFS(集計用!$G235,"*, "&amp;H$3&amp;", *")</f>
        <v>0</v>
      </c>
      <c r="I237" s="2">
        <f>COUNTIFS(集計用!$G235,"*, "&amp;I$3&amp;", *")</f>
        <v>1</v>
      </c>
      <c r="J237" s="2">
        <f>COUNTIFS(集計用!$G235,"*, "&amp;J$3&amp;", *")</f>
        <v>1</v>
      </c>
      <c r="K237" s="2">
        <f>COUNTIFS(集計用!$G235,"*, "&amp;K$3&amp;", *")</f>
        <v>0</v>
      </c>
      <c r="L237" s="2">
        <f>COUNTIFS(集計用!$G235,"*, "&amp;L$3&amp;", *")</f>
        <v>0</v>
      </c>
      <c r="M237" s="2">
        <f>COUNTIFS(集計用!$G235,"*, "&amp;M$3&amp;", *")</f>
        <v>0</v>
      </c>
      <c r="N237" s="2">
        <f>COUNTIFS(集計用!$G235,"*, "&amp;N$3&amp;", *")</f>
        <v>0</v>
      </c>
      <c r="O237" s="2">
        <f>COUNTIFS(集計用!$G235,"*, "&amp;O$3&amp;", *")</f>
        <v>0</v>
      </c>
      <c r="P237" s="2">
        <f>COUNTIFS(集計用!$G235,"*, "&amp;P$3&amp;", *")</f>
        <v>0</v>
      </c>
      <c r="Q237" s="2">
        <f>COUNTIFS(集計用!$G235,"*, "&amp;Q$3&amp;", *")</f>
        <v>0</v>
      </c>
      <c r="R237" s="2">
        <f>COUNTIFS(集計用!$G235,"*, "&amp;R$3&amp;", *")</f>
        <v>0</v>
      </c>
      <c r="S237" s="2">
        <f>COUNTIFS(集計用!$G235,"*, "&amp;S$3&amp;", *")</f>
        <v>1</v>
      </c>
      <c r="T237" s="2">
        <f>COUNTIFS(集計用!$G235,"*, "&amp;T$3&amp;", *")</f>
        <v>0</v>
      </c>
      <c r="U237" s="2">
        <f>COUNTIFS(集計用!$G235,"*, "&amp;U$3&amp;", *")</f>
        <v>0</v>
      </c>
      <c r="V237" s="2">
        <f>COUNTIFS(集計用!$G235,"*, "&amp;V$3&amp;", *")</f>
        <v>0</v>
      </c>
      <c r="W237" s="2">
        <f>COUNTIFS(集計用!$G235,"*, "&amp;W$3&amp;", *")</f>
        <v>0</v>
      </c>
      <c r="X237" s="2">
        <f>COUNTIFS(集計用!$G235,"*, "&amp;X$3&amp;", *")</f>
        <v>0</v>
      </c>
      <c r="Y237" s="2">
        <f>COUNTIFS(集計用!$G235,"*, "&amp;Y$3&amp;", *")</f>
        <v>0</v>
      </c>
      <c r="Z237" s="2">
        <f>COUNTIFS(集計用!$G235,"*, "&amp;Z$3&amp;", *")</f>
        <v>0</v>
      </c>
      <c r="AA237" s="2">
        <f>COUNTIFS(集計用!$G235,"*, "&amp;AA$3&amp;", *")</f>
        <v>0</v>
      </c>
      <c r="AB237" s="2">
        <f>COUNTIFS(集計用!$G235,"*, "&amp;AB$3&amp;", *")</f>
        <v>0</v>
      </c>
      <c r="AC237" s="2">
        <f>COUNTIFS(集計用!$G235,"*, "&amp;AC$3&amp;", *")</f>
        <v>0</v>
      </c>
      <c r="AD237" s="2">
        <f>COUNTIFS(集計用!$G235,"*, "&amp;AD$3&amp;", *")</f>
        <v>0</v>
      </c>
      <c r="AE237" s="2">
        <f>COUNTIFS(集計用!$G235,"*, "&amp;AE$3&amp;", *")</f>
        <v>0</v>
      </c>
      <c r="AF237" s="2">
        <f>COUNTIFS(集計用!$G235,"*, "&amp;AF$3&amp;", *")</f>
        <v>0</v>
      </c>
      <c r="AG237" s="2">
        <f>COUNTIFS(集計用!$G235,"*, "&amp;AG$3&amp;", *")</f>
        <v>0</v>
      </c>
      <c r="AH237" s="2">
        <f>COUNTIFS(集計用!$G235,"*, "&amp;AH$3&amp;", *")</f>
        <v>0</v>
      </c>
      <c r="AI237" s="2">
        <f>COUNTIFS(集計用!$G235,"*, "&amp;AI$3&amp;", *")</f>
        <v>0</v>
      </c>
      <c r="AJ237" s="2">
        <f>COUNTIFS(集計用!$G235,"*, "&amp;AJ$3&amp;", *")</f>
        <v>0</v>
      </c>
      <c r="AK237" s="2">
        <f>COUNTIFS(集計用!$G235,"*, "&amp;AK$3&amp;", *")</f>
        <v>0</v>
      </c>
      <c r="AL237" s="2">
        <f>COUNTIFS(集計用!$G235,"*, "&amp;AL$3&amp;", *")</f>
        <v>0</v>
      </c>
      <c r="AM237" s="2">
        <f>COUNTIFS(集計用!$G235,"*, "&amp;AM$3&amp;", *")</f>
        <v>0</v>
      </c>
      <c r="AN237" s="2">
        <f>COUNTIFS(集計用!$G235,"*, "&amp;AN$3&amp;", *")</f>
        <v>0</v>
      </c>
      <c r="AO237" s="2">
        <f>COUNTIFS(集計用!$G235,"*, "&amp;AO$3&amp;", *")</f>
        <v>0</v>
      </c>
      <c r="AP237" s="2">
        <f>COUNTIFS(集計用!$G235,"*, "&amp;AP$3&amp;", *")</f>
        <v>0</v>
      </c>
      <c r="AQ237" s="2">
        <f>COUNTIFS(集計用!$G235,"*, "&amp;AQ$3&amp;", *")</f>
        <v>0</v>
      </c>
      <c r="AR237" s="2">
        <f>COUNTIFS(集計用!$G235,"*, "&amp;AR$3&amp;", *")</f>
        <v>0</v>
      </c>
      <c r="AS237" s="2">
        <f>COUNTIFS(集計用!$G235,"*, "&amp;AS$3&amp;", *")</f>
        <v>0</v>
      </c>
      <c r="AT237" s="2">
        <f>COUNTIFS(集計用!$G235,"*, "&amp;AT$3&amp;", *")</f>
        <v>0</v>
      </c>
      <c r="AU237" s="2">
        <f>COUNTIFS(集計用!$G235,"*, "&amp;AU$3&amp;", *")</f>
        <v>1</v>
      </c>
      <c r="AV237" s="2">
        <f>COUNTIFS(集計用!$G235,"*, "&amp;AV$3&amp;", *")</f>
        <v>0</v>
      </c>
      <c r="AW237" s="2">
        <f>COUNTIFS(集計用!$G235,"*, "&amp;AW$3&amp;", *")</f>
        <v>0</v>
      </c>
      <c r="AX237" s="2">
        <f>COUNTIFS(集計用!$G235,"*, "&amp;AX$3&amp;", *")</f>
        <v>0</v>
      </c>
      <c r="AY237" s="2">
        <f>COUNTIFS(集計用!$G235,"*, "&amp;AY$3&amp;", *")</f>
        <v>0</v>
      </c>
      <c r="AZ237" s="2">
        <f>COUNTIFS(集計用!$G235,"*, "&amp;AZ$3&amp;", *")</f>
        <v>0</v>
      </c>
      <c r="BA237" s="2">
        <f>COUNTIFS(集計用!$G235,"*, "&amp;BA$3&amp;", *")</f>
        <v>0</v>
      </c>
      <c r="BB237" s="2">
        <f>COUNTIFS(集計用!$G235,"*, "&amp;BB$3&amp;", *")</f>
        <v>0</v>
      </c>
      <c r="BC237" s="2">
        <f>COUNTIFS(集計用!$G235,"*, "&amp;BC$3&amp;", *")</f>
        <v>0</v>
      </c>
      <c r="BD237" s="2">
        <f>COUNTIFS(集計用!$G235,"*, "&amp;BD$3&amp;", *")</f>
        <v>0</v>
      </c>
      <c r="BE237" s="2">
        <f>COUNTIFS(集計用!$G235,"*, "&amp;BE$3&amp;", *")</f>
        <v>0</v>
      </c>
      <c r="BF237" s="2">
        <f>COUNTIFS(集計用!$G235,"*, "&amp;BF$3&amp;", *")</f>
        <v>0</v>
      </c>
      <c r="BG237" s="2">
        <f>COUNTIFS(集計用!$G235,"*, "&amp;BG$3&amp;", *")</f>
        <v>0</v>
      </c>
      <c r="BH237" s="2">
        <f>COUNTIFS(集計用!$G235,"*, "&amp;BH$3&amp;", *")</f>
        <v>0</v>
      </c>
      <c r="BI237" s="2">
        <f>COUNTIFS(集計用!$G235,"*, "&amp;BI$3&amp;", *")</f>
        <v>0</v>
      </c>
      <c r="BJ237" s="2">
        <f>LEN(集計用!H235)-LEN(SUBSTITUTE(集計用!H235,",",""))</f>
        <v>0</v>
      </c>
    </row>
    <row r="238" spans="1:62" ht="12.75">
      <c r="A238" s="8">
        <v>235</v>
      </c>
      <c r="C238" s="2">
        <f t="shared" si="3"/>
        <v>6</v>
      </c>
      <c r="D238" s="9"/>
      <c r="E238" s="2">
        <f>COUNTIFS(集計用!$G236,"*, "&amp;E$3&amp;", *")</f>
        <v>0</v>
      </c>
      <c r="F238" s="2">
        <f>COUNTIFS(集計用!$G236,"*, "&amp;F$3&amp;", *")</f>
        <v>0</v>
      </c>
      <c r="G238" s="2">
        <f>COUNTIFS(集計用!$G236,"*, "&amp;G$3&amp;", *")</f>
        <v>1</v>
      </c>
      <c r="H238" s="2">
        <f>COUNTIFS(集計用!$G236,"*, "&amp;H$3&amp;", *")</f>
        <v>0</v>
      </c>
      <c r="I238" s="2">
        <f>COUNTIFS(集計用!$G236,"*, "&amp;I$3&amp;", *")</f>
        <v>0</v>
      </c>
      <c r="J238" s="2">
        <f>COUNTIFS(集計用!$G236,"*, "&amp;J$3&amp;", *")</f>
        <v>1</v>
      </c>
      <c r="K238" s="2">
        <f>COUNTIFS(集計用!$G236,"*, "&amp;K$3&amp;", *")</f>
        <v>0</v>
      </c>
      <c r="L238" s="2">
        <f>COUNTIFS(集計用!$G236,"*, "&amp;L$3&amp;", *")</f>
        <v>0</v>
      </c>
      <c r="M238" s="2">
        <f>COUNTIFS(集計用!$G236,"*, "&amp;M$3&amp;", *")</f>
        <v>0</v>
      </c>
      <c r="N238" s="2">
        <f>COUNTIFS(集計用!$G236,"*, "&amp;N$3&amp;", *")</f>
        <v>0</v>
      </c>
      <c r="O238" s="2">
        <f>COUNTIFS(集計用!$G236,"*, "&amp;O$3&amp;", *")</f>
        <v>0</v>
      </c>
      <c r="P238" s="2">
        <f>COUNTIFS(集計用!$G236,"*, "&amp;P$3&amp;", *")</f>
        <v>0</v>
      </c>
      <c r="Q238" s="2">
        <f>COUNTIFS(集計用!$G236,"*, "&amp;Q$3&amp;", *")</f>
        <v>0</v>
      </c>
      <c r="R238" s="2">
        <f>COUNTIFS(集計用!$G236,"*, "&amp;R$3&amp;", *")</f>
        <v>0</v>
      </c>
      <c r="S238" s="2">
        <f>COUNTIFS(集計用!$G236,"*, "&amp;S$3&amp;", *")</f>
        <v>1</v>
      </c>
      <c r="T238" s="2">
        <f>COUNTIFS(集計用!$G236,"*, "&amp;T$3&amp;", *")</f>
        <v>0</v>
      </c>
      <c r="U238" s="2">
        <f>COUNTIFS(集計用!$G236,"*, "&amp;U$3&amp;", *")</f>
        <v>0</v>
      </c>
      <c r="V238" s="2">
        <f>COUNTIFS(集計用!$G236,"*, "&amp;V$3&amp;", *")</f>
        <v>0</v>
      </c>
      <c r="W238" s="2">
        <f>COUNTIFS(集計用!$G236,"*, "&amp;W$3&amp;", *")</f>
        <v>0</v>
      </c>
      <c r="X238" s="2">
        <f>COUNTIFS(集計用!$G236,"*, "&amp;X$3&amp;", *")</f>
        <v>0</v>
      </c>
      <c r="Y238" s="2">
        <f>COUNTIFS(集計用!$G236,"*, "&amp;Y$3&amp;", *")</f>
        <v>0</v>
      </c>
      <c r="Z238" s="2">
        <f>COUNTIFS(集計用!$G236,"*, "&amp;Z$3&amp;", *")</f>
        <v>0</v>
      </c>
      <c r="AA238" s="2">
        <f>COUNTIFS(集計用!$G236,"*, "&amp;AA$3&amp;", *")</f>
        <v>0</v>
      </c>
      <c r="AB238" s="2">
        <f>COUNTIFS(集計用!$G236,"*, "&amp;AB$3&amp;", *")</f>
        <v>0</v>
      </c>
      <c r="AC238" s="2">
        <f>COUNTIFS(集計用!$G236,"*, "&amp;AC$3&amp;", *")</f>
        <v>0</v>
      </c>
      <c r="AD238" s="2">
        <f>COUNTIFS(集計用!$G236,"*, "&amp;AD$3&amp;", *")</f>
        <v>0</v>
      </c>
      <c r="AE238" s="2">
        <f>COUNTIFS(集計用!$G236,"*, "&amp;AE$3&amp;", *")</f>
        <v>0</v>
      </c>
      <c r="AF238" s="2">
        <f>COUNTIFS(集計用!$G236,"*, "&amp;AF$3&amp;", *")</f>
        <v>0</v>
      </c>
      <c r="AG238" s="2">
        <f>COUNTIFS(集計用!$G236,"*, "&amp;AG$3&amp;", *")</f>
        <v>0</v>
      </c>
      <c r="AH238" s="2">
        <f>COUNTIFS(集計用!$G236,"*, "&amp;AH$3&amp;", *")</f>
        <v>1</v>
      </c>
      <c r="AI238" s="2">
        <f>COUNTIFS(集計用!$G236,"*, "&amp;AI$3&amp;", *")</f>
        <v>0</v>
      </c>
      <c r="AJ238" s="2">
        <f>COUNTIFS(集計用!$G236,"*, "&amp;AJ$3&amp;", *")</f>
        <v>0</v>
      </c>
      <c r="AK238" s="2">
        <f>COUNTIFS(集計用!$G236,"*, "&amp;AK$3&amp;", *")</f>
        <v>0</v>
      </c>
      <c r="AL238" s="2">
        <f>COUNTIFS(集計用!$G236,"*, "&amp;AL$3&amp;", *")</f>
        <v>1</v>
      </c>
      <c r="AM238" s="2">
        <f>COUNTIFS(集計用!$G236,"*, "&amp;AM$3&amp;", *")</f>
        <v>0</v>
      </c>
      <c r="AN238" s="2">
        <f>COUNTIFS(集計用!$G236,"*, "&amp;AN$3&amp;", *")</f>
        <v>0</v>
      </c>
      <c r="AO238" s="2">
        <f>COUNTIFS(集計用!$G236,"*, "&amp;AO$3&amp;", *")</f>
        <v>0</v>
      </c>
      <c r="AP238" s="2">
        <f>COUNTIFS(集計用!$G236,"*, "&amp;AP$3&amp;", *")</f>
        <v>0</v>
      </c>
      <c r="AQ238" s="2">
        <f>COUNTIFS(集計用!$G236,"*, "&amp;AQ$3&amp;", *")</f>
        <v>0</v>
      </c>
      <c r="AR238" s="2">
        <f>COUNTIFS(集計用!$G236,"*, "&amp;AR$3&amp;", *")</f>
        <v>0</v>
      </c>
      <c r="AS238" s="2">
        <f>COUNTIFS(集計用!$G236,"*, "&amp;AS$3&amp;", *")</f>
        <v>1</v>
      </c>
      <c r="AT238" s="2">
        <f>COUNTIFS(集計用!$G236,"*, "&amp;AT$3&amp;", *")</f>
        <v>0</v>
      </c>
      <c r="AU238" s="2">
        <f>COUNTIFS(集計用!$G236,"*, "&amp;AU$3&amp;", *")</f>
        <v>0</v>
      </c>
      <c r="AV238" s="2">
        <f>COUNTIFS(集計用!$G236,"*, "&amp;AV$3&amp;", *")</f>
        <v>0</v>
      </c>
      <c r="AW238" s="2">
        <f>COUNTIFS(集計用!$G236,"*, "&amp;AW$3&amp;", *")</f>
        <v>0</v>
      </c>
      <c r="AX238" s="2">
        <f>COUNTIFS(集計用!$G236,"*, "&amp;AX$3&amp;", *")</f>
        <v>0</v>
      </c>
      <c r="AY238" s="2">
        <f>COUNTIFS(集計用!$G236,"*, "&amp;AY$3&amp;", *")</f>
        <v>0</v>
      </c>
      <c r="AZ238" s="2">
        <f>COUNTIFS(集計用!$G236,"*, "&amp;AZ$3&amp;", *")</f>
        <v>0</v>
      </c>
      <c r="BA238" s="2">
        <f>COUNTIFS(集計用!$G236,"*, "&amp;BA$3&amp;", *")</f>
        <v>0</v>
      </c>
      <c r="BB238" s="2">
        <f>COUNTIFS(集計用!$G236,"*, "&amp;BB$3&amp;", *")</f>
        <v>0</v>
      </c>
      <c r="BC238" s="2">
        <f>COUNTIFS(集計用!$G236,"*, "&amp;BC$3&amp;", *")</f>
        <v>0</v>
      </c>
      <c r="BD238" s="2">
        <f>COUNTIFS(集計用!$G236,"*, "&amp;BD$3&amp;", *")</f>
        <v>0</v>
      </c>
      <c r="BE238" s="2">
        <f>COUNTIFS(集計用!$G236,"*, "&amp;BE$3&amp;", *")</f>
        <v>0</v>
      </c>
      <c r="BF238" s="2">
        <f>COUNTIFS(集計用!$G236,"*, "&amp;BF$3&amp;", *")</f>
        <v>0</v>
      </c>
      <c r="BG238" s="2">
        <f>COUNTIFS(集計用!$G236,"*, "&amp;BG$3&amp;", *")</f>
        <v>0</v>
      </c>
      <c r="BH238" s="2">
        <f>COUNTIFS(集計用!$G236,"*, "&amp;BH$3&amp;", *")</f>
        <v>0</v>
      </c>
      <c r="BI238" s="2">
        <f>COUNTIFS(集計用!$G236,"*, "&amp;BI$3&amp;", *")</f>
        <v>0</v>
      </c>
      <c r="BJ238" s="2">
        <f>LEN(集計用!H236)-LEN(SUBSTITUTE(集計用!H236,",",""))</f>
        <v>0</v>
      </c>
    </row>
    <row r="239" spans="1:62" ht="12.75">
      <c r="A239" s="8">
        <v>236</v>
      </c>
      <c r="C239" s="2">
        <f t="shared" si="3"/>
        <v>3</v>
      </c>
      <c r="D239" s="9"/>
      <c r="E239" s="2">
        <f>COUNTIFS(集計用!$G237,"*, "&amp;E$3&amp;", *")</f>
        <v>0</v>
      </c>
      <c r="F239" s="2">
        <f>COUNTIFS(集計用!$G237,"*, "&amp;F$3&amp;", *")</f>
        <v>1</v>
      </c>
      <c r="G239" s="2">
        <f>COUNTIFS(集計用!$G237,"*, "&amp;G$3&amp;", *")</f>
        <v>0</v>
      </c>
      <c r="H239" s="2">
        <f>COUNTIFS(集計用!$G237,"*, "&amp;H$3&amp;", *")</f>
        <v>1</v>
      </c>
      <c r="I239" s="2">
        <f>COUNTIFS(集計用!$G237,"*, "&amp;I$3&amp;", *")</f>
        <v>0</v>
      </c>
      <c r="J239" s="2">
        <f>COUNTIFS(集計用!$G237,"*, "&amp;J$3&amp;", *")</f>
        <v>0</v>
      </c>
      <c r="K239" s="2">
        <f>COUNTIFS(集計用!$G237,"*, "&amp;K$3&amp;", *")</f>
        <v>0</v>
      </c>
      <c r="L239" s="2">
        <f>COUNTIFS(集計用!$G237,"*, "&amp;L$3&amp;", *")</f>
        <v>0</v>
      </c>
      <c r="M239" s="2">
        <f>COUNTIFS(集計用!$G237,"*, "&amp;M$3&amp;", *")</f>
        <v>0</v>
      </c>
      <c r="N239" s="2">
        <f>COUNTIFS(集計用!$G237,"*, "&amp;N$3&amp;", *")</f>
        <v>0</v>
      </c>
      <c r="O239" s="2">
        <f>COUNTIFS(集計用!$G237,"*, "&amp;O$3&amp;", *")</f>
        <v>0</v>
      </c>
      <c r="P239" s="2">
        <f>COUNTIFS(集計用!$G237,"*, "&amp;P$3&amp;", *")</f>
        <v>0</v>
      </c>
      <c r="Q239" s="2">
        <f>COUNTIFS(集計用!$G237,"*, "&amp;Q$3&amp;", *")</f>
        <v>0</v>
      </c>
      <c r="R239" s="2">
        <f>COUNTIFS(集計用!$G237,"*, "&amp;R$3&amp;", *")</f>
        <v>0</v>
      </c>
      <c r="S239" s="2">
        <f>COUNTIFS(集計用!$G237,"*, "&amp;S$3&amp;", *")</f>
        <v>0</v>
      </c>
      <c r="T239" s="2">
        <f>COUNTIFS(集計用!$G237,"*, "&amp;T$3&amp;", *")</f>
        <v>0</v>
      </c>
      <c r="U239" s="2">
        <f>COUNTIFS(集計用!$G237,"*, "&amp;U$3&amp;", *")</f>
        <v>0</v>
      </c>
      <c r="V239" s="2">
        <f>COUNTIFS(集計用!$G237,"*, "&amp;V$3&amp;", *")</f>
        <v>0</v>
      </c>
      <c r="W239" s="2">
        <f>COUNTIFS(集計用!$G237,"*, "&amp;W$3&amp;", *")</f>
        <v>0</v>
      </c>
      <c r="X239" s="2">
        <f>COUNTIFS(集計用!$G237,"*, "&amp;X$3&amp;", *")</f>
        <v>0</v>
      </c>
      <c r="Y239" s="2">
        <f>COUNTIFS(集計用!$G237,"*, "&amp;Y$3&amp;", *")</f>
        <v>0</v>
      </c>
      <c r="Z239" s="2">
        <f>COUNTIFS(集計用!$G237,"*, "&amp;Z$3&amp;", *")</f>
        <v>0</v>
      </c>
      <c r="AA239" s="2">
        <f>COUNTIFS(集計用!$G237,"*, "&amp;AA$3&amp;", *")</f>
        <v>0</v>
      </c>
      <c r="AB239" s="2">
        <f>COUNTIFS(集計用!$G237,"*, "&amp;AB$3&amp;", *")</f>
        <v>0</v>
      </c>
      <c r="AC239" s="2">
        <f>COUNTIFS(集計用!$G237,"*, "&amp;AC$3&amp;", *")</f>
        <v>0</v>
      </c>
      <c r="AD239" s="2">
        <f>COUNTIFS(集計用!$G237,"*, "&amp;AD$3&amp;", *")</f>
        <v>0</v>
      </c>
      <c r="AE239" s="2">
        <f>COUNTIFS(集計用!$G237,"*, "&amp;AE$3&amp;", *")</f>
        <v>0</v>
      </c>
      <c r="AF239" s="2">
        <f>COUNTIFS(集計用!$G237,"*, "&amp;AF$3&amp;", *")</f>
        <v>0</v>
      </c>
      <c r="AG239" s="2">
        <f>COUNTIFS(集計用!$G237,"*, "&amp;AG$3&amp;", *")</f>
        <v>0</v>
      </c>
      <c r="AH239" s="2">
        <f>COUNTIFS(集計用!$G237,"*, "&amp;AH$3&amp;", *")</f>
        <v>0</v>
      </c>
      <c r="AI239" s="2">
        <f>COUNTIFS(集計用!$G237,"*, "&amp;AI$3&amp;", *")</f>
        <v>0</v>
      </c>
      <c r="AJ239" s="2">
        <f>COUNTIFS(集計用!$G237,"*, "&amp;AJ$3&amp;", *")</f>
        <v>0</v>
      </c>
      <c r="AK239" s="2">
        <f>COUNTIFS(集計用!$G237,"*, "&amp;AK$3&amp;", *")</f>
        <v>0</v>
      </c>
      <c r="AL239" s="2">
        <f>COUNTIFS(集計用!$G237,"*, "&amp;AL$3&amp;", *")</f>
        <v>0</v>
      </c>
      <c r="AM239" s="2">
        <f>COUNTIFS(集計用!$G237,"*, "&amp;AM$3&amp;", *")</f>
        <v>0</v>
      </c>
      <c r="AN239" s="2">
        <f>COUNTIFS(集計用!$G237,"*, "&amp;AN$3&amp;", *")</f>
        <v>0</v>
      </c>
      <c r="AO239" s="2">
        <f>COUNTIFS(集計用!$G237,"*, "&amp;AO$3&amp;", *")</f>
        <v>0</v>
      </c>
      <c r="AP239" s="2">
        <f>COUNTIFS(集計用!$G237,"*, "&amp;AP$3&amp;", *")</f>
        <v>0</v>
      </c>
      <c r="AQ239" s="2">
        <f>COUNTIFS(集計用!$G237,"*, "&amp;AQ$3&amp;", *")</f>
        <v>0</v>
      </c>
      <c r="AR239" s="2">
        <f>COUNTIFS(集計用!$G237,"*, "&amp;AR$3&amp;", *")</f>
        <v>0</v>
      </c>
      <c r="AS239" s="2">
        <f>COUNTIFS(集計用!$G237,"*, "&amp;AS$3&amp;", *")</f>
        <v>0</v>
      </c>
      <c r="AT239" s="2">
        <f>COUNTIFS(集計用!$G237,"*, "&amp;AT$3&amp;", *")</f>
        <v>0</v>
      </c>
      <c r="AU239" s="2">
        <f>COUNTIFS(集計用!$G237,"*, "&amp;AU$3&amp;", *")</f>
        <v>0</v>
      </c>
      <c r="AV239" s="2">
        <f>COUNTIFS(集計用!$G237,"*, "&amp;AV$3&amp;", *")</f>
        <v>0</v>
      </c>
      <c r="AW239" s="2">
        <f>COUNTIFS(集計用!$G237,"*, "&amp;AW$3&amp;", *")</f>
        <v>0</v>
      </c>
      <c r="AX239" s="2">
        <f>COUNTIFS(集計用!$G237,"*, "&amp;AX$3&amp;", *")</f>
        <v>0</v>
      </c>
      <c r="AY239" s="2">
        <f>COUNTIFS(集計用!$G237,"*, "&amp;AY$3&amp;", *")</f>
        <v>0</v>
      </c>
      <c r="AZ239" s="2">
        <f>COUNTIFS(集計用!$G237,"*, "&amp;AZ$3&amp;", *")</f>
        <v>0</v>
      </c>
      <c r="BA239" s="2">
        <f>COUNTIFS(集計用!$G237,"*, "&amp;BA$3&amp;", *")</f>
        <v>0</v>
      </c>
      <c r="BB239" s="2">
        <f>COUNTIFS(集計用!$G237,"*, "&amp;BB$3&amp;", *")</f>
        <v>0</v>
      </c>
      <c r="BC239" s="2">
        <f>COUNTIFS(集計用!$G237,"*, "&amp;BC$3&amp;", *")</f>
        <v>0</v>
      </c>
      <c r="BD239" s="2">
        <f>COUNTIFS(集計用!$G237,"*, "&amp;BD$3&amp;", *")</f>
        <v>0</v>
      </c>
      <c r="BE239" s="2">
        <f>COUNTIFS(集計用!$G237,"*, "&amp;BE$3&amp;", *")</f>
        <v>0</v>
      </c>
      <c r="BF239" s="2">
        <f>COUNTIFS(集計用!$G237,"*, "&amp;BF$3&amp;", *")</f>
        <v>0</v>
      </c>
      <c r="BG239" s="2">
        <f>COUNTIFS(集計用!$G237,"*, "&amp;BG$3&amp;", *")</f>
        <v>0</v>
      </c>
      <c r="BH239" s="2">
        <f>COUNTIFS(集計用!$G237,"*, "&amp;BH$3&amp;", *")</f>
        <v>0</v>
      </c>
      <c r="BI239" s="2">
        <f>COUNTIFS(集計用!$G237,"*, "&amp;BI$3&amp;", *")</f>
        <v>0</v>
      </c>
      <c r="BJ239" s="2">
        <f>LEN(集計用!H237)-LEN(SUBSTITUTE(集計用!H237,",",""))</f>
        <v>1</v>
      </c>
    </row>
    <row r="240" spans="1:62" ht="12.75">
      <c r="A240" s="8">
        <v>237</v>
      </c>
      <c r="C240" s="2">
        <f t="shared" si="3"/>
        <v>2</v>
      </c>
      <c r="D240" s="9"/>
      <c r="E240" s="2">
        <f>COUNTIFS(集計用!$G238,"*, "&amp;E$3&amp;", *")</f>
        <v>0</v>
      </c>
      <c r="F240" s="2">
        <f>COUNTIFS(集計用!$G238,"*, "&amp;F$3&amp;", *")</f>
        <v>0</v>
      </c>
      <c r="G240" s="2">
        <f>COUNTIFS(集計用!$G238,"*, "&amp;G$3&amp;", *")</f>
        <v>0</v>
      </c>
      <c r="H240" s="2">
        <f>COUNTIFS(集計用!$G238,"*, "&amp;H$3&amp;", *")</f>
        <v>0</v>
      </c>
      <c r="I240" s="2">
        <f>COUNTIFS(集計用!$G238,"*, "&amp;I$3&amp;", *")</f>
        <v>0</v>
      </c>
      <c r="J240" s="2">
        <f>COUNTIFS(集計用!$G238,"*, "&amp;J$3&amp;", *")</f>
        <v>0</v>
      </c>
      <c r="K240" s="2">
        <f>COUNTIFS(集計用!$G238,"*, "&amp;K$3&amp;", *")</f>
        <v>0</v>
      </c>
      <c r="L240" s="2">
        <f>COUNTIFS(集計用!$G238,"*, "&amp;L$3&amp;", *")</f>
        <v>0</v>
      </c>
      <c r="M240" s="2">
        <f>COUNTIFS(集計用!$G238,"*, "&amp;M$3&amp;", *")</f>
        <v>0</v>
      </c>
      <c r="N240" s="2">
        <f>COUNTIFS(集計用!$G238,"*, "&amp;N$3&amp;", *")</f>
        <v>0</v>
      </c>
      <c r="O240" s="2">
        <f>COUNTIFS(集計用!$G238,"*, "&amp;O$3&amp;", *")</f>
        <v>0</v>
      </c>
      <c r="P240" s="2">
        <f>COUNTIFS(集計用!$G238,"*, "&amp;P$3&amp;", *")</f>
        <v>0</v>
      </c>
      <c r="Q240" s="2">
        <f>COUNTIFS(集計用!$G238,"*, "&amp;Q$3&amp;", *")</f>
        <v>0</v>
      </c>
      <c r="R240" s="2">
        <f>COUNTIFS(集計用!$G238,"*, "&amp;R$3&amp;", *")</f>
        <v>0</v>
      </c>
      <c r="S240" s="2">
        <f>COUNTIFS(集計用!$G238,"*, "&amp;S$3&amp;", *")</f>
        <v>0</v>
      </c>
      <c r="T240" s="2">
        <f>COUNTIFS(集計用!$G238,"*, "&amp;T$3&amp;", *")</f>
        <v>0</v>
      </c>
      <c r="U240" s="2">
        <f>COUNTIFS(集計用!$G238,"*, "&amp;U$3&amp;", *")</f>
        <v>0</v>
      </c>
      <c r="V240" s="2">
        <f>COUNTIFS(集計用!$G238,"*, "&amp;V$3&amp;", *")</f>
        <v>0</v>
      </c>
      <c r="W240" s="2">
        <f>COUNTIFS(集計用!$G238,"*, "&amp;W$3&amp;", *")</f>
        <v>0</v>
      </c>
      <c r="X240" s="2">
        <f>COUNTIFS(集計用!$G238,"*, "&amp;X$3&amp;", *")</f>
        <v>0</v>
      </c>
      <c r="Y240" s="2">
        <f>COUNTIFS(集計用!$G238,"*, "&amp;Y$3&amp;", *")</f>
        <v>0</v>
      </c>
      <c r="Z240" s="2">
        <f>COUNTIFS(集計用!$G238,"*, "&amp;Z$3&amp;", *")</f>
        <v>1</v>
      </c>
      <c r="AA240" s="2">
        <f>COUNTIFS(集計用!$G238,"*, "&amp;AA$3&amp;", *")</f>
        <v>0</v>
      </c>
      <c r="AB240" s="2">
        <f>COUNTIFS(集計用!$G238,"*, "&amp;AB$3&amp;", *")</f>
        <v>0</v>
      </c>
      <c r="AC240" s="2">
        <f>COUNTIFS(集計用!$G238,"*, "&amp;AC$3&amp;", *")</f>
        <v>0</v>
      </c>
      <c r="AD240" s="2">
        <f>COUNTIFS(集計用!$G238,"*, "&amp;AD$3&amp;", *")</f>
        <v>0</v>
      </c>
      <c r="AE240" s="2">
        <f>COUNTIFS(集計用!$G238,"*, "&amp;AE$3&amp;", *")</f>
        <v>0</v>
      </c>
      <c r="AF240" s="2">
        <f>COUNTIFS(集計用!$G238,"*, "&amp;AF$3&amp;", *")</f>
        <v>0</v>
      </c>
      <c r="AG240" s="2">
        <f>COUNTIFS(集計用!$G238,"*, "&amp;AG$3&amp;", *")</f>
        <v>1</v>
      </c>
      <c r="AH240" s="2">
        <f>COUNTIFS(集計用!$G238,"*, "&amp;AH$3&amp;", *")</f>
        <v>0</v>
      </c>
      <c r="AI240" s="2">
        <f>COUNTIFS(集計用!$G238,"*, "&amp;AI$3&amp;", *")</f>
        <v>0</v>
      </c>
      <c r="AJ240" s="2">
        <f>COUNTIFS(集計用!$G238,"*, "&amp;AJ$3&amp;", *")</f>
        <v>0</v>
      </c>
      <c r="AK240" s="2">
        <f>COUNTIFS(集計用!$G238,"*, "&amp;AK$3&amp;", *")</f>
        <v>0</v>
      </c>
      <c r="AL240" s="2">
        <f>COUNTIFS(集計用!$G238,"*, "&amp;AL$3&amp;", *")</f>
        <v>0</v>
      </c>
      <c r="AM240" s="2">
        <f>COUNTIFS(集計用!$G238,"*, "&amp;AM$3&amp;", *")</f>
        <v>0</v>
      </c>
      <c r="AN240" s="2">
        <f>COUNTIFS(集計用!$G238,"*, "&amp;AN$3&amp;", *")</f>
        <v>0</v>
      </c>
      <c r="AO240" s="2">
        <f>COUNTIFS(集計用!$G238,"*, "&amp;AO$3&amp;", *")</f>
        <v>0</v>
      </c>
      <c r="AP240" s="2">
        <f>COUNTIFS(集計用!$G238,"*, "&amp;AP$3&amp;", *")</f>
        <v>0</v>
      </c>
      <c r="AQ240" s="2">
        <f>COUNTIFS(集計用!$G238,"*, "&amp;AQ$3&amp;", *")</f>
        <v>0</v>
      </c>
      <c r="AR240" s="2">
        <f>COUNTIFS(集計用!$G238,"*, "&amp;AR$3&amp;", *")</f>
        <v>0</v>
      </c>
      <c r="AS240" s="2">
        <f>COUNTIFS(集計用!$G238,"*, "&amp;AS$3&amp;", *")</f>
        <v>0</v>
      </c>
      <c r="AT240" s="2">
        <f>COUNTIFS(集計用!$G238,"*, "&amp;AT$3&amp;", *")</f>
        <v>0</v>
      </c>
      <c r="AU240" s="2">
        <f>COUNTIFS(集計用!$G238,"*, "&amp;AU$3&amp;", *")</f>
        <v>0</v>
      </c>
      <c r="AV240" s="2">
        <f>COUNTIFS(集計用!$G238,"*, "&amp;AV$3&amp;", *")</f>
        <v>0</v>
      </c>
      <c r="AW240" s="2">
        <f>COUNTIFS(集計用!$G238,"*, "&amp;AW$3&amp;", *")</f>
        <v>0</v>
      </c>
      <c r="AX240" s="2">
        <f>COUNTIFS(集計用!$G238,"*, "&amp;AX$3&amp;", *")</f>
        <v>0</v>
      </c>
      <c r="AY240" s="2">
        <f>COUNTIFS(集計用!$G238,"*, "&amp;AY$3&amp;", *")</f>
        <v>0</v>
      </c>
      <c r="AZ240" s="2">
        <f>COUNTIFS(集計用!$G238,"*, "&amp;AZ$3&amp;", *")</f>
        <v>0</v>
      </c>
      <c r="BA240" s="2">
        <f>COUNTIFS(集計用!$G238,"*, "&amp;BA$3&amp;", *")</f>
        <v>0</v>
      </c>
      <c r="BB240" s="2">
        <f>COUNTIFS(集計用!$G238,"*, "&amp;BB$3&amp;", *")</f>
        <v>0</v>
      </c>
      <c r="BC240" s="2">
        <f>COUNTIFS(集計用!$G238,"*, "&amp;BC$3&amp;", *")</f>
        <v>0</v>
      </c>
      <c r="BD240" s="2">
        <f>COUNTIFS(集計用!$G238,"*, "&amp;BD$3&amp;", *")</f>
        <v>0</v>
      </c>
      <c r="BE240" s="2">
        <f>COUNTIFS(集計用!$G238,"*, "&amp;BE$3&amp;", *")</f>
        <v>0</v>
      </c>
      <c r="BF240" s="2">
        <f>COUNTIFS(集計用!$G238,"*, "&amp;BF$3&amp;", *")</f>
        <v>0</v>
      </c>
      <c r="BG240" s="2">
        <f>COUNTIFS(集計用!$G238,"*, "&amp;BG$3&amp;", *")</f>
        <v>0</v>
      </c>
      <c r="BH240" s="2">
        <f>COUNTIFS(集計用!$G238,"*, "&amp;BH$3&amp;", *")</f>
        <v>0</v>
      </c>
      <c r="BI240" s="2">
        <f>COUNTIFS(集計用!$G238,"*, "&amp;BI$3&amp;", *")</f>
        <v>0</v>
      </c>
      <c r="BJ240" s="2">
        <f>LEN(集計用!H238)-LEN(SUBSTITUTE(集計用!H238,",",""))</f>
        <v>0</v>
      </c>
    </row>
    <row r="241" spans="1:62" ht="12.75">
      <c r="A241" s="8">
        <v>238</v>
      </c>
      <c r="C241" s="2">
        <f t="shared" si="3"/>
        <v>6</v>
      </c>
      <c r="D241" s="9"/>
      <c r="E241" s="2">
        <f>COUNTIFS(集計用!$G239,"*, "&amp;E$3&amp;", *")</f>
        <v>0</v>
      </c>
      <c r="F241" s="2">
        <f>COUNTIFS(集計用!$G239,"*, "&amp;F$3&amp;", *")</f>
        <v>0</v>
      </c>
      <c r="G241" s="2">
        <f>COUNTIFS(集計用!$G239,"*, "&amp;G$3&amp;", *")</f>
        <v>1</v>
      </c>
      <c r="H241" s="2">
        <f>COUNTIFS(集計用!$G239,"*, "&amp;H$3&amp;", *")</f>
        <v>0</v>
      </c>
      <c r="I241" s="2">
        <f>COUNTIFS(集計用!$G239,"*, "&amp;I$3&amp;", *")</f>
        <v>0</v>
      </c>
      <c r="J241" s="2">
        <f>COUNTIFS(集計用!$G239,"*, "&amp;J$3&amp;", *")</f>
        <v>1</v>
      </c>
      <c r="K241" s="2">
        <f>COUNTIFS(集計用!$G239,"*, "&amp;K$3&amp;", *")</f>
        <v>0</v>
      </c>
      <c r="L241" s="2">
        <f>COUNTIFS(集計用!$G239,"*, "&amp;L$3&amp;", *")</f>
        <v>0</v>
      </c>
      <c r="M241" s="2">
        <f>COUNTIFS(集計用!$G239,"*, "&amp;M$3&amp;", *")</f>
        <v>0</v>
      </c>
      <c r="N241" s="2">
        <f>COUNTIFS(集計用!$G239,"*, "&amp;N$3&amp;", *")</f>
        <v>0</v>
      </c>
      <c r="O241" s="2">
        <f>COUNTIFS(集計用!$G239,"*, "&amp;O$3&amp;", *")</f>
        <v>0</v>
      </c>
      <c r="P241" s="2">
        <f>COUNTIFS(集計用!$G239,"*, "&amp;P$3&amp;", *")</f>
        <v>0</v>
      </c>
      <c r="Q241" s="2">
        <f>COUNTIFS(集計用!$G239,"*, "&amp;Q$3&amp;", *")</f>
        <v>0</v>
      </c>
      <c r="R241" s="2">
        <f>COUNTIFS(集計用!$G239,"*, "&amp;R$3&amp;", *")</f>
        <v>0</v>
      </c>
      <c r="S241" s="2">
        <f>COUNTIFS(集計用!$G239,"*, "&amp;S$3&amp;", *")</f>
        <v>0</v>
      </c>
      <c r="T241" s="2">
        <f>COUNTIFS(集計用!$G239,"*, "&amp;T$3&amp;", *")</f>
        <v>0</v>
      </c>
      <c r="U241" s="2">
        <f>COUNTIFS(集計用!$G239,"*, "&amp;U$3&amp;", *")</f>
        <v>0</v>
      </c>
      <c r="V241" s="2">
        <f>COUNTIFS(集計用!$G239,"*, "&amp;V$3&amp;", *")</f>
        <v>0</v>
      </c>
      <c r="W241" s="2">
        <f>COUNTIFS(集計用!$G239,"*, "&amp;W$3&amp;", *")</f>
        <v>0</v>
      </c>
      <c r="X241" s="2">
        <f>COUNTIFS(集計用!$G239,"*, "&amp;X$3&amp;", *")</f>
        <v>0</v>
      </c>
      <c r="Y241" s="2">
        <f>COUNTIFS(集計用!$G239,"*, "&amp;Y$3&amp;", *")</f>
        <v>1</v>
      </c>
      <c r="Z241" s="2">
        <f>COUNTIFS(集計用!$G239,"*, "&amp;Z$3&amp;", *")</f>
        <v>0</v>
      </c>
      <c r="AA241" s="2">
        <f>COUNTIFS(集計用!$G239,"*, "&amp;AA$3&amp;", *")</f>
        <v>0</v>
      </c>
      <c r="AB241" s="2">
        <f>COUNTIFS(集計用!$G239,"*, "&amp;AB$3&amp;", *")</f>
        <v>0</v>
      </c>
      <c r="AC241" s="2">
        <f>COUNTIFS(集計用!$G239,"*, "&amp;AC$3&amp;", *")</f>
        <v>0</v>
      </c>
      <c r="AD241" s="2">
        <f>COUNTIFS(集計用!$G239,"*, "&amp;AD$3&amp;", *")</f>
        <v>0</v>
      </c>
      <c r="AE241" s="2">
        <f>COUNTIFS(集計用!$G239,"*, "&amp;AE$3&amp;", *")</f>
        <v>0</v>
      </c>
      <c r="AF241" s="2">
        <f>COUNTIFS(集計用!$G239,"*, "&amp;AF$3&amp;", *")</f>
        <v>0</v>
      </c>
      <c r="AG241" s="2">
        <f>COUNTIFS(集計用!$G239,"*, "&amp;AG$3&amp;", *")</f>
        <v>0</v>
      </c>
      <c r="AH241" s="2">
        <f>COUNTIFS(集計用!$G239,"*, "&amp;AH$3&amp;", *")</f>
        <v>0</v>
      </c>
      <c r="AI241" s="2">
        <f>COUNTIFS(集計用!$G239,"*, "&amp;AI$3&amp;", *")</f>
        <v>0</v>
      </c>
      <c r="AJ241" s="2">
        <f>COUNTIFS(集計用!$G239,"*, "&amp;AJ$3&amp;", *")</f>
        <v>0</v>
      </c>
      <c r="AK241" s="2">
        <f>COUNTIFS(集計用!$G239,"*, "&amp;AK$3&amp;", *")</f>
        <v>1</v>
      </c>
      <c r="AL241" s="2">
        <f>COUNTIFS(集計用!$G239,"*, "&amp;AL$3&amp;", *")</f>
        <v>1</v>
      </c>
      <c r="AM241" s="2">
        <f>COUNTIFS(集計用!$G239,"*, "&amp;AM$3&amp;", *")</f>
        <v>0</v>
      </c>
      <c r="AN241" s="2">
        <f>COUNTIFS(集計用!$G239,"*, "&amp;AN$3&amp;", *")</f>
        <v>0</v>
      </c>
      <c r="AO241" s="2">
        <f>COUNTIFS(集計用!$G239,"*, "&amp;AO$3&amp;", *")</f>
        <v>0</v>
      </c>
      <c r="AP241" s="2">
        <f>COUNTIFS(集計用!$G239,"*, "&amp;AP$3&amp;", *")</f>
        <v>0</v>
      </c>
      <c r="AQ241" s="2">
        <f>COUNTIFS(集計用!$G239,"*, "&amp;AQ$3&amp;", *")</f>
        <v>0</v>
      </c>
      <c r="AR241" s="2">
        <f>COUNTIFS(集計用!$G239,"*, "&amp;AR$3&amp;", *")</f>
        <v>0</v>
      </c>
      <c r="AS241" s="2">
        <f>COUNTIFS(集計用!$G239,"*, "&amp;AS$3&amp;", *")</f>
        <v>1</v>
      </c>
      <c r="AT241" s="2">
        <f>COUNTIFS(集計用!$G239,"*, "&amp;AT$3&amp;", *")</f>
        <v>0</v>
      </c>
      <c r="AU241" s="2">
        <f>COUNTIFS(集計用!$G239,"*, "&amp;AU$3&amp;", *")</f>
        <v>0</v>
      </c>
      <c r="AV241" s="2">
        <f>COUNTIFS(集計用!$G239,"*, "&amp;AV$3&amp;", *")</f>
        <v>0</v>
      </c>
      <c r="AW241" s="2">
        <f>COUNTIFS(集計用!$G239,"*, "&amp;AW$3&amp;", *")</f>
        <v>0</v>
      </c>
      <c r="AX241" s="2">
        <f>COUNTIFS(集計用!$G239,"*, "&amp;AX$3&amp;", *")</f>
        <v>0</v>
      </c>
      <c r="AY241" s="2">
        <f>COUNTIFS(集計用!$G239,"*, "&amp;AY$3&amp;", *")</f>
        <v>0</v>
      </c>
      <c r="AZ241" s="2">
        <f>COUNTIFS(集計用!$G239,"*, "&amp;AZ$3&amp;", *")</f>
        <v>0</v>
      </c>
      <c r="BA241" s="2">
        <f>COUNTIFS(集計用!$G239,"*, "&amp;BA$3&amp;", *")</f>
        <v>0</v>
      </c>
      <c r="BB241" s="2">
        <f>COUNTIFS(集計用!$G239,"*, "&amp;BB$3&amp;", *")</f>
        <v>0</v>
      </c>
      <c r="BC241" s="2">
        <f>COUNTIFS(集計用!$G239,"*, "&amp;BC$3&amp;", *")</f>
        <v>0</v>
      </c>
      <c r="BD241" s="2">
        <f>COUNTIFS(集計用!$G239,"*, "&amp;BD$3&amp;", *")</f>
        <v>0</v>
      </c>
      <c r="BE241" s="2">
        <f>COUNTIFS(集計用!$G239,"*, "&amp;BE$3&amp;", *")</f>
        <v>0</v>
      </c>
      <c r="BF241" s="2">
        <f>COUNTIFS(集計用!$G239,"*, "&amp;BF$3&amp;", *")</f>
        <v>0</v>
      </c>
      <c r="BG241" s="2">
        <f>COUNTIFS(集計用!$G239,"*, "&amp;BG$3&amp;", *")</f>
        <v>0</v>
      </c>
      <c r="BH241" s="2">
        <f>COUNTIFS(集計用!$G239,"*, "&amp;BH$3&amp;", *")</f>
        <v>0</v>
      </c>
      <c r="BI241" s="2">
        <f>COUNTIFS(集計用!$G239,"*, "&amp;BI$3&amp;", *")</f>
        <v>0</v>
      </c>
      <c r="BJ241" s="2">
        <f>LEN(集計用!H239)-LEN(SUBSTITUTE(集計用!H239,",",""))</f>
        <v>0</v>
      </c>
    </row>
    <row r="242" spans="1:62" ht="12.75">
      <c r="A242" s="8">
        <v>239</v>
      </c>
      <c r="C242" s="2">
        <f t="shared" si="3"/>
        <v>2</v>
      </c>
      <c r="D242" s="9"/>
      <c r="E242" s="2">
        <f>COUNTIFS(集計用!$G240,"*, "&amp;E$3&amp;", *")</f>
        <v>1</v>
      </c>
      <c r="F242" s="2">
        <f>COUNTIFS(集計用!$G240,"*, "&amp;F$3&amp;", *")</f>
        <v>0</v>
      </c>
      <c r="G242" s="2">
        <f>COUNTIFS(集計用!$G240,"*, "&amp;G$3&amp;", *")</f>
        <v>0</v>
      </c>
      <c r="H242" s="2">
        <f>COUNTIFS(集計用!$G240,"*, "&amp;H$3&amp;", *")</f>
        <v>0</v>
      </c>
      <c r="I242" s="2">
        <f>COUNTIFS(集計用!$G240,"*, "&amp;I$3&amp;", *")</f>
        <v>0</v>
      </c>
      <c r="J242" s="2">
        <f>COUNTIFS(集計用!$G240,"*, "&amp;J$3&amp;", *")</f>
        <v>0</v>
      </c>
      <c r="K242" s="2">
        <f>COUNTIFS(集計用!$G240,"*, "&amp;K$3&amp;", *")</f>
        <v>0</v>
      </c>
      <c r="L242" s="2">
        <f>COUNTIFS(集計用!$G240,"*, "&amp;L$3&amp;", *")</f>
        <v>0</v>
      </c>
      <c r="M242" s="2">
        <f>COUNTIFS(集計用!$G240,"*, "&amp;M$3&amp;", *")</f>
        <v>0</v>
      </c>
      <c r="N242" s="2">
        <f>COUNTIFS(集計用!$G240,"*, "&amp;N$3&amp;", *")</f>
        <v>0</v>
      </c>
      <c r="O242" s="2">
        <f>COUNTIFS(集計用!$G240,"*, "&amp;O$3&amp;", *")</f>
        <v>0</v>
      </c>
      <c r="P242" s="2">
        <f>COUNTIFS(集計用!$G240,"*, "&amp;P$3&amp;", *")</f>
        <v>0</v>
      </c>
      <c r="Q242" s="2">
        <f>COUNTIFS(集計用!$G240,"*, "&amp;Q$3&amp;", *")</f>
        <v>0</v>
      </c>
      <c r="R242" s="2">
        <f>COUNTIFS(集計用!$G240,"*, "&amp;R$3&amp;", *")</f>
        <v>0</v>
      </c>
      <c r="S242" s="2">
        <f>COUNTIFS(集計用!$G240,"*, "&amp;S$3&amp;", *")</f>
        <v>0</v>
      </c>
      <c r="T242" s="2">
        <f>COUNTIFS(集計用!$G240,"*, "&amp;T$3&amp;", *")</f>
        <v>0</v>
      </c>
      <c r="U242" s="2">
        <f>COUNTIFS(集計用!$G240,"*, "&amp;U$3&amp;", *")</f>
        <v>0</v>
      </c>
      <c r="V242" s="2">
        <f>COUNTIFS(集計用!$G240,"*, "&amp;V$3&amp;", *")</f>
        <v>0</v>
      </c>
      <c r="W242" s="2">
        <f>COUNTIFS(集計用!$G240,"*, "&amp;W$3&amp;", *")</f>
        <v>0</v>
      </c>
      <c r="X242" s="2">
        <f>COUNTIFS(集計用!$G240,"*, "&amp;X$3&amp;", *")</f>
        <v>0</v>
      </c>
      <c r="Y242" s="2">
        <f>COUNTIFS(集計用!$G240,"*, "&amp;Y$3&amp;", *")</f>
        <v>0</v>
      </c>
      <c r="Z242" s="2">
        <f>COUNTIFS(集計用!$G240,"*, "&amp;Z$3&amp;", *")</f>
        <v>0</v>
      </c>
      <c r="AA242" s="2">
        <f>COUNTIFS(集計用!$G240,"*, "&amp;AA$3&amp;", *")</f>
        <v>0</v>
      </c>
      <c r="AB242" s="2">
        <f>COUNTIFS(集計用!$G240,"*, "&amp;AB$3&amp;", *")</f>
        <v>0</v>
      </c>
      <c r="AC242" s="2">
        <f>COUNTIFS(集計用!$G240,"*, "&amp;AC$3&amp;", *")</f>
        <v>0</v>
      </c>
      <c r="AD242" s="2">
        <f>COUNTIFS(集計用!$G240,"*, "&amp;AD$3&amp;", *")</f>
        <v>0</v>
      </c>
      <c r="AE242" s="2">
        <f>COUNTIFS(集計用!$G240,"*, "&amp;AE$3&amp;", *")</f>
        <v>0</v>
      </c>
      <c r="AF242" s="2">
        <f>COUNTIFS(集計用!$G240,"*, "&amp;AF$3&amp;", *")</f>
        <v>1</v>
      </c>
      <c r="AG242" s="2">
        <f>COUNTIFS(集計用!$G240,"*, "&amp;AG$3&amp;", *")</f>
        <v>0</v>
      </c>
      <c r="AH242" s="2">
        <f>COUNTIFS(集計用!$G240,"*, "&amp;AH$3&amp;", *")</f>
        <v>0</v>
      </c>
      <c r="AI242" s="2">
        <f>COUNTIFS(集計用!$G240,"*, "&amp;AI$3&amp;", *")</f>
        <v>0</v>
      </c>
      <c r="AJ242" s="2">
        <f>COUNTIFS(集計用!$G240,"*, "&amp;AJ$3&amp;", *")</f>
        <v>0</v>
      </c>
      <c r="AK242" s="2">
        <f>COUNTIFS(集計用!$G240,"*, "&amp;AK$3&amp;", *")</f>
        <v>0</v>
      </c>
      <c r="AL242" s="2">
        <f>COUNTIFS(集計用!$G240,"*, "&amp;AL$3&amp;", *")</f>
        <v>0</v>
      </c>
      <c r="AM242" s="2">
        <f>COUNTIFS(集計用!$G240,"*, "&amp;AM$3&amp;", *")</f>
        <v>0</v>
      </c>
      <c r="AN242" s="2">
        <f>COUNTIFS(集計用!$G240,"*, "&amp;AN$3&amp;", *")</f>
        <v>0</v>
      </c>
      <c r="AO242" s="2">
        <f>COUNTIFS(集計用!$G240,"*, "&amp;AO$3&amp;", *")</f>
        <v>0</v>
      </c>
      <c r="AP242" s="2">
        <f>COUNTIFS(集計用!$G240,"*, "&amp;AP$3&amp;", *")</f>
        <v>0</v>
      </c>
      <c r="AQ242" s="2">
        <f>COUNTIFS(集計用!$G240,"*, "&amp;AQ$3&amp;", *")</f>
        <v>0</v>
      </c>
      <c r="AR242" s="2">
        <f>COUNTIFS(集計用!$G240,"*, "&amp;AR$3&amp;", *")</f>
        <v>0</v>
      </c>
      <c r="AS242" s="2">
        <f>COUNTIFS(集計用!$G240,"*, "&amp;AS$3&amp;", *")</f>
        <v>0</v>
      </c>
      <c r="AT242" s="2">
        <f>COUNTIFS(集計用!$G240,"*, "&amp;AT$3&amp;", *")</f>
        <v>0</v>
      </c>
      <c r="AU242" s="2">
        <f>COUNTIFS(集計用!$G240,"*, "&amp;AU$3&amp;", *")</f>
        <v>0</v>
      </c>
      <c r="AV242" s="2">
        <f>COUNTIFS(集計用!$G240,"*, "&amp;AV$3&amp;", *")</f>
        <v>0</v>
      </c>
      <c r="AW242" s="2">
        <f>COUNTIFS(集計用!$G240,"*, "&amp;AW$3&amp;", *")</f>
        <v>0</v>
      </c>
      <c r="AX242" s="2">
        <f>COUNTIFS(集計用!$G240,"*, "&amp;AX$3&amp;", *")</f>
        <v>0</v>
      </c>
      <c r="AY242" s="2">
        <f>COUNTIFS(集計用!$G240,"*, "&amp;AY$3&amp;", *")</f>
        <v>0</v>
      </c>
      <c r="AZ242" s="2">
        <f>COUNTIFS(集計用!$G240,"*, "&amp;AZ$3&amp;", *")</f>
        <v>0</v>
      </c>
      <c r="BA242" s="2">
        <f>COUNTIFS(集計用!$G240,"*, "&amp;BA$3&amp;", *")</f>
        <v>0</v>
      </c>
      <c r="BB242" s="2">
        <f>COUNTIFS(集計用!$G240,"*, "&amp;BB$3&amp;", *")</f>
        <v>0</v>
      </c>
      <c r="BC242" s="2">
        <f>COUNTIFS(集計用!$G240,"*, "&amp;BC$3&amp;", *")</f>
        <v>0</v>
      </c>
      <c r="BD242" s="2">
        <f>COUNTIFS(集計用!$G240,"*, "&amp;BD$3&amp;", *")</f>
        <v>0</v>
      </c>
      <c r="BE242" s="2">
        <f>COUNTIFS(集計用!$G240,"*, "&amp;BE$3&amp;", *")</f>
        <v>0</v>
      </c>
      <c r="BF242" s="2">
        <f>COUNTIFS(集計用!$G240,"*, "&amp;BF$3&amp;", *")</f>
        <v>0</v>
      </c>
      <c r="BG242" s="2">
        <f>COUNTIFS(集計用!$G240,"*, "&amp;BG$3&amp;", *")</f>
        <v>0</v>
      </c>
      <c r="BH242" s="2">
        <f>COUNTIFS(集計用!$G240,"*, "&amp;BH$3&amp;", *")</f>
        <v>0</v>
      </c>
      <c r="BI242" s="2">
        <f>COUNTIFS(集計用!$G240,"*, "&amp;BI$3&amp;", *")</f>
        <v>0</v>
      </c>
      <c r="BJ242" s="2">
        <f>LEN(集計用!H240)-LEN(SUBSTITUTE(集計用!H240,",",""))</f>
        <v>0</v>
      </c>
    </row>
    <row r="243" spans="1:62" ht="12.75">
      <c r="A243" s="8">
        <v>240</v>
      </c>
      <c r="C243" s="2">
        <f t="shared" si="3"/>
        <v>5</v>
      </c>
      <c r="D243" s="9"/>
      <c r="E243" s="2">
        <f>COUNTIFS(集計用!$G241,"*, "&amp;E$3&amp;", *")</f>
        <v>0</v>
      </c>
      <c r="F243" s="2">
        <f>COUNTIFS(集計用!$G241,"*, "&amp;F$3&amp;", *")</f>
        <v>0</v>
      </c>
      <c r="G243" s="2">
        <f>COUNTIFS(集計用!$G241,"*, "&amp;G$3&amp;", *")</f>
        <v>1</v>
      </c>
      <c r="H243" s="2">
        <f>COUNTIFS(集計用!$G241,"*, "&amp;H$3&amp;", *")</f>
        <v>0</v>
      </c>
      <c r="I243" s="2">
        <f>COUNTIFS(集計用!$G241,"*, "&amp;I$3&amp;", *")</f>
        <v>0</v>
      </c>
      <c r="J243" s="2">
        <f>COUNTIFS(集計用!$G241,"*, "&amp;J$3&amp;", *")</f>
        <v>0</v>
      </c>
      <c r="K243" s="2">
        <f>COUNTIFS(集計用!$G241,"*, "&amp;K$3&amp;", *")</f>
        <v>0</v>
      </c>
      <c r="L243" s="2">
        <f>COUNTIFS(集計用!$G241,"*, "&amp;L$3&amp;", *")</f>
        <v>0</v>
      </c>
      <c r="M243" s="2">
        <f>COUNTIFS(集計用!$G241,"*, "&amp;M$3&amp;", *")</f>
        <v>0</v>
      </c>
      <c r="N243" s="2">
        <f>COUNTIFS(集計用!$G241,"*, "&amp;N$3&amp;", *")</f>
        <v>1</v>
      </c>
      <c r="O243" s="2">
        <f>COUNTIFS(集計用!$G241,"*, "&amp;O$3&amp;", *")</f>
        <v>0</v>
      </c>
      <c r="P243" s="2">
        <f>COUNTIFS(集計用!$G241,"*, "&amp;P$3&amp;", *")</f>
        <v>1</v>
      </c>
      <c r="Q243" s="2">
        <f>COUNTIFS(集計用!$G241,"*, "&amp;Q$3&amp;", *")</f>
        <v>0</v>
      </c>
      <c r="R243" s="2">
        <f>COUNTIFS(集計用!$G241,"*, "&amp;R$3&amp;", *")</f>
        <v>0</v>
      </c>
      <c r="S243" s="2">
        <f>COUNTIFS(集計用!$G241,"*, "&amp;S$3&amp;", *")</f>
        <v>0</v>
      </c>
      <c r="T243" s="2">
        <f>COUNTIFS(集計用!$G241,"*, "&amp;T$3&amp;", *")</f>
        <v>0</v>
      </c>
      <c r="U243" s="2">
        <f>COUNTIFS(集計用!$G241,"*, "&amp;U$3&amp;", *")</f>
        <v>0</v>
      </c>
      <c r="V243" s="2">
        <f>COUNTIFS(集計用!$G241,"*, "&amp;V$3&amp;", *")</f>
        <v>0</v>
      </c>
      <c r="W243" s="2">
        <f>COUNTIFS(集計用!$G241,"*, "&amp;W$3&amp;", *")</f>
        <v>0</v>
      </c>
      <c r="X243" s="2">
        <f>COUNTIFS(集計用!$G241,"*, "&amp;X$3&amp;", *")</f>
        <v>1</v>
      </c>
      <c r="Y243" s="2">
        <f>COUNTIFS(集計用!$G241,"*, "&amp;Y$3&amp;", *")</f>
        <v>0</v>
      </c>
      <c r="Z243" s="2">
        <f>COUNTIFS(集計用!$G241,"*, "&amp;Z$3&amp;", *")</f>
        <v>0</v>
      </c>
      <c r="AA243" s="2">
        <f>COUNTIFS(集計用!$G241,"*, "&amp;AA$3&amp;", *")</f>
        <v>0</v>
      </c>
      <c r="AB243" s="2">
        <f>COUNTIFS(集計用!$G241,"*, "&amp;AB$3&amp;", *")</f>
        <v>0</v>
      </c>
      <c r="AC243" s="2">
        <f>COUNTIFS(集計用!$G241,"*, "&amp;AC$3&amp;", *")</f>
        <v>0</v>
      </c>
      <c r="AD243" s="2">
        <f>COUNTIFS(集計用!$G241,"*, "&amp;AD$3&amp;", *")</f>
        <v>0</v>
      </c>
      <c r="AE243" s="2">
        <f>COUNTIFS(集計用!$G241,"*, "&amp;AE$3&amp;", *")</f>
        <v>0</v>
      </c>
      <c r="AF243" s="2">
        <f>COUNTIFS(集計用!$G241,"*, "&amp;AF$3&amp;", *")</f>
        <v>0</v>
      </c>
      <c r="AG243" s="2">
        <f>COUNTIFS(集計用!$G241,"*, "&amp;AG$3&amp;", *")</f>
        <v>0</v>
      </c>
      <c r="AH243" s="2">
        <f>COUNTIFS(集計用!$G241,"*, "&amp;AH$3&amp;", *")</f>
        <v>0</v>
      </c>
      <c r="AI243" s="2">
        <f>COUNTIFS(集計用!$G241,"*, "&amp;AI$3&amp;", *")</f>
        <v>0</v>
      </c>
      <c r="AJ243" s="2">
        <f>COUNTIFS(集計用!$G241,"*, "&amp;AJ$3&amp;", *")</f>
        <v>0</v>
      </c>
      <c r="AK243" s="2">
        <f>COUNTIFS(集計用!$G241,"*, "&amp;AK$3&amp;", *")</f>
        <v>0</v>
      </c>
      <c r="AL243" s="2">
        <f>COUNTIFS(集計用!$G241,"*, "&amp;AL$3&amp;", *")</f>
        <v>0</v>
      </c>
      <c r="AM243" s="2">
        <f>COUNTIFS(集計用!$G241,"*, "&amp;AM$3&amp;", *")</f>
        <v>0</v>
      </c>
      <c r="AN243" s="2">
        <f>COUNTIFS(集計用!$G241,"*, "&amp;AN$3&amp;", *")</f>
        <v>0</v>
      </c>
      <c r="AO243" s="2">
        <f>COUNTIFS(集計用!$G241,"*, "&amp;AO$3&amp;", *")</f>
        <v>0</v>
      </c>
      <c r="AP243" s="2">
        <f>COUNTIFS(集計用!$G241,"*, "&amp;AP$3&amp;", *")</f>
        <v>0</v>
      </c>
      <c r="AQ243" s="2">
        <f>COUNTIFS(集計用!$G241,"*, "&amp;AQ$3&amp;", *")</f>
        <v>0</v>
      </c>
      <c r="AR243" s="2">
        <f>COUNTIFS(集計用!$G241,"*, "&amp;AR$3&amp;", *")</f>
        <v>0</v>
      </c>
      <c r="AS243" s="2">
        <f>COUNTIFS(集計用!$G241,"*, "&amp;AS$3&amp;", *")</f>
        <v>0</v>
      </c>
      <c r="AT243" s="2">
        <f>COUNTIFS(集計用!$G241,"*, "&amp;AT$3&amp;", *")</f>
        <v>0</v>
      </c>
      <c r="AU243" s="2">
        <f>COUNTIFS(集計用!$G241,"*, "&amp;AU$3&amp;", *")</f>
        <v>0</v>
      </c>
      <c r="AV243" s="2">
        <f>COUNTIFS(集計用!$G241,"*, "&amp;AV$3&amp;", *")</f>
        <v>0</v>
      </c>
      <c r="AW243" s="2">
        <f>COUNTIFS(集計用!$G241,"*, "&amp;AW$3&amp;", *")</f>
        <v>0</v>
      </c>
      <c r="AX243" s="2">
        <f>COUNTIFS(集計用!$G241,"*, "&amp;AX$3&amp;", *")</f>
        <v>0</v>
      </c>
      <c r="AY243" s="2">
        <f>COUNTIFS(集計用!$G241,"*, "&amp;AY$3&amp;", *")</f>
        <v>0</v>
      </c>
      <c r="AZ243" s="2">
        <f>COUNTIFS(集計用!$G241,"*, "&amp;AZ$3&amp;", *")</f>
        <v>0</v>
      </c>
      <c r="BA243" s="2">
        <f>COUNTIFS(集計用!$G241,"*, "&amp;BA$3&amp;", *")</f>
        <v>1</v>
      </c>
      <c r="BB243" s="2">
        <f>COUNTIFS(集計用!$G241,"*, "&amp;BB$3&amp;", *")</f>
        <v>0</v>
      </c>
      <c r="BC243" s="2">
        <f>COUNTIFS(集計用!$G241,"*, "&amp;BC$3&amp;", *")</f>
        <v>0</v>
      </c>
      <c r="BD243" s="2">
        <f>COUNTIFS(集計用!$G241,"*, "&amp;BD$3&amp;", *")</f>
        <v>0</v>
      </c>
      <c r="BE243" s="2">
        <f>COUNTIFS(集計用!$G241,"*, "&amp;BE$3&amp;", *")</f>
        <v>0</v>
      </c>
      <c r="BF243" s="2">
        <f>COUNTIFS(集計用!$G241,"*, "&amp;BF$3&amp;", *")</f>
        <v>0</v>
      </c>
      <c r="BG243" s="2">
        <f>COUNTIFS(集計用!$G241,"*, "&amp;BG$3&amp;", *")</f>
        <v>0</v>
      </c>
      <c r="BH243" s="2">
        <f>COUNTIFS(集計用!$G241,"*, "&amp;BH$3&amp;", *")</f>
        <v>0</v>
      </c>
      <c r="BI243" s="2">
        <f>COUNTIFS(集計用!$G241,"*, "&amp;BI$3&amp;", *")</f>
        <v>0</v>
      </c>
      <c r="BJ243" s="2">
        <f>LEN(集計用!H241)-LEN(SUBSTITUTE(集計用!H241,",",""))</f>
        <v>0</v>
      </c>
    </row>
    <row r="244" spans="1:62" ht="12.75">
      <c r="A244" s="8">
        <v>241</v>
      </c>
      <c r="C244" s="2">
        <f t="shared" si="3"/>
        <v>5</v>
      </c>
      <c r="D244" s="9"/>
      <c r="E244" s="2">
        <f>COUNTIFS(集計用!$G242,"*, "&amp;E$3&amp;", *")</f>
        <v>1</v>
      </c>
      <c r="F244" s="2">
        <f>COUNTIFS(集計用!$G242,"*, "&amp;F$3&amp;", *")</f>
        <v>1</v>
      </c>
      <c r="G244" s="2">
        <f>COUNTIFS(集計用!$G242,"*, "&amp;G$3&amp;", *")</f>
        <v>1</v>
      </c>
      <c r="H244" s="2">
        <f>COUNTIFS(集計用!$G242,"*, "&amp;H$3&amp;", *")</f>
        <v>0</v>
      </c>
      <c r="I244" s="2">
        <f>COUNTIFS(集計用!$G242,"*, "&amp;I$3&amp;", *")</f>
        <v>0</v>
      </c>
      <c r="J244" s="2">
        <f>COUNTIFS(集計用!$G242,"*, "&amp;J$3&amp;", *")</f>
        <v>1</v>
      </c>
      <c r="K244" s="2">
        <f>COUNTIFS(集計用!$G242,"*, "&amp;K$3&amp;", *")</f>
        <v>0</v>
      </c>
      <c r="L244" s="2">
        <f>COUNTIFS(集計用!$G242,"*, "&amp;L$3&amp;", *")</f>
        <v>0</v>
      </c>
      <c r="M244" s="2">
        <f>COUNTIFS(集計用!$G242,"*, "&amp;M$3&amp;", *")</f>
        <v>0</v>
      </c>
      <c r="N244" s="2">
        <f>COUNTIFS(集計用!$G242,"*, "&amp;N$3&amp;", *")</f>
        <v>0</v>
      </c>
      <c r="O244" s="2">
        <f>COUNTIFS(集計用!$G242,"*, "&amp;O$3&amp;", *")</f>
        <v>0</v>
      </c>
      <c r="P244" s="2">
        <f>COUNTIFS(集計用!$G242,"*, "&amp;P$3&amp;", *")</f>
        <v>0</v>
      </c>
      <c r="Q244" s="2">
        <f>COUNTIFS(集計用!$G242,"*, "&amp;Q$3&amp;", *")</f>
        <v>0</v>
      </c>
      <c r="R244" s="2">
        <f>COUNTIFS(集計用!$G242,"*, "&amp;R$3&amp;", *")</f>
        <v>0</v>
      </c>
      <c r="S244" s="2">
        <f>COUNTIFS(集計用!$G242,"*, "&amp;S$3&amp;", *")</f>
        <v>0</v>
      </c>
      <c r="T244" s="2">
        <f>COUNTIFS(集計用!$G242,"*, "&amp;T$3&amp;", *")</f>
        <v>0</v>
      </c>
      <c r="U244" s="2">
        <f>COUNTIFS(集計用!$G242,"*, "&amp;U$3&amp;", *")</f>
        <v>0</v>
      </c>
      <c r="V244" s="2">
        <f>COUNTIFS(集計用!$G242,"*, "&amp;V$3&amp;", *")</f>
        <v>0</v>
      </c>
      <c r="W244" s="2">
        <f>COUNTIFS(集計用!$G242,"*, "&amp;W$3&amp;", *")</f>
        <v>0</v>
      </c>
      <c r="X244" s="2">
        <f>COUNTIFS(集計用!$G242,"*, "&amp;X$3&amp;", *")</f>
        <v>0</v>
      </c>
      <c r="Y244" s="2">
        <f>COUNTIFS(集計用!$G242,"*, "&amp;Y$3&amp;", *")</f>
        <v>0</v>
      </c>
      <c r="Z244" s="2">
        <f>COUNTIFS(集計用!$G242,"*, "&amp;Z$3&amp;", *")</f>
        <v>0</v>
      </c>
      <c r="AA244" s="2">
        <f>COUNTIFS(集計用!$G242,"*, "&amp;AA$3&amp;", *")</f>
        <v>0</v>
      </c>
      <c r="AB244" s="2">
        <f>COUNTIFS(集計用!$G242,"*, "&amp;AB$3&amp;", *")</f>
        <v>1</v>
      </c>
      <c r="AC244" s="2">
        <f>COUNTIFS(集計用!$G242,"*, "&amp;AC$3&amp;", *")</f>
        <v>0</v>
      </c>
      <c r="AD244" s="2">
        <f>COUNTIFS(集計用!$G242,"*, "&amp;AD$3&amp;", *")</f>
        <v>0</v>
      </c>
      <c r="AE244" s="2">
        <f>COUNTIFS(集計用!$G242,"*, "&amp;AE$3&amp;", *")</f>
        <v>0</v>
      </c>
      <c r="AF244" s="2">
        <f>COUNTIFS(集計用!$G242,"*, "&amp;AF$3&amp;", *")</f>
        <v>0</v>
      </c>
      <c r="AG244" s="2">
        <f>COUNTIFS(集計用!$G242,"*, "&amp;AG$3&amp;", *")</f>
        <v>0</v>
      </c>
      <c r="AH244" s="2">
        <f>COUNTIFS(集計用!$G242,"*, "&amp;AH$3&amp;", *")</f>
        <v>0</v>
      </c>
      <c r="AI244" s="2">
        <f>COUNTIFS(集計用!$G242,"*, "&amp;AI$3&amp;", *")</f>
        <v>0</v>
      </c>
      <c r="AJ244" s="2">
        <f>COUNTIFS(集計用!$G242,"*, "&amp;AJ$3&amp;", *")</f>
        <v>0</v>
      </c>
      <c r="AK244" s="2">
        <f>COUNTIFS(集計用!$G242,"*, "&amp;AK$3&amp;", *")</f>
        <v>0</v>
      </c>
      <c r="AL244" s="2">
        <f>COUNTIFS(集計用!$G242,"*, "&amp;AL$3&amp;", *")</f>
        <v>0</v>
      </c>
      <c r="AM244" s="2">
        <f>COUNTIFS(集計用!$G242,"*, "&amp;AM$3&amp;", *")</f>
        <v>0</v>
      </c>
      <c r="AN244" s="2">
        <f>COUNTIFS(集計用!$G242,"*, "&amp;AN$3&amp;", *")</f>
        <v>0</v>
      </c>
      <c r="AO244" s="2">
        <f>COUNTIFS(集計用!$G242,"*, "&amp;AO$3&amp;", *")</f>
        <v>0</v>
      </c>
      <c r="AP244" s="2">
        <f>COUNTIFS(集計用!$G242,"*, "&amp;AP$3&amp;", *")</f>
        <v>0</v>
      </c>
      <c r="AQ244" s="2">
        <f>COUNTIFS(集計用!$G242,"*, "&amp;AQ$3&amp;", *")</f>
        <v>0</v>
      </c>
      <c r="AR244" s="2">
        <f>COUNTIFS(集計用!$G242,"*, "&amp;AR$3&amp;", *")</f>
        <v>0</v>
      </c>
      <c r="AS244" s="2">
        <f>COUNTIFS(集計用!$G242,"*, "&amp;AS$3&amp;", *")</f>
        <v>0</v>
      </c>
      <c r="AT244" s="2">
        <f>COUNTIFS(集計用!$G242,"*, "&amp;AT$3&amp;", *")</f>
        <v>0</v>
      </c>
      <c r="AU244" s="2">
        <f>COUNTIFS(集計用!$G242,"*, "&amp;AU$3&amp;", *")</f>
        <v>0</v>
      </c>
      <c r="AV244" s="2">
        <f>COUNTIFS(集計用!$G242,"*, "&amp;AV$3&amp;", *")</f>
        <v>0</v>
      </c>
      <c r="AW244" s="2">
        <f>COUNTIFS(集計用!$G242,"*, "&amp;AW$3&amp;", *")</f>
        <v>0</v>
      </c>
      <c r="AX244" s="2">
        <f>COUNTIFS(集計用!$G242,"*, "&amp;AX$3&amp;", *")</f>
        <v>0</v>
      </c>
      <c r="AY244" s="2">
        <f>COUNTIFS(集計用!$G242,"*, "&amp;AY$3&amp;", *")</f>
        <v>0</v>
      </c>
      <c r="AZ244" s="2">
        <f>COUNTIFS(集計用!$G242,"*, "&amp;AZ$3&amp;", *")</f>
        <v>0</v>
      </c>
      <c r="BA244" s="2">
        <f>COUNTIFS(集計用!$G242,"*, "&amp;BA$3&amp;", *")</f>
        <v>0</v>
      </c>
      <c r="BB244" s="2">
        <f>COUNTIFS(集計用!$G242,"*, "&amp;BB$3&amp;", *")</f>
        <v>0</v>
      </c>
      <c r="BC244" s="2">
        <f>COUNTIFS(集計用!$G242,"*, "&amp;BC$3&amp;", *")</f>
        <v>0</v>
      </c>
      <c r="BD244" s="2">
        <f>COUNTIFS(集計用!$G242,"*, "&amp;BD$3&amp;", *")</f>
        <v>0</v>
      </c>
      <c r="BE244" s="2">
        <f>COUNTIFS(集計用!$G242,"*, "&amp;BE$3&amp;", *")</f>
        <v>0</v>
      </c>
      <c r="BF244" s="2">
        <f>COUNTIFS(集計用!$G242,"*, "&amp;BF$3&amp;", *")</f>
        <v>0</v>
      </c>
      <c r="BG244" s="2">
        <f>COUNTIFS(集計用!$G242,"*, "&amp;BG$3&amp;", *")</f>
        <v>0</v>
      </c>
      <c r="BH244" s="2">
        <f>COUNTIFS(集計用!$G242,"*, "&amp;BH$3&amp;", *")</f>
        <v>0</v>
      </c>
      <c r="BI244" s="2">
        <f>COUNTIFS(集計用!$G242,"*, "&amp;BI$3&amp;", *")</f>
        <v>0</v>
      </c>
      <c r="BJ244" s="2">
        <f>LEN(集計用!H242)-LEN(SUBSTITUTE(集計用!H242,",",""))</f>
        <v>0</v>
      </c>
    </row>
    <row r="245" spans="1:62" ht="12.75">
      <c r="A245" s="8">
        <v>242</v>
      </c>
      <c r="C245" s="2">
        <f t="shared" si="3"/>
        <v>1</v>
      </c>
      <c r="D245" s="9"/>
      <c r="E245" s="2">
        <f>COUNTIFS(集計用!$G243,"*, "&amp;E$3&amp;", *")</f>
        <v>0</v>
      </c>
      <c r="F245" s="2">
        <f>COUNTIFS(集計用!$G243,"*, "&amp;F$3&amp;", *")</f>
        <v>0</v>
      </c>
      <c r="G245" s="2">
        <f>COUNTIFS(集計用!$G243,"*, "&amp;G$3&amp;", *")</f>
        <v>0</v>
      </c>
      <c r="H245" s="2">
        <f>COUNTIFS(集計用!$G243,"*, "&amp;H$3&amp;", *")</f>
        <v>0</v>
      </c>
      <c r="I245" s="2">
        <f>COUNTIFS(集計用!$G243,"*, "&amp;I$3&amp;", *")</f>
        <v>0</v>
      </c>
      <c r="J245" s="2">
        <f>COUNTIFS(集計用!$G243,"*, "&amp;J$3&amp;", *")</f>
        <v>0</v>
      </c>
      <c r="K245" s="2">
        <f>COUNTIFS(集計用!$G243,"*, "&amp;K$3&amp;", *")</f>
        <v>0</v>
      </c>
      <c r="L245" s="2">
        <f>COUNTIFS(集計用!$G243,"*, "&amp;L$3&amp;", *")</f>
        <v>1</v>
      </c>
      <c r="M245" s="2">
        <f>COUNTIFS(集計用!$G243,"*, "&amp;M$3&amp;", *")</f>
        <v>0</v>
      </c>
      <c r="N245" s="2">
        <f>COUNTIFS(集計用!$G243,"*, "&amp;N$3&amp;", *")</f>
        <v>0</v>
      </c>
      <c r="O245" s="2">
        <f>COUNTIFS(集計用!$G243,"*, "&amp;O$3&amp;", *")</f>
        <v>0</v>
      </c>
      <c r="P245" s="2">
        <f>COUNTIFS(集計用!$G243,"*, "&amp;P$3&amp;", *")</f>
        <v>0</v>
      </c>
      <c r="Q245" s="2">
        <f>COUNTIFS(集計用!$G243,"*, "&amp;Q$3&amp;", *")</f>
        <v>0</v>
      </c>
      <c r="R245" s="2">
        <f>COUNTIFS(集計用!$G243,"*, "&amp;R$3&amp;", *")</f>
        <v>0</v>
      </c>
      <c r="S245" s="2">
        <f>COUNTIFS(集計用!$G243,"*, "&amp;S$3&amp;", *")</f>
        <v>0</v>
      </c>
      <c r="T245" s="2">
        <f>COUNTIFS(集計用!$G243,"*, "&amp;T$3&amp;", *")</f>
        <v>0</v>
      </c>
      <c r="U245" s="2">
        <f>COUNTIFS(集計用!$G243,"*, "&amp;U$3&amp;", *")</f>
        <v>0</v>
      </c>
      <c r="V245" s="2">
        <f>COUNTIFS(集計用!$G243,"*, "&amp;V$3&amp;", *")</f>
        <v>0</v>
      </c>
      <c r="W245" s="2">
        <f>COUNTIFS(集計用!$G243,"*, "&amp;W$3&amp;", *")</f>
        <v>0</v>
      </c>
      <c r="X245" s="2">
        <f>COUNTIFS(集計用!$G243,"*, "&amp;X$3&amp;", *")</f>
        <v>0</v>
      </c>
      <c r="Y245" s="2">
        <f>COUNTIFS(集計用!$G243,"*, "&amp;Y$3&amp;", *")</f>
        <v>0</v>
      </c>
      <c r="Z245" s="2">
        <f>COUNTIFS(集計用!$G243,"*, "&amp;Z$3&amp;", *")</f>
        <v>0</v>
      </c>
      <c r="AA245" s="2">
        <f>COUNTIFS(集計用!$G243,"*, "&amp;AA$3&amp;", *")</f>
        <v>0</v>
      </c>
      <c r="AB245" s="2">
        <f>COUNTIFS(集計用!$G243,"*, "&amp;AB$3&amp;", *")</f>
        <v>0</v>
      </c>
      <c r="AC245" s="2">
        <f>COUNTIFS(集計用!$G243,"*, "&amp;AC$3&amp;", *")</f>
        <v>0</v>
      </c>
      <c r="AD245" s="2">
        <f>COUNTIFS(集計用!$G243,"*, "&amp;AD$3&amp;", *")</f>
        <v>0</v>
      </c>
      <c r="AE245" s="2">
        <f>COUNTIFS(集計用!$G243,"*, "&amp;AE$3&amp;", *")</f>
        <v>0</v>
      </c>
      <c r="AF245" s="2">
        <f>COUNTIFS(集計用!$G243,"*, "&amp;AF$3&amp;", *")</f>
        <v>0</v>
      </c>
      <c r="AG245" s="2">
        <f>COUNTIFS(集計用!$G243,"*, "&amp;AG$3&amp;", *")</f>
        <v>0</v>
      </c>
      <c r="AH245" s="2">
        <f>COUNTIFS(集計用!$G243,"*, "&amp;AH$3&amp;", *")</f>
        <v>0</v>
      </c>
      <c r="AI245" s="2">
        <f>COUNTIFS(集計用!$G243,"*, "&amp;AI$3&amp;", *")</f>
        <v>0</v>
      </c>
      <c r="AJ245" s="2">
        <f>COUNTIFS(集計用!$G243,"*, "&amp;AJ$3&amp;", *")</f>
        <v>0</v>
      </c>
      <c r="AK245" s="2">
        <f>COUNTIFS(集計用!$G243,"*, "&amp;AK$3&amp;", *")</f>
        <v>0</v>
      </c>
      <c r="AL245" s="2">
        <f>COUNTIFS(集計用!$G243,"*, "&amp;AL$3&amp;", *")</f>
        <v>0</v>
      </c>
      <c r="AM245" s="2">
        <f>COUNTIFS(集計用!$G243,"*, "&amp;AM$3&amp;", *")</f>
        <v>0</v>
      </c>
      <c r="AN245" s="2">
        <f>COUNTIFS(集計用!$G243,"*, "&amp;AN$3&amp;", *")</f>
        <v>0</v>
      </c>
      <c r="AO245" s="2">
        <f>COUNTIFS(集計用!$G243,"*, "&amp;AO$3&amp;", *")</f>
        <v>0</v>
      </c>
      <c r="AP245" s="2">
        <f>COUNTIFS(集計用!$G243,"*, "&amp;AP$3&amp;", *")</f>
        <v>0</v>
      </c>
      <c r="AQ245" s="2">
        <f>COUNTIFS(集計用!$G243,"*, "&amp;AQ$3&amp;", *")</f>
        <v>0</v>
      </c>
      <c r="AR245" s="2">
        <f>COUNTIFS(集計用!$G243,"*, "&amp;AR$3&amp;", *")</f>
        <v>0</v>
      </c>
      <c r="AS245" s="2">
        <f>COUNTIFS(集計用!$G243,"*, "&amp;AS$3&amp;", *")</f>
        <v>0</v>
      </c>
      <c r="AT245" s="2">
        <f>COUNTIFS(集計用!$G243,"*, "&amp;AT$3&amp;", *")</f>
        <v>0</v>
      </c>
      <c r="AU245" s="2">
        <f>COUNTIFS(集計用!$G243,"*, "&amp;AU$3&amp;", *")</f>
        <v>0</v>
      </c>
      <c r="AV245" s="2">
        <f>COUNTIFS(集計用!$G243,"*, "&amp;AV$3&amp;", *")</f>
        <v>0</v>
      </c>
      <c r="AW245" s="2">
        <f>COUNTIFS(集計用!$G243,"*, "&amp;AW$3&amp;", *")</f>
        <v>0</v>
      </c>
      <c r="AX245" s="2">
        <f>COUNTIFS(集計用!$G243,"*, "&amp;AX$3&amp;", *")</f>
        <v>0</v>
      </c>
      <c r="AY245" s="2">
        <f>COUNTIFS(集計用!$G243,"*, "&amp;AY$3&amp;", *")</f>
        <v>0</v>
      </c>
      <c r="AZ245" s="2">
        <f>COUNTIFS(集計用!$G243,"*, "&amp;AZ$3&amp;", *")</f>
        <v>0</v>
      </c>
      <c r="BA245" s="2">
        <f>COUNTIFS(集計用!$G243,"*, "&amp;BA$3&amp;", *")</f>
        <v>0</v>
      </c>
      <c r="BB245" s="2">
        <f>COUNTIFS(集計用!$G243,"*, "&amp;BB$3&amp;", *")</f>
        <v>0</v>
      </c>
      <c r="BC245" s="2">
        <f>COUNTIFS(集計用!$G243,"*, "&amp;BC$3&amp;", *")</f>
        <v>0</v>
      </c>
      <c r="BD245" s="2">
        <f>COUNTIFS(集計用!$G243,"*, "&amp;BD$3&amp;", *")</f>
        <v>0</v>
      </c>
      <c r="BE245" s="2">
        <f>COUNTIFS(集計用!$G243,"*, "&amp;BE$3&amp;", *")</f>
        <v>0</v>
      </c>
      <c r="BF245" s="2">
        <f>COUNTIFS(集計用!$G243,"*, "&amp;BF$3&amp;", *")</f>
        <v>0</v>
      </c>
      <c r="BG245" s="2">
        <f>COUNTIFS(集計用!$G243,"*, "&amp;BG$3&amp;", *")</f>
        <v>0</v>
      </c>
      <c r="BH245" s="2">
        <f>COUNTIFS(集計用!$G243,"*, "&amp;BH$3&amp;", *")</f>
        <v>0</v>
      </c>
      <c r="BI245" s="2">
        <f>COUNTIFS(集計用!$G243,"*, "&amp;BI$3&amp;", *")</f>
        <v>0</v>
      </c>
      <c r="BJ245" s="2">
        <f>LEN(集計用!H243)-LEN(SUBSTITUTE(集計用!H243,",",""))</f>
        <v>0</v>
      </c>
    </row>
    <row r="246" spans="1:62" ht="12.75">
      <c r="A246" s="8">
        <v>243</v>
      </c>
      <c r="C246" s="2">
        <f t="shared" si="3"/>
        <v>3</v>
      </c>
      <c r="D246" s="9"/>
      <c r="E246" s="2">
        <f>COUNTIFS(集計用!$G244,"*, "&amp;E$3&amp;", *")</f>
        <v>0</v>
      </c>
      <c r="F246" s="2">
        <f>COUNTIFS(集計用!$G244,"*, "&amp;F$3&amp;", *")</f>
        <v>1</v>
      </c>
      <c r="G246" s="2">
        <f>COUNTIFS(集計用!$G244,"*, "&amp;G$3&amp;", *")</f>
        <v>0</v>
      </c>
      <c r="H246" s="2">
        <f>COUNTIFS(集計用!$G244,"*, "&amp;H$3&amp;", *")</f>
        <v>1</v>
      </c>
      <c r="I246" s="2">
        <f>COUNTIFS(集計用!$G244,"*, "&amp;I$3&amp;", *")</f>
        <v>0</v>
      </c>
      <c r="J246" s="2">
        <f>COUNTIFS(集計用!$G244,"*, "&amp;J$3&amp;", *")</f>
        <v>0</v>
      </c>
      <c r="K246" s="2">
        <f>COUNTIFS(集計用!$G244,"*, "&amp;K$3&amp;", *")</f>
        <v>0</v>
      </c>
      <c r="L246" s="2">
        <f>COUNTIFS(集計用!$G244,"*, "&amp;L$3&amp;", *")</f>
        <v>0</v>
      </c>
      <c r="M246" s="2">
        <f>COUNTIFS(集計用!$G244,"*, "&amp;M$3&amp;", *")</f>
        <v>0</v>
      </c>
      <c r="N246" s="2">
        <f>COUNTIFS(集計用!$G244,"*, "&amp;N$3&amp;", *")</f>
        <v>0</v>
      </c>
      <c r="O246" s="2">
        <f>COUNTIFS(集計用!$G244,"*, "&amp;O$3&amp;", *")</f>
        <v>0</v>
      </c>
      <c r="P246" s="2">
        <f>COUNTIFS(集計用!$G244,"*, "&amp;P$3&amp;", *")</f>
        <v>0</v>
      </c>
      <c r="Q246" s="2">
        <f>COUNTIFS(集計用!$G244,"*, "&amp;Q$3&amp;", *")</f>
        <v>1</v>
      </c>
      <c r="R246" s="2">
        <f>COUNTIFS(集計用!$G244,"*, "&amp;R$3&amp;", *")</f>
        <v>0</v>
      </c>
      <c r="S246" s="2">
        <f>COUNTIFS(集計用!$G244,"*, "&amp;S$3&amp;", *")</f>
        <v>0</v>
      </c>
      <c r="T246" s="2">
        <f>COUNTIFS(集計用!$G244,"*, "&amp;T$3&amp;", *")</f>
        <v>0</v>
      </c>
      <c r="U246" s="2">
        <f>COUNTIFS(集計用!$G244,"*, "&amp;U$3&amp;", *")</f>
        <v>0</v>
      </c>
      <c r="V246" s="2">
        <f>COUNTIFS(集計用!$G244,"*, "&amp;V$3&amp;", *")</f>
        <v>0</v>
      </c>
      <c r="W246" s="2">
        <f>COUNTIFS(集計用!$G244,"*, "&amp;W$3&amp;", *")</f>
        <v>0</v>
      </c>
      <c r="X246" s="2">
        <f>COUNTIFS(集計用!$G244,"*, "&amp;X$3&amp;", *")</f>
        <v>0</v>
      </c>
      <c r="Y246" s="2">
        <f>COUNTIFS(集計用!$G244,"*, "&amp;Y$3&amp;", *")</f>
        <v>0</v>
      </c>
      <c r="Z246" s="2">
        <f>COUNTIFS(集計用!$G244,"*, "&amp;Z$3&amp;", *")</f>
        <v>0</v>
      </c>
      <c r="AA246" s="2">
        <f>COUNTIFS(集計用!$G244,"*, "&amp;AA$3&amp;", *")</f>
        <v>0</v>
      </c>
      <c r="AB246" s="2">
        <f>COUNTIFS(集計用!$G244,"*, "&amp;AB$3&amp;", *")</f>
        <v>0</v>
      </c>
      <c r="AC246" s="2">
        <f>COUNTIFS(集計用!$G244,"*, "&amp;AC$3&amp;", *")</f>
        <v>0</v>
      </c>
      <c r="AD246" s="2">
        <f>COUNTIFS(集計用!$G244,"*, "&amp;AD$3&amp;", *")</f>
        <v>0</v>
      </c>
      <c r="AE246" s="2">
        <f>COUNTIFS(集計用!$G244,"*, "&amp;AE$3&amp;", *")</f>
        <v>0</v>
      </c>
      <c r="AF246" s="2">
        <f>COUNTIFS(集計用!$G244,"*, "&amp;AF$3&amp;", *")</f>
        <v>0</v>
      </c>
      <c r="AG246" s="2">
        <f>COUNTIFS(集計用!$G244,"*, "&amp;AG$3&amp;", *")</f>
        <v>0</v>
      </c>
      <c r="AH246" s="2">
        <f>COUNTIFS(集計用!$G244,"*, "&amp;AH$3&amp;", *")</f>
        <v>0</v>
      </c>
      <c r="AI246" s="2">
        <f>COUNTIFS(集計用!$G244,"*, "&amp;AI$3&amp;", *")</f>
        <v>0</v>
      </c>
      <c r="AJ246" s="2">
        <f>COUNTIFS(集計用!$G244,"*, "&amp;AJ$3&amp;", *")</f>
        <v>0</v>
      </c>
      <c r="AK246" s="2">
        <f>COUNTIFS(集計用!$G244,"*, "&amp;AK$3&amp;", *")</f>
        <v>0</v>
      </c>
      <c r="AL246" s="2">
        <f>COUNTIFS(集計用!$G244,"*, "&amp;AL$3&amp;", *")</f>
        <v>0</v>
      </c>
      <c r="AM246" s="2">
        <f>COUNTIFS(集計用!$G244,"*, "&amp;AM$3&amp;", *")</f>
        <v>0</v>
      </c>
      <c r="AN246" s="2">
        <f>COUNTIFS(集計用!$G244,"*, "&amp;AN$3&amp;", *")</f>
        <v>0</v>
      </c>
      <c r="AO246" s="2">
        <f>COUNTIFS(集計用!$G244,"*, "&amp;AO$3&amp;", *")</f>
        <v>0</v>
      </c>
      <c r="AP246" s="2">
        <f>COUNTIFS(集計用!$G244,"*, "&amp;AP$3&amp;", *")</f>
        <v>0</v>
      </c>
      <c r="AQ246" s="2">
        <f>COUNTIFS(集計用!$G244,"*, "&amp;AQ$3&amp;", *")</f>
        <v>0</v>
      </c>
      <c r="AR246" s="2">
        <f>COUNTIFS(集計用!$G244,"*, "&amp;AR$3&amp;", *")</f>
        <v>0</v>
      </c>
      <c r="AS246" s="2">
        <f>COUNTIFS(集計用!$G244,"*, "&amp;AS$3&amp;", *")</f>
        <v>0</v>
      </c>
      <c r="AT246" s="2">
        <f>COUNTIFS(集計用!$G244,"*, "&amp;AT$3&amp;", *")</f>
        <v>0</v>
      </c>
      <c r="AU246" s="2">
        <f>COUNTIFS(集計用!$G244,"*, "&amp;AU$3&amp;", *")</f>
        <v>0</v>
      </c>
      <c r="AV246" s="2">
        <f>COUNTIFS(集計用!$G244,"*, "&amp;AV$3&amp;", *")</f>
        <v>0</v>
      </c>
      <c r="AW246" s="2">
        <f>COUNTIFS(集計用!$G244,"*, "&amp;AW$3&amp;", *")</f>
        <v>0</v>
      </c>
      <c r="AX246" s="2">
        <f>COUNTIFS(集計用!$G244,"*, "&amp;AX$3&amp;", *")</f>
        <v>0</v>
      </c>
      <c r="AY246" s="2">
        <f>COUNTIFS(集計用!$G244,"*, "&amp;AY$3&amp;", *")</f>
        <v>0</v>
      </c>
      <c r="AZ246" s="2">
        <f>COUNTIFS(集計用!$G244,"*, "&amp;AZ$3&amp;", *")</f>
        <v>0</v>
      </c>
      <c r="BA246" s="2">
        <f>COUNTIFS(集計用!$G244,"*, "&amp;BA$3&amp;", *")</f>
        <v>0</v>
      </c>
      <c r="BB246" s="2">
        <f>COUNTIFS(集計用!$G244,"*, "&amp;BB$3&amp;", *")</f>
        <v>0</v>
      </c>
      <c r="BC246" s="2">
        <f>COUNTIFS(集計用!$G244,"*, "&amp;BC$3&amp;", *")</f>
        <v>0</v>
      </c>
      <c r="BD246" s="2">
        <f>COUNTIFS(集計用!$G244,"*, "&amp;BD$3&amp;", *")</f>
        <v>0</v>
      </c>
      <c r="BE246" s="2">
        <f>COUNTIFS(集計用!$G244,"*, "&amp;BE$3&amp;", *")</f>
        <v>0</v>
      </c>
      <c r="BF246" s="2">
        <f>COUNTIFS(集計用!$G244,"*, "&amp;BF$3&amp;", *")</f>
        <v>0</v>
      </c>
      <c r="BG246" s="2">
        <f>COUNTIFS(集計用!$G244,"*, "&amp;BG$3&amp;", *")</f>
        <v>0</v>
      </c>
      <c r="BH246" s="2">
        <f>COUNTIFS(集計用!$G244,"*, "&amp;BH$3&amp;", *")</f>
        <v>0</v>
      </c>
      <c r="BI246" s="2">
        <f>COUNTIFS(集計用!$G244,"*, "&amp;BI$3&amp;", *")</f>
        <v>0</v>
      </c>
      <c r="BJ246" s="2">
        <f>LEN(集計用!H244)-LEN(SUBSTITUTE(集計用!H244,",",""))</f>
        <v>0</v>
      </c>
    </row>
    <row r="247" spans="1:62" ht="12.75">
      <c r="A247" s="8">
        <v>244</v>
      </c>
      <c r="C247" s="2">
        <f t="shared" si="3"/>
        <v>1</v>
      </c>
      <c r="D247" s="9"/>
      <c r="E247" s="2">
        <f>COUNTIFS(集計用!$G245,"*, "&amp;E$3&amp;", *")</f>
        <v>1</v>
      </c>
      <c r="F247" s="2">
        <f>COUNTIFS(集計用!$G245,"*, "&amp;F$3&amp;", *")</f>
        <v>0</v>
      </c>
      <c r="G247" s="2">
        <f>COUNTIFS(集計用!$G245,"*, "&amp;G$3&amp;", *")</f>
        <v>0</v>
      </c>
      <c r="H247" s="2">
        <f>COUNTIFS(集計用!$G245,"*, "&amp;H$3&amp;", *")</f>
        <v>0</v>
      </c>
      <c r="I247" s="2">
        <f>COUNTIFS(集計用!$G245,"*, "&amp;I$3&amp;", *")</f>
        <v>0</v>
      </c>
      <c r="J247" s="2">
        <f>COUNTIFS(集計用!$G245,"*, "&amp;J$3&amp;", *")</f>
        <v>0</v>
      </c>
      <c r="K247" s="2">
        <f>COUNTIFS(集計用!$G245,"*, "&amp;K$3&amp;", *")</f>
        <v>0</v>
      </c>
      <c r="L247" s="2">
        <f>COUNTIFS(集計用!$G245,"*, "&amp;L$3&amp;", *")</f>
        <v>0</v>
      </c>
      <c r="M247" s="2">
        <f>COUNTIFS(集計用!$G245,"*, "&amp;M$3&amp;", *")</f>
        <v>0</v>
      </c>
      <c r="N247" s="2">
        <f>COUNTIFS(集計用!$G245,"*, "&amp;N$3&amp;", *")</f>
        <v>0</v>
      </c>
      <c r="O247" s="2">
        <f>COUNTIFS(集計用!$G245,"*, "&amp;O$3&amp;", *")</f>
        <v>0</v>
      </c>
      <c r="P247" s="2">
        <f>COUNTIFS(集計用!$G245,"*, "&amp;P$3&amp;", *")</f>
        <v>0</v>
      </c>
      <c r="Q247" s="2">
        <f>COUNTIFS(集計用!$G245,"*, "&amp;Q$3&amp;", *")</f>
        <v>0</v>
      </c>
      <c r="R247" s="2">
        <f>COUNTIFS(集計用!$G245,"*, "&amp;R$3&amp;", *")</f>
        <v>0</v>
      </c>
      <c r="S247" s="2">
        <f>COUNTIFS(集計用!$G245,"*, "&amp;S$3&amp;", *")</f>
        <v>0</v>
      </c>
      <c r="T247" s="2">
        <f>COUNTIFS(集計用!$G245,"*, "&amp;T$3&amp;", *")</f>
        <v>0</v>
      </c>
      <c r="U247" s="2">
        <f>COUNTIFS(集計用!$G245,"*, "&amp;U$3&amp;", *")</f>
        <v>0</v>
      </c>
      <c r="V247" s="2">
        <f>COUNTIFS(集計用!$G245,"*, "&amp;V$3&amp;", *")</f>
        <v>0</v>
      </c>
      <c r="W247" s="2">
        <f>COUNTIFS(集計用!$G245,"*, "&amp;W$3&amp;", *")</f>
        <v>0</v>
      </c>
      <c r="X247" s="2">
        <f>COUNTIFS(集計用!$G245,"*, "&amp;X$3&amp;", *")</f>
        <v>0</v>
      </c>
      <c r="Y247" s="2">
        <f>COUNTIFS(集計用!$G245,"*, "&amp;Y$3&amp;", *")</f>
        <v>0</v>
      </c>
      <c r="Z247" s="2">
        <f>COUNTIFS(集計用!$G245,"*, "&amp;Z$3&amp;", *")</f>
        <v>0</v>
      </c>
      <c r="AA247" s="2">
        <f>COUNTIFS(集計用!$G245,"*, "&amp;AA$3&amp;", *")</f>
        <v>0</v>
      </c>
      <c r="AB247" s="2">
        <f>COUNTIFS(集計用!$G245,"*, "&amp;AB$3&amp;", *")</f>
        <v>0</v>
      </c>
      <c r="AC247" s="2">
        <f>COUNTIFS(集計用!$G245,"*, "&amp;AC$3&amp;", *")</f>
        <v>0</v>
      </c>
      <c r="AD247" s="2">
        <f>COUNTIFS(集計用!$G245,"*, "&amp;AD$3&amp;", *")</f>
        <v>0</v>
      </c>
      <c r="AE247" s="2">
        <f>COUNTIFS(集計用!$G245,"*, "&amp;AE$3&amp;", *")</f>
        <v>0</v>
      </c>
      <c r="AF247" s="2">
        <f>COUNTIFS(集計用!$G245,"*, "&amp;AF$3&amp;", *")</f>
        <v>0</v>
      </c>
      <c r="AG247" s="2">
        <f>COUNTIFS(集計用!$G245,"*, "&amp;AG$3&amp;", *")</f>
        <v>0</v>
      </c>
      <c r="AH247" s="2">
        <f>COUNTIFS(集計用!$G245,"*, "&amp;AH$3&amp;", *")</f>
        <v>0</v>
      </c>
      <c r="AI247" s="2">
        <f>COUNTIFS(集計用!$G245,"*, "&amp;AI$3&amp;", *")</f>
        <v>0</v>
      </c>
      <c r="AJ247" s="2">
        <f>COUNTIFS(集計用!$G245,"*, "&amp;AJ$3&amp;", *")</f>
        <v>0</v>
      </c>
      <c r="AK247" s="2">
        <f>COUNTIFS(集計用!$G245,"*, "&amp;AK$3&amp;", *")</f>
        <v>0</v>
      </c>
      <c r="AL247" s="2">
        <f>COUNTIFS(集計用!$G245,"*, "&amp;AL$3&amp;", *")</f>
        <v>0</v>
      </c>
      <c r="AM247" s="2">
        <f>COUNTIFS(集計用!$G245,"*, "&amp;AM$3&amp;", *")</f>
        <v>0</v>
      </c>
      <c r="AN247" s="2">
        <f>COUNTIFS(集計用!$G245,"*, "&amp;AN$3&amp;", *")</f>
        <v>0</v>
      </c>
      <c r="AO247" s="2">
        <f>COUNTIFS(集計用!$G245,"*, "&amp;AO$3&amp;", *")</f>
        <v>0</v>
      </c>
      <c r="AP247" s="2">
        <f>COUNTIFS(集計用!$G245,"*, "&amp;AP$3&amp;", *")</f>
        <v>0</v>
      </c>
      <c r="AQ247" s="2">
        <f>COUNTIFS(集計用!$G245,"*, "&amp;AQ$3&amp;", *")</f>
        <v>0</v>
      </c>
      <c r="AR247" s="2">
        <f>COUNTIFS(集計用!$G245,"*, "&amp;AR$3&amp;", *")</f>
        <v>0</v>
      </c>
      <c r="AS247" s="2">
        <f>COUNTIFS(集計用!$G245,"*, "&amp;AS$3&amp;", *")</f>
        <v>0</v>
      </c>
      <c r="AT247" s="2">
        <f>COUNTIFS(集計用!$G245,"*, "&amp;AT$3&amp;", *")</f>
        <v>0</v>
      </c>
      <c r="AU247" s="2">
        <f>COUNTIFS(集計用!$G245,"*, "&amp;AU$3&amp;", *")</f>
        <v>0</v>
      </c>
      <c r="AV247" s="2">
        <f>COUNTIFS(集計用!$G245,"*, "&amp;AV$3&amp;", *")</f>
        <v>0</v>
      </c>
      <c r="AW247" s="2">
        <f>COUNTIFS(集計用!$G245,"*, "&amp;AW$3&amp;", *")</f>
        <v>0</v>
      </c>
      <c r="AX247" s="2">
        <f>COUNTIFS(集計用!$G245,"*, "&amp;AX$3&amp;", *")</f>
        <v>0</v>
      </c>
      <c r="AY247" s="2">
        <f>COUNTIFS(集計用!$G245,"*, "&amp;AY$3&amp;", *")</f>
        <v>0</v>
      </c>
      <c r="AZ247" s="2">
        <f>COUNTIFS(集計用!$G245,"*, "&amp;AZ$3&amp;", *")</f>
        <v>0</v>
      </c>
      <c r="BA247" s="2">
        <f>COUNTIFS(集計用!$G245,"*, "&amp;BA$3&amp;", *")</f>
        <v>0</v>
      </c>
      <c r="BB247" s="2">
        <f>COUNTIFS(集計用!$G245,"*, "&amp;BB$3&amp;", *")</f>
        <v>0</v>
      </c>
      <c r="BC247" s="2">
        <f>COUNTIFS(集計用!$G245,"*, "&amp;BC$3&amp;", *")</f>
        <v>0</v>
      </c>
      <c r="BD247" s="2">
        <f>COUNTIFS(集計用!$G245,"*, "&amp;BD$3&amp;", *")</f>
        <v>0</v>
      </c>
      <c r="BE247" s="2">
        <f>COUNTIFS(集計用!$G245,"*, "&amp;BE$3&amp;", *")</f>
        <v>0</v>
      </c>
      <c r="BF247" s="2">
        <f>COUNTIFS(集計用!$G245,"*, "&amp;BF$3&amp;", *")</f>
        <v>0</v>
      </c>
      <c r="BG247" s="2">
        <f>COUNTIFS(集計用!$G245,"*, "&amp;BG$3&amp;", *")</f>
        <v>0</v>
      </c>
      <c r="BH247" s="2">
        <f>COUNTIFS(集計用!$G245,"*, "&amp;BH$3&amp;", *")</f>
        <v>0</v>
      </c>
      <c r="BI247" s="2">
        <f>COUNTIFS(集計用!$G245,"*, "&amp;BI$3&amp;", *")</f>
        <v>0</v>
      </c>
      <c r="BJ247" s="2">
        <f>LEN(集計用!H245)-LEN(SUBSTITUTE(集計用!H245,",",""))</f>
        <v>0</v>
      </c>
    </row>
    <row r="248" spans="1:62" ht="12.75">
      <c r="A248" s="8">
        <v>245</v>
      </c>
      <c r="C248" s="2">
        <f t="shared" si="3"/>
        <v>5</v>
      </c>
      <c r="D248" s="9"/>
      <c r="E248" s="2">
        <f>COUNTIFS(集計用!$G246,"*, "&amp;E$3&amp;", *")</f>
        <v>1</v>
      </c>
      <c r="F248" s="2">
        <f>COUNTIFS(集計用!$G246,"*, "&amp;F$3&amp;", *")</f>
        <v>0</v>
      </c>
      <c r="G248" s="2">
        <f>COUNTIFS(集計用!$G246,"*, "&amp;G$3&amp;", *")</f>
        <v>0</v>
      </c>
      <c r="H248" s="2">
        <f>COUNTIFS(集計用!$G246,"*, "&amp;H$3&amp;", *")</f>
        <v>0</v>
      </c>
      <c r="I248" s="2">
        <f>COUNTIFS(集計用!$G246,"*, "&amp;I$3&amp;", *")</f>
        <v>0</v>
      </c>
      <c r="J248" s="2">
        <f>COUNTIFS(集計用!$G246,"*, "&amp;J$3&amp;", *")</f>
        <v>1</v>
      </c>
      <c r="K248" s="2">
        <f>COUNTIFS(集計用!$G246,"*, "&amp;K$3&amp;", *")</f>
        <v>0</v>
      </c>
      <c r="L248" s="2">
        <f>COUNTIFS(集計用!$G246,"*, "&amp;L$3&amp;", *")</f>
        <v>0</v>
      </c>
      <c r="M248" s="2">
        <f>COUNTIFS(集計用!$G246,"*, "&amp;M$3&amp;", *")</f>
        <v>0</v>
      </c>
      <c r="N248" s="2">
        <f>COUNTIFS(集計用!$G246,"*, "&amp;N$3&amp;", *")</f>
        <v>0</v>
      </c>
      <c r="O248" s="2">
        <f>COUNTIFS(集計用!$G246,"*, "&amp;O$3&amp;", *")</f>
        <v>0</v>
      </c>
      <c r="P248" s="2">
        <f>COUNTIFS(集計用!$G246,"*, "&amp;P$3&amp;", *")</f>
        <v>0</v>
      </c>
      <c r="Q248" s="2">
        <f>COUNTIFS(集計用!$G246,"*, "&amp;Q$3&amp;", *")</f>
        <v>0</v>
      </c>
      <c r="R248" s="2">
        <f>COUNTIFS(集計用!$G246,"*, "&amp;R$3&amp;", *")</f>
        <v>0</v>
      </c>
      <c r="S248" s="2">
        <f>COUNTIFS(集計用!$G246,"*, "&amp;S$3&amp;", *")</f>
        <v>1</v>
      </c>
      <c r="T248" s="2">
        <f>COUNTIFS(集計用!$G246,"*, "&amp;T$3&amp;", *")</f>
        <v>0</v>
      </c>
      <c r="U248" s="2">
        <f>COUNTIFS(集計用!$G246,"*, "&amp;U$3&amp;", *")</f>
        <v>0</v>
      </c>
      <c r="V248" s="2">
        <f>COUNTIFS(集計用!$G246,"*, "&amp;V$3&amp;", *")</f>
        <v>0</v>
      </c>
      <c r="W248" s="2">
        <f>COUNTIFS(集計用!$G246,"*, "&amp;W$3&amp;", *")</f>
        <v>0</v>
      </c>
      <c r="X248" s="2">
        <f>COUNTIFS(集計用!$G246,"*, "&amp;X$3&amp;", *")</f>
        <v>0</v>
      </c>
      <c r="Y248" s="2">
        <f>COUNTIFS(集計用!$G246,"*, "&amp;Y$3&amp;", *")</f>
        <v>1</v>
      </c>
      <c r="Z248" s="2">
        <f>COUNTIFS(集計用!$G246,"*, "&amp;Z$3&amp;", *")</f>
        <v>0</v>
      </c>
      <c r="AA248" s="2">
        <f>COUNTIFS(集計用!$G246,"*, "&amp;AA$3&amp;", *")</f>
        <v>0</v>
      </c>
      <c r="AB248" s="2">
        <f>COUNTIFS(集計用!$G246,"*, "&amp;AB$3&amp;", *")</f>
        <v>0</v>
      </c>
      <c r="AC248" s="2">
        <f>COUNTIFS(集計用!$G246,"*, "&amp;AC$3&amp;", *")</f>
        <v>0</v>
      </c>
      <c r="AD248" s="2">
        <f>COUNTIFS(集計用!$G246,"*, "&amp;AD$3&amp;", *")</f>
        <v>0</v>
      </c>
      <c r="AE248" s="2">
        <f>COUNTIFS(集計用!$G246,"*, "&amp;AE$3&amp;", *")</f>
        <v>0</v>
      </c>
      <c r="AF248" s="2">
        <f>COUNTIFS(集計用!$G246,"*, "&amp;AF$3&amp;", *")</f>
        <v>0</v>
      </c>
      <c r="AG248" s="2">
        <f>COUNTIFS(集計用!$G246,"*, "&amp;AG$3&amp;", *")</f>
        <v>0</v>
      </c>
      <c r="AH248" s="2">
        <f>COUNTIFS(集計用!$G246,"*, "&amp;AH$3&amp;", *")</f>
        <v>0</v>
      </c>
      <c r="AI248" s="2">
        <f>COUNTIFS(集計用!$G246,"*, "&amp;AI$3&amp;", *")</f>
        <v>0</v>
      </c>
      <c r="AJ248" s="2">
        <f>COUNTIFS(集計用!$G246,"*, "&amp;AJ$3&amp;", *")</f>
        <v>0</v>
      </c>
      <c r="AK248" s="2">
        <f>COUNTIFS(集計用!$G246,"*, "&amp;AK$3&amp;", *")</f>
        <v>0</v>
      </c>
      <c r="AL248" s="2">
        <f>COUNTIFS(集計用!$G246,"*, "&amp;AL$3&amp;", *")</f>
        <v>0</v>
      </c>
      <c r="AM248" s="2">
        <f>COUNTIFS(集計用!$G246,"*, "&amp;AM$3&amp;", *")</f>
        <v>0</v>
      </c>
      <c r="AN248" s="2">
        <f>COUNTIFS(集計用!$G246,"*, "&amp;AN$3&amp;", *")</f>
        <v>0</v>
      </c>
      <c r="AO248" s="2">
        <f>COUNTIFS(集計用!$G246,"*, "&amp;AO$3&amp;", *")</f>
        <v>1</v>
      </c>
      <c r="AP248" s="2">
        <f>COUNTIFS(集計用!$G246,"*, "&amp;AP$3&amp;", *")</f>
        <v>0</v>
      </c>
      <c r="AQ248" s="2">
        <f>COUNTIFS(集計用!$G246,"*, "&amp;AQ$3&amp;", *")</f>
        <v>0</v>
      </c>
      <c r="AR248" s="2">
        <f>COUNTIFS(集計用!$G246,"*, "&amp;AR$3&amp;", *")</f>
        <v>0</v>
      </c>
      <c r="AS248" s="2">
        <f>COUNTIFS(集計用!$G246,"*, "&amp;AS$3&amp;", *")</f>
        <v>0</v>
      </c>
      <c r="AT248" s="2">
        <f>COUNTIFS(集計用!$G246,"*, "&amp;AT$3&amp;", *")</f>
        <v>0</v>
      </c>
      <c r="AU248" s="2">
        <f>COUNTIFS(集計用!$G246,"*, "&amp;AU$3&amp;", *")</f>
        <v>0</v>
      </c>
      <c r="AV248" s="2">
        <f>COUNTIFS(集計用!$G246,"*, "&amp;AV$3&amp;", *")</f>
        <v>0</v>
      </c>
      <c r="AW248" s="2">
        <f>COUNTIFS(集計用!$G246,"*, "&amp;AW$3&amp;", *")</f>
        <v>0</v>
      </c>
      <c r="AX248" s="2">
        <f>COUNTIFS(集計用!$G246,"*, "&amp;AX$3&amp;", *")</f>
        <v>0</v>
      </c>
      <c r="AY248" s="2">
        <f>COUNTIFS(集計用!$G246,"*, "&amp;AY$3&amp;", *")</f>
        <v>0</v>
      </c>
      <c r="AZ248" s="2">
        <f>COUNTIFS(集計用!$G246,"*, "&amp;AZ$3&amp;", *")</f>
        <v>0</v>
      </c>
      <c r="BA248" s="2">
        <f>COUNTIFS(集計用!$G246,"*, "&amp;BA$3&amp;", *")</f>
        <v>0</v>
      </c>
      <c r="BB248" s="2">
        <f>COUNTIFS(集計用!$G246,"*, "&amp;BB$3&amp;", *")</f>
        <v>0</v>
      </c>
      <c r="BC248" s="2">
        <f>COUNTIFS(集計用!$G246,"*, "&amp;BC$3&amp;", *")</f>
        <v>0</v>
      </c>
      <c r="BD248" s="2">
        <f>COUNTIFS(集計用!$G246,"*, "&amp;BD$3&amp;", *")</f>
        <v>0</v>
      </c>
      <c r="BE248" s="2">
        <f>COUNTIFS(集計用!$G246,"*, "&amp;BE$3&amp;", *")</f>
        <v>0</v>
      </c>
      <c r="BF248" s="2">
        <f>COUNTIFS(集計用!$G246,"*, "&amp;BF$3&amp;", *")</f>
        <v>0</v>
      </c>
      <c r="BG248" s="2">
        <f>COUNTIFS(集計用!$G246,"*, "&amp;BG$3&amp;", *")</f>
        <v>0</v>
      </c>
      <c r="BH248" s="2">
        <f>COUNTIFS(集計用!$G246,"*, "&amp;BH$3&amp;", *")</f>
        <v>0</v>
      </c>
      <c r="BI248" s="2">
        <f>COUNTIFS(集計用!$G246,"*, "&amp;BI$3&amp;", *")</f>
        <v>0</v>
      </c>
      <c r="BJ248" s="2">
        <f>LEN(集計用!H246)-LEN(SUBSTITUTE(集計用!H246,",",""))</f>
        <v>0</v>
      </c>
    </row>
    <row r="249" spans="1:62" ht="12.75">
      <c r="A249" s="8">
        <v>246</v>
      </c>
      <c r="C249" s="2">
        <f t="shared" si="3"/>
        <v>7</v>
      </c>
      <c r="D249" s="9"/>
      <c r="E249" s="2">
        <f>COUNTIFS(集計用!$G247,"*, "&amp;E$3&amp;", *")</f>
        <v>0</v>
      </c>
      <c r="F249" s="2">
        <f>COUNTIFS(集計用!$G247,"*, "&amp;F$3&amp;", *")</f>
        <v>0</v>
      </c>
      <c r="G249" s="2">
        <f>COUNTIFS(集計用!$G247,"*, "&amp;G$3&amp;", *")</f>
        <v>0</v>
      </c>
      <c r="H249" s="2">
        <f>COUNTIFS(集計用!$G247,"*, "&amp;H$3&amp;", *")</f>
        <v>1</v>
      </c>
      <c r="I249" s="2">
        <f>COUNTIFS(集計用!$G247,"*, "&amp;I$3&amp;", *")</f>
        <v>0</v>
      </c>
      <c r="J249" s="2">
        <f>COUNTIFS(集計用!$G247,"*, "&amp;J$3&amp;", *")</f>
        <v>0</v>
      </c>
      <c r="K249" s="2">
        <f>COUNTIFS(集計用!$G247,"*, "&amp;K$3&amp;", *")</f>
        <v>0</v>
      </c>
      <c r="L249" s="2">
        <f>COUNTIFS(集計用!$G247,"*, "&amp;L$3&amp;", *")</f>
        <v>1</v>
      </c>
      <c r="M249" s="2">
        <f>COUNTIFS(集計用!$G247,"*, "&amp;M$3&amp;", *")</f>
        <v>0</v>
      </c>
      <c r="N249" s="2">
        <f>COUNTIFS(集計用!$G247,"*, "&amp;N$3&amp;", *")</f>
        <v>1</v>
      </c>
      <c r="O249" s="2">
        <f>COUNTIFS(集計用!$G247,"*, "&amp;O$3&amp;", *")</f>
        <v>0</v>
      </c>
      <c r="P249" s="2">
        <f>COUNTIFS(集計用!$G247,"*, "&amp;P$3&amp;", *")</f>
        <v>0</v>
      </c>
      <c r="Q249" s="2">
        <f>COUNTIFS(集計用!$G247,"*, "&amp;Q$3&amp;", *")</f>
        <v>0</v>
      </c>
      <c r="R249" s="2">
        <f>COUNTIFS(集計用!$G247,"*, "&amp;R$3&amp;", *")</f>
        <v>0</v>
      </c>
      <c r="S249" s="2">
        <f>COUNTIFS(集計用!$G247,"*, "&amp;S$3&amp;", *")</f>
        <v>1</v>
      </c>
      <c r="T249" s="2">
        <f>COUNTIFS(集計用!$G247,"*, "&amp;T$3&amp;", *")</f>
        <v>0</v>
      </c>
      <c r="U249" s="2">
        <f>COUNTIFS(集計用!$G247,"*, "&amp;U$3&amp;", *")</f>
        <v>0</v>
      </c>
      <c r="V249" s="2">
        <f>COUNTIFS(集計用!$G247,"*, "&amp;V$3&amp;", *")</f>
        <v>0</v>
      </c>
      <c r="W249" s="2">
        <f>COUNTIFS(集計用!$G247,"*, "&amp;W$3&amp;", *")</f>
        <v>0</v>
      </c>
      <c r="X249" s="2">
        <f>COUNTIFS(集計用!$G247,"*, "&amp;X$3&amp;", *")</f>
        <v>0</v>
      </c>
      <c r="Y249" s="2">
        <f>COUNTIFS(集計用!$G247,"*, "&amp;Y$3&amp;", *")</f>
        <v>0</v>
      </c>
      <c r="Z249" s="2">
        <f>COUNTIFS(集計用!$G247,"*, "&amp;Z$3&amp;", *")</f>
        <v>0</v>
      </c>
      <c r="AA249" s="2">
        <f>COUNTIFS(集計用!$G247,"*, "&amp;AA$3&amp;", *")</f>
        <v>0</v>
      </c>
      <c r="AB249" s="2">
        <f>COUNTIFS(集計用!$G247,"*, "&amp;AB$3&amp;", *")</f>
        <v>0</v>
      </c>
      <c r="AC249" s="2">
        <f>COUNTIFS(集計用!$G247,"*, "&amp;AC$3&amp;", *")</f>
        <v>0</v>
      </c>
      <c r="AD249" s="2">
        <f>COUNTIFS(集計用!$G247,"*, "&amp;AD$3&amp;", *")</f>
        <v>1</v>
      </c>
      <c r="AE249" s="2">
        <f>COUNTIFS(集計用!$G247,"*, "&amp;AE$3&amp;", *")</f>
        <v>0</v>
      </c>
      <c r="AF249" s="2">
        <f>COUNTIFS(集計用!$G247,"*, "&amp;AF$3&amp;", *")</f>
        <v>0</v>
      </c>
      <c r="AG249" s="2">
        <f>COUNTIFS(集計用!$G247,"*, "&amp;AG$3&amp;", *")</f>
        <v>0</v>
      </c>
      <c r="AH249" s="2">
        <f>COUNTIFS(集計用!$G247,"*, "&amp;AH$3&amp;", *")</f>
        <v>0</v>
      </c>
      <c r="AI249" s="2">
        <f>COUNTIFS(集計用!$G247,"*, "&amp;AI$3&amp;", *")</f>
        <v>0</v>
      </c>
      <c r="AJ249" s="2">
        <f>COUNTIFS(集計用!$G247,"*, "&amp;AJ$3&amp;", *")</f>
        <v>0</v>
      </c>
      <c r="AK249" s="2">
        <f>COUNTIFS(集計用!$G247,"*, "&amp;AK$3&amp;", *")</f>
        <v>0</v>
      </c>
      <c r="AL249" s="2">
        <f>COUNTIFS(集計用!$G247,"*, "&amp;AL$3&amp;", *")</f>
        <v>0</v>
      </c>
      <c r="AM249" s="2">
        <f>COUNTIFS(集計用!$G247,"*, "&amp;AM$3&amp;", *")</f>
        <v>0</v>
      </c>
      <c r="AN249" s="2">
        <f>COUNTIFS(集計用!$G247,"*, "&amp;AN$3&amp;", *")</f>
        <v>0</v>
      </c>
      <c r="AO249" s="2">
        <f>COUNTIFS(集計用!$G247,"*, "&amp;AO$3&amp;", *")</f>
        <v>0</v>
      </c>
      <c r="AP249" s="2">
        <f>COUNTIFS(集計用!$G247,"*, "&amp;AP$3&amp;", *")</f>
        <v>0</v>
      </c>
      <c r="AQ249" s="2">
        <f>COUNTIFS(集計用!$G247,"*, "&amp;AQ$3&amp;", *")</f>
        <v>0</v>
      </c>
      <c r="AR249" s="2">
        <f>COUNTIFS(集計用!$G247,"*, "&amp;AR$3&amp;", *")</f>
        <v>0</v>
      </c>
      <c r="AS249" s="2">
        <f>COUNTIFS(集計用!$G247,"*, "&amp;AS$3&amp;", *")</f>
        <v>0</v>
      </c>
      <c r="AT249" s="2">
        <f>COUNTIFS(集計用!$G247,"*, "&amp;AT$3&amp;", *")</f>
        <v>0</v>
      </c>
      <c r="AU249" s="2">
        <f>COUNTIFS(集計用!$G247,"*, "&amp;AU$3&amp;", *")</f>
        <v>0</v>
      </c>
      <c r="AV249" s="2">
        <f>COUNTIFS(集計用!$G247,"*, "&amp;AV$3&amp;", *")</f>
        <v>0</v>
      </c>
      <c r="AW249" s="2">
        <f>COUNTIFS(集計用!$G247,"*, "&amp;AW$3&amp;", *")</f>
        <v>0</v>
      </c>
      <c r="AX249" s="2">
        <f>COUNTIFS(集計用!$G247,"*, "&amp;AX$3&amp;", *")</f>
        <v>0</v>
      </c>
      <c r="AY249" s="2">
        <f>COUNTIFS(集計用!$G247,"*, "&amp;AY$3&amp;", *")</f>
        <v>0</v>
      </c>
      <c r="AZ249" s="2">
        <f>COUNTIFS(集計用!$G247,"*, "&amp;AZ$3&amp;", *")</f>
        <v>1</v>
      </c>
      <c r="BA249" s="2">
        <f>COUNTIFS(集計用!$G247,"*, "&amp;BA$3&amp;", *")</f>
        <v>0</v>
      </c>
      <c r="BB249" s="2">
        <f>COUNTIFS(集計用!$G247,"*, "&amp;BB$3&amp;", *")</f>
        <v>0</v>
      </c>
      <c r="BC249" s="2">
        <f>COUNTIFS(集計用!$G247,"*, "&amp;BC$3&amp;", *")</f>
        <v>0</v>
      </c>
      <c r="BD249" s="2">
        <f>COUNTIFS(集計用!$G247,"*, "&amp;BD$3&amp;", *")</f>
        <v>0</v>
      </c>
      <c r="BE249" s="2">
        <f>COUNTIFS(集計用!$G247,"*, "&amp;BE$3&amp;", *")</f>
        <v>0</v>
      </c>
      <c r="BF249" s="2">
        <f>COUNTIFS(集計用!$G247,"*, "&amp;BF$3&amp;", *")</f>
        <v>0</v>
      </c>
      <c r="BG249" s="2">
        <f>COUNTIFS(集計用!$G247,"*, "&amp;BG$3&amp;", *")</f>
        <v>0</v>
      </c>
      <c r="BH249" s="2">
        <f>COUNTIFS(集計用!$G247,"*, "&amp;BH$3&amp;", *")</f>
        <v>0</v>
      </c>
      <c r="BI249" s="2">
        <f>COUNTIFS(集計用!$G247,"*, "&amp;BI$3&amp;", *")</f>
        <v>0</v>
      </c>
      <c r="BJ249" s="2">
        <f>LEN(集計用!H247)-LEN(SUBSTITUTE(集計用!H247,",",""))</f>
        <v>1</v>
      </c>
    </row>
    <row r="250" spans="1:62" ht="12.75">
      <c r="A250" s="8">
        <v>247</v>
      </c>
      <c r="C250" s="2">
        <f t="shared" si="3"/>
        <v>5</v>
      </c>
      <c r="D250" s="9"/>
      <c r="E250" s="2">
        <f>COUNTIFS(集計用!$G248,"*, "&amp;E$3&amp;", *")</f>
        <v>1</v>
      </c>
      <c r="F250" s="2">
        <f>COUNTIFS(集計用!$G248,"*, "&amp;F$3&amp;", *")</f>
        <v>1</v>
      </c>
      <c r="G250" s="2">
        <f>COUNTIFS(集計用!$G248,"*, "&amp;G$3&amp;", *")</f>
        <v>0</v>
      </c>
      <c r="H250" s="2">
        <f>COUNTIFS(集計用!$G248,"*, "&amp;H$3&amp;", *")</f>
        <v>0</v>
      </c>
      <c r="I250" s="2">
        <f>COUNTIFS(集計用!$G248,"*, "&amp;I$3&amp;", *")</f>
        <v>0</v>
      </c>
      <c r="J250" s="2">
        <f>COUNTIFS(集計用!$G248,"*, "&amp;J$3&amp;", *")</f>
        <v>1</v>
      </c>
      <c r="K250" s="2">
        <f>COUNTIFS(集計用!$G248,"*, "&amp;K$3&amp;", *")</f>
        <v>0</v>
      </c>
      <c r="L250" s="2">
        <f>COUNTIFS(集計用!$G248,"*, "&amp;L$3&amp;", *")</f>
        <v>0</v>
      </c>
      <c r="M250" s="2">
        <f>COUNTIFS(集計用!$G248,"*, "&amp;M$3&amp;", *")</f>
        <v>0</v>
      </c>
      <c r="N250" s="2">
        <f>COUNTIFS(集計用!$G248,"*, "&amp;N$3&amp;", *")</f>
        <v>0</v>
      </c>
      <c r="O250" s="2">
        <f>COUNTIFS(集計用!$G248,"*, "&amp;O$3&amp;", *")</f>
        <v>0</v>
      </c>
      <c r="P250" s="2">
        <f>COUNTIFS(集計用!$G248,"*, "&amp;P$3&amp;", *")</f>
        <v>0</v>
      </c>
      <c r="Q250" s="2">
        <f>COUNTIFS(集計用!$G248,"*, "&amp;Q$3&amp;", *")</f>
        <v>0</v>
      </c>
      <c r="R250" s="2">
        <f>COUNTIFS(集計用!$G248,"*, "&amp;R$3&amp;", *")</f>
        <v>0</v>
      </c>
      <c r="S250" s="2">
        <f>COUNTIFS(集計用!$G248,"*, "&amp;S$3&amp;", *")</f>
        <v>0</v>
      </c>
      <c r="T250" s="2">
        <f>COUNTIFS(集計用!$G248,"*, "&amp;T$3&amp;", *")</f>
        <v>0</v>
      </c>
      <c r="U250" s="2">
        <f>COUNTIFS(集計用!$G248,"*, "&amp;U$3&amp;", *")</f>
        <v>0</v>
      </c>
      <c r="V250" s="2">
        <f>COUNTIFS(集計用!$G248,"*, "&amp;V$3&amp;", *")</f>
        <v>0</v>
      </c>
      <c r="W250" s="2">
        <f>COUNTIFS(集計用!$G248,"*, "&amp;W$3&amp;", *")</f>
        <v>1</v>
      </c>
      <c r="X250" s="2">
        <f>COUNTIFS(集計用!$G248,"*, "&amp;X$3&amp;", *")</f>
        <v>0</v>
      </c>
      <c r="Y250" s="2">
        <f>COUNTIFS(集計用!$G248,"*, "&amp;Y$3&amp;", *")</f>
        <v>0</v>
      </c>
      <c r="Z250" s="2">
        <f>COUNTIFS(集計用!$G248,"*, "&amp;Z$3&amp;", *")</f>
        <v>0</v>
      </c>
      <c r="AA250" s="2">
        <f>COUNTIFS(集計用!$G248,"*, "&amp;AA$3&amp;", *")</f>
        <v>0</v>
      </c>
      <c r="AB250" s="2">
        <f>COUNTIFS(集計用!$G248,"*, "&amp;AB$3&amp;", *")</f>
        <v>0</v>
      </c>
      <c r="AC250" s="2">
        <f>COUNTIFS(集計用!$G248,"*, "&amp;AC$3&amp;", *")</f>
        <v>1</v>
      </c>
      <c r="AD250" s="2">
        <f>COUNTIFS(集計用!$G248,"*, "&amp;AD$3&amp;", *")</f>
        <v>0</v>
      </c>
      <c r="AE250" s="2">
        <f>COUNTIFS(集計用!$G248,"*, "&amp;AE$3&amp;", *")</f>
        <v>0</v>
      </c>
      <c r="AF250" s="2">
        <f>COUNTIFS(集計用!$G248,"*, "&amp;AF$3&amp;", *")</f>
        <v>0</v>
      </c>
      <c r="AG250" s="2">
        <f>COUNTIFS(集計用!$G248,"*, "&amp;AG$3&amp;", *")</f>
        <v>0</v>
      </c>
      <c r="AH250" s="2">
        <f>COUNTIFS(集計用!$G248,"*, "&amp;AH$3&amp;", *")</f>
        <v>0</v>
      </c>
      <c r="AI250" s="2">
        <f>COUNTIFS(集計用!$G248,"*, "&amp;AI$3&amp;", *")</f>
        <v>0</v>
      </c>
      <c r="AJ250" s="2">
        <f>COUNTIFS(集計用!$G248,"*, "&amp;AJ$3&amp;", *")</f>
        <v>0</v>
      </c>
      <c r="AK250" s="2">
        <f>COUNTIFS(集計用!$G248,"*, "&amp;AK$3&amp;", *")</f>
        <v>0</v>
      </c>
      <c r="AL250" s="2">
        <f>COUNTIFS(集計用!$G248,"*, "&amp;AL$3&amp;", *")</f>
        <v>0</v>
      </c>
      <c r="AM250" s="2">
        <f>COUNTIFS(集計用!$G248,"*, "&amp;AM$3&amp;", *")</f>
        <v>0</v>
      </c>
      <c r="AN250" s="2">
        <f>COUNTIFS(集計用!$G248,"*, "&amp;AN$3&amp;", *")</f>
        <v>0</v>
      </c>
      <c r="AO250" s="2">
        <f>COUNTIFS(集計用!$G248,"*, "&amp;AO$3&amp;", *")</f>
        <v>0</v>
      </c>
      <c r="AP250" s="2">
        <f>COUNTIFS(集計用!$G248,"*, "&amp;AP$3&amp;", *")</f>
        <v>0</v>
      </c>
      <c r="AQ250" s="2">
        <f>COUNTIFS(集計用!$G248,"*, "&amp;AQ$3&amp;", *")</f>
        <v>0</v>
      </c>
      <c r="AR250" s="2">
        <f>COUNTIFS(集計用!$G248,"*, "&amp;AR$3&amp;", *")</f>
        <v>0</v>
      </c>
      <c r="AS250" s="2">
        <f>COUNTIFS(集計用!$G248,"*, "&amp;AS$3&amp;", *")</f>
        <v>0</v>
      </c>
      <c r="AT250" s="2">
        <f>COUNTIFS(集計用!$G248,"*, "&amp;AT$3&amp;", *")</f>
        <v>0</v>
      </c>
      <c r="AU250" s="2">
        <f>COUNTIFS(集計用!$G248,"*, "&amp;AU$3&amp;", *")</f>
        <v>0</v>
      </c>
      <c r="AV250" s="2">
        <f>COUNTIFS(集計用!$G248,"*, "&amp;AV$3&amp;", *")</f>
        <v>0</v>
      </c>
      <c r="AW250" s="2">
        <f>COUNTIFS(集計用!$G248,"*, "&amp;AW$3&amp;", *")</f>
        <v>0</v>
      </c>
      <c r="AX250" s="2">
        <f>COUNTIFS(集計用!$G248,"*, "&amp;AX$3&amp;", *")</f>
        <v>0</v>
      </c>
      <c r="AY250" s="2">
        <f>COUNTIFS(集計用!$G248,"*, "&amp;AY$3&amp;", *")</f>
        <v>0</v>
      </c>
      <c r="AZ250" s="2">
        <f>COUNTIFS(集計用!$G248,"*, "&amp;AZ$3&amp;", *")</f>
        <v>0</v>
      </c>
      <c r="BA250" s="2">
        <f>COUNTIFS(集計用!$G248,"*, "&amp;BA$3&amp;", *")</f>
        <v>0</v>
      </c>
      <c r="BB250" s="2">
        <f>COUNTIFS(集計用!$G248,"*, "&amp;BB$3&amp;", *")</f>
        <v>0</v>
      </c>
      <c r="BC250" s="2">
        <f>COUNTIFS(集計用!$G248,"*, "&amp;BC$3&amp;", *")</f>
        <v>0</v>
      </c>
      <c r="BD250" s="2">
        <f>COUNTIFS(集計用!$G248,"*, "&amp;BD$3&amp;", *")</f>
        <v>0</v>
      </c>
      <c r="BE250" s="2">
        <f>COUNTIFS(集計用!$G248,"*, "&amp;BE$3&amp;", *")</f>
        <v>0</v>
      </c>
      <c r="BF250" s="2">
        <f>COUNTIFS(集計用!$G248,"*, "&amp;BF$3&amp;", *")</f>
        <v>0</v>
      </c>
      <c r="BG250" s="2">
        <f>COUNTIFS(集計用!$G248,"*, "&amp;BG$3&amp;", *")</f>
        <v>0</v>
      </c>
      <c r="BH250" s="2">
        <f>COUNTIFS(集計用!$G248,"*, "&amp;BH$3&amp;", *")</f>
        <v>0</v>
      </c>
      <c r="BI250" s="2">
        <f>COUNTIFS(集計用!$G248,"*, "&amp;BI$3&amp;", *")</f>
        <v>0</v>
      </c>
      <c r="BJ250" s="2">
        <f>LEN(集計用!H248)-LEN(SUBSTITUTE(集計用!H248,",",""))</f>
        <v>0</v>
      </c>
    </row>
    <row r="251" spans="1:62" ht="12.75">
      <c r="A251" s="8">
        <v>248</v>
      </c>
      <c r="C251" s="2">
        <f t="shared" si="3"/>
        <v>3</v>
      </c>
      <c r="D251" s="9"/>
      <c r="E251" s="2">
        <f>COUNTIFS(集計用!$G249,"*, "&amp;E$3&amp;", *")</f>
        <v>1</v>
      </c>
      <c r="F251" s="2">
        <f>COUNTIFS(集計用!$G249,"*, "&amp;F$3&amp;", *")</f>
        <v>0</v>
      </c>
      <c r="G251" s="2">
        <f>COUNTIFS(集計用!$G249,"*, "&amp;G$3&amp;", *")</f>
        <v>0</v>
      </c>
      <c r="H251" s="2">
        <f>COUNTIFS(集計用!$G249,"*, "&amp;H$3&amp;", *")</f>
        <v>1</v>
      </c>
      <c r="I251" s="2">
        <f>COUNTIFS(集計用!$G249,"*, "&amp;I$3&amp;", *")</f>
        <v>0</v>
      </c>
      <c r="J251" s="2">
        <f>COUNTIFS(集計用!$G249,"*, "&amp;J$3&amp;", *")</f>
        <v>0</v>
      </c>
      <c r="K251" s="2">
        <f>COUNTIFS(集計用!$G249,"*, "&amp;K$3&amp;", *")</f>
        <v>0</v>
      </c>
      <c r="L251" s="2">
        <f>COUNTIFS(集計用!$G249,"*, "&amp;L$3&amp;", *")</f>
        <v>0</v>
      </c>
      <c r="M251" s="2">
        <f>COUNTIFS(集計用!$G249,"*, "&amp;M$3&amp;", *")</f>
        <v>0</v>
      </c>
      <c r="N251" s="2">
        <f>COUNTIFS(集計用!$G249,"*, "&amp;N$3&amp;", *")</f>
        <v>0</v>
      </c>
      <c r="O251" s="2">
        <f>COUNTIFS(集計用!$G249,"*, "&amp;O$3&amp;", *")</f>
        <v>0</v>
      </c>
      <c r="P251" s="2">
        <f>COUNTIFS(集計用!$G249,"*, "&amp;P$3&amp;", *")</f>
        <v>1</v>
      </c>
      <c r="Q251" s="2">
        <f>COUNTIFS(集計用!$G249,"*, "&amp;Q$3&amp;", *")</f>
        <v>0</v>
      </c>
      <c r="R251" s="2">
        <f>COUNTIFS(集計用!$G249,"*, "&amp;R$3&amp;", *")</f>
        <v>0</v>
      </c>
      <c r="S251" s="2">
        <f>COUNTIFS(集計用!$G249,"*, "&amp;S$3&amp;", *")</f>
        <v>0</v>
      </c>
      <c r="T251" s="2">
        <f>COUNTIFS(集計用!$G249,"*, "&amp;T$3&amp;", *")</f>
        <v>0</v>
      </c>
      <c r="U251" s="2">
        <f>COUNTIFS(集計用!$G249,"*, "&amp;U$3&amp;", *")</f>
        <v>0</v>
      </c>
      <c r="V251" s="2">
        <f>COUNTIFS(集計用!$G249,"*, "&amp;V$3&amp;", *")</f>
        <v>0</v>
      </c>
      <c r="W251" s="2">
        <f>COUNTIFS(集計用!$G249,"*, "&amp;W$3&amp;", *")</f>
        <v>0</v>
      </c>
      <c r="X251" s="2">
        <f>COUNTIFS(集計用!$G249,"*, "&amp;X$3&amp;", *")</f>
        <v>0</v>
      </c>
      <c r="Y251" s="2">
        <f>COUNTIFS(集計用!$G249,"*, "&amp;Y$3&amp;", *")</f>
        <v>0</v>
      </c>
      <c r="Z251" s="2">
        <f>COUNTIFS(集計用!$G249,"*, "&amp;Z$3&amp;", *")</f>
        <v>0</v>
      </c>
      <c r="AA251" s="2">
        <f>COUNTIFS(集計用!$G249,"*, "&amp;AA$3&amp;", *")</f>
        <v>0</v>
      </c>
      <c r="AB251" s="2">
        <f>COUNTIFS(集計用!$G249,"*, "&amp;AB$3&amp;", *")</f>
        <v>0</v>
      </c>
      <c r="AC251" s="2">
        <f>COUNTIFS(集計用!$G249,"*, "&amp;AC$3&amp;", *")</f>
        <v>0</v>
      </c>
      <c r="AD251" s="2">
        <f>COUNTIFS(集計用!$G249,"*, "&amp;AD$3&amp;", *")</f>
        <v>0</v>
      </c>
      <c r="AE251" s="2">
        <f>COUNTIFS(集計用!$G249,"*, "&amp;AE$3&amp;", *")</f>
        <v>0</v>
      </c>
      <c r="AF251" s="2">
        <f>COUNTIFS(集計用!$G249,"*, "&amp;AF$3&amp;", *")</f>
        <v>0</v>
      </c>
      <c r="AG251" s="2">
        <f>COUNTIFS(集計用!$G249,"*, "&amp;AG$3&amp;", *")</f>
        <v>0</v>
      </c>
      <c r="AH251" s="2">
        <f>COUNTIFS(集計用!$G249,"*, "&amp;AH$3&amp;", *")</f>
        <v>0</v>
      </c>
      <c r="AI251" s="2">
        <f>COUNTIFS(集計用!$G249,"*, "&amp;AI$3&amp;", *")</f>
        <v>0</v>
      </c>
      <c r="AJ251" s="2">
        <f>COUNTIFS(集計用!$G249,"*, "&amp;AJ$3&amp;", *")</f>
        <v>0</v>
      </c>
      <c r="AK251" s="2">
        <f>COUNTIFS(集計用!$G249,"*, "&amp;AK$3&amp;", *")</f>
        <v>0</v>
      </c>
      <c r="AL251" s="2">
        <f>COUNTIFS(集計用!$G249,"*, "&amp;AL$3&amp;", *")</f>
        <v>0</v>
      </c>
      <c r="AM251" s="2">
        <f>COUNTIFS(集計用!$G249,"*, "&amp;AM$3&amp;", *")</f>
        <v>0</v>
      </c>
      <c r="AN251" s="2">
        <f>COUNTIFS(集計用!$G249,"*, "&amp;AN$3&amp;", *")</f>
        <v>0</v>
      </c>
      <c r="AO251" s="2">
        <f>COUNTIFS(集計用!$G249,"*, "&amp;AO$3&amp;", *")</f>
        <v>0</v>
      </c>
      <c r="AP251" s="2">
        <f>COUNTIFS(集計用!$G249,"*, "&amp;AP$3&amp;", *")</f>
        <v>0</v>
      </c>
      <c r="AQ251" s="2">
        <f>COUNTIFS(集計用!$G249,"*, "&amp;AQ$3&amp;", *")</f>
        <v>0</v>
      </c>
      <c r="AR251" s="2">
        <f>COUNTIFS(集計用!$G249,"*, "&amp;AR$3&amp;", *")</f>
        <v>0</v>
      </c>
      <c r="AS251" s="2">
        <f>COUNTIFS(集計用!$G249,"*, "&amp;AS$3&amp;", *")</f>
        <v>0</v>
      </c>
      <c r="AT251" s="2">
        <f>COUNTIFS(集計用!$G249,"*, "&amp;AT$3&amp;", *")</f>
        <v>0</v>
      </c>
      <c r="AU251" s="2">
        <f>COUNTIFS(集計用!$G249,"*, "&amp;AU$3&amp;", *")</f>
        <v>0</v>
      </c>
      <c r="AV251" s="2">
        <f>COUNTIFS(集計用!$G249,"*, "&amp;AV$3&amp;", *")</f>
        <v>0</v>
      </c>
      <c r="AW251" s="2">
        <f>COUNTIFS(集計用!$G249,"*, "&amp;AW$3&amp;", *")</f>
        <v>0</v>
      </c>
      <c r="AX251" s="2">
        <f>COUNTIFS(集計用!$G249,"*, "&amp;AX$3&amp;", *")</f>
        <v>0</v>
      </c>
      <c r="AY251" s="2">
        <f>COUNTIFS(集計用!$G249,"*, "&amp;AY$3&amp;", *")</f>
        <v>0</v>
      </c>
      <c r="AZ251" s="2">
        <f>COUNTIFS(集計用!$G249,"*, "&amp;AZ$3&amp;", *")</f>
        <v>0</v>
      </c>
      <c r="BA251" s="2">
        <f>COUNTIFS(集計用!$G249,"*, "&amp;BA$3&amp;", *")</f>
        <v>0</v>
      </c>
      <c r="BB251" s="2">
        <f>COUNTIFS(集計用!$G249,"*, "&amp;BB$3&amp;", *")</f>
        <v>0</v>
      </c>
      <c r="BC251" s="2">
        <f>COUNTIFS(集計用!$G249,"*, "&amp;BC$3&amp;", *")</f>
        <v>0</v>
      </c>
      <c r="BD251" s="2">
        <f>COUNTIFS(集計用!$G249,"*, "&amp;BD$3&amp;", *")</f>
        <v>0</v>
      </c>
      <c r="BE251" s="2">
        <f>COUNTIFS(集計用!$G249,"*, "&amp;BE$3&amp;", *")</f>
        <v>0</v>
      </c>
      <c r="BF251" s="2">
        <f>COUNTIFS(集計用!$G249,"*, "&amp;BF$3&amp;", *")</f>
        <v>0</v>
      </c>
      <c r="BG251" s="2">
        <f>COUNTIFS(集計用!$G249,"*, "&amp;BG$3&amp;", *")</f>
        <v>0</v>
      </c>
      <c r="BH251" s="2">
        <f>COUNTIFS(集計用!$G249,"*, "&amp;BH$3&amp;", *")</f>
        <v>0</v>
      </c>
      <c r="BI251" s="2">
        <f>COUNTIFS(集計用!$G249,"*, "&amp;BI$3&amp;", *")</f>
        <v>0</v>
      </c>
      <c r="BJ251" s="2">
        <f>LEN(集計用!H249)-LEN(SUBSTITUTE(集計用!H249,",",""))</f>
        <v>0</v>
      </c>
    </row>
    <row r="252" spans="1:62" ht="12.75">
      <c r="A252" s="8">
        <v>249</v>
      </c>
      <c r="C252" s="2">
        <f t="shared" si="3"/>
        <v>3</v>
      </c>
      <c r="D252" s="9"/>
      <c r="E252" s="2">
        <f>COUNTIFS(集計用!$G250,"*, "&amp;E$3&amp;", *")</f>
        <v>1</v>
      </c>
      <c r="F252" s="2">
        <f>COUNTIFS(集計用!$G250,"*, "&amp;F$3&amp;", *")</f>
        <v>1</v>
      </c>
      <c r="G252" s="2">
        <f>COUNTIFS(集計用!$G250,"*, "&amp;G$3&amp;", *")</f>
        <v>0</v>
      </c>
      <c r="H252" s="2">
        <f>COUNTIFS(集計用!$G250,"*, "&amp;H$3&amp;", *")</f>
        <v>0</v>
      </c>
      <c r="I252" s="2">
        <f>COUNTIFS(集計用!$G250,"*, "&amp;I$3&amp;", *")</f>
        <v>1</v>
      </c>
      <c r="J252" s="2">
        <f>COUNTIFS(集計用!$G250,"*, "&amp;J$3&amp;", *")</f>
        <v>0</v>
      </c>
      <c r="K252" s="2">
        <f>COUNTIFS(集計用!$G250,"*, "&amp;K$3&amp;", *")</f>
        <v>0</v>
      </c>
      <c r="L252" s="2">
        <f>COUNTIFS(集計用!$G250,"*, "&amp;L$3&amp;", *")</f>
        <v>0</v>
      </c>
      <c r="M252" s="2">
        <f>COUNTIFS(集計用!$G250,"*, "&amp;M$3&amp;", *")</f>
        <v>0</v>
      </c>
      <c r="N252" s="2">
        <f>COUNTIFS(集計用!$G250,"*, "&amp;N$3&amp;", *")</f>
        <v>0</v>
      </c>
      <c r="O252" s="2">
        <f>COUNTIFS(集計用!$G250,"*, "&amp;O$3&amp;", *")</f>
        <v>0</v>
      </c>
      <c r="P252" s="2">
        <f>COUNTIFS(集計用!$G250,"*, "&amp;P$3&amp;", *")</f>
        <v>0</v>
      </c>
      <c r="Q252" s="2">
        <f>COUNTIFS(集計用!$G250,"*, "&amp;Q$3&amp;", *")</f>
        <v>0</v>
      </c>
      <c r="R252" s="2">
        <f>COUNTIFS(集計用!$G250,"*, "&amp;R$3&amp;", *")</f>
        <v>0</v>
      </c>
      <c r="S252" s="2">
        <f>COUNTIFS(集計用!$G250,"*, "&amp;S$3&amp;", *")</f>
        <v>0</v>
      </c>
      <c r="T252" s="2">
        <f>COUNTIFS(集計用!$G250,"*, "&amp;T$3&amp;", *")</f>
        <v>0</v>
      </c>
      <c r="U252" s="2">
        <f>COUNTIFS(集計用!$G250,"*, "&amp;U$3&amp;", *")</f>
        <v>0</v>
      </c>
      <c r="V252" s="2">
        <f>COUNTIFS(集計用!$G250,"*, "&amp;V$3&amp;", *")</f>
        <v>0</v>
      </c>
      <c r="W252" s="2">
        <f>COUNTIFS(集計用!$G250,"*, "&amp;W$3&amp;", *")</f>
        <v>0</v>
      </c>
      <c r="X252" s="2">
        <f>COUNTIFS(集計用!$G250,"*, "&amp;X$3&amp;", *")</f>
        <v>0</v>
      </c>
      <c r="Y252" s="2">
        <f>COUNTIFS(集計用!$G250,"*, "&amp;Y$3&amp;", *")</f>
        <v>0</v>
      </c>
      <c r="Z252" s="2">
        <f>COUNTIFS(集計用!$G250,"*, "&amp;Z$3&amp;", *")</f>
        <v>0</v>
      </c>
      <c r="AA252" s="2">
        <f>COUNTIFS(集計用!$G250,"*, "&amp;AA$3&amp;", *")</f>
        <v>0</v>
      </c>
      <c r="AB252" s="2">
        <f>COUNTIFS(集計用!$G250,"*, "&amp;AB$3&amp;", *")</f>
        <v>0</v>
      </c>
      <c r="AC252" s="2">
        <f>COUNTIFS(集計用!$G250,"*, "&amp;AC$3&amp;", *")</f>
        <v>0</v>
      </c>
      <c r="AD252" s="2">
        <f>COUNTIFS(集計用!$G250,"*, "&amp;AD$3&amp;", *")</f>
        <v>0</v>
      </c>
      <c r="AE252" s="2">
        <f>COUNTIFS(集計用!$G250,"*, "&amp;AE$3&amp;", *")</f>
        <v>0</v>
      </c>
      <c r="AF252" s="2">
        <f>COUNTIFS(集計用!$G250,"*, "&amp;AF$3&amp;", *")</f>
        <v>0</v>
      </c>
      <c r="AG252" s="2">
        <f>COUNTIFS(集計用!$G250,"*, "&amp;AG$3&amp;", *")</f>
        <v>0</v>
      </c>
      <c r="AH252" s="2">
        <f>COUNTIFS(集計用!$G250,"*, "&amp;AH$3&amp;", *")</f>
        <v>0</v>
      </c>
      <c r="AI252" s="2">
        <f>COUNTIFS(集計用!$G250,"*, "&amp;AI$3&amp;", *")</f>
        <v>0</v>
      </c>
      <c r="AJ252" s="2">
        <f>COUNTIFS(集計用!$G250,"*, "&amp;AJ$3&amp;", *")</f>
        <v>0</v>
      </c>
      <c r="AK252" s="2">
        <f>COUNTIFS(集計用!$G250,"*, "&amp;AK$3&amp;", *")</f>
        <v>0</v>
      </c>
      <c r="AL252" s="2">
        <f>COUNTIFS(集計用!$G250,"*, "&amp;AL$3&amp;", *")</f>
        <v>0</v>
      </c>
      <c r="AM252" s="2">
        <f>COUNTIFS(集計用!$G250,"*, "&amp;AM$3&amp;", *")</f>
        <v>0</v>
      </c>
      <c r="AN252" s="2">
        <f>COUNTIFS(集計用!$G250,"*, "&amp;AN$3&amp;", *")</f>
        <v>0</v>
      </c>
      <c r="AO252" s="2">
        <f>COUNTIFS(集計用!$G250,"*, "&amp;AO$3&amp;", *")</f>
        <v>0</v>
      </c>
      <c r="AP252" s="2">
        <f>COUNTIFS(集計用!$G250,"*, "&amp;AP$3&amp;", *")</f>
        <v>0</v>
      </c>
      <c r="AQ252" s="2">
        <f>COUNTIFS(集計用!$G250,"*, "&amp;AQ$3&amp;", *")</f>
        <v>0</v>
      </c>
      <c r="AR252" s="2">
        <f>COUNTIFS(集計用!$G250,"*, "&amp;AR$3&amp;", *")</f>
        <v>0</v>
      </c>
      <c r="AS252" s="2">
        <f>COUNTIFS(集計用!$G250,"*, "&amp;AS$3&amp;", *")</f>
        <v>0</v>
      </c>
      <c r="AT252" s="2">
        <f>COUNTIFS(集計用!$G250,"*, "&amp;AT$3&amp;", *")</f>
        <v>0</v>
      </c>
      <c r="AU252" s="2">
        <f>COUNTIFS(集計用!$G250,"*, "&amp;AU$3&amp;", *")</f>
        <v>0</v>
      </c>
      <c r="AV252" s="2">
        <f>COUNTIFS(集計用!$G250,"*, "&amp;AV$3&amp;", *")</f>
        <v>0</v>
      </c>
      <c r="AW252" s="2">
        <f>COUNTIFS(集計用!$G250,"*, "&amp;AW$3&amp;", *")</f>
        <v>0</v>
      </c>
      <c r="AX252" s="2">
        <f>COUNTIFS(集計用!$G250,"*, "&amp;AX$3&amp;", *")</f>
        <v>0</v>
      </c>
      <c r="AY252" s="2">
        <f>COUNTIFS(集計用!$G250,"*, "&amp;AY$3&amp;", *")</f>
        <v>0</v>
      </c>
      <c r="AZ252" s="2">
        <f>COUNTIFS(集計用!$G250,"*, "&amp;AZ$3&amp;", *")</f>
        <v>0</v>
      </c>
      <c r="BA252" s="2">
        <f>COUNTIFS(集計用!$G250,"*, "&amp;BA$3&amp;", *")</f>
        <v>0</v>
      </c>
      <c r="BB252" s="2">
        <f>COUNTIFS(集計用!$G250,"*, "&amp;BB$3&amp;", *")</f>
        <v>0</v>
      </c>
      <c r="BC252" s="2">
        <f>COUNTIFS(集計用!$G250,"*, "&amp;BC$3&amp;", *")</f>
        <v>0</v>
      </c>
      <c r="BD252" s="2">
        <f>COUNTIFS(集計用!$G250,"*, "&amp;BD$3&amp;", *")</f>
        <v>0</v>
      </c>
      <c r="BE252" s="2">
        <f>COUNTIFS(集計用!$G250,"*, "&amp;BE$3&amp;", *")</f>
        <v>0</v>
      </c>
      <c r="BF252" s="2">
        <f>COUNTIFS(集計用!$G250,"*, "&amp;BF$3&amp;", *")</f>
        <v>0</v>
      </c>
      <c r="BG252" s="2">
        <f>COUNTIFS(集計用!$G250,"*, "&amp;BG$3&amp;", *")</f>
        <v>0</v>
      </c>
      <c r="BH252" s="2">
        <f>COUNTIFS(集計用!$G250,"*, "&amp;BH$3&amp;", *")</f>
        <v>0</v>
      </c>
      <c r="BI252" s="2">
        <f>COUNTIFS(集計用!$G250,"*, "&amp;BI$3&amp;", *")</f>
        <v>0</v>
      </c>
      <c r="BJ252" s="2">
        <f>LEN(集計用!H250)-LEN(SUBSTITUTE(集計用!H250,",",""))</f>
        <v>0</v>
      </c>
    </row>
    <row r="253" spans="1:62" ht="12.75">
      <c r="A253" s="8">
        <v>250</v>
      </c>
      <c r="C253" s="2">
        <f t="shared" si="3"/>
        <v>5</v>
      </c>
      <c r="D253" s="9"/>
      <c r="E253" s="2">
        <f>COUNTIFS(集計用!$G251,"*, "&amp;E$3&amp;", *")</f>
        <v>1</v>
      </c>
      <c r="F253" s="2">
        <f>COUNTIFS(集計用!$G251,"*, "&amp;F$3&amp;", *")</f>
        <v>0</v>
      </c>
      <c r="G253" s="2">
        <f>COUNTIFS(集計用!$G251,"*, "&amp;G$3&amp;", *")</f>
        <v>1</v>
      </c>
      <c r="H253" s="2">
        <f>COUNTIFS(集計用!$G251,"*, "&amp;H$3&amp;", *")</f>
        <v>0</v>
      </c>
      <c r="I253" s="2">
        <f>COUNTIFS(集計用!$G251,"*, "&amp;I$3&amp;", *")</f>
        <v>0</v>
      </c>
      <c r="J253" s="2">
        <f>COUNTIFS(集計用!$G251,"*, "&amp;J$3&amp;", *")</f>
        <v>0</v>
      </c>
      <c r="K253" s="2">
        <f>COUNTIFS(集計用!$G251,"*, "&amp;K$3&amp;", *")</f>
        <v>0</v>
      </c>
      <c r="L253" s="2">
        <f>COUNTIFS(集計用!$G251,"*, "&amp;L$3&amp;", *")</f>
        <v>1</v>
      </c>
      <c r="M253" s="2">
        <f>COUNTIFS(集計用!$G251,"*, "&amp;M$3&amp;", *")</f>
        <v>0</v>
      </c>
      <c r="N253" s="2">
        <f>COUNTIFS(集計用!$G251,"*, "&amp;N$3&amp;", *")</f>
        <v>1</v>
      </c>
      <c r="O253" s="2">
        <f>COUNTIFS(集計用!$G251,"*, "&amp;O$3&amp;", *")</f>
        <v>0</v>
      </c>
      <c r="P253" s="2">
        <f>COUNTIFS(集計用!$G251,"*, "&amp;P$3&amp;", *")</f>
        <v>0</v>
      </c>
      <c r="Q253" s="2">
        <f>COUNTIFS(集計用!$G251,"*, "&amp;Q$3&amp;", *")</f>
        <v>0</v>
      </c>
      <c r="R253" s="2">
        <f>COUNTIFS(集計用!$G251,"*, "&amp;R$3&amp;", *")</f>
        <v>0</v>
      </c>
      <c r="S253" s="2">
        <f>COUNTIFS(集計用!$G251,"*, "&amp;S$3&amp;", *")</f>
        <v>0</v>
      </c>
      <c r="T253" s="2">
        <f>COUNTIFS(集計用!$G251,"*, "&amp;T$3&amp;", *")</f>
        <v>0</v>
      </c>
      <c r="U253" s="2">
        <f>COUNTIFS(集計用!$G251,"*, "&amp;U$3&amp;", *")</f>
        <v>0</v>
      </c>
      <c r="V253" s="2">
        <f>COUNTIFS(集計用!$G251,"*, "&amp;V$3&amp;", *")</f>
        <v>0</v>
      </c>
      <c r="W253" s="2">
        <f>COUNTIFS(集計用!$G251,"*, "&amp;W$3&amp;", *")</f>
        <v>0</v>
      </c>
      <c r="X253" s="2">
        <f>COUNTIFS(集計用!$G251,"*, "&amp;X$3&amp;", *")</f>
        <v>0</v>
      </c>
      <c r="Y253" s="2">
        <f>COUNTIFS(集計用!$G251,"*, "&amp;Y$3&amp;", *")</f>
        <v>0</v>
      </c>
      <c r="Z253" s="2">
        <f>COUNTIFS(集計用!$G251,"*, "&amp;Z$3&amp;", *")</f>
        <v>0</v>
      </c>
      <c r="AA253" s="2">
        <f>COUNTIFS(集計用!$G251,"*, "&amp;AA$3&amp;", *")</f>
        <v>0</v>
      </c>
      <c r="AB253" s="2">
        <f>COUNTIFS(集計用!$G251,"*, "&amp;AB$3&amp;", *")</f>
        <v>0</v>
      </c>
      <c r="AC253" s="2">
        <f>COUNTIFS(集計用!$G251,"*, "&amp;AC$3&amp;", *")</f>
        <v>0</v>
      </c>
      <c r="AD253" s="2">
        <f>COUNTIFS(集計用!$G251,"*, "&amp;AD$3&amp;", *")</f>
        <v>0</v>
      </c>
      <c r="AE253" s="2">
        <f>COUNTIFS(集計用!$G251,"*, "&amp;AE$3&amp;", *")</f>
        <v>0</v>
      </c>
      <c r="AF253" s="2">
        <f>COUNTIFS(集計用!$G251,"*, "&amp;AF$3&amp;", *")</f>
        <v>0</v>
      </c>
      <c r="AG253" s="2">
        <f>COUNTIFS(集計用!$G251,"*, "&amp;AG$3&amp;", *")</f>
        <v>0</v>
      </c>
      <c r="AH253" s="2">
        <f>COUNTIFS(集計用!$G251,"*, "&amp;AH$3&amp;", *")</f>
        <v>0</v>
      </c>
      <c r="AI253" s="2">
        <f>COUNTIFS(集計用!$G251,"*, "&amp;AI$3&amp;", *")</f>
        <v>0</v>
      </c>
      <c r="AJ253" s="2">
        <f>COUNTIFS(集計用!$G251,"*, "&amp;AJ$3&amp;", *")</f>
        <v>0</v>
      </c>
      <c r="AK253" s="2">
        <f>COUNTIFS(集計用!$G251,"*, "&amp;AK$3&amp;", *")</f>
        <v>0</v>
      </c>
      <c r="AL253" s="2">
        <f>COUNTIFS(集計用!$G251,"*, "&amp;AL$3&amp;", *")</f>
        <v>0</v>
      </c>
      <c r="AM253" s="2">
        <f>COUNTIFS(集計用!$G251,"*, "&amp;AM$3&amp;", *")</f>
        <v>0</v>
      </c>
      <c r="AN253" s="2">
        <f>COUNTIFS(集計用!$G251,"*, "&amp;AN$3&amp;", *")</f>
        <v>0</v>
      </c>
      <c r="AO253" s="2">
        <f>COUNTIFS(集計用!$G251,"*, "&amp;AO$3&amp;", *")</f>
        <v>0</v>
      </c>
      <c r="AP253" s="2">
        <f>COUNTIFS(集計用!$G251,"*, "&amp;AP$3&amp;", *")</f>
        <v>0</v>
      </c>
      <c r="AQ253" s="2">
        <f>COUNTIFS(集計用!$G251,"*, "&amp;AQ$3&amp;", *")</f>
        <v>0</v>
      </c>
      <c r="AR253" s="2">
        <f>COUNTIFS(集計用!$G251,"*, "&amp;AR$3&amp;", *")</f>
        <v>0</v>
      </c>
      <c r="AS253" s="2">
        <f>COUNTIFS(集計用!$G251,"*, "&amp;AS$3&amp;", *")</f>
        <v>0</v>
      </c>
      <c r="AT253" s="2">
        <f>COUNTIFS(集計用!$G251,"*, "&amp;AT$3&amp;", *")</f>
        <v>0</v>
      </c>
      <c r="AU253" s="2">
        <f>COUNTIFS(集計用!$G251,"*, "&amp;AU$3&amp;", *")</f>
        <v>0</v>
      </c>
      <c r="AV253" s="2">
        <f>COUNTIFS(集計用!$G251,"*, "&amp;AV$3&amp;", *")</f>
        <v>0</v>
      </c>
      <c r="AW253" s="2">
        <f>COUNTIFS(集計用!$G251,"*, "&amp;AW$3&amp;", *")</f>
        <v>0</v>
      </c>
      <c r="AX253" s="2">
        <f>COUNTIFS(集計用!$G251,"*, "&amp;AX$3&amp;", *")</f>
        <v>0</v>
      </c>
      <c r="AY253" s="2">
        <f>COUNTIFS(集計用!$G251,"*, "&amp;AY$3&amp;", *")</f>
        <v>0</v>
      </c>
      <c r="AZ253" s="2">
        <f>COUNTIFS(集計用!$G251,"*, "&amp;AZ$3&amp;", *")</f>
        <v>0</v>
      </c>
      <c r="BA253" s="2">
        <f>COUNTIFS(集計用!$G251,"*, "&amp;BA$3&amp;", *")</f>
        <v>0</v>
      </c>
      <c r="BB253" s="2">
        <f>COUNTIFS(集計用!$G251,"*, "&amp;BB$3&amp;", *")</f>
        <v>0</v>
      </c>
      <c r="BC253" s="2">
        <f>COUNTIFS(集計用!$G251,"*, "&amp;BC$3&amp;", *")</f>
        <v>0</v>
      </c>
      <c r="BD253" s="2">
        <f>COUNTIFS(集計用!$G251,"*, "&amp;BD$3&amp;", *")</f>
        <v>0</v>
      </c>
      <c r="BE253" s="2">
        <f>COUNTIFS(集計用!$G251,"*, "&amp;BE$3&amp;", *")</f>
        <v>0</v>
      </c>
      <c r="BF253" s="2">
        <f>COUNTIFS(集計用!$G251,"*, "&amp;BF$3&amp;", *")</f>
        <v>0</v>
      </c>
      <c r="BG253" s="2">
        <f>COUNTIFS(集計用!$G251,"*, "&amp;BG$3&amp;", *")</f>
        <v>0</v>
      </c>
      <c r="BH253" s="2">
        <f>COUNTIFS(集計用!$G251,"*, "&amp;BH$3&amp;", *")</f>
        <v>0</v>
      </c>
      <c r="BI253" s="2">
        <f>COUNTIFS(集計用!$G251,"*, "&amp;BI$3&amp;", *")</f>
        <v>0</v>
      </c>
      <c r="BJ253" s="2">
        <f>LEN(集計用!H251)-LEN(SUBSTITUTE(集計用!H251,",",""))</f>
        <v>1</v>
      </c>
    </row>
    <row r="254" spans="1:62" ht="12.75">
      <c r="A254" s="8">
        <v>251</v>
      </c>
      <c r="C254" s="2">
        <f t="shared" si="3"/>
        <v>1</v>
      </c>
      <c r="D254" s="9"/>
      <c r="E254" s="2">
        <f>COUNTIFS(集計用!$G252,"*, "&amp;E$3&amp;", *")</f>
        <v>0</v>
      </c>
      <c r="F254" s="2">
        <f>COUNTIFS(集計用!$G252,"*, "&amp;F$3&amp;", *")</f>
        <v>0</v>
      </c>
      <c r="G254" s="2">
        <f>COUNTIFS(集計用!$G252,"*, "&amp;G$3&amp;", *")</f>
        <v>0</v>
      </c>
      <c r="H254" s="2">
        <f>COUNTIFS(集計用!$G252,"*, "&amp;H$3&amp;", *")</f>
        <v>0</v>
      </c>
      <c r="I254" s="2">
        <f>COUNTIFS(集計用!$G252,"*, "&amp;I$3&amp;", *")</f>
        <v>0</v>
      </c>
      <c r="J254" s="2">
        <f>COUNTIFS(集計用!$G252,"*, "&amp;J$3&amp;", *")</f>
        <v>0</v>
      </c>
      <c r="K254" s="2">
        <f>COUNTIFS(集計用!$G252,"*, "&amp;K$3&amp;", *")</f>
        <v>0</v>
      </c>
      <c r="L254" s="2">
        <f>COUNTIFS(集計用!$G252,"*, "&amp;L$3&amp;", *")</f>
        <v>0</v>
      </c>
      <c r="M254" s="2">
        <f>COUNTIFS(集計用!$G252,"*, "&amp;M$3&amp;", *")</f>
        <v>0</v>
      </c>
      <c r="N254" s="2">
        <f>COUNTIFS(集計用!$G252,"*, "&amp;N$3&amp;", *")</f>
        <v>0</v>
      </c>
      <c r="O254" s="2">
        <f>COUNTIFS(集計用!$G252,"*, "&amp;O$3&amp;", *")</f>
        <v>0</v>
      </c>
      <c r="P254" s="2">
        <f>COUNTIFS(集計用!$G252,"*, "&amp;P$3&amp;", *")</f>
        <v>0</v>
      </c>
      <c r="Q254" s="2">
        <f>COUNTIFS(集計用!$G252,"*, "&amp;Q$3&amp;", *")</f>
        <v>0</v>
      </c>
      <c r="R254" s="2">
        <f>COUNTIFS(集計用!$G252,"*, "&amp;R$3&amp;", *")</f>
        <v>0</v>
      </c>
      <c r="S254" s="2">
        <f>COUNTIFS(集計用!$G252,"*, "&amp;S$3&amp;", *")</f>
        <v>0</v>
      </c>
      <c r="T254" s="2">
        <f>COUNTIFS(集計用!$G252,"*, "&amp;T$3&amp;", *")</f>
        <v>1</v>
      </c>
      <c r="U254" s="2">
        <f>COUNTIFS(集計用!$G252,"*, "&amp;U$3&amp;", *")</f>
        <v>0</v>
      </c>
      <c r="V254" s="2">
        <f>COUNTIFS(集計用!$G252,"*, "&amp;V$3&amp;", *")</f>
        <v>0</v>
      </c>
      <c r="W254" s="2">
        <f>COUNTIFS(集計用!$G252,"*, "&amp;W$3&amp;", *")</f>
        <v>0</v>
      </c>
      <c r="X254" s="2">
        <f>COUNTIFS(集計用!$G252,"*, "&amp;X$3&amp;", *")</f>
        <v>0</v>
      </c>
      <c r="Y254" s="2">
        <f>COUNTIFS(集計用!$G252,"*, "&amp;Y$3&amp;", *")</f>
        <v>0</v>
      </c>
      <c r="Z254" s="2">
        <f>COUNTIFS(集計用!$G252,"*, "&amp;Z$3&amp;", *")</f>
        <v>0</v>
      </c>
      <c r="AA254" s="2">
        <f>COUNTIFS(集計用!$G252,"*, "&amp;AA$3&amp;", *")</f>
        <v>0</v>
      </c>
      <c r="AB254" s="2">
        <f>COUNTIFS(集計用!$G252,"*, "&amp;AB$3&amp;", *")</f>
        <v>0</v>
      </c>
      <c r="AC254" s="2">
        <f>COUNTIFS(集計用!$G252,"*, "&amp;AC$3&amp;", *")</f>
        <v>0</v>
      </c>
      <c r="AD254" s="2">
        <f>COUNTIFS(集計用!$G252,"*, "&amp;AD$3&amp;", *")</f>
        <v>0</v>
      </c>
      <c r="AE254" s="2">
        <f>COUNTIFS(集計用!$G252,"*, "&amp;AE$3&amp;", *")</f>
        <v>0</v>
      </c>
      <c r="AF254" s="2">
        <f>COUNTIFS(集計用!$G252,"*, "&amp;AF$3&amp;", *")</f>
        <v>0</v>
      </c>
      <c r="AG254" s="2">
        <f>COUNTIFS(集計用!$G252,"*, "&amp;AG$3&amp;", *")</f>
        <v>0</v>
      </c>
      <c r="AH254" s="2">
        <f>COUNTIFS(集計用!$G252,"*, "&amp;AH$3&amp;", *")</f>
        <v>0</v>
      </c>
      <c r="AI254" s="2">
        <f>COUNTIFS(集計用!$G252,"*, "&amp;AI$3&amp;", *")</f>
        <v>0</v>
      </c>
      <c r="AJ254" s="2">
        <f>COUNTIFS(集計用!$G252,"*, "&amp;AJ$3&amp;", *")</f>
        <v>0</v>
      </c>
      <c r="AK254" s="2">
        <f>COUNTIFS(集計用!$G252,"*, "&amp;AK$3&amp;", *")</f>
        <v>0</v>
      </c>
      <c r="AL254" s="2">
        <f>COUNTIFS(集計用!$G252,"*, "&amp;AL$3&amp;", *")</f>
        <v>0</v>
      </c>
      <c r="AM254" s="2">
        <f>COUNTIFS(集計用!$G252,"*, "&amp;AM$3&amp;", *")</f>
        <v>0</v>
      </c>
      <c r="AN254" s="2">
        <f>COUNTIFS(集計用!$G252,"*, "&amp;AN$3&amp;", *")</f>
        <v>0</v>
      </c>
      <c r="AO254" s="2">
        <f>COUNTIFS(集計用!$G252,"*, "&amp;AO$3&amp;", *")</f>
        <v>0</v>
      </c>
      <c r="AP254" s="2">
        <f>COUNTIFS(集計用!$G252,"*, "&amp;AP$3&amp;", *")</f>
        <v>0</v>
      </c>
      <c r="AQ254" s="2">
        <f>COUNTIFS(集計用!$G252,"*, "&amp;AQ$3&amp;", *")</f>
        <v>0</v>
      </c>
      <c r="AR254" s="2">
        <f>COUNTIFS(集計用!$G252,"*, "&amp;AR$3&amp;", *")</f>
        <v>0</v>
      </c>
      <c r="AS254" s="2">
        <f>COUNTIFS(集計用!$G252,"*, "&amp;AS$3&amp;", *")</f>
        <v>0</v>
      </c>
      <c r="AT254" s="2">
        <f>COUNTIFS(集計用!$G252,"*, "&amp;AT$3&amp;", *")</f>
        <v>0</v>
      </c>
      <c r="AU254" s="2">
        <f>COUNTIFS(集計用!$G252,"*, "&amp;AU$3&amp;", *")</f>
        <v>0</v>
      </c>
      <c r="AV254" s="2">
        <f>COUNTIFS(集計用!$G252,"*, "&amp;AV$3&amp;", *")</f>
        <v>0</v>
      </c>
      <c r="AW254" s="2">
        <f>COUNTIFS(集計用!$G252,"*, "&amp;AW$3&amp;", *")</f>
        <v>0</v>
      </c>
      <c r="AX254" s="2">
        <f>COUNTIFS(集計用!$G252,"*, "&amp;AX$3&amp;", *")</f>
        <v>0</v>
      </c>
      <c r="AY254" s="2">
        <f>COUNTIFS(集計用!$G252,"*, "&amp;AY$3&amp;", *")</f>
        <v>0</v>
      </c>
      <c r="AZ254" s="2">
        <f>COUNTIFS(集計用!$G252,"*, "&amp;AZ$3&amp;", *")</f>
        <v>0</v>
      </c>
      <c r="BA254" s="2">
        <f>COUNTIFS(集計用!$G252,"*, "&amp;BA$3&amp;", *")</f>
        <v>0</v>
      </c>
      <c r="BB254" s="2">
        <f>COUNTIFS(集計用!$G252,"*, "&amp;BB$3&amp;", *")</f>
        <v>0</v>
      </c>
      <c r="BC254" s="2">
        <f>COUNTIFS(集計用!$G252,"*, "&amp;BC$3&amp;", *")</f>
        <v>0</v>
      </c>
      <c r="BD254" s="2">
        <f>COUNTIFS(集計用!$G252,"*, "&amp;BD$3&amp;", *")</f>
        <v>0</v>
      </c>
      <c r="BE254" s="2">
        <f>COUNTIFS(集計用!$G252,"*, "&amp;BE$3&amp;", *")</f>
        <v>0</v>
      </c>
      <c r="BF254" s="2">
        <f>COUNTIFS(集計用!$G252,"*, "&amp;BF$3&amp;", *")</f>
        <v>0</v>
      </c>
      <c r="BG254" s="2">
        <f>COUNTIFS(集計用!$G252,"*, "&amp;BG$3&amp;", *")</f>
        <v>0</v>
      </c>
      <c r="BH254" s="2">
        <f>COUNTIFS(集計用!$G252,"*, "&amp;BH$3&amp;", *")</f>
        <v>0</v>
      </c>
      <c r="BI254" s="2">
        <f>COUNTIFS(集計用!$G252,"*, "&amp;BI$3&amp;", *")</f>
        <v>0</v>
      </c>
      <c r="BJ254" s="2">
        <f>LEN(集計用!H252)-LEN(SUBSTITUTE(集計用!H252,",",""))</f>
        <v>0</v>
      </c>
    </row>
    <row r="255" spans="1:62" ht="12.75">
      <c r="A255" s="8">
        <v>252</v>
      </c>
      <c r="C255" s="2">
        <f t="shared" si="3"/>
        <v>3</v>
      </c>
      <c r="D255" s="9"/>
      <c r="E255" s="2">
        <f>COUNTIFS(集計用!$G253,"*, "&amp;E$3&amp;", *")</f>
        <v>0</v>
      </c>
      <c r="F255" s="2">
        <f>COUNTIFS(集計用!$G253,"*, "&amp;F$3&amp;", *")</f>
        <v>0</v>
      </c>
      <c r="G255" s="2">
        <f>COUNTIFS(集計用!$G253,"*, "&amp;G$3&amp;", *")</f>
        <v>1</v>
      </c>
      <c r="H255" s="2">
        <f>COUNTIFS(集計用!$G253,"*, "&amp;H$3&amp;", *")</f>
        <v>0</v>
      </c>
      <c r="I255" s="2">
        <f>COUNTIFS(集計用!$G253,"*, "&amp;I$3&amp;", *")</f>
        <v>0</v>
      </c>
      <c r="J255" s="2">
        <f>COUNTIFS(集計用!$G253,"*, "&amp;J$3&amp;", *")</f>
        <v>1</v>
      </c>
      <c r="K255" s="2">
        <f>COUNTIFS(集計用!$G253,"*, "&amp;K$3&amp;", *")</f>
        <v>0</v>
      </c>
      <c r="L255" s="2">
        <f>COUNTIFS(集計用!$G253,"*, "&amp;L$3&amp;", *")</f>
        <v>0</v>
      </c>
      <c r="M255" s="2">
        <f>COUNTIFS(集計用!$G253,"*, "&amp;M$3&amp;", *")</f>
        <v>0</v>
      </c>
      <c r="N255" s="2">
        <f>COUNTIFS(集計用!$G253,"*, "&amp;N$3&amp;", *")</f>
        <v>0</v>
      </c>
      <c r="O255" s="2">
        <f>COUNTIFS(集計用!$G253,"*, "&amp;O$3&amp;", *")</f>
        <v>0</v>
      </c>
      <c r="P255" s="2">
        <f>COUNTIFS(集計用!$G253,"*, "&amp;P$3&amp;", *")</f>
        <v>1</v>
      </c>
      <c r="Q255" s="2">
        <f>COUNTIFS(集計用!$G253,"*, "&amp;Q$3&amp;", *")</f>
        <v>0</v>
      </c>
      <c r="R255" s="2">
        <f>COUNTIFS(集計用!$G253,"*, "&amp;R$3&amp;", *")</f>
        <v>0</v>
      </c>
      <c r="S255" s="2">
        <f>COUNTIFS(集計用!$G253,"*, "&amp;S$3&amp;", *")</f>
        <v>0</v>
      </c>
      <c r="T255" s="2">
        <f>COUNTIFS(集計用!$G253,"*, "&amp;T$3&amp;", *")</f>
        <v>0</v>
      </c>
      <c r="U255" s="2">
        <f>COUNTIFS(集計用!$G253,"*, "&amp;U$3&amp;", *")</f>
        <v>0</v>
      </c>
      <c r="V255" s="2">
        <f>COUNTIFS(集計用!$G253,"*, "&amp;V$3&amp;", *")</f>
        <v>0</v>
      </c>
      <c r="W255" s="2">
        <f>COUNTIFS(集計用!$G253,"*, "&amp;W$3&amp;", *")</f>
        <v>0</v>
      </c>
      <c r="X255" s="2">
        <f>COUNTIFS(集計用!$G253,"*, "&amp;X$3&amp;", *")</f>
        <v>0</v>
      </c>
      <c r="Y255" s="2">
        <f>COUNTIFS(集計用!$G253,"*, "&amp;Y$3&amp;", *")</f>
        <v>0</v>
      </c>
      <c r="Z255" s="2">
        <f>COUNTIFS(集計用!$G253,"*, "&amp;Z$3&amp;", *")</f>
        <v>0</v>
      </c>
      <c r="AA255" s="2">
        <f>COUNTIFS(集計用!$G253,"*, "&amp;AA$3&amp;", *")</f>
        <v>0</v>
      </c>
      <c r="AB255" s="2">
        <f>COUNTIFS(集計用!$G253,"*, "&amp;AB$3&amp;", *")</f>
        <v>0</v>
      </c>
      <c r="AC255" s="2">
        <f>COUNTIFS(集計用!$G253,"*, "&amp;AC$3&amp;", *")</f>
        <v>0</v>
      </c>
      <c r="AD255" s="2">
        <f>COUNTIFS(集計用!$G253,"*, "&amp;AD$3&amp;", *")</f>
        <v>0</v>
      </c>
      <c r="AE255" s="2">
        <f>COUNTIFS(集計用!$G253,"*, "&amp;AE$3&amp;", *")</f>
        <v>0</v>
      </c>
      <c r="AF255" s="2">
        <f>COUNTIFS(集計用!$G253,"*, "&amp;AF$3&amp;", *")</f>
        <v>0</v>
      </c>
      <c r="AG255" s="2">
        <f>COUNTIFS(集計用!$G253,"*, "&amp;AG$3&amp;", *")</f>
        <v>0</v>
      </c>
      <c r="AH255" s="2">
        <f>COUNTIFS(集計用!$G253,"*, "&amp;AH$3&amp;", *")</f>
        <v>0</v>
      </c>
      <c r="AI255" s="2">
        <f>COUNTIFS(集計用!$G253,"*, "&amp;AI$3&amp;", *")</f>
        <v>0</v>
      </c>
      <c r="AJ255" s="2">
        <f>COUNTIFS(集計用!$G253,"*, "&amp;AJ$3&amp;", *")</f>
        <v>0</v>
      </c>
      <c r="AK255" s="2">
        <f>COUNTIFS(集計用!$G253,"*, "&amp;AK$3&amp;", *")</f>
        <v>0</v>
      </c>
      <c r="AL255" s="2">
        <f>COUNTIFS(集計用!$G253,"*, "&amp;AL$3&amp;", *")</f>
        <v>0</v>
      </c>
      <c r="AM255" s="2">
        <f>COUNTIFS(集計用!$G253,"*, "&amp;AM$3&amp;", *")</f>
        <v>0</v>
      </c>
      <c r="AN255" s="2">
        <f>COUNTIFS(集計用!$G253,"*, "&amp;AN$3&amp;", *")</f>
        <v>0</v>
      </c>
      <c r="AO255" s="2">
        <f>COUNTIFS(集計用!$G253,"*, "&amp;AO$3&amp;", *")</f>
        <v>0</v>
      </c>
      <c r="AP255" s="2">
        <f>COUNTIFS(集計用!$G253,"*, "&amp;AP$3&amp;", *")</f>
        <v>0</v>
      </c>
      <c r="AQ255" s="2">
        <f>COUNTIFS(集計用!$G253,"*, "&amp;AQ$3&amp;", *")</f>
        <v>0</v>
      </c>
      <c r="AR255" s="2">
        <f>COUNTIFS(集計用!$G253,"*, "&amp;AR$3&amp;", *")</f>
        <v>0</v>
      </c>
      <c r="AS255" s="2">
        <f>COUNTIFS(集計用!$G253,"*, "&amp;AS$3&amp;", *")</f>
        <v>0</v>
      </c>
      <c r="AT255" s="2">
        <f>COUNTIFS(集計用!$G253,"*, "&amp;AT$3&amp;", *")</f>
        <v>0</v>
      </c>
      <c r="AU255" s="2">
        <f>COUNTIFS(集計用!$G253,"*, "&amp;AU$3&amp;", *")</f>
        <v>0</v>
      </c>
      <c r="AV255" s="2">
        <f>COUNTIFS(集計用!$G253,"*, "&amp;AV$3&amp;", *")</f>
        <v>0</v>
      </c>
      <c r="AW255" s="2">
        <f>COUNTIFS(集計用!$G253,"*, "&amp;AW$3&amp;", *")</f>
        <v>0</v>
      </c>
      <c r="AX255" s="2">
        <f>COUNTIFS(集計用!$G253,"*, "&amp;AX$3&amp;", *")</f>
        <v>0</v>
      </c>
      <c r="AY255" s="2">
        <f>COUNTIFS(集計用!$G253,"*, "&amp;AY$3&amp;", *")</f>
        <v>0</v>
      </c>
      <c r="AZ255" s="2">
        <f>COUNTIFS(集計用!$G253,"*, "&amp;AZ$3&amp;", *")</f>
        <v>0</v>
      </c>
      <c r="BA255" s="2">
        <f>COUNTIFS(集計用!$G253,"*, "&amp;BA$3&amp;", *")</f>
        <v>0</v>
      </c>
      <c r="BB255" s="2">
        <f>COUNTIFS(集計用!$G253,"*, "&amp;BB$3&amp;", *")</f>
        <v>0</v>
      </c>
      <c r="BC255" s="2">
        <f>COUNTIFS(集計用!$G253,"*, "&amp;BC$3&amp;", *")</f>
        <v>0</v>
      </c>
      <c r="BD255" s="2">
        <f>COUNTIFS(集計用!$G253,"*, "&amp;BD$3&amp;", *")</f>
        <v>0</v>
      </c>
      <c r="BE255" s="2">
        <f>COUNTIFS(集計用!$G253,"*, "&amp;BE$3&amp;", *")</f>
        <v>0</v>
      </c>
      <c r="BF255" s="2">
        <f>COUNTIFS(集計用!$G253,"*, "&amp;BF$3&amp;", *")</f>
        <v>0</v>
      </c>
      <c r="BG255" s="2">
        <f>COUNTIFS(集計用!$G253,"*, "&amp;BG$3&amp;", *")</f>
        <v>0</v>
      </c>
      <c r="BH255" s="2">
        <f>COUNTIFS(集計用!$G253,"*, "&amp;BH$3&amp;", *")</f>
        <v>0</v>
      </c>
      <c r="BI255" s="2">
        <f>COUNTIFS(集計用!$G253,"*, "&amp;BI$3&amp;", *")</f>
        <v>0</v>
      </c>
      <c r="BJ255" s="2">
        <f>LEN(集計用!H253)-LEN(SUBSTITUTE(集計用!H253,",",""))</f>
        <v>0</v>
      </c>
    </row>
    <row r="256" spans="1:62" ht="12.75">
      <c r="A256" s="8">
        <v>253</v>
      </c>
      <c r="C256" s="2">
        <f t="shared" si="3"/>
        <v>1</v>
      </c>
      <c r="D256" s="9"/>
      <c r="E256" s="2">
        <f>COUNTIFS(集計用!$G254,"*, "&amp;E$3&amp;", *")</f>
        <v>1</v>
      </c>
      <c r="F256" s="2">
        <f>COUNTIFS(集計用!$G254,"*, "&amp;F$3&amp;", *")</f>
        <v>0</v>
      </c>
      <c r="G256" s="2">
        <f>COUNTIFS(集計用!$G254,"*, "&amp;G$3&amp;", *")</f>
        <v>0</v>
      </c>
      <c r="H256" s="2">
        <f>COUNTIFS(集計用!$G254,"*, "&amp;H$3&amp;", *")</f>
        <v>0</v>
      </c>
      <c r="I256" s="2">
        <f>COUNTIFS(集計用!$G254,"*, "&amp;I$3&amp;", *")</f>
        <v>0</v>
      </c>
      <c r="J256" s="2">
        <f>COUNTIFS(集計用!$G254,"*, "&amp;J$3&amp;", *")</f>
        <v>0</v>
      </c>
      <c r="K256" s="2">
        <f>COUNTIFS(集計用!$G254,"*, "&amp;K$3&amp;", *")</f>
        <v>0</v>
      </c>
      <c r="L256" s="2">
        <f>COUNTIFS(集計用!$G254,"*, "&amp;L$3&amp;", *")</f>
        <v>0</v>
      </c>
      <c r="M256" s="2">
        <f>COUNTIFS(集計用!$G254,"*, "&amp;M$3&amp;", *")</f>
        <v>0</v>
      </c>
      <c r="N256" s="2">
        <f>COUNTIFS(集計用!$G254,"*, "&amp;N$3&amp;", *")</f>
        <v>0</v>
      </c>
      <c r="O256" s="2">
        <f>COUNTIFS(集計用!$G254,"*, "&amp;O$3&amp;", *")</f>
        <v>0</v>
      </c>
      <c r="P256" s="2">
        <f>COUNTIFS(集計用!$G254,"*, "&amp;P$3&amp;", *")</f>
        <v>0</v>
      </c>
      <c r="Q256" s="2">
        <f>COUNTIFS(集計用!$G254,"*, "&amp;Q$3&amp;", *")</f>
        <v>0</v>
      </c>
      <c r="R256" s="2">
        <f>COUNTIFS(集計用!$G254,"*, "&amp;R$3&amp;", *")</f>
        <v>0</v>
      </c>
      <c r="S256" s="2">
        <f>COUNTIFS(集計用!$G254,"*, "&amp;S$3&amp;", *")</f>
        <v>0</v>
      </c>
      <c r="T256" s="2">
        <f>COUNTIFS(集計用!$G254,"*, "&amp;T$3&amp;", *")</f>
        <v>0</v>
      </c>
      <c r="U256" s="2">
        <f>COUNTIFS(集計用!$G254,"*, "&amp;U$3&amp;", *")</f>
        <v>0</v>
      </c>
      <c r="V256" s="2">
        <f>COUNTIFS(集計用!$G254,"*, "&amp;V$3&amp;", *")</f>
        <v>0</v>
      </c>
      <c r="W256" s="2">
        <f>COUNTIFS(集計用!$G254,"*, "&amp;W$3&amp;", *")</f>
        <v>0</v>
      </c>
      <c r="X256" s="2">
        <f>COUNTIFS(集計用!$G254,"*, "&amp;X$3&amp;", *")</f>
        <v>0</v>
      </c>
      <c r="Y256" s="2">
        <f>COUNTIFS(集計用!$G254,"*, "&amp;Y$3&amp;", *")</f>
        <v>0</v>
      </c>
      <c r="Z256" s="2">
        <f>COUNTIFS(集計用!$G254,"*, "&amp;Z$3&amp;", *")</f>
        <v>0</v>
      </c>
      <c r="AA256" s="2">
        <f>COUNTIFS(集計用!$G254,"*, "&amp;AA$3&amp;", *")</f>
        <v>0</v>
      </c>
      <c r="AB256" s="2">
        <f>COUNTIFS(集計用!$G254,"*, "&amp;AB$3&amp;", *")</f>
        <v>0</v>
      </c>
      <c r="AC256" s="2">
        <f>COUNTIFS(集計用!$G254,"*, "&amp;AC$3&amp;", *")</f>
        <v>0</v>
      </c>
      <c r="AD256" s="2">
        <f>COUNTIFS(集計用!$G254,"*, "&amp;AD$3&amp;", *")</f>
        <v>0</v>
      </c>
      <c r="AE256" s="2">
        <f>COUNTIFS(集計用!$G254,"*, "&amp;AE$3&amp;", *")</f>
        <v>0</v>
      </c>
      <c r="AF256" s="2">
        <f>COUNTIFS(集計用!$G254,"*, "&amp;AF$3&amp;", *")</f>
        <v>0</v>
      </c>
      <c r="AG256" s="2">
        <f>COUNTIFS(集計用!$G254,"*, "&amp;AG$3&amp;", *")</f>
        <v>0</v>
      </c>
      <c r="AH256" s="2">
        <f>COUNTIFS(集計用!$G254,"*, "&amp;AH$3&amp;", *")</f>
        <v>0</v>
      </c>
      <c r="AI256" s="2">
        <f>COUNTIFS(集計用!$G254,"*, "&amp;AI$3&amp;", *")</f>
        <v>0</v>
      </c>
      <c r="AJ256" s="2">
        <f>COUNTIFS(集計用!$G254,"*, "&amp;AJ$3&amp;", *")</f>
        <v>0</v>
      </c>
      <c r="AK256" s="2">
        <f>COUNTIFS(集計用!$G254,"*, "&amp;AK$3&amp;", *")</f>
        <v>0</v>
      </c>
      <c r="AL256" s="2">
        <f>COUNTIFS(集計用!$G254,"*, "&amp;AL$3&amp;", *")</f>
        <v>0</v>
      </c>
      <c r="AM256" s="2">
        <f>COUNTIFS(集計用!$G254,"*, "&amp;AM$3&amp;", *")</f>
        <v>0</v>
      </c>
      <c r="AN256" s="2">
        <f>COUNTIFS(集計用!$G254,"*, "&amp;AN$3&amp;", *")</f>
        <v>0</v>
      </c>
      <c r="AO256" s="2">
        <f>COUNTIFS(集計用!$G254,"*, "&amp;AO$3&amp;", *")</f>
        <v>0</v>
      </c>
      <c r="AP256" s="2">
        <f>COUNTIFS(集計用!$G254,"*, "&amp;AP$3&amp;", *")</f>
        <v>0</v>
      </c>
      <c r="AQ256" s="2">
        <f>COUNTIFS(集計用!$G254,"*, "&amp;AQ$3&amp;", *")</f>
        <v>0</v>
      </c>
      <c r="AR256" s="2">
        <f>COUNTIFS(集計用!$G254,"*, "&amp;AR$3&amp;", *")</f>
        <v>0</v>
      </c>
      <c r="AS256" s="2">
        <f>COUNTIFS(集計用!$G254,"*, "&amp;AS$3&amp;", *")</f>
        <v>0</v>
      </c>
      <c r="AT256" s="2">
        <f>COUNTIFS(集計用!$G254,"*, "&amp;AT$3&amp;", *")</f>
        <v>0</v>
      </c>
      <c r="AU256" s="2">
        <f>COUNTIFS(集計用!$G254,"*, "&amp;AU$3&amp;", *")</f>
        <v>0</v>
      </c>
      <c r="AV256" s="2">
        <f>COUNTIFS(集計用!$G254,"*, "&amp;AV$3&amp;", *")</f>
        <v>0</v>
      </c>
      <c r="AW256" s="2">
        <f>COUNTIFS(集計用!$G254,"*, "&amp;AW$3&amp;", *")</f>
        <v>0</v>
      </c>
      <c r="AX256" s="2">
        <f>COUNTIFS(集計用!$G254,"*, "&amp;AX$3&amp;", *")</f>
        <v>0</v>
      </c>
      <c r="AY256" s="2">
        <f>COUNTIFS(集計用!$G254,"*, "&amp;AY$3&amp;", *")</f>
        <v>0</v>
      </c>
      <c r="AZ256" s="2">
        <f>COUNTIFS(集計用!$G254,"*, "&amp;AZ$3&amp;", *")</f>
        <v>0</v>
      </c>
      <c r="BA256" s="2">
        <f>COUNTIFS(集計用!$G254,"*, "&amp;BA$3&amp;", *")</f>
        <v>0</v>
      </c>
      <c r="BB256" s="2">
        <f>COUNTIFS(集計用!$G254,"*, "&amp;BB$3&amp;", *")</f>
        <v>0</v>
      </c>
      <c r="BC256" s="2">
        <f>COUNTIFS(集計用!$G254,"*, "&amp;BC$3&amp;", *")</f>
        <v>0</v>
      </c>
      <c r="BD256" s="2">
        <f>COUNTIFS(集計用!$G254,"*, "&amp;BD$3&amp;", *")</f>
        <v>0</v>
      </c>
      <c r="BE256" s="2">
        <f>COUNTIFS(集計用!$G254,"*, "&amp;BE$3&amp;", *")</f>
        <v>0</v>
      </c>
      <c r="BF256" s="2">
        <f>COUNTIFS(集計用!$G254,"*, "&amp;BF$3&amp;", *")</f>
        <v>0</v>
      </c>
      <c r="BG256" s="2">
        <f>COUNTIFS(集計用!$G254,"*, "&amp;BG$3&amp;", *")</f>
        <v>0</v>
      </c>
      <c r="BH256" s="2">
        <f>COUNTIFS(集計用!$G254,"*, "&amp;BH$3&amp;", *")</f>
        <v>0</v>
      </c>
      <c r="BI256" s="2">
        <f>COUNTIFS(集計用!$G254,"*, "&amp;BI$3&amp;", *")</f>
        <v>0</v>
      </c>
      <c r="BJ256" s="2">
        <f>LEN(集計用!H254)-LEN(SUBSTITUTE(集計用!H254,",",""))</f>
        <v>0</v>
      </c>
    </row>
    <row r="257" spans="1:62" ht="12.75">
      <c r="A257" s="8">
        <v>254</v>
      </c>
      <c r="C257" s="2">
        <f t="shared" si="3"/>
        <v>3</v>
      </c>
      <c r="D257" s="9"/>
      <c r="E257" s="2">
        <f>COUNTIFS(集計用!$G255,"*, "&amp;E$3&amp;", *")</f>
        <v>0</v>
      </c>
      <c r="F257" s="2">
        <f>COUNTIFS(集計用!$G255,"*, "&amp;F$3&amp;", *")</f>
        <v>1</v>
      </c>
      <c r="G257" s="2">
        <f>COUNTIFS(集計用!$G255,"*, "&amp;G$3&amp;", *")</f>
        <v>0</v>
      </c>
      <c r="H257" s="2">
        <f>COUNTIFS(集計用!$G255,"*, "&amp;H$3&amp;", *")</f>
        <v>0</v>
      </c>
      <c r="I257" s="2">
        <f>COUNTIFS(集計用!$G255,"*, "&amp;I$3&amp;", *")</f>
        <v>0</v>
      </c>
      <c r="J257" s="2">
        <f>COUNTIFS(集計用!$G255,"*, "&amp;J$3&amp;", *")</f>
        <v>0</v>
      </c>
      <c r="K257" s="2">
        <f>COUNTIFS(集計用!$G255,"*, "&amp;K$3&amp;", *")</f>
        <v>0</v>
      </c>
      <c r="L257" s="2">
        <f>COUNTIFS(集計用!$G255,"*, "&amp;L$3&amp;", *")</f>
        <v>0</v>
      </c>
      <c r="M257" s="2">
        <f>COUNTIFS(集計用!$G255,"*, "&amp;M$3&amp;", *")</f>
        <v>0</v>
      </c>
      <c r="N257" s="2">
        <f>COUNTIFS(集計用!$G255,"*, "&amp;N$3&amp;", *")</f>
        <v>0</v>
      </c>
      <c r="O257" s="2">
        <f>COUNTIFS(集計用!$G255,"*, "&amp;O$3&amp;", *")</f>
        <v>0</v>
      </c>
      <c r="P257" s="2">
        <f>COUNTIFS(集計用!$G255,"*, "&amp;P$3&amp;", *")</f>
        <v>0</v>
      </c>
      <c r="Q257" s="2">
        <f>COUNTIFS(集計用!$G255,"*, "&amp;Q$3&amp;", *")</f>
        <v>0</v>
      </c>
      <c r="R257" s="2">
        <f>COUNTIFS(集計用!$G255,"*, "&amp;R$3&amp;", *")</f>
        <v>0</v>
      </c>
      <c r="S257" s="2">
        <f>COUNTIFS(集計用!$G255,"*, "&amp;S$3&amp;", *")</f>
        <v>0</v>
      </c>
      <c r="T257" s="2">
        <f>COUNTIFS(集計用!$G255,"*, "&amp;T$3&amp;", *")</f>
        <v>0</v>
      </c>
      <c r="U257" s="2">
        <f>COUNTIFS(集計用!$G255,"*, "&amp;U$3&amp;", *")</f>
        <v>1</v>
      </c>
      <c r="V257" s="2">
        <f>COUNTIFS(集計用!$G255,"*, "&amp;V$3&amp;", *")</f>
        <v>0</v>
      </c>
      <c r="W257" s="2">
        <f>COUNTIFS(集計用!$G255,"*, "&amp;W$3&amp;", *")</f>
        <v>0</v>
      </c>
      <c r="X257" s="2">
        <f>COUNTIFS(集計用!$G255,"*, "&amp;X$3&amp;", *")</f>
        <v>0</v>
      </c>
      <c r="Y257" s="2">
        <f>COUNTIFS(集計用!$G255,"*, "&amp;Y$3&amp;", *")</f>
        <v>0</v>
      </c>
      <c r="Z257" s="2">
        <f>COUNTIFS(集計用!$G255,"*, "&amp;Z$3&amp;", *")</f>
        <v>0</v>
      </c>
      <c r="AA257" s="2">
        <f>COUNTIFS(集計用!$G255,"*, "&amp;AA$3&amp;", *")</f>
        <v>0</v>
      </c>
      <c r="AB257" s="2">
        <f>COUNTIFS(集計用!$G255,"*, "&amp;AB$3&amp;", *")</f>
        <v>0</v>
      </c>
      <c r="AC257" s="2">
        <f>COUNTIFS(集計用!$G255,"*, "&amp;AC$3&amp;", *")</f>
        <v>0</v>
      </c>
      <c r="AD257" s="2">
        <f>COUNTIFS(集計用!$G255,"*, "&amp;AD$3&amp;", *")</f>
        <v>0</v>
      </c>
      <c r="AE257" s="2">
        <f>COUNTIFS(集計用!$G255,"*, "&amp;AE$3&amp;", *")</f>
        <v>0</v>
      </c>
      <c r="AF257" s="2">
        <f>COUNTIFS(集計用!$G255,"*, "&amp;AF$3&amp;", *")</f>
        <v>0</v>
      </c>
      <c r="AG257" s="2">
        <f>COUNTIFS(集計用!$G255,"*, "&amp;AG$3&amp;", *")</f>
        <v>1</v>
      </c>
      <c r="AH257" s="2">
        <f>COUNTIFS(集計用!$G255,"*, "&amp;AH$3&amp;", *")</f>
        <v>0</v>
      </c>
      <c r="AI257" s="2">
        <f>COUNTIFS(集計用!$G255,"*, "&amp;AI$3&amp;", *")</f>
        <v>0</v>
      </c>
      <c r="AJ257" s="2">
        <f>COUNTIFS(集計用!$G255,"*, "&amp;AJ$3&amp;", *")</f>
        <v>0</v>
      </c>
      <c r="AK257" s="2">
        <f>COUNTIFS(集計用!$G255,"*, "&amp;AK$3&amp;", *")</f>
        <v>0</v>
      </c>
      <c r="AL257" s="2">
        <f>COUNTIFS(集計用!$G255,"*, "&amp;AL$3&amp;", *")</f>
        <v>0</v>
      </c>
      <c r="AM257" s="2">
        <f>COUNTIFS(集計用!$G255,"*, "&amp;AM$3&amp;", *")</f>
        <v>0</v>
      </c>
      <c r="AN257" s="2">
        <f>COUNTIFS(集計用!$G255,"*, "&amp;AN$3&amp;", *")</f>
        <v>0</v>
      </c>
      <c r="AO257" s="2">
        <f>COUNTIFS(集計用!$G255,"*, "&amp;AO$3&amp;", *")</f>
        <v>0</v>
      </c>
      <c r="AP257" s="2">
        <f>COUNTIFS(集計用!$G255,"*, "&amp;AP$3&amp;", *")</f>
        <v>0</v>
      </c>
      <c r="AQ257" s="2">
        <f>COUNTIFS(集計用!$G255,"*, "&amp;AQ$3&amp;", *")</f>
        <v>0</v>
      </c>
      <c r="AR257" s="2">
        <f>COUNTIFS(集計用!$G255,"*, "&amp;AR$3&amp;", *")</f>
        <v>0</v>
      </c>
      <c r="AS257" s="2">
        <f>COUNTIFS(集計用!$G255,"*, "&amp;AS$3&amp;", *")</f>
        <v>0</v>
      </c>
      <c r="AT257" s="2">
        <f>COUNTIFS(集計用!$G255,"*, "&amp;AT$3&amp;", *")</f>
        <v>0</v>
      </c>
      <c r="AU257" s="2">
        <f>COUNTIFS(集計用!$G255,"*, "&amp;AU$3&amp;", *")</f>
        <v>0</v>
      </c>
      <c r="AV257" s="2">
        <f>COUNTIFS(集計用!$G255,"*, "&amp;AV$3&amp;", *")</f>
        <v>0</v>
      </c>
      <c r="AW257" s="2">
        <f>COUNTIFS(集計用!$G255,"*, "&amp;AW$3&amp;", *")</f>
        <v>0</v>
      </c>
      <c r="AX257" s="2">
        <f>COUNTIFS(集計用!$G255,"*, "&amp;AX$3&amp;", *")</f>
        <v>0</v>
      </c>
      <c r="AY257" s="2">
        <f>COUNTIFS(集計用!$G255,"*, "&amp;AY$3&amp;", *")</f>
        <v>0</v>
      </c>
      <c r="AZ257" s="2">
        <f>COUNTIFS(集計用!$G255,"*, "&amp;AZ$3&amp;", *")</f>
        <v>0</v>
      </c>
      <c r="BA257" s="2">
        <f>COUNTIFS(集計用!$G255,"*, "&amp;BA$3&amp;", *")</f>
        <v>0</v>
      </c>
      <c r="BB257" s="2">
        <f>COUNTIFS(集計用!$G255,"*, "&amp;BB$3&amp;", *")</f>
        <v>0</v>
      </c>
      <c r="BC257" s="2">
        <f>COUNTIFS(集計用!$G255,"*, "&amp;BC$3&amp;", *")</f>
        <v>0</v>
      </c>
      <c r="BD257" s="2">
        <f>COUNTIFS(集計用!$G255,"*, "&amp;BD$3&amp;", *")</f>
        <v>0</v>
      </c>
      <c r="BE257" s="2">
        <f>COUNTIFS(集計用!$G255,"*, "&amp;BE$3&amp;", *")</f>
        <v>0</v>
      </c>
      <c r="BF257" s="2">
        <f>COUNTIFS(集計用!$G255,"*, "&amp;BF$3&amp;", *")</f>
        <v>0</v>
      </c>
      <c r="BG257" s="2">
        <f>COUNTIFS(集計用!$G255,"*, "&amp;BG$3&amp;", *")</f>
        <v>0</v>
      </c>
      <c r="BH257" s="2">
        <f>COUNTIFS(集計用!$G255,"*, "&amp;BH$3&amp;", *")</f>
        <v>0</v>
      </c>
      <c r="BI257" s="2">
        <f>COUNTIFS(集計用!$G255,"*, "&amp;BI$3&amp;", *")</f>
        <v>0</v>
      </c>
      <c r="BJ257" s="2">
        <f>LEN(集計用!H255)-LEN(SUBSTITUTE(集計用!H255,",",""))</f>
        <v>0</v>
      </c>
    </row>
    <row r="258" spans="1:62" ht="12.75">
      <c r="A258" s="8">
        <v>255</v>
      </c>
      <c r="C258" s="2">
        <f t="shared" si="3"/>
        <v>5</v>
      </c>
      <c r="D258" s="9"/>
      <c r="E258" s="2">
        <f>COUNTIFS(集計用!$G256,"*, "&amp;E$3&amp;", *")</f>
        <v>0</v>
      </c>
      <c r="F258" s="2">
        <f>COUNTIFS(集計用!$G256,"*, "&amp;F$3&amp;", *")</f>
        <v>0</v>
      </c>
      <c r="G258" s="2">
        <f>COUNTIFS(集計用!$G256,"*, "&amp;G$3&amp;", *")</f>
        <v>0</v>
      </c>
      <c r="H258" s="2">
        <f>COUNTIFS(集計用!$G256,"*, "&amp;H$3&amp;", *")</f>
        <v>0</v>
      </c>
      <c r="I258" s="2">
        <f>COUNTIFS(集計用!$G256,"*, "&amp;I$3&amp;", *")</f>
        <v>0</v>
      </c>
      <c r="J258" s="2">
        <f>COUNTIFS(集計用!$G256,"*, "&amp;J$3&amp;", *")</f>
        <v>0</v>
      </c>
      <c r="K258" s="2">
        <f>COUNTIFS(集計用!$G256,"*, "&amp;K$3&amp;", *")</f>
        <v>1</v>
      </c>
      <c r="L258" s="2">
        <f>COUNTIFS(集計用!$G256,"*, "&amp;L$3&amp;", *")</f>
        <v>0</v>
      </c>
      <c r="M258" s="2">
        <f>COUNTIFS(集計用!$G256,"*, "&amp;M$3&amp;", *")</f>
        <v>0</v>
      </c>
      <c r="N258" s="2">
        <f>COUNTIFS(集計用!$G256,"*, "&amp;N$3&amp;", *")</f>
        <v>0</v>
      </c>
      <c r="O258" s="2">
        <f>COUNTIFS(集計用!$G256,"*, "&amp;O$3&amp;", *")</f>
        <v>1</v>
      </c>
      <c r="P258" s="2">
        <f>COUNTIFS(集計用!$G256,"*, "&amp;P$3&amp;", *")</f>
        <v>0</v>
      </c>
      <c r="Q258" s="2">
        <f>COUNTIFS(集計用!$G256,"*, "&amp;Q$3&amp;", *")</f>
        <v>0</v>
      </c>
      <c r="R258" s="2">
        <f>COUNTIFS(集計用!$G256,"*, "&amp;R$3&amp;", *")</f>
        <v>0</v>
      </c>
      <c r="S258" s="2">
        <f>COUNTIFS(集計用!$G256,"*, "&amp;S$3&amp;", *")</f>
        <v>0</v>
      </c>
      <c r="T258" s="2">
        <f>COUNTIFS(集計用!$G256,"*, "&amp;T$3&amp;", *")</f>
        <v>0</v>
      </c>
      <c r="U258" s="2">
        <f>COUNTIFS(集計用!$G256,"*, "&amp;U$3&amp;", *")</f>
        <v>1</v>
      </c>
      <c r="V258" s="2">
        <f>COUNTIFS(集計用!$G256,"*, "&amp;V$3&amp;", *")</f>
        <v>0</v>
      </c>
      <c r="W258" s="2">
        <f>COUNTIFS(集計用!$G256,"*, "&amp;W$3&amp;", *")</f>
        <v>0</v>
      </c>
      <c r="X258" s="2">
        <f>COUNTIFS(集計用!$G256,"*, "&amp;X$3&amp;", *")</f>
        <v>0</v>
      </c>
      <c r="Y258" s="2">
        <f>COUNTIFS(集計用!$G256,"*, "&amp;Y$3&amp;", *")</f>
        <v>0</v>
      </c>
      <c r="Z258" s="2">
        <f>COUNTIFS(集計用!$G256,"*, "&amp;Z$3&amp;", *")</f>
        <v>0</v>
      </c>
      <c r="AA258" s="2">
        <f>COUNTIFS(集計用!$G256,"*, "&amp;AA$3&amp;", *")</f>
        <v>0</v>
      </c>
      <c r="AB258" s="2">
        <f>COUNTIFS(集計用!$G256,"*, "&amp;AB$3&amp;", *")</f>
        <v>0</v>
      </c>
      <c r="AC258" s="2">
        <f>COUNTIFS(集計用!$G256,"*, "&amp;AC$3&amp;", *")</f>
        <v>0</v>
      </c>
      <c r="AD258" s="2">
        <f>COUNTIFS(集計用!$G256,"*, "&amp;AD$3&amp;", *")</f>
        <v>0</v>
      </c>
      <c r="AE258" s="2">
        <f>COUNTIFS(集計用!$G256,"*, "&amp;AE$3&amp;", *")</f>
        <v>0</v>
      </c>
      <c r="AF258" s="2">
        <f>COUNTIFS(集計用!$G256,"*, "&amp;AF$3&amp;", *")</f>
        <v>0</v>
      </c>
      <c r="AG258" s="2">
        <f>COUNTIFS(集計用!$G256,"*, "&amp;AG$3&amp;", *")</f>
        <v>1</v>
      </c>
      <c r="AH258" s="2">
        <f>COUNTIFS(集計用!$G256,"*, "&amp;AH$3&amp;", *")</f>
        <v>0</v>
      </c>
      <c r="AI258" s="2">
        <f>COUNTIFS(集計用!$G256,"*, "&amp;AI$3&amp;", *")</f>
        <v>1</v>
      </c>
      <c r="AJ258" s="2">
        <f>COUNTIFS(集計用!$G256,"*, "&amp;AJ$3&amp;", *")</f>
        <v>0</v>
      </c>
      <c r="AK258" s="2">
        <f>COUNTIFS(集計用!$G256,"*, "&amp;AK$3&amp;", *")</f>
        <v>0</v>
      </c>
      <c r="AL258" s="2">
        <f>COUNTIFS(集計用!$G256,"*, "&amp;AL$3&amp;", *")</f>
        <v>0</v>
      </c>
      <c r="AM258" s="2">
        <f>COUNTIFS(集計用!$G256,"*, "&amp;AM$3&amp;", *")</f>
        <v>0</v>
      </c>
      <c r="AN258" s="2">
        <f>COUNTIFS(集計用!$G256,"*, "&amp;AN$3&amp;", *")</f>
        <v>0</v>
      </c>
      <c r="AO258" s="2">
        <f>COUNTIFS(集計用!$G256,"*, "&amp;AO$3&amp;", *")</f>
        <v>0</v>
      </c>
      <c r="AP258" s="2">
        <f>COUNTIFS(集計用!$G256,"*, "&amp;AP$3&amp;", *")</f>
        <v>0</v>
      </c>
      <c r="AQ258" s="2">
        <f>COUNTIFS(集計用!$G256,"*, "&amp;AQ$3&amp;", *")</f>
        <v>0</v>
      </c>
      <c r="AR258" s="2">
        <f>COUNTIFS(集計用!$G256,"*, "&amp;AR$3&amp;", *")</f>
        <v>0</v>
      </c>
      <c r="AS258" s="2">
        <f>COUNTIFS(集計用!$G256,"*, "&amp;AS$3&amp;", *")</f>
        <v>0</v>
      </c>
      <c r="AT258" s="2">
        <f>COUNTIFS(集計用!$G256,"*, "&amp;AT$3&amp;", *")</f>
        <v>0</v>
      </c>
      <c r="AU258" s="2">
        <f>COUNTIFS(集計用!$G256,"*, "&amp;AU$3&amp;", *")</f>
        <v>0</v>
      </c>
      <c r="AV258" s="2">
        <f>COUNTIFS(集計用!$G256,"*, "&amp;AV$3&amp;", *")</f>
        <v>0</v>
      </c>
      <c r="AW258" s="2">
        <f>COUNTIFS(集計用!$G256,"*, "&amp;AW$3&amp;", *")</f>
        <v>0</v>
      </c>
      <c r="AX258" s="2">
        <f>COUNTIFS(集計用!$G256,"*, "&amp;AX$3&amp;", *")</f>
        <v>0</v>
      </c>
      <c r="AY258" s="2">
        <f>COUNTIFS(集計用!$G256,"*, "&amp;AY$3&amp;", *")</f>
        <v>0</v>
      </c>
      <c r="AZ258" s="2">
        <f>COUNTIFS(集計用!$G256,"*, "&amp;AZ$3&amp;", *")</f>
        <v>0</v>
      </c>
      <c r="BA258" s="2">
        <f>COUNTIFS(集計用!$G256,"*, "&amp;BA$3&amp;", *")</f>
        <v>0</v>
      </c>
      <c r="BB258" s="2">
        <f>COUNTIFS(集計用!$G256,"*, "&amp;BB$3&amp;", *")</f>
        <v>0</v>
      </c>
      <c r="BC258" s="2">
        <f>COUNTIFS(集計用!$G256,"*, "&amp;BC$3&amp;", *")</f>
        <v>0</v>
      </c>
      <c r="BD258" s="2">
        <f>COUNTIFS(集計用!$G256,"*, "&amp;BD$3&amp;", *")</f>
        <v>0</v>
      </c>
      <c r="BE258" s="2">
        <f>COUNTIFS(集計用!$G256,"*, "&amp;BE$3&amp;", *")</f>
        <v>0</v>
      </c>
      <c r="BF258" s="2">
        <f>COUNTIFS(集計用!$G256,"*, "&amp;BF$3&amp;", *")</f>
        <v>0</v>
      </c>
      <c r="BG258" s="2">
        <f>COUNTIFS(集計用!$G256,"*, "&amp;BG$3&amp;", *")</f>
        <v>0</v>
      </c>
      <c r="BH258" s="2">
        <f>COUNTIFS(集計用!$G256,"*, "&amp;BH$3&amp;", *")</f>
        <v>0</v>
      </c>
      <c r="BI258" s="2">
        <f>COUNTIFS(集計用!$G256,"*, "&amp;BI$3&amp;", *")</f>
        <v>0</v>
      </c>
      <c r="BJ258" s="2">
        <f>LEN(集計用!H256)-LEN(SUBSTITUTE(集計用!H256,",",""))</f>
        <v>0</v>
      </c>
    </row>
    <row r="259" spans="1:62" ht="12.75">
      <c r="A259" s="8">
        <v>256</v>
      </c>
      <c r="C259" s="2">
        <f t="shared" si="3"/>
        <v>5</v>
      </c>
      <c r="D259" s="9"/>
      <c r="E259" s="2">
        <f>COUNTIFS(集計用!$G257,"*, "&amp;E$3&amp;", *")</f>
        <v>1</v>
      </c>
      <c r="F259" s="2">
        <f>COUNTIFS(集計用!$G257,"*, "&amp;F$3&amp;", *")</f>
        <v>0</v>
      </c>
      <c r="G259" s="2">
        <f>COUNTIFS(集計用!$G257,"*, "&amp;G$3&amp;", *")</f>
        <v>0</v>
      </c>
      <c r="H259" s="2">
        <f>COUNTIFS(集計用!$G257,"*, "&amp;H$3&amp;", *")</f>
        <v>0</v>
      </c>
      <c r="I259" s="2">
        <f>COUNTIFS(集計用!$G257,"*, "&amp;I$3&amp;", *")</f>
        <v>1</v>
      </c>
      <c r="J259" s="2">
        <f>COUNTIFS(集計用!$G257,"*, "&amp;J$3&amp;", *")</f>
        <v>0</v>
      </c>
      <c r="K259" s="2">
        <f>COUNTIFS(集計用!$G257,"*, "&amp;K$3&amp;", *")</f>
        <v>0</v>
      </c>
      <c r="L259" s="2">
        <f>COUNTIFS(集計用!$G257,"*, "&amp;L$3&amp;", *")</f>
        <v>0</v>
      </c>
      <c r="M259" s="2">
        <f>COUNTIFS(集計用!$G257,"*, "&amp;M$3&amp;", *")</f>
        <v>0</v>
      </c>
      <c r="N259" s="2">
        <f>COUNTIFS(集計用!$G257,"*, "&amp;N$3&amp;", *")</f>
        <v>0</v>
      </c>
      <c r="O259" s="2">
        <f>COUNTIFS(集計用!$G257,"*, "&amp;O$3&amp;", *")</f>
        <v>0</v>
      </c>
      <c r="P259" s="2">
        <f>COUNTIFS(集計用!$G257,"*, "&amp;P$3&amp;", *")</f>
        <v>0</v>
      </c>
      <c r="Q259" s="2">
        <f>COUNTIFS(集計用!$G257,"*, "&amp;Q$3&amp;", *")</f>
        <v>0</v>
      </c>
      <c r="R259" s="2">
        <f>COUNTIFS(集計用!$G257,"*, "&amp;R$3&amp;", *")</f>
        <v>1</v>
      </c>
      <c r="S259" s="2">
        <f>COUNTIFS(集計用!$G257,"*, "&amp;S$3&amp;", *")</f>
        <v>1</v>
      </c>
      <c r="T259" s="2">
        <f>COUNTIFS(集計用!$G257,"*, "&amp;T$3&amp;", *")</f>
        <v>0</v>
      </c>
      <c r="U259" s="2">
        <f>COUNTIFS(集計用!$G257,"*, "&amp;U$3&amp;", *")</f>
        <v>0</v>
      </c>
      <c r="V259" s="2">
        <f>COUNTIFS(集計用!$G257,"*, "&amp;V$3&amp;", *")</f>
        <v>0</v>
      </c>
      <c r="W259" s="2">
        <f>COUNTIFS(集計用!$G257,"*, "&amp;W$3&amp;", *")</f>
        <v>0</v>
      </c>
      <c r="X259" s="2">
        <f>COUNTIFS(集計用!$G257,"*, "&amp;X$3&amp;", *")</f>
        <v>0</v>
      </c>
      <c r="Y259" s="2">
        <f>COUNTIFS(集計用!$G257,"*, "&amp;Y$3&amp;", *")</f>
        <v>0</v>
      </c>
      <c r="Z259" s="2">
        <f>COUNTIFS(集計用!$G257,"*, "&amp;Z$3&amp;", *")</f>
        <v>0</v>
      </c>
      <c r="AA259" s="2">
        <f>COUNTIFS(集計用!$G257,"*, "&amp;AA$3&amp;", *")</f>
        <v>0</v>
      </c>
      <c r="AB259" s="2">
        <f>COUNTIFS(集計用!$G257,"*, "&amp;AB$3&amp;", *")</f>
        <v>1</v>
      </c>
      <c r="AC259" s="2">
        <f>COUNTIFS(集計用!$G257,"*, "&amp;AC$3&amp;", *")</f>
        <v>0</v>
      </c>
      <c r="AD259" s="2">
        <f>COUNTIFS(集計用!$G257,"*, "&amp;AD$3&amp;", *")</f>
        <v>0</v>
      </c>
      <c r="AE259" s="2">
        <f>COUNTIFS(集計用!$G257,"*, "&amp;AE$3&amp;", *")</f>
        <v>0</v>
      </c>
      <c r="AF259" s="2">
        <f>COUNTIFS(集計用!$G257,"*, "&amp;AF$3&amp;", *")</f>
        <v>0</v>
      </c>
      <c r="AG259" s="2">
        <f>COUNTIFS(集計用!$G257,"*, "&amp;AG$3&amp;", *")</f>
        <v>0</v>
      </c>
      <c r="AH259" s="2">
        <f>COUNTIFS(集計用!$G257,"*, "&amp;AH$3&amp;", *")</f>
        <v>0</v>
      </c>
      <c r="AI259" s="2">
        <f>COUNTIFS(集計用!$G257,"*, "&amp;AI$3&amp;", *")</f>
        <v>0</v>
      </c>
      <c r="AJ259" s="2">
        <f>COUNTIFS(集計用!$G257,"*, "&amp;AJ$3&amp;", *")</f>
        <v>0</v>
      </c>
      <c r="AK259" s="2">
        <f>COUNTIFS(集計用!$G257,"*, "&amp;AK$3&amp;", *")</f>
        <v>0</v>
      </c>
      <c r="AL259" s="2">
        <f>COUNTIFS(集計用!$G257,"*, "&amp;AL$3&amp;", *")</f>
        <v>0</v>
      </c>
      <c r="AM259" s="2">
        <f>COUNTIFS(集計用!$G257,"*, "&amp;AM$3&amp;", *")</f>
        <v>0</v>
      </c>
      <c r="AN259" s="2">
        <f>COUNTIFS(集計用!$G257,"*, "&amp;AN$3&amp;", *")</f>
        <v>0</v>
      </c>
      <c r="AO259" s="2">
        <f>COUNTIFS(集計用!$G257,"*, "&amp;AO$3&amp;", *")</f>
        <v>0</v>
      </c>
      <c r="AP259" s="2">
        <f>COUNTIFS(集計用!$G257,"*, "&amp;AP$3&amp;", *")</f>
        <v>0</v>
      </c>
      <c r="AQ259" s="2">
        <f>COUNTIFS(集計用!$G257,"*, "&amp;AQ$3&amp;", *")</f>
        <v>0</v>
      </c>
      <c r="AR259" s="2">
        <f>COUNTIFS(集計用!$G257,"*, "&amp;AR$3&amp;", *")</f>
        <v>0</v>
      </c>
      <c r="AS259" s="2">
        <f>COUNTIFS(集計用!$G257,"*, "&amp;AS$3&amp;", *")</f>
        <v>0</v>
      </c>
      <c r="AT259" s="2">
        <f>COUNTIFS(集計用!$G257,"*, "&amp;AT$3&amp;", *")</f>
        <v>0</v>
      </c>
      <c r="AU259" s="2">
        <f>COUNTIFS(集計用!$G257,"*, "&amp;AU$3&amp;", *")</f>
        <v>0</v>
      </c>
      <c r="AV259" s="2">
        <f>COUNTIFS(集計用!$G257,"*, "&amp;AV$3&amp;", *")</f>
        <v>0</v>
      </c>
      <c r="AW259" s="2">
        <f>COUNTIFS(集計用!$G257,"*, "&amp;AW$3&amp;", *")</f>
        <v>0</v>
      </c>
      <c r="AX259" s="2">
        <f>COUNTIFS(集計用!$G257,"*, "&amp;AX$3&amp;", *")</f>
        <v>0</v>
      </c>
      <c r="AY259" s="2">
        <f>COUNTIFS(集計用!$G257,"*, "&amp;AY$3&amp;", *")</f>
        <v>0</v>
      </c>
      <c r="AZ259" s="2">
        <f>COUNTIFS(集計用!$G257,"*, "&amp;AZ$3&amp;", *")</f>
        <v>0</v>
      </c>
      <c r="BA259" s="2">
        <f>COUNTIFS(集計用!$G257,"*, "&amp;BA$3&amp;", *")</f>
        <v>0</v>
      </c>
      <c r="BB259" s="2">
        <f>COUNTIFS(集計用!$G257,"*, "&amp;BB$3&amp;", *")</f>
        <v>0</v>
      </c>
      <c r="BC259" s="2">
        <f>COUNTIFS(集計用!$G257,"*, "&amp;BC$3&amp;", *")</f>
        <v>0</v>
      </c>
      <c r="BD259" s="2">
        <f>COUNTIFS(集計用!$G257,"*, "&amp;BD$3&amp;", *")</f>
        <v>0</v>
      </c>
      <c r="BE259" s="2">
        <f>COUNTIFS(集計用!$G257,"*, "&amp;BE$3&amp;", *")</f>
        <v>0</v>
      </c>
      <c r="BF259" s="2">
        <f>COUNTIFS(集計用!$G257,"*, "&amp;BF$3&amp;", *")</f>
        <v>0</v>
      </c>
      <c r="BG259" s="2">
        <f>COUNTIFS(集計用!$G257,"*, "&amp;BG$3&amp;", *")</f>
        <v>0</v>
      </c>
      <c r="BH259" s="2">
        <f>COUNTIFS(集計用!$G257,"*, "&amp;BH$3&amp;", *")</f>
        <v>0</v>
      </c>
      <c r="BI259" s="2">
        <f>COUNTIFS(集計用!$G257,"*, "&amp;BI$3&amp;", *")</f>
        <v>0</v>
      </c>
      <c r="BJ259" s="2">
        <f>LEN(集計用!H257)-LEN(SUBSTITUTE(集計用!H257,",",""))</f>
        <v>0</v>
      </c>
    </row>
    <row r="260" spans="1:62" ht="12.75">
      <c r="A260" s="8">
        <v>257</v>
      </c>
      <c r="C260" s="2">
        <f t="shared" si="3"/>
        <v>2</v>
      </c>
      <c r="D260" s="9"/>
      <c r="E260" s="2">
        <f>COUNTIFS(集計用!$G258,"*, "&amp;E$3&amp;", *")</f>
        <v>0</v>
      </c>
      <c r="F260" s="2">
        <f>COUNTIFS(集計用!$G258,"*, "&amp;F$3&amp;", *")</f>
        <v>0</v>
      </c>
      <c r="G260" s="2">
        <f>COUNTIFS(集計用!$G258,"*, "&amp;G$3&amp;", *")</f>
        <v>0</v>
      </c>
      <c r="H260" s="2">
        <f>COUNTIFS(集計用!$G258,"*, "&amp;H$3&amp;", *")</f>
        <v>0</v>
      </c>
      <c r="I260" s="2">
        <f>COUNTIFS(集計用!$G258,"*, "&amp;I$3&amp;", *")</f>
        <v>0</v>
      </c>
      <c r="J260" s="2">
        <f>COUNTIFS(集計用!$G258,"*, "&amp;J$3&amp;", *")</f>
        <v>0</v>
      </c>
      <c r="K260" s="2">
        <f>COUNTIFS(集計用!$G258,"*, "&amp;K$3&amp;", *")</f>
        <v>0</v>
      </c>
      <c r="L260" s="2">
        <f>COUNTIFS(集計用!$G258,"*, "&amp;L$3&amp;", *")</f>
        <v>0</v>
      </c>
      <c r="M260" s="2">
        <f>COUNTIFS(集計用!$G258,"*, "&amp;M$3&amp;", *")</f>
        <v>1</v>
      </c>
      <c r="N260" s="2">
        <f>COUNTIFS(集計用!$G258,"*, "&amp;N$3&amp;", *")</f>
        <v>0</v>
      </c>
      <c r="O260" s="2">
        <f>COUNTIFS(集計用!$G258,"*, "&amp;O$3&amp;", *")</f>
        <v>0</v>
      </c>
      <c r="P260" s="2">
        <f>COUNTIFS(集計用!$G258,"*, "&amp;P$3&amp;", *")</f>
        <v>0</v>
      </c>
      <c r="Q260" s="2">
        <f>COUNTIFS(集計用!$G258,"*, "&amp;Q$3&amp;", *")</f>
        <v>0</v>
      </c>
      <c r="R260" s="2">
        <f>COUNTIFS(集計用!$G258,"*, "&amp;R$3&amp;", *")</f>
        <v>0</v>
      </c>
      <c r="S260" s="2">
        <f>COUNTIFS(集計用!$G258,"*, "&amp;S$3&amp;", *")</f>
        <v>0</v>
      </c>
      <c r="T260" s="2">
        <f>COUNTIFS(集計用!$G258,"*, "&amp;T$3&amp;", *")</f>
        <v>0</v>
      </c>
      <c r="U260" s="2">
        <f>COUNTIFS(集計用!$G258,"*, "&amp;U$3&amp;", *")</f>
        <v>0</v>
      </c>
      <c r="V260" s="2">
        <f>COUNTIFS(集計用!$G258,"*, "&amp;V$3&amp;", *")</f>
        <v>0</v>
      </c>
      <c r="W260" s="2">
        <f>COUNTIFS(集計用!$G258,"*, "&amp;W$3&amp;", *")</f>
        <v>0</v>
      </c>
      <c r="X260" s="2">
        <f>COUNTIFS(集計用!$G258,"*, "&amp;X$3&amp;", *")</f>
        <v>0</v>
      </c>
      <c r="Y260" s="2">
        <f>COUNTIFS(集計用!$G258,"*, "&amp;Y$3&amp;", *")</f>
        <v>0</v>
      </c>
      <c r="Z260" s="2">
        <f>COUNTIFS(集計用!$G258,"*, "&amp;Z$3&amp;", *")</f>
        <v>0</v>
      </c>
      <c r="AA260" s="2">
        <f>COUNTIFS(集計用!$G258,"*, "&amp;AA$3&amp;", *")</f>
        <v>0</v>
      </c>
      <c r="AB260" s="2">
        <f>COUNTIFS(集計用!$G258,"*, "&amp;AB$3&amp;", *")</f>
        <v>1</v>
      </c>
      <c r="AC260" s="2">
        <f>COUNTIFS(集計用!$G258,"*, "&amp;AC$3&amp;", *")</f>
        <v>0</v>
      </c>
      <c r="AD260" s="2">
        <f>COUNTIFS(集計用!$G258,"*, "&amp;AD$3&amp;", *")</f>
        <v>0</v>
      </c>
      <c r="AE260" s="2">
        <f>COUNTIFS(集計用!$G258,"*, "&amp;AE$3&amp;", *")</f>
        <v>0</v>
      </c>
      <c r="AF260" s="2">
        <f>COUNTIFS(集計用!$G258,"*, "&amp;AF$3&amp;", *")</f>
        <v>0</v>
      </c>
      <c r="AG260" s="2">
        <f>COUNTIFS(集計用!$G258,"*, "&amp;AG$3&amp;", *")</f>
        <v>0</v>
      </c>
      <c r="AH260" s="2">
        <f>COUNTIFS(集計用!$G258,"*, "&amp;AH$3&amp;", *")</f>
        <v>0</v>
      </c>
      <c r="AI260" s="2">
        <f>COUNTIFS(集計用!$G258,"*, "&amp;AI$3&amp;", *")</f>
        <v>0</v>
      </c>
      <c r="AJ260" s="2">
        <f>COUNTIFS(集計用!$G258,"*, "&amp;AJ$3&amp;", *")</f>
        <v>0</v>
      </c>
      <c r="AK260" s="2">
        <f>COUNTIFS(集計用!$G258,"*, "&amp;AK$3&amp;", *")</f>
        <v>0</v>
      </c>
      <c r="AL260" s="2">
        <f>COUNTIFS(集計用!$G258,"*, "&amp;AL$3&amp;", *")</f>
        <v>0</v>
      </c>
      <c r="AM260" s="2">
        <f>COUNTIFS(集計用!$G258,"*, "&amp;AM$3&amp;", *")</f>
        <v>0</v>
      </c>
      <c r="AN260" s="2">
        <f>COUNTIFS(集計用!$G258,"*, "&amp;AN$3&amp;", *")</f>
        <v>0</v>
      </c>
      <c r="AO260" s="2">
        <f>COUNTIFS(集計用!$G258,"*, "&amp;AO$3&amp;", *")</f>
        <v>0</v>
      </c>
      <c r="AP260" s="2">
        <f>COUNTIFS(集計用!$G258,"*, "&amp;AP$3&amp;", *")</f>
        <v>0</v>
      </c>
      <c r="AQ260" s="2">
        <f>COUNTIFS(集計用!$G258,"*, "&amp;AQ$3&amp;", *")</f>
        <v>0</v>
      </c>
      <c r="AR260" s="2">
        <f>COUNTIFS(集計用!$G258,"*, "&amp;AR$3&amp;", *")</f>
        <v>0</v>
      </c>
      <c r="AS260" s="2">
        <f>COUNTIFS(集計用!$G258,"*, "&amp;AS$3&amp;", *")</f>
        <v>0</v>
      </c>
      <c r="AT260" s="2">
        <f>COUNTIFS(集計用!$G258,"*, "&amp;AT$3&amp;", *")</f>
        <v>0</v>
      </c>
      <c r="AU260" s="2">
        <f>COUNTIFS(集計用!$G258,"*, "&amp;AU$3&amp;", *")</f>
        <v>0</v>
      </c>
      <c r="AV260" s="2">
        <f>COUNTIFS(集計用!$G258,"*, "&amp;AV$3&amp;", *")</f>
        <v>0</v>
      </c>
      <c r="AW260" s="2">
        <f>COUNTIFS(集計用!$G258,"*, "&amp;AW$3&amp;", *")</f>
        <v>0</v>
      </c>
      <c r="AX260" s="2">
        <f>COUNTIFS(集計用!$G258,"*, "&amp;AX$3&amp;", *")</f>
        <v>0</v>
      </c>
      <c r="AY260" s="2">
        <f>COUNTIFS(集計用!$G258,"*, "&amp;AY$3&amp;", *")</f>
        <v>0</v>
      </c>
      <c r="AZ260" s="2">
        <f>COUNTIFS(集計用!$G258,"*, "&amp;AZ$3&amp;", *")</f>
        <v>0</v>
      </c>
      <c r="BA260" s="2">
        <f>COUNTIFS(集計用!$G258,"*, "&amp;BA$3&amp;", *")</f>
        <v>0</v>
      </c>
      <c r="BB260" s="2">
        <f>COUNTIFS(集計用!$G258,"*, "&amp;BB$3&amp;", *")</f>
        <v>0</v>
      </c>
      <c r="BC260" s="2">
        <f>COUNTIFS(集計用!$G258,"*, "&amp;BC$3&amp;", *")</f>
        <v>0</v>
      </c>
      <c r="BD260" s="2">
        <f>COUNTIFS(集計用!$G258,"*, "&amp;BD$3&amp;", *")</f>
        <v>0</v>
      </c>
      <c r="BE260" s="2">
        <f>COUNTIFS(集計用!$G258,"*, "&amp;BE$3&amp;", *")</f>
        <v>0</v>
      </c>
      <c r="BF260" s="2">
        <f>COUNTIFS(集計用!$G258,"*, "&amp;BF$3&amp;", *")</f>
        <v>0</v>
      </c>
      <c r="BG260" s="2">
        <f>COUNTIFS(集計用!$G258,"*, "&amp;BG$3&amp;", *")</f>
        <v>0</v>
      </c>
      <c r="BH260" s="2">
        <f>COUNTIFS(集計用!$G258,"*, "&amp;BH$3&amp;", *")</f>
        <v>0</v>
      </c>
      <c r="BI260" s="2">
        <f>COUNTIFS(集計用!$G258,"*, "&amp;BI$3&amp;", *")</f>
        <v>0</v>
      </c>
      <c r="BJ260" s="2">
        <f>LEN(集計用!H258)-LEN(SUBSTITUTE(集計用!H258,",",""))</f>
        <v>0</v>
      </c>
    </row>
    <row r="261" spans="1:62" ht="12.75">
      <c r="A261" s="8">
        <v>258</v>
      </c>
      <c r="C261" s="2">
        <f t="shared" si="3"/>
        <v>4</v>
      </c>
      <c r="D261" s="9"/>
      <c r="E261" s="2">
        <f>COUNTIFS(集計用!$G259,"*, "&amp;E$3&amp;", *")</f>
        <v>1</v>
      </c>
      <c r="F261" s="2">
        <f>COUNTIFS(集計用!$G259,"*, "&amp;F$3&amp;", *")</f>
        <v>1</v>
      </c>
      <c r="G261" s="2">
        <f>COUNTIFS(集計用!$G259,"*, "&amp;G$3&amp;", *")</f>
        <v>0</v>
      </c>
      <c r="H261" s="2">
        <f>COUNTIFS(集計用!$G259,"*, "&amp;H$3&amp;", *")</f>
        <v>0</v>
      </c>
      <c r="I261" s="2">
        <f>COUNTIFS(集計用!$G259,"*, "&amp;I$3&amp;", *")</f>
        <v>0</v>
      </c>
      <c r="J261" s="2">
        <f>COUNTIFS(集計用!$G259,"*, "&amp;J$3&amp;", *")</f>
        <v>0</v>
      </c>
      <c r="K261" s="2">
        <f>COUNTIFS(集計用!$G259,"*, "&amp;K$3&amp;", *")</f>
        <v>1</v>
      </c>
      <c r="L261" s="2">
        <f>COUNTIFS(集計用!$G259,"*, "&amp;L$3&amp;", *")</f>
        <v>0</v>
      </c>
      <c r="M261" s="2">
        <f>COUNTIFS(集計用!$G259,"*, "&amp;M$3&amp;", *")</f>
        <v>1</v>
      </c>
      <c r="N261" s="2">
        <f>COUNTIFS(集計用!$G259,"*, "&amp;N$3&amp;", *")</f>
        <v>0</v>
      </c>
      <c r="O261" s="2">
        <f>COUNTIFS(集計用!$G259,"*, "&amp;O$3&amp;", *")</f>
        <v>0</v>
      </c>
      <c r="P261" s="2">
        <f>COUNTIFS(集計用!$G259,"*, "&amp;P$3&amp;", *")</f>
        <v>0</v>
      </c>
      <c r="Q261" s="2">
        <f>COUNTIFS(集計用!$G259,"*, "&amp;Q$3&amp;", *")</f>
        <v>0</v>
      </c>
      <c r="R261" s="2">
        <f>COUNTIFS(集計用!$G259,"*, "&amp;R$3&amp;", *")</f>
        <v>0</v>
      </c>
      <c r="S261" s="2">
        <f>COUNTIFS(集計用!$G259,"*, "&amp;S$3&amp;", *")</f>
        <v>0</v>
      </c>
      <c r="T261" s="2">
        <f>COUNTIFS(集計用!$G259,"*, "&amp;T$3&amp;", *")</f>
        <v>0</v>
      </c>
      <c r="U261" s="2">
        <f>COUNTIFS(集計用!$G259,"*, "&amp;U$3&amp;", *")</f>
        <v>0</v>
      </c>
      <c r="V261" s="2">
        <f>COUNTIFS(集計用!$G259,"*, "&amp;V$3&amp;", *")</f>
        <v>0</v>
      </c>
      <c r="W261" s="2">
        <f>COUNTIFS(集計用!$G259,"*, "&amp;W$3&amp;", *")</f>
        <v>0</v>
      </c>
      <c r="X261" s="2">
        <f>COUNTIFS(集計用!$G259,"*, "&amp;X$3&amp;", *")</f>
        <v>0</v>
      </c>
      <c r="Y261" s="2">
        <f>COUNTIFS(集計用!$G259,"*, "&amp;Y$3&amp;", *")</f>
        <v>0</v>
      </c>
      <c r="Z261" s="2">
        <f>COUNTIFS(集計用!$G259,"*, "&amp;Z$3&amp;", *")</f>
        <v>0</v>
      </c>
      <c r="AA261" s="2">
        <f>COUNTIFS(集計用!$G259,"*, "&amp;AA$3&amp;", *")</f>
        <v>0</v>
      </c>
      <c r="AB261" s="2">
        <f>COUNTIFS(集計用!$G259,"*, "&amp;AB$3&amp;", *")</f>
        <v>0</v>
      </c>
      <c r="AC261" s="2">
        <f>COUNTIFS(集計用!$G259,"*, "&amp;AC$3&amp;", *")</f>
        <v>0</v>
      </c>
      <c r="AD261" s="2">
        <f>COUNTIFS(集計用!$G259,"*, "&amp;AD$3&amp;", *")</f>
        <v>0</v>
      </c>
      <c r="AE261" s="2">
        <f>COUNTIFS(集計用!$G259,"*, "&amp;AE$3&amp;", *")</f>
        <v>0</v>
      </c>
      <c r="AF261" s="2">
        <f>COUNTIFS(集計用!$G259,"*, "&amp;AF$3&amp;", *")</f>
        <v>0</v>
      </c>
      <c r="AG261" s="2">
        <f>COUNTIFS(集計用!$G259,"*, "&amp;AG$3&amp;", *")</f>
        <v>0</v>
      </c>
      <c r="AH261" s="2">
        <f>COUNTIFS(集計用!$G259,"*, "&amp;AH$3&amp;", *")</f>
        <v>0</v>
      </c>
      <c r="AI261" s="2">
        <f>COUNTIFS(集計用!$G259,"*, "&amp;AI$3&amp;", *")</f>
        <v>0</v>
      </c>
      <c r="AJ261" s="2">
        <f>COUNTIFS(集計用!$G259,"*, "&amp;AJ$3&amp;", *")</f>
        <v>0</v>
      </c>
      <c r="AK261" s="2">
        <f>COUNTIFS(集計用!$G259,"*, "&amp;AK$3&amp;", *")</f>
        <v>0</v>
      </c>
      <c r="AL261" s="2">
        <f>COUNTIFS(集計用!$G259,"*, "&amp;AL$3&amp;", *")</f>
        <v>0</v>
      </c>
      <c r="AM261" s="2">
        <f>COUNTIFS(集計用!$G259,"*, "&amp;AM$3&amp;", *")</f>
        <v>0</v>
      </c>
      <c r="AN261" s="2">
        <f>COUNTIFS(集計用!$G259,"*, "&amp;AN$3&amp;", *")</f>
        <v>0</v>
      </c>
      <c r="AO261" s="2">
        <f>COUNTIFS(集計用!$G259,"*, "&amp;AO$3&amp;", *")</f>
        <v>0</v>
      </c>
      <c r="AP261" s="2">
        <f>COUNTIFS(集計用!$G259,"*, "&amp;AP$3&amp;", *")</f>
        <v>0</v>
      </c>
      <c r="AQ261" s="2">
        <f>COUNTIFS(集計用!$G259,"*, "&amp;AQ$3&amp;", *")</f>
        <v>0</v>
      </c>
      <c r="AR261" s="2">
        <f>COUNTIFS(集計用!$G259,"*, "&amp;AR$3&amp;", *")</f>
        <v>0</v>
      </c>
      <c r="AS261" s="2">
        <f>COUNTIFS(集計用!$G259,"*, "&amp;AS$3&amp;", *")</f>
        <v>0</v>
      </c>
      <c r="AT261" s="2">
        <f>COUNTIFS(集計用!$G259,"*, "&amp;AT$3&amp;", *")</f>
        <v>0</v>
      </c>
      <c r="AU261" s="2">
        <f>COUNTIFS(集計用!$G259,"*, "&amp;AU$3&amp;", *")</f>
        <v>0</v>
      </c>
      <c r="AV261" s="2">
        <f>COUNTIFS(集計用!$G259,"*, "&amp;AV$3&amp;", *")</f>
        <v>0</v>
      </c>
      <c r="AW261" s="2">
        <f>COUNTIFS(集計用!$G259,"*, "&amp;AW$3&amp;", *")</f>
        <v>0</v>
      </c>
      <c r="AX261" s="2">
        <f>COUNTIFS(集計用!$G259,"*, "&amp;AX$3&amp;", *")</f>
        <v>0</v>
      </c>
      <c r="AY261" s="2">
        <f>COUNTIFS(集計用!$G259,"*, "&amp;AY$3&amp;", *")</f>
        <v>0</v>
      </c>
      <c r="AZ261" s="2">
        <f>COUNTIFS(集計用!$G259,"*, "&amp;AZ$3&amp;", *")</f>
        <v>0</v>
      </c>
      <c r="BA261" s="2">
        <f>COUNTIFS(集計用!$G259,"*, "&amp;BA$3&amp;", *")</f>
        <v>0</v>
      </c>
      <c r="BB261" s="2">
        <f>COUNTIFS(集計用!$G259,"*, "&amp;BB$3&amp;", *")</f>
        <v>0</v>
      </c>
      <c r="BC261" s="2">
        <f>COUNTIFS(集計用!$G259,"*, "&amp;BC$3&amp;", *")</f>
        <v>0</v>
      </c>
      <c r="BD261" s="2">
        <f>COUNTIFS(集計用!$G259,"*, "&amp;BD$3&amp;", *")</f>
        <v>0</v>
      </c>
      <c r="BE261" s="2">
        <f>COUNTIFS(集計用!$G259,"*, "&amp;BE$3&amp;", *")</f>
        <v>0</v>
      </c>
      <c r="BF261" s="2">
        <f>COUNTIFS(集計用!$G259,"*, "&amp;BF$3&amp;", *")</f>
        <v>0</v>
      </c>
      <c r="BG261" s="2">
        <f>COUNTIFS(集計用!$G259,"*, "&amp;BG$3&amp;", *")</f>
        <v>0</v>
      </c>
      <c r="BH261" s="2">
        <f>COUNTIFS(集計用!$G259,"*, "&amp;BH$3&amp;", *")</f>
        <v>0</v>
      </c>
      <c r="BI261" s="2">
        <f>COUNTIFS(集計用!$G259,"*, "&amp;BI$3&amp;", *")</f>
        <v>0</v>
      </c>
      <c r="BJ261" s="2">
        <f>LEN(集計用!H259)-LEN(SUBSTITUTE(集計用!H259,",",""))</f>
        <v>0</v>
      </c>
    </row>
    <row r="262" spans="1:62" ht="12.75">
      <c r="A262" s="8">
        <v>259</v>
      </c>
      <c r="C262" s="2">
        <f t="shared" si="3"/>
        <v>4</v>
      </c>
      <c r="D262" s="9"/>
      <c r="E262" s="2">
        <f>COUNTIFS(集計用!$G260,"*, "&amp;E$3&amp;", *")</f>
        <v>1</v>
      </c>
      <c r="F262" s="2">
        <f>COUNTIFS(集計用!$G260,"*, "&amp;F$3&amp;", *")</f>
        <v>1</v>
      </c>
      <c r="G262" s="2">
        <f>COUNTIFS(集計用!$G260,"*, "&amp;G$3&amp;", *")</f>
        <v>0</v>
      </c>
      <c r="H262" s="2">
        <f>COUNTIFS(集計用!$G260,"*, "&amp;H$3&amp;", *")</f>
        <v>0</v>
      </c>
      <c r="I262" s="2">
        <f>COUNTIFS(集計用!$G260,"*, "&amp;I$3&amp;", *")</f>
        <v>0</v>
      </c>
      <c r="J262" s="2">
        <f>COUNTIFS(集計用!$G260,"*, "&amp;J$3&amp;", *")</f>
        <v>0</v>
      </c>
      <c r="K262" s="2">
        <f>COUNTIFS(集計用!$G260,"*, "&amp;K$3&amp;", *")</f>
        <v>0</v>
      </c>
      <c r="L262" s="2">
        <f>COUNTIFS(集計用!$G260,"*, "&amp;L$3&amp;", *")</f>
        <v>0</v>
      </c>
      <c r="M262" s="2">
        <f>COUNTIFS(集計用!$G260,"*, "&amp;M$3&amp;", *")</f>
        <v>0</v>
      </c>
      <c r="N262" s="2">
        <f>COUNTIFS(集計用!$G260,"*, "&amp;N$3&amp;", *")</f>
        <v>0</v>
      </c>
      <c r="O262" s="2">
        <f>COUNTIFS(集計用!$G260,"*, "&amp;O$3&amp;", *")</f>
        <v>1</v>
      </c>
      <c r="P262" s="2">
        <f>COUNTIFS(集計用!$G260,"*, "&amp;P$3&amp;", *")</f>
        <v>0</v>
      </c>
      <c r="Q262" s="2">
        <f>COUNTIFS(集計用!$G260,"*, "&amp;Q$3&amp;", *")</f>
        <v>0</v>
      </c>
      <c r="R262" s="2">
        <f>COUNTIFS(集計用!$G260,"*, "&amp;R$3&amp;", *")</f>
        <v>0</v>
      </c>
      <c r="S262" s="2">
        <f>COUNTIFS(集計用!$G260,"*, "&amp;S$3&amp;", *")</f>
        <v>0</v>
      </c>
      <c r="T262" s="2">
        <f>COUNTIFS(集計用!$G260,"*, "&amp;T$3&amp;", *")</f>
        <v>0</v>
      </c>
      <c r="U262" s="2">
        <f>COUNTIFS(集計用!$G260,"*, "&amp;U$3&amp;", *")</f>
        <v>0</v>
      </c>
      <c r="V262" s="2">
        <f>COUNTIFS(集計用!$G260,"*, "&amp;V$3&amp;", *")</f>
        <v>0</v>
      </c>
      <c r="W262" s="2">
        <f>COUNTIFS(集計用!$G260,"*, "&amp;W$3&amp;", *")</f>
        <v>0</v>
      </c>
      <c r="X262" s="2">
        <f>COUNTIFS(集計用!$G260,"*, "&amp;X$3&amp;", *")</f>
        <v>0</v>
      </c>
      <c r="Y262" s="2">
        <f>COUNTIFS(集計用!$G260,"*, "&amp;Y$3&amp;", *")</f>
        <v>0</v>
      </c>
      <c r="Z262" s="2">
        <f>COUNTIFS(集計用!$G260,"*, "&amp;Z$3&amp;", *")</f>
        <v>0</v>
      </c>
      <c r="AA262" s="2">
        <f>COUNTIFS(集計用!$G260,"*, "&amp;AA$3&amp;", *")</f>
        <v>0</v>
      </c>
      <c r="AB262" s="2">
        <f>COUNTIFS(集計用!$G260,"*, "&amp;AB$3&amp;", *")</f>
        <v>0</v>
      </c>
      <c r="AC262" s="2">
        <f>COUNTIFS(集計用!$G260,"*, "&amp;AC$3&amp;", *")</f>
        <v>0</v>
      </c>
      <c r="AD262" s="2">
        <f>COUNTIFS(集計用!$G260,"*, "&amp;AD$3&amp;", *")</f>
        <v>0</v>
      </c>
      <c r="AE262" s="2">
        <f>COUNTIFS(集計用!$G260,"*, "&amp;AE$3&amp;", *")</f>
        <v>0</v>
      </c>
      <c r="AF262" s="2">
        <f>COUNTIFS(集計用!$G260,"*, "&amp;AF$3&amp;", *")</f>
        <v>0</v>
      </c>
      <c r="AG262" s="2">
        <f>COUNTIFS(集計用!$G260,"*, "&amp;AG$3&amp;", *")</f>
        <v>0</v>
      </c>
      <c r="AH262" s="2">
        <f>COUNTIFS(集計用!$G260,"*, "&amp;AH$3&amp;", *")</f>
        <v>1</v>
      </c>
      <c r="AI262" s="2">
        <f>COUNTIFS(集計用!$G260,"*, "&amp;AI$3&amp;", *")</f>
        <v>0</v>
      </c>
      <c r="AJ262" s="2">
        <f>COUNTIFS(集計用!$G260,"*, "&amp;AJ$3&amp;", *")</f>
        <v>0</v>
      </c>
      <c r="AK262" s="2">
        <f>COUNTIFS(集計用!$G260,"*, "&amp;AK$3&amp;", *")</f>
        <v>0</v>
      </c>
      <c r="AL262" s="2">
        <f>COUNTIFS(集計用!$G260,"*, "&amp;AL$3&amp;", *")</f>
        <v>0</v>
      </c>
      <c r="AM262" s="2">
        <f>COUNTIFS(集計用!$G260,"*, "&amp;AM$3&amp;", *")</f>
        <v>0</v>
      </c>
      <c r="AN262" s="2">
        <f>COUNTIFS(集計用!$G260,"*, "&amp;AN$3&amp;", *")</f>
        <v>0</v>
      </c>
      <c r="AO262" s="2">
        <f>COUNTIFS(集計用!$G260,"*, "&amp;AO$3&amp;", *")</f>
        <v>0</v>
      </c>
      <c r="AP262" s="2">
        <f>COUNTIFS(集計用!$G260,"*, "&amp;AP$3&amp;", *")</f>
        <v>0</v>
      </c>
      <c r="AQ262" s="2">
        <f>COUNTIFS(集計用!$G260,"*, "&amp;AQ$3&amp;", *")</f>
        <v>0</v>
      </c>
      <c r="AR262" s="2">
        <f>COUNTIFS(集計用!$G260,"*, "&amp;AR$3&amp;", *")</f>
        <v>0</v>
      </c>
      <c r="AS262" s="2">
        <f>COUNTIFS(集計用!$G260,"*, "&amp;AS$3&amp;", *")</f>
        <v>0</v>
      </c>
      <c r="AT262" s="2">
        <f>COUNTIFS(集計用!$G260,"*, "&amp;AT$3&amp;", *")</f>
        <v>0</v>
      </c>
      <c r="AU262" s="2">
        <f>COUNTIFS(集計用!$G260,"*, "&amp;AU$3&amp;", *")</f>
        <v>0</v>
      </c>
      <c r="AV262" s="2">
        <f>COUNTIFS(集計用!$G260,"*, "&amp;AV$3&amp;", *")</f>
        <v>0</v>
      </c>
      <c r="AW262" s="2">
        <f>COUNTIFS(集計用!$G260,"*, "&amp;AW$3&amp;", *")</f>
        <v>0</v>
      </c>
      <c r="AX262" s="2">
        <f>COUNTIFS(集計用!$G260,"*, "&amp;AX$3&amp;", *")</f>
        <v>0</v>
      </c>
      <c r="AY262" s="2">
        <f>COUNTIFS(集計用!$G260,"*, "&amp;AY$3&amp;", *")</f>
        <v>0</v>
      </c>
      <c r="AZ262" s="2">
        <f>COUNTIFS(集計用!$G260,"*, "&amp;AZ$3&amp;", *")</f>
        <v>0</v>
      </c>
      <c r="BA262" s="2">
        <f>COUNTIFS(集計用!$G260,"*, "&amp;BA$3&amp;", *")</f>
        <v>0</v>
      </c>
      <c r="BB262" s="2">
        <f>COUNTIFS(集計用!$G260,"*, "&amp;BB$3&amp;", *")</f>
        <v>0</v>
      </c>
      <c r="BC262" s="2">
        <f>COUNTIFS(集計用!$G260,"*, "&amp;BC$3&amp;", *")</f>
        <v>0</v>
      </c>
      <c r="BD262" s="2">
        <f>COUNTIFS(集計用!$G260,"*, "&amp;BD$3&amp;", *")</f>
        <v>0</v>
      </c>
      <c r="BE262" s="2">
        <f>COUNTIFS(集計用!$G260,"*, "&amp;BE$3&amp;", *")</f>
        <v>0</v>
      </c>
      <c r="BF262" s="2">
        <f>COUNTIFS(集計用!$G260,"*, "&amp;BF$3&amp;", *")</f>
        <v>0</v>
      </c>
      <c r="BG262" s="2">
        <f>COUNTIFS(集計用!$G260,"*, "&amp;BG$3&amp;", *")</f>
        <v>0</v>
      </c>
      <c r="BH262" s="2">
        <f>COUNTIFS(集計用!$G260,"*, "&amp;BH$3&amp;", *")</f>
        <v>0</v>
      </c>
      <c r="BI262" s="2">
        <f>COUNTIFS(集計用!$G260,"*, "&amp;BI$3&amp;", *")</f>
        <v>0</v>
      </c>
      <c r="BJ262" s="2">
        <f>LEN(集計用!H260)-LEN(SUBSTITUTE(集計用!H260,",",""))</f>
        <v>0</v>
      </c>
    </row>
    <row r="263" spans="1:62" ht="12.75">
      <c r="A263" s="8">
        <v>260</v>
      </c>
      <c r="C263" s="2">
        <f t="shared" si="3"/>
        <v>1</v>
      </c>
      <c r="D263" s="9"/>
      <c r="E263" s="2">
        <f>COUNTIFS(集計用!$G261,"*, "&amp;E$3&amp;", *")</f>
        <v>0</v>
      </c>
      <c r="F263" s="2">
        <f>COUNTIFS(集計用!$G261,"*, "&amp;F$3&amp;", *")</f>
        <v>0</v>
      </c>
      <c r="G263" s="2">
        <f>COUNTIFS(集計用!$G261,"*, "&amp;G$3&amp;", *")</f>
        <v>0</v>
      </c>
      <c r="H263" s="2">
        <f>COUNTIFS(集計用!$G261,"*, "&amp;H$3&amp;", *")</f>
        <v>0</v>
      </c>
      <c r="I263" s="2">
        <f>COUNTIFS(集計用!$G261,"*, "&amp;I$3&amp;", *")</f>
        <v>0</v>
      </c>
      <c r="J263" s="2">
        <f>COUNTIFS(集計用!$G261,"*, "&amp;J$3&amp;", *")</f>
        <v>0</v>
      </c>
      <c r="K263" s="2">
        <f>COUNTIFS(集計用!$G261,"*, "&amp;K$3&amp;", *")</f>
        <v>0</v>
      </c>
      <c r="L263" s="2">
        <f>COUNTIFS(集計用!$G261,"*, "&amp;L$3&amp;", *")</f>
        <v>0</v>
      </c>
      <c r="M263" s="2">
        <f>COUNTIFS(集計用!$G261,"*, "&amp;M$3&amp;", *")</f>
        <v>1</v>
      </c>
      <c r="N263" s="2">
        <f>COUNTIFS(集計用!$G261,"*, "&amp;N$3&amp;", *")</f>
        <v>0</v>
      </c>
      <c r="O263" s="2">
        <f>COUNTIFS(集計用!$G261,"*, "&amp;O$3&amp;", *")</f>
        <v>0</v>
      </c>
      <c r="P263" s="2">
        <f>COUNTIFS(集計用!$G261,"*, "&amp;P$3&amp;", *")</f>
        <v>0</v>
      </c>
      <c r="Q263" s="2">
        <f>COUNTIFS(集計用!$G261,"*, "&amp;Q$3&amp;", *")</f>
        <v>0</v>
      </c>
      <c r="R263" s="2">
        <f>COUNTIFS(集計用!$G261,"*, "&amp;R$3&amp;", *")</f>
        <v>0</v>
      </c>
      <c r="S263" s="2">
        <f>COUNTIFS(集計用!$G261,"*, "&amp;S$3&amp;", *")</f>
        <v>0</v>
      </c>
      <c r="T263" s="2">
        <f>COUNTIFS(集計用!$G261,"*, "&amp;T$3&amp;", *")</f>
        <v>0</v>
      </c>
      <c r="U263" s="2">
        <f>COUNTIFS(集計用!$G261,"*, "&amp;U$3&amp;", *")</f>
        <v>0</v>
      </c>
      <c r="V263" s="2">
        <f>COUNTIFS(集計用!$G261,"*, "&amp;V$3&amp;", *")</f>
        <v>0</v>
      </c>
      <c r="W263" s="2">
        <f>COUNTIFS(集計用!$G261,"*, "&amp;W$3&amp;", *")</f>
        <v>0</v>
      </c>
      <c r="X263" s="2">
        <f>COUNTIFS(集計用!$G261,"*, "&amp;X$3&amp;", *")</f>
        <v>0</v>
      </c>
      <c r="Y263" s="2">
        <f>COUNTIFS(集計用!$G261,"*, "&amp;Y$3&amp;", *")</f>
        <v>0</v>
      </c>
      <c r="Z263" s="2">
        <f>COUNTIFS(集計用!$G261,"*, "&amp;Z$3&amp;", *")</f>
        <v>0</v>
      </c>
      <c r="AA263" s="2">
        <f>COUNTIFS(集計用!$G261,"*, "&amp;AA$3&amp;", *")</f>
        <v>0</v>
      </c>
      <c r="AB263" s="2">
        <f>COUNTIFS(集計用!$G261,"*, "&amp;AB$3&amp;", *")</f>
        <v>0</v>
      </c>
      <c r="AC263" s="2">
        <f>COUNTIFS(集計用!$G261,"*, "&amp;AC$3&amp;", *")</f>
        <v>0</v>
      </c>
      <c r="AD263" s="2">
        <f>COUNTIFS(集計用!$G261,"*, "&amp;AD$3&amp;", *")</f>
        <v>0</v>
      </c>
      <c r="AE263" s="2">
        <f>COUNTIFS(集計用!$G261,"*, "&amp;AE$3&amp;", *")</f>
        <v>0</v>
      </c>
      <c r="AF263" s="2">
        <f>COUNTIFS(集計用!$G261,"*, "&amp;AF$3&amp;", *")</f>
        <v>0</v>
      </c>
      <c r="AG263" s="2">
        <f>COUNTIFS(集計用!$G261,"*, "&amp;AG$3&amp;", *")</f>
        <v>0</v>
      </c>
      <c r="AH263" s="2">
        <f>COUNTIFS(集計用!$G261,"*, "&amp;AH$3&amp;", *")</f>
        <v>0</v>
      </c>
      <c r="AI263" s="2">
        <f>COUNTIFS(集計用!$G261,"*, "&amp;AI$3&amp;", *")</f>
        <v>0</v>
      </c>
      <c r="AJ263" s="2">
        <f>COUNTIFS(集計用!$G261,"*, "&amp;AJ$3&amp;", *")</f>
        <v>0</v>
      </c>
      <c r="AK263" s="2">
        <f>COUNTIFS(集計用!$G261,"*, "&amp;AK$3&amp;", *")</f>
        <v>0</v>
      </c>
      <c r="AL263" s="2">
        <f>COUNTIFS(集計用!$G261,"*, "&amp;AL$3&amp;", *")</f>
        <v>0</v>
      </c>
      <c r="AM263" s="2">
        <f>COUNTIFS(集計用!$G261,"*, "&amp;AM$3&amp;", *")</f>
        <v>0</v>
      </c>
      <c r="AN263" s="2">
        <f>COUNTIFS(集計用!$G261,"*, "&amp;AN$3&amp;", *")</f>
        <v>0</v>
      </c>
      <c r="AO263" s="2">
        <f>COUNTIFS(集計用!$G261,"*, "&amp;AO$3&amp;", *")</f>
        <v>0</v>
      </c>
      <c r="AP263" s="2">
        <f>COUNTIFS(集計用!$G261,"*, "&amp;AP$3&amp;", *")</f>
        <v>0</v>
      </c>
      <c r="AQ263" s="2">
        <f>COUNTIFS(集計用!$G261,"*, "&amp;AQ$3&amp;", *")</f>
        <v>0</v>
      </c>
      <c r="AR263" s="2">
        <f>COUNTIFS(集計用!$G261,"*, "&amp;AR$3&amp;", *")</f>
        <v>0</v>
      </c>
      <c r="AS263" s="2">
        <f>COUNTIFS(集計用!$G261,"*, "&amp;AS$3&amp;", *")</f>
        <v>0</v>
      </c>
      <c r="AT263" s="2">
        <f>COUNTIFS(集計用!$G261,"*, "&amp;AT$3&amp;", *")</f>
        <v>0</v>
      </c>
      <c r="AU263" s="2">
        <f>COUNTIFS(集計用!$G261,"*, "&amp;AU$3&amp;", *")</f>
        <v>0</v>
      </c>
      <c r="AV263" s="2">
        <f>COUNTIFS(集計用!$G261,"*, "&amp;AV$3&amp;", *")</f>
        <v>0</v>
      </c>
      <c r="AW263" s="2">
        <f>COUNTIFS(集計用!$G261,"*, "&amp;AW$3&amp;", *")</f>
        <v>0</v>
      </c>
      <c r="AX263" s="2">
        <f>COUNTIFS(集計用!$G261,"*, "&amp;AX$3&amp;", *")</f>
        <v>0</v>
      </c>
      <c r="AY263" s="2">
        <f>COUNTIFS(集計用!$G261,"*, "&amp;AY$3&amp;", *")</f>
        <v>0</v>
      </c>
      <c r="AZ263" s="2">
        <f>COUNTIFS(集計用!$G261,"*, "&amp;AZ$3&amp;", *")</f>
        <v>0</v>
      </c>
      <c r="BA263" s="2">
        <f>COUNTIFS(集計用!$G261,"*, "&amp;BA$3&amp;", *")</f>
        <v>0</v>
      </c>
      <c r="BB263" s="2">
        <f>COUNTIFS(集計用!$G261,"*, "&amp;BB$3&amp;", *")</f>
        <v>0</v>
      </c>
      <c r="BC263" s="2">
        <f>COUNTIFS(集計用!$G261,"*, "&amp;BC$3&amp;", *")</f>
        <v>0</v>
      </c>
      <c r="BD263" s="2">
        <f>COUNTIFS(集計用!$G261,"*, "&amp;BD$3&amp;", *")</f>
        <v>0</v>
      </c>
      <c r="BE263" s="2">
        <f>COUNTIFS(集計用!$G261,"*, "&amp;BE$3&amp;", *")</f>
        <v>0</v>
      </c>
      <c r="BF263" s="2">
        <f>COUNTIFS(集計用!$G261,"*, "&amp;BF$3&amp;", *")</f>
        <v>0</v>
      </c>
      <c r="BG263" s="2">
        <f>COUNTIFS(集計用!$G261,"*, "&amp;BG$3&amp;", *")</f>
        <v>0</v>
      </c>
      <c r="BH263" s="2">
        <f>COUNTIFS(集計用!$G261,"*, "&amp;BH$3&amp;", *")</f>
        <v>0</v>
      </c>
      <c r="BI263" s="2">
        <f>COUNTIFS(集計用!$G261,"*, "&amp;BI$3&amp;", *")</f>
        <v>0</v>
      </c>
      <c r="BJ263" s="2">
        <f>LEN(集計用!H261)-LEN(SUBSTITUTE(集計用!H261,",",""))</f>
        <v>0</v>
      </c>
    </row>
    <row r="264" spans="1:62" ht="12.75">
      <c r="A264" s="8">
        <v>261</v>
      </c>
      <c r="C264" s="2">
        <f t="shared" si="3"/>
        <v>3</v>
      </c>
      <c r="D264" s="9"/>
      <c r="E264" s="2">
        <f>COUNTIFS(集計用!$G262,"*, "&amp;E$3&amp;", *")</f>
        <v>1</v>
      </c>
      <c r="F264" s="2">
        <f>COUNTIFS(集計用!$G262,"*, "&amp;F$3&amp;", *")</f>
        <v>0</v>
      </c>
      <c r="G264" s="2">
        <f>COUNTIFS(集計用!$G262,"*, "&amp;G$3&amp;", *")</f>
        <v>0</v>
      </c>
      <c r="H264" s="2">
        <f>COUNTIFS(集計用!$G262,"*, "&amp;H$3&amp;", *")</f>
        <v>0</v>
      </c>
      <c r="I264" s="2">
        <f>COUNTIFS(集計用!$G262,"*, "&amp;I$3&amp;", *")</f>
        <v>1</v>
      </c>
      <c r="J264" s="2">
        <f>COUNTIFS(集計用!$G262,"*, "&amp;J$3&amp;", *")</f>
        <v>0</v>
      </c>
      <c r="K264" s="2">
        <f>COUNTIFS(集計用!$G262,"*, "&amp;K$3&amp;", *")</f>
        <v>0</v>
      </c>
      <c r="L264" s="2">
        <f>COUNTIFS(集計用!$G262,"*, "&amp;L$3&amp;", *")</f>
        <v>0</v>
      </c>
      <c r="M264" s="2">
        <f>COUNTIFS(集計用!$G262,"*, "&amp;M$3&amp;", *")</f>
        <v>1</v>
      </c>
      <c r="N264" s="2">
        <f>COUNTIFS(集計用!$G262,"*, "&amp;N$3&amp;", *")</f>
        <v>0</v>
      </c>
      <c r="O264" s="2">
        <f>COUNTIFS(集計用!$G262,"*, "&amp;O$3&amp;", *")</f>
        <v>0</v>
      </c>
      <c r="P264" s="2">
        <f>COUNTIFS(集計用!$G262,"*, "&amp;P$3&amp;", *")</f>
        <v>0</v>
      </c>
      <c r="Q264" s="2">
        <f>COUNTIFS(集計用!$G262,"*, "&amp;Q$3&amp;", *")</f>
        <v>0</v>
      </c>
      <c r="R264" s="2">
        <f>COUNTIFS(集計用!$G262,"*, "&amp;R$3&amp;", *")</f>
        <v>0</v>
      </c>
      <c r="S264" s="2">
        <f>COUNTIFS(集計用!$G262,"*, "&amp;S$3&amp;", *")</f>
        <v>0</v>
      </c>
      <c r="T264" s="2">
        <f>COUNTIFS(集計用!$G262,"*, "&amp;T$3&amp;", *")</f>
        <v>0</v>
      </c>
      <c r="U264" s="2">
        <f>COUNTIFS(集計用!$G262,"*, "&amp;U$3&amp;", *")</f>
        <v>0</v>
      </c>
      <c r="V264" s="2">
        <f>COUNTIFS(集計用!$G262,"*, "&amp;V$3&amp;", *")</f>
        <v>0</v>
      </c>
      <c r="W264" s="2">
        <f>COUNTIFS(集計用!$G262,"*, "&amp;W$3&amp;", *")</f>
        <v>0</v>
      </c>
      <c r="X264" s="2">
        <f>COUNTIFS(集計用!$G262,"*, "&amp;X$3&amp;", *")</f>
        <v>0</v>
      </c>
      <c r="Y264" s="2">
        <f>COUNTIFS(集計用!$G262,"*, "&amp;Y$3&amp;", *")</f>
        <v>0</v>
      </c>
      <c r="Z264" s="2">
        <f>COUNTIFS(集計用!$G262,"*, "&amp;Z$3&amp;", *")</f>
        <v>0</v>
      </c>
      <c r="AA264" s="2">
        <f>COUNTIFS(集計用!$G262,"*, "&amp;AA$3&amp;", *")</f>
        <v>0</v>
      </c>
      <c r="AB264" s="2">
        <f>COUNTIFS(集計用!$G262,"*, "&amp;AB$3&amp;", *")</f>
        <v>0</v>
      </c>
      <c r="AC264" s="2">
        <f>COUNTIFS(集計用!$G262,"*, "&amp;AC$3&amp;", *")</f>
        <v>0</v>
      </c>
      <c r="AD264" s="2">
        <f>COUNTIFS(集計用!$G262,"*, "&amp;AD$3&amp;", *")</f>
        <v>0</v>
      </c>
      <c r="AE264" s="2">
        <f>COUNTIFS(集計用!$G262,"*, "&amp;AE$3&amp;", *")</f>
        <v>0</v>
      </c>
      <c r="AF264" s="2">
        <f>COUNTIFS(集計用!$G262,"*, "&amp;AF$3&amp;", *")</f>
        <v>0</v>
      </c>
      <c r="AG264" s="2">
        <f>COUNTIFS(集計用!$G262,"*, "&amp;AG$3&amp;", *")</f>
        <v>0</v>
      </c>
      <c r="AH264" s="2">
        <f>COUNTIFS(集計用!$G262,"*, "&amp;AH$3&amp;", *")</f>
        <v>0</v>
      </c>
      <c r="AI264" s="2">
        <f>COUNTIFS(集計用!$G262,"*, "&amp;AI$3&amp;", *")</f>
        <v>0</v>
      </c>
      <c r="AJ264" s="2">
        <f>COUNTIFS(集計用!$G262,"*, "&amp;AJ$3&amp;", *")</f>
        <v>0</v>
      </c>
      <c r="AK264" s="2">
        <f>COUNTIFS(集計用!$G262,"*, "&amp;AK$3&amp;", *")</f>
        <v>0</v>
      </c>
      <c r="AL264" s="2">
        <f>COUNTIFS(集計用!$G262,"*, "&amp;AL$3&amp;", *")</f>
        <v>0</v>
      </c>
      <c r="AM264" s="2">
        <f>COUNTIFS(集計用!$G262,"*, "&amp;AM$3&amp;", *")</f>
        <v>0</v>
      </c>
      <c r="AN264" s="2">
        <f>COUNTIFS(集計用!$G262,"*, "&amp;AN$3&amp;", *")</f>
        <v>0</v>
      </c>
      <c r="AO264" s="2">
        <f>COUNTIFS(集計用!$G262,"*, "&amp;AO$3&amp;", *")</f>
        <v>0</v>
      </c>
      <c r="AP264" s="2">
        <f>COUNTIFS(集計用!$G262,"*, "&amp;AP$3&amp;", *")</f>
        <v>0</v>
      </c>
      <c r="AQ264" s="2">
        <f>COUNTIFS(集計用!$G262,"*, "&amp;AQ$3&amp;", *")</f>
        <v>0</v>
      </c>
      <c r="AR264" s="2">
        <f>COUNTIFS(集計用!$G262,"*, "&amp;AR$3&amp;", *")</f>
        <v>0</v>
      </c>
      <c r="AS264" s="2">
        <f>COUNTIFS(集計用!$G262,"*, "&amp;AS$3&amp;", *")</f>
        <v>0</v>
      </c>
      <c r="AT264" s="2">
        <f>COUNTIFS(集計用!$G262,"*, "&amp;AT$3&amp;", *")</f>
        <v>0</v>
      </c>
      <c r="AU264" s="2">
        <f>COUNTIFS(集計用!$G262,"*, "&amp;AU$3&amp;", *")</f>
        <v>0</v>
      </c>
      <c r="AV264" s="2">
        <f>COUNTIFS(集計用!$G262,"*, "&amp;AV$3&amp;", *")</f>
        <v>0</v>
      </c>
      <c r="AW264" s="2">
        <f>COUNTIFS(集計用!$G262,"*, "&amp;AW$3&amp;", *")</f>
        <v>0</v>
      </c>
      <c r="AX264" s="2">
        <f>COUNTIFS(集計用!$G262,"*, "&amp;AX$3&amp;", *")</f>
        <v>0</v>
      </c>
      <c r="AY264" s="2">
        <f>COUNTIFS(集計用!$G262,"*, "&amp;AY$3&amp;", *")</f>
        <v>0</v>
      </c>
      <c r="AZ264" s="2">
        <f>COUNTIFS(集計用!$G262,"*, "&amp;AZ$3&amp;", *")</f>
        <v>0</v>
      </c>
      <c r="BA264" s="2">
        <f>COUNTIFS(集計用!$G262,"*, "&amp;BA$3&amp;", *")</f>
        <v>0</v>
      </c>
      <c r="BB264" s="2">
        <f>COUNTIFS(集計用!$G262,"*, "&amp;BB$3&amp;", *")</f>
        <v>0</v>
      </c>
      <c r="BC264" s="2">
        <f>COUNTIFS(集計用!$G262,"*, "&amp;BC$3&amp;", *")</f>
        <v>0</v>
      </c>
      <c r="BD264" s="2">
        <f>COUNTIFS(集計用!$G262,"*, "&amp;BD$3&amp;", *")</f>
        <v>0</v>
      </c>
      <c r="BE264" s="2">
        <f>COUNTIFS(集計用!$G262,"*, "&amp;BE$3&amp;", *")</f>
        <v>0</v>
      </c>
      <c r="BF264" s="2">
        <f>COUNTIFS(集計用!$G262,"*, "&amp;BF$3&amp;", *")</f>
        <v>0</v>
      </c>
      <c r="BG264" s="2">
        <f>COUNTIFS(集計用!$G262,"*, "&amp;BG$3&amp;", *")</f>
        <v>0</v>
      </c>
      <c r="BH264" s="2">
        <f>COUNTIFS(集計用!$G262,"*, "&amp;BH$3&amp;", *")</f>
        <v>0</v>
      </c>
      <c r="BI264" s="2">
        <f>COUNTIFS(集計用!$G262,"*, "&amp;BI$3&amp;", *")</f>
        <v>0</v>
      </c>
      <c r="BJ264" s="2">
        <f>LEN(集計用!H262)-LEN(SUBSTITUTE(集計用!H262,",",""))</f>
        <v>0</v>
      </c>
    </row>
    <row r="265" spans="1:62" ht="12.75">
      <c r="A265" s="8">
        <v>262</v>
      </c>
      <c r="C265" s="2">
        <f t="shared" si="3"/>
        <v>3</v>
      </c>
      <c r="D265" s="9"/>
      <c r="E265" s="2">
        <f>COUNTIFS(集計用!$G263,"*, "&amp;E$3&amp;", *")</f>
        <v>1</v>
      </c>
      <c r="F265" s="2">
        <f>COUNTIFS(集計用!$G263,"*, "&amp;F$3&amp;", *")</f>
        <v>0</v>
      </c>
      <c r="G265" s="2">
        <f>COUNTIFS(集計用!$G263,"*, "&amp;G$3&amp;", *")</f>
        <v>0</v>
      </c>
      <c r="H265" s="2">
        <f>COUNTIFS(集計用!$G263,"*, "&amp;H$3&amp;", *")</f>
        <v>0</v>
      </c>
      <c r="I265" s="2">
        <f>COUNTIFS(集計用!$G263,"*, "&amp;I$3&amp;", *")</f>
        <v>0</v>
      </c>
      <c r="J265" s="2">
        <f>COUNTIFS(集計用!$G263,"*, "&amp;J$3&amp;", *")</f>
        <v>0</v>
      </c>
      <c r="K265" s="2">
        <f>COUNTIFS(集計用!$G263,"*, "&amp;K$3&amp;", *")</f>
        <v>0</v>
      </c>
      <c r="L265" s="2">
        <f>COUNTIFS(集計用!$G263,"*, "&amp;L$3&amp;", *")</f>
        <v>0</v>
      </c>
      <c r="M265" s="2">
        <f>COUNTIFS(集計用!$G263,"*, "&amp;M$3&amp;", *")</f>
        <v>0</v>
      </c>
      <c r="N265" s="2">
        <f>COUNTIFS(集計用!$G263,"*, "&amp;N$3&amp;", *")</f>
        <v>0</v>
      </c>
      <c r="O265" s="2">
        <f>COUNTIFS(集計用!$G263,"*, "&amp;O$3&amp;", *")</f>
        <v>0</v>
      </c>
      <c r="P265" s="2">
        <f>COUNTIFS(集計用!$G263,"*, "&amp;P$3&amp;", *")</f>
        <v>0</v>
      </c>
      <c r="Q265" s="2">
        <f>COUNTIFS(集計用!$G263,"*, "&amp;Q$3&amp;", *")</f>
        <v>0</v>
      </c>
      <c r="R265" s="2">
        <f>COUNTIFS(集計用!$G263,"*, "&amp;R$3&amp;", *")</f>
        <v>0</v>
      </c>
      <c r="S265" s="2">
        <f>COUNTIFS(集計用!$G263,"*, "&amp;S$3&amp;", *")</f>
        <v>0</v>
      </c>
      <c r="T265" s="2">
        <f>COUNTIFS(集計用!$G263,"*, "&amp;T$3&amp;", *")</f>
        <v>0</v>
      </c>
      <c r="U265" s="2">
        <f>COUNTIFS(集計用!$G263,"*, "&amp;U$3&amp;", *")</f>
        <v>0</v>
      </c>
      <c r="V265" s="2">
        <f>COUNTIFS(集計用!$G263,"*, "&amp;V$3&amp;", *")</f>
        <v>1</v>
      </c>
      <c r="W265" s="2">
        <f>COUNTIFS(集計用!$G263,"*, "&amp;W$3&amp;", *")</f>
        <v>0</v>
      </c>
      <c r="X265" s="2">
        <f>COUNTIFS(集計用!$G263,"*, "&amp;X$3&amp;", *")</f>
        <v>0</v>
      </c>
      <c r="Y265" s="2">
        <f>COUNTIFS(集計用!$G263,"*, "&amp;Y$3&amp;", *")</f>
        <v>0</v>
      </c>
      <c r="Z265" s="2">
        <f>COUNTIFS(集計用!$G263,"*, "&amp;Z$3&amp;", *")</f>
        <v>0</v>
      </c>
      <c r="AA265" s="2">
        <f>COUNTIFS(集計用!$G263,"*, "&amp;AA$3&amp;", *")</f>
        <v>0</v>
      </c>
      <c r="AB265" s="2">
        <f>COUNTIFS(集計用!$G263,"*, "&amp;AB$3&amp;", *")</f>
        <v>0</v>
      </c>
      <c r="AC265" s="2">
        <f>COUNTIFS(集計用!$G263,"*, "&amp;AC$3&amp;", *")</f>
        <v>0</v>
      </c>
      <c r="AD265" s="2">
        <f>COUNTIFS(集計用!$G263,"*, "&amp;AD$3&amp;", *")</f>
        <v>0</v>
      </c>
      <c r="AE265" s="2">
        <f>COUNTIFS(集計用!$G263,"*, "&amp;AE$3&amp;", *")</f>
        <v>0</v>
      </c>
      <c r="AF265" s="2">
        <f>COUNTIFS(集計用!$G263,"*, "&amp;AF$3&amp;", *")</f>
        <v>0</v>
      </c>
      <c r="AG265" s="2">
        <f>COUNTIFS(集計用!$G263,"*, "&amp;AG$3&amp;", *")</f>
        <v>0</v>
      </c>
      <c r="AH265" s="2">
        <f>COUNTIFS(集計用!$G263,"*, "&amp;AH$3&amp;", *")</f>
        <v>0</v>
      </c>
      <c r="AI265" s="2">
        <f>COUNTIFS(集計用!$G263,"*, "&amp;AI$3&amp;", *")</f>
        <v>0</v>
      </c>
      <c r="AJ265" s="2">
        <f>COUNTIFS(集計用!$G263,"*, "&amp;AJ$3&amp;", *")</f>
        <v>1</v>
      </c>
      <c r="AK265" s="2">
        <f>COUNTIFS(集計用!$G263,"*, "&amp;AK$3&amp;", *")</f>
        <v>0</v>
      </c>
      <c r="AL265" s="2">
        <f>COUNTIFS(集計用!$G263,"*, "&amp;AL$3&amp;", *")</f>
        <v>0</v>
      </c>
      <c r="AM265" s="2">
        <f>COUNTIFS(集計用!$G263,"*, "&amp;AM$3&amp;", *")</f>
        <v>0</v>
      </c>
      <c r="AN265" s="2">
        <f>COUNTIFS(集計用!$G263,"*, "&amp;AN$3&amp;", *")</f>
        <v>0</v>
      </c>
      <c r="AO265" s="2">
        <f>COUNTIFS(集計用!$G263,"*, "&amp;AO$3&amp;", *")</f>
        <v>0</v>
      </c>
      <c r="AP265" s="2">
        <f>COUNTIFS(集計用!$G263,"*, "&amp;AP$3&amp;", *")</f>
        <v>0</v>
      </c>
      <c r="AQ265" s="2">
        <f>COUNTIFS(集計用!$G263,"*, "&amp;AQ$3&amp;", *")</f>
        <v>0</v>
      </c>
      <c r="AR265" s="2">
        <f>COUNTIFS(集計用!$G263,"*, "&amp;AR$3&amp;", *")</f>
        <v>0</v>
      </c>
      <c r="AS265" s="2">
        <f>COUNTIFS(集計用!$G263,"*, "&amp;AS$3&amp;", *")</f>
        <v>0</v>
      </c>
      <c r="AT265" s="2">
        <f>COUNTIFS(集計用!$G263,"*, "&amp;AT$3&amp;", *")</f>
        <v>0</v>
      </c>
      <c r="AU265" s="2">
        <f>COUNTIFS(集計用!$G263,"*, "&amp;AU$3&amp;", *")</f>
        <v>0</v>
      </c>
      <c r="AV265" s="2">
        <f>COUNTIFS(集計用!$G263,"*, "&amp;AV$3&amp;", *")</f>
        <v>0</v>
      </c>
      <c r="AW265" s="2">
        <f>COUNTIFS(集計用!$G263,"*, "&amp;AW$3&amp;", *")</f>
        <v>0</v>
      </c>
      <c r="AX265" s="2">
        <f>COUNTIFS(集計用!$G263,"*, "&amp;AX$3&amp;", *")</f>
        <v>0</v>
      </c>
      <c r="AY265" s="2">
        <f>COUNTIFS(集計用!$G263,"*, "&amp;AY$3&amp;", *")</f>
        <v>0</v>
      </c>
      <c r="AZ265" s="2">
        <f>COUNTIFS(集計用!$G263,"*, "&amp;AZ$3&amp;", *")</f>
        <v>0</v>
      </c>
      <c r="BA265" s="2">
        <f>COUNTIFS(集計用!$G263,"*, "&amp;BA$3&amp;", *")</f>
        <v>0</v>
      </c>
      <c r="BB265" s="2">
        <f>COUNTIFS(集計用!$G263,"*, "&amp;BB$3&amp;", *")</f>
        <v>0</v>
      </c>
      <c r="BC265" s="2">
        <f>COUNTIFS(集計用!$G263,"*, "&amp;BC$3&amp;", *")</f>
        <v>0</v>
      </c>
      <c r="BD265" s="2">
        <f>COUNTIFS(集計用!$G263,"*, "&amp;BD$3&amp;", *")</f>
        <v>0</v>
      </c>
      <c r="BE265" s="2">
        <f>COUNTIFS(集計用!$G263,"*, "&amp;BE$3&amp;", *")</f>
        <v>0</v>
      </c>
      <c r="BF265" s="2">
        <f>COUNTIFS(集計用!$G263,"*, "&amp;BF$3&amp;", *")</f>
        <v>0</v>
      </c>
      <c r="BG265" s="2">
        <f>COUNTIFS(集計用!$G263,"*, "&amp;BG$3&amp;", *")</f>
        <v>0</v>
      </c>
      <c r="BH265" s="2">
        <f>COUNTIFS(集計用!$G263,"*, "&amp;BH$3&amp;", *")</f>
        <v>0</v>
      </c>
      <c r="BI265" s="2">
        <f>COUNTIFS(集計用!$G263,"*, "&amp;BI$3&amp;", *")</f>
        <v>0</v>
      </c>
      <c r="BJ265" s="2">
        <f>LEN(集計用!H263)-LEN(SUBSTITUTE(集計用!H263,",",""))</f>
        <v>0</v>
      </c>
    </row>
    <row r="266" spans="1:62" ht="12.75">
      <c r="A266" s="8">
        <v>263</v>
      </c>
      <c r="C266" s="2">
        <f t="shared" si="3"/>
        <v>2</v>
      </c>
      <c r="D266" s="9"/>
      <c r="E266" s="2">
        <f>COUNTIFS(集計用!$G264,"*, "&amp;E$3&amp;", *")</f>
        <v>1</v>
      </c>
      <c r="F266" s="2">
        <f>COUNTIFS(集計用!$G264,"*, "&amp;F$3&amp;", *")</f>
        <v>0</v>
      </c>
      <c r="G266" s="2">
        <f>COUNTIFS(集計用!$G264,"*, "&amp;G$3&amp;", *")</f>
        <v>0</v>
      </c>
      <c r="H266" s="2">
        <f>COUNTIFS(集計用!$G264,"*, "&amp;H$3&amp;", *")</f>
        <v>0</v>
      </c>
      <c r="I266" s="2">
        <f>COUNTIFS(集計用!$G264,"*, "&amp;I$3&amp;", *")</f>
        <v>0</v>
      </c>
      <c r="J266" s="2">
        <f>COUNTIFS(集計用!$G264,"*, "&amp;J$3&amp;", *")</f>
        <v>0</v>
      </c>
      <c r="K266" s="2">
        <f>COUNTIFS(集計用!$G264,"*, "&amp;K$3&amp;", *")</f>
        <v>0</v>
      </c>
      <c r="L266" s="2">
        <f>COUNTIFS(集計用!$G264,"*, "&amp;L$3&amp;", *")</f>
        <v>0</v>
      </c>
      <c r="M266" s="2">
        <f>COUNTIFS(集計用!$G264,"*, "&amp;M$3&amp;", *")</f>
        <v>1</v>
      </c>
      <c r="N266" s="2">
        <f>COUNTIFS(集計用!$G264,"*, "&amp;N$3&amp;", *")</f>
        <v>0</v>
      </c>
      <c r="O266" s="2">
        <f>COUNTIFS(集計用!$G264,"*, "&amp;O$3&amp;", *")</f>
        <v>0</v>
      </c>
      <c r="P266" s="2">
        <f>COUNTIFS(集計用!$G264,"*, "&amp;P$3&amp;", *")</f>
        <v>0</v>
      </c>
      <c r="Q266" s="2">
        <f>COUNTIFS(集計用!$G264,"*, "&amp;Q$3&amp;", *")</f>
        <v>0</v>
      </c>
      <c r="R266" s="2">
        <f>COUNTIFS(集計用!$G264,"*, "&amp;R$3&amp;", *")</f>
        <v>0</v>
      </c>
      <c r="S266" s="2">
        <f>COUNTIFS(集計用!$G264,"*, "&amp;S$3&amp;", *")</f>
        <v>0</v>
      </c>
      <c r="T266" s="2">
        <f>COUNTIFS(集計用!$G264,"*, "&amp;T$3&amp;", *")</f>
        <v>0</v>
      </c>
      <c r="U266" s="2">
        <f>COUNTIFS(集計用!$G264,"*, "&amp;U$3&amp;", *")</f>
        <v>0</v>
      </c>
      <c r="V266" s="2">
        <f>COUNTIFS(集計用!$G264,"*, "&amp;V$3&amp;", *")</f>
        <v>0</v>
      </c>
      <c r="W266" s="2">
        <f>COUNTIFS(集計用!$G264,"*, "&amp;W$3&amp;", *")</f>
        <v>0</v>
      </c>
      <c r="X266" s="2">
        <f>COUNTIFS(集計用!$G264,"*, "&amp;X$3&amp;", *")</f>
        <v>0</v>
      </c>
      <c r="Y266" s="2">
        <f>COUNTIFS(集計用!$G264,"*, "&amp;Y$3&amp;", *")</f>
        <v>0</v>
      </c>
      <c r="Z266" s="2">
        <f>COUNTIFS(集計用!$G264,"*, "&amp;Z$3&amp;", *")</f>
        <v>0</v>
      </c>
      <c r="AA266" s="2">
        <f>COUNTIFS(集計用!$G264,"*, "&amp;AA$3&amp;", *")</f>
        <v>0</v>
      </c>
      <c r="AB266" s="2">
        <f>COUNTIFS(集計用!$G264,"*, "&amp;AB$3&amp;", *")</f>
        <v>0</v>
      </c>
      <c r="AC266" s="2">
        <f>COUNTIFS(集計用!$G264,"*, "&amp;AC$3&amp;", *")</f>
        <v>0</v>
      </c>
      <c r="AD266" s="2">
        <f>COUNTIFS(集計用!$G264,"*, "&amp;AD$3&amp;", *")</f>
        <v>0</v>
      </c>
      <c r="AE266" s="2">
        <f>COUNTIFS(集計用!$G264,"*, "&amp;AE$3&amp;", *")</f>
        <v>0</v>
      </c>
      <c r="AF266" s="2">
        <f>COUNTIFS(集計用!$G264,"*, "&amp;AF$3&amp;", *")</f>
        <v>0</v>
      </c>
      <c r="AG266" s="2">
        <f>COUNTIFS(集計用!$G264,"*, "&amp;AG$3&amp;", *")</f>
        <v>0</v>
      </c>
      <c r="AH266" s="2">
        <f>COUNTIFS(集計用!$G264,"*, "&amp;AH$3&amp;", *")</f>
        <v>0</v>
      </c>
      <c r="AI266" s="2">
        <f>COUNTIFS(集計用!$G264,"*, "&amp;AI$3&amp;", *")</f>
        <v>0</v>
      </c>
      <c r="AJ266" s="2">
        <f>COUNTIFS(集計用!$G264,"*, "&amp;AJ$3&amp;", *")</f>
        <v>0</v>
      </c>
      <c r="AK266" s="2">
        <f>COUNTIFS(集計用!$G264,"*, "&amp;AK$3&amp;", *")</f>
        <v>0</v>
      </c>
      <c r="AL266" s="2">
        <f>COUNTIFS(集計用!$G264,"*, "&amp;AL$3&amp;", *")</f>
        <v>0</v>
      </c>
      <c r="AM266" s="2">
        <f>COUNTIFS(集計用!$G264,"*, "&amp;AM$3&amp;", *")</f>
        <v>0</v>
      </c>
      <c r="AN266" s="2">
        <f>COUNTIFS(集計用!$G264,"*, "&amp;AN$3&amp;", *")</f>
        <v>0</v>
      </c>
      <c r="AO266" s="2">
        <f>COUNTIFS(集計用!$G264,"*, "&amp;AO$3&amp;", *")</f>
        <v>0</v>
      </c>
      <c r="AP266" s="2">
        <f>COUNTIFS(集計用!$G264,"*, "&amp;AP$3&amp;", *")</f>
        <v>0</v>
      </c>
      <c r="AQ266" s="2">
        <f>COUNTIFS(集計用!$G264,"*, "&amp;AQ$3&amp;", *")</f>
        <v>0</v>
      </c>
      <c r="AR266" s="2">
        <f>COUNTIFS(集計用!$G264,"*, "&amp;AR$3&amp;", *")</f>
        <v>0</v>
      </c>
      <c r="AS266" s="2">
        <f>COUNTIFS(集計用!$G264,"*, "&amp;AS$3&amp;", *")</f>
        <v>0</v>
      </c>
      <c r="AT266" s="2">
        <f>COUNTIFS(集計用!$G264,"*, "&amp;AT$3&amp;", *")</f>
        <v>0</v>
      </c>
      <c r="AU266" s="2">
        <f>COUNTIFS(集計用!$G264,"*, "&amp;AU$3&amp;", *")</f>
        <v>0</v>
      </c>
      <c r="AV266" s="2">
        <f>COUNTIFS(集計用!$G264,"*, "&amp;AV$3&amp;", *")</f>
        <v>0</v>
      </c>
      <c r="AW266" s="2">
        <f>COUNTIFS(集計用!$G264,"*, "&amp;AW$3&amp;", *")</f>
        <v>0</v>
      </c>
      <c r="AX266" s="2">
        <f>COUNTIFS(集計用!$G264,"*, "&amp;AX$3&amp;", *")</f>
        <v>0</v>
      </c>
      <c r="AY266" s="2">
        <f>COUNTIFS(集計用!$G264,"*, "&amp;AY$3&amp;", *")</f>
        <v>0</v>
      </c>
      <c r="AZ266" s="2">
        <f>COUNTIFS(集計用!$G264,"*, "&amp;AZ$3&amp;", *")</f>
        <v>0</v>
      </c>
      <c r="BA266" s="2">
        <f>COUNTIFS(集計用!$G264,"*, "&amp;BA$3&amp;", *")</f>
        <v>0</v>
      </c>
      <c r="BB266" s="2">
        <f>COUNTIFS(集計用!$G264,"*, "&amp;BB$3&amp;", *")</f>
        <v>0</v>
      </c>
      <c r="BC266" s="2">
        <f>COUNTIFS(集計用!$G264,"*, "&amp;BC$3&amp;", *")</f>
        <v>0</v>
      </c>
      <c r="BD266" s="2">
        <f>COUNTIFS(集計用!$G264,"*, "&amp;BD$3&amp;", *")</f>
        <v>0</v>
      </c>
      <c r="BE266" s="2">
        <f>COUNTIFS(集計用!$G264,"*, "&amp;BE$3&amp;", *")</f>
        <v>0</v>
      </c>
      <c r="BF266" s="2">
        <f>COUNTIFS(集計用!$G264,"*, "&amp;BF$3&amp;", *")</f>
        <v>0</v>
      </c>
      <c r="BG266" s="2">
        <f>COUNTIFS(集計用!$G264,"*, "&amp;BG$3&amp;", *")</f>
        <v>0</v>
      </c>
      <c r="BH266" s="2">
        <f>COUNTIFS(集計用!$G264,"*, "&amp;BH$3&amp;", *")</f>
        <v>0</v>
      </c>
      <c r="BI266" s="2">
        <f>COUNTIFS(集計用!$G264,"*, "&amp;BI$3&amp;", *")</f>
        <v>0</v>
      </c>
      <c r="BJ266" s="2">
        <f>LEN(集計用!H264)-LEN(SUBSTITUTE(集計用!H264,",",""))</f>
        <v>0</v>
      </c>
    </row>
    <row r="267" spans="1:62" ht="12.75">
      <c r="A267" s="8">
        <v>264</v>
      </c>
      <c r="C267" s="2">
        <f t="shared" si="3"/>
        <v>2</v>
      </c>
      <c r="D267" s="9"/>
      <c r="E267" s="2">
        <f>COUNTIFS(集計用!$G265,"*, "&amp;E$3&amp;", *")</f>
        <v>1</v>
      </c>
      <c r="F267" s="2">
        <f>COUNTIFS(集計用!$G265,"*, "&amp;F$3&amp;", *")</f>
        <v>0</v>
      </c>
      <c r="G267" s="2">
        <f>COUNTIFS(集計用!$G265,"*, "&amp;G$3&amp;", *")</f>
        <v>0</v>
      </c>
      <c r="H267" s="2">
        <f>COUNTIFS(集計用!$G265,"*, "&amp;H$3&amp;", *")</f>
        <v>1</v>
      </c>
      <c r="I267" s="2">
        <f>COUNTIFS(集計用!$G265,"*, "&amp;I$3&amp;", *")</f>
        <v>0</v>
      </c>
      <c r="J267" s="2">
        <f>COUNTIFS(集計用!$G265,"*, "&amp;J$3&amp;", *")</f>
        <v>0</v>
      </c>
      <c r="K267" s="2">
        <f>COUNTIFS(集計用!$G265,"*, "&amp;K$3&amp;", *")</f>
        <v>0</v>
      </c>
      <c r="L267" s="2">
        <f>COUNTIFS(集計用!$G265,"*, "&amp;L$3&amp;", *")</f>
        <v>0</v>
      </c>
      <c r="M267" s="2">
        <f>COUNTIFS(集計用!$G265,"*, "&amp;M$3&amp;", *")</f>
        <v>0</v>
      </c>
      <c r="N267" s="2">
        <f>COUNTIFS(集計用!$G265,"*, "&amp;N$3&amp;", *")</f>
        <v>0</v>
      </c>
      <c r="O267" s="2">
        <f>COUNTIFS(集計用!$G265,"*, "&amp;O$3&amp;", *")</f>
        <v>0</v>
      </c>
      <c r="P267" s="2">
        <f>COUNTIFS(集計用!$G265,"*, "&amp;P$3&amp;", *")</f>
        <v>0</v>
      </c>
      <c r="Q267" s="2">
        <f>COUNTIFS(集計用!$G265,"*, "&amp;Q$3&amp;", *")</f>
        <v>0</v>
      </c>
      <c r="R267" s="2">
        <f>COUNTIFS(集計用!$G265,"*, "&amp;R$3&amp;", *")</f>
        <v>0</v>
      </c>
      <c r="S267" s="2">
        <f>COUNTIFS(集計用!$G265,"*, "&amp;S$3&amp;", *")</f>
        <v>0</v>
      </c>
      <c r="T267" s="2">
        <f>COUNTIFS(集計用!$G265,"*, "&amp;T$3&amp;", *")</f>
        <v>0</v>
      </c>
      <c r="U267" s="2">
        <f>COUNTIFS(集計用!$G265,"*, "&amp;U$3&amp;", *")</f>
        <v>0</v>
      </c>
      <c r="V267" s="2">
        <f>COUNTIFS(集計用!$G265,"*, "&amp;V$3&amp;", *")</f>
        <v>0</v>
      </c>
      <c r="W267" s="2">
        <f>COUNTIFS(集計用!$G265,"*, "&amp;W$3&amp;", *")</f>
        <v>0</v>
      </c>
      <c r="X267" s="2">
        <f>COUNTIFS(集計用!$G265,"*, "&amp;X$3&amp;", *")</f>
        <v>0</v>
      </c>
      <c r="Y267" s="2">
        <f>COUNTIFS(集計用!$G265,"*, "&amp;Y$3&amp;", *")</f>
        <v>0</v>
      </c>
      <c r="Z267" s="2">
        <f>COUNTIFS(集計用!$G265,"*, "&amp;Z$3&amp;", *")</f>
        <v>0</v>
      </c>
      <c r="AA267" s="2">
        <f>COUNTIFS(集計用!$G265,"*, "&amp;AA$3&amp;", *")</f>
        <v>0</v>
      </c>
      <c r="AB267" s="2">
        <f>COUNTIFS(集計用!$G265,"*, "&amp;AB$3&amp;", *")</f>
        <v>0</v>
      </c>
      <c r="AC267" s="2">
        <f>COUNTIFS(集計用!$G265,"*, "&amp;AC$3&amp;", *")</f>
        <v>0</v>
      </c>
      <c r="AD267" s="2">
        <f>COUNTIFS(集計用!$G265,"*, "&amp;AD$3&amp;", *")</f>
        <v>0</v>
      </c>
      <c r="AE267" s="2">
        <f>COUNTIFS(集計用!$G265,"*, "&amp;AE$3&amp;", *")</f>
        <v>0</v>
      </c>
      <c r="AF267" s="2">
        <f>COUNTIFS(集計用!$G265,"*, "&amp;AF$3&amp;", *")</f>
        <v>0</v>
      </c>
      <c r="AG267" s="2">
        <f>COUNTIFS(集計用!$G265,"*, "&amp;AG$3&amp;", *")</f>
        <v>0</v>
      </c>
      <c r="AH267" s="2">
        <f>COUNTIFS(集計用!$G265,"*, "&amp;AH$3&amp;", *")</f>
        <v>0</v>
      </c>
      <c r="AI267" s="2">
        <f>COUNTIFS(集計用!$G265,"*, "&amp;AI$3&amp;", *")</f>
        <v>0</v>
      </c>
      <c r="AJ267" s="2">
        <f>COUNTIFS(集計用!$G265,"*, "&amp;AJ$3&amp;", *")</f>
        <v>0</v>
      </c>
      <c r="AK267" s="2">
        <f>COUNTIFS(集計用!$G265,"*, "&amp;AK$3&amp;", *")</f>
        <v>0</v>
      </c>
      <c r="AL267" s="2">
        <f>COUNTIFS(集計用!$G265,"*, "&amp;AL$3&amp;", *")</f>
        <v>0</v>
      </c>
      <c r="AM267" s="2">
        <f>COUNTIFS(集計用!$G265,"*, "&amp;AM$3&amp;", *")</f>
        <v>0</v>
      </c>
      <c r="AN267" s="2">
        <f>COUNTIFS(集計用!$G265,"*, "&amp;AN$3&amp;", *")</f>
        <v>0</v>
      </c>
      <c r="AO267" s="2">
        <f>COUNTIFS(集計用!$G265,"*, "&amp;AO$3&amp;", *")</f>
        <v>0</v>
      </c>
      <c r="AP267" s="2">
        <f>COUNTIFS(集計用!$G265,"*, "&amp;AP$3&amp;", *")</f>
        <v>0</v>
      </c>
      <c r="AQ267" s="2">
        <f>COUNTIFS(集計用!$G265,"*, "&amp;AQ$3&amp;", *")</f>
        <v>0</v>
      </c>
      <c r="AR267" s="2">
        <f>COUNTIFS(集計用!$G265,"*, "&amp;AR$3&amp;", *")</f>
        <v>0</v>
      </c>
      <c r="AS267" s="2">
        <f>COUNTIFS(集計用!$G265,"*, "&amp;AS$3&amp;", *")</f>
        <v>0</v>
      </c>
      <c r="AT267" s="2">
        <f>COUNTIFS(集計用!$G265,"*, "&amp;AT$3&amp;", *")</f>
        <v>0</v>
      </c>
      <c r="AU267" s="2">
        <f>COUNTIFS(集計用!$G265,"*, "&amp;AU$3&amp;", *")</f>
        <v>0</v>
      </c>
      <c r="AV267" s="2">
        <f>COUNTIFS(集計用!$G265,"*, "&amp;AV$3&amp;", *")</f>
        <v>0</v>
      </c>
      <c r="AW267" s="2">
        <f>COUNTIFS(集計用!$G265,"*, "&amp;AW$3&amp;", *")</f>
        <v>0</v>
      </c>
      <c r="AX267" s="2">
        <f>COUNTIFS(集計用!$G265,"*, "&amp;AX$3&amp;", *")</f>
        <v>0</v>
      </c>
      <c r="AY267" s="2">
        <f>COUNTIFS(集計用!$G265,"*, "&amp;AY$3&amp;", *")</f>
        <v>0</v>
      </c>
      <c r="AZ267" s="2">
        <f>COUNTIFS(集計用!$G265,"*, "&amp;AZ$3&amp;", *")</f>
        <v>0</v>
      </c>
      <c r="BA267" s="2">
        <f>COUNTIFS(集計用!$G265,"*, "&amp;BA$3&amp;", *")</f>
        <v>0</v>
      </c>
      <c r="BB267" s="2">
        <f>COUNTIFS(集計用!$G265,"*, "&amp;BB$3&amp;", *")</f>
        <v>0</v>
      </c>
      <c r="BC267" s="2">
        <f>COUNTIFS(集計用!$G265,"*, "&amp;BC$3&amp;", *")</f>
        <v>0</v>
      </c>
      <c r="BD267" s="2">
        <f>COUNTIFS(集計用!$G265,"*, "&amp;BD$3&amp;", *")</f>
        <v>0</v>
      </c>
      <c r="BE267" s="2">
        <f>COUNTIFS(集計用!$G265,"*, "&amp;BE$3&amp;", *")</f>
        <v>0</v>
      </c>
      <c r="BF267" s="2">
        <f>COUNTIFS(集計用!$G265,"*, "&amp;BF$3&amp;", *")</f>
        <v>0</v>
      </c>
      <c r="BG267" s="2">
        <f>COUNTIFS(集計用!$G265,"*, "&amp;BG$3&amp;", *")</f>
        <v>0</v>
      </c>
      <c r="BH267" s="2">
        <f>COUNTIFS(集計用!$G265,"*, "&amp;BH$3&amp;", *")</f>
        <v>0</v>
      </c>
      <c r="BI267" s="2">
        <f>COUNTIFS(集計用!$G265,"*, "&amp;BI$3&amp;", *")</f>
        <v>0</v>
      </c>
      <c r="BJ267" s="2">
        <f>LEN(集計用!H265)-LEN(SUBSTITUTE(集計用!H265,",",""))</f>
        <v>0</v>
      </c>
    </row>
    <row r="268" spans="1:62" ht="12.75">
      <c r="A268" s="8">
        <v>265</v>
      </c>
      <c r="C268" s="2">
        <f t="shared" si="3"/>
        <v>2</v>
      </c>
      <c r="D268" s="9"/>
      <c r="E268" s="2">
        <f>COUNTIFS(集計用!$G266,"*, "&amp;E$3&amp;", *")</f>
        <v>0</v>
      </c>
      <c r="F268" s="2">
        <f>COUNTIFS(集計用!$G266,"*, "&amp;F$3&amp;", *")</f>
        <v>0</v>
      </c>
      <c r="G268" s="2">
        <f>COUNTIFS(集計用!$G266,"*, "&amp;G$3&amp;", *")</f>
        <v>0</v>
      </c>
      <c r="H268" s="2">
        <f>COUNTIFS(集計用!$G266,"*, "&amp;H$3&amp;", *")</f>
        <v>0</v>
      </c>
      <c r="I268" s="2">
        <f>COUNTIFS(集計用!$G266,"*, "&amp;I$3&amp;", *")</f>
        <v>0</v>
      </c>
      <c r="J268" s="2">
        <f>COUNTIFS(集計用!$G266,"*, "&amp;J$3&amp;", *")</f>
        <v>0</v>
      </c>
      <c r="K268" s="2">
        <f>COUNTIFS(集計用!$G266,"*, "&amp;K$3&amp;", *")</f>
        <v>0</v>
      </c>
      <c r="L268" s="2">
        <f>COUNTIFS(集計用!$G266,"*, "&amp;L$3&amp;", *")</f>
        <v>1</v>
      </c>
      <c r="M268" s="2">
        <f>COUNTIFS(集計用!$G266,"*, "&amp;M$3&amp;", *")</f>
        <v>0</v>
      </c>
      <c r="N268" s="2">
        <f>COUNTIFS(集計用!$G266,"*, "&amp;N$3&amp;", *")</f>
        <v>0</v>
      </c>
      <c r="O268" s="2">
        <f>COUNTIFS(集計用!$G266,"*, "&amp;O$3&amp;", *")</f>
        <v>0</v>
      </c>
      <c r="P268" s="2">
        <f>COUNTIFS(集計用!$G266,"*, "&amp;P$3&amp;", *")</f>
        <v>0</v>
      </c>
      <c r="Q268" s="2">
        <f>COUNTIFS(集計用!$G266,"*, "&amp;Q$3&amp;", *")</f>
        <v>1</v>
      </c>
      <c r="R268" s="2">
        <f>COUNTIFS(集計用!$G266,"*, "&amp;R$3&amp;", *")</f>
        <v>0</v>
      </c>
      <c r="S268" s="2">
        <f>COUNTIFS(集計用!$G266,"*, "&amp;S$3&amp;", *")</f>
        <v>0</v>
      </c>
      <c r="T268" s="2">
        <f>COUNTIFS(集計用!$G266,"*, "&amp;T$3&amp;", *")</f>
        <v>0</v>
      </c>
      <c r="U268" s="2">
        <f>COUNTIFS(集計用!$G266,"*, "&amp;U$3&amp;", *")</f>
        <v>0</v>
      </c>
      <c r="V268" s="2">
        <f>COUNTIFS(集計用!$G266,"*, "&amp;V$3&amp;", *")</f>
        <v>0</v>
      </c>
      <c r="W268" s="2">
        <f>COUNTIFS(集計用!$G266,"*, "&amp;W$3&amp;", *")</f>
        <v>0</v>
      </c>
      <c r="X268" s="2">
        <f>COUNTIFS(集計用!$G266,"*, "&amp;X$3&amp;", *")</f>
        <v>0</v>
      </c>
      <c r="Y268" s="2">
        <f>COUNTIFS(集計用!$G266,"*, "&amp;Y$3&amp;", *")</f>
        <v>0</v>
      </c>
      <c r="Z268" s="2">
        <f>COUNTIFS(集計用!$G266,"*, "&amp;Z$3&amp;", *")</f>
        <v>0</v>
      </c>
      <c r="AA268" s="2">
        <f>COUNTIFS(集計用!$G266,"*, "&amp;AA$3&amp;", *")</f>
        <v>0</v>
      </c>
      <c r="AB268" s="2">
        <f>COUNTIFS(集計用!$G266,"*, "&amp;AB$3&amp;", *")</f>
        <v>0</v>
      </c>
      <c r="AC268" s="2">
        <f>COUNTIFS(集計用!$G266,"*, "&amp;AC$3&amp;", *")</f>
        <v>0</v>
      </c>
      <c r="AD268" s="2">
        <f>COUNTIFS(集計用!$G266,"*, "&amp;AD$3&amp;", *")</f>
        <v>0</v>
      </c>
      <c r="AE268" s="2">
        <f>COUNTIFS(集計用!$G266,"*, "&amp;AE$3&amp;", *")</f>
        <v>0</v>
      </c>
      <c r="AF268" s="2">
        <f>COUNTIFS(集計用!$G266,"*, "&amp;AF$3&amp;", *")</f>
        <v>0</v>
      </c>
      <c r="AG268" s="2">
        <f>COUNTIFS(集計用!$G266,"*, "&amp;AG$3&amp;", *")</f>
        <v>0</v>
      </c>
      <c r="AH268" s="2">
        <f>COUNTIFS(集計用!$G266,"*, "&amp;AH$3&amp;", *")</f>
        <v>0</v>
      </c>
      <c r="AI268" s="2">
        <f>COUNTIFS(集計用!$G266,"*, "&amp;AI$3&amp;", *")</f>
        <v>0</v>
      </c>
      <c r="AJ268" s="2">
        <f>COUNTIFS(集計用!$G266,"*, "&amp;AJ$3&amp;", *")</f>
        <v>0</v>
      </c>
      <c r="AK268" s="2">
        <f>COUNTIFS(集計用!$G266,"*, "&amp;AK$3&amp;", *")</f>
        <v>0</v>
      </c>
      <c r="AL268" s="2">
        <f>COUNTIFS(集計用!$G266,"*, "&amp;AL$3&amp;", *")</f>
        <v>0</v>
      </c>
      <c r="AM268" s="2">
        <f>COUNTIFS(集計用!$G266,"*, "&amp;AM$3&amp;", *")</f>
        <v>0</v>
      </c>
      <c r="AN268" s="2">
        <f>COUNTIFS(集計用!$G266,"*, "&amp;AN$3&amp;", *")</f>
        <v>0</v>
      </c>
      <c r="AO268" s="2">
        <f>COUNTIFS(集計用!$G266,"*, "&amp;AO$3&amp;", *")</f>
        <v>0</v>
      </c>
      <c r="AP268" s="2">
        <f>COUNTIFS(集計用!$G266,"*, "&amp;AP$3&amp;", *")</f>
        <v>0</v>
      </c>
      <c r="AQ268" s="2">
        <f>COUNTIFS(集計用!$G266,"*, "&amp;AQ$3&amp;", *")</f>
        <v>0</v>
      </c>
      <c r="AR268" s="2">
        <f>COUNTIFS(集計用!$G266,"*, "&amp;AR$3&amp;", *")</f>
        <v>0</v>
      </c>
      <c r="AS268" s="2">
        <f>COUNTIFS(集計用!$G266,"*, "&amp;AS$3&amp;", *")</f>
        <v>0</v>
      </c>
      <c r="AT268" s="2">
        <f>COUNTIFS(集計用!$G266,"*, "&amp;AT$3&amp;", *")</f>
        <v>0</v>
      </c>
      <c r="AU268" s="2">
        <f>COUNTIFS(集計用!$G266,"*, "&amp;AU$3&amp;", *")</f>
        <v>0</v>
      </c>
      <c r="AV268" s="2">
        <f>COUNTIFS(集計用!$G266,"*, "&amp;AV$3&amp;", *")</f>
        <v>0</v>
      </c>
      <c r="AW268" s="2">
        <f>COUNTIFS(集計用!$G266,"*, "&amp;AW$3&amp;", *")</f>
        <v>0</v>
      </c>
      <c r="AX268" s="2">
        <f>COUNTIFS(集計用!$G266,"*, "&amp;AX$3&amp;", *")</f>
        <v>0</v>
      </c>
      <c r="AY268" s="2">
        <f>COUNTIFS(集計用!$G266,"*, "&amp;AY$3&amp;", *")</f>
        <v>0</v>
      </c>
      <c r="AZ268" s="2">
        <f>COUNTIFS(集計用!$G266,"*, "&amp;AZ$3&amp;", *")</f>
        <v>0</v>
      </c>
      <c r="BA268" s="2">
        <f>COUNTIFS(集計用!$G266,"*, "&amp;BA$3&amp;", *")</f>
        <v>0</v>
      </c>
      <c r="BB268" s="2">
        <f>COUNTIFS(集計用!$G266,"*, "&amp;BB$3&amp;", *")</f>
        <v>0</v>
      </c>
      <c r="BC268" s="2">
        <f>COUNTIFS(集計用!$G266,"*, "&amp;BC$3&amp;", *")</f>
        <v>0</v>
      </c>
      <c r="BD268" s="2">
        <f>COUNTIFS(集計用!$G266,"*, "&amp;BD$3&amp;", *")</f>
        <v>0</v>
      </c>
      <c r="BE268" s="2">
        <f>COUNTIFS(集計用!$G266,"*, "&amp;BE$3&amp;", *")</f>
        <v>0</v>
      </c>
      <c r="BF268" s="2">
        <f>COUNTIFS(集計用!$G266,"*, "&amp;BF$3&amp;", *")</f>
        <v>0</v>
      </c>
      <c r="BG268" s="2">
        <f>COUNTIFS(集計用!$G266,"*, "&amp;BG$3&amp;", *")</f>
        <v>0</v>
      </c>
      <c r="BH268" s="2">
        <f>COUNTIFS(集計用!$G266,"*, "&amp;BH$3&amp;", *")</f>
        <v>0</v>
      </c>
      <c r="BI268" s="2">
        <f>COUNTIFS(集計用!$G266,"*, "&amp;BI$3&amp;", *")</f>
        <v>0</v>
      </c>
      <c r="BJ268" s="2">
        <f>LEN(集計用!H266)-LEN(SUBSTITUTE(集計用!H266,",",""))</f>
        <v>0</v>
      </c>
    </row>
    <row r="269" spans="1:62" ht="12.75">
      <c r="A269" s="8">
        <v>266</v>
      </c>
      <c r="C269" s="2">
        <f t="shared" si="3"/>
        <v>1</v>
      </c>
      <c r="D269" s="9"/>
      <c r="E269" s="2">
        <f>COUNTIFS(集計用!$G267,"*, "&amp;E$3&amp;", *")</f>
        <v>0</v>
      </c>
      <c r="F269" s="2">
        <f>COUNTIFS(集計用!$G267,"*, "&amp;F$3&amp;", *")</f>
        <v>0</v>
      </c>
      <c r="G269" s="2">
        <f>COUNTIFS(集計用!$G267,"*, "&amp;G$3&amp;", *")</f>
        <v>0</v>
      </c>
      <c r="H269" s="2">
        <f>COUNTIFS(集計用!$G267,"*, "&amp;H$3&amp;", *")</f>
        <v>1</v>
      </c>
      <c r="I269" s="2">
        <f>COUNTIFS(集計用!$G267,"*, "&amp;I$3&amp;", *")</f>
        <v>0</v>
      </c>
      <c r="J269" s="2">
        <f>COUNTIFS(集計用!$G267,"*, "&amp;J$3&amp;", *")</f>
        <v>0</v>
      </c>
      <c r="K269" s="2">
        <f>COUNTIFS(集計用!$G267,"*, "&amp;K$3&amp;", *")</f>
        <v>0</v>
      </c>
      <c r="L269" s="2">
        <f>COUNTIFS(集計用!$G267,"*, "&amp;L$3&amp;", *")</f>
        <v>0</v>
      </c>
      <c r="M269" s="2">
        <f>COUNTIFS(集計用!$G267,"*, "&amp;M$3&amp;", *")</f>
        <v>0</v>
      </c>
      <c r="N269" s="2">
        <f>COUNTIFS(集計用!$G267,"*, "&amp;N$3&amp;", *")</f>
        <v>0</v>
      </c>
      <c r="O269" s="2">
        <f>COUNTIFS(集計用!$G267,"*, "&amp;O$3&amp;", *")</f>
        <v>0</v>
      </c>
      <c r="P269" s="2">
        <f>COUNTIFS(集計用!$G267,"*, "&amp;P$3&amp;", *")</f>
        <v>0</v>
      </c>
      <c r="Q269" s="2">
        <f>COUNTIFS(集計用!$G267,"*, "&amp;Q$3&amp;", *")</f>
        <v>0</v>
      </c>
      <c r="R269" s="2">
        <f>COUNTIFS(集計用!$G267,"*, "&amp;R$3&amp;", *")</f>
        <v>0</v>
      </c>
      <c r="S269" s="2">
        <f>COUNTIFS(集計用!$G267,"*, "&amp;S$3&amp;", *")</f>
        <v>0</v>
      </c>
      <c r="T269" s="2">
        <f>COUNTIFS(集計用!$G267,"*, "&amp;T$3&amp;", *")</f>
        <v>0</v>
      </c>
      <c r="U269" s="2">
        <f>COUNTIFS(集計用!$G267,"*, "&amp;U$3&amp;", *")</f>
        <v>0</v>
      </c>
      <c r="V269" s="2">
        <f>COUNTIFS(集計用!$G267,"*, "&amp;V$3&amp;", *")</f>
        <v>0</v>
      </c>
      <c r="W269" s="2">
        <f>COUNTIFS(集計用!$G267,"*, "&amp;W$3&amp;", *")</f>
        <v>0</v>
      </c>
      <c r="X269" s="2">
        <f>COUNTIFS(集計用!$G267,"*, "&amp;X$3&amp;", *")</f>
        <v>0</v>
      </c>
      <c r="Y269" s="2">
        <f>COUNTIFS(集計用!$G267,"*, "&amp;Y$3&amp;", *")</f>
        <v>0</v>
      </c>
      <c r="Z269" s="2">
        <f>COUNTIFS(集計用!$G267,"*, "&amp;Z$3&amp;", *")</f>
        <v>0</v>
      </c>
      <c r="AA269" s="2">
        <f>COUNTIFS(集計用!$G267,"*, "&amp;AA$3&amp;", *")</f>
        <v>0</v>
      </c>
      <c r="AB269" s="2">
        <f>COUNTIFS(集計用!$G267,"*, "&amp;AB$3&amp;", *")</f>
        <v>0</v>
      </c>
      <c r="AC269" s="2">
        <f>COUNTIFS(集計用!$G267,"*, "&amp;AC$3&amp;", *")</f>
        <v>0</v>
      </c>
      <c r="AD269" s="2">
        <f>COUNTIFS(集計用!$G267,"*, "&amp;AD$3&amp;", *")</f>
        <v>0</v>
      </c>
      <c r="AE269" s="2">
        <f>COUNTIFS(集計用!$G267,"*, "&amp;AE$3&amp;", *")</f>
        <v>0</v>
      </c>
      <c r="AF269" s="2">
        <f>COUNTIFS(集計用!$G267,"*, "&amp;AF$3&amp;", *")</f>
        <v>0</v>
      </c>
      <c r="AG269" s="2">
        <f>COUNTIFS(集計用!$G267,"*, "&amp;AG$3&amp;", *")</f>
        <v>0</v>
      </c>
      <c r="AH269" s="2">
        <f>COUNTIFS(集計用!$G267,"*, "&amp;AH$3&amp;", *")</f>
        <v>0</v>
      </c>
      <c r="AI269" s="2">
        <f>COUNTIFS(集計用!$G267,"*, "&amp;AI$3&amp;", *")</f>
        <v>0</v>
      </c>
      <c r="AJ269" s="2">
        <f>COUNTIFS(集計用!$G267,"*, "&amp;AJ$3&amp;", *")</f>
        <v>0</v>
      </c>
      <c r="AK269" s="2">
        <f>COUNTIFS(集計用!$G267,"*, "&amp;AK$3&amp;", *")</f>
        <v>0</v>
      </c>
      <c r="AL269" s="2">
        <f>COUNTIFS(集計用!$G267,"*, "&amp;AL$3&amp;", *")</f>
        <v>0</v>
      </c>
      <c r="AM269" s="2">
        <f>COUNTIFS(集計用!$G267,"*, "&amp;AM$3&amp;", *")</f>
        <v>0</v>
      </c>
      <c r="AN269" s="2">
        <f>COUNTIFS(集計用!$G267,"*, "&amp;AN$3&amp;", *")</f>
        <v>0</v>
      </c>
      <c r="AO269" s="2">
        <f>COUNTIFS(集計用!$G267,"*, "&amp;AO$3&amp;", *")</f>
        <v>0</v>
      </c>
      <c r="AP269" s="2">
        <f>COUNTIFS(集計用!$G267,"*, "&amp;AP$3&amp;", *")</f>
        <v>0</v>
      </c>
      <c r="AQ269" s="2">
        <f>COUNTIFS(集計用!$G267,"*, "&amp;AQ$3&amp;", *")</f>
        <v>0</v>
      </c>
      <c r="AR269" s="2">
        <f>COUNTIFS(集計用!$G267,"*, "&amp;AR$3&amp;", *")</f>
        <v>0</v>
      </c>
      <c r="AS269" s="2">
        <f>COUNTIFS(集計用!$G267,"*, "&amp;AS$3&amp;", *")</f>
        <v>0</v>
      </c>
      <c r="AT269" s="2">
        <f>COUNTIFS(集計用!$G267,"*, "&amp;AT$3&amp;", *")</f>
        <v>0</v>
      </c>
      <c r="AU269" s="2">
        <f>COUNTIFS(集計用!$G267,"*, "&amp;AU$3&amp;", *")</f>
        <v>0</v>
      </c>
      <c r="AV269" s="2">
        <f>COUNTIFS(集計用!$G267,"*, "&amp;AV$3&amp;", *")</f>
        <v>0</v>
      </c>
      <c r="AW269" s="2">
        <f>COUNTIFS(集計用!$G267,"*, "&amp;AW$3&amp;", *")</f>
        <v>0</v>
      </c>
      <c r="AX269" s="2">
        <f>COUNTIFS(集計用!$G267,"*, "&amp;AX$3&amp;", *")</f>
        <v>0</v>
      </c>
      <c r="AY269" s="2">
        <f>COUNTIFS(集計用!$G267,"*, "&amp;AY$3&amp;", *")</f>
        <v>0</v>
      </c>
      <c r="AZ269" s="2">
        <f>COUNTIFS(集計用!$G267,"*, "&amp;AZ$3&amp;", *")</f>
        <v>0</v>
      </c>
      <c r="BA269" s="2">
        <f>COUNTIFS(集計用!$G267,"*, "&amp;BA$3&amp;", *")</f>
        <v>0</v>
      </c>
      <c r="BB269" s="2">
        <f>COUNTIFS(集計用!$G267,"*, "&amp;BB$3&amp;", *")</f>
        <v>0</v>
      </c>
      <c r="BC269" s="2">
        <f>COUNTIFS(集計用!$G267,"*, "&amp;BC$3&amp;", *")</f>
        <v>0</v>
      </c>
      <c r="BD269" s="2">
        <f>COUNTIFS(集計用!$G267,"*, "&amp;BD$3&amp;", *")</f>
        <v>0</v>
      </c>
      <c r="BE269" s="2">
        <f>COUNTIFS(集計用!$G267,"*, "&amp;BE$3&amp;", *")</f>
        <v>0</v>
      </c>
      <c r="BF269" s="2">
        <f>COUNTIFS(集計用!$G267,"*, "&amp;BF$3&amp;", *")</f>
        <v>0</v>
      </c>
      <c r="BG269" s="2">
        <f>COUNTIFS(集計用!$G267,"*, "&amp;BG$3&amp;", *")</f>
        <v>0</v>
      </c>
      <c r="BH269" s="2">
        <f>COUNTIFS(集計用!$G267,"*, "&amp;BH$3&amp;", *")</f>
        <v>0</v>
      </c>
      <c r="BI269" s="2">
        <f>COUNTIFS(集計用!$G267,"*, "&amp;BI$3&amp;", *")</f>
        <v>0</v>
      </c>
      <c r="BJ269" s="2">
        <f>LEN(集計用!H267)-LEN(SUBSTITUTE(集計用!H267,",",""))</f>
        <v>0</v>
      </c>
    </row>
    <row r="270" spans="1:62" ht="12.75">
      <c r="A270" s="8">
        <v>267</v>
      </c>
      <c r="C270" s="2">
        <f t="shared" si="3"/>
        <v>3</v>
      </c>
      <c r="D270" s="9"/>
      <c r="E270" s="2">
        <f>COUNTIFS(集計用!$G268,"*, "&amp;E$3&amp;", *")</f>
        <v>1</v>
      </c>
      <c r="F270" s="2">
        <f>COUNTIFS(集計用!$G268,"*, "&amp;F$3&amp;", *")</f>
        <v>1</v>
      </c>
      <c r="G270" s="2">
        <f>COUNTIFS(集計用!$G268,"*, "&amp;G$3&amp;", *")</f>
        <v>0</v>
      </c>
      <c r="H270" s="2">
        <f>COUNTIFS(集計用!$G268,"*, "&amp;H$3&amp;", *")</f>
        <v>0</v>
      </c>
      <c r="I270" s="2">
        <f>COUNTIFS(集計用!$G268,"*, "&amp;I$3&amp;", *")</f>
        <v>0</v>
      </c>
      <c r="J270" s="2">
        <f>COUNTIFS(集計用!$G268,"*, "&amp;J$3&amp;", *")</f>
        <v>0</v>
      </c>
      <c r="K270" s="2">
        <f>COUNTIFS(集計用!$G268,"*, "&amp;K$3&amp;", *")</f>
        <v>0</v>
      </c>
      <c r="L270" s="2">
        <f>COUNTIFS(集計用!$G268,"*, "&amp;L$3&amp;", *")</f>
        <v>0</v>
      </c>
      <c r="M270" s="2">
        <f>COUNTIFS(集計用!$G268,"*, "&amp;M$3&amp;", *")</f>
        <v>0</v>
      </c>
      <c r="N270" s="2">
        <f>COUNTIFS(集計用!$G268,"*, "&amp;N$3&amp;", *")</f>
        <v>0</v>
      </c>
      <c r="O270" s="2">
        <f>COUNTIFS(集計用!$G268,"*, "&amp;O$3&amp;", *")</f>
        <v>0</v>
      </c>
      <c r="P270" s="2">
        <f>COUNTIFS(集計用!$G268,"*, "&amp;P$3&amp;", *")</f>
        <v>0</v>
      </c>
      <c r="Q270" s="2">
        <f>COUNTIFS(集計用!$G268,"*, "&amp;Q$3&amp;", *")</f>
        <v>0</v>
      </c>
      <c r="R270" s="2">
        <f>COUNTIFS(集計用!$G268,"*, "&amp;R$3&amp;", *")</f>
        <v>0</v>
      </c>
      <c r="S270" s="2">
        <f>COUNTIFS(集計用!$G268,"*, "&amp;S$3&amp;", *")</f>
        <v>0</v>
      </c>
      <c r="T270" s="2">
        <f>COUNTIFS(集計用!$G268,"*, "&amp;T$3&amp;", *")</f>
        <v>0</v>
      </c>
      <c r="U270" s="2">
        <f>COUNTIFS(集計用!$G268,"*, "&amp;U$3&amp;", *")</f>
        <v>0</v>
      </c>
      <c r="V270" s="2">
        <f>COUNTIFS(集計用!$G268,"*, "&amp;V$3&amp;", *")</f>
        <v>0</v>
      </c>
      <c r="W270" s="2">
        <f>COUNTIFS(集計用!$G268,"*, "&amp;W$3&amp;", *")</f>
        <v>0</v>
      </c>
      <c r="X270" s="2">
        <f>COUNTIFS(集計用!$G268,"*, "&amp;X$3&amp;", *")</f>
        <v>0</v>
      </c>
      <c r="Y270" s="2">
        <f>COUNTIFS(集計用!$G268,"*, "&amp;Y$3&amp;", *")</f>
        <v>0</v>
      </c>
      <c r="Z270" s="2">
        <f>COUNTIFS(集計用!$G268,"*, "&amp;Z$3&amp;", *")</f>
        <v>0</v>
      </c>
      <c r="AA270" s="2">
        <f>COUNTIFS(集計用!$G268,"*, "&amp;AA$3&amp;", *")</f>
        <v>0</v>
      </c>
      <c r="AB270" s="2">
        <f>COUNTIFS(集計用!$G268,"*, "&amp;AB$3&amp;", *")</f>
        <v>0</v>
      </c>
      <c r="AC270" s="2">
        <f>COUNTIFS(集計用!$G268,"*, "&amp;AC$3&amp;", *")</f>
        <v>0</v>
      </c>
      <c r="AD270" s="2">
        <f>COUNTIFS(集計用!$G268,"*, "&amp;AD$3&amp;", *")</f>
        <v>0</v>
      </c>
      <c r="AE270" s="2">
        <f>COUNTIFS(集計用!$G268,"*, "&amp;AE$3&amp;", *")</f>
        <v>0</v>
      </c>
      <c r="AF270" s="2">
        <f>COUNTIFS(集計用!$G268,"*, "&amp;AF$3&amp;", *")</f>
        <v>0</v>
      </c>
      <c r="AG270" s="2">
        <f>COUNTIFS(集計用!$G268,"*, "&amp;AG$3&amp;", *")</f>
        <v>0</v>
      </c>
      <c r="AH270" s="2">
        <f>COUNTIFS(集計用!$G268,"*, "&amp;AH$3&amp;", *")</f>
        <v>0</v>
      </c>
      <c r="AI270" s="2">
        <f>COUNTIFS(集計用!$G268,"*, "&amp;AI$3&amp;", *")</f>
        <v>1</v>
      </c>
      <c r="AJ270" s="2">
        <f>COUNTIFS(集計用!$G268,"*, "&amp;AJ$3&amp;", *")</f>
        <v>0</v>
      </c>
      <c r="AK270" s="2">
        <f>COUNTIFS(集計用!$G268,"*, "&amp;AK$3&amp;", *")</f>
        <v>0</v>
      </c>
      <c r="AL270" s="2">
        <f>COUNTIFS(集計用!$G268,"*, "&amp;AL$3&amp;", *")</f>
        <v>0</v>
      </c>
      <c r="AM270" s="2">
        <f>COUNTIFS(集計用!$G268,"*, "&amp;AM$3&amp;", *")</f>
        <v>0</v>
      </c>
      <c r="AN270" s="2">
        <f>COUNTIFS(集計用!$G268,"*, "&amp;AN$3&amp;", *")</f>
        <v>0</v>
      </c>
      <c r="AO270" s="2">
        <f>COUNTIFS(集計用!$G268,"*, "&amp;AO$3&amp;", *")</f>
        <v>0</v>
      </c>
      <c r="AP270" s="2">
        <f>COUNTIFS(集計用!$G268,"*, "&amp;AP$3&amp;", *")</f>
        <v>0</v>
      </c>
      <c r="AQ270" s="2">
        <f>COUNTIFS(集計用!$G268,"*, "&amp;AQ$3&amp;", *")</f>
        <v>0</v>
      </c>
      <c r="AR270" s="2">
        <f>COUNTIFS(集計用!$G268,"*, "&amp;AR$3&amp;", *")</f>
        <v>0</v>
      </c>
      <c r="AS270" s="2">
        <f>COUNTIFS(集計用!$G268,"*, "&amp;AS$3&amp;", *")</f>
        <v>0</v>
      </c>
      <c r="AT270" s="2">
        <f>COUNTIFS(集計用!$G268,"*, "&amp;AT$3&amp;", *")</f>
        <v>0</v>
      </c>
      <c r="AU270" s="2">
        <f>COUNTIFS(集計用!$G268,"*, "&amp;AU$3&amp;", *")</f>
        <v>0</v>
      </c>
      <c r="AV270" s="2">
        <f>COUNTIFS(集計用!$G268,"*, "&amp;AV$3&amp;", *")</f>
        <v>0</v>
      </c>
      <c r="AW270" s="2">
        <f>COUNTIFS(集計用!$G268,"*, "&amp;AW$3&amp;", *")</f>
        <v>0</v>
      </c>
      <c r="AX270" s="2">
        <f>COUNTIFS(集計用!$G268,"*, "&amp;AX$3&amp;", *")</f>
        <v>0</v>
      </c>
      <c r="AY270" s="2">
        <f>COUNTIFS(集計用!$G268,"*, "&amp;AY$3&amp;", *")</f>
        <v>0</v>
      </c>
      <c r="AZ270" s="2">
        <f>COUNTIFS(集計用!$G268,"*, "&amp;AZ$3&amp;", *")</f>
        <v>0</v>
      </c>
      <c r="BA270" s="2">
        <f>COUNTIFS(集計用!$G268,"*, "&amp;BA$3&amp;", *")</f>
        <v>0</v>
      </c>
      <c r="BB270" s="2">
        <f>COUNTIFS(集計用!$G268,"*, "&amp;BB$3&amp;", *")</f>
        <v>0</v>
      </c>
      <c r="BC270" s="2">
        <f>COUNTIFS(集計用!$G268,"*, "&amp;BC$3&amp;", *")</f>
        <v>0</v>
      </c>
      <c r="BD270" s="2">
        <f>COUNTIFS(集計用!$G268,"*, "&amp;BD$3&amp;", *")</f>
        <v>0</v>
      </c>
      <c r="BE270" s="2">
        <f>COUNTIFS(集計用!$G268,"*, "&amp;BE$3&amp;", *")</f>
        <v>0</v>
      </c>
      <c r="BF270" s="2">
        <f>COUNTIFS(集計用!$G268,"*, "&amp;BF$3&amp;", *")</f>
        <v>0</v>
      </c>
      <c r="BG270" s="2">
        <f>COUNTIFS(集計用!$G268,"*, "&amp;BG$3&amp;", *")</f>
        <v>0</v>
      </c>
      <c r="BH270" s="2">
        <f>COUNTIFS(集計用!$G268,"*, "&amp;BH$3&amp;", *")</f>
        <v>0</v>
      </c>
      <c r="BI270" s="2">
        <f>COUNTIFS(集計用!$G268,"*, "&amp;BI$3&amp;", *")</f>
        <v>0</v>
      </c>
      <c r="BJ270" s="2">
        <f>LEN(集計用!H268)-LEN(SUBSTITUTE(集計用!H268,",",""))</f>
        <v>0</v>
      </c>
    </row>
    <row r="271" spans="1:62" ht="12.75">
      <c r="A271" s="8">
        <v>268</v>
      </c>
      <c r="C271" s="2">
        <f t="shared" si="3"/>
        <v>1</v>
      </c>
      <c r="D271" s="9"/>
      <c r="E271" s="2">
        <f>COUNTIFS(集計用!$G269,"*, "&amp;E$3&amp;", *")</f>
        <v>0</v>
      </c>
      <c r="F271" s="2">
        <f>COUNTIFS(集計用!$G269,"*, "&amp;F$3&amp;", *")</f>
        <v>0</v>
      </c>
      <c r="G271" s="2">
        <f>COUNTIFS(集計用!$G269,"*, "&amp;G$3&amp;", *")</f>
        <v>0</v>
      </c>
      <c r="H271" s="2">
        <f>COUNTIFS(集計用!$G269,"*, "&amp;H$3&amp;", *")</f>
        <v>0</v>
      </c>
      <c r="I271" s="2">
        <f>COUNTIFS(集計用!$G269,"*, "&amp;I$3&amp;", *")</f>
        <v>0</v>
      </c>
      <c r="J271" s="2">
        <f>COUNTIFS(集計用!$G269,"*, "&amp;J$3&amp;", *")</f>
        <v>0</v>
      </c>
      <c r="K271" s="2">
        <f>COUNTIFS(集計用!$G269,"*, "&amp;K$3&amp;", *")</f>
        <v>0</v>
      </c>
      <c r="L271" s="2">
        <f>COUNTIFS(集計用!$G269,"*, "&amp;L$3&amp;", *")</f>
        <v>0</v>
      </c>
      <c r="M271" s="2">
        <f>COUNTIFS(集計用!$G269,"*, "&amp;M$3&amp;", *")</f>
        <v>0</v>
      </c>
      <c r="N271" s="2">
        <f>COUNTIFS(集計用!$G269,"*, "&amp;N$3&amp;", *")</f>
        <v>0</v>
      </c>
      <c r="O271" s="2">
        <f>COUNTIFS(集計用!$G269,"*, "&amp;O$3&amp;", *")</f>
        <v>0</v>
      </c>
      <c r="P271" s="2">
        <f>COUNTIFS(集計用!$G269,"*, "&amp;P$3&amp;", *")</f>
        <v>0</v>
      </c>
      <c r="Q271" s="2">
        <f>COUNTIFS(集計用!$G269,"*, "&amp;Q$3&amp;", *")</f>
        <v>0</v>
      </c>
      <c r="R271" s="2">
        <f>COUNTIFS(集計用!$G269,"*, "&amp;R$3&amp;", *")</f>
        <v>0</v>
      </c>
      <c r="S271" s="2">
        <f>COUNTIFS(集計用!$G269,"*, "&amp;S$3&amp;", *")</f>
        <v>0</v>
      </c>
      <c r="T271" s="2">
        <f>COUNTIFS(集計用!$G269,"*, "&amp;T$3&amp;", *")</f>
        <v>0</v>
      </c>
      <c r="U271" s="2">
        <f>COUNTIFS(集計用!$G269,"*, "&amp;U$3&amp;", *")</f>
        <v>0</v>
      </c>
      <c r="V271" s="2">
        <f>COUNTIFS(集計用!$G269,"*, "&amp;V$3&amp;", *")</f>
        <v>0</v>
      </c>
      <c r="W271" s="2">
        <f>COUNTIFS(集計用!$G269,"*, "&amp;W$3&amp;", *")</f>
        <v>0</v>
      </c>
      <c r="X271" s="2">
        <f>COUNTIFS(集計用!$G269,"*, "&amp;X$3&amp;", *")</f>
        <v>0</v>
      </c>
      <c r="Y271" s="2">
        <f>COUNTIFS(集計用!$G269,"*, "&amp;Y$3&amp;", *")</f>
        <v>0</v>
      </c>
      <c r="Z271" s="2">
        <f>COUNTIFS(集計用!$G269,"*, "&amp;Z$3&amp;", *")</f>
        <v>0</v>
      </c>
      <c r="AA271" s="2">
        <f>COUNTIFS(集計用!$G269,"*, "&amp;AA$3&amp;", *")</f>
        <v>0</v>
      </c>
      <c r="AB271" s="2">
        <f>COUNTIFS(集計用!$G269,"*, "&amp;AB$3&amp;", *")</f>
        <v>0</v>
      </c>
      <c r="AC271" s="2">
        <f>COUNTIFS(集計用!$G269,"*, "&amp;AC$3&amp;", *")</f>
        <v>0</v>
      </c>
      <c r="AD271" s="2">
        <f>COUNTIFS(集計用!$G269,"*, "&amp;AD$3&amp;", *")</f>
        <v>1</v>
      </c>
      <c r="AE271" s="2">
        <f>COUNTIFS(集計用!$G269,"*, "&amp;AE$3&amp;", *")</f>
        <v>0</v>
      </c>
      <c r="AF271" s="2">
        <f>COUNTIFS(集計用!$G269,"*, "&amp;AF$3&amp;", *")</f>
        <v>0</v>
      </c>
      <c r="AG271" s="2">
        <f>COUNTIFS(集計用!$G269,"*, "&amp;AG$3&amp;", *")</f>
        <v>0</v>
      </c>
      <c r="AH271" s="2">
        <f>COUNTIFS(集計用!$G269,"*, "&amp;AH$3&amp;", *")</f>
        <v>0</v>
      </c>
      <c r="AI271" s="2">
        <f>COUNTIFS(集計用!$G269,"*, "&amp;AI$3&amp;", *")</f>
        <v>0</v>
      </c>
      <c r="AJ271" s="2">
        <f>COUNTIFS(集計用!$G269,"*, "&amp;AJ$3&amp;", *")</f>
        <v>0</v>
      </c>
      <c r="AK271" s="2">
        <f>COUNTIFS(集計用!$G269,"*, "&amp;AK$3&amp;", *")</f>
        <v>0</v>
      </c>
      <c r="AL271" s="2">
        <f>COUNTIFS(集計用!$G269,"*, "&amp;AL$3&amp;", *")</f>
        <v>0</v>
      </c>
      <c r="AM271" s="2">
        <f>COUNTIFS(集計用!$G269,"*, "&amp;AM$3&amp;", *")</f>
        <v>0</v>
      </c>
      <c r="AN271" s="2">
        <f>COUNTIFS(集計用!$G269,"*, "&amp;AN$3&amp;", *")</f>
        <v>0</v>
      </c>
      <c r="AO271" s="2">
        <f>COUNTIFS(集計用!$G269,"*, "&amp;AO$3&amp;", *")</f>
        <v>0</v>
      </c>
      <c r="AP271" s="2">
        <f>COUNTIFS(集計用!$G269,"*, "&amp;AP$3&amp;", *")</f>
        <v>0</v>
      </c>
      <c r="AQ271" s="2">
        <f>COUNTIFS(集計用!$G269,"*, "&amp;AQ$3&amp;", *")</f>
        <v>0</v>
      </c>
      <c r="AR271" s="2">
        <f>COUNTIFS(集計用!$G269,"*, "&amp;AR$3&amp;", *")</f>
        <v>0</v>
      </c>
      <c r="AS271" s="2">
        <f>COUNTIFS(集計用!$G269,"*, "&amp;AS$3&amp;", *")</f>
        <v>0</v>
      </c>
      <c r="AT271" s="2">
        <f>COUNTIFS(集計用!$G269,"*, "&amp;AT$3&amp;", *")</f>
        <v>0</v>
      </c>
      <c r="AU271" s="2">
        <f>COUNTIFS(集計用!$G269,"*, "&amp;AU$3&amp;", *")</f>
        <v>0</v>
      </c>
      <c r="AV271" s="2">
        <f>COUNTIFS(集計用!$G269,"*, "&amp;AV$3&amp;", *")</f>
        <v>0</v>
      </c>
      <c r="AW271" s="2">
        <f>COUNTIFS(集計用!$G269,"*, "&amp;AW$3&amp;", *")</f>
        <v>0</v>
      </c>
      <c r="AX271" s="2">
        <f>COUNTIFS(集計用!$G269,"*, "&amp;AX$3&amp;", *")</f>
        <v>0</v>
      </c>
      <c r="AY271" s="2">
        <f>COUNTIFS(集計用!$G269,"*, "&amp;AY$3&amp;", *")</f>
        <v>0</v>
      </c>
      <c r="AZ271" s="2">
        <f>COUNTIFS(集計用!$G269,"*, "&amp;AZ$3&amp;", *")</f>
        <v>0</v>
      </c>
      <c r="BA271" s="2">
        <f>COUNTIFS(集計用!$G269,"*, "&amp;BA$3&amp;", *")</f>
        <v>0</v>
      </c>
      <c r="BB271" s="2">
        <f>COUNTIFS(集計用!$G269,"*, "&amp;BB$3&amp;", *")</f>
        <v>0</v>
      </c>
      <c r="BC271" s="2">
        <f>COUNTIFS(集計用!$G269,"*, "&amp;BC$3&amp;", *")</f>
        <v>0</v>
      </c>
      <c r="BD271" s="2">
        <f>COUNTIFS(集計用!$G269,"*, "&amp;BD$3&amp;", *")</f>
        <v>0</v>
      </c>
      <c r="BE271" s="2">
        <f>COUNTIFS(集計用!$G269,"*, "&amp;BE$3&amp;", *")</f>
        <v>0</v>
      </c>
      <c r="BF271" s="2">
        <f>COUNTIFS(集計用!$G269,"*, "&amp;BF$3&amp;", *")</f>
        <v>0</v>
      </c>
      <c r="BG271" s="2">
        <f>COUNTIFS(集計用!$G269,"*, "&amp;BG$3&amp;", *")</f>
        <v>0</v>
      </c>
      <c r="BH271" s="2">
        <f>COUNTIFS(集計用!$G269,"*, "&amp;BH$3&amp;", *")</f>
        <v>0</v>
      </c>
      <c r="BI271" s="2">
        <f>COUNTIFS(集計用!$G269,"*, "&amp;BI$3&amp;", *")</f>
        <v>0</v>
      </c>
      <c r="BJ271" s="2">
        <f>LEN(集計用!H269)-LEN(SUBSTITUTE(集計用!H269,",",""))</f>
        <v>0</v>
      </c>
    </row>
    <row r="272" spans="1:62" ht="12.75">
      <c r="A272" s="8">
        <v>269</v>
      </c>
      <c r="C272" s="2">
        <f t="shared" si="3"/>
        <v>2</v>
      </c>
      <c r="D272" s="9"/>
      <c r="E272" s="2">
        <f>COUNTIFS(集計用!$G270,"*, "&amp;E$3&amp;", *")</f>
        <v>1</v>
      </c>
      <c r="F272" s="2">
        <f>COUNTIFS(集計用!$G270,"*, "&amp;F$3&amp;", *")</f>
        <v>1</v>
      </c>
      <c r="G272" s="2">
        <f>COUNTIFS(集計用!$G270,"*, "&amp;G$3&amp;", *")</f>
        <v>0</v>
      </c>
      <c r="H272" s="2">
        <f>COUNTIFS(集計用!$G270,"*, "&amp;H$3&amp;", *")</f>
        <v>0</v>
      </c>
      <c r="I272" s="2">
        <f>COUNTIFS(集計用!$G270,"*, "&amp;I$3&amp;", *")</f>
        <v>0</v>
      </c>
      <c r="J272" s="2">
        <f>COUNTIFS(集計用!$G270,"*, "&amp;J$3&amp;", *")</f>
        <v>0</v>
      </c>
      <c r="K272" s="2">
        <f>COUNTIFS(集計用!$G270,"*, "&amp;K$3&amp;", *")</f>
        <v>0</v>
      </c>
      <c r="L272" s="2">
        <f>COUNTIFS(集計用!$G270,"*, "&amp;L$3&amp;", *")</f>
        <v>0</v>
      </c>
      <c r="M272" s="2">
        <f>COUNTIFS(集計用!$G270,"*, "&amp;M$3&amp;", *")</f>
        <v>0</v>
      </c>
      <c r="N272" s="2">
        <f>COUNTIFS(集計用!$G270,"*, "&amp;N$3&amp;", *")</f>
        <v>0</v>
      </c>
      <c r="O272" s="2">
        <f>COUNTIFS(集計用!$G270,"*, "&amp;O$3&amp;", *")</f>
        <v>0</v>
      </c>
      <c r="P272" s="2">
        <f>COUNTIFS(集計用!$G270,"*, "&amp;P$3&amp;", *")</f>
        <v>0</v>
      </c>
      <c r="Q272" s="2">
        <f>COUNTIFS(集計用!$G270,"*, "&amp;Q$3&amp;", *")</f>
        <v>0</v>
      </c>
      <c r="R272" s="2">
        <f>COUNTIFS(集計用!$G270,"*, "&amp;R$3&amp;", *")</f>
        <v>0</v>
      </c>
      <c r="S272" s="2">
        <f>COUNTIFS(集計用!$G270,"*, "&amp;S$3&amp;", *")</f>
        <v>0</v>
      </c>
      <c r="T272" s="2">
        <f>COUNTIFS(集計用!$G270,"*, "&amp;T$3&amp;", *")</f>
        <v>0</v>
      </c>
      <c r="U272" s="2">
        <f>COUNTIFS(集計用!$G270,"*, "&amp;U$3&amp;", *")</f>
        <v>0</v>
      </c>
      <c r="V272" s="2">
        <f>COUNTIFS(集計用!$G270,"*, "&amp;V$3&amp;", *")</f>
        <v>0</v>
      </c>
      <c r="W272" s="2">
        <f>COUNTIFS(集計用!$G270,"*, "&amp;W$3&amp;", *")</f>
        <v>0</v>
      </c>
      <c r="X272" s="2">
        <f>COUNTIFS(集計用!$G270,"*, "&amp;X$3&amp;", *")</f>
        <v>0</v>
      </c>
      <c r="Y272" s="2">
        <f>COUNTIFS(集計用!$G270,"*, "&amp;Y$3&amp;", *")</f>
        <v>0</v>
      </c>
      <c r="Z272" s="2">
        <f>COUNTIFS(集計用!$G270,"*, "&amp;Z$3&amp;", *")</f>
        <v>0</v>
      </c>
      <c r="AA272" s="2">
        <f>COUNTIFS(集計用!$G270,"*, "&amp;AA$3&amp;", *")</f>
        <v>0</v>
      </c>
      <c r="AB272" s="2">
        <f>COUNTIFS(集計用!$G270,"*, "&amp;AB$3&amp;", *")</f>
        <v>0</v>
      </c>
      <c r="AC272" s="2">
        <f>COUNTIFS(集計用!$G270,"*, "&amp;AC$3&amp;", *")</f>
        <v>0</v>
      </c>
      <c r="AD272" s="2">
        <f>COUNTIFS(集計用!$G270,"*, "&amp;AD$3&amp;", *")</f>
        <v>0</v>
      </c>
      <c r="AE272" s="2">
        <f>COUNTIFS(集計用!$G270,"*, "&amp;AE$3&amp;", *")</f>
        <v>0</v>
      </c>
      <c r="AF272" s="2">
        <f>COUNTIFS(集計用!$G270,"*, "&amp;AF$3&amp;", *")</f>
        <v>0</v>
      </c>
      <c r="AG272" s="2">
        <f>COUNTIFS(集計用!$G270,"*, "&amp;AG$3&amp;", *")</f>
        <v>0</v>
      </c>
      <c r="AH272" s="2">
        <f>COUNTIFS(集計用!$G270,"*, "&amp;AH$3&amp;", *")</f>
        <v>0</v>
      </c>
      <c r="AI272" s="2">
        <f>COUNTIFS(集計用!$G270,"*, "&amp;AI$3&amp;", *")</f>
        <v>0</v>
      </c>
      <c r="AJ272" s="2">
        <f>COUNTIFS(集計用!$G270,"*, "&amp;AJ$3&amp;", *")</f>
        <v>0</v>
      </c>
      <c r="AK272" s="2">
        <f>COUNTIFS(集計用!$G270,"*, "&amp;AK$3&amp;", *")</f>
        <v>0</v>
      </c>
      <c r="AL272" s="2">
        <f>COUNTIFS(集計用!$G270,"*, "&amp;AL$3&amp;", *")</f>
        <v>0</v>
      </c>
      <c r="AM272" s="2">
        <f>COUNTIFS(集計用!$G270,"*, "&amp;AM$3&amp;", *")</f>
        <v>0</v>
      </c>
      <c r="AN272" s="2">
        <f>COUNTIFS(集計用!$G270,"*, "&amp;AN$3&amp;", *")</f>
        <v>0</v>
      </c>
      <c r="AO272" s="2">
        <f>COUNTIFS(集計用!$G270,"*, "&amp;AO$3&amp;", *")</f>
        <v>0</v>
      </c>
      <c r="AP272" s="2">
        <f>COUNTIFS(集計用!$G270,"*, "&amp;AP$3&amp;", *")</f>
        <v>0</v>
      </c>
      <c r="AQ272" s="2">
        <f>COUNTIFS(集計用!$G270,"*, "&amp;AQ$3&amp;", *")</f>
        <v>0</v>
      </c>
      <c r="AR272" s="2">
        <f>COUNTIFS(集計用!$G270,"*, "&amp;AR$3&amp;", *")</f>
        <v>0</v>
      </c>
      <c r="AS272" s="2">
        <f>COUNTIFS(集計用!$G270,"*, "&amp;AS$3&amp;", *")</f>
        <v>0</v>
      </c>
      <c r="AT272" s="2">
        <f>COUNTIFS(集計用!$G270,"*, "&amp;AT$3&amp;", *")</f>
        <v>0</v>
      </c>
      <c r="AU272" s="2">
        <f>COUNTIFS(集計用!$G270,"*, "&amp;AU$3&amp;", *")</f>
        <v>0</v>
      </c>
      <c r="AV272" s="2">
        <f>COUNTIFS(集計用!$G270,"*, "&amp;AV$3&amp;", *")</f>
        <v>0</v>
      </c>
      <c r="AW272" s="2">
        <f>COUNTIFS(集計用!$G270,"*, "&amp;AW$3&amp;", *")</f>
        <v>0</v>
      </c>
      <c r="AX272" s="2">
        <f>COUNTIFS(集計用!$G270,"*, "&amp;AX$3&amp;", *")</f>
        <v>0</v>
      </c>
      <c r="AY272" s="2">
        <f>COUNTIFS(集計用!$G270,"*, "&amp;AY$3&amp;", *")</f>
        <v>0</v>
      </c>
      <c r="AZ272" s="2">
        <f>COUNTIFS(集計用!$G270,"*, "&amp;AZ$3&amp;", *")</f>
        <v>0</v>
      </c>
      <c r="BA272" s="2">
        <f>COUNTIFS(集計用!$G270,"*, "&amp;BA$3&amp;", *")</f>
        <v>0</v>
      </c>
      <c r="BB272" s="2">
        <f>COUNTIFS(集計用!$G270,"*, "&amp;BB$3&amp;", *")</f>
        <v>0</v>
      </c>
      <c r="BC272" s="2">
        <f>COUNTIFS(集計用!$G270,"*, "&amp;BC$3&amp;", *")</f>
        <v>0</v>
      </c>
      <c r="BD272" s="2">
        <f>COUNTIFS(集計用!$G270,"*, "&amp;BD$3&amp;", *")</f>
        <v>0</v>
      </c>
      <c r="BE272" s="2">
        <f>COUNTIFS(集計用!$G270,"*, "&amp;BE$3&amp;", *")</f>
        <v>0</v>
      </c>
      <c r="BF272" s="2">
        <f>COUNTIFS(集計用!$G270,"*, "&amp;BF$3&amp;", *")</f>
        <v>0</v>
      </c>
      <c r="BG272" s="2">
        <f>COUNTIFS(集計用!$G270,"*, "&amp;BG$3&amp;", *")</f>
        <v>0</v>
      </c>
      <c r="BH272" s="2">
        <f>COUNTIFS(集計用!$G270,"*, "&amp;BH$3&amp;", *")</f>
        <v>0</v>
      </c>
      <c r="BI272" s="2">
        <f>COUNTIFS(集計用!$G270,"*, "&amp;BI$3&amp;", *")</f>
        <v>0</v>
      </c>
      <c r="BJ272" s="2">
        <f>LEN(集計用!H270)-LEN(SUBSTITUTE(集計用!H270,",",""))</f>
        <v>0</v>
      </c>
    </row>
    <row r="273" spans="1:62" ht="12.75">
      <c r="A273" s="8">
        <v>270</v>
      </c>
      <c r="C273" s="2">
        <f t="shared" si="3"/>
        <v>7</v>
      </c>
      <c r="D273" s="9"/>
      <c r="E273" s="2">
        <f>COUNTIFS(集計用!$G271,"*, "&amp;E$3&amp;", *")</f>
        <v>1</v>
      </c>
      <c r="F273" s="2">
        <f>COUNTIFS(集計用!$G271,"*, "&amp;F$3&amp;", *")</f>
        <v>1</v>
      </c>
      <c r="G273" s="2">
        <f>COUNTIFS(集計用!$G271,"*, "&amp;G$3&amp;", *")</f>
        <v>0</v>
      </c>
      <c r="H273" s="2">
        <f>COUNTIFS(集計用!$G271,"*, "&amp;H$3&amp;", *")</f>
        <v>0</v>
      </c>
      <c r="I273" s="2">
        <f>COUNTIFS(集計用!$G271,"*, "&amp;I$3&amp;", *")</f>
        <v>0</v>
      </c>
      <c r="J273" s="2">
        <f>COUNTIFS(集計用!$G271,"*, "&amp;J$3&amp;", *")</f>
        <v>0</v>
      </c>
      <c r="K273" s="2">
        <f>COUNTIFS(集計用!$G271,"*, "&amp;K$3&amp;", *")</f>
        <v>1</v>
      </c>
      <c r="L273" s="2">
        <f>COUNTIFS(集計用!$G271,"*, "&amp;L$3&amp;", *")</f>
        <v>0</v>
      </c>
      <c r="M273" s="2">
        <f>COUNTIFS(集計用!$G271,"*, "&amp;M$3&amp;", *")</f>
        <v>0</v>
      </c>
      <c r="N273" s="2">
        <f>COUNTIFS(集計用!$G271,"*, "&amp;N$3&amp;", *")</f>
        <v>0</v>
      </c>
      <c r="O273" s="2">
        <f>COUNTIFS(集計用!$G271,"*, "&amp;O$3&amp;", *")</f>
        <v>1</v>
      </c>
      <c r="P273" s="2">
        <f>COUNTIFS(集計用!$G271,"*, "&amp;P$3&amp;", *")</f>
        <v>0</v>
      </c>
      <c r="Q273" s="2">
        <f>COUNTIFS(集計用!$G271,"*, "&amp;Q$3&amp;", *")</f>
        <v>0</v>
      </c>
      <c r="R273" s="2">
        <f>COUNTIFS(集計用!$G271,"*, "&amp;R$3&amp;", *")</f>
        <v>0</v>
      </c>
      <c r="S273" s="2">
        <f>COUNTIFS(集計用!$G271,"*, "&amp;S$3&amp;", *")</f>
        <v>0</v>
      </c>
      <c r="T273" s="2">
        <f>COUNTIFS(集計用!$G271,"*, "&amp;T$3&amp;", *")</f>
        <v>0</v>
      </c>
      <c r="U273" s="2">
        <f>COUNTIFS(集計用!$G271,"*, "&amp;U$3&amp;", *")</f>
        <v>1</v>
      </c>
      <c r="V273" s="2">
        <f>COUNTIFS(集計用!$G271,"*, "&amp;V$3&amp;", *")</f>
        <v>1</v>
      </c>
      <c r="W273" s="2">
        <f>COUNTIFS(集計用!$G271,"*, "&amp;W$3&amp;", *")</f>
        <v>0</v>
      </c>
      <c r="X273" s="2">
        <f>COUNTIFS(集計用!$G271,"*, "&amp;X$3&amp;", *")</f>
        <v>0</v>
      </c>
      <c r="Y273" s="2">
        <f>COUNTIFS(集計用!$G271,"*, "&amp;Y$3&amp;", *")</f>
        <v>0</v>
      </c>
      <c r="Z273" s="2">
        <f>COUNTIFS(集計用!$G271,"*, "&amp;Z$3&amp;", *")</f>
        <v>0</v>
      </c>
      <c r="AA273" s="2">
        <f>COUNTIFS(集計用!$G271,"*, "&amp;AA$3&amp;", *")</f>
        <v>0</v>
      </c>
      <c r="AB273" s="2">
        <f>COUNTIFS(集計用!$G271,"*, "&amp;AB$3&amp;", *")</f>
        <v>0</v>
      </c>
      <c r="AC273" s="2">
        <f>COUNTIFS(集計用!$G271,"*, "&amp;AC$3&amp;", *")</f>
        <v>0</v>
      </c>
      <c r="AD273" s="2">
        <f>COUNTIFS(集計用!$G271,"*, "&amp;AD$3&amp;", *")</f>
        <v>0</v>
      </c>
      <c r="AE273" s="2">
        <f>COUNTIFS(集計用!$G271,"*, "&amp;AE$3&amp;", *")</f>
        <v>0</v>
      </c>
      <c r="AF273" s="2">
        <f>COUNTIFS(集計用!$G271,"*, "&amp;AF$3&amp;", *")</f>
        <v>0</v>
      </c>
      <c r="AG273" s="2">
        <f>COUNTIFS(集計用!$G271,"*, "&amp;AG$3&amp;", *")</f>
        <v>0</v>
      </c>
      <c r="AH273" s="2">
        <f>COUNTIFS(集計用!$G271,"*, "&amp;AH$3&amp;", *")</f>
        <v>1</v>
      </c>
      <c r="AI273" s="2">
        <f>COUNTIFS(集計用!$G271,"*, "&amp;AI$3&amp;", *")</f>
        <v>0</v>
      </c>
      <c r="AJ273" s="2">
        <f>COUNTIFS(集計用!$G271,"*, "&amp;AJ$3&amp;", *")</f>
        <v>0</v>
      </c>
      <c r="AK273" s="2">
        <f>COUNTIFS(集計用!$G271,"*, "&amp;AK$3&amp;", *")</f>
        <v>0</v>
      </c>
      <c r="AL273" s="2">
        <f>COUNTIFS(集計用!$G271,"*, "&amp;AL$3&amp;", *")</f>
        <v>0</v>
      </c>
      <c r="AM273" s="2">
        <f>COUNTIFS(集計用!$G271,"*, "&amp;AM$3&amp;", *")</f>
        <v>0</v>
      </c>
      <c r="AN273" s="2">
        <f>COUNTIFS(集計用!$G271,"*, "&amp;AN$3&amp;", *")</f>
        <v>0</v>
      </c>
      <c r="AO273" s="2">
        <f>COUNTIFS(集計用!$G271,"*, "&amp;AO$3&amp;", *")</f>
        <v>0</v>
      </c>
      <c r="AP273" s="2">
        <f>COUNTIFS(集計用!$G271,"*, "&amp;AP$3&amp;", *")</f>
        <v>0</v>
      </c>
      <c r="AQ273" s="2">
        <f>COUNTIFS(集計用!$G271,"*, "&amp;AQ$3&amp;", *")</f>
        <v>0</v>
      </c>
      <c r="AR273" s="2">
        <f>COUNTIFS(集計用!$G271,"*, "&amp;AR$3&amp;", *")</f>
        <v>0</v>
      </c>
      <c r="AS273" s="2">
        <f>COUNTIFS(集計用!$G271,"*, "&amp;AS$3&amp;", *")</f>
        <v>0</v>
      </c>
      <c r="AT273" s="2">
        <f>COUNTIFS(集計用!$G271,"*, "&amp;AT$3&amp;", *")</f>
        <v>0</v>
      </c>
      <c r="AU273" s="2">
        <f>COUNTIFS(集計用!$G271,"*, "&amp;AU$3&amp;", *")</f>
        <v>0</v>
      </c>
      <c r="AV273" s="2">
        <f>COUNTIFS(集計用!$G271,"*, "&amp;AV$3&amp;", *")</f>
        <v>0</v>
      </c>
      <c r="AW273" s="2">
        <f>COUNTIFS(集計用!$G271,"*, "&amp;AW$3&amp;", *")</f>
        <v>0</v>
      </c>
      <c r="AX273" s="2">
        <f>COUNTIFS(集計用!$G271,"*, "&amp;AX$3&amp;", *")</f>
        <v>0</v>
      </c>
      <c r="AY273" s="2">
        <f>COUNTIFS(集計用!$G271,"*, "&amp;AY$3&amp;", *")</f>
        <v>0</v>
      </c>
      <c r="AZ273" s="2">
        <f>COUNTIFS(集計用!$G271,"*, "&amp;AZ$3&amp;", *")</f>
        <v>0</v>
      </c>
      <c r="BA273" s="2">
        <f>COUNTIFS(集計用!$G271,"*, "&amp;BA$3&amp;", *")</f>
        <v>0</v>
      </c>
      <c r="BB273" s="2">
        <f>COUNTIFS(集計用!$G271,"*, "&amp;BB$3&amp;", *")</f>
        <v>0</v>
      </c>
      <c r="BC273" s="2">
        <f>COUNTIFS(集計用!$G271,"*, "&amp;BC$3&amp;", *")</f>
        <v>0</v>
      </c>
      <c r="BD273" s="2">
        <f>COUNTIFS(集計用!$G271,"*, "&amp;BD$3&amp;", *")</f>
        <v>0</v>
      </c>
      <c r="BE273" s="2">
        <f>COUNTIFS(集計用!$G271,"*, "&amp;BE$3&amp;", *")</f>
        <v>0</v>
      </c>
      <c r="BF273" s="2">
        <f>COUNTIFS(集計用!$G271,"*, "&amp;BF$3&amp;", *")</f>
        <v>0</v>
      </c>
      <c r="BG273" s="2">
        <f>COUNTIFS(集計用!$G271,"*, "&amp;BG$3&amp;", *")</f>
        <v>0</v>
      </c>
      <c r="BH273" s="2">
        <f>COUNTIFS(集計用!$G271,"*, "&amp;BH$3&amp;", *")</f>
        <v>0</v>
      </c>
      <c r="BI273" s="2">
        <f>COUNTIFS(集計用!$G271,"*, "&amp;BI$3&amp;", *")</f>
        <v>0</v>
      </c>
      <c r="BJ273" s="2">
        <f>LEN(集計用!H271)-LEN(SUBSTITUTE(集計用!H271,",",""))</f>
        <v>0</v>
      </c>
    </row>
    <row r="274" spans="1:62" ht="12.75">
      <c r="A274" s="8">
        <v>271</v>
      </c>
      <c r="C274" s="2">
        <f t="shared" si="3"/>
        <v>9</v>
      </c>
      <c r="D274" s="9"/>
      <c r="E274" s="2">
        <f>COUNTIFS(集計用!$G272,"*, "&amp;E$3&amp;", *")</f>
        <v>1</v>
      </c>
      <c r="F274" s="2">
        <f>COUNTIFS(集計用!$G272,"*, "&amp;F$3&amp;", *")</f>
        <v>1</v>
      </c>
      <c r="G274" s="2">
        <f>COUNTIFS(集計用!$G272,"*, "&amp;G$3&amp;", *")</f>
        <v>0</v>
      </c>
      <c r="H274" s="2">
        <f>COUNTIFS(集計用!$G272,"*, "&amp;H$3&amp;", *")</f>
        <v>0</v>
      </c>
      <c r="I274" s="2">
        <f>COUNTIFS(集計用!$G272,"*, "&amp;I$3&amp;", *")</f>
        <v>0</v>
      </c>
      <c r="J274" s="2">
        <f>COUNTIFS(集計用!$G272,"*, "&amp;J$3&amp;", *")</f>
        <v>0</v>
      </c>
      <c r="K274" s="2">
        <f>COUNTIFS(集計用!$G272,"*, "&amp;K$3&amp;", *")</f>
        <v>0</v>
      </c>
      <c r="L274" s="2">
        <f>COUNTIFS(集計用!$G272,"*, "&amp;L$3&amp;", *")</f>
        <v>0</v>
      </c>
      <c r="M274" s="2">
        <f>COUNTIFS(集計用!$G272,"*, "&amp;M$3&amp;", *")</f>
        <v>1</v>
      </c>
      <c r="N274" s="2">
        <f>COUNTIFS(集計用!$G272,"*, "&amp;N$3&amp;", *")</f>
        <v>0</v>
      </c>
      <c r="O274" s="2">
        <f>COUNTIFS(集計用!$G272,"*, "&amp;O$3&amp;", *")</f>
        <v>1</v>
      </c>
      <c r="P274" s="2">
        <f>COUNTIFS(集計用!$G272,"*, "&amp;P$3&amp;", *")</f>
        <v>0</v>
      </c>
      <c r="Q274" s="2">
        <f>COUNTIFS(集計用!$G272,"*, "&amp;Q$3&amp;", *")</f>
        <v>0</v>
      </c>
      <c r="R274" s="2">
        <f>COUNTIFS(集計用!$G272,"*, "&amp;R$3&amp;", *")</f>
        <v>0</v>
      </c>
      <c r="S274" s="2">
        <f>COUNTIFS(集計用!$G272,"*, "&amp;S$3&amp;", *")</f>
        <v>0</v>
      </c>
      <c r="T274" s="2">
        <f>COUNTIFS(集計用!$G272,"*, "&amp;T$3&amp;", *")</f>
        <v>0</v>
      </c>
      <c r="U274" s="2">
        <f>COUNTIFS(集計用!$G272,"*, "&amp;U$3&amp;", *")</f>
        <v>1</v>
      </c>
      <c r="V274" s="2">
        <f>COUNTIFS(集計用!$G272,"*, "&amp;V$3&amp;", *")</f>
        <v>1</v>
      </c>
      <c r="W274" s="2">
        <f>COUNTIFS(集計用!$G272,"*, "&amp;W$3&amp;", *")</f>
        <v>0</v>
      </c>
      <c r="X274" s="2">
        <f>COUNTIFS(集計用!$G272,"*, "&amp;X$3&amp;", *")</f>
        <v>0</v>
      </c>
      <c r="Y274" s="2">
        <f>COUNTIFS(集計用!$G272,"*, "&amp;Y$3&amp;", *")</f>
        <v>0</v>
      </c>
      <c r="Z274" s="2">
        <f>COUNTIFS(集計用!$G272,"*, "&amp;Z$3&amp;", *")</f>
        <v>0</v>
      </c>
      <c r="AA274" s="2">
        <f>COUNTIFS(集計用!$G272,"*, "&amp;AA$3&amp;", *")</f>
        <v>0</v>
      </c>
      <c r="AB274" s="2">
        <f>COUNTIFS(集計用!$G272,"*, "&amp;AB$3&amp;", *")</f>
        <v>0</v>
      </c>
      <c r="AC274" s="2">
        <f>COUNTIFS(集計用!$G272,"*, "&amp;AC$3&amp;", *")</f>
        <v>1</v>
      </c>
      <c r="AD274" s="2">
        <f>COUNTIFS(集計用!$G272,"*, "&amp;AD$3&amp;", *")</f>
        <v>0</v>
      </c>
      <c r="AE274" s="2">
        <f>COUNTIFS(集計用!$G272,"*, "&amp;AE$3&amp;", *")</f>
        <v>0</v>
      </c>
      <c r="AF274" s="2">
        <f>COUNTIFS(集計用!$G272,"*, "&amp;AF$3&amp;", *")</f>
        <v>0</v>
      </c>
      <c r="AG274" s="2">
        <f>COUNTIFS(集計用!$G272,"*, "&amp;AG$3&amp;", *")</f>
        <v>0</v>
      </c>
      <c r="AH274" s="2">
        <f>COUNTIFS(集計用!$G272,"*, "&amp;AH$3&amp;", *")</f>
        <v>0</v>
      </c>
      <c r="AI274" s="2">
        <f>COUNTIFS(集計用!$G272,"*, "&amp;AI$3&amp;", *")</f>
        <v>0</v>
      </c>
      <c r="AJ274" s="2">
        <f>COUNTIFS(集計用!$G272,"*, "&amp;AJ$3&amp;", *")</f>
        <v>0</v>
      </c>
      <c r="AK274" s="2">
        <f>COUNTIFS(集計用!$G272,"*, "&amp;AK$3&amp;", *")</f>
        <v>0</v>
      </c>
      <c r="AL274" s="2">
        <f>COUNTIFS(集計用!$G272,"*, "&amp;AL$3&amp;", *")</f>
        <v>0</v>
      </c>
      <c r="AM274" s="2">
        <f>COUNTIFS(集計用!$G272,"*, "&amp;AM$3&amp;", *")</f>
        <v>0</v>
      </c>
      <c r="AN274" s="2">
        <f>COUNTIFS(集計用!$G272,"*, "&amp;AN$3&amp;", *")</f>
        <v>0</v>
      </c>
      <c r="AO274" s="2">
        <f>COUNTIFS(集計用!$G272,"*, "&amp;AO$3&amp;", *")</f>
        <v>0</v>
      </c>
      <c r="AP274" s="2">
        <f>COUNTIFS(集計用!$G272,"*, "&amp;AP$3&amp;", *")</f>
        <v>0</v>
      </c>
      <c r="AQ274" s="2">
        <f>COUNTIFS(集計用!$G272,"*, "&amp;AQ$3&amp;", *")</f>
        <v>0</v>
      </c>
      <c r="AR274" s="2">
        <f>COUNTIFS(集計用!$G272,"*, "&amp;AR$3&amp;", *")</f>
        <v>0</v>
      </c>
      <c r="AS274" s="2">
        <f>COUNTIFS(集計用!$G272,"*, "&amp;AS$3&amp;", *")</f>
        <v>0</v>
      </c>
      <c r="AT274" s="2">
        <f>COUNTIFS(集計用!$G272,"*, "&amp;AT$3&amp;", *")</f>
        <v>0</v>
      </c>
      <c r="AU274" s="2">
        <f>COUNTIFS(集計用!$G272,"*, "&amp;AU$3&amp;", *")</f>
        <v>0</v>
      </c>
      <c r="AV274" s="2">
        <f>COUNTIFS(集計用!$G272,"*, "&amp;AV$3&amp;", *")</f>
        <v>1</v>
      </c>
      <c r="AW274" s="2">
        <f>COUNTIFS(集計用!$G272,"*, "&amp;AW$3&amp;", *")</f>
        <v>1</v>
      </c>
      <c r="AX274" s="2">
        <f>COUNTIFS(集計用!$G272,"*, "&amp;AX$3&amp;", *")</f>
        <v>0</v>
      </c>
      <c r="AY274" s="2">
        <f>COUNTIFS(集計用!$G272,"*, "&amp;AY$3&amp;", *")</f>
        <v>0</v>
      </c>
      <c r="AZ274" s="2">
        <f>COUNTIFS(集計用!$G272,"*, "&amp;AZ$3&amp;", *")</f>
        <v>0</v>
      </c>
      <c r="BA274" s="2">
        <f>COUNTIFS(集計用!$G272,"*, "&amp;BA$3&amp;", *")</f>
        <v>0</v>
      </c>
      <c r="BB274" s="2">
        <f>COUNTIFS(集計用!$G272,"*, "&amp;BB$3&amp;", *")</f>
        <v>0</v>
      </c>
      <c r="BC274" s="2">
        <f>COUNTIFS(集計用!$G272,"*, "&amp;BC$3&amp;", *")</f>
        <v>0</v>
      </c>
      <c r="BD274" s="2">
        <f>COUNTIFS(集計用!$G272,"*, "&amp;BD$3&amp;", *")</f>
        <v>0</v>
      </c>
      <c r="BE274" s="2">
        <f>COUNTIFS(集計用!$G272,"*, "&amp;BE$3&amp;", *")</f>
        <v>0</v>
      </c>
      <c r="BF274" s="2">
        <f>COUNTIFS(集計用!$G272,"*, "&amp;BF$3&amp;", *")</f>
        <v>0</v>
      </c>
      <c r="BG274" s="2">
        <f>COUNTIFS(集計用!$G272,"*, "&amp;BG$3&amp;", *")</f>
        <v>0</v>
      </c>
      <c r="BH274" s="2">
        <f>COUNTIFS(集計用!$G272,"*, "&amp;BH$3&amp;", *")</f>
        <v>0</v>
      </c>
      <c r="BI274" s="2">
        <f>COUNTIFS(集計用!$G272,"*, "&amp;BI$3&amp;", *")</f>
        <v>0</v>
      </c>
      <c r="BJ274" s="2">
        <f>LEN(集計用!H272)-LEN(SUBSTITUTE(集計用!H272,",",""))</f>
        <v>0</v>
      </c>
    </row>
    <row r="275" spans="1:62" ht="12.75">
      <c r="A275" s="8">
        <v>272</v>
      </c>
      <c r="C275" s="2">
        <f t="shared" si="3"/>
        <v>3</v>
      </c>
      <c r="D275" s="9"/>
      <c r="E275" s="2">
        <f>COUNTIFS(集計用!$G273,"*, "&amp;E$3&amp;", *")</f>
        <v>0</v>
      </c>
      <c r="F275" s="2">
        <f>COUNTIFS(集計用!$G273,"*, "&amp;F$3&amp;", *")</f>
        <v>0</v>
      </c>
      <c r="G275" s="2">
        <f>COUNTIFS(集計用!$G273,"*, "&amp;G$3&amp;", *")</f>
        <v>1</v>
      </c>
      <c r="H275" s="2">
        <f>COUNTIFS(集計用!$G273,"*, "&amp;H$3&amp;", *")</f>
        <v>1</v>
      </c>
      <c r="I275" s="2">
        <f>COUNTIFS(集計用!$G273,"*, "&amp;I$3&amp;", *")</f>
        <v>0</v>
      </c>
      <c r="J275" s="2">
        <f>COUNTIFS(集計用!$G273,"*, "&amp;J$3&amp;", *")</f>
        <v>0</v>
      </c>
      <c r="K275" s="2">
        <f>COUNTIFS(集計用!$G273,"*, "&amp;K$3&amp;", *")</f>
        <v>0</v>
      </c>
      <c r="L275" s="2">
        <f>COUNTIFS(集計用!$G273,"*, "&amp;L$3&amp;", *")</f>
        <v>0</v>
      </c>
      <c r="M275" s="2">
        <f>COUNTIFS(集計用!$G273,"*, "&amp;M$3&amp;", *")</f>
        <v>0</v>
      </c>
      <c r="N275" s="2">
        <f>COUNTIFS(集計用!$G273,"*, "&amp;N$3&amp;", *")</f>
        <v>1</v>
      </c>
      <c r="O275" s="2">
        <f>COUNTIFS(集計用!$G273,"*, "&amp;O$3&amp;", *")</f>
        <v>0</v>
      </c>
      <c r="P275" s="2">
        <f>COUNTIFS(集計用!$G273,"*, "&amp;P$3&amp;", *")</f>
        <v>0</v>
      </c>
      <c r="Q275" s="2">
        <f>COUNTIFS(集計用!$G273,"*, "&amp;Q$3&amp;", *")</f>
        <v>0</v>
      </c>
      <c r="R275" s="2">
        <f>COUNTIFS(集計用!$G273,"*, "&amp;R$3&amp;", *")</f>
        <v>0</v>
      </c>
      <c r="S275" s="2">
        <f>COUNTIFS(集計用!$G273,"*, "&amp;S$3&amp;", *")</f>
        <v>0</v>
      </c>
      <c r="T275" s="2">
        <f>COUNTIFS(集計用!$G273,"*, "&amp;T$3&amp;", *")</f>
        <v>0</v>
      </c>
      <c r="U275" s="2">
        <f>COUNTIFS(集計用!$G273,"*, "&amp;U$3&amp;", *")</f>
        <v>0</v>
      </c>
      <c r="V275" s="2">
        <f>COUNTIFS(集計用!$G273,"*, "&amp;V$3&amp;", *")</f>
        <v>0</v>
      </c>
      <c r="W275" s="2">
        <f>COUNTIFS(集計用!$G273,"*, "&amp;W$3&amp;", *")</f>
        <v>0</v>
      </c>
      <c r="X275" s="2">
        <f>COUNTIFS(集計用!$G273,"*, "&amp;X$3&amp;", *")</f>
        <v>0</v>
      </c>
      <c r="Y275" s="2">
        <f>COUNTIFS(集計用!$G273,"*, "&amp;Y$3&amp;", *")</f>
        <v>0</v>
      </c>
      <c r="Z275" s="2">
        <f>COUNTIFS(集計用!$G273,"*, "&amp;Z$3&amp;", *")</f>
        <v>0</v>
      </c>
      <c r="AA275" s="2">
        <f>COUNTIFS(集計用!$G273,"*, "&amp;AA$3&amp;", *")</f>
        <v>0</v>
      </c>
      <c r="AB275" s="2">
        <f>COUNTIFS(集計用!$G273,"*, "&amp;AB$3&amp;", *")</f>
        <v>0</v>
      </c>
      <c r="AC275" s="2">
        <f>COUNTIFS(集計用!$G273,"*, "&amp;AC$3&amp;", *")</f>
        <v>0</v>
      </c>
      <c r="AD275" s="2">
        <f>COUNTIFS(集計用!$G273,"*, "&amp;AD$3&amp;", *")</f>
        <v>0</v>
      </c>
      <c r="AE275" s="2">
        <f>COUNTIFS(集計用!$G273,"*, "&amp;AE$3&amp;", *")</f>
        <v>0</v>
      </c>
      <c r="AF275" s="2">
        <f>COUNTIFS(集計用!$G273,"*, "&amp;AF$3&amp;", *")</f>
        <v>0</v>
      </c>
      <c r="AG275" s="2">
        <f>COUNTIFS(集計用!$G273,"*, "&amp;AG$3&amp;", *")</f>
        <v>0</v>
      </c>
      <c r="AH275" s="2">
        <f>COUNTIFS(集計用!$G273,"*, "&amp;AH$3&amp;", *")</f>
        <v>0</v>
      </c>
      <c r="AI275" s="2">
        <f>COUNTIFS(集計用!$G273,"*, "&amp;AI$3&amp;", *")</f>
        <v>0</v>
      </c>
      <c r="AJ275" s="2">
        <f>COUNTIFS(集計用!$G273,"*, "&amp;AJ$3&amp;", *")</f>
        <v>0</v>
      </c>
      <c r="AK275" s="2">
        <f>COUNTIFS(集計用!$G273,"*, "&amp;AK$3&amp;", *")</f>
        <v>0</v>
      </c>
      <c r="AL275" s="2">
        <f>COUNTIFS(集計用!$G273,"*, "&amp;AL$3&amp;", *")</f>
        <v>0</v>
      </c>
      <c r="AM275" s="2">
        <f>COUNTIFS(集計用!$G273,"*, "&amp;AM$3&amp;", *")</f>
        <v>0</v>
      </c>
      <c r="AN275" s="2">
        <f>COUNTIFS(集計用!$G273,"*, "&amp;AN$3&amp;", *")</f>
        <v>0</v>
      </c>
      <c r="AO275" s="2">
        <f>COUNTIFS(集計用!$G273,"*, "&amp;AO$3&amp;", *")</f>
        <v>0</v>
      </c>
      <c r="AP275" s="2">
        <f>COUNTIFS(集計用!$G273,"*, "&amp;AP$3&amp;", *")</f>
        <v>0</v>
      </c>
      <c r="AQ275" s="2">
        <f>COUNTIFS(集計用!$G273,"*, "&amp;AQ$3&amp;", *")</f>
        <v>0</v>
      </c>
      <c r="AR275" s="2">
        <f>COUNTIFS(集計用!$G273,"*, "&amp;AR$3&amp;", *")</f>
        <v>0</v>
      </c>
      <c r="AS275" s="2">
        <f>COUNTIFS(集計用!$G273,"*, "&amp;AS$3&amp;", *")</f>
        <v>0</v>
      </c>
      <c r="AT275" s="2">
        <f>COUNTIFS(集計用!$G273,"*, "&amp;AT$3&amp;", *")</f>
        <v>0</v>
      </c>
      <c r="AU275" s="2">
        <f>COUNTIFS(集計用!$G273,"*, "&amp;AU$3&amp;", *")</f>
        <v>0</v>
      </c>
      <c r="AV275" s="2">
        <f>COUNTIFS(集計用!$G273,"*, "&amp;AV$3&amp;", *")</f>
        <v>0</v>
      </c>
      <c r="AW275" s="2">
        <f>COUNTIFS(集計用!$G273,"*, "&amp;AW$3&amp;", *")</f>
        <v>0</v>
      </c>
      <c r="AX275" s="2">
        <f>COUNTIFS(集計用!$G273,"*, "&amp;AX$3&amp;", *")</f>
        <v>0</v>
      </c>
      <c r="AY275" s="2">
        <f>COUNTIFS(集計用!$G273,"*, "&amp;AY$3&amp;", *")</f>
        <v>0</v>
      </c>
      <c r="AZ275" s="2">
        <f>COUNTIFS(集計用!$G273,"*, "&amp;AZ$3&amp;", *")</f>
        <v>0</v>
      </c>
      <c r="BA275" s="2">
        <f>COUNTIFS(集計用!$G273,"*, "&amp;BA$3&amp;", *")</f>
        <v>0</v>
      </c>
      <c r="BB275" s="2">
        <f>COUNTIFS(集計用!$G273,"*, "&amp;BB$3&amp;", *")</f>
        <v>0</v>
      </c>
      <c r="BC275" s="2">
        <f>COUNTIFS(集計用!$G273,"*, "&amp;BC$3&amp;", *")</f>
        <v>0</v>
      </c>
      <c r="BD275" s="2">
        <f>COUNTIFS(集計用!$G273,"*, "&amp;BD$3&amp;", *")</f>
        <v>0</v>
      </c>
      <c r="BE275" s="2">
        <f>COUNTIFS(集計用!$G273,"*, "&amp;BE$3&amp;", *")</f>
        <v>0</v>
      </c>
      <c r="BF275" s="2">
        <f>COUNTIFS(集計用!$G273,"*, "&amp;BF$3&amp;", *")</f>
        <v>0</v>
      </c>
      <c r="BG275" s="2">
        <f>COUNTIFS(集計用!$G273,"*, "&amp;BG$3&amp;", *")</f>
        <v>0</v>
      </c>
      <c r="BH275" s="2">
        <f>COUNTIFS(集計用!$G273,"*, "&amp;BH$3&amp;", *")</f>
        <v>0</v>
      </c>
      <c r="BI275" s="2">
        <f>COUNTIFS(集計用!$G273,"*, "&amp;BI$3&amp;", *")</f>
        <v>0</v>
      </c>
      <c r="BJ275" s="2">
        <f>LEN(集計用!H273)-LEN(SUBSTITUTE(集計用!H273,",",""))</f>
        <v>0</v>
      </c>
    </row>
    <row r="276" spans="1:62" ht="12.75">
      <c r="A276" s="8">
        <v>273</v>
      </c>
      <c r="C276" s="2">
        <f t="shared" si="3"/>
        <v>1</v>
      </c>
      <c r="D276" s="9"/>
      <c r="E276" s="2">
        <f>COUNTIFS(集計用!$G274,"*, "&amp;E$3&amp;", *")</f>
        <v>0</v>
      </c>
      <c r="F276" s="2">
        <f>COUNTIFS(集計用!$G274,"*, "&amp;F$3&amp;", *")</f>
        <v>0</v>
      </c>
      <c r="G276" s="2">
        <f>COUNTIFS(集計用!$G274,"*, "&amp;G$3&amp;", *")</f>
        <v>0</v>
      </c>
      <c r="H276" s="2">
        <f>COUNTIFS(集計用!$G274,"*, "&amp;H$3&amp;", *")</f>
        <v>0</v>
      </c>
      <c r="I276" s="2">
        <f>COUNTIFS(集計用!$G274,"*, "&amp;I$3&amp;", *")</f>
        <v>0</v>
      </c>
      <c r="J276" s="2">
        <f>COUNTIFS(集計用!$G274,"*, "&amp;J$3&amp;", *")</f>
        <v>0</v>
      </c>
      <c r="K276" s="2">
        <f>COUNTIFS(集計用!$G274,"*, "&amp;K$3&amp;", *")</f>
        <v>0</v>
      </c>
      <c r="L276" s="2">
        <f>COUNTIFS(集計用!$G274,"*, "&amp;L$3&amp;", *")</f>
        <v>0</v>
      </c>
      <c r="M276" s="2">
        <f>COUNTIFS(集計用!$G274,"*, "&amp;M$3&amp;", *")</f>
        <v>0</v>
      </c>
      <c r="N276" s="2">
        <f>COUNTIFS(集計用!$G274,"*, "&amp;N$3&amp;", *")</f>
        <v>0</v>
      </c>
      <c r="O276" s="2">
        <f>COUNTIFS(集計用!$G274,"*, "&amp;O$3&amp;", *")</f>
        <v>0</v>
      </c>
      <c r="P276" s="2">
        <f>COUNTIFS(集計用!$G274,"*, "&amp;P$3&amp;", *")</f>
        <v>0</v>
      </c>
      <c r="Q276" s="2">
        <f>COUNTIFS(集計用!$G274,"*, "&amp;Q$3&amp;", *")</f>
        <v>0</v>
      </c>
      <c r="R276" s="2">
        <f>COUNTIFS(集計用!$G274,"*, "&amp;R$3&amp;", *")</f>
        <v>0</v>
      </c>
      <c r="S276" s="2">
        <f>COUNTIFS(集計用!$G274,"*, "&amp;S$3&amp;", *")</f>
        <v>0</v>
      </c>
      <c r="T276" s="2">
        <f>COUNTIFS(集計用!$G274,"*, "&amp;T$3&amp;", *")</f>
        <v>0</v>
      </c>
      <c r="U276" s="2">
        <f>COUNTIFS(集計用!$G274,"*, "&amp;U$3&amp;", *")</f>
        <v>0</v>
      </c>
      <c r="V276" s="2">
        <f>COUNTIFS(集計用!$G274,"*, "&amp;V$3&amp;", *")</f>
        <v>0</v>
      </c>
      <c r="W276" s="2">
        <f>COUNTIFS(集計用!$G274,"*, "&amp;W$3&amp;", *")</f>
        <v>0</v>
      </c>
      <c r="X276" s="2">
        <f>COUNTIFS(集計用!$G274,"*, "&amp;X$3&amp;", *")</f>
        <v>0</v>
      </c>
      <c r="Y276" s="2">
        <f>COUNTIFS(集計用!$G274,"*, "&amp;Y$3&amp;", *")</f>
        <v>0</v>
      </c>
      <c r="Z276" s="2">
        <f>COUNTIFS(集計用!$G274,"*, "&amp;Z$3&amp;", *")</f>
        <v>0</v>
      </c>
      <c r="AA276" s="2">
        <f>COUNTIFS(集計用!$G274,"*, "&amp;AA$3&amp;", *")</f>
        <v>0</v>
      </c>
      <c r="AB276" s="2">
        <f>COUNTIFS(集計用!$G274,"*, "&amp;AB$3&amp;", *")</f>
        <v>0</v>
      </c>
      <c r="AC276" s="2">
        <f>COUNTIFS(集計用!$G274,"*, "&amp;AC$3&amp;", *")</f>
        <v>0</v>
      </c>
      <c r="AD276" s="2">
        <f>COUNTIFS(集計用!$G274,"*, "&amp;AD$3&amp;", *")</f>
        <v>0</v>
      </c>
      <c r="AE276" s="2">
        <f>COUNTIFS(集計用!$G274,"*, "&amp;AE$3&amp;", *")</f>
        <v>0</v>
      </c>
      <c r="AF276" s="2">
        <f>COUNTIFS(集計用!$G274,"*, "&amp;AF$3&amp;", *")</f>
        <v>0</v>
      </c>
      <c r="AG276" s="2">
        <f>COUNTIFS(集計用!$G274,"*, "&amp;AG$3&amp;", *")</f>
        <v>0</v>
      </c>
      <c r="AH276" s="2">
        <f>COUNTIFS(集計用!$G274,"*, "&amp;AH$3&amp;", *")</f>
        <v>0</v>
      </c>
      <c r="AI276" s="2">
        <f>COUNTIFS(集計用!$G274,"*, "&amp;AI$3&amp;", *")</f>
        <v>0</v>
      </c>
      <c r="AJ276" s="2">
        <f>COUNTIFS(集計用!$G274,"*, "&amp;AJ$3&amp;", *")</f>
        <v>0</v>
      </c>
      <c r="AK276" s="2">
        <f>COUNTIFS(集計用!$G274,"*, "&amp;AK$3&amp;", *")</f>
        <v>0</v>
      </c>
      <c r="AL276" s="2">
        <f>COUNTIFS(集計用!$G274,"*, "&amp;AL$3&amp;", *")</f>
        <v>0</v>
      </c>
      <c r="AM276" s="2">
        <f>COUNTIFS(集計用!$G274,"*, "&amp;AM$3&amp;", *")</f>
        <v>0</v>
      </c>
      <c r="AN276" s="2">
        <f>COUNTIFS(集計用!$G274,"*, "&amp;AN$3&amp;", *")</f>
        <v>1</v>
      </c>
      <c r="AO276" s="2">
        <f>COUNTIFS(集計用!$G274,"*, "&amp;AO$3&amp;", *")</f>
        <v>0</v>
      </c>
      <c r="AP276" s="2">
        <f>COUNTIFS(集計用!$G274,"*, "&amp;AP$3&amp;", *")</f>
        <v>0</v>
      </c>
      <c r="AQ276" s="2">
        <f>COUNTIFS(集計用!$G274,"*, "&amp;AQ$3&amp;", *")</f>
        <v>0</v>
      </c>
      <c r="AR276" s="2">
        <f>COUNTIFS(集計用!$G274,"*, "&amp;AR$3&amp;", *")</f>
        <v>0</v>
      </c>
      <c r="AS276" s="2">
        <f>COUNTIFS(集計用!$G274,"*, "&amp;AS$3&amp;", *")</f>
        <v>0</v>
      </c>
      <c r="AT276" s="2">
        <f>COUNTIFS(集計用!$G274,"*, "&amp;AT$3&amp;", *")</f>
        <v>0</v>
      </c>
      <c r="AU276" s="2">
        <f>COUNTIFS(集計用!$G274,"*, "&amp;AU$3&amp;", *")</f>
        <v>0</v>
      </c>
      <c r="AV276" s="2">
        <f>COUNTIFS(集計用!$G274,"*, "&amp;AV$3&amp;", *")</f>
        <v>0</v>
      </c>
      <c r="AW276" s="2">
        <f>COUNTIFS(集計用!$G274,"*, "&amp;AW$3&amp;", *")</f>
        <v>0</v>
      </c>
      <c r="AX276" s="2">
        <f>COUNTIFS(集計用!$G274,"*, "&amp;AX$3&amp;", *")</f>
        <v>0</v>
      </c>
      <c r="AY276" s="2">
        <f>COUNTIFS(集計用!$G274,"*, "&amp;AY$3&amp;", *")</f>
        <v>0</v>
      </c>
      <c r="AZ276" s="2">
        <f>COUNTIFS(集計用!$G274,"*, "&amp;AZ$3&amp;", *")</f>
        <v>0</v>
      </c>
      <c r="BA276" s="2">
        <f>COUNTIFS(集計用!$G274,"*, "&amp;BA$3&amp;", *")</f>
        <v>0</v>
      </c>
      <c r="BB276" s="2">
        <f>COUNTIFS(集計用!$G274,"*, "&amp;BB$3&amp;", *")</f>
        <v>0</v>
      </c>
      <c r="BC276" s="2">
        <f>COUNTIFS(集計用!$G274,"*, "&amp;BC$3&amp;", *")</f>
        <v>0</v>
      </c>
      <c r="BD276" s="2">
        <f>COUNTIFS(集計用!$G274,"*, "&amp;BD$3&amp;", *")</f>
        <v>0</v>
      </c>
      <c r="BE276" s="2">
        <f>COUNTIFS(集計用!$G274,"*, "&amp;BE$3&amp;", *")</f>
        <v>0</v>
      </c>
      <c r="BF276" s="2">
        <f>COUNTIFS(集計用!$G274,"*, "&amp;BF$3&amp;", *")</f>
        <v>0</v>
      </c>
      <c r="BG276" s="2">
        <f>COUNTIFS(集計用!$G274,"*, "&amp;BG$3&amp;", *")</f>
        <v>0</v>
      </c>
      <c r="BH276" s="2">
        <f>COUNTIFS(集計用!$G274,"*, "&amp;BH$3&amp;", *")</f>
        <v>0</v>
      </c>
      <c r="BI276" s="2">
        <f>COUNTIFS(集計用!$G274,"*, "&amp;BI$3&amp;", *")</f>
        <v>0</v>
      </c>
      <c r="BJ276" s="2">
        <f>LEN(集計用!H274)-LEN(SUBSTITUTE(集計用!H274,",",""))</f>
        <v>0</v>
      </c>
    </row>
    <row r="277" spans="1:62" ht="12.75">
      <c r="A277" s="8">
        <v>274</v>
      </c>
      <c r="C277" s="2">
        <f t="shared" si="3"/>
        <v>7</v>
      </c>
      <c r="D277" s="9"/>
      <c r="E277" s="2">
        <f>COUNTIFS(集計用!$G275,"*, "&amp;E$3&amp;", *")</f>
        <v>0</v>
      </c>
      <c r="F277" s="2">
        <f>COUNTIFS(集計用!$G275,"*, "&amp;F$3&amp;", *")</f>
        <v>1</v>
      </c>
      <c r="G277" s="2">
        <f>COUNTIFS(集計用!$G275,"*, "&amp;G$3&amp;", *")</f>
        <v>0</v>
      </c>
      <c r="H277" s="2">
        <f>COUNTIFS(集計用!$G275,"*, "&amp;H$3&amp;", *")</f>
        <v>0</v>
      </c>
      <c r="I277" s="2">
        <f>COUNTIFS(集計用!$G275,"*, "&amp;I$3&amp;", *")</f>
        <v>0</v>
      </c>
      <c r="J277" s="2">
        <f>COUNTIFS(集計用!$G275,"*, "&amp;J$3&amp;", *")</f>
        <v>0</v>
      </c>
      <c r="K277" s="2">
        <f>COUNTIFS(集計用!$G275,"*, "&amp;K$3&amp;", *")</f>
        <v>0</v>
      </c>
      <c r="L277" s="2">
        <f>COUNTIFS(集計用!$G275,"*, "&amp;L$3&amp;", *")</f>
        <v>0</v>
      </c>
      <c r="M277" s="2">
        <f>COUNTIFS(集計用!$G275,"*, "&amp;M$3&amp;", *")</f>
        <v>0</v>
      </c>
      <c r="N277" s="2">
        <f>COUNTIFS(集計用!$G275,"*, "&amp;N$3&amp;", *")</f>
        <v>0</v>
      </c>
      <c r="O277" s="2">
        <f>COUNTIFS(集計用!$G275,"*, "&amp;O$3&amp;", *")</f>
        <v>0</v>
      </c>
      <c r="P277" s="2">
        <f>COUNTIFS(集計用!$G275,"*, "&amp;P$3&amp;", *")</f>
        <v>0</v>
      </c>
      <c r="Q277" s="2">
        <f>COUNTIFS(集計用!$G275,"*, "&amp;Q$3&amp;", *")</f>
        <v>1</v>
      </c>
      <c r="R277" s="2">
        <f>COUNTIFS(集計用!$G275,"*, "&amp;R$3&amp;", *")</f>
        <v>0</v>
      </c>
      <c r="S277" s="2">
        <f>COUNTIFS(集計用!$G275,"*, "&amp;S$3&amp;", *")</f>
        <v>0</v>
      </c>
      <c r="T277" s="2">
        <f>COUNTIFS(集計用!$G275,"*, "&amp;T$3&amp;", *")</f>
        <v>0</v>
      </c>
      <c r="U277" s="2">
        <f>COUNTIFS(集計用!$G275,"*, "&amp;U$3&amp;", *")</f>
        <v>1</v>
      </c>
      <c r="V277" s="2">
        <f>COUNTIFS(集計用!$G275,"*, "&amp;V$3&amp;", *")</f>
        <v>1</v>
      </c>
      <c r="W277" s="2">
        <f>COUNTIFS(集計用!$G275,"*, "&amp;W$3&amp;", *")</f>
        <v>0</v>
      </c>
      <c r="X277" s="2">
        <f>COUNTIFS(集計用!$G275,"*, "&amp;X$3&amp;", *")</f>
        <v>0</v>
      </c>
      <c r="Y277" s="2">
        <f>COUNTIFS(集計用!$G275,"*, "&amp;Y$3&amp;", *")</f>
        <v>0</v>
      </c>
      <c r="Z277" s="2">
        <f>COUNTIFS(集計用!$G275,"*, "&amp;Z$3&amp;", *")</f>
        <v>0</v>
      </c>
      <c r="AA277" s="2">
        <f>COUNTIFS(集計用!$G275,"*, "&amp;AA$3&amp;", *")</f>
        <v>0</v>
      </c>
      <c r="AB277" s="2">
        <f>COUNTIFS(集計用!$G275,"*, "&amp;AB$3&amp;", *")</f>
        <v>0</v>
      </c>
      <c r="AC277" s="2">
        <f>COUNTIFS(集計用!$G275,"*, "&amp;AC$3&amp;", *")</f>
        <v>0</v>
      </c>
      <c r="AD277" s="2">
        <f>COUNTIFS(集計用!$G275,"*, "&amp;AD$3&amp;", *")</f>
        <v>0</v>
      </c>
      <c r="AE277" s="2">
        <f>COUNTIFS(集計用!$G275,"*, "&amp;AE$3&amp;", *")</f>
        <v>0</v>
      </c>
      <c r="AF277" s="2">
        <f>COUNTIFS(集計用!$G275,"*, "&amp;AF$3&amp;", *")</f>
        <v>0</v>
      </c>
      <c r="AG277" s="2">
        <f>COUNTIFS(集計用!$G275,"*, "&amp;AG$3&amp;", *")</f>
        <v>0</v>
      </c>
      <c r="AH277" s="2">
        <f>COUNTIFS(集計用!$G275,"*, "&amp;AH$3&amp;", *")</f>
        <v>0</v>
      </c>
      <c r="AI277" s="2">
        <f>COUNTIFS(集計用!$G275,"*, "&amp;AI$3&amp;", *")</f>
        <v>0</v>
      </c>
      <c r="AJ277" s="2">
        <f>COUNTIFS(集計用!$G275,"*, "&amp;AJ$3&amp;", *")</f>
        <v>0</v>
      </c>
      <c r="AK277" s="2">
        <f>COUNTIFS(集計用!$G275,"*, "&amp;AK$3&amp;", *")</f>
        <v>0</v>
      </c>
      <c r="AL277" s="2">
        <f>COUNTIFS(集計用!$G275,"*, "&amp;AL$3&amp;", *")</f>
        <v>0</v>
      </c>
      <c r="AM277" s="2">
        <f>COUNTIFS(集計用!$G275,"*, "&amp;AM$3&amp;", *")</f>
        <v>1</v>
      </c>
      <c r="AN277" s="2">
        <f>COUNTIFS(集計用!$G275,"*, "&amp;AN$3&amp;", *")</f>
        <v>1</v>
      </c>
      <c r="AO277" s="2">
        <f>COUNTIFS(集計用!$G275,"*, "&amp;AO$3&amp;", *")</f>
        <v>0</v>
      </c>
      <c r="AP277" s="2">
        <f>COUNTIFS(集計用!$G275,"*, "&amp;AP$3&amp;", *")</f>
        <v>0</v>
      </c>
      <c r="AQ277" s="2">
        <f>COUNTIFS(集計用!$G275,"*, "&amp;AQ$3&amp;", *")</f>
        <v>0</v>
      </c>
      <c r="AR277" s="2">
        <f>COUNTIFS(集計用!$G275,"*, "&amp;AR$3&amp;", *")</f>
        <v>1</v>
      </c>
      <c r="AS277" s="2">
        <f>COUNTIFS(集計用!$G275,"*, "&amp;AS$3&amp;", *")</f>
        <v>0</v>
      </c>
      <c r="AT277" s="2">
        <f>COUNTIFS(集計用!$G275,"*, "&amp;AT$3&amp;", *")</f>
        <v>0</v>
      </c>
      <c r="AU277" s="2">
        <f>COUNTIFS(集計用!$G275,"*, "&amp;AU$3&amp;", *")</f>
        <v>0</v>
      </c>
      <c r="AV277" s="2">
        <f>COUNTIFS(集計用!$G275,"*, "&amp;AV$3&amp;", *")</f>
        <v>0</v>
      </c>
      <c r="AW277" s="2">
        <f>COUNTIFS(集計用!$G275,"*, "&amp;AW$3&amp;", *")</f>
        <v>0</v>
      </c>
      <c r="AX277" s="2">
        <f>COUNTIFS(集計用!$G275,"*, "&amp;AX$3&amp;", *")</f>
        <v>0</v>
      </c>
      <c r="AY277" s="2">
        <f>COUNTIFS(集計用!$G275,"*, "&amp;AY$3&amp;", *")</f>
        <v>0</v>
      </c>
      <c r="AZ277" s="2">
        <f>COUNTIFS(集計用!$G275,"*, "&amp;AZ$3&amp;", *")</f>
        <v>0</v>
      </c>
      <c r="BA277" s="2">
        <f>COUNTIFS(集計用!$G275,"*, "&amp;BA$3&amp;", *")</f>
        <v>0</v>
      </c>
      <c r="BB277" s="2">
        <f>COUNTIFS(集計用!$G275,"*, "&amp;BB$3&amp;", *")</f>
        <v>0</v>
      </c>
      <c r="BC277" s="2">
        <f>COUNTIFS(集計用!$G275,"*, "&amp;BC$3&amp;", *")</f>
        <v>0</v>
      </c>
      <c r="BD277" s="2">
        <f>COUNTIFS(集計用!$G275,"*, "&amp;BD$3&amp;", *")</f>
        <v>0</v>
      </c>
      <c r="BE277" s="2">
        <f>COUNTIFS(集計用!$G275,"*, "&amp;BE$3&amp;", *")</f>
        <v>0</v>
      </c>
      <c r="BF277" s="2">
        <f>COUNTIFS(集計用!$G275,"*, "&amp;BF$3&amp;", *")</f>
        <v>0</v>
      </c>
      <c r="BG277" s="2">
        <f>COUNTIFS(集計用!$G275,"*, "&amp;BG$3&amp;", *")</f>
        <v>0</v>
      </c>
      <c r="BH277" s="2">
        <f>COUNTIFS(集計用!$G275,"*, "&amp;BH$3&amp;", *")</f>
        <v>0</v>
      </c>
      <c r="BI277" s="2">
        <f>COUNTIFS(集計用!$G275,"*, "&amp;BI$3&amp;", *")</f>
        <v>0</v>
      </c>
      <c r="BJ277" s="2">
        <f>LEN(集計用!H275)-LEN(SUBSTITUTE(集計用!H275,",",""))</f>
        <v>0</v>
      </c>
    </row>
    <row r="278" spans="1:62" ht="12.75">
      <c r="A278" s="8">
        <v>275</v>
      </c>
      <c r="C278" s="2">
        <f t="shared" si="3"/>
        <v>9</v>
      </c>
      <c r="D278" s="9"/>
      <c r="E278" s="2">
        <f>COUNTIFS(集計用!$G276,"*, "&amp;E$3&amp;", *")</f>
        <v>1</v>
      </c>
      <c r="F278" s="2">
        <f>COUNTIFS(集計用!$G276,"*, "&amp;F$3&amp;", *")</f>
        <v>1</v>
      </c>
      <c r="G278" s="2">
        <f>COUNTIFS(集計用!$G276,"*, "&amp;G$3&amp;", *")</f>
        <v>1</v>
      </c>
      <c r="H278" s="2">
        <f>COUNTIFS(集計用!$G276,"*, "&amp;H$3&amp;", *")</f>
        <v>0</v>
      </c>
      <c r="I278" s="2">
        <f>COUNTIFS(集計用!$G276,"*, "&amp;I$3&amp;", *")</f>
        <v>1</v>
      </c>
      <c r="J278" s="2">
        <f>COUNTIFS(集計用!$G276,"*, "&amp;J$3&amp;", *")</f>
        <v>0</v>
      </c>
      <c r="K278" s="2">
        <f>COUNTIFS(集計用!$G276,"*, "&amp;K$3&amp;", *")</f>
        <v>0</v>
      </c>
      <c r="L278" s="2">
        <f>COUNTIFS(集計用!$G276,"*, "&amp;L$3&amp;", *")</f>
        <v>0</v>
      </c>
      <c r="M278" s="2">
        <f>COUNTIFS(集計用!$G276,"*, "&amp;M$3&amp;", *")</f>
        <v>1</v>
      </c>
      <c r="N278" s="2">
        <f>COUNTIFS(集計用!$G276,"*, "&amp;N$3&amp;", *")</f>
        <v>0</v>
      </c>
      <c r="O278" s="2">
        <f>COUNTIFS(集計用!$G276,"*, "&amp;O$3&amp;", *")</f>
        <v>0</v>
      </c>
      <c r="P278" s="2">
        <f>COUNTIFS(集計用!$G276,"*, "&amp;P$3&amp;", *")</f>
        <v>0</v>
      </c>
      <c r="Q278" s="2">
        <f>COUNTIFS(集計用!$G276,"*, "&amp;Q$3&amp;", *")</f>
        <v>1</v>
      </c>
      <c r="R278" s="2">
        <f>COUNTIFS(集計用!$G276,"*, "&amp;R$3&amp;", *")</f>
        <v>0</v>
      </c>
      <c r="S278" s="2">
        <f>COUNTIFS(集計用!$G276,"*, "&amp;S$3&amp;", *")</f>
        <v>0</v>
      </c>
      <c r="T278" s="2">
        <f>COUNTIFS(集計用!$G276,"*, "&amp;T$3&amp;", *")</f>
        <v>0</v>
      </c>
      <c r="U278" s="2">
        <f>COUNTIFS(集計用!$G276,"*, "&amp;U$3&amp;", *")</f>
        <v>1</v>
      </c>
      <c r="V278" s="2">
        <f>COUNTIFS(集計用!$G276,"*, "&amp;V$3&amp;", *")</f>
        <v>1</v>
      </c>
      <c r="W278" s="2">
        <f>COUNTIFS(集計用!$G276,"*, "&amp;W$3&amp;", *")</f>
        <v>1</v>
      </c>
      <c r="X278" s="2">
        <f>COUNTIFS(集計用!$G276,"*, "&amp;X$3&amp;", *")</f>
        <v>0</v>
      </c>
      <c r="Y278" s="2">
        <f>COUNTIFS(集計用!$G276,"*, "&amp;Y$3&amp;", *")</f>
        <v>0</v>
      </c>
      <c r="Z278" s="2">
        <f>COUNTIFS(集計用!$G276,"*, "&amp;Z$3&amp;", *")</f>
        <v>0</v>
      </c>
      <c r="AA278" s="2">
        <f>COUNTIFS(集計用!$G276,"*, "&amp;AA$3&amp;", *")</f>
        <v>0</v>
      </c>
      <c r="AB278" s="2">
        <f>COUNTIFS(集計用!$G276,"*, "&amp;AB$3&amp;", *")</f>
        <v>0</v>
      </c>
      <c r="AC278" s="2">
        <f>COUNTIFS(集計用!$G276,"*, "&amp;AC$3&amp;", *")</f>
        <v>0</v>
      </c>
      <c r="AD278" s="2">
        <f>COUNTIFS(集計用!$G276,"*, "&amp;AD$3&amp;", *")</f>
        <v>0</v>
      </c>
      <c r="AE278" s="2">
        <f>COUNTIFS(集計用!$G276,"*, "&amp;AE$3&amp;", *")</f>
        <v>0</v>
      </c>
      <c r="AF278" s="2">
        <f>COUNTIFS(集計用!$G276,"*, "&amp;AF$3&amp;", *")</f>
        <v>0</v>
      </c>
      <c r="AG278" s="2">
        <f>COUNTIFS(集計用!$G276,"*, "&amp;AG$3&amp;", *")</f>
        <v>0</v>
      </c>
      <c r="AH278" s="2">
        <f>COUNTIFS(集計用!$G276,"*, "&amp;AH$3&amp;", *")</f>
        <v>0</v>
      </c>
      <c r="AI278" s="2">
        <f>COUNTIFS(集計用!$G276,"*, "&amp;AI$3&amp;", *")</f>
        <v>0</v>
      </c>
      <c r="AJ278" s="2">
        <f>COUNTIFS(集計用!$G276,"*, "&amp;AJ$3&amp;", *")</f>
        <v>0</v>
      </c>
      <c r="AK278" s="2">
        <f>COUNTIFS(集計用!$G276,"*, "&amp;AK$3&amp;", *")</f>
        <v>0</v>
      </c>
      <c r="AL278" s="2">
        <f>COUNTIFS(集計用!$G276,"*, "&amp;AL$3&amp;", *")</f>
        <v>0</v>
      </c>
      <c r="AM278" s="2">
        <f>COUNTIFS(集計用!$G276,"*, "&amp;AM$3&amp;", *")</f>
        <v>0</v>
      </c>
      <c r="AN278" s="2">
        <f>COUNTIFS(集計用!$G276,"*, "&amp;AN$3&amp;", *")</f>
        <v>0</v>
      </c>
      <c r="AO278" s="2">
        <f>COUNTIFS(集計用!$G276,"*, "&amp;AO$3&amp;", *")</f>
        <v>0</v>
      </c>
      <c r="AP278" s="2">
        <f>COUNTIFS(集計用!$G276,"*, "&amp;AP$3&amp;", *")</f>
        <v>0</v>
      </c>
      <c r="AQ278" s="2">
        <f>COUNTIFS(集計用!$G276,"*, "&amp;AQ$3&amp;", *")</f>
        <v>0</v>
      </c>
      <c r="AR278" s="2">
        <f>COUNTIFS(集計用!$G276,"*, "&amp;AR$3&amp;", *")</f>
        <v>0</v>
      </c>
      <c r="AS278" s="2">
        <f>COUNTIFS(集計用!$G276,"*, "&amp;AS$3&amp;", *")</f>
        <v>0</v>
      </c>
      <c r="AT278" s="2">
        <f>COUNTIFS(集計用!$G276,"*, "&amp;AT$3&amp;", *")</f>
        <v>0</v>
      </c>
      <c r="AU278" s="2">
        <f>COUNTIFS(集計用!$G276,"*, "&amp;AU$3&amp;", *")</f>
        <v>0</v>
      </c>
      <c r="AV278" s="2">
        <f>COUNTIFS(集計用!$G276,"*, "&amp;AV$3&amp;", *")</f>
        <v>0</v>
      </c>
      <c r="AW278" s="2">
        <f>COUNTIFS(集計用!$G276,"*, "&amp;AW$3&amp;", *")</f>
        <v>0</v>
      </c>
      <c r="AX278" s="2">
        <f>COUNTIFS(集計用!$G276,"*, "&amp;AX$3&amp;", *")</f>
        <v>0</v>
      </c>
      <c r="AY278" s="2">
        <f>COUNTIFS(集計用!$G276,"*, "&amp;AY$3&amp;", *")</f>
        <v>0</v>
      </c>
      <c r="AZ278" s="2">
        <f>COUNTIFS(集計用!$G276,"*, "&amp;AZ$3&amp;", *")</f>
        <v>0</v>
      </c>
      <c r="BA278" s="2">
        <f>COUNTIFS(集計用!$G276,"*, "&amp;BA$3&amp;", *")</f>
        <v>0</v>
      </c>
      <c r="BB278" s="2">
        <f>COUNTIFS(集計用!$G276,"*, "&amp;BB$3&amp;", *")</f>
        <v>0</v>
      </c>
      <c r="BC278" s="2">
        <f>COUNTIFS(集計用!$G276,"*, "&amp;BC$3&amp;", *")</f>
        <v>0</v>
      </c>
      <c r="BD278" s="2">
        <f>COUNTIFS(集計用!$G276,"*, "&amp;BD$3&amp;", *")</f>
        <v>0</v>
      </c>
      <c r="BE278" s="2">
        <f>COUNTIFS(集計用!$G276,"*, "&amp;BE$3&amp;", *")</f>
        <v>0</v>
      </c>
      <c r="BF278" s="2">
        <f>COUNTIFS(集計用!$G276,"*, "&amp;BF$3&amp;", *")</f>
        <v>0</v>
      </c>
      <c r="BG278" s="2">
        <f>COUNTIFS(集計用!$G276,"*, "&amp;BG$3&amp;", *")</f>
        <v>0</v>
      </c>
      <c r="BH278" s="2">
        <f>COUNTIFS(集計用!$G276,"*, "&amp;BH$3&amp;", *")</f>
        <v>0</v>
      </c>
      <c r="BI278" s="2">
        <f>COUNTIFS(集計用!$G276,"*, "&amp;BI$3&amp;", *")</f>
        <v>0</v>
      </c>
      <c r="BJ278" s="2">
        <f>LEN(集計用!H276)-LEN(SUBSTITUTE(集計用!H276,",",""))</f>
        <v>0</v>
      </c>
    </row>
    <row r="279" spans="1:62" ht="12.75">
      <c r="A279" s="8">
        <v>276</v>
      </c>
      <c r="C279" s="2">
        <f t="shared" si="3"/>
        <v>20</v>
      </c>
      <c r="D279" s="9"/>
      <c r="E279" s="2">
        <f>COUNTIFS(集計用!$G277,"*, "&amp;E$3&amp;", *")</f>
        <v>1</v>
      </c>
      <c r="F279" s="2">
        <f>COUNTIFS(集計用!$G277,"*, "&amp;F$3&amp;", *")</f>
        <v>1</v>
      </c>
      <c r="G279" s="2">
        <f>COUNTIFS(集計用!$G277,"*, "&amp;G$3&amp;", *")</f>
        <v>1</v>
      </c>
      <c r="H279" s="2">
        <f>COUNTIFS(集計用!$G277,"*, "&amp;H$3&amp;", *")</f>
        <v>0</v>
      </c>
      <c r="I279" s="2">
        <f>COUNTIFS(集計用!$G277,"*, "&amp;I$3&amp;", *")</f>
        <v>1</v>
      </c>
      <c r="J279" s="2">
        <f>COUNTIFS(集計用!$G277,"*, "&amp;J$3&amp;", *")</f>
        <v>1</v>
      </c>
      <c r="K279" s="2">
        <f>COUNTIFS(集計用!$G277,"*, "&amp;K$3&amp;", *")</f>
        <v>1</v>
      </c>
      <c r="L279" s="2">
        <f>COUNTIFS(集計用!$G277,"*, "&amp;L$3&amp;", *")</f>
        <v>0</v>
      </c>
      <c r="M279" s="2">
        <f>COUNTIFS(集計用!$G277,"*, "&amp;M$3&amp;", *")</f>
        <v>1</v>
      </c>
      <c r="N279" s="2">
        <f>COUNTIFS(集計用!$G277,"*, "&amp;N$3&amp;", *")</f>
        <v>0</v>
      </c>
      <c r="O279" s="2">
        <f>COUNTIFS(集計用!$G277,"*, "&amp;O$3&amp;", *")</f>
        <v>0</v>
      </c>
      <c r="P279" s="2">
        <f>COUNTIFS(集計用!$G277,"*, "&amp;P$3&amp;", *")</f>
        <v>0</v>
      </c>
      <c r="Q279" s="2">
        <f>COUNTIFS(集計用!$G277,"*, "&amp;Q$3&amp;", *")</f>
        <v>1</v>
      </c>
      <c r="R279" s="2">
        <f>COUNTIFS(集計用!$G277,"*, "&amp;R$3&amp;", *")</f>
        <v>1</v>
      </c>
      <c r="S279" s="2">
        <f>COUNTIFS(集計用!$G277,"*, "&amp;S$3&amp;", *")</f>
        <v>1</v>
      </c>
      <c r="T279" s="2">
        <f>COUNTIFS(集計用!$G277,"*, "&amp;T$3&amp;", *")</f>
        <v>1</v>
      </c>
      <c r="U279" s="2">
        <f>COUNTIFS(集計用!$G277,"*, "&amp;U$3&amp;", *")</f>
        <v>0</v>
      </c>
      <c r="V279" s="2">
        <f>COUNTIFS(集計用!$G277,"*, "&amp;V$3&amp;", *")</f>
        <v>0</v>
      </c>
      <c r="W279" s="2">
        <f>COUNTIFS(集計用!$G277,"*, "&amp;W$3&amp;", *")</f>
        <v>1</v>
      </c>
      <c r="X279" s="2">
        <f>COUNTIFS(集計用!$G277,"*, "&amp;X$3&amp;", *")</f>
        <v>0</v>
      </c>
      <c r="Y279" s="2">
        <f>COUNTIFS(集計用!$G277,"*, "&amp;Y$3&amp;", *")</f>
        <v>1</v>
      </c>
      <c r="Z279" s="2">
        <f>COUNTIFS(集計用!$G277,"*, "&amp;Z$3&amp;", *")</f>
        <v>1</v>
      </c>
      <c r="AA279" s="2">
        <f>COUNTIFS(集計用!$G277,"*, "&amp;AA$3&amp;", *")</f>
        <v>1</v>
      </c>
      <c r="AB279" s="2">
        <f>COUNTIFS(集計用!$G277,"*, "&amp;AB$3&amp;", *")</f>
        <v>0</v>
      </c>
      <c r="AC279" s="2">
        <f>COUNTIFS(集計用!$G277,"*, "&amp;AC$3&amp;", *")</f>
        <v>1</v>
      </c>
      <c r="AD279" s="2">
        <f>COUNTIFS(集計用!$G277,"*, "&amp;AD$3&amp;", *")</f>
        <v>0</v>
      </c>
      <c r="AE279" s="2">
        <f>COUNTIFS(集計用!$G277,"*, "&amp;AE$3&amp;", *")</f>
        <v>1</v>
      </c>
      <c r="AF279" s="2">
        <f>COUNTIFS(集計用!$G277,"*, "&amp;AF$3&amp;", *")</f>
        <v>0</v>
      </c>
      <c r="AG279" s="2">
        <f>COUNTIFS(集計用!$G277,"*, "&amp;AG$3&amp;", *")</f>
        <v>0</v>
      </c>
      <c r="AH279" s="2">
        <f>COUNTIFS(集計用!$G277,"*, "&amp;AH$3&amp;", *")</f>
        <v>1</v>
      </c>
      <c r="AI279" s="2">
        <f>COUNTIFS(集計用!$G277,"*, "&amp;AI$3&amp;", *")</f>
        <v>0</v>
      </c>
      <c r="AJ279" s="2">
        <f>COUNTIFS(集計用!$G277,"*, "&amp;AJ$3&amp;", *")</f>
        <v>0</v>
      </c>
      <c r="AK279" s="2">
        <f>COUNTIFS(集計用!$G277,"*, "&amp;AK$3&amp;", *")</f>
        <v>0</v>
      </c>
      <c r="AL279" s="2">
        <f>COUNTIFS(集計用!$G277,"*, "&amp;AL$3&amp;", *")</f>
        <v>0</v>
      </c>
      <c r="AM279" s="2">
        <f>COUNTIFS(集計用!$G277,"*, "&amp;AM$3&amp;", *")</f>
        <v>0</v>
      </c>
      <c r="AN279" s="2">
        <f>COUNTIFS(集計用!$G277,"*, "&amp;AN$3&amp;", *")</f>
        <v>0</v>
      </c>
      <c r="AO279" s="2">
        <f>COUNTIFS(集計用!$G277,"*, "&amp;AO$3&amp;", *")</f>
        <v>0</v>
      </c>
      <c r="AP279" s="2">
        <f>COUNTIFS(集計用!$G277,"*, "&amp;AP$3&amp;", *")</f>
        <v>0</v>
      </c>
      <c r="AQ279" s="2">
        <f>COUNTIFS(集計用!$G277,"*, "&amp;AQ$3&amp;", *")</f>
        <v>0</v>
      </c>
      <c r="AR279" s="2">
        <f>COUNTIFS(集計用!$G277,"*, "&amp;AR$3&amp;", *")</f>
        <v>0</v>
      </c>
      <c r="AS279" s="2">
        <f>COUNTIFS(集計用!$G277,"*, "&amp;AS$3&amp;", *")</f>
        <v>1</v>
      </c>
      <c r="AT279" s="2">
        <f>COUNTIFS(集計用!$G277,"*, "&amp;AT$3&amp;", *")</f>
        <v>0</v>
      </c>
      <c r="AU279" s="2">
        <f>COUNTIFS(集計用!$G277,"*, "&amp;AU$3&amp;", *")</f>
        <v>0</v>
      </c>
      <c r="AV279" s="2">
        <f>COUNTIFS(集計用!$G277,"*, "&amp;AV$3&amp;", *")</f>
        <v>0</v>
      </c>
      <c r="AW279" s="2">
        <f>COUNTIFS(集計用!$G277,"*, "&amp;AW$3&amp;", *")</f>
        <v>0</v>
      </c>
      <c r="AX279" s="2">
        <f>COUNTIFS(集計用!$G277,"*, "&amp;AX$3&amp;", *")</f>
        <v>0</v>
      </c>
      <c r="AY279" s="2">
        <f>COUNTIFS(集計用!$G277,"*, "&amp;AY$3&amp;", *")</f>
        <v>0</v>
      </c>
      <c r="AZ279" s="2">
        <f>COUNTIFS(集計用!$G277,"*, "&amp;AZ$3&amp;", *")</f>
        <v>0</v>
      </c>
      <c r="BA279" s="2">
        <f>COUNTIFS(集計用!$G277,"*, "&amp;BA$3&amp;", *")</f>
        <v>0</v>
      </c>
      <c r="BB279" s="2">
        <f>COUNTIFS(集計用!$G277,"*, "&amp;BB$3&amp;", *")</f>
        <v>0</v>
      </c>
      <c r="BC279" s="2">
        <f>COUNTIFS(集計用!$G277,"*, "&amp;BC$3&amp;", *")</f>
        <v>0</v>
      </c>
      <c r="BD279" s="2">
        <f>COUNTIFS(集計用!$G277,"*, "&amp;BD$3&amp;", *")</f>
        <v>0</v>
      </c>
      <c r="BE279" s="2">
        <f>COUNTIFS(集計用!$G277,"*, "&amp;BE$3&amp;", *")</f>
        <v>0</v>
      </c>
      <c r="BF279" s="2">
        <f>COUNTIFS(集計用!$G277,"*, "&amp;BF$3&amp;", *")</f>
        <v>0</v>
      </c>
      <c r="BG279" s="2">
        <f>COUNTIFS(集計用!$G277,"*, "&amp;BG$3&amp;", *")</f>
        <v>0</v>
      </c>
      <c r="BH279" s="2">
        <f>COUNTIFS(集計用!$G277,"*, "&amp;BH$3&amp;", *")</f>
        <v>0</v>
      </c>
      <c r="BI279" s="2">
        <f>COUNTIFS(集計用!$G277,"*, "&amp;BI$3&amp;", *")</f>
        <v>0</v>
      </c>
      <c r="BJ279" s="2">
        <f>LEN(集計用!H277)-LEN(SUBSTITUTE(集計用!H277,",",""))</f>
        <v>1</v>
      </c>
    </row>
    <row r="280" spans="1:62" ht="12.75">
      <c r="A280" s="8">
        <v>277</v>
      </c>
      <c r="C280" s="2">
        <f t="shared" si="3"/>
        <v>1</v>
      </c>
      <c r="D280" s="9"/>
      <c r="E280" s="2">
        <f>COUNTIFS(集計用!$G278,"*, "&amp;E$3&amp;", *")</f>
        <v>1</v>
      </c>
      <c r="F280" s="2">
        <f>COUNTIFS(集計用!$G278,"*, "&amp;F$3&amp;", *")</f>
        <v>0</v>
      </c>
      <c r="G280" s="2">
        <f>COUNTIFS(集計用!$G278,"*, "&amp;G$3&amp;", *")</f>
        <v>0</v>
      </c>
      <c r="H280" s="2">
        <f>COUNTIFS(集計用!$G278,"*, "&amp;H$3&amp;", *")</f>
        <v>0</v>
      </c>
      <c r="I280" s="2">
        <f>COUNTIFS(集計用!$G278,"*, "&amp;I$3&amp;", *")</f>
        <v>0</v>
      </c>
      <c r="J280" s="2">
        <f>COUNTIFS(集計用!$G278,"*, "&amp;J$3&amp;", *")</f>
        <v>0</v>
      </c>
      <c r="K280" s="2">
        <f>COUNTIFS(集計用!$G278,"*, "&amp;K$3&amp;", *")</f>
        <v>0</v>
      </c>
      <c r="L280" s="2">
        <f>COUNTIFS(集計用!$G278,"*, "&amp;L$3&amp;", *")</f>
        <v>0</v>
      </c>
      <c r="M280" s="2">
        <f>COUNTIFS(集計用!$G278,"*, "&amp;M$3&amp;", *")</f>
        <v>0</v>
      </c>
      <c r="N280" s="2">
        <f>COUNTIFS(集計用!$G278,"*, "&amp;N$3&amp;", *")</f>
        <v>0</v>
      </c>
      <c r="O280" s="2">
        <f>COUNTIFS(集計用!$G278,"*, "&amp;O$3&amp;", *")</f>
        <v>0</v>
      </c>
      <c r="P280" s="2">
        <f>COUNTIFS(集計用!$G278,"*, "&amp;P$3&amp;", *")</f>
        <v>0</v>
      </c>
      <c r="Q280" s="2">
        <f>COUNTIFS(集計用!$G278,"*, "&amp;Q$3&amp;", *")</f>
        <v>0</v>
      </c>
      <c r="R280" s="2">
        <f>COUNTIFS(集計用!$G278,"*, "&amp;R$3&amp;", *")</f>
        <v>0</v>
      </c>
      <c r="S280" s="2">
        <f>COUNTIFS(集計用!$G278,"*, "&amp;S$3&amp;", *")</f>
        <v>0</v>
      </c>
      <c r="T280" s="2">
        <f>COUNTIFS(集計用!$G278,"*, "&amp;T$3&amp;", *")</f>
        <v>0</v>
      </c>
      <c r="U280" s="2">
        <f>COUNTIFS(集計用!$G278,"*, "&amp;U$3&amp;", *")</f>
        <v>0</v>
      </c>
      <c r="V280" s="2">
        <f>COUNTIFS(集計用!$G278,"*, "&amp;V$3&amp;", *")</f>
        <v>0</v>
      </c>
      <c r="W280" s="2">
        <f>COUNTIFS(集計用!$G278,"*, "&amp;W$3&amp;", *")</f>
        <v>0</v>
      </c>
      <c r="X280" s="2">
        <f>COUNTIFS(集計用!$G278,"*, "&amp;X$3&amp;", *")</f>
        <v>0</v>
      </c>
      <c r="Y280" s="2">
        <f>COUNTIFS(集計用!$G278,"*, "&amp;Y$3&amp;", *")</f>
        <v>0</v>
      </c>
      <c r="Z280" s="2">
        <f>COUNTIFS(集計用!$G278,"*, "&amp;Z$3&amp;", *")</f>
        <v>0</v>
      </c>
      <c r="AA280" s="2">
        <f>COUNTIFS(集計用!$G278,"*, "&amp;AA$3&amp;", *")</f>
        <v>0</v>
      </c>
      <c r="AB280" s="2">
        <f>COUNTIFS(集計用!$G278,"*, "&amp;AB$3&amp;", *")</f>
        <v>0</v>
      </c>
      <c r="AC280" s="2">
        <f>COUNTIFS(集計用!$G278,"*, "&amp;AC$3&amp;", *")</f>
        <v>0</v>
      </c>
      <c r="AD280" s="2">
        <f>COUNTIFS(集計用!$G278,"*, "&amp;AD$3&amp;", *")</f>
        <v>0</v>
      </c>
      <c r="AE280" s="2">
        <f>COUNTIFS(集計用!$G278,"*, "&amp;AE$3&amp;", *")</f>
        <v>0</v>
      </c>
      <c r="AF280" s="2">
        <f>COUNTIFS(集計用!$G278,"*, "&amp;AF$3&amp;", *")</f>
        <v>0</v>
      </c>
      <c r="AG280" s="2">
        <f>COUNTIFS(集計用!$G278,"*, "&amp;AG$3&amp;", *")</f>
        <v>0</v>
      </c>
      <c r="AH280" s="2">
        <f>COUNTIFS(集計用!$G278,"*, "&amp;AH$3&amp;", *")</f>
        <v>0</v>
      </c>
      <c r="AI280" s="2">
        <f>COUNTIFS(集計用!$G278,"*, "&amp;AI$3&amp;", *")</f>
        <v>0</v>
      </c>
      <c r="AJ280" s="2">
        <f>COUNTIFS(集計用!$G278,"*, "&amp;AJ$3&amp;", *")</f>
        <v>0</v>
      </c>
      <c r="AK280" s="2">
        <f>COUNTIFS(集計用!$G278,"*, "&amp;AK$3&amp;", *")</f>
        <v>0</v>
      </c>
      <c r="AL280" s="2">
        <f>COUNTIFS(集計用!$G278,"*, "&amp;AL$3&amp;", *")</f>
        <v>0</v>
      </c>
      <c r="AM280" s="2">
        <f>COUNTIFS(集計用!$G278,"*, "&amp;AM$3&amp;", *")</f>
        <v>0</v>
      </c>
      <c r="AN280" s="2">
        <f>COUNTIFS(集計用!$G278,"*, "&amp;AN$3&amp;", *")</f>
        <v>0</v>
      </c>
      <c r="AO280" s="2">
        <f>COUNTIFS(集計用!$G278,"*, "&amp;AO$3&amp;", *")</f>
        <v>0</v>
      </c>
      <c r="AP280" s="2">
        <f>COUNTIFS(集計用!$G278,"*, "&amp;AP$3&amp;", *")</f>
        <v>0</v>
      </c>
      <c r="AQ280" s="2">
        <f>COUNTIFS(集計用!$G278,"*, "&amp;AQ$3&amp;", *")</f>
        <v>0</v>
      </c>
      <c r="AR280" s="2">
        <f>COUNTIFS(集計用!$G278,"*, "&amp;AR$3&amp;", *")</f>
        <v>0</v>
      </c>
      <c r="AS280" s="2">
        <f>COUNTIFS(集計用!$G278,"*, "&amp;AS$3&amp;", *")</f>
        <v>0</v>
      </c>
      <c r="AT280" s="2">
        <f>COUNTIFS(集計用!$G278,"*, "&amp;AT$3&amp;", *")</f>
        <v>0</v>
      </c>
      <c r="AU280" s="2">
        <f>COUNTIFS(集計用!$G278,"*, "&amp;AU$3&amp;", *")</f>
        <v>0</v>
      </c>
      <c r="AV280" s="2">
        <f>COUNTIFS(集計用!$G278,"*, "&amp;AV$3&amp;", *")</f>
        <v>0</v>
      </c>
      <c r="AW280" s="2">
        <f>COUNTIFS(集計用!$G278,"*, "&amp;AW$3&amp;", *")</f>
        <v>0</v>
      </c>
      <c r="AX280" s="2">
        <f>COUNTIFS(集計用!$G278,"*, "&amp;AX$3&amp;", *")</f>
        <v>0</v>
      </c>
      <c r="AY280" s="2">
        <f>COUNTIFS(集計用!$G278,"*, "&amp;AY$3&amp;", *")</f>
        <v>0</v>
      </c>
      <c r="AZ280" s="2">
        <f>COUNTIFS(集計用!$G278,"*, "&amp;AZ$3&amp;", *")</f>
        <v>0</v>
      </c>
      <c r="BA280" s="2">
        <f>COUNTIFS(集計用!$G278,"*, "&amp;BA$3&amp;", *")</f>
        <v>0</v>
      </c>
      <c r="BB280" s="2">
        <f>COUNTIFS(集計用!$G278,"*, "&amp;BB$3&amp;", *")</f>
        <v>0</v>
      </c>
      <c r="BC280" s="2">
        <f>COUNTIFS(集計用!$G278,"*, "&amp;BC$3&amp;", *")</f>
        <v>0</v>
      </c>
      <c r="BD280" s="2">
        <f>COUNTIFS(集計用!$G278,"*, "&amp;BD$3&amp;", *")</f>
        <v>0</v>
      </c>
      <c r="BE280" s="2">
        <f>COUNTIFS(集計用!$G278,"*, "&amp;BE$3&amp;", *")</f>
        <v>0</v>
      </c>
      <c r="BF280" s="2">
        <f>COUNTIFS(集計用!$G278,"*, "&amp;BF$3&amp;", *")</f>
        <v>0</v>
      </c>
      <c r="BG280" s="2">
        <f>COUNTIFS(集計用!$G278,"*, "&amp;BG$3&amp;", *")</f>
        <v>0</v>
      </c>
      <c r="BH280" s="2">
        <f>COUNTIFS(集計用!$G278,"*, "&amp;BH$3&amp;", *")</f>
        <v>0</v>
      </c>
      <c r="BI280" s="2">
        <f>COUNTIFS(集計用!$G278,"*, "&amp;BI$3&amp;", *")</f>
        <v>0</v>
      </c>
      <c r="BJ280" s="2">
        <f>LEN(集計用!H278)-LEN(SUBSTITUTE(集計用!H278,",",""))</f>
        <v>0</v>
      </c>
    </row>
    <row r="281" spans="1:62" ht="12.75">
      <c r="A281" s="8">
        <v>278</v>
      </c>
      <c r="C281" s="2">
        <f t="shared" si="3"/>
        <v>18</v>
      </c>
      <c r="D281" s="9"/>
      <c r="E281" s="2">
        <f>COUNTIFS(集計用!$G279,"*, "&amp;E$3&amp;", *")</f>
        <v>1</v>
      </c>
      <c r="F281" s="2">
        <f>COUNTIFS(集計用!$G279,"*, "&amp;F$3&amp;", *")</f>
        <v>1</v>
      </c>
      <c r="G281" s="2">
        <f>COUNTIFS(集計用!$G279,"*, "&amp;G$3&amp;", *")</f>
        <v>1</v>
      </c>
      <c r="H281" s="2">
        <f>COUNTIFS(集計用!$G279,"*, "&amp;H$3&amp;", *")</f>
        <v>1</v>
      </c>
      <c r="I281" s="2">
        <f>COUNTIFS(集計用!$G279,"*, "&amp;I$3&amp;", *")</f>
        <v>0</v>
      </c>
      <c r="J281" s="2">
        <f>COUNTIFS(集計用!$G279,"*, "&amp;J$3&amp;", *")</f>
        <v>1</v>
      </c>
      <c r="K281" s="2">
        <f>COUNTIFS(集計用!$G279,"*, "&amp;K$3&amp;", *")</f>
        <v>1</v>
      </c>
      <c r="L281" s="2">
        <f>COUNTIFS(集計用!$G279,"*, "&amp;L$3&amp;", *")</f>
        <v>0</v>
      </c>
      <c r="M281" s="2">
        <f>COUNTIFS(集計用!$G279,"*, "&amp;M$3&amp;", *")</f>
        <v>1</v>
      </c>
      <c r="N281" s="2">
        <f>COUNTIFS(集計用!$G279,"*, "&amp;N$3&amp;", *")</f>
        <v>1</v>
      </c>
      <c r="O281" s="2">
        <f>COUNTIFS(集計用!$G279,"*, "&amp;O$3&amp;", *")</f>
        <v>1</v>
      </c>
      <c r="P281" s="2">
        <f>COUNTIFS(集計用!$G279,"*, "&amp;P$3&amp;", *")</f>
        <v>1</v>
      </c>
      <c r="Q281" s="2">
        <f>COUNTIFS(集計用!$G279,"*, "&amp;Q$3&amp;", *")</f>
        <v>0</v>
      </c>
      <c r="R281" s="2">
        <f>COUNTIFS(集計用!$G279,"*, "&amp;R$3&amp;", *")</f>
        <v>0</v>
      </c>
      <c r="S281" s="2">
        <f>COUNTIFS(集計用!$G279,"*, "&amp;S$3&amp;", *")</f>
        <v>1</v>
      </c>
      <c r="T281" s="2">
        <f>COUNTIFS(集計用!$G279,"*, "&amp;T$3&amp;", *")</f>
        <v>0</v>
      </c>
      <c r="U281" s="2">
        <f>COUNTIFS(集計用!$G279,"*, "&amp;U$3&amp;", *")</f>
        <v>1</v>
      </c>
      <c r="V281" s="2">
        <f>COUNTIFS(集計用!$G279,"*, "&amp;V$3&amp;", *")</f>
        <v>1</v>
      </c>
      <c r="W281" s="2">
        <f>COUNTIFS(集計用!$G279,"*, "&amp;W$3&amp;", *")</f>
        <v>1</v>
      </c>
      <c r="X281" s="2">
        <f>COUNTIFS(集計用!$G279,"*, "&amp;X$3&amp;", *")</f>
        <v>1</v>
      </c>
      <c r="Y281" s="2">
        <f>COUNTIFS(集計用!$G279,"*, "&amp;Y$3&amp;", *")</f>
        <v>1</v>
      </c>
      <c r="Z281" s="2">
        <f>COUNTIFS(集計用!$G279,"*, "&amp;Z$3&amp;", *")</f>
        <v>0</v>
      </c>
      <c r="AA281" s="2">
        <f>COUNTIFS(集計用!$G279,"*, "&amp;AA$3&amp;", *")</f>
        <v>0</v>
      </c>
      <c r="AB281" s="2">
        <f>COUNTIFS(集計用!$G279,"*, "&amp;AB$3&amp;", *")</f>
        <v>0</v>
      </c>
      <c r="AC281" s="2">
        <f>COUNTIFS(集計用!$G279,"*, "&amp;AC$3&amp;", *")</f>
        <v>0</v>
      </c>
      <c r="AD281" s="2">
        <f>COUNTIFS(集計用!$G279,"*, "&amp;AD$3&amp;", *")</f>
        <v>0</v>
      </c>
      <c r="AE281" s="2">
        <f>COUNTIFS(集計用!$G279,"*, "&amp;AE$3&amp;", *")</f>
        <v>0</v>
      </c>
      <c r="AF281" s="2">
        <f>COUNTIFS(集計用!$G279,"*, "&amp;AF$3&amp;", *")</f>
        <v>0</v>
      </c>
      <c r="AG281" s="2">
        <f>COUNTIFS(集計用!$G279,"*, "&amp;AG$3&amp;", *")</f>
        <v>0</v>
      </c>
      <c r="AH281" s="2">
        <f>COUNTIFS(集計用!$G279,"*, "&amp;AH$3&amp;", *")</f>
        <v>0</v>
      </c>
      <c r="AI281" s="2">
        <f>COUNTIFS(集計用!$G279,"*, "&amp;AI$3&amp;", *")</f>
        <v>0</v>
      </c>
      <c r="AJ281" s="2">
        <f>COUNTIFS(集計用!$G279,"*, "&amp;AJ$3&amp;", *")</f>
        <v>1</v>
      </c>
      <c r="AK281" s="2">
        <f>COUNTIFS(集計用!$G279,"*, "&amp;AK$3&amp;", *")</f>
        <v>0</v>
      </c>
      <c r="AL281" s="2">
        <f>COUNTIFS(集計用!$G279,"*, "&amp;AL$3&amp;", *")</f>
        <v>0</v>
      </c>
      <c r="AM281" s="2">
        <f>COUNTIFS(集計用!$G279,"*, "&amp;AM$3&amp;", *")</f>
        <v>0</v>
      </c>
      <c r="AN281" s="2">
        <f>COUNTIFS(集計用!$G279,"*, "&amp;AN$3&amp;", *")</f>
        <v>0</v>
      </c>
      <c r="AO281" s="2">
        <f>COUNTIFS(集計用!$G279,"*, "&amp;AO$3&amp;", *")</f>
        <v>0</v>
      </c>
      <c r="AP281" s="2">
        <f>COUNTIFS(集計用!$G279,"*, "&amp;AP$3&amp;", *")</f>
        <v>0</v>
      </c>
      <c r="AQ281" s="2">
        <f>COUNTIFS(集計用!$G279,"*, "&amp;AQ$3&amp;", *")</f>
        <v>0</v>
      </c>
      <c r="AR281" s="2">
        <f>COUNTIFS(集計用!$G279,"*, "&amp;AR$3&amp;", *")</f>
        <v>0</v>
      </c>
      <c r="AS281" s="2">
        <f>COUNTIFS(集計用!$G279,"*, "&amp;AS$3&amp;", *")</f>
        <v>1</v>
      </c>
      <c r="AT281" s="2">
        <f>COUNTIFS(集計用!$G279,"*, "&amp;AT$3&amp;", *")</f>
        <v>0</v>
      </c>
      <c r="AU281" s="2">
        <f>COUNTIFS(集計用!$G279,"*, "&amp;AU$3&amp;", *")</f>
        <v>0</v>
      </c>
      <c r="AV281" s="2">
        <f>COUNTIFS(集計用!$G279,"*, "&amp;AV$3&amp;", *")</f>
        <v>0</v>
      </c>
      <c r="AW281" s="2">
        <f>COUNTIFS(集計用!$G279,"*, "&amp;AW$3&amp;", *")</f>
        <v>0</v>
      </c>
      <c r="AX281" s="2">
        <f>COUNTIFS(集計用!$G279,"*, "&amp;AX$3&amp;", *")</f>
        <v>0</v>
      </c>
      <c r="AY281" s="2">
        <f>COUNTIFS(集計用!$G279,"*, "&amp;AY$3&amp;", *")</f>
        <v>0</v>
      </c>
      <c r="AZ281" s="2">
        <f>COUNTIFS(集計用!$G279,"*, "&amp;AZ$3&amp;", *")</f>
        <v>0</v>
      </c>
      <c r="BA281" s="2">
        <f>COUNTIFS(集計用!$G279,"*, "&amp;BA$3&amp;", *")</f>
        <v>0</v>
      </c>
      <c r="BB281" s="2">
        <f>COUNTIFS(集計用!$G279,"*, "&amp;BB$3&amp;", *")</f>
        <v>0</v>
      </c>
      <c r="BC281" s="2">
        <f>COUNTIFS(集計用!$G279,"*, "&amp;BC$3&amp;", *")</f>
        <v>0</v>
      </c>
      <c r="BD281" s="2">
        <f>COUNTIFS(集計用!$G279,"*, "&amp;BD$3&amp;", *")</f>
        <v>0</v>
      </c>
      <c r="BE281" s="2">
        <f>COUNTIFS(集計用!$G279,"*, "&amp;BE$3&amp;", *")</f>
        <v>0</v>
      </c>
      <c r="BF281" s="2">
        <f>COUNTIFS(集計用!$G279,"*, "&amp;BF$3&amp;", *")</f>
        <v>0</v>
      </c>
      <c r="BG281" s="2">
        <f>COUNTIFS(集計用!$G279,"*, "&amp;BG$3&amp;", *")</f>
        <v>0</v>
      </c>
      <c r="BH281" s="2">
        <f>COUNTIFS(集計用!$G279,"*, "&amp;BH$3&amp;", *")</f>
        <v>0</v>
      </c>
      <c r="BI281" s="2">
        <f>COUNTIFS(集計用!$G279,"*, "&amp;BI$3&amp;", *")</f>
        <v>0</v>
      </c>
      <c r="BJ281" s="2">
        <f>LEN(集計用!H279)-LEN(SUBSTITUTE(集計用!H279,",",""))</f>
        <v>0</v>
      </c>
    </row>
    <row r="282" spans="1:62" ht="12.75">
      <c r="A282" s="8">
        <v>279</v>
      </c>
      <c r="C282" s="2">
        <f t="shared" si="3"/>
        <v>5</v>
      </c>
      <c r="D282" s="9"/>
      <c r="E282" s="2">
        <f>COUNTIFS(集計用!$G280,"*, "&amp;E$3&amp;", *")</f>
        <v>0</v>
      </c>
      <c r="F282" s="2">
        <f>COUNTIFS(集計用!$G280,"*, "&amp;F$3&amp;", *")</f>
        <v>0</v>
      </c>
      <c r="G282" s="2">
        <f>COUNTIFS(集計用!$G280,"*, "&amp;G$3&amp;", *")</f>
        <v>0</v>
      </c>
      <c r="H282" s="2">
        <f>COUNTIFS(集計用!$G280,"*, "&amp;H$3&amp;", *")</f>
        <v>1</v>
      </c>
      <c r="I282" s="2">
        <f>COUNTIFS(集計用!$G280,"*, "&amp;I$3&amp;", *")</f>
        <v>0</v>
      </c>
      <c r="J282" s="2">
        <f>COUNTIFS(集計用!$G280,"*, "&amp;J$3&amp;", *")</f>
        <v>0</v>
      </c>
      <c r="K282" s="2">
        <f>COUNTIFS(集計用!$G280,"*, "&amp;K$3&amp;", *")</f>
        <v>0</v>
      </c>
      <c r="L282" s="2">
        <f>COUNTIFS(集計用!$G280,"*, "&amp;L$3&amp;", *")</f>
        <v>1</v>
      </c>
      <c r="M282" s="2">
        <f>COUNTIFS(集計用!$G280,"*, "&amp;M$3&amp;", *")</f>
        <v>0</v>
      </c>
      <c r="N282" s="2">
        <f>COUNTIFS(集計用!$G280,"*, "&amp;N$3&amp;", *")</f>
        <v>0</v>
      </c>
      <c r="O282" s="2">
        <f>COUNTIFS(集計用!$G280,"*, "&amp;O$3&amp;", *")</f>
        <v>0</v>
      </c>
      <c r="P282" s="2">
        <f>COUNTIFS(集計用!$G280,"*, "&amp;P$3&amp;", *")</f>
        <v>0</v>
      </c>
      <c r="Q282" s="2">
        <f>COUNTIFS(集計用!$G280,"*, "&amp;Q$3&amp;", *")</f>
        <v>1</v>
      </c>
      <c r="R282" s="2">
        <f>COUNTIFS(集計用!$G280,"*, "&amp;R$3&amp;", *")</f>
        <v>0</v>
      </c>
      <c r="S282" s="2">
        <f>COUNTIFS(集計用!$G280,"*, "&amp;S$3&amp;", *")</f>
        <v>0</v>
      </c>
      <c r="T282" s="2">
        <f>COUNTIFS(集計用!$G280,"*, "&amp;T$3&amp;", *")</f>
        <v>0</v>
      </c>
      <c r="U282" s="2">
        <f>COUNTIFS(集計用!$G280,"*, "&amp;U$3&amp;", *")</f>
        <v>0</v>
      </c>
      <c r="V282" s="2">
        <f>COUNTIFS(集計用!$G280,"*, "&amp;V$3&amp;", *")</f>
        <v>0</v>
      </c>
      <c r="W282" s="2">
        <f>COUNTIFS(集計用!$G280,"*, "&amp;W$3&amp;", *")</f>
        <v>0</v>
      </c>
      <c r="X282" s="2">
        <f>COUNTIFS(集計用!$G280,"*, "&amp;X$3&amp;", *")</f>
        <v>0</v>
      </c>
      <c r="Y282" s="2">
        <f>COUNTIFS(集計用!$G280,"*, "&amp;Y$3&amp;", *")</f>
        <v>0</v>
      </c>
      <c r="Z282" s="2">
        <f>COUNTIFS(集計用!$G280,"*, "&amp;Z$3&amp;", *")</f>
        <v>0</v>
      </c>
      <c r="AA282" s="2">
        <f>COUNTIFS(集計用!$G280,"*, "&amp;AA$3&amp;", *")</f>
        <v>0</v>
      </c>
      <c r="AB282" s="2">
        <f>COUNTIFS(集計用!$G280,"*, "&amp;AB$3&amp;", *")</f>
        <v>0</v>
      </c>
      <c r="AC282" s="2">
        <f>COUNTIFS(集計用!$G280,"*, "&amp;AC$3&amp;", *")</f>
        <v>0</v>
      </c>
      <c r="AD282" s="2">
        <f>COUNTIFS(集計用!$G280,"*, "&amp;AD$3&amp;", *")</f>
        <v>1</v>
      </c>
      <c r="AE282" s="2">
        <f>COUNTIFS(集計用!$G280,"*, "&amp;AE$3&amp;", *")</f>
        <v>0</v>
      </c>
      <c r="AF282" s="2">
        <f>COUNTIFS(集計用!$G280,"*, "&amp;AF$3&amp;", *")</f>
        <v>0</v>
      </c>
      <c r="AG282" s="2">
        <f>COUNTIFS(集計用!$G280,"*, "&amp;AG$3&amp;", *")</f>
        <v>0</v>
      </c>
      <c r="AH282" s="2">
        <f>COUNTIFS(集計用!$G280,"*, "&amp;AH$3&amp;", *")</f>
        <v>0</v>
      </c>
      <c r="AI282" s="2">
        <f>COUNTIFS(集計用!$G280,"*, "&amp;AI$3&amp;", *")</f>
        <v>0</v>
      </c>
      <c r="AJ282" s="2">
        <f>COUNTIFS(集計用!$G280,"*, "&amp;AJ$3&amp;", *")</f>
        <v>0</v>
      </c>
      <c r="AK282" s="2">
        <f>COUNTIFS(集計用!$G280,"*, "&amp;AK$3&amp;", *")</f>
        <v>0</v>
      </c>
      <c r="AL282" s="2">
        <f>COUNTIFS(集計用!$G280,"*, "&amp;AL$3&amp;", *")</f>
        <v>0</v>
      </c>
      <c r="AM282" s="2">
        <f>COUNTIFS(集計用!$G280,"*, "&amp;AM$3&amp;", *")</f>
        <v>0</v>
      </c>
      <c r="AN282" s="2">
        <f>COUNTIFS(集計用!$G280,"*, "&amp;AN$3&amp;", *")</f>
        <v>0</v>
      </c>
      <c r="AO282" s="2">
        <f>COUNTIFS(集計用!$G280,"*, "&amp;AO$3&amp;", *")</f>
        <v>0</v>
      </c>
      <c r="AP282" s="2">
        <f>COUNTIFS(集計用!$G280,"*, "&amp;AP$3&amp;", *")</f>
        <v>0</v>
      </c>
      <c r="AQ282" s="2">
        <f>COUNTIFS(集計用!$G280,"*, "&amp;AQ$3&amp;", *")</f>
        <v>0</v>
      </c>
      <c r="AR282" s="2">
        <f>COUNTIFS(集計用!$G280,"*, "&amp;AR$3&amp;", *")</f>
        <v>0</v>
      </c>
      <c r="AS282" s="2">
        <f>COUNTIFS(集計用!$G280,"*, "&amp;AS$3&amp;", *")</f>
        <v>0</v>
      </c>
      <c r="AT282" s="2">
        <f>COUNTIFS(集計用!$G280,"*, "&amp;AT$3&amp;", *")</f>
        <v>0</v>
      </c>
      <c r="AU282" s="2">
        <f>COUNTIFS(集計用!$G280,"*, "&amp;AU$3&amp;", *")</f>
        <v>0</v>
      </c>
      <c r="AV282" s="2">
        <f>COUNTIFS(集計用!$G280,"*, "&amp;AV$3&amp;", *")</f>
        <v>0</v>
      </c>
      <c r="AW282" s="2">
        <f>COUNTIFS(集計用!$G280,"*, "&amp;AW$3&amp;", *")</f>
        <v>0</v>
      </c>
      <c r="AX282" s="2">
        <f>COUNTIFS(集計用!$G280,"*, "&amp;AX$3&amp;", *")</f>
        <v>0</v>
      </c>
      <c r="AY282" s="2">
        <f>COUNTIFS(集計用!$G280,"*, "&amp;AY$3&amp;", *")</f>
        <v>0</v>
      </c>
      <c r="AZ282" s="2">
        <f>COUNTIFS(集計用!$G280,"*, "&amp;AZ$3&amp;", *")</f>
        <v>0</v>
      </c>
      <c r="BA282" s="2">
        <f>COUNTIFS(集計用!$G280,"*, "&amp;BA$3&amp;", *")</f>
        <v>0</v>
      </c>
      <c r="BB282" s="2">
        <f>COUNTIFS(集計用!$G280,"*, "&amp;BB$3&amp;", *")</f>
        <v>0</v>
      </c>
      <c r="BC282" s="2">
        <f>COUNTIFS(集計用!$G280,"*, "&amp;BC$3&amp;", *")</f>
        <v>0</v>
      </c>
      <c r="BD282" s="2">
        <f>COUNTIFS(集計用!$G280,"*, "&amp;BD$3&amp;", *")</f>
        <v>0</v>
      </c>
      <c r="BE282" s="2">
        <f>COUNTIFS(集計用!$G280,"*, "&amp;BE$3&amp;", *")</f>
        <v>0</v>
      </c>
      <c r="BF282" s="2">
        <f>COUNTIFS(集計用!$G280,"*, "&amp;BF$3&amp;", *")</f>
        <v>0</v>
      </c>
      <c r="BG282" s="2">
        <f>COUNTIFS(集計用!$G280,"*, "&amp;BG$3&amp;", *")</f>
        <v>0</v>
      </c>
      <c r="BH282" s="2">
        <f>COUNTIFS(集計用!$G280,"*, "&amp;BH$3&amp;", *")</f>
        <v>0</v>
      </c>
      <c r="BI282" s="2">
        <f>COUNTIFS(集計用!$G280,"*, "&amp;BI$3&amp;", *")</f>
        <v>0</v>
      </c>
      <c r="BJ282" s="2">
        <f>LEN(集計用!H280)-LEN(SUBSTITUTE(集計用!H280,",",""))</f>
        <v>1</v>
      </c>
    </row>
    <row r="283" spans="1:62" ht="12.75">
      <c r="A283" s="8">
        <v>280</v>
      </c>
      <c r="C283" s="2">
        <f t="shared" si="3"/>
        <v>9</v>
      </c>
      <c r="D283" s="9"/>
      <c r="E283" s="2">
        <f>COUNTIFS(集計用!$G281,"*, "&amp;E$3&amp;", *")</f>
        <v>1</v>
      </c>
      <c r="F283" s="2">
        <f>COUNTIFS(集計用!$G281,"*, "&amp;F$3&amp;", *")</f>
        <v>1</v>
      </c>
      <c r="G283" s="2">
        <f>COUNTIFS(集計用!$G281,"*, "&amp;G$3&amp;", *")</f>
        <v>0</v>
      </c>
      <c r="H283" s="2">
        <f>COUNTIFS(集計用!$G281,"*, "&amp;H$3&amp;", *")</f>
        <v>1</v>
      </c>
      <c r="I283" s="2">
        <f>COUNTIFS(集計用!$G281,"*, "&amp;I$3&amp;", *")</f>
        <v>0</v>
      </c>
      <c r="J283" s="2">
        <f>COUNTIFS(集計用!$G281,"*, "&amp;J$3&amp;", *")</f>
        <v>0</v>
      </c>
      <c r="K283" s="2">
        <f>COUNTIFS(集計用!$G281,"*, "&amp;K$3&amp;", *")</f>
        <v>1</v>
      </c>
      <c r="L283" s="2">
        <f>COUNTIFS(集計用!$G281,"*, "&amp;L$3&amp;", *")</f>
        <v>1</v>
      </c>
      <c r="M283" s="2">
        <f>COUNTIFS(集計用!$G281,"*, "&amp;M$3&amp;", *")</f>
        <v>1</v>
      </c>
      <c r="N283" s="2">
        <f>COUNTIFS(集計用!$G281,"*, "&amp;N$3&amp;", *")</f>
        <v>0</v>
      </c>
      <c r="O283" s="2">
        <f>COUNTIFS(集計用!$G281,"*, "&amp;O$3&amp;", *")</f>
        <v>1</v>
      </c>
      <c r="P283" s="2">
        <f>COUNTIFS(集計用!$G281,"*, "&amp;P$3&amp;", *")</f>
        <v>0</v>
      </c>
      <c r="Q283" s="2">
        <f>COUNTIFS(集計用!$G281,"*, "&amp;Q$3&amp;", *")</f>
        <v>0</v>
      </c>
      <c r="R283" s="2">
        <f>COUNTIFS(集計用!$G281,"*, "&amp;R$3&amp;", *")</f>
        <v>0</v>
      </c>
      <c r="S283" s="2">
        <f>COUNTIFS(集計用!$G281,"*, "&amp;S$3&amp;", *")</f>
        <v>0</v>
      </c>
      <c r="T283" s="2">
        <f>COUNTIFS(集計用!$G281,"*, "&amp;T$3&amp;", *")</f>
        <v>0</v>
      </c>
      <c r="U283" s="2">
        <f>COUNTIFS(集計用!$G281,"*, "&amp;U$3&amp;", *")</f>
        <v>1</v>
      </c>
      <c r="V283" s="2">
        <f>COUNTIFS(集計用!$G281,"*, "&amp;V$3&amp;", *")</f>
        <v>0</v>
      </c>
      <c r="W283" s="2">
        <f>COUNTIFS(集計用!$G281,"*, "&amp;W$3&amp;", *")</f>
        <v>0</v>
      </c>
      <c r="X283" s="2">
        <f>COUNTIFS(集計用!$G281,"*, "&amp;X$3&amp;", *")</f>
        <v>0</v>
      </c>
      <c r="Y283" s="2">
        <f>COUNTIFS(集計用!$G281,"*, "&amp;Y$3&amp;", *")</f>
        <v>0</v>
      </c>
      <c r="Z283" s="2">
        <f>COUNTIFS(集計用!$G281,"*, "&amp;Z$3&amp;", *")</f>
        <v>0</v>
      </c>
      <c r="AA283" s="2">
        <f>COUNTIFS(集計用!$G281,"*, "&amp;AA$3&amp;", *")</f>
        <v>0</v>
      </c>
      <c r="AB283" s="2">
        <f>COUNTIFS(集計用!$G281,"*, "&amp;AB$3&amp;", *")</f>
        <v>0</v>
      </c>
      <c r="AC283" s="2">
        <f>COUNTIFS(集計用!$G281,"*, "&amp;AC$3&amp;", *")</f>
        <v>0</v>
      </c>
      <c r="AD283" s="2">
        <f>COUNTIFS(集計用!$G281,"*, "&amp;AD$3&amp;", *")</f>
        <v>0</v>
      </c>
      <c r="AE283" s="2">
        <f>COUNTIFS(集計用!$G281,"*, "&amp;AE$3&amp;", *")</f>
        <v>0</v>
      </c>
      <c r="AF283" s="2">
        <f>COUNTIFS(集計用!$G281,"*, "&amp;AF$3&amp;", *")</f>
        <v>0</v>
      </c>
      <c r="AG283" s="2">
        <f>COUNTIFS(集計用!$G281,"*, "&amp;AG$3&amp;", *")</f>
        <v>0</v>
      </c>
      <c r="AH283" s="2">
        <f>COUNTIFS(集計用!$G281,"*, "&amp;AH$3&amp;", *")</f>
        <v>0</v>
      </c>
      <c r="AI283" s="2">
        <f>COUNTIFS(集計用!$G281,"*, "&amp;AI$3&amp;", *")</f>
        <v>0</v>
      </c>
      <c r="AJ283" s="2">
        <f>COUNTIFS(集計用!$G281,"*, "&amp;AJ$3&amp;", *")</f>
        <v>0</v>
      </c>
      <c r="AK283" s="2">
        <f>COUNTIFS(集計用!$G281,"*, "&amp;AK$3&amp;", *")</f>
        <v>0</v>
      </c>
      <c r="AL283" s="2">
        <f>COUNTIFS(集計用!$G281,"*, "&amp;AL$3&amp;", *")</f>
        <v>1</v>
      </c>
      <c r="AM283" s="2">
        <f>COUNTIFS(集計用!$G281,"*, "&amp;AM$3&amp;", *")</f>
        <v>0</v>
      </c>
      <c r="AN283" s="2">
        <f>COUNTIFS(集計用!$G281,"*, "&amp;AN$3&amp;", *")</f>
        <v>0</v>
      </c>
      <c r="AO283" s="2">
        <f>COUNTIFS(集計用!$G281,"*, "&amp;AO$3&amp;", *")</f>
        <v>0</v>
      </c>
      <c r="AP283" s="2">
        <f>COUNTIFS(集計用!$G281,"*, "&amp;AP$3&amp;", *")</f>
        <v>0</v>
      </c>
      <c r="AQ283" s="2">
        <f>COUNTIFS(集計用!$G281,"*, "&amp;AQ$3&amp;", *")</f>
        <v>0</v>
      </c>
      <c r="AR283" s="2">
        <f>COUNTIFS(集計用!$G281,"*, "&amp;AR$3&amp;", *")</f>
        <v>0</v>
      </c>
      <c r="AS283" s="2">
        <f>COUNTIFS(集計用!$G281,"*, "&amp;AS$3&amp;", *")</f>
        <v>0</v>
      </c>
      <c r="AT283" s="2">
        <f>COUNTIFS(集計用!$G281,"*, "&amp;AT$3&amp;", *")</f>
        <v>0</v>
      </c>
      <c r="AU283" s="2">
        <f>COUNTIFS(集計用!$G281,"*, "&amp;AU$3&amp;", *")</f>
        <v>0</v>
      </c>
      <c r="AV283" s="2">
        <f>COUNTIFS(集計用!$G281,"*, "&amp;AV$3&amp;", *")</f>
        <v>0</v>
      </c>
      <c r="AW283" s="2">
        <f>COUNTIFS(集計用!$G281,"*, "&amp;AW$3&amp;", *")</f>
        <v>0</v>
      </c>
      <c r="AX283" s="2">
        <f>COUNTIFS(集計用!$G281,"*, "&amp;AX$3&amp;", *")</f>
        <v>0</v>
      </c>
      <c r="AY283" s="2">
        <f>COUNTIFS(集計用!$G281,"*, "&amp;AY$3&amp;", *")</f>
        <v>0</v>
      </c>
      <c r="AZ283" s="2">
        <f>COUNTIFS(集計用!$G281,"*, "&amp;AZ$3&amp;", *")</f>
        <v>0</v>
      </c>
      <c r="BA283" s="2">
        <f>COUNTIFS(集計用!$G281,"*, "&amp;BA$3&amp;", *")</f>
        <v>0</v>
      </c>
      <c r="BB283" s="2">
        <f>COUNTIFS(集計用!$G281,"*, "&amp;BB$3&amp;", *")</f>
        <v>0</v>
      </c>
      <c r="BC283" s="2">
        <f>COUNTIFS(集計用!$G281,"*, "&amp;BC$3&amp;", *")</f>
        <v>0</v>
      </c>
      <c r="BD283" s="2">
        <f>COUNTIFS(集計用!$G281,"*, "&amp;BD$3&amp;", *")</f>
        <v>0</v>
      </c>
      <c r="BE283" s="2">
        <f>COUNTIFS(集計用!$G281,"*, "&amp;BE$3&amp;", *")</f>
        <v>0</v>
      </c>
      <c r="BF283" s="2">
        <f>COUNTIFS(集計用!$G281,"*, "&amp;BF$3&amp;", *")</f>
        <v>0</v>
      </c>
      <c r="BG283" s="2">
        <f>COUNTIFS(集計用!$G281,"*, "&amp;BG$3&amp;", *")</f>
        <v>0</v>
      </c>
      <c r="BH283" s="2">
        <f>COUNTIFS(集計用!$G281,"*, "&amp;BH$3&amp;", *")</f>
        <v>0</v>
      </c>
      <c r="BI283" s="2">
        <f>COUNTIFS(集計用!$G281,"*, "&amp;BI$3&amp;", *")</f>
        <v>0</v>
      </c>
      <c r="BJ283" s="2">
        <f>LEN(集計用!H281)-LEN(SUBSTITUTE(集計用!H281,",",""))</f>
        <v>0</v>
      </c>
    </row>
    <row r="284" spans="1:62" ht="12.75">
      <c r="A284" s="8">
        <v>281</v>
      </c>
      <c r="C284" s="2">
        <f t="shared" si="3"/>
        <v>6</v>
      </c>
      <c r="D284" s="9"/>
      <c r="E284" s="2">
        <f>COUNTIFS(集計用!$G282,"*, "&amp;E$3&amp;", *")</f>
        <v>1</v>
      </c>
      <c r="F284" s="2">
        <f>COUNTIFS(集計用!$G282,"*, "&amp;F$3&amp;", *")</f>
        <v>1</v>
      </c>
      <c r="G284" s="2">
        <f>COUNTIFS(集計用!$G282,"*, "&amp;G$3&amp;", *")</f>
        <v>0</v>
      </c>
      <c r="H284" s="2">
        <f>COUNTIFS(集計用!$G282,"*, "&amp;H$3&amp;", *")</f>
        <v>0</v>
      </c>
      <c r="I284" s="2">
        <f>COUNTIFS(集計用!$G282,"*, "&amp;I$3&amp;", *")</f>
        <v>0</v>
      </c>
      <c r="J284" s="2">
        <f>COUNTIFS(集計用!$G282,"*, "&amp;J$3&amp;", *")</f>
        <v>0</v>
      </c>
      <c r="K284" s="2">
        <f>COUNTIFS(集計用!$G282,"*, "&amp;K$3&amp;", *")</f>
        <v>0</v>
      </c>
      <c r="L284" s="2">
        <f>COUNTIFS(集計用!$G282,"*, "&amp;L$3&amp;", *")</f>
        <v>0</v>
      </c>
      <c r="M284" s="2">
        <f>COUNTIFS(集計用!$G282,"*, "&amp;M$3&amp;", *")</f>
        <v>0</v>
      </c>
      <c r="N284" s="2">
        <f>COUNTIFS(集計用!$G282,"*, "&amp;N$3&amp;", *")</f>
        <v>0</v>
      </c>
      <c r="O284" s="2">
        <f>COUNTIFS(集計用!$G282,"*, "&amp;O$3&amp;", *")</f>
        <v>1</v>
      </c>
      <c r="P284" s="2">
        <f>COUNTIFS(集計用!$G282,"*, "&amp;P$3&amp;", *")</f>
        <v>0</v>
      </c>
      <c r="Q284" s="2">
        <f>COUNTIFS(集計用!$G282,"*, "&amp;Q$3&amp;", *")</f>
        <v>0</v>
      </c>
      <c r="R284" s="2">
        <f>COUNTIFS(集計用!$G282,"*, "&amp;R$3&amp;", *")</f>
        <v>0</v>
      </c>
      <c r="S284" s="2">
        <f>COUNTIFS(集計用!$G282,"*, "&amp;S$3&amp;", *")</f>
        <v>0</v>
      </c>
      <c r="T284" s="2">
        <f>COUNTIFS(集計用!$G282,"*, "&amp;T$3&amp;", *")</f>
        <v>0</v>
      </c>
      <c r="U284" s="2">
        <f>COUNTIFS(集計用!$G282,"*, "&amp;U$3&amp;", *")</f>
        <v>1</v>
      </c>
      <c r="V284" s="2">
        <f>COUNTIFS(集計用!$G282,"*, "&amp;V$3&amp;", *")</f>
        <v>1</v>
      </c>
      <c r="W284" s="2">
        <f>COUNTIFS(集計用!$G282,"*, "&amp;W$3&amp;", *")</f>
        <v>1</v>
      </c>
      <c r="X284" s="2">
        <f>COUNTIFS(集計用!$G282,"*, "&amp;X$3&amp;", *")</f>
        <v>0</v>
      </c>
      <c r="Y284" s="2">
        <f>COUNTIFS(集計用!$G282,"*, "&amp;Y$3&amp;", *")</f>
        <v>0</v>
      </c>
      <c r="Z284" s="2">
        <f>COUNTIFS(集計用!$G282,"*, "&amp;Z$3&amp;", *")</f>
        <v>0</v>
      </c>
      <c r="AA284" s="2">
        <f>COUNTIFS(集計用!$G282,"*, "&amp;AA$3&amp;", *")</f>
        <v>0</v>
      </c>
      <c r="AB284" s="2">
        <f>COUNTIFS(集計用!$G282,"*, "&amp;AB$3&amp;", *")</f>
        <v>0</v>
      </c>
      <c r="AC284" s="2">
        <f>COUNTIFS(集計用!$G282,"*, "&amp;AC$3&amp;", *")</f>
        <v>0</v>
      </c>
      <c r="AD284" s="2">
        <f>COUNTIFS(集計用!$G282,"*, "&amp;AD$3&amp;", *")</f>
        <v>0</v>
      </c>
      <c r="AE284" s="2">
        <f>COUNTIFS(集計用!$G282,"*, "&amp;AE$3&amp;", *")</f>
        <v>0</v>
      </c>
      <c r="AF284" s="2">
        <f>COUNTIFS(集計用!$G282,"*, "&amp;AF$3&amp;", *")</f>
        <v>0</v>
      </c>
      <c r="AG284" s="2">
        <f>COUNTIFS(集計用!$G282,"*, "&amp;AG$3&amp;", *")</f>
        <v>0</v>
      </c>
      <c r="AH284" s="2">
        <f>COUNTIFS(集計用!$G282,"*, "&amp;AH$3&amp;", *")</f>
        <v>0</v>
      </c>
      <c r="AI284" s="2">
        <f>COUNTIFS(集計用!$G282,"*, "&amp;AI$3&amp;", *")</f>
        <v>0</v>
      </c>
      <c r="AJ284" s="2">
        <f>COUNTIFS(集計用!$G282,"*, "&amp;AJ$3&amp;", *")</f>
        <v>0</v>
      </c>
      <c r="AK284" s="2">
        <f>COUNTIFS(集計用!$G282,"*, "&amp;AK$3&amp;", *")</f>
        <v>0</v>
      </c>
      <c r="AL284" s="2">
        <f>COUNTIFS(集計用!$G282,"*, "&amp;AL$3&amp;", *")</f>
        <v>0</v>
      </c>
      <c r="AM284" s="2">
        <f>COUNTIFS(集計用!$G282,"*, "&amp;AM$3&amp;", *")</f>
        <v>0</v>
      </c>
      <c r="AN284" s="2">
        <f>COUNTIFS(集計用!$G282,"*, "&amp;AN$3&amp;", *")</f>
        <v>0</v>
      </c>
      <c r="AO284" s="2">
        <f>COUNTIFS(集計用!$G282,"*, "&amp;AO$3&amp;", *")</f>
        <v>0</v>
      </c>
      <c r="AP284" s="2">
        <f>COUNTIFS(集計用!$G282,"*, "&amp;AP$3&amp;", *")</f>
        <v>0</v>
      </c>
      <c r="AQ284" s="2">
        <f>COUNTIFS(集計用!$G282,"*, "&amp;AQ$3&amp;", *")</f>
        <v>0</v>
      </c>
      <c r="AR284" s="2">
        <f>COUNTIFS(集計用!$G282,"*, "&amp;AR$3&amp;", *")</f>
        <v>0</v>
      </c>
      <c r="AS284" s="2">
        <f>COUNTIFS(集計用!$G282,"*, "&amp;AS$3&amp;", *")</f>
        <v>0</v>
      </c>
      <c r="AT284" s="2">
        <f>COUNTIFS(集計用!$G282,"*, "&amp;AT$3&amp;", *")</f>
        <v>0</v>
      </c>
      <c r="AU284" s="2">
        <f>COUNTIFS(集計用!$G282,"*, "&amp;AU$3&amp;", *")</f>
        <v>0</v>
      </c>
      <c r="AV284" s="2">
        <f>COUNTIFS(集計用!$G282,"*, "&amp;AV$3&amp;", *")</f>
        <v>0</v>
      </c>
      <c r="AW284" s="2">
        <f>COUNTIFS(集計用!$G282,"*, "&amp;AW$3&amp;", *")</f>
        <v>0</v>
      </c>
      <c r="AX284" s="2">
        <f>COUNTIFS(集計用!$G282,"*, "&amp;AX$3&amp;", *")</f>
        <v>0</v>
      </c>
      <c r="AY284" s="2">
        <f>COUNTIFS(集計用!$G282,"*, "&amp;AY$3&amp;", *")</f>
        <v>0</v>
      </c>
      <c r="AZ284" s="2">
        <f>COUNTIFS(集計用!$G282,"*, "&amp;AZ$3&amp;", *")</f>
        <v>0</v>
      </c>
      <c r="BA284" s="2">
        <f>COUNTIFS(集計用!$G282,"*, "&amp;BA$3&amp;", *")</f>
        <v>0</v>
      </c>
      <c r="BB284" s="2">
        <f>COUNTIFS(集計用!$G282,"*, "&amp;BB$3&amp;", *")</f>
        <v>0</v>
      </c>
      <c r="BC284" s="2">
        <f>COUNTIFS(集計用!$G282,"*, "&amp;BC$3&amp;", *")</f>
        <v>0</v>
      </c>
      <c r="BD284" s="2">
        <f>COUNTIFS(集計用!$G282,"*, "&amp;BD$3&amp;", *")</f>
        <v>0</v>
      </c>
      <c r="BE284" s="2">
        <f>COUNTIFS(集計用!$G282,"*, "&amp;BE$3&amp;", *")</f>
        <v>0</v>
      </c>
      <c r="BF284" s="2">
        <f>COUNTIFS(集計用!$G282,"*, "&amp;BF$3&amp;", *")</f>
        <v>0</v>
      </c>
      <c r="BG284" s="2">
        <f>COUNTIFS(集計用!$G282,"*, "&amp;BG$3&amp;", *")</f>
        <v>0</v>
      </c>
      <c r="BH284" s="2">
        <f>COUNTIFS(集計用!$G282,"*, "&amp;BH$3&amp;", *")</f>
        <v>0</v>
      </c>
      <c r="BI284" s="2">
        <f>COUNTIFS(集計用!$G282,"*, "&amp;BI$3&amp;", *")</f>
        <v>0</v>
      </c>
      <c r="BJ284" s="2">
        <f>LEN(集計用!H282)-LEN(SUBSTITUTE(集計用!H282,",",""))</f>
        <v>0</v>
      </c>
    </row>
    <row r="285" spans="1:62" ht="12.75">
      <c r="A285" s="8">
        <v>282</v>
      </c>
      <c r="C285" s="2">
        <f t="shared" si="3"/>
        <v>2</v>
      </c>
      <c r="D285" s="9"/>
      <c r="E285" s="2">
        <f>COUNTIFS(集計用!$G283,"*, "&amp;E$3&amp;", *")</f>
        <v>1</v>
      </c>
      <c r="F285" s="2">
        <f>COUNTIFS(集計用!$G283,"*, "&amp;F$3&amp;", *")</f>
        <v>0</v>
      </c>
      <c r="G285" s="2">
        <f>COUNTIFS(集計用!$G283,"*, "&amp;G$3&amp;", *")</f>
        <v>0</v>
      </c>
      <c r="H285" s="2">
        <f>COUNTIFS(集計用!$G283,"*, "&amp;H$3&amp;", *")</f>
        <v>0</v>
      </c>
      <c r="I285" s="2">
        <f>COUNTIFS(集計用!$G283,"*, "&amp;I$3&amp;", *")</f>
        <v>0</v>
      </c>
      <c r="J285" s="2">
        <f>COUNTIFS(集計用!$G283,"*, "&amp;J$3&amp;", *")</f>
        <v>0</v>
      </c>
      <c r="K285" s="2">
        <f>COUNTIFS(集計用!$G283,"*, "&amp;K$3&amp;", *")</f>
        <v>1</v>
      </c>
      <c r="L285" s="2">
        <f>COUNTIFS(集計用!$G283,"*, "&amp;L$3&amp;", *")</f>
        <v>0</v>
      </c>
      <c r="M285" s="2">
        <f>COUNTIFS(集計用!$G283,"*, "&amp;M$3&amp;", *")</f>
        <v>0</v>
      </c>
      <c r="N285" s="2">
        <f>COUNTIFS(集計用!$G283,"*, "&amp;N$3&amp;", *")</f>
        <v>0</v>
      </c>
      <c r="O285" s="2">
        <f>COUNTIFS(集計用!$G283,"*, "&amp;O$3&amp;", *")</f>
        <v>0</v>
      </c>
      <c r="P285" s="2">
        <f>COUNTIFS(集計用!$G283,"*, "&amp;P$3&amp;", *")</f>
        <v>0</v>
      </c>
      <c r="Q285" s="2">
        <f>COUNTIFS(集計用!$G283,"*, "&amp;Q$3&amp;", *")</f>
        <v>0</v>
      </c>
      <c r="R285" s="2">
        <f>COUNTIFS(集計用!$G283,"*, "&amp;R$3&amp;", *")</f>
        <v>0</v>
      </c>
      <c r="S285" s="2">
        <f>COUNTIFS(集計用!$G283,"*, "&amp;S$3&amp;", *")</f>
        <v>0</v>
      </c>
      <c r="T285" s="2">
        <f>COUNTIFS(集計用!$G283,"*, "&amp;T$3&amp;", *")</f>
        <v>0</v>
      </c>
      <c r="U285" s="2">
        <f>COUNTIFS(集計用!$G283,"*, "&amp;U$3&amp;", *")</f>
        <v>0</v>
      </c>
      <c r="V285" s="2">
        <f>COUNTIFS(集計用!$G283,"*, "&amp;V$3&amp;", *")</f>
        <v>0</v>
      </c>
      <c r="W285" s="2">
        <f>COUNTIFS(集計用!$G283,"*, "&amp;W$3&amp;", *")</f>
        <v>0</v>
      </c>
      <c r="X285" s="2">
        <f>COUNTIFS(集計用!$G283,"*, "&amp;X$3&amp;", *")</f>
        <v>0</v>
      </c>
      <c r="Y285" s="2">
        <f>COUNTIFS(集計用!$G283,"*, "&amp;Y$3&amp;", *")</f>
        <v>0</v>
      </c>
      <c r="Z285" s="2">
        <f>COUNTIFS(集計用!$G283,"*, "&amp;Z$3&amp;", *")</f>
        <v>0</v>
      </c>
      <c r="AA285" s="2">
        <f>COUNTIFS(集計用!$G283,"*, "&amp;AA$3&amp;", *")</f>
        <v>0</v>
      </c>
      <c r="AB285" s="2">
        <f>COUNTIFS(集計用!$G283,"*, "&amp;AB$3&amp;", *")</f>
        <v>0</v>
      </c>
      <c r="AC285" s="2">
        <f>COUNTIFS(集計用!$G283,"*, "&amp;AC$3&amp;", *")</f>
        <v>0</v>
      </c>
      <c r="AD285" s="2">
        <f>COUNTIFS(集計用!$G283,"*, "&amp;AD$3&amp;", *")</f>
        <v>0</v>
      </c>
      <c r="AE285" s="2">
        <f>COUNTIFS(集計用!$G283,"*, "&amp;AE$3&amp;", *")</f>
        <v>0</v>
      </c>
      <c r="AF285" s="2">
        <f>COUNTIFS(集計用!$G283,"*, "&amp;AF$3&amp;", *")</f>
        <v>0</v>
      </c>
      <c r="AG285" s="2">
        <f>COUNTIFS(集計用!$G283,"*, "&amp;AG$3&amp;", *")</f>
        <v>0</v>
      </c>
      <c r="AH285" s="2">
        <f>COUNTIFS(集計用!$G283,"*, "&amp;AH$3&amp;", *")</f>
        <v>0</v>
      </c>
      <c r="AI285" s="2">
        <f>COUNTIFS(集計用!$G283,"*, "&amp;AI$3&amp;", *")</f>
        <v>0</v>
      </c>
      <c r="AJ285" s="2">
        <f>COUNTIFS(集計用!$G283,"*, "&amp;AJ$3&amp;", *")</f>
        <v>0</v>
      </c>
      <c r="AK285" s="2">
        <f>COUNTIFS(集計用!$G283,"*, "&amp;AK$3&amp;", *")</f>
        <v>0</v>
      </c>
      <c r="AL285" s="2">
        <f>COUNTIFS(集計用!$G283,"*, "&amp;AL$3&amp;", *")</f>
        <v>0</v>
      </c>
      <c r="AM285" s="2">
        <f>COUNTIFS(集計用!$G283,"*, "&amp;AM$3&amp;", *")</f>
        <v>0</v>
      </c>
      <c r="AN285" s="2">
        <f>COUNTIFS(集計用!$G283,"*, "&amp;AN$3&amp;", *")</f>
        <v>0</v>
      </c>
      <c r="AO285" s="2">
        <f>COUNTIFS(集計用!$G283,"*, "&amp;AO$3&amp;", *")</f>
        <v>0</v>
      </c>
      <c r="AP285" s="2">
        <f>COUNTIFS(集計用!$G283,"*, "&amp;AP$3&amp;", *")</f>
        <v>0</v>
      </c>
      <c r="AQ285" s="2">
        <f>COUNTIFS(集計用!$G283,"*, "&amp;AQ$3&amp;", *")</f>
        <v>0</v>
      </c>
      <c r="AR285" s="2">
        <f>COUNTIFS(集計用!$G283,"*, "&amp;AR$3&amp;", *")</f>
        <v>0</v>
      </c>
      <c r="AS285" s="2">
        <f>COUNTIFS(集計用!$G283,"*, "&amp;AS$3&amp;", *")</f>
        <v>0</v>
      </c>
      <c r="AT285" s="2">
        <f>COUNTIFS(集計用!$G283,"*, "&amp;AT$3&amp;", *")</f>
        <v>0</v>
      </c>
      <c r="AU285" s="2">
        <f>COUNTIFS(集計用!$G283,"*, "&amp;AU$3&amp;", *")</f>
        <v>0</v>
      </c>
      <c r="AV285" s="2">
        <f>COUNTIFS(集計用!$G283,"*, "&amp;AV$3&amp;", *")</f>
        <v>0</v>
      </c>
      <c r="AW285" s="2">
        <f>COUNTIFS(集計用!$G283,"*, "&amp;AW$3&amp;", *")</f>
        <v>0</v>
      </c>
      <c r="AX285" s="2">
        <f>COUNTIFS(集計用!$G283,"*, "&amp;AX$3&amp;", *")</f>
        <v>0</v>
      </c>
      <c r="AY285" s="2">
        <f>COUNTIFS(集計用!$G283,"*, "&amp;AY$3&amp;", *")</f>
        <v>0</v>
      </c>
      <c r="AZ285" s="2">
        <f>COUNTIFS(集計用!$G283,"*, "&amp;AZ$3&amp;", *")</f>
        <v>0</v>
      </c>
      <c r="BA285" s="2">
        <f>COUNTIFS(集計用!$G283,"*, "&amp;BA$3&amp;", *")</f>
        <v>0</v>
      </c>
      <c r="BB285" s="2">
        <f>COUNTIFS(集計用!$G283,"*, "&amp;BB$3&amp;", *")</f>
        <v>0</v>
      </c>
      <c r="BC285" s="2">
        <f>COUNTIFS(集計用!$G283,"*, "&amp;BC$3&amp;", *")</f>
        <v>0</v>
      </c>
      <c r="BD285" s="2">
        <f>COUNTIFS(集計用!$G283,"*, "&amp;BD$3&amp;", *")</f>
        <v>0</v>
      </c>
      <c r="BE285" s="2">
        <f>COUNTIFS(集計用!$G283,"*, "&amp;BE$3&amp;", *")</f>
        <v>0</v>
      </c>
      <c r="BF285" s="2">
        <f>COUNTIFS(集計用!$G283,"*, "&amp;BF$3&amp;", *")</f>
        <v>0</v>
      </c>
      <c r="BG285" s="2">
        <f>COUNTIFS(集計用!$G283,"*, "&amp;BG$3&amp;", *")</f>
        <v>0</v>
      </c>
      <c r="BH285" s="2">
        <f>COUNTIFS(集計用!$G283,"*, "&amp;BH$3&amp;", *")</f>
        <v>0</v>
      </c>
      <c r="BI285" s="2">
        <f>COUNTIFS(集計用!$G283,"*, "&amp;BI$3&amp;", *")</f>
        <v>0</v>
      </c>
      <c r="BJ285" s="2">
        <f>LEN(集計用!H283)-LEN(SUBSTITUTE(集計用!H283,",",""))</f>
        <v>0</v>
      </c>
    </row>
    <row r="286" spans="1:62" ht="12.75">
      <c r="A286" s="8">
        <v>283</v>
      </c>
      <c r="C286" s="2">
        <f t="shared" si="3"/>
        <v>3</v>
      </c>
      <c r="D286" s="9"/>
      <c r="E286" s="2">
        <f>COUNTIFS(集計用!$G284,"*, "&amp;E$3&amp;", *")</f>
        <v>1</v>
      </c>
      <c r="F286" s="2">
        <f>COUNTIFS(集計用!$G284,"*, "&amp;F$3&amp;", *")</f>
        <v>0</v>
      </c>
      <c r="G286" s="2">
        <f>COUNTIFS(集計用!$G284,"*, "&amp;G$3&amp;", *")</f>
        <v>0</v>
      </c>
      <c r="H286" s="2">
        <f>COUNTIFS(集計用!$G284,"*, "&amp;H$3&amp;", *")</f>
        <v>0</v>
      </c>
      <c r="I286" s="2">
        <f>COUNTIFS(集計用!$G284,"*, "&amp;I$3&amp;", *")</f>
        <v>0</v>
      </c>
      <c r="J286" s="2">
        <f>COUNTIFS(集計用!$G284,"*, "&amp;J$3&amp;", *")</f>
        <v>0</v>
      </c>
      <c r="K286" s="2">
        <f>COUNTIFS(集計用!$G284,"*, "&amp;K$3&amp;", *")</f>
        <v>0</v>
      </c>
      <c r="L286" s="2">
        <f>COUNTIFS(集計用!$G284,"*, "&amp;L$3&amp;", *")</f>
        <v>0</v>
      </c>
      <c r="M286" s="2">
        <f>COUNTIFS(集計用!$G284,"*, "&amp;M$3&amp;", *")</f>
        <v>0</v>
      </c>
      <c r="N286" s="2">
        <f>COUNTIFS(集計用!$G284,"*, "&amp;N$3&amp;", *")</f>
        <v>0</v>
      </c>
      <c r="O286" s="2">
        <f>COUNTIFS(集計用!$G284,"*, "&amp;O$3&amp;", *")</f>
        <v>0</v>
      </c>
      <c r="P286" s="2">
        <f>COUNTIFS(集計用!$G284,"*, "&amp;P$3&amp;", *")</f>
        <v>1</v>
      </c>
      <c r="Q286" s="2">
        <f>COUNTIFS(集計用!$G284,"*, "&amp;Q$3&amp;", *")</f>
        <v>0</v>
      </c>
      <c r="R286" s="2">
        <f>COUNTIFS(集計用!$G284,"*, "&amp;R$3&amp;", *")</f>
        <v>1</v>
      </c>
      <c r="S286" s="2">
        <f>COUNTIFS(集計用!$G284,"*, "&amp;S$3&amp;", *")</f>
        <v>0</v>
      </c>
      <c r="T286" s="2">
        <f>COUNTIFS(集計用!$G284,"*, "&amp;T$3&amp;", *")</f>
        <v>0</v>
      </c>
      <c r="U286" s="2">
        <f>COUNTIFS(集計用!$G284,"*, "&amp;U$3&amp;", *")</f>
        <v>0</v>
      </c>
      <c r="V286" s="2">
        <f>COUNTIFS(集計用!$G284,"*, "&amp;V$3&amp;", *")</f>
        <v>0</v>
      </c>
      <c r="W286" s="2">
        <f>COUNTIFS(集計用!$G284,"*, "&amp;W$3&amp;", *")</f>
        <v>0</v>
      </c>
      <c r="X286" s="2">
        <f>COUNTIFS(集計用!$G284,"*, "&amp;X$3&amp;", *")</f>
        <v>0</v>
      </c>
      <c r="Y286" s="2">
        <f>COUNTIFS(集計用!$G284,"*, "&amp;Y$3&amp;", *")</f>
        <v>0</v>
      </c>
      <c r="Z286" s="2">
        <f>COUNTIFS(集計用!$G284,"*, "&amp;Z$3&amp;", *")</f>
        <v>0</v>
      </c>
      <c r="AA286" s="2">
        <f>COUNTIFS(集計用!$G284,"*, "&amp;AA$3&amp;", *")</f>
        <v>0</v>
      </c>
      <c r="AB286" s="2">
        <f>COUNTIFS(集計用!$G284,"*, "&amp;AB$3&amp;", *")</f>
        <v>0</v>
      </c>
      <c r="AC286" s="2">
        <f>COUNTIFS(集計用!$G284,"*, "&amp;AC$3&amp;", *")</f>
        <v>0</v>
      </c>
      <c r="AD286" s="2">
        <f>COUNTIFS(集計用!$G284,"*, "&amp;AD$3&amp;", *")</f>
        <v>0</v>
      </c>
      <c r="AE286" s="2">
        <f>COUNTIFS(集計用!$G284,"*, "&amp;AE$3&amp;", *")</f>
        <v>0</v>
      </c>
      <c r="AF286" s="2">
        <f>COUNTIFS(集計用!$G284,"*, "&amp;AF$3&amp;", *")</f>
        <v>0</v>
      </c>
      <c r="AG286" s="2">
        <f>COUNTIFS(集計用!$G284,"*, "&amp;AG$3&amp;", *")</f>
        <v>0</v>
      </c>
      <c r="AH286" s="2">
        <f>COUNTIFS(集計用!$G284,"*, "&amp;AH$3&amp;", *")</f>
        <v>0</v>
      </c>
      <c r="AI286" s="2">
        <f>COUNTIFS(集計用!$G284,"*, "&amp;AI$3&amp;", *")</f>
        <v>0</v>
      </c>
      <c r="AJ286" s="2">
        <f>COUNTIFS(集計用!$G284,"*, "&amp;AJ$3&amp;", *")</f>
        <v>0</v>
      </c>
      <c r="AK286" s="2">
        <f>COUNTIFS(集計用!$G284,"*, "&amp;AK$3&amp;", *")</f>
        <v>0</v>
      </c>
      <c r="AL286" s="2">
        <f>COUNTIFS(集計用!$G284,"*, "&amp;AL$3&amp;", *")</f>
        <v>0</v>
      </c>
      <c r="AM286" s="2">
        <f>COUNTIFS(集計用!$G284,"*, "&amp;AM$3&amp;", *")</f>
        <v>0</v>
      </c>
      <c r="AN286" s="2">
        <f>COUNTIFS(集計用!$G284,"*, "&amp;AN$3&amp;", *")</f>
        <v>0</v>
      </c>
      <c r="AO286" s="2">
        <f>COUNTIFS(集計用!$G284,"*, "&amp;AO$3&amp;", *")</f>
        <v>0</v>
      </c>
      <c r="AP286" s="2">
        <f>COUNTIFS(集計用!$G284,"*, "&amp;AP$3&amp;", *")</f>
        <v>0</v>
      </c>
      <c r="AQ286" s="2">
        <f>COUNTIFS(集計用!$G284,"*, "&amp;AQ$3&amp;", *")</f>
        <v>0</v>
      </c>
      <c r="AR286" s="2">
        <f>COUNTIFS(集計用!$G284,"*, "&amp;AR$3&amp;", *")</f>
        <v>0</v>
      </c>
      <c r="AS286" s="2">
        <f>COUNTIFS(集計用!$G284,"*, "&amp;AS$3&amp;", *")</f>
        <v>0</v>
      </c>
      <c r="AT286" s="2">
        <f>COUNTIFS(集計用!$G284,"*, "&amp;AT$3&amp;", *")</f>
        <v>0</v>
      </c>
      <c r="AU286" s="2">
        <f>COUNTIFS(集計用!$G284,"*, "&amp;AU$3&amp;", *")</f>
        <v>0</v>
      </c>
      <c r="AV286" s="2">
        <f>COUNTIFS(集計用!$G284,"*, "&amp;AV$3&amp;", *")</f>
        <v>0</v>
      </c>
      <c r="AW286" s="2">
        <f>COUNTIFS(集計用!$G284,"*, "&amp;AW$3&amp;", *")</f>
        <v>0</v>
      </c>
      <c r="AX286" s="2">
        <f>COUNTIFS(集計用!$G284,"*, "&amp;AX$3&amp;", *")</f>
        <v>0</v>
      </c>
      <c r="AY286" s="2">
        <f>COUNTIFS(集計用!$G284,"*, "&amp;AY$3&amp;", *")</f>
        <v>0</v>
      </c>
      <c r="AZ286" s="2">
        <f>COUNTIFS(集計用!$G284,"*, "&amp;AZ$3&amp;", *")</f>
        <v>0</v>
      </c>
      <c r="BA286" s="2">
        <f>COUNTIFS(集計用!$G284,"*, "&amp;BA$3&amp;", *")</f>
        <v>0</v>
      </c>
      <c r="BB286" s="2">
        <f>COUNTIFS(集計用!$G284,"*, "&amp;BB$3&amp;", *")</f>
        <v>0</v>
      </c>
      <c r="BC286" s="2">
        <f>COUNTIFS(集計用!$G284,"*, "&amp;BC$3&amp;", *")</f>
        <v>0</v>
      </c>
      <c r="BD286" s="2">
        <f>COUNTIFS(集計用!$G284,"*, "&amp;BD$3&amp;", *")</f>
        <v>0</v>
      </c>
      <c r="BE286" s="2">
        <f>COUNTIFS(集計用!$G284,"*, "&amp;BE$3&amp;", *")</f>
        <v>0</v>
      </c>
      <c r="BF286" s="2">
        <f>COUNTIFS(集計用!$G284,"*, "&amp;BF$3&amp;", *")</f>
        <v>0</v>
      </c>
      <c r="BG286" s="2">
        <f>COUNTIFS(集計用!$G284,"*, "&amp;BG$3&amp;", *")</f>
        <v>0</v>
      </c>
      <c r="BH286" s="2">
        <f>COUNTIFS(集計用!$G284,"*, "&amp;BH$3&amp;", *")</f>
        <v>0</v>
      </c>
      <c r="BI286" s="2">
        <f>COUNTIFS(集計用!$G284,"*, "&amp;BI$3&amp;", *")</f>
        <v>0</v>
      </c>
      <c r="BJ286" s="2">
        <f>LEN(集計用!H284)-LEN(SUBSTITUTE(集計用!H284,",",""))</f>
        <v>0</v>
      </c>
    </row>
    <row r="287" spans="1:62" ht="12.75">
      <c r="A287" s="8">
        <v>284</v>
      </c>
      <c r="C287" s="2">
        <f t="shared" si="3"/>
        <v>4</v>
      </c>
      <c r="D287" s="9"/>
      <c r="E287" s="2">
        <f>COUNTIFS(集計用!$G285,"*, "&amp;E$3&amp;", *")</f>
        <v>0</v>
      </c>
      <c r="F287" s="2">
        <f>COUNTIFS(集計用!$G285,"*, "&amp;F$3&amp;", *")</f>
        <v>0</v>
      </c>
      <c r="G287" s="2">
        <f>COUNTIFS(集計用!$G285,"*, "&amp;G$3&amp;", *")</f>
        <v>0</v>
      </c>
      <c r="H287" s="2">
        <f>COUNTIFS(集計用!$G285,"*, "&amp;H$3&amp;", *")</f>
        <v>0</v>
      </c>
      <c r="I287" s="2">
        <f>COUNTIFS(集計用!$G285,"*, "&amp;I$3&amp;", *")</f>
        <v>0</v>
      </c>
      <c r="J287" s="2">
        <f>COUNTIFS(集計用!$G285,"*, "&amp;J$3&amp;", *")</f>
        <v>0</v>
      </c>
      <c r="K287" s="2">
        <f>COUNTIFS(集計用!$G285,"*, "&amp;K$3&amp;", *")</f>
        <v>0</v>
      </c>
      <c r="L287" s="2">
        <f>COUNTIFS(集計用!$G285,"*, "&amp;L$3&amp;", *")</f>
        <v>0</v>
      </c>
      <c r="M287" s="2">
        <f>COUNTIFS(集計用!$G285,"*, "&amp;M$3&amp;", *")</f>
        <v>0</v>
      </c>
      <c r="N287" s="2">
        <f>COUNTIFS(集計用!$G285,"*, "&amp;N$3&amp;", *")</f>
        <v>0</v>
      </c>
      <c r="O287" s="2">
        <f>COUNTIFS(集計用!$G285,"*, "&amp;O$3&amp;", *")</f>
        <v>0</v>
      </c>
      <c r="P287" s="2">
        <f>COUNTIFS(集計用!$G285,"*, "&amp;P$3&amp;", *")</f>
        <v>0</v>
      </c>
      <c r="Q287" s="2">
        <f>COUNTIFS(集計用!$G285,"*, "&amp;Q$3&amp;", *")</f>
        <v>1</v>
      </c>
      <c r="R287" s="2">
        <f>COUNTIFS(集計用!$G285,"*, "&amp;R$3&amp;", *")</f>
        <v>0</v>
      </c>
      <c r="S287" s="2">
        <f>COUNTIFS(集計用!$G285,"*, "&amp;S$3&amp;", *")</f>
        <v>0</v>
      </c>
      <c r="T287" s="2">
        <f>COUNTIFS(集計用!$G285,"*, "&amp;T$3&amp;", *")</f>
        <v>0</v>
      </c>
      <c r="U287" s="2">
        <f>COUNTIFS(集計用!$G285,"*, "&amp;U$3&amp;", *")</f>
        <v>0</v>
      </c>
      <c r="V287" s="2">
        <f>COUNTIFS(集計用!$G285,"*, "&amp;V$3&amp;", *")</f>
        <v>0</v>
      </c>
      <c r="W287" s="2">
        <f>COUNTIFS(集計用!$G285,"*, "&amp;W$3&amp;", *")</f>
        <v>0</v>
      </c>
      <c r="X287" s="2">
        <f>COUNTIFS(集計用!$G285,"*, "&amp;X$3&amp;", *")</f>
        <v>0</v>
      </c>
      <c r="Y287" s="2">
        <f>COUNTIFS(集計用!$G285,"*, "&amp;Y$3&amp;", *")</f>
        <v>0</v>
      </c>
      <c r="Z287" s="2">
        <f>COUNTIFS(集計用!$G285,"*, "&amp;Z$3&amp;", *")</f>
        <v>0</v>
      </c>
      <c r="AA287" s="2">
        <f>COUNTIFS(集計用!$G285,"*, "&amp;AA$3&amp;", *")</f>
        <v>0</v>
      </c>
      <c r="AB287" s="2">
        <f>COUNTIFS(集計用!$G285,"*, "&amp;AB$3&amp;", *")</f>
        <v>0</v>
      </c>
      <c r="AC287" s="2">
        <f>COUNTIFS(集計用!$G285,"*, "&amp;AC$3&amp;", *")</f>
        <v>0</v>
      </c>
      <c r="AD287" s="2">
        <f>COUNTIFS(集計用!$G285,"*, "&amp;AD$3&amp;", *")</f>
        <v>1</v>
      </c>
      <c r="AE287" s="2">
        <f>COUNTIFS(集計用!$G285,"*, "&amp;AE$3&amp;", *")</f>
        <v>0</v>
      </c>
      <c r="AF287" s="2">
        <f>COUNTIFS(集計用!$G285,"*, "&amp;AF$3&amp;", *")</f>
        <v>0</v>
      </c>
      <c r="AG287" s="2">
        <f>COUNTIFS(集計用!$G285,"*, "&amp;AG$3&amp;", *")</f>
        <v>0</v>
      </c>
      <c r="AH287" s="2">
        <f>COUNTIFS(集計用!$G285,"*, "&amp;AH$3&amp;", *")</f>
        <v>0</v>
      </c>
      <c r="AI287" s="2">
        <f>COUNTIFS(集計用!$G285,"*, "&amp;AI$3&amp;", *")</f>
        <v>0</v>
      </c>
      <c r="AJ287" s="2">
        <f>COUNTIFS(集計用!$G285,"*, "&amp;AJ$3&amp;", *")</f>
        <v>0</v>
      </c>
      <c r="AK287" s="2">
        <f>COUNTIFS(集計用!$G285,"*, "&amp;AK$3&amp;", *")</f>
        <v>0</v>
      </c>
      <c r="AL287" s="2">
        <f>COUNTIFS(集計用!$G285,"*, "&amp;AL$3&amp;", *")</f>
        <v>0</v>
      </c>
      <c r="AM287" s="2">
        <f>COUNTIFS(集計用!$G285,"*, "&amp;AM$3&amp;", *")</f>
        <v>0</v>
      </c>
      <c r="AN287" s="2">
        <f>COUNTIFS(集計用!$G285,"*, "&amp;AN$3&amp;", *")</f>
        <v>1</v>
      </c>
      <c r="AO287" s="2">
        <f>COUNTIFS(集計用!$G285,"*, "&amp;AO$3&amp;", *")</f>
        <v>0</v>
      </c>
      <c r="AP287" s="2">
        <f>COUNTIFS(集計用!$G285,"*, "&amp;AP$3&amp;", *")</f>
        <v>0</v>
      </c>
      <c r="AQ287" s="2">
        <f>COUNTIFS(集計用!$G285,"*, "&amp;AQ$3&amp;", *")</f>
        <v>0</v>
      </c>
      <c r="AR287" s="2">
        <f>COUNTIFS(集計用!$G285,"*, "&amp;AR$3&amp;", *")</f>
        <v>0</v>
      </c>
      <c r="AS287" s="2">
        <f>COUNTIFS(集計用!$G285,"*, "&amp;AS$3&amp;", *")</f>
        <v>0</v>
      </c>
      <c r="AT287" s="2">
        <f>COUNTIFS(集計用!$G285,"*, "&amp;AT$3&amp;", *")</f>
        <v>0</v>
      </c>
      <c r="AU287" s="2">
        <f>COUNTIFS(集計用!$G285,"*, "&amp;AU$3&amp;", *")</f>
        <v>0</v>
      </c>
      <c r="AV287" s="2">
        <f>COUNTIFS(集計用!$G285,"*, "&amp;AV$3&amp;", *")</f>
        <v>0</v>
      </c>
      <c r="AW287" s="2">
        <f>COUNTIFS(集計用!$G285,"*, "&amp;AW$3&amp;", *")</f>
        <v>0</v>
      </c>
      <c r="AX287" s="2">
        <f>COUNTIFS(集計用!$G285,"*, "&amp;AX$3&amp;", *")</f>
        <v>0</v>
      </c>
      <c r="AY287" s="2">
        <f>COUNTIFS(集計用!$G285,"*, "&amp;AY$3&amp;", *")</f>
        <v>0</v>
      </c>
      <c r="AZ287" s="2">
        <f>COUNTIFS(集計用!$G285,"*, "&amp;AZ$3&amp;", *")</f>
        <v>0</v>
      </c>
      <c r="BA287" s="2">
        <f>COUNTIFS(集計用!$G285,"*, "&amp;BA$3&amp;", *")</f>
        <v>0</v>
      </c>
      <c r="BB287" s="2">
        <f>COUNTIFS(集計用!$G285,"*, "&amp;BB$3&amp;", *")</f>
        <v>0</v>
      </c>
      <c r="BC287" s="2">
        <f>COUNTIFS(集計用!$G285,"*, "&amp;BC$3&amp;", *")</f>
        <v>0</v>
      </c>
      <c r="BD287" s="2">
        <f>COUNTIFS(集計用!$G285,"*, "&amp;BD$3&amp;", *")</f>
        <v>0</v>
      </c>
      <c r="BE287" s="2">
        <f>COUNTIFS(集計用!$G285,"*, "&amp;BE$3&amp;", *")</f>
        <v>0</v>
      </c>
      <c r="BF287" s="2">
        <f>COUNTIFS(集計用!$G285,"*, "&amp;BF$3&amp;", *")</f>
        <v>0</v>
      </c>
      <c r="BG287" s="2">
        <f>COUNTIFS(集計用!$G285,"*, "&amp;BG$3&amp;", *")</f>
        <v>0</v>
      </c>
      <c r="BH287" s="2">
        <f>COUNTIFS(集計用!$G285,"*, "&amp;BH$3&amp;", *")</f>
        <v>0</v>
      </c>
      <c r="BI287" s="2">
        <f>COUNTIFS(集計用!$G285,"*, "&amp;BI$3&amp;", *")</f>
        <v>0</v>
      </c>
      <c r="BJ287" s="2">
        <f>LEN(集計用!H285)-LEN(SUBSTITUTE(集計用!H285,",",""))</f>
        <v>1</v>
      </c>
    </row>
    <row r="288" spans="1:62" ht="12.75">
      <c r="A288" s="8">
        <v>285</v>
      </c>
      <c r="C288" s="2">
        <f t="shared" si="3"/>
        <v>3</v>
      </c>
      <c r="D288" s="9"/>
      <c r="E288" s="2">
        <f>COUNTIFS(集計用!$G286,"*, "&amp;E$3&amp;", *")</f>
        <v>1</v>
      </c>
      <c r="F288" s="2">
        <f>COUNTIFS(集計用!$G286,"*, "&amp;F$3&amp;", *")</f>
        <v>0</v>
      </c>
      <c r="G288" s="2">
        <f>COUNTIFS(集計用!$G286,"*, "&amp;G$3&amp;", *")</f>
        <v>0</v>
      </c>
      <c r="H288" s="2">
        <f>COUNTIFS(集計用!$G286,"*, "&amp;H$3&amp;", *")</f>
        <v>0</v>
      </c>
      <c r="I288" s="2">
        <f>COUNTIFS(集計用!$G286,"*, "&amp;I$3&amp;", *")</f>
        <v>0</v>
      </c>
      <c r="J288" s="2">
        <f>COUNTIFS(集計用!$G286,"*, "&amp;J$3&amp;", *")</f>
        <v>0</v>
      </c>
      <c r="K288" s="2">
        <f>COUNTIFS(集計用!$G286,"*, "&amp;K$3&amp;", *")</f>
        <v>0</v>
      </c>
      <c r="L288" s="2">
        <f>COUNTIFS(集計用!$G286,"*, "&amp;L$3&amp;", *")</f>
        <v>0</v>
      </c>
      <c r="M288" s="2">
        <f>COUNTIFS(集計用!$G286,"*, "&amp;M$3&amp;", *")</f>
        <v>0</v>
      </c>
      <c r="N288" s="2">
        <f>COUNTIFS(集計用!$G286,"*, "&amp;N$3&amp;", *")</f>
        <v>0</v>
      </c>
      <c r="O288" s="2">
        <f>COUNTIFS(集計用!$G286,"*, "&amp;O$3&amp;", *")</f>
        <v>0</v>
      </c>
      <c r="P288" s="2">
        <f>COUNTIFS(集計用!$G286,"*, "&amp;P$3&amp;", *")</f>
        <v>0</v>
      </c>
      <c r="Q288" s="2">
        <f>COUNTIFS(集計用!$G286,"*, "&amp;Q$3&amp;", *")</f>
        <v>0</v>
      </c>
      <c r="R288" s="2">
        <f>COUNTIFS(集計用!$G286,"*, "&amp;R$3&amp;", *")</f>
        <v>0</v>
      </c>
      <c r="S288" s="2">
        <f>COUNTIFS(集計用!$G286,"*, "&amp;S$3&amp;", *")</f>
        <v>0</v>
      </c>
      <c r="T288" s="2">
        <f>COUNTIFS(集計用!$G286,"*, "&amp;T$3&amp;", *")</f>
        <v>0</v>
      </c>
      <c r="U288" s="2">
        <f>COUNTIFS(集計用!$G286,"*, "&amp;U$3&amp;", *")</f>
        <v>0</v>
      </c>
      <c r="V288" s="2">
        <f>COUNTIFS(集計用!$G286,"*, "&amp;V$3&amp;", *")</f>
        <v>0</v>
      </c>
      <c r="W288" s="2">
        <f>COUNTIFS(集計用!$G286,"*, "&amp;W$3&amp;", *")</f>
        <v>0</v>
      </c>
      <c r="X288" s="2">
        <f>COUNTIFS(集計用!$G286,"*, "&amp;X$3&amp;", *")</f>
        <v>0</v>
      </c>
      <c r="Y288" s="2">
        <f>COUNTIFS(集計用!$G286,"*, "&amp;Y$3&amp;", *")</f>
        <v>0</v>
      </c>
      <c r="Z288" s="2">
        <f>COUNTIFS(集計用!$G286,"*, "&amp;Z$3&amp;", *")</f>
        <v>0</v>
      </c>
      <c r="AA288" s="2">
        <f>COUNTIFS(集計用!$G286,"*, "&amp;AA$3&amp;", *")</f>
        <v>1</v>
      </c>
      <c r="AB288" s="2">
        <f>COUNTIFS(集計用!$G286,"*, "&amp;AB$3&amp;", *")</f>
        <v>1</v>
      </c>
      <c r="AC288" s="2">
        <f>COUNTIFS(集計用!$G286,"*, "&amp;AC$3&amp;", *")</f>
        <v>0</v>
      </c>
      <c r="AD288" s="2">
        <f>COUNTIFS(集計用!$G286,"*, "&amp;AD$3&amp;", *")</f>
        <v>0</v>
      </c>
      <c r="AE288" s="2">
        <f>COUNTIFS(集計用!$G286,"*, "&amp;AE$3&amp;", *")</f>
        <v>0</v>
      </c>
      <c r="AF288" s="2">
        <f>COUNTIFS(集計用!$G286,"*, "&amp;AF$3&amp;", *")</f>
        <v>0</v>
      </c>
      <c r="AG288" s="2">
        <f>COUNTIFS(集計用!$G286,"*, "&amp;AG$3&amp;", *")</f>
        <v>0</v>
      </c>
      <c r="AH288" s="2">
        <f>COUNTIFS(集計用!$G286,"*, "&amp;AH$3&amp;", *")</f>
        <v>0</v>
      </c>
      <c r="AI288" s="2">
        <f>COUNTIFS(集計用!$G286,"*, "&amp;AI$3&amp;", *")</f>
        <v>0</v>
      </c>
      <c r="AJ288" s="2">
        <f>COUNTIFS(集計用!$G286,"*, "&amp;AJ$3&amp;", *")</f>
        <v>0</v>
      </c>
      <c r="AK288" s="2">
        <f>COUNTIFS(集計用!$G286,"*, "&amp;AK$3&amp;", *")</f>
        <v>0</v>
      </c>
      <c r="AL288" s="2">
        <f>COUNTIFS(集計用!$G286,"*, "&amp;AL$3&amp;", *")</f>
        <v>0</v>
      </c>
      <c r="AM288" s="2">
        <f>COUNTIFS(集計用!$G286,"*, "&amp;AM$3&amp;", *")</f>
        <v>0</v>
      </c>
      <c r="AN288" s="2">
        <f>COUNTIFS(集計用!$G286,"*, "&amp;AN$3&amp;", *")</f>
        <v>0</v>
      </c>
      <c r="AO288" s="2">
        <f>COUNTIFS(集計用!$G286,"*, "&amp;AO$3&amp;", *")</f>
        <v>0</v>
      </c>
      <c r="AP288" s="2">
        <f>COUNTIFS(集計用!$G286,"*, "&amp;AP$3&amp;", *")</f>
        <v>0</v>
      </c>
      <c r="AQ288" s="2">
        <f>COUNTIFS(集計用!$G286,"*, "&amp;AQ$3&amp;", *")</f>
        <v>0</v>
      </c>
      <c r="AR288" s="2">
        <f>COUNTIFS(集計用!$G286,"*, "&amp;AR$3&amp;", *")</f>
        <v>0</v>
      </c>
      <c r="AS288" s="2">
        <f>COUNTIFS(集計用!$G286,"*, "&amp;AS$3&amp;", *")</f>
        <v>0</v>
      </c>
      <c r="AT288" s="2">
        <f>COUNTIFS(集計用!$G286,"*, "&amp;AT$3&amp;", *")</f>
        <v>0</v>
      </c>
      <c r="AU288" s="2">
        <f>COUNTIFS(集計用!$G286,"*, "&amp;AU$3&amp;", *")</f>
        <v>0</v>
      </c>
      <c r="AV288" s="2">
        <f>COUNTIFS(集計用!$G286,"*, "&amp;AV$3&amp;", *")</f>
        <v>0</v>
      </c>
      <c r="AW288" s="2">
        <f>COUNTIFS(集計用!$G286,"*, "&amp;AW$3&amp;", *")</f>
        <v>0</v>
      </c>
      <c r="AX288" s="2">
        <f>COUNTIFS(集計用!$G286,"*, "&amp;AX$3&amp;", *")</f>
        <v>0</v>
      </c>
      <c r="AY288" s="2">
        <f>COUNTIFS(集計用!$G286,"*, "&amp;AY$3&amp;", *")</f>
        <v>0</v>
      </c>
      <c r="AZ288" s="2">
        <f>COUNTIFS(集計用!$G286,"*, "&amp;AZ$3&amp;", *")</f>
        <v>0</v>
      </c>
      <c r="BA288" s="2">
        <f>COUNTIFS(集計用!$G286,"*, "&amp;BA$3&amp;", *")</f>
        <v>0</v>
      </c>
      <c r="BB288" s="2">
        <f>COUNTIFS(集計用!$G286,"*, "&amp;BB$3&amp;", *")</f>
        <v>0</v>
      </c>
      <c r="BC288" s="2">
        <f>COUNTIFS(集計用!$G286,"*, "&amp;BC$3&amp;", *")</f>
        <v>0</v>
      </c>
      <c r="BD288" s="2">
        <f>COUNTIFS(集計用!$G286,"*, "&amp;BD$3&amp;", *")</f>
        <v>0</v>
      </c>
      <c r="BE288" s="2">
        <f>COUNTIFS(集計用!$G286,"*, "&amp;BE$3&amp;", *")</f>
        <v>0</v>
      </c>
      <c r="BF288" s="2">
        <f>COUNTIFS(集計用!$G286,"*, "&amp;BF$3&amp;", *")</f>
        <v>0</v>
      </c>
      <c r="BG288" s="2">
        <f>COUNTIFS(集計用!$G286,"*, "&amp;BG$3&amp;", *")</f>
        <v>0</v>
      </c>
      <c r="BH288" s="2">
        <f>COUNTIFS(集計用!$G286,"*, "&amp;BH$3&amp;", *")</f>
        <v>0</v>
      </c>
      <c r="BI288" s="2">
        <f>COUNTIFS(集計用!$G286,"*, "&amp;BI$3&amp;", *")</f>
        <v>0</v>
      </c>
      <c r="BJ288" s="2">
        <f>LEN(集計用!H286)-LEN(SUBSTITUTE(集計用!H286,",",""))</f>
        <v>0</v>
      </c>
    </row>
    <row r="289" spans="1:62" ht="12.75">
      <c r="A289" s="8">
        <v>286</v>
      </c>
      <c r="C289" s="2">
        <f t="shared" si="3"/>
        <v>7</v>
      </c>
      <c r="D289" s="9"/>
      <c r="E289" s="2">
        <f>COUNTIFS(集計用!$G287,"*, "&amp;E$3&amp;", *")</f>
        <v>0</v>
      </c>
      <c r="F289" s="2">
        <f>COUNTIFS(集計用!$G287,"*, "&amp;F$3&amp;", *")</f>
        <v>1</v>
      </c>
      <c r="G289" s="2">
        <f>COUNTIFS(集計用!$G287,"*, "&amp;G$3&amp;", *")</f>
        <v>0</v>
      </c>
      <c r="H289" s="2">
        <f>COUNTIFS(集計用!$G287,"*, "&amp;H$3&amp;", *")</f>
        <v>0</v>
      </c>
      <c r="I289" s="2">
        <f>COUNTIFS(集計用!$G287,"*, "&amp;I$3&amp;", *")</f>
        <v>0</v>
      </c>
      <c r="J289" s="2">
        <f>COUNTIFS(集計用!$G287,"*, "&amp;J$3&amp;", *")</f>
        <v>1</v>
      </c>
      <c r="K289" s="2">
        <f>COUNTIFS(集計用!$G287,"*, "&amp;K$3&amp;", *")</f>
        <v>0</v>
      </c>
      <c r="L289" s="2">
        <f>COUNTIFS(集計用!$G287,"*, "&amp;L$3&amp;", *")</f>
        <v>0</v>
      </c>
      <c r="M289" s="2">
        <f>COUNTIFS(集計用!$G287,"*, "&amp;M$3&amp;", *")</f>
        <v>0</v>
      </c>
      <c r="N289" s="2">
        <f>COUNTIFS(集計用!$G287,"*, "&amp;N$3&amp;", *")</f>
        <v>1</v>
      </c>
      <c r="O289" s="2">
        <f>COUNTIFS(集計用!$G287,"*, "&amp;O$3&amp;", *")</f>
        <v>0</v>
      </c>
      <c r="P289" s="2">
        <f>COUNTIFS(集計用!$G287,"*, "&amp;P$3&amp;", *")</f>
        <v>0</v>
      </c>
      <c r="Q289" s="2">
        <f>COUNTIFS(集計用!$G287,"*, "&amp;Q$3&amp;", *")</f>
        <v>1</v>
      </c>
      <c r="R289" s="2">
        <f>COUNTIFS(集計用!$G287,"*, "&amp;R$3&amp;", *")</f>
        <v>0</v>
      </c>
      <c r="S289" s="2">
        <f>COUNTIFS(集計用!$G287,"*, "&amp;S$3&amp;", *")</f>
        <v>1</v>
      </c>
      <c r="T289" s="2">
        <f>COUNTIFS(集計用!$G287,"*, "&amp;T$3&amp;", *")</f>
        <v>0</v>
      </c>
      <c r="U289" s="2">
        <f>COUNTIFS(集計用!$G287,"*, "&amp;U$3&amp;", *")</f>
        <v>0</v>
      </c>
      <c r="V289" s="2">
        <f>COUNTIFS(集計用!$G287,"*, "&amp;V$3&amp;", *")</f>
        <v>0</v>
      </c>
      <c r="W289" s="2">
        <f>COUNTIFS(集計用!$G287,"*, "&amp;W$3&amp;", *")</f>
        <v>0</v>
      </c>
      <c r="X289" s="2">
        <f>COUNTIFS(集計用!$G287,"*, "&amp;X$3&amp;", *")</f>
        <v>0</v>
      </c>
      <c r="Y289" s="2">
        <f>COUNTIFS(集計用!$G287,"*, "&amp;Y$3&amp;", *")</f>
        <v>0</v>
      </c>
      <c r="Z289" s="2">
        <f>COUNTIFS(集計用!$G287,"*, "&amp;Z$3&amp;", *")</f>
        <v>0</v>
      </c>
      <c r="AA289" s="2">
        <f>COUNTIFS(集計用!$G287,"*, "&amp;AA$3&amp;", *")</f>
        <v>0</v>
      </c>
      <c r="AB289" s="2">
        <f>COUNTIFS(集計用!$G287,"*, "&amp;AB$3&amp;", *")</f>
        <v>0</v>
      </c>
      <c r="AC289" s="2">
        <f>COUNTIFS(集計用!$G287,"*, "&amp;AC$3&amp;", *")</f>
        <v>0</v>
      </c>
      <c r="AD289" s="2">
        <f>COUNTIFS(集計用!$G287,"*, "&amp;AD$3&amp;", *")</f>
        <v>0</v>
      </c>
      <c r="AE289" s="2">
        <f>COUNTIFS(集計用!$G287,"*, "&amp;AE$3&amp;", *")</f>
        <v>0</v>
      </c>
      <c r="AF289" s="2">
        <f>COUNTIFS(集計用!$G287,"*, "&amp;AF$3&amp;", *")</f>
        <v>0</v>
      </c>
      <c r="AG289" s="2">
        <f>COUNTIFS(集計用!$G287,"*, "&amp;AG$3&amp;", *")</f>
        <v>0</v>
      </c>
      <c r="AH289" s="2">
        <f>COUNTIFS(集計用!$G287,"*, "&amp;AH$3&amp;", *")</f>
        <v>0</v>
      </c>
      <c r="AI289" s="2">
        <f>COUNTIFS(集計用!$G287,"*, "&amp;AI$3&amp;", *")</f>
        <v>0</v>
      </c>
      <c r="AJ289" s="2">
        <f>COUNTIFS(集計用!$G287,"*, "&amp;AJ$3&amp;", *")</f>
        <v>0</v>
      </c>
      <c r="AK289" s="2">
        <f>COUNTIFS(集計用!$G287,"*, "&amp;AK$3&amp;", *")</f>
        <v>0</v>
      </c>
      <c r="AL289" s="2">
        <f>COUNTIFS(集計用!$G287,"*, "&amp;AL$3&amp;", *")</f>
        <v>0</v>
      </c>
      <c r="AM289" s="2">
        <f>COUNTIFS(集計用!$G287,"*, "&amp;AM$3&amp;", *")</f>
        <v>0</v>
      </c>
      <c r="AN289" s="2">
        <f>COUNTIFS(集計用!$G287,"*, "&amp;AN$3&amp;", *")</f>
        <v>0</v>
      </c>
      <c r="AO289" s="2">
        <f>COUNTIFS(集計用!$G287,"*, "&amp;AO$3&amp;", *")</f>
        <v>0</v>
      </c>
      <c r="AP289" s="2">
        <f>COUNTIFS(集計用!$G287,"*, "&amp;AP$3&amp;", *")</f>
        <v>0</v>
      </c>
      <c r="AQ289" s="2">
        <f>COUNTIFS(集計用!$G287,"*, "&amp;AQ$3&amp;", *")</f>
        <v>0</v>
      </c>
      <c r="AR289" s="2">
        <f>COUNTIFS(集計用!$G287,"*, "&amp;AR$3&amp;", *")</f>
        <v>0</v>
      </c>
      <c r="AS289" s="2">
        <f>COUNTIFS(集計用!$G287,"*, "&amp;AS$3&amp;", *")</f>
        <v>0</v>
      </c>
      <c r="AT289" s="2">
        <f>COUNTIFS(集計用!$G287,"*, "&amp;AT$3&amp;", *")</f>
        <v>0</v>
      </c>
      <c r="AU289" s="2">
        <f>COUNTIFS(集計用!$G287,"*, "&amp;AU$3&amp;", *")</f>
        <v>0</v>
      </c>
      <c r="AV289" s="2">
        <f>COUNTIFS(集計用!$G287,"*, "&amp;AV$3&amp;", *")</f>
        <v>1</v>
      </c>
      <c r="AW289" s="2">
        <f>COUNTIFS(集計用!$G287,"*, "&amp;AW$3&amp;", *")</f>
        <v>0</v>
      </c>
      <c r="AX289" s="2">
        <f>COUNTIFS(集計用!$G287,"*, "&amp;AX$3&amp;", *")</f>
        <v>0</v>
      </c>
      <c r="AY289" s="2">
        <f>COUNTIFS(集計用!$G287,"*, "&amp;AY$3&amp;", *")</f>
        <v>0</v>
      </c>
      <c r="AZ289" s="2">
        <f>COUNTIFS(集計用!$G287,"*, "&amp;AZ$3&amp;", *")</f>
        <v>0</v>
      </c>
      <c r="BA289" s="2">
        <f>COUNTIFS(集計用!$G287,"*, "&amp;BA$3&amp;", *")</f>
        <v>0</v>
      </c>
      <c r="BB289" s="2">
        <f>COUNTIFS(集計用!$G287,"*, "&amp;BB$3&amp;", *")</f>
        <v>0</v>
      </c>
      <c r="BC289" s="2">
        <f>COUNTIFS(集計用!$G287,"*, "&amp;BC$3&amp;", *")</f>
        <v>0</v>
      </c>
      <c r="BD289" s="2">
        <f>COUNTIFS(集計用!$G287,"*, "&amp;BD$3&amp;", *")</f>
        <v>0</v>
      </c>
      <c r="BE289" s="2">
        <f>COUNTIFS(集計用!$G287,"*, "&amp;BE$3&amp;", *")</f>
        <v>0</v>
      </c>
      <c r="BF289" s="2">
        <f>COUNTIFS(集計用!$G287,"*, "&amp;BF$3&amp;", *")</f>
        <v>0</v>
      </c>
      <c r="BG289" s="2">
        <f>COUNTIFS(集計用!$G287,"*, "&amp;BG$3&amp;", *")</f>
        <v>0</v>
      </c>
      <c r="BH289" s="2">
        <f>COUNTIFS(集計用!$G287,"*, "&amp;BH$3&amp;", *")</f>
        <v>0</v>
      </c>
      <c r="BI289" s="2">
        <f>COUNTIFS(集計用!$G287,"*, "&amp;BI$3&amp;", *")</f>
        <v>0</v>
      </c>
      <c r="BJ289" s="2">
        <f>LEN(集計用!H287)-LEN(SUBSTITUTE(集計用!H287,",",""))</f>
        <v>1</v>
      </c>
    </row>
    <row r="290" spans="1:62" ht="12.75">
      <c r="A290" s="8">
        <v>287</v>
      </c>
      <c r="C290" s="2">
        <f t="shared" si="3"/>
        <v>2</v>
      </c>
      <c r="D290" s="9"/>
      <c r="E290" s="2">
        <f>COUNTIFS(集計用!$G288,"*, "&amp;E$3&amp;", *")</f>
        <v>1</v>
      </c>
      <c r="F290" s="2">
        <f>COUNTIFS(集計用!$G288,"*, "&amp;F$3&amp;", *")</f>
        <v>1</v>
      </c>
      <c r="G290" s="2">
        <f>COUNTIFS(集計用!$G288,"*, "&amp;G$3&amp;", *")</f>
        <v>0</v>
      </c>
      <c r="H290" s="2">
        <f>COUNTIFS(集計用!$G288,"*, "&amp;H$3&amp;", *")</f>
        <v>0</v>
      </c>
      <c r="I290" s="2">
        <f>COUNTIFS(集計用!$G288,"*, "&amp;I$3&amp;", *")</f>
        <v>0</v>
      </c>
      <c r="J290" s="2">
        <f>COUNTIFS(集計用!$G288,"*, "&amp;J$3&amp;", *")</f>
        <v>0</v>
      </c>
      <c r="K290" s="2">
        <f>COUNTIFS(集計用!$G288,"*, "&amp;K$3&amp;", *")</f>
        <v>0</v>
      </c>
      <c r="L290" s="2">
        <f>COUNTIFS(集計用!$G288,"*, "&amp;L$3&amp;", *")</f>
        <v>0</v>
      </c>
      <c r="M290" s="2">
        <f>COUNTIFS(集計用!$G288,"*, "&amp;M$3&amp;", *")</f>
        <v>0</v>
      </c>
      <c r="N290" s="2">
        <f>COUNTIFS(集計用!$G288,"*, "&amp;N$3&amp;", *")</f>
        <v>0</v>
      </c>
      <c r="O290" s="2">
        <f>COUNTIFS(集計用!$G288,"*, "&amp;O$3&amp;", *")</f>
        <v>0</v>
      </c>
      <c r="P290" s="2">
        <f>COUNTIFS(集計用!$G288,"*, "&amp;P$3&amp;", *")</f>
        <v>0</v>
      </c>
      <c r="Q290" s="2">
        <f>COUNTIFS(集計用!$G288,"*, "&amp;Q$3&amp;", *")</f>
        <v>0</v>
      </c>
      <c r="R290" s="2">
        <f>COUNTIFS(集計用!$G288,"*, "&amp;R$3&amp;", *")</f>
        <v>0</v>
      </c>
      <c r="S290" s="2">
        <f>COUNTIFS(集計用!$G288,"*, "&amp;S$3&amp;", *")</f>
        <v>0</v>
      </c>
      <c r="T290" s="2">
        <f>COUNTIFS(集計用!$G288,"*, "&amp;T$3&amp;", *")</f>
        <v>0</v>
      </c>
      <c r="U290" s="2">
        <f>COUNTIFS(集計用!$G288,"*, "&amp;U$3&amp;", *")</f>
        <v>0</v>
      </c>
      <c r="V290" s="2">
        <f>COUNTIFS(集計用!$G288,"*, "&amp;V$3&amp;", *")</f>
        <v>0</v>
      </c>
      <c r="W290" s="2">
        <f>COUNTIFS(集計用!$G288,"*, "&amp;W$3&amp;", *")</f>
        <v>0</v>
      </c>
      <c r="X290" s="2">
        <f>COUNTIFS(集計用!$G288,"*, "&amp;X$3&amp;", *")</f>
        <v>0</v>
      </c>
      <c r="Y290" s="2">
        <f>COUNTIFS(集計用!$G288,"*, "&amp;Y$3&amp;", *")</f>
        <v>0</v>
      </c>
      <c r="Z290" s="2">
        <f>COUNTIFS(集計用!$G288,"*, "&amp;Z$3&amp;", *")</f>
        <v>0</v>
      </c>
      <c r="AA290" s="2">
        <f>COUNTIFS(集計用!$G288,"*, "&amp;AA$3&amp;", *")</f>
        <v>0</v>
      </c>
      <c r="AB290" s="2">
        <f>COUNTIFS(集計用!$G288,"*, "&amp;AB$3&amp;", *")</f>
        <v>0</v>
      </c>
      <c r="AC290" s="2">
        <f>COUNTIFS(集計用!$G288,"*, "&amp;AC$3&amp;", *")</f>
        <v>0</v>
      </c>
      <c r="AD290" s="2">
        <f>COUNTIFS(集計用!$G288,"*, "&amp;AD$3&amp;", *")</f>
        <v>0</v>
      </c>
      <c r="AE290" s="2">
        <f>COUNTIFS(集計用!$G288,"*, "&amp;AE$3&amp;", *")</f>
        <v>0</v>
      </c>
      <c r="AF290" s="2">
        <f>COUNTIFS(集計用!$G288,"*, "&amp;AF$3&amp;", *")</f>
        <v>0</v>
      </c>
      <c r="AG290" s="2">
        <f>COUNTIFS(集計用!$G288,"*, "&amp;AG$3&amp;", *")</f>
        <v>0</v>
      </c>
      <c r="AH290" s="2">
        <f>COUNTIFS(集計用!$G288,"*, "&amp;AH$3&amp;", *")</f>
        <v>0</v>
      </c>
      <c r="AI290" s="2">
        <f>COUNTIFS(集計用!$G288,"*, "&amp;AI$3&amp;", *")</f>
        <v>0</v>
      </c>
      <c r="AJ290" s="2">
        <f>COUNTIFS(集計用!$G288,"*, "&amp;AJ$3&amp;", *")</f>
        <v>0</v>
      </c>
      <c r="AK290" s="2">
        <f>COUNTIFS(集計用!$G288,"*, "&amp;AK$3&amp;", *")</f>
        <v>0</v>
      </c>
      <c r="AL290" s="2">
        <f>COUNTIFS(集計用!$G288,"*, "&amp;AL$3&amp;", *")</f>
        <v>0</v>
      </c>
      <c r="AM290" s="2">
        <f>COUNTIFS(集計用!$G288,"*, "&amp;AM$3&amp;", *")</f>
        <v>0</v>
      </c>
      <c r="AN290" s="2">
        <f>COUNTIFS(集計用!$G288,"*, "&amp;AN$3&amp;", *")</f>
        <v>0</v>
      </c>
      <c r="AO290" s="2">
        <f>COUNTIFS(集計用!$G288,"*, "&amp;AO$3&amp;", *")</f>
        <v>0</v>
      </c>
      <c r="AP290" s="2">
        <f>COUNTIFS(集計用!$G288,"*, "&amp;AP$3&amp;", *")</f>
        <v>0</v>
      </c>
      <c r="AQ290" s="2">
        <f>COUNTIFS(集計用!$G288,"*, "&amp;AQ$3&amp;", *")</f>
        <v>0</v>
      </c>
      <c r="AR290" s="2">
        <f>COUNTIFS(集計用!$G288,"*, "&amp;AR$3&amp;", *")</f>
        <v>0</v>
      </c>
      <c r="AS290" s="2">
        <f>COUNTIFS(集計用!$G288,"*, "&amp;AS$3&amp;", *")</f>
        <v>0</v>
      </c>
      <c r="AT290" s="2">
        <f>COUNTIFS(集計用!$G288,"*, "&amp;AT$3&amp;", *")</f>
        <v>0</v>
      </c>
      <c r="AU290" s="2">
        <f>COUNTIFS(集計用!$G288,"*, "&amp;AU$3&amp;", *")</f>
        <v>0</v>
      </c>
      <c r="AV290" s="2">
        <f>COUNTIFS(集計用!$G288,"*, "&amp;AV$3&amp;", *")</f>
        <v>0</v>
      </c>
      <c r="AW290" s="2">
        <f>COUNTIFS(集計用!$G288,"*, "&amp;AW$3&amp;", *")</f>
        <v>0</v>
      </c>
      <c r="AX290" s="2">
        <f>COUNTIFS(集計用!$G288,"*, "&amp;AX$3&amp;", *")</f>
        <v>0</v>
      </c>
      <c r="AY290" s="2">
        <f>COUNTIFS(集計用!$G288,"*, "&amp;AY$3&amp;", *")</f>
        <v>0</v>
      </c>
      <c r="AZ290" s="2">
        <f>COUNTIFS(集計用!$G288,"*, "&amp;AZ$3&amp;", *")</f>
        <v>0</v>
      </c>
      <c r="BA290" s="2">
        <f>COUNTIFS(集計用!$G288,"*, "&amp;BA$3&amp;", *")</f>
        <v>0</v>
      </c>
      <c r="BB290" s="2">
        <f>COUNTIFS(集計用!$G288,"*, "&amp;BB$3&amp;", *")</f>
        <v>0</v>
      </c>
      <c r="BC290" s="2">
        <f>COUNTIFS(集計用!$G288,"*, "&amp;BC$3&amp;", *")</f>
        <v>0</v>
      </c>
      <c r="BD290" s="2">
        <f>COUNTIFS(集計用!$G288,"*, "&amp;BD$3&amp;", *")</f>
        <v>0</v>
      </c>
      <c r="BE290" s="2">
        <f>COUNTIFS(集計用!$G288,"*, "&amp;BE$3&amp;", *")</f>
        <v>0</v>
      </c>
      <c r="BF290" s="2">
        <f>COUNTIFS(集計用!$G288,"*, "&amp;BF$3&amp;", *")</f>
        <v>0</v>
      </c>
      <c r="BG290" s="2">
        <f>COUNTIFS(集計用!$G288,"*, "&amp;BG$3&amp;", *")</f>
        <v>0</v>
      </c>
      <c r="BH290" s="2">
        <f>COUNTIFS(集計用!$G288,"*, "&amp;BH$3&amp;", *")</f>
        <v>0</v>
      </c>
      <c r="BI290" s="2">
        <f>COUNTIFS(集計用!$G288,"*, "&amp;BI$3&amp;", *")</f>
        <v>0</v>
      </c>
      <c r="BJ290" s="2">
        <f>LEN(集計用!H288)-LEN(SUBSTITUTE(集計用!H288,",",""))</f>
        <v>0</v>
      </c>
    </row>
    <row r="291" spans="1:62" ht="12.75">
      <c r="A291" s="8">
        <v>288</v>
      </c>
      <c r="C291" s="2">
        <f t="shared" si="3"/>
        <v>6</v>
      </c>
      <c r="D291" s="9"/>
      <c r="E291" s="2">
        <f>COUNTIFS(集計用!$G289,"*, "&amp;E$3&amp;", *")</f>
        <v>0</v>
      </c>
      <c r="F291" s="2">
        <f>COUNTIFS(集計用!$G289,"*, "&amp;F$3&amp;", *")</f>
        <v>1</v>
      </c>
      <c r="G291" s="2">
        <f>COUNTIFS(集計用!$G289,"*, "&amp;G$3&amp;", *")</f>
        <v>1</v>
      </c>
      <c r="H291" s="2">
        <f>COUNTIFS(集計用!$G289,"*, "&amp;H$3&amp;", *")</f>
        <v>0</v>
      </c>
      <c r="I291" s="2">
        <f>COUNTIFS(集計用!$G289,"*, "&amp;I$3&amp;", *")</f>
        <v>1</v>
      </c>
      <c r="J291" s="2">
        <f>COUNTIFS(集計用!$G289,"*, "&amp;J$3&amp;", *")</f>
        <v>0</v>
      </c>
      <c r="K291" s="2">
        <f>COUNTIFS(集計用!$G289,"*, "&amp;K$3&amp;", *")</f>
        <v>0</v>
      </c>
      <c r="L291" s="2">
        <f>COUNTIFS(集計用!$G289,"*, "&amp;L$3&amp;", *")</f>
        <v>0</v>
      </c>
      <c r="M291" s="2">
        <f>COUNTIFS(集計用!$G289,"*, "&amp;M$3&amp;", *")</f>
        <v>1</v>
      </c>
      <c r="N291" s="2">
        <f>COUNTIFS(集計用!$G289,"*, "&amp;N$3&amp;", *")</f>
        <v>1</v>
      </c>
      <c r="O291" s="2">
        <f>COUNTIFS(集計用!$G289,"*, "&amp;O$3&amp;", *")</f>
        <v>0</v>
      </c>
      <c r="P291" s="2">
        <f>COUNTIFS(集計用!$G289,"*, "&amp;P$3&amp;", *")</f>
        <v>0</v>
      </c>
      <c r="Q291" s="2">
        <f>COUNTIFS(集計用!$G289,"*, "&amp;Q$3&amp;", *")</f>
        <v>0</v>
      </c>
      <c r="R291" s="2">
        <f>COUNTIFS(集計用!$G289,"*, "&amp;R$3&amp;", *")</f>
        <v>0</v>
      </c>
      <c r="S291" s="2">
        <f>COUNTIFS(集計用!$G289,"*, "&amp;S$3&amp;", *")</f>
        <v>0</v>
      </c>
      <c r="T291" s="2">
        <f>COUNTIFS(集計用!$G289,"*, "&amp;T$3&amp;", *")</f>
        <v>0</v>
      </c>
      <c r="U291" s="2">
        <f>COUNTIFS(集計用!$G289,"*, "&amp;U$3&amp;", *")</f>
        <v>0</v>
      </c>
      <c r="V291" s="2">
        <f>COUNTIFS(集計用!$G289,"*, "&amp;V$3&amp;", *")</f>
        <v>0</v>
      </c>
      <c r="W291" s="2">
        <f>COUNTIFS(集計用!$G289,"*, "&amp;W$3&amp;", *")</f>
        <v>0</v>
      </c>
      <c r="X291" s="2">
        <f>COUNTIFS(集計用!$G289,"*, "&amp;X$3&amp;", *")</f>
        <v>1</v>
      </c>
      <c r="Y291" s="2">
        <f>COUNTIFS(集計用!$G289,"*, "&amp;Y$3&amp;", *")</f>
        <v>0</v>
      </c>
      <c r="Z291" s="2">
        <f>COUNTIFS(集計用!$G289,"*, "&amp;Z$3&amp;", *")</f>
        <v>0</v>
      </c>
      <c r="AA291" s="2">
        <f>COUNTIFS(集計用!$G289,"*, "&amp;AA$3&amp;", *")</f>
        <v>0</v>
      </c>
      <c r="AB291" s="2">
        <f>COUNTIFS(集計用!$G289,"*, "&amp;AB$3&amp;", *")</f>
        <v>0</v>
      </c>
      <c r="AC291" s="2">
        <f>COUNTIFS(集計用!$G289,"*, "&amp;AC$3&amp;", *")</f>
        <v>0</v>
      </c>
      <c r="AD291" s="2">
        <f>COUNTIFS(集計用!$G289,"*, "&amp;AD$3&amp;", *")</f>
        <v>0</v>
      </c>
      <c r="AE291" s="2">
        <f>COUNTIFS(集計用!$G289,"*, "&amp;AE$3&amp;", *")</f>
        <v>0</v>
      </c>
      <c r="AF291" s="2">
        <f>COUNTIFS(集計用!$G289,"*, "&amp;AF$3&amp;", *")</f>
        <v>0</v>
      </c>
      <c r="AG291" s="2">
        <f>COUNTIFS(集計用!$G289,"*, "&amp;AG$3&amp;", *")</f>
        <v>0</v>
      </c>
      <c r="AH291" s="2">
        <f>COUNTIFS(集計用!$G289,"*, "&amp;AH$3&amp;", *")</f>
        <v>0</v>
      </c>
      <c r="AI291" s="2">
        <f>COUNTIFS(集計用!$G289,"*, "&amp;AI$3&amp;", *")</f>
        <v>0</v>
      </c>
      <c r="AJ291" s="2">
        <f>COUNTIFS(集計用!$G289,"*, "&amp;AJ$3&amp;", *")</f>
        <v>0</v>
      </c>
      <c r="AK291" s="2">
        <f>COUNTIFS(集計用!$G289,"*, "&amp;AK$3&amp;", *")</f>
        <v>0</v>
      </c>
      <c r="AL291" s="2">
        <f>COUNTIFS(集計用!$G289,"*, "&amp;AL$3&amp;", *")</f>
        <v>0</v>
      </c>
      <c r="AM291" s="2">
        <f>COUNTIFS(集計用!$G289,"*, "&amp;AM$3&amp;", *")</f>
        <v>0</v>
      </c>
      <c r="AN291" s="2">
        <f>COUNTIFS(集計用!$G289,"*, "&amp;AN$3&amp;", *")</f>
        <v>0</v>
      </c>
      <c r="AO291" s="2">
        <f>COUNTIFS(集計用!$G289,"*, "&amp;AO$3&amp;", *")</f>
        <v>0</v>
      </c>
      <c r="AP291" s="2">
        <f>COUNTIFS(集計用!$G289,"*, "&amp;AP$3&amp;", *")</f>
        <v>0</v>
      </c>
      <c r="AQ291" s="2">
        <f>COUNTIFS(集計用!$G289,"*, "&amp;AQ$3&amp;", *")</f>
        <v>0</v>
      </c>
      <c r="AR291" s="2">
        <f>COUNTIFS(集計用!$G289,"*, "&amp;AR$3&amp;", *")</f>
        <v>0</v>
      </c>
      <c r="AS291" s="2">
        <f>COUNTIFS(集計用!$G289,"*, "&amp;AS$3&amp;", *")</f>
        <v>0</v>
      </c>
      <c r="AT291" s="2">
        <f>COUNTIFS(集計用!$G289,"*, "&amp;AT$3&amp;", *")</f>
        <v>0</v>
      </c>
      <c r="AU291" s="2">
        <f>COUNTIFS(集計用!$G289,"*, "&amp;AU$3&amp;", *")</f>
        <v>0</v>
      </c>
      <c r="AV291" s="2">
        <f>COUNTIFS(集計用!$G289,"*, "&amp;AV$3&amp;", *")</f>
        <v>0</v>
      </c>
      <c r="AW291" s="2">
        <f>COUNTIFS(集計用!$G289,"*, "&amp;AW$3&amp;", *")</f>
        <v>0</v>
      </c>
      <c r="AX291" s="2">
        <f>COUNTIFS(集計用!$G289,"*, "&amp;AX$3&amp;", *")</f>
        <v>0</v>
      </c>
      <c r="AY291" s="2">
        <f>COUNTIFS(集計用!$G289,"*, "&amp;AY$3&amp;", *")</f>
        <v>0</v>
      </c>
      <c r="AZ291" s="2">
        <f>COUNTIFS(集計用!$G289,"*, "&amp;AZ$3&amp;", *")</f>
        <v>0</v>
      </c>
      <c r="BA291" s="2">
        <f>COUNTIFS(集計用!$G289,"*, "&amp;BA$3&amp;", *")</f>
        <v>0</v>
      </c>
      <c r="BB291" s="2">
        <f>COUNTIFS(集計用!$G289,"*, "&amp;BB$3&amp;", *")</f>
        <v>0</v>
      </c>
      <c r="BC291" s="2">
        <f>COUNTIFS(集計用!$G289,"*, "&amp;BC$3&amp;", *")</f>
        <v>0</v>
      </c>
      <c r="BD291" s="2">
        <f>COUNTIFS(集計用!$G289,"*, "&amp;BD$3&amp;", *")</f>
        <v>0</v>
      </c>
      <c r="BE291" s="2">
        <f>COUNTIFS(集計用!$G289,"*, "&amp;BE$3&amp;", *")</f>
        <v>0</v>
      </c>
      <c r="BF291" s="2">
        <f>COUNTIFS(集計用!$G289,"*, "&amp;BF$3&amp;", *")</f>
        <v>0</v>
      </c>
      <c r="BG291" s="2">
        <f>COUNTIFS(集計用!$G289,"*, "&amp;BG$3&amp;", *")</f>
        <v>0</v>
      </c>
      <c r="BH291" s="2">
        <f>COUNTIFS(集計用!$G289,"*, "&amp;BH$3&amp;", *")</f>
        <v>0</v>
      </c>
      <c r="BI291" s="2">
        <f>COUNTIFS(集計用!$G289,"*, "&amp;BI$3&amp;", *")</f>
        <v>0</v>
      </c>
      <c r="BJ291" s="2">
        <f>LEN(集計用!H289)-LEN(SUBSTITUTE(集計用!H289,",",""))</f>
        <v>0</v>
      </c>
    </row>
    <row r="292" spans="1:62" ht="12.75">
      <c r="A292" s="8">
        <v>289</v>
      </c>
      <c r="C292" s="2">
        <f t="shared" si="3"/>
        <v>5</v>
      </c>
      <c r="D292" s="9"/>
      <c r="E292" s="2">
        <f>COUNTIFS(集計用!$G290,"*, "&amp;E$3&amp;", *")</f>
        <v>0</v>
      </c>
      <c r="F292" s="2">
        <f>COUNTIFS(集計用!$G290,"*, "&amp;F$3&amp;", *")</f>
        <v>0</v>
      </c>
      <c r="G292" s="2">
        <f>COUNTIFS(集計用!$G290,"*, "&amp;G$3&amp;", *")</f>
        <v>1</v>
      </c>
      <c r="H292" s="2">
        <f>COUNTIFS(集計用!$G290,"*, "&amp;H$3&amp;", *")</f>
        <v>0</v>
      </c>
      <c r="I292" s="2">
        <f>COUNTIFS(集計用!$G290,"*, "&amp;I$3&amp;", *")</f>
        <v>0</v>
      </c>
      <c r="J292" s="2">
        <f>COUNTIFS(集計用!$G290,"*, "&amp;J$3&amp;", *")</f>
        <v>0</v>
      </c>
      <c r="K292" s="2">
        <f>COUNTIFS(集計用!$G290,"*, "&amp;K$3&amp;", *")</f>
        <v>0</v>
      </c>
      <c r="L292" s="2">
        <f>COUNTIFS(集計用!$G290,"*, "&amp;L$3&amp;", *")</f>
        <v>0</v>
      </c>
      <c r="M292" s="2">
        <f>COUNTIFS(集計用!$G290,"*, "&amp;M$3&amp;", *")</f>
        <v>0</v>
      </c>
      <c r="N292" s="2">
        <f>COUNTIFS(集計用!$G290,"*, "&amp;N$3&amp;", *")</f>
        <v>1</v>
      </c>
      <c r="O292" s="2">
        <f>COUNTIFS(集計用!$G290,"*, "&amp;O$3&amp;", *")</f>
        <v>0</v>
      </c>
      <c r="P292" s="2">
        <f>COUNTIFS(集計用!$G290,"*, "&amp;P$3&amp;", *")</f>
        <v>0</v>
      </c>
      <c r="Q292" s="2">
        <f>COUNTIFS(集計用!$G290,"*, "&amp;Q$3&amp;", *")</f>
        <v>0</v>
      </c>
      <c r="R292" s="2">
        <f>COUNTIFS(集計用!$G290,"*, "&amp;R$3&amp;", *")</f>
        <v>0</v>
      </c>
      <c r="S292" s="2">
        <f>COUNTIFS(集計用!$G290,"*, "&amp;S$3&amp;", *")</f>
        <v>0</v>
      </c>
      <c r="T292" s="2">
        <f>COUNTIFS(集計用!$G290,"*, "&amp;T$3&amp;", *")</f>
        <v>0</v>
      </c>
      <c r="U292" s="2">
        <f>COUNTIFS(集計用!$G290,"*, "&amp;U$3&amp;", *")</f>
        <v>1</v>
      </c>
      <c r="V292" s="2">
        <f>COUNTIFS(集計用!$G290,"*, "&amp;V$3&amp;", *")</f>
        <v>0</v>
      </c>
      <c r="W292" s="2">
        <f>COUNTIFS(集計用!$G290,"*, "&amp;W$3&amp;", *")</f>
        <v>0</v>
      </c>
      <c r="X292" s="2">
        <f>COUNTIFS(集計用!$G290,"*, "&amp;X$3&amp;", *")</f>
        <v>0</v>
      </c>
      <c r="Y292" s="2">
        <f>COUNTIFS(集計用!$G290,"*, "&amp;Y$3&amp;", *")</f>
        <v>1</v>
      </c>
      <c r="Z292" s="2">
        <f>COUNTIFS(集計用!$G290,"*, "&amp;Z$3&amp;", *")</f>
        <v>0</v>
      </c>
      <c r="AA292" s="2">
        <f>COUNTIFS(集計用!$G290,"*, "&amp;AA$3&amp;", *")</f>
        <v>0</v>
      </c>
      <c r="AB292" s="2">
        <f>COUNTIFS(集計用!$G290,"*, "&amp;AB$3&amp;", *")</f>
        <v>0</v>
      </c>
      <c r="AC292" s="2">
        <f>COUNTIFS(集計用!$G290,"*, "&amp;AC$3&amp;", *")</f>
        <v>0</v>
      </c>
      <c r="AD292" s="2">
        <f>COUNTIFS(集計用!$G290,"*, "&amp;AD$3&amp;", *")</f>
        <v>0</v>
      </c>
      <c r="AE292" s="2">
        <f>COUNTIFS(集計用!$G290,"*, "&amp;AE$3&amp;", *")</f>
        <v>0</v>
      </c>
      <c r="AF292" s="2">
        <f>COUNTIFS(集計用!$G290,"*, "&amp;AF$3&amp;", *")</f>
        <v>0</v>
      </c>
      <c r="AG292" s="2">
        <f>COUNTIFS(集計用!$G290,"*, "&amp;AG$3&amp;", *")</f>
        <v>0</v>
      </c>
      <c r="AH292" s="2">
        <f>COUNTIFS(集計用!$G290,"*, "&amp;AH$3&amp;", *")</f>
        <v>0</v>
      </c>
      <c r="AI292" s="2">
        <f>COUNTIFS(集計用!$G290,"*, "&amp;AI$3&amp;", *")</f>
        <v>0</v>
      </c>
      <c r="AJ292" s="2">
        <f>COUNTIFS(集計用!$G290,"*, "&amp;AJ$3&amp;", *")</f>
        <v>0</v>
      </c>
      <c r="AK292" s="2">
        <f>COUNTIFS(集計用!$G290,"*, "&amp;AK$3&amp;", *")</f>
        <v>0</v>
      </c>
      <c r="AL292" s="2">
        <f>COUNTIFS(集計用!$G290,"*, "&amp;AL$3&amp;", *")</f>
        <v>0</v>
      </c>
      <c r="AM292" s="2">
        <f>COUNTIFS(集計用!$G290,"*, "&amp;AM$3&amp;", *")</f>
        <v>0</v>
      </c>
      <c r="AN292" s="2">
        <f>COUNTIFS(集計用!$G290,"*, "&amp;AN$3&amp;", *")</f>
        <v>0</v>
      </c>
      <c r="AO292" s="2">
        <f>COUNTIFS(集計用!$G290,"*, "&amp;AO$3&amp;", *")</f>
        <v>0</v>
      </c>
      <c r="AP292" s="2">
        <f>COUNTIFS(集計用!$G290,"*, "&amp;AP$3&amp;", *")</f>
        <v>0</v>
      </c>
      <c r="AQ292" s="2">
        <f>COUNTIFS(集計用!$G290,"*, "&amp;AQ$3&amp;", *")</f>
        <v>0</v>
      </c>
      <c r="AR292" s="2">
        <f>COUNTIFS(集計用!$G290,"*, "&amp;AR$3&amp;", *")</f>
        <v>0</v>
      </c>
      <c r="AS292" s="2">
        <f>COUNTIFS(集計用!$G290,"*, "&amp;AS$3&amp;", *")</f>
        <v>1</v>
      </c>
      <c r="AT292" s="2">
        <f>COUNTIFS(集計用!$G290,"*, "&amp;AT$3&amp;", *")</f>
        <v>0</v>
      </c>
      <c r="AU292" s="2">
        <f>COUNTIFS(集計用!$G290,"*, "&amp;AU$3&amp;", *")</f>
        <v>0</v>
      </c>
      <c r="AV292" s="2">
        <f>COUNTIFS(集計用!$G290,"*, "&amp;AV$3&amp;", *")</f>
        <v>0</v>
      </c>
      <c r="AW292" s="2">
        <f>COUNTIFS(集計用!$G290,"*, "&amp;AW$3&amp;", *")</f>
        <v>0</v>
      </c>
      <c r="AX292" s="2">
        <f>COUNTIFS(集計用!$G290,"*, "&amp;AX$3&amp;", *")</f>
        <v>0</v>
      </c>
      <c r="AY292" s="2">
        <f>COUNTIFS(集計用!$G290,"*, "&amp;AY$3&amp;", *")</f>
        <v>0</v>
      </c>
      <c r="AZ292" s="2">
        <f>COUNTIFS(集計用!$G290,"*, "&amp;AZ$3&amp;", *")</f>
        <v>0</v>
      </c>
      <c r="BA292" s="2">
        <f>COUNTIFS(集計用!$G290,"*, "&amp;BA$3&amp;", *")</f>
        <v>0</v>
      </c>
      <c r="BB292" s="2">
        <f>COUNTIFS(集計用!$G290,"*, "&amp;BB$3&amp;", *")</f>
        <v>0</v>
      </c>
      <c r="BC292" s="2">
        <f>COUNTIFS(集計用!$G290,"*, "&amp;BC$3&amp;", *")</f>
        <v>0</v>
      </c>
      <c r="BD292" s="2">
        <f>COUNTIFS(集計用!$G290,"*, "&amp;BD$3&amp;", *")</f>
        <v>0</v>
      </c>
      <c r="BE292" s="2">
        <f>COUNTIFS(集計用!$G290,"*, "&amp;BE$3&amp;", *")</f>
        <v>0</v>
      </c>
      <c r="BF292" s="2">
        <f>COUNTIFS(集計用!$G290,"*, "&amp;BF$3&amp;", *")</f>
        <v>0</v>
      </c>
      <c r="BG292" s="2">
        <f>COUNTIFS(集計用!$G290,"*, "&amp;BG$3&amp;", *")</f>
        <v>0</v>
      </c>
      <c r="BH292" s="2">
        <f>COUNTIFS(集計用!$G290,"*, "&amp;BH$3&amp;", *")</f>
        <v>0</v>
      </c>
      <c r="BI292" s="2">
        <f>COUNTIFS(集計用!$G290,"*, "&amp;BI$3&amp;", *")</f>
        <v>0</v>
      </c>
      <c r="BJ292" s="2">
        <f>LEN(集計用!H290)-LEN(SUBSTITUTE(集計用!H290,",",""))</f>
        <v>0</v>
      </c>
    </row>
    <row r="293" spans="1:62" ht="12.75">
      <c r="A293" s="8">
        <v>290</v>
      </c>
      <c r="C293" s="2">
        <f t="shared" si="3"/>
        <v>10</v>
      </c>
      <c r="D293" s="9"/>
      <c r="E293" s="2">
        <f>COUNTIFS(集計用!$G291,"*, "&amp;E$3&amp;", *")</f>
        <v>1</v>
      </c>
      <c r="F293" s="2">
        <f>COUNTIFS(集計用!$G291,"*, "&amp;F$3&amp;", *")</f>
        <v>1</v>
      </c>
      <c r="G293" s="2">
        <f>COUNTIFS(集計用!$G291,"*, "&amp;G$3&amp;", *")</f>
        <v>1</v>
      </c>
      <c r="H293" s="2">
        <f>COUNTIFS(集計用!$G291,"*, "&amp;H$3&amp;", *")</f>
        <v>1</v>
      </c>
      <c r="I293" s="2">
        <f>COUNTIFS(集計用!$G291,"*, "&amp;I$3&amp;", *")</f>
        <v>0</v>
      </c>
      <c r="J293" s="2">
        <f>COUNTIFS(集計用!$G291,"*, "&amp;J$3&amp;", *")</f>
        <v>0</v>
      </c>
      <c r="K293" s="2">
        <f>COUNTIFS(集計用!$G291,"*, "&amp;K$3&amp;", *")</f>
        <v>0</v>
      </c>
      <c r="L293" s="2">
        <f>COUNTIFS(集計用!$G291,"*, "&amp;L$3&amp;", *")</f>
        <v>0</v>
      </c>
      <c r="M293" s="2">
        <f>COUNTIFS(集計用!$G291,"*, "&amp;M$3&amp;", *")</f>
        <v>0</v>
      </c>
      <c r="N293" s="2">
        <f>COUNTIFS(集計用!$G291,"*, "&amp;N$3&amp;", *")</f>
        <v>1</v>
      </c>
      <c r="O293" s="2">
        <f>COUNTIFS(集計用!$G291,"*, "&amp;O$3&amp;", *")</f>
        <v>0</v>
      </c>
      <c r="P293" s="2">
        <f>COUNTIFS(集計用!$G291,"*, "&amp;P$3&amp;", *")</f>
        <v>1</v>
      </c>
      <c r="Q293" s="2">
        <f>COUNTIFS(集計用!$G291,"*, "&amp;Q$3&amp;", *")</f>
        <v>1</v>
      </c>
      <c r="R293" s="2">
        <f>COUNTIFS(集計用!$G291,"*, "&amp;R$3&amp;", *")</f>
        <v>0</v>
      </c>
      <c r="S293" s="2">
        <f>COUNTIFS(集計用!$G291,"*, "&amp;S$3&amp;", *")</f>
        <v>1</v>
      </c>
      <c r="T293" s="2">
        <f>COUNTIFS(集計用!$G291,"*, "&amp;T$3&amp;", *")</f>
        <v>0</v>
      </c>
      <c r="U293" s="2">
        <f>COUNTIFS(集計用!$G291,"*, "&amp;U$3&amp;", *")</f>
        <v>0</v>
      </c>
      <c r="V293" s="2">
        <f>COUNTIFS(集計用!$G291,"*, "&amp;V$3&amp;", *")</f>
        <v>0</v>
      </c>
      <c r="W293" s="2">
        <f>COUNTIFS(集計用!$G291,"*, "&amp;W$3&amp;", *")</f>
        <v>0</v>
      </c>
      <c r="X293" s="2">
        <f>COUNTIFS(集計用!$G291,"*, "&amp;X$3&amp;", *")</f>
        <v>0</v>
      </c>
      <c r="Y293" s="2">
        <f>COUNTIFS(集計用!$G291,"*, "&amp;Y$3&amp;", *")</f>
        <v>0</v>
      </c>
      <c r="Z293" s="2">
        <f>COUNTIFS(集計用!$G291,"*, "&amp;Z$3&amp;", *")</f>
        <v>0</v>
      </c>
      <c r="AA293" s="2">
        <f>COUNTIFS(集計用!$G291,"*, "&amp;AA$3&amp;", *")</f>
        <v>0</v>
      </c>
      <c r="AB293" s="2">
        <f>COUNTIFS(集計用!$G291,"*, "&amp;AB$3&amp;", *")</f>
        <v>0</v>
      </c>
      <c r="AC293" s="2">
        <f>COUNTIFS(集計用!$G291,"*, "&amp;AC$3&amp;", *")</f>
        <v>0</v>
      </c>
      <c r="AD293" s="2">
        <f>COUNTIFS(集計用!$G291,"*, "&amp;AD$3&amp;", *")</f>
        <v>0</v>
      </c>
      <c r="AE293" s="2">
        <f>COUNTIFS(集計用!$G291,"*, "&amp;AE$3&amp;", *")</f>
        <v>0</v>
      </c>
      <c r="AF293" s="2">
        <f>COUNTIFS(集計用!$G291,"*, "&amp;AF$3&amp;", *")</f>
        <v>0</v>
      </c>
      <c r="AG293" s="2">
        <f>COUNTIFS(集計用!$G291,"*, "&amp;AG$3&amp;", *")</f>
        <v>0</v>
      </c>
      <c r="AH293" s="2">
        <f>COUNTIFS(集計用!$G291,"*, "&amp;AH$3&amp;", *")</f>
        <v>0</v>
      </c>
      <c r="AI293" s="2">
        <f>COUNTIFS(集計用!$G291,"*, "&amp;AI$3&amp;", *")</f>
        <v>0</v>
      </c>
      <c r="AJ293" s="2">
        <f>COUNTIFS(集計用!$G291,"*, "&amp;AJ$3&amp;", *")</f>
        <v>0</v>
      </c>
      <c r="AK293" s="2">
        <f>COUNTIFS(集計用!$G291,"*, "&amp;AK$3&amp;", *")</f>
        <v>0</v>
      </c>
      <c r="AL293" s="2">
        <f>COUNTIFS(集計用!$G291,"*, "&amp;AL$3&amp;", *")</f>
        <v>1</v>
      </c>
      <c r="AM293" s="2">
        <f>COUNTIFS(集計用!$G291,"*, "&amp;AM$3&amp;", *")</f>
        <v>0</v>
      </c>
      <c r="AN293" s="2">
        <f>COUNTIFS(集計用!$G291,"*, "&amp;AN$3&amp;", *")</f>
        <v>0</v>
      </c>
      <c r="AO293" s="2">
        <f>COUNTIFS(集計用!$G291,"*, "&amp;AO$3&amp;", *")</f>
        <v>0</v>
      </c>
      <c r="AP293" s="2">
        <f>COUNTIFS(集計用!$G291,"*, "&amp;AP$3&amp;", *")</f>
        <v>0</v>
      </c>
      <c r="AQ293" s="2">
        <f>COUNTIFS(集計用!$G291,"*, "&amp;AQ$3&amp;", *")</f>
        <v>0</v>
      </c>
      <c r="AR293" s="2">
        <f>COUNTIFS(集計用!$G291,"*, "&amp;AR$3&amp;", *")</f>
        <v>0</v>
      </c>
      <c r="AS293" s="2">
        <f>COUNTIFS(集計用!$G291,"*, "&amp;AS$3&amp;", *")</f>
        <v>0</v>
      </c>
      <c r="AT293" s="2">
        <f>COUNTIFS(集計用!$G291,"*, "&amp;AT$3&amp;", *")</f>
        <v>0</v>
      </c>
      <c r="AU293" s="2">
        <f>COUNTIFS(集計用!$G291,"*, "&amp;AU$3&amp;", *")</f>
        <v>0</v>
      </c>
      <c r="AV293" s="2">
        <f>COUNTIFS(集計用!$G291,"*, "&amp;AV$3&amp;", *")</f>
        <v>0</v>
      </c>
      <c r="AW293" s="2">
        <f>COUNTIFS(集計用!$G291,"*, "&amp;AW$3&amp;", *")</f>
        <v>0</v>
      </c>
      <c r="AX293" s="2">
        <f>COUNTIFS(集計用!$G291,"*, "&amp;AX$3&amp;", *")</f>
        <v>0</v>
      </c>
      <c r="AY293" s="2">
        <f>COUNTIFS(集計用!$G291,"*, "&amp;AY$3&amp;", *")</f>
        <v>0</v>
      </c>
      <c r="AZ293" s="2">
        <f>COUNTIFS(集計用!$G291,"*, "&amp;AZ$3&amp;", *")</f>
        <v>0</v>
      </c>
      <c r="BA293" s="2">
        <f>COUNTIFS(集計用!$G291,"*, "&amp;BA$3&amp;", *")</f>
        <v>1</v>
      </c>
      <c r="BB293" s="2">
        <f>COUNTIFS(集計用!$G291,"*, "&amp;BB$3&amp;", *")</f>
        <v>0</v>
      </c>
      <c r="BC293" s="2">
        <f>COUNTIFS(集計用!$G291,"*, "&amp;BC$3&amp;", *")</f>
        <v>0</v>
      </c>
      <c r="BD293" s="2">
        <f>COUNTIFS(集計用!$G291,"*, "&amp;BD$3&amp;", *")</f>
        <v>0</v>
      </c>
      <c r="BE293" s="2">
        <f>COUNTIFS(集計用!$G291,"*, "&amp;BE$3&amp;", *")</f>
        <v>0</v>
      </c>
      <c r="BF293" s="2">
        <f>COUNTIFS(集計用!$G291,"*, "&amp;BF$3&amp;", *")</f>
        <v>0</v>
      </c>
      <c r="BG293" s="2">
        <f>COUNTIFS(集計用!$G291,"*, "&amp;BG$3&amp;", *")</f>
        <v>0</v>
      </c>
      <c r="BH293" s="2">
        <f>COUNTIFS(集計用!$G291,"*, "&amp;BH$3&amp;", *")</f>
        <v>0</v>
      </c>
      <c r="BI293" s="2">
        <f>COUNTIFS(集計用!$G291,"*, "&amp;BI$3&amp;", *")</f>
        <v>0</v>
      </c>
      <c r="BJ293" s="2">
        <f>LEN(集計用!H291)-LEN(SUBSTITUTE(集計用!H291,",",""))</f>
        <v>0</v>
      </c>
    </row>
    <row r="294" spans="1:62" ht="12.75">
      <c r="A294" s="8">
        <v>291</v>
      </c>
      <c r="C294" s="2">
        <f t="shared" si="3"/>
        <v>3</v>
      </c>
      <c r="D294" s="9"/>
      <c r="E294" s="2">
        <f>COUNTIFS(集計用!$G292,"*, "&amp;E$3&amp;", *")</f>
        <v>1</v>
      </c>
      <c r="F294" s="2">
        <f>COUNTIFS(集計用!$G292,"*, "&amp;F$3&amp;", *")</f>
        <v>0</v>
      </c>
      <c r="G294" s="2">
        <f>COUNTIFS(集計用!$G292,"*, "&amp;G$3&amp;", *")</f>
        <v>0</v>
      </c>
      <c r="H294" s="2">
        <f>COUNTIFS(集計用!$G292,"*, "&amp;H$3&amp;", *")</f>
        <v>0</v>
      </c>
      <c r="I294" s="2">
        <f>COUNTIFS(集計用!$G292,"*, "&amp;I$3&amp;", *")</f>
        <v>1</v>
      </c>
      <c r="J294" s="2">
        <f>COUNTIFS(集計用!$G292,"*, "&amp;J$3&amp;", *")</f>
        <v>0</v>
      </c>
      <c r="K294" s="2">
        <f>COUNTIFS(集計用!$G292,"*, "&amp;K$3&amp;", *")</f>
        <v>0</v>
      </c>
      <c r="L294" s="2">
        <f>COUNTIFS(集計用!$G292,"*, "&amp;L$3&amp;", *")</f>
        <v>0</v>
      </c>
      <c r="M294" s="2">
        <f>COUNTIFS(集計用!$G292,"*, "&amp;M$3&amp;", *")</f>
        <v>0</v>
      </c>
      <c r="N294" s="2">
        <f>COUNTIFS(集計用!$G292,"*, "&amp;N$3&amp;", *")</f>
        <v>0</v>
      </c>
      <c r="O294" s="2">
        <f>COUNTIFS(集計用!$G292,"*, "&amp;O$3&amp;", *")</f>
        <v>0</v>
      </c>
      <c r="P294" s="2">
        <f>COUNTIFS(集計用!$G292,"*, "&amp;P$3&amp;", *")</f>
        <v>0</v>
      </c>
      <c r="Q294" s="2">
        <f>COUNTIFS(集計用!$G292,"*, "&amp;Q$3&amp;", *")</f>
        <v>0</v>
      </c>
      <c r="R294" s="2">
        <f>COUNTIFS(集計用!$G292,"*, "&amp;R$3&amp;", *")</f>
        <v>0</v>
      </c>
      <c r="S294" s="2">
        <f>COUNTIFS(集計用!$G292,"*, "&amp;S$3&amp;", *")</f>
        <v>0</v>
      </c>
      <c r="T294" s="2">
        <f>COUNTIFS(集計用!$G292,"*, "&amp;T$3&amp;", *")</f>
        <v>0</v>
      </c>
      <c r="U294" s="2">
        <f>COUNTIFS(集計用!$G292,"*, "&amp;U$3&amp;", *")</f>
        <v>0</v>
      </c>
      <c r="V294" s="2">
        <f>COUNTIFS(集計用!$G292,"*, "&amp;V$3&amp;", *")</f>
        <v>1</v>
      </c>
      <c r="W294" s="2">
        <f>COUNTIFS(集計用!$G292,"*, "&amp;W$3&amp;", *")</f>
        <v>0</v>
      </c>
      <c r="X294" s="2">
        <f>COUNTIFS(集計用!$G292,"*, "&amp;X$3&amp;", *")</f>
        <v>0</v>
      </c>
      <c r="Y294" s="2">
        <f>COUNTIFS(集計用!$G292,"*, "&amp;Y$3&amp;", *")</f>
        <v>0</v>
      </c>
      <c r="Z294" s="2">
        <f>COUNTIFS(集計用!$G292,"*, "&amp;Z$3&amp;", *")</f>
        <v>0</v>
      </c>
      <c r="AA294" s="2">
        <f>COUNTIFS(集計用!$G292,"*, "&amp;AA$3&amp;", *")</f>
        <v>0</v>
      </c>
      <c r="AB294" s="2">
        <f>COUNTIFS(集計用!$G292,"*, "&amp;AB$3&amp;", *")</f>
        <v>0</v>
      </c>
      <c r="AC294" s="2">
        <f>COUNTIFS(集計用!$G292,"*, "&amp;AC$3&amp;", *")</f>
        <v>0</v>
      </c>
      <c r="AD294" s="2">
        <f>COUNTIFS(集計用!$G292,"*, "&amp;AD$3&amp;", *")</f>
        <v>0</v>
      </c>
      <c r="AE294" s="2">
        <f>COUNTIFS(集計用!$G292,"*, "&amp;AE$3&amp;", *")</f>
        <v>0</v>
      </c>
      <c r="AF294" s="2">
        <f>COUNTIFS(集計用!$G292,"*, "&amp;AF$3&amp;", *")</f>
        <v>0</v>
      </c>
      <c r="AG294" s="2">
        <f>COUNTIFS(集計用!$G292,"*, "&amp;AG$3&amp;", *")</f>
        <v>0</v>
      </c>
      <c r="AH294" s="2">
        <f>COUNTIFS(集計用!$G292,"*, "&amp;AH$3&amp;", *")</f>
        <v>0</v>
      </c>
      <c r="AI294" s="2">
        <f>COUNTIFS(集計用!$G292,"*, "&amp;AI$3&amp;", *")</f>
        <v>0</v>
      </c>
      <c r="AJ294" s="2">
        <f>COUNTIFS(集計用!$G292,"*, "&amp;AJ$3&amp;", *")</f>
        <v>0</v>
      </c>
      <c r="AK294" s="2">
        <f>COUNTIFS(集計用!$G292,"*, "&amp;AK$3&amp;", *")</f>
        <v>0</v>
      </c>
      <c r="AL294" s="2">
        <f>COUNTIFS(集計用!$G292,"*, "&amp;AL$3&amp;", *")</f>
        <v>0</v>
      </c>
      <c r="AM294" s="2">
        <f>COUNTIFS(集計用!$G292,"*, "&amp;AM$3&amp;", *")</f>
        <v>0</v>
      </c>
      <c r="AN294" s="2">
        <f>COUNTIFS(集計用!$G292,"*, "&amp;AN$3&amp;", *")</f>
        <v>0</v>
      </c>
      <c r="AO294" s="2">
        <f>COUNTIFS(集計用!$G292,"*, "&amp;AO$3&amp;", *")</f>
        <v>0</v>
      </c>
      <c r="AP294" s="2">
        <f>COUNTIFS(集計用!$G292,"*, "&amp;AP$3&amp;", *")</f>
        <v>0</v>
      </c>
      <c r="AQ294" s="2">
        <f>COUNTIFS(集計用!$G292,"*, "&amp;AQ$3&amp;", *")</f>
        <v>0</v>
      </c>
      <c r="AR294" s="2">
        <f>COUNTIFS(集計用!$G292,"*, "&amp;AR$3&amp;", *")</f>
        <v>0</v>
      </c>
      <c r="AS294" s="2">
        <f>COUNTIFS(集計用!$G292,"*, "&amp;AS$3&amp;", *")</f>
        <v>0</v>
      </c>
      <c r="AT294" s="2">
        <f>COUNTIFS(集計用!$G292,"*, "&amp;AT$3&amp;", *")</f>
        <v>0</v>
      </c>
      <c r="AU294" s="2">
        <f>COUNTIFS(集計用!$G292,"*, "&amp;AU$3&amp;", *")</f>
        <v>0</v>
      </c>
      <c r="AV294" s="2">
        <f>COUNTIFS(集計用!$G292,"*, "&amp;AV$3&amp;", *")</f>
        <v>0</v>
      </c>
      <c r="AW294" s="2">
        <f>COUNTIFS(集計用!$G292,"*, "&amp;AW$3&amp;", *")</f>
        <v>0</v>
      </c>
      <c r="AX294" s="2">
        <f>COUNTIFS(集計用!$G292,"*, "&amp;AX$3&amp;", *")</f>
        <v>0</v>
      </c>
      <c r="AY294" s="2">
        <f>COUNTIFS(集計用!$G292,"*, "&amp;AY$3&amp;", *")</f>
        <v>0</v>
      </c>
      <c r="AZ294" s="2">
        <f>COUNTIFS(集計用!$G292,"*, "&amp;AZ$3&amp;", *")</f>
        <v>0</v>
      </c>
      <c r="BA294" s="2">
        <f>COUNTIFS(集計用!$G292,"*, "&amp;BA$3&amp;", *")</f>
        <v>0</v>
      </c>
      <c r="BB294" s="2">
        <f>COUNTIFS(集計用!$G292,"*, "&amp;BB$3&amp;", *")</f>
        <v>0</v>
      </c>
      <c r="BC294" s="2">
        <f>COUNTIFS(集計用!$G292,"*, "&amp;BC$3&amp;", *")</f>
        <v>0</v>
      </c>
      <c r="BD294" s="2">
        <f>COUNTIFS(集計用!$G292,"*, "&amp;BD$3&amp;", *")</f>
        <v>0</v>
      </c>
      <c r="BE294" s="2">
        <f>COUNTIFS(集計用!$G292,"*, "&amp;BE$3&amp;", *")</f>
        <v>0</v>
      </c>
      <c r="BF294" s="2">
        <f>COUNTIFS(集計用!$G292,"*, "&amp;BF$3&amp;", *")</f>
        <v>0</v>
      </c>
      <c r="BG294" s="2">
        <f>COUNTIFS(集計用!$G292,"*, "&amp;BG$3&amp;", *")</f>
        <v>0</v>
      </c>
      <c r="BH294" s="2">
        <f>COUNTIFS(集計用!$G292,"*, "&amp;BH$3&amp;", *")</f>
        <v>0</v>
      </c>
      <c r="BI294" s="2">
        <f>COUNTIFS(集計用!$G292,"*, "&amp;BI$3&amp;", *")</f>
        <v>0</v>
      </c>
      <c r="BJ294" s="2">
        <f>LEN(集計用!H292)-LEN(SUBSTITUTE(集計用!H292,",",""))</f>
        <v>0</v>
      </c>
    </row>
    <row r="295" spans="1:62" ht="12.75">
      <c r="A295" s="8">
        <v>292</v>
      </c>
      <c r="C295" s="2">
        <f t="shared" si="3"/>
        <v>6</v>
      </c>
      <c r="D295" s="9"/>
      <c r="E295" s="2">
        <f>COUNTIFS(集計用!$G293,"*, "&amp;E$3&amp;", *")</f>
        <v>1</v>
      </c>
      <c r="F295" s="2">
        <f>COUNTIFS(集計用!$G293,"*, "&amp;F$3&amp;", *")</f>
        <v>1</v>
      </c>
      <c r="G295" s="2">
        <f>COUNTIFS(集計用!$G293,"*, "&amp;G$3&amp;", *")</f>
        <v>0</v>
      </c>
      <c r="H295" s="2">
        <f>COUNTIFS(集計用!$G293,"*, "&amp;H$3&amp;", *")</f>
        <v>0</v>
      </c>
      <c r="I295" s="2">
        <f>COUNTIFS(集計用!$G293,"*, "&amp;I$3&amp;", *")</f>
        <v>0</v>
      </c>
      <c r="J295" s="2">
        <f>COUNTIFS(集計用!$G293,"*, "&amp;J$3&amp;", *")</f>
        <v>0</v>
      </c>
      <c r="K295" s="2">
        <f>COUNTIFS(集計用!$G293,"*, "&amp;K$3&amp;", *")</f>
        <v>1</v>
      </c>
      <c r="L295" s="2">
        <f>COUNTIFS(集計用!$G293,"*, "&amp;L$3&amp;", *")</f>
        <v>0</v>
      </c>
      <c r="M295" s="2">
        <f>COUNTIFS(集計用!$G293,"*, "&amp;M$3&amp;", *")</f>
        <v>0</v>
      </c>
      <c r="N295" s="2">
        <f>COUNTIFS(集計用!$G293,"*, "&amp;N$3&amp;", *")</f>
        <v>0</v>
      </c>
      <c r="O295" s="2">
        <f>COUNTIFS(集計用!$G293,"*, "&amp;O$3&amp;", *")</f>
        <v>0</v>
      </c>
      <c r="P295" s="2">
        <f>COUNTIFS(集計用!$G293,"*, "&amp;P$3&amp;", *")</f>
        <v>0</v>
      </c>
      <c r="Q295" s="2">
        <f>COUNTIFS(集計用!$G293,"*, "&amp;Q$3&amp;", *")</f>
        <v>1</v>
      </c>
      <c r="R295" s="2">
        <f>COUNTIFS(集計用!$G293,"*, "&amp;R$3&amp;", *")</f>
        <v>1</v>
      </c>
      <c r="S295" s="2">
        <f>COUNTIFS(集計用!$G293,"*, "&amp;S$3&amp;", *")</f>
        <v>0</v>
      </c>
      <c r="T295" s="2">
        <f>COUNTIFS(集計用!$G293,"*, "&amp;T$3&amp;", *")</f>
        <v>0</v>
      </c>
      <c r="U295" s="2">
        <f>COUNTIFS(集計用!$G293,"*, "&amp;U$3&amp;", *")</f>
        <v>0</v>
      </c>
      <c r="V295" s="2">
        <f>COUNTIFS(集計用!$G293,"*, "&amp;V$3&amp;", *")</f>
        <v>0</v>
      </c>
      <c r="W295" s="2">
        <f>COUNTIFS(集計用!$G293,"*, "&amp;W$3&amp;", *")</f>
        <v>0</v>
      </c>
      <c r="X295" s="2">
        <f>COUNTIFS(集計用!$G293,"*, "&amp;X$3&amp;", *")</f>
        <v>0</v>
      </c>
      <c r="Y295" s="2">
        <f>COUNTIFS(集計用!$G293,"*, "&amp;Y$3&amp;", *")</f>
        <v>0</v>
      </c>
      <c r="Z295" s="2">
        <f>COUNTIFS(集計用!$G293,"*, "&amp;Z$3&amp;", *")</f>
        <v>0</v>
      </c>
      <c r="AA295" s="2">
        <f>COUNTIFS(集計用!$G293,"*, "&amp;AA$3&amp;", *")</f>
        <v>0</v>
      </c>
      <c r="AB295" s="2">
        <f>COUNTIFS(集計用!$G293,"*, "&amp;AB$3&amp;", *")</f>
        <v>0</v>
      </c>
      <c r="AC295" s="2">
        <f>COUNTIFS(集計用!$G293,"*, "&amp;AC$3&amp;", *")</f>
        <v>0</v>
      </c>
      <c r="AD295" s="2">
        <f>COUNTIFS(集計用!$G293,"*, "&amp;AD$3&amp;", *")</f>
        <v>0</v>
      </c>
      <c r="AE295" s="2">
        <f>COUNTIFS(集計用!$G293,"*, "&amp;AE$3&amp;", *")</f>
        <v>0</v>
      </c>
      <c r="AF295" s="2">
        <f>COUNTIFS(集計用!$G293,"*, "&amp;AF$3&amp;", *")</f>
        <v>0</v>
      </c>
      <c r="AG295" s="2">
        <f>COUNTIFS(集計用!$G293,"*, "&amp;AG$3&amp;", *")</f>
        <v>0</v>
      </c>
      <c r="AH295" s="2">
        <f>COUNTIFS(集計用!$G293,"*, "&amp;AH$3&amp;", *")</f>
        <v>0</v>
      </c>
      <c r="AI295" s="2">
        <f>COUNTIFS(集計用!$G293,"*, "&amp;AI$3&amp;", *")</f>
        <v>0</v>
      </c>
      <c r="AJ295" s="2">
        <f>COUNTIFS(集計用!$G293,"*, "&amp;AJ$3&amp;", *")</f>
        <v>0</v>
      </c>
      <c r="AK295" s="2">
        <f>COUNTIFS(集計用!$G293,"*, "&amp;AK$3&amp;", *")</f>
        <v>0</v>
      </c>
      <c r="AL295" s="2">
        <f>COUNTIFS(集計用!$G293,"*, "&amp;AL$3&amp;", *")</f>
        <v>0</v>
      </c>
      <c r="AM295" s="2">
        <f>COUNTIFS(集計用!$G293,"*, "&amp;AM$3&amp;", *")</f>
        <v>0</v>
      </c>
      <c r="AN295" s="2">
        <f>COUNTIFS(集計用!$G293,"*, "&amp;AN$3&amp;", *")</f>
        <v>0</v>
      </c>
      <c r="AO295" s="2">
        <f>COUNTIFS(集計用!$G293,"*, "&amp;AO$3&amp;", *")</f>
        <v>0</v>
      </c>
      <c r="AP295" s="2">
        <f>COUNTIFS(集計用!$G293,"*, "&amp;AP$3&amp;", *")</f>
        <v>0</v>
      </c>
      <c r="AQ295" s="2">
        <f>COUNTIFS(集計用!$G293,"*, "&amp;AQ$3&amp;", *")</f>
        <v>0</v>
      </c>
      <c r="AR295" s="2">
        <f>COUNTIFS(集計用!$G293,"*, "&amp;AR$3&amp;", *")</f>
        <v>0</v>
      </c>
      <c r="AS295" s="2">
        <f>COUNTIFS(集計用!$G293,"*, "&amp;AS$3&amp;", *")</f>
        <v>0</v>
      </c>
      <c r="AT295" s="2">
        <f>COUNTIFS(集計用!$G293,"*, "&amp;AT$3&amp;", *")</f>
        <v>0</v>
      </c>
      <c r="AU295" s="2">
        <f>COUNTIFS(集計用!$G293,"*, "&amp;AU$3&amp;", *")</f>
        <v>0</v>
      </c>
      <c r="AV295" s="2">
        <f>COUNTIFS(集計用!$G293,"*, "&amp;AV$3&amp;", *")</f>
        <v>0</v>
      </c>
      <c r="AW295" s="2">
        <f>COUNTIFS(集計用!$G293,"*, "&amp;AW$3&amp;", *")</f>
        <v>0</v>
      </c>
      <c r="AX295" s="2">
        <f>COUNTIFS(集計用!$G293,"*, "&amp;AX$3&amp;", *")</f>
        <v>0</v>
      </c>
      <c r="AY295" s="2">
        <f>COUNTIFS(集計用!$G293,"*, "&amp;AY$3&amp;", *")</f>
        <v>0</v>
      </c>
      <c r="AZ295" s="2">
        <f>COUNTIFS(集計用!$G293,"*, "&amp;AZ$3&amp;", *")</f>
        <v>1</v>
      </c>
      <c r="BA295" s="2">
        <f>COUNTIFS(集計用!$G293,"*, "&amp;BA$3&amp;", *")</f>
        <v>0</v>
      </c>
      <c r="BB295" s="2">
        <f>COUNTIFS(集計用!$G293,"*, "&amp;BB$3&amp;", *")</f>
        <v>0</v>
      </c>
      <c r="BC295" s="2">
        <f>COUNTIFS(集計用!$G293,"*, "&amp;BC$3&amp;", *")</f>
        <v>0</v>
      </c>
      <c r="BD295" s="2">
        <f>COUNTIFS(集計用!$G293,"*, "&amp;BD$3&amp;", *")</f>
        <v>0</v>
      </c>
      <c r="BE295" s="2">
        <f>COUNTIFS(集計用!$G293,"*, "&amp;BE$3&amp;", *")</f>
        <v>0</v>
      </c>
      <c r="BF295" s="2">
        <f>COUNTIFS(集計用!$G293,"*, "&amp;BF$3&amp;", *")</f>
        <v>0</v>
      </c>
      <c r="BG295" s="2">
        <f>COUNTIFS(集計用!$G293,"*, "&amp;BG$3&amp;", *")</f>
        <v>0</v>
      </c>
      <c r="BH295" s="2">
        <f>COUNTIFS(集計用!$G293,"*, "&amp;BH$3&amp;", *")</f>
        <v>0</v>
      </c>
      <c r="BI295" s="2">
        <f>COUNTIFS(集計用!$G293,"*, "&amp;BI$3&amp;", *")</f>
        <v>0</v>
      </c>
      <c r="BJ295" s="2">
        <f>LEN(集計用!H293)-LEN(SUBSTITUTE(集計用!H293,",",""))</f>
        <v>0</v>
      </c>
    </row>
    <row r="296" spans="1:62" ht="12.75">
      <c r="A296" s="8">
        <v>293</v>
      </c>
      <c r="C296" s="2">
        <f t="shared" si="3"/>
        <v>3</v>
      </c>
      <c r="D296" s="9"/>
      <c r="E296" s="2">
        <f>COUNTIFS(集計用!$G294,"*, "&amp;E$3&amp;", *")</f>
        <v>0</v>
      </c>
      <c r="F296" s="2">
        <f>COUNTIFS(集計用!$G294,"*, "&amp;F$3&amp;", *")</f>
        <v>0</v>
      </c>
      <c r="G296" s="2">
        <f>COUNTIFS(集計用!$G294,"*, "&amp;G$3&amp;", *")</f>
        <v>0</v>
      </c>
      <c r="H296" s="2">
        <f>COUNTIFS(集計用!$G294,"*, "&amp;H$3&amp;", *")</f>
        <v>0</v>
      </c>
      <c r="I296" s="2">
        <f>COUNTIFS(集計用!$G294,"*, "&amp;I$3&amp;", *")</f>
        <v>0</v>
      </c>
      <c r="J296" s="2">
        <f>COUNTIFS(集計用!$G294,"*, "&amp;J$3&amp;", *")</f>
        <v>0</v>
      </c>
      <c r="K296" s="2">
        <f>COUNTIFS(集計用!$G294,"*, "&amp;K$3&amp;", *")</f>
        <v>0</v>
      </c>
      <c r="L296" s="2">
        <f>COUNTIFS(集計用!$G294,"*, "&amp;L$3&amp;", *")</f>
        <v>1</v>
      </c>
      <c r="M296" s="2">
        <f>COUNTIFS(集計用!$G294,"*, "&amp;M$3&amp;", *")</f>
        <v>0</v>
      </c>
      <c r="N296" s="2">
        <f>COUNTIFS(集計用!$G294,"*, "&amp;N$3&amp;", *")</f>
        <v>0</v>
      </c>
      <c r="O296" s="2">
        <f>COUNTIFS(集計用!$G294,"*, "&amp;O$3&amp;", *")</f>
        <v>0</v>
      </c>
      <c r="P296" s="2">
        <f>COUNTIFS(集計用!$G294,"*, "&amp;P$3&amp;", *")</f>
        <v>0</v>
      </c>
      <c r="Q296" s="2">
        <f>COUNTIFS(集計用!$G294,"*, "&amp;Q$3&amp;", *")</f>
        <v>0</v>
      </c>
      <c r="R296" s="2">
        <f>COUNTIFS(集計用!$G294,"*, "&amp;R$3&amp;", *")</f>
        <v>0</v>
      </c>
      <c r="S296" s="2">
        <f>COUNTIFS(集計用!$G294,"*, "&amp;S$3&amp;", *")</f>
        <v>0</v>
      </c>
      <c r="T296" s="2">
        <f>COUNTIFS(集計用!$G294,"*, "&amp;T$3&amp;", *")</f>
        <v>1</v>
      </c>
      <c r="U296" s="2">
        <f>COUNTIFS(集計用!$G294,"*, "&amp;U$3&amp;", *")</f>
        <v>0</v>
      </c>
      <c r="V296" s="2">
        <f>COUNTIFS(集計用!$G294,"*, "&amp;V$3&amp;", *")</f>
        <v>0</v>
      </c>
      <c r="W296" s="2">
        <f>COUNTIFS(集計用!$G294,"*, "&amp;W$3&amp;", *")</f>
        <v>0</v>
      </c>
      <c r="X296" s="2">
        <f>COUNTIFS(集計用!$G294,"*, "&amp;X$3&amp;", *")</f>
        <v>0</v>
      </c>
      <c r="Y296" s="2">
        <f>COUNTIFS(集計用!$G294,"*, "&amp;Y$3&amp;", *")</f>
        <v>0</v>
      </c>
      <c r="Z296" s="2">
        <f>COUNTIFS(集計用!$G294,"*, "&amp;Z$3&amp;", *")</f>
        <v>0</v>
      </c>
      <c r="AA296" s="2">
        <f>COUNTIFS(集計用!$G294,"*, "&amp;AA$3&amp;", *")</f>
        <v>0</v>
      </c>
      <c r="AB296" s="2">
        <f>COUNTIFS(集計用!$G294,"*, "&amp;AB$3&amp;", *")</f>
        <v>0</v>
      </c>
      <c r="AC296" s="2">
        <f>COUNTIFS(集計用!$G294,"*, "&amp;AC$3&amp;", *")</f>
        <v>0</v>
      </c>
      <c r="AD296" s="2">
        <f>COUNTIFS(集計用!$G294,"*, "&amp;AD$3&amp;", *")</f>
        <v>0</v>
      </c>
      <c r="AE296" s="2">
        <f>COUNTIFS(集計用!$G294,"*, "&amp;AE$3&amp;", *")</f>
        <v>0</v>
      </c>
      <c r="AF296" s="2">
        <f>COUNTIFS(集計用!$G294,"*, "&amp;AF$3&amp;", *")</f>
        <v>0</v>
      </c>
      <c r="AG296" s="2">
        <f>COUNTIFS(集計用!$G294,"*, "&amp;AG$3&amp;", *")</f>
        <v>0</v>
      </c>
      <c r="AH296" s="2">
        <f>COUNTIFS(集計用!$G294,"*, "&amp;AH$3&amp;", *")</f>
        <v>0</v>
      </c>
      <c r="AI296" s="2">
        <f>COUNTIFS(集計用!$G294,"*, "&amp;AI$3&amp;", *")</f>
        <v>0</v>
      </c>
      <c r="AJ296" s="2">
        <f>COUNTIFS(集計用!$G294,"*, "&amp;AJ$3&amp;", *")</f>
        <v>0</v>
      </c>
      <c r="AK296" s="2">
        <f>COUNTIFS(集計用!$G294,"*, "&amp;AK$3&amp;", *")</f>
        <v>0</v>
      </c>
      <c r="AL296" s="2">
        <f>COUNTIFS(集計用!$G294,"*, "&amp;AL$3&amp;", *")</f>
        <v>0</v>
      </c>
      <c r="AM296" s="2">
        <f>COUNTIFS(集計用!$G294,"*, "&amp;AM$3&amp;", *")</f>
        <v>0</v>
      </c>
      <c r="AN296" s="2">
        <f>COUNTIFS(集計用!$G294,"*, "&amp;AN$3&amp;", *")</f>
        <v>0</v>
      </c>
      <c r="AO296" s="2">
        <f>COUNTIFS(集計用!$G294,"*, "&amp;AO$3&amp;", *")</f>
        <v>0</v>
      </c>
      <c r="AP296" s="2">
        <f>COUNTIFS(集計用!$G294,"*, "&amp;AP$3&amp;", *")</f>
        <v>0</v>
      </c>
      <c r="AQ296" s="2">
        <f>COUNTIFS(集計用!$G294,"*, "&amp;AQ$3&amp;", *")</f>
        <v>0</v>
      </c>
      <c r="AR296" s="2">
        <f>COUNTIFS(集計用!$G294,"*, "&amp;AR$3&amp;", *")</f>
        <v>0</v>
      </c>
      <c r="AS296" s="2">
        <f>COUNTIFS(集計用!$G294,"*, "&amp;AS$3&amp;", *")</f>
        <v>0</v>
      </c>
      <c r="AT296" s="2">
        <f>COUNTIFS(集計用!$G294,"*, "&amp;AT$3&amp;", *")</f>
        <v>0</v>
      </c>
      <c r="AU296" s="2">
        <f>COUNTIFS(集計用!$G294,"*, "&amp;AU$3&amp;", *")</f>
        <v>0</v>
      </c>
      <c r="AV296" s="2">
        <f>COUNTIFS(集計用!$G294,"*, "&amp;AV$3&amp;", *")</f>
        <v>0</v>
      </c>
      <c r="AW296" s="2">
        <f>COUNTIFS(集計用!$G294,"*, "&amp;AW$3&amp;", *")</f>
        <v>0</v>
      </c>
      <c r="AX296" s="2">
        <f>COUNTIFS(集計用!$G294,"*, "&amp;AX$3&amp;", *")</f>
        <v>0</v>
      </c>
      <c r="AY296" s="2">
        <f>COUNTIFS(集計用!$G294,"*, "&amp;AY$3&amp;", *")</f>
        <v>0</v>
      </c>
      <c r="AZ296" s="2">
        <f>COUNTIFS(集計用!$G294,"*, "&amp;AZ$3&amp;", *")</f>
        <v>0</v>
      </c>
      <c r="BA296" s="2">
        <f>COUNTIFS(集計用!$G294,"*, "&amp;BA$3&amp;", *")</f>
        <v>0</v>
      </c>
      <c r="BB296" s="2">
        <f>COUNTIFS(集計用!$G294,"*, "&amp;BB$3&amp;", *")</f>
        <v>0</v>
      </c>
      <c r="BC296" s="2">
        <f>COUNTIFS(集計用!$G294,"*, "&amp;BC$3&amp;", *")</f>
        <v>0</v>
      </c>
      <c r="BD296" s="2">
        <f>COUNTIFS(集計用!$G294,"*, "&amp;BD$3&amp;", *")</f>
        <v>0</v>
      </c>
      <c r="BE296" s="2">
        <f>COUNTIFS(集計用!$G294,"*, "&amp;BE$3&amp;", *")</f>
        <v>0</v>
      </c>
      <c r="BF296" s="2">
        <f>COUNTIFS(集計用!$G294,"*, "&amp;BF$3&amp;", *")</f>
        <v>0</v>
      </c>
      <c r="BG296" s="2">
        <f>COUNTIFS(集計用!$G294,"*, "&amp;BG$3&amp;", *")</f>
        <v>0</v>
      </c>
      <c r="BH296" s="2">
        <f>COUNTIFS(集計用!$G294,"*, "&amp;BH$3&amp;", *")</f>
        <v>0</v>
      </c>
      <c r="BI296" s="2">
        <f>COUNTIFS(集計用!$G294,"*, "&amp;BI$3&amp;", *")</f>
        <v>0</v>
      </c>
      <c r="BJ296" s="2">
        <f>LEN(集計用!H294)-LEN(SUBSTITUTE(集計用!H294,",",""))</f>
        <v>1</v>
      </c>
    </row>
    <row r="297" spans="1:62" ht="12.75">
      <c r="A297" s="8">
        <v>294</v>
      </c>
      <c r="C297" s="2">
        <f t="shared" si="3"/>
        <v>3</v>
      </c>
      <c r="D297" s="9"/>
      <c r="E297" s="2">
        <f>COUNTIFS(集計用!$G295,"*, "&amp;E$3&amp;", *")</f>
        <v>1</v>
      </c>
      <c r="F297" s="2">
        <f>COUNTIFS(集計用!$G295,"*, "&amp;F$3&amp;", *")</f>
        <v>0</v>
      </c>
      <c r="G297" s="2">
        <f>COUNTIFS(集計用!$G295,"*, "&amp;G$3&amp;", *")</f>
        <v>1</v>
      </c>
      <c r="H297" s="2">
        <f>COUNTIFS(集計用!$G295,"*, "&amp;H$3&amp;", *")</f>
        <v>0</v>
      </c>
      <c r="I297" s="2">
        <f>COUNTIFS(集計用!$G295,"*, "&amp;I$3&amp;", *")</f>
        <v>1</v>
      </c>
      <c r="J297" s="2">
        <f>COUNTIFS(集計用!$G295,"*, "&amp;J$3&amp;", *")</f>
        <v>0</v>
      </c>
      <c r="K297" s="2">
        <f>COUNTIFS(集計用!$G295,"*, "&amp;K$3&amp;", *")</f>
        <v>0</v>
      </c>
      <c r="L297" s="2">
        <f>COUNTIFS(集計用!$G295,"*, "&amp;L$3&amp;", *")</f>
        <v>0</v>
      </c>
      <c r="M297" s="2">
        <f>COUNTIFS(集計用!$G295,"*, "&amp;M$3&amp;", *")</f>
        <v>0</v>
      </c>
      <c r="N297" s="2">
        <f>COUNTIFS(集計用!$G295,"*, "&amp;N$3&amp;", *")</f>
        <v>0</v>
      </c>
      <c r="O297" s="2">
        <f>COUNTIFS(集計用!$G295,"*, "&amp;O$3&amp;", *")</f>
        <v>0</v>
      </c>
      <c r="P297" s="2">
        <f>COUNTIFS(集計用!$G295,"*, "&amp;P$3&amp;", *")</f>
        <v>0</v>
      </c>
      <c r="Q297" s="2">
        <f>COUNTIFS(集計用!$G295,"*, "&amp;Q$3&amp;", *")</f>
        <v>0</v>
      </c>
      <c r="R297" s="2">
        <f>COUNTIFS(集計用!$G295,"*, "&amp;R$3&amp;", *")</f>
        <v>0</v>
      </c>
      <c r="S297" s="2">
        <f>COUNTIFS(集計用!$G295,"*, "&amp;S$3&amp;", *")</f>
        <v>0</v>
      </c>
      <c r="T297" s="2">
        <f>COUNTIFS(集計用!$G295,"*, "&amp;T$3&amp;", *")</f>
        <v>0</v>
      </c>
      <c r="U297" s="2">
        <f>COUNTIFS(集計用!$G295,"*, "&amp;U$3&amp;", *")</f>
        <v>0</v>
      </c>
      <c r="V297" s="2">
        <f>COUNTIFS(集計用!$G295,"*, "&amp;V$3&amp;", *")</f>
        <v>0</v>
      </c>
      <c r="W297" s="2">
        <f>COUNTIFS(集計用!$G295,"*, "&amp;W$3&amp;", *")</f>
        <v>0</v>
      </c>
      <c r="X297" s="2">
        <f>COUNTIFS(集計用!$G295,"*, "&amp;X$3&amp;", *")</f>
        <v>0</v>
      </c>
      <c r="Y297" s="2">
        <f>COUNTIFS(集計用!$G295,"*, "&amp;Y$3&amp;", *")</f>
        <v>0</v>
      </c>
      <c r="Z297" s="2">
        <f>COUNTIFS(集計用!$G295,"*, "&amp;Z$3&amp;", *")</f>
        <v>0</v>
      </c>
      <c r="AA297" s="2">
        <f>COUNTIFS(集計用!$G295,"*, "&amp;AA$3&amp;", *")</f>
        <v>0</v>
      </c>
      <c r="AB297" s="2">
        <f>COUNTIFS(集計用!$G295,"*, "&amp;AB$3&amp;", *")</f>
        <v>0</v>
      </c>
      <c r="AC297" s="2">
        <f>COUNTIFS(集計用!$G295,"*, "&amp;AC$3&amp;", *")</f>
        <v>0</v>
      </c>
      <c r="AD297" s="2">
        <f>COUNTIFS(集計用!$G295,"*, "&amp;AD$3&amp;", *")</f>
        <v>0</v>
      </c>
      <c r="AE297" s="2">
        <f>COUNTIFS(集計用!$G295,"*, "&amp;AE$3&amp;", *")</f>
        <v>0</v>
      </c>
      <c r="AF297" s="2">
        <f>COUNTIFS(集計用!$G295,"*, "&amp;AF$3&amp;", *")</f>
        <v>0</v>
      </c>
      <c r="AG297" s="2">
        <f>COUNTIFS(集計用!$G295,"*, "&amp;AG$3&amp;", *")</f>
        <v>0</v>
      </c>
      <c r="AH297" s="2">
        <f>COUNTIFS(集計用!$G295,"*, "&amp;AH$3&amp;", *")</f>
        <v>0</v>
      </c>
      <c r="AI297" s="2">
        <f>COUNTIFS(集計用!$G295,"*, "&amp;AI$3&amp;", *")</f>
        <v>0</v>
      </c>
      <c r="AJ297" s="2">
        <f>COUNTIFS(集計用!$G295,"*, "&amp;AJ$3&amp;", *")</f>
        <v>0</v>
      </c>
      <c r="AK297" s="2">
        <f>COUNTIFS(集計用!$G295,"*, "&amp;AK$3&amp;", *")</f>
        <v>0</v>
      </c>
      <c r="AL297" s="2">
        <f>COUNTIFS(集計用!$G295,"*, "&amp;AL$3&amp;", *")</f>
        <v>0</v>
      </c>
      <c r="AM297" s="2">
        <f>COUNTIFS(集計用!$G295,"*, "&amp;AM$3&amp;", *")</f>
        <v>0</v>
      </c>
      <c r="AN297" s="2">
        <f>COUNTIFS(集計用!$G295,"*, "&amp;AN$3&amp;", *")</f>
        <v>0</v>
      </c>
      <c r="AO297" s="2">
        <f>COUNTIFS(集計用!$G295,"*, "&amp;AO$3&amp;", *")</f>
        <v>0</v>
      </c>
      <c r="AP297" s="2">
        <f>COUNTIFS(集計用!$G295,"*, "&amp;AP$3&amp;", *")</f>
        <v>0</v>
      </c>
      <c r="AQ297" s="2">
        <f>COUNTIFS(集計用!$G295,"*, "&amp;AQ$3&amp;", *")</f>
        <v>0</v>
      </c>
      <c r="AR297" s="2">
        <f>COUNTIFS(集計用!$G295,"*, "&amp;AR$3&amp;", *")</f>
        <v>0</v>
      </c>
      <c r="AS297" s="2">
        <f>COUNTIFS(集計用!$G295,"*, "&amp;AS$3&amp;", *")</f>
        <v>0</v>
      </c>
      <c r="AT297" s="2">
        <f>COUNTIFS(集計用!$G295,"*, "&amp;AT$3&amp;", *")</f>
        <v>0</v>
      </c>
      <c r="AU297" s="2">
        <f>COUNTIFS(集計用!$G295,"*, "&amp;AU$3&amp;", *")</f>
        <v>0</v>
      </c>
      <c r="AV297" s="2">
        <f>COUNTIFS(集計用!$G295,"*, "&amp;AV$3&amp;", *")</f>
        <v>0</v>
      </c>
      <c r="AW297" s="2">
        <f>COUNTIFS(集計用!$G295,"*, "&amp;AW$3&amp;", *")</f>
        <v>0</v>
      </c>
      <c r="AX297" s="2">
        <f>COUNTIFS(集計用!$G295,"*, "&amp;AX$3&amp;", *")</f>
        <v>0</v>
      </c>
      <c r="AY297" s="2">
        <f>COUNTIFS(集計用!$G295,"*, "&amp;AY$3&amp;", *")</f>
        <v>0</v>
      </c>
      <c r="AZ297" s="2">
        <f>COUNTIFS(集計用!$G295,"*, "&amp;AZ$3&amp;", *")</f>
        <v>0</v>
      </c>
      <c r="BA297" s="2">
        <f>COUNTIFS(集計用!$G295,"*, "&amp;BA$3&amp;", *")</f>
        <v>0</v>
      </c>
      <c r="BB297" s="2">
        <f>COUNTIFS(集計用!$G295,"*, "&amp;BB$3&amp;", *")</f>
        <v>0</v>
      </c>
      <c r="BC297" s="2">
        <f>COUNTIFS(集計用!$G295,"*, "&amp;BC$3&amp;", *")</f>
        <v>0</v>
      </c>
      <c r="BD297" s="2">
        <f>COUNTIFS(集計用!$G295,"*, "&amp;BD$3&amp;", *")</f>
        <v>0</v>
      </c>
      <c r="BE297" s="2">
        <f>COUNTIFS(集計用!$G295,"*, "&amp;BE$3&amp;", *")</f>
        <v>0</v>
      </c>
      <c r="BF297" s="2">
        <f>COUNTIFS(集計用!$G295,"*, "&amp;BF$3&amp;", *")</f>
        <v>0</v>
      </c>
      <c r="BG297" s="2">
        <f>COUNTIFS(集計用!$G295,"*, "&amp;BG$3&amp;", *")</f>
        <v>0</v>
      </c>
      <c r="BH297" s="2">
        <f>COUNTIFS(集計用!$G295,"*, "&amp;BH$3&amp;", *")</f>
        <v>0</v>
      </c>
      <c r="BI297" s="2">
        <f>COUNTIFS(集計用!$G295,"*, "&amp;BI$3&amp;", *")</f>
        <v>0</v>
      </c>
      <c r="BJ297" s="2">
        <f>LEN(集計用!H295)-LEN(SUBSTITUTE(集計用!H295,",",""))</f>
        <v>0</v>
      </c>
    </row>
    <row r="298" spans="1:62" ht="12.75">
      <c r="A298" s="8">
        <v>295</v>
      </c>
      <c r="C298" s="2">
        <f t="shared" si="3"/>
        <v>7</v>
      </c>
      <c r="D298" s="9"/>
      <c r="E298" s="2">
        <f>COUNTIFS(集計用!$G296,"*, "&amp;E$3&amp;", *")</f>
        <v>1</v>
      </c>
      <c r="F298" s="2">
        <f>COUNTIFS(集計用!$G296,"*, "&amp;F$3&amp;", *")</f>
        <v>1</v>
      </c>
      <c r="G298" s="2">
        <f>COUNTIFS(集計用!$G296,"*, "&amp;G$3&amp;", *")</f>
        <v>1</v>
      </c>
      <c r="H298" s="2">
        <f>COUNTIFS(集計用!$G296,"*, "&amp;H$3&amp;", *")</f>
        <v>0</v>
      </c>
      <c r="I298" s="2">
        <f>COUNTIFS(集計用!$G296,"*, "&amp;I$3&amp;", *")</f>
        <v>0</v>
      </c>
      <c r="J298" s="2">
        <f>COUNTIFS(集計用!$G296,"*, "&amp;J$3&amp;", *")</f>
        <v>0</v>
      </c>
      <c r="K298" s="2">
        <f>COUNTIFS(集計用!$G296,"*, "&amp;K$3&amp;", *")</f>
        <v>0</v>
      </c>
      <c r="L298" s="2">
        <f>COUNTIFS(集計用!$G296,"*, "&amp;L$3&amp;", *")</f>
        <v>0</v>
      </c>
      <c r="M298" s="2">
        <f>COUNTIFS(集計用!$G296,"*, "&amp;M$3&amp;", *")</f>
        <v>0</v>
      </c>
      <c r="N298" s="2">
        <f>COUNTIFS(集計用!$G296,"*, "&amp;N$3&amp;", *")</f>
        <v>1</v>
      </c>
      <c r="O298" s="2">
        <f>COUNTIFS(集計用!$G296,"*, "&amp;O$3&amp;", *")</f>
        <v>1</v>
      </c>
      <c r="P298" s="2">
        <f>COUNTIFS(集計用!$G296,"*, "&amp;P$3&amp;", *")</f>
        <v>0</v>
      </c>
      <c r="Q298" s="2">
        <f>COUNTIFS(集計用!$G296,"*, "&amp;Q$3&amp;", *")</f>
        <v>0</v>
      </c>
      <c r="R298" s="2">
        <f>COUNTIFS(集計用!$G296,"*, "&amp;R$3&amp;", *")</f>
        <v>0</v>
      </c>
      <c r="S298" s="2">
        <f>COUNTIFS(集計用!$G296,"*, "&amp;S$3&amp;", *")</f>
        <v>0</v>
      </c>
      <c r="T298" s="2">
        <f>COUNTIFS(集計用!$G296,"*, "&amp;T$3&amp;", *")</f>
        <v>0</v>
      </c>
      <c r="U298" s="2">
        <f>COUNTIFS(集計用!$G296,"*, "&amp;U$3&amp;", *")</f>
        <v>1</v>
      </c>
      <c r="V298" s="2">
        <f>COUNTIFS(集計用!$G296,"*, "&amp;V$3&amp;", *")</f>
        <v>1</v>
      </c>
      <c r="W298" s="2">
        <f>COUNTIFS(集計用!$G296,"*, "&amp;W$3&amp;", *")</f>
        <v>0</v>
      </c>
      <c r="X298" s="2">
        <f>COUNTIFS(集計用!$G296,"*, "&amp;X$3&amp;", *")</f>
        <v>0</v>
      </c>
      <c r="Y298" s="2">
        <f>COUNTIFS(集計用!$G296,"*, "&amp;Y$3&amp;", *")</f>
        <v>0</v>
      </c>
      <c r="Z298" s="2">
        <f>COUNTIFS(集計用!$G296,"*, "&amp;Z$3&amp;", *")</f>
        <v>0</v>
      </c>
      <c r="AA298" s="2">
        <f>COUNTIFS(集計用!$G296,"*, "&amp;AA$3&amp;", *")</f>
        <v>0</v>
      </c>
      <c r="AB298" s="2">
        <f>COUNTIFS(集計用!$G296,"*, "&amp;AB$3&amp;", *")</f>
        <v>0</v>
      </c>
      <c r="AC298" s="2">
        <f>COUNTIFS(集計用!$G296,"*, "&amp;AC$3&amp;", *")</f>
        <v>0</v>
      </c>
      <c r="AD298" s="2">
        <f>COUNTIFS(集計用!$G296,"*, "&amp;AD$3&amp;", *")</f>
        <v>0</v>
      </c>
      <c r="AE298" s="2">
        <f>COUNTIFS(集計用!$G296,"*, "&amp;AE$3&amp;", *")</f>
        <v>0</v>
      </c>
      <c r="AF298" s="2">
        <f>COUNTIFS(集計用!$G296,"*, "&amp;AF$3&amp;", *")</f>
        <v>0</v>
      </c>
      <c r="AG298" s="2">
        <f>COUNTIFS(集計用!$G296,"*, "&amp;AG$3&amp;", *")</f>
        <v>0</v>
      </c>
      <c r="AH298" s="2">
        <f>COUNTIFS(集計用!$G296,"*, "&amp;AH$3&amp;", *")</f>
        <v>0</v>
      </c>
      <c r="AI298" s="2">
        <f>COUNTIFS(集計用!$G296,"*, "&amp;AI$3&amp;", *")</f>
        <v>0</v>
      </c>
      <c r="AJ298" s="2">
        <f>COUNTIFS(集計用!$G296,"*, "&amp;AJ$3&amp;", *")</f>
        <v>0</v>
      </c>
      <c r="AK298" s="2">
        <f>COUNTIFS(集計用!$G296,"*, "&amp;AK$3&amp;", *")</f>
        <v>0</v>
      </c>
      <c r="AL298" s="2">
        <f>COUNTIFS(集計用!$G296,"*, "&amp;AL$3&amp;", *")</f>
        <v>0</v>
      </c>
      <c r="AM298" s="2">
        <f>COUNTIFS(集計用!$G296,"*, "&amp;AM$3&amp;", *")</f>
        <v>0</v>
      </c>
      <c r="AN298" s="2">
        <f>COUNTIFS(集計用!$G296,"*, "&amp;AN$3&amp;", *")</f>
        <v>0</v>
      </c>
      <c r="AO298" s="2">
        <f>COUNTIFS(集計用!$G296,"*, "&amp;AO$3&amp;", *")</f>
        <v>0</v>
      </c>
      <c r="AP298" s="2">
        <f>COUNTIFS(集計用!$G296,"*, "&amp;AP$3&amp;", *")</f>
        <v>0</v>
      </c>
      <c r="AQ298" s="2">
        <f>COUNTIFS(集計用!$G296,"*, "&amp;AQ$3&amp;", *")</f>
        <v>0</v>
      </c>
      <c r="AR298" s="2">
        <f>COUNTIFS(集計用!$G296,"*, "&amp;AR$3&amp;", *")</f>
        <v>0</v>
      </c>
      <c r="AS298" s="2">
        <f>COUNTIFS(集計用!$G296,"*, "&amp;AS$3&amp;", *")</f>
        <v>0</v>
      </c>
      <c r="AT298" s="2">
        <f>COUNTIFS(集計用!$G296,"*, "&amp;AT$3&amp;", *")</f>
        <v>0</v>
      </c>
      <c r="AU298" s="2">
        <f>COUNTIFS(集計用!$G296,"*, "&amp;AU$3&amp;", *")</f>
        <v>0</v>
      </c>
      <c r="AV298" s="2">
        <f>COUNTIFS(集計用!$G296,"*, "&amp;AV$3&amp;", *")</f>
        <v>0</v>
      </c>
      <c r="AW298" s="2">
        <f>COUNTIFS(集計用!$G296,"*, "&amp;AW$3&amp;", *")</f>
        <v>0</v>
      </c>
      <c r="AX298" s="2">
        <f>COUNTIFS(集計用!$G296,"*, "&amp;AX$3&amp;", *")</f>
        <v>0</v>
      </c>
      <c r="AY298" s="2">
        <f>COUNTIFS(集計用!$G296,"*, "&amp;AY$3&amp;", *")</f>
        <v>0</v>
      </c>
      <c r="AZ298" s="2">
        <f>COUNTIFS(集計用!$G296,"*, "&amp;AZ$3&amp;", *")</f>
        <v>0</v>
      </c>
      <c r="BA298" s="2">
        <f>COUNTIFS(集計用!$G296,"*, "&amp;BA$3&amp;", *")</f>
        <v>0</v>
      </c>
      <c r="BB298" s="2">
        <f>COUNTIFS(集計用!$G296,"*, "&amp;BB$3&amp;", *")</f>
        <v>0</v>
      </c>
      <c r="BC298" s="2">
        <f>COUNTIFS(集計用!$G296,"*, "&amp;BC$3&amp;", *")</f>
        <v>0</v>
      </c>
      <c r="BD298" s="2">
        <f>COUNTIFS(集計用!$G296,"*, "&amp;BD$3&amp;", *")</f>
        <v>0</v>
      </c>
      <c r="BE298" s="2">
        <f>COUNTIFS(集計用!$G296,"*, "&amp;BE$3&amp;", *")</f>
        <v>0</v>
      </c>
      <c r="BF298" s="2">
        <f>COUNTIFS(集計用!$G296,"*, "&amp;BF$3&amp;", *")</f>
        <v>0</v>
      </c>
      <c r="BG298" s="2">
        <f>COUNTIFS(集計用!$G296,"*, "&amp;BG$3&amp;", *")</f>
        <v>0</v>
      </c>
      <c r="BH298" s="2">
        <f>COUNTIFS(集計用!$G296,"*, "&amp;BH$3&amp;", *")</f>
        <v>0</v>
      </c>
      <c r="BI298" s="2">
        <f>COUNTIFS(集計用!$G296,"*, "&amp;BI$3&amp;", *")</f>
        <v>0</v>
      </c>
      <c r="BJ298" s="2">
        <f>LEN(集計用!H296)-LEN(SUBSTITUTE(集計用!H296,",",""))</f>
        <v>0</v>
      </c>
    </row>
    <row r="299" spans="1:62" ht="12.75">
      <c r="A299" s="8">
        <v>296</v>
      </c>
      <c r="C299" s="2">
        <f t="shared" si="3"/>
        <v>8</v>
      </c>
      <c r="D299" s="9"/>
      <c r="E299" s="2">
        <f>COUNTIFS(集計用!$G297,"*, "&amp;E$3&amp;", *")</f>
        <v>0</v>
      </c>
      <c r="F299" s="2">
        <f>COUNTIFS(集計用!$G297,"*, "&amp;F$3&amp;", *")</f>
        <v>1</v>
      </c>
      <c r="G299" s="2">
        <f>COUNTIFS(集計用!$G297,"*, "&amp;G$3&amp;", *")</f>
        <v>0</v>
      </c>
      <c r="H299" s="2">
        <f>COUNTIFS(集計用!$G297,"*, "&amp;H$3&amp;", *")</f>
        <v>0</v>
      </c>
      <c r="I299" s="2">
        <f>COUNTIFS(集計用!$G297,"*, "&amp;I$3&amp;", *")</f>
        <v>0</v>
      </c>
      <c r="J299" s="2">
        <f>COUNTIFS(集計用!$G297,"*, "&amp;J$3&amp;", *")</f>
        <v>0</v>
      </c>
      <c r="K299" s="2">
        <f>COUNTIFS(集計用!$G297,"*, "&amp;K$3&amp;", *")</f>
        <v>0</v>
      </c>
      <c r="L299" s="2">
        <f>COUNTIFS(集計用!$G297,"*, "&amp;L$3&amp;", *")</f>
        <v>0</v>
      </c>
      <c r="M299" s="2">
        <f>COUNTIFS(集計用!$G297,"*, "&amp;M$3&amp;", *")</f>
        <v>0</v>
      </c>
      <c r="N299" s="2">
        <f>COUNTIFS(集計用!$G297,"*, "&amp;N$3&amp;", *")</f>
        <v>0</v>
      </c>
      <c r="O299" s="2">
        <f>COUNTIFS(集計用!$G297,"*, "&amp;O$3&amp;", *")</f>
        <v>1</v>
      </c>
      <c r="P299" s="2">
        <f>COUNTIFS(集計用!$G297,"*, "&amp;P$3&amp;", *")</f>
        <v>0</v>
      </c>
      <c r="Q299" s="2">
        <f>COUNTIFS(集計用!$G297,"*, "&amp;Q$3&amp;", *")</f>
        <v>1</v>
      </c>
      <c r="R299" s="2">
        <f>COUNTIFS(集計用!$G297,"*, "&amp;R$3&amp;", *")</f>
        <v>0</v>
      </c>
      <c r="S299" s="2">
        <f>COUNTIFS(集計用!$G297,"*, "&amp;S$3&amp;", *")</f>
        <v>0</v>
      </c>
      <c r="T299" s="2">
        <f>COUNTIFS(集計用!$G297,"*, "&amp;T$3&amp;", *")</f>
        <v>0</v>
      </c>
      <c r="U299" s="2">
        <f>COUNTIFS(集計用!$G297,"*, "&amp;U$3&amp;", *")</f>
        <v>1</v>
      </c>
      <c r="V299" s="2">
        <f>COUNTIFS(集計用!$G297,"*, "&amp;V$3&amp;", *")</f>
        <v>0</v>
      </c>
      <c r="W299" s="2">
        <f>COUNTIFS(集計用!$G297,"*, "&amp;W$3&amp;", *")</f>
        <v>0</v>
      </c>
      <c r="X299" s="2">
        <f>COUNTIFS(集計用!$G297,"*, "&amp;X$3&amp;", *")</f>
        <v>0</v>
      </c>
      <c r="Y299" s="2">
        <f>COUNTIFS(集計用!$G297,"*, "&amp;Y$3&amp;", *")</f>
        <v>0</v>
      </c>
      <c r="Z299" s="2">
        <f>COUNTIFS(集計用!$G297,"*, "&amp;Z$3&amp;", *")</f>
        <v>0</v>
      </c>
      <c r="AA299" s="2">
        <f>COUNTIFS(集計用!$G297,"*, "&amp;AA$3&amp;", *")</f>
        <v>0</v>
      </c>
      <c r="AB299" s="2">
        <f>COUNTIFS(集計用!$G297,"*, "&amp;AB$3&amp;", *")</f>
        <v>0</v>
      </c>
      <c r="AC299" s="2">
        <f>COUNTIFS(集計用!$G297,"*, "&amp;AC$3&amp;", *")</f>
        <v>0</v>
      </c>
      <c r="AD299" s="2">
        <f>COUNTIFS(集計用!$G297,"*, "&amp;AD$3&amp;", *")</f>
        <v>0</v>
      </c>
      <c r="AE299" s="2">
        <f>COUNTIFS(集計用!$G297,"*, "&amp;AE$3&amp;", *")</f>
        <v>0</v>
      </c>
      <c r="AF299" s="2">
        <f>COUNTIFS(集計用!$G297,"*, "&amp;AF$3&amp;", *")</f>
        <v>0</v>
      </c>
      <c r="AG299" s="2">
        <f>COUNTIFS(集計用!$G297,"*, "&amp;AG$3&amp;", *")</f>
        <v>0</v>
      </c>
      <c r="AH299" s="2">
        <f>COUNTIFS(集計用!$G297,"*, "&amp;AH$3&amp;", *")</f>
        <v>0</v>
      </c>
      <c r="AI299" s="2">
        <f>COUNTIFS(集計用!$G297,"*, "&amp;AI$3&amp;", *")</f>
        <v>0</v>
      </c>
      <c r="AJ299" s="2">
        <f>COUNTIFS(集計用!$G297,"*, "&amp;AJ$3&amp;", *")</f>
        <v>0</v>
      </c>
      <c r="AK299" s="2">
        <f>COUNTIFS(集計用!$G297,"*, "&amp;AK$3&amp;", *")</f>
        <v>0</v>
      </c>
      <c r="AL299" s="2">
        <f>COUNTIFS(集計用!$G297,"*, "&amp;AL$3&amp;", *")</f>
        <v>0</v>
      </c>
      <c r="AM299" s="2">
        <f>COUNTIFS(集計用!$G297,"*, "&amp;AM$3&amp;", *")</f>
        <v>0</v>
      </c>
      <c r="AN299" s="2">
        <f>COUNTIFS(集計用!$G297,"*, "&amp;AN$3&amp;", *")</f>
        <v>1</v>
      </c>
      <c r="AO299" s="2">
        <f>COUNTIFS(集計用!$G297,"*, "&amp;AO$3&amp;", *")</f>
        <v>0</v>
      </c>
      <c r="AP299" s="2">
        <f>COUNTIFS(集計用!$G297,"*, "&amp;AP$3&amp;", *")</f>
        <v>0</v>
      </c>
      <c r="AQ299" s="2">
        <f>COUNTIFS(集計用!$G297,"*, "&amp;AQ$3&amp;", *")</f>
        <v>0</v>
      </c>
      <c r="AR299" s="2">
        <f>COUNTIFS(集計用!$G297,"*, "&amp;AR$3&amp;", *")</f>
        <v>1</v>
      </c>
      <c r="AS299" s="2">
        <f>COUNTIFS(集計用!$G297,"*, "&amp;AS$3&amp;", *")</f>
        <v>0</v>
      </c>
      <c r="AT299" s="2">
        <f>COUNTIFS(集計用!$G297,"*, "&amp;AT$3&amp;", *")</f>
        <v>0</v>
      </c>
      <c r="AU299" s="2">
        <f>COUNTIFS(集計用!$G297,"*, "&amp;AU$3&amp;", *")</f>
        <v>0</v>
      </c>
      <c r="AV299" s="2">
        <f>COUNTIFS(集計用!$G297,"*, "&amp;AV$3&amp;", *")</f>
        <v>0</v>
      </c>
      <c r="AW299" s="2">
        <f>COUNTIFS(集計用!$G297,"*, "&amp;AW$3&amp;", *")</f>
        <v>0</v>
      </c>
      <c r="AX299" s="2">
        <f>COUNTIFS(集計用!$G297,"*, "&amp;AX$3&amp;", *")</f>
        <v>1</v>
      </c>
      <c r="AY299" s="2">
        <f>COUNTIFS(集計用!$G297,"*, "&amp;AY$3&amp;", *")</f>
        <v>0</v>
      </c>
      <c r="AZ299" s="2">
        <f>COUNTIFS(集計用!$G297,"*, "&amp;AZ$3&amp;", *")</f>
        <v>0</v>
      </c>
      <c r="BA299" s="2">
        <f>COUNTIFS(集計用!$G297,"*, "&amp;BA$3&amp;", *")</f>
        <v>0</v>
      </c>
      <c r="BB299" s="2">
        <f>COUNTIFS(集計用!$G297,"*, "&amp;BB$3&amp;", *")</f>
        <v>0</v>
      </c>
      <c r="BC299" s="2">
        <f>COUNTIFS(集計用!$G297,"*, "&amp;BC$3&amp;", *")</f>
        <v>0</v>
      </c>
      <c r="BD299" s="2">
        <f>COUNTIFS(集計用!$G297,"*, "&amp;BD$3&amp;", *")</f>
        <v>0</v>
      </c>
      <c r="BE299" s="2">
        <f>COUNTIFS(集計用!$G297,"*, "&amp;BE$3&amp;", *")</f>
        <v>0</v>
      </c>
      <c r="BF299" s="2">
        <f>COUNTIFS(集計用!$G297,"*, "&amp;BF$3&amp;", *")</f>
        <v>0</v>
      </c>
      <c r="BG299" s="2">
        <f>COUNTIFS(集計用!$G297,"*, "&amp;BG$3&amp;", *")</f>
        <v>0</v>
      </c>
      <c r="BH299" s="2">
        <f>COUNTIFS(集計用!$G297,"*, "&amp;BH$3&amp;", *")</f>
        <v>0</v>
      </c>
      <c r="BI299" s="2">
        <f>COUNTIFS(集計用!$G297,"*, "&amp;BI$3&amp;", *")</f>
        <v>0</v>
      </c>
      <c r="BJ299" s="2">
        <f>LEN(集計用!H297)-LEN(SUBSTITUTE(集計用!H297,",",""))</f>
        <v>1</v>
      </c>
    </row>
    <row r="300" spans="1:62" ht="12.75">
      <c r="A300" s="8">
        <v>297</v>
      </c>
      <c r="C300" s="2">
        <f t="shared" si="3"/>
        <v>5</v>
      </c>
      <c r="D300" s="9"/>
      <c r="E300" s="2">
        <f>COUNTIFS(集計用!$G298,"*, "&amp;E$3&amp;", *")</f>
        <v>1</v>
      </c>
      <c r="F300" s="2">
        <f>COUNTIFS(集計用!$G298,"*, "&amp;F$3&amp;", *")</f>
        <v>0</v>
      </c>
      <c r="G300" s="2">
        <f>COUNTIFS(集計用!$G298,"*, "&amp;G$3&amp;", *")</f>
        <v>0</v>
      </c>
      <c r="H300" s="2">
        <f>COUNTIFS(集計用!$G298,"*, "&amp;H$3&amp;", *")</f>
        <v>0</v>
      </c>
      <c r="I300" s="2">
        <f>COUNTIFS(集計用!$G298,"*, "&amp;I$3&amp;", *")</f>
        <v>1</v>
      </c>
      <c r="J300" s="2">
        <f>COUNTIFS(集計用!$G298,"*, "&amp;J$3&amp;", *")</f>
        <v>0</v>
      </c>
      <c r="K300" s="2">
        <f>COUNTIFS(集計用!$G298,"*, "&amp;K$3&amp;", *")</f>
        <v>0</v>
      </c>
      <c r="L300" s="2">
        <f>COUNTIFS(集計用!$G298,"*, "&amp;L$3&amp;", *")</f>
        <v>1</v>
      </c>
      <c r="M300" s="2">
        <f>COUNTIFS(集計用!$G298,"*, "&amp;M$3&amp;", *")</f>
        <v>1</v>
      </c>
      <c r="N300" s="2">
        <f>COUNTIFS(集計用!$G298,"*, "&amp;N$3&amp;", *")</f>
        <v>0</v>
      </c>
      <c r="O300" s="2">
        <f>COUNTIFS(集計用!$G298,"*, "&amp;O$3&amp;", *")</f>
        <v>0</v>
      </c>
      <c r="P300" s="2">
        <f>COUNTIFS(集計用!$G298,"*, "&amp;P$3&amp;", *")</f>
        <v>0</v>
      </c>
      <c r="Q300" s="2">
        <f>COUNTIFS(集計用!$G298,"*, "&amp;Q$3&amp;", *")</f>
        <v>0</v>
      </c>
      <c r="R300" s="2">
        <f>COUNTIFS(集計用!$G298,"*, "&amp;R$3&amp;", *")</f>
        <v>0</v>
      </c>
      <c r="S300" s="2">
        <f>COUNTIFS(集計用!$G298,"*, "&amp;S$3&amp;", *")</f>
        <v>0</v>
      </c>
      <c r="T300" s="2">
        <f>COUNTIFS(集計用!$G298,"*, "&amp;T$3&amp;", *")</f>
        <v>0</v>
      </c>
      <c r="U300" s="2">
        <f>COUNTIFS(集計用!$G298,"*, "&amp;U$3&amp;", *")</f>
        <v>0</v>
      </c>
      <c r="V300" s="2">
        <f>COUNTIFS(集計用!$G298,"*, "&amp;V$3&amp;", *")</f>
        <v>0</v>
      </c>
      <c r="W300" s="2">
        <f>COUNTIFS(集計用!$G298,"*, "&amp;W$3&amp;", *")</f>
        <v>0</v>
      </c>
      <c r="X300" s="2">
        <f>COUNTIFS(集計用!$G298,"*, "&amp;X$3&amp;", *")</f>
        <v>0</v>
      </c>
      <c r="Y300" s="2">
        <f>COUNTIFS(集計用!$G298,"*, "&amp;Y$3&amp;", *")</f>
        <v>0</v>
      </c>
      <c r="Z300" s="2">
        <f>COUNTIFS(集計用!$G298,"*, "&amp;Z$3&amp;", *")</f>
        <v>0</v>
      </c>
      <c r="AA300" s="2">
        <f>COUNTIFS(集計用!$G298,"*, "&amp;AA$3&amp;", *")</f>
        <v>0</v>
      </c>
      <c r="AB300" s="2">
        <f>COUNTIFS(集計用!$G298,"*, "&amp;AB$3&amp;", *")</f>
        <v>0</v>
      </c>
      <c r="AC300" s="2">
        <f>COUNTIFS(集計用!$G298,"*, "&amp;AC$3&amp;", *")</f>
        <v>0</v>
      </c>
      <c r="AD300" s="2">
        <f>COUNTIFS(集計用!$G298,"*, "&amp;AD$3&amp;", *")</f>
        <v>0</v>
      </c>
      <c r="AE300" s="2">
        <f>COUNTIFS(集計用!$G298,"*, "&amp;AE$3&amp;", *")</f>
        <v>0</v>
      </c>
      <c r="AF300" s="2">
        <f>COUNTIFS(集計用!$G298,"*, "&amp;AF$3&amp;", *")</f>
        <v>0</v>
      </c>
      <c r="AG300" s="2">
        <f>COUNTIFS(集計用!$G298,"*, "&amp;AG$3&amp;", *")</f>
        <v>0</v>
      </c>
      <c r="AH300" s="2">
        <f>COUNTIFS(集計用!$G298,"*, "&amp;AH$3&amp;", *")</f>
        <v>0</v>
      </c>
      <c r="AI300" s="2">
        <f>COUNTIFS(集計用!$G298,"*, "&amp;AI$3&amp;", *")</f>
        <v>0</v>
      </c>
      <c r="AJ300" s="2">
        <f>COUNTIFS(集計用!$G298,"*, "&amp;AJ$3&amp;", *")</f>
        <v>0</v>
      </c>
      <c r="AK300" s="2">
        <f>COUNTIFS(集計用!$G298,"*, "&amp;AK$3&amp;", *")</f>
        <v>0</v>
      </c>
      <c r="AL300" s="2">
        <f>COUNTIFS(集計用!$G298,"*, "&amp;AL$3&amp;", *")</f>
        <v>0</v>
      </c>
      <c r="AM300" s="2">
        <f>COUNTIFS(集計用!$G298,"*, "&amp;AM$3&amp;", *")</f>
        <v>0</v>
      </c>
      <c r="AN300" s="2">
        <f>COUNTIFS(集計用!$G298,"*, "&amp;AN$3&amp;", *")</f>
        <v>0</v>
      </c>
      <c r="AO300" s="2">
        <f>COUNTIFS(集計用!$G298,"*, "&amp;AO$3&amp;", *")</f>
        <v>0</v>
      </c>
      <c r="AP300" s="2">
        <f>COUNTIFS(集計用!$G298,"*, "&amp;AP$3&amp;", *")</f>
        <v>0</v>
      </c>
      <c r="AQ300" s="2">
        <f>COUNTIFS(集計用!$G298,"*, "&amp;AQ$3&amp;", *")</f>
        <v>0</v>
      </c>
      <c r="AR300" s="2">
        <f>COUNTIFS(集計用!$G298,"*, "&amp;AR$3&amp;", *")</f>
        <v>0</v>
      </c>
      <c r="AS300" s="2">
        <f>COUNTIFS(集計用!$G298,"*, "&amp;AS$3&amp;", *")</f>
        <v>0</v>
      </c>
      <c r="AT300" s="2">
        <f>COUNTIFS(集計用!$G298,"*, "&amp;AT$3&amp;", *")</f>
        <v>0</v>
      </c>
      <c r="AU300" s="2">
        <f>COUNTIFS(集計用!$G298,"*, "&amp;AU$3&amp;", *")</f>
        <v>0</v>
      </c>
      <c r="AV300" s="2">
        <f>COUNTIFS(集計用!$G298,"*, "&amp;AV$3&amp;", *")</f>
        <v>0</v>
      </c>
      <c r="AW300" s="2">
        <f>COUNTIFS(集計用!$G298,"*, "&amp;AW$3&amp;", *")</f>
        <v>0</v>
      </c>
      <c r="AX300" s="2">
        <f>COUNTIFS(集計用!$G298,"*, "&amp;AX$3&amp;", *")</f>
        <v>0</v>
      </c>
      <c r="AY300" s="2">
        <f>COUNTIFS(集計用!$G298,"*, "&amp;AY$3&amp;", *")</f>
        <v>0</v>
      </c>
      <c r="AZ300" s="2">
        <f>COUNTIFS(集計用!$G298,"*, "&amp;AZ$3&amp;", *")</f>
        <v>0</v>
      </c>
      <c r="BA300" s="2">
        <f>COUNTIFS(集計用!$G298,"*, "&amp;BA$3&amp;", *")</f>
        <v>0</v>
      </c>
      <c r="BB300" s="2">
        <f>COUNTIFS(集計用!$G298,"*, "&amp;BB$3&amp;", *")</f>
        <v>0</v>
      </c>
      <c r="BC300" s="2">
        <f>COUNTIFS(集計用!$G298,"*, "&amp;BC$3&amp;", *")</f>
        <v>1</v>
      </c>
      <c r="BD300" s="2">
        <f>COUNTIFS(集計用!$G298,"*, "&amp;BD$3&amp;", *")</f>
        <v>0</v>
      </c>
      <c r="BE300" s="2">
        <f>COUNTIFS(集計用!$G298,"*, "&amp;BE$3&amp;", *")</f>
        <v>0</v>
      </c>
      <c r="BF300" s="2">
        <f>COUNTIFS(集計用!$G298,"*, "&amp;BF$3&amp;", *")</f>
        <v>0</v>
      </c>
      <c r="BG300" s="2">
        <f>COUNTIFS(集計用!$G298,"*, "&amp;BG$3&amp;", *")</f>
        <v>0</v>
      </c>
      <c r="BH300" s="2">
        <f>COUNTIFS(集計用!$G298,"*, "&amp;BH$3&amp;", *")</f>
        <v>0</v>
      </c>
      <c r="BI300" s="2">
        <f>COUNTIFS(集計用!$G298,"*, "&amp;BI$3&amp;", *")</f>
        <v>0</v>
      </c>
      <c r="BJ300" s="2">
        <f>LEN(集計用!H298)-LEN(SUBSTITUTE(集計用!H298,",",""))</f>
        <v>0</v>
      </c>
    </row>
    <row r="301" spans="1:62" ht="12.75">
      <c r="A301" s="8">
        <v>298</v>
      </c>
      <c r="C301" s="2">
        <f t="shared" si="3"/>
        <v>2</v>
      </c>
      <c r="D301" s="9"/>
      <c r="E301" s="2">
        <f>COUNTIFS(集計用!$G299,"*, "&amp;E$3&amp;", *")</f>
        <v>0</v>
      </c>
      <c r="F301" s="2">
        <f>COUNTIFS(集計用!$G299,"*, "&amp;F$3&amp;", *")</f>
        <v>0</v>
      </c>
      <c r="G301" s="2">
        <f>COUNTIFS(集計用!$G299,"*, "&amp;G$3&amp;", *")</f>
        <v>0</v>
      </c>
      <c r="H301" s="2">
        <f>COUNTIFS(集計用!$G299,"*, "&amp;H$3&amp;", *")</f>
        <v>0</v>
      </c>
      <c r="I301" s="2">
        <f>COUNTIFS(集計用!$G299,"*, "&amp;I$3&amp;", *")</f>
        <v>0</v>
      </c>
      <c r="J301" s="2">
        <f>COUNTIFS(集計用!$G299,"*, "&amp;J$3&amp;", *")</f>
        <v>0</v>
      </c>
      <c r="K301" s="2">
        <f>COUNTIFS(集計用!$G299,"*, "&amp;K$3&amp;", *")</f>
        <v>0</v>
      </c>
      <c r="L301" s="2">
        <f>COUNTIFS(集計用!$G299,"*, "&amp;L$3&amp;", *")</f>
        <v>0</v>
      </c>
      <c r="M301" s="2">
        <f>COUNTIFS(集計用!$G299,"*, "&amp;M$3&amp;", *")</f>
        <v>0</v>
      </c>
      <c r="N301" s="2">
        <f>COUNTIFS(集計用!$G299,"*, "&amp;N$3&amp;", *")</f>
        <v>0</v>
      </c>
      <c r="O301" s="2">
        <f>COUNTIFS(集計用!$G299,"*, "&amp;O$3&amp;", *")</f>
        <v>0</v>
      </c>
      <c r="P301" s="2">
        <f>COUNTIFS(集計用!$G299,"*, "&amp;P$3&amp;", *")</f>
        <v>1</v>
      </c>
      <c r="Q301" s="2">
        <f>COUNTIFS(集計用!$G299,"*, "&amp;Q$3&amp;", *")</f>
        <v>1</v>
      </c>
      <c r="R301" s="2">
        <f>COUNTIFS(集計用!$G299,"*, "&amp;R$3&amp;", *")</f>
        <v>0</v>
      </c>
      <c r="S301" s="2">
        <f>COUNTIFS(集計用!$G299,"*, "&amp;S$3&amp;", *")</f>
        <v>0</v>
      </c>
      <c r="T301" s="2">
        <f>COUNTIFS(集計用!$G299,"*, "&amp;T$3&amp;", *")</f>
        <v>0</v>
      </c>
      <c r="U301" s="2">
        <f>COUNTIFS(集計用!$G299,"*, "&amp;U$3&amp;", *")</f>
        <v>0</v>
      </c>
      <c r="V301" s="2">
        <f>COUNTIFS(集計用!$G299,"*, "&amp;V$3&amp;", *")</f>
        <v>0</v>
      </c>
      <c r="W301" s="2">
        <f>COUNTIFS(集計用!$G299,"*, "&amp;W$3&amp;", *")</f>
        <v>0</v>
      </c>
      <c r="X301" s="2">
        <f>COUNTIFS(集計用!$G299,"*, "&amp;X$3&amp;", *")</f>
        <v>0</v>
      </c>
      <c r="Y301" s="2">
        <f>COUNTIFS(集計用!$G299,"*, "&amp;Y$3&amp;", *")</f>
        <v>0</v>
      </c>
      <c r="Z301" s="2">
        <f>COUNTIFS(集計用!$G299,"*, "&amp;Z$3&amp;", *")</f>
        <v>0</v>
      </c>
      <c r="AA301" s="2">
        <f>COUNTIFS(集計用!$G299,"*, "&amp;AA$3&amp;", *")</f>
        <v>0</v>
      </c>
      <c r="AB301" s="2">
        <f>COUNTIFS(集計用!$G299,"*, "&amp;AB$3&amp;", *")</f>
        <v>0</v>
      </c>
      <c r="AC301" s="2">
        <f>COUNTIFS(集計用!$G299,"*, "&amp;AC$3&amp;", *")</f>
        <v>0</v>
      </c>
      <c r="AD301" s="2">
        <f>COUNTIFS(集計用!$G299,"*, "&amp;AD$3&amp;", *")</f>
        <v>0</v>
      </c>
      <c r="AE301" s="2">
        <f>COUNTIFS(集計用!$G299,"*, "&amp;AE$3&amp;", *")</f>
        <v>0</v>
      </c>
      <c r="AF301" s="2">
        <f>COUNTIFS(集計用!$G299,"*, "&amp;AF$3&amp;", *")</f>
        <v>0</v>
      </c>
      <c r="AG301" s="2">
        <f>COUNTIFS(集計用!$G299,"*, "&amp;AG$3&amp;", *")</f>
        <v>0</v>
      </c>
      <c r="AH301" s="2">
        <f>COUNTIFS(集計用!$G299,"*, "&amp;AH$3&amp;", *")</f>
        <v>0</v>
      </c>
      <c r="AI301" s="2">
        <f>COUNTIFS(集計用!$G299,"*, "&amp;AI$3&amp;", *")</f>
        <v>0</v>
      </c>
      <c r="AJ301" s="2">
        <f>COUNTIFS(集計用!$G299,"*, "&amp;AJ$3&amp;", *")</f>
        <v>0</v>
      </c>
      <c r="AK301" s="2">
        <f>COUNTIFS(集計用!$G299,"*, "&amp;AK$3&amp;", *")</f>
        <v>0</v>
      </c>
      <c r="AL301" s="2">
        <f>COUNTIFS(集計用!$G299,"*, "&amp;AL$3&amp;", *")</f>
        <v>0</v>
      </c>
      <c r="AM301" s="2">
        <f>COUNTIFS(集計用!$G299,"*, "&amp;AM$3&amp;", *")</f>
        <v>0</v>
      </c>
      <c r="AN301" s="2">
        <f>COUNTIFS(集計用!$G299,"*, "&amp;AN$3&amp;", *")</f>
        <v>0</v>
      </c>
      <c r="AO301" s="2">
        <f>COUNTIFS(集計用!$G299,"*, "&amp;AO$3&amp;", *")</f>
        <v>0</v>
      </c>
      <c r="AP301" s="2">
        <f>COUNTIFS(集計用!$G299,"*, "&amp;AP$3&amp;", *")</f>
        <v>0</v>
      </c>
      <c r="AQ301" s="2">
        <f>COUNTIFS(集計用!$G299,"*, "&amp;AQ$3&amp;", *")</f>
        <v>0</v>
      </c>
      <c r="AR301" s="2">
        <f>COUNTIFS(集計用!$G299,"*, "&amp;AR$3&amp;", *")</f>
        <v>0</v>
      </c>
      <c r="AS301" s="2">
        <f>COUNTIFS(集計用!$G299,"*, "&amp;AS$3&amp;", *")</f>
        <v>0</v>
      </c>
      <c r="AT301" s="2">
        <f>COUNTIFS(集計用!$G299,"*, "&amp;AT$3&amp;", *")</f>
        <v>0</v>
      </c>
      <c r="AU301" s="2">
        <f>COUNTIFS(集計用!$G299,"*, "&amp;AU$3&amp;", *")</f>
        <v>0</v>
      </c>
      <c r="AV301" s="2">
        <f>COUNTIFS(集計用!$G299,"*, "&amp;AV$3&amp;", *")</f>
        <v>0</v>
      </c>
      <c r="AW301" s="2">
        <f>COUNTIFS(集計用!$G299,"*, "&amp;AW$3&amp;", *")</f>
        <v>0</v>
      </c>
      <c r="AX301" s="2">
        <f>COUNTIFS(集計用!$G299,"*, "&amp;AX$3&amp;", *")</f>
        <v>0</v>
      </c>
      <c r="AY301" s="2">
        <f>COUNTIFS(集計用!$G299,"*, "&amp;AY$3&amp;", *")</f>
        <v>0</v>
      </c>
      <c r="AZ301" s="2">
        <f>COUNTIFS(集計用!$G299,"*, "&amp;AZ$3&amp;", *")</f>
        <v>0</v>
      </c>
      <c r="BA301" s="2">
        <f>COUNTIFS(集計用!$G299,"*, "&amp;BA$3&amp;", *")</f>
        <v>0</v>
      </c>
      <c r="BB301" s="2">
        <f>COUNTIFS(集計用!$G299,"*, "&amp;BB$3&amp;", *")</f>
        <v>0</v>
      </c>
      <c r="BC301" s="2">
        <f>COUNTIFS(集計用!$G299,"*, "&amp;BC$3&amp;", *")</f>
        <v>0</v>
      </c>
      <c r="BD301" s="2">
        <f>COUNTIFS(集計用!$G299,"*, "&amp;BD$3&amp;", *")</f>
        <v>0</v>
      </c>
      <c r="BE301" s="2">
        <f>COUNTIFS(集計用!$G299,"*, "&amp;BE$3&amp;", *")</f>
        <v>0</v>
      </c>
      <c r="BF301" s="2">
        <f>COUNTIFS(集計用!$G299,"*, "&amp;BF$3&amp;", *")</f>
        <v>0</v>
      </c>
      <c r="BG301" s="2">
        <f>COUNTIFS(集計用!$G299,"*, "&amp;BG$3&amp;", *")</f>
        <v>0</v>
      </c>
      <c r="BH301" s="2">
        <f>COUNTIFS(集計用!$G299,"*, "&amp;BH$3&amp;", *")</f>
        <v>0</v>
      </c>
      <c r="BI301" s="2">
        <f>COUNTIFS(集計用!$G299,"*, "&amp;BI$3&amp;", *")</f>
        <v>0</v>
      </c>
      <c r="BJ301" s="2">
        <f>LEN(集計用!H299)-LEN(SUBSTITUTE(集計用!H299,",",""))</f>
        <v>0</v>
      </c>
    </row>
    <row r="302" spans="1:62" ht="12.75">
      <c r="A302" s="8">
        <v>299</v>
      </c>
      <c r="C302" s="2">
        <f t="shared" si="3"/>
        <v>5</v>
      </c>
      <c r="D302" s="9"/>
      <c r="E302" s="2">
        <f>COUNTIFS(集計用!$G300,"*, "&amp;E$3&amp;", *")</f>
        <v>1</v>
      </c>
      <c r="F302" s="2">
        <f>COUNTIFS(集計用!$G300,"*, "&amp;F$3&amp;", *")</f>
        <v>0</v>
      </c>
      <c r="G302" s="2">
        <f>COUNTIFS(集計用!$G300,"*, "&amp;G$3&amp;", *")</f>
        <v>1</v>
      </c>
      <c r="H302" s="2">
        <f>COUNTIFS(集計用!$G300,"*, "&amp;H$3&amp;", *")</f>
        <v>0</v>
      </c>
      <c r="I302" s="2">
        <f>COUNTIFS(集計用!$G300,"*, "&amp;I$3&amp;", *")</f>
        <v>0</v>
      </c>
      <c r="J302" s="2">
        <f>COUNTIFS(集計用!$G300,"*, "&amp;J$3&amp;", *")</f>
        <v>0</v>
      </c>
      <c r="K302" s="2">
        <f>COUNTIFS(集計用!$G300,"*, "&amp;K$3&amp;", *")</f>
        <v>0</v>
      </c>
      <c r="L302" s="2">
        <f>COUNTIFS(集計用!$G300,"*, "&amp;L$3&amp;", *")</f>
        <v>0</v>
      </c>
      <c r="M302" s="2">
        <f>COUNTIFS(集計用!$G300,"*, "&amp;M$3&amp;", *")</f>
        <v>0</v>
      </c>
      <c r="N302" s="2">
        <f>COUNTIFS(集計用!$G300,"*, "&amp;N$3&amp;", *")</f>
        <v>1</v>
      </c>
      <c r="O302" s="2">
        <f>COUNTIFS(集計用!$G300,"*, "&amp;O$3&amp;", *")</f>
        <v>0</v>
      </c>
      <c r="P302" s="2">
        <f>COUNTIFS(集計用!$G300,"*, "&amp;P$3&amp;", *")</f>
        <v>1</v>
      </c>
      <c r="Q302" s="2">
        <f>COUNTIFS(集計用!$G300,"*, "&amp;Q$3&amp;", *")</f>
        <v>0</v>
      </c>
      <c r="R302" s="2">
        <f>COUNTIFS(集計用!$G300,"*, "&amp;R$3&amp;", *")</f>
        <v>0</v>
      </c>
      <c r="S302" s="2">
        <f>COUNTIFS(集計用!$G300,"*, "&amp;S$3&amp;", *")</f>
        <v>0</v>
      </c>
      <c r="T302" s="2">
        <f>COUNTIFS(集計用!$G300,"*, "&amp;T$3&amp;", *")</f>
        <v>0</v>
      </c>
      <c r="U302" s="2">
        <f>COUNTIFS(集計用!$G300,"*, "&amp;U$3&amp;", *")</f>
        <v>0</v>
      </c>
      <c r="V302" s="2">
        <f>COUNTIFS(集計用!$G300,"*, "&amp;V$3&amp;", *")</f>
        <v>0</v>
      </c>
      <c r="W302" s="2">
        <f>COUNTIFS(集計用!$G300,"*, "&amp;W$3&amp;", *")</f>
        <v>0</v>
      </c>
      <c r="X302" s="2">
        <f>COUNTIFS(集計用!$G300,"*, "&amp;X$3&amp;", *")</f>
        <v>0</v>
      </c>
      <c r="Y302" s="2">
        <f>COUNTIFS(集計用!$G300,"*, "&amp;Y$3&amp;", *")</f>
        <v>0</v>
      </c>
      <c r="Z302" s="2">
        <f>COUNTIFS(集計用!$G300,"*, "&amp;Z$3&amp;", *")</f>
        <v>0</v>
      </c>
      <c r="AA302" s="2">
        <f>COUNTIFS(集計用!$G300,"*, "&amp;AA$3&amp;", *")</f>
        <v>1</v>
      </c>
      <c r="AB302" s="2">
        <f>COUNTIFS(集計用!$G300,"*, "&amp;AB$3&amp;", *")</f>
        <v>0</v>
      </c>
      <c r="AC302" s="2">
        <f>COUNTIFS(集計用!$G300,"*, "&amp;AC$3&amp;", *")</f>
        <v>0</v>
      </c>
      <c r="AD302" s="2">
        <f>COUNTIFS(集計用!$G300,"*, "&amp;AD$3&amp;", *")</f>
        <v>0</v>
      </c>
      <c r="AE302" s="2">
        <f>COUNTIFS(集計用!$G300,"*, "&amp;AE$3&amp;", *")</f>
        <v>0</v>
      </c>
      <c r="AF302" s="2">
        <f>COUNTIFS(集計用!$G300,"*, "&amp;AF$3&amp;", *")</f>
        <v>0</v>
      </c>
      <c r="AG302" s="2">
        <f>COUNTIFS(集計用!$G300,"*, "&amp;AG$3&amp;", *")</f>
        <v>0</v>
      </c>
      <c r="AH302" s="2">
        <f>COUNTIFS(集計用!$G300,"*, "&amp;AH$3&amp;", *")</f>
        <v>0</v>
      </c>
      <c r="AI302" s="2">
        <f>COUNTIFS(集計用!$G300,"*, "&amp;AI$3&amp;", *")</f>
        <v>0</v>
      </c>
      <c r="AJ302" s="2">
        <f>COUNTIFS(集計用!$G300,"*, "&amp;AJ$3&amp;", *")</f>
        <v>0</v>
      </c>
      <c r="AK302" s="2">
        <f>COUNTIFS(集計用!$G300,"*, "&amp;AK$3&amp;", *")</f>
        <v>0</v>
      </c>
      <c r="AL302" s="2">
        <f>COUNTIFS(集計用!$G300,"*, "&amp;AL$3&amp;", *")</f>
        <v>0</v>
      </c>
      <c r="AM302" s="2">
        <f>COUNTIFS(集計用!$G300,"*, "&amp;AM$3&amp;", *")</f>
        <v>0</v>
      </c>
      <c r="AN302" s="2">
        <f>COUNTIFS(集計用!$G300,"*, "&amp;AN$3&amp;", *")</f>
        <v>0</v>
      </c>
      <c r="AO302" s="2">
        <f>COUNTIFS(集計用!$G300,"*, "&amp;AO$3&amp;", *")</f>
        <v>0</v>
      </c>
      <c r="AP302" s="2">
        <f>COUNTIFS(集計用!$G300,"*, "&amp;AP$3&amp;", *")</f>
        <v>0</v>
      </c>
      <c r="AQ302" s="2">
        <f>COUNTIFS(集計用!$G300,"*, "&amp;AQ$3&amp;", *")</f>
        <v>0</v>
      </c>
      <c r="AR302" s="2">
        <f>COUNTIFS(集計用!$G300,"*, "&amp;AR$3&amp;", *")</f>
        <v>0</v>
      </c>
      <c r="AS302" s="2">
        <f>COUNTIFS(集計用!$G300,"*, "&amp;AS$3&amp;", *")</f>
        <v>0</v>
      </c>
      <c r="AT302" s="2">
        <f>COUNTIFS(集計用!$G300,"*, "&amp;AT$3&amp;", *")</f>
        <v>0</v>
      </c>
      <c r="AU302" s="2">
        <f>COUNTIFS(集計用!$G300,"*, "&amp;AU$3&amp;", *")</f>
        <v>0</v>
      </c>
      <c r="AV302" s="2">
        <f>COUNTIFS(集計用!$G300,"*, "&amp;AV$3&amp;", *")</f>
        <v>0</v>
      </c>
      <c r="AW302" s="2">
        <f>COUNTIFS(集計用!$G300,"*, "&amp;AW$3&amp;", *")</f>
        <v>0</v>
      </c>
      <c r="AX302" s="2">
        <f>COUNTIFS(集計用!$G300,"*, "&amp;AX$3&amp;", *")</f>
        <v>0</v>
      </c>
      <c r="AY302" s="2">
        <f>COUNTIFS(集計用!$G300,"*, "&amp;AY$3&amp;", *")</f>
        <v>0</v>
      </c>
      <c r="AZ302" s="2">
        <f>COUNTIFS(集計用!$G300,"*, "&amp;AZ$3&amp;", *")</f>
        <v>0</v>
      </c>
      <c r="BA302" s="2">
        <f>COUNTIFS(集計用!$G300,"*, "&amp;BA$3&amp;", *")</f>
        <v>0</v>
      </c>
      <c r="BB302" s="2">
        <f>COUNTIFS(集計用!$G300,"*, "&amp;BB$3&amp;", *")</f>
        <v>0</v>
      </c>
      <c r="BC302" s="2">
        <f>COUNTIFS(集計用!$G300,"*, "&amp;BC$3&amp;", *")</f>
        <v>0</v>
      </c>
      <c r="BD302" s="2">
        <f>COUNTIFS(集計用!$G300,"*, "&amp;BD$3&amp;", *")</f>
        <v>0</v>
      </c>
      <c r="BE302" s="2">
        <f>COUNTIFS(集計用!$G300,"*, "&amp;BE$3&amp;", *")</f>
        <v>0</v>
      </c>
      <c r="BF302" s="2">
        <f>COUNTIFS(集計用!$G300,"*, "&amp;BF$3&amp;", *")</f>
        <v>0</v>
      </c>
      <c r="BG302" s="2">
        <f>COUNTIFS(集計用!$G300,"*, "&amp;BG$3&amp;", *")</f>
        <v>0</v>
      </c>
      <c r="BH302" s="2">
        <f>COUNTIFS(集計用!$G300,"*, "&amp;BH$3&amp;", *")</f>
        <v>0</v>
      </c>
      <c r="BI302" s="2">
        <f>COUNTIFS(集計用!$G300,"*, "&amp;BI$3&amp;", *")</f>
        <v>0</v>
      </c>
      <c r="BJ302" s="2">
        <f>LEN(集計用!H300)-LEN(SUBSTITUTE(集計用!H300,",",""))</f>
        <v>0</v>
      </c>
    </row>
    <row r="303" spans="1:62" ht="12.75">
      <c r="A303" s="8">
        <v>300</v>
      </c>
      <c r="C303" s="2">
        <f t="shared" si="3"/>
        <v>1</v>
      </c>
      <c r="D303" s="9"/>
      <c r="E303" s="2">
        <f>COUNTIFS(集計用!$G301,"*, "&amp;E$3&amp;", *")</f>
        <v>1</v>
      </c>
      <c r="F303" s="2">
        <f>COUNTIFS(集計用!$G301,"*, "&amp;F$3&amp;", *")</f>
        <v>0</v>
      </c>
      <c r="G303" s="2">
        <f>COUNTIFS(集計用!$G301,"*, "&amp;G$3&amp;", *")</f>
        <v>0</v>
      </c>
      <c r="H303" s="2">
        <f>COUNTIFS(集計用!$G301,"*, "&amp;H$3&amp;", *")</f>
        <v>0</v>
      </c>
      <c r="I303" s="2">
        <f>COUNTIFS(集計用!$G301,"*, "&amp;I$3&amp;", *")</f>
        <v>0</v>
      </c>
      <c r="J303" s="2">
        <f>COUNTIFS(集計用!$G301,"*, "&amp;J$3&amp;", *")</f>
        <v>0</v>
      </c>
      <c r="K303" s="2">
        <f>COUNTIFS(集計用!$G301,"*, "&amp;K$3&amp;", *")</f>
        <v>0</v>
      </c>
      <c r="L303" s="2">
        <f>COUNTIFS(集計用!$G301,"*, "&amp;L$3&amp;", *")</f>
        <v>0</v>
      </c>
      <c r="M303" s="2">
        <f>COUNTIFS(集計用!$G301,"*, "&amp;M$3&amp;", *")</f>
        <v>0</v>
      </c>
      <c r="N303" s="2">
        <f>COUNTIFS(集計用!$G301,"*, "&amp;N$3&amp;", *")</f>
        <v>0</v>
      </c>
      <c r="O303" s="2">
        <f>COUNTIFS(集計用!$G301,"*, "&amp;O$3&amp;", *")</f>
        <v>0</v>
      </c>
      <c r="P303" s="2">
        <f>COUNTIFS(集計用!$G301,"*, "&amp;P$3&amp;", *")</f>
        <v>0</v>
      </c>
      <c r="Q303" s="2">
        <f>COUNTIFS(集計用!$G301,"*, "&amp;Q$3&amp;", *")</f>
        <v>0</v>
      </c>
      <c r="R303" s="2">
        <f>COUNTIFS(集計用!$G301,"*, "&amp;R$3&amp;", *")</f>
        <v>0</v>
      </c>
      <c r="S303" s="2">
        <f>COUNTIFS(集計用!$G301,"*, "&amp;S$3&amp;", *")</f>
        <v>0</v>
      </c>
      <c r="T303" s="2">
        <f>COUNTIFS(集計用!$G301,"*, "&amp;T$3&amp;", *")</f>
        <v>0</v>
      </c>
      <c r="U303" s="2">
        <f>COUNTIFS(集計用!$G301,"*, "&amp;U$3&amp;", *")</f>
        <v>0</v>
      </c>
      <c r="V303" s="2">
        <f>COUNTIFS(集計用!$G301,"*, "&amp;V$3&amp;", *")</f>
        <v>0</v>
      </c>
      <c r="W303" s="2">
        <f>COUNTIFS(集計用!$G301,"*, "&amp;W$3&amp;", *")</f>
        <v>0</v>
      </c>
      <c r="X303" s="2">
        <f>COUNTIFS(集計用!$G301,"*, "&amp;X$3&amp;", *")</f>
        <v>0</v>
      </c>
      <c r="Y303" s="2">
        <f>COUNTIFS(集計用!$G301,"*, "&amp;Y$3&amp;", *")</f>
        <v>0</v>
      </c>
      <c r="Z303" s="2">
        <f>COUNTIFS(集計用!$G301,"*, "&amp;Z$3&amp;", *")</f>
        <v>0</v>
      </c>
      <c r="AA303" s="2">
        <f>COUNTIFS(集計用!$G301,"*, "&amp;AA$3&amp;", *")</f>
        <v>0</v>
      </c>
      <c r="AB303" s="2">
        <f>COUNTIFS(集計用!$G301,"*, "&amp;AB$3&amp;", *")</f>
        <v>0</v>
      </c>
      <c r="AC303" s="2">
        <f>COUNTIFS(集計用!$G301,"*, "&amp;AC$3&amp;", *")</f>
        <v>0</v>
      </c>
      <c r="AD303" s="2">
        <f>COUNTIFS(集計用!$G301,"*, "&amp;AD$3&amp;", *")</f>
        <v>0</v>
      </c>
      <c r="AE303" s="2">
        <f>COUNTIFS(集計用!$G301,"*, "&amp;AE$3&amp;", *")</f>
        <v>0</v>
      </c>
      <c r="AF303" s="2">
        <f>COUNTIFS(集計用!$G301,"*, "&amp;AF$3&amp;", *")</f>
        <v>0</v>
      </c>
      <c r="AG303" s="2">
        <f>COUNTIFS(集計用!$G301,"*, "&amp;AG$3&amp;", *")</f>
        <v>0</v>
      </c>
      <c r="AH303" s="2">
        <f>COUNTIFS(集計用!$G301,"*, "&amp;AH$3&amp;", *")</f>
        <v>0</v>
      </c>
      <c r="AI303" s="2">
        <f>COUNTIFS(集計用!$G301,"*, "&amp;AI$3&amp;", *")</f>
        <v>0</v>
      </c>
      <c r="AJ303" s="2">
        <f>COUNTIFS(集計用!$G301,"*, "&amp;AJ$3&amp;", *")</f>
        <v>0</v>
      </c>
      <c r="AK303" s="2">
        <f>COUNTIFS(集計用!$G301,"*, "&amp;AK$3&amp;", *")</f>
        <v>0</v>
      </c>
      <c r="AL303" s="2">
        <f>COUNTIFS(集計用!$G301,"*, "&amp;AL$3&amp;", *")</f>
        <v>0</v>
      </c>
      <c r="AM303" s="2">
        <f>COUNTIFS(集計用!$G301,"*, "&amp;AM$3&amp;", *")</f>
        <v>0</v>
      </c>
      <c r="AN303" s="2">
        <f>COUNTIFS(集計用!$G301,"*, "&amp;AN$3&amp;", *")</f>
        <v>0</v>
      </c>
      <c r="AO303" s="2">
        <f>COUNTIFS(集計用!$G301,"*, "&amp;AO$3&amp;", *")</f>
        <v>0</v>
      </c>
      <c r="AP303" s="2">
        <f>COUNTIFS(集計用!$G301,"*, "&amp;AP$3&amp;", *")</f>
        <v>0</v>
      </c>
      <c r="AQ303" s="2">
        <f>COUNTIFS(集計用!$G301,"*, "&amp;AQ$3&amp;", *")</f>
        <v>0</v>
      </c>
      <c r="AR303" s="2">
        <f>COUNTIFS(集計用!$G301,"*, "&amp;AR$3&amp;", *")</f>
        <v>0</v>
      </c>
      <c r="AS303" s="2">
        <f>COUNTIFS(集計用!$G301,"*, "&amp;AS$3&amp;", *")</f>
        <v>0</v>
      </c>
      <c r="AT303" s="2">
        <f>COUNTIFS(集計用!$G301,"*, "&amp;AT$3&amp;", *")</f>
        <v>0</v>
      </c>
      <c r="AU303" s="2">
        <f>COUNTIFS(集計用!$G301,"*, "&amp;AU$3&amp;", *")</f>
        <v>0</v>
      </c>
      <c r="AV303" s="2">
        <f>COUNTIFS(集計用!$G301,"*, "&amp;AV$3&amp;", *")</f>
        <v>0</v>
      </c>
      <c r="AW303" s="2">
        <f>COUNTIFS(集計用!$G301,"*, "&amp;AW$3&amp;", *")</f>
        <v>0</v>
      </c>
      <c r="AX303" s="2">
        <f>COUNTIFS(集計用!$G301,"*, "&amp;AX$3&amp;", *")</f>
        <v>0</v>
      </c>
      <c r="AY303" s="2">
        <f>COUNTIFS(集計用!$G301,"*, "&amp;AY$3&amp;", *")</f>
        <v>0</v>
      </c>
      <c r="AZ303" s="2">
        <f>COUNTIFS(集計用!$G301,"*, "&amp;AZ$3&amp;", *")</f>
        <v>0</v>
      </c>
      <c r="BA303" s="2">
        <f>COUNTIFS(集計用!$G301,"*, "&amp;BA$3&amp;", *")</f>
        <v>0</v>
      </c>
      <c r="BB303" s="2">
        <f>COUNTIFS(集計用!$G301,"*, "&amp;BB$3&amp;", *")</f>
        <v>0</v>
      </c>
      <c r="BC303" s="2">
        <f>COUNTIFS(集計用!$G301,"*, "&amp;BC$3&amp;", *")</f>
        <v>0</v>
      </c>
      <c r="BD303" s="2">
        <f>COUNTIFS(集計用!$G301,"*, "&amp;BD$3&amp;", *")</f>
        <v>0</v>
      </c>
      <c r="BE303" s="2">
        <f>COUNTIFS(集計用!$G301,"*, "&amp;BE$3&amp;", *")</f>
        <v>0</v>
      </c>
      <c r="BF303" s="2">
        <f>COUNTIFS(集計用!$G301,"*, "&amp;BF$3&amp;", *")</f>
        <v>0</v>
      </c>
      <c r="BG303" s="2">
        <f>COUNTIFS(集計用!$G301,"*, "&amp;BG$3&amp;", *")</f>
        <v>0</v>
      </c>
      <c r="BH303" s="2">
        <f>COUNTIFS(集計用!$G301,"*, "&amp;BH$3&amp;", *")</f>
        <v>0</v>
      </c>
      <c r="BI303" s="2">
        <f>COUNTIFS(集計用!$G301,"*, "&amp;BI$3&amp;", *")</f>
        <v>0</v>
      </c>
      <c r="BJ303" s="2">
        <f>LEN(集計用!H301)-LEN(SUBSTITUTE(集計用!H301,",",""))</f>
        <v>0</v>
      </c>
    </row>
    <row r="304" spans="1:62" ht="12.75">
      <c r="A304" s="8">
        <v>301</v>
      </c>
      <c r="C304" s="2">
        <f t="shared" si="3"/>
        <v>5</v>
      </c>
      <c r="D304" s="9"/>
      <c r="E304" s="2">
        <f>COUNTIFS(集計用!$G302,"*, "&amp;E$3&amp;", *")</f>
        <v>1</v>
      </c>
      <c r="F304" s="2">
        <f>COUNTIFS(集計用!$G302,"*, "&amp;F$3&amp;", *")</f>
        <v>1</v>
      </c>
      <c r="G304" s="2">
        <f>COUNTIFS(集計用!$G302,"*, "&amp;G$3&amp;", *")</f>
        <v>0</v>
      </c>
      <c r="H304" s="2">
        <f>COUNTIFS(集計用!$G302,"*, "&amp;H$3&amp;", *")</f>
        <v>0</v>
      </c>
      <c r="I304" s="2">
        <f>COUNTIFS(集計用!$G302,"*, "&amp;I$3&amp;", *")</f>
        <v>0</v>
      </c>
      <c r="J304" s="2">
        <f>COUNTIFS(集計用!$G302,"*, "&amp;J$3&amp;", *")</f>
        <v>0</v>
      </c>
      <c r="K304" s="2">
        <f>COUNTIFS(集計用!$G302,"*, "&amp;K$3&amp;", *")</f>
        <v>0</v>
      </c>
      <c r="L304" s="2">
        <f>COUNTIFS(集計用!$G302,"*, "&amp;L$3&amp;", *")</f>
        <v>0</v>
      </c>
      <c r="M304" s="2">
        <f>COUNTIFS(集計用!$G302,"*, "&amp;M$3&amp;", *")</f>
        <v>0</v>
      </c>
      <c r="N304" s="2">
        <f>COUNTIFS(集計用!$G302,"*, "&amp;N$3&amp;", *")</f>
        <v>0</v>
      </c>
      <c r="O304" s="2">
        <f>COUNTIFS(集計用!$G302,"*, "&amp;O$3&amp;", *")</f>
        <v>0</v>
      </c>
      <c r="P304" s="2">
        <f>COUNTIFS(集計用!$G302,"*, "&amp;P$3&amp;", *")</f>
        <v>1</v>
      </c>
      <c r="Q304" s="2">
        <f>COUNTIFS(集計用!$G302,"*, "&amp;Q$3&amp;", *")</f>
        <v>0</v>
      </c>
      <c r="R304" s="2">
        <f>COUNTIFS(集計用!$G302,"*, "&amp;R$3&amp;", *")</f>
        <v>0</v>
      </c>
      <c r="S304" s="2">
        <f>COUNTIFS(集計用!$G302,"*, "&amp;S$3&amp;", *")</f>
        <v>0</v>
      </c>
      <c r="T304" s="2">
        <f>COUNTIFS(集計用!$G302,"*, "&amp;T$3&amp;", *")</f>
        <v>0</v>
      </c>
      <c r="U304" s="2">
        <f>COUNTIFS(集計用!$G302,"*, "&amp;U$3&amp;", *")</f>
        <v>0</v>
      </c>
      <c r="V304" s="2">
        <f>COUNTIFS(集計用!$G302,"*, "&amp;V$3&amp;", *")</f>
        <v>0</v>
      </c>
      <c r="W304" s="2">
        <f>COUNTIFS(集計用!$G302,"*, "&amp;W$3&amp;", *")</f>
        <v>0</v>
      </c>
      <c r="X304" s="2">
        <f>COUNTIFS(集計用!$G302,"*, "&amp;X$3&amp;", *")</f>
        <v>0</v>
      </c>
      <c r="Y304" s="2">
        <f>COUNTIFS(集計用!$G302,"*, "&amp;Y$3&amp;", *")</f>
        <v>0</v>
      </c>
      <c r="Z304" s="2">
        <f>COUNTIFS(集計用!$G302,"*, "&amp;Z$3&amp;", *")</f>
        <v>0</v>
      </c>
      <c r="AA304" s="2">
        <f>COUNTIFS(集計用!$G302,"*, "&amp;AA$3&amp;", *")</f>
        <v>1</v>
      </c>
      <c r="AB304" s="2">
        <f>COUNTIFS(集計用!$G302,"*, "&amp;AB$3&amp;", *")</f>
        <v>0</v>
      </c>
      <c r="AC304" s="2">
        <f>COUNTIFS(集計用!$G302,"*, "&amp;AC$3&amp;", *")</f>
        <v>0</v>
      </c>
      <c r="AD304" s="2">
        <f>COUNTIFS(集計用!$G302,"*, "&amp;AD$3&amp;", *")</f>
        <v>0</v>
      </c>
      <c r="AE304" s="2">
        <f>COUNTIFS(集計用!$G302,"*, "&amp;AE$3&amp;", *")</f>
        <v>0</v>
      </c>
      <c r="AF304" s="2">
        <f>COUNTIFS(集計用!$G302,"*, "&amp;AF$3&amp;", *")</f>
        <v>0</v>
      </c>
      <c r="AG304" s="2">
        <f>COUNTIFS(集計用!$G302,"*, "&amp;AG$3&amp;", *")</f>
        <v>0</v>
      </c>
      <c r="AH304" s="2">
        <f>COUNTIFS(集計用!$G302,"*, "&amp;AH$3&amp;", *")</f>
        <v>1</v>
      </c>
      <c r="AI304" s="2">
        <f>COUNTIFS(集計用!$G302,"*, "&amp;AI$3&amp;", *")</f>
        <v>0</v>
      </c>
      <c r="AJ304" s="2">
        <f>COUNTIFS(集計用!$G302,"*, "&amp;AJ$3&amp;", *")</f>
        <v>0</v>
      </c>
      <c r="AK304" s="2">
        <f>COUNTIFS(集計用!$G302,"*, "&amp;AK$3&amp;", *")</f>
        <v>0</v>
      </c>
      <c r="AL304" s="2">
        <f>COUNTIFS(集計用!$G302,"*, "&amp;AL$3&amp;", *")</f>
        <v>0</v>
      </c>
      <c r="AM304" s="2">
        <f>COUNTIFS(集計用!$G302,"*, "&amp;AM$3&amp;", *")</f>
        <v>0</v>
      </c>
      <c r="AN304" s="2">
        <f>COUNTIFS(集計用!$G302,"*, "&amp;AN$3&amp;", *")</f>
        <v>0</v>
      </c>
      <c r="AO304" s="2">
        <f>COUNTIFS(集計用!$G302,"*, "&amp;AO$3&amp;", *")</f>
        <v>0</v>
      </c>
      <c r="AP304" s="2">
        <f>COUNTIFS(集計用!$G302,"*, "&amp;AP$3&amp;", *")</f>
        <v>0</v>
      </c>
      <c r="AQ304" s="2">
        <f>COUNTIFS(集計用!$G302,"*, "&amp;AQ$3&amp;", *")</f>
        <v>0</v>
      </c>
      <c r="AR304" s="2">
        <f>COUNTIFS(集計用!$G302,"*, "&amp;AR$3&amp;", *")</f>
        <v>0</v>
      </c>
      <c r="AS304" s="2">
        <f>COUNTIFS(集計用!$G302,"*, "&amp;AS$3&amp;", *")</f>
        <v>0</v>
      </c>
      <c r="AT304" s="2">
        <f>COUNTIFS(集計用!$G302,"*, "&amp;AT$3&amp;", *")</f>
        <v>0</v>
      </c>
      <c r="AU304" s="2">
        <f>COUNTIFS(集計用!$G302,"*, "&amp;AU$3&amp;", *")</f>
        <v>0</v>
      </c>
      <c r="AV304" s="2">
        <f>COUNTIFS(集計用!$G302,"*, "&amp;AV$3&amp;", *")</f>
        <v>0</v>
      </c>
      <c r="AW304" s="2">
        <f>COUNTIFS(集計用!$G302,"*, "&amp;AW$3&amp;", *")</f>
        <v>0</v>
      </c>
      <c r="AX304" s="2">
        <f>COUNTIFS(集計用!$G302,"*, "&amp;AX$3&amp;", *")</f>
        <v>0</v>
      </c>
      <c r="AY304" s="2">
        <f>COUNTIFS(集計用!$G302,"*, "&amp;AY$3&amp;", *")</f>
        <v>0</v>
      </c>
      <c r="AZ304" s="2">
        <f>COUNTIFS(集計用!$G302,"*, "&amp;AZ$3&amp;", *")</f>
        <v>0</v>
      </c>
      <c r="BA304" s="2">
        <f>COUNTIFS(集計用!$G302,"*, "&amp;BA$3&amp;", *")</f>
        <v>0</v>
      </c>
      <c r="BB304" s="2">
        <f>COUNTIFS(集計用!$G302,"*, "&amp;BB$3&amp;", *")</f>
        <v>0</v>
      </c>
      <c r="BC304" s="2">
        <f>COUNTIFS(集計用!$G302,"*, "&amp;BC$3&amp;", *")</f>
        <v>0</v>
      </c>
      <c r="BD304" s="2">
        <f>COUNTIFS(集計用!$G302,"*, "&amp;BD$3&amp;", *")</f>
        <v>0</v>
      </c>
      <c r="BE304" s="2">
        <f>COUNTIFS(集計用!$G302,"*, "&amp;BE$3&amp;", *")</f>
        <v>0</v>
      </c>
      <c r="BF304" s="2">
        <f>COUNTIFS(集計用!$G302,"*, "&amp;BF$3&amp;", *")</f>
        <v>0</v>
      </c>
      <c r="BG304" s="2">
        <f>COUNTIFS(集計用!$G302,"*, "&amp;BG$3&amp;", *")</f>
        <v>0</v>
      </c>
      <c r="BH304" s="2">
        <f>COUNTIFS(集計用!$G302,"*, "&amp;BH$3&amp;", *")</f>
        <v>0</v>
      </c>
      <c r="BI304" s="2">
        <f>COUNTIFS(集計用!$G302,"*, "&amp;BI$3&amp;", *")</f>
        <v>0</v>
      </c>
      <c r="BJ304" s="2">
        <f>LEN(集計用!H302)-LEN(SUBSTITUTE(集計用!H302,",",""))</f>
        <v>0</v>
      </c>
    </row>
    <row r="305" spans="1:62" ht="12.75">
      <c r="A305" s="8">
        <v>302</v>
      </c>
      <c r="C305" s="2">
        <f t="shared" si="3"/>
        <v>3</v>
      </c>
      <c r="D305" s="9"/>
      <c r="E305" s="2">
        <f>COUNTIFS(集計用!$G303,"*, "&amp;E$3&amp;", *")</f>
        <v>1</v>
      </c>
      <c r="F305" s="2">
        <f>COUNTIFS(集計用!$G303,"*, "&amp;F$3&amp;", *")</f>
        <v>0</v>
      </c>
      <c r="G305" s="2">
        <f>COUNTIFS(集計用!$G303,"*, "&amp;G$3&amp;", *")</f>
        <v>1</v>
      </c>
      <c r="H305" s="2">
        <f>COUNTIFS(集計用!$G303,"*, "&amp;H$3&amp;", *")</f>
        <v>0</v>
      </c>
      <c r="I305" s="2">
        <f>COUNTIFS(集計用!$G303,"*, "&amp;I$3&amp;", *")</f>
        <v>0</v>
      </c>
      <c r="J305" s="2">
        <f>COUNTIFS(集計用!$G303,"*, "&amp;J$3&amp;", *")</f>
        <v>0</v>
      </c>
      <c r="K305" s="2">
        <f>COUNTIFS(集計用!$G303,"*, "&amp;K$3&amp;", *")</f>
        <v>0</v>
      </c>
      <c r="L305" s="2">
        <f>COUNTIFS(集計用!$G303,"*, "&amp;L$3&amp;", *")</f>
        <v>1</v>
      </c>
      <c r="M305" s="2">
        <f>COUNTIFS(集計用!$G303,"*, "&amp;M$3&amp;", *")</f>
        <v>0</v>
      </c>
      <c r="N305" s="2">
        <f>COUNTIFS(集計用!$G303,"*, "&amp;N$3&amp;", *")</f>
        <v>0</v>
      </c>
      <c r="O305" s="2">
        <f>COUNTIFS(集計用!$G303,"*, "&amp;O$3&amp;", *")</f>
        <v>0</v>
      </c>
      <c r="P305" s="2">
        <f>COUNTIFS(集計用!$G303,"*, "&amp;P$3&amp;", *")</f>
        <v>0</v>
      </c>
      <c r="Q305" s="2">
        <f>COUNTIFS(集計用!$G303,"*, "&amp;Q$3&amp;", *")</f>
        <v>0</v>
      </c>
      <c r="R305" s="2">
        <f>COUNTIFS(集計用!$G303,"*, "&amp;R$3&amp;", *")</f>
        <v>0</v>
      </c>
      <c r="S305" s="2">
        <f>COUNTIFS(集計用!$G303,"*, "&amp;S$3&amp;", *")</f>
        <v>0</v>
      </c>
      <c r="T305" s="2">
        <f>COUNTIFS(集計用!$G303,"*, "&amp;T$3&amp;", *")</f>
        <v>0</v>
      </c>
      <c r="U305" s="2">
        <f>COUNTIFS(集計用!$G303,"*, "&amp;U$3&amp;", *")</f>
        <v>0</v>
      </c>
      <c r="V305" s="2">
        <f>COUNTIFS(集計用!$G303,"*, "&amp;V$3&amp;", *")</f>
        <v>0</v>
      </c>
      <c r="W305" s="2">
        <f>COUNTIFS(集計用!$G303,"*, "&amp;W$3&amp;", *")</f>
        <v>0</v>
      </c>
      <c r="X305" s="2">
        <f>COUNTIFS(集計用!$G303,"*, "&amp;X$3&amp;", *")</f>
        <v>0</v>
      </c>
      <c r="Y305" s="2">
        <f>COUNTIFS(集計用!$G303,"*, "&amp;Y$3&amp;", *")</f>
        <v>0</v>
      </c>
      <c r="Z305" s="2">
        <f>COUNTIFS(集計用!$G303,"*, "&amp;Z$3&amp;", *")</f>
        <v>0</v>
      </c>
      <c r="AA305" s="2">
        <f>COUNTIFS(集計用!$G303,"*, "&amp;AA$3&amp;", *")</f>
        <v>0</v>
      </c>
      <c r="AB305" s="2">
        <f>COUNTIFS(集計用!$G303,"*, "&amp;AB$3&amp;", *")</f>
        <v>0</v>
      </c>
      <c r="AC305" s="2">
        <f>COUNTIFS(集計用!$G303,"*, "&amp;AC$3&amp;", *")</f>
        <v>0</v>
      </c>
      <c r="AD305" s="2">
        <f>COUNTIFS(集計用!$G303,"*, "&amp;AD$3&amp;", *")</f>
        <v>0</v>
      </c>
      <c r="AE305" s="2">
        <f>COUNTIFS(集計用!$G303,"*, "&amp;AE$3&amp;", *")</f>
        <v>0</v>
      </c>
      <c r="AF305" s="2">
        <f>COUNTIFS(集計用!$G303,"*, "&amp;AF$3&amp;", *")</f>
        <v>0</v>
      </c>
      <c r="AG305" s="2">
        <f>COUNTIFS(集計用!$G303,"*, "&amp;AG$3&amp;", *")</f>
        <v>0</v>
      </c>
      <c r="AH305" s="2">
        <f>COUNTIFS(集計用!$G303,"*, "&amp;AH$3&amp;", *")</f>
        <v>0</v>
      </c>
      <c r="AI305" s="2">
        <f>COUNTIFS(集計用!$G303,"*, "&amp;AI$3&amp;", *")</f>
        <v>0</v>
      </c>
      <c r="AJ305" s="2">
        <f>COUNTIFS(集計用!$G303,"*, "&amp;AJ$3&amp;", *")</f>
        <v>0</v>
      </c>
      <c r="AK305" s="2">
        <f>COUNTIFS(集計用!$G303,"*, "&amp;AK$3&amp;", *")</f>
        <v>0</v>
      </c>
      <c r="AL305" s="2">
        <f>COUNTIFS(集計用!$G303,"*, "&amp;AL$3&amp;", *")</f>
        <v>0</v>
      </c>
      <c r="AM305" s="2">
        <f>COUNTIFS(集計用!$G303,"*, "&amp;AM$3&amp;", *")</f>
        <v>0</v>
      </c>
      <c r="AN305" s="2">
        <f>COUNTIFS(集計用!$G303,"*, "&amp;AN$3&amp;", *")</f>
        <v>0</v>
      </c>
      <c r="AO305" s="2">
        <f>COUNTIFS(集計用!$G303,"*, "&amp;AO$3&amp;", *")</f>
        <v>0</v>
      </c>
      <c r="AP305" s="2">
        <f>COUNTIFS(集計用!$G303,"*, "&amp;AP$3&amp;", *")</f>
        <v>0</v>
      </c>
      <c r="AQ305" s="2">
        <f>COUNTIFS(集計用!$G303,"*, "&amp;AQ$3&amp;", *")</f>
        <v>0</v>
      </c>
      <c r="AR305" s="2">
        <f>COUNTIFS(集計用!$G303,"*, "&amp;AR$3&amp;", *")</f>
        <v>0</v>
      </c>
      <c r="AS305" s="2">
        <f>COUNTIFS(集計用!$G303,"*, "&amp;AS$3&amp;", *")</f>
        <v>0</v>
      </c>
      <c r="AT305" s="2">
        <f>COUNTIFS(集計用!$G303,"*, "&amp;AT$3&amp;", *")</f>
        <v>0</v>
      </c>
      <c r="AU305" s="2">
        <f>COUNTIFS(集計用!$G303,"*, "&amp;AU$3&amp;", *")</f>
        <v>0</v>
      </c>
      <c r="AV305" s="2">
        <f>COUNTIFS(集計用!$G303,"*, "&amp;AV$3&amp;", *")</f>
        <v>0</v>
      </c>
      <c r="AW305" s="2">
        <f>COUNTIFS(集計用!$G303,"*, "&amp;AW$3&amp;", *")</f>
        <v>0</v>
      </c>
      <c r="AX305" s="2">
        <f>COUNTIFS(集計用!$G303,"*, "&amp;AX$3&amp;", *")</f>
        <v>0</v>
      </c>
      <c r="AY305" s="2">
        <f>COUNTIFS(集計用!$G303,"*, "&amp;AY$3&amp;", *")</f>
        <v>0</v>
      </c>
      <c r="AZ305" s="2">
        <f>COUNTIFS(集計用!$G303,"*, "&amp;AZ$3&amp;", *")</f>
        <v>0</v>
      </c>
      <c r="BA305" s="2">
        <f>COUNTIFS(集計用!$G303,"*, "&amp;BA$3&amp;", *")</f>
        <v>0</v>
      </c>
      <c r="BB305" s="2">
        <f>COUNTIFS(集計用!$G303,"*, "&amp;BB$3&amp;", *")</f>
        <v>0</v>
      </c>
      <c r="BC305" s="2">
        <f>COUNTIFS(集計用!$G303,"*, "&amp;BC$3&amp;", *")</f>
        <v>0</v>
      </c>
      <c r="BD305" s="2">
        <f>COUNTIFS(集計用!$G303,"*, "&amp;BD$3&amp;", *")</f>
        <v>0</v>
      </c>
      <c r="BE305" s="2">
        <f>COUNTIFS(集計用!$G303,"*, "&amp;BE$3&amp;", *")</f>
        <v>0</v>
      </c>
      <c r="BF305" s="2">
        <f>COUNTIFS(集計用!$G303,"*, "&amp;BF$3&amp;", *")</f>
        <v>0</v>
      </c>
      <c r="BG305" s="2">
        <f>COUNTIFS(集計用!$G303,"*, "&amp;BG$3&amp;", *")</f>
        <v>0</v>
      </c>
      <c r="BH305" s="2">
        <f>COUNTIFS(集計用!$G303,"*, "&amp;BH$3&amp;", *")</f>
        <v>0</v>
      </c>
      <c r="BI305" s="2">
        <f>COUNTIFS(集計用!$G303,"*, "&amp;BI$3&amp;", *")</f>
        <v>0</v>
      </c>
      <c r="BJ305" s="2">
        <f>LEN(集計用!H303)-LEN(SUBSTITUTE(集計用!H303,",",""))</f>
        <v>0</v>
      </c>
    </row>
    <row r="306" spans="1:62" ht="12.75">
      <c r="A306" s="8">
        <v>303</v>
      </c>
      <c r="C306" s="2">
        <f t="shared" si="3"/>
        <v>9</v>
      </c>
      <c r="D306" s="9"/>
      <c r="E306" s="2">
        <f>COUNTIFS(集計用!$G304,"*, "&amp;E$3&amp;", *")</f>
        <v>1</v>
      </c>
      <c r="F306" s="2">
        <f>COUNTIFS(集計用!$G304,"*, "&amp;F$3&amp;", *")</f>
        <v>1</v>
      </c>
      <c r="G306" s="2">
        <f>COUNTIFS(集計用!$G304,"*, "&amp;G$3&amp;", *")</f>
        <v>1</v>
      </c>
      <c r="H306" s="2">
        <f>COUNTIFS(集計用!$G304,"*, "&amp;H$3&amp;", *")</f>
        <v>0</v>
      </c>
      <c r="I306" s="2">
        <f>COUNTIFS(集計用!$G304,"*, "&amp;I$3&amp;", *")</f>
        <v>1</v>
      </c>
      <c r="J306" s="2">
        <f>COUNTIFS(集計用!$G304,"*, "&amp;J$3&amp;", *")</f>
        <v>0</v>
      </c>
      <c r="K306" s="2">
        <f>COUNTIFS(集計用!$G304,"*, "&amp;K$3&amp;", *")</f>
        <v>1</v>
      </c>
      <c r="L306" s="2">
        <f>COUNTIFS(集計用!$G304,"*, "&amp;L$3&amp;", *")</f>
        <v>0</v>
      </c>
      <c r="M306" s="2">
        <f>COUNTIFS(集計用!$G304,"*, "&amp;M$3&amp;", *")</f>
        <v>0</v>
      </c>
      <c r="N306" s="2">
        <f>COUNTIFS(集計用!$G304,"*, "&amp;N$3&amp;", *")</f>
        <v>1</v>
      </c>
      <c r="O306" s="2">
        <f>COUNTIFS(集計用!$G304,"*, "&amp;O$3&amp;", *")</f>
        <v>0</v>
      </c>
      <c r="P306" s="2">
        <f>COUNTIFS(集計用!$G304,"*, "&amp;P$3&amp;", *")</f>
        <v>1</v>
      </c>
      <c r="Q306" s="2">
        <f>COUNTIFS(集計用!$G304,"*, "&amp;Q$3&amp;", *")</f>
        <v>0</v>
      </c>
      <c r="R306" s="2">
        <f>COUNTIFS(集計用!$G304,"*, "&amp;R$3&amp;", *")</f>
        <v>1</v>
      </c>
      <c r="S306" s="2">
        <f>COUNTIFS(集計用!$G304,"*, "&amp;S$3&amp;", *")</f>
        <v>1</v>
      </c>
      <c r="T306" s="2">
        <f>COUNTIFS(集計用!$G304,"*, "&amp;T$3&amp;", *")</f>
        <v>0</v>
      </c>
      <c r="U306" s="2">
        <f>COUNTIFS(集計用!$G304,"*, "&amp;U$3&amp;", *")</f>
        <v>0</v>
      </c>
      <c r="V306" s="2">
        <f>COUNTIFS(集計用!$G304,"*, "&amp;V$3&amp;", *")</f>
        <v>0</v>
      </c>
      <c r="W306" s="2">
        <f>COUNTIFS(集計用!$G304,"*, "&amp;W$3&amp;", *")</f>
        <v>0</v>
      </c>
      <c r="X306" s="2">
        <f>COUNTIFS(集計用!$G304,"*, "&amp;X$3&amp;", *")</f>
        <v>0</v>
      </c>
      <c r="Y306" s="2">
        <f>COUNTIFS(集計用!$G304,"*, "&amp;Y$3&amp;", *")</f>
        <v>0</v>
      </c>
      <c r="Z306" s="2">
        <f>COUNTIFS(集計用!$G304,"*, "&amp;Z$3&amp;", *")</f>
        <v>0</v>
      </c>
      <c r="AA306" s="2">
        <f>COUNTIFS(集計用!$G304,"*, "&amp;AA$3&amp;", *")</f>
        <v>0</v>
      </c>
      <c r="AB306" s="2">
        <f>COUNTIFS(集計用!$G304,"*, "&amp;AB$3&amp;", *")</f>
        <v>0</v>
      </c>
      <c r="AC306" s="2">
        <f>COUNTIFS(集計用!$G304,"*, "&amp;AC$3&amp;", *")</f>
        <v>0</v>
      </c>
      <c r="AD306" s="2">
        <f>COUNTIFS(集計用!$G304,"*, "&amp;AD$3&amp;", *")</f>
        <v>0</v>
      </c>
      <c r="AE306" s="2">
        <f>COUNTIFS(集計用!$G304,"*, "&amp;AE$3&amp;", *")</f>
        <v>0</v>
      </c>
      <c r="AF306" s="2">
        <f>COUNTIFS(集計用!$G304,"*, "&amp;AF$3&amp;", *")</f>
        <v>0</v>
      </c>
      <c r="AG306" s="2">
        <f>COUNTIFS(集計用!$G304,"*, "&amp;AG$3&amp;", *")</f>
        <v>0</v>
      </c>
      <c r="AH306" s="2">
        <f>COUNTIFS(集計用!$G304,"*, "&amp;AH$3&amp;", *")</f>
        <v>0</v>
      </c>
      <c r="AI306" s="2">
        <f>COUNTIFS(集計用!$G304,"*, "&amp;AI$3&amp;", *")</f>
        <v>0</v>
      </c>
      <c r="AJ306" s="2">
        <f>COUNTIFS(集計用!$G304,"*, "&amp;AJ$3&amp;", *")</f>
        <v>0</v>
      </c>
      <c r="AK306" s="2">
        <f>COUNTIFS(集計用!$G304,"*, "&amp;AK$3&amp;", *")</f>
        <v>0</v>
      </c>
      <c r="AL306" s="2">
        <f>COUNTIFS(集計用!$G304,"*, "&amp;AL$3&amp;", *")</f>
        <v>0</v>
      </c>
      <c r="AM306" s="2">
        <f>COUNTIFS(集計用!$G304,"*, "&amp;AM$3&amp;", *")</f>
        <v>0</v>
      </c>
      <c r="AN306" s="2">
        <f>COUNTIFS(集計用!$G304,"*, "&amp;AN$3&amp;", *")</f>
        <v>0</v>
      </c>
      <c r="AO306" s="2">
        <f>COUNTIFS(集計用!$G304,"*, "&amp;AO$3&amp;", *")</f>
        <v>0</v>
      </c>
      <c r="AP306" s="2">
        <f>COUNTIFS(集計用!$G304,"*, "&amp;AP$3&amp;", *")</f>
        <v>0</v>
      </c>
      <c r="AQ306" s="2">
        <f>COUNTIFS(集計用!$G304,"*, "&amp;AQ$3&amp;", *")</f>
        <v>0</v>
      </c>
      <c r="AR306" s="2">
        <f>COUNTIFS(集計用!$G304,"*, "&amp;AR$3&amp;", *")</f>
        <v>0</v>
      </c>
      <c r="AS306" s="2">
        <f>COUNTIFS(集計用!$G304,"*, "&amp;AS$3&amp;", *")</f>
        <v>0</v>
      </c>
      <c r="AT306" s="2">
        <f>COUNTIFS(集計用!$G304,"*, "&amp;AT$3&amp;", *")</f>
        <v>0</v>
      </c>
      <c r="AU306" s="2">
        <f>COUNTIFS(集計用!$G304,"*, "&amp;AU$3&amp;", *")</f>
        <v>0</v>
      </c>
      <c r="AV306" s="2">
        <f>COUNTIFS(集計用!$G304,"*, "&amp;AV$3&amp;", *")</f>
        <v>0</v>
      </c>
      <c r="AW306" s="2">
        <f>COUNTIFS(集計用!$G304,"*, "&amp;AW$3&amp;", *")</f>
        <v>0</v>
      </c>
      <c r="AX306" s="2">
        <f>COUNTIFS(集計用!$G304,"*, "&amp;AX$3&amp;", *")</f>
        <v>0</v>
      </c>
      <c r="AY306" s="2">
        <f>COUNTIFS(集計用!$G304,"*, "&amp;AY$3&amp;", *")</f>
        <v>0</v>
      </c>
      <c r="AZ306" s="2">
        <f>COUNTIFS(集計用!$G304,"*, "&amp;AZ$3&amp;", *")</f>
        <v>0</v>
      </c>
      <c r="BA306" s="2">
        <f>COUNTIFS(集計用!$G304,"*, "&amp;BA$3&amp;", *")</f>
        <v>0</v>
      </c>
      <c r="BB306" s="2">
        <f>COUNTIFS(集計用!$G304,"*, "&amp;BB$3&amp;", *")</f>
        <v>0</v>
      </c>
      <c r="BC306" s="2">
        <f>COUNTIFS(集計用!$G304,"*, "&amp;BC$3&amp;", *")</f>
        <v>0</v>
      </c>
      <c r="BD306" s="2">
        <f>COUNTIFS(集計用!$G304,"*, "&amp;BD$3&amp;", *")</f>
        <v>0</v>
      </c>
      <c r="BE306" s="2">
        <f>COUNTIFS(集計用!$G304,"*, "&amp;BE$3&amp;", *")</f>
        <v>0</v>
      </c>
      <c r="BF306" s="2">
        <f>COUNTIFS(集計用!$G304,"*, "&amp;BF$3&amp;", *")</f>
        <v>0</v>
      </c>
      <c r="BG306" s="2">
        <f>COUNTIFS(集計用!$G304,"*, "&amp;BG$3&amp;", *")</f>
        <v>0</v>
      </c>
      <c r="BH306" s="2">
        <f>COUNTIFS(集計用!$G304,"*, "&amp;BH$3&amp;", *")</f>
        <v>0</v>
      </c>
      <c r="BI306" s="2">
        <f>COUNTIFS(集計用!$G304,"*, "&amp;BI$3&amp;", *")</f>
        <v>0</v>
      </c>
      <c r="BJ306" s="2">
        <f>LEN(集計用!H304)-LEN(SUBSTITUTE(集計用!H304,",",""))</f>
        <v>0</v>
      </c>
    </row>
    <row r="307" spans="1:62" ht="12.75">
      <c r="A307" s="8">
        <v>304</v>
      </c>
      <c r="C307" s="2">
        <f t="shared" si="3"/>
        <v>7</v>
      </c>
      <c r="D307" s="9"/>
      <c r="E307" s="2">
        <f>COUNTIFS(集計用!$G305,"*, "&amp;E$3&amp;", *")</f>
        <v>0</v>
      </c>
      <c r="F307" s="2">
        <f>COUNTIFS(集計用!$G305,"*, "&amp;F$3&amp;", *")</f>
        <v>0</v>
      </c>
      <c r="G307" s="2">
        <f>COUNTIFS(集計用!$G305,"*, "&amp;G$3&amp;", *")</f>
        <v>0</v>
      </c>
      <c r="H307" s="2">
        <f>COUNTIFS(集計用!$G305,"*, "&amp;H$3&amp;", *")</f>
        <v>0</v>
      </c>
      <c r="I307" s="2">
        <f>COUNTIFS(集計用!$G305,"*, "&amp;I$3&amp;", *")</f>
        <v>0</v>
      </c>
      <c r="J307" s="2">
        <f>COUNTIFS(集計用!$G305,"*, "&amp;J$3&amp;", *")</f>
        <v>0</v>
      </c>
      <c r="K307" s="2">
        <f>COUNTIFS(集計用!$G305,"*, "&amp;K$3&amp;", *")</f>
        <v>0</v>
      </c>
      <c r="L307" s="2">
        <f>COUNTIFS(集計用!$G305,"*, "&amp;L$3&amp;", *")</f>
        <v>0</v>
      </c>
      <c r="M307" s="2">
        <f>COUNTIFS(集計用!$G305,"*, "&amp;M$3&amp;", *")</f>
        <v>0</v>
      </c>
      <c r="N307" s="2">
        <f>COUNTIFS(集計用!$G305,"*, "&amp;N$3&amp;", *")</f>
        <v>1</v>
      </c>
      <c r="O307" s="2">
        <f>COUNTIFS(集計用!$G305,"*, "&amp;O$3&amp;", *")</f>
        <v>1</v>
      </c>
      <c r="P307" s="2">
        <f>COUNTIFS(集計用!$G305,"*, "&amp;P$3&amp;", *")</f>
        <v>0</v>
      </c>
      <c r="Q307" s="2">
        <f>COUNTIFS(集計用!$G305,"*, "&amp;Q$3&amp;", *")</f>
        <v>0</v>
      </c>
      <c r="R307" s="2">
        <f>COUNTIFS(集計用!$G305,"*, "&amp;R$3&amp;", *")</f>
        <v>0</v>
      </c>
      <c r="S307" s="2">
        <f>COUNTIFS(集計用!$G305,"*, "&amp;S$3&amp;", *")</f>
        <v>0</v>
      </c>
      <c r="T307" s="2">
        <f>COUNTIFS(集計用!$G305,"*, "&amp;T$3&amp;", *")</f>
        <v>0</v>
      </c>
      <c r="U307" s="2">
        <f>COUNTIFS(集計用!$G305,"*, "&amp;U$3&amp;", *")</f>
        <v>0</v>
      </c>
      <c r="V307" s="2">
        <f>COUNTIFS(集計用!$G305,"*, "&amp;V$3&amp;", *")</f>
        <v>0</v>
      </c>
      <c r="W307" s="2">
        <f>COUNTIFS(集計用!$G305,"*, "&amp;W$3&amp;", *")</f>
        <v>0</v>
      </c>
      <c r="X307" s="2">
        <f>COUNTIFS(集計用!$G305,"*, "&amp;X$3&amp;", *")</f>
        <v>1</v>
      </c>
      <c r="Y307" s="2">
        <f>COUNTIFS(集計用!$G305,"*, "&amp;Y$3&amp;", *")</f>
        <v>1</v>
      </c>
      <c r="Z307" s="2">
        <f>COUNTIFS(集計用!$G305,"*, "&amp;Z$3&amp;", *")</f>
        <v>0</v>
      </c>
      <c r="AA307" s="2">
        <f>COUNTIFS(集計用!$G305,"*, "&amp;AA$3&amp;", *")</f>
        <v>0</v>
      </c>
      <c r="AB307" s="2">
        <f>COUNTIFS(集計用!$G305,"*, "&amp;AB$3&amp;", *")</f>
        <v>1</v>
      </c>
      <c r="AC307" s="2">
        <f>COUNTIFS(集計用!$G305,"*, "&amp;AC$3&amp;", *")</f>
        <v>0</v>
      </c>
      <c r="AD307" s="2">
        <f>COUNTIFS(集計用!$G305,"*, "&amp;AD$3&amp;", *")</f>
        <v>0</v>
      </c>
      <c r="AE307" s="2">
        <f>COUNTIFS(集計用!$G305,"*, "&amp;AE$3&amp;", *")</f>
        <v>0</v>
      </c>
      <c r="AF307" s="2">
        <f>COUNTIFS(集計用!$G305,"*, "&amp;AF$3&amp;", *")</f>
        <v>0</v>
      </c>
      <c r="AG307" s="2">
        <f>COUNTIFS(集計用!$G305,"*, "&amp;AG$3&amp;", *")</f>
        <v>0</v>
      </c>
      <c r="AH307" s="2">
        <f>COUNTIFS(集計用!$G305,"*, "&amp;AH$3&amp;", *")</f>
        <v>0</v>
      </c>
      <c r="AI307" s="2">
        <f>COUNTIFS(集計用!$G305,"*, "&amp;AI$3&amp;", *")</f>
        <v>0</v>
      </c>
      <c r="AJ307" s="2">
        <f>COUNTIFS(集計用!$G305,"*, "&amp;AJ$3&amp;", *")</f>
        <v>0</v>
      </c>
      <c r="AK307" s="2">
        <f>COUNTIFS(集計用!$G305,"*, "&amp;AK$3&amp;", *")</f>
        <v>0</v>
      </c>
      <c r="AL307" s="2">
        <f>COUNTIFS(集計用!$G305,"*, "&amp;AL$3&amp;", *")</f>
        <v>0</v>
      </c>
      <c r="AM307" s="2">
        <f>COUNTIFS(集計用!$G305,"*, "&amp;AM$3&amp;", *")</f>
        <v>0</v>
      </c>
      <c r="AN307" s="2">
        <f>COUNTIFS(集計用!$G305,"*, "&amp;AN$3&amp;", *")</f>
        <v>1</v>
      </c>
      <c r="AO307" s="2">
        <f>COUNTIFS(集計用!$G305,"*, "&amp;AO$3&amp;", *")</f>
        <v>0</v>
      </c>
      <c r="AP307" s="2">
        <f>COUNTIFS(集計用!$G305,"*, "&amp;AP$3&amp;", *")</f>
        <v>0</v>
      </c>
      <c r="AQ307" s="2">
        <f>COUNTIFS(集計用!$G305,"*, "&amp;AQ$3&amp;", *")</f>
        <v>0</v>
      </c>
      <c r="AR307" s="2">
        <f>COUNTIFS(集計用!$G305,"*, "&amp;AR$3&amp;", *")</f>
        <v>0</v>
      </c>
      <c r="AS307" s="2">
        <f>COUNTIFS(集計用!$G305,"*, "&amp;AS$3&amp;", *")</f>
        <v>0</v>
      </c>
      <c r="AT307" s="2">
        <f>COUNTIFS(集計用!$G305,"*, "&amp;AT$3&amp;", *")</f>
        <v>0</v>
      </c>
      <c r="AU307" s="2">
        <f>COUNTIFS(集計用!$G305,"*, "&amp;AU$3&amp;", *")</f>
        <v>0</v>
      </c>
      <c r="AV307" s="2">
        <f>COUNTIFS(集計用!$G305,"*, "&amp;AV$3&amp;", *")</f>
        <v>0</v>
      </c>
      <c r="AW307" s="2">
        <f>COUNTIFS(集計用!$G305,"*, "&amp;AW$3&amp;", *")</f>
        <v>0</v>
      </c>
      <c r="AX307" s="2">
        <f>COUNTIFS(集計用!$G305,"*, "&amp;AX$3&amp;", *")</f>
        <v>0</v>
      </c>
      <c r="AY307" s="2">
        <f>COUNTIFS(集計用!$G305,"*, "&amp;AY$3&amp;", *")</f>
        <v>0</v>
      </c>
      <c r="AZ307" s="2">
        <f>COUNTIFS(集計用!$G305,"*, "&amp;AZ$3&amp;", *")</f>
        <v>0</v>
      </c>
      <c r="BA307" s="2">
        <f>COUNTIFS(集計用!$G305,"*, "&amp;BA$3&amp;", *")</f>
        <v>0</v>
      </c>
      <c r="BB307" s="2">
        <f>COUNTIFS(集計用!$G305,"*, "&amp;BB$3&amp;", *")</f>
        <v>0</v>
      </c>
      <c r="BC307" s="2">
        <f>COUNTIFS(集計用!$G305,"*, "&amp;BC$3&amp;", *")</f>
        <v>0</v>
      </c>
      <c r="BD307" s="2">
        <f>COUNTIFS(集計用!$G305,"*, "&amp;BD$3&amp;", *")</f>
        <v>0</v>
      </c>
      <c r="BE307" s="2">
        <f>COUNTIFS(集計用!$G305,"*, "&amp;BE$3&amp;", *")</f>
        <v>0</v>
      </c>
      <c r="BF307" s="2">
        <f>COUNTIFS(集計用!$G305,"*, "&amp;BF$3&amp;", *")</f>
        <v>0</v>
      </c>
      <c r="BG307" s="2">
        <f>COUNTIFS(集計用!$G305,"*, "&amp;BG$3&amp;", *")</f>
        <v>0</v>
      </c>
      <c r="BH307" s="2">
        <f>COUNTIFS(集計用!$G305,"*, "&amp;BH$3&amp;", *")</f>
        <v>0</v>
      </c>
      <c r="BI307" s="2">
        <f>COUNTIFS(集計用!$G305,"*, "&amp;BI$3&amp;", *")</f>
        <v>0</v>
      </c>
      <c r="BJ307" s="2">
        <f>LEN(集計用!H305)-LEN(SUBSTITUTE(集計用!H305,",",""))</f>
        <v>1</v>
      </c>
    </row>
    <row r="308" spans="1:62" ht="12.75">
      <c r="A308" s="8">
        <v>305</v>
      </c>
      <c r="C308" s="2">
        <f t="shared" si="3"/>
        <v>8</v>
      </c>
      <c r="D308" s="9"/>
      <c r="E308" s="2">
        <f>COUNTIFS(集計用!$G306,"*, "&amp;E$3&amp;", *")</f>
        <v>1</v>
      </c>
      <c r="F308" s="2">
        <f>COUNTIFS(集計用!$G306,"*, "&amp;F$3&amp;", *")</f>
        <v>1</v>
      </c>
      <c r="G308" s="2">
        <f>COUNTIFS(集計用!$G306,"*, "&amp;G$3&amp;", *")</f>
        <v>0</v>
      </c>
      <c r="H308" s="2">
        <f>COUNTIFS(集計用!$G306,"*, "&amp;H$3&amp;", *")</f>
        <v>0</v>
      </c>
      <c r="I308" s="2">
        <f>COUNTIFS(集計用!$G306,"*, "&amp;I$3&amp;", *")</f>
        <v>0</v>
      </c>
      <c r="J308" s="2">
        <f>COUNTIFS(集計用!$G306,"*, "&amp;J$3&amp;", *")</f>
        <v>0</v>
      </c>
      <c r="K308" s="2">
        <f>COUNTIFS(集計用!$G306,"*, "&amp;K$3&amp;", *")</f>
        <v>0</v>
      </c>
      <c r="L308" s="2">
        <f>COUNTIFS(集計用!$G306,"*, "&amp;L$3&amp;", *")</f>
        <v>1</v>
      </c>
      <c r="M308" s="2">
        <f>COUNTIFS(集計用!$G306,"*, "&amp;M$3&amp;", *")</f>
        <v>0</v>
      </c>
      <c r="N308" s="2">
        <f>COUNTIFS(集計用!$G306,"*, "&amp;N$3&amp;", *")</f>
        <v>0</v>
      </c>
      <c r="O308" s="2">
        <f>COUNTIFS(集計用!$G306,"*, "&amp;O$3&amp;", *")</f>
        <v>0</v>
      </c>
      <c r="P308" s="2">
        <f>COUNTIFS(集計用!$G306,"*, "&amp;P$3&amp;", *")</f>
        <v>0</v>
      </c>
      <c r="Q308" s="2">
        <f>COUNTIFS(集計用!$G306,"*, "&amp;Q$3&amp;", *")</f>
        <v>1</v>
      </c>
      <c r="R308" s="2">
        <f>COUNTIFS(集計用!$G306,"*, "&amp;R$3&amp;", *")</f>
        <v>1</v>
      </c>
      <c r="S308" s="2">
        <f>COUNTIFS(集計用!$G306,"*, "&amp;S$3&amp;", *")</f>
        <v>1</v>
      </c>
      <c r="T308" s="2">
        <f>COUNTIFS(集計用!$G306,"*, "&amp;T$3&amp;", *")</f>
        <v>0</v>
      </c>
      <c r="U308" s="2">
        <f>COUNTIFS(集計用!$G306,"*, "&amp;U$3&amp;", *")</f>
        <v>0</v>
      </c>
      <c r="V308" s="2">
        <f>COUNTIFS(集計用!$G306,"*, "&amp;V$3&amp;", *")</f>
        <v>0</v>
      </c>
      <c r="W308" s="2">
        <f>COUNTIFS(集計用!$G306,"*, "&amp;W$3&amp;", *")</f>
        <v>0</v>
      </c>
      <c r="X308" s="2">
        <f>COUNTIFS(集計用!$G306,"*, "&amp;X$3&amp;", *")</f>
        <v>0</v>
      </c>
      <c r="Y308" s="2">
        <f>COUNTIFS(集計用!$G306,"*, "&amp;Y$3&amp;", *")</f>
        <v>0</v>
      </c>
      <c r="Z308" s="2">
        <f>COUNTIFS(集計用!$G306,"*, "&amp;Z$3&amp;", *")</f>
        <v>0</v>
      </c>
      <c r="AA308" s="2">
        <f>COUNTIFS(集計用!$G306,"*, "&amp;AA$3&amp;", *")</f>
        <v>0</v>
      </c>
      <c r="AB308" s="2">
        <f>COUNTIFS(集計用!$G306,"*, "&amp;AB$3&amp;", *")</f>
        <v>0</v>
      </c>
      <c r="AC308" s="2">
        <f>COUNTIFS(集計用!$G306,"*, "&amp;AC$3&amp;", *")</f>
        <v>0</v>
      </c>
      <c r="AD308" s="2">
        <f>COUNTIFS(集計用!$G306,"*, "&amp;AD$3&amp;", *")</f>
        <v>1</v>
      </c>
      <c r="AE308" s="2">
        <f>COUNTIFS(集計用!$G306,"*, "&amp;AE$3&amp;", *")</f>
        <v>1</v>
      </c>
      <c r="AF308" s="2">
        <f>COUNTIFS(集計用!$G306,"*, "&amp;AF$3&amp;", *")</f>
        <v>0</v>
      </c>
      <c r="AG308" s="2">
        <f>COUNTIFS(集計用!$G306,"*, "&amp;AG$3&amp;", *")</f>
        <v>0</v>
      </c>
      <c r="AH308" s="2">
        <f>COUNTIFS(集計用!$G306,"*, "&amp;AH$3&amp;", *")</f>
        <v>0</v>
      </c>
      <c r="AI308" s="2">
        <f>COUNTIFS(集計用!$G306,"*, "&amp;AI$3&amp;", *")</f>
        <v>0</v>
      </c>
      <c r="AJ308" s="2">
        <f>COUNTIFS(集計用!$G306,"*, "&amp;AJ$3&amp;", *")</f>
        <v>0</v>
      </c>
      <c r="AK308" s="2">
        <f>COUNTIFS(集計用!$G306,"*, "&amp;AK$3&amp;", *")</f>
        <v>0</v>
      </c>
      <c r="AL308" s="2">
        <f>COUNTIFS(集計用!$G306,"*, "&amp;AL$3&amp;", *")</f>
        <v>0</v>
      </c>
      <c r="AM308" s="2">
        <f>COUNTIFS(集計用!$G306,"*, "&amp;AM$3&amp;", *")</f>
        <v>0</v>
      </c>
      <c r="AN308" s="2">
        <f>COUNTIFS(集計用!$G306,"*, "&amp;AN$3&amp;", *")</f>
        <v>0</v>
      </c>
      <c r="AO308" s="2">
        <f>COUNTIFS(集計用!$G306,"*, "&amp;AO$3&amp;", *")</f>
        <v>0</v>
      </c>
      <c r="AP308" s="2">
        <f>COUNTIFS(集計用!$G306,"*, "&amp;AP$3&amp;", *")</f>
        <v>0</v>
      </c>
      <c r="AQ308" s="2">
        <f>COUNTIFS(集計用!$G306,"*, "&amp;AQ$3&amp;", *")</f>
        <v>0</v>
      </c>
      <c r="AR308" s="2">
        <f>COUNTIFS(集計用!$G306,"*, "&amp;AR$3&amp;", *")</f>
        <v>0</v>
      </c>
      <c r="AS308" s="2">
        <f>COUNTIFS(集計用!$G306,"*, "&amp;AS$3&amp;", *")</f>
        <v>0</v>
      </c>
      <c r="AT308" s="2">
        <f>COUNTIFS(集計用!$G306,"*, "&amp;AT$3&amp;", *")</f>
        <v>0</v>
      </c>
      <c r="AU308" s="2">
        <f>COUNTIFS(集計用!$G306,"*, "&amp;AU$3&amp;", *")</f>
        <v>0</v>
      </c>
      <c r="AV308" s="2">
        <f>COUNTIFS(集計用!$G306,"*, "&amp;AV$3&amp;", *")</f>
        <v>0</v>
      </c>
      <c r="AW308" s="2">
        <f>COUNTIFS(集計用!$G306,"*, "&amp;AW$3&amp;", *")</f>
        <v>0</v>
      </c>
      <c r="AX308" s="2">
        <f>COUNTIFS(集計用!$G306,"*, "&amp;AX$3&amp;", *")</f>
        <v>0</v>
      </c>
      <c r="AY308" s="2">
        <f>COUNTIFS(集計用!$G306,"*, "&amp;AY$3&amp;", *")</f>
        <v>0</v>
      </c>
      <c r="AZ308" s="2">
        <f>COUNTIFS(集計用!$G306,"*, "&amp;AZ$3&amp;", *")</f>
        <v>0</v>
      </c>
      <c r="BA308" s="2">
        <f>COUNTIFS(集計用!$G306,"*, "&amp;BA$3&amp;", *")</f>
        <v>0</v>
      </c>
      <c r="BB308" s="2">
        <f>COUNTIFS(集計用!$G306,"*, "&amp;BB$3&amp;", *")</f>
        <v>0</v>
      </c>
      <c r="BC308" s="2">
        <f>COUNTIFS(集計用!$G306,"*, "&amp;BC$3&amp;", *")</f>
        <v>0</v>
      </c>
      <c r="BD308" s="2">
        <f>COUNTIFS(集計用!$G306,"*, "&amp;BD$3&amp;", *")</f>
        <v>0</v>
      </c>
      <c r="BE308" s="2">
        <f>COUNTIFS(集計用!$G306,"*, "&amp;BE$3&amp;", *")</f>
        <v>0</v>
      </c>
      <c r="BF308" s="2">
        <f>COUNTIFS(集計用!$G306,"*, "&amp;BF$3&amp;", *")</f>
        <v>0</v>
      </c>
      <c r="BG308" s="2">
        <f>COUNTIFS(集計用!$G306,"*, "&amp;BG$3&amp;", *")</f>
        <v>0</v>
      </c>
      <c r="BH308" s="2">
        <f>COUNTIFS(集計用!$G306,"*, "&amp;BH$3&amp;", *")</f>
        <v>0</v>
      </c>
      <c r="BI308" s="2">
        <f>COUNTIFS(集計用!$G306,"*, "&amp;BI$3&amp;", *")</f>
        <v>0</v>
      </c>
      <c r="BJ308" s="2">
        <f>LEN(集計用!H306)-LEN(SUBSTITUTE(集計用!H306,",",""))</f>
        <v>0</v>
      </c>
    </row>
    <row r="309" spans="1:62" ht="12.75">
      <c r="A309" s="8">
        <v>306</v>
      </c>
      <c r="C309" s="2">
        <f t="shared" si="3"/>
        <v>5</v>
      </c>
      <c r="D309" s="9"/>
      <c r="E309" s="2">
        <f>COUNTIFS(集計用!$G307,"*, "&amp;E$3&amp;", *")</f>
        <v>0</v>
      </c>
      <c r="F309" s="2">
        <f>COUNTIFS(集計用!$G307,"*, "&amp;F$3&amp;", *")</f>
        <v>0</v>
      </c>
      <c r="G309" s="2">
        <f>COUNTIFS(集計用!$G307,"*, "&amp;G$3&amp;", *")</f>
        <v>0</v>
      </c>
      <c r="H309" s="2">
        <f>COUNTIFS(集計用!$G307,"*, "&amp;H$3&amp;", *")</f>
        <v>1</v>
      </c>
      <c r="I309" s="2">
        <f>COUNTIFS(集計用!$G307,"*, "&amp;I$3&amp;", *")</f>
        <v>0</v>
      </c>
      <c r="J309" s="2">
        <f>COUNTIFS(集計用!$G307,"*, "&amp;J$3&amp;", *")</f>
        <v>0</v>
      </c>
      <c r="K309" s="2">
        <f>COUNTIFS(集計用!$G307,"*, "&amp;K$3&amp;", *")</f>
        <v>0</v>
      </c>
      <c r="L309" s="2">
        <f>COUNTIFS(集計用!$G307,"*, "&amp;L$3&amp;", *")</f>
        <v>1</v>
      </c>
      <c r="M309" s="2">
        <f>COUNTIFS(集計用!$G307,"*, "&amp;M$3&amp;", *")</f>
        <v>0</v>
      </c>
      <c r="N309" s="2">
        <f>COUNTIFS(集計用!$G307,"*, "&amp;N$3&amp;", *")</f>
        <v>0</v>
      </c>
      <c r="O309" s="2">
        <f>COUNTIFS(集計用!$G307,"*, "&amp;O$3&amp;", *")</f>
        <v>0</v>
      </c>
      <c r="P309" s="2">
        <f>COUNTIFS(集計用!$G307,"*, "&amp;P$3&amp;", *")</f>
        <v>0</v>
      </c>
      <c r="Q309" s="2">
        <f>COUNTIFS(集計用!$G307,"*, "&amp;Q$3&amp;", *")</f>
        <v>0</v>
      </c>
      <c r="R309" s="2">
        <f>COUNTIFS(集計用!$G307,"*, "&amp;R$3&amp;", *")</f>
        <v>0</v>
      </c>
      <c r="S309" s="2">
        <f>COUNTIFS(集計用!$G307,"*, "&amp;S$3&amp;", *")</f>
        <v>1</v>
      </c>
      <c r="T309" s="2">
        <f>COUNTIFS(集計用!$G307,"*, "&amp;T$3&amp;", *")</f>
        <v>1</v>
      </c>
      <c r="U309" s="2">
        <f>COUNTIFS(集計用!$G307,"*, "&amp;U$3&amp;", *")</f>
        <v>0</v>
      </c>
      <c r="V309" s="2">
        <f>COUNTIFS(集計用!$G307,"*, "&amp;V$3&amp;", *")</f>
        <v>0</v>
      </c>
      <c r="W309" s="2">
        <f>COUNTIFS(集計用!$G307,"*, "&amp;W$3&amp;", *")</f>
        <v>1</v>
      </c>
      <c r="X309" s="2">
        <f>COUNTIFS(集計用!$G307,"*, "&amp;X$3&amp;", *")</f>
        <v>0</v>
      </c>
      <c r="Y309" s="2">
        <f>COUNTIFS(集計用!$G307,"*, "&amp;Y$3&amp;", *")</f>
        <v>0</v>
      </c>
      <c r="Z309" s="2">
        <f>COUNTIFS(集計用!$G307,"*, "&amp;Z$3&amp;", *")</f>
        <v>0</v>
      </c>
      <c r="AA309" s="2">
        <f>COUNTIFS(集計用!$G307,"*, "&amp;AA$3&amp;", *")</f>
        <v>0</v>
      </c>
      <c r="AB309" s="2">
        <f>COUNTIFS(集計用!$G307,"*, "&amp;AB$3&amp;", *")</f>
        <v>0</v>
      </c>
      <c r="AC309" s="2">
        <f>COUNTIFS(集計用!$G307,"*, "&amp;AC$3&amp;", *")</f>
        <v>0</v>
      </c>
      <c r="AD309" s="2">
        <f>COUNTIFS(集計用!$G307,"*, "&amp;AD$3&amp;", *")</f>
        <v>0</v>
      </c>
      <c r="AE309" s="2">
        <f>COUNTIFS(集計用!$G307,"*, "&amp;AE$3&amp;", *")</f>
        <v>0</v>
      </c>
      <c r="AF309" s="2">
        <f>COUNTIFS(集計用!$G307,"*, "&amp;AF$3&amp;", *")</f>
        <v>0</v>
      </c>
      <c r="AG309" s="2">
        <f>COUNTIFS(集計用!$G307,"*, "&amp;AG$3&amp;", *")</f>
        <v>0</v>
      </c>
      <c r="AH309" s="2">
        <f>COUNTIFS(集計用!$G307,"*, "&amp;AH$3&amp;", *")</f>
        <v>0</v>
      </c>
      <c r="AI309" s="2">
        <f>COUNTIFS(集計用!$G307,"*, "&amp;AI$3&amp;", *")</f>
        <v>0</v>
      </c>
      <c r="AJ309" s="2">
        <f>COUNTIFS(集計用!$G307,"*, "&amp;AJ$3&amp;", *")</f>
        <v>0</v>
      </c>
      <c r="AK309" s="2">
        <f>COUNTIFS(集計用!$G307,"*, "&amp;AK$3&amp;", *")</f>
        <v>0</v>
      </c>
      <c r="AL309" s="2">
        <f>COUNTIFS(集計用!$G307,"*, "&amp;AL$3&amp;", *")</f>
        <v>0</v>
      </c>
      <c r="AM309" s="2">
        <f>COUNTIFS(集計用!$G307,"*, "&amp;AM$3&amp;", *")</f>
        <v>0</v>
      </c>
      <c r="AN309" s="2">
        <f>COUNTIFS(集計用!$G307,"*, "&amp;AN$3&amp;", *")</f>
        <v>0</v>
      </c>
      <c r="AO309" s="2">
        <f>COUNTIFS(集計用!$G307,"*, "&amp;AO$3&amp;", *")</f>
        <v>0</v>
      </c>
      <c r="AP309" s="2">
        <f>COUNTIFS(集計用!$G307,"*, "&amp;AP$3&amp;", *")</f>
        <v>0</v>
      </c>
      <c r="AQ309" s="2">
        <f>COUNTIFS(集計用!$G307,"*, "&amp;AQ$3&amp;", *")</f>
        <v>0</v>
      </c>
      <c r="AR309" s="2">
        <f>COUNTIFS(集計用!$G307,"*, "&amp;AR$3&amp;", *")</f>
        <v>0</v>
      </c>
      <c r="AS309" s="2">
        <f>COUNTIFS(集計用!$G307,"*, "&amp;AS$3&amp;", *")</f>
        <v>0</v>
      </c>
      <c r="AT309" s="2">
        <f>COUNTIFS(集計用!$G307,"*, "&amp;AT$3&amp;", *")</f>
        <v>0</v>
      </c>
      <c r="AU309" s="2">
        <f>COUNTIFS(集計用!$G307,"*, "&amp;AU$3&amp;", *")</f>
        <v>0</v>
      </c>
      <c r="AV309" s="2">
        <f>COUNTIFS(集計用!$G307,"*, "&amp;AV$3&amp;", *")</f>
        <v>0</v>
      </c>
      <c r="AW309" s="2">
        <f>COUNTIFS(集計用!$G307,"*, "&amp;AW$3&amp;", *")</f>
        <v>0</v>
      </c>
      <c r="AX309" s="2">
        <f>COUNTIFS(集計用!$G307,"*, "&amp;AX$3&amp;", *")</f>
        <v>0</v>
      </c>
      <c r="AY309" s="2">
        <f>COUNTIFS(集計用!$G307,"*, "&amp;AY$3&amp;", *")</f>
        <v>0</v>
      </c>
      <c r="AZ309" s="2">
        <f>COUNTIFS(集計用!$G307,"*, "&amp;AZ$3&amp;", *")</f>
        <v>0</v>
      </c>
      <c r="BA309" s="2">
        <f>COUNTIFS(集計用!$G307,"*, "&amp;BA$3&amp;", *")</f>
        <v>0</v>
      </c>
      <c r="BB309" s="2">
        <f>COUNTIFS(集計用!$G307,"*, "&amp;BB$3&amp;", *")</f>
        <v>0</v>
      </c>
      <c r="BC309" s="2">
        <f>COUNTIFS(集計用!$G307,"*, "&amp;BC$3&amp;", *")</f>
        <v>0</v>
      </c>
      <c r="BD309" s="2">
        <f>COUNTIFS(集計用!$G307,"*, "&amp;BD$3&amp;", *")</f>
        <v>0</v>
      </c>
      <c r="BE309" s="2">
        <f>COUNTIFS(集計用!$G307,"*, "&amp;BE$3&amp;", *")</f>
        <v>0</v>
      </c>
      <c r="BF309" s="2">
        <f>COUNTIFS(集計用!$G307,"*, "&amp;BF$3&amp;", *")</f>
        <v>0</v>
      </c>
      <c r="BG309" s="2">
        <f>COUNTIFS(集計用!$G307,"*, "&amp;BG$3&amp;", *")</f>
        <v>0</v>
      </c>
      <c r="BH309" s="2">
        <f>COUNTIFS(集計用!$G307,"*, "&amp;BH$3&amp;", *")</f>
        <v>0</v>
      </c>
      <c r="BI309" s="2">
        <f>COUNTIFS(集計用!$G307,"*, "&amp;BI$3&amp;", *")</f>
        <v>0</v>
      </c>
      <c r="BJ309" s="2">
        <f>LEN(集計用!H307)-LEN(SUBSTITUTE(集計用!H307,",",""))</f>
        <v>0</v>
      </c>
    </row>
    <row r="310" spans="1:62" ht="12.75">
      <c r="A310" s="8">
        <v>307</v>
      </c>
      <c r="C310" s="2">
        <f t="shared" si="3"/>
        <v>1</v>
      </c>
      <c r="D310" s="9"/>
      <c r="E310" s="2">
        <f>COUNTIFS(集計用!$G308,"*, "&amp;E$3&amp;", *")</f>
        <v>0</v>
      </c>
      <c r="F310" s="2">
        <f>COUNTIFS(集計用!$G308,"*, "&amp;F$3&amp;", *")</f>
        <v>0</v>
      </c>
      <c r="G310" s="2">
        <f>COUNTIFS(集計用!$G308,"*, "&amp;G$3&amp;", *")</f>
        <v>0</v>
      </c>
      <c r="H310" s="2">
        <f>COUNTIFS(集計用!$G308,"*, "&amp;H$3&amp;", *")</f>
        <v>0</v>
      </c>
      <c r="I310" s="2">
        <f>COUNTIFS(集計用!$G308,"*, "&amp;I$3&amp;", *")</f>
        <v>0</v>
      </c>
      <c r="J310" s="2">
        <f>COUNTIFS(集計用!$G308,"*, "&amp;J$3&amp;", *")</f>
        <v>0</v>
      </c>
      <c r="K310" s="2">
        <f>COUNTIFS(集計用!$G308,"*, "&amp;K$3&amp;", *")</f>
        <v>0</v>
      </c>
      <c r="L310" s="2">
        <f>COUNTIFS(集計用!$G308,"*, "&amp;L$3&amp;", *")</f>
        <v>0</v>
      </c>
      <c r="M310" s="2">
        <f>COUNTIFS(集計用!$G308,"*, "&amp;M$3&amp;", *")</f>
        <v>0</v>
      </c>
      <c r="N310" s="2">
        <f>COUNTIFS(集計用!$G308,"*, "&amp;N$3&amp;", *")</f>
        <v>0</v>
      </c>
      <c r="O310" s="2">
        <f>COUNTIFS(集計用!$G308,"*, "&amp;O$3&amp;", *")</f>
        <v>0</v>
      </c>
      <c r="P310" s="2">
        <f>COUNTIFS(集計用!$G308,"*, "&amp;P$3&amp;", *")</f>
        <v>0</v>
      </c>
      <c r="Q310" s="2">
        <f>COUNTIFS(集計用!$G308,"*, "&amp;Q$3&amp;", *")</f>
        <v>0</v>
      </c>
      <c r="R310" s="2">
        <f>COUNTIFS(集計用!$G308,"*, "&amp;R$3&amp;", *")</f>
        <v>1</v>
      </c>
      <c r="S310" s="2">
        <f>COUNTIFS(集計用!$G308,"*, "&amp;S$3&amp;", *")</f>
        <v>0</v>
      </c>
      <c r="T310" s="2">
        <f>COUNTIFS(集計用!$G308,"*, "&amp;T$3&amp;", *")</f>
        <v>0</v>
      </c>
      <c r="U310" s="2">
        <f>COUNTIFS(集計用!$G308,"*, "&amp;U$3&amp;", *")</f>
        <v>0</v>
      </c>
      <c r="V310" s="2">
        <f>COUNTIFS(集計用!$G308,"*, "&amp;V$3&amp;", *")</f>
        <v>0</v>
      </c>
      <c r="W310" s="2">
        <f>COUNTIFS(集計用!$G308,"*, "&amp;W$3&amp;", *")</f>
        <v>0</v>
      </c>
      <c r="X310" s="2">
        <f>COUNTIFS(集計用!$G308,"*, "&amp;X$3&amp;", *")</f>
        <v>0</v>
      </c>
      <c r="Y310" s="2">
        <f>COUNTIFS(集計用!$G308,"*, "&amp;Y$3&amp;", *")</f>
        <v>0</v>
      </c>
      <c r="Z310" s="2">
        <f>COUNTIFS(集計用!$G308,"*, "&amp;Z$3&amp;", *")</f>
        <v>0</v>
      </c>
      <c r="AA310" s="2">
        <f>COUNTIFS(集計用!$G308,"*, "&amp;AA$3&amp;", *")</f>
        <v>0</v>
      </c>
      <c r="AB310" s="2">
        <f>COUNTIFS(集計用!$G308,"*, "&amp;AB$3&amp;", *")</f>
        <v>0</v>
      </c>
      <c r="AC310" s="2">
        <f>COUNTIFS(集計用!$G308,"*, "&amp;AC$3&amp;", *")</f>
        <v>0</v>
      </c>
      <c r="AD310" s="2">
        <f>COUNTIFS(集計用!$G308,"*, "&amp;AD$3&amp;", *")</f>
        <v>0</v>
      </c>
      <c r="AE310" s="2">
        <f>COUNTIFS(集計用!$G308,"*, "&amp;AE$3&amp;", *")</f>
        <v>0</v>
      </c>
      <c r="AF310" s="2">
        <f>COUNTIFS(集計用!$G308,"*, "&amp;AF$3&amp;", *")</f>
        <v>0</v>
      </c>
      <c r="AG310" s="2">
        <f>COUNTIFS(集計用!$G308,"*, "&amp;AG$3&amp;", *")</f>
        <v>0</v>
      </c>
      <c r="AH310" s="2">
        <f>COUNTIFS(集計用!$G308,"*, "&amp;AH$3&amp;", *")</f>
        <v>0</v>
      </c>
      <c r="AI310" s="2">
        <f>COUNTIFS(集計用!$G308,"*, "&amp;AI$3&amp;", *")</f>
        <v>0</v>
      </c>
      <c r="AJ310" s="2">
        <f>COUNTIFS(集計用!$G308,"*, "&amp;AJ$3&amp;", *")</f>
        <v>0</v>
      </c>
      <c r="AK310" s="2">
        <f>COUNTIFS(集計用!$G308,"*, "&amp;AK$3&amp;", *")</f>
        <v>0</v>
      </c>
      <c r="AL310" s="2">
        <f>COUNTIFS(集計用!$G308,"*, "&amp;AL$3&amp;", *")</f>
        <v>0</v>
      </c>
      <c r="AM310" s="2">
        <f>COUNTIFS(集計用!$G308,"*, "&amp;AM$3&amp;", *")</f>
        <v>0</v>
      </c>
      <c r="AN310" s="2">
        <f>COUNTIFS(集計用!$G308,"*, "&amp;AN$3&amp;", *")</f>
        <v>0</v>
      </c>
      <c r="AO310" s="2">
        <f>COUNTIFS(集計用!$G308,"*, "&amp;AO$3&amp;", *")</f>
        <v>0</v>
      </c>
      <c r="AP310" s="2">
        <f>COUNTIFS(集計用!$G308,"*, "&amp;AP$3&amp;", *")</f>
        <v>0</v>
      </c>
      <c r="AQ310" s="2">
        <f>COUNTIFS(集計用!$G308,"*, "&amp;AQ$3&amp;", *")</f>
        <v>0</v>
      </c>
      <c r="AR310" s="2">
        <f>COUNTIFS(集計用!$G308,"*, "&amp;AR$3&amp;", *")</f>
        <v>0</v>
      </c>
      <c r="AS310" s="2">
        <f>COUNTIFS(集計用!$G308,"*, "&amp;AS$3&amp;", *")</f>
        <v>0</v>
      </c>
      <c r="AT310" s="2">
        <f>COUNTIFS(集計用!$G308,"*, "&amp;AT$3&amp;", *")</f>
        <v>0</v>
      </c>
      <c r="AU310" s="2">
        <f>COUNTIFS(集計用!$G308,"*, "&amp;AU$3&amp;", *")</f>
        <v>0</v>
      </c>
      <c r="AV310" s="2">
        <f>COUNTIFS(集計用!$G308,"*, "&amp;AV$3&amp;", *")</f>
        <v>0</v>
      </c>
      <c r="AW310" s="2">
        <f>COUNTIFS(集計用!$G308,"*, "&amp;AW$3&amp;", *")</f>
        <v>0</v>
      </c>
      <c r="AX310" s="2">
        <f>COUNTIFS(集計用!$G308,"*, "&amp;AX$3&amp;", *")</f>
        <v>0</v>
      </c>
      <c r="AY310" s="2">
        <f>COUNTIFS(集計用!$G308,"*, "&amp;AY$3&amp;", *")</f>
        <v>0</v>
      </c>
      <c r="AZ310" s="2">
        <f>COUNTIFS(集計用!$G308,"*, "&amp;AZ$3&amp;", *")</f>
        <v>0</v>
      </c>
      <c r="BA310" s="2">
        <f>COUNTIFS(集計用!$G308,"*, "&amp;BA$3&amp;", *")</f>
        <v>0</v>
      </c>
      <c r="BB310" s="2">
        <f>COUNTIFS(集計用!$G308,"*, "&amp;BB$3&amp;", *")</f>
        <v>0</v>
      </c>
      <c r="BC310" s="2">
        <f>COUNTIFS(集計用!$G308,"*, "&amp;BC$3&amp;", *")</f>
        <v>0</v>
      </c>
      <c r="BD310" s="2">
        <f>COUNTIFS(集計用!$G308,"*, "&amp;BD$3&amp;", *")</f>
        <v>0</v>
      </c>
      <c r="BE310" s="2">
        <f>COUNTIFS(集計用!$G308,"*, "&amp;BE$3&amp;", *")</f>
        <v>0</v>
      </c>
      <c r="BF310" s="2">
        <f>COUNTIFS(集計用!$G308,"*, "&amp;BF$3&amp;", *")</f>
        <v>0</v>
      </c>
      <c r="BG310" s="2">
        <f>COUNTIFS(集計用!$G308,"*, "&amp;BG$3&amp;", *")</f>
        <v>0</v>
      </c>
      <c r="BH310" s="2">
        <f>COUNTIFS(集計用!$G308,"*, "&amp;BH$3&amp;", *")</f>
        <v>0</v>
      </c>
      <c r="BI310" s="2">
        <f>COUNTIFS(集計用!$G308,"*, "&amp;BI$3&amp;", *")</f>
        <v>0</v>
      </c>
      <c r="BJ310" s="2">
        <f>LEN(集計用!H308)-LEN(SUBSTITUTE(集計用!H308,",",""))</f>
        <v>0</v>
      </c>
    </row>
    <row r="311" spans="1:62" ht="12.75">
      <c r="A311" s="8">
        <v>308</v>
      </c>
      <c r="C311" s="2">
        <f t="shared" si="3"/>
        <v>3</v>
      </c>
      <c r="D311" s="9"/>
      <c r="E311" s="2">
        <f>COUNTIFS(集計用!$G309,"*, "&amp;E$3&amp;", *")</f>
        <v>0</v>
      </c>
      <c r="F311" s="2">
        <f>COUNTIFS(集計用!$G309,"*, "&amp;F$3&amp;", *")</f>
        <v>0</v>
      </c>
      <c r="G311" s="2">
        <f>COUNTIFS(集計用!$G309,"*, "&amp;G$3&amp;", *")</f>
        <v>1</v>
      </c>
      <c r="H311" s="2">
        <f>COUNTIFS(集計用!$G309,"*, "&amp;H$3&amp;", *")</f>
        <v>0</v>
      </c>
      <c r="I311" s="2">
        <f>COUNTIFS(集計用!$G309,"*, "&amp;I$3&amp;", *")</f>
        <v>0</v>
      </c>
      <c r="J311" s="2">
        <f>COUNTIFS(集計用!$G309,"*, "&amp;J$3&amp;", *")</f>
        <v>0</v>
      </c>
      <c r="K311" s="2">
        <f>COUNTIFS(集計用!$G309,"*, "&amp;K$3&amp;", *")</f>
        <v>0</v>
      </c>
      <c r="L311" s="2">
        <f>COUNTIFS(集計用!$G309,"*, "&amp;L$3&amp;", *")</f>
        <v>0</v>
      </c>
      <c r="M311" s="2">
        <f>COUNTIFS(集計用!$G309,"*, "&amp;M$3&amp;", *")</f>
        <v>0</v>
      </c>
      <c r="N311" s="2">
        <f>COUNTIFS(集計用!$G309,"*, "&amp;N$3&amp;", *")</f>
        <v>1</v>
      </c>
      <c r="O311" s="2">
        <f>COUNTIFS(集計用!$G309,"*, "&amp;O$3&amp;", *")</f>
        <v>0</v>
      </c>
      <c r="P311" s="2">
        <f>COUNTIFS(集計用!$G309,"*, "&amp;P$3&amp;", *")</f>
        <v>0</v>
      </c>
      <c r="Q311" s="2">
        <f>COUNTIFS(集計用!$G309,"*, "&amp;Q$3&amp;", *")</f>
        <v>0</v>
      </c>
      <c r="R311" s="2">
        <f>COUNTIFS(集計用!$G309,"*, "&amp;R$3&amp;", *")</f>
        <v>0</v>
      </c>
      <c r="S311" s="2">
        <f>COUNTIFS(集計用!$G309,"*, "&amp;S$3&amp;", *")</f>
        <v>0</v>
      </c>
      <c r="T311" s="2">
        <f>COUNTIFS(集計用!$G309,"*, "&amp;T$3&amp;", *")</f>
        <v>0</v>
      </c>
      <c r="U311" s="2">
        <f>COUNTIFS(集計用!$G309,"*, "&amp;U$3&amp;", *")</f>
        <v>0</v>
      </c>
      <c r="V311" s="2">
        <f>COUNTIFS(集計用!$G309,"*, "&amp;V$3&amp;", *")</f>
        <v>0</v>
      </c>
      <c r="W311" s="2">
        <f>COUNTIFS(集計用!$G309,"*, "&amp;W$3&amp;", *")</f>
        <v>0</v>
      </c>
      <c r="X311" s="2">
        <f>COUNTIFS(集計用!$G309,"*, "&amp;X$3&amp;", *")</f>
        <v>0</v>
      </c>
      <c r="Y311" s="2">
        <f>COUNTIFS(集計用!$G309,"*, "&amp;Y$3&amp;", *")</f>
        <v>0</v>
      </c>
      <c r="Z311" s="2">
        <f>COUNTIFS(集計用!$G309,"*, "&amp;Z$3&amp;", *")</f>
        <v>0</v>
      </c>
      <c r="AA311" s="2">
        <f>COUNTIFS(集計用!$G309,"*, "&amp;AA$3&amp;", *")</f>
        <v>0</v>
      </c>
      <c r="AB311" s="2">
        <f>COUNTIFS(集計用!$G309,"*, "&amp;AB$3&amp;", *")</f>
        <v>0</v>
      </c>
      <c r="AC311" s="2">
        <f>COUNTIFS(集計用!$G309,"*, "&amp;AC$3&amp;", *")</f>
        <v>0</v>
      </c>
      <c r="AD311" s="2">
        <f>COUNTIFS(集計用!$G309,"*, "&amp;AD$3&amp;", *")</f>
        <v>0</v>
      </c>
      <c r="AE311" s="2">
        <f>COUNTIFS(集計用!$G309,"*, "&amp;AE$3&amp;", *")</f>
        <v>0</v>
      </c>
      <c r="AF311" s="2">
        <f>COUNTIFS(集計用!$G309,"*, "&amp;AF$3&amp;", *")</f>
        <v>0</v>
      </c>
      <c r="AG311" s="2">
        <f>COUNTIFS(集計用!$G309,"*, "&amp;AG$3&amp;", *")</f>
        <v>0</v>
      </c>
      <c r="AH311" s="2">
        <f>COUNTIFS(集計用!$G309,"*, "&amp;AH$3&amp;", *")</f>
        <v>0</v>
      </c>
      <c r="AI311" s="2">
        <f>COUNTIFS(集計用!$G309,"*, "&amp;AI$3&amp;", *")</f>
        <v>0</v>
      </c>
      <c r="AJ311" s="2">
        <f>COUNTIFS(集計用!$G309,"*, "&amp;AJ$3&amp;", *")</f>
        <v>0</v>
      </c>
      <c r="AK311" s="2">
        <f>COUNTIFS(集計用!$G309,"*, "&amp;AK$3&amp;", *")</f>
        <v>0</v>
      </c>
      <c r="AL311" s="2">
        <f>COUNTIFS(集計用!$G309,"*, "&amp;AL$3&amp;", *")</f>
        <v>0</v>
      </c>
      <c r="AM311" s="2">
        <f>COUNTIFS(集計用!$G309,"*, "&amp;AM$3&amp;", *")</f>
        <v>0</v>
      </c>
      <c r="AN311" s="2">
        <f>COUNTIFS(集計用!$G309,"*, "&amp;AN$3&amp;", *")</f>
        <v>0</v>
      </c>
      <c r="AO311" s="2">
        <f>COUNTIFS(集計用!$G309,"*, "&amp;AO$3&amp;", *")</f>
        <v>0</v>
      </c>
      <c r="AP311" s="2">
        <f>COUNTIFS(集計用!$G309,"*, "&amp;AP$3&amp;", *")</f>
        <v>0</v>
      </c>
      <c r="AQ311" s="2">
        <f>COUNTIFS(集計用!$G309,"*, "&amp;AQ$3&amp;", *")</f>
        <v>1</v>
      </c>
      <c r="AR311" s="2">
        <f>COUNTIFS(集計用!$G309,"*, "&amp;AR$3&amp;", *")</f>
        <v>0</v>
      </c>
      <c r="AS311" s="2">
        <f>COUNTIFS(集計用!$G309,"*, "&amp;AS$3&amp;", *")</f>
        <v>0</v>
      </c>
      <c r="AT311" s="2">
        <f>COUNTIFS(集計用!$G309,"*, "&amp;AT$3&amp;", *")</f>
        <v>0</v>
      </c>
      <c r="AU311" s="2">
        <f>COUNTIFS(集計用!$G309,"*, "&amp;AU$3&amp;", *")</f>
        <v>0</v>
      </c>
      <c r="AV311" s="2">
        <f>COUNTIFS(集計用!$G309,"*, "&amp;AV$3&amp;", *")</f>
        <v>0</v>
      </c>
      <c r="AW311" s="2">
        <f>COUNTIFS(集計用!$G309,"*, "&amp;AW$3&amp;", *")</f>
        <v>0</v>
      </c>
      <c r="AX311" s="2">
        <f>COUNTIFS(集計用!$G309,"*, "&amp;AX$3&amp;", *")</f>
        <v>0</v>
      </c>
      <c r="AY311" s="2">
        <f>COUNTIFS(集計用!$G309,"*, "&amp;AY$3&amp;", *")</f>
        <v>0</v>
      </c>
      <c r="AZ311" s="2">
        <f>COUNTIFS(集計用!$G309,"*, "&amp;AZ$3&amp;", *")</f>
        <v>0</v>
      </c>
      <c r="BA311" s="2">
        <f>COUNTIFS(集計用!$G309,"*, "&amp;BA$3&amp;", *")</f>
        <v>0</v>
      </c>
      <c r="BB311" s="2">
        <f>COUNTIFS(集計用!$G309,"*, "&amp;BB$3&amp;", *")</f>
        <v>0</v>
      </c>
      <c r="BC311" s="2">
        <f>COUNTIFS(集計用!$G309,"*, "&amp;BC$3&amp;", *")</f>
        <v>0</v>
      </c>
      <c r="BD311" s="2">
        <f>COUNTIFS(集計用!$G309,"*, "&amp;BD$3&amp;", *")</f>
        <v>0</v>
      </c>
      <c r="BE311" s="2">
        <f>COUNTIFS(集計用!$G309,"*, "&amp;BE$3&amp;", *")</f>
        <v>0</v>
      </c>
      <c r="BF311" s="2">
        <f>COUNTIFS(集計用!$G309,"*, "&amp;BF$3&amp;", *")</f>
        <v>0</v>
      </c>
      <c r="BG311" s="2">
        <f>COUNTIFS(集計用!$G309,"*, "&amp;BG$3&amp;", *")</f>
        <v>0</v>
      </c>
      <c r="BH311" s="2">
        <f>COUNTIFS(集計用!$G309,"*, "&amp;BH$3&amp;", *")</f>
        <v>0</v>
      </c>
      <c r="BI311" s="2">
        <f>COUNTIFS(集計用!$G309,"*, "&amp;BI$3&amp;", *")</f>
        <v>0</v>
      </c>
      <c r="BJ311" s="2">
        <f>LEN(集計用!H309)-LEN(SUBSTITUTE(集計用!H309,",",""))</f>
        <v>0</v>
      </c>
    </row>
    <row r="312" spans="1:62" ht="12.75">
      <c r="A312" s="8">
        <v>309</v>
      </c>
      <c r="C312" s="2">
        <f t="shared" si="3"/>
        <v>7</v>
      </c>
      <c r="D312" s="9"/>
      <c r="E312" s="2">
        <f>COUNTIFS(集計用!$G310,"*, "&amp;E$3&amp;", *")</f>
        <v>0</v>
      </c>
      <c r="F312" s="2">
        <f>COUNTIFS(集計用!$G310,"*, "&amp;F$3&amp;", *")</f>
        <v>0</v>
      </c>
      <c r="G312" s="2">
        <f>COUNTIFS(集計用!$G310,"*, "&amp;G$3&amp;", *")</f>
        <v>0</v>
      </c>
      <c r="H312" s="2">
        <f>COUNTIFS(集計用!$G310,"*, "&amp;H$3&amp;", *")</f>
        <v>1</v>
      </c>
      <c r="I312" s="2">
        <f>COUNTIFS(集計用!$G310,"*, "&amp;I$3&amp;", *")</f>
        <v>0</v>
      </c>
      <c r="J312" s="2">
        <f>COUNTIFS(集計用!$G310,"*, "&amp;J$3&amp;", *")</f>
        <v>0</v>
      </c>
      <c r="K312" s="2">
        <f>COUNTIFS(集計用!$G310,"*, "&amp;K$3&amp;", *")</f>
        <v>0</v>
      </c>
      <c r="L312" s="2">
        <f>COUNTIFS(集計用!$G310,"*, "&amp;L$3&amp;", *")</f>
        <v>1</v>
      </c>
      <c r="M312" s="2">
        <f>COUNTIFS(集計用!$G310,"*, "&amp;M$3&amp;", *")</f>
        <v>0</v>
      </c>
      <c r="N312" s="2">
        <f>COUNTIFS(集計用!$G310,"*, "&amp;N$3&amp;", *")</f>
        <v>0</v>
      </c>
      <c r="O312" s="2">
        <f>COUNTIFS(集計用!$G310,"*, "&amp;O$3&amp;", *")</f>
        <v>1</v>
      </c>
      <c r="P312" s="2">
        <f>COUNTIFS(集計用!$G310,"*, "&amp;P$3&amp;", *")</f>
        <v>1</v>
      </c>
      <c r="Q312" s="2">
        <f>COUNTIFS(集計用!$G310,"*, "&amp;Q$3&amp;", *")</f>
        <v>0</v>
      </c>
      <c r="R312" s="2">
        <f>COUNTIFS(集計用!$G310,"*, "&amp;R$3&amp;", *")</f>
        <v>0</v>
      </c>
      <c r="S312" s="2">
        <f>COUNTIFS(集計用!$G310,"*, "&amp;S$3&amp;", *")</f>
        <v>1</v>
      </c>
      <c r="T312" s="2">
        <f>COUNTIFS(集計用!$G310,"*, "&amp;T$3&amp;", *")</f>
        <v>0</v>
      </c>
      <c r="U312" s="2">
        <f>COUNTIFS(集計用!$G310,"*, "&amp;U$3&amp;", *")</f>
        <v>1</v>
      </c>
      <c r="V312" s="2">
        <f>COUNTIFS(集計用!$G310,"*, "&amp;V$3&amp;", *")</f>
        <v>0</v>
      </c>
      <c r="W312" s="2">
        <f>COUNTIFS(集計用!$G310,"*, "&amp;W$3&amp;", *")</f>
        <v>0</v>
      </c>
      <c r="X312" s="2">
        <f>COUNTIFS(集計用!$G310,"*, "&amp;X$3&amp;", *")</f>
        <v>0</v>
      </c>
      <c r="Y312" s="2">
        <f>COUNTIFS(集計用!$G310,"*, "&amp;Y$3&amp;", *")</f>
        <v>0</v>
      </c>
      <c r="Z312" s="2">
        <f>COUNTIFS(集計用!$G310,"*, "&amp;Z$3&amp;", *")</f>
        <v>0</v>
      </c>
      <c r="AA312" s="2">
        <f>COUNTIFS(集計用!$G310,"*, "&amp;AA$3&amp;", *")</f>
        <v>0</v>
      </c>
      <c r="AB312" s="2">
        <f>COUNTIFS(集計用!$G310,"*, "&amp;AB$3&amp;", *")</f>
        <v>0</v>
      </c>
      <c r="AC312" s="2">
        <f>COUNTIFS(集計用!$G310,"*, "&amp;AC$3&amp;", *")</f>
        <v>0</v>
      </c>
      <c r="AD312" s="2">
        <f>COUNTIFS(集計用!$G310,"*, "&amp;AD$3&amp;", *")</f>
        <v>0</v>
      </c>
      <c r="AE312" s="2">
        <f>COUNTIFS(集計用!$G310,"*, "&amp;AE$3&amp;", *")</f>
        <v>0</v>
      </c>
      <c r="AF312" s="2">
        <f>COUNTIFS(集計用!$G310,"*, "&amp;AF$3&amp;", *")</f>
        <v>0</v>
      </c>
      <c r="AG312" s="2">
        <f>COUNTIFS(集計用!$G310,"*, "&amp;AG$3&amp;", *")</f>
        <v>0</v>
      </c>
      <c r="AH312" s="2">
        <f>COUNTIFS(集計用!$G310,"*, "&amp;AH$3&amp;", *")</f>
        <v>0</v>
      </c>
      <c r="AI312" s="2">
        <f>COUNTIFS(集計用!$G310,"*, "&amp;AI$3&amp;", *")</f>
        <v>0</v>
      </c>
      <c r="AJ312" s="2">
        <f>COUNTIFS(集計用!$G310,"*, "&amp;AJ$3&amp;", *")</f>
        <v>0</v>
      </c>
      <c r="AK312" s="2">
        <f>COUNTIFS(集計用!$G310,"*, "&amp;AK$3&amp;", *")</f>
        <v>0</v>
      </c>
      <c r="AL312" s="2">
        <f>COUNTIFS(集計用!$G310,"*, "&amp;AL$3&amp;", *")</f>
        <v>0</v>
      </c>
      <c r="AM312" s="2">
        <f>COUNTIFS(集計用!$G310,"*, "&amp;AM$3&amp;", *")</f>
        <v>0</v>
      </c>
      <c r="AN312" s="2">
        <f>COUNTIFS(集計用!$G310,"*, "&amp;AN$3&amp;", *")</f>
        <v>0</v>
      </c>
      <c r="AO312" s="2">
        <f>COUNTIFS(集計用!$G310,"*, "&amp;AO$3&amp;", *")</f>
        <v>0</v>
      </c>
      <c r="AP312" s="2">
        <f>COUNTIFS(集計用!$G310,"*, "&amp;AP$3&amp;", *")</f>
        <v>0</v>
      </c>
      <c r="AQ312" s="2">
        <f>COUNTIFS(集計用!$G310,"*, "&amp;AQ$3&amp;", *")</f>
        <v>0</v>
      </c>
      <c r="AR312" s="2">
        <f>COUNTIFS(集計用!$G310,"*, "&amp;AR$3&amp;", *")</f>
        <v>0</v>
      </c>
      <c r="AS312" s="2">
        <f>COUNTIFS(集計用!$G310,"*, "&amp;AS$3&amp;", *")</f>
        <v>0</v>
      </c>
      <c r="AT312" s="2">
        <f>COUNTIFS(集計用!$G310,"*, "&amp;AT$3&amp;", *")</f>
        <v>0</v>
      </c>
      <c r="AU312" s="2">
        <f>COUNTIFS(集計用!$G310,"*, "&amp;AU$3&amp;", *")</f>
        <v>0</v>
      </c>
      <c r="AV312" s="2">
        <f>COUNTIFS(集計用!$G310,"*, "&amp;AV$3&amp;", *")</f>
        <v>0</v>
      </c>
      <c r="AW312" s="2">
        <f>COUNTIFS(集計用!$G310,"*, "&amp;AW$3&amp;", *")</f>
        <v>0</v>
      </c>
      <c r="AX312" s="2">
        <f>COUNTIFS(集計用!$G310,"*, "&amp;AX$3&amp;", *")</f>
        <v>0</v>
      </c>
      <c r="AY312" s="2">
        <f>COUNTIFS(集計用!$G310,"*, "&amp;AY$3&amp;", *")</f>
        <v>0</v>
      </c>
      <c r="AZ312" s="2">
        <f>COUNTIFS(集計用!$G310,"*, "&amp;AZ$3&amp;", *")</f>
        <v>0</v>
      </c>
      <c r="BA312" s="2">
        <f>COUNTIFS(集計用!$G310,"*, "&amp;BA$3&amp;", *")</f>
        <v>0</v>
      </c>
      <c r="BB312" s="2">
        <f>COUNTIFS(集計用!$G310,"*, "&amp;BB$3&amp;", *")</f>
        <v>0</v>
      </c>
      <c r="BC312" s="2">
        <f>COUNTIFS(集計用!$G310,"*, "&amp;BC$3&amp;", *")</f>
        <v>0</v>
      </c>
      <c r="BD312" s="2">
        <f>COUNTIFS(集計用!$G310,"*, "&amp;BD$3&amp;", *")</f>
        <v>0</v>
      </c>
      <c r="BE312" s="2">
        <f>COUNTIFS(集計用!$G310,"*, "&amp;BE$3&amp;", *")</f>
        <v>0</v>
      </c>
      <c r="BF312" s="2">
        <f>COUNTIFS(集計用!$G310,"*, "&amp;BF$3&amp;", *")</f>
        <v>0</v>
      </c>
      <c r="BG312" s="2">
        <f>COUNTIFS(集計用!$G310,"*, "&amp;BG$3&amp;", *")</f>
        <v>0</v>
      </c>
      <c r="BH312" s="2">
        <f>COUNTIFS(集計用!$G310,"*, "&amp;BH$3&amp;", *")</f>
        <v>0</v>
      </c>
      <c r="BI312" s="2">
        <f>COUNTIFS(集計用!$G310,"*, "&amp;BI$3&amp;", *")</f>
        <v>0</v>
      </c>
      <c r="BJ312" s="2">
        <f>LEN(集計用!H310)-LEN(SUBSTITUTE(集計用!H310,",",""))</f>
        <v>1</v>
      </c>
    </row>
    <row r="313" spans="1:62" ht="12.75">
      <c r="A313" s="8">
        <v>310</v>
      </c>
      <c r="C313" s="2">
        <f t="shared" si="3"/>
        <v>5</v>
      </c>
      <c r="D313" s="9"/>
      <c r="E313" s="2">
        <f>COUNTIFS(集計用!$G311,"*, "&amp;E$3&amp;", *")</f>
        <v>1</v>
      </c>
      <c r="F313" s="2">
        <f>COUNTIFS(集計用!$G311,"*, "&amp;F$3&amp;", *")</f>
        <v>0</v>
      </c>
      <c r="G313" s="2">
        <f>COUNTIFS(集計用!$G311,"*, "&amp;G$3&amp;", *")</f>
        <v>1</v>
      </c>
      <c r="H313" s="2">
        <f>COUNTIFS(集計用!$G311,"*, "&amp;H$3&amp;", *")</f>
        <v>1</v>
      </c>
      <c r="I313" s="2">
        <f>COUNTIFS(集計用!$G311,"*, "&amp;I$3&amp;", *")</f>
        <v>0</v>
      </c>
      <c r="J313" s="2">
        <f>COUNTIFS(集計用!$G311,"*, "&amp;J$3&amp;", *")</f>
        <v>0</v>
      </c>
      <c r="K313" s="2">
        <f>COUNTIFS(集計用!$G311,"*, "&amp;K$3&amp;", *")</f>
        <v>0</v>
      </c>
      <c r="L313" s="2">
        <f>COUNTIFS(集計用!$G311,"*, "&amp;L$3&amp;", *")</f>
        <v>0</v>
      </c>
      <c r="M313" s="2">
        <f>COUNTIFS(集計用!$G311,"*, "&amp;M$3&amp;", *")</f>
        <v>0</v>
      </c>
      <c r="N313" s="2">
        <f>COUNTIFS(集計用!$G311,"*, "&amp;N$3&amp;", *")</f>
        <v>1</v>
      </c>
      <c r="O313" s="2">
        <f>COUNTIFS(集計用!$G311,"*, "&amp;O$3&amp;", *")</f>
        <v>0</v>
      </c>
      <c r="P313" s="2">
        <f>COUNTIFS(集計用!$G311,"*, "&amp;P$3&amp;", *")</f>
        <v>0</v>
      </c>
      <c r="Q313" s="2">
        <f>COUNTIFS(集計用!$G311,"*, "&amp;Q$3&amp;", *")</f>
        <v>0</v>
      </c>
      <c r="R313" s="2">
        <f>COUNTIFS(集計用!$G311,"*, "&amp;R$3&amp;", *")</f>
        <v>0</v>
      </c>
      <c r="S313" s="2">
        <f>COUNTIFS(集計用!$G311,"*, "&amp;S$3&amp;", *")</f>
        <v>0</v>
      </c>
      <c r="T313" s="2">
        <f>COUNTIFS(集計用!$G311,"*, "&amp;T$3&amp;", *")</f>
        <v>0</v>
      </c>
      <c r="U313" s="2">
        <f>COUNTIFS(集計用!$G311,"*, "&amp;U$3&amp;", *")</f>
        <v>0</v>
      </c>
      <c r="V313" s="2">
        <f>COUNTIFS(集計用!$G311,"*, "&amp;V$3&amp;", *")</f>
        <v>0</v>
      </c>
      <c r="W313" s="2">
        <f>COUNTIFS(集計用!$G311,"*, "&amp;W$3&amp;", *")</f>
        <v>0</v>
      </c>
      <c r="X313" s="2">
        <f>COUNTIFS(集計用!$G311,"*, "&amp;X$3&amp;", *")</f>
        <v>0</v>
      </c>
      <c r="Y313" s="2">
        <f>COUNTIFS(集計用!$G311,"*, "&amp;Y$3&amp;", *")</f>
        <v>1</v>
      </c>
      <c r="Z313" s="2">
        <f>COUNTIFS(集計用!$G311,"*, "&amp;Z$3&amp;", *")</f>
        <v>0</v>
      </c>
      <c r="AA313" s="2">
        <f>COUNTIFS(集計用!$G311,"*, "&amp;AA$3&amp;", *")</f>
        <v>0</v>
      </c>
      <c r="AB313" s="2">
        <f>COUNTIFS(集計用!$G311,"*, "&amp;AB$3&amp;", *")</f>
        <v>0</v>
      </c>
      <c r="AC313" s="2">
        <f>COUNTIFS(集計用!$G311,"*, "&amp;AC$3&amp;", *")</f>
        <v>0</v>
      </c>
      <c r="AD313" s="2">
        <f>COUNTIFS(集計用!$G311,"*, "&amp;AD$3&amp;", *")</f>
        <v>0</v>
      </c>
      <c r="AE313" s="2">
        <f>COUNTIFS(集計用!$G311,"*, "&amp;AE$3&amp;", *")</f>
        <v>0</v>
      </c>
      <c r="AF313" s="2">
        <f>COUNTIFS(集計用!$G311,"*, "&amp;AF$3&amp;", *")</f>
        <v>0</v>
      </c>
      <c r="AG313" s="2">
        <f>COUNTIFS(集計用!$G311,"*, "&amp;AG$3&amp;", *")</f>
        <v>0</v>
      </c>
      <c r="AH313" s="2">
        <f>COUNTIFS(集計用!$G311,"*, "&amp;AH$3&amp;", *")</f>
        <v>0</v>
      </c>
      <c r="AI313" s="2">
        <f>COUNTIFS(集計用!$G311,"*, "&amp;AI$3&amp;", *")</f>
        <v>0</v>
      </c>
      <c r="AJ313" s="2">
        <f>COUNTIFS(集計用!$G311,"*, "&amp;AJ$3&amp;", *")</f>
        <v>0</v>
      </c>
      <c r="AK313" s="2">
        <f>COUNTIFS(集計用!$G311,"*, "&amp;AK$3&amp;", *")</f>
        <v>0</v>
      </c>
      <c r="AL313" s="2">
        <f>COUNTIFS(集計用!$G311,"*, "&amp;AL$3&amp;", *")</f>
        <v>0</v>
      </c>
      <c r="AM313" s="2">
        <f>COUNTIFS(集計用!$G311,"*, "&amp;AM$3&amp;", *")</f>
        <v>0</v>
      </c>
      <c r="AN313" s="2">
        <f>COUNTIFS(集計用!$G311,"*, "&amp;AN$3&amp;", *")</f>
        <v>0</v>
      </c>
      <c r="AO313" s="2">
        <f>COUNTIFS(集計用!$G311,"*, "&amp;AO$3&amp;", *")</f>
        <v>0</v>
      </c>
      <c r="AP313" s="2">
        <f>COUNTIFS(集計用!$G311,"*, "&amp;AP$3&amp;", *")</f>
        <v>0</v>
      </c>
      <c r="AQ313" s="2">
        <f>COUNTIFS(集計用!$G311,"*, "&amp;AQ$3&amp;", *")</f>
        <v>0</v>
      </c>
      <c r="AR313" s="2">
        <f>COUNTIFS(集計用!$G311,"*, "&amp;AR$3&amp;", *")</f>
        <v>0</v>
      </c>
      <c r="AS313" s="2">
        <f>COUNTIFS(集計用!$G311,"*, "&amp;AS$3&amp;", *")</f>
        <v>0</v>
      </c>
      <c r="AT313" s="2">
        <f>COUNTIFS(集計用!$G311,"*, "&amp;AT$3&amp;", *")</f>
        <v>0</v>
      </c>
      <c r="AU313" s="2">
        <f>COUNTIFS(集計用!$G311,"*, "&amp;AU$3&amp;", *")</f>
        <v>0</v>
      </c>
      <c r="AV313" s="2">
        <f>COUNTIFS(集計用!$G311,"*, "&amp;AV$3&amp;", *")</f>
        <v>0</v>
      </c>
      <c r="AW313" s="2">
        <f>COUNTIFS(集計用!$G311,"*, "&amp;AW$3&amp;", *")</f>
        <v>0</v>
      </c>
      <c r="AX313" s="2">
        <f>COUNTIFS(集計用!$G311,"*, "&amp;AX$3&amp;", *")</f>
        <v>0</v>
      </c>
      <c r="AY313" s="2">
        <f>COUNTIFS(集計用!$G311,"*, "&amp;AY$3&amp;", *")</f>
        <v>0</v>
      </c>
      <c r="AZ313" s="2">
        <f>COUNTIFS(集計用!$G311,"*, "&amp;AZ$3&amp;", *")</f>
        <v>0</v>
      </c>
      <c r="BA313" s="2">
        <f>COUNTIFS(集計用!$G311,"*, "&amp;BA$3&amp;", *")</f>
        <v>0</v>
      </c>
      <c r="BB313" s="2">
        <f>COUNTIFS(集計用!$G311,"*, "&amp;BB$3&amp;", *")</f>
        <v>0</v>
      </c>
      <c r="BC313" s="2">
        <f>COUNTIFS(集計用!$G311,"*, "&amp;BC$3&amp;", *")</f>
        <v>0</v>
      </c>
      <c r="BD313" s="2">
        <f>COUNTIFS(集計用!$G311,"*, "&amp;BD$3&amp;", *")</f>
        <v>0</v>
      </c>
      <c r="BE313" s="2">
        <f>COUNTIFS(集計用!$G311,"*, "&amp;BE$3&amp;", *")</f>
        <v>0</v>
      </c>
      <c r="BF313" s="2">
        <f>COUNTIFS(集計用!$G311,"*, "&amp;BF$3&amp;", *")</f>
        <v>0</v>
      </c>
      <c r="BG313" s="2">
        <f>COUNTIFS(集計用!$G311,"*, "&amp;BG$3&amp;", *")</f>
        <v>0</v>
      </c>
      <c r="BH313" s="2">
        <f>COUNTIFS(集計用!$G311,"*, "&amp;BH$3&amp;", *")</f>
        <v>0</v>
      </c>
      <c r="BI313" s="2">
        <f>COUNTIFS(集計用!$G311,"*, "&amp;BI$3&amp;", *")</f>
        <v>0</v>
      </c>
      <c r="BJ313" s="2">
        <f>LEN(集計用!H311)-LEN(SUBSTITUTE(集計用!H311,",",""))</f>
        <v>0</v>
      </c>
    </row>
    <row r="314" spans="1:62" ht="12.75">
      <c r="A314" s="8">
        <v>311</v>
      </c>
      <c r="C314" s="2">
        <f t="shared" si="3"/>
        <v>1</v>
      </c>
      <c r="D314" s="9"/>
      <c r="E314" s="2">
        <f>COUNTIFS(集計用!$G312,"*, "&amp;E$3&amp;", *")</f>
        <v>1</v>
      </c>
      <c r="F314" s="2">
        <f>COUNTIFS(集計用!$G312,"*, "&amp;F$3&amp;", *")</f>
        <v>0</v>
      </c>
      <c r="G314" s="2">
        <f>COUNTIFS(集計用!$G312,"*, "&amp;G$3&amp;", *")</f>
        <v>0</v>
      </c>
      <c r="H314" s="2">
        <f>COUNTIFS(集計用!$G312,"*, "&amp;H$3&amp;", *")</f>
        <v>0</v>
      </c>
      <c r="I314" s="2">
        <f>COUNTIFS(集計用!$G312,"*, "&amp;I$3&amp;", *")</f>
        <v>0</v>
      </c>
      <c r="J314" s="2">
        <f>COUNTIFS(集計用!$G312,"*, "&amp;J$3&amp;", *")</f>
        <v>0</v>
      </c>
      <c r="K314" s="2">
        <f>COUNTIFS(集計用!$G312,"*, "&amp;K$3&amp;", *")</f>
        <v>0</v>
      </c>
      <c r="L314" s="2">
        <f>COUNTIFS(集計用!$G312,"*, "&amp;L$3&amp;", *")</f>
        <v>0</v>
      </c>
      <c r="M314" s="2">
        <f>COUNTIFS(集計用!$G312,"*, "&amp;M$3&amp;", *")</f>
        <v>0</v>
      </c>
      <c r="N314" s="2">
        <f>COUNTIFS(集計用!$G312,"*, "&amp;N$3&amp;", *")</f>
        <v>0</v>
      </c>
      <c r="O314" s="2">
        <f>COUNTIFS(集計用!$G312,"*, "&amp;O$3&amp;", *")</f>
        <v>0</v>
      </c>
      <c r="P314" s="2">
        <f>COUNTIFS(集計用!$G312,"*, "&amp;P$3&amp;", *")</f>
        <v>0</v>
      </c>
      <c r="Q314" s="2">
        <f>COUNTIFS(集計用!$G312,"*, "&amp;Q$3&amp;", *")</f>
        <v>0</v>
      </c>
      <c r="R314" s="2">
        <f>COUNTIFS(集計用!$G312,"*, "&amp;R$3&amp;", *")</f>
        <v>0</v>
      </c>
      <c r="S314" s="2">
        <f>COUNTIFS(集計用!$G312,"*, "&amp;S$3&amp;", *")</f>
        <v>0</v>
      </c>
      <c r="T314" s="2">
        <f>COUNTIFS(集計用!$G312,"*, "&amp;T$3&amp;", *")</f>
        <v>0</v>
      </c>
      <c r="U314" s="2">
        <f>COUNTIFS(集計用!$G312,"*, "&amp;U$3&amp;", *")</f>
        <v>0</v>
      </c>
      <c r="V314" s="2">
        <f>COUNTIFS(集計用!$G312,"*, "&amp;V$3&amp;", *")</f>
        <v>0</v>
      </c>
      <c r="W314" s="2">
        <f>COUNTIFS(集計用!$G312,"*, "&amp;W$3&amp;", *")</f>
        <v>0</v>
      </c>
      <c r="X314" s="2">
        <f>COUNTIFS(集計用!$G312,"*, "&amp;X$3&amp;", *")</f>
        <v>0</v>
      </c>
      <c r="Y314" s="2">
        <f>COUNTIFS(集計用!$G312,"*, "&amp;Y$3&amp;", *")</f>
        <v>0</v>
      </c>
      <c r="Z314" s="2">
        <f>COUNTIFS(集計用!$G312,"*, "&amp;Z$3&amp;", *")</f>
        <v>0</v>
      </c>
      <c r="AA314" s="2">
        <f>COUNTIFS(集計用!$G312,"*, "&amp;AA$3&amp;", *")</f>
        <v>0</v>
      </c>
      <c r="AB314" s="2">
        <f>COUNTIFS(集計用!$G312,"*, "&amp;AB$3&amp;", *")</f>
        <v>0</v>
      </c>
      <c r="AC314" s="2">
        <f>COUNTIFS(集計用!$G312,"*, "&amp;AC$3&amp;", *")</f>
        <v>0</v>
      </c>
      <c r="AD314" s="2">
        <f>COUNTIFS(集計用!$G312,"*, "&amp;AD$3&amp;", *")</f>
        <v>0</v>
      </c>
      <c r="AE314" s="2">
        <f>COUNTIFS(集計用!$G312,"*, "&amp;AE$3&amp;", *")</f>
        <v>0</v>
      </c>
      <c r="AF314" s="2">
        <f>COUNTIFS(集計用!$G312,"*, "&amp;AF$3&amp;", *")</f>
        <v>0</v>
      </c>
      <c r="AG314" s="2">
        <f>COUNTIFS(集計用!$G312,"*, "&amp;AG$3&amp;", *")</f>
        <v>0</v>
      </c>
      <c r="AH314" s="2">
        <f>COUNTIFS(集計用!$G312,"*, "&amp;AH$3&amp;", *")</f>
        <v>0</v>
      </c>
      <c r="AI314" s="2">
        <f>COUNTIFS(集計用!$G312,"*, "&amp;AI$3&amp;", *")</f>
        <v>0</v>
      </c>
      <c r="AJ314" s="2">
        <f>COUNTIFS(集計用!$G312,"*, "&amp;AJ$3&amp;", *")</f>
        <v>0</v>
      </c>
      <c r="AK314" s="2">
        <f>COUNTIFS(集計用!$G312,"*, "&amp;AK$3&amp;", *")</f>
        <v>0</v>
      </c>
      <c r="AL314" s="2">
        <f>COUNTIFS(集計用!$G312,"*, "&amp;AL$3&amp;", *")</f>
        <v>0</v>
      </c>
      <c r="AM314" s="2">
        <f>COUNTIFS(集計用!$G312,"*, "&amp;AM$3&amp;", *")</f>
        <v>0</v>
      </c>
      <c r="AN314" s="2">
        <f>COUNTIFS(集計用!$G312,"*, "&amp;AN$3&amp;", *")</f>
        <v>0</v>
      </c>
      <c r="AO314" s="2">
        <f>COUNTIFS(集計用!$G312,"*, "&amp;AO$3&amp;", *")</f>
        <v>0</v>
      </c>
      <c r="AP314" s="2">
        <f>COUNTIFS(集計用!$G312,"*, "&amp;AP$3&amp;", *")</f>
        <v>0</v>
      </c>
      <c r="AQ314" s="2">
        <f>COUNTIFS(集計用!$G312,"*, "&amp;AQ$3&amp;", *")</f>
        <v>0</v>
      </c>
      <c r="AR314" s="2">
        <f>COUNTIFS(集計用!$G312,"*, "&amp;AR$3&amp;", *")</f>
        <v>0</v>
      </c>
      <c r="AS314" s="2">
        <f>COUNTIFS(集計用!$G312,"*, "&amp;AS$3&amp;", *")</f>
        <v>0</v>
      </c>
      <c r="AT314" s="2">
        <f>COUNTIFS(集計用!$G312,"*, "&amp;AT$3&amp;", *")</f>
        <v>0</v>
      </c>
      <c r="AU314" s="2">
        <f>COUNTIFS(集計用!$G312,"*, "&amp;AU$3&amp;", *")</f>
        <v>0</v>
      </c>
      <c r="AV314" s="2">
        <f>COUNTIFS(集計用!$G312,"*, "&amp;AV$3&amp;", *")</f>
        <v>0</v>
      </c>
      <c r="AW314" s="2">
        <f>COUNTIFS(集計用!$G312,"*, "&amp;AW$3&amp;", *")</f>
        <v>0</v>
      </c>
      <c r="AX314" s="2">
        <f>COUNTIFS(集計用!$G312,"*, "&amp;AX$3&amp;", *")</f>
        <v>0</v>
      </c>
      <c r="AY314" s="2">
        <f>COUNTIFS(集計用!$G312,"*, "&amp;AY$3&amp;", *")</f>
        <v>0</v>
      </c>
      <c r="AZ314" s="2">
        <f>COUNTIFS(集計用!$G312,"*, "&amp;AZ$3&amp;", *")</f>
        <v>0</v>
      </c>
      <c r="BA314" s="2">
        <f>COUNTIFS(集計用!$G312,"*, "&amp;BA$3&amp;", *")</f>
        <v>0</v>
      </c>
      <c r="BB314" s="2">
        <f>COUNTIFS(集計用!$G312,"*, "&amp;BB$3&amp;", *")</f>
        <v>0</v>
      </c>
      <c r="BC314" s="2">
        <f>COUNTIFS(集計用!$G312,"*, "&amp;BC$3&amp;", *")</f>
        <v>0</v>
      </c>
      <c r="BD314" s="2">
        <f>COUNTIFS(集計用!$G312,"*, "&amp;BD$3&amp;", *")</f>
        <v>0</v>
      </c>
      <c r="BE314" s="2">
        <f>COUNTIFS(集計用!$G312,"*, "&amp;BE$3&amp;", *")</f>
        <v>0</v>
      </c>
      <c r="BF314" s="2">
        <f>COUNTIFS(集計用!$G312,"*, "&amp;BF$3&amp;", *")</f>
        <v>0</v>
      </c>
      <c r="BG314" s="2">
        <f>COUNTIFS(集計用!$G312,"*, "&amp;BG$3&amp;", *")</f>
        <v>0</v>
      </c>
      <c r="BH314" s="2">
        <f>COUNTIFS(集計用!$G312,"*, "&amp;BH$3&amp;", *")</f>
        <v>0</v>
      </c>
      <c r="BI314" s="2">
        <f>COUNTIFS(集計用!$G312,"*, "&amp;BI$3&amp;", *")</f>
        <v>0</v>
      </c>
      <c r="BJ314" s="2">
        <f>LEN(集計用!H312)-LEN(SUBSTITUTE(集計用!H312,",",""))</f>
        <v>0</v>
      </c>
    </row>
    <row r="315" spans="1:62" ht="12.75">
      <c r="A315" s="8">
        <v>312</v>
      </c>
      <c r="C315" s="2">
        <f t="shared" si="3"/>
        <v>5</v>
      </c>
      <c r="D315" s="9"/>
      <c r="E315" s="2">
        <f>COUNTIFS(集計用!$G313,"*, "&amp;E$3&amp;", *")</f>
        <v>1</v>
      </c>
      <c r="F315" s="2">
        <f>COUNTIFS(集計用!$G313,"*, "&amp;F$3&amp;", *")</f>
        <v>1</v>
      </c>
      <c r="G315" s="2">
        <f>COUNTIFS(集計用!$G313,"*, "&amp;G$3&amp;", *")</f>
        <v>0</v>
      </c>
      <c r="H315" s="2">
        <f>COUNTIFS(集計用!$G313,"*, "&amp;H$3&amp;", *")</f>
        <v>1</v>
      </c>
      <c r="I315" s="2">
        <f>COUNTIFS(集計用!$G313,"*, "&amp;I$3&amp;", *")</f>
        <v>0</v>
      </c>
      <c r="J315" s="2">
        <f>COUNTIFS(集計用!$G313,"*, "&amp;J$3&amp;", *")</f>
        <v>0</v>
      </c>
      <c r="K315" s="2">
        <f>COUNTIFS(集計用!$G313,"*, "&amp;K$3&amp;", *")</f>
        <v>0</v>
      </c>
      <c r="L315" s="2">
        <f>COUNTIFS(集計用!$G313,"*, "&amp;L$3&amp;", *")</f>
        <v>0</v>
      </c>
      <c r="M315" s="2">
        <f>COUNTIFS(集計用!$G313,"*, "&amp;M$3&amp;", *")</f>
        <v>0</v>
      </c>
      <c r="N315" s="2">
        <f>COUNTIFS(集計用!$G313,"*, "&amp;N$3&amp;", *")</f>
        <v>0</v>
      </c>
      <c r="O315" s="2">
        <f>COUNTIFS(集計用!$G313,"*, "&amp;O$3&amp;", *")</f>
        <v>0</v>
      </c>
      <c r="P315" s="2">
        <f>COUNTIFS(集計用!$G313,"*, "&amp;P$3&amp;", *")</f>
        <v>0</v>
      </c>
      <c r="Q315" s="2">
        <f>COUNTIFS(集計用!$G313,"*, "&amp;Q$3&amp;", *")</f>
        <v>0</v>
      </c>
      <c r="R315" s="2">
        <f>COUNTIFS(集計用!$G313,"*, "&amp;R$3&amp;", *")</f>
        <v>0</v>
      </c>
      <c r="S315" s="2">
        <f>COUNTIFS(集計用!$G313,"*, "&amp;S$3&amp;", *")</f>
        <v>0</v>
      </c>
      <c r="T315" s="2">
        <f>COUNTIFS(集計用!$G313,"*, "&amp;T$3&amp;", *")</f>
        <v>1</v>
      </c>
      <c r="U315" s="2">
        <f>COUNTIFS(集計用!$G313,"*, "&amp;U$3&amp;", *")</f>
        <v>0</v>
      </c>
      <c r="V315" s="2">
        <f>COUNTIFS(集計用!$G313,"*, "&amp;V$3&amp;", *")</f>
        <v>0</v>
      </c>
      <c r="W315" s="2">
        <f>COUNTIFS(集計用!$G313,"*, "&amp;W$3&amp;", *")</f>
        <v>1</v>
      </c>
      <c r="X315" s="2">
        <f>COUNTIFS(集計用!$G313,"*, "&amp;X$3&amp;", *")</f>
        <v>0</v>
      </c>
      <c r="Y315" s="2">
        <f>COUNTIFS(集計用!$G313,"*, "&amp;Y$3&amp;", *")</f>
        <v>0</v>
      </c>
      <c r="Z315" s="2">
        <f>COUNTIFS(集計用!$G313,"*, "&amp;Z$3&amp;", *")</f>
        <v>0</v>
      </c>
      <c r="AA315" s="2">
        <f>COUNTIFS(集計用!$G313,"*, "&amp;AA$3&amp;", *")</f>
        <v>0</v>
      </c>
      <c r="AB315" s="2">
        <f>COUNTIFS(集計用!$G313,"*, "&amp;AB$3&amp;", *")</f>
        <v>0</v>
      </c>
      <c r="AC315" s="2">
        <f>COUNTIFS(集計用!$G313,"*, "&amp;AC$3&amp;", *")</f>
        <v>0</v>
      </c>
      <c r="AD315" s="2">
        <f>COUNTIFS(集計用!$G313,"*, "&amp;AD$3&amp;", *")</f>
        <v>0</v>
      </c>
      <c r="AE315" s="2">
        <f>COUNTIFS(集計用!$G313,"*, "&amp;AE$3&amp;", *")</f>
        <v>0</v>
      </c>
      <c r="AF315" s="2">
        <f>COUNTIFS(集計用!$G313,"*, "&amp;AF$3&amp;", *")</f>
        <v>0</v>
      </c>
      <c r="AG315" s="2">
        <f>COUNTIFS(集計用!$G313,"*, "&amp;AG$3&amp;", *")</f>
        <v>0</v>
      </c>
      <c r="AH315" s="2">
        <f>COUNTIFS(集計用!$G313,"*, "&amp;AH$3&amp;", *")</f>
        <v>0</v>
      </c>
      <c r="AI315" s="2">
        <f>COUNTIFS(集計用!$G313,"*, "&amp;AI$3&amp;", *")</f>
        <v>0</v>
      </c>
      <c r="AJ315" s="2">
        <f>COUNTIFS(集計用!$G313,"*, "&amp;AJ$3&amp;", *")</f>
        <v>0</v>
      </c>
      <c r="AK315" s="2">
        <f>COUNTIFS(集計用!$G313,"*, "&amp;AK$3&amp;", *")</f>
        <v>0</v>
      </c>
      <c r="AL315" s="2">
        <f>COUNTIFS(集計用!$G313,"*, "&amp;AL$3&amp;", *")</f>
        <v>0</v>
      </c>
      <c r="AM315" s="2">
        <f>COUNTIFS(集計用!$G313,"*, "&amp;AM$3&amp;", *")</f>
        <v>0</v>
      </c>
      <c r="AN315" s="2">
        <f>COUNTIFS(集計用!$G313,"*, "&amp;AN$3&amp;", *")</f>
        <v>0</v>
      </c>
      <c r="AO315" s="2">
        <f>COUNTIFS(集計用!$G313,"*, "&amp;AO$3&amp;", *")</f>
        <v>0</v>
      </c>
      <c r="AP315" s="2">
        <f>COUNTIFS(集計用!$G313,"*, "&amp;AP$3&amp;", *")</f>
        <v>0</v>
      </c>
      <c r="AQ315" s="2">
        <f>COUNTIFS(集計用!$G313,"*, "&amp;AQ$3&amp;", *")</f>
        <v>0</v>
      </c>
      <c r="AR315" s="2">
        <f>COUNTIFS(集計用!$G313,"*, "&amp;AR$3&amp;", *")</f>
        <v>0</v>
      </c>
      <c r="AS315" s="2">
        <f>COUNTIFS(集計用!$G313,"*, "&amp;AS$3&amp;", *")</f>
        <v>0</v>
      </c>
      <c r="AT315" s="2">
        <f>COUNTIFS(集計用!$G313,"*, "&amp;AT$3&amp;", *")</f>
        <v>0</v>
      </c>
      <c r="AU315" s="2">
        <f>COUNTIFS(集計用!$G313,"*, "&amp;AU$3&amp;", *")</f>
        <v>0</v>
      </c>
      <c r="AV315" s="2">
        <f>COUNTIFS(集計用!$G313,"*, "&amp;AV$3&amp;", *")</f>
        <v>0</v>
      </c>
      <c r="AW315" s="2">
        <f>COUNTIFS(集計用!$G313,"*, "&amp;AW$3&amp;", *")</f>
        <v>0</v>
      </c>
      <c r="AX315" s="2">
        <f>COUNTIFS(集計用!$G313,"*, "&amp;AX$3&amp;", *")</f>
        <v>0</v>
      </c>
      <c r="AY315" s="2">
        <f>COUNTIFS(集計用!$G313,"*, "&amp;AY$3&amp;", *")</f>
        <v>0</v>
      </c>
      <c r="AZ315" s="2">
        <f>COUNTIFS(集計用!$G313,"*, "&amp;AZ$3&amp;", *")</f>
        <v>0</v>
      </c>
      <c r="BA315" s="2">
        <f>COUNTIFS(集計用!$G313,"*, "&amp;BA$3&amp;", *")</f>
        <v>0</v>
      </c>
      <c r="BB315" s="2">
        <f>COUNTIFS(集計用!$G313,"*, "&amp;BB$3&amp;", *")</f>
        <v>0</v>
      </c>
      <c r="BC315" s="2">
        <f>COUNTIFS(集計用!$G313,"*, "&amp;BC$3&amp;", *")</f>
        <v>0</v>
      </c>
      <c r="BD315" s="2">
        <f>COUNTIFS(集計用!$G313,"*, "&amp;BD$3&amp;", *")</f>
        <v>0</v>
      </c>
      <c r="BE315" s="2">
        <f>COUNTIFS(集計用!$G313,"*, "&amp;BE$3&amp;", *")</f>
        <v>0</v>
      </c>
      <c r="BF315" s="2">
        <f>COUNTIFS(集計用!$G313,"*, "&amp;BF$3&amp;", *")</f>
        <v>0</v>
      </c>
      <c r="BG315" s="2">
        <f>COUNTIFS(集計用!$G313,"*, "&amp;BG$3&amp;", *")</f>
        <v>0</v>
      </c>
      <c r="BH315" s="2">
        <f>COUNTIFS(集計用!$G313,"*, "&amp;BH$3&amp;", *")</f>
        <v>0</v>
      </c>
      <c r="BI315" s="2">
        <f>COUNTIFS(集計用!$G313,"*, "&amp;BI$3&amp;", *")</f>
        <v>0</v>
      </c>
      <c r="BJ315" s="2">
        <f>LEN(集計用!H313)-LEN(SUBSTITUTE(集計用!H313,",",""))</f>
        <v>0</v>
      </c>
    </row>
    <row r="316" spans="1:62" ht="12.75">
      <c r="A316" s="8">
        <v>313</v>
      </c>
      <c r="C316" s="2">
        <f t="shared" si="3"/>
        <v>8</v>
      </c>
      <c r="D316" s="9"/>
      <c r="E316" s="2">
        <f>COUNTIFS(集計用!$G314,"*, "&amp;E$3&amp;", *")</f>
        <v>0</v>
      </c>
      <c r="F316" s="2">
        <f>COUNTIFS(集計用!$G314,"*, "&amp;F$3&amp;", *")</f>
        <v>1</v>
      </c>
      <c r="G316" s="2">
        <f>COUNTIFS(集計用!$G314,"*, "&amp;G$3&amp;", *")</f>
        <v>1</v>
      </c>
      <c r="H316" s="2">
        <f>COUNTIFS(集計用!$G314,"*, "&amp;H$3&amp;", *")</f>
        <v>0</v>
      </c>
      <c r="I316" s="2">
        <f>COUNTIFS(集計用!$G314,"*, "&amp;I$3&amp;", *")</f>
        <v>1</v>
      </c>
      <c r="J316" s="2">
        <f>COUNTIFS(集計用!$G314,"*, "&amp;J$3&amp;", *")</f>
        <v>0</v>
      </c>
      <c r="K316" s="2">
        <f>COUNTIFS(集計用!$G314,"*, "&amp;K$3&amp;", *")</f>
        <v>0</v>
      </c>
      <c r="L316" s="2">
        <f>COUNTIFS(集計用!$G314,"*, "&amp;L$3&amp;", *")</f>
        <v>0</v>
      </c>
      <c r="M316" s="2">
        <f>COUNTIFS(集計用!$G314,"*, "&amp;M$3&amp;", *")</f>
        <v>0</v>
      </c>
      <c r="N316" s="2">
        <f>COUNTIFS(集計用!$G314,"*, "&amp;N$3&amp;", *")</f>
        <v>1</v>
      </c>
      <c r="O316" s="2">
        <f>COUNTIFS(集計用!$G314,"*, "&amp;O$3&amp;", *")</f>
        <v>0</v>
      </c>
      <c r="P316" s="2">
        <f>COUNTIFS(集計用!$G314,"*, "&amp;P$3&amp;", *")</f>
        <v>1</v>
      </c>
      <c r="Q316" s="2">
        <f>COUNTIFS(集計用!$G314,"*, "&amp;Q$3&amp;", *")</f>
        <v>1</v>
      </c>
      <c r="R316" s="2">
        <f>COUNTIFS(集計用!$G314,"*, "&amp;R$3&amp;", *")</f>
        <v>1</v>
      </c>
      <c r="S316" s="2">
        <f>COUNTIFS(集計用!$G314,"*, "&amp;S$3&amp;", *")</f>
        <v>0</v>
      </c>
      <c r="T316" s="2">
        <f>COUNTIFS(集計用!$G314,"*, "&amp;T$3&amp;", *")</f>
        <v>0</v>
      </c>
      <c r="U316" s="2">
        <f>COUNTIFS(集計用!$G314,"*, "&amp;U$3&amp;", *")</f>
        <v>0</v>
      </c>
      <c r="V316" s="2">
        <f>COUNTIFS(集計用!$G314,"*, "&amp;V$3&amp;", *")</f>
        <v>0</v>
      </c>
      <c r="W316" s="2">
        <f>COUNTIFS(集計用!$G314,"*, "&amp;W$3&amp;", *")</f>
        <v>0</v>
      </c>
      <c r="X316" s="2">
        <f>COUNTIFS(集計用!$G314,"*, "&amp;X$3&amp;", *")</f>
        <v>1</v>
      </c>
      <c r="Y316" s="2">
        <f>COUNTIFS(集計用!$G314,"*, "&amp;Y$3&amp;", *")</f>
        <v>0</v>
      </c>
      <c r="Z316" s="2">
        <f>COUNTIFS(集計用!$G314,"*, "&amp;Z$3&amp;", *")</f>
        <v>0</v>
      </c>
      <c r="AA316" s="2">
        <f>COUNTIFS(集計用!$G314,"*, "&amp;AA$3&amp;", *")</f>
        <v>0</v>
      </c>
      <c r="AB316" s="2">
        <f>COUNTIFS(集計用!$G314,"*, "&amp;AB$3&amp;", *")</f>
        <v>0</v>
      </c>
      <c r="AC316" s="2">
        <f>COUNTIFS(集計用!$G314,"*, "&amp;AC$3&amp;", *")</f>
        <v>0</v>
      </c>
      <c r="AD316" s="2">
        <f>COUNTIFS(集計用!$G314,"*, "&amp;AD$3&amp;", *")</f>
        <v>0</v>
      </c>
      <c r="AE316" s="2">
        <f>COUNTIFS(集計用!$G314,"*, "&amp;AE$3&amp;", *")</f>
        <v>0</v>
      </c>
      <c r="AF316" s="2">
        <f>COUNTIFS(集計用!$G314,"*, "&amp;AF$3&amp;", *")</f>
        <v>0</v>
      </c>
      <c r="AG316" s="2">
        <f>COUNTIFS(集計用!$G314,"*, "&amp;AG$3&amp;", *")</f>
        <v>0</v>
      </c>
      <c r="AH316" s="2">
        <f>COUNTIFS(集計用!$G314,"*, "&amp;AH$3&amp;", *")</f>
        <v>0</v>
      </c>
      <c r="AI316" s="2">
        <f>COUNTIFS(集計用!$G314,"*, "&amp;AI$3&amp;", *")</f>
        <v>0</v>
      </c>
      <c r="AJ316" s="2">
        <f>COUNTIFS(集計用!$G314,"*, "&amp;AJ$3&amp;", *")</f>
        <v>0</v>
      </c>
      <c r="AK316" s="2">
        <f>COUNTIFS(集計用!$G314,"*, "&amp;AK$3&amp;", *")</f>
        <v>0</v>
      </c>
      <c r="AL316" s="2">
        <f>COUNTIFS(集計用!$G314,"*, "&amp;AL$3&amp;", *")</f>
        <v>0</v>
      </c>
      <c r="AM316" s="2">
        <f>COUNTIFS(集計用!$G314,"*, "&amp;AM$3&amp;", *")</f>
        <v>0</v>
      </c>
      <c r="AN316" s="2">
        <f>COUNTIFS(集計用!$G314,"*, "&amp;AN$3&amp;", *")</f>
        <v>0</v>
      </c>
      <c r="AO316" s="2">
        <f>COUNTIFS(集計用!$G314,"*, "&amp;AO$3&amp;", *")</f>
        <v>0</v>
      </c>
      <c r="AP316" s="2">
        <f>COUNTIFS(集計用!$G314,"*, "&amp;AP$3&amp;", *")</f>
        <v>0</v>
      </c>
      <c r="AQ316" s="2">
        <f>COUNTIFS(集計用!$G314,"*, "&amp;AQ$3&amp;", *")</f>
        <v>0</v>
      </c>
      <c r="AR316" s="2">
        <f>COUNTIFS(集計用!$G314,"*, "&amp;AR$3&amp;", *")</f>
        <v>0</v>
      </c>
      <c r="AS316" s="2">
        <f>COUNTIFS(集計用!$G314,"*, "&amp;AS$3&amp;", *")</f>
        <v>0</v>
      </c>
      <c r="AT316" s="2">
        <f>COUNTIFS(集計用!$G314,"*, "&amp;AT$3&amp;", *")</f>
        <v>0</v>
      </c>
      <c r="AU316" s="2">
        <f>COUNTIFS(集計用!$G314,"*, "&amp;AU$3&amp;", *")</f>
        <v>0</v>
      </c>
      <c r="AV316" s="2">
        <f>COUNTIFS(集計用!$G314,"*, "&amp;AV$3&amp;", *")</f>
        <v>0</v>
      </c>
      <c r="AW316" s="2">
        <f>COUNTIFS(集計用!$G314,"*, "&amp;AW$3&amp;", *")</f>
        <v>0</v>
      </c>
      <c r="AX316" s="2">
        <f>COUNTIFS(集計用!$G314,"*, "&amp;AX$3&amp;", *")</f>
        <v>0</v>
      </c>
      <c r="AY316" s="2">
        <f>COUNTIFS(集計用!$G314,"*, "&amp;AY$3&amp;", *")</f>
        <v>0</v>
      </c>
      <c r="AZ316" s="2">
        <f>COUNTIFS(集計用!$G314,"*, "&amp;AZ$3&amp;", *")</f>
        <v>0</v>
      </c>
      <c r="BA316" s="2">
        <f>COUNTIFS(集計用!$G314,"*, "&amp;BA$3&amp;", *")</f>
        <v>0</v>
      </c>
      <c r="BB316" s="2">
        <f>COUNTIFS(集計用!$G314,"*, "&amp;BB$3&amp;", *")</f>
        <v>0</v>
      </c>
      <c r="BC316" s="2">
        <f>COUNTIFS(集計用!$G314,"*, "&amp;BC$3&amp;", *")</f>
        <v>0</v>
      </c>
      <c r="BD316" s="2">
        <f>COUNTIFS(集計用!$G314,"*, "&amp;BD$3&amp;", *")</f>
        <v>0</v>
      </c>
      <c r="BE316" s="2">
        <f>COUNTIFS(集計用!$G314,"*, "&amp;BE$3&amp;", *")</f>
        <v>0</v>
      </c>
      <c r="BF316" s="2">
        <f>COUNTIFS(集計用!$G314,"*, "&amp;BF$3&amp;", *")</f>
        <v>0</v>
      </c>
      <c r="BG316" s="2">
        <f>COUNTIFS(集計用!$G314,"*, "&amp;BG$3&amp;", *")</f>
        <v>0</v>
      </c>
      <c r="BH316" s="2">
        <f>COUNTIFS(集計用!$G314,"*, "&amp;BH$3&amp;", *")</f>
        <v>0</v>
      </c>
      <c r="BI316" s="2">
        <f>COUNTIFS(集計用!$G314,"*, "&amp;BI$3&amp;", *")</f>
        <v>0</v>
      </c>
      <c r="BJ316" s="2">
        <f>LEN(集計用!H314)-LEN(SUBSTITUTE(集計用!H314,",",""))</f>
        <v>0</v>
      </c>
    </row>
    <row r="317" spans="1:62" ht="12.75">
      <c r="A317" s="8">
        <v>314</v>
      </c>
      <c r="C317" s="2">
        <f t="shared" si="3"/>
        <v>12</v>
      </c>
      <c r="D317" s="9"/>
      <c r="E317" s="2">
        <f>COUNTIFS(集計用!$G315,"*, "&amp;E$3&amp;", *")</f>
        <v>1</v>
      </c>
      <c r="F317" s="2">
        <f>COUNTIFS(集計用!$G315,"*, "&amp;F$3&amp;", *")</f>
        <v>1</v>
      </c>
      <c r="G317" s="2">
        <f>COUNTIFS(集計用!$G315,"*, "&amp;G$3&amp;", *")</f>
        <v>0</v>
      </c>
      <c r="H317" s="2">
        <f>COUNTIFS(集計用!$G315,"*, "&amp;H$3&amp;", *")</f>
        <v>0</v>
      </c>
      <c r="I317" s="2">
        <f>COUNTIFS(集計用!$G315,"*, "&amp;I$3&amp;", *")</f>
        <v>1</v>
      </c>
      <c r="J317" s="2">
        <f>COUNTIFS(集計用!$G315,"*, "&amp;J$3&amp;", *")</f>
        <v>0</v>
      </c>
      <c r="K317" s="2">
        <f>COUNTIFS(集計用!$G315,"*, "&amp;K$3&amp;", *")</f>
        <v>1</v>
      </c>
      <c r="L317" s="2">
        <f>COUNTIFS(集計用!$G315,"*, "&amp;L$3&amp;", *")</f>
        <v>1</v>
      </c>
      <c r="M317" s="2">
        <f>COUNTIFS(集計用!$G315,"*, "&amp;M$3&amp;", *")</f>
        <v>1</v>
      </c>
      <c r="N317" s="2">
        <f>COUNTIFS(集計用!$G315,"*, "&amp;N$3&amp;", *")</f>
        <v>0</v>
      </c>
      <c r="O317" s="2">
        <f>COUNTIFS(集計用!$G315,"*, "&amp;O$3&amp;", *")</f>
        <v>1</v>
      </c>
      <c r="P317" s="2">
        <f>COUNTIFS(集計用!$G315,"*, "&amp;P$3&amp;", *")</f>
        <v>0</v>
      </c>
      <c r="Q317" s="2">
        <f>COUNTIFS(集計用!$G315,"*, "&amp;Q$3&amp;", *")</f>
        <v>0</v>
      </c>
      <c r="R317" s="2">
        <f>COUNTIFS(集計用!$G315,"*, "&amp;R$3&amp;", *")</f>
        <v>0</v>
      </c>
      <c r="S317" s="2">
        <f>COUNTIFS(集計用!$G315,"*, "&amp;S$3&amp;", *")</f>
        <v>0</v>
      </c>
      <c r="T317" s="2">
        <f>COUNTIFS(集計用!$G315,"*, "&amp;T$3&amp;", *")</f>
        <v>1</v>
      </c>
      <c r="U317" s="2">
        <f>COUNTIFS(集計用!$G315,"*, "&amp;U$3&amp;", *")</f>
        <v>1</v>
      </c>
      <c r="V317" s="2">
        <f>COUNTIFS(集計用!$G315,"*, "&amp;V$3&amp;", *")</f>
        <v>0</v>
      </c>
      <c r="W317" s="2">
        <f>COUNTIFS(集計用!$G315,"*, "&amp;W$3&amp;", *")</f>
        <v>1</v>
      </c>
      <c r="X317" s="2">
        <f>COUNTIFS(集計用!$G315,"*, "&amp;X$3&amp;", *")</f>
        <v>0</v>
      </c>
      <c r="Y317" s="2">
        <f>COUNTIFS(集計用!$G315,"*, "&amp;Y$3&amp;", *")</f>
        <v>0</v>
      </c>
      <c r="Z317" s="2">
        <f>COUNTIFS(集計用!$G315,"*, "&amp;Z$3&amp;", *")</f>
        <v>0</v>
      </c>
      <c r="AA317" s="2">
        <f>COUNTIFS(集計用!$G315,"*, "&amp;AA$3&amp;", *")</f>
        <v>0</v>
      </c>
      <c r="AB317" s="2">
        <f>COUNTIFS(集計用!$G315,"*, "&amp;AB$3&amp;", *")</f>
        <v>1</v>
      </c>
      <c r="AC317" s="2">
        <f>COUNTIFS(集計用!$G315,"*, "&amp;AC$3&amp;", *")</f>
        <v>0</v>
      </c>
      <c r="AD317" s="2">
        <f>COUNTIFS(集計用!$G315,"*, "&amp;AD$3&amp;", *")</f>
        <v>0</v>
      </c>
      <c r="AE317" s="2">
        <f>COUNTIFS(集計用!$G315,"*, "&amp;AE$3&amp;", *")</f>
        <v>0</v>
      </c>
      <c r="AF317" s="2">
        <f>COUNTIFS(集計用!$G315,"*, "&amp;AF$3&amp;", *")</f>
        <v>0</v>
      </c>
      <c r="AG317" s="2">
        <f>COUNTIFS(集計用!$G315,"*, "&amp;AG$3&amp;", *")</f>
        <v>0</v>
      </c>
      <c r="AH317" s="2">
        <f>COUNTIFS(集計用!$G315,"*, "&amp;AH$3&amp;", *")</f>
        <v>0</v>
      </c>
      <c r="AI317" s="2">
        <f>COUNTIFS(集計用!$G315,"*, "&amp;AI$3&amp;", *")</f>
        <v>0</v>
      </c>
      <c r="AJ317" s="2">
        <f>COUNTIFS(集計用!$G315,"*, "&amp;AJ$3&amp;", *")</f>
        <v>0</v>
      </c>
      <c r="AK317" s="2">
        <f>COUNTIFS(集計用!$G315,"*, "&amp;AK$3&amp;", *")</f>
        <v>0</v>
      </c>
      <c r="AL317" s="2">
        <f>COUNTIFS(集計用!$G315,"*, "&amp;AL$3&amp;", *")</f>
        <v>0</v>
      </c>
      <c r="AM317" s="2">
        <f>COUNTIFS(集計用!$G315,"*, "&amp;AM$3&amp;", *")</f>
        <v>0</v>
      </c>
      <c r="AN317" s="2">
        <f>COUNTIFS(集計用!$G315,"*, "&amp;AN$3&amp;", *")</f>
        <v>0</v>
      </c>
      <c r="AO317" s="2">
        <f>COUNTIFS(集計用!$G315,"*, "&amp;AO$3&amp;", *")</f>
        <v>0</v>
      </c>
      <c r="AP317" s="2">
        <f>COUNTIFS(集計用!$G315,"*, "&amp;AP$3&amp;", *")</f>
        <v>0</v>
      </c>
      <c r="AQ317" s="2">
        <f>COUNTIFS(集計用!$G315,"*, "&amp;AQ$3&amp;", *")</f>
        <v>0</v>
      </c>
      <c r="AR317" s="2">
        <f>COUNTIFS(集計用!$G315,"*, "&amp;AR$3&amp;", *")</f>
        <v>0</v>
      </c>
      <c r="AS317" s="2">
        <f>COUNTIFS(集計用!$G315,"*, "&amp;AS$3&amp;", *")</f>
        <v>0</v>
      </c>
      <c r="AT317" s="2">
        <f>COUNTIFS(集計用!$G315,"*, "&amp;AT$3&amp;", *")</f>
        <v>0</v>
      </c>
      <c r="AU317" s="2">
        <f>COUNTIFS(集計用!$G315,"*, "&amp;AU$3&amp;", *")</f>
        <v>0</v>
      </c>
      <c r="AV317" s="2">
        <f>COUNTIFS(集計用!$G315,"*, "&amp;AV$3&amp;", *")</f>
        <v>0</v>
      </c>
      <c r="AW317" s="2">
        <f>COUNTIFS(集計用!$G315,"*, "&amp;AW$3&amp;", *")</f>
        <v>1</v>
      </c>
      <c r="AX317" s="2">
        <f>COUNTIFS(集計用!$G315,"*, "&amp;AX$3&amp;", *")</f>
        <v>0</v>
      </c>
      <c r="AY317" s="2">
        <f>COUNTIFS(集計用!$G315,"*, "&amp;AY$3&amp;", *")</f>
        <v>0</v>
      </c>
      <c r="AZ317" s="2">
        <f>COUNTIFS(集計用!$G315,"*, "&amp;AZ$3&amp;", *")</f>
        <v>0</v>
      </c>
      <c r="BA317" s="2">
        <f>COUNTIFS(集計用!$G315,"*, "&amp;BA$3&amp;", *")</f>
        <v>0</v>
      </c>
      <c r="BB317" s="2">
        <f>COUNTIFS(集計用!$G315,"*, "&amp;BB$3&amp;", *")</f>
        <v>0</v>
      </c>
      <c r="BC317" s="2">
        <f>COUNTIFS(集計用!$G315,"*, "&amp;BC$3&amp;", *")</f>
        <v>0</v>
      </c>
      <c r="BD317" s="2">
        <f>COUNTIFS(集計用!$G315,"*, "&amp;BD$3&amp;", *")</f>
        <v>0</v>
      </c>
      <c r="BE317" s="2">
        <f>COUNTIFS(集計用!$G315,"*, "&amp;BE$3&amp;", *")</f>
        <v>0</v>
      </c>
      <c r="BF317" s="2">
        <f>COUNTIFS(集計用!$G315,"*, "&amp;BF$3&amp;", *")</f>
        <v>0</v>
      </c>
      <c r="BG317" s="2">
        <f>COUNTIFS(集計用!$G315,"*, "&amp;BG$3&amp;", *")</f>
        <v>0</v>
      </c>
      <c r="BH317" s="2">
        <f>COUNTIFS(集計用!$G315,"*, "&amp;BH$3&amp;", *")</f>
        <v>0</v>
      </c>
      <c r="BI317" s="2">
        <f>COUNTIFS(集計用!$G315,"*, "&amp;BI$3&amp;", *")</f>
        <v>0</v>
      </c>
      <c r="BJ317" s="2">
        <f>LEN(集計用!H315)-LEN(SUBSTITUTE(集計用!H315,",",""))</f>
        <v>0</v>
      </c>
    </row>
    <row r="318" spans="1:62" ht="12.75">
      <c r="A318" s="8">
        <v>315</v>
      </c>
      <c r="C318" s="2">
        <f t="shared" si="3"/>
        <v>1</v>
      </c>
      <c r="D318" s="9"/>
      <c r="E318" s="2">
        <f>COUNTIFS(集計用!$G316,"*, "&amp;E$3&amp;", *")</f>
        <v>0</v>
      </c>
      <c r="F318" s="2">
        <f>COUNTIFS(集計用!$G316,"*, "&amp;F$3&amp;", *")</f>
        <v>0</v>
      </c>
      <c r="G318" s="2">
        <f>COUNTIFS(集計用!$G316,"*, "&amp;G$3&amp;", *")</f>
        <v>0</v>
      </c>
      <c r="H318" s="2">
        <f>COUNTIFS(集計用!$G316,"*, "&amp;H$3&amp;", *")</f>
        <v>0</v>
      </c>
      <c r="I318" s="2">
        <f>COUNTIFS(集計用!$G316,"*, "&amp;I$3&amp;", *")</f>
        <v>0</v>
      </c>
      <c r="J318" s="2">
        <f>COUNTIFS(集計用!$G316,"*, "&amp;J$3&amp;", *")</f>
        <v>0</v>
      </c>
      <c r="K318" s="2">
        <f>COUNTIFS(集計用!$G316,"*, "&amp;K$3&amp;", *")</f>
        <v>0</v>
      </c>
      <c r="L318" s="2">
        <f>COUNTIFS(集計用!$G316,"*, "&amp;L$3&amp;", *")</f>
        <v>0</v>
      </c>
      <c r="M318" s="2">
        <f>COUNTIFS(集計用!$G316,"*, "&amp;M$3&amp;", *")</f>
        <v>0</v>
      </c>
      <c r="N318" s="2">
        <f>COUNTIFS(集計用!$G316,"*, "&amp;N$3&amp;", *")</f>
        <v>0</v>
      </c>
      <c r="O318" s="2">
        <f>COUNTIFS(集計用!$G316,"*, "&amp;O$3&amp;", *")</f>
        <v>0</v>
      </c>
      <c r="P318" s="2">
        <f>COUNTIFS(集計用!$G316,"*, "&amp;P$3&amp;", *")</f>
        <v>0</v>
      </c>
      <c r="Q318" s="2">
        <f>COUNTIFS(集計用!$G316,"*, "&amp;Q$3&amp;", *")</f>
        <v>1</v>
      </c>
      <c r="R318" s="2">
        <f>COUNTIFS(集計用!$G316,"*, "&amp;R$3&amp;", *")</f>
        <v>0</v>
      </c>
      <c r="S318" s="2">
        <f>COUNTIFS(集計用!$G316,"*, "&amp;S$3&amp;", *")</f>
        <v>0</v>
      </c>
      <c r="T318" s="2">
        <f>COUNTIFS(集計用!$G316,"*, "&amp;T$3&amp;", *")</f>
        <v>0</v>
      </c>
      <c r="U318" s="2">
        <f>COUNTIFS(集計用!$G316,"*, "&amp;U$3&amp;", *")</f>
        <v>0</v>
      </c>
      <c r="V318" s="2">
        <f>COUNTIFS(集計用!$G316,"*, "&amp;V$3&amp;", *")</f>
        <v>0</v>
      </c>
      <c r="W318" s="2">
        <f>COUNTIFS(集計用!$G316,"*, "&amp;W$3&amp;", *")</f>
        <v>0</v>
      </c>
      <c r="X318" s="2">
        <f>COUNTIFS(集計用!$G316,"*, "&amp;X$3&amp;", *")</f>
        <v>0</v>
      </c>
      <c r="Y318" s="2">
        <f>COUNTIFS(集計用!$G316,"*, "&amp;Y$3&amp;", *")</f>
        <v>0</v>
      </c>
      <c r="Z318" s="2">
        <f>COUNTIFS(集計用!$G316,"*, "&amp;Z$3&amp;", *")</f>
        <v>0</v>
      </c>
      <c r="AA318" s="2">
        <f>COUNTIFS(集計用!$G316,"*, "&amp;AA$3&amp;", *")</f>
        <v>0</v>
      </c>
      <c r="AB318" s="2">
        <f>COUNTIFS(集計用!$G316,"*, "&amp;AB$3&amp;", *")</f>
        <v>0</v>
      </c>
      <c r="AC318" s="2">
        <f>COUNTIFS(集計用!$G316,"*, "&amp;AC$3&amp;", *")</f>
        <v>0</v>
      </c>
      <c r="AD318" s="2">
        <f>COUNTIFS(集計用!$G316,"*, "&amp;AD$3&amp;", *")</f>
        <v>0</v>
      </c>
      <c r="AE318" s="2">
        <f>COUNTIFS(集計用!$G316,"*, "&amp;AE$3&amp;", *")</f>
        <v>0</v>
      </c>
      <c r="AF318" s="2">
        <f>COUNTIFS(集計用!$G316,"*, "&amp;AF$3&amp;", *")</f>
        <v>0</v>
      </c>
      <c r="AG318" s="2">
        <f>COUNTIFS(集計用!$G316,"*, "&amp;AG$3&amp;", *")</f>
        <v>0</v>
      </c>
      <c r="AH318" s="2">
        <f>COUNTIFS(集計用!$G316,"*, "&amp;AH$3&amp;", *")</f>
        <v>0</v>
      </c>
      <c r="AI318" s="2">
        <f>COUNTIFS(集計用!$G316,"*, "&amp;AI$3&amp;", *")</f>
        <v>0</v>
      </c>
      <c r="AJ318" s="2">
        <f>COUNTIFS(集計用!$G316,"*, "&amp;AJ$3&amp;", *")</f>
        <v>0</v>
      </c>
      <c r="AK318" s="2">
        <f>COUNTIFS(集計用!$G316,"*, "&amp;AK$3&amp;", *")</f>
        <v>0</v>
      </c>
      <c r="AL318" s="2">
        <f>COUNTIFS(集計用!$G316,"*, "&amp;AL$3&amp;", *")</f>
        <v>0</v>
      </c>
      <c r="AM318" s="2">
        <f>COUNTIFS(集計用!$G316,"*, "&amp;AM$3&amp;", *")</f>
        <v>0</v>
      </c>
      <c r="AN318" s="2">
        <f>COUNTIFS(集計用!$G316,"*, "&amp;AN$3&amp;", *")</f>
        <v>0</v>
      </c>
      <c r="AO318" s="2">
        <f>COUNTIFS(集計用!$G316,"*, "&amp;AO$3&amp;", *")</f>
        <v>0</v>
      </c>
      <c r="AP318" s="2">
        <f>COUNTIFS(集計用!$G316,"*, "&amp;AP$3&amp;", *")</f>
        <v>0</v>
      </c>
      <c r="AQ318" s="2">
        <f>COUNTIFS(集計用!$G316,"*, "&amp;AQ$3&amp;", *")</f>
        <v>0</v>
      </c>
      <c r="AR318" s="2">
        <f>COUNTIFS(集計用!$G316,"*, "&amp;AR$3&amp;", *")</f>
        <v>0</v>
      </c>
      <c r="AS318" s="2">
        <f>COUNTIFS(集計用!$G316,"*, "&amp;AS$3&amp;", *")</f>
        <v>0</v>
      </c>
      <c r="AT318" s="2">
        <f>COUNTIFS(集計用!$G316,"*, "&amp;AT$3&amp;", *")</f>
        <v>0</v>
      </c>
      <c r="AU318" s="2">
        <f>COUNTIFS(集計用!$G316,"*, "&amp;AU$3&amp;", *")</f>
        <v>0</v>
      </c>
      <c r="AV318" s="2">
        <f>COUNTIFS(集計用!$G316,"*, "&amp;AV$3&amp;", *")</f>
        <v>0</v>
      </c>
      <c r="AW318" s="2">
        <f>COUNTIFS(集計用!$G316,"*, "&amp;AW$3&amp;", *")</f>
        <v>0</v>
      </c>
      <c r="AX318" s="2">
        <f>COUNTIFS(集計用!$G316,"*, "&amp;AX$3&amp;", *")</f>
        <v>0</v>
      </c>
      <c r="AY318" s="2">
        <f>COUNTIFS(集計用!$G316,"*, "&amp;AY$3&amp;", *")</f>
        <v>0</v>
      </c>
      <c r="AZ318" s="2">
        <f>COUNTIFS(集計用!$G316,"*, "&amp;AZ$3&amp;", *")</f>
        <v>0</v>
      </c>
      <c r="BA318" s="2">
        <f>COUNTIFS(集計用!$G316,"*, "&amp;BA$3&amp;", *")</f>
        <v>0</v>
      </c>
      <c r="BB318" s="2">
        <f>COUNTIFS(集計用!$G316,"*, "&amp;BB$3&amp;", *")</f>
        <v>0</v>
      </c>
      <c r="BC318" s="2">
        <f>COUNTIFS(集計用!$G316,"*, "&amp;BC$3&amp;", *")</f>
        <v>0</v>
      </c>
      <c r="BD318" s="2">
        <f>COUNTIFS(集計用!$G316,"*, "&amp;BD$3&amp;", *")</f>
        <v>0</v>
      </c>
      <c r="BE318" s="2">
        <f>COUNTIFS(集計用!$G316,"*, "&amp;BE$3&amp;", *")</f>
        <v>0</v>
      </c>
      <c r="BF318" s="2">
        <f>COUNTIFS(集計用!$G316,"*, "&amp;BF$3&amp;", *")</f>
        <v>0</v>
      </c>
      <c r="BG318" s="2">
        <f>COUNTIFS(集計用!$G316,"*, "&amp;BG$3&amp;", *")</f>
        <v>0</v>
      </c>
      <c r="BH318" s="2">
        <f>COUNTIFS(集計用!$G316,"*, "&amp;BH$3&amp;", *")</f>
        <v>0</v>
      </c>
      <c r="BI318" s="2">
        <f>COUNTIFS(集計用!$G316,"*, "&amp;BI$3&amp;", *")</f>
        <v>0</v>
      </c>
      <c r="BJ318" s="2">
        <f>LEN(集計用!H316)-LEN(SUBSTITUTE(集計用!H316,",",""))</f>
        <v>0</v>
      </c>
    </row>
    <row r="319" spans="1:62" ht="12.75">
      <c r="A319" s="8">
        <v>316</v>
      </c>
      <c r="C319" s="2">
        <f t="shared" si="3"/>
        <v>8</v>
      </c>
      <c r="D319" s="9"/>
      <c r="E319" s="2">
        <f>COUNTIFS(集計用!$G317,"*, "&amp;E$3&amp;", *")</f>
        <v>1</v>
      </c>
      <c r="F319" s="2">
        <f>COUNTIFS(集計用!$G317,"*, "&amp;F$3&amp;", *")</f>
        <v>1</v>
      </c>
      <c r="G319" s="2">
        <f>COUNTIFS(集計用!$G317,"*, "&amp;G$3&amp;", *")</f>
        <v>0</v>
      </c>
      <c r="H319" s="2">
        <f>COUNTIFS(集計用!$G317,"*, "&amp;H$3&amp;", *")</f>
        <v>0</v>
      </c>
      <c r="I319" s="2">
        <f>COUNTIFS(集計用!$G317,"*, "&amp;I$3&amp;", *")</f>
        <v>0</v>
      </c>
      <c r="J319" s="2">
        <f>COUNTIFS(集計用!$G317,"*, "&amp;J$3&amp;", *")</f>
        <v>0</v>
      </c>
      <c r="K319" s="2">
        <f>COUNTIFS(集計用!$G317,"*, "&amp;K$3&amp;", *")</f>
        <v>1</v>
      </c>
      <c r="L319" s="2">
        <f>COUNTIFS(集計用!$G317,"*, "&amp;L$3&amp;", *")</f>
        <v>0</v>
      </c>
      <c r="M319" s="2">
        <f>COUNTIFS(集計用!$G317,"*, "&amp;M$3&amp;", *")</f>
        <v>0</v>
      </c>
      <c r="N319" s="2">
        <f>COUNTIFS(集計用!$G317,"*, "&amp;N$3&amp;", *")</f>
        <v>0</v>
      </c>
      <c r="O319" s="2">
        <f>COUNTIFS(集計用!$G317,"*, "&amp;O$3&amp;", *")</f>
        <v>1</v>
      </c>
      <c r="P319" s="2">
        <f>COUNTIFS(集計用!$G317,"*, "&amp;P$3&amp;", *")</f>
        <v>0</v>
      </c>
      <c r="Q319" s="2">
        <f>COUNTIFS(集計用!$G317,"*, "&amp;Q$3&amp;", *")</f>
        <v>0</v>
      </c>
      <c r="R319" s="2">
        <f>COUNTIFS(集計用!$G317,"*, "&amp;R$3&amp;", *")</f>
        <v>0</v>
      </c>
      <c r="S319" s="2">
        <f>COUNTIFS(集計用!$G317,"*, "&amp;S$3&amp;", *")</f>
        <v>0</v>
      </c>
      <c r="T319" s="2">
        <f>COUNTIFS(集計用!$G317,"*, "&amp;T$3&amp;", *")</f>
        <v>0</v>
      </c>
      <c r="U319" s="2">
        <f>COUNTIFS(集計用!$G317,"*, "&amp;U$3&amp;", *")</f>
        <v>1</v>
      </c>
      <c r="V319" s="2">
        <f>COUNTIFS(集計用!$G317,"*, "&amp;V$3&amp;", *")</f>
        <v>0</v>
      </c>
      <c r="W319" s="2">
        <f>COUNTIFS(集計用!$G317,"*, "&amp;W$3&amp;", *")</f>
        <v>0</v>
      </c>
      <c r="X319" s="2">
        <f>COUNTIFS(集計用!$G317,"*, "&amp;X$3&amp;", *")</f>
        <v>0</v>
      </c>
      <c r="Y319" s="2">
        <f>COUNTIFS(集計用!$G317,"*, "&amp;Y$3&amp;", *")</f>
        <v>0</v>
      </c>
      <c r="Z319" s="2">
        <f>COUNTIFS(集計用!$G317,"*, "&amp;Z$3&amp;", *")</f>
        <v>0</v>
      </c>
      <c r="AA319" s="2">
        <f>COUNTIFS(集計用!$G317,"*, "&amp;AA$3&amp;", *")</f>
        <v>1</v>
      </c>
      <c r="AB319" s="2">
        <f>COUNTIFS(集計用!$G317,"*, "&amp;AB$3&amp;", *")</f>
        <v>0</v>
      </c>
      <c r="AC319" s="2">
        <f>COUNTIFS(集計用!$G317,"*, "&amp;AC$3&amp;", *")</f>
        <v>0</v>
      </c>
      <c r="AD319" s="2">
        <f>COUNTIFS(集計用!$G317,"*, "&amp;AD$3&amp;", *")</f>
        <v>0</v>
      </c>
      <c r="AE319" s="2">
        <f>COUNTIFS(集計用!$G317,"*, "&amp;AE$3&amp;", *")</f>
        <v>0</v>
      </c>
      <c r="AF319" s="2">
        <f>COUNTIFS(集計用!$G317,"*, "&amp;AF$3&amp;", *")</f>
        <v>0</v>
      </c>
      <c r="AG319" s="2">
        <f>COUNTIFS(集計用!$G317,"*, "&amp;AG$3&amp;", *")</f>
        <v>1</v>
      </c>
      <c r="AH319" s="2">
        <f>COUNTIFS(集計用!$G317,"*, "&amp;AH$3&amp;", *")</f>
        <v>0</v>
      </c>
      <c r="AI319" s="2">
        <f>COUNTIFS(集計用!$G317,"*, "&amp;AI$3&amp;", *")</f>
        <v>0</v>
      </c>
      <c r="AJ319" s="2">
        <f>COUNTIFS(集計用!$G317,"*, "&amp;AJ$3&amp;", *")</f>
        <v>0</v>
      </c>
      <c r="AK319" s="2">
        <f>COUNTIFS(集計用!$G317,"*, "&amp;AK$3&amp;", *")</f>
        <v>0</v>
      </c>
      <c r="AL319" s="2">
        <f>COUNTIFS(集計用!$G317,"*, "&amp;AL$3&amp;", *")</f>
        <v>0</v>
      </c>
      <c r="AM319" s="2">
        <f>COUNTIFS(集計用!$G317,"*, "&amp;AM$3&amp;", *")</f>
        <v>0</v>
      </c>
      <c r="AN319" s="2">
        <f>COUNTIFS(集計用!$G317,"*, "&amp;AN$3&amp;", *")</f>
        <v>0</v>
      </c>
      <c r="AO319" s="2">
        <f>COUNTIFS(集計用!$G317,"*, "&amp;AO$3&amp;", *")</f>
        <v>0</v>
      </c>
      <c r="AP319" s="2">
        <f>COUNTIFS(集計用!$G317,"*, "&amp;AP$3&amp;", *")</f>
        <v>0</v>
      </c>
      <c r="AQ319" s="2">
        <f>COUNTIFS(集計用!$G317,"*, "&amp;AQ$3&amp;", *")</f>
        <v>1</v>
      </c>
      <c r="AR319" s="2">
        <f>COUNTIFS(集計用!$G317,"*, "&amp;AR$3&amp;", *")</f>
        <v>0</v>
      </c>
      <c r="AS319" s="2">
        <f>COUNTIFS(集計用!$G317,"*, "&amp;AS$3&amp;", *")</f>
        <v>0</v>
      </c>
      <c r="AT319" s="2">
        <f>COUNTIFS(集計用!$G317,"*, "&amp;AT$3&amp;", *")</f>
        <v>0</v>
      </c>
      <c r="AU319" s="2">
        <f>COUNTIFS(集計用!$G317,"*, "&amp;AU$3&amp;", *")</f>
        <v>0</v>
      </c>
      <c r="AV319" s="2">
        <f>COUNTIFS(集計用!$G317,"*, "&amp;AV$3&amp;", *")</f>
        <v>0</v>
      </c>
      <c r="AW319" s="2">
        <f>COUNTIFS(集計用!$G317,"*, "&amp;AW$3&amp;", *")</f>
        <v>0</v>
      </c>
      <c r="AX319" s="2">
        <f>COUNTIFS(集計用!$G317,"*, "&amp;AX$3&amp;", *")</f>
        <v>0</v>
      </c>
      <c r="AY319" s="2">
        <f>COUNTIFS(集計用!$G317,"*, "&amp;AY$3&amp;", *")</f>
        <v>0</v>
      </c>
      <c r="AZ319" s="2">
        <f>COUNTIFS(集計用!$G317,"*, "&amp;AZ$3&amp;", *")</f>
        <v>0</v>
      </c>
      <c r="BA319" s="2">
        <f>COUNTIFS(集計用!$G317,"*, "&amp;BA$3&amp;", *")</f>
        <v>0</v>
      </c>
      <c r="BB319" s="2">
        <f>COUNTIFS(集計用!$G317,"*, "&amp;BB$3&amp;", *")</f>
        <v>0</v>
      </c>
      <c r="BC319" s="2">
        <f>COUNTIFS(集計用!$G317,"*, "&amp;BC$3&amp;", *")</f>
        <v>0</v>
      </c>
      <c r="BD319" s="2">
        <f>COUNTIFS(集計用!$G317,"*, "&amp;BD$3&amp;", *")</f>
        <v>0</v>
      </c>
      <c r="BE319" s="2">
        <f>COUNTIFS(集計用!$G317,"*, "&amp;BE$3&amp;", *")</f>
        <v>0</v>
      </c>
      <c r="BF319" s="2">
        <f>COUNTIFS(集計用!$G317,"*, "&amp;BF$3&amp;", *")</f>
        <v>0</v>
      </c>
      <c r="BG319" s="2">
        <f>COUNTIFS(集計用!$G317,"*, "&amp;BG$3&amp;", *")</f>
        <v>0</v>
      </c>
      <c r="BH319" s="2">
        <f>COUNTIFS(集計用!$G317,"*, "&amp;BH$3&amp;", *")</f>
        <v>0</v>
      </c>
      <c r="BI319" s="2">
        <f>COUNTIFS(集計用!$G317,"*, "&amp;BI$3&amp;", *")</f>
        <v>0</v>
      </c>
      <c r="BJ319" s="2">
        <f>LEN(集計用!H317)-LEN(SUBSTITUTE(集計用!H317,",",""))</f>
        <v>0</v>
      </c>
    </row>
    <row r="320" spans="1:62" ht="12.75">
      <c r="A320" s="8">
        <v>317</v>
      </c>
      <c r="C320" s="2">
        <f t="shared" si="3"/>
        <v>4</v>
      </c>
      <c r="D320" s="9"/>
      <c r="E320" s="2">
        <f>COUNTIFS(集計用!$G318,"*, "&amp;E$3&amp;", *")</f>
        <v>1</v>
      </c>
      <c r="F320" s="2">
        <f>COUNTIFS(集計用!$G318,"*, "&amp;F$3&amp;", *")</f>
        <v>1</v>
      </c>
      <c r="G320" s="2">
        <f>COUNTIFS(集計用!$G318,"*, "&amp;G$3&amp;", *")</f>
        <v>0</v>
      </c>
      <c r="H320" s="2">
        <f>COUNTIFS(集計用!$G318,"*, "&amp;H$3&amp;", *")</f>
        <v>0</v>
      </c>
      <c r="I320" s="2">
        <f>COUNTIFS(集計用!$G318,"*, "&amp;I$3&amp;", *")</f>
        <v>0</v>
      </c>
      <c r="J320" s="2">
        <f>COUNTIFS(集計用!$G318,"*, "&amp;J$3&amp;", *")</f>
        <v>0</v>
      </c>
      <c r="K320" s="2">
        <f>COUNTIFS(集計用!$G318,"*, "&amp;K$3&amp;", *")</f>
        <v>1</v>
      </c>
      <c r="L320" s="2">
        <f>COUNTIFS(集計用!$G318,"*, "&amp;L$3&amp;", *")</f>
        <v>0</v>
      </c>
      <c r="M320" s="2">
        <f>COUNTIFS(集計用!$G318,"*, "&amp;M$3&amp;", *")</f>
        <v>1</v>
      </c>
      <c r="N320" s="2">
        <f>COUNTIFS(集計用!$G318,"*, "&amp;N$3&amp;", *")</f>
        <v>0</v>
      </c>
      <c r="O320" s="2">
        <f>COUNTIFS(集計用!$G318,"*, "&amp;O$3&amp;", *")</f>
        <v>0</v>
      </c>
      <c r="P320" s="2">
        <f>COUNTIFS(集計用!$G318,"*, "&amp;P$3&amp;", *")</f>
        <v>0</v>
      </c>
      <c r="Q320" s="2">
        <f>COUNTIFS(集計用!$G318,"*, "&amp;Q$3&amp;", *")</f>
        <v>0</v>
      </c>
      <c r="R320" s="2">
        <f>COUNTIFS(集計用!$G318,"*, "&amp;R$3&amp;", *")</f>
        <v>0</v>
      </c>
      <c r="S320" s="2">
        <f>COUNTIFS(集計用!$G318,"*, "&amp;S$3&amp;", *")</f>
        <v>0</v>
      </c>
      <c r="T320" s="2">
        <f>COUNTIFS(集計用!$G318,"*, "&amp;T$3&amp;", *")</f>
        <v>0</v>
      </c>
      <c r="U320" s="2">
        <f>COUNTIFS(集計用!$G318,"*, "&amp;U$3&amp;", *")</f>
        <v>0</v>
      </c>
      <c r="V320" s="2">
        <f>COUNTIFS(集計用!$G318,"*, "&amp;V$3&amp;", *")</f>
        <v>0</v>
      </c>
      <c r="W320" s="2">
        <f>COUNTIFS(集計用!$G318,"*, "&amp;W$3&amp;", *")</f>
        <v>0</v>
      </c>
      <c r="X320" s="2">
        <f>COUNTIFS(集計用!$G318,"*, "&amp;X$3&amp;", *")</f>
        <v>0</v>
      </c>
      <c r="Y320" s="2">
        <f>COUNTIFS(集計用!$G318,"*, "&amp;Y$3&amp;", *")</f>
        <v>0</v>
      </c>
      <c r="Z320" s="2">
        <f>COUNTIFS(集計用!$G318,"*, "&amp;Z$3&amp;", *")</f>
        <v>0</v>
      </c>
      <c r="AA320" s="2">
        <f>COUNTIFS(集計用!$G318,"*, "&amp;AA$3&amp;", *")</f>
        <v>0</v>
      </c>
      <c r="AB320" s="2">
        <f>COUNTIFS(集計用!$G318,"*, "&amp;AB$3&amp;", *")</f>
        <v>0</v>
      </c>
      <c r="AC320" s="2">
        <f>COUNTIFS(集計用!$G318,"*, "&amp;AC$3&amp;", *")</f>
        <v>0</v>
      </c>
      <c r="AD320" s="2">
        <f>COUNTIFS(集計用!$G318,"*, "&amp;AD$3&amp;", *")</f>
        <v>0</v>
      </c>
      <c r="AE320" s="2">
        <f>COUNTIFS(集計用!$G318,"*, "&amp;AE$3&amp;", *")</f>
        <v>0</v>
      </c>
      <c r="AF320" s="2">
        <f>COUNTIFS(集計用!$G318,"*, "&amp;AF$3&amp;", *")</f>
        <v>0</v>
      </c>
      <c r="AG320" s="2">
        <f>COUNTIFS(集計用!$G318,"*, "&amp;AG$3&amp;", *")</f>
        <v>0</v>
      </c>
      <c r="AH320" s="2">
        <f>COUNTIFS(集計用!$G318,"*, "&amp;AH$3&amp;", *")</f>
        <v>0</v>
      </c>
      <c r="AI320" s="2">
        <f>COUNTIFS(集計用!$G318,"*, "&amp;AI$3&amp;", *")</f>
        <v>0</v>
      </c>
      <c r="AJ320" s="2">
        <f>COUNTIFS(集計用!$G318,"*, "&amp;AJ$3&amp;", *")</f>
        <v>0</v>
      </c>
      <c r="AK320" s="2">
        <f>COUNTIFS(集計用!$G318,"*, "&amp;AK$3&amp;", *")</f>
        <v>0</v>
      </c>
      <c r="AL320" s="2">
        <f>COUNTIFS(集計用!$G318,"*, "&amp;AL$3&amp;", *")</f>
        <v>0</v>
      </c>
      <c r="AM320" s="2">
        <f>COUNTIFS(集計用!$G318,"*, "&amp;AM$3&amp;", *")</f>
        <v>0</v>
      </c>
      <c r="AN320" s="2">
        <f>COUNTIFS(集計用!$G318,"*, "&amp;AN$3&amp;", *")</f>
        <v>0</v>
      </c>
      <c r="AO320" s="2">
        <f>COUNTIFS(集計用!$G318,"*, "&amp;AO$3&amp;", *")</f>
        <v>0</v>
      </c>
      <c r="AP320" s="2">
        <f>COUNTIFS(集計用!$G318,"*, "&amp;AP$3&amp;", *")</f>
        <v>0</v>
      </c>
      <c r="AQ320" s="2">
        <f>COUNTIFS(集計用!$G318,"*, "&amp;AQ$3&amp;", *")</f>
        <v>0</v>
      </c>
      <c r="AR320" s="2">
        <f>COUNTIFS(集計用!$G318,"*, "&amp;AR$3&amp;", *")</f>
        <v>0</v>
      </c>
      <c r="AS320" s="2">
        <f>COUNTIFS(集計用!$G318,"*, "&amp;AS$3&amp;", *")</f>
        <v>0</v>
      </c>
      <c r="AT320" s="2">
        <f>COUNTIFS(集計用!$G318,"*, "&amp;AT$3&amp;", *")</f>
        <v>0</v>
      </c>
      <c r="AU320" s="2">
        <f>COUNTIFS(集計用!$G318,"*, "&amp;AU$3&amp;", *")</f>
        <v>0</v>
      </c>
      <c r="AV320" s="2">
        <f>COUNTIFS(集計用!$G318,"*, "&amp;AV$3&amp;", *")</f>
        <v>0</v>
      </c>
      <c r="AW320" s="2">
        <f>COUNTIFS(集計用!$G318,"*, "&amp;AW$3&amp;", *")</f>
        <v>0</v>
      </c>
      <c r="AX320" s="2">
        <f>COUNTIFS(集計用!$G318,"*, "&amp;AX$3&amp;", *")</f>
        <v>0</v>
      </c>
      <c r="AY320" s="2">
        <f>COUNTIFS(集計用!$G318,"*, "&amp;AY$3&amp;", *")</f>
        <v>0</v>
      </c>
      <c r="AZ320" s="2">
        <f>COUNTIFS(集計用!$G318,"*, "&amp;AZ$3&amp;", *")</f>
        <v>0</v>
      </c>
      <c r="BA320" s="2">
        <f>COUNTIFS(集計用!$G318,"*, "&amp;BA$3&amp;", *")</f>
        <v>0</v>
      </c>
      <c r="BB320" s="2">
        <f>COUNTIFS(集計用!$G318,"*, "&amp;BB$3&amp;", *")</f>
        <v>0</v>
      </c>
      <c r="BC320" s="2">
        <f>COUNTIFS(集計用!$G318,"*, "&amp;BC$3&amp;", *")</f>
        <v>0</v>
      </c>
      <c r="BD320" s="2">
        <f>COUNTIFS(集計用!$G318,"*, "&amp;BD$3&amp;", *")</f>
        <v>0</v>
      </c>
      <c r="BE320" s="2">
        <f>COUNTIFS(集計用!$G318,"*, "&amp;BE$3&amp;", *")</f>
        <v>0</v>
      </c>
      <c r="BF320" s="2">
        <f>COUNTIFS(集計用!$G318,"*, "&amp;BF$3&amp;", *")</f>
        <v>0</v>
      </c>
      <c r="BG320" s="2">
        <f>COUNTIFS(集計用!$G318,"*, "&amp;BG$3&amp;", *")</f>
        <v>0</v>
      </c>
      <c r="BH320" s="2">
        <f>COUNTIFS(集計用!$G318,"*, "&amp;BH$3&amp;", *")</f>
        <v>0</v>
      </c>
      <c r="BI320" s="2">
        <f>COUNTIFS(集計用!$G318,"*, "&amp;BI$3&amp;", *")</f>
        <v>0</v>
      </c>
      <c r="BJ320" s="2">
        <f>LEN(集計用!H318)-LEN(SUBSTITUTE(集計用!H318,",",""))</f>
        <v>0</v>
      </c>
    </row>
    <row r="321" spans="1:62" ht="12.75">
      <c r="A321" s="8">
        <v>318</v>
      </c>
      <c r="C321" s="2">
        <f t="shared" si="3"/>
        <v>4</v>
      </c>
      <c r="D321" s="9"/>
      <c r="E321" s="2">
        <f>COUNTIFS(集計用!$G319,"*, "&amp;E$3&amp;", *")</f>
        <v>0</v>
      </c>
      <c r="F321" s="2">
        <f>COUNTIFS(集計用!$G319,"*, "&amp;F$3&amp;", *")</f>
        <v>0</v>
      </c>
      <c r="G321" s="2">
        <f>COUNTIFS(集計用!$G319,"*, "&amp;G$3&amp;", *")</f>
        <v>0</v>
      </c>
      <c r="H321" s="2">
        <f>COUNTIFS(集計用!$G319,"*, "&amp;H$3&amp;", *")</f>
        <v>0</v>
      </c>
      <c r="I321" s="2">
        <f>COUNTIFS(集計用!$G319,"*, "&amp;I$3&amp;", *")</f>
        <v>0</v>
      </c>
      <c r="J321" s="2">
        <f>COUNTIFS(集計用!$G319,"*, "&amp;J$3&amp;", *")</f>
        <v>1</v>
      </c>
      <c r="K321" s="2">
        <f>COUNTIFS(集計用!$G319,"*, "&amp;K$3&amp;", *")</f>
        <v>0</v>
      </c>
      <c r="L321" s="2">
        <f>COUNTIFS(集計用!$G319,"*, "&amp;L$3&amp;", *")</f>
        <v>0</v>
      </c>
      <c r="M321" s="2">
        <f>COUNTIFS(集計用!$G319,"*, "&amp;M$3&amp;", *")</f>
        <v>0</v>
      </c>
      <c r="N321" s="2">
        <f>COUNTIFS(集計用!$G319,"*, "&amp;N$3&amp;", *")</f>
        <v>0</v>
      </c>
      <c r="O321" s="2">
        <f>COUNTIFS(集計用!$G319,"*, "&amp;O$3&amp;", *")</f>
        <v>0</v>
      </c>
      <c r="P321" s="2">
        <f>COUNTIFS(集計用!$G319,"*, "&amp;P$3&amp;", *")</f>
        <v>1</v>
      </c>
      <c r="Q321" s="2">
        <f>COUNTIFS(集計用!$G319,"*, "&amp;Q$3&amp;", *")</f>
        <v>0</v>
      </c>
      <c r="R321" s="2">
        <f>COUNTIFS(集計用!$G319,"*, "&amp;R$3&amp;", *")</f>
        <v>1</v>
      </c>
      <c r="S321" s="2">
        <f>COUNTIFS(集計用!$G319,"*, "&amp;S$3&amp;", *")</f>
        <v>0</v>
      </c>
      <c r="T321" s="2">
        <f>COUNTIFS(集計用!$G319,"*, "&amp;T$3&amp;", *")</f>
        <v>0</v>
      </c>
      <c r="U321" s="2">
        <f>COUNTIFS(集計用!$G319,"*, "&amp;U$3&amp;", *")</f>
        <v>0</v>
      </c>
      <c r="V321" s="2">
        <f>COUNTIFS(集計用!$G319,"*, "&amp;V$3&amp;", *")</f>
        <v>0</v>
      </c>
      <c r="W321" s="2">
        <f>COUNTIFS(集計用!$G319,"*, "&amp;W$3&amp;", *")</f>
        <v>0</v>
      </c>
      <c r="X321" s="2">
        <f>COUNTIFS(集計用!$G319,"*, "&amp;X$3&amp;", *")</f>
        <v>0</v>
      </c>
      <c r="Y321" s="2">
        <f>COUNTIFS(集計用!$G319,"*, "&amp;Y$3&amp;", *")</f>
        <v>0</v>
      </c>
      <c r="Z321" s="2">
        <f>COUNTIFS(集計用!$G319,"*, "&amp;Z$3&amp;", *")</f>
        <v>0</v>
      </c>
      <c r="AA321" s="2">
        <f>COUNTIFS(集計用!$G319,"*, "&amp;AA$3&amp;", *")</f>
        <v>0</v>
      </c>
      <c r="AB321" s="2">
        <f>COUNTIFS(集計用!$G319,"*, "&amp;AB$3&amp;", *")</f>
        <v>0</v>
      </c>
      <c r="AC321" s="2">
        <f>COUNTIFS(集計用!$G319,"*, "&amp;AC$3&amp;", *")</f>
        <v>0</v>
      </c>
      <c r="AD321" s="2">
        <f>COUNTIFS(集計用!$G319,"*, "&amp;AD$3&amp;", *")</f>
        <v>0</v>
      </c>
      <c r="AE321" s="2">
        <f>COUNTIFS(集計用!$G319,"*, "&amp;AE$3&amp;", *")</f>
        <v>1</v>
      </c>
      <c r="AF321" s="2">
        <f>COUNTIFS(集計用!$G319,"*, "&amp;AF$3&amp;", *")</f>
        <v>0</v>
      </c>
      <c r="AG321" s="2">
        <f>COUNTIFS(集計用!$G319,"*, "&amp;AG$3&amp;", *")</f>
        <v>0</v>
      </c>
      <c r="AH321" s="2">
        <f>COUNTIFS(集計用!$G319,"*, "&amp;AH$3&amp;", *")</f>
        <v>0</v>
      </c>
      <c r="AI321" s="2">
        <f>COUNTIFS(集計用!$G319,"*, "&amp;AI$3&amp;", *")</f>
        <v>0</v>
      </c>
      <c r="AJ321" s="2">
        <f>COUNTIFS(集計用!$G319,"*, "&amp;AJ$3&amp;", *")</f>
        <v>0</v>
      </c>
      <c r="AK321" s="2">
        <f>COUNTIFS(集計用!$G319,"*, "&amp;AK$3&amp;", *")</f>
        <v>0</v>
      </c>
      <c r="AL321" s="2">
        <f>COUNTIFS(集計用!$G319,"*, "&amp;AL$3&amp;", *")</f>
        <v>0</v>
      </c>
      <c r="AM321" s="2">
        <f>COUNTIFS(集計用!$G319,"*, "&amp;AM$3&amp;", *")</f>
        <v>0</v>
      </c>
      <c r="AN321" s="2">
        <f>COUNTIFS(集計用!$G319,"*, "&amp;AN$3&amp;", *")</f>
        <v>0</v>
      </c>
      <c r="AO321" s="2">
        <f>COUNTIFS(集計用!$G319,"*, "&amp;AO$3&amp;", *")</f>
        <v>0</v>
      </c>
      <c r="AP321" s="2">
        <f>COUNTIFS(集計用!$G319,"*, "&amp;AP$3&amp;", *")</f>
        <v>0</v>
      </c>
      <c r="AQ321" s="2">
        <f>COUNTIFS(集計用!$G319,"*, "&amp;AQ$3&amp;", *")</f>
        <v>0</v>
      </c>
      <c r="AR321" s="2">
        <f>COUNTIFS(集計用!$G319,"*, "&amp;AR$3&amp;", *")</f>
        <v>0</v>
      </c>
      <c r="AS321" s="2">
        <f>COUNTIFS(集計用!$G319,"*, "&amp;AS$3&amp;", *")</f>
        <v>0</v>
      </c>
      <c r="AT321" s="2">
        <f>COUNTIFS(集計用!$G319,"*, "&amp;AT$3&amp;", *")</f>
        <v>0</v>
      </c>
      <c r="AU321" s="2">
        <f>COUNTIFS(集計用!$G319,"*, "&amp;AU$3&amp;", *")</f>
        <v>0</v>
      </c>
      <c r="AV321" s="2">
        <f>COUNTIFS(集計用!$G319,"*, "&amp;AV$3&amp;", *")</f>
        <v>0</v>
      </c>
      <c r="AW321" s="2">
        <f>COUNTIFS(集計用!$G319,"*, "&amp;AW$3&amp;", *")</f>
        <v>0</v>
      </c>
      <c r="AX321" s="2">
        <f>COUNTIFS(集計用!$G319,"*, "&amp;AX$3&amp;", *")</f>
        <v>0</v>
      </c>
      <c r="AY321" s="2">
        <f>COUNTIFS(集計用!$G319,"*, "&amp;AY$3&amp;", *")</f>
        <v>0</v>
      </c>
      <c r="AZ321" s="2">
        <f>COUNTIFS(集計用!$G319,"*, "&amp;AZ$3&amp;", *")</f>
        <v>0</v>
      </c>
      <c r="BA321" s="2">
        <f>COUNTIFS(集計用!$G319,"*, "&amp;BA$3&amp;", *")</f>
        <v>0</v>
      </c>
      <c r="BB321" s="2">
        <f>COUNTIFS(集計用!$G319,"*, "&amp;BB$3&amp;", *")</f>
        <v>0</v>
      </c>
      <c r="BC321" s="2">
        <f>COUNTIFS(集計用!$G319,"*, "&amp;BC$3&amp;", *")</f>
        <v>0</v>
      </c>
      <c r="BD321" s="2">
        <f>COUNTIFS(集計用!$G319,"*, "&amp;BD$3&amp;", *")</f>
        <v>0</v>
      </c>
      <c r="BE321" s="2">
        <f>COUNTIFS(集計用!$G319,"*, "&amp;BE$3&amp;", *")</f>
        <v>0</v>
      </c>
      <c r="BF321" s="2">
        <f>COUNTIFS(集計用!$G319,"*, "&amp;BF$3&amp;", *")</f>
        <v>0</v>
      </c>
      <c r="BG321" s="2">
        <f>COUNTIFS(集計用!$G319,"*, "&amp;BG$3&amp;", *")</f>
        <v>0</v>
      </c>
      <c r="BH321" s="2">
        <f>COUNTIFS(集計用!$G319,"*, "&amp;BH$3&amp;", *")</f>
        <v>0</v>
      </c>
      <c r="BI321" s="2">
        <f>COUNTIFS(集計用!$G319,"*, "&amp;BI$3&amp;", *")</f>
        <v>0</v>
      </c>
      <c r="BJ321" s="2">
        <f>LEN(集計用!H319)-LEN(SUBSTITUTE(集計用!H319,",",""))</f>
        <v>0</v>
      </c>
    </row>
    <row r="322" spans="1:62" ht="12.75">
      <c r="A322" s="8">
        <v>319</v>
      </c>
      <c r="C322" s="2">
        <f t="shared" si="3"/>
        <v>5</v>
      </c>
      <c r="D322" s="9"/>
      <c r="E322" s="2">
        <f>COUNTIFS(集計用!$G320,"*, "&amp;E$3&amp;", *")</f>
        <v>0</v>
      </c>
      <c r="F322" s="2">
        <f>COUNTIFS(集計用!$G320,"*, "&amp;F$3&amp;", *")</f>
        <v>0</v>
      </c>
      <c r="G322" s="2">
        <f>COUNTIFS(集計用!$G320,"*, "&amp;G$3&amp;", *")</f>
        <v>0</v>
      </c>
      <c r="H322" s="2">
        <f>COUNTIFS(集計用!$G320,"*, "&amp;H$3&amp;", *")</f>
        <v>1</v>
      </c>
      <c r="I322" s="2">
        <f>COUNTIFS(集計用!$G320,"*, "&amp;I$3&amp;", *")</f>
        <v>1</v>
      </c>
      <c r="J322" s="2">
        <f>COUNTIFS(集計用!$G320,"*, "&amp;J$3&amp;", *")</f>
        <v>1</v>
      </c>
      <c r="K322" s="2">
        <f>COUNTIFS(集計用!$G320,"*, "&amp;K$3&amp;", *")</f>
        <v>0</v>
      </c>
      <c r="L322" s="2">
        <f>COUNTIFS(集計用!$G320,"*, "&amp;L$3&amp;", *")</f>
        <v>1</v>
      </c>
      <c r="M322" s="2">
        <f>COUNTIFS(集計用!$G320,"*, "&amp;M$3&amp;", *")</f>
        <v>0</v>
      </c>
      <c r="N322" s="2">
        <f>COUNTIFS(集計用!$G320,"*, "&amp;N$3&amp;", *")</f>
        <v>0</v>
      </c>
      <c r="O322" s="2">
        <f>COUNTIFS(集計用!$G320,"*, "&amp;O$3&amp;", *")</f>
        <v>0</v>
      </c>
      <c r="P322" s="2">
        <f>COUNTIFS(集計用!$G320,"*, "&amp;P$3&amp;", *")</f>
        <v>0</v>
      </c>
      <c r="Q322" s="2">
        <f>COUNTIFS(集計用!$G320,"*, "&amp;Q$3&amp;", *")</f>
        <v>0</v>
      </c>
      <c r="R322" s="2">
        <f>COUNTIFS(集計用!$G320,"*, "&amp;R$3&amp;", *")</f>
        <v>0</v>
      </c>
      <c r="S322" s="2">
        <f>COUNTIFS(集計用!$G320,"*, "&amp;S$3&amp;", *")</f>
        <v>0</v>
      </c>
      <c r="T322" s="2">
        <f>COUNTIFS(集計用!$G320,"*, "&amp;T$3&amp;", *")</f>
        <v>1</v>
      </c>
      <c r="U322" s="2">
        <f>COUNTIFS(集計用!$G320,"*, "&amp;U$3&amp;", *")</f>
        <v>0</v>
      </c>
      <c r="V322" s="2">
        <f>COUNTIFS(集計用!$G320,"*, "&amp;V$3&amp;", *")</f>
        <v>0</v>
      </c>
      <c r="W322" s="2">
        <f>COUNTIFS(集計用!$G320,"*, "&amp;W$3&amp;", *")</f>
        <v>0</v>
      </c>
      <c r="X322" s="2">
        <f>COUNTIFS(集計用!$G320,"*, "&amp;X$3&amp;", *")</f>
        <v>0</v>
      </c>
      <c r="Y322" s="2">
        <f>COUNTIFS(集計用!$G320,"*, "&amp;Y$3&amp;", *")</f>
        <v>0</v>
      </c>
      <c r="Z322" s="2">
        <f>COUNTIFS(集計用!$G320,"*, "&amp;Z$3&amp;", *")</f>
        <v>0</v>
      </c>
      <c r="AA322" s="2">
        <f>COUNTIFS(集計用!$G320,"*, "&amp;AA$3&amp;", *")</f>
        <v>0</v>
      </c>
      <c r="AB322" s="2">
        <f>COUNTIFS(集計用!$G320,"*, "&amp;AB$3&amp;", *")</f>
        <v>0</v>
      </c>
      <c r="AC322" s="2">
        <f>COUNTIFS(集計用!$G320,"*, "&amp;AC$3&amp;", *")</f>
        <v>0</v>
      </c>
      <c r="AD322" s="2">
        <f>COUNTIFS(集計用!$G320,"*, "&amp;AD$3&amp;", *")</f>
        <v>0</v>
      </c>
      <c r="AE322" s="2">
        <f>COUNTIFS(集計用!$G320,"*, "&amp;AE$3&amp;", *")</f>
        <v>0</v>
      </c>
      <c r="AF322" s="2">
        <f>COUNTIFS(集計用!$G320,"*, "&amp;AF$3&amp;", *")</f>
        <v>0</v>
      </c>
      <c r="AG322" s="2">
        <f>COUNTIFS(集計用!$G320,"*, "&amp;AG$3&amp;", *")</f>
        <v>0</v>
      </c>
      <c r="AH322" s="2">
        <f>COUNTIFS(集計用!$G320,"*, "&amp;AH$3&amp;", *")</f>
        <v>0</v>
      </c>
      <c r="AI322" s="2">
        <f>COUNTIFS(集計用!$G320,"*, "&amp;AI$3&amp;", *")</f>
        <v>0</v>
      </c>
      <c r="AJ322" s="2">
        <f>COUNTIFS(集計用!$G320,"*, "&amp;AJ$3&amp;", *")</f>
        <v>0</v>
      </c>
      <c r="AK322" s="2">
        <f>COUNTIFS(集計用!$G320,"*, "&amp;AK$3&amp;", *")</f>
        <v>0</v>
      </c>
      <c r="AL322" s="2">
        <f>COUNTIFS(集計用!$G320,"*, "&amp;AL$3&amp;", *")</f>
        <v>0</v>
      </c>
      <c r="AM322" s="2">
        <f>COUNTIFS(集計用!$G320,"*, "&amp;AM$3&amp;", *")</f>
        <v>0</v>
      </c>
      <c r="AN322" s="2">
        <f>COUNTIFS(集計用!$G320,"*, "&amp;AN$3&amp;", *")</f>
        <v>0</v>
      </c>
      <c r="AO322" s="2">
        <f>COUNTIFS(集計用!$G320,"*, "&amp;AO$3&amp;", *")</f>
        <v>0</v>
      </c>
      <c r="AP322" s="2">
        <f>COUNTIFS(集計用!$G320,"*, "&amp;AP$3&amp;", *")</f>
        <v>0</v>
      </c>
      <c r="AQ322" s="2">
        <f>COUNTIFS(集計用!$G320,"*, "&amp;AQ$3&amp;", *")</f>
        <v>0</v>
      </c>
      <c r="AR322" s="2">
        <f>COUNTIFS(集計用!$G320,"*, "&amp;AR$3&amp;", *")</f>
        <v>0</v>
      </c>
      <c r="AS322" s="2">
        <f>COUNTIFS(集計用!$G320,"*, "&amp;AS$3&amp;", *")</f>
        <v>0</v>
      </c>
      <c r="AT322" s="2">
        <f>COUNTIFS(集計用!$G320,"*, "&amp;AT$3&amp;", *")</f>
        <v>0</v>
      </c>
      <c r="AU322" s="2">
        <f>COUNTIFS(集計用!$G320,"*, "&amp;AU$3&amp;", *")</f>
        <v>0</v>
      </c>
      <c r="AV322" s="2">
        <f>COUNTIFS(集計用!$G320,"*, "&amp;AV$3&amp;", *")</f>
        <v>0</v>
      </c>
      <c r="AW322" s="2">
        <f>COUNTIFS(集計用!$G320,"*, "&amp;AW$3&amp;", *")</f>
        <v>0</v>
      </c>
      <c r="AX322" s="2">
        <f>COUNTIFS(集計用!$G320,"*, "&amp;AX$3&amp;", *")</f>
        <v>0</v>
      </c>
      <c r="AY322" s="2">
        <f>COUNTIFS(集計用!$G320,"*, "&amp;AY$3&amp;", *")</f>
        <v>0</v>
      </c>
      <c r="AZ322" s="2">
        <f>COUNTIFS(集計用!$G320,"*, "&amp;AZ$3&amp;", *")</f>
        <v>0</v>
      </c>
      <c r="BA322" s="2">
        <f>COUNTIFS(集計用!$G320,"*, "&amp;BA$3&amp;", *")</f>
        <v>0</v>
      </c>
      <c r="BB322" s="2">
        <f>COUNTIFS(集計用!$G320,"*, "&amp;BB$3&amp;", *")</f>
        <v>0</v>
      </c>
      <c r="BC322" s="2">
        <f>COUNTIFS(集計用!$G320,"*, "&amp;BC$3&amp;", *")</f>
        <v>0</v>
      </c>
      <c r="BD322" s="2">
        <f>COUNTIFS(集計用!$G320,"*, "&amp;BD$3&amp;", *")</f>
        <v>0</v>
      </c>
      <c r="BE322" s="2">
        <f>COUNTIFS(集計用!$G320,"*, "&amp;BE$3&amp;", *")</f>
        <v>0</v>
      </c>
      <c r="BF322" s="2">
        <f>COUNTIFS(集計用!$G320,"*, "&amp;BF$3&amp;", *")</f>
        <v>0</v>
      </c>
      <c r="BG322" s="2">
        <f>COUNTIFS(集計用!$G320,"*, "&amp;BG$3&amp;", *")</f>
        <v>0</v>
      </c>
      <c r="BH322" s="2">
        <f>COUNTIFS(集計用!$G320,"*, "&amp;BH$3&amp;", *")</f>
        <v>0</v>
      </c>
      <c r="BI322" s="2">
        <f>COUNTIFS(集計用!$G320,"*, "&amp;BI$3&amp;", *")</f>
        <v>0</v>
      </c>
      <c r="BJ322" s="2">
        <f>LEN(集計用!H320)-LEN(SUBSTITUTE(集計用!H320,",",""))</f>
        <v>0</v>
      </c>
    </row>
    <row r="323" spans="1:62" ht="12.75">
      <c r="A323" s="8">
        <v>320</v>
      </c>
      <c r="C323" s="2">
        <f t="shared" si="3"/>
        <v>2</v>
      </c>
      <c r="D323" s="9"/>
      <c r="E323" s="2">
        <f>COUNTIFS(集計用!$G321,"*, "&amp;E$3&amp;", *")</f>
        <v>0</v>
      </c>
      <c r="F323" s="2">
        <f>COUNTIFS(集計用!$G321,"*, "&amp;F$3&amp;", *")</f>
        <v>1</v>
      </c>
      <c r="G323" s="2">
        <f>COUNTIFS(集計用!$G321,"*, "&amp;G$3&amp;", *")</f>
        <v>0</v>
      </c>
      <c r="H323" s="2">
        <f>COUNTIFS(集計用!$G321,"*, "&amp;H$3&amp;", *")</f>
        <v>0</v>
      </c>
      <c r="I323" s="2">
        <f>COUNTIFS(集計用!$G321,"*, "&amp;I$3&amp;", *")</f>
        <v>0</v>
      </c>
      <c r="J323" s="2">
        <f>COUNTIFS(集計用!$G321,"*, "&amp;J$3&amp;", *")</f>
        <v>0</v>
      </c>
      <c r="K323" s="2">
        <f>COUNTIFS(集計用!$G321,"*, "&amp;K$3&amp;", *")</f>
        <v>0</v>
      </c>
      <c r="L323" s="2">
        <f>COUNTIFS(集計用!$G321,"*, "&amp;L$3&amp;", *")</f>
        <v>0</v>
      </c>
      <c r="M323" s="2">
        <f>COUNTIFS(集計用!$G321,"*, "&amp;M$3&amp;", *")</f>
        <v>0</v>
      </c>
      <c r="N323" s="2">
        <f>COUNTIFS(集計用!$G321,"*, "&amp;N$3&amp;", *")</f>
        <v>0</v>
      </c>
      <c r="O323" s="2">
        <f>COUNTIFS(集計用!$G321,"*, "&amp;O$3&amp;", *")</f>
        <v>0</v>
      </c>
      <c r="P323" s="2">
        <f>COUNTIFS(集計用!$G321,"*, "&amp;P$3&amp;", *")</f>
        <v>0</v>
      </c>
      <c r="Q323" s="2">
        <f>COUNTIFS(集計用!$G321,"*, "&amp;Q$3&amp;", *")</f>
        <v>0</v>
      </c>
      <c r="R323" s="2">
        <f>COUNTIFS(集計用!$G321,"*, "&amp;R$3&amp;", *")</f>
        <v>1</v>
      </c>
      <c r="S323" s="2">
        <f>COUNTIFS(集計用!$G321,"*, "&amp;S$3&amp;", *")</f>
        <v>0</v>
      </c>
      <c r="T323" s="2">
        <f>COUNTIFS(集計用!$G321,"*, "&amp;T$3&amp;", *")</f>
        <v>0</v>
      </c>
      <c r="U323" s="2">
        <f>COUNTIFS(集計用!$G321,"*, "&amp;U$3&amp;", *")</f>
        <v>0</v>
      </c>
      <c r="V323" s="2">
        <f>COUNTIFS(集計用!$G321,"*, "&amp;V$3&amp;", *")</f>
        <v>0</v>
      </c>
      <c r="W323" s="2">
        <f>COUNTIFS(集計用!$G321,"*, "&amp;W$3&amp;", *")</f>
        <v>0</v>
      </c>
      <c r="X323" s="2">
        <f>COUNTIFS(集計用!$G321,"*, "&amp;X$3&amp;", *")</f>
        <v>0</v>
      </c>
      <c r="Y323" s="2">
        <f>COUNTIFS(集計用!$G321,"*, "&amp;Y$3&amp;", *")</f>
        <v>0</v>
      </c>
      <c r="Z323" s="2">
        <f>COUNTIFS(集計用!$G321,"*, "&amp;Z$3&amp;", *")</f>
        <v>0</v>
      </c>
      <c r="AA323" s="2">
        <f>COUNTIFS(集計用!$G321,"*, "&amp;AA$3&amp;", *")</f>
        <v>0</v>
      </c>
      <c r="AB323" s="2">
        <f>COUNTIFS(集計用!$G321,"*, "&amp;AB$3&amp;", *")</f>
        <v>0</v>
      </c>
      <c r="AC323" s="2">
        <f>COUNTIFS(集計用!$G321,"*, "&amp;AC$3&amp;", *")</f>
        <v>0</v>
      </c>
      <c r="AD323" s="2">
        <f>COUNTIFS(集計用!$G321,"*, "&amp;AD$3&amp;", *")</f>
        <v>0</v>
      </c>
      <c r="AE323" s="2">
        <f>COUNTIFS(集計用!$G321,"*, "&amp;AE$3&amp;", *")</f>
        <v>0</v>
      </c>
      <c r="AF323" s="2">
        <f>COUNTIFS(集計用!$G321,"*, "&amp;AF$3&amp;", *")</f>
        <v>0</v>
      </c>
      <c r="AG323" s="2">
        <f>COUNTIFS(集計用!$G321,"*, "&amp;AG$3&amp;", *")</f>
        <v>0</v>
      </c>
      <c r="AH323" s="2">
        <f>COUNTIFS(集計用!$G321,"*, "&amp;AH$3&amp;", *")</f>
        <v>0</v>
      </c>
      <c r="AI323" s="2">
        <f>COUNTIFS(集計用!$G321,"*, "&amp;AI$3&amp;", *")</f>
        <v>0</v>
      </c>
      <c r="AJ323" s="2">
        <f>COUNTIFS(集計用!$G321,"*, "&amp;AJ$3&amp;", *")</f>
        <v>0</v>
      </c>
      <c r="AK323" s="2">
        <f>COUNTIFS(集計用!$G321,"*, "&amp;AK$3&amp;", *")</f>
        <v>0</v>
      </c>
      <c r="AL323" s="2">
        <f>COUNTIFS(集計用!$G321,"*, "&amp;AL$3&amp;", *")</f>
        <v>0</v>
      </c>
      <c r="AM323" s="2">
        <f>COUNTIFS(集計用!$G321,"*, "&amp;AM$3&amp;", *")</f>
        <v>0</v>
      </c>
      <c r="AN323" s="2">
        <f>COUNTIFS(集計用!$G321,"*, "&amp;AN$3&amp;", *")</f>
        <v>0</v>
      </c>
      <c r="AO323" s="2">
        <f>COUNTIFS(集計用!$G321,"*, "&amp;AO$3&amp;", *")</f>
        <v>0</v>
      </c>
      <c r="AP323" s="2">
        <f>COUNTIFS(集計用!$G321,"*, "&amp;AP$3&amp;", *")</f>
        <v>0</v>
      </c>
      <c r="AQ323" s="2">
        <f>COUNTIFS(集計用!$G321,"*, "&amp;AQ$3&amp;", *")</f>
        <v>0</v>
      </c>
      <c r="AR323" s="2">
        <f>COUNTIFS(集計用!$G321,"*, "&amp;AR$3&amp;", *")</f>
        <v>0</v>
      </c>
      <c r="AS323" s="2">
        <f>COUNTIFS(集計用!$G321,"*, "&amp;AS$3&amp;", *")</f>
        <v>0</v>
      </c>
      <c r="AT323" s="2">
        <f>COUNTIFS(集計用!$G321,"*, "&amp;AT$3&amp;", *")</f>
        <v>0</v>
      </c>
      <c r="AU323" s="2">
        <f>COUNTIFS(集計用!$G321,"*, "&amp;AU$3&amp;", *")</f>
        <v>0</v>
      </c>
      <c r="AV323" s="2">
        <f>COUNTIFS(集計用!$G321,"*, "&amp;AV$3&amp;", *")</f>
        <v>0</v>
      </c>
      <c r="AW323" s="2">
        <f>COUNTIFS(集計用!$G321,"*, "&amp;AW$3&amp;", *")</f>
        <v>0</v>
      </c>
      <c r="AX323" s="2">
        <f>COUNTIFS(集計用!$G321,"*, "&amp;AX$3&amp;", *")</f>
        <v>0</v>
      </c>
      <c r="AY323" s="2">
        <f>COUNTIFS(集計用!$G321,"*, "&amp;AY$3&amp;", *")</f>
        <v>0</v>
      </c>
      <c r="AZ323" s="2">
        <f>COUNTIFS(集計用!$G321,"*, "&amp;AZ$3&amp;", *")</f>
        <v>0</v>
      </c>
      <c r="BA323" s="2">
        <f>COUNTIFS(集計用!$G321,"*, "&amp;BA$3&amp;", *")</f>
        <v>0</v>
      </c>
      <c r="BB323" s="2">
        <f>COUNTIFS(集計用!$G321,"*, "&amp;BB$3&amp;", *")</f>
        <v>0</v>
      </c>
      <c r="BC323" s="2">
        <f>COUNTIFS(集計用!$G321,"*, "&amp;BC$3&amp;", *")</f>
        <v>0</v>
      </c>
      <c r="BD323" s="2">
        <f>COUNTIFS(集計用!$G321,"*, "&amp;BD$3&amp;", *")</f>
        <v>0</v>
      </c>
      <c r="BE323" s="2">
        <f>COUNTIFS(集計用!$G321,"*, "&amp;BE$3&amp;", *")</f>
        <v>0</v>
      </c>
      <c r="BF323" s="2">
        <f>COUNTIFS(集計用!$G321,"*, "&amp;BF$3&amp;", *")</f>
        <v>0</v>
      </c>
      <c r="BG323" s="2">
        <f>COUNTIFS(集計用!$G321,"*, "&amp;BG$3&amp;", *")</f>
        <v>0</v>
      </c>
      <c r="BH323" s="2">
        <f>COUNTIFS(集計用!$G321,"*, "&amp;BH$3&amp;", *")</f>
        <v>0</v>
      </c>
      <c r="BI323" s="2">
        <f>COUNTIFS(集計用!$G321,"*, "&amp;BI$3&amp;", *")</f>
        <v>0</v>
      </c>
      <c r="BJ323" s="2">
        <f>LEN(集計用!H321)-LEN(SUBSTITUTE(集計用!H321,",",""))</f>
        <v>0</v>
      </c>
    </row>
    <row r="324" spans="1:62" ht="12.75">
      <c r="A324" s="8">
        <v>321</v>
      </c>
      <c r="C324" s="2">
        <f t="shared" si="3"/>
        <v>4</v>
      </c>
      <c r="D324" s="9"/>
      <c r="E324" s="2">
        <f>COUNTIFS(集計用!$G322,"*, "&amp;E$3&amp;", *")</f>
        <v>1</v>
      </c>
      <c r="F324" s="2">
        <f>COUNTIFS(集計用!$G322,"*, "&amp;F$3&amp;", *")</f>
        <v>0</v>
      </c>
      <c r="G324" s="2">
        <f>COUNTIFS(集計用!$G322,"*, "&amp;G$3&amp;", *")</f>
        <v>0</v>
      </c>
      <c r="H324" s="2">
        <f>COUNTIFS(集計用!$G322,"*, "&amp;H$3&amp;", *")</f>
        <v>0</v>
      </c>
      <c r="I324" s="2">
        <f>COUNTIFS(集計用!$G322,"*, "&amp;I$3&amp;", *")</f>
        <v>1</v>
      </c>
      <c r="J324" s="2">
        <f>COUNTIFS(集計用!$G322,"*, "&amp;J$3&amp;", *")</f>
        <v>0</v>
      </c>
      <c r="K324" s="2">
        <f>COUNTIFS(集計用!$G322,"*, "&amp;K$3&amp;", *")</f>
        <v>1</v>
      </c>
      <c r="L324" s="2">
        <f>COUNTIFS(集計用!$G322,"*, "&amp;L$3&amp;", *")</f>
        <v>0</v>
      </c>
      <c r="M324" s="2">
        <f>COUNTIFS(集計用!$G322,"*, "&amp;M$3&amp;", *")</f>
        <v>1</v>
      </c>
      <c r="N324" s="2">
        <f>COUNTIFS(集計用!$G322,"*, "&amp;N$3&amp;", *")</f>
        <v>0</v>
      </c>
      <c r="O324" s="2">
        <f>COUNTIFS(集計用!$G322,"*, "&amp;O$3&amp;", *")</f>
        <v>0</v>
      </c>
      <c r="P324" s="2">
        <f>COUNTIFS(集計用!$G322,"*, "&amp;P$3&amp;", *")</f>
        <v>0</v>
      </c>
      <c r="Q324" s="2">
        <f>COUNTIFS(集計用!$G322,"*, "&amp;Q$3&amp;", *")</f>
        <v>0</v>
      </c>
      <c r="R324" s="2">
        <f>COUNTIFS(集計用!$G322,"*, "&amp;R$3&amp;", *")</f>
        <v>0</v>
      </c>
      <c r="S324" s="2">
        <f>COUNTIFS(集計用!$G322,"*, "&amp;S$3&amp;", *")</f>
        <v>0</v>
      </c>
      <c r="T324" s="2">
        <f>COUNTIFS(集計用!$G322,"*, "&amp;T$3&amp;", *")</f>
        <v>0</v>
      </c>
      <c r="U324" s="2">
        <f>COUNTIFS(集計用!$G322,"*, "&amp;U$3&amp;", *")</f>
        <v>0</v>
      </c>
      <c r="V324" s="2">
        <f>COUNTIFS(集計用!$G322,"*, "&amp;V$3&amp;", *")</f>
        <v>0</v>
      </c>
      <c r="W324" s="2">
        <f>COUNTIFS(集計用!$G322,"*, "&amp;W$3&amp;", *")</f>
        <v>0</v>
      </c>
      <c r="X324" s="2">
        <f>COUNTIFS(集計用!$G322,"*, "&amp;X$3&amp;", *")</f>
        <v>0</v>
      </c>
      <c r="Y324" s="2">
        <f>COUNTIFS(集計用!$G322,"*, "&amp;Y$3&amp;", *")</f>
        <v>0</v>
      </c>
      <c r="Z324" s="2">
        <f>COUNTIFS(集計用!$G322,"*, "&amp;Z$3&amp;", *")</f>
        <v>0</v>
      </c>
      <c r="AA324" s="2">
        <f>COUNTIFS(集計用!$G322,"*, "&amp;AA$3&amp;", *")</f>
        <v>0</v>
      </c>
      <c r="AB324" s="2">
        <f>COUNTIFS(集計用!$G322,"*, "&amp;AB$3&amp;", *")</f>
        <v>0</v>
      </c>
      <c r="AC324" s="2">
        <f>COUNTIFS(集計用!$G322,"*, "&amp;AC$3&amp;", *")</f>
        <v>0</v>
      </c>
      <c r="AD324" s="2">
        <f>COUNTIFS(集計用!$G322,"*, "&amp;AD$3&amp;", *")</f>
        <v>0</v>
      </c>
      <c r="AE324" s="2">
        <f>COUNTIFS(集計用!$G322,"*, "&amp;AE$3&amp;", *")</f>
        <v>0</v>
      </c>
      <c r="AF324" s="2">
        <f>COUNTIFS(集計用!$G322,"*, "&amp;AF$3&amp;", *")</f>
        <v>0</v>
      </c>
      <c r="AG324" s="2">
        <f>COUNTIFS(集計用!$G322,"*, "&amp;AG$3&amp;", *")</f>
        <v>0</v>
      </c>
      <c r="AH324" s="2">
        <f>COUNTIFS(集計用!$G322,"*, "&amp;AH$3&amp;", *")</f>
        <v>0</v>
      </c>
      <c r="AI324" s="2">
        <f>COUNTIFS(集計用!$G322,"*, "&amp;AI$3&amp;", *")</f>
        <v>0</v>
      </c>
      <c r="AJ324" s="2">
        <f>COUNTIFS(集計用!$G322,"*, "&amp;AJ$3&amp;", *")</f>
        <v>0</v>
      </c>
      <c r="AK324" s="2">
        <f>COUNTIFS(集計用!$G322,"*, "&amp;AK$3&amp;", *")</f>
        <v>0</v>
      </c>
      <c r="AL324" s="2">
        <f>COUNTIFS(集計用!$G322,"*, "&amp;AL$3&amp;", *")</f>
        <v>0</v>
      </c>
      <c r="AM324" s="2">
        <f>COUNTIFS(集計用!$G322,"*, "&amp;AM$3&amp;", *")</f>
        <v>0</v>
      </c>
      <c r="AN324" s="2">
        <f>COUNTIFS(集計用!$G322,"*, "&amp;AN$3&amp;", *")</f>
        <v>0</v>
      </c>
      <c r="AO324" s="2">
        <f>COUNTIFS(集計用!$G322,"*, "&amp;AO$3&amp;", *")</f>
        <v>0</v>
      </c>
      <c r="AP324" s="2">
        <f>COUNTIFS(集計用!$G322,"*, "&amp;AP$3&amp;", *")</f>
        <v>0</v>
      </c>
      <c r="AQ324" s="2">
        <f>COUNTIFS(集計用!$G322,"*, "&amp;AQ$3&amp;", *")</f>
        <v>0</v>
      </c>
      <c r="AR324" s="2">
        <f>COUNTIFS(集計用!$G322,"*, "&amp;AR$3&amp;", *")</f>
        <v>0</v>
      </c>
      <c r="AS324" s="2">
        <f>COUNTIFS(集計用!$G322,"*, "&amp;AS$3&amp;", *")</f>
        <v>0</v>
      </c>
      <c r="AT324" s="2">
        <f>COUNTIFS(集計用!$G322,"*, "&amp;AT$3&amp;", *")</f>
        <v>0</v>
      </c>
      <c r="AU324" s="2">
        <f>COUNTIFS(集計用!$G322,"*, "&amp;AU$3&amp;", *")</f>
        <v>0</v>
      </c>
      <c r="AV324" s="2">
        <f>COUNTIFS(集計用!$G322,"*, "&amp;AV$3&amp;", *")</f>
        <v>0</v>
      </c>
      <c r="AW324" s="2">
        <f>COUNTIFS(集計用!$G322,"*, "&amp;AW$3&amp;", *")</f>
        <v>0</v>
      </c>
      <c r="AX324" s="2">
        <f>COUNTIFS(集計用!$G322,"*, "&amp;AX$3&amp;", *")</f>
        <v>0</v>
      </c>
      <c r="AY324" s="2">
        <f>COUNTIFS(集計用!$G322,"*, "&amp;AY$3&amp;", *")</f>
        <v>0</v>
      </c>
      <c r="AZ324" s="2">
        <f>COUNTIFS(集計用!$G322,"*, "&amp;AZ$3&amp;", *")</f>
        <v>0</v>
      </c>
      <c r="BA324" s="2">
        <f>COUNTIFS(集計用!$G322,"*, "&amp;BA$3&amp;", *")</f>
        <v>0</v>
      </c>
      <c r="BB324" s="2">
        <f>COUNTIFS(集計用!$G322,"*, "&amp;BB$3&amp;", *")</f>
        <v>0</v>
      </c>
      <c r="BC324" s="2">
        <f>COUNTIFS(集計用!$G322,"*, "&amp;BC$3&amp;", *")</f>
        <v>0</v>
      </c>
      <c r="BD324" s="2">
        <f>COUNTIFS(集計用!$G322,"*, "&amp;BD$3&amp;", *")</f>
        <v>0</v>
      </c>
      <c r="BE324" s="2">
        <f>COUNTIFS(集計用!$G322,"*, "&amp;BE$3&amp;", *")</f>
        <v>0</v>
      </c>
      <c r="BF324" s="2">
        <f>COUNTIFS(集計用!$G322,"*, "&amp;BF$3&amp;", *")</f>
        <v>0</v>
      </c>
      <c r="BG324" s="2">
        <f>COUNTIFS(集計用!$G322,"*, "&amp;BG$3&amp;", *")</f>
        <v>0</v>
      </c>
      <c r="BH324" s="2">
        <f>COUNTIFS(集計用!$G322,"*, "&amp;BH$3&amp;", *")</f>
        <v>0</v>
      </c>
      <c r="BI324" s="2">
        <f>COUNTIFS(集計用!$G322,"*, "&amp;BI$3&amp;", *")</f>
        <v>0</v>
      </c>
      <c r="BJ324" s="2">
        <f>LEN(集計用!H322)-LEN(SUBSTITUTE(集計用!H322,",",""))</f>
        <v>0</v>
      </c>
    </row>
    <row r="325" spans="1:62" ht="12.75">
      <c r="A325" s="8">
        <v>322</v>
      </c>
      <c r="C325" s="2">
        <f t="shared" si="3"/>
        <v>1</v>
      </c>
      <c r="D325" s="9"/>
      <c r="E325" s="2">
        <f>COUNTIFS(集計用!$G323,"*, "&amp;E$3&amp;", *")</f>
        <v>1</v>
      </c>
      <c r="F325" s="2">
        <f>COUNTIFS(集計用!$G323,"*, "&amp;F$3&amp;", *")</f>
        <v>0</v>
      </c>
      <c r="G325" s="2">
        <f>COUNTIFS(集計用!$G323,"*, "&amp;G$3&amp;", *")</f>
        <v>0</v>
      </c>
      <c r="H325" s="2">
        <f>COUNTIFS(集計用!$G323,"*, "&amp;H$3&amp;", *")</f>
        <v>0</v>
      </c>
      <c r="I325" s="2">
        <f>COUNTIFS(集計用!$G323,"*, "&amp;I$3&amp;", *")</f>
        <v>0</v>
      </c>
      <c r="J325" s="2">
        <f>COUNTIFS(集計用!$G323,"*, "&amp;J$3&amp;", *")</f>
        <v>0</v>
      </c>
      <c r="K325" s="2">
        <f>COUNTIFS(集計用!$G323,"*, "&amp;K$3&amp;", *")</f>
        <v>0</v>
      </c>
      <c r="L325" s="2">
        <f>COUNTIFS(集計用!$G323,"*, "&amp;L$3&amp;", *")</f>
        <v>0</v>
      </c>
      <c r="M325" s="2">
        <f>COUNTIFS(集計用!$G323,"*, "&amp;M$3&amp;", *")</f>
        <v>0</v>
      </c>
      <c r="N325" s="2">
        <f>COUNTIFS(集計用!$G323,"*, "&amp;N$3&amp;", *")</f>
        <v>0</v>
      </c>
      <c r="O325" s="2">
        <f>COUNTIFS(集計用!$G323,"*, "&amp;O$3&amp;", *")</f>
        <v>0</v>
      </c>
      <c r="P325" s="2">
        <f>COUNTIFS(集計用!$G323,"*, "&amp;P$3&amp;", *")</f>
        <v>0</v>
      </c>
      <c r="Q325" s="2">
        <f>COUNTIFS(集計用!$G323,"*, "&amp;Q$3&amp;", *")</f>
        <v>0</v>
      </c>
      <c r="R325" s="2">
        <f>COUNTIFS(集計用!$G323,"*, "&amp;R$3&amp;", *")</f>
        <v>0</v>
      </c>
      <c r="S325" s="2">
        <f>COUNTIFS(集計用!$G323,"*, "&amp;S$3&amp;", *")</f>
        <v>0</v>
      </c>
      <c r="T325" s="2">
        <f>COUNTIFS(集計用!$G323,"*, "&amp;T$3&amp;", *")</f>
        <v>0</v>
      </c>
      <c r="U325" s="2">
        <f>COUNTIFS(集計用!$G323,"*, "&amp;U$3&amp;", *")</f>
        <v>0</v>
      </c>
      <c r="V325" s="2">
        <f>COUNTIFS(集計用!$G323,"*, "&amp;V$3&amp;", *")</f>
        <v>0</v>
      </c>
      <c r="W325" s="2">
        <f>COUNTIFS(集計用!$G323,"*, "&amp;W$3&amp;", *")</f>
        <v>0</v>
      </c>
      <c r="X325" s="2">
        <f>COUNTIFS(集計用!$G323,"*, "&amp;X$3&amp;", *")</f>
        <v>0</v>
      </c>
      <c r="Y325" s="2">
        <f>COUNTIFS(集計用!$G323,"*, "&amp;Y$3&amp;", *")</f>
        <v>0</v>
      </c>
      <c r="Z325" s="2">
        <f>COUNTIFS(集計用!$G323,"*, "&amp;Z$3&amp;", *")</f>
        <v>0</v>
      </c>
      <c r="AA325" s="2">
        <f>COUNTIFS(集計用!$G323,"*, "&amp;AA$3&amp;", *")</f>
        <v>0</v>
      </c>
      <c r="AB325" s="2">
        <f>COUNTIFS(集計用!$G323,"*, "&amp;AB$3&amp;", *")</f>
        <v>0</v>
      </c>
      <c r="AC325" s="2">
        <f>COUNTIFS(集計用!$G323,"*, "&amp;AC$3&amp;", *")</f>
        <v>0</v>
      </c>
      <c r="AD325" s="2">
        <f>COUNTIFS(集計用!$G323,"*, "&amp;AD$3&amp;", *")</f>
        <v>0</v>
      </c>
      <c r="AE325" s="2">
        <f>COUNTIFS(集計用!$G323,"*, "&amp;AE$3&amp;", *")</f>
        <v>0</v>
      </c>
      <c r="AF325" s="2">
        <f>COUNTIFS(集計用!$G323,"*, "&amp;AF$3&amp;", *")</f>
        <v>0</v>
      </c>
      <c r="AG325" s="2">
        <f>COUNTIFS(集計用!$G323,"*, "&amp;AG$3&amp;", *")</f>
        <v>0</v>
      </c>
      <c r="AH325" s="2">
        <f>COUNTIFS(集計用!$G323,"*, "&amp;AH$3&amp;", *")</f>
        <v>0</v>
      </c>
      <c r="AI325" s="2">
        <f>COUNTIFS(集計用!$G323,"*, "&amp;AI$3&amp;", *")</f>
        <v>0</v>
      </c>
      <c r="AJ325" s="2">
        <f>COUNTIFS(集計用!$G323,"*, "&amp;AJ$3&amp;", *")</f>
        <v>0</v>
      </c>
      <c r="AK325" s="2">
        <f>COUNTIFS(集計用!$G323,"*, "&amp;AK$3&amp;", *")</f>
        <v>0</v>
      </c>
      <c r="AL325" s="2">
        <f>COUNTIFS(集計用!$G323,"*, "&amp;AL$3&amp;", *")</f>
        <v>0</v>
      </c>
      <c r="AM325" s="2">
        <f>COUNTIFS(集計用!$G323,"*, "&amp;AM$3&amp;", *")</f>
        <v>0</v>
      </c>
      <c r="AN325" s="2">
        <f>COUNTIFS(集計用!$G323,"*, "&amp;AN$3&amp;", *")</f>
        <v>0</v>
      </c>
      <c r="AO325" s="2">
        <f>COUNTIFS(集計用!$G323,"*, "&amp;AO$3&amp;", *")</f>
        <v>0</v>
      </c>
      <c r="AP325" s="2">
        <f>COUNTIFS(集計用!$G323,"*, "&amp;AP$3&amp;", *")</f>
        <v>0</v>
      </c>
      <c r="AQ325" s="2">
        <f>COUNTIFS(集計用!$G323,"*, "&amp;AQ$3&amp;", *")</f>
        <v>0</v>
      </c>
      <c r="AR325" s="2">
        <f>COUNTIFS(集計用!$G323,"*, "&amp;AR$3&amp;", *")</f>
        <v>0</v>
      </c>
      <c r="AS325" s="2">
        <f>COUNTIFS(集計用!$G323,"*, "&amp;AS$3&amp;", *")</f>
        <v>0</v>
      </c>
      <c r="AT325" s="2">
        <f>COUNTIFS(集計用!$G323,"*, "&amp;AT$3&amp;", *")</f>
        <v>0</v>
      </c>
      <c r="AU325" s="2">
        <f>COUNTIFS(集計用!$G323,"*, "&amp;AU$3&amp;", *")</f>
        <v>0</v>
      </c>
      <c r="AV325" s="2">
        <f>COUNTIFS(集計用!$G323,"*, "&amp;AV$3&amp;", *")</f>
        <v>0</v>
      </c>
      <c r="AW325" s="2">
        <f>COUNTIFS(集計用!$G323,"*, "&amp;AW$3&amp;", *")</f>
        <v>0</v>
      </c>
      <c r="AX325" s="2">
        <f>COUNTIFS(集計用!$G323,"*, "&amp;AX$3&amp;", *")</f>
        <v>0</v>
      </c>
      <c r="AY325" s="2">
        <f>COUNTIFS(集計用!$G323,"*, "&amp;AY$3&amp;", *")</f>
        <v>0</v>
      </c>
      <c r="AZ325" s="2">
        <f>COUNTIFS(集計用!$G323,"*, "&amp;AZ$3&amp;", *")</f>
        <v>0</v>
      </c>
      <c r="BA325" s="2">
        <f>COUNTIFS(集計用!$G323,"*, "&amp;BA$3&amp;", *")</f>
        <v>0</v>
      </c>
      <c r="BB325" s="2">
        <f>COUNTIFS(集計用!$G323,"*, "&amp;BB$3&amp;", *")</f>
        <v>0</v>
      </c>
      <c r="BC325" s="2">
        <f>COUNTIFS(集計用!$G323,"*, "&amp;BC$3&amp;", *")</f>
        <v>0</v>
      </c>
      <c r="BD325" s="2">
        <f>COUNTIFS(集計用!$G323,"*, "&amp;BD$3&amp;", *")</f>
        <v>0</v>
      </c>
      <c r="BE325" s="2">
        <f>COUNTIFS(集計用!$G323,"*, "&amp;BE$3&amp;", *")</f>
        <v>0</v>
      </c>
      <c r="BF325" s="2">
        <f>COUNTIFS(集計用!$G323,"*, "&amp;BF$3&amp;", *")</f>
        <v>0</v>
      </c>
      <c r="BG325" s="2">
        <f>COUNTIFS(集計用!$G323,"*, "&amp;BG$3&amp;", *")</f>
        <v>0</v>
      </c>
      <c r="BH325" s="2">
        <f>COUNTIFS(集計用!$G323,"*, "&amp;BH$3&amp;", *")</f>
        <v>0</v>
      </c>
      <c r="BI325" s="2">
        <f>COUNTIFS(集計用!$G323,"*, "&amp;BI$3&amp;", *")</f>
        <v>0</v>
      </c>
      <c r="BJ325" s="2">
        <f>LEN(集計用!H323)-LEN(SUBSTITUTE(集計用!H323,",",""))</f>
        <v>0</v>
      </c>
    </row>
    <row r="326" spans="1:62" ht="12.75">
      <c r="A326" s="8">
        <v>323</v>
      </c>
      <c r="C326" s="2">
        <f t="shared" si="3"/>
        <v>2</v>
      </c>
      <c r="D326" s="9"/>
      <c r="E326" s="2">
        <f>COUNTIFS(集計用!$G324,"*, "&amp;E$3&amp;", *")</f>
        <v>1</v>
      </c>
      <c r="F326" s="2">
        <f>COUNTIFS(集計用!$G324,"*, "&amp;F$3&amp;", *")</f>
        <v>0</v>
      </c>
      <c r="G326" s="2">
        <f>COUNTIFS(集計用!$G324,"*, "&amp;G$3&amp;", *")</f>
        <v>0</v>
      </c>
      <c r="H326" s="2">
        <f>COUNTIFS(集計用!$G324,"*, "&amp;H$3&amp;", *")</f>
        <v>0</v>
      </c>
      <c r="I326" s="2">
        <f>COUNTIFS(集計用!$G324,"*, "&amp;I$3&amp;", *")</f>
        <v>1</v>
      </c>
      <c r="J326" s="2">
        <f>COUNTIFS(集計用!$G324,"*, "&amp;J$3&amp;", *")</f>
        <v>0</v>
      </c>
      <c r="K326" s="2">
        <f>COUNTIFS(集計用!$G324,"*, "&amp;K$3&amp;", *")</f>
        <v>0</v>
      </c>
      <c r="L326" s="2">
        <f>COUNTIFS(集計用!$G324,"*, "&amp;L$3&amp;", *")</f>
        <v>0</v>
      </c>
      <c r="M326" s="2">
        <f>COUNTIFS(集計用!$G324,"*, "&amp;M$3&amp;", *")</f>
        <v>0</v>
      </c>
      <c r="N326" s="2">
        <f>COUNTIFS(集計用!$G324,"*, "&amp;N$3&amp;", *")</f>
        <v>0</v>
      </c>
      <c r="O326" s="2">
        <f>COUNTIFS(集計用!$G324,"*, "&amp;O$3&amp;", *")</f>
        <v>0</v>
      </c>
      <c r="P326" s="2">
        <f>COUNTIFS(集計用!$G324,"*, "&amp;P$3&amp;", *")</f>
        <v>0</v>
      </c>
      <c r="Q326" s="2">
        <f>COUNTIFS(集計用!$G324,"*, "&amp;Q$3&amp;", *")</f>
        <v>0</v>
      </c>
      <c r="R326" s="2">
        <f>COUNTIFS(集計用!$G324,"*, "&amp;R$3&amp;", *")</f>
        <v>0</v>
      </c>
      <c r="S326" s="2">
        <f>COUNTIFS(集計用!$G324,"*, "&amp;S$3&amp;", *")</f>
        <v>0</v>
      </c>
      <c r="T326" s="2">
        <f>COUNTIFS(集計用!$G324,"*, "&amp;T$3&amp;", *")</f>
        <v>0</v>
      </c>
      <c r="U326" s="2">
        <f>COUNTIFS(集計用!$G324,"*, "&amp;U$3&amp;", *")</f>
        <v>0</v>
      </c>
      <c r="V326" s="2">
        <f>COUNTIFS(集計用!$G324,"*, "&amp;V$3&amp;", *")</f>
        <v>0</v>
      </c>
      <c r="W326" s="2">
        <f>COUNTIFS(集計用!$G324,"*, "&amp;W$3&amp;", *")</f>
        <v>0</v>
      </c>
      <c r="X326" s="2">
        <f>COUNTIFS(集計用!$G324,"*, "&amp;X$3&amp;", *")</f>
        <v>0</v>
      </c>
      <c r="Y326" s="2">
        <f>COUNTIFS(集計用!$G324,"*, "&amp;Y$3&amp;", *")</f>
        <v>0</v>
      </c>
      <c r="Z326" s="2">
        <f>COUNTIFS(集計用!$G324,"*, "&amp;Z$3&amp;", *")</f>
        <v>0</v>
      </c>
      <c r="AA326" s="2">
        <f>COUNTIFS(集計用!$G324,"*, "&amp;AA$3&amp;", *")</f>
        <v>0</v>
      </c>
      <c r="AB326" s="2">
        <f>COUNTIFS(集計用!$G324,"*, "&amp;AB$3&amp;", *")</f>
        <v>0</v>
      </c>
      <c r="AC326" s="2">
        <f>COUNTIFS(集計用!$G324,"*, "&amp;AC$3&amp;", *")</f>
        <v>0</v>
      </c>
      <c r="AD326" s="2">
        <f>COUNTIFS(集計用!$G324,"*, "&amp;AD$3&amp;", *")</f>
        <v>0</v>
      </c>
      <c r="AE326" s="2">
        <f>COUNTIFS(集計用!$G324,"*, "&amp;AE$3&amp;", *")</f>
        <v>0</v>
      </c>
      <c r="AF326" s="2">
        <f>COUNTIFS(集計用!$G324,"*, "&amp;AF$3&amp;", *")</f>
        <v>0</v>
      </c>
      <c r="AG326" s="2">
        <f>COUNTIFS(集計用!$G324,"*, "&amp;AG$3&amp;", *")</f>
        <v>0</v>
      </c>
      <c r="AH326" s="2">
        <f>COUNTIFS(集計用!$G324,"*, "&amp;AH$3&amp;", *")</f>
        <v>0</v>
      </c>
      <c r="AI326" s="2">
        <f>COUNTIFS(集計用!$G324,"*, "&amp;AI$3&amp;", *")</f>
        <v>0</v>
      </c>
      <c r="AJ326" s="2">
        <f>COUNTIFS(集計用!$G324,"*, "&amp;AJ$3&amp;", *")</f>
        <v>0</v>
      </c>
      <c r="AK326" s="2">
        <f>COUNTIFS(集計用!$G324,"*, "&amp;AK$3&amp;", *")</f>
        <v>0</v>
      </c>
      <c r="AL326" s="2">
        <f>COUNTIFS(集計用!$G324,"*, "&amp;AL$3&amp;", *")</f>
        <v>0</v>
      </c>
      <c r="AM326" s="2">
        <f>COUNTIFS(集計用!$G324,"*, "&amp;AM$3&amp;", *")</f>
        <v>0</v>
      </c>
      <c r="AN326" s="2">
        <f>COUNTIFS(集計用!$G324,"*, "&amp;AN$3&amp;", *")</f>
        <v>0</v>
      </c>
      <c r="AO326" s="2">
        <f>COUNTIFS(集計用!$G324,"*, "&amp;AO$3&amp;", *")</f>
        <v>0</v>
      </c>
      <c r="AP326" s="2">
        <f>COUNTIFS(集計用!$G324,"*, "&amp;AP$3&amp;", *")</f>
        <v>0</v>
      </c>
      <c r="AQ326" s="2">
        <f>COUNTIFS(集計用!$G324,"*, "&amp;AQ$3&amp;", *")</f>
        <v>0</v>
      </c>
      <c r="AR326" s="2">
        <f>COUNTIFS(集計用!$G324,"*, "&amp;AR$3&amp;", *")</f>
        <v>0</v>
      </c>
      <c r="AS326" s="2">
        <f>COUNTIFS(集計用!$G324,"*, "&amp;AS$3&amp;", *")</f>
        <v>0</v>
      </c>
      <c r="AT326" s="2">
        <f>COUNTIFS(集計用!$G324,"*, "&amp;AT$3&amp;", *")</f>
        <v>0</v>
      </c>
      <c r="AU326" s="2">
        <f>COUNTIFS(集計用!$G324,"*, "&amp;AU$3&amp;", *")</f>
        <v>0</v>
      </c>
      <c r="AV326" s="2">
        <f>COUNTIFS(集計用!$G324,"*, "&amp;AV$3&amp;", *")</f>
        <v>0</v>
      </c>
      <c r="AW326" s="2">
        <f>COUNTIFS(集計用!$G324,"*, "&amp;AW$3&amp;", *")</f>
        <v>0</v>
      </c>
      <c r="AX326" s="2">
        <f>COUNTIFS(集計用!$G324,"*, "&amp;AX$3&amp;", *")</f>
        <v>0</v>
      </c>
      <c r="AY326" s="2">
        <f>COUNTIFS(集計用!$G324,"*, "&amp;AY$3&amp;", *")</f>
        <v>0</v>
      </c>
      <c r="AZ326" s="2">
        <f>COUNTIFS(集計用!$G324,"*, "&amp;AZ$3&amp;", *")</f>
        <v>0</v>
      </c>
      <c r="BA326" s="2">
        <f>COUNTIFS(集計用!$G324,"*, "&amp;BA$3&amp;", *")</f>
        <v>0</v>
      </c>
      <c r="BB326" s="2">
        <f>COUNTIFS(集計用!$G324,"*, "&amp;BB$3&amp;", *")</f>
        <v>0</v>
      </c>
      <c r="BC326" s="2">
        <f>COUNTIFS(集計用!$G324,"*, "&amp;BC$3&amp;", *")</f>
        <v>0</v>
      </c>
      <c r="BD326" s="2">
        <f>COUNTIFS(集計用!$G324,"*, "&amp;BD$3&amp;", *")</f>
        <v>0</v>
      </c>
      <c r="BE326" s="2">
        <f>COUNTIFS(集計用!$G324,"*, "&amp;BE$3&amp;", *")</f>
        <v>0</v>
      </c>
      <c r="BF326" s="2">
        <f>COUNTIFS(集計用!$G324,"*, "&amp;BF$3&amp;", *")</f>
        <v>0</v>
      </c>
      <c r="BG326" s="2">
        <f>COUNTIFS(集計用!$G324,"*, "&amp;BG$3&amp;", *")</f>
        <v>0</v>
      </c>
      <c r="BH326" s="2">
        <f>COUNTIFS(集計用!$G324,"*, "&amp;BH$3&amp;", *")</f>
        <v>0</v>
      </c>
      <c r="BI326" s="2">
        <f>COUNTIFS(集計用!$G324,"*, "&amp;BI$3&amp;", *")</f>
        <v>0</v>
      </c>
      <c r="BJ326" s="2">
        <f>LEN(集計用!H324)-LEN(SUBSTITUTE(集計用!H324,",",""))</f>
        <v>0</v>
      </c>
    </row>
    <row r="327" spans="1:62" ht="12.75">
      <c r="A327" s="8">
        <v>324</v>
      </c>
      <c r="C327" s="2">
        <f t="shared" si="3"/>
        <v>8</v>
      </c>
      <c r="D327" s="9"/>
      <c r="E327" s="2">
        <f>COUNTIFS(集計用!$G325,"*, "&amp;E$3&amp;", *")</f>
        <v>1</v>
      </c>
      <c r="F327" s="2">
        <f>COUNTIFS(集計用!$G325,"*, "&amp;F$3&amp;", *")</f>
        <v>0</v>
      </c>
      <c r="G327" s="2">
        <f>COUNTIFS(集計用!$G325,"*, "&amp;G$3&amp;", *")</f>
        <v>1</v>
      </c>
      <c r="H327" s="2">
        <f>COUNTIFS(集計用!$G325,"*, "&amp;H$3&amp;", *")</f>
        <v>0</v>
      </c>
      <c r="I327" s="2">
        <f>COUNTIFS(集計用!$G325,"*, "&amp;I$3&amp;", *")</f>
        <v>0</v>
      </c>
      <c r="J327" s="2">
        <f>COUNTIFS(集計用!$G325,"*, "&amp;J$3&amp;", *")</f>
        <v>0</v>
      </c>
      <c r="K327" s="2">
        <f>COUNTIFS(集計用!$G325,"*, "&amp;K$3&amp;", *")</f>
        <v>0</v>
      </c>
      <c r="L327" s="2">
        <f>COUNTIFS(集計用!$G325,"*, "&amp;L$3&amp;", *")</f>
        <v>0</v>
      </c>
      <c r="M327" s="2">
        <f>COUNTIFS(集計用!$G325,"*, "&amp;M$3&amp;", *")</f>
        <v>1</v>
      </c>
      <c r="N327" s="2">
        <f>COUNTIFS(集計用!$G325,"*, "&amp;N$3&amp;", *")</f>
        <v>1</v>
      </c>
      <c r="O327" s="2">
        <f>COUNTIFS(集計用!$G325,"*, "&amp;O$3&amp;", *")</f>
        <v>0</v>
      </c>
      <c r="P327" s="2">
        <f>COUNTIFS(集計用!$G325,"*, "&amp;P$3&amp;", *")</f>
        <v>0</v>
      </c>
      <c r="Q327" s="2">
        <f>COUNTIFS(集計用!$G325,"*, "&amp;Q$3&amp;", *")</f>
        <v>0</v>
      </c>
      <c r="R327" s="2">
        <f>COUNTIFS(集計用!$G325,"*, "&amp;R$3&amp;", *")</f>
        <v>1</v>
      </c>
      <c r="S327" s="2">
        <f>COUNTIFS(集計用!$G325,"*, "&amp;S$3&amp;", *")</f>
        <v>0</v>
      </c>
      <c r="T327" s="2">
        <f>COUNTIFS(集計用!$G325,"*, "&amp;T$3&amp;", *")</f>
        <v>0</v>
      </c>
      <c r="U327" s="2">
        <f>COUNTIFS(集計用!$G325,"*, "&amp;U$3&amp;", *")</f>
        <v>0</v>
      </c>
      <c r="V327" s="2">
        <f>COUNTIFS(集計用!$G325,"*, "&amp;V$3&amp;", *")</f>
        <v>0</v>
      </c>
      <c r="W327" s="2">
        <f>COUNTIFS(集計用!$G325,"*, "&amp;W$3&amp;", *")</f>
        <v>0</v>
      </c>
      <c r="X327" s="2">
        <f>COUNTIFS(集計用!$G325,"*, "&amp;X$3&amp;", *")</f>
        <v>1</v>
      </c>
      <c r="Y327" s="2">
        <f>COUNTIFS(集計用!$G325,"*, "&amp;Y$3&amp;", *")</f>
        <v>0</v>
      </c>
      <c r="Z327" s="2">
        <f>COUNTIFS(集計用!$G325,"*, "&amp;Z$3&amp;", *")</f>
        <v>0</v>
      </c>
      <c r="AA327" s="2">
        <f>COUNTIFS(集計用!$G325,"*, "&amp;AA$3&amp;", *")</f>
        <v>1</v>
      </c>
      <c r="AB327" s="2">
        <f>COUNTIFS(集計用!$G325,"*, "&amp;AB$3&amp;", *")</f>
        <v>1</v>
      </c>
      <c r="AC327" s="2">
        <f>COUNTIFS(集計用!$G325,"*, "&amp;AC$3&amp;", *")</f>
        <v>0</v>
      </c>
      <c r="AD327" s="2">
        <f>COUNTIFS(集計用!$G325,"*, "&amp;AD$3&amp;", *")</f>
        <v>0</v>
      </c>
      <c r="AE327" s="2">
        <f>COUNTIFS(集計用!$G325,"*, "&amp;AE$3&amp;", *")</f>
        <v>0</v>
      </c>
      <c r="AF327" s="2">
        <f>COUNTIFS(集計用!$G325,"*, "&amp;AF$3&amp;", *")</f>
        <v>0</v>
      </c>
      <c r="AG327" s="2">
        <f>COUNTIFS(集計用!$G325,"*, "&amp;AG$3&amp;", *")</f>
        <v>0</v>
      </c>
      <c r="AH327" s="2">
        <f>COUNTIFS(集計用!$G325,"*, "&amp;AH$3&amp;", *")</f>
        <v>0</v>
      </c>
      <c r="AI327" s="2">
        <f>COUNTIFS(集計用!$G325,"*, "&amp;AI$3&amp;", *")</f>
        <v>0</v>
      </c>
      <c r="AJ327" s="2">
        <f>COUNTIFS(集計用!$G325,"*, "&amp;AJ$3&amp;", *")</f>
        <v>0</v>
      </c>
      <c r="AK327" s="2">
        <f>COUNTIFS(集計用!$G325,"*, "&amp;AK$3&amp;", *")</f>
        <v>0</v>
      </c>
      <c r="AL327" s="2">
        <f>COUNTIFS(集計用!$G325,"*, "&amp;AL$3&amp;", *")</f>
        <v>0</v>
      </c>
      <c r="AM327" s="2">
        <f>COUNTIFS(集計用!$G325,"*, "&amp;AM$3&amp;", *")</f>
        <v>0</v>
      </c>
      <c r="AN327" s="2">
        <f>COUNTIFS(集計用!$G325,"*, "&amp;AN$3&amp;", *")</f>
        <v>0</v>
      </c>
      <c r="AO327" s="2">
        <f>COUNTIFS(集計用!$G325,"*, "&amp;AO$3&amp;", *")</f>
        <v>0</v>
      </c>
      <c r="AP327" s="2">
        <f>COUNTIFS(集計用!$G325,"*, "&amp;AP$3&amp;", *")</f>
        <v>0</v>
      </c>
      <c r="AQ327" s="2">
        <f>COUNTIFS(集計用!$G325,"*, "&amp;AQ$3&amp;", *")</f>
        <v>0</v>
      </c>
      <c r="AR327" s="2">
        <f>COUNTIFS(集計用!$G325,"*, "&amp;AR$3&amp;", *")</f>
        <v>0</v>
      </c>
      <c r="AS327" s="2">
        <f>COUNTIFS(集計用!$G325,"*, "&amp;AS$3&amp;", *")</f>
        <v>0</v>
      </c>
      <c r="AT327" s="2">
        <f>COUNTIFS(集計用!$G325,"*, "&amp;AT$3&amp;", *")</f>
        <v>0</v>
      </c>
      <c r="AU327" s="2">
        <f>COUNTIFS(集計用!$G325,"*, "&amp;AU$3&amp;", *")</f>
        <v>0</v>
      </c>
      <c r="AV327" s="2">
        <f>COUNTIFS(集計用!$G325,"*, "&amp;AV$3&amp;", *")</f>
        <v>0</v>
      </c>
      <c r="AW327" s="2">
        <f>COUNTIFS(集計用!$G325,"*, "&amp;AW$3&amp;", *")</f>
        <v>0</v>
      </c>
      <c r="AX327" s="2">
        <f>COUNTIFS(集計用!$G325,"*, "&amp;AX$3&amp;", *")</f>
        <v>0</v>
      </c>
      <c r="AY327" s="2">
        <f>COUNTIFS(集計用!$G325,"*, "&amp;AY$3&amp;", *")</f>
        <v>0</v>
      </c>
      <c r="AZ327" s="2">
        <f>COUNTIFS(集計用!$G325,"*, "&amp;AZ$3&amp;", *")</f>
        <v>0</v>
      </c>
      <c r="BA327" s="2">
        <f>COUNTIFS(集計用!$G325,"*, "&amp;BA$3&amp;", *")</f>
        <v>0</v>
      </c>
      <c r="BB327" s="2">
        <f>COUNTIFS(集計用!$G325,"*, "&amp;BB$3&amp;", *")</f>
        <v>0</v>
      </c>
      <c r="BC327" s="2">
        <f>COUNTIFS(集計用!$G325,"*, "&amp;BC$3&amp;", *")</f>
        <v>0</v>
      </c>
      <c r="BD327" s="2">
        <f>COUNTIFS(集計用!$G325,"*, "&amp;BD$3&amp;", *")</f>
        <v>0</v>
      </c>
      <c r="BE327" s="2">
        <f>COUNTIFS(集計用!$G325,"*, "&amp;BE$3&amp;", *")</f>
        <v>0</v>
      </c>
      <c r="BF327" s="2">
        <f>COUNTIFS(集計用!$G325,"*, "&amp;BF$3&amp;", *")</f>
        <v>0</v>
      </c>
      <c r="BG327" s="2">
        <f>COUNTIFS(集計用!$G325,"*, "&amp;BG$3&amp;", *")</f>
        <v>0</v>
      </c>
      <c r="BH327" s="2">
        <f>COUNTIFS(集計用!$G325,"*, "&amp;BH$3&amp;", *")</f>
        <v>0</v>
      </c>
      <c r="BI327" s="2">
        <f>COUNTIFS(集計用!$G325,"*, "&amp;BI$3&amp;", *")</f>
        <v>0</v>
      </c>
      <c r="BJ327" s="2">
        <f>LEN(集計用!H325)-LEN(SUBSTITUTE(集計用!H325,",",""))</f>
        <v>0</v>
      </c>
    </row>
    <row r="328" spans="1:62" ht="12.75">
      <c r="A328" s="8">
        <v>325</v>
      </c>
      <c r="C328" s="2">
        <f t="shared" si="3"/>
        <v>2</v>
      </c>
      <c r="D328" s="9"/>
      <c r="E328" s="2">
        <f>COUNTIFS(集計用!$G326,"*, "&amp;E$3&amp;", *")</f>
        <v>0</v>
      </c>
      <c r="F328" s="2">
        <f>COUNTIFS(集計用!$G326,"*, "&amp;F$3&amp;", *")</f>
        <v>0</v>
      </c>
      <c r="G328" s="2">
        <f>COUNTIFS(集計用!$G326,"*, "&amp;G$3&amp;", *")</f>
        <v>0</v>
      </c>
      <c r="H328" s="2">
        <f>COUNTIFS(集計用!$G326,"*, "&amp;H$3&amp;", *")</f>
        <v>0</v>
      </c>
      <c r="I328" s="2">
        <f>COUNTIFS(集計用!$G326,"*, "&amp;I$3&amp;", *")</f>
        <v>0</v>
      </c>
      <c r="J328" s="2">
        <f>COUNTIFS(集計用!$G326,"*, "&amp;J$3&amp;", *")</f>
        <v>0</v>
      </c>
      <c r="K328" s="2">
        <f>COUNTIFS(集計用!$G326,"*, "&amp;K$3&amp;", *")</f>
        <v>0</v>
      </c>
      <c r="L328" s="2">
        <f>COUNTIFS(集計用!$G326,"*, "&amp;L$3&amp;", *")</f>
        <v>0</v>
      </c>
      <c r="M328" s="2">
        <f>COUNTIFS(集計用!$G326,"*, "&amp;M$3&amp;", *")</f>
        <v>0</v>
      </c>
      <c r="N328" s="2">
        <f>COUNTIFS(集計用!$G326,"*, "&amp;N$3&amp;", *")</f>
        <v>0</v>
      </c>
      <c r="O328" s="2">
        <f>COUNTIFS(集計用!$G326,"*, "&amp;O$3&amp;", *")</f>
        <v>0</v>
      </c>
      <c r="P328" s="2">
        <f>COUNTIFS(集計用!$G326,"*, "&amp;P$3&amp;", *")</f>
        <v>1</v>
      </c>
      <c r="Q328" s="2">
        <f>COUNTIFS(集計用!$G326,"*, "&amp;Q$3&amp;", *")</f>
        <v>0</v>
      </c>
      <c r="R328" s="2">
        <f>COUNTIFS(集計用!$G326,"*, "&amp;R$3&amp;", *")</f>
        <v>0</v>
      </c>
      <c r="S328" s="2">
        <f>COUNTIFS(集計用!$G326,"*, "&amp;S$3&amp;", *")</f>
        <v>0</v>
      </c>
      <c r="T328" s="2">
        <f>COUNTIFS(集計用!$G326,"*, "&amp;T$3&amp;", *")</f>
        <v>0</v>
      </c>
      <c r="U328" s="2">
        <f>COUNTIFS(集計用!$G326,"*, "&amp;U$3&amp;", *")</f>
        <v>0</v>
      </c>
      <c r="V328" s="2">
        <f>COUNTIFS(集計用!$G326,"*, "&amp;V$3&amp;", *")</f>
        <v>0</v>
      </c>
      <c r="W328" s="2">
        <f>COUNTIFS(集計用!$G326,"*, "&amp;W$3&amp;", *")</f>
        <v>0</v>
      </c>
      <c r="X328" s="2">
        <f>COUNTIFS(集計用!$G326,"*, "&amp;X$3&amp;", *")</f>
        <v>0</v>
      </c>
      <c r="Y328" s="2">
        <f>COUNTIFS(集計用!$G326,"*, "&amp;Y$3&amp;", *")</f>
        <v>0</v>
      </c>
      <c r="Z328" s="2">
        <f>COUNTIFS(集計用!$G326,"*, "&amp;Z$3&amp;", *")</f>
        <v>0</v>
      </c>
      <c r="AA328" s="2">
        <f>COUNTIFS(集計用!$G326,"*, "&amp;AA$3&amp;", *")</f>
        <v>0</v>
      </c>
      <c r="AB328" s="2">
        <f>COUNTIFS(集計用!$G326,"*, "&amp;AB$3&amp;", *")</f>
        <v>0</v>
      </c>
      <c r="AC328" s="2">
        <f>COUNTIFS(集計用!$G326,"*, "&amp;AC$3&amp;", *")</f>
        <v>0</v>
      </c>
      <c r="AD328" s="2">
        <f>COUNTIFS(集計用!$G326,"*, "&amp;AD$3&amp;", *")</f>
        <v>1</v>
      </c>
      <c r="AE328" s="2">
        <f>COUNTIFS(集計用!$G326,"*, "&amp;AE$3&amp;", *")</f>
        <v>0</v>
      </c>
      <c r="AF328" s="2">
        <f>COUNTIFS(集計用!$G326,"*, "&amp;AF$3&amp;", *")</f>
        <v>0</v>
      </c>
      <c r="AG328" s="2">
        <f>COUNTIFS(集計用!$G326,"*, "&amp;AG$3&amp;", *")</f>
        <v>0</v>
      </c>
      <c r="AH328" s="2">
        <f>COUNTIFS(集計用!$G326,"*, "&amp;AH$3&amp;", *")</f>
        <v>0</v>
      </c>
      <c r="AI328" s="2">
        <f>COUNTIFS(集計用!$G326,"*, "&amp;AI$3&amp;", *")</f>
        <v>0</v>
      </c>
      <c r="AJ328" s="2">
        <f>COUNTIFS(集計用!$G326,"*, "&amp;AJ$3&amp;", *")</f>
        <v>0</v>
      </c>
      <c r="AK328" s="2">
        <f>COUNTIFS(集計用!$G326,"*, "&amp;AK$3&amp;", *")</f>
        <v>0</v>
      </c>
      <c r="AL328" s="2">
        <f>COUNTIFS(集計用!$G326,"*, "&amp;AL$3&amp;", *")</f>
        <v>0</v>
      </c>
      <c r="AM328" s="2">
        <f>COUNTIFS(集計用!$G326,"*, "&amp;AM$3&amp;", *")</f>
        <v>0</v>
      </c>
      <c r="AN328" s="2">
        <f>COUNTIFS(集計用!$G326,"*, "&amp;AN$3&amp;", *")</f>
        <v>0</v>
      </c>
      <c r="AO328" s="2">
        <f>COUNTIFS(集計用!$G326,"*, "&amp;AO$3&amp;", *")</f>
        <v>0</v>
      </c>
      <c r="AP328" s="2">
        <f>COUNTIFS(集計用!$G326,"*, "&amp;AP$3&amp;", *")</f>
        <v>0</v>
      </c>
      <c r="AQ328" s="2">
        <f>COUNTIFS(集計用!$G326,"*, "&amp;AQ$3&amp;", *")</f>
        <v>0</v>
      </c>
      <c r="AR328" s="2">
        <f>COUNTIFS(集計用!$G326,"*, "&amp;AR$3&amp;", *")</f>
        <v>0</v>
      </c>
      <c r="AS328" s="2">
        <f>COUNTIFS(集計用!$G326,"*, "&amp;AS$3&amp;", *")</f>
        <v>0</v>
      </c>
      <c r="AT328" s="2">
        <f>COUNTIFS(集計用!$G326,"*, "&amp;AT$3&amp;", *")</f>
        <v>0</v>
      </c>
      <c r="AU328" s="2">
        <f>COUNTIFS(集計用!$G326,"*, "&amp;AU$3&amp;", *")</f>
        <v>0</v>
      </c>
      <c r="AV328" s="2">
        <f>COUNTIFS(集計用!$G326,"*, "&amp;AV$3&amp;", *")</f>
        <v>0</v>
      </c>
      <c r="AW328" s="2">
        <f>COUNTIFS(集計用!$G326,"*, "&amp;AW$3&amp;", *")</f>
        <v>0</v>
      </c>
      <c r="AX328" s="2">
        <f>COUNTIFS(集計用!$G326,"*, "&amp;AX$3&amp;", *")</f>
        <v>0</v>
      </c>
      <c r="AY328" s="2">
        <f>COUNTIFS(集計用!$G326,"*, "&amp;AY$3&amp;", *")</f>
        <v>0</v>
      </c>
      <c r="AZ328" s="2">
        <f>COUNTIFS(集計用!$G326,"*, "&amp;AZ$3&amp;", *")</f>
        <v>0</v>
      </c>
      <c r="BA328" s="2">
        <f>COUNTIFS(集計用!$G326,"*, "&amp;BA$3&amp;", *")</f>
        <v>0</v>
      </c>
      <c r="BB328" s="2">
        <f>COUNTIFS(集計用!$G326,"*, "&amp;BB$3&amp;", *")</f>
        <v>0</v>
      </c>
      <c r="BC328" s="2">
        <f>COUNTIFS(集計用!$G326,"*, "&amp;BC$3&amp;", *")</f>
        <v>0</v>
      </c>
      <c r="BD328" s="2">
        <f>COUNTIFS(集計用!$G326,"*, "&amp;BD$3&amp;", *")</f>
        <v>0</v>
      </c>
      <c r="BE328" s="2">
        <f>COUNTIFS(集計用!$G326,"*, "&amp;BE$3&amp;", *")</f>
        <v>0</v>
      </c>
      <c r="BF328" s="2">
        <f>COUNTIFS(集計用!$G326,"*, "&amp;BF$3&amp;", *")</f>
        <v>0</v>
      </c>
      <c r="BG328" s="2">
        <f>COUNTIFS(集計用!$G326,"*, "&amp;BG$3&amp;", *")</f>
        <v>0</v>
      </c>
      <c r="BH328" s="2">
        <f>COUNTIFS(集計用!$G326,"*, "&amp;BH$3&amp;", *")</f>
        <v>0</v>
      </c>
      <c r="BI328" s="2">
        <f>COUNTIFS(集計用!$G326,"*, "&amp;BI$3&amp;", *")</f>
        <v>0</v>
      </c>
      <c r="BJ328" s="2">
        <f>LEN(集計用!H326)-LEN(SUBSTITUTE(集計用!H326,",",""))</f>
        <v>0</v>
      </c>
    </row>
    <row r="329" spans="1:62" ht="12.75">
      <c r="A329" s="8">
        <v>326</v>
      </c>
      <c r="C329" s="2">
        <f t="shared" si="3"/>
        <v>1</v>
      </c>
      <c r="D329" s="9"/>
      <c r="E329" s="2">
        <f>COUNTIFS(集計用!$G327,"*, "&amp;E$3&amp;", *")</f>
        <v>1</v>
      </c>
      <c r="F329" s="2">
        <f>COUNTIFS(集計用!$G327,"*, "&amp;F$3&amp;", *")</f>
        <v>0</v>
      </c>
      <c r="G329" s="2">
        <f>COUNTIFS(集計用!$G327,"*, "&amp;G$3&amp;", *")</f>
        <v>0</v>
      </c>
      <c r="H329" s="2">
        <f>COUNTIFS(集計用!$G327,"*, "&amp;H$3&amp;", *")</f>
        <v>0</v>
      </c>
      <c r="I329" s="2">
        <f>COUNTIFS(集計用!$G327,"*, "&amp;I$3&amp;", *")</f>
        <v>0</v>
      </c>
      <c r="J329" s="2">
        <f>COUNTIFS(集計用!$G327,"*, "&amp;J$3&amp;", *")</f>
        <v>0</v>
      </c>
      <c r="K329" s="2">
        <f>COUNTIFS(集計用!$G327,"*, "&amp;K$3&amp;", *")</f>
        <v>0</v>
      </c>
      <c r="L329" s="2">
        <f>COUNTIFS(集計用!$G327,"*, "&amp;L$3&amp;", *")</f>
        <v>0</v>
      </c>
      <c r="M329" s="2">
        <f>COUNTIFS(集計用!$G327,"*, "&amp;M$3&amp;", *")</f>
        <v>0</v>
      </c>
      <c r="N329" s="2">
        <f>COUNTIFS(集計用!$G327,"*, "&amp;N$3&amp;", *")</f>
        <v>0</v>
      </c>
      <c r="O329" s="2">
        <f>COUNTIFS(集計用!$G327,"*, "&amp;O$3&amp;", *")</f>
        <v>0</v>
      </c>
      <c r="P329" s="2">
        <f>COUNTIFS(集計用!$G327,"*, "&amp;P$3&amp;", *")</f>
        <v>0</v>
      </c>
      <c r="Q329" s="2">
        <f>COUNTIFS(集計用!$G327,"*, "&amp;Q$3&amp;", *")</f>
        <v>0</v>
      </c>
      <c r="R329" s="2">
        <f>COUNTIFS(集計用!$G327,"*, "&amp;R$3&amp;", *")</f>
        <v>0</v>
      </c>
      <c r="S329" s="2">
        <f>COUNTIFS(集計用!$G327,"*, "&amp;S$3&amp;", *")</f>
        <v>0</v>
      </c>
      <c r="T329" s="2">
        <f>COUNTIFS(集計用!$G327,"*, "&amp;T$3&amp;", *")</f>
        <v>0</v>
      </c>
      <c r="U329" s="2">
        <f>COUNTIFS(集計用!$G327,"*, "&amp;U$3&amp;", *")</f>
        <v>0</v>
      </c>
      <c r="V329" s="2">
        <f>COUNTIFS(集計用!$G327,"*, "&amp;V$3&amp;", *")</f>
        <v>0</v>
      </c>
      <c r="W329" s="2">
        <f>COUNTIFS(集計用!$G327,"*, "&amp;W$3&amp;", *")</f>
        <v>0</v>
      </c>
      <c r="X329" s="2">
        <f>COUNTIFS(集計用!$G327,"*, "&amp;X$3&amp;", *")</f>
        <v>0</v>
      </c>
      <c r="Y329" s="2">
        <f>COUNTIFS(集計用!$G327,"*, "&amp;Y$3&amp;", *")</f>
        <v>0</v>
      </c>
      <c r="Z329" s="2">
        <f>COUNTIFS(集計用!$G327,"*, "&amp;Z$3&amp;", *")</f>
        <v>0</v>
      </c>
      <c r="AA329" s="2">
        <f>COUNTIFS(集計用!$G327,"*, "&amp;AA$3&amp;", *")</f>
        <v>0</v>
      </c>
      <c r="AB329" s="2">
        <f>COUNTIFS(集計用!$G327,"*, "&amp;AB$3&amp;", *")</f>
        <v>0</v>
      </c>
      <c r="AC329" s="2">
        <f>COUNTIFS(集計用!$G327,"*, "&amp;AC$3&amp;", *")</f>
        <v>0</v>
      </c>
      <c r="AD329" s="2">
        <f>COUNTIFS(集計用!$G327,"*, "&amp;AD$3&amp;", *")</f>
        <v>0</v>
      </c>
      <c r="AE329" s="2">
        <f>COUNTIFS(集計用!$G327,"*, "&amp;AE$3&amp;", *")</f>
        <v>0</v>
      </c>
      <c r="AF329" s="2">
        <f>COUNTIFS(集計用!$G327,"*, "&amp;AF$3&amp;", *")</f>
        <v>0</v>
      </c>
      <c r="AG329" s="2">
        <f>COUNTIFS(集計用!$G327,"*, "&amp;AG$3&amp;", *")</f>
        <v>0</v>
      </c>
      <c r="AH329" s="2">
        <f>COUNTIFS(集計用!$G327,"*, "&amp;AH$3&amp;", *")</f>
        <v>0</v>
      </c>
      <c r="AI329" s="2">
        <f>COUNTIFS(集計用!$G327,"*, "&amp;AI$3&amp;", *")</f>
        <v>0</v>
      </c>
      <c r="AJ329" s="2">
        <f>COUNTIFS(集計用!$G327,"*, "&amp;AJ$3&amp;", *")</f>
        <v>0</v>
      </c>
      <c r="AK329" s="2">
        <f>COUNTIFS(集計用!$G327,"*, "&amp;AK$3&amp;", *")</f>
        <v>0</v>
      </c>
      <c r="AL329" s="2">
        <f>COUNTIFS(集計用!$G327,"*, "&amp;AL$3&amp;", *")</f>
        <v>0</v>
      </c>
      <c r="AM329" s="2">
        <f>COUNTIFS(集計用!$G327,"*, "&amp;AM$3&amp;", *")</f>
        <v>0</v>
      </c>
      <c r="AN329" s="2">
        <f>COUNTIFS(集計用!$G327,"*, "&amp;AN$3&amp;", *")</f>
        <v>0</v>
      </c>
      <c r="AO329" s="2">
        <f>COUNTIFS(集計用!$G327,"*, "&amp;AO$3&amp;", *")</f>
        <v>0</v>
      </c>
      <c r="AP329" s="2">
        <f>COUNTIFS(集計用!$G327,"*, "&amp;AP$3&amp;", *")</f>
        <v>0</v>
      </c>
      <c r="AQ329" s="2">
        <f>COUNTIFS(集計用!$G327,"*, "&amp;AQ$3&amp;", *")</f>
        <v>0</v>
      </c>
      <c r="AR329" s="2">
        <f>COUNTIFS(集計用!$G327,"*, "&amp;AR$3&amp;", *")</f>
        <v>0</v>
      </c>
      <c r="AS329" s="2">
        <f>COUNTIFS(集計用!$G327,"*, "&amp;AS$3&amp;", *")</f>
        <v>0</v>
      </c>
      <c r="AT329" s="2">
        <f>COUNTIFS(集計用!$G327,"*, "&amp;AT$3&amp;", *")</f>
        <v>0</v>
      </c>
      <c r="AU329" s="2">
        <f>COUNTIFS(集計用!$G327,"*, "&amp;AU$3&amp;", *")</f>
        <v>0</v>
      </c>
      <c r="AV329" s="2">
        <f>COUNTIFS(集計用!$G327,"*, "&amp;AV$3&amp;", *")</f>
        <v>0</v>
      </c>
      <c r="AW329" s="2">
        <f>COUNTIFS(集計用!$G327,"*, "&amp;AW$3&amp;", *")</f>
        <v>0</v>
      </c>
      <c r="AX329" s="2">
        <f>COUNTIFS(集計用!$G327,"*, "&amp;AX$3&amp;", *")</f>
        <v>0</v>
      </c>
      <c r="AY329" s="2">
        <f>COUNTIFS(集計用!$G327,"*, "&amp;AY$3&amp;", *")</f>
        <v>0</v>
      </c>
      <c r="AZ329" s="2">
        <f>COUNTIFS(集計用!$G327,"*, "&amp;AZ$3&amp;", *")</f>
        <v>0</v>
      </c>
      <c r="BA329" s="2">
        <f>COUNTIFS(集計用!$G327,"*, "&amp;BA$3&amp;", *")</f>
        <v>0</v>
      </c>
      <c r="BB329" s="2">
        <f>COUNTIFS(集計用!$G327,"*, "&amp;BB$3&amp;", *")</f>
        <v>0</v>
      </c>
      <c r="BC329" s="2">
        <f>COUNTIFS(集計用!$G327,"*, "&amp;BC$3&amp;", *")</f>
        <v>0</v>
      </c>
      <c r="BD329" s="2">
        <f>COUNTIFS(集計用!$G327,"*, "&amp;BD$3&amp;", *")</f>
        <v>0</v>
      </c>
      <c r="BE329" s="2">
        <f>COUNTIFS(集計用!$G327,"*, "&amp;BE$3&amp;", *")</f>
        <v>0</v>
      </c>
      <c r="BF329" s="2">
        <f>COUNTIFS(集計用!$G327,"*, "&amp;BF$3&amp;", *")</f>
        <v>0</v>
      </c>
      <c r="BG329" s="2">
        <f>COUNTIFS(集計用!$G327,"*, "&amp;BG$3&amp;", *")</f>
        <v>0</v>
      </c>
      <c r="BH329" s="2">
        <f>COUNTIFS(集計用!$G327,"*, "&amp;BH$3&amp;", *")</f>
        <v>0</v>
      </c>
      <c r="BI329" s="2">
        <f>COUNTIFS(集計用!$G327,"*, "&amp;BI$3&amp;", *")</f>
        <v>0</v>
      </c>
      <c r="BJ329" s="2">
        <f>LEN(集計用!H327)-LEN(SUBSTITUTE(集計用!H327,",",""))</f>
        <v>0</v>
      </c>
    </row>
    <row r="330" spans="1:62" ht="12.75">
      <c r="A330" s="8">
        <v>327</v>
      </c>
      <c r="C330" s="2">
        <f t="shared" si="3"/>
        <v>4</v>
      </c>
      <c r="D330" s="9"/>
      <c r="E330" s="2">
        <f>COUNTIFS(集計用!$G328,"*, "&amp;E$3&amp;", *")</f>
        <v>0</v>
      </c>
      <c r="F330" s="2">
        <f>COUNTIFS(集計用!$G328,"*, "&amp;F$3&amp;", *")</f>
        <v>0</v>
      </c>
      <c r="G330" s="2">
        <f>COUNTIFS(集計用!$G328,"*, "&amp;G$3&amp;", *")</f>
        <v>1</v>
      </c>
      <c r="H330" s="2">
        <f>COUNTIFS(集計用!$G328,"*, "&amp;H$3&amp;", *")</f>
        <v>0</v>
      </c>
      <c r="I330" s="2">
        <f>COUNTIFS(集計用!$G328,"*, "&amp;I$3&amp;", *")</f>
        <v>0</v>
      </c>
      <c r="J330" s="2">
        <f>COUNTIFS(集計用!$G328,"*, "&amp;J$3&amp;", *")</f>
        <v>0</v>
      </c>
      <c r="K330" s="2">
        <f>COUNTIFS(集計用!$G328,"*, "&amp;K$3&amp;", *")</f>
        <v>0</v>
      </c>
      <c r="L330" s="2">
        <f>COUNTIFS(集計用!$G328,"*, "&amp;L$3&amp;", *")</f>
        <v>0</v>
      </c>
      <c r="M330" s="2">
        <f>COUNTIFS(集計用!$G328,"*, "&amp;M$3&amp;", *")</f>
        <v>0</v>
      </c>
      <c r="N330" s="2">
        <f>COUNTIFS(集計用!$G328,"*, "&amp;N$3&amp;", *")</f>
        <v>1</v>
      </c>
      <c r="O330" s="2">
        <f>COUNTIFS(集計用!$G328,"*, "&amp;O$3&amp;", *")</f>
        <v>0</v>
      </c>
      <c r="P330" s="2">
        <f>COUNTIFS(集計用!$G328,"*, "&amp;P$3&amp;", *")</f>
        <v>0</v>
      </c>
      <c r="Q330" s="2">
        <f>COUNTIFS(集計用!$G328,"*, "&amp;Q$3&amp;", *")</f>
        <v>0</v>
      </c>
      <c r="R330" s="2">
        <f>COUNTIFS(集計用!$G328,"*, "&amp;R$3&amp;", *")</f>
        <v>0</v>
      </c>
      <c r="S330" s="2">
        <f>COUNTIFS(集計用!$G328,"*, "&amp;S$3&amp;", *")</f>
        <v>0</v>
      </c>
      <c r="T330" s="2">
        <f>COUNTIFS(集計用!$G328,"*, "&amp;T$3&amp;", *")</f>
        <v>1</v>
      </c>
      <c r="U330" s="2">
        <f>COUNTIFS(集計用!$G328,"*, "&amp;U$3&amp;", *")</f>
        <v>0</v>
      </c>
      <c r="V330" s="2">
        <f>COUNTIFS(集計用!$G328,"*, "&amp;V$3&amp;", *")</f>
        <v>0</v>
      </c>
      <c r="W330" s="2">
        <f>COUNTIFS(集計用!$G328,"*, "&amp;W$3&amp;", *")</f>
        <v>0</v>
      </c>
      <c r="X330" s="2">
        <f>COUNTIFS(集計用!$G328,"*, "&amp;X$3&amp;", *")</f>
        <v>1</v>
      </c>
      <c r="Y330" s="2">
        <f>COUNTIFS(集計用!$G328,"*, "&amp;Y$3&amp;", *")</f>
        <v>0</v>
      </c>
      <c r="Z330" s="2">
        <f>COUNTIFS(集計用!$G328,"*, "&amp;Z$3&amp;", *")</f>
        <v>0</v>
      </c>
      <c r="AA330" s="2">
        <f>COUNTIFS(集計用!$G328,"*, "&amp;AA$3&amp;", *")</f>
        <v>0</v>
      </c>
      <c r="AB330" s="2">
        <f>COUNTIFS(集計用!$G328,"*, "&amp;AB$3&amp;", *")</f>
        <v>0</v>
      </c>
      <c r="AC330" s="2">
        <f>COUNTIFS(集計用!$G328,"*, "&amp;AC$3&amp;", *")</f>
        <v>0</v>
      </c>
      <c r="AD330" s="2">
        <f>COUNTIFS(集計用!$G328,"*, "&amp;AD$3&amp;", *")</f>
        <v>0</v>
      </c>
      <c r="AE330" s="2">
        <f>COUNTIFS(集計用!$G328,"*, "&amp;AE$3&amp;", *")</f>
        <v>0</v>
      </c>
      <c r="AF330" s="2">
        <f>COUNTIFS(集計用!$G328,"*, "&amp;AF$3&amp;", *")</f>
        <v>0</v>
      </c>
      <c r="AG330" s="2">
        <f>COUNTIFS(集計用!$G328,"*, "&amp;AG$3&amp;", *")</f>
        <v>0</v>
      </c>
      <c r="AH330" s="2">
        <f>COUNTIFS(集計用!$G328,"*, "&amp;AH$3&amp;", *")</f>
        <v>0</v>
      </c>
      <c r="AI330" s="2">
        <f>COUNTIFS(集計用!$G328,"*, "&amp;AI$3&amp;", *")</f>
        <v>0</v>
      </c>
      <c r="AJ330" s="2">
        <f>COUNTIFS(集計用!$G328,"*, "&amp;AJ$3&amp;", *")</f>
        <v>0</v>
      </c>
      <c r="AK330" s="2">
        <f>COUNTIFS(集計用!$G328,"*, "&amp;AK$3&amp;", *")</f>
        <v>0</v>
      </c>
      <c r="AL330" s="2">
        <f>COUNTIFS(集計用!$G328,"*, "&amp;AL$3&amp;", *")</f>
        <v>0</v>
      </c>
      <c r="AM330" s="2">
        <f>COUNTIFS(集計用!$G328,"*, "&amp;AM$3&amp;", *")</f>
        <v>0</v>
      </c>
      <c r="AN330" s="2">
        <f>COUNTIFS(集計用!$G328,"*, "&amp;AN$3&amp;", *")</f>
        <v>0</v>
      </c>
      <c r="AO330" s="2">
        <f>COUNTIFS(集計用!$G328,"*, "&amp;AO$3&amp;", *")</f>
        <v>0</v>
      </c>
      <c r="AP330" s="2">
        <f>COUNTIFS(集計用!$G328,"*, "&amp;AP$3&amp;", *")</f>
        <v>0</v>
      </c>
      <c r="AQ330" s="2">
        <f>COUNTIFS(集計用!$G328,"*, "&amp;AQ$3&amp;", *")</f>
        <v>0</v>
      </c>
      <c r="AR330" s="2">
        <f>COUNTIFS(集計用!$G328,"*, "&amp;AR$3&amp;", *")</f>
        <v>0</v>
      </c>
      <c r="AS330" s="2">
        <f>COUNTIFS(集計用!$G328,"*, "&amp;AS$3&amp;", *")</f>
        <v>0</v>
      </c>
      <c r="AT330" s="2">
        <f>COUNTIFS(集計用!$G328,"*, "&amp;AT$3&amp;", *")</f>
        <v>0</v>
      </c>
      <c r="AU330" s="2">
        <f>COUNTIFS(集計用!$G328,"*, "&amp;AU$3&amp;", *")</f>
        <v>0</v>
      </c>
      <c r="AV330" s="2">
        <f>COUNTIFS(集計用!$G328,"*, "&amp;AV$3&amp;", *")</f>
        <v>0</v>
      </c>
      <c r="AW330" s="2">
        <f>COUNTIFS(集計用!$G328,"*, "&amp;AW$3&amp;", *")</f>
        <v>0</v>
      </c>
      <c r="AX330" s="2">
        <f>COUNTIFS(集計用!$G328,"*, "&amp;AX$3&amp;", *")</f>
        <v>0</v>
      </c>
      <c r="AY330" s="2">
        <f>COUNTIFS(集計用!$G328,"*, "&amp;AY$3&amp;", *")</f>
        <v>0</v>
      </c>
      <c r="AZ330" s="2">
        <f>COUNTIFS(集計用!$G328,"*, "&amp;AZ$3&amp;", *")</f>
        <v>0</v>
      </c>
      <c r="BA330" s="2">
        <f>COUNTIFS(集計用!$G328,"*, "&amp;BA$3&amp;", *")</f>
        <v>0</v>
      </c>
      <c r="BB330" s="2">
        <f>COUNTIFS(集計用!$G328,"*, "&amp;BB$3&amp;", *")</f>
        <v>0</v>
      </c>
      <c r="BC330" s="2">
        <f>COUNTIFS(集計用!$G328,"*, "&amp;BC$3&amp;", *")</f>
        <v>0</v>
      </c>
      <c r="BD330" s="2">
        <f>COUNTIFS(集計用!$G328,"*, "&amp;BD$3&amp;", *")</f>
        <v>0</v>
      </c>
      <c r="BE330" s="2">
        <f>COUNTIFS(集計用!$G328,"*, "&amp;BE$3&amp;", *")</f>
        <v>0</v>
      </c>
      <c r="BF330" s="2">
        <f>COUNTIFS(集計用!$G328,"*, "&amp;BF$3&amp;", *")</f>
        <v>0</v>
      </c>
      <c r="BG330" s="2">
        <f>COUNTIFS(集計用!$G328,"*, "&amp;BG$3&amp;", *")</f>
        <v>0</v>
      </c>
      <c r="BH330" s="2">
        <f>COUNTIFS(集計用!$G328,"*, "&amp;BH$3&amp;", *")</f>
        <v>0</v>
      </c>
      <c r="BI330" s="2">
        <f>COUNTIFS(集計用!$G328,"*, "&amp;BI$3&amp;", *")</f>
        <v>0</v>
      </c>
      <c r="BJ330" s="2">
        <f>LEN(集計用!H328)-LEN(SUBSTITUTE(集計用!H328,",",""))</f>
        <v>0</v>
      </c>
    </row>
    <row r="331" spans="1:62" ht="12.75">
      <c r="A331" s="8">
        <v>328</v>
      </c>
      <c r="C331" s="2">
        <f t="shared" si="3"/>
        <v>3</v>
      </c>
      <c r="D331" s="9"/>
      <c r="E331" s="2">
        <f>COUNTIFS(集計用!$G329,"*, "&amp;E$3&amp;", *")</f>
        <v>1</v>
      </c>
      <c r="F331" s="2">
        <f>COUNTIFS(集計用!$G329,"*, "&amp;F$3&amp;", *")</f>
        <v>1</v>
      </c>
      <c r="G331" s="2">
        <f>COUNTIFS(集計用!$G329,"*, "&amp;G$3&amp;", *")</f>
        <v>0</v>
      </c>
      <c r="H331" s="2">
        <f>COUNTIFS(集計用!$G329,"*, "&amp;H$3&amp;", *")</f>
        <v>0</v>
      </c>
      <c r="I331" s="2">
        <f>COUNTIFS(集計用!$G329,"*, "&amp;I$3&amp;", *")</f>
        <v>0</v>
      </c>
      <c r="J331" s="2">
        <f>COUNTIFS(集計用!$G329,"*, "&amp;J$3&amp;", *")</f>
        <v>0</v>
      </c>
      <c r="K331" s="2">
        <f>COUNTIFS(集計用!$G329,"*, "&amp;K$3&amp;", *")</f>
        <v>1</v>
      </c>
      <c r="L331" s="2">
        <f>COUNTIFS(集計用!$G329,"*, "&amp;L$3&amp;", *")</f>
        <v>0</v>
      </c>
      <c r="M331" s="2">
        <f>COUNTIFS(集計用!$G329,"*, "&amp;M$3&amp;", *")</f>
        <v>0</v>
      </c>
      <c r="N331" s="2">
        <f>COUNTIFS(集計用!$G329,"*, "&amp;N$3&amp;", *")</f>
        <v>0</v>
      </c>
      <c r="O331" s="2">
        <f>COUNTIFS(集計用!$G329,"*, "&amp;O$3&amp;", *")</f>
        <v>0</v>
      </c>
      <c r="P331" s="2">
        <f>COUNTIFS(集計用!$G329,"*, "&amp;P$3&amp;", *")</f>
        <v>0</v>
      </c>
      <c r="Q331" s="2">
        <f>COUNTIFS(集計用!$G329,"*, "&amp;Q$3&amp;", *")</f>
        <v>0</v>
      </c>
      <c r="R331" s="2">
        <f>COUNTIFS(集計用!$G329,"*, "&amp;R$3&amp;", *")</f>
        <v>0</v>
      </c>
      <c r="S331" s="2">
        <f>COUNTIFS(集計用!$G329,"*, "&amp;S$3&amp;", *")</f>
        <v>0</v>
      </c>
      <c r="T331" s="2">
        <f>COUNTIFS(集計用!$G329,"*, "&amp;T$3&amp;", *")</f>
        <v>0</v>
      </c>
      <c r="U331" s="2">
        <f>COUNTIFS(集計用!$G329,"*, "&amp;U$3&amp;", *")</f>
        <v>0</v>
      </c>
      <c r="V331" s="2">
        <f>COUNTIFS(集計用!$G329,"*, "&amp;V$3&amp;", *")</f>
        <v>0</v>
      </c>
      <c r="W331" s="2">
        <f>COUNTIFS(集計用!$G329,"*, "&amp;W$3&amp;", *")</f>
        <v>0</v>
      </c>
      <c r="X331" s="2">
        <f>COUNTIFS(集計用!$G329,"*, "&amp;X$3&amp;", *")</f>
        <v>0</v>
      </c>
      <c r="Y331" s="2">
        <f>COUNTIFS(集計用!$G329,"*, "&amp;Y$3&amp;", *")</f>
        <v>0</v>
      </c>
      <c r="Z331" s="2">
        <f>COUNTIFS(集計用!$G329,"*, "&amp;Z$3&amp;", *")</f>
        <v>0</v>
      </c>
      <c r="AA331" s="2">
        <f>COUNTIFS(集計用!$G329,"*, "&amp;AA$3&amp;", *")</f>
        <v>0</v>
      </c>
      <c r="AB331" s="2">
        <f>COUNTIFS(集計用!$G329,"*, "&amp;AB$3&amp;", *")</f>
        <v>0</v>
      </c>
      <c r="AC331" s="2">
        <f>COUNTIFS(集計用!$G329,"*, "&amp;AC$3&amp;", *")</f>
        <v>0</v>
      </c>
      <c r="AD331" s="2">
        <f>COUNTIFS(集計用!$G329,"*, "&amp;AD$3&amp;", *")</f>
        <v>0</v>
      </c>
      <c r="AE331" s="2">
        <f>COUNTIFS(集計用!$G329,"*, "&amp;AE$3&amp;", *")</f>
        <v>0</v>
      </c>
      <c r="AF331" s="2">
        <f>COUNTIFS(集計用!$G329,"*, "&amp;AF$3&amp;", *")</f>
        <v>0</v>
      </c>
      <c r="AG331" s="2">
        <f>COUNTIFS(集計用!$G329,"*, "&amp;AG$3&amp;", *")</f>
        <v>0</v>
      </c>
      <c r="AH331" s="2">
        <f>COUNTIFS(集計用!$G329,"*, "&amp;AH$3&amp;", *")</f>
        <v>0</v>
      </c>
      <c r="AI331" s="2">
        <f>COUNTIFS(集計用!$G329,"*, "&amp;AI$3&amp;", *")</f>
        <v>0</v>
      </c>
      <c r="AJ331" s="2">
        <f>COUNTIFS(集計用!$G329,"*, "&amp;AJ$3&amp;", *")</f>
        <v>0</v>
      </c>
      <c r="AK331" s="2">
        <f>COUNTIFS(集計用!$G329,"*, "&amp;AK$3&amp;", *")</f>
        <v>0</v>
      </c>
      <c r="AL331" s="2">
        <f>COUNTIFS(集計用!$G329,"*, "&amp;AL$3&amp;", *")</f>
        <v>0</v>
      </c>
      <c r="AM331" s="2">
        <f>COUNTIFS(集計用!$G329,"*, "&amp;AM$3&amp;", *")</f>
        <v>0</v>
      </c>
      <c r="AN331" s="2">
        <f>COUNTIFS(集計用!$G329,"*, "&amp;AN$3&amp;", *")</f>
        <v>0</v>
      </c>
      <c r="AO331" s="2">
        <f>COUNTIFS(集計用!$G329,"*, "&amp;AO$3&amp;", *")</f>
        <v>0</v>
      </c>
      <c r="AP331" s="2">
        <f>COUNTIFS(集計用!$G329,"*, "&amp;AP$3&amp;", *")</f>
        <v>0</v>
      </c>
      <c r="AQ331" s="2">
        <f>COUNTIFS(集計用!$G329,"*, "&amp;AQ$3&amp;", *")</f>
        <v>0</v>
      </c>
      <c r="AR331" s="2">
        <f>COUNTIFS(集計用!$G329,"*, "&amp;AR$3&amp;", *")</f>
        <v>0</v>
      </c>
      <c r="AS331" s="2">
        <f>COUNTIFS(集計用!$G329,"*, "&amp;AS$3&amp;", *")</f>
        <v>0</v>
      </c>
      <c r="AT331" s="2">
        <f>COUNTIFS(集計用!$G329,"*, "&amp;AT$3&amp;", *")</f>
        <v>0</v>
      </c>
      <c r="AU331" s="2">
        <f>COUNTIFS(集計用!$G329,"*, "&amp;AU$3&amp;", *")</f>
        <v>0</v>
      </c>
      <c r="AV331" s="2">
        <f>COUNTIFS(集計用!$G329,"*, "&amp;AV$3&amp;", *")</f>
        <v>0</v>
      </c>
      <c r="AW331" s="2">
        <f>COUNTIFS(集計用!$G329,"*, "&amp;AW$3&amp;", *")</f>
        <v>0</v>
      </c>
      <c r="AX331" s="2">
        <f>COUNTIFS(集計用!$G329,"*, "&amp;AX$3&amp;", *")</f>
        <v>0</v>
      </c>
      <c r="AY331" s="2">
        <f>COUNTIFS(集計用!$G329,"*, "&amp;AY$3&amp;", *")</f>
        <v>0</v>
      </c>
      <c r="AZ331" s="2">
        <f>COUNTIFS(集計用!$G329,"*, "&amp;AZ$3&amp;", *")</f>
        <v>0</v>
      </c>
      <c r="BA331" s="2">
        <f>COUNTIFS(集計用!$G329,"*, "&amp;BA$3&amp;", *")</f>
        <v>0</v>
      </c>
      <c r="BB331" s="2">
        <f>COUNTIFS(集計用!$G329,"*, "&amp;BB$3&amp;", *")</f>
        <v>0</v>
      </c>
      <c r="BC331" s="2">
        <f>COUNTIFS(集計用!$G329,"*, "&amp;BC$3&amp;", *")</f>
        <v>0</v>
      </c>
      <c r="BD331" s="2">
        <f>COUNTIFS(集計用!$G329,"*, "&amp;BD$3&amp;", *")</f>
        <v>0</v>
      </c>
      <c r="BE331" s="2">
        <f>COUNTIFS(集計用!$G329,"*, "&amp;BE$3&amp;", *")</f>
        <v>0</v>
      </c>
      <c r="BF331" s="2">
        <f>COUNTIFS(集計用!$G329,"*, "&amp;BF$3&amp;", *")</f>
        <v>0</v>
      </c>
      <c r="BG331" s="2">
        <f>COUNTIFS(集計用!$G329,"*, "&amp;BG$3&amp;", *")</f>
        <v>0</v>
      </c>
      <c r="BH331" s="2">
        <f>COUNTIFS(集計用!$G329,"*, "&amp;BH$3&amp;", *")</f>
        <v>0</v>
      </c>
      <c r="BI331" s="2">
        <f>COUNTIFS(集計用!$G329,"*, "&amp;BI$3&amp;", *")</f>
        <v>0</v>
      </c>
      <c r="BJ331" s="2">
        <f>LEN(集計用!H329)-LEN(SUBSTITUTE(集計用!H329,",",""))</f>
        <v>0</v>
      </c>
    </row>
    <row r="332" spans="1:62" ht="12.75">
      <c r="A332" s="8">
        <v>329</v>
      </c>
      <c r="C332" s="2">
        <f t="shared" si="3"/>
        <v>1</v>
      </c>
      <c r="D332" s="9"/>
      <c r="E332" s="2">
        <f>COUNTIFS(集計用!$G330,"*, "&amp;E$3&amp;", *")</f>
        <v>0</v>
      </c>
      <c r="F332" s="2">
        <f>COUNTIFS(集計用!$G330,"*, "&amp;F$3&amp;", *")</f>
        <v>0</v>
      </c>
      <c r="G332" s="2">
        <f>COUNTIFS(集計用!$G330,"*, "&amp;G$3&amp;", *")</f>
        <v>1</v>
      </c>
      <c r="H332" s="2">
        <f>COUNTIFS(集計用!$G330,"*, "&amp;H$3&amp;", *")</f>
        <v>0</v>
      </c>
      <c r="I332" s="2">
        <f>COUNTIFS(集計用!$G330,"*, "&amp;I$3&amp;", *")</f>
        <v>0</v>
      </c>
      <c r="J332" s="2">
        <f>COUNTIFS(集計用!$G330,"*, "&amp;J$3&amp;", *")</f>
        <v>0</v>
      </c>
      <c r="K332" s="2">
        <f>COUNTIFS(集計用!$G330,"*, "&amp;K$3&amp;", *")</f>
        <v>0</v>
      </c>
      <c r="L332" s="2">
        <f>COUNTIFS(集計用!$G330,"*, "&amp;L$3&amp;", *")</f>
        <v>0</v>
      </c>
      <c r="M332" s="2">
        <f>COUNTIFS(集計用!$G330,"*, "&amp;M$3&amp;", *")</f>
        <v>0</v>
      </c>
      <c r="N332" s="2">
        <f>COUNTIFS(集計用!$G330,"*, "&amp;N$3&amp;", *")</f>
        <v>0</v>
      </c>
      <c r="O332" s="2">
        <f>COUNTIFS(集計用!$G330,"*, "&amp;O$3&amp;", *")</f>
        <v>0</v>
      </c>
      <c r="P332" s="2">
        <f>COUNTIFS(集計用!$G330,"*, "&amp;P$3&amp;", *")</f>
        <v>0</v>
      </c>
      <c r="Q332" s="2">
        <f>COUNTIFS(集計用!$G330,"*, "&amp;Q$3&amp;", *")</f>
        <v>0</v>
      </c>
      <c r="R332" s="2">
        <f>COUNTIFS(集計用!$G330,"*, "&amp;R$3&amp;", *")</f>
        <v>0</v>
      </c>
      <c r="S332" s="2">
        <f>COUNTIFS(集計用!$G330,"*, "&amp;S$3&amp;", *")</f>
        <v>0</v>
      </c>
      <c r="T332" s="2">
        <f>COUNTIFS(集計用!$G330,"*, "&amp;T$3&amp;", *")</f>
        <v>0</v>
      </c>
      <c r="U332" s="2">
        <f>COUNTIFS(集計用!$G330,"*, "&amp;U$3&amp;", *")</f>
        <v>0</v>
      </c>
      <c r="V332" s="2">
        <f>COUNTIFS(集計用!$G330,"*, "&amp;V$3&amp;", *")</f>
        <v>0</v>
      </c>
      <c r="W332" s="2">
        <f>COUNTIFS(集計用!$G330,"*, "&amp;W$3&amp;", *")</f>
        <v>0</v>
      </c>
      <c r="X332" s="2">
        <f>COUNTIFS(集計用!$G330,"*, "&amp;X$3&amp;", *")</f>
        <v>0</v>
      </c>
      <c r="Y332" s="2">
        <f>COUNTIFS(集計用!$G330,"*, "&amp;Y$3&amp;", *")</f>
        <v>0</v>
      </c>
      <c r="Z332" s="2">
        <f>COUNTIFS(集計用!$G330,"*, "&amp;Z$3&amp;", *")</f>
        <v>0</v>
      </c>
      <c r="AA332" s="2">
        <f>COUNTIFS(集計用!$G330,"*, "&amp;AA$3&amp;", *")</f>
        <v>0</v>
      </c>
      <c r="AB332" s="2">
        <f>COUNTIFS(集計用!$G330,"*, "&amp;AB$3&amp;", *")</f>
        <v>0</v>
      </c>
      <c r="AC332" s="2">
        <f>COUNTIFS(集計用!$G330,"*, "&amp;AC$3&amp;", *")</f>
        <v>0</v>
      </c>
      <c r="AD332" s="2">
        <f>COUNTIFS(集計用!$G330,"*, "&amp;AD$3&amp;", *")</f>
        <v>0</v>
      </c>
      <c r="AE332" s="2">
        <f>COUNTIFS(集計用!$G330,"*, "&amp;AE$3&amp;", *")</f>
        <v>0</v>
      </c>
      <c r="AF332" s="2">
        <f>COUNTIFS(集計用!$G330,"*, "&amp;AF$3&amp;", *")</f>
        <v>0</v>
      </c>
      <c r="AG332" s="2">
        <f>COUNTIFS(集計用!$G330,"*, "&amp;AG$3&amp;", *")</f>
        <v>0</v>
      </c>
      <c r="AH332" s="2">
        <f>COUNTIFS(集計用!$G330,"*, "&amp;AH$3&amp;", *")</f>
        <v>0</v>
      </c>
      <c r="AI332" s="2">
        <f>COUNTIFS(集計用!$G330,"*, "&amp;AI$3&amp;", *")</f>
        <v>0</v>
      </c>
      <c r="AJ332" s="2">
        <f>COUNTIFS(集計用!$G330,"*, "&amp;AJ$3&amp;", *")</f>
        <v>0</v>
      </c>
      <c r="AK332" s="2">
        <f>COUNTIFS(集計用!$G330,"*, "&amp;AK$3&amp;", *")</f>
        <v>0</v>
      </c>
      <c r="AL332" s="2">
        <f>COUNTIFS(集計用!$G330,"*, "&amp;AL$3&amp;", *")</f>
        <v>0</v>
      </c>
      <c r="AM332" s="2">
        <f>COUNTIFS(集計用!$G330,"*, "&amp;AM$3&amp;", *")</f>
        <v>0</v>
      </c>
      <c r="AN332" s="2">
        <f>COUNTIFS(集計用!$G330,"*, "&amp;AN$3&amp;", *")</f>
        <v>0</v>
      </c>
      <c r="AO332" s="2">
        <f>COUNTIFS(集計用!$G330,"*, "&amp;AO$3&amp;", *")</f>
        <v>0</v>
      </c>
      <c r="AP332" s="2">
        <f>COUNTIFS(集計用!$G330,"*, "&amp;AP$3&amp;", *")</f>
        <v>0</v>
      </c>
      <c r="AQ332" s="2">
        <f>COUNTIFS(集計用!$G330,"*, "&amp;AQ$3&amp;", *")</f>
        <v>0</v>
      </c>
      <c r="AR332" s="2">
        <f>COUNTIFS(集計用!$G330,"*, "&amp;AR$3&amp;", *")</f>
        <v>0</v>
      </c>
      <c r="AS332" s="2">
        <f>COUNTIFS(集計用!$G330,"*, "&amp;AS$3&amp;", *")</f>
        <v>0</v>
      </c>
      <c r="AT332" s="2">
        <f>COUNTIFS(集計用!$G330,"*, "&amp;AT$3&amp;", *")</f>
        <v>0</v>
      </c>
      <c r="AU332" s="2">
        <f>COUNTIFS(集計用!$G330,"*, "&amp;AU$3&amp;", *")</f>
        <v>0</v>
      </c>
      <c r="AV332" s="2">
        <f>COUNTIFS(集計用!$G330,"*, "&amp;AV$3&amp;", *")</f>
        <v>0</v>
      </c>
      <c r="AW332" s="2">
        <f>COUNTIFS(集計用!$G330,"*, "&amp;AW$3&amp;", *")</f>
        <v>0</v>
      </c>
      <c r="AX332" s="2">
        <f>COUNTIFS(集計用!$G330,"*, "&amp;AX$3&amp;", *")</f>
        <v>0</v>
      </c>
      <c r="AY332" s="2">
        <f>COUNTIFS(集計用!$G330,"*, "&amp;AY$3&amp;", *")</f>
        <v>0</v>
      </c>
      <c r="AZ332" s="2">
        <f>COUNTIFS(集計用!$G330,"*, "&amp;AZ$3&amp;", *")</f>
        <v>0</v>
      </c>
      <c r="BA332" s="2">
        <f>COUNTIFS(集計用!$G330,"*, "&amp;BA$3&amp;", *")</f>
        <v>0</v>
      </c>
      <c r="BB332" s="2">
        <f>COUNTIFS(集計用!$G330,"*, "&amp;BB$3&amp;", *")</f>
        <v>0</v>
      </c>
      <c r="BC332" s="2">
        <f>COUNTIFS(集計用!$G330,"*, "&amp;BC$3&amp;", *")</f>
        <v>0</v>
      </c>
      <c r="BD332" s="2">
        <f>COUNTIFS(集計用!$G330,"*, "&amp;BD$3&amp;", *")</f>
        <v>0</v>
      </c>
      <c r="BE332" s="2">
        <f>COUNTIFS(集計用!$G330,"*, "&amp;BE$3&amp;", *")</f>
        <v>0</v>
      </c>
      <c r="BF332" s="2">
        <f>COUNTIFS(集計用!$G330,"*, "&amp;BF$3&amp;", *")</f>
        <v>0</v>
      </c>
      <c r="BG332" s="2">
        <f>COUNTIFS(集計用!$G330,"*, "&amp;BG$3&amp;", *")</f>
        <v>0</v>
      </c>
      <c r="BH332" s="2">
        <f>COUNTIFS(集計用!$G330,"*, "&amp;BH$3&amp;", *")</f>
        <v>0</v>
      </c>
      <c r="BI332" s="2">
        <f>COUNTIFS(集計用!$G330,"*, "&amp;BI$3&amp;", *")</f>
        <v>0</v>
      </c>
      <c r="BJ332" s="2">
        <f>LEN(集計用!H330)-LEN(SUBSTITUTE(集計用!H330,",",""))</f>
        <v>0</v>
      </c>
    </row>
    <row r="333" spans="1:62" ht="12.75">
      <c r="A333" s="8">
        <v>330</v>
      </c>
      <c r="C333" s="2">
        <f t="shared" si="3"/>
        <v>13</v>
      </c>
      <c r="D333" s="9"/>
      <c r="E333" s="2">
        <f>COUNTIFS(集計用!$G331,"*, "&amp;E$3&amp;", *")</f>
        <v>1</v>
      </c>
      <c r="F333" s="2">
        <f>COUNTIFS(集計用!$G331,"*, "&amp;F$3&amp;", *")</f>
        <v>0</v>
      </c>
      <c r="G333" s="2">
        <f>COUNTIFS(集計用!$G331,"*, "&amp;G$3&amp;", *")</f>
        <v>1</v>
      </c>
      <c r="H333" s="2">
        <f>COUNTIFS(集計用!$G331,"*, "&amp;H$3&amp;", *")</f>
        <v>0</v>
      </c>
      <c r="I333" s="2">
        <f>COUNTIFS(集計用!$G331,"*, "&amp;I$3&amp;", *")</f>
        <v>1</v>
      </c>
      <c r="J333" s="2">
        <f>COUNTIFS(集計用!$G331,"*, "&amp;J$3&amp;", *")</f>
        <v>0</v>
      </c>
      <c r="K333" s="2">
        <f>COUNTIFS(集計用!$G331,"*, "&amp;K$3&amp;", *")</f>
        <v>1</v>
      </c>
      <c r="L333" s="2">
        <f>COUNTIFS(集計用!$G331,"*, "&amp;L$3&amp;", *")</f>
        <v>0</v>
      </c>
      <c r="M333" s="2">
        <f>COUNTIFS(集計用!$G331,"*, "&amp;M$3&amp;", *")</f>
        <v>0</v>
      </c>
      <c r="N333" s="2">
        <f>COUNTIFS(集計用!$G331,"*, "&amp;N$3&amp;", *")</f>
        <v>1</v>
      </c>
      <c r="O333" s="2">
        <f>COUNTIFS(集計用!$G331,"*, "&amp;O$3&amp;", *")</f>
        <v>1</v>
      </c>
      <c r="P333" s="2">
        <f>COUNTIFS(集計用!$G331,"*, "&amp;P$3&amp;", *")</f>
        <v>0</v>
      </c>
      <c r="Q333" s="2">
        <f>COUNTIFS(集計用!$G331,"*, "&amp;Q$3&amp;", *")</f>
        <v>1</v>
      </c>
      <c r="R333" s="2">
        <f>COUNTIFS(集計用!$G331,"*, "&amp;R$3&amp;", *")</f>
        <v>0</v>
      </c>
      <c r="S333" s="2">
        <f>COUNTIFS(集計用!$G331,"*, "&amp;S$3&amp;", *")</f>
        <v>0</v>
      </c>
      <c r="T333" s="2">
        <f>COUNTIFS(集計用!$G331,"*, "&amp;T$3&amp;", *")</f>
        <v>0</v>
      </c>
      <c r="U333" s="2">
        <f>COUNTIFS(集計用!$G331,"*, "&amp;U$3&amp;", *")</f>
        <v>1</v>
      </c>
      <c r="V333" s="2">
        <f>COUNTIFS(集計用!$G331,"*, "&amp;V$3&amp;", *")</f>
        <v>1</v>
      </c>
      <c r="W333" s="2">
        <f>COUNTIFS(集計用!$G331,"*, "&amp;W$3&amp;", *")</f>
        <v>0</v>
      </c>
      <c r="X333" s="2">
        <f>COUNTIFS(集計用!$G331,"*, "&amp;X$3&amp;", *")</f>
        <v>0</v>
      </c>
      <c r="Y333" s="2">
        <f>COUNTIFS(集計用!$G331,"*, "&amp;Y$3&amp;", *")</f>
        <v>1</v>
      </c>
      <c r="Z333" s="2">
        <f>COUNTIFS(集計用!$G331,"*, "&amp;Z$3&amp;", *")</f>
        <v>1</v>
      </c>
      <c r="AA333" s="2">
        <f>COUNTIFS(集計用!$G331,"*, "&amp;AA$3&amp;", *")</f>
        <v>0</v>
      </c>
      <c r="AB333" s="2">
        <f>COUNTIFS(集計用!$G331,"*, "&amp;AB$3&amp;", *")</f>
        <v>0</v>
      </c>
      <c r="AC333" s="2">
        <f>COUNTIFS(集計用!$G331,"*, "&amp;AC$3&amp;", *")</f>
        <v>1</v>
      </c>
      <c r="AD333" s="2">
        <f>COUNTIFS(集計用!$G331,"*, "&amp;AD$3&amp;", *")</f>
        <v>0</v>
      </c>
      <c r="AE333" s="2">
        <f>COUNTIFS(集計用!$G331,"*, "&amp;AE$3&amp;", *")</f>
        <v>0</v>
      </c>
      <c r="AF333" s="2">
        <f>COUNTIFS(集計用!$G331,"*, "&amp;AF$3&amp;", *")</f>
        <v>0</v>
      </c>
      <c r="AG333" s="2">
        <f>COUNTIFS(集計用!$G331,"*, "&amp;AG$3&amp;", *")</f>
        <v>0</v>
      </c>
      <c r="AH333" s="2">
        <f>COUNTIFS(集計用!$G331,"*, "&amp;AH$3&amp;", *")</f>
        <v>0</v>
      </c>
      <c r="AI333" s="2">
        <f>COUNTIFS(集計用!$G331,"*, "&amp;AI$3&amp;", *")</f>
        <v>0</v>
      </c>
      <c r="AJ333" s="2">
        <f>COUNTIFS(集計用!$G331,"*, "&amp;AJ$3&amp;", *")</f>
        <v>0</v>
      </c>
      <c r="AK333" s="2">
        <f>COUNTIFS(集計用!$G331,"*, "&amp;AK$3&amp;", *")</f>
        <v>1</v>
      </c>
      <c r="AL333" s="2">
        <f>COUNTIFS(集計用!$G331,"*, "&amp;AL$3&amp;", *")</f>
        <v>0</v>
      </c>
      <c r="AM333" s="2">
        <f>COUNTIFS(集計用!$G331,"*, "&amp;AM$3&amp;", *")</f>
        <v>0</v>
      </c>
      <c r="AN333" s="2">
        <f>COUNTIFS(集計用!$G331,"*, "&amp;AN$3&amp;", *")</f>
        <v>0</v>
      </c>
      <c r="AO333" s="2">
        <f>COUNTIFS(集計用!$G331,"*, "&amp;AO$3&amp;", *")</f>
        <v>0</v>
      </c>
      <c r="AP333" s="2">
        <f>COUNTIFS(集計用!$G331,"*, "&amp;AP$3&amp;", *")</f>
        <v>0</v>
      </c>
      <c r="AQ333" s="2">
        <f>COUNTIFS(集計用!$G331,"*, "&amp;AQ$3&amp;", *")</f>
        <v>0</v>
      </c>
      <c r="AR333" s="2">
        <f>COUNTIFS(集計用!$G331,"*, "&amp;AR$3&amp;", *")</f>
        <v>0</v>
      </c>
      <c r="AS333" s="2">
        <f>COUNTIFS(集計用!$G331,"*, "&amp;AS$3&amp;", *")</f>
        <v>0</v>
      </c>
      <c r="AT333" s="2">
        <f>COUNTIFS(集計用!$G331,"*, "&amp;AT$3&amp;", *")</f>
        <v>0</v>
      </c>
      <c r="AU333" s="2">
        <f>COUNTIFS(集計用!$G331,"*, "&amp;AU$3&amp;", *")</f>
        <v>0</v>
      </c>
      <c r="AV333" s="2">
        <f>COUNTIFS(集計用!$G331,"*, "&amp;AV$3&amp;", *")</f>
        <v>0</v>
      </c>
      <c r="AW333" s="2">
        <f>COUNTIFS(集計用!$G331,"*, "&amp;AW$3&amp;", *")</f>
        <v>0</v>
      </c>
      <c r="AX333" s="2">
        <f>COUNTIFS(集計用!$G331,"*, "&amp;AX$3&amp;", *")</f>
        <v>0</v>
      </c>
      <c r="AY333" s="2">
        <f>COUNTIFS(集計用!$G331,"*, "&amp;AY$3&amp;", *")</f>
        <v>0</v>
      </c>
      <c r="AZ333" s="2">
        <f>COUNTIFS(集計用!$G331,"*, "&amp;AZ$3&amp;", *")</f>
        <v>0</v>
      </c>
      <c r="BA333" s="2">
        <f>COUNTIFS(集計用!$G331,"*, "&amp;BA$3&amp;", *")</f>
        <v>0</v>
      </c>
      <c r="BB333" s="2">
        <f>COUNTIFS(集計用!$G331,"*, "&amp;BB$3&amp;", *")</f>
        <v>0</v>
      </c>
      <c r="BC333" s="2">
        <f>COUNTIFS(集計用!$G331,"*, "&amp;BC$3&amp;", *")</f>
        <v>0</v>
      </c>
      <c r="BD333" s="2">
        <f>COUNTIFS(集計用!$G331,"*, "&amp;BD$3&amp;", *")</f>
        <v>0</v>
      </c>
      <c r="BE333" s="2">
        <f>COUNTIFS(集計用!$G331,"*, "&amp;BE$3&amp;", *")</f>
        <v>0</v>
      </c>
      <c r="BF333" s="2">
        <f>COUNTIFS(集計用!$G331,"*, "&amp;BF$3&amp;", *")</f>
        <v>0</v>
      </c>
      <c r="BG333" s="2">
        <f>COUNTIFS(集計用!$G331,"*, "&amp;BG$3&amp;", *")</f>
        <v>0</v>
      </c>
      <c r="BH333" s="2">
        <f>COUNTIFS(集計用!$G331,"*, "&amp;BH$3&amp;", *")</f>
        <v>0</v>
      </c>
      <c r="BI333" s="2">
        <f>COUNTIFS(集計用!$G331,"*, "&amp;BI$3&amp;", *")</f>
        <v>0</v>
      </c>
      <c r="BJ333" s="2">
        <f>LEN(集計用!H331)-LEN(SUBSTITUTE(集計用!H331,",",""))</f>
        <v>0</v>
      </c>
    </row>
    <row r="334" spans="1:62" ht="12.75">
      <c r="A334" s="8">
        <v>331</v>
      </c>
      <c r="C334" s="2">
        <f t="shared" si="3"/>
        <v>2</v>
      </c>
      <c r="D334" s="9"/>
      <c r="E334" s="2">
        <f>COUNTIFS(集計用!$G332,"*, "&amp;E$3&amp;", *")</f>
        <v>1</v>
      </c>
      <c r="F334" s="2">
        <f>COUNTIFS(集計用!$G332,"*, "&amp;F$3&amp;", *")</f>
        <v>0</v>
      </c>
      <c r="G334" s="2">
        <f>COUNTIFS(集計用!$G332,"*, "&amp;G$3&amp;", *")</f>
        <v>0</v>
      </c>
      <c r="H334" s="2">
        <f>COUNTIFS(集計用!$G332,"*, "&amp;H$3&amp;", *")</f>
        <v>0</v>
      </c>
      <c r="I334" s="2">
        <f>COUNTIFS(集計用!$G332,"*, "&amp;I$3&amp;", *")</f>
        <v>0</v>
      </c>
      <c r="J334" s="2">
        <f>COUNTIFS(集計用!$G332,"*, "&amp;J$3&amp;", *")</f>
        <v>0</v>
      </c>
      <c r="K334" s="2">
        <f>COUNTIFS(集計用!$G332,"*, "&amp;K$3&amp;", *")</f>
        <v>0</v>
      </c>
      <c r="L334" s="2">
        <f>COUNTIFS(集計用!$G332,"*, "&amp;L$3&amp;", *")</f>
        <v>0</v>
      </c>
      <c r="M334" s="2">
        <f>COUNTIFS(集計用!$G332,"*, "&amp;M$3&amp;", *")</f>
        <v>0</v>
      </c>
      <c r="N334" s="2">
        <f>COUNTIFS(集計用!$G332,"*, "&amp;N$3&amp;", *")</f>
        <v>0</v>
      </c>
      <c r="O334" s="2">
        <f>COUNTIFS(集計用!$G332,"*, "&amp;O$3&amp;", *")</f>
        <v>0</v>
      </c>
      <c r="P334" s="2">
        <f>COUNTIFS(集計用!$G332,"*, "&amp;P$3&amp;", *")</f>
        <v>0</v>
      </c>
      <c r="Q334" s="2">
        <f>COUNTIFS(集計用!$G332,"*, "&amp;Q$3&amp;", *")</f>
        <v>0</v>
      </c>
      <c r="R334" s="2">
        <f>COUNTIFS(集計用!$G332,"*, "&amp;R$3&amp;", *")</f>
        <v>0</v>
      </c>
      <c r="S334" s="2">
        <f>COUNTIFS(集計用!$G332,"*, "&amp;S$3&amp;", *")</f>
        <v>0</v>
      </c>
      <c r="T334" s="2">
        <f>COUNTIFS(集計用!$G332,"*, "&amp;T$3&amp;", *")</f>
        <v>0</v>
      </c>
      <c r="U334" s="2">
        <f>COUNTIFS(集計用!$G332,"*, "&amp;U$3&amp;", *")</f>
        <v>0</v>
      </c>
      <c r="V334" s="2">
        <f>COUNTIFS(集計用!$G332,"*, "&amp;V$3&amp;", *")</f>
        <v>0</v>
      </c>
      <c r="W334" s="2">
        <f>COUNTIFS(集計用!$G332,"*, "&amp;W$3&amp;", *")</f>
        <v>0</v>
      </c>
      <c r="X334" s="2">
        <f>COUNTIFS(集計用!$G332,"*, "&amp;X$3&amp;", *")</f>
        <v>0</v>
      </c>
      <c r="Y334" s="2">
        <f>COUNTIFS(集計用!$G332,"*, "&amp;Y$3&amp;", *")</f>
        <v>0</v>
      </c>
      <c r="Z334" s="2">
        <f>COUNTIFS(集計用!$G332,"*, "&amp;Z$3&amp;", *")</f>
        <v>0</v>
      </c>
      <c r="AA334" s="2">
        <f>COUNTIFS(集計用!$G332,"*, "&amp;AA$3&amp;", *")</f>
        <v>0</v>
      </c>
      <c r="AB334" s="2">
        <f>COUNTIFS(集計用!$G332,"*, "&amp;AB$3&amp;", *")</f>
        <v>0</v>
      </c>
      <c r="AC334" s="2">
        <f>COUNTIFS(集計用!$G332,"*, "&amp;AC$3&amp;", *")</f>
        <v>0</v>
      </c>
      <c r="AD334" s="2">
        <f>COUNTIFS(集計用!$G332,"*, "&amp;AD$3&amp;", *")</f>
        <v>0</v>
      </c>
      <c r="AE334" s="2">
        <f>COUNTIFS(集計用!$G332,"*, "&amp;AE$3&amp;", *")</f>
        <v>0</v>
      </c>
      <c r="AF334" s="2">
        <f>COUNTIFS(集計用!$G332,"*, "&amp;AF$3&amp;", *")</f>
        <v>0</v>
      </c>
      <c r="AG334" s="2">
        <f>COUNTIFS(集計用!$G332,"*, "&amp;AG$3&amp;", *")</f>
        <v>0</v>
      </c>
      <c r="AH334" s="2">
        <f>COUNTIFS(集計用!$G332,"*, "&amp;AH$3&amp;", *")</f>
        <v>0</v>
      </c>
      <c r="AI334" s="2">
        <f>COUNTIFS(集計用!$G332,"*, "&amp;AI$3&amp;", *")</f>
        <v>0</v>
      </c>
      <c r="AJ334" s="2">
        <f>COUNTIFS(集計用!$G332,"*, "&amp;AJ$3&amp;", *")</f>
        <v>0</v>
      </c>
      <c r="AK334" s="2">
        <f>COUNTIFS(集計用!$G332,"*, "&amp;AK$3&amp;", *")</f>
        <v>0</v>
      </c>
      <c r="AL334" s="2">
        <f>COUNTIFS(集計用!$G332,"*, "&amp;AL$3&amp;", *")</f>
        <v>0</v>
      </c>
      <c r="AM334" s="2">
        <f>COUNTIFS(集計用!$G332,"*, "&amp;AM$3&amp;", *")</f>
        <v>0</v>
      </c>
      <c r="AN334" s="2">
        <f>COUNTIFS(集計用!$G332,"*, "&amp;AN$3&amp;", *")</f>
        <v>0</v>
      </c>
      <c r="AO334" s="2">
        <f>COUNTIFS(集計用!$G332,"*, "&amp;AO$3&amp;", *")</f>
        <v>0</v>
      </c>
      <c r="AP334" s="2">
        <f>COUNTIFS(集計用!$G332,"*, "&amp;AP$3&amp;", *")</f>
        <v>0</v>
      </c>
      <c r="AQ334" s="2">
        <f>COUNTIFS(集計用!$G332,"*, "&amp;AQ$3&amp;", *")</f>
        <v>0</v>
      </c>
      <c r="AR334" s="2">
        <f>COUNTIFS(集計用!$G332,"*, "&amp;AR$3&amp;", *")</f>
        <v>0</v>
      </c>
      <c r="AS334" s="2">
        <f>COUNTIFS(集計用!$G332,"*, "&amp;AS$3&amp;", *")</f>
        <v>0</v>
      </c>
      <c r="AT334" s="2">
        <f>COUNTIFS(集計用!$G332,"*, "&amp;AT$3&amp;", *")</f>
        <v>0</v>
      </c>
      <c r="AU334" s="2">
        <f>COUNTIFS(集計用!$G332,"*, "&amp;AU$3&amp;", *")</f>
        <v>0</v>
      </c>
      <c r="AV334" s="2">
        <f>COUNTIFS(集計用!$G332,"*, "&amp;AV$3&amp;", *")</f>
        <v>0</v>
      </c>
      <c r="AW334" s="2">
        <f>COUNTIFS(集計用!$G332,"*, "&amp;AW$3&amp;", *")</f>
        <v>0</v>
      </c>
      <c r="AX334" s="2">
        <f>COUNTIFS(集計用!$G332,"*, "&amp;AX$3&amp;", *")</f>
        <v>0</v>
      </c>
      <c r="AY334" s="2">
        <f>COUNTIFS(集計用!$G332,"*, "&amp;AY$3&amp;", *")</f>
        <v>0</v>
      </c>
      <c r="AZ334" s="2">
        <f>COUNTIFS(集計用!$G332,"*, "&amp;AZ$3&amp;", *")</f>
        <v>0</v>
      </c>
      <c r="BA334" s="2">
        <f>COUNTIFS(集計用!$G332,"*, "&amp;BA$3&amp;", *")</f>
        <v>0</v>
      </c>
      <c r="BB334" s="2">
        <f>COUNTIFS(集計用!$G332,"*, "&amp;BB$3&amp;", *")</f>
        <v>0</v>
      </c>
      <c r="BC334" s="2">
        <f>COUNTIFS(集計用!$G332,"*, "&amp;BC$3&amp;", *")</f>
        <v>0</v>
      </c>
      <c r="BD334" s="2">
        <f>COUNTIFS(集計用!$G332,"*, "&amp;BD$3&amp;", *")</f>
        <v>0</v>
      </c>
      <c r="BE334" s="2">
        <f>COUNTIFS(集計用!$G332,"*, "&amp;BE$3&amp;", *")</f>
        <v>0</v>
      </c>
      <c r="BF334" s="2">
        <f>COUNTIFS(集計用!$G332,"*, "&amp;BF$3&amp;", *")</f>
        <v>0</v>
      </c>
      <c r="BG334" s="2">
        <f>COUNTIFS(集計用!$G332,"*, "&amp;BG$3&amp;", *")</f>
        <v>0</v>
      </c>
      <c r="BH334" s="2">
        <f>COUNTIFS(集計用!$G332,"*, "&amp;BH$3&amp;", *")</f>
        <v>0</v>
      </c>
      <c r="BI334" s="2">
        <f>COUNTIFS(集計用!$G332,"*, "&amp;BI$3&amp;", *")</f>
        <v>0</v>
      </c>
      <c r="BJ334" s="2">
        <f>LEN(集計用!H332)-LEN(SUBSTITUTE(集計用!H332,",",""))</f>
        <v>1</v>
      </c>
    </row>
    <row r="335" spans="1:62" ht="12.75">
      <c r="A335" s="8">
        <v>332</v>
      </c>
      <c r="C335" s="2">
        <f t="shared" si="3"/>
        <v>6</v>
      </c>
      <c r="D335" s="9"/>
      <c r="E335" s="2">
        <f>COUNTIFS(集計用!$G333,"*, "&amp;E$3&amp;", *")</f>
        <v>0</v>
      </c>
      <c r="F335" s="2">
        <f>COUNTIFS(集計用!$G333,"*, "&amp;F$3&amp;", *")</f>
        <v>0</v>
      </c>
      <c r="G335" s="2">
        <f>COUNTIFS(集計用!$G333,"*, "&amp;G$3&amp;", *")</f>
        <v>1</v>
      </c>
      <c r="H335" s="2">
        <f>COUNTIFS(集計用!$G333,"*, "&amp;H$3&amp;", *")</f>
        <v>1</v>
      </c>
      <c r="I335" s="2">
        <f>COUNTIFS(集計用!$G333,"*, "&amp;I$3&amp;", *")</f>
        <v>0</v>
      </c>
      <c r="J335" s="2">
        <f>COUNTIFS(集計用!$G333,"*, "&amp;J$3&amp;", *")</f>
        <v>0</v>
      </c>
      <c r="K335" s="2">
        <f>COUNTIFS(集計用!$G333,"*, "&amp;K$3&amp;", *")</f>
        <v>0</v>
      </c>
      <c r="L335" s="2">
        <f>COUNTIFS(集計用!$G333,"*, "&amp;L$3&amp;", *")</f>
        <v>0</v>
      </c>
      <c r="M335" s="2">
        <f>COUNTIFS(集計用!$G333,"*, "&amp;M$3&amp;", *")</f>
        <v>0</v>
      </c>
      <c r="N335" s="2">
        <f>COUNTIFS(集計用!$G333,"*, "&amp;N$3&amp;", *")</f>
        <v>1</v>
      </c>
      <c r="O335" s="2">
        <f>COUNTIFS(集計用!$G333,"*, "&amp;O$3&amp;", *")</f>
        <v>0</v>
      </c>
      <c r="P335" s="2">
        <f>COUNTIFS(集計用!$G333,"*, "&amp;P$3&amp;", *")</f>
        <v>1</v>
      </c>
      <c r="Q335" s="2">
        <f>COUNTIFS(集計用!$G333,"*, "&amp;Q$3&amp;", *")</f>
        <v>0</v>
      </c>
      <c r="R335" s="2">
        <f>COUNTIFS(集計用!$G333,"*, "&amp;R$3&amp;", *")</f>
        <v>0</v>
      </c>
      <c r="S335" s="2">
        <f>COUNTIFS(集計用!$G333,"*, "&amp;S$3&amp;", *")</f>
        <v>0</v>
      </c>
      <c r="T335" s="2">
        <f>COUNTIFS(集計用!$G333,"*, "&amp;T$3&amp;", *")</f>
        <v>0</v>
      </c>
      <c r="U335" s="2">
        <f>COUNTIFS(集計用!$G333,"*, "&amp;U$3&amp;", *")</f>
        <v>0</v>
      </c>
      <c r="V335" s="2">
        <f>COUNTIFS(集計用!$G333,"*, "&amp;V$3&amp;", *")</f>
        <v>0</v>
      </c>
      <c r="W335" s="2">
        <f>COUNTIFS(集計用!$G333,"*, "&amp;W$3&amp;", *")</f>
        <v>0</v>
      </c>
      <c r="X335" s="2">
        <f>COUNTIFS(集計用!$G333,"*, "&amp;X$3&amp;", *")</f>
        <v>0</v>
      </c>
      <c r="Y335" s="2">
        <f>COUNTIFS(集計用!$G333,"*, "&amp;Y$3&amp;", *")</f>
        <v>0</v>
      </c>
      <c r="Z335" s="2">
        <f>COUNTIFS(集計用!$G333,"*, "&amp;Z$3&amp;", *")</f>
        <v>0</v>
      </c>
      <c r="AA335" s="2">
        <f>COUNTIFS(集計用!$G333,"*, "&amp;AA$3&amp;", *")</f>
        <v>0</v>
      </c>
      <c r="AB335" s="2">
        <f>COUNTIFS(集計用!$G333,"*, "&amp;AB$3&amp;", *")</f>
        <v>0</v>
      </c>
      <c r="AC335" s="2">
        <f>COUNTIFS(集計用!$G333,"*, "&amp;AC$3&amp;", *")</f>
        <v>0</v>
      </c>
      <c r="AD335" s="2">
        <f>COUNTIFS(集計用!$G333,"*, "&amp;AD$3&amp;", *")</f>
        <v>1</v>
      </c>
      <c r="AE335" s="2">
        <f>COUNTIFS(集計用!$G333,"*, "&amp;AE$3&amp;", *")</f>
        <v>0</v>
      </c>
      <c r="AF335" s="2">
        <f>COUNTIFS(集計用!$G333,"*, "&amp;AF$3&amp;", *")</f>
        <v>0</v>
      </c>
      <c r="AG335" s="2">
        <f>COUNTIFS(集計用!$G333,"*, "&amp;AG$3&amp;", *")</f>
        <v>0</v>
      </c>
      <c r="AH335" s="2">
        <f>COUNTIFS(集計用!$G333,"*, "&amp;AH$3&amp;", *")</f>
        <v>0</v>
      </c>
      <c r="AI335" s="2">
        <f>COUNTIFS(集計用!$G333,"*, "&amp;AI$3&amp;", *")</f>
        <v>0</v>
      </c>
      <c r="AJ335" s="2">
        <f>COUNTIFS(集計用!$G333,"*, "&amp;AJ$3&amp;", *")</f>
        <v>0</v>
      </c>
      <c r="AK335" s="2">
        <f>COUNTIFS(集計用!$G333,"*, "&amp;AK$3&amp;", *")</f>
        <v>0</v>
      </c>
      <c r="AL335" s="2">
        <f>COUNTIFS(集計用!$G333,"*, "&amp;AL$3&amp;", *")</f>
        <v>0</v>
      </c>
      <c r="AM335" s="2">
        <f>COUNTIFS(集計用!$G333,"*, "&amp;AM$3&amp;", *")</f>
        <v>0</v>
      </c>
      <c r="AN335" s="2">
        <f>COUNTIFS(集計用!$G333,"*, "&amp;AN$3&amp;", *")</f>
        <v>0</v>
      </c>
      <c r="AO335" s="2">
        <f>COUNTIFS(集計用!$G333,"*, "&amp;AO$3&amp;", *")</f>
        <v>0</v>
      </c>
      <c r="AP335" s="2">
        <f>COUNTIFS(集計用!$G333,"*, "&amp;AP$3&amp;", *")</f>
        <v>0</v>
      </c>
      <c r="AQ335" s="2">
        <f>COUNTIFS(集計用!$G333,"*, "&amp;AQ$3&amp;", *")</f>
        <v>0</v>
      </c>
      <c r="AR335" s="2">
        <f>COUNTIFS(集計用!$G333,"*, "&amp;AR$3&amp;", *")</f>
        <v>0</v>
      </c>
      <c r="AS335" s="2">
        <f>COUNTIFS(集計用!$G333,"*, "&amp;AS$3&amp;", *")</f>
        <v>0</v>
      </c>
      <c r="AT335" s="2">
        <f>COUNTIFS(集計用!$G333,"*, "&amp;AT$3&amp;", *")</f>
        <v>0</v>
      </c>
      <c r="AU335" s="2">
        <f>COUNTIFS(集計用!$G333,"*, "&amp;AU$3&amp;", *")</f>
        <v>0</v>
      </c>
      <c r="AV335" s="2">
        <f>COUNTIFS(集計用!$G333,"*, "&amp;AV$3&amp;", *")</f>
        <v>0</v>
      </c>
      <c r="AW335" s="2">
        <f>COUNTIFS(集計用!$G333,"*, "&amp;AW$3&amp;", *")</f>
        <v>0</v>
      </c>
      <c r="AX335" s="2">
        <f>COUNTIFS(集計用!$G333,"*, "&amp;AX$3&amp;", *")</f>
        <v>0</v>
      </c>
      <c r="AY335" s="2">
        <f>COUNTIFS(集計用!$G333,"*, "&amp;AY$3&amp;", *")</f>
        <v>0</v>
      </c>
      <c r="AZ335" s="2">
        <f>COUNTIFS(集計用!$G333,"*, "&amp;AZ$3&amp;", *")</f>
        <v>0</v>
      </c>
      <c r="BA335" s="2">
        <f>COUNTIFS(集計用!$G333,"*, "&amp;BA$3&amp;", *")</f>
        <v>1</v>
      </c>
      <c r="BB335" s="2">
        <f>COUNTIFS(集計用!$G333,"*, "&amp;BB$3&amp;", *")</f>
        <v>0</v>
      </c>
      <c r="BC335" s="2">
        <f>COUNTIFS(集計用!$G333,"*, "&amp;BC$3&amp;", *")</f>
        <v>0</v>
      </c>
      <c r="BD335" s="2">
        <f>COUNTIFS(集計用!$G333,"*, "&amp;BD$3&amp;", *")</f>
        <v>0</v>
      </c>
      <c r="BE335" s="2">
        <f>COUNTIFS(集計用!$G333,"*, "&amp;BE$3&amp;", *")</f>
        <v>0</v>
      </c>
      <c r="BF335" s="2">
        <f>COUNTIFS(集計用!$G333,"*, "&amp;BF$3&amp;", *")</f>
        <v>0</v>
      </c>
      <c r="BG335" s="2">
        <f>COUNTIFS(集計用!$G333,"*, "&amp;BG$3&amp;", *")</f>
        <v>0</v>
      </c>
      <c r="BH335" s="2">
        <f>COUNTIFS(集計用!$G333,"*, "&amp;BH$3&amp;", *")</f>
        <v>0</v>
      </c>
      <c r="BI335" s="2">
        <f>COUNTIFS(集計用!$G333,"*, "&amp;BI$3&amp;", *")</f>
        <v>0</v>
      </c>
      <c r="BJ335" s="2">
        <f>LEN(集計用!H333)-LEN(SUBSTITUTE(集計用!H333,",",""))</f>
        <v>0</v>
      </c>
    </row>
    <row r="336" spans="1:62" ht="12.75">
      <c r="A336" s="8">
        <v>333</v>
      </c>
      <c r="C336" s="2">
        <f t="shared" si="3"/>
        <v>5</v>
      </c>
      <c r="D336" s="9"/>
      <c r="E336" s="2">
        <f>COUNTIFS(集計用!$G334,"*, "&amp;E$3&amp;", *")</f>
        <v>1</v>
      </c>
      <c r="F336" s="2">
        <f>COUNTIFS(集計用!$G334,"*, "&amp;F$3&amp;", *")</f>
        <v>1</v>
      </c>
      <c r="G336" s="2">
        <f>COUNTIFS(集計用!$G334,"*, "&amp;G$3&amp;", *")</f>
        <v>0</v>
      </c>
      <c r="H336" s="2">
        <f>COUNTIFS(集計用!$G334,"*, "&amp;H$3&amp;", *")</f>
        <v>1</v>
      </c>
      <c r="I336" s="2">
        <f>COUNTIFS(集計用!$G334,"*, "&amp;I$3&amp;", *")</f>
        <v>0</v>
      </c>
      <c r="J336" s="2">
        <f>COUNTIFS(集計用!$G334,"*, "&amp;J$3&amp;", *")</f>
        <v>0</v>
      </c>
      <c r="K336" s="2">
        <f>COUNTIFS(集計用!$G334,"*, "&amp;K$3&amp;", *")</f>
        <v>1</v>
      </c>
      <c r="L336" s="2">
        <f>COUNTIFS(集計用!$G334,"*, "&amp;L$3&amp;", *")</f>
        <v>0</v>
      </c>
      <c r="M336" s="2">
        <f>COUNTIFS(集計用!$G334,"*, "&amp;M$3&amp;", *")</f>
        <v>0</v>
      </c>
      <c r="N336" s="2">
        <f>COUNTIFS(集計用!$G334,"*, "&amp;N$3&amp;", *")</f>
        <v>0</v>
      </c>
      <c r="O336" s="2">
        <f>COUNTIFS(集計用!$G334,"*, "&amp;O$3&amp;", *")</f>
        <v>0</v>
      </c>
      <c r="P336" s="2">
        <f>COUNTIFS(集計用!$G334,"*, "&amp;P$3&amp;", *")</f>
        <v>0</v>
      </c>
      <c r="Q336" s="2">
        <f>COUNTIFS(集計用!$G334,"*, "&amp;Q$3&amp;", *")</f>
        <v>0</v>
      </c>
      <c r="R336" s="2">
        <f>COUNTIFS(集計用!$G334,"*, "&amp;R$3&amp;", *")</f>
        <v>0</v>
      </c>
      <c r="S336" s="2">
        <f>COUNTIFS(集計用!$G334,"*, "&amp;S$3&amp;", *")</f>
        <v>0</v>
      </c>
      <c r="T336" s="2">
        <f>COUNTIFS(集計用!$G334,"*, "&amp;T$3&amp;", *")</f>
        <v>0</v>
      </c>
      <c r="U336" s="2">
        <f>COUNTIFS(集計用!$G334,"*, "&amp;U$3&amp;", *")</f>
        <v>0</v>
      </c>
      <c r="V336" s="2">
        <f>COUNTIFS(集計用!$G334,"*, "&amp;V$3&amp;", *")</f>
        <v>0</v>
      </c>
      <c r="W336" s="2">
        <f>COUNTIFS(集計用!$G334,"*, "&amp;W$3&amp;", *")</f>
        <v>0</v>
      </c>
      <c r="X336" s="2">
        <f>COUNTIFS(集計用!$G334,"*, "&amp;X$3&amp;", *")</f>
        <v>1</v>
      </c>
      <c r="Y336" s="2">
        <f>COUNTIFS(集計用!$G334,"*, "&amp;Y$3&amp;", *")</f>
        <v>0</v>
      </c>
      <c r="Z336" s="2">
        <f>COUNTIFS(集計用!$G334,"*, "&amp;Z$3&amp;", *")</f>
        <v>0</v>
      </c>
      <c r="AA336" s="2">
        <f>COUNTIFS(集計用!$G334,"*, "&amp;AA$3&amp;", *")</f>
        <v>0</v>
      </c>
      <c r="AB336" s="2">
        <f>COUNTIFS(集計用!$G334,"*, "&amp;AB$3&amp;", *")</f>
        <v>0</v>
      </c>
      <c r="AC336" s="2">
        <f>COUNTIFS(集計用!$G334,"*, "&amp;AC$3&amp;", *")</f>
        <v>0</v>
      </c>
      <c r="AD336" s="2">
        <f>COUNTIFS(集計用!$G334,"*, "&amp;AD$3&amp;", *")</f>
        <v>0</v>
      </c>
      <c r="AE336" s="2">
        <f>COUNTIFS(集計用!$G334,"*, "&amp;AE$3&amp;", *")</f>
        <v>0</v>
      </c>
      <c r="AF336" s="2">
        <f>COUNTIFS(集計用!$G334,"*, "&amp;AF$3&amp;", *")</f>
        <v>0</v>
      </c>
      <c r="AG336" s="2">
        <f>COUNTIFS(集計用!$G334,"*, "&amp;AG$3&amp;", *")</f>
        <v>0</v>
      </c>
      <c r="AH336" s="2">
        <f>COUNTIFS(集計用!$G334,"*, "&amp;AH$3&amp;", *")</f>
        <v>0</v>
      </c>
      <c r="AI336" s="2">
        <f>COUNTIFS(集計用!$G334,"*, "&amp;AI$3&amp;", *")</f>
        <v>0</v>
      </c>
      <c r="AJ336" s="2">
        <f>COUNTIFS(集計用!$G334,"*, "&amp;AJ$3&amp;", *")</f>
        <v>0</v>
      </c>
      <c r="AK336" s="2">
        <f>COUNTIFS(集計用!$G334,"*, "&amp;AK$3&amp;", *")</f>
        <v>0</v>
      </c>
      <c r="AL336" s="2">
        <f>COUNTIFS(集計用!$G334,"*, "&amp;AL$3&amp;", *")</f>
        <v>0</v>
      </c>
      <c r="AM336" s="2">
        <f>COUNTIFS(集計用!$G334,"*, "&amp;AM$3&amp;", *")</f>
        <v>0</v>
      </c>
      <c r="AN336" s="2">
        <f>COUNTIFS(集計用!$G334,"*, "&amp;AN$3&amp;", *")</f>
        <v>0</v>
      </c>
      <c r="AO336" s="2">
        <f>COUNTIFS(集計用!$G334,"*, "&amp;AO$3&amp;", *")</f>
        <v>0</v>
      </c>
      <c r="AP336" s="2">
        <f>COUNTIFS(集計用!$G334,"*, "&amp;AP$3&amp;", *")</f>
        <v>0</v>
      </c>
      <c r="AQ336" s="2">
        <f>COUNTIFS(集計用!$G334,"*, "&amp;AQ$3&amp;", *")</f>
        <v>0</v>
      </c>
      <c r="AR336" s="2">
        <f>COUNTIFS(集計用!$G334,"*, "&amp;AR$3&amp;", *")</f>
        <v>0</v>
      </c>
      <c r="AS336" s="2">
        <f>COUNTIFS(集計用!$G334,"*, "&amp;AS$3&amp;", *")</f>
        <v>0</v>
      </c>
      <c r="AT336" s="2">
        <f>COUNTIFS(集計用!$G334,"*, "&amp;AT$3&amp;", *")</f>
        <v>0</v>
      </c>
      <c r="AU336" s="2">
        <f>COUNTIFS(集計用!$G334,"*, "&amp;AU$3&amp;", *")</f>
        <v>0</v>
      </c>
      <c r="AV336" s="2">
        <f>COUNTIFS(集計用!$G334,"*, "&amp;AV$3&amp;", *")</f>
        <v>0</v>
      </c>
      <c r="AW336" s="2">
        <f>COUNTIFS(集計用!$G334,"*, "&amp;AW$3&amp;", *")</f>
        <v>0</v>
      </c>
      <c r="AX336" s="2">
        <f>COUNTIFS(集計用!$G334,"*, "&amp;AX$3&amp;", *")</f>
        <v>0</v>
      </c>
      <c r="AY336" s="2">
        <f>COUNTIFS(集計用!$G334,"*, "&amp;AY$3&amp;", *")</f>
        <v>0</v>
      </c>
      <c r="AZ336" s="2">
        <f>COUNTIFS(集計用!$G334,"*, "&amp;AZ$3&amp;", *")</f>
        <v>0</v>
      </c>
      <c r="BA336" s="2">
        <f>COUNTIFS(集計用!$G334,"*, "&amp;BA$3&amp;", *")</f>
        <v>0</v>
      </c>
      <c r="BB336" s="2">
        <f>COUNTIFS(集計用!$G334,"*, "&amp;BB$3&amp;", *")</f>
        <v>0</v>
      </c>
      <c r="BC336" s="2">
        <f>COUNTIFS(集計用!$G334,"*, "&amp;BC$3&amp;", *")</f>
        <v>0</v>
      </c>
      <c r="BD336" s="2">
        <f>COUNTIFS(集計用!$G334,"*, "&amp;BD$3&amp;", *")</f>
        <v>0</v>
      </c>
      <c r="BE336" s="2">
        <f>COUNTIFS(集計用!$G334,"*, "&amp;BE$3&amp;", *")</f>
        <v>0</v>
      </c>
      <c r="BF336" s="2">
        <f>COUNTIFS(集計用!$G334,"*, "&amp;BF$3&amp;", *")</f>
        <v>0</v>
      </c>
      <c r="BG336" s="2">
        <f>COUNTIFS(集計用!$G334,"*, "&amp;BG$3&amp;", *")</f>
        <v>0</v>
      </c>
      <c r="BH336" s="2">
        <f>COUNTIFS(集計用!$G334,"*, "&amp;BH$3&amp;", *")</f>
        <v>0</v>
      </c>
      <c r="BI336" s="2">
        <f>COUNTIFS(集計用!$G334,"*, "&amp;BI$3&amp;", *")</f>
        <v>0</v>
      </c>
      <c r="BJ336" s="2">
        <f>LEN(集計用!H334)-LEN(SUBSTITUTE(集計用!H334,",",""))</f>
        <v>0</v>
      </c>
    </row>
    <row r="337" spans="1:62" ht="12.75">
      <c r="A337" s="8">
        <v>334</v>
      </c>
      <c r="C337" s="2">
        <f t="shared" si="3"/>
        <v>5</v>
      </c>
      <c r="D337" s="9"/>
      <c r="E337" s="2">
        <f>COUNTIFS(集計用!$G335,"*, "&amp;E$3&amp;", *")</f>
        <v>1</v>
      </c>
      <c r="F337" s="2">
        <f>COUNTIFS(集計用!$G335,"*, "&amp;F$3&amp;", *")</f>
        <v>0</v>
      </c>
      <c r="G337" s="2">
        <f>COUNTIFS(集計用!$G335,"*, "&amp;G$3&amp;", *")</f>
        <v>1</v>
      </c>
      <c r="H337" s="2">
        <f>COUNTIFS(集計用!$G335,"*, "&amp;H$3&amp;", *")</f>
        <v>0</v>
      </c>
      <c r="I337" s="2">
        <f>COUNTIFS(集計用!$G335,"*, "&amp;I$3&amp;", *")</f>
        <v>0</v>
      </c>
      <c r="J337" s="2">
        <f>COUNTIFS(集計用!$G335,"*, "&amp;J$3&amp;", *")</f>
        <v>1</v>
      </c>
      <c r="K337" s="2">
        <f>COUNTIFS(集計用!$G335,"*, "&amp;K$3&amp;", *")</f>
        <v>0</v>
      </c>
      <c r="L337" s="2">
        <f>COUNTIFS(集計用!$G335,"*, "&amp;L$3&amp;", *")</f>
        <v>0</v>
      </c>
      <c r="M337" s="2">
        <f>COUNTIFS(集計用!$G335,"*, "&amp;M$3&amp;", *")</f>
        <v>0</v>
      </c>
      <c r="N337" s="2">
        <f>COUNTIFS(集計用!$G335,"*, "&amp;N$3&amp;", *")</f>
        <v>1</v>
      </c>
      <c r="O337" s="2">
        <f>COUNTIFS(集計用!$G335,"*, "&amp;O$3&amp;", *")</f>
        <v>0</v>
      </c>
      <c r="P337" s="2">
        <f>COUNTIFS(集計用!$G335,"*, "&amp;P$3&amp;", *")</f>
        <v>0</v>
      </c>
      <c r="Q337" s="2">
        <f>COUNTIFS(集計用!$G335,"*, "&amp;Q$3&amp;", *")</f>
        <v>0</v>
      </c>
      <c r="R337" s="2">
        <f>COUNTIFS(集計用!$G335,"*, "&amp;R$3&amp;", *")</f>
        <v>0</v>
      </c>
      <c r="S337" s="2">
        <f>COUNTIFS(集計用!$G335,"*, "&amp;S$3&amp;", *")</f>
        <v>1</v>
      </c>
      <c r="T337" s="2">
        <f>COUNTIFS(集計用!$G335,"*, "&amp;T$3&amp;", *")</f>
        <v>0</v>
      </c>
      <c r="U337" s="2">
        <f>COUNTIFS(集計用!$G335,"*, "&amp;U$3&amp;", *")</f>
        <v>0</v>
      </c>
      <c r="V337" s="2">
        <f>COUNTIFS(集計用!$G335,"*, "&amp;V$3&amp;", *")</f>
        <v>0</v>
      </c>
      <c r="W337" s="2">
        <f>COUNTIFS(集計用!$G335,"*, "&amp;W$3&amp;", *")</f>
        <v>0</v>
      </c>
      <c r="X337" s="2">
        <f>COUNTIFS(集計用!$G335,"*, "&amp;X$3&amp;", *")</f>
        <v>0</v>
      </c>
      <c r="Y337" s="2">
        <f>COUNTIFS(集計用!$G335,"*, "&amp;Y$3&amp;", *")</f>
        <v>0</v>
      </c>
      <c r="Z337" s="2">
        <f>COUNTIFS(集計用!$G335,"*, "&amp;Z$3&amp;", *")</f>
        <v>0</v>
      </c>
      <c r="AA337" s="2">
        <f>COUNTIFS(集計用!$G335,"*, "&amp;AA$3&amp;", *")</f>
        <v>0</v>
      </c>
      <c r="AB337" s="2">
        <f>COUNTIFS(集計用!$G335,"*, "&amp;AB$3&amp;", *")</f>
        <v>0</v>
      </c>
      <c r="AC337" s="2">
        <f>COUNTIFS(集計用!$G335,"*, "&amp;AC$3&amp;", *")</f>
        <v>0</v>
      </c>
      <c r="AD337" s="2">
        <f>COUNTIFS(集計用!$G335,"*, "&amp;AD$3&amp;", *")</f>
        <v>0</v>
      </c>
      <c r="AE337" s="2">
        <f>COUNTIFS(集計用!$G335,"*, "&amp;AE$3&amp;", *")</f>
        <v>0</v>
      </c>
      <c r="AF337" s="2">
        <f>COUNTIFS(集計用!$G335,"*, "&amp;AF$3&amp;", *")</f>
        <v>0</v>
      </c>
      <c r="AG337" s="2">
        <f>COUNTIFS(集計用!$G335,"*, "&amp;AG$3&amp;", *")</f>
        <v>0</v>
      </c>
      <c r="AH337" s="2">
        <f>COUNTIFS(集計用!$G335,"*, "&amp;AH$3&amp;", *")</f>
        <v>0</v>
      </c>
      <c r="AI337" s="2">
        <f>COUNTIFS(集計用!$G335,"*, "&amp;AI$3&amp;", *")</f>
        <v>0</v>
      </c>
      <c r="AJ337" s="2">
        <f>COUNTIFS(集計用!$G335,"*, "&amp;AJ$3&amp;", *")</f>
        <v>0</v>
      </c>
      <c r="AK337" s="2">
        <f>COUNTIFS(集計用!$G335,"*, "&amp;AK$3&amp;", *")</f>
        <v>0</v>
      </c>
      <c r="AL337" s="2">
        <f>COUNTIFS(集計用!$G335,"*, "&amp;AL$3&amp;", *")</f>
        <v>0</v>
      </c>
      <c r="AM337" s="2">
        <f>COUNTIFS(集計用!$G335,"*, "&amp;AM$3&amp;", *")</f>
        <v>0</v>
      </c>
      <c r="AN337" s="2">
        <f>COUNTIFS(集計用!$G335,"*, "&amp;AN$3&amp;", *")</f>
        <v>0</v>
      </c>
      <c r="AO337" s="2">
        <f>COUNTIFS(集計用!$G335,"*, "&amp;AO$3&amp;", *")</f>
        <v>0</v>
      </c>
      <c r="AP337" s="2">
        <f>COUNTIFS(集計用!$G335,"*, "&amp;AP$3&amp;", *")</f>
        <v>0</v>
      </c>
      <c r="AQ337" s="2">
        <f>COUNTIFS(集計用!$G335,"*, "&amp;AQ$3&amp;", *")</f>
        <v>0</v>
      </c>
      <c r="AR337" s="2">
        <f>COUNTIFS(集計用!$G335,"*, "&amp;AR$3&amp;", *")</f>
        <v>0</v>
      </c>
      <c r="AS337" s="2">
        <f>COUNTIFS(集計用!$G335,"*, "&amp;AS$3&amp;", *")</f>
        <v>0</v>
      </c>
      <c r="AT337" s="2">
        <f>COUNTIFS(集計用!$G335,"*, "&amp;AT$3&amp;", *")</f>
        <v>0</v>
      </c>
      <c r="AU337" s="2">
        <f>COUNTIFS(集計用!$G335,"*, "&amp;AU$3&amp;", *")</f>
        <v>0</v>
      </c>
      <c r="AV337" s="2">
        <f>COUNTIFS(集計用!$G335,"*, "&amp;AV$3&amp;", *")</f>
        <v>0</v>
      </c>
      <c r="AW337" s="2">
        <f>COUNTIFS(集計用!$G335,"*, "&amp;AW$3&amp;", *")</f>
        <v>0</v>
      </c>
      <c r="AX337" s="2">
        <f>COUNTIFS(集計用!$G335,"*, "&amp;AX$3&amp;", *")</f>
        <v>0</v>
      </c>
      <c r="AY337" s="2">
        <f>COUNTIFS(集計用!$G335,"*, "&amp;AY$3&amp;", *")</f>
        <v>0</v>
      </c>
      <c r="AZ337" s="2">
        <f>COUNTIFS(集計用!$G335,"*, "&amp;AZ$3&amp;", *")</f>
        <v>0</v>
      </c>
      <c r="BA337" s="2">
        <f>COUNTIFS(集計用!$G335,"*, "&amp;BA$3&amp;", *")</f>
        <v>0</v>
      </c>
      <c r="BB337" s="2">
        <f>COUNTIFS(集計用!$G335,"*, "&amp;BB$3&amp;", *")</f>
        <v>0</v>
      </c>
      <c r="BC337" s="2">
        <f>COUNTIFS(集計用!$G335,"*, "&amp;BC$3&amp;", *")</f>
        <v>0</v>
      </c>
      <c r="BD337" s="2">
        <f>COUNTIFS(集計用!$G335,"*, "&amp;BD$3&amp;", *")</f>
        <v>0</v>
      </c>
      <c r="BE337" s="2">
        <f>COUNTIFS(集計用!$G335,"*, "&amp;BE$3&amp;", *")</f>
        <v>0</v>
      </c>
      <c r="BF337" s="2">
        <f>COUNTIFS(集計用!$G335,"*, "&amp;BF$3&amp;", *")</f>
        <v>0</v>
      </c>
      <c r="BG337" s="2">
        <f>COUNTIFS(集計用!$G335,"*, "&amp;BG$3&amp;", *")</f>
        <v>0</v>
      </c>
      <c r="BH337" s="2">
        <f>COUNTIFS(集計用!$G335,"*, "&amp;BH$3&amp;", *")</f>
        <v>0</v>
      </c>
      <c r="BI337" s="2">
        <f>COUNTIFS(集計用!$G335,"*, "&amp;BI$3&amp;", *")</f>
        <v>0</v>
      </c>
      <c r="BJ337" s="2">
        <f>LEN(集計用!H335)-LEN(SUBSTITUTE(集計用!H335,",",""))</f>
        <v>0</v>
      </c>
    </row>
    <row r="338" spans="1:62" ht="12.75">
      <c r="A338" s="8">
        <v>335</v>
      </c>
      <c r="C338" s="2">
        <f t="shared" si="3"/>
        <v>3</v>
      </c>
      <c r="D338" s="9"/>
      <c r="E338" s="2">
        <f>COUNTIFS(集計用!$G336,"*, "&amp;E$3&amp;", *")</f>
        <v>1</v>
      </c>
      <c r="F338" s="2">
        <f>COUNTIFS(集計用!$G336,"*, "&amp;F$3&amp;", *")</f>
        <v>0</v>
      </c>
      <c r="G338" s="2">
        <f>COUNTIFS(集計用!$G336,"*, "&amp;G$3&amp;", *")</f>
        <v>1</v>
      </c>
      <c r="H338" s="2">
        <f>COUNTIFS(集計用!$G336,"*, "&amp;H$3&amp;", *")</f>
        <v>0</v>
      </c>
      <c r="I338" s="2">
        <f>COUNTIFS(集計用!$G336,"*, "&amp;I$3&amp;", *")</f>
        <v>1</v>
      </c>
      <c r="J338" s="2">
        <f>COUNTIFS(集計用!$G336,"*, "&amp;J$3&amp;", *")</f>
        <v>0</v>
      </c>
      <c r="K338" s="2">
        <f>COUNTIFS(集計用!$G336,"*, "&amp;K$3&amp;", *")</f>
        <v>0</v>
      </c>
      <c r="L338" s="2">
        <f>COUNTIFS(集計用!$G336,"*, "&amp;L$3&amp;", *")</f>
        <v>0</v>
      </c>
      <c r="M338" s="2">
        <f>COUNTIFS(集計用!$G336,"*, "&amp;M$3&amp;", *")</f>
        <v>0</v>
      </c>
      <c r="N338" s="2">
        <f>COUNTIFS(集計用!$G336,"*, "&amp;N$3&amp;", *")</f>
        <v>0</v>
      </c>
      <c r="O338" s="2">
        <f>COUNTIFS(集計用!$G336,"*, "&amp;O$3&amp;", *")</f>
        <v>0</v>
      </c>
      <c r="P338" s="2">
        <f>COUNTIFS(集計用!$G336,"*, "&amp;P$3&amp;", *")</f>
        <v>0</v>
      </c>
      <c r="Q338" s="2">
        <f>COUNTIFS(集計用!$G336,"*, "&amp;Q$3&amp;", *")</f>
        <v>0</v>
      </c>
      <c r="R338" s="2">
        <f>COUNTIFS(集計用!$G336,"*, "&amp;R$3&amp;", *")</f>
        <v>0</v>
      </c>
      <c r="S338" s="2">
        <f>COUNTIFS(集計用!$G336,"*, "&amp;S$3&amp;", *")</f>
        <v>0</v>
      </c>
      <c r="T338" s="2">
        <f>COUNTIFS(集計用!$G336,"*, "&amp;T$3&amp;", *")</f>
        <v>0</v>
      </c>
      <c r="U338" s="2">
        <f>COUNTIFS(集計用!$G336,"*, "&amp;U$3&amp;", *")</f>
        <v>0</v>
      </c>
      <c r="V338" s="2">
        <f>COUNTIFS(集計用!$G336,"*, "&amp;V$3&amp;", *")</f>
        <v>0</v>
      </c>
      <c r="W338" s="2">
        <f>COUNTIFS(集計用!$G336,"*, "&amp;W$3&amp;", *")</f>
        <v>0</v>
      </c>
      <c r="X338" s="2">
        <f>COUNTIFS(集計用!$G336,"*, "&amp;X$3&amp;", *")</f>
        <v>0</v>
      </c>
      <c r="Y338" s="2">
        <f>COUNTIFS(集計用!$G336,"*, "&amp;Y$3&amp;", *")</f>
        <v>0</v>
      </c>
      <c r="Z338" s="2">
        <f>COUNTIFS(集計用!$G336,"*, "&amp;Z$3&amp;", *")</f>
        <v>0</v>
      </c>
      <c r="AA338" s="2">
        <f>COUNTIFS(集計用!$G336,"*, "&amp;AA$3&amp;", *")</f>
        <v>0</v>
      </c>
      <c r="AB338" s="2">
        <f>COUNTIFS(集計用!$G336,"*, "&amp;AB$3&amp;", *")</f>
        <v>0</v>
      </c>
      <c r="AC338" s="2">
        <f>COUNTIFS(集計用!$G336,"*, "&amp;AC$3&amp;", *")</f>
        <v>0</v>
      </c>
      <c r="AD338" s="2">
        <f>COUNTIFS(集計用!$G336,"*, "&amp;AD$3&amp;", *")</f>
        <v>0</v>
      </c>
      <c r="AE338" s="2">
        <f>COUNTIFS(集計用!$G336,"*, "&amp;AE$3&amp;", *")</f>
        <v>0</v>
      </c>
      <c r="AF338" s="2">
        <f>COUNTIFS(集計用!$G336,"*, "&amp;AF$3&amp;", *")</f>
        <v>0</v>
      </c>
      <c r="AG338" s="2">
        <f>COUNTIFS(集計用!$G336,"*, "&amp;AG$3&amp;", *")</f>
        <v>0</v>
      </c>
      <c r="AH338" s="2">
        <f>COUNTIFS(集計用!$G336,"*, "&amp;AH$3&amp;", *")</f>
        <v>0</v>
      </c>
      <c r="AI338" s="2">
        <f>COUNTIFS(集計用!$G336,"*, "&amp;AI$3&amp;", *")</f>
        <v>0</v>
      </c>
      <c r="AJ338" s="2">
        <f>COUNTIFS(集計用!$G336,"*, "&amp;AJ$3&amp;", *")</f>
        <v>0</v>
      </c>
      <c r="AK338" s="2">
        <f>COUNTIFS(集計用!$G336,"*, "&amp;AK$3&amp;", *")</f>
        <v>0</v>
      </c>
      <c r="AL338" s="2">
        <f>COUNTIFS(集計用!$G336,"*, "&amp;AL$3&amp;", *")</f>
        <v>0</v>
      </c>
      <c r="AM338" s="2">
        <f>COUNTIFS(集計用!$G336,"*, "&amp;AM$3&amp;", *")</f>
        <v>0</v>
      </c>
      <c r="AN338" s="2">
        <f>COUNTIFS(集計用!$G336,"*, "&amp;AN$3&amp;", *")</f>
        <v>0</v>
      </c>
      <c r="AO338" s="2">
        <f>COUNTIFS(集計用!$G336,"*, "&amp;AO$3&amp;", *")</f>
        <v>0</v>
      </c>
      <c r="AP338" s="2">
        <f>COUNTIFS(集計用!$G336,"*, "&amp;AP$3&amp;", *")</f>
        <v>0</v>
      </c>
      <c r="AQ338" s="2">
        <f>COUNTIFS(集計用!$G336,"*, "&amp;AQ$3&amp;", *")</f>
        <v>0</v>
      </c>
      <c r="AR338" s="2">
        <f>COUNTIFS(集計用!$G336,"*, "&amp;AR$3&amp;", *")</f>
        <v>0</v>
      </c>
      <c r="AS338" s="2">
        <f>COUNTIFS(集計用!$G336,"*, "&amp;AS$3&amp;", *")</f>
        <v>0</v>
      </c>
      <c r="AT338" s="2">
        <f>COUNTIFS(集計用!$G336,"*, "&amp;AT$3&amp;", *")</f>
        <v>0</v>
      </c>
      <c r="AU338" s="2">
        <f>COUNTIFS(集計用!$G336,"*, "&amp;AU$3&amp;", *")</f>
        <v>0</v>
      </c>
      <c r="AV338" s="2">
        <f>COUNTIFS(集計用!$G336,"*, "&amp;AV$3&amp;", *")</f>
        <v>0</v>
      </c>
      <c r="AW338" s="2">
        <f>COUNTIFS(集計用!$G336,"*, "&amp;AW$3&amp;", *")</f>
        <v>0</v>
      </c>
      <c r="AX338" s="2">
        <f>COUNTIFS(集計用!$G336,"*, "&amp;AX$3&amp;", *")</f>
        <v>0</v>
      </c>
      <c r="AY338" s="2">
        <f>COUNTIFS(集計用!$G336,"*, "&amp;AY$3&amp;", *")</f>
        <v>0</v>
      </c>
      <c r="AZ338" s="2">
        <f>COUNTIFS(集計用!$G336,"*, "&amp;AZ$3&amp;", *")</f>
        <v>0</v>
      </c>
      <c r="BA338" s="2">
        <f>COUNTIFS(集計用!$G336,"*, "&amp;BA$3&amp;", *")</f>
        <v>0</v>
      </c>
      <c r="BB338" s="2">
        <f>COUNTIFS(集計用!$G336,"*, "&amp;BB$3&amp;", *")</f>
        <v>0</v>
      </c>
      <c r="BC338" s="2">
        <f>COUNTIFS(集計用!$G336,"*, "&amp;BC$3&amp;", *")</f>
        <v>0</v>
      </c>
      <c r="BD338" s="2">
        <f>COUNTIFS(集計用!$G336,"*, "&amp;BD$3&amp;", *")</f>
        <v>0</v>
      </c>
      <c r="BE338" s="2">
        <f>COUNTIFS(集計用!$G336,"*, "&amp;BE$3&amp;", *")</f>
        <v>0</v>
      </c>
      <c r="BF338" s="2">
        <f>COUNTIFS(集計用!$G336,"*, "&amp;BF$3&amp;", *")</f>
        <v>0</v>
      </c>
      <c r="BG338" s="2">
        <f>COUNTIFS(集計用!$G336,"*, "&amp;BG$3&amp;", *")</f>
        <v>0</v>
      </c>
      <c r="BH338" s="2">
        <f>COUNTIFS(集計用!$G336,"*, "&amp;BH$3&amp;", *")</f>
        <v>0</v>
      </c>
      <c r="BI338" s="2">
        <f>COUNTIFS(集計用!$G336,"*, "&amp;BI$3&amp;", *")</f>
        <v>0</v>
      </c>
      <c r="BJ338" s="2">
        <f>LEN(集計用!H336)-LEN(SUBSTITUTE(集計用!H336,",",""))</f>
        <v>0</v>
      </c>
    </row>
    <row r="339" spans="1:62" ht="12.75">
      <c r="A339" s="8">
        <v>336</v>
      </c>
      <c r="C339" s="2">
        <f t="shared" si="3"/>
        <v>7</v>
      </c>
      <c r="D339" s="9"/>
      <c r="E339" s="2">
        <f>COUNTIFS(集計用!$G337,"*, "&amp;E$3&amp;", *")</f>
        <v>0</v>
      </c>
      <c r="F339" s="2">
        <f>COUNTIFS(集計用!$G337,"*, "&amp;F$3&amp;", *")</f>
        <v>0</v>
      </c>
      <c r="G339" s="2">
        <f>COUNTIFS(集計用!$G337,"*, "&amp;G$3&amp;", *")</f>
        <v>0</v>
      </c>
      <c r="H339" s="2">
        <f>COUNTIFS(集計用!$G337,"*, "&amp;H$3&amp;", *")</f>
        <v>0</v>
      </c>
      <c r="I339" s="2">
        <f>COUNTIFS(集計用!$G337,"*, "&amp;I$3&amp;", *")</f>
        <v>0</v>
      </c>
      <c r="J339" s="2">
        <f>COUNTIFS(集計用!$G337,"*, "&amp;J$3&amp;", *")</f>
        <v>0</v>
      </c>
      <c r="K339" s="2">
        <f>COUNTIFS(集計用!$G337,"*, "&amp;K$3&amp;", *")</f>
        <v>0</v>
      </c>
      <c r="L339" s="2">
        <f>COUNTIFS(集計用!$G337,"*, "&amp;L$3&amp;", *")</f>
        <v>0</v>
      </c>
      <c r="M339" s="2">
        <f>COUNTIFS(集計用!$G337,"*, "&amp;M$3&amp;", *")</f>
        <v>0</v>
      </c>
      <c r="N339" s="2">
        <f>COUNTIFS(集計用!$G337,"*, "&amp;N$3&amp;", *")</f>
        <v>0</v>
      </c>
      <c r="O339" s="2">
        <f>COUNTIFS(集計用!$G337,"*, "&amp;O$3&amp;", *")</f>
        <v>1</v>
      </c>
      <c r="P339" s="2">
        <f>COUNTIFS(集計用!$G337,"*, "&amp;P$3&amp;", *")</f>
        <v>0</v>
      </c>
      <c r="Q339" s="2">
        <f>COUNTIFS(集計用!$G337,"*, "&amp;Q$3&amp;", *")</f>
        <v>0</v>
      </c>
      <c r="R339" s="2">
        <f>COUNTIFS(集計用!$G337,"*, "&amp;R$3&amp;", *")</f>
        <v>0</v>
      </c>
      <c r="S339" s="2">
        <f>COUNTIFS(集計用!$G337,"*, "&amp;S$3&amp;", *")</f>
        <v>0</v>
      </c>
      <c r="T339" s="2">
        <f>COUNTIFS(集計用!$G337,"*, "&amp;T$3&amp;", *")</f>
        <v>0</v>
      </c>
      <c r="U339" s="2">
        <f>COUNTIFS(集計用!$G337,"*, "&amp;U$3&amp;", *")</f>
        <v>1</v>
      </c>
      <c r="V339" s="2">
        <f>COUNTIFS(集計用!$G337,"*, "&amp;V$3&amp;", *")</f>
        <v>1</v>
      </c>
      <c r="W339" s="2">
        <f>COUNTIFS(集計用!$G337,"*, "&amp;W$3&amp;", *")</f>
        <v>0</v>
      </c>
      <c r="X339" s="2">
        <f>COUNTIFS(集計用!$G337,"*, "&amp;X$3&amp;", *")</f>
        <v>0</v>
      </c>
      <c r="Y339" s="2">
        <f>COUNTIFS(集計用!$G337,"*, "&amp;Y$3&amp;", *")</f>
        <v>0</v>
      </c>
      <c r="Z339" s="2">
        <f>COUNTIFS(集計用!$G337,"*, "&amp;Z$3&amp;", *")</f>
        <v>0</v>
      </c>
      <c r="AA339" s="2">
        <f>COUNTIFS(集計用!$G337,"*, "&amp;AA$3&amp;", *")</f>
        <v>0</v>
      </c>
      <c r="AB339" s="2">
        <f>COUNTIFS(集計用!$G337,"*, "&amp;AB$3&amp;", *")</f>
        <v>0</v>
      </c>
      <c r="AC339" s="2">
        <f>COUNTIFS(集計用!$G337,"*, "&amp;AC$3&amp;", *")</f>
        <v>0</v>
      </c>
      <c r="AD339" s="2">
        <f>COUNTIFS(集計用!$G337,"*, "&amp;AD$3&amp;", *")</f>
        <v>0</v>
      </c>
      <c r="AE339" s="2">
        <f>COUNTIFS(集計用!$G337,"*, "&amp;AE$3&amp;", *")</f>
        <v>0</v>
      </c>
      <c r="AF339" s="2">
        <f>COUNTIFS(集計用!$G337,"*, "&amp;AF$3&amp;", *")</f>
        <v>0</v>
      </c>
      <c r="AG339" s="2">
        <f>COUNTIFS(集計用!$G337,"*, "&amp;AG$3&amp;", *")</f>
        <v>1</v>
      </c>
      <c r="AH339" s="2">
        <f>COUNTIFS(集計用!$G337,"*, "&amp;AH$3&amp;", *")</f>
        <v>0</v>
      </c>
      <c r="AI339" s="2">
        <f>COUNTIFS(集計用!$G337,"*, "&amp;AI$3&amp;", *")</f>
        <v>1</v>
      </c>
      <c r="AJ339" s="2">
        <f>COUNTIFS(集計用!$G337,"*, "&amp;AJ$3&amp;", *")</f>
        <v>0</v>
      </c>
      <c r="AK339" s="2">
        <f>COUNTIFS(集計用!$G337,"*, "&amp;AK$3&amp;", *")</f>
        <v>0</v>
      </c>
      <c r="AL339" s="2">
        <f>COUNTIFS(集計用!$G337,"*, "&amp;AL$3&amp;", *")</f>
        <v>0</v>
      </c>
      <c r="AM339" s="2">
        <f>COUNTIFS(集計用!$G337,"*, "&amp;AM$3&amp;", *")</f>
        <v>1</v>
      </c>
      <c r="AN339" s="2">
        <f>COUNTIFS(集計用!$G337,"*, "&amp;AN$3&amp;", *")</f>
        <v>0</v>
      </c>
      <c r="AO339" s="2">
        <f>COUNTIFS(集計用!$G337,"*, "&amp;AO$3&amp;", *")</f>
        <v>0</v>
      </c>
      <c r="AP339" s="2">
        <f>COUNTIFS(集計用!$G337,"*, "&amp;AP$3&amp;", *")</f>
        <v>0</v>
      </c>
      <c r="AQ339" s="2">
        <f>COUNTIFS(集計用!$G337,"*, "&amp;AQ$3&amp;", *")</f>
        <v>0</v>
      </c>
      <c r="AR339" s="2">
        <f>COUNTIFS(集計用!$G337,"*, "&amp;AR$3&amp;", *")</f>
        <v>0</v>
      </c>
      <c r="AS339" s="2">
        <f>COUNTIFS(集計用!$G337,"*, "&amp;AS$3&amp;", *")</f>
        <v>0</v>
      </c>
      <c r="AT339" s="2">
        <f>COUNTIFS(集計用!$G337,"*, "&amp;AT$3&amp;", *")</f>
        <v>0</v>
      </c>
      <c r="AU339" s="2">
        <f>COUNTIFS(集計用!$G337,"*, "&amp;AU$3&amp;", *")</f>
        <v>0</v>
      </c>
      <c r="AV339" s="2">
        <f>COUNTIFS(集計用!$G337,"*, "&amp;AV$3&amp;", *")</f>
        <v>0</v>
      </c>
      <c r="AW339" s="2">
        <f>COUNTIFS(集計用!$G337,"*, "&amp;AW$3&amp;", *")</f>
        <v>0</v>
      </c>
      <c r="AX339" s="2">
        <f>COUNTIFS(集計用!$G337,"*, "&amp;AX$3&amp;", *")</f>
        <v>1</v>
      </c>
      <c r="AY339" s="2">
        <f>COUNTIFS(集計用!$G337,"*, "&amp;AY$3&amp;", *")</f>
        <v>0</v>
      </c>
      <c r="AZ339" s="2">
        <f>COUNTIFS(集計用!$G337,"*, "&amp;AZ$3&amp;", *")</f>
        <v>0</v>
      </c>
      <c r="BA339" s="2">
        <f>COUNTIFS(集計用!$G337,"*, "&amp;BA$3&amp;", *")</f>
        <v>0</v>
      </c>
      <c r="BB339" s="2">
        <f>COUNTIFS(集計用!$G337,"*, "&amp;BB$3&amp;", *")</f>
        <v>0</v>
      </c>
      <c r="BC339" s="2">
        <f>COUNTIFS(集計用!$G337,"*, "&amp;BC$3&amp;", *")</f>
        <v>0</v>
      </c>
      <c r="BD339" s="2">
        <f>COUNTIFS(集計用!$G337,"*, "&amp;BD$3&amp;", *")</f>
        <v>0</v>
      </c>
      <c r="BE339" s="2">
        <f>COUNTIFS(集計用!$G337,"*, "&amp;BE$3&amp;", *")</f>
        <v>0</v>
      </c>
      <c r="BF339" s="2">
        <f>COUNTIFS(集計用!$G337,"*, "&amp;BF$3&amp;", *")</f>
        <v>0</v>
      </c>
      <c r="BG339" s="2">
        <f>COUNTIFS(集計用!$G337,"*, "&amp;BG$3&amp;", *")</f>
        <v>0</v>
      </c>
      <c r="BH339" s="2">
        <f>COUNTIFS(集計用!$G337,"*, "&amp;BH$3&amp;", *")</f>
        <v>0</v>
      </c>
      <c r="BI339" s="2">
        <f>COUNTIFS(集計用!$G337,"*, "&amp;BI$3&amp;", *")</f>
        <v>0</v>
      </c>
      <c r="BJ339" s="2">
        <f>LEN(集計用!H337)-LEN(SUBSTITUTE(集計用!H337,",",""))</f>
        <v>0</v>
      </c>
    </row>
    <row r="340" spans="1:62" ht="12.75">
      <c r="A340" s="8">
        <v>337</v>
      </c>
      <c r="C340" s="2">
        <f t="shared" si="3"/>
        <v>7</v>
      </c>
      <c r="D340" s="9"/>
      <c r="E340" s="2">
        <f>COUNTIFS(集計用!$G338,"*, "&amp;E$3&amp;", *")</f>
        <v>1</v>
      </c>
      <c r="F340" s="2">
        <f>COUNTIFS(集計用!$G338,"*, "&amp;F$3&amp;", *")</f>
        <v>0</v>
      </c>
      <c r="G340" s="2">
        <f>COUNTIFS(集計用!$G338,"*, "&amp;G$3&amp;", *")</f>
        <v>1</v>
      </c>
      <c r="H340" s="2">
        <f>COUNTIFS(集計用!$G338,"*, "&amp;H$3&amp;", *")</f>
        <v>1</v>
      </c>
      <c r="I340" s="2">
        <f>COUNTIFS(集計用!$G338,"*, "&amp;I$3&amp;", *")</f>
        <v>1</v>
      </c>
      <c r="J340" s="2">
        <f>COUNTIFS(集計用!$G338,"*, "&amp;J$3&amp;", *")</f>
        <v>0</v>
      </c>
      <c r="K340" s="2">
        <f>COUNTIFS(集計用!$G338,"*, "&amp;K$3&amp;", *")</f>
        <v>0</v>
      </c>
      <c r="L340" s="2">
        <f>COUNTIFS(集計用!$G338,"*, "&amp;L$3&amp;", *")</f>
        <v>1</v>
      </c>
      <c r="M340" s="2">
        <f>COUNTIFS(集計用!$G338,"*, "&amp;M$3&amp;", *")</f>
        <v>0</v>
      </c>
      <c r="N340" s="2">
        <f>COUNTIFS(集計用!$G338,"*, "&amp;N$3&amp;", *")</f>
        <v>1</v>
      </c>
      <c r="O340" s="2">
        <f>COUNTIFS(集計用!$G338,"*, "&amp;O$3&amp;", *")</f>
        <v>0</v>
      </c>
      <c r="P340" s="2">
        <f>COUNTIFS(集計用!$G338,"*, "&amp;P$3&amp;", *")</f>
        <v>0</v>
      </c>
      <c r="Q340" s="2">
        <f>COUNTIFS(集計用!$G338,"*, "&amp;Q$3&amp;", *")</f>
        <v>0</v>
      </c>
      <c r="R340" s="2">
        <f>COUNTIFS(集計用!$G338,"*, "&amp;R$3&amp;", *")</f>
        <v>0</v>
      </c>
      <c r="S340" s="2">
        <f>COUNTIFS(集計用!$G338,"*, "&amp;S$3&amp;", *")</f>
        <v>0</v>
      </c>
      <c r="T340" s="2">
        <f>COUNTIFS(集計用!$G338,"*, "&amp;T$3&amp;", *")</f>
        <v>0</v>
      </c>
      <c r="U340" s="2">
        <f>COUNTIFS(集計用!$G338,"*, "&amp;U$3&amp;", *")</f>
        <v>0</v>
      </c>
      <c r="V340" s="2">
        <f>COUNTIFS(集計用!$G338,"*, "&amp;V$3&amp;", *")</f>
        <v>0</v>
      </c>
      <c r="W340" s="2">
        <f>COUNTIFS(集計用!$G338,"*, "&amp;W$3&amp;", *")</f>
        <v>0</v>
      </c>
      <c r="X340" s="2">
        <f>COUNTIFS(集計用!$G338,"*, "&amp;X$3&amp;", *")</f>
        <v>1</v>
      </c>
      <c r="Y340" s="2">
        <f>COUNTIFS(集計用!$G338,"*, "&amp;Y$3&amp;", *")</f>
        <v>0</v>
      </c>
      <c r="Z340" s="2">
        <f>COUNTIFS(集計用!$G338,"*, "&amp;Z$3&amp;", *")</f>
        <v>0</v>
      </c>
      <c r="AA340" s="2">
        <f>COUNTIFS(集計用!$G338,"*, "&amp;AA$3&amp;", *")</f>
        <v>0</v>
      </c>
      <c r="AB340" s="2">
        <f>COUNTIFS(集計用!$G338,"*, "&amp;AB$3&amp;", *")</f>
        <v>0</v>
      </c>
      <c r="AC340" s="2">
        <f>COUNTIFS(集計用!$G338,"*, "&amp;AC$3&amp;", *")</f>
        <v>0</v>
      </c>
      <c r="AD340" s="2">
        <f>COUNTIFS(集計用!$G338,"*, "&amp;AD$3&amp;", *")</f>
        <v>0</v>
      </c>
      <c r="AE340" s="2">
        <f>COUNTIFS(集計用!$G338,"*, "&amp;AE$3&amp;", *")</f>
        <v>0</v>
      </c>
      <c r="AF340" s="2">
        <f>COUNTIFS(集計用!$G338,"*, "&amp;AF$3&amp;", *")</f>
        <v>0</v>
      </c>
      <c r="AG340" s="2">
        <f>COUNTIFS(集計用!$G338,"*, "&amp;AG$3&amp;", *")</f>
        <v>0</v>
      </c>
      <c r="AH340" s="2">
        <f>COUNTIFS(集計用!$G338,"*, "&amp;AH$3&amp;", *")</f>
        <v>0</v>
      </c>
      <c r="AI340" s="2">
        <f>COUNTIFS(集計用!$G338,"*, "&amp;AI$3&amp;", *")</f>
        <v>0</v>
      </c>
      <c r="AJ340" s="2">
        <f>COUNTIFS(集計用!$G338,"*, "&amp;AJ$3&amp;", *")</f>
        <v>0</v>
      </c>
      <c r="AK340" s="2">
        <f>COUNTIFS(集計用!$G338,"*, "&amp;AK$3&amp;", *")</f>
        <v>0</v>
      </c>
      <c r="AL340" s="2">
        <f>COUNTIFS(集計用!$G338,"*, "&amp;AL$3&amp;", *")</f>
        <v>0</v>
      </c>
      <c r="AM340" s="2">
        <f>COUNTIFS(集計用!$G338,"*, "&amp;AM$3&amp;", *")</f>
        <v>0</v>
      </c>
      <c r="AN340" s="2">
        <f>COUNTIFS(集計用!$G338,"*, "&amp;AN$3&amp;", *")</f>
        <v>0</v>
      </c>
      <c r="AO340" s="2">
        <f>COUNTIFS(集計用!$G338,"*, "&amp;AO$3&amp;", *")</f>
        <v>0</v>
      </c>
      <c r="AP340" s="2">
        <f>COUNTIFS(集計用!$G338,"*, "&amp;AP$3&amp;", *")</f>
        <v>0</v>
      </c>
      <c r="AQ340" s="2">
        <f>COUNTIFS(集計用!$G338,"*, "&amp;AQ$3&amp;", *")</f>
        <v>0</v>
      </c>
      <c r="AR340" s="2">
        <f>COUNTIFS(集計用!$G338,"*, "&amp;AR$3&amp;", *")</f>
        <v>0</v>
      </c>
      <c r="AS340" s="2">
        <f>COUNTIFS(集計用!$G338,"*, "&amp;AS$3&amp;", *")</f>
        <v>0</v>
      </c>
      <c r="AT340" s="2">
        <f>COUNTIFS(集計用!$G338,"*, "&amp;AT$3&amp;", *")</f>
        <v>0</v>
      </c>
      <c r="AU340" s="2">
        <f>COUNTIFS(集計用!$G338,"*, "&amp;AU$3&amp;", *")</f>
        <v>0</v>
      </c>
      <c r="AV340" s="2">
        <f>COUNTIFS(集計用!$G338,"*, "&amp;AV$3&amp;", *")</f>
        <v>0</v>
      </c>
      <c r="AW340" s="2">
        <f>COUNTIFS(集計用!$G338,"*, "&amp;AW$3&amp;", *")</f>
        <v>0</v>
      </c>
      <c r="AX340" s="2">
        <f>COUNTIFS(集計用!$G338,"*, "&amp;AX$3&amp;", *")</f>
        <v>0</v>
      </c>
      <c r="AY340" s="2">
        <f>COUNTIFS(集計用!$G338,"*, "&amp;AY$3&amp;", *")</f>
        <v>0</v>
      </c>
      <c r="AZ340" s="2">
        <f>COUNTIFS(集計用!$G338,"*, "&amp;AZ$3&amp;", *")</f>
        <v>0</v>
      </c>
      <c r="BA340" s="2">
        <f>COUNTIFS(集計用!$G338,"*, "&amp;BA$3&amp;", *")</f>
        <v>0</v>
      </c>
      <c r="BB340" s="2">
        <f>COUNTIFS(集計用!$G338,"*, "&amp;BB$3&amp;", *")</f>
        <v>0</v>
      </c>
      <c r="BC340" s="2">
        <f>COUNTIFS(集計用!$G338,"*, "&amp;BC$3&amp;", *")</f>
        <v>0</v>
      </c>
      <c r="BD340" s="2">
        <f>COUNTIFS(集計用!$G338,"*, "&amp;BD$3&amp;", *")</f>
        <v>0</v>
      </c>
      <c r="BE340" s="2">
        <f>COUNTIFS(集計用!$G338,"*, "&amp;BE$3&amp;", *")</f>
        <v>0</v>
      </c>
      <c r="BF340" s="2">
        <f>COUNTIFS(集計用!$G338,"*, "&amp;BF$3&amp;", *")</f>
        <v>0</v>
      </c>
      <c r="BG340" s="2">
        <f>COUNTIFS(集計用!$G338,"*, "&amp;BG$3&amp;", *")</f>
        <v>0</v>
      </c>
      <c r="BH340" s="2">
        <f>COUNTIFS(集計用!$G338,"*, "&amp;BH$3&amp;", *")</f>
        <v>0</v>
      </c>
      <c r="BI340" s="2">
        <f>COUNTIFS(集計用!$G338,"*, "&amp;BI$3&amp;", *")</f>
        <v>0</v>
      </c>
      <c r="BJ340" s="2">
        <f>LEN(集計用!H338)-LEN(SUBSTITUTE(集計用!H338,",",""))</f>
        <v>0</v>
      </c>
    </row>
    <row r="341" spans="1:62" ht="12.75">
      <c r="A341" s="8">
        <v>338</v>
      </c>
      <c r="C341" s="2">
        <f t="shared" si="3"/>
        <v>10</v>
      </c>
      <c r="D341" s="9"/>
      <c r="E341" s="2">
        <f>COUNTIFS(集計用!$G339,"*, "&amp;E$3&amp;", *")</f>
        <v>1</v>
      </c>
      <c r="F341" s="2">
        <f>COUNTIFS(集計用!$G339,"*, "&amp;F$3&amp;", *")</f>
        <v>1</v>
      </c>
      <c r="G341" s="2">
        <f>COUNTIFS(集計用!$G339,"*, "&amp;G$3&amp;", *")</f>
        <v>1</v>
      </c>
      <c r="H341" s="2">
        <f>COUNTIFS(集計用!$G339,"*, "&amp;H$3&amp;", *")</f>
        <v>1</v>
      </c>
      <c r="I341" s="2">
        <f>COUNTIFS(集計用!$G339,"*, "&amp;I$3&amp;", *")</f>
        <v>0</v>
      </c>
      <c r="J341" s="2">
        <f>COUNTIFS(集計用!$G339,"*, "&amp;J$3&amp;", *")</f>
        <v>1</v>
      </c>
      <c r="K341" s="2">
        <f>COUNTIFS(集計用!$G339,"*, "&amp;K$3&amp;", *")</f>
        <v>1</v>
      </c>
      <c r="L341" s="2">
        <f>COUNTIFS(集計用!$G339,"*, "&amp;L$3&amp;", *")</f>
        <v>1</v>
      </c>
      <c r="M341" s="2">
        <f>COUNTIFS(集計用!$G339,"*, "&amp;M$3&amp;", *")</f>
        <v>0</v>
      </c>
      <c r="N341" s="2">
        <f>COUNTIFS(集計用!$G339,"*, "&amp;N$3&amp;", *")</f>
        <v>0</v>
      </c>
      <c r="O341" s="2">
        <f>COUNTIFS(集計用!$G339,"*, "&amp;O$3&amp;", *")</f>
        <v>0</v>
      </c>
      <c r="P341" s="2">
        <f>COUNTIFS(集計用!$G339,"*, "&amp;P$3&amp;", *")</f>
        <v>0</v>
      </c>
      <c r="Q341" s="2">
        <f>COUNTIFS(集計用!$G339,"*, "&amp;Q$3&amp;", *")</f>
        <v>0</v>
      </c>
      <c r="R341" s="2">
        <f>COUNTIFS(集計用!$G339,"*, "&amp;R$3&amp;", *")</f>
        <v>0</v>
      </c>
      <c r="S341" s="2">
        <f>COUNTIFS(集計用!$G339,"*, "&amp;S$3&amp;", *")</f>
        <v>0</v>
      </c>
      <c r="T341" s="2">
        <f>COUNTIFS(集計用!$G339,"*, "&amp;T$3&amp;", *")</f>
        <v>1</v>
      </c>
      <c r="U341" s="2">
        <f>COUNTIFS(集計用!$G339,"*, "&amp;U$3&amp;", *")</f>
        <v>0</v>
      </c>
      <c r="V341" s="2">
        <f>COUNTIFS(集計用!$G339,"*, "&amp;V$3&amp;", *")</f>
        <v>0</v>
      </c>
      <c r="W341" s="2">
        <f>COUNTIFS(集計用!$G339,"*, "&amp;W$3&amp;", *")</f>
        <v>0</v>
      </c>
      <c r="X341" s="2">
        <f>COUNTIFS(集計用!$G339,"*, "&amp;X$3&amp;", *")</f>
        <v>0</v>
      </c>
      <c r="Y341" s="2">
        <f>COUNTIFS(集計用!$G339,"*, "&amp;Y$3&amp;", *")</f>
        <v>0</v>
      </c>
      <c r="Z341" s="2">
        <f>COUNTIFS(集計用!$G339,"*, "&amp;Z$3&amp;", *")</f>
        <v>0</v>
      </c>
      <c r="AA341" s="2">
        <f>COUNTIFS(集計用!$G339,"*, "&amp;AA$3&amp;", *")</f>
        <v>0</v>
      </c>
      <c r="AB341" s="2">
        <f>COUNTIFS(集計用!$G339,"*, "&amp;AB$3&amp;", *")</f>
        <v>0</v>
      </c>
      <c r="AC341" s="2">
        <f>COUNTIFS(集計用!$G339,"*, "&amp;AC$3&amp;", *")</f>
        <v>0</v>
      </c>
      <c r="AD341" s="2">
        <f>COUNTIFS(集計用!$G339,"*, "&amp;AD$3&amp;", *")</f>
        <v>0</v>
      </c>
      <c r="AE341" s="2">
        <f>COUNTIFS(集計用!$G339,"*, "&amp;AE$3&amp;", *")</f>
        <v>0</v>
      </c>
      <c r="AF341" s="2">
        <f>COUNTIFS(集計用!$G339,"*, "&amp;AF$3&amp;", *")</f>
        <v>0</v>
      </c>
      <c r="AG341" s="2">
        <f>COUNTIFS(集計用!$G339,"*, "&amp;AG$3&amp;", *")</f>
        <v>0</v>
      </c>
      <c r="AH341" s="2">
        <f>COUNTIFS(集計用!$G339,"*, "&amp;AH$3&amp;", *")</f>
        <v>0</v>
      </c>
      <c r="AI341" s="2">
        <f>COUNTIFS(集計用!$G339,"*, "&amp;AI$3&amp;", *")</f>
        <v>0</v>
      </c>
      <c r="AJ341" s="2">
        <f>COUNTIFS(集計用!$G339,"*, "&amp;AJ$3&amp;", *")</f>
        <v>0</v>
      </c>
      <c r="AK341" s="2">
        <f>COUNTIFS(集計用!$G339,"*, "&amp;AK$3&amp;", *")</f>
        <v>0</v>
      </c>
      <c r="AL341" s="2">
        <f>COUNTIFS(集計用!$G339,"*, "&amp;AL$3&amp;", *")</f>
        <v>0</v>
      </c>
      <c r="AM341" s="2">
        <f>COUNTIFS(集計用!$G339,"*, "&amp;AM$3&amp;", *")</f>
        <v>0</v>
      </c>
      <c r="AN341" s="2">
        <f>COUNTIFS(集計用!$G339,"*, "&amp;AN$3&amp;", *")</f>
        <v>0</v>
      </c>
      <c r="AO341" s="2">
        <f>COUNTIFS(集計用!$G339,"*, "&amp;AO$3&amp;", *")</f>
        <v>0</v>
      </c>
      <c r="AP341" s="2">
        <f>COUNTIFS(集計用!$G339,"*, "&amp;AP$3&amp;", *")</f>
        <v>0</v>
      </c>
      <c r="AQ341" s="2">
        <f>COUNTIFS(集計用!$G339,"*, "&amp;AQ$3&amp;", *")</f>
        <v>0</v>
      </c>
      <c r="AR341" s="2">
        <f>COUNTIFS(集計用!$G339,"*, "&amp;AR$3&amp;", *")</f>
        <v>0</v>
      </c>
      <c r="AS341" s="2">
        <f>COUNTIFS(集計用!$G339,"*, "&amp;AS$3&amp;", *")</f>
        <v>0</v>
      </c>
      <c r="AT341" s="2">
        <f>COUNTIFS(集計用!$G339,"*, "&amp;AT$3&amp;", *")</f>
        <v>0</v>
      </c>
      <c r="AU341" s="2">
        <f>COUNTIFS(集計用!$G339,"*, "&amp;AU$3&amp;", *")</f>
        <v>0</v>
      </c>
      <c r="AV341" s="2">
        <f>COUNTIFS(集計用!$G339,"*, "&amp;AV$3&amp;", *")</f>
        <v>0</v>
      </c>
      <c r="AW341" s="2">
        <f>COUNTIFS(集計用!$G339,"*, "&amp;AW$3&amp;", *")</f>
        <v>0</v>
      </c>
      <c r="AX341" s="2">
        <f>COUNTIFS(集計用!$G339,"*, "&amp;AX$3&amp;", *")</f>
        <v>0</v>
      </c>
      <c r="AY341" s="2">
        <f>COUNTIFS(集計用!$G339,"*, "&amp;AY$3&amp;", *")</f>
        <v>0</v>
      </c>
      <c r="AZ341" s="2">
        <f>COUNTIFS(集計用!$G339,"*, "&amp;AZ$3&amp;", *")</f>
        <v>0</v>
      </c>
      <c r="BA341" s="2">
        <f>COUNTIFS(集計用!$G339,"*, "&amp;BA$3&amp;", *")</f>
        <v>0</v>
      </c>
      <c r="BB341" s="2">
        <f>COUNTIFS(集計用!$G339,"*, "&amp;BB$3&amp;", *")</f>
        <v>0</v>
      </c>
      <c r="BC341" s="2">
        <f>COUNTIFS(集計用!$G339,"*, "&amp;BC$3&amp;", *")</f>
        <v>0</v>
      </c>
      <c r="BD341" s="2">
        <f>COUNTIFS(集計用!$G339,"*, "&amp;BD$3&amp;", *")</f>
        <v>0</v>
      </c>
      <c r="BE341" s="2">
        <f>COUNTIFS(集計用!$G339,"*, "&amp;BE$3&amp;", *")</f>
        <v>0</v>
      </c>
      <c r="BF341" s="2">
        <f>COUNTIFS(集計用!$G339,"*, "&amp;BF$3&amp;", *")</f>
        <v>0</v>
      </c>
      <c r="BG341" s="2">
        <f>COUNTIFS(集計用!$G339,"*, "&amp;BG$3&amp;", *")</f>
        <v>0</v>
      </c>
      <c r="BH341" s="2">
        <f>COUNTIFS(集計用!$G339,"*, "&amp;BH$3&amp;", *")</f>
        <v>0</v>
      </c>
      <c r="BI341" s="2">
        <f>COUNTIFS(集計用!$G339,"*, "&amp;BI$3&amp;", *")</f>
        <v>0</v>
      </c>
      <c r="BJ341" s="2">
        <f>LEN(集計用!H339)-LEN(SUBSTITUTE(集計用!H339,",",""))</f>
        <v>2</v>
      </c>
    </row>
    <row r="342" spans="1:62" ht="12.75">
      <c r="A342" s="8">
        <v>339</v>
      </c>
      <c r="C342" s="2">
        <f t="shared" si="3"/>
        <v>6</v>
      </c>
      <c r="D342" s="9"/>
      <c r="E342" s="2">
        <f>COUNTIFS(集計用!$G340,"*, "&amp;E$3&amp;", *")</f>
        <v>1</v>
      </c>
      <c r="F342" s="2">
        <f>COUNTIFS(集計用!$G340,"*, "&amp;F$3&amp;", *")</f>
        <v>0</v>
      </c>
      <c r="G342" s="2">
        <f>COUNTIFS(集計用!$G340,"*, "&amp;G$3&amp;", *")</f>
        <v>0</v>
      </c>
      <c r="H342" s="2">
        <f>COUNTIFS(集計用!$G340,"*, "&amp;H$3&amp;", *")</f>
        <v>0</v>
      </c>
      <c r="I342" s="2">
        <f>COUNTIFS(集計用!$G340,"*, "&amp;I$3&amp;", *")</f>
        <v>0</v>
      </c>
      <c r="J342" s="2">
        <f>COUNTIFS(集計用!$G340,"*, "&amp;J$3&amp;", *")</f>
        <v>0</v>
      </c>
      <c r="K342" s="2">
        <f>COUNTIFS(集計用!$G340,"*, "&amp;K$3&amp;", *")</f>
        <v>0</v>
      </c>
      <c r="L342" s="2">
        <f>COUNTIFS(集計用!$G340,"*, "&amp;L$3&amp;", *")</f>
        <v>1</v>
      </c>
      <c r="M342" s="2">
        <f>COUNTIFS(集計用!$G340,"*, "&amp;M$3&amp;", *")</f>
        <v>0</v>
      </c>
      <c r="N342" s="2">
        <f>COUNTIFS(集計用!$G340,"*, "&amp;N$3&amp;", *")</f>
        <v>0</v>
      </c>
      <c r="O342" s="2">
        <f>COUNTIFS(集計用!$G340,"*, "&amp;O$3&amp;", *")</f>
        <v>0</v>
      </c>
      <c r="P342" s="2">
        <f>COUNTIFS(集計用!$G340,"*, "&amp;P$3&amp;", *")</f>
        <v>1</v>
      </c>
      <c r="Q342" s="2">
        <f>COUNTIFS(集計用!$G340,"*, "&amp;Q$3&amp;", *")</f>
        <v>0</v>
      </c>
      <c r="R342" s="2">
        <f>COUNTIFS(集計用!$G340,"*, "&amp;R$3&amp;", *")</f>
        <v>0</v>
      </c>
      <c r="S342" s="2">
        <f>COUNTIFS(集計用!$G340,"*, "&amp;S$3&amp;", *")</f>
        <v>0</v>
      </c>
      <c r="T342" s="2">
        <f>COUNTIFS(集計用!$G340,"*, "&amp;T$3&amp;", *")</f>
        <v>0</v>
      </c>
      <c r="U342" s="2">
        <f>COUNTIFS(集計用!$G340,"*, "&amp;U$3&amp;", *")</f>
        <v>0</v>
      </c>
      <c r="V342" s="2">
        <f>COUNTIFS(集計用!$G340,"*, "&amp;V$3&amp;", *")</f>
        <v>0</v>
      </c>
      <c r="W342" s="2">
        <f>COUNTIFS(集計用!$G340,"*, "&amp;W$3&amp;", *")</f>
        <v>0</v>
      </c>
      <c r="X342" s="2">
        <f>COUNTIFS(集計用!$G340,"*, "&amp;X$3&amp;", *")</f>
        <v>0</v>
      </c>
      <c r="Y342" s="2">
        <f>COUNTIFS(集計用!$G340,"*, "&amp;Y$3&amp;", *")</f>
        <v>0</v>
      </c>
      <c r="Z342" s="2">
        <f>COUNTIFS(集計用!$G340,"*, "&amp;Z$3&amp;", *")</f>
        <v>0</v>
      </c>
      <c r="AA342" s="2">
        <f>COUNTIFS(集計用!$G340,"*, "&amp;AA$3&amp;", *")</f>
        <v>0</v>
      </c>
      <c r="AB342" s="2">
        <f>COUNTIFS(集計用!$G340,"*, "&amp;AB$3&amp;", *")</f>
        <v>0</v>
      </c>
      <c r="AC342" s="2">
        <f>COUNTIFS(集計用!$G340,"*, "&amp;AC$3&amp;", *")</f>
        <v>0</v>
      </c>
      <c r="AD342" s="2">
        <f>COUNTIFS(集計用!$G340,"*, "&amp;AD$3&amp;", *")</f>
        <v>0</v>
      </c>
      <c r="AE342" s="2">
        <f>COUNTIFS(集計用!$G340,"*, "&amp;AE$3&amp;", *")</f>
        <v>0</v>
      </c>
      <c r="AF342" s="2">
        <f>COUNTIFS(集計用!$G340,"*, "&amp;AF$3&amp;", *")</f>
        <v>0</v>
      </c>
      <c r="AG342" s="2">
        <f>COUNTIFS(集計用!$G340,"*, "&amp;AG$3&amp;", *")</f>
        <v>0</v>
      </c>
      <c r="AH342" s="2">
        <f>COUNTIFS(集計用!$G340,"*, "&amp;AH$3&amp;", *")</f>
        <v>0</v>
      </c>
      <c r="AI342" s="2">
        <f>COUNTIFS(集計用!$G340,"*, "&amp;AI$3&amp;", *")</f>
        <v>1</v>
      </c>
      <c r="AJ342" s="2">
        <f>COUNTIFS(集計用!$G340,"*, "&amp;AJ$3&amp;", *")</f>
        <v>0</v>
      </c>
      <c r="AK342" s="2">
        <f>COUNTIFS(集計用!$G340,"*, "&amp;AK$3&amp;", *")</f>
        <v>0</v>
      </c>
      <c r="AL342" s="2">
        <f>COUNTIFS(集計用!$G340,"*, "&amp;AL$3&amp;", *")</f>
        <v>0</v>
      </c>
      <c r="AM342" s="2">
        <f>COUNTIFS(集計用!$G340,"*, "&amp;AM$3&amp;", *")</f>
        <v>0</v>
      </c>
      <c r="AN342" s="2">
        <f>COUNTIFS(集計用!$G340,"*, "&amp;AN$3&amp;", *")</f>
        <v>0</v>
      </c>
      <c r="AO342" s="2">
        <f>COUNTIFS(集計用!$G340,"*, "&amp;AO$3&amp;", *")</f>
        <v>1</v>
      </c>
      <c r="AP342" s="2">
        <f>COUNTIFS(集計用!$G340,"*, "&amp;AP$3&amp;", *")</f>
        <v>0</v>
      </c>
      <c r="AQ342" s="2">
        <f>COUNTIFS(集計用!$G340,"*, "&amp;AQ$3&amp;", *")</f>
        <v>0</v>
      </c>
      <c r="AR342" s="2">
        <f>COUNTIFS(集計用!$G340,"*, "&amp;AR$3&amp;", *")</f>
        <v>0</v>
      </c>
      <c r="AS342" s="2">
        <f>COUNTIFS(集計用!$G340,"*, "&amp;AS$3&amp;", *")</f>
        <v>0</v>
      </c>
      <c r="AT342" s="2">
        <f>COUNTIFS(集計用!$G340,"*, "&amp;AT$3&amp;", *")</f>
        <v>0</v>
      </c>
      <c r="AU342" s="2">
        <f>COUNTIFS(集計用!$G340,"*, "&amp;AU$3&amp;", *")</f>
        <v>0</v>
      </c>
      <c r="AV342" s="2">
        <f>COUNTIFS(集計用!$G340,"*, "&amp;AV$3&amp;", *")</f>
        <v>0</v>
      </c>
      <c r="AW342" s="2">
        <f>COUNTIFS(集計用!$G340,"*, "&amp;AW$3&amp;", *")</f>
        <v>0</v>
      </c>
      <c r="AX342" s="2">
        <f>COUNTIFS(集計用!$G340,"*, "&amp;AX$3&amp;", *")</f>
        <v>0</v>
      </c>
      <c r="AY342" s="2">
        <f>COUNTIFS(集計用!$G340,"*, "&amp;AY$3&amp;", *")</f>
        <v>0</v>
      </c>
      <c r="AZ342" s="2">
        <f>COUNTIFS(集計用!$G340,"*, "&amp;AZ$3&amp;", *")</f>
        <v>0</v>
      </c>
      <c r="BA342" s="2">
        <f>COUNTIFS(集計用!$G340,"*, "&amp;BA$3&amp;", *")</f>
        <v>0</v>
      </c>
      <c r="BB342" s="2">
        <f>COUNTIFS(集計用!$G340,"*, "&amp;BB$3&amp;", *")</f>
        <v>0</v>
      </c>
      <c r="BC342" s="2">
        <f>COUNTIFS(集計用!$G340,"*, "&amp;BC$3&amp;", *")</f>
        <v>0</v>
      </c>
      <c r="BD342" s="2">
        <f>COUNTIFS(集計用!$G340,"*, "&amp;BD$3&amp;", *")</f>
        <v>0</v>
      </c>
      <c r="BE342" s="2">
        <f>COUNTIFS(集計用!$G340,"*, "&amp;BE$3&amp;", *")</f>
        <v>0</v>
      </c>
      <c r="BF342" s="2">
        <f>COUNTIFS(集計用!$G340,"*, "&amp;BF$3&amp;", *")</f>
        <v>0</v>
      </c>
      <c r="BG342" s="2">
        <f>COUNTIFS(集計用!$G340,"*, "&amp;BG$3&amp;", *")</f>
        <v>0</v>
      </c>
      <c r="BH342" s="2">
        <f>COUNTIFS(集計用!$G340,"*, "&amp;BH$3&amp;", *")</f>
        <v>0</v>
      </c>
      <c r="BI342" s="2">
        <f>COUNTIFS(集計用!$G340,"*, "&amp;BI$3&amp;", *")</f>
        <v>0</v>
      </c>
      <c r="BJ342" s="2">
        <f>LEN(集計用!H340)-LEN(SUBSTITUTE(集計用!H340,",",""))</f>
        <v>1</v>
      </c>
    </row>
    <row r="343" spans="1:62" ht="12.75">
      <c r="A343" s="8">
        <v>340</v>
      </c>
      <c r="C343" s="2">
        <f t="shared" si="3"/>
        <v>13</v>
      </c>
      <c r="D343" s="9"/>
      <c r="E343" s="2">
        <f>COUNTIFS(集計用!$G341,"*, "&amp;E$3&amp;", *")</f>
        <v>1</v>
      </c>
      <c r="F343" s="2">
        <f>COUNTIFS(集計用!$G341,"*, "&amp;F$3&amp;", *")</f>
        <v>1</v>
      </c>
      <c r="G343" s="2">
        <f>COUNTIFS(集計用!$G341,"*, "&amp;G$3&amp;", *")</f>
        <v>1</v>
      </c>
      <c r="H343" s="2">
        <f>COUNTIFS(集計用!$G341,"*, "&amp;H$3&amp;", *")</f>
        <v>0</v>
      </c>
      <c r="I343" s="2">
        <f>COUNTIFS(集計用!$G341,"*, "&amp;I$3&amp;", *")</f>
        <v>1</v>
      </c>
      <c r="J343" s="2">
        <f>COUNTIFS(集計用!$G341,"*, "&amp;J$3&amp;", *")</f>
        <v>0</v>
      </c>
      <c r="K343" s="2">
        <f>COUNTIFS(集計用!$G341,"*, "&amp;K$3&amp;", *")</f>
        <v>0</v>
      </c>
      <c r="L343" s="2">
        <f>COUNTIFS(集計用!$G341,"*, "&amp;L$3&amp;", *")</f>
        <v>0</v>
      </c>
      <c r="M343" s="2">
        <f>COUNTIFS(集計用!$G341,"*, "&amp;M$3&amp;", *")</f>
        <v>0</v>
      </c>
      <c r="N343" s="2">
        <f>COUNTIFS(集計用!$G341,"*, "&amp;N$3&amp;", *")</f>
        <v>1</v>
      </c>
      <c r="O343" s="2">
        <f>COUNTIFS(集計用!$G341,"*, "&amp;O$3&amp;", *")</f>
        <v>1</v>
      </c>
      <c r="P343" s="2">
        <f>COUNTIFS(集計用!$G341,"*, "&amp;P$3&amp;", *")</f>
        <v>1</v>
      </c>
      <c r="Q343" s="2">
        <f>COUNTIFS(集計用!$G341,"*, "&amp;Q$3&amp;", *")</f>
        <v>0</v>
      </c>
      <c r="R343" s="2">
        <f>COUNTIFS(集計用!$G341,"*, "&amp;R$3&amp;", *")</f>
        <v>0</v>
      </c>
      <c r="S343" s="2">
        <f>COUNTIFS(集計用!$G341,"*, "&amp;S$3&amp;", *")</f>
        <v>0</v>
      </c>
      <c r="T343" s="2">
        <f>COUNTIFS(集計用!$G341,"*, "&amp;T$3&amp;", *")</f>
        <v>0</v>
      </c>
      <c r="U343" s="2">
        <f>COUNTIFS(集計用!$G341,"*, "&amp;U$3&amp;", *")</f>
        <v>0</v>
      </c>
      <c r="V343" s="2">
        <f>COUNTIFS(集計用!$G341,"*, "&amp;V$3&amp;", *")</f>
        <v>1</v>
      </c>
      <c r="W343" s="2">
        <f>COUNTIFS(集計用!$G341,"*, "&amp;W$3&amp;", *")</f>
        <v>0</v>
      </c>
      <c r="X343" s="2">
        <f>COUNTIFS(集計用!$G341,"*, "&amp;X$3&amp;", *")</f>
        <v>1</v>
      </c>
      <c r="Y343" s="2">
        <f>COUNTIFS(集計用!$G341,"*, "&amp;Y$3&amp;", *")</f>
        <v>0</v>
      </c>
      <c r="Z343" s="2">
        <f>COUNTIFS(集計用!$G341,"*, "&amp;Z$3&amp;", *")</f>
        <v>0</v>
      </c>
      <c r="AA343" s="2">
        <f>COUNTIFS(集計用!$G341,"*, "&amp;AA$3&amp;", *")</f>
        <v>0</v>
      </c>
      <c r="AB343" s="2">
        <f>COUNTIFS(集計用!$G341,"*, "&amp;AB$3&amp;", *")</f>
        <v>0</v>
      </c>
      <c r="AC343" s="2">
        <f>COUNTIFS(集計用!$G341,"*, "&amp;AC$3&amp;", *")</f>
        <v>0</v>
      </c>
      <c r="AD343" s="2">
        <f>COUNTIFS(集計用!$G341,"*, "&amp;AD$3&amp;", *")</f>
        <v>0</v>
      </c>
      <c r="AE343" s="2">
        <f>COUNTIFS(集計用!$G341,"*, "&amp;AE$3&amp;", *")</f>
        <v>0</v>
      </c>
      <c r="AF343" s="2">
        <f>COUNTIFS(集計用!$G341,"*, "&amp;AF$3&amp;", *")</f>
        <v>0</v>
      </c>
      <c r="AG343" s="2">
        <f>COUNTIFS(集計用!$G341,"*, "&amp;AG$3&amp;", *")</f>
        <v>0</v>
      </c>
      <c r="AH343" s="2">
        <f>COUNTIFS(集計用!$G341,"*, "&amp;AH$3&amp;", *")</f>
        <v>0</v>
      </c>
      <c r="AI343" s="2">
        <f>COUNTIFS(集計用!$G341,"*, "&amp;AI$3&amp;", *")</f>
        <v>0</v>
      </c>
      <c r="AJ343" s="2">
        <f>COUNTIFS(集計用!$G341,"*, "&amp;AJ$3&amp;", *")</f>
        <v>0</v>
      </c>
      <c r="AK343" s="2">
        <f>COUNTIFS(集計用!$G341,"*, "&amp;AK$3&amp;", *")</f>
        <v>0</v>
      </c>
      <c r="AL343" s="2">
        <f>COUNTIFS(集計用!$G341,"*, "&amp;AL$3&amp;", *")</f>
        <v>0</v>
      </c>
      <c r="AM343" s="2">
        <f>COUNTIFS(集計用!$G341,"*, "&amp;AM$3&amp;", *")</f>
        <v>1</v>
      </c>
      <c r="AN343" s="2">
        <f>COUNTIFS(集計用!$G341,"*, "&amp;AN$3&amp;", *")</f>
        <v>1</v>
      </c>
      <c r="AO343" s="2">
        <f>COUNTIFS(集計用!$G341,"*, "&amp;AO$3&amp;", *")</f>
        <v>0</v>
      </c>
      <c r="AP343" s="2">
        <f>COUNTIFS(集計用!$G341,"*, "&amp;AP$3&amp;", *")</f>
        <v>0</v>
      </c>
      <c r="AQ343" s="2">
        <f>COUNTIFS(集計用!$G341,"*, "&amp;AQ$3&amp;", *")</f>
        <v>0</v>
      </c>
      <c r="AR343" s="2">
        <f>COUNTIFS(集計用!$G341,"*, "&amp;AR$3&amp;", *")</f>
        <v>1</v>
      </c>
      <c r="AS343" s="2">
        <f>COUNTIFS(集計用!$G341,"*, "&amp;AS$3&amp;", *")</f>
        <v>0</v>
      </c>
      <c r="AT343" s="2">
        <f>COUNTIFS(集計用!$G341,"*, "&amp;AT$3&amp;", *")</f>
        <v>0</v>
      </c>
      <c r="AU343" s="2">
        <f>COUNTIFS(集計用!$G341,"*, "&amp;AU$3&amp;", *")</f>
        <v>0</v>
      </c>
      <c r="AV343" s="2">
        <f>COUNTIFS(集計用!$G341,"*, "&amp;AV$3&amp;", *")</f>
        <v>0</v>
      </c>
      <c r="AW343" s="2">
        <f>COUNTIFS(集計用!$G341,"*, "&amp;AW$3&amp;", *")</f>
        <v>0</v>
      </c>
      <c r="AX343" s="2">
        <f>COUNTIFS(集計用!$G341,"*, "&amp;AX$3&amp;", *")</f>
        <v>0</v>
      </c>
      <c r="AY343" s="2">
        <f>COUNTIFS(集計用!$G341,"*, "&amp;AY$3&amp;", *")</f>
        <v>0</v>
      </c>
      <c r="AZ343" s="2">
        <f>COUNTIFS(集計用!$G341,"*, "&amp;AZ$3&amp;", *")</f>
        <v>0</v>
      </c>
      <c r="BA343" s="2">
        <f>COUNTIFS(集計用!$G341,"*, "&amp;BA$3&amp;", *")</f>
        <v>0</v>
      </c>
      <c r="BB343" s="2">
        <f>COUNTIFS(集計用!$G341,"*, "&amp;BB$3&amp;", *")</f>
        <v>0</v>
      </c>
      <c r="BC343" s="2">
        <f>COUNTIFS(集計用!$G341,"*, "&amp;BC$3&amp;", *")</f>
        <v>0</v>
      </c>
      <c r="BD343" s="2">
        <f>COUNTIFS(集計用!$G341,"*, "&amp;BD$3&amp;", *")</f>
        <v>0</v>
      </c>
      <c r="BE343" s="2">
        <f>COUNTIFS(集計用!$G341,"*, "&amp;BE$3&amp;", *")</f>
        <v>0</v>
      </c>
      <c r="BF343" s="2">
        <f>COUNTIFS(集計用!$G341,"*, "&amp;BF$3&amp;", *")</f>
        <v>0</v>
      </c>
      <c r="BG343" s="2">
        <f>COUNTIFS(集計用!$G341,"*, "&amp;BG$3&amp;", *")</f>
        <v>0</v>
      </c>
      <c r="BH343" s="2">
        <f>COUNTIFS(集計用!$G341,"*, "&amp;BH$3&amp;", *")</f>
        <v>1</v>
      </c>
      <c r="BI343" s="2">
        <f>COUNTIFS(集計用!$G341,"*, "&amp;BI$3&amp;", *")</f>
        <v>0</v>
      </c>
      <c r="BJ343" s="2">
        <f>LEN(集計用!H341)-LEN(SUBSTITUTE(集計用!H341,",",""))</f>
        <v>0</v>
      </c>
    </row>
    <row r="344" spans="1:62" ht="12.75">
      <c r="A344" s="8">
        <v>341</v>
      </c>
      <c r="C344" s="2">
        <f t="shared" si="3"/>
        <v>2</v>
      </c>
      <c r="D344" s="9"/>
      <c r="E344" s="2">
        <f>COUNTIFS(集計用!$G342,"*, "&amp;E$3&amp;", *")</f>
        <v>0</v>
      </c>
      <c r="F344" s="2">
        <f>COUNTIFS(集計用!$G342,"*, "&amp;F$3&amp;", *")</f>
        <v>0</v>
      </c>
      <c r="G344" s="2">
        <f>COUNTIFS(集計用!$G342,"*, "&amp;G$3&amp;", *")</f>
        <v>0</v>
      </c>
      <c r="H344" s="2">
        <f>COUNTIFS(集計用!$G342,"*, "&amp;H$3&amp;", *")</f>
        <v>0</v>
      </c>
      <c r="I344" s="2">
        <f>COUNTIFS(集計用!$G342,"*, "&amp;I$3&amp;", *")</f>
        <v>0</v>
      </c>
      <c r="J344" s="2">
        <f>COUNTIFS(集計用!$G342,"*, "&amp;J$3&amp;", *")</f>
        <v>0</v>
      </c>
      <c r="K344" s="2">
        <f>COUNTIFS(集計用!$G342,"*, "&amp;K$3&amp;", *")</f>
        <v>0</v>
      </c>
      <c r="L344" s="2">
        <f>COUNTIFS(集計用!$G342,"*, "&amp;L$3&amp;", *")</f>
        <v>1</v>
      </c>
      <c r="M344" s="2">
        <f>COUNTIFS(集計用!$G342,"*, "&amp;M$3&amp;", *")</f>
        <v>0</v>
      </c>
      <c r="N344" s="2">
        <f>COUNTIFS(集計用!$G342,"*, "&amp;N$3&amp;", *")</f>
        <v>0</v>
      </c>
      <c r="O344" s="2">
        <f>COUNTIFS(集計用!$G342,"*, "&amp;O$3&amp;", *")</f>
        <v>0</v>
      </c>
      <c r="P344" s="2">
        <f>COUNTIFS(集計用!$G342,"*, "&amp;P$3&amp;", *")</f>
        <v>0</v>
      </c>
      <c r="Q344" s="2">
        <f>COUNTIFS(集計用!$G342,"*, "&amp;Q$3&amp;", *")</f>
        <v>1</v>
      </c>
      <c r="R344" s="2">
        <f>COUNTIFS(集計用!$G342,"*, "&amp;R$3&amp;", *")</f>
        <v>0</v>
      </c>
      <c r="S344" s="2">
        <f>COUNTIFS(集計用!$G342,"*, "&amp;S$3&amp;", *")</f>
        <v>0</v>
      </c>
      <c r="T344" s="2">
        <f>COUNTIFS(集計用!$G342,"*, "&amp;T$3&amp;", *")</f>
        <v>0</v>
      </c>
      <c r="U344" s="2">
        <f>COUNTIFS(集計用!$G342,"*, "&amp;U$3&amp;", *")</f>
        <v>0</v>
      </c>
      <c r="V344" s="2">
        <f>COUNTIFS(集計用!$G342,"*, "&amp;V$3&amp;", *")</f>
        <v>0</v>
      </c>
      <c r="W344" s="2">
        <f>COUNTIFS(集計用!$G342,"*, "&amp;W$3&amp;", *")</f>
        <v>0</v>
      </c>
      <c r="X344" s="2">
        <f>COUNTIFS(集計用!$G342,"*, "&amp;X$3&amp;", *")</f>
        <v>0</v>
      </c>
      <c r="Y344" s="2">
        <f>COUNTIFS(集計用!$G342,"*, "&amp;Y$3&amp;", *")</f>
        <v>0</v>
      </c>
      <c r="Z344" s="2">
        <f>COUNTIFS(集計用!$G342,"*, "&amp;Z$3&amp;", *")</f>
        <v>0</v>
      </c>
      <c r="AA344" s="2">
        <f>COUNTIFS(集計用!$G342,"*, "&amp;AA$3&amp;", *")</f>
        <v>0</v>
      </c>
      <c r="AB344" s="2">
        <f>COUNTIFS(集計用!$G342,"*, "&amp;AB$3&amp;", *")</f>
        <v>0</v>
      </c>
      <c r="AC344" s="2">
        <f>COUNTIFS(集計用!$G342,"*, "&amp;AC$3&amp;", *")</f>
        <v>0</v>
      </c>
      <c r="AD344" s="2">
        <f>COUNTIFS(集計用!$G342,"*, "&amp;AD$3&amp;", *")</f>
        <v>0</v>
      </c>
      <c r="AE344" s="2">
        <f>COUNTIFS(集計用!$G342,"*, "&amp;AE$3&amp;", *")</f>
        <v>0</v>
      </c>
      <c r="AF344" s="2">
        <f>COUNTIFS(集計用!$G342,"*, "&amp;AF$3&amp;", *")</f>
        <v>0</v>
      </c>
      <c r="AG344" s="2">
        <f>COUNTIFS(集計用!$G342,"*, "&amp;AG$3&amp;", *")</f>
        <v>0</v>
      </c>
      <c r="AH344" s="2">
        <f>COUNTIFS(集計用!$G342,"*, "&amp;AH$3&amp;", *")</f>
        <v>0</v>
      </c>
      <c r="AI344" s="2">
        <f>COUNTIFS(集計用!$G342,"*, "&amp;AI$3&amp;", *")</f>
        <v>0</v>
      </c>
      <c r="AJ344" s="2">
        <f>COUNTIFS(集計用!$G342,"*, "&amp;AJ$3&amp;", *")</f>
        <v>0</v>
      </c>
      <c r="AK344" s="2">
        <f>COUNTIFS(集計用!$G342,"*, "&amp;AK$3&amp;", *")</f>
        <v>0</v>
      </c>
      <c r="AL344" s="2">
        <f>COUNTIFS(集計用!$G342,"*, "&amp;AL$3&amp;", *")</f>
        <v>0</v>
      </c>
      <c r="AM344" s="2">
        <f>COUNTIFS(集計用!$G342,"*, "&amp;AM$3&amp;", *")</f>
        <v>0</v>
      </c>
      <c r="AN344" s="2">
        <f>COUNTIFS(集計用!$G342,"*, "&amp;AN$3&amp;", *")</f>
        <v>0</v>
      </c>
      <c r="AO344" s="2">
        <f>COUNTIFS(集計用!$G342,"*, "&amp;AO$3&amp;", *")</f>
        <v>0</v>
      </c>
      <c r="AP344" s="2">
        <f>COUNTIFS(集計用!$G342,"*, "&amp;AP$3&amp;", *")</f>
        <v>0</v>
      </c>
      <c r="AQ344" s="2">
        <f>COUNTIFS(集計用!$G342,"*, "&amp;AQ$3&amp;", *")</f>
        <v>0</v>
      </c>
      <c r="AR344" s="2">
        <f>COUNTIFS(集計用!$G342,"*, "&amp;AR$3&amp;", *")</f>
        <v>0</v>
      </c>
      <c r="AS344" s="2">
        <f>COUNTIFS(集計用!$G342,"*, "&amp;AS$3&amp;", *")</f>
        <v>0</v>
      </c>
      <c r="AT344" s="2">
        <f>COUNTIFS(集計用!$G342,"*, "&amp;AT$3&amp;", *")</f>
        <v>0</v>
      </c>
      <c r="AU344" s="2">
        <f>COUNTIFS(集計用!$G342,"*, "&amp;AU$3&amp;", *")</f>
        <v>0</v>
      </c>
      <c r="AV344" s="2">
        <f>COUNTIFS(集計用!$G342,"*, "&amp;AV$3&amp;", *")</f>
        <v>0</v>
      </c>
      <c r="AW344" s="2">
        <f>COUNTIFS(集計用!$G342,"*, "&amp;AW$3&amp;", *")</f>
        <v>0</v>
      </c>
      <c r="AX344" s="2">
        <f>COUNTIFS(集計用!$G342,"*, "&amp;AX$3&amp;", *")</f>
        <v>0</v>
      </c>
      <c r="AY344" s="2">
        <f>COUNTIFS(集計用!$G342,"*, "&amp;AY$3&amp;", *")</f>
        <v>0</v>
      </c>
      <c r="AZ344" s="2">
        <f>COUNTIFS(集計用!$G342,"*, "&amp;AZ$3&amp;", *")</f>
        <v>0</v>
      </c>
      <c r="BA344" s="2">
        <f>COUNTIFS(集計用!$G342,"*, "&amp;BA$3&amp;", *")</f>
        <v>0</v>
      </c>
      <c r="BB344" s="2">
        <f>COUNTIFS(集計用!$G342,"*, "&amp;BB$3&amp;", *")</f>
        <v>0</v>
      </c>
      <c r="BC344" s="2">
        <f>COUNTIFS(集計用!$G342,"*, "&amp;BC$3&amp;", *")</f>
        <v>0</v>
      </c>
      <c r="BD344" s="2">
        <f>COUNTIFS(集計用!$G342,"*, "&amp;BD$3&amp;", *")</f>
        <v>0</v>
      </c>
      <c r="BE344" s="2">
        <f>COUNTIFS(集計用!$G342,"*, "&amp;BE$3&amp;", *")</f>
        <v>0</v>
      </c>
      <c r="BF344" s="2">
        <f>COUNTIFS(集計用!$G342,"*, "&amp;BF$3&amp;", *")</f>
        <v>0</v>
      </c>
      <c r="BG344" s="2">
        <f>COUNTIFS(集計用!$G342,"*, "&amp;BG$3&amp;", *")</f>
        <v>0</v>
      </c>
      <c r="BH344" s="2">
        <f>COUNTIFS(集計用!$G342,"*, "&amp;BH$3&amp;", *")</f>
        <v>0</v>
      </c>
      <c r="BI344" s="2">
        <f>COUNTIFS(集計用!$G342,"*, "&amp;BI$3&amp;", *")</f>
        <v>0</v>
      </c>
      <c r="BJ344" s="2">
        <f>LEN(集計用!H342)-LEN(SUBSTITUTE(集計用!H342,",",""))</f>
        <v>0</v>
      </c>
    </row>
    <row r="345" spans="1:62" ht="12.75">
      <c r="A345" s="8">
        <v>342</v>
      </c>
      <c r="C345" s="2">
        <f t="shared" si="3"/>
        <v>4</v>
      </c>
      <c r="D345" s="9"/>
      <c r="E345" s="2">
        <f>COUNTIFS(集計用!$G343,"*, "&amp;E$3&amp;", *")</f>
        <v>1</v>
      </c>
      <c r="F345" s="2">
        <f>COUNTIFS(集計用!$G343,"*, "&amp;F$3&amp;", *")</f>
        <v>0</v>
      </c>
      <c r="G345" s="2">
        <f>COUNTIFS(集計用!$G343,"*, "&amp;G$3&amp;", *")</f>
        <v>1</v>
      </c>
      <c r="H345" s="2">
        <f>COUNTIFS(集計用!$G343,"*, "&amp;H$3&amp;", *")</f>
        <v>0</v>
      </c>
      <c r="I345" s="2">
        <f>COUNTIFS(集計用!$G343,"*, "&amp;I$3&amp;", *")</f>
        <v>0</v>
      </c>
      <c r="J345" s="2">
        <f>COUNTIFS(集計用!$G343,"*, "&amp;J$3&amp;", *")</f>
        <v>0</v>
      </c>
      <c r="K345" s="2">
        <f>COUNTIFS(集計用!$G343,"*, "&amp;K$3&amp;", *")</f>
        <v>0</v>
      </c>
      <c r="L345" s="2">
        <f>COUNTIFS(集計用!$G343,"*, "&amp;L$3&amp;", *")</f>
        <v>0</v>
      </c>
      <c r="M345" s="2">
        <f>COUNTIFS(集計用!$G343,"*, "&amp;M$3&amp;", *")</f>
        <v>0</v>
      </c>
      <c r="N345" s="2">
        <f>COUNTIFS(集計用!$G343,"*, "&amp;N$3&amp;", *")</f>
        <v>1</v>
      </c>
      <c r="O345" s="2">
        <f>COUNTIFS(集計用!$G343,"*, "&amp;O$3&amp;", *")</f>
        <v>0</v>
      </c>
      <c r="P345" s="2">
        <f>COUNTIFS(集計用!$G343,"*, "&amp;P$3&amp;", *")</f>
        <v>1</v>
      </c>
      <c r="Q345" s="2">
        <f>COUNTIFS(集計用!$G343,"*, "&amp;Q$3&amp;", *")</f>
        <v>0</v>
      </c>
      <c r="R345" s="2">
        <f>COUNTIFS(集計用!$G343,"*, "&amp;R$3&amp;", *")</f>
        <v>0</v>
      </c>
      <c r="S345" s="2">
        <f>COUNTIFS(集計用!$G343,"*, "&amp;S$3&amp;", *")</f>
        <v>0</v>
      </c>
      <c r="T345" s="2">
        <f>COUNTIFS(集計用!$G343,"*, "&amp;T$3&amp;", *")</f>
        <v>0</v>
      </c>
      <c r="U345" s="2">
        <f>COUNTIFS(集計用!$G343,"*, "&amp;U$3&amp;", *")</f>
        <v>0</v>
      </c>
      <c r="V345" s="2">
        <f>COUNTIFS(集計用!$G343,"*, "&amp;V$3&amp;", *")</f>
        <v>0</v>
      </c>
      <c r="W345" s="2">
        <f>COUNTIFS(集計用!$G343,"*, "&amp;W$3&amp;", *")</f>
        <v>0</v>
      </c>
      <c r="X345" s="2">
        <f>COUNTIFS(集計用!$G343,"*, "&amp;X$3&amp;", *")</f>
        <v>0</v>
      </c>
      <c r="Y345" s="2">
        <f>COUNTIFS(集計用!$G343,"*, "&amp;Y$3&amp;", *")</f>
        <v>0</v>
      </c>
      <c r="Z345" s="2">
        <f>COUNTIFS(集計用!$G343,"*, "&amp;Z$3&amp;", *")</f>
        <v>0</v>
      </c>
      <c r="AA345" s="2">
        <f>COUNTIFS(集計用!$G343,"*, "&amp;AA$3&amp;", *")</f>
        <v>0</v>
      </c>
      <c r="AB345" s="2">
        <f>COUNTIFS(集計用!$G343,"*, "&amp;AB$3&amp;", *")</f>
        <v>0</v>
      </c>
      <c r="AC345" s="2">
        <f>COUNTIFS(集計用!$G343,"*, "&amp;AC$3&amp;", *")</f>
        <v>0</v>
      </c>
      <c r="AD345" s="2">
        <f>COUNTIFS(集計用!$G343,"*, "&amp;AD$3&amp;", *")</f>
        <v>0</v>
      </c>
      <c r="AE345" s="2">
        <f>COUNTIFS(集計用!$G343,"*, "&amp;AE$3&amp;", *")</f>
        <v>0</v>
      </c>
      <c r="AF345" s="2">
        <f>COUNTIFS(集計用!$G343,"*, "&amp;AF$3&amp;", *")</f>
        <v>0</v>
      </c>
      <c r="AG345" s="2">
        <f>COUNTIFS(集計用!$G343,"*, "&amp;AG$3&amp;", *")</f>
        <v>0</v>
      </c>
      <c r="AH345" s="2">
        <f>COUNTIFS(集計用!$G343,"*, "&amp;AH$3&amp;", *")</f>
        <v>0</v>
      </c>
      <c r="AI345" s="2">
        <f>COUNTIFS(集計用!$G343,"*, "&amp;AI$3&amp;", *")</f>
        <v>0</v>
      </c>
      <c r="AJ345" s="2">
        <f>COUNTIFS(集計用!$G343,"*, "&amp;AJ$3&amp;", *")</f>
        <v>0</v>
      </c>
      <c r="AK345" s="2">
        <f>COUNTIFS(集計用!$G343,"*, "&amp;AK$3&amp;", *")</f>
        <v>0</v>
      </c>
      <c r="AL345" s="2">
        <f>COUNTIFS(集計用!$G343,"*, "&amp;AL$3&amp;", *")</f>
        <v>0</v>
      </c>
      <c r="AM345" s="2">
        <f>COUNTIFS(集計用!$G343,"*, "&amp;AM$3&amp;", *")</f>
        <v>0</v>
      </c>
      <c r="AN345" s="2">
        <f>COUNTIFS(集計用!$G343,"*, "&amp;AN$3&amp;", *")</f>
        <v>0</v>
      </c>
      <c r="AO345" s="2">
        <f>COUNTIFS(集計用!$G343,"*, "&amp;AO$3&amp;", *")</f>
        <v>0</v>
      </c>
      <c r="AP345" s="2">
        <f>COUNTIFS(集計用!$G343,"*, "&amp;AP$3&amp;", *")</f>
        <v>0</v>
      </c>
      <c r="AQ345" s="2">
        <f>COUNTIFS(集計用!$G343,"*, "&amp;AQ$3&amp;", *")</f>
        <v>0</v>
      </c>
      <c r="AR345" s="2">
        <f>COUNTIFS(集計用!$G343,"*, "&amp;AR$3&amp;", *")</f>
        <v>0</v>
      </c>
      <c r="AS345" s="2">
        <f>COUNTIFS(集計用!$G343,"*, "&amp;AS$3&amp;", *")</f>
        <v>0</v>
      </c>
      <c r="AT345" s="2">
        <f>COUNTIFS(集計用!$G343,"*, "&amp;AT$3&amp;", *")</f>
        <v>0</v>
      </c>
      <c r="AU345" s="2">
        <f>COUNTIFS(集計用!$G343,"*, "&amp;AU$3&amp;", *")</f>
        <v>0</v>
      </c>
      <c r="AV345" s="2">
        <f>COUNTIFS(集計用!$G343,"*, "&amp;AV$3&amp;", *")</f>
        <v>0</v>
      </c>
      <c r="AW345" s="2">
        <f>COUNTIFS(集計用!$G343,"*, "&amp;AW$3&amp;", *")</f>
        <v>0</v>
      </c>
      <c r="AX345" s="2">
        <f>COUNTIFS(集計用!$G343,"*, "&amp;AX$3&amp;", *")</f>
        <v>0</v>
      </c>
      <c r="AY345" s="2">
        <f>COUNTIFS(集計用!$G343,"*, "&amp;AY$3&amp;", *")</f>
        <v>0</v>
      </c>
      <c r="AZ345" s="2">
        <f>COUNTIFS(集計用!$G343,"*, "&amp;AZ$3&amp;", *")</f>
        <v>0</v>
      </c>
      <c r="BA345" s="2">
        <f>COUNTIFS(集計用!$G343,"*, "&amp;BA$3&amp;", *")</f>
        <v>0</v>
      </c>
      <c r="BB345" s="2">
        <f>COUNTIFS(集計用!$G343,"*, "&amp;BB$3&amp;", *")</f>
        <v>0</v>
      </c>
      <c r="BC345" s="2">
        <f>COUNTIFS(集計用!$G343,"*, "&amp;BC$3&amp;", *")</f>
        <v>0</v>
      </c>
      <c r="BD345" s="2">
        <f>COUNTIFS(集計用!$G343,"*, "&amp;BD$3&amp;", *")</f>
        <v>0</v>
      </c>
      <c r="BE345" s="2">
        <f>COUNTIFS(集計用!$G343,"*, "&amp;BE$3&amp;", *")</f>
        <v>0</v>
      </c>
      <c r="BF345" s="2">
        <f>COUNTIFS(集計用!$G343,"*, "&amp;BF$3&amp;", *")</f>
        <v>0</v>
      </c>
      <c r="BG345" s="2">
        <f>COUNTIFS(集計用!$G343,"*, "&amp;BG$3&amp;", *")</f>
        <v>0</v>
      </c>
      <c r="BH345" s="2">
        <f>COUNTIFS(集計用!$G343,"*, "&amp;BH$3&amp;", *")</f>
        <v>0</v>
      </c>
      <c r="BI345" s="2">
        <f>COUNTIFS(集計用!$G343,"*, "&amp;BI$3&amp;", *")</f>
        <v>0</v>
      </c>
      <c r="BJ345" s="2">
        <f>LEN(集計用!H343)-LEN(SUBSTITUTE(集計用!H343,",",""))</f>
        <v>0</v>
      </c>
    </row>
    <row r="346" spans="1:62" ht="12.75">
      <c r="A346" s="8">
        <v>343</v>
      </c>
      <c r="C346" s="2">
        <f t="shared" si="3"/>
        <v>4</v>
      </c>
      <c r="D346" s="9"/>
      <c r="E346" s="2">
        <f>COUNTIFS(集計用!$G344,"*, "&amp;E$3&amp;", *")</f>
        <v>0</v>
      </c>
      <c r="F346" s="2">
        <f>COUNTIFS(集計用!$G344,"*, "&amp;F$3&amp;", *")</f>
        <v>0</v>
      </c>
      <c r="G346" s="2">
        <f>COUNTIFS(集計用!$G344,"*, "&amp;G$3&amp;", *")</f>
        <v>0</v>
      </c>
      <c r="H346" s="2">
        <f>COUNTIFS(集計用!$G344,"*, "&amp;H$3&amp;", *")</f>
        <v>0</v>
      </c>
      <c r="I346" s="2">
        <f>COUNTIFS(集計用!$G344,"*, "&amp;I$3&amp;", *")</f>
        <v>0</v>
      </c>
      <c r="J346" s="2">
        <f>COUNTIFS(集計用!$G344,"*, "&amp;J$3&amp;", *")</f>
        <v>0</v>
      </c>
      <c r="K346" s="2">
        <f>COUNTIFS(集計用!$G344,"*, "&amp;K$3&amp;", *")</f>
        <v>0</v>
      </c>
      <c r="L346" s="2">
        <f>COUNTIFS(集計用!$G344,"*, "&amp;L$3&amp;", *")</f>
        <v>0</v>
      </c>
      <c r="M346" s="2">
        <f>COUNTIFS(集計用!$G344,"*, "&amp;M$3&amp;", *")</f>
        <v>0</v>
      </c>
      <c r="N346" s="2">
        <f>COUNTIFS(集計用!$G344,"*, "&amp;N$3&amp;", *")</f>
        <v>0</v>
      </c>
      <c r="O346" s="2">
        <f>COUNTIFS(集計用!$G344,"*, "&amp;O$3&amp;", *")</f>
        <v>1</v>
      </c>
      <c r="P346" s="2">
        <f>COUNTIFS(集計用!$G344,"*, "&amp;P$3&amp;", *")</f>
        <v>0</v>
      </c>
      <c r="Q346" s="2">
        <f>COUNTIFS(集計用!$G344,"*, "&amp;Q$3&amp;", *")</f>
        <v>0</v>
      </c>
      <c r="R346" s="2">
        <f>COUNTIFS(集計用!$G344,"*, "&amp;R$3&amp;", *")</f>
        <v>0</v>
      </c>
      <c r="S346" s="2">
        <f>COUNTIFS(集計用!$G344,"*, "&amp;S$3&amp;", *")</f>
        <v>0</v>
      </c>
      <c r="T346" s="2">
        <f>COUNTIFS(集計用!$G344,"*, "&amp;T$3&amp;", *")</f>
        <v>0</v>
      </c>
      <c r="U346" s="2">
        <f>COUNTIFS(集計用!$G344,"*, "&amp;U$3&amp;", *")</f>
        <v>0</v>
      </c>
      <c r="V346" s="2">
        <f>COUNTIFS(集計用!$G344,"*, "&amp;V$3&amp;", *")</f>
        <v>0</v>
      </c>
      <c r="W346" s="2">
        <f>COUNTIFS(集計用!$G344,"*, "&amp;W$3&amp;", *")</f>
        <v>0</v>
      </c>
      <c r="X346" s="2">
        <f>COUNTIFS(集計用!$G344,"*, "&amp;X$3&amp;", *")</f>
        <v>0</v>
      </c>
      <c r="Y346" s="2">
        <f>COUNTIFS(集計用!$G344,"*, "&amp;Y$3&amp;", *")</f>
        <v>0</v>
      </c>
      <c r="Z346" s="2">
        <f>COUNTIFS(集計用!$G344,"*, "&amp;Z$3&amp;", *")</f>
        <v>0</v>
      </c>
      <c r="AA346" s="2">
        <f>COUNTIFS(集計用!$G344,"*, "&amp;AA$3&amp;", *")</f>
        <v>0</v>
      </c>
      <c r="AB346" s="2">
        <f>COUNTIFS(集計用!$G344,"*, "&amp;AB$3&amp;", *")</f>
        <v>0</v>
      </c>
      <c r="AC346" s="2">
        <f>COUNTIFS(集計用!$G344,"*, "&amp;AC$3&amp;", *")</f>
        <v>0</v>
      </c>
      <c r="AD346" s="2">
        <f>COUNTIFS(集計用!$G344,"*, "&amp;AD$3&amp;", *")</f>
        <v>1</v>
      </c>
      <c r="AE346" s="2">
        <f>COUNTIFS(集計用!$G344,"*, "&amp;AE$3&amp;", *")</f>
        <v>0</v>
      </c>
      <c r="AF346" s="2">
        <f>COUNTIFS(集計用!$G344,"*, "&amp;AF$3&amp;", *")</f>
        <v>0</v>
      </c>
      <c r="AG346" s="2">
        <f>COUNTIFS(集計用!$G344,"*, "&amp;AG$3&amp;", *")</f>
        <v>0</v>
      </c>
      <c r="AH346" s="2">
        <f>COUNTIFS(集計用!$G344,"*, "&amp;AH$3&amp;", *")</f>
        <v>0</v>
      </c>
      <c r="AI346" s="2">
        <f>COUNTIFS(集計用!$G344,"*, "&amp;AI$3&amp;", *")</f>
        <v>0</v>
      </c>
      <c r="AJ346" s="2">
        <f>COUNTIFS(集計用!$G344,"*, "&amp;AJ$3&amp;", *")</f>
        <v>0</v>
      </c>
      <c r="AK346" s="2">
        <f>COUNTIFS(集計用!$G344,"*, "&amp;AK$3&amp;", *")</f>
        <v>0</v>
      </c>
      <c r="AL346" s="2">
        <f>COUNTIFS(集計用!$G344,"*, "&amp;AL$3&amp;", *")</f>
        <v>0</v>
      </c>
      <c r="AM346" s="2">
        <f>COUNTIFS(集計用!$G344,"*, "&amp;AM$3&amp;", *")</f>
        <v>0</v>
      </c>
      <c r="AN346" s="2">
        <f>COUNTIFS(集計用!$G344,"*, "&amp;AN$3&amp;", *")</f>
        <v>1</v>
      </c>
      <c r="AO346" s="2">
        <f>COUNTIFS(集計用!$G344,"*, "&amp;AO$3&amp;", *")</f>
        <v>0</v>
      </c>
      <c r="AP346" s="2">
        <f>COUNTIFS(集計用!$G344,"*, "&amp;AP$3&amp;", *")</f>
        <v>0</v>
      </c>
      <c r="AQ346" s="2">
        <f>COUNTIFS(集計用!$G344,"*, "&amp;AQ$3&amp;", *")</f>
        <v>0</v>
      </c>
      <c r="AR346" s="2">
        <f>COUNTIFS(集計用!$G344,"*, "&amp;AR$3&amp;", *")</f>
        <v>1</v>
      </c>
      <c r="AS346" s="2">
        <f>COUNTIFS(集計用!$G344,"*, "&amp;AS$3&amp;", *")</f>
        <v>0</v>
      </c>
      <c r="AT346" s="2">
        <f>COUNTIFS(集計用!$G344,"*, "&amp;AT$3&amp;", *")</f>
        <v>0</v>
      </c>
      <c r="AU346" s="2">
        <f>COUNTIFS(集計用!$G344,"*, "&amp;AU$3&amp;", *")</f>
        <v>0</v>
      </c>
      <c r="AV346" s="2">
        <f>COUNTIFS(集計用!$G344,"*, "&amp;AV$3&amp;", *")</f>
        <v>0</v>
      </c>
      <c r="AW346" s="2">
        <f>COUNTIFS(集計用!$G344,"*, "&amp;AW$3&amp;", *")</f>
        <v>0</v>
      </c>
      <c r="AX346" s="2">
        <f>COUNTIFS(集計用!$G344,"*, "&amp;AX$3&amp;", *")</f>
        <v>0</v>
      </c>
      <c r="AY346" s="2">
        <f>COUNTIFS(集計用!$G344,"*, "&amp;AY$3&amp;", *")</f>
        <v>0</v>
      </c>
      <c r="AZ346" s="2">
        <f>COUNTIFS(集計用!$G344,"*, "&amp;AZ$3&amp;", *")</f>
        <v>0</v>
      </c>
      <c r="BA346" s="2">
        <f>COUNTIFS(集計用!$G344,"*, "&amp;BA$3&amp;", *")</f>
        <v>0</v>
      </c>
      <c r="BB346" s="2">
        <f>COUNTIFS(集計用!$G344,"*, "&amp;BB$3&amp;", *")</f>
        <v>0</v>
      </c>
      <c r="BC346" s="2">
        <f>COUNTIFS(集計用!$G344,"*, "&amp;BC$3&amp;", *")</f>
        <v>0</v>
      </c>
      <c r="BD346" s="2">
        <f>COUNTIFS(集計用!$G344,"*, "&amp;BD$3&amp;", *")</f>
        <v>0</v>
      </c>
      <c r="BE346" s="2">
        <f>COUNTIFS(集計用!$G344,"*, "&amp;BE$3&amp;", *")</f>
        <v>0</v>
      </c>
      <c r="BF346" s="2">
        <f>COUNTIFS(集計用!$G344,"*, "&amp;BF$3&amp;", *")</f>
        <v>0</v>
      </c>
      <c r="BG346" s="2">
        <f>COUNTIFS(集計用!$G344,"*, "&amp;BG$3&amp;", *")</f>
        <v>0</v>
      </c>
      <c r="BH346" s="2">
        <f>COUNTIFS(集計用!$G344,"*, "&amp;BH$3&amp;", *")</f>
        <v>0</v>
      </c>
      <c r="BI346" s="2">
        <f>COUNTIFS(集計用!$G344,"*, "&amp;BI$3&amp;", *")</f>
        <v>0</v>
      </c>
      <c r="BJ346" s="2">
        <f>LEN(集計用!H344)-LEN(SUBSTITUTE(集計用!H344,",",""))</f>
        <v>0</v>
      </c>
    </row>
    <row r="347" spans="1:62" ht="12.75">
      <c r="A347" s="8">
        <v>344</v>
      </c>
      <c r="C347" s="2">
        <f t="shared" si="3"/>
        <v>8</v>
      </c>
      <c r="D347" s="9"/>
      <c r="E347" s="2">
        <f>COUNTIFS(集計用!$G345,"*, "&amp;E$3&amp;", *")</f>
        <v>1</v>
      </c>
      <c r="F347" s="2">
        <f>COUNTIFS(集計用!$G345,"*, "&amp;F$3&amp;", *")</f>
        <v>0</v>
      </c>
      <c r="G347" s="2">
        <f>COUNTIFS(集計用!$G345,"*, "&amp;G$3&amp;", *")</f>
        <v>1</v>
      </c>
      <c r="H347" s="2">
        <f>COUNTIFS(集計用!$G345,"*, "&amp;H$3&amp;", *")</f>
        <v>0</v>
      </c>
      <c r="I347" s="2">
        <f>COUNTIFS(集計用!$G345,"*, "&amp;I$3&amp;", *")</f>
        <v>1</v>
      </c>
      <c r="J347" s="2">
        <f>COUNTIFS(集計用!$G345,"*, "&amp;J$3&amp;", *")</f>
        <v>1</v>
      </c>
      <c r="K347" s="2">
        <f>COUNTIFS(集計用!$G345,"*, "&amp;K$3&amp;", *")</f>
        <v>0</v>
      </c>
      <c r="L347" s="2">
        <f>COUNTIFS(集計用!$G345,"*, "&amp;L$3&amp;", *")</f>
        <v>1</v>
      </c>
      <c r="M347" s="2">
        <f>COUNTIFS(集計用!$G345,"*, "&amp;M$3&amp;", *")</f>
        <v>0</v>
      </c>
      <c r="N347" s="2">
        <f>COUNTIFS(集計用!$G345,"*, "&amp;N$3&amp;", *")</f>
        <v>0</v>
      </c>
      <c r="O347" s="2">
        <f>COUNTIFS(集計用!$G345,"*, "&amp;O$3&amp;", *")</f>
        <v>0</v>
      </c>
      <c r="P347" s="2">
        <f>COUNTIFS(集計用!$G345,"*, "&amp;P$3&amp;", *")</f>
        <v>0</v>
      </c>
      <c r="Q347" s="2">
        <f>COUNTIFS(集計用!$G345,"*, "&amp;Q$3&amp;", *")</f>
        <v>0</v>
      </c>
      <c r="R347" s="2">
        <f>COUNTIFS(集計用!$G345,"*, "&amp;R$3&amp;", *")</f>
        <v>0</v>
      </c>
      <c r="S347" s="2">
        <f>COUNTIFS(集計用!$G345,"*, "&amp;S$3&amp;", *")</f>
        <v>1</v>
      </c>
      <c r="T347" s="2">
        <f>COUNTIFS(集計用!$G345,"*, "&amp;T$3&amp;", *")</f>
        <v>1</v>
      </c>
      <c r="U347" s="2">
        <f>COUNTIFS(集計用!$G345,"*, "&amp;U$3&amp;", *")</f>
        <v>0</v>
      </c>
      <c r="V347" s="2">
        <f>COUNTIFS(集計用!$G345,"*, "&amp;V$3&amp;", *")</f>
        <v>0</v>
      </c>
      <c r="W347" s="2">
        <f>COUNTIFS(集計用!$G345,"*, "&amp;W$3&amp;", *")</f>
        <v>0</v>
      </c>
      <c r="X347" s="2">
        <f>COUNTIFS(集計用!$G345,"*, "&amp;X$3&amp;", *")</f>
        <v>0</v>
      </c>
      <c r="Y347" s="2">
        <f>COUNTIFS(集計用!$G345,"*, "&amp;Y$3&amp;", *")</f>
        <v>0</v>
      </c>
      <c r="Z347" s="2">
        <f>COUNTIFS(集計用!$G345,"*, "&amp;Z$3&amp;", *")</f>
        <v>0</v>
      </c>
      <c r="AA347" s="2">
        <f>COUNTIFS(集計用!$G345,"*, "&amp;AA$3&amp;", *")</f>
        <v>0</v>
      </c>
      <c r="AB347" s="2">
        <f>COUNTIFS(集計用!$G345,"*, "&amp;AB$3&amp;", *")</f>
        <v>0</v>
      </c>
      <c r="AC347" s="2">
        <f>COUNTIFS(集計用!$G345,"*, "&amp;AC$3&amp;", *")</f>
        <v>0</v>
      </c>
      <c r="AD347" s="2">
        <f>COUNTIFS(集計用!$G345,"*, "&amp;AD$3&amp;", *")</f>
        <v>0</v>
      </c>
      <c r="AE347" s="2">
        <f>COUNTIFS(集計用!$G345,"*, "&amp;AE$3&amp;", *")</f>
        <v>0</v>
      </c>
      <c r="AF347" s="2">
        <f>COUNTIFS(集計用!$G345,"*, "&amp;AF$3&amp;", *")</f>
        <v>0</v>
      </c>
      <c r="AG347" s="2">
        <f>COUNTIFS(集計用!$G345,"*, "&amp;AG$3&amp;", *")</f>
        <v>0</v>
      </c>
      <c r="AH347" s="2">
        <f>COUNTIFS(集計用!$G345,"*, "&amp;AH$3&amp;", *")</f>
        <v>0</v>
      </c>
      <c r="AI347" s="2">
        <f>COUNTIFS(集計用!$G345,"*, "&amp;AI$3&amp;", *")</f>
        <v>0</v>
      </c>
      <c r="AJ347" s="2">
        <f>COUNTIFS(集計用!$G345,"*, "&amp;AJ$3&amp;", *")</f>
        <v>0</v>
      </c>
      <c r="AK347" s="2">
        <f>COUNTIFS(集計用!$G345,"*, "&amp;AK$3&amp;", *")</f>
        <v>0</v>
      </c>
      <c r="AL347" s="2">
        <f>COUNTIFS(集計用!$G345,"*, "&amp;AL$3&amp;", *")</f>
        <v>0</v>
      </c>
      <c r="AM347" s="2">
        <f>COUNTIFS(集計用!$G345,"*, "&amp;AM$3&amp;", *")</f>
        <v>0</v>
      </c>
      <c r="AN347" s="2">
        <f>COUNTIFS(集計用!$G345,"*, "&amp;AN$3&amp;", *")</f>
        <v>0</v>
      </c>
      <c r="AO347" s="2">
        <f>COUNTIFS(集計用!$G345,"*, "&amp;AO$3&amp;", *")</f>
        <v>0</v>
      </c>
      <c r="AP347" s="2">
        <f>COUNTIFS(集計用!$G345,"*, "&amp;AP$3&amp;", *")</f>
        <v>0</v>
      </c>
      <c r="AQ347" s="2">
        <f>COUNTIFS(集計用!$G345,"*, "&amp;AQ$3&amp;", *")</f>
        <v>0</v>
      </c>
      <c r="AR347" s="2">
        <f>COUNTIFS(集計用!$G345,"*, "&amp;AR$3&amp;", *")</f>
        <v>0</v>
      </c>
      <c r="AS347" s="2">
        <f>COUNTIFS(集計用!$G345,"*, "&amp;AS$3&amp;", *")</f>
        <v>0</v>
      </c>
      <c r="AT347" s="2">
        <f>COUNTIFS(集計用!$G345,"*, "&amp;AT$3&amp;", *")</f>
        <v>0</v>
      </c>
      <c r="AU347" s="2">
        <f>COUNTIFS(集計用!$G345,"*, "&amp;AU$3&amp;", *")</f>
        <v>0</v>
      </c>
      <c r="AV347" s="2">
        <f>COUNTIFS(集計用!$G345,"*, "&amp;AV$3&amp;", *")</f>
        <v>0</v>
      </c>
      <c r="AW347" s="2">
        <f>COUNTIFS(集計用!$G345,"*, "&amp;AW$3&amp;", *")</f>
        <v>0</v>
      </c>
      <c r="AX347" s="2">
        <f>COUNTIFS(集計用!$G345,"*, "&amp;AX$3&amp;", *")</f>
        <v>0</v>
      </c>
      <c r="AY347" s="2">
        <f>COUNTIFS(集計用!$G345,"*, "&amp;AY$3&amp;", *")</f>
        <v>0</v>
      </c>
      <c r="AZ347" s="2">
        <f>COUNTIFS(集計用!$G345,"*, "&amp;AZ$3&amp;", *")</f>
        <v>0</v>
      </c>
      <c r="BA347" s="2">
        <f>COUNTIFS(集計用!$G345,"*, "&amp;BA$3&amp;", *")</f>
        <v>0</v>
      </c>
      <c r="BB347" s="2">
        <f>COUNTIFS(集計用!$G345,"*, "&amp;BB$3&amp;", *")</f>
        <v>0</v>
      </c>
      <c r="BC347" s="2">
        <f>COUNTIFS(集計用!$G345,"*, "&amp;BC$3&amp;", *")</f>
        <v>0</v>
      </c>
      <c r="BD347" s="2">
        <f>COUNTIFS(集計用!$G345,"*, "&amp;BD$3&amp;", *")</f>
        <v>0</v>
      </c>
      <c r="BE347" s="2">
        <f>COUNTIFS(集計用!$G345,"*, "&amp;BE$3&amp;", *")</f>
        <v>0</v>
      </c>
      <c r="BF347" s="2">
        <f>COUNTIFS(集計用!$G345,"*, "&amp;BF$3&amp;", *")</f>
        <v>0</v>
      </c>
      <c r="BG347" s="2">
        <f>COUNTIFS(集計用!$G345,"*, "&amp;BG$3&amp;", *")</f>
        <v>0</v>
      </c>
      <c r="BH347" s="2">
        <f>COUNTIFS(集計用!$G345,"*, "&amp;BH$3&amp;", *")</f>
        <v>0</v>
      </c>
      <c r="BI347" s="2">
        <f>COUNTIFS(集計用!$G345,"*, "&amp;BI$3&amp;", *")</f>
        <v>0</v>
      </c>
      <c r="BJ347" s="2">
        <f>LEN(集計用!H345)-LEN(SUBSTITUTE(集計用!H345,",",""))</f>
        <v>1</v>
      </c>
    </row>
    <row r="348" spans="1:62" ht="12.75">
      <c r="A348" s="8">
        <v>345</v>
      </c>
      <c r="C348" s="2">
        <f t="shared" si="3"/>
        <v>4</v>
      </c>
      <c r="D348" s="9"/>
      <c r="E348" s="2">
        <f>COUNTIFS(集計用!$G346,"*, "&amp;E$3&amp;", *")</f>
        <v>1</v>
      </c>
      <c r="F348" s="2">
        <f>COUNTIFS(集計用!$G346,"*, "&amp;F$3&amp;", *")</f>
        <v>1</v>
      </c>
      <c r="G348" s="2">
        <f>COUNTIFS(集計用!$G346,"*, "&amp;G$3&amp;", *")</f>
        <v>0</v>
      </c>
      <c r="H348" s="2">
        <f>COUNTIFS(集計用!$G346,"*, "&amp;H$3&amp;", *")</f>
        <v>0</v>
      </c>
      <c r="I348" s="2">
        <f>COUNTIFS(集計用!$G346,"*, "&amp;I$3&amp;", *")</f>
        <v>1</v>
      </c>
      <c r="J348" s="2">
        <f>COUNTIFS(集計用!$G346,"*, "&amp;J$3&amp;", *")</f>
        <v>0</v>
      </c>
      <c r="K348" s="2">
        <f>COUNTIFS(集計用!$G346,"*, "&amp;K$3&amp;", *")</f>
        <v>0</v>
      </c>
      <c r="L348" s="2">
        <f>COUNTIFS(集計用!$G346,"*, "&amp;L$3&amp;", *")</f>
        <v>0</v>
      </c>
      <c r="M348" s="2">
        <f>COUNTIFS(集計用!$G346,"*, "&amp;M$3&amp;", *")</f>
        <v>0</v>
      </c>
      <c r="N348" s="2">
        <f>COUNTIFS(集計用!$G346,"*, "&amp;N$3&amp;", *")</f>
        <v>0</v>
      </c>
      <c r="O348" s="2">
        <f>COUNTIFS(集計用!$G346,"*, "&amp;O$3&amp;", *")</f>
        <v>0</v>
      </c>
      <c r="P348" s="2">
        <f>COUNTIFS(集計用!$G346,"*, "&amp;P$3&amp;", *")</f>
        <v>0</v>
      </c>
      <c r="Q348" s="2">
        <f>COUNTIFS(集計用!$G346,"*, "&amp;Q$3&amp;", *")</f>
        <v>0</v>
      </c>
      <c r="R348" s="2">
        <f>COUNTIFS(集計用!$G346,"*, "&amp;R$3&amp;", *")</f>
        <v>0</v>
      </c>
      <c r="S348" s="2">
        <f>COUNTIFS(集計用!$G346,"*, "&amp;S$3&amp;", *")</f>
        <v>0</v>
      </c>
      <c r="T348" s="2">
        <f>COUNTIFS(集計用!$G346,"*, "&amp;T$3&amp;", *")</f>
        <v>1</v>
      </c>
      <c r="U348" s="2">
        <f>COUNTIFS(集計用!$G346,"*, "&amp;U$3&amp;", *")</f>
        <v>0</v>
      </c>
      <c r="V348" s="2">
        <f>COUNTIFS(集計用!$G346,"*, "&amp;V$3&amp;", *")</f>
        <v>0</v>
      </c>
      <c r="W348" s="2">
        <f>COUNTIFS(集計用!$G346,"*, "&amp;W$3&amp;", *")</f>
        <v>0</v>
      </c>
      <c r="X348" s="2">
        <f>COUNTIFS(集計用!$G346,"*, "&amp;X$3&amp;", *")</f>
        <v>0</v>
      </c>
      <c r="Y348" s="2">
        <f>COUNTIFS(集計用!$G346,"*, "&amp;Y$3&amp;", *")</f>
        <v>0</v>
      </c>
      <c r="Z348" s="2">
        <f>COUNTIFS(集計用!$G346,"*, "&amp;Z$3&amp;", *")</f>
        <v>0</v>
      </c>
      <c r="AA348" s="2">
        <f>COUNTIFS(集計用!$G346,"*, "&amp;AA$3&amp;", *")</f>
        <v>0</v>
      </c>
      <c r="AB348" s="2">
        <f>COUNTIFS(集計用!$G346,"*, "&amp;AB$3&amp;", *")</f>
        <v>0</v>
      </c>
      <c r="AC348" s="2">
        <f>COUNTIFS(集計用!$G346,"*, "&amp;AC$3&amp;", *")</f>
        <v>0</v>
      </c>
      <c r="AD348" s="2">
        <f>COUNTIFS(集計用!$G346,"*, "&amp;AD$3&amp;", *")</f>
        <v>0</v>
      </c>
      <c r="AE348" s="2">
        <f>COUNTIFS(集計用!$G346,"*, "&amp;AE$3&amp;", *")</f>
        <v>0</v>
      </c>
      <c r="AF348" s="2">
        <f>COUNTIFS(集計用!$G346,"*, "&amp;AF$3&amp;", *")</f>
        <v>0</v>
      </c>
      <c r="AG348" s="2">
        <f>COUNTIFS(集計用!$G346,"*, "&amp;AG$3&amp;", *")</f>
        <v>0</v>
      </c>
      <c r="AH348" s="2">
        <f>COUNTIFS(集計用!$G346,"*, "&amp;AH$3&amp;", *")</f>
        <v>0</v>
      </c>
      <c r="AI348" s="2">
        <f>COUNTIFS(集計用!$G346,"*, "&amp;AI$3&amp;", *")</f>
        <v>0</v>
      </c>
      <c r="AJ348" s="2">
        <f>COUNTIFS(集計用!$G346,"*, "&amp;AJ$3&amp;", *")</f>
        <v>0</v>
      </c>
      <c r="AK348" s="2">
        <f>COUNTIFS(集計用!$G346,"*, "&amp;AK$3&amp;", *")</f>
        <v>0</v>
      </c>
      <c r="AL348" s="2">
        <f>COUNTIFS(集計用!$G346,"*, "&amp;AL$3&amp;", *")</f>
        <v>0</v>
      </c>
      <c r="AM348" s="2">
        <f>COUNTIFS(集計用!$G346,"*, "&amp;AM$3&amp;", *")</f>
        <v>0</v>
      </c>
      <c r="AN348" s="2">
        <f>COUNTIFS(集計用!$G346,"*, "&amp;AN$3&amp;", *")</f>
        <v>0</v>
      </c>
      <c r="AO348" s="2">
        <f>COUNTIFS(集計用!$G346,"*, "&amp;AO$3&amp;", *")</f>
        <v>0</v>
      </c>
      <c r="AP348" s="2">
        <f>COUNTIFS(集計用!$G346,"*, "&amp;AP$3&amp;", *")</f>
        <v>0</v>
      </c>
      <c r="AQ348" s="2">
        <f>COUNTIFS(集計用!$G346,"*, "&amp;AQ$3&amp;", *")</f>
        <v>0</v>
      </c>
      <c r="AR348" s="2">
        <f>COUNTIFS(集計用!$G346,"*, "&amp;AR$3&amp;", *")</f>
        <v>0</v>
      </c>
      <c r="AS348" s="2">
        <f>COUNTIFS(集計用!$G346,"*, "&amp;AS$3&amp;", *")</f>
        <v>0</v>
      </c>
      <c r="AT348" s="2">
        <f>COUNTIFS(集計用!$G346,"*, "&amp;AT$3&amp;", *")</f>
        <v>0</v>
      </c>
      <c r="AU348" s="2">
        <f>COUNTIFS(集計用!$G346,"*, "&amp;AU$3&amp;", *")</f>
        <v>0</v>
      </c>
      <c r="AV348" s="2">
        <f>COUNTIFS(集計用!$G346,"*, "&amp;AV$3&amp;", *")</f>
        <v>0</v>
      </c>
      <c r="AW348" s="2">
        <f>COUNTIFS(集計用!$G346,"*, "&amp;AW$3&amp;", *")</f>
        <v>0</v>
      </c>
      <c r="AX348" s="2">
        <f>COUNTIFS(集計用!$G346,"*, "&amp;AX$3&amp;", *")</f>
        <v>0</v>
      </c>
      <c r="AY348" s="2">
        <f>COUNTIFS(集計用!$G346,"*, "&amp;AY$3&amp;", *")</f>
        <v>0</v>
      </c>
      <c r="AZ348" s="2">
        <f>COUNTIFS(集計用!$G346,"*, "&amp;AZ$3&amp;", *")</f>
        <v>0</v>
      </c>
      <c r="BA348" s="2">
        <f>COUNTIFS(集計用!$G346,"*, "&amp;BA$3&amp;", *")</f>
        <v>0</v>
      </c>
      <c r="BB348" s="2">
        <f>COUNTIFS(集計用!$G346,"*, "&amp;BB$3&amp;", *")</f>
        <v>0</v>
      </c>
      <c r="BC348" s="2">
        <f>COUNTIFS(集計用!$G346,"*, "&amp;BC$3&amp;", *")</f>
        <v>0</v>
      </c>
      <c r="BD348" s="2">
        <f>COUNTIFS(集計用!$G346,"*, "&amp;BD$3&amp;", *")</f>
        <v>0</v>
      </c>
      <c r="BE348" s="2">
        <f>COUNTIFS(集計用!$G346,"*, "&amp;BE$3&amp;", *")</f>
        <v>0</v>
      </c>
      <c r="BF348" s="2">
        <f>COUNTIFS(集計用!$G346,"*, "&amp;BF$3&amp;", *")</f>
        <v>0</v>
      </c>
      <c r="BG348" s="2">
        <f>COUNTIFS(集計用!$G346,"*, "&amp;BG$3&amp;", *")</f>
        <v>0</v>
      </c>
      <c r="BH348" s="2">
        <f>COUNTIFS(集計用!$G346,"*, "&amp;BH$3&amp;", *")</f>
        <v>0</v>
      </c>
      <c r="BI348" s="2">
        <f>COUNTIFS(集計用!$G346,"*, "&amp;BI$3&amp;", *")</f>
        <v>0</v>
      </c>
      <c r="BJ348" s="2">
        <f>LEN(集計用!H346)-LEN(SUBSTITUTE(集計用!H346,",",""))</f>
        <v>0</v>
      </c>
    </row>
    <row r="349" spans="1:62" ht="12.75">
      <c r="A349" s="8">
        <v>346</v>
      </c>
      <c r="C349" s="2">
        <f t="shared" si="3"/>
        <v>5</v>
      </c>
      <c r="D349" s="9"/>
      <c r="E349" s="2">
        <f>COUNTIFS(集計用!$G347,"*, "&amp;E$3&amp;", *")</f>
        <v>0</v>
      </c>
      <c r="F349" s="2">
        <f>COUNTIFS(集計用!$G347,"*, "&amp;F$3&amp;", *")</f>
        <v>1</v>
      </c>
      <c r="G349" s="2">
        <f>COUNTIFS(集計用!$G347,"*, "&amp;G$3&amp;", *")</f>
        <v>0</v>
      </c>
      <c r="H349" s="2">
        <f>COUNTIFS(集計用!$G347,"*, "&amp;H$3&amp;", *")</f>
        <v>0</v>
      </c>
      <c r="I349" s="2">
        <f>COUNTIFS(集計用!$G347,"*, "&amp;I$3&amp;", *")</f>
        <v>0</v>
      </c>
      <c r="J349" s="2">
        <f>COUNTIFS(集計用!$G347,"*, "&amp;J$3&amp;", *")</f>
        <v>1</v>
      </c>
      <c r="K349" s="2">
        <f>COUNTIFS(集計用!$G347,"*, "&amp;K$3&amp;", *")</f>
        <v>0</v>
      </c>
      <c r="L349" s="2">
        <f>COUNTIFS(集計用!$G347,"*, "&amp;L$3&amp;", *")</f>
        <v>0</v>
      </c>
      <c r="M349" s="2">
        <f>COUNTIFS(集計用!$G347,"*, "&amp;M$3&amp;", *")</f>
        <v>0</v>
      </c>
      <c r="N349" s="2">
        <f>COUNTIFS(集計用!$G347,"*, "&amp;N$3&amp;", *")</f>
        <v>0</v>
      </c>
      <c r="O349" s="2">
        <f>COUNTIFS(集計用!$G347,"*, "&amp;O$3&amp;", *")</f>
        <v>0</v>
      </c>
      <c r="P349" s="2">
        <f>COUNTIFS(集計用!$G347,"*, "&amp;P$3&amp;", *")</f>
        <v>0</v>
      </c>
      <c r="Q349" s="2">
        <f>COUNTIFS(集計用!$G347,"*, "&amp;Q$3&amp;", *")</f>
        <v>0</v>
      </c>
      <c r="R349" s="2">
        <f>COUNTIFS(集計用!$G347,"*, "&amp;R$3&amp;", *")</f>
        <v>1</v>
      </c>
      <c r="S349" s="2">
        <f>COUNTIFS(集計用!$G347,"*, "&amp;S$3&amp;", *")</f>
        <v>1</v>
      </c>
      <c r="T349" s="2">
        <f>COUNTIFS(集計用!$G347,"*, "&amp;T$3&amp;", *")</f>
        <v>0</v>
      </c>
      <c r="U349" s="2">
        <f>COUNTIFS(集計用!$G347,"*, "&amp;U$3&amp;", *")</f>
        <v>0</v>
      </c>
      <c r="V349" s="2">
        <f>COUNTIFS(集計用!$G347,"*, "&amp;V$3&amp;", *")</f>
        <v>0</v>
      </c>
      <c r="W349" s="2">
        <f>COUNTIFS(集計用!$G347,"*, "&amp;W$3&amp;", *")</f>
        <v>0</v>
      </c>
      <c r="X349" s="2">
        <f>COUNTIFS(集計用!$G347,"*, "&amp;X$3&amp;", *")</f>
        <v>0</v>
      </c>
      <c r="Y349" s="2">
        <f>COUNTIFS(集計用!$G347,"*, "&amp;Y$3&amp;", *")</f>
        <v>0</v>
      </c>
      <c r="Z349" s="2">
        <f>COUNTIFS(集計用!$G347,"*, "&amp;Z$3&amp;", *")</f>
        <v>0</v>
      </c>
      <c r="AA349" s="2">
        <f>COUNTIFS(集計用!$G347,"*, "&amp;AA$3&amp;", *")</f>
        <v>0</v>
      </c>
      <c r="AB349" s="2">
        <f>COUNTIFS(集計用!$G347,"*, "&amp;AB$3&amp;", *")</f>
        <v>0</v>
      </c>
      <c r="AC349" s="2">
        <f>COUNTIFS(集計用!$G347,"*, "&amp;AC$3&amp;", *")</f>
        <v>0</v>
      </c>
      <c r="AD349" s="2">
        <f>COUNTIFS(集計用!$G347,"*, "&amp;AD$3&amp;", *")</f>
        <v>1</v>
      </c>
      <c r="AE349" s="2">
        <f>COUNTIFS(集計用!$G347,"*, "&amp;AE$3&amp;", *")</f>
        <v>0</v>
      </c>
      <c r="AF349" s="2">
        <f>COUNTIFS(集計用!$G347,"*, "&amp;AF$3&amp;", *")</f>
        <v>0</v>
      </c>
      <c r="AG349" s="2">
        <f>COUNTIFS(集計用!$G347,"*, "&amp;AG$3&amp;", *")</f>
        <v>0</v>
      </c>
      <c r="AH349" s="2">
        <f>COUNTIFS(集計用!$G347,"*, "&amp;AH$3&amp;", *")</f>
        <v>0</v>
      </c>
      <c r="AI349" s="2">
        <f>COUNTIFS(集計用!$G347,"*, "&amp;AI$3&amp;", *")</f>
        <v>0</v>
      </c>
      <c r="AJ349" s="2">
        <f>COUNTIFS(集計用!$G347,"*, "&amp;AJ$3&amp;", *")</f>
        <v>0</v>
      </c>
      <c r="AK349" s="2">
        <f>COUNTIFS(集計用!$G347,"*, "&amp;AK$3&amp;", *")</f>
        <v>0</v>
      </c>
      <c r="AL349" s="2">
        <f>COUNTIFS(集計用!$G347,"*, "&amp;AL$3&amp;", *")</f>
        <v>0</v>
      </c>
      <c r="AM349" s="2">
        <f>COUNTIFS(集計用!$G347,"*, "&amp;AM$3&amp;", *")</f>
        <v>0</v>
      </c>
      <c r="AN349" s="2">
        <f>COUNTIFS(集計用!$G347,"*, "&amp;AN$3&amp;", *")</f>
        <v>0</v>
      </c>
      <c r="AO349" s="2">
        <f>COUNTIFS(集計用!$G347,"*, "&amp;AO$3&amp;", *")</f>
        <v>0</v>
      </c>
      <c r="AP349" s="2">
        <f>COUNTIFS(集計用!$G347,"*, "&amp;AP$3&amp;", *")</f>
        <v>0</v>
      </c>
      <c r="AQ349" s="2">
        <f>COUNTIFS(集計用!$G347,"*, "&amp;AQ$3&amp;", *")</f>
        <v>0</v>
      </c>
      <c r="AR349" s="2">
        <f>COUNTIFS(集計用!$G347,"*, "&amp;AR$3&amp;", *")</f>
        <v>0</v>
      </c>
      <c r="AS349" s="2">
        <f>COUNTIFS(集計用!$G347,"*, "&amp;AS$3&amp;", *")</f>
        <v>0</v>
      </c>
      <c r="AT349" s="2">
        <f>COUNTIFS(集計用!$G347,"*, "&amp;AT$3&amp;", *")</f>
        <v>0</v>
      </c>
      <c r="AU349" s="2">
        <f>COUNTIFS(集計用!$G347,"*, "&amp;AU$3&amp;", *")</f>
        <v>0</v>
      </c>
      <c r="AV349" s="2">
        <f>COUNTIFS(集計用!$G347,"*, "&amp;AV$3&amp;", *")</f>
        <v>0</v>
      </c>
      <c r="AW349" s="2">
        <f>COUNTIFS(集計用!$G347,"*, "&amp;AW$3&amp;", *")</f>
        <v>0</v>
      </c>
      <c r="AX349" s="2">
        <f>COUNTIFS(集計用!$G347,"*, "&amp;AX$3&amp;", *")</f>
        <v>0</v>
      </c>
      <c r="AY349" s="2">
        <f>COUNTIFS(集計用!$G347,"*, "&amp;AY$3&amp;", *")</f>
        <v>0</v>
      </c>
      <c r="AZ349" s="2">
        <f>COUNTIFS(集計用!$G347,"*, "&amp;AZ$3&amp;", *")</f>
        <v>0</v>
      </c>
      <c r="BA349" s="2">
        <f>COUNTIFS(集計用!$G347,"*, "&amp;BA$3&amp;", *")</f>
        <v>0</v>
      </c>
      <c r="BB349" s="2">
        <f>COUNTIFS(集計用!$G347,"*, "&amp;BB$3&amp;", *")</f>
        <v>0</v>
      </c>
      <c r="BC349" s="2">
        <f>COUNTIFS(集計用!$G347,"*, "&amp;BC$3&amp;", *")</f>
        <v>0</v>
      </c>
      <c r="BD349" s="2">
        <f>COUNTIFS(集計用!$G347,"*, "&amp;BD$3&amp;", *")</f>
        <v>0</v>
      </c>
      <c r="BE349" s="2">
        <f>COUNTIFS(集計用!$G347,"*, "&amp;BE$3&amp;", *")</f>
        <v>0</v>
      </c>
      <c r="BF349" s="2">
        <f>COUNTIFS(集計用!$G347,"*, "&amp;BF$3&amp;", *")</f>
        <v>0</v>
      </c>
      <c r="BG349" s="2">
        <f>COUNTIFS(集計用!$G347,"*, "&amp;BG$3&amp;", *")</f>
        <v>0</v>
      </c>
      <c r="BH349" s="2">
        <f>COUNTIFS(集計用!$G347,"*, "&amp;BH$3&amp;", *")</f>
        <v>0</v>
      </c>
      <c r="BI349" s="2">
        <f>COUNTIFS(集計用!$G347,"*, "&amp;BI$3&amp;", *")</f>
        <v>0</v>
      </c>
      <c r="BJ349" s="2">
        <f>LEN(集計用!H347)-LEN(SUBSTITUTE(集計用!H347,",",""))</f>
        <v>0</v>
      </c>
    </row>
    <row r="350" spans="1:62" ht="12.75">
      <c r="A350" s="8">
        <v>347</v>
      </c>
      <c r="C350" s="2">
        <f t="shared" si="3"/>
        <v>1</v>
      </c>
      <c r="D350" s="9"/>
      <c r="E350" s="2">
        <f>COUNTIFS(集計用!$G348,"*, "&amp;E$3&amp;", *")</f>
        <v>1</v>
      </c>
      <c r="F350" s="2">
        <f>COUNTIFS(集計用!$G348,"*, "&amp;F$3&amp;", *")</f>
        <v>0</v>
      </c>
      <c r="G350" s="2">
        <f>COUNTIFS(集計用!$G348,"*, "&amp;G$3&amp;", *")</f>
        <v>0</v>
      </c>
      <c r="H350" s="2">
        <f>COUNTIFS(集計用!$G348,"*, "&amp;H$3&amp;", *")</f>
        <v>0</v>
      </c>
      <c r="I350" s="2">
        <f>COUNTIFS(集計用!$G348,"*, "&amp;I$3&amp;", *")</f>
        <v>0</v>
      </c>
      <c r="J350" s="2">
        <f>COUNTIFS(集計用!$G348,"*, "&amp;J$3&amp;", *")</f>
        <v>0</v>
      </c>
      <c r="K350" s="2">
        <f>COUNTIFS(集計用!$G348,"*, "&amp;K$3&amp;", *")</f>
        <v>0</v>
      </c>
      <c r="L350" s="2">
        <f>COUNTIFS(集計用!$G348,"*, "&amp;L$3&amp;", *")</f>
        <v>0</v>
      </c>
      <c r="M350" s="2">
        <f>COUNTIFS(集計用!$G348,"*, "&amp;M$3&amp;", *")</f>
        <v>0</v>
      </c>
      <c r="N350" s="2">
        <f>COUNTIFS(集計用!$G348,"*, "&amp;N$3&amp;", *")</f>
        <v>0</v>
      </c>
      <c r="O350" s="2">
        <f>COUNTIFS(集計用!$G348,"*, "&amp;O$3&amp;", *")</f>
        <v>0</v>
      </c>
      <c r="P350" s="2">
        <f>COUNTIFS(集計用!$G348,"*, "&amp;P$3&amp;", *")</f>
        <v>0</v>
      </c>
      <c r="Q350" s="2">
        <f>COUNTIFS(集計用!$G348,"*, "&amp;Q$3&amp;", *")</f>
        <v>0</v>
      </c>
      <c r="R350" s="2">
        <f>COUNTIFS(集計用!$G348,"*, "&amp;R$3&amp;", *")</f>
        <v>0</v>
      </c>
      <c r="S350" s="2">
        <f>COUNTIFS(集計用!$G348,"*, "&amp;S$3&amp;", *")</f>
        <v>0</v>
      </c>
      <c r="T350" s="2">
        <f>COUNTIFS(集計用!$G348,"*, "&amp;T$3&amp;", *")</f>
        <v>0</v>
      </c>
      <c r="U350" s="2">
        <f>COUNTIFS(集計用!$G348,"*, "&amp;U$3&amp;", *")</f>
        <v>0</v>
      </c>
      <c r="V350" s="2">
        <f>COUNTIFS(集計用!$G348,"*, "&amp;V$3&amp;", *")</f>
        <v>0</v>
      </c>
      <c r="W350" s="2">
        <f>COUNTIFS(集計用!$G348,"*, "&amp;W$3&amp;", *")</f>
        <v>0</v>
      </c>
      <c r="X350" s="2">
        <f>COUNTIFS(集計用!$G348,"*, "&amp;X$3&amp;", *")</f>
        <v>0</v>
      </c>
      <c r="Y350" s="2">
        <f>COUNTIFS(集計用!$G348,"*, "&amp;Y$3&amp;", *")</f>
        <v>0</v>
      </c>
      <c r="Z350" s="2">
        <f>COUNTIFS(集計用!$G348,"*, "&amp;Z$3&amp;", *")</f>
        <v>0</v>
      </c>
      <c r="AA350" s="2">
        <f>COUNTIFS(集計用!$G348,"*, "&amp;AA$3&amp;", *")</f>
        <v>0</v>
      </c>
      <c r="AB350" s="2">
        <f>COUNTIFS(集計用!$G348,"*, "&amp;AB$3&amp;", *")</f>
        <v>0</v>
      </c>
      <c r="AC350" s="2">
        <f>COUNTIFS(集計用!$G348,"*, "&amp;AC$3&amp;", *")</f>
        <v>0</v>
      </c>
      <c r="AD350" s="2">
        <f>COUNTIFS(集計用!$G348,"*, "&amp;AD$3&amp;", *")</f>
        <v>0</v>
      </c>
      <c r="AE350" s="2">
        <f>COUNTIFS(集計用!$G348,"*, "&amp;AE$3&amp;", *")</f>
        <v>0</v>
      </c>
      <c r="AF350" s="2">
        <f>COUNTIFS(集計用!$G348,"*, "&amp;AF$3&amp;", *")</f>
        <v>0</v>
      </c>
      <c r="AG350" s="2">
        <f>COUNTIFS(集計用!$G348,"*, "&amp;AG$3&amp;", *")</f>
        <v>0</v>
      </c>
      <c r="AH350" s="2">
        <f>COUNTIFS(集計用!$G348,"*, "&amp;AH$3&amp;", *")</f>
        <v>0</v>
      </c>
      <c r="AI350" s="2">
        <f>COUNTIFS(集計用!$G348,"*, "&amp;AI$3&amp;", *")</f>
        <v>0</v>
      </c>
      <c r="AJ350" s="2">
        <f>COUNTIFS(集計用!$G348,"*, "&amp;AJ$3&amp;", *")</f>
        <v>0</v>
      </c>
      <c r="AK350" s="2">
        <f>COUNTIFS(集計用!$G348,"*, "&amp;AK$3&amp;", *")</f>
        <v>0</v>
      </c>
      <c r="AL350" s="2">
        <f>COUNTIFS(集計用!$G348,"*, "&amp;AL$3&amp;", *")</f>
        <v>0</v>
      </c>
      <c r="AM350" s="2">
        <f>COUNTIFS(集計用!$G348,"*, "&amp;AM$3&amp;", *")</f>
        <v>0</v>
      </c>
      <c r="AN350" s="2">
        <f>COUNTIFS(集計用!$G348,"*, "&amp;AN$3&amp;", *")</f>
        <v>0</v>
      </c>
      <c r="AO350" s="2">
        <f>COUNTIFS(集計用!$G348,"*, "&amp;AO$3&amp;", *")</f>
        <v>0</v>
      </c>
      <c r="AP350" s="2">
        <f>COUNTIFS(集計用!$G348,"*, "&amp;AP$3&amp;", *")</f>
        <v>0</v>
      </c>
      <c r="AQ350" s="2">
        <f>COUNTIFS(集計用!$G348,"*, "&amp;AQ$3&amp;", *")</f>
        <v>0</v>
      </c>
      <c r="AR350" s="2">
        <f>COUNTIFS(集計用!$G348,"*, "&amp;AR$3&amp;", *")</f>
        <v>0</v>
      </c>
      <c r="AS350" s="2">
        <f>COUNTIFS(集計用!$G348,"*, "&amp;AS$3&amp;", *")</f>
        <v>0</v>
      </c>
      <c r="AT350" s="2">
        <f>COUNTIFS(集計用!$G348,"*, "&amp;AT$3&amp;", *")</f>
        <v>0</v>
      </c>
      <c r="AU350" s="2">
        <f>COUNTIFS(集計用!$G348,"*, "&amp;AU$3&amp;", *")</f>
        <v>0</v>
      </c>
      <c r="AV350" s="2">
        <f>COUNTIFS(集計用!$G348,"*, "&amp;AV$3&amp;", *")</f>
        <v>0</v>
      </c>
      <c r="AW350" s="2">
        <f>COUNTIFS(集計用!$G348,"*, "&amp;AW$3&amp;", *")</f>
        <v>0</v>
      </c>
      <c r="AX350" s="2">
        <f>COUNTIFS(集計用!$G348,"*, "&amp;AX$3&amp;", *")</f>
        <v>0</v>
      </c>
      <c r="AY350" s="2">
        <f>COUNTIFS(集計用!$G348,"*, "&amp;AY$3&amp;", *")</f>
        <v>0</v>
      </c>
      <c r="AZ350" s="2">
        <f>COUNTIFS(集計用!$G348,"*, "&amp;AZ$3&amp;", *")</f>
        <v>0</v>
      </c>
      <c r="BA350" s="2">
        <f>COUNTIFS(集計用!$G348,"*, "&amp;BA$3&amp;", *")</f>
        <v>0</v>
      </c>
      <c r="BB350" s="2">
        <f>COUNTIFS(集計用!$G348,"*, "&amp;BB$3&amp;", *")</f>
        <v>0</v>
      </c>
      <c r="BC350" s="2">
        <f>COUNTIFS(集計用!$G348,"*, "&amp;BC$3&amp;", *")</f>
        <v>0</v>
      </c>
      <c r="BD350" s="2">
        <f>COUNTIFS(集計用!$G348,"*, "&amp;BD$3&amp;", *")</f>
        <v>0</v>
      </c>
      <c r="BE350" s="2">
        <f>COUNTIFS(集計用!$G348,"*, "&amp;BE$3&amp;", *")</f>
        <v>0</v>
      </c>
      <c r="BF350" s="2">
        <f>COUNTIFS(集計用!$G348,"*, "&amp;BF$3&amp;", *")</f>
        <v>0</v>
      </c>
      <c r="BG350" s="2">
        <f>COUNTIFS(集計用!$G348,"*, "&amp;BG$3&amp;", *")</f>
        <v>0</v>
      </c>
      <c r="BH350" s="2">
        <f>COUNTIFS(集計用!$G348,"*, "&amp;BH$3&amp;", *")</f>
        <v>0</v>
      </c>
      <c r="BI350" s="2">
        <f>COUNTIFS(集計用!$G348,"*, "&amp;BI$3&amp;", *")</f>
        <v>0</v>
      </c>
      <c r="BJ350" s="2">
        <f>LEN(集計用!H348)-LEN(SUBSTITUTE(集計用!H348,",",""))</f>
        <v>0</v>
      </c>
    </row>
    <row r="351" spans="1:62" ht="12.75">
      <c r="A351" s="8">
        <v>348</v>
      </c>
      <c r="C351" s="2">
        <f t="shared" si="3"/>
        <v>3</v>
      </c>
      <c r="D351" s="9"/>
      <c r="E351" s="2">
        <f>COUNTIFS(集計用!$G349,"*, "&amp;E$3&amp;", *")</f>
        <v>1</v>
      </c>
      <c r="F351" s="2">
        <f>COUNTIFS(集計用!$G349,"*, "&amp;F$3&amp;", *")</f>
        <v>0</v>
      </c>
      <c r="G351" s="2">
        <f>COUNTIFS(集計用!$G349,"*, "&amp;G$3&amp;", *")</f>
        <v>0</v>
      </c>
      <c r="H351" s="2">
        <f>COUNTIFS(集計用!$G349,"*, "&amp;H$3&amp;", *")</f>
        <v>0</v>
      </c>
      <c r="I351" s="2">
        <f>COUNTIFS(集計用!$G349,"*, "&amp;I$3&amp;", *")</f>
        <v>0</v>
      </c>
      <c r="J351" s="2">
        <f>COUNTIFS(集計用!$G349,"*, "&amp;J$3&amp;", *")</f>
        <v>0</v>
      </c>
      <c r="K351" s="2">
        <f>COUNTIFS(集計用!$G349,"*, "&amp;K$3&amp;", *")</f>
        <v>0</v>
      </c>
      <c r="L351" s="2">
        <f>COUNTIFS(集計用!$G349,"*, "&amp;L$3&amp;", *")</f>
        <v>0</v>
      </c>
      <c r="M351" s="2">
        <f>COUNTIFS(集計用!$G349,"*, "&amp;M$3&amp;", *")</f>
        <v>0</v>
      </c>
      <c r="N351" s="2">
        <f>COUNTIFS(集計用!$G349,"*, "&amp;N$3&amp;", *")</f>
        <v>0</v>
      </c>
      <c r="O351" s="2">
        <f>COUNTIFS(集計用!$G349,"*, "&amp;O$3&amp;", *")</f>
        <v>0</v>
      </c>
      <c r="P351" s="2">
        <f>COUNTIFS(集計用!$G349,"*, "&amp;P$3&amp;", *")</f>
        <v>0</v>
      </c>
      <c r="Q351" s="2">
        <f>COUNTIFS(集計用!$G349,"*, "&amp;Q$3&amp;", *")</f>
        <v>0</v>
      </c>
      <c r="R351" s="2">
        <f>COUNTIFS(集計用!$G349,"*, "&amp;R$3&amp;", *")</f>
        <v>0</v>
      </c>
      <c r="S351" s="2">
        <f>COUNTIFS(集計用!$G349,"*, "&amp;S$3&amp;", *")</f>
        <v>0</v>
      </c>
      <c r="T351" s="2">
        <f>COUNTIFS(集計用!$G349,"*, "&amp;T$3&amp;", *")</f>
        <v>0</v>
      </c>
      <c r="U351" s="2">
        <f>COUNTIFS(集計用!$G349,"*, "&amp;U$3&amp;", *")</f>
        <v>0</v>
      </c>
      <c r="V351" s="2">
        <f>COUNTIFS(集計用!$G349,"*, "&amp;V$3&amp;", *")</f>
        <v>0</v>
      </c>
      <c r="W351" s="2">
        <f>COUNTIFS(集計用!$G349,"*, "&amp;W$3&amp;", *")</f>
        <v>0</v>
      </c>
      <c r="X351" s="2">
        <f>COUNTIFS(集計用!$G349,"*, "&amp;X$3&amp;", *")</f>
        <v>0</v>
      </c>
      <c r="Y351" s="2">
        <f>COUNTIFS(集計用!$G349,"*, "&amp;Y$3&amp;", *")</f>
        <v>0</v>
      </c>
      <c r="Z351" s="2">
        <f>COUNTIFS(集計用!$G349,"*, "&amp;Z$3&amp;", *")</f>
        <v>0</v>
      </c>
      <c r="AA351" s="2">
        <f>COUNTIFS(集計用!$G349,"*, "&amp;AA$3&amp;", *")</f>
        <v>1</v>
      </c>
      <c r="AB351" s="2">
        <f>COUNTIFS(集計用!$G349,"*, "&amp;AB$3&amp;", *")</f>
        <v>0</v>
      </c>
      <c r="AC351" s="2">
        <f>COUNTIFS(集計用!$G349,"*, "&amp;AC$3&amp;", *")</f>
        <v>0</v>
      </c>
      <c r="AD351" s="2">
        <f>COUNTIFS(集計用!$G349,"*, "&amp;AD$3&amp;", *")</f>
        <v>0</v>
      </c>
      <c r="AE351" s="2">
        <f>COUNTIFS(集計用!$G349,"*, "&amp;AE$3&amp;", *")</f>
        <v>1</v>
      </c>
      <c r="AF351" s="2">
        <f>COUNTIFS(集計用!$G349,"*, "&amp;AF$3&amp;", *")</f>
        <v>0</v>
      </c>
      <c r="AG351" s="2">
        <f>COUNTIFS(集計用!$G349,"*, "&amp;AG$3&amp;", *")</f>
        <v>0</v>
      </c>
      <c r="AH351" s="2">
        <f>COUNTIFS(集計用!$G349,"*, "&amp;AH$3&amp;", *")</f>
        <v>0</v>
      </c>
      <c r="AI351" s="2">
        <f>COUNTIFS(集計用!$G349,"*, "&amp;AI$3&amp;", *")</f>
        <v>0</v>
      </c>
      <c r="AJ351" s="2">
        <f>COUNTIFS(集計用!$G349,"*, "&amp;AJ$3&amp;", *")</f>
        <v>0</v>
      </c>
      <c r="AK351" s="2">
        <f>COUNTIFS(集計用!$G349,"*, "&amp;AK$3&amp;", *")</f>
        <v>0</v>
      </c>
      <c r="AL351" s="2">
        <f>COUNTIFS(集計用!$G349,"*, "&amp;AL$3&amp;", *")</f>
        <v>0</v>
      </c>
      <c r="AM351" s="2">
        <f>COUNTIFS(集計用!$G349,"*, "&amp;AM$3&amp;", *")</f>
        <v>0</v>
      </c>
      <c r="AN351" s="2">
        <f>COUNTIFS(集計用!$G349,"*, "&amp;AN$3&amp;", *")</f>
        <v>0</v>
      </c>
      <c r="AO351" s="2">
        <f>COUNTIFS(集計用!$G349,"*, "&amp;AO$3&amp;", *")</f>
        <v>0</v>
      </c>
      <c r="AP351" s="2">
        <f>COUNTIFS(集計用!$G349,"*, "&amp;AP$3&amp;", *")</f>
        <v>0</v>
      </c>
      <c r="AQ351" s="2">
        <f>COUNTIFS(集計用!$G349,"*, "&amp;AQ$3&amp;", *")</f>
        <v>0</v>
      </c>
      <c r="AR351" s="2">
        <f>COUNTIFS(集計用!$G349,"*, "&amp;AR$3&amp;", *")</f>
        <v>0</v>
      </c>
      <c r="AS351" s="2">
        <f>COUNTIFS(集計用!$G349,"*, "&amp;AS$3&amp;", *")</f>
        <v>0</v>
      </c>
      <c r="AT351" s="2">
        <f>COUNTIFS(集計用!$G349,"*, "&amp;AT$3&amp;", *")</f>
        <v>0</v>
      </c>
      <c r="AU351" s="2">
        <f>COUNTIFS(集計用!$G349,"*, "&amp;AU$3&amp;", *")</f>
        <v>0</v>
      </c>
      <c r="AV351" s="2">
        <f>COUNTIFS(集計用!$G349,"*, "&amp;AV$3&amp;", *")</f>
        <v>0</v>
      </c>
      <c r="AW351" s="2">
        <f>COUNTIFS(集計用!$G349,"*, "&amp;AW$3&amp;", *")</f>
        <v>0</v>
      </c>
      <c r="AX351" s="2">
        <f>COUNTIFS(集計用!$G349,"*, "&amp;AX$3&amp;", *")</f>
        <v>0</v>
      </c>
      <c r="AY351" s="2">
        <f>COUNTIFS(集計用!$G349,"*, "&amp;AY$3&amp;", *")</f>
        <v>0</v>
      </c>
      <c r="AZ351" s="2">
        <f>COUNTIFS(集計用!$G349,"*, "&amp;AZ$3&amp;", *")</f>
        <v>0</v>
      </c>
      <c r="BA351" s="2">
        <f>COUNTIFS(集計用!$G349,"*, "&amp;BA$3&amp;", *")</f>
        <v>0</v>
      </c>
      <c r="BB351" s="2">
        <f>COUNTIFS(集計用!$G349,"*, "&amp;BB$3&amp;", *")</f>
        <v>0</v>
      </c>
      <c r="BC351" s="2">
        <f>COUNTIFS(集計用!$G349,"*, "&amp;BC$3&amp;", *")</f>
        <v>0</v>
      </c>
      <c r="BD351" s="2">
        <f>COUNTIFS(集計用!$G349,"*, "&amp;BD$3&amp;", *")</f>
        <v>0</v>
      </c>
      <c r="BE351" s="2">
        <f>COUNTIFS(集計用!$G349,"*, "&amp;BE$3&amp;", *")</f>
        <v>0</v>
      </c>
      <c r="BF351" s="2">
        <f>COUNTIFS(集計用!$G349,"*, "&amp;BF$3&amp;", *")</f>
        <v>0</v>
      </c>
      <c r="BG351" s="2">
        <f>COUNTIFS(集計用!$G349,"*, "&amp;BG$3&amp;", *")</f>
        <v>0</v>
      </c>
      <c r="BH351" s="2">
        <f>COUNTIFS(集計用!$G349,"*, "&amp;BH$3&amp;", *")</f>
        <v>0</v>
      </c>
      <c r="BI351" s="2">
        <f>COUNTIFS(集計用!$G349,"*, "&amp;BI$3&amp;", *")</f>
        <v>0</v>
      </c>
      <c r="BJ351" s="2">
        <f>LEN(集計用!H349)-LEN(SUBSTITUTE(集計用!H349,",",""))</f>
        <v>0</v>
      </c>
    </row>
    <row r="352" spans="1:62" ht="12.75">
      <c r="A352" s="8">
        <v>349</v>
      </c>
      <c r="C352" s="2">
        <f t="shared" si="3"/>
        <v>4</v>
      </c>
      <c r="D352" s="9"/>
      <c r="E352" s="2">
        <f>COUNTIFS(集計用!$G350,"*, "&amp;E$3&amp;", *")</f>
        <v>1</v>
      </c>
      <c r="F352" s="2">
        <f>COUNTIFS(集計用!$G350,"*, "&amp;F$3&amp;", *")</f>
        <v>0</v>
      </c>
      <c r="G352" s="2">
        <f>COUNTIFS(集計用!$G350,"*, "&amp;G$3&amp;", *")</f>
        <v>0</v>
      </c>
      <c r="H352" s="2">
        <f>COUNTIFS(集計用!$G350,"*, "&amp;H$3&amp;", *")</f>
        <v>0</v>
      </c>
      <c r="I352" s="2">
        <f>COUNTIFS(集計用!$G350,"*, "&amp;I$3&amp;", *")</f>
        <v>0</v>
      </c>
      <c r="J352" s="2">
        <f>COUNTIFS(集計用!$G350,"*, "&amp;J$3&amp;", *")</f>
        <v>1</v>
      </c>
      <c r="K352" s="2">
        <f>COUNTIFS(集計用!$G350,"*, "&amp;K$3&amp;", *")</f>
        <v>0</v>
      </c>
      <c r="L352" s="2">
        <f>COUNTIFS(集計用!$G350,"*, "&amp;L$3&amp;", *")</f>
        <v>0</v>
      </c>
      <c r="M352" s="2">
        <f>COUNTIFS(集計用!$G350,"*, "&amp;M$3&amp;", *")</f>
        <v>0</v>
      </c>
      <c r="N352" s="2">
        <f>COUNTIFS(集計用!$G350,"*, "&amp;N$3&amp;", *")</f>
        <v>0</v>
      </c>
      <c r="O352" s="2">
        <f>COUNTIFS(集計用!$G350,"*, "&amp;O$3&amp;", *")</f>
        <v>0</v>
      </c>
      <c r="P352" s="2">
        <f>COUNTIFS(集計用!$G350,"*, "&amp;P$3&amp;", *")</f>
        <v>0</v>
      </c>
      <c r="Q352" s="2">
        <f>COUNTIFS(集計用!$G350,"*, "&amp;Q$3&amp;", *")</f>
        <v>0</v>
      </c>
      <c r="R352" s="2">
        <f>COUNTIFS(集計用!$G350,"*, "&amp;R$3&amp;", *")</f>
        <v>0</v>
      </c>
      <c r="S352" s="2">
        <f>COUNTIFS(集計用!$G350,"*, "&amp;S$3&amp;", *")</f>
        <v>0</v>
      </c>
      <c r="T352" s="2">
        <f>COUNTIFS(集計用!$G350,"*, "&amp;T$3&amp;", *")</f>
        <v>0</v>
      </c>
      <c r="U352" s="2">
        <f>COUNTIFS(集計用!$G350,"*, "&amp;U$3&amp;", *")</f>
        <v>0</v>
      </c>
      <c r="V352" s="2">
        <f>COUNTIFS(集計用!$G350,"*, "&amp;V$3&amp;", *")</f>
        <v>1</v>
      </c>
      <c r="W352" s="2">
        <f>COUNTIFS(集計用!$G350,"*, "&amp;W$3&amp;", *")</f>
        <v>0</v>
      </c>
      <c r="X352" s="2">
        <f>COUNTIFS(集計用!$G350,"*, "&amp;X$3&amp;", *")</f>
        <v>0</v>
      </c>
      <c r="Y352" s="2">
        <f>COUNTIFS(集計用!$G350,"*, "&amp;Y$3&amp;", *")</f>
        <v>0</v>
      </c>
      <c r="Z352" s="2">
        <f>COUNTIFS(集計用!$G350,"*, "&amp;Z$3&amp;", *")</f>
        <v>0</v>
      </c>
      <c r="AA352" s="2">
        <f>COUNTIFS(集計用!$G350,"*, "&amp;AA$3&amp;", *")</f>
        <v>0</v>
      </c>
      <c r="AB352" s="2">
        <f>COUNTIFS(集計用!$G350,"*, "&amp;AB$3&amp;", *")</f>
        <v>0</v>
      </c>
      <c r="AC352" s="2">
        <f>COUNTIFS(集計用!$G350,"*, "&amp;AC$3&amp;", *")</f>
        <v>0</v>
      </c>
      <c r="AD352" s="2">
        <f>COUNTIFS(集計用!$G350,"*, "&amp;AD$3&amp;", *")</f>
        <v>0</v>
      </c>
      <c r="AE352" s="2">
        <f>COUNTIFS(集計用!$G350,"*, "&amp;AE$3&amp;", *")</f>
        <v>0</v>
      </c>
      <c r="AF352" s="2">
        <f>COUNTIFS(集計用!$G350,"*, "&amp;AF$3&amp;", *")</f>
        <v>0</v>
      </c>
      <c r="AG352" s="2">
        <f>COUNTIFS(集計用!$G350,"*, "&amp;AG$3&amp;", *")</f>
        <v>0</v>
      </c>
      <c r="AH352" s="2">
        <f>COUNTIFS(集計用!$G350,"*, "&amp;AH$3&amp;", *")</f>
        <v>1</v>
      </c>
      <c r="AI352" s="2">
        <f>COUNTIFS(集計用!$G350,"*, "&amp;AI$3&amp;", *")</f>
        <v>0</v>
      </c>
      <c r="AJ352" s="2">
        <f>COUNTIFS(集計用!$G350,"*, "&amp;AJ$3&amp;", *")</f>
        <v>0</v>
      </c>
      <c r="AK352" s="2">
        <f>COUNTIFS(集計用!$G350,"*, "&amp;AK$3&amp;", *")</f>
        <v>0</v>
      </c>
      <c r="AL352" s="2">
        <f>COUNTIFS(集計用!$G350,"*, "&amp;AL$3&amp;", *")</f>
        <v>0</v>
      </c>
      <c r="AM352" s="2">
        <f>COUNTIFS(集計用!$G350,"*, "&amp;AM$3&amp;", *")</f>
        <v>0</v>
      </c>
      <c r="AN352" s="2">
        <f>COUNTIFS(集計用!$G350,"*, "&amp;AN$3&amp;", *")</f>
        <v>0</v>
      </c>
      <c r="AO352" s="2">
        <f>COUNTIFS(集計用!$G350,"*, "&amp;AO$3&amp;", *")</f>
        <v>0</v>
      </c>
      <c r="AP352" s="2">
        <f>COUNTIFS(集計用!$G350,"*, "&amp;AP$3&amp;", *")</f>
        <v>0</v>
      </c>
      <c r="AQ352" s="2">
        <f>COUNTIFS(集計用!$G350,"*, "&amp;AQ$3&amp;", *")</f>
        <v>0</v>
      </c>
      <c r="AR352" s="2">
        <f>COUNTIFS(集計用!$G350,"*, "&amp;AR$3&amp;", *")</f>
        <v>0</v>
      </c>
      <c r="AS352" s="2">
        <f>COUNTIFS(集計用!$G350,"*, "&amp;AS$3&amp;", *")</f>
        <v>0</v>
      </c>
      <c r="AT352" s="2">
        <f>COUNTIFS(集計用!$G350,"*, "&amp;AT$3&amp;", *")</f>
        <v>0</v>
      </c>
      <c r="AU352" s="2">
        <f>COUNTIFS(集計用!$G350,"*, "&amp;AU$3&amp;", *")</f>
        <v>0</v>
      </c>
      <c r="AV352" s="2">
        <f>COUNTIFS(集計用!$G350,"*, "&amp;AV$3&amp;", *")</f>
        <v>0</v>
      </c>
      <c r="AW352" s="2">
        <f>COUNTIFS(集計用!$G350,"*, "&amp;AW$3&amp;", *")</f>
        <v>0</v>
      </c>
      <c r="AX352" s="2">
        <f>COUNTIFS(集計用!$G350,"*, "&amp;AX$3&amp;", *")</f>
        <v>0</v>
      </c>
      <c r="AY352" s="2">
        <f>COUNTIFS(集計用!$G350,"*, "&amp;AY$3&amp;", *")</f>
        <v>0</v>
      </c>
      <c r="AZ352" s="2">
        <f>COUNTIFS(集計用!$G350,"*, "&amp;AZ$3&amp;", *")</f>
        <v>0</v>
      </c>
      <c r="BA352" s="2">
        <f>COUNTIFS(集計用!$G350,"*, "&amp;BA$3&amp;", *")</f>
        <v>0</v>
      </c>
      <c r="BB352" s="2">
        <f>COUNTIFS(集計用!$G350,"*, "&amp;BB$3&amp;", *")</f>
        <v>0</v>
      </c>
      <c r="BC352" s="2">
        <f>COUNTIFS(集計用!$G350,"*, "&amp;BC$3&amp;", *")</f>
        <v>0</v>
      </c>
      <c r="BD352" s="2">
        <f>COUNTIFS(集計用!$G350,"*, "&amp;BD$3&amp;", *")</f>
        <v>0</v>
      </c>
      <c r="BE352" s="2">
        <f>COUNTIFS(集計用!$G350,"*, "&amp;BE$3&amp;", *")</f>
        <v>0</v>
      </c>
      <c r="BF352" s="2">
        <f>COUNTIFS(集計用!$G350,"*, "&amp;BF$3&amp;", *")</f>
        <v>0</v>
      </c>
      <c r="BG352" s="2">
        <f>COUNTIFS(集計用!$G350,"*, "&amp;BG$3&amp;", *")</f>
        <v>0</v>
      </c>
      <c r="BH352" s="2">
        <f>COUNTIFS(集計用!$G350,"*, "&amp;BH$3&amp;", *")</f>
        <v>0</v>
      </c>
      <c r="BI352" s="2">
        <f>COUNTIFS(集計用!$G350,"*, "&amp;BI$3&amp;", *")</f>
        <v>0</v>
      </c>
      <c r="BJ352" s="2">
        <f>LEN(集計用!H350)-LEN(SUBSTITUTE(集計用!H350,",",""))</f>
        <v>0</v>
      </c>
    </row>
    <row r="353" spans="1:62" ht="12.75">
      <c r="A353" s="8">
        <v>350</v>
      </c>
      <c r="C353" s="2">
        <f t="shared" si="3"/>
        <v>5</v>
      </c>
      <c r="D353" s="9"/>
      <c r="E353" s="2">
        <f>COUNTIFS(集計用!$G351,"*, "&amp;E$3&amp;", *")</f>
        <v>1</v>
      </c>
      <c r="F353" s="2">
        <f>COUNTIFS(集計用!$G351,"*, "&amp;F$3&amp;", *")</f>
        <v>1</v>
      </c>
      <c r="G353" s="2">
        <f>COUNTIFS(集計用!$G351,"*, "&amp;G$3&amp;", *")</f>
        <v>1</v>
      </c>
      <c r="H353" s="2">
        <f>COUNTIFS(集計用!$G351,"*, "&amp;H$3&amp;", *")</f>
        <v>0</v>
      </c>
      <c r="I353" s="2">
        <f>COUNTIFS(集計用!$G351,"*, "&amp;I$3&amp;", *")</f>
        <v>1</v>
      </c>
      <c r="J353" s="2">
        <f>COUNTIFS(集計用!$G351,"*, "&amp;J$3&amp;", *")</f>
        <v>0</v>
      </c>
      <c r="K353" s="2">
        <f>COUNTIFS(集計用!$G351,"*, "&amp;K$3&amp;", *")</f>
        <v>1</v>
      </c>
      <c r="L353" s="2">
        <f>COUNTIFS(集計用!$G351,"*, "&amp;L$3&amp;", *")</f>
        <v>0</v>
      </c>
      <c r="M353" s="2">
        <f>COUNTIFS(集計用!$G351,"*, "&amp;M$3&amp;", *")</f>
        <v>0</v>
      </c>
      <c r="N353" s="2">
        <f>COUNTIFS(集計用!$G351,"*, "&amp;N$3&amp;", *")</f>
        <v>0</v>
      </c>
      <c r="O353" s="2">
        <f>COUNTIFS(集計用!$G351,"*, "&amp;O$3&amp;", *")</f>
        <v>0</v>
      </c>
      <c r="P353" s="2">
        <f>COUNTIFS(集計用!$G351,"*, "&amp;P$3&amp;", *")</f>
        <v>0</v>
      </c>
      <c r="Q353" s="2">
        <f>COUNTIFS(集計用!$G351,"*, "&amp;Q$3&amp;", *")</f>
        <v>0</v>
      </c>
      <c r="R353" s="2">
        <f>COUNTIFS(集計用!$G351,"*, "&amp;R$3&amp;", *")</f>
        <v>0</v>
      </c>
      <c r="S353" s="2">
        <f>COUNTIFS(集計用!$G351,"*, "&amp;S$3&amp;", *")</f>
        <v>0</v>
      </c>
      <c r="T353" s="2">
        <f>COUNTIFS(集計用!$G351,"*, "&amp;T$3&amp;", *")</f>
        <v>0</v>
      </c>
      <c r="U353" s="2">
        <f>COUNTIFS(集計用!$G351,"*, "&amp;U$3&amp;", *")</f>
        <v>0</v>
      </c>
      <c r="V353" s="2">
        <f>COUNTIFS(集計用!$G351,"*, "&amp;V$3&amp;", *")</f>
        <v>0</v>
      </c>
      <c r="W353" s="2">
        <f>COUNTIFS(集計用!$G351,"*, "&amp;W$3&amp;", *")</f>
        <v>0</v>
      </c>
      <c r="X353" s="2">
        <f>COUNTIFS(集計用!$G351,"*, "&amp;X$3&amp;", *")</f>
        <v>0</v>
      </c>
      <c r="Y353" s="2">
        <f>COUNTIFS(集計用!$G351,"*, "&amp;Y$3&amp;", *")</f>
        <v>0</v>
      </c>
      <c r="Z353" s="2">
        <f>COUNTIFS(集計用!$G351,"*, "&amp;Z$3&amp;", *")</f>
        <v>0</v>
      </c>
      <c r="AA353" s="2">
        <f>COUNTIFS(集計用!$G351,"*, "&amp;AA$3&amp;", *")</f>
        <v>0</v>
      </c>
      <c r="AB353" s="2">
        <f>COUNTIFS(集計用!$G351,"*, "&amp;AB$3&amp;", *")</f>
        <v>0</v>
      </c>
      <c r="AC353" s="2">
        <f>COUNTIFS(集計用!$G351,"*, "&amp;AC$3&amp;", *")</f>
        <v>0</v>
      </c>
      <c r="AD353" s="2">
        <f>COUNTIFS(集計用!$G351,"*, "&amp;AD$3&amp;", *")</f>
        <v>0</v>
      </c>
      <c r="AE353" s="2">
        <f>COUNTIFS(集計用!$G351,"*, "&amp;AE$3&amp;", *")</f>
        <v>0</v>
      </c>
      <c r="AF353" s="2">
        <f>COUNTIFS(集計用!$G351,"*, "&amp;AF$3&amp;", *")</f>
        <v>0</v>
      </c>
      <c r="AG353" s="2">
        <f>COUNTIFS(集計用!$G351,"*, "&amp;AG$3&amp;", *")</f>
        <v>0</v>
      </c>
      <c r="AH353" s="2">
        <f>COUNTIFS(集計用!$G351,"*, "&amp;AH$3&amp;", *")</f>
        <v>0</v>
      </c>
      <c r="AI353" s="2">
        <f>COUNTIFS(集計用!$G351,"*, "&amp;AI$3&amp;", *")</f>
        <v>0</v>
      </c>
      <c r="AJ353" s="2">
        <f>COUNTIFS(集計用!$G351,"*, "&amp;AJ$3&amp;", *")</f>
        <v>0</v>
      </c>
      <c r="AK353" s="2">
        <f>COUNTIFS(集計用!$G351,"*, "&amp;AK$3&amp;", *")</f>
        <v>0</v>
      </c>
      <c r="AL353" s="2">
        <f>COUNTIFS(集計用!$G351,"*, "&amp;AL$3&amp;", *")</f>
        <v>0</v>
      </c>
      <c r="AM353" s="2">
        <f>COUNTIFS(集計用!$G351,"*, "&amp;AM$3&amp;", *")</f>
        <v>0</v>
      </c>
      <c r="AN353" s="2">
        <f>COUNTIFS(集計用!$G351,"*, "&amp;AN$3&amp;", *")</f>
        <v>0</v>
      </c>
      <c r="AO353" s="2">
        <f>COUNTIFS(集計用!$G351,"*, "&amp;AO$3&amp;", *")</f>
        <v>0</v>
      </c>
      <c r="AP353" s="2">
        <f>COUNTIFS(集計用!$G351,"*, "&amp;AP$3&amp;", *")</f>
        <v>0</v>
      </c>
      <c r="AQ353" s="2">
        <f>COUNTIFS(集計用!$G351,"*, "&amp;AQ$3&amp;", *")</f>
        <v>0</v>
      </c>
      <c r="AR353" s="2">
        <f>COUNTIFS(集計用!$G351,"*, "&amp;AR$3&amp;", *")</f>
        <v>0</v>
      </c>
      <c r="AS353" s="2">
        <f>COUNTIFS(集計用!$G351,"*, "&amp;AS$3&amp;", *")</f>
        <v>0</v>
      </c>
      <c r="AT353" s="2">
        <f>COUNTIFS(集計用!$G351,"*, "&amp;AT$3&amp;", *")</f>
        <v>0</v>
      </c>
      <c r="AU353" s="2">
        <f>COUNTIFS(集計用!$G351,"*, "&amp;AU$3&amp;", *")</f>
        <v>0</v>
      </c>
      <c r="AV353" s="2">
        <f>COUNTIFS(集計用!$G351,"*, "&amp;AV$3&amp;", *")</f>
        <v>0</v>
      </c>
      <c r="AW353" s="2">
        <f>COUNTIFS(集計用!$G351,"*, "&amp;AW$3&amp;", *")</f>
        <v>0</v>
      </c>
      <c r="AX353" s="2">
        <f>COUNTIFS(集計用!$G351,"*, "&amp;AX$3&amp;", *")</f>
        <v>0</v>
      </c>
      <c r="AY353" s="2">
        <f>COUNTIFS(集計用!$G351,"*, "&amp;AY$3&amp;", *")</f>
        <v>0</v>
      </c>
      <c r="AZ353" s="2">
        <f>COUNTIFS(集計用!$G351,"*, "&amp;AZ$3&amp;", *")</f>
        <v>0</v>
      </c>
      <c r="BA353" s="2">
        <f>COUNTIFS(集計用!$G351,"*, "&amp;BA$3&amp;", *")</f>
        <v>0</v>
      </c>
      <c r="BB353" s="2">
        <f>COUNTIFS(集計用!$G351,"*, "&amp;BB$3&amp;", *")</f>
        <v>0</v>
      </c>
      <c r="BC353" s="2">
        <f>COUNTIFS(集計用!$G351,"*, "&amp;BC$3&amp;", *")</f>
        <v>0</v>
      </c>
      <c r="BD353" s="2">
        <f>COUNTIFS(集計用!$G351,"*, "&amp;BD$3&amp;", *")</f>
        <v>0</v>
      </c>
      <c r="BE353" s="2">
        <f>COUNTIFS(集計用!$G351,"*, "&amp;BE$3&amp;", *")</f>
        <v>0</v>
      </c>
      <c r="BF353" s="2">
        <f>COUNTIFS(集計用!$G351,"*, "&amp;BF$3&amp;", *")</f>
        <v>0</v>
      </c>
      <c r="BG353" s="2">
        <f>COUNTIFS(集計用!$G351,"*, "&amp;BG$3&amp;", *")</f>
        <v>0</v>
      </c>
      <c r="BH353" s="2">
        <f>COUNTIFS(集計用!$G351,"*, "&amp;BH$3&amp;", *")</f>
        <v>0</v>
      </c>
      <c r="BI353" s="2">
        <f>COUNTIFS(集計用!$G351,"*, "&amp;BI$3&amp;", *")</f>
        <v>0</v>
      </c>
      <c r="BJ353" s="2">
        <f>LEN(集計用!H351)-LEN(SUBSTITUTE(集計用!H351,",",""))</f>
        <v>0</v>
      </c>
    </row>
    <row r="354" spans="1:62" ht="12.75">
      <c r="A354" s="8">
        <v>351</v>
      </c>
      <c r="C354" s="2">
        <f t="shared" si="3"/>
        <v>3</v>
      </c>
      <c r="D354" s="9"/>
      <c r="E354" s="2">
        <f>COUNTIFS(集計用!$G352,"*, "&amp;E$3&amp;", *")</f>
        <v>1</v>
      </c>
      <c r="F354" s="2">
        <f>COUNTIFS(集計用!$G352,"*, "&amp;F$3&amp;", *")</f>
        <v>0</v>
      </c>
      <c r="G354" s="2">
        <f>COUNTIFS(集計用!$G352,"*, "&amp;G$3&amp;", *")</f>
        <v>1</v>
      </c>
      <c r="H354" s="2">
        <f>COUNTIFS(集計用!$G352,"*, "&amp;H$3&amp;", *")</f>
        <v>0</v>
      </c>
      <c r="I354" s="2">
        <f>COUNTIFS(集計用!$G352,"*, "&amp;I$3&amp;", *")</f>
        <v>0</v>
      </c>
      <c r="J354" s="2">
        <f>COUNTIFS(集計用!$G352,"*, "&amp;J$3&amp;", *")</f>
        <v>0</v>
      </c>
      <c r="K354" s="2">
        <f>COUNTIFS(集計用!$G352,"*, "&amp;K$3&amp;", *")</f>
        <v>0</v>
      </c>
      <c r="L354" s="2">
        <f>COUNTIFS(集計用!$G352,"*, "&amp;L$3&amp;", *")</f>
        <v>0</v>
      </c>
      <c r="M354" s="2">
        <f>COUNTIFS(集計用!$G352,"*, "&amp;M$3&amp;", *")</f>
        <v>0</v>
      </c>
      <c r="N354" s="2">
        <f>COUNTIFS(集計用!$G352,"*, "&amp;N$3&amp;", *")</f>
        <v>0</v>
      </c>
      <c r="O354" s="2">
        <f>COUNTIFS(集計用!$G352,"*, "&amp;O$3&amp;", *")</f>
        <v>0</v>
      </c>
      <c r="P354" s="2">
        <f>COUNTIFS(集計用!$G352,"*, "&amp;P$3&amp;", *")</f>
        <v>0</v>
      </c>
      <c r="Q354" s="2">
        <f>COUNTIFS(集計用!$G352,"*, "&amp;Q$3&amp;", *")</f>
        <v>0</v>
      </c>
      <c r="R354" s="2">
        <f>COUNTIFS(集計用!$G352,"*, "&amp;R$3&amp;", *")</f>
        <v>0</v>
      </c>
      <c r="S354" s="2">
        <f>COUNTIFS(集計用!$G352,"*, "&amp;S$3&amp;", *")</f>
        <v>0</v>
      </c>
      <c r="T354" s="2">
        <f>COUNTIFS(集計用!$G352,"*, "&amp;T$3&amp;", *")</f>
        <v>0</v>
      </c>
      <c r="U354" s="2">
        <f>COUNTIFS(集計用!$G352,"*, "&amp;U$3&amp;", *")</f>
        <v>0</v>
      </c>
      <c r="V354" s="2">
        <f>COUNTIFS(集計用!$G352,"*, "&amp;V$3&amp;", *")</f>
        <v>0</v>
      </c>
      <c r="W354" s="2">
        <f>COUNTIFS(集計用!$G352,"*, "&amp;W$3&amp;", *")</f>
        <v>0</v>
      </c>
      <c r="X354" s="2">
        <f>COUNTIFS(集計用!$G352,"*, "&amp;X$3&amp;", *")</f>
        <v>0</v>
      </c>
      <c r="Y354" s="2">
        <f>COUNTIFS(集計用!$G352,"*, "&amp;Y$3&amp;", *")</f>
        <v>0</v>
      </c>
      <c r="Z354" s="2">
        <f>COUNTIFS(集計用!$G352,"*, "&amp;Z$3&amp;", *")</f>
        <v>0</v>
      </c>
      <c r="AA354" s="2">
        <f>COUNTIFS(集計用!$G352,"*, "&amp;AA$3&amp;", *")</f>
        <v>0</v>
      </c>
      <c r="AB354" s="2">
        <f>COUNTIFS(集計用!$G352,"*, "&amp;AB$3&amp;", *")</f>
        <v>0</v>
      </c>
      <c r="AC354" s="2">
        <f>COUNTIFS(集計用!$G352,"*, "&amp;AC$3&amp;", *")</f>
        <v>0</v>
      </c>
      <c r="AD354" s="2">
        <f>COUNTIFS(集計用!$G352,"*, "&amp;AD$3&amp;", *")</f>
        <v>0</v>
      </c>
      <c r="AE354" s="2">
        <f>COUNTIFS(集計用!$G352,"*, "&amp;AE$3&amp;", *")</f>
        <v>0</v>
      </c>
      <c r="AF354" s="2">
        <f>COUNTIFS(集計用!$G352,"*, "&amp;AF$3&amp;", *")</f>
        <v>0</v>
      </c>
      <c r="AG354" s="2">
        <f>COUNTIFS(集計用!$G352,"*, "&amp;AG$3&amp;", *")</f>
        <v>0</v>
      </c>
      <c r="AH354" s="2">
        <f>COUNTIFS(集計用!$G352,"*, "&amp;AH$3&amp;", *")</f>
        <v>0</v>
      </c>
      <c r="AI354" s="2">
        <f>COUNTIFS(集計用!$G352,"*, "&amp;AI$3&amp;", *")</f>
        <v>0</v>
      </c>
      <c r="AJ354" s="2">
        <f>COUNTIFS(集計用!$G352,"*, "&amp;AJ$3&amp;", *")</f>
        <v>0</v>
      </c>
      <c r="AK354" s="2">
        <f>COUNTIFS(集計用!$G352,"*, "&amp;AK$3&amp;", *")</f>
        <v>0</v>
      </c>
      <c r="AL354" s="2">
        <f>COUNTIFS(集計用!$G352,"*, "&amp;AL$3&amp;", *")</f>
        <v>0</v>
      </c>
      <c r="AM354" s="2">
        <f>COUNTIFS(集計用!$G352,"*, "&amp;AM$3&amp;", *")</f>
        <v>0</v>
      </c>
      <c r="AN354" s="2">
        <f>COUNTIFS(集計用!$G352,"*, "&amp;AN$3&amp;", *")</f>
        <v>0</v>
      </c>
      <c r="AO354" s="2">
        <f>COUNTIFS(集計用!$G352,"*, "&amp;AO$3&amp;", *")</f>
        <v>0</v>
      </c>
      <c r="AP354" s="2">
        <f>COUNTIFS(集計用!$G352,"*, "&amp;AP$3&amp;", *")</f>
        <v>0</v>
      </c>
      <c r="AQ354" s="2">
        <f>COUNTIFS(集計用!$G352,"*, "&amp;AQ$3&amp;", *")</f>
        <v>0</v>
      </c>
      <c r="AR354" s="2">
        <f>COUNTIFS(集計用!$G352,"*, "&amp;AR$3&amp;", *")</f>
        <v>0</v>
      </c>
      <c r="AS354" s="2">
        <f>COUNTIFS(集計用!$G352,"*, "&amp;AS$3&amp;", *")</f>
        <v>0</v>
      </c>
      <c r="AT354" s="2">
        <f>COUNTIFS(集計用!$G352,"*, "&amp;AT$3&amp;", *")</f>
        <v>0</v>
      </c>
      <c r="AU354" s="2">
        <f>COUNTIFS(集計用!$G352,"*, "&amp;AU$3&amp;", *")</f>
        <v>0</v>
      </c>
      <c r="AV354" s="2">
        <f>COUNTIFS(集計用!$G352,"*, "&amp;AV$3&amp;", *")</f>
        <v>0</v>
      </c>
      <c r="AW354" s="2">
        <f>COUNTIFS(集計用!$G352,"*, "&amp;AW$3&amp;", *")</f>
        <v>0</v>
      </c>
      <c r="AX354" s="2">
        <f>COUNTIFS(集計用!$G352,"*, "&amp;AX$3&amp;", *")</f>
        <v>0</v>
      </c>
      <c r="AY354" s="2">
        <f>COUNTIFS(集計用!$G352,"*, "&amp;AY$3&amp;", *")</f>
        <v>0</v>
      </c>
      <c r="AZ354" s="2">
        <f>COUNTIFS(集計用!$G352,"*, "&amp;AZ$3&amp;", *")</f>
        <v>0</v>
      </c>
      <c r="BA354" s="2">
        <f>COUNTIFS(集計用!$G352,"*, "&amp;BA$3&amp;", *")</f>
        <v>0</v>
      </c>
      <c r="BB354" s="2">
        <f>COUNTIFS(集計用!$G352,"*, "&amp;BB$3&amp;", *")</f>
        <v>0</v>
      </c>
      <c r="BC354" s="2">
        <f>COUNTIFS(集計用!$G352,"*, "&amp;BC$3&amp;", *")</f>
        <v>0</v>
      </c>
      <c r="BD354" s="2">
        <f>COUNTIFS(集計用!$G352,"*, "&amp;BD$3&amp;", *")</f>
        <v>0</v>
      </c>
      <c r="BE354" s="2">
        <f>COUNTIFS(集計用!$G352,"*, "&amp;BE$3&amp;", *")</f>
        <v>0</v>
      </c>
      <c r="BF354" s="2">
        <f>COUNTIFS(集計用!$G352,"*, "&amp;BF$3&amp;", *")</f>
        <v>0</v>
      </c>
      <c r="BG354" s="2">
        <f>COUNTIFS(集計用!$G352,"*, "&amp;BG$3&amp;", *")</f>
        <v>0</v>
      </c>
      <c r="BH354" s="2">
        <f>COUNTIFS(集計用!$G352,"*, "&amp;BH$3&amp;", *")</f>
        <v>0</v>
      </c>
      <c r="BI354" s="2">
        <f>COUNTIFS(集計用!$G352,"*, "&amp;BI$3&amp;", *")</f>
        <v>0</v>
      </c>
      <c r="BJ354" s="2">
        <f>LEN(集計用!H352)-LEN(SUBSTITUTE(集計用!H352,",",""))</f>
        <v>1</v>
      </c>
    </row>
    <row r="355" spans="1:62" ht="12.75">
      <c r="A355" s="8">
        <v>352</v>
      </c>
      <c r="C355" s="2">
        <f t="shared" si="3"/>
        <v>6</v>
      </c>
      <c r="D355" s="9"/>
      <c r="E355" s="2">
        <f>COUNTIFS(集計用!$G353,"*, "&amp;E$3&amp;", *")</f>
        <v>1</v>
      </c>
      <c r="F355" s="2">
        <f>COUNTIFS(集計用!$G353,"*, "&amp;F$3&amp;", *")</f>
        <v>0</v>
      </c>
      <c r="G355" s="2">
        <f>COUNTIFS(集計用!$G353,"*, "&amp;G$3&amp;", *")</f>
        <v>1</v>
      </c>
      <c r="H355" s="2">
        <f>COUNTIFS(集計用!$G353,"*, "&amp;H$3&amp;", *")</f>
        <v>0</v>
      </c>
      <c r="I355" s="2">
        <f>COUNTIFS(集計用!$G353,"*, "&amp;I$3&amp;", *")</f>
        <v>0</v>
      </c>
      <c r="J355" s="2">
        <f>COUNTIFS(集計用!$G353,"*, "&amp;J$3&amp;", *")</f>
        <v>0</v>
      </c>
      <c r="K355" s="2">
        <f>COUNTIFS(集計用!$G353,"*, "&amp;K$3&amp;", *")</f>
        <v>0</v>
      </c>
      <c r="L355" s="2">
        <f>COUNTIFS(集計用!$G353,"*, "&amp;L$3&amp;", *")</f>
        <v>1</v>
      </c>
      <c r="M355" s="2">
        <f>COUNTIFS(集計用!$G353,"*, "&amp;M$3&amp;", *")</f>
        <v>0</v>
      </c>
      <c r="N355" s="2">
        <f>COUNTIFS(集計用!$G353,"*, "&amp;N$3&amp;", *")</f>
        <v>1</v>
      </c>
      <c r="O355" s="2">
        <f>COUNTIFS(集計用!$G353,"*, "&amp;O$3&amp;", *")</f>
        <v>0</v>
      </c>
      <c r="P355" s="2">
        <f>COUNTIFS(集計用!$G353,"*, "&amp;P$3&amp;", *")</f>
        <v>0</v>
      </c>
      <c r="Q355" s="2">
        <f>COUNTIFS(集計用!$G353,"*, "&amp;Q$3&amp;", *")</f>
        <v>0</v>
      </c>
      <c r="R355" s="2">
        <f>COUNTIFS(集計用!$G353,"*, "&amp;R$3&amp;", *")</f>
        <v>0</v>
      </c>
      <c r="S355" s="2">
        <f>COUNTIFS(集計用!$G353,"*, "&amp;S$3&amp;", *")</f>
        <v>0</v>
      </c>
      <c r="T355" s="2">
        <f>COUNTIFS(集計用!$G353,"*, "&amp;T$3&amp;", *")</f>
        <v>0</v>
      </c>
      <c r="U355" s="2">
        <f>COUNTIFS(集計用!$G353,"*, "&amp;U$3&amp;", *")</f>
        <v>0</v>
      </c>
      <c r="V355" s="2">
        <f>COUNTIFS(集計用!$G353,"*, "&amp;V$3&amp;", *")</f>
        <v>0</v>
      </c>
      <c r="W355" s="2">
        <f>COUNTIFS(集計用!$G353,"*, "&amp;W$3&amp;", *")</f>
        <v>1</v>
      </c>
      <c r="X355" s="2">
        <f>COUNTIFS(集計用!$G353,"*, "&amp;X$3&amp;", *")</f>
        <v>1</v>
      </c>
      <c r="Y355" s="2">
        <f>COUNTIFS(集計用!$G353,"*, "&amp;Y$3&amp;", *")</f>
        <v>0</v>
      </c>
      <c r="Z355" s="2">
        <f>COUNTIFS(集計用!$G353,"*, "&amp;Z$3&amp;", *")</f>
        <v>0</v>
      </c>
      <c r="AA355" s="2">
        <f>COUNTIFS(集計用!$G353,"*, "&amp;AA$3&amp;", *")</f>
        <v>0</v>
      </c>
      <c r="AB355" s="2">
        <f>COUNTIFS(集計用!$G353,"*, "&amp;AB$3&amp;", *")</f>
        <v>0</v>
      </c>
      <c r="AC355" s="2">
        <f>COUNTIFS(集計用!$G353,"*, "&amp;AC$3&amp;", *")</f>
        <v>0</v>
      </c>
      <c r="AD355" s="2">
        <f>COUNTIFS(集計用!$G353,"*, "&amp;AD$3&amp;", *")</f>
        <v>0</v>
      </c>
      <c r="AE355" s="2">
        <f>COUNTIFS(集計用!$G353,"*, "&amp;AE$3&amp;", *")</f>
        <v>0</v>
      </c>
      <c r="AF355" s="2">
        <f>COUNTIFS(集計用!$G353,"*, "&amp;AF$3&amp;", *")</f>
        <v>0</v>
      </c>
      <c r="AG355" s="2">
        <f>COUNTIFS(集計用!$G353,"*, "&amp;AG$3&amp;", *")</f>
        <v>0</v>
      </c>
      <c r="AH355" s="2">
        <f>COUNTIFS(集計用!$G353,"*, "&amp;AH$3&amp;", *")</f>
        <v>0</v>
      </c>
      <c r="AI355" s="2">
        <f>COUNTIFS(集計用!$G353,"*, "&amp;AI$3&amp;", *")</f>
        <v>0</v>
      </c>
      <c r="AJ355" s="2">
        <f>COUNTIFS(集計用!$G353,"*, "&amp;AJ$3&amp;", *")</f>
        <v>0</v>
      </c>
      <c r="AK355" s="2">
        <f>COUNTIFS(集計用!$G353,"*, "&amp;AK$3&amp;", *")</f>
        <v>0</v>
      </c>
      <c r="AL355" s="2">
        <f>COUNTIFS(集計用!$G353,"*, "&amp;AL$3&amp;", *")</f>
        <v>0</v>
      </c>
      <c r="AM355" s="2">
        <f>COUNTIFS(集計用!$G353,"*, "&amp;AM$3&amp;", *")</f>
        <v>0</v>
      </c>
      <c r="AN355" s="2">
        <f>COUNTIFS(集計用!$G353,"*, "&amp;AN$3&amp;", *")</f>
        <v>0</v>
      </c>
      <c r="AO355" s="2">
        <f>COUNTIFS(集計用!$G353,"*, "&amp;AO$3&amp;", *")</f>
        <v>0</v>
      </c>
      <c r="AP355" s="2">
        <f>COUNTIFS(集計用!$G353,"*, "&amp;AP$3&amp;", *")</f>
        <v>0</v>
      </c>
      <c r="AQ355" s="2">
        <f>COUNTIFS(集計用!$G353,"*, "&amp;AQ$3&amp;", *")</f>
        <v>0</v>
      </c>
      <c r="AR355" s="2">
        <f>COUNTIFS(集計用!$G353,"*, "&amp;AR$3&amp;", *")</f>
        <v>0</v>
      </c>
      <c r="AS355" s="2">
        <f>COUNTIFS(集計用!$G353,"*, "&amp;AS$3&amp;", *")</f>
        <v>0</v>
      </c>
      <c r="AT355" s="2">
        <f>COUNTIFS(集計用!$G353,"*, "&amp;AT$3&amp;", *")</f>
        <v>0</v>
      </c>
      <c r="AU355" s="2">
        <f>COUNTIFS(集計用!$G353,"*, "&amp;AU$3&amp;", *")</f>
        <v>0</v>
      </c>
      <c r="AV355" s="2">
        <f>COUNTIFS(集計用!$G353,"*, "&amp;AV$3&amp;", *")</f>
        <v>0</v>
      </c>
      <c r="AW355" s="2">
        <f>COUNTIFS(集計用!$G353,"*, "&amp;AW$3&amp;", *")</f>
        <v>0</v>
      </c>
      <c r="AX355" s="2">
        <f>COUNTIFS(集計用!$G353,"*, "&amp;AX$3&amp;", *")</f>
        <v>0</v>
      </c>
      <c r="AY355" s="2">
        <f>COUNTIFS(集計用!$G353,"*, "&amp;AY$3&amp;", *")</f>
        <v>0</v>
      </c>
      <c r="AZ355" s="2">
        <f>COUNTIFS(集計用!$G353,"*, "&amp;AZ$3&amp;", *")</f>
        <v>0</v>
      </c>
      <c r="BA355" s="2">
        <f>COUNTIFS(集計用!$G353,"*, "&amp;BA$3&amp;", *")</f>
        <v>0</v>
      </c>
      <c r="BB355" s="2">
        <f>COUNTIFS(集計用!$G353,"*, "&amp;BB$3&amp;", *")</f>
        <v>0</v>
      </c>
      <c r="BC355" s="2">
        <f>COUNTIFS(集計用!$G353,"*, "&amp;BC$3&amp;", *")</f>
        <v>0</v>
      </c>
      <c r="BD355" s="2">
        <f>COUNTIFS(集計用!$G353,"*, "&amp;BD$3&amp;", *")</f>
        <v>0</v>
      </c>
      <c r="BE355" s="2">
        <f>COUNTIFS(集計用!$G353,"*, "&amp;BE$3&amp;", *")</f>
        <v>0</v>
      </c>
      <c r="BF355" s="2">
        <f>COUNTIFS(集計用!$G353,"*, "&amp;BF$3&amp;", *")</f>
        <v>0</v>
      </c>
      <c r="BG355" s="2">
        <f>COUNTIFS(集計用!$G353,"*, "&amp;BG$3&amp;", *")</f>
        <v>0</v>
      </c>
      <c r="BH355" s="2">
        <f>COUNTIFS(集計用!$G353,"*, "&amp;BH$3&amp;", *")</f>
        <v>0</v>
      </c>
      <c r="BI355" s="2">
        <f>COUNTIFS(集計用!$G353,"*, "&amp;BI$3&amp;", *")</f>
        <v>0</v>
      </c>
      <c r="BJ355" s="2">
        <f>LEN(集計用!H353)-LEN(SUBSTITUTE(集計用!H353,",",""))</f>
        <v>0</v>
      </c>
    </row>
    <row r="356" spans="1:62" ht="12.75">
      <c r="A356" s="8">
        <v>353</v>
      </c>
      <c r="C356" s="2">
        <f t="shared" si="3"/>
        <v>3</v>
      </c>
      <c r="D356" s="9"/>
      <c r="E356" s="2">
        <f>COUNTIFS(集計用!$G354,"*, "&amp;E$3&amp;", *")</f>
        <v>0</v>
      </c>
      <c r="F356" s="2">
        <f>COUNTIFS(集計用!$G354,"*, "&amp;F$3&amp;", *")</f>
        <v>0</v>
      </c>
      <c r="G356" s="2">
        <f>COUNTIFS(集計用!$G354,"*, "&amp;G$3&amp;", *")</f>
        <v>0</v>
      </c>
      <c r="H356" s="2">
        <f>COUNTIFS(集計用!$G354,"*, "&amp;H$3&amp;", *")</f>
        <v>0</v>
      </c>
      <c r="I356" s="2">
        <f>COUNTIFS(集計用!$G354,"*, "&amp;I$3&amp;", *")</f>
        <v>1</v>
      </c>
      <c r="J356" s="2">
        <f>COUNTIFS(集計用!$G354,"*, "&amp;J$3&amp;", *")</f>
        <v>0</v>
      </c>
      <c r="K356" s="2">
        <f>COUNTIFS(集計用!$G354,"*, "&amp;K$3&amp;", *")</f>
        <v>0</v>
      </c>
      <c r="L356" s="2">
        <f>COUNTIFS(集計用!$G354,"*, "&amp;L$3&amp;", *")</f>
        <v>0</v>
      </c>
      <c r="M356" s="2">
        <f>COUNTIFS(集計用!$G354,"*, "&amp;M$3&amp;", *")</f>
        <v>0</v>
      </c>
      <c r="N356" s="2">
        <f>COUNTIFS(集計用!$G354,"*, "&amp;N$3&amp;", *")</f>
        <v>0</v>
      </c>
      <c r="O356" s="2">
        <f>COUNTIFS(集計用!$G354,"*, "&amp;O$3&amp;", *")</f>
        <v>1</v>
      </c>
      <c r="P356" s="2">
        <f>COUNTIFS(集計用!$G354,"*, "&amp;P$3&amp;", *")</f>
        <v>0</v>
      </c>
      <c r="Q356" s="2">
        <f>COUNTIFS(集計用!$G354,"*, "&amp;Q$3&amp;", *")</f>
        <v>0</v>
      </c>
      <c r="R356" s="2">
        <f>COUNTIFS(集計用!$G354,"*, "&amp;R$3&amp;", *")</f>
        <v>0</v>
      </c>
      <c r="S356" s="2">
        <f>COUNTIFS(集計用!$G354,"*, "&amp;S$3&amp;", *")</f>
        <v>0</v>
      </c>
      <c r="T356" s="2">
        <f>COUNTIFS(集計用!$G354,"*, "&amp;T$3&amp;", *")</f>
        <v>1</v>
      </c>
      <c r="U356" s="2">
        <f>COUNTIFS(集計用!$G354,"*, "&amp;U$3&amp;", *")</f>
        <v>0</v>
      </c>
      <c r="V356" s="2">
        <f>COUNTIFS(集計用!$G354,"*, "&amp;V$3&amp;", *")</f>
        <v>0</v>
      </c>
      <c r="W356" s="2">
        <f>COUNTIFS(集計用!$G354,"*, "&amp;W$3&amp;", *")</f>
        <v>0</v>
      </c>
      <c r="X356" s="2">
        <f>COUNTIFS(集計用!$G354,"*, "&amp;X$3&amp;", *")</f>
        <v>0</v>
      </c>
      <c r="Y356" s="2">
        <f>COUNTIFS(集計用!$G354,"*, "&amp;Y$3&amp;", *")</f>
        <v>0</v>
      </c>
      <c r="Z356" s="2">
        <f>COUNTIFS(集計用!$G354,"*, "&amp;Z$3&amp;", *")</f>
        <v>0</v>
      </c>
      <c r="AA356" s="2">
        <f>COUNTIFS(集計用!$G354,"*, "&amp;AA$3&amp;", *")</f>
        <v>0</v>
      </c>
      <c r="AB356" s="2">
        <f>COUNTIFS(集計用!$G354,"*, "&amp;AB$3&amp;", *")</f>
        <v>0</v>
      </c>
      <c r="AC356" s="2">
        <f>COUNTIFS(集計用!$G354,"*, "&amp;AC$3&amp;", *")</f>
        <v>0</v>
      </c>
      <c r="AD356" s="2">
        <f>COUNTIFS(集計用!$G354,"*, "&amp;AD$3&amp;", *")</f>
        <v>0</v>
      </c>
      <c r="AE356" s="2">
        <f>COUNTIFS(集計用!$G354,"*, "&amp;AE$3&amp;", *")</f>
        <v>0</v>
      </c>
      <c r="AF356" s="2">
        <f>COUNTIFS(集計用!$G354,"*, "&amp;AF$3&amp;", *")</f>
        <v>0</v>
      </c>
      <c r="AG356" s="2">
        <f>COUNTIFS(集計用!$G354,"*, "&amp;AG$3&amp;", *")</f>
        <v>0</v>
      </c>
      <c r="AH356" s="2">
        <f>COUNTIFS(集計用!$G354,"*, "&amp;AH$3&amp;", *")</f>
        <v>0</v>
      </c>
      <c r="AI356" s="2">
        <f>COUNTIFS(集計用!$G354,"*, "&amp;AI$3&amp;", *")</f>
        <v>0</v>
      </c>
      <c r="AJ356" s="2">
        <f>COUNTIFS(集計用!$G354,"*, "&amp;AJ$3&amp;", *")</f>
        <v>0</v>
      </c>
      <c r="AK356" s="2">
        <f>COUNTIFS(集計用!$G354,"*, "&amp;AK$3&amp;", *")</f>
        <v>0</v>
      </c>
      <c r="AL356" s="2">
        <f>COUNTIFS(集計用!$G354,"*, "&amp;AL$3&amp;", *")</f>
        <v>0</v>
      </c>
      <c r="AM356" s="2">
        <f>COUNTIFS(集計用!$G354,"*, "&amp;AM$3&amp;", *")</f>
        <v>0</v>
      </c>
      <c r="AN356" s="2">
        <f>COUNTIFS(集計用!$G354,"*, "&amp;AN$3&amp;", *")</f>
        <v>0</v>
      </c>
      <c r="AO356" s="2">
        <f>COUNTIFS(集計用!$G354,"*, "&amp;AO$3&amp;", *")</f>
        <v>0</v>
      </c>
      <c r="AP356" s="2">
        <f>COUNTIFS(集計用!$G354,"*, "&amp;AP$3&amp;", *")</f>
        <v>0</v>
      </c>
      <c r="AQ356" s="2">
        <f>COUNTIFS(集計用!$G354,"*, "&amp;AQ$3&amp;", *")</f>
        <v>0</v>
      </c>
      <c r="AR356" s="2">
        <f>COUNTIFS(集計用!$G354,"*, "&amp;AR$3&amp;", *")</f>
        <v>0</v>
      </c>
      <c r="AS356" s="2">
        <f>COUNTIFS(集計用!$G354,"*, "&amp;AS$3&amp;", *")</f>
        <v>0</v>
      </c>
      <c r="AT356" s="2">
        <f>COUNTIFS(集計用!$G354,"*, "&amp;AT$3&amp;", *")</f>
        <v>0</v>
      </c>
      <c r="AU356" s="2">
        <f>COUNTIFS(集計用!$G354,"*, "&amp;AU$3&amp;", *")</f>
        <v>0</v>
      </c>
      <c r="AV356" s="2">
        <f>COUNTIFS(集計用!$G354,"*, "&amp;AV$3&amp;", *")</f>
        <v>0</v>
      </c>
      <c r="AW356" s="2">
        <f>COUNTIFS(集計用!$G354,"*, "&amp;AW$3&amp;", *")</f>
        <v>0</v>
      </c>
      <c r="AX356" s="2">
        <f>COUNTIFS(集計用!$G354,"*, "&amp;AX$3&amp;", *")</f>
        <v>0</v>
      </c>
      <c r="AY356" s="2">
        <f>COUNTIFS(集計用!$G354,"*, "&amp;AY$3&amp;", *")</f>
        <v>0</v>
      </c>
      <c r="AZ356" s="2">
        <f>COUNTIFS(集計用!$G354,"*, "&amp;AZ$3&amp;", *")</f>
        <v>0</v>
      </c>
      <c r="BA356" s="2">
        <f>COUNTIFS(集計用!$G354,"*, "&amp;BA$3&amp;", *")</f>
        <v>0</v>
      </c>
      <c r="BB356" s="2">
        <f>COUNTIFS(集計用!$G354,"*, "&amp;BB$3&amp;", *")</f>
        <v>0</v>
      </c>
      <c r="BC356" s="2">
        <f>COUNTIFS(集計用!$G354,"*, "&amp;BC$3&amp;", *")</f>
        <v>0</v>
      </c>
      <c r="BD356" s="2">
        <f>COUNTIFS(集計用!$G354,"*, "&amp;BD$3&amp;", *")</f>
        <v>0</v>
      </c>
      <c r="BE356" s="2">
        <f>COUNTIFS(集計用!$G354,"*, "&amp;BE$3&amp;", *")</f>
        <v>0</v>
      </c>
      <c r="BF356" s="2">
        <f>COUNTIFS(集計用!$G354,"*, "&amp;BF$3&amp;", *")</f>
        <v>0</v>
      </c>
      <c r="BG356" s="2">
        <f>COUNTIFS(集計用!$G354,"*, "&amp;BG$3&amp;", *")</f>
        <v>0</v>
      </c>
      <c r="BH356" s="2">
        <f>COUNTIFS(集計用!$G354,"*, "&amp;BH$3&amp;", *")</f>
        <v>0</v>
      </c>
      <c r="BI356" s="2">
        <f>COUNTIFS(集計用!$G354,"*, "&amp;BI$3&amp;", *")</f>
        <v>0</v>
      </c>
      <c r="BJ356" s="2">
        <f>LEN(集計用!H354)-LEN(SUBSTITUTE(集計用!H354,",",""))</f>
        <v>0</v>
      </c>
    </row>
    <row r="357" spans="1:62" ht="12.75">
      <c r="A357" s="8">
        <v>354</v>
      </c>
      <c r="C357" s="2">
        <f t="shared" si="3"/>
        <v>1</v>
      </c>
      <c r="D357" s="9"/>
      <c r="E357" s="2">
        <f>COUNTIFS(集計用!$G355,"*, "&amp;E$3&amp;", *")</f>
        <v>1</v>
      </c>
      <c r="F357" s="2">
        <f>COUNTIFS(集計用!$G355,"*, "&amp;F$3&amp;", *")</f>
        <v>0</v>
      </c>
      <c r="G357" s="2">
        <f>COUNTIFS(集計用!$G355,"*, "&amp;G$3&amp;", *")</f>
        <v>0</v>
      </c>
      <c r="H357" s="2">
        <f>COUNTIFS(集計用!$G355,"*, "&amp;H$3&amp;", *")</f>
        <v>0</v>
      </c>
      <c r="I357" s="2">
        <f>COUNTIFS(集計用!$G355,"*, "&amp;I$3&amp;", *")</f>
        <v>0</v>
      </c>
      <c r="J357" s="2">
        <f>COUNTIFS(集計用!$G355,"*, "&amp;J$3&amp;", *")</f>
        <v>0</v>
      </c>
      <c r="K357" s="2">
        <f>COUNTIFS(集計用!$G355,"*, "&amp;K$3&amp;", *")</f>
        <v>0</v>
      </c>
      <c r="L357" s="2">
        <f>COUNTIFS(集計用!$G355,"*, "&amp;L$3&amp;", *")</f>
        <v>0</v>
      </c>
      <c r="M357" s="2">
        <f>COUNTIFS(集計用!$G355,"*, "&amp;M$3&amp;", *")</f>
        <v>0</v>
      </c>
      <c r="N357" s="2">
        <f>COUNTIFS(集計用!$G355,"*, "&amp;N$3&amp;", *")</f>
        <v>0</v>
      </c>
      <c r="O357" s="2">
        <f>COUNTIFS(集計用!$G355,"*, "&amp;O$3&amp;", *")</f>
        <v>0</v>
      </c>
      <c r="P357" s="2">
        <f>COUNTIFS(集計用!$G355,"*, "&amp;P$3&amp;", *")</f>
        <v>0</v>
      </c>
      <c r="Q357" s="2">
        <f>COUNTIFS(集計用!$G355,"*, "&amp;Q$3&amp;", *")</f>
        <v>0</v>
      </c>
      <c r="R357" s="2">
        <f>COUNTIFS(集計用!$G355,"*, "&amp;R$3&amp;", *")</f>
        <v>0</v>
      </c>
      <c r="S357" s="2">
        <f>COUNTIFS(集計用!$G355,"*, "&amp;S$3&amp;", *")</f>
        <v>0</v>
      </c>
      <c r="T357" s="2">
        <f>COUNTIFS(集計用!$G355,"*, "&amp;T$3&amp;", *")</f>
        <v>0</v>
      </c>
      <c r="U357" s="2">
        <f>COUNTIFS(集計用!$G355,"*, "&amp;U$3&amp;", *")</f>
        <v>0</v>
      </c>
      <c r="V357" s="2">
        <f>COUNTIFS(集計用!$G355,"*, "&amp;V$3&amp;", *")</f>
        <v>0</v>
      </c>
      <c r="W357" s="2">
        <f>COUNTIFS(集計用!$G355,"*, "&amp;W$3&amp;", *")</f>
        <v>0</v>
      </c>
      <c r="X357" s="2">
        <f>COUNTIFS(集計用!$G355,"*, "&amp;X$3&amp;", *")</f>
        <v>0</v>
      </c>
      <c r="Y357" s="2">
        <f>COUNTIFS(集計用!$G355,"*, "&amp;Y$3&amp;", *")</f>
        <v>0</v>
      </c>
      <c r="Z357" s="2">
        <f>COUNTIFS(集計用!$G355,"*, "&amp;Z$3&amp;", *")</f>
        <v>0</v>
      </c>
      <c r="AA357" s="2">
        <f>COUNTIFS(集計用!$G355,"*, "&amp;AA$3&amp;", *")</f>
        <v>0</v>
      </c>
      <c r="AB357" s="2">
        <f>COUNTIFS(集計用!$G355,"*, "&amp;AB$3&amp;", *")</f>
        <v>0</v>
      </c>
      <c r="AC357" s="2">
        <f>COUNTIFS(集計用!$G355,"*, "&amp;AC$3&amp;", *")</f>
        <v>0</v>
      </c>
      <c r="AD357" s="2">
        <f>COUNTIFS(集計用!$G355,"*, "&amp;AD$3&amp;", *")</f>
        <v>0</v>
      </c>
      <c r="AE357" s="2">
        <f>COUNTIFS(集計用!$G355,"*, "&amp;AE$3&amp;", *")</f>
        <v>0</v>
      </c>
      <c r="AF357" s="2">
        <f>COUNTIFS(集計用!$G355,"*, "&amp;AF$3&amp;", *")</f>
        <v>0</v>
      </c>
      <c r="AG357" s="2">
        <f>COUNTIFS(集計用!$G355,"*, "&amp;AG$3&amp;", *")</f>
        <v>0</v>
      </c>
      <c r="AH357" s="2">
        <f>COUNTIFS(集計用!$G355,"*, "&amp;AH$3&amp;", *")</f>
        <v>0</v>
      </c>
      <c r="AI357" s="2">
        <f>COUNTIFS(集計用!$G355,"*, "&amp;AI$3&amp;", *")</f>
        <v>0</v>
      </c>
      <c r="AJ357" s="2">
        <f>COUNTIFS(集計用!$G355,"*, "&amp;AJ$3&amp;", *")</f>
        <v>0</v>
      </c>
      <c r="AK357" s="2">
        <f>COUNTIFS(集計用!$G355,"*, "&amp;AK$3&amp;", *")</f>
        <v>0</v>
      </c>
      <c r="AL357" s="2">
        <f>COUNTIFS(集計用!$G355,"*, "&amp;AL$3&amp;", *")</f>
        <v>0</v>
      </c>
      <c r="AM357" s="2">
        <f>COUNTIFS(集計用!$G355,"*, "&amp;AM$3&amp;", *")</f>
        <v>0</v>
      </c>
      <c r="AN357" s="2">
        <f>COUNTIFS(集計用!$G355,"*, "&amp;AN$3&amp;", *")</f>
        <v>0</v>
      </c>
      <c r="AO357" s="2">
        <f>COUNTIFS(集計用!$G355,"*, "&amp;AO$3&amp;", *")</f>
        <v>0</v>
      </c>
      <c r="AP357" s="2">
        <f>COUNTIFS(集計用!$G355,"*, "&amp;AP$3&amp;", *")</f>
        <v>0</v>
      </c>
      <c r="AQ357" s="2">
        <f>COUNTIFS(集計用!$G355,"*, "&amp;AQ$3&amp;", *")</f>
        <v>0</v>
      </c>
      <c r="AR357" s="2">
        <f>COUNTIFS(集計用!$G355,"*, "&amp;AR$3&amp;", *")</f>
        <v>0</v>
      </c>
      <c r="AS357" s="2">
        <f>COUNTIFS(集計用!$G355,"*, "&amp;AS$3&amp;", *")</f>
        <v>0</v>
      </c>
      <c r="AT357" s="2">
        <f>COUNTIFS(集計用!$G355,"*, "&amp;AT$3&amp;", *")</f>
        <v>0</v>
      </c>
      <c r="AU357" s="2">
        <f>COUNTIFS(集計用!$G355,"*, "&amp;AU$3&amp;", *")</f>
        <v>0</v>
      </c>
      <c r="AV357" s="2">
        <f>COUNTIFS(集計用!$G355,"*, "&amp;AV$3&amp;", *")</f>
        <v>0</v>
      </c>
      <c r="AW357" s="2">
        <f>COUNTIFS(集計用!$G355,"*, "&amp;AW$3&amp;", *")</f>
        <v>0</v>
      </c>
      <c r="AX357" s="2">
        <f>COUNTIFS(集計用!$G355,"*, "&amp;AX$3&amp;", *")</f>
        <v>0</v>
      </c>
      <c r="AY357" s="2">
        <f>COUNTIFS(集計用!$G355,"*, "&amp;AY$3&amp;", *")</f>
        <v>0</v>
      </c>
      <c r="AZ357" s="2">
        <f>COUNTIFS(集計用!$G355,"*, "&amp;AZ$3&amp;", *")</f>
        <v>0</v>
      </c>
      <c r="BA357" s="2">
        <f>COUNTIFS(集計用!$G355,"*, "&amp;BA$3&amp;", *")</f>
        <v>0</v>
      </c>
      <c r="BB357" s="2">
        <f>COUNTIFS(集計用!$G355,"*, "&amp;BB$3&amp;", *")</f>
        <v>0</v>
      </c>
      <c r="BC357" s="2">
        <f>COUNTIFS(集計用!$G355,"*, "&amp;BC$3&amp;", *")</f>
        <v>0</v>
      </c>
      <c r="BD357" s="2">
        <f>COUNTIFS(集計用!$G355,"*, "&amp;BD$3&amp;", *")</f>
        <v>0</v>
      </c>
      <c r="BE357" s="2">
        <f>COUNTIFS(集計用!$G355,"*, "&amp;BE$3&amp;", *")</f>
        <v>0</v>
      </c>
      <c r="BF357" s="2">
        <f>COUNTIFS(集計用!$G355,"*, "&amp;BF$3&amp;", *")</f>
        <v>0</v>
      </c>
      <c r="BG357" s="2">
        <f>COUNTIFS(集計用!$G355,"*, "&amp;BG$3&amp;", *")</f>
        <v>0</v>
      </c>
      <c r="BH357" s="2">
        <f>COUNTIFS(集計用!$G355,"*, "&amp;BH$3&amp;", *")</f>
        <v>0</v>
      </c>
      <c r="BI357" s="2">
        <f>COUNTIFS(集計用!$G355,"*, "&amp;BI$3&amp;", *")</f>
        <v>0</v>
      </c>
      <c r="BJ357" s="2">
        <f>LEN(集計用!H355)-LEN(SUBSTITUTE(集計用!H355,",",""))</f>
        <v>0</v>
      </c>
    </row>
    <row r="358" spans="1:62" ht="12.75">
      <c r="A358" s="8">
        <v>355</v>
      </c>
      <c r="C358" s="2">
        <f t="shared" si="3"/>
        <v>6</v>
      </c>
      <c r="D358" s="9"/>
      <c r="E358" s="2">
        <f>COUNTIFS(集計用!$G356,"*, "&amp;E$3&amp;", *")</f>
        <v>0</v>
      </c>
      <c r="F358" s="2">
        <f>COUNTIFS(集計用!$G356,"*, "&amp;F$3&amp;", *")</f>
        <v>0</v>
      </c>
      <c r="G358" s="2">
        <f>COUNTIFS(集計用!$G356,"*, "&amp;G$3&amp;", *")</f>
        <v>0</v>
      </c>
      <c r="H358" s="2">
        <f>COUNTIFS(集計用!$G356,"*, "&amp;H$3&amp;", *")</f>
        <v>0</v>
      </c>
      <c r="I358" s="2">
        <f>COUNTIFS(集計用!$G356,"*, "&amp;I$3&amp;", *")</f>
        <v>1</v>
      </c>
      <c r="J358" s="2">
        <f>COUNTIFS(集計用!$G356,"*, "&amp;J$3&amp;", *")</f>
        <v>0</v>
      </c>
      <c r="K358" s="2">
        <f>COUNTIFS(集計用!$G356,"*, "&amp;K$3&amp;", *")</f>
        <v>0</v>
      </c>
      <c r="L358" s="2">
        <f>COUNTIFS(集計用!$G356,"*, "&amp;L$3&amp;", *")</f>
        <v>0</v>
      </c>
      <c r="M358" s="2">
        <f>COUNTIFS(集計用!$G356,"*, "&amp;M$3&amp;", *")</f>
        <v>0</v>
      </c>
      <c r="N358" s="2">
        <f>COUNTIFS(集計用!$G356,"*, "&amp;N$3&amp;", *")</f>
        <v>0</v>
      </c>
      <c r="O358" s="2">
        <f>COUNTIFS(集計用!$G356,"*, "&amp;O$3&amp;", *")</f>
        <v>0</v>
      </c>
      <c r="P358" s="2">
        <f>COUNTIFS(集計用!$G356,"*, "&amp;P$3&amp;", *")</f>
        <v>1</v>
      </c>
      <c r="Q358" s="2">
        <f>COUNTIFS(集計用!$G356,"*, "&amp;Q$3&amp;", *")</f>
        <v>1</v>
      </c>
      <c r="R358" s="2">
        <f>COUNTIFS(集計用!$G356,"*, "&amp;R$3&amp;", *")</f>
        <v>1</v>
      </c>
      <c r="S358" s="2">
        <f>COUNTIFS(集計用!$G356,"*, "&amp;S$3&amp;", *")</f>
        <v>0</v>
      </c>
      <c r="T358" s="2">
        <f>COUNTIFS(集計用!$G356,"*, "&amp;T$3&amp;", *")</f>
        <v>1</v>
      </c>
      <c r="U358" s="2">
        <f>COUNTIFS(集計用!$G356,"*, "&amp;U$3&amp;", *")</f>
        <v>0</v>
      </c>
      <c r="V358" s="2">
        <f>COUNTIFS(集計用!$G356,"*, "&amp;V$3&amp;", *")</f>
        <v>0</v>
      </c>
      <c r="W358" s="2">
        <f>COUNTIFS(集計用!$G356,"*, "&amp;W$3&amp;", *")</f>
        <v>0</v>
      </c>
      <c r="X358" s="2">
        <f>COUNTIFS(集計用!$G356,"*, "&amp;X$3&amp;", *")</f>
        <v>1</v>
      </c>
      <c r="Y358" s="2">
        <f>COUNTIFS(集計用!$G356,"*, "&amp;Y$3&amp;", *")</f>
        <v>0</v>
      </c>
      <c r="Z358" s="2">
        <f>COUNTIFS(集計用!$G356,"*, "&amp;Z$3&amp;", *")</f>
        <v>0</v>
      </c>
      <c r="AA358" s="2">
        <f>COUNTIFS(集計用!$G356,"*, "&amp;AA$3&amp;", *")</f>
        <v>0</v>
      </c>
      <c r="AB358" s="2">
        <f>COUNTIFS(集計用!$G356,"*, "&amp;AB$3&amp;", *")</f>
        <v>0</v>
      </c>
      <c r="AC358" s="2">
        <f>COUNTIFS(集計用!$G356,"*, "&amp;AC$3&amp;", *")</f>
        <v>0</v>
      </c>
      <c r="AD358" s="2">
        <f>COUNTIFS(集計用!$G356,"*, "&amp;AD$3&amp;", *")</f>
        <v>0</v>
      </c>
      <c r="AE358" s="2">
        <f>COUNTIFS(集計用!$G356,"*, "&amp;AE$3&amp;", *")</f>
        <v>0</v>
      </c>
      <c r="AF358" s="2">
        <f>COUNTIFS(集計用!$G356,"*, "&amp;AF$3&amp;", *")</f>
        <v>0</v>
      </c>
      <c r="AG358" s="2">
        <f>COUNTIFS(集計用!$G356,"*, "&amp;AG$3&amp;", *")</f>
        <v>0</v>
      </c>
      <c r="AH358" s="2">
        <f>COUNTIFS(集計用!$G356,"*, "&amp;AH$3&amp;", *")</f>
        <v>0</v>
      </c>
      <c r="AI358" s="2">
        <f>COUNTIFS(集計用!$G356,"*, "&amp;AI$3&amp;", *")</f>
        <v>0</v>
      </c>
      <c r="AJ358" s="2">
        <f>COUNTIFS(集計用!$G356,"*, "&amp;AJ$3&amp;", *")</f>
        <v>0</v>
      </c>
      <c r="AK358" s="2">
        <f>COUNTIFS(集計用!$G356,"*, "&amp;AK$3&amp;", *")</f>
        <v>0</v>
      </c>
      <c r="AL358" s="2">
        <f>COUNTIFS(集計用!$G356,"*, "&amp;AL$3&amp;", *")</f>
        <v>0</v>
      </c>
      <c r="AM358" s="2">
        <f>COUNTIFS(集計用!$G356,"*, "&amp;AM$3&amp;", *")</f>
        <v>0</v>
      </c>
      <c r="AN358" s="2">
        <f>COUNTIFS(集計用!$G356,"*, "&amp;AN$3&amp;", *")</f>
        <v>0</v>
      </c>
      <c r="AO358" s="2">
        <f>COUNTIFS(集計用!$G356,"*, "&amp;AO$3&amp;", *")</f>
        <v>0</v>
      </c>
      <c r="AP358" s="2">
        <f>COUNTIFS(集計用!$G356,"*, "&amp;AP$3&amp;", *")</f>
        <v>0</v>
      </c>
      <c r="AQ358" s="2">
        <f>COUNTIFS(集計用!$G356,"*, "&amp;AQ$3&amp;", *")</f>
        <v>0</v>
      </c>
      <c r="AR358" s="2">
        <f>COUNTIFS(集計用!$G356,"*, "&amp;AR$3&amp;", *")</f>
        <v>0</v>
      </c>
      <c r="AS358" s="2">
        <f>COUNTIFS(集計用!$G356,"*, "&amp;AS$3&amp;", *")</f>
        <v>0</v>
      </c>
      <c r="AT358" s="2">
        <f>COUNTIFS(集計用!$G356,"*, "&amp;AT$3&amp;", *")</f>
        <v>0</v>
      </c>
      <c r="AU358" s="2">
        <f>COUNTIFS(集計用!$G356,"*, "&amp;AU$3&amp;", *")</f>
        <v>0</v>
      </c>
      <c r="AV358" s="2">
        <f>COUNTIFS(集計用!$G356,"*, "&amp;AV$3&amp;", *")</f>
        <v>0</v>
      </c>
      <c r="AW358" s="2">
        <f>COUNTIFS(集計用!$G356,"*, "&amp;AW$3&amp;", *")</f>
        <v>0</v>
      </c>
      <c r="AX358" s="2">
        <f>COUNTIFS(集計用!$G356,"*, "&amp;AX$3&amp;", *")</f>
        <v>0</v>
      </c>
      <c r="AY358" s="2">
        <f>COUNTIFS(集計用!$G356,"*, "&amp;AY$3&amp;", *")</f>
        <v>0</v>
      </c>
      <c r="AZ358" s="2">
        <f>COUNTIFS(集計用!$G356,"*, "&amp;AZ$3&amp;", *")</f>
        <v>0</v>
      </c>
      <c r="BA358" s="2">
        <f>COUNTIFS(集計用!$G356,"*, "&amp;BA$3&amp;", *")</f>
        <v>0</v>
      </c>
      <c r="BB358" s="2">
        <f>COUNTIFS(集計用!$G356,"*, "&amp;BB$3&amp;", *")</f>
        <v>0</v>
      </c>
      <c r="BC358" s="2">
        <f>COUNTIFS(集計用!$G356,"*, "&amp;BC$3&amp;", *")</f>
        <v>0</v>
      </c>
      <c r="BD358" s="2">
        <f>COUNTIFS(集計用!$G356,"*, "&amp;BD$3&amp;", *")</f>
        <v>0</v>
      </c>
      <c r="BE358" s="2">
        <f>COUNTIFS(集計用!$G356,"*, "&amp;BE$3&amp;", *")</f>
        <v>0</v>
      </c>
      <c r="BF358" s="2">
        <f>COUNTIFS(集計用!$G356,"*, "&amp;BF$3&amp;", *")</f>
        <v>0</v>
      </c>
      <c r="BG358" s="2">
        <f>COUNTIFS(集計用!$G356,"*, "&amp;BG$3&amp;", *")</f>
        <v>0</v>
      </c>
      <c r="BH358" s="2">
        <f>COUNTIFS(集計用!$G356,"*, "&amp;BH$3&amp;", *")</f>
        <v>0</v>
      </c>
      <c r="BI358" s="2">
        <f>COUNTIFS(集計用!$G356,"*, "&amp;BI$3&amp;", *")</f>
        <v>0</v>
      </c>
      <c r="BJ358" s="2">
        <f>LEN(集計用!H356)-LEN(SUBSTITUTE(集計用!H356,",",""))</f>
        <v>0</v>
      </c>
    </row>
    <row r="359" spans="1:62" ht="12.75">
      <c r="A359" s="8">
        <v>356</v>
      </c>
      <c r="C359" s="2">
        <f t="shared" si="3"/>
        <v>5</v>
      </c>
      <c r="D359" s="9"/>
      <c r="E359" s="2">
        <f>COUNTIFS(集計用!$G357,"*, "&amp;E$3&amp;", *")</f>
        <v>0</v>
      </c>
      <c r="F359" s="2">
        <f>COUNTIFS(集計用!$G357,"*, "&amp;F$3&amp;", *")</f>
        <v>0</v>
      </c>
      <c r="G359" s="2">
        <f>COUNTIFS(集計用!$G357,"*, "&amp;G$3&amp;", *")</f>
        <v>0</v>
      </c>
      <c r="H359" s="2">
        <f>COUNTIFS(集計用!$G357,"*, "&amp;H$3&amp;", *")</f>
        <v>0</v>
      </c>
      <c r="I359" s="2">
        <f>COUNTIFS(集計用!$G357,"*, "&amp;I$3&amp;", *")</f>
        <v>0</v>
      </c>
      <c r="J359" s="2">
        <f>COUNTIFS(集計用!$G357,"*, "&amp;J$3&amp;", *")</f>
        <v>0</v>
      </c>
      <c r="K359" s="2">
        <f>COUNTIFS(集計用!$G357,"*, "&amp;K$3&amp;", *")</f>
        <v>0</v>
      </c>
      <c r="L359" s="2">
        <f>COUNTIFS(集計用!$G357,"*, "&amp;L$3&amp;", *")</f>
        <v>0</v>
      </c>
      <c r="M359" s="2">
        <f>COUNTIFS(集計用!$G357,"*, "&amp;M$3&amp;", *")</f>
        <v>0</v>
      </c>
      <c r="N359" s="2">
        <f>COUNTIFS(集計用!$G357,"*, "&amp;N$3&amp;", *")</f>
        <v>0</v>
      </c>
      <c r="O359" s="2">
        <f>COUNTIFS(集計用!$G357,"*, "&amp;O$3&amp;", *")</f>
        <v>1</v>
      </c>
      <c r="P359" s="2">
        <f>COUNTIFS(集計用!$G357,"*, "&amp;P$3&amp;", *")</f>
        <v>0</v>
      </c>
      <c r="Q359" s="2">
        <f>COUNTIFS(集計用!$G357,"*, "&amp;Q$3&amp;", *")</f>
        <v>0</v>
      </c>
      <c r="R359" s="2">
        <f>COUNTIFS(集計用!$G357,"*, "&amp;R$3&amp;", *")</f>
        <v>0</v>
      </c>
      <c r="S359" s="2">
        <f>COUNTIFS(集計用!$G357,"*, "&amp;S$3&amp;", *")</f>
        <v>0</v>
      </c>
      <c r="T359" s="2">
        <f>COUNTIFS(集計用!$G357,"*, "&amp;T$3&amp;", *")</f>
        <v>0</v>
      </c>
      <c r="U359" s="2">
        <f>COUNTIFS(集計用!$G357,"*, "&amp;U$3&amp;", *")</f>
        <v>1</v>
      </c>
      <c r="V359" s="2">
        <f>COUNTIFS(集計用!$G357,"*, "&amp;V$3&amp;", *")</f>
        <v>0</v>
      </c>
      <c r="W359" s="2">
        <f>COUNTIFS(集計用!$G357,"*, "&amp;W$3&amp;", *")</f>
        <v>0</v>
      </c>
      <c r="X359" s="2">
        <f>COUNTIFS(集計用!$G357,"*, "&amp;X$3&amp;", *")</f>
        <v>0</v>
      </c>
      <c r="Y359" s="2">
        <f>COUNTIFS(集計用!$G357,"*, "&amp;Y$3&amp;", *")</f>
        <v>0</v>
      </c>
      <c r="Z359" s="2">
        <f>COUNTIFS(集計用!$G357,"*, "&amp;Z$3&amp;", *")</f>
        <v>1</v>
      </c>
      <c r="AA359" s="2">
        <f>COUNTIFS(集計用!$G357,"*, "&amp;AA$3&amp;", *")</f>
        <v>0</v>
      </c>
      <c r="AB359" s="2">
        <f>COUNTIFS(集計用!$G357,"*, "&amp;AB$3&amp;", *")</f>
        <v>0</v>
      </c>
      <c r="AC359" s="2">
        <f>COUNTIFS(集計用!$G357,"*, "&amp;AC$3&amp;", *")</f>
        <v>0</v>
      </c>
      <c r="AD359" s="2">
        <f>COUNTIFS(集計用!$G357,"*, "&amp;AD$3&amp;", *")</f>
        <v>0</v>
      </c>
      <c r="AE359" s="2">
        <f>COUNTIFS(集計用!$G357,"*, "&amp;AE$3&amp;", *")</f>
        <v>0</v>
      </c>
      <c r="AF359" s="2">
        <f>COUNTIFS(集計用!$G357,"*, "&amp;AF$3&amp;", *")</f>
        <v>0</v>
      </c>
      <c r="AG359" s="2">
        <f>COUNTIFS(集計用!$G357,"*, "&amp;AG$3&amp;", *")</f>
        <v>1</v>
      </c>
      <c r="AH359" s="2">
        <f>COUNTIFS(集計用!$G357,"*, "&amp;AH$3&amp;", *")</f>
        <v>0</v>
      </c>
      <c r="AI359" s="2">
        <f>COUNTIFS(集計用!$G357,"*, "&amp;AI$3&amp;", *")</f>
        <v>1</v>
      </c>
      <c r="AJ359" s="2">
        <f>COUNTIFS(集計用!$G357,"*, "&amp;AJ$3&amp;", *")</f>
        <v>0</v>
      </c>
      <c r="AK359" s="2">
        <f>COUNTIFS(集計用!$G357,"*, "&amp;AK$3&amp;", *")</f>
        <v>0</v>
      </c>
      <c r="AL359" s="2">
        <f>COUNTIFS(集計用!$G357,"*, "&amp;AL$3&amp;", *")</f>
        <v>0</v>
      </c>
      <c r="AM359" s="2">
        <f>COUNTIFS(集計用!$G357,"*, "&amp;AM$3&amp;", *")</f>
        <v>0</v>
      </c>
      <c r="AN359" s="2">
        <f>COUNTIFS(集計用!$G357,"*, "&amp;AN$3&amp;", *")</f>
        <v>0</v>
      </c>
      <c r="AO359" s="2">
        <f>COUNTIFS(集計用!$G357,"*, "&amp;AO$3&amp;", *")</f>
        <v>0</v>
      </c>
      <c r="AP359" s="2">
        <f>COUNTIFS(集計用!$G357,"*, "&amp;AP$3&amp;", *")</f>
        <v>0</v>
      </c>
      <c r="AQ359" s="2">
        <f>COUNTIFS(集計用!$G357,"*, "&amp;AQ$3&amp;", *")</f>
        <v>0</v>
      </c>
      <c r="AR359" s="2">
        <f>COUNTIFS(集計用!$G357,"*, "&amp;AR$3&amp;", *")</f>
        <v>0</v>
      </c>
      <c r="AS359" s="2">
        <f>COUNTIFS(集計用!$G357,"*, "&amp;AS$3&amp;", *")</f>
        <v>0</v>
      </c>
      <c r="AT359" s="2">
        <f>COUNTIFS(集計用!$G357,"*, "&amp;AT$3&amp;", *")</f>
        <v>0</v>
      </c>
      <c r="AU359" s="2">
        <f>COUNTIFS(集計用!$G357,"*, "&amp;AU$3&amp;", *")</f>
        <v>0</v>
      </c>
      <c r="AV359" s="2">
        <f>COUNTIFS(集計用!$G357,"*, "&amp;AV$3&amp;", *")</f>
        <v>0</v>
      </c>
      <c r="AW359" s="2">
        <f>COUNTIFS(集計用!$G357,"*, "&amp;AW$3&amp;", *")</f>
        <v>0</v>
      </c>
      <c r="AX359" s="2">
        <f>COUNTIFS(集計用!$G357,"*, "&amp;AX$3&amp;", *")</f>
        <v>0</v>
      </c>
      <c r="AY359" s="2">
        <f>COUNTIFS(集計用!$G357,"*, "&amp;AY$3&amp;", *")</f>
        <v>0</v>
      </c>
      <c r="AZ359" s="2">
        <f>COUNTIFS(集計用!$G357,"*, "&amp;AZ$3&amp;", *")</f>
        <v>0</v>
      </c>
      <c r="BA359" s="2">
        <f>COUNTIFS(集計用!$G357,"*, "&amp;BA$3&amp;", *")</f>
        <v>0</v>
      </c>
      <c r="BB359" s="2">
        <f>COUNTIFS(集計用!$G357,"*, "&amp;BB$3&amp;", *")</f>
        <v>0</v>
      </c>
      <c r="BC359" s="2">
        <f>COUNTIFS(集計用!$G357,"*, "&amp;BC$3&amp;", *")</f>
        <v>0</v>
      </c>
      <c r="BD359" s="2">
        <f>COUNTIFS(集計用!$G357,"*, "&amp;BD$3&amp;", *")</f>
        <v>0</v>
      </c>
      <c r="BE359" s="2">
        <f>COUNTIFS(集計用!$G357,"*, "&amp;BE$3&amp;", *")</f>
        <v>0</v>
      </c>
      <c r="BF359" s="2">
        <f>COUNTIFS(集計用!$G357,"*, "&amp;BF$3&amp;", *")</f>
        <v>0</v>
      </c>
      <c r="BG359" s="2">
        <f>COUNTIFS(集計用!$G357,"*, "&amp;BG$3&amp;", *")</f>
        <v>0</v>
      </c>
      <c r="BH359" s="2">
        <f>COUNTIFS(集計用!$G357,"*, "&amp;BH$3&amp;", *")</f>
        <v>0</v>
      </c>
      <c r="BI359" s="2">
        <f>COUNTIFS(集計用!$G357,"*, "&amp;BI$3&amp;", *")</f>
        <v>0</v>
      </c>
      <c r="BJ359" s="2">
        <f>LEN(集計用!H357)-LEN(SUBSTITUTE(集計用!H357,",",""))</f>
        <v>0</v>
      </c>
    </row>
    <row r="360" spans="1:62" ht="12.75">
      <c r="A360" s="8">
        <v>357</v>
      </c>
      <c r="C360" s="2">
        <f t="shared" si="3"/>
        <v>1</v>
      </c>
      <c r="D360" s="9"/>
      <c r="E360" s="2">
        <f>COUNTIFS(集計用!$G358,"*, "&amp;E$3&amp;", *")</f>
        <v>0</v>
      </c>
      <c r="F360" s="2">
        <f>COUNTIFS(集計用!$G358,"*, "&amp;F$3&amp;", *")</f>
        <v>0</v>
      </c>
      <c r="G360" s="2">
        <f>COUNTIFS(集計用!$G358,"*, "&amp;G$3&amp;", *")</f>
        <v>0</v>
      </c>
      <c r="H360" s="2">
        <f>COUNTIFS(集計用!$G358,"*, "&amp;H$3&amp;", *")</f>
        <v>0</v>
      </c>
      <c r="I360" s="2">
        <f>COUNTIFS(集計用!$G358,"*, "&amp;I$3&amp;", *")</f>
        <v>0</v>
      </c>
      <c r="J360" s="2">
        <f>COUNTIFS(集計用!$G358,"*, "&amp;J$3&amp;", *")</f>
        <v>0</v>
      </c>
      <c r="K360" s="2">
        <f>COUNTIFS(集計用!$G358,"*, "&amp;K$3&amp;", *")</f>
        <v>0</v>
      </c>
      <c r="L360" s="2">
        <f>COUNTIFS(集計用!$G358,"*, "&amp;L$3&amp;", *")</f>
        <v>0</v>
      </c>
      <c r="M360" s="2">
        <f>COUNTIFS(集計用!$G358,"*, "&amp;M$3&amp;", *")</f>
        <v>0</v>
      </c>
      <c r="N360" s="2">
        <f>COUNTIFS(集計用!$G358,"*, "&amp;N$3&amp;", *")</f>
        <v>0</v>
      </c>
      <c r="O360" s="2">
        <f>COUNTIFS(集計用!$G358,"*, "&amp;O$3&amp;", *")</f>
        <v>0</v>
      </c>
      <c r="P360" s="2">
        <f>COUNTIFS(集計用!$G358,"*, "&amp;P$3&amp;", *")</f>
        <v>1</v>
      </c>
      <c r="Q360" s="2">
        <f>COUNTIFS(集計用!$G358,"*, "&amp;Q$3&amp;", *")</f>
        <v>0</v>
      </c>
      <c r="R360" s="2">
        <f>COUNTIFS(集計用!$G358,"*, "&amp;R$3&amp;", *")</f>
        <v>0</v>
      </c>
      <c r="S360" s="2">
        <f>COUNTIFS(集計用!$G358,"*, "&amp;S$3&amp;", *")</f>
        <v>0</v>
      </c>
      <c r="T360" s="2">
        <f>COUNTIFS(集計用!$G358,"*, "&amp;T$3&amp;", *")</f>
        <v>0</v>
      </c>
      <c r="U360" s="2">
        <f>COUNTIFS(集計用!$G358,"*, "&amp;U$3&amp;", *")</f>
        <v>0</v>
      </c>
      <c r="V360" s="2">
        <f>COUNTIFS(集計用!$G358,"*, "&amp;V$3&amp;", *")</f>
        <v>0</v>
      </c>
      <c r="W360" s="2">
        <f>COUNTIFS(集計用!$G358,"*, "&amp;W$3&amp;", *")</f>
        <v>0</v>
      </c>
      <c r="X360" s="2">
        <f>COUNTIFS(集計用!$G358,"*, "&amp;X$3&amp;", *")</f>
        <v>0</v>
      </c>
      <c r="Y360" s="2">
        <f>COUNTIFS(集計用!$G358,"*, "&amp;Y$3&amp;", *")</f>
        <v>0</v>
      </c>
      <c r="Z360" s="2">
        <f>COUNTIFS(集計用!$G358,"*, "&amp;Z$3&amp;", *")</f>
        <v>0</v>
      </c>
      <c r="AA360" s="2">
        <f>COUNTIFS(集計用!$G358,"*, "&amp;AA$3&amp;", *")</f>
        <v>0</v>
      </c>
      <c r="AB360" s="2">
        <f>COUNTIFS(集計用!$G358,"*, "&amp;AB$3&amp;", *")</f>
        <v>0</v>
      </c>
      <c r="AC360" s="2">
        <f>COUNTIFS(集計用!$G358,"*, "&amp;AC$3&amp;", *")</f>
        <v>0</v>
      </c>
      <c r="AD360" s="2">
        <f>COUNTIFS(集計用!$G358,"*, "&amp;AD$3&amp;", *")</f>
        <v>0</v>
      </c>
      <c r="AE360" s="2">
        <f>COUNTIFS(集計用!$G358,"*, "&amp;AE$3&amp;", *")</f>
        <v>0</v>
      </c>
      <c r="AF360" s="2">
        <f>COUNTIFS(集計用!$G358,"*, "&amp;AF$3&amp;", *")</f>
        <v>0</v>
      </c>
      <c r="AG360" s="2">
        <f>COUNTIFS(集計用!$G358,"*, "&amp;AG$3&amp;", *")</f>
        <v>0</v>
      </c>
      <c r="AH360" s="2">
        <f>COUNTIFS(集計用!$G358,"*, "&amp;AH$3&amp;", *")</f>
        <v>0</v>
      </c>
      <c r="AI360" s="2">
        <f>COUNTIFS(集計用!$G358,"*, "&amp;AI$3&amp;", *")</f>
        <v>0</v>
      </c>
      <c r="AJ360" s="2">
        <f>COUNTIFS(集計用!$G358,"*, "&amp;AJ$3&amp;", *")</f>
        <v>0</v>
      </c>
      <c r="AK360" s="2">
        <f>COUNTIFS(集計用!$G358,"*, "&amp;AK$3&amp;", *")</f>
        <v>0</v>
      </c>
      <c r="AL360" s="2">
        <f>COUNTIFS(集計用!$G358,"*, "&amp;AL$3&amp;", *")</f>
        <v>0</v>
      </c>
      <c r="AM360" s="2">
        <f>COUNTIFS(集計用!$G358,"*, "&amp;AM$3&amp;", *")</f>
        <v>0</v>
      </c>
      <c r="AN360" s="2">
        <f>COUNTIFS(集計用!$G358,"*, "&amp;AN$3&amp;", *")</f>
        <v>0</v>
      </c>
      <c r="AO360" s="2">
        <f>COUNTIFS(集計用!$G358,"*, "&amp;AO$3&amp;", *")</f>
        <v>0</v>
      </c>
      <c r="AP360" s="2">
        <f>COUNTIFS(集計用!$G358,"*, "&amp;AP$3&amp;", *")</f>
        <v>0</v>
      </c>
      <c r="AQ360" s="2">
        <f>COUNTIFS(集計用!$G358,"*, "&amp;AQ$3&amp;", *")</f>
        <v>0</v>
      </c>
      <c r="AR360" s="2">
        <f>COUNTIFS(集計用!$G358,"*, "&amp;AR$3&amp;", *")</f>
        <v>0</v>
      </c>
      <c r="AS360" s="2">
        <f>COUNTIFS(集計用!$G358,"*, "&amp;AS$3&amp;", *")</f>
        <v>0</v>
      </c>
      <c r="AT360" s="2">
        <f>COUNTIFS(集計用!$G358,"*, "&amp;AT$3&amp;", *")</f>
        <v>0</v>
      </c>
      <c r="AU360" s="2">
        <f>COUNTIFS(集計用!$G358,"*, "&amp;AU$3&amp;", *")</f>
        <v>0</v>
      </c>
      <c r="AV360" s="2">
        <f>COUNTIFS(集計用!$G358,"*, "&amp;AV$3&amp;", *")</f>
        <v>0</v>
      </c>
      <c r="AW360" s="2">
        <f>COUNTIFS(集計用!$G358,"*, "&amp;AW$3&amp;", *")</f>
        <v>0</v>
      </c>
      <c r="AX360" s="2">
        <f>COUNTIFS(集計用!$G358,"*, "&amp;AX$3&amp;", *")</f>
        <v>0</v>
      </c>
      <c r="AY360" s="2">
        <f>COUNTIFS(集計用!$G358,"*, "&amp;AY$3&amp;", *")</f>
        <v>0</v>
      </c>
      <c r="AZ360" s="2">
        <f>COUNTIFS(集計用!$G358,"*, "&amp;AZ$3&amp;", *")</f>
        <v>0</v>
      </c>
      <c r="BA360" s="2">
        <f>COUNTIFS(集計用!$G358,"*, "&amp;BA$3&amp;", *")</f>
        <v>0</v>
      </c>
      <c r="BB360" s="2">
        <f>COUNTIFS(集計用!$G358,"*, "&amp;BB$3&amp;", *")</f>
        <v>0</v>
      </c>
      <c r="BC360" s="2">
        <f>COUNTIFS(集計用!$G358,"*, "&amp;BC$3&amp;", *")</f>
        <v>0</v>
      </c>
      <c r="BD360" s="2">
        <f>COUNTIFS(集計用!$G358,"*, "&amp;BD$3&amp;", *")</f>
        <v>0</v>
      </c>
      <c r="BE360" s="2">
        <f>COUNTIFS(集計用!$G358,"*, "&amp;BE$3&amp;", *")</f>
        <v>0</v>
      </c>
      <c r="BF360" s="2">
        <f>COUNTIFS(集計用!$G358,"*, "&amp;BF$3&amp;", *")</f>
        <v>0</v>
      </c>
      <c r="BG360" s="2">
        <f>COUNTIFS(集計用!$G358,"*, "&amp;BG$3&amp;", *")</f>
        <v>0</v>
      </c>
      <c r="BH360" s="2">
        <f>COUNTIFS(集計用!$G358,"*, "&amp;BH$3&amp;", *")</f>
        <v>0</v>
      </c>
      <c r="BI360" s="2">
        <f>COUNTIFS(集計用!$G358,"*, "&amp;BI$3&amp;", *")</f>
        <v>0</v>
      </c>
      <c r="BJ360" s="2">
        <f>LEN(集計用!H358)-LEN(SUBSTITUTE(集計用!H358,",",""))</f>
        <v>0</v>
      </c>
    </row>
    <row r="361" spans="1:62" ht="12.75">
      <c r="A361" s="8">
        <v>358</v>
      </c>
      <c r="C361" s="2">
        <f t="shared" si="3"/>
        <v>4</v>
      </c>
      <c r="D361" s="9"/>
      <c r="E361" s="2">
        <f>COUNTIFS(集計用!$G359,"*, "&amp;E$3&amp;", *")</f>
        <v>1</v>
      </c>
      <c r="F361" s="2">
        <f>COUNTIFS(集計用!$G359,"*, "&amp;F$3&amp;", *")</f>
        <v>1</v>
      </c>
      <c r="G361" s="2">
        <f>COUNTIFS(集計用!$G359,"*, "&amp;G$3&amp;", *")</f>
        <v>0</v>
      </c>
      <c r="H361" s="2">
        <f>COUNTIFS(集計用!$G359,"*, "&amp;H$3&amp;", *")</f>
        <v>0</v>
      </c>
      <c r="I361" s="2">
        <f>COUNTIFS(集計用!$G359,"*, "&amp;I$3&amp;", *")</f>
        <v>1</v>
      </c>
      <c r="J361" s="2">
        <f>COUNTIFS(集計用!$G359,"*, "&amp;J$3&amp;", *")</f>
        <v>0</v>
      </c>
      <c r="K361" s="2">
        <f>COUNTIFS(集計用!$G359,"*, "&amp;K$3&amp;", *")</f>
        <v>0</v>
      </c>
      <c r="L361" s="2">
        <f>COUNTIFS(集計用!$G359,"*, "&amp;L$3&amp;", *")</f>
        <v>0</v>
      </c>
      <c r="M361" s="2">
        <f>COUNTIFS(集計用!$G359,"*, "&amp;M$3&amp;", *")</f>
        <v>0</v>
      </c>
      <c r="N361" s="2">
        <f>COUNTIFS(集計用!$G359,"*, "&amp;N$3&amp;", *")</f>
        <v>0</v>
      </c>
      <c r="O361" s="2">
        <f>COUNTIFS(集計用!$G359,"*, "&amp;O$3&amp;", *")</f>
        <v>1</v>
      </c>
      <c r="P361" s="2">
        <f>COUNTIFS(集計用!$G359,"*, "&amp;P$3&amp;", *")</f>
        <v>0</v>
      </c>
      <c r="Q361" s="2">
        <f>COUNTIFS(集計用!$G359,"*, "&amp;Q$3&amp;", *")</f>
        <v>0</v>
      </c>
      <c r="R361" s="2">
        <f>COUNTIFS(集計用!$G359,"*, "&amp;R$3&amp;", *")</f>
        <v>0</v>
      </c>
      <c r="S361" s="2">
        <f>COUNTIFS(集計用!$G359,"*, "&amp;S$3&amp;", *")</f>
        <v>0</v>
      </c>
      <c r="T361" s="2">
        <f>COUNTIFS(集計用!$G359,"*, "&amp;T$3&amp;", *")</f>
        <v>0</v>
      </c>
      <c r="U361" s="2">
        <f>COUNTIFS(集計用!$G359,"*, "&amp;U$3&amp;", *")</f>
        <v>0</v>
      </c>
      <c r="V361" s="2">
        <f>COUNTIFS(集計用!$G359,"*, "&amp;V$3&amp;", *")</f>
        <v>0</v>
      </c>
      <c r="W361" s="2">
        <f>COUNTIFS(集計用!$G359,"*, "&amp;W$3&amp;", *")</f>
        <v>0</v>
      </c>
      <c r="X361" s="2">
        <f>COUNTIFS(集計用!$G359,"*, "&amp;X$3&amp;", *")</f>
        <v>0</v>
      </c>
      <c r="Y361" s="2">
        <f>COUNTIFS(集計用!$G359,"*, "&amp;Y$3&amp;", *")</f>
        <v>0</v>
      </c>
      <c r="Z361" s="2">
        <f>COUNTIFS(集計用!$G359,"*, "&amp;Z$3&amp;", *")</f>
        <v>0</v>
      </c>
      <c r="AA361" s="2">
        <f>COUNTIFS(集計用!$G359,"*, "&amp;AA$3&amp;", *")</f>
        <v>0</v>
      </c>
      <c r="AB361" s="2">
        <f>COUNTIFS(集計用!$G359,"*, "&amp;AB$3&amp;", *")</f>
        <v>0</v>
      </c>
      <c r="AC361" s="2">
        <f>COUNTIFS(集計用!$G359,"*, "&amp;AC$3&amp;", *")</f>
        <v>0</v>
      </c>
      <c r="AD361" s="2">
        <f>COUNTIFS(集計用!$G359,"*, "&amp;AD$3&amp;", *")</f>
        <v>0</v>
      </c>
      <c r="AE361" s="2">
        <f>COUNTIFS(集計用!$G359,"*, "&amp;AE$3&amp;", *")</f>
        <v>0</v>
      </c>
      <c r="AF361" s="2">
        <f>COUNTIFS(集計用!$G359,"*, "&amp;AF$3&amp;", *")</f>
        <v>0</v>
      </c>
      <c r="AG361" s="2">
        <f>COUNTIFS(集計用!$G359,"*, "&amp;AG$3&amp;", *")</f>
        <v>0</v>
      </c>
      <c r="AH361" s="2">
        <f>COUNTIFS(集計用!$G359,"*, "&amp;AH$3&amp;", *")</f>
        <v>0</v>
      </c>
      <c r="AI361" s="2">
        <f>COUNTIFS(集計用!$G359,"*, "&amp;AI$3&amp;", *")</f>
        <v>0</v>
      </c>
      <c r="AJ361" s="2">
        <f>COUNTIFS(集計用!$G359,"*, "&amp;AJ$3&amp;", *")</f>
        <v>0</v>
      </c>
      <c r="AK361" s="2">
        <f>COUNTIFS(集計用!$G359,"*, "&amp;AK$3&amp;", *")</f>
        <v>0</v>
      </c>
      <c r="AL361" s="2">
        <f>COUNTIFS(集計用!$G359,"*, "&amp;AL$3&amp;", *")</f>
        <v>0</v>
      </c>
      <c r="AM361" s="2">
        <f>COUNTIFS(集計用!$G359,"*, "&amp;AM$3&amp;", *")</f>
        <v>0</v>
      </c>
      <c r="AN361" s="2">
        <f>COUNTIFS(集計用!$G359,"*, "&amp;AN$3&amp;", *")</f>
        <v>0</v>
      </c>
      <c r="AO361" s="2">
        <f>COUNTIFS(集計用!$G359,"*, "&amp;AO$3&amp;", *")</f>
        <v>0</v>
      </c>
      <c r="AP361" s="2">
        <f>COUNTIFS(集計用!$G359,"*, "&amp;AP$3&amp;", *")</f>
        <v>0</v>
      </c>
      <c r="AQ361" s="2">
        <f>COUNTIFS(集計用!$G359,"*, "&amp;AQ$3&amp;", *")</f>
        <v>0</v>
      </c>
      <c r="AR361" s="2">
        <f>COUNTIFS(集計用!$G359,"*, "&amp;AR$3&amp;", *")</f>
        <v>0</v>
      </c>
      <c r="AS361" s="2">
        <f>COUNTIFS(集計用!$G359,"*, "&amp;AS$3&amp;", *")</f>
        <v>0</v>
      </c>
      <c r="AT361" s="2">
        <f>COUNTIFS(集計用!$G359,"*, "&amp;AT$3&amp;", *")</f>
        <v>0</v>
      </c>
      <c r="AU361" s="2">
        <f>COUNTIFS(集計用!$G359,"*, "&amp;AU$3&amp;", *")</f>
        <v>0</v>
      </c>
      <c r="AV361" s="2">
        <f>COUNTIFS(集計用!$G359,"*, "&amp;AV$3&amp;", *")</f>
        <v>0</v>
      </c>
      <c r="AW361" s="2">
        <f>COUNTIFS(集計用!$G359,"*, "&amp;AW$3&amp;", *")</f>
        <v>0</v>
      </c>
      <c r="AX361" s="2">
        <f>COUNTIFS(集計用!$G359,"*, "&amp;AX$3&amp;", *")</f>
        <v>0</v>
      </c>
      <c r="AY361" s="2">
        <f>COUNTIFS(集計用!$G359,"*, "&amp;AY$3&amp;", *")</f>
        <v>0</v>
      </c>
      <c r="AZ361" s="2">
        <f>COUNTIFS(集計用!$G359,"*, "&amp;AZ$3&amp;", *")</f>
        <v>0</v>
      </c>
      <c r="BA361" s="2">
        <f>COUNTIFS(集計用!$G359,"*, "&amp;BA$3&amp;", *")</f>
        <v>0</v>
      </c>
      <c r="BB361" s="2">
        <f>COUNTIFS(集計用!$G359,"*, "&amp;BB$3&amp;", *")</f>
        <v>0</v>
      </c>
      <c r="BC361" s="2">
        <f>COUNTIFS(集計用!$G359,"*, "&amp;BC$3&amp;", *")</f>
        <v>0</v>
      </c>
      <c r="BD361" s="2">
        <f>COUNTIFS(集計用!$G359,"*, "&amp;BD$3&amp;", *")</f>
        <v>0</v>
      </c>
      <c r="BE361" s="2">
        <f>COUNTIFS(集計用!$G359,"*, "&amp;BE$3&amp;", *")</f>
        <v>0</v>
      </c>
      <c r="BF361" s="2">
        <f>COUNTIFS(集計用!$G359,"*, "&amp;BF$3&amp;", *")</f>
        <v>0</v>
      </c>
      <c r="BG361" s="2">
        <f>COUNTIFS(集計用!$G359,"*, "&amp;BG$3&amp;", *")</f>
        <v>0</v>
      </c>
      <c r="BH361" s="2">
        <f>COUNTIFS(集計用!$G359,"*, "&amp;BH$3&amp;", *")</f>
        <v>0</v>
      </c>
      <c r="BI361" s="2">
        <f>COUNTIFS(集計用!$G359,"*, "&amp;BI$3&amp;", *")</f>
        <v>0</v>
      </c>
      <c r="BJ361" s="2">
        <f>LEN(集計用!H359)-LEN(SUBSTITUTE(集計用!H359,",",""))</f>
        <v>0</v>
      </c>
    </row>
    <row r="362" spans="1:62" ht="12.75">
      <c r="A362" s="8">
        <v>359</v>
      </c>
      <c r="C362" s="2">
        <f t="shared" si="3"/>
        <v>3</v>
      </c>
      <c r="D362" s="9"/>
      <c r="E362" s="2">
        <f>COUNTIFS(集計用!$G360,"*, "&amp;E$3&amp;", *")</f>
        <v>0</v>
      </c>
      <c r="F362" s="2">
        <f>COUNTIFS(集計用!$G360,"*, "&amp;F$3&amp;", *")</f>
        <v>0</v>
      </c>
      <c r="G362" s="2">
        <f>COUNTIFS(集計用!$G360,"*, "&amp;G$3&amp;", *")</f>
        <v>0</v>
      </c>
      <c r="H362" s="2">
        <f>COUNTIFS(集計用!$G360,"*, "&amp;H$3&amp;", *")</f>
        <v>0</v>
      </c>
      <c r="I362" s="2">
        <f>COUNTIFS(集計用!$G360,"*, "&amp;I$3&amp;", *")</f>
        <v>0</v>
      </c>
      <c r="J362" s="2">
        <f>COUNTIFS(集計用!$G360,"*, "&amp;J$3&amp;", *")</f>
        <v>0</v>
      </c>
      <c r="K362" s="2">
        <f>COUNTIFS(集計用!$G360,"*, "&amp;K$3&amp;", *")</f>
        <v>0</v>
      </c>
      <c r="L362" s="2">
        <f>COUNTIFS(集計用!$G360,"*, "&amp;L$3&amp;", *")</f>
        <v>0</v>
      </c>
      <c r="M362" s="2">
        <f>COUNTIFS(集計用!$G360,"*, "&amp;M$3&amp;", *")</f>
        <v>0</v>
      </c>
      <c r="N362" s="2">
        <f>COUNTIFS(集計用!$G360,"*, "&amp;N$3&amp;", *")</f>
        <v>1</v>
      </c>
      <c r="O362" s="2">
        <f>COUNTIFS(集計用!$G360,"*, "&amp;O$3&amp;", *")</f>
        <v>0</v>
      </c>
      <c r="P362" s="2">
        <f>COUNTIFS(集計用!$G360,"*, "&amp;P$3&amp;", *")</f>
        <v>0</v>
      </c>
      <c r="Q362" s="2">
        <f>COUNTIFS(集計用!$G360,"*, "&amp;Q$3&amp;", *")</f>
        <v>0</v>
      </c>
      <c r="R362" s="2">
        <f>COUNTIFS(集計用!$G360,"*, "&amp;R$3&amp;", *")</f>
        <v>0</v>
      </c>
      <c r="S362" s="2">
        <f>COUNTIFS(集計用!$G360,"*, "&amp;S$3&amp;", *")</f>
        <v>0</v>
      </c>
      <c r="T362" s="2">
        <f>COUNTIFS(集計用!$G360,"*, "&amp;T$3&amp;", *")</f>
        <v>0</v>
      </c>
      <c r="U362" s="2">
        <f>COUNTIFS(集計用!$G360,"*, "&amp;U$3&amp;", *")</f>
        <v>0</v>
      </c>
      <c r="V362" s="2">
        <f>COUNTIFS(集計用!$G360,"*, "&amp;V$3&amp;", *")</f>
        <v>1</v>
      </c>
      <c r="W362" s="2">
        <f>COUNTIFS(集計用!$G360,"*, "&amp;W$3&amp;", *")</f>
        <v>0</v>
      </c>
      <c r="X362" s="2">
        <f>COUNTIFS(集計用!$G360,"*, "&amp;X$3&amp;", *")</f>
        <v>0</v>
      </c>
      <c r="Y362" s="2">
        <f>COUNTIFS(集計用!$G360,"*, "&amp;Y$3&amp;", *")</f>
        <v>0</v>
      </c>
      <c r="Z362" s="2">
        <f>COUNTIFS(集計用!$G360,"*, "&amp;Z$3&amp;", *")</f>
        <v>0</v>
      </c>
      <c r="AA362" s="2">
        <f>COUNTIFS(集計用!$G360,"*, "&amp;AA$3&amp;", *")</f>
        <v>0</v>
      </c>
      <c r="AB362" s="2">
        <f>COUNTIFS(集計用!$G360,"*, "&amp;AB$3&amp;", *")</f>
        <v>0</v>
      </c>
      <c r="AC362" s="2">
        <f>COUNTIFS(集計用!$G360,"*, "&amp;AC$3&amp;", *")</f>
        <v>0</v>
      </c>
      <c r="AD362" s="2">
        <f>COUNTIFS(集計用!$G360,"*, "&amp;AD$3&amp;", *")</f>
        <v>0</v>
      </c>
      <c r="AE362" s="2">
        <f>COUNTIFS(集計用!$G360,"*, "&amp;AE$3&amp;", *")</f>
        <v>0</v>
      </c>
      <c r="AF362" s="2">
        <f>COUNTIFS(集計用!$G360,"*, "&amp;AF$3&amp;", *")</f>
        <v>0</v>
      </c>
      <c r="AG362" s="2">
        <f>COUNTIFS(集計用!$G360,"*, "&amp;AG$3&amp;", *")</f>
        <v>0</v>
      </c>
      <c r="AH362" s="2">
        <f>COUNTIFS(集計用!$G360,"*, "&amp;AH$3&amp;", *")</f>
        <v>0</v>
      </c>
      <c r="AI362" s="2">
        <f>COUNTIFS(集計用!$G360,"*, "&amp;AI$3&amp;", *")</f>
        <v>0</v>
      </c>
      <c r="AJ362" s="2">
        <f>COUNTIFS(集計用!$G360,"*, "&amp;AJ$3&amp;", *")</f>
        <v>0</v>
      </c>
      <c r="AK362" s="2">
        <f>COUNTIFS(集計用!$G360,"*, "&amp;AK$3&amp;", *")</f>
        <v>0</v>
      </c>
      <c r="AL362" s="2">
        <f>COUNTIFS(集計用!$G360,"*, "&amp;AL$3&amp;", *")</f>
        <v>0</v>
      </c>
      <c r="AM362" s="2">
        <f>COUNTIFS(集計用!$G360,"*, "&amp;AM$3&amp;", *")</f>
        <v>1</v>
      </c>
      <c r="AN362" s="2">
        <f>COUNTIFS(集計用!$G360,"*, "&amp;AN$3&amp;", *")</f>
        <v>0</v>
      </c>
      <c r="AO362" s="2">
        <f>COUNTIFS(集計用!$G360,"*, "&amp;AO$3&amp;", *")</f>
        <v>0</v>
      </c>
      <c r="AP362" s="2">
        <f>COUNTIFS(集計用!$G360,"*, "&amp;AP$3&amp;", *")</f>
        <v>0</v>
      </c>
      <c r="AQ362" s="2">
        <f>COUNTIFS(集計用!$G360,"*, "&amp;AQ$3&amp;", *")</f>
        <v>0</v>
      </c>
      <c r="AR362" s="2">
        <f>COUNTIFS(集計用!$G360,"*, "&amp;AR$3&amp;", *")</f>
        <v>0</v>
      </c>
      <c r="AS362" s="2">
        <f>COUNTIFS(集計用!$G360,"*, "&amp;AS$3&amp;", *")</f>
        <v>0</v>
      </c>
      <c r="AT362" s="2">
        <f>COUNTIFS(集計用!$G360,"*, "&amp;AT$3&amp;", *")</f>
        <v>0</v>
      </c>
      <c r="AU362" s="2">
        <f>COUNTIFS(集計用!$G360,"*, "&amp;AU$3&amp;", *")</f>
        <v>0</v>
      </c>
      <c r="AV362" s="2">
        <f>COUNTIFS(集計用!$G360,"*, "&amp;AV$3&amp;", *")</f>
        <v>0</v>
      </c>
      <c r="AW362" s="2">
        <f>COUNTIFS(集計用!$G360,"*, "&amp;AW$3&amp;", *")</f>
        <v>0</v>
      </c>
      <c r="AX362" s="2">
        <f>COUNTIFS(集計用!$G360,"*, "&amp;AX$3&amp;", *")</f>
        <v>0</v>
      </c>
      <c r="AY362" s="2">
        <f>COUNTIFS(集計用!$G360,"*, "&amp;AY$3&amp;", *")</f>
        <v>0</v>
      </c>
      <c r="AZ362" s="2">
        <f>COUNTIFS(集計用!$G360,"*, "&amp;AZ$3&amp;", *")</f>
        <v>0</v>
      </c>
      <c r="BA362" s="2">
        <f>COUNTIFS(集計用!$G360,"*, "&amp;BA$3&amp;", *")</f>
        <v>0</v>
      </c>
      <c r="BB362" s="2">
        <f>COUNTIFS(集計用!$G360,"*, "&amp;BB$3&amp;", *")</f>
        <v>0</v>
      </c>
      <c r="BC362" s="2">
        <f>COUNTIFS(集計用!$G360,"*, "&amp;BC$3&amp;", *")</f>
        <v>0</v>
      </c>
      <c r="BD362" s="2">
        <f>COUNTIFS(集計用!$G360,"*, "&amp;BD$3&amp;", *")</f>
        <v>0</v>
      </c>
      <c r="BE362" s="2">
        <f>COUNTIFS(集計用!$G360,"*, "&amp;BE$3&amp;", *")</f>
        <v>0</v>
      </c>
      <c r="BF362" s="2">
        <f>COUNTIFS(集計用!$G360,"*, "&amp;BF$3&amp;", *")</f>
        <v>0</v>
      </c>
      <c r="BG362" s="2">
        <f>COUNTIFS(集計用!$G360,"*, "&amp;BG$3&amp;", *")</f>
        <v>0</v>
      </c>
      <c r="BH362" s="2">
        <f>COUNTIFS(集計用!$G360,"*, "&amp;BH$3&amp;", *")</f>
        <v>0</v>
      </c>
      <c r="BI362" s="2">
        <f>COUNTIFS(集計用!$G360,"*, "&amp;BI$3&amp;", *")</f>
        <v>0</v>
      </c>
      <c r="BJ362" s="2">
        <f>LEN(集計用!H360)-LEN(SUBSTITUTE(集計用!H360,",",""))</f>
        <v>0</v>
      </c>
    </row>
    <row r="363" spans="1:62" ht="12.75">
      <c r="A363" s="8">
        <v>360</v>
      </c>
      <c r="C363" s="2">
        <f t="shared" si="3"/>
        <v>1</v>
      </c>
      <c r="D363" s="9"/>
      <c r="E363" s="2">
        <f>COUNTIFS(集計用!$G361,"*, "&amp;E$3&amp;", *")</f>
        <v>0</v>
      </c>
      <c r="F363" s="2">
        <f>COUNTIFS(集計用!$G361,"*, "&amp;F$3&amp;", *")</f>
        <v>0</v>
      </c>
      <c r="G363" s="2">
        <f>COUNTIFS(集計用!$G361,"*, "&amp;G$3&amp;", *")</f>
        <v>0</v>
      </c>
      <c r="H363" s="2">
        <f>COUNTIFS(集計用!$G361,"*, "&amp;H$3&amp;", *")</f>
        <v>0</v>
      </c>
      <c r="I363" s="2">
        <f>COUNTIFS(集計用!$G361,"*, "&amp;I$3&amp;", *")</f>
        <v>0</v>
      </c>
      <c r="J363" s="2">
        <f>COUNTIFS(集計用!$G361,"*, "&amp;J$3&amp;", *")</f>
        <v>0</v>
      </c>
      <c r="K363" s="2">
        <f>COUNTIFS(集計用!$G361,"*, "&amp;K$3&amp;", *")</f>
        <v>0</v>
      </c>
      <c r="L363" s="2">
        <f>COUNTIFS(集計用!$G361,"*, "&amp;L$3&amp;", *")</f>
        <v>0</v>
      </c>
      <c r="M363" s="2">
        <f>COUNTIFS(集計用!$G361,"*, "&amp;M$3&amp;", *")</f>
        <v>0</v>
      </c>
      <c r="N363" s="2">
        <f>COUNTIFS(集計用!$G361,"*, "&amp;N$3&amp;", *")</f>
        <v>0</v>
      </c>
      <c r="O363" s="2">
        <f>COUNTIFS(集計用!$G361,"*, "&amp;O$3&amp;", *")</f>
        <v>0</v>
      </c>
      <c r="P363" s="2">
        <f>COUNTIFS(集計用!$G361,"*, "&amp;P$3&amp;", *")</f>
        <v>0</v>
      </c>
      <c r="Q363" s="2">
        <f>COUNTIFS(集計用!$G361,"*, "&amp;Q$3&amp;", *")</f>
        <v>0</v>
      </c>
      <c r="R363" s="2">
        <f>COUNTIFS(集計用!$G361,"*, "&amp;R$3&amp;", *")</f>
        <v>0</v>
      </c>
      <c r="S363" s="2">
        <f>COUNTIFS(集計用!$G361,"*, "&amp;S$3&amp;", *")</f>
        <v>0</v>
      </c>
      <c r="T363" s="2">
        <f>COUNTIFS(集計用!$G361,"*, "&amp;T$3&amp;", *")</f>
        <v>0</v>
      </c>
      <c r="U363" s="2">
        <f>COUNTIFS(集計用!$G361,"*, "&amp;U$3&amp;", *")</f>
        <v>0</v>
      </c>
      <c r="V363" s="2">
        <f>COUNTIFS(集計用!$G361,"*, "&amp;V$3&amp;", *")</f>
        <v>0</v>
      </c>
      <c r="W363" s="2">
        <f>COUNTIFS(集計用!$G361,"*, "&amp;W$3&amp;", *")</f>
        <v>0</v>
      </c>
      <c r="X363" s="2">
        <f>COUNTIFS(集計用!$G361,"*, "&amp;X$3&amp;", *")</f>
        <v>0</v>
      </c>
      <c r="Y363" s="2">
        <f>COUNTIFS(集計用!$G361,"*, "&amp;Y$3&amp;", *")</f>
        <v>0</v>
      </c>
      <c r="Z363" s="2">
        <f>COUNTIFS(集計用!$G361,"*, "&amp;Z$3&amp;", *")</f>
        <v>0</v>
      </c>
      <c r="AA363" s="2">
        <f>COUNTIFS(集計用!$G361,"*, "&amp;AA$3&amp;", *")</f>
        <v>0</v>
      </c>
      <c r="AB363" s="2">
        <f>COUNTIFS(集計用!$G361,"*, "&amp;AB$3&amp;", *")</f>
        <v>0</v>
      </c>
      <c r="AC363" s="2">
        <f>COUNTIFS(集計用!$G361,"*, "&amp;AC$3&amp;", *")</f>
        <v>0</v>
      </c>
      <c r="AD363" s="2">
        <f>COUNTIFS(集計用!$G361,"*, "&amp;AD$3&amp;", *")</f>
        <v>0</v>
      </c>
      <c r="AE363" s="2">
        <f>COUNTIFS(集計用!$G361,"*, "&amp;AE$3&amp;", *")</f>
        <v>0</v>
      </c>
      <c r="AF363" s="2">
        <f>COUNTIFS(集計用!$G361,"*, "&amp;AF$3&amp;", *")</f>
        <v>0</v>
      </c>
      <c r="AG363" s="2">
        <f>COUNTIFS(集計用!$G361,"*, "&amp;AG$3&amp;", *")</f>
        <v>0</v>
      </c>
      <c r="AH363" s="2">
        <f>COUNTIFS(集計用!$G361,"*, "&amp;AH$3&amp;", *")</f>
        <v>0</v>
      </c>
      <c r="AI363" s="2">
        <f>COUNTIFS(集計用!$G361,"*, "&amp;AI$3&amp;", *")</f>
        <v>0</v>
      </c>
      <c r="AJ363" s="2">
        <f>COUNTIFS(集計用!$G361,"*, "&amp;AJ$3&amp;", *")</f>
        <v>0</v>
      </c>
      <c r="AK363" s="2">
        <f>COUNTIFS(集計用!$G361,"*, "&amp;AK$3&amp;", *")</f>
        <v>0</v>
      </c>
      <c r="AL363" s="2">
        <f>COUNTIFS(集計用!$G361,"*, "&amp;AL$3&amp;", *")</f>
        <v>0</v>
      </c>
      <c r="AM363" s="2">
        <f>COUNTIFS(集計用!$G361,"*, "&amp;AM$3&amp;", *")</f>
        <v>0</v>
      </c>
      <c r="AN363" s="2">
        <f>COUNTIFS(集計用!$G361,"*, "&amp;AN$3&amp;", *")</f>
        <v>0</v>
      </c>
      <c r="AO363" s="2">
        <f>COUNTIFS(集計用!$G361,"*, "&amp;AO$3&amp;", *")</f>
        <v>0</v>
      </c>
      <c r="AP363" s="2">
        <f>COUNTIFS(集計用!$G361,"*, "&amp;AP$3&amp;", *")</f>
        <v>0</v>
      </c>
      <c r="AQ363" s="2">
        <f>COUNTIFS(集計用!$G361,"*, "&amp;AQ$3&amp;", *")</f>
        <v>0</v>
      </c>
      <c r="AR363" s="2">
        <f>COUNTIFS(集計用!$G361,"*, "&amp;AR$3&amp;", *")</f>
        <v>0</v>
      </c>
      <c r="AS363" s="2">
        <f>COUNTIFS(集計用!$G361,"*, "&amp;AS$3&amp;", *")</f>
        <v>0</v>
      </c>
      <c r="AT363" s="2">
        <f>COUNTIFS(集計用!$G361,"*, "&amp;AT$3&amp;", *")</f>
        <v>0</v>
      </c>
      <c r="AU363" s="2">
        <f>COUNTIFS(集計用!$G361,"*, "&amp;AU$3&amp;", *")</f>
        <v>0</v>
      </c>
      <c r="AV363" s="2">
        <f>COUNTIFS(集計用!$G361,"*, "&amp;AV$3&amp;", *")</f>
        <v>0</v>
      </c>
      <c r="AW363" s="2">
        <f>COUNTIFS(集計用!$G361,"*, "&amp;AW$3&amp;", *")</f>
        <v>0</v>
      </c>
      <c r="AX363" s="2">
        <f>COUNTIFS(集計用!$G361,"*, "&amp;AX$3&amp;", *")</f>
        <v>0</v>
      </c>
      <c r="AY363" s="2">
        <f>COUNTIFS(集計用!$G361,"*, "&amp;AY$3&amp;", *")</f>
        <v>0</v>
      </c>
      <c r="AZ363" s="2">
        <f>COUNTIFS(集計用!$G361,"*, "&amp;AZ$3&amp;", *")</f>
        <v>1</v>
      </c>
      <c r="BA363" s="2">
        <f>COUNTIFS(集計用!$G361,"*, "&amp;BA$3&amp;", *")</f>
        <v>0</v>
      </c>
      <c r="BB363" s="2">
        <f>COUNTIFS(集計用!$G361,"*, "&amp;BB$3&amp;", *")</f>
        <v>0</v>
      </c>
      <c r="BC363" s="2">
        <f>COUNTIFS(集計用!$G361,"*, "&amp;BC$3&amp;", *")</f>
        <v>0</v>
      </c>
      <c r="BD363" s="2">
        <f>COUNTIFS(集計用!$G361,"*, "&amp;BD$3&amp;", *")</f>
        <v>0</v>
      </c>
      <c r="BE363" s="2">
        <f>COUNTIFS(集計用!$G361,"*, "&amp;BE$3&amp;", *")</f>
        <v>0</v>
      </c>
      <c r="BF363" s="2">
        <f>COUNTIFS(集計用!$G361,"*, "&amp;BF$3&amp;", *")</f>
        <v>0</v>
      </c>
      <c r="BG363" s="2">
        <f>COUNTIFS(集計用!$G361,"*, "&amp;BG$3&amp;", *")</f>
        <v>0</v>
      </c>
      <c r="BH363" s="2">
        <f>COUNTIFS(集計用!$G361,"*, "&amp;BH$3&amp;", *")</f>
        <v>0</v>
      </c>
      <c r="BI363" s="2">
        <f>COUNTIFS(集計用!$G361,"*, "&amp;BI$3&amp;", *")</f>
        <v>0</v>
      </c>
      <c r="BJ363" s="2">
        <f>LEN(集計用!H361)-LEN(SUBSTITUTE(集計用!H361,",",""))</f>
        <v>0</v>
      </c>
    </row>
    <row r="364" spans="1:62" ht="12.75">
      <c r="A364" s="8">
        <v>361</v>
      </c>
      <c r="C364" s="2">
        <f t="shared" si="3"/>
        <v>5</v>
      </c>
      <c r="D364" s="9"/>
      <c r="E364" s="2">
        <f>COUNTIFS(集計用!$G362,"*, "&amp;E$3&amp;", *")</f>
        <v>1</v>
      </c>
      <c r="F364" s="2">
        <f>COUNTIFS(集計用!$G362,"*, "&amp;F$3&amp;", *")</f>
        <v>0</v>
      </c>
      <c r="G364" s="2">
        <f>COUNTIFS(集計用!$G362,"*, "&amp;G$3&amp;", *")</f>
        <v>0</v>
      </c>
      <c r="H364" s="2">
        <f>COUNTIFS(集計用!$G362,"*, "&amp;H$3&amp;", *")</f>
        <v>0</v>
      </c>
      <c r="I364" s="2">
        <f>COUNTIFS(集計用!$G362,"*, "&amp;I$3&amp;", *")</f>
        <v>0</v>
      </c>
      <c r="J364" s="2">
        <f>COUNTIFS(集計用!$G362,"*, "&amp;J$3&amp;", *")</f>
        <v>1</v>
      </c>
      <c r="K364" s="2">
        <f>COUNTIFS(集計用!$G362,"*, "&amp;K$3&amp;", *")</f>
        <v>0</v>
      </c>
      <c r="L364" s="2">
        <f>COUNTIFS(集計用!$G362,"*, "&amp;L$3&amp;", *")</f>
        <v>0</v>
      </c>
      <c r="M364" s="2">
        <f>COUNTIFS(集計用!$G362,"*, "&amp;M$3&amp;", *")</f>
        <v>0</v>
      </c>
      <c r="N364" s="2">
        <f>COUNTIFS(集計用!$G362,"*, "&amp;N$3&amp;", *")</f>
        <v>0</v>
      </c>
      <c r="O364" s="2">
        <f>COUNTIFS(集計用!$G362,"*, "&amp;O$3&amp;", *")</f>
        <v>1</v>
      </c>
      <c r="P364" s="2">
        <f>COUNTIFS(集計用!$G362,"*, "&amp;P$3&amp;", *")</f>
        <v>0</v>
      </c>
      <c r="Q364" s="2">
        <f>COUNTIFS(集計用!$G362,"*, "&amp;Q$3&amp;", *")</f>
        <v>0</v>
      </c>
      <c r="R364" s="2">
        <f>COUNTIFS(集計用!$G362,"*, "&amp;R$3&amp;", *")</f>
        <v>0</v>
      </c>
      <c r="S364" s="2">
        <f>COUNTIFS(集計用!$G362,"*, "&amp;S$3&amp;", *")</f>
        <v>1</v>
      </c>
      <c r="T364" s="2">
        <f>COUNTIFS(集計用!$G362,"*, "&amp;T$3&amp;", *")</f>
        <v>0</v>
      </c>
      <c r="U364" s="2">
        <f>COUNTIFS(集計用!$G362,"*, "&amp;U$3&amp;", *")</f>
        <v>1</v>
      </c>
      <c r="V364" s="2">
        <f>COUNTIFS(集計用!$G362,"*, "&amp;V$3&amp;", *")</f>
        <v>0</v>
      </c>
      <c r="W364" s="2">
        <f>COUNTIFS(集計用!$G362,"*, "&amp;W$3&amp;", *")</f>
        <v>0</v>
      </c>
      <c r="X364" s="2">
        <f>COUNTIFS(集計用!$G362,"*, "&amp;X$3&amp;", *")</f>
        <v>0</v>
      </c>
      <c r="Y364" s="2">
        <f>COUNTIFS(集計用!$G362,"*, "&amp;Y$3&amp;", *")</f>
        <v>0</v>
      </c>
      <c r="Z364" s="2">
        <f>COUNTIFS(集計用!$G362,"*, "&amp;Z$3&amp;", *")</f>
        <v>0</v>
      </c>
      <c r="AA364" s="2">
        <f>COUNTIFS(集計用!$G362,"*, "&amp;AA$3&amp;", *")</f>
        <v>0</v>
      </c>
      <c r="AB364" s="2">
        <f>COUNTIFS(集計用!$G362,"*, "&amp;AB$3&amp;", *")</f>
        <v>0</v>
      </c>
      <c r="AC364" s="2">
        <f>COUNTIFS(集計用!$G362,"*, "&amp;AC$3&amp;", *")</f>
        <v>0</v>
      </c>
      <c r="AD364" s="2">
        <f>COUNTIFS(集計用!$G362,"*, "&amp;AD$3&amp;", *")</f>
        <v>0</v>
      </c>
      <c r="AE364" s="2">
        <f>COUNTIFS(集計用!$G362,"*, "&amp;AE$3&amp;", *")</f>
        <v>0</v>
      </c>
      <c r="AF364" s="2">
        <f>COUNTIFS(集計用!$G362,"*, "&amp;AF$3&amp;", *")</f>
        <v>0</v>
      </c>
      <c r="AG364" s="2">
        <f>COUNTIFS(集計用!$G362,"*, "&amp;AG$3&amp;", *")</f>
        <v>0</v>
      </c>
      <c r="AH364" s="2">
        <f>COUNTIFS(集計用!$G362,"*, "&amp;AH$3&amp;", *")</f>
        <v>0</v>
      </c>
      <c r="AI364" s="2">
        <f>COUNTIFS(集計用!$G362,"*, "&amp;AI$3&amp;", *")</f>
        <v>0</v>
      </c>
      <c r="AJ364" s="2">
        <f>COUNTIFS(集計用!$G362,"*, "&amp;AJ$3&amp;", *")</f>
        <v>0</v>
      </c>
      <c r="AK364" s="2">
        <f>COUNTIFS(集計用!$G362,"*, "&amp;AK$3&amp;", *")</f>
        <v>0</v>
      </c>
      <c r="AL364" s="2">
        <f>COUNTIFS(集計用!$G362,"*, "&amp;AL$3&amp;", *")</f>
        <v>0</v>
      </c>
      <c r="AM364" s="2">
        <f>COUNTIFS(集計用!$G362,"*, "&amp;AM$3&amp;", *")</f>
        <v>0</v>
      </c>
      <c r="AN364" s="2">
        <f>COUNTIFS(集計用!$G362,"*, "&amp;AN$3&amp;", *")</f>
        <v>0</v>
      </c>
      <c r="AO364" s="2">
        <f>COUNTIFS(集計用!$G362,"*, "&amp;AO$3&amp;", *")</f>
        <v>0</v>
      </c>
      <c r="AP364" s="2">
        <f>COUNTIFS(集計用!$G362,"*, "&amp;AP$3&amp;", *")</f>
        <v>0</v>
      </c>
      <c r="AQ364" s="2">
        <f>COUNTIFS(集計用!$G362,"*, "&amp;AQ$3&amp;", *")</f>
        <v>0</v>
      </c>
      <c r="AR364" s="2">
        <f>COUNTIFS(集計用!$G362,"*, "&amp;AR$3&amp;", *")</f>
        <v>0</v>
      </c>
      <c r="AS364" s="2">
        <f>COUNTIFS(集計用!$G362,"*, "&amp;AS$3&amp;", *")</f>
        <v>0</v>
      </c>
      <c r="AT364" s="2">
        <f>COUNTIFS(集計用!$G362,"*, "&amp;AT$3&amp;", *")</f>
        <v>0</v>
      </c>
      <c r="AU364" s="2">
        <f>COUNTIFS(集計用!$G362,"*, "&amp;AU$3&amp;", *")</f>
        <v>0</v>
      </c>
      <c r="AV364" s="2">
        <f>COUNTIFS(集計用!$G362,"*, "&amp;AV$3&amp;", *")</f>
        <v>0</v>
      </c>
      <c r="AW364" s="2">
        <f>COUNTIFS(集計用!$G362,"*, "&amp;AW$3&amp;", *")</f>
        <v>0</v>
      </c>
      <c r="AX364" s="2">
        <f>COUNTIFS(集計用!$G362,"*, "&amp;AX$3&amp;", *")</f>
        <v>0</v>
      </c>
      <c r="AY364" s="2">
        <f>COUNTIFS(集計用!$G362,"*, "&amp;AY$3&amp;", *")</f>
        <v>0</v>
      </c>
      <c r="AZ364" s="2">
        <f>COUNTIFS(集計用!$G362,"*, "&amp;AZ$3&amp;", *")</f>
        <v>0</v>
      </c>
      <c r="BA364" s="2">
        <f>COUNTIFS(集計用!$G362,"*, "&amp;BA$3&amp;", *")</f>
        <v>0</v>
      </c>
      <c r="BB364" s="2">
        <f>COUNTIFS(集計用!$G362,"*, "&amp;BB$3&amp;", *")</f>
        <v>0</v>
      </c>
      <c r="BC364" s="2">
        <f>COUNTIFS(集計用!$G362,"*, "&amp;BC$3&amp;", *")</f>
        <v>0</v>
      </c>
      <c r="BD364" s="2">
        <f>COUNTIFS(集計用!$G362,"*, "&amp;BD$3&amp;", *")</f>
        <v>0</v>
      </c>
      <c r="BE364" s="2">
        <f>COUNTIFS(集計用!$G362,"*, "&amp;BE$3&amp;", *")</f>
        <v>0</v>
      </c>
      <c r="BF364" s="2">
        <f>COUNTIFS(集計用!$G362,"*, "&amp;BF$3&amp;", *")</f>
        <v>0</v>
      </c>
      <c r="BG364" s="2">
        <f>COUNTIFS(集計用!$G362,"*, "&amp;BG$3&amp;", *")</f>
        <v>0</v>
      </c>
      <c r="BH364" s="2">
        <f>COUNTIFS(集計用!$G362,"*, "&amp;BH$3&amp;", *")</f>
        <v>0</v>
      </c>
      <c r="BI364" s="2">
        <f>COUNTIFS(集計用!$G362,"*, "&amp;BI$3&amp;", *")</f>
        <v>0</v>
      </c>
      <c r="BJ364" s="2">
        <f>LEN(集計用!H362)-LEN(SUBSTITUTE(集計用!H362,",",""))</f>
        <v>0</v>
      </c>
    </row>
    <row r="365" spans="1:62" ht="12.75">
      <c r="A365" s="8">
        <v>362</v>
      </c>
      <c r="C365" s="2">
        <f t="shared" si="3"/>
        <v>3</v>
      </c>
      <c r="D365" s="9"/>
      <c r="E365" s="2">
        <f>COUNTIFS(集計用!$G363,"*, "&amp;E$3&amp;", *")</f>
        <v>1</v>
      </c>
      <c r="F365" s="2">
        <f>COUNTIFS(集計用!$G363,"*, "&amp;F$3&amp;", *")</f>
        <v>0</v>
      </c>
      <c r="G365" s="2">
        <f>COUNTIFS(集計用!$G363,"*, "&amp;G$3&amp;", *")</f>
        <v>1</v>
      </c>
      <c r="H365" s="2">
        <f>COUNTIFS(集計用!$G363,"*, "&amp;H$3&amp;", *")</f>
        <v>0</v>
      </c>
      <c r="I365" s="2">
        <f>COUNTIFS(集計用!$G363,"*, "&amp;I$3&amp;", *")</f>
        <v>1</v>
      </c>
      <c r="J365" s="2">
        <f>COUNTIFS(集計用!$G363,"*, "&amp;J$3&amp;", *")</f>
        <v>0</v>
      </c>
      <c r="K365" s="2">
        <f>COUNTIFS(集計用!$G363,"*, "&amp;K$3&amp;", *")</f>
        <v>0</v>
      </c>
      <c r="L365" s="2">
        <f>COUNTIFS(集計用!$G363,"*, "&amp;L$3&amp;", *")</f>
        <v>0</v>
      </c>
      <c r="M365" s="2">
        <f>COUNTIFS(集計用!$G363,"*, "&amp;M$3&amp;", *")</f>
        <v>0</v>
      </c>
      <c r="N365" s="2">
        <f>COUNTIFS(集計用!$G363,"*, "&amp;N$3&amp;", *")</f>
        <v>0</v>
      </c>
      <c r="O365" s="2">
        <f>COUNTIFS(集計用!$G363,"*, "&amp;O$3&amp;", *")</f>
        <v>0</v>
      </c>
      <c r="P365" s="2">
        <f>COUNTIFS(集計用!$G363,"*, "&amp;P$3&amp;", *")</f>
        <v>0</v>
      </c>
      <c r="Q365" s="2">
        <f>COUNTIFS(集計用!$G363,"*, "&amp;Q$3&amp;", *")</f>
        <v>0</v>
      </c>
      <c r="R365" s="2">
        <f>COUNTIFS(集計用!$G363,"*, "&amp;R$3&amp;", *")</f>
        <v>0</v>
      </c>
      <c r="S365" s="2">
        <f>COUNTIFS(集計用!$G363,"*, "&amp;S$3&amp;", *")</f>
        <v>0</v>
      </c>
      <c r="T365" s="2">
        <f>COUNTIFS(集計用!$G363,"*, "&amp;T$3&amp;", *")</f>
        <v>0</v>
      </c>
      <c r="U365" s="2">
        <f>COUNTIFS(集計用!$G363,"*, "&amp;U$3&amp;", *")</f>
        <v>0</v>
      </c>
      <c r="V365" s="2">
        <f>COUNTIFS(集計用!$G363,"*, "&amp;V$3&amp;", *")</f>
        <v>0</v>
      </c>
      <c r="W365" s="2">
        <f>COUNTIFS(集計用!$G363,"*, "&amp;W$3&amp;", *")</f>
        <v>0</v>
      </c>
      <c r="X365" s="2">
        <f>COUNTIFS(集計用!$G363,"*, "&amp;X$3&amp;", *")</f>
        <v>0</v>
      </c>
      <c r="Y365" s="2">
        <f>COUNTIFS(集計用!$G363,"*, "&amp;Y$3&amp;", *")</f>
        <v>0</v>
      </c>
      <c r="Z365" s="2">
        <f>COUNTIFS(集計用!$G363,"*, "&amp;Z$3&amp;", *")</f>
        <v>0</v>
      </c>
      <c r="AA365" s="2">
        <f>COUNTIFS(集計用!$G363,"*, "&amp;AA$3&amp;", *")</f>
        <v>0</v>
      </c>
      <c r="AB365" s="2">
        <f>COUNTIFS(集計用!$G363,"*, "&amp;AB$3&amp;", *")</f>
        <v>0</v>
      </c>
      <c r="AC365" s="2">
        <f>COUNTIFS(集計用!$G363,"*, "&amp;AC$3&amp;", *")</f>
        <v>0</v>
      </c>
      <c r="AD365" s="2">
        <f>COUNTIFS(集計用!$G363,"*, "&amp;AD$3&amp;", *")</f>
        <v>0</v>
      </c>
      <c r="AE365" s="2">
        <f>COUNTIFS(集計用!$G363,"*, "&amp;AE$3&amp;", *")</f>
        <v>0</v>
      </c>
      <c r="AF365" s="2">
        <f>COUNTIFS(集計用!$G363,"*, "&amp;AF$3&amp;", *")</f>
        <v>0</v>
      </c>
      <c r="AG365" s="2">
        <f>COUNTIFS(集計用!$G363,"*, "&amp;AG$3&amp;", *")</f>
        <v>0</v>
      </c>
      <c r="AH365" s="2">
        <f>COUNTIFS(集計用!$G363,"*, "&amp;AH$3&amp;", *")</f>
        <v>0</v>
      </c>
      <c r="AI365" s="2">
        <f>COUNTIFS(集計用!$G363,"*, "&amp;AI$3&amp;", *")</f>
        <v>0</v>
      </c>
      <c r="AJ365" s="2">
        <f>COUNTIFS(集計用!$G363,"*, "&amp;AJ$3&amp;", *")</f>
        <v>0</v>
      </c>
      <c r="AK365" s="2">
        <f>COUNTIFS(集計用!$G363,"*, "&amp;AK$3&amp;", *")</f>
        <v>0</v>
      </c>
      <c r="AL365" s="2">
        <f>COUNTIFS(集計用!$G363,"*, "&amp;AL$3&amp;", *")</f>
        <v>0</v>
      </c>
      <c r="AM365" s="2">
        <f>COUNTIFS(集計用!$G363,"*, "&amp;AM$3&amp;", *")</f>
        <v>0</v>
      </c>
      <c r="AN365" s="2">
        <f>COUNTIFS(集計用!$G363,"*, "&amp;AN$3&amp;", *")</f>
        <v>0</v>
      </c>
      <c r="AO365" s="2">
        <f>COUNTIFS(集計用!$G363,"*, "&amp;AO$3&amp;", *")</f>
        <v>0</v>
      </c>
      <c r="AP365" s="2">
        <f>COUNTIFS(集計用!$G363,"*, "&amp;AP$3&amp;", *")</f>
        <v>0</v>
      </c>
      <c r="AQ365" s="2">
        <f>COUNTIFS(集計用!$G363,"*, "&amp;AQ$3&amp;", *")</f>
        <v>0</v>
      </c>
      <c r="AR365" s="2">
        <f>COUNTIFS(集計用!$G363,"*, "&amp;AR$3&amp;", *")</f>
        <v>0</v>
      </c>
      <c r="AS365" s="2">
        <f>COUNTIFS(集計用!$G363,"*, "&amp;AS$3&amp;", *")</f>
        <v>0</v>
      </c>
      <c r="AT365" s="2">
        <f>COUNTIFS(集計用!$G363,"*, "&amp;AT$3&amp;", *")</f>
        <v>0</v>
      </c>
      <c r="AU365" s="2">
        <f>COUNTIFS(集計用!$G363,"*, "&amp;AU$3&amp;", *")</f>
        <v>0</v>
      </c>
      <c r="AV365" s="2">
        <f>COUNTIFS(集計用!$G363,"*, "&amp;AV$3&amp;", *")</f>
        <v>0</v>
      </c>
      <c r="AW365" s="2">
        <f>COUNTIFS(集計用!$G363,"*, "&amp;AW$3&amp;", *")</f>
        <v>0</v>
      </c>
      <c r="AX365" s="2">
        <f>COUNTIFS(集計用!$G363,"*, "&amp;AX$3&amp;", *")</f>
        <v>0</v>
      </c>
      <c r="AY365" s="2">
        <f>COUNTIFS(集計用!$G363,"*, "&amp;AY$3&amp;", *")</f>
        <v>0</v>
      </c>
      <c r="AZ365" s="2">
        <f>COUNTIFS(集計用!$G363,"*, "&amp;AZ$3&amp;", *")</f>
        <v>0</v>
      </c>
      <c r="BA365" s="2">
        <f>COUNTIFS(集計用!$G363,"*, "&amp;BA$3&amp;", *")</f>
        <v>0</v>
      </c>
      <c r="BB365" s="2">
        <f>COUNTIFS(集計用!$G363,"*, "&amp;BB$3&amp;", *")</f>
        <v>0</v>
      </c>
      <c r="BC365" s="2">
        <f>COUNTIFS(集計用!$G363,"*, "&amp;BC$3&amp;", *")</f>
        <v>0</v>
      </c>
      <c r="BD365" s="2">
        <f>COUNTIFS(集計用!$G363,"*, "&amp;BD$3&amp;", *")</f>
        <v>0</v>
      </c>
      <c r="BE365" s="2">
        <f>COUNTIFS(集計用!$G363,"*, "&amp;BE$3&amp;", *")</f>
        <v>0</v>
      </c>
      <c r="BF365" s="2">
        <f>COUNTIFS(集計用!$G363,"*, "&amp;BF$3&amp;", *")</f>
        <v>0</v>
      </c>
      <c r="BG365" s="2">
        <f>COUNTIFS(集計用!$G363,"*, "&amp;BG$3&amp;", *")</f>
        <v>0</v>
      </c>
      <c r="BH365" s="2">
        <f>COUNTIFS(集計用!$G363,"*, "&amp;BH$3&amp;", *")</f>
        <v>0</v>
      </c>
      <c r="BI365" s="2">
        <f>COUNTIFS(集計用!$G363,"*, "&amp;BI$3&amp;", *")</f>
        <v>0</v>
      </c>
      <c r="BJ365" s="2">
        <f>LEN(集計用!H363)-LEN(SUBSTITUTE(集計用!H363,",",""))</f>
        <v>0</v>
      </c>
    </row>
    <row r="366" spans="1:62" ht="12.75">
      <c r="A366" s="8">
        <v>363</v>
      </c>
      <c r="C366" s="2">
        <f t="shared" si="3"/>
        <v>7</v>
      </c>
      <c r="D366" s="9"/>
      <c r="E366" s="2">
        <f>COUNTIFS(集計用!$G364,"*, "&amp;E$3&amp;", *")</f>
        <v>1</v>
      </c>
      <c r="F366" s="2">
        <f>COUNTIFS(集計用!$G364,"*, "&amp;F$3&amp;", *")</f>
        <v>1</v>
      </c>
      <c r="G366" s="2">
        <f>COUNTIFS(集計用!$G364,"*, "&amp;G$3&amp;", *")</f>
        <v>0</v>
      </c>
      <c r="H366" s="2">
        <f>COUNTIFS(集計用!$G364,"*, "&amp;H$3&amp;", *")</f>
        <v>1</v>
      </c>
      <c r="I366" s="2">
        <f>COUNTIFS(集計用!$G364,"*, "&amp;I$3&amp;", *")</f>
        <v>0</v>
      </c>
      <c r="J366" s="2">
        <f>COUNTIFS(集計用!$G364,"*, "&amp;J$3&amp;", *")</f>
        <v>0</v>
      </c>
      <c r="K366" s="2">
        <f>COUNTIFS(集計用!$G364,"*, "&amp;K$3&amp;", *")</f>
        <v>0</v>
      </c>
      <c r="L366" s="2">
        <f>COUNTIFS(集計用!$G364,"*, "&amp;L$3&amp;", *")</f>
        <v>0</v>
      </c>
      <c r="M366" s="2">
        <f>COUNTIFS(集計用!$G364,"*, "&amp;M$3&amp;", *")</f>
        <v>0</v>
      </c>
      <c r="N366" s="2">
        <f>COUNTIFS(集計用!$G364,"*, "&amp;N$3&amp;", *")</f>
        <v>0</v>
      </c>
      <c r="O366" s="2">
        <f>COUNTIFS(集計用!$G364,"*, "&amp;O$3&amp;", *")</f>
        <v>0</v>
      </c>
      <c r="P366" s="2">
        <f>COUNTIFS(集計用!$G364,"*, "&amp;P$3&amp;", *")</f>
        <v>0</v>
      </c>
      <c r="Q366" s="2">
        <f>COUNTIFS(集計用!$G364,"*, "&amp;Q$3&amp;", *")</f>
        <v>0</v>
      </c>
      <c r="R366" s="2">
        <f>COUNTIFS(集計用!$G364,"*, "&amp;R$3&amp;", *")</f>
        <v>0</v>
      </c>
      <c r="S366" s="2">
        <f>COUNTIFS(集計用!$G364,"*, "&amp;S$3&amp;", *")</f>
        <v>0</v>
      </c>
      <c r="T366" s="2">
        <f>COUNTIFS(集計用!$G364,"*, "&amp;T$3&amp;", *")</f>
        <v>0</v>
      </c>
      <c r="U366" s="2">
        <f>COUNTIFS(集計用!$G364,"*, "&amp;U$3&amp;", *")</f>
        <v>1</v>
      </c>
      <c r="V366" s="2">
        <f>COUNTIFS(集計用!$G364,"*, "&amp;V$3&amp;", *")</f>
        <v>0</v>
      </c>
      <c r="W366" s="2">
        <f>COUNTIFS(集計用!$G364,"*, "&amp;W$3&amp;", *")</f>
        <v>0</v>
      </c>
      <c r="X366" s="2">
        <f>COUNTIFS(集計用!$G364,"*, "&amp;X$3&amp;", *")</f>
        <v>0</v>
      </c>
      <c r="Y366" s="2">
        <f>COUNTIFS(集計用!$G364,"*, "&amp;Y$3&amp;", *")</f>
        <v>0</v>
      </c>
      <c r="Z366" s="2">
        <f>COUNTIFS(集計用!$G364,"*, "&amp;Z$3&amp;", *")</f>
        <v>0</v>
      </c>
      <c r="AA366" s="2">
        <f>COUNTIFS(集計用!$G364,"*, "&amp;AA$3&amp;", *")</f>
        <v>1</v>
      </c>
      <c r="AB366" s="2">
        <f>COUNTIFS(集計用!$G364,"*, "&amp;AB$3&amp;", *")</f>
        <v>0</v>
      </c>
      <c r="AC366" s="2">
        <f>COUNTIFS(集計用!$G364,"*, "&amp;AC$3&amp;", *")</f>
        <v>0</v>
      </c>
      <c r="AD366" s="2">
        <f>COUNTIFS(集計用!$G364,"*, "&amp;AD$3&amp;", *")</f>
        <v>0</v>
      </c>
      <c r="AE366" s="2">
        <f>COUNTIFS(集計用!$G364,"*, "&amp;AE$3&amp;", *")</f>
        <v>0</v>
      </c>
      <c r="AF366" s="2">
        <f>COUNTIFS(集計用!$G364,"*, "&amp;AF$3&amp;", *")</f>
        <v>0</v>
      </c>
      <c r="AG366" s="2">
        <f>COUNTIFS(集計用!$G364,"*, "&amp;AG$3&amp;", *")</f>
        <v>1</v>
      </c>
      <c r="AH366" s="2">
        <f>COUNTIFS(集計用!$G364,"*, "&amp;AH$3&amp;", *")</f>
        <v>1</v>
      </c>
      <c r="AI366" s="2">
        <f>COUNTIFS(集計用!$G364,"*, "&amp;AI$3&amp;", *")</f>
        <v>0</v>
      </c>
      <c r="AJ366" s="2">
        <f>COUNTIFS(集計用!$G364,"*, "&amp;AJ$3&amp;", *")</f>
        <v>0</v>
      </c>
      <c r="AK366" s="2">
        <f>COUNTIFS(集計用!$G364,"*, "&amp;AK$3&amp;", *")</f>
        <v>0</v>
      </c>
      <c r="AL366" s="2">
        <f>COUNTIFS(集計用!$G364,"*, "&amp;AL$3&amp;", *")</f>
        <v>0</v>
      </c>
      <c r="AM366" s="2">
        <f>COUNTIFS(集計用!$G364,"*, "&amp;AM$3&amp;", *")</f>
        <v>0</v>
      </c>
      <c r="AN366" s="2">
        <f>COUNTIFS(集計用!$G364,"*, "&amp;AN$3&amp;", *")</f>
        <v>0</v>
      </c>
      <c r="AO366" s="2">
        <f>COUNTIFS(集計用!$G364,"*, "&amp;AO$3&amp;", *")</f>
        <v>0</v>
      </c>
      <c r="AP366" s="2">
        <f>COUNTIFS(集計用!$G364,"*, "&amp;AP$3&amp;", *")</f>
        <v>0</v>
      </c>
      <c r="AQ366" s="2">
        <f>COUNTIFS(集計用!$G364,"*, "&amp;AQ$3&amp;", *")</f>
        <v>0</v>
      </c>
      <c r="AR366" s="2">
        <f>COUNTIFS(集計用!$G364,"*, "&amp;AR$3&amp;", *")</f>
        <v>0</v>
      </c>
      <c r="AS366" s="2">
        <f>COUNTIFS(集計用!$G364,"*, "&amp;AS$3&amp;", *")</f>
        <v>0</v>
      </c>
      <c r="AT366" s="2">
        <f>COUNTIFS(集計用!$G364,"*, "&amp;AT$3&amp;", *")</f>
        <v>0</v>
      </c>
      <c r="AU366" s="2">
        <f>COUNTIFS(集計用!$G364,"*, "&amp;AU$3&amp;", *")</f>
        <v>0</v>
      </c>
      <c r="AV366" s="2">
        <f>COUNTIFS(集計用!$G364,"*, "&amp;AV$3&amp;", *")</f>
        <v>0</v>
      </c>
      <c r="AW366" s="2">
        <f>COUNTIFS(集計用!$G364,"*, "&amp;AW$3&amp;", *")</f>
        <v>0</v>
      </c>
      <c r="AX366" s="2">
        <f>COUNTIFS(集計用!$G364,"*, "&amp;AX$3&amp;", *")</f>
        <v>0</v>
      </c>
      <c r="AY366" s="2">
        <f>COUNTIFS(集計用!$G364,"*, "&amp;AY$3&amp;", *")</f>
        <v>0</v>
      </c>
      <c r="AZ366" s="2">
        <f>COUNTIFS(集計用!$G364,"*, "&amp;AZ$3&amp;", *")</f>
        <v>0</v>
      </c>
      <c r="BA366" s="2">
        <f>COUNTIFS(集計用!$G364,"*, "&amp;BA$3&amp;", *")</f>
        <v>0</v>
      </c>
      <c r="BB366" s="2">
        <f>COUNTIFS(集計用!$G364,"*, "&amp;BB$3&amp;", *")</f>
        <v>0</v>
      </c>
      <c r="BC366" s="2">
        <f>COUNTIFS(集計用!$G364,"*, "&amp;BC$3&amp;", *")</f>
        <v>0</v>
      </c>
      <c r="BD366" s="2">
        <f>COUNTIFS(集計用!$G364,"*, "&amp;BD$3&amp;", *")</f>
        <v>0</v>
      </c>
      <c r="BE366" s="2">
        <f>COUNTIFS(集計用!$G364,"*, "&amp;BE$3&amp;", *")</f>
        <v>0</v>
      </c>
      <c r="BF366" s="2">
        <f>COUNTIFS(集計用!$G364,"*, "&amp;BF$3&amp;", *")</f>
        <v>0</v>
      </c>
      <c r="BG366" s="2">
        <f>COUNTIFS(集計用!$G364,"*, "&amp;BG$3&amp;", *")</f>
        <v>0</v>
      </c>
      <c r="BH366" s="2">
        <f>COUNTIFS(集計用!$G364,"*, "&amp;BH$3&amp;", *")</f>
        <v>0</v>
      </c>
      <c r="BI366" s="2">
        <f>COUNTIFS(集計用!$G364,"*, "&amp;BI$3&amp;", *")</f>
        <v>0</v>
      </c>
      <c r="BJ366" s="2">
        <f>LEN(集計用!H364)-LEN(SUBSTITUTE(集計用!H364,",",""))</f>
        <v>0</v>
      </c>
    </row>
    <row r="367" spans="1:62" ht="12.75">
      <c r="A367" s="8">
        <v>364</v>
      </c>
      <c r="C367" s="2">
        <f t="shared" si="3"/>
        <v>6</v>
      </c>
      <c r="D367" s="9"/>
      <c r="E367" s="2">
        <f>COUNTIFS(集計用!$G365,"*, "&amp;E$3&amp;", *")</f>
        <v>1</v>
      </c>
      <c r="F367" s="2">
        <f>COUNTIFS(集計用!$G365,"*, "&amp;F$3&amp;", *")</f>
        <v>0</v>
      </c>
      <c r="G367" s="2">
        <f>COUNTIFS(集計用!$G365,"*, "&amp;G$3&amp;", *")</f>
        <v>1</v>
      </c>
      <c r="H367" s="2">
        <f>COUNTIFS(集計用!$G365,"*, "&amp;H$3&amp;", *")</f>
        <v>0</v>
      </c>
      <c r="I367" s="2">
        <f>COUNTIFS(集計用!$G365,"*, "&amp;I$3&amp;", *")</f>
        <v>1</v>
      </c>
      <c r="J367" s="2">
        <f>COUNTIFS(集計用!$G365,"*, "&amp;J$3&amp;", *")</f>
        <v>0</v>
      </c>
      <c r="K367" s="2">
        <f>COUNTIFS(集計用!$G365,"*, "&amp;K$3&amp;", *")</f>
        <v>0</v>
      </c>
      <c r="L367" s="2">
        <f>COUNTIFS(集計用!$G365,"*, "&amp;L$3&amp;", *")</f>
        <v>0</v>
      </c>
      <c r="M367" s="2">
        <f>COUNTIFS(集計用!$G365,"*, "&amp;M$3&amp;", *")</f>
        <v>1</v>
      </c>
      <c r="N367" s="2">
        <f>COUNTIFS(集計用!$G365,"*, "&amp;N$3&amp;", *")</f>
        <v>1</v>
      </c>
      <c r="O367" s="2">
        <f>COUNTIFS(集計用!$G365,"*, "&amp;O$3&amp;", *")</f>
        <v>0</v>
      </c>
      <c r="P367" s="2">
        <f>COUNTIFS(集計用!$G365,"*, "&amp;P$3&amp;", *")</f>
        <v>0</v>
      </c>
      <c r="Q367" s="2">
        <f>COUNTIFS(集計用!$G365,"*, "&amp;Q$3&amp;", *")</f>
        <v>0</v>
      </c>
      <c r="R367" s="2">
        <f>COUNTIFS(集計用!$G365,"*, "&amp;R$3&amp;", *")</f>
        <v>0</v>
      </c>
      <c r="S367" s="2">
        <f>COUNTIFS(集計用!$G365,"*, "&amp;S$3&amp;", *")</f>
        <v>0</v>
      </c>
      <c r="T367" s="2">
        <f>COUNTIFS(集計用!$G365,"*, "&amp;T$3&amp;", *")</f>
        <v>0</v>
      </c>
      <c r="U367" s="2">
        <f>COUNTIFS(集計用!$G365,"*, "&amp;U$3&amp;", *")</f>
        <v>0</v>
      </c>
      <c r="V367" s="2">
        <f>COUNTIFS(集計用!$G365,"*, "&amp;V$3&amp;", *")</f>
        <v>0</v>
      </c>
      <c r="W367" s="2">
        <f>COUNTIFS(集計用!$G365,"*, "&amp;W$3&amp;", *")</f>
        <v>0</v>
      </c>
      <c r="X367" s="2">
        <f>COUNTIFS(集計用!$G365,"*, "&amp;X$3&amp;", *")</f>
        <v>1</v>
      </c>
      <c r="Y367" s="2">
        <f>COUNTIFS(集計用!$G365,"*, "&amp;Y$3&amp;", *")</f>
        <v>0</v>
      </c>
      <c r="Z367" s="2">
        <f>COUNTIFS(集計用!$G365,"*, "&amp;Z$3&amp;", *")</f>
        <v>0</v>
      </c>
      <c r="AA367" s="2">
        <f>COUNTIFS(集計用!$G365,"*, "&amp;AA$3&amp;", *")</f>
        <v>0</v>
      </c>
      <c r="AB367" s="2">
        <f>COUNTIFS(集計用!$G365,"*, "&amp;AB$3&amp;", *")</f>
        <v>0</v>
      </c>
      <c r="AC367" s="2">
        <f>COUNTIFS(集計用!$G365,"*, "&amp;AC$3&amp;", *")</f>
        <v>0</v>
      </c>
      <c r="AD367" s="2">
        <f>COUNTIFS(集計用!$G365,"*, "&amp;AD$3&amp;", *")</f>
        <v>0</v>
      </c>
      <c r="AE367" s="2">
        <f>COUNTIFS(集計用!$G365,"*, "&amp;AE$3&amp;", *")</f>
        <v>0</v>
      </c>
      <c r="AF367" s="2">
        <f>COUNTIFS(集計用!$G365,"*, "&amp;AF$3&amp;", *")</f>
        <v>0</v>
      </c>
      <c r="AG367" s="2">
        <f>COUNTIFS(集計用!$G365,"*, "&amp;AG$3&amp;", *")</f>
        <v>0</v>
      </c>
      <c r="AH367" s="2">
        <f>COUNTIFS(集計用!$G365,"*, "&amp;AH$3&amp;", *")</f>
        <v>0</v>
      </c>
      <c r="AI367" s="2">
        <f>COUNTIFS(集計用!$G365,"*, "&amp;AI$3&amp;", *")</f>
        <v>0</v>
      </c>
      <c r="AJ367" s="2">
        <f>COUNTIFS(集計用!$G365,"*, "&amp;AJ$3&amp;", *")</f>
        <v>0</v>
      </c>
      <c r="AK367" s="2">
        <f>COUNTIFS(集計用!$G365,"*, "&amp;AK$3&amp;", *")</f>
        <v>0</v>
      </c>
      <c r="AL367" s="2">
        <f>COUNTIFS(集計用!$G365,"*, "&amp;AL$3&amp;", *")</f>
        <v>0</v>
      </c>
      <c r="AM367" s="2">
        <f>COUNTIFS(集計用!$G365,"*, "&amp;AM$3&amp;", *")</f>
        <v>0</v>
      </c>
      <c r="AN367" s="2">
        <f>COUNTIFS(集計用!$G365,"*, "&amp;AN$3&amp;", *")</f>
        <v>0</v>
      </c>
      <c r="AO367" s="2">
        <f>COUNTIFS(集計用!$G365,"*, "&amp;AO$3&amp;", *")</f>
        <v>0</v>
      </c>
      <c r="AP367" s="2">
        <f>COUNTIFS(集計用!$G365,"*, "&amp;AP$3&amp;", *")</f>
        <v>0</v>
      </c>
      <c r="AQ367" s="2">
        <f>COUNTIFS(集計用!$G365,"*, "&amp;AQ$3&amp;", *")</f>
        <v>0</v>
      </c>
      <c r="AR367" s="2">
        <f>COUNTIFS(集計用!$G365,"*, "&amp;AR$3&amp;", *")</f>
        <v>0</v>
      </c>
      <c r="AS367" s="2">
        <f>COUNTIFS(集計用!$G365,"*, "&amp;AS$3&amp;", *")</f>
        <v>0</v>
      </c>
      <c r="AT367" s="2">
        <f>COUNTIFS(集計用!$G365,"*, "&amp;AT$3&amp;", *")</f>
        <v>0</v>
      </c>
      <c r="AU367" s="2">
        <f>COUNTIFS(集計用!$G365,"*, "&amp;AU$3&amp;", *")</f>
        <v>0</v>
      </c>
      <c r="AV367" s="2">
        <f>COUNTIFS(集計用!$G365,"*, "&amp;AV$3&amp;", *")</f>
        <v>0</v>
      </c>
      <c r="AW367" s="2">
        <f>COUNTIFS(集計用!$G365,"*, "&amp;AW$3&amp;", *")</f>
        <v>0</v>
      </c>
      <c r="AX367" s="2">
        <f>COUNTIFS(集計用!$G365,"*, "&amp;AX$3&amp;", *")</f>
        <v>0</v>
      </c>
      <c r="AY367" s="2">
        <f>COUNTIFS(集計用!$G365,"*, "&amp;AY$3&amp;", *")</f>
        <v>0</v>
      </c>
      <c r="AZ367" s="2">
        <f>COUNTIFS(集計用!$G365,"*, "&amp;AZ$3&amp;", *")</f>
        <v>0</v>
      </c>
      <c r="BA367" s="2">
        <f>COUNTIFS(集計用!$G365,"*, "&amp;BA$3&amp;", *")</f>
        <v>0</v>
      </c>
      <c r="BB367" s="2">
        <f>COUNTIFS(集計用!$G365,"*, "&amp;BB$3&amp;", *")</f>
        <v>0</v>
      </c>
      <c r="BC367" s="2">
        <f>COUNTIFS(集計用!$G365,"*, "&amp;BC$3&amp;", *")</f>
        <v>0</v>
      </c>
      <c r="BD367" s="2">
        <f>COUNTIFS(集計用!$G365,"*, "&amp;BD$3&amp;", *")</f>
        <v>0</v>
      </c>
      <c r="BE367" s="2">
        <f>COUNTIFS(集計用!$G365,"*, "&amp;BE$3&amp;", *")</f>
        <v>0</v>
      </c>
      <c r="BF367" s="2">
        <f>COUNTIFS(集計用!$G365,"*, "&amp;BF$3&amp;", *")</f>
        <v>0</v>
      </c>
      <c r="BG367" s="2">
        <f>COUNTIFS(集計用!$G365,"*, "&amp;BG$3&amp;", *")</f>
        <v>0</v>
      </c>
      <c r="BH367" s="2">
        <f>COUNTIFS(集計用!$G365,"*, "&amp;BH$3&amp;", *")</f>
        <v>0</v>
      </c>
      <c r="BI367" s="2">
        <f>COUNTIFS(集計用!$G365,"*, "&amp;BI$3&amp;", *")</f>
        <v>0</v>
      </c>
      <c r="BJ367" s="2">
        <f>LEN(集計用!H365)-LEN(SUBSTITUTE(集計用!H365,",",""))</f>
        <v>0</v>
      </c>
    </row>
    <row r="368" spans="1:62" ht="12.75">
      <c r="A368" s="8">
        <v>365</v>
      </c>
      <c r="C368" s="2">
        <f t="shared" si="3"/>
        <v>2</v>
      </c>
      <c r="D368" s="9"/>
      <c r="E368" s="2">
        <f>COUNTIFS(集計用!$G366,"*, "&amp;E$3&amp;", *")</f>
        <v>0</v>
      </c>
      <c r="F368" s="2">
        <f>COUNTIFS(集計用!$G366,"*, "&amp;F$3&amp;", *")</f>
        <v>1</v>
      </c>
      <c r="G368" s="2">
        <f>COUNTIFS(集計用!$G366,"*, "&amp;G$3&amp;", *")</f>
        <v>0</v>
      </c>
      <c r="H368" s="2">
        <f>COUNTIFS(集計用!$G366,"*, "&amp;H$3&amp;", *")</f>
        <v>0</v>
      </c>
      <c r="I368" s="2">
        <f>COUNTIFS(集計用!$G366,"*, "&amp;I$3&amp;", *")</f>
        <v>0</v>
      </c>
      <c r="J368" s="2">
        <f>COUNTIFS(集計用!$G366,"*, "&amp;J$3&amp;", *")</f>
        <v>0</v>
      </c>
      <c r="K368" s="2">
        <f>COUNTIFS(集計用!$G366,"*, "&amp;K$3&amp;", *")</f>
        <v>0</v>
      </c>
      <c r="L368" s="2">
        <f>COUNTIFS(集計用!$G366,"*, "&amp;L$3&amp;", *")</f>
        <v>0</v>
      </c>
      <c r="M368" s="2">
        <f>COUNTIFS(集計用!$G366,"*, "&amp;M$3&amp;", *")</f>
        <v>1</v>
      </c>
      <c r="N368" s="2">
        <f>COUNTIFS(集計用!$G366,"*, "&amp;N$3&amp;", *")</f>
        <v>0</v>
      </c>
      <c r="O368" s="2">
        <f>COUNTIFS(集計用!$G366,"*, "&amp;O$3&amp;", *")</f>
        <v>0</v>
      </c>
      <c r="P368" s="2">
        <f>COUNTIFS(集計用!$G366,"*, "&amp;P$3&amp;", *")</f>
        <v>0</v>
      </c>
      <c r="Q368" s="2">
        <f>COUNTIFS(集計用!$G366,"*, "&amp;Q$3&amp;", *")</f>
        <v>0</v>
      </c>
      <c r="R368" s="2">
        <f>COUNTIFS(集計用!$G366,"*, "&amp;R$3&amp;", *")</f>
        <v>0</v>
      </c>
      <c r="S368" s="2">
        <f>COUNTIFS(集計用!$G366,"*, "&amp;S$3&amp;", *")</f>
        <v>0</v>
      </c>
      <c r="T368" s="2">
        <f>COUNTIFS(集計用!$G366,"*, "&amp;T$3&amp;", *")</f>
        <v>0</v>
      </c>
      <c r="U368" s="2">
        <f>COUNTIFS(集計用!$G366,"*, "&amp;U$3&amp;", *")</f>
        <v>0</v>
      </c>
      <c r="V368" s="2">
        <f>COUNTIFS(集計用!$G366,"*, "&amp;V$3&amp;", *")</f>
        <v>0</v>
      </c>
      <c r="W368" s="2">
        <f>COUNTIFS(集計用!$G366,"*, "&amp;W$3&amp;", *")</f>
        <v>0</v>
      </c>
      <c r="X368" s="2">
        <f>COUNTIFS(集計用!$G366,"*, "&amp;X$3&amp;", *")</f>
        <v>0</v>
      </c>
      <c r="Y368" s="2">
        <f>COUNTIFS(集計用!$G366,"*, "&amp;Y$3&amp;", *")</f>
        <v>0</v>
      </c>
      <c r="Z368" s="2">
        <f>COUNTIFS(集計用!$G366,"*, "&amp;Z$3&amp;", *")</f>
        <v>0</v>
      </c>
      <c r="AA368" s="2">
        <f>COUNTIFS(集計用!$G366,"*, "&amp;AA$3&amp;", *")</f>
        <v>0</v>
      </c>
      <c r="AB368" s="2">
        <f>COUNTIFS(集計用!$G366,"*, "&amp;AB$3&amp;", *")</f>
        <v>0</v>
      </c>
      <c r="AC368" s="2">
        <f>COUNTIFS(集計用!$G366,"*, "&amp;AC$3&amp;", *")</f>
        <v>0</v>
      </c>
      <c r="AD368" s="2">
        <f>COUNTIFS(集計用!$G366,"*, "&amp;AD$3&amp;", *")</f>
        <v>0</v>
      </c>
      <c r="AE368" s="2">
        <f>COUNTIFS(集計用!$G366,"*, "&amp;AE$3&amp;", *")</f>
        <v>0</v>
      </c>
      <c r="AF368" s="2">
        <f>COUNTIFS(集計用!$G366,"*, "&amp;AF$3&amp;", *")</f>
        <v>0</v>
      </c>
      <c r="AG368" s="2">
        <f>COUNTIFS(集計用!$G366,"*, "&amp;AG$3&amp;", *")</f>
        <v>0</v>
      </c>
      <c r="AH368" s="2">
        <f>COUNTIFS(集計用!$G366,"*, "&amp;AH$3&amp;", *")</f>
        <v>0</v>
      </c>
      <c r="AI368" s="2">
        <f>COUNTIFS(集計用!$G366,"*, "&amp;AI$3&amp;", *")</f>
        <v>0</v>
      </c>
      <c r="AJ368" s="2">
        <f>COUNTIFS(集計用!$G366,"*, "&amp;AJ$3&amp;", *")</f>
        <v>0</v>
      </c>
      <c r="AK368" s="2">
        <f>COUNTIFS(集計用!$G366,"*, "&amp;AK$3&amp;", *")</f>
        <v>0</v>
      </c>
      <c r="AL368" s="2">
        <f>COUNTIFS(集計用!$G366,"*, "&amp;AL$3&amp;", *")</f>
        <v>0</v>
      </c>
      <c r="AM368" s="2">
        <f>COUNTIFS(集計用!$G366,"*, "&amp;AM$3&amp;", *")</f>
        <v>0</v>
      </c>
      <c r="AN368" s="2">
        <f>COUNTIFS(集計用!$G366,"*, "&amp;AN$3&amp;", *")</f>
        <v>0</v>
      </c>
      <c r="AO368" s="2">
        <f>COUNTIFS(集計用!$G366,"*, "&amp;AO$3&amp;", *")</f>
        <v>0</v>
      </c>
      <c r="AP368" s="2">
        <f>COUNTIFS(集計用!$G366,"*, "&amp;AP$3&amp;", *")</f>
        <v>0</v>
      </c>
      <c r="AQ368" s="2">
        <f>COUNTIFS(集計用!$G366,"*, "&amp;AQ$3&amp;", *")</f>
        <v>0</v>
      </c>
      <c r="AR368" s="2">
        <f>COUNTIFS(集計用!$G366,"*, "&amp;AR$3&amp;", *")</f>
        <v>0</v>
      </c>
      <c r="AS368" s="2">
        <f>COUNTIFS(集計用!$G366,"*, "&amp;AS$3&amp;", *")</f>
        <v>0</v>
      </c>
      <c r="AT368" s="2">
        <f>COUNTIFS(集計用!$G366,"*, "&amp;AT$3&amp;", *")</f>
        <v>0</v>
      </c>
      <c r="AU368" s="2">
        <f>COUNTIFS(集計用!$G366,"*, "&amp;AU$3&amp;", *")</f>
        <v>0</v>
      </c>
      <c r="AV368" s="2">
        <f>COUNTIFS(集計用!$G366,"*, "&amp;AV$3&amp;", *")</f>
        <v>0</v>
      </c>
      <c r="AW368" s="2">
        <f>COUNTIFS(集計用!$G366,"*, "&amp;AW$3&amp;", *")</f>
        <v>0</v>
      </c>
      <c r="AX368" s="2">
        <f>COUNTIFS(集計用!$G366,"*, "&amp;AX$3&amp;", *")</f>
        <v>0</v>
      </c>
      <c r="AY368" s="2">
        <f>COUNTIFS(集計用!$G366,"*, "&amp;AY$3&amp;", *")</f>
        <v>0</v>
      </c>
      <c r="AZ368" s="2">
        <f>COUNTIFS(集計用!$G366,"*, "&amp;AZ$3&amp;", *")</f>
        <v>0</v>
      </c>
      <c r="BA368" s="2">
        <f>COUNTIFS(集計用!$G366,"*, "&amp;BA$3&amp;", *")</f>
        <v>0</v>
      </c>
      <c r="BB368" s="2">
        <f>COUNTIFS(集計用!$G366,"*, "&amp;BB$3&amp;", *")</f>
        <v>0</v>
      </c>
      <c r="BC368" s="2">
        <f>COUNTIFS(集計用!$G366,"*, "&amp;BC$3&amp;", *")</f>
        <v>0</v>
      </c>
      <c r="BD368" s="2">
        <f>COUNTIFS(集計用!$G366,"*, "&amp;BD$3&amp;", *")</f>
        <v>0</v>
      </c>
      <c r="BE368" s="2">
        <f>COUNTIFS(集計用!$G366,"*, "&amp;BE$3&amp;", *")</f>
        <v>0</v>
      </c>
      <c r="BF368" s="2">
        <f>COUNTIFS(集計用!$G366,"*, "&amp;BF$3&amp;", *")</f>
        <v>0</v>
      </c>
      <c r="BG368" s="2">
        <f>COUNTIFS(集計用!$G366,"*, "&amp;BG$3&amp;", *")</f>
        <v>0</v>
      </c>
      <c r="BH368" s="2">
        <f>COUNTIFS(集計用!$G366,"*, "&amp;BH$3&amp;", *")</f>
        <v>0</v>
      </c>
      <c r="BI368" s="2">
        <f>COUNTIFS(集計用!$G366,"*, "&amp;BI$3&amp;", *")</f>
        <v>0</v>
      </c>
      <c r="BJ368" s="2">
        <f>LEN(集計用!H366)-LEN(SUBSTITUTE(集計用!H366,",",""))</f>
        <v>0</v>
      </c>
    </row>
    <row r="369" spans="1:62" ht="12.75">
      <c r="A369" s="8">
        <v>366</v>
      </c>
      <c r="C369" s="2">
        <f t="shared" si="3"/>
        <v>9</v>
      </c>
      <c r="D369" s="9"/>
      <c r="E369" s="2">
        <f>COUNTIFS(集計用!$G367,"*, "&amp;E$3&amp;", *")</f>
        <v>1</v>
      </c>
      <c r="F369" s="2">
        <f>COUNTIFS(集計用!$G367,"*, "&amp;F$3&amp;", *")</f>
        <v>1</v>
      </c>
      <c r="G369" s="2">
        <f>COUNTIFS(集計用!$G367,"*, "&amp;G$3&amp;", *")</f>
        <v>1</v>
      </c>
      <c r="H369" s="2">
        <f>COUNTIFS(集計用!$G367,"*, "&amp;H$3&amp;", *")</f>
        <v>1</v>
      </c>
      <c r="I369" s="2">
        <f>COUNTIFS(集計用!$G367,"*, "&amp;I$3&amp;", *")</f>
        <v>1</v>
      </c>
      <c r="J369" s="2">
        <f>COUNTIFS(集計用!$G367,"*, "&amp;J$3&amp;", *")</f>
        <v>0</v>
      </c>
      <c r="K369" s="2">
        <f>COUNTIFS(集計用!$G367,"*, "&amp;K$3&amp;", *")</f>
        <v>0</v>
      </c>
      <c r="L369" s="2">
        <f>COUNTIFS(集計用!$G367,"*, "&amp;L$3&amp;", *")</f>
        <v>1</v>
      </c>
      <c r="M369" s="2">
        <f>COUNTIFS(集計用!$G367,"*, "&amp;M$3&amp;", *")</f>
        <v>0</v>
      </c>
      <c r="N369" s="2">
        <f>COUNTIFS(集計用!$G367,"*, "&amp;N$3&amp;", *")</f>
        <v>0</v>
      </c>
      <c r="O369" s="2">
        <f>COUNTIFS(集計用!$G367,"*, "&amp;O$3&amp;", *")</f>
        <v>0</v>
      </c>
      <c r="P369" s="2">
        <f>COUNTIFS(集計用!$G367,"*, "&amp;P$3&amp;", *")</f>
        <v>0</v>
      </c>
      <c r="Q369" s="2">
        <f>COUNTIFS(集計用!$G367,"*, "&amp;Q$3&amp;", *")</f>
        <v>1</v>
      </c>
      <c r="R369" s="2">
        <f>COUNTIFS(集計用!$G367,"*, "&amp;R$3&amp;", *")</f>
        <v>1</v>
      </c>
      <c r="S369" s="2">
        <f>COUNTIFS(集計用!$G367,"*, "&amp;S$3&amp;", *")</f>
        <v>0</v>
      </c>
      <c r="T369" s="2">
        <f>COUNTIFS(集計用!$G367,"*, "&amp;T$3&amp;", *")</f>
        <v>0</v>
      </c>
      <c r="U369" s="2">
        <f>COUNTIFS(集計用!$G367,"*, "&amp;U$3&amp;", *")</f>
        <v>0</v>
      </c>
      <c r="V369" s="2">
        <f>COUNTIFS(集計用!$G367,"*, "&amp;V$3&amp;", *")</f>
        <v>0</v>
      </c>
      <c r="W369" s="2">
        <f>COUNTIFS(集計用!$G367,"*, "&amp;W$3&amp;", *")</f>
        <v>0</v>
      </c>
      <c r="X369" s="2">
        <f>COUNTIFS(集計用!$G367,"*, "&amp;X$3&amp;", *")</f>
        <v>0</v>
      </c>
      <c r="Y369" s="2">
        <f>COUNTIFS(集計用!$G367,"*, "&amp;Y$3&amp;", *")</f>
        <v>0</v>
      </c>
      <c r="Z369" s="2">
        <f>COUNTIFS(集計用!$G367,"*, "&amp;Z$3&amp;", *")</f>
        <v>0</v>
      </c>
      <c r="AA369" s="2">
        <f>COUNTIFS(集計用!$G367,"*, "&amp;AA$3&amp;", *")</f>
        <v>0</v>
      </c>
      <c r="AB369" s="2">
        <f>COUNTIFS(集計用!$G367,"*, "&amp;AB$3&amp;", *")</f>
        <v>0</v>
      </c>
      <c r="AC369" s="2">
        <f>COUNTIFS(集計用!$G367,"*, "&amp;AC$3&amp;", *")</f>
        <v>0</v>
      </c>
      <c r="AD369" s="2">
        <f>COUNTIFS(集計用!$G367,"*, "&amp;AD$3&amp;", *")</f>
        <v>0</v>
      </c>
      <c r="AE369" s="2">
        <f>COUNTIFS(集計用!$G367,"*, "&amp;AE$3&amp;", *")</f>
        <v>1</v>
      </c>
      <c r="AF369" s="2">
        <f>COUNTIFS(集計用!$G367,"*, "&amp;AF$3&amp;", *")</f>
        <v>0</v>
      </c>
      <c r="AG369" s="2">
        <f>COUNTIFS(集計用!$G367,"*, "&amp;AG$3&amp;", *")</f>
        <v>0</v>
      </c>
      <c r="AH369" s="2">
        <f>COUNTIFS(集計用!$G367,"*, "&amp;AH$3&amp;", *")</f>
        <v>0</v>
      </c>
      <c r="AI369" s="2">
        <f>COUNTIFS(集計用!$G367,"*, "&amp;AI$3&amp;", *")</f>
        <v>0</v>
      </c>
      <c r="AJ369" s="2">
        <f>COUNTIFS(集計用!$G367,"*, "&amp;AJ$3&amp;", *")</f>
        <v>0</v>
      </c>
      <c r="AK369" s="2">
        <f>COUNTIFS(集計用!$G367,"*, "&amp;AK$3&amp;", *")</f>
        <v>0</v>
      </c>
      <c r="AL369" s="2">
        <f>COUNTIFS(集計用!$G367,"*, "&amp;AL$3&amp;", *")</f>
        <v>0</v>
      </c>
      <c r="AM369" s="2">
        <f>COUNTIFS(集計用!$G367,"*, "&amp;AM$3&amp;", *")</f>
        <v>0</v>
      </c>
      <c r="AN369" s="2">
        <f>COUNTIFS(集計用!$G367,"*, "&amp;AN$3&amp;", *")</f>
        <v>0</v>
      </c>
      <c r="AO369" s="2">
        <f>COUNTIFS(集計用!$G367,"*, "&amp;AO$3&amp;", *")</f>
        <v>0</v>
      </c>
      <c r="AP369" s="2">
        <f>COUNTIFS(集計用!$G367,"*, "&amp;AP$3&amp;", *")</f>
        <v>0</v>
      </c>
      <c r="AQ369" s="2">
        <f>COUNTIFS(集計用!$G367,"*, "&amp;AQ$3&amp;", *")</f>
        <v>0</v>
      </c>
      <c r="AR369" s="2">
        <f>COUNTIFS(集計用!$G367,"*, "&amp;AR$3&amp;", *")</f>
        <v>0</v>
      </c>
      <c r="AS369" s="2">
        <f>COUNTIFS(集計用!$G367,"*, "&amp;AS$3&amp;", *")</f>
        <v>0</v>
      </c>
      <c r="AT369" s="2">
        <f>COUNTIFS(集計用!$G367,"*, "&amp;AT$3&amp;", *")</f>
        <v>0</v>
      </c>
      <c r="AU369" s="2">
        <f>COUNTIFS(集計用!$G367,"*, "&amp;AU$3&amp;", *")</f>
        <v>0</v>
      </c>
      <c r="AV369" s="2">
        <f>COUNTIFS(集計用!$G367,"*, "&amp;AV$3&amp;", *")</f>
        <v>0</v>
      </c>
      <c r="AW369" s="2">
        <f>COUNTIFS(集計用!$G367,"*, "&amp;AW$3&amp;", *")</f>
        <v>0</v>
      </c>
      <c r="AX369" s="2">
        <f>COUNTIFS(集計用!$G367,"*, "&amp;AX$3&amp;", *")</f>
        <v>0</v>
      </c>
      <c r="AY369" s="2">
        <f>COUNTIFS(集計用!$G367,"*, "&amp;AY$3&amp;", *")</f>
        <v>0</v>
      </c>
      <c r="AZ369" s="2">
        <f>COUNTIFS(集計用!$G367,"*, "&amp;AZ$3&amp;", *")</f>
        <v>0</v>
      </c>
      <c r="BA369" s="2">
        <f>COUNTIFS(集計用!$G367,"*, "&amp;BA$3&amp;", *")</f>
        <v>0</v>
      </c>
      <c r="BB369" s="2">
        <f>COUNTIFS(集計用!$G367,"*, "&amp;BB$3&amp;", *")</f>
        <v>0</v>
      </c>
      <c r="BC369" s="2">
        <f>COUNTIFS(集計用!$G367,"*, "&amp;BC$3&amp;", *")</f>
        <v>0</v>
      </c>
      <c r="BD369" s="2">
        <f>COUNTIFS(集計用!$G367,"*, "&amp;BD$3&amp;", *")</f>
        <v>0</v>
      </c>
      <c r="BE369" s="2">
        <f>COUNTIFS(集計用!$G367,"*, "&amp;BE$3&amp;", *")</f>
        <v>0</v>
      </c>
      <c r="BF369" s="2">
        <f>COUNTIFS(集計用!$G367,"*, "&amp;BF$3&amp;", *")</f>
        <v>0</v>
      </c>
      <c r="BG369" s="2">
        <f>COUNTIFS(集計用!$G367,"*, "&amp;BG$3&amp;", *")</f>
        <v>0</v>
      </c>
      <c r="BH369" s="2">
        <f>COUNTIFS(集計用!$G367,"*, "&amp;BH$3&amp;", *")</f>
        <v>0</v>
      </c>
      <c r="BI369" s="2">
        <f>COUNTIFS(集計用!$G367,"*, "&amp;BI$3&amp;", *")</f>
        <v>0</v>
      </c>
      <c r="BJ369" s="2">
        <f>LEN(集計用!H367)-LEN(SUBSTITUTE(集計用!H367,",",""))</f>
        <v>0</v>
      </c>
    </row>
    <row r="370" spans="1:62" ht="12.75">
      <c r="A370" s="8">
        <v>367</v>
      </c>
      <c r="C370" s="2">
        <f t="shared" si="3"/>
        <v>2</v>
      </c>
      <c r="D370" s="9"/>
      <c r="E370" s="2">
        <f>COUNTIFS(集計用!$G368,"*, "&amp;E$3&amp;", *")</f>
        <v>0</v>
      </c>
      <c r="F370" s="2">
        <f>COUNTIFS(集計用!$G368,"*, "&amp;F$3&amp;", *")</f>
        <v>0</v>
      </c>
      <c r="G370" s="2">
        <f>COUNTIFS(集計用!$G368,"*, "&amp;G$3&amp;", *")</f>
        <v>0</v>
      </c>
      <c r="H370" s="2">
        <f>COUNTIFS(集計用!$G368,"*, "&amp;H$3&amp;", *")</f>
        <v>1</v>
      </c>
      <c r="I370" s="2">
        <f>COUNTIFS(集計用!$G368,"*, "&amp;I$3&amp;", *")</f>
        <v>0</v>
      </c>
      <c r="J370" s="2">
        <f>COUNTIFS(集計用!$G368,"*, "&amp;J$3&amp;", *")</f>
        <v>0</v>
      </c>
      <c r="K370" s="2">
        <f>COUNTIFS(集計用!$G368,"*, "&amp;K$3&amp;", *")</f>
        <v>0</v>
      </c>
      <c r="L370" s="2">
        <f>COUNTIFS(集計用!$G368,"*, "&amp;L$3&amp;", *")</f>
        <v>0</v>
      </c>
      <c r="M370" s="2">
        <f>COUNTIFS(集計用!$G368,"*, "&amp;M$3&amp;", *")</f>
        <v>0</v>
      </c>
      <c r="N370" s="2">
        <f>COUNTIFS(集計用!$G368,"*, "&amp;N$3&amp;", *")</f>
        <v>0</v>
      </c>
      <c r="O370" s="2">
        <f>COUNTIFS(集計用!$G368,"*, "&amp;O$3&amp;", *")</f>
        <v>0</v>
      </c>
      <c r="P370" s="2">
        <f>COUNTIFS(集計用!$G368,"*, "&amp;P$3&amp;", *")</f>
        <v>0</v>
      </c>
      <c r="Q370" s="2">
        <f>COUNTIFS(集計用!$G368,"*, "&amp;Q$3&amp;", *")</f>
        <v>0</v>
      </c>
      <c r="R370" s="2">
        <f>COUNTIFS(集計用!$G368,"*, "&amp;R$3&amp;", *")</f>
        <v>0</v>
      </c>
      <c r="S370" s="2">
        <f>COUNTIFS(集計用!$G368,"*, "&amp;S$3&amp;", *")</f>
        <v>0</v>
      </c>
      <c r="T370" s="2">
        <f>COUNTIFS(集計用!$G368,"*, "&amp;T$3&amp;", *")</f>
        <v>0</v>
      </c>
      <c r="U370" s="2">
        <f>COUNTIFS(集計用!$G368,"*, "&amp;U$3&amp;", *")</f>
        <v>0</v>
      </c>
      <c r="V370" s="2">
        <f>COUNTIFS(集計用!$G368,"*, "&amp;V$3&amp;", *")</f>
        <v>0</v>
      </c>
      <c r="W370" s="2">
        <f>COUNTIFS(集計用!$G368,"*, "&amp;W$3&amp;", *")</f>
        <v>0</v>
      </c>
      <c r="X370" s="2">
        <f>COUNTIFS(集計用!$G368,"*, "&amp;X$3&amp;", *")</f>
        <v>0</v>
      </c>
      <c r="Y370" s="2">
        <f>COUNTIFS(集計用!$G368,"*, "&amp;Y$3&amp;", *")</f>
        <v>0</v>
      </c>
      <c r="Z370" s="2">
        <f>COUNTIFS(集計用!$G368,"*, "&amp;Z$3&amp;", *")</f>
        <v>1</v>
      </c>
      <c r="AA370" s="2">
        <f>COUNTIFS(集計用!$G368,"*, "&amp;AA$3&amp;", *")</f>
        <v>0</v>
      </c>
      <c r="AB370" s="2">
        <f>COUNTIFS(集計用!$G368,"*, "&amp;AB$3&amp;", *")</f>
        <v>0</v>
      </c>
      <c r="AC370" s="2">
        <f>COUNTIFS(集計用!$G368,"*, "&amp;AC$3&amp;", *")</f>
        <v>0</v>
      </c>
      <c r="AD370" s="2">
        <f>COUNTIFS(集計用!$G368,"*, "&amp;AD$3&amp;", *")</f>
        <v>0</v>
      </c>
      <c r="AE370" s="2">
        <f>COUNTIFS(集計用!$G368,"*, "&amp;AE$3&amp;", *")</f>
        <v>0</v>
      </c>
      <c r="AF370" s="2">
        <f>COUNTIFS(集計用!$G368,"*, "&amp;AF$3&amp;", *")</f>
        <v>0</v>
      </c>
      <c r="AG370" s="2">
        <f>COUNTIFS(集計用!$G368,"*, "&amp;AG$3&amp;", *")</f>
        <v>0</v>
      </c>
      <c r="AH370" s="2">
        <f>COUNTIFS(集計用!$G368,"*, "&amp;AH$3&amp;", *")</f>
        <v>0</v>
      </c>
      <c r="AI370" s="2">
        <f>COUNTIFS(集計用!$G368,"*, "&amp;AI$3&amp;", *")</f>
        <v>0</v>
      </c>
      <c r="AJ370" s="2">
        <f>COUNTIFS(集計用!$G368,"*, "&amp;AJ$3&amp;", *")</f>
        <v>0</v>
      </c>
      <c r="AK370" s="2">
        <f>COUNTIFS(集計用!$G368,"*, "&amp;AK$3&amp;", *")</f>
        <v>0</v>
      </c>
      <c r="AL370" s="2">
        <f>COUNTIFS(集計用!$G368,"*, "&amp;AL$3&amp;", *")</f>
        <v>0</v>
      </c>
      <c r="AM370" s="2">
        <f>COUNTIFS(集計用!$G368,"*, "&amp;AM$3&amp;", *")</f>
        <v>0</v>
      </c>
      <c r="AN370" s="2">
        <f>COUNTIFS(集計用!$G368,"*, "&amp;AN$3&amp;", *")</f>
        <v>0</v>
      </c>
      <c r="AO370" s="2">
        <f>COUNTIFS(集計用!$G368,"*, "&amp;AO$3&amp;", *")</f>
        <v>0</v>
      </c>
      <c r="AP370" s="2">
        <f>COUNTIFS(集計用!$G368,"*, "&amp;AP$3&amp;", *")</f>
        <v>0</v>
      </c>
      <c r="AQ370" s="2">
        <f>COUNTIFS(集計用!$G368,"*, "&amp;AQ$3&amp;", *")</f>
        <v>0</v>
      </c>
      <c r="AR370" s="2">
        <f>COUNTIFS(集計用!$G368,"*, "&amp;AR$3&amp;", *")</f>
        <v>0</v>
      </c>
      <c r="AS370" s="2">
        <f>COUNTIFS(集計用!$G368,"*, "&amp;AS$3&amp;", *")</f>
        <v>0</v>
      </c>
      <c r="AT370" s="2">
        <f>COUNTIFS(集計用!$G368,"*, "&amp;AT$3&amp;", *")</f>
        <v>0</v>
      </c>
      <c r="AU370" s="2">
        <f>COUNTIFS(集計用!$G368,"*, "&amp;AU$3&amp;", *")</f>
        <v>0</v>
      </c>
      <c r="AV370" s="2">
        <f>COUNTIFS(集計用!$G368,"*, "&amp;AV$3&amp;", *")</f>
        <v>0</v>
      </c>
      <c r="AW370" s="2">
        <f>COUNTIFS(集計用!$G368,"*, "&amp;AW$3&amp;", *")</f>
        <v>0</v>
      </c>
      <c r="AX370" s="2">
        <f>COUNTIFS(集計用!$G368,"*, "&amp;AX$3&amp;", *")</f>
        <v>0</v>
      </c>
      <c r="AY370" s="2">
        <f>COUNTIFS(集計用!$G368,"*, "&amp;AY$3&amp;", *")</f>
        <v>0</v>
      </c>
      <c r="AZ370" s="2">
        <f>COUNTIFS(集計用!$G368,"*, "&amp;AZ$3&amp;", *")</f>
        <v>0</v>
      </c>
      <c r="BA370" s="2">
        <f>COUNTIFS(集計用!$G368,"*, "&amp;BA$3&amp;", *")</f>
        <v>0</v>
      </c>
      <c r="BB370" s="2">
        <f>COUNTIFS(集計用!$G368,"*, "&amp;BB$3&amp;", *")</f>
        <v>0</v>
      </c>
      <c r="BC370" s="2">
        <f>COUNTIFS(集計用!$G368,"*, "&amp;BC$3&amp;", *")</f>
        <v>0</v>
      </c>
      <c r="BD370" s="2">
        <f>COUNTIFS(集計用!$G368,"*, "&amp;BD$3&amp;", *")</f>
        <v>0</v>
      </c>
      <c r="BE370" s="2">
        <f>COUNTIFS(集計用!$G368,"*, "&amp;BE$3&amp;", *")</f>
        <v>0</v>
      </c>
      <c r="BF370" s="2">
        <f>COUNTIFS(集計用!$G368,"*, "&amp;BF$3&amp;", *")</f>
        <v>0</v>
      </c>
      <c r="BG370" s="2">
        <f>COUNTIFS(集計用!$G368,"*, "&amp;BG$3&amp;", *")</f>
        <v>0</v>
      </c>
      <c r="BH370" s="2">
        <f>COUNTIFS(集計用!$G368,"*, "&amp;BH$3&amp;", *")</f>
        <v>0</v>
      </c>
      <c r="BI370" s="2">
        <f>COUNTIFS(集計用!$G368,"*, "&amp;BI$3&amp;", *")</f>
        <v>0</v>
      </c>
      <c r="BJ370" s="2">
        <f>LEN(集計用!H368)-LEN(SUBSTITUTE(集計用!H368,",",""))</f>
        <v>0</v>
      </c>
    </row>
    <row r="371" spans="1:62" ht="12.75">
      <c r="A371" s="8">
        <v>368</v>
      </c>
      <c r="C371" s="2">
        <f t="shared" ref="C371:C447" si="4">SUM(E371:BJ371)</f>
        <v>8</v>
      </c>
      <c r="D371" s="9"/>
      <c r="E371" s="2">
        <f>COUNTIFS(集計用!$G369,"*, "&amp;E$3&amp;", *")</f>
        <v>1</v>
      </c>
      <c r="F371" s="2">
        <f>COUNTIFS(集計用!$G369,"*, "&amp;F$3&amp;", *")</f>
        <v>0</v>
      </c>
      <c r="G371" s="2">
        <f>COUNTIFS(集計用!$G369,"*, "&amp;G$3&amp;", *")</f>
        <v>0</v>
      </c>
      <c r="H371" s="2">
        <f>COUNTIFS(集計用!$G369,"*, "&amp;H$3&amp;", *")</f>
        <v>0</v>
      </c>
      <c r="I371" s="2">
        <f>COUNTIFS(集計用!$G369,"*, "&amp;I$3&amp;", *")</f>
        <v>0</v>
      </c>
      <c r="J371" s="2">
        <f>COUNTIFS(集計用!$G369,"*, "&amp;J$3&amp;", *")</f>
        <v>0</v>
      </c>
      <c r="K371" s="2">
        <f>COUNTIFS(集計用!$G369,"*, "&amp;K$3&amp;", *")</f>
        <v>1</v>
      </c>
      <c r="L371" s="2">
        <f>COUNTIFS(集計用!$G369,"*, "&amp;L$3&amp;", *")</f>
        <v>1</v>
      </c>
      <c r="M371" s="2">
        <f>COUNTIFS(集計用!$G369,"*, "&amp;M$3&amp;", *")</f>
        <v>1</v>
      </c>
      <c r="N371" s="2">
        <f>COUNTIFS(集計用!$G369,"*, "&amp;N$3&amp;", *")</f>
        <v>0</v>
      </c>
      <c r="O371" s="2">
        <f>COUNTIFS(集計用!$G369,"*, "&amp;O$3&amp;", *")</f>
        <v>0</v>
      </c>
      <c r="P371" s="2">
        <f>COUNTIFS(集計用!$G369,"*, "&amp;P$3&amp;", *")</f>
        <v>0</v>
      </c>
      <c r="Q371" s="2">
        <f>COUNTIFS(集計用!$G369,"*, "&amp;Q$3&amp;", *")</f>
        <v>0</v>
      </c>
      <c r="R371" s="2">
        <f>COUNTIFS(集計用!$G369,"*, "&amp;R$3&amp;", *")</f>
        <v>0</v>
      </c>
      <c r="S371" s="2">
        <f>COUNTIFS(集計用!$G369,"*, "&amp;S$3&amp;", *")</f>
        <v>0</v>
      </c>
      <c r="T371" s="2">
        <f>COUNTIFS(集計用!$G369,"*, "&amp;T$3&amp;", *")</f>
        <v>0</v>
      </c>
      <c r="U371" s="2">
        <f>COUNTIFS(集計用!$G369,"*, "&amp;U$3&amp;", *")</f>
        <v>0</v>
      </c>
      <c r="V371" s="2">
        <f>COUNTIFS(集計用!$G369,"*, "&amp;V$3&amp;", *")</f>
        <v>0</v>
      </c>
      <c r="W371" s="2">
        <f>COUNTIFS(集計用!$G369,"*, "&amp;W$3&amp;", *")</f>
        <v>0</v>
      </c>
      <c r="X371" s="2">
        <f>COUNTIFS(集計用!$G369,"*, "&amp;X$3&amp;", *")</f>
        <v>0</v>
      </c>
      <c r="Y371" s="2">
        <f>COUNTIFS(集計用!$G369,"*, "&amp;Y$3&amp;", *")</f>
        <v>0</v>
      </c>
      <c r="Z371" s="2">
        <f>COUNTIFS(集計用!$G369,"*, "&amp;Z$3&amp;", *")</f>
        <v>0</v>
      </c>
      <c r="AA371" s="2">
        <f>COUNTIFS(集計用!$G369,"*, "&amp;AA$3&amp;", *")</f>
        <v>1</v>
      </c>
      <c r="AB371" s="2">
        <f>COUNTIFS(集計用!$G369,"*, "&amp;AB$3&amp;", *")</f>
        <v>0</v>
      </c>
      <c r="AC371" s="2">
        <f>COUNTIFS(集計用!$G369,"*, "&amp;AC$3&amp;", *")</f>
        <v>0</v>
      </c>
      <c r="AD371" s="2">
        <f>COUNTIFS(集計用!$G369,"*, "&amp;AD$3&amp;", *")</f>
        <v>0</v>
      </c>
      <c r="AE371" s="2">
        <f>COUNTIFS(集計用!$G369,"*, "&amp;AE$3&amp;", *")</f>
        <v>0</v>
      </c>
      <c r="AF371" s="2">
        <f>COUNTIFS(集計用!$G369,"*, "&amp;AF$3&amp;", *")</f>
        <v>0</v>
      </c>
      <c r="AG371" s="2">
        <f>COUNTIFS(集計用!$G369,"*, "&amp;AG$3&amp;", *")</f>
        <v>0</v>
      </c>
      <c r="AH371" s="2">
        <f>COUNTIFS(集計用!$G369,"*, "&amp;AH$3&amp;", *")</f>
        <v>0</v>
      </c>
      <c r="AI371" s="2">
        <f>COUNTIFS(集計用!$G369,"*, "&amp;AI$3&amp;", *")</f>
        <v>0</v>
      </c>
      <c r="AJ371" s="2">
        <f>COUNTIFS(集計用!$G369,"*, "&amp;AJ$3&amp;", *")</f>
        <v>1</v>
      </c>
      <c r="AK371" s="2">
        <f>COUNTIFS(集計用!$G369,"*, "&amp;AK$3&amp;", *")</f>
        <v>0</v>
      </c>
      <c r="AL371" s="2">
        <f>COUNTIFS(集計用!$G369,"*, "&amp;AL$3&amp;", *")</f>
        <v>0</v>
      </c>
      <c r="AM371" s="2">
        <f>COUNTIFS(集計用!$G369,"*, "&amp;AM$3&amp;", *")</f>
        <v>0</v>
      </c>
      <c r="AN371" s="2">
        <f>COUNTIFS(集計用!$G369,"*, "&amp;AN$3&amp;", *")</f>
        <v>0</v>
      </c>
      <c r="AO371" s="2">
        <f>COUNTIFS(集計用!$G369,"*, "&amp;AO$3&amp;", *")</f>
        <v>1</v>
      </c>
      <c r="AP371" s="2">
        <f>COUNTIFS(集計用!$G369,"*, "&amp;AP$3&amp;", *")</f>
        <v>1</v>
      </c>
      <c r="AQ371" s="2">
        <f>COUNTIFS(集計用!$G369,"*, "&amp;AQ$3&amp;", *")</f>
        <v>0</v>
      </c>
      <c r="AR371" s="2">
        <f>COUNTIFS(集計用!$G369,"*, "&amp;AR$3&amp;", *")</f>
        <v>0</v>
      </c>
      <c r="AS371" s="2">
        <f>COUNTIFS(集計用!$G369,"*, "&amp;AS$3&amp;", *")</f>
        <v>0</v>
      </c>
      <c r="AT371" s="2">
        <f>COUNTIFS(集計用!$G369,"*, "&amp;AT$3&amp;", *")</f>
        <v>0</v>
      </c>
      <c r="AU371" s="2">
        <f>COUNTIFS(集計用!$G369,"*, "&amp;AU$3&amp;", *")</f>
        <v>0</v>
      </c>
      <c r="AV371" s="2">
        <f>COUNTIFS(集計用!$G369,"*, "&amp;AV$3&amp;", *")</f>
        <v>0</v>
      </c>
      <c r="AW371" s="2">
        <f>COUNTIFS(集計用!$G369,"*, "&amp;AW$3&amp;", *")</f>
        <v>0</v>
      </c>
      <c r="AX371" s="2">
        <f>COUNTIFS(集計用!$G369,"*, "&amp;AX$3&amp;", *")</f>
        <v>0</v>
      </c>
      <c r="AY371" s="2">
        <f>COUNTIFS(集計用!$G369,"*, "&amp;AY$3&amp;", *")</f>
        <v>0</v>
      </c>
      <c r="AZ371" s="2">
        <f>COUNTIFS(集計用!$G369,"*, "&amp;AZ$3&amp;", *")</f>
        <v>0</v>
      </c>
      <c r="BA371" s="2">
        <f>COUNTIFS(集計用!$G369,"*, "&amp;BA$3&amp;", *")</f>
        <v>0</v>
      </c>
      <c r="BB371" s="2">
        <f>COUNTIFS(集計用!$G369,"*, "&amp;BB$3&amp;", *")</f>
        <v>0</v>
      </c>
      <c r="BC371" s="2">
        <f>COUNTIFS(集計用!$G369,"*, "&amp;BC$3&amp;", *")</f>
        <v>0</v>
      </c>
      <c r="BD371" s="2">
        <f>COUNTIFS(集計用!$G369,"*, "&amp;BD$3&amp;", *")</f>
        <v>0</v>
      </c>
      <c r="BE371" s="2">
        <f>COUNTIFS(集計用!$G369,"*, "&amp;BE$3&amp;", *")</f>
        <v>0</v>
      </c>
      <c r="BF371" s="2">
        <f>COUNTIFS(集計用!$G369,"*, "&amp;BF$3&amp;", *")</f>
        <v>0</v>
      </c>
      <c r="BG371" s="2">
        <f>COUNTIFS(集計用!$G369,"*, "&amp;BG$3&amp;", *")</f>
        <v>0</v>
      </c>
      <c r="BH371" s="2">
        <f>COUNTIFS(集計用!$G369,"*, "&amp;BH$3&amp;", *")</f>
        <v>0</v>
      </c>
      <c r="BI371" s="2">
        <f>COUNTIFS(集計用!$G369,"*, "&amp;BI$3&amp;", *")</f>
        <v>0</v>
      </c>
      <c r="BJ371" s="2">
        <f>LEN(集計用!H369)-LEN(SUBSTITUTE(集計用!H369,",",""))</f>
        <v>0</v>
      </c>
    </row>
    <row r="372" spans="1:62" ht="12.75">
      <c r="A372" s="8">
        <v>369</v>
      </c>
      <c r="C372" s="2">
        <f t="shared" si="4"/>
        <v>6</v>
      </c>
      <c r="D372" s="9"/>
      <c r="E372" s="2">
        <f>COUNTIFS(集計用!$G370,"*, "&amp;E$3&amp;", *")</f>
        <v>0</v>
      </c>
      <c r="F372" s="2">
        <f>COUNTIFS(集計用!$G370,"*, "&amp;F$3&amp;", *")</f>
        <v>1</v>
      </c>
      <c r="G372" s="2">
        <f>COUNTIFS(集計用!$G370,"*, "&amp;G$3&amp;", *")</f>
        <v>1</v>
      </c>
      <c r="H372" s="2">
        <f>COUNTIFS(集計用!$G370,"*, "&amp;H$3&amp;", *")</f>
        <v>0</v>
      </c>
      <c r="I372" s="2">
        <f>COUNTIFS(集計用!$G370,"*, "&amp;I$3&amp;", *")</f>
        <v>1</v>
      </c>
      <c r="J372" s="2">
        <f>COUNTIFS(集計用!$G370,"*, "&amp;J$3&amp;", *")</f>
        <v>0</v>
      </c>
      <c r="K372" s="2">
        <f>COUNTIFS(集計用!$G370,"*, "&amp;K$3&amp;", *")</f>
        <v>0</v>
      </c>
      <c r="L372" s="2">
        <f>COUNTIFS(集計用!$G370,"*, "&amp;L$3&amp;", *")</f>
        <v>0</v>
      </c>
      <c r="M372" s="2">
        <f>COUNTIFS(集計用!$G370,"*, "&amp;M$3&amp;", *")</f>
        <v>1</v>
      </c>
      <c r="N372" s="2">
        <f>COUNTIFS(集計用!$G370,"*, "&amp;N$3&amp;", *")</f>
        <v>1</v>
      </c>
      <c r="O372" s="2">
        <f>COUNTIFS(集計用!$G370,"*, "&amp;O$3&amp;", *")</f>
        <v>0</v>
      </c>
      <c r="P372" s="2">
        <f>COUNTIFS(集計用!$G370,"*, "&amp;P$3&amp;", *")</f>
        <v>0</v>
      </c>
      <c r="Q372" s="2">
        <f>COUNTIFS(集計用!$G370,"*, "&amp;Q$3&amp;", *")</f>
        <v>0</v>
      </c>
      <c r="R372" s="2">
        <f>COUNTIFS(集計用!$G370,"*, "&amp;R$3&amp;", *")</f>
        <v>0</v>
      </c>
      <c r="S372" s="2">
        <f>COUNTIFS(集計用!$G370,"*, "&amp;S$3&amp;", *")</f>
        <v>0</v>
      </c>
      <c r="T372" s="2">
        <f>COUNTIFS(集計用!$G370,"*, "&amp;T$3&amp;", *")</f>
        <v>1</v>
      </c>
      <c r="U372" s="2">
        <f>COUNTIFS(集計用!$G370,"*, "&amp;U$3&amp;", *")</f>
        <v>0</v>
      </c>
      <c r="V372" s="2">
        <f>COUNTIFS(集計用!$G370,"*, "&amp;V$3&amp;", *")</f>
        <v>0</v>
      </c>
      <c r="W372" s="2">
        <f>COUNTIFS(集計用!$G370,"*, "&amp;W$3&amp;", *")</f>
        <v>0</v>
      </c>
      <c r="X372" s="2">
        <f>COUNTIFS(集計用!$G370,"*, "&amp;X$3&amp;", *")</f>
        <v>0</v>
      </c>
      <c r="Y372" s="2">
        <f>COUNTIFS(集計用!$G370,"*, "&amp;Y$3&amp;", *")</f>
        <v>0</v>
      </c>
      <c r="Z372" s="2">
        <f>COUNTIFS(集計用!$G370,"*, "&amp;Z$3&amp;", *")</f>
        <v>0</v>
      </c>
      <c r="AA372" s="2">
        <f>COUNTIFS(集計用!$G370,"*, "&amp;AA$3&amp;", *")</f>
        <v>0</v>
      </c>
      <c r="AB372" s="2">
        <f>COUNTIFS(集計用!$G370,"*, "&amp;AB$3&amp;", *")</f>
        <v>0</v>
      </c>
      <c r="AC372" s="2">
        <f>COUNTIFS(集計用!$G370,"*, "&amp;AC$3&amp;", *")</f>
        <v>0</v>
      </c>
      <c r="AD372" s="2">
        <f>COUNTIFS(集計用!$G370,"*, "&amp;AD$3&amp;", *")</f>
        <v>0</v>
      </c>
      <c r="AE372" s="2">
        <f>COUNTIFS(集計用!$G370,"*, "&amp;AE$3&amp;", *")</f>
        <v>0</v>
      </c>
      <c r="AF372" s="2">
        <f>COUNTIFS(集計用!$G370,"*, "&amp;AF$3&amp;", *")</f>
        <v>0</v>
      </c>
      <c r="AG372" s="2">
        <f>COUNTIFS(集計用!$G370,"*, "&amp;AG$3&amp;", *")</f>
        <v>0</v>
      </c>
      <c r="AH372" s="2">
        <f>COUNTIFS(集計用!$G370,"*, "&amp;AH$3&amp;", *")</f>
        <v>0</v>
      </c>
      <c r="AI372" s="2">
        <f>COUNTIFS(集計用!$G370,"*, "&amp;AI$3&amp;", *")</f>
        <v>0</v>
      </c>
      <c r="AJ372" s="2">
        <f>COUNTIFS(集計用!$G370,"*, "&amp;AJ$3&amp;", *")</f>
        <v>0</v>
      </c>
      <c r="AK372" s="2">
        <f>COUNTIFS(集計用!$G370,"*, "&amp;AK$3&amp;", *")</f>
        <v>0</v>
      </c>
      <c r="AL372" s="2">
        <f>COUNTIFS(集計用!$G370,"*, "&amp;AL$3&amp;", *")</f>
        <v>0</v>
      </c>
      <c r="AM372" s="2">
        <f>COUNTIFS(集計用!$G370,"*, "&amp;AM$3&amp;", *")</f>
        <v>0</v>
      </c>
      <c r="AN372" s="2">
        <f>COUNTIFS(集計用!$G370,"*, "&amp;AN$3&amp;", *")</f>
        <v>0</v>
      </c>
      <c r="AO372" s="2">
        <f>COUNTIFS(集計用!$G370,"*, "&amp;AO$3&amp;", *")</f>
        <v>0</v>
      </c>
      <c r="AP372" s="2">
        <f>COUNTIFS(集計用!$G370,"*, "&amp;AP$3&amp;", *")</f>
        <v>0</v>
      </c>
      <c r="AQ372" s="2">
        <f>COUNTIFS(集計用!$G370,"*, "&amp;AQ$3&amp;", *")</f>
        <v>0</v>
      </c>
      <c r="AR372" s="2">
        <f>COUNTIFS(集計用!$G370,"*, "&amp;AR$3&amp;", *")</f>
        <v>0</v>
      </c>
      <c r="AS372" s="2">
        <f>COUNTIFS(集計用!$G370,"*, "&amp;AS$3&amp;", *")</f>
        <v>0</v>
      </c>
      <c r="AT372" s="2">
        <f>COUNTIFS(集計用!$G370,"*, "&amp;AT$3&amp;", *")</f>
        <v>0</v>
      </c>
      <c r="AU372" s="2">
        <f>COUNTIFS(集計用!$G370,"*, "&amp;AU$3&amp;", *")</f>
        <v>0</v>
      </c>
      <c r="AV372" s="2">
        <f>COUNTIFS(集計用!$G370,"*, "&amp;AV$3&amp;", *")</f>
        <v>0</v>
      </c>
      <c r="AW372" s="2">
        <f>COUNTIFS(集計用!$G370,"*, "&amp;AW$3&amp;", *")</f>
        <v>0</v>
      </c>
      <c r="AX372" s="2">
        <f>COUNTIFS(集計用!$G370,"*, "&amp;AX$3&amp;", *")</f>
        <v>0</v>
      </c>
      <c r="AY372" s="2">
        <f>COUNTIFS(集計用!$G370,"*, "&amp;AY$3&amp;", *")</f>
        <v>0</v>
      </c>
      <c r="AZ372" s="2">
        <f>COUNTIFS(集計用!$G370,"*, "&amp;AZ$3&amp;", *")</f>
        <v>0</v>
      </c>
      <c r="BA372" s="2">
        <f>COUNTIFS(集計用!$G370,"*, "&amp;BA$3&amp;", *")</f>
        <v>0</v>
      </c>
      <c r="BB372" s="2">
        <f>COUNTIFS(集計用!$G370,"*, "&amp;BB$3&amp;", *")</f>
        <v>0</v>
      </c>
      <c r="BC372" s="2">
        <f>COUNTIFS(集計用!$G370,"*, "&amp;BC$3&amp;", *")</f>
        <v>0</v>
      </c>
      <c r="BD372" s="2">
        <f>COUNTIFS(集計用!$G370,"*, "&amp;BD$3&amp;", *")</f>
        <v>0</v>
      </c>
      <c r="BE372" s="2">
        <f>COUNTIFS(集計用!$G370,"*, "&amp;BE$3&amp;", *")</f>
        <v>0</v>
      </c>
      <c r="BF372" s="2">
        <f>COUNTIFS(集計用!$G370,"*, "&amp;BF$3&amp;", *")</f>
        <v>0</v>
      </c>
      <c r="BG372" s="2">
        <f>COUNTIFS(集計用!$G370,"*, "&amp;BG$3&amp;", *")</f>
        <v>0</v>
      </c>
      <c r="BH372" s="2">
        <f>COUNTIFS(集計用!$G370,"*, "&amp;BH$3&amp;", *")</f>
        <v>0</v>
      </c>
      <c r="BI372" s="2">
        <f>COUNTIFS(集計用!$G370,"*, "&amp;BI$3&amp;", *")</f>
        <v>0</v>
      </c>
      <c r="BJ372" s="2">
        <f>LEN(集計用!H370)-LEN(SUBSTITUTE(集計用!H370,",",""))</f>
        <v>0</v>
      </c>
    </row>
    <row r="373" spans="1:62" ht="12.75">
      <c r="A373" s="8">
        <v>370</v>
      </c>
      <c r="C373" s="2">
        <f t="shared" si="4"/>
        <v>2</v>
      </c>
      <c r="D373" s="9"/>
      <c r="E373" s="2">
        <f>COUNTIFS(集計用!$G371,"*, "&amp;E$3&amp;", *")</f>
        <v>0</v>
      </c>
      <c r="F373" s="2">
        <f>COUNTIFS(集計用!$G371,"*, "&amp;F$3&amp;", *")</f>
        <v>0</v>
      </c>
      <c r="G373" s="2">
        <f>COUNTIFS(集計用!$G371,"*, "&amp;G$3&amp;", *")</f>
        <v>1</v>
      </c>
      <c r="H373" s="2">
        <f>COUNTIFS(集計用!$G371,"*, "&amp;H$3&amp;", *")</f>
        <v>0</v>
      </c>
      <c r="I373" s="2">
        <f>COUNTIFS(集計用!$G371,"*, "&amp;I$3&amp;", *")</f>
        <v>1</v>
      </c>
      <c r="J373" s="2">
        <f>COUNTIFS(集計用!$G371,"*, "&amp;J$3&amp;", *")</f>
        <v>0</v>
      </c>
      <c r="K373" s="2">
        <f>COUNTIFS(集計用!$G371,"*, "&amp;K$3&amp;", *")</f>
        <v>0</v>
      </c>
      <c r="L373" s="2">
        <f>COUNTIFS(集計用!$G371,"*, "&amp;L$3&amp;", *")</f>
        <v>0</v>
      </c>
      <c r="M373" s="2">
        <f>COUNTIFS(集計用!$G371,"*, "&amp;M$3&amp;", *")</f>
        <v>0</v>
      </c>
      <c r="N373" s="2">
        <f>COUNTIFS(集計用!$G371,"*, "&amp;N$3&amp;", *")</f>
        <v>0</v>
      </c>
      <c r="O373" s="2">
        <f>COUNTIFS(集計用!$G371,"*, "&amp;O$3&amp;", *")</f>
        <v>0</v>
      </c>
      <c r="P373" s="2">
        <f>COUNTIFS(集計用!$G371,"*, "&amp;P$3&amp;", *")</f>
        <v>0</v>
      </c>
      <c r="Q373" s="2">
        <f>COUNTIFS(集計用!$G371,"*, "&amp;Q$3&amp;", *")</f>
        <v>0</v>
      </c>
      <c r="R373" s="2">
        <f>COUNTIFS(集計用!$G371,"*, "&amp;R$3&amp;", *")</f>
        <v>0</v>
      </c>
      <c r="S373" s="2">
        <f>COUNTIFS(集計用!$G371,"*, "&amp;S$3&amp;", *")</f>
        <v>0</v>
      </c>
      <c r="T373" s="2">
        <f>COUNTIFS(集計用!$G371,"*, "&amp;T$3&amp;", *")</f>
        <v>0</v>
      </c>
      <c r="U373" s="2">
        <f>COUNTIFS(集計用!$G371,"*, "&amp;U$3&amp;", *")</f>
        <v>0</v>
      </c>
      <c r="V373" s="2">
        <f>COUNTIFS(集計用!$G371,"*, "&amp;V$3&amp;", *")</f>
        <v>0</v>
      </c>
      <c r="W373" s="2">
        <f>COUNTIFS(集計用!$G371,"*, "&amp;W$3&amp;", *")</f>
        <v>0</v>
      </c>
      <c r="X373" s="2">
        <f>COUNTIFS(集計用!$G371,"*, "&amp;X$3&amp;", *")</f>
        <v>0</v>
      </c>
      <c r="Y373" s="2">
        <f>COUNTIFS(集計用!$G371,"*, "&amp;Y$3&amp;", *")</f>
        <v>0</v>
      </c>
      <c r="Z373" s="2">
        <f>COUNTIFS(集計用!$G371,"*, "&amp;Z$3&amp;", *")</f>
        <v>0</v>
      </c>
      <c r="AA373" s="2">
        <f>COUNTIFS(集計用!$G371,"*, "&amp;AA$3&amp;", *")</f>
        <v>0</v>
      </c>
      <c r="AB373" s="2">
        <f>COUNTIFS(集計用!$G371,"*, "&amp;AB$3&amp;", *")</f>
        <v>0</v>
      </c>
      <c r="AC373" s="2">
        <f>COUNTIFS(集計用!$G371,"*, "&amp;AC$3&amp;", *")</f>
        <v>0</v>
      </c>
      <c r="AD373" s="2">
        <f>COUNTIFS(集計用!$G371,"*, "&amp;AD$3&amp;", *")</f>
        <v>0</v>
      </c>
      <c r="AE373" s="2">
        <f>COUNTIFS(集計用!$G371,"*, "&amp;AE$3&amp;", *")</f>
        <v>0</v>
      </c>
      <c r="AF373" s="2">
        <f>COUNTIFS(集計用!$G371,"*, "&amp;AF$3&amp;", *")</f>
        <v>0</v>
      </c>
      <c r="AG373" s="2">
        <f>COUNTIFS(集計用!$G371,"*, "&amp;AG$3&amp;", *")</f>
        <v>0</v>
      </c>
      <c r="AH373" s="2">
        <f>COUNTIFS(集計用!$G371,"*, "&amp;AH$3&amp;", *")</f>
        <v>0</v>
      </c>
      <c r="AI373" s="2">
        <f>COUNTIFS(集計用!$G371,"*, "&amp;AI$3&amp;", *")</f>
        <v>0</v>
      </c>
      <c r="AJ373" s="2">
        <f>COUNTIFS(集計用!$G371,"*, "&amp;AJ$3&amp;", *")</f>
        <v>0</v>
      </c>
      <c r="AK373" s="2">
        <f>COUNTIFS(集計用!$G371,"*, "&amp;AK$3&amp;", *")</f>
        <v>0</v>
      </c>
      <c r="AL373" s="2">
        <f>COUNTIFS(集計用!$G371,"*, "&amp;AL$3&amp;", *")</f>
        <v>0</v>
      </c>
      <c r="AM373" s="2">
        <f>COUNTIFS(集計用!$G371,"*, "&amp;AM$3&amp;", *")</f>
        <v>0</v>
      </c>
      <c r="AN373" s="2">
        <f>COUNTIFS(集計用!$G371,"*, "&amp;AN$3&amp;", *")</f>
        <v>0</v>
      </c>
      <c r="AO373" s="2">
        <f>COUNTIFS(集計用!$G371,"*, "&amp;AO$3&amp;", *")</f>
        <v>0</v>
      </c>
      <c r="AP373" s="2">
        <f>COUNTIFS(集計用!$G371,"*, "&amp;AP$3&amp;", *")</f>
        <v>0</v>
      </c>
      <c r="AQ373" s="2">
        <f>COUNTIFS(集計用!$G371,"*, "&amp;AQ$3&amp;", *")</f>
        <v>0</v>
      </c>
      <c r="AR373" s="2">
        <f>COUNTIFS(集計用!$G371,"*, "&amp;AR$3&amp;", *")</f>
        <v>0</v>
      </c>
      <c r="AS373" s="2">
        <f>COUNTIFS(集計用!$G371,"*, "&amp;AS$3&amp;", *")</f>
        <v>0</v>
      </c>
      <c r="AT373" s="2">
        <f>COUNTIFS(集計用!$G371,"*, "&amp;AT$3&amp;", *")</f>
        <v>0</v>
      </c>
      <c r="AU373" s="2">
        <f>COUNTIFS(集計用!$G371,"*, "&amp;AU$3&amp;", *")</f>
        <v>0</v>
      </c>
      <c r="AV373" s="2">
        <f>COUNTIFS(集計用!$G371,"*, "&amp;AV$3&amp;", *")</f>
        <v>0</v>
      </c>
      <c r="AW373" s="2">
        <f>COUNTIFS(集計用!$G371,"*, "&amp;AW$3&amp;", *")</f>
        <v>0</v>
      </c>
      <c r="AX373" s="2">
        <f>COUNTIFS(集計用!$G371,"*, "&amp;AX$3&amp;", *")</f>
        <v>0</v>
      </c>
      <c r="AY373" s="2">
        <f>COUNTIFS(集計用!$G371,"*, "&amp;AY$3&amp;", *")</f>
        <v>0</v>
      </c>
      <c r="AZ373" s="2">
        <f>COUNTIFS(集計用!$G371,"*, "&amp;AZ$3&amp;", *")</f>
        <v>0</v>
      </c>
      <c r="BA373" s="2">
        <f>COUNTIFS(集計用!$G371,"*, "&amp;BA$3&amp;", *")</f>
        <v>0</v>
      </c>
      <c r="BB373" s="2">
        <f>COUNTIFS(集計用!$G371,"*, "&amp;BB$3&amp;", *")</f>
        <v>0</v>
      </c>
      <c r="BC373" s="2">
        <f>COUNTIFS(集計用!$G371,"*, "&amp;BC$3&amp;", *")</f>
        <v>0</v>
      </c>
      <c r="BD373" s="2">
        <f>COUNTIFS(集計用!$G371,"*, "&amp;BD$3&amp;", *")</f>
        <v>0</v>
      </c>
      <c r="BE373" s="2">
        <f>COUNTIFS(集計用!$G371,"*, "&amp;BE$3&amp;", *")</f>
        <v>0</v>
      </c>
      <c r="BF373" s="2">
        <f>COUNTIFS(集計用!$G371,"*, "&amp;BF$3&amp;", *")</f>
        <v>0</v>
      </c>
      <c r="BG373" s="2">
        <f>COUNTIFS(集計用!$G371,"*, "&amp;BG$3&amp;", *")</f>
        <v>0</v>
      </c>
      <c r="BH373" s="2">
        <f>COUNTIFS(集計用!$G371,"*, "&amp;BH$3&amp;", *")</f>
        <v>0</v>
      </c>
      <c r="BI373" s="2">
        <f>COUNTIFS(集計用!$G371,"*, "&amp;BI$3&amp;", *")</f>
        <v>0</v>
      </c>
      <c r="BJ373" s="2">
        <f>LEN(集計用!H371)-LEN(SUBSTITUTE(集計用!H371,",",""))</f>
        <v>0</v>
      </c>
    </row>
    <row r="374" spans="1:62" ht="12.75">
      <c r="A374" s="8">
        <v>371</v>
      </c>
      <c r="C374" s="2">
        <f t="shared" si="4"/>
        <v>10</v>
      </c>
      <c r="D374" s="9"/>
      <c r="E374" s="2">
        <f>COUNTIFS(集計用!$G372,"*, "&amp;E$3&amp;", *")</f>
        <v>1</v>
      </c>
      <c r="F374" s="2">
        <f>COUNTIFS(集計用!$G372,"*, "&amp;F$3&amp;", *")</f>
        <v>1</v>
      </c>
      <c r="G374" s="2">
        <f>COUNTIFS(集計用!$G372,"*, "&amp;G$3&amp;", *")</f>
        <v>1</v>
      </c>
      <c r="H374" s="2">
        <f>COUNTIFS(集計用!$G372,"*, "&amp;H$3&amp;", *")</f>
        <v>1</v>
      </c>
      <c r="I374" s="2">
        <f>COUNTIFS(集計用!$G372,"*, "&amp;I$3&amp;", *")</f>
        <v>0</v>
      </c>
      <c r="J374" s="2">
        <f>COUNTIFS(集計用!$G372,"*, "&amp;J$3&amp;", *")</f>
        <v>1</v>
      </c>
      <c r="K374" s="2">
        <f>COUNTIFS(集計用!$G372,"*, "&amp;K$3&amp;", *")</f>
        <v>1</v>
      </c>
      <c r="L374" s="2">
        <f>COUNTIFS(集計用!$G372,"*, "&amp;L$3&amp;", *")</f>
        <v>0</v>
      </c>
      <c r="M374" s="2">
        <f>COUNTIFS(集計用!$G372,"*, "&amp;M$3&amp;", *")</f>
        <v>0</v>
      </c>
      <c r="N374" s="2">
        <f>COUNTIFS(集計用!$G372,"*, "&amp;N$3&amp;", *")</f>
        <v>1</v>
      </c>
      <c r="O374" s="2">
        <f>COUNTIFS(集計用!$G372,"*, "&amp;O$3&amp;", *")</f>
        <v>0</v>
      </c>
      <c r="P374" s="2">
        <f>COUNTIFS(集計用!$G372,"*, "&amp;P$3&amp;", *")</f>
        <v>1</v>
      </c>
      <c r="Q374" s="2">
        <f>COUNTIFS(集計用!$G372,"*, "&amp;Q$3&amp;", *")</f>
        <v>0</v>
      </c>
      <c r="R374" s="2">
        <f>COUNTIFS(集計用!$G372,"*, "&amp;R$3&amp;", *")</f>
        <v>0</v>
      </c>
      <c r="S374" s="2">
        <f>COUNTIFS(集計用!$G372,"*, "&amp;S$3&amp;", *")</f>
        <v>0</v>
      </c>
      <c r="T374" s="2">
        <f>COUNTIFS(集計用!$G372,"*, "&amp;T$3&amp;", *")</f>
        <v>0</v>
      </c>
      <c r="U374" s="2">
        <f>COUNTIFS(集計用!$G372,"*, "&amp;U$3&amp;", *")</f>
        <v>0</v>
      </c>
      <c r="V374" s="2">
        <f>COUNTIFS(集計用!$G372,"*, "&amp;V$3&amp;", *")</f>
        <v>0</v>
      </c>
      <c r="W374" s="2">
        <f>COUNTIFS(集計用!$G372,"*, "&amp;W$3&amp;", *")</f>
        <v>0</v>
      </c>
      <c r="X374" s="2">
        <f>COUNTIFS(集計用!$G372,"*, "&amp;X$3&amp;", *")</f>
        <v>0</v>
      </c>
      <c r="Y374" s="2">
        <f>COUNTIFS(集計用!$G372,"*, "&amp;Y$3&amp;", *")</f>
        <v>0</v>
      </c>
      <c r="Z374" s="2">
        <f>COUNTIFS(集計用!$G372,"*, "&amp;Z$3&amp;", *")</f>
        <v>0</v>
      </c>
      <c r="AA374" s="2">
        <f>COUNTIFS(集計用!$G372,"*, "&amp;AA$3&amp;", *")</f>
        <v>0</v>
      </c>
      <c r="AB374" s="2">
        <f>COUNTIFS(集計用!$G372,"*, "&amp;AB$3&amp;", *")</f>
        <v>0</v>
      </c>
      <c r="AC374" s="2">
        <f>COUNTIFS(集計用!$G372,"*, "&amp;AC$3&amp;", *")</f>
        <v>0</v>
      </c>
      <c r="AD374" s="2">
        <f>COUNTIFS(集計用!$G372,"*, "&amp;AD$3&amp;", *")</f>
        <v>0</v>
      </c>
      <c r="AE374" s="2">
        <f>COUNTIFS(集計用!$G372,"*, "&amp;AE$3&amp;", *")</f>
        <v>0</v>
      </c>
      <c r="AF374" s="2">
        <f>COUNTIFS(集計用!$G372,"*, "&amp;AF$3&amp;", *")</f>
        <v>0</v>
      </c>
      <c r="AG374" s="2">
        <f>COUNTIFS(集計用!$G372,"*, "&amp;AG$3&amp;", *")</f>
        <v>0</v>
      </c>
      <c r="AH374" s="2">
        <f>COUNTIFS(集計用!$G372,"*, "&amp;AH$3&amp;", *")</f>
        <v>0</v>
      </c>
      <c r="AI374" s="2">
        <f>COUNTIFS(集計用!$G372,"*, "&amp;AI$3&amp;", *")</f>
        <v>1</v>
      </c>
      <c r="AJ374" s="2">
        <f>COUNTIFS(集計用!$G372,"*, "&amp;AJ$3&amp;", *")</f>
        <v>0</v>
      </c>
      <c r="AK374" s="2">
        <f>COUNTIFS(集計用!$G372,"*, "&amp;AK$3&amp;", *")</f>
        <v>0</v>
      </c>
      <c r="AL374" s="2">
        <f>COUNTIFS(集計用!$G372,"*, "&amp;AL$3&amp;", *")</f>
        <v>0</v>
      </c>
      <c r="AM374" s="2">
        <f>COUNTIFS(集計用!$G372,"*, "&amp;AM$3&amp;", *")</f>
        <v>0</v>
      </c>
      <c r="AN374" s="2">
        <f>COUNTIFS(集計用!$G372,"*, "&amp;AN$3&amp;", *")</f>
        <v>0</v>
      </c>
      <c r="AO374" s="2">
        <f>COUNTIFS(集計用!$G372,"*, "&amp;AO$3&amp;", *")</f>
        <v>0</v>
      </c>
      <c r="AP374" s="2">
        <f>COUNTIFS(集計用!$G372,"*, "&amp;AP$3&amp;", *")</f>
        <v>0</v>
      </c>
      <c r="AQ374" s="2">
        <f>COUNTIFS(集計用!$G372,"*, "&amp;AQ$3&amp;", *")</f>
        <v>0</v>
      </c>
      <c r="AR374" s="2">
        <f>COUNTIFS(集計用!$G372,"*, "&amp;AR$3&amp;", *")</f>
        <v>0</v>
      </c>
      <c r="AS374" s="2">
        <f>COUNTIFS(集計用!$G372,"*, "&amp;AS$3&amp;", *")</f>
        <v>0</v>
      </c>
      <c r="AT374" s="2">
        <f>COUNTIFS(集計用!$G372,"*, "&amp;AT$3&amp;", *")</f>
        <v>0</v>
      </c>
      <c r="AU374" s="2">
        <f>COUNTIFS(集計用!$G372,"*, "&amp;AU$3&amp;", *")</f>
        <v>0</v>
      </c>
      <c r="AV374" s="2">
        <f>COUNTIFS(集計用!$G372,"*, "&amp;AV$3&amp;", *")</f>
        <v>0</v>
      </c>
      <c r="AW374" s="2">
        <f>COUNTIFS(集計用!$G372,"*, "&amp;AW$3&amp;", *")</f>
        <v>0</v>
      </c>
      <c r="AX374" s="2">
        <f>COUNTIFS(集計用!$G372,"*, "&amp;AX$3&amp;", *")</f>
        <v>1</v>
      </c>
      <c r="AY374" s="2">
        <f>COUNTIFS(集計用!$G372,"*, "&amp;AY$3&amp;", *")</f>
        <v>0</v>
      </c>
      <c r="AZ374" s="2">
        <f>COUNTIFS(集計用!$G372,"*, "&amp;AZ$3&amp;", *")</f>
        <v>0</v>
      </c>
      <c r="BA374" s="2">
        <f>COUNTIFS(集計用!$G372,"*, "&amp;BA$3&amp;", *")</f>
        <v>0</v>
      </c>
      <c r="BB374" s="2">
        <f>COUNTIFS(集計用!$G372,"*, "&amp;BB$3&amp;", *")</f>
        <v>0</v>
      </c>
      <c r="BC374" s="2">
        <f>COUNTIFS(集計用!$G372,"*, "&amp;BC$3&amp;", *")</f>
        <v>0</v>
      </c>
      <c r="BD374" s="2">
        <f>COUNTIFS(集計用!$G372,"*, "&amp;BD$3&amp;", *")</f>
        <v>0</v>
      </c>
      <c r="BE374" s="2">
        <f>COUNTIFS(集計用!$G372,"*, "&amp;BE$3&amp;", *")</f>
        <v>0</v>
      </c>
      <c r="BF374" s="2">
        <f>COUNTIFS(集計用!$G372,"*, "&amp;BF$3&amp;", *")</f>
        <v>0</v>
      </c>
      <c r="BG374" s="2">
        <f>COUNTIFS(集計用!$G372,"*, "&amp;BG$3&amp;", *")</f>
        <v>0</v>
      </c>
      <c r="BH374" s="2">
        <f>COUNTIFS(集計用!$G372,"*, "&amp;BH$3&amp;", *")</f>
        <v>0</v>
      </c>
      <c r="BI374" s="2">
        <f>COUNTIFS(集計用!$G372,"*, "&amp;BI$3&amp;", *")</f>
        <v>0</v>
      </c>
      <c r="BJ374" s="2">
        <f>LEN(集計用!H372)-LEN(SUBSTITUTE(集計用!H372,",",""))</f>
        <v>0</v>
      </c>
    </row>
    <row r="375" spans="1:62" ht="12.75">
      <c r="A375" s="8">
        <v>372</v>
      </c>
      <c r="C375" s="2">
        <f t="shared" si="4"/>
        <v>4</v>
      </c>
      <c r="D375" s="9"/>
      <c r="E375" s="2">
        <f>COUNTIFS(集計用!$G373,"*, "&amp;E$3&amp;", *")</f>
        <v>1</v>
      </c>
      <c r="F375" s="2">
        <f>COUNTIFS(集計用!$G373,"*, "&amp;F$3&amp;", *")</f>
        <v>0</v>
      </c>
      <c r="G375" s="2">
        <f>COUNTIFS(集計用!$G373,"*, "&amp;G$3&amp;", *")</f>
        <v>1</v>
      </c>
      <c r="H375" s="2">
        <f>COUNTIFS(集計用!$G373,"*, "&amp;H$3&amp;", *")</f>
        <v>0</v>
      </c>
      <c r="I375" s="2">
        <f>COUNTIFS(集計用!$G373,"*, "&amp;I$3&amp;", *")</f>
        <v>1</v>
      </c>
      <c r="J375" s="2">
        <f>COUNTIFS(集計用!$G373,"*, "&amp;J$3&amp;", *")</f>
        <v>0</v>
      </c>
      <c r="K375" s="2">
        <f>COUNTIFS(集計用!$G373,"*, "&amp;K$3&amp;", *")</f>
        <v>0</v>
      </c>
      <c r="L375" s="2">
        <f>COUNTIFS(集計用!$G373,"*, "&amp;L$3&amp;", *")</f>
        <v>0</v>
      </c>
      <c r="M375" s="2">
        <f>COUNTIFS(集計用!$G373,"*, "&amp;M$3&amp;", *")</f>
        <v>1</v>
      </c>
      <c r="N375" s="2">
        <f>COUNTIFS(集計用!$G373,"*, "&amp;N$3&amp;", *")</f>
        <v>0</v>
      </c>
      <c r="O375" s="2">
        <f>COUNTIFS(集計用!$G373,"*, "&amp;O$3&amp;", *")</f>
        <v>0</v>
      </c>
      <c r="P375" s="2">
        <f>COUNTIFS(集計用!$G373,"*, "&amp;P$3&amp;", *")</f>
        <v>0</v>
      </c>
      <c r="Q375" s="2">
        <f>COUNTIFS(集計用!$G373,"*, "&amp;Q$3&amp;", *")</f>
        <v>0</v>
      </c>
      <c r="R375" s="2">
        <f>COUNTIFS(集計用!$G373,"*, "&amp;R$3&amp;", *")</f>
        <v>0</v>
      </c>
      <c r="S375" s="2">
        <f>COUNTIFS(集計用!$G373,"*, "&amp;S$3&amp;", *")</f>
        <v>0</v>
      </c>
      <c r="T375" s="2">
        <f>COUNTIFS(集計用!$G373,"*, "&amp;T$3&amp;", *")</f>
        <v>0</v>
      </c>
      <c r="U375" s="2">
        <f>COUNTIFS(集計用!$G373,"*, "&amp;U$3&amp;", *")</f>
        <v>0</v>
      </c>
      <c r="V375" s="2">
        <f>COUNTIFS(集計用!$G373,"*, "&amp;V$3&amp;", *")</f>
        <v>0</v>
      </c>
      <c r="W375" s="2">
        <f>COUNTIFS(集計用!$G373,"*, "&amp;W$3&amp;", *")</f>
        <v>0</v>
      </c>
      <c r="X375" s="2">
        <f>COUNTIFS(集計用!$G373,"*, "&amp;X$3&amp;", *")</f>
        <v>0</v>
      </c>
      <c r="Y375" s="2">
        <f>COUNTIFS(集計用!$G373,"*, "&amp;Y$3&amp;", *")</f>
        <v>0</v>
      </c>
      <c r="Z375" s="2">
        <f>COUNTIFS(集計用!$G373,"*, "&amp;Z$3&amp;", *")</f>
        <v>0</v>
      </c>
      <c r="AA375" s="2">
        <f>COUNTIFS(集計用!$G373,"*, "&amp;AA$3&amp;", *")</f>
        <v>0</v>
      </c>
      <c r="AB375" s="2">
        <f>COUNTIFS(集計用!$G373,"*, "&amp;AB$3&amp;", *")</f>
        <v>0</v>
      </c>
      <c r="AC375" s="2">
        <f>COUNTIFS(集計用!$G373,"*, "&amp;AC$3&amp;", *")</f>
        <v>0</v>
      </c>
      <c r="AD375" s="2">
        <f>COUNTIFS(集計用!$G373,"*, "&amp;AD$3&amp;", *")</f>
        <v>0</v>
      </c>
      <c r="AE375" s="2">
        <f>COUNTIFS(集計用!$G373,"*, "&amp;AE$3&amp;", *")</f>
        <v>0</v>
      </c>
      <c r="AF375" s="2">
        <f>COUNTIFS(集計用!$G373,"*, "&amp;AF$3&amp;", *")</f>
        <v>0</v>
      </c>
      <c r="AG375" s="2">
        <f>COUNTIFS(集計用!$G373,"*, "&amp;AG$3&amp;", *")</f>
        <v>0</v>
      </c>
      <c r="AH375" s="2">
        <f>COUNTIFS(集計用!$G373,"*, "&amp;AH$3&amp;", *")</f>
        <v>0</v>
      </c>
      <c r="AI375" s="2">
        <f>COUNTIFS(集計用!$G373,"*, "&amp;AI$3&amp;", *")</f>
        <v>0</v>
      </c>
      <c r="AJ375" s="2">
        <f>COUNTIFS(集計用!$G373,"*, "&amp;AJ$3&amp;", *")</f>
        <v>0</v>
      </c>
      <c r="AK375" s="2">
        <f>COUNTIFS(集計用!$G373,"*, "&amp;AK$3&amp;", *")</f>
        <v>0</v>
      </c>
      <c r="AL375" s="2">
        <f>COUNTIFS(集計用!$G373,"*, "&amp;AL$3&amp;", *")</f>
        <v>0</v>
      </c>
      <c r="AM375" s="2">
        <f>COUNTIFS(集計用!$G373,"*, "&amp;AM$3&amp;", *")</f>
        <v>0</v>
      </c>
      <c r="AN375" s="2">
        <f>COUNTIFS(集計用!$G373,"*, "&amp;AN$3&amp;", *")</f>
        <v>0</v>
      </c>
      <c r="AO375" s="2">
        <f>COUNTIFS(集計用!$G373,"*, "&amp;AO$3&amp;", *")</f>
        <v>0</v>
      </c>
      <c r="AP375" s="2">
        <f>COUNTIFS(集計用!$G373,"*, "&amp;AP$3&amp;", *")</f>
        <v>0</v>
      </c>
      <c r="AQ375" s="2">
        <f>COUNTIFS(集計用!$G373,"*, "&amp;AQ$3&amp;", *")</f>
        <v>0</v>
      </c>
      <c r="AR375" s="2">
        <f>COUNTIFS(集計用!$G373,"*, "&amp;AR$3&amp;", *")</f>
        <v>0</v>
      </c>
      <c r="AS375" s="2">
        <f>COUNTIFS(集計用!$G373,"*, "&amp;AS$3&amp;", *")</f>
        <v>0</v>
      </c>
      <c r="AT375" s="2">
        <f>COUNTIFS(集計用!$G373,"*, "&amp;AT$3&amp;", *")</f>
        <v>0</v>
      </c>
      <c r="AU375" s="2">
        <f>COUNTIFS(集計用!$G373,"*, "&amp;AU$3&amp;", *")</f>
        <v>0</v>
      </c>
      <c r="AV375" s="2">
        <f>COUNTIFS(集計用!$G373,"*, "&amp;AV$3&amp;", *")</f>
        <v>0</v>
      </c>
      <c r="AW375" s="2">
        <f>COUNTIFS(集計用!$G373,"*, "&amp;AW$3&amp;", *")</f>
        <v>0</v>
      </c>
      <c r="AX375" s="2">
        <f>COUNTIFS(集計用!$G373,"*, "&amp;AX$3&amp;", *")</f>
        <v>0</v>
      </c>
      <c r="AY375" s="2">
        <f>COUNTIFS(集計用!$G373,"*, "&amp;AY$3&amp;", *")</f>
        <v>0</v>
      </c>
      <c r="AZ375" s="2">
        <f>COUNTIFS(集計用!$G373,"*, "&amp;AZ$3&amp;", *")</f>
        <v>0</v>
      </c>
      <c r="BA375" s="2">
        <f>COUNTIFS(集計用!$G373,"*, "&amp;BA$3&amp;", *")</f>
        <v>0</v>
      </c>
      <c r="BB375" s="2">
        <f>COUNTIFS(集計用!$G373,"*, "&amp;BB$3&amp;", *")</f>
        <v>0</v>
      </c>
      <c r="BC375" s="2">
        <f>COUNTIFS(集計用!$G373,"*, "&amp;BC$3&amp;", *")</f>
        <v>0</v>
      </c>
      <c r="BD375" s="2">
        <f>COUNTIFS(集計用!$G373,"*, "&amp;BD$3&amp;", *")</f>
        <v>0</v>
      </c>
      <c r="BE375" s="2">
        <f>COUNTIFS(集計用!$G373,"*, "&amp;BE$3&amp;", *")</f>
        <v>0</v>
      </c>
      <c r="BF375" s="2">
        <f>COUNTIFS(集計用!$G373,"*, "&amp;BF$3&amp;", *")</f>
        <v>0</v>
      </c>
      <c r="BG375" s="2">
        <f>COUNTIFS(集計用!$G373,"*, "&amp;BG$3&amp;", *")</f>
        <v>0</v>
      </c>
      <c r="BH375" s="2">
        <f>COUNTIFS(集計用!$G373,"*, "&amp;BH$3&amp;", *")</f>
        <v>0</v>
      </c>
      <c r="BI375" s="2">
        <f>COUNTIFS(集計用!$G373,"*, "&amp;BI$3&amp;", *")</f>
        <v>0</v>
      </c>
      <c r="BJ375" s="2">
        <f>LEN(集計用!H373)-LEN(SUBSTITUTE(集計用!H373,",",""))</f>
        <v>0</v>
      </c>
    </row>
    <row r="376" spans="1:62" ht="12.75">
      <c r="A376" s="8">
        <v>373</v>
      </c>
      <c r="C376" s="2">
        <f t="shared" si="4"/>
        <v>7</v>
      </c>
      <c r="D376" s="9"/>
      <c r="E376" s="2">
        <f>COUNTIFS(集計用!$G374,"*, "&amp;E$3&amp;", *")</f>
        <v>0</v>
      </c>
      <c r="F376" s="2">
        <f>COUNTIFS(集計用!$G374,"*, "&amp;F$3&amp;", *")</f>
        <v>1</v>
      </c>
      <c r="G376" s="2">
        <f>COUNTIFS(集計用!$G374,"*, "&amp;G$3&amp;", *")</f>
        <v>0</v>
      </c>
      <c r="H376" s="2">
        <f>COUNTIFS(集計用!$G374,"*, "&amp;H$3&amp;", *")</f>
        <v>1</v>
      </c>
      <c r="I376" s="2">
        <f>COUNTIFS(集計用!$G374,"*, "&amp;I$3&amp;", *")</f>
        <v>1</v>
      </c>
      <c r="J376" s="2">
        <f>COUNTIFS(集計用!$G374,"*, "&amp;J$3&amp;", *")</f>
        <v>0</v>
      </c>
      <c r="K376" s="2">
        <f>COUNTIFS(集計用!$G374,"*, "&amp;K$3&amp;", *")</f>
        <v>0</v>
      </c>
      <c r="L376" s="2">
        <f>COUNTIFS(集計用!$G374,"*, "&amp;L$3&amp;", *")</f>
        <v>1</v>
      </c>
      <c r="M376" s="2">
        <f>COUNTIFS(集計用!$G374,"*, "&amp;M$3&amp;", *")</f>
        <v>0</v>
      </c>
      <c r="N376" s="2">
        <f>COUNTIFS(集計用!$G374,"*, "&amp;N$3&amp;", *")</f>
        <v>0</v>
      </c>
      <c r="O376" s="2">
        <f>COUNTIFS(集計用!$G374,"*, "&amp;O$3&amp;", *")</f>
        <v>0</v>
      </c>
      <c r="P376" s="2">
        <f>COUNTIFS(集計用!$G374,"*, "&amp;P$3&amp;", *")</f>
        <v>0</v>
      </c>
      <c r="Q376" s="2">
        <f>COUNTIFS(集計用!$G374,"*, "&amp;Q$3&amp;", *")</f>
        <v>0</v>
      </c>
      <c r="R376" s="2">
        <f>COUNTIFS(集計用!$G374,"*, "&amp;R$3&amp;", *")</f>
        <v>1</v>
      </c>
      <c r="S376" s="2">
        <f>COUNTIFS(集計用!$G374,"*, "&amp;S$3&amp;", *")</f>
        <v>0</v>
      </c>
      <c r="T376" s="2">
        <f>COUNTIFS(集計用!$G374,"*, "&amp;T$3&amp;", *")</f>
        <v>0</v>
      </c>
      <c r="U376" s="2">
        <f>COUNTIFS(集計用!$G374,"*, "&amp;U$3&amp;", *")</f>
        <v>0</v>
      </c>
      <c r="V376" s="2">
        <f>COUNTIFS(集計用!$G374,"*, "&amp;V$3&amp;", *")</f>
        <v>1</v>
      </c>
      <c r="W376" s="2">
        <f>COUNTIFS(集計用!$G374,"*, "&amp;W$3&amp;", *")</f>
        <v>0</v>
      </c>
      <c r="X376" s="2">
        <f>COUNTIFS(集計用!$G374,"*, "&amp;X$3&amp;", *")</f>
        <v>0</v>
      </c>
      <c r="Y376" s="2">
        <f>COUNTIFS(集計用!$G374,"*, "&amp;Y$3&amp;", *")</f>
        <v>0</v>
      </c>
      <c r="Z376" s="2">
        <f>COUNTIFS(集計用!$G374,"*, "&amp;Z$3&amp;", *")</f>
        <v>0</v>
      </c>
      <c r="AA376" s="2">
        <f>COUNTIFS(集計用!$G374,"*, "&amp;AA$3&amp;", *")</f>
        <v>0</v>
      </c>
      <c r="AB376" s="2">
        <f>COUNTIFS(集計用!$G374,"*, "&amp;AB$3&amp;", *")</f>
        <v>0</v>
      </c>
      <c r="AC376" s="2">
        <f>COUNTIFS(集計用!$G374,"*, "&amp;AC$3&amp;", *")</f>
        <v>0</v>
      </c>
      <c r="AD376" s="2">
        <f>COUNTIFS(集計用!$G374,"*, "&amp;AD$3&amp;", *")</f>
        <v>0</v>
      </c>
      <c r="AE376" s="2">
        <f>COUNTIFS(集計用!$G374,"*, "&amp;AE$3&amp;", *")</f>
        <v>0</v>
      </c>
      <c r="AF376" s="2">
        <f>COUNTIFS(集計用!$G374,"*, "&amp;AF$3&amp;", *")</f>
        <v>1</v>
      </c>
      <c r="AG376" s="2">
        <f>COUNTIFS(集計用!$G374,"*, "&amp;AG$3&amp;", *")</f>
        <v>0</v>
      </c>
      <c r="AH376" s="2">
        <f>COUNTIFS(集計用!$G374,"*, "&amp;AH$3&amp;", *")</f>
        <v>0</v>
      </c>
      <c r="AI376" s="2">
        <f>COUNTIFS(集計用!$G374,"*, "&amp;AI$3&amp;", *")</f>
        <v>0</v>
      </c>
      <c r="AJ376" s="2">
        <f>COUNTIFS(集計用!$G374,"*, "&amp;AJ$3&amp;", *")</f>
        <v>0</v>
      </c>
      <c r="AK376" s="2">
        <f>COUNTIFS(集計用!$G374,"*, "&amp;AK$3&amp;", *")</f>
        <v>0</v>
      </c>
      <c r="AL376" s="2">
        <f>COUNTIFS(集計用!$G374,"*, "&amp;AL$3&amp;", *")</f>
        <v>0</v>
      </c>
      <c r="AM376" s="2">
        <f>COUNTIFS(集計用!$G374,"*, "&amp;AM$3&amp;", *")</f>
        <v>0</v>
      </c>
      <c r="AN376" s="2">
        <f>COUNTIFS(集計用!$G374,"*, "&amp;AN$3&amp;", *")</f>
        <v>0</v>
      </c>
      <c r="AO376" s="2">
        <f>COUNTIFS(集計用!$G374,"*, "&amp;AO$3&amp;", *")</f>
        <v>0</v>
      </c>
      <c r="AP376" s="2">
        <f>COUNTIFS(集計用!$G374,"*, "&amp;AP$3&amp;", *")</f>
        <v>0</v>
      </c>
      <c r="AQ376" s="2">
        <f>COUNTIFS(集計用!$G374,"*, "&amp;AQ$3&amp;", *")</f>
        <v>0</v>
      </c>
      <c r="AR376" s="2">
        <f>COUNTIFS(集計用!$G374,"*, "&amp;AR$3&amp;", *")</f>
        <v>0</v>
      </c>
      <c r="AS376" s="2">
        <f>COUNTIFS(集計用!$G374,"*, "&amp;AS$3&amp;", *")</f>
        <v>0</v>
      </c>
      <c r="AT376" s="2">
        <f>COUNTIFS(集計用!$G374,"*, "&amp;AT$3&amp;", *")</f>
        <v>0</v>
      </c>
      <c r="AU376" s="2">
        <f>COUNTIFS(集計用!$G374,"*, "&amp;AU$3&amp;", *")</f>
        <v>0</v>
      </c>
      <c r="AV376" s="2">
        <f>COUNTIFS(集計用!$G374,"*, "&amp;AV$3&amp;", *")</f>
        <v>0</v>
      </c>
      <c r="AW376" s="2">
        <f>COUNTIFS(集計用!$G374,"*, "&amp;AW$3&amp;", *")</f>
        <v>0</v>
      </c>
      <c r="AX376" s="2">
        <f>COUNTIFS(集計用!$G374,"*, "&amp;AX$3&amp;", *")</f>
        <v>0</v>
      </c>
      <c r="AY376" s="2">
        <f>COUNTIFS(集計用!$G374,"*, "&amp;AY$3&amp;", *")</f>
        <v>0</v>
      </c>
      <c r="AZ376" s="2">
        <f>COUNTIFS(集計用!$G374,"*, "&amp;AZ$3&amp;", *")</f>
        <v>0</v>
      </c>
      <c r="BA376" s="2">
        <f>COUNTIFS(集計用!$G374,"*, "&amp;BA$3&amp;", *")</f>
        <v>0</v>
      </c>
      <c r="BB376" s="2">
        <f>COUNTIFS(集計用!$G374,"*, "&amp;BB$3&amp;", *")</f>
        <v>0</v>
      </c>
      <c r="BC376" s="2">
        <f>COUNTIFS(集計用!$G374,"*, "&amp;BC$3&amp;", *")</f>
        <v>0</v>
      </c>
      <c r="BD376" s="2">
        <f>COUNTIFS(集計用!$G374,"*, "&amp;BD$3&amp;", *")</f>
        <v>0</v>
      </c>
      <c r="BE376" s="2">
        <f>COUNTIFS(集計用!$G374,"*, "&amp;BE$3&amp;", *")</f>
        <v>0</v>
      </c>
      <c r="BF376" s="2">
        <f>COUNTIFS(集計用!$G374,"*, "&amp;BF$3&amp;", *")</f>
        <v>0</v>
      </c>
      <c r="BG376" s="2">
        <f>COUNTIFS(集計用!$G374,"*, "&amp;BG$3&amp;", *")</f>
        <v>0</v>
      </c>
      <c r="BH376" s="2">
        <f>COUNTIFS(集計用!$G374,"*, "&amp;BH$3&amp;", *")</f>
        <v>0</v>
      </c>
      <c r="BI376" s="2">
        <f>COUNTIFS(集計用!$G374,"*, "&amp;BI$3&amp;", *")</f>
        <v>0</v>
      </c>
      <c r="BJ376" s="2">
        <f>LEN(集計用!H374)-LEN(SUBSTITUTE(集計用!H374,",",""))</f>
        <v>0</v>
      </c>
    </row>
    <row r="377" spans="1:62" ht="12.75">
      <c r="A377" s="8">
        <v>374</v>
      </c>
      <c r="C377" s="2">
        <f t="shared" si="4"/>
        <v>1</v>
      </c>
      <c r="D377" s="9"/>
      <c r="E377" s="2">
        <f>COUNTIFS(集計用!$G375,"*, "&amp;E$3&amp;", *")</f>
        <v>0</v>
      </c>
      <c r="F377" s="2">
        <f>COUNTIFS(集計用!$G375,"*, "&amp;F$3&amp;", *")</f>
        <v>0</v>
      </c>
      <c r="G377" s="2">
        <f>COUNTIFS(集計用!$G375,"*, "&amp;G$3&amp;", *")</f>
        <v>0</v>
      </c>
      <c r="H377" s="2">
        <f>COUNTIFS(集計用!$G375,"*, "&amp;H$3&amp;", *")</f>
        <v>0</v>
      </c>
      <c r="I377" s="2">
        <f>COUNTIFS(集計用!$G375,"*, "&amp;I$3&amp;", *")</f>
        <v>0</v>
      </c>
      <c r="J377" s="2">
        <f>COUNTIFS(集計用!$G375,"*, "&amp;J$3&amp;", *")</f>
        <v>0</v>
      </c>
      <c r="K377" s="2">
        <f>COUNTIFS(集計用!$G375,"*, "&amp;K$3&amp;", *")</f>
        <v>0</v>
      </c>
      <c r="L377" s="2">
        <f>COUNTIFS(集計用!$G375,"*, "&amp;L$3&amp;", *")</f>
        <v>0</v>
      </c>
      <c r="M377" s="2">
        <f>COUNTIFS(集計用!$G375,"*, "&amp;M$3&amp;", *")</f>
        <v>0</v>
      </c>
      <c r="N377" s="2">
        <f>COUNTIFS(集計用!$G375,"*, "&amp;N$3&amp;", *")</f>
        <v>0</v>
      </c>
      <c r="O377" s="2">
        <f>COUNTIFS(集計用!$G375,"*, "&amp;O$3&amp;", *")</f>
        <v>0</v>
      </c>
      <c r="P377" s="2">
        <f>COUNTIFS(集計用!$G375,"*, "&amp;P$3&amp;", *")</f>
        <v>0</v>
      </c>
      <c r="Q377" s="2">
        <f>COUNTIFS(集計用!$G375,"*, "&amp;Q$3&amp;", *")</f>
        <v>0</v>
      </c>
      <c r="R377" s="2">
        <f>COUNTIFS(集計用!$G375,"*, "&amp;R$3&amp;", *")</f>
        <v>0</v>
      </c>
      <c r="S377" s="2">
        <f>COUNTIFS(集計用!$G375,"*, "&amp;S$3&amp;", *")</f>
        <v>0</v>
      </c>
      <c r="T377" s="2">
        <f>COUNTIFS(集計用!$G375,"*, "&amp;T$3&amp;", *")</f>
        <v>0</v>
      </c>
      <c r="U377" s="2">
        <f>COUNTIFS(集計用!$G375,"*, "&amp;U$3&amp;", *")</f>
        <v>0</v>
      </c>
      <c r="V377" s="2">
        <f>COUNTIFS(集計用!$G375,"*, "&amp;V$3&amp;", *")</f>
        <v>0</v>
      </c>
      <c r="W377" s="2">
        <f>COUNTIFS(集計用!$G375,"*, "&amp;W$3&amp;", *")</f>
        <v>0</v>
      </c>
      <c r="X377" s="2">
        <f>COUNTIFS(集計用!$G375,"*, "&amp;X$3&amp;", *")</f>
        <v>0</v>
      </c>
      <c r="Y377" s="2">
        <f>COUNTIFS(集計用!$G375,"*, "&amp;Y$3&amp;", *")</f>
        <v>0</v>
      </c>
      <c r="Z377" s="2">
        <f>COUNTIFS(集計用!$G375,"*, "&amp;Z$3&amp;", *")</f>
        <v>0</v>
      </c>
      <c r="AA377" s="2">
        <f>COUNTIFS(集計用!$G375,"*, "&amp;AA$3&amp;", *")</f>
        <v>0</v>
      </c>
      <c r="AB377" s="2">
        <f>COUNTIFS(集計用!$G375,"*, "&amp;AB$3&amp;", *")</f>
        <v>0</v>
      </c>
      <c r="AC377" s="2">
        <f>COUNTIFS(集計用!$G375,"*, "&amp;AC$3&amp;", *")</f>
        <v>0</v>
      </c>
      <c r="AD377" s="2">
        <f>COUNTIFS(集計用!$G375,"*, "&amp;AD$3&amp;", *")</f>
        <v>0</v>
      </c>
      <c r="AE377" s="2">
        <f>COUNTIFS(集計用!$G375,"*, "&amp;AE$3&amp;", *")</f>
        <v>0</v>
      </c>
      <c r="AF377" s="2">
        <f>COUNTIFS(集計用!$G375,"*, "&amp;AF$3&amp;", *")</f>
        <v>0</v>
      </c>
      <c r="AG377" s="2">
        <f>COUNTIFS(集計用!$G375,"*, "&amp;AG$3&amp;", *")</f>
        <v>0</v>
      </c>
      <c r="AH377" s="2">
        <f>COUNTIFS(集計用!$G375,"*, "&amp;AH$3&amp;", *")</f>
        <v>0</v>
      </c>
      <c r="AI377" s="2">
        <f>COUNTIFS(集計用!$G375,"*, "&amp;AI$3&amp;", *")</f>
        <v>0</v>
      </c>
      <c r="AJ377" s="2">
        <f>COUNTIFS(集計用!$G375,"*, "&amp;AJ$3&amp;", *")</f>
        <v>0</v>
      </c>
      <c r="AK377" s="2">
        <f>COUNTIFS(集計用!$G375,"*, "&amp;AK$3&amp;", *")</f>
        <v>1</v>
      </c>
      <c r="AL377" s="2">
        <f>COUNTIFS(集計用!$G375,"*, "&amp;AL$3&amp;", *")</f>
        <v>0</v>
      </c>
      <c r="AM377" s="2">
        <f>COUNTIFS(集計用!$G375,"*, "&amp;AM$3&amp;", *")</f>
        <v>0</v>
      </c>
      <c r="AN377" s="2">
        <f>COUNTIFS(集計用!$G375,"*, "&amp;AN$3&amp;", *")</f>
        <v>0</v>
      </c>
      <c r="AO377" s="2">
        <f>COUNTIFS(集計用!$G375,"*, "&amp;AO$3&amp;", *")</f>
        <v>0</v>
      </c>
      <c r="AP377" s="2">
        <f>COUNTIFS(集計用!$G375,"*, "&amp;AP$3&amp;", *")</f>
        <v>0</v>
      </c>
      <c r="AQ377" s="2">
        <f>COUNTIFS(集計用!$G375,"*, "&amp;AQ$3&amp;", *")</f>
        <v>0</v>
      </c>
      <c r="AR377" s="2">
        <f>COUNTIFS(集計用!$G375,"*, "&amp;AR$3&amp;", *")</f>
        <v>0</v>
      </c>
      <c r="AS377" s="2">
        <f>COUNTIFS(集計用!$G375,"*, "&amp;AS$3&amp;", *")</f>
        <v>0</v>
      </c>
      <c r="AT377" s="2">
        <f>COUNTIFS(集計用!$G375,"*, "&amp;AT$3&amp;", *")</f>
        <v>0</v>
      </c>
      <c r="AU377" s="2">
        <f>COUNTIFS(集計用!$G375,"*, "&amp;AU$3&amp;", *")</f>
        <v>0</v>
      </c>
      <c r="AV377" s="2">
        <f>COUNTIFS(集計用!$G375,"*, "&amp;AV$3&amp;", *")</f>
        <v>0</v>
      </c>
      <c r="AW377" s="2">
        <f>COUNTIFS(集計用!$G375,"*, "&amp;AW$3&amp;", *")</f>
        <v>0</v>
      </c>
      <c r="AX377" s="2">
        <f>COUNTIFS(集計用!$G375,"*, "&amp;AX$3&amp;", *")</f>
        <v>0</v>
      </c>
      <c r="AY377" s="2">
        <f>COUNTIFS(集計用!$G375,"*, "&amp;AY$3&amp;", *")</f>
        <v>0</v>
      </c>
      <c r="AZ377" s="2">
        <f>COUNTIFS(集計用!$G375,"*, "&amp;AZ$3&amp;", *")</f>
        <v>0</v>
      </c>
      <c r="BA377" s="2">
        <f>COUNTIFS(集計用!$G375,"*, "&amp;BA$3&amp;", *")</f>
        <v>0</v>
      </c>
      <c r="BB377" s="2">
        <f>COUNTIFS(集計用!$G375,"*, "&amp;BB$3&amp;", *")</f>
        <v>0</v>
      </c>
      <c r="BC377" s="2">
        <f>COUNTIFS(集計用!$G375,"*, "&amp;BC$3&amp;", *")</f>
        <v>0</v>
      </c>
      <c r="BD377" s="2">
        <f>COUNTIFS(集計用!$G375,"*, "&amp;BD$3&amp;", *")</f>
        <v>0</v>
      </c>
      <c r="BE377" s="2">
        <f>COUNTIFS(集計用!$G375,"*, "&amp;BE$3&amp;", *")</f>
        <v>0</v>
      </c>
      <c r="BF377" s="2">
        <f>COUNTIFS(集計用!$G375,"*, "&amp;BF$3&amp;", *")</f>
        <v>0</v>
      </c>
      <c r="BG377" s="2">
        <f>COUNTIFS(集計用!$G375,"*, "&amp;BG$3&amp;", *")</f>
        <v>0</v>
      </c>
      <c r="BH377" s="2">
        <f>COUNTIFS(集計用!$G375,"*, "&amp;BH$3&amp;", *")</f>
        <v>0</v>
      </c>
      <c r="BI377" s="2">
        <f>COUNTIFS(集計用!$G375,"*, "&amp;BI$3&amp;", *")</f>
        <v>0</v>
      </c>
      <c r="BJ377" s="2">
        <f>LEN(集計用!H375)-LEN(SUBSTITUTE(集計用!H375,",",""))</f>
        <v>0</v>
      </c>
    </row>
    <row r="378" spans="1:62" ht="12.75">
      <c r="A378" s="8">
        <v>375</v>
      </c>
      <c r="C378" s="2">
        <f t="shared" si="4"/>
        <v>4</v>
      </c>
      <c r="D378" s="9"/>
      <c r="E378" s="2">
        <f>COUNTIFS(集計用!$G376,"*, "&amp;E$3&amp;", *")</f>
        <v>1</v>
      </c>
      <c r="F378" s="2">
        <f>COUNTIFS(集計用!$G376,"*, "&amp;F$3&amp;", *")</f>
        <v>0</v>
      </c>
      <c r="G378" s="2">
        <f>COUNTIFS(集計用!$G376,"*, "&amp;G$3&amp;", *")</f>
        <v>1</v>
      </c>
      <c r="H378" s="2">
        <f>COUNTIFS(集計用!$G376,"*, "&amp;H$3&amp;", *")</f>
        <v>0</v>
      </c>
      <c r="I378" s="2">
        <f>COUNTIFS(集計用!$G376,"*, "&amp;I$3&amp;", *")</f>
        <v>1</v>
      </c>
      <c r="J378" s="2">
        <f>COUNTIFS(集計用!$G376,"*, "&amp;J$3&amp;", *")</f>
        <v>0</v>
      </c>
      <c r="K378" s="2">
        <f>COUNTIFS(集計用!$G376,"*, "&amp;K$3&amp;", *")</f>
        <v>0</v>
      </c>
      <c r="L378" s="2">
        <f>COUNTIFS(集計用!$G376,"*, "&amp;L$3&amp;", *")</f>
        <v>0</v>
      </c>
      <c r="M378" s="2">
        <f>COUNTIFS(集計用!$G376,"*, "&amp;M$3&amp;", *")</f>
        <v>0</v>
      </c>
      <c r="N378" s="2">
        <f>COUNTIFS(集計用!$G376,"*, "&amp;N$3&amp;", *")</f>
        <v>0</v>
      </c>
      <c r="O378" s="2">
        <f>COUNTIFS(集計用!$G376,"*, "&amp;O$3&amp;", *")</f>
        <v>0</v>
      </c>
      <c r="P378" s="2">
        <f>COUNTIFS(集計用!$G376,"*, "&amp;P$3&amp;", *")</f>
        <v>0</v>
      </c>
      <c r="Q378" s="2">
        <f>COUNTIFS(集計用!$G376,"*, "&amp;Q$3&amp;", *")</f>
        <v>0</v>
      </c>
      <c r="R378" s="2">
        <f>COUNTIFS(集計用!$G376,"*, "&amp;R$3&amp;", *")</f>
        <v>0</v>
      </c>
      <c r="S378" s="2">
        <f>COUNTIFS(集計用!$G376,"*, "&amp;S$3&amp;", *")</f>
        <v>0</v>
      </c>
      <c r="T378" s="2">
        <f>COUNTIFS(集計用!$G376,"*, "&amp;T$3&amp;", *")</f>
        <v>1</v>
      </c>
      <c r="U378" s="2">
        <f>COUNTIFS(集計用!$G376,"*, "&amp;U$3&amp;", *")</f>
        <v>0</v>
      </c>
      <c r="V378" s="2">
        <f>COUNTIFS(集計用!$G376,"*, "&amp;V$3&amp;", *")</f>
        <v>0</v>
      </c>
      <c r="W378" s="2">
        <f>COUNTIFS(集計用!$G376,"*, "&amp;W$3&amp;", *")</f>
        <v>0</v>
      </c>
      <c r="X378" s="2">
        <f>COUNTIFS(集計用!$G376,"*, "&amp;X$3&amp;", *")</f>
        <v>0</v>
      </c>
      <c r="Y378" s="2">
        <f>COUNTIFS(集計用!$G376,"*, "&amp;Y$3&amp;", *")</f>
        <v>0</v>
      </c>
      <c r="Z378" s="2">
        <f>COUNTIFS(集計用!$G376,"*, "&amp;Z$3&amp;", *")</f>
        <v>0</v>
      </c>
      <c r="AA378" s="2">
        <f>COUNTIFS(集計用!$G376,"*, "&amp;AA$3&amp;", *")</f>
        <v>0</v>
      </c>
      <c r="AB378" s="2">
        <f>COUNTIFS(集計用!$G376,"*, "&amp;AB$3&amp;", *")</f>
        <v>0</v>
      </c>
      <c r="AC378" s="2">
        <f>COUNTIFS(集計用!$G376,"*, "&amp;AC$3&amp;", *")</f>
        <v>0</v>
      </c>
      <c r="AD378" s="2">
        <f>COUNTIFS(集計用!$G376,"*, "&amp;AD$3&amp;", *")</f>
        <v>0</v>
      </c>
      <c r="AE378" s="2">
        <f>COUNTIFS(集計用!$G376,"*, "&amp;AE$3&amp;", *")</f>
        <v>0</v>
      </c>
      <c r="AF378" s="2">
        <f>COUNTIFS(集計用!$G376,"*, "&amp;AF$3&amp;", *")</f>
        <v>0</v>
      </c>
      <c r="AG378" s="2">
        <f>COUNTIFS(集計用!$G376,"*, "&amp;AG$3&amp;", *")</f>
        <v>0</v>
      </c>
      <c r="AH378" s="2">
        <f>COUNTIFS(集計用!$G376,"*, "&amp;AH$3&amp;", *")</f>
        <v>0</v>
      </c>
      <c r="AI378" s="2">
        <f>COUNTIFS(集計用!$G376,"*, "&amp;AI$3&amp;", *")</f>
        <v>0</v>
      </c>
      <c r="AJ378" s="2">
        <f>COUNTIFS(集計用!$G376,"*, "&amp;AJ$3&amp;", *")</f>
        <v>0</v>
      </c>
      <c r="AK378" s="2">
        <f>COUNTIFS(集計用!$G376,"*, "&amp;AK$3&amp;", *")</f>
        <v>0</v>
      </c>
      <c r="AL378" s="2">
        <f>COUNTIFS(集計用!$G376,"*, "&amp;AL$3&amp;", *")</f>
        <v>0</v>
      </c>
      <c r="AM378" s="2">
        <f>COUNTIFS(集計用!$G376,"*, "&amp;AM$3&amp;", *")</f>
        <v>0</v>
      </c>
      <c r="AN378" s="2">
        <f>COUNTIFS(集計用!$G376,"*, "&amp;AN$3&amp;", *")</f>
        <v>0</v>
      </c>
      <c r="AO378" s="2">
        <f>COUNTIFS(集計用!$G376,"*, "&amp;AO$3&amp;", *")</f>
        <v>0</v>
      </c>
      <c r="AP378" s="2">
        <f>COUNTIFS(集計用!$G376,"*, "&amp;AP$3&amp;", *")</f>
        <v>0</v>
      </c>
      <c r="AQ378" s="2">
        <f>COUNTIFS(集計用!$G376,"*, "&amp;AQ$3&amp;", *")</f>
        <v>0</v>
      </c>
      <c r="AR378" s="2">
        <f>COUNTIFS(集計用!$G376,"*, "&amp;AR$3&amp;", *")</f>
        <v>0</v>
      </c>
      <c r="AS378" s="2">
        <f>COUNTIFS(集計用!$G376,"*, "&amp;AS$3&amp;", *")</f>
        <v>0</v>
      </c>
      <c r="AT378" s="2">
        <f>COUNTIFS(集計用!$G376,"*, "&amp;AT$3&amp;", *")</f>
        <v>0</v>
      </c>
      <c r="AU378" s="2">
        <f>COUNTIFS(集計用!$G376,"*, "&amp;AU$3&amp;", *")</f>
        <v>0</v>
      </c>
      <c r="AV378" s="2">
        <f>COUNTIFS(集計用!$G376,"*, "&amp;AV$3&amp;", *")</f>
        <v>0</v>
      </c>
      <c r="AW378" s="2">
        <f>COUNTIFS(集計用!$G376,"*, "&amp;AW$3&amp;", *")</f>
        <v>0</v>
      </c>
      <c r="AX378" s="2">
        <f>COUNTIFS(集計用!$G376,"*, "&amp;AX$3&amp;", *")</f>
        <v>0</v>
      </c>
      <c r="AY378" s="2">
        <f>COUNTIFS(集計用!$G376,"*, "&amp;AY$3&amp;", *")</f>
        <v>0</v>
      </c>
      <c r="AZ378" s="2">
        <f>COUNTIFS(集計用!$G376,"*, "&amp;AZ$3&amp;", *")</f>
        <v>0</v>
      </c>
      <c r="BA378" s="2">
        <f>COUNTIFS(集計用!$G376,"*, "&amp;BA$3&amp;", *")</f>
        <v>0</v>
      </c>
      <c r="BB378" s="2">
        <f>COUNTIFS(集計用!$G376,"*, "&amp;BB$3&amp;", *")</f>
        <v>0</v>
      </c>
      <c r="BC378" s="2">
        <f>COUNTIFS(集計用!$G376,"*, "&amp;BC$3&amp;", *")</f>
        <v>0</v>
      </c>
      <c r="BD378" s="2">
        <f>COUNTIFS(集計用!$G376,"*, "&amp;BD$3&amp;", *")</f>
        <v>0</v>
      </c>
      <c r="BE378" s="2">
        <f>COUNTIFS(集計用!$G376,"*, "&amp;BE$3&amp;", *")</f>
        <v>0</v>
      </c>
      <c r="BF378" s="2">
        <f>COUNTIFS(集計用!$G376,"*, "&amp;BF$3&amp;", *")</f>
        <v>0</v>
      </c>
      <c r="BG378" s="2">
        <f>COUNTIFS(集計用!$G376,"*, "&amp;BG$3&amp;", *")</f>
        <v>0</v>
      </c>
      <c r="BH378" s="2">
        <f>COUNTIFS(集計用!$G376,"*, "&amp;BH$3&amp;", *")</f>
        <v>0</v>
      </c>
      <c r="BI378" s="2">
        <f>COUNTIFS(集計用!$G376,"*, "&amp;BI$3&amp;", *")</f>
        <v>0</v>
      </c>
      <c r="BJ378" s="2">
        <f>LEN(集計用!H376)-LEN(SUBSTITUTE(集計用!H376,",",""))</f>
        <v>0</v>
      </c>
    </row>
    <row r="379" spans="1:62" ht="12.75">
      <c r="A379" s="8">
        <v>376</v>
      </c>
      <c r="C379" s="2">
        <f t="shared" si="4"/>
        <v>1</v>
      </c>
      <c r="D379" s="9"/>
      <c r="E379" s="2">
        <f>COUNTIFS(集計用!$G377,"*, "&amp;E$3&amp;", *")</f>
        <v>0</v>
      </c>
      <c r="F379" s="2">
        <f>COUNTIFS(集計用!$G377,"*, "&amp;F$3&amp;", *")</f>
        <v>0</v>
      </c>
      <c r="G379" s="2">
        <f>COUNTIFS(集計用!$G377,"*, "&amp;G$3&amp;", *")</f>
        <v>1</v>
      </c>
      <c r="H379" s="2">
        <f>COUNTIFS(集計用!$G377,"*, "&amp;H$3&amp;", *")</f>
        <v>0</v>
      </c>
      <c r="I379" s="2">
        <f>COUNTIFS(集計用!$G377,"*, "&amp;I$3&amp;", *")</f>
        <v>0</v>
      </c>
      <c r="J379" s="2">
        <f>COUNTIFS(集計用!$G377,"*, "&amp;J$3&amp;", *")</f>
        <v>0</v>
      </c>
      <c r="K379" s="2">
        <f>COUNTIFS(集計用!$G377,"*, "&amp;K$3&amp;", *")</f>
        <v>0</v>
      </c>
      <c r="L379" s="2">
        <f>COUNTIFS(集計用!$G377,"*, "&amp;L$3&amp;", *")</f>
        <v>0</v>
      </c>
      <c r="M379" s="2">
        <f>COUNTIFS(集計用!$G377,"*, "&amp;M$3&amp;", *")</f>
        <v>0</v>
      </c>
      <c r="N379" s="2">
        <f>COUNTIFS(集計用!$G377,"*, "&amp;N$3&amp;", *")</f>
        <v>0</v>
      </c>
      <c r="O379" s="2">
        <f>COUNTIFS(集計用!$G377,"*, "&amp;O$3&amp;", *")</f>
        <v>0</v>
      </c>
      <c r="P379" s="2">
        <f>COUNTIFS(集計用!$G377,"*, "&amp;P$3&amp;", *")</f>
        <v>0</v>
      </c>
      <c r="Q379" s="2">
        <f>COUNTIFS(集計用!$G377,"*, "&amp;Q$3&amp;", *")</f>
        <v>0</v>
      </c>
      <c r="R379" s="2">
        <f>COUNTIFS(集計用!$G377,"*, "&amp;R$3&amp;", *")</f>
        <v>0</v>
      </c>
      <c r="S379" s="2">
        <f>COUNTIFS(集計用!$G377,"*, "&amp;S$3&amp;", *")</f>
        <v>0</v>
      </c>
      <c r="T379" s="2">
        <f>COUNTIFS(集計用!$G377,"*, "&amp;T$3&amp;", *")</f>
        <v>0</v>
      </c>
      <c r="U379" s="2">
        <f>COUNTIFS(集計用!$G377,"*, "&amp;U$3&amp;", *")</f>
        <v>0</v>
      </c>
      <c r="V379" s="2">
        <f>COUNTIFS(集計用!$G377,"*, "&amp;V$3&amp;", *")</f>
        <v>0</v>
      </c>
      <c r="W379" s="2">
        <f>COUNTIFS(集計用!$G377,"*, "&amp;W$3&amp;", *")</f>
        <v>0</v>
      </c>
      <c r="X379" s="2">
        <f>COUNTIFS(集計用!$G377,"*, "&amp;X$3&amp;", *")</f>
        <v>0</v>
      </c>
      <c r="Y379" s="2">
        <f>COUNTIFS(集計用!$G377,"*, "&amp;Y$3&amp;", *")</f>
        <v>0</v>
      </c>
      <c r="Z379" s="2">
        <f>COUNTIFS(集計用!$G377,"*, "&amp;Z$3&amp;", *")</f>
        <v>0</v>
      </c>
      <c r="AA379" s="2">
        <f>COUNTIFS(集計用!$G377,"*, "&amp;AA$3&amp;", *")</f>
        <v>0</v>
      </c>
      <c r="AB379" s="2">
        <f>COUNTIFS(集計用!$G377,"*, "&amp;AB$3&amp;", *")</f>
        <v>0</v>
      </c>
      <c r="AC379" s="2">
        <f>COUNTIFS(集計用!$G377,"*, "&amp;AC$3&amp;", *")</f>
        <v>0</v>
      </c>
      <c r="AD379" s="2">
        <f>COUNTIFS(集計用!$G377,"*, "&amp;AD$3&amp;", *")</f>
        <v>0</v>
      </c>
      <c r="AE379" s="2">
        <f>COUNTIFS(集計用!$G377,"*, "&amp;AE$3&amp;", *")</f>
        <v>0</v>
      </c>
      <c r="AF379" s="2">
        <f>COUNTIFS(集計用!$G377,"*, "&amp;AF$3&amp;", *")</f>
        <v>0</v>
      </c>
      <c r="AG379" s="2">
        <f>COUNTIFS(集計用!$G377,"*, "&amp;AG$3&amp;", *")</f>
        <v>0</v>
      </c>
      <c r="AH379" s="2">
        <f>COUNTIFS(集計用!$G377,"*, "&amp;AH$3&amp;", *")</f>
        <v>0</v>
      </c>
      <c r="AI379" s="2">
        <f>COUNTIFS(集計用!$G377,"*, "&amp;AI$3&amp;", *")</f>
        <v>0</v>
      </c>
      <c r="AJ379" s="2">
        <f>COUNTIFS(集計用!$G377,"*, "&amp;AJ$3&amp;", *")</f>
        <v>0</v>
      </c>
      <c r="AK379" s="2">
        <f>COUNTIFS(集計用!$G377,"*, "&amp;AK$3&amp;", *")</f>
        <v>0</v>
      </c>
      <c r="AL379" s="2">
        <f>COUNTIFS(集計用!$G377,"*, "&amp;AL$3&amp;", *")</f>
        <v>0</v>
      </c>
      <c r="AM379" s="2">
        <f>COUNTIFS(集計用!$G377,"*, "&amp;AM$3&amp;", *")</f>
        <v>0</v>
      </c>
      <c r="AN379" s="2">
        <f>COUNTIFS(集計用!$G377,"*, "&amp;AN$3&amp;", *")</f>
        <v>0</v>
      </c>
      <c r="AO379" s="2">
        <f>COUNTIFS(集計用!$G377,"*, "&amp;AO$3&amp;", *")</f>
        <v>0</v>
      </c>
      <c r="AP379" s="2">
        <f>COUNTIFS(集計用!$G377,"*, "&amp;AP$3&amp;", *")</f>
        <v>0</v>
      </c>
      <c r="AQ379" s="2">
        <f>COUNTIFS(集計用!$G377,"*, "&amp;AQ$3&amp;", *")</f>
        <v>0</v>
      </c>
      <c r="AR379" s="2">
        <f>COUNTIFS(集計用!$G377,"*, "&amp;AR$3&amp;", *")</f>
        <v>0</v>
      </c>
      <c r="AS379" s="2">
        <f>COUNTIFS(集計用!$G377,"*, "&amp;AS$3&amp;", *")</f>
        <v>0</v>
      </c>
      <c r="AT379" s="2">
        <f>COUNTIFS(集計用!$G377,"*, "&amp;AT$3&amp;", *")</f>
        <v>0</v>
      </c>
      <c r="AU379" s="2">
        <f>COUNTIFS(集計用!$G377,"*, "&amp;AU$3&amp;", *")</f>
        <v>0</v>
      </c>
      <c r="AV379" s="2">
        <f>COUNTIFS(集計用!$G377,"*, "&amp;AV$3&amp;", *")</f>
        <v>0</v>
      </c>
      <c r="AW379" s="2">
        <f>COUNTIFS(集計用!$G377,"*, "&amp;AW$3&amp;", *")</f>
        <v>0</v>
      </c>
      <c r="AX379" s="2">
        <f>COUNTIFS(集計用!$G377,"*, "&amp;AX$3&amp;", *")</f>
        <v>0</v>
      </c>
      <c r="AY379" s="2">
        <f>COUNTIFS(集計用!$G377,"*, "&amp;AY$3&amp;", *")</f>
        <v>0</v>
      </c>
      <c r="AZ379" s="2">
        <f>COUNTIFS(集計用!$G377,"*, "&amp;AZ$3&amp;", *")</f>
        <v>0</v>
      </c>
      <c r="BA379" s="2">
        <f>COUNTIFS(集計用!$G377,"*, "&amp;BA$3&amp;", *")</f>
        <v>0</v>
      </c>
      <c r="BB379" s="2">
        <f>COUNTIFS(集計用!$G377,"*, "&amp;BB$3&amp;", *")</f>
        <v>0</v>
      </c>
      <c r="BC379" s="2">
        <f>COUNTIFS(集計用!$G377,"*, "&amp;BC$3&amp;", *")</f>
        <v>0</v>
      </c>
      <c r="BD379" s="2">
        <f>COUNTIFS(集計用!$G377,"*, "&amp;BD$3&amp;", *")</f>
        <v>0</v>
      </c>
      <c r="BE379" s="2">
        <f>COUNTIFS(集計用!$G377,"*, "&amp;BE$3&amp;", *")</f>
        <v>0</v>
      </c>
      <c r="BF379" s="2">
        <f>COUNTIFS(集計用!$G377,"*, "&amp;BF$3&amp;", *")</f>
        <v>0</v>
      </c>
      <c r="BG379" s="2">
        <f>COUNTIFS(集計用!$G377,"*, "&amp;BG$3&amp;", *")</f>
        <v>0</v>
      </c>
      <c r="BH379" s="2">
        <f>COUNTIFS(集計用!$G377,"*, "&amp;BH$3&amp;", *")</f>
        <v>0</v>
      </c>
      <c r="BI379" s="2">
        <f>COUNTIFS(集計用!$G377,"*, "&amp;BI$3&amp;", *")</f>
        <v>0</v>
      </c>
      <c r="BJ379" s="2">
        <f>LEN(集計用!H377)-LEN(SUBSTITUTE(集計用!H377,",",""))</f>
        <v>0</v>
      </c>
    </row>
    <row r="380" spans="1:62" ht="12.75">
      <c r="A380" s="8">
        <v>377</v>
      </c>
      <c r="C380" s="2">
        <f t="shared" si="4"/>
        <v>2</v>
      </c>
      <c r="D380" s="9"/>
      <c r="E380" s="2">
        <f>COUNTIFS(集計用!$G378,"*, "&amp;E$3&amp;", *")</f>
        <v>1</v>
      </c>
      <c r="F380" s="2">
        <f>COUNTIFS(集計用!$G378,"*, "&amp;F$3&amp;", *")</f>
        <v>0</v>
      </c>
      <c r="G380" s="2">
        <f>COUNTIFS(集計用!$G378,"*, "&amp;G$3&amp;", *")</f>
        <v>0</v>
      </c>
      <c r="H380" s="2">
        <f>COUNTIFS(集計用!$G378,"*, "&amp;H$3&amp;", *")</f>
        <v>0</v>
      </c>
      <c r="I380" s="2">
        <f>COUNTIFS(集計用!$G378,"*, "&amp;I$3&amp;", *")</f>
        <v>0</v>
      </c>
      <c r="J380" s="2">
        <f>COUNTIFS(集計用!$G378,"*, "&amp;J$3&amp;", *")</f>
        <v>1</v>
      </c>
      <c r="K380" s="2">
        <f>COUNTIFS(集計用!$G378,"*, "&amp;K$3&amp;", *")</f>
        <v>0</v>
      </c>
      <c r="L380" s="2">
        <f>COUNTIFS(集計用!$G378,"*, "&amp;L$3&amp;", *")</f>
        <v>0</v>
      </c>
      <c r="M380" s="2">
        <f>COUNTIFS(集計用!$G378,"*, "&amp;M$3&amp;", *")</f>
        <v>0</v>
      </c>
      <c r="N380" s="2">
        <f>COUNTIFS(集計用!$G378,"*, "&amp;N$3&amp;", *")</f>
        <v>0</v>
      </c>
      <c r="O380" s="2">
        <f>COUNTIFS(集計用!$G378,"*, "&amp;O$3&amp;", *")</f>
        <v>0</v>
      </c>
      <c r="P380" s="2">
        <f>COUNTIFS(集計用!$G378,"*, "&amp;P$3&amp;", *")</f>
        <v>0</v>
      </c>
      <c r="Q380" s="2">
        <f>COUNTIFS(集計用!$G378,"*, "&amp;Q$3&amp;", *")</f>
        <v>0</v>
      </c>
      <c r="R380" s="2">
        <f>COUNTIFS(集計用!$G378,"*, "&amp;R$3&amp;", *")</f>
        <v>0</v>
      </c>
      <c r="S380" s="2">
        <f>COUNTIFS(集計用!$G378,"*, "&amp;S$3&amp;", *")</f>
        <v>0</v>
      </c>
      <c r="T380" s="2">
        <f>COUNTIFS(集計用!$G378,"*, "&amp;T$3&amp;", *")</f>
        <v>0</v>
      </c>
      <c r="U380" s="2">
        <f>COUNTIFS(集計用!$G378,"*, "&amp;U$3&amp;", *")</f>
        <v>0</v>
      </c>
      <c r="V380" s="2">
        <f>COUNTIFS(集計用!$G378,"*, "&amp;V$3&amp;", *")</f>
        <v>0</v>
      </c>
      <c r="W380" s="2">
        <f>COUNTIFS(集計用!$G378,"*, "&amp;W$3&amp;", *")</f>
        <v>0</v>
      </c>
      <c r="X380" s="2">
        <f>COUNTIFS(集計用!$G378,"*, "&amp;X$3&amp;", *")</f>
        <v>0</v>
      </c>
      <c r="Y380" s="2">
        <f>COUNTIFS(集計用!$G378,"*, "&amp;Y$3&amp;", *")</f>
        <v>0</v>
      </c>
      <c r="Z380" s="2">
        <f>COUNTIFS(集計用!$G378,"*, "&amp;Z$3&amp;", *")</f>
        <v>0</v>
      </c>
      <c r="AA380" s="2">
        <f>COUNTIFS(集計用!$G378,"*, "&amp;AA$3&amp;", *")</f>
        <v>0</v>
      </c>
      <c r="AB380" s="2">
        <f>COUNTIFS(集計用!$G378,"*, "&amp;AB$3&amp;", *")</f>
        <v>0</v>
      </c>
      <c r="AC380" s="2">
        <f>COUNTIFS(集計用!$G378,"*, "&amp;AC$3&amp;", *")</f>
        <v>0</v>
      </c>
      <c r="AD380" s="2">
        <f>COUNTIFS(集計用!$G378,"*, "&amp;AD$3&amp;", *")</f>
        <v>0</v>
      </c>
      <c r="AE380" s="2">
        <f>COUNTIFS(集計用!$G378,"*, "&amp;AE$3&amp;", *")</f>
        <v>0</v>
      </c>
      <c r="AF380" s="2">
        <f>COUNTIFS(集計用!$G378,"*, "&amp;AF$3&amp;", *")</f>
        <v>0</v>
      </c>
      <c r="AG380" s="2">
        <f>COUNTIFS(集計用!$G378,"*, "&amp;AG$3&amp;", *")</f>
        <v>0</v>
      </c>
      <c r="AH380" s="2">
        <f>COUNTIFS(集計用!$G378,"*, "&amp;AH$3&amp;", *")</f>
        <v>0</v>
      </c>
      <c r="AI380" s="2">
        <f>COUNTIFS(集計用!$G378,"*, "&amp;AI$3&amp;", *")</f>
        <v>0</v>
      </c>
      <c r="AJ380" s="2">
        <f>COUNTIFS(集計用!$G378,"*, "&amp;AJ$3&amp;", *")</f>
        <v>0</v>
      </c>
      <c r="AK380" s="2">
        <f>COUNTIFS(集計用!$G378,"*, "&amp;AK$3&amp;", *")</f>
        <v>0</v>
      </c>
      <c r="AL380" s="2">
        <f>COUNTIFS(集計用!$G378,"*, "&amp;AL$3&amp;", *")</f>
        <v>0</v>
      </c>
      <c r="AM380" s="2">
        <f>COUNTIFS(集計用!$G378,"*, "&amp;AM$3&amp;", *")</f>
        <v>0</v>
      </c>
      <c r="AN380" s="2">
        <f>COUNTIFS(集計用!$G378,"*, "&amp;AN$3&amp;", *")</f>
        <v>0</v>
      </c>
      <c r="AO380" s="2">
        <f>COUNTIFS(集計用!$G378,"*, "&amp;AO$3&amp;", *")</f>
        <v>0</v>
      </c>
      <c r="AP380" s="2">
        <f>COUNTIFS(集計用!$G378,"*, "&amp;AP$3&amp;", *")</f>
        <v>0</v>
      </c>
      <c r="AQ380" s="2">
        <f>COUNTIFS(集計用!$G378,"*, "&amp;AQ$3&amp;", *")</f>
        <v>0</v>
      </c>
      <c r="AR380" s="2">
        <f>COUNTIFS(集計用!$G378,"*, "&amp;AR$3&amp;", *")</f>
        <v>0</v>
      </c>
      <c r="AS380" s="2">
        <f>COUNTIFS(集計用!$G378,"*, "&amp;AS$3&amp;", *")</f>
        <v>0</v>
      </c>
      <c r="AT380" s="2">
        <f>COUNTIFS(集計用!$G378,"*, "&amp;AT$3&amp;", *")</f>
        <v>0</v>
      </c>
      <c r="AU380" s="2">
        <f>COUNTIFS(集計用!$G378,"*, "&amp;AU$3&amp;", *")</f>
        <v>0</v>
      </c>
      <c r="AV380" s="2">
        <f>COUNTIFS(集計用!$G378,"*, "&amp;AV$3&amp;", *")</f>
        <v>0</v>
      </c>
      <c r="AW380" s="2">
        <f>COUNTIFS(集計用!$G378,"*, "&amp;AW$3&amp;", *")</f>
        <v>0</v>
      </c>
      <c r="AX380" s="2">
        <f>COUNTIFS(集計用!$G378,"*, "&amp;AX$3&amp;", *")</f>
        <v>0</v>
      </c>
      <c r="AY380" s="2">
        <f>COUNTIFS(集計用!$G378,"*, "&amp;AY$3&amp;", *")</f>
        <v>0</v>
      </c>
      <c r="AZ380" s="2">
        <f>COUNTIFS(集計用!$G378,"*, "&amp;AZ$3&amp;", *")</f>
        <v>0</v>
      </c>
      <c r="BA380" s="2">
        <f>COUNTIFS(集計用!$G378,"*, "&amp;BA$3&amp;", *")</f>
        <v>0</v>
      </c>
      <c r="BB380" s="2">
        <f>COUNTIFS(集計用!$G378,"*, "&amp;BB$3&amp;", *")</f>
        <v>0</v>
      </c>
      <c r="BC380" s="2">
        <f>COUNTIFS(集計用!$G378,"*, "&amp;BC$3&amp;", *")</f>
        <v>0</v>
      </c>
      <c r="BD380" s="2">
        <f>COUNTIFS(集計用!$G378,"*, "&amp;BD$3&amp;", *")</f>
        <v>0</v>
      </c>
      <c r="BE380" s="2">
        <f>COUNTIFS(集計用!$G378,"*, "&amp;BE$3&amp;", *")</f>
        <v>0</v>
      </c>
      <c r="BF380" s="2">
        <f>COUNTIFS(集計用!$G378,"*, "&amp;BF$3&amp;", *")</f>
        <v>0</v>
      </c>
      <c r="BG380" s="2">
        <f>COUNTIFS(集計用!$G378,"*, "&amp;BG$3&amp;", *")</f>
        <v>0</v>
      </c>
      <c r="BH380" s="2">
        <f>COUNTIFS(集計用!$G378,"*, "&amp;BH$3&amp;", *")</f>
        <v>0</v>
      </c>
      <c r="BI380" s="2">
        <f>COUNTIFS(集計用!$G378,"*, "&amp;BI$3&amp;", *")</f>
        <v>0</v>
      </c>
      <c r="BJ380" s="2">
        <f>LEN(集計用!H378)-LEN(SUBSTITUTE(集計用!H378,",",""))</f>
        <v>0</v>
      </c>
    </row>
    <row r="381" spans="1:62" ht="12.75">
      <c r="A381" s="8">
        <v>378</v>
      </c>
      <c r="C381" s="2">
        <f t="shared" si="4"/>
        <v>7</v>
      </c>
      <c r="D381" s="9"/>
      <c r="E381" s="2">
        <f>COUNTIFS(集計用!$G379,"*, "&amp;E$3&amp;", *")</f>
        <v>1</v>
      </c>
      <c r="F381" s="2">
        <f>COUNTIFS(集計用!$G379,"*, "&amp;F$3&amp;", *")</f>
        <v>0</v>
      </c>
      <c r="G381" s="2">
        <f>COUNTIFS(集計用!$G379,"*, "&amp;G$3&amp;", *")</f>
        <v>0</v>
      </c>
      <c r="H381" s="2">
        <f>COUNTIFS(集計用!$G379,"*, "&amp;H$3&amp;", *")</f>
        <v>0</v>
      </c>
      <c r="I381" s="2">
        <f>COUNTIFS(集計用!$G379,"*, "&amp;I$3&amp;", *")</f>
        <v>0</v>
      </c>
      <c r="J381" s="2">
        <f>COUNTIFS(集計用!$G379,"*, "&amp;J$3&amp;", *")</f>
        <v>0</v>
      </c>
      <c r="K381" s="2">
        <f>COUNTIFS(集計用!$G379,"*, "&amp;K$3&amp;", *")</f>
        <v>0</v>
      </c>
      <c r="L381" s="2">
        <f>COUNTIFS(集計用!$G379,"*, "&amp;L$3&amp;", *")</f>
        <v>0</v>
      </c>
      <c r="M381" s="2">
        <f>COUNTIFS(集計用!$G379,"*, "&amp;M$3&amp;", *")</f>
        <v>0</v>
      </c>
      <c r="N381" s="2">
        <f>COUNTIFS(集計用!$G379,"*, "&amp;N$3&amp;", *")</f>
        <v>0</v>
      </c>
      <c r="O381" s="2">
        <f>COUNTIFS(集計用!$G379,"*, "&amp;O$3&amp;", *")</f>
        <v>0</v>
      </c>
      <c r="P381" s="2">
        <f>COUNTIFS(集計用!$G379,"*, "&amp;P$3&amp;", *")</f>
        <v>0</v>
      </c>
      <c r="Q381" s="2">
        <f>COUNTIFS(集計用!$G379,"*, "&amp;Q$3&amp;", *")</f>
        <v>0</v>
      </c>
      <c r="R381" s="2">
        <f>COUNTIFS(集計用!$G379,"*, "&amp;R$3&amp;", *")</f>
        <v>0</v>
      </c>
      <c r="S381" s="2">
        <f>COUNTIFS(集計用!$G379,"*, "&amp;S$3&amp;", *")</f>
        <v>0</v>
      </c>
      <c r="T381" s="2">
        <f>COUNTIFS(集計用!$G379,"*, "&amp;T$3&amp;", *")</f>
        <v>0</v>
      </c>
      <c r="U381" s="2">
        <f>COUNTIFS(集計用!$G379,"*, "&amp;U$3&amp;", *")</f>
        <v>0</v>
      </c>
      <c r="V381" s="2">
        <f>COUNTIFS(集計用!$G379,"*, "&amp;V$3&amp;", *")</f>
        <v>0</v>
      </c>
      <c r="W381" s="2">
        <f>COUNTIFS(集計用!$G379,"*, "&amp;W$3&amp;", *")</f>
        <v>1</v>
      </c>
      <c r="X381" s="2">
        <f>COUNTIFS(集計用!$G379,"*, "&amp;X$3&amp;", *")</f>
        <v>0</v>
      </c>
      <c r="Y381" s="2">
        <f>COUNTIFS(集計用!$G379,"*, "&amp;Y$3&amp;", *")</f>
        <v>0</v>
      </c>
      <c r="Z381" s="2">
        <f>COUNTIFS(集計用!$G379,"*, "&amp;Z$3&amp;", *")</f>
        <v>0</v>
      </c>
      <c r="AA381" s="2">
        <f>COUNTIFS(集計用!$G379,"*, "&amp;AA$3&amp;", *")</f>
        <v>0</v>
      </c>
      <c r="AB381" s="2">
        <f>COUNTIFS(集計用!$G379,"*, "&amp;AB$3&amp;", *")</f>
        <v>0</v>
      </c>
      <c r="AC381" s="2">
        <f>COUNTIFS(集計用!$G379,"*, "&amp;AC$3&amp;", *")</f>
        <v>0</v>
      </c>
      <c r="AD381" s="2">
        <f>COUNTIFS(集計用!$G379,"*, "&amp;AD$3&amp;", *")</f>
        <v>0</v>
      </c>
      <c r="AE381" s="2">
        <f>COUNTIFS(集計用!$G379,"*, "&amp;AE$3&amp;", *")</f>
        <v>0</v>
      </c>
      <c r="AF381" s="2">
        <f>COUNTIFS(集計用!$G379,"*, "&amp;AF$3&amp;", *")</f>
        <v>0</v>
      </c>
      <c r="AG381" s="2">
        <f>COUNTIFS(集計用!$G379,"*, "&amp;AG$3&amp;", *")</f>
        <v>0</v>
      </c>
      <c r="AH381" s="2">
        <f>COUNTIFS(集計用!$G379,"*, "&amp;AH$3&amp;", *")</f>
        <v>0</v>
      </c>
      <c r="AI381" s="2">
        <f>COUNTIFS(集計用!$G379,"*, "&amp;AI$3&amp;", *")</f>
        <v>0</v>
      </c>
      <c r="AJ381" s="2">
        <f>COUNTIFS(集計用!$G379,"*, "&amp;AJ$3&amp;", *")</f>
        <v>0</v>
      </c>
      <c r="AK381" s="2">
        <f>COUNTIFS(集計用!$G379,"*, "&amp;AK$3&amp;", *")</f>
        <v>0</v>
      </c>
      <c r="AL381" s="2">
        <f>COUNTIFS(集計用!$G379,"*, "&amp;AL$3&amp;", *")</f>
        <v>0</v>
      </c>
      <c r="AM381" s="2">
        <f>COUNTIFS(集計用!$G379,"*, "&amp;AM$3&amp;", *")</f>
        <v>0</v>
      </c>
      <c r="AN381" s="2">
        <f>COUNTIFS(集計用!$G379,"*, "&amp;AN$3&amp;", *")</f>
        <v>0</v>
      </c>
      <c r="AO381" s="2">
        <f>COUNTIFS(集計用!$G379,"*, "&amp;AO$3&amp;", *")</f>
        <v>0</v>
      </c>
      <c r="AP381" s="2">
        <f>COUNTIFS(集計用!$G379,"*, "&amp;AP$3&amp;", *")</f>
        <v>0</v>
      </c>
      <c r="AQ381" s="2">
        <f>COUNTIFS(集計用!$G379,"*, "&amp;AQ$3&amp;", *")</f>
        <v>0</v>
      </c>
      <c r="AR381" s="2">
        <f>COUNTIFS(集計用!$G379,"*, "&amp;AR$3&amp;", *")</f>
        <v>0</v>
      </c>
      <c r="AS381" s="2">
        <f>COUNTIFS(集計用!$G379,"*, "&amp;AS$3&amp;", *")</f>
        <v>0</v>
      </c>
      <c r="AT381" s="2">
        <f>COUNTIFS(集計用!$G379,"*, "&amp;AT$3&amp;", *")</f>
        <v>0</v>
      </c>
      <c r="AU381" s="2">
        <f>COUNTIFS(集計用!$G379,"*, "&amp;AU$3&amp;", *")</f>
        <v>0</v>
      </c>
      <c r="AV381" s="2">
        <f>COUNTIFS(集計用!$G379,"*, "&amp;AV$3&amp;", *")</f>
        <v>0</v>
      </c>
      <c r="AW381" s="2">
        <f>COUNTIFS(集計用!$G379,"*, "&amp;AW$3&amp;", *")</f>
        <v>0</v>
      </c>
      <c r="AX381" s="2">
        <f>COUNTIFS(集計用!$G379,"*, "&amp;AX$3&amp;", *")</f>
        <v>0</v>
      </c>
      <c r="AY381" s="2">
        <f>COUNTIFS(集計用!$G379,"*, "&amp;AY$3&amp;", *")</f>
        <v>0</v>
      </c>
      <c r="AZ381" s="2">
        <f>COUNTIFS(集計用!$G379,"*, "&amp;AZ$3&amp;", *")</f>
        <v>0</v>
      </c>
      <c r="BA381" s="2">
        <f>COUNTIFS(集計用!$G379,"*, "&amp;BA$3&amp;", *")</f>
        <v>0</v>
      </c>
      <c r="BB381" s="2">
        <f>COUNTIFS(集計用!$G379,"*, "&amp;BB$3&amp;", *")</f>
        <v>0</v>
      </c>
      <c r="BC381" s="2">
        <f>COUNTIFS(集計用!$G379,"*, "&amp;BC$3&amp;", *")</f>
        <v>0</v>
      </c>
      <c r="BD381" s="2">
        <f>COUNTIFS(集計用!$G379,"*, "&amp;BD$3&amp;", *")</f>
        <v>0</v>
      </c>
      <c r="BE381" s="2">
        <f>COUNTIFS(集計用!$G379,"*, "&amp;BE$3&amp;", *")</f>
        <v>0</v>
      </c>
      <c r="BF381" s="2">
        <f>COUNTIFS(集計用!$G379,"*, "&amp;BF$3&amp;", *")</f>
        <v>0</v>
      </c>
      <c r="BG381" s="2">
        <f>COUNTIFS(集計用!$G379,"*, "&amp;BG$3&amp;", *")</f>
        <v>0</v>
      </c>
      <c r="BH381" s="2">
        <f>COUNTIFS(集計用!$G379,"*, "&amp;BH$3&amp;", *")</f>
        <v>0</v>
      </c>
      <c r="BI381" s="2">
        <f>COUNTIFS(集計用!$G379,"*, "&amp;BI$3&amp;", *")</f>
        <v>0</v>
      </c>
      <c r="BJ381" s="2">
        <f>LEN(集計用!H379)-LEN(SUBSTITUTE(集計用!H379,",",""))</f>
        <v>5</v>
      </c>
    </row>
    <row r="382" spans="1:62" ht="12.75">
      <c r="A382" s="8">
        <v>379</v>
      </c>
      <c r="C382" s="2">
        <f t="shared" si="4"/>
        <v>1</v>
      </c>
      <c r="D382" s="9"/>
      <c r="E382" s="2">
        <f>COUNTIFS(集計用!$G380,"*, "&amp;E$3&amp;", *")</f>
        <v>1</v>
      </c>
      <c r="F382" s="2">
        <f>COUNTIFS(集計用!$G380,"*, "&amp;F$3&amp;", *")</f>
        <v>0</v>
      </c>
      <c r="G382" s="2">
        <f>COUNTIFS(集計用!$G380,"*, "&amp;G$3&amp;", *")</f>
        <v>0</v>
      </c>
      <c r="H382" s="2">
        <f>COUNTIFS(集計用!$G380,"*, "&amp;H$3&amp;", *")</f>
        <v>0</v>
      </c>
      <c r="I382" s="2">
        <f>COUNTIFS(集計用!$G380,"*, "&amp;I$3&amp;", *")</f>
        <v>0</v>
      </c>
      <c r="J382" s="2">
        <f>COUNTIFS(集計用!$G380,"*, "&amp;J$3&amp;", *")</f>
        <v>0</v>
      </c>
      <c r="K382" s="2">
        <f>COUNTIFS(集計用!$G380,"*, "&amp;K$3&amp;", *")</f>
        <v>0</v>
      </c>
      <c r="L382" s="2">
        <f>COUNTIFS(集計用!$G380,"*, "&amp;L$3&amp;", *")</f>
        <v>0</v>
      </c>
      <c r="M382" s="2">
        <f>COUNTIFS(集計用!$G380,"*, "&amp;M$3&amp;", *")</f>
        <v>0</v>
      </c>
      <c r="N382" s="2">
        <f>COUNTIFS(集計用!$G380,"*, "&amp;N$3&amp;", *")</f>
        <v>0</v>
      </c>
      <c r="O382" s="2">
        <f>COUNTIFS(集計用!$G380,"*, "&amp;O$3&amp;", *")</f>
        <v>0</v>
      </c>
      <c r="P382" s="2">
        <f>COUNTIFS(集計用!$G380,"*, "&amp;P$3&amp;", *")</f>
        <v>0</v>
      </c>
      <c r="Q382" s="2">
        <f>COUNTIFS(集計用!$G380,"*, "&amp;Q$3&amp;", *")</f>
        <v>0</v>
      </c>
      <c r="R382" s="2">
        <f>COUNTIFS(集計用!$G380,"*, "&amp;R$3&amp;", *")</f>
        <v>0</v>
      </c>
      <c r="S382" s="2">
        <f>COUNTIFS(集計用!$G380,"*, "&amp;S$3&amp;", *")</f>
        <v>0</v>
      </c>
      <c r="T382" s="2">
        <f>COUNTIFS(集計用!$G380,"*, "&amp;T$3&amp;", *")</f>
        <v>0</v>
      </c>
      <c r="U382" s="2">
        <f>COUNTIFS(集計用!$G380,"*, "&amp;U$3&amp;", *")</f>
        <v>0</v>
      </c>
      <c r="V382" s="2">
        <f>COUNTIFS(集計用!$G380,"*, "&amp;V$3&amp;", *")</f>
        <v>0</v>
      </c>
      <c r="W382" s="2">
        <f>COUNTIFS(集計用!$G380,"*, "&amp;W$3&amp;", *")</f>
        <v>0</v>
      </c>
      <c r="X382" s="2">
        <f>COUNTIFS(集計用!$G380,"*, "&amp;X$3&amp;", *")</f>
        <v>0</v>
      </c>
      <c r="Y382" s="2">
        <f>COUNTIFS(集計用!$G380,"*, "&amp;Y$3&amp;", *")</f>
        <v>0</v>
      </c>
      <c r="Z382" s="2">
        <f>COUNTIFS(集計用!$G380,"*, "&amp;Z$3&amp;", *")</f>
        <v>0</v>
      </c>
      <c r="AA382" s="2">
        <f>COUNTIFS(集計用!$G380,"*, "&amp;AA$3&amp;", *")</f>
        <v>0</v>
      </c>
      <c r="AB382" s="2">
        <f>COUNTIFS(集計用!$G380,"*, "&amp;AB$3&amp;", *")</f>
        <v>0</v>
      </c>
      <c r="AC382" s="2">
        <f>COUNTIFS(集計用!$G380,"*, "&amp;AC$3&amp;", *")</f>
        <v>0</v>
      </c>
      <c r="AD382" s="2">
        <f>COUNTIFS(集計用!$G380,"*, "&amp;AD$3&amp;", *")</f>
        <v>0</v>
      </c>
      <c r="AE382" s="2">
        <f>COUNTIFS(集計用!$G380,"*, "&amp;AE$3&amp;", *")</f>
        <v>0</v>
      </c>
      <c r="AF382" s="2">
        <f>COUNTIFS(集計用!$G380,"*, "&amp;AF$3&amp;", *")</f>
        <v>0</v>
      </c>
      <c r="AG382" s="2">
        <f>COUNTIFS(集計用!$G380,"*, "&amp;AG$3&amp;", *")</f>
        <v>0</v>
      </c>
      <c r="AH382" s="2">
        <f>COUNTIFS(集計用!$G380,"*, "&amp;AH$3&amp;", *")</f>
        <v>0</v>
      </c>
      <c r="AI382" s="2">
        <f>COUNTIFS(集計用!$G380,"*, "&amp;AI$3&amp;", *")</f>
        <v>0</v>
      </c>
      <c r="AJ382" s="2">
        <f>COUNTIFS(集計用!$G380,"*, "&amp;AJ$3&amp;", *")</f>
        <v>0</v>
      </c>
      <c r="AK382" s="2">
        <f>COUNTIFS(集計用!$G380,"*, "&amp;AK$3&amp;", *")</f>
        <v>0</v>
      </c>
      <c r="AL382" s="2">
        <f>COUNTIFS(集計用!$G380,"*, "&amp;AL$3&amp;", *")</f>
        <v>0</v>
      </c>
      <c r="AM382" s="2">
        <f>COUNTIFS(集計用!$G380,"*, "&amp;AM$3&amp;", *")</f>
        <v>0</v>
      </c>
      <c r="AN382" s="2">
        <f>COUNTIFS(集計用!$G380,"*, "&amp;AN$3&amp;", *")</f>
        <v>0</v>
      </c>
      <c r="AO382" s="2">
        <f>COUNTIFS(集計用!$G380,"*, "&amp;AO$3&amp;", *")</f>
        <v>0</v>
      </c>
      <c r="AP382" s="2">
        <f>COUNTIFS(集計用!$G380,"*, "&amp;AP$3&amp;", *")</f>
        <v>0</v>
      </c>
      <c r="AQ382" s="2">
        <f>COUNTIFS(集計用!$G380,"*, "&amp;AQ$3&amp;", *")</f>
        <v>0</v>
      </c>
      <c r="AR382" s="2">
        <f>COUNTIFS(集計用!$G380,"*, "&amp;AR$3&amp;", *")</f>
        <v>0</v>
      </c>
      <c r="AS382" s="2">
        <f>COUNTIFS(集計用!$G380,"*, "&amp;AS$3&amp;", *")</f>
        <v>0</v>
      </c>
      <c r="AT382" s="2">
        <f>COUNTIFS(集計用!$G380,"*, "&amp;AT$3&amp;", *")</f>
        <v>0</v>
      </c>
      <c r="AU382" s="2">
        <f>COUNTIFS(集計用!$G380,"*, "&amp;AU$3&amp;", *")</f>
        <v>0</v>
      </c>
      <c r="AV382" s="2">
        <f>COUNTIFS(集計用!$G380,"*, "&amp;AV$3&amp;", *")</f>
        <v>0</v>
      </c>
      <c r="AW382" s="2">
        <f>COUNTIFS(集計用!$G380,"*, "&amp;AW$3&amp;", *")</f>
        <v>0</v>
      </c>
      <c r="AX382" s="2">
        <f>COUNTIFS(集計用!$G380,"*, "&amp;AX$3&amp;", *")</f>
        <v>0</v>
      </c>
      <c r="AY382" s="2">
        <f>COUNTIFS(集計用!$G380,"*, "&amp;AY$3&amp;", *")</f>
        <v>0</v>
      </c>
      <c r="AZ382" s="2">
        <f>COUNTIFS(集計用!$G380,"*, "&amp;AZ$3&amp;", *")</f>
        <v>0</v>
      </c>
      <c r="BA382" s="2">
        <f>COUNTIFS(集計用!$G380,"*, "&amp;BA$3&amp;", *")</f>
        <v>0</v>
      </c>
      <c r="BB382" s="2">
        <f>COUNTIFS(集計用!$G380,"*, "&amp;BB$3&amp;", *")</f>
        <v>0</v>
      </c>
      <c r="BC382" s="2">
        <f>COUNTIFS(集計用!$G380,"*, "&amp;BC$3&amp;", *")</f>
        <v>0</v>
      </c>
      <c r="BD382" s="2">
        <f>COUNTIFS(集計用!$G380,"*, "&amp;BD$3&amp;", *")</f>
        <v>0</v>
      </c>
      <c r="BE382" s="2">
        <f>COUNTIFS(集計用!$G380,"*, "&amp;BE$3&amp;", *")</f>
        <v>0</v>
      </c>
      <c r="BF382" s="2">
        <f>COUNTIFS(集計用!$G380,"*, "&amp;BF$3&amp;", *")</f>
        <v>0</v>
      </c>
      <c r="BG382" s="2">
        <f>COUNTIFS(集計用!$G380,"*, "&amp;BG$3&amp;", *")</f>
        <v>0</v>
      </c>
      <c r="BH382" s="2">
        <f>COUNTIFS(集計用!$G380,"*, "&amp;BH$3&amp;", *")</f>
        <v>0</v>
      </c>
      <c r="BI382" s="2">
        <f>COUNTIFS(集計用!$G380,"*, "&amp;BI$3&amp;", *")</f>
        <v>0</v>
      </c>
      <c r="BJ382" s="2">
        <f>LEN(集計用!H380)-LEN(SUBSTITUTE(集計用!H380,",",""))</f>
        <v>0</v>
      </c>
    </row>
    <row r="383" spans="1:62" ht="12.75">
      <c r="A383" s="8">
        <v>380</v>
      </c>
      <c r="C383" s="2">
        <f t="shared" si="4"/>
        <v>4</v>
      </c>
      <c r="D383" s="9"/>
      <c r="E383" s="2">
        <f>COUNTIFS(集計用!$G381,"*, "&amp;E$3&amp;", *")</f>
        <v>1</v>
      </c>
      <c r="F383" s="2">
        <f>COUNTIFS(集計用!$G381,"*, "&amp;F$3&amp;", *")</f>
        <v>0</v>
      </c>
      <c r="G383" s="2">
        <f>COUNTIFS(集計用!$G381,"*, "&amp;G$3&amp;", *")</f>
        <v>1</v>
      </c>
      <c r="H383" s="2">
        <f>COUNTIFS(集計用!$G381,"*, "&amp;H$3&amp;", *")</f>
        <v>0</v>
      </c>
      <c r="I383" s="2">
        <f>COUNTIFS(集計用!$G381,"*, "&amp;I$3&amp;", *")</f>
        <v>0</v>
      </c>
      <c r="J383" s="2">
        <f>COUNTIFS(集計用!$G381,"*, "&amp;J$3&amp;", *")</f>
        <v>0</v>
      </c>
      <c r="K383" s="2">
        <f>COUNTIFS(集計用!$G381,"*, "&amp;K$3&amp;", *")</f>
        <v>1</v>
      </c>
      <c r="L383" s="2">
        <f>COUNTIFS(集計用!$G381,"*, "&amp;L$3&amp;", *")</f>
        <v>0</v>
      </c>
      <c r="M383" s="2">
        <f>COUNTIFS(集計用!$G381,"*, "&amp;M$3&amp;", *")</f>
        <v>0</v>
      </c>
      <c r="N383" s="2">
        <f>COUNTIFS(集計用!$G381,"*, "&amp;N$3&amp;", *")</f>
        <v>0</v>
      </c>
      <c r="O383" s="2">
        <f>COUNTIFS(集計用!$G381,"*, "&amp;O$3&amp;", *")</f>
        <v>0</v>
      </c>
      <c r="P383" s="2">
        <f>COUNTIFS(集計用!$G381,"*, "&amp;P$3&amp;", *")</f>
        <v>0</v>
      </c>
      <c r="Q383" s="2">
        <f>COUNTIFS(集計用!$G381,"*, "&amp;Q$3&amp;", *")</f>
        <v>0</v>
      </c>
      <c r="R383" s="2">
        <f>COUNTIFS(集計用!$G381,"*, "&amp;R$3&amp;", *")</f>
        <v>0</v>
      </c>
      <c r="S383" s="2">
        <f>COUNTIFS(集計用!$G381,"*, "&amp;S$3&amp;", *")</f>
        <v>0</v>
      </c>
      <c r="T383" s="2">
        <f>COUNTIFS(集計用!$G381,"*, "&amp;T$3&amp;", *")</f>
        <v>0</v>
      </c>
      <c r="U383" s="2">
        <f>COUNTIFS(集計用!$G381,"*, "&amp;U$3&amp;", *")</f>
        <v>0</v>
      </c>
      <c r="V383" s="2">
        <f>COUNTIFS(集計用!$G381,"*, "&amp;V$3&amp;", *")</f>
        <v>0</v>
      </c>
      <c r="W383" s="2">
        <f>COUNTIFS(集計用!$G381,"*, "&amp;W$3&amp;", *")</f>
        <v>0</v>
      </c>
      <c r="X383" s="2">
        <f>COUNTIFS(集計用!$G381,"*, "&amp;X$3&amp;", *")</f>
        <v>0</v>
      </c>
      <c r="Y383" s="2">
        <f>COUNTIFS(集計用!$G381,"*, "&amp;Y$3&amp;", *")</f>
        <v>1</v>
      </c>
      <c r="Z383" s="2">
        <f>COUNTIFS(集計用!$G381,"*, "&amp;Z$3&amp;", *")</f>
        <v>0</v>
      </c>
      <c r="AA383" s="2">
        <f>COUNTIFS(集計用!$G381,"*, "&amp;AA$3&amp;", *")</f>
        <v>0</v>
      </c>
      <c r="AB383" s="2">
        <f>COUNTIFS(集計用!$G381,"*, "&amp;AB$3&amp;", *")</f>
        <v>0</v>
      </c>
      <c r="AC383" s="2">
        <f>COUNTIFS(集計用!$G381,"*, "&amp;AC$3&amp;", *")</f>
        <v>0</v>
      </c>
      <c r="AD383" s="2">
        <f>COUNTIFS(集計用!$G381,"*, "&amp;AD$3&amp;", *")</f>
        <v>0</v>
      </c>
      <c r="AE383" s="2">
        <f>COUNTIFS(集計用!$G381,"*, "&amp;AE$3&amp;", *")</f>
        <v>0</v>
      </c>
      <c r="AF383" s="2">
        <f>COUNTIFS(集計用!$G381,"*, "&amp;AF$3&amp;", *")</f>
        <v>0</v>
      </c>
      <c r="AG383" s="2">
        <f>COUNTIFS(集計用!$G381,"*, "&amp;AG$3&amp;", *")</f>
        <v>0</v>
      </c>
      <c r="AH383" s="2">
        <f>COUNTIFS(集計用!$G381,"*, "&amp;AH$3&amp;", *")</f>
        <v>0</v>
      </c>
      <c r="AI383" s="2">
        <f>COUNTIFS(集計用!$G381,"*, "&amp;AI$3&amp;", *")</f>
        <v>0</v>
      </c>
      <c r="AJ383" s="2">
        <f>COUNTIFS(集計用!$G381,"*, "&amp;AJ$3&amp;", *")</f>
        <v>0</v>
      </c>
      <c r="AK383" s="2">
        <f>COUNTIFS(集計用!$G381,"*, "&amp;AK$3&amp;", *")</f>
        <v>0</v>
      </c>
      <c r="AL383" s="2">
        <f>COUNTIFS(集計用!$G381,"*, "&amp;AL$3&amp;", *")</f>
        <v>0</v>
      </c>
      <c r="AM383" s="2">
        <f>COUNTIFS(集計用!$G381,"*, "&amp;AM$3&amp;", *")</f>
        <v>0</v>
      </c>
      <c r="AN383" s="2">
        <f>COUNTIFS(集計用!$G381,"*, "&amp;AN$3&amp;", *")</f>
        <v>0</v>
      </c>
      <c r="AO383" s="2">
        <f>COUNTIFS(集計用!$G381,"*, "&amp;AO$3&amp;", *")</f>
        <v>0</v>
      </c>
      <c r="AP383" s="2">
        <f>COUNTIFS(集計用!$G381,"*, "&amp;AP$3&amp;", *")</f>
        <v>0</v>
      </c>
      <c r="AQ383" s="2">
        <f>COUNTIFS(集計用!$G381,"*, "&amp;AQ$3&amp;", *")</f>
        <v>0</v>
      </c>
      <c r="AR383" s="2">
        <f>COUNTIFS(集計用!$G381,"*, "&amp;AR$3&amp;", *")</f>
        <v>0</v>
      </c>
      <c r="AS383" s="2">
        <f>COUNTIFS(集計用!$G381,"*, "&amp;AS$3&amp;", *")</f>
        <v>0</v>
      </c>
      <c r="AT383" s="2">
        <f>COUNTIFS(集計用!$G381,"*, "&amp;AT$3&amp;", *")</f>
        <v>0</v>
      </c>
      <c r="AU383" s="2">
        <f>COUNTIFS(集計用!$G381,"*, "&amp;AU$3&amp;", *")</f>
        <v>0</v>
      </c>
      <c r="AV383" s="2">
        <f>COUNTIFS(集計用!$G381,"*, "&amp;AV$3&amp;", *")</f>
        <v>0</v>
      </c>
      <c r="AW383" s="2">
        <f>COUNTIFS(集計用!$G381,"*, "&amp;AW$3&amp;", *")</f>
        <v>0</v>
      </c>
      <c r="AX383" s="2">
        <f>COUNTIFS(集計用!$G381,"*, "&amp;AX$3&amp;", *")</f>
        <v>0</v>
      </c>
      <c r="AY383" s="2">
        <f>COUNTIFS(集計用!$G381,"*, "&amp;AY$3&amp;", *")</f>
        <v>0</v>
      </c>
      <c r="AZ383" s="2">
        <f>COUNTIFS(集計用!$G381,"*, "&amp;AZ$3&amp;", *")</f>
        <v>0</v>
      </c>
      <c r="BA383" s="2">
        <f>COUNTIFS(集計用!$G381,"*, "&amp;BA$3&amp;", *")</f>
        <v>0</v>
      </c>
      <c r="BB383" s="2">
        <f>COUNTIFS(集計用!$G381,"*, "&amp;BB$3&amp;", *")</f>
        <v>0</v>
      </c>
      <c r="BC383" s="2">
        <f>COUNTIFS(集計用!$G381,"*, "&amp;BC$3&amp;", *")</f>
        <v>0</v>
      </c>
      <c r="BD383" s="2">
        <f>COUNTIFS(集計用!$G381,"*, "&amp;BD$3&amp;", *")</f>
        <v>0</v>
      </c>
      <c r="BE383" s="2">
        <f>COUNTIFS(集計用!$G381,"*, "&amp;BE$3&amp;", *")</f>
        <v>0</v>
      </c>
      <c r="BF383" s="2">
        <f>COUNTIFS(集計用!$G381,"*, "&amp;BF$3&amp;", *")</f>
        <v>0</v>
      </c>
      <c r="BG383" s="2">
        <f>COUNTIFS(集計用!$G381,"*, "&amp;BG$3&amp;", *")</f>
        <v>0</v>
      </c>
      <c r="BH383" s="2">
        <f>COUNTIFS(集計用!$G381,"*, "&amp;BH$3&amp;", *")</f>
        <v>0</v>
      </c>
      <c r="BI383" s="2">
        <f>COUNTIFS(集計用!$G381,"*, "&amp;BI$3&amp;", *")</f>
        <v>0</v>
      </c>
      <c r="BJ383" s="2">
        <f>LEN(集計用!H381)-LEN(SUBSTITUTE(集計用!H381,",",""))</f>
        <v>0</v>
      </c>
    </row>
    <row r="384" spans="1:62" ht="12.75">
      <c r="A384" s="8">
        <v>381</v>
      </c>
      <c r="C384" s="2">
        <f t="shared" si="4"/>
        <v>6</v>
      </c>
      <c r="D384" s="9"/>
      <c r="E384" s="2">
        <f>COUNTIFS(集計用!$G382,"*, "&amp;E$3&amp;", *")</f>
        <v>1</v>
      </c>
      <c r="F384" s="2">
        <f>COUNTIFS(集計用!$G382,"*, "&amp;F$3&amp;", *")</f>
        <v>0</v>
      </c>
      <c r="G384" s="2">
        <f>COUNTIFS(集計用!$G382,"*, "&amp;G$3&amp;", *")</f>
        <v>1</v>
      </c>
      <c r="H384" s="2">
        <f>COUNTIFS(集計用!$G382,"*, "&amp;H$3&amp;", *")</f>
        <v>1</v>
      </c>
      <c r="I384" s="2">
        <f>COUNTIFS(集計用!$G382,"*, "&amp;I$3&amp;", *")</f>
        <v>0</v>
      </c>
      <c r="J384" s="2">
        <f>COUNTIFS(集計用!$G382,"*, "&amp;J$3&amp;", *")</f>
        <v>0</v>
      </c>
      <c r="K384" s="2">
        <f>COUNTIFS(集計用!$G382,"*, "&amp;K$3&amp;", *")</f>
        <v>0</v>
      </c>
      <c r="L384" s="2">
        <f>COUNTIFS(集計用!$G382,"*, "&amp;L$3&amp;", *")</f>
        <v>1</v>
      </c>
      <c r="M384" s="2">
        <f>COUNTIFS(集計用!$G382,"*, "&amp;M$3&amp;", *")</f>
        <v>0</v>
      </c>
      <c r="N384" s="2">
        <f>COUNTIFS(集計用!$G382,"*, "&amp;N$3&amp;", *")</f>
        <v>1</v>
      </c>
      <c r="O384" s="2">
        <f>COUNTIFS(集計用!$G382,"*, "&amp;O$3&amp;", *")</f>
        <v>0</v>
      </c>
      <c r="P384" s="2">
        <f>COUNTIFS(集計用!$G382,"*, "&amp;P$3&amp;", *")</f>
        <v>0</v>
      </c>
      <c r="Q384" s="2">
        <f>COUNTIFS(集計用!$G382,"*, "&amp;Q$3&amp;", *")</f>
        <v>0</v>
      </c>
      <c r="R384" s="2">
        <f>COUNTIFS(集計用!$G382,"*, "&amp;R$3&amp;", *")</f>
        <v>0</v>
      </c>
      <c r="S384" s="2">
        <f>COUNTIFS(集計用!$G382,"*, "&amp;S$3&amp;", *")</f>
        <v>0</v>
      </c>
      <c r="T384" s="2">
        <f>COUNTIFS(集計用!$G382,"*, "&amp;T$3&amp;", *")</f>
        <v>1</v>
      </c>
      <c r="U384" s="2">
        <f>COUNTIFS(集計用!$G382,"*, "&amp;U$3&amp;", *")</f>
        <v>0</v>
      </c>
      <c r="V384" s="2">
        <f>COUNTIFS(集計用!$G382,"*, "&amp;V$3&amp;", *")</f>
        <v>0</v>
      </c>
      <c r="W384" s="2">
        <f>COUNTIFS(集計用!$G382,"*, "&amp;W$3&amp;", *")</f>
        <v>0</v>
      </c>
      <c r="X384" s="2">
        <f>COUNTIFS(集計用!$G382,"*, "&amp;X$3&amp;", *")</f>
        <v>0</v>
      </c>
      <c r="Y384" s="2">
        <f>COUNTIFS(集計用!$G382,"*, "&amp;Y$3&amp;", *")</f>
        <v>0</v>
      </c>
      <c r="Z384" s="2">
        <f>COUNTIFS(集計用!$G382,"*, "&amp;Z$3&amp;", *")</f>
        <v>0</v>
      </c>
      <c r="AA384" s="2">
        <f>COUNTIFS(集計用!$G382,"*, "&amp;AA$3&amp;", *")</f>
        <v>0</v>
      </c>
      <c r="AB384" s="2">
        <f>COUNTIFS(集計用!$G382,"*, "&amp;AB$3&amp;", *")</f>
        <v>0</v>
      </c>
      <c r="AC384" s="2">
        <f>COUNTIFS(集計用!$G382,"*, "&amp;AC$3&amp;", *")</f>
        <v>0</v>
      </c>
      <c r="AD384" s="2">
        <f>COUNTIFS(集計用!$G382,"*, "&amp;AD$3&amp;", *")</f>
        <v>0</v>
      </c>
      <c r="AE384" s="2">
        <f>COUNTIFS(集計用!$G382,"*, "&amp;AE$3&amp;", *")</f>
        <v>0</v>
      </c>
      <c r="AF384" s="2">
        <f>COUNTIFS(集計用!$G382,"*, "&amp;AF$3&amp;", *")</f>
        <v>0</v>
      </c>
      <c r="AG384" s="2">
        <f>COUNTIFS(集計用!$G382,"*, "&amp;AG$3&amp;", *")</f>
        <v>0</v>
      </c>
      <c r="AH384" s="2">
        <f>COUNTIFS(集計用!$G382,"*, "&amp;AH$3&amp;", *")</f>
        <v>0</v>
      </c>
      <c r="AI384" s="2">
        <f>COUNTIFS(集計用!$G382,"*, "&amp;AI$3&amp;", *")</f>
        <v>0</v>
      </c>
      <c r="AJ384" s="2">
        <f>COUNTIFS(集計用!$G382,"*, "&amp;AJ$3&amp;", *")</f>
        <v>0</v>
      </c>
      <c r="AK384" s="2">
        <f>COUNTIFS(集計用!$G382,"*, "&amp;AK$3&amp;", *")</f>
        <v>0</v>
      </c>
      <c r="AL384" s="2">
        <f>COUNTIFS(集計用!$G382,"*, "&amp;AL$3&amp;", *")</f>
        <v>0</v>
      </c>
      <c r="AM384" s="2">
        <f>COUNTIFS(集計用!$G382,"*, "&amp;AM$3&amp;", *")</f>
        <v>0</v>
      </c>
      <c r="AN384" s="2">
        <f>COUNTIFS(集計用!$G382,"*, "&amp;AN$3&amp;", *")</f>
        <v>0</v>
      </c>
      <c r="AO384" s="2">
        <f>COUNTIFS(集計用!$G382,"*, "&amp;AO$3&amp;", *")</f>
        <v>0</v>
      </c>
      <c r="AP384" s="2">
        <f>COUNTIFS(集計用!$G382,"*, "&amp;AP$3&amp;", *")</f>
        <v>0</v>
      </c>
      <c r="AQ384" s="2">
        <f>COUNTIFS(集計用!$G382,"*, "&amp;AQ$3&amp;", *")</f>
        <v>0</v>
      </c>
      <c r="AR384" s="2">
        <f>COUNTIFS(集計用!$G382,"*, "&amp;AR$3&amp;", *")</f>
        <v>0</v>
      </c>
      <c r="AS384" s="2">
        <f>COUNTIFS(集計用!$G382,"*, "&amp;AS$3&amp;", *")</f>
        <v>0</v>
      </c>
      <c r="AT384" s="2">
        <f>COUNTIFS(集計用!$G382,"*, "&amp;AT$3&amp;", *")</f>
        <v>0</v>
      </c>
      <c r="AU384" s="2">
        <f>COUNTIFS(集計用!$G382,"*, "&amp;AU$3&amp;", *")</f>
        <v>0</v>
      </c>
      <c r="AV384" s="2">
        <f>COUNTIFS(集計用!$G382,"*, "&amp;AV$3&amp;", *")</f>
        <v>0</v>
      </c>
      <c r="AW384" s="2">
        <f>COUNTIFS(集計用!$G382,"*, "&amp;AW$3&amp;", *")</f>
        <v>0</v>
      </c>
      <c r="AX384" s="2">
        <f>COUNTIFS(集計用!$G382,"*, "&amp;AX$3&amp;", *")</f>
        <v>0</v>
      </c>
      <c r="AY384" s="2">
        <f>COUNTIFS(集計用!$G382,"*, "&amp;AY$3&amp;", *")</f>
        <v>0</v>
      </c>
      <c r="AZ384" s="2">
        <f>COUNTIFS(集計用!$G382,"*, "&amp;AZ$3&amp;", *")</f>
        <v>0</v>
      </c>
      <c r="BA384" s="2">
        <f>COUNTIFS(集計用!$G382,"*, "&amp;BA$3&amp;", *")</f>
        <v>0</v>
      </c>
      <c r="BB384" s="2">
        <f>COUNTIFS(集計用!$G382,"*, "&amp;BB$3&amp;", *")</f>
        <v>0</v>
      </c>
      <c r="BC384" s="2">
        <f>COUNTIFS(集計用!$G382,"*, "&amp;BC$3&amp;", *")</f>
        <v>0</v>
      </c>
      <c r="BD384" s="2">
        <f>COUNTIFS(集計用!$G382,"*, "&amp;BD$3&amp;", *")</f>
        <v>0</v>
      </c>
      <c r="BE384" s="2">
        <f>COUNTIFS(集計用!$G382,"*, "&amp;BE$3&amp;", *")</f>
        <v>0</v>
      </c>
      <c r="BF384" s="2">
        <f>COUNTIFS(集計用!$G382,"*, "&amp;BF$3&amp;", *")</f>
        <v>0</v>
      </c>
      <c r="BG384" s="2">
        <f>COUNTIFS(集計用!$G382,"*, "&amp;BG$3&amp;", *")</f>
        <v>0</v>
      </c>
      <c r="BH384" s="2">
        <f>COUNTIFS(集計用!$G382,"*, "&amp;BH$3&amp;", *")</f>
        <v>0</v>
      </c>
      <c r="BI384" s="2">
        <f>COUNTIFS(集計用!$G382,"*, "&amp;BI$3&amp;", *")</f>
        <v>0</v>
      </c>
      <c r="BJ384" s="2">
        <f>LEN(集計用!H382)-LEN(SUBSTITUTE(集計用!H382,",",""))</f>
        <v>0</v>
      </c>
    </row>
    <row r="385" spans="1:62" ht="12.75">
      <c r="A385" s="8">
        <v>382</v>
      </c>
      <c r="C385" s="2">
        <f t="shared" si="4"/>
        <v>6</v>
      </c>
      <c r="D385" s="9"/>
      <c r="E385" s="2">
        <f>COUNTIFS(集計用!$G383,"*, "&amp;E$3&amp;", *")</f>
        <v>1</v>
      </c>
      <c r="F385" s="2">
        <f>COUNTIFS(集計用!$G383,"*, "&amp;F$3&amp;", *")</f>
        <v>1</v>
      </c>
      <c r="G385" s="2">
        <f>COUNTIFS(集計用!$G383,"*, "&amp;G$3&amp;", *")</f>
        <v>1</v>
      </c>
      <c r="H385" s="2">
        <f>COUNTIFS(集計用!$G383,"*, "&amp;H$3&amp;", *")</f>
        <v>0</v>
      </c>
      <c r="I385" s="2">
        <f>COUNTIFS(集計用!$G383,"*, "&amp;I$3&amp;", *")</f>
        <v>0</v>
      </c>
      <c r="J385" s="2">
        <f>COUNTIFS(集計用!$G383,"*, "&amp;J$3&amp;", *")</f>
        <v>1</v>
      </c>
      <c r="K385" s="2">
        <f>COUNTIFS(集計用!$G383,"*, "&amp;K$3&amp;", *")</f>
        <v>0</v>
      </c>
      <c r="L385" s="2">
        <f>COUNTIFS(集計用!$G383,"*, "&amp;L$3&amp;", *")</f>
        <v>0</v>
      </c>
      <c r="M385" s="2">
        <f>COUNTIFS(集計用!$G383,"*, "&amp;M$3&amp;", *")</f>
        <v>0</v>
      </c>
      <c r="N385" s="2">
        <f>COUNTIFS(集計用!$G383,"*, "&amp;N$3&amp;", *")</f>
        <v>0</v>
      </c>
      <c r="O385" s="2">
        <f>COUNTIFS(集計用!$G383,"*, "&amp;O$3&amp;", *")</f>
        <v>1</v>
      </c>
      <c r="P385" s="2">
        <f>COUNTIFS(集計用!$G383,"*, "&amp;P$3&amp;", *")</f>
        <v>1</v>
      </c>
      <c r="Q385" s="2">
        <f>COUNTIFS(集計用!$G383,"*, "&amp;Q$3&amp;", *")</f>
        <v>0</v>
      </c>
      <c r="R385" s="2">
        <f>COUNTIFS(集計用!$G383,"*, "&amp;R$3&amp;", *")</f>
        <v>0</v>
      </c>
      <c r="S385" s="2">
        <f>COUNTIFS(集計用!$G383,"*, "&amp;S$3&amp;", *")</f>
        <v>0</v>
      </c>
      <c r="T385" s="2">
        <f>COUNTIFS(集計用!$G383,"*, "&amp;T$3&amp;", *")</f>
        <v>0</v>
      </c>
      <c r="U385" s="2">
        <f>COUNTIFS(集計用!$G383,"*, "&amp;U$3&amp;", *")</f>
        <v>0</v>
      </c>
      <c r="V385" s="2">
        <f>COUNTIFS(集計用!$G383,"*, "&amp;V$3&amp;", *")</f>
        <v>0</v>
      </c>
      <c r="W385" s="2">
        <f>COUNTIFS(集計用!$G383,"*, "&amp;W$3&amp;", *")</f>
        <v>0</v>
      </c>
      <c r="X385" s="2">
        <f>COUNTIFS(集計用!$G383,"*, "&amp;X$3&amp;", *")</f>
        <v>0</v>
      </c>
      <c r="Y385" s="2">
        <f>COUNTIFS(集計用!$G383,"*, "&amp;Y$3&amp;", *")</f>
        <v>0</v>
      </c>
      <c r="Z385" s="2">
        <f>COUNTIFS(集計用!$G383,"*, "&amp;Z$3&amp;", *")</f>
        <v>0</v>
      </c>
      <c r="AA385" s="2">
        <f>COUNTIFS(集計用!$G383,"*, "&amp;AA$3&amp;", *")</f>
        <v>0</v>
      </c>
      <c r="AB385" s="2">
        <f>COUNTIFS(集計用!$G383,"*, "&amp;AB$3&amp;", *")</f>
        <v>0</v>
      </c>
      <c r="AC385" s="2">
        <f>COUNTIFS(集計用!$G383,"*, "&amp;AC$3&amp;", *")</f>
        <v>0</v>
      </c>
      <c r="AD385" s="2">
        <f>COUNTIFS(集計用!$G383,"*, "&amp;AD$3&amp;", *")</f>
        <v>0</v>
      </c>
      <c r="AE385" s="2">
        <f>COUNTIFS(集計用!$G383,"*, "&amp;AE$3&amp;", *")</f>
        <v>0</v>
      </c>
      <c r="AF385" s="2">
        <f>COUNTIFS(集計用!$G383,"*, "&amp;AF$3&amp;", *")</f>
        <v>0</v>
      </c>
      <c r="AG385" s="2">
        <f>COUNTIFS(集計用!$G383,"*, "&amp;AG$3&amp;", *")</f>
        <v>0</v>
      </c>
      <c r="AH385" s="2">
        <f>COUNTIFS(集計用!$G383,"*, "&amp;AH$3&amp;", *")</f>
        <v>0</v>
      </c>
      <c r="AI385" s="2">
        <f>COUNTIFS(集計用!$G383,"*, "&amp;AI$3&amp;", *")</f>
        <v>0</v>
      </c>
      <c r="AJ385" s="2">
        <f>COUNTIFS(集計用!$G383,"*, "&amp;AJ$3&amp;", *")</f>
        <v>0</v>
      </c>
      <c r="AK385" s="2">
        <f>COUNTIFS(集計用!$G383,"*, "&amp;AK$3&amp;", *")</f>
        <v>0</v>
      </c>
      <c r="AL385" s="2">
        <f>COUNTIFS(集計用!$G383,"*, "&amp;AL$3&amp;", *")</f>
        <v>0</v>
      </c>
      <c r="AM385" s="2">
        <f>COUNTIFS(集計用!$G383,"*, "&amp;AM$3&amp;", *")</f>
        <v>0</v>
      </c>
      <c r="AN385" s="2">
        <f>COUNTIFS(集計用!$G383,"*, "&amp;AN$3&amp;", *")</f>
        <v>0</v>
      </c>
      <c r="AO385" s="2">
        <f>COUNTIFS(集計用!$G383,"*, "&amp;AO$3&amp;", *")</f>
        <v>0</v>
      </c>
      <c r="AP385" s="2">
        <f>COUNTIFS(集計用!$G383,"*, "&amp;AP$3&amp;", *")</f>
        <v>0</v>
      </c>
      <c r="AQ385" s="2">
        <f>COUNTIFS(集計用!$G383,"*, "&amp;AQ$3&amp;", *")</f>
        <v>0</v>
      </c>
      <c r="AR385" s="2">
        <f>COUNTIFS(集計用!$G383,"*, "&amp;AR$3&amp;", *")</f>
        <v>0</v>
      </c>
      <c r="AS385" s="2">
        <f>COUNTIFS(集計用!$G383,"*, "&amp;AS$3&amp;", *")</f>
        <v>0</v>
      </c>
      <c r="AT385" s="2">
        <f>COUNTIFS(集計用!$G383,"*, "&amp;AT$3&amp;", *")</f>
        <v>0</v>
      </c>
      <c r="AU385" s="2">
        <f>COUNTIFS(集計用!$G383,"*, "&amp;AU$3&amp;", *")</f>
        <v>0</v>
      </c>
      <c r="AV385" s="2">
        <f>COUNTIFS(集計用!$G383,"*, "&amp;AV$3&amp;", *")</f>
        <v>0</v>
      </c>
      <c r="AW385" s="2">
        <f>COUNTIFS(集計用!$G383,"*, "&amp;AW$3&amp;", *")</f>
        <v>0</v>
      </c>
      <c r="AX385" s="2">
        <f>COUNTIFS(集計用!$G383,"*, "&amp;AX$3&amp;", *")</f>
        <v>0</v>
      </c>
      <c r="AY385" s="2">
        <f>COUNTIFS(集計用!$G383,"*, "&amp;AY$3&amp;", *")</f>
        <v>0</v>
      </c>
      <c r="AZ385" s="2">
        <f>COUNTIFS(集計用!$G383,"*, "&amp;AZ$3&amp;", *")</f>
        <v>0</v>
      </c>
      <c r="BA385" s="2">
        <f>COUNTIFS(集計用!$G383,"*, "&amp;BA$3&amp;", *")</f>
        <v>0</v>
      </c>
      <c r="BB385" s="2">
        <f>COUNTIFS(集計用!$G383,"*, "&amp;BB$3&amp;", *")</f>
        <v>0</v>
      </c>
      <c r="BC385" s="2">
        <f>COUNTIFS(集計用!$G383,"*, "&amp;BC$3&amp;", *")</f>
        <v>0</v>
      </c>
      <c r="BD385" s="2">
        <f>COUNTIFS(集計用!$G383,"*, "&amp;BD$3&amp;", *")</f>
        <v>0</v>
      </c>
      <c r="BE385" s="2">
        <f>COUNTIFS(集計用!$G383,"*, "&amp;BE$3&amp;", *")</f>
        <v>0</v>
      </c>
      <c r="BF385" s="2">
        <f>COUNTIFS(集計用!$G383,"*, "&amp;BF$3&amp;", *")</f>
        <v>0</v>
      </c>
      <c r="BG385" s="2">
        <f>COUNTIFS(集計用!$G383,"*, "&amp;BG$3&amp;", *")</f>
        <v>0</v>
      </c>
      <c r="BH385" s="2">
        <f>COUNTIFS(集計用!$G383,"*, "&amp;BH$3&amp;", *")</f>
        <v>0</v>
      </c>
      <c r="BI385" s="2">
        <f>COUNTIFS(集計用!$G383,"*, "&amp;BI$3&amp;", *")</f>
        <v>0</v>
      </c>
      <c r="BJ385" s="2">
        <f>LEN(集計用!H383)-LEN(SUBSTITUTE(集計用!H383,",",""))</f>
        <v>0</v>
      </c>
    </row>
    <row r="386" spans="1:62" ht="12.75">
      <c r="A386" s="8">
        <v>383</v>
      </c>
      <c r="C386" s="2">
        <f t="shared" si="4"/>
        <v>3</v>
      </c>
      <c r="D386" s="9"/>
      <c r="E386" s="2">
        <f>COUNTIFS(集計用!$G384,"*, "&amp;E$3&amp;", *")</f>
        <v>1</v>
      </c>
      <c r="F386" s="2">
        <f>COUNTIFS(集計用!$G384,"*, "&amp;F$3&amp;", *")</f>
        <v>0</v>
      </c>
      <c r="G386" s="2">
        <f>COUNTIFS(集計用!$G384,"*, "&amp;G$3&amp;", *")</f>
        <v>0</v>
      </c>
      <c r="H386" s="2">
        <f>COUNTIFS(集計用!$G384,"*, "&amp;H$3&amp;", *")</f>
        <v>0</v>
      </c>
      <c r="I386" s="2">
        <f>COUNTIFS(集計用!$G384,"*, "&amp;I$3&amp;", *")</f>
        <v>0</v>
      </c>
      <c r="J386" s="2">
        <f>COUNTIFS(集計用!$G384,"*, "&amp;J$3&amp;", *")</f>
        <v>1</v>
      </c>
      <c r="K386" s="2">
        <f>COUNTIFS(集計用!$G384,"*, "&amp;K$3&amp;", *")</f>
        <v>0</v>
      </c>
      <c r="L386" s="2">
        <f>COUNTIFS(集計用!$G384,"*, "&amp;L$3&amp;", *")</f>
        <v>0</v>
      </c>
      <c r="M386" s="2">
        <f>COUNTIFS(集計用!$G384,"*, "&amp;M$3&amp;", *")</f>
        <v>0</v>
      </c>
      <c r="N386" s="2">
        <f>COUNTIFS(集計用!$G384,"*, "&amp;N$3&amp;", *")</f>
        <v>0</v>
      </c>
      <c r="O386" s="2">
        <f>COUNTIFS(集計用!$G384,"*, "&amp;O$3&amp;", *")</f>
        <v>0</v>
      </c>
      <c r="P386" s="2">
        <f>COUNTIFS(集計用!$G384,"*, "&amp;P$3&amp;", *")</f>
        <v>0</v>
      </c>
      <c r="Q386" s="2">
        <f>COUNTIFS(集計用!$G384,"*, "&amp;Q$3&amp;", *")</f>
        <v>0</v>
      </c>
      <c r="R386" s="2">
        <f>COUNTIFS(集計用!$G384,"*, "&amp;R$3&amp;", *")</f>
        <v>0</v>
      </c>
      <c r="S386" s="2">
        <f>COUNTIFS(集計用!$G384,"*, "&amp;S$3&amp;", *")</f>
        <v>1</v>
      </c>
      <c r="T386" s="2">
        <f>COUNTIFS(集計用!$G384,"*, "&amp;T$3&amp;", *")</f>
        <v>0</v>
      </c>
      <c r="U386" s="2">
        <f>COUNTIFS(集計用!$G384,"*, "&amp;U$3&amp;", *")</f>
        <v>0</v>
      </c>
      <c r="V386" s="2">
        <f>COUNTIFS(集計用!$G384,"*, "&amp;V$3&amp;", *")</f>
        <v>0</v>
      </c>
      <c r="W386" s="2">
        <f>COUNTIFS(集計用!$G384,"*, "&amp;W$3&amp;", *")</f>
        <v>0</v>
      </c>
      <c r="X386" s="2">
        <f>COUNTIFS(集計用!$G384,"*, "&amp;X$3&amp;", *")</f>
        <v>0</v>
      </c>
      <c r="Y386" s="2">
        <f>COUNTIFS(集計用!$G384,"*, "&amp;Y$3&amp;", *")</f>
        <v>0</v>
      </c>
      <c r="Z386" s="2">
        <f>COUNTIFS(集計用!$G384,"*, "&amp;Z$3&amp;", *")</f>
        <v>0</v>
      </c>
      <c r="AA386" s="2">
        <f>COUNTIFS(集計用!$G384,"*, "&amp;AA$3&amp;", *")</f>
        <v>0</v>
      </c>
      <c r="AB386" s="2">
        <f>COUNTIFS(集計用!$G384,"*, "&amp;AB$3&amp;", *")</f>
        <v>0</v>
      </c>
      <c r="AC386" s="2">
        <f>COUNTIFS(集計用!$G384,"*, "&amp;AC$3&amp;", *")</f>
        <v>0</v>
      </c>
      <c r="AD386" s="2">
        <f>COUNTIFS(集計用!$G384,"*, "&amp;AD$3&amp;", *")</f>
        <v>0</v>
      </c>
      <c r="AE386" s="2">
        <f>COUNTIFS(集計用!$G384,"*, "&amp;AE$3&amp;", *")</f>
        <v>0</v>
      </c>
      <c r="AF386" s="2">
        <f>COUNTIFS(集計用!$G384,"*, "&amp;AF$3&amp;", *")</f>
        <v>0</v>
      </c>
      <c r="AG386" s="2">
        <f>COUNTIFS(集計用!$G384,"*, "&amp;AG$3&amp;", *")</f>
        <v>0</v>
      </c>
      <c r="AH386" s="2">
        <f>COUNTIFS(集計用!$G384,"*, "&amp;AH$3&amp;", *")</f>
        <v>0</v>
      </c>
      <c r="AI386" s="2">
        <f>COUNTIFS(集計用!$G384,"*, "&amp;AI$3&amp;", *")</f>
        <v>0</v>
      </c>
      <c r="AJ386" s="2">
        <f>COUNTIFS(集計用!$G384,"*, "&amp;AJ$3&amp;", *")</f>
        <v>0</v>
      </c>
      <c r="AK386" s="2">
        <f>COUNTIFS(集計用!$G384,"*, "&amp;AK$3&amp;", *")</f>
        <v>0</v>
      </c>
      <c r="AL386" s="2">
        <f>COUNTIFS(集計用!$G384,"*, "&amp;AL$3&amp;", *")</f>
        <v>0</v>
      </c>
      <c r="AM386" s="2">
        <f>COUNTIFS(集計用!$G384,"*, "&amp;AM$3&amp;", *")</f>
        <v>0</v>
      </c>
      <c r="AN386" s="2">
        <f>COUNTIFS(集計用!$G384,"*, "&amp;AN$3&amp;", *")</f>
        <v>0</v>
      </c>
      <c r="AO386" s="2">
        <f>COUNTIFS(集計用!$G384,"*, "&amp;AO$3&amp;", *")</f>
        <v>0</v>
      </c>
      <c r="AP386" s="2">
        <f>COUNTIFS(集計用!$G384,"*, "&amp;AP$3&amp;", *")</f>
        <v>0</v>
      </c>
      <c r="AQ386" s="2">
        <f>COUNTIFS(集計用!$G384,"*, "&amp;AQ$3&amp;", *")</f>
        <v>0</v>
      </c>
      <c r="AR386" s="2">
        <f>COUNTIFS(集計用!$G384,"*, "&amp;AR$3&amp;", *")</f>
        <v>0</v>
      </c>
      <c r="AS386" s="2">
        <f>COUNTIFS(集計用!$G384,"*, "&amp;AS$3&amp;", *")</f>
        <v>0</v>
      </c>
      <c r="AT386" s="2">
        <f>COUNTIFS(集計用!$G384,"*, "&amp;AT$3&amp;", *")</f>
        <v>0</v>
      </c>
      <c r="AU386" s="2">
        <f>COUNTIFS(集計用!$G384,"*, "&amp;AU$3&amp;", *")</f>
        <v>0</v>
      </c>
      <c r="AV386" s="2">
        <f>COUNTIFS(集計用!$G384,"*, "&amp;AV$3&amp;", *")</f>
        <v>0</v>
      </c>
      <c r="AW386" s="2">
        <f>COUNTIFS(集計用!$G384,"*, "&amp;AW$3&amp;", *")</f>
        <v>0</v>
      </c>
      <c r="AX386" s="2">
        <f>COUNTIFS(集計用!$G384,"*, "&amp;AX$3&amp;", *")</f>
        <v>0</v>
      </c>
      <c r="AY386" s="2">
        <f>COUNTIFS(集計用!$G384,"*, "&amp;AY$3&amp;", *")</f>
        <v>0</v>
      </c>
      <c r="AZ386" s="2">
        <f>COUNTIFS(集計用!$G384,"*, "&amp;AZ$3&amp;", *")</f>
        <v>0</v>
      </c>
      <c r="BA386" s="2">
        <f>COUNTIFS(集計用!$G384,"*, "&amp;BA$3&amp;", *")</f>
        <v>0</v>
      </c>
      <c r="BB386" s="2">
        <f>COUNTIFS(集計用!$G384,"*, "&amp;BB$3&amp;", *")</f>
        <v>0</v>
      </c>
      <c r="BC386" s="2">
        <f>COUNTIFS(集計用!$G384,"*, "&amp;BC$3&amp;", *")</f>
        <v>0</v>
      </c>
      <c r="BD386" s="2">
        <f>COUNTIFS(集計用!$G384,"*, "&amp;BD$3&amp;", *")</f>
        <v>0</v>
      </c>
      <c r="BE386" s="2">
        <f>COUNTIFS(集計用!$G384,"*, "&amp;BE$3&amp;", *")</f>
        <v>0</v>
      </c>
      <c r="BF386" s="2">
        <f>COUNTIFS(集計用!$G384,"*, "&amp;BF$3&amp;", *")</f>
        <v>0</v>
      </c>
      <c r="BG386" s="2">
        <f>COUNTIFS(集計用!$G384,"*, "&amp;BG$3&amp;", *")</f>
        <v>0</v>
      </c>
      <c r="BH386" s="2">
        <f>COUNTIFS(集計用!$G384,"*, "&amp;BH$3&amp;", *")</f>
        <v>0</v>
      </c>
      <c r="BI386" s="2">
        <f>COUNTIFS(集計用!$G384,"*, "&amp;BI$3&amp;", *")</f>
        <v>0</v>
      </c>
      <c r="BJ386" s="2">
        <f>LEN(集計用!H384)-LEN(SUBSTITUTE(集計用!H384,",",""))</f>
        <v>0</v>
      </c>
    </row>
    <row r="387" spans="1:62" ht="12.75">
      <c r="A387" s="8">
        <v>384</v>
      </c>
      <c r="C387" s="2">
        <f t="shared" si="4"/>
        <v>3</v>
      </c>
      <c r="D387" s="9"/>
      <c r="E387" s="2">
        <f>COUNTIFS(集計用!$G385,"*, "&amp;E$3&amp;", *")</f>
        <v>0</v>
      </c>
      <c r="F387" s="2">
        <f>COUNTIFS(集計用!$G385,"*, "&amp;F$3&amp;", *")</f>
        <v>0</v>
      </c>
      <c r="G387" s="2">
        <f>COUNTIFS(集計用!$G385,"*, "&amp;G$3&amp;", *")</f>
        <v>1</v>
      </c>
      <c r="H387" s="2">
        <f>COUNTIFS(集計用!$G385,"*, "&amp;H$3&amp;", *")</f>
        <v>0</v>
      </c>
      <c r="I387" s="2">
        <f>COUNTIFS(集計用!$G385,"*, "&amp;I$3&amp;", *")</f>
        <v>0</v>
      </c>
      <c r="J387" s="2">
        <f>COUNTIFS(集計用!$G385,"*, "&amp;J$3&amp;", *")</f>
        <v>0</v>
      </c>
      <c r="K387" s="2">
        <f>COUNTIFS(集計用!$G385,"*, "&amp;K$3&amp;", *")</f>
        <v>0</v>
      </c>
      <c r="L387" s="2">
        <f>COUNTIFS(集計用!$G385,"*, "&amp;L$3&amp;", *")</f>
        <v>0</v>
      </c>
      <c r="M387" s="2">
        <f>COUNTIFS(集計用!$G385,"*, "&amp;M$3&amp;", *")</f>
        <v>0</v>
      </c>
      <c r="N387" s="2">
        <f>COUNTIFS(集計用!$G385,"*, "&amp;N$3&amp;", *")</f>
        <v>0</v>
      </c>
      <c r="O387" s="2">
        <f>COUNTIFS(集計用!$G385,"*, "&amp;O$3&amp;", *")</f>
        <v>0</v>
      </c>
      <c r="P387" s="2">
        <f>COUNTIFS(集計用!$G385,"*, "&amp;P$3&amp;", *")</f>
        <v>0</v>
      </c>
      <c r="Q387" s="2">
        <f>COUNTIFS(集計用!$G385,"*, "&amp;Q$3&amp;", *")</f>
        <v>0</v>
      </c>
      <c r="R387" s="2">
        <f>COUNTIFS(集計用!$G385,"*, "&amp;R$3&amp;", *")</f>
        <v>0</v>
      </c>
      <c r="S387" s="2">
        <f>COUNTIFS(集計用!$G385,"*, "&amp;S$3&amp;", *")</f>
        <v>1</v>
      </c>
      <c r="T387" s="2">
        <f>COUNTIFS(集計用!$G385,"*, "&amp;T$3&amp;", *")</f>
        <v>1</v>
      </c>
      <c r="U387" s="2">
        <f>COUNTIFS(集計用!$G385,"*, "&amp;U$3&amp;", *")</f>
        <v>0</v>
      </c>
      <c r="V387" s="2">
        <f>COUNTIFS(集計用!$G385,"*, "&amp;V$3&amp;", *")</f>
        <v>0</v>
      </c>
      <c r="W387" s="2">
        <f>COUNTIFS(集計用!$G385,"*, "&amp;W$3&amp;", *")</f>
        <v>0</v>
      </c>
      <c r="X387" s="2">
        <f>COUNTIFS(集計用!$G385,"*, "&amp;X$3&amp;", *")</f>
        <v>0</v>
      </c>
      <c r="Y387" s="2">
        <f>COUNTIFS(集計用!$G385,"*, "&amp;Y$3&amp;", *")</f>
        <v>0</v>
      </c>
      <c r="Z387" s="2">
        <f>COUNTIFS(集計用!$G385,"*, "&amp;Z$3&amp;", *")</f>
        <v>0</v>
      </c>
      <c r="AA387" s="2">
        <f>COUNTIFS(集計用!$G385,"*, "&amp;AA$3&amp;", *")</f>
        <v>0</v>
      </c>
      <c r="AB387" s="2">
        <f>COUNTIFS(集計用!$G385,"*, "&amp;AB$3&amp;", *")</f>
        <v>0</v>
      </c>
      <c r="AC387" s="2">
        <f>COUNTIFS(集計用!$G385,"*, "&amp;AC$3&amp;", *")</f>
        <v>0</v>
      </c>
      <c r="AD387" s="2">
        <f>COUNTIFS(集計用!$G385,"*, "&amp;AD$3&amp;", *")</f>
        <v>0</v>
      </c>
      <c r="AE387" s="2">
        <f>COUNTIFS(集計用!$G385,"*, "&amp;AE$3&amp;", *")</f>
        <v>0</v>
      </c>
      <c r="AF387" s="2">
        <f>COUNTIFS(集計用!$G385,"*, "&amp;AF$3&amp;", *")</f>
        <v>0</v>
      </c>
      <c r="AG387" s="2">
        <f>COUNTIFS(集計用!$G385,"*, "&amp;AG$3&amp;", *")</f>
        <v>0</v>
      </c>
      <c r="AH387" s="2">
        <f>COUNTIFS(集計用!$G385,"*, "&amp;AH$3&amp;", *")</f>
        <v>0</v>
      </c>
      <c r="AI387" s="2">
        <f>COUNTIFS(集計用!$G385,"*, "&amp;AI$3&amp;", *")</f>
        <v>0</v>
      </c>
      <c r="AJ387" s="2">
        <f>COUNTIFS(集計用!$G385,"*, "&amp;AJ$3&amp;", *")</f>
        <v>0</v>
      </c>
      <c r="AK387" s="2">
        <f>COUNTIFS(集計用!$G385,"*, "&amp;AK$3&amp;", *")</f>
        <v>0</v>
      </c>
      <c r="AL387" s="2">
        <f>COUNTIFS(集計用!$G385,"*, "&amp;AL$3&amp;", *")</f>
        <v>0</v>
      </c>
      <c r="AM387" s="2">
        <f>COUNTIFS(集計用!$G385,"*, "&amp;AM$3&amp;", *")</f>
        <v>0</v>
      </c>
      <c r="AN387" s="2">
        <f>COUNTIFS(集計用!$G385,"*, "&amp;AN$3&amp;", *")</f>
        <v>0</v>
      </c>
      <c r="AO387" s="2">
        <f>COUNTIFS(集計用!$G385,"*, "&amp;AO$3&amp;", *")</f>
        <v>0</v>
      </c>
      <c r="AP387" s="2">
        <f>COUNTIFS(集計用!$G385,"*, "&amp;AP$3&amp;", *")</f>
        <v>0</v>
      </c>
      <c r="AQ387" s="2">
        <f>COUNTIFS(集計用!$G385,"*, "&amp;AQ$3&amp;", *")</f>
        <v>0</v>
      </c>
      <c r="AR387" s="2">
        <f>COUNTIFS(集計用!$G385,"*, "&amp;AR$3&amp;", *")</f>
        <v>0</v>
      </c>
      <c r="AS387" s="2">
        <f>COUNTIFS(集計用!$G385,"*, "&amp;AS$3&amp;", *")</f>
        <v>0</v>
      </c>
      <c r="AT387" s="2">
        <f>COUNTIFS(集計用!$G385,"*, "&amp;AT$3&amp;", *")</f>
        <v>0</v>
      </c>
      <c r="AU387" s="2">
        <f>COUNTIFS(集計用!$G385,"*, "&amp;AU$3&amp;", *")</f>
        <v>0</v>
      </c>
      <c r="AV387" s="2">
        <f>COUNTIFS(集計用!$G385,"*, "&amp;AV$3&amp;", *")</f>
        <v>0</v>
      </c>
      <c r="AW387" s="2">
        <f>COUNTIFS(集計用!$G385,"*, "&amp;AW$3&amp;", *")</f>
        <v>0</v>
      </c>
      <c r="AX387" s="2">
        <f>COUNTIFS(集計用!$G385,"*, "&amp;AX$3&amp;", *")</f>
        <v>0</v>
      </c>
      <c r="AY387" s="2">
        <f>COUNTIFS(集計用!$G385,"*, "&amp;AY$3&amp;", *")</f>
        <v>0</v>
      </c>
      <c r="AZ387" s="2">
        <f>COUNTIFS(集計用!$G385,"*, "&amp;AZ$3&amp;", *")</f>
        <v>0</v>
      </c>
      <c r="BA387" s="2">
        <f>COUNTIFS(集計用!$G385,"*, "&amp;BA$3&amp;", *")</f>
        <v>0</v>
      </c>
      <c r="BB387" s="2">
        <f>COUNTIFS(集計用!$G385,"*, "&amp;BB$3&amp;", *")</f>
        <v>0</v>
      </c>
      <c r="BC387" s="2">
        <f>COUNTIFS(集計用!$G385,"*, "&amp;BC$3&amp;", *")</f>
        <v>0</v>
      </c>
      <c r="BD387" s="2">
        <f>COUNTIFS(集計用!$G385,"*, "&amp;BD$3&amp;", *")</f>
        <v>0</v>
      </c>
      <c r="BE387" s="2">
        <f>COUNTIFS(集計用!$G385,"*, "&amp;BE$3&amp;", *")</f>
        <v>0</v>
      </c>
      <c r="BF387" s="2">
        <f>COUNTIFS(集計用!$G385,"*, "&amp;BF$3&amp;", *")</f>
        <v>0</v>
      </c>
      <c r="BG387" s="2">
        <f>COUNTIFS(集計用!$G385,"*, "&amp;BG$3&amp;", *")</f>
        <v>0</v>
      </c>
      <c r="BH387" s="2">
        <f>COUNTIFS(集計用!$G385,"*, "&amp;BH$3&amp;", *")</f>
        <v>0</v>
      </c>
      <c r="BI387" s="2">
        <f>COUNTIFS(集計用!$G385,"*, "&amp;BI$3&amp;", *")</f>
        <v>0</v>
      </c>
      <c r="BJ387" s="2">
        <f>LEN(集計用!H385)-LEN(SUBSTITUTE(集計用!H385,",",""))</f>
        <v>0</v>
      </c>
    </row>
    <row r="388" spans="1:62" ht="12.75">
      <c r="A388" s="8">
        <v>385</v>
      </c>
      <c r="C388" s="2">
        <f t="shared" si="4"/>
        <v>7</v>
      </c>
      <c r="D388" s="9"/>
      <c r="E388" s="2">
        <f>COUNTIFS(集計用!$G386,"*, "&amp;E$3&amp;", *")</f>
        <v>1</v>
      </c>
      <c r="F388" s="2">
        <f>COUNTIFS(集計用!$G386,"*, "&amp;F$3&amp;", *")</f>
        <v>1</v>
      </c>
      <c r="G388" s="2">
        <f>COUNTIFS(集計用!$G386,"*, "&amp;G$3&amp;", *")</f>
        <v>1</v>
      </c>
      <c r="H388" s="2">
        <f>COUNTIFS(集計用!$G386,"*, "&amp;H$3&amp;", *")</f>
        <v>0</v>
      </c>
      <c r="I388" s="2">
        <f>COUNTIFS(集計用!$G386,"*, "&amp;I$3&amp;", *")</f>
        <v>0</v>
      </c>
      <c r="J388" s="2">
        <f>COUNTIFS(集計用!$G386,"*, "&amp;J$3&amp;", *")</f>
        <v>0</v>
      </c>
      <c r="K388" s="2">
        <f>COUNTIFS(集計用!$G386,"*, "&amp;K$3&amp;", *")</f>
        <v>0</v>
      </c>
      <c r="L388" s="2">
        <f>COUNTIFS(集計用!$G386,"*, "&amp;L$3&amp;", *")</f>
        <v>0</v>
      </c>
      <c r="M388" s="2">
        <f>COUNTIFS(集計用!$G386,"*, "&amp;M$3&amp;", *")</f>
        <v>0</v>
      </c>
      <c r="N388" s="2">
        <f>COUNTIFS(集計用!$G386,"*, "&amp;N$3&amp;", *")</f>
        <v>1</v>
      </c>
      <c r="O388" s="2">
        <f>COUNTIFS(集計用!$G386,"*, "&amp;O$3&amp;", *")</f>
        <v>0</v>
      </c>
      <c r="P388" s="2">
        <f>COUNTIFS(集計用!$G386,"*, "&amp;P$3&amp;", *")</f>
        <v>1</v>
      </c>
      <c r="Q388" s="2">
        <f>COUNTIFS(集計用!$G386,"*, "&amp;Q$3&amp;", *")</f>
        <v>0</v>
      </c>
      <c r="R388" s="2">
        <f>COUNTIFS(集計用!$G386,"*, "&amp;R$3&amp;", *")</f>
        <v>0</v>
      </c>
      <c r="S388" s="2">
        <f>COUNTIFS(集計用!$G386,"*, "&amp;S$3&amp;", *")</f>
        <v>0</v>
      </c>
      <c r="T388" s="2">
        <f>COUNTIFS(集計用!$G386,"*, "&amp;T$3&amp;", *")</f>
        <v>0</v>
      </c>
      <c r="U388" s="2">
        <f>COUNTIFS(集計用!$G386,"*, "&amp;U$3&amp;", *")</f>
        <v>0</v>
      </c>
      <c r="V388" s="2">
        <f>COUNTIFS(集計用!$G386,"*, "&amp;V$3&amp;", *")</f>
        <v>0</v>
      </c>
      <c r="W388" s="2">
        <f>COUNTIFS(集計用!$G386,"*, "&amp;W$3&amp;", *")</f>
        <v>0</v>
      </c>
      <c r="X388" s="2">
        <f>COUNTIFS(集計用!$G386,"*, "&amp;X$3&amp;", *")</f>
        <v>1</v>
      </c>
      <c r="Y388" s="2">
        <f>COUNTIFS(集計用!$G386,"*, "&amp;Y$3&amp;", *")</f>
        <v>0</v>
      </c>
      <c r="Z388" s="2">
        <f>COUNTIFS(集計用!$G386,"*, "&amp;Z$3&amp;", *")</f>
        <v>0</v>
      </c>
      <c r="AA388" s="2">
        <f>COUNTIFS(集計用!$G386,"*, "&amp;AA$3&amp;", *")</f>
        <v>0</v>
      </c>
      <c r="AB388" s="2">
        <f>COUNTIFS(集計用!$G386,"*, "&amp;AB$3&amp;", *")</f>
        <v>1</v>
      </c>
      <c r="AC388" s="2">
        <f>COUNTIFS(集計用!$G386,"*, "&amp;AC$3&amp;", *")</f>
        <v>0</v>
      </c>
      <c r="AD388" s="2">
        <f>COUNTIFS(集計用!$G386,"*, "&amp;AD$3&amp;", *")</f>
        <v>0</v>
      </c>
      <c r="AE388" s="2">
        <f>COUNTIFS(集計用!$G386,"*, "&amp;AE$3&amp;", *")</f>
        <v>0</v>
      </c>
      <c r="AF388" s="2">
        <f>COUNTIFS(集計用!$G386,"*, "&amp;AF$3&amp;", *")</f>
        <v>0</v>
      </c>
      <c r="AG388" s="2">
        <f>COUNTIFS(集計用!$G386,"*, "&amp;AG$3&amp;", *")</f>
        <v>0</v>
      </c>
      <c r="AH388" s="2">
        <f>COUNTIFS(集計用!$G386,"*, "&amp;AH$3&amp;", *")</f>
        <v>0</v>
      </c>
      <c r="AI388" s="2">
        <f>COUNTIFS(集計用!$G386,"*, "&amp;AI$3&amp;", *")</f>
        <v>0</v>
      </c>
      <c r="AJ388" s="2">
        <f>COUNTIFS(集計用!$G386,"*, "&amp;AJ$3&amp;", *")</f>
        <v>0</v>
      </c>
      <c r="AK388" s="2">
        <f>COUNTIFS(集計用!$G386,"*, "&amp;AK$3&amp;", *")</f>
        <v>0</v>
      </c>
      <c r="AL388" s="2">
        <f>COUNTIFS(集計用!$G386,"*, "&amp;AL$3&amp;", *")</f>
        <v>0</v>
      </c>
      <c r="AM388" s="2">
        <f>COUNTIFS(集計用!$G386,"*, "&amp;AM$3&amp;", *")</f>
        <v>0</v>
      </c>
      <c r="AN388" s="2">
        <f>COUNTIFS(集計用!$G386,"*, "&amp;AN$3&amp;", *")</f>
        <v>0</v>
      </c>
      <c r="AO388" s="2">
        <f>COUNTIFS(集計用!$G386,"*, "&amp;AO$3&amp;", *")</f>
        <v>0</v>
      </c>
      <c r="AP388" s="2">
        <f>COUNTIFS(集計用!$G386,"*, "&amp;AP$3&amp;", *")</f>
        <v>0</v>
      </c>
      <c r="AQ388" s="2">
        <f>COUNTIFS(集計用!$G386,"*, "&amp;AQ$3&amp;", *")</f>
        <v>0</v>
      </c>
      <c r="AR388" s="2">
        <f>COUNTIFS(集計用!$G386,"*, "&amp;AR$3&amp;", *")</f>
        <v>0</v>
      </c>
      <c r="AS388" s="2">
        <f>COUNTIFS(集計用!$G386,"*, "&amp;AS$3&amp;", *")</f>
        <v>0</v>
      </c>
      <c r="AT388" s="2">
        <f>COUNTIFS(集計用!$G386,"*, "&amp;AT$3&amp;", *")</f>
        <v>0</v>
      </c>
      <c r="AU388" s="2">
        <f>COUNTIFS(集計用!$G386,"*, "&amp;AU$3&amp;", *")</f>
        <v>0</v>
      </c>
      <c r="AV388" s="2">
        <f>COUNTIFS(集計用!$G386,"*, "&amp;AV$3&amp;", *")</f>
        <v>0</v>
      </c>
      <c r="AW388" s="2">
        <f>COUNTIFS(集計用!$G386,"*, "&amp;AW$3&amp;", *")</f>
        <v>0</v>
      </c>
      <c r="AX388" s="2">
        <f>COUNTIFS(集計用!$G386,"*, "&amp;AX$3&amp;", *")</f>
        <v>0</v>
      </c>
      <c r="AY388" s="2">
        <f>COUNTIFS(集計用!$G386,"*, "&amp;AY$3&amp;", *")</f>
        <v>0</v>
      </c>
      <c r="AZ388" s="2">
        <f>COUNTIFS(集計用!$G386,"*, "&amp;AZ$3&amp;", *")</f>
        <v>0</v>
      </c>
      <c r="BA388" s="2">
        <f>COUNTIFS(集計用!$G386,"*, "&amp;BA$3&amp;", *")</f>
        <v>0</v>
      </c>
      <c r="BB388" s="2">
        <f>COUNTIFS(集計用!$G386,"*, "&amp;BB$3&amp;", *")</f>
        <v>0</v>
      </c>
      <c r="BC388" s="2">
        <f>COUNTIFS(集計用!$G386,"*, "&amp;BC$3&amp;", *")</f>
        <v>0</v>
      </c>
      <c r="BD388" s="2">
        <f>COUNTIFS(集計用!$G386,"*, "&amp;BD$3&amp;", *")</f>
        <v>0</v>
      </c>
      <c r="BE388" s="2">
        <f>COUNTIFS(集計用!$G386,"*, "&amp;BE$3&amp;", *")</f>
        <v>0</v>
      </c>
      <c r="BF388" s="2">
        <f>COUNTIFS(集計用!$G386,"*, "&amp;BF$3&amp;", *")</f>
        <v>0</v>
      </c>
      <c r="BG388" s="2">
        <f>COUNTIFS(集計用!$G386,"*, "&amp;BG$3&amp;", *")</f>
        <v>0</v>
      </c>
      <c r="BH388" s="2">
        <f>COUNTIFS(集計用!$G386,"*, "&amp;BH$3&amp;", *")</f>
        <v>0</v>
      </c>
      <c r="BI388" s="2">
        <f>COUNTIFS(集計用!$G386,"*, "&amp;BI$3&amp;", *")</f>
        <v>0</v>
      </c>
      <c r="BJ388" s="2">
        <f>LEN(集計用!H386)-LEN(SUBSTITUTE(集計用!H386,",",""))</f>
        <v>0</v>
      </c>
    </row>
    <row r="389" spans="1:62" ht="12.75">
      <c r="A389" s="8">
        <v>386</v>
      </c>
      <c r="C389" s="2">
        <f t="shared" si="4"/>
        <v>1</v>
      </c>
      <c r="D389" s="9"/>
      <c r="E389" s="2">
        <f>COUNTIFS(集計用!$G387,"*, "&amp;E$3&amp;", *")</f>
        <v>0</v>
      </c>
      <c r="F389" s="2">
        <f>COUNTIFS(集計用!$G387,"*, "&amp;F$3&amp;", *")</f>
        <v>0</v>
      </c>
      <c r="G389" s="2">
        <f>COUNTIFS(集計用!$G387,"*, "&amp;G$3&amp;", *")</f>
        <v>0</v>
      </c>
      <c r="H389" s="2">
        <f>COUNTIFS(集計用!$G387,"*, "&amp;H$3&amp;", *")</f>
        <v>1</v>
      </c>
      <c r="I389" s="2">
        <f>COUNTIFS(集計用!$G387,"*, "&amp;I$3&amp;", *")</f>
        <v>0</v>
      </c>
      <c r="J389" s="2">
        <f>COUNTIFS(集計用!$G387,"*, "&amp;J$3&amp;", *")</f>
        <v>0</v>
      </c>
      <c r="K389" s="2">
        <f>COUNTIFS(集計用!$G387,"*, "&amp;K$3&amp;", *")</f>
        <v>0</v>
      </c>
      <c r="L389" s="2">
        <f>COUNTIFS(集計用!$G387,"*, "&amp;L$3&amp;", *")</f>
        <v>0</v>
      </c>
      <c r="M389" s="2">
        <f>COUNTIFS(集計用!$G387,"*, "&amp;M$3&amp;", *")</f>
        <v>0</v>
      </c>
      <c r="N389" s="2">
        <f>COUNTIFS(集計用!$G387,"*, "&amp;N$3&amp;", *")</f>
        <v>0</v>
      </c>
      <c r="O389" s="2">
        <f>COUNTIFS(集計用!$G387,"*, "&amp;O$3&amp;", *")</f>
        <v>0</v>
      </c>
      <c r="P389" s="2">
        <f>COUNTIFS(集計用!$G387,"*, "&amp;P$3&amp;", *")</f>
        <v>0</v>
      </c>
      <c r="Q389" s="2">
        <f>COUNTIFS(集計用!$G387,"*, "&amp;Q$3&amp;", *")</f>
        <v>0</v>
      </c>
      <c r="R389" s="2">
        <f>COUNTIFS(集計用!$G387,"*, "&amp;R$3&amp;", *")</f>
        <v>0</v>
      </c>
      <c r="S389" s="2">
        <f>COUNTIFS(集計用!$G387,"*, "&amp;S$3&amp;", *")</f>
        <v>0</v>
      </c>
      <c r="T389" s="2">
        <f>COUNTIFS(集計用!$G387,"*, "&amp;T$3&amp;", *")</f>
        <v>0</v>
      </c>
      <c r="U389" s="2">
        <f>COUNTIFS(集計用!$G387,"*, "&amp;U$3&amp;", *")</f>
        <v>0</v>
      </c>
      <c r="V389" s="2">
        <f>COUNTIFS(集計用!$G387,"*, "&amp;V$3&amp;", *")</f>
        <v>0</v>
      </c>
      <c r="W389" s="2">
        <f>COUNTIFS(集計用!$G387,"*, "&amp;W$3&amp;", *")</f>
        <v>0</v>
      </c>
      <c r="X389" s="2">
        <f>COUNTIFS(集計用!$G387,"*, "&amp;X$3&amp;", *")</f>
        <v>0</v>
      </c>
      <c r="Y389" s="2">
        <f>COUNTIFS(集計用!$G387,"*, "&amp;Y$3&amp;", *")</f>
        <v>0</v>
      </c>
      <c r="Z389" s="2">
        <f>COUNTIFS(集計用!$G387,"*, "&amp;Z$3&amp;", *")</f>
        <v>0</v>
      </c>
      <c r="AA389" s="2">
        <f>COUNTIFS(集計用!$G387,"*, "&amp;AA$3&amp;", *")</f>
        <v>0</v>
      </c>
      <c r="AB389" s="2">
        <f>COUNTIFS(集計用!$G387,"*, "&amp;AB$3&amp;", *")</f>
        <v>0</v>
      </c>
      <c r="AC389" s="2">
        <f>COUNTIFS(集計用!$G387,"*, "&amp;AC$3&amp;", *")</f>
        <v>0</v>
      </c>
      <c r="AD389" s="2">
        <f>COUNTIFS(集計用!$G387,"*, "&amp;AD$3&amp;", *")</f>
        <v>0</v>
      </c>
      <c r="AE389" s="2">
        <f>COUNTIFS(集計用!$G387,"*, "&amp;AE$3&amp;", *")</f>
        <v>0</v>
      </c>
      <c r="AF389" s="2">
        <f>COUNTIFS(集計用!$G387,"*, "&amp;AF$3&amp;", *")</f>
        <v>0</v>
      </c>
      <c r="AG389" s="2">
        <f>COUNTIFS(集計用!$G387,"*, "&amp;AG$3&amp;", *")</f>
        <v>0</v>
      </c>
      <c r="AH389" s="2">
        <f>COUNTIFS(集計用!$G387,"*, "&amp;AH$3&amp;", *")</f>
        <v>0</v>
      </c>
      <c r="AI389" s="2">
        <f>COUNTIFS(集計用!$G387,"*, "&amp;AI$3&amp;", *")</f>
        <v>0</v>
      </c>
      <c r="AJ389" s="2">
        <f>COUNTIFS(集計用!$G387,"*, "&amp;AJ$3&amp;", *")</f>
        <v>0</v>
      </c>
      <c r="AK389" s="2">
        <f>COUNTIFS(集計用!$G387,"*, "&amp;AK$3&amp;", *")</f>
        <v>0</v>
      </c>
      <c r="AL389" s="2">
        <f>COUNTIFS(集計用!$G387,"*, "&amp;AL$3&amp;", *")</f>
        <v>0</v>
      </c>
      <c r="AM389" s="2">
        <f>COUNTIFS(集計用!$G387,"*, "&amp;AM$3&amp;", *")</f>
        <v>0</v>
      </c>
      <c r="AN389" s="2">
        <f>COUNTIFS(集計用!$G387,"*, "&amp;AN$3&amp;", *")</f>
        <v>0</v>
      </c>
      <c r="AO389" s="2">
        <f>COUNTIFS(集計用!$G387,"*, "&amp;AO$3&amp;", *")</f>
        <v>0</v>
      </c>
      <c r="AP389" s="2">
        <f>COUNTIFS(集計用!$G387,"*, "&amp;AP$3&amp;", *")</f>
        <v>0</v>
      </c>
      <c r="AQ389" s="2">
        <f>COUNTIFS(集計用!$G387,"*, "&amp;AQ$3&amp;", *")</f>
        <v>0</v>
      </c>
      <c r="AR389" s="2">
        <f>COUNTIFS(集計用!$G387,"*, "&amp;AR$3&amp;", *")</f>
        <v>0</v>
      </c>
      <c r="AS389" s="2">
        <f>COUNTIFS(集計用!$G387,"*, "&amp;AS$3&amp;", *")</f>
        <v>0</v>
      </c>
      <c r="AT389" s="2">
        <f>COUNTIFS(集計用!$G387,"*, "&amp;AT$3&amp;", *")</f>
        <v>0</v>
      </c>
      <c r="AU389" s="2">
        <f>COUNTIFS(集計用!$G387,"*, "&amp;AU$3&amp;", *")</f>
        <v>0</v>
      </c>
      <c r="AV389" s="2">
        <f>COUNTIFS(集計用!$G387,"*, "&amp;AV$3&amp;", *")</f>
        <v>0</v>
      </c>
      <c r="AW389" s="2">
        <f>COUNTIFS(集計用!$G387,"*, "&amp;AW$3&amp;", *")</f>
        <v>0</v>
      </c>
      <c r="AX389" s="2">
        <f>COUNTIFS(集計用!$G387,"*, "&amp;AX$3&amp;", *")</f>
        <v>0</v>
      </c>
      <c r="AY389" s="2">
        <f>COUNTIFS(集計用!$G387,"*, "&amp;AY$3&amp;", *")</f>
        <v>0</v>
      </c>
      <c r="AZ389" s="2">
        <f>COUNTIFS(集計用!$G387,"*, "&amp;AZ$3&amp;", *")</f>
        <v>0</v>
      </c>
      <c r="BA389" s="2">
        <f>COUNTIFS(集計用!$G387,"*, "&amp;BA$3&amp;", *")</f>
        <v>0</v>
      </c>
      <c r="BB389" s="2">
        <f>COUNTIFS(集計用!$G387,"*, "&amp;BB$3&amp;", *")</f>
        <v>0</v>
      </c>
      <c r="BC389" s="2">
        <f>COUNTIFS(集計用!$G387,"*, "&amp;BC$3&amp;", *")</f>
        <v>0</v>
      </c>
      <c r="BD389" s="2">
        <f>COUNTIFS(集計用!$G387,"*, "&amp;BD$3&amp;", *")</f>
        <v>0</v>
      </c>
      <c r="BE389" s="2">
        <f>COUNTIFS(集計用!$G387,"*, "&amp;BE$3&amp;", *")</f>
        <v>0</v>
      </c>
      <c r="BF389" s="2">
        <f>COUNTIFS(集計用!$G387,"*, "&amp;BF$3&amp;", *")</f>
        <v>0</v>
      </c>
      <c r="BG389" s="2">
        <f>COUNTIFS(集計用!$G387,"*, "&amp;BG$3&amp;", *")</f>
        <v>0</v>
      </c>
      <c r="BH389" s="2">
        <f>COUNTIFS(集計用!$G387,"*, "&amp;BH$3&amp;", *")</f>
        <v>0</v>
      </c>
      <c r="BI389" s="2">
        <f>COUNTIFS(集計用!$G387,"*, "&amp;BI$3&amp;", *")</f>
        <v>0</v>
      </c>
      <c r="BJ389" s="2">
        <f>LEN(集計用!H387)-LEN(SUBSTITUTE(集計用!H387,",",""))</f>
        <v>0</v>
      </c>
    </row>
    <row r="390" spans="1:62" ht="12.75">
      <c r="A390" s="8">
        <v>387</v>
      </c>
      <c r="C390" s="2">
        <f t="shared" si="4"/>
        <v>6</v>
      </c>
      <c r="D390" s="9"/>
      <c r="E390" s="2">
        <f>COUNTIFS(集計用!$G388,"*, "&amp;E$3&amp;", *")</f>
        <v>1</v>
      </c>
      <c r="F390" s="2">
        <f>COUNTIFS(集計用!$G388,"*, "&amp;F$3&amp;", *")</f>
        <v>0</v>
      </c>
      <c r="G390" s="2">
        <f>COUNTIFS(集計用!$G388,"*, "&amp;G$3&amp;", *")</f>
        <v>0</v>
      </c>
      <c r="H390" s="2">
        <f>COUNTIFS(集計用!$G388,"*, "&amp;H$3&amp;", *")</f>
        <v>0</v>
      </c>
      <c r="I390" s="2">
        <f>COUNTIFS(集計用!$G388,"*, "&amp;I$3&amp;", *")</f>
        <v>0</v>
      </c>
      <c r="J390" s="2">
        <f>COUNTIFS(集計用!$G388,"*, "&amp;J$3&amp;", *")</f>
        <v>1</v>
      </c>
      <c r="K390" s="2">
        <f>COUNTIFS(集計用!$G388,"*, "&amp;K$3&amp;", *")</f>
        <v>0</v>
      </c>
      <c r="L390" s="2">
        <f>COUNTIFS(集計用!$G388,"*, "&amp;L$3&amp;", *")</f>
        <v>0</v>
      </c>
      <c r="M390" s="2">
        <f>COUNTIFS(集計用!$G388,"*, "&amp;M$3&amp;", *")</f>
        <v>0</v>
      </c>
      <c r="N390" s="2">
        <f>COUNTIFS(集計用!$G388,"*, "&amp;N$3&amp;", *")</f>
        <v>0</v>
      </c>
      <c r="O390" s="2">
        <f>COUNTIFS(集計用!$G388,"*, "&amp;O$3&amp;", *")</f>
        <v>0</v>
      </c>
      <c r="P390" s="2">
        <f>COUNTIFS(集計用!$G388,"*, "&amp;P$3&amp;", *")</f>
        <v>0</v>
      </c>
      <c r="Q390" s="2">
        <f>COUNTIFS(集計用!$G388,"*, "&amp;Q$3&amp;", *")</f>
        <v>0</v>
      </c>
      <c r="R390" s="2">
        <f>COUNTIFS(集計用!$G388,"*, "&amp;R$3&amp;", *")</f>
        <v>1</v>
      </c>
      <c r="S390" s="2">
        <f>COUNTIFS(集計用!$G388,"*, "&amp;S$3&amp;", *")</f>
        <v>0</v>
      </c>
      <c r="T390" s="2">
        <f>COUNTIFS(集計用!$G388,"*, "&amp;T$3&amp;", *")</f>
        <v>0</v>
      </c>
      <c r="U390" s="2">
        <f>COUNTIFS(集計用!$G388,"*, "&amp;U$3&amp;", *")</f>
        <v>0</v>
      </c>
      <c r="V390" s="2">
        <f>COUNTIFS(集計用!$G388,"*, "&amp;V$3&amp;", *")</f>
        <v>0</v>
      </c>
      <c r="W390" s="2">
        <f>COUNTIFS(集計用!$G388,"*, "&amp;W$3&amp;", *")</f>
        <v>0</v>
      </c>
      <c r="X390" s="2">
        <f>COUNTIFS(集計用!$G388,"*, "&amp;X$3&amp;", *")</f>
        <v>0</v>
      </c>
      <c r="Y390" s="2">
        <f>COUNTIFS(集計用!$G388,"*, "&amp;Y$3&amp;", *")</f>
        <v>0</v>
      </c>
      <c r="Z390" s="2">
        <f>COUNTIFS(集計用!$G388,"*, "&amp;Z$3&amp;", *")</f>
        <v>0</v>
      </c>
      <c r="AA390" s="2">
        <f>COUNTIFS(集計用!$G388,"*, "&amp;AA$3&amp;", *")</f>
        <v>0</v>
      </c>
      <c r="AB390" s="2">
        <f>COUNTIFS(集計用!$G388,"*, "&amp;AB$3&amp;", *")</f>
        <v>0</v>
      </c>
      <c r="AC390" s="2">
        <f>COUNTIFS(集計用!$G388,"*, "&amp;AC$3&amp;", *")</f>
        <v>0</v>
      </c>
      <c r="AD390" s="2">
        <f>COUNTIFS(集計用!$G388,"*, "&amp;AD$3&amp;", *")</f>
        <v>1</v>
      </c>
      <c r="AE390" s="2">
        <f>COUNTIFS(集計用!$G388,"*, "&amp;AE$3&amp;", *")</f>
        <v>0</v>
      </c>
      <c r="AF390" s="2">
        <f>COUNTIFS(集計用!$G388,"*, "&amp;AF$3&amp;", *")</f>
        <v>0</v>
      </c>
      <c r="AG390" s="2">
        <f>COUNTIFS(集計用!$G388,"*, "&amp;AG$3&amp;", *")</f>
        <v>0</v>
      </c>
      <c r="AH390" s="2">
        <f>COUNTIFS(集計用!$G388,"*, "&amp;AH$3&amp;", *")</f>
        <v>0</v>
      </c>
      <c r="AI390" s="2">
        <f>COUNTIFS(集計用!$G388,"*, "&amp;AI$3&amp;", *")</f>
        <v>1</v>
      </c>
      <c r="AJ390" s="2">
        <f>COUNTIFS(集計用!$G388,"*, "&amp;AJ$3&amp;", *")</f>
        <v>0</v>
      </c>
      <c r="AK390" s="2">
        <f>COUNTIFS(集計用!$G388,"*, "&amp;AK$3&amp;", *")</f>
        <v>1</v>
      </c>
      <c r="AL390" s="2">
        <f>COUNTIFS(集計用!$G388,"*, "&amp;AL$3&amp;", *")</f>
        <v>0</v>
      </c>
      <c r="AM390" s="2">
        <f>COUNTIFS(集計用!$G388,"*, "&amp;AM$3&amp;", *")</f>
        <v>0</v>
      </c>
      <c r="AN390" s="2">
        <f>COUNTIFS(集計用!$G388,"*, "&amp;AN$3&amp;", *")</f>
        <v>0</v>
      </c>
      <c r="AO390" s="2">
        <f>COUNTIFS(集計用!$G388,"*, "&amp;AO$3&amp;", *")</f>
        <v>0</v>
      </c>
      <c r="AP390" s="2">
        <f>COUNTIFS(集計用!$G388,"*, "&amp;AP$3&amp;", *")</f>
        <v>0</v>
      </c>
      <c r="AQ390" s="2">
        <f>COUNTIFS(集計用!$G388,"*, "&amp;AQ$3&amp;", *")</f>
        <v>0</v>
      </c>
      <c r="AR390" s="2">
        <f>COUNTIFS(集計用!$G388,"*, "&amp;AR$3&amp;", *")</f>
        <v>0</v>
      </c>
      <c r="AS390" s="2">
        <f>COUNTIFS(集計用!$G388,"*, "&amp;AS$3&amp;", *")</f>
        <v>0</v>
      </c>
      <c r="AT390" s="2">
        <f>COUNTIFS(集計用!$G388,"*, "&amp;AT$3&amp;", *")</f>
        <v>0</v>
      </c>
      <c r="AU390" s="2">
        <f>COUNTIFS(集計用!$G388,"*, "&amp;AU$3&amp;", *")</f>
        <v>0</v>
      </c>
      <c r="AV390" s="2">
        <f>COUNTIFS(集計用!$G388,"*, "&amp;AV$3&amp;", *")</f>
        <v>0</v>
      </c>
      <c r="AW390" s="2">
        <f>COUNTIFS(集計用!$G388,"*, "&amp;AW$3&amp;", *")</f>
        <v>0</v>
      </c>
      <c r="AX390" s="2">
        <f>COUNTIFS(集計用!$G388,"*, "&amp;AX$3&amp;", *")</f>
        <v>0</v>
      </c>
      <c r="AY390" s="2">
        <f>COUNTIFS(集計用!$G388,"*, "&amp;AY$3&amp;", *")</f>
        <v>0</v>
      </c>
      <c r="AZ390" s="2">
        <f>COUNTIFS(集計用!$G388,"*, "&amp;AZ$3&amp;", *")</f>
        <v>0</v>
      </c>
      <c r="BA390" s="2">
        <f>COUNTIFS(集計用!$G388,"*, "&amp;BA$3&amp;", *")</f>
        <v>0</v>
      </c>
      <c r="BB390" s="2">
        <f>COUNTIFS(集計用!$G388,"*, "&amp;BB$3&amp;", *")</f>
        <v>0</v>
      </c>
      <c r="BC390" s="2">
        <f>COUNTIFS(集計用!$G388,"*, "&amp;BC$3&amp;", *")</f>
        <v>0</v>
      </c>
      <c r="BD390" s="2">
        <f>COUNTIFS(集計用!$G388,"*, "&amp;BD$3&amp;", *")</f>
        <v>0</v>
      </c>
      <c r="BE390" s="2">
        <f>COUNTIFS(集計用!$G388,"*, "&amp;BE$3&amp;", *")</f>
        <v>0</v>
      </c>
      <c r="BF390" s="2">
        <f>COUNTIFS(集計用!$G388,"*, "&amp;BF$3&amp;", *")</f>
        <v>0</v>
      </c>
      <c r="BG390" s="2">
        <f>COUNTIFS(集計用!$G388,"*, "&amp;BG$3&amp;", *")</f>
        <v>0</v>
      </c>
      <c r="BH390" s="2">
        <f>COUNTIFS(集計用!$G388,"*, "&amp;BH$3&amp;", *")</f>
        <v>0</v>
      </c>
      <c r="BI390" s="2">
        <f>COUNTIFS(集計用!$G388,"*, "&amp;BI$3&amp;", *")</f>
        <v>0</v>
      </c>
      <c r="BJ390" s="2">
        <f>LEN(集計用!H388)-LEN(SUBSTITUTE(集計用!H388,",",""))</f>
        <v>0</v>
      </c>
    </row>
    <row r="391" spans="1:62" ht="12.75">
      <c r="A391" s="8">
        <v>388</v>
      </c>
      <c r="C391" s="2">
        <f t="shared" si="4"/>
        <v>1</v>
      </c>
      <c r="D391" s="9"/>
      <c r="E391" s="2">
        <f>COUNTIFS(集計用!$G389,"*, "&amp;E$3&amp;", *")</f>
        <v>0</v>
      </c>
      <c r="F391" s="2">
        <f>COUNTIFS(集計用!$G389,"*, "&amp;F$3&amp;", *")</f>
        <v>0</v>
      </c>
      <c r="G391" s="2">
        <f>COUNTIFS(集計用!$G389,"*, "&amp;G$3&amp;", *")</f>
        <v>0</v>
      </c>
      <c r="H391" s="2">
        <f>COUNTIFS(集計用!$G389,"*, "&amp;H$3&amp;", *")</f>
        <v>1</v>
      </c>
      <c r="I391" s="2">
        <f>COUNTIFS(集計用!$G389,"*, "&amp;I$3&amp;", *")</f>
        <v>0</v>
      </c>
      <c r="J391" s="2">
        <f>COUNTIFS(集計用!$G389,"*, "&amp;J$3&amp;", *")</f>
        <v>0</v>
      </c>
      <c r="K391" s="2">
        <f>COUNTIFS(集計用!$G389,"*, "&amp;K$3&amp;", *")</f>
        <v>0</v>
      </c>
      <c r="L391" s="2">
        <f>COUNTIFS(集計用!$G389,"*, "&amp;L$3&amp;", *")</f>
        <v>0</v>
      </c>
      <c r="M391" s="2">
        <f>COUNTIFS(集計用!$G389,"*, "&amp;M$3&amp;", *")</f>
        <v>0</v>
      </c>
      <c r="N391" s="2">
        <f>COUNTIFS(集計用!$G389,"*, "&amp;N$3&amp;", *")</f>
        <v>0</v>
      </c>
      <c r="O391" s="2">
        <f>COUNTIFS(集計用!$G389,"*, "&amp;O$3&amp;", *")</f>
        <v>0</v>
      </c>
      <c r="P391" s="2">
        <f>COUNTIFS(集計用!$G389,"*, "&amp;P$3&amp;", *")</f>
        <v>0</v>
      </c>
      <c r="Q391" s="2">
        <f>COUNTIFS(集計用!$G389,"*, "&amp;Q$3&amp;", *")</f>
        <v>0</v>
      </c>
      <c r="R391" s="2">
        <f>COUNTIFS(集計用!$G389,"*, "&amp;R$3&amp;", *")</f>
        <v>0</v>
      </c>
      <c r="S391" s="2">
        <f>COUNTIFS(集計用!$G389,"*, "&amp;S$3&amp;", *")</f>
        <v>0</v>
      </c>
      <c r="T391" s="2">
        <f>COUNTIFS(集計用!$G389,"*, "&amp;T$3&amp;", *")</f>
        <v>0</v>
      </c>
      <c r="U391" s="2">
        <f>COUNTIFS(集計用!$G389,"*, "&amp;U$3&amp;", *")</f>
        <v>0</v>
      </c>
      <c r="V391" s="2">
        <f>COUNTIFS(集計用!$G389,"*, "&amp;V$3&amp;", *")</f>
        <v>0</v>
      </c>
      <c r="W391" s="2">
        <f>COUNTIFS(集計用!$G389,"*, "&amp;W$3&amp;", *")</f>
        <v>0</v>
      </c>
      <c r="X391" s="2">
        <f>COUNTIFS(集計用!$G389,"*, "&amp;X$3&amp;", *")</f>
        <v>0</v>
      </c>
      <c r="Y391" s="2">
        <f>COUNTIFS(集計用!$G389,"*, "&amp;Y$3&amp;", *")</f>
        <v>0</v>
      </c>
      <c r="Z391" s="2">
        <f>COUNTIFS(集計用!$G389,"*, "&amp;Z$3&amp;", *")</f>
        <v>0</v>
      </c>
      <c r="AA391" s="2">
        <f>COUNTIFS(集計用!$G389,"*, "&amp;AA$3&amp;", *")</f>
        <v>0</v>
      </c>
      <c r="AB391" s="2">
        <f>COUNTIFS(集計用!$G389,"*, "&amp;AB$3&amp;", *")</f>
        <v>0</v>
      </c>
      <c r="AC391" s="2">
        <f>COUNTIFS(集計用!$G389,"*, "&amp;AC$3&amp;", *")</f>
        <v>0</v>
      </c>
      <c r="AD391" s="2">
        <f>COUNTIFS(集計用!$G389,"*, "&amp;AD$3&amp;", *")</f>
        <v>0</v>
      </c>
      <c r="AE391" s="2">
        <f>COUNTIFS(集計用!$G389,"*, "&amp;AE$3&amp;", *")</f>
        <v>0</v>
      </c>
      <c r="AF391" s="2">
        <f>COUNTIFS(集計用!$G389,"*, "&amp;AF$3&amp;", *")</f>
        <v>0</v>
      </c>
      <c r="AG391" s="2">
        <f>COUNTIFS(集計用!$G389,"*, "&amp;AG$3&amp;", *")</f>
        <v>0</v>
      </c>
      <c r="AH391" s="2">
        <f>COUNTIFS(集計用!$G389,"*, "&amp;AH$3&amp;", *")</f>
        <v>0</v>
      </c>
      <c r="AI391" s="2">
        <f>COUNTIFS(集計用!$G389,"*, "&amp;AI$3&amp;", *")</f>
        <v>0</v>
      </c>
      <c r="AJ391" s="2">
        <f>COUNTIFS(集計用!$G389,"*, "&amp;AJ$3&amp;", *")</f>
        <v>0</v>
      </c>
      <c r="AK391" s="2">
        <f>COUNTIFS(集計用!$G389,"*, "&amp;AK$3&amp;", *")</f>
        <v>0</v>
      </c>
      <c r="AL391" s="2">
        <f>COUNTIFS(集計用!$G389,"*, "&amp;AL$3&amp;", *")</f>
        <v>0</v>
      </c>
      <c r="AM391" s="2">
        <f>COUNTIFS(集計用!$G389,"*, "&amp;AM$3&amp;", *")</f>
        <v>0</v>
      </c>
      <c r="AN391" s="2">
        <f>COUNTIFS(集計用!$G389,"*, "&amp;AN$3&amp;", *")</f>
        <v>0</v>
      </c>
      <c r="AO391" s="2">
        <f>COUNTIFS(集計用!$G389,"*, "&amp;AO$3&amp;", *")</f>
        <v>0</v>
      </c>
      <c r="AP391" s="2">
        <f>COUNTIFS(集計用!$G389,"*, "&amp;AP$3&amp;", *")</f>
        <v>0</v>
      </c>
      <c r="AQ391" s="2">
        <f>COUNTIFS(集計用!$G389,"*, "&amp;AQ$3&amp;", *")</f>
        <v>0</v>
      </c>
      <c r="AR391" s="2">
        <f>COUNTIFS(集計用!$G389,"*, "&amp;AR$3&amp;", *")</f>
        <v>0</v>
      </c>
      <c r="AS391" s="2">
        <f>COUNTIFS(集計用!$G389,"*, "&amp;AS$3&amp;", *")</f>
        <v>0</v>
      </c>
      <c r="AT391" s="2">
        <f>COUNTIFS(集計用!$G389,"*, "&amp;AT$3&amp;", *")</f>
        <v>0</v>
      </c>
      <c r="AU391" s="2">
        <f>COUNTIFS(集計用!$G389,"*, "&amp;AU$3&amp;", *")</f>
        <v>0</v>
      </c>
      <c r="AV391" s="2">
        <f>COUNTIFS(集計用!$G389,"*, "&amp;AV$3&amp;", *")</f>
        <v>0</v>
      </c>
      <c r="AW391" s="2">
        <f>COUNTIFS(集計用!$G389,"*, "&amp;AW$3&amp;", *")</f>
        <v>0</v>
      </c>
      <c r="AX391" s="2">
        <f>COUNTIFS(集計用!$G389,"*, "&amp;AX$3&amp;", *")</f>
        <v>0</v>
      </c>
      <c r="AY391" s="2">
        <f>COUNTIFS(集計用!$G389,"*, "&amp;AY$3&amp;", *")</f>
        <v>0</v>
      </c>
      <c r="AZ391" s="2">
        <f>COUNTIFS(集計用!$G389,"*, "&amp;AZ$3&amp;", *")</f>
        <v>0</v>
      </c>
      <c r="BA391" s="2">
        <f>COUNTIFS(集計用!$G389,"*, "&amp;BA$3&amp;", *")</f>
        <v>0</v>
      </c>
      <c r="BB391" s="2">
        <f>COUNTIFS(集計用!$G389,"*, "&amp;BB$3&amp;", *")</f>
        <v>0</v>
      </c>
      <c r="BC391" s="2">
        <f>COUNTIFS(集計用!$G389,"*, "&amp;BC$3&amp;", *")</f>
        <v>0</v>
      </c>
      <c r="BD391" s="2">
        <f>COUNTIFS(集計用!$G389,"*, "&amp;BD$3&amp;", *")</f>
        <v>0</v>
      </c>
      <c r="BE391" s="2">
        <f>COUNTIFS(集計用!$G389,"*, "&amp;BE$3&amp;", *")</f>
        <v>0</v>
      </c>
      <c r="BF391" s="2">
        <f>COUNTIFS(集計用!$G389,"*, "&amp;BF$3&amp;", *")</f>
        <v>0</v>
      </c>
      <c r="BG391" s="2">
        <f>COUNTIFS(集計用!$G389,"*, "&amp;BG$3&amp;", *")</f>
        <v>0</v>
      </c>
      <c r="BH391" s="2">
        <f>COUNTIFS(集計用!$G389,"*, "&amp;BH$3&amp;", *")</f>
        <v>0</v>
      </c>
      <c r="BI391" s="2">
        <f>COUNTIFS(集計用!$G389,"*, "&amp;BI$3&amp;", *")</f>
        <v>0</v>
      </c>
      <c r="BJ391" s="2">
        <f>LEN(集計用!H389)-LEN(SUBSTITUTE(集計用!H389,",",""))</f>
        <v>0</v>
      </c>
    </row>
    <row r="392" spans="1:62" ht="12.75">
      <c r="A392" s="8">
        <v>389</v>
      </c>
      <c r="C392" s="2">
        <f t="shared" si="4"/>
        <v>2</v>
      </c>
      <c r="D392" s="9"/>
      <c r="E392" s="2">
        <f>COUNTIFS(集計用!$G390,"*, "&amp;E$3&amp;", *")</f>
        <v>0</v>
      </c>
      <c r="F392" s="2">
        <f>COUNTIFS(集計用!$G390,"*, "&amp;F$3&amp;", *")</f>
        <v>0</v>
      </c>
      <c r="G392" s="2">
        <f>COUNTIFS(集計用!$G390,"*, "&amp;G$3&amp;", *")</f>
        <v>0</v>
      </c>
      <c r="H392" s="2">
        <f>COUNTIFS(集計用!$G390,"*, "&amp;H$3&amp;", *")</f>
        <v>0</v>
      </c>
      <c r="I392" s="2">
        <f>COUNTIFS(集計用!$G390,"*, "&amp;I$3&amp;", *")</f>
        <v>0</v>
      </c>
      <c r="J392" s="2">
        <f>COUNTIFS(集計用!$G390,"*, "&amp;J$3&amp;", *")</f>
        <v>0</v>
      </c>
      <c r="K392" s="2">
        <f>COUNTIFS(集計用!$G390,"*, "&amp;K$3&amp;", *")</f>
        <v>0</v>
      </c>
      <c r="L392" s="2">
        <f>COUNTIFS(集計用!$G390,"*, "&amp;L$3&amp;", *")</f>
        <v>0</v>
      </c>
      <c r="M392" s="2">
        <f>COUNTIFS(集計用!$G390,"*, "&amp;M$3&amp;", *")</f>
        <v>0</v>
      </c>
      <c r="N392" s="2">
        <f>COUNTIFS(集計用!$G390,"*, "&amp;N$3&amp;", *")</f>
        <v>1</v>
      </c>
      <c r="O392" s="2">
        <f>COUNTIFS(集計用!$G390,"*, "&amp;O$3&amp;", *")</f>
        <v>0</v>
      </c>
      <c r="P392" s="2">
        <f>COUNTIFS(集計用!$G390,"*, "&amp;P$3&amp;", *")</f>
        <v>0</v>
      </c>
      <c r="Q392" s="2">
        <f>COUNTIFS(集計用!$G390,"*, "&amp;Q$3&amp;", *")</f>
        <v>0</v>
      </c>
      <c r="R392" s="2">
        <f>COUNTIFS(集計用!$G390,"*, "&amp;R$3&amp;", *")</f>
        <v>0</v>
      </c>
      <c r="S392" s="2">
        <f>COUNTIFS(集計用!$G390,"*, "&amp;S$3&amp;", *")</f>
        <v>1</v>
      </c>
      <c r="T392" s="2">
        <f>COUNTIFS(集計用!$G390,"*, "&amp;T$3&amp;", *")</f>
        <v>0</v>
      </c>
      <c r="U392" s="2">
        <f>COUNTIFS(集計用!$G390,"*, "&amp;U$3&amp;", *")</f>
        <v>0</v>
      </c>
      <c r="V392" s="2">
        <f>COUNTIFS(集計用!$G390,"*, "&amp;V$3&amp;", *")</f>
        <v>0</v>
      </c>
      <c r="W392" s="2">
        <f>COUNTIFS(集計用!$G390,"*, "&amp;W$3&amp;", *")</f>
        <v>0</v>
      </c>
      <c r="X392" s="2">
        <f>COUNTIFS(集計用!$G390,"*, "&amp;X$3&amp;", *")</f>
        <v>0</v>
      </c>
      <c r="Y392" s="2">
        <f>COUNTIFS(集計用!$G390,"*, "&amp;Y$3&amp;", *")</f>
        <v>0</v>
      </c>
      <c r="Z392" s="2">
        <f>COUNTIFS(集計用!$G390,"*, "&amp;Z$3&amp;", *")</f>
        <v>0</v>
      </c>
      <c r="AA392" s="2">
        <f>COUNTIFS(集計用!$G390,"*, "&amp;AA$3&amp;", *")</f>
        <v>0</v>
      </c>
      <c r="AB392" s="2">
        <f>COUNTIFS(集計用!$G390,"*, "&amp;AB$3&amp;", *")</f>
        <v>0</v>
      </c>
      <c r="AC392" s="2">
        <f>COUNTIFS(集計用!$G390,"*, "&amp;AC$3&amp;", *")</f>
        <v>0</v>
      </c>
      <c r="AD392" s="2">
        <f>COUNTIFS(集計用!$G390,"*, "&amp;AD$3&amp;", *")</f>
        <v>0</v>
      </c>
      <c r="AE392" s="2">
        <f>COUNTIFS(集計用!$G390,"*, "&amp;AE$3&amp;", *")</f>
        <v>0</v>
      </c>
      <c r="AF392" s="2">
        <f>COUNTIFS(集計用!$G390,"*, "&amp;AF$3&amp;", *")</f>
        <v>0</v>
      </c>
      <c r="AG392" s="2">
        <f>COUNTIFS(集計用!$G390,"*, "&amp;AG$3&amp;", *")</f>
        <v>0</v>
      </c>
      <c r="AH392" s="2">
        <f>COUNTIFS(集計用!$G390,"*, "&amp;AH$3&amp;", *")</f>
        <v>0</v>
      </c>
      <c r="AI392" s="2">
        <f>COUNTIFS(集計用!$G390,"*, "&amp;AI$3&amp;", *")</f>
        <v>0</v>
      </c>
      <c r="AJ392" s="2">
        <f>COUNTIFS(集計用!$G390,"*, "&amp;AJ$3&amp;", *")</f>
        <v>0</v>
      </c>
      <c r="AK392" s="2">
        <f>COUNTIFS(集計用!$G390,"*, "&amp;AK$3&amp;", *")</f>
        <v>0</v>
      </c>
      <c r="AL392" s="2">
        <f>COUNTIFS(集計用!$G390,"*, "&amp;AL$3&amp;", *")</f>
        <v>0</v>
      </c>
      <c r="AM392" s="2">
        <f>COUNTIFS(集計用!$G390,"*, "&amp;AM$3&amp;", *")</f>
        <v>0</v>
      </c>
      <c r="AN392" s="2">
        <f>COUNTIFS(集計用!$G390,"*, "&amp;AN$3&amp;", *")</f>
        <v>0</v>
      </c>
      <c r="AO392" s="2">
        <f>COUNTIFS(集計用!$G390,"*, "&amp;AO$3&amp;", *")</f>
        <v>0</v>
      </c>
      <c r="AP392" s="2">
        <f>COUNTIFS(集計用!$G390,"*, "&amp;AP$3&amp;", *")</f>
        <v>0</v>
      </c>
      <c r="AQ392" s="2">
        <f>COUNTIFS(集計用!$G390,"*, "&amp;AQ$3&amp;", *")</f>
        <v>0</v>
      </c>
      <c r="AR392" s="2">
        <f>COUNTIFS(集計用!$G390,"*, "&amp;AR$3&amp;", *")</f>
        <v>0</v>
      </c>
      <c r="AS392" s="2">
        <f>COUNTIFS(集計用!$G390,"*, "&amp;AS$3&amp;", *")</f>
        <v>0</v>
      </c>
      <c r="AT392" s="2">
        <f>COUNTIFS(集計用!$G390,"*, "&amp;AT$3&amp;", *")</f>
        <v>0</v>
      </c>
      <c r="AU392" s="2">
        <f>COUNTIFS(集計用!$G390,"*, "&amp;AU$3&amp;", *")</f>
        <v>0</v>
      </c>
      <c r="AV392" s="2">
        <f>COUNTIFS(集計用!$G390,"*, "&amp;AV$3&amp;", *")</f>
        <v>0</v>
      </c>
      <c r="AW392" s="2">
        <f>COUNTIFS(集計用!$G390,"*, "&amp;AW$3&amp;", *")</f>
        <v>0</v>
      </c>
      <c r="AX392" s="2">
        <f>COUNTIFS(集計用!$G390,"*, "&amp;AX$3&amp;", *")</f>
        <v>0</v>
      </c>
      <c r="AY392" s="2">
        <f>COUNTIFS(集計用!$G390,"*, "&amp;AY$3&amp;", *")</f>
        <v>0</v>
      </c>
      <c r="AZ392" s="2">
        <f>COUNTIFS(集計用!$G390,"*, "&amp;AZ$3&amp;", *")</f>
        <v>0</v>
      </c>
      <c r="BA392" s="2">
        <f>COUNTIFS(集計用!$G390,"*, "&amp;BA$3&amp;", *")</f>
        <v>0</v>
      </c>
      <c r="BB392" s="2">
        <f>COUNTIFS(集計用!$G390,"*, "&amp;BB$3&amp;", *")</f>
        <v>0</v>
      </c>
      <c r="BC392" s="2">
        <f>COUNTIFS(集計用!$G390,"*, "&amp;BC$3&amp;", *")</f>
        <v>0</v>
      </c>
      <c r="BD392" s="2">
        <f>COUNTIFS(集計用!$G390,"*, "&amp;BD$3&amp;", *")</f>
        <v>0</v>
      </c>
      <c r="BE392" s="2">
        <f>COUNTIFS(集計用!$G390,"*, "&amp;BE$3&amp;", *")</f>
        <v>0</v>
      </c>
      <c r="BF392" s="2">
        <f>COUNTIFS(集計用!$G390,"*, "&amp;BF$3&amp;", *")</f>
        <v>0</v>
      </c>
      <c r="BG392" s="2">
        <f>COUNTIFS(集計用!$G390,"*, "&amp;BG$3&amp;", *")</f>
        <v>0</v>
      </c>
      <c r="BH392" s="2">
        <f>COUNTIFS(集計用!$G390,"*, "&amp;BH$3&amp;", *")</f>
        <v>0</v>
      </c>
      <c r="BI392" s="2">
        <f>COUNTIFS(集計用!$G390,"*, "&amp;BI$3&amp;", *")</f>
        <v>0</v>
      </c>
      <c r="BJ392" s="2">
        <f>LEN(集計用!H390)-LEN(SUBSTITUTE(集計用!H390,",",""))</f>
        <v>0</v>
      </c>
    </row>
    <row r="393" spans="1:62" ht="12.75">
      <c r="A393" s="8">
        <v>390</v>
      </c>
      <c r="C393" s="2">
        <f t="shared" si="4"/>
        <v>3</v>
      </c>
      <c r="D393" s="9"/>
      <c r="E393" s="2">
        <f>COUNTIFS(集計用!$G391,"*, "&amp;E$3&amp;", *")</f>
        <v>1</v>
      </c>
      <c r="F393" s="2">
        <f>COUNTIFS(集計用!$G391,"*, "&amp;F$3&amp;", *")</f>
        <v>1</v>
      </c>
      <c r="G393" s="2">
        <f>COUNTIFS(集計用!$G391,"*, "&amp;G$3&amp;", *")</f>
        <v>0</v>
      </c>
      <c r="H393" s="2">
        <f>COUNTIFS(集計用!$G391,"*, "&amp;H$3&amp;", *")</f>
        <v>0</v>
      </c>
      <c r="I393" s="2">
        <f>COUNTIFS(集計用!$G391,"*, "&amp;I$3&amp;", *")</f>
        <v>0</v>
      </c>
      <c r="J393" s="2">
        <f>COUNTIFS(集計用!$G391,"*, "&amp;J$3&amp;", *")</f>
        <v>0</v>
      </c>
      <c r="K393" s="2">
        <f>COUNTIFS(集計用!$G391,"*, "&amp;K$3&amp;", *")</f>
        <v>0</v>
      </c>
      <c r="L393" s="2">
        <f>COUNTIFS(集計用!$G391,"*, "&amp;L$3&amp;", *")</f>
        <v>0</v>
      </c>
      <c r="M393" s="2">
        <f>COUNTIFS(集計用!$G391,"*, "&amp;M$3&amp;", *")</f>
        <v>0</v>
      </c>
      <c r="N393" s="2">
        <f>COUNTIFS(集計用!$G391,"*, "&amp;N$3&amp;", *")</f>
        <v>0</v>
      </c>
      <c r="O393" s="2">
        <f>COUNTIFS(集計用!$G391,"*, "&amp;O$3&amp;", *")</f>
        <v>1</v>
      </c>
      <c r="P393" s="2">
        <f>COUNTIFS(集計用!$G391,"*, "&amp;P$3&amp;", *")</f>
        <v>0</v>
      </c>
      <c r="Q393" s="2">
        <f>COUNTIFS(集計用!$G391,"*, "&amp;Q$3&amp;", *")</f>
        <v>0</v>
      </c>
      <c r="R393" s="2">
        <f>COUNTIFS(集計用!$G391,"*, "&amp;R$3&amp;", *")</f>
        <v>0</v>
      </c>
      <c r="S393" s="2">
        <f>COUNTIFS(集計用!$G391,"*, "&amp;S$3&amp;", *")</f>
        <v>0</v>
      </c>
      <c r="T393" s="2">
        <f>COUNTIFS(集計用!$G391,"*, "&amp;T$3&amp;", *")</f>
        <v>0</v>
      </c>
      <c r="U393" s="2">
        <f>COUNTIFS(集計用!$G391,"*, "&amp;U$3&amp;", *")</f>
        <v>0</v>
      </c>
      <c r="V393" s="2">
        <f>COUNTIFS(集計用!$G391,"*, "&amp;V$3&amp;", *")</f>
        <v>0</v>
      </c>
      <c r="W393" s="2">
        <f>COUNTIFS(集計用!$G391,"*, "&amp;W$3&amp;", *")</f>
        <v>0</v>
      </c>
      <c r="X393" s="2">
        <f>COUNTIFS(集計用!$G391,"*, "&amp;X$3&amp;", *")</f>
        <v>0</v>
      </c>
      <c r="Y393" s="2">
        <f>COUNTIFS(集計用!$G391,"*, "&amp;Y$3&amp;", *")</f>
        <v>0</v>
      </c>
      <c r="Z393" s="2">
        <f>COUNTIFS(集計用!$G391,"*, "&amp;Z$3&amp;", *")</f>
        <v>0</v>
      </c>
      <c r="AA393" s="2">
        <f>COUNTIFS(集計用!$G391,"*, "&amp;AA$3&amp;", *")</f>
        <v>0</v>
      </c>
      <c r="AB393" s="2">
        <f>COUNTIFS(集計用!$G391,"*, "&amp;AB$3&amp;", *")</f>
        <v>0</v>
      </c>
      <c r="AC393" s="2">
        <f>COUNTIFS(集計用!$G391,"*, "&amp;AC$3&amp;", *")</f>
        <v>0</v>
      </c>
      <c r="AD393" s="2">
        <f>COUNTIFS(集計用!$G391,"*, "&amp;AD$3&amp;", *")</f>
        <v>0</v>
      </c>
      <c r="AE393" s="2">
        <f>COUNTIFS(集計用!$G391,"*, "&amp;AE$3&amp;", *")</f>
        <v>0</v>
      </c>
      <c r="AF393" s="2">
        <f>COUNTIFS(集計用!$G391,"*, "&amp;AF$3&amp;", *")</f>
        <v>0</v>
      </c>
      <c r="AG393" s="2">
        <f>COUNTIFS(集計用!$G391,"*, "&amp;AG$3&amp;", *")</f>
        <v>0</v>
      </c>
      <c r="AH393" s="2">
        <f>COUNTIFS(集計用!$G391,"*, "&amp;AH$3&amp;", *")</f>
        <v>0</v>
      </c>
      <c r="AI393" s="2">
        <f>COUNTIFS(集計用!$G391,"*, "&amp;AI$3&amp;", *")</f>
        <v>0</v>
      </c>
      <c r="AJ393" s="2">
        <f>COUNTIFS(集計用!$G391,"*, "&amp;AJ$3&amp;", *")</f>
        <v>0</v>
      </c>
      <c r="AK393" s="2">
        <f>COUNTIFS(集計用!$G391,"*, "&amp;AK$3&amp;", *")</f>
        <v>0</v>
      </c>
      <c r="AL393" s="2">
        <f>COUNTIFS(集計用!$G391,"*, "&amp;AL$3&amp;", *")</f>
        <v>0</v>
      </c>
      <c r="AM393" s="2">
        <f>COUNTIFS(集計用!$G391,"*, "&amp;AM$3&amp;", *")</f>
        <v>0</v>
      </c>
      <c r="AN393" s="2">
        <f>COUNTIFS(集計用!$G391,"*, "&amp;AN$3&amp;", *")</f>
        <v>0</v>
      </c>
      <c r="AO393" s="2">
        <f>COUNTIFS(集計用!$G391,"*, "&amp;AO$3&amp;", *")</f>
        <v>0</v>
      </c>
      <c r="AP393" s="2">
        <f>COUNTIFS(集計用!$G391,"*, "&amp;AP$3&amp;", *")</f>
        <v>0</v>
      </c>
      <c r="AQ393" s="2">
        <f>COUNTIFS(集計用!$G391,"*, "&amp;AQ$3&amp;", *")</f>
        <v>0</v>
      </c>
      <c r="AR393" s="2">
        <f>COUNTIFS(集計用!$G391,"*, "&amp;AR$3&amp;", *")</f>
        <v>0</v>
      </c>
      <c r="AS393" s="2">
        <f>COUNTIFS(集計用!$G391,"*, "&amp;AS$3&amp;", *")</f>
        <v>0</v>
      </c>
      <c r="AT393" s="2">
        <f>COUNTIFS(集計用!$G391,"*, "&amp;AT$3&amp;", *")</f>
        <v>0</v>
      </c>
      <c r="AU393" s="2">
        <f>COUNTIFS(集計用!$G391,"*, "&amp;AU$3&amp;", *")</f>
        <v>0</v>
      </c>
      <c r="AV393" s="2">
        <f>COUNTIFS(集計用!$G391,"*, "&amp;AV$3&amp;", *")</f>
        <v>0</v>
      </c>
      <c r="AW393" s="2">
        <f>COUNTIFS(集計用!$G391,"*, "&amp;AW$3&amp;", *")</f>
        <v>0</v>
      </c>
      <c r="AX393" s="2">
        <f>COUNTIFS(集計用!$G391,"*, "&amp;AX$3&amp;", *")</f>
        <v>0</v>
      </c>
      <c r="AY393" s="2">
        <f>COUNTIFS(集計用!$G391,"*, "&amp;AY$3&amp;", *")</f>
        <v>0</v>
      </c>
      <c r="AZ393" s="2">
        <f>COUNTIFS(集計用!$G391,"*, "&amp;AZ$3&amp;", *")</f>
        <v>0</v>
      </c>
      <c r="BA393" s="2">
        <f>COUNTIFS(集計用!$G391,"*, "&amp;BA$3&amp;", *")</f>
        <v>0</v>
      </c>
      <c r="BB393" s="2">
        <f>COUNTIFS(集計用!$G391,"*, "&amp;BB$3&amp;", *")</f>
        <v>0</v>
      </c>
      <c r="BC393" s="2">
        <f>COUNTIFS(集計用!$G391,"*, "&amp;BC$3&amp;", *")</f>
        <v>0</v>
      </c>
      <c r="BD393" s="2">
        <f>COUNTIFS(集計用!$G391,"*, "&amp;BD$3&amp;", *")</f>
        <v>0</v>
      </c>
      <c r="BE393" s="2">
        <f>COUNTIFS(集計用!$G391,"*, "&amp;BE$3&amp;", *")</f>
        <v>0</v>
      </c>
      <c r="BF393" s="2">
        <f>COUNTIFS(集計用!$G391,"*, "&amp;BF$3&amp;", *")</f>
        <v>0</v>
      </c>
      <c r="BG393" s="2">
        <f>COUNTIFS(集計用!$G391,"*, "&amp;BG$3&amp;", *")</f>
        <v>0</v>
      </c>
      <c r="BH393" s="2">
        <f>COUNTIFS(集計用!$G391,"*, "&amp;BH$3&amp;", *")</f>
        <v>0</v>
      </c>
      <c r="BI393" s="2">
        <f>COUNTIFS(集計用!$G391,"*, "&amp;BI$3&amp;", *")</f>
        <v>0</v>
      </c>
      <c r="BJ393" s="2">
        <f>LEN(集計用!H391)-LEN(SUBSTITUTE(集計用!H391,",",""))</f>
        <v>0</v>
      </c>
    </row>
    <row r="394" spans="1:62" ht="12.75">
      <c r="A394" s="8">
        <v>391</v>
      </c>
      <c r="C394" s="2">
        <f t="shared" si="4"/>
        <v>3</v>
      </c>
      <c r="D394" s="9"/>
      <c r="E394" s="2">
        <f>COUNTIFS(集計用!$G392,"*, "&amp;E$3&amp;", *")</f>
        <v>0</v>
      </c>
      <c r="F394" s="2">
        <f>COUNTIFS(集計用!$G392,"*, "&amp;F$3&amp;", *")</f>
        <v>0</v>
      </c>
      <c r="G394" s="2">
        <f>COUNTIFS(集計用!$G392,"*, "&amp;G$3&amp;", *")</f>
        <v>1</v>
      </c>
      <c r="H394" s="2">
        <f>COUNTIFS(集計用!$G392,"*, "&amp;H$3&amp;", *")</f>
        <v>0</v>
      </c>
      <c r="I394" s="2">
        <f>COUNTIFS(集計用!$G392,"*, "&amp;I$3&amp;", *")</f>
        <v>0</v>
      </c>
      <c r="J394" s="2">
        <f>COUNTIFS(集計用!$G392,"*, "&amp;J$3&amp;", *")</f>
        <v>0</v>
      </c>
      <c r="K394" s="2">
        <f>COUNTIFS(集計用!$G392,"*, "&amp;K$3&amp;", *")</f>
        <v>0</v>
      </c>
      <c r="L394" s="2">
        <f>COUNTIFS(集計用!$G392,"*, "&amp;L$3&amp;", *")</f>
        <v>0</v>
      </c>
      <c r="M394" s="2">
        <f>COUNTIFS(集計用!$G392,"*, "&amp;M$3&amp;", *")</f>
        <v>0</v>
      </c>
      <c r="N394" s="2">
        <f>COUNTIFS(集計用!$G392,"*, "&amp;N$3&amp;", *")</f>
        <v>1</v>
      </c>
      <c r="O394" s="2">
        <f>COUNTIFS(集計用!$G392,"*, "&amp;O$3&amp;", *")</f>
        <v>0</v>
      </c>
      <c r="P394" s="2">
        <f>COUNTIFS(集計用!$G392,"*, "&amp;P$3&amp;", *")</f>
        <v>0</v>
      </c>
      <c r="Q394" s="2">
        <f>COUNTIFS(集計用!$G392,"*, "&amp;Q$3&amp;", *")</f>
        <v>0</v>
      </c>
      <c r="R394" s="2">
        <f>COUNTIFS(集計用!$G392,"*, "&amp;R$3&amp;", *")</f>
        <v>0</v>
      </c>
      <c r="S394" s="2">
        <f>COUNTIFS(集計用!$G392,"*, "&amp;S$3&amp;", *")</f>
        <v>1</v>
      </c>
      <c r="T394" s="2">
        <f>COUNTIFS(集計用!$G392,"*, "&amp;T$3&amp;", *")</f>
        <v>0</v>
      </c>
      <c r="U394" s="2">
        <f>COUNTIFS(集計用!$G392,"*, "&amp;U$3&amp;", *")</f>
        <v>0</v>
      </c>
      <c r="V394" s="2">
        <f>COUNTIFS(集計用!$G392,"*, "&amp;V$3&amp;", *")</f>
        <v>0</v>
      </c>
      <c r="W394" s="2">
        <f>COUNTIFS(集計用!$G392,"*, "&amp;W$3&amp;", *")</f>
        <v>0</v>
      </c>
      <c r="X394" s="2">
        <f>COUNTIFS(集計用!$G392,"*, "&amp;X$3&amp;", *")</f>
        <v>0</v>
      </c>
      <c r="Y394" s="2">
        <f>COUNTIFS(集計用!$G392,"*, "&amp;Y$3&amp;", *")</f>
        <v>0</v>
      </c>
      <c r="Z394" s="2">
        <f>COUNTIFS(集計用!$G392,"*, "&amp;Z$3&amp;", *")</f>
        <v>0</v>
      </c>
      <c r="AA394" s="2">
        <f>COUNTIFS(集計用!$G392,"*, "&amp;AA$3&amp;", *")</f>
        <v>0</v>
      </c>
      <c r="AB394" s="2">
        <f>COUNTIFS(集計用!$G392,"*, "&amp;AB$3&amp;", *")</f>
        <v>0</v>
      </c>
      <c r="AC394" s="2">
        <f>COUNTIFS(集計用!$G392,"*, "&amp;AC$3&amp;", *")</f>
        <v>0</v>
      </c>
      <c r="AD394" s="2">
        <f>COUNTIFS(集計用!$G392,"*, "&amp;AD$3&amp;", *")</f>
        <v>0</v>
      </c>
      <c r="AE394" s="2">
        <f>COUNTIFS(集計用!$G392,"*, "&amp;AE$3&amp;", *")</f>
        <v>0</v>
      </c>
      <c r="AF394" s="2">
        <f>COUNTIFS(集計用!$G392,"*, "&amp;AF$3&amp;", *")</f>
        <v>0</v>
      </c>
      <c r="AG394" s="2">
        <f>COUNTIFS(集計用!$G392,"*, "&amp;AG$3&amp;", *")</f>
        <v>0</v>
      </c>
      <c r="AH394" s="2">
        <f>COUNTIFS(集計用!$G392,"*, "&amp;AH$3&amp;", *")</f>
        <v>0</v>
      </c>
      <c r="AI394" s="2">
        <f>COUNTIFS(集計用!$G392,"*, "&amp;AI$3&amp;", *")</f>
        <v>0</v>
      </c>
      <c r="AJ394" s="2">
        <f>COUNTIFS(集計用!$G392,"*, "&amp;AJ$3&amp;", *")</f>
        <v>0</v>
      </c>
      <c r="AK394" s="2">
        <f>COUNTIFS(集計用!$G392,"*, "&amp;AK$3&amp;", *")</f>
        <v>0</v>
      </c>
      <c r="AL394" s="2">
        <f>COUNTIFS(集計用!$G392,"*, "&amp;AL$3&amp;", *")</f>
        <v>0</v>
      </c>
      <c r="AM394" s="2">
        <f>COUNTIFS(集計用!$G392,"*, "&amp;AM$3&amp;", *")</f>
        <v>0</v>
      </c>
      <c r="AN394" s="2">
        <f>COUNTIFS(集計用!$G392,"*, "&amp;AN$3&amp;", *")</f>
        <v>0</v>
      </c>
      <c r="AO394" s="2">
        <f>COUNTIFS(集計用!$G392,"*, "&amp;AO$3&amp;", *")</f>
        <v>0</v>
      </c>
      <c r="AP394" s="2">
        <f>COUNTIFS(集計用!$G392,"*, "&amp;AP$3&amp;", *")</f>
        <v>0</v>
      </c>
      <c r="AQ394" s="2">
        <f>COUNTIFS(集計用!$G392,"*, "&amp;AQ$3&amp;", *")</f>
        <v>0</v>
      </c>
      <c r="AR394" s="2">
        <f>COUNTIFS(集計用!$G392,"*, "&amp;AR$3&amp;", *")</f>
        <v>0</v>
      </c>
      <c r="AS394" s="2">
        <f>COUNTIFS(集計用!$G392,"*, "&amp;AS$3&amp;", *")</f>
        <v>0</v>
      </c>
      <c r="AT394" s="2">
        <f>COUNTIFS(集計用!$G392,"*, "&amp;AT$3&amp;", *")</f>
        <v>0</v>
      </c>
      <c r="AU394" s="2">
        <f>COUNTIFS(集計用!$G392,"*, "&amp;AU$3&amp;", *")</f>
        <v>0</v>
      </c>
      <c r="AV394" s="2">
        <f>COUNTIFS(集計用!$G392,"*, "&amp;AV$3&amp;", *")</f>
        <v>0</v>
      </c>
      <c r="AW394" s="2">
        <f>COUNTIFS(集計用!$G392,"*, "&amp;AW$3&amp;", *")</f>
        <v>0</v>
      </c>
      <c r="AX394" s="2">
        <f>COUNTIFS(集計用!$G392,"*, "&amp;AX$3&amp;", *")</f>
        <v>0</v>
      </c>
      <c r="AY394" s="2">
        <f>COUNTIFS(集計用!$G392,"*, "&amp;AY$3&amp;", *")</f>
        <v>0</v>
      </c>
      <c r="AZ394" s="2">
        <f>COUNTIFS(集計用!$G392,"*, "&amp;AZ$3&amp;", *")</f>
        <v>0</v>
      </c>
      <c r="BA394" s="2">
        <f>COUNTIFS(集計用!$G392,"*, "&amp;BA$3&amp;", *")</f>
        <v>0</v>
      </c>
      <c r="BB394" s="2">
        <f>COUNTIFS(集計用!$G392,"*, "&amp;BB$3&amp;", *")</f>
        <v>0</v>
      </c>
      <c r="BC394" s="2">
        <f>COUNTIFS(集計用!$G392,"*, "&amp;BC$3&amp;", *")</f>
        <v>0</v>
      </c>
      <c r="BD394" s="2">
        <f>COUNTIFS(集計用!$G392,"*, "&amp;BD$3&amp;", *")</f>
        <v>0</v>
      </c>
      <c r="BE394" s="2">
        <f>COUNTIFS(集計用!$G392,"*, "&amp;BE$3&amp;", *")</f>
        <v>0</v>
      </c>
      <c r="BF394" s="2">
        <f>COUNTIFS(集計用!$G392,"*, "&amp;BF$3&amp;", *")</f>
        <v>0</v>
      </c>
      <c r="BG394" s="2">
        <f>COUNTIFS(集計用!$G392,"*, "&amp;BG$3&amp;", *")</f>
        <v>0</v>
      </c>
      <c r="BH394" s="2">
        <f>COUNTIFS(集計用!$G392,"*, "&amp;BH$3&amp;", *")</f>
        <v>0</v>
      </c>
      <c r="BI394" s="2">
        <f>COUNTIFS(集計用!$G392,"*, "&amp;BI$3&amp;", *")</f>
        <v>0</v>
      </c>
      <c r="BJ394" s="2">
        <f>LEN(集計用!H392)-LEN(SUBSTITUTE(集計用!H392,",",""))</f>
        <v>0</v>
      </c>
    </row>
    <row r="395" spans="1:62" ht="12.75">
      <c r="A395" s="8">
        <v>392</v>
      </c>
      <c r="C395" s="2">
        <f t="shared" si="4"/>
        <v>9</v>
      </c>
      <c r="D395" s="9"/>
      <c r="E395" s="2">
        <f>COUNTIFS(集計用!$G393,"*, "&amp;E$3&amp;", *")</f>
        <v>1</v>
      </c>
      <c r="F395" s="2">
        <f>COUNTIFS(集計用!$G393,"*, "&amp;F$3&amp;", *")</f>
        <v>1</v>
      </c>
      <c r="G395" s="2">
        <f>COUNTIFS(集計用!$G393,"*, "&amp;G$3&amp;", *")</f>
        <v>0</v>
      </c>
      <c r="H395" s="2">
        <f>COUNTIFS(集計用!$G393,"*, "&amp;H$3&amp;", *")</f>
        <v>0</v>
      </c>
      <c r="I395" s="2">
        <f>COUNTIFS(集計用!$G393,"*, "&amp;I$3&amp;", *")</f>
        <v>1</v>
      </c>
      <c r="J395" s="2">
        <f>COUNTIFS(集計用!$G393,"*, "&amp;J$3&amp;", *")</f>
        <v>0</v>
      </c>
      <c r="K395" s="2">
        <f>COUNTIFS(集計用!$G393,"*, "&amp;K$3&amp;", *")</f>
        <v>0</v>
      </c>
      <c r="L395" s="2">
        <f>COUNTIFS(集計用!$G393,"*, "&amp;L$3&amp;", *")</f>
        <v>1</v>
      </c>
      <c r="M395" s="2">
        <f>COUNTIFS(集計用!$G393,"*, "&amp;M$3&amp;", *")</f>
        <v>1</v>
      </c>
      <c r="N395" s="2">
        <f>COUNTIFS(集計用!$G393,"*, "&amp;N$3&amp;", *")</f>
        <v>0</v>
      </c>
      <c r="O395" s="2">
        <f>COUNTIFS(集計用!$G393,"*, "&amp;O$3&amp;", *")</f>
        <v>0</v>
      </c>
      <c r="P395" s="2">
        <f>COUNTIFS(集計用!$G393,"*, "&amp;P$3&amp;", *")</f>
        <v>0</v>
      </c>
      <c r="Q395" s="2">
        <f>COUNTIFS(集計用!$G393,"*, "&amp;Q$3&amp;", *")</f>
        <v>0</v>
      </c>
      <c r="R395" s="2">
        <f>COUNTIFS(集計用!$G393,"*, "&amp;R$3&amp;", *")</f>
        <v>1</v>
      </c>
      <c r="S395" s="2">
        <f>COUNTIFS(集計用!$G393,"*, "&amp;S$3&amp;", *")</f>
        <v>1</v>
      </c>
      <c r="T395" s="2">
        <f>COUNTIFS(集計用!$G393,"*, "&amp;T$3&amp;", *")</f>
        <v>1</v>
      </c>
      <c r="U395" s="2">
        <f>COUNTIFS(集計用!$G393,"*, "&amp;U$3&amp;", *")</f>
        <v>0</v>
      </c>
      <c r="V395" s="2">
        <f>COUNTIFS(集計用!$G393,"*, "&amp;V$3&amp;", *")</f>
        <v>0</v>
      </c>
      <c r="W395" s="2">
        <f>COUNTIFS(集計用!$G393,"*, "&amp;W$3&amp;", *")</f>
        <v>0</v>
      </c>
      <c r="X395" s="2">
        <f>COUNTIFS(集計用!$G393,"*, "&amp;X$3&amp;", *")</f>
        <v>0</v>
      </c>
      <c r="Y395" s="2">
        <f>COUNTIFS(集計用!$G393,"*, "&amp;Y$3&amp;", *")</f>
        <v>0</v>
      </c>
      <c r="Z395" s="2">
        <f>COUNTIFS(集計用!$G393,"*, "&amp;Z$3&amp;", *")</f>
        <v>0</v>
      </c>
      <c r="AA395" s="2">
        <f>COUNTIFS(集計用!$G393,"*, "&amp;AA$3&amp;", *")</f>
        <v>0</v>
      </c>
      <c r="AB395" s="2">
        <f>COUNTIFS(集計用!$G393,"*, "&amp;AB$3&amp;", *")</f>
        <v>1</v>
      </c>
      <c r="AC395" s="2">
        <f>COUNTIFS(集計用!$G393,"*, "&amp;AC$3&amp;", *")</f>
        <v>0</v>
      </c>
      <c r="AD395" s="2">
        <f>COUNTIFS(集計用!$G393,"*, "&amp;AD$3&amp;", *")</f>
        <v>0</v>
      </c>
      <c r="AE395" s="2">
        <f>COUNTIFS(集計用!$G393,"*, "&amp;AE$3&amp;", *")</f>
        <v>0</v>
      </c>
      <c r="AF395" s="2">
        <f>COUNTIFS(集計用!$G393,"*, "&amp;AF$3&amp;", *")</f>
        <v>0</v>
      </c>
      <c r="AG395" s="2">
        <f>COUNTIFS(集計用!$G393,"*, "&amp;AG$3&amp;", *")</f>
        <v>0</v>
      </c>
      <c r="AH395" s="2">
        <f>COUNTIFS(集計用!$G393,"*, "&amp;AH$3&amp;", *")</f>
        <v>0</v>
      </c>
      <c r="AI395" s="2">
        <f>COUNTIFS(集計用!$G393,"*, "&amp;AI$3&amp;", *")</f>
        <v>0</v>
      </c>
      <c r="AJ395" s="2">
        <f>COUNTIFS(集計用!$G393,"*, "&amp;AJ$3&amp;", *")</f>
        <v>0</v>
      </c>
      <c r="AK395" s="2">
        <f>COUNTIFS(集計用!$G393,"*, "&amp;AK$3&amp;", *")</f>
        <v>0</v>
      </c>
      <c r="AL395" s="2">
        <f>COUNTIFS(集計用!$G393,"*, "&amp;AL$3&amp;", *")</f>
        <v>0</v>
      </c>
      <c r="AM395" s="2">
        <f>COUNTIFS(集計用!$G393,"*, "&amp;AM$3&amp;", *")</f>
        <v>0</v>
      </c>
      <c r="AN395" s="2">
        <f>COUNTIFS(集計用!$G393,"*, "&amp;AN$3&amp;", *")</f>
        <v>0</v>
      </c>
      <c r="AO395" s="2">
        <f>COUNTIFS(集計用!$G393,"*, "&amp;AO$3&amp;", *")</f>
        <v>0</v>
      </c>
      <c r="AP395" s="2">
        <f>COUNTIFS(集計用!$G393,"*, "&amp;AP$3&amp;", *")</f>
        <v>0</v>
      </c>
      <c r="AQ395" s="2">
        <f>COUNTIFS(集計用!$G393,"*, "&amp;AQ$3&amp;", *")</f>
        <v>0</v>
      </c>
      <c r="AR395" s="2">
        <f>COUNTIFS(集計用!$G393,"*, "&amp;AR$3&amp;", *")</f>
        <v>0</v>
      </c>
      <c r="AS395" s="2">
        <f>COUNTIFS(集計用!$G393,"*, "&amp;AS$3&amp;", *")</f>
        <v>0</v>
      </c>
      <c r="AT395" s="2">
        <f>COUNTIFS(集計用!$G393,"*, "&amp;AT$3&amp;", *")</f>
        <v>0</v>
      </c>
      <c r="AU395" s="2">
        <f>COUNTIFS(集計用!$G393,"*, "&amp;AU$3&amp;", *")</f>
        <v>0</v>
      </c>
      <c r="AV395" s="2">
        <f>COUNTIFS(集計用!$G393,"*, "&amp;AV$3&amp;", *")</f>
        <v>0</v>
      </c>
      <c r="AW395" s="2">
        <f>COUNTIFS(集計用!$G393,"*, "&amp;AW$3&amp;", *")</f>
        <v>0</v>
      </c>
      <c r="AX395" s="2">
        <f>COUNTIFS(集計用!$G393,"*, "&amp;AX$3&amp;", *")</f>
        <v>0</v>
      </c>
      <c r="AY395" s="2">
        <f>COUNTIFS(集計用!$G393,"*, "&amp;AY$3&amp;", *")</f>
        <v>0</v>
      </c>
      <c r="AZ395" s="2">
        <f>COUNTIFS(集計用!$G393,"*, "&amp;AZ$3&amp;", *")</f>
        <v>0</v>
      </c>
      <c r="BA395" s="2">
        <f>COUNTIFS(集計用!$G393,"*, "&amp;BA$3&amp;", *")</f>
        <v>0</v>
      </c>
      <c r="BB395" s="2">
        <f>COUNTIFS(集計用!$G393,"*, "&amp;BB$3&amp;", *")</f>
        <v>0</v>
      </c>
      <c r="BC395" s="2">
        <f>COUNTIFS(集計用!$G393,"*, "&amp;BC$3&amp;", *")</f>
        <v>0</v>
      </c>
      <c r="BD395" s="2">
        <f>COUNTIFS(集計用!$G393,"*, "&amp;BD$3&amp;", *")</f>
        <v>0</v>
      </c>
      <c r="BE395" s="2">
        <f>COUNTIFS(集計用!$G393,"*, "&amp;BE$3&amp;", *")</f>
        <v>0</v>
      </c>
      <c r="BF395" s="2">
        <f>COUNTIFS(集計用!$G393,"*, "&amp;BF$3&amp;", *")</f>
        <v>0</v>
      </c>
      <c r="BG395" s="2">
        <f>COUNTIFS(集計用!$G393,"*, "&amp;BG$3&amp;", *")</f>
        <v>0</v>
      </c>
      <c r="BH395" s="2">
        <f>COUNTIFS(集計用!$G393,"*, "&amp;BH$3&amp;", *")</f>
        <v>0</v>
      </c>
      <c r="BI395" s="2">
        <f>COUNTIFS(集計用!$G393,"*, "&amp;BI$3&amp;", *")</f>
        <v>0</v>
      </c>
      <c r="BJ395" s="2">
        <f>LEN(集計用!H393)-LEN(SUBSTITUTE(集計用!H393,",",""))</f>
        <v>0</v>
      </c>
    </row>
    <row r="396" spans="1:62" ht="12.75">
      <c r="A396" s="8">
        <v>393</v>
      </c>
      <c r="C396" s="2">
        <f t="shared" si="4"/>
        <v>4</v>
      </c>
      <c r="D396" s="9"/>
      <c r="E396" s="2">
        <f>COUNTIFS(集計用!$G394,"*, "&amp;E$3&amp;", *")</f>
        <v>1</v>
      </c>
      <c r="F396" s="2">
        <f>COUNTIFS(集計用!$G394,"*, "&amp;F$3&amp;", *")</f>
        <v>0</v>
      </c>
      <c r="G396" s="2">
        <f>COUNTIFS(集計用!$G394,"*, "&amp;G$3&amp;", *")</f>
        <v>1</v>
      </c>
      <c r="H396" s="2">
        <f>COUNTIFS(集計用!$G394,"*, "&amp;H$3&amp;", *")</f>
        <v>0</v>
      </c>
      <c r="I396" s="2">
        <f>COUNTIFS(集計用!$G394,"*, "&amp;I$3&amp;", *")</f>
        <v>0</v>
      </c>
      <c r="J396" s="2">
        <f>COUNTIFS(集計用!$G394,"*, "&amp;J$3&amp;", *")</f>
        <v>1</v>
      </c>
      <c r="K396" s="2">
        <f>COUNTIFS(集計用!$G394,"*, "&amp;K$3&amp;", *")</f>
        <v>0</v>
      </c>
      <c r="L396" s="2">
        <f>COUNTIFS(集計用!$G394,"*, "&amp;L$3&amp;", *")</f>
        <v>0</v>
      </c>
      <c r="M396" s="2">
        <f>COUNTIFS(集計用!$G394,"*, "&amp;M$3&amp;", *")</f>
        <v>0</v>
      </c>
      <c r="N396" s="2">
        <f>COUNTIFS(集計用!$G394,"*, "&amp;N$3&amp;", *")</f>
        <v>0</v>
      </c>
      <c r="O396" s="2">
        <f>COUNTIFS(集計用!$G394,"*, "&amp;O$3&amp;", *")</f>
        <v>1</v>
      </c>
      <c r="P396" s="2">
        <f>COUNTIFS(集計用!$G394,"*, "&amp;P$3&amp;", *")</f>
        <v>0</v>
      </c>
      <c r="Q396" s="2">
        <f>COUNTIFS(集計用!$G394,"*, "&amp;Q$3&amp;", *")</f>
        <v>0</v>
      </c>
      <c r="R396" s="2">
        <f>COUNTIFS(集計用!$G394,"*, "&amp;R$3&amp;", *")</f>
        <v>0</v>
      </c>
      <c r="S396" s="2">
        <f>COUNTIFS(集計用!$G394,"*, "&amp;S$3&amp;", *")</f>
        <v>0</v>
      </c>
      <c r="T396" s="2">
        <f>COUNTIFS(集計用!$G394,"*, "&amp;T$3&amp;", *")</f>
        <v>0</v>
      </c>
      <c r="U396" s="2">
        <f>COUNTIFS(集計用!$G394,"*, "&amp;U$3&amp;", *")</f>
        <v>0</v>
      </c>
      <c r="V396" s="2">
        <f>COUNTIFS(集計用!$G394,"*, "&amp;V$3&amp;", *")</f>
        <v>0</v>
      </c>
      <c r="W396" s="2">
        <f>COUNTIFS(集計用!$G394,"*, "&amp;W$3&amp;", *")</f>
        <v>0</v>
      </c>
      <c r="X396" s="2">
        <f>COUNTIFS(集計用!$G394,"*, "&amp;X$3&amp;", *")</f>
        <v>0</v>
      </c>
      <c r="Y396" s="2">
        <f>COUNTIFS(集計用!$G394,"*, "&amp;Y$3&amp;", *")</f>
        <v>0</v>
      </c>
      <c r="Z396" s="2">
        <f>COUNTIFS(集計用!$G394,"*, "&amp;Z$3&amp;", *")</f>
        <v>0</v>
      </c>
      <c r="AA396" s="2">
        <f>COUNTIFS(集計用!$G394,"*, "&amp;AA$3&amp;", *")</f>
        <v>0</v>
      </c>
      <c r="AB396" s="2">
        <f>COUNTIFS(集計用!$G394,"*, "&amp;AB$3&amp;", *")</f>
        <v>0</v>
      </c>
      <c r="AC396" s="2">
        <f>COUNTIFS(集計用!$G394,"*, "&amp;AC$3&amp;", *")</f>
        <v>0</v>
      </c>
      <c r="AD396" s="2">
        <f>COUNTIFS(集計用!$G394,"*, "&amp;AD$3&amp;", *")</f>
        <v>0</v>
      </c>
      <c r="AE396" s="2">
        <f>COUNTIFS(集計用!$G394,"*, "&amp;AE$3&amp;", *")</f>
        <v>0</v>
      </c>
      <c r="AF396" s="2">
        <f>COUNTIFS(集計用!$G394,"*, "&amp;AF$3&amp;", *")</f>
        <v>0</v>
      </c>
      <c r="AG396" s="2">
        <f>COUNTIFS(集計用!$G394,"*, "&amp;AG$3&amp;", *")</f>
        <v>0</v>
      </c>
      <c r="AH396" s="2">
        <f>COUNTIFS(集計用!$G394,"*, "&amp;AH$3&amp;", *")</f>
        <v>0</v>
      </c>
      <c r="AI396" s="2">
        <f>COUNTIFS(集計用!$G394,"*, "&amp;AI$3&amp;", *")</f>
        <v>0</v>
      </c>
      <c r="AJ396" s="2">
        <f>COUNTIFS(集計用!$G394,"*, "&amp;AJ$3&amp;", *")</f>
        <v>0</v>
      </c>
      <c r="AK396" s="2">
        <f>COUNTIFS(集計用!$G394,"*, "&amp;AK$3&amp;", *")</f>
        <v>0</v>
      </c>
      <c r="AL396" s="2">
        <f>COUNTIFS(集計用!$G394,"*, "&amp;AL$3&amp;", *")</f>
        <v>0</v>
      </c>
      <c r="AM396" s="2">
        <f>COUNTIFS(集計用!$G394,"*, "&amp;AM$3&amp;", *")</f>
        <v>0</v>
      </c>
      <c r="AN396" s="2">
        <f>COUNTIFS(集計用!$G394,"*, "&amp;AN$3&amp;", *")</f>
        <v>0</v>
      </c>
      <c r="AO396" s="2">
        <f>COUNTIFS(集計用!$G394,"*, "&amp;AO$3&amp;", *")</f>
        <v>0</v>
      </c>
      <c r="AP396" s="2">
        <f>COUNTIFS(集計用!$G394,"*, "&amp;AP$3&amp;", *")</f>
        <v>0</v>
      </c>
      <c r="AQ396" s="2">
        <f>COUNTIFS(集計用!$G394,"*, "&amp;AQ$3&amp;", *")</f>
        <v>0</v>
      </c>
      <c r="AR396" s="2">
        <f>COUNTIFS(集計用!$G394,"*, "&amp;AR$3&amp;", *")</f>
        <v>0</v>
      </c>
      <c r="AS396" s="2">
        <f>COUNTIFS(集計用!$G394,"*, "&amp;AS$3&amp;", *")</f>
        <v>0</v>
      </c>
      <c r="AT396" s="2">
        <f>COUNTIFS(集計用!$G394,"*, "&amp;AT$3&amp;", *")</f>
        <v>0</v>
      </c>
      <c r="AU396" s="2">
        <f>COUNTIFS(集計用!$G394,"*, "&amp;AU$3&amp;", *")</f>
        <v>0</v>
      </c>
      <c r="AV396" s="2">
        <f>COUNTIFS(集計用!$G394,"*, "&amp;AV$3&amp;", *")</f>
        <v>0</v>
      </c>
      <c r="AW396" s="2">
        <f>COUNTIFS(集計用!$G394,"*, "&amp;AW$3&amp;", *")</f>
        <v>0</v>
      </c>
      <c r="AX396" s="2">
        <f>COUNTIFS(集計用!$G394,"*, "&amp;AX$3&amp;", *")</f>
        <v>0</v>
      </c>
      <c r="AY396" s="2">
        <f>COUNTIFS(集計用!$G394,"*, "&amp;AY$3&amp;", *")</f>
        <v>0</v>
      </c>
      <c r="AZ396" s="2">
        <f>COUNTIFS(集計用!$G394,"*, "&amp;AZ$3&amp;", *")</f>
        <v>0</v>
      </c>
      <c r="BA396" s="2">
        <f>COUNTIFS(集計用!$G394,"*, "&amp;BA$3&amp;", *")</f>
        <v>0</v>
      </c>
      <c r="BB396" s="2">
        <f>COUNTIFS(集計用!$G394,"*, "&amp;BB$3&amp;", *")</f>
        <v>0</v>
      </c>
      <c r="BC396" s="2">
        <f>COUNTIFS(集計用!$G394,"*, "&amp;BC$3&amp;", *")</f>
        <v>0</v>
      </c>
      <c r="BD396" s="2">
        <f>COUNTIFS(集計用!$G394,"*, "&amp;BD$3&amp;", *")</f>
        <v>0</v>
      </c>
      <c r="BE396" s="2">
        <f>COUNTIFS(集計用!$G394,"*, "&amp;BE$3&amp;", *")</f>
        <v>0</v>
      </c>
      <c r="BF396" s="2">
        <f>COUNTIFS(集計用!$G394,"*, "&amp;BF$3&amp;", *")</f>
        <v>0</v>
      </c>
      <c r="BG396" s="2">
        <f>COUNTIFS(集計用!$G394,"*, "&amp;BG$3&amp;", *")</f>
        <v>0</v>
      </c>
      <c r="BH396" s="2">
        <f>COUNTIFS(集計用!$G394,"*, "&amp;BH$3&amp;", *")</f>
        <v>0</v>
      </c>
      <c r="BI396" s="2">
        <f>COUNTIFS(集計用!$G394,"*, "&amp;BI$3&amp;", *")</f>
        <v>0</v>
      </c>
      <c r="BJ396" s="2">
        <f>LEN(集計用!H394)-LEN(SUBSTITUTE(集計用!H394,",",""))</f>
        <v>0</v>
      </c>
    </row>
    <row r="397" spans="1:62" ht="12.75">
      <c r="A397" s="8">
        <v>394</v>
      </c>
      <c r="C397" s="2">
        <f t="shared" si="4"/>
        <v>1</v>
      </c>
      <c r="D397" s="9"/>
      <c r="E397" s="2">
        <f>COUNTIFS(集計用!$G395,"*, "&amp;E$3&amp;", *")</f>
        <v>1</v>
      </c>
      <c r="F397" s="2">
        <f>COUNTIFS(集計用!$G395,"*, "&amp;F$3&amp;", *")</f>
        <v>0</v>
      </c>
      <c r="G397" s="2">
        <f>COUNTIFS(集計用!$G395,"*, "&amp;G$3&amp;", *")</f>
        <v>0</v>
      </c>
      <c r="H397" s="2">
        <f>COUNTIFS(集計用!$G395,"*, "&amp;H$3&amp;", *")</f>
        <v>0</v>
      </c>
      <c r="I397" s="2">
        <f>COUNTIFS(集計用!$G395,"*, "&amp;I$3&amp;", *")</f>
        <v>0</v>
      </c>
      <c r="J397" s="2">
        <f>COUNTIFS(集計用!$G395,"*, "&amp;J$3&amp;", *")</f>
        <v>0</v>
      </c>
      <c r="K397" s="2">
        <f>COUNTIFS(集計用!$G395,"*, "&amp;K$3&amp;", *")</f>
        <v>0</v>
      </c>
      <c r="L397" s="2">
        <f>COUNTIFS(集計用!$G395,"*, "&amp;L$3&amp;", *")</f>
        <v>0</v>
      </c>
      <c r="M397" s="2">
        <f>COUNTIFS(集計用!$G395,"*, "&amp;M$3&amp;", *")</f>
        <v>0</v>
      </c>
      <c r="N397" s="2">
        <f>COUNTIFS(集計用!$G395,"*, "&amp;N$3&amp;", *")</f>
        <v>0</v>
      </c>
      <c r="O397" s="2">
        <f>COUNTIFS(集計用!$G395,"*, "&amp;O$3&amp;", *")</f>
        <v>0</v>
      </c>
      <c r="P397" s="2">
        <f>COUNTIFS(集計用!$G395,"*, "&amp;P$3&amp;", *")</f>
        <v>0</v>
      </c>
      <c r="Q397" s="2">
        <f>COUNTIFS(集計用!$G395,"*, "&amp;Q$3&amp;", *")</f>
        <v>0</v>
      </c>
      <c r="R397" s="2">
        <f>COUNTIFS(集計用!$G395,"*, "&amp;R$3&amp;", *")</f>
        <v>0</v>
      </c>
      <c r="S397" s="2">
        <f>COUNTIFS(集計用!$G395,"*, "&amp;S$3&amp;", *")</f>
        <v>0</v>
      </c>
      <c r="T397" s="2">
        <f>COUNTIFS(集計用!$G395,"*, "&amp;T$3&amp;", *")</f>
        <v>0</v>
      </c>
      <c r="U397" s="2">
        <f>COUNTIFS(集計用!$G395,"*, "&amp;U$3&amp;", *")</f>
        <v>0</v>
      </c>
      <c r="V397" s="2">
        <f>COUNTIFS(集計用!$G395,"*, "&amp;V$3&amp;", *")</f>
        <v>0</v>
      </c>
      <c r="W397" s="2">
        <f>COUNTIFS(集計用!$G395,"*, "&amp;W$3&amp;", *")</f>
        <v>0</v>
      </c>
      <c r="X397" s="2">
        <f>COUNTIFS(集計用!$G395,"*, "&amp;X$3&amp;", *")</f>
        <v>0</v>
      </c>
      <c r="Y397" s="2">
        <f>COUNTIFS(集計用!$G395,"*, "&amp;Y$3&amp;", *")</f>
        <v>0</v>
      </c>
      <c r="Z397" s="2">
        <f>COUNTIFS(集計用!$G395,"*, "&amp;Z$3&amp;", *")</f>
        <v>0</v>
      </c>
      <c r="AA397" s="2">
        <f>COUNTIFS(集計用!$G395,"*, "&amp;AA$3&amp;", *")</f>
        <v>0</v>
      </c>
      <c r="AB397" s="2">
        <f>COUNTIFS(集計用!$G395,"*, "&amp;AB$3&amp;", *")</f>
        <v>0</v>
      </c>
      <c r="AC397" s="2">
        <f>COUNTIFS(集計用!$G395,"*, "&amp;AC$3&amp;", *")</f>
        <v>0</v>
      </c>
      <c r="AD397" s="2">
        <f>COUNTIFS(集計用!$G395,"*, "&amp;AD$3&amp;", *")</f>
        <v>0</v>
      </c>
      <c r="AE397" s="2">
        <f>COUNTIFS(集計用!$G395,"*, "&amp;AE$3&amp;", *")</f>
        <v>0</v>
      </c>
      <c r="AF397" s="2">
        <f>COUNTIFS(集計用!$G395,"*, "&amp;AF$3&amp;", *")</f>
        <v>0</v>
      </c>
      <c r="AG397" s="2">
        <f>COUNTIFS(集計用!$G395,"*, "&amp;AG$3&amp;", *")</f>
        <v>0</v>
      </c>
      <c r="AH397" s="2">
        <f>COUNTIFS(集計用!$G395,"*, "&amp;AH$3&amp;", *")</f>
        <v>0</v>
      </c>
      <c r="AI397" s="2">
        <f>COUNTIFS(集計用!$G395,"*, "&amp;AI$3&amp;", *")</f>
        <v>0</v>
      </c>
      <c r="AJ397" s="2">
        <f>COUNTIFS(集計用!$G395,"*, "&amp;AJ$3&amp;", *")</f>
        <v>0</v>
      </c>
      <c r="AK397" s="2">
        <f>COUNTIFS(集計用!$G395,"*, "&amp;AK$3&amp;", *")</f>
        <v>0</v>
      </c>
      <c r="AL397" s="2">
        <f>COUNTIFS(集計用!$G395,"*, "&amp;AL$3&amp;", *")</f>
        <v>0</v>
      </c>
      <c r="AM397" s="2">
        <f>COUNTIFS(集計用!$G395,"*, "&amp;AM$3&amp;", *")</f>
        <v>0</v>
      </c>
      <c r="AN397" s="2">
        <f>COUNTIFS(集計用!$G395,"*, "&amp;AN$3&amp;", *")</f>
        <v>0</v>
      </c>
      <c r="AO397" s="2">
        <f>COUNTIFS(集計用!$G395,"*, "&amp;AO$3&amp;", *")</f>
        <v>0</v>
      </c>
      <c r="AP397" s="2">
        <f>COUNTIFS(集計用!$G395,"*, "&amp;AP$3&amp;", *")</f>
        <v>0</v>
      </c>
      <c r="AQ397" s="2">
        <f>COUNTIFS(集計用!$G395,"*, "&amp;AQ$3&amp;", *")</f>
        <v>0</v>
      </c>
      <c r="AR397" s="2">
        <f>COUNTIFS(集計用!$G395,"*, "&amp;AR$3&amp;", *")</f>
        <v>0</v>
      </c>
      <c r="AS397" s="2">
        <f>COUNTIFS(集計用!$G395,"*, "&amp;AS$3&amp;", *")</f>
        <v>0</v>
      </c>
      <c r="AT397" s="2">
        <f>COUNTIFS(集計用!$G395,"*, "&amp;AT$3&amp;", *")</f>
        <v>0</v>
      </c>
      <c r="AU397" s="2">
        <f>COUNTIFS(集計用!$G395,"*, "&amp;AU$3&amp;", *")</f>
        <v>0</v>
      </c>
      <c r="AV397" s="2">
        <f>COUNTIFS(集計用!$G395,"*, "&amp;AV$3&amp;", *")</f>
        <v>0</v>
      </c>
      <c r="AW397" s="2">
        <f>COUNTIFS(集計用!$G395,"*, "&amp;AW$3&amp;", *")</f>
        <v>0</v>
      </c>
      <c r="AX397" s="2">
        <f>COUNTIFS(集計用!$G395,"*, "&amp;AX$3&amp;", *")</f>
        <v>0</v>
      </c>
      <c r="AY397" s="2">
        <f>COUNTIFS(集計用!$G395,"*, "&amp;AY$3&amp;", *")</f>
        <v>0</v>
      </c>
      <c r="AZ397" s="2">
        <f>COUNTIFS(集計用!$G395,"*, "&amp;AZ$3&amp;", *")</f>
        <v>0</v>
      </c>
      <c r="BA397" s="2">
        <f>COUNTIFS(集計用!$G395,"*, "&amp;BA$3&amp;", *")</f>
        <v>0</v>
      </c>
      <c r="BB397" s="2">
        <f>COUNTIFS(集計用!$G395,"*, "&amp;BB$3&amp;", *")</f>
        <v>0</v>
      </c>
      <c r="BC397" s="2">
        <f>COUNTIFS(集計用!$G395,"*, "&amp;BC$3&amp;", *")</f>
        <v>0</v>
      </c>
      <c r="BD397" s="2">
        <f>COUNTIFS(集計用!$G395,"*, "&amp;BD$3&amp;", *")</f>
        <v>0</v>
      </c>
      <c r="BE397" s="2">
        <f>COUNTIFS(集計用!$G395,"*, "&amp;BE$3&amp;", *")</f>
        <v>0</v>
      </c>
      <c r="BF397" s="2">
        <f>COUNTIFS(集計用!$G395,"*, "&amp;BF$3&amp;", *")</f>
        <v>0</v>
      </c>
      <c r="BG397" s="2">
        <f>COUNTIFS(集計用!$G395,"*, "&amp;BG$3&amp;", *")</f>
        <v>0</v>
      </c>
      <c r="BH397" s="2">
        <f>COUNTIFS(集計用!$G395,"*, "&amp;BH$3&amp;", *")</f>
        <v>0</v>
      </c>
      <c r="BI397" s="2">
        <f>COUNTIFS(集計用!$G395,"*, "&amp;BI$3&amp;", *")</f>
        <v>0</v>
      </c>
      <c r="BJ397" s="2">
        <f>LEN(集計用!H395)-LEN(SUBSTITUTE(集計用!H395,",",""))</f>
        <v>0</v>
      </c>
    </row>
    <row r="398" spans="1:62" ht="12.75">
      <c r="A398" s="8">
        <v>395</v>
      </c>
      <c r="C398" s="2">
        <f t="shared" si="4"/>
        <v>7</v>
      </c>
      <c r="D398" s="9"/>
      <c r="E398" s="2">
        <f>COUNTIFS(集計用!$G396,"*, "&amp;E$3&amp;", *")</f>
        <v>1</v>
      </c>
      <c r="F398" s="2">
        <f>COUNTIFS(集計用!$G396,"*, "&amp;F$3&amp;", *")</f>
        <v>0</v>
      </c>
      <c r="G398" s="2">
        <f>COUNTIFS(集計用!$G396,"*, "&amp;G$3&amp;", *")</f>
        <v>0</v>
      </c>
      <c r="H398" s="2">
        <f>COUNTIFS(集計用!$G396,"*, "&amp;H$3&amp;", *")</f>
        <v>0</v>
      </c>
      <c r="I398" s="2">
        <f>COUNTIFS(集計用!$G396,"*, "&amp;I$3&amp;", *")</f>
        <v>1</v>
      </c>
      <c r="J398" s="2">
        <f>COUNTIFS(集計用!$G396,"*, "&amp;J$3&amp;", *")</f>
        <v>0</v>
      </c>
      <c r="K398" s="2">
        <f>COUNTIFS(集計用!$G396,"*, "&amp;K$3&amp;", *")</f>
        <v>0</v>
      </c>
      <c r="L398" s="2">
        <f>COUNTIFS(集計用!$G396,"*, "&amp;L$3&amp;", *")</f>
        <v>0</v>
      </c>
      <c r="M398" s="2">
        <f>COUNTIFS(集計用!$G396,"*, "&amp;M$3&amp;", *")</f>
        <v>0</v>
      </c>
      <c r="N398" s="2">
        <f>COUNTIFS(集計用!$G396,"*, "&amp;N$3&amp;", *")</f>
        <v>0</v>
      </c>
      <c r="O398" s="2">
        <f>COUNTIFS(集計用!$G396,"*, "&amp;O$3&amp;", *")</f>
        <v>1</v>
      </c>
      <c r="P398" s="2">
        <f>COUNTIFS(集計用!$G396,"*, "&amp;P$3&amp;", *")</f>
        <v>0</v>
      </c>
      <c r="Q398" s="2">
        <f>COUNTIFS(集計用!$G396,"*, "&amp;Q$3&amp;", *")</f>
        <v>0</v>
      </c>
      <c r="R398" s="2">
        <f>COUNTIFS(集計用!$G396,"*, "&amp;R$3&amp;", *")</f>
        <v>0</v>
      </c>
      <c r="S398" s="2">
        <f>COUNTIFS(集計用!$G396,"*, "&amp;S$3&amp;", *")</f>
        <v>0</v>
      </c>
      <c r="T398" s="2">
        <f>COUNTIFS(集計用!$G396,"*, "&amp;T$3&amp;", *")</f>
        <v>0</v>
      </c>
      <c r="U398" s="2">
        <f>COUNTIFS(集計用!$G396,"*, "&amp;U$3&amp;", *")</f>
        <v>0</v>
      </c>
      <c r="V398" s="2">
        <f>COUNTIFS(集計用!$G396,"*, "&amp;V$3&amp;", *")</f>
        <v>0</v>
      </c>
      <c r="W398" s="2">
        <f>COUNTIFS(集計用!$G396,"*, "&amp;W$3&amp;", *")</f>
        <v>0</v>
      </c>
      <c r="X398" s="2">
        <f>COUNTIFS(集計用!$G396,"*, "&amp;X$3&amp;", *")</f>
        <v>0</v>
      </c>
      <c r="Y398" s="2">
        <f>COUNTIFS(集計用!$G396,"*, "&amp;Y$3&amp;", *")</f>
        <v>0</v>
      </c>
      <c r="Z398" s="2">
        <f>COUNTIFS(集計用!$G396,"*, "&amp;Z$3&amp;", *")</f>
        <v>1</v>
      </c>
      <c r="AA398" s="2">
        <f>COUNTIFS(集計用!$G396,"*, "&amp;AA$3&amp;", *")</f>
        <v>1</v>
      </c>
      <c r="AB398" s="2">
        <f>COUNTIFS(集計用!$G396,"*, "&amp;AB$3&amp;", *")</f>
        <v>0</v>
      </c>
      <c r="AC398" s="2">
        <f>COUNTIFS(集計用!$G396,"*, "&amp;AC$3&amp;", *")</f>
        <v>0</v>
      </c>
      <c r="AD398" s="2">
        <f>COUNTIFS(集計用!$G396,"*, "&amp;AD$3&amp;", *")</f>
        <v>0</v>
      </c>
      <c r="AE398" s="2">
        <f>COUNTIFS(集計用!$G396,"*, "&amp;AE$3&amp;", *")</f>
        <v>0</v>
      </c>
      <c r="AF398" s="2">
        <f>COUNTIFS(集計用!$G396,"*, "&amp;AF$3&amp;", *")</f>
        <v>0</v>
      </c>
      <c r="AG398" s="2">
        <f>COUNTIFS(集計用!$G396,"*, "&amp;AG$3&amp;", *")</f>
        <v>1</v>
      </c>
      <c r="AH398" s="2">
        <f>COUNTIFS(集計用!$G396,"*, "&amp;AH$3&amp;", *")</f>
        <v>0</v>
      </c>
      <c r="AI398" s="2">
        <f>COUNTIFS(集計用!$G396,"*, "&amp;AI$3&amp;", *")</f>
        <v>0</v>
      </c>
      <c r="AJ398" s="2">
        <f>COUNTIFS(集計用!$G396,"*, "&amp;AJ$3&amp;", *")</f>
        <v>0</v>
      </c>
      <c r="AK398" s="2">
        <f>COUNTIFS(集計用!$G396,"*, "&amp;AK$3&amp;", *")</f>
        <v>0</v>
      </c>
      <c r="AL398" s="2">
        <f>COUNTIFS(集計用!$G396,"*, "&amp;AL$3&amp;", *")</f>
        <v>0</v>
      </c>
      <c r="AM398" s="2">
        <f>COUNTIFS(集計用!$G396,"*, "&amp;AM$3&amp;", *")</f>
        <v>0</v>
      </c>
      <c r="AN398" s="2">
        <f>COUNTIFS(集計用!$G396,"*, "&amp;AN$3&amp;", *")</f>
        <v>0</v>
      </c>
      <c r="AO398" s="2">
        <f>COUNTIFS(集計用!$G396,"*, "&amp;AO$3&amp;", *")</f>
        <v>0</v>
      </c>
      <c r="AP398" s="2">
        <f>COUNTIFS(集計用!$G396,"*, "&amp;AP$3&amp;", *")</f>
        <v>0</v>
      </c>
      <c r="AQ398" s="2">
        <f>COUNTIFS(集計用!$G396,"*, "&amp;AQ$3&amp;", *")</f>
        <v>0</v>
      </c>
      <c r="AR398" s="2">
        <f>COUNTIFS(集計用!$G396,"*, "&amp;AR$3&amp;", *")</f>
        <v>0</v>
      </c>
      <c r="AS398" s="2">
        <f>COUNTIFS(集計用!$G396,"*, "&amp;AS$3&amp;", *")</f>
        <v>0</v>
      </c>
      <c r="AT398" s="2">
        <f>COUNTIFS(集計用!$G396,"*, "&amp;AT$3&amp;", *")</f>
        <v>0</v>
      </c>
      <c r="AU398" s="2">
        <f>COUNTIFS(集計用!$G396,"*, "&amp;AU$3&amp;", *")</f>
        <v>0</v>
      </c>
      <c r="AV398" s="2">
        <f>COUNTIFS(集計用!$G396,"*, "&amp;AV$3&amp;", *")</f>
        <v>0</v>
      </c>
      <c r="AW398" s="2">
        <f>COUNTIFS(集計用!$G396,"*, "&amp;AW$3&amp;", *")</f>
        <v>0</v>
      </c>
      <c r="AX398" s="2">
        <f>COUNTIFS(集計用!$G396,"*, "&amp;AX$3&amp;", *")</f>
        <v>0</v>
      </c>
      <c r="AY398" s="2">
        <f>COUNTIFS(集計用!$G396,"*, "&amp;AY$3&amp;", *")</f>
        <v>1</v>
      </c>
      <c r="AZ398" s="2">
        <f>COUNTIFS(集計用!$G396,"*, "&amp;AZ$3&amp;", *")</f>
        <v>0</v>
      </c>
      <c r="BA398" s="2">
        <f>COUNTIFS(集計用!$G396,"*, "&amp;BA$3&amp;", *")</f>
        <v>0</v>
      </c>
      <c r="BB398" s="2">
        <f>COUNTIFS(集計用!$G396,"*, "&amp;BB$3&amp;", *")</f>
        <v>0</v>
      </c>
      <c r="BC398" s="2">
        <f>COUNTIFS(集計用!$G396,"*, "&amp;BC$3&amp;", *")</f>
        <v>0</v>
      </c>
      <c r="BD398" s="2">
        <f>COUNTIFS(集計用!$G396,"*, "&amp;BD$3&amp;", *")</f>
        <v>0</v>
      </c>
      <c r="BE398" s="2">
        <f>COUNTIFS(集計用!$G396,"*, "&amp;BE$3&amp;", *")</f>
        <v>0</v>
      </c>
      <c r="BF398" s="2">
        <f>COUNTIFS(集計用!$G396,"*, "&amp;BF$3&amp;", *")</f>
        <v>0</v>
      </c>
      <c r="BG398" s="2">
        <f>COUNTIFS(集計用!$G396,"*, "&amp;BG$3&amp;", *")</f>
        <v>0</v>
      </c>
      <c r="BH398" s="2">
        <f>COUNTIFS(集計用!$G396,"*, "&amp;BH$3&amp;", *")</f>
        <v>0</v>
      </c>
      <c r="BI398" s="2">
        <f>COUNTIFS(集計用!$G396,"*, "&amp;BI$3&amp;", *")</f>
        <v>0</v>
      </c>
      <c r="BJ398" s="2">
        <f>LEN(集計用!H396)-LEN(SUBSTITUTE(集計用!H396,",",""))</f>
        <v>0</v>
      </c>
    </row>
    <row r="399" spans="1:62" ht="12.75">
      <c r="A399" s="8">
        <v>396</v>
      </c>
      <c r="C399" s="2">
        <f t="shared" si="4"/>
        <v>1</v>
      </c>
      <c r="D399" s="9"/>
      <c r="E399" s="2">
        <f>COUNTIFS(集計用!$G397,"*, "&amp;E$3&amp;", *")</f>
        <v>0</v>
      </c>
      <c r="F399" s="2">
        <f>COUNTIFS(集計用!$G397,"*, "&amp;F$3&amp;", *")</f>
        <v>0</v>
      </c>
      <c r="G399" s="2">
        <f>COUNTIFS(集計用!$G397,"*, "&amp;G$3&amp;", *")</f>
        <v>0</v>
      </c>
      <c r="H399" s="2">
        <f>COUNTIFS(集計用!$G397,"*, "&amp;H$3&amp;", *")</f>
        <v>0</v>
      </c>
      <c r="I399" s="2">
        <f>COUNTIFS(集計用!$G397,"*, "&amp;I$3&amp;", *")</f>
        <v>1</v>
      </c>
      <c r="J399" s="2">
        <f>COUNTIFS(集計用!$G397,"*, "&amp;J$3&amp;", *")</f>
        <v>0</v>
      </c>
      <c r="K399" s="2">
        <f>COUNTIFS(集計用!$G397,"*, "&amp;K$3&amp;", *")</f>
        <v>0</v>
      </c>
      <c r="L399" s="2">
        <f>COUNTIFS(集計用!$G397,"*, "&amp;L$3&amp;", *")</f>
        <v>0</v>
      </c>
      <c r="M399" s="2">
        <f>COUNTIFS(集計用!$G397,"*, "&amp;M$3&amp;", *")</f>
        <v>0</v>
      </c>
      <c r="N399" s="2">
        <f>COUNTIFS(集計用!$G397,"*, "&amp;N$3&amp;", *")</f>
        <v>0</v>
      </c>
      <c r="O399" s="2">
        <f>COUNTIFS(集計用!$G397,"*, "&amp;O$3&amp;", *")</f>
        <v>0</v>
      </c>
      <c r="P399" s="2">
        <f>COUNTIFS(集計用!$G397,"*, "&amp;P$3&amp;", *")</f>
        <v>0</v>
      </c>
      <c r="Q399" s="2">
        <f>COUNTIFS(集計用!$G397,"*, "&amp;Q$3&amp;", *")</f>
        <v>0</v>
      </c>
      <c r="R399" s="2">
        <f>COUNTIFS(集計用!$G397,"*, "&amp;R$3&amp;", *")</f>
        <v>0</v>
      </c>
      <c r="S399" s="2">
        <f>COUNTIFS(集計用!$G397,"*, "&amp;S$3&amp;", *")</f>
        <v>0</v>
      </c>
      <c r="T399" s="2">
        <f>COUNTIFS(集計用!$G397,"*, "&amp;T$3&amp;", *")</f>
        <v>0</v>
      </c>
      <c r="U399" s="2">
        <f>COUNTIFS(集計用!$G397,"*, "&amp;U$3&amp;", *")</f>
        <v>0</v>
      </c>
      <c r="V399" s="2">
        <f>COUNTIFS(集計用!$G397,"*, "&amp;V$3&amp;", *")</f>
        <v>0</v>
      </c>
      <c r="W399" s="2">
        <f>COUNTIFS(集計用!$G397,"*, "&amp;W$3&amp;", *")</f>
        <v>0</v>
      </c>
      <c r="X399" s="2">
        <f>COUNTIFS(集計用!$G397,"*, "&amp;X$3&amp;", *")</f>
        <v>0</v>
      </c>
      <c r="Y399" s="2">
        <f>COUNTIFS(集計用!$G397,"*, "&amp;Y$3&amp;", *")</f>
        <v>0</v>
      </c>
      <c r="Z399" s="2">
        <f>COUNTIFS(集計用!$G397,"*, "&amp;Z$3&amp;", *")</f>
        <v>0</v>
      </c>
      <c r="AA399" s="2">
        <f>COUNTIFS(集計用!$G397,"*, "&amp;AA$3&amp;", *")</f>
        <v>0</v>
      </c>
      <c r="AB399" s="2">
        <f>COUNTIFS(集計用!$G397,"*, "&amp;AB$3&amp;", *")</f>
        <v>0</v>
      </c>
      <c r="AC399" s="2">
        <f>COUNTIFS(集計用!$G397,"*, "&amp;AC$3&amp;", *")</f>
        <v>0</v>
      </c>
      <c r="AD399" s="2">
        <f>COUNTIFS(集計用!$G397,"*, "&amp;AD$3&amp;", *")</f>
        <v>0</v>
      </c>
      <c r="AE399" s="2">
        <f>COUNTIFS(集計用!$G397,"*, "&amp;AE$3&amp;", *")</f>
        <v>0</v>
      </c>
      <c r="AF399" s="2">
        <f>COUNTIFS(集計用!$G397,"*, "&amp;AF$3&amp;", *")</f>
        <v>0</v>
      </c>
      <c r="AG399" s="2">
        <f>COUNTIFS(集計用!$G397,"*, "&amp;AG$3&amp;", *")</f>
        <v>0</v>
      </c>
      <c r="AH399" s="2">
        <f>COUNTIFS(集計用!$G397,"*, "&amp;AH$3&amp;", *")</f>
        <v>0</v>
      </c>
      <c r="AI399" s="2">
        <f>COUNTIFS(集計用!$G397,"*, "&amp;AI$3&amp;", *")</f>
        <v>0</v>
      </c>
      <c r="AJ399" s="2">
        <f>COUNTIFS(集計用!$G397,"*, "&amp;AJ$3&amp;", *")</f>
        <v>0</v>
      </c>
      <c r="AK399" s="2">
        <f>COUNTIFS(集計用!$G397,"*, "&amp;AK$3&amp;", *")</f>
        <v>0</v>
      </c>
      <c r="AL399" s="2">
        <f>COUNTIFS(集計用!$G397,"*, "&amp;AL$3&amp;", *")</f>
        <v>0</v>
      </c>
      <c r="AM399" s="2">
        <f>COUNTIFS(集計用!$G397,"*, "&amp;AM$3&amp;", *")</f>
        <v>0</v>
      </c>
      <c r="AN399" s="2">
        <f>COUNTIFS(集計用!$G397,"*, "&amp;AN$3&amp;", *")</f>
        <v>0</v>
      </c>
      <c r="AO399" s="2">
        <f>COUNTIFS(集計用!$G397,"*, "&amp;AO$3&amp;", *")</f>
        <v>0</v>
      </c>
      <c r="AP399" s="2">
        <f>COUNTIFS(集計用!$G397,"*, "&amp;AP$3&amp;", *")</f>
        <v>0</v>
      </c>
      <c r="AQ399" s="2">
        <f>COUNTIFS(集計用!$G397,"*, "&amp;AQ$3&amp;", *")</f>
        <v>0</v>
      </c>
      <c r="AR399" s="2">
        <f>COUNTIFS(集計用!$G397,"*, "&amp;AR$3&amp;", *")</f>
        <v>0</v>
      </c>
      <c r="AS399" s="2">
        <f>COUNTIFS(集計用!$G397,"*, "&amp;AS$3&amp;", *")</f>
        <v>0</v>
      </c>
      <c r="AT399" s="2">
        <f>COUNTIFS(集計用!$G397,"*, "&amp;AT$3&amp;", *")</f>
        <v>0</v>
      </c>
      <c r="AU399" s="2">
        <f>COUNTIFS(集計用!$G397,"*, "&amp;AU$3&amp;", *")</f>
        <v>0</v>
      </c>
      <c r="AV399" s="2">
        <f>COUNTIFS(集計用!$G397,"*, "&amp;AV$3&amp;", *")</f>
        <v>0</v>
      </c>
      <c r="AW399" s="2">
        <f>COUNTIFS(集計用!$G397,"*, "&amp;AW$3&amp;", *")</f>
        <v>0</v>
      </c>
      <c r="AX399" s="2">
        <f>COUNTIFS(集計用!$G397,"*, "&amp;AX$3&amp;", *")</f>
        <v>0</v>
      </c>
      <c r="AY399" s="2">
        <f>COUNTIFS(集計用!$G397,"*, "&amp;AY$3&amp;", *")</f>
        <v>0</v>
      </c>
      <c r="AZ399" s="2">
        <f>COUNTIFS(集計用!$G397,"*, "&amp;AZ$3&amp;", *")</f>
        <v>0</v>
      </c>
      <c r="BA399" s="2">
        <f>COUNTIFS(集計用!$G397,"*, "&amp;BA$3&amp;", *")</f>
        <v>0</v>
      </c>
      <c r="BB399" s="2">
        <f>COUNTIFS(集計用!$G397,"*, "&amp;BB$3&amp;", *")</f>
        <v>0</v>
      </c>
      <c r="BC399" s="2">
        <f>COUNTIFS(集計用!$G397,"*, "&amp;BC$3&amp;", *")</f>
        <v>0</v>
      </c>
      <c r="BD399" s="2">
        <f>COUNTIFS(集計用!$G397,"*, "&amp;BD$3&amp;", *")</f>
        <v>0</v>
      </c>
      <c r="BE399" s="2">
        <f>COUNTIFS(集計用!$G397,"*, "&amp;BE$3&amp;", *")</f>
        <v>0</v>
      </c>
      <c r="BF399" s="2">
        <f>COUNTIFS(集計用!$G397,"*, "&amp;BF$3&amp;", *")</f>
        <v>0</v>
      </c>
      <c r="BG399" s="2">
        <f>COUNTIFS(集計用!$G397,"*, "&amp;BG$3&amp;", *")</f>
        <v>0</v>
      </c>
      <c r="BH399" s="2">
        <f>COUNTIFS(集計用!$G397,"*, "&amp;BH$3&amp;", *")</f>
        <v>0</v>
      </c>
      <c r="BI399" s="2">
        <f>COUNTIFS(集計用!$G397,"*, "&amp;BI$3&amp;", *")</f>
        <v>0</v>
      </c>
      <c r="BJ399" s="2">
        <f>LEN(集計用!H397)-LEN(SUBSTITUTE(集計用!H397,",",""))</f>
        <v>0</v>
      </c>
    </row>
    <row r="400" spans="1:62" ht="12.75">
      <c r="A400" s="8">
        <v>397</v>
      </c>
      <c r="C400" s="2">
        <f t="shared" si="4"/>
        <v>6</v>
      </c>
      <c r="D400" s="9"/>
      <c r="E400" s="2">
        <f>COUNTIFS(集計用!$G398,"*, "&amp;E$3&amp;", *")</f>
        <v>0</v>
      </c>
      <c r="F400" s="2">
        <f>COUNTIFS(集計用!$G398,"*, "&amp;F$3&amp;", *")</f>
        <v>0</v>
      </c>
      <c r="G400" s="2">
        <f>COUNTIFS(集計用!$G398,"*, "&amp;G$3&amp;", *")</f>
        <v>1</v>
      </c>
      <c r="H400" s="2">
        <f>COUNTIFS(集計用!$G398,"*, "&amp;H$3&amp;", *")</f>
        <v>0</v>
      </c>
      <c r="I400" s="2">
        <f>COUNTIFS(集計用!$G398,"*, "&amp;I$3&amp;", *")</f>
        <v>1</v>
      </c>
      <c r="J400" s="2">
        <f>COUNTIFS(集計用!$G398,"*, "&amp;J$3&amp;", *")</f>
        <v>0</v>
      </c>
      <c r="K400" s="2">
        <f>COUNTIFS(集計用!$G398,"*, "&amp;K$3&amp;", *")</f>
        <v>0</v>
      </c>
      <c r="L400" s="2">
        <f>COUNTIFS(集計用!$G398,"*, "&amp;L$3&amp;", *")</f>
        <v>0</v>
      </c>
      <c r="M400" s="2">
        <f>COUNTIFS(集計用!$G398,"*, "&amp;M$3&amp;", *")</f>
        <v>0</v>
      </c>
      <c r="N400" s="2">
        <f>COUNTIFS(集計用!$G398,"*, "&amp;N$3&amp;", *")</f>
        <v>0</v>
      </c>
      <c r="O400" s="2">
        <f>COUNTIFS(集計用!$G398,"*, "&amp;O$3&amp;", *")</f>
        <v>0</v>
      </c>
      <c r="P400" s="2">
        <f>COUNTIFS(集計用!$G398,"*, "&amp;P$3&amp;", *")</f>
        <v>1</v>
      </c>
      <c r="Q400" s="2">
        <f>COUNTIFS(集計用!$G398,"*, "&amp;Q$3&amp;", *")</f>
        <v>0</v>
      </c>
      <c r="R400" s="2">
        <f>COUNTIFS(集計用!$G398,"*, "&amp;R$3&amp;", *")</f>
        <v>0</v>
      </c>
      <c r="S400" s="2">
        <f>COUNTIFS(集計用!$G398,"*, "&amp;S$3&amp;", *")</f>
        <v>1</v>
      </c>
      <c r="T400" s="2">
        <f>COUNTIFS(集計用!$G398,"*, "&amp;T$3&amp;", *")</f>
        <v>0</v>
      </c>
      <c r="U400" s="2">
        <f>COUNTIFS(集計用!$G398,"*, "&amp;U$3&amp;", *")</f>
        <v>0</v>
      </c>
      <c r="V400" s="2">
        <f>COUNTIFS(集計用!$G398,"*, "&amp;V$3&amp;", *")</f>
        <v>0</v>
      </c>
      <c r="W400" s="2">
        <f>COUNTIFS(集計用!$G398,"*, "&amp;W$3&amp;", *")</f>
        <v>0</v>
      </c>
      <c r="X400" s="2">
        <f>COUNTIFS(集計用!$G398,"*, "&amp;X$3&amp;", *")</f>
        <v>1</v>
      </c>
      <c r="Y400" s="2">
        <f>COUNTIFS(集計用!$G398,"*, "&amp;Y$3&amp;", *")</f>
        <v>1</v>
      </c>
      <c r="Z400" s="2">
        <f>COUNTIFS(集計用!$G398,"*, "&amp;Z$3&amp;", *")</f>
        <v>0</v>
      </c>
      <c r="AA400" s="2">
        <f>COUNTIFS(集計用!$G398,"*, "&amp;AA$3&amp;", *")</f>
        <v>0</v>
      </c>
      <c r="AB400" s="2">
        <f>COUNTIFS(集計用!$G398,"*, "&amp;AB$3&amp;", *")</f>
        <v>0</v>
      </c>
      <c r="AC400" s="2">
        <f>COUNTIFS(集計用!$G398,"*, "&amp;AC$3&amp;", *")</f>
        <v>0</v>
      </c>
      <c r="AD400" s="2">
        <f>COUNTIFS(集計用!$G398,"*, "&amp;AD$3&amp;", *")</f>
        <v>0</v>
      </c>
      <c r="AE400" s="2">
        <f>COUNTIFS(集計用!$G398,"*, "&amp;AE$3&amp;", *")</f>
        <v>0</v>
      </c>
      <c r="AF400" s="2">
        <f>COUNTIFS(集計用!$G398,"*, "&amp;AF$3&amp;", *")</f>
        <v>0</v>
      </c>
      <c r="AG400" s="2">
        <f>COUNTIFS(集計用!$G398,"*, "&amp;AG$3&amp;", *")</f>
        <v>0</v>
      </c>
      <c r="AH400" s="2">
        <f>COUNTIFS(集計用!$G398,"*, "&amp;AH$3&amp;", *")</f>
        <v>0</v>
      </c>
      <c r="AI400" s="2">
        <f>COUNTIFS(集計用!$G398,"*, "&amp;AI$3&amp;", *")</f>
        <v>0</v>
      </c>
      <c r="AJ400" s="2">
        <f>COUNTIFS(集計用!$G398,"*, "&amp;AJ$3&amp;", *")</f>
        <v>0</v>
      </c>
      <c r="AK400" s="2">
        <f>COUNTIFS(集計用!$G398,"*, "&amp;AK$3&amp;", *")</f>
        <v>0</v>
      </c>
      <c r="AL400" s="2">
        <f>COUNTIFS(集計用!$G398,"*, "&amp;AL$3&amp;", *")</f>
        <v>0</v>
      </c>
      <c r="AM400" s="2">
        <f>COUNTIFS(集計用!$G398,"*, "&amp;AM$3&amp;", *")</f>
        <v>0</v>
      </c>
      <c r="AN400" s="2">
        <f>COUNTIFS(集計用!$G398,"*, "&amp;AN$3&amp;", *")</f>
        <v>0</v>
      </c>
      <c r="AO400" s="2">
        <f>COUNTIFS(集計用!$G398,"*, "&amp;AO$3&amp;", *")</f>
        <v>0</v>
      </c>
      <c r="AP400" s="2">
        <f>COUNTIFS(集計用!$G398,"*, "&amp;AP$3&amp;", *")</f>
        <v>0</v>
      </c>
      <c r="AQ400" s="2">
        <f>COUNTIFS(集計用!$G398,"*, "&amp;AQ$3&amp;", *")</f>
        <v>0</v>
      </c>
      <c r="AR400" s="2">
        <f>COUNTIFS(集計用!$G398,"*, "&amp;AR$3&amp;", *")</f>
        <v>0</v>
      </c>
      <c r="AS400" s="2">
        <f>COUNTIFS(集計用!$G398,"*, "&amp;AS$3&amp;", *")</f>
        <v>0</v>
      </c>
      <c r="AT400" s="2">
        <f>COUNTIFS(集計用!$G398,"*, "&amp;AT$3&amp;", *")</f>
        <v>0</v>
      </c>
      <c r="AU400" s="2">
        <f>COUNTIFS(集計用!$G398,"*, "&amp;AU$3&amp;", *")</f>
        <v>0</v>
      </c>
      <c r="AV400" s="2">
        <f>COUNTIFS(集計用!$G398,"*, "&amp;AV$3&amp;", *")</f>
        <v>0</v>
      </c>
      <c r="AW400" s="2">
        <f>COUNTIFS(集計用!$G398,"*, "&amp;AW$3&amp;", *")</f>
        <v>0</v>
      </c>
      <c r="AX400" s="2">
        <f>COUNTIFS(集計用!$G398,"*, "&amp;AX$3&amp;", *")</f>
        <v>0</v>
      </c>
      <c r="AY400" s="2">
        <f>COUNTIFS(集計用!$G398,"*, "&amp;AY$3&amp;", *")</f>
        <v>0</v>
      </c>
      <c r="AZ400" s="2">
        <f>COUNTIFS(集計用!$G398,"*, "&amp;AZ$3&amp;", *")</f>
        <v>0</v>
      </c>
      <c r="BA400" s="2">
        <f>COUNTIFS(集計用!$G398,"*, "&amp;BA$3&amp;", *")</f>
        <v>0</v>
      </c>
      <c r="BB400" s="2">
        <f>COUNTIFS(集計用!$G398,"*, "&amp;BB$3&amp;", *")</f>
        <v>0</v>
      </c>
      <c r="BC400" s="2">
        <f>COUNTIFS(集計用!$G398,"*, "&amp;BC$3&amp;", *")</f>
        <v>0</v>
      </c>
      <c r="BD400" s="2">
        <f>COUNTIFS(集計用!$G398,"*, "&amp;BD$3&amp;", *")</f>
        <v>0</v>
      </c>
      <c r="BE400" s="2">
        <f>COUNTIFS(集計用!$G398,"*, "&amp;BE$3&amp;", *")</f>
        <v>0</v>
      </c>
      <c r="BF400" s="2">
        <f>COUNTIFS(集計用!$G398,"*, "&amp;BF$3&amp;", *")</f>
        <v>0</v>
      </c>
      <c r="BG400" s="2">
        <f>COUNTIFS(集計用!$G398,"*, "&amp;BG$3&amp;", *")</f>
        <v>0</v>
      </c>
      <c r="BH400" s="2">
        <f>COUNTIFS(集計用!$G398,"*, "&amp;BH$3&amp;", *")</f>
        <v>0</v>
      </c>
      <c r="BI400" s="2">
        <f>COUNTIFS(集計用!$G398,"*, "&amp;BI$3&amp;", *")</f>
        <v>0</v>
      </c>
      <c r="BJ400" s="2">
        <f>LEN(集計用!H398)-LEN(SUBSTITUTE(集計用!H398,",",""))</f>
        <v>0</v>
      </c>
    </row>
    <row r="401" spans="1:62" ht="12.75">
      <c r="A401" s="8">
        <v>398</v>
      </c>
      <c r="C401" s="2">
        <f t="shared" si="4"/>
        <v>4</v>
      </c>
      <c r="D401" s="9"/>
      <c r="E401" s="2">
        <f>COUNTIFS(集計用!$G399,"*, "&amp;E$3&amp;", *")</f>
        <v>1</v>
      </c>
      <c r="F401" s="2">
        <f>COUNTIFS(集計用!$G399,"*, "&amp;F$3&amp;", *")</f>
        <v>0</v>
      </c>
      <c r="G401" s="2">
        <f>COUNTIFS(集計用!$G399,"*, "&amp;G$3&amp;", *")</f>
        <v>1</v>
      </c>
      <c r="H401" s="2">
        <f>COUNTIFS(集計用!$G399,"*, "&amp;H$3&amp;", *")</f>
        <v>0</v>
      </c>
      <c r="I401" s="2">
        <f>COUNTIFS(集計用!$G399,"*, "&amp;I$3&amp;", *")</f>
        <v>0</v>
      </c>
      <c r="J401" s="2">
        <f>COUNTIFS(集計用!$G399,"*, "&amp;J$3&amp;", *")</f>
        <v>0</v>
      </c>
      <c r="K401" s="2">
        <f>COUNTIFS(集計用!$G399,"*, "&amp;K$3&amp;", *")</f>
        <v>0</v>
      </c>
      <c r="L401" s="2">
        <f>COUNTIFS(集計用!$G399,"*, "&amp;L$3&amp;", *")</f>
        <v>0</v>
      </c>
      <c r="M401" s="2">
        <f>COUNTIFS(集計用!$G399,"*, "&amp;M$3&amp;", *")</f>
        <v>0</v>
      </c>
      <c r="N401" s="2">
        <f>COUNTIFS(集計用!$G399,"*, "&amp;N$3&amp;", *")</f>
        <v>0</v>
      </c>
      <c r="O401" s="2">
        <f>COUNTIFS(集計用!$G399,"*, "&amp;O$3&amp;", *")</f>
        <v>0</v>
      </c>
      <c r="P401" s="2">
        <f>COUNTIFS(集計用!$G399,"*, "&amp;P$3&amp;", *")</f>
        <v>0</v>
      </c>
      <c r="Q401" s="2">
        <f>COUNTIFS(集計用!$G399,"*, "&amp;Q$3&amp;", *")</f>
        <v>0</v>
      </c>
      <c r="R401" s="2">
        <f>COUNTIFS(集計用!$G399,"*, "&amp;R$3&amp;", *")</f>
        <v>1</v>
      </c>
      <c r="S401" s="2">
        <f>COUNTIFS(集計用!$G399,"*, "&amp;S$3&amp;", *")</f>
        <v>0</v>
      </c>
      <c r="T401" s="2">
        <f>COUNTIFS(集計用!$G399,"*, "&amp;T$3&amp;", *")</f>
        <v>1</v>
      </c>
      <c r="U401" s="2">
        <f>COUNTIFS(集計用!$G399,"*, "&amp;U$3&amp;", *")</f>
        <v>0</v>
      </c>
      <c r="V401" s="2">
        <f>COUNTIFS(集計用!$G399,"*, "&amp;V$3&amp;", *")</f>
        <v>0</v>
      </c>
      <c r="W401" s="2">
        <f>COUNTIFS(集計用!$G399,"*, "&amp;W$3&amp;", *")</f>
        <v>0</v>
      </c>
      <c r="X401" s="2">
        <f>COUNTIFS(集計用!$G399,"*, "&amp;X$3&amp;", *")</f>
        <v>0</v>
      </c>
      <c r="Y401" s="2">
        <f>COUNTIFS(集計用!$G399,"*, "&amp;Y$3&amp;", *")</f>
        <v>0</v>
      </c>
      <c r="Z401" s="2">
        <f>COUNTIFS(集計用!$G399,"*, "&amp;Z$3&amp;", *")</f>
        <v>0</v>
      </c>
      <c r="AA401" s="2">
        <f>COUNTIFS(集計用!$G399,"*, "&amp;AA$3&amp;", *")</f>
        <v>0</v>
      </c>
      <c r="AB401" s="2">
        <f>COUNTIFS(集計用!$G399,"*, "&amp;AB$3&amp;", *")</f>
        <v>0</v>
      </c>
      <c r="AC401" s="2">
        <f>COUNTIFS(集計用!$G399,"*, "&amp;AC$3&amp;", *")</f>
        <v>0</v>
      </c>
      <c r="AD401" s="2">
        <f>COUNTIFS(集計用!$G399,"*, "&amp;AD$3&amp;", *")</f>
        <v>0</v>
      </c>
      <c r="AE401" s="2">
        <f>COUNTIFS(集計用!$G399,"*, "&amp;AE$3&amp;", *")</f>
        <v>0</v>
      </c>
      <c r="AF401" s="2">
        <f>COUNTIFS(集計用!$G399,"*, "&amp;AF$3&amp;", *")</f>
        <v>0</v>
      </c>
      <c r="AG401" s="2">
        <f>COUNTIFS(集計用!$G399,"*, "&amp;AG$3&amp;", *")</f>
        <v>0</v>
      </c>
      <c r="AH401" s="2">
        <f>COUNTIFS(集計用!$G399,"*, "&amp;AH$3&amp;", *")</f>
        <v>0</v>
      </c>
      <c r="AI401" s="2">
        <f>COUNTIFS(集計用!$G399,"*, "&amp;AI$3&amp;", *")</f>
        <v>0</v>
      </c>
      <c r="AJ401" s="2">
        <f>COUNTIFS(集計用!$G399,"*, "&amp;AJ$3&amp;", *")</f>
        <v>0</v>
      </c>
      <c r="AK401" s="2">
        <f>COUNTIFS(集計用!$G399,"*, "&amp;AK$3&amp;", *")</f>
        <v>0</v>
      </c>
      <c r="AL401" s="2">
        <f>COUNTIFS(集計用!$G399,"*, "&amp;AL$3&amp;", *")</f>
        <v>0</v>
      </c>
      <c r="AM401" s="2">
        <f>COUNTIFS(集計用!$G399,"*, "&amp;AM$3&amp;", *")</f>
        <v>0</v>
      </c>
      <c r="AN401" s="2">
        <f>COUNTIFS(集計用!$G399,"*, "&amp;AN$3&amp;", *")</f>
        <v>0</v>
      </c>
      <c r="AO401" s="2">
        <f>COUNTIFS(集計用!$G399,"*, "&amp;AO$3&amp;", *")</f>
        <v>0</v>
      </c>
      <c r="AP401" s="2">
        <f>COUNTIFS(集計用!$G399,"*, "&amp;AP$3&amp;", *")</f>
        <v>0</v>
      </c>
      <c r="AQ401" s="2">
        <f>COUNTIFS(集計用!$G399,"*, "&amp;AQ$3&amp;", *")</f>
        <v>0</v>
      </c>
      <c r="AR401" s="2">
        <f>COUNTIFS(集計用!$G399,"*, "&amp;AR$3&amp;", *")</f>
        <v>0</v>
      </c>
      <c r="AS401" s="2">
        <f>COUNTIFS(集計用!$G399,"*, "&amp;AS$3&amp;", *")</f>
        <v>0</v>
      </c>
      <c r="AT401" s="2">
        <f>COUNTIFS(集計用!$G399,"*, "&amp;AT$3&amp;", *")</f>
        <v>0</v>
      </c>
      <c r="AU401" s="2">
        <f>COUNTIFS(集計用!$G399,"*, "&amp;AU$3&amp;", *")</f>
        <v>0</v>
      </c>
      <c r="AV401" s="2">
        <f>COUNTIFS(集計用!$G399,"*, "&amp;AV$3&amp;", *")</f>
        <v>0</v>
      </c>
      <c r="AW401" s="2">
        <f>COUNTIFS(集計用!$G399,"*, "&amp;AW$3&amp;", *")</f>
        <v>0</v>
      </c>
      <c r="AX401" s="2">
        <f>COUNTIFS(集計用!$G399,"*, "&amp;AX$3&amp;", *")</f>
        <v>0</v>
      </c>
      <c r="AY401" s="2">
        <f>COUNTIFS(集計用!$G399,"*, "&amp;AY$3&amp;", *")</f>
        <v>0</v>
      </c>
      <c r="AZ401" s="2">
        <f>COUNTIFS(集計用!$G399,"*, "&amp;AZ$3&amp;", *")</f>
        <v>0</v>
      </c>
      <c r="BA401" s="2">
        <f>COUNTIFS(集計用!$G399,"*, "&amp;BA$3&amp;", *")</f>
        <v>0</v>
      </c>
      <c r="BB401" s="2">
        <f>COUNTIFS(集計用!$G399,"*, "&amp;BB$3&amp;", *")</f>
        <v>0</v>
      </c>
      <c r="BC401" s="2">
        <f>COUNTIFS(集計用!$G399,"*, "&amp;BC$3&amp;", *")</f>
        <v>0</v>
      </c>
      <c r="BD401" s="2">
        <f>COUNTIFS(集計用!$G399,"*, "&amp;BD$3&amp;", *")</f>
        <v>0</v>
      </c>
      <c r="BE401" s="2">
        <f>COUNTIFS(集計用!$G399,"*, "&amp;BE$3&amp;", *")</f>
        <v>0</v>
      </c>
      <c r="BF401" s="2">
        <f>COUNTIFS(集計用!$G399,"*, "&amp;BF$3&amp;", *")</f>
        <v>0</v>
      </c>
      <c r="BG401" s="2">
        <f>COUNTIFS(集計用!$G399,"*, "&amp;BG$3&amp;", *")</f>
        <v>0</v>
      </c>
      <c r="BH401" s="2">
        <f>COUNTIFS(集計用!$G399,"*, "&amp;BH$3&amp;", *")</f>
        <v>0</v>
      </c>
      <c r="BI401" s="2">
        <f>COUNTIFS(集計用!$G399,"*, "&amp;BI$3&amp;", *")</f>
        <v>0</v>
      </c>
      <c r="BJ401" s="2">
        <f>LEN(集計用!H399)-LEN(SUBSTITUTE(集計用!H399,",",""))</f>
        <v>0</v>
      </c>
    </row>
    <row r="402" spans="1:62" ht="12.75">
      <c r="A402" s="8">
        <v>399</v>
      </c>
      <c r="C402" s="2">
        <f t="shared" si="4"/>
        <v>4</v>
      </c>
      <c r="D402" s="9"/>
      <c r="E402" s="2">
        <f>COUNTIFS(集計用!$G400,"*, "&amp;E$3&amp;", *")</f>
        <v>0</v>
      </c>
      <c r="F402" s="2">
        <f>COUNTIFS(集計用!$G400,"*, "&amp;F$3&amp;", *")</f>
        <v>0</v>
      </c>
      <c r="G402" s="2">
        <f>COUNTIFS(集計用!$G400,"*, "&amp;G$3&amp;", *")</f>
        <v>0</v>
      </c>
      <c r="H402" s="2">
        <f>COUNTIFS(集計用!$G400,"*, "&amp;H$3&amp;", *")</f>
        <v>0</v>
      </c>
      <c r="I402" s="2">
        <f>COUNTIFS(集計用!$G400,"*, "&amp;I$3&amp;", *")</f>
        <v>1</v>
      </c>
      <c r="J402" s="2">
        <f>COUNTIFS(集計用!$G400,"*, "&amp;J$3&amp;", *")</f>
        <v>0</v>
      </c>
      <c r="K402" s="2">
        <f>COUNTIFS(集計用!$G400,"*, "&amp;K$3&amp;", *")</f>
        <v>0</v>
      </c>
      <c r="L402" s="2">
        <f>COUNTIFS(集計用!$G400,"*, "&amp;L$3&amp;", *")</f>
        <v>0</v>
      </c>
      <c r="M402" s="2">
        <f>COUNTIFS(集計用!$G400,"*, "&amp;M$3&amp;", *")</f>
        <v>1</v>
      </c>
      <c r="N402" s="2">
        <f>COUNTIFS(集計用!$G400,"*, "&amp;N$3&amp;", *")</f>
        <v>0</v>
      </c>
      <c r="O402" s="2">
        <f>COUNTIFS(集計用!$G400,"*, "&amp;O$3&amp;", *")</f>
        <v>0</v>
      </c>
      <c r="P402" s="2">
        <f>COUNTIFS(集計用!$G400,"*, "&amp;P$3&amp;", *")</f>
        <v>0</v>
      </c>
      <c r="Q402" s="2">
        <f>COUNTIFS(集計用!$G400,"*, "&amp;Q$3&amp;", *")</f>
        <v>0</v>
      </c>
      <c r="R402" s="2">
        <f>COUNTIFS(集計用!$G400,"*, "&amp;R$3&amp;", *")</f>
        <v>0</v>
      </c>
      <c r="S402" s="2">
        <f>COUNTIFS(集計用!$G400,"*, "&amp;S$3&amp;", *")</f>
        <v>0</v>
      </c>
      <c r="T402" s="2">
        <f>COUNTIFS(集計用!$G400,"*, "&amp;T$3&amp;", *")</f>
        <v>0</v>
      </c>
      <c r="U402" s="2">
        <f>COUNTIFS(集計用!$G400,"*, "&amp;U$3&amp;", *")</f>
        <v>1</v>
      </c>
      <c r="V402" s="2">
        <f>COUNTIFS(集計用!$G400,"*, "&amp;V$3&amp;", *")</f>
        <v>0</v>
      </c>
      <c r="W402" s="2">
        <f>COUNTIFS(集計用!$G400,"*, "&amp;W$3&amp;", *")</f>
        <v>0</v>
      </c>
      <c r="X402" s="2">
        <f>COUNTIFS(集計用!$G400,"*, "&amp;X$3&amp;", *")</f>
        <v>0</v>
      </c>
      <c r="Y402" s="2">
        <f>COUNTIFS(集計用!$G400,"*, "&amp;Y$3&amp;", *")</f>
        <v>0</v>
      </c>
      <c r="Z402" s="2">
        <f>COUNTIFS(集計用!$G400,"*, "&amp;Z$3&amp;", *")</f>
        <v>0</v>
      </c>
      <c r="AA402" s="2">
        <f>COUNTIFS(集計用!$G400,"*, "&amp;AA$3&amp;", *")</f>
        <v>0</v>
      </c>
      <c r="AB402" s="2">
        <f>COUNTIFS(集計用!$G400,"*, "&amp;AB$3&amp;", *")</f>
        <v>0</v>
      </c>
      <c r="AC402" s="2">
        <f>COUNTIFS(集計用!$G400,"*, "&amp;AC$3&amp;", *")</f>
        <v>0</v>
      </c>
      <c r="AD402" s="2">
        <f>COUNTIFS(集計用!$G400,"*, "&amp;AD$3&amp;", *")</f>
        <v>0</v>
      </c>
      <c r="AE402" s="2">
        <f>COUNTIFS(集計用!$G400,"*, "&amp;AE$3&amp;", *")</f>
        <v>0</v>
      </c>
      <c r="AF402" s="2">
        <f>COUNTIFS(集計用!$G400,"*, "&amp;AF$3&amp;", *")</f>
        <v>0</v>
      </c>
      <c r="AG402" s="2">
        <f>COUNTIFS(集計用!$G400,"*, "&amp;AG$3&amp;", *")</f>
        <v>0</v>
      </c>
      <c r="AH402" s="2">
        <f>COUNTIFS(集計用!$G400,"*, "&amp;AH$3&amp;", *")</f>
        <v>0</v>
      </c>
      <c r="AI402" s="2">
        <f>COUNTIFS(集計用!$G400,"*, "&amp;AI$3&amp;", *")</f>
        <v>0</v>
      </c>
      <c r="AJ402" s="2">
        <f>COUNTIFS(集計用!$G400,"*, "&amp;AJ$3&amp;", *")</f>
        <v>0</v>
      </c>
      <c r="AK402" s="2">
        <f>COUNTIFS(集計用!$G400,"*, "&amp;AK$3&amp;", *")</f>
        <v>0</v>
      </c>
      <c r="AL402" s="2">
        <f>COUNTIFS(集計用!$G400,"*, "&amp;AL$3&amp;", *")</f>
        <v>0</v>
      </c>
      <c r="AM402" s="2">
        <f>COUNTIFS(集計用!$G400,"*, "&amp;AM$3&amp;", *")</f>
        <v>0</v>
      </c>
      <c r="AN402" s="2">
        <f>COUNTIFS(集計用!$G400,"*, "&amp;AN$3&amp;", *")</f>
        <v>0</v>
      </c>
      <c r="AO402" s="2">
        <f>COUNTIFS(集計用!$G400,"*, "&amp;AO$3&amp;", *")</f>
        <v>0</v>
      </c>
      <c r="AP402" s="2">
        <f>COUNTIFS(集計用!$G400,"*, "&amp;AP$3&amp;", *")</f>
        <v>0</v>
      </c>
      <c r="AQ402" s="2">
        <f>COUNTIFS(集計用!$G400,"*, "&amp;AQ$3&amp;", *")</f>
        <v>1</v>
      </c>
      <c r="AR402" s="2">
        <f>COUNTIFS(集計用!$G400,"*, "&amp;AR$3&amp;", *")</f>
        <v>0</v>
      </c>
      <c r="AS402" s="2">
        <f>COUNTIFS(集計用!$G400,"*, "&amp;AS$3&amp;", *")</f>
        <v>0</v>
      </c>
      <c r="AT402" s="2">
        <f>COUNTIFS(集計用!$G400,"*, "&amp;AT$3&amp;", *")</f>
        <v>0</v>
      </c>
      <c r="AU402" s="2">
        <f>COUNTIFS(集計用!$G400,"*, "&amp;AU$3&amp;", *")</f>
        <v>0</v>
      </c>
      <c r="AV402" s="2">
        <f>COUNTIFS(集計用!$G400,"*, "&amp;AV$3&amp;", *")</f>
        <v>0</v>
      </c>
      <c r="AW402" s="2">
        <f>COUNTIFS(集計用!$G400,"*, "&amp;AW$3&amp;", *")</f>
        <v>0</v>
      </c>
      <c r="AX402" s="2">
        <f>COUNTIFS(集計用!$G400,"*, "&amp;AX$3&amp;", *")</f>
        <v>0</v>
      </c>
      <c r="AY402" s="2">
        <f>COUNTIFS(集計用!$G400,"*, "&amp;AY$3&amp;", *")</f>
        <v>0</v>
      </c>
      <c r="AZ402" s="2">
        <f>COUNTIFS(集計用!$G400,"*, "&amp;AZ$3&amp;", *")</f>
        <v>0</v>
      </c>
      <c r="BA402" s="2">
        <f>COUNTIFS(集計用!$G400,"*, "&amp;BA$3&amp;", *")</f>
        <v>0</v>
      </c>
      <c r="BB402" s="2">
        <f>COUNTIFS(集計用!$G400,"*, "&amp;BB$3&amp;", *")</f>
        <v>0</v>
      </c>
      <c r="BC402" s="2">
        <f>COUNTIFS(集計用!$G400,"*, "&amp;BC$3&amp;", *")</f>
        <v>0</v>
      </c>
      <c r="BD402" s="2">
        <f>COUNTIFS(集計用!$G400,"*, "&amp;BD$3&amp;", *")</f>
        <v>0</v>
      </c>
      <c r="BE402" s="2">
        <f>COUNTIFS(集計用!$G400,"*, "&amp;BE$3&amp;", *")</f>
        <v>0</v>
      </c>
      <c r="BF402" s="2">
        <f>COUNTIFS(集計用!$G400,"*, "&amp;BF$3&amp;", *")</f>
        <v>0</v>
      </c>
      <c r="BG402" s="2">
        <f>COUNTIFS(集計用!$G400,"*, "&amp;BG$3&amp;", *")</f>
        <v>0</v>
      </c>
      <c r="BH402" s="2">
        <f>COUNTIFS(集計用!$G400,"*, "&amp;BH$3&amp;", *")</f>
        <v>0</v>
      </c>
      <c r="BI402" s="2">
        <f>COUNTIFS(集計用!$G400,"*, "&amp;BI$3&amp;", *")</f>
        <v>0</v>
      </c>
      <c r="BJ402" s="2">
        <f>LEN(集計用!H400)-LEN(SUBSTITUTE(集計用!H400,",",""))</f>
        <v>0</v>
      </c>
    </row>
    <row r="403" spans="1:62" ht="12.75">
      <c r="A403" s="8">
        <v>400</v>
      </c>
      <c r="C403" s="2">
        <f t="shared" si="4"/>
        <v>8</v>
      </c>
      <c r="D403" s="9"/>
      <c r="E403" s="2">
        <f>COUNTIFS(集計用!$G401,"*, "&amp;E$3&amp;", *")</f>
        <v>1</v>
      </c>
      <c r="F403" s="2">
        <f>COUNTIFS(集計用!$G401,"*, "&amp;F$3&amp;", *")</f>
        <v>1</v>
      </c>
      <c r="G403" s="2">
        <f>COUNTIFS(集計用!$G401,"*, "&amp;G$3&amp;", *")</f>
        <v>0</v>
      </c>
      <c r="H403" s="2">
        <f>COUNTIFS(集計用!$G401,"*, "&amp;H$3&amp;", *")</f>
        <v>0</v>
      </c>
      <c r="I403" s="2">
        <f>COUNTIFS(集計用!$G401,"*, "&amp;I$3&amp;", *")</f>
        <v>1</v>
      </c>
      <c r="J403" s="2">
        <f>COUNTIFS(集計用!$G401,"*, "&amp;J$3&amp;", *")</f>
        <v>1</v>
      </c>
      <c r="K403" s="2">
        <f>COUNTIFS(集計用!$G401,"*, "&amp;K$3&amp;", *")</f>
        <v>1</v>
      </c>
      <c r="L403" s="2">
        <f>COUNTIFS(集計用!$G401,"*, "&amp;L$3&amp;", *")</f>
        <v>0</v>
      </c>
      <c r="M403" s="2">
        <f>COUNTIFS(集計用!$G401,"*, "&amp;M$3&amp;", *")</f>
        <v>0</v>
      </c>
      <c r="N403" s="2">
        <f>COUNTIFS(集計用!$G401,"*, "&amp;N$3&amp;", *")</f>
        <v>0</v>
      </c>
      <c r="O403" s="2">
        <f>COUNTIFS(集計用!$G401,"*, "&amp;O$3&amp;", *")</f>
        <v>0</v>
      </c>
      <c r="P403" s="2">
        <f>COUNTIFS(集計用!$G401,"*, "&amp;P$3&amp;", *")</f>
        <v>0</v>
      </c>
      <c r="Q403" s="2">
        <f>COUNTIFS(集計用!$G401,"*, "&amp;Q$3&amp;", *")</f>
        <v>0</v>
      </c>
      <c r="R403" s="2">
        <f>COUNTIFS(集計用!$G401,"*, "&amp;R$3&amp;", *")</f>
        <v>1</v>
      </c>
      <c r="S403" s="2">
        <f>COUNTIFS(集計用!$G401,"*, "&amp;S$3&amp;", *")</f>
        <v>1</v>
      </c>
      <c r="T403" s="2">
        <f>COUNTIFS(集計用!$G401,"*, "&amp;T$3&amp;", *")</f>
        <v>0</v>
      </c>
      <c r="U403" s="2">
        <f>COUNTIFS(集計用!$G401,"*, "&amp;U$3&amp;", *")</f>
        <v>0</v>
      </c>
      <c r="V403" s="2">
        <f>COUNTIFS(集計用!$G401,"*, "&amp;V$3&amp;", *")</f>
        <v>0</v>
      </c>
      <c r="W403" s="2">
        <f>COUNTIFS(集計用!$G401,"*, "&amp;W$3&amp;", *")</f>
        <v>0</v>
      </c>
      <c r="X403" s="2">
        <f>COUNTIFS(集計用!$G401,"*, "&amp;X$3&amp;", *")</f>
        <v>0</v>
      </c>
      <c r="Y403" s="2">
        <f>COUNTIFS(集計用!$G401,"*, "&amp;Y$3&amp;", *")</f>
        <v>0</v>
      </c>
      <c r="Z403" s="2">
        <f>COUNTIFS(集計用!$G401,"*, "&amp;Z$3&amp;", *")</f>
        <v>0</v>
      </c>
      <c r="AA403" s="2">
        <f>COUNTIFS(集計用!$G401,"*, "&amp;AA$3&amp;", *")</f>
        <v>0</v>
      </c>
      <c r="AB403" s="2">
        <f>COUNTIFS(集計用!$G401,"*, "&amp;AB$3&amp;", *")</f>
        <v>0</v>
      </c>
      <c r="AC403" s="2">
        <f>COUNTIFS(集計用!$G401,"*, "&amp;AC$3&amp;", *")</f>
        <v>0</v>
      </c>
      <c r="AD403" s="2">
        <f>COUNTIFS(集計用!$G401,"*, "&amp;AD$3&amp;", *")</f>
        <v>0</v>
      </c>
      <c r="AE403" s="2">
        <f>COUNTIFS(集計用!$G401,"*, "&amp;AE$3&amp;", *")</f>
        <v>0</v>
      </c>
      <c r="AF403" s="2">
        <f>COUNTIFS(集計用!$G401,"*, "&amp;AF$3&amp;", *")</f>
        <v>1</v>
      </c>
      <c r="AG403" s="2">
        <f>COUNTIFS(集計用!$G401,"*, "&amp;AG$3&amp;", *")</f>
        <v>0</v>
      </c>
      <c r="AH403" s="2">
        <f>COUNTIFS(集計用!$G401,"*, "&amp;AH$3&amp;", *")</f>
        <v>0</v>
      </c>
      <c r="AI403" s="2">
        <f>COUNTIFS(集計用!$G401,"*, "&amp;AI$3&amp;", *")</f>
        <v>0</v>
      </c>
      <c r="AJ403" s="2">
        <f>COUNTIFS(集計用!$G401,"*, "&amp;AJ$3&amp;", *")</f>
        <v>0</v>
      </c>
      <c r="AK403" s="2">
        <f>COUNTIFS(集計用!$G401,"*, "&amp;AK$3&amp;", *")</f>
        <v>0</v>
      </c>
      <c r="AL403" s="2">
        <f>COUNTIFS(集計用!$G401,"*, "&amp;AL$3&amp;", *")</f>
        <v>0</v>
      </c>
      <c r="AM403" s="2">
        <f>COUNTIFS(集計用!$G401,"*, "&amp;AM$3&amp;", *")</f>
        <v>0</v>
      </c>
      <c r="AN403" s="2">
        <f>COUNTIFS(集計用!$G401,"*, "&amp;AN$3&amp;", *")</f>
        <v>0</v>
      </c>
      <c r="AO403" s="2">
        <f>COUNTIFS(集計用!$G401,"*, "&amp;AO$3&amp;", *")</f>
        <v>0</v>
      </c>
      <c r="AP403" s="2">
        <f>COUNTIFS(集計用!$G401,"*, "&amp;AP$3&amp;", *")</f>
        <v>0</v>
      </c>
      <c r="AQ403" s="2">
        <f>COUNTIFS(集計用!$G401,"*, "&amp;AQ$3&amp;", *")</f>
        <v>0</v>
      </c>
      <c r="AR403" s="2">
        <f>COUNTIFS(集計用!$G401,"*, "&amp;AR$3&amp;", *")</f>
        <v>0</v>
      </c>
      <c r="AS403" s="2">
        <f>COUNTIFS(集計用!$G401,"*, "&amp;AS$3&amp;", *")</f>
        <v>0</v>
      </c>
      <c r="AT403" s="2">
        <f>COUNTIFS(集計用!$G401,"*, "&amp;AT$3&amp;", *")</f>
        <v>0</v>
      </c>
      <c r="AU403" s="2">
        <f>COUNTIFS(集計用!$G401,"*, "&amp;AU$3&amp;", *")</f>
        <v>0</v>
      </c>
      <c r="AV403" s="2">
        <f>COUNTIFS(集計用!$G401,"*, "&amp;AV$3&amp;", *")</f>
        <v>0</v>
      </c>
      <c r="AW403" s="2">
        <f>COUNTIFS(集計用!$G401,"*, "&amp;AW$3&amp;", *")</f>
        <v>0</v>
      </c>
      <c r="AX403" s="2">
        <f>COUNTIFS(集計用!$G401,"*, "&amp;AX$3&amp;", *")</f>
        <v>0</v>
      </c>
      <c r="AY403" s="2">
        <f>COUNTIFS(集計用!$G401,"*, "&amp;AY$3&amp;", *")</f>
        <v>0</v>
      </c>
      <c r="AZ403" s="2">
        <f>COUNTIFS(集計用!$G401,"*, "&amp;AZ$3&amp;", *")</f>
        <v>0</v>
      </c>
      <c r="BA403" s="2">
        <f>COUNTIFS(集計用!$G401,"*, "&amp;BA$3&amp;", *")</f>
        <v>0</v>
      </c>
      <c r="BB403" s="2">
        <f>COUNTIFS(集計用!$G401,"*, "&amp;BB$3&amp;", *")</f>
        <v>0</v>
      </c>
      <c r="BC403" s="2">
        <f>COUNTIFS(集計用!$G401,"*, "&amp;BC$3&amp;", *")</f>
        <v>0</v>
      </c>
      <c r="BD403" s="2">
        <f>COUNTIFS(集計用!$G401,"*, "&amp;BD$3&amp;", *")</f>
        <v>0</v>
      </c>
      <c r="BE403" s="2">
        <f>COUNTIFS(集計用!$G401,"*, "&amp;BE$3&amp;", *")</f>
        <v>0</v>
      </c>
      <c r="BF403" s="2">
        <f>COUNTIFS(集計用!$G401,"*, "&amp;BF$3&amp;", *")</f>
        <v>0</v>
      </c>
      <c r="BG403" s="2">
        <f>COUNTIFS(集計用!$G401,"*, "&amp;BG$3&amp;", *")</f>
        <v>0</v>
      </c>
      <c r="BH403" s="2">
        <f>COUNTIFS(集計用!$G401,"*, "&amp;BH$3&amp;", *")</f>
        <v>0</v>
      </c>
      <c r="BI403" s="2">
        <f>COUNTIFS(集計用!$G401,"*, "&amp;BI$3&amp;", *")</f>
        <v>0</v>
      </c>
      <c r="BJ403" s="2">
        <f>LEN(集計用!H401)-LEN(SUBSTITUTE(集計用!H401,",",""))</f>
        <v>0</v>
      </c>
    </row>
    <row r="404" spans="1:62" ht="12.75">
      <c r="A404" s="8">
        <v>401</v>
      </c>
      <c r="C404" s="2">
        <f t="shared" si="4"/>
        <v>3</v>
      </c>
      <c r="D404" s="9"/>
      <c r="E404" s="2">
        <f>COUNTIFS(集計用!$G402,"*, "&amp;E$3&amp;", *")</f>
        <v>1</v>
      </c>
      <c r="F404" s="2">
        <f>COUNTIFS(集計用!$G402,"*, "&amp;F$3&amp;", *")</f>
        <v>0</v>
      </c>
      <c r="G404" s="2">
        <f>COUNTIFS(集計用!$G402,"*, "&amp;G$3&amp;", *")</f>
        <v>0</v>
      </c>
      <c r="H404" s="2">
        <f>COUNTIFS(集計用!$G402,"*, "&amp;H$3&amp;", *")</f>
        <v>0</v>
      </c>
      <c r="I404" s="2">
        <f>COUNTIFS(集計用!$G402,"*, "&amp;I$3&amp;", *")</f>
        <v>1</v>
      </c>
      <c r="J404" s="2">
        <f>COUNTIFS(集計用!$G402,"*, "&amp;J$3&amp;", *")</f>
        <v>0</v>
      </c>
      <c r="K404" s="2">
        <f>COUNTIFS(集計用!$G402,"*, "&amp;K$3&amp;", *")</f>
        <v>0</v>
      </c>
      <c r="L404" s="2">
        <f>COUNTIFS(集計用!$G402,"*, "&amp;L$3&amp;", *")</f>
        <v>1</v>
      </c>
      <c r="M404" s="2">
        <f>COUNTIFS(集計用!$G402,"*, "&amp;M$3&amp;", *")</f>
        <v>0</v>
      </c>
      <c r="N404" s="2">
        <f>COUNTIFS(集計用!$G402,"*, "&amp;N$3&amp;", *")</f>
        <v>0</v>
      </c>
      <c r="O404" s="2">
        <f>COUNTIFS(集計用!$G402,"*, "&amp;O$3&amp;", *")</f>
        <v>0</v>
      </c>
      <c r="P404" s="2">
        <f>COUNTIFS(集計用!$G402,"*, "&amp;P$3&amp;", *")</f>
        <v>0</v>
      </c>
      <c r="Q404" s="2">
        <f>COUNTIFS(集計用!$G402,"*, "&amp;Q$3&amp;", *")</f>
        <v>0</v>
      </c>
      <c r="R404" s="2">
        <f>COUNTIFS(集計用!$G402,"*, "&amp;R$3&amp;", *")</f>
        <v>0</v>
      </c>
      <c r="S404" s="2">
        <f>COUNTIFS(集計用!$G402,"*, "&amp;S$3&amp;", *")</f>
        <v>0</v>
      </c>
      <c r="T404" s="2">
        <f>COUNTIFS(集計用!$G402,"*, "&amp;T$3&amp;", *")</f>
        <v>0</v>
      </c>
      <c r="U404" s="2">
        <f>COUNTIFS(集計用!$G402,"*, "&amp;U$3&amp;", *")</f>
        <v>0</v>
      </c>
      <c r="V404" s="2">
        <f>COUNTIFS(集計用!$G402,"*, "&amp;V$3&amp;", *")</f>
        <v>0</v>
      </c>
      <c r="W404" s="2">
        <f>COUNTIFS(集計用!$G402,"*, "&amp;W$3&amp;", *")</f>
        <v>0</v>
      </c>
      <c r="X404" s="2">
        <f>COUNTIFS(集計用!$G402,"*, "&amp;X$3&amp;", *")</f>
        <v>0</v>
      </c>
      <c r="Y404" s="2">
        <f>COUNTIFS(集計用!$G402,"*, "&amp;Y$3&amp;", *")</f>
        <v>0</v>
      </c>
      <c r="Z404" s="2">
        <f>COUNTIFS(集計用!$G402,"*, "&amp;Z$3&amp;", *")</f>
        <v>0</v>
      </c>
      <c r="AA404" s="2">
        <f>COUNTIFS(集計用!$G402,"*, "&amp;AA$3&amp;", *")</f>
        <v>0</v>
      </c>
      <c r="AB404" s="2">
        <f>COUNTIFS(集計用!$G402,"*, "&amp;AB$3&amp;", *")</f>
        <v>0</v>
      </c>
      <c r="AC404" s="2">
        <f>COUNTIFS(集計用!$G402,"*, "&amp;AC$3&amp;", *")</f>
        <v>0</v>
      </c>
      <c r="AD404" s="2">
        <f>COUNTIFS(集計用!$G402,"*, "&amp;AD$3&amp;", *")</f>
        <v>0</v>
      </c>
      <c r="AE404" s="2">
        <f>COUNTIFS(集計用!$G402,"*, "&amp;AE$3&amp;", *")</f>
        <v>0</v>
      </c>
      <c r="AF404" s="2">
        <f>COUNTIFS(集計用!$G402,"*, "&amp;AF$3&amp;", *")</f>
        <v>0</v>
      </c>
      <c r="AG404" s="2">
        <f>COUNTIFS(集計用!$G402,"*, "&amp;AG$3&amp;", *")</f>
        <v>0</v>
      </c>
      <c r="AH404" s="2">
        <f>COUNTIFS(集計用!$G402,"*, "&amp;AH$3&amp;", *")</f>
        <v>0</v>
      </c>
      <c r="AI404" s="2">
        <f>COUNTIFS(集計用!$G402,"*, "&amp;AI$3&amp;", *")</f>
        <v>0</v>
      </c>
      <c r="AJ404" s="2">
        <f>COUNTIFS(集計用!$G402,"*, "&amp;AJ$3&amp;", *")</f>
        <v>0</v>
      </c>
      <c r="AK404" s="2">
        <f>COUNTIFS(集計用!$G402,"*, "&amp;AK$3&amp;", *")</f>
        <v>0</v>
      </c>
      <c r="AL404" s="2">
        <f>COUNTIFS(集計用!$G402,"*, "&amp;AL$3&amp;", *")</f>
        <v>0</v>
      </c>
      <c r="AM404" s="2">
        <f>COUNTIFS(集計用!$G402,"*, "&amp;AM$3&amp;", *")</f>
        <v>0</v>
      </c>
      <c r="AN404" s="2">
        <f>COUNTIFS(集計用!$G402,"*, "&amp;AN$3&amp;", *")</f>
        <v>0</v>
      </c>
      <c r="AO404" s="2">
        <f>COUNTIFS(集計用!$G402,"*, "&amp;AO$3&amp;", *")</f>
        <v>0</v>
      </c>
      <c r="AP404" s="2">
        <f>COUNTIFS(集計用!$G402,"*, "&amp;AP$3&amp;", *")</f>
        <v>0</v>
      </c>
      <c r="AQ404" s="2">
        <f>COUNTIFS(集計用!$G402,"*, "&amp;AQ$3&amp;", *")</f>
        <v>0</v>
      </c>
      <c r="AR404" s="2">
        <f>COUNTIFS(集計用!$G402,"*, "&amp;AR$3&amp;", *")</f>
        <v>0</v>
      </c>
      <c r="AS404" s="2">
        <f>COUNTIFS(集計用!$G402,"*, "&amp;AS$3&amp;", *")</f>
        <v>0</v>
      </c>
      <c r="AT404" s="2">
        <f>COUNTIFS(集計用!$G402,"*, "&amp;AT$3&amp;", *")</f>
        <v>0</v>
      </c>
      <c r="AU404" s="2">
        <f>COUNTIFS(集計用!$G402,"*, "&amp;AU$3&amp;", *")</f>
        <v>0</v>
      </c>
      <c r="AV404" s="2">
        <f>COUNTIFS(集計用!$G402,"*, "&amp;AV$3&amp;", *")</f>
        <v>0</v>
      </c>
      <c r="AW404" s="2">
        <f>COUNTIFS(集計用!$G402,"*, "&amp;AW$3&amp;", *")</f>
        <v>0</v>
      </c>
      <c r="AX404" s="2">
        <f>COUNTIFS(集計用!$G402,"*, "&amp;AX$3&amp;", *")</f>
        <v>0</v>
      </c>
      <c r="AY404" s="2">
        <f>COUNTIFS(集計用!$G402,"*, "&amp;AY$3&amp;", *")</f>
        <v>0</v>
      </c>
      <c r="AZ404" s="2">
        <f>COUNTIFS(集計用!$G402,"*, "&amp;AZ$3&amp;", *")</f>
        <v>0</v>
      </c>
      <c r="BA404" s="2">
        <f>COUNTIFS(集計用!$G402,"*, "&amp;BA$3&amp;", *")</f>
        <v>0</v>
      </c>
      <c r="BB404" s="2">
        <f>COUNTIFS(集計用!$G402,"*, "&amp;BB$3&amp;", *")</f>
        <v>0</v>
      </c>
      <c r="BC404" s="2">
        <f>COUNTIFS(集計用!$G402,"*, "&amp;BC$3&amp;", *")</f>
        <v>0</v>
      </c>
      <c r="BD404" s="2">
        <f>COUNTIFS(集計用!$G402,"*, "&amp;BD$3&amp;", *")</f>
        <v>0</v>
      </c>
      <c r="BE404" s="2">
        <f>COUNTIFS(集計用!$G402,"*, "&amp;BE$3&amp;", *")</f>
        <v>0</v>
      </c>
      <c r="BF404" s="2">
        <f>COUNTIFS(集計用!$G402,"*, "&amp;BF$3&amp;", *")</f>
        <v>0</v>
      </c>
      <c r="BG404" s="2">
        <f>COUNTIFS(集計用!$G402,"*, "&amp;BG$3&amp;", *")</f>
        <v>0</v>
      </c>
      <c r="BH404" s="2">
        <f>COUNTIFS(集計用!$G402,"*, "&amp;BH$3&amp;", *")</f>
        <v>0</v>
      </c>
      <c r="BI404" s="2">
        <f>COUNTIFS(集計用!$G402,"*, "&amp;BI$3&amp;", *")</f>
        <v>0</v>
      </c>
      <c r="BJ404" s="2">
        <f>LEN(集計用!H402)-LEN(SUBSTITUTE(集計用!H402,",",""))</f>
        <v>0</v>
      </c>
    </row>
    <row r="405" spans="1:62" ht="12.75">
      <c r="A405" s="8">
        <v>402</v>
      </c>
      <c r="C405" s="2">
        <f t="shared" si="4"/>
        <v>1</v>
      </c>
      <c r="D405" s="9"/>
      <c r="E405" s="2">
        <f>COUNTIFS(集計用!$G403,"*, "&amp;E$3&amp;", *")</f>
        <v>1</v>
      </c>
      <c r="F405" s="2">
        <f>COUNTIFS(集計用!$G403,"*, "&amp;F$3&amp;", *")</f>
        <v>0</v>
      </c>
      <c r="G405" s="2">
        <f>COUNTIFS(集計用!$G403,"*, "&amp;G$3&amp;", *")</f>
        <v>0</v>
      </c>
      <c r="H405" s="2">
        <f>COUNTIFS(集計用!$G403,"*, "&amp;H$3&amp;", *")</f>
        <v>0</v>
      </c>
      <c r="I405" s="2">
        <f>COUNTIFS(集計用!$G403,"*, "&amp;I$3&amp;", *")</f>
        <v>0</v>
      </c>
      <c r="J405" s="2">
        <f>COUNTIFS(集計用!$G403,"*, "&amp;J$3&amp;", *")</f>
        <v>0</v>
      </c>
      <c r="K405" s="2">
        <f>COUNTIFS(集計用!$G403,"*, "&amp;K$3&amp;", *")</f>
        <v>0</v>
      </c>
      <c r="L405" s="2">
        <f>COUNTIFS(集計用!$G403,"*, "&amp;L$3&amp;", *")</f>
        <v>0</v>
      </c>
      <c r="M405" s="2">
        <f>COUNTIFS(集計用!$G403,"*, "&amp;M$3&amp;", *")</f>
        <v>0</v>
      </c>
      <c r="N405" s="2">
        <f>COUNTIFS(集計用!$G403,"*, "&amp;N$3&amp;", *")</f>
        <v>0</v>
      </c>
      <c r="O405" s="2">
        <f>COUNTIFS(集計用!$G403,"*, "&amp;O$3&amp;", *")</f>
        <v>0</v>
      </c>
      <c r="P405" s="2">
        <f>COUNTIFS(集計用!$G403,"*, "&amp;P$3&amp;", *")</f>
        <v>0</v>
      </c>
      <c r="Q405" s="2">
        <f>COUNTIFS(集計用!$G403,"*, "&amp;Q$3&amp;", *")</f>
        <v>0</v>
      </c>
      <c r="R405" s="2">
        <f>COUNTIFS(集計用!$G403,"*, "&amp;R$3&amp;", *")</f>
        <v>0</v>
      </c>
      <c r="S405" s="2">
        <f>COUNTIFS(集計用!$G403,"*, "&amp;S$3&amp;", *")</f>
        <v>0</v>
      </c>
      <c r="T405" s="2">
        <f>COUNTIFS(集計用!$G403,"*, "&amp;T$3&amp;", *")</f>
        <v>0</v>
      </c>
      <c r="U405" s="2">
        <f>COUNTIFS(集計用!$G403,"*, "&amp;U$3&amp;", *")</f>
        <v>0</v>
      </c>
      <c r="V405" s="2">
        <f>COUNTIFS(集計用!$G403,"*, "&amp;V$3&amp;", *")</f>
        <v>0</v>
      </c>
      <c r="W405" s="2">
        <f>COUNTIFS(集計用!$G403,"*, "&amp;W$3&amp;", *")</f>
        <v>0</v>
      </c>
      <c r="X405" s="2">
        <f>COUNTIFS(集計用!$G403,"*, "&amp;X$3&amp;", *")</f>
        <v>0</v>
      </c>
      <c r="Y405" s="2">
        <f>COUNTIFS(集計用!$G403,"*, "&amp;Y$3&amp;", *")</f>
        <v>0</v>
      </c>
      <c r="Z405" s="2">
        <f>COUNTIFS(集計用!$G403,"*, "&amp;Z$3&amp;", *")</f>
        <v>0</v>
      </c>
      <c r="AA405" s="2">
        <f>COUNTIFS(集計用!$G403,"*, "&amp;AA$3&amp;", *")</f>
        <v>0</v>
      </c>
      <c r="AB405" s="2">
        <f>COUNTIFS(集計用!$G403,"*, "&amp;AB$3&amp;", *")</f>
        <v>0</v>
      </c>
      <c r="AC405" s="2">
        <f>COUNTIFS(集計用!$G403,"*, "&amp;AC$3&amp;", *")</f>
        <v>0</v>
      </c>
      <c r="AD405" s="2">
        <f>COUNTIFS(集計用!$G403,"*, "&amp;AD$3&amp;", *")</f>
        <v>0</v>
      </c>
      <c r="AE405" s="2">
        <f>COUNTIFS(集計用!$G403,"*, "&amp;AE$3&amp;", *")</f>
        <v>0</v>
      </c>
      <c r="AF405" s="2">
        <f>COUNTIFS(集計用!$G403,"*, "&amp;AF$3&amp;", *")</f>
        <v>0</v>
      </c>
      <c r="AG405" s="2">
        <f>COUNTIFS(集計用!$G403,"*, "&amp;AG$3&amp;", *")</f>
        <v>0</v>
      </c>
      <c r="AH405" s="2">
        <f>COUNTIFS(集計用!$G403,"*, "&amp;AH$3&amp;", *")</f>
        <v>0</v>
      </c>
      <c r="AI405" s="2">
        <f>COUNTIFS(集計用!$G403,"*, "&amp;AI$3&amp;", *")</f>
        <v>0</v>
      </c>
      <c r="AJ405" s="2">
        <f>COUNTIFS(集計用!$G403,"*, "&amp;AJ$3&amp;", *")</f>
        <v>0</v>
      </c>
      <c r="AK405" s="2">
        <f>COUNTIFS(集計用!$G403,"*, "&amp;AK$3&amp;", *")</f>
        <v>0</v>
      </c>
      <c r="AL405" s="2">
        <f>COUNTIFS(集計用!$G403,"*, "&amp;AL$3&amp;", *")</f>
        <v>0</v>
      </c>
      <c r="AM405" s="2">
        <f>COUNTIFS(集計用!$G403,"*, "&amp;AM$3&amp;", *")</f>
        <v>0</v>
      </c>
      <c r="AN405" s="2">
        <f>COUNTIFS(集計用!$G403,"*, "&amp;AN$3&amp;", *")</f>
        <v>0</v>
      </c>
      <c r="AO405" s="2">
        <f>COUNTIFS(集計用!$G403,"*, "&amp;AO$3&amp;", *")</f>
        <v>0</v>
      </c>
      <c r="AP405" s="2">
        <f>COUNTIFS(集計用!$G403,"*, "&amp;AP$3&amp;", *")</f>
        <v>0</v>
      </c>
      <c r="AQ405" s="2">
        <f>COUNTIFS(集計用!$G403,"*, "&amp;AQ$3&amp;", *")</f>
        <v>0</v>
      </c>
      <c r="AR405" s="2">
        <f>COUNTIFS(集計用!$G403,"*, "&amp;AR$3&amp;", *")</f>
        <v>0</v>
      </c>
      <c r="AS405" s="2">
        <f>COUNTIFS(集計用!$G403,"*, "&amp;AS$3&amp;", *")</f>
        <v>0</v>
      </c>
      <c r="AT405" s="2">
        <f>COUNTIFS(集計用!$G403,"*, "&amp;AT$3&amp;", *")</f>
        <v>0</v>
      </c>
      <c r="AU405" s="2">
        <f>COUNTIFS(集計用!$G403,"*, "&amp;AU$3&amp;", *")</f>
        <v>0</v>
      </c>
      <c r="AV405" s="2">
        <f>COUNTIFS(集計用!$G403,"*, "&amp;AV$3&amp;", *")</f>
        <v>0</v>
      </c>
      <c r="AW405" s="2">
        <f>COUNTIFS(集計用!$G403,"*, "&amp;AW$3&amp;", *")</f>
        <v>0</v>
      </c>
      <c r="AX405" s="2">
        <f>COUNTIFS(集計用!$G403,"*, "&amp;AX$3&amp;", *")</f>
        <v>0</v>
      </c>
      <c r="AY405" s="2">
        <f>COUNTIFS(集計用!$G403,"*, "&amp;AY$3&amp;", *")</f>
        <v>0</v>
      </c>
      <c r="AZ405" s="2">
        <f>COUNTIFS(集計用!$G403,"*, "&amp;AZ$3&amp;", *")</f>
        <v>0</v>
      </c>
      <c r="BA405" s="2">
        <f>COUNTIFS(集計用!$G403,"*, "&amp;BA$3&amp;", *")</f>
        <v>0</v>
      </c>
      <c r="BB405" s="2">
        <f>COUNTIFS(集計用!$G403,"*, "&amp;BB$3&amp;", *")</f>
        <v>0</v>
      </c>
      <c r="BC405" s="2">
        <f>COUNTIFS(集計用!$G403,"*, "&amp;BC$3&amp;", *")</f>
        <v>0</v>
      </c>
      <c r="BD405" s="2">
        <f>COUNTIFS(集計用!$G403,"*, "&amp;BD$3&amp;", *")</f>
        <v>0</v>
      </c>
      <c r="BE405" s="2">
        <f>COUNTIFS(集計用!$G403,"*, "&amp;BE$3&amp;", *")</f>
        <v>0</v>
      </c>
      <c r="BF405" s="2">
        <f>COUNTIFS(集計用!$G403,"*, "&amp;BF$3&amp;", *")</f>
        <v>0</v>
      </c>
      <c r="BG405" s="2">
        <f>COUNTIFS(集計用!$G403,"*, "&amp;BG$3&amp;", *")</f>
        <v>0</v>
      </c>
      <c r="BH405" s="2">
        <f>COUNTIFS(集計用!$G403,"*, "&amp;BH$3&amp;", *")</f>
        <v>0</v>
      </c>
      <c r="BI405" s="2">
        <f>COUNTIFS(集計用!$G403,"*, "&amp;BI$3&amp;", *")</f>
        <v>0</v>
      </c>
      <c r="BJ405" s="2">
        <f>LEN(集計用!H403)-LEN(SUBSTITUTE(集計用!H403,",",""))</f>
        <v>0</v>
      </c>
    </row>
    <row r="406" spans="1:62" ht="12.75">
      <c r="A406" s="8">
        <v>403</v>
      </c>
      <c r="C406" s="2">
        <f t="shared" si="4"/>
        <v>6</v>
      </c>
      <c r="D406" s="9"/>
      <c r="E406" s="2">
        <f>COUNTIFS(集計用!$G404,"*, "&amp;E$3&amp;", *")</f>
        <v>1</v>
      </c>
      <c r="F406" s="2">
        <f>COUNTIFS(集計用!$G404,"*, "&amp;F$3&amp;", *")</f>
        <v>0</v>
      </c>
      <c r="G406" s="2">
        <f>COUNTIFS(集計用!$G404,"*, "&amp;G$3&amp;", *")</f>
        <v>1</v>
      </c>
      <c r="H406" s="2">
        <f>COUNTIFS(集計用!$G404,"*, "&amp;H$3&amp;", *")</f>
        <v>0</v>
      </c>
      <c r="I406" s="2">
        <f>COUNTIFS(集計用!$G404,"*, "&amp;I$3&amp;", *")</f>
        <v>0</v>
      </c>
      <c r="J406" s="2">
        <f>COUNTIFS(集計用!$G404,"*, "&amp;J$3&amp;", *")</f>
        <v>1</v>
      </c>
      <c r="K406" s="2">
        <f>COUNTIFS(集計用!$G404,"*, "&amp;K$3&amp;", *")</f>
        <v>1</v>
      </c>
      <c r="L406" s="2">
        <f>COUNTIFS(集計用!$G404,"*, "&amp;L$3&amp;", *")</f>
        <v>0</v>
      </c>
      <c r="M406" s="2">
        <f>COUNTIFS(集計用!$G404,"*, "&amp;M$3&amp;", *")</f>
        <v>0</v>
      </c>
      <c r="N406" s="2">
        <f>COUNTIFS(集計用!$G404,"*, "&amp;N$3&amp;", *")</f>
        <v>1</v>
      </c>
      <c r="O406" s="2">
        <f>COUNTIFS(集計用!$G404,"*, "&amp;O$3&amp;", *")</f>
        <v>0</v>
      </c>
      <c r="P406" s="2">
        <f>COUNTIFS(集計用!$G404,"*, "&amp;P$3&amp;", *")</f>
        <v>0</v>
      </c>
      <c r="Q406" s="2">
        <f>COUNTIFS(集計用!$G404,"*, "&amp;Q$3&amp;", *")</f>
        <v>0</v>
      </c>
      <c r="R406" s="2">
        <f>COUNTIFS(集計用!$G404,"*, "&amp;R$3&amp;", *")</f>
        <v>0</v>
      </c>
      <c r="S406" s="2">
        <f>COUNTIFS(集計用!$G404,"*, "&amp;S$3&amp;", *")</f>
        <v>0</v>
      </c>
      <c r="T406" s="2">
        <f>COUNTIFS(集計用!$G404,"*, "&amp;T$3&amp;", *")</f>
        <v>0</v>
      </c>
      <c r="U406" s="2">
        <f>COUNTIFS(集計用!$G404,"*, "&amp;U$3&amp;", *")</f>
        <v>1</v>
      </c>
      <c r="V406" s="2">
        <f>COUNTIFS(集計用!$G404,"*, "&amp;V$3&amp;", *")</f>
        <v>0</v>
      </c>
      <c r="W406" s="2">
        <f>COUNTIFS(集計用!$G404,"*, "&amp;W$3&amp;", *")</f>
        <v>0</v>
      </c>
      <c r="X406" s="2">
        <f>COUNTIFS(集計用!$G404,"*, "&amp;X$3&amp;", *")</f>
        <v>0</v>
      </c>
      <c r="Y406" s="2">
        <f>COUNTIFS(集計用!$G404,"*, "&amp;Y$3&amp;", *")</f>
        <v>0</v>
      </c>
      <c r="Z406" s="2">
        <f>COUNTIFS(集計用!$G404,"*, "&amp;Z$3&amp;", *")</f>
        <v>0</v>
      </c>
      <c r="AA406" s="2">
        <f>COUNTIFS(集計用!$G404,"*, "&amp;AA$3&amp;", *")</f>
        <v>0</v>
      </c>
      <c r="AB406" s="2">
        <f>COUNTIFS(集計用!$G404,"*, "&amp;AB$3&amp;", *")</f>
        <v>0</v>
      </c>
      <c r="AC406" s="2">
        <f>COUNTIFS(集計用!$G404,"*, "&amp;AC$3&amp;", *")</f>
        <v>0</v>
      </c>
      <c r="AD406" s="2">
        <f>COUNTIFS(集計用!$G404,"*, "&amp;AD$3&amp;", *")</f>
        <v>0</v>
      </c>
      <c r="AE406" s="2">
        <f>COUNTIFS(集計用!$G404,"*, "&amp;AE$3&amp;", *")</f>
        <v>0</v>
      </c>
      <c r="AF406" s="2">
        <f>COUNTIFS(集計用!$G404,"*, "&amp;AF$3&amp;", *")</f>
        <v>0</v>
      </c>
      <c r="AG406" s="2">
        <f>COUNTIFS(集計用!$G404,"*, "&amp;AG$3&amp;", *")</f>
        <v>0</v>
      </c>
      <c r="AH406" s="2">
        <f>COUNTIFS(集計用!$G404,"*, "&amp;AH$3&amp;", *")</f>
        <v>0</v>
      </c>
      <c r="AI406" s="2">
        <f>COUNTIFS(集計用!$G404,"*, "&amp;AI$3&amp;", *")</f>
        <v>0</v>
      </c>
      <c r="AJ406" s="2">
        <f>COUNTIFS(集計用!$G404,"*, "&amp;AJ$3&amp;", *")</f>
        <v>0</v>
      </c>
      <c r="AK406" s="2">
        <f>COUNTIFS(集計用!$G404,"*, "&amp;AK$3&amp;", *")</f>
        <v>0</v>
      </c>
      <c r="AL406" s="2">
        <f>COUNTIFS(集計用!$G404,"*, "&amp;AL$3&amp;", *")</f>
        <v>0</v>
      </c>
      <c r="AM406" s="2">
        <f>COUNTIFS(集計用!$G404,"*, "&amp;AM$3&amp;", *")</f>
        <v>0</v>
      </c>
      <c r="AN406" s="2">
        <f>COUNTIFS(集計用!$G404,"*, "&amp;AN$3&amp;", *")</f>
        <v>0</v>
      </c>
      <c r="AO406" s="2">
        <f>COUNTIFS(集計用!$G404,"*, "&amp;AO$3&amp;", *")</f>
        <v>0</v>
      </c>
      <c r="AP406" s="2">
        <f>COUNTIFS(集計用!$G404,"*, "&amp;AP$3&amp;", *")</f>
        <v>0</v>
      </c>
      <c r="AQ406" s="2">
        <f>COUNTIFS(集計用!$G404,"*, "&amp;AQ$3&amp;", *")</f>
        <v>0</v>
      </c>
      <c r="AR406" s="2">
        <f>COUNTIFS(集計用!$G404,"*, "&amp;AR$3&amp;", *")</f>
        <v>0</v>
      </c>
      <c r="AS406" s="2">
        <f>COUNTIFS(集計用!$G404,"*, "&amp;AS$3&amp;", *")</f>
        <v>0</v>
      </c>
      <c r="AT406" s="2">
        <f>COUNTIFS(集計用!$G404,"*, "&amp;AT$3&amp;", *")</f>
        <v>0</v>
      </c>
      <c r="AU406" s="2">
        <f>COUNTIFS(集計用!$G404,"*, "&amp;AU$3&amp;", *")</f>
        <v>0</v>
      </c>
      <c r="AV406" s="2">
        <f>COUNTIFS(集計用!$G404,"*, "&amp;AV$3&amp;", *")</f>
        <v>0</v>
      </c>
      <c r="AW406" s="2">
        <f>COUNTIFS(集計用!$G404,"*, "&amp;AW$3&amp;", *")</f>
        <v>0</v>
      </c>
      <c r="AX406" s="2">
        <f>COUNTIFS(集計用!$G404,"*, "&amp;AX$3&amp;", *")</f>
        <v>0</v>
      </c>
      <c r="AY406" s="2">
        <f>COUNTIFS(集計用!$G404,"*, "&amp;AY$3&amp;", *")</f>
        <v>0</v>
      </c>
      <c r="AZ406" s="2">
        <f>COUNTIFS(集計用!$G404,"*, "&amp;AZ$3&amp;", *")</f>
        <v>0</v>
      </c>
      <c r="BA406" s="2">
        <f>COUNTIFS(集計用!$G404,"*, "&amp;BA$3&amp;", *")</f>
        <v>0</v>
      </c>
      <c r="BB406" s="2">
        <f>COUNTIFS(集計用!$G404,"*, "&amp;BB$3&amp;", *")</f>
        <v>0</v>
      </c>
      <c r="BC406" s="2">
        <f>COUNTIFS(集計用!$G404,"*, "&amp;BC$3&amp;", *")</f>
        <v>0</v>
      </c>
      <c r="BD406" s="2">
        <f>COUNTIFS(集計用!$G404,"*, "&amp;BD$3&amp;", *")</f>
        <v>0</v>
      </c>
      <c r="BE406" s="2">
        <f>COUNTIFS(集計用!$G404,"*, "&amp;BE$3&amp;", *")</f>
        <v>0</v>
      </c>
      <c r="BF406" s="2">
        <f>COUNTIFS(集計用!$G404,"*, "&amp;BF$3&amp;", *")</f>
        <v>0</v>
      </c>
      <c r="BG406" s="2">
        <f>COUNTIFS(集計用!$G404,"*, "&amp;BG$3&amp;", *")</f>
        <v>0</v>
      </c>
      <c r="BH406" s="2">
        <f>COUNTIFS(集計用!$G404,"*, "&amp;BH$3&amp;", *")</f>
        <v>0</v>
      </c>
      <c r="BI406" s="2">
        <f>COUNTIFS(集計用!$G404,"*, "&amp;BI$3&amp;", *")</f>
        <v>0</v>
      </c>
      <c r="BJ406" s="2">
        <f>LEN(集計用!H404)-LEN(SUBSTITUTE(集計用!H404,",",""))</f>
        <v>0</v>
      </c>
    </row>
    <row r="407" spans="1:62" ht="12.75">
      <c r="A407" s="8">
        <v>404</v>
      </c>
      <c r="C407" s="2">
        <f t="shared" si="4"/>
        <v>7</v>
      </c>
      <c r="D407" s="9"/>
      <c r="E407" s="2">
        <f>COUNTIFS(集計用!$G405,"*, "&amp;E$3&amp;", *")</f>
        <v>1</v>
      </c>
      <c r="F407" s="2">
        <f>COUNTIFS(集計用!$G405,"*, "&amp;F$3&amp;", *")</f>
        <v>0</v>
      </c>
      <c r="G407" s="2">
        <f>COUNTIFS(集計用!$G405,"*, "&amp;G$3&amp;", *")</f>
        <v>1</v>
      </c>
      <c r="H407" s="2">
        <f>COUNTIFS(集計用!$G405,"*, "&amp;H$3&amp;", *")</f>
        <v>0</v>
      </c>
      <c r="I407" s="2">
        <f>COUNTIFS(集計用!$G405,"*, "&amp;I$3&amp;", *")</f>
        <v>1</v>
      </c>
      <c r="J407" s="2">
        <f>COUNTIFS(集計用!$G405,"*, "&amp;J$3&amp;", *")</f>
        <v>1</v>
      </c>
      <c r="K407" s="2">
        <f>COUNTIFS(集計用!$G405,"*, "&amp;K$3&amp;", *")</f>
        <v>0</v>
      </c>
      <c r="L407" s="2">
        <f>COUNTIFS(集計用!$G405,"*, "&amp;L$3&amp;", *")</f>
        <v>0</v>
      </c>
      <c r="M407" s="2">
        <f>COUNTIFS(集計用!$G405,"*, "&amp;M$3&amp;", *")</f>
        <v>0</v>
      </c>
      <c r="N407" s="2">
        <f>COUNTIFS(集計用!$G405,"*, "&amp;N$3&amp;", *")</f>
        <v>0</v>
      </c>
      <c r="O407" s="2">
        <f>COUNTIFS(集計用!$G405,"*, "&amp;O$3&amp;", *")</f>
        <v>1</v>
      </c>
      <c r="P407" s="2">
        <f>COUNTIFS(集計用!$G405,"*, "&amp;P$3&amp;", *")</f>
        <v>1</v>
      </c>
      <c r="Q407" s="2">
        <f>COUNTIFS(集計用!$G405,"*, "&amp;Q$3&amp;", *")</f>
        <v>0</v>
      </c>
      <c r="R407" s="2">
        <f>COUNTIFS(集計用!$G405,"*, "&amp;R$3&amp;", *")</f>
        <v>0</v>
      </c>
      <c r="S407" s="2">
        <f>COUNTIFS(集計用!$G405,"*, "&amp;S$3&amp;", *")</f>
        <v>0</v>
      </c>
      <c r="T407" s="2">
        <f>COUNTIFS(集計用!$G405,"*, "&amp;T$3&amp;", *")</f>
        <v>0</v>
      </c>
      <c r="U407" s="2">
        <f>COUNTIFS(集計用!$G405,"*, "&amp;U$3&amp;", *")</f>
        <v>0</v>
      </c>
      <c r="V407" s="2">
        <f>COUNTIFS(集計用!$G405,"*, "&amp;V$3&amp;", *")</f>
        <v>0</v>
      </c>
      <c r="W407" s="2">
        <f>COUNTIFS(集計用!$G405,"*, "&amp;W$3&amp;", *")</f>
        <v>0</v>
      </c>
      <c r="X407" s="2">
        <f>COUNTIFS(集計用!$G405,"*, "&amp;X$3&amp;", *")</f>
        <v>0</v>
      </c>
      <c r="Y407" s="2">
        <f>COUNTIFS(集計用!$G405,"*, "&amp;Y$3&amp;", *")</f>
        <v>0</v>
      </c>
      <c r="Z407" s="2">
        <f>COUNTIFS(集計用!$G405,"*, "&amp;Z$3&amp;", *")</f>
        <v>0</v>
      </c>
      <c r="AA407" s="2">
        <f>COUNTIFS(集計用!$G405,"*, "&amp;AA$3&amp;", *")</f>
        <v>0</v>
      </c>
      <c r="AB407" s="2">
        <f>COUNTIFS(集計用!$G405,"*, "&amp;AB$3&amp;", *")</f>
        <v>1</v>
      </c>
      <c r="AC407" s="2">
        <f>COUNTIFS(集計用!$G405,"*, "&amp;AC$3&amp;", *")</f>
        <v>0</v>
      </c>
      <c r="AD407" s="2">
        <f>COUNTIFS(集計用!$G405,"*, "&amp;AD$3&amp;", *")</f>
        <v>0</v>
      </c>
      <c r="AE407" s="2">
        <f>COUNTIFS(集計用!$G405,"*, "&amp;AE$3&amp;", *")</f>
        <v>0</v>
      </c>
      <c r="AF407" s="2">
        <f>COUNTIFS(集計用!$G405,"*, "&amp;AF$3&amp;", *")</f>
        <v>0</v>
      </c>
      <c r="AG407" s="2">
        <f>COUNTIFS(集計用!$G405,"*, "&amp;AG$3&amp;", *")</f>
        <v>0</v>
      </c>
      <c r="AH407" s="2">
        <f>COUNTIFS(集計用!$G405,"*, "&amp;AH$3&amp;", *")</f>
        <v>0</v>
      </c>
      <c r="AI407" s="2">
        <f>COUNTIFS(集計用!$G405,"*, "&amp;AI$3&amp;", *")</f>
        <v>0</v>
      </c>
      <c r="AJ407" s="2">
        <f>COUNTIFS(集計用!$G405,"*, "&amp;AJ$3&amp;", *")</f>
        <v>0</v>
      </c>
      <c r="AK407" s="2">
        <f>COUNTIFS(集計用!$G405,"*, "&amp;AK$3&amp;", *")</f>
        <v>0</v>
      </c>
      <c r="AL407" s="2">
        <f>COUNTIFS(集計用!$G405,"*, "&amp;AL$3&amp;", *")</f>
        <v>0</v>
      </c>
      <c r="AM407" s="2">
        <f>COUNTIFS(集計用!$G405,"*, "&amp;AM$3&amp;", *")</f>
        <v>0</v>
      </c>
      <c r="AN407" s="2">
        <f>COUNTIFS(集計用!$G405,"*, "&amp;AN$3&amp;", *")</f>
        <v>0</v>
      </c>
      <c r="AO407" s="2">
        <f>COUNTIFS(集計用!$G405,"*, "&amp;AO$3&amp;", *")</f>
        <v>0</v>
      </c>
      <c r="AP407" s="2">
        <f>COUNTIFS(集計用!$G405,"*, "&amp;AP$3&amp;", *")</f>
        <v>0</v>
      </c>
      <c r="AQ407" s="2">
        <f>COUNTIFS(集計用!$G405,"*, "&amp;AQ$3&amp;", *")</f>
        <v>0</v>
      </c>
      <c r="AR407" s="2">
        <f>COUNTIFS(集計用!$G405,"*, "&amp;AR$3&amp;", *")</f>
        <v>0</v>
      </c>
      <c r="AS407" s="2">
        <f>COUNTIFS(集計用!$G405,"*, "&amp;AS$3&amp;", *")</f>
        <v>0</v>
      </c>
      <c r="AT407" s="2">
        <f>COUNTIFS(集計用!$G405,"*, "&amp;AT$3&amp;", *")</f>
        <v>0</v>
      </c>
      <c r="AU407" s="2">
        <f>COUNTIFS(集計用!$G405,"*, "&amp;AU$3&amp;", *")</f>
        <v>0</v>
      </c>
      <c r="AV407" s="2">
        <f>COUNTIFS(集計用!$G405,"*, "&amp;AV$3&amp;", *")</f>
        <v>0</v>
      </c>
      <c r="AW407" s="2">
        <f>COUNTIFS(集計用!$G405,"*, "&amp;AW$3&amp;", *")</f>
        <v>0</v>
      </c>
      <c r="AX407" s="2">
        <f>COUNTIFS(集計用!$G405,"*, "&amp;AX$3&amp;", *")</f>
        <v>0</v>
      </c>
      <c r="AY407" s="2">
        <f>COUNTIFS(集計用!$G405,"*, "&amp;AY$3&amp;", *")</f>
        <v>0</v>
      </c>
      <c r="AZ407" s="2">
        <f>COUNTIFS(集計用!$G405,"*, "&amp;AZ$3&amp;", *")</f>
        <v>0</v>
      </c>
      <c r="BA407" s="2">
        <f>COUNTIFS(集計用!$G405,"*, "&amp;BA$3&amp;", *")</f>
        <v>0</v>
      </c>
      <c r="BB407" s="2">
        <f>COUNTIFS(集計用!$G405,"*, "&amp;BB$3&amp;", *")</f>
        <v>0</v>
      </c>
      <c r="BC407" s="2">
        <f>COUNTIFS(集計用!$G405,"*, "&amp;BC$3&amp;", *")</f>
        <v>0</v>
      </c>
      <c r="BD407" s="2">
        <f>COUNTIFS(集計用!$G405,"*, "&amp;BD$3&amp;", *")</f>
        <v>0</v>
      </c>
      <c r="BE407" s="2">
        <f>COUNTIFS(集計用!$G405,"*, "&amp;BE$3&amp;", *")</f>
        <v>0</v>
      </c>
      <c r="BF407" s="2">
        <f>COUNTIFS(集計用!$G405,"*, "&amp;BF$3&amp;", *")</f>
        <v>0</v>
      </c>
      <c r="BG407" s="2">
        <f>COUNTIFS(集計用!$G405,"*, "&amp;BG$3&amp;", *")</f>
        <v>0</v>
      </c>
      <c r="BH407" s="2">
        <f>COUNTIFS(集計用!$G405,"*, "&amp;BH$3&amp;", *")</f>
        <v>0</v>
      </c>
      <c r="BI407" s="2">
        <f>COUNTIFS(集計用!$G405,"*, "&amp;BI$3&amp;", *")</f>
        <v>0</v>
      </c>
      <c r="BJ407" s="2">
        <f>LEN(集計用!H405)-LEN(SUBSTITUTE(集計用!H405,",",""))</f>
        <v>0</v>
      </c>
    </row>
    <row r="408" spans="1:62" ht="12.75">
      <c r="A408" s="8">
        <v>405</v>
      </c>
      <c r="C408" s="2">
        <f t="shared" si="4"/>
        <v>2</v>
      </c>
      <c r="D408" s="9"/>
      <c r="E408" s="2">
        <f>COUNTIFS(集計用!$G406,"*, "&amp;E$3&amp;", *")</f>
        <v>0</v>
      </c>
      <c r="F408" s="2">
        <f>COUNTIFS(集計用!$G406,"*, "&amp;F$3&amp;", *")</f>
        <v>0</v>
      </c>
      <c r="G408" s="2">
        <f>COUNTIFS(集計用!$G406,"*, "&amp;G$3&amp;", *")</f>
        <v>0</v>
      </c>
      <c r="H408" s="2">
        <f>COUNTIFS(集計用!$G406,"*, "&amp;H$3&amp;", *")</f>
        <v>0</v>
      </c>
      <c r="I408" s="2">
        <f>COUNTIFS(集計用!$G406,"*, "&amp;I$3&amp;", *")</f>
        <v>0</v>
      </c>
      <c r="J408" s="2">
        <f>COUNTIFS(集計用!$G406,"*, "&amp;J$3&amp;", *")</f>
        <v>0</v>
      </c>
      <c r="K408" s="2">
        <f>COUNTIFS(集計用!$G406,"*, "&amp;K$3&amp;", *")</f>
        <v>0</v>
      </c>
      <c r="L408" s="2">
        <f>COUNTIFS(集計用!$G406,"*, "&amp;L$3&amp;", *")</f>
        <v>0</v>
      </c>
      <c r="M408" s="2">
        <f>COUNTIFS(集計用!$G406,"*, "&amp;M$3&amp;", *")</f>
        <v>1</v>
      </c>
      <c r="N408" s="2">
        <f>COUNTIFS(集計用!$G406,"*, "&amp;N$3&amp;", *")</f>
        <v>0</v>
      </c>
      <c r="O408" s="2">
        <f>COUNTIFS(集計用!$G406,"*, "&amp;O$3&amp;", *")</f>
        <v>0</v>
      </c>
      <c r="P408" s="2">
        <f>COUNTIFS(集計用!$G406,"*, "&amp;P$3&amp;", *")</f>
        <v>0</v>
      </c>
      <c r="Q408" s="2">
        <f>COUNTIFS(集計用!$G406,"*, "&amp;Q$3&amp;", *")</f>
        <v>0</v>
      </c>
      <c r="R408" s="2">
        <f>COUNTIFS(集計用!$G406,"*, "&amp;R$3&amp;", *")</f>
        <v>0</v>
      </c>
      <c r="S408" s="2">
        <f>COUNTIFS(集計用!$G406,"*, "&amp;S$3&amp;", *")</f>
        <v>0</v>
      </c>
      <c r="T408" s="2">
        <f>COUNTIFS(集計用!$G406,"*, "&amp;T$3&amp;", *")</f>
        <v>0</v>
      </c>
      <c r="U408" s="2">
        <f>COUNTIFS(集計用!$G406,"*, "&amp;U$3&amp;", *")</f>
        <v>0</v>
      </c>
      <c r="V408" s="2">
        <f>COUNTIFS(集計用!$G406,"*, "&amp;V$3&amp;", *")</f>
        <v>0</v>
      </c>
      <c r="W408" s="2">
        <f>COUNTIFS(集計用!$G406,"*, "&amp;W$3&amp;", *")</f>
        <v>0</v>
      </c>
      <c r="X408" s="2">
        <f>COUNTIFS(集計用!$G406,"*, "&amp;X$3&amp;", *")</f>
        <v>0</v>
      </c>
      <c r="Y408" s="2">
        <f>COUNTIFS(集計用!$G406,"*, "&amp;Y$3&amp;", *")</f>
        <v>0</v>
      </c>
      <c r="Z408" s="2">
        <f>COUNTIFS(集計用!$G406,"*, "&amp;Z$3&amp;", *")</f>
        <v>0</v>
      </c>
      <c r="AA408" s="2">
        <f>COUNTIFS(集計用!$G406,"*, "&amp;AA$3&amp;", *")</f>
        <v>0</v>
      </c>
      <c r="AB408" s="2">
        <f>COUNTIFS(集計用!$G406,"*, "&amp;AB$3&amp;", *")</f>
        <v>0</v>
      </c>
      <c r="AC408" s="2">
        <f>COUNTIFS(集計用!$G406,"*, "&amp;AC$3&amp;", *")</f>
        <v>0</v>
      </c>
      <c r="AD408" s="2">
        <f>COUNTIFS(集計用!$G406,"*, "&amp;AD$3&amp;", *")</f>
        <v>0</v>
      </c>
      <c r="AE408" s="2">
        <f>COUNTIFS(集計用!$G406,"*, "&amp;AE$3&amp;", *")</f>
        <v>0</v>
      </c>
      <c r="AF408" s="2">
        <f>COUNTIFS(集計用!$G406,"*, "&amp;AF$3&amp;", *")</f>
        <v>0</v>
      </c>
      <c r="AG408" s="2">
        <f>COUNTIFS(集計用!$G406,"*, "&amp;AG$3&amp;", *")</f>
        <v>0</v>
      </c>
      <c r="AH408" s="2">
        <f>COUNTIFS(集計用!$G406,"*, "&amp;AH$3&amp;", *")</f>
        <v>0</v>
      </c>
      <c r="AI408" s="2">
        <f>COUNTIFS(集計用!$G406,"*, "&amp;AI$3&amp;", *")</f>
        <v>0</v>
      </c>
      <c r="AJ408" s="2">
        <f>COUNTIFS(集計用!$G406,"*, "&amp;AJ$3&amp;", *")</f>
        <v>0</v>
      </c>
      <c r="AK408" s="2">
        <f>COUNTIFS(集計用!$G406,"*, "&amp;AK$3&amp;", *")</f>
        <v>0</v>
      </c>
      <c r="AL408" s="2">
        <f>COUNTIFS(集計用!$G406,"*, "&amp;AL$3&amp;", *")</f>
        <v>0</v>
      </c>
      <c r="AM408" s="2">
        <f>COUNTIFS(集計用!$G406,"*, "&amp;AM$3&amp;", *")</f>
        <v>0</v>
      </c>
      <c r="AN408" s="2">
        <f>COUNTIFS(集計用!$G406,"*, "&amp;AN$3&amp;", *")</f>
        <v>0</v>
      </c>
      <c r="AO408" s="2">
        <f>COUNTIFS(集計用!$G406,"*, "&amp;AO$3&amp;", *")</f>
        <v>0</v>
      </c>
      <c r="AP408" s="2">
        <f>COUNTIFS(集計用!$G406,"*, "&amp;AP$3&amp;", *")</f>
        <v>0</v>
      </c>
      <c r="AQ408" s="2">
        <f>COUNTIFS(集計用!$G406,"*, "&amp;AQ$3&amp;", *")</f>
        <v>0</v>
      </c>
      <c r="AR408" s="2">
        <f>COUNTIFS(集計用!$G406,"*, "&amp;AR$3&amp;", *")</f>
        <v>0</v>
      </c>
      <c r="AS408" s="2">
        <f>COUNTIFS(集計用!$G406,"*, "&amp;AS$3&amp;", *")</f>
        <v>0</v>
      </c>
      <c r="AT408" s="2">
        <f>COUNTIFS(集計用!$G406,"*, "&amp;AT$3&amp;", *")</f>
        <v>0</v>
      </c>
      <c r="AU408" s="2">
        <f>COUNTIFS(集計用!$G406,"*, "&amp;AU$3&amp;", *")</f>
        <v>0</v>
      </c>
      <c r="AV408" s="2">
        <f>COUNTIFS(集計用!$G406,"*, "&amp;AV$3&amp;", *")</f>
        <v>0</v>
      </c>
      <c r="AW408" s="2">
        <f>COUNTIFS(集計用!$G406,"*, "&amp;AW$3&amp;", *")</f>
        <v>0</v>
      </c>
      <c r="AX408" s="2">
        <f>COUNTIFS(集計用!$G406,"*, "&amp;AX$3&amp;", *")</f>
        <v>0</v>
      </c>
      <c r="AY408" s="2">
        <f>COUNTIFS(集計用!$G406,"*, "&amp;AY$3&amp;", *")</f>
        <v>0</v>
      </c>
      <c r="AZ408" s="2">
        <f>COUNTIFS(集計用!$G406,"*, "&amp;AZ$3&amp;", *")</f>
        <v>0</v>
      </c>
      <c r="BA408" s="2">
        <f>COUNTIFS(集計用!$G406,"*, "&amp;BA$3&amp;", *")</f>
        <v>0</v>
      </c>
      <c r="BB408" s="2">
        <f>COUNTIFS(集計用!$G406,"*, "&amp;BB$3&amp;", *")</f>
        <v>0</v>
      </c>
      <c r="BC408" s="2">
        <f>COUNTIFS(集計用!$G406,"*, "&amp;BC$3&amp;", *")</f>
        <v>0</v>
      </c>
      <c r="BD408" s="2">
        <f>COUNTIFS(集計用!$G406,"*, "&amp;BD$3&amp;", *")</f>
        <v>0</v>
      </c>
      <c r="BE408" s="2">
        <f>COUNTIFS(集計用!$G406,"*, "&amp;BE$3&amp;", *")</f>
        <v>0</v>
      </c>
      <c r="BF408" s="2">
        <f>COUNTIFS(集計用!$G406,"*, "&amp;BF$3&amp;", *")</f>
        <v>0</v>
      </c>
      <c r="BG408" s="2">
        <f>COUNTIFS(集計用!$G406,"*, "&amp;BG$3&amp;", *")</f>
        <v>0</v>
      </c>
      <c r="BH408" s="2">
        <f>COUNTIFS(集計用!$G406,"*, "&amp;BH$3&amp;", *")</f>
        <v>0</v>
      </c>
      <c r="BI408" s="2">
        <f>COUNTIFS(集計用!$G406,"*, "&amp;BI$3&amp;", *")</f>
        <v>0</v>
      </c>
      <c r="BJ408" s="2">
        <f>LEN(集計用!H406)-LEN(SUBSTITUTE(集計用!H406,",",""))</f>
        <v>1</v>
      </c>
    </row>
    <row r="409" spans="1:62" ht="12.75">
      <c r="A409" s="8">
        <v>406</v>
      </c>
      <c r="C409" s="2">
        <f t="shared" si="4"/>
        <v>1</v>
      </c>
      <c r="D409" s="9"/>
      <c r="E409" s="2">
        <f>COUNTIFS(集計用!$G407,"*, "&amp;E$3&amp;", *")</f>
        <v>1</v>
      </c>
      <c r="F409" s="2">
        <f>COUNTIFS(集計用!$G407,"*, "&amp;F$3&amp;", *")</f>
        <v>0</v>
      </c>
      <c r="G409" s="2">
        <f>COUNTIFS(集計用!$G407,"*, "&amp;G$3&amp;", *")</f>
        <v>0</v>
      </c>
      <c r="H409" s="2">
        <f>COUNTIFS(集計用!$G407,"*, "&amp;H$3&amp;", *")</f>
        <v>0</v>
      </c>
      <c r="I409" s="2">
        <f>COUNTIFS(集計用!$G407,"*, "&amp;I$3&amp;", *")</f>
        <v>0</v>
      </c>
      <c r="J409" s="2">
        <f>COUNTIFS(集計用!$G407,"*, "&amp;J$3&amp;", *")</f>
        <v>0</v>
      </c>
      <c r="K409" s="2">
        <f>COUNTIFS(集計用!$G407,"*, "&amp;K$3&amp;", *")</f>
        <v>0</v>
      </c>
      <c r="L409" s="2">
        <f>COUNTIFS(集計用!$G407,"*, "&amp;L$3&amp;", *")</f>
        <v>0</v>
      </c>
      <c r="M409" s="2">
        <f>COUNTIFS(集計用!$G407,"*, "&amp;M$3&amp;", *")</f>
        <v>0</v>
      </c>
      <c r="N409" s="2">
        <f>COUNTIFS(集計用!$G407,"*, "&amp;N$3&amp;", *")</f>
        <v>0</v>
      </c>
      <c r="O409" s="2">
        <f>COUNTIFS(集計用!$G407,"*, "&amp;O$3&amp;", *")</f>
        <v>0</v>
      </c>
      <c r="P409" s="2">
        <f>COUNTIFS(集計用!$G407,"*, "&amp;P$3&amp;", *")</f>
        <v>0</v>
      </c>
      <c r="Q409" s="2">
        <f>COUNTIFS(集計用!$G407,"*, "&amp;Q$3&amp;", *")</f>
        <v>0</v>
      </c>
      <c r="R409" s="2">
        <f>COUNTIFS(集計用!$G407,"*, "&amp;R$3&amp;", *")</f>
        <v>0</v>
      </c>
      <c r="S409" s="2">
        <f>COUNTIFS(集計用!$G407,"*, "&amp;S$3&amp;", *")</f>
        <v>0</v>
      </c>
      <c r="T409" s="2">
        <f>COUNTIFS(集計用!$G407,"*, "&amp;T$3&amp;", *")</f>
        <v>0</v>
      </c>
      <c r="U409" s="2">
        <f>COUNTIFS(集計用!$G407,"*, "&amp;U$3&amp;", *")</f>
        <v>0</v>
      </c>
      <c r="V409" s="2">
        <f>COUNTIFS(集計用!$G407,"*, "&amp;V$3&amp;", *")</f>
        <v>0</v>
      </c>
      <c r="W409" s="2">
        <f>COUNTIFS(集計用!$G407,"*, "&amp;W$3&amp;", *")</f>
        <v>0</v>
      </c>
      <c r="X409" s="2">
        <f>COUNTIFS(集計用!$G407,"*, "&amp;X$3&amp;", *")</f>
        <v>0</v>
      </c>
      <c r="Y409" s="2">
        <f>COUNTIFS(集計用!$G407,"*, "&amp;Y$3&amp;", *")</f>
        <v>0</v>
      </c>
      <c r="Z409" s="2">
        <f>COUNTIFS(集計用!$G407,"*, "&amp;Z$3&amp;", *")</f>
        <v>0</v>
      </c>
      <c r="AA409" s="2">
        <f>COUNTIFS(集計用!$G407,"*, "&amp;AA$3&amp;", *")</f>
        <v>0</v>
      </c>
      <c r="AB409" s="2">
        <f>COUNTIFS(集計用!$G407,"*, "&amp;AB$3&amp;", *")</f>
        <v>0</v>
      </c>
      <c r="AC409" s="2">
        <f>COUNTIFS(集計用!$G407,"*, "&amp;AC$3&amp;", *")</f>
        <v>0</v>
      </c>
      <c r="AD409" s="2">
        <f>COUNTIFS(集計用!$G407,"*, "&amp;AD$3&amp;", *")</f>
        <v>0</v>
      </c>
      <c r="AE409" s="2">
        <f>COUNTIFS(集計用!$G407,"*, "&amp;AE$3&amp;", *")</f>
        <v>0</v>
      </c>
      <c r="AF409" s="2">
        <f>COUNTIFS(集計用!$G407,"*, "&amp;AF$3&amp;", *")</f>
        <v>0</v>
      </c>
      <c r="AG409" s="2">
        <f>COUNTIFS(集計用!$G407,"*, "&amp;AG$3&amp;", *")</f>
        <v>0</v>
      </c>
      <c r="AH409" s="2">
        <f>COUNTIFS(集計用!$G407,"*, "&amp;AH$3&amp;", *")</f>
        <v>0</v>
      </c>
      <c r="AI409" s="2">
        <f>COUNTIFS(集計用!$G407,"*, "&amp;AI$3&amp;", *")</f>
        <v>0</v>
      </c>
      <c r="AJ409" s="2">
        <f>COUNTIFS(集計用!$G407,"*, "&amp;AJ$3&amp;", *")</f>
        <v>0</v>
      </c>
      <c r="AK409" s="2">
        <f>COUNTIFS(集計用!$G407,"*, "&amp;AK$3&amp;", *")</f>
        <v>0</v>
      </c>
      <c r="AL409" s="2">
        <f>COUNTIFS(集計用!$G407,"*, "&amp;AL$3&amp;", *")</f>
        <v>0</v>
      </c>
      <c r="AM409" s="2">
        <f>COUNTIFS(集計用!$G407,"*, "&amp;AM$3&amp;", *")</f>
        <v>0</v>
      </c>
      <c r="AN409" s="2">
        <f>COUNTIFS(集計用!$G407,"*, "&amp;AN$3&amp;", *")</f>
        <v>0</v>
      </c>
      <c r="AO409" s="2">
        <f>COUNTIFS(集計用!$G407,"*, "&amp;AO$3&amp;", *")</f>
        <v>0</v>
      </c>
      <c r="AP409" s="2">
        <f>COUNTIFS(集計用!$G407,"*, "&amp;AP$3&amp;", *")</f>
        <v>0</v>
      </c>
      <c r="AQ409" s="2">
        <f>COUNTIFS(集計用!$G407,"*, "&amp;AQ$3&amp;", *")</f>
        <v>0</v>
      </c>
      <c r="AR409" s="2">
        <f>COUNTIFS(集計用!$G407,"*, "&amp;AR$3&amp;", *")</f>
        <v>0</v>
      </c>
      <c r="AS409" s="2">
        <f>COUNTIFS(集計用!$G407,"*, "&amp;AS$3&amp;", *")</f>
        <v>0</v>
      </c>
      <c r="AT409" s="2">
        <f>COUNTIFS(集計用!$G407,"*, "&amp;AT$3&amp;", *")</f>
        <v>0</v>
      </c>
      <c r="AU409" s="2">
        <f>COUNTIFS(集計用!$G407,"*, "&amp;AU$3&amp;", *")</f>
        <v>0</v>
      </c>
      <c r="AV409" s="2">
        <f>COUNTIFS(集計用!$G407,"*, "&amp;AV$3&amp;", *")</f>
        <v>0</v>
      </c>
      <c r="AW409" s="2">
        <f>COUNTIFS(集計用!$G407,"*, "&amp;AW$3&amp;", *")</f>
        <v>0</v>
      </c>
      <c r="AX409" s="2">
        <f>COUNTIFS(集計用!$G407,"*, "&amp;AX$3&amp;", *")</f>
        <v>0</v>
      </c>
      <c r="AY409" s="2">
        <f>COUNTIFS(集計用!$G407,"*, "&amp;AY$3&amp;", *")</f>
        <v>0</v>
      </c>
      <c r="AZ409" s="2">
        <f>COUNTIFS(集計用!$G407,"*, "&amp;AZ$3&amp;", *")</f>
        <v>0</v>
      </c>
      <c r="BA409" s="2">
        <f>COUNTIFS(集計用!$G407,"*, "&amp;BA$3&amp;", *")</f>
        <v>0</v>
      </c>
      <c r="BB409" s="2">
        <f>COUNTIFS(集計用!$G407,"*, "&amp;BB$3&amp;", *")</f>
        <v>0</v>
      </c>
      <c r="BC409" s="2">
        <f>COUNTIFS(集計用!$G407,"*, "&amp;BC$3&amp;", *")</f>
        <v>0</v>
      </c>
      <c r="BD409" s="2">
        <f>COUNTIFS(集計用!$G407,"*, "&amp;BD$3&amp;", *")</f>
        <v>0</v>
      </c>
      <c r="BE409" s="2">
        <f>COUNTIFS(集計用!$G407,"*, "&amp;BE$3&amp;", *")</f>
        <v>0</v>
      </c>
      <c r="BF409" s="2">
        <f>COUNTIFS(集計用!$G407,"*, "&amp;BF$3&amp;", *")</f>
        <v>0</v>
      </c>
      <c r="BG409" s="2">
        <f>COUNTIFS(集計用!$G407,"*, "&amp;BG$3&amp;", *")</f>
        <v>0</v>
      </c>
      <c r="BH409" s="2">
        <f>COUNTIFS(集計用!$G407,"*, "&amp;BH$3&amp;", *")</f>
        <v>0</v>
      </c>
      <c r="BI409" s="2">
        <f>COUNTIFS(集計用!$G407,"*, "&amp;BI$3&amp;", *")</f>
        <v>0</v>
      </c>
      <c r="BJ409" s="2">
        <f>LEN(集計用!H407)-LEN(SUBSTITUTE(集計用!H407,",",""))</f>
        <v>0</v>
      </c>
    </row>
    <row r="410" spans="1:62" ht="12.75">
      <c r="A410" s="8">
        <v>407</v>
      </c>
      <c r="C410" s="2">
        <f t="shared" si="4"/>
        <v>4</v>
      </c>
      <c r="D410" s="9"/>
      <c r="E410" s="2">
        <f>COUNTIFS(集計用!$G408,"*, "&amp;E$3&amp;", *")</f>
        <v>1</v>
      </c>
      <c r="F410" s="2">
        <f>COUNTIFS(集計用!$G408,"*, "&amp;F$3&amp;", *")</f>
        <v>0</v>
      </c>
      <c r="G410" s="2">
        <f>COUNTIFS(集計用!$G408,"*, "&amp;G$3&amp;", *")</f>
        <v>1</v>
      </c>
      <c r="H410" s="2">
        <f>COUNTIFS(集計用!$G408,"*, "&amp;H$3&amp;", *")</f>
        <v>0</v>
      </c>
      <c r="I410" s="2">
        <f>COUNTIFS(集計用!$G408,"*, "&amp;I$3&amp;", *")</f>
        <v>1</v>
      </c>
      <c r="J410" s="2">
        <f>COUNTIFS(集計用!$G408,"*, "&amp;J$3&amp;", *")</f>
        <v>0</v>
      </c>
      <c r="K410" s="2">
        <f>COUNTIFS(集計用!$G408,"*, "&amp;K$3&amp;", *")</f>
        <v>0</v>
      </c>
      <c r="L410" s="2">
        <f>COUNTIFS(集計用!$G408,"*, "&amp;L$3&amp;", *")</f>
        <v>0</v>
      </c>
      <c r="M410" s="2">
        <f>COUNTIFS(集計用!$G408,"*, "&amp;M$3&amp;", *")</f>
        <v>0</v>
      </c>
      <c r="N410" s="2">
        <f>COUNTIFS(集計用!$G408,"*, "&amp;N$3&amp;", *")</f>
        <v>0</v>
      </c>
      <c r="O410" s="2">
        <f>COUNTIFS(集計用!$G408,"*, "&amp;O$3&amp;", *")</f>
        <v>0</v>
      </c>
      <c r="P410" s="2">
        <f>COUNTIFS(集計用!$G408,"*, "&amp;P$3&amp;", *")</f>
        <v>1</v>
      </c>
      <c r="Q410" s="2">
        <f>COUNTIFS(集計用!$G408,"*, "&amp;Q$3&amp;", *")</f>
        <v>0</v>
      </c>
      <c r="R410" s="2">
        <f>COUNTIFS(集計用!$G408,"*, "&amp;R$3&amp;", *")</f>
        <v>0</v>
      </c>
      <c r="S410" s="2">
        <f>COUNTIFS(集計用!$G408,"*, "&amp;S$3&amp;", *")</f>
        <v>0</v>
      </c>
      <c r="T410" s="2">
        <f>COUNTIFS(集計用!$G408,"*, "&amp;T$3&amp;", *")</f>
        <v>0</v>
      </c>
      <c r="U410" s="2">
        <f>COUNTIFS(集計用!$G408,"*, "&amp;U$3&amp;", *")</f>
        <v>0</v>
      </c>
      <c r="V410" s="2">
        <f>COUNTIFS(集計用!$G408,"*, "&amp;V$3&amp;", *")</f>
        <v>0</v>
      </c>
      <c r="W410" s="2">
        <f>COUNTIFS(集計用!$G408,"*, "&amp;W$3&amp;", *")</f>
        <v>0</v>
      </c>
      <c r="X410" s="2">
        <f>COUNTIFS(集計用!$G408,"*, "&amp;X$3&amp;", *")</f>
        <v>0</v>
      </c>
      <c r="Y410" s="2">
        <f>COUNTIFS(集計用!$G408,"*, "&amp;Y$3&amp;", *")</f>
        <v>0</v>
      </c>
      <c r="Z410" s="2">
        <f>COUNTIFS(集計用!$G408,"*, "&amp;Z$3&amp;", *")</f>
        <v>0</v>
      </c>
      <c r="AA410" s="2">
        <f>COUNTIFS(集計用!$G408,"*, "&amp;AA$3&amp;", *")</f>
        <v>0</v>
      </c>
      <c r="AB410" s="2">
        <f>COUNTIFS(集計用!$G408,"*, "&amp;AB$3&amp;", *")</f>
        <v>0</v>
      </c>
      <c r="AC410" s="2">
        <f>COUNTIFS(集計用!$G408,"*, "&amp;AC$3&amp;", *")</f>
        <v>0</v>
      </c>
      <c r="AD410" s="2">
        <f>COUNTIFS(集計用!$G408,"*, "&amp;AD$3&amp;", *")</f>
        <v>0</v>
      </c>
      <c r="AE410" s="2">
        <f>COUNTIFS(集計用!$G408,"*, "&amp;AE$3&amp;", *")</f>
        <v>0</v>
      </c>
      <c r="AF410" s="2">
        <f>COUNTIFS(集計用!$G408,"*, "&amp;AF$3&amp;", *")</f>
        <v>0</v>
      </c>
      <c r="AG410" s="2">
        <f>COUNTIFS(集計用!$G408,"*, "&amp;AG$3&amp;", *")</f>
        <v>0</v>
      </c>
      <c r="AH410" s="2">
        <f>COUNTIFS(集計用!$G408,"*, "&amp;AH$3&amp;", *")</f>
        <v>0</v>
      </c>
      <c r="AI410" s="2">
        <f>COUNTIFS(集計用!$G408,"*, "&amp;AI$3&amp;", *")</f>
        <v>0</v>
      </c>
      <c r="AJ410" s="2">
        <f>COUNTIFS(集計用!$G408,"*, "&amp;AJ$3&amp;", *")</f>
        <v>0</v>
      </c>
      <c r="AK410" s="2">
        <f>COUNTIFS(集計用!$G408,"*, "&amp;AK$3&amp;", *")</f>
        <v>0</v>
      </c>
      <c r="AL410" s="2">
        <f>COUNTIFS(集計用!$G408,"*, "&amp;AL$3&amp;", *")</f>
        <v>0</v>
      </c>
      <c r="AM410" s="2">
        <f>COUNTIFS(集計用!$G408,"*, "&amp;AM$3&amp;", *")</f>
        <v>0</v>
      </c>
      <c r="AN410" s="2">
        <f>COUNTIFS(集計用!$G408,"*, "&amp;AN$3&amp;", *")</f>
        <v>0</v>
      </c>
      <c r="AO410" s="2">
        <f>COUNTIFS(集計用!$G408,"*, "&amp;AO$3&amp;", *")</f>
        <v>0</v>
      </c>
      <c r="AP410" s="2">
        <f>COUNTIFS(集計用!$G408,"*, "&amp;AP$3&amp;", *")</f>
        <v>0</v>
      </c>
      <c r="AQ410" s="2">
        <f>COUNTIFS(集計用!$G408,"*, "&amp;AQ$3&amp;", *")</f>
        <v>0</v>
      </c>
      <c r="AR410" s="2">
        <f>COUNTIFS(集計用!$G408,"*, "&amp;AR$3&amp;", *")</f>
        <v>0</v>
      </c>
      <c r="AS410" s="2">
        <f>COUNTIFS(集計用!$G408,"*, "&amp;AS$3&amp;", *")</f>
        <v>0</v>
      </c>
      <c r="AT410" s="2">
        <f>COUNTIFS(集計用!$G408,"*, "&amp;AT$3&amp;", *")</f>
        <v>0</v>
      </c>
      <c r="AU410" s="2">
        <f>COUNTIFS(集計用!$G408,"*, "&amp;AU$3&amp;", *")</f>
        <v>0</v>
      </c>
      <c r="AV410" s="2">
        <f>COUNTIFS(集計用!$G408,"*, "&amp;AV$3&amp;", *")</f>
        <v>0</v>
      </c>
      <c r="AW410" s="2">
        <f>COUNTIFS(集計用!$G408,"*, "&amp;AW$3&amp;", *")</f>
        <v>0</v>
      </c>
      <c r="AX410" s="2">
        <f>COUNTIFS(集計用!$G408,"*, "&amp;AX$3&amp;", *")</f>
        <v>0</v>
      </c>
      <c r="AY410" s="2">
        <f>COUNTIFS(集計用!$G408,"*, "&amp;AY$3&amp;", *")</f>
        <v>0</v>
      </c>
      <c r="AZ410" s="2">
        <f>COUNTIFS(集計用!$G408,"*, "&amp;AZ$3&amp;", *")</f>
        <v>0</v>
      </c>
      <c r="BA410" s="2">
        <f>COUNTIFS(集計用!$G408,"*, "&amp;BA$3&amp;", *")</f>
        <v>0</v>
      </c>
      <c r="BB410" s="2">
        <f>COUNTIFS(集計用!$G408,"*, "&amp;BB$3&amp;", *")</f>
        <v>0</v>
      </c>
      <c r="BC410" s="2">
        <f>COUNTIFS(集計用!$G408,"*, "&amp;BC$3&amp;", *")</f>
        <v>0</v>
      </c>
      <c r="BD410" s="2">
        <f>COUNTIFS(集計用!$G408,"*, "&amp;BD$3&amp;", *")</f>
        <v>0</v>
      </c>
      <c r="BE410" s="2">
        <f>COUNTIFS(集計用!$G408,"*, "&amp;BE$3&amp;", *")</f>
        <v>0</v>
      </c>
      <c r="BF410" s="2">
        <f>COUNTIFS(集計用!$G408,"*, "&amp;BF$3&amp;", *")</f>
        <v>0</v>
      </c>
      <c r="BG410" s="2">
        <f>COUNTIFS(集計用!$G408,"*, "&amp;BG$3&amp;", *")</f>
        <v>0</v>
      </c>
      <c r="BH410" s="2">
        <f>COUNTIFS(集計用!$G408,"*, "&amp;BH$3&amp;", *")</f>
        <v>0</v>
      </c>
      <c r="BI410" s="2">
        <f>COUNTIFS(集計用!$G408,"*, "&amp;BI$3&amp;", *")</f>
        <v>0</v>
      </c>
      <c r="BJ410" s="2">
        <f>LEN(集計用!H408)-LEN(SUBSTITUTE(集計用!H408,",",""))</f>
        <v>0</v>
      </c>
    </row>
    <row r="411" spans="1:62" ht="12.75">
      <c r="A411" s="8">
        <v>408</v>
      </c>
      <c r="C411" s="2">
        <f t="shared" si="4"/>
        <v>3</v>
      </c>
      <c r="D411" s="9"/>
      <c r="E411" s="2">
        <f>COUNTIFS(集計用!$G409,"*, "&amp;E$3&amp;", *")</f>
        <v>1</v>
      </c>
      <c r="F411" s="2">
        <f>COUNTIFS(集計用!$G409,"*, "&amp;F$3&amp;", *")</f>
        <v>0</v>
      </c>
      <c r="G411" s="2">
        <f>COUNTIFS(集計用!$G409,"*, "&amp;G$3&amp;", *")</f>
        <v>1</v>
      </c>
      <c r="H411" s="2">
        <f>COUNTIFS(集計用!$G409,"*, "&amp;H$3&amp;", *")</f>
        <v>0</v>
      </c>
      <c r="I411" s="2">
        <f>COUNTIFS(集計用!$G409,"*, "&amp;I$3&amp;", *")</f>
        <v>1</v>
      </c>
      <c r="J411" s="2">
        <f>COUNTIFS(集計用!$G409,"*, "&amp;J$3&amp;", *")</f>
        <v>0</v>
      </c>
      <c r="K411" s="2">
        <f>COUNTIFS(集計用!$G409,"*, "&amp;K$3&amp;", *")</f>
        <v>0</v>
      </c>
      <c r="L411" s="2">
        <f>COUNTIFS(集計用!$G409,"*, "&amp;L$3&amp;", *")</f>
        <v>0</v>
      </c>
      <c r="M411" s="2">
        <f>COUNTIFS(集計用!$G409,"*, "&amp;M$3&amp;", *")</f>
        <v>0</v>
      </c>
      <c r="N411" s="2">
        <f>COUNTIFS(集計用!$G409,"*, "&amp;N$3&amp;", *")</f>
        <v>0</v>
      </c>
      <c r="O411" s="2">
        <f>COUNTIFS(集計用!$G409,"*, "&amp;O$3&amp;", *")</f>
        <v>0</v>
      </c>
      <c r="P411" s="2">
        <f>COUNTIFS(集計用!$G409,"*, "&amp;P$3&amp;", *")</f>
        <v>0</v>
      </c>
      <c r="Q411" s="2">
        <f>COUNTIFS(集計用!$G409,"*, "&amp;Q$3&amp;", *")</f>
        <v>0</v>
      </c>
      <c r="R411" s="2">
        <f>COUNTIFS(集計用!$G409,"*, "&amp;R$3&amp;", *")</f>
        <v>0</v>
      </c>
      <c r="S411" s="2">
        <f>COUNTIFS(集計用!$G409,"*, "&amp;S$3&amp;", *")</f>
        <v>0</v>
      </c>
      <c r="T411" s="2">
        <f>COUNTIFS(集計用!$G409,"*, "&amp;T$3&amp;", *")</f>
        <v>0</v>
      </c>
      <c r="U411" s="2">
        <f>COUNTIFS(集計用!$G409,"*, "&amp;U$3&amp;", *")</f>
        <v>0</v>
      </c>
      <c r="V411" s="2">
        <f>COUNTIFS(集計用!$G409,"*, "&amp;V$3&amp;", *")</f>
        <v>0</v>
      </c>
      <c r="W411" s="2">
        <f>COUNTIFS(集計用!$G409,"*, "&amp;W$3&amp;", *")</f>
        <v>0</v>
      </c>
      <c r="X411" s="2">
        <f>COUNTIFS(集計用!$G409,"*, "&amp;X$3&amp;", *")</f>
        <v>0</v>
      </c>
      <c r="Y411" s="2">
        <f>COUNTIFS(集計用!$G409,"*, "&amp;Y$3&amp;", *")</f>
        <v>0</v>
      </c>
      <c r="Z411" s="2">
        <f>COUNTIFS(集計用!$G409,"*, "&amp;Z$3&amp;", *")</f>
        <v>0</v>
      </c>
      <c r="AA411" s="2">
        <f>COUNTIFS(集計用!$G409,"*, "&amp;AA$3&amp;", *")</f>
        <v>0</v>
      </c>
      <c r="AB411" s="2">
        <f>COUNTIFS(集計用!$G409,"*, "&amp;AB$3&amp;", *")</f>
        <v>0</v>
      </c>
      <c r="AC411" s="2">
        <f>COUNTIFS(集計用!$G409,"*, "&amp;AC$3&amp;", *")</f>
        <v>0</v>
      </c>
      <c r="AD411" s="2">
        <f>COUNTIFS(集計用!$G409,"*, "&amp;AD$3&amp;", *")</f>
        <v>0</v>
      </c>
      <c r="AE411" s="2">
        <f>COUNTIFS(集計用!$G409,"*, "&amp;AE$3&amp;", *")</f>
        <v>0</v>
      </c>
      <c r="AF411" s="2">
        <f>COUNTIFS(集計用!$G409,"*, "&amp;AF$3&amp;", *")</f>
        <v>0</v>
      </c>
      <c r="AG411" s="2">
        <f>COUNTIFS(集計用!$G409,"*, "&amp;AG$3&amp;", *")</f>
        <v>0</v>
      </c>
      <c r="AH411" s="2">
        <f>COUNTIFS(集計用!$G409,"*, "&amp;AH$3&amp;", *")</f>
        <v>0</v>
      </c>
      <c r="AI411" s="2">
        <f>COUNTIFS(集計用!$G409,"*, "&amp;AI$3&amp;", *")</f>
        <v>0</v>
      </c>
      <c r="AJ411" s="2">
        <f>COUNTIFS(集計用!$G409,"*, "&amp;AJ$3&amp;", *")</f>
        <v>0</v>
      </c>
      <c r="AK411" s="2">
        <f>COUNTIFS(集計用!$G409,"*, "&amp;AK$3&amp;", *")</f>
        <v>0</v>
      </c>
      <c r="AL411" s="2">
        <f>COUNTIFS(集計用!$G409,"*, "&amp;AL$3&amp;", *")</f>
        <v>0</v>
      </c>
      <c r="AM411" s="2">
        <f>COUNTIFS(集計用!$G409,"*, "&amp;AM$3&amp;", *")</f>
        <v>0</v>
      </c>
      <c r="AN411" s="2">
        <f>COUNTIFS(集計用!$G409,"*, "&amp;AN$3&amp;", *")</f>
        <v>0</v>
      </c>
      <c r="AO411" s="2">
        <f>COUNTIFS(集計用!$G409,"*, "&amp;AO$3&amp;", *")</f>
        <v>0</v>
      </c>
      <c r="AP411" s="2">
        <f>COUNTIFS(集計用!$G409,"*, "&amp;AP$3&amp;", *")</f>
        <v>0</v>
      </c>
      <c r="AQ411" s="2">
        <f>COUNTIFS(集計用!$G409,"*, "&amp;AQ$3&amp;", *")</f>
        <v>0</v>
      </c>
      <c r="AR411" s="2">
        <f>COUNTIFS(集計用!$G409,"*, "&amp;AR$3&amp;", *")</f>
        <v>0</v>
      </c>
      <c r="AS411" s="2">
        <f>COUNTIFS(集計用!$G409,"*, "&amp;AS$3&amp;", *")</f>
        <v>0</v>
      </c>
      <c r="AT411" s="2">
        <f>COUNTIFS(集計用!$G409,"*, "&amp;AT$3&amp;", *")</f>
        <v>0</v>
      </c>
      <c r="AU411" s="2">
        <f>COUNTIFS(集計用!$G409,"*, "&amp;AU$3&amp;", *")</f>
        <v>0</v>
      </c>
      <c r="AV411" s="2">
        <f>COUNTIFS(集計用!$G409,"*, "&amp;AV$3&amp;", *")</f>
        <v>0</v>
      </c>
      <c r="AW411" s="2">
        <f>COUNTIFS(集計用!$G409,"*, "&amp;AW$3&amp;", *")</f>
        <v>0</v>
      </c>
      <c r="AX411" s="2">
        <f>COUNTIFS(集計用!$G409,"*, "&amp;AX$3&amp;", *")</f>
        <v>0</v>
      </c>
      <c r="AY411" s="2">
        <f>COUNTIFS(集計用!$G409,"*, "&amp;AY$3&amp;", *")</f>
        <v>0</v>
      </c>
      <c r="AZ411" s="2">
        <f>COUNTIFS(集計用!$G409,"*, "&amp;AZ$3&amp;", *")</f>
        <v>0</v>
      </c>
      <c r="BA411" s="2">
        <f>COUNTIFS(集計用!$G409,"*, "&amp;BA$3&amp;", *")</f>
        <v>0</v>
      </c>
      <c r="BB411" s="2">
        <f>COUNTIFS(集計用!$G409,"*, "&amp;BB$3&amp;", *")</f>
        <v>0</v>
      </c>
      <c r="BC411" s="2">
        <f>COUNTIFS(集計用!$G409,"*, "&amp;BC$3&amp;", *")</f>
        <v>0</v>
      </c>
      <c r="BD411" s="2">
        <f>COUNTIFS(集計用!$G409,"*, "&amp;BD$3&amp;", *")</f>
        <v>0</v>
      </c>
      <c r="BE411" s="2">
        <f>COUNTIFS(集計用!$G409,"*, "&amp;BE$3&amp;", *")</f>
        <v>0</v>
      </c>
      <c r="BF411" s="2">
        <f>COUNTIFS(集計用!$G409,"*, "&amp;BF$3&amp;", *")</f>
        <v>0</v>
      </c>
      <c r="BG411" s="2">
        <f>COUNTIFS(集計用!$G409,"*, "&amp;BG$3&amp;", *")</f>
        <v>0</v>
      </c>
      <c r="BH411" s="2">
        <f>COUNTIFS(集計用!$G409,"*, "&amp;BH$3&amp;", *")</f>
        <v>0</v>
      </c>
      <c r="BI411" s="2">
        <f>COUNTIFS(集計用!$G409,"*, "&amp;BI$3&amp;", *")</f>
        <v>0</v>
      </c>
      <c r="BJ411" s="2">
        <f>LEN(集計用!H409)-LEN(SUBSTITUTE(集計用!H409,",",""))</f>
        <v>0</v>
      </c>
    </row>
    <row r="412" spans="1:62" ht="12.75">
      <c r="A412" s="8">
        <v>409</v>
      </c>
      <c r="C412" s="2">
        <f t="shared" si="4"/>
        <v>8</v>
      </c>
      <c r="D412" s="9"/>
      <c r="E412" s="2">
        <f>COUNTIFS(集計用!$G410,"*, "&amp;E$3&amp;", *")</f>
        <v>1</v>
      </c>
      <c r="F412" s="2">
        <f>COUNTIFS(集計用!$G410,"*, "&amp;F$3&amp;", *")</f>
        <v>1</v>
      </c>
      <c r="G412" s="2">
        <f>COUNTIFS(集計用!$G410,"*, "&amp;G$3&amp;", *")</f>
        <v>1</v>
      </c>
      <c r="H412" s="2">
        <f>COUNTIFS(集計用!$G410,"*, "&amp;H$3&amp;", *")</f>
        <v>1</v>
      </c>
      <c r="I412" s="2">
        <f>COUNTIFS(集計用!$G410,"*, "&amp;I$3&amp;", *")</f>
        <v>0</v>
      </c>
      <c r="J412" s="2">
        <f>COUNTIFS(集計用!$G410,"*, "&amp;J$3&amp;", *")</f>
        <v>0</v>
      </c>
      <c r="K412" s="2">
        <f>COUNTIFS(集計用!$G410,"*, "&amp;K$3&amp;", *")</f>
        <v>1</v>
      </c>
      <c r="L412" s="2">
        <f>COUNTIFS(集計用!$G410,"*, "&amp;L$3&amp;", *")</f>
        <v>1</v>
      </c>
      <c r="M412" s="2">
        <f>COUNTIFS(集計用!$G410,"*, "&amp;M$3&amp;", *")</f>
        <v>0</v>
      </c>
      <c r="N412" s="2">
        <f>COUNTIFS(集計用!$G410,"*, "&amp;N$3&amp;", *")</f>
        <v>0</v>
      </c>
      <c r="O412" s="2">
        <f>COUNTIFS(集計用!$G410,"*, "&amp;O$3&amp;", *")</f>
        <v>0</v>
      </c>
      <c r="P412" s="2">
        <f>COUNTIFS(集計用!$G410,"*, "&amp;P$3&amp;", *")</f>
        <v>1</v>
      </c>
      <c r="Q412" s="2">
        <f>COUNTIFS(集計用!$G410,"*, "&amp;Q$3&amp;", *")</f>
        <v>0</v>
      </c>
      <c r="R412" s="2">
        <f>COUNTIFS(集計用!$G410,"*, "&amp;R$3&amp;", *")</f>
        <v>0</v>
      </c>
      <c r="S412" s="2">
        <f>COUNTIFS(集計用!$G410,"*, "&amp;S$3&amp;", *")</f>
        <v>0</v>
      </c>
      <c r="T412" s="2">
        <f>COUNTIFS(集計用!$G410,"*, "&amp;T$3&amp;", *")</f>
        <v>0</v>
      </c>
      <c r="U412" s="2">
        <f>COUNTIFS(集計用!$G410,"*, "&amp;U$3&amp;", *")</f>
        <v>0</v>
      </c>
      <c r="V412" s="2">
        <f>COUNTIFS(集計用!$G410,"*, "&amp;V$3&amp;", *")</f>
        <v>0</v>
      </c>
      <c r="W412" s="2">
        <f>COUNTIFS(集計用!$G410,"*, "&amp;W$3&amp;", *")</f>
        <v>0</v>
      </c>
      <c r="X412" s="2">
        <f>COUNTIFS(集計用!$G410,"*, "&amp;X$3&amp;", *")</f>
        <v>0</v>
      </c>
      <c r="Y412" s="2">
        <f>COUNTIFS(集計用!$G410,"*, "&amp;Y$3&amp;", *")</f>
        <v>0</v>
      </c>
      <c r="Z412" s="2">
        <f>COUNTIFS(集計用!$G410,"*, "&amp;Z$3&amp;", *")</f>
        <v>0</v>
      </c>
      <c r="AA412" s="2">
        <f>COUNTIFS(集計用!$G410,"*, "&amp;AA$3&amp;", *")</f>
        <v>0</v>
      </c>
      <c r="AB412" s="2">
        <f>COUNTIFS(集計用!$G410,"*, "&amp;AB$3&amp;", *")</f>
        <v>1</v>
      </c>
      <c r="AC412" s="2">
        <f>COUNTIFS(集計用!$G410,"*, "&amp;AC$3&amp;", *")</f>
        <v>0</v>
      </c>
      <c r="AD412" s="2">
        <f>COUNTIFS(集計用!$G410,"*, "&amp;AD$3&amp;", *")</f>
        <v>0</v>
      </c>
      <c r="AE412" s="2">
        <f>COUNTIFS(集計用!$G410,"*, "&amp;AE$3&amp;", *")</f>
        <v>0</v>
      </c>
      <c r="AF412" s="2">
        <f>COUNTIFS(集計用!$G410,"*, "&amp;AF$3&amp;", *")</f>
        <v>0</v>
      </c>
      <c r="AG412" s="2">
        <f>COUNTIFS(集計用!$G410,"*, "&amp;AG$3&amp;", *")</f>
        <v>0</v>
      </c>
      <c r="AH412" s="2">
        <f>COUNTIFS(集計用!$G410,"*, "&amp;AH$3&amp;", *")</f>
        <v>0</v>
      </c>
      <c r="AI412" s="2">
        <f>COUNTIFS(集計用!$G410,"*, "&amp;AI$3&amp;", *")</f>
        <v>0</v>
      </c>
      <c r="AJ412" s="2">
        <f>COUNTIFS(集計用!$G410,"*, "&amp;AJ$3&amp;", *")</f>
        <v>0</v>
      </c>
      <c r="AK412" s="2">
        <f>COUNTIFS(集計用!$G410,"*, "&amp;AK$3&amp;", *")</f>
        <v>0</v>
      </c>
      <c r="AL412" s="2">
        <f>COUNTIFS(集計用!$G410,"*, "&amp;AL$3&amp;", *")</f>
        <v>0</v>
      </c>
      <c r="AM412" s="2">
        <f>COUNTIFS(集計用!$G410,"*, "&amp;AM$3&amp;", *")</f>
        <v>0</v>
      </c>
      <c r="AN412" s="2">
        <f>COUNTIFS(集計用!$G410,"*, "&amp;AN$3&amp;", *")</f>
        <v>0</v>
      </c>
      <c r="AO412" s="2">
        <f>COUNTIFS(集計用!$G410,"*, "&amp;AO$3&amp;", *")</f>
        <v>0</v>
      </c>
      <c r="AP412" s="2">
        <f>COUNTIFS(集計用!$G410,"*, "&amp;AP$3&amp;", *")</f>
        <v>0</v>
      </c>
      <c r="AQ412" s="2">
        <f>COUNTIFS(集計用!$G410,"*, "&amp;AQ$3&amp;", *")</f>
        <v>0</v>
      </c>
      <c r="AR412" s="2">
        <f>COUNTIFS(集計用!$G410,"*, "&amp;AR$3&amp;", *")</f>
        <v>0</v>
      </c>
      <c r="AS412" s="2">
        <f>COUNTIFS(集計用!$G410,"*, "&amp;AS$3&amp;", *")</f>
        <v>0</v>
      </c>
      <c r="AT412" s="2">
        <f>COUNTIFS(集計用!$G410,"*, "&amp;AT$3&amp;", *")</f>
        <v>0</v>
      </c>
      <c r="AU412" s="2">
        <f>COUNTIFS(集計用!$G410,"*, "&amp;AU$3&amp;", *")</f>
        <v>0</v>
      </c>
      <c r="AV412" s="2">
        <f>COUNTIFS(集計用!$G410,"*, "&amp;AV$3&amp;", *")</f>
        <v>0</v>
      </c>
      <c r="AW412" s="2">
        <f>COUNTIFS(集計用!$G410,"*, "&amp;AW$3&amp;", *")</f>
        <v>0</v>
      </c>
      <c r="AX412" s="2">
        <f>COUNTIFS(集計用!$G410,"*, "&amp;AX$3&amp;", *")</f>
        <v>0</v>
      </c>
      <c r="AY412" s="2">
        <f>COUNTIFS(集計用!$G410,"*, "&amp;AY$3&amp;", *")</f>
        <v>0</v>
      </c>
      <c r="AZ412" s="2">
        <f>COUNTIFS(集計用!$G410,"*, "&amp;AZ$3&amp;", *")</f>
        <v>0</v>
      </c>
      <c r="BA412" s="2">
        <f>COUNTIFS(集計用!$G410,"*, "&amp;BA$3&amp;", *")</f>
        <v>0</v>
      </c>
      <c r="BB412" s="2">
        <f>COUNTIFS(集計用!$G410,"*, "&amp;BB$3&amp;", *")</f>
        <v>0</v>
      </c>
      <c r="BC412" s="2">
        <f>COUNTIFS(集計用!$G410,"*, "&amp;BC$3&amp;", *")</f>
        <v>0</v>
      </c>
      <c r="BD412" s="2">
        <f>COUNTIFS(集計用!$G410,"*, "&amp;BD$3&amp;", *")</f>
        <v>0</v>
      </c>
      <c r="BE412" s="2">
        <f>COUNTIFS(集計用!$G410,"*, "&amp;BE$3&amp;", *")</f>
        <v>0</v>
      </c>
      <c r="BF412" s="2">
        <f>COUNTIFS(集計用!$G410,"*, "&amp;BF$3&amp;", *")</f>
        <v>0</v>
      </c>
      <c r="BG412" s="2">
        <f>COUNTIFS(集計用!$G410,"*, "&amp;BG$3&amp;", *")</f>
        <v>0</v>
      </c>
      <c r="BH412" s="2">
        <f>COUNTIFS(集計用!$G410,"*, "&amp;BH$3&amp;", *")</f>
        <v>0</v>
      </c>
      <c r="BI412" s="2">
        <f>COUNTIFS(集計用!$G410,"*, "&amp;BI$3&amp;", *")</f>
        <v>0</v>
      </c>
      <c r="BJ412" s="2">
        <f>LEN(集計用!H410)-LEN(SUBSTITUTE(集計用!H410,",",""))</f>
        <v>0</v>
      </c>
    </row>
    <row r="413" spans="1:62" ht="12.75">
      <c r="A413" s="8">
        <v>410</v>
      </c>
      <c r="C413" s="2">
        <f t="shared" si="4"/>
        <v>1</v>
      </c>
      <c r="D413" s="9"/>
      <c r="E413" s="2">
        <f>COUNTIFS(集計用!$G411,"*, "&amp;E$3&amp;", *")</f>
        <v>1</v>
      </c>
      <c r="F413" s="2">
        <f>COUNTIFS(集計用!$G411,"*, "&amp;F$3&amp;", *")</f>
        <v>0</v>
      </c>
      <c r="G413" s="2">
        <f>COUNTIFS(集計用!$G411,"*, "&amp;G$3&amp;", *")</f>
        <v>0</v>
      </c>
      <c r="H413" s="2">
        <f>COUNTIFS(集計用!$G411,"*, "&amp;H$3&amp;", *")</f>
        <v>0</v>
      </c>
      <c r="I413" s="2">
        <f>COUNTIFS(集計用!$G411,"*, "&amp;I$3&amp;", *")</f>
        <v>0</v>
      </c>
      <c r="J413" s="2">
        <f>COUNTIFS(集計用!$G411,"*, "&amp;J$3&amp;", *")</f>
        <v>0</v>
      </c>
      <c r="K413" s="2">
        <f>COUNTIFS(集計用!$G411,"*, "&amp;K$3&amp;", *")</f>
        <v>0</v>
      </c>
      <c r="L413" s="2">
        <f>COUNTIFS(集計用!$G411,"*, "&amp;L$3&amp;", *")</f>
        <v>0</v>
      </c>
      <c r="M413" s="2">
        <f>COUNTIFS(集計用!$G411,"*, "&amp;M$3&amp;", *")</f>
        <v>0</v>
      </c>
      <c r="N413" s="2">
        <f>COUNTIFS(集計用!$G411,"*, "&amp;N$3&amp;", *")</f>
        <v>0</v>
      </c>
      <c r="O413" s="2">
        <f>COUNTIFS(集計用!$G411,"*, "&amp;O$3&amp;", *")</f>
        <v>0</v>
      </c>
      <c r="P413" s="2">
        <f>COUNTIFS(集計用!$G411,"*, "&amp;P$3&amp;", *")</f>
        <v>0</v>
      </c>
      <c r="Q413" s="2">
        <f>COUNTIFS(集計用!$G411,"*, "&amp;Q$3&amp;", *")</f>
        <v>0</v>
      </c>
      <c r="R413" s="2">
        <f>COUNTIFS(集計用!$G411,"*, "&amp;R$3&amp;", *")</f>
        <v>0</v>
      </c>
      <c r="S413" s="2">
        <f>COUNTIFS(集計用!$G411,"*, "&amp;S$3&amp;", *")</f>
        <v>0</v>
      </c>
      <c r="T413" s="2">
        <f>COUNTIFS(集計用!$G411,"*, "&amp;T$3&amp;", *")</f>
        <v>0</v>
      </c>
      <c r="U413" s="2">
        <f>COUNTIFS(集計用!$G411,"*, "&amp;U$3&amp;", *")</f>
        <v>0</v>
      </c>
      <c r="V413" s="2">
        <f>COUNTIFS(集計用!$G411,"*, "&amp;V$3&amp;", *")</f>
        <v>0</v>
      </c>
      <c r="W413" s="2">
        <f>COUNTIFS(集計用!$G411,"*, "&amp;W$3&amp;", *")</f>
        <v>0</v>
      </c>
      <c r="X413" s="2">
        <f>COUNTIFS(集計用!$G411,"*, "&amp;X$3&amp;", *")</f>
        <v>0</v>
      </c>
      <c r="Y413" s="2">
        <f>COUNTIFS(集計用!$G411,"*, "&amp;Y$3&amp;", *")</f>
        <v>0</v>
      </c>
      <c r="Z413" s="2">
        <f>COUNTIFS(集計用!$G411,"*, "&amp;Z$3&amp;", *")</f>
        <v>0</v>
      </c>
      <c r="AA413" s="2">
        <f>COUNTIFS(集計用!$G411,"*, "&amp;AA$3&amp;", *")</f>
        <v>0</v>
      </c>
      <c r="AB413" s="2">
        <f>COUNTIFS(集計用!$G411,"*, "&amp;AB$3&amp;", *")</f>
        <v>0</v>
      </c>
      <c r="AC413" s="2">
        <f>COUNTIFS(集計用!$G411,"*, "&amp;AC$3&amp;", *")</f>
        <v>0</v>
      </c>
      <c r="AD413" s="2">
        <f>COUNTIFS(集計用!$G411,"*, "&amp;AD$3&amp;", *")</f>
        <v>0</v>
      </c>
      <c r="AE413" s="2">
        <f>COUNTIFS(集計用!$G411,"*, "&amp;AE$3&amp;", *")</f>
        <v>0</v>
      </c>
      <c r="AF413" s="2">
        <f>COUNTIFS(集計用!$G411,"*, "&amp;AF$3&amp;", *")</f>
        <v>0</v>
      </c>
      <c r="AG413" s="2">
        <f>COUNTIFS(集計用!$G411,"*, "&amp;AG$3&amp;", *")</f>
        <v>0</v>
      </c>
      <c r="AH413" s="2">
        <f>COUNTIFS(集計用!$G411,"*, "&amp;AH$3&amp;", *")</f>
        <v>0</v>
      </c>
      <c r="AI413" s="2">
        <f>COUNTIFS(集計用!$G411,"*, "&amp;AI$3&amp;", *")</f>
        <v>0</v>
      </c>
      <c r="AJ413" s="2">
        <f>COUNTIFS(集計用!$G411,"*, "&amp;AJ$3&amp;", *")</f>
        <v>0</v>
      </c>
      <c r="AK413" s="2">
        <f>COUNTIFS(集計用!$G411,"*, "&amp;AK$3&amp;", *")</f>
        <v>0</v>
      </c>
      <c r="AL413" s="2">
        <f>COUNTIFS(集計用!$G411,"*, "&amp;AL$3&amp;", *")</f>
        <v>0</v>
      </c>
      <c r="AM413" s="2">
        <f>COUNTIFS(集計用!$G411,"*, "&amp;AM$3&amp;", *")</f>
        <v>0</v>
      </c>
      <c r="AN413" s="2">
        <f>COUNTIFS(集計用!$G411,"*, "&amp;AN$3&amp;", *")</f>
        <v>0</v>
      </c>
      <c r="AO413" s="2">
        <f>COUNTIFS(集計用!$G411,"*, "&amp;AO$3&amp;", *")</f>
        <v>0</v>
      </c>
      <c r="AP413" s="2">
        <f>COUNTIFS(集計用!$G411,"*, "&amp;AP$3&amp;", *")</f>
        <v>0</v>
      </c>
      <c r="AQ413" s="2">
        <f>COUNTIFS(集計用!$G411,"*, "&amp;AQ$3&amp;", *")</f>
        <v>0</v>
      </c>
      <c r="AR413" s="2">
        <f>COUNTIFS(集計用!$G411,"*, "&amp;AR$3&amp;", *")</f>
        <v>0</v>
      </c>
      <c r="AS413" s="2">
        <f>COUNTIFS(集計用!$G411,"*, "&amp;AS$3&amp;", *")</f>
        <v>0</v>
      </c>
      <c r="AT413" s="2">
        <f>COUNTIFS(集計用!$G411,"*, "&amp;AT$3&amp;", *")</f>
        <v>0</v>
      </c>
      <c r="AU413" s="2">
        <f>COUNTIFS(集計用!$G411,"*, "&amp;AU$3&amp;", *")</f>
        <v>0</v>
      </c>
      <c r="AV413" s="2">
        <f>COUNTIFS(集計用!$G411,"*, "&amp;AV$3&amp;", *")</f>
        <v>0</v>
      </c>
      <c r="AW413" s="2">
        <f>COUNTIFS(集計用!$G411,"*, "&amp;AW$3&amp;", *")</f>
        <v>0</v>
      </c>
      <c r="AX413" s="2">
        <f>COUNTIFS(集計用!$G411,"*, "&amp;AX$3&amp;", *")</f>
        <v>0</v>
      </c>
      <c r="AY413" s="2">
        <f>COUNTIFS(集計用!$G411,"*, "&amp;AY$3&amp;", *")</f>
        <v>0</v>
      </c>
      <c r="AZ413" s="2">
        <f>COUNTIFS(集計用!$G411,"*, "&amp;AZ$3&amp;", *")</f>
        <v>0</v>
      </c>
      <c r="BA413" s="2">
        <f>COUNTIFS(集計用!$G411,"*, "&amp;BA$3&amp;", *")</f>
        <v>0</v>
      </c>
      <c r="BB413" s="2">
        <f>COUNTIFS(集計用!$G411,"*, "&amp;BB$3&amp;", *")</f>
        <v>0</v>
      </c>
      <c r="BC413" s="2">
        <f>COUNTIFS(集計用!$G411,"*, "&amp;BC$3&amp;", *")</f>
        <v>0</v>
      </c>
      <c r="BD413" s="2">
        <f>COUNTIFS(集計用!$G411,"*, "&amp;BD$3&amp;", *")</f>
        <v>0</v>
      </c>
      <c r="BE413" s="2">
        <f>COUNTIFS(集計用!$G411,"*, "&amp;BE$3&amp;", *")</f>
        <v>0</v>
      </c>
      <c r="BF413" s="2">
        <f>COUNTIFS(集計用!$G411,"*, "&amp;BF$3&amp;", *")</f>
        <v>0</v>
      </c>
      <c r="BG413" s="2">
        <f>COUNTIFS(集計用!$G411,"*, "&amp;BG$3&amp;", *")</f>
        <v>0</v>
      </c>
      <c r="BH413" s="2">
        <f>COUNTIFS(集計用!$G411,"*, "&amp;BH$3&amp;", *")</f>
        <v>0</v>
      </c>
      <c r="BI413" s="2">
        <f>COUNTIFS(集計用!$G411,"*, "&amp;BI$3&amp;", *")</f>
        <v>0</v>
      </c>
      <c r="BJ413" s="2">
        <f>LEN(集計用!H411)-LEN(SUBSTITUTE(集計用!H411,",",""))</f>
        <v>0</v>
      </c>
    </row>
    <row r="414" spans="1:62" ht="12.75">
      <c r="A414" s="8">
        <v>411</v>
      </c>
      <c r="C414" s="2">
        <f t="shared" si="4"/>
        <v>8</v>
      </c>
      <c r="D414" s="9"/>
      <c r="E414" s="2">
        <f>COUNTIFS(集計用!$G412,"*, "&amp;E$3&amp;", *")</f>
        <v>0</v>
      </c>
      <c r="F414" s="2">
        <f>COUNTIFS(集計用!$G412,"*, "&amp;F$3&amp;", *")</f>
        <v>0</v>
      </c>
      <c r="G414" s="2">
        <f>COUNTIFS(集計用!$G412,"*, "&amp;G$3&amp;", *")</f>
        <v>1</v>
      </c>
      <c r="H414" s="2">
        <f>COUNTIFS(集計用!$G412,"*, "&amp;H$3&amp;", *")</f>
        <v>0</v>
      </c>
      <c r="I414" s="2">
        <f>COUNTIFS(集計用!$G412,"*, "&amp;I$3&amp;", *")</f>
        <v>0</v>
      </c>
      <c r="J414" s="2">
        <f>COUNTIFS(集計用!$G412,"*, "&amp;J$3&amp;", *")</f>
        <v>1</v>
      </c>
      <c r="K414" s="2">
        <f>COUNTIFS(集計用!$G412,"*, "&amp;K$3&amp;", *")</f>
        <v>1</v>
      </c>
      <c r="L414" s="2">
        <f>COUNTIFS(集計用!$G412,"*, "&amp;L$3&amp;", *")</f>
        <v>0</v>
      </c>
      <c r="M414" s="2">
        <f>COUNTIFS(集計用!$G412,"*, "&amp;M$3&amp;", *")</f>
        <v>1</v>
      </c>
      <c r="N414" s="2">
        <f>COUNTIFS(集計用!$G412,"*, "&amp;N$3&amp;", *")</f>
        <v>1</v>
      </c>
      <c r="O414" s="2">
        <f>COUNTIFS(集計用!$G412,"*, "&amp;O$3&amp;", *")</f>
        <v>0</v>
      </c>
      <c r="P414" s="2">
        <f>COUNTIFS(集計用!$G412,"*, "&amp;P$3&amp;", *")</f>
        <v>0</v>
      </c>
      <c r="Q414" s="2">
        <f>COUNTIFS(集計用!$G412,"*, "&amp;Q$3&amp;", *")</f>
        <v>0</v>
      </c>
      <c r="R414" s="2">
        <f>COUNTIFS(集計用!$G412,"*, "&amp;R$3&amp;", *")</f>
        <v>0</v>
      </c>
      <c r="S414" s="2">
        <f>COUNTIFS(集計用!$G412,"*, "&amp;S$3&amp;", *")</f>
        <v>0</v>
      </c>
      <c r="T414" s="2">
        <f>COUNTIFS(集計用!$G412,"*, "&amp;T$3&amp;", *")</f>
        <v>0</v>
      </c>
      <c r="U414" s="2">
        <f>COUNTIFS(集計用!$G412,"*, "&amp;U$3&amp;", *")</f>
        <v>0</v>
      </c>
      <c r="V414" s="2">
        <f>COUNTIFS(集計用!$G412,"*, "&amp;V$3&amp;", *")</f>
        <v>0</v>
      </c>
      <c r="W414" s="2">
        <f>COUNTIFS(集計用!$G412,"*, "&amp;W$3&amp;", *")</f>
        <v>0</v>
      </c>
      <c r="X414" s="2">
        <f>COUNTIFS(集計用!$G412,"*, "&amp;X$3&amp;", *")</f>
        <v>1</v>
      </c>
      <c r="Y414" s="2">
        <f>COUNTIFS(集計用!$G412,"*, "&amp;Y$3&amp;", *")</f>
        <v>0</v>
      </c>
      <c r="Z414" s="2">
        <f>COUNTIFS(集計用!$G412,"*, "&amp;Z$3&amp;", *")</f>
        <v>0</v>
      </c>
      <c r="AA414" s="2">
        <f>COUNTIFS(集計用!$G412,"*, "&amp;AA$3&amp;", *")</f>
        <v>0</v>
      </c>
      <c r="AB414" s="2">
        <f>COUNTIFS(集計用!$G412,"*, "&amp;AB$3&amp;", *")</f>
        <v>0</v>
      </c>
      <c r="AC414" s="2">
        <f>COUNTIFS(集計用!$G412,"*, "&amp;AC$3&amp;", *")</f>
        <v>0</v>
      </c>
      <c r="AD414" s="2">
        <f>COUNTIFS(集計用!$G412,"*, "&amp;AD$3&amp;", *")</f>
        <v>0</v>
      </c>
      <c r="AE414" s="2">
        <f>COUNTIFS(集計用!$G412,"*, "&amp;AE$3&amp;", *")</f>
        <v>0</v>
      </c>
      <c r="AF414" s="2">
        <f>COUNTIFS(集計用!$G412,"*, "&amp;AF$3&amp;", *")</f>
        <v>0</v>
      </c>
      <c r="AG414" s="2">
        <f>COUNTIFS(集計用!$G412,"*, "&amp;AG$3&amp;", *")</f>
        <v>0</v>
      </c>
      <c r="AH414" s="2">
        <f>COUNTIFS(集計用!$G412,"*, "&amp;AH$3&amp;", *")</f>
        <v>1</v>
      </c>
      <c r="AI414" s="2">
        <f>COUNTIFS(集計用!$G412,"*, "&amp;AI$3&amp;", *")</f>
        <v>0</v>
      </c>
      <c r="AJ414" s="2">
        <f>COUNTIFS(集計用!$G412,"*, "&amp;AJ$3&amp;", *")</f>
        <v>0</v>
      </c>
      <c r="AK414" s="2">
        <f>COUNTIFS(集計用!$G412,"*, "&amp;AK$3&amp;", *")</f>
        <v>0</v>
      </c>
      <c r="AL414" s="2">
        <f>COUNTIFS(集計用!$G412,"*, "&amp;AL$3&amp;", *")</f>
        <v>0</v>
      </c>
      <c r="AM414" s="2">
        <f>COUNTIFS(集計用!$G412,"*, "&amp;AM$3&amp;", *")</f>
        <v>0</v>
      </c>
      <c r="AN414" s="2">
        <f>COUNTIFS(集計用!$G412,"*, "&amp;AN$3&amp;", *")</f>
        <v>0</v>
      </c>
      <c r="AO414" s="2">
        <f>COUNTIFS(集計用!$G412,"*, "&amp;AO$3&amp;", *")</f>
        <v>0</v>
      </c>
      <c r="AP414" s="2">
        <f>COUNTIFS(集計用!$G412,"*, "&amp;AP$3&amp;", *")</f>
        <v>1</v>
      </c>
      <c r="AQ414" s="2">
        <f>COUNTIFS(集計用!$G412,"*, "&amp;AQ$3&amp;", *")</f>
        <v>0</v>
      </c>
      <c r="AR414" s="2">
        <f>COUNTIFS(集計用!$G412,"*, "&amp;AR$3&amp;", *")</f>
        <v>0</v>
      </c>
      <c r="AS414" s="2">
        <f>COUNTIFS(集計用!$G412,"*, "&amp;AS$3&amp;", *")</f>
        <v>0</v>
      </c>
      <c r="AT414" s="2">
        <f>COUNTIFS(集計用!$G412,"*, "&amp;AT$3&amp;", *")</f>
        <v>0</v>
      </c>
      <c r="AU414" s="2">
        <f>COUNTIFS(集計用!$G412,"*, "&amp;AU$3&amp;", *")</f>
        <v>0</v>
      </c>
      <c r="AV414" s="2">
        <f>COUNTIFS(集計用!$G412,"*, "&amp;AV$3&amp;", *")</f>
        <v>0</v>
      </c>
      <c r="AW414" s="2">
        <f>COUNTIFS(集計用!$G412,"*, "&amp;AW$3&amp;", *")</f>
        <v>0</v>
      </c>
      <c r="AX414" s="2">
        <f>COUNTIFS(集計用!$G412,"*, "&amp;AX$3&amp;", *")</f>
        <v>0</v>
      </c>
      <c r="AY414" s="2">
        <f>COUNTIFS(集計用!$G412,"*, "&amp;AY$3&amp;", *")</f>
        <v>0</v>
      </c>
      <c r="AZ414" s="2">
        <f>COUNTIFS(集計用!$G412,"*, "&amp;AZ$3&amp;", *")</f>
        <v>0</v>
      </c>
      <c r="BA414" s="2">
        <f>COUNTIFS(集計用!$G412,"*, "&amp;BA$3&amp;", *")</f>
        <v>0</v>
      </c>
      <c r="BB414" s="2">
        <f>COUNTIFS(集計用!$G412,"*, "&amp;BB$3&amp;", *")</f>
        <v>0</v>
      </c>
      <c r="BC414" s="2">
        <f>COUNTIFS(集計用!$G412,"*, "&amp;BC$3&amp;", *")</f>
        <v>0</v>
      </c>
      <c r="BD414" s="2">
        <f>COUNTIFS(集計用!$G412,"*, "&amp;BD$3&amp;", *")</f>
        <v>0</v>
      </c>
      <c r="BE414" s="2">
        <f>COUNTIFS(集計用!$G412,"*, "&amp;BE$3&amp;", *")</f>
        <v>0</v>
      </c>
      <c r="BF414" s="2">
        <f>COUNTIFS(集計用!$G412,"*, "&amp;BF$3&amp;", *")</f>
        <v>0</v>
      </c>
      <c r="BG414" s="2">
        <f>COUNTIFS(集計用!$G412,"*, "&amp;BG$3&amp;", *")</f>
        <v>0</v>
      </c>
      <c r="BH414" s="2">
        <f>COUNTIFS(集計用!$G412,"*, "&amp;BH$3&amp;", *")</f>
        <v>0</v>
      </c>
      <c r="BI414" s="2">
        <f>COUNTIFS(集計用!$G412,"*, "&amp;BI$3&amp;", *")</f>
        <v>0</v>
      </c>
      <c r="BJ414" s="2">
        <f>LEN(集計用!H412)-LEN(SUBSTITUTE(集計用!H412,",",""))</f>
        <v>0</v>
      </c>
    </row>
    <row r="415" spans="1:62" ht="12.75">
      <c r="A415" s="8">
        <v>412</v>
      </c>
      <c r="C415" s="2">
        <f t="shared" si="4"/>
        <v>6</v>
      </c>
      <c r="D415" s="9"/>
      <c r="E415" s="2">
        <f>COUNTIFS(集計用!$G413,"*, "&amp;E$3&amp;", *")</f>
        <v>0</v>
      </c>
      <c r="F415" s="2">
        <f>COUNTIFS(集計用!$G413,"*, "&amp;F$3&amp;", *")</f>
        <v>0</v>
      </c>
      <c r="G415" s="2">
        <f>COUNTIFS(集計用!$G413,"*, "&amp;G$3&amp;", *")</f>
        <v>0</v>
      </c>
      <c r="H415" s="2">
        <f>COUNTIFS(集計用!$G413,"*, "&amp;H$3&amp;", *")</f>
        <v>0</v>
      </c>
      <c r="I415" s="2">
        <f>COUNTIFS(集計用!$G413,"*, "&amp;I$3&amp;", *")</f>
        <v>0</v>
      </c>
      <c r="J415" s="2">
        <f>COUNTIFS(集計用!$G413,"*, "&amp;J$3&amp;", *")</f>
        <v>0</v>
      </c>
      <c r="K415" s="2">
        <f>COUNTIFS(集計用!$G413,"*, "&amp;K$3&amp;", *")</f>
        <v>0</v>
      </c>
      <c r="L415" s="2">
        <f>COUNTIFS(集計用!$G413,"*, "&amp;L$3&amp;", *")</f>
        <v>0</v>
      </c>
      <c r="M415" s="2">
        <f>COUNTIFS(集計用!$G413,"*, "&amp;M$3&amp;", *")</f>
        <v>0</v>
      </c>
      <c r="N415" s="2">
        <f>COUNTIFS(集計用!$G413,"*, "&amp;N$3&amp;", *")</f>
        <v>0</v>
      </c>
      <c r="O415" s="2">
        <f>COUNTIFS(集計用!$G413,"*, "&amp;O$3&amp;", *")</f>
        <v>1</v>
      </c>
      <c r="P415" s="2">
        <f>COUNTIFS(集計用!$G413,"*, "&amp;P$3&amp;", *")</f>
        <v>0</v>
      </c>
      <c r="Q415" s="2">
        <f>COUNTIFS(集計用!$G413,"*, "&amp;Q$3&amp;", *")</f>
        <v>0</v>
      </c>
      <c r="R415" s="2">
        <f>COUNTIFS(集計用!$G413,"*, "&amp;R$3&amp;", *")</f>
        <v>0</v>
      </c>
      <c r="S415" s="2">
        <f>COUNTIFS(集計用!$G413,"*, "&amp;S$3&amp;", *")</f>
        <v>0</v>
      </c>
      <c r="T415" s="2">
        <f>COUNTIFS(集計用!$G413,"*, "&amp;T$3&amp;", *")</f>
        <v>0</v>
      </c>
      <c r="U415" s="2">
        <f>COUNTIFS(集計用!$G413,"*, "&amp;U$3&amp;", *")</f>
        <v>0</v>
      </c>
      <c r="V415" s="2">
        <f>COUNTIFS(集計用!$G413,"*, "&amp;V$3&amp;", *")</f>
        <v>1</v>
      </c>
      <c r="W415" s="2">
        <f>COUNTIFS(集計用!$G413,"*, "&amp;W$3&amp;", *")</f>
        <v>0</v>
      </c>
      <c r="X415" s="2">
        <f>COUNTIFS(集計用!$G413,"*, "&amp;X$3&amp;", *")</f>
        <v>0</v>
      </c>
      <c r="Y415" s="2">
        <f>COUNTIFS(集計用!$G413,"*, "&amp;Y$3&amp;", *")</f>
        <v>0</v>
      </c>
      <c r="Z415" s="2">
        <f>COUNTIFS(集計用!$G413,"*, "&amp;Z$3&amp;", *")</f>
        <v>0</v>
      </c>
      <c r="AA415" s="2">
        <f>COUNTIFS(集計用!$G413,"*, "&amp;AA$3&amp;", *")</f>
        <v>1</v>
      </c>
      <c r="AB415" s="2">
        <f>COUNTIFS(集計用!$G413,"*, "&amp;AB$3&amp;", *")</f>
        <v>1</v>
      </c>
      <c r="AC415" s="2">
        <f>COUNTIFS(集計用!$G413,"*, "&amp;AC$3&amp;", *")</f>
        <v>0</v>
      </c>
      <c r="AD415" s="2">
        <f>COUNTIFS(集計用!$G413,"*, "&amp;AD$3&amp;", *")</f>
        <v>1</v>
      </c>
      <c r="AE415" s="2">
        <f>COUNTIFS(集計用!$G413,"*, "&amp;AE$3&amp;", *")</f>
        <v>0</v>
      </c>
      <c r="AF415" s="2">
        <f>COUNTIFS(集計用!$G413,"*, "&amp;AF$3&amp;", *")</f>
        <v>0</v>
      </c>
      <c r="AG415" s="2">
        <f>COUNTIFS(集計用!$G413,"*, "&amp;AG$3&amp;", *")</f>
        <v>1</v>
      </c>
      <c r="AH415" s="2">
        <f>COUNTIFS(集計用!$G413,"*, "&amp;AH$3&amp;", *")</f>
        <v>0</v>
      </c>
      <c r="AI415" s="2">
        <f>COUNTIFS(集計用!$G413,"*, "&amp;AI$3&amp;", *")</f>
        <v>0</v>
      </c>
      <c r="AJ415" s="2">
        <f>COUNTIFS(集計用!$G413,"*, "&amp;AJ$3&amp;", *")</f>
        <v>0</v>
      </c>
      <c r="AK415" s="2">
        <f>COUNTIFS(集計用!$G413,"*, "&amp;AK$3&amp;", *")</f>
        <v>0</v>
      </c>
      <c r="AL415" s="2">
        <f>COUNTIFS(集計用!$G413,"*, "&amp;AL$3&amp;", *")</f>
        <v>0</v>
      </c>
      <c r="AM415" s="2">
        <f>COUNTIFS(集計用!$G413,"*, "&amp;AM$3&amp;", *")</f>
        <v>0</v>
      </c>
      <c r="AN415" s="2">
        <f>COUNTIFS(集計用!$G413,"*, "&amp;AN$3&amp;", *")</f>
        <v>0</v>
      </c>
      <c r="AO415" s="2">
        <f>COUNTIFS(集計用!$G413,"*, "&amp;AO$3&amp;", *")</f>
        <v>0</v>
      </c>
      <c r="AP415" s="2">
        <f>COUNTIFS(集計用!$G413,"*, "&amp;AP$3&amp;", *")</f>
        <v>0</v>
      </c>
      <c r="AQ415" s="2">
        <f>COUNTIFS(集計用!$G413,"*, "&amp;AQ$3&amp;", *")</f>
        <v>0</v>
      </c>
      <c r="AR415" s="2">
        <f>COUNTIFS(集計用!$G413,"*, "&amp;AR$3&amp;", *")</f>
        <v>0</v>
      </c>
      <c r="AS415" s="2">
        <f>COUNTIFS(集計用!$G413,"*, "&amp;AS$3&amp;", *")</f>
        <v>0</v>
      </c>
      <c r="AT415" s="2">
        <f>COUNTIFS(集計用!$G413,"*, "&amp;AT$3&amp;", *")</f>
        <v>0</v>
      </c>
      <c r="AU415" s="2">
        <f>COUNTIFS(集計用!$G413,"*, "&amp;AU$3&amp;", *")</f>
        <v>0</v>
      </c>
      <c r="AV415" s="2">
        <f>COUNTIFS(集計用!$G413,"*, "&amp;AV$3&amp;", *")</f>
        <v>0</v>
      </c>
      <c r="AW415" s="2">
        <f>COUNTIFS(集計用!$G413,"*, "&amp;AW$3&amp;", *")</f>
        <v>0</v>
      </c>
      <c r="AX415" s="2">
        <f>COUNTIFS(集計用!$G413,"*, "&amp;AX$3&amp;", *")</f>
        <v>0</v>
      </c>
      <c r="AY415" s="2">
        <f>COUNTIFS(集計用!$G413,"*, "&amp;AY$3&amp;", *")</f>
        <v>0</v>
      </c>
      <c r="AZ415" s="2">
        <f>COUNTIFS(集計用!$G413,"*, "&amp;AZ$3&amp;", *")</f>
        <v>0</v>
      </c>
      <c r="BA415" s="2">
        <f>COUNTIFS(集計用!$G413,"*, "&amp;BA$3&amp;", *")</f>
        <v>0</v>
      </c>
      <c r="BB415" s="2">
        <f>COUNTIFS(集計用!$G413,"*, "&amp;BB$3&amp;", *")</f>
        <v>0</v>
      </c>
      <c r="BC415" s="2">
        <f>COUNTIFS(集計用!$G413,"*, "&amp;BC$3&amp;", *")</f>
        <v>0</v>
      </c>
      <c r="BD415" s="2">
        <f>COUNTIFS(集計用!$G413,"*, "&amp;BD$3&amp;", *")</f>
        <v>0</v>
      </c>
      <c r="BE415" s="2">
        <f>COUNTIFS(集計用!$G413,"*, "&amp;BE$3&amp;", *")</f>
        <v>0</v>
      </c>
      <c r="BF415" s="2">
        <f>COUNTIFS(集計用!$G413,"*, "&amp;BF$3&amp;", *")</f>
        <v>0</v>
      </c>
      <c r="BG415" s="2">
        <f>COUNTIFS(集計用!$G413,"*, "&amp;BG$3&amp;", *")</f>
        <v>0</v>
      </c>
      <c r="BH415" s="2">
        <f>COUNTIFS(集計用!$G413,"*, "&amp;BH$3&amp;", *")</f>
        <v>0</v>
      </c>
      <c r="BI415" s="2">
        <f>COUNTIFS(集計用!$G413,"*, "&amp;BI$3&amp;", *")</f>
        <v>0</v>
      </c>
      <c r="BJ415" s="2">
        <f>LEN(集計用!H413)-LEN(SUBSTITUTE(集計用!H413,",",""))</f>
        <v>0</v>
      </c>
    </row>
    <row r="416" spans="1:62" ht="12.75">
      <c r="A416" s="8">
        <v>413</v>
      </c>
      <c r="C416" s="2">
        <f t="shared" si="4"/>
        <v>1</v>
      </c>
      <c r="D416" s="9"/>
      <c r="E416" s="2">
        <f>COUNTIFS(集計用!$G414,"*, "&amp;E$3&amp;", *")</f>
        <v>0</v>
      </c>
      <c r="F416" s="2">
        <f>COUNTIFS(集計用!$G414,"*, "&amp;F$3&amp;", *")</f>
        <v>0</v>
      </c>
      <c r="G416" s="2">
        <f>COUNTIFS(集計用!$G414,"*, "&amp;G$3&amp;", *")</f>
        <v>0</v>
      </c>
      <c r="H416" s="2">
        <f>COUNTIFS(集計用!$G414,"*, "&amp;H$3&amp;", *")</f>
        <v>0</v>
      </c>
      <c r="I416" s="2">
        <f>COUNTIFS(集計用!$G414,"*, "&amp;I$3&amp;", *")</f>
        <v>0</v>
      </c>
      <c r="J416" s="2">
        <f>COUNTIFS(集計用!$G414,"*, "&amp;J$3&amp;", *")</f>
        <v>0</v>
      </c>
      <c r="K416" s="2">
        <f>COUNTIFS(集計用!$G414,"*, "&amp;K$3&amp;", *")</f>
        <v>0</v>
      </c>
      <c r="L416" s="2">
        <f>COUNTIFS(集計用!$G414,"*, "&amp;L$3&amp;", *")</f>
        <v>1</v>
      </c>
      <c r="M416" s="2">
        <f>COUNTIFS(集計用!$G414,"*, "&amp;M$3&amp;", *")</f>
        <v>0</v>
      </c>
      <c r="N416" s="2">
        <f>COUNTIFS(集計用!$G414,"*, "&amp;N$3&amp;", *")</f>
        <v>0</v>
      </c>
      <c r="O416" s="2">
        <f>COUNTIFS(集計用!$G414,"*, "&amp;O$3&amp;", *")</f>
        <v>0</v>
      </c>
      <c r="P416" s="2">
        <f>COUNTIFS(集計用!$G414,"*, "&amp;P$3&amp;", *")</f>
        <v>0</v>
      </c>
      <c r="Q416" s="2">
        <f>COUNTIFS(集計用!$G414,"*, "&amp;Q$3&amp;", *")</f>
        <v>0</v>
      </c>
      <c r="R416" s="2">
        <f>COUNTIFS(集計用!$G414,"*, "&amp;R$3&amp;", *")</f>
        <v>0</v>
      </c>
      <c r="S416" s="2">
        <f>COUNTIFS(集計用!$G414,"*, "&amp;S$3&amp;", *")</f>
        <v>0</v>
      </c>
      <c r="T416" s="2">
        <f>COUNTIFS(集計用!$G414,"*, "&amp;T$3&amp;", *")</f>
        <v>0</v>
      </c>
      <c r="U416" s="2">
        <f>COUNTIFS(集計用!$G414,"*, "&amp;U$3&amp;", *")</f>
        <v>0</v>
      </c>
      <c r="V416" s="2">
        <f>COUNTIFS(集計用!$G414,"*, "&amp;V$3&amp;", *")</f>
        <v>0</v>
      </c>
      <c r="W416" s="2">
        <f>COUNTIFS(集計用!$G414,"*, "&amp;W$3&amp;", *")</f>
        <v>0</v>
      </c>
      <c r="X416" s="2">
        <f>COUNTIFS(集計用!$G414,"*, "&amp;X$3&amp;", *")</f>
        <v>0</v>
      </c>
      <c r="Y416" s="2">
        <f>COUNTIFS(集計用!$G414,"*, "&amp;Y$3&amp;", *")</f>
        <v>0</v>
      </c>
      <c r="Z416" s="2">
        <f>COUNTIFS(集計用!$G414,"*, "&amp;Z$3&amp;", *")</f>
        <v>0</v>
      </c>
      <c r="AA416" s="2">
        <f>COUNTIFS(集計用!$G414,"*, "&amp;AA$3&amp;", *")</f>
        <v>0</v>
      </c>
      <c r="AB416" s="2">
        <f>COUNTIFS(集計用!$G414,"*, "&amp;AB$3&amp;", *")</f>
        <v>0</v>
      </c>
      <c r="AC416" s="2">
        <f>COUNTIFS(集計用!$G414,"*, "&amp;AC$3&amp;", *")</f>
        <v>0</v>
      </c>
      <c r="AD416" s="2">
        <f>COUNTIFS(集計用!$G414,"*, "&amp;AD$3&amp;", *")</f>
        <v>0</v>
      </c>
      <c r="AE416" s="2">
        <f>COUNTIFS(集計用!$G414,"*, "&amp;AE$3&amp;", *")</f>
        <v>0</v>
      </c>
      <c r="AF416" s="2">
        <f>COUNTIFS(集計用!$G414,"*, "&amp;AF$3&amp;", *")</f>
        <v>0</v>
      </c>
      <c r="AG416" s="2">
        <f>COUNTIFS(集計用!$G414,"*, "&amp;AG$3&amp;", *")</f>
        <v>0</v>
      </c>
      <c r="AH416" s="2">
        <f>COUNTIFS(集計用!$G414,"*, "&amp;AH$3&amp;", *")</f>
        <v>0</v>
      </c>
      <c r="AI416" s="2">
        <f>COUNTIFS(集計用!$G414,"*, "&amp;AI$3&amp;", *")</f>
        <v>0</v>
      </c>
      <c r="AJ416" s="2">
        <f>COUNTIFS(集計用!$G414,"*, "&amp;AJ$3&amp;", *")</f>
        <v>0</v>
      </c>
      <c r="AK416" s="2">
        <f>COUNTIFS(集計用!$G414,"*, "&amp;AK$3&amp;", *")</f>
        <v>0</v>
      </c>
      <c r="AL416" s="2">
        <f>COUNTIFS(集計用!$G414,"*, "&amp;AL$3&amp;", *")</f>
        <v>0</v>
      </c>
      <c r="AM416" s="2">
        <f>COUNTIFS(集計用!$G414,"*, "&amp;AM$3&amp;", *")</f>
        <v>0</v>
      </c>
      <c r="AN416" s="2">
        <f>COUNTIFS(集計用!$G414,"*, "&amp;AN$3&amp;", *")</f>
        <v>0</v>
      </c>
      <c r="AO416" s="2">
        <f>COUNTIFS(集計用!$G414,"*, "&amp;AO$3&amp;", *")</f>
        <v>0</v>
      </c>
      <c r="AP416" s="2">
        <f>COUNTIFS(集計用!$G414,"*, "&amp;AP$3&amp;", *")</f>
        <v>0</v>
      </c>
      <c r="AQ416" s="2">
        <f>COUNTIFS(集計用!$G414,"*, "&amp;AQ$3&amp;", *")</f>
        <v>0</v>
      </c>
      <c r="AR416" s="2">
        <f>COUNTIFS(集計用!$G414,"*, "&amp;AR$3&amp;", *")</f>
        <v>0</v>
      </c>
      <c r="AS416" s="2">
        <f>COUNTIFS(集計用!$G414,"*, "&amp;AS$3&amp;", *")</f>
        <v>0</v>
      </c>
      <c r="AT416" s="2">
        <f>COUNTIFS(集計用!$G414,"*, "&amp;AT$3&amp;", *")</f>
        <v>0</v>
      </c>
      <c r="AU416" s="2">
        <f>COUNTIFS(集計用!$G414,"*, "&amp;AU$3&amp;", *")</f>
        <v>0</v>
      </c>
      <c r="AV416" s="2">
        <f>COUNTIFS(集計用!$G414,"*, "&amp;AV$3&amp;", *")</f>
        <v>0</v>
      </c>
      <c r="AW416" s="2">
        <f>COUNTIFS(集計用!$G414,"*, "&amp;AW$3&amp;", *")</f>
        <v>0</v>
      </c>
      <c r="AX416" s="2">
        <f>COUNTIFS(集計用!$G414,"*, "&amp;AX$3&amp;", *")</f>
        <v>0</v>
      </c>
      <c r="AY416" s="2">
        <f>COUNTIFS(集計用!$G414,"*, "&amp;AY$3&amp;", *")</f>
        <v>0</v>
      </c>
      <c r="AZ416" s="2">
        <f>COUNTIFS(集計用!$G414,"*, "&amp;AZ$3&amp;", *")</f>
        <v>0</v>
      </c>
      <c r="BA416" s="2">
        <f>COUNTIFS(集計用!$G414,"*, "&amp;BA$3&amp;", *")</f>
        <v>0</v>
      </c>
      <c r="BB416" s="2">
        <f>COUNTIFS(集計用!$G414,"*, "&amp;BB$3&amp;", *")</f>
        <v>0</v>
      </c>
      <c r="BC416" s="2">
        <f>COUNTIFS(集計用!$G414,"*, "&amp;BC$3&amp;", *")</f>
        <v>0</v>
      </c>
      <c r="BD416" s="2">
        <f>COUNTIFS(集計用!$G414,"*, "&amp;BD$3&amp;", *")</f>
        <v>0</v>
      </c>
      <c r="BE416" s="2">
        <f>COUNTIFS(集計用!$G414,"*, "&amp;BE$3&amp;", *")</f>
        <v>0</v>
      </c>
      <c r="BF416" s="2">
        <f>COUNTIFS(集計用!$G414,"*, "&amp;BF$3&amp;", *")</f>
        <v>0</v>
      </c>
      <c r="BG416" s="2">
        <f>COUNTIFS(集計用!$G414,"*, "&amp;BG$3&amp;", *")</f>
        <v>0</v>
      </c>
      <c r="BH416" s="2">
        <f>COUNTIFS(集計用!$G414,"*, "&amp;BH$3&amp;", *")</f>
        <v>0</v>
      </c>
      <c r="BI416" s="2">
        <f>COUNTIFS(集計用!$G414,"*, "&amp;BI$3&amp;", *")</f>
        <v>0</v>
      </c>
      <c r="BJ416" s="2">
        <f>LEN(集計用!H414)-LEN(SUBSTITUTE(集計用!H414,",",""))</f>
        <v>0</v>
      </c>
    </row>
    <row r="417" spans="1:62" ht="12.75">
      <c r="A417" s="8">
        <v>414</v>
      </c>
      <c r="C417" s="2">
        <f t="shared" si="4"/>
        <v>2</v>
      </c>
      <c r="D417" s="9"/>
      <c r="E417" s="2">
        <f>COUNTIFS(集計用!$G415,"*, "&amp;E$3&amp;", *")</f>
        <v>1</v>
      </c>
      <c r="F417" s="2">
        <f>COUNTIFS(集計用!$G415,"*, "&amp;F$3&amp;", *")</f>
        <v>0</v>
      </c>
      <c r="G417" s="2">
        <f>COUNTIFS(集計用!$G415,"*, "&amp;G$3&amp;", *")</f>
        <v>0</v>
      </c>
      <c r="H417" s="2">
        <f>COUNTIFS(集計用!$G415,"*, "&amp;H$3&amp;", *")</f>
        <v>0</v>
      </c>
      <c r="I417" s="2">
        <f>COUNTIFS(集計用!$G415,"*, "&amp;I$3&amp;", *")</f>
        <v>0</v>
      </c>
      <c r="J417" s="2">
        <f>COUNTIFS(集計用!$G415,"*, "&amp;J$3&amp;", *")</f>
        <v>0</v>
      </c>
      <c r="K417" s="2">
        <f>COUNTIFS(集計用!$G415,"*, "&amp;K$3&amp;", *")</f>
        <v>0</v>
      </c>
      <c r="L417" s="2">
        <f>COUNTIFS(集計用!$G415,"*, "&amp;L$3&amp;", *")</f>
        <v>0</v>
      </c>
      <c r="M417" s="2">
        <f>COUNTIFS(集計用!$G415,"*, "&amp;M$3&amp;", *")</f>
        <v>0</v>
      </c>
      <c r="N417" s="2">
        <f>COUNTIFS(集計用!$G415,"*, "&amp;N$3&amp;", *")</f>
        <v>0</v>
      </c>
      <c r="O417" s="2">
        <f>COUNTIFS(集計用!$G415,"*, "&amp;O$3&amp;", *")</f>
        <v>0</v>
      </c>
      <c r="P417" s="2">
        <f>COUNTIFS(集計用!$G415,"*, "&amp;P$3&amp;", *")</f>
        <v>0</v>
      </c>
      <c r="Q417" s="2">
        <f>COUNTIFS(集計用!$G415,"*, "&amp;Q$3&amp;", *")</f>
        <v>0</v>
      </c>
      <c r="R417" s="2">
        <f>COUNTIFS(集計用!$G415,"*, "&amp;R$3&amp;", *")</f>
        <v>0</v>
      </c>
      <c r="S417" s="2">
        <f>COUNTIFS(集計用!$G415,"*, "&amp;S$3&amp;", *")</f>
        <v>0</v>
      </c>
      <c r="T417" s="2">
        <f>COUNTIFS(集計用!$G415,"*, "&amp;T$3&amp;", *")</f>
        <v>0</v>
      </c>
      <c r="U417" s="2">
        <f>COUNTIFS(集計用!$G415,"*, "&amp;U$3&amp;", *")</f>
        <v>0</v>
      </c>
      <c r="V417" s="2">
        <f>COUNTIFS(集計用!$G415,"*, "&amp;V$3&amp;", *")</f>
        <v>0</v>
      </c>
      <c r="W417" s="2">
        <f>COUNTIFS(集計用!$G415,"*, "&amp;W$3&amp;", *")</f>
        <v>0</v>
      </c>
      <c r="X417" s="2">
        <f>COUNTIFS(集計用!$G415,"*, "&amp;X$3&amp;", *")</f>
        <v>0</v>
      </c>
      <c r="Y417" s="2">
        <f>COUNTIFS(集計用!$G415,"*, "&amp;Y$3&amp;", *")</f>
        <v>0</v>
      </c>
      <c r="Z417" s="2">
        <f>COUNTIFS(集計用!$G415,"*, "&amp;Z$3&amp;", *")</f>
        <v>0</v>
      </c>
      <c r="AA417" s="2">
        <f>COUNTIFS(集計用!$G415,"*, "&amp;AA$3&amp;", *")</f>
        <v>0</v>
      </c>
      <c r="AB417" s="2">
        <f>COUNTIFS(集計用!$G415,"*, "&amp;AB$3&amp;", *")</f>
        <v>0</v>
      </c>
      <c r="AC417" s="2">
        <f>COUNTIFS(集計用!$G415,"*, "&amp;AC$3&amp;", *")</f>
        <v>0</v>
      </c>
      <c r="AD417" s="2">
        <f>COUNTIFS(集計用!$G415,"*, "&amp;AD$3&amp;", *")</f>
        <v>0</v>
      </c>
      <c r="AE417" s="2">
        <f>COUNTIFS(集計用!$G415,"*, "&amp;AE$3&amp;", *")</f>
        <v>0</v>
      </c>
      <c r="AF417" s="2">
        <f>COUNTIFS(集計用!$G415,"*, "&amp;AF$3&amp;", *")</f>
        <v>0</v>
      </c>
      <c r="AG417" s="2">
        <f>COUNTIFS(集計用!$G415,"*, "&amp;AG$3&amp;", *")</f>
        <v>0</v>
      </c>
      <c r="AH417" s="2">
        <f>COUNTIFS(集計用!$G415,"*, "&amp;AH$3&amp;", *")</f>
        <v>0</v>
      </c>
      <c r="AI417" s="2">
        <f>COUNTIFS(集計用!$G415,"*, "&amp;AI$3&amp;", *")</f>
        <v>0</v>
      </c>
      <c r="AJ417" s="2">
        <f>COUNTIFS(集計用!$G415,"*, "&amp;AJ$3&amp;", *")</f>
        <v>0</v>
      </c>
      <c r="AK417" s="2">
        <f>COUNTIFS(集計用!$G415,"*, "&amp;AK$3&amp;", *")</f>
        <v>0</v>
      </c>
      <c r="AL417" s="2">
        <f>COUNTIFS(集計用!$G415,"*, "&amp;AL$3&amp;", *")</f>
        <v>0</v>
      </c>
      <c r="AM417" s="2">
        <f>COUNTIFS(集計用!$G415,"*, "&amp;AM$3&amp;", *")</f>
        <v>0</v>
      </c>
      <c r="AN417" s="2">
        <f>COUNTIFS(集計用!$G415,"*, "&amp;AN$3&amp;", *")</f>
        <v>0</v>
      </c>
      <c r="AO417" s="2">
        <f>COUNTIFS(集計用!$G415,"*, "&amp;AO$3&amp;", *")</f>
        <v>0</v>
      </c>
      <c r="AP417" s="2">
        <f>COUNTIFS(集計用!$G415,"*, "&amp;AP$3&amp;", *")</f>
        <v>0</v>
      </c>
      <c r="AQ417" s="2">
        <f>COUNTIFS(集計用!$G415,"*, "&amp;AQ$3&amp;", *")</f>
        <v>0</v>
      </c>
      <c r="AR417" s="2">
        <f>COUNTIFS(集計用!$G415,"*, "&amp;AR$3&amp;", *")</f>
        <v>0</v>
      </c>
      <c r="AS417" s="2">
        <f>COUNTIFS(集計用!$G415,"*, "&amp;AS$3&amp;", *")</f>
        <v>0</v>
      </c>
      <c r="AT417" s="2">
        <f>COUNTIFS(集計用!$G415,"*, "&amp;AT$3&amp;", *")</f>
        <v>0</v>
      </c>
      <c r="AU417" s="2">
        <f>COUNTIFS(集計用!$G415,"*, "&amp;AU$3&amp;", *")</f>
        <v>0</v>
      </c>
      <c r="AV417" s="2">
        <f>COUNTIFS(集計用!$G415,"*, "&amp;AV$3&amp;", *")</f>
        <v>0</v>
      </c>
      <c r="AW417" s="2">
        <f>COUNTIFS(集計用!$G415,"*, "&amp;AW$3&amp;", *")</f>
        <v>0</v>
      </c>
      <c r="AX417" s="2">
        <f>COUNTIFS(集計用!$G415,"*, "&amp;AX$3&amp;", *")</f>
        <v>0</v>
      </c>
      <c r="AY417" s="2">
        <f>COUNTIFS(集計用!$G415,"*, "&amp;AY$3&amp;", *")</f>
        <v>0</v>
      </c>
      <c r="AZ417" s="2">
        <f>COUNTIFS(集計用!$G415,"*, "&amp;AZ$3&amp;", *")</f>
        <v>0</v>
      </c>
      <c r="BA417" s="2">
        <f>COUNTIFS(集計用!$G415,"*, "&amp;BA$3&amp;", *")</f>
        <v>0</v>
      </c>
      <c r="BB417" s="2">
        <f>COUNTIFS(集計用!$G415,"*, "&amp;BB$3&amp;", *")</f>
        <v>0</v>
      </c>
      <c r="BC417" s="2">
        <f>COUNTIFS(集計用!$G415,"*, "&amp;BC$3&amp;", *")</f>
        <v>0</v>
      </c>
      <c r="BD417" s="2">
        <f>COUNTIFS(集計用!$G415,"*, "&amp;BD$3&amp;", *")</f>
        <v>0</v>
      </c>
      <c r="BE417" s="2">
        <f>COUNTIFS(集計用!$G415,"*, "&amp;BE$3&amp;", *")</f>
        <v>0</v>
      </c>
      <c r="BF417" s="2">
        <f>COUNTIFS(集計用!$G415,"*, "&amp;BF$3&amp;", *")</f>
        <v>0</v>
      </c>
      <c r="BG417" s="2">
        <f>COUNTIFS(集計用!$G415,"*, "&amp;BG$3&amp;", *")</f>
        <v>0</v>
      </c>
      <c r="BH417" s="2">
        <f>COUNTIFS(集計用!$G415,"*, "&amp;BH$3&amp;", *")</f>
        <v>0</v>
      </c>
      <c r="BI417" s="2">
        <f>COUNTIFS(集計用!$G415,"*, "&amp;BI$3&amp;", *")</f>
        <v>0</v>
      </c>
      <c r="BJ417" s="2">
        <f>LEN(集計用!H415)-LEN(SUBSTITUTE(集計用!H415,",",""))</f>
        <v>1</v>
      </c>
    </row>
    <row r="418" spans="1:62" ht="12.75">
      <c r="A418" s="8">
        <v>415</v>
      </c>
      <c r="C418" s="2">
        <f t="shared" si="4"/>
        <v>5</v>
      </c>
      <c r="D418" s="9"/>
      <c r="E418" s="2">
        <f>COUNTIFS(集計用!$G416,"*, "&amp;E$3&amp;", *")</f>
        <v>1</v>
      </c>
      <c r="F418" s="2">
        <f>COUNTIFS(集計用!$G416,"*, "&amp;F$3&amp;", *")</f>
        <v>1</v>
      </c>
      <c r="G418" s="2">
        <f>COUNTIFS(集計用!$G416,"*, "&amp;G$3&amp;", *")</f>
        <v>1</v>
      </c>
      <c r="H418" s="2">
        <f>COUNTIFS(集計用!$G416,"*, "&amp;H$3&amp;", *")</f>
        <v>0</v>
      </c>
      <c r="I418" s="2">
        <f>COUNTIFS(集計用!$G416,"*, "&amp;I$3&amp;", *")</f>
        <v>0</v>
      </c>
      <c r="J418" s="2">
        <f>COUNTIFS(集計用!$G416,"*, "&amp;J$3&amp;", *")</f>
        <v>0</v>
      </c>
      <c r="K418" s="2">
        <f>COUNTIFS(集計用!$G416,"*, "&amp;K$3&amp;", *")</f>
        <v>1</v>
      </c>
      <c r="L418" s="2">
        <f>COUNTIFS(集計用!$G416,"*, "&amp;L$3&amp;", *")</f>
        <v>0</v>
      </c>
      <c r="M418" s="2">
        <f>COUNTIFS(集計用!$G416,"*, "&amp;M$3&amp;", *")</f>
        <v>0</v>
      </c>
      <c r="N418" s="2">
        <f>COUNTIFS(集計用!$G416,"*, "&amp;N$3&amp;", *")</f>
        <v>0</v>
      </c>
      <c r="O418" s="2">
        <f>COUNTIFS(集計用!$G416,"*, "&amp;O$3&amp;", *")</f>
        <v>0</v>
      </c>
      <c r="P418" s="2">
        <f>COUNTIFS(集計用!$G416,"*, "&amp;P$3&amp;", *")</f>
        <v>0</v>
      </c>
      <c r="Q418" s="2">
        <f>COUNTIFS(集計用!$G416,"*, "&amp;Q$3&amp;", *")</f>
        <v>0</v>
      </c>
      <c r="R418" s="2">
        <f>COUNTIFS(集計用!$G416,"*, "&amp;R$3&amp;", *")</f>
        <v>1</v>
      </c>
      <c r="S418" s="2">
        <f>COUNTIFS(集計用!$G416,"*, "&amp;S$3&amp;", *")</f>
        <v>0</v>
      </c>
      <c r="T418" s="2">
        <f>COUNTIFS(集計用!$G416,"*, "&amp;T$3&amp;", *")</f>
        <v>0</v>
      </c>
      <c r="U418" s="2">
        <f>COUNTIFS(集計用!$G416,"*, "&amp;U$3&amp;", *")</f>
        <v>0</v>
      </c>
      <c r="V418" s="2">
        <f>COUNTIFS(集計用!$G416,"*, "&amp;V$3&amp;", *")</f>
        <v>0</v>
      </c>
      <c r="W418" s="2">
        <f>COUNTIFS(集計用!$G416,"*, "&amp;W$3&amp;", *")</f>
        <v>0</v>
      </c>
      <c r="X418" s="2">
        <f>COUNTIFS(集計用!$G416,"*, "&amp;X$3&amp;", *")</f>
        <v>0</v>
      </c>
      <c r="Y418" s="2">
        <f>COUNTIFS(集計用!$G416,"*, "&amp;Y$3&amp;", *")</f>
        <v>0</v>
      </c>
      <c r="Z418" s="2">
        <f>COUNTIFS(集計用!$G416,"*, "&amp;Z$3&amp;", *")</f>
        <v>0</v>
      </c>
      <c r="AA418" s="2">
        <f>COUNTIFS(集計用!$G416,"*, "&amp;AA$3&amp;", *")</f>
        <v>0</v>
      </c>
      <c r="AB418" s="2">
        <f>COUNTIFS(集計用!$G416,"*, "&amp;AB$3&amp;", *")</f>
        <v>0</v>
      </c>
      <c r="AC418" s="2">
        <f>COUNTIFS(集計用!$G416,"*, "&amp;AC$3&amp;", *")</f>
        <v>0</v>
      </c>
      <c r="AD418" s="2">
        <f>COUNTIFS(集計用!$G416,"*, "&amp;AD$3&amp;", *")</f>
        <v>0</v>
      </c>
      <c r="AE418" s="2">
        <f>COUNTIFS(集計用!$G416,"*, "&amp;AE$3&amp;", *")</f>
        <v>0</v>
      </c>
      <c r="AF418" s="2">
        <f>COUNTIFS(集計用!$G416,"*, "&amp;AF$3&amp;", *")</f>
        <v>0</v>
      </c>
      <c r="AG418" s="2">
        <f>COUNTIFS(集計用!$G416,"*, "&amp;AG$3&amp;", *")</f>
        <v>0</v>
      </c>
      <c r="AH418" s="2">
        <f>COUNTIFS(集計用!$G416,"*, "&amp;AH$3&amp;", *")</f>
        <v>0</v>
      </c>
      <c r="AI418" s="2">
        <f>COUNTIFS(集計用!$G416,"*, "&amp;AI$3&amp;", *")</f>
        <v>0</v>
      </c>
      <c r="AJ418" s="2">
        <f>COUNTIFS(集計用!$G416,"*, "&amp;AJ$3&amp;", *")</f>
        <v>0</v>
      </c>
      <c r="AK418" s="2">
        <f>COUNTIFS(集計用!$G416,"*, "&amp;AK$3&amp;", *")</f>
        <v>0</v>
      </c>
      <c r="AL418" s="2">
        <f>COUNTIFS(集計用!$G416,"*, "&amp;AL$3&amp;", *")</f>
        <v>0</v>
      </c>
      <c r="AM418" s="2">
        <f>COUNTIFS(集計用!$G416,"*, "&amp;AM$3&amp;", *")</f>
        <v>0</v>
      </c>
      <c r="AN418" s="2">
        <f>COUNTIFS(集計用!$G416,"*, "&amp;AN$3&amp;", *")</f>
        <v>0</v>
      </c>
      <c r="AO418" s="2">
        <f>COUNTIFS(集計用!$G416,"*, "&amp;AO$3&amp;", *")</f>
        <v>0</v>
      </c>
      <c r="AP418" s="2">
        <f>COUNTIFS(集計用!$G416,"*, "&amp;AP$3&amp;", *")</f>
        <v>0</v>
      </c>
      <c r="AQ418" s="2">
        <f>COUNTIFS(集計用!$G416,"*, "&amp;AQ$3&amp;", *")</f>
        <v>0</v>
      </c>
      <c r="AR418" s="2">
        <f>COUNTIFS(集計用!$G416,"*, "&amp;AR$3&amp;", *")</f>
        <v>0</v>
      </c>
      <c r="AS418" s="2">
        <f>COUNTIFS(集計用!$G416,"*, "&amp;AS$3&amp;", *")</f>
        <v>0</v>
      </c>
      <c r="AT418" s="2">
        <f>COUNTIFS(集計用!$G416,"*, "&amp;AT$3&amp;", *")</f>
        <v>0</v>
      </c>
      <c r="AU418" s="2">
        <f>COUNTIFS(集計用!$G416,"*, "&amp;AU$3&amp;", *")</f>
        <v>0</v>
      </c>
      <c r="AV418" s="2">
        <f>COUNTIFS(集計用!$G416,"*, "&amp;AV$3&amp;", *")</f>
        <v>0</v>
      </c>
      <c r="AW418" s="2">
        <f>COUNTIFS(集計用!$G416,"*, "&amp;AW$3&amp;", *")</f>
        <v>0</v>
      </c>
      <c r="AX418" s="2">
        <f>COUNTIFS(集計用!$G416,"*, "&amp;AX$3&amp;", *")</f>
        <v>0</v>
      </c>
      <c r="AY418" s="2">
        <f>COUNTIFS(集計用!$G416,"*, "&amp;AY$3&amp;", *")</f>
        <v>0</v>
      </c>
      <c r="AZ418" s="2">
        <f>COUNTIFS(集計用!$G416,"*, "&amp;AZ$3&amp;", *")</f>
        <v>0</v>
      </c>
      <c r="BA418" s="2">
        <f>COUNTIFS(集計用!$G416,"*, "&amp;BA$3&amp;", *")</f>
        <v>0</v>
      </c>
      <c r="BB418" s="2">
        <f>COUNTIFS(集計用!$G416,"*, "&amp;BB$3&amp;", *")</f>
        <v>0</v>
      </c>
      <c r="BC418" s="2">
        <f>COUNTIFS(集計用!$G416,"*, "&amp;BC$3&amp;", *")</f>
        <v>0</v>
      </c>
      <c r="BD418" s="2">
        <f>COUNTIFS(集計用!$G416,"*, "&amp;BD$3&amp;", *")</f>
        <v>0</v>
      </c>
      <c r="BE418" s="2">
        <f>COUNTIFS(集計用!$G416,"*, "&amp;BE$3&amp;", *")</f>
        <v>0</v>
      </c>
      <c r="BF418" s="2">
        <f>COUNTIFS(集計用!$G416,"*, "&amp;BF$3&amp;", *")</f>
        <v>0</v>
      </c>
      <c r="BG418" s="2">
        <f>COUNTIFS(集計用!$G416,"*, "&amp;BG$3&amp;", *")</f>
        <v>0</v>
      </c>
      <c r="BH418" s="2">
        <f>COUNTIFS(集計用!$G416,"*, "&amp;BH$3&amp;", *")</f>
        <v>0</v>
      </c>
      <c r="BI418" s="2">
        <f>COUNTIFS(集計用!$G416,"*, "&amp;BI$3&amp;", *")</f>
        <v>0</v>
      </c>
      <c r="BJ418" s="2">
        <f>LEN(集計用!H416)-LEN(SUBSTITUTE(集計用!H416,",",""))</f>
        <v>0</v>
      </c>
    </row>
    <row r="419" spans="1:62" ht="12.75">
      <c r="A419" s="8">
        <v>416</v>
      </c>
      <c r="C419" s="2">
        <f t="shared" si="4"/>
        <v>4</v>
      </c>
      <c r="D419" s="9"/>
      <c r="E419" s="2">
        <f>COUNTIFS(集計用!$G417,"*, "&amp;E$3&amp;", *")</f>
        <v>1</v>
      </c>
      <c r="F419" s="2">
        <f>COUNTIFS(集計用!$G417,"*, "&amp;F$3&amp;", *")</f>
        <v>1</v>
      </c>
      <c r="G419" s="2">
        <f>COUNTIFS(集計用!$G417,"*, "&amp;G$3&amp;", *")</f>
        <v>0</v>
      </c>
      <c r="H419" s="2">
        <f>COUNTIFS(集計用!$G417,"*, "&amp;H$3&amp;", *")</f>
        <v>0</v>
      </c>
      <c r="I419" s="2">
        <f>COUNTIFS(集計用!$G417,"*, "&amp;I$3&amp;", *")</f>
        <v>0</v>
      </c>
      <c r="J419" s="2">
        <f>COUNTIFS(集計用!$G417,"*, "&amp;J$3&amp;", *")</f>
        <v>0</v>
      </c>
      <c r="K419" s="2">
        <f>COUNTIFS(集計用!$G417,"*, "&amp;K$3&amp;", *")</f>
        <v>0</v>
      </c>
      <c r="L419" s="2">
        <f>COUNTIFS(集計用!$G417,"*, "&amp;L$3&amp;", *")</f>
        <v>0</v>
      </c>
      <c r="M419" s="2">
        <f>COUNTIFS(集計用!$G417,"*, "&amp;M$3&amp;", *")</f>
        <v>0</v>
      </c>
      <c r="N419" s="2">
        <f>COUNTIFS(集計用!$G417,"*, "&amp;N$3&amp;", *")</f>
        <v>0</v>
      </c>
      <c r="O419" s="2">
        <f>COUNTIFS(集計用!$G417,"*, "&amp;O$3&amp;", *")</f>
        <v>0</v>
      </c>
      <c r="P419" s="2">
        <f>COUNTIFS(集計用!$G417,"*, "&amp;P$3&amp;", *")</f>
        <v>0</v>
      </c>
      <c r="Q419" s="2">
        <f>COUNTIFS(集計用!$G417,"*, "&amp;Q$3&amp;", *")</f>
        <v>0</v>
      </c>
      <c r="R419" s="2">
        <f>COUNTIFS(集計用!$G417,"*, "&amp;R$3&amp;", *")</f>
        <v>0</v>
      </c>
      <c r="S419" s="2">
        <f>COUNTIFS(集計用!$G417,"*, "&amp;S$3&amp;", *")</f>
        <v>0</v>
      </c>
      <c r="T419" s="2">
        <f>COUNTIFS(集計用!$G417,"*, "&amp;T$3&amp;", *")</f>
        <v>0</v>
      </c>
      <c r="U419" s="2">
        <f>COUNTIFS(集計用!$G417,"*, "&amp;U$3&amp;", *")</f>
        <v>0</v>
      </c>
      <c r="V419" s="2">
        <f>COUNTIFS(集計用!$G417,"*, "&amp;V$3&amp;", *")</f>
        <v>0</v>
      </c>
      <c r="W419" s="2">
        <f>COUNTIFS(集計用!$G417,"*, "&amp;W$3&amp;", *")</f>
        <v>0</v>
      </c>
      <c r="X419" s="2">
        <f>COUNTIFS(集計用!$G417,"*, "&amp;X$3&amp;", *")</f>
        <v>0</v>
      </c>
      <c r="Y419" s="2">
        <f>COUNTIFS(集計用!$G417,"*, "&amp;Y$3&amp;", *")</f>
        <v>0</v>
      </c>
      <c r="Z419" s="2">
        <f>COUNTIFS(集計用!$G417,"*, "&amp;Z$3&amp;", *")</f>
        <v>0</v>
      </c>
      <c r="AA419" s="2">
        <f>COUNTIFS(集計用!$G417,"*, "&amp;AA$3&amp;", *")</f>
        <v>0</v>
      </c>
      <c r="AB419" s="2">
        <f>COUNTIFS(集計用!$G417,"*, "&amp;AB$3&amp;", *")</f>
        <v>0</v>
      </c>
      <c r="AC419" s="2">
        <f>COUNTIFS(集計用!$G417,"*, "&amp;AC$3&amp;", *")</f>
        <v>0</v>
      </c>
      <c r="AD419" s="2">
        <f>COUNTIFS(集計用!$G417,"*, "&amp;AD$3&amp;", *")</f>
        <v>0</v>
      </c>
      <c r="AE419" s="2">
        <f>COUNTIFS(集計用!$G417,"*, "&amp;AE$3&amp;", *")</f>
        <v>0</v>
      </c>
      <c r="AF419" s="2">
        <f>COUNTIFS(集計用!$G417,"*, "&amp;AF$3&amp;", *")</f>
        <v>0</v>
      </c>
      <c r="AG419" s="2">
        <f>COUNTIFS(集計用!$G417,"*, "&amp;AG$3&amp;", *")</f>
        <v>0</v>
      </c>
      <c r="AH419" s="2">
        <f>COUNTIFS(集計用!$G417,"*, "&amp;AH$3&amp;", *")</f>
        <v>0</v>
      </c>
      <c r="AI419" s="2">
        <f>COUNTIFS(集計用!$G417,"*, "&amp;AI$3&amp;", *")</f>
        <v>0</v>
      </c>
      <c r="AJ419" s="2">
        <f>COUNTIFS(集計用!$G417,"*, "&amp;AJ$3&amp;", *")</f>
        <v>1</v>
      </c>
      <c r="AK419" s="2">
        <f>COUNTIFS(集計用!$G417,"*, "&amp;AK$3&amp;", *")</f>
        <v>0</v>
      </c>
      <c r="AL419" s="2">
        <f>COUNTIFS(集計用!$G417,"*, "&amp;AL$3&amp;", *")</f>
        <v>0</v>
      </c>
      <c r="AM419" s="2">
        <f>COUNTIFS(集計用!$G417,"*, "&amp;AM$3&amp;", *")</f>
        <v>0</v>
      </c>
      <c r="AN419" s="2">
        <f>COUNTIFS(集計用!$G417,"*, "&amp;AN$3&amp;", *")</f>
        <v>0</v>
      </c>
      <c r="AO419" s="2">
        <f>COUNTIFS(集計用!$G417,"*, "&amp;AO$3&amp;", *")</f>
        <v>0</v>
      </c>
      <c r="AP419" s="2">
        <f>COUNTIFS(集計用!$G417,"*, "&amp;AP$3&amp;", *")</f>
        <v>0</v>
      </c>
      <c r="AQ419" s="2">
        <f>COUNTIFS(集計用!$G417,"*, "&amp;AQ$3&amp;", *")</f>
        <v>0</v>
      </c>
      <c r="AR419" s="2">
        <f>COUNTIFS(集計用!$G417,"*, "&amp;AR$3&amp;", *")</f>
        <v>0</v>
      </c>
      <c r="AS419" s="2">
        <f>COUNTIFS(集計用!$G417,"*, "&amp;AS$3&amp;", *")</f>
        <v>0</v>
      </c>
      <c r="AT419" s="2">
        <f>COUNTIFS(集計用!$G417,"*, "&amp;AT$3&amp;", *")</f>
        <v>0</v>
      </c>
      <c r="AU419" s="2">
        <f>COUNTIFS(集計用!$G417,"*, "&amp;AU$3&amp;", *")</f>
        <v>0</v>
      </c>
      <c r="AV419" s="2">
        <f>COUNTIFS(集計用!$G417,"*, "&amp;AV$3&amp;", *")</f>
        <v>0</v>
      </c>
      <c r="AW419" s="2">
        <f>COUNTIFS(集計用!$G417,"*, "&amp;AW$3&amp;", *")</f>
        <v>0</v>
      </c>
      <c r="AX419" s="2">
        <f>COUNTIFS(集計用!$G417,"*, "&amp;AX$3&amp;", *")</f>
        <v>0</v>
      </c>
      <c r="AY419" s="2">
        <f>COUNTIFS(集計用!$G417,"*, "&amp;AY$3&amp;", *")</f>
        <v>0</v>
      </c>
      <c r="AZ419" s="2">
        <f>COUNTIFS(集計用!$G417,"*, "&amp;AZ$3&amp;", *")</f>
        <v>0</v>
      </c>
      <c r="BA419" s="2">
        <f>COUNTIFS(集計用!$G417,"*, "&amp;BA$3&amp;", *")</f>
        <v>0</v>
      </c>
      <c r="BB419" s="2">
        <f>COUNTIFS(集計用!$G417,"*, "&amp;BB$3&amp;", *")</f>
        <v>0</v>
      </c>
      <c r="BC419" s="2">
        <f>COUNTIFS(集計用!$G417,"*, "&amp;BC$3&amp;", *")</f>
        <v>0</v>
      </c>
      <c r="BD419" s="2">
        <f>COUNTIFS(集計用!$G417,"*, "&amp;BD$3&amp;", *")</f>
        <v>0</v>
      </c>
      <c r="BE419" s="2">
        <f>COUNTIFS(集計用!$G417,"*, "&amp;BE$3&amp;", *")</f>
        <v>0</v>
      </c>
      <c r="BF419" s="2">
        <f>COUNTIFS(集計用!$G417,"*, "&amp;BF$3&amp;", *")</f>
        <v>0</v>
      </c>
      <c r="BG419" s="2">
        <f>COUNTIFS(集計用!$G417,"*, "&amp;BG$3&amp;", *")</f>
        <v>0</v>
      </c>
      <c r="BH419" s="2">
        <f>COUNTIFS(集計用!$G417,"*, "&amp;BH$3&amp;", *")</f>
        <v>0</v>
      </c>
      <c r="BI419" s="2">
        <f>COUNTIFS(集計用!$G417,"*, "&amp;BI$3&amp;", *")</f>
        <v>0</v>
      </c>
      <c r="BJ419" s="2">
        <f>LEN(集計用!H417)-LEN(SUBSTITUTE(集計用!H417,",",""))</f>
        <v>1</v>
      </c>
    </row>
    <row r="420" spans="1:62" ht="12.75">
      <c r="A420" s="8">
        <v>417</v>
      </c>
      <c r="C420" s="2">
        <f t="shared" si="4"/>
        <v>1</v>
      </c>
      <c r="D420" s="9"/>
      <c r="E420" s="2">
        <f>COUNTIFS(集計用!$G418,"*, "&amp;E$3&amp;", *")</f>
        <v>0</v>
      </c>
      <c r="F420" s="2">
        <f>COUNTIFS(集計用!$G418,"*, "&amp;F$3&amp;", *")</f>
        <v>0</v>
      </c>
      <c r="G420" s="2">
        <f>COUNTIFS(集計用!$G418,"*, "&amp;G$3&amp;", *")</f>
        <v>1</v>
      </c>
      <c r="H420" s="2">
        <f>COUNTIFS(集計用!$G418,"*, "&amp;H$3&amp;", *")</f>
        <v>0</v>
      </c>
      <c r="I420" s="2">
        <f>COUNTIFS(集計用!$G418,"*, "&amp;I$3&amp;", *")</f>
        <v>0</v>
      </c>
      <c r="J420" s="2">
        <f>COUNTIFS(集計用!$G418,"*, "&amp;J$3&amp;", *")</f>
        <v>0</v>
      </c>
      <c r="K420" s="2">
        <f>COUNTIFS(集計用!$G418,"*, "&amp;K$3&amp;", *")</f>
        <v>0</v>
      </c>
      <c r="L420" s="2">
        <f>COUNTIFS(集計用!$G418,"*, "&amp;L$3&amp;", *")</f>
        <v>0</v>
      </c>
      <c r="M420" s="2">
        <f>COUNTIFS(集計用!$G418,"*, "&amp;M$3&amp;", *")</f>
        <v>0</v>
      </c>
      <c r="N420" s="2">
        <f>COUNTIFS(集計用!$G418,"*, "&amp;N$3&amp;", *")</f>
        <v>0</v>
      </c>
      <c r="O420" s="2">
        <f>COUNTIFS(集計用!$G418,"*, "&amp;O$3&amp;", *")</f>
        <v>0</v>
      </c>
      <c r="P420" s="2">
        <f>COUNTIFS(集計用!$G418,"*, "&amp;P$3&amp;", *")</f>
        <v>0</v>
      </c>
      <c r="Q420" s="2">
        <f>COUNTIFS(集計用!$G418,"*, "&amp;Q$3&amp;", *")</f>
        <v>0</v>
      </c>
      <c r="R420" s="2">
        <f>COUNTIFS(集計用!$G418,"*, "&amp;R$3&amp;", *")</f>
        <v>0</v>
      </c>
      <c r="S420" s="2">
        <f>COUNTIFS(集計用!$G418,"*, "&amp;S$3&amp;", *")</f>
        <v>0</v>
      </c>
      <c r="T420" s="2">
        <f>COUNTIFS(集計用!$G418,"*, "&amp;T$3&amp;", *")</f>
        <v>0</v>
      </c>
      <c r="U420" s="2">
        <f>COUNTIFS(集計用!$G418,"*, "&amp;U$3&amp;", *")</f>
        <v>0</v>
      </c>
      <c r="V420" s="2">
        <f>COUNTIFS(集計用!$G418,"*, "&amp;V$3&amp;", *")</f>
        <v>0</v>
      </c>
      <c r="W420" s="2">
        <f>COUNTIFS(集計用!$G418,"*, "&amp;W$3&amp;", *")</f>
        <v>0</v>
      </c>
      <c r="X420" s="2">
        <f>COUNTIFS(集計用!$G418,"*, "&amp;X$3&amp;", *")</f>
        <v>0</v>
      </c>
      <c r="Y420" s="2">
        <f>COUNTIFS(集計用!$G418,"*, "&amp;Y$3&amp;", *")</f>
        <v>0</v>
      </c>
      <c r="Z420" s="2">
        <f>COUNTIFS(集計用!$G418,"*, "&amp;Z$3&amp;", *")</f>
        <v>0</v>
      </c>
      <c r="AA420" s="2">
        <f>COUNTIFS(集計用!$G418,"*, "&amp;AA$3&amp;", *")</f>
        <v>0</v>
      </c>
      <c r="AB420" s="2">
        <f>COUNTIFS(集計用!$G418,"*, "&amp;AB$3&amp;", *")</f>
        <v>0</v>
      </c>
      <c r="AC420" s="2">
        <f>COUNTIFS(集計用!$G418,"*, "&amp;AC$3&amp;", *")</f>
        <v>0</v>
      </c>
      <c r="AD420" s="2">
        <f>COUNTIFS(集計用!$G418,"*, "&amp;AD$3&amp;", *")</f>
        <v>0</v>
      </c>
      <c r="AE420" s="2">
        <f>COUNTIFS(集計用!$G418,"*, "&amp;AE$3&amp;", *")</f>
        <v>0</v>
      </c>
      <c r="AF420" s="2">
        <f>COUNTIFS(集計用!$G418,"*, "&amp;AF$3&amp;", *")</f>
        <v>0</v>
      </c>
      <c r="AG420" s="2">
        <f>COUNTIFS(集計用!$G418,"*, "&amp;AG$3&amp;", *")</f>
        <v>0</v>
      </c>
      <c r="AH420" s="2">
        <f>COUNTIFS(集計用!$G418,"*, "&amp;AH$3&amp;", *")</f>
        <v>0</v>
      </c>
      <c r="AI420" s="2">
        <f>COUNTIFS(集計用!$G418,"*, "&amp;AI$3&amp;", *")</f>
        <v>0</v>
      </c>
      <c r="AJ420" s="2">
        <f>COUNTIFS(集計用!$G418,"*, "&amp;AJ$3&amp;", *")</f>
        <v>0</v>
      </c>
      <c r="AK420" s="2">
        <f>COUNTIFS(集計用!$G418,"*, "&amp;AK$3&amp;", *")</f>
        <v>0</v>
      </c>
      <c r="AL420" s="2">
        <f>COUNTIFS(集計用!$G418,"*, "&amp;AL$3&amp;", *")</f>
        <v>0</v>
      </c>
      <c r="AM420" s="2">
        <f>COUNTIFS(集計用!$G418,"*, "&amp;AM$3&amp;", *")</f>
        <v>0</v>
      </c>
      <c r="AN420" s="2">
        <f>COUNTIFS(集計用!$G418,"*, "&amp;AN$3&amp;", *")</f>
        <v>0</v>
      </c>
      <c r="AO420" s="2">
        <f>COUNTIFS(集計用!$G418,"*, "&amp;AO$3&amp;", *")</f>
        <v>0</v>
      </c>
      <c r="AP420" s="2">
        <f>COUNTIFS(集計用!$G418,"*, "&amp;AP$3&amp;", *")</f>
        <v>0</v>
      </c>
      <c r="AQ420" s="2">
        <f>COUNTIFS(集計用!$G418,"*, "&amp;AQ$3&amp;", *")</f>
        <v>0</v>
      </c>
      <c r="AR420" s="2">
        <f>COUNTIFS(集計用!$G418,"*, "&amp;AR$3&amp;", *")</f>
        <v>0</v>
      </c>
      <c r="AS420" s="2">
        <f>COUNTIFS(集計用!$G418,"*, "&amp;AS$3&amp;", *")</f>
        <v>0</v>
      </c>
      <c r="AT420" s="2">
        <f>COUNTIFS(集計用!$G418,"*, "&amp;AT$3&amp;", *")</f>
        <v>0</v>
      </c>
      <c r="AU420" s="2">
        <f>COUNTIFS(集計用!$G418,"*, "&amp;AU$3&amp;", *")</f>
        <v>0</v>
      </c>
      <c r="AV420" s="2">
        <f>COUNTIFS(集計用!$G418,"*, "&amp;AV$3&amp;", *")</f>
        <v>0</v>
      </c>
      <c r="AW420" s="2">
        <f>COUNTIFS(集計用!$G418,"*, "&amp;AW$3&amp;", *")</f>
        <v>0</v>
      </c>
      <c r="AX420" s="2">
        <f>COUNTIFS(集計用!$G418,"*, "&amp;AX$3&amp;", *")</f>
        <v>0</v>
      </c>
      <c r="AY420" s="2">
        <f>COUNTIFS(集計用!$G418,"*, "&amp;AY$3&amp;", *")</f>
        <v>0</v>
      </c>
      <c r="AZ420" s="2">
        <f>COUNTIFS(集計用!$G418,"*, "&amp;AZ$3&amp;", *")</f>
        <v>0</v>
      </c>
      <c r="BA420" s="2">
        <f>COUNTIFS(集計用!$G418,"*, "&amp;BA$3&amp;", *")</f>
        <v>0</v>
      </c>
      <c r="BB420" s="2">
        <f>COUNTIFS(集計用!$G418,"*, "&amp;BB$3&amp;", *")</f>
        <v>0</v>
      </c>
      <c r="BC420" s="2">
        <f>COUNTIFS(集計用!$G418,"*, "&amp;BC$3&amp;", *")</f>
        <v>0</v>
      </c>
      <c r="BD420" s="2">
        <f>COUNTIFS(集計用!$G418,"*, "&amp;BD$3&amp;", *")</f>
        <v>0</v>
      </c>
      <c r="BE420" s="2">
        <f>COUNTIFS(集計用!$G418,"*, "&amp;BE$3&amp;", *")</f>
        <v>0</v>
      </c>
      <c r="BF420" s="2">
        <f>COUNTIFS(集計用!$G418,"*, "&amp;BF$3&amp;", *")</f>
        <v>0</v>
      </c>
      <c r="BG420" s="2">
        <f>COUNTIFS(集計用!$G418,"*, "&amp;BG$3&amp;", *")</f>
        <v>0</v>
      </c>
      <c r="BH420" s="2">
        <f>COUNTIFS(集計用!$G418,"*, "&amp;BH$3&amp;", *")</f>
        <v>0</v>
      </c>
      <c r="BI420" s="2">
        <f>COUNTIFS(集計用!$G418,"*, "&amp;BI$3&amp;", *")</f>
        <v>0</v>
      </c>
      <c r="BJ420" s="2">
        <f>LEN(集計用!H418)-LEN(SUBSTITUTE(集計用!H418,",",""))</f>
        <v>0</v>
      </c>
    </row>
    <row r="421" spans="1:62" ht="12.75">
      <c r="A421" s="8">
        <v>418</v>
      </c>
      <c r="C421" s="2">
        <f t="shared" si="4"/>
        <v>3</v>
      </c>
      <c r="D421" s="9"/>
      <c r="E421" s="2">
        <f>COUNTIFS(集計用!$G419,"*, "&amp;E$3&amp;", *")</f>
        <v>1</v>
      </c>
      <c r="F421" s="2">
        <f>COUNTIFS(集計用!$G419,"*, "&amp;F$3&amp;", *")</f>
        <v>0</v>
      </c>
      <c r="G421" s="2">
        <f>COUNTIFS(集計用!$G419,"*, "&amp;G$3&amp;", *")</f>
        <v>0</v>
      </c>
      <c r="H421" s="2">
        <f>COUNTIFS(集計用!$G419,"*, "&amp;H$3&amp;", *")</f>
        <v>1</v>
      </c>
      <c r="I421" s="2">
        <f>COUNTIFS(集計用!$G419,"*, "&amp;I$3&amp;", *")</f>
        <v>0</v>
      </c>
      <c r="J421" s="2">
        <f>COUNTIFS(集計用!$G419,"*, "&amp;J$3&amp;", *")</f>
        <v>0</v>
      </c>
      <c r="K421" s="2">
        <f>COUNTIFS(集計用!$G419,"*, "&amp;K$3&amp;", *")</f>
        <v>0</v>
      </c>
      <c r="L421" s="2">
        <f>COUNTIFS(集計用!$G419,"*, "&amp;L$3&amp;", *")</f>
        <v>0</v>
      </c>
      <c r="M421" s="2">
        <f>COUNTIFS(集計用!$G419,"*, "&amp;M$3&amp;", *")</f>
        <v>0</v>
      </c>
      <c r="N421" s="2">
        <f>COUNTIFS(集計用!$G419,"*, "&amp;N$3&amp;", *")</f>
        <v>0</v>
      </c>
      <c r="O421" s="2">
        <f>COUNTIFS(集計用!$G419,"*, "&amp;O$3&amp;", *")</f>
        <v>0</v>
      </c>
      <c r="P421" s="2">
        <f>COUNTIFS(集計用!$G419,"*, "&amp;P$3&amp;", *")</f>
        <v>0</v>
      </c>
      <c r="Q421" s="2">
        <f>COUNTIFS(集計用!$G419,"*, "&amp;Q$3&amp;", *")</f>
        <v>0</v>
      </c>
      <c r="R421" s="2">
        <f>COUNTIFS(集計用!$G419,"*, "&amp;R$3&amp;", *")</f>
        <v>0</v>
      </c>
      <c r="S421" s="2">
        <f>COUNTIFS(集計用!$G419,"*, "&amp;S$3&amp;", *")</f>
        <v>0</v>
      </c>
      <c r="T421" s="2">
        <f>COUNTIFS(集計用!$G419,"*, "&amp;T$3&amp;", *")</f>
        <v>0</v>
      </c>
      <c r="U421" s="2">
        <f>COUNTIFS(集計用!$G419,"*, "&amp;U$3&amp;", *")</f>
        <v>1</v>
      </c>
      <c r="V421" s="2">
        <f>COUNTIFS(集計用!$G419,"*, "&amp;V$3&amp;", *")</f>
        <v>0</v>
      </c>
      <c r="W421" s="2">
        <f>COUNTIFS(集計用!$G419,"*, "&amp;W$3&amp;", *")</f>
        <v>0</v>
      </c>
      <c r="X421" s="2">
        <f>COUNTIFS(集計用!$G419,"*, "&amp;X$3&amp;", *")</f>
        <v>0</v>
      </c>
      <c r="Y421" s="2">
        <f>COUNTIFS(集計用!$G419,"*, "&amp;Y$3&amp;", *")</f>
        <v>0</v>
      </c>
      <c r="Z421" s="2">
        <f>COUNTIFS(集計用!$G419,"*, "&amp;Z$3&amp;", *")</f>
        <v>0</v>
      </c>
      <c r="AA421" s="2">
        <f>COUNTIFS(集計用!$G419,"*, "&amp;AA$3&amp;", *")</f>
        <v>0</v>
      </c>
      <c r="AB421" s="2">
        <f>COUNTIFS(集計用!$G419,"*, "&amp;AB$3&amp;", *")</f>
        <v>0</v>
      </c>
      <c r="AC421" s="2">
        <f>COUNTIFS(集計用!$G419,"*, "&amp;AC$3&amp;", *")</f>
        <v>0</v>
      </c>
      <c r="AD421" s="2">
        <f>COUNTIFS(集計用!$G419,"*, "&amp;AD$3&amp;", *")</f>
        <v>0</v>
      </c>
      <c r="AE421" s="2">
        <f>COUNTIFS(集計用!$G419,"*, "&amp;AE$3&amp;", *")</f>
        <v>0</v>
      </c>
      <c r="AF421" s="2">
        <f>COUNTIFS(集計用!$G419,"*, "&amp;AF$3&amp;", *")</f>
        <v>0</v>
      </c>
      <c r="AG421" s="2">
        <f>COUNTIFS(集計用!$G419,"*, "&amp;AG$3&amp;", *")</f>
        <v>0</v>
      </c>
      <c r="AH421" s="2">
        <f>COUNTIFS(集計用!$G419,"*, "&amp;AH$3&amp;", *")</f>
        <v>0</v>
      </c>
      <c r="AI421" s="2">
        <f>COUNTIFS(集計用!$G419,"*, "&amp;AI$3&amp;", *")</f>
        <v>0</v>
      </c>
      <c r="AJ421" s="2">
        <f>COUNTIFS(集計用!$G419,"*, "&amp;AJ$3&amp;", *")</f>
        <v>0</v>
      </c>
      <c r="AK421" s="2">
        <f>COUNTIFS(集計用!$G419,"*, "&amp;AK$3&amp;", *")</f>
        <v>0</v>
      </c>
      <c r="AL421" s="2">
        <f>COUNTIFS(集計用!$G419,"*, "&amp;AL$3&amp;", *")</f>
        <v>0</v>
      </c>
      <c r="AM421" s="2">
        <f>COUNTIFS(集計用!$G419,"*, "&amp;AM$3&amp;", *")</f>
        <v>0</v>
      </c>
      <c r="AN421" s="2">
        <f>COUNTIFS(集計用!$G419,"*, "&amp;AN$3&amp;", *")</f>
        <v>0</v>
      </c>
      <c r="AO421" s="2">
        <f>COUNTIFS(集計用!$G419,"*, "&amp;AO$3&amp;", *")</f>
        <v>0</v>
      </c>
      <c r="AP421" s="2">
        <f>COUNTIFS(集計用!$G419,"*, "&amp;AP$3&amp;", *")</f>
        <v>0</v>
      </c>
      <c r="AQ421" s="2">
        <f>COUNTIFS(集計用!$G419,"*, "&amp;AQ$3&amp;", *")</f>
        <v>0</v>
      </c>
      <c r="AR421" s="2">
        <f>COUNTIFS(集計用!$G419,"*, "&amp;AR$3&amp;", *")</f>
        <v>0</v>
      </c>
      <c r="AS421" s="2">
        <f>COUNTIFS(集計用!$G419,"*, "&amp;AS$3&amp;", *")</f>
        <v>0</v>
      </c>
      <c r="AT421" s="2">
        <f>COUNTIFS(集計用!$G419,"*, "&amp;AT$3&amp;", *")</f>
        <v>0</v>
      </c>
      <c r="AU421" s="2">
        <f>COUNTIFS(集計用!$G419,"*, "&amp;AU$3&amp;", *")</f>
        <v>0</v>
      </c>
      <c r="AV421" s="2">
        <f>COUNTIFS(集計用!$G419,"*, "&amp;AV$3&amp;", *")</f>
        <v>0</v>
      </c>
      <c r="AW421" s="2">
        <f>COUNTIFS(集計用!$G419,"*, "&amp;AW$3&amp;", *")</f>
        <v>0</v>
      </c>
      <c r="AX421" s="2">
        <f>COUNTIFS(集計用!$G419,"*, "&amp;AX$3&amp;", *")</f>
        <v>0</v>
      </c>
      <c r="AY421" s="2">
        <f>COUNTIFS(集計用!$G419,"*, "&amp;AY$3&amp;", *")</f>
        <v>0</v>
      </c>
      <c r="AZ421" s="2">
        <f>COUNTIFS(集計用!$G419,"*, "&amp;AZ$3&amp;", *")</f>
        <v>0</v>
      </c>
      <c r="BA421" s="2">
        <f>COUNTIFS(集計用!$G419,"*, "&amp;BA$3&amp;", *")</f>
        <v>0</v>
      </c>
      <c r="BB421" s="2">
        <f>COUNTIFS(集計用!$G419,"*, "&amp;BB$3&amp;", *")</f>
        <v>0</v>
      </c>
      <c r="BC421" s="2">
        <f>COUNTIFS(集計用!$G419,"*, "&amp;BC$3&amp;", *")</f>
        <v>0</v>
      </c>
      <c r="BD421" s="2">
        <f>COUNTIFS(集計用!$G419,"*, "&amp;BD$3&amp;", *")</f>
        <v>0</v>
      </c>
      <c r="BE421" s="2">
        <f>COUNTIFS(集計用!$G419,"*, "&amp;BE$3&amp;", *")</f>
        <v>0</v>
      </c>
      <c r="BF421" s="2">
        <f>COUNTIFS(集計用!$G419,"*, "&amp;BF$3&amp;", *")</f>
        <v>0</v>
      </c>
      <c r="BG421" s="2">
        <f>COUNTIFS(集計用!$G419,"*, "&amp;BG$3&amp;", *")</f>
        <v>0</v>
      </c>
      <c r="BH421" s="2">
        <f>COUNTIFS(集計用!$G419,"*, "&amp;BH$3&amp;", *")</f>
        <v>0</v>
      </c>
      <c r="BI421" s="2">
        <f>COUNTIFS(集計用!$G419,"*, "&amp;BI$3&amp;", *")</f>
        <v>0</v>
      </c>
      <c r="BJ421" s="2">
        <f>LEN(集計用!H419)-LEN(SUBSTITUTE(集計用!H419,",",""))</f>
        <v>0</v>
      </c>
    </row>
    <row r="422" spans="1:62" ht="12.75">
      <c r="A422" s="8">
        <v>419</v>
      </c>
      <c r="C422" s="2">
        <f t="shared" si="4"/>
        <v>3</v>
      </c>
      <c r="D422" s="9"/>
      <c r="E422" s="2">
        <f>COUNTIFS(集計用!$G420,"*, "&amp;E$3&amp;", *")</f>
        <v>0</v>
      </c>
      <c r="F422" s="2">
        <f>COUNTIFS(集計用!$G420,"*, "&amp;F$3&amp;", *")</f>
        <v>0</v>
      </c>
      <c r="G422" s="2">
        <f>COUNTIFS(集計用!$G420,"*, "&amp;G$3&amp;", *")</f>
        <v>0</v>
      </c>
      <c r="H422" s="2">
        <f>COUNTIFS(集計用!$G420,"*, "&amp;H$3&amp;", *")</f>
        <v>1</v>
      </c>
      <c r="I422" s="2">
        <f>COUNTIFS(集計用!$G420,"*, "&amp;I$3&amp;", *")</f>
        <v>0</v>
      </c>
      <c r="J422" s="2">
        <f>COUNTIFS(集計用!$G420,"*, "&amp;J$3&amp;", *")</f>
        <v>0</v>
      </c>
      <c r="K422" s="2">
        <f>COUNTIFS(集計用!$G420,"*, "&amp;K$3&amp;", *")</f>
        <v>0</v>
      </c>
      <c r="L422" s="2">
        <f>COUNTIFS(集計用!$G420,"*, "&amp;L$3&amp;", *")</f>
        <v>0</v>
      </c>
      <c r="M422" s="2">
        <f>COUNTIFS(集計用!$G420,"*, "&amp;M$3&amp;", *")</f>
        <v>0</v>
      </c>
      <c r="N422" s="2">
        <f>COUNTIFS(集計用!$G420,"*, "&amp;N$3&amp;", *")</f>
        <v>0</v>
      </c>
      <c r="O422" s="2">
        <f>COUNTIFS(集計用!$G420,"*, "&amp;O$3&amp;", *")</f>
        <v>0</v>
      </c>
      <c r="P422" s="2">
        <f>COUNTIFS(集計用!$G420,"*, "&amp;P$3&amp;", *")</f>
        <v>0</v>
      </c>
      <c r="Q422" s="2">
        <f>COUNTIFS(集計用!$G420,"*, "&amp;Q$3&amp;", *")</f>
        <v>0</v>
      </c>
      <c r="R422" s="2">
        <f>COUNTIFS(集計用!$G420,"*, "&amp;R$3&amp;", *")</f>
        <v>0</v>
      </c>
      <c r="S422" s="2">
        <f>COUNTIFS(集計用!$G420,"*, "&amp;S$3&amp;", *")</f>
        <v>0</v>
      </c>
      <c r="T422" s="2">
        <f>COUNTIFS(集計用!$G420,"*, "&amp;T$3&amp;", *")</f>
        <v>0</v>
      </c>
      <c r="U422" s="2">
        <f>COUNTIFS(集計用!$G420,"*, "&amp;U$3&amp;", *")</f>
        <v>0</v>
      </c>
      <c r="V422" s="2">
        <f>COUNTIFS(集計用!$G420,"*, "&amp;V$3&amp;", *")</f>
        <v>0</v>
      </c>
      <c r="W422" s="2">
        <f>COUNTIFS(集計用!$G420,"*, "&amp;W$3&amp;", *")</f>
        <v>0</v>
      </c>
      <c r="X422" s="2">
        <f>COUNTIFS(集計用!$G420,"*, "&amp;X$3&amp;", *")</f>
        <v>0</v>
      </c>
      <c r="Y422" s="2">
        <f>COUNTIFS(集計用!$G420,"*, "&amp;Y$3&amp;", *")</f>
        <v>0</v>
      </c>
      <c r="Z422" s="2">
        <f>COUNTIFS(集計用!$G420,"*, "&amp;Z$3&amp;", *")</f>
        <v>0</v>
      </c>
      <c r="AA422" s="2">
        <f>COUNTIFS(集計用!$G420,"*, "&amp;AA$3&amp;", *")</f>
        <v>0</v>
      </c>
      <c r="AB422" s="2">
        <f>COUNTIFS(集計用!$G420,"*, "&amp;AB$3&amp;", *")</f>
        <v>1</v>
      </c>
      <c r="AC422" s="2">
        <f>COUNTIFS(集計用!$G420,"*, "&amp;AC$3&amp;", *")</f>
        <v>0</v>
      </c>
      <c r="AD422" s="2">
        <f>COUNTIFS(集計用!$G420,"*, "&amp;AD$3&amp;", *")</f>
        <v>0</v>
      </c>
      <c r="AE422" s="2">
        <f>COUNTIFS(集計用!$G420,"*, "&amp;AE$3&amp;", *")</f>
        <v>1</v>
      </c>
      <c r="AF422" s="2">
        <f>COUNTIFS(集計用!$G420,"*, "&amp;AF$3&amp;", *")</f>
        <v>0</v>
      </c>
      <c r="AG422" s="2">
        <f>COUNTIFS(集計用!$G420,"*, "&amp;AG$3&amp;", *")</f>
        <v>0</v>
      </c>
      <c r="AH422" s="2">
        <f>COUNTIFS(集計用!$G420,"*, "&amp;AH$3&amp;", *")</f>
        <v>0</v>
      </c>
      <c r="AI422" s="2">
        <f>COUNTIFS(集計用!$G420,"*, "&amp;AI$3&amp;", *")</f>
        <v>0</v>
      </c>
      <c r="AJ422" s="2">
        <f>COUNTIFS(集計用!$G420,"*, "&amp;AJ$3&amp;", *")</f>
        <v>0</v>
      </c>
      <c r="AK422" s="2">
        <f>COUNTIFS(集計用!$G420,"*, "&amp;AK$3&amp;", *")</f>
        <v>0</v>
      </c>
      <c r="AL422" s="2">
        <f>COUNTIFS(集計用!$G420,"*, "&amp;AL$3&amp;", *")</f>
        <v>0</v>
      </c>
      <c r="AM422" s="2">
        <f>COUNTIFS(集計用!$G420,"*, "&amp;AM$3&amp;", *")</f>
        <v>0</v>
      </c>
      <c r="AN422" s="2">
        <f>COUNTIFS(集計用!$G420,"*, "&amp;AN$3&amp;", *")</f>
        <v>0</v>
      </c>
      <c r="AO422" s="2">
        <f>COUNTIFS(集計用!$G420,"*, "&amp;AO$3&amp;", *")</f>
        <v>0</v>
      </c>
      <c r="AP422" s="2">
        <f>COUNTIFS(集計用!$G420,"*, "&amp;AP$3&amp;", *")</f>
        <v>0</v>
      </c>
      <c r="AQ422" s="2">
        <f>COUNTIFS(集計用!$G420,"*, "&amp;AQ$3&amp;", *")</f>
        <v>0</v>
      </c>
      <c r="AR422" s="2">
        <f>COUNTIFS(集計用!$G420,"*, "&amp;AR$3&amp;", *")</f>
        <v>0</v>
      </c>
      <c r="AS422" s="2">
        <f>COUNTIFS(集計用!$G420,"*, "&amp;AS$3&amp;", *")</f>
        <v>0</v>
      </c>
      <c r="AT422" s="2">
        <f>COUNTIFS(集計用!$G420,"*, "&amp;AT$3&amp;", *")</f>
        <v>0</v>
      </c>
      <c r="AU422" s="2">
        <f>COUNTIFS(集計用!$G420,"*, "&amp;AU$3&amp;", *")</f>
        <v>0</v>
      </c>
      <c r="AV422" s="2">
        <f>COUNTIFS(集計用!$G420,"*, "&amp;AV$3&amp;", *")</f>
        <v>0</v>
      </c>
      <c r="AW422" s="2">
        <f>COUNTIFS(集計用!$G420,"*, "&amp;AW$3&amp;", *")</f>
        <v>0</v>
      </c>
      <c r="AX422" s="2">
        <f>COUNTIFS(集計用!$G420,"*, "&amp;AX$3&amp;", *")</f>
        <v>0</v>
      </c>
      <c r="AY422" s="2">
        <f>COUNTIFS(集計用!$G420,"*, "&amp;AY$3&amp;", *")</f>
        <v>0</v>
      </c>
      <c r="AZ422" s="2">
        <f>COUNTIFS(集計用!$G420,"*, "&amp;AZ$3&amp;", *")</f>
        <v>0</v>
      </c>
      <c r="BA422" s="2">
        <f>COUNTIFS(集計用!$G420,"*, "&amp;BA$3&amp;", *")</f>
        <v>0</v>
      </c>
      <c r="BB422" s="2">
        <f>COUNTIFS(集計用!$G420,"*, "&amp;BB$3&amp;", *")</f>
        <v>0</v>
      </c>
      <c r="BC422" s="2">
        <f>COUNTIFS(集計用!$G420,"*, "&amp;BC$3&amp;", *")</f>
        <v>0</v>
      </c>
      <c r="BD422" s="2">
        <f>COUNTIFS(集計用!$G420,"*, "&amp;BD$3&amp;", *")</f>
        <v>0</v>
      </c>
      <c r="BE422" s="2">
        <f>COUNTIFS(集計用!$G420,"*, "&amp;BE$3&amp;", *")</f>
        <v>0</v>
      </c>
      <c r="BF422" s="2">
        <f>COUNTIFS(集計用!$G420,"*, "&amp;BF$3&amp;", *")</f>
        <v>0</v>
      </c>
      <c r="BG422" s="2">
        <f>COUNTIFS(集計用!$G420,"*, "&amp;BG$3&amp;", *")</f>
        <v>0</v>
      </c>
      <c r="BH422" s="2">
        <f>COUNTIFS(集計用!$G420,"*, "&amp;BH$3&amp;", *")</f>
        <v>0</v>
      </c>
      <c r="BI422" s="2">
        <f>COUNTIFS(集計用!$G420,"*, "&amp;BI$3&amp;", *")</f>
        <v>0</v>
      </c>
      <c r="BJ422" s="2">
        <f>LEN(集計用!H420)-LEN(SUBSTITUTE(集計用!H420,",",""))</f>
        <v>0</v>
      </c>
    </row>
    <row r="423" spans="1:62" ht="12.75">
      <c r="A423" s="8">
        <v>420</v>
      </c>
      <c r="C423" s="2">
        <f t="shared" si="4"/>
        <v>2</v>
      </c>
      <c r="D423" s="9"/>
      <c r="E423" s="2">
        <f>COUNTIFS(集計用!$G421,"*, "&amp;E$3&amp;", *")</f>
        <v>0</v>
      </c>
      <c r="F423" s="2">
        <f>COUNTIFS(集計用!$G421,"*, "&amp;F$3&amp;", *")</f>
        <v>0</v>
      </c>
      <c r="G423" s="2">
        <f>COUNTIFS(集計用!$G421,"*, "&amp;G$3&amp;", *")</f>
        <v>1</v>
      </c>
      <c r="H423" s="2">
        <f>COUNTIFS(集計用!$G421,"*, "&amp;H$3&amp;", *")</f>
        <v>0</v>
      </c>
      <c r="I423" s="2">
        <f>COUNTIFS(集計用!$G421,"*, "&amp;I$3&amp;", *")</f>
        <v>1</v>
      </c>
      <c r="J423" s="2">
        <f>COUNTIFS(集計用!$G421,"*, "&amp;J$3&amp;", *")</f>
        <v>0</v>
      </c>
      <c r="K423" s="2">
        <f>COUNTIFS(集計用!$G421,"*, "&amp;K$3&amp;", *")</f>
        <v>0</v>
      </c>
      <c r="L423" s="2">
        <f>COUNTIFS(集計用!$G421,"*, "&amp;L$3&amp;", *")</f>
        <v>0</v>
      </c>
      <c r="M423" s="2">
        <f>COUNTIFS(集計用!$G421,"*, "&amp;M$3&amp;", *")</f>
        <v>0</v>
      </c>
      <c r="N423" s="2">
        <f>COUNTIFS(集計用!$G421,"*, "&amp;N$3&amp;", *")</f>
        <v>0</v>
      </c>
      <c r="O423" s="2">
        <f>COUNTIFS(集計用!$G421,"*, "&amp;O$3&amp;", *")</f>
        <v>0</v>
      </c>
      <c r="P423" s="2">
        <f>COUNTIFS(集計用!$G421,"*, "&amp;P$3&amp;", *")</f>
        <v>0</v>
      </c>
      <c r="Q423" s="2">
        <f>COUNTIFS(集計用!$G421,"*, "&amp;Q$3&amp;", *")</f>
        <v>0</v>
      </c>
      <c r="R423" s="2">
        <f>COUNTIFS(集計用!$G421,"*, "&amp;R$3&amp;", *")</f>
        <v>0</v>
      </c>
      <c r="S423" s="2">
        <f>COUNTIFS(集計用!$G421,"*, "&amp;S$3&amp;", *")</f>
        <v>0</v>
      </c>
      <c r="T423" s="2">
        <f>COUNTIFS(集計用!$G421,"*, "&amp;T$3&amp;", *")</f>
        <v>0</v>
      </c>
      <c r="U423" s="2">
        <f>COUNTIFS(集計用!$G421,"*, "&amp;U$3&amp;", *")</f>
        <v>0</v>
      </c>
      <c r="V423" s="2">
        <f>COUNTIFS(集計用!$G421,"*, "&amp;V$3&amp;", *")</f>
        <v>0</v>
      </c>
      <c r="W423" s="2">
        <f>COUNTIFS(集計用!$G421,"*, "&amp;W$3&amp;", *")</f>
        <v>0</v>
      </c>
      <c r="X423" s="2">
        <f>COUNTIFS(集計用!$G421,"*, "&amp;X$3&amp;", *")</f>
        <v>0</v>
      </c>
      <c r="Y423" s="2">
        <f>COUNTIFS(集計用!$G421,"*, "&amp;Y$3&amp;", *")</f>
        <v>0</v>
      </c>
      <c r="Z423" s="2">
        <f>COUNTIFS(集計用!$G421,"*, "&amp;Z$3&amp;", *")</f>
        <v>0</v>
      </c>
      <c r="AA423" s="2">
        <f>COUNTIFS(集計用!$G421,"*, "&amp;AA$3&amp;", *")</f>
        <v>0</v>
      </c>
      <c r="AB423" s="2">
        <f>COUNTIFS(集計用!$G421,"*, "&amp;AB$3&amp;", *")</f>
        <v>0</v>
      </c>
      <c r="AC423" s="2">
        <f>COUNTIFS(集計用!$G421,"*, "&amp;AC$3&amp;", *")</f>
        <v>0</v>
      </c>
      <c r="AD423" s="2">
        <f>COUNTIFS(集計用!$G421,"*, "&amp;AD$3&amp;", *")</f>
        <v>0</v>
      </c>
      <c r="AE423" s="2">
        <f>COUNTIFS(集計用!$G421,"*, "&amp;AE$3&amp;", *")</f>
        <v>0</v>
      </c>
      <c r="AF423" s="2">
        <f>COUNTIFS(集計用!$G421,"*, "&amp;AF$3&amp;", *")</f>
        <v>0</v>
      </c>
      <c r="AG423" s="2">
        <f>COUNTIFS(集計用!$G421,"*, "&amp;AG$3&amp;", *")</f>
        <v>0</v>
      </c>
      <c r="AH423" s="2">
        <f>COUNTIFS(集計用!$G421,"*, "&amp;AH$3&amp;", *")</f>
        <v>0</v>
      </c>
      <c r="AI423" s="2">
        <f>COUNTIFS(集計用!$G421,"*, "&amp;AI$3&amp;", *")</f>
        <v>0</v>
      </c>
      <c r="AJ423" s="2">
        <f>COUNTIFS(集計用!$G421,"*, "&amp;AJ$3&amp;", *")</f>
        <v>0</v>
      </c>
      <c r="AK423" s="2">
        <f>COUNTIFS(集計用!$G421,"*, "&amp;AK$3&amp;", *")</f>
        <v>0</v>
      </c>
      <c r="AL423" s="2">
        <f>COUNTIFS(集計用!$G421,"*, "&amp;AL$3&amp;", *")</f>
        <v>0</v>
      </c>
      <c r="AM423" s="2">
        <f>COUNTIFS(集計用!$G421,"*, "&amp;AM$3&amp;", *")</f>
        <v>0</v>
      </c>
      <c r="AN423" s="2">
        <f>COUNTIFS(集計用!$G421,"*, "&amp;AN$3&amp;", *")</f>
        <v>0</v>
      </c>
      <c r="AO423" s="2">
        <f>COUNTIFS(集計用!$G421,"*, "&amp;AO$3&amp;", *")</f>
        <v>0</v>
      </c>
      <c r="AP423" s="2">
        <f>COUNTIFS(集計用!$G421,"*, "&amp;AP$3&amp;", *")</f>
        <v>0</v>
      </c>
      <c r="AQ423" s="2">
        <f>COUNTIFS(集計用!$G421,"*, "&amp;AQ$3&amp;", *")</f>
        <v>0</v>
      </c>
      <c r="AR423" s="2">
        <f>COUNTIFS(集計用!$G421,"*, "&amp;AR$3&amp;", *")</f>
        <v>0</v>
      </c>
      <c r="AS423" s="2">
        <f>COUNTIFS(集計用!$G421,"*, "&amp;AS$3&amp;", *")</f>
        <v>0</v>
      </c>
      <c r="AT423" s="2">
        <f>COUNTIFS(集計用!$G421,"*, "&amp;AT$3&amp;", *")</f>
        <v>0</v>
      </c>
      <c r="AU423" s="2">
        <f>COUNTIFS(集計用!$G421,"*, "&amp;AU$3&amp;", *")</f>
        <v>0</v>
      </c>
      <c r="AV423" s="2">
        <f>COUNTIFS(集計用!$G421,"*, "&amp;AV$3&amp;", *")</f>
        <v>0</v>
      </c>
      <c r="AW423" s="2">
        <f>COUNTIFS(集計用!$G421,"*, "&amp;AW$3&amp;", *")</f>
        <v>0</v>
      </c>
      <c r="AX423" s="2">
        <f>COUNTIFS(集計用!$G421,"*, "&amp;AX$3&amp;", *")</f>
        <v>0</v>
      </c>
      <c r="AY423" s="2">
        <f>COUNTIFS(集計用!$G421,"*, "&amp;AY$3&amp;", *")</f>
        <v>0</v>
      </c>
      <c r="AZ423" s="2">
        <f>COUNTIFS(集計用!$G421,"*, "&amp;AZ$3&amp;", *")</f>
        <v>0</v>
      </c>
      <c r="BA423" s="2">
        <f>COUNTIFS(集計用!$G421,"*, "&amp;BA$3&amp;", *")</f>
        <v>0</v>
      </c>
      <c r="BB423" s="2">
        <f>COUNTIFS(集計用!$G421,"*, "&amp;BB$3&amp;", *")</f>
        <v>0</v>
      </c>
      <c r="BC423" s="2">
        <f>COUNTIFS(集計用!$G421,"*, "&amp;BC$3&amp;", *")</f>
        <v>0</v>
      </c>
      <c r="BD423" s="2">
        <f>COUNTIFS(集計用!$G421,"*, "&amp;BD$3&amp;", *")</f>
        <v>0</v>
      </c>
      <c r="BE423" s="2">
        <f>COUNTIFS(集計用!$G421,"*, "&amp;BE$3&amp;", *")</f>
        <v>0</v>
      </c>
      <c r="BF423" s="2">
        <f>COUNTIFS(集計用!$G421,"*, "&amp;BF$3&amp;", *")</f>
        <v>0</v>
      </c>
      <c r="BG423" s="2">
        <f>COUNTIFS(集計用!$G421,"*, "&amp;BG$3&amp;", *")</f>
        <v>0</v>
      </c>
      <c r="BH423" s="2">
        <f>COUNTIFS(集計用!$G421,"*, "&amp;BH$3&amp;", *")</f>
        <v>0</v>
      </c>
      <c r="BI423" s="2">
        <f>COUNTIFS(集計用!$G421,"*, "&amp;BI$3&amp;", *")</f>
        <v>0</v>
      </c>
      <c r="BJ423" s="2">
        <f>LEN(集計用!H421)-LEN(SUBSTITUTE(集計用!H421,",",""))</f>
        <v>0</v>
      </c>
    </row>
    <row r="424" spans="1:62" ht="12.75">
      <c r="A424" s="8">
        <v>421</v>
      </c>
      <c r="C424" s="2">
        <f t="shared" si="4"/>
        <v>3</v>
      </c>
      <c r="D424" s="9"/>
      <c r="E424" s="2">
        <f>COUNTIFS(集計用!$G422,"*, "&amp;E$3&amp;", *")</f>
        <v>0</v>
      </c>
      <c r="F424" s="2">
        <f>COUNTIFS(集計用!$G422,"*, "&amp;F$3&amp;", *")</f>
        <v>0</v>
      </c>
      <c r="G424" s="2">
        <f>COUNTIFS(集計用!$G422,"*, "&amp;G$3&amp;", *")</f>
        <v>1</v>
      </c>
      <c r="H424" s="2">
        <f>COUNTIFS(集計用!$G422,"*, "&amp;H$3&amp;", *")</f>
        <v>0</v>
      </c>
      <c r="I424" s="2">
        <f>COUNTIFS(集計用!$G422,"*, "&amp;I$3&amp;", *")</f>
        <v>0</v>
      </c>
      <c r="J424" s="2">
        <f>COUNTIFS(集計用!$G422,"*, "&amp;J$3&amp;", *")</f>
        <v>0</v>
      </c>
      <c r="K424" s="2">
        <f>COUNTIFS(集計用!$G422,"*, "&amp;K$3&amp;", *")</f>
        <v>0</v>
      </c>
      <c r="L424" s="2">
        <f>COUNTIFS(集計用!$G422,"*, "&amp;L$3&amp;", *")</f>
        <v>0</v>
      </c>
      <c r="M424" s="2">
        <f>COUNTIFS(集計用!$G422,"*, "&amp;M$3&amp;", *")</f>
        <v>0</v>
      </c>
      <c r="N424" s="2">
        <f>COUNTIFS(集計用!$G422,"*, "&amp;N$3&amp;", *")</f>
        <v>1</v>
      </c>
      <c r="O424" s="2">
        <f>COUNTIFS(集計用!$G422,"*, "&amp;O$3&amp;", *")</f>
        <v>0</v>
      </c>
      <c r="P424" s="2">
        <f>COUNTIFS(集計用!$G422,"*, "&amp;P$3&amp;", *")</f>
        <v>1</v>
      </c>
      <c r="Q424" s="2">
        <f>COUNTIFS(集計用!$G422,"*, "&amp;Q$3&amp;", *")</f>
        <v>0</v>
      </c>
      <c r="R424" s="2">
        <f>COUNTIFS(集計用!$G422,"*, "&amp;R$3&amp;", *")</f>
        <v>0</v>
      </c>
      <c r="S424" s="2">
        <f>COUNTIFS(集計用!$G422,"*, "&amp;S$3&amp;", *")</f>
        <v>0</v>
      </c>
      <c r="T424" s="2">
        <f>COUNTIFS(集計用!$G422,"*, "&amp;T$3&amp;", *")</f>
        <v>0</v>
      </c>
      <c r="U424" s="2">
        <f>COUNTIFS(集計用!$G422,"*, "&amp;U$3&amp;", *")</f>
        <v>0</v>
      </c>
      <c r="V424" s="2">
        <f>COUNTIFS(集計用!$G422,"*, "&amp;V$3&amp;", *")</f>
        <v>0</v>
      </c>
      <c r="W424" s="2">
        <f>COUNTIFS(集計用!$G422,"*, "&amp;W$3&amp;", *")</f>
        <v>0</v>
      </c>
      <c r="X424" s="2">
        <f>COUNTIFS(集計用!$G422,"*, "&amp;X$3&amp;", *")</f>
        <v>0</v>
      </c>
      <c r="Y424" s="2">
        <f>COUNTIFS(集計用!$G422,"*, "&amp;Y$3&amp;", *")</f>
        <v>0</v>
      </c>
      <c r="Z424" s="2">
        <f>COUNTIFS(集計用!$G422,"*, "&amp;Z$3&amp;", *")</f>
        <v>0</v>
      </c>
      <c r="AA424" s="2">
        <f>COUNTIFS(集計用!$G422,"*, "&amp;AA$3&amp;", *")</f>
        <v>0</v>
      </c>
      <c r="AB424" s="2">
        <f>COUNTIFS(集計用!$G422,"*, "&amp;AB$3&amp;", *")</f>
        <v>0</v>
      </c>
      <c r="AC424" s="2">
        <f>COUNTIFS(集計用!$G422,"*, "&amp;AC$3&amp;", *")</f>
        <v>0</v>
      </c>
      <c r="AD424" s="2">
        <f>COUNTIFS(集計用!$G422,"*, "&amp;AD$3&amp;", *")</f>
        <v>0</v>
      </c>
      <c r="AE424" s="2">
        <f>COUNTIFS(集計用!$G422,"*, "&amp;AE$3&amp;", *")</f>
        <v>0</v>
      </c>
      <c r="AF424" s="2">
        <f>COUNTIFS(集計用!$G422,"*, "&amp;AF$3&amp;", *")</f>
        <v>0</v>
      </c>
      <c r="AG424" s="2">
        <f>COUNTIFS(集計用!$G422,"*, "&amp;AG$3&amp;", *")</f>
        <v>0</v>
      </c>
      <c r="AH424" s="2">
        <f>COUNTIFS(集計用!$G422,"*, "&amp;AH$3&amp;", *")</f>
        <v>0</v>
      </c>
      <c r="AI424" s="2">
        <f>COUNTIFS(集計用!$G422,"*, "&amp;AI$3&amp;", *")</f>
        <v>0</v>
      </c>
      <c r="AJ424" s="2">
        <f>COUNTIFS(集計用!$G422,"*, "&amp;AJ$3&amp;", *")</f>
        <v>0</v>
      </c>
      <c r="AK424" s="2">
        <f>COUNTIFS(集計用!$G422,"*, "&amp;AK$3&amp;", *")</f>
        <v>0</v>
      </c>
      <c r="AL424" s="2">
        <f>COUNTIFS(集計用!$G422,"*, "&amp;AL$3&amp;", *")</f>
        <v>0</v>
      </c>
      <c r="AM424" s="2">
        <f>COUNTIFS(集計用!$G422,"*, "&amp;AM$3&amp;", *")</f>
        <v>0</v>
      </c>
      <c r="AN424" s="2">
        <f>COUNTIFS(集計用!$G422,"*, "&amp;AN$3&amp;", *")</f>
        <v>0</v>
      </c>
      <c r="AO424" s="2">
        <f>COUNTIFS(集計用!$G422,"*, "&amp;AO$3&amp;", *")</f>
        <v>0</v>
      </c>
      <c r="AP424" s="2">
        <f>COUNTIFS(集計用!$G422,"*, "&amp;AP$3&amp;", *")</f>
        <v>0</v>
      </c>
      <c r="AQ424" s="2">
        <f>COUNTIFS(集計用!$G422,"*, "&amp;AQ$3&amp;", *")</f>
        <v>0</v>
      </c>
      <c r="AR424" s="2">
        <f>COUNTIFS(集計用!$G422,"*, "&amp;AR$3&amp;", *")</f>
        <v>0</v>
      </c>
      <c r="AS424" s="2">
        <f>COUNTIFS(集計用!$G422,"*, "&amp;AS$3&amp;", *")</f>
        <v>0</v>
      </c>
      <c r="AT424" s="2">
        <f>COUNTIFS(集計用!$G422,"*, "&amp;AT$3&amp;", *")</f>
        <v>0</v>
      </c>
      <c r="AU424" s="2">
        <f>COUNTIFS(集計用!$G422,"*, "&amp;AU$3&amp;", *")</f>
        <v>0</v>
      </c>
      <c r="AV424" s="2">
        <f>COUNTIFS(集計用!$G422,"*, "&amp;AV$3&amp;", *")</f>
        <v>0</v>
      </c>
      <c r="AW424" s="2">
        <f>COUNTIFS(集計用!$G422,"*, "&amp;AW$3&amp;", *")</f>
        <v>0</v>
      </c>
      <c r="AX424" s="2">
        <f>COUNTIFS(集計用!$G422,"*, "&amp;AX$3&amp;", *")</f>
        <v>0</v>
      </c>
      <c r="AY424" s="2">
        <f>COUNTIFS(集計用!$G422,"*, "&amp;AY$3&amp;", *")</f>
        <v>0</v>
      </c>
      <c r="AZ424" s="2">
        <f>COUNTIFS(集計用!$G422,"*, "&amp;AZ$3&amp;", *")</f>
        <v>0</v>
      </c>
      <c r="BA424" s="2">
        <f>COUNTIFS(集計用!$G422,"*, "&amp;BA$3&amp;", *")</f>
        <v>0</v>
      </c>
      <c r="BB424" s="2">
        <f>COUNTIFS(集計用!$G422,"*, "&amp;BB$3&amp;", *")</f>
        <v>0</v>
      </c>
      <c r="BC424" s="2">
        <f>COUNTIFS(集計用!$G422,"*, "&amp;BC$3&amp;", *")</f>
        <v>0</v>
      </c>
      <c r="BD424" s="2">
        <f>COUNTIFS(集計用!$G422,"*, "&amp;BD$3&amp;", *")</f>
        <v>0</v>
      </c>
      <c r="BE424" s="2">
        <f>COUNTIFS(集計用!$G422,"*, "&amp;BE$3&amp;", *")</f>
        <v>0</v>
      </c>
      <c r="BF424" s="2">
        <f>COUNTIFS(集計用!$G422,"*, "&amp;BF$3&amp;", *")</f>
        <v>0</v>
      </c>
      <c r="BG424" s="2">
        <f>COUNTIFS(集計用!$G422,"*, "&amp;BG$3&amp;", *")</f>
        <v>0</v>
      </c>
      <c r="BH424" s="2">
        <f>COUNTIFS(集計用!$G422,"*, "&amp;BH$3&amp;", *")</f>
        <v>0</v>
      </c>
      <c r="BI424" s="2">
        <f>COUNTIFS(集計用!$G422,"*, "&amp;BI$3&amp;", *")</f>
        <v>0</v>
      </c>
      <c r="BJ424" s="2">
        <f>LEN(集計用!H422)-LEN(SUBSTITUTE(集計用!H422,",",""))</f>
        <v>0</v>
      </c>
    </row>
    <row r="425" spans="1:62" ht="12.75">
      <c r="A425" s="8">
        <v>422</v>
      </c>
      <c r="C425" s="2">
        <f t="shared" si="4"/>
        <v>10</v>
      </c>
      <c r="D425" s="9"/>
      <c r="E425" s="2">
        <f>COUNTIFS(集計用!$G423,"*, "&amp;E$3&amp;", *")</f>
        <v>0</v>
      </c>
      <c r="F425" s="2">
        <f>COUNTIFS(集計用!$G423,"*, "&amp;F$3&amp;", *")</f>
        <v>1</v>
      </c>
      <c r="G425" s="2">
        <f>COUNTIFS(集計用!$G423,"*, "&amp;G$3&amp;", *")</f>
        <v>1</v>
      </c>
      <c r="H425" s="2">
        <f>COUNTIFS(集計用!$G423,"*, "&amp;H$3&amp;", *")</f>
        <v>0</v>
      </c>
      <c r="I425" s="2">
        <f>COUNTIFS(集計用!$G423,"*, "&amp;I$3&amp;", *")</f>
        <v>0</v>
      </c>
      <c r="J425" s="2">
        <f>COUNTIFS(集計用!$G423,"*, "&amp;J$3&amp;", *")</f>
        <v>1</v>
      </c>
      <c r="K425" s="2">
        <f>COUNTIFS(集計用!$G423,"*, "&amp;K$3&amp;", *")</f>
        <v>0</v>
      </c>
      <c r="L425" s="2">
        <f>COUNTIFS(集計用!$G423,"*, "&amp;L$3&amp;", *")</f>
        <v>1</v>
      </c>
      <c r="M425" s="2">
        <f>COUNTIFS(集計用!$G423,"*, "&amp;M$3&amp;", *")</f>
        <v>0</v>
      </c>
      <c r="N425" s="2">
        <f>COUNTIFS(集計用!$G423,"*, "&amp;N$3&amp;", *")</f>
        <v>1</v>
      </c>
      <c r="O425" s="2">
        <f>COUNTIFS(集計用!$G423,"*, "&amp;O$3&amp;", *")</f>
        <v>0</v>
      </c>
      <c r="P425" s="2">
        <f>COUNTIFS(集計用!$G423,"*, "&amp;P$3&amp;", *")</f>
        <v>1</v>
      </c>
      <c r="Q425" s="2">
        <f>COUNTIFS(集計用!$G423,"*, "&amp;Q$3&amp;", *")</f>
        <v>0</v>
      </c>
      <c r="R425" s="2">
        <f>COUNTIFS(集計用!$G423,"*, "&amp;R$3&amp;", *")</f>
        <v>0</v>
      </c>
      <c r="S425" s="2">
        <f>COUNTIFS(集計用!$G423,"*, "&amp;S$3&amp;", *")</f>
        <v>1</v>
      </c>
      <c r="T425" s="2">
        <f>COUNTIFS(集計用!$G423,"*, "&amp;T$3&amp;", *")</f>
        <v>0</v>
      </c>
      <c r="U425" s="2">
        <f>COUNTIFS(集計用!$G423,"*, "&amp;U$3&amp;", *")</f>
        <v>0</v>
      </c>
      <c r="V425" s="2">
        <f>COUNTIFS(集計用!$G423,"*, "&amp;V$3&amp;", *")</f>
        <v>0</v>
      </c>
      <c r="W425" s="2">
        <f>COUNTIFS(集計用!$G423,"*, "&amp;W$3&amp;", *")</f>
        <v>0</v>
      </c>
      <c r="X425" s="2">
        <f>COUNTIFS(集計用!$G423,"*, "&amp;X$3&amp;", *")</f>
        <v>1</v>
      </c>
      <c r="Y425" s="2">
        <f>COUNTIFS(集計用!$G423,"*, "&amp;Y$3&amp;", *")</f>
        <v>1</v>
      </c>
      <c r="Z425" s="2">
        <f>COUNTIFS(集計用!$G423,"*, "&amp;Z$3&amp;", *")</f>
        <v>0</v>
      </c>
      <c r="AA425" s="2">
        <f>COUNTIFS(集計用!$G423,"*, "&amp;AA$3&amp;", *")</f>
        <v>0</v>
      </c>
      <c r="AB425" s="2">
        <f>COUNTIFS(集計用!$G423,"*, "&amp;AB$3&amp;", *")</f>
        <v>1</v>
      </c>
      <c r="AC425" s="2">
        <f>COUNTIFS(集計用!$G423,"*, "&amp;AC$3&amp;", *")</f>
        <v>0</v>
      </c>
      <c r="AD425" s="2">
        <f>COUNTIFS(集計用!$G423,"*, "&amp;AD$3&amp;", *")</f>
        <v>0</v>
      </c>
      <c r="AE425" s="2">
        <f>COUNTIFS(集計用!$G423,"*, "&amp;AE$3&amp;", *")</f>
        <v>0</v>
      </c>
      <c r="AF425" s="2">
        <f>COUNTIFS(集計用!$G423,"*, "&amp;AF$3&amp;", *")</f>
        <v>0</v>
      </c>
      <c r="AG425" s="2">
        <f>COUNTIFS(集計用!$G423,"*, "&amp;AG$3&amp;", *")</f>
        <v>0</v>
      </c>
      <c r="AH425" s="2">
        <f>COUNTIFS(集計用!$G423,"*, "&amp;AH$3&amp;", *")</f>
        <v>0</v>
      </c>
      <c r="AI425" s="2">
        <f>COUNTIFS(集計用!$G423,"*, "&amp;AI$3&amp;", *")</f>
        <v>0</v>
      </c>
      <c r="AJ425" s="2">
        <f>COUNTIFS(集計用!$G423,"*, "&amp;AJ$3&amp;", *")</f>
        <v>0</v>
      </c>
      <c r="AK425" s="2">
        <f>COUNTIFS(集計用!$G423,"*, "&amp;AK$3&amp;", *")</f>
        <v>0</v>
      </c>
      <c r="AL425" s="2">
        <f>COUNTIFS(集計用!$G423,"*, "&amp;AL$3&amp;", *")</f>
        <v>0</v>
      </c>
      <c r="AM425" s="2">
        <f>COUNTIFS(集計用!$G423,"*, "&amp;AM$3&amp;", *")</f>
        <v>0</v>
      </c>
      <c r="AN425" s="2">
        <f>COUNTIFS(集計用!$G423,"*, "&amp;AN$3&amp;", *")</f>
        <v>0</v>
      </c>
      <c r="AO425" s="2">
        <f>COUNTIFS(集計用!$G423,"*, "&amp;AO$3&amp;", *")</f>
        <v>0</v>
      </c>
      <c r="AP425" s="2">
        <f>COUNTIFS(集計用!$G423,"*, "&amp;AP$3&amp;", *")</f>
        <v>0</v>
      </c>
      <c r="AQ425" s="2">
        <f>COUNTIFS(集計用!$G423,"*, "&amp;AQ$3&amp;", *")</f>
        <v>0</v>
      </c>
      <c r="AR425" s="2">
        <f>COUNTIFS(集計用!$G423,"*, "&amp;AR$3&amp;", *")</f>
        <v>0</v>
      </c>
      <c r="AS425" s="2">
        <f>COUNTIFS(集計用!$G423,"*, "&amp;AS$3&amp;", *")</f>
        <v>0</v>
      </c>
      <c r="AT425" s="2">
        <f>COUNTIFS(集計用!$G423,"*, "&amp;AT$3&amp;", *")</f>
        <v>0</v>
      </c>
      <c r="AU425" s="2">
        <f>COUNTIFS(集計用!$G423,"*, "&amp;AU$3&amp;", *")</f>
        <v>0</v>
      </c>
      <c r="AV425" s="2">
        <f>COUNTIFS(集計用!$G423,"*, "&amp;AV$3&amp;", *")</f>
        <v>0</v>
      </c>
      <c r="AW425" s="2">
        <f>COUNTIFS(集計用!$G423,"*, "&amp;AW$3&amp;", *")</f>
        <v>0</v>
      </c>
      <c r="AX425" s="2">
        <f>COUNTIFS(集計用!$G423,"*, "&amp;AX$3&amp;", *")</f>
        <v>0</v>
      </c>
      <c r="AY425" s="2">
        <f>COUNTIFS(集計用!$G423,"*, "&amp;AY$3&amp;", *")</f>
        <v>0</v>
      </c>
      <c r="AZ425" s="2">
        <f>COUNTIFS(集計用!$G423,"*, "&amp;AZ$3&amp;", *")</f>
        <v>0</v>
      </c>
      <c r="BA425" s="2">
        <f>COUNTIFS(集計用!$G423,"*, "&amp;BA$3&amp;", *")</f>
        <v>0</v>
      </c>
      <c r="BB425" s="2">
        <f>COUNTIFS(集計用!$G423,"*, "&amp;BB$3&amp;", *")</f>
        <v>0</v>
      </c>
      <c r="BC425" s="2">
        <f>COUNTIFS(集計用!$G423,"*, "&amp;BC$3&amp;", *")</f>
        <v>0</v>
      </c>
      <c r="BD425" s="2">
        <f>COUNTIFS(集計用!$G423,"*, "&amp;BD$3&amp;", *")</f>
        <v>0</v>
      </c>
      <c r="BE425" s="2">
        <f>COUNTIFS(集計用!$G423,"*, "&amp;BE$3&amp;", *")</f>
        <v>0</v>
      </c>
      <c r="BF425" s="2">
        <f>COUNTIFS(集計用!$G423,"*, "&amp;BF$3&amp;", *")</f>
        <v>0</v>
      </c>
      <c r="BG425" s="2">
        <f>COUNTIFS(集計用!$G423,"*, "&amp;BG$3&amp;", *")</f>
        <v>0</v>
      </c>
      <c r="BH425" s="2">
        <f>COUNTIFS(集計用!$G423,"*, "&amp;BH$3&amp;", *")</f>
        <v>0</v>
      </c>
      <c r="BI425" s="2">
        <f>COUNTIFS(集計用!$G423,"*, "&amp;BI$3&amp;", *")</f>
        <v>0</v>
      </c>
      <c r="BJ425" s="2">
        <f>LEN(集計用!H423)-LEN(SUBSTITUTE(集計用!H423,",",""))</f>
        <v>0</v>
      </c>
    </row>
    <row r="426" spans="1:62" ht="12.75">
      <c r="A426" s="8">
        <v>423</v>
      </c>
      <c r="C426" s="2">
        <f t="shared" si="4"/>
        <v>4</v>
      </c>
      <c r="D426" s="9"/>
      <c r="E426" s="2">
        <f>COUNTIFS(集計用!$G424,"*, "&amp;E$3&amp;", *")</f>
        <v>0</v>
      </c>
      <c r="F426" s="2">
        <f>COUNTIFS(集計用!$G424,"*, "&amp;F$3&amp;", *")</f>
        <v>0</v>
      </c>
      <c r="G426" s="2">
        <f>COUNTIFS(集計用!$G424,"*, "&amp;G$3&amp;", *")</f>
        <v>1</v>
      </c>
      <c r="H426" s="2">
        <f>COUNTIFS(集計用!$G424,"*, "&amp;H$3&amp;", *")</f>
        <v>0</v>
      </c>
      <c r="I426" s="2">
        <f>COUNTIFS(集計用!$G424,"*, "&amp;I$3&amp;", *")</f>
        <v>0</v>
      </c>
      <c r="J426" s="2">
        <f>COUNTIFS(集計用!$G424,"*, "&amp;J$3&amp;", *")</f>
        <v>0</v>
      </c>
      <c r="K426" s="2">
        <f>COUNTIFS(集計用!$G424,"*, "&amp;K$3&amp;", *")</f>
        <v>0</v>
      </c>
      <c r="L426" s="2">
        <f>COUNTIFS(集計用!$G424,"*, "&amp;L$3&amp;", *")</f>
        <v>0</v>
      </c>
      <c r="M426" s="2">
        <f>COUNTIFS(集計用!$G424,"*, "&amp;M$3&amp;", *")</f>
        <v>0</v>
      </c>
      <c r="N426" s="2">
        <f>COUNTIFS(集計用!$G424,"*, "&amp;N$3&amp;", *")</f>
        <v>1</v>
      </c>
      <c r="O426" s="2">
        <f>COUNTIFS(集計用!$G424,"*, "&amp;O$3&amp;", *")</f>
        <v>0</v>
      </c>
      <c r="P426" s="2">
        <f>COUNTIFS(集計用!$G424,"*, "&amp;P$3&amp;", *")</f>
        <v>0</v>
      </c>
      <c r="Q426" s="2">
        <f>COUNTIFS(集計用!$G424,"*, "&amp;Q$3&amp;", *")</f>
        <v>0</v>
      </c>
      <c r="R426" s="2">
        <f>COUNTIFS(集計用!$G424,"*, "&amp;R$3&amp;", *")</f>
        <v>0</v>
      </c>
      <c r="S426" s="2">
        <f>COUNTIFS(集計用!$G424,"*, "&amp;S$3&amp;", *")</f>
        <v>0</v>
      </c>
      <c r="T426" s="2">
        <f>COUNTIFS(集計用!$G424,"*, "&amp;T$3&amp;", *")</f>
        <v>0</v>
      </c>
      <c r="U426" s="2">
        <f>COUNTIFS(集計用!$G424,"*, "&amp;U$3&amp;", *")</f>
        <v>0</v>
      </c>
      <c r="V426" s="2">
        <f>COUNTIFS(集計用!$G424,"*, "&amp;V$3&amp;", *")</f>
        <v>0</v>
      </c>
      <c r="W426" s="2">
        <f>COUNTIFS(集計用!$G424,"*, "&amp;W$3&amp;", *")</f>
        <v>0</v>
      </c>
      <c r="X426" s="2">
        <f>COUNTIFS(集計用!$G424,"*, "&amp;X$3&amp;", *")</f>
        <v>0</v>
      </c>
      <c r="Y426" s="2">
        <f>COUNTIFS(集計用!$G424,"*, "&amp;Y$3&amp;", *")</f>
        <v>1</v>
      </c>
      <c r="Z426" s="2">
        <f>COUNTIFS(集計用!$G424,"*, "&amp;Z$3&amp;", *")</f>
        <v>1</v>
      </c>
      <c r="AA426" s="2">
        <f>COUNTIFS(集計用!$G424,"*, "&amp;AA$3&amp;", *")</f>
        <v>0</v>
      </c>
      <c r="AB426" s="2">
        <f>COUNTIFS(集計用!$G424,"*, "&amp;AB$3&amp;", *")</f>
        <v>0</v>
      </c>
      <c r="AC426" s="2">
        <f>COUNTIFS(集計用!$G424,"*, "&amp;AC$3&amp;", *")</f>
        <v>0</v>
      </c>
      <c r="AD426" s="2">
        <f>COUNTIFS(集計用!$G424,"*, "&amp;AD$3&amp;", *")</f>
        <v>0</v>
      </c>
      <c r="AE426" s="2">
        <f>COUNTIFS(集計用!$G424,"*, "&amp;AE$3&amp;", *")</f>
        <v>0</v>
      </c>
      <c r="AF426" s="2">
        <f>COUNTIFS(集計用!$G424,"*, "&amp;AF$3&amp;", *")</f>
        <v>0</v>
      </c>
      <c r="AG426" s="2">
        <f>COUNTIFS(集計用!$G424,"*, "&amp;AG$3&amp;", *")</f>
        <v>0</v>
      </c>
      <c r="AH426" s="2">
        <f>COUNTIFS(集計用!$G424,"*, "&amp;AH$3&amp;", *")</f>
        <v>0</v>
      </c>
      <c r="AI426" s="2">
        <f>COUNTIFS(集計用!$G424,"*, "&amp;AI$3&amp;", *")</f>
        <v>0</v>
      </c>
      <c r="AJ426" s="2">
        <f>COUNTIFS(集計用!$G424,"*, "&amp;AJ$3&amp;", *")</f>
        <v>0</v>
      </c>
      <c r="AK426" s="2">
        <f>COUNTIFS(集計用!$G424,"*, "&amp;AK$3&amp;", *")</f>
        <v>0</v>
      </c>
      <c r="AL426" s="2">
        <f>COUNTIFS(集計用!$G424,"*, "&amp;AL$3&amp;", *")</f>
        <v>0</v>
      </c>
      <c r="AM426" s="2">
        <f>COUNTIFS(集計用!$G424,"*, "&amp;AM$3&amp;", *")</f>
        <v>0</v>
      </c>
      <c r="AN426" s="2">
        <f>COUNTIFS(集計用!$G424,"*, "&amp;AN$3&amp;", *")</f>
        <v>0</v>
      </c>
      <c r="AO426" s="2">
        <f>COUNTIFS(集計用!$G424,"*, "&amp;AO$3&amp;", *")</f>
        <v>0</v>
      </c>
      <c r="AP426" s="2">
        <f>COUNTIFS(集計用!$G424,"*, "&amp;AP$3&amp;", *")</f>
        <v>0</v>
      </c>
      <c r="AQ426" s="2">
        <f>COUNTIFS(集計用!$G424,"*, "&amp;AQ$3&amp;", *")</f>
        <v>0</v>
      </c>
      <c r="AR426" s="2">
        <f>COUNTIFS(集計用!$G424,"*, "&amp;AR$3&amp;", *")</f>
        <v>0</v>
      </c>
      <c r="AS426" s="2">
        <f>COUNTIFS(集計用!$G424,"*, "&amp;AS$3&amp;", *")</f>
        <v>0</v>
      </c>
      <c r="AT426" s="2">
        <f>COUNTIFS(集計用!$G424,"*, "&amp;AT$3&amp;", *")</f>
        <v>0</v>
      </c>
      <c r="AU426" s="2">
        <f>COUNTIFS(集計用!$G424,"*, "&amp;AU$3&amp;", *")</f>
        <v>0</v>
      </c>
      <c r="AV426" s="2">
        <f>COUNTIFS(集計用!$G424,"*, "&amp;AV$3&amp;", *")</f>
        <v>0</v>
      </c>
      <c r="AW426" s="2">
        <f>COUNTIFS(集計用!$G424,"*, "&amp;AW$3&amp;", *")</f>
        <v>0</v>
      </c>
      <c r="AX426" s="2">
        <f>COUNTIFS(集計用!$G424,"*, "&amp;AX$3&amp;", *")</f>
        <v>0</v>
      </c>
      <c r="AY426" s="2">
        <f>COUNTIFS(集計用!$G424,"*, "&amp;AY$3&amp;", *")</f>
        <v>0</v>
      </c>
      <c r="AZ426" s="2">
        <f>COUNTIFS(集計用!$G424,"*, "&amp;AZ$3&amp;", *")</f>
        <v>0</v>
      </c>
      <c r="BA426" s="2">
        <f>COUNTIFS(集計用!$G424,"*, "&amp;BA$3&amp;", *")</f>
        <v>0</v>
      </c>
      <c r="BB426" s="2">
        <f>COUNTIFS(集計用!$G424,"*, "&amp;BB$3&amp;", *")</f>
        <v>0</v>
      </c>
      <c r="BC426" s="2">
        <f>COUNTIFS(集計用!$G424,"*, "&amp;BC$3&amp;", *")</f>
        <v>0</v>
      </c>
      <c r="BD426" s="2">
        <f>COUNTIFS(集計用!$G424,"*, "&amp;BD$3&amp;", *")</f>
        <v>0</v>
      </c>
      <c r="BE426" s="2">
        <f>COUNTIFS(集計用!$G424,"*, "&amp;BE$3&amp;", *")</f>
        <v>0</v>
      </c>
      <c r="BF426" s="2">
        <f>COUNTIFS(集計用!$G424,"*, "&amp;BF$3&amp;", *")</f>
        <v>0</v>
      </c>
      <c r="BG426" s="2">
        <f>COUNTIFS(集計用!$G424,"*, "&amp;BG$3&amp;", *")</f>
        <v>0</v>
      </c>
      <c r="BH426" s="2">
        <f>COUNTIFS(集計用!$G424,"*, "&amp;BH$3&amp;", *")</f>
        <v>0</v>
      </c>
      <c r="BI426" s="2">
        <f>COUNTIFS(集計用!$G424,"*, "&amp;BI$3&amp;", *")</f>
        <v>0</v>
      </c>
      <c r="BJ426" s="2">
        <f>LEN(集計用!H424)-LEN(SUBSTITUTE(集計用!H424,",",""))</f>
        <v>0</v>
      </c>
    </row>
    <row r="427" spans="1:62" ht="12.75">
      <c r="A427" s="8">
        <v>424</v>
      </c>
      <c r="C427" s="2">
        <f t="shared" si="4"/>
        <v>4</v>
      </c>
      <c r="D427" s="9"/>
      <c r="E427" s="2">
        <f>COUNTIFS(集計用!$G425,"*, "&amp;E$3&amp;", *")</f>
        <v>1</v>
      </c>
      <c r="F427" s="2">
        <f>COUNTIFS(集計用!$G425,"*, "&amp;F$3&amp;", *")</f>
        <v>1</v>
      </c>
      <c r="G427" s="2">
        <f>COUNTIFS(集計用!$G425,"*, "&amp;G$3&amp;", *")</f>
        <v>0</v>
      </c>
      <c r="H427" s="2">
        <f>COUNTIFS(集計用!$G425,"*, "&amp;H$3&amp;", *")</f>
        <v>0</v>
      </c>
      <c r="I427" s="2">
        <f>COUNTIFS(集計用!$G425,"*, "&amp;I$3&amp;", *")</f>
        <v>0</v>
      </c>
      <c r="J427" s="2">
        <f>COUNTIFS(集計用!$G425,"*, "&amp;J$3&amp;", *")</f>
        <v>0</v>
      </c>
      <c r="K427" s="2">
        <f>COUNTIFS(集計用!$G425,"*, "&amp;K$3&amp;", *")</f>
        <v>0</v>
      </c>
      <c r="L427" s="2">
        <f>COUNTIFS(集計用!$G425,"*, "&amp;L$3&amp;", *")</f>
        <v>0</v>
      </c>
      <c r="M427" s="2">
        <f>COUNTIFS(集計用!$G425,"*, "&amp;M$3&amp;", *")</f>
        <v>0</v>
      </c>
      <c r="N427" s="2">
        <f>COUNTIFS(集計用!$G425,"*, "&amp;N$3&amp;", *")</f>
        <v>0</v>
      </c>
      <c r="O427" s="2">
        <f>COUNTIFS(集計用!$G425,"*, "&amp;O$3&amp;", *")</f>
        <v>0</v>
      </c>
      <c r="P427" s="2">
        <f>COUNTIFS(集計用!$G425,"*, "&amp;P$3&amp;", *")</f>
        <v>0</v>
      </c>
      <c r="Q427" s="2">
        <f>COUNTIFS(集計用!$G425,"*, "&amp;Q$3&amp;", *")</f>
        <v>0</v>
      </c>
      <c r="R427" s="2">
        <f>COUNTIFS(集計用!$G425,"*, "&amp;R$3&amp;", *")</f>
        <v>0</v>
      </c>
      <c r="S427" s="2">
        <f>COUNTIFS(集計用!$G425,"*, "&amp;S$3&amp;", *")</f>
        <v>0</v>
      </c>
      <c r="T427" s="2">
        <f>COUNTIFS(集計用!$G425,"*, "&amp;T$3&amp;", *")</f>
        <v>0</v>
      </c>
      <c r="U427" s="2">
        <f>COUNTIFS(集計用!$G425,"*, "&amp;U$3&amp;", *")</f>
        <v>1</v>
      </c>
      <c r="V427" s="2">
        <f>COUNTIFS(集計用!$G425,"*, "&amp;V$3&amp;", *")</f>
        <v>0</v>
      </c>
      <c r="W427" s="2">
        <f>COUNTIFS(集計用!$G425,"*, "&amp;W$3&amp;", *")</f>
        <v>1</v>
      </c>
      <c r="X427" s="2">
        <f>COUNTIFS(集計用!$G425,"*, "&amp;X$3&amp;", *")</f>
        <v>0</v>
      </c>
      <c r="Y427" s="2">
        <f>COUNTIFS(集計用!$G425,"*, "&amp;Y$3&amp;", *")</f>
        <v>0</v>
      </c>
      <c r="Z427" s="2">
        <f>COUNTIFS(集計用!$G425,"*, "&amp;Z$3&amp;", *")</f>
        <v>0</v>
      </c>
      <c r="AA427" s="2">
        <f>COUNTIFS(集計用!$G425,"*, "&amp;AA$3&amp;", *")</f>
        <v>0</v>
      </c>
      <c r="AB427" s="2">
        <f>COUNTIFS(集計用!$G425,"*, "&amp;AB$3&amp;", *")</f>
        <v>0</v>
      </c>
      <c r="AC427" s="2">
        <f>COUNTIFS(集計用!$G425,"*, "&amp;AC$3&amp;", *")</f>
        <v>0</v>
      </c>
      <c r="AD427" s="2">
        <f>COUNTIFS(集計用!$G425,"*, "&amp;AD$3&amp;", *")</f>
        <v>0</v>
      </c>
      <c r="AE427" s="2">
        <f>COUNTIFS(集計用!$G425,"*, "&amp;AE$3&amp;", *")</f>
        <v>0</v>
      </c>
      <c r="AF427" s="2">
        <f>COUNTIFS(集計用!$G425,"*, "&amp;AF$3&amp;", *")</f>
        <v>0</v>
      </c>
      <c r="AG427" s="2">
        <f>COUNTIFS(集計用!$G425,"*, "&amp;AG$3&amp;", *")</f>
        <v>0</v>
      </c>
      <c r="AH427" s="2">
        <f>COUNTIFS(集計用!$G425,"*, "&amp;AH$3&amp;", *")</f>
        <v>0</v>
      </c>
      <c r="AI427" s="2">
        <f>COUNTIFS(集計用!$G425,"*, "&amp;AI$3&amp;", *")</f>
        <v>0</v>
      </c>
      <c r="AJ427" s="2">
        <f>COUNTIFS(集計用!$G425,"*, "&amp;AJ$3&amp;", *")</f>
        <v>0</v>
      </c>
      <c r="AK427" s="2">
        <f>COUNTIFS(集計用!$G425,"*, "&amp;AK$3&amp;", *")</f>
        <v>0</v>
      </c>
      <c r="AL427" s="2">
        <f>COUNTIFS(集計用!$G425,"*, "&amp;AL$3&amp;", *")</f>
        <v>0</v>
      </c>
      <c r="AM427" s="2">
        <f>COUNTIFS(集計用!$G425,"*, "&amp;AM$3&amp;", *")</f>
        <v>0</v>
      </c>
      <c r="AN427" s="2">
        <f>COUNTIFS(集計用!$G425,"*, "&amp;AN$3&amp;", *")</f>
        <v>0</v>
      </c>
      <c r="AO427" s="2">
        <f>COUNTIFS(集計用!$G425,"*, "&amp;AO$3&amp;", *")</f>
        <v>0</v>
      </c>
      <c r="AP427" s="2">
        <f>COUNTIFS(集計用!$G425,"*, "&amp;AP$3&amp;", *")</f>
        <v>0</v>
      </c>
      <c r="AQ427" s="2">
        <f>COUNTIFS(集計用!$G425,"*, "&amp;AQ$3&amp;", *")</f>
        <v>0</v>
      </c>
      <c r="AR427" s="2">
        <f>COUNTIFS(集計用!$G425,"*, "&amp;AR$3&amp;", *")</f>
        <v>0</v>
      </c>
      <c r="AS427" s="2">
        <f>COUNTIFS(集計用!$G425,"*, "&amp;AS$3&amp;", *")</f>
        <v>0</v>
      </c>
      <c r="AT427" s="2">
        <f>COUNTIFS(集計用!$G425,"*, "&amp;AT$3&amp;", *")</f>
        <v>0</v>
      </c>
      <c r="AU427" s="2">
        <f>COUNTIFS(集計用!$G425,"*, "&amp;AU$3&amp;", *")</f>
        <v>0</v>
      </c>
      <c r="AV427" s="2">
        <f>COUNTIFS(集計用!$G425,"*, "&amp;AV$3&amp;", *")</f>
        <v>0</v>
      </c>
      <c r="AW427" s="2">
        <f>COUNTIFS(集計用!$G425,"*, "&amp;AW$3&amp;", *")</f>
        <v>0</v>
      </c>
      <c r="AX427" s="2">
        <f>COUNTIFS(集計用!$G425,"*, "&amp;AX$3&amp;", *")</f>
        <v>0</v>
      </c>
      <c r="AY427" s="2">
        <f>COUNTIFS(集計用!$G425,"*, "&amp;AY$3&amp;", *")</f>
        <v>0</v>
      </c>
      <c r="AZ427" s="2">
        <f>COUNTIFS(集計用!$G425,"*, "&amp;AZ$3&amp;", *")</f>
        <v>0</v>
      </c>
      <c r="BA427" s="2">
        <f>COUNTIFS(集計用!$G425,"*, "&amp;BA$3&amp;", *")</f>
        <v>0</v>
      </c>
      <c r="BB427" s="2">
        <f>COUNTIFS(集計用!$G425,"*, "&amp;BB$3&amp;", *")</f>
        <v>0</v>
      </c>
      <c r="BC427" s="2">
        <f>COUNTIFS(集計用!$G425,"*, "&amp;BC$3&amp;", *")</f>
        <v>0</v>
      </c>
      <c r="BD427" s="2">
        <f>COUNTIFS(集計用!$G425,"*, "&amp;BD$3&amp;", *")</f>
        <v>0</v>
      </c>
      <c r="BE427" s="2">
        <f>COUNTIFS(集計用!$G425,"*, "&amp;BE$3&amp;", *")</f>
        <v>0</v>
      </c>
      <c r="BF427" s="2">
        <f>COUNTIFS(集計用!$G425,"*, "&amp;BF$3&amp;", *")</f>
        <v>0</v>
      </c>
      <c r="BG427" s="2">
        <f>COUNTIFS(集計用!$G425,"*, "&amp;BG$3&amp;", *")</f>
        <v>0</v>
      </c>
      <c r="BH427" s="2">
        <f>COUNTIFS(集計用!$G425,"*, "&amp;BH$3&amp;", *")</f>
        <v>0</v>
      </c>
      <c r="BI427" s="2">
        <f>COUNTIFS(集計用!$G425,"*, "&amp;BI$3&amp;", *")</f>
        <v>0</v>
      </c>
      <c r="BJ427" s="2">
        <f>LEN(集計用!H425)-LEN(SUBSTITUTE(集計用!H425,",",""))</f>
        <v>0</v>
      </c>
    </row>
    <row r="428" spans="1:62" ht="12.75">
      <c r="A428" s="8">
        <v>425</v>
      </c>
      <c r="C428" s="2">
        <f t="shared" si="4"/>
        <v>4</v>
      </c>
      <c r="D428" s="9"/>
      <c r="E428" s="2">
        <f>COUNTIFS(集計用!$G426,"*, "&amp;E$3&amp;", *")</f>
        <v>0</v>
      </c>
      <c r="F428" s="2">
        <f>COUNTIFS(集計用!$G426,"*, "&amp;F$3&amp;", *")</f>
        <v>1</v>
      </c>
      <c r="G428" s="2">
        <f>COUNTIFS(集計用!$G426,"*, "&amp;G$3&amp;", *")</f>
        <v>0</v>
      </c>
      <c r="H428" s="2">
        <f>COUNTIFS(集計用!$G426,"*, "&amp;H$3&amp;", *")</f>
        <v>1</v>
      </c>
      <c r="I428" s="2">
        <f>COUNTIFS(集計用!$G426,"*, "&amp;I$3&amp;", *")</f>
        <v>0</v>
      </c>
      <c r="J428" s="2">
        <f>COUNTIFS(集計用!$G426,"*, "&amp;J$3&amp;", *")</f>
        <v>0</v>
      </c>
      <c r="K428" s="2">
        <f>COUNTIFS(集計用!$G426,"*, "&amp;K$3&amp;", *")</f>
        <v>0</v>
      </c>
      <c r="L428" s="2">
        <f>COUNTIFS(集計用!$G426,"*, "&amp;L$3&amp;", *")</f>
        <v>0</v>
      </c>
      <c r="M428" s="2">
        <f>COUNTIFS(集計用!$G426,"*, "&amp;M$3&amp;", *")</f>
        <v>0</v>
      </c>
      <c r="N428" s="2">
        <f>COUNTIFS(集計用!$G426,"*, "&amp;N$3&amp;", *")</f>
        <v>0</v>
      </c>
      <c r="O428" s="2">
        <f>COUNTIFS(集計用!$G426,"*, "&amp;O$3&amp;", *")</f>
        <v>0</v>
      </c>
      <c r="P428" s="2">
        <f>COUNTIFS(集計用!$G426,"*, "&amp;P$3&amp;", *")</f>
        <v>0</v>
      </c>
      <c r="Q428" s="2">
        <f>COUNTIFS(集計用!$G426,"*, "&amp;Q$3&amp;", *")</f>
        <v>1</v>
      </c>
      <c r="R428" s="2">
        <f>COUNTIFS(集計用!$G426,"*, "&amp;R$3&amp;", *")</f>
        <v>0</v>
      </c>
      <c r="S428" s="2">
        <f>COUNTIFS(集計用!$G426,"*, "&amp;S$3&amp;", *")</f>
        <v>0</v>
      </c>
      <c r="T428" s="2">
        <f>COUNTIFS(集計用!$G426,"*, "&amp;T$3&amp;", *")</f>
        <v>0</v>
      </c>
      <c r="U428" s="2">
        <f>COUNTIFS(集計用!$G426,"*, "&amp;U$3&amp;", *")</f>
        <v>0</v>
      </c>
      <c r="V428" s="2">
        <f>COUNTIFS(集計用!$G426,"*, "&amp;V$3&amp;", *")</f>
        <v>0</v>
      </c>
      <c r="W428" s="2">
        <f>COUNTIFS(集計用!$G426,"*, "&amp;W$3&amp;", *")</f>
        <v>0</v>
      </c>
      <c r="X428" s="2">
        <f>COUNTIFS(集計用!$G426,"*, "&amp;X$3&amp;", *")</f>
        <v>0</v>
      </c>
      <c r="Y428" s="2">
        <f>COUNTIFS(集計用!$G426,"*, "&amp;Y$3&amp;", *")</f>
        <v>0</v>
      </c>
      <c r="Z428" s="2">
        <f>COUNTIFS(集計用!$G426,"*, "&amp;Z$3&amp;", *")</f>
        <v>0</v>
      </c>
      <c r="AA428" s="2">
        <f>COUNTIFS(集計用!$G426,"*, "&amp;AA$3&amp;", *")</f>
        <v>0</v>
      </c>
      <c r="AB428" s="2">
        <f>COUNTIFS(集計用!$G426,"*, "&amp;AB$3&amp;", *")</f>
        <v>0</v>
      </c>
      <c r="AC428" s="2">
        <f>COUNTIFS(集計用!$G426,"*, "&amp;AC$3&amp;", *")</f>
        <v>0</v>
      </c>
      <c r="AD428" s="2">
        <f>COUNTIFS(集計用!$G426,"*, "&amp;AD$3&amp;", *")</f>
        <v>0</v>
      </c>
      <c r="AE428" s="2">
        <f>COUNTIFS(集計用!$G426,"*, "&amp;AE$3&amp;", *")</f>
        <v>0</v>
      </c>
      <c r="AF428" s="2">
        <f>COUNTIFS(集計用!$G426,"*, "&amp;AF$3&amp;", *")</f>
        <v>0</v>
      </c>
      <c r="AG428" s="2">
        <f>COUNTIFS(集計用!$G426,"*, "&amp;AG$3&amp;", *")</f>
        <v>0</v>
      </c>
      <c r="AH428" s="2">
        <f>COUNTIFS(集計用!$G426,"*, "&amp;AH$3&amp;", *")</f>
        <v>0</v>
      </c>
      <c r="AI428" s="2">
        <f>COUNTIFS(集計用!$G426,"*, "&amp;AI$3&amp;", *")</f>
        <v>0</v>
      </c>
      <c r="AJ428" s="2">
        <f>COUNTIFS(集計用!$G426,"*, "&amp;AJ$3&amp;", *")</f>
        <v>0</v>
      </c>
      <c r="AK428" s="2">
        <f>COUNTIFS(集計用!$G426,"*, "&amp;AK$3&amp;", *")</f>
        <v>0</v>
      </c>
      <c r="AL428" s="2">
        <f>COUNTIFS(集計用!$G426,"*, "&amp;AL$3&amp;", *")</f>
        <v>0</v>
      </c>
      <c r="AM428" s="2">
        <f>COUNTIFS(集計用!$G426,"*, "&amp;AM$3&amp;", *")</f>
        <v>0</v>
      </c>
      <c r="AN428" s="2">
        <f>COUNTIFS(集計用!$G426,"*, "&amp;AN$3&amp;", *")</f>
        <v>0</v>
      </c>
      <c r="AO428" s="2">
        <f>COUNTIFS(集計用!$G426,"*, "&amp;AO$3&amp;", *")</f>
        <v>0</v>
      </c>
      <c r="AP428" s="2">
        <f>COUNTIFS(集計用!$G426,"*, "&amp;AP$3&amp;", *")</f>
        <v>0</v>
      </c>
      <c r="AQ428" s="2">
        <f>COUNTIFS(集計用!$G426,"*, "&amp;AQ$3&amp;", *")</f>
        <v>0</v>
      </c>
      <c r="AR428" s="2">
        <f>COUNTIFS(集計用!$G426,"*, "&amp;AR$3&amp;", *")</f>
        <v>0</v>
      </c>
      <c r="AS428" s="2">
        <f>COUNTIFS(集計用!$G426,"*, "&amp;AS$3&amp;", *")</f>
        <v>0</v>
      </c>
      <c r="AT428" s="2">
        <f>COUNTIFS(集計用!$G426,"*, "&amp;AT$3&amp;", *")</f>
        <v>0</v>
      </c>
      <c r="AU428" s="2">
        <f>COUNTIFS(集計用!$G426,"*, "&amp;AU$3&amp;", *")</f>
        <v>0</v>
      </c>
      <c r="AV428" s="2">
        <f>COUNTIFS(集計用!$G426,"*, "&amp;AV$3&amp;", *")</f>
        <v>0</v>
      </c>
      <c r="AW428" s="2">
        <f>COUNTIFS(集計用!$G426,"*, "&amp;AW$3&amp;", *")</f>
        <v>0</v>
      </c>
      <c r="AX428" s="2">
        <f>COUNTIFS(集計用!$G426,"*, "&amp;AX$3&amp;", *")</f>
        <v>0</v>
      </c>
      <c r="AY428" s="2">
        <f>COUNTIFS(集計用!$G426,"*, "&amp;AY$3&amp;", *")</f>
        <v>0</v>
      </c>
      <c r="AZ428" s="2">
        <f>COUNTIFS(集計用!$G426,"*, "&amp;AZ$3&amp;", *")</f>
        <v>0</v>
      </c>
      <c r="BA428" s="2">
        <f>COUNTIFS(集計用!$G426,"*, "&amp;BA$3&amp;", *")</f>
        <v>0</v>
      </c>
      <c r="BB428" s="2">
        <f>COUNTIFS(集計用!$G426,"*, "&amp;BB$3&amp;", *")</f>
        <v>0</v>
      </c>
      <c r="BC428" s="2">
        <f>COUNTIFS(集計用!$G426,"*, "&amp;BC$3&amp;", *")</f>
        <v>1</v>
      </c>
      <c r="BD428" s="2">
        <f>COUNTIFS(集計用!$G426,"*, "&amp;BD$3&amp;", *")</f>
        <v>0</v>
      </c>
      <c r="BE428" s="2">
        <f>COUNTIFS(集計用!$G426,"*, "&amp;BE$3&amp;", *")</f>
        <v>0</v>
      </c>
      <c r="BF428" s="2">
        <f>COUNTIFS(集計用!$G426,"*, "&amp;BF$3&amp;", *")</f>
        <v>0</v>
      </c>
      <c r="BG428" s="2">
        <f>COUNTIFS(集計用!$G426,"*, "&amp;BG$3&amp;", *")</f>
        <v>0</v>
      </c>
      <c r="BH428" s="2">
        <f>COUNTIFS(集計用!$G426,"*, "&amp;BH$3&amp;", *")</f>
        <v>0</v>
      </c>
      <c r="BI428" s="2">
        <f>COUNTIFS(集計用!$G426,"*, "&amp;BI$3&amp;", *")</f>
        <v>0</v>
      </c>
      <c r="BJ428" s="2">
        <f>LEN(集計用!H426)-LEN(SUBSTITUTE(集計用!H426,",",""))</f>
        <v>0</v>
      </c>
    </row>
    <row r="429" spans="1:62" ht="12.75">
      <c r="A429" s="8">
        <v>426</v>
      </c>
      <c r="C429" s="2">
        <f t="shared" si="4"/>
        <v>3</v>
      </c>
      <c r="D429" s="9"/>
      <c r="E429" s="2">
        <f>COUNTIFS(集計用!$G427,"*, "&amp;E$3&amp;", *")</f>
        <v>1</v>
      </c>
      <c r="F429" s="2">
        <f>COUNTIFS(集計用!$G427,"*, "&amp;F$3&amp;", *")</f>
        <v>1</v>
      </c>
      <c r="G429" s="2">
        <f>COUNTIFS(集計用!$G427,"*, "&amp;G$3&amp;", *")</f>
        <v>0</v>
      </c>
      <c r="H429" s="2">
        <f>COUNTIFS(集計用!$G427,"*, "&amp;H$3&amp;", *")</f>
        <v>0</v>
      </c>
      <c r="I429" s="2">
        <f>COUNTIFS(集計用!$G427,"*, "&amp;I$3&amp;", *")</f>
        <v>0</v>
      </c>
      <c r="J429" s="2">
        <f>COUNTIFS(集計用!$G427,"*, "&amp;J$3&amp;", *")</f>
        <v>0</v>
      </c>
      <c r="K429" s="2">
        <f>COUNTIFS(集計用!$G427,"*, "&amp;K$3&amp;", *")</f>
        <v>0</v>
      </c>
      <c r="L429" s="2">
        <f>COUNTIFS(集計用!$G427,"*, "&amp;L$3&amp;", *")</f>
        <v>0</v>
      </c>
      <c r="M429" s="2">
        <f>COUNTIFS(集計用!$G427,"*, "&amp;M$3&amp;", *")</f>
        <v>0</v>
      </c>
      <c r="N429" s="2">
        <f>COUNTIFS(集計用!$G427,"*, "&amp;N$3&amp;", *")</f>
        <v>0</v>
      </c>
      <c r="O429" s="2">
        <f>COUNTIFS(集計用!$G427,"*, "&amp;O$3&amp;", *")</f>
        <v>0</v>
      </c>
      <c r="P429" s="2">
        <f>COUNTIFS(集計用!$G427,"*, "&amp;P$3&amp;", *")</f>
        <v>0</v>
      </c>
      <c r="Q429" s="2">
        <f>COUNTIFS(集計用!$G427,"*, "&amp;Q$3&amp;", *")</f>
        <v>0</v>
      </c>
      <c r="R429" s="2">
        <f>COUNTIFS(集計用!$G427,"*, "&amp;R$3&amp;", *")</f>
        <v>0</v>
      </c>
      <c r="S429" s="2">
        <f>COUNTIFS(集計用!$G427,"*, "&amp;S$3&amp;", *")</f>
        <v>0</v>
      </c>
      <c r="T429" s="2">
        <f>COUNTIFS(集計用!$G427,"*, "&amp;T$3&amp;", *")</f>
        <v>0</v>
      </c>
      <c r="U429" s="2">
        <f>COUNTIFS(集計用!$G427,"*, "&amp;U$3&amp;", *")</f>
        <v>0</v>
      </c>
      <c r="V429" s="2">
        <f>COUNTIFS(集計用!$G427,"*, "&amp;V$3&amp;", *")</f>
        <v>0</v>
      </c>
      <c r="W429" s="2">
        <f>COUNTIFS(集計用!$G427,"*, "&amp;W$3&amp;", *")</f>
        <v>0</v>
      </c>
      <c r="X429" s="2">
        <f>COUNTIFS(集計用!$G427,"*, "&amp;X$3&amp;", *")</f>
        <v>0</v>
      </c>
      <c r="Y429" s="2">
        <f>COUNTIFS(集計用!$G427,"*, "&amp;Y$3&amp;", *")</f>
        <v>0</v>
      </c>
      <c r="Z429" s="2">
        <f>COUNTIFS(集計用!$G427,"*, "&amp;Z$3&amp;", *")</f>
        <v>0</v>
      </c>
      <c r="AA429" s="2">
        <f>COUNTIFS(集計用!$G427,"*, "&amp;AA$3&amp;", *")</f>
        <v>0</v>
      </c>
      <c r="AB429" s="2">
        <f>COUNTIFS(集計用!$G427,"*, "&amp;AB$3&amp;", *")</f>
        <v>0</v>
      </c>
      <c r="AC429" s="2">
        <f>COUNTIFS(集計用!$G427,"*, "&amp;AC$3&amp;", *")</f>
        <v>0</v>
      </c>
      <c r="AD429" s="2">
        <f>COUNTIFS(集計用!$G427,"*, "&amp;AD$3&amp;", *")</f>
        <v>0</v>
      </c>
      <c r="AE429" s="2">
        <f>COUNTIFS(集計用!$G427,"*, "&amp;AE$3&amp;", *")</f>
        <v>0</v>
      </c>
      <c r="AF429" s="2">
        <f>COUNTIFS(集計用!$G427,"*, "&amp;AF$3&amp;", *")</f>
        <v>0</v>
      </c>
      <c r="AG429" s="2">
        <f>COUNTIFS(集計用!$G427,"*, "&amp;AG$3&amp;", *")</f>
        <v>0</v>
      </c>
      <c r="AH429" s="2">
        <f>COUNTIFS(集計用!$G427,"*, "&amp;AH$3&amp;", *")</f>
        <v>0</v>
      </c>
      <c r="AI429" s="2">
        <f>COUNTIFS(集計用!$G427,"*, "&amp;AI$3&amp;", *")</f>
        <v>0</v>
      </c>
      <c r="AJ429" s="2">
        <f>COUNTIFS(集計用!$G427,"*, "&amp;AJ$3&amp;", *")</f>
        <v>0</v>
      </c>
      <c r="AK429" s="2">
        <f>COUNTIFS(集計用!$G427,"*, "&amp;AK$3&amp;", *")</f>
        <v>0</v>
      </c>
      <c r="AL429" s="2">
        <f>COUNTIFS(集計用!$G427,"*, "&amp;AL$3&amp;", *")</f>
        <v>0</v>
      </c>
      <c r="AM429" s="2">
        <f>COUNTIFS(集計用!$G427,"*, "&amp;AM$3&amp;", *")</f>
        <v>0</v>
      </c>
      <c r="AN429" s="2">
        <f>COUNTIFS(集計用!$G427,"*, "&amp;AN$3&amp;", *")</f>
        <v>0</v>
      </c>
      <c r="AO429" s="2">
        <f>COUNTIFS(集計用!$G427,"*, "&amp;AO$3&amp;", *")</f>
        <v>0</v>
      </c>
      <c r="AP429" s="2">
        <f>COUNTIFS(集計用!$G427,"*, "&amp;AP$3&amp;", *")</f>
        <v>0</v>
      </c>
      <c r="AQ429" s="2">
        <f>COUNTIFS(集計用!$G427,"*, "&amp;AQ$3&amp;", *")</f>
        <v>0</v>
      </c>
      <c r="AR429" s="2">
        <f>COUNTIFS(集計用!$G427,"*, "&amp;AR$3&amp;", *")</f>
        <v>0</v>
      </c>
      <c r="AS429" s="2">
        <f>COUNTIFS(集計用!$G427,"*, "&amp;AS$3&amp;", *")</f>
        <v>0</v>
      </c>
      <c r="AT429" s="2">
        <f>COUNTIFS(集計用!$G427,"*, "&amp;AT$3&amp;", *")</f>
        <v>0</v>
      </c>
      <c r="AU429" s="2">
        <f>COUNTIFS(集計用!$G427,"*, "&amp;AU$3&amp;", *")</f>
        <v>0</v>
      </c>
      <c r="AV429" s="2">
        <f>COUNTIFS(集計用!$G427,"*, "&amp;AV$3&amp;", *")</f>
        <v>0</v>
      </c>
      <c r="AW429" s="2">
        <f>COUNTIFS(集計用!$G427,"*, "&amp;AW$3&amp;", *")</f>
        <v>0</v>
      </c>
      <c r="AX429" s="2">
        <f>COUNTIFS(集計用!$G427,"*, "&amp;AX$3&amp;", *")</f>
        <v>0</v>
      </c>
      <c r="AY429" s="2">
        <f>COUNTIFS(集計用!$G427,"*, "&amp;AY$3&amp;", *")</f>
        <v>0</v>
      </c>
      <c r="AZ429" s="2">
        <f>COUNTIFS(集計用!$G427,"*, "&amp;AZ$3&amp;", *")</f>
        <v>0</v>
      </c>
      <c r="BA429" s="2">
        <f>COUNTIFS(集計用!$G427,"*, "&amp;BA$3&amp;", *")</f>
        <v>0</v>
      </c>
      <c r="BB429" s="2">
        <f>COUNTIFS(集計用!$G427,"*, "&amp;BB$3&amp;", *")</f>
        <v>0</v>
      </c>
      <c r="BC429" s="2">
        <f>COUNTIFS(集計用!$G427,"*, "&amp;BC$3&amp;", *")</f>
        <v>0</v>
      </c>
      <c r="BD429" s="2">
        <f>COUNTIFS(集計用!$G427,"*, "&amp;BD$3&amp;", *")</f>
        <v>0</v>
      </c>
      <c r="BE429" s="2">
        <f>COUNTIFS(集計用!$G427,"*, "&amp;BE$3&amp;", *")</f>
        <v>0</v>
      </c>
      <c r="BF429" s="2">
        <f>COUNTIFS(集計用!$G427,"*, "&amp;BF$3&amp;", *")</f>
        <v>0</v>
      </c>
      <c r="BG429" s="2">
        <f>COUNTIFS(集計用!$G427,"*, "&amp;BG$3&amp;", *")</f>
        <v>0</v>
      </c>
      <c r="BH429" s="2">
        <f>COUNTIFS(集計用!$G427,"*, "&amp;BH$3&amp;", *")</f>
        <v>0</v>
      </c>
      <c r="BI429" s="2">
        <f>COUNTIFS(集計用!$G427,"*, "&amp;BI$3&amp;", *")</f>
        <v>0</v>
      </c>
      <c r="BJ429" s="2">
        <f>LEN(集計用!H427)-LEN(SUBSTITUTE(集計用!H427,",",""))</f>
        <v>1</v>
      </c>
    </row>
    <row r="430" spans="1:62" ht="12.75">
      <c r="A430" s="8">
        <v>427</v>
      </c>
      <c r="C430" s="2">
        <f t="shared" si="4"/>
        <v>5</v>
      </c>
      <c r="D430" s="9"/>
      <c r="E430" s="2">
        <f>COUNTIFS(集計用!$G428,"*, "&amp;E$3&amp;", *")</f>
        <v>1</v>
      </c>
      <c r="F430" s="2">
        <f>COUNTIFS(集計用!$G428,"*, "&amp;F$3&amp;", *")</f>
        <v>1</v>
      </c>
      <c r="G430" s="2">
        <f>COUNTIFS(集計用!$G428,"*, "&amp;G$3&amp;", *")</f>
        <v>0</v>
      </c>
      <c r="H430" s="2">
        <f>COUNTIFS(集計用!$G428,"*, "&amp;H$3&amp;", *")</f>
        <v>0</v>
      </c>
      <c r="I430" s="2">
        <f>COUNTIFS(集計用!$G428,"*, "&amp;I$3&amp;", *")</f>
        <v>0</v>
      </c>
      <c r="J430" s="2">
        <f>COUNTIFS(集計用!$G428,"*, "&amp;J$3&amp;", *")</f>
        <v>0</v>
      </c>
      <c r="K430" s="2">
        <f>COUNTIFS(集計用!$G428,"*, "&amp;K$3&amp;", *")</f>
        <v>0</v>
      </c>
      <c r="L430" s="2">
        <f>COUNTIFS(集計用!$G428,"*, "&amp;L$3&amp;", *")</f>
        <v>0</v>
      </c>
      <c r="M430" s="2">
        <f>COUNTIFS(集計用!$G428,"*, "&amp;M$3&amp;", *")</f>
        <v>1</v>
      </c>
      <c r="N430" s="2">
        <f>COUNTIFS(集計用!$G428,"*, "&amp;N$3&amp;", *")</f>
        <v>0</v>
      </c>
      <c r="O430" s="2">
        <f>COUNTIFS(集計用!$G428,"*, "&amp;O$3&amp;", *")</f>
        <v>0</v>
      </c>
      <c r="P430" s="2">
        <f>COUNTIFS(集計用!$G428,"*, "&amp;P$3&amp;", *")</f>
        <v>0</v>
      </c>
      <c r="Q430" s="2">
        <f>COUNTIFS(集計用!$G428,"*, "&amp;Q$3&amp;", *")</f>
        <v>0</v>
      </c>
      <c r="R430" s="2">
        <f>COUNTIFS(集計用!$G428,"*, "&amp;R$3&amp;", *")</f>
        <v>0</v>
      </c>
      <c r="S430" s="2">
        <f>COUNTIFS(集計用!$G428,"*, "&amp;S$3&amp;", *")</f>
        <v>0</v>
      </c>
      <c r="T430" s="2">
        <f>COUNTIFS(集計用!$G428,"*, "&amp;T$3&amp;", *")</f>
        <v>1</v>
      </c>
      <c r="U430" s="2">
        <f>COUNTIFS(集計用!$G428,"*, "&amp;U$3&amp;", *")</f>
        <v>1</v>
      </c>
      <c r="V430" s="2">
        <f>COUNTIFS(集計用!$G428,"*, "&amp;V$3&amp;", *")</f>
        <v>0</v>
      </c>
      <c r="W430" s="2">
        <f>COUNTIFS(集計用!$G428,"*, "&amp;W$3&amp;", *")</f>
        <v>0</v>
      </c>
      <c r="X430" s="2">
        <f>COUNTIFS(集計用!$G428,"*, "&amp;X$3&amp;", *")</f>
        <v>0</v>
      </c>
      <c r="Y430" s="2">
        <f>COUNTIFS(集計用!$G428,"*, "&amp;Y$3&amp;", *")</f>
        <v>0</v>
      </c>
      <c r="Z430" s="2">
        <f>COUNTIFS(集計用!$G428,"*, "&amp;Z$3&amp;", *")</f>
        <v>0</v>
      </c>
      <c r="AA430" s="2">
        <f>COUNTIFS(集計用!$G428,"*, "&amp;AA$3&amp;", *")</f>
        <v>0</v>
      </c>
      <c r="AB430" s="2">
        <f>COUNTIFS(集計用!$G428,"*, "&amp;AB$3&amp;", *")</f>
        <v>0</v>
      </c>
      <c r="AC430" s="2">
        <f>COUNTIFS(集計用!$G428,"*, "&amp;AC$3&amp;", *")</f>
        <v>0</v>
      </c>
      <c r="AD430" s="2">
        <f>COUNTIFS(集計用!$G428,"*, "&amp;AD$3&amp;", *")</f>
        <v>0</v>
      </c>
      <c r="AE430" s="2">
        <f>COUNTIFS(集計用!$G428,"*, "&amp;AE$3&amp;", *")</f>
        <v>0</v>
      </c>
      <c r="AF430" s="2">
        <f>COUNTIFS(集計用!$G428,"*, "&amp;AF$3&amp;", *")</f>
        <v>0</v>
      </c>
      <c r="AG430" s="2">
        <f>COUNTIFS(集計用!$G428,"*, "&amp;AG$3&amp;", *")</f>
        <v>0</v>
      </c>
      <c r="AH430" s="2">
        <f>COUNTIFS(集計用!$G428,"*, "&amp;AH$3&amp;", *")</f>
        <v>0</v>
      </c>
      <c r="AI430" s="2">
        <f>COUNTIFS(集計用!$G428,"*, "&amp;AI$3&amp;", *")</f>
        <v>0</v>
      </c>
      <c r="AJ430" s="2">
        <f>COUNTIFS(集計用!$G428,"*, "&amp;AJ$3&amp;", *")</f>
        <v>0</v>
      </c>
      <c r="AK430" s="2">
        <f>COUNTIFS(集計用!$G428,"*, "&amp;AK$3&amp;", *")</f>
        <v>0</v>
      </c>
      <c r="AL430" s="2">
        <f>COUNTIFS(集計用!$G428,"*, "&amp;AL$3&amp;", *")</f>
        <v>0</v>
      </c>
      <c r="AM430" s="2">
        <f>COUNTIFS(集計用!$G428,"*, "&amp;AM$3&amp;", *")</f>
        <v>0</v>
      </c>
      <c r="AN430" s="2">
        <f>COUNTIFS(集計用!$G428,"*, "&amp;AN$3&amp;", *")</f>
        <v>0</v>
      </c>
      <c r="AO430" s="2">
        <f>COUNTIFS(集計用!$G428,"*, "&amp;AO$3&amp;", *")</f>
        <v>0</v>
      </c>
      <c r="AP430" s="2">
        <f>COUNTIFS(集計用!$G428,"*, "&amp;AP$3&amp;", *")</f>
        <v>0</v>
      </c>
      <c r="AQ430" s="2">
        <f>COUNTIFS(集計用!$G428,"*, "&amp;AQ$3&amp;", *")</f>
        <v>0</v>
      </c>
      <c r="AR430" s="2">
        <f>COUNTIFS(集計用!$G428,"*, "&amp;AR$3&amp;", *")</f>
        <v>0</v>
      </c>
      <c r="AS430" s="2">
        <f>COUNTIFS(集計用!$G428,"*, "&amp;AS$3&amp;", *")</f>
        <v>0</v>
      </c>
      <c r="AT430" s="2">
        <f>COUNTIFS(集計用!$G428,"*, "&amp;AT$3&amp;", *")</f>
        <v>0</v>
      </c>
      <c r="AU430" s="2">
        <f>COUNTIFS(集計用!$G428,"*, "&amp;AU$3&amp;", *")</f>
        <v>0</v>
      </c>
      <c r="AV430" s="2">
        <f>COUNTIFS(集計用!$G428,"*, "&amp;AV$3&amp;", *")</f>
        <v>0</v>
      </c>
      <c r="AW430" s="2">
        <f>COUNTIFS(集計用!$G428,"*, "&amp;AW$3&amp;", *")</f>
        <v>0</v>
      </c>
      <c r="AX430" s="2">
        <f>COUNTIFS(集計用!$G428,"*, "&amp;AX$3&amp;", *")</f>
        <v>0</v>
      </c>
      <c r="AY430" s="2">
        <f>COUNTIFS(集計用!$G428,"*, "&amp;AY$3&amp;", *")</f>
        <v>0</v>
      </c>
      <c r="AZ430" s="2">
        <f>COUNTIFS(集計用!$G428,"*, "&amp;AZ$3&amp;", *")</f>
        <v>0</v>
      </c>
      <c r="BA430" s="2">
        <f>COUNTIFS(集計用!$G428,"*, "&amp;BA$3&amp;", *")</f>
        <v>0</v>
      </c>
      <c r="BB430" s="2">
        <f>COUNTIFS(集計用!$G428,"*, "&amp;BB$3&amp;", *")</f>
        <v>0</v>
      </c>
      <c r="BC430" s="2">
        <f>COUNTIFS(集計用!$G428,"*, "&amp;BC$3&amp;", *")</f>
        <v>0</v>
      </c>
      <c r="BD430" s="2">
        <f>COUNTIFS(集計用!$G428,"*, "&amp;BD$3&amp;", *")</f>
        <v>0</v>
      </c>
      <c r="BE430" s="2">
        <f>COUNTIFS(集計用!$G428,"*, "&amp;BE$3&amp;", *")</f>
        <v>0</v>
      </c>
      <c r="BF430" s="2">
        <f>COUNTIFS(集計用!$G428,"*, "&amp;BF$3&amp;", *")</f>
        <v>0</v>
      </c>
      <c r="BG430" s="2">
        <f>COUNTIFS(集計用!$G428,"*, "&amp;BG$3&amp;", *")</f>
        <v>0</v>
      </c>
      <c r="BH430" s="2">
        <f>COUNTIFS(集計用!$G428,"*, "&amp;BH$3&amp;", *")</f>
        <v>0</v>
      </c>
      <c r="BI430" s="2">
        <f>COUNTIFS(集計用!$G428,"*, "&amp;BI$3&amp;", *")</f>
        <v>0</v>
      </c>
      <c r="BJ430" s="2">
        <f>LEN(集計用!H428)-LEN(SUBSTITUTE(集計用!H428,",",""))</f>
        <v>0</v>
      </c>
    </row>
    <row r="431" spans="1:62" ht="12.75">
      <c r="A431" s="8">
        <v>428</v>
      </c>
      <c r="C431" s="2">
        <f t="shared" si="4"/>
        <v>3</v>
      </c>
      <c r="D431" s="9"/>
      <c r="E431" s="2">
        <f>COUNTIFS(集計用!$G429,"*, "&amp;E$3&amp;", *")</f>
        <v>1</v>
      </c>
      <c r="F431" s="2">
        <f>COUNTIFS(集計用!$G429,"*, "&amp;F$3&amp;", *")</f>
        <v>0</v>
      </c>
      <c r="G431" s="2">
        <f>COUNTIFS(集計用!$G429,"*, "&amp;G$3&amp;", *")</f>
        <v>1</v>
      </c>
      <c r="H431" s="2">
        <f>COUNTIFS(集計用!$G429,"*, "&amp;H$3&amp;", *")</f>
        <v>0</v>
      </c>
      <c r="I431" s="2">
        <f>COUNTIFS(集計用!$G429,"*, "&amp;I$3&amp;", *")</f>
        <v>0</v>
      </c>
      <c r="J431" s="2">
        <f>COUNTIFS(集計用!$G429,"*, "&amp;J$3&amp;", *")</f>
        <v>0</v>
      </c>
      <c r="K431" s="2">
        <f>COUNTIFS(集計用!$G429,"*, "&amp;K$3&amp;", *")</f>
        <v>1</v>
      </c>
      <c r="L431" s="2">
        <f>COUNTIFS(集計用!$G429,"*, "&amp;L$3&amp;", *")</f>
        <v>0</v>
      </c>
      <c r="M431" s="2">
        <f>COUNTIFS(集計用!$G429,"*, "&amp;M$3&amp;", *")</f>
        <v>0</v>
      </c>
      <c r="N431" s="2">
        <f>COUNTIFS(集計用!$G429,"*, "&amp;N$3&amp;", *")</f>
        <v>0</v>
      </c>
      <c r="O431" s="2">
        <f>COUNTIFS(集計用!$G429,"*, "&amp;O$3&amp;", *")</f>
        <v>0</v>
      </c>
      <c r="P431" s="2">
        <f>COUNTIFS(集計用!$G429,"*, "&amp;P$3&amp;", *")</f>
        <v>0</v>
      </c>
      <c r="Q431" s="2">
        <f>COUNTIFS(集計用!$G429,"*, "&amp;Q$3&amp;", *")</f>
        <v>0</v>
      </c>
      <c r="R431" s="2">
        <f>COUNTIFS(集計用!$G429,"*, "&amp;R$3&amp;", *")</f>
        <v>0</v>
      </c>
      <c r="S431" s="2">
        <f>COUNTIFS(集計用!$G429,"*, "&amp;S$3&amp;", *")</f>
        <v>0</v>
      </c>
      <c r="T431" s="2">
        <f>COUNTIFS(集計用!$G429,"*, "&amp;T$3&amp;", *")</f>
        <v>0</v>
      </c>
      <c r="U431" s="2">
        <f>COUNTIFS(集計用!$G429,"*, "&amp;U$3&amp;", *")</f>
        <v>0</v>
      </c>
      <c r="V431" s="2">
        <f>COUNTIFS(集計用!$G429,"*, "&amp;V$3&amp;", *")</f>
        <v>0</v>
      </c>
      <c r="W431" s="2">
        <f>COUNTIFS(集計用!$G429,"*, "&amp;W$3&amp;", *")</f>
        <v>0</v>
      </c>
      <c r="X431" s="2">
        <f>COUNTIFS(集計用!$G429,"*, "&amp;X$3&amp;", *")</f>
        <v>0</v>
      </c>
      <c r="Y431" s="2">
        <f>COUNTIFS(集計用!$G429,"*, "&amp;Y$3&amp;", *")</f>
        <v>0</v>
      </c>
      <c r="Z431" s="2">
        <f>COUNTIFS(集計用!$G429,"*, "&amp;Z$3&amp;", *")</f>
        <v>0</v>
      </c>
      <c r="AA431" s="2">
        <f>COUNTIFS(集計用!$G429,"*, "&amp;AA$3&amp;", *")</f>
        <v>0</v>
      </c>
      <c r="AB431" s="2">
        <f>COUNTIFS(集計用!$G429,"*, "&amp;AB$3&amp;", *")</f>
        <v>0</v>
      </c>
      <c r="AC431" s="2">
        <f>COUNTIFS(集計用!$G429,"*, "&amp;AC$3&amp;", *")</f>
        <v>0</v>
      </c>
      <c r="AD431" s="2">
        <f>COUNTIFS(集計用!$G429,"*, "&amp;AD$3&amp;", *")</f>
        <v>0</v>
      </c>
      <c r="AE431" s="2">
        <f>COUNTIFS(集計用!$G429,"*, "&amp;AE$3&amp;", *")</f>
        <v>0</v>
      </c>
      <c r="AF431" s="2">
        <f>COUNTIFS(集計用!$G429,"*, "&amp;AF$3&amp;", *")</f>
        <v>0</v>
      </c>
      <c r="AG431" s="2">
        <f>COUNTIFS(集計用!$G429,"*, "&amp;AG$3&amp;", *")</f>
        <v>0</v>
      </c>
      <c r="AH431" s="2">
        <f>COUNTIFS(集計用!$G429,"*, "&amp;AH$3&amp;", *")</f>
        <v>0</v>
      </c>
      <c r="AI431" s="2">
        <f>COUNTIFS(集計用!$G429,"*, "&amp;AI$3&amp;", *")</f>
        <v>0</v>
      </c>
      <c r="AJ431" s="2">
        <f>COUNTIFS(集計用!$G429,"*, "&amp;AJ$3&amp;", *")</f>
        <v>0</v>
      </c>
      <c r="AK431" s="2">
        <f>COUNTIFS(集計用!$G429,"*, "&amp;AK$3&amp;", *")</f>
        <v>0</v>
      </c>
      <c r="AL431" s="2">
        <f>COUNTIFS(集計用!$G429,"*, "&amp;AL$3&amp;", *")</f>
        <v>0</v>
      </c>
      <c r="AM431" s="2">
        <f>COUNTIFS(集計用!$G429,"*, "&amp;AM$3&amp;", *")</f>
        <v>0</v>
      </c>
      <c r="AN431" s="2">
        <f>COUNTIFS(集計用!$G429,"*, "&amp;AN$3&amp;", *")</f>
        <v>0</v>
      </c>
      <c r="AO431" s="2">
        <f>COUNTIFS(集計用!$G429,"*, "&amp;AO$3&amp;", *")</f>
        <v>0</v>
      </c>
      <c r="AP431" s="2">
        <f>COUNTIFS(集計用!$G429,"*, "&amp;AP$3&amp;", *")</f>
        <v>0</v>
      </c>
      <c r="AQ431" s="2">
        <f>COUNTIFS(集計用!$G429,"*, "&amp;AQ$3&amp;", *")</f>
        <v>0</v>
      </c>
      <c r="AR431" s="2">
        <f>COUNTIFS(集計用!$G429,"*, "&amp;AR$3&amp;", *")</f>
        <v>0</v>
      </c>
      <c r="AS431" s="2">
        <f>COUNTIFS(集計用!$G429,"*, "&amp;AS$3&amp;", *")</f>
        <v>0</v>
      </c>
      <c r="AT431" s="2">
        <f>COUNTIFS(集計用!$G429,"*, "&amp;AT$3&amp;", *")</f>
        <v>0</v>
      </c>
      <c r="AU431" s="2">
        <f>COUNTIFS(集計用!$G429,"*, "&amp;AU$3&amp;", *")</f>
        <v>0</v>
      </c>
      <c r="AV431" s="2">
        <f>COUNTIFS(集計用!$G429,"*, "&amp;AV$3&amp;", *")</f>
        <v>0</v>
      </c>
      <c r="AW431" s="2">
        <f>COUNTIFS(集計用!$G429,"*, "&amp;AW$3&amp;", *")</f>
        <v>0</v>
      </c>
      <c r="AX431" s="2">
        <f>COUNTIFS(集計用!$G429,"*, "&amp;AX$3&amp;", *")</f>
        <v>0</v>
      </c>
      <c r="AY431" s="2">
        <f>COUNTIFS(集計用!$G429,"*, "&amp;AY$3&amp;", *")</f>
        <v>0</v>
      </c>
      <c r="AZ431" s="2">
        <f>COUNTIFS(集計用!$G429,"*, "&amp;AZ$3&amp;", *")</f>
        <v>0</v>
      </c>
      <c r="BA431" s="2">
        <f>COUNTIFS(集計用!$G429,"*, "&amp;BA$3&amp;", *")</f>
        <v>0</v>
      </c>
      <c r="BB431" s="2">
        <f>COUNTIFS(集計用!$G429,"*, "&amp;BB$3&amp;", *")</f>
        <v>0</v>
      </c>
      <c r="BC431" s="2">
        <f>COUNTIFS(集計用!$G429,"*, "&amp;BC$3&amp;", *")</f>
        <v>0</v>
      </c>
      <c r="BD431" s="2">
        <f>COUNTIFS(集計用!$G429,"*, "&amp;BD$3&amp;", *")</f>
        <v>0</v>
      </c>
      <c r="BE431" s="2">
        <f>COUNTIFS(集計用!$G429,"*, "&amp;BE$3&amp;", *")</f>
        <v>0</v>
      </c>
      <c r="BF431" s="2">
        <f>COUNTIFS(集計用!$G429,"*, "&amp;BF$3&amp;", *")</f>
        <v>0</v>
      </c>
      <c r="BG431" s="2">
        <f>COUNTIFS(集計用!$G429,"*, "&amp;BG$3&amp;", *")</f>
        <v>0</v>
      </c>
      <c r="BH431" s="2">
        <f>COUNTIFS(集計用!$G429,"*, "&amp;BH$3&amp;", *")</f>
        <v>0</v>
      </c>
      <c r="BI431" s="2">
        <f>COUNTIFS(集計用!$G429,"*, "&amp;BI$3&amp;", *")</f>
        <v>0</v>
      </c>
      <c r="BJ431" s="2">
        <f>LEN(集計用!H429)-LEN(SUBSTITUTE(集計用!H429,",",""))</f>
        <v>0</v>
      </c>
    </row>
    <row r="432" spans="1:62" ht="12.75">
      <c r="A432" s="8">
        <v>429</v>
      </c>
      <c r="C432" s="2">
        <f t="shared" si="4"/>
        <v>8</v>
      </c>
      <c r="D432" s="9"/>
      <c r="E432" s="2">
        <f>COUNTIFS(集計用!$G430,"*, "&amp;E$3&amp;", *")</f>
        <v>1</v>
      </c>
      <c r="F432" s="2">
        <f>COUNTIFS(集計用!$G430,"*, "&amp;F$3&amp;", *")</f>
        <v>1</v>
      </c>
      <c r="G432" s="2">
        <f>COUNTIFS(集計用!$G430,"*, "&amp;G$3&amp;", *")</f>
        <v>1</v>
      </c>
      <c r="H432" s="2">
        <f>COUNTIFS(集計用!$G430,"*, "&amp;H$3&amp;", *")</f>
        <v>1</v>
      </c>
      <c r="I432" s="2">
        <f>COUNTIFS(集計用!$G430,"*, "&amp;I$3&amp;", *")</f>
        <v>0</v>
      </c>
      <c r="J432" s="2">
        <f>COUNTIFS(集計用!$G430,"*, "&amp;J$3&amp;", *")</f>
        <v>1</v>
      </c>
      <c r="K432" s="2">
        <f>COUNTIFS(集計用!$G430,"*, "&amp;K$3&amp;", *")</f>
        <v>0</v>
      </c>
      <c r="L432" s="2">
        <f>COUNTIFS(集計用!$G430,"*, "&amp;L$3&amp;", *")</f>
        <v>1</v>
      </c>
      <c r="M432" s="2">
        <f>COUNTIFS(集計用!$G430,"*, "&amp;M$3&amp;", *")</f>
        <v>1</v>
      </c>
      <c r="N432" s="2">
        <f>COUNTIFS(集計用!$G430,"*, "&amp;N$3&amp;", *")</f>
        <v>0</v>
      </c>
      <c r="O432" s="2">
        <f>COUNTIFS(集計用!$G430,"*, "&amp;O$3&amp;", *")</f>
        <v>0</v>
      </c>
      <c r="P432" s="2">
        <f>COUNTIFS(集計用!$G430,"*, "&amp;P$3&amp;", *")</f>
        <v>0</v>
      </c>
      <c r="Q432" s="2">
        <f>COUNTIFS(集計用!$G430,"*, "&amp;Q$3&amp;", *")</f>
        <v>0</v>
      </c>
      <c r="R432" s="2">
        <f>COUNTIFS(集計用!$G430,"*, "&amp;R$3&amp;", *")</f>
        <v>0</v>
      </c>
      <c r="S432" s="2">
        <f>COUNTIFS(集計用!$G430,"*, "&amp;S$3&amp;", *")</f>
        <v>0</v>
      </c>
      <c r="T432" s="2">
        <f>COUNTIFS(集計用!$G430,"*, "&amp;T$3&amp;", *")</f>
        <v>0</v>
      </c>
      <c r="U432" s="2">
        <f>COUNTIFS(集計用!$G430,"*, "&amp;U$3&amp;", *")</f>
        <v>0</v>
      </c>
      <c r="V432" s="2">
        <f>COUNTIFS(集計用!$G430,"*, "&amp;V$3&amp;", *")</f>
        <v>0</v>
      </c>
      <c r="W432" s="2">
        <f>COUNTIFS(集計用!$G430,"*, "&amp;W$3&amp;", *")</f>
        <v>0</v>
      </c>
      <c r="X432" s="2">
        <f>COUNTIFS(集計用!$G430,"*, "&amp;X$3&amp;", *")</f>
        <v>1</v>
      </c>
      <c r="Y432" s="2">
        <f>COUNTIFS(集計用!$G430,"*, "&amp;Y$3&amp;", *")</f>
        <v>0</v>
      </c>
      <c r="Z432" s="2">
        <f>COUNTIFS(集計用!$G430,"*, "&amp;Z$3&amp;", *")</f>
        <v>0</v>
      </c>
      <c r="AA432" s="2">
        <f>COUNTIFS(集計用!$G430,"*, "&amp;AA$3&amp;", *")</f>
        <v>0</v>
      </c>
      <c r="AB432" s="2">
        <f>COUNTIFS(集計用!$G430,"*, "&amp;AB$3&amp;", *")</f>
        <v>0</v>
      </c>
      <c r="AC432" s="2">
        <f>COUNTIFS(集計用!$G430,"*, "&amp;AC$3&amp;", *")</f>
        <v>0</v>
      </c>
      <c r="AD432" s="2">
        <f>COUNTIFS(集計用!$G430,"*, "&amp;AD$3&amp;", *")</f>
        <v>0</v>
      </c>
      <c r="AE432" s="2">
        <f>COUNTIFS(集計用!$G430,"*, "&amp;AE$3&amp;", *")</f>
        <v>0</v>
      </c>
      <c r="AF432" s="2">
        <f>COUNTIFS(集計用!$G430,"*, "&amp;AF$3&amp;", *")</f>
        <v>0</v>
      </c>
      <c r="AG432" s="2">
        <f>COUNTIFS(集計用!$G430,"*, "&amp;AG$3&amp;", *")</f>
        <v>0</v>
      </c>
      <c r="AH432" s="2">
        <f>COUNTIFS(集計用!$G430,"*, "&amp;AH$3&amp;", *")</f>
        <v>0</v>
      </c>
      <c r="AI432" s="2">
        <f>COUNTIFS(集計用!$G430,"*, "&amp;AI$3&amp;", *")</f>
        <v>0</v>
      </c>
      <c r="AJ432" s="2">
        <f>COUNTIFS(集計用!$G430,"*, "&amp;AJ$3&amp;", *")</f>
        <v>0</v>
      </c>
      <c r="AK432" s="2">
        <f>COUNTIFS(集計用!$G430,"*, "&amp;AK$3&amp;", *")</f>
        <v>0</v>
      </c>
      <c r="AL432" s="2">
        <f>COUNTIFS(集計用!$G430,"*, "&amp;AL$3&amp;", *")</f>
        <v>0</v>
      </c>
      <c r="AM432" s="2">
        <f>COUNTIFS(集計用!$G430,"*, "&amp;AM$3&amp;", *")</f>
        <v>0</v>
      </c>
      <c r="AN432" s="2">
        <f>COUNTIFS(集計用!$G430,"*, "&amp;AN$3&amp;", *")</f>
        <v>0</v>
      </c>
      <c r="AO432" s="2">
        <f>COUNTIFS(集計用!$G430,"*, "&amp;AO$3&amp;", *")</f>
        <v>0</v>
      </c>
      <c r="AP432" s="2">
        <f>COUNTIFS(集計用!$G430,"*, "&amp;AP$3&amp;", *")</f>
        <v>0</v>
      </c>
      <c r="AQ432" s="2">
        <f>COUNTIFS(集計用!$G430,"*, "&amp;AQ$3&amp;", *")</f>
        <v>0</v>
      </c>
      <c r="AR432" s="2">
        <f>COUNTIFS(集計用!$G430,"*, "&amp;AR$3&amp;", *")</f>
        <v>0</v>
      </c>
      <c r="AS432" s="2">
        <f>COUNTIFS(集計用!$G430,"*, "&amp;AS$3&amp;", *")</f>
        <v>0</v>
      </c>
      <c r="AT432" s="2">
        <f>COUNTIFS(集計用!$G430,"*, "&amp;AT$3&amp;", *")</f>
        <v>0</v>
      </c>
      <c r="AU432" s="2">
        <f>COUNTIFS(集計用!$G430,"*, "&amp;AU$3&amp;", *")</f>
        <v>0</v>
      </c>
      <c r="AV432" s="2">
        <f>COUNTIFS(集計用!$G430,"*, "&amp;AV$3&amp;", *")</f>
        <v>0</v>
      </c>
      <c r="AW432" s="2">
        <f>COUNTIFS(集計用!$G430,"*, "&amp;AW$3&amp;", *")</f>
        <v>0</v>
      </c>
      <c r="AX432" s="2">
        <f>COUNTIFS(集計用!$G430,"*, "&amp;AX$3&amp;", *")</f>
        <v>0</v>
      </c>
      <c r="AY432" s="2">
        <f>COUNTIFS(集計用!$G430,"*, "&amp;AY$3&amp;", *")</f>
        <v>0</v>
      </c>
      <c r="AZ432" s="2">
        <f>COUNTIFS(集計用!$G430,"*, "&amp;AZ$3&amp;", *")</f>
        <v>0</v>
      </c>
      <c r="BA432" s="2">
        <f>COUNTIFS(集計用!$G430,"*, "&amp;BA$3&amp;", *")</f>
        <v>0</v>
      </c>
      <c r="BB432" s="2">
        <f>COUNTIFS(集計用!$G430,"*, "&amp;BB$3&amp;", *")</f>
        <v>0</v>
      </c>
      <c r="BC432" s="2">
        <f>COUNTIFS(集計用!$G430,"*, "&amp;BC$3&amp;", *")</f>
        <v>0</v>
      </c>
      <c r="BD432" s="2">
        <f>COUNTIFS(集計用!$G430,"*, "&amp;BD$3&amp;", *")</f>
        <v>0</v>
      </c>
      <c r="BE432" s="2">
        <f>COUNTIFS(集計用!$G430,"*, "&amp;BE$3&amp;", *")</f>
        <v>0</v>
      </c>
      <c r="BF432" s="2">
        <f>COUNTIFS(集計用!$G430,"*, "&amp;BF$3&amp;", *")</f>
        <v>0</v>
      </c>
      <c r="BG432" s="2">
        <f>COUNTIFS(集計用!$G430,"*, "&amp;BG$3&amp;", *")</f>
        <v>0</v>
      </c>
      <c r="BH432" s="2">
        <f>COUNTIFS(集計用!$G430,"*, "&amp;BH$3&amp;", *")</f>
        <v>0</v>
      </c>
      <c r="BI432" s="2">
        <f>COUNTIFS(集計用!$G430,"*, "&amp;BI$3&amp;", *")</f>
        <v>0</v>
      </c>
      <c r="BJ432" s="2">
        <f>LEN(集計用!H430)-LEN(SUBSTITUTE(集計用!H430,",",""))</f>
        <v>0</v>
      </c>
    </row>
    <row r="433" spans="1:62" ht="12.75">
      <c r="A433" s="8">
        <v>430</v>
      </c>
      <c r="C433" s="2">
        <f t="shared" si="4"/>
        <v>3</v>
      </c>
      <c r="D433" s="9"/>
      <c r="E433" s="2">
        <f>COUNTIFS(集計用!$G431,"*, "&amp;E$3&amp;", *")</f>
        <v>0</v>
      </c>
      <c r="F433" s="2">
        <f>COUNTIFS(集計用!$G431,"*, "&amp;F$3&amp;", *")</f>
        <v>1</v>
      </c>
      <c r="G433" s="2">
        <f>COUNTIFS(集計用!$G431,"*, "&amp;G$3&amp;", *")</f>
        <v>0</v>
      </c>
      <c r="H433" s="2">
        <f>COUNTIFS(集計用!$G431,"*, "&amp;H$3&amp;", *")</f>
        <v>0</v>
      </c>
      <c r="I433" s="2">
        <f>COUNTIFS(集計用!$G431,"*, "&amp;I$3&amp;", *")</f>
        <v>0</v>
      </c>
      <c r="J433" s="2">
        <f>COUNTIFS(集計用!$G431,"*, "&amp;J$3&amp;", *")</f>
        <v>0</v>
      </c>
      <c r="K433" s="2">
        <f>COUNTIFS(集計用!$G431,"*, "&amp;K$3&amp;", *")</f>
        <v>0</v>
      </c>
      <c r="L433" s="2">
        <f>COUNTIFS(集計用!$G431,"*, "&amp;L$3&amp;", *")</f>
        <v>0</v>
      </c>
      <c r="M433" s="2">
        <f>COUNTIFS(集計用!$G431,"*, "&amp;M$3&amp;", *")</f>
        <v>0</v>
      </c>
      <c r="N433" s="2">
        <f>COUNTIFS(集計用!$G431,"*, "&amp;N$3&amp;", *")</f>
        <v>0</v>
      </c>
      <c r="O433" s="2">
        <f>COUNTIFS(集計用!$G431,"*, "&amp;O$3&amp;", *")</f>
        <v>0</v>
      </c>
      <c r="P433" s="2">
        <f>COUNTIFS(集計用!$G431,"*, "&amp;P$3&amp;", *")</f>
        <v>0</v>
      </c>
      <c r="Q433" s="2">
        <f>COUNTIFS(集計用!$G431,"*, "&amp;Q$3&amp;", *")</f>
        <v>0</v>
      </c>
      <c r="R433" s="2">
        <f>COUNTIFS(集計用!$G431,"*, "&amp;R$3&amp;", *")</f>
        <v>1</v>
      </c>
      <c r="S433" s="2">
        <f>COUNTIFS(集計用!$G431,"*, "&amp;S$3&amp;", *")</f>
        <v>0</v>
      </c>
      <c r="T433" s="2">
        <f>COUNTIFS(集計用!$G431,"*, "&amp;T$3&amp;", *")</f>
        <v>0</v>
      </c>
      <c r="U433" s="2">
        <f>COUNTIFS(集計用!$G431,"*, "&amp;U$3&amp;", *")</f>
        <v>0</v>
      </c>
      <c r="V433" s="2">
        <f>COUNTIFS(集計用!$G431,"*, "&amp;V$3&amp;", *")</f>
        <v>0</v>
      </c>
      <c r="W433" s="2">
        <f>COUNTIFS(集計用!$G431,"*, "&amp;W$3&amp;", *")</f>
        <v>0</v>
      </c>
      <c r="X433" s="2">
        <f>COUNTIFS(集計用!$G431,"*, "&amp;X$3&amp;", *")</f>
        <v>0</v>
      </c>
      <c r="Y433" s="2">
        <f>COUNTIFS(集計用!$G431,"*, "&amp;Y$3&amp;", *")</f>
        <v>0</v>
      </c>
      <c r="Z433" s="2">
        <f>COUNTIFS(集計用!$G431,"*, "&amp;Z$3&amp;", *")</f>
        <v>0</v>
      </c>
      <c r="AA433" s="2">
        <f>COUNTIFS(集計用!$G431,"*, "&amp;AA$3&amp;", *")</f>
        <v>0</v>
      </c>
      <c r="AB433" s="2">
        <f>COUNTIFS(集計用!$G431,"*, "&amp;AB$3&amp;", *")</f>
        <v>0</v>
      </c>
      <c r="AC433" s="2">
        <f>COUNTIFS(集計用!$G431,"*, "&amp;AC$3&amp;", *")</f>
        <v>0</v>
      </c>
      <c r="AD433" s="2">
        <f>COUNTIFS(集計用!$G431,"*, "&amp;AD$3&amp;", *")</f>
        <v>0</v>
      </c>
      <c r="AE433" s="2">
        <f>COUNTIFS(集計用!$G431,"*, "&amp;AE$3&amp;", *")</f>
        <v>0</v>
      </c>
      <c r="AF433" s="2">
        <f>COUNTIFS(集計用!$G431,"*, "&amp;AF$3&amp;", *")</f>
        <v>0</v>
      </c>
      <c r="AG433" s="2">
        <f>COUNTIFS(集計用!$G431,"*, "&amp;AG$3&amp;", *")</f>
        <v>0</v>
      </c>
      <c r="AH433" s="2">
        <f>COUNTIFS(集計用!$G431,"*, "&amp;AH$3&amp;", *")</f>
        <v>0</v>
      </c>
      <c r="AI433" s="2">
        <f>COUNTIFS(集計用!$G431,"*, "&amp;AI$3&amp;", *")</f>
        <v>0</v>
      </c>
      <c r="AJ433" s="2">
        <f>COUNTIFS(集計用!$G431,"*, "&amp;AJ$3&amp;", *")</f>
        <v>0</v>
      </c>
      <c r="AK433" s="2">
        <f>COUNTIFS(集計用!$G431,"*, "&amp;AK$3&amp;", *")</f>
        <v>0</v>
      </c>
      <c r="AL433" s="2">
        <f>COUNTIFS(集計用!$G431,"*, "&amp;AL$3&amp;", *")</f>
        <v>0</v>
      </c>
      <c r="AM433" s="2">
        <f>COUNTIFS(集計用!$G431,"*, "&amp;AM$3&amp;", *")</f>
        <v>0</v>
      </c>
      <c r="AN433" s="2">
        <f>COUNTIFS(集計用!$G431,"*, "&amp;AN$3&amp;", *")</f>
        <v>0</v>
      </c>
      <c r="AO433" s="2">
        <f>COUNTIFS(集計用!$G431,"*, "&amp;AO$3&amp;", *")</f>
        <v>0</v>
      </c>
      <c r="AP433" s="2">
        <f>COUNTIFS(集計用!$G431,"*, "&amp;AP$3&amp;", *")</f>
        <v>0</v>
      </c>
      <c r="AQ433" s="2">
        <f>COUNTIFS(集計用!$G431,"*, "&amp;AQ$3&amp;", *")</f>
        <v>0</v>
      </c>
      <c r="AR433" s="2">
        <f>COUNTIFS(集計用!$G431,"*, "&amp;AR$3&amp;", *")</f>
        <v>0</v>
      </c>
      <c r="AS433" s="2">
        <f>COUNTIFS(集計用!$G431,"*, "&amp;AS$3&amp;", *")</f>
        <v>0</v>
      </c>
      <c r="AT433" s="2">
        <f>COUNTIFS(集計用!$G431,"*, "&amp;AT$3&amp;", *")</f>
        <v>0</v>
      </c>
      <c r="AU433" s="2">
        <f>COUNTIFS(集計用!$G431,"*, "&amp;AU$3&amp;", *")</f>
        <v>0</v>
      </c>
      <c r="AV433" s="2">
        <f>COUNTIFS(集計用!$G431,"*, "&amp;AV$3&amp;", *")</f>
        <v>0</v>
      </c>
      <c r="AW433" s="2">
        <f>COUNTIFS(集計用!$G431,"*, "&amp;AW$3&amp;", *")</f>
        <v>0</v>
      </c>
      <c r="AX433" s="2">
        <f>COUNTIFS(集計用!$G431,"*, "&amp;AX$3&amp;", *")</f>
        <v>0</v>
      </c>
      <c r="AY433" s="2">
        <f>COUNTIFS(集計用!$G431,"*, "&amp;AY$3&amp;", *")</f>
        <v>0</v>
      </c>
      <c r="AZ433" s="2">
        <f>COUNTIFS(集計用!$G431,"*, "&amp;AZ$3&amp;", *")</f>
        <v>0</v>
      </c>
      <c r="BA433" s="2">
        <f>COUNTIFS(集計用!$G431,"*, "&amp;BA$3&amp;", *")</f>
        <v>0</v>
      </c>
      <c r="BB433" s="2">
        <f>COUNTIFS(集計用!$G431,"*, "&amp;BB$3&amp;", *")</f>
        <v>0</v>
      </c>
      <c r="BC433" s="2">
        <f>COUNTIFS(集計用!$G431,"*, "&amp;BC$3&amp;", *")</f>
        <v>0</v>
      </c>
      <c r="BD433" s="2">
        <f>COUNTIFS(集計用!$G431,"*, "&amp;BD$3&amp;", *")</f>
        <v>0</v>
      </c>
      <c r="BE433" s="2">
        <f>COUNTIFS(集計用!$G431,"*, "&amp;BE$3&amp;", *")</f>
        <v>0</v>
      </c>
      <c r="BF433" s="2">
        <f>COUNTIFS(集計用!$G431,"*, "&amp;BF$3&amp;", *")</f>
        <v>0</v>
      </c>
      <c r="BG433" s="2">
        <f>COUNTIFS(集計用!$G431,"*, "&amp;BG$3&amp;", *")</f>
        <v>0</v>
      </c>
      <c r="BH433" s="2">
        <f>COUNTIFS(集計用!$G431,"*, "&amp;BH$3&amp;", *")</f>
        <v>0</v>
      </c>
      <c r="BI433" s="2">
        <f>COUNTIFS(集計用!$G431,"*, "&amp;BI$3&amp;", *")</f>
        <v>0</v>
      </c>
      <c r="BJ433" s="2">
        <f>LEN(集計用!H431)-LEN(SUBSTITUTE(集計用!H431,",",""))</f>
        <v>1</v>
      </c>
    </row>
    <row r="434" spans="1:62" ht="12.75">
      <c r="A434" s="8">
        <v>431</v>
      </c>
      <c r="C434" s="2">
        <f t="shared" si="4"/>
        <v>6</v>
      </c>
      <c r="D434" s="9"/>
      <c r="E434" s="2">
        <f>COUNTIFS(集計用!$G432,"*, "&amp;E$3&amp;", *")</f>
        <v>0</v>
      </c>
      <c r="F434" s="2">
        <f>COUNTIFS(集計用!$G432,"*, "&amp;F$3&amp;", *")</f>
        <v>1</v>
      </c>
      <c r="G434" s="2">
        <f>COUNTIFS(集計用!$G432,"*, "&amp;G$3&amp;", *")</f>
        <v>0</v>
      </c>
      <c r="H434" s="2">
        <f>COUNTIFS(集計用!$G432,"*, "&amp;H$3&amp;", *")</f>
        <v>1</v>
      </c>
      <c r="I434" s="2">
        <f>COUNTIFS(集計用!$G432,"*, "&amp;I$3&amp;", *")</f>
        <v>0</v>
      </c>
      <c r="J434" s="2">
        <f>COUNTIFS(集計用!$G432,"*, "&amp;J$3&amp;", *")</f>
        <v>0</v>
      </c>
      <c r="K434" s="2">
        <f>COUNTIFS(集計用!$G432,"*, "&amp;K$3&amp;", *")</f>
        <v>0</v>
      </c>
      <c r="L434" s="2">
        <f>COUNTIFS(集計用!$G432,"*, "&amp;L$3&amp;", *")</f>
        <v>1</v>
      </c>
      <c r="M434" s="2">
        <f>COUNTIFS(集計用!$G432,"*, "&amp;M$3&amp;", *")</f>
        <v>1</v>
      </c>
      <c r="N434" s="2">
        <f>COUNTIFS(集計用!$G432,"*, "&amp;N$3&amp;", *")</f>
        <v>0</v>
      </c>
      <c r="O434" s="2">
        <f>COUNTIFS(集計用!$G432,"*, "&amp;O$3&amp;", *")</f>
        <v>0</v>
      </c>
      <c r="P434" s="2">
        <f>COUNTIFS(集計用!$G432,"*, "&amp;P$3&amp;", *")</f>
        <v>0</v>
      </c>
      <c r="Q434" s="2">
        <f>COUNTIFS(集計用!$G432,"*, "&amp;Q$3&amp;", *")</f>
        <v>1</v>
      </c>
      <c r="R434" s="2">
        <f>COUNTIFS(集計用!$G432,"*, "&amp;R$3&amp;", *")</f>
        <v>0</v>
      </c>
      <c r="S434" s="2">
        <f>COUNTIFS(集計用!$G432,"*, "&amp;S$3&amp;", *")</f>
        <v>0</v>
      </c>
      <c r="T434" s="2">
        <f>COUNTIFS(集計用!$G432,"*, "&amp;T$3&amp;", *")</f>
        <v>0</v>
      </c>
      <c r="U434" s="2">
        <f>COUNTIFS(集計用!$G432,"*, "&amp;U$3&amp;", *")</f>
        <v>0</v>
      </c>
      <c r="V434" s="2">
        <f>COUNTIFS(集計用!$G432,"*, "&amp;V$3&amp;", *")</f>
        <v>0</v>
      </c>
      <c r="W434" s="2">
        <f>COUNTIFS(集計用!$G432,"*, "&amp;W$3&amp;", *")</f>
        <v>0</v>
      </c>
      <c r="X434" s="2">
        <f>COUNTIFS(集計用!$G432,"*, "&amp;X$3&amp;", *")</f>
        <v>0</v>
      </c>
      <c r="Y434" s="2">
        <f>COUNTIFS(集計用!$G432,"*, "&amp;Y$3&amp;", *")</f>
        <v>0</v>
      </c>
      <c r="Z434" s="2">
        <f>COUNTIFS(集計用!$G432,"*, "&amp;Z$3&amp;", *")</f>
        <v>0</v>
      </c>
      <c r="AA434" s="2">
        <f>COUNTIFS(集計用!$G432,"*, "&amp;AA$3&amp;", *")</f>
        <v>0</v>
      </c>
      <c r="AB434" s="2">
        <f>COUNTIFS(集計用!$G432,"*, "&amp;AB$3&amp;", *")</f>
        <v>0</v>
      </c>
      <c r="AC434" s="2">
        <f>COUNTIFS(集計用!$G432,"*, "&amp;AC$3&amp;", *")</f>
        <v>0</v>
      </c>
      <c r="AD434" s="2">
        <f>COUNTIFS(集計用!$G432,"*, "&amp;AD$3&amp;", *")</f>
        <v>0</v>
      </c>
      <c r="AE434" s="2">
        <f>COUNTIFS(集計用!$G432,"*, "&amp;AE$3&amp;", *")</f>
        <v>1</v>
      </c>
      <c r="AF434" s="2">
        <f>COUNTIFS(集計用!$G432,"*, "&amp;AF$3&amp;", *")</f>
        <v>0</v>
      </c>
      <c r="AG434" s="2">
        <f>COUNTIFS(集計用!$G432,"*, "&amp;AG$3&amp;", *")</f>
        <v>0</v>
      </c>
      <c r="AH434" s="2">
        <f>COUNTIFS(集計用!$G432,"*, "&amp;AH$3&amp;", *")</f>
        <v>0</v>
      </c>
      <c r="AI434" s="2">
        <f>COUNTIFS(集計用!$G432,"*, "&amp;AI$3&amp;", *")</f>
        <v>0</v>
      </c>
      <c r="AJ434" s="2">
        <f>COUNTIFS(集計用!$G432,"*, "&amp;AJ$3&amp;", *")</f>
        <v>0</v>
      </c>
      <c r="AK434" s="2">
        <f>COUNTIFS(集計用!$G432,"*, "&amp;AK$3&amp;", *")</f>
        <v>0</v>
      </c>
      <c r="AL434" s="2">
        <f>COUNTIFS(集計用!$G432,"*, "&amp;AL$3&amp;", *")</f>
        <v>0</v>
      </c>
      <c r="AM434" s="2">
        <f>COUNTIFS(集計用!$G432,"*, "&amp;AM$3&amp;", *")</f>
        <v>0</v>
      </c>
      <c r="AN434" s="2">
        <f>COUNTIFS(集計用!$G432,"*, "&amp;AN$3&amp;", *")</f>
        <v>0</v>
      </c>
      <c r="AO434" s="2">
        <f>COUNTIFS(集計用!$G432,"*, "&amp;AO$3&amp;", *")</f>
        <v>0</v>
      </c>
      <c r="AP434" s="2">
        <f>COUNTIFS(集計用!$G432,"*, "&amp;AP$3&amp;", *")</f>
        <v>0</v>
      </c>
      <c r="AQ434" s="2">
        <f>COUNTIFS(集計用!$G432,"*, "&amp;AQ$3&amp;", *")</f>
        <v>0</v>
      </c>
      <c r="AR434" s="2">
        <f>COUNTIFS(集計用!$G432,"*, "&amp;AR$3&amp;", *")</f>
        <v>0</v>
      </c>
      <c r="AS434" s="2">
        <f>COUNTIFS(集計用!$G432,"*, "&amp;AS$3&amp;", *")</f>
        <v>0</v>
      </c>
      <c r="AT434" s="2">
        <f>COUNTIFS(集計用!$G432,"*, "&amp;AT$3&amp;", *")</f>
        <v>0</v>
      </c>
      <c r="AU434" s="2">
        <f>COUNTIFS(集計用!$G432,"*, "&amp;AU$3&amp;", *")</f>
        <v>0</v>
      </c>
      <c r="AV434" s="2">
        <f>COUNTIFS(集計用!$G432,"*, "&amp;AV$3&amp;", *")</f>
        <v>0</v>
      </c>
      <c r="AW434" s="2">
        <f>COUNTIFS(集計用!$G432,"*, "&amp;AW$3&amp;", *")</f>
        <v>0</v>
      </c>
      <c r="AX434" s="2">
        <f>COUNTIFS(集計用!$G432,"*, "&amp;AX$3&amp;", *")</f>
        <v>0</v>
      </c>
      <c r="AY434" s="2">
        <f>COUNTIFS(集計用!$G432,"*, "&amp;AY$3&amp;", *")</f>
        <v>0</v>
      </c>
      <c r="AZ434" s="2">
        <f>COUNTIFS(集計用!$G432,"*, "&amp;AZ$3&amp;", *")</f>
        <v>0</v>
      </c>
      <c r="BA434" s="2">
        <f>COUNTIFS(集計用!$G432,"*, "&amp;BA$3&amp;", *")</f>
        <v>0</v>
      </c>
      <c r="BB434" s="2">
        <f>COUNTIFS(集計用!$G432,"*, "&amp;BB$3&amp;", *")</f>
        <v>0</v>
      </c>
      <c r="BC434" s="2">
        <f>COUNTIFS(集計用!$G432,"*, "&amp;BC$3&amp;", *")</f>
        <v>0</v>
      </c>
      <c r="BD434" s="2">
        <f>COUNTIFS(集計用!$G432,"*, "&amp;BD$3&amp;", *")</f>
        <v>0</v>
      </c>
      <c r="BE434" s="2">
        <f>COUNTIFS(集計用!$G432,"*, "&amp;BE$3&amp;", *")</f>
        <v>0</v>
      </c>
      <c r="BF434" s="2">
        <f>COUNTIFS(集計用!$G432,"*, "&amp;BF$3&amp;", *")</f>
        <v>0</v>
      </c>
      <c r="BG434" s="2">
        <f>COUNTIFS(集計用!$G432,"*, "&amp;BG$3&amp;", *")</f>
        <v>0</v>
      </c>
      <c r="BH434" s="2">
        <f>COUNTIFS(集計用!$G432,"*, "&amp;BH$3&amp;", *")</f>
        <v>0</v>
      </c>
      <c r="BI434" s="2">
        <f>COUNTIFS(集計用!$G432,"*, "&amp;BI$3&amp;", *")</f>
        <v>0</v>
      </c>
      <c r="BJ434" s="2">
        <f>LEN(集計用!H432)-LEN(SUBSTITUTE(集計用!H432,",",""))</f>
        <v>0</v>
      </c>
    </row>
    <row r="435" spans="1:62" ht="12.75">
      <c r="A435" s="8">
        <v>432</v>
      </c>
      <c r="C435" s="2">
        <f t="shared" si="4"/>
        <v>4</v>
      </c>
      <c r="D435" s="9"/>
      <c r="E435" s="2">
        <f>COUNTIFS(集計用!$G433,"*, "&amp;E$3&amp;", *")</f>
        <v>1</v>
      </c>
      <c r="F435" s="2">
        <f>COUNTIFS(集計用!$G433,"*, "&amp;F$3&amp;", *")</f>
        <v>0</v>
      </c>
      <c r="G435" s="2">
        <f>COUNTIFS(集計用!$G433,"*, "&amp;G$3&amp;", *")</f>
        <v>0</v>
      </c>
      <c r="H435" s="2">
        <f>COUNTIFS(集計用!$G433,"*, "&amp;H$3&amp;", *")</f>
        <v>1</v>
      </c>
      <c r="I435" s="2">
        <f>COUNTIFS(集計用!$G433,"*, "&amp;I$3&amp;", *")</f>
        <v>0</v>
      </c>
      <c r="J435" s="2">
        <f>COUNTIFS(集計用!$G433,"*, "&amp;J$3&amp;", *")</f>
        <v>0</v>
      </c>
      <c r="K435" s="2">
        <f>COUNTIFS(集計用!$G433,"*, "&amp;K$3&amp;", *")</f>
        <v>1</v>
      </c>
      <c r="L435" s="2">
        <f>COUNTIFS(集計用!$G433,"*, "&amp;L$3&amp;", *")</f>
        <v>0</v>
      </c>
      <c r="M435" s="2">
        <f>COUNTIFS(集計用!$G433,"*, "&amp;M$3&amp;", *")</f>
        <v>1</v>
      </c>
      <c r="N435" s="2">
        <f>COUNTIFS(集計用!$G433,"*, "&amp;N$3&amp;", *")</f>
        <v>0</v>
      </c>
      <c r="O435" s="2">
        <f>COUNTIFS(集計用!$G433,"*, "&amp;O$3&amp;", *")</f>
        <v>0</v>
      </c>
      <c r="P435" s="2">
        <f>COUNTIFS(集計用!$G433,"*, "&amp;P$3&amp;", *")</f>
        <v>0</v>
      </c>
      <c r="Q435" s="2">
        <f>COUNTIFS(集計用!$G433,"*, "&amp;Q$3&amp;", *")</f>
        <v>0</v>
      </c>
      <c r="R435" s="2">
        <f>COUNTIFS(集計用!$G433,"*, "&amp;R$3&amp;", *")</f>
        <v>0</v>
      </c>
      <c r="S435" s="2">
        <f>COUNTIFS(集計用!$G433,"*, "&amp;S$3&amp;", *")</f>
        <v>0</v>
      </c>
      <c r="T435" s="2">
        <f>COUNTIFS(集計用!$G433,"*, "&amp;T$3&amp;", *")</f>
        <v>0</v>
      </c>
      <c r="U435" s="2">
        <f>COUNTIFS(集計用!$G433,"*, "&amp;U$3&amp;", *")</f>
        <v>0</v>
      </c>
      <c r="V435" s="2">
        <f>COUNTIFS(集計用!$G433,"*, "&amp;V$3&amp;", *")</f>
        <v>0</v>
      </c>
      <c r="W435" s="2">
        <f>COUNTIFS(集計用!$G433,"*, "&amp;W$3&amp;", *")</f>
        <v>0</v>
      </c>
      <c r="X435" s="2">
        <f>COUNTIFS(集計用!$G433,"*, "&amp;X$3&amp;", *")</f>
        <v>0</v>
      </c>
      <c r="Y435" s="2">
        <f>COUNTIFS(集計用!$G433,"*, "&amp;Y$3&amp;", *")</f>
        <v>0</v>
      </c>
      <c r="Z435" s="2">
        <f>COUNTIFS(集計用!$G433,"*, "&amp;Z$3&amp;", *")</f>
        <v>0</v>
      </c>
      <c r="AA435" s="2">
        <f>COUNTIFS(集計用!$G433,"*, "&amp;AA$3&amp;", *")</f>
        <v>0</v>
      </c>
      <c r="AB435" s="2">
        <f>COUNTIFS(集計用!$G433,"*, "&amp;AB$3&amp;", *")</f>
        <v>0</v>
      </c>
      <c r="AC435" s="2">
        <f>COUNTIFS(集計用!$G433,"*, "&amp;AC$3&amp;", *")</f>
        <v>0</v>
      </c>
      <c r="AD435" s="2">
        <f>COUNTIFS(集計用!$G433,"*, "&amp;AD$3&amp;", *")</f>
        <v>0</v>
      </c>
      <c r="AE435" s="2">
        <f>COUNTIFS(集計用!$G433,"*, "&amp;AE$3&amp;", *")</f>
        <v>0</v>
      </c>
      <c r="AF435" s="2">
        <f>COUNTIFS(集計用!$G433,"*, "&amp;AF$3&amp;", *")</f>
        <v>0</v>
      </c>
      <c r="AG435" s="2">
        <f>COUNTIFS(集計用!$G433,"*, "&amp;AG$3&amp;", *")</f>
        <v>0</v>
      </c>
      <c r="AH435" s="2">
        <f>COUNTIFS(集計用!$G433,"*, "&amp;AH$3&amp;", *")</f>
        <v>0</v>
      </c>
      <c r="AI435" s="2">
        <f>COUNTIFS(集計用!$G433,"*, "&amp;AI$3&amp;", *")</f>
        <v>0</v>
      </c>
      <c r="AJ435" s="2">
        <f>COUNTIFS(集計用!$G433,"*, "&amp;AJ$3&amp;", *")</f>
        <v>0</v>
      </c>
      <c r="AK435" s="2">
        <f>COUNTIFS(集計用!$G433,"*, "&amp;AK$3&amp;", *")</f>
        <v>0</v>
      </c>
      <c r="AL435" s="2">
        <f>COUNTIFS(集計用!$G433,"*, "&amp;AL$3&amp;", *")</f>
        <v>0</v>
      </c>
      <c r="AM435" s="2">
        <f>COUNTIFS(集計用!$G433,"*, "&amp;AM$3&amp;", *")</f>
        <v>0</v>
      </c>
      <c r="AN435" s="2">
        <f>COUNTIFS(集計用!$G433,"*, "&amp;AN$3&amp;", *")</f>
        <v>0</v>
      </c>
      <c r="AO435" s="2">
        <f>COUNTIFS(集計用!$G433,"*, "&amp;AO$3&amp;", *")</f>
        <v>0</v>
      </c>
      <c r="AP435" s="2">
        <f>COUNTIFS(集計用!$G433,"*, "&amp;AP$3&amp;", *")</f>
        <v>0</v>
      </c>
      <c r="AQ435" s="2">
        <f>COUNTIFS(集計用!$G433,"*, "&amp;AQ$3&amp;", *")</f>
        <v>0</v>
      </c>
      <c r="AR435" s="2">
        <f>COUNTIFS(集計用!$G433,"*, "&amp;AR$3&amp;", *")</f>
        <v>0</v>
      </c>
      <c r="AS435" s="2">
        <f>COUNTIFS(集計用!$G433,"*, "&amp;AS$3&amp;", *")</f>
        <v>0</v>
      </c>
      <c r="AT435" s="2">
        <f>COUNTIFS(集計用!$G433,"*, "&amp;AT$3&amp;", *")</f>
        <v>0</v>
      </c>
      <c r="AU435" s="2">
        <f>COUNTIFS(集計用!$G433,"*, "&amp;AU$3&amp;", *")</f>
        <v>0</v>
      </c>
      <c r="AV435" s="2">
        <f>COUNTIFS(集計用!$G433,"*, "&amp;AV$3&amp;", *")</f>
        <v>0</v>
      </c>
      <c r="AW435" s="2">
        <f>COUNTIFS(集計用!$G433,"*, "&amp;AW$3&amp;", *")</f>
        <v>0</v>
      </c>
      <c r="AX435" s="2">
        <f>COUNTIFS(集計用!$G433,"*, "&amp;AX$3&amp;", *")</f>
        <v>0</v>
      </c>
      <c r="AY435" s="2">
        <f>COUNTIFS(集計用!$G433,"*, "&amp;AY$3&amp;", *")</f>
        <v>0</v>
      </c>
      <c r="AZ435" s="2">
        <f>COUNTIFS(集計用!$G433,"*, "&amp;AZ$3&amp;", *")</f>
        <v>0</v>
      </c>
      <c r="BA435" s="2">
        <f>COUNTIFS(集計用!$G433,"*, "&amp;BA$3&amp;", *")</f>
        <v>0</v>
      </c>
      <c r="BB435" s="2">
        <f>COUNTIFS(集計用!$G433,"*, "&amp;BB$3&amp;", *")</f>
        <v>0</v>
      </c>
      <c r="BC435" s="2">
        <f>COUNTIFS(集計用!$G433,"*, "&amp;BC$3&amp;", *")</f>
        <v>0</v>
      </c>
      <c r="BD435" s="2">
        <f>COUNTIFS(集計用!$G433,"*, "&amp;BD$3&amp;", *")</f>
        <v>0</v>
      </c>
      <c r="BE435" s="2">
        <f>COUNTIFS(集計用!$G433,"*, "&amp;BE$3&amp;", *")</f>
        <v>0</v>
      </c>
      <c r="BF435" s="2">
        <f>COUNTIFS(集計用!$G433,"*, "&amp;BF$3&amp;", *")</f>
        <v>0</v>
      </c>
      <c r="BG435" s="2">
        <f>COUNTIFS(集計用!$G433,"*, "&amp;BG$3&amp;", *")</f>
        <v>0</v>
      </c>
      <c r="BH435" s="2">
        <f>COUNTIFS(集計用!$G433,"*, "&amp;BH$3&amp;", *")</f>
        <v>0</v>
      </c>
      <c r="BI435" s="2">
        <f>COUNTIFS(集計用!$G433,"*, "&amp;BI$3&amp;", *")</f>
        <v>0</v>
      </c>
      <c r="BJ435" s="2">
        <f>LEN(集計用!H433)-LEN(SUBSTITUTE(集計用!H433,",",""))</f>
        <v>0</v>
      </c>
    </row>
    <row r="436" spans="1:62" ht="12.75">
      <c r="A436" s="8">
        <v>433</v>
      </c>
      <c r="C436" s="2">
        <f t="shared" si="4"/>
        <v>5</v>
      </c>
      <c r="D436" s="9"/>
      <c r="E436" s="2">
        <f>COUNTIFS(集計用!$G434,"*, "&amp;E$3&amp;", *")</f>
        <v>0</v>
      </c>
      <c r="F436" s="2">
        <f>COUNTIFS(集計用!$G434,"*, "&amp;F$3&amp;", *")</f>
        <v>1</v>
      </c>
      <c r="G436" s="2">
        <f>COUNTIFS(集計用!$G434,"*, "&amp;G$3&amp;", *")</f>
        <v>0</v>
      </c>
      <c r="H436" s="2">
        <f>COUNTIFS(集計用!$G434,"*, "&amp;H$3&amp;", *")</f>
        <v>0</v>
      </c>
      <c r="I436" s="2">
        <f>COUNTIFS(集計用!$G434,"*, "&amp;I$3&amp;", *")</f>
        <v>0</v>
      </c>
      <c r="J436" s="2">
        <f>COUNTIFS(集計用!$G434,"*, "&amp;J$3&amp;", *")</f>
        <v>0</v>
      </c>
      <c r="K436" s="2">
        <f>COUNTIFS(集計用!$G434,"*, "&amp;K$3&amp;", *")</f>
        <v>0</v>
      </c>
      <c r="L436" s="2">
        <f>COUNTIFS(集計用!$G434,"*, "&amp;L$3&amp;", *")</f>
        <v>1</v>
      </c>
      <c r="M436" s="2">
        <f>COUNTIFS(集計用!$G434,"*, "&amp;M$3&amp;", *")</f>
        <v>0</v>
      </c>
      <c r="N436" s="2">
        <f>COUNTIFS(集計用!$G434,"*, "&amp;N$3&amp;", *")</f>
        <v>0</v>
      </c>
      <c r="O436" s="2">
        <f>COUNTIFS(集計用!$G434,"*, "&amp;O$3&amp;", *")</f>
        <v>0</v>
      </c>
      <c r="P436" s="2">
        <f>COUNTIFS(集計用!$G434,"*, "&amp;P$3&amp;", *")</f>
        <v>0</v>
      </c>
      <c r="Q436" s="2">
        <f>COUNTIFS(集計用!$G434,"*, "&amp;Q$3&amp;", *")</f>
        <v>1</v>
      </c>
      <c r="R436" s="2">
        <f>COUNTIFS(集計用!$G434,"*, "&amp;R$3&amp;", *")</f>
        <v>0</v>
      </c>
      <c r="S436" s="2">
        <f>COUNTIFS(集計用!$G434,"*, "&amp;S$3&amp;", *")</f>
        <v>0</v>
      </c>
      <c r="T436" s="2">
        <f>COUNTIFS(集計用!$G434,"*, "&amp;T$3&amp;", *")</f>
        <v>0</v>
      </c>
      <c r="U436" s="2">
        <f>COUNTIFS(集計用!$G434,"*, "&amp;U$3&amp;", *")</f>
        <v>0</v>
      </c>
      <c r="V436" s="2">
        <f>COUNTIFS(集計用!$G434,"*, "&amp;V$3&amp;", *")</f>
        <v>0</v>
      </c>
      <c r="W436" s="2">
        <f>COUNTIFS(集計用!$G434,"*, "&amp;W$3&amp;", *")</f>
        <v>0</v>
      </c>
      <c r="X436" s="2">
        <f>COUNTIFS(集計用!$G434,"*, "&amp;X$3&amp;", *")</f>
        <v>0</v>
      </c>
      <c r="Y436" s="2">
        <f>COUNTIFS(集計用!$G434,"*, "&amp;Y$3&amp;", *")</f>
        <v>0</v>
      </c>
      <c r="Z436" s="2">
        <f>COUNTIFS(集計用!$G434,"*, "&amp;Z$3&amp;", *")</f>
        <v>0</v>
      </c>
      <c r="AA436" s="2">
        <f>COUNTIFS(集計用!$G434,"*, "&amp;AA$3&amp;", *")</f>
        <v>0</v>
      </c>
      <c r="AB436" s="2">
        <f>COUNTIFS(集計用!$G434,"*, "&amp;AB$3&amp;", *")</f>
        <v>0</v>
      </c>
      <c r="AC436" s="2">
        <f>COUNTIFS(集計用!$G434,"*, "&amp;AC$3&amp;", *")</f>
        <v>0</v>
      </c>
      <c r="AD436" s="2">
        <f>COUNTIFS(集計用!$G434,"*, "&amp;AD$3&amp;", *")</f>
        <v>0</v>
      </c>
      <c r="AE436" s="2">
        <f>COUNTIFS(集計用!$G434,"*, "&amp;AE$3&amp;", *")</f>
        <v>0</v>
      </c>
      <c r="AF436" s="2">
        <f>COUNTIFS(集計用!$G434,"*, "&amp;AF$3&amp;", *")</f>
        <v>1</v>
      </c>
      <c r="AG436" s="2">
        <f>COUNTIFS(集計用!$G434,"*, "&amp;AG$3&amp;", *")</f>
        <v>0</v>
      </c>
      <c r="AH436" s="2">
        <f>COUNTIFS(集計用!$G434,"*, "&amp;AH$3&amp;", *")</f>
        <v>0</v>
      </c>
      <c r="AI436" s="2">
        <f>COUNTIFS(集計用!$G434,"*, "&amp;AI$3&amp;", *")</f>
        <v>0</v>
      </c>
      <c r="AJ436" s="2">
        <f>COUNTIFS(集計用!$G434,"*, "&amp;AJ$3&amp;", *")</f>
        <v>0</v>
      </c>
      <c r="AK436" s="2">
        <f>COUNTIFS(集計用!$G434,"*, "&amp;AK$3&amp;", *")</f>
        <v>0</v>
      </c>
      <c r="AL436" s="2">
        <f>COUNTIFS(集計用!$G434,"*, "&amp;AL$3&amp;", *")</f>
        <v>0</v>
      </c>
      <c r="AM436" s="2">
        <f>COUNTIFS(集計用!$G434,"*, "&amp;AM$3&amp;", *")</f>
        <v>0</v>
      </c>
      <c r="AN436" s="2">
        <f>COUNTIFS(集計用!$G434,"*, "&amp;AN$3&amp;", *")</f>
        <v>0</v>
      </c>
      <c r="AO436" s="2">
        <f>COUNTIFS(集計用!$G434,"*, "&amp;AO$3&amp;", *")</f>
        <v>0</v>
      </c>
      <c r="AP436" s="2">
        <f>COUNTIFS(集計用!$G434,"*, "&amp;AP$3&amp;", *")</f>
        <v>0</v>
      </c>
      <c r="AQ436" s="2">
        <f>COUNTIFS(集計用!$G434,"*, "&amp;AQ$3&amp;", *")</f>
        <v>0</v>
      </c>
      <c r="AR436" s="2">
        <f>COUNTIFS(集計用!$G434,"*, "&amp;AR$3&amp;", *")</f>
        <v>0</v>
      </c>
      <c r="AS436" s="2">
        <f>COUNTIFS(集計用!$G434,"*, "&amp;AS$3&amp;", *")</f>
        <v>0</v>
      </c>
      <c r="AT436" s="2">
        <f>COUNTIFS(集計用!$G434,"*, "&amp;AT$3&amp;", *")</f>
        <v>0</v>
      </c>
      <c r="AU436" s="2">
        <f>COUNTIFS(集計用!$G434,"*, "&amp;AU$3&amp;", *")</f>
        <v>1</v>
      </c>
      <c r="AV436" s="2">
        <f>COUNTIFS(集計用!$G434,"*, "&amp;AV$3&amp;", *")</f>
        <v>0</v>
      </c>
      <c r="AW436" s="2">
        <f>COUNTIFS(集計用!$G434,"*, "&amp;AW$3&amp;", *")</f>
        <v>0</v>
      </c>
      <c r="AX436" s="2">
        <f>COUNTIFS(集計用!$G434,"*, "&amp;AX$3&amp;", *")</f>
        <v>0</v>
      </c>
      <c r="AY436" s="2">
        <f>COUNTIFS(集計用!$G434,"*, "&amp;AY$3&amp;", *")</f>
        <v>0</v>
      </c>
      <c r="AZ436" s="2">
        <f>COUNTIFS(集計用!$G434,"*, "&amp;AZ$3&amp;", *")</f>
        <v>0</v>
      </c>
      <c r="BA436" s="2">
        <f>COUNTIFS(集計用!$G434,"*, "&amp;BA$3&amp;", *")</f>
        <v>0</v>
      </c>
      <c r="BB436" s="2">
        <f>COUNTIFS(集計用!$G434,"*, "&amp;BB$3&amp;", *")</f>
        <v>0</v>
      </c>
      <c r="BC436" s="2">
        <f>COUNTIFS(集計用!$G434,"*, "&amp;BC$3&amp;", *")</f>
        <v>0</v>
      </c>
      <c r="BD436" s="2">
        <f>COUNTIFS(集計用!$G434,"*, "&amp;BD$3&amp;", *")</f>
        <v>0</v>
      </c>
      <c r="BE436" s="2">
        <f>COUNTIFS(集計用!$G434,"*, "&amp;BE$3&amp;", *")</f>
        <v>0</v>
      </c>
      <c r="BF436" s="2">
        <f>COUNTIFS(集計用!$G434,"*, "&amp;BF$3&amp;", *")</f>
        <v>0</v>
      </c>
      <c r="BG436" s="2">
        <f>COUNTIFS(集計用!$G434,"*, "&amp;BG$3&amp;", *")</f>
        <v>0</v>
      </c>
      <c r="BH436" s="2">
        <f>COUNTIFS(集計用!$G434,"*, "&amp;BH$3&amp;", *")</f>
        <v>0</v>
      </c>
      <c r="BI436" s="2">
        <f>COUNTIFS(集計用!$G434,"*, "&amp;BI$3&amp;", *")</f>
        <v>0</v>
      </c>
      <c r="BJ436" s="2">
        <f>LEN(集計用!H434)-LEN(SUBSTITUTE(集計用!H434,",",""))</f>
        <v>0</v>
      </c>
    </row>
    <row r="437" spans="1:62" ht="12.75">
      <c r="A437" s="8">
        <v>434</v>
      </c>
      <c r="C437" s="2">
        <f t="shared" si="4"/>
        <v>1</v>
      </c>
      <c r="D437" s="9"/>
      <c r="E437" s="2">
        <f>COUNTIFS(集計用!$G435,"*, "&amp;E$3&amp;", *")</f>
        <v>0</v>
      </c>
      <c r="F437" s="2">
        <f>COUNTIFS(集計用!$G435,"*, "&amp;F$3&amp;", *")</f>
        <v>0</v>
      </c>
      <c r="G437" s="2">
        <f>COUNTIFS(集計用!$G435,"*, "&amp;G$3&amp;", *")</f>
        <v>0</v>
      </c>
      <c r="H437" s="2">
        <f>COUNTIFS(集計用!$G435,"*, "&amp;H$3&amp;", *")</f>
        <v>1</v>
      </c>
      <c r="I437" s="2">
        <f>COUNTIFS(集計用!$G435,"*, "&amp;I$3&amp;", *")</f>
        <v>0</v>
      </c>
      <c r="J437" s="2">
        <f>COUNTIFS(集計用!$G435,"*, "&amp;J$3&amp;", *")</f>
        <v>0</v>
      </c>
      <c r="K437" s="2">
        <f>COUNTIFS(集計用!$G435,"*, "&amp;K$3&amp;", *")</f>
        <v>0</v>
      </c>
      <c r="L437" s="2">
        <f>COUNTIFS(集計用!$G435,"*, "&amp;L$3&amp;", *")</f>
        <v>0</v>
      </c>
      <c r="M437" s="2">
        <f>COUNTIFS(集計用!$G435,"*, "&amp;M$3&amp;", *")</f>
        <v>0</v>
      </c>
      <c r="N437" s="2">
        <f>COUNTIFS(集計用!$G435,"*, "&amp;N$3&amp;", *")</f>
        <v>0</v>
      </c>
      <c r="O437" s="2">
        <f>COUNTIFS(集計用!$G435,"*, "&amp;O$3&amp;", *")</f>
        <v>0</v>
      </c>
      <c r="P437" s="2">
        <f>COUNTIFS(集計用!$G435,"*, "&amp;P$3&amp;", *")</f>
        <v>0</v>
      </c>
      <c r="Q437" s="2">
        <f>COUNTIFS(集計用!$G435,"*, "&amp;Q$3&amp;", *")</f>
        <v>0</v>
      </c>
      <c r="R437" s="2">
        <f>COUNTIFS(集計用!$G435,"*, "&amp;R$3&amp;", *")</f>
        <v>0</v>
      </c>
      <c r="S437" s="2">
        <f>COUNTIFS(集計用!$G435,"*, "&amp;S$3&amp;", *")</f>
        <v>0</v>
      </c>
      <c r="T437" s="2">
        <f>COUNTIFS(集計用!$G435,"*, "&amp;T$3&amp;", *")</f>
        <v>0</v>
      </c>
      <c r="U437" s="2">
        <f>COUNTIFS(集計用!$G435,"*, "&amp;U$3&amp;", *")</f>
        <v>0</v>
      </c>
      <c r="V437" s="2">
        <f>COUNTIFS(集計用!$G435,"*, "&amp;V$3&amp;", *")</f>
        <v>0</v>
      </c>
      <c r="W437" s="2">
        <f>COUNTIFS(集計用!$G435,"*, "&amp;W$3&amp;", *")</f>
        <v>0</v>
      </c>
      <c r="X437" s="2">
        <f>COUNTIFS(集計用!$G435,"*, "&amp;X$3&amp;", *")</f>
        <v>0</v>
      </c>
      <c r="Y437" s="2">
        <f>COUNTIFS(集計用!$G435,"*, "&amp;Y$3&amp;", *")</f>
        <v>0</v>
      </c>
      <c r="Z437" s="2">
        <f>COUNTIFS(集計用!$G435,"*, "&amp;Z$3&amp;", *")</f>
        <v>0</v>
      </c>
      <c r="AA437" s="2">
        <f>COUNTIFS(集計用!$G435,"*, "&amp;AA$3&amp;", *")</f>
        <v>0</v>
      </c>
      <c r="AB437" s="2">
        <f>COUNTIFS(集計用!$G435,"*, "&amp;AB$3&amp;", *")</f>
        <v>0</v>
      </c>
      <c r="AC437" s="2">
        <f>COUNTIFS(集計用!$G435,"*, "&amp;AC$3&amp;", *")</f>
        <v>0</v>
      </c>
      <c r="AD437" s="2">
        <f>COUNTIFS(集計用!$G435,"*, "&amp;AD$3&amp;", *")</f>
        <v>0</v>
      </c>
      <c r="AE437" s="2">
        <f>COUNTIFS(集計用!$G435,"*, "&amp;AE$3&amp;", *")</f>
        <v>0</v>
      </c>
      <c r="AF437" s="2">
        <f>COUNTIFS(集計用!$G435,"*, "&amp;AF$3&amp;", *")</f>
        <v>0</v>
      </c>
      <c r="AG437" s="2">
        <f>COUNTIFS(集計用!$G435,"*, "&amp;AG$3&amp;", *")</f>
        <v>0</v>
      </c>
      <c r="AH437" s="2">
        <f>COUNTIFS(集計用!$G435,"*, "&amp;AH$3&amp;", *")</f>
        <v>0</v>
      </c>
      <c r="AI437" s="2">
        <f>COUNTIFS(集計用!$G435,"*, "&amp;AI$3&amp;", *")</f>
        <v>0</v>
      </c>
      <c r="AJ437" s="2">
        <f>COUNTIFS(集計用!$G435,"*, "&amp;AJ$3&amp;", *")</f>
        <v>0</v>
      </c>
      <c r="AK437" s="2">
        <f>COUNTIFS(集計用!$G435,"*, "&amp;AK$3&amp;", *")</f>
        <v>0</v>
      </c>
      <c r="AL437" s="2">
        <f>COUNTIFS(集計用!$G435,"*, "&amp;AL$3&amp;", *")</f>
        <v>0</v>
      </c>
      <c r="AM437" s="2">
        <f>COUNTIFS(集計用!$G435,"*, "&amp;AM$3&amp;", *")</f>
        <v>0</v>
      </c>
      <c r="AN437" s="2">
        <f>COUNTIFS(集計用!$G435,"*, "&amp;AN$3&amp;", *")</f>
        <v>0</v>
      </c>
      <c r="AO437" s="2">
        <f>COUNTIFS(集計用!$G435,"*, "&amp;AO$3&amp;", *")</f>
        <v>0</v>
      </c>
      <c r="AP437" s="2">
        <f>COUNTIFS(集計用!$G435,"*, "&amp;AP$3&amp;", *")</f>
        <v>0</v>
      </c>
      <c r="AQ437" s="2">
        <f>COUNTIFS(集計用!$G435,"*, "&amp;AQ$3&amp;", *")</f>
        <v>0</v>
      </c>
      <c r="AR437" s="2">
        <f>COUNTIFS(集計用!$G435,"*, "&amp;AR$3&amp;", *")</f>
        <v>0</v>
      </c>
      <c r="AS437" s="2">
        <f>COUNTIFS(集計用!$G435,"*, "&amp;AS$3&amp;", *")</f>
        <v>0</v>
      </c>
      <c r="AT437" s="2">
        <f>COUNTIFS(集計用!$G435,"*, "&amp;AT$3&amp;", *")</f>
        <v>0</v>
      </c>
      <c r="AU437" s="2">
        <f>COUNTIFS(集計用!$G435,"*, "&amp;AU$3&amp;", *")</f>
        <v>0</v>
      </c>
      <c r="AV437" s="2">
        <f>COUNTIFS(集計用!$G435,"*, "&amp;AV$3&amp;", *")</f>
        <v>0</v>
      </c>
      <c r="AW437" s="2">
        <f>COUNTIFS(集計用!$G435,"*, "&amp;AW$3&amp;", *")</f>
        <v>0</v>
      </c>
      <c r="AX437" s="2">
        <f>COUNTIFS(集計用!$G435,"*, "&amp;AX$3&amp;", *")</f>
        <v>0</v>
      </c>
      <c r="AY437" s="2">
        <f>COUNTIFS(集計用!$G435,"*, "&amp;AY$3&amp;", *")</f>
        <v>0</v>
      </c>
      <c r="AZ437" s="2">
        <f>COUNTIFS(集計用!$G435,"*, "&amp;AZ$3&amp;", *")</f>
        <v>0</v>
      </c>
      <c r="BA437" s="2">
        <f>COUNTIFS(集計用!$G435,"*, "&amp;BA$3&amp;", *")</f>
        <v>0</v>
      </c>
      <c r="BB437" s="2">
        <f>COUNTIFS(集計用!$G435,"*, "&amp;BB$3&amp;", *")</f>
        <v>0</v>
      </c>
      <c r="BC437" s="2">
        <f>COUNTIFS(集計用!$G435,"*, "&amp;BC$3&amp;", *")</f>
        <v>0</v>
      </c>
      <c r="BD437" s="2">
        <f>COUNTIFS(集計用!$G435,"*, "&amp;BD$3&amp;", *")</f>
        <v>0</v>
      </c>
      <c r="BE437" s="2">
        <f>COUNTIFS(集計用!$G435,"*, "&amp;BE$3&amp;", *")</f>
        <v>0</v>
      </c>
      <c r="BF437" s="2">
        <f>COUNTIFS(集計用!$G435,"*, "&amp;BF$3&amp;", *")</f>
        <v>0</v>
      </c>
      <c r="BG437" s="2">
        <f>COUNTIFS(集計用!$G435,"*, "&amp;BG$3&amp;", *")</f>
        <v>0</v>
      </c>
      <c r="BH437" s="2">
        <f>COUNTIFS(集計用!$G435,"*, "&amp;BH$3&amp;", *")</f>
        <v>0</v>
      </c>
      <c r="BI437" s="2">
        <f>COUNTIFS(集計用!$G435,"*, "&amp;BI$3&amp;", *")</f>
        <v>0</v>
      </c>
      <c r="BJ437" s="2">
        <f>LEN(集計用!H435)-LEN(SUBSTITUTE(集計用!H435,",",""))</f>
        <v>0</v>
      </c>
    </row>
    <row r="438" spans="1:62" ht="12.75">
      <c r="A438" s="8">
        <v>435</v>
      </c>
      <c r="C438" s="2">
        <f t="shared" si="4"/>
        <v>1</v>
      </c>
      <c r="D438" s="9"/>
      <c r="E438" s="2">
        <f>COUNTIFS(集計用!$G436,"*, "&amp;E$3&amp;", *")</f>
        <v>0</v>
      </c>
      <c r="F438" s="2">
        <f>COUNTIFS(集計用!$G436,"*, "&amp;F$3&amp;", *")</f>
        <v>1</v>
      </c>
      <c r="G438" s="2">
        <f>COUNTIFS(集計用!$G436,"*, "&amp;G$3&amp;", *")</f>
        <v>0</v>
      </c>
      <c r="H438" s="2">
        <f>COUNTIFS(集計用!$G436,"*, "&amp;H$3&amp;", *")</f>
        <v>0</v>
      </c>
      <c r="I438" s="2">
        <f>COUNTIFS(集計用!$G436,"*, "&amp;I$3&amp;", *")</f>
        <v>0</v>
      </c>
      <c r="J438" s="2">
        <f>COUNTIFS(集計用!$G436,"*, "&amp;J$3&amp;", *")</f>
        <v>0</v>
      </c>
      <c r="K438" s="2">
        <f>COUNTIFS(集計用!$G436,"*, "&amp;K$3&amp;", *")</f>
        <v>0</v>
      </c>
      <c r="L438" s="2">
        <f>COUNTIFS(集計用!$G436,"*, "&amp;L$3&amp;", *")</f>
        <v>0</v>
      </c>
      <c r="M438" s="2">
        <f>COUNTIFS(集計用!$G436,"*, "&amp;M$3&amp;", *")</f>
        <v>0</v>
      </c>
      <c r="N438" s="2">
        <f>COUNTIFS(集計用!$G436,"*, "&amp;N$3&amp;", *")</f>
        <v>0</v>
      </c>
      <c r="O438" s="2">
        <f>COUNTIFS(集計用!$G436,"*, "&amp;O$3&amp;", *")</f>
        <v>0</v>
      </c>
      <c r="P438" s="2">
        <f>COUNTIFS(集計用!$G436,"*, "&amp;P$3&amp;", *")</f>
        <v>0</v>
      </c>
      <c r="Q438" s="2">
        <f>COUNTIFS(集計用!$G436,"*, "&amp;Q$3&amp;", *")</f>
        <v>0</v>
      </c>
      <c r="R438" s="2">
        <f>COUNTIFS(集計用!$G436,"*, "&amp;R$3&amp;", *")</f>
        <v>0</v>
      </c>
      <c r="S438" s="2">
        <f>COUNTIFS(集計用!$G436,"*, "&amp;S$3&amp;", *")</f>
        <v>0</v>
      </c>
      <c r="T438" s="2">
        <f>COUNTIFS(集計用!$G436,"*, "&amp;T$3&amp;", *")</f>
        <v>0</v>
      </c>
      <c r="U438" s="2">
        <f>COUNTIFS(集計用!$G436,"*, "&amp;U$3&amp;", *")</f>
        <v>0</v>
      </c>
      <c r="V438" s="2">
        <f>COUNTIFS(集計用!$G436,"*, "&amp;V$3&amp;", *")</f>
        <v>0</v>
      </c>
      <c r="W438" s="2">
        <f>COUNTIFS(集計用!$G436,"*, "&amp;W$3&amp;", *")</f>
        <v>0</v>
      </c>
      <c r="X438" s="2">
        <f>COUNTIFS(集計用!$G436,"*, "&amp;X$3&amp;", *")</f>
        <v>0</v>
      </c>
      <c r="Y438" s="2">
        <f>COUNTIFS(集計用!$G436,"*, "&amp;Y$3&amp;", *")</f>
        <v>0</v>
      </c>
      <c r="Z438" s="2">
        <f>COUNTIFS(集計用!$G436,"*, "&amp;Z$3&amp;", *")</f>
        <v>0</v>
      </c>
      <c r="AA438" s="2">
        <f>COUNTIFS(集計用!$G436,"*, "&amp;AA$3&amp;", *")</f>
        <v>0</v>
      </c>
      <c r="AB438" s="2">
        <f>COUNTIFS(集計用!$G436,"*, "&amp;AB$3&amp;", *")</f>
        <v>0</v>
      </c>
      <c r="AC438" s="2">
        <f>COUNTIFS(集計用!$G436,"*, "&amp;AC$3&amp;", *")</f>
        <v>0</v>
      </c>
      <c r="AD438" s="2">
        <f>COUNTIFS(集計用!$G436,"*, "&amp;AD$3&amp;", *")</f>
        <v>0</v>
      </c>
      <c r="AE438" s="2">
        <f>COUNTIFS(集計用!$G436,"*, "&amp;AE$3&amp;", *")</f>
        <v>0</v>
      </c>
      <c r="AF438" s="2">
        <f>COUNTIFS(集計用!$G436,"*, "&amp;AF$3&amp;", *")</f>
        <v>0</v>
      </c>
      <c r="AG438" s="2">
        <f>COUNTIFS(集計用!$G436,"*, "&amp;AG$3&amp;", *")</f>
        <v>0</v>
      </c>
      <c r="AH438" s="2">
        <f>COUNTIFS(集計用!$G436,"*, "&amp;AH$3&amp;", *")</f>
        <v>0</v>
      </c>
      <c r="AI438" s="2">
        <f>COUNTIFS(集計用!$G436,"*, "&amp;AI$3&amp;", *")</f>
        <v>0</v>
      </c>
      <c r="AJ438" s="2">
        <f>COUNTIFS(集計用!$G436,"*, "&amp;AJ$3&amp;", *")</f>
        <v>0</v>
      </c>
      <c r="AK438" s="2">
        <f>COUNTIFS(集計用!$G436,"*, "&amp;AK$3&amp;", *")</f>
        <v>0</v>
      </c>
      <c r="AL438" s="2">
        <f>COUNTIFS(集計用!$G436,"*, "&amp;AL$3&amp;", *")</f>
        <v>0</v>
      </c>
      <c r="AM438" s="2">
        <f>COUNTIFS(集計用!$G436,"*, "&amp;AM$3&amp;", *")</f>
        <v>0</v>
      </c>
      <c r="AN438" s="2">
        <f>COUNTIFS(集計用!$G436,"*, "&amp;AN$3&amp;", *")</f>
        <v>0</v>
      </c>
      <c r="AO438" s="2">
        <f>COUNTIFS(集計用!$G436,"*, "&amp;AO$3&amp;", *")</f>
        <v>0</v>
      </c>
      <c r="AP438" s="2">
        <f>COUNTIFS(集計用!$G436,"*, "&amp;AP$3&amp;", *")</f>
        <v>0</v>
      </c>
      <c r="AQ438" s="2">
        <f>COUNTIFS(集計用!$G436,"*, "&amp;AQ$3&amp;", *")</f>
        <v>0</v>
      </c>
      <c r="AR438" s="2">
        <f>COUNTIFS(集計用!$G436,"*, "&amp;AR$3&amp;", *")</f>
        <v>0</v>
      </c>
      <c r="AS438" s="2">
        <f>COUNTIFS(集計用!$G436,"*, "&amp;AS$3&amp;", *")</f>
        <v>0</v>
      </c>
      <c r="AT438" s="2">
        <f>COUNTIFS(集計用!$G436,"*, "&amp;AT$3&amp;", *")</f>
        <v>0</v>
      </c>
      <c r="AU438" s="2">
        <f>COUNTIFS(集計用!$G436,"*, "&amp;AU$3&amp;", *")</f>
        <v>0</v>
      </c>
      <c r="AV438" s="2">
        <f>COUNTIFS(集計用!$G436,"*, "&amp;AV$3&amp;", *")</f>
        <v>0</v>
      </c>
      <c r="AW438" s="2">
        <f>COUNTIFS(集計用!$G436,"*, "&amp;AW$3&amp;", *")</f>
        <v>0</v>
      </c>
      <c r="AX438" s="2">
        <f>COUNTIFS(集計用!$G436,"*, "&amp;AX$3&amp;", *")</f>
        <v>0</v>
      </c>
      <c r="AY438" s="2">
        <f>COUNTIFS(集計用!$G436,"*, "&amp;AY$3&amp;", *")</f>
        <v>0</v>
      </c>
      <c r="AZ438" s="2">
        <f>COUNTIFS(集計用!$G436,"*, "&amp;AZ$3&amp;", *")</f>
        <v>0</v>
      </c>
      <c r="BA438" s="2">
        <f>COUNTIFS(集計用!$G436,"*, "&amp;BA$3&amp;", *")</f>
        <v>0</v>
      </c>
      <c r="BB438" s="2">
        <f>COUNTIFS(集計用!$G436,"*, "&amp;BB$3&amp;", *")</f>
        <v>0</v>
      </c>
      <c r="BC438" s="2">
        <f>COUNTIFS(集計用!$G436,"*, "&amp;BC$3&amp;", *")</f>
        <v>0</v>
      </c>
      <c r="BD438" s="2">
        <f>COUNTIFS(集計用!$G436,"*, "&amp;BD$3&amp;", *")</f>
        <v>0</v>
      </c>
      <c r="BE438" s="2">
        <f>COUNTIFS(集計用!$G436,"*, "&amp;BE$3&amp;", *")</f>
        <v>0</v>
      </c>
      <c r="BF438" s="2">
        <f>COUNTIFS(集計用!$G436,"*, "&amp;BF$3&amp;", *")</f>
        <v>0</v>
      </c>
      <c r="BG438" s="2">
        <f>COUNTIFS(集計用!$G436,"*, "&amp;BG$3&amp;", *")</f>
        <v>0</v>
      </c>
      <c r="BH438" s="2">
        <f>COUNTIFS(集計用!$G436,"*, "&amp;BH$3&amp;", *")</f>
        <v>0</v>
      </c>
      <c r="BI438" s="2">
        <f>COUNTIFS(集計用!$G436,"*, "&amp;BI$3&amp;", *")</f>
        <v>0</v>
      </c>
      <c r="BJ438" s="2">
        <f>LEN(集計用!H436)-LEN(SUBSTITUTE(集計用!H436,",",""))</f>
        <v>0</v>
      </c>
    </row>
    <row r="439" spans="1:62" ht="12.75">
      <c r="A439" s="8">
        <v>436</v>
      </c>
      <c r="C439" s="2">
        <f t="shared" si="4"/>
        <v>7</v>
      </c>
      <c r="D439" s="9"/>
      <c r="E439" s="2">
        <f>COUNTIFS(集計用!$G437,"*, "&amp;E$3&amp;", *")</f>
        <v>1</v>
      </c>
      <c r="F439" s="2">
        <f>COUNTIFS(集計用!$G437,"*, "&amp;F$3&amp;", *")</f>
        <v>1</v>
      </c>
      <c r="G439" s="2">
        <f>COUNTIFS(集計用!$G437,"*, "&amp;G$3&amp;", *")</f>
        <v>0</v>
      </c>
      <c r="H439" s="2">
        <f>COUNTIFS(集計用!$G437,"*, "&amp;H$3&amp;", *")</f>
        <v>0</v>
      </c>
      <c r="I439" s="2">
        <f>COUNTIFS(集計用!$G437,"*, "&amp;I$3&amp;", *")</f>
        <v>0</v>
      </c>
      <c r="J439" s="2">
        <f>COUNTIFS(集計用!$G437,"*, "&amp;J$3&amp;", *")</f>
        <v>0</v>
      </c>
      <c r="K439" s="2">
        <f>COUNTIFS(集計用!$G437,"*, "&amp;K$3&amp;", *")</f>
        <v>1</v>
      </c>
      <c r="L439" s="2">
        <f>COUNTIFS(集計用!$G437,"*, "&amp;L$3&amp;", *")</f>
        <v>1</v>
      </c>
      <c r="M439" s="2">
        <f>COUNTIFS(集計用!$G437,"*, "&amp;M$3&amp;", *")</f>
        <v>0</v>
      </c>
      <c r="N439" s="2">
        <f>COUNTIFS(集計用!$G437,"*, "&amp;N$3&amp;", *")</f>
        <v>0</v>
      </c>
      <c r="O439" s="2">
        <f>COUNTIFS(集計用!$G437,"*, "&amp;O$3&amp;", *")</f>
        <v>0</v>
      </c>
      <c r="P439" s="2">
        <f>COUNTIFS(集計用!$G437,"*, "&amp;P$3&amp;", *")</f>
        <v>0</v>
      </c>
      <c r="Q439" s="2">
        <f>COUNTIFS(集計用!$G437,"*, "&amp;Q$3&amp;", *")</f>
        <v>0</v>
      </c>
      <c r="R439" s="2">
        <f>COUNTIFS(集計用!$G437,"*, "&amp;R$3&amp;", *")</f>
        <v>1</v>
      </c>
      <c r="S439" s="2">
        <f>COUNTIFS(集計用!$G437,"*, "&amp;S$3&amp;", *")</f>
        <v>0</v>
      </c>
      <c r="T439" s="2">
        <f>COUNTIFS(集計用!$G437,"*, "&amp;T$3&amp;", *")</f>
        <v>0</v>
      </c>
      <c r="U439" s="2">
        <f>COUNTIFS(集計用!$G437,"*, "&amp;U$3&amp;", *")</f>
        <v>0</v>
      </c>
      <c r="V439" s="2">
        <f>COUNTIFS(集計用!$G437,"*, "&amp;V$3&amp;", *")</f>
        <v>0</v>
      </c>
      <c r="W439" s="2">
        <f>COUNTIFS(集計用!$G437,"*, "&amp;W$3&amp;", *")</f>
        <v>0</v>
      </c>
      <c r="X439" s="2">
        <f>COUNTIFS(集計用!$G437,"*, "&amp;X$3&amp;", *")</f>
        <v>0</v>
      </c>
      <c r="Y439" s="2">
        <f>COUNTIFS(集計用!$G437,"*, "&amp;Y$3&amp;", *")</f>
        <v>1</v>
      </c>
      <c r="Z439" s="2">
        <f>COUNTIFS(集計用!$G437,"*, "&amp;Z$3&amp;", *")</f>
        <v>0</v>
      </c>
      <c r="AA439" s="2">
        <f>COUNTIFS(集計用!$G437,"*, "&amp;AA$3&amp;", *")</f>
        <v>1</v>
      </c>
      <c r="AB439" s="2">
        <f>COUNTIFS(集計用!$G437,"*, "&amp;AB$3&amp;", *")</f>
        <v>0</v>
      </c>
      <c r="AC439" s="2">
        <f>COUNTIFS(集計用!$G437,"*, "&amp;AC$3&amp;", *")</f>
        <v>0</v>
      </c>
      <c r="AD439" s="2">
        <f>COUNTIFS(集計用!$G437,"*, "&amp;AD$3&amp;", *")</f>
        <v>0</v>
      </c>
      <c r="AE439" s="2">
        <f>COUNTIFS(集計用!$G437,"*, "&amp;AE$3&amp;", *")</f>
        <v>0</v>
      </c>
      <c r="AF439" s="2">
        <f>COUNTIFS(集計用!$G437,"*, "&amp;AF$3&amp;", *")</f>
        <v>0</v>
      </c>
      <c r="AG439" s="2">
        <f>COUNTIFS(集計用!$G437,"*, "&amp;AG$3&amp;", *")</f>
        <v>0</v>
      </c>
      <c r="AH439" s="2">
        <f>COUNTIFS(集計用!$G437,"*, "&amp;AH$3&amp;", *")</f>
        <v>0</v>
      </c>
      <c r="AI439" s="2">
        <f>COUNTIFS(集計用!$G437,"*, "&amp;AI$3&amp;", *")</f>
        <v>0</v>
      </c>
      <c r="AJ439" s="2">
        <f>COUNTIFS(集計用!$G437,"*, "&amp;AJ$3&amp;", *")</f>
        <v>0</v>
      </c>
      <c r="AK439" s="2">
        <f>COUNTIFS(集計用!$G437,"*, "&amp;AK$3&amp;", *")</f>
        <v>0</v>
      </c>
      <c r="AL439" s="2">
        <f>COUNTIFS(集計用!$G437,"*, "&amp;AL$3&amp;", *")</f>
        <v>0</v>
      </c>
      <c r="AM439" s="2">
        <f>COUNTIFS(集計用!$G437,"*, "&amp;AM$3&amp;", *")</f>
        <v>0</v>
      </c>
      <c r="AN439" s="2">
        <f>COUNTIFS(集計用!$G437,"*, "&amp;AN$3&amp;", *")</f>
        <v>0</v>
      </c>
      <c r="AO439" s="2">
        <f>COUNTIFS(集計用!$G437,"*, "&amp;AO$3&amp;", *")</f>
        <v>0</v>
      </c>
      <c r="AP439" s="2">
        <f>COUNTIFS(集計用!$G437,"*, "&amp;AP$3&amp;", *")</f>
        <v>0</v>
      </c>
      <c r="AQ439" s="2">
        <f>COUNTIFS(集計用!$G437,"*, "&amp;AQ$3&amp;", *")</f>
        <v>0</v>
      </c>
      <c r="AR439" s="2">
        <f>COUNTIFS(集計用!$G437,"*, "&amp;AR$3&amp;", *")</f>
        <v>0</v>
      </c>
      <c r="AS439" s="2">
        <f>COUNTIFS(集計用!$G437,"*, "&amp;AS$3&amp;", *")</f>
        <v>0</v>
      </c>
      <c r="AT439" s="2">
        <f>COUNTIFS(集計用!$G437,"*, "&amp;AT$3&amp;", *")</f>
        <v>0</v>
      </c>
      <c r="AU439" s="2">
        <f>COUNTIFS(集計用!$G437,"*, "&amp;AU$3&amp;", *")</f>
        <v>0</v>
      </c>
      <c r="AV439" s="2">
        <f>COUNTIFS(集計用!$G437,"*, "&amp;AV$3&amp;", *")</f>
        <v>0</v>
      </c>
      <c r="AW439" s="2">
        <f>COUNTIFS(集計用!$G437,"*, "&amp;AW$3&amp;", *")</f>
        <v>0</v>
      </c>
      <c r="AX439" s="2">
        <f>COUNTIFS(集計用!$G437,"*, "&amp;AX$3&amp;", *")</f>
        <v>0</v>
      </c>
      <c r="AY439" s="2">
        <f>COUNTIFS(集計用!$G437,"*, "&amp;AY$3&amp;", *")</f>
        <v>0</v>
      </c>
      <c r="AZ439" s="2">
        <f>COUNTIFS(集計用!$G437,"*, "&amp;AZ$3&amp;", *")</f>
        <v>0</v>
      </c>
      <c r="BA439" s="2">
        <f>COUNTIFS(集計用!$G437,"*, "&amp;BA$3&amp;", *")</f>
        <v>0</v>
      </c>
      <c r="BB439" s="2">
        <f>COUNTIFS(集計用!$G437,"*, "&amp;BB$3&amp;", *")</f>
        <v>0</v>
      </c>
      <c r="BC439" s="2">
        <f>COUNTIFS(集計用!$G437,"*, "&amp;BC$3&amp;", *")</f>
        <v>0</v>
      </c>
      <c r="BD439" s="2">
        <f>COUNTIFS(集計用!$G437,"*, "&amp;BD$3&amp;", *")</f>
        <v>0</v>
      </c>
      <c r="BE439" s="2">
        <f>COUNTIFS(集計用!$G437,"*, "&amp;BE$3&amp;", *")</f>
        <v>0</v>
      </c>
      <c r="BF439" s="2">
        <f>COUNTIFS(集計用!$G437,"*, "&amp;BF$3&amp;", *")</f>
        <v>0</v>
      </c>
      <c r="BG439" s="2">
        <f>COUNTIFS(集計用!$G437,"*, "&amp;BG$3&amp;", *")</f>
        <v>0</v>
      </c>
      <c r="BH439" s="2">
        <f>COUNTIFS(集計用!$G437,"*, "&amp;BH$3&amp;", *")</f>
        <v>0</v>
      </c>
      <c r="BI439" s="2">
        <f>COUNTIFS(集計用!$G437,"*, "&amp;BI$3&amp;", *")</f>
        <v>0</v>
      </c>
      <c r="BJ439" s="2">
        <f>LEN(集計用!H437)-LEN(SUBSTITUTE(集計用!H437,",",""))</f>
        <v>0</v>
      </c>
    </row>
    <row r="440" spans="1:62" ht="12.75">
      <c r="A440" s="8">
        <v>437</v>
      </c>
      <c r="C440" s="2">
        <f t="shared" si="4"/>
        <v>7</v>
      </c>
      <c r="D440" s="9"/>
      <c r="E440" s="2">
        <f>COUNTIFS(集計用!$G438,"*, "&amp;E$3&amp;", *")</f>
        <v>1</v>
      </c>
      <c r="F440" s="2">
        <f>COUNTIFS(集計用!$G438,"*, "&amp;F$3&amp;", *")</f>
        <v>0</v>
      </c>
      <c r="G440" s="2">
        <f>COUNTIFS(集計用!$G438,"*, "&amp;G$3&amp;", *")</f>
        <v>1</v>
      </c>
      <c r="H440" s="2">
        <f>COUNTIFS(集計用!$G438,"*, "&amp;H$3&amp;", *")</f>
        <v>0</v>
      </c>
      <c r="I440" s="2">
        <f>COUNTIFS(集計用!$G438,"*, "&amp;I$3&amp;", *")</f>
        <v>1</v>
      </c>
      <c r="J440" s="2">
        <f>COUNTIFS(集計用!$G438,"*, "&amp;J$3&amp;", *")</f>
        <v>1</v>
      </c>
      <c r="K440" s="2">
        <f>COUNTIFS(集計用!$G438,"*, "&amp;K$3&amp;", *")</f>
        <v>0</v>
      </c>
      <c r="L440" s="2">
        <f>COUNTIFS(集計用!$G438,"*, "&amp;L$3&amp;", *")</f>
        <v>1</v>
      </c>
      <c r="M440" s="2">
        <f>COUNTIFS(集計用!$G438,"*, "&amp;M$3&amp;", *")</f>
        <v>0</v>
      </c>
      <c r="N440" s="2">
        <f>COUNTIFS(集計用!$G438,"*, "&amp;N$3&amp;", *")</f>
        <v>0</v>
      </c>
      <c r="O440" s="2">
        <f>COUNTIFS(集計用!$G438,"*, "&amp;O$3&amp;", *")</f>
        <v>0</v>
      </c>
      <c r="P440" s="2">
        <f>COUNTIFS(集計用!$G438,"*, "&amp;P$3&amp;", *")</f>
        <v>0</v>
      </c>
      <c r="Q440" s="2">
        <f>COUNTIFS(集計用!$G438,"*, "&amp;Q$3&amp;", *")</f>
        <v>0</v>
      </c>
      <c r="R440" s="2">
        <f>COUNTIFS(集計用!$G438,"*, "&amp;R$3&amp;", *")</f>
        <v>0</v>
      </c>
      <c r="S440" s="2">
        <f>COUNTIFS(集計用!$G438,"*, "&amp;S$3&amp;", *")</f>
        <v>0</v>
      </c>
      <c r="T440" s="2">
        <f>COUNTIFS(集計用!$G438,"*, "&amp;T$3&amp;", *")</f>
        <v>0</v>
      </c>
      <c r="U440" s="2">
        <f>COUNTIFS(集計用!$G438,"*, "&amp;U$3&amp;", *")</f>
        <v>0</v>
      </c>
      <c r="V440" s="2">
        <f>COUNTIFS(集計用!$G438,"*, "&amp;V$3&amp;", *")</f>
        <v>0</v>
      </c>
      <c r="W440" s="2">
        <f>COUNTIFS(集計用!$G438,"*, "&amp;W$3&amp;", *")</f>
        <v>0</v>
      </c>
      <c r="X440" s="2">
        <f>COUNTIFS(集計用!$G438,"*, "&amp;X$3&amp;", *")</f>
        <v>0</v>
      </c>
      <c r="Y440" s="2">
        <f>COUNTIFS(集計用!$G438,"*, "&amp;Y$3&amp;", *")</f>
        <v>0</v>
      </c>
      <c r="Z440" s="2">
        <f>COUNTIFS(集計用!$G438,"*, "&amp;Z$3&amp;", *")</f>
        <v>0</v>
      </c>
      <c r="AA440" s="2">
        <f>COUNTIFS(集計用!$G438,"*, "&amp;AA$3&amp;", *")</f>
        <v>0</v>
      </c>
      <c r="AB440" s="2">
        <f>COUNTIFS(集計用!$G438,"*, "&amp;AB$3&amp;", *")</f>
        <v>0</v>
      </c>
      <c r="AC440" s="2">
        <f>COUNTIFS(集計用!$G438,"*, "&amp;AC$3&amp;", *")</f>
        <v>1</v>
      </c>
      <c r="AD440" s="2">
        <f>COUNTIFS(集計用!$G438,"*, "&amp;AD$3&amp;", *")</f>
        <v>0</v>
      </c>
      <c r="AE440" s="2">
        <f>COUNTIFS(集計用!$G438,"*, "&amp;AE$3&amp;", *")</f>
        <v>0</v>
      </c>
      <c r="AF440" s="2">
        <f>COUNTIFS(集計用!$G438,"*, "&amp;AF$3&amp;", *")</f>
        <v>0</v>
      </c>
      <c r="AG440" s="2">
        <f>COUNTIFS(集計用!$G438,"*, "&amp;AG$3&amp;", *")</f>
        <v>0</v>
      </c>
      <c r="AH440" s="2">
        <f>COUNTIFS(集計用!$G438,"*, "&amp;AH$3&amp;", *")</f>
        <v>0</v>
      </c>
      <c r="AI440" s="2">
        <f>COUNTIFS(集計用!$G438,"*, "&amp;AI$3&amp;", *")</f>
        <v>0</v>
      </c>
      <c r="AJ440" s="2">
        <f>COUNTIFS(集計用!$G438,"*, "&amp;AJ$3&amp;", *")</f>
        <v>0</v>
      </c>
      <c r="AK440" s="2">
        <f>COUNTIFS(集計用!$G438,"*, "&amp;AK$3&amp;", *")</f>
        <v>1</v>
      </c>
      <c r="AL440" s="2">
        <f>COUNTIFS(集計用!$G438,"*, "&amp;AL$3&amp;", *")</f>
        <v>0</v>
      </c>
      <c r="AM440" s="2">
        <f>COUNTIFS(集計用!$G438,"*, "&amp;AM$3&amp;", *")</f>
        <v>0</v>
      </c>
      <c r="AN440" s="2">
        <f>COUNTIFS(集計用!$G438,"*, "&amp;AN$3&amp;", *")</f>
        <v>0</v>
      </c>
      <c r="AO440" s="2">
        <f>COUNTIFS(集計用!$G438,"*, "&amp;AO$3&amp;", *")</f>
        <v>0</v>
      </c>
      <c r="AP440" s="2">
        <f>COUNTIFS(集計用!$G438,"*, "&amp;AP$3&amp;", *")</f>
        <v>0</v>
      </c>
      <c r="AQ440" s="2">
        <f>COUNTIFS(集計用!$G438,"*, "&amp;AQ$3&amp;", *")</f>
        <v>0</v>
      </c>
      <c r="AR440" s="2">
        <f>COUNTIFS(集計用!$G438,"*, "&amp;AR$3&amp;", *")</f>
        <v>0</v>
      </c>
      <c r="AS440" s="2">
        <f>COUNTIFS(集計用!$G438,"*, "&amp;AS$3&amp;", *")</f>
        <v>0</v>
      </c>
      <c r="AT440" s="2">
        <f>COUNTIFS(集計用!$G438,"*, "&amp;AT$3&amp;", *")</f>
        <v>0</v>
      </c>
      <c r="AU440" s="2">
        <f>COUNTIFS(集計用!$G438,"*, "&amp;AU$3&amp;", *")</f>
        <v>0</v>
      </c>
      <c r="AV440" s="2">
        <f>COUNTIFS(集計用!$G438,"*, "&amp;AV$3&amp;", *")</f>
        <v>0</v>
      </c>
      <c r="AW440" s="2">
        <f>COUNTIFS(集計用!$G438,"*, "&amp;AW$3&amp;", *")</f>
        <v>0</v>
      </c>
      <c r="AX440" s="2">
        <f>COUNTIFS(集計用!$G438,"*, "&amp;AX$3&amp;", *")</f>
        <v>0</v>
      </c>
      <c r="AY440" s="2">
        <f>COUNTIFS(集計用!$G438,"*, "&amp;AY$3&amp;", *")</f>
        <v>0</v>
      </c>
      <c r="AZ440" s="2">
        <f>COUNTIFS(集計用!$G438,"*, "&amp;AZ$3&amp;", *")</f>
        <v>0</v>
      </c>
      <c r="BA440" s="2">
        <f>COUNTIFS(集計用!$G438,"*, "&amp;BA$3&amp;", *")</f>
        <v>0</v>
      </c>
      <c r="BB440" s="2">
        <f>COUNTIFS(集計用!$G438,"*, "&amp;BB$3&amp;", *")</f>
        <v>0</v>
      </c>
      <c r="BC440" s="2">
        <f>COUNTIFS(集計用!$G438,"*, "&amp;BC$3&amp;", *")</f>
        <v>0</v>
      </c>
      <c r="BD440" s="2">
        <f>COUNTIFS(集計用!$G438,"*, "&amp;BD$3&amp;", *")</f>
        <v>0</v>
      </c>
      <c r="BE440" s="2">
        <f>COUNTIFS(集計用!$G438,"*, "&amp;BE$3&amp;", *")</f>
        <v>0</v>
      </c>
      <c r="BF440" s="2">
        <f>COUNTIFS(集計用!$G438,"*, "&amp;BF$3&amp;", *")</f>
        <v>0</v>
      </c>
      <c r="BG440" s="2">
        <f>COUNTIFS(集計用!$G438,"*, "&amp;BG$3&amp;", *")</f>
        <v>0</v>
      </c>
      <c r="BH440" s="2">
        <f>COUNTIFS(集計用!$G438,"*, "&amp;BH$3&amp;", *")</f>
        <v>0</v>
      </c>
      <c r="BI440" s="2">
        <f>COUNTIFS(集計用!$G438,"*, "&amp;BI$3&amp;", *")</f>
        <v>0</v>
      </c>
      <c r="BJ440" s="2">
        <f>LEN(集計用!H438)-LEN(SUBSTITUTE(集計用!H438,",",""))</f>
        <v>0</v>
      </c>
    </row>
    <row r="441" spans="1:62" ht="12.75">
      <c r="A441" s="8">
        <v>438</v>
      </c>
      <c r="C441" s="2">
        <f t="shared" si="4"/>
        <v>5</v>
      </c>
      <c r="D441" s="9"/>
      <c r="E441" s="2">
        <f>COUNTIFS(集計用!$G439,"*, "&amp;E$3&amp;", *")</f>
        <v>0</v>
      </c>
      <c r="F441" s="2">
        <f>COUNTIFS(集計用!$G439,"*, "&amp;F$3&amp;", *")</f>
        <v>0</v>
      </c>
      <c r="G441" s="2">
        <f>COUNTIFS(集計用!$G439,"*, "&amp;G$3&amp;", *")</f>
        <v>1</v>
      </c>
      <c r="H441" s="2">
        <f>COUNTIFS(集計用!$G439,"*, "&amp;H$3&amp;", *")</f>
        <v>0</v>
      </c>
      <c r="I441" s="2">
        <f>COUNTIFS(集計用!$G439,"*, "&amp;I$3&amp;", *")</f>
        <v>0</v>
      </c>
      <c r="J441" s="2">
        <f>COUNTIFS(集計用!$G439,"*, "&amp;J$3&amp;", *")</f>
        <v>0</v>
      </c>
      <c r="K441" s="2">
        <f>COUNTIFS(集計用!$G439,"*, "&amp;K$3&amp;", *")</f>
        <v>0</v>
      </c>
      <c r="L441" s="2">
        <f>COUNTIFS(集計用!$G439,"*, "&amp;L$3&amp;", *")</f>
        <v>0</v>
      </c>
      <c r="M441" s="2">
        <f>COUNTIFS(集計用!$G439,"*, "&amp;M$3&amp;", *")</f>
        <v>0</v>
      </c>
      <c r="N441" s="2">
        <f>COUNTIFS(集計用!$G439,"*, "&amp;N$3&amp;", *")</f>
        <v>1</v>
      </c>
      <c r="O441" s="2">
        <f>COUNTIFS(集計用!$G439,"*, "&amp;O$3&amp;", *")</f>
        <v>0</v>
      </c>
      <c r="P441" s="2">
        <f>COUNTIFS(集計用!$G439,"*, "&amp;P$3&amp;", *")</f>
        <v>1</v>
      </c>
      <c r="Q441" s="2">
        <f>COUNTIFS(集計用!$G439,"*, "&amp;Q$3&amp;", *")</f>
        <v>0</v>
      </c>
      <c r="R441" s="2">
        <f>COUNTIFS(集計用!$G439,"*, "&amp;R$3&amp;", *")</f>
        <v>0</v>
      </c>
      <c r="S441" s="2">
        <f>COUNTIFS(集計用!$G439,"*, "&amp;S$3&amp;", *")</f>
        <v>0</v>
      </c>
      <c r="T441" s="2">
        <f>COUNTIFS(集計用!$G439,"*, "&amp;T$3&amp;", *")</f>
        <v>0</v>
      </c>
      <c r="U441" s="2">
        <f>COUNTIFS(集計用!$G439,"*, "&amp;U$3&amp;", *")</f>
        <v>1</v>
      </c>
      <c r="V441" s="2">
        <f>COUNTIFS(集計用!$G439,"*, "&amp;V$3&amp;", *")</f>
        <v>0</v>
      </c>
      <c r="W441" s="2">
        <f>COUNTIFS(集計用!$G439,"*, "&amp;W$3&amp;", *")</f>
        <v>0</v>
      </c>
      <c r="X441" s="2">
        <f>COUNTIFS(集計用!$G439,"*, "&amp;X$3&amp;", *")</f>
        <v>0</v>
      </c>
      <c r="Y441" s="2">
        <f>COUNTIFS(集計用!$G439,"*, "&amp;Y$3&amp;", *")</f>
        <v>1</v>
      </c>
      <c r="Z441" s="2">
        <f>COUNTIFS(集計用!$G439,"*, "&amp;Z$3&amp;", *")</f>
        <v>0</v>
      </c>
      <c r="AA441" s="2">
        <f>COUNTIFS(集計用!$G439,"*, "&amp;AA$3&amp;", *")</f>
        <v>0</v>
      </c>
      <c r="AB441" s="2">
        <f>COUNTIFS(集計用!$G439,"*, "&amp;AB$3&amp;", *")</f>
        <v>0</v>
      </c>
      <c r="AC441" s="2">
        <f>COUNTIFS(集計用!$G439,"*, "&amp;AC$3&amp;", *")</f>
        <v>0</v>
      </c>
      <c r="AD441" s="2">
        <f>COUNTIFS(集計用!$G439,"*, "&amp;AD$3&amp;", *")</f>
        <v>0</v>
      </c>
      <c r="AE441" s="2">
        <f>COUNTIFS(集計用!$G439,"*, "&amp;AE$3&amp;", *")</f>
        <v>0</v>
      </c>
      <c r="AF441" s="2">
        <f>COUNTIFS(集計用!$G439,"*, "&amp;AF$3&amp;", *")</f>
        <v>0</v>
      </c>
      <c r="AG441" s="2">
        <f>COUNTIFS(集計用!$G439,"*, "&amp;AG$3&amp;", *")</f>
        <v>0</v>
      </c>
      <c r="AH441" s="2">
        <f>COUNTIFS(集計用!$G439,"*, "&amp;AH$3&amp;", *")</f>
        <v>0</v>
      </c>
      <c r="AI441" s="2">
        <f>COUNTIFS(集計用!$G439,"*, "&amp;AI$3&amp;", *")</f>
        <v>0</v>
      </c>
      <c r="AJ441" s="2">
        <f>COUNTIFS(集計用!$G439,"*, "&amp;AJ$3&amp;", *")</f>
        <v>0</v>
      </c>
      <c r="AK441" s="2">
        <f>COUNTIFS(集計用!$G439,"*, "&amp;AK$3&amp;", *")</f>
        <v>0</v>
      </c>
      <c r="AL441" s="2">
        <f>COUNTIFS(集計用!$G439,"*, "&amp;AL$3&amp;", *")</f>
        <v>0</v>
      </c>
      <c r="AM441" s="2">
        <f>COUNTIFS(集計用!$G439,"*, "&amp;AM$3&amp;", *")</f>
        <v>0</v>
      </c>
      <c r="AN441" s="2">
        <f>COUNTIFS(集計用!$G439,"*, "&amp;AN$3&amp;", *")</f>
        <v>0</v>
      </c>
      <c r="AO441" s="2">
        <f>COUNTIFS(集計用!$G439,"*, "&amp;AO$3&amp;", *")</f>
        <v>0</v>
      </c>
      <c r="AP441" s="2">
        <f>COUNTIFS(集計用!$G439,"*, "&amp;AP$3&amp;", *")</f>
        <v>0</v>
      </c>
      <c r="AQ441" s="2">
        <f>COUNTIFS(集計用!$G439,"*, "&amp;AQ$3&amp;", *")</f>
        <v>0</v>
      </c>
      <c r="AR441" s="2">
        <f>COUNTIFS(集計用!$G439,"*, "&amp;AR$3&amp;", *")</f>
        <v>0</v>
      </c>
      <c r="AS441" s="2">
        <f>COUNTIFS(集計用!$G439,"*, "&amp;AS$3&amp;", *")</f>
        <v>0</v>
      </c>
      <c r="AT441" s="2">
        <f>COUNTIFS(集計用!$G439,"*, "&amp;AT$3&amp;", *")</f>
        <v>0</v>
      </c>
      <c r="AU441" s="2">
        <f>COUNTIFS(集計用!$G439,"*, "&amp;AU$3&amp;", *")</f>
        <v>0</v>
      </c>
      <c r="AV441" s="2">
        <f>COUNTIFS(集計用!$G439,"*, "&amp;AV$3&amp;", *")</f>
        <v>0</v>
      </c>
      <c r="AW441" s="2">
        <f>COUNTIFS(集計用!$G439,"*, "&amp;AW$3&amp;", *")</f>
        <v>0</v>
      </c>
      <c r="AX441" s="2">
        <f>COUNTIFS(集計用!$G439,"*, "&amp;AX$3&amp;", *")</f>
        <v>0</v>
      </c>
      <c r="AY441" s="2">
        <f>COUNTIFS(集計用!$G439,"*, "&amp;AY$3&amp;", *")</f>
        <v>0</v>
      </c>
      <c r="AZ441" s="2">
        <f>COUNTIFS(集計用!$G439,"*, "&amp;AZ$3&amp;", *")</f>
        <v>0</v>
      </c>
      <c r="BA441" s="2">
        <f>COUNTIFS(集計用!$G439,"*, "&amp;BA$3&amp;", *")</f>
        <v>0</v>
      </c>
      <c r="BB441" s="2">
        <f>COUNTIFS(集計用!$G439,"*, "&amp;BB$3&amp;", *")</f>
        <v>0</v>
      </c>
      <c r="BC441" s="2">
        <f>COUNTIFS(集計用!$G439,"*, "&amp;BC$3&amp;", *")</f>
        <v>0</v>
      </c>
      <c r="BD441" s="2">
        <f>COUNTIFS(集計用!$G439,"*, "&amp;BD$3&amp;", *")</f>
        <v>0</v>
      </c>
      <c r="BE441" s="2">
        <f>COUNTIFS(集計用!$G439,"*, "&amp;BE$3&amp;", *")</f>
        <v>0</v>
      </c>
      <c r="BF441" s="2">
        <f>COUNTIFS(集計用!$G439,"*, "&amp;BF$3&amp;", *")</f>
        <v>0</v>
      </c>
      <c r="BG441" s="2">
        <f>COUNTIFS(集計用!$G439,"*, "&amp;BG$3&amp;", *")</f>
        <v>0</v>
      </c>
      <c r="BH441" s="2">
        <f>COUNTIFS(集計用!$G439,"*, "&amp;BH$3&amp;", *")</f>
        <v>0</v>
      </c>
      <c r="BI441" s="2">
        <f>COUNTIFS(集計用!$G439,"*, "&amp;BI$3&amp;", *")</f>
        <v>0</v>
      </c>
      <c r="BJ441" s="2">
        <f>LEN(集計用!H439)-LEN(SUBSTITUTE(集計用!H439,",",""))</f>
        <v>0</v>
      </c>
    </row>
    <row r="442" spans="1:62" ht="12.75">
      <c r="A442" s="8">
        <v>439</v>
      </c>
      <c r="C442" s="2">
        <f t="shared" si="4"/>
        <v>1</v>
      </c>
      <c r="D442" s="9"/>
      <c r="E442" s="2">
        <f>COUNTIFS(集計用!$G440,"*, "&amp;E$3&amp;", *")</f>
        <v>1</v>
      </c>
      <c r="F442" s="2">
        <f>COUNTIFS(集計用!$G440,"*, "&amp;F$3&amp;", *")</f>
        <v>0</v>
      </c>
      <c r="G442" s="2">
        <f>COUNTIFS(集計用!$G440,"*, "&amp;G$3&amp;", *")</f>
        <v>0</v>
      </c>
      <c r="H442" s="2">
        <f>COUNTIFS(集計用!$G440,"*, "&amp;H$3&amp;", *")</f>
        <v>0</v>
      </c>
      <c r="I442" s="2">
        <f>COUNTIFS(集計用!$G440,"*, "&amp;I$3&amp;", *")</f>
        <v>0</v>
      </c>
      <c r="J442" s="2">
        <f>COUNTIFS(集計用!$G440,"*, "&amp;J$3&amp;", *")</f>
        <v>0</v>
      </c>
      <c r="K442" s="2">
        <f>COUNTIFS(集計用!$G440,"*, "&amp;K$3&amp;", *")</f>
        <v>0</v>
      </c>
      <c r="L442" s="2">
        <f>COUNTIFS(集計用!$G440,"*, "&amp;L$3&amp;", *")</f>
        <v>0</v>
      </c>
      <c r="M442" s="2">
        <f>COUNTIFS(集計用!$G440,"*, "&amp;M$3&amp;", *")</f>
        <v>0</v>
      </c>
      <c r="N442" s="2">
        <f>COUNTIFS(集計用!$G440,"*, "&amp;N$3&amp;", *")</f>
        <v>0</v>
      </c>
      <c r="O442" s="2">
        <f>COUNTIFS(集計用!$G440,"*, "&amp;O$3&amp;", *")</f>
        <v>0</v>
      </c>
      <c r="P442" s="2">
        <f>COUNTIFS(集計用!$G440,"*, "&amp;P$3&amp;", *")</f>
        <v>0</v>
      </c>
      <c r="Q442" s="2">
        <f>COUNTIFS(集計用!$G440,"*, "&amp;Q$3&amp;", *")</f>
        <v>0</v>
      </c>
      <c r="R442" s="2">
        <f>COUNTIFS(集計用!$G440,"*, "&amp;R$3&amp;", *")</f>
        <v>0</v>
      </c>
      <c r="S442" s="2">
        <f>COUNTIFS(集計用!$G440,"*, "&amp;S$3&amp;", *")</f>
        <v>0</v>
      </c>
      <c r="T442" s="2">
        <f>COUNTIFS(集計用!$G440,"*, "&amp;T$3&amp;", *")</f>
        <v>0</v>
      </c>
      <c r="U442" s="2">
        <f>COUNTIFS(集計用!$G440,"*, "&amp;U$3&amp;", *")</f>
        <v>0</v>
      </c>
      <c r="V442" s="2">
        <f>COUNTIFS(集計用!$G440,"*, "&amp;V$3&amp;", *")</f>
        <v>0</v>
      </c>
      <c r="W442" s="2">
        <f>COUNTIFS(集計用!$G440,"*, "&amp;W$3&amp;", *")</f>
        <v>0</v>
      </c>
      <c r="X442" s="2">
        <f>COUNTIFS(集計用!$G440,"*, "&amp;X$3&amp;", *")</f>
        <v>0</v>
      </c>
      <c r="Y442" s="2">
        <f>COUNTIFS(集計用!$G440,"*, "&amp;Y$3&amp;", *")</f>
        <v>0</v>
      </c>
      <c r="Z442" s="2">
        <f>COUNTIFS(集計用!$G440,"*, "&amp;Z$3&amp;", *")</f>
        <v>0</v>
      </c>
      <c r="AA442" s="2">
        <f>COUNTIFS(集計用!$G440,"*, "&amp;AA$3&amp;", *")</f>
        <v>0</v>
      </c>
      <c r="AB442" s="2">
        <f>COUNTIFS(集計用!$G440,"*, "&amp;AB$3&amp;", *")</f>
        <v>0</v>
      </c>
      <c r="AC442" s="2">
        <f>COUNTIFS(集計用!$G440,"*, "&amp;AC$3&amp;", *")</f>
        <v>0</v>
      </c>
      <c r="AD442" s="2">
        <f>COUNTIFS(集計用!$G440,"*, "&amp;AD$3&amp;", *")</f>
        <v>0</v>
      </c>
      <c r="AE442" s="2">
        <f>COUNTIFS(集計用!$G440,"*, "&amp;AE$3&amp;", *")</f>
        <v>0</v>
      </c>
      <c r="AF442" s="2">
        <f>COUNTIFS(集計用!$G440,"*, "&amp;AF$3&amp;", *")</f>
        <v>0</v>
      </c>
      <c r="AG442" s="2">
        <f>COUNTIFS(集計用!$G440,"*, "&amp;AG$3&amp;", *")</f>
        <v>0</v>
      </c>
      <c r="AH442" s="2">
        <f>COUNTIFS(集計用!$G440,"*, "&amp;AH$3&amp;", *")</f>
        <v>0</v>
      </c>
      <c r="AI442" s="2">
        <f>COUNTIFS(集計用!$G440,"*, "&amp;AI$3&amp;", *")</f>
        <v>0</v>
      </c>
      <c r="AJ442" s="2">
        <f>COUNTIFS(集計用!$G440,"*, "&amp;AJ$3&amp;", *")</f>
        <v>0</v>
      </c>
      <c r="AK442" s="2">
        <f>COUNTIFS(集計用!$G440,"*, "&amp;AK$3&amp;", *")</f>
        <v>0</v>
      </c>
      <c r="AL442" s="2">
        <f>COUNTIFS(集計用!$G440,"*, "&amp;AL$3&amp;", *")</f>
        <v>0</v>
      </c>
      <c r="AM442" s="2">
        <f>COUNTIFS(集計用!$G440,"*, "&amp;AM$3&amp;", *")</f>
        <v>0</v>
      </c>
      <c r="AN442" s="2">
        <f>COUNTIFS(集計用!$G440,"*, "&amp;AN$3&amp;", *")</f>
        <v>0</v>
      </c>
      <c r="AO442" s="2">
        <f>COUNTIFS(集計用!$G440,"*, "&amp;AO$3&amp;", *")</f>
        <v>0</v>
      </c>
      <c r="AP442" s="2">
        <f>COUNTIFS(集計用!$G440,"*, "&amp;AP$3&amp;", *")</f>
        <v>0</v>
      </c>
      <c r="AQ442" s="2">
        <f>COUNTIFS(集計用!$G440,"*, "&amp;AQ$3&amp;", *")</f>
        <v>0</v>
      </c>
      <c r="AR442" s="2">
        <f>COUNTIFS(集計用!$G440,"*, "&amp;AR$3&amp;", *")</f>
        <v>0</v>
      </c>
      <c r="AS442" s="2">
        <f>COUNTIFS(集計用!$G440,"*, "&amp;AS$3&amp;", *")</f>
        <v>0</v>
      </c>
      <c r="AT442" s="2">
        <f>COUNTIFS(集計用!$G440,"*, "&amp;AT$3&amp;", *")</f>
        <v>0</v>
      </c>
      <c r="AU442" s="2">
        <f>COUNTIFS(集計用!$G440,"*, "&amp;AU$3&amp;", *")</f>
        <v>0</v>
      </c>
      <c r="AV442" s="2">
        <f>COUNTIFS(集計用!$G440,"*, "&amp;AV$3&amp;", *")</f>
        <v>0</v>
      </c>
      <c r="AW442" s="2">
        <f>COUNTIFS(集計用!$G440,"*, "&amp;AW$3&amp;", *")</f>
        <v>0</v>
      </c>
      <c r="AX442" s="2">
        <f>COUNTIFS(集計用!$G440,"*, "&amp;AX$3&amp;", *")</f>
        <v>0</v>
      </c>
      <c r="AY442" s="2">
        <f>COUNTIFS(集計用!$G440,"*, "&amp;AY$3&amp;", *")</f>
        <v>0</v>
      </c>
      <c r="AZ442" s="2">
        <f>COUNTIFS(集計用!$G440,"*, "&amp;AZ$3&amp;", *")</f>
        <v>0</v>
      </c>
      <c r="BA442" s="2">
        <f>COUNTIFS(集計用!$G440,"*, "&amp;BA$3&amp;", *")</f>
        <v>0</v>
      </c>
      <c r="BB442" s="2">
        <f>COUNTIFS(集計用!$G440,"*, "&amp;BB$3&amp;", *")</f>
        <v>0</v>
      </c>
      <c r="BC442" s="2">
        <f>COUNTIFS(集計用!$G440,"*, "&amp;BC$3&amp;", *")</f>
        <v>0</v>
      </c>
      <c r="BD442" s="2">
        <f>COUNTIFS(集計用!$G440,"*, "&amp;BD$3&amp;", *")</f>
        <v>0</v>
      </c>
      <c r="BE442" s="2">
        <f>COUNTIFS(集計用!$G440,"*, "&amp;BE$3&amp;", *")</f>
        <v>0</v>
      </c>
      <c r="BF442" s="2">
        <f>COUNTIFS(集計用!$G440,"*, "&amp;BF$3&amp;", *")</f>
        <v>0</v>
      </c>
      <c r="BG442" s="2">
        <f>COUNTIFS(集計用!$G440,"*, "&amp;BG$3&amp;", *")</f>
        <v>0</v>
      </c>
      <c r="BH442" s="2">
        <f>COUNTIFS(集計用!$G440,"*, "&amp;BH$3&amp;", *")</f>
        <v>0</v>
      </c>
      <c r="BI442" s="2">
        <f>COUNTIFS(集計用!$G440,"*, "&amp;BI$3&amp;", *")</f>
        <v>0</v>
      </c>
      <c r="BJ442" s="2">
        <f>LEN(集計用!H440)-LEN(SUBSTITUTE(集計用!H440,",",""))</f>
        <v>0</v>
      </c>
    </row>
    <row r="443" spans="1:62" ht="12.75">
      <c r="A443" s="8">
        <v>440</v>
      </c>
      <c r="C443" s="2">
        <f t="shared" si="4"/>
        <v>4</v>
      </c>
      <c r="D443" s="9"/>
      <c r="E443" s="2">
        <f>COUNTIFS(集計用!$G441,"*, "&amp;E$3&amp;", *")</f>
        <v>1</v>
      </c>
      <c r="F443" s="2">
        <f>COUNTIFS(集計用!$G441,"*, "&amp;F$3&amp;", *")</f>
        <v>1</v>
      </c>
      <c r="G443" s="2">
        <f>COUNTIFS(集計用!$G441,"*, "&amp;G$3&amp;", *")</f>
        <v>1</v>
      </c>
      <c r="H443" s="2">
        <f>COUNTIFS(集計用!$G441,"*, "&amp;H$3&amp;", *")</f>
        <v>0</v>
      </c>
      <c r="I443" s="2">
        <f>COUNTIFS(集計用!$G441,"*, "&amp;I$3&amp;", *")</f>
        <v>0</v>
      </c>
      <c r="J443" s="2">
        <f>COUNTIFS(集計用!$G441,"*, "&amp;J$3&amp;", *")</f>
        <v>0</v>
      </c>
      <c r="K443" s="2">
        <f>COUNTIFS(集計用!$G441,"*, "&amp;K$3&amp;", *")</f>
        <v>0</v>
      </c>
      <c r="L443" s="2">
        <f>COUNTIFS(集計用!$G441,"*, "&amp;L$3&amp;", *")</f>
        <v>0</v>
      </c>
      <c r="M443" s="2">
        <f>COUNTIFS(集計用!$G441,"*, "&amp;M$3&amp;", *")</f>
        <v>0</v>
      </c>
      <c r="N443" s="2">
        <f>COUNTIFS(集計用!$G441,"*, "&amp;N$3&amp;", *")</f>
        <v>1</v>
      </c>
      <c r="O443" s="2">
        <f>COUNTIFS(集計用!$G441,"*, "&amp;O$3&amp;", *")</f>
        <v>0</v>
      </c>
      <c r="P443" s="2">
        <f>COUNTIFS(集計用!$G441,"*, "&amp;P$3&amp;", *")</f>
        <v>0</v>
      </c>
      <c r="Q443" s="2">
        <f>COUNTIFS(集計用!$G441,"*, "&amp;Q$3&amp;", *")</f>
        <v>0</v>
      </c>
      <c r="R443" s="2">
        <f>COUNTIFS(集計用!$G441,"*, "&amp;R$3&amp;", *")</f>
        <v>0</v>
      </c>
      <c r="S443" s="2">
        <f>COUNTIFS(集計用!$G441,"*, "&amp;S$3&amp;", *")</f>
        <v>0</v>
      </c>
      <c r="T443" s="2">
        <f>COUNTIFS(集計用!$G441,"*, "&amp;T$3&amp;", *")</f>
        <v>0</v>
      </c>
      <c r="U443" s="2">
        <f>COUNTIFS(集計用!$G441,"*, "&amp;U$3&amp;", *")</f>
        <v>0</v>
      </c>
      <c r="V443" s="2">
        <f>COUNTIFS(集計用!$G441,"*, "&amp;V$3&amp;", *")</f>
        <v>0</v>
      </c>
      <c r="W443" s="2">
        <f>COUNTIFS(集計用!$G441,"*, "&amp;W$3&amp;", *")</f>
        <v>0</v>
      </c>
      <c r="X443" s="2">
        <f>COUNTIFS(集計用!$G441,"*, "&amp;X$3&amp;", *")</f>
        <v>0</v>
      </c>
      <c r="Y443" s="2">
        <f>COUNTIFS(集計用!$G441,"*, "&amp;Y$3&amp;", *")</f>
        <v>0</v>
      </c>
      <c r="Z443" s="2">
        <f>COUNTIFS(集計用!$G441,"*, "&amp;Z$3&amp;", *")</f>
        <v>0</v>
      </c>
      <c r="AA443" s="2">
        <f>COUNTIFS(集計用!$G441,"*, "&amp;AA$3&amp;", *")</f>
        <v>0</v>
      </c>
      <c r="AB443" s="2">
        <f>COUNTIFS(集計用!$G441,"*, "&amp;AB$3&amp;", *")</f>
        <v>0</v>
      </c>
      <c r="AC443" s="2">
        <f>COUNTIFS(集計用!$G441,"*, "&amp;AC$3&amp;", *")</f>
        <v>0</v>
      </c>
      <c r="AD443" s="2">
        <f>COUNTIFS(集計用!$G441,"*, "&amp;AD$3&amp;", *")</f>
        <v>0</v>
      </c>
      <c r="AE443" s="2">
        <f>COUNTIFS(集計用!$G441,"*, "&amp;AE$3&amp;", *")</f>
        <v>0</v>
      </c>
      <c r="AF443" s="2">
        <f>COUNTIFS(集計用!$G441,"*, "&amp;AF$3&amp;", *")</f>
        <v>0</v>
      </c>
      <c r="AG443" s="2">
        <f>COUNTIFS(集計用!$G441,"*, "&amp;AG$3&amp;", *")</f>
        <v>0</v>
      </c>
      <c r="AH443" s="2">
        <f>COUNTIFS(集計用!$G441,"*, "&amp;AH$3&amp;", *")</f>
        <v>0</v>
      </c>
      <c r="AI443" s="2">
        <f>COUNTIFS(集計用!$G441,"*, "&amp;AI$3&amp;", *")</f>
        <v>0</v>
      </c>
      <c r="AJ443" s="2">
        <f>COUNTIFS(集計用!$G441,"*, "&amp;AJ$3&amp;", *")</f>
        <v>0</v>
      </c>
      <c r="AK443" s="2">
        <f>COUNTIFS(集計用!$G441,"*, "&amp;AK$3&amp;", *")</f>
        <v>0</v>
      </c>
      <c r="AL443" s="2">
        <f>COUNTIFS(集計用!$G441,"*, "&amp;AL$3&amp;", *")</f>
        <v>0</v>
      </c>
      <c r="AM443" s="2">
        <f>COUNTIFS(集計用!$G441,"*, "&amp;AM$3&amp;", *")</f>
        <v>0</v>
      </c>
      <c r="AN443" s="2">
        <f>COUNTIFS(集計用!$G441,"*, "&amp;AN$3&amp;", *")</f>
        <v>0</v>
      </c>
      <c r="AO443" s="2">
        <f>COUNTIFS(集計用!$G441,"*, "&amp;AO$3&amp;", *")</f>
        <v>0</v>
      </c>
      <c r="AP443" s="2">
        <f>COUNTIFS(集計用!$G441,"*, "&amp;AP$3&amp;", *")</f>
        <v>0</v>
      </c>
      <c r="AQ443" s="2">
        <f>COUNTIFS(集計用!$G441,"*, "&amp;AQ$3&amp;", *")</f>
        <v>0</v>
      </c>
      <c r="AR443" s="2">
        <f>COUNTIFS(集計用!$G441,"*, "&amp;AR$3&amp;", *")</f>
        <v>0</v>
      </c>
      <c r="AS443" s="2">
        <f>COUNTIFS(集計用!$G441,"*, "&amp;AS$3&amp;", *")</f>
        <v>0</v>
      </c>
      <c r="AT443" s="2">
        <f>COUNTIFS(集計用!$G441,"*, "&amp;AT$3&amp;", *")</f>
        <v>0</v>
      </c>
      <c r="AU443" s="2">
        <f>COUNTIFS(集計用!$G441,"*, "&amp;AU$3&amp;", *")</f>
        <v>0</v>
      </c>
      <c r="AV443" s="2">
        <f>COUNTIFS(集計用!$G441,"*, "&amp;AV$3&amp;", *")</f>
        <v>0</v>
      </c>
      <c r="AW443" s="2">
        <f>COUNTIFS(集計用!$G441,"*, "&amp;AW$3&amp;", *")</f>
        <v>0</v>
      </c>
      <c r="AX443" s="2">
        <f>COUNTIFS(集計用!$G441,"*, "&amp;AX$3&amp;", *")</f>
        <v>0</v>
      </c>
      <c r="AY443" s="2">
        <f>COUNTIFS(集計用!$G441,"*, "&amp;AY$3&amp;", *")</f>
        <v>0</v>
      </c>
      <c r="AZ443" s="2">
        <f>COUNTIFS(集計用!$G441,"*, "&amp;AZ$3&amp;", *")</f>
        <v>0</v>
      </c>
      <c r="BA443" s="2">
        <f>COUNTIFS(集計用!$G441,"*, "&amp;BA$3&amp;", *")</f>
        <v>0</v>
      </c>
      <c r="BB443" s="2">
        <f>COUNTIFS(集計用!$G441,"*, "&amp;BB$3&amp;", *")</f>
        <v>0</v>
      </c>
      <c r="BC443" s="2">
        <f>COUNTIFS(集計用!$G441,"*, "&amp;BC$3&amp;", *")</f>
        <v>0</v>
      </c>
      <c r="BD443" s="2">
        <f>COUNTIFS(集計用!$G441,"*, "&amp;BD$3&amp;", *")</f>
        <v>0</v>
      </c>
      <c r="BE443" s="2">
        <f>COUNTIFS(集計用!$G441,"*, "&amp;BE$3&amp;", *")</f>
        <v>0</v>
      </c>
      <c r="BF443" s="2">
        <f>COUNTIFS(集計用!$G441,"*, "&amp;BF$3&amp;", *")</f>
        <v>0</v>
      </c>
      <c r="BG443" s="2">
        <f>COUNTIFS(集計用!$G441,"*, "&amp;BG$3&amp;", *")</f>
        <v>0</v>
      </c>
      <c r="BH443" s="2">
        <f>COUNTIFS(集計用!$G441,"*, "&amp;BH$3&amp;", *")</f>
        <v>0</v>
      </c>
      <c r="BI443" s="2">
        <f>COUNTIFS(集計用!$G441,"*, "&amp;BI$3&amp;", *")</f>
        <v>0</v>
      </c>
      <c r="BJ443" s="2">
        <f>LEN(集計用!H441)-LEN(SUBSTITUTE(集計用!H441,",",""))</f>
        <v>0</v>
      </c>
    </row>
    <row r="444" spans="1:62" ht="12.75">
      <c r="A444" s="8">
        <v>441</v>
      </c>
      <c r="C444" s="2">
        <f t="shared" si="4"/>
        <v>3</v>
      </c>
      <c r="D444" s="9"/>
      <c r="E444" s="2">
        <f>COUNTIFS(集計用!$G442,"*, "&amp;E$3&amp;", *")</f>
        <v>1</v>
      </c>
      <c r="F444" s="2">
        <f>COUNTIFS(集計用!$G442,"*, "&amp;F$3&amp;", *")</f>
        <v>0</v>
      </c>
      <c r="G444" s="2">
        <f>COUNTIFS(集計用!$G442,"*, "&amp;G$3&amp;", *")</f>
        <v>1</v>
      </c>
      <c r="H444" s="2">
        <f>COUNTIFS(集計用!$G442,"*, "&amp;H$3&amp;", *")</f>
        <v>0</v>
      </c>
      <c r="I444" s="2">
        <f>COUNTIFS(集計用!$G442,"*, "&amp;I$3&amp;", *")</f>
        <v>0</v>
      </c>
      <c r="J444" s="2">
        <f>COUNTIFS(集計用!$G442,"*, "&amp;J$3&amp;", *")</f>
        <v>0</v>
      </c>
      <c r="K444" s="2">
        <f>COUNTIFS(集計用!$G442,"*, "&amp;K$3&amp;", *")</f>
        <v>0</v>
      </c>
      <c r="L444" s="2">
        <f>COUNTIFS(集計用!$G442,"*, "&amp;L$3&amp;", *")</f>
        <v>0</v>
      </c>
      <c r="M444" s="2">
        <f>COUNTIFS(集計用!$G442,"*, "&amp;M$3&amp;", *")</f>
        <v>0</v>
      </c>
      <c r="N444" s="2">
        <f>COUNTIFS(集計用!$G442,"*, "&amp;N$3&amp;", *")</f>
        <v>0</v>
      </c>
      <c r="O444" s="2">
        <f>COUNTIFS(集計用!$G442,"*, "&amp;O$3&amp;", *")</f>
        <v>0</v>
      </c>
      <c r="P444" s="2">
        <f>COUNTIFS(集計用!$G442,"*, "&amp;P$3&amp;", *")</f>
        <v>1</v>
      </c>
      <c r="Q444" s="2">
        <f>COUNTIFS(集計用!$G442,"*, "&amp;Q$3&amp;", *")</f>
        <v>0</v>
      </c>
      <c r="R444" s="2">
        <f>COUNTIFS(集計用!$G442,"*, "&amp;R$3&amp;", *")</f>
        <v>0</v>
      </c>
      <c r="S444" s="2">
        <f>COUNTIFS(集計用!$G442,"*, "&amp;S$3&amp;", *")</f>
        <v>0</v>
      </c>
      <c r="T444" s="2">
        <f>COUNTIFS(集計用!$G442,"*, "&amp;T$3&amp;", *")</f>
        <v>0</v>
      </c>
      <c r="U444" s="2">
        <f>COUNTIFS(集計用!$G442,"*, "&amp;U$3&amp;", *")</f>
        <v>0</v>
      </c>
      <c r="V444" s="2">
        <f>COUNTIFS(集計用!$G442,"*, "&amp;V$3&amp;", *")</f>
        <v>0</v>
      </c>
      <c r="W444" s="2">
        <f>COUNTIFS(集計用!$G442,"*, "&amp;W$3&amp;", *")</f>
        <v>0</v>
      </c>
      <c r="X444" s="2">
        <f>COUNTIFS(集計用!$G442,"*, "&amp;X$3&amp;", *")</f>
        <v>0</v>
      </c>
      <c r="Y444" s="2">
        <f>COUNTIFS(集計用!$G442,"*, "&amp;Y$3&amp;", *")</f>
        <v>0</v>
      </c>
      <c r="Z444" s="2">
        <f>COUNTIFS(集計用!$G442,"*, "&amp;Z$3&amp;", *")</f>
        <v>0</v>
      </c>
      <c r="AA444" s="2">
        <f>COUNTIFS(集計用!$G442,"*, "&amp;AA$3&amp;", *")</f>
        <v>0</v>
      </c>
      <c r="AB444" s="2">
        <f>COUNTIFS(集計用!$G442,"*, "&amp;AB$3&amp;", *")</f>
        <v>0</v>
      </c>
      <c r="AC444" s="2">
        <f>COUNTIFS(集計用!$G442,"*, "&amp;AC$3&amp;", *")</f>
        <v>0</v>
      </c>
      <c r="AD444" s="2">
        <f>COUNTIFS(集計用!$G442,"*, "&amp;AD$3&amp;", *")</f>
        <v>0</v>
      </c>
      <c r="AE444" s="2">
        <f>COUNTIFS(集計用!$G442,"*, "&amp;AE$3&amp;", *")</f>
        <v>0</v>
      </c>
      <c r="AF444" s="2">
        <f>COUNTIFS(集計用!$G442,"*, "&amp;AF$3&amp;", *")</f>
        <v>0</v>
      </c>
      <c r="AG444" s="2">
        <f>COUNTIFS(集計用!$G442,"*, "&amp;AG$3&amp;", *")</f>
        <v>0</v>
      </c>
      <c r="AH444" s="2">
        <f>COUNTIFS(集計用!$G442,"*, "&amp;AH$3&amp;", *")</f>
        <v>0</v>
      </c>
      <c r="AI444" s="2">
        <f>COUNTIFS(集計用!$G442,"*, "&amp;AI$3&amp;", *")</f>
        <v>0</v>
      </c>
      <c r="AJ444" s="2">
        <f>COUNTIFS(集計用!$G442,"*, "&amp;AJ$3&amp;", *")</f>
        <v>0</v>
      </c>
      <c r="AK444" s="2">
        <f>COUNTIFS(集計用!$G442,"*, "&amp;AK$3&amp;", *")</f>
        <v>0</v>
      </c>
      <c r="AL444" s="2">
        <f>COUNTIFS(集計用!$G442,"*, "&amp;AL$3&amp;", *")</f>
        <v>0</v>
      </c>
      <c r="AM444" s="2">
        <f>COUNTIFS(集計用!$G442,"*, "&amp;AM$3&amp;", *")</f>
        <v>0</v>
      </c>
      <c r="AN444" s="2">
        <f>COUNTIFS(集計用!$G442,"*, "&amp;AN$3&amp;", *")</f>
        <v>0</v>
      </c>
      <c r="AO444" s="2">
        <f>COUNTIFS(集計用!$G442,"*, "&amp;AO$3&amp;", *")</f>
        <v>0</v>
      </c>
      <c r="AP444" s="2">
        <f>COUNTIFS(集計用!$G442,"*, "&amp;AP$3&amp;", *")</f>
        <v>0</v>
      </c>
      <c r="AQ444" s="2">
        <f>COUNTIFS(集計用!$G442,"*, "&amp;AQ$3&amp;", *")</f>
        <v>0</v>
      </c>
      <c r="AR444" s="2">
        <f>COUNTIFS(集計用!$G442,"*, "&amp;AR$3&amp;", *")</f>
        <v>0</v>
      </c>
      <c r="AS444" s="2">
        <f>COUNTIFS(集計用!$G442,"*, "&amp;AS$3&amp;", *")</f>
        <v>0</v>
      </c>
      <c r="AT444" s="2">
        <f>COUNTIFS(集計用!$G442,"*, "&amp;AT$3&amp;", *")</f>
        <v>0</v>
      </c>
      <c r="AU444" s="2">
        <f>COUNTIFS(集計用!$G442,"*, "&amp;AU$3&amp;", *")</f>
        <v>0</v>
      </c>
      <c r="AV444" s="2">
        <f>COUNTIFS(集計用!$G442,"*, "&amp;AV$3&amp;", *")</f>
        <v>0</v>
      </c>
      <c r="AW444" s="2">
        <f>COUNTIFS(集計用!$G442,"*, "&amp;AW$3&amp;", *")</f>
        <v>0</v>
      </c>
      <c r="AX444" s="2">
        <f>COUNTIFS(集計用!$G442,"*, "&amp;AX$3&amp;", *")</f>
        <v>0</v>
      </c>
      <c r="AY444" s="2">
        <f>COUNTIFS(集計用!$G442,"*, "&amp;AY$3&amp;", *")</f>
        <v>0</v>
      </c>
      <c r="AZ444" s="2">
        <f>COUNTIFS(集計用!$G442,"*, "&amp;AZ$3&amp;", *")</f>
        <v>0</v>
      </c>
      <c r="BA444" s="2">
        <f>COUNTIFS(集計用!$G442,"*, "&amp;BA$3&amp;", *")</f>
        <v>0</v>
      </c>
      <c r="BB444" s="2">
        <f>COUNTIFS(集計用!$G442,"*, "&amp;BB$3&amp;", *")</f>
        <v>0</v>
      </c>
      <c r="BC444" s="2">
        <f>COUNTIFS(集計用!$G442,"*, "&amp;BC$3&amp;", *")</f>
        <v>0</v>
      </c>
      <c r="BD444" s="2">
        <f>COUNTIFS(集計用!$G442,"*, "&amp;BD$3&amp;", *")</f>
        <v>0</v>
      </c>
      <c r="BE444" s="2">
        <f>COUNTIFS(集計用!$G442,"*, "&amp;BE$3&amp;", *")</f>
        <v>0</v>
      </c>
      <c r="BF444" s="2">
        <f>COUNTIFS(集計用!$G442,"*, "&amp;BF$3&amp;", *")</f>
        <v>0</v>
      </c>
      <c r="BG444" s="2">
        <f>COUNTIFS(集計用!$G442,"*, "&amp;BG$3&amp;", *")</f>
        <v>0</v>
      </c>
      <c r="BH444" s="2">
        <f>COUNTIFS(集計用!$G442,"*, "&amp;BH$3&amp;", *")</f>
        <v>0</v>
      </c>
      <c r="BI444" s="2">
        <f>COUNTIFS(集計用!$G442,"*, "&amp;BI$3&amp;", *")</f>
        <v>0</v>
      </c>
      <c r="BJ444" s="2">
        <f>LEN(集計用!H442)-LEN(SUBSTITUTE(集計用!H442,",",""))</f>
        <v>0</v>
      </c>
    </row>
    <row r="445" spans="1:62" ht="12.75">
      <c r="A445" s="8">
        <v>442</v>
      </c>
      <c r="C445" s="2">
        <f t="shared" si="4"/>
        <v>1</v>
      </c>
      <c r="D445" s="9"/>
      <c r="E445" s="2">
        <f>COUNTIFS(集計用!$G443,"*, "&amp;E$3&amp;", *")</f>
        <v>1</v>
      </c>
      <c r="F445" s="2">
        <f>COUNTIFS(集計用!$G443,"*, "&amp;F$3&amp;", *")</f>
        <v>0</v>
      </c>
      <c r="G445" s="2">
        <f>COUNTIFS(集計用!$G443,"*, "&amp;G$3&amp;", *")</f>
        <v>0</v>
      </c>
      <c r="H445" s="2">
        <f>COUNTIFS(集計用!$G443,"*, "&amp;H$3&amp;", *")</f>
        <v>0</v>
      </c>
      <c r="I445" s="2">
        <f>COUNTIFS(集計用!$G443,"*, "&amp;I$3&amp;", *")</f>
        <v>0</v>
      </c>
      <c r="J445" s="2">
        <f>COUNTIFS(集計用!$G443,"*, "&amp;J$3&amp;", *")</f>
        <v>0</v>
      </c>
      <c r="K445" s="2">
        <f>COUNTIFS(集計用!$G443,"*, "&amp;K$3&amp;", *")</f>
        <v>0</v>
      </c>
      <c r="L445" s="2">
        <f>COUNTIFS(集計用!$G443,"*, "&amp;L$3&amp;", *")</f>
        <v>0</v>
      </c>
      <c r="M445" s="2">
        <f>COUNTIFS(集計用!$G443,"*, "&amp;M$3&amp;", *")</f>
        <v>0</v>
      </c>
      <c r="N445" s="2">
        <f>COUNTIFS(集計用!$G443,"*, "&amp;N$3&amp;", *")</f>
        <v>0</v>
      </c>
      <c r="O445" s="2">
        <f>COUNTIFS(集計用!$G443,"*, "&amp;O$3&amp;", *")</f>
        <v>0</v>
      </c>
      <c r="P445" s="2">
        <f>COUNTIFS(集計用!$G443,"*, "&amp;P$3&amp;", *")</f>
        <v>0</v>
      </c>
      <c r="Q445" s="2">
        <f>COUNTIFS(集計用!$G443,"*, "&amp;Q$3&amp;", *")</f>
        <v>0</v>
      </c>
      <c r="R445" s="2">
        <f>COUNTIFS(集計用!$G443,"*, "&amp;R$3&amp;", *")</f>
        <v>0</v>
      </c>
      <c r="S445" s="2">
        <f>COUNTIFS(集計用!$G443,"*, "&amp;S$3&amp;", *")</f>
        <v>0</v>
      </c>
      <c r="T445" s="2">
        <f>COUNTIFS(集計用!$G443,"*, "&amp;T$3&amp;", *")</f>
        <v>0</v>
      </c>
      <c r="U445" s="2">
        <f>COUNTIFS(集計用!$G443,"*, "&amp;U$3&amp;", *")</f>
        <v>0</v>
      </c>
      <c r="V445" s="2">
        <f>COUNTIFS(集計用!$G443,"*, "&amp;V$3&amp;", *")</f>
        <v>0</v>
      </c>
      <c r="W445" s="2">
        <f>COUNTIFS(集計用!$G443,"*, "&amp;W$3&amp;", *")</f>
        <v>0</v>
      </c>
      <c r="X445" s="2">
        <f>COUNTIFS(集計用!$G443,"*, "&amp;X$3&amp;", *")</f>
        <v>0</v>
      </c>
      <c r="Y445" s="2">
        <f>COUNTIFS(集計用!$G443,"*, "&amp;Y$3&amp;", *")</f>
        <v>0</v>
      </c>
      <c r="Z445" s="2">
        <f>COUNTIFS(集計用!$G443,"*, "&amp;Z$3&amp;", *")</f>
        <v>0</v>
      </c>
      <c r="AA445" s="2">
        <f>COUNTIFS(集計用!$G443,"*, "&amp;AA$3&amp;", *")</f>
        <v>0</v>
      </c>
      <c r="AB445" s="2">
        <f>COUNTIFS(集計用!$G443,"*, "&amp;AB$3&amp;", *")</f>
        <v>0</v>
      </c>
      <c r="AC445" s="2">
        <f>COUNTIFS(集計用!$G443,"*, "&amp;AC$3&amp;", *")</f>
        <v>0</v>
      </c>
      <c r="AD445" s="2">
        <f>COUNTIFS(集計用!$G443,"*, "&amp;AD$3&amp;", *")</f>
        <v>0</v>
      </c>
      <c r="AE445" s="2">
        <f>COUNTIFS(集計用!$G443,"*, "&amp;AE$3&amp;", *")</f>
        <v>0</v>
      </c>
      <c r="AF445" s="2">
        <f>COUNTIFS(集計用!$G443,"*, "&amp;AF$3&amp;", *")</f>
        <v>0</v>
      </c>
      <c r="AG445" s="2">
        <f>COUNTIFS(集計用!$G443,"*, "&amp;AG$3&amp;", *")</f>
        <v>0</v>
      </c>
      <c r="AH445" s="2">
        <f>COUNTIFS(集計用!$G443,"*, "&amp;AH$3&amp;", *")</f>
        <v>0</v>
      </c>
      <c r="AI445" s="2">
        <f>COUNTIFS(集計用!$G443,"*, "&amp;AI$3&amp;", *")</f>
        <v>0</v>
      </c>
      <c r="AJ445" s="2">
        <f>COUNTIFS(集計用!$G443,"*, "&amp;AJ$3&amp;", *")</f>
        <v>0</v>
      </c>
      <c r="AK445" s="2">
        <f>COUNTIFS(集計用!$G443,"*, "&amp;AK$3&amp;", *")</f>
        <v>0</v>
      </c>
      <c r="AL445" s="2">
        <f>COUNTIFS(集計用!$G443,"*, "&amp;AL$3&amp;", *")</f>
        <v>0</v>
      </c>
      <c r="AM445" s="2">
        <f>COUNTIFS(集計用!$G443,"*, "&amp;AM$3&amp;", *")</f>
        <v>0</v>
      </c>
      <c r="AN445" s="2">
        <f>COUNTIFS(集計用!$G443,"*, "&amp;AN$3&amp;", *")</f>
        <v>0</v>
      </c>
      <c r="AO445" s="2">
        <f>COUNTIFS(集計用!$G443,"*, "&amp;AO$3&amp;", *")</f>
        <v>0</v>
      </c>
      <c r="AP445" s="2">
        <f>COUNTIFS(集計用!$G443,"*, "&amp;AP$3&amp;", *")</f>
        <v>0</v>
      </c>
      <c r="AQ445" s="2">
        <f>COUNTIFS(集計用!$G443,"*, "&amp;AQ$3&amp;", *")</f>
        <v>0</v>
      </c>
      <c r="AR445" s="2">
        <f>COUNTIFS(集計用!$G443,"*, "&amp;AR$3&amp;", *")</f>
        <v>0</v>
      </c>
      <c r="AS445" s="2">
        <f>COUNTIFS(集計用!$G443,"*, "&amp;AS$3&amp;", *")</f>
        <v>0</v>
      </c>
      <c r="AT445" s="2">
        <f>COUNTIFS(集計用!$G443,"*, "&amp;AT$3&amp;", *")</f>
        <v>0</v>
      </c>
      <c r="AU445" s="2">
        <f>COUNTIFS(集計用!$G443,"*, "&amp;AU$3&amp;", *")</f>
        <v>0</v>
      </c>
      <c r="AV445" s="2">
        <f>COUNTIFS(集計用!$G443,"*, "&amp;AV$3&amp;", *")</f>
        <v>0</v>
      </c>
      <c r="AW445" s="2">
        <f>COUNTIFS(集計用!$G443,"*, "&amp;AW$3&amp;", *")</f>
        <v>0</v>
      </c>
      <c r="AX445" s="2">
        <f>COUNTIFS(集計用!$G443,"*, "&amp;AX$3&amp;", *")</f>
        <v>0</v>
      </c>
      <c r="AY445" s="2">
        <f>COUNTIFS(集計用!$G443,"*, "&amp;AY$3&amp;", *")</f>
        <v>0</v>
      </c>
      <c r="AZ445" s="2">
        <f>COUNTIFS(集計用!$G443,"*, "&amp;AZ$3&amp;", *")</f>
        <v>0</v>
      </c>
      <c r="BA445" s="2">
        <f>COUNTIFS(集計用!$G443,"*, "&amp;BA$3&amp;", *")</f>
        <v>0</v>
      </c>
      <c r="BB445" s="2">
        <f>COUNTIFS(集計用!$G443,"*, "&amp;BB$3&amp;", *")</f>
        <v>0</v>
      </c>
      <c r="BC445" s="2">
        <f>COUNTIFS(集計用!$G443,"*, "&amp;BC$3&amp;", *")</f>
        <v>0</v>
      </c>
      <c r="BD445" s="2">
        <f>COUNTIFS(集計用!$G443,"*, "&amp;BD$3&amp;", *")</f>
        <v>0</v>
      </c>
      <c r="BE445" s="2">
        <f>COUNTIFS(集計用!$G443,"*, "&amp;BE$3&amp;", *")</f>
        <v>0</v>
      </c>
      <c r="BF445" s="2">
        <f>COUNTIFS(集計用!$G443,"*, "&amp;BF$3&amp;", *")</f>
        <v>0</v>
      </c>
      <c r="BG445" s="2">
        <f>COUNTIFS(集計用!$G443,"*, "&amp;BG$3&amp;", *")</f>
        <v>0</v>
      </c>
      <c r="BH445" s="2">
        <f>COUNTIFS(集計用!$G443,"*, "&amp;BH$3&amp;", *")</f>
        <v>0</v>
      </c>
      <c r="BI445" s="2">
        <f>COUNTIFS(集計用!$G443,"*, "&amp;BI$3&amp;", *")</f>
        <v>0</v>
      </c>
      <c r="BJ445" s="2">
        <f>LEN(集計用!H443)-LEN(SUBSTITUTE(集計用!H443,",",""))</f>
        <v>0</v>
      </c>
    </row>
    <row r="446" spans="1:62" ht="12.75">
      <c r="A446" s="8">
        <v>443</v>
      </c>
      <c r="C446" s="2">
        <f t="shared" si="4"/>
        <v>7</v>
      </c>
      <c r="D446" s="9"/>
      <c r="E446" s="2">
        <f>COUNTIFS(集計用!$G444,"*, "&amp;E$3&amp;", *")</f>
        <v>1</v>
      </c>
      <c r="F446" s="2">
        <f>COUNTIFS(集計用!$G444,"*, "&amp;F$3&amp;", *")</f>
        <v>1</v>
      </c>
      <c r="G446" s="2">
        <f>COUNTIFS(集計用!$G444,"*, "&amp;G$3&amp;", *")</f>
        <v>0</v>
      </c>
      <c r="H446" s="2">
        <f>COUNTIFS(集計用!$G444,"*, "&amp;H$3&amp;", *")</f>
        <v>1</v>
      </c>
      <c r="I446" s="2">
        <f>COUNTIFS(集計用!$G444,"*, "&amp;I$3&amp;", *")</f>
        <v>0</v>
      </c>
      <c r="J446" s="2">
        <f>COUNTIFS(集計用!$G444,"*, "&amp;J$3&amp;", *")</f>
        <v>1</v>
      </c>
      <c r="K446" s="2">
        <f>COUNTIFS(集計用!$G444,"*, "&amp;K$3&amp;", *")</f>
        <v>1</v>
      </c>
      <c r="L446" s="2">
        <f>COUNTIFS(集計用!$G444,"*, "&amp;L$3&amp;", *")</f>
        <v>0</v>
      </c>
      <c r="M446" s="2">
        <f>COUNTIFS(集計用!$G444,"*, "&amp;M$3&amp;", *")</f>
        <v>1</v>
      </c>
      <c r="N446" s="2">
        <f>COUNTIFS(集計用!$G444,"*, "&amp;N$3&amp;", *")</f>
        <v>0</v>
      </c>
      <c r="O446" s="2">
        <f>COUNTIFS(集計用!$G444,"*, "&amp;O$3&amp;", *")</f>
        <v>0</v>
      </c>
      <c r="P446" s="2">
        <f>COUNTIFS(集計用!$G444,"*, "&amp;P$3&amp;", *")</f>
        <v>0</v>
      </c>
      <c r="Q446" s="2">
        <f>COUNTIFS(集計用!$G444,"*, "&amp;Q$3&amp;", *")</f>
        <v>0</v>
      </c>
      <c r="R446" s="2">
        <f>COUNTIFS(集計用!$G444,"*, "&amp;R$3&amp;", *")</f>
        <v>0</v>
      </c>
      <c r="S446" s="2">
        <f>COUNTIFS(集計用!$G444,"*, "&amp;S$3&amp;", *")</f>
        <v>0</v>
      </c>
      <c r="T446" s="2">
        <f>COUNTIFS(集計用!$G444,"*, "&amp;T$3&amp;", *")</f>
        <v>0</v>
      </c>
      <c r="U446" s="2">
        <f>COUNTIFS(集計用!$G444,"*, "&amp;U$3&amp;", *")</f>
        <v>0</v>
      </c>
      <c r="V446" s="2">
        <f>COUNTIFS(集計用!$G444,"*, "&amp;V$3&amp;", *")</f>
        <v>0</v>
      </c>
      <c r="W446" s="2">
        <f>COUNTIFS(集計用!$G444,"*, "&amp;W$3&amp;", *")</f>
        <v>0</v>
      </c>
      <c r="X446" s="2">
        <f>COUNTIFS(集計用!$G444,"*, "&amp;X$3&amp;", *")</f>
        <v>0</v>
      </c>
      <c r="Y446" s="2">
        <f>COUNTIFS(集計用!$G444,"*, "&amp;Y$3&amp;", *")</f>
        <v>0</v>
      </c>
      <c r="Z446" s="2">
        <f>COUNTIFS(集計用!$G444,"*, "&amp;Z$3&amp;", *")</f>
        <v>0</v>
      </c>
      <c r="AA446" s="2">
        <f>COUNTIFS(集計用!$G444,"*, "&amp;AA$3&amp;", *")</f>
        <v>1</v>
      </c>
      <c r="AB446" s="2">
        <f>COUNTIFS(集計用!$G444,"*, "&amp;AB$3&amp;", *")</f>
        <v>0</v>
      </c>
      <c r="AC446" s="2">
        <f>COUNTIFS(集計用!$G444,"*, "&amp;AC$3&amp;", *")</f>
        <v>0</v>
      </c>
      <c r="AD446" s="2">
        <f>COUNTIFS(集計用!$G444,"*, "&amp;AD$3&amp;", *")</f>
        <v>0</v>
      </c>
      <c r="AE446" s="2">
        <f>COUNTIFS(集計用!$G444,"*, "&amp;AE$3&amp;", *")</f>
        <v>0</v>
      </c>
      <c r="AF446" s="2">
        <f>COUNTIFS(集計用!$G444,"*, "&amp;AF$3&amp;", *")</f>
        <v>0</v>
      </c>
      <c r="AG446" s="2">
        <f>COUNTIFS(集計用!$G444,"*, "&amp;AG$3&amp;", *")</f>
        <v>0</v>
      </c>
      <c r="AH446" s="2">
        <f>COUNTIFS(集計用!$G444,"*, "&amp;AH$3&amp;", *")</f>
        <v>0</v>
      </c>
      <c r="AI446" s="2">
        <f>COUNTIFS(集計用!$G444,"*, "&amp;AI$3&amp;", *")</f>
        <v>0</v>
      </c>
      <c r="AJ446" s="2">
        <f>COUNTIFS(集計用!$G444,"*, "&amp;AJ$3&amp;", *")</f>
        <v>0</v>
      </c>
      <c r="AK446" s="2">
        <f>COUNTIFS(集計用!$G444,"*, "&amp;AK$3&amp;", *")</f>
        <v>0</v>
      </c>
      <c r="AL446" s="2">
        <f>COUNTIFS(集計用!$G444,"*, "&amp;AL$3&amp;", *")</f>
        <v>0</v>
      </c>
      <c r="AM446" s="2">
        <f>COUNTIFS(集計用!$G444,"*, "&amp;AM$3&amp;", *")</f>
        <v>0</v>
      </c>
      <c r="AN446" s="2">
        <f>COUNTIFS(集計用!$G444,"*, "&amp;AN$3&amp;", *")</f>
        <v>0</v>
      </c>
      <c r="AO446" s="2">
        <f>COUNTIFS(集計用!$G444,"*, "&amp;AO$3&amp;", *")</f>
        <v>0</v>
      </c>
      <c r="AP446" s="2">
        <f>COUNTIFS(集計用!$G444,"*, "&amp;AP$3&amp;", *")</f>
        <v>0</v>
      </c>
      <c r="AQ446" s="2">
        <f>COUNTIFS(集計用!$G444,"*, "&amp;AQ$3&amp;", *")</f>
        <v>0</v>
      </c>
      <c r="AR446" s="2">
        <f>COUNTIFS(集計用!$G444,"*, "&amp;AR$3&amp;", *")</f>
        <v>0</v>
      </c>
      <c r="AS446" s="2">
        <f>COUNTIFS(集計用!$G444,"*, "&amp;AS$3&amp;", *")</f>
        <v>0</v>
      </c>
      <c r="AT446" s="2">
        <f>COUNTIFS(集計用!$G444,"*, "&amp;AT$3&amp;", *")</f>
        <v>0</v>
      </c>
      <c r="AU446" s="2">
        <f>COUNTIFS(集計用!$G444,"*, "&amp;AU$3&amp;", *")</f>
        <v>0</v>
      </c>
      <c r="AV446" s="2">
        <f>COUNTIFS(集計用!$G444,"*, "&amp;AV$3&amp;", *")</f>
        <v>0</v>
      </c>
      <c r="AW446" s="2">
        <f>COUNTIFS(集計用!$G444,"*, "&amp;AW$3&amp;", *")</f>
        <v>0</v>
      </c>
      <c r="AX446" s="2">
        <f>COUNTIFS(集計用!$G444,"*, "&amp;AX$3&amp;", *")</f>
        <v>0</v>
      </c>
      <c r="AY446" s="2">
        <f>COUNTIFS(集計用!$G444,"*, "&amp;AY$3&amp;", *")</f>
        <v>0</v>
      </c>
      <c r="AZ446" s="2">
        <f>COUNTIFS(集計用!$G444,"*, "&amp;AZ$3&amp;", *")</f>
        <v>0</v>
      </c>
      <c r="BA446" s="2">
        <f>COUNTIFS(集計用!$G444,"*, "&amp;BA$3&amp;", *")</f>
        <v>0</v>
      </c>
      <c r="BB446" s="2">
        <f>COUNTIFS(集計用!$G444,"*, "&amp;BB$3&amp;", *")</f>
        <v>0</v>
      </c>
      <c r="BC446" s="2">
        <f>COUNTIFS(集計用!$G444,"*, "&amp;BC$3&amp;", *")</f>
        <v>0</v>
      </c>
      <c r="BD446" s="2">
        <f>COUNTIFS(集計用!$G444,"*, "&amp;BD$3&amp;", *")</f>
        <v>0</v>
      </c>
      <c r="BE446" s="2">
        <f>COUNTIFS(集計用!$G444,"*, "&amp;BE$3&amp;", *")</f>
        <v>0</v>
      </c>
      <c r="BF446" s="2">
        <f>COUNTIFS(集計用!$G444,"*, "&amp;BF$3&amp;", *")</f>
        <v>0</v>
      </c>
      <c r="BG446" s="2">
        <f>COUNTIFS(集計用!$G444,"*, "&amp;BG$3&amp;", *")</f>
        <v>0</v>
      </c>
      <c r="BH446" s="2">
        <f>COUNTIFS(集計用!$G444,"*, "&amp;BH$3&amp;", *")</f>
        <v>0</v>
      </c>
      <c r="BI446" s="2">
        <f>COUNTIFS(集計用!$G444,"*, "&amp;BI$3&amp;", *")</f>
        <v>0</v>
      </c>
      <c r="BJ446" s="2">
        <f>LEN(集計用!H444)-LEN(SUBSTITUTE(集計用!H444,",",""))</f>
        <v>0</v>
      </c>
    </row>
    <row r="447" spans="1:62" ht="12.75">
      <c r="A447" s="8">
        <v>444</v>
      </c>
      <c r="C447" s="2">
        <f t="shared" si="4"/>
        <v>0</v>
      </c>
      <c r="D447" s="9"/>
      <c r="E447" s="2">
        <f>COUNTIFS(集計用!$G445,"*, "&amp;E$3&amp;", *")</f>
        <v>0</v>
      </c>
      <c r="F447" s="2">
        <f>COUNTIFS(集計用!$G445,"*, "&amp;F$3&amp;", *")</f>
        <v>0</v>
      </c>
      <c r="G447" s="2">
        <f>COUNTIFS(集計用!$G445,"*, "&amp;G$3&amp;", *")</f>
        <v>0</v>
      </c>
      <c r="H447" s="2">
        <f>COUNTIFS(集計用!$G445,"*, "&amp;H$3&amp;", *")</f>
        <v>0</v>
      </c>
      <c r="I447" s="2">
        <f>COUNTIFS(集計用!$G445,"*, "&amp;I$3&amp;", *")</f>
        <v>0</v>
      </c>
      <c r="J447" s="2">
        <f>COUNTIFS(集計用!$G445,"*, "&amp;J$3&amp;", *")</f>
        <v>0</v>
      </c>
      <c r="K447" s="2">
        <f>COUNTIFS(集計用!$G445,"*, "&amp;K$3&amp;", *")</f>
        <v>0</v>
      </c>
      <c r="L447" s="2">
        <f>COUNTIFS(集計用!$G445,"*, "&amp;L$3&amp;", *")</f>
        <v>0</v>
      </c>
      <c r="M447" s="2">
        <f>COUNTIFS(集計用!$G445,"*, "&amp;M$3&amp;", *")</f>
        <v>0</v>
      </c>
      <c r="N447" s="2">
        <f>COUNTIFS(集計用!$G445,"*, "&amp;N$3&amp;", *")</f>
        <v>0</v>
      </c>
      <c r="O447" s="2">
        <f>COUNTIFS(集計用!$G445,"*, "&amp;O$3&amp;", *")</f>
        <v>0</v>
      </c>
      <c r="P447" s="2">
        <f>COUNTIFS(集計用!$G445,"*, "&amp;P$3&amp;", *")</f>
        <v>0</v>
      </c>
      <c r="Q447" s="2">
        <f>COUNTIFS(集計用!$G445,"*, "&amp;Q$3&amp;", *")</f>
        <v>0</v>
      </c>
      <c r="R447" s="2">
        <f>COUNTIFS(集計用!$G445,"*, "&amp;R$3&amp;", *")</f>
        <v>0</v>
      </c>
      <c r="S447" s="2">
        <f>COUNTIFS(集計用!$G445,"*, "&amp;S$3&amp;", *")</f>
        <v>0</v>
      </c>
      <c r="T447" s="2">
        <f>COUNTIFS(集計用!$G445,"*, "&amp;T$3&amp;", *")</f>
        <v>0</v>
      </c>
      <c r="U447" s="2">
        <f>COUNTIFS(集計用!$G445,"*, "&amp;U$3&amp;", *")</f>
        <v>0</v>
      </c>
      <c r="V447" s="2">
        <f>COUNTIFS(集計用!$G445,"*, "&amp;V$3&amp;", *")</f>
        <v>0</v>
      </c>
      <c r="W447" s="2">
        <f>COUNTIFS(集計用!$G445,"*, "&amp;W$3&amp;", *")</f>
        <v>0</v>
      </c>
      <c r="X447" s="2">
        <f>COUNTIFS(集計用!$G445,"*, "&amp;X$3&amp;", *")</f>
        <v>0</v>
      </c>
      <c r="Y447" s="2">
        <f>COUNTIFS(集計用!$G445,"*, "&amp;Y$3&amp;", *")</f>
        <v>0</v>
      </c>
      <c r="Z447" s="2">
        <f>COUNTIFS(集計用!$G445,"*, "&amp;Z$3&amp;", *")</f>
        <v>0</v>
      </c>
      <c r="AA447" s="2">
        <f>COUNTIFS(集計用!$G445,"*, "&amp;AA$3&amp;", *")</f>
        <v>0</v>
      </c>
      <c r="AB447" s="2">
        <f>COUNTIFS(集計用!$G445,"*, "&amp;AB$3&amp;", *")</f>
        <v>0</v>
      </c>
      <c r="AC447" s="2">
        <f>COUNTIFS(集計用!$G445,"*, "&amp;AC$3&amp;", *")</f>
        <v>0</v>
      </c>
      <c r="AD447" s="2">
        <f>COUNTIFS(集計用!$G445,"*, "&amp;AD$3&amp;", *")</f>
        <v>0</v>
      </c>
      <c r="AE447" s="2">
        <f>COUNTIFS(集計用!$G445,"*, "&amp;AE$3&amp;", *")</f>
        <v>0</v>
      </c>
      <c r="AF447" s="2">
        <f>COUNTIFS(集計用!$G445,"*, "&amp;AF$3&amp;", *")</f>
        <v>0</v>
      </c>
      <c r="AG447" s="2">
        <f>COUNTIFS(集計用!$G445,"*, "&amp;AG$3&amp;", *")</f>
        <v>0</v>
      </c>
      <c r="AH447" s="2">
        <f>COUNTIFS(集計用!$G445,"*, "&amp;AH$3&amp;", *")</f>
        <v>0</v>
      </c>
      <c r="AI447" s="2">
        <f>COUNTIFS(集計用!$G445,"*, "&amp;AI$3&amp;", *")</f>
        <v>0</v>
      </c>
      <c r="AJ447" s="2">
        <f>COUNTIFS(集計用!$G445,"*, "&amp;AJ$3&amp;", *")</f>
        <v>0</v>
      </c>
      <c r="AK447" s="2">
        <f>COUNTIFS(集計用!$G445,"*, "&amp;AK$3&amp;", *")</f>
        <v>0</v>
      </c>
      <c r="AL447" s="2">
        <f>COUNTIFS(集計用!$G445,"*, "&amp;AL$3&amp;", *")</f>
        <v>0</v>
      </c>
      <c r="AM447" s="2">
        <f>COUNTIFS(集計用!$G445,"*, "&amp;AM$3&amp;", *")</f>
        <v>0</v>
      </c>
      <c r="AN447" s="2">
        <f>COUNTIFS(集計用!$G445,"*, "&amp;AN$3&amp;", *")</f>
        <v>0</v>
      </c>
      <c r="AO447" s="2">
        <f>COUNTIFS(集計用!$G445,"*, "&amp;AO$3&amp;", *")</f>
        <v>0</v>
      </c>
      <c r="AP447" s="2">
        <f>COUNTIFS(集計用!$G445,"*, "&amp;AP$3&amp;", *")</f>
        <v>0</v>
      </c>
      <c r="AQ447" s="2">
        <f>COUNTIFS(集計用!$G445,"*, "&amp;AQ$3&amp;", *")</f>
        <v>0</v>
      </c>
      <c r="AR447" s="2">
        <f>COUNTIFS(集計用!$G445,"*, "&amp;AR$3&amp;", *")</f>
        <v>0</v>
      </c>
      <c r="AS447" s="2">
        <f>COUNTIFS(集計用!$G445,"*, "&amp;AS$3&amp;", *")</f>
        <v>0</v>
      </c>
      <c r="AT447" s="2">
        <f>COUNTIFS(集計用!$G445,"*, "&amp;AT$3&amp;", *")</f>
        <v>0</v>
      </c>
      <c r="AU447" s="2">
        <f>COUNTIFS(集計用!$G445,"*, "&amp;AU$3&amp;", *")</f>
        <v>0</v>
      </c>
      <c r="AV447" s="2">
        <f>COUNTIFS(集計用!$G445,"*, "&amp;AV$3&amp;", *")</f>
        <v>0</v>
      </c>
      <c r="AW447" s="2">
        <f>COUNTIFS(集計用!$G445,"*, "&amp;AW$3&amp;", *")</f>
        <v>0</v>
      </c>
      <c r="AX447" s="2">
        <f>COUNTIFS(集計用!$G445,"*, "&amp;AX$3&amp;", *")</f>
        <v>0</v>
      </c>
      <c r="AY447" s="2">
        <f>COUNTIFS(集計用!$G445,"*, "&amp;AY$3&amp;", *")</f>
        <v>0</v>
      </c>
      <c r="AZ447" s="2">
        <f>COUNTIFS(集計用!$G445,"*, "&amp;AZ$3&amp;", *")</f>
        <v>0</v>
      </c>
      <c r="BA447" s="2">
        <f>COUNTIFS(集計用!$G445,"*, "&amp;BA$3&amp;", *")</f>
        <v>0</v>
      </c>
      <c r="BB447" s="2">
        <f>COUNTIFS(集計用!$G445,"*, "&amp;BB$3&amp;", *")</f>
        <v>0</v>
      </c>
      <c r="BC447" s="2">
        <f>COUNTIFS(集計用!$G445,"*, "&amp;BC$3&amp;", *")</f>
        <v>0</v>
      </c>
      <c r="BD447" s="2">
        <f>COUNTIFS(集計用!$G445,"*, "&amp;BD$3&amp;", *")</f>
        <v>0</v>
      </c>
      <c r="BE447" s="2">
        <f>COUNTIFS(集計用!$G445,"*, "&amp;BE$3&amp;", *")</f>
        <v>0</v>
      </c>
      <c r="BF447" s="2">
        <f>COUNTIFS(集計用!$G445,"*, "&amp;BF$3&amp;", *")</f>
        <v>0</v>
      </c>
      <c r="BG447" s="2">
        <f>COUNTIFS(集計用!$G445,"*, "&amp;BG$3&amp;", *")</f>
        <v>0</v>
      </c>
      <c r="BH447" s="2">
        <f>COUNTIFS(集計用!$G445,"*, "&amp;BH$3&amp;", *")</f>
        <v>0</v>
      </c>
      <c r="BI447" s="2">
        <f>COUNTIFS(集計用!$G445,"*, "&amp;BI$3&amp;", *")</f>
        <v>0</v>
      </c>
      <c r="BJ447" s="2">
        <f>LEN(集計用!H445)-LEN(SUBSTITUTE(集計用!H445,",",""))</f>
        <v>0</v>
      </c>
    </row>
    <row r="448" spans="1:62" ht="12.75">
      <c r="BJ448" s="2">
        <f>COUNTIF(BJ4:BJ447,"&gt;0")</f>
        <v>50</v>
      </c>
    </row>
    <row r="449" spans="2:3" ht="15.75" customHeight="1">
      <c r="B449">
        <v>0</v>
      </c>
      <c r="C449" s="2">
        <f>COUNTIF($C$4:$C$447,B449)</f>
        <v>1</v>
      </c>
    </row>
    <row r="450" spans="2:3" ht="15.75" customHeight="1">
      <c r="B450">
        <v>1</v>
      </c>
      <c r="C450" s="2">
        <f t="shared" ref="C450:C505" si="5">COUNTIF($C$4:$C$447,B450)</f>
        <v>68</v>
      </c>
    </row>
    <row r="451" spans="2:3" ht="15.75" customHeight="1">
      <c r="B451">
        <v>2</v>
      </c>
      <c r="C451" s="2">
        <f t="shared" si="5"/>
        <v>57</v>
      </c>
    </row>
    <row r="452" spans="2:3" ht="15.75" customHeight="1">
      <c r="B452">
        <v>3</v>
      </c>
      <c r="C452" s="2">
        <f t="shared" si="5"/>
        <v>74</v>
      </c>
    </row>
    <row r="453" spans="2:3" ht="15.75" customHeight="1">
      <c r="B453">
        <v>4</v>
      </c>
      <c r="C453" s="2">
        <f t="shared" si="5"/>
        <v>61</v>
      </c>
    </row>
    <row r="454" spans="2:3" ht="15.75" customHeight="1">
      <c r="B454">
        <v>5</v>
      </c>
      <c r="C454" s="2">
        <f t="shared" si="5"/>
        <v>45</v>
      </c>
    </row>
    <row r="455" spans="2:3" ht="15.75" customHeight="1">
      <c r="B455">
        <v>6</v>
      </c>
      <c r="C455" s="2">
        <f t="shared" si="5"/>
        <v>36</v>
      </c>
    </row>
    <row r="456" spans="2:3" ht="15.75" customHeight="1">
      <c r="B456">
        <v>7</v>
      </c>
      <c r="C456" s="2">
        <f t="shared" si="5"/>
        <v>28</v>
      </c>
    </row>
    <row r="457" spans="2:3" ht="15.75" customHeight="1">
      <c r="B457">
        <v>8</v>
      </c>
      <c r="C457" s="2">
        <f t="shared" si="5"/>
        <v>28</v>
      </c>
    </row>
    <row r="458" spans="2:3" ht="15.75" customHeight="1">
      <c r="B458">
        <v>9</v>
      </c>
      <c r="C458" s="2">
        <f t="shared" si="5"/>
        <v>16</v>
      </c>
    </row>
    <row r="459" spans="2:3" ht="15.75" customHeight="1">
      <c r="B459">
        <v>10</v>
      </c>
      <c r="C459" s="2">
        <f t="shared" si="5"/>
        <v>8</v>
      </c>
    </row>
    <row r="460" spans="2:3" ht="15.75" customHeight="1">
      <c r="B460">
        <v>11</v>
      </c>
      <c r="C460" s="2">
        <f t="shared" si="5"/>
        <v>6</v>
      </c>
    </row>
    <row r="461" spans="2:3" ht="15.75" customHeight="1">
      <c r="B461">
        <v>12</v>
      </c>
      <c r="C461" s="2">
        <f t="shared" si="5"/>
        <v>2</v>
      </c>
    </row>
    <row r="462" spans="2:3" ht="15.75" customHeight="1">
      <c r="B462">
        <v>13</v>
      </c>
      <c r="C462" s="2">
        <f t="shared" si="5"/>
        <v>4</v>
      </c>
    </row>
    <row r="463" spans="2:3" ht="15.75" customHeight="1">
      <c r="B463">
        <v>14</v>
      </c>
      <c r="C463" s="2">
        <f t="shared" si="5"/>
        <v>2</v>
      </c>
    </row>
    <row r="464" spans="2:3" ht="15.75" customHeight="1">
      <c r="B464">
        <v>15</v>
      </c>
      <c r="C464" s="2">
        <f t="shared" si="5"/>
        <v>1</v>
      </c>
    </row>
    <row r="465" spans="2:3" ht="15.75" customHeight="1">
      <c r="B465">
        <v>16</v>
      </c>
      <c r="C465" s="2">
        <f t="shared" si="5"/>
        <v>1</v>
      </c>
    </row>
    <row r="466" spans="2:3" ht="15.75" customHeight="1">
      <c r="B466">
        <v>17</v>
      </c>
      <c r="C466" s="2">
        <f t="shared" si="5"/>
        <v>1</v>
      </c>
    </row>
    <row r="467" spans="2:3" ht="15.75" customHeight="1">
      <c r="B467">
        <v>18</v>
      </c>
      <c r="C467" s="2">
        <f t="shared" si="5"/>
        <v>1</v>
      </c>
    </row>
    <row r="468" spans="2:3" ht="15.75" customHeight="1">
      <c r="B468">
        <v>19</v>
      </c>
      <c r="C468" s="2">
        <f t="shared" si="5"/>
        <v>1</v>
      </c>
    </row>
    <row r="469" spans="2:3" ht="15.75" customHeight="1">
      <c r="B469">
        <v>20</v>
      </c>
      <c r="C469" s="2">
        <f t="shared" si="5"/>
        <v>1</v>
      </c>
    </row>
    <row r="470" spans="2:3" ht="15.75" customHeight="1">
      <c r="B470">
        <v>21</v>
      </c>
      <c r="C470" s="2">
        <f t="shared" si="5"/>
        <v>0</v>
      </c>
    </row>
    <row r="471" spans="2:3" ht="15.75" customHeight="1">
      <c r="B471">
        <v>22</v>
      </c>
      <c r="C471" s="2">
        <f t="shared" si="5"/>
        <v>0</v>
      </c>
    </row>
    <row r="472" spans="2:3" ht="15.75" customHeight="1">
      <c r="B472">
        <v>23</v>
      </c>
      <c r="C472" s="2">
        <f t="shared" si="5"/>
        <v>0</v>
      </c>
    </row>
    <row r="473" spans="2:3" ht="15.75" customHeight="1">
      <c r="B473">
        <v>24</v>
      </c>
      <c r="C473" s="2">
        <f t="shared" si="5"/>
        <v>0</v>
      </c>
    </row>
    <row r="474" spans="2:3" ht="15.75" customHeight="1">
      <c r="B474">
        <v>25</v>
      </c>
      <c r="C474" s="2">
        <f t="shared" si="5"/>
        <v>0</v>
      </c>
    </row>
    <row r="475" spans="2:3" ht="15.75" customHeight="1">
      <c r="B475">
        <v>26</v>
      </c>
      <c r="C475" s="2">
        <f t="shared" si="5"/>
        <v>0</v>
      </c>
    </row>
    <row r="476" spans="2:3" ht="15.75" customHeight="1">
      <c r="B476">
        <v>27</v>
      </c>
      <c r="C476" s="2">
        <f t="shared" si="5"/>
        <v>0</v>
      </c>
    </row>
    <row r="477" spans="2:3" ht="15.75" customHeight="1">
      <c r="B477">
        <v>28</v>
      </c>
      <c r="C477" s="2">
        <f t="shared" si="5"/>
        <v>0</v>
      </c>
    </row>
    <row r="478" spans="2:3" ht="15.75" customHeight="1">
      <c r="B478">
        <v>29</v>
      </c>
      <c r="C478" s="2">
        <f t="shared" si="5"/>
        <v>0</v>
      </c>
    </row>
    <row r="479" spans="2:3" ht="15.75" customHeight="1">
      <c r="B479">
        <v>30</v>
      </c>
      <c r="C479" s="2">
        <f t="shared" si="5"/>
        <v>0</v>
      </c>
    </row>
    <row r="480" spans="2:3" ht="15.75" customHeight="1">
      <c r="B480">
        <v>31</v>
      </c>
      <c r="C480" s="2">
        <f t="shared" si="5"/>
        <v>0</v>
      </c>
    </row>
    <row r="481" spans="2:3" ht="15.75" customHeight="1">
      <c r="B481">
        <v>32</v>
      </c>
      <c r="C481" s="2">
        <f t="shared" si="5"/>
        <v>0</v>
      </c>
    </row>
    <row r="482" spans="2:3" ht="15.75" customHeight="1">
      <c r="B482">
        <v>33</v>
      </c>
      <c r="C482" s="2">
        <f t="shared" si="5"/>
        <v>0</v>
      </c>
    </row>
    <row r="483" spans="2:3" ht="15.75" customHeight="1">
      <c r="B483">
        <v>34</v>
      </c>
      <c r="C483" s="2">
        <f t="shared" si="5"/>
        <v>0</v>
      </c>
    </row>
    <row r="484" spans="2:3" ht="15.75" customHeight="1">
      <c r="B484">
        <v>35</v>
      </c>
      <c r="C484" s="2">
        <f t="shared" si="5"/>
        <v>0</v>
      </c>
    </row>
    <row r="485" spans="2:3" ht="15.75" customHeight="1">
      <c r="B485">
        <v>36</v>
      </c>
      <c r="C485" s="2">
        <f t="shared" si="5"/>
        <v>0</v>
      </c>
    </row>
    <row r="486" spans="2:3" ht="15.75" customHeight="1">
      <c r="B486">
        <v>37</v>
      </c>
      <c r="C486" s="2">
        <f t="shared" si="5"/>
        <v>0</v>
      </c>
    </row>
    <row r="487" spans="2:3" ht="15.75" customHeight="1">
      <c r="B487">
        <v>38</v>
      </c>
      <c r="C487" s="2">
        <f t="shared" si="5"/>
        <v>0</v>
      </c>
    </row>
    <row r="488" spans="2:3" ht="15.75" customHeight="1">
      <c r="B488">
        <v>39</v>
      </c>
      <c r="C488" s="2">
        <f t="shared" si="5"/>
        <v>0</v>
      </c>
    </row>
    <row r="489" spans="2:3" ht="15.75" customHeight="1">
      <c r="B489">
        <v>40</v>
      </c>
      <c r="C489" s="2">
        <f t="shared" si="5"/>
        <v>0</v>
      </c>
    </row>
    <row r="490" spans="2:3" ht="15.75" customHeight="1">
      <c r="B490">
        <v>41</v>
      </c>
      <c r="C490" s="2">
        <f t="shared" si="5"/>
        <v>0</v>
      </c>
    </row>
    <row r="491" spans="2:3" ht="15.75" customHeight="1">
      <c r="B491">
        <v>42</v>
      </c>
      <c r="C491" s="2">
        <f t="shared" si="5"/>
        <v>0</v>
      </c>
    </row>
    <row r="492" spans="2:3" ht="15.75" customHeight="1">
      <c r="B492">
        <v>43</v>
      </c>
      <c r="C492" s="2">
        <f t="shared" si="5"/>
        <v>0</v>
      </c>
    </row>
    <row r="493" spans="2:3" ht="15.75" customHeight="1">
      <c r="B493">
        <v>44</v>
      </c>
      <c r="C493" s="2">
        <f t="shared" si="5"/>
        <v>0</v>
      </c>
    </row>
    <row r="494" spans="2:3" ht="15.75" customHeight="1">
      <c r="B494">
        <v>45</v>
      </c>
      <c r="C494" s="2">
        <f t="shared" si="5"/>
        <v>0</v>
      </c>
    </row>
    <row r="495" spans="2:3" ht="15.75" customHeight="1">
      <c r="B495">
        <v>46</v>
      </c>
      <c r="C495" s="2">
        <f t="shared" si="5"/>
        <v>0</v>
      </c>
    </row>
    <row r="496" spans="2:3" ht="15.75" customHeight="1">
      <c r="B496">
        <v>47</v>
      </c>
      <c r="C496" s="2">
        <f t="shared" si="5"/>
        <v>0</v>
      </c>
    </row>
    <row r="497" spans="2:3" ht="15.75" customHeight="1">
      <c r="B497">
        <v>48</v>
      </c>
      <c r="C497" s="2">
        <f t="shared" si="5"/>
        <v>0</v>
      </c>
    </row>
    <row r="498" spans="2:3" ht="15.75" customHeight="1">
      <c r="B498">
        <v>49</v>
      </c>
      <c r="C498" s="2">
        <f t="shared" si="5"/>
        <v>0</v>
      </c>
    </row>
    <row r="499" spans="2:3" ht="15.75" customHeight="1">
      <c r="B499">
        <v>50</v>
      </c>
      <c r="C499" s="2">
        <f t="shared" si="5"/>
        <v>0</v>
      </c>
    </row>
    <row r="500" spans="2:3" ht="15.75" customHeight="1">
      <c r="B500">
        <v>51</v>
      </c>
      <c r="C500" s="2">
        <f t="shared" si="5"/>
        <v>0</v>
      </c>
    </row>
    <row r="501" spans="2:3" ht="15.75" customHeight="1">
      <c r="B501">
        <v>52</v>
      </c>
      <c r="C501" s="2">
        <f t="shared" si="5"/>
        <v>0</v>
      </c>
    </row>
    <row r="502" spans="2:3" ht="15.75" customHeight="1">
      <c r="B502">
        <v>53</v>
      </c>
      <c r="C502" s="2">
        <f t="shared" si="5"/>
        <v>0</v>
      </c>
    </row>
    <row r="503" spans="2:3" ht="15.75" customHeight="1">
      <c r="B503">
        <v>54</v>
      </c>
      <c r="C503" s="2">
        <f t="shared" si="5"/>
        <v>0</v>
      </c>
    </row>
    <row r="504" spans="2:3" ht="15.75" customHeight="1">
      <c r="B504">
        <v>55</v>
      </c>
      <c r="C504" s="2">
        <f t="shared" si="5"/>
        <v>0</v>
      </c>
    </row>
    <row r="505" spans="2:3" ht="15.75" customHeight="1">
      <c r="B505">
        <v>56</v>
      </c>
      <c r="C505" s="2">
        <f t="shared" si="5"/>
        <v>1</v>
      </c>
    </row>
  </sheetData>
  <phoneticPr fontId="8"/>
  <conditionalFormatting sqref="B4:BJ447 C449:C505">
    <cfRule type="colorScale" priority="1">
      <colorScale>
        <cfvo type="formula" val="0"/>
        <cfvo type="formula" val="15"/>
        <color rgb="FFFFFFFF"/>
        <color rgb="FF57BB8A"/>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ED1085-1578-457E-97A6-83064F91AC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23</vt:i4>
      </vt:variant>
    </vt:vector>
  </HeadingPairs>
  <TitlesOfParts>
    <vt:vector size="23" baseType="lpstr">
      <vt:lpstr>目次</vt:lpstr>
      <vt:lpstr>A1.年齢ごとジェンダー</vt:lpstr>
      <vt:lpstr>A2.ジェンダーごと年齢</vt:lpstr>
      <vt:lpstr>A3.ジェンダーとラベル選択数</vt:lpstr>
      <vt:lpstr>A4a.ジェンダーと一人称(選択式)</vt:lpstr>
      <vt:lpstr>A4b.ジェンダーと一人称 (自由記入式)</vt:lpstr>
      <vt:lpstr>A5a.ジェンダーと三人称 (日,選択式)</vt:lpstr>
      <vt:lpstr>A5b.ジェンダーと三人称 (日,記入式)</vt:lpstr>
      <vt:lpstr>A6.ジェンダーと三人称 (英)</vt:lpstr>
      <vt:lpstr>A7.三人称（日）と三人称 (英)</vt:lpstr>
      <vt:lpstr>A8.ジェンダーと敬称 (日)</vt:lpstr>
      <vt:lpstr>A9.ジェンダーと敬称 (英) </vt:lpstr>
      <vt:lpstr>A10.敬称（日）と敬称 (英)</vt:lpstr>
      <vt:lpstr>A11.ジェンダーと差別(選択式)</vt:lpstr>
      <vt:lpstr>A12.年齢層と差別(選択式)</vt:lpstr>
      <vt:lpstr>A13.ジェンダーとトランジション(希望+経験, 選択式)</vt:lpstr>
      <vt:lpstr>A14.年齢層とトランジション(希望+経験, 選択式)</vt:lpstr>
      <vt:lpstr>A15.ジェンダーとトランジション(経験,選択式) </vt:lpstr>
      <vt:lpstr>A16.年齢層とトランジション(経験, 選択式)</vt:lpstr>
      <vt:lpstr>A17.年齢層とトランジション(経験vs希望,選択式) </vt:lpstr>
      <vt:lpstr>集計用</vt:lpstr>
      <vt:lpstr>RAW (公開用)</vt:lpstr>
      <vt:lpstr>選んだジェンダー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K</dc:creator>
  <cp:lastModifiedBy>KS</cp:lastModifiedBy>
  <dcterms:created xsi:type="dcterms:W3CDTF">2025-08-14T01:42:42Z</dcterms:created>
  <dcterms:modified xsi:type="dcterms:W3CDTF">2025-08-18T15:10:21Z</dcterms:modified>
</cp:coreProperties>
</file>